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DETALLE" sheetId="4" state="visible" r:id="rId4"/>
    <sheet xmlns:r="http://schemas.openxmlformats.org/officeDocument/2006/relationships" name="CROQUIS" sheetId="5" state="visible" r:id="rId5"/>
    <sheet xmlns:r="http://schemas.openxmlformats.org/officeDocument/2006/relationships" name="RESUMEN" sheetId="6" state="visible" r:id="rId6"/>
    <sheet xmlns:r="http://schemas.openxmlformats.org/officeDocument/2006/relationships" name="ENTREPISO" sheetId="7" state="visible" r:id="rId7"/>
    <sheet xmlns:r="http://schemas.openxmlformats.org/officeDocument/2006/relationships" name="DISTORSIONES" sheetId="8" state="visible" r:id="rId8"/>
    <sheet xmlns:r="http://schemas.openxmlformats.org/officeDocument/2006/relationships" name="PIER_FORCES" sheetId="9" state="visible" r:id="rId9"/>
    <sheet xmlns:r="http://schemas.openxmlformats.org/officeDocument/2006/relationships" name="REFERENCIAS" sheetId="10" state="visible" r:id="rId10"/>
    <sheet xmlns:r="http://schemas.openxmlformats.org/officeDocument/2006/relationships" name="TABLAS" sheetId="11" state="visible" r:id="rId11"/>
    <sheet xmlns:r="http://schemas.openxmlformats.org/officeDocument/2006/relationships" name="CROQUIS_DATOS" sheetId="12" state="visible" r:id="rId12"/>
  </sheets>
  <definedNames>
    <definedName name="T_BAR">TABLAS!$B$6:$B$14</definedName>
    <definedName name="T_DB">TABLAS!$C$6:$C$14</definedName>
    <definedName name="T_AB">TABLAS!$D$6:$D$14</definedName>
    <definedName name="T_WB">TABLAS!$E$6:$E$14</definedName>
    <definedName name="T_MAL">TABLAS!$B$19:$B$22</definedName>
    <definedName name="T_MDB">TABLAS!$C$19:$C$22</definedName>
    <definedName name="T_MAS">TABLAS!$D$19:$D$22</definedName>
    <definedName name="T_MKG">TABLAS!$E$19:$E$22</definedName>
    <definedName name="T_FPC">TABLAS!$B$27:$B$31</definedName>
    <definedName name="T_FMCI">TABLAS!$C$27:$C$31</definedName>
    <definedName name="T_FMCII">TABLAS!$D$27:$D$31</definedName>
    <definedName name="T_FPA">TABLAS!$B$35:$B$40</definedName>
    <definedName name="T_FMAI">TABLAS!$C$35:$C$40</definedName>
    <definedName name="T_FMAII">TABLAS!$D$35:$D$40</definedName>
    <definedName name="T_PZ">TABLAS!$B$45:$B$49</definedName>
    <definedName name="T_PZMAT">TABLAS!$C$45:$C$49</definedName>
    <definedName name="T_PZHUE">TABLAS!$D$45:$D$49</definedName>
    <definedName name="T_PZFM2">TABLAS!$E$45:$E$49</definedName>
    <definedName name="T_PZVM2">TABLAS!$F$45:$F$49</definedName>
    <definedName name="T_SIS">TABLAS!$B$54:$B$57</definedName>
    <definedName name="T_SISQ">TABLAS!$C$54:$C$57</definedName>
    <definedName name="T_SISSV">TABLAS!$D$54:$D$57</definedName>
    <definedName name="T_SISOI">TABLAS!$E$54:$E$57</definedName>
    <definedName name="LST_SINO">TABLAS!$B$61:$B$62</definedName>
    <definedName name="LST_GRUPO">TABLAS!$C$61:$C$62</definedName>
    <definedName name="LST_USO">TABLAS!$D$61:$D$67</definedName>
    <definedName name="LST_MORT">TABLAS!$E$61:$E$63</definedName>
    <definedName name="LST_FMSRC">TABLAS!$F$61:$F$63</definedName>
    <definedName name="LST_VMSRC">TABLAS!$G$61:$G$63</definedName>
    <definedName name="LST_FSRC">TABLAS!$B$70:$B$71</definedName>
    <definedName name="LST_DIR">TABLAS!$C$70:$C$71</definedName>
    <definedName name="LST_POS">TABLAS!$D$70:$D$71</definedName>
    <definedName name="LST_VANO">TABLAS!$E$70:$E$71</definedName>
    <definedName name="LST_RH">TABLAS!$F$70:$F$73</definedName>
    <definedName name="LST_CLASE">TABLAS!$G$70:$G$71</definedName>
    <definedName name="LST_MUROS">MUROS!$B$11:$B$70</definedName>
    <definedName name="CMB_S">DATOS!$B$111:$B$122</definedName>
    <definedName name="CMB_G">DATOS!$C$111:$C$122</definedName>
    <definedName name="_xlnm.Print_Area" localSheetId="0">'INSTRUCCIONES'!$B$1:$F$19</definedName>
    <definedName name="_xlnm.Print_Area" localSheetId="1">'DATOS'!$B$1:$F$129</definedName>
    <definedName name="_xlnm.Print_Titles" localSheetId="2">'MUROS'!$5:$8</definedName>
    <definedName name="_xlnm.Print_Area" localSheetId="2">'MUROS'!$A$1:$EX$70</definedName>
    <definedName name="_xlnm.Print_Area" localSheetId="3">'DETALLE'!$B$1:$F$97</definedName>
    <definedName name="_xlnm.Print_Area" localSheetId="4">'CROQUIS'!$B$1:$F$108</definedName>
    <definedName name="_xlnm.Print_Area" localSheetId="5">'RESUMEN'!$B$1:$M$104</definedName>
    <definedName name="_xlnm.Print_Area" localSheetId="6">'ENTREPISO'!$B$1:$L$23</definedName>
    <definedName name="_xlnm.Print_Area" localSheetId="7">'DISTORSIONES'!$B$1:$R$56</definedName>
    <definedName name="_xlnm.Print_Area" localSheetId="8">'PIER_FORCES'!$B$1:$T$69</definedName>
    <definedName name="_xlnm.Print_Area" localSheetId="9">'REFERENCIAS'!$B$1:$E$43</definedName>
    <definedName name="_xlnm.Print_Area" localSheetId="10">'TABLAS'!$B$1:$G$78</definedName>
    <definedName name="_xlnm.Print_Area" localSheetId="11">'CROQUIS_DATOS'!$A$1:$H$6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0.0"/>
    <numFmt numFmtId="166" formatCode="0.0000"/>
    <numFmt numFmtId="167" formatCode="[&gt;=99]&quot;M_R = 0&quot;;0.00"/>
    <numFmt numFmtId="168" formatCode="[&gt;=99]&quot;V_R = 0&quot;;0.00"/>
    <numFmt numFmtId="169" formatCode="0.00000"/>
    <numFmt numFmtId="170" formatCode="0.000000"/>
    <numFmt numFmtId="171" formatCode="0.00000;-0.00000;"/>
    <numFmt numFmtId="172" formatCode="[&gt;=99]&quot;∞&quot;;0.0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1A"/>
      <sz val="9"/>
    </font>
    <font>
      <name val="Arial"/>
      <i val="1"/>
      <color rgb="00595959"/>
      <sz val="9"/>
    </font>
    <font>
      <name val="Arial"/>
      <b val="1"/>
      <color rgb="001F3864"/>
      <sz val="9"/>
    </font>
    <font>
      <name val="Arial"/>
      <color rgb="00006100"/>
      <sz val="9"/>
    </font>
    <font>
      <name val="Arial"/>
      <color rgb="00006100"/>
      <sz val="8"/>
    </font>
    <font>
      <name val="Arial"/>
      <color rgb="001A1A1A"/>
      <sz val="10"/>
    </font>
    <font>
      <name val="Arial"/>
      <b val="1"/>
      <color rgb="000000CC"/>
      <sz val="10"/>
    </font>
    <font>
      <name val="Arial"/>
      <color rgb="00595959"/>
      <sz val="9"/>
    </font>
    <font>
      <name val="Arial"/>
      <i val="1"/>
      <color rgb="001F4E79"/>
      <sz val="8"/>
    </font>
    <font>
      <name val="Arial"/>
      <b val="1"/>
      <color rgb="001F3864"/>
      <sz val="10"/>
    </font>
    <font>
      <name val="Arial"/>
      <b val="1"/>
      <color rgb="000000CC"/>
      <sz val="9"/>
    </font>
    <font>
      <name val="Arial"/>
      <b val="1"/>
      <color rgb="00843C0C"/>
      <sz val="9"/>
    </font>
    <font>
      <name val="Arial"/>
      <b val="1"/>
      <color rgb="00FFFFFF"/>
      <sz val="9"/>
    </font>
    <font>
      <name val="Arial"/>
      <i val="1"/>
      <color rgb="00595959"/>
      <sz val="7.5"/>
    </font>
    <font>
      <name val="Arial"/>
      <i val="1"/>
      <color rgb="00595959"/>
      <sz val="8"/>
    </font>
    <font>
      <name val="Arial"/>
      <color rgb="00A6A6A6"/>
      <sz val="7"/>
    </font>
    <font>
      <name val="Arial"/>
      <color rgb="000000CC"/>
      <sz val="8"/>
    </font>
    <font>
      <name val="Arial"/>
      <color rgb="00595959"/>
      <sz val="8"/>
    </font>
    <font>
      <name val="Arial"/>
      <b val="1"/>
      <color rgb="00FFFFFF"/>
      <sz val="11"/>
    </font>
    <font>
      <name val="Arial"/>
      <b val="1"/>
      <color rgb="001A1A1A"/>
      <sz val="9"/>
    </font>
    <font>
      <name val="Arial"/>
      <b val="1"/>
      <color rgb="000000CC"/>
      <sz val="8"/>
    </font>
    <font>
      <name val="Arial"/>
      <color rgb="001A1A1A"/>
      <sz val="8"/>
    </font>
    <font>
      <name val="Arial"/>
      <b val="1"/>
      <color rgb="001F3864"/>
      <sz val="8"/>
    </font>
    <font>
      <name val="Arial"/>
      <b val="1"/>
      <color rgb="001F3864"/>
      <sz val="12"/>
    </font>
    <font>
      <name val="Arial"/>
      <b val="1"/>
      <color rgb="001A1A1A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0E0"/>
      </patternFill>
    </fill>
    <fill>
      <patternFill patternType="solid">
        <fgColor rgb="007F6000"/>
      </patternFill>
    </fill>
    <fill>
      <patternFill patternType="solid">
        <fgColor rgb="00EEF2F9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1F3864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medium">
        <color rgb="001F3864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medium">
        <color rgb="001F3864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9" fontId="9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" fontId="9" fillId="6" borderId="1" applyAlignment="1" pivotButton="0" quotePrefix="0" xfId="0">
      <alignment horizontal="center" vertical="center" wrapText="1"/>
    </xf>
    <xf numFmtId="49" fontId="12" fillId="5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2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2" fontId="12" fillId="5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0" fillId="0" borderId="5" pivotButton="0" quotePrefix="0" xfId="0"/>
    <xf numFmtId="49" fontId="13" fillId="6" borderId="1" applyAlignment="1" pivotButton="0" quotePrefix="0" xfId="0">
      <alignment horizontal="left" vertical="center"/>
    </xf>
    <xf numFmtId="0" fontId="0" fillId="0" borderId="6" pivotButton="0" quotePrefix="0" xfId="0"/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4" fillId="7" borderId="0" applyAlignment="1" pivotButton="0" quotePrefix="0" xfId="0">
      <alignment vertical="center" wrapText="1"/>
    </xf>
    <xf numFmtId="0" fontId="16" fillId="4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49" fontId="13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left" vertical="center" wrapText="1"/>
    </xf>
    <xf numFmtId="49" fontId="13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21" fillId="3" borderId="0" applyAlignment="1" pivotButton="0" quotePrefix="0" xfId="0">
      <alignment vertical="center" wrapText="1"/>
    </xf>
    <xf numFmtId="49" fontId="22" fillId="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" fontId="5" fillId="5" borderId="1" applyAlignment="1" pivotButton="0" quotePrefix="0" xfId="0">
      <alignment horizontal="center" vertical="center"/>
    </xf>
    <xf numFmtId="172" fontId="5" fillId="5" borderId="1" applyAlignment="1" pivotButton="0" quotePrefix="0" xfId="0">
      <alignment horizontal="center" vertical="center"/>
    </xf>
    <xf numFmtId="49" fontId="24" fillId="0" borderId="1" applyAlignment="1" pivotButton="0" quotePrefix="0" xfId="0">
      <alignment horizontal="left" vertical="center"/>
    </xf>
    <xf numFmtId="2" fontId="24" fillId="0" borderId="1" applyAlignment="1" pivotButton="0" quotePrefix="0" xfId="0">
      <alignment horizontal="center" vertical="center"/>
    </xf>
    <xf numFmtId="168" fontId="25" fillId="5" borderId="1" applyAlignment="1" pivotButton="0" quotePrefix="0" xfId="0">
      <alignment horizontal="center" vertical="center"/>
    </xf>
    <xf numFmtId="167" fontId="25" fillId="5" borderId="1" applyAlignment="1" pivotButton="0" quotePrefix="0" xfId="0">
      <alignment horizontal="center" vertical="center"/>
    </xf>
    <xf numFmtId="2" fontId="25" fillId="5" borderId="1" applyAlignment="1" pivotButton="0" quotePrefix="0" xfId="0">
      <alignment horizontal="center" vertical="center"/>
    </xf>
    <xf numFmtId="49" fontId="24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15" fillId="8" borderId="0" pivotButton="0" quotePrefix="0" xfId="0"/>
    <xf numFmtId="0" fontId="15" fillId="3" borderId="0" pivotButton="0" quotePrefix="0" xfId="0"/>
    <xf numFmtId="49" fontId="23" fillId="6" borderId="1" applyAlignment="1" pivotButton="0" quotePrefix="0" xfId="0">
      <alignment horizontal="center" vertical="center"/>
    </xf>
    <xf numFmtId="170" fontId="23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2" fontId="23" fillId="6" borderId="1" applyAlignment="1" pivotButton="0" quotePrefix="0" xfId="0">
      <alignment horizontal="center" vertical="center"/>
    </xf>
    <xf numFmtId="0" fontId="24" fillId="0" borderId="0" pivotButton="0" quotePrefix="0" xfId="0"/>
    <xf numFmtId="171" fontId="24" fillId="0" borderId="0" pivotButton="0" quotePrefix="0" xfId="0"/>
    <xf numFmtId="164" fontId="24" fillId="0" borderId="0" pivotButton="0" quotePrefix="0" xfId="0"/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0" fontId="19" fillId="6" borderId="0" pivotButton="0" quotePrefix="0" xfId="0"/>
    <xf numFmtId="0" fontId="20" fillId="0" borderId="0" pivotButton="0" quotePrefix="0" xfId="0"/>
    <xf numFmtId="0" fontId="18" fillId="0" borderId="0" pivotButton="0" quotePrefix="0" xfId="0"/>
    <xf numFmtId="49" fontId="11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26" fillId="0" borderId="0" pivotButton="0" quotePrefix="0" xfId="0"/>
    <xf numFmtId="0" fontId="4" fillId="0" borderId="0" pivotButton="0" quotePrefix="0" xfId="0"/>
    <xf numFmtId="0" fontId="27" fillId="0" borderId="0" pivotButton="0" quotePrefix="0" xfId="0"/>
    <xf numFmtId="0" fontId="12" fillId="0" borderId="0" pivotButton="0" quotePrefix="0" xfId="0"/>
    <xf numFmtId="1" fontId="24" fillId="0" borderId="0" pivotButton="0" quotePrefix="0" xfId="0"/>
    <xf numFmtId="49" fontId="24" fillId="0" borderId="0" pivotButton="0" quotePrefix="0" xfId="0"/>
    <xf numFmtId="165" fontId="24" fillId="0" borderId="0" pivotButton="0" quotePrefix="0" xfId="0"/>
    <xf numFmtId="2" fontId="24" fillId="0" borderId="0" pivotButton="0" quotePrefix="0" xfId="0"/>
    <xf numFmtId="169" fontId="24" fillId="0" borderId="0" pivotButton="0" quotePrefix="0" xfId="0"/>
    <xf numFmtId="166" fontId="24" fillId="0" borderId="0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7F4F00"/>
      </font>
      <fill>
        <patternFill patternType="solid">
          <bgColor rgb="00FFD966"/>
        </patternFill>
      </fill>
    </dxf>
    <dxf>
      <font>
        <b val="1"/>
        <color rgb="00FFFFFF"/>
      </font>
      <fill>
        <patternFill patternType="solid">
          <bgColor rgb="0000A650"/>
        </patternFill>
      </fill>
    </dxf>
    <dxf>
      <font>
        <name val="Arial"/>
        <b val="1"/>
        <color rgb="00FFFFFF"/>
        <sz val="9"/>
      </font>
      <fill>
        <patternFill patternType="solid">
          <fgColor rgb="00C00000"/>
        </patternFill>
      </fill>
    </dxf>
    <dxf>
      <font>
        <name val="Arial"/>
        <b val="1"/>
        <color rgb="00FFFFFF"/>
        <sz val="8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ALZADO — ARMADO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84615384615385"/>
          <y val="0.09"/>
          <w val="0.7630769230769231"/>
          <h val="0.72"/>
        </manualLayout>
      </layout>
      <scatterChart>
        <scatterStyle val="lineMarker"/>
        <ser>
          <idx val="0"/>
          <order val="0"/>
          <tx>
            <strRef>
              <f>CROQUIS_DATOS!$A$1214</f>
            </strRef>
          </tx>
          <spPr>
            <a:ln xmlns:a="http://schemas.openxmlformats.org/drawingml/2006/main" w="9525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'CROQUIS_DATOS'!$N$8:$N$1127</f>
            </numRef>
          </xVal>
          <yVal>
            <numRef>
              <f>'CROQUIS_DATOS'!$O$8:$O$1127</f>
            </numRef>
          </yVal>
          <smooth val="0"/>
        </ser>
        <ser>
          <idx val="1"/>
          <order val="1"/>
          <tx>
            <strRef>
              <f>CROQUIS_DATOS!$A$1215</f>
            </strRef>
          </tx>
          <spPr>
            <a:ln xmlns:a="http://schemas.openxmlformats.org/drawingml/2006/main" w="12700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'CROQUIS_DATOS'!$P$8:$P$317</f>
            </numRef>
          </xVal>
          <yVal>
            <numRef>
              <f>'CROQUIS_DATOS'!$Q$8:$Q$317</f>
            </numRef>
          </yVal>
          <smooth val="0"/>
        </ser>
        <ser>
          <idx val="2"/>
          <order val="2"/>
          <tx>
            <strRef>
              <f>CROQUIS_DATOS!$A$1213</f>
            </strRef>
          </tx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'CROQUIS_DATOS'!$L$8:$L$71</f>
            </numRef>
          </xVal>
          <yVal>
            <numRef>
              <f>'CROQUIS_DATOS'!$M$8:$M$71</f>
            </numRef>
          </yVal>
          <smooth val="0"/>
        </ser>
        <ser>
          <idx val="3"/>
          <order val="3"/>
          <spPr>
            <a:ln xmlns:a="http://schemas.openxmlformats.org/drawingml/2006/main" w="635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'CROQUIS_DATOS'!$T$8:$T$287</f>
            </numRef>
          </xVal>
          <yVal>
            <numRef>
              <f>'CROQUIS_DATOS'!$U$8:$U$287</f>
            </numRef>
          </yVal>
          <smooth val="0"/>
        </ser>
        <ser>
          <idx val="4"/>
          <order val="4"/>
          <tx>
            <strRef>
              <f>CROQUIS_DATOS!$A$1216</f>
            </strRef>
          </tx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'CROQUIS_DATOS'!$R$8:$R$11</f>
            </numRef>
          </xVal>
          <yVal>
            <numRef>
              <f>'CROQUIS_DATOS'!$S$8:$S$11</f>
            </numRef>
          </yVal>
          <smooth val="0"/>
        </ser>
        <ser>
          <idx val="5"/>
          <order val="5"/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'CROQUIS_DATOS'!$X$8:$X$11</f>
            </numRef>
          </xVal>
          <yVal>
            <numRef>
              <f>'CROQUIS_DATOS'!$Y$8:$Y$11</f>
            </numRef>
          </yVal>
          <smooth val="0"/>
        </ser>
        <ser>
          <idx val="6"/>
          <order val="6"/>
          <spPr>
            <a:ln xmlns:a="http://schemas.openxmlformats.org/drawingml/2006/main" w="1587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'CROQUIS_DATOS'!$Z$8:$Z$9</f>
            </numRef>
          </xVal>
          <yVal>
            <numRef>
              <f>'CROQUIS_DATOS'!$AA$8:$AA$9</f>
            </numRef>
          </yVal>
          <smooth val="0"/>
        </ser>
        <ser>
          <idx val="7"/>
          <order val="7"/>
          <tx>
            <strRef>
              <f>CROQUIS_DATOS!$A$1212</f>
            </strRef>
          </tx>
          <spPr>
            <a:ln xmlns:a="http://schemas.openxmlformats.org/drawingml/2006/main" w="1587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'CROQUIS_DATOS'!$J$8:$J$71</f>
            </numRef>
          </xVal>
          <yVal>
            <numRef>
              <f>'CROQUIS_DATOS'!$K$8:$K$71</f>
            </numRef>
          </yVal>
          <smooth val="0"/>
        </ser>
        <ser>
          <idx val="8"/>
          <order val="8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'CROQUIS_DATOS'!$AL$8:$AL$12</f>
            </numRef>
          </xVal>
          <yVal>
            <numRef>
              <f>'CROQUIS_DATOS'!$AM$8:$AM$12</f>
            </numRef>
          </yVal>
          <smooth val="0"/>
        </ser>
        <ser>
          <idx val="9"/>
          <order val="9"/>
          <tx>
            <strRef>
              <f>CROQUIS_DATOS!$A$1219</f>
            </strRef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'CROQUIS_DATOS'!$AJ$8:$AJ$12</f>
            </numRef>
          </xVal>
          <yVal>
            <numRef>
              <f>'CROQUIS_DATOS'!$AK$8:$AK$12</f>
            </numRef>
          </yVal>
          <smooth val="0"/>
        </ser>
        <ser>
          <idx val="10"/>
          <order val="10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'CROQUIS_DATOS'!$AN$8:$AN$12</f>
            </numRef>
          </xVal>
          <yVal>
            <numRef>
              <f>'CROQUIS_DATOS'!$AO$8:$AO$12</f>
            </numRef>
          </yVal>
          <smooth val="0"/>
        </ser>
        <ser>
          <idx val="11"/>
          <order val="11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'CROQUIS_DATOS'!$AP$8:$AP$12</f>
            </numRef>
          </xVal>
          <yVal>
            <numRef>
              <f>'CROQUIS_DATOS'!$AQ$8:$AQ$12</f>
            </numRef>
          </yVal>
          <smooth val="0"/>
        </ser>
        <ser>
          <idx val="12"/>
          <order val="12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'CROQUIS_DATOS'!$AT$8:$AT$12</f>
            </numRef>
          </xVal>
          <yVal>
            <numRef>
              <f>'CROQUIS_DATOS'!$AU$8:$AU$12</f>
            </numRef>
          </yVal>
          <smooth val="0"/>
        </ser>
        <ser>
          <idx val="13"/>
          <order val="13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'CROQUIS_DATOS'!$AR$8:$AR$12</f>
            </numRef>
          </xVal>
          <yVal>
            <numRef>
              <f>'CROQUIS_DATOS'!$AS$8:$AS$12</f>
            </numRef>
          </yVal>
          <smooth val="0"/>
        </ser>
        <ser>
          <idx val="14"/>
          <order val="14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'CROQUIS_DATOS'!$AV$8:$AV$12</f>
            </numRef>
          </xVal>
          <yVal>
            <numRef>
              <f>'CROQUIS_DATOS'!$AW$8:$AW$12</f>
            </numRef>
          </yVal>
          <smooth val="0"/>
        </ser>
        <ser>
          <idx val="15"/>
          <order val="15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'CROQUIS_DATOS'!$AX$8:$AX$12</f>
            </numRef>
          </xVal>
          <yVal>
            <numRef>
              <f>'CROQUIS_DATOS'!$AY$8:$AY$12</f>
            </numRef>
          </yVal>
          <smooth val="0"/>
        </ser>
        <ser>
          <idx val="16"/>
          <order val="16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'CROQUIS_DATOS'!$BB$8:$BB$12</f>
            </numRef>
          </xVal>
          <yVal>
            <numRef>
              <f>'CROQUIS_DATOS'!$BC$8:$BC$12</f>
            </numRef>
          </yVal>
          <smooth val="0"/>
        </ser>
        <ser>
          <idx val="17"/>
          <order val="17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'CROQUIS_DATOS'!$AZ$8:$AZ$12</f>
            </numRef>
          </xVal>
          <yVal>
            <numRef>
              <f>'CROQUIS_DATOS'!$BA$8:$BA$12</f>
            </numRef>
          </yVal>
          <smooth val="0"/>
        </ser>
        <ser>
          <idx val="18"/>
          <order val="18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'CROQUIS_DATOS'!$BD$8:$BD$12</f>
            </numRef>
          </xVal>
          <yVal>
            <numRef>
              <f>'CROQUIS_DATOS'!$BE$8:$BE$12</f>
            </numRef>
          </yVal>
          <smooth val="0"/>
        </ser>
        <ser>
          <idx val="19"/>
          <order val="19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'CROQUIS_DATOS'!$BF$8:$BF$12</f>
            </numRef>
          </xVal>
          <yVal>
            <numRef>
              <f>'CROQUIS_DATOS'!$BG$8:$BG$12</f>
            </numRef>
          </yVal>
          <smooth val="0"/>
        </ser>
        <ser>
          <idx val="20"/>
          <order val="20"/>
          <spPr>
            <a:ln xmlns:a="http://schemas.openxmlformats.org/drawingml/2006/main" w="635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'CROQUIS_DATOS'!$BJ$8:$BJ$12</f>
            </numRef>
          </xVal>
          <yVal>
            <numRef>
              <f>'CROQUIS_DATOS'!$BK$8:$BK$12</f>
            </numRef>
          </yVal>
          <smooth val="0"/>
        </ser>
        <ser>
          <idx val="21"/>
          <order val="21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'CROQUIS_DATOS'!$BH$8:$BH$12</f>
            </numRef>
          </xVal>
          <yVal>
            <numRef>
              <f>'CROQUIS_DATOS'!$BI$8:$BI$12</f>
            </numRef>
          </yVal>
          <smooth val="0"/>
        </ser>
        <ser>
          <idx val="22"/>
          <order val="22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'CROQUIS_DATOS'!$BL$8:$BL$12</f>
            </numRef>
          </xVal>
          <yVal>
            <numRef>
              <f>'CROQUIS_DATOS'!$BM$8:$BM$12</f>
            </numRef>
          </yVal>
          <smooth val="0"/>
        </ser>
        <ser>
          <idx val="23"/>
          <order val="23"/>
          <spPr>
            <a:ln xmlns:a="http://schemas.openxmlformats.org/drawingml/2006/main" w="127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'CROQUIS_DATOS'!$BN$8:$BN$12</f>
            </numRef>
          </xVal>
          <yVal>
            <numRef>
              <f>'CROQUIS_DATOS'!$BO$8:$BO$12</f>
            </numRef>
          </yVal>
          <smooth val="0"/>
        </ser>
        <ser>
          <idx val="24"/>
          <order val="24"/>
          <spPr>
            <a:ln xmlns:a="http://schemas.openxmlformats.org/drawingml/2006/main" w="190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'CROQUIS_DATOS'!$V$8:$V$12</f>
            </numRef>
          </xVal>
          <yVal>
            <numRef>
              <f>'CROQUIS_DATOS'!$W$8:$W$12</f>
            </numRef>
          </yVal>
          <smooth val="0"/>
        </ser>
        <ser>
          <idx val="25"/>
          <order val="25"/>
          <tx>
            <strRef>
              <f>CROQUIS_DATOS!$A$1217</f>
            </strRef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'CROQUIS_DATOS'!$AB$8:$AB$12</f>
            </numRef>
          </xVal>
          <yVal>
            <numRef>
              <f>'CROQUIS_DATOS'!$AC$8:$AC$12</f>
            </numRef>
          </yVal>
          <smooth val="0"/>
        </ser>
        <ser>
          <idx val="26"/>
          <order val="26"/>
          <tx>
            <strRef>
              <f>CROQUIS_DATOS!$A$1218</f>
            </strRef>
          </tx>
          <spPr>
            <a:ln xmlns:a="http://schemas.openxmlformats.org/drawingml/2006/main" w="222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'CROQUIS_DATOS'!$AD$8:$AD$12</f>
            </numRef>
          </xVal>
          <yVal>
            <numRef>
              <f>'CROQUIS_DATOS'!$AE$8:$AE$12</f>
            </numRef>
          </yVal>
          <smooth val="0"/>
        </ser>
        <ser>
          <idx val="27"/>
          <order val="27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'CROQUIS_DATOS'!$AF$8:$AF$11</f>
            </numRef>
          </xVal>
          <yVal>
            <numRef>
              <f>'CROQUIS_DATOS'!$AG$8:$AG$11</f>
            </numRef>
          </yVal>
          <smooth val="0"/>
        </ser>
        <ser>
          <idx val="28"/>
          <order val="28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'CROQUIS_DATOS'!$AH$8:$AH$11</f>
            </numRef>
          </xVal>
          <yVal>
            <numRef>
              <f>'CROQUIS_DATOS'!$AI$8:$AI$11</f>
            </numRef>
          </yVal>
          <smooth val="0"/>
        </ser>
        <ser>
          <idx val="29"/>
          <order val="29"/>
          <tx>
            <strRef>
              <f>CROQUIS_DATOS!$A$1220</f>
            </strRef>
          </tx>
          <spPr>
            <a:ln xmlns:a="http://schemas.openxmlformats.org/drawingml/2006/main" w="2857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'CROQUIS_DATOS'!$BP$8:$BP$12</f>
            </numRef>
          </xVal>
          <yVal>
            <numRef>
              <f>'CROQUIS_DATOS'!$BQ$8:$BQ$12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45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3"/>
        <delete val="1"/>
      </legendEntry>
      <legendEntry>
        <idx val="5"/>
        <delete val="1"/>
      </legendEntry>
      <legendEntry>
        <idx val="6"/>
        <delete val="1"/>
      </legendEntry>
      <legendEntry>
        <idx val="8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3"/>
        <delete val="1"/>
      </legendEntry>
      <legendEntry>
        <idx val="14"/>
        <delete val="1"/>
      </legendEntry>
      <legendEntry>
        <idx val="15"/>
        <delete val="1"/>
      </legendEntry>
      <legendEntry>
        <idx val="16"/>
        <delete val="1"/>
      </legendEntry>
      <legendEntry>
        <idx val="17"/>
        <delete val="1"/>
      </legendEntry>
      <legendEntry>
        <idx val="18"/>
        <delete val="1"/>
      </legendEntry>
      <legendEntry>
        <idx val="19"/>
        <delete val="1"/>
      </legendEntry>
      <legendEntry>
        <idx val="20"/>
        <delete val="1"/>
      </legendEntry>
      <legendEntry>
        <idx val="21"/>
        <delete val="1"/>
      </legendEntry>
      <legendEntry>
        <idx val="22"/>
        <delete val="1"/>
      </legendEntry>
      <legendEntry>
        <idx val="23"/>
        <delete val="1"/>
      </legendEntry>
      <legendEntry>
        <idx val="24"/>
        <delete val="1"/>
      </legendEntry>
      <legendEntry>
        <idx val="27"/>
        <delete val="1"/>
      </legendEntry>
      <legendEntry>
        <idx val="28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ALZADO — SILUETA ACOTADA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184615384615385"/>
          <y val="0.09"/>
          <w val="0.7630769230769231"/>
          <h val="0.72"/>
        </manualLayout>
      </layout>
      <scatterChart>
        <scatterStyle val="lineMarker"/>
        <ser>
          <idx val="0"/>
          <order val="0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'CROQUIS_DATOS'!$BZ$8:$BZ$147</f>
            </numRef>
          </xVal>
          <yVal>
            <numRef>
              <f>'CROQUIS_DATOS'!$CA$8:$CA$147</f>
            </numRef>
          </yVal>
          <smooth val="0"/>
        </ser>
        <ser>
          <idx val="1"/>
          <order val="1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'CROQUIS_DATOS'!$CB$8:$CB$147</f>
            </numRef>
          </xVal>
          <yVal>
            <numRef>
              <f>'CROQUIS_DATOS'!$CC$8:$CC$147</f>
            </numRef>
          </yVal>
          <smooth val="0"/>
        </ser>
        <ser>
          <idx val="2"/>
          <order val="2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'CROQUIS_DATOS'!$CD$8:$CD$147</f>
            </numRef>
          </xVal>
          <yVal>
            <numRef>
              <f>'CROQUIS_DATOS'!$CE$8:$CE$147</f>
            </numRef>
          </yVal>
          <smooth val="0"/>
        </ser>
        <ser>
          <idx val="3"/>
          <order val="3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'CROQUIS_DATOS'!$CF$8:$CF$147</f>
            </numRef>
          </xVal>
          <yVal>
            <numRef>
              <f>'CROQUIS_DATOS'!$CG$8:$CG$147</f>
            </numRef>
          </yVal>
          <smooth val="0"/>
        </ser>
        <ser>
          <idx val="4"/>
          <order val="4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'CROQUIS_DATOS'!$CH$8:$CH$147</f>
            </numRef>
          </xVal>
          <yVal>
            <numRef>
              <f>'CROQUIS_DATOS'!$CI$8:$CI$147</f>
            </numRef>
          </yVal>
          <smooth val="0"/>
        </ser>
        <ser>
          <idx val="5"/>
          <order val="5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'CROQUIS_DATOS'!$CJ$8:$CJ$147</f>
            </numRef>
          </xVal>
          <yVal>
            <numRef>
              <f>'CROQUIS_DATOS'!$CK$8:$CK$147</f>
            </numRef>
          </yVal>
          <smooth val="0"/>
        </ser>
        <ser>
          <idx val="6"/>
          <order val="6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'CROQUIS_DATOS'!$CL$8:$CL$147</f>
            </numRef>
          </xVal>
          <yVal>
            <numRef>
              <f>'CROQUIS_DATOS'!$CM$8:$CM$147</f>
            </numRef>
          </yVal>
          <smooth val="0"/>
        </ser>
        <ser>
          <idx val="7"/>
          <order val="7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'CROQUIS_DATOS'!$CR$8:$CR$147</f>
            </numRef>
          </xVal>
          <yVal>
            <numRef>
              <f>'CROQUIS_DATOS'!$CS$8:$CS$147</f>
            </numRef>
          </yVal>
          <smooth val="0"/>
        </ser>
        <ser>
          <idx val="8"/>
          <order val="8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'CROQUIS_DATOS'!$CT$8:$CT$147</f>
            </numRef>
          </xVal>
          <yVal>
            <numRef>
              <f>'CROQUIS_DATOS'!$CU$8:$CU$147</f>
            </numRef>
          </yVal>
          <smooth val="0"/>
        </ser>
        <ser>
          <idx val="9"/>
          <order val="9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'CROQUIS_DATOS'!$CZ$8:$CZ$147</f>
            </numRef>
          </xVal>
          <yVal>
            <numRef>
              <f>'CROQUIS_DATOS'!$DA$8:$DA$147</f>
            </numRef>
          </yVal>
          <smooth val="0"/>
        </ser>
        <ser>
          <idx val="10"/>
          <order val="10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'CROQUIS_DATOS'!$DB$8:$DB$147</f>
            </numRef>
          </xVal>
          <yVal>
            <numRef>
              <f>'CROQUIS_DATOS'!$DC$8:$DC$147</f>
            </numRef>
          </yVal>
          <smooth val="0"/>
        </ser>
        <ser>
          <idx val="11"/>
          <order val="11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'CROQUIS_DATOS'!$DH$8:$DH$147</f>
            </numRef>
          </xVal>
          <yVal>
            <numRef>
              <f>'CROQUIS_DATOS'!$DI$8:$DI$147</f>
            </numRef>
          </yVal>
          <smooth val="0"/>
        </ser>
        <ser>
          <idx val="12"/>
          <order val="12"/>
          <spPr>
            <a:ln xmlns:a="http://schemas.openxmlformats.org/drawingml/2006/main" w="635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'CROQUIS_DATOS'!$DJ$8:$DJ$147</f>
            </numRef>
          </xVal>
          <yVal>
            <numRef>
              <f>'CROQUIS_DATOS'!$DK$8:$DK$147</f>
            </numRef>
          </yVal>
          <smooth val="0"/>
        </ser>
        <ser>
          <idx val="13"/>
          <order val="13"/>
          <tx>
            <strRef>
              <f>CROQUIS_DATOS!$A$1222</f>
            </strRef>
          </tx>
          <spPr>
            <a:ln xmlns:a="http://schemas.openxmlformats.org/drawingml/2006/main" w="15875">
              <a:solidFill>
                <a:srgbClr val="8EA9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'CROQUIS_DATOS'!$BT$8:$BT$12</f>
            </numRef>
          </xVal>
          <yVal>
            <numRef>
              <f>'CROQUIS_DATOS'!$BU$8:$BU$12</f>
            </numRef>
          </yVal>
          <smooth val="0"/>
        </ser>
        <ser>
          <idx val="14"/>
          <order val="14"/>
          <tx>
            <strRef>
              <f>CROQUIS_DATOS!$A$1223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'CROQUIS_DATOS'!$BV$8:$BV$12</f>
            </numRef>
          </xVal>
          <yVal>
            <numRef>
              <f>'CROQUIS_DATOS'!$BW$8:$BW$12</f>
            </numRef>
          </yVal>
          <smooth val="0"/>
        </ser>
        <ser>
          <idx val="15"/>
          <order val="15"/>
          <tx>
            <strRef>
              <f>CROQUIS_DATOS!$A$1224</f>
            </strRef>
          </tx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'CROQUIS_DATOS'!$BX$8:$BX$12</f>
            </numRef>
          </xVal>
          <yVal>
            <numRef>
              <f>'CROQUIS_DATOS'!$BY$8:$BY$12</f>
            </numRef>
          </yVal>
          <smooth val="0"/>
        </ser>
        <ser>
          <idx val="16"/>
          <order val="16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'CROQUIS_DATOS'!$CN$8:$CN$12</f>
            </numRef>
          </xVal>
          <yVal>
            <numRef>
              <f>'CROQUIS_DATOS'!$CO$8:$CO$12</f>
            </numRef>
          </yVal>
          <smooth val="0"/>
        </ser>
        <ser>
          <idx val="17"/>
          <order val="17"/>
          <tx>
            <strRef>
              <f>CROQUIS_DATOS!$A$1225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'CROQUIS_DATOS'!$CP$8</f>
            </numRef>
          </xVal>
          <yVal>
            <numRef>
              <f>'CROQUIS_DATOS'!$CQ$8</f>
            </numRef>
          </yVal>
          <smooth val="0"/>
        </ser>
        <ser>
          <idx val="18"/>
          <order val="18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'CROQUIS_DATOS'!$CV$8:$CV$12</f>
            </numRef>
          </xVal>
          <yVal>
            <numRef>
              <f>'CROQUIS_DATOS'!$CW$8:$CW$12</f>
            </numRef>
          </yVal>
          <smooth val="0"/>
        </ser>
        <ser>
          <idx val="19"/>
          <order val="19"/>
          <tx>
            <strRef>
              <f>CROQUIS_DATOS!$A$1226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'CROQUIS_DATOS'!$CX$8</f>
            </numRef>
          </xVal>
          <yVal>
            <numRef>
              <f>'CROQUIS_DATOS'!$CY$8</f>
            </numRef>
          </yVal>
          <smooth val="0"/>
        </ser>
        <ser>
          <idx val="20"/>
          <order val="20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'CROQUIS_DATOS'!$DD$8:$DD$12</f>
            </numRef>
          </xVal>
          <yVal>
            <numRef>
              <f>'CROQUIS_DATOS'!$DE$8:$DE$12</f>
            </numRef>
          </yVal>
          <smooth val="0"/>
        </ser>
        <ser>
          <idx val="21"/>
          <order val="21"/>
          <tx>
            <strRef>
              <f>CROQUIS_DATOS!$A$1227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'CROQUIS_DATOS'!$DF$8</f>
            </numRef>
          </xVal>
          <yVal>
            <numRef>
              <f>'CROQUIS_DATOS'!$DG$8</f>
            </numRef>
          </yVal>
          <smooth val="0"/>
        </ser>
        <ser>
          <idx val="22"/>
          <order val="22"/>
          <spPr>
            <a:ln xmlns:a="http://schemas.openxmlformats.org/drawingml/2006/main" w="1587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'CROQUIS_DATOS'!$DL$8:$DL$12</f>
            </numRef>
          </xVal>
          <yVal>
            <numRef>
              <f>'CROQUIS_DATOS'!$DM$8:$DM$12</f>
            </numRef>
          </yVal>
          <smooth val="0"/>
        </ser>
        <ser>
          <idx val="23"/>
          <order val="23"/>
          <tx>
            <strRef>
              <f>CROQUIS_DATOS!$A$1228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 rot="-5400000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ct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'CROQUIS_DATOS'!$DN$8</f>
            </numRef>
          </xVal>
          <yVal>
            <numRef>
              <f>'CROQUIS_DATOS'!$DO$8</f>
            </numRef>
          </yVal>
          <smooth val="0"/>
        </ser>
        <ser>
          <idx val="24"/>
          <order val="24"/>
          <tx>
            <strRef>
              <f>CROQUIS_DATOS!$A$1221</f>
            </strRef>
          </tx>
          <spPr>
            <a:ln xmlns:a="http://schemas.openxmlformats.org/drawingml/2006/main" w="254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'CROQUIS_DATOS'!$BR$8:$BR$12</f>
            </numRef>
          </xVal>
          <yVal>
            <numRef>
              <f>'CROQUIS_DATOS'!$BS$8:$BS$12</f>
            </numRef>
          </yVal>
          <smooth val="0"/>
        </ser>
        <ser>
          <idx val="25"/>
          <order val="25"/>
          <tx>
            <strRef>
              <f>CROQUIS_DATOS!$A$1246</f>
            </strRef>
          </tx>
          <spPr>
            <a:ln xmlns:a="http://schemas.openxmlformats.org/drawingml/2006/main" w="15875">
              <a:solidFill>
                <a:srgbClr val="ED7D31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'CROQUIS_DATOS'!$EX$8:$EX$9</f>
            </numRef>
          </xVal>
          <yVal>
            <numRef>
              <f>'CROQUIS_DATOS'!$EY$8:$EY$9</f>
            </numRef>
          </yVal>
          <smooth val="0"/>
        </ser>
        <ser>
          <idx val="26"/>
          <order val="26"/>
          <tx>
            <strRef>
              <f>CROQUIS_DATOS!$A$1245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1F3864"/>
                </a:solidFill>
                <a:prstDash val="solid"/>
              </a:ln>
            </spPr>
          </marker>
          <xVal>
            <numRef>
              <f>'CROQUIS_DATOS'!$EV$8:$EV$23</f>
            </numRef>
          </xVal>
          <yVal>
            <numRef>
              <f>'CROQUIS_DATOS'!$EW$8:$EW$23</f>
            </numRef>
          </yVal>
          <smooth val="0"/>
        </ser>
        <ser>
          <idx val="27"/>
          <order val="27"/>
          <tx>
            <strRef>
              <f>CROQUIS_DATOS!$A$1229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'CROQUIS_DATOS'!$DP$8:$DP$14</f>
            </numRef>
          </xVal>
          <yVal>
            <numRef>
              <f>'CROQUIS_DATOS'!$DQ$8:$DQ$14</f>
            </numRef>
          </yVal>
          <smooth val="0"/>
        </ser>
        <ser>
          <idx val="28"/>
          <order val="28"/>
          <tx>
            <strRef>
              <f>CROQUIS_DATOS!$A$1230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'CROQUIS_DATOS'!$DR$8:$DR$14</f>
            </numRef>
          </xVal>
          <yVal>
            <numRef>
              <f>'CROQUIS_DATOS'!$DS$8:$DS$14</f>
            </numRef>
          </yVal>
          <smooth val="0"/>
        </ser>
        <ser>
          <idx val="29"/>
          <order val="29"/>
          <tx>
            <strRef>
              <f>CROQUIS_DATOS!$A$1231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'CROQUIS_DATOS'!$DT$8:$DT$14</f>
            </numRef>
          </xVal>
          <yVal>
            <numRef>
              <f>'CROQUIS_DATOS'!$DU$8:$DU$14</f>
            </numRef>
          </yVal>
          <smooth val="0"/>
        </ser>
        <ser>
          <idx val="30"/>
          <order val="30"/>
          <tx>
            <strRef>
              <f>CROQUIS_DATOS!$A$1232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'CROQUIS_DATOS'!$DV$8:$DV$14</f>
            </numRef>
          </xVal>
          <yVal>
            <numRef>
              <f>'CROQUIS_DATOS'!$DW$8:$DW$14</f>
            </numRef>
          </yVal>
          <smooth val="0"/>
        </ser>
        <ser>
          <idx val="31"/>
          <order val="31"/>
          <tx>
            <strRef>
              <f>CROQUIS_DATOS!$A$1233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'CROQUIS_DATOS'!$DX$8:$DX$14</f>
            </numRef>
          </xVal>
          <yVal>
            <numRef>
              <f>'CROQUIS_DATOS'!$DY$8:$DY$14</f>
            </numRef>
          </yVal>
          <smooth val="0"/>
        </ser>
        <ser>
          <idx val="32"/>
          <order val="32"/>
          <tx>
            <strRef>
              <f>CROQUIS_DATOS!$A$1234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'CROQUIS_DATOS'!$DZ$8:$DZ$14</f>
            </numRef>
          </xVal>
          <yVal>
            <numRef>
              <f>'CROQUIS_DATOS'!$EA$8:$EA$14</f>
            </numRef>
          </yVal>
          <smooth val="0"/>
        </ser>
        <ser>
          <idx val="33"/>
          <order val="33"/>
          <tx>
            <strRef>
              <f>CROQUIS_DATOS!$A$1235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'CROQUIS_DATOS'!$EB$8:$EB$14</f>
            </numRef>
          </xVal>
          <yVal>
            <numRef>
              <f>'CROQUIS_DATOS'!$EC$8:$EC$14</f>
            </numRef>
          </yVal>
          <smooth val="0"/>
        </ser>
        <ser>
          <idx val="34"/>
          <order val="34"/>
          <tx>
            <strRef>
              <f>CROQUIS_DATOS!$A$1236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'CROQUIS_DATOS'!$ED$8:$ED$14</f>
            </numRef>
          </xVal>
          <yVal>
            <numRef>
              <f>'CROQUIS_DATOS'!$EE$8:$EE$14</f>
            </numRef>
          </yVal>
          <smooth val="0"/>
        </ser>
        <ser>
          <idx val="35"/>
          <order val="35"/>
          <tx>
            <strRef>
              <f>CROQUIS_DATOS!$A$1237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'CROQUIS_DATOS'!$EF$8:$EF$14</f>
            </numRef>
          </xVal>
          <yVal>
            <numRef>
              <f>'CROQUIS_DATOS'!$EG$8:$EG$14</f>
            </numRef>
          </yVal>
          <smooth val="0"/>
        </ser>
        <ser>
          <idx val="36"/>
          <order val="36"/>
          <tx>
            <strRef>
              <f>CROQUIS_DATOS!$A$1238</f>
            </strRef>
          </tx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'CROQUIS_DATOS'!$EH$8:$EH$14</f>
            </numRef>
          </xVal>
          <yVal>
            <numRef>
              <f>'CROQUIS_DATOS'!$EI$8:$EI$14</f>
            </numRef>
          </yVal>
          <smooth val="0"/>
        </ser>
        <ser>
          <idx val="37"/>
          <order val="37"/>
          <tx>
            <strRef>
              <f>CROQUIS_DATOS!$A$1239</f>
            </strRef>
          </tx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50" b="0"/>
                  </a:pPr>
                  <a:r>
                    <a:t/>
                  </a:r>
                  <a:endParaRPr sz="750" b="0"/>
                </a:p>
              </txPr>
              <dLblPos val="l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'CROQUIS_DATOS'!$EJ$8:$EJ$14</f>
            </numRef>
          </xVal>
          <yVal>
            <numRef>
              <f>'CROQUIS_DATOS'!$EK$8:$EK$14</f>
            </numRef>
          </yVal>
          <smooth val="0"/>
        </ser>
        <ser>
          <idx val="38"/>
          <order val="38"/>
          <tx>
            <strRef>
              <f>CROQUIS_DATOS!$A$1240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'CROQUIS_DATOS'!$EL$8:$EL$14</f>
            </numRef>
          </xVal>
          <yVal>
            <numRef>
              <f>'CROQUIS_DATOS'!$EM$8:$EM$14</f>
            </numRef>
          </yVal>
          <smooth val="0"/>
        </ser>
        <ser>
          <idx val="39"/>
          <order val="39"/>
          <tx>
            <strRef>
              <f>CROQUIS_DATOS!$A$1241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'CROQUIS_DATOS'!$EN$8:$EN$14</f>
            </numRef>
          </xVal>
          <yVal>
            <numRef>
              <f>'CROQUIS_DATOS'!$EO$8:$EO$14</f>
            </numRef>
          </yVal>
          <smooth val="0"/>
        </ser>
        <ser>
          <idx val="40"/>
          <order val="40"/>
          <tx>
            <strRef>
              <f>CROQUIS_DATOS!$A$1242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'CROQUIS_DATOS'!$EP$8:$EP$14</f>
            </numRef>
          </xVal>
          <yVal>
            <numRef>
              <f>'CROQUIS_DATOS'!$EQ$8:$EQ$14</f>
            </numRef>
          </yVal>
          <smooth val="0"/>
        </ser>
        <ser>
          <idx val="41"/>
          <order val="41"/>
          <tx>
            <strRef>
              <f>CROQUIS_DATOS!$A$1243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'CROQUIS_DATOS'!$ER$8:$ER$14</f>
            </numRef>
          </xVal>
          <yVal>
            <numRef>
              <f>'CROQUIS_DATOS'!$ES$8:$ES$14</f>
            </numRef>
          </yVal>
          <smooth val="0"/>
        </ser>
        <ser>
          <idx val="42"/>
          <order val="42"/>
          <tx>
            <strRef>
              <f>CROQUIS_DATOS!$A$1244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'CROQUIS_DATOS'!$ET$8:$ET$14</f>
            </numRef>
          </xVal>
          <yVal>
            <numRef>
              <f>'CROQUIS_DATOS'!$EU$8:$EU$14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45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0"/>
        <delete val="1"/>
      </legendEntry>
      <legendEntry>
        <idx val="1"/>
        <delete val="1"/>
      </legendEntry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6"/>
        <delete val="1"/>
      </legendEntry>
      <legendEntry>
        <idx val="17"/>
        <delete val="1"/>
      </legendEntry>
      <legendEntry>
        <idx val="18"/>
        <delete val="1"/>
      </legendEntry>
      <legendEntry>
        <idx val="19"/>
        <delete val="1"/>
      </legendEntry>
      <legendEntry>
        <idx val="20"/>
        <delete val="1"/>
      </legendEntry>
      <legendEntry>
        <idx val="21"/>
        <delete val="1"/>
      </legendEntry>
      <legendEntry>
        <idx val="22"/>
        <delete val="1"/>
      </legendEntry>
      <legendEntry>
        <idx val="23"/>
        <delete val="1"/>
      </legendEntry>
      <legendEntry>
        <idx val="27"/>
        <delete val="1"/>
      </legendEntry>
      <legendEntry>
        <idx val="28"/>
        <delete val="1"/>
      </legendEntry>
      <legendEntry>
        <idx val="29"/>
        <delete val="1"/>
      </legendEntry>
      <legendEntry>
        <idx val="30"/>
        <delete val="1"/>
      </legendEntry>
      <legendEntry>
        <idx val="31"/>
        <delete val="1"/>
      </legendEntry>
      <legendEntry>
        <idx val="32"/>
        <delete val="1"/>
      </legendEntry>
      <legendEntry>
        <idx val="33"/>
        <delete val="1"/>
      </legendEntry>
      <legendEntry>
        <idx val="34"/>
        <delete val="1"/>
      </legendEntry>
      <legendEntry>
        <idx val="35"/>
        <delete val="1"/>
      </legendEntry>
      <legendEntry>
        <idx val="36"/>
        <delete val="1"/>
      </legendEntry>
      <legendEntry>
        <idx val="37"/>
        <delete val="1"/>
      </legendEntry>
      <legendEntry>
        <idx val="38"/>
        <delete val="1"/>
      </legendEntry>
      <legendEntry>
        <idx val="39"/>
        <delete val="1"/>
      </legendEntry>
      <legendEntry>
        <idx val="40"/>
        <delete val="1"/>
      </legendEntry>
      <legendEntry>
        <idx val="41"/>
        <delete val="1"/>
      </legendEntry>
      <legendEntry>
        <idx val="42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PLANTA — SECCIÓN CRÍTICA (espesor exagerado)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307692307692307"/>
          <y val="0.11"/>
          <w val="0.7384615384615386"/>
          <h val="0.64"/>
        </manualLayout>
      </layout>
      <scatterChart>
        <scatterStyle val="lineMarker"/>
        <ser>
          <idx val="0"/>
          <order val="0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'CROQUIS_DATOS'!$EZ$8:$EZ$12</f>
            </numRef>
          </xVal>
          <yVal>
            <numRef>
              <f>'CROQUIS_DATOS'!$FA$8:$FA$12</f>
            </numRef>
          </yVal>
          <smooth val="0"/>
        </ser>
        <ser>
          <idx val="1"/>
          <order val="1"/>
          <tx>
            <strRef>
              <f>CROQUIS_DATOS!$A$1247</f>
            </strRef>
          </tx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'CROQUIS_DATOS'!$FB$8:$FB$12</f>
            </numRef>
          </xVal>
          <yVal>
            <numRef>
              <f>'CROQUIS_DATOS'!$FC$8:$FC$12</f>
            </numRef>
          </yVal>
          <smooth val="0"/>
        </ser>
        <ser>
          <idx val="2"/>
          <order val="2"/>
          <tx>
            <strRef>
              <f>CROQUIS_DATOS!$A$1248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'CROQUIS_DATOS'!$FD$8</f>
            </numRef>
          </xVal>
          <yVal>
            <numRef>
              <f>'CROQUIS_DATOS'!$FE$8</f>
            </numRef>
          </yVal>
          <smooth val="0"/>
        </ser>
        <ser>
          <idx val="3"/>
          <order val="3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'CROQUIS_DATOS'!$FF$8:$FF$12</f>
            </numRef>
          </xVal>
          <yVal>
            <numRef>
              <f>'CROQUIS_DATOS'!$FG$8:$FG$12</f>
            </numRef>
          </yVal>
          <smooth val="0"/>
        </ser>
        <ser>
          <idx val="4"/>
          <order val="4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'CROQUIS_DATOS'!$FH$8:$FH$12</f>
            </numRef>
          </xVal>
          <yVal>
            <numRef>
              <f>'CROQUIS_DATOS'!$FI$8:$FI$12</f>
            </numRef>
          </yVal>
          <smooth val="0"/>
        </ser>
        <ser>
          <idx val="5"/>
          <order val="5"/>
          <tx>
            <strRef>
              <f>CROQUIS_DATOS!$A$1249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'CROQUIS_DATOS'!$FJ$8</f>
            </numRef>
          </xVal>
          <yVal>
            <numRef>
              <f>'CROQUIS_DATOS'!$FK$8</f>
            </numRef>
          </yVal>
          <smooth val="0"/>
        </ser>
        <ser>
          <idx val="6"/>
          <order val="6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'CROQUIS_DATOS'!$FL$8:$FL$12</f>
            </numRef>
          </xVal>
          <yVal>
            <numRef>
              <f>'CROQUIS_DATOS'!$FM$8:$FM$12</f>
            </numRef>
          </yVal>
          <smooth val="0"/>
        </ser>
        <ser>
          <idx val="7"/>
          <order val="7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'CROQUIS_DATOS'!$FN$8:$FN$12</f>
            </numRef>
          </xVal>
          <yVal>
            <numRef>
              <f>'CROQUIS_DATOS'!$FO$8:$FO$12</f>
            </numRef>
          </yVal>
          <smooth val="0"/>
        </ser>
        <ser>
          <idx val="8"/>
          <order val="8"/>
          <tx>
            <strRef>
              <f>CROQUIS_DATOS!$A$1250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'CROQUIS_DATOS'!$FP$8</f>
            </numRef>
          </xVal>
          <yVal>
            <numRef>
              <f>'CROQUIS_DATOS'!$FQ$8</f>
            </numRef>
          </yVal>
          <smooth val="0"/>
        </ser>
        <ser>
          <idx val="9"/>
          <order val="9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'CROQUIS_DATOS'!$FR$8:$FR$12</f>
            </numRef>
          </xVal>
          <yVal>
            <numRef>
              <f>'CROQUIS_DATOS'!$FS$8:$FS$12</f>
            </numRef>
          </yVal>
          <smooth val="0"/>
        </ser>
        <ser>
          <idx val="10"/>
          <order val="10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'CROQUIS_DATOS'!$FT$8:$FT$12</f>
            </numRef>
          </xVal>
          <yVal>
            <numRef>
              <f>'CROQUIS_DATOS'!$FU$8:$FU$12</f>
            </numRef>
          </yVal>
          <smooth val="0"/>
        </ser>
        <ser>
          <idx val="11"/>
          <order val="11"/>
          <tx>
            <strRef>
              <f>CROQUIS_DATOS!$A$1251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'CROQUIS_DATOS'!$FV$8</f>
            </numRef>
          </xVal>
          <yVal>
            <numRef>
              <f>'CROQUIS_DATOS'!$FW$8</f>
            </numRef>
          </yVal>
          <smooth val="0"/>
        </ser>
        <ser>
          <idx val="12"/>
          <order val="12"/>
          <spPr>
            <a:ln xmlns:a="http://schemas.openxmlformats.org/drawingml/2006/main" w="22225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'CROQUIS_DATOS'!$FX$8:$FX$12</f>
            </numRef>
          </xVal>
          <yVal>
            <numRef>
              <f>'CROQUIS_DATOS'!$FY$8:$FY$12</f>
            </numRef>
          </yVal>
          <smooth val="0"/>
        </ser>
        <ser>
          <idx val="13"/>
          <order val="13"/>
          <spPr>
            <a:ln xmlns:a="http://schemas.openxmlformats.org/drawingml/2006/main" w="15875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'CROQUIS_DATOS'!$FZ$8:$FZ$12</f>
            </numRef>
          </xVal>
          <yVal>
            <numRef>
              <f>'CROQUIS_DATOS'!$GA$8:$GA$12</f>
            </numRef>
          </yVal>
          <smooth val="0"/>
        </ser>
        <ser>
          <idx val="14"/>
          <order val="14"/>
          <tx>
            <strRef>
              <f>CROQUIS_DATOS!$A$1252</f>
            </strRef>
          </tx>
          <spPr>
            <a:ln xmlns:a="http://schemas.openxmlformats.org/drawingml/2006/main" w="635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'CROQUIS_DATOS'!$GB$8</f>
            </numRef>
          </xVal>
          <yVal>
            <numRef>
              <f>'CROQUIS_DATOS'!$GC$8</f>
            </numRef>
          </yVal>
          <smooth val="0"/>
        </ser>
        <ser>
          <idx val="15"/>
          <order val="15"/>
          <tx>
            <strRef>
              <f>CROQUIS_DATOS!$A$1253</f>
            </strRef>
          </tx>
          <spPr>
            <a:ln xmlns:a="http://schemas.openxmlformats.org/drawingml/2006/main" w="127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'CROQUIS_DATOS'!$GD$8:$GD$87</f>
            </numRef>
          </xVal>
          <yVal>
            <numRef>
              <f>'CROQUIS_DATOS'!$GE$8:$GE$87</f>
            </numRef>
          </yVal>
          <smooth val="0"/>
        </ser>
        <ser>
          <idx val="16"/>
          <order val="1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'CROQUIS_DATOS'!$GF$8:$GF$71</f>
            </numRef>
          </xVal>
          <yVal>
            <numRef>
              <f>'CROQUIS_DATOS'!$GG$8:$GG$71</f>
            </numRef>
          </yVal>
          <smooth val="0"/>
        </ser>
        <ser>
          <idx val="17"/>
          <order val="17"/>
          <tx>
            <strRef>
              <f>CROQUIS_DATOS!$A$1254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'CROQUIS_DATOS'!$GH$8:$GH$14</f>
            </numRef>
          </xVal>
          <yVal>
            <numRef>
              <f>'CROQUIS_DATOS'!$GI$8:$GI$14</f>
            </numRef>
          </yVal>
          <smooth val="0"/>
        </ser>
        <ser>
          <idx val="18"/>
          <order val="18"/>
          <tx>
            <strRef>
              <f>CROQUIS_DATOS!$A$1255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'CROQUIS_DATOS'!$GJ$8:$GJ$14</f>
            </numRef>
          </xVal>
          <yVal>
            <numRef>
              <f>'CROQUIS_DATOS'!$GK$8:$GK$14</f>
            </numRef>
          </yVal>
          <smooth val="0"/>
        </ser>
        <ser>
          <idx val="19"/>
          <order val="19"/>
          <tx>
            <strRef>
              <f>CROQUIS_DATOS!$A$1256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'CROQUIS_DATOS'!$GL$8:$GL$14</f>
            </numRef>
          </xVal>
          <yVal>
            <numRef>
              <f>'CROQUIS_DATOS'!$GM$8:$GM$14</f>
            </numRef>
          </yVal>
          <smooth val="0"/>
        </ser>
        <ser>
          <idx val="20"/>
          <order val="20"/>
          <tx>
            <strRef>
              <f>CROQUIS_DATOS!$A$1257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'CROQUIS_DATOS'!$GN$8:$GN$14</f>
            </numRef>
          </xVal>
          <yVal>
            <numRef>
              <f>'CROQUIS_DATOS'!$GO$8:$GO$14</f>
            </numRef>
          </yVal>
          <smooth val="0"/>
        </ser>
        <ser>
          <idx val="21"/>
          <order val="21"/>
          <tx>
            <strRef>
              <f>CROQUIS_DATOS!$A$1258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'CROQUIS_DATOS'!$GP$8:$GP$14</f>
            </numRef>
          </xVal>
          <yVal>
            <numRef>
              <f>'CROQUIS_DATOS'!$GQ$8:$GQ$14</f>
            </numRef>
          </yVal>
          <smooth val="0"/>
        </ser>
        <ser>
          <idx val="22"/>
          <order val="22"/>
          <tx>
            <strRef>
              <f>CROQUIS_DATOS!$A$1259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'CROQUIS_DATOS'!$GR$8:$GR$14</f>
            </numRef>
          </xVal>
          <yVal>
            <numRef>
              <f>'CROQUIS_DATOS'!$GS$8:$GS$14</f>
            </numRef>
          </yVal>
          <smooth val="0"/>
        </ser>
        <ser>
          <idx val="23"/>
          <order val="23"/>
          <tx>
            <strRef>
              <f>CROQUIS_DATOS!$A$1260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'CROQUIS_DATOS'!$GT$8:$GT$14</f>
            </numRef>
          </xVal>
          <yVal>
            <numRef>
              <f>'CROQUIS_DATOS'!$GU$8:$GU$14</f>
            </numRef>
          </yVal>
          <smooth val="0"/>
        </ser>
        <ser>
          <idx val="24"/>
          <order val="24"/>
          <tx>
            <strRef>
              <f>CROQUIS_DATOS!$A$1261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'CROQUIS_DATOS'!$GV$8:$GV$14</f>
            </numRef>
          </xVal>
          <yVal>
            <numRef>
              <f>'CROQUIS_DATOS'!$GW$8:$GW$14</f>
            </numRef>
          </yVal>
          <smooth val="0"/>
        </ser>
        <ser>
          <idx val="25"/>
          <order val="25"/>
          <tx>
            <strRef>
              <f>CROQUIS_DATOS!$A$1262</f>
            </strRef>
          </tx>
          <spPr>
            <a:ln xmlns:a="http://schemas.openxmlformats.org/drawingml/2006/main" w="9525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'CROQUIS_DATOS'!$GX$8:$GX$14</f>
            </numRef>
          </xVal>
          <yVal>
            <numRef>
              <f>'CROQUIS_DATOS'!$GY$8:$GY$14</f>
            </numRef>
          </yVal>
          <smooth val="0"/>
        </ser>
        <ser>
          <idx val="26"/>
          <order val="26"/>
          <tx>
            <strRef>
              <f>CROQUIS_DATOS!$A$1263</f>
            </strRef>
          </tx>
          <spPr>
            <a:ln xmlns:a="http://schemas.openxmlformats.org/drawingml/2006/main" w="9525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'CROQUIS_DATOS'!$GZ$8:$GZ$14</f>
            </numRef>
          </xVal>
          <yVal>
            <numRef>
              <f>'CROQUIS_DATOS'!$HA$8:$HA$14</f>
            </numRef>
          </yVal>
          <smooth val="0"/>
        </ser>
        <ser>
          <idx val="27"/>
          <order val="27"/>
          <tx>
            <strRef>
              <f>CROQUIS_DATOS!$A$1264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600" b="0"/>
                  </a:pPr>
                  <a:r>
                    <a:t/>
                  </a:r>
                  <a:endParaRPr sz="600" b="0"/>
                </a:p>
              </txPr>
              <dLblPos val="l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'CROQUIS_DATOS'!$HB$8:$HB$14</f>
            </numRef>
          </xVal>
          <yVal>
            <numRef>
              <f>'CROQUIS_DATOS'!$HC$8:$HC$14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24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0"/>
        <delete val="1"/>
      </legendEntry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legendEntry>
        <idx val="12"/>
        <delete val="1"/>
      </legendEntry>
      <legendEntry>
        <idx val="13"/>
        <delete val="1"/>
      </legendEntry>
      <legendEntry>
        <idx val="14"/>
        <delete val="1"/>
      </legendEntry>
      <legendEntry>
        <idx val="16"/>
        <delete val="1"/>
      </legendEntry>
      <legendEntry>
        <idx val="17"/>
        <delete val="1"/>
      </legendEntry>
      <legendEntry>
        <idx val="18"/>
        <delete val="1"/>
      </legendEntry>
      <legendEntry>
        <idx val="19"/>
        <delete val="1"/>
      </legendEntry>
      <legendEntry>
        <idx val="20"/>
        <delete val="1"/>
      </legendEntry>
      <legendEntry>
        <idx val="21"/>
        <delete val="1"/>
      </legendEntry>
      <legendEntry>
        <idx val="22"/>
        <delete val="1"/>
      </legendEntry>
      <legendEntry>
        <idx val="23"/>
        <delete val="1"/>
      </legendEntry>
      <legendEntry>
        <idx val="24"/>
        <delete val="1"/>
      </legendEntry>
      <legendEntry>
        <idx val="25"/>
        <delete val="1"/>
      </legendEntry>
      <legendEntry>
        <idx val="26"/>
        <delete val="1"/>
      </legendEntry>
      <legendEntry>
        <idx val="27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F3864"/>
                </a:solidFill>
              </a:defRPr>
            </a:pPr>
            <a:r>
              <a:rPr sz="1000" b="1">
                <a:solidFill>
                  <a:srgbClr val="1F3864"/>
                </a:solidFill>
              </a:rPr>
              <a:t>SECCIONES — CASTILLO Y DALA (cm)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7587064676616917"/>
          <y val="0.09"/>
          <w val="0.8482587064676617"/>
          <h val="0.62"/>
        </manualLayout>
      </layout>
      <scatterChart>
        <scatterStyle val="lineMarker"/>
        <ser>
          <idx val="0"/>
          <order val="0"/>
          <tx>
            <strRef>
              <f>CROQUIS_DATOS!$A$1268</f>
            </strRef>
          </tx>
          <spPr>
            <a:ln xmlns:a="http://schemas.openxmlformats.org/drawingml/2006/main" w="1270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'CROQUIS_DATOS'!$HN$8:$HN$11</f>
            </numRef>
          </xVal>
          <yVal>
            <numRef>
              <f>'CROQUIS_DATOS'!$HO$8:$HO$11</f>
            </numRef>
          </yVal>
          <smooth val="0"/>
        </ser>
        <ser>
          <idx val="1"/>
          <order val="1"/>
          <tx>
            <strRef>
              <f>CROQUIS_DATOS!$A$1265</f>
            </strRef>
          </tx>
          <spPr>
            <a:ln xmlns:a="http://schemas.openxmlformats.org/drawingml/2006/main" w="254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'CROQUIS_DATOS'!$HD$8:$HD$12</f>
            </numRef>
          </xVal>
          <yVal>
            <numRef>
              <f>'CROQUIS_DATOS'!$HE$8:$HE$12</f>
            </numRef>
          </yVal>
          <smooth val="0"/>
        </ser>
        <ser>
          <idx val="2"/>
          <order val="2"/>
          <spPr>
            <a:ln xmlns:a="http://schemas.openxmlformats.org/drawingml/2006/main" w="15875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'CROQUIS_DATOS'!$HF$8:$HF$15</f>
            </numRef>
          </xVal>
          <yVal>
            <numRef>
              <f>'CROQUIS_DATOS'!$HG$8:$HG$15</f>
            </numRef>
          </yVal>
          <smooth val="0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'CROQUIS_DATOS'!$HH$8:$HH$15</f>
            </numRef>
          </xVal>
          <yVal>
            <numRef>
              <f>'CROQUIS_DATOS'!$HI$8:$HI$15</f>
            </numRef>
          </yVal>
          <smooth val="0"/>
        </ser>
        <ser>
          <idx val="4"/>
          <order val="4"/>
          <tx>
            <strRef>
              <f>CROQUIS_DATOS!$A$1269</f>
            </strRef>
          </tx>
          <spPr>
            <a:ln xmlns:a="http://schemas.openxmlformats.org/drawingml/2006/main" w="254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'CROQUIS_DATOS'!$HP$8:$HP$12</f>
            </numRef>
          </xVal>
          <yVal>
            <numRef>
              <f>'CROQUIS_DATOS'!$HQ$8:$HQ$12</f>
            </numRef>
          </yVal>
          <smooth val="0"/>
        </ser>
        <ser>
          <idx val="5"/>
          <order val="5"/>
          <spPr>
            <a:ln xmlns:a="http://schemas.openxmlformats.org/drawingml/2006/main" w="15875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'CROQUIS_DATOS'!$HR$8:$HR$15</f>
            </numRef>
          </xVal>
          <yVal>
            <numRef>
              <f>'CROQUIS_DATOS'!$HS$8:$HS$15</f>
            </numRef>
          </yVal>
          <smooth val="0"/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'CROQUIS_DATOS'!$HT$8:$HT$15</f>
            </numRef>
          </xVal>
          <yVal>
            <numRef>
              <f>'CROQUIS_DATOS'!$HU$8:$HU$15</f>
            </numRef>
          </yVal>
          <smooth val="0"/>
        </ser>
        <ser>
          <idx val="7"/>
          <order val="7"/>
          <tx>
            <strRef>
              <f>CROQUIS_DATOS!$A$1266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'CROQUIS_DATOS'!$HJ$8:$HJ$14</f>
            </numRef>
          </xVal>
          <yVal>
            <numRef>
              <f>'CROQUIS_DATOS'!$HK$8:$HK$14</f>
            </numRef>
          </yVal>
          <smooth val="0"/>
        </ser>
        <ser>
          <idx val="8"/>
          <order val="8"/>
          <tx>
            <strRef>
              <f>CROQUIS_DATOS!$A$1267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l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'CROQUIS_DATOS'!$HL$8:$HL$14</f>
            </numRef>
          </xVal>
          <yVal>
            <numRef>
              <f>'CROQUIS_DATOS'!$HM$8:$HM$14</f>
            </numRef>
          </yVal>
          <smooth val="0"/>
        </ser>
        <ser>
          <idx val="9"/>
          <order val="9"/>
          <tx>
            <strRef>
              <f>CROQUIS_DATOS!$A$1270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b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'CROQUIS_DATOS'!$HV$8:$HV$14</f>
            </numRef>
          </xVal>
          <yVal>
            <numRef>
              <f>'CROQUIS_DATOS'!$HW$8:$HW$14</f>
            </numRef>
          </yVal>
          <smooth val="0"/>
        </ser>
        <ser>
          <idx val="10"/>
          <order val="10"/>
          <tx>
            <strRef>
              <f>CROQUIS_DATOS!$A$1271</f>
            </strRef>
          </tx>
          <spPr>
            <a:ln xmlns:a="http://schemas.openxmlformats.org/drawingml/2006/main" w="9525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"/>
              <txPr>
                <a:bodyPr xmlns:a="http://schemas.openxmlformats.org/drawingml/2006/main"/>
                <a:p xmlns:a="http://schemas.openxmlformats.org/drawingml/2006/main">
                  <a:pPr>
                    <a:defRPr sz="700" b="0"/>
                  </a:pPr>
                  <a:r>
                    <a:t/>
                  </a:r>
                  <a:endParaRPr sz="700" b="0"/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'CROQUIS_DATOS'!$HX$8:$HX$14</f>
            </numRef>
          </xVal>
          <yVal>
            <numRef>
              <f>'CROQUIS_DATOS'!$HY$8:$HY$14</f>
            </numRef>
          </yVal>
          <smooth val="0"/>
        </ser>
        <ser>
          <idx val="11"/>
          <order val="11"/>
          <tx>
            <strRef>
              <f>CROQUIS_DATOS!$A$1272</f>
            </strRef>
          </tx>
          <spPr>
            <a:ln xmlns:a="http://schemas.openxmlformats.org/drawingml/2006/main" w="635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txPr>
                <a:bodyPr xmlns:a="http://schemas.openxmlformats.org/drawingml/2006/main"/>
                <a:p xmlns:a="http://schemas.openxmlformats.org/drawingml/2006/main">
                  <a:pPr>
                    <a:defRPr sz="650" b="0"/>
                  </a:pPr>
                  <a:r>
                    <a:t/>
                  </a:r>
                  <a:endParaRPr sz="650" b="0"/>
                </a:p>
              </txPr>
              <dLblPos val="t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</dLbls>
          <xVal>
            <numRef>
              <f>'CROQUIS_DATOS'!$HZ$8</f>
            </numRef>
          </xVal>
          <yVal>
            <numRef>
              <f>'CROQUIS_DATOS'!$IA$8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60"/>
          <min val="0"/>
        </scaling>
        <delete val="1"/>
        <axPos val="l"/>
        <majorTickMark val="none"/>
        <minorTickMark val="none"/>
        <crossAx val="10"/>
      </valAx>
    </plotArea>
    <legend>
      <legendPos val="b"/>
      <legendEntry>
        <idx val="2"/>
        <delete val="1"/>
      </legendEntry>
      <legendEntry>
        <idx val="3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legendEntry>
        <idx val="10"/>
        <delete val="1"/>
      </legendEntry>
      <legendEntry>
        <idx val="11"/>
        <delete val="1"/>
      </legendEntry>
      <txPr>
        <a:bodyPr xmlns:a="http://schemas.openxmlformats.org/drawingml/2006/main"/>
        <a:p xmlns:a="http://schemas.openxmlformats.org/drawingml/2006/main">
          <a:pPr>
            <a:defRPr sz="750"/>
          </a:pPr>
          <a:r>
            <a:t/>
          </a:r>
          <a:endParaRPr sz="75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1700000" cy="55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11700000" cy="55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67</row>
      <rowOff>0</rowOff>
    </from>
    <ext cx="117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85</row>
      <rowOff>0</rowOff>
    </from>
    <ext cx="4824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18"/>
  <sheetViews>
    <sheetView showGridLines="0" zoomScale="100" workbookViewId="0">
      <selection activeCell="A1" sqref="A1"/>
    </sheetView>
  </sheetViews>
  <sheetFormatPr baseColWidth="8" defaultRowHeight="15"/>
  <cols>
    <col width="1.78" customWidth="1" min="1" max="1"/>
    <col width="46" customWidth="1" min="2" max="2"/>
    <col width="17" customWidth="1" min="3" max="3"/>
    <col width="9" customWidth="1" min="4" max="4"/>
    <col width="54" customWidth="1" min="5" max="5"/>
    <col width="44" customWidth="1" min="6" max="6"/>
  </cols>
  <sheetData>
    <row r="1" ht="26" customHeight="1">
      <c r="B1" s="1" t="inlineStr">
        <is>
          <t>REVISIÓN DE MUROS DE MAMPOSTERÍA CONFINADA — NTC 2023 (CDMX)</t>
        </is>
      </c>
    </row>
    <row r="2" ht="6" customHeight="1"/>
    <row r="3" ht="21" customHeight="1">
      <c r="B3" s="2" t="inlineStr">
        <is>
          <t>CÓMO SE USA</t>
        </is>
      </c>
    </row>
    <row r="4" ht="15" customHeight="1">
      <c r="B4" s="3" t="inlineStr">
        <is>
          <t>1. DATOS: pieza, mortero, f'm, v'm, concreto, castillo y dala típicos.</t>
        </is>
      </c>
    </row>
    <row r="5" ht="15" customHeight="1">
      <c r="B5" s="3" t="inlineStr">
        <is>
          <t>2. MUROS: un renglón por muro (longitud, vanos de izquierda a derecha, viga de apoyo si la hay y fuerzas).</t>
        </is>
      </c>
    </row>
    <row r="6" ht="15" customHeight="1">
      <c r="B6" s="3" t="inlineStr">
        <is>
          <t>3. Fuerzas: captúralas en MUROS, o pega la tabla «Pier Forces» de ETABS en PIER_FORCES y en DATOS cambia «Fuerzas de los muros» a ETABS.</t>
        </is>
      </c>
    </row>
    <row r="7" ht="15" customHeight="1">
      <c r="B7" s="3" t="inlineStr">
        <is>
          <t>4. DETALLE: escoge un muro y sale su revisión paso a paso. CROQUIS lo dibuja.</t>
        </is>
      </c>
    </row>
    <row r="8" ht="15" customHeight="1">
      <c r="B8" s="3" t="inlineStr">
        <is>
          <t>5. RESUMEN: qué cumple, qué no y qué le falta a cada muro. ENTREPISO y DISTORSIONES: revisión global.</t>
        </is>
      </c>
    </row>
    <row r="9" ht="6" customHeight="1"/>
    <row r="10" ht="21" customHeight="1">
      <c r="B10" s="2" t="inlineStr">
        <is>
          <t>COLORES</t>
        </is>
      </c>
    </row>
    <row r="11" ht="15" customHeight="1">
      <c r="B11" s="3" t="inlineStr">
        <is>
          <t>Amarillo = se captura · Verde = CUMPLE · Ámbar = PENDIENTE (por ejemplo v'm provisional) · Rojo = NO CUMPLE.</t>
        </is>
      </c>
    </row>
    <row r="12" ht="15" customHeight="1">
      <c r="B12" s="3" t="inlineStr">
        <is>
          <t>En MUROS las columnas de cálculo intermedio están agrupadas: ábrelas con el botón [+] de arriba si quieres ver las cuentas.</t>
        </is>
      </c>
    </row>
    <row r="13" ht="6" customHeight="1"/>
    <row r="14" ht="21" customHeight="1">
      <c r="B14" s="2" t="inlineStr">
        <is>
          <t>NO REVISA</t>
        </is>
      </c>
    </row>
    <row r="15" ht="15" customHeight="1">
      <c r="B15" s="3" t="inlineStr">
        <is>
          <t>Flexión fuera del plano, muros diafragma, mampostería reforzada interiormente y el diseño de la viga de apoyo (va en la hoja de losas).</t>
        </is>
      </c>
    </row>
    <row r="16" ht="6" customHeight="1"/>
    <row r="17" ht="21" customHeight="1">
      <c r="B17" s="2" t="inlineStr">
        <is>
          <t>EJEMPLOS</t>
        </is>
      </c>
    </row>
    <row r="18" ht="15" customHeight="1">
      <c r="B18" s="3" t="inlineStr">
        <is>
          <t>Trae tres muros de ejemplo (M-1 sin vanos, M-2 con puerta y ventana, M-3 sobre una viga) y un entrepiso: escribe encima o bórralos.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B11:F11"/>
    <mergeCell ref="B3:F3"/>
    <mergeCell ref="B5:F5"/>
    <mergeCell ref="B14:F14"/>
    <mergeCell ref="B1:F1"/>
    <mergeCell ref="B8:F8"/>
    <mergeCell ref="B17:F17"/>
    <mergeCell ref="B18:F18"/>
  </mergeCell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12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78" customWidth="1" min="1" max="1"/>
    <col width="44" customWidth="1" min="2" max="2"/>
    <col width="26" customWidth="1" min="3" max="3"/>
    <col width="8" customWidth="1" min="4" max="4"/>
    <col width="40" customWidth="1" min="5" max="5"/>
    <col width="34" customWidth="1" min="6" max="6"/>
  </cols>
  <sheetData>
    <row r="1" ht="26" customHeight="1">
      <c r="B1" s="1" t="inlineStr">
        <is>
          <t>DATOS GENERALES — MUROS DE MAMPOSTERÍA CONFINADA, NTC 2023 (CDMX)</t>
        </is>
      </c>
    </row>
    <row r="2" ht="16" customHeight="1">
      <c r="B2" s="4" t="inlineStr">
        <is>
          <t>Sólo se tocan las celdas amarillas. Valen para todos los muros; lo de cada muro va en MUROS.</t>
        </is>
      </c>
    </row>
    <row r="3" ht="6" customHeight="1"/>
    <row r="4" ht="21" customHeight="1">
      <c r="B4" s="2" t="inlineStr">
        <is>
          <t>1. PROYECTO Y CLASIFICACIÓN (NTC-Mampostería 1.6)</t>
        </is>
      </c>
    </row>
    <row r="5" ht="30" customHeight="1">
      <c r="B5" s="5" t="inlineStr">
        <is>
          <t>Concepto</t>
        </is>
      </c>
      <c r="C5" s="5" t="inlineStr">
        <is>
          <t>Valor</t>
        </is>
      </c>
      <c r="D5" s="5" t="inlineStr">
        <is>
          <t>Unidad</t>
        </is>
      </c>
      <c r="E5" s="5" t="inlineStr">
        <is>
          <t>Cómo se calcula / de dónde sale</t>
        </is>
      </c>
      <c r="F5" s="5" t="inlineStr">
        <is>
          <t>Referencia</t>
        </is>
      </c>
    </row>
    <row r="6" ht="19.5" customHeight="1">
      <c r="B6" s="6" t="inlineStr">
        <is>
          <t>Proyecto</t>
        </is>
      </c>
      <c r="C6" s="7" t="inlineStr">
        <is>
          <t>(nombre del proyecto)</t>
        </is>
      </c>
      <c r="D6" s="8" t="inlineStr">
        <is>
          <t>—</t>
        </is>
      </c>
      <c r="E6" s="9" t="inlineStr"/>
      <c r="F6" s="10" t="inlineStr">
        <is>
          <t>—</t>
        </is>
      </c>
    </row>
    <row r="7" ht="30" customHeight="1">
      <c r="B7" s="6" t="inlineStr">
        <is>
          <t>Grupo de la construcción (Reglamento, art. 139)</t>
        </is>
      </c>
      <c r="C7" s="7" t="inlineStr">
        <is>
          <t>B</t>
        </is>
      </c>
      <c r="D7" s="8" t="inlineStr">
        <is>
          <t>—</t>
        </is>
      </c>
      <c r="E7" s="9" t="inlineStr">
        <is>
          <t>A o B</t>
        </is>
      </c>
      <c r="F7" s="10" t="inlineStr">
        <is>
          <t>NTC-Criterios 3.4.1 a), p. 7</t>
        </is>
      </c>
    </row>
    <row r="8" ht="19.5" customHeight="1">
      <c r="B8" s="6" t="inlineStr">
        <is>
          <t>Superficie construida total</t>
        </is>
      </c>
      <c r="C8" s="11" t="n"/>
      <c r="D8" s="8" t="inlineStr">
        <is>
          <t>m²</t>
        </is>
      </c>
      <c r="E8" s="9" t="inlineStr">
        <is>
          <t>Tipo II: hasta 250 m²</t>
        </is>
      </c>
      <c r="F8" s="10" t="inlineStr">
        <is>
          <t>NTC-M 1.6.1 a), p. 15</t>
        </is>
      </c>
    </row>
    <row r="9" ht="19.5" customHeight="1">
      <c r="B9" s="6" t="inlineStr">
        <is>
          <t>Niveles (incluye estacionamiento)</t>
        </is>
      </c>
      <c r="C9" s="11" t="n"/>
      <c r="D9" s="8" t="inlineStr">
        <is>
          <t>—</t>
        </is>
      </c>
      <c r="E9" s="9" t="inlineStr">
        <is>
          <t>Tipo II: hasta 2</t>
        </is>
      </c>
      <c r="F9" s="10" t="inlineStr">
        <is>
          <t>NTC-M 1.6.1 b), p. 15</t>
        </is>
      </c>
    </row>
    <row r="10" ht="30" customHeight="1">
      <c r="B10" s="6" t="inlineStr">
        <is>
          <t>¿Hay muros estructurales desplantados sobre vigas o sobre la losa?</t>
        </is>
      </c>
      <c r="C10" s="7" t="inlineStr">
        <is>
          <t>NO</t>
        </is>
      </c>
      <c r="D10" s="8" t="inlineStr">
        <is>
          <t>—</t>
        </is>
      </c>
      <c r="E10" s="9" t="inlineStr">
        <is>
          <t>Si hay, es Tipo I</t>
        </is>
      </c>
      <c r="F10" s="10" t="inlineStr">
        <is>
          <t>NTC-M 1.6.1 c), p. 15</t>
        </is>
      </c>
    </row>
    <row r="11" ht="19.5" customHeight="1">
      <c r="B11" s="6" t="inlineStr">
        <is>
          <t>¿Hay muros diafragma?</t>
        </is>
      </c>
      <c r="C11" s="7" t="inlineStr">
        <is>
          <t>NO</t>
        </is>
      </c>
      <c r="D11" s="8" t="inlineStr">
        <is>
          <t>—</t>
        </is>
      </c>
      <c r="E11" s="9" t="inlineStr"/>
      <c r="F11" s="10" t="inlineStr">
        <is>
          <t>NTC-M 1.6.1 d), p. 15</t>
        </is>
      </c>
    </row>
    <row r="12" ht="19.5" customHeight="1">
      <c r="B12" s="6" t="inlineStr">
        <is>
          <t>Uso</t>
        </is>
      </c>
      <c r="C12" s="7" t="inlineStr">
        <is>
          <t>HABITACIÓN UNIFAMILIAR</t>
        </is>
      </c>
      <c r="D12" s="8" t="inlineStr">
        <is>
          <t>—</t>
        </is>
      </c>
      <c r="E12" s="9" t="inlineStr"/>
      <c r="F12" s="10" t="inlineStr">
        <is>
          <t>NTC-M 1.6.1 e), p. 15</t>
        </is>
      </c>
    </row>
    <row r="13" ht="19.5" customHeight="1">
      <c r="B13" s="6" t="inlineStr">
        <is>
          <t>Viviendas en el predio (si es plurifamiliar)</t>
        </is>
      </c>
      <c r="C13" s="11" t="n"/>
      <c r="D13" s="8" t="inlineStr">
        <is>
          <t>—</t>
        </is>
      </c>
      <c r="E13" s="9" t="inlineStr">
        <is>
          <t>Plurifamiliar: máximo 10</t>
        </is>
      </c>
      <c r="F13" s="10" t="inlineStr">
        <is>
          <t>NTC-M 1.6.1 f), p. 15</t>
        </is>
      </c>
    </row>
    <row r="14" ht="30" customHeight="1">
      <c r="B14" s="6" t="inlineStr">
        <is>
          <t>TIPO DE ESTRUCTURA</t>
        </is>
      </c>
      <c r="C14" s="12" t="str">
        <f>IF(AND(ISNUMBER(DATOS!$C$8),ISNUMBER(DATOS!$C$9),DATOS!$C$7="B",DATOS!$C$8&lt;=250,DATOS!$C$9&lt;=2,DATOS!$C$10="NO",COUNTIF(MUROS!$AI$11:$AI$70,"SÍ")=0,DATOS!$C$11="NO",DATOS!$C$12&lt;&gt;"OTRO",OR(DATOS!$C$12&lt;&gt;"HABITACIÓN PLURIFAMILIAR",AND(ISNUMBER(DATOS!$C$13),DATOS!$C$13&lt;=10))),"TIPO II","TIPO I")</f>
        <v>TIPO I</v>
      </c>
      <c r="D14" s="8" t="inlineStr">
        <is>
          <t>—</t>
        </is>
      </c>
      <c r="E14" s="9" t="inlineStr">
        <is>
          <t>Tipo II sólo si cumple todo 1.6.1</t>
        </is>
      </c>
      <c r="F14" s="10" t="inlineStr">
        <is>
          <t>NTC-M 1.6.1 y 1.6.2, p. 15–16</t>
        </is>
      </c>
    </row>
    <row r="15" ht="42" customHeight="1">
      <c r="B15" s="6" t="inlineStr">
        <is>
          <t>Por qué</t>
        </is>
      </c>
      <c r="C15" s="13" t="str">
        <f>IF(DATOS!$C$14="TIPO II","Cumple a) a f) de 1.6.1",""&amp;IF(OR(NOT(ISNUMBER(DATOS!$C$8)),NOT(ISNUMBER(DATOS!$C$9))),"faltan superficie o niveles; ","")&amp;IF(DATOS!$C$7="A","Grupo A; ","")&amp;IF(DATOS!$C$8&gt;250,"más de 250 m²; ","")&amp;IF(DATOS!$C$9&gt;2,"más de dos niveles; ","")&amp;IF(OR(DATOS!$C$10="SÍ",COUNTIF(MUROS!$AI$11:$AI$70,"SÍ")&gt;0),"muros sobre vigas o losa; ","")&amp;IF(DATOS!$C$11="SÍ","muros diafragma; ","")&amp;IF(DATOS!$C$12="OTRO","uso no listado; ","")&amp;IF(AND(DATOS!$C$12="HABITACIÓN PLURIFAMILIAR",OR(NOT(ISNUMBER(DATOS!$C$13)),DATOS!$C$13&gt;10)),"más de diez viviendas o falta el dato; ",""))</f>
        <v>faltan superficie o niveles; muros sobre vigas o losa; </v>
      </c>
      <c r="D15" s="8" t="inlineStr">
        <is>
          <t>—</t>
        </is>
      </c>
      <c r="E15" s="9" t="inlineStr"/>
      <c r="F15" s="10" t="inlineStr">
        <is>
          <t>NTC-M 1.6.1, p. 15</t>
        </is>
      </c>
    </row>
    <row r="16" ht="6" customHeight="1"/>
    <row r="17" ht="21" customHeight="1">
      <c r="B17" s="2" t="inlineStr">
        <is>
          <t>2. MAMPOSTERÍA — PIEZA, MORTERO, f'm Y v'm (NTC-M 2.1, 2.8)</t>
        </is>
      </c>
    </row>
    <row r="18" ht="30" customHeight="1">
      <c r="B18" s="5" t="inlineStr">
        <is>
          <t>Concepto</t>
        </is>
      </c>
      <c r="C18" s="5" t="inlineStr">
        <is>
          <t>Valor</t>
        </is>
      </c>
      <c r="D18" s="5" t="inlineStr">
        <is>
          <t>Unidad</t>
        </is>
      </c>
      <c r="E18" s="5" t="inlineStr">
        <is>
          <t>Cómo se calcula / de dónde sale</t>
        </is>
      </c>
      <c r="F18" s="5" t="inlineStr">
        <is>
          <t>Referencia</t>
        </is>
      </c>
    </row>
    <row r="19" ht="19.5" customHeight="1">
      <c r="B19" s="6" t="inlineStr">
        <is>
          <t>Pieza</t>
        </is>
      </c>
      <c r="C19" s="7" t="inlineStr">
        <is>
          <t>BLOQUE DE CONCRETO HUECO</t>
        </is>
      </c>
      <c r="D19" s="8" t="inlineStr">
        <is>
          <t>—</t>
        </is>
      </c>
      <c r="E19" s="9" t="inlineStr"/>
      <c r="F19" s="10" t="inlineStr">
        <is>
          <t>TABLAS sección E</t>
        </is>
      </c>
    </row>
    <row r="20" ht="19.5" customHeight="1">
      <c r="B20" s="6" t="inlineStr">
        <is>
          <t>Material de la pieza</t>
        </is>
      </c>
      <c r="C20" s="13" t="str">
        <f>INDEX(TABLAS!$C$45:$C$49,MATCH(DATOS!$C$19,TABLAS!$B$45:$B$49,0))</f>
        <v>CONCRETO</v>
      </c>
      <c r="D20" s="8" t="inlineStr">
        <is>
          <t>—</t>
        </is>
      </c>
      <c r="E20" s="9" t="inlineStr"/>
      <c r="F20" s="10" t="inlineStr">
        <is>
          <t>TABLAS sección E</t>
        </is>
      </c>
    </row>
    <row r="21" ht="19.5" customHeight="1">
      <c r="B21" s="6" t="inlineStr">
        <is>
          <t>¿Pieza hueca?</t>
        </is>
      </c>
      <c r="C21" s="13" t="str">
        <f>INDEX(TABLAS!$D$45:$D$49,MATCH(DATOS!$C$19,TABLAS!$B$45:$B$49,0))</f>
        <v>SÍ</v>
      </c>
      <c r="D21" s="8" t="inlineStr">
        <is>
          <t>—</t>
        </is>
      </c>
      <c r="E21" s="9" t="inlineStr"/>
      <c r="F21" s="10" t="inlineStr">
        <is>
          <t>NTC-M Tabla 2.1.1.2, p. 17</t>
        </is>
      </c>
    </row>
    <row r="22" ht="30" customHeight="1">
      <c r="B22" s="6" t="inlineStr">
        <is>
          <t>f'p — resistencia de diseño a compresión de la pieza</t>
        </is>
      </c>
      <c r="C22" s="11" t="n">
        <v>100</v>
      </c>
      <c r="D22" s="8" t="inlineStr">
        <is>
          <t>kg/cm²</t>
        </is>
      </c>
      <c r="E22" s="9" t="inlineStr">
        <is>
          <t>De ensayes de las piezas</t>
        </is>
      </c>
      <c r="F22" s="10" t="inlineStr">
        <is>
          <t>NTC-M 2.1.2, p. 18</t>
        </is>
      </c>
    </row>
    <row r="23" ht="19.5" customHeight="1">
      <c r="B23" s="6" t="inlineStr">
        <is>
          <t>Mortero</t>
        </is>
      </c>
      <c r="C23" s="7" t="inlineStr">
        <is>
          <t>I</t>
        </is>
      </c>
      <c r="D23" s="8" t="inlineStr">
        <is>
          <t>—</t>
        </is>
      </c>
      <c r="E23" s="9" t="inlineStr"/>
      <c r="F23" s="10" t="inlineStr">
        <is>
          <t>NTC-M 2.5</t>
        </is>
      </c>
    </row>
    <row r="24" ht="19.5" customHeight="1">
      <c r="B24" s="6" t="inlineStr">
        <is>
          <t>f_an — área neta / área bruta de la pieza</t>
        </is>
      </c>
      <c r="C24" s="14" t="n">
        <v>0.5</v>
      </c>
      <c r="D24" s="8" t="inlineStr">
        <is>
          <t>—</t>
        </is>
      </c>
      <c r="E24" s="9" t="inlineStr">
        <is>
          <t>Ficha del fabricante (hueca ≈ 0.5)</t>
        </is>
      </c>
      <c r="F24" s="10" t="inlineStr">
        <is>
          <t>NTC-M 6.5.3.3.2, p. 69</t>
        </is>
      </c>
    </row>
    <row r="25" ht="19.5" customHeight="1">
      <c r="B25" s="6" t="inlineStr">
        <is>
          <t>h_j — espesor de la junta horizontal</t>
        </is>
      </c>
      <c r="C25" s="11" t="n">
        <v>10</v>
      </c>
      <c r="D25" s="8" t="inlineStr">
        <is>
          <t>mm</t>
        </is>
      </c>
      <c r="E25" s="9" t="inlineStr">
        <is>
          <t>10 a 12 mm</t>
        </is>
      </c>
      <c r="F25" s="10" t="inlineStr">
        <is>
          <t>NTC-M 4.2.2.2.1, p. 47</t>
        </is>
      </c>
    </row>
    <row r="26" ht="19.5" customHeight="1">
      <c r="B26" s="6" t="inlineStr">
        <is>
          <t>Altura de una hilada (pieza + junta)</t>
        </is>
      </c>
      <c r="C26" s="15" t="n">
        <v>20</v>
      </c>
      <c r="D26" s="8" t="inlineStr">
        <is>
          <t>cm</t>
        </is>
      </c>
      <c r="E26" s="9" t="inlineStr">
        <is>
          <t>Bloque 15×20×40 → 20 cm</t>
        </is>
      </c>
      <c r="F26" s="10" t="inlineStr">
        <is>
          <t>NTC-M 6.5.3.2.1, p. 69</t>
        </is>
      </c>
    </row>
    <row r="27" ht="19.5" customHeight="1">
      <c r="B27" s="6" t="inlineStr">
        <is>
          <t>f'm de la tabla</t>
        </is>
      </c>
      <c r="C27" s="16">
        <f>IF(DATOS!$C$23="III",-1,IF(DATOS!$C$20="CONCRETO",IF(DATOS!$C$23="I",IF(DATOS!$C$22&lt;=INDEX(TABLAS!$B$27:$B$31,1),INDEX(TABLAS!$C$27:$C$31,1),IF(DATOS!$C$22&gt;=INDEX(TABLAS!$B$27:$B$31,ROWS(TABLAS!$B$27:$B$31)),INDEX(TABLAS!$C$27:$C$31,ROWS(TABLAS!$B$27:$B$31)),INDEX(TABLAS!$C$27:$C$31,MATCH(DATOS!$C$22,TABLAS!$B$27:$B$31,1))+(INDEX(TABLAS!$C$27:$C$31,MATCH(DATOS!$C$22,TABLAS!$B$27:$B$31,1)+1)-INDEX(TABLAS!$C$27:$C$31,MATCH(DATOS!$C$22,TABLAS!$B$27:$B$31,1)))*(DATOS!$C$22-INDEX(TABLAS!$B$27:$B$31,MATCH(DATOS!$C$22,TABLAS!$B$27:$B$31,1)))/(INDEX(TABLAS!$B$27:$B$31,MATCH(DATOS!$C$22,TABLAS!$B$27:$B$31,1)+1)-INDEX(TABLAS!$B$27:$B$31,MATCH(DATOS!$C$22,TABLAS!$B$27:$B$31,1))))),IF(DATOS!$C$22&lt;=INDEX(TABLAS!$B$27:$B$31,1),INDEX(TABLAS!$D$27:$D$31,1),IF(DATOS!$C$22&gt;=INDEX(TABLAS!$B$27:$B$31,ROWS(TABLAS!$B$27:$B$31)),INDEX(TABLAS!$D$27:$D$31,ROWS(TABLAS!$B$27:$B$31)),INDEX(TABLAS!$D$27:$D$31,MATCH(DATOS!$C$22,TABLAS!$B$27:$B$31,1))+(INDEX(TABLAS!$D$27:$D$31,MATCH(DATOS!$C$22,TABLAS!$B$27:$B$31,1)+1)-INDEX(TABLAS!$D$27:$D$31,MATCH(DATOS!$C$22,TABLAS!$B$27:$B$31,1)))*(DATOS!$C$22-INDEX(TABLAS!$B$27:$B$31,MATCH(DATOS!$C$22,TABLAS!$B$27:$B$31,1)))/(INDEX(TABLAS!$B$27:$B$31,MATCH(DATOS!$C$22,TABLAS!$B$27:$B$31,1)+1)-INDEX(TABLAS!$B$27:$B$31,MATCH(DATOS!$C$22,TABLAS!$B$27:$B$31,1)))))),IF(DATOS!$C$23="I",IF(DATOS!$C$22&lt;=INDEX(TABLAS!$B$35:$B$40,1),INDEX(TABLAS!$C$35:$C$40,1),IF(DATOS!$C$22&gt;=INDEX(TABLAS!$B$35:$B$40,ROWS(TABLAS!$B$35:$B$40)),INDEX(TABLAS!$C$35:$C$40,ROWS(TABLAS!$B$35:$B$40)),INDEX(TABLAS!$C$35:$C$40,MATCH(DATOS!$C$22,TABLAS!$B$35:$B$40,1))+(INDEX(TABLAS!$C$35:$C$40,MATCH(DATOS!$C$22,TABLAS!$B$35:$B$40,1)+1)-INDEX(TABLAS!$C$35:$C$40,MATCH(DATOS!$C$22,TABLAS!$B$35:$B$40,1)))*(DATOS!$C$22-INDEX(TABLAS!$B$35:$B$40,MATCH(DATOS!$C$22,TABLAS!$B$35:$B$40,1)))/(INDEX(TABLAS!$B$35:$B$40,MATCH(DATOS!$C$22,TABLAS!$B$35:$B$40,1)+1)-INDEX(TABLAS!$B$35:$B$40,MATCH(DATOS!$C$22,TABLAS!$B$35:$B$40,1))))),IF(DATOS!$C$22&lt;=INDEX(TABLAS!$B$35:$B$40,1),INDEX(TABLAS!$D$35:$D$40,1),IF(DATOS!$C$22&gt;=INDEX(TABLAS!$B$35:$B$40,ROWS(TABLAS!$B$35:$B$40)),INDEX(TABLAS!$D$35:$D$40,ROWS(TABLAS!$B$35:$B$40)),INDEX(TABLAS!$D$35:$D$40,MATCH(DATOS!$C$22,TABLAS!$B$35:$B$40,1))+(INDEX(TABLAS!$D$35:$D$40,MATCH(DATOS!$C$22,TABLAS!$B$35:$B$40,1)+1)-INDEX(TABLAS!$D$35:$D$40,MATCH(DATOS!$C$22,TABLAS!$B$35:$B$40,1)))*(DATOS!$C$22-INDEX(TABLAS!$B$35:$B$40,MATCH(DATOS!$C$22,TABLAS!$B$35:$B$40,1)))/(INDEX(TABLAS!$B$35:$B$40,MATCH(DATOS!$C$22,TABLAS!$B$35:$B$40,1)+1)-INDEX(TABLAS!$B$35:$B$40,MATCH(DATOS!$C$22,TABLAS!$B$35:$B$40,1))))))))</f>
        <v>50</v>
      </c>
      <c r="D27" s="8" t="inlineStr">
        <is>
          <t>kg/cm²</t>
        </is>
      </c>
      <c r="E27" s="9" t="inlineStr">
        <is>
          <t>Tabla con f'p y el mortero</t>
        </is>
      </c>
      <c r="F27" s="10" t="inlineStr">
        <is>
          <t>NTC-M 2.8.1.4, p. 24–25</t>
        </is>
      </c>
    </row>
    <row r="28" ht="30" customHeight="1">
      <c r="B28" s="6" t="inlineStr">
        <is>
          <t>f'm de ensayes de pilas: f_m medio (corregido por esbeltez)</t>
        </is>
      </c>
      <c r="C28" s="15" t="n"/>
      <c r="D28" s="8" t="inlineStr">
        <is>
          <t>kg/cm²</t>
        </is>
      </c>
      <c r="E28" s="9" t="inlineStr">
        <is>
          <t>Si hay ensayes (9 pilas)</t>
        </is>
      </c>
      <c r="F28" s="10" t="inlineStr">
        <is>
          <t>NTC-M 2.8.1.3, p. 23</t>
        </is>
      </c>
    </row>
    <row r="29" ht="19.5" customHeight="1">
      <c r="B29" s="6" t="inlineStr">
        <is>
          <t>c_m — coeficiente de variación de las pilas</t>
        </is>
      </c>
      <c r="C29" s="14" t="n">
        <v>0.15</v>
      </c>
      <c r="D29" s="8" t="inlineStr">
        <is>
          <t>—</t>
        </is>
      </c>
      <c r="E29" s="9" t="inlineStr">
        <is>
          <t>≥ 0.15</t>
        </is>
      </c>
      <c r="F29" s="10" t="inlineStr">
        <is>
          <t>NTC-M 2.8.1.3.7, p. 24</t>
        </is>
      </c>
    </row>
    <row r="30" ht="19.5" customHeight="1">
      <c r="B30" s="6" t="inlineStr">
        <is>
          <t>f'm de ensayes = f_m / (1 + 2.5·c_m)</t>
        </is>
      </c>
      <c r="C30" s="16">
        <f>IF(ISNUMBER(DATOS!$C$28),DATOS!$C$28/(1+2.5*MAX(DATOS!$C$29,0.15)),0)</f>
        <v>0</v>
      </c>
      <c r="D30" s="8" t="inlineStr">
        <is>
          <t>kg/cm²</t>
        </is>
      </c>
      <c r="E30" s="9" t="inlineStr"/>
      <c r="F30" s="10" t="inlineStr">
        <is>
          <t>NTC-M ec. 2.8.1.3.7, p. 24</t>
        </is>
      </c>
    </row>
    <row r="31" ht="19.5" customHeight="1">
      <c r="B31" s="6" t="inlineStr">
        <is>
          <t>f'm Tipo II (sin ensayes)</t>
        </is>
      </c>
      <c r="C31" s="16">
        <f>INDEX(TABLAS!$E$45:$E$49,MATCH(DATOS!$C$19,TABLAS!$B$45:$B$49,0))</f>
        <v>15</v>
      </c>
      <c r="D31" s="8" t="inlineStr">
        <is>
          <t>kg/cm²</t>
        </is>
      </c>
      <c r="E31" s="9" t="inlineStr">
        <is>
          <t>Sólo Tipo II</t>
        </is>
      </c>
      <c r="F31" s="10" t="inlineStr">
        <is>
          <t>NTC-M Tabla 12.2.3.1.2, p. 105</t>
        </is>
      </c>
    </row>
    <row r="32" ht="19.5" customHeight="1">
      <c r="B32" s="6" t="inlineStr">
        <is>
          <t>¿De dónde sale f'm?</t>
        </is>
      </c>
      <c r="C32" s="7" t="inlineStr">
        <is>
          <t>TABLA (2.8.1.4)</t>
        </is>
      </c>
      <c r="D32" s="8" t="inlineStr">
        <is>
          <t>—</t>
        </is>
      </c>
      <c r="E32" s="9" t="inlineStr"/>
      <c r="F32" s="10" t="inlineStr">
        <is>
          <t>NTC-M 2.8.1, p. 22</t>
        </is>
      </c>
    </row>
    <row r="33" ht="30" customHeight="1">
      <c r="B33" s="6" t="inlineStr">
        <is>
          <t>f'm — RESISTENCIA DE DISEÑO A COMPRESIÓN QUE SE USA</t>
        </is>
      </c>
      <c r="C33" s="17">
        <f>IF(DATOS!$C$32="ENSAYES DE PILAS (2.8.1.3)",DATOS!$C$30,IF(DATOS!$C$32="TIPO II (TABLA 12.2.3.1.2)",DATOS!$C$31,MAX(DATOS!$C$27,0)))</f>
        <v>50</v>
      </c>
      <c r="D33" s="8" t="inlineStr">
        <is>
          <t>kg/cm²</t>
        </is>
      </c>
      <c r="E33" s="9" t="inlineStr"/>
      <c r="F33" s="10" t="inlineStr">
        <is>
          <t>NTC-M 2.8.1</t>
        </is>
      </c>
    </row>
    <row r="34" ht="54" customHeight="1">
      <c r="B34" s="6" t="inlineStr">
        <is>
          <t>¿El f'm es válido?</t>
        </is>
      </c>
      <c r="C34" s="13" t="str">
        <f>IF(DATOS!$C$33&lt;=0,"NO VÁLIDO: sin f'm (mortero III o faltan ensayes)",IF(DATOS!$C$32="TIPO II (TABLA 12.2.3.1.2)",IF(DATOS!$C$14="TIPO II","VÁLIDO (Tipo II)","NO VÁLIDO: la tabla de Tipo II no aplica a estructura Tipo I"),IF(DATOS!$C$32="ENSAYES DE PILAS (2.8.1.3)","VÁLIDO (ensayes)",IF(OR(DATOS!$C$22&lt;60,AND(DATOS!$C$20="CONCRETO",DATOS!$C$21="NO",DATOS!$C$22&lt;100)),"NO VÁLIDO: f'p fuera de la tabla (2.8.1.4.1)",IF(DATOS!$C$22&gt;IF(DATOS!$C$20="CONCRETO",200,300),"PENDIENTE: f'p arriba de la tabla, se tomó el último renglón","PENDIENTE: confirmar f'p con ensayes de piezas (2.8.1.4.3 d)")))))</f>
        <v>PENDIENTE: confirmar f'p con ensayes de piezas (2.8.1.4.3 d)</v>
      </c>
      <c r="D34" s="8" t="inlineStr">
        <is>
          <t>—</t>
        </is>
      </c>
      <c r="E34" s="9" t="inlineStr"/>
      <c r="F34" s="10" t="inlineStr">
        <is>
          <t>NTC-M 2.8.1.4.3, p. 25</t>
        </is>
      </c>
    </row>
    <row r="35" ht="19.5" customHeight="1">
      <c r="B35" s="6" t="inlineStr">
        <is>
          <t>v'm de ensayes de muretes: v_m medio</t>
        </is>
      </c>
      <c r="C35" s="14" t="n"/>
      <c r="D35" s="8" t="inlineStr">
        <is>
          <t>kg/cm²</t>
        </is>
      </c>
      <c r="E35" s="9" t="inlineStr">
        <is>
          <t>Si hay ensayes (9 muretes)</t>
        </is>
      </c>
      <c r="F35" s="10" t="inlineStr">
        <is>
          <t>NTC-M 2.8.2.4, p. 26</t>
        </is>
      </c>
    </row>
    <row r="36" ht="19.5" customHeight="1">
      <c r="B36" s="6" t="inlineStr">
        <is>
          <t>c_v — coeficiente de variación de los muretes</t>
        </is>
      </c>
      <c r="C36" s="14" t="n">
        <v>0.2</v>
      </c>
      <c r="D36" s="8" t="inlineStr">
        <is>
          <t>—</t>
        </is>
      </c>
      <c r="E36" s="9" t="inlineStr">
        <is>
          <t>≥ 0.20</t>
        </is>
      </c>
      <c r="F36" s="10" t="inlineStr">
        <is>
          <t>NTC-M 2.8.2.4.6, p. 26</t>
        </is>
      </c>
    </row>
    <row r="37" ht="19.5" customHeight="1">
      <c r="B37" s="6" t="inlineStr">
        <is>
          <t>v'm de ensayes = v_m / (1 + 2.5·c_v)</t>
        </is>
      </c>
      <c r="C37" s="18">
        <f>IF(ISNUMBER(DATOS!$C$35),DATOS!$C$35/(1+2.5*MAX(DATOS!$C$36,0.2)),0)</f>
        <v>0</v>
      </c>
      <c r="D37" s="8" t="inlineStr">
        <is>
          <t>kg/cm²</t>
        </is>
      </c>
      <c r="E37" s="9" t="inlineStr"/>
      <c r="F37" s="10" t="inlineStr">
        <is>
          <t>NTC-M ec. 2.8.2.4.6, p. 26</t>
        </is>
      </c>
    </row>
    <row r="38" ht="19.5" customHeight="1">
      <c r="B38" s="6" t="inlineStr">
        <is>
          <t>v'm Tipo II (sin ensayes)</t>
        </is>
      </c>
      <c r="C38" s="18">
        <f>INDEX(TABLAS!$F$45:$F$49,MATCH(DATOS!$C$19,TABLAS!$B$45:$B$49,0))</f>
        <v>2</v>
      </c>
      <c r="D38" s="8" t="inlineStr">
        <is>
          <t>kg/cm²</t>
        </is>
      </c>
      <c r="E38" s="9" t="inlineStr">
        <is>
          <t>Sólo Tipo II</t>
        </is>
      </c>
      <c r="F38" s="10" t="inlineStr">
        <is>
          <t>NTC-M Tabla 12.2.3.2.2, p. 105</t>
        </is>
      </c>
    </row>
    <row r="39" ht="19.5" customHeight="1">
      <c r="B39" s="6" t="inlineStr">
        <is>
          <t>v'm provisional (mientras llegan los ensayes)</t>
        </is>
      </c>
      <c r="C39" s="14" t="n">
        <v>2</v>
      </c>
      <c r="D39" s="8" t="inlineStr">
        <is>
          <t>kg/cm²</t>
        </is>
      </c>
      <c r="E39" s="9" t="inlineStr">
        <is>
          <t>Mientras llegan los ensayes</t>
        </is>
      </c>
      <c r="F39" s="10" t="inlineStr">
        <is>
          <t>Criterio provisional — no viene de norma</t>
        </is>
      </c>
    </row>
    <row r="40" ht="19.5" customHeight="1">
      <c r="B40" s="6" t="inlineStr">
        <is>
          <t>¿De dónde sale v'm?</t>
        </is>
      </c>
      <c r="C40" s="7" t="inlineStr">
        <is>
          <t>PROVISIONAL (CAPTURA)</t>
        </is>
      </c>
      <c r="D40" s="8" t="inlineStr">
        <is>
          <t>—</t>
        </is>
      </c>
      <c r="E40" s="9" t="inlineStr"/>
      <c r="F40" s="10" t="inlineStr">
        <is>
          <t>NTC-M 2.8.2.1, p. 25</t>
        </is>
      </c>
    </row>
    <row r="41" ht="30" customHeight="1">
      <c r="B41" s="6" t="inlineStr">
        <is>
          <t>v'm — RESISTENCIA DE DISEÑO A COMPRESIÓN DIAGONAL QUE SE USA</t>
        </is>
      </c>
      <c r="C41" s="19">
        <f>IF(DATOS!$C$40="ENSAYES DE MURETES (2.8.2.4)",DATOS!$C$37,IF(DATOS!$C$40="TIPO II (TABLA 12.2.3.2.2)",DATOS!$C$38,N(DATOS!$C$39)))</f>
        <v>2</v>
      </c>
      <c r="D41" s="8" t="inlineStr">
        <is>
          <t>kg/cm²</t>
        </is>
      </c>
      <c r="E41" s="9" t="inlineStr"/>
      <c r="F41" s="10" t="inlineStr">
        <is>
          <t>NTC-M 2.8.2</t>
        </is>
      </c>
    </row>
    <row r="42" ht="54" customHeight="1">
      <c r="B42" s="6" t="inlineStr">
        <is>
          <t>¿El v'm es válido?</t>
        </is>
      </c>
      <c r="C42" s="13" t="str">
        <f>IF(DATOS!$C$41&lt;=0,"NO VÁLIDO: sin v'm",IF(DATOS!$C$40="ENSAYES DE MURETES (2.8.2.4)","VÁLIDO (ensayes)",IF(DATOS!$C$40="TIPO II (TABLA 12.2.3.2.2)",IF(DATOS!$C$14="TIPO II","VÁLIDO (Tipo II)","NO VÁLIDO: estructura Tipo I, el v'm sale de 9 muretes (2.8.2.1)"),"PENDIENTE: v'm provisional; estructura "&amp;DATOS!$C$14&amp;", hacen falta los ensayes de muretes (2.8.2.4)")))</f>
        <v>PENDIENTE: v'm provisional; estructura TIPO I, hacen falta los ensayes de muretes (2.8.2.4)</v>
      </c>
      <c r="D42" s="8" t="inlineStr">
        <is>
          <t>—</t>
        </is>
      </c>
      <c r="E42" s="9" t="inlineStr">
        <is>
          <t>Tipo I: sólo vale de ensayes</t>
        </is>
      </c>
      <c r="F42" s="10" t="inlineStr">
        <is>
          <t>NTC-M 2.8.2.1 y 2.8.2.4.5, p. 25–26</t>
        </is>
      </c>
    </row>
    <row r="43" ht="19.5" customHeight="1">
      <c r="B43" s="6" t="inlineStr">
        <is>
          <t>E_m — módulo de elasticidad (corta duración)</t>
        </is>
      </c>
      <c r="C43" s="20">
        <f>IF(DATOS!$C$20="CONCRETO",800,600)*DATOS!$C$33</f>
        <v>40000</v>
      </c>
      <c r="D43" s="8" t="inlineStr">
        <is>
          <t>kg/cm²</t>
        </is>
      </c>
      <c r="E43" s="9" t="inlineStr">
        <is>
          <t>800·f'm (concreto) · 600·f'm (arcilla)</t>
        </is>
      </c>
      <c r="F43" s="10" t="inlineStr">
        <is>
          <t>NTC-M 2.8.5.4, p. 27</t>
        </is>
      </c>
    </row>
    <row r="44" ht="6" customHeight="1"/>
    <row r="45" ht="21" customHeight="1">
      <c r="B45" s="2" t="inlineStr">
        <is>
          <t>3. CONCRETO Y ACERO</t>
        </is>
      </c>
    </row>
    <row r="46" ht="30" customHeight="1">
      <c r="B46" s="5" t="inlineStr">
        <is>
          <t>Concepto</t>
        </is>
      </c>
      <c r="C46" s="5" t="inlineStr">
        <is>
          <t>Valor</t>
        </is>
      </c>
      <c r="D46" s="5" t="inlineStr">
        <is>
          <t>Unidad</t>
        </is>
      </c>
      <c r="E46" s="5" t="inlineStr">
        <is>
          <t>Cómo se calcula / de dónde sale</t>
        </is>
      </c>
      <c r="F46" s="5" t="inlineStr">
        <is>
          <t>Referencia</t>
        </is>
      </c>
    </row>
    <row r="47" ht="19.5" customHeight="1">
      <c r="B47" s="6" t="inlineStr">
        <is>
          <t>f'c — concreto de castillos y dalas</t>
        </is>
      </c>
      <c r="C47" s="11" t="n">
        <v>200</v>
      </c>
      <c r="D47" s="8" t="inlineStr">
        <is>
          <t>kg/cm²</t>
        </is>
      </c>
      <c r="E47" s="9" t="inlineStr">
        <is>
          <t>≥ 200</t>
        </is>
      </c>
      <c r="F47" s="10" t="inlineStr">
        <is>
          <t>NTC-M 6.2.1.3.1, p. 61</t>
        </is>
      </c>
    </row>
    <row r="48" ht="19.5" customHeight="1">
      <c r="B48" s="6" t="inlineStr">
        <is>
          <t>f_y — varillas longitudinales</t>
        </is>
      </c>
      <c r="C48" s="11" t="n">
        <v>4200</v>
      </c>
      <c r="D48" s="8" t="inlineStr">
        <is>
          <t>kg/cm²</t>
        </is>
      </c>
      <c r="E48" s="9" t="inlineStr"/>
      <c r="F48" s="10" t="inlineStr">
        <is>
          <t>NMX-C-407-ONNCCE</t>
        </is>
      </c>
    </row>
    <row r="49" ht="19.5" customHeight="1">
      <c r="B49" s="6" t="inlineStr">
        <is>
          <t>f_y — estribos de castillos y dalas</t>
        </is>
      </c>
      <c r="C49" s="11" t="n">
        <v>2530</v>
      </c>
      <c r="D49" s="8" t="inlineStr">
        <is>
          <t>kg/cm²</t>
        </is>
      </c>
      <c r="E49" s="9" t="inlineStr">
        <is>
          <t>Alambrón No. 2: 2 530</t>
        </is>
      </c>
      <c r="F49" s="10" t="inlineStr">
        <is>
          <t>NTC-M 6.2.2.3, p. 62</t>
        </is>
      </c>
    </row>
    <row r="50" ht="19.5" customHeight="1">
      <c r="B50" s="6" t="inlineStr">
        <is>
          <t>f_yh — refuerzo horizontal (juntas o malla)</t>
        </is>
      </c>
      <c r="C50" s="11" t="n">
        <v>6000</v>
      </c>
      <c r="D50" s="8" t="inlineStr">
        <is>
          <t>kg/cm²</t>
        </is>
      </c>
      <c r="E50" s="9" t="inlineStr">
        <is>
          <t>La hoja usa 6 000 como tope en juntas y 5 000 en malla</t>
        </is>
      </c>
      <c r="F50" s="10" t="inlineStr">
        <is>
          <t>NTC-M 6.5.3.1.3 y 6.5.4.1.3, p. 69 y 71</t>
        </is>
      </c>
    </row>
    <row r="51" ht="19.5" customHeight="1">
      <c r="B51" s="6" t="inlineStr">
        <is>
          <t>f'c — vigas sobre las que desplantan muros</t>
        </is>
      </c>
      <c r="C51" s="11" t="n">
        <v>250</v>
      </c>
      <c r="D51" s="8" t="inlineStr">
        <is>
          <t>kg/cm²</t>
        </is>
      </c>
      <c r="E51" s="9" t="inlineStr"/>
      <c r="F51" s="10" t="inlineStr">
        <is>
          <t>NTC-M 4.1.18.2.2, p. 44</t>
        </is>
      </c>
    </row>
    <row r="52" ht="19.5" customHeight="1">
      <c r="B52" s="6" t="inlineStr">
        <is>
          <t>Clase del concreto de esas vigas</t>
        </is>
      </c>
      <c r="C52" s="11" t="n">
        <v>1</v>
      </c>
      <c r="D52" s="8" t="inlineStr">
        <is>
          <t>—</t>
        </is>
      </c>
      <c r="E52" s="9" t="inlineStr"/>
      <c r="F52" s="10" t="inlineStr">
        <is>
          <t>NTC-Concreto 2.1.3</t>
        </is>
      </c>
    </row>
    <row r="53" ht="19.5" customHeight="1">
      <c r="B53" s="6" t="inlineStr">
        <is>
          <t>E_f — módulo de elasticidad de la viga</t>
        </is>
      </c>
      <c r="C53" s="20">
        <f>IF(DATOS!$C$52=1,14000,8000)*SQRT(DATOS!$C$51)</f>
        <v>221359.436211787</v>
      </c>
      <c r="D53" s="8" t="inlineStr">
        <is>
          <t>kg/cm²</t>
        </is>
      </c>
      <c r="E53" s="9" t="inlineStr">
        <is>
          <t>14 000·√f'c (clase 1) · 8 000·√f'c (clase 2)</t>
        </is>
      </c>
      <c r="F53" s="10" t="inlineStr">
        <is>
          <t>NTC-Concreto 2.1.3</t>
        </is>
      </c>
    </row>
    <row r="54" ht="6" customHeight="1"/>
    <row r="55" ht="21" customHeight="1">
      <c r="B55" s="2" t="inlineStr">
        <is>
          <t>4. MURO, CASTILLO Y DALA TÍPICOS (los usan todos los muros; MUROS deja cambiar H, t y los castillos extremos)</t>
        </is>
      </c>
    </row>
    <row r="56" ht="30" customHeight="1">
      <c r="B56" s="5" t="inlineStr">
        <is>
          <t>Concepto</t>
        </is>
      </c>
      <c r="C56" s="5" t="inlineStr">
        <is>
          <t>Valor</t>
        </is>
      </c>
      <c r="D56" s="5" t="inlineStr">
        <is>
          <t>Unidad</t>
        </is>
      </c>
      <c r="E56" s="5" t="inlineStr">
        <is>
          <t>Cómo se calcula / de dónde sale</t>
        </is>
      </c>
      <c r="F56" s="5" t="inlineStr">
        <is>
          <t>Referencia</t>
        </is>
      </c>
    </row>
    <row r="57" ht="19.5" customHeight="1">
      <c r="B57" s="6" t="inlineStr">
        <is>
          <t>H — altura libre típica</t>
        </is>
      </c>
      <c r="C57" s="14" t="n">
        <v>2.5</v>
      </c>
      <c r="D57" s="8" t="inlineStr">
        <is>
          <t>m</t>
        </is>
      </c>
      <c r="E57" s="9" t="inlineStr">
        <is>
          <t>Altura libre entre losas</t>
        </is>
      </c>
      <c r="F57" s="10" t="inlineStr">
        <is>
          <t>NTC-M 6.1.3, p. 60</t>
        </is>
      </c>
    </row>
    <row r="58" ht="19.5" customHeight="1">
      <c r="B58" s="6" t="inlineStr">
        <is>
          <t>t — espesor típico de la mampostería</t>
        </is>
      </c>
      <c r="C58" s="15" t="n">
        <v>15</v>
      </c>
      <c r="D58" s="8" t="inlineStr">
        <is>
          <t>cm</t>
        </is>
      </c>
      <c r="E58" s="9" t="inlineStr">
        <is>
          <t>≥ 12 cm en Tipo I</t>
        </is>
      </c>
      <c r="F58" s="10" t="inlineStr">
        <is>
          <t>NTC-M 6.1.3, p. 60</t>
        </is>
      </c>
    </row>
    <row r="59" ht="19.5" customHeight="1">
      <c r="B59" s="6" t="inlineStr">
        <is>
          <t>h_c — castillo, lado paralelo al muro</t>
        </is>
      </c>
      <c r="C59" s="15" t="n">
        <v>15</v>
      </c>
      <c r="D59" s="8" t="inlineStr">
        <is>
          <t>cm</t>
        </is>
      </c>
      <c r="E59" s="9" t="inlineStr">
        <is>
          <t>≥ 15 cm</t>
        </is>
      </c>
      <c r="F59" s="10" t="inlineStr">
        <is>
          <t>NTC-M 6.2.1.1 b), p. 60</t>
        </is>
      </c>
    </row>
    <row r="60" ht="19.5" customHeight="1">
      <c r="B60" s="6" t="inlineStr">
        <is>
          <t>b_c — castillo, lado perpendicular al muro</t>
        </is>
      </c>
      <c r="C60" s="15" t="n">
        <v>15</v>
      </c>
      <c r="D60" s="8" t="inlineStr">
        <is>
          <t>cm</t>
        </is>
      </c>
      <c r="E60" s="9" t="inlineStr">
        <is>
          <t>≥ 12 cm y ≥ t</t>
        </is>
      </c>
      <c r="F60" s="10" t="inlineStr">
        <is>
          <t>NTC-M 6.2.1.1 b), p. 60</t>
        </is>
      </c>
    </row>
    <row r="61" ht="19.5" customHeight="1">
      <c r="B61" s="6" t="inlineStr">
        <is>
          <t>Varillas longitudinales por castillo</t>
        </is>
      </c>
      <c r="C61" s="11" t="n">
        <v>4</v>
      </c>
      <c r="D61" s="8" t="inlineStr">
        <is>
          <t>pzas</t>
        </is>
      </c>
      <c r="E61" s="9" t="inlineStr">
        <is>
          <t>≥ 4</t>
        </is>
      </c>
      <c r="F61" s="10" t="inlineStr">
        <is>
          <t>NTC-M 6.2.2.2, p. 62</t>
        </is>
      </c>
    </row>
    <row r="62" ht="19.5" customHeight="1">
      <c r="B62" s="6" t="inlineStr">
        <is>
          <t>No. de varilla del castillo</t>
        </is>
      </c>
      <c r="C62" s="21" t="n">
        <v>3</v>
      </c>
      <c r="D62" s="8" t="inlineStr">
        <is>
          <t>No.</t>
        </is>
      </c>
      <c r="E62" s="9" t="inlineStr"/>
      <c r="F62" s="10" t="inlineStr">
        <is>
          <t>TABLAS</t>
        </is>
      </c>
    </row>
    <row r="63" ht="19.5" customHeight="1">
      <c r="B63" s="6" t="inlineStr">
        <is>
          <t>No. del estribo de castillos y dalas</t>
        </is>
      </c>
      <c r="C63" s="21" t="n">
        <v>2</v>
      </c>
      <c r="D63" s="8" t="inlineStr">
        <is>
          <t>No.</t>
        </is>
      </c>
      <c r="E63" s="9" t="inlineStr"/>
      <c r="F63" s="10" t="inlineStr">
        <is>
          <t>NTC-M 6.2.2.3, p. 62</t>
        </is>
      </c>
    </row>
    <row r="64" ht="19.5" customHeight="1">
      <c r="B64" s="6" t="inlineStr">
        <is>
          <t>s — separación de estribos en el castillo</t>
        </is>
      </c>
      <c r="C64" s="15" t="n">
        <v>20</v>
      </c>
      <c r="D64" s="8" t="inlineStr">
        <is>
          <t>cm</t>
        </is>
      </c>
      <c r="E64" s="9" t="inlineStr">
        <is>
          <t>≤ 1.5·t y ≤ 20 cm</t>
        </is>
      </c>
      <c r="F64" s="10" t="inlineStr">
        <is>
          <t>NTC-M 6.2.2.3, p. 62</t>
        </is>
      </c>
    </row>
    <row r="65" ht="30" customHeight="1">
      <c r="B65" s="6" t="inlineStr">
        <is>
          <t>s₀ — separación de estribos en los extremos (H₀)</t>
        </is>
      </c>
      <c r="C65" s="15" t="n">
        <v>7.5</v>
      </c>
      <c r="D65" s="8" t="inlineStr">
        <is>
          <t>cm</t>
        </is>
      </c>
      <c r="E65" s="9" t="inlineStr">
        <is>
          <t>≤ h_c/2, en H₀ = máx(H/6, 40 cm)</t>
        </is>
      </c>
      <c r="F65" s="10" t="inlineStr">
        <is>
          <t>NTC-M 6.2.3.2, p. 62</t>
        </is>
      </c>
    </row>
    <row r="66" ht="30" customHeight="1">
      <c r="B66" s="6" t="inlineStr">
        <is>
          <t>Recubrimiento libre de las varillas de castillos y dalas</t>
        </is>
      </c>
      <c r="C66" s="15" t="n">
        <v>2</v>
      </c>
      <c r="D66" s="8" t="inlineStr">
        <is>
          <t>cm</t>
        </is>
      </c>
      <c r="E66" s="9" t="inlineStr">
        <is>
          <t>≥ 2 cm</t>
        </is>
      </c>
      <c r="F66" s="10" t="inlineStr">
        <is>
          <t>NTC-M 4.2.4.1.1, p. 49</t>
        </is>
      </c>
    </row>
    <row r="67" ht="19.5" customHeight="1">
      <c r="B67" s="6" t="inlineStr">
        <is>
          <t>h_d — peralte de la dala</t>
        </is>
      </c>
      <c r="C67" s="15" t="n">
        <v>20</v>
      </c>
      <c r="D67" s="8" t="inlineStr">
        <is>
          <t>cm</t>
        </is>
      </c>
      <c r="E67" s="9" t="inlineStr">
        <is>
          <t>≥ 15 cm</t>
        </is>
      </c>
      <c r="F67" s="10" t="inlineStr">
        <is>
          <t>NTC-M 6.2.1.2 b), p. 60</t>
        </is>
      </c>
    </row>
    <row r="68" ht="19.5" customHeight="1">
      <c r="B68" s="6" t="inlineStr">
        <is>
          <t>b_d — ancho de la dala</t>
        </is>
      </c>
      <c r="C68" s="15" t="n">
        <v>15</v>
      </c>
      <c r="D68" s="8" t="inlineStr">
        <is>
          <t>cm</t>
        </is>
      </c>
      <c r="E68" s="9" t="inlineStr">
        <is>
          <t>≥ 12 cm</t>
        </is>
      </c>
      <c r="F68" s="10" t="inlineStr">
        <is>
          <t>NTC-M 6.2.1.2 b), p. 60</t>
        </is>
      </c>
    </row>
    <row r="69" ht="19.5" customHeight="1">
      <c r="B69" s="6" t="inlineStr">
        <is>
          <t>Varillas longitudinales de la dala</t>
        </is>
      </c>
      <c r="C69" s="11" t="n">
        <v>4</v>
      </c>
      <c r="D69" s="8" t="inlineStr">
        <is>
          <t>pzas</t>
        </is>
      </c>
      <c r="E69" s="9" t="inlineStr">
        <is>
          <t>≥ 4</t>
        </is>
      </c>
      <c r="F69" s="10" t="inlineStr">
        <is>
          <t>NTC-M 6.2.2.2, p. 62</t>
        </is>
      </c>
    </row>
    <row r="70" ht="19.5" customHeight="1">
      <c r="B70" s="6" t="inlineStr">
        <is>
          <t>No. de varilla de la dala</t>
        </is>
      </c>
      <c r="C70" s="21" t="n">
        <v>3</v>
      </c>
      <c r="D70" s="8" t="inlineStr">
        <is>
          <t>No.</t>
        </is>
      </c>
      <c r="E70" s="9" t="inlineStr"/>
      <c r="F70" s="10" t="inlineStr">
        <is>
          <t>TABLAS</t>
        </is>
      </c>
    </row>
    <row r="71" ht="19.5" customHeight="1">
      <c r="B71" s="6" t="inlineStr">
        <is>
          <t>s — separación de estribos en la dala</t>
        </is>
      </c>
      <c r="C71" s="15" t="n">
        <v>20</v>
      </c>
      <c r="D71" s="8" t="inlineStr">
        <is>
          <t>cm</t>
        </is>
      </c>
      <c r="E71" s="9" t="inlineStr">
        <is>
          <t>≤ 1.5·t y ≤ 20 cm</t>
        </is>
      </c>
      <c r="F71" s="10" t="inlineStr">
        <is>
          <t>NTC-M 6.2.2.3, p. 62</t>
        </is>
      </c>
    </row>
    <row r="72" ht="30" customHeight="1">
      <c r="B72" s="6" t="inlineStr">
        <is>
          <t>L mín. — tramo más corto que se cuenta como muro</t>
        </is>
      </c>
      <c r="C72" s="14">
        <f>ROUND(2*DATOS!$C$59/100,2)</f>
        <v>0.3</v>
      </c>
      <c r="D72" s="8" t="inlineStr">
        <is>
          <t>m</t>
        </is>
      </c>
      <c r="E72" s="9" t="inlineStr">
        <is>
          <t>Tramo más corto que cuenta como muro (dos castillos)</t>
        </is>
      </c>
      <c r="F72" s="10" t="inlineStr">
        <is>
          <t>Criterio de esta hoja — no viene de norma</t>
        </is>
      </c>
    </row>
    <row r="73" ht="30" customHeight="1">
      <c r="B73" s="6" t="inlineStr">
        <is>
          <t>Varilla o alambre del refuerzo horizontal (si MUROS no dice otro)</t>
        </is>
      </c>
      <c r="C73" s="7" t="inlineStr">
        <is>
          <t>5/32 in</t>
        </is>
      </c>
      <c r="D73" s="8" t="inlineStr">
        <is>
          <t>—</t>
        </is>
      </c>
      <c r="E73" s="9" t="inlineStr"/>
      <c r="F73" s="10" t="inlineStr">
        <is>
          <t>NTC-M 4.2.2.2.1, p. 47</t>
        </is>
      </c>
    </row>
    <row r="74" ht="19.5" customHeight="1">
      <c r="B74" s="6" t="inlineStr">
        <is>
          <t>Malla (si MUROS dice MALLA y no dice cuál)</t>
        </is>
      </c>
      <c r="C74" s="7" t="inlineStr">
        <is>
          <t>6x6-10/10</t>
        </is>
      </c>
      <c r="D74" s="8" t="inlineStr">
        <is>
          <t>—</t>
        </is>
      </c>
      <c r="E74" s="9" t="inlineStr"/>
      <c r="F74" s="10" t="inlineStr">
        <is>
          <t>TABLAS</t>
        </is>
      </c>
    </row>
    <row r="75" ht="6" customHeight="1"/>
    <row r="76" ht="21" customHeight="1">
      <c r="B76" s="2" t="inlineStr">
        <is>
          <t>5. REVISIÓN DEL CASTILLO Y LA DALA TÍPICOS (6.2)</t>
        </is>
      </c>
    </row>
    <row r="77" ht="30" customHeight="1">
      <c r="B77" s="5" t="inlineStr">
        <is>
          <t>Concepto</t>
        </is>
      </c>
      <c r="C77" s="5" t="inlineStr">
        <is>
          <t>Valor</t>
        </is>
      </c>
      <c r="D77" s="5" t="inlineStr">
        <is>
          <t>Unidad</t>
        </is>
      </c>
      <c r="E77" s="5" t="inlineStr">
        <is>
          <t>Cómo se calcula / de dónde sale</t>
        </is>
      </c>
      <c r="F77" s="5" t="inlineStr">
        <is>
          <t>Referencia</t>
        </is>
      </c>
    </row>
    <row r="78" ht="19.5" customHeight="1">
      <c r="B78" s="6" t="inlineStr">
        <is>
          <t>A_s del castillo</t>
        </is>
      </c>
      <c r="C78" s="18">
        <f>DATOS!$C$61*INDEX(TABLAS!$D$6:$D$14,MATCH(DATOS!$C$62,TABLAS!$B$6:$B$14,0))</f>
        <v>2.84</v>
      </c>
      <c r="D78" s="8" t="inlineStr">
        <is>
          <t>cm²</t>
        </is>
      </c>
      <c r="E78" s="9" t="inlineStr"/>
      <c r="F78" s="10" t="inlineStr">
        <is>
          <t>TABLAS</t>
        </is>
      </c>
    </row>
    <row r="79" ht="19.5" customHeight="1">
      <c r="B79" s="6" t="inlineStr">
        <is>
          <t>A_s mínima = 0.2·f'c/f_y·b_c·h_c</t>
        </is>
      </c>
      <c r="C79" s="18">
        <f>0.2*DATOS!$C$47/DATOS!$C$48*DATOS!$C$60*DATOS!$C$59</f>
        <v>2.14285714285714</v>
      </c>
      <c r="D79" s="8" t="inlineStr">
        <is>
          <t>cm²</t>
        </is>
      </c>
      <c r="E79" s="9" t="inlineStr">
        <is>
          <t>0.2·f'c/f_y·b_c·h_c</t>
        </is>
      </c>
      <c r="F79" s="10" t="inlineStr">
        <is>
          <t>NTC-M 6.2.2.2, p. 62</t>
        </is>
      </c>
    </row>
    <row r="80" ht="43.5" customHeight="1">
      <c r="B80" s="6" t="inlineStr">
        <is>
          <t>A_sc de estribo (2 ramas) ≥ 1 000·s/(f_y·h_c)</t>
        </is>
      </c>
      <c r="C80" s="18">
        <f>2*INDEX(TABLAS!$D$6:$D$14,MATCH(DATOS!$C$63,TABLAS!$B$6:$B$14,0))</f>
        <v>0.64</v>
      </c>
      <c r="D80" s="8" t="inlineStr">
        <is>
          <t>cm²</t>
        </is>
      </c>
      <c r="E80" s="9" t="str">
        <f>"Mínimo: "&amp;TEXT(1000*DATOS!$C$64/(DATOS!$C$49*DATOS!$C$59),"0.00")&amp;" cm² (castillo) · "&amp;TEXT(1000*DATOS!$C$71/(DATOS!$C$49*DATOS!$C$67),"0.00")&amp;" cm² (dala)"</f>
        <v>Mínimo: 0.53 cm² (castillo) · 0.40 cm² (dala)</v>
      </c>
      <c r="F80" s="10" t="inlineStr">
        <is>
          <t>NTC-M ec. 6.2.3.3, p. 62</t>
        </is>
      </c>
    </row>
    <row r="81" ht="30" customHeight="1">
      <c r="B81" s="6" t="inlineStr">
        <is>
          <t>CASTILLO TÍPICO</t>
        </is>
      </c>
      <c r="C81" s="12" t="str">
        <f>IF(AND(DATOS!$C$59&gt;=15,DATOS!$C$60&gt;=12,DATOS!$C$60&gt;=DATOS!$C$58,DATOS!$C$61&gt;=4,DATOS!$C$78&gt;=0.99*DATOS!$C$79,INDEX(TABLAS!$C$6:$C$14,MATCH(DATOS!$C$62,TABLAS!$B$6:$B$14,0))&lt;=DATOS!$C$59/6*MIN(1,DATOS!$C$60/DATOS!$C$59),DATOS!$C$80&gt;=1000*DATOS!$C$64/(DATOS!$C$49*DATOS!$C$59)-0.0001,DATOS!$C$64&lt;=MIN(1.5*DATOS!$C$58,20),DATOS!$C$65&lt;=DATOS!$C$59/2,DATOS!$C$47&gt;=200,DATOS!$C$66&gt;=2,DATOS!$C$66-INDEX(TABLAS!$C$6:$C$14,MATCH(DATOS!$C$63,TABLAS!$B$6:$B$14,0))&gt;=1),"CUMPLE","NO CUMPLE: "&amp;IF(OR(DATOS!$C$59&lt;15,DATOS!$C$60&lt;12,DATOS!$C$60&lt;DATOS!$C$58),"dimensiones (6.2.1.1 b) ","")&amp;IF(OR(DATOS!$C$61&lt;4,DATOS!$C$78&lt;0.99*DATOS!$C$79),"A_s (6.2.2.2) ","")&amp;IF(INDEX(TABLAS!$C$6:$C$14,MATCH(DATOS!$C$62,TABLAS!$B$6:$B$14,0))&gt;MIN(DATOS!$C$60,DATOS!$C$59)/6,"varilla &gt; 1/6 del lado (4.2.2.1.2) ","")&amp;IF(DATOS!$C$80&lt;1000*DATOS!$C$64/(DATOS!$C$49*DATOS!$C$59)-0.0001,"estribo (6.2.2.3) ","")&amp;IF(DATOS!$C$64&gt;MIN(1.5*DATOS!$C$58,20),"s &gt; mín(1.5t, 20) ","")&amp;IF(DATOS!$C$65&gt;DATOS!$C$59/2,"s₀ &gt; h_c/2 (6.2.3.2) ","")&amp;IF(DATOS!$C$47&lt;200,"f'c &lt; 200 ","")&amp;IF(OR(DATOS!$C$66&lt;2,DATOS!$C$66-INDEX(TABLAS!$C$6:$C$14,MATCH(DATOS!$C$63,TABLAS!$B$6:$B$14,0))&lt;1),"recubrimiento (4.2.4.1.1)",""))</f>
        <v>CUMPLE</v>
      </c>
      <c r="D81" s="8" t="inlineStr">
        <is>
          <t>—</t>
        </is>
      </c>
      <c r="E81" s="9" t="inlineStr"/>
      <c r="F81" s="10" t="inlineStr">
        <is>
          <t>NTC-M 6.2.1 a 6.2.3 y 4.2, p. 47–62</t>
        </is>
      </c>
    </row>
    <row r="82" ht="30" customHeight="1">
      <c r="B82" s="6" t="inlineStr">
        <is>
          <t>DALA TÍPICA</t>
        </is>
      </c>
      <c r="C82" s="12" t="str">
        <f>IF(AND(DATOS!$C$67&gt;=15,DATOS!$C$68&gt;=12,DATOS!$C$68&gt;=DATOS!$C$58,DATOS!$C$69&gt;=4,DATOS!$C$69*INDEX(TABLAS!$D$6:$D$14,MATCH(DATOS!$C$70,TABLAS!$B$6:$B$14,0))&gt;=0.99*0.2*DATOS!$C$47/DATOS!$C$48*DATOS!$C$68*DATOS!$C$67,INDEX(TABLAS!$C$6:$C$14,MATCH(DATOS!$C$70,TABLAS!$B$6:$B$14,0))&lt;=MIN(DATOS!$C$68,DATOS!$C$67)/6,DATOS!$C$80&gt;=1000*DATOS!$C$71/(DATOS!$C$49*DATOS!$C$67)-0.0001,DATOS!$C$71&lt;=MIN(1.5*DATOS!$C$58,20)),"CUMPLE","NO CUMPLE: "&amp;IF(OR(DATOS!$C$67&lt;15,DATOS!$C$68&lt;12,DATOS!$C$68&lt;DATOS!$C$58),"dimensiones (6.2.1.2 b) ","")&amp;IF(OR(DATOS!$C$69&lt;4,DATOS!$C$69*INDEX(TABLAS!$D$6:$D$14,MATCH(DATOS!$C$70,TABLAS!$B$6:$B$14,0))&lt;0.99*0.2*DATOS!$C$47/DATOS!$C$48*DATOS!$C$68*DATOS!$C$67),"A_s (6.2.2.2) ","")&amp;IF(INDEX(TABLAS!$C$6:$C$14,MATCH(DATOS!$C$70,TABLAS!$B$6:$B$14,0))&gt;MIN(DATOS!$C$68,DATOS!$C$67)/6,"varilla &gt; 1/6 del lado ","")&amp;IF(DATOS!$C$80&lt;1000*DATOS!$C$71/(DATOS!$C$49*DATOS!$C$67)-0.0001,"estribo (6.2.2.3) ","")&amp;IF(DATOS!$C$71&gt;MIN(1.5*DATOS!$C$58,20),"s &gt; mín(1.5t, 20)",""))</f>
        <v>CUMPLE</v>
      </c>
      <c r="D82" s="8" t="inlineStr">
        <is>
          <t>—</t>
        </is>
      </c>
      <c r="E82" s="9" t="inlineStr"/>
      <c r="F82" s="10" t="inlineStr">
        <is>
          <t>NTC-M 6.2.1.2 y 6.2.2, p. 60–62</t>
        </is>
      </c>
    </row>
    <row r="83" ht="6" customHeight="1"/>
    <row r="84" ht="21" customHeight="1">
      <c r="B84" s="2" t="inlineStr">
        <is>
          <t>6. FACTORES DE RESISTENCIA Y DE CARGA</t>
        </is>
      </c>
    </row>
    <row r="85" ht="30" customHeight="1">
      <c r="B85" s="5" t="inlineStr">
        <is>
          <t>Concepto</t>
        </is>
      </c>
      <c r="C85" s="5" t="inlineStr">
        <is>
          <t>Valor</t>
        </is>
      </c>
      <c r="D85" s="5" t="inlineStr">
        <is>
          <t>Unidad</t>
        </is>
      </c>
      <c r="E85" s="5" t="inlineStr">
        <is>
          <t>Cómo se calcula / de dónde sale</t>
        </is>
      </c>
      <c r="F85" s="5" t="inlineStr">
        <is>
          <t>Referencia</t>
        </is>
      </c>
    </row>
    <row r="86" ht="19.5" customHeight="1">
      <c r="B86" s="6" t="inlineStr">
        <is>
          <t>F_R — cortante</t>
        </is>
      </c>
      <c r="C86" s="18" t="n">
        <v>0.7</v>
      </c>
      <c r="D86" s="8" t="inlineStr">
        <is>
          <t>—</t>
        </is>
      </c>
      <c r="E86" s="9" t="inlineStr"/>
      <c r="F86" s="10" t="inlineStr">
        <is>
          <t>NTC-M 4.1.6.4, p. 40</t>
        </is>
      </c>
    </row>
    <row r="87" ht="19.5" customHeight="1">
      <c r="B87" s="6" t="inlineStr">
        <is>
          <t>F_R — compresión (P_R) y f_CM de 4.1.18</t>
        </is>
      </c>
      <c r="C87" s="18" t="n">
        <v>0.6</v>
      </c>
      <c r="D87" s="8" t="inlineStr">
        <is>
          <t>—</t>
        </is>
      </c>
      <c r="E87" s="9" t="inlineStr"/>
      <c r="F87" s="10" t="inlineStr">
        <is>
          <t>NTC-M 4.1.6.2, p. 39</t>
        </is>
      </c>
    </row>
    <row r="88" ht="19.5" customHeight="1">
      <c r="B88" s="6" t="inlineStr">
        <is>
          <t>F_R — flexocompresión (método optativo)</t>
        </is>
      </c>
      <c r="C88" s="13" t="inlineStr">
        <is>
          <t>0.8 / 0.6</t>
        </is>
      </c>
      <c r="D88" s="8" t="inlineStr">
        <is>
          <t>—</t>
        </is>
      </c>
      <c r="E88" s="9" t="inlineStr">
        <is>
          <t>0.8 si P_u ≤ P_R/3; si no, 0.6</t>
        </is>
      </c>
      <c r="F88" s="10" t="inlineStr">
        <is>
          <t>NTC-M 4.1.6.3.1 b), p. 39</t>
        </is>
      </c>
    </row>
    <row r="89" ht="19.5" customHeight="1">
      <c r="B89" s="6" t="inlineStr">
        <is>
          <t>FC — combinaciones con sismo</t>
        </is>
      </c>
      <c r="C89" s="14" t="n">
        <v>1.1</v>
      </c>
      <c r="D89" s="8" t="inlineStr">
        <is>
          <t>—</t>
        </is>
      </c>
      <c r="E89" s="9" t="inlineStr">
        <is>
          <t>Para sacar P sin factor</t>
        </is>
      </c>
      <c r="F89" s="10" t="inlineStr">
        <is>
          <t>NTC-Criterios 3.4.1 b), p. 7</t>
        </is>
      </c>
    </row>
    <row r="90" ht="19.5" customHeight="1">
      <c r="B90" s="6" t="inlineStr">
        <is>
          <t>FC — cargas permanentes en gravedad</t>
        </is>
      </c>
      <c r="C90" s="18">
        <f>IF(DATOS!$C$7="A",1.5,1.3)</f>
        <v>1.3</v>
      </c>
      <c r="D90" s="8" t="inlineStr">
        <is>
          <t>—</t>
        </is>
      </c>
      <c r="E90" s="9" t="inlineStr"/>
      <c r="F90" s="10" t="inlineStr">
        <is>
          <t>NTC-Criterios 3.4.1 a), p. 7</t>
        </is>
      </c>
    </row>
    <row r="91" ht="19.5" customHeight="1">
      <c r="B91" s="6" t="inlineStr">
        <is>
          <t>α — del refuerzo horizontal</t>
        </is>
      </c>
      <c r="C91" s="22" t="n">
        <v>0.045</v>
      </c>
      <c r="D91" s="8" t="inlineStr">
        <is>
          <t>cm²/kg</t>
        </is>
      </c>
      <c r="E91" s="9" t="inlineStr"/>
      <c r="F91" s="10" t="inlineStr">
        <is>
          <t>NTC-M 6.5.3.4.1, p. 70</t>
        </is>
      </c>
    </row>
    <row r="92" ht="6" customHeight="1"/>
    <row r="93" ht="21" customHeight="1">
      <c r="B93" s="2" t="inlineStr">
        <is>
          <t>7. SISMO — FACTOR DE COMPORTAMIENTO Y DISTORSIONES (NTC-Sismo 1.7 y Tabla 4.3.3)</t>
        </is>
      </c>
    </row>
    <row r="94" ht="30" customHeight="1">
      <c r="B94" s="5" t="inlineStr">
        <is>
          <t>Concepto</t>
        </is>
      </c>
      <c r="C94" s="5" t="inlineStr">
        <is>
          <t>Valor</t>
        </is>
      </c>
      <c r="D94" s="5" t="inlineStr">
        <is>
          <t>Unidad</t>
        </is>
      </c>
      <c r="E94" s="5" t="inlineStr">
        <is>
          <t>Cómo se calcula / de dónde sale</t>
        </is>
      </c>
      <c r="F94" s="5" t="inlineStr">
        <is>
          <t>Referencia</t>
        </is>
      </c>
    </row>
    <row r="95" ht="19.5" customHeight="1">
      <c r="B95" s="6" t="inlineStr">
        <is>
          <t>¿Todos los muros llevan refuerzo horizontal?</t>
        </is>
      </c>
      <c r="C95" s="13" t="str">
        <f>IF(COUNTIF(MUROS!$BI$11:$BI$70,"SÍ")=0,"NO",IF(COUNTIFS(MUROS!$BI$11:$BI$70,"SÍ",MUROS!$AE$11:$AE$70,"VARILLA EN JUNTAS")+COUNTIFS(MUROS!$BI$11:$BI$70,"SÍ",MUROS!$AE$11:$AE$70,"MALLA")=COUNTIF(MUROS!$BI$11:$BI$70,"SÍ"),"SÍ","NO"))</f>
        <v>NO</v>
      </c>
      <c r="D95" s="8" t="inlineStr">
        <is>
          <t>—</t>
        </is>
      </c>
      <c r="E95" s="9" t="inlineStr"/>
      <c r="F95" s="10" t="inlineStr">
        <is>
          <t>NTC-Sismo Tabla 4.3.3, nota [2], p. 60</t>
        </is>
      </c>
    </row>
    <row r="96" ht="19.5" customHeight="1">
      <c r="B96" s="6" t="inlineStr">
        <is>
          <t>Estructuración (fila de la Tabla 4.3.3)</t>
        </is>
      </c>
      <c r="C96" s="13" t="str">
        <f>"CONFINADA DE PIEZAS "&amp;IF(DATOS!$C$21="SÍ","HUECAS","MACIZAS")&amp;IF(DATOS!$C$95="SÍ"," CON REFUERZO HORIZONTAL","")</f>
        <v>CONFINADA DE PIEZAS HUECAS</v>
      </c>
      <c r="D96" s="8" t="inlineStr">
        <is>
          <t>—</t>
        </is>
      </c>
      <c r="E96" s="9" t="inlineStr"/>
      <c r="F96" s="10" t="inlineStr">
        <is>
          <t>NTC-Sismo Tabla 4.3.3, p. 60</t>
        </is>
      </c>
    </row>
    <row r="97" ht="19.5" customHeight="1">
      <c r="B97" s="6" t="inlineStr">
        <is>
          <t>Q — factor de comportamiento sísmico</t>
        </is>
      </c>
      <c r="C97" s="17">
        <f>INDEX(TABLAS!$C$54:$C$57,MATCH(DATOS!$C$96,TABLAS!$B$54:$B$57,0))</f>
        <v>1.5</v>
      </c>
      <c r="D97" s="8" t="inlineStr">
        <is>
          <t>—</t>
        </is>
      </c>
      <c r="E97" s="9" t="inlineStr"/>
      <c r="F97" s="10" t="inlineStr">
        <is>
          <t>NTC-Sismo Tabla 4.3.3, p. 60</t>
        </is>
      </c>
    </row>
    <row r="98" ht="19.5" customHeight="1">
      <c r="B98" s="6" t="inlineStr">
        <is>
          <t>γ_SV — distorsión límite de seguridad de vida</t>
        </is>
      </c>
      <c r="C98" s="23">
        <f>INDEX(TABLAS!$D$54:$D$57,MATCH(DATOS!$C$96,TABLAS!$B$54:$B$57,0))</f>
        <v>0.004</v>
      </c>
      <c r="D98" s="8" t="inlineStr">
        <is>
          <t>—</t>
        </is>
      </c>
      <c r="E98" s="9" t="inlineStr"/>
      <c r="F98" s="10" t="inlineStr">
        <is>
          <t>NTC-Sismo Tabla 4.3.3, p. 60</t>
        </is>
      </c>
    </row>
    <row r="99" ht="30" customHeight="1">
      <c r="B99" s="6" t="inlineStr">
        <is>
          <t>γ_OI — distorsión límite de ocupación inmediata</t>
        </is>
      </c>
      <c r="C99" s="24">
        <f>INDEX(TABLAS!$E$54:$E$57,MATCH(DATOS!$C$96,TABLAS!$B$54:$B$57,0))</f>
        <v>0.0015</v>
      </c>
      <c r="D99" s="8" t="inlineStr">
        <is>
          <t>—</t>
        </is>
      </c>
      <c r="E99" s="9" t="inlineStr">
        <is>
          <t>Sólo Grupo A</t>
        </is>
      </c>
      <c r="F99" s="10" t="inlineStr">
        <is>
          <t>NTC-Sismo Tabla 4.3.3 y 1.7, p. 29 y 60</t>
        </is>
      </c>
    </row>
    <row r="100" ht="19.5" customHeight="1">
      <c r="B100" s="6" t="inlineStr">
        <is>
          <t>R' — sobrerresistencia del periodo fundamental</t>
        </is>
      </c>
      <c r="C100" s="14" t="n"/>
      <c r="D100" s="8" t="inlineStr">
        <is>
          <t>—</t>
        </is>
      </c>
      <c r="E100" s="9" t="inlineStr">
        <is>
          <t>Del espectro de tu proyecto (NTC-Sismo 3.3)</t>
        </is>
      </c>
      <c r="F100" s="10" t="inlineStr">
        <is>
          <t>NTC-Sismo 3.3</t>
        </is>
      </c>
    </row>
    <row r="101" ht="30" customHeight="1">
      <c r="B101" s="6" t="inlineStr">
        <is>
          <t>Factor de la distorsión de seguridad de vida = Q·R'·FC</t>
        </is>
      </c>
      <c r="C101" s="22">
        <f>DATOS!$C$97*DATOS!$C$100*DATOS!$C$89</f>
        <v>0</v>
      </c>
      <c r="D101" s="8" t="inlineStr">
        <is>
          <t>—</t>
        </is>
      </c>
      <c r="E101" s="9" t="inlineStr">
        <is>
          <t>Q·R'·FC</t>
        </is>
      </c>
      <c r="F101" s="10" t="inlineStr">
        <is>
          <t>NTC-Sismo 1.7, p. 29</t>
        </is>
      </c>
    </row>
    <row r="102" ht="30" customHeight="1">
      <c r="B102" s="6" t="inlineStr">
        <is>
          <t>¿Los elementos no estructurales están separados de la estructura?</t>
        </is>
      </c>
      <c r="C102" s="7" t="inlineStr">
        <is>
          <t>NO</t>
        </is>
      </c>
      <c r="D102" s="8" t="inlineStr">
        <is>
          <t>—</t>
        </is>
      </c>
      <c r="E102" s="9" t="inlineStr">
        <is>
          <t>NO → 0.002 · SÍ → 0.004</t>
        </is>
      </c>
      <c r="F102" s="10" t="inlineStr">
        <is>
          <t>NTC-Sismo 1.7, p. 29</t>
        </is>
      </c>
    </row>
    <row r="103" ht="30" customHeight="1">
      <c r="B103" s="6" t="inlineStr">
        <is>
          <t>γ_LD — distorsión límite de daño no estructural</t>
        </is>
      </c>
      <c r="C103" s="23">
        <f>IF(DATOS!$C$102="SÍ",0.004,0.002)</f>
        <v>0.002</v>
      </c>
      <c r="D103" s="8" t="inlineStr">
        <is>
          <t>—</t>
        </is>
      </c>
      <c r="E103" s="9" t="inlineStr"/>
      <c r="F103" s="10" t="inlineStr">
        <is>
          <t>NTC-Sismo 1.7, p. 29</t>
        </is>
      </c>
    </row>
    <row r="104" ht="30" customHeight="1">
      <c r="B104" s="6" t="inlineStr">
        <is>
          <t>¿Se permite la estructuración en este grupo?</t>
        </is>
      </c>
      <c r="C104" s="13" t="str">
        <f>IF(AND(DATOS!$C$7="A",DATOS!$C$21="SÍ"),"NO CUMPLE: piezas huecas confinadas no se permiten en el Grupo A (nota [3])","CUMPLE")</f>
        <v>CUMPLE</v>
      </c>
      <c r="D104" s="8" t="inlineStr">
        <is>
          <t>—</t>
        </is>
      </c>
      <c r="E104" s="9" t="inlineStr"/>
      <c r="F104" s="10" t="inlineStr">
        <is>
          <t>NTC-Sismo Tabla 4.3.3, nota [3], p. 60</t>
        </is>
      </c>
    </row>
    <row r="105" ht="6" customHeight="1"/>
    <row r="106" ht="21" customHeight="1">
      <c r="B106" s="2" t="inlineStr">
        <is>
          <t>8. FUERZAS — DE DÓNDE SALEN</t>
        </is>
      </c>
    </row>
    <row r="107" ht="30" customHeight="1">
      <c r="B107" s="5" t="inlineStr">
        <is>
          <t>Concepto</t>
        </is>
      </c>
      <c r="C107" s="5" t="inlineStr">
        <is>
          <t>Valor</t>
        </is>
      </c>
      <c r="D107" s="5" t="inlineStr">
        <is>
          <t>Unidad</t>
        </is>
      </c>
      <c r="E107" s="5" t="inlineStr">
        <is>
          <t>Cómo se calcula / de dónde sale</t>
        </is>
      </c>
      <c r="F107" s="5" t="inlineStr">
        <is>
          <t>Referencia</t>
        </is>
      </c>
    </row>
    <row r="108" ht="19.5" customHeight="1">
      <c r="B108" s="6" t="inlineStr">
        <is>
          <t>Fuerzas de los muros</t>
        </is>
      </c>
      <c r="C108" s="7" t="inlineStr">
        <is>
          <t>CAPTURA EN MUROS</t>
        </is>
      </c>
      <c r="D108" s="8" t="inlineStr">
        <is>
          <t>—</t>
        </is>
      </c>
      <c r="E108" s="9" t="inlineStr">
        <is>
          <t>ETABS: pega la tabla Pier Forces en PIER_FORCES</t>
        </is>
      </c>
      <c r="F108" s="10" t="inlineStr">
        <is>
          <t>Hoja PIER_FORCES</t>
        </is>
      </c>
    </row>
    <row r="109" ht="16" customHeight="1">
      <c r="B109" s="25" t="inlineStr">
        <is>
          <t>Combinaciones que se buscan en PIER_FORCES.</t>
        </is>
      </c>
      <c r="C109" s="26" t="n"/>
      <c r="D109" s="26" t="n"/>
      <c r="E109" s="26" t="n"/>
      <c r="F109" s="26" t="n"/>
    </row>
    <row r="110">
      <c r="B110" s="5" t="inlineStr">
        <is>
          <t>Combinaciones con SISMO</t>
        </is>
      </c>
      <c r="C110" s="5" t="inlineStr">
        <is>
          <t>Combinaciones de GRAVEDAD</t>
        </is>
      </c>
      <c r="D110" s="27" t="n"/>
    </row>
    <row r="111">
      <c r="B111" s="28" t="n"/>
      <c r="C111" s="28" t="n"/>
      <c r="D111" s="29" t="n"/>
    </row>
    <row r="112">
      <c r="B112" s="28" t="n"/>
      <c r="C112" s="28" t="n"/>
      <c r="D112" s="29" t="n"/>
    </row>
    <row r="113">
      <c r="B113" s="28" t="n"/>
      <c r="C113" s="28" t="n"/>
      <c r="D113" s="29" t="n"/>
    </row>
    <row r="114">
      <c r="B114" s="28" t="n"/>
      <c r="C114" s="28" t="n"/>
      <c r="D114" s="29" t="n"/>
    </row>
    <row r="115">
      <c r="B115" s="28" t="n"/>
      <c r="C115" s="28" t="n"/>
      <c r="D115" s="29" t="n"/>
    </row>
    <row r="116">
      <c r="B116" s="28" t="n"/>
      <c r="C116" s="28" t="n"/>
      <c r="D116" s="29" t="n"/>
    </row>
    <row r="117">
      <c r="B117" s="28" t="n"/>
      <c r="C117" s="28" t="n"/>
      <c r="D117" s="29" t="n"/>
    </row>
    <row r="118">
      <c r="B118" s="28" t="n"/>
      <c r="C118" s="28" t="n"/>
      <c r="D118" s="29" t="n"/>
    </row>
    <row r="119">
      <c r="B119" s="28" t="n"/>
      <c r="C119" s="28" t="n"/>
      <c r="D119" s="29" t="n"/>
    </row>
    <row r="120">
      <c r="B120" s="28" t="n"/>
      <c r="C120" s="28" t="n"/>
      <c r="D120" s="29" t="n"/>
    </row>
    <row r="121">
      <c r="B121" s="28" t="n"/>
      <c r="C121" s="28" t="n"/>
      <c r="D121" s="29" t="n"/>
    </row>
    <row r="122">
      <c r="B122" s="28" t="n"/>
      <c r="C122" s="28" t="n"/>
      <c r="D122" s="29" t="n"/>
    </row>
    <row r="123" ht="6" customHeight="1"/>
    <row r="124" ht="21" customHeight="1">
      <c r="B124" s="2" t="inlineStr">
        <is>
          <t>9. DISTORSIONES — CÓMO RECONOCER CADA CASO EN LA TABLA DE ETABS</t>
        </is>
      </c>
    </row>
    <row r="125" ht="30" customHeight="1">
      <c r="B125" s="5" t="inlineStr">
        <is>
          <t>Concepto</t>
        </is>
      </c>
      <c r="C125" s="5" t="inlineStr">
        <is>
          <t>Valor</t>
        </is>
      </c>
      <c r="D125" s="5" t="inlineStr">
        <is>
          <t>Unidad</t>
        </is>
      </c>
      <c r="E125" s="5" t="inlineStr">
        <is>
          <t>Cómo se calcula / de dónde sale</t>
        </is>
      </c>
      <c r="F125" s="5" t="inlineStr">
        <is>
          <t>Referencia</t>
        </is>
      </c>
    </row>
    <row r="126" ht="19.5" customHeight="1">
      <c r="B126" s="6" t="inlineStr">
        <is>
          <t>Texto de los casos de seguridad de vida</t>
        </is>
      </c>
      <c r="C126" s="7" t="inlineStr">
        <is>
          <t>SV</t>
        </is>
      </c>
      <c r="D126" s="8" t="inlineStr">
        <is>
          <t>—</t>
        </is>
      </c>
      <c r="E126" s="9" t="inlineStr"/>
      <c r="F126" s="10" t="inlineStr">
        <is>
          <t>Hoja DISTORSIONES</t>
        </is>
      </c>
    </row>
    <row r="127" ht="19.5" customHeight="1">
      <c r="B127" s="6" t="inlineStr">
        <is>
          <t>Texto de los casos de limitación de daño</t>
        </is>
      </c>
      <c r="C127" s="7" t="inlineStr">
        <is>
          <t>LD</t>
        </is>
      </c>
      <c r="D127" s="8" t="inlineStr">
        <is>
          <t>—</t>
        </is>
      </c>
      <c r="E127" s="9" t="inlineStr"/>
      <c r="F127" s="10" t="inlineStr">
        <is>
          <t>Hoja DISTORSIONES</t>
        </is>
      </c>
    </row>
    <row r="128" ht="30" customHeight="1">
      <c r="B128" s="6" t="inlineStr">
        <is>
          <t>Texto de los casos de ocupación inmediata (Grupo A)</t>
        </is>
      </c>
      <c r="C128" s="7" t="inlineStr">
        <is>
          <t>OI</t>
        </is>
      </c>
      <c r="D128" s="8" t="inlineStr">
        <is>
          <t>—</t>
        </is>
      </c>
      <c r="E128" s="9" t="inlineStr"/>
      <c r="F128" s="10" t="inlineStr">
        <is>
          <t>Hoja DISTORSIONES</t>
        </is>
      </c>
    </row>
  </sheetData>
  <mergeCells count="25">
    <mergeCell ref="B4:F4"/>
    <mergeCell ref="B106:F106"/>
    <mergeCell ref="B109:F109"/>
    <mergeCell ref="C116:D116"/>
    <mergeCell ref="B93:F93"/>
    <mergeCell ref="C113:D113"/>
    <mergeCell ref="B2:F2"/>
    <mergeCell ref="C112:D112"/>
    <mergeCell ref="C121:D121"/>
    <mergeCell ref="C117:D117"/>
    <mergeCell ref="B1:F1"/>
    <mergeCell ref="C118:D118"/>
    <mergeCell ref="B17:F17"/>
    <mergeCell ref="C114:D114"/>
    <mergeCell ref="C115:D115"/>
    <mergeCell ref="C120:D120"/>
    <mergeCell ref="C119:D119"/>
    <mergeCell ref="C110:D110"/>
    <mergeCell ref="B84:F84"/>
    <mergeCell ref="C122:D122"/>
    <mergeCell ref="B55:F55"/>
    <mergeCell ref="B124:F124"/>
    <mergeCell ref="B76:F76"/>
    <mergeCell ref="B45:F45"/>
    <mergeCell ref="C111:D111"/>
  </mergeCells>
  <conditionalFormatting sqref="C1:C129">
    <cfRule type="expression" priority="1" dxfId="0" stopIfTrue="1">
      <formula>OR(ISNUMBER(FIND("NO CUMPLE",C1)),ISNUMBER(FIND("REVISAR",C1)),ISNUMBER(FIND("FALTA",C1)),ISNUMBER(FIND("NO ALCANZA",C1)),ISNUMBER(FIND("FUERA",C1)),ISNUMBER(FIND("NO CUENTA",C1)),ISNUMBER(FIND("NO ESTÁ",C1)),ISNUMBER(FIND("NO VÁLIDO",C1)))</formula>
    </cfRule>
    <cfRule type="expression" priority="2" dxfId="1" stopIfTrue="1">
      <formula>OR(ISNUMBER(FIND("PENDIENTE",C1)),ISNUMBER(FIND("PROVISIONAL",C1)),ISNUMBER(FIND("ESTIMADO",C1)),ISNUMBER(FIND("VER ",C1)),AND(ISNUMBER(FIND("REQUIERE",C1)),NOT(ISNUMBER(FIND("NO REQUIERE",C1)))),ISNUMBER(FIND("AVISO",C1)))</formula>
    </cfRule>
    <cfRule type="expression" priority="3" dxfId="2" stopIfTrue="1">
      <formula>OR(ISNUMBER(FIND("CUMPLE",C1)),ISNUMBER(FIND("VÁLIDO",C1)),ISNUMBER(FIND("NO REQUIERE",C1)),ISNUMBER(FIND("YA LO TIENE",C1)))</formula>
    </cfRule>
  </conditionalFormatting>
  <dataValidations count="16">
    <dataValidation sqref="C7" showDropDown="0" showInputMessage="0" showErrorMessage="1" allowBlank="1" errorTitle="Valor no válido" error="Escoge un valor de la lista" type="list">
      <formula1>LST_GRUPO</formula1>
    </dataValidation>
    <dataValidation sqref="C10" showDropDown="0" showInputMessage="0" showErrorMessage="1" allowBlank="1" errorTitle="Valor no válido" error="Escoge un valor de la lista" type="list">
      <formula1>LST_SINO</formula1>
    </dataValidation>
    <dataValidation sqref="C11" showDropDown="0" showInputMessage="0" showErrorMessage="1" allowBlank="1" errorTitle="Valor no válido" error="Escoge un valor de la lista" type="list">
      <formula1>LST_SINO</formula1>
    </dataValidation>
    <dataValidation sqref="C12" showDropDown="0" showInputMessage="0" showErrorMessage="1" allowBlank="1" errorTitle="Valor no válido" error="Escoge un valor de la lista" type="list">
      <formula1>LST_USO</formula1>
    </dataValidation>
    <dataValidation sqref="C19" showDropDown="0" showInputMessage="0" showErrorMessage="1" allowBlank="1" errorTitle="Valor no válido" error="Escoge un valor de la lista" type="list">
      <formula1>TABLAS!$B$45:$B$49</formula1>
    </dataValidation>
    <dataValidation sqref="C23" showDropDown="0" showInputMessage="0" showErrorMessage="1" allowBlank="1" errorTitle="Valor no válido" error="Escoge un valor de la lista" type="list">
      <formula1>LST_MORT</formula1>
    </dataValidation>
    <dataValidation sqref="C32" showDropDown="0" showInputMessage="0" showErrorMessage="1" allowBlank="1" errorTitle="Valor no válido" error="Escoge un valor de la lista" type="list">
      <formula1>LST_FMSRC</formula1>
    </dataValidation>
    <dataValidation sqref="C40" showDropDown="0" showInputMessage="0" showErrorMessage="1" allowBlank="1" errorTitle="Valor no válido" error="Escoge un valor de la lista" type="list">
      <formula1>LST_VMSRC</formula1>
    </dataValidation>
    <dataValidation sqref="C52" showDropDown="0" showInputMessage="0" showErrorMessage="1" allowBlank="1" errorTitle="Valor no válido" error="Escoge un valor de la lista" type="list">
      <formula1>LST_CLASE</formula1>
    </dataValidation>
    <dataValidation sqref="C62" showDropDown="0" showInputMessage="0" showErrorMessage="1" allowBlank="1" errorTitle="Valor no válido" error="Escoge un valor de la lista" type="list">
      <formula1>TABLAS!$B$6:$B$14</formula1>
    </dataValidation>
    <dataValidation sqref="C63" showDropDown="0" showInputMessage="0" showErrorMessage="1" allowBlank="1" errorTitle="Valor no válido" error="Escoge un valor de la lista" type="list">
      <formula1>TABLAS!$B$6:$B$14</formula1>
    </dataValidation>
    <dataValidation sqref="C70" showDropDown="0" showInputMessage="0" showErrorMessage="1" allowBlank="1" errorTitle="Valor no válido" error="Escoge un valor de la lista" type="list">
      <formula1>TABLAS!$B$6:$B$14</formula1>
    </dataValidation>
    <dataValidation sqref="C73" showDropDown="0" showInputMessage="0" showErrorMessage="1" allowBlank="1" errorTitle="Valor no válido" error="Escoge un valor de la lista" type="list">
      <formula1>TABLAS!$B$6:$B$14</formula1>
    </dataValidation>
    <dataValidation sqref="C74" showDropDown="0" showInputMessage="0" showErrorMessage="1" allowBlank="1" errorTitle="Valor no válido" error="Escoge un valor de la lista" type="list">
      <formula1>TABLAS!$B$19:$B$22</formula1>
    </dataValidation>
    <dataValidation sqref="C102" showDropDown="0" showInputMessage="0" showErrorMessage="1" allowBlank="1" errorTitle="Valor no válido" error="Escoge un valor de la lista" type="list">
      <formula1>LST_SINO</formula1>
    </dataValidation>
    <dataValidation sqref="C108" showDropDown="0" showInputMessage="0" showErrorMessage="1" allowBlank="1" errorTitle="Valor no válido" error="Escoge un valor de la lista" type="list">
      <formula1>LST_FSRC</formula1>
    </dataValidation>
  </dataValidation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EX70"/>
  <sheetViews>
    <sheetView showGridLines="0" zoomScale="8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13" customWidth="1" min="2" max="2"/>
    <col width="9" customWidth="1" min="3" max="3"/>
    <col width="6" customWidth="1" min="4" max="4"/>
    <col width="10" customWidth="1" min="5" max="5"/>
    <col width="7" customWidth="1" min="6" max="6"/>
    <col width="7.5" customWidth="1" min="7" max="7"/>
    <col width="7.5" customWidth="1" min="8" max="8"/>
    <col width="9" customWidth="1" min="9" max="9"/>
    <col width="7.5" customWidth="1" min="10" max="10"/>
    <col width="6.5" customWidth="1" min="11" max="11"/>
    <col width="7" customWidth="1" min="12" max="12"/>
    <col width="6.5" customWidth="1" min="13" max="13"/>
    <col width="9" customWidth="1" min="14" max="14"/>
    <col width="7.5" customWidth="1" min="15" max="15"/>
    <col width="6.5" customWidth="1" min="16" max="16"/>
    <col width="7" customWidth="1" min="17" max="17"/>
    <col width="6.5" customWidth="1" min="18" max="18"/>
    <col width="9" customWidth="1" min="19" max="19"/>
    <col width="7.5" customWidth="1" min="20" max="20"/>
    <col width="6.5" customWidth="1" min="21" max="21"/>
    <col width="7" customWidth="1" min="22" max="22"/>
    <col width="6.5" customWidth="1" min="23" max="23"/>
    <col width="9" customWidth="1" min="24" max="24"/>
    <col width="7.5" customWidth="1" min="25" max="25"/>
    <col width="6.5" customWidth="1" min="26" max="26"/>
    <col width="7" customWidth="1" min="27" max="27"/>
    <col width="6.5" customWidth="1" min="28" max="28"/>
    <col width="7.5" customWidth="1" min="29" max="29"/>
    <col width="7.5" customWidth="1" min="30" max="30"/>
    <col width="13" customWidth="1" min="31" max="31"/>
    <col width="7" customWidth="1" min="32" max="32"/>
    <col width="10" customWidth="1" min="33" max="33"/>
    <col width="7" customWidth="1" min="34" max="34"/>
    <col width="8" customWidth="1" min="35" max="35"/>
    <col width="8" customWidth="1" min="36" max="36"/>
    <col width="6" customWidth="1" min="37" max="37"/>
    <col width="6" customWidth="1" min="38" max="38"/>
    <col width="6.5" customWidth="1" min="39" max="39"/>
    <col width="7" customWidth="1" min="40" max="40"/>
    <col width="7.5" customWidth="1" min="41" max="41"/>
    <col width="8.5" customWidth="1" min="42" max="42"/>
    <col width="7" customWidth="1" min="43" max="43"/>
    <col width="7" customWidth="1" min="44" max="44"/>
    <col width="8" customWidth="1" min="45" max="45"/>
    <col width="7.5" customWidth="1" min="46" max="46"/>
    <col width="8" customWidth="1" min="47" max="47"/>
    <col width="8" customWidth="1" min="48" max="48"/>
    <col width="7.5" customWidth="1" min="49" max="49"/>
    <col hidden="1" outlineLevel="1" width="15" customWidth="1" min="50" max="62"/>
    <col width="7" customWidth="1" min="63" max="63"/>
    <col width="7" customWidth="1" min="64" max="64"/>
    <col width="7" customWidth="1" min="65" max="65"/>
    <col hidden="1" outlineLevel="1" width="7" customWidth="1" min="66" max="66"/>
    <col width="7" customWidth="1" min="67" max="67"/>
    <col hidden="1" outlineLevel="1" width="7" customWidth="1" min="68" max="79"/>
    <col width="7.5" customWidth="1" min="80" max="80"/>
    <col hidden="1" outlineLevel="1" width="6" customWidth="1" min="81" max="93"/>
    <col width="7.5" customWidth="1" min="94" max="94"/>
    <col width="6.5" customWidth="1" min="95" max="95"/>
    <col hidden="1" outlineLevel="1" width="7.5" customWidth="1" min="96" max="100"/>
    <col width="7.5" customWidth="1" min="101" max="101"/>
    <col width="6.5" customWidth="1" min="102" max="102"/>
    <col hidden="1" outlineLevel="1" width="5.5" customWidth="1" min="103" max="112"/>
    <col width="7.5" customWidth="1" min="113" max="113"/>
    <col hidden="1" outlineLevel="1" width="7.5" customWidth="1" min="114" max="129"/>
    <col width="7.5" customWidth="1" min="130" max="130"/>
    <col width="18" customWidth="1" min="131" max="131"/>
    <col width="7.5" customWidth="1" min="132" max="132"/>
    <col width="6.5" customWidth="1" min="133" max="133"/>
    <col hidden="1" outlineLevel="1" width="8" customWidth="1" min="134" max="134"/>
    <col width="26" customWidth="1" min="135" max="135"/>
    <col hidden="1" outlineLevel="1" width="8" customWidth="1" min="136" max="145"/>
    <col width="18" customWidth="1" min="146" max="146"/>
    <col hidden="1" outlineLevel="1" width="7" customWidth="1" min="147" max="152"/>
    <col width="32" customWidth="1" min="153" max="153"/>
    <col width="40" customWidth="1" min="154" max="154"/>
  </cols>
  <sheetData>
    <row r="1" ht="26" customHeight="1">
      <c r="B1" s="30" t="inlineStr">
        <is>
          <t>MUROS — UN RENGLÓN POR MURO (NTC-MAMPOSTERÍA 2023)</t>
        </is>
      </c>
    </row>
    <row r="2" ht="22" customHeight="1">
      <c r="B2" s="31" t="inlineStr">
        <is>
          <t>Amarillo = captura. Las cuentas intermedias están agrupadas: ábrelas con [+] arriba de las columnas. DETALLE explica un muro paso a paso y CROQUIS lo dibuja.</t>
        </is>
      </c>
    </row>
    <row r="3" ht="22" customHeight="1">
      <c r="B3" s="32" t="str">
        <f>"Proyecto: "&amp;DATOS!$C$6&amp;" · "&amp;DATOS!$C$14&amp;" · f'm = "&amp;TEXT(DATOS!$C$33,"0")&amp;" kg/cm² · v'm = "&amp;TEXT(DATOS!$C$41,"0.00")&amp;" kg/cm² ("&amp;DATOS!$C$40&amp;") · fuerzas: "&amp;DATOS!$C$108&amp;" · castillo "&amp;DATOS!$C$59&amp;"×"&amp;DATOS!$C$60&amp;" con "&amp;DATOS!$C$61&amp;" No. "&amp;DATOS!$C$62</f>
        <v>Proyecto: (nombre del proyecto) · TIPO I · f'm = 50 kg/cm² · v'm = 2.00 kg/cm² (PROVISIONAL (CAPTURA)) · fuerzas: CAPTURA EN MUROS · castillo 15×15 con 4 No. 3</v>
      </c>
    </row>
    <row r="4" ht="6" customHeight="1"/>
    <row r="5" ht="26" customHeight="1">
      <c r="B5" s="33" t="inlineStr">
        <is>
          <t>Muro y Story iguales que en ETABS. H y t vacíos = los de DATOS.</t>
        </is>
      </c>
      <c r="I5" s="33" t="inlineStr">
        <is>
          <t>De izquierda a derecha. x = del extremo izquierdo al vano. Puerta: antepecho 0.</t>
        </is>
      </c>
      <c r="AC5" s="33" t="inlineStr">
        <is>
          <t>Opcional. Refuerzo horizontal: varilla en juntas o malla.</t>
        </is>
      </c>
      <c r="AI5" s="33" t="inlineStr">
        <is>
          <t>Sólo si el muro desplanta sobre una viga (4.1.18).</t>
        </is>
      </c>
      <c r="AQ5" s="33" t="inlineStr">
        <is>
          <t>Sólo si DATOS dice CAPTURA. P = la mínima sin factor.</t>
        </is>
      </c>
      <c r="AX5" s="33" t="inlineStr"/>
      <c r="BI5" s="33" t="inlineStr"/>
      <c r="BS5" s="33" t="inlineStr"/>
      <c r="CI5" s="33" t="inlineStr"/>
      <c r="CO5" s="33" t="inlineStr"/>
      <c r="CR5" s="33" t="inlineStr"/>
      <c r="CY5" s="33" t="inlineStr"/>
      <c r="DJ5" s="33" t="inlineStr"/>
      <c r="EB5" s="33" t="inlineStr"/>
      <c r="EF5" s="33" t="inlineStr"/>
      <c r="EQ5" s="33" t="inlineStr"/>
      <c r="EU5" s="33" t="inlineStr"/>
    </row>
    <row r="6" ht="18" customHeight="1">
      <c r="B6" s="34" t="inlineStr">
        <is>
          <t>MURO — CAPTURA</t>
        </is>
      </c>
      <c r="I6" s="34" t="inlineStr">
        <is>
          <t>VANOS DE IZQUIERDA A DERECHA — CAPTURA</t>
        </is>
      </c>
      <c r="AC6" s="34" t="inlineStr">
        <is>
          <t>CASTILLOS EXTREMOS Y REFUERZO HORIZONTAL — CAPTURA</t>
        </is>
      </c>
      <c r="AI6" s="34" t="inlineStr">
        <is>
          <t>VIGA DE APOYO — CAPTURA</t>
        </is>
      </c>
      <c r="AQ6" s="34" t="inlineStr">
        <is>
          <t>FUERZAS CAPTURADAS (si DATOS dice CAPTURA)</t>
        </is>
      </c>
      <c r="AX6" s="35" t="inlineStr">
        <is>
          <t>FUERZAS QUE SALEN DE PIER_FORCES (ETABS)</t>
        </is>
      </c>
      <c r="BI6" s="35" t="inlineStr">
        <is>
          <t>FUERZAS DE DISEÑO QUE SE USAN</t>
        </is>
      </c>
      <c r="BS6" s="35" t="inlineStr">
        <is>
          <t>SECCIÓN CRÍTICA</t>
        </is>
      </c>
      <c r="CI6" s="35" t="inlineStr">
        <is>
          <t>CASTILLOS (6.2)</t>
        </is>
      </c>
      <c r="CO6" s="35" t="inlineStr">
        <is>
          <t>COMPRESIÓN (6.4.1)</t>
        </is>
      </c>
      <c r="CR6" s="35" t="inlineStr">
        <is>
          <t>FLEXOCOMPRESIÓN EN EL PLANO (6.4.2.2)</t>
        </is>
      </c>
      <c r="CY6" s="35" t="inlineStr">
        <is>
          <t>CORTANTE DE LA MAMPOSTERÍA (6.5.2)</t>
        </is>
      </c>
      <c r="DJ6" s="35" t="inlineStr">
        <is>
          <t>REFUERZO HORIZONTAL (6.5.3 Y 6.5.4)</t>
        </is>
      </c>
      <c r="EB6" s="35" t="inlineStr">
        <is>
          <t>CORTANTE TOTAL</t>
        </is>
      </c>
      <c r="EF6" s="35" t="inlineStr">
        <is>
          <t>MURO SOBRE VIGA (4.1.18)</t>
        </is>
      </c>
      <c r="EQ6" s="35" t="inlineStr">
        <is>
          <t>CANTIDADES</t>
        </is>
      </c>
      <c r="EU6" s="35" t="inlineStr">
        <is>
          <t>RESULTADO</t>
        </is>
      </c>
    </row>
    <row r="7" ht="66" customHeight="1">
      <c r="A7" s="5" t="inlineStr">
        <is>
          <t>#</t>
        </is>
      </c>
      <c r="B7" s="5" t="inlineStr">
        <is>
          <t>Muro (etiqueta del pier en ETABS)</t>
        </is>
      </c>
      <c r="C7" s="5" t="inlineStr">
        <is>
          <t>Story de ETABS</t>
        </is>
      </c>
      <c r="D7" s="5" t="inlineStr">
        <is>
          <t>Dirección</t>
        </is>
      </c>
      <c r="E7" s="5" t="inlineStr">
        <is>
          <t>Posición (para F_E)</t>
        </is>
      </c>
      <c r="F7" s="5" t="inlineStr">
        <is>
          <t>L — longitud total</t>
        </is>
      </c>
      <c r="G7" s="5" t="inlineStr">
        <is>
          <t>H — altura libre (vacío = DATOS)</t>
        </is>
      </c>
      <c r="H7" s="5" t="inlineStr">
        <is>
          <t>t — espesor (vacío = DATOS)</t>
        </is>
      </c>
      <c r="I7" s="5" t="inlineStr">
        <is>
          <t>Vano 1 — tipo</t>
        </is>
      </c>
      <c r="J7" s="5" t="inlineStr">
        <is>
          <t>Vano 1 — x desde el extremo izquierdo</t>
        </is>
      </c>
      <c r="K7" s="5" t="inlineStr">
        <is>
          <t>Vano 1 — ancho</t>
        </is>
      </c>
      <c r="L7" s="5" t="inlineStr">
        <is>
          <t>Vano 1 — antepecho (puerta = 0)</t>
        </is>
      </c>
      <c r="M7" s="5" t="inlineStr">
        <is>
          <t>Vano 1 — alto del vano</t>
        </is>
      </c>
      <c r="N7" s="5" t="inlineStr">
        <is>
          <t>Vano 2 — tipo</t>
        </is>
      </c>
      <c r="O7" s="5" t="inlineStr">
        <is>
          <t>Vano 2 — x desde el extremo izquierdo</t>
        </is>
      </c>
      <c r="P7" s="5" t="inlineStr">
        <is>
          <t>Vano 2 — ancho</t>
        </is>
      </c>
      <c r="Q7" s="5" t="inlineStr">
        <is>
          <t>Vano 2 — antepecho (puerta = 0)</t>
        </is>
      </c>
      <c r="R7" s="5" t="inlineStr">
        <is>
          <t>Vano 2 — alto del vano</t>
        </is>
      </c>
      <c r="S7" s="5" t="inlineStr">
        <is>
          <t>Vano 3 — tipo</t>
        </is>
      </c>
      <c r="T7" s="5" t="inlineStr">
        <is>
          <t>Vano 3 — x desde el extremo izquierdo</t>
        </is>
      </c>
      <c r="U7" s="5" t="inlineStr">
        <is>
          <t>Vano 3 — ancho</t>
        </is>
      </c>
      <c r="V7" s="5" t="inlineStr">
        <is>
          <t>Vano 3 — antepecho (puerta = 0)</t>
        </is>
      </c>
      <c r="W7" s="5" t="inlineStr">
        <is>
          <t>Vano 3 — alto del vano</t>
        </is>
      </c>
      <c r="X7" s="5" t="inlineStr">
        <is>
          <t>Vano 4 — tipo</t>
        </is>
      </c>
      <c r="Y7" s="5" t="inlineStr">
        <is>
          <t>Vano 4 — x desde el extremo izquierdo</t>
        </is>
      </c>
      <c r="Z7" s="5" t="inlineStr">
        <is>
          <t>Vano 4 — ancho</t>
        </is>
      </c>
      <c r="AA7" s="5" t="inlineStr">
        <is>
          <t>Vano 4 — antepecho (puerta = 0)</t>
        </is>
      </c>
      <c r="AB7" s="5" t="inlineStr">
        <is>
          <t>Vano 4 — alto del vano</t>
        </is>
      </c>
      <c r="AC7" s="5" t="inlineStr">
        <is>
          <t>Varillas por castillo extremo (vacío = DATOS)</t>
        </is>
      </c>
      <c r="AD7" s="5" t="inlineStr">
        <is>
          <t>No. de varilla del castillo extremo (vacío = DATOS)</t>
        </is>
      </c>
      <c r="AE7" s="5" t="inlineStr">
        <is>
          <t>Refuerzo horizontal</t>
        </is>
      </c>
      <c r="AF7" s="5" t="inlineStr">
        <is>
          <t>Barras por junta (malla: caras)</t>
        </is>
      </c>
      <c r="AG7" s="5" t="inlineStr">
        <is>
          <t>Varilla / alambre / malla (vacío = DATOS)</t>
        </is>
      </c>
      <c r="AH7" s="5" t="inlineStr">
        <is>
          <t>Cada cuántas hiladas (varilla)</t>
        </is>
      </c>
      <c r="AI7" s="5" t="inlineStr">
        <is>
          <t>¿Desplanta sobre viga? (4.1.18)</t>
        </is>
      </c>
      <c r="AJ7" s="5" t="inlineStr">
        <is>
          <t>Viga</t>
        </is>
      </c>
      <c r="AK7" s="5" t="inlineStr">
        <is>
          <t>b de la viga</t>
        </is>
      </c>
      <c r="AL7" s="5" t="inlineStr">
        <is>
          <t>h de la viga</t>
        </is>
      </c>
      <c r="AM7" s="5" t="inlineStr">
        <is>
          <t>L_v — claro de la viga</t>
        </is>
      </c>
      <c r="AN7" s="5" t="inlineStr">
        <is>
          <t>w_u sobre la viga sin el muro</t>
        </is>
      </c>
      <c r="AO7" s="5" t="inlineStr">
        <is>
          <t>c — del eje del muro al centro de la viga</t>
        </is>
      </c>
      <c r="AP7" s="5" t="inlineStr">
        <is>
          <t>Carga permanente del muro sin factor (vacío = P_u grav./FC)</t>
        </is>
      </c>
      <c r="AQ7" s="5" t="inlineStr">
        <is>
          <t>V_u</t>
        </is>
      </c>
      <c r="AR7" s="5" t="inlineStr">
        <is>
          <t>M_u (en el plano)</t>
        </is>
      </c>
      <c r="AS7" s="5" t="inlineStr">
        <is>
          <t>P mínima SIN factor (para V_mR)</t>
        </is>
      </c>
      <c r="AT7" s="5" t="inlineStr">
        <is>
          <t>P_u máxima (compresión)</t>
        </is>
      </c>
      <c r="AU7" s="5" t="inlineStr">
        <is>
          <t>P_u mínima factorizada (vacío = P·1.1)</t>
        </is>
      </c>
      <c r="AV7" s="5" t="inlineStr">
        <is>
          <t>P_u de gravedad (4.1.18; vacío = P_u máx.)</t>
        </is>
      </c>
      <c r="AW7" s="5" t="inlineStr">
        <is>
          <t>V_u de la carga vertical (opcional)</t>
        </is>
      </c>
      <c r="AX7" s="5" t="inlineStr">
        <is>
          <t>Story|Muro</t>
        </is>
      </c>
      <c r="AY7" s="5" t="inlineStr">
        <is>
          <t>Renglones de sismo</t>
        </is>
      </c>
      <c r="AZ7" s="5" t="inlineStr">
        <is>
          <t>Renglones de gravedad</t>
        </is>
      </c>
      <c r="BA7" s="5" t="inlineStr">
        <is>
          <t>V_u máx. (sismo)</t>
        </is>
      </c>
      <c r="BB7" s="5" t="inlineStr">
        <is>
          <t>M_u máx. (sismo)</t>
        </is>
      </c>
      <c r="BC7" s="5" t="inlineStr">
        <is>
          <t>P_u mín. (sismo)</t>
        </is>
      </c>
      <c r="BD7" s="5" t="inlineStr">
        <is>
          <t>P_u máx. (sismo)</t>
        </is>
      </c>
      <c r="BE7" s="5" t="inlineStr">
        <is>
          <t>P_u máx. (gravedad)</t>
        </is>
      </c>
      <c r="BF7" s="5" t="inlineStr">
        <is>
          <t>V_u máx. (gravedad)</t>
        </is>
      </c>
      <c r="BG7" s="5" t="inlineStr">
        <is>
          <t>Renglón del V_u máx.</t>
        </is>
      </c>
      <c r="BH7" s="5" t="inlineStr">
        <is>
          <t>Combinación y lugar del V_u máx.</t>
        </is>
      </c>
      <c r="BI7" s="5" t="inlineStr">
        <is>
          <t>¿Datos completos?</t>
        </is>
      </c>
      <c r="BJ7" s="5" t="inlineStr">
        <is>
          <t>Fuerzas de</t>
        </is>
      </c>
      <c r="BK7" s="5" t="inlineStr">
        <is>
          <t>V_u</t>
        </is>
      </c>
      <c r="BL7" s="5" t="inlineStr">
        <is>
          <t>M_u</t>
        </is>
      </c>
      <c r="BM7" s="5" t="inlineStr">
        <is>
          <t>P mín. sin factor</t>
        </is>
      </c>
      <c r="BN7" s="5" t="inlineStr">
        <is>
          <t>P_u mín.</t>
        </is>
      </c>
      <c r="BO7" s="5" t="inlineStr">
        <is>
          <t>P_u máx.</t>
        </is>
      </c>
      <c r="BP7" s="5" t="inlineStr">
        <is>
          <t>P_u gravedad</t>
        </is>
      </c>
      <c r="BQ7" s="5" t="inlineStr">
        <is>
          <t>V_u por carga vertical</t>
        </is>
      </c>
      <c r="BR7" s="5" t="inlineStr">
        <is>
          <t>% del V_u por carga vertical</t>
        </is>
      </c>
      <c r="BS7" s="5" t="inlineStr">
        <is>
          <t>H usada</t>
        </is>
      </c>
      <c r="BT7" s="5" t="inlineStr">
        <is>
          <t>t usado</t>
        </is>
      </c>
      <c r="BU7" s="5" t="inlineStr">
        <is>
          <t>Vanos</t>
        </is>
      </c>
      <c r="BV7" s="5" t="inlineStr">
        <is>
          <t>Vanos bien capturados</t>
        </is>
      </c>
      <c r="BW7" s="5" t="inlineStr">
        <is>
          <t>Tramo 1 en la sección crítica</t>
        </is>
      </c>
      <c r="BX7" s="5" t="inlineStr">
        <is>
          <t>Tramo 2 en la sección crítica</t>
        </is>
      </c>
      <c r="BY7" s="5" t="inlineStr">
        <is>
          <t>Tramo 3 en la sección crítica</t>
        </is>
      </c>
      <c r="BZ7" s="5" t="inlineStr">
        <is>
          <t>Tramo 4 en la sección crítica</t>
        </is>
      </c>
      <c r="CA7" s="5" t="inlineStr">
        <is>
          <t>Tramo 5 en la sección crítica</t>
        </is>
      </c>
      <c r="CB7" s="5" t="inlineStr">
        <is>
          <t>ΣL de tramos que cuentan (≥ L mín.)</t>
        </is>
      </c>
      <c r="CC7" s="5" t="inlineStr">
        <is>
          <t>Tramos que cuentan</t>
        </is>
      </c>
      <c r="CD7" s="5" t="inlineStr">
        <is>
          <t>ΣL de todos los tramos</t>
        </is>
      </c>
      <c r="CE7" s="5" t="inlineStr">
        <is>
          <t>A_T que cuenta (cortante)</t>
        </is>
      </c>
      <c r="CF7" s="5" t="inlineStr">
        <is>
          <t>A_T de todos los tramos</t>
        </is>
      </c>
      <c r="CG7" s="5" t="inlineStr">
        <is>
          <t>H/t</t>
        </is>
      </c>
      <c r="CH7" s="5" t="inlineStr">
        <is>
          <t>Espesor y esbeltez (6.1.3)</t>
        </is>
      </c>
      <c r="CI7" s="5" t="inlineStr">
        <is>
          <t>Separación máx. de castillos</t>
        </is>
      </c>
      <c r="CJ7" s="5" t="inlineStr">
        <is>
          <t>Castillos intermedios</t>
        </is>
      </c>
      <c r="CK7" s="5" t="inlineStr">
        <is>
          <t>Castillos en el muro</t>
        </is>
      </c>
      <c r="CL7" s="5" t="inlineStr">
        <is>
          <t>A_s de un castillo extremo</t>
        </is>
      </c>
      <c r="CM7" s="5" t="inlineStr">
        <is>
          <t>ΣA_s de todos los castillos</t>
        </is>
      </c>
      <c r="CN7" s="5" t="inlineStr">
        <is>
          <t>H₀ (estribos cerrados)</t>
        </is>
      </c>
      <c r="CO7" s="5" t="inlineStr">
        <is>
          <t>F_E</t>
        </is>
      </c>
      <c r="CP7" s="5" t="inlineStr">
        <is>
          <t>P_R</t>
        </is>
      </c>
      <c r="CQ7" s="5" t="inlineStr">
        <is>
          <t>P_u / P_R</t>
        </is>
      </c>
      <c r="CR7" s="5" t="inlineStr">
        <is>
          <t>d' entre castillos extremos</t>
        </is>
      </c>
      <c r="CS7" s="5" t="inlineStr">
        <is>
          <t>d</t>
        </is>
      </c>
      <c r="CT7" s="5" t="inlineStr">
        <is>
          <t>M₀ = A_s·f_y·d'</t>
        </is>
      </c>
      <c r="CU7" s="5" t="inlineStr">
        <is>
          <t>M_R con P_u mín.</t>
        </is>
      </c>
      <c r="CV7" s="5" t="inlineStr">
        <is>
          <t>M_R con P_u máx.</t>
        </is>
      </c>
      <c r="CW7" s="5" t="inlineStr">
        <is>
          <t>M_R</t>
        </is>
      </c>
      <c r="CX7" s="5" t="inlineStr">
        <is>
          <t>M_u / M_R</t>
        </is>
      </c>
      <c r="CY7" s="5" t="inlineStr">
        <is>
          <t>f tramo 1</t>
        </is>
      </c>
      <c r="CZ7" s="5" t="inlineStr">
        <is>
          <t>f tramo 2</t>
        </is>
      </c>
      <c r="DA7" s="5" t="inlineStr">
        <is>
          <t>f tramo 3</t>
        </is>
      </c>
      <c r="DB7" s="5" t="inlineStr">
        <is>
          <t>f tramo 4</t>
        </is>
      </c>
      <c r="DC7" s="5" t="inlineStr">
        <is>
          <t>f tramo 5</t>
        </is>
      </c>
      <c r="DD7" s="5" t="inlineStr">
        <is>
          <t>V_mR tramo 1</t>
        </is>
      </c>
      <c r="DE7" s="5" t="inlineStr">
        <is>
          <t>V_mR tramo 2</t>
        </is>
      </c>
      <c r="DF7" s="5" t="inlineStr">
        <is>
          <t>V_mR tramo 3</t>
        </is>
      </c>
      <c r="DG7" s="5" t="inlineStr">
        <is>
          <t>V_mR tramo 4</t>
        </is>
      </c>
      <c r="DH7" s="5" t="inlineStr">
        <is>
          <t>V_mR tramo 5</t>
        </is>
      </c>
      <c r="DI7" s="5" t="inlineStr">
        <is>
          <t>V_mR = Σ tramos</t>
        </is>
      </c>
      <c r="DJ7" s="5" t="inlineStr">
        <is>
          <t>A_sh por junta (malla: por cm)</t>
        </is>
      </c>
      <c r="DK7" s="5" t="inlineStr">
        <is>
          <t>s_h</t>
        </is>
      </c>
      <c r="DL7" s="5" t="inlineStr">
        <is>
          <t>p_h·f_yh</t>
        </is>
      </c>
      <c r="DM7" s="5" t="inlineStr">
        <is>
          <t>(p_h·f_yh)e</t>
        </is>
      </c>
      <c r="DN7" s="5" t="inlineStr">
        <is>
          <t>η_s</t>
        </is>
      </c>
      <c r="DO7" s="5" t="inlineStr">
        <is>
          <t>k₁</t>
        </is>
      </c>
      <c r="DP7" s="5" t="inlineStr">
        <is>
          <t>k₀ tramo 1</t>
        </is>
      </c>
      <c r="DQ7" s="5" t="inlineStr">
        <is>
          <t>k₀ tramo 2</t>
        </is>
      </c>
      <c r="DR7" s="5" t="inlineStr">
        <is>
          <t>k₀ tramo 3</t>
        </is>
      </c>
      <c r="DS7" s="5" t="inlineStr">
        <is>
          <t>k₀ tramo 4</t>
        </is>
      </c>
      <c r="DT7" s="5" t="inlineStr">
        <is>
          <t>k₀ tramo 5</t>
        </is>
      </c>
      <c r="DU7" s="5" t="inlineStr">
        <is>
          <t>V_sR tramo 1</t>
        </is>
      </c>
      <c r="DV7" s="5" t="inlineStr">
        <is>
          <t>V_sR tramo 2</t>
        </is>
      </c>
      <c r="DW7" s="5" t="inlineStr">
        <is>
          <t>V_sR tramo 3</t>
        </is>
      </c>
      <c r="DX7" s="5" t="inlineStr">
        <is>
          <t>V_sR tramo 4</t>
        </is>
      </c>
      <c r="DY7" s="5" t="inlineStr">
        <is>
          <t>V_sR tramo 5</t>
        </is>
      </c>
      <c r="DZ7" s="5" t="inlineStr">
        <is>
          <t>V_sR = Σ tramos</t>
        </is>
      </c>
      <c r="EA7" s="5" t="inlineStr">
        <is>
          <t>Refuerzo horizontal (6.5.3 / 6.5.4)</t>
        </is>
      </c>
      <c r="EB7" s="5" t="inlineStr">
        <is>
          <t>V_R = V_mR + V_sR</t>
        </is>
      </c>
      <c r="EC7" s="5" t="inlineStr">
        <is>
          <t>V_u / V_R</t>
        </is>
      </c>
      <c r="ED7" s="5" t="inlineStr">
        <is>
          <t>p_h·f_yh necesario para V_u</t>
        </is>
      </c>
      <c r="EE7" s="5" t="inlineStr">
        <is>
          <t>Qué refuerzo horizontal le falta</t>
        </is>
      </c>
      <c r="EF7" s="5" t="inlineStr">
        <is>
          <t>I de la viga</t>
        </is>
      </c>
      <c r="EG7" s="5" t="inlineStr">
        <is>
          <t>a = L/L_v</t>
        </is>
      </c>
      <c r="EH7" s="5" t="inlineStr">
        <is>
          <t>W_p</t>
        </is>
      </c>
      <c r="EI7" s="5" t="inlineStr">
        <is>
          <t>f_I</t>
        </is>
      </c>
      <c r="EJ7" s="5" t="inlineStr">
        <is>
          <t>K</t>
        </is>
      </c>
      <c r="EK7" s="5" t="inlineStr">
        <is>
          <t>k_c</t>
        </is>
      </c>
      <c r="EL7" s="5" t="inlineStr">
        <is>
          <t>F_CE</t>
        </is>
      </c>
      <c r="EM7" s="5" t="inlineStr">
        <is>
          <t>f_CM</t>
        </is>
      </c>
      <c r="EN7" s="5" t="inlineStr">
        <is>
          <t>L_v / h_v</t>
        </is>
      </c>
      <c r="EO7" s="5" t="inlineStr">
        <is>
          <t>L_v / h_v máx. por flecha</t>
        </is>
      </c>
      <c r="EP7" s="5" t="inlineStr">
        <is>
          <t>Muro sobre viga (4.1.18)</t>
        </is>
      </c>
      <c r="EQ7" s="5" t="inlineStr">
        <is>
          <t>Mampostería neta</t>
        </is>
      </c>
      <c r="ER7" s="5" t="inlineStr">
        <is>
          <t>Concreto de castillos</t>
        </is>
      </c>
      <c r="ES7" s="5" t="inlineStr">
        <is>
          <t>Acero de castillos</t>
        </is>
      </c>
      <c r="ET7" s="5" t="inlineStr">
        <is>
          <t>Refuerzo horizontal</t>
        </is>
      </c>
      <c r="EU7" s="5" t="inlineStr">
        <is>
          <t>Lo que no cumple</t>
        </is>
      </c>
      <c r="EV7" s="5" t="inlineStr">
        <is>
          <t>Pendiente o aviso</t>
        </is>
      </c>
      <c r="EW7" s="5" t="inlineStr">
        <is>
          <t>ESTADO</t>
        </is>
      </c>
      <c r="EX7" s="5" t="inlineStr">
        <is>
          <t>NOTA</t>
        </is>
      </c>
    </row>
    <row r="8">
      <c r="A8" s="36" t="inlineStr"/>
      <c r="B8" s="36" t="inlineStr"/>
      <c r="C8" s="36" t="inlineStr"/>
      <c r="D8" s="36" t="inlineStr">
        <is>
          <t>X / Y</t>
        </is>
      </c>
      <c r="E8" s="36" t="inlineStr"/>
      <c r="F8" s="36" t="inlineStr">
        <is>
          <t>m</t>
        </is>
      </c>
      <c r="G8" s="36" t="inlineStr">
        <is>
          <t>m</t>
        </is>
      </c>
      <c r="H8" s="36" t="inlineStr">
        <is>
          <t>cm</t>
        </is>
      </c>
      <c r="I8" s="36" t="inlineStr"/>
      <c r="J8" s="36" t="inlineStr">
        <is>
          <t>m</t>
        </is>
      </c>
      <c r="K8" s="36" t="inlineStr">
        <is>
          <t>m</t>
        </is>
      </c>
      <c r="L8" s="36" t="inlineStr">
        <is>
          <t>m</t>
        </is>
      </c>
      <c r="M8" s="36" t="inlineStr">
        <is>
          <t>m</t>
        </is>
      </c>
      <c r="N8" s="36" t="inlineStr"/>
      <c r="O8" s="36" t="inlineStr">
        <is>
          <t>m</t>
        </is>
      </c>
      <c r="P8" s="36" t="inlineStr">
        <is>
          <t>m</t>
        </is>
      </c>
      <c r="Q8" s="36" t="inlineStr">
        <is>
          <t>m</t>
        </is>
      </c>
      <c r="R8" s="36" t="inlineStr">
        <is>
          <t>m</t>
        </is>
      </c>
      <c r="S8" s="36" t="inlineStr"/>
      <c r="T8" s="36" t="inlineStr">
        <is>
          <t>m</t>
        </is>
      </c>
      <c r="U8" s="36" t="inlineStr">
        <is>
          <t>m</t>
        </is>
      </c>
      <c r="V8" s="36" t="inlineStr">
        <is>
          <t>m</t>
        </is>
      </c>
      <c r="W8" s="36" t="inlineStr">
        <is>
          <t>m</t>
        </is>
      </c>
      <c r="X8" s="36" t="inlineStr"/>
      <c r="Y8" s="36" t="inlineStr">
        <is>
          <t>m</t>
        </is>
      </c>
      <c r="Z8" s="36" t="inlineStr">
        <is>
          <t>m</t>
        </is>
      </c>
      <c r="AA8" s="36" t="inlineStr">
        <is>
          <t>m</t>
        </is>
      </c>
      <c r="AB8" s="36" t="inlineStr">
        <is>
          <t>m</t>
        </is>
      </c>
      <c r="AC8" s="36" t="inlineStr">
        <is>
          <t>pzas</t>
        </is>
      </c>
      <c r="AD8" s="36" t="inlineStr">
        <is>
          <t>No.</t>
        </is>
      </c>
      <c r="AE8" s="36" t="inlineStr"/>
      <c r="AF8" s="36" t="inlineStr">
        <is>
          <t>pzas</t>
        </is>
      </c>
      <c r="AG8" s="36" t="inlineStr"/>
      <c r="AH8" s="36" t="inlineStr">
        <is>
          <t>hiladas</t>
        </is>
      </c>
      <c r="AI8" s="36" t="inlineStr">
        <is>
          <t>SÍ / NO</t>
        </is>
      </c>
      <c r="AJ8" s="36" t="inlineStr"/>
      <c r="AK8" s="36" t="inlineStr">
        <is>
          <t>cm</t>
        </is>
      </c>
      <c r="AL8" s="36" t="inlineStr">
        <is>
          <t>cm</t>
        </is>
      </c>
      <c r="AM8" s="36" t="inlineStr">
        <is>
          <t>m</t>
        </is>
      </c>
      <c r="AN8" s="36" t="inlineStr">
        <is>
          <t>t/m</t>
        </is>
      </c>
      <c r="AO8" s="36" t="inlineStr">
        <is>
          <t>m</t>
        </is>
      </c>
      <c r="AP8" s="36" t="inlineStr">
        <is>
          <t>t</t>
        </is>
      </c>
      <c r="AQ8" s="36" t="inlineStr">
        <is>
          <t>t</t>
        </is>
      </c>
      <c r="AR8" s="36" t="inlineStr">
        <is>
          <t>t·m</t>
        </is>
      </c>
      <c r="AS8" s="36" t="inlineStr">
        <is>
          <t>t</t>
        </is>
      </c>
      <c r="AT8" s="36" t="inlineStr">
        <is>
          <t>t</t>
        </is>
      </c>
      <c r="AU8" s="36" t="inlineStr">
        <is>
          <t>t</t>
        </is>
      </c>
      <c r="AV8" s="36" t="inlineStr">
        <is>
          <t>t</t>
        </is>
      </c>
      <c r="AW8" s="36" t="inlineStr">
        <is>
          <t>t</t>
        </is>
      </c>
      <c r="AX8" s="36" t="inlineStr"/>
      <c r="AY8" s="36" t="inlineStr"/>
      <c r="AZ8" s="36" t="inlineStr"/>
      <c r="BA8" s="36" t="inlineStr">
        <is>
          <t>t</t>
        </is>
      </c>
      <c r="BB8" s="36" t="inlineStr">
        <is>
          <t>t·m</t>
        </is>
      </c>
      <c r="BC8" s="36" t="inlineStr">
        <is>
          <t>t</t>
        </is>
      </c>
      <c r="BD8" s="36" t="inlineStr">
        <is>
          <t>t</t>
        </is>
      </c>
      <c r="BE8" s="36" t="inlineStr">
        <is>
          <t>t</t>
        </is>
      </c>
      <c r="BF8" s="36" t="inlineStr">
        <is>
          <t>t</t>
        </is>
      </c>
      <c r="BG8" s="36" t="inlineStr"/>
      <c r="BH8" s="36" t="inlineStr"/>
      <c r="BI8" s="36" t="inlineStr"/>
      <c r="BJ8" s="36" t="inlineStr"/>
      <c r="BK8" s="36" t="inlineStr">
        <is>
          <t>t</t>
        </is>
      </c>
      <c r="BL8" s="36" t="inlineStr">
        <is>
          <t>t·m</t>
        </is>
      </c>
      <c r="BM8" s="36" t="inlineStr">
        <is>
          <t>t</t>
        </is>
      </c>
      <c r="BN8" s="36" t="inlineStr">
        <is>
          <t>t</t>
        </is>
      </c>
      <c r="BO8" s="36" t="inlineStr">
        <is>
          <t>t</t>
        </is>
      </c>
      <c r="BP8" s="36" t="inlineStr">
        <is>
          <t>t</t>
        </is>
      </c>
      <c r="BQ8" s="36" t="inlineStr">
        <is>
          <t>t</t>
        </is>
      </c>
      <c r="BR8" s="36" t="inlineStr">
        <is>
          <t>%</t>
        </is>
      </c>
      <c r="BS8" s="36" t="inlineStr">
        <is>
          <t>m</t>
        </is>
      </c>
      <c r="BT8" s="36" t="inlineStr">
        <is>
          <t>cm</t>
        </is>
      </c>
      <c r="BU8" s="36" t="inlineStr"/>
      <c r="BV8" s="36" t="inlineStr"/>
      <c r="BW8" s="36" t="inlineStr">
        <is>
          <t>m</t>
        </is>
      </c>
      <c r="BX8" s="36" t="inlineStr">
        <is>
          <t>m</t>
        </is>
      </c>
      <c r="BY8" s="36" t="inlineStr">
        <is>
          <t>m</t>
        </is>
      </c>
      <c r="BZ8" s="36" t="inlineStr">
        <is>
          <t>m</t>
        </is>
      </c>
      <c r="CA8" s="36" t="inlineStr">
        <is>
          <t>m</t>
        </is>
      </c>
      <c r="CB8" s="36" t="inlineStr">
        <is>
          <t>m</t>
        </is>
      </c>
      <c r="CC8" s="36" t="inlineStr"/>
      <c r="CD8" s="36" t="inlineStr">
        <is>
          <t>m</t>
        </is>
      </c>
      <c r="CE8" s="36" t="inlineStr">
        <is>
          <t>cm²</t>
        </is>
      </c>
      <c r="CF8" s="36" t="inlineStr">
        <is>
          <t>cm²</t>
        </is>
      </c>
      <c r="CG8" s="36" t="inlineStr"/>
      <c r="CH8" s="36" t="inlineStr"/>
      <c r="CI8" s="36" t="inlineStr">
        <is>
          <t>m</t>
        </is>
      </c>
      <c r="CJ8" s="36" t="inlineStr">
        <is>
          <t>pzas</t>
        </is>
      </c>
      <c r="CK8" s="36" t="inlineStr">
        <is>
          <t>pzas</t>
        </is>
      </c>
      <c r="CL8" s="36" t="inlineStr">
        <is>
          <t>cm²</t>
        </is>
      </c>
      <c r="CM8" s="36" t="inlineStr">
        <is>
          <t>cm²</t>
        </is>
      </c>
      <c r="CN8" s="36" t="inlineStr">
        <is>
          <t>cm</t>
        </is>
      </c>
      <c r="CO8" s="36" t="inlineStr"/>
      <c r="CP8" s="36" t="inlineStr">
        <is>
          <t>t</t>
        </is>
      </c>
      <c r="CQ8" s="36" t="inlineStr">
        <is>
          <t>≤ 1</t>
        </is>
      </c>
      <c r="CR8" s="36" t="inlineStr">
        <is>
          <t>cm</t>
        </is>
      </c>
      <c r="CS8" s="36" t="inlineStr">
        <is>
          <t>cm</t>
        </is>
      </c>
      <c r="CT8" s="36" t="inlineStr">
        <is>
          <t>t·m</t>
        </is>
      </c>
      <c r="CU8" s="36" t="inlineStr">
        <is>
          <t>t·m</t>
        </is>
      </c>
      <c r="CV8" s="36" t="inlineStr">
        <is>
          <t>t·m</t>
        </is>
      </c>
      <c r="CW8" s="36" t="inlineStr">
        <is>
          <t>t·m</t>
        </is>
      </c>
      <c r="CX8" s="36" t="inlineStr">
        <is>
          <t>≤ 1</t>
        </is>
      </c>
      <c r="CY8" s="36" t="inlineStr"/>
      <c r="CZ8" s="36" t="inlineStr"/>
      <c r="DA8" s="36" t="inlineStr"/>
      <c r="DB8" s="36" t="inlineStr"/>
      <c r="DC8" s="36" t="inlineStr"/>
      <c r="DD8" s="36" t="inlineStr">
        <is>
          <t>t</t>
        </is>
      </c>
      <c r="DE8" s="36" t="inlineStr">
        <is>
          <t>t</t>
        </is>
      </c>
      <c r="DF8" s="36" t="inlineStr">
        <is>
          <t>t</t>
        </is>
      </c>
      <c r="DG8" s="36" t="inlineStr">
        <is>
          <t>t</t>
        </is>
      </c>
      <c r="DH8" s="36" t="inlineStr">
        <is>
          <t>t</t>
        </is>
      </c>
      <c r="DI8" s="36" t="inlineStr">
        <is>
          <t>t</t>
        </is>
      </c>
      <c r="DJ8" s="36" t="inlineStr">
        <is>
          <t>cm²</t>
        </is>
      </c>
      <c r="DK8" s="36" t="inlineStr">
        <is>
          <t>cm</t>
        </is>
      </c>
      <c r="DL8" s="36" t="inlineStr">
        <is>
          <t>kg/cm²</t>
        </is>
      </c>
      <c r="DM8" s="36" t="inlineStr">
        <is>
          <t>kg/cm²</t>
        </is>
      </c>
      <c r="DN8" s="36" t="inlineStr"/>
      <c r="DO8" s="36" t="inlineStr"/>
      <c r="DP8" s="36" t="inlineStr"/>
      <c r="DQ8" s="36" t="inlineStr"/>
      <c r="DR8" s="36" t="inlineStr"/>
      <c r="DS8" s="36" t="inlineStr"/>
      <c r="DT8" s="36" t="inlineStr"/>
      <c r="DU8" s="36" t="inlineStr">
        <is>
          <t>t</t>
        </is>
      </c>
      <c r="DV8" s="36" t="inlineStr">
        <is>
          <t>t</t>
        </is>
      </c>
      <c r="DW8" s="36" t="inlineStr">
        <is>
          <t>t</t>
        </is>
      </c>
      <c r="DX8" s="36" t="inlineStr">
        <is>
          <t>t</t>
        </is>
      </c>
      <c r="DY8" s="36" t="inlineStr">
        <is>
          <t>t</t>
        </is>
      </c>
      <c r="DZ8" s="36" t="inlineStr">
        <is>
          <t>t</t>
        </is>
      </c>
      <c r="EA8" s="36" t="inlineStr"/>
      <c r="EB8" s="36" t="inlineStr">
        <is>
          <t>t</t>
        </is>
      </c>
      <c r="EC8" s="36" t="inlineStr">
        <is>
          <t>≤ 1</t>
        </is>
      </c>
      <c r="ED8" s="36" t="inlineStr">
        <is>
          <t>kg/cm²</t>
        </is>
      </c>
      <c r="EE8" s="36" t="inlineStr"/>
      <c r="EF8" s="36" t="inlineStr">
        <is>
          <t>cm⁴</t>
        </is>
      </c>
      <c r="EG8" s="36" t="inlineStr"/>
      <c r="EH8" s="36" t="inlineStr">
        <is>
          <t>kg/cm</t>
        </is>
      </c>
      <c r="EI8" s="36" t="inlineStr"/>
      <c r="EJ8" s="36" t="inlineStr"/>
      <c r="EK8" s="36" t="inlineStr"/>
      <c r="EL8" s="36" t="inlineStr"/>
      <c r="EM8" s="36" t="inlineStr">
        <is>
          <t>kg/cm²</t>
        </is>
      </c>
      <c r="EN8" s="36" t="inlineStr">
        <is>
          <t>≤ 14</t>
        </is>
      </c>
      <c r="EO8" s="36" t="inlineStr"/>
      <c r="EP8" s="36" t="inlineStr"/>
      <c r="EQ8" s="36" t="inlineStr">
        <is>
          <t>m²</t>
        </is>
      </c>
      <c r="ER8" s="36" t="inlineStr">
        <is>
          <t>m³</t>
        </is>
      </c>
      <c r="ES8" s="36" t="inlineStr">
        <is>
          <t>kg</t>
        </is>
      </c>
      <c r="ET8" s="36" t="inlineStr">
        <is>
          <t>kg</t>
        </is>
      </c>
      <c r="EU8" s="36" t="inlineStr"/>
      <c r="EV8" s="36" t="inlineStr"/>
      <c r="EW8" s="36" t="inlineStr"/>
      <c r="EX8" s="36" t="inlineStr"/>
    </row>
    <row r="9">
      <c r="B9" s="37" t="inlineStr">
        <is>
          <t>Ejemplos M-1, M-2 y M-3: escribe encima de las columnas amarillas o bórralos.</t>
        </is>
      </c>
    </row>
    <row r="10" ht="4" customHeight="1"/>
    <row r="11" ht="30" customHeight="1">
      <c r="A11" s="38">
        <f>IF(B11="","",ROW()-10)</f>
        <v>1</v>
      </c>
      <c r="B11" s="28" t="inlineStr">
        <is>
          <t>M-1</t>
        </is>
      </c>
      <c r="C11" s="39" t="inlineStr">
        <is>
          <t>N1</t>
        </is>
      </c>
      <c r="D11" s="39" t="inlineStr">
        <is>
          <t>X</t>
        </is>
      </c>
      <c r="E11" s="39" t="inlineStr">
        <is>
          <t>EXTREMO</t>
        </is>
      </c>
      <c r="F11" s="40" t="n">
        <v>4</v>
      </c>
      <c r="G11" s="40" t="n"/>
      <c r="H11" s="41" t="n"/>
      <c r="I11" s="39" t="n"/>
      <c r="J11" s="40" t="n"/>
      <c r="K11" s="40" t="n"/>
      <c r="L11" s="40" t="n"/>
      <c r="M11" s="40" t="n"/>
      <c r="N11" s="39" t="n"/>
      <c r="O11" s="40" t="n"/>
      <c r="P11" s="40" t="n"/>
      <c r="Q11" s="40" t="n"/>
      <c r="R11" s="40" t="n"/>
      <c r="S11" s="39" t="n"/>
      <c r="T11" s="40" t="n"/>
      <c r="U11" s="40" t="n"/>
      <c r="V11" s="40" t="n"/>
      <c r="W11" s="40" t="n"/>
      <c r="X11" s="39" t="n"/>
      <c r="Y11" s="40" t="n"/>
      <c r="Z11" s="40" t="n"/>
      <c r="AA11" s="40" t="n"/>
      <c r="AB11" s="40" t="n"/>
      <c r="AC11" s="41" t="n"/>
      <c r="AD11" s="41" t="n"/>
      <c r="AE11" s="39" t="inlineStr">
        <is>
          <t>NINGUNO</t>
        </is>
      </c>
      <c r="AF11" s="41" t="n"/>
      <c r="AG11" s="41" t="n"/>
      <c r="AH11" s="41" t="n"/>
      <c r="AI11" s="39" t="inlineStr">
        <is>
          <t>NO</t>
        </is>
      </c>
      <c r="AJ11" s="39" t="n"/>
      <c r="AK11" s="41" t="n"/>
      <c r="AL11" s="41" t="n"/>
      <c r="AM11" s="40" t="n"/>
      <c r="AN11" s="40" t="n"/>
      <c r="AO11" s="40" t="n"/>
      <c r="AP11" s="40" t="n"/>
      <c r="AQ11" s="40" t="n">
        <v>6</v>
      </c>
      <c r="AR11" s="40" t="n">
        <v>9</v>
      </c>
      <c r="AS11" s="40" t="n">
        <v>7</v>
      </c>
      <c r="AT11" s="40" t="n">
        <v>18</v>
      </c>
      <c r="AU11" s="40" t="n"/>
      <c r="AV11" s="40" t="n"/>
      <c r="AW11" s="40" t="n"/>
      <c r="AX11" s="42" t="str">
        <f>IF(B11="","",C11&amp;"|"&amp;B11)</f>
        <v>N1|M-1</v>
      </c>
      <c r="AY11" s="43">
        <f>IF(B11="","",COUNTIFS(PIER_FORCES!$O$9:$O$3008,1,PIER_FORCES!$P$9:$P$3008,1))</f>
        <v>0</v>
      </c>
      <c r="AZ11" s="43">
        <f>IF(B11="","",COUNTIFS(PIER_FORCES!$O$9:$O$3008,1,PIER_FORCES!$P$9:$P$3008,2))</f>
        <v>0</v>
      </c>
      <c r="BA11" s="44">
        <f>IF(N(AY11)=0,0,SUMPRODUCT(MAX((PIER_FORCES!$O$9:$O$3008=1)*(PIER_FORCES!$P$9:$P$3008=1)*PIER_FORCES!$R$9:$R$3008)))</f>
        <v>0</v>
      </c>
      <c r="BB11" s="44">
        <f>IF(N(AY11)=0,0,SUMPRODUCT(MAX((PIER_FORCES!$O$9:$O$3008=1)*(PIER_FORCES!$P$9:$P$3008=1)*PIER_FORCES!$S$9:$S$3008)))</f>
        <v>0</v>
      </c>
      <c r="BC11" s="44">
        <f>IF(N(AY11)=0,0,-SUMPRODUCT(MAX((PIER_FORCES!$O$9:$O$3008=1)*(PIER_FORCES!$P$9:$P$3008=1)*(-PIER_FORCES!$Q$9:$Q$3008)+(1-(PIER_FORCES!$O$9:$O$3008=1)*(PIER_FORCES!$P$9:$P$3008=1))*(-1E9))))</f>
        <v>0</v>
      </c>
      <c r="BD11" s="44">
        <f>IF(N(AY11)=0,0,SUMPRODUCT(MAX((PIER_FORCES!$O$9:$O$3008=1)*(PIER_FORCES!$P$9:$P$3008=1)*PIER_FORCES!$Q$9:$Q$3008+(1-(PIER_FORCES!$O$9:$O$3008=1)*(PIER_FORCES!$P$9:$P$3008=1))*(-1E9))))</f>
        <v>0</v>
      </c>
      <c r="BE11" s="44">
        <f>IF(N(AZ11)=0,BD11,SUMPRODUCT(MAX((PIER_FORCES!$O$9:$O$3008=1)*(PIER_FORCES!$P$9:$P$3008=2)*PIER_FORCES!$Q$9:$Q$3008+(1-(PIER_FORCES!$O$9:$O$3008=1)*(PIER_FORCES!$P$9:$P$3008=2))*(-1E9))))</f>
        <v>0</v>
      </c>
      <c r="BF11" s="44">
        <f>IF(N(AZ11)=0,0,SUMPRODUCT(MAX((PIER_FORCES!$O$9:$O$3008=1)*(PIER_FORCES!$P$9:$P$3008=2)*PIER_FORCES!$R$9:$R$3008)))</f>
        <v>0</v>
      </c>
      <c r="BG11" s="43">
        <f>IF(N(AY11)=0,0,SUMPRODUCT(MAX((PIER_FORCES!$O$9:$O$3008=1)*(PIER_FORCES!$P$9:$P$3008=1)*(ABS(PIER_FORCES!$R$9:$R$3008-BA11)&lt;0.000001)*PIER_FORCES!$T$9:$T$3008)))</f>
        <v>0</v>
      </c>
      <c r="BH11" s="45" t="str">
        <f>IF(N(BG11)=0,"",INDEX(PIER_FORCES!$D$9:$D$3008,BG11)&amp;" "&amp;INDEX(PIER_FORCES!$F$9:$F$3008,BG11)&amp;" / "&amp;INDEX(PIER_FORCES!$G$9:$G$3008,BG11))</f>
        <v/>
      </c>
      <c r="BI11" s="42" t="str">
        <f>IF(B11="","",IF(AND(C11&lt;&gt;"",OR(D11="X",D11="Y"),ISNUMBER(F11),N(F11)&gt;0),"SÍ","NO"))</f>
        <v>SÍ</v>
      </c>
      <c r="BJ11" s="42" t="str">
        <f>IF(BI11&lt;&gt;"SÍ","",IF(DATOS!$C$108="ETABS (PIER_FORCES)",IF(N(AY11)&gt;0,"ETABS","NO ESTÁ EN PIER_FORCES"),"CAPTURA"))</f>
        <v>CAPTURA</v>
      </c>
      <c r="BK11" s="46">
        <f>IF(BI11&lt;&gt;"SÍ","",IF(BJ11="ETABS",BA11,IF(BJ11="CAPTURA",N(AQ11),0)))</f>
        <v>6</v>
      </c>
      <c r="BL11" s="46">
        <f>IF(BI11&lt;&gt;"SÍ","",IF(BJ11="ETABS",BB11,IF(BJ11="CAPTURA",N(AR11),0)))</f>
        <v>9</v>
      </c>
      <c r="BM11" s="46">
        <f>IF(BI11&lt;&gt;"SÍ","",IF(BJ11="ETABS",BC11/DATOS!$C$89,IF(BJ11="CAPTURA",N(AS11),0)))</f>
        <v>7</v>
      </c>
      <c r="BN11" s="44">
        <f>IF(BI11&lt;&gt;"SÍ","",IF(BJ11="ETABS",BC11,IF(BJ11="CAPTURA",IF(ISNUMBER(AU11),AU11,N(AS11)*DATOS!$C$89),0)))</f>
        <v>7.7</v>
      </c>
      <c r="BO11" s="44">
        <f>IF(BI11&lt;&gt;"SÍ","",IF(BJ11="ETABS",MAX(BD11,BE11),IF(BJ11="CAPTURA",N(AT11),0)))</f>
        <v>18</v>
      </c>
      <c r="BP11" s="44">
        <f>IF(BI11&lt;&gt;"SÍ","",IF(BJ11="ETABS",BE11,IF(BJ11="CAPTURA",IF(ISNUMBER(AV11),AV11,N(AT11)),0)))</f>
        <v>18</v>
      </c>
      <c r="BQ11" s="44">
        <f>IF(BI11&lt;&gt;"SÍ","",IF(BJ11="ETABS",BF11,IF(BJ11="CAPTURA",N(AW11),0)))</f>
        <v>0</v>
      </c>
      <c r="BR11" s="43">
        <f>IF(BI11&lt;&gt;"SÍ","",IF(BK11&gt;0,100*BQ11/BK11,0))</f>
        <v>0</v>
      </c>
      <c r="BS11" s="44">
        <f>IF(BI11&lt;&gt;"SÍ","",IF(ISNUMBER(G11),G11,DATOS!$C$57))</f>
        <v>2.5</v>
      </c>
      <c r="BT11" s="47">
        <f>IF(BI11&lt;&gt;"SÍ","",IF(ISNUMBER(H11),H11,DATOS!$C$58))</f>
        <v>15</v>
      </c>
      <c r="BU11" s="43">
        <f>IF(BI11&lt;&gt;"SÍ","",IF(N(K11)&gt;0,1+IF(N(P11)&gt;0,1+IF(N(U11)&gt;0,1+IF(N(Z11)&gt;0,1,0),0),0),0))</f>
        <v>0</v>
      </c>
      <c r="BV11" s="45" t="str">
        <f>IF(BI11&lt;&gt;"SÍ","",IF(AND(OR(BU11&lt;1,AND(N(J11)&gt;=0-0.001,J11+K11&lt;=F11+0.001,N(L11)&gt;=0,N(L11)+N(M11)&lt;=BS11+0.001,N(M11)&gt;0,OR(I11="PUERTA",I11="VENTANA"))),OR(BU11&lt;2,AND(N(O11)&gt;=(J11+K11)-0.001,O11+P11&lt;=F11+0.001,N(Q11)&gt;=0,N(Q11)+N(R11)&lt;=BS11+0.001,N(R11)&gt;0,OR(N11="PUERTA",N11="VENTANA"))),OR(BU11&lt;3,AND(N(T11)&gt;=(O11+P11)-0.001,T11+U11&lt;=F11+0.001,N(V11)&gt;=0,N(V11)+N(W11)&lt;=BS11+0.001,N(W11)&gt;0,OR(S11="PUERTA",S11="VENTANA"))),OR(BU11&lt;4,AND(N(Y11)&gt;=(T11+U11)-0.001,Y11+Z11&lt;=F11+0.001,N(AA11)&gt;=0,N(AA11)+N(AB11)&lt;=BS11+0.001,N(AB11)&gt;0,OR(X11="PUERTA",X11="VENTANA"))),(N(K11)&gt;0)+(N(P11)&gt;0)+(N(U11)&gt;0)+(N(Z11)&gt;0)=BU11),"CUMPLE","REVISAR VANOS: tipo, orden de izquierda a derecha, que quepan en L y en H"))</f>
        <v>CUMPLE</v>
      </c>
      <c r="BW11" s="44">
        <f>IF(BI11&lt;&gt;"SÍ","",MAX(0,IF(BU11&gt;=1,N(J11),F11)))</f>
        <v>4</v>
      </c>
      <c r="BX11" s="44">
        <f>IF(BI11&lt;&gt;"SÍ","",MAX(0,IF(BU11&gt;=2,N(O11)-(N(J11)+N(K11)),IF(BU11=1,F11-(N(J11)+N(K11)),0))))</f>
        <v>0</v>
      </c>
      <c r="BY11" s="44">
        <f>IF(BI11&lt;&gt;"SÍ","",MAX(0,IF(BU11&gt;=3,N(T11)-(N(O11)+N(P11)),IF(BU11=2,F11-(N(O11)+N(P11)),0))))</f>
        <v>0</v>
      </c>
      <c r="BZ11" s="44">
        <f>IF(BI11&lt;&gt;"SÍ","",MAX(0,IF(BU11&gt;=4,N(Y11)-(N(T11)+N(U11)),IF(BU11=3,F11-(N(T11)+N(U11)),0))))</f>
        <v>0</v>
      </c>
      <c r="CA11" s="44">
        <f>IF(BI11&lt;&gt;"SÍ","",MAX(0,IF(BU11=4,F11-(N(Y11)+N(Z11)),0)))</f>
        <v>0</v>
      </c>
      <c r="CB11" s="46">
        <f>IF(BI11&lt;&gt;"SÍ","",SUMPRODUCT((BW11:CA11&gt;=DATOS!$C$72-0.0001)*BW11:CA11))</f>
        <v>4</v>
      </c>
      <c r="CC11" s="43">
        <f>IF(BI11&lt;&gt;"SÍ","",SUMPRODUCT(--(BW11:CA11&gt;=DATOS!$C$72-0.0001)))</f>
        <v>1</v>
      </c>
      <c r="CD11" s="44">
        <f>IF(BI11&lt;&gt;"SÍ","",SUM(BW11:CA11))</f>
        <v>4</v>
      </c>
      <c r="CE11" s="43">
        <f>IF(BI11&lt;&gt;"SÍ","",BT11*CB11*100)</f>
        <v>6000</v>
      </c>
      <c r="CF11" s="43">
        <f>IF(BI11&lt;&gt;"SÍ","",BT11*CD11*100)</f>
        <v>6000</v>
      </c>
      <c r="CG11" s="47">
        <f>IF(BI11&lt;&gt;"SÍ","",BS11*100/BT11)</f>
        <v>16.6666666666667</v>
      </c>
      <c r="CH11" s="45" t="str">
        <f>IF(BI11&lt;&gt;"SÍ","",IF(AND(OR(DATOS!$C$14="TIPO II",BT11&gt;=12),CG11&lt;=25),"CUMPLE","NO CUMPLE: "&amp;IF(AND(DATOS!$C$14="TIPO I",BT11&lt;12),"t &lt; 12 cm ","")&amp;IF(CG11&gt;25,"H/t &gt; 25","")))</f>
        <v>CUMPLE</v>
      </c>
      <c r="CI11" s="44">
        <f>IF(BI11&lt;&gt;"SÍ","",MIN(1.5*BS11,4))</f>
        <v>3.75</v>
      </c>
      <c r="CJ11" s="43">
        <f>IF(BI11&lt;&gt;"SÍ","",SUMPRODUCT((BW11:CA11&gt;=2*DATOS!$C$59/100)*INT((BW11:CA11-DATOS!$C$59/100)/CI11-0.000001)*((BW11:CA11-DATOS!$C$59/100)&gt;0)))</f>
        <v>1</v>
      </c>
      <c r="CK11" s="43">
        <f>IF(BI11&lt;&gt;"SÍ","",SUMPRODUCT((BW11:CA11&gt;0.0001)*1+(BW11:CA11&gt;=2*DATOS!$C$59/100)*1)+CJ11)</f>
        <v>3</v>
      </c>
      <c r="CL11" s="44">
        <f>IF(BI11&lt;&gt;"SÍ","",IF(ISNUMBER(AC11),AC11,DATOS!$C$61)*INDEX(TABLAS!$D$6:$D$14,MATCH(IF(AD11&lt;&gt;"",AD11,DATOS!$C$62),TABLAS!$B$6:$B$14,0)))</f>
        <v>2.84</v>
      </c>
      <c r="CM11" s="44">
        <f>IF(BI11&lt;&gt;"SÍ","",CK11*DATOS!$C$78+IF(CK11&gt;=2,2,CK11)*(CL11-DATOS!$C$78))</f>
        <v>8.52</v>
      </c>
      <c r="CN11" s="47">
        <f>IF(BI11&lt;&gt;"SÍ","",MAX(BS11*100/6,40))</f>
        <v>41.6666666666667</v>
      </c>
      <c r="CO11" s="48">
        <f>IF(BI11&lt;&gt;"SÍ","",IF(CG11&lt;=20,IF(E11="INTERIOR",0.7,0.6),MIN(IF(E11="INTERIOR",0.7,0.6),(1-2/24)*(1-(IF(E11="INTERIOR",0.8,1)*CG11/30)^2))))</f>
        <v>0.6</v>
      </c>
      <c r="CP11" s="47">
        <f>IF(BI11&lt;&gt;"SÍ","",DATOS!$C$87*CO11*(DATOS!$C$33*CF11+CM11*DATOS!$C$48)/1000)</f>
        <v>120.88224</v>
      </c>
      <c r="CQ11" s="46">
        <f>IF(BI11&lt;&gt;"SÍ","",IF(CP11&gt;0,BO11/CP11,99))</f>
        <v>0.148905248612203</v>
      </c>
      <c r="CR11" s="47">
        <f>IF(BI11&lt;&gt;"SÍ","",MAX(0,F11*100-DATOS!$C$59))</f>
        <v>385</v>
      </c>
      <c r="CS11" s="47">
        <f>IF(BI11&lt;&gt;"SÍ","",MAX(0,F11*100-DATOS!$C$59/2))</f>
        <v>392.5</v>
      </c>
      <c r="CT11" s="44">
        <f>IF(BI11&lt;&gt;"SÍ","",CL11*DATOS!$C$48*CR11/100000)</f>
        <v>45.9228</v>
      </c>
      <c r="CU11" s="44">
        <f>IF(BI11&lt;&gt;"SÍ","",IF(BN11&lt;0,0.8*CT11*MAX(0,1+BN11/(0.8*CM11*DATOS!$C$48/1000)),IF(BN11&lt;=CP11/3,0.8*CT11+0.3*BN11*CS11/100,(1.5*0.6*CT11+0.15*CP11*CS11/100)*MAX(0,1-BN11/CP11))))</f>
        <v>45.80499</v>
      </c>
      <c r="CV11" s="44">
        <f>IF(BI11&lt;&gt;"SÍ","",IF(BO11&lt;0,0.8*CT11*MAX(0,1+BO11/(0.8*CM11*DATOS!$C$48/1000)),IF(BO11&lt;=CP11/3,0.8*CT11+0.3*BO11*CS11/100,(1.5*0.6*CT11+0.15*CP11*CS11/100)*MAX(0,1-BO11/CP11))))</f>
        <v>57.93324</v>
      </c>
      <c r="CW11" s="46">
        <f>IF(BI11&lt;&gt;"SÍ","",MAX(0,MIN(CU11,CV11)))</f>
        <v>45.80499</v>
      </c>
      <c r="CX11" s="49">
        <f>IF(BI11&lt;&gt;"SÍ","",IF(CW11&gt;0,BL11/CW11,IF(BL11&gt;0,99,0)))</f>
        <v>0.196485142775929</v>
      </c>
      <c r="CY11" s="44">
        <f>IF(BI11&lt;&gt;"SÍ","",IF(BW11&gt;0,MAX(1,MIN(1.5,1.5-0.625*(BS11/BW11-0.2))),0))</f>
        <v>1.234375</v>
      </c>
      <c r="CZ11" s="44">
        <f>IF(BI11&lt;&gt;"SÍ","",IF(BX11&gt;0,MAX(1,MIN(1.5,1.5-0.625*(BS11/BX11-0.2))),0))</f>
        <v>0</v>
      </c>
      <c r="DA11" s="44">
        <f>IF(BI11&lt;&gt;"SÍ","",IF(BY11&gt;0,MAX(1,MIN(1.5,1.5-0.625*(BS11/BY11-0.2))),0))</f>
        <v>0</v>
      </c>
      <c r="DB11" s="44">
        <f>IF(BI11&lt;&gt;"SÍ","",IF(BZ11&gt;0,MAX(1,MIN(1.5,1.5-0.625*(BS11/BZ11-0.2))),0))</f>
        <v>0</v>
      </c>
      <c r="DC11" s="44">
        <f>IF(BI11&lt;&gt;"SÍ","",IF(CA11&gt;0,MAX(1,MIN(1.5,1.5-0.625*(BS11/CA11-0.2))),0))</f>
        <v>0</v>
      </c>
      <c r="DD11" s="44">
        <f>IF(BI11&lt;&gt;"SÍ","",IF(OR(BW11&lt;DATOS!$C$72-0.0001,BM11&lt;0,CB11&lt;=0),0,MIN(DATOS!$C$86*(0.5*DATOS!$C$41*BT11*BW11*100+0.3*BM11*BW11/CB11*1000)*CY11,1.5*DATOS!$C$86*DATOS!$C$41*BT11*BW11*100*CY11)/1000))</f>
        <v>6.99890625</v>
      </c>
      <c r="DE11" s="44">
        <f>IF(BI11&lt;&gt;"SÍ","",IF(OR(BX11&lt;DATOS!$C$72-0.0001,BM11&lt;0,CB11&lt;=0),0,MIN(DATOS!$C$86*(0.5*DATOS!$C$41*BT11*BX11*100+0.3*BM11*BX11/CB11*1000)*CZ11,1.5*DATOS!$C$86*DATOS!$C$41*BT11*BX11*100*CZ11)/1000))</f>
        <v>0</v>
      </c>
      <c r="DF11" s="44">
        <f>IF(BI11&lt;&gt;"SÍ","",IF(OR(BY11&lt;DATOS!$C$72-0.0001,BM11&lt;0,CB11&lt;=0),0,MIN(DATOS!$C$86*(0.5*DATOS!$C$41*BT11*BY11*100+0.3*BM11*BY11/CB11*1000)*DA11,1.5*DATOS!$C$86*DATOS!$C$41*BT11*BY11*100*DA11)/1000))</f>
        <v>0</v>
      </c>
      <c r="DG11" s="44">
        <f>IF(BI11&lt;&gt;"SÍ","",IF(OR(BZ11&lt;DATOS!$C$72-0.0001,BM11&lt;0,CB11&lt;=0),0,MIN(DATOS!$C$86*(0.5*DATOS!$C$41*BT11*BZ11*100+0.3*BM11*BZ11/CB11*1000)*DB11,1.5*DATOS!$C$86*DATOS!$C$41*BT11*BZ11*100*DB11)/1000))</f>
        <v>0</v>
      </c>
      <c r="DH11" s="44">
        <f>IF(BI11&lt;&gt;"SÍ","",IF(OR(CA11&lt;DATOS!$C$72-0.0001,BM11&lt;0,CB11&lt;=0),0,MIN(DATOS!$C$86*(0.5*DATOS!$C$41*BT11*CA11*100+0.3*BM11*CA11/CB11*1000)*DC11,1.5*DATOS!$C$86*DATOS!$C$41*BT11*CA11*100*DC11)/1000))</f>
        <v>0</v>
      </c>
      <c r="DI11" s="46">
        <f>IF(BI11&lt;&gt;"SÍ","",SUM(DD11:DH11))</f>
        <v>6.99890625</v>
      </c>
      <c r="DJ11" s="48">
        <f>IF(BI11&lt;&gt;"SÍ","",IF(AE11="VARILLA EN JUNTAS",IF(ISNUMBER(AF11),AF11,2)*INDEX(TABLAS!$D$6:$D$14,MATCH(IF(AG11&lt;&gt;"",AG11,DATOS!$C$73),TABLAS!$B$6:$B$14,0)),IF(AE11="MALLA",IF(ISNUMBER(AF11),AF11,1)*INDEX(TABLAS!$D$19:$D$22,MATCH(IF(AG11&lt;&gt;"",AG11,DATOS!$C$74),TABLAS!$B$19:$B$22,0))/100,IF(AE11="ESCALERILLA",IF(ISNUMBER(AF11),AF11,2)*INDEX(TABLAS!$D$6:$D$14,MATCH(IF(AG11&lt;&gt;"",AG11,DATOS!$C$73),TABLAS!$B$6:$B$14,0)),0))))</f>
        <v>0</v>
      </c>
      <c r="DK11" s="47">
        <f>IF(BI11&lt;&gt;"SÍ","",IF(OR(AE11="VARILLA EN JUNTAS",AE11="ESCALERILLA"),IF(ISNUMBER(AH11),AH11,2)*DATOS!$C$26,IF(AE11="MALLA",1,0)))</f>
        <v>0</v>
      </c>
      <c r="DL11" s="44">
        <f>IF(BI11&lt;&gt;"SÍ","",IF(DK11&gt;0,DJ11/(DK11*BT11)*MIN(DATOS!$C$50,IF(AE11="MALLA",5000,6000)),0))</f>
        <v>0</v>
      </c>
      <c r="DM11" s="44">
        <f>IF(BI11&lt;&gt;"SÍ","",IF(AE11="ESCALERILLA",0,MIN(DL11,0.1*DATOS!$C$33*DATOS!$C$24)))</f>
        <v>0</v>
      </c>
      <c r="DN11" s="48">
        <f>IF(BI11&lt;&gt;"SÍ","",IF(AE11="MALLA",0.5,IF(DATOS!$C$33&lt;=60,0.55,IF(DATOS!$C$33&gt;=90,0.75,0.55+0.2*(DATOS!$C$33-60)/30))))</f>
        <v>0.55</v>
      </c>
      <c r="DO11" s="48">
        <f>IF(BI11&lt;&gt;"SÍ","",1-DATOS!$C$91*DM11)</f>
        <v>1</v>
      </c>
      <c r="DP11" s="44">
        <f>IF(BI11&lt;&gt;"SÍ","",IF(BW11&gt;0,IF(BS11/BW11&lt;=1,1.3,IF(BS11/BW11&gt;=1.5,1,1.3-0.6*(BS11/BW11-1))),0))</f>
        <v>1.3</v>
      </c>
      <c r="DQ11" s="44">
        <f>IF(BI11&lt;&gt;"SÍ","",IF(BX11&gt;0,IF(BS11/BX11&lt;=1,1.3,IF(BS11/BX11&gt;=1.5,1,1.3-0.6*(BS11/BX11-1))),0))</f>
        <v>0</v>
      </c>
      <c r="DR11" s="44">
        <f>IF(BI11&lt;&gt;"SÍ","",IF(BY11&gt;0,IF(BS11/BY11&lt;=1,1.3,IF(BS11/BY11&gt;=1.5,1,1.3-0.6*(BS11/BY11-1))),0))</f>
        <v>0</v>
      </c>
      <c r="DS11" s="44">
        <f>IF(BI11&lt;&gt;"SÍ","",IF(BZ11&gt;0,IF(BS11/BZ11&lt;=1,1.3,IF(BS11/BZ11&gt;=1.5,1,1.3-0.6*(BS11/BZ11-1))),0))</f>
        <v>0</v>
      </c>
      <c r="DT11" s="44">
        <f>IF(BI11&lt;&gt;"SÍ","",IF(CA11&gt;0,IF(BS11/CA11&lt;=1,1.3,IF(BS11/CA11&gt;=1.5,1,1.3-0.6*(BS11/CA11-1))),0))</f>
        <v>0</v>
      </c>
      <c r="DU11" s="44">
        <f>IF(BI11&lt;&gt;"SÍ","",IF(OR(DM11&lt;=0,BW11&lt;DATOS!$C$72-0.0001),0,DATOS!$C$86*MAX(0,IF(BM11&gt;=0,DD11/(DATOS!$C$86*DM11*BT11*BW11*100/1000)*(DP11*DO11-1)+DN11,DO11*DN11))*DM11*BT11*BW11*100/1000))</f>
        <v>0</v>
      </c>
      <c r="DV11" s="44">
        <f>IF(BI11&lt;&gt;"SÍ","",IF(OR(DM11&lt;=0,BX11&lt;DATOS!$C$72-0.0001),0,DATOS!$C$86*MAX(0,IF(BM11&gt;=0,DE11/(DATOS!$C$86*DM11*BT11*BX11*100/1000)*(DQ11*DO11-1)+DN11,DO11*DN11))*DM11*BT11*BX11*100/1000))</f>
        <v>0</v>
      </c>
      <c r="DW11" s="44">
        <f>IF(BI11&lt;&gt;"SÍ","",IF(OR(DM11&lt;=0,BY11&lt;DATOS!$C$72-0.0001),0,DATOS!$C$86*MAX(0,IF(BM11&gt;=0,DF11/(DATOS!$C$86*DM11*BT11*BY11*100/1000)*(DR11*DO11-1)+DN11,DO11*DN11))*DM11*BT11*BY11*100/1000))</f>
        <v>0</v>
      </c>
      <c r="DX11" s="44">
        <f>IF(BI11&lt;&gt;"SÍ","",IF(OR(DM11&lt;=0,BZ11&lt;DATOS!$C$72-0.0001),0,DATOS!$C$86*MAX(0,IF(BM11&gt;=0,DG11/(DATOS!$C$86*DM11*BT11*BZ11*100/1000)*(DS11*DO11-1)+DN11,DO11*DN11))*DM11*BT11*BZ11*100/1000))</f>
        <v>0</v>
      </c>
      <c r="DY11" s="44">
        <f>IF(BI11&lt;&gt;"SÍ","",IF(OR(DM11&lt;=0,CA11&lt;DATOS!$C$72-0.0001),0,DATOS!$C$86*MAX(0,IF(BM11&gt;=0,DH11/(DATOS!$C$86*DM11*BT11*CA11*100/1000)*(DT11*DO11-1)+DN11,DO11*DN11))*DM11*BT11*CA11*100/1000))</f>
        <v>0</v>
      </c>
      <c r="DZ11" s="46">
        <f>IF(BI11&lt;&gt;"SÍ","",SUM(DU11:DY11))</f>
        <v>0</v>
      </c>
      <c r="EA11" s="45" t="str">
        <f>IF(BI11&lt;&gt;"SÍ","",IF(OR(AE11="",AE11="NINGUNO"),IF(DATOS!$C$41&gt;=10,"FALTA refuerzo horizontal: v'm ≥ 10 kg/cm² (6.5.2.2)",IF(AND(BM11&lt;0,BK11&gt;0),"FALTA: P en tensión, el refuerzo debe tomar todo el cortante (6.5.1.3)","—")),IF(AE11="ESCALERILLA","NO CUENTA: la escalerilla no se permite para cortante por sismo (6.5.3.1.2)",IF(AE11="MALLA",IF(AND(DL11&gt;=2.5,DL11&lt;=MAX(0.15*DATOS!$C$33*DATOS!$C$24,2.5)),"CUMPLE","NO CUMPLE: "&amp;IF(DL11&lt;2.5,"p_h·f_yh &lt; 2.5 (6.5.4.2.4)","p_h·f_yh &gt; 0.15·f'm·f_an (6.5.4.2.4)")),IF(AND(DK11&lt;=MIN(6*DATOS!$C$26,45),DL11&gt;=3,DL11&lt;=MIN(MAX(0.15*DATOS!$C$33*DATOS!$C$24,3),0.05*DATOS!$C$25/10*MIN(DATOS!$C$50,6000)/DK11),INDEX(TABLAS!$C$6:$C$14,MATCH(IF(AG11&lt;&gt;"",AG11,DATOS!$C$73),TABLAS!$B$6:$B$14,0))&gt;=0.35,INDEX(TABLAS!$C$6:$C$14,MATCH(IF(AG11&lt;&gt;"",AG11,DATOS!$C$73),TABLAS!$B$6:$B$14,0))&lt;=0.75*DATOS!$C$25/10),"CUMPLE","NO CUMPLE: "&amp;IF(DK11&gt;MIN(6*DATOS!$C$26,45),"s_h &gt; 6 hiladas o 45 cm (6.5.3.2.1) ","")&amp;IF(DL11&lt;3,"p_h·f_yh &lt; 3 (6.5.3.3.1) ","")&amp;IF(DL11&gt;MIN(MAX(0.15*DATOS!$C$33*DATOS!$C$24,3),0.05*DATOS!$C$25/10*MIN(DATOS!$C$50,6000)/DK11),"p_h·f_yh &gt; máximo (6.5.3.3.2) ","")&amp;IF(OR(INDEX(TABLAS!$C$6:$C$14,MATCH(IF(AG11&lt;&gt;"",AG11,DATOS!$C$73),TABLAS!$B$6:$B$14,0))&lt;0.35,INDEX(TABLAS!$C$6:$C$14,MATCH(IF(AG11&lt;&gt;"",AG11,DATOS!$C$73),TABLAS!$B$6:$B$14,0))&gt;0.75*DATOS!$C$25/10),"diámetro fuera de 3.5 mm a 0.75·h_j (4.2.2.2.1)",""))))))</f>
        <v>—</v>
      </c>
      <c r="EB11" s="46">
        <f>IF(BI11&lt;&gt;"SÍ","",DI11+DZ11)</f>
        <v>6.99890625</v>
      </c>
      <c r="EC11" s="50">
        <f>IF(BI11&lt;&gt;"SÍ","",IF(EB11&gt;0,BK11/EB11,IF(BK11&gt;0,99,0)))</f>
        <v>0.857276806643895</v>
      </c>
      <c r="ED11" s="47">
        <f>IF(BI11&lt;&gt;"SÍ","",IF(CE11&lt;=0,-1,IF(BK11&lt;=DI11,0,IF(IF(BM11&gt;=0,IF((DATOS!$C$86*IF(AE11="MALLA",0.5,IF(DATOS!$C$33&lt;=60,0.55,IF(DATOS!$C$33&gt;=90,0.75,0.55+0.2*(DATOS!$C$33-60)/30)))*CE11/1000-DATOS!$C$91*SUMPRODUCT(DP11:DT11,DD11:DH11))&lt;=0,1E9,(BK11-SUMPRODUCT(DP11:DT11,DD11:DH11))/(DATOS!$C$86*IF(AE11="MALLA",0.5,IF(DATOS!$C$33&lt;=60,0.55,IF(DATOS!$C$33&gt;=90,0.75,0.55+0.2*(DATOS!$C$33-60)/30)))*CE11/1000-DATOS!$C$91*SUMPRODUCT(DP11:DT11,DD11:DH11))),IF((1-4*DATOS!$C$91*BK11*1000/(DATOS!$C$86*IF(AE11="MALLA",0.5,IF(DATOS!$C$33&lt;=60,0.55,IF(DATOS!$C$33&gt;=90,0.75,0.55+0.2*(DATOS!$C$33-60)/30)))*MAX(CE11,1)))&lt;0,1E9,(1-SQRT((1-4*DATOS!$C$91*BK11*1000/(DATOS!$C$86*IF(AE11="MALLA",0.5,IF(DATOS!$C$33&lt;=60,0.55,IF(DATOS!$C$33&gt;=90,0.75,0.55+0.2*(DATOS!$C$33-60)/30)))*MAX(CE11,1)))))/(2*DATOS!$C$91)))&gt;0.1*DATOS!$C$33*DATOS!$C$24+0.000001,-1,MAX(IF(AE11="MALLA",2.5,3),IF(BM11&gt;=0,IF((DATOS!$C$86*IF(AE11="MALLA",0.5,IF(DATOS!$C$33&lt;=60,0.55,IF(DATOS!$C$33&gt;=90,0.75,0.55+0.2*(DATOS!$C$33-60)/30)))*CE11/1000-DATOS!$C$91*SUMPRODUCT(DP11:DT11,DD11:DH11))&lt;=0,1E9,(BK11-SUMPRODUCT(DP11:DT11,DD11:DH11))/(DATOS!$C$86*IF(AE11="MALLA",0.5,IF(DATOS!$C$33&lt;=60,0.55,IF(DATOS!$C$33&gt;=90,0.75,0.55+0.2*(DATOS!$C$33-60)/30)))*CE11/1000-DATOS!$C$91*SUMPRODUCT(DP11:DT11,DD11:DH11))),IF((1-4*DATOS!$C$91*BK11*1000/(DATOS!$C$86*IF(AE11="MALLA",0.5,IF(DATOS!$C$33&lt;=60,0.55,IF(DATOS!$C$33&gt;=90,0.75,0.55+0.2*(DATOS!$C$33-60)/30)))*MAX(CE11,1)))&lt;0,1E9,(1-SQRT((1-4*DATOS!$C$91*BK11*1000/(DATOS!$C$86*IF(AE11="MALLA",0.5,IF(DATOS!$C$33&lt;=60,0.55,IF(DATOS!$C$33&gt;=90,0.75,0.55+0.2*(DATOS!$C$33-60)/30)))*MAX(CE11,1)))))/(2*DATOS!$C$91))))))))</f>
        <v>0</v>
      </c>
      <c r="EE11" s="45" t="str">
        <f>IF(BI11&lt;&gt;"SÍ","",IF(ED11=0,"NO REQUIERE: V_mR ≥ V_u",IF(ED11&lt;0,"NO ALCANZA con refuerzo horizontal (haría falta más de 0.1·f'm·f_an efectivo): sube v'm con ensayes, el espesor o la longitud del muro",IF(AND(OR(AE11="VARILLA EN JUNTAS",AE11="MALLA"),LEFT(EA11,6)="CUMPLE",EC11&lt;=1),"YA LO TIENE (pide p_h·f_yh ≥ "&amp;TEXT(ED11,"0.0")&amp;" kg/cm²)","p_h·f_yh ≥ "&amp;TEXT(ED11,"0.0")&amp;" kg/cm² → "&amp;IF(AND(MIN(6,FLOOR(45/DATOS!$C$26,1),FLOOR((2*INDEX(TABLAS!$D$6:$D$14,MATCH("3/16 in",TABLAS!$B$6:$B$14,0)))*MIN(DATOS!$C$50,6000)/(BT11*DATOS!$C$26*MAX(ED11,0.001)),1))&gt;=1,((2*INDEX(TABLAS!$D$6:$D$14,MATCH("3/16 in",TABLAS!$B$6:$B$14,0)))*MIN(DATOS!$C$50,6000)/(MAX(MIN(6,FLOOR(45/DATOS!$C$26,1),FLOOR((2*INDEX(TABLAS!$D$6:$D$14,MATCH("3/16 in",TABLAS!$B$6:$B$14,0)))*MIN(DATOS!$C$50,6000)/(BT11*DATOS!$C$26*MAX(ED11,0.001)),1)),1)*DATOS!$C$26*BT11))&lt;=MIN(MAX(0.15*DATOS!$C$33*DATOS!$C$24,3),0.05*DATOS!$C$25/10*MIN(DATOS!$C$50,6000)/(MIN(6,FLOOR(45/DATOS!$C$26,1),FLOOR((2*INDEX(TABLAS!$D$6:$D$14,MATCH("3/16 in",TABLAS!$B$6:$B$14,0)))*MIN(DATOS!$C$50,6000)/(BT11*DATOS!$C$26*MAX(ED11,0.001)),1))*DATOS!$C$26))),"2 alambres de 3/16"" por junta cada "&amp;MIN(6,FLOOR(45/DATOS!$C$26,1),FLOOR((2*INDEX(TABLAS!$D$6:$D$14,MATCH("3/16 in",TABLAS!$B$6:$B$14,0)))*MIN(DATOS!$C$50,6000)/(BT11*DATOS!$C$26*MAX(ED11,0.001)),1))&amp;" hilada(s) (p_h·f_yh = "&amp;TEXT(((2*INDEX(TABLAS!$D$6:$D$14,MATCH("3/16 in",TABLAS!$B$6:$B$14,0)))*MIN(DATOS!$C$50,6000)/(MAX(MIN(6,FLOOR(45/DATOS!$C$26,1),FLOOR((2*INDEX(TABLAS!$D$6:$D$14,MATCH("3/16 in",TABLAS!$B$6:$B$14,0)))*MIN(DATOS!$C$50,6000)/(BT11*DATOS!$C$26*MAX(ED11,0.001)),1)),1)*DATOS!$C$26*BT11)),"0.00")&amp;")",IF(AND(MIN(6,FLOOR(45/DATOS!$C$26,1),FLOOR((2*INDEX(TABLAS!$D$6:$D$14,MATCH("5/32 in",TABLAS!$B$6:$B$14,0)))*MIN(DATOS!$C$50,6000)/(BT11*DATOS!$C$26*MAX(ED11,0.001)),1))&gt;=1,((2*INDEX(TABLAS!$D$6:$D$14,MATCH("5/32 in",TABLAS!$B$6:$B$14,0)))*MIN(DATOS!$C$50,6000)/(MAX(MIN(6,FLOOR(45/DATOS!$C$26,1),FLOOR((2*INDEX(TABLAS!$D$6:$D$14,MATCH("5/32 in",TABLAS!$B$6:$B$14,0)))*MIN(DATOS!$C$50,6000)/(BT11*DATOS!$C$26*MAX(ED11,0.001)),1)),1)*DATOS!$C$26*BT11))&lt;=MIN(MAX(0.15*DATOS!$C$33*DATOS!$C$24,3),0.05*DATOS!$C$25/10*MIN(DATOS!$C$50,6000)/(MIN(6,FLOOR(45/DATOS!$C$26,1),FLOOR((2*INDEX(TABLAS!$D$6:$D$14,MATCH("5/32 in",TABLAS!$B$6:$B$14,0)))*MIN(DATOS!$C$50,6000)/(BT11*DATOS!$C$26*MAX(ED11,0.001)),1))*DATOS!$C$26))),"2 alambres de 5/32"" por junta cada "&amp;MIN(6,FLOOR(45/DATOS!$C$26,1),FLOOR((2*INDEX(TABLAS!$D$6:$D$14,MATCH("5/32 in",TABLAS!$B$6:$B$14,0)))*MIN(DATOS!$C$50,6000)/(BT11*DATOS!$C$26*MAX(ED11,0.001)),1))&amp;" hilada(s) (p_h·f_yh = "&amp;TEXT(((2*INDEX(TABLAS!$D$6:$D$14,MATCH("5/32 in",TABLAS!$B$6:$B$14,0)))*MIN(DATOS!$C$50,6000)/(MAX(MIN(6,FLOOR(45/DATOS!$C$26,1),FLOOR((2*INDEX(TABLAS!$D$6:$D$14,MATCH("5/32 in",TABLAS!$B$6:$B$14,0)))*MIN(DATOS!$C$50,6000)/(BT11*DATOS!$C$26*MAX(ED11,0.001)),1)),1)*DATOS!$C$26*BT11)),"0.00")&amp;")",IF(AND(MIN(6,FLOOR(45/DATOS!$C$26,1),FLOOR((1*INDEX(TABLAS!$D$6:$D$14,MATCH("3/16 in",TABLAS!$B$6:$B$14,0)))*MIN(DATOS!$C$50,6000)/(BT11*DATOS!$C$26*MAX(ED11,0.001)),1))&gt;=1,((1*INDEX(TABLAS!$D$6:$D$14,MATCH("3/16 in",TABLAS!$B$6:$B$14,0)))*MIN(DATOS!$C$50,6000)/(MAX(MIN(6,FLOOR(45/DATOS!$C$26,1),FLOOR((1*INDEX(TABLAS!$D$6:$D$14,MATCH("3/16 in",TABLAS!$B$6:$B$14,0)))*MIN(DATOS!$C$50,6000)/(BT11*DATOS!$C$26*MAX(ED11,0.001)),1)),1)*DATOS!$C$26*BT11))&lt;=MIN(MAX(0.15*DATOS!$C$33*DATOS!$C$24,3),0.05*DATOS!$C$25/10*MIN(DATOS!$C$50,6000)/(MIN(6,FLOOR(45/DATOS!$C$26,1),FLOOR((1*INDEX(TABLAS!$D$6:$D$14,MATCH("3/16 in",TABLAS!$B$6:$B$14,0)))*MIN(DATOS!$C$50,6000)/(BT11*DATOS!$C$26*MAX(ED11,0.001)),1))*DATOS!$C$26))),"1 alambre de 3/16"" por junta cada "&amp;MIN(6,FLOOR(45/DATOS!$C$26,1),FLOOR((1*INDEX(TABLAS!$D$6:$D$14,MATCH("3/16 in",TABLAS!$B$6:$B$14,0)))*MIN(DATOS!$C$50,6000)/(BT11*DATOS!$C$26*MAX(ED11,0.001)),1))&amp;" hilada(s) (p_h·f_yh = "&amp;TEXT(((1*INDEX(TABLAS!$D$6:$D$14,MATCH("3/16 in",TABLAS!$B$6:$B$14,0)))*MIN(DATOS!$C$50,6000)/(MAX(MIN(6,FLOOR(45/DATOS!$C$26,1),FLOOR((1*INDEX(TABLAS!$D$6:$D$14,MATCH("3/16 in",TABLAS!$B$6:$B$14,0)))*MIN(DATOS!$C$50,6000)/(BT11*DATOS!$C$26*MAX(ED11,0.001)),1)),1)*DATOS!$C$26*BT11)),"0.00")&amp;")",IF(AND(MIN(6,FLOOR(45/DATOS!$C$26,1),FLOOR((1*INDEX(TABLAS!$D$6:$D$14,MATCH("5/32 in",TABLAS!$B$6:$B$14,0)))*MIN(DATOS!$C$50,6000)/(BT11*DATOS!$C$26*MAX(ED11,0.001)),1))&gt;=1,((1*INDEX(TABLAS!$D$6:$D$14,MATCH("5/32 in",TABLAS!$B$6:$B$14,0)))*MIN(DATOS!$C$50,6000)/(MAX(MIN(6,FLOOR(45/DATOS!$C$26,1),FLOOR((1*INDEX(TABLAS!$D$6:$D$14,MATCH("5/32 in",TABLAS!$B$6:$B$14,0)))*MIN(DATOS!$C$50,6000)/(BT11*DATOS!$C$26*MAX(ED11,0.001)),1)),1)*DATOS!$C$26*BT11))&lt;=MIN(MAX(0.15*DATOS!$C$33*DATOS!$C$24,3),0.05*DATOS!$C$25/10*MIN(DATOS!$C$50,6000)/(MIN(6,FLOOR(45/DATOS!$C$26,1),FLOOR((1*INDEX(TABLAS!$D$6:$D$14,MATCH("5/32 in",TABLAS!$B$6:$B$14,0)))*MIN(DATOS!$C$50,6000)/(BT11*DATOS!$C$26*MAX(ED11,0.001)),1))*DATOS!$C$26))),"1 alambre de 5/32"" por junta cada "&amp;MIN(6,FLOOR(45/DATOS!$C$26,1),FLOOR((1*INDEX(TABLAS!$D$6:$D$14,MATCH("5/32 in",TABLAS!$B$6:$B$14,0)))*MIN(DATOS!$C$50,6000)/(BT11*DATOS!$C$26*MAX(ED11,0.001)),1))&amp;" hilada(s) (p_h·f_yh = "&amp;TEXT(((1*INDEX(TABLAS!$D$6:$D$14,MATCH("5/32 in",TABLAS!$B$6:$B$14,0)))*MIN(DATOS!$C$50,6000)/(MAX(MIN(6,FLOOR(45/DATOS!$C$26,1),FLOOR((1*INDEX(TABLAS!$D$6:$D$14,MATCH("5/32 in",TABLAS!$B$6:$B$14,0)))*MIN(DATOS!$C$50,6000)/(BT11*DATOS!$C$26*MAX(ED11,0.001)),1)),1)*DATOS!$C$26*BT11)),"0.00")&amp;")","ninguna combinación de 1 o 2 alambres por junta queda entre el mínimo y el máximo: revisa con malla (6.5.4)"))))))))</f>
        <v>NO REQUIERE: V_mR ≥ V_u</v>
      </c>
      <c r="EF11" s="43">
        <f>IF(BI11&lt;&gt;"SÍ","",IF(AI11="SÍ",N(AK11)*N(AL11)^3/12,0))</f>
        <v>0</v>
      </c>
      <c r="EG11" s="48">
        <f>IF(BI11&lt;&gt;"SÍ","",IF(AND(AI11="SÍ",N(AM11)&gt;0),MIN(1,F11/AM11),0))</f>
        <v>0</v>
      </c>
      <c r="EH11" s="47">
        <f>IF(BI11&lt;&gt;"SÍ","",IF(AI11="SÍ",BP11*1000/(BT11*F11*100)*BT11*(EG11^4-4*EG11^3+8*EG11),0))</f>
        <v>0</v>
      </c>
      <c r="EI11" s="48">
        <f>IF(BI11&lt;&gt;"SÍ","",IF(AND(AI11="SÍ",EH11&gt;0),EH11/(EH11+5*N(AN11)*10),0))</f>
        <v>0</v>
      </c>
      <c r="EJ11" s="44">
        <f>IF(BI11&lt;&gt;"SÍ","",IF(AND(AI11="SÍ",EI11&gt;0,EF11&gt;0),(DATOS!$C$43*BT11*(AM11*100)^3/(DATOS!$C$53*EF11*EI11))^0.25,0))</f>
        <v>0</v>
      </c>
      <c r="EK11" s="44">
        <f>IF(BI11&lt;&gt;"SÍ","",IF(AI11&lt;&gt;"SÍ",0,IF(N(AM11)&lt;=F11,1,IF(MIN(1,N(AO11)/((AM11-F11)/2))&lt;=0.5,0.7+0.6*MIN(1,N(AO11)/((AM11-F11)/2)),1.5-MIN(1,N(AO11)/((AM11-F11)/2))))))</f>
        <v>0</v>
      </c>
      <c r="EL11" s="44">
        <f>IF(BI11&lt;&gt;"SÍ","",IF(AI11&lt;&gt;"SÍ",0,MAX(1,IF(EG11&gt;=1,(1.6*EJ11-3.9),IF(EG11&lt;0.9,((3.2*EJ11-7.8)*EK11),((3.2*EJ11-7.8)*EK11)+((1.6*EJ11-3.9)-((3.2*EJ11-7.8)*EK11))*(EG11-0.9)/0.1)))))</f>
        <v>0</v>
      </c>
      <c r="EM11" s="47">
        <f>IF(BI11&lt;&gt;"SÍ","",IF(AI11="SÍ",EL11*BP11*1000/(BT11*F11*100),0))</f>
        <v>0</v>
      </c>
      <c r="EN11" s="47">
        <f>IF(BI11&lt;&gt;"SÍ","",IF(AND(AI11="SÍ",N(AL11)&gt;0),AM11*100/AL11,0))</f>
        <v>0</v>
      </c>
      <c r="EO11" s="47">
        <f>IF(BI11&lt;&gt;"SÍ","",IF(AI11="SÍ",(1/15*DATOS!$C$53*N(AK11)/MAX((IF(ISNUMBER(AP11),AP11,BP11/DATOS!$C$90)*1000/(BT11*F11*100)*BT11*(EG11^4-4*EG11^3+8*EG11))+5*N(AN11)/DATOS!$C$90*10,0.001))^(1/3),0))</f>
        <v>0</v>
      </c>
      <c r="EP11" s="45" t="str">
        <f>IF(BI11&lt;&gt;"SÍ","",IF(AI11&lt;&gt;"SÍ","—",IF(OR(N(AK11)&lt;=0,N(AL11)&lt;=0,N(AM11)&lt;=0),"REVISAR: faltan b, h o L_v de la viga",IF(AND(EM11&lt;=DATOS!$C$87*DATOS!$C$33,EN11&lt;=14,N(AL11)&gt;=25,EN11&lt;=EO11),IF(BS11/F11&lt;0.6,"PENDIENTE: H/L &lt; 0.6, falta el análisis de interacción muro–viga (4.1.18.2.1); f_CM es estimado","CUMPLE"),"NO CUMPLE: "&amp;IF(EM11&gt;DATOS!$C$87*DATOS!$C$33,"f_CM &gt; F_R·f'm ","")&amp;IF(EN11&gt;14,"L_v/h_v &gt; 14 ","")&amp;IF(N(AL11)&lt;25,"h_v &lt; 25 cm ","")&amp;IF(EN11&gt;EO11,"flecha (4.1.18.3)","")))))</f>
        <v>—</v>
      </c>
      <c r="EQ11" s="44">
        <f>IF(BI11&lt;&gt;"SÍ","",MAX(0,F11*BS11-(N(K11)*N(M11)+N(P11)*N(R11)+N(U11)*N(W11)+N(Z11)*N(AB11))-CK11*DATOS!$C$59/100*BS11))</f>
        <v>8.875</v>
      </c>
      <c r="ER11" s="48">
        <f>IF(BI11&lt;&gt;"SÍ","",CK11*DATOS!$C$59*DATOS!$C$60/10000*BS11)</f>
        <v>0.16875</v>
      </c>
      <c r="ES11" s="47">
        <f>IF(BI11&lt;&gt;"SÍ","",CK11*(DATOS!$C$61*(BS11+0.6)*INDEX(TABLAS!$E$6:$E$14,MATCH(DATOS!$C$62,TABLAS!$B$6:$B$14,0))+(2*ROUNDUP(CN11/DATOS!$C$65,0)+ROUNDUP(MAX(0,BS11*100-2*CN11)/DATOS!$C$64,0))*((2*(DATOS!$C$60+DATOS!$C$59-4*(DATOS!$C$66-INDEX(TABLAS!$C$6:$C$14,MATCH(DATOS!$C$63,TABLAS!$B$6:$B$14,0))))+15)/100)*INDEX(TABLAS!$E$6:$E$14,MATCH(DATOS!$C$63,TABLAS!$B$6:$B$14,0))))</f>
        <v>30.8842296</v>
      </c>
      <c r="ET11" s="47">
        <f>IF(BI11&lt;&gt;"SÍ","",IF(OR(AE11="VARILLA EN JUNTAS",AE11="ESCALERILLA"),INT(BS11*100/MAX(DK11,1))*IF(ISNUMBER(AF11),AF11,2)*CB11*INDEX(TABLAS!$E$6:$E$14,MATCH(IF(AG11&lt;&gt;"",AG11,DATOS!$C$73),TABLAS!$B$6:$B$14,0)),IF(AE11="MALLA",IF(ISNUMBER(AF11),AF11,1)*CB11*BS11*INDEX(TABLAS!$E$19:$E$22,MATCH(IF(AG11&lt;&gt;"",AG11,DATOS!$C$74),TABLAS!$B$19:$B$22,0)),0)))</f>
        <v>0</v>
      </c>
      <c r="EU11" s="45" t="str">
        <f>IF(BI11&lt;&gt;"SÍ","",""&amp;IF(BJ11="NO ESTÁ EN PIER_FORCES","sin fuerzas en PIER_FORCES; ","")&amp;IF(BV11&lt;&gt;"CUMPLE","vanos; ","")&amp;IF(LEFT(CH11,2)="NO","espesor o esbeltez; ","")&amp;IF(CQ11&gt;1,"compresión; ","")&amp;IF(CX11&gt;1,"flexión; ","")&amp;IF(CB11&lt;=0,"sin tramos de muro (todos son machones menores que L mín.: diséñalos como columnas o baja L mín.); ",IF(EC11&gt;1,"cortante; ",""))&amp;IF(OR(LEFT(EA11,2)="NO",LEFT(EA11,5)="FALTA"),"refuerzo horizontal; ","")&amp;IF(OR(LEFT(EP11,2)="NO",LEFT(EP11,7)="REVISAR"),"muro sobre viga; ","")&amp;IF(LEFT(DATOS!$C$81,2)="NO","castillo típico; ","")&amp;IF(LEFT(DATOS!$C$82,2)="NO","dala típica; ","")&amp;IF(AND(BT11&lt;&gt;DATOS!$C$58,DATOS!$C$60&lt;BT11),"castillo más angosto que el muro; ",""))</f>
        <v/>
      </c>
      <c r="EV11" s="45" t="str">
        <f>IF(BI11&lt;&gt;"SÍ","",""&amp;IF(LEFT(EP11,9)="PENDIENTE","análisis muro–viga (H/L &lt; 0.6); ","")&amp;IF(BR11&gt;50,"V_u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1" s="51" t="str">
        <f>IF(BI11&lt;&gt;"SÍ","",IF(EU11&lt;&gt;"","NO CUMPLE: "&amp;LEFT(EU11,LEN(EU11)-2),IF(EV11&lt;&gt;"","CUMPLE — PENDIENTE: "&amp;LEFT(EV11,LEN(EV11)-2),"CUMPLE")))</f>
        <v>CUMPLE — PENDIENTE: v'm provisional</v>
      </c>
      <c r="EX11" s="52" t="inlineStr">
        <is>
          <t>Ejemplo: muro sin vanos.</t>
        </is>
      </c>
    </row>
    <row r="12" ht="30" customHeight="1">
      <c r="A12" s="38">
        <f>IF(B12="","",ROW()-10)</f>
        <v>2</v>
      </c>
      <c r="B12" s="28" t="inlineStr">
        <is>
          <t>M-2</t>
        </is>
      </c>
      <c r="C12" s="39" t="inlineStr">
        <is>
          <t>N1</t>
        </is>
      </c>
      <c r="D12" s="39" t="inlineStr">
        <is>
          <t>Y</t>
        </is>
      </c>
      <c r="E12" s="39" t="inlineStr">
        <is>
          <t>EXTREMO</t>
        </is>
      </c>
      <c r="F12" s="40" t="n">
        <v>5</v>
      </c>
      <c r="G12" s="40" t="n"/>
      <c r="H12" s="41" t="n"/>
      <c r="I12" s="39" t="inlineStr">
        <is>
          <t>PUERTA</t>
        </is>
      </c>
      <c r="J12" s="40" t="n">
        <v>0.4</v>
      </c>
      <c r="K12" s="40" t="n">
        <v>0.9</v>
      </c>
      <c r="L12" s="40" t="n">
        <v>0</v>
      </c>
      <c r="M12" s="40" t="n">
        <v>2.1</v>
      </c>
      <c r="N12" s="39" t="inlineStr">
        <is>
          <t>VENTANA</t>
        </is>
      </c>
      <c r="O12" s="40" t="n">
        <v>2.3</v>
      </c>
      <c r="P12" s="40" t="n">
        <v>1.5</v>
      </c>
      <c r="Q12" s="40" t="n">
        <v>0.9</v>
      </c>
      <c r="R12" s="40" t="n">
        <v>1.2</v>
      </c>
      <c r="S12" s="39" t="n"/>
      <c r="T12" s="40" t="n"/>
      <c r="U12" s="40" t="n"/>
      <c r="V12" s="40" t="n"/>
      <c r="W12" s="40" t="n"/>
      <c r="X12" s="39" t="n"/>
      <c r="Y12" s="40" t="n"/>
      <c r="Z12" s="40" t="n"/>
      <c r="AA12" s="40" t="n"/>
      <c r="AB12" s="40" t="n"/>
      <c r="AC12" s="41" t="n"/>
      <c r="AD12" s="41" t="n"/>
      <c r="AE12" s="39" t="inlineStr">
        <is>
          <t>NINGUNO</t>
        </is>
      </c>
      <c r="AF12" s="41" t="n"/>
      <c r="AG12" s="41" t="n"/>
      <c r="AH12" s="41" t="n"/>
      <c r="AI12" s="39" t="inlineStr">
        <is>
          <t>NO</t>
        </is>
      </c>
      <c r="AJ12" s="39" t="n"/>
      <c r="AK12" s="41" t="n"/>
      <c r="AL12" s="41" t="n"/>
      <c r="AM12" s="40" t="n"/>
      <c r="AN12" s="40" t="n"/>
      <c r="AO12" s="40" t="n"/>
      <c r="AP12" s="40" t="n"/>
      <c r="AQ12" s="40" t="n">
        <v>5.5</v>
      </c>
      <c r="AR12" s="40" t="n">
        <v>12</v>
      </c>
      <c r="AS12" s="40" t="n">
        <v>9</v>
      </c>
      <c r="AT12" s="40" t="n">
        <v>22</v>
      </c>
      <c r="AU12" s="40" t="n"/>
      <c r="AV12" s="40" t="n"/>
      <c r="AW12" s="40" t="n"/>
      <c r="AX12" s="42" t="str">
        <f>IF(B12="","",C12&amp;"|"&amp;B12)</f>
        <v>N1|M-2</v>
      </c>
      <c r="AY12" s="43">
        <f>IF(B12="","",COUNTIFS(PIER_FORCES!$O$9:$O$3008,2,PIER_FORCES!$P$9:$P$3008,1))</f>
        <v>0</v>
      </c>
      <c r="AZ12" s="43">
        <f>IF(B12="","",COUNTIFS(PIER_FORCES!$O$9:$O$3008,2,PIER_FORCES!$P$9:$P$3008,2))</f>
        <v>0</v>
      </c>
      <c r="BA12" s="44">
        <f>IF(N(AY12)=0,0,SUMPRODUCT(MAX((PIER_FORCES!$O$9:$O$3008=2)*(PIER_FORCES!$P$9:$P$3008=1)*PIER_FORCES!$R$9:$R$3008)))</f>
        <v>0</v>
      </c>
      <c r="BB12" s="44">
        <f>IF(N(AY12)=0,0,SUMPRODUCT(MAX((PIER_FORCES!$O$9:$O$3008=2)*(PIER_FORCES!$P$9:$P$3008=1)*PIER_FORCES!$S$9:$S$3008)))</f>
        <v>0</v>
      </c>
      <c r="BC12" s="44">
        <f>IF(N(AY12)=0,0,-SUMPRODUCT(MAX((PIER_FORCES!$O$9:$O$3008=2)*(PIER_FORCES!$P$9:$P$3008=1)*(-PIER_FORCES!$Q$9:$Q$3008)+(1-(PIER_FORCES!$O$9:$O$3008=2)*(PIER_FORCES!$P$9:$P$3008=1))*(-1E9))))</f>
        <v>0</v>
      </c>
      <c r="BD12" s="44">
        <f>IF(N(AY12)=0,0,SUMPRODUCT(MAX((PIER_FORCES!$O$9:$O$3008=2)*(PIER_FORCES!$P$9:$P$3008=1)*PIER_FORCES!$Q$9:$Q$3008+(1-(PIER_FORCES!$O$9:$O$3008=2)*(PIER_FORCES!$P$9:$P$3008=1))*(-1E9))))</f>
        <v>0</v>
      </c>
      <c r="BE12" s="44">
        <f>IF(N(AZ12)=0,BD12,SUMPRODUCT(MAX((PIER_FORCES!$O$9:$O$3008=2)*(PIER_FORCES!$P$9:$P$3008=2)*PIER_FORCES!$Q$9:$Q$3008+(1-(PIER_FORCES!$O$9:$O$3008=2)*(PIER_FORCES!$P$9:$P$3008=2))*(-1E9))))</f>
        <v>0</v>
      </c>
      <c r="BF12" s="44">
        <f>IF(N(AZ12)=0,0,SUMPRODUCT(MAX((PIER_FORCES!$O$9:$O$3008=2)*(PIER_FORCES!$P$9:$P$3008=2)*PIER_FORCES!$R$9:$R$3008)))</f>
        <v>0</v>
      </c>
      <c r="BG12" s="43">
        <f>IF(N(AY12)=0,0,SUMPRODUCT(MAX((PIER_FORCES!$O$9:$O$3008=2)*(PIER_FORCES!$P$9:$P$3008=1)*(ABS(PIER_FORCES!$R$9:$R$3008-BA12)&lt;0.000001)*PIER_FORCES!$T$9:$T$3008)))</f>
        <v>0</v>
      </c>
      <c r="BH12" s="45" t="str">
        <f>IF(N(BG12)=0,"",INDEX(PIER_FORCES!$D$9:$D$3008,BG12)&amp;" "&amp;INDEX(PIER_FORCES!$F$9:$F$3008,BG12)&amp;" / "&amp;INDEX(PIER_FORCES!$G$9:$G$3008,BG12))</f>
        <v/>
      </c>
      <c r="BI12" s="42" t="str">
        <f>IF(B12="","",IF(AND(C12&lt;&gt;"",OR(D12="X",D12="Y"),ISNUMBER(F12),N(F12)&gt;0),"SÍ","NO"))</f>
        <v>SÍ</v>
      </c>
      <c r="BJ12" s="42" t="str">
        <f>IF(BI12&lt;&gt;"SÍ","",IF(DATOS!$C$108="ETABS (PIER_FORCES)",IF(N(AY12)&gt;0,"ETABS","NO ESTÁ EN PIER_FORCES"),"CAPTURA"))</f>
        <v>CAPTURA</v>
      </c>
      <c r="BK12" s="46">
        <f>IF(BI12&lt;&gt;"SÍ","",IF(BJ12="ETABS",BA12,IF(BJ12="CAPTURA",N(AQ12),0)))</f>
        <v>5.5</v>
      </c>
      <c r="BL12" s="46">
        <f>IF(BI12&lt;&gt;"SÍ","",IF(BJ12="ETABS",BB12,IF(BJ12="CAPTURA",N(AR12),0)))</f>
        <v>12</v>
      </c>
      <c r="BM12" s="46">
        <f>IF(BI12&lt;&gt;"SÍ","",IF(BJ12="ETABS",BC12/DATOS!$C$89,IF(BJ12="CAPTURA",N(AS12),0)))</f>
        <v>9</v>
      </c>
      <c r="BN12" s="44">
        <f>IF(BI12&lt;&gt;"SÍ","",IF(BJ12="ETABS",BC12,IF(BJ12="CAPTURA",IF(ISNUMBER(AU12),AU12,N(AS12)*DATOS!$C$89),0)))</f>
        <v>9.9</v>
      </c>
      <c r="BO12" s="44">
        <f>IF(BI12&lt;&gt;"SÍ","",IF(BJ12="ETABS",MAX(BD12,BE12),IF(BJ12="CAPTURA",N(AT12),0)))</f>
        <v>22</v>
      </c>
      <c r="BP12" s="44">
        <f>IF(BI12&lt;&gt;"SÍ","",IF(BJ12="ETABS",BE12,IF(BJ12="CAPTURA",IF(ISNUMBER(AV12),AV12,N(AT12)),0)))</f>
        <v>22</v>
      </c>
      <c r="BQ12" s="44">
        <f>IF(BI12&lt;&gt;"SÍ","",IF(BJ12="ETABS",BF12,IF(BJ12="CAPTURA",N(AW12),0)))</f>
        <v>0</v>
      </c>
      <c r="BR12" s="43">
        <f>IF(BI12&lt;&gt;"SÍ","",IF(BK12&gt;0,100*BQ12/BK12,0))</f>
        <v>0</v>
      </c>
      <c r="BS12" s="44">
        <f>IF(BI12&lt;&gt;"SÍ","",IF(ISNUMBER(G12),G12,DATOS!$C$57))</f>
        <v>2.5</v>
      </c>
      <c r="BT12" s="47">
        <f>IF(BI12&lt;&gt;"SÍ","",IF(ISNUMBER(H12),H12,DATOS!$C$58))</f>
        <v>15</v>
      </c>
      <c r="BU12" s="43">
        <f>IF(BI12&lt;&gt;"SÍ","",IF(N(K12)&gt;0,1+IF(N(P12)&gt;0,1+IF(N(U12)&gt;0,1+IF(N(Z12)&gt;0,1,0),0),0),0))</f>
        <v>2</v>
      </c>
      <c r="BV12" s="45" t="str">
        <f>IF(BI12&lt;&gt;"SÍ","",IF(AND(OR(BU12&lt;1,AND(N(J12)&gt;=0-0.001,J12+K12&lt;=F12+0.001,N(L12)&gt;=0,N(L12)+N(M12)&lt;=BS12+0.001,N(M12)&gt;0,OR(I12="PUERTA",I12="VENTANA"))),OR(BU12&lt;2,AND(N(O12)&gt;=(J12+K12)-0.001,O12+P12&lt;=F12+0.001,N(Q12)&gt;=0,N(Q12)+N(R12)&lt;=BS12+0.001,N(R12)&gt;0,OR(N12="PUERTA",N12="VENTANA"))),OR(BU12&lt;3,AND(N(T12)&gt;=(O12+P12)-0.001,T12+U12&lt;=F12+0.001,N(V12)&gt;=0,N(V12)+N(W12)&lt;=BS12+0.001,N(W12)&gt;0,OR(S12="PUERTA",S12="VENTANA"))),OR(BU12&lt;4,AND(N(Y12)&gt;=(T12+U12)-0.001,Y12+Z12&lt;=F12+0.001,N(AA12)&gt;=0,N(AA12)+N(AB12)&lt;=BS12+0.001,N(AB12)&gt;0,OR(X12="PUERTA",X12="VENTANA"))),(N(K12)&gt;0)+(N(P12)&gt;0)+(N(U12)&gt;0)+(N(Z12)&gt;0)=BU12),"CUMPLE","REVISAR VANOS: tipo, orden de izquierda a derecha, que quepan en L y en H"))</f>
        <v>CUMPLE</v>
      </c>
      <c r="BW12" s="44">
        <f>IF(BI12&lt;&gt;"SÍ","",MAX(0,IF(BU12&gt;=1,N(J12),F12)))</f>
        <v>0.4</v>
      </c>
      <c r="BX12" s="44">
        <f>IF(BI12&lt;&gt;"SÍ","",MAX(0,IF(BU12&gt;=2,N(O12)-(N(J12)+N(K12)),IF(BU12=1,F12-(N(J12)+N(K12)),0))))</f>
        <v>1</v>
      </c>
      <c r="BY12" s="44">
        <f>IF(BI12&lt;&gt;"SÍ","",MAX(0,IF(BU12&gt;=3,N(T12)-(N(O12)+N(P12)),IF(BU12=2,F12-(N(O12)+N(P12)),0))))</f>
        <v>1.2</v>
      </c>
      <c r="BZ12" s="44">
        <f>IF(BI12&lt;&gt;"SÍ","",MAX(0,IF(BU12&gt;=4,N(Y12)-(N(T12)+N(U12)),IF(BU12=3,F12-(N(T12)+N(U12)),0))))</f>
        <v>0</v>
      </c>
      <c r="CA12" s="44">
        <f>IF(BI12&lt;&gt;"SÍ","",MAX(0,IF(BU12=4,F12-(N(Y12)+N(Z12)),0)))</f>
        <v>0</v>
      </c>
      <c r="CB12" s="46">
        <f>IF(BI12&lt;&gt;"SÍ","",SUMPRODUCT((BW12:CA12&gt;=DATOS!$C$72-0.0001)*BW12:CA12))</f>
        <v>2.6</v>
      </c>
      <c r="CC12" s="43">
        <f>IF(BI12&lt;&gt;"SÍ","",SUMPRODUCT(--(BW12:CA12&gt;=DATOS!$C$72-0.0001)))</f>
        <v>3</v>
      </c>
      <c r="CD12" s="44">
        <f>IF(BI12&lt;&gt;"SÍ","",SUM(BW12:CA12))</f>
        <v>2.6</v>
      </c>
      <c r="CE12" s="43">
        <f>IF(BI12&lt;&gt;"SÍ","",BT12*CB12*100)</f>
        <v>3900</v>
      </c>
      <c r="CF12" s="43">
        <f>IF(BI12&lt;&gt;"SÍ","",BT12*CD12*100)</f>
        <v>3900</v>
      </c>
      <c r="CG12" s="47">
        <f>IF(BI12&lt;&gt;"SÍ","",BS12*100/BT12)</f>
        <v>16.6666666666667</v>
      </c>
      <c r="CH12" s="45" t="str">
        <f>IF(BI12&lt;&gt;"SÍ","",IF(AND(OR(DATOS!$C$14="TIPO II",BT12&gt;=12),CG12&lt;=25),"CUMPLE","NO CUMPLE: "&amp;IF(AND(DATOS!$C$14="TIPO I",BT12&lt;12),"t &lt; 12 cm ","")&amp;IF(CG12&gt;25,"H/t &gt; 25","")))</f>
        <v>CUMPLE</v>
      </c>
      <c r="CI12" s="44">
        <f>IF(BI12&lt;&gt;"SÍ","",MIN(1.5*BS12,4))</f>
        <v>3.75</v>
      </c>
      <c r="CJ12" s="43">
        <f>IF(BI12&lt;&gt;"SÍ","",SUMPRODUCT((BW12:CA12&gt;=2*DATOS!$C$59/100)*INT((BW12:CA12-DATOS!$C$59/100)/CI12-0.000001)*((BW12:CA12-DATOS!$C$59/100)&gt;0)))</f>
        <v>0</v>
      </c>
      <c r="CK12" s="43">
        <f>IF(BI12&lt;&gt;"SÍ","",SUMPRODUCT((BW12:CA12&gt;0.0001)*1+(BW12:CA12&gt;=2*DATOS!$C$59/100)*1)+CJ12)</f>
        <v>6</v>
      </c>
      <c r="CL12" s="44">
        <f>IF(BI12&lt;&gt;"SÍ","",IF(ISNUMBER(AC12),AC12,DATOS!$C$61)*INDEX(TABLAS!$D$6:$D$14,MATCH(IF(AD12&lt;&gt;"",AD12,DATOS!$C$62),TABLAS!$B$6:$B$14,0)))</f>
        <v>2.84</v>
      </c>
      <c r="CM12" s="44">
        <f>IF(BI12&lt;&gt;"SÍ","",CK12*DATOS!$C$78+IF(CK12&gt;=2,2,CK12)*(CL12-DATOS!$C$78))</f>
        <v>17.04</v>
      </c>
      <c r="CN12" s="47">
        <f>IF(BI12&lt;&gt;"SÍ","",MAX(BS12*100/6,40))</f>
        <v>41.6666666666667</v>
      </c>
      <c r="CO12" s="48">
        <f>IF(BI12&lt;&gt;"SÍ","",IF(CG12&lt;=20,IF(E12="INTERIOR",0.7,0.6),MIN(IF(E12="INTERIOR",0.7,0.6),(1-2/24)*(1-(IF(E12="INTERIOR",0.8,1)*CG12/30)^2))))</f>
        <v>0.6</v>
      </c>
      <c r="CP12" s="47">
        <f>IF(BI12&lt;&gt;"SÍ","",DATOS!$C$87*CO12*(DATOS!$C$33*CF12+CM12*DATOS!$C$48)/1000)</f>
        <v>95.96448</v>
      </c>
      <c r="CQ12" s="46">
        <f>IF(BI12&lt;&gt;"SÍ","",IF(CP12&gt;0,BO12/CP12,99))</f>
        <v>0.229251489717862</v>
      </c>
      <c r="CR12" s="47">
        <f>IF(BI12&lt;&gt;"SÍ","",MAX(0,F12*100-DATOS!$C$59))</f>
        <v>485</v>
      </c>
      <c r="CS12" s="47">
        <f>IF(BI12&lt;&gt;"SÍ","",MAX(0,F12*100-DATOS!$C$59/2))</f>
        <v>492.5</v>
      </c>
      <c r="CT12" s="44">
        <f>IF(BI12&lt;&gt;"SÍ","",CL12*DATOS!$C$48*CR12/100000)</f>
        <v>57.8508</v>
      </c>
      <c r="CU12" s="44">
        <f>IF(BI12&lt;&gt;"SÍ","",IF(BN12&lt;0,0.8*CT12*MAX(0,1+BN12/(0.8*CM12*DATOS!$C$48/1000)),IF(BN12&lt;=CP12/3,0.8*CT12+0.3*BN12*CS12/100,(1.5*0.6*CT12+0.15*CP12*CS12/100)*MAX(0,1-BN12/CP12))))</f>
        <v>60.90789</v>
      </c>
      <c r="CV12" s="44">
        <f>IF(BI12&lt;&gt;"SÍ","",IF(BO12&lt;0,0.8*CT12*MAX(0,1+BO12/(0.8*CM12*DATOS!$C$48/1000)),IF(BO12&lt;=CP12/3,0.8*CT12+0.3*BO12*CS12/100,(1.5*0.6*CT12+0.15*CP12*CS12/100)*MAX(0,1-BO12/CP12))))</f>
        <v>78.78564</v>
      </c>
      <c r="CW12" s="46">
        <f>IF(BI12&lt;&gt;"SÍ","",MAX(0,MIN(CU12,CV12)))</f>
        <v>60.90789</v>
      </c>
      <c r="CX12" s="49">
        <f>IF(BI12&lt;&gt;"SÍ","",IF(CW12&gt;0,BL12/CW12,IF(BL12&gt;0,99,0)))</f>
        <v>0.197018809878326</v>
      </c>
      <c r="CY12" s="44">
        <f>IF(BI12&lt;&gt;"SÍ","",IF(BW12&gt;0,MAX(1,MIN(1.5,1.5-0.625*(BS12/BW12-0.2))),0))</f>
        <v>1</v>
      </c>
      <c r="CZ12" s="44">
        <f>IF(BI12&lt;&gt;"SÍ","",IF(BX12&gt;0,MAX(1,MIN(1.5,1.5-0.625*(BS12/BX12-0.2))),0))</f>
        <v>1</v>
      </c>
      <c r="DA12" s="44">
        <f>IF(BI12&lt;&gt;"SÍ","",IF(BY12&gt;0,MAX(1,MIN(1.5,1.5-0.625*(BS12/BY12-0.2))),0))</f>
        <v>1</v>
      </c>
      <c r="DB12" s="44">
        <f>IF(BI12&lt;&gt;"SÍ","",IF(BZ12&gt;0,MAX(1,MIN(1.5,1.5-0.625*(BS12/BZ12-0.2))),0))</f>
        <v>0</v>
      </c>
      <c r="DC12" s="44">
        <f>IF(BI12&lt;&gt;"SÍ","",IF(CA12&gt;0,MAX(1,MIN(1.5,1.5-0.625*(BS12/CA12-0.2))),0))</f>
        <v>0</v>
      </c>
      <c r="DD12" s="44">
        <f>IF(BI12&lt;&gt;"SÍ","",IF(OR(BW12&lt;DATOS!$C$72-0.0001,BM12&lt;0,CB12&lt;=0),0,MIN(DATOS!$C$86*(0.5*DATOS!$C$41*BT12*BW12*100+0.3*BM12*BW12/CB12*1000)*CY12,1.5*DATOS!$C$86*DATOS!$C$41*BT12*BW12*100*CY12)/1000))</f>
        <v>0.710769230769231</v>
      </c>
      <c r="DE12" s="44">
        <f>IF(BI12&lt;&gt;"SÍ","",IF(OR(BX12&lt;DATOS!$C$72-0.0001,BM12&lt;0,CB12&lt;=0),0,MIN(DATOS!$C$86*(0.5*DATOS!$C$41*BT12*BX12*100+0.3*BM12*BX12/CB12*1000)*CZ12,1.5*DATOS!$C$86*DATOS!$C$41*BT12*BX12*100*CZ12)/1000))</f>
        <v>1.77692307692308</v>
      </c>
      <c r="DF12" s="44">
        <f>IF(BI12&lt;&gt;"SÍ","",IF(OR(BY12&lt;DATOS!$C$72-0.0001,BM12&lt;0,CB12&lt;=0),0,MIN(DATOS!$C$86*(0.5*DATOS!$C$41*BT12*BY12*100+0.3*BM12*BY12/CB12*1000)*DA12,1.5*DATOS!$C$86*DATOS!$C$41*BT12*BY12*100*DA12)/1000))</f>
        <v>2.13230769230769</v>
      </c>
      <c r="DG12" s="44">
        <f>IF(BI12&lt;&gt;"SÍ","",IF(OR(BZ12&lt;DATOS!$C$72-0.0001,BM12&lt;0,CB12&lt;=0),0,MIN(DATOS!$C$86*(0.5*DATOS!$C$41*BT12*BZ12*100+0.3*BM12*BZ12/CB12*1000)*DB12,1.5*DATOS!$C$86*DATOS!$C$41*BT12*BZ12*100*DB12)/1000))</f>
        <v>0</v>
      </c>
      <c r="DH12" s="44">
        <f>IF(BI12&lt;&gt;"SÍ","",IF(OR(CA12&lt;DATOS!$C$72-0.0001,BM12&lt;0,CB12&lt;=0),0,MIN(DATOS!$C$86*(0.5*DATOS!$C$41*BT12*CA12*100+0.3*BM12*CA12/CB12*1000)*DC12,1.5*DATOS!$C$86*DATOS!$C$41*BT12*CA12*100*DC12)/1000))</f>
        <v>0</v>
      </c>
      <c r="DI12" s="46">
        <f>IF(BI12&lt;&gt;"SÍ","",SUM(DD12:DH12))</f>
        <v>4.62</v>
      </c>
      <c r="DJ12" s="48">
        <f>IF(BI12&lt;&gt;"SÍ","",IF(AE12="VARILLA EN JUNTAS",IF(ISNUMBER(AF12),AF12,2)*INDEX(TABLAS!$D$6:$D$14,MATCH(IF(AG12&lt;&gt;"",AG12,DATOS!$C$73),TABLAS!$B$6:$B$14,0)),IF(AE12="MALLA",IF(ISNUMBER(AF12),AF12,1)*INDEX(TABLAS!$D$19:$D$22,MATCH(IF(AG12&lt;&gt;"",AG12,DATOS!$C$74),TABLAS!$B$19:$B$22,0))/100,IF(AE12="ESCALERILLA",IF(ISNUMBER(AF12),AF12,2)*INDEX(TABLAS!$D$6:$D$14,MATCH(IF(AG12&lt;&gt;"",AG12,DATOS!$C$73),TABLAS!$B$6:$B$14,0)),0))))</f>
        <v>0</v>
      </c>
      <c r="DK12" s="47">
        <f>IF(BI12&lt;&gt;"SÍ","",IF(OR(AE12="VARILLA EN JUNTAS",AE12="ESCALERILLA"),IF(ISNUMBER(AH12),AH12,2)*DATOS!$C$26,IF(AE12="MALLA",1,0)))</f>
        <v>0</v>
      </c>
      <c r="DL12" s="44">
        <f>IF(BI12&lt;&gt;"SÍ","",IF(DK12&gt;0,DJ12/(DK12*BT12)*MIN(DATOS!$C$50,IF(AE12="MALLA",5000,6000)),0))</f>
        <v>0</v>
      </c>
      <c r="DM12" s="44">
        <f>IF(BI12&lt;&gt;"SÍ","",IF(AE12="ESCALERILLA",0,MIN(DL12,0.1*DATOS!$C$33*DATOS!$C$24)))</f>
        <v>0</v>
      </c>
      <c r="DN12" s="48">
        <f>IF(BI12&lt;&gt;"SÍ","",IF(AE12="MALLA",0.5,IF(DATOS!$C$33&lt;=60,0.55,IF(DATOS!$C$33&gt;=90,0.75,0.55+0.2*(DATOS!$C$33-60)/30))))</f>
        <v>0.55</v>
      </c>
      <c r="DO12" s="48">
        <f>IF(BI12&lt;&gt;"SÍ","",1-DATOS!$C$91*DM12)</f>
        <v>1</v>
      </c>
      <c r="DP12" s="44">
        <f>IF(BI12&lt;&gt;"SÍ","",IF(BW12&gt;0,IF(BS12/BW12&lt;=1,1.3,IF(BS12/BW12&gt;=1.5,1,1.3-0.6*(BS12/BW12-1))),0))</f>
        <v>1</v>
      </c>
      <c r="DQ12" s="44">
        <f>IF(BI12&lt;&gt;"SÍ","",IF(BX12&gt;0,IF(BS12/BX12&lt;=1,1.3,IF(BS12/BX12&gt;=1.5,1,1.3-0.6*(BS12/BX12-1))),0))</f>
        <v>1</v>
      </c>
      <c r="DR12" s="44">
        <f>IF(BI12&lt;&gt;"SÍ","",IF(BY12&gt;0,IF(BS12/BY12&lt;=1,1.3,IF(BS12/BY12&gt;=1.5,1,1.3-0.6*(BS12/BY12-1))),0))</f>
        <v>1</v>
      </c>
      <c r="DS12" s="44">
        <f>IF(BI12&lt;&gt;"SÍ","",IF(BZ12&gt;0,IF(BS12/BZ12&lt;=1,1.3,IF(BS12/BZ12&gt;=1.5,1,1.3-0.6*(BS12/BZ12-1))),0))</f>
        <v>0</v>
      </c>
      <c r="DT12" s="44">
        <f>IF(BI12&lt;&gt;"SÍ","",IF(CA12&gt;0,IF(BS12/CA12&lt;=1,1.3,IF(BS12/CA12&gt;=1.5,1,1.3-0.6*(BS12/CA12-1))),0))</f>
        <v>0</v>
      </c>
      <c r="DU12" s="44">
        <f>IF(BI12&lt;&gt;"SÍ","",IF(OR(DM12&lt;=0,BW12&lt;DATOS!$C$72-0.0001),0,DATOS!$C$86*MAX(0,IF(BM12&gt;=0,DD12/(DATOS!$C$86*DM12*BT12*BW12*100/1000)*(DP12*DO12-1)+DN12,DO12*DN12))*DM12*BT12*BW12*100/1000))</f>
        <v>0</v>
      </c>
      <c r="DV12" s="44">
        <f>IF(BI12&lt;&gt;"SÍ","",IF(OR(DM12&lt;=0,BX12&lt;DATOS!$C$72-0.0001),0,DATOS!$C$86*MAX(0,IF(BM12&gt;=0,DE12/(DATOS!$C$86*DM12*BT12*BX12*100/1000)*(DQ12*DO12-1)+DN12,DO12*DN12))*DM12*BT12*BX12*100/1000))</f>
        <v>0</v>
      </c>
      <c r="DW12" s="44">
        <f>IF(BI12&lt;&gt;"SÍ","",IF(OR(DM12&lt;=0,BY12&lt;DATOS!$C$72-0.0001),0,DATOS!$C$86*MAX(0,IF(BM12&gt;=0,DF12/(DATOS!$C$86*DM12*BT12*BY12*100/1000)*(DR12*DO12-1)+DN12,DO12*DN12))*DM12*BT12*BY12*100/1000))</f>
        <v>0</v>
      </c>
      <c r="DX12" s="44">
        <f>IF(BI12&lt;&gt;"SÍ","",IF(OR(DM12&lt;=0,BZ12&lt;DATOS!$C$72-0.0001),0,DATOS!$C$86*MAX(0,IF(BM12&gt;=0,DG12/(DATOS!$C$86*DM12*BT12*BZ12*100/1000)*(DS12*DO12-1)+DN12,DO12*DN12))*DM12*BT12*BZ12*100/1000))</f>
        <v>0</v>
      </c>
      <c r="DY12" s="44">
        <f>IF(BI12&lt;&gt;"SÍ","",IF(OR(DM12&lt;=0,CA12&lt;DATOS!$C$72-0.0001),0,DATOS!$C$86*MAX(0,IF(BM12&gt;=0,DH12/(DATOS!$C$86*DM12*BT12*CA12*100/1000)*(DT12*DO12-1)+DN12,DO12*DN12))*DM12*BT12*CA12*100/1000))</f>
        <v>0</v>
      </c>
      <c r="DZ12" s="46">
        <f>IF(BI12&lt;&gt;"SÍ","",SUM(DU12:DY12))</f>
        <v>0</v>
      </c>
      <c r="EA12" s="45" t="str">
        <f>IF(BI12&lt;&gt;"SÍ","",IF(OR(AE12="",AE12="NINGUNO"),IF(DATOS!$C$41&gt;=10,"FALTA refuerzo horizontal: v'm ≥ 10 kg/cm² (6.5.2.2)",IF(AND(BM12&lt;0,BK12&gt;0),"FALTA: P en tensión, el refuerzo debe tomar todo el cortante (6.5.1.3)","—")),IF(AE12="ESCALERILLA","NO CUENTA: la escalerilla no se permite para cortante por sismo (6.5.3.1.2)",IF(AE12="MALLA",IF(AND(DL12&gt;=2.5,DL12&lt;=MAX(0.15*DATOS!$C$33*DATOS!$C$24,2.5)),"CUMPLE","NO CUMPLE: "&amp;IF(DL12&lt;2.5,"p_h·f_yh &lt; 2.5 (6.5.4.2.4)","p_h·f_yh &gt; 0.15·f'm·f_an (6.5.4.2.4)")),IF(AND(DK12&lt;=MIN(6*DATOS!$C$26,45),DL12&gt;=3,DL12&lt;=MIN(MAX(0.15*DATOS!$C$33*DATOS!$C$24,3),0.05*DATOS!$C$25/10*MIN(DATOS!$C$50,6000)/DK12),INDEX(TABLAS!$C$6:$C$14,MATCH(IF(AG12&lt;&gt;"",AG12,DATOS!$C$73),TABLAS!$B$6:$B$14,0))&gt;=0.35,INDEX(TABLAS!$C$6:$C$14,MATCH(IF(AG12&lt;&gt;"",AG12,DATOS!$C$73),TABLAS!$B$6:$B$14,0))&lt;=0.75*DATOS!$C$25/10),"CUMPLE","NO CUMPLE: "&amp;IF(DK12&gt;MIN(6*DATOS!$C$26,45),"s_h &gt; 6 hiladas o 45 cm (6.5.3.2.1) ","")&amp;IF(DL12&lt;3,"p_h·f_yh &lt; 3 (6.5.3.3.1) ","")&amp;IF(DL12&gt;MIN(MAX(0.15*DATOS!$C$33*DATOS!$C$24,3),0.05*DATOS!$C$25/10*MIN(DATOS!$C$50,6000)/DK12),"p_h·f_yh &gt; máximo (6.5.3.3.2) ","")&amp;IF(OR(INDEX(TABLAS!$C$6:$C$14,MATCH(IF(AG12&lt;&gt;"",AG12,DATOS!$C$73),TABLAS!$B$6:$B$14,0))&lt;0.35,INDEX(TABLAS!$C$6:$C$14,MATCH(IF(AG12&lt;&gt;"",AG12,DATOS!$C$73),TABLAS!$B$6:$B$14,0))&gt;0.75*DATOS!$C$25/10),"diámetro fuera de 3.5 mm a 0.75·h_j (4.2.2.2.1)",""))))))</f>
        <v>—</v>
      </c>
      <c r="EB12" s="46">
        <f>IF(BI12&lt;&gt;"SÍ","",DI12+DZ12)</f>
        <v>4.62</v>
      </c>
      <c r="EC12" s="50">
        <f>IF(BI12&lt;&gt;"SÍ","",IF(EB12&gt;0,BK12/EB12,IF(BK12&gt;0,99,0)))</f>
        <v>1.19047619047619</v>
      </c>
      <c r="ED12" s="47">
        <f>IF(BI12&lt;&gt;"SÍ","",IF(CE12&lt;=0,-1,IF(BK12&lt;=DI12,0,IF(IF(BM12&gt;=0,IF((DATOS!$C$86*IF(AE12="MALLA",0.5,IF(DATOS!$C$33&lt;=60,0.55,IF(DATOS!$C$33&gt;=90,0.75,0.55+0.2*(DATOS!$C$33-60)/30)))*CE12/1000-DATOS!$C$91*SUMPRODUCT(DP12:DT12,DD12:DH12))&lt;=0,1E9,(BK12-SUMPRODUCT(DP12:DT12,DD12:DH12))/(DATOS!$C$86*IF(AE12="MALLA",0.5,IF(DATOS!$C$33&lt;=60,0.55,IF(DATOS!$C$33&gt;=90,0.75,0.55+0.2*(DATOS!$C$33-60)/30)))*CE12/1000-DATOS!$C$91*SUMPRODUCT(DP12:DT12,DD12:DH12))),IF((1-4*DATOS!$C$91*BK12*1000/(DATOS!$C$86*IF(AE12="MALLA",0.5,IF(DATOS!$C$33&lt;=60,0.55,IF(DATOS!$C$33&gt;=90,0.75,0.55+0.2*(DATOS!$C$33-60)/30)))*MAX(CE12,1)))&lt;0,1E9,(1-SQRT((1-4*DATOS!$C$91*BK12*1000/(DATOS!$C$86*IF(AE12="MALLA",0.5,IF(DATOS!$C$33&lt;=60,0.55,IF(DATOS!$C$33&gt;=90,0.75,0.55+0.2*(DATOS!$C$33-60)/30)))*MAX(CE12,1)))))/(2*DATOS!$C$91)))&gt;0.1*DATOS!$C$33*DATOS!$C$24+0.000001,-1,MAX(IF(AE12="MALLA",2.5,3),IF(BM12&gt;=0,IF((DATOS!$C$86*IF(AE12="MALLA",0.5,IF(DATOS!$C$33&lt;=60,0.55,IF(DATOS!$C$33&gt;=90,0.75,0.55+0.2*(DATOS!$C$33-60)/30)))*CE12/1000-DATOS!$C$91*SUMPRODUCT(DP12:DT12,DD12:DH12))&lt;=0,1E9,(BK12-SUMPRODUCT(DP12:DT12,DD12:DH12))/(DATOS!$C$86*IF(AE12="MALLA",0.5,IF(DATOS!$C$33&lt;=60,0.55,IF(DATOS!$C$33&gt;=90,0.75,0.55+0.2*(DATOS!$C$33-60)/30)))*CE12/1000-DATOS!$C$91*SUMPRODUCT(DP12:DT12,DD12:DH12))),IF((1-4*DATOS!$C$91*BK12*1000/(DATOS!$C$86*IF(AE12="MALLA",0.5,IF(DATOS!$C$33&lt;=60,0.55,IF(DATOS!$C$33&gt;=90,0.75,0.55+0.2*(DATOS!$C$33-60)/30)))*MAX(CE12,1)))&lt;0,1E9,(1-SQRT((1-4*DATOS!$C$91*BK12*1000/(DATOS!$C$86*IF(AE12="MALLA",0.5,IF(DATOS!$C$33&lt;=60,0.55,IF(DATOS!$C$33&gt;=90,0.75,0.55+0.2*(DATOS!$C$33-60)/30)))*MAX(CE12,1)))))/(2*DATOS!$C$91))))))))</f>
        <v>3</v>
      </c>
      <c r="EE12" s="45" t="str">
        <f>IF(BI12&lt;&gt;"SÍ","",IF(ED12=0,"NO REQUIERE: V_mR ≥ V_u",IF(ED12&lt;0,"NO ALCANZA con refuerzo horizontal (haría falta más de 0.1·f'm·f_an efectivo): sube v'm con ensayes, el espesor o la longitud del muro",IF(AND(OR(AE12="VARILLA EN JUNTAS",AE12="MALLA"),LEFT(EA12,6)="CUMPLE",EC12&lt;=1),"YA LO TIENE (pide p_h·f_yh ≥ "&amp;TEXT(ED12,"0.0")&amp;" kg/cm²)","p_h·f_yh ≥ "&amp;TEXT(ED12,"0.0")&amp;" kg/cm² → "&amp;IF(AND(MIN(6,FLOOR(45/DATOS!$C$26,1),FLOOR((2*INDEX(TABLAS!$D$6:$D$14,MATCH("3/16 in",TABLAS!$B$6:$B$14,0)))*MIN(DATOS!$C$50,6000)/(BT12*DATOS!$C$26*MAX(ED12,0.001)),1))&gt;=1,((2*INDEX(TABLAS!$D$6:$D$14,MATCH("3/16 in",TABLAS!$B$6:$B$14,0)))*MIN(DATOS!$C$50,6000)/(MAX(MIN(6,FLOOR(45/DATOS!$C$26,1),FLOOR((2*INDEX(TABLAS!$D$6:$D$14,MATCH("3/16 in",TABLAS!$B$6:$B$14,0)))*MIN(DATOS!$C$50,6000)/(BT12*DATOS!$C$26*MAX(ED12,0.001)),1)),1)*DATOS!$C$26*BT12))&lt;=MIN(MAX(0.15*DATOS!$C$33*DATOS!$C$24,3),0.05*DATOS!$C$25/10*MIN(DATOS!$C$50,6000)/(MIN(6,FLOOR(45/DATOS!$C$26,1),FLOOR((2*INDEX(TABLAS!$D$6:$D$14,MATCH("3/16 in",TABLAS!$B$6:$B$14,0)))*MIN(DATOS!$C$50,6000)/(BT12*DATOS!$C$26*MAX(ED12,0.001)),1))*DATOS!$C$26))),"2 alambres de 3/16"" por junta cada "&amp;MIN(6,FLOOR(45/DATOS!$C$26,1),FLOOR((2*INDEX(TABLAS!$D$6:$D$14,MATCH("3/16 in",TABLAS!$B$6:$B$14,0)))*MIN(DATOS!$C$50,6000)/(BT12*DATOS!$C$26*MAX(ED12,0.001)),1))&amp;" hilada(s) (p_h·f_yh = "&amp;TEXT(((2*INDEX(TABLAS!$D$6:$D$14,MATCH("3/16 in",TABLAS!$B$6:$B$14,0)))*MIN(DATOS!$C$50,6000)/(MAX(MIN(6,FLOOR(45/DATOS!$C$26,1),FLOOR((2*INDEX(TABLAS!$D$6:$D$14,MATCH("3/16 in",TABLAS!$B$6:$B$14,0)))*MIN(DATOS!$C$50,6000)/(BT12*DATOS!$C$26*MAX(ED12,0.001)),1)),1)*DATOS!$C$26*BT12)),"0.00")&amp;")",IF(AND(MIN(6,FLOOR(45/DATOS!$C$26,1),FLOOR((2*INDEX(TABLAS!$D$6:$D$14,MATCH("5/32 in",TABLAS!$B$6:$B$14,0)))*MIN(DATOS!$C$50,6000)/(BT12*DATOS!$C$26*MAX(ED12,0.001)),1))&gt;=1,((2*INDEX(TABLAS!$D$6:$D$14,MATCH("5/32 in",TABLAS!$B$6:$B$14,0)))*MIN(DATOS!$C$50,6000)/(MAX(MIN(6,FLOOR(45/DATOS!$C$26,1),FLOOR((2*INDEX(TABLAS!$D$6:$D$14,MATCH("5/32 in",TABLAS!$B$6:$B$14,0)))*MIN(DATOS!$C$50,6000)/(BT12*DATOS!$C$26*MAX(ED12,0.001)),1)),1)*DATOS!$C$26*BT12))&lt;=MIN(MAX(0.15*DATOS!$C$33*DATOS!$C$24,3),0.05*DATOS!$C$25/10*MIN(DATOS!$C$50,6000)/(MIN(6,FLOOR(45/DATOS!$C$26,1),FLOOR((2*INDEX(TABLAS!$D$6:$D$14,MATCH("5/32 in",TABLAS!$B$6:$B$14,0)))*MIN(DATOS!$C$50,6000)/(BT12*DATOS!$C$26*MAX(ED12,0.001)),1))*DATOS!$C$26))),"2 alambres de 5/32"" por junta cada "&amp;MIN(6,FLOOR(45/DATOS!$C$26,1),FLOOR((2*INDEX(TABLAS!$D$6:$D$14,MATCH("5/32 in",TABLAS!$B$6:$B$14,0)))*MIN(DATOS!$C$50,6000)/(BT12*DATOS!$C$26*MAX(ED12,0.001)),1))&amp;" hilada(s) (p_h·f_yh = "&amp;TEXT(((2*INDEX(TABLAS!$D$6:$D$14,MATCH("5/32 in",TABLAS!$B$6:$B$14,0)))*MIN(DATOS!$C$50,6000)/(MAX(MIN(6,FLOOR(45/DATOS!$C$26,1),FLOOR((2*INDEX(TABLAS!$D$6:$D$14,MATCH("5/32 in",TABLAS!$B$6:$B$14,0)))*MIN(DATOS!$C$50,6000)/(BT12*DATOS!$C$26*MAX(ED12,0.001)),1)),1)*DATOS!$C$26*BT12)),"0.00")&amp;")",IF(AND(MIN(6,FLOOR(45/DATOS!$C$26,1),FLOOR((1*INDEX(TABLAS!$D$6:$D$14,MATCH("3/16 in",TABLAS!$B$6:$B$14,0)))*MIN(DATOS!$C$50,6000)/(BT12*DATOS!$C$26*MAX(ED12,0.001)),1))&gt;=1,((1*INDEX(TABLAS!$D$6:$D$14,MATCH("3/16 in",TABLAS!$B$6:$B$14,0)))*MIN(DATOS!$C$50,6000)/(MAX(MIN(6,FLOOR(45/DATOS!$C$26,1),FLOOR((1*INDEX(TABLAS!$D$6:$D$14,MATCH("3/16 in",TABLAS!$B$6:$B$14,0)))*MIN(DATOS!$C$50,6000)/(BT12*DATOS!$C$26*MAX(ED12,0.001)),1)),1)*DATOS!$C$26*BT12))&lt;=MIN(MAX(0.15*DATOS!$C$33*DATOS!$C$24,3),0.05*DATOS!$C$25/10*MIN(DATOS!$C$50,6000)/(MIN(6,FLOOR(45/DATOS!$C$26,1),FLOOR((1*INDEX(TABLAS!$D$6:$D$14,MATCH("3/16 in",TABLAS!$B$6:$B$14,0)))*MIN(DATOS!$C$50,6000)/(BT12*DATOS!$C$26*MAX(ED12,0.001)),1))*DATOS!$C$26))),"1 alambre de 3/16"" por junta cada "&amp;MIN(6,FLOOR(45/DATOS!$C$26,1),FLOOR((1*INDEX(TABLAS!$D$6:$D$14,MATCH("3/16 in",TABLAS!$B$6:$B$14,0)))*MIN(DATOS!$C$50,6000)/(BT12*DATOS!$C$26*MAX(ED12,0.001)),1))&amp;" hilada(s) (p_h·f_yh = "&amp;TEXT(((1*INDEX(TABLAS!$D$6:$D$14,MATCH("3/16 in",TABLAS!$B$6:$B$14,0)))*MIN(DATOS!$C$50,6000)/(MAX(MIN(6,FLOOR(45/DATOS!$C$26,1),FLOOR((1*INDEX(TABLAS!$D$6:$D$14,MATCH("3/16 in",TABLAS!$B$6:$B$14,0)))*MIN(DATOS!$C$50,6000)/(BT12*DATOS!$C$26*MAX(ED12,0.001)),1)),1)*DATOS!$C$26*BT12)),"0.00")&amp;")",IF(AND(MIN(6,FLOOR(45/DATOS!$C$26,1),FLOOR((1*INDEX(TABLAS!$D$6:$D$14,MATCH("5/32 in",TABLAS!$B$6:$B$14,0)))*MIN(DATOS!$C$50,6000)/(BT12*DATOS!$C$26*MAX(ED12,0.001)),1))&gt;=1,((1*INDEX(TABLAS!$D$6:$D$14,MATCH("5/32 in",TABLAS!$B$6:$B$14,0)))*MIN(DATOS!$C$50,6000)/(MAX(MIN(6,FLOOR(45/DATOS!$C$26,1),FLOOR((1*INDEX(TABLAS!$D$6:$D$14,MATCH("5/32 in",TABLAS!$B$6:$B$14,0)))*MIN(DATOS!$C$50,6000)/(BT12*DATOS!$C$26*MAX(ED12,0.001)),1)),1)*DATOS!$C$26*BT12))&lt;=MIN(MAX(0.15*DATOS!$C$33*DATOS!$C$24,3),0.05*DATOS!$C$25/10*MIN(DATOS!$C$50,6000)/(MIN(6,FLOOR(45/DATOS!$C$26,1),FLOOR((1*INDEX(TABLAS!$D$6:$D$14,MATCH("5/32 in",TABLAS!$B$6:$B$14,0)))*MIN(DATOS!$C$50,6000)/(BT12*DATOS!$C$26*MAX(ED12,0.001)),1))*DATOS!$C$26))),"1 alambre de 5/32"" por junta cada "&amp;MIN(6,FLOOR(45/DATOS!$C$26,1),FLOOR((1*INDEX(TABLAS!$D$6:$D$14,MATCH("5/32 in",TABLAS!$B$6:$B$14,0)))*MIN(DATOS!$C$50,6000)/(BT12*DATOS!$C$26*MAX(ED12,0.001)),1))&amp;" hilada(s) (p_h·f_yh = "&amp;TEXT(((1*INDEX(TABLAS!$D$6:$D$14,MATCH("5/32 in",TABLAS!$B$6:$B$14,0)))*MIN(DATOS!$C$50,6000)/(MAX(MIN(6,FLOOR(45/DATOS!$C$26,1),FLOOR((1*INDEX(TABLAS!$D$6:$D$14,MATCH("5/32 in",TABLAS!$B$6:$B$14,0)))*MIN(DATOS!$C$50,6000)/(BT12*DATOS!$C$26*MAX(ED12,0.001)),1)),1)*DATOS!$C$26*BT12)),"0.00")&amp;")","ninguna combinación de 1 o 2 alambres por junta queda entre el mínimo y el máximo: revisa con malla (6.5.4)"))))))))</f>
        <v>p_h·f_yh ≥ 3.0 kg/cm² → 2 alambres de 3/16" por junta cada 2 hilada(s) (p_h·f_yh = 3.56)</v>
      </c>
      <c r="EF12" s="43">
        <f>IF(BI12&lt;&gt;"SÍ","",IF(AI12="SÍ",N(AK12)*N(AL12)^3/12,0))</f>
        <v>0</v>
      </c>
      <c r="EG12" s="48">
        <f>IF(BI12&lt;&gt;"SÍ","",IF(AND(AI12="SÍ",N(AM12)&gt;0),MIN(1,F12/AM12),0))</f>
        <v>0</v>
      </c>
      <c r="EH12" s="47">
        <f>IF(BI12&lt;&gt;"SÍ","",IF(AI12="SÍ",BP12*1000/(BT12*F12*100)*BT12*(EG12^4-4*EG12^3+8*EG12),0))</f>
        <v>0</v>
      </c>
      <c r="EI12" s="48">
        <f>IF(BI12&lt;&gt;"SÍ","",IF(AND(AI12="SÍ",EH12&gt;0),EH12/(EH12+5*N(AN12)*10),0))</f>
        <v>0</v>
      </c>
      <c r="EJ12" s="44">
        <f>IF(BI12&lt;&gt;"SÍ","",IF(AND(AI12="SÍ",EI12&gt;0,EF12&gt;0),(DATOS!$C$43*BT12*(AM12*100)^3/(DATOS!$C$53*EF12*EI12))^0.25,0))</f>
        <v>0</v>
      </c>
      <c r="EK12" s="44">
        <f>IF(BI12&lt;&gt;"SÍ","",IF(AI12&lt;&gt;"SÍ",0,IF(N(AM12)&lt;=F12,1,IF(MIN(1,N(AO12)/((AM12-F12)/2))&lt;=0.5,0.7+0.6*MIN(1,N(AO12)/((AM12-F12)/2)),1.5-MIN(1,N(AO12)/((AM12-F12)/2))))))</f>
        <v>0</v>
      </c>
      <c r="EL12" s="44">
        <f>IF(BI12&lt;&gt;"SÍ","",IF(AI12&lt;&gt;"SÍ",0,MAX(1,IF(EG12&gt;=1,(1.6*EJ12-3.9),IF(EG12&lt;0.9,((3.2*EJ12-7.8)*EK12),((3.2*EJ12-7.8)*EK12)+((1.6*EJ12-3.9)-((3.2*EJ12-7.8)*EK12))*(EG12-0.9)/0.1)))))</f>
        <v>0</v>
      </c>
      <c r="EM12" s="47">
        <f>IF(BI12&lt;&gt;"SÍ","",IF(AI12="SÍ",EL12*BP12*1000/(BT12*F12*100),0))</f>
        <v>0</v>
      </c>
      <c r="EN12" s="47">
        <f>IF(BI12&lt;&gt;"SÍ","",IF(AND(AI12="SÍ",N(AL12)&gt;0),AM12*100/AL12,0))</f>
        <v>0</v>
      </c>
      <c r="EO12" s="47">
        <f>IF(BI12&lt;&gt;"SÍ","",IF(AI12="SÍ",(1/15*DATOS!$C$53*N(AK12)/MAX((IF(ISNUMBER(AP12),AP12,BP12/DATOS!$C$90)*1000/(BT12*F12*100)*BT12*(EG12^4-4*EG12^3+8*EG12))+5*N(AN12)/DATOS!$C$90*10,0.001))^(1/3),0))</f>
        <v>0</v>
      </c>
      <c r="EP12" s="45" t="str">
        <f>IF(BI12&lt;&gt;"SÍ","",IF(AI12&lt;&gt;"SÍ","—",IF(OR(N(AK12)&lt;=0,N(AL12)&lt;=0,N(AM12)&lt;=0),"REVISAR: faltan b, h o L_v de la viga",IF(AND(EM12&lt;=DATOS!$C$87*DATOS!$C$33,EN12&lt;=14,N(AL12)&gt;=25,EN12&lt;=EO12),IF(BS12/F12&lt;0.6,"PENDIENTE: H/L &lt; 0.6, falta el análisis de interacción muro–viga (4.1.18.2.1); f_CM es estimado","CUMPLE"),"NO CUMPLE: "&amp;IF(EM12&gt;DATOS!$C$87*DATOS!$C$33,"f_CM &gt; F_R·f'm ","")&amp;IF(EN12&gt;14,"L_v/h_v &gt; 14 ","")&amp;IF(N(AL12)&lt;25,"h_v &lt; 25 cm ","")&amp;IF(EN12&gt;EO12,"flecha (4.1.18.3)","")))))</f>
        <v>—</v>
      </c>
      <c r="EQ12" s="44">
        <f>IF(BI12&lt;&gt;"SÍ","",MAX(0,F12*BS12-(N(K12)*N(M12)+N(P12)*N(R12)+N(U12)*N(W12)+N(Z12)*N(AB12))-CK12*DATOS!$C$59/100*BS12))</f>
        <v>6.56</v>
      </c>
      <c r="ER12" s="48">
        <f>IF(BI12&lt;&gt;"SÍ","",CK12*DATOS!$C$59*DATOS!$C$60/10000*BS12)</f>
        <v>0.3375</v>
      </c>
      <c r="ES12" s="47">
        <f>IF(BI12&lt;&gt;"SÍ","",CK12*(DATOS!$C$61*(BS12+0.6)*INDEX(TABLAS!$E$6:$E$14,MATCH(DATOS!$C$62,TABLAS!$B$6:$B$14,0))+(2*ROUNDUP(CN12/DATOS!$C$65,0)+ROUNDUP(MAX(0,BS12*100-2*CN12)/DATOS!$C$64,0))*((2*(DATOS!$C$60+DATOS!$C$59-4*(DATOS!$C$66-INDEX(TABLAS!$C$6:$C$14,MATCH(DATOS!$C$63,TABLAS!$B$6:$B$14,0))))+15)/100)*INDEX(TABLAS!$E$6:$E$14,MATCH(DATOS!$C$63,TABLAS!$B$6:$B$14,0))))</f>
        <v>61.7684592</v>
      </c>
      <c r="ET12" s="47">
        <f>IF(BI12&lt;&gt;"SÍ","",IF(OR(AE12="VARILLA EN JUNTAS",AE12="ESCALERILLA"),INT(BS12*100/MAX(DK12,1))*IF(ISNUMBER(AF12),AF12,2)*CB12*INDEX(TABLAS!$E$6:$E$14,MATCH(IF(AG12&lt;&gt;"",AG12,DATOS!$C$73),TABLAS!$B$6:$B$14,0)),IF(AE12="MALLA",IF(ISNUMBER(AF12),AF12,1)*CB12*BS12*INDEX(TABLAS!$E$19:$E$22,MATCH(IF(AG12&lt;&gt;"",AG12,DATOS!$C$74),TABLAS!$B$19:$B$22,0)),0)))</f>
        <v>0</v>
      </c>
      <c r="EU12" s="45" t="str">
        <f>IF(BI12&lt;&gt;"SÍ","",""&amp;IF(BJ12="NO ESTÁ EN PIER_FORCES","sin fuerzas en PIER_FORCES; ","")&amp;IF(BV12&lt;&gt;"CUMPLE","vanos; ","")&amp;IF(LEFT(CH12,2)="NO","espesor o esbeltez; ","")&amp;IF(CQ12&gt;1,"compresión; ","")&amp;IF(CX12&gt;1,"flexión; ","")&amp;IF(CB12&lt;=0,"sin tramos de muro (todos son machones menores que L mín.: diséñalos como columnas o baja L mín.); ",IF(EC12&gt;1,"cortante; ",""))&amp;IF(OR(LEFT(EA12,2)="NO",LEFT(EA12,5)="FALTA"),"refuerzo horizontal; ","")&amp;IF(OR(LEFT(EP12,2)="NO",LEFT(EP12,7)="REVISAR"),"muro sobre viga; ","")&amp;IF(LEFT(DATOS!$C$81,2)="NO","castillo típico; ","")&amp;IF(LEFT(DATOS!$C$82,2)="NO","dala típica; ","")&amp;IF(AND(BT12&lt;&gt;DATOS!$C$58,DATOS!$C$60&lt;BT12),"castillo más angosto que el muro; ",""))</f>
        <v>cortante; </v>
      </c>
      <c r="EV12" s="45" t="str">
        <f>IF(BI12&lt;&gt;"SÍ","",""&amp;IF(LEFT(EP12,9)="PENDIENTE","análisis muro–viga (H/L &lt; 0.6); ","")&amp;IF(BR12&gt;50,"V_u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2" s="51" t="str">
        <f>IF(BI12&lt;&gt;"SÍ","",IF(EU12&lt;&gt;"","NO CUMPLE: "&amp;LEFT(EU12,LEN(EU12)-2),IF(EV12&lt;&gt;"","CUMPLE — PENDIENTE: "&amp;LEFT(EV12,LEN(EV12)-2),"CUMPLE")))</f>
        <v>NO CUMPLE: cortante</v>
      </c>
      <c r="EX12" s="52" t="inlineStr">
        <is>
          <t>Ejemplo: muro con puerta y ventana; sin refuerzo horizontal no le alcanza el cortante.</t>
        </is>
      </c>
    </row>
    <row r="13" ht="30" customHeight="1">
      <c r="A13" s="38">
        <f>IF(B13="","",ROW()-10)</f>
        <v>3</v>
      </c>
      <c r="B13" s="28" t="inlineStr">
        <is>
          <t>M-3</t>
        </is>
      </c>
      <c r="C13" s="39" t="inlineStr">
        <is>
          <t>N2</t>
        </is>
      </c>
      <c r="D13" s="39" t="inlineStr">
        <is>
          <t>X</t>
        </is>
      </c>
      <c r="E13" s="39" t="inlineStr">
        <is>
          <t>EXTREMO</t>
        </is>
      </c>
      <c r="F13" s="40" t="n">
        <v>3.6</v>
      </c>
      <c r="G13" s="40" t="n"/>
      <c r="H13" s="41" t="n"/>
      <c r="I13" s="39" t="n"/>
      <c r="J13" s="40" t="n"/>
      <c r="K13" s="40" t="n"/>
      <c r="L13" s="40" t="n"/>
      <c r="M13" s="40" t="n"/>
      <c r="N13" s="39" t="n"/>
      <c r="O13" s="40" t="n"/>
      <c r="P13" s="40" t="n"/>
      <c r="Q13" s="40" t="n"/>
      <c r="R13" s="40" t="n"/>
      <c r="S13" s="39" t="n"/>
      <c r="T13" s="40" t="n"/>
      <c r="U13" s="40" t="n"/>
      <c r="V13" s="40" t="n"/>
      <c r="W13" s="40" t="n"/>
      <c r="X13" s="39" t="n"/>
      <c r="Y13" s="40" t="n"/>
      <c r="Z13" s="40" t="n"/>
      <c r="AA13" s="40" t="n"/>
      <c r="AB13" s="40" t="n"/>
      <c r="AC13" s="41" t="n"/>
      <c r="AD13" s="41" t="n"/>
      <c r="AE13" s="39" t="inlineStr">
        <is>
          <t>NINGUNO</t>
        </is>
      </c>
      <c r="AF13" s="41" t="n"/>
      <c r="AG13" s="41" t="n"/>
      <c r="AH13" s="41" t="n"/>
      <c r="AI13" s="39" t="inlineStr">
        <is>
          <t>SÍ</t>
        </is>
      </c>
      <c r="AJ13" s="39" t="inlineStr">
        <is>
          <t>T-1</t>
        </is>
      </c>
      <c r="AK13" s="41" t="n">
        <v>20</v>
      </c>
      <c r="AL13" s="41" t="n">
        <v>45</v>
      </c>
      <c r="AM13" s="40" t="n">
        <v>4</v>
      </c>
      <c r="AN13" s="40" t="n">
        <v>1.2</v>
      </c>
      <c r="AO13" s="40" t="n">
        <v>0</v>
      </c>
      <c r="AP13" s="40" t="n"/>
      <c r="AQ13" s="40" t="n">
        <v>3</v>
      </c>
      <c r="AR13" s="40" t="n">
        <v>6</v>
      </c>
      <c r="AS13" s="40" t="n">
        <v>4</v>
      </c>
      <c r="AT13" s="40" t="n">
        <v>9</v>
      </c>
      <c r="AU13" s="40" t="n"/>
      <c r="AV13" s="40" t="n"/>
      <c r="AW13" s="40" t="n"/>
      <c r="AX13" s="42" t="str">
        <f>IF(B13="","",C13&amp;"|"&amp;B13)</f>
        <v>N2|M-3</v>
      </c>
      <c r="AY13" s="43">
        <f>IF(B13="","",COUNTIFS(PIER_FORCES!$O$9:$O$3008,3,PIER_FORCES!$P$9:$P$3008,1))</f>
        <v>0</v>
      </c>
      <c r="AZ13" s="43">
        <f>IF(B13="","",COUNTIFS(PIER_FORCES!$O$9:$O$3008,3,PIER_FORCES!$P$9:$P$3008,2))</f>
        <v>0</v>
      </c>
      <c r="BA13" s="44">
        <f>IF(N(AY13)=0,0,SUMPRODUCT(MAX((PIER_FORCES!$O$9:$O$3008=3)*(PIER_FORCES!$P$9:$P$3008=1)*PIER_FORCES!$R$9:$R$3008)))</f>
        <v>0</v>
      </c>
      <c r="BB13" s="44">
        <f>IF(N(AY13)=0,0,SUMPRODUCT(MAX((PIER_FORCES!$O$9:$O$3008=3)*(PIER_FORCES!$P$9:$P$3008=1)*PIER_FORCES!$S$9:$S$3008)))</f>
        <v>0</v>
      </c>
      <c r="BC13" s="44">
        <f>IF(N(AY13)=0,0,-SUMPRODUCT(MAX((PIER_FORCES!$O$9:$O$3008=3)*(PIER_FORCES!$P$9:$P$3008=1)*(-PIER_FORCES!$Q$9:$Q$3008)+(1-(PIER_FORCES!$O$9:$O$3008=3)*(PIER_FORCES!$P$9:$P$3008=1))*(-1E9))))</f>
        <v>0</v>
      </c>
      <c r="BD13" s="44">
        <f>IF(N(AY13)=0,0,SUMPRODUCT(MAX((PIER_FORCES!$O$9:$O$3008=3)*(PIER_FORCES!$P$9:$P$3008=1)*PIER_FORCES!$Q$9:$Q$3008+(1-(PIER_FORCES!$O$9:$O$3008=3)*(PIER_FORCES!$P$9:$P$3008=1))*(-1E9))))</f>
        <v>0</v>
      </c>
      <c r="BE13" s="44">
        <f>IF(N(AZ13)=0,BD13,SUMPRODUCT(MAX((PIER_FORCES!$O$9:$O$3008=3)*(PIER_FORCES!$P$9:$P$3008=2)*PIER_FORCES!$Q$9:$Q$3008+(1-(PIER_FORCES!$O$9:$O$3008=3)*(PIER_FORCES!$P$9:$P$3008=2))*(-1E9))))</f>
        <v>0</v>
      </c>
      <c r="BF13" s="44">
        <f>IF(N(AZ13)=0,0,SUMPRODUCT(MAX((PIER_FORCES!$O$9:$O$3008=3)*(PIER_FORCES!$P$9:$P$3008=2)*PIER_FORCES!$R$9:$R$3008)))</f>
        <v>0</v>
      </c>
      <c r="BG13" s="43">
        <f>IF(N(AY13)=0,0,SUMPRODUCT(MAX((PIER_FORCES!$O$9:$O$3008=3)*(PIER_FORCES!$P$9:$P$3008=1)*(ABS(PIER_FORCES!$R$9:$R$3008-BA13)&lt;0.000001)*PIER_FORCES!$T$9:$T$3008)))</f>
        <v>0</v>
      </c>
      <c r="BH13" s="45" t="str">
        <f>IF(N(BG13)=0,"",INDEX(PIER_FORCES!$D$9:$D$3008,BG13)&amp;" "&amp;INDEX(PIER_FORCES!$F$9:$F$3008,BG13)&amp;" / "&amp;INDEX(PIER_FORCES!$G$9:$G$3008,BG13))</f>
        <v/>
      </c>
      <c r="BI13" s="42" t="str">
        <f>IF(B13="","",IF(AND(C13&lt;&gt;"",OR(D13="X",D13="Y"),ISNUMBER(F13),N(F13)&gt;0),"SÍ","NO"))</f>
        <v>SÍ</v>
      </c>
      <c r="BJ13" s="42" t="str">
        <f>IF(BI13&lt;&gt;"SÍ","",IF(DATOS!$C$108="ETABS (PIER_FORCES)",IF(N(AY13)&gt;0,"ETABS","NO ESTÁ EN PIER_FORCES"),"CAPTURA"))</f>
        <v>CAPTURA</v>
      </c>
      <c r="BK13" s="46">
        <f>IF(BI13&lt;&gt;"SÍ","",IF(BJ13="ETABS",BA13,IF(BJ13="CAPTURA",N(AQ13),0)))</f>
        <v>3</v>
      </c>
      <c r="BL13" s="46">
        <f>IF(BI13&lt;&gt;"SÍ","",IF(BJ13="ETABS",BB13,IF(BJ13="CAPTURA",N(AR13),0)))</f>
        <v>6</v>
      </c>
      <c r="BM13" s="46">
        <f>IF(BI13&lt;&gt;"SÍ","",IF(BJ13="ETABS",BC13/DATOS!$C$89,IF(BJ13="CAPTURA",N(AS13),0)))</f>
        <v>4</v>
      </c>
      <c r="BN13" s="44">
        <f>IF(BI13&lt;&gt;"SÍ","",IF(BJ13="ETABS",BC13,IF(BJ13="CAPTURA",IF(ISNUMBER(AU13),AU13,N(AS13)*DATOS!$C$89),0)))</f>
        <v>4.4</v>
      </c>
      <c r="BO13" s="44">
        <f>IF(BI13&lt;&gt;"SÍ","",IF(BJ13="ETABS",MAX(BD13,BE13),IF(BJ13="CAPTURA",N(AT13),0)))</f>
        <v>9</v>
      </c>
      <c r="BP13" s="44">
        <f>IF(BI13&lt;&gt;"SÍ","",IF(BJ13="ETABS",BE13,IF(BJ13="CAPTURA",IF(ISNUMBER(AV13),AV13,N(AT13)),0)))</f>
        <v>9</v>
      </c>
      <c r="BQ13" s="44">
        <f>IF(BI13&lt;&gt;"SÍ","",IF(BJ13="ETABS",BF13,IF(BJ13="CAPTURA",N(AW13),0)))</f>
        <v>0</v>
      </c>
      <c r="BR13" s="43">
        <f>IF(BI13&lt;&gt;"SÍ","",IF(BK13&gt;0,100*BQ13/BK13,0))</f>
        <v>0</v>
      </c>
      <c r="BS13" s="44">
        <f>IF(BI13&lt;&gt;"SÍ","",IF(ISNUMBER(G13),G13,DATOS!$C$57))</f>
        <v>2.5</v>
      </c>
      <c r="BT13" s="47">
        <f>IF(BI13&lt;&gt;"SÍ","",IF(ISNUMBER(H13),H13,DATOS!$C$58))</f>
        <v>15</v>
      </c>
      <c r="BU13" s="43">
        <f>IF(BI13&lt;&gt;"SÍ","",IF(N(K13)&gt;0,1+IF(N(P13)&gt;0,1+IF(N(U13)&gt;0,1+IF(N(Z13)&gt;0,1,0),0),0),0))</f>
        <v>0</v>
      </c>
      <c r="BV13" s="45" t="str">
        <f>IF(BI13&lt;&gt;"SÍ","",IF(AND(OR(BU13&lt;1,AND(N(J13)&gt;=0-0.001,J13+K13&lt;=F13+0.001,N(L13)&gt;=0,N(L13)+N(M13)&lt;=BS13+0.001,N(M13)&gt;0,OR(I13="PUERTA",I13="VENTANA"))),OR(BU13&lt;2,AND(N(O13)&gt;=(J13+K13)-0.001,O13+P13&lt;=F13+0.001,N(Q13)&gt;=0,N(Q13)+N(R13)&lt;=BS13+0.001,N(R13)&gt;0,OR(N13="PUERTA",N13="VENTANA"))),OR(BU13&lt;3,AND(N(T13)&gt;=(O13+P13)-0.001,T13+U13&lt;=F13+0.001,N(V13)&gt;=0,N(V13)+N(W13)&lt;=BS13+0.001,N(W13)&gt;0,OR(S13="PUERTA",S13="VENTANA"))),OR(BU13&lt;4,AND(N(Y13)&gt;=(T13+U13)-0.001,Y13+Z13&lt;=F13+0.001,N(AA13)&gt;=0,N(AA13)+N(AB13)&lt;=BS13+0.001,N(AB13)&gt;0,OR(X13="PUERTA",X13="VENTANA"))),(N(K13)&gt;0)+(N(P13)&gt;0)+(N(U13)&gt;0)+(N(Z13)&gt;0)=BU13),"CUMPLE","REVISAR VANOS: tipo, orden de izquierda a derecha, que quepan en L y en H"))</f>
        <v>CUMPLE</v>
      </c>
      <c r="BW13" s="44">
        <f>IF(BI13&lt;&gt;"SÍ","",MAX(0,IF(BU13&gt;=1,N(J13),F13)))</f>
        <v>3.6</v>
      </c>
      <c r="BX13" s="44">
        <f>IF(BI13&lt;&gt;"SÍ","",MAX(0,IF(BU13&gt;=2,N(O13)-(N(J13)+N(K13)),IF(BU13=1,F13-(N(J13)+N(K13)),0))))</f>
        <v>0</v>
      </c>
      <c r="BY13" s="44">
        <f>IF(BI13&lt;&gt;"SÍ","",MAX(0,IF(BU13&gt;=3,N(T13)-(N(O13)+N(P13)),IF(BU13=2,F13-(N(O13)+N(P13)),0))))</f>
        <v>0</v>
      </c>
      <c r="BZ13" s="44">
        <f>IF(BI13&lt;&gt;"SÍ","",MAX(0,IF(BU13&gt;=4,N(Y13)-(N(T13)+N(U13)),IF(BU13=3,F13-(N(T13)+N(U13)),0))))</f>
        <v>0</v>
      </c>
      <c r="CA13" s="44">
        <f>IF(BI13&lt;&gt;"SÍ","",MAX(0,IF(BU13=4,F13-(N(Y13)+N(Z13)),0)))</f>
        <v>0</v>
      </c>
      <c r="CB13" s="46">
        <f>IF(BI13&lt;&gt;"SÍ","",SUMPRODUCT((BW13:CA13&gt;=DATOS!$C$72-0.0001)*BW13:CA13))</f>
        <v>3.6</v>
      </c>
      <c r="CC13" s="43">
        <f>IF(BI13&lt;&gt;"SÍ","",SUMPRODUCT(--(BW13:CA13&gt;=DATOS!$C$72-0.0001)))</f>
        <v>1</v>
      </c>
      <c r="CD13" s="44">
        <f>IF(BI13&lt;&gt;"SÍ","",SUM(BW13:CA13))</f>
        <v>3.6</v>
      </c>
      <c r="CE13" s="43">
        <f>IF(BI13&lt;&gt;"SÍ","",BT13*CB13*100)</f>
        <v>5400</v>
      </c>
      <c r="CF13" s="43">
        <f>IF(BI13&lt;&gt;"SÍ","",BT13*CD13*100)</f>
        <v>5400</v>
      </c>
      <c r="CG13" s="47">
        <f>IF(BI13&lt;&gt;"SÍ","",BS13*100/BT13)</f>
        <v>16.6666666666667</v>
      </c>
      <c r="CH13" s="45" t="str">
        <f>IF(BI13&lt;&gt;"SÍ","",IF(AND(OR(DATOS!$C$14="TIPO II",BT13&gt;=12),CG13&lt;=25),"CUMPLE","NO CUMPLE: "&amp;IF(AND(DATOS!$C$14="TIPO I",BT13&lt;12),"t &lt; 12 cm ","")&amp;IF(CG13&gt;25,"H/t &gt; 25","")))</f>
        <v>CUMPLE</v>
      </c>
      <c r="CI13" s="44">
        <f>IF(BI13&lt;&gt;"SÍ","",MIN(1.5*BS13,4))</f>
        <v>3.75</v>
      </c>
      <c r="CJ13" s="43">
        <f>IF(BI13&lt;&gt;"SÍ","",SUMPRODUCT((BW13:CA13&gt;=2*DATOS!$C$59/100)*INT((BW13:CA13-DATOS!$C$59/100)/CI13-0.000001)*((BW13:CA13-DATOS!$C$59/100)&gt;0)))</f>
        <v>0</v>
      </c>
      <c r="CK13" s="43">
        <f>IF(BI13&lt;&gt;"SÍ","",SUMPRODUCT((BW13:CA13&gt;0.0001)*1+(BW13:CA13&gt;=2*DATOS!$C$59/100)*1)+CJ13)</f>
        <v>2</v>
      </c>
      <c r="CL13" s="44">
        <f>IF(BI13&lt;&gt;"SÍ","",IF(ISNUMBER(AC13),AC13,DATOS!$C$61)*INDEX(TABLAS!$D$6:$D$14,MATCH(IF(AD13&lt;&gt;"",AD13,DATOS!$C$62),TABLAS!$B$6:$B$14,0)))</f>
        <v>2.84</v>
      </c>
      <c r="CM13" s="44">
        <f>IF(BI13&lt;&gt;"SÍ","",CK13*DATOS!$C$78+IF(CK13&gt;=2,2,CK13)*(CL13-DATOS!$C$78))</f>
        <v>5.68</v>
      </c>
      <c r="CN13" s="47">
        <f>IF(BI13&lt;&gt;"SÍ","",MAX(BS13*100/6,40))</f>
        <v>41.6666666666667</v>
      </c>
      <c r="CO13" s="48">
        <f>IF(BI13&lt;&gt;"SÍ","",IF(CG13&lt;=20,IF(E13="INTERIOR",0.7,0.6),MIN(IF(E13="INTERIOR",0.7,0.6),(1-2/24)*(1-(IF(E13="INTERIOR",0.8,1)*CG13/30)^2))))</f>
        <v>0.6</v>
      </c>
      <c r="CP13" s="47">
        <f>IF(BI13&lt;&gt;"SÍ","",DATOS!$C$87*CO13*(DATOS!$C$33*CF13+CM13*DATOS!$C$48)/1000)</f>
        <v>105.78816</v>
      </c>
      <c r="CQ13" s="46">
        <f>IF(BI13&lt;&gt;"SÍ","",IF(CP13&gt;0,BO13/CP13,99))</f>
        <v>0.0850756833278885</v>
      </c>
      <c r="CR13" s="47">
        <f>IF(BI13&lt;&gt;"SÍ","",MAX(0,F13*100-DATOS!$C$59))</f>
        <v>345</v>
      </c>
      <c r="CS13" s="47">
        <f>IF(BI13&lt;&gt;"SÍ","",MAX(0,F13*100-DATOS!$C$59/2))</f>
        <v>352.5</v>
      </c>
      <c r="CT13" s="44">
        <f>IF(BI13&lt;&gt;"SÍ","",CL13*DATOS!$C$48*CR13/100000)</f>
        <v>41.1516</v>
      </c>
      <c r="CU13" s="44">
        <f>IF(BI13&lt;&gt;"SÍ","",IF(BN13&lt;0,0.8*CT13*MAX(0,1+BN13/(0.8*CM13*DATOS!$C$48/1000)),IF(BN13&lt;=CP13/3,0.8*CT13+0.3*BN13*CS13/100,(1.5*0.6*CT13+0.15*CP13*CS13/100)*MAX(0,1-BN13/CP13))))</f>
        <v>37.57428</v>
      </c>
      <c r="CV13" s="44">
        <f>IF(BI13&lt;&gt;"SÍ","",IF(BO13&lt;0,0.8*CT13*MAX(0,1+BO13/(0.8*CM13*DATOS!$C$48/1000)),IF(BO13&lt;=CP13/3,0.8*CT13+0.3*BO13*CS13/100,(1.5*0.6*CT13+0.15*CP13*CS13/100)*MAX(0,1-BO13/CP13))))</f>
        <v>42.43878</v>
      </c>
      <c r="CW13" s="46">
        <f>IF(BI13&lt;&gt;"SÍ","",MAX(0,MIN(CU13,CV13)))</f>
        <v>37.57428</v>
      </c>
      <c r="CX13" s="49">
        <f>IF(BI13&lt;&gt;"SÍ","",IF(CW13&gt;0,BL13/CW13,IF(BL13&gt;0,99,0)))</f>
        <v>0.159683698529952</v>
      </c>
      <c r="CY13" s="44">
        <f>IF(BI13&lt;&gt;"SÍ","",IF(BW13&gt;0,MAX(1,MIN(1.5,1.5-0.625*(BS13/BW13-0.2))),0))</f>
        <v>1.19097222222222</v>
      </c>
      <c r="CZ13" s="44">
        <f>IF(BI13&lt;&gt;"SÍ","",IF(BX13&gt;0,MAX(1,MIN(1.5,1.5-0.625*(BS13/BX13-0.2))),0))</f>
        <v>0</v>
      </c>
      <c r="DA13" s="44">
        <f>IF(BI13&lt;&gt;"SÍ","",IF(BY13&gt;0,MAX(1,MIN(1.5,1.5-0.625*(BS13/BY13-0.2))),0))</f>
        <v>0</v>
      </c>
      <c r="DB13" s="44">
        <f>IF(BI13&lt;&gt;"SÍ","",IF(BZ13&gt;0,MAX(1,MIN(1.5,1.5-0.625*(BS13/BZ13-0.2))),0))</f>
        <v>0</v>
      </c>
      <c r="DC13" s="44">
        <f>IF(BI13&lt;&gt;"SÍ","",IF(CA13&gt;0,MAX(1,MIN(1.5,1.5-0.625*(BS13/CA13-0.2))),0))</f>
        <v>0</v>
      </c>
      <c r="DD13" s="44">
        <f>IF(BI13&lt;&gt;"SÍ","",IF(OR(BW13&lt;DATOS!$C$72-0.0001,BM13&lt;0,CB13&lt;=0),0,MIN(DATOS!$C$86*(0.5*DATOS!$C$41*BT13*BW13*100+0.3*BM13*BW13/CB13*1000)*CY13,1.5*DATOS!$C$86*DATOS!$C$41*BT13*BW13*100*CY13)/1000))</f>
        <v>5.50229166666667</v>
      </c>
      <c r="DE13" s="44">
        <f>IF(BI13&lt;&gt;"SÍ","",IF(OR(BX13&lt;DATOS!$C$72-0.0001,BM13&lt;0,CB13&lt;=0),0,MIN(DATOS!$C$86*(0.5*DATOS!$C$41*BT13*BX13*100+0.3*BM13*BX13/CB13*1000)*CZ13,1.5*DATOS!$C$86*DATOS!$C$41*BT13*BX13*100*CZ13)/1000))</f>
        <v>0</v>
      </c>
      <c r="DF13" s="44">
        <f>IF(BI13&lt;&gt;"SÍ","",IF(OR(BY13&lt;DATOS!$C$72-0.0001,BM13&lt;0,CB13&lt;=0),0,MIN(DATOS!$C$86*(0.5*DATOS!$C$41*BT13*BY13*100+0.3*BM13*BY13/CB13*1000)*DA13,1.5*DATOS!$C$86*DATOS!$C$41*BT13*BY13*100*DA13)/1000))</f>
        <v>0</v>
      </c>
      <c r="DG13" s="44">
        <f>IF(BI13&lt;&gt;"SÍ","",IF(OR(BZ13&lt;DATOS!$C$72-0.0001,BM13&lt;0,CB13&lt;=0),0,MIN(DATOS!$C$86*(0.5*DATOS!$C$41*BT13*BZ13*100+0.3*BM13*BZ13/CB13*1000)*DB13,1.5*DATOS!$C$86*DATOS!$C$41*BT13*BZ13*100*DB13)/1000))</f>
        <v>0</v>
      </c>
      <c r="DH13" s="44">
        <f>IF(BI13&lt;&gt;"SÍ","",IF(OR(CA13&lt;DATOS!$C$72-0.0001,BM13&lt;0,CB13&lt;=0),0,MIN(DATOS!$C$86*(0.5*DATOS!$C$41*BT13*CA13*100+0.3*BM13*CA13/CB13*1000)*DC13,1.5*DATOS!$C$86*DATOS!$C$41*BT13*CA13*100*DC13)/1000))</f>
        <v>0</v>
      </c>
      <c r="DI13" s="46">
        <f>IF(BI13&lt;&gt;"SÍ","",SUM(DD13:DH13))</f>
        <v>5.50229166666667</v>
      </c>
      <c r="DJ13" s="48">
        <f>IF(BI13&lt;&gt;"SÍ","",IF(AE13="VARILLA EN JUNTAS",IF(ISNUMBER(AF13),AF13,2)*INDEX(TABLAS!$D$6:$D$14,MATCH(IF(AG13&lt;&gt;"",AG13,DATOS!$C$73),TABLAS!$B$6:$B$14,0)),IF(AE13="MALLA",IF(ISNUMBER(AF13),AF13,1)*INDEX(TABLAS!$D$19:$D$22,MATCH(IF(AG13&lt;&gt;"",AG13,DATOS!$C$74),TABLAS!$B$19:$B$22,0))/100,IF(AE13="ESCALERILLA",IF(ISNUMBER(AF13),AF13,2)*INDEX(TABLAS!$D$6:$D$14,MATCH(IF(AG13&lt;&gt;"",AG13,DATOS!$C$73),TABLAS!$B$6:$B$14,0)),0))))</f>
        <v>0</v>
      </c>
      <c r="DK13" s="47">
        <f>IF(BI13&lt;&gt;"SÍ","",IF(OR(AE13="VARILLA EN JUNTAS",AE13="ESCALERILLA"),IF(ISNUMBER(AH13),AH13,2)*DATOS!$C$26,IF(AE13="MALLA",1,0)))</f>
        <v>0</v>
      </c>
      <c r="DL13" s="44">
        <f>IF(BI13&lt;&gt;"SÍ","",IF(DK13&gt;0,DJ13/(DK13*BT13)*MIN(DATOS!$C$50,IF(AE13="MALLA",5000,6000)),0))</f>
        <v>0</v>
      </c>
      <c r="DM13" s="44">
        <f>IF(BI13&lt;&gt;"SÍ","",IF(AE13="ESCALERILLA",0,MIN(DL13,0.1*DATOS!$C$33*DATOS!$C$24)))</f>
        <v>0</v>
      </c>
      <c r="DN13" s="48">
        <f>IF(BI13&lt;&gt;"SÍ","",IF(AE13="MALLA",0.5,IF(DATOS!$C$33&lt;=60,0.55,IF(DATOS!$C$33&gt;=90,0.75,0.55+0.2*(DATOS!$C$33-60)/30))))</f>
        <v>0.55</v>
      </c>
      <c r="DO13" s="48">
        <f>IF(BI13&lt;&gt;"SÍ","",1-DATOS!$C$91*DM13)</f>
        <v>1</v>
      </c>
      <c r="DP13" s="44">
        <f>IF(BI13&lt;&gt;"SÍ","",IF(BW13&gt;0,IF(BS13/BW13&lt;=1,1.3,IF(BS13/BW13&gt;=1.5,1,1.3-0.6*(BS13/BW13-1))),0))</f>
        <v>1.3</v>
      </c>
      <c r="DQ13" s="44">
        <f>IF(BI13&lt;&gt;"SÍ","",IF(BX13&gt;0,IF(BS13/BX13&lt;=1,1.3,IF(BS13/BX13&gt;=1.5,1,1.3-0.6*(BS13/BX13-1))),0))</f>
        <v>0</v>
      </c>
      <c r="DR13" s="44">
        <f>IF(BI13&lt;&gt;"SÍ","",IF(BY13&gt;0,IF(BS13/BY13&lt;=1,1.3,IF(BS13/BY13&gt;=1.5,1,1.3-0.6*(BS13/BY13-1))),0))</f>
        <v>0</v>
      </c>
      <c r="DS13" s="44">
        <f>IF(BI13&lt;&gt;"SÍ","",IF(BZ13&gt;0,IF(BS13/BZ13&lt;=1,1.3,IF(BS13/BZ13&gt;=1.5,1,1.3-0.6*(BS13/BZ13-1))),0))</f>
        <v>0</v>
      </c>
      <c r="DT13" s="44">
        <f>IF(BI13&lt;&gt;"SÍ","",IF(CA13&gt;0,IF(BS13/CA13&lt;=1,1.3,IF(BS13/CA13&gt;=1.5,1,1.3-0.6*(BS13/CA13-1))),0))</f>
        <v>0</v>
      </c>
      <c r="DU13" s="44">
        <f>IF(BI13&lt;&gt;"SÍ","",IF(OR(DM13&lt;=0,BW13&lt;DATOS!$C$72-0.0001),0,DATOS!$C$86*MAX(0,IF(BM13&gt;=0,DD13/(DATOS!$C$86*DM13*BT13*BW13*100/1000)*(DP13*DO13-1)+DN13,DO13*DN13))*DM13*BT13*BW13*100/1000))</f>
        <v>0</v>
      </c>
      <c r="DV13" s="44">
        <f>IF(BI13&lt;&gt;"SÍ","",IF(OR(DM13&lt;=0,BX13&lt;DATOS!$C$72-0.0001),0,DATOS!$C$86*MAX(0,IF(BM13&gt;=0,DE13/(DATOS!$C$86*DM13*BT13*BX13*100/1000)*(DQ13*DO13-1)+DN13,DO13*DN13))*DM13*BT13*BX13*100/1000))</f>
        <v>0</v>
      </c>
      <c r="DW13" s="44">
        <f>IF(BI13&lt;&gt;"SÍ","",IF(OR(DM13&lt;=0,BY13&lt;DATOS!$C$72-0.0001),0,DATOS!$C$86*MAX(0,IF(BM13&gt;=0,DF13/(DATOS!$C$86*DM13*BT13*BY13*100/1000)*(DR13*DO13-1)+DN13,DO13*DN13))*DM13*BT13*BY13*100/1000))</f>
        <v>0</v>
      </c>
      <c r="DX13" s="44">
        <f>IF(BI13&lt;&gt;"SÍ","",IF(OR(DM13&lt;=0,BZ13&lt;DATOS!$C$72-0.0001),0,DATOS!$C$86*MAX(0,IF(BM13&gt;=0,DG13/(DATOS!$C$86*DM13*BT13*BZ13*100/1000)*(DS13*DO13-1)+DN13,DO13*DN13))*DM13*BT13*BZ13*100/1000))</f>
        <v>0</v>
      </c>
      <c r="DY13" s="44">
        <f>IF(BI13&lt;&gt;"SÍ","",IF(OR(DM13&lt;=0,CA13&lt;DATOS!$C$72-0.0001),0,DATOS!$C$86*MAX(0,IF(BM13&gt;=0,DH13/(DATOS!$C$86*DM13*BT13*CA13*100/1000)*(DT13*DO13-1)+DN13,DO13*DN13))*DM13*BT13*CA13*100/1000))</f>
        <v>0</v>
      </c>
      <c r="DZ13" s="46">
        <f>IF(BI13&lt;&gt;"SÍ","",SUM(DU13:DY13))</f>
        <v>0</v>
      </c>
      <c r="EA13" s="45" t="str">
        <f>IF(BI13&lt;&gt;"SÍ","",IF(OR(AE13="",AE13="NINGUNO"),IF(DATOS!$C$41&gt;=10,"FALTA refuerzo horizontal: v'm ≥ 10 kg/cm² (6.5.2.2)",IF(AND(BM13&lt;0,BK13&gt;0),"FALTA: P en tensión, el refuerzo debe tomar todo el cortante (6.5.1.3)","—")),IF(AE13="ESCALERILLA","NO CUENTA: la escalerilla no se permite para cortante por sismo (6.5.3.1.2)",IF(AE13="MALLA",IF(AND(DL13&gt;=2.5,DL13&lt;=MAX(0.15*DATOS!$C$33*DATOS!$C$24,2.5)),"CUMPLE","NO CUMPLE: "&amp;IF(DL13&lt;2.5,"p_h·f_yh &lt; 2.5 (6.5.4.2.4)","p_h·f_yh &gt; 0.15·f'm·f_an (6.5.4.2.4)")),IF(AND(DK13&lt;=MIN(6*DATOS!$C$26,45),DL13&gt;=3,DL13&lt;=MIN(MAX(0.15*DATOS!$C$33*DATOS!$C$24,3),0.05*DATOS!$C$25/10*MIN(DATOS!$C$50,6000)/DK13),INDEX(TABLAS!$C$6:$C$14,MATCH(IF(AG13&lt;&gt;"",AG13,DATOS!$C$73),TABLAS!$B$6:$B$14,0))&gt;=0.35,INDEX(TABLAS!$C$6:$C$14,MATCH(IF(AG13&lt;&gt;"",AG13,DATOS!$C$73),TABLAS!$B$6:$B$14,0))&lt;=0.75*DATOS!$C$25/10),"CUMPLE","NO CUMPLE: "&amp;IF(DK13&gt;MIN(6*DATOS!$C$26,45),"s_h &gt; 6 hiladas o 45 cm (6.5.3.2.1) ","")&amp;IF(DL13&lt;3,"p_h·f_yh &lt; 3 (6.5.3.3.1) ","")&amp;IF(DL13&gt;MIN(MAX(0.15*DATOS!$C$33*DATOS!$C$24,3),0.05*DATOS!$C$25/10*MIN(DATOS!$C$50,6000)/DK13),"p_h·f_yh &gt; máximo (6.5.3.3.2) ","")&amp;IF(OR(INDEX(TABLAS!$C$6:$C$14,MATCH(IF(AG13&lt;&gt;"",AG13,DATOS!$C$73),TABLAS!$B$6:$B$14,0))&lt;0.35,INDEX(TABLAS!$C$6:$C$14,MATCH(IF(AG13&lt;&gt;"",AG13,DATOS!$C$73),TABLAS!$B$6:$B$14,0))&gt;0.75*DATOS!$C$25/10),"diámetro fuera de 3.5 mm a 0.75·h_j (4.2.2.2.1)",""))))))</f>
        <v>—</v>
      </c>
      <c r="EB13" s="46">
        <f>IF(BI13&lt;&gt;"SÍ","",DI13+DZ13)</f>
        <v>5.50229166666667</v>
      </c>
      <c r="EC13" s="50">
        <f>IF(BI13&lt;&gt;"SÍ","",IF(EB13&gt;0,BK13/EB13,IF(BK13&gt;0,99,0)))</f>
        <v>0.545227367384802</v>
      </c>
      <c r="ED13" s="47">
        <f>IF(BI13&lt;&gt;"SÍ","",IF(CE13&lt;=0,-1,IF(BK13&lt;=DI13,0,IF(IF(BM13&gt;=0,IF((DATOS!$C$86*IF(AE13="MALLA",0.5,IF(DATOS!$C$33&lt;=60,0.55,IF(DATOS!$C$33&gt;=90,0.75,0.55+0.2*(DATOS!$C$33-60)/30)))*CE13/1000-DATOS!$C$91*SUMPRODUCT(DP13:DT13,DD13:DH13))&lt;=0,1E9,(BK13-SUMPRODUCT(DP13:DT13,DD13:DH13))/(DATOS!$C$86*IF(AE13="MALLA",0.5,IF(DATOS!$C$33&lt;=60,0.55,IF(DATOS!$C$33&gt;=90,0.75,0.55+0.2*(DATOS!$C$33-60)/30)))*CE13/1000-DATOS!$C$91*SUMPRODUCT(DP13:DT13,DD13:DH13))),IF((1-4*DATOS!$C$91*BK13*1000/(DATOS!$C$86*IF(AE13="MALLA",0.5,IF(DATOS!$C$33&lt;=60,0.55,IF(DATOS!$C$33&gt;=90,0.75,0.55+0.2*(DATOS!$C$33-60)/30)))*MAX(CE13,1)))&lt;0,1E9,(1-SQRT((1-4*DATOS!$C$91*BK13*1000/(DATOS!$C$86*IF(AE13="MALLA",0.5,IF(DATOS!$C$33&lt;=60,0.55,IF(DATOS!$C$33&gt;=90,0.75,0.55+0.2*(DATOS!$C$33-60)/30)))*MAX(CE13,1)))))/(2*DATOS!$C$91)))&gt;0.1*DATOS!$C$33*DATOS!$C$24+0.000001,-1,MAX(IF(AE13="MALLA",2.5,3),IF(BM13&gt;=0,IF((DATOS!$C$86*IF(AE13="MALLA",0.5,IF(DATOS!$C$33&lt;=60,0.55,IF(DATOS!$C$33&gt;=90,0.75,0.55+0.2*(DATOS!$C$33-60)/30)))*CE13/1000-DATOS!$C$91*SUMPRODUCT(DP13:DT13,DD13:DH13))&lt;=0,1E9,(BK13-SUMPRODUCT(DP13:DT13,DD13:DH13))/(DATOS!$C$86*IF(AE13="MALLA",0.5,IF(DATOS!$C$33&lt;=60,0.55,IF(DATOS!$C$33&gt;=90,0.75,0.55+0.2*(DATOS!$C$33-60)/30)))*CE13/1000-DATOS!$C$91*SUMPRODUCT(DP13:DT13,DD13:DH13))),IF((1-4*DATOS!$C$91*BK13*1000/(DATOS!$C$86*IF(AE13="MALLA",0.5,IF(DATOS!$C$33&lt;=60,0.55,IF(DATOS!$C$33&gt;=90,0.75,0.55+0.2*(DATOS!$C$33-60)/30)))*MAX(CE13,1)))&lt;0,1E9,(1-SQRT((1-4*DATOS!$C$91*BK13*1000/(DATOS!$C$86*IF(AE13="MALLA",0.5,IF(DATOS!$C$33&lt;=60,0.55,IF(DATOS!$C$33&gt;=90,0.75,0.55+0.2*(DATOS!$C$33-60)/30)))*MAX(CE13,1)))))/(2*DATOS!$C$91))))))))</f>
        <v>0</v>
      </c>
      <c r="EE13" s="45" t="str">
        <f>IF(BI13&lt;&gt;"SÍ","",IF(ED13=0,"NO REQUIERE: V_mR ≥ V_u",IF(ED13&lt;0,"NO ALCANZA con refuerzo horizontal (haría falta más de 0.1·f'm·f_an efectivo): sube v'm con ensayes, el espesor o la longitud del muro",IF(AND(OR(AE13="VARILLA EN JUNTAS",AE13="MALLA"),LEFT(EA13,6)="CUMPLE",EC13&lt;=1),"YA LO TIENE (pide p_h·f_yh ≥ "&amp;TEXT(ED13,"0.0")&amp;" kg/cm²)","p_h·f_yh ≥ "&amp;TEXT(ED13,"0.0")&amp;" kg/cm² → "&amp;IF(AND(MIN(6,FLOOR(45/DATOS!$C$26,1),FLOOR((2*INDEX(TABLAS!$D$6:$D$14,MATCH("3/16 in",TABLAS!$B$6:$B$14,0)))*MIN(DATOS!$C$50,6000)/(BT13*DATOS!$C$26*MAX(ED13,0.001)),1))&gt;=1,((2*INDEX(TABLAS!$D$6:$D$14,MATCH("3/16 in",TABLAS!$B$6:$B$14,0)))*MIN(DATOS!$C$50,6000)/(MAX(MIN(6,FLOOR(45/DATOS!$C$26,1),FLOOR((2*INDEX(TABLAS!$D$6:$D$14,MATCH("3/16 in",TABLAS!$B$6:$B$14,0)))*MIN(DATOS!$C$50,6000)/(BT13*DATOS!$C$26*MAX(ED13,0.001)),1)),1)*DATOS!$C$26*BT13))&lt;=MIN(MAX(0.15*DATOS!$C$33*DATOS!$C$24,3),0.05*DATOS!$C$25/10*MIN(DATOS!$C$50,6000)/(MIN(6,FLOOR(45/DATOS!$C$26,1),FLOOR((2*INDEX(TABLAS!$D$6:$D$14,MATCH("3/16 in",TABLAS!$B$6:$B$14,0)))*MIN(DATOS!$C$50,6000)/(BT13*DATOS!$C$26*MAX(ED13,0.001)),1))*DATOS!$C$26))),"2 alambres de 3/16"" por junta cada "&amp;MIN(6,FLOOR(45/DATOS!$C$26,1),FLOOR((2*INDEX(TABLAS!$D$6:$D$14,MATCH("3/16 in",TABLAS!$B$6:$B$14,0)))*MIN(DATOS!$C$50,6000)/(BT13*DATOS!$C$26*MAX(ED13,0.001)),1))&amp;" hilada(s) (p_h·f_yh = "&amp;TEXT(((2*INDEX(TABLAS!$D$6:$D$14,MATCH("3/16 in",TABLAS!$B$6:$B$14,0)))*MIN(DATOS!$C$50,6000)/(MAX(MIN(6,FLOOR(45/DATOS!$C$26,1),FLOOR((2*INDEX(TABLAS!$D$6:$D$14,MATCH("3/16 in",TABLAS!$B$6:$B$14,0)))*MIN(DATOS!$C$50,6000)/(BT13*DATOS!$C$26*MAX(ED13,0.001)),1)),1)*DATOS!$C$26*BT13)),"0.00")&amp;")",IF(AND(MIN(6,FLOOR(45/DATOS!$C$26,1),FLOOR((2*INDEX(TABLAS!$D$6:$D$14,MATCH("5/32 in",TABLAS!$B$6:$B$14,0)))*MIN(DATOS!$C$50,6000)/(BT13*DATOS!$C$26*MAX(ED13,0.001)),1))&gt;=1,((2*INDEX(TABLAS!$D$6:$D$14,MATCH("5/32 in",TABLAS!$B$6:$B$14,0)))*MIN(DATOS!$C$50,6000)/(MAX(MIN(6,FLOOR(45/DATOS!$C$26,1),FLOOR((2*INDEX(TABLAS!$D$6:$D$14,MATCH("5/32 in",TABLAS!$B$6:$B$14,0)))*MIN(DATOS!$C$50,6000)/(BT13*DATOS!$C$26*MAX(ED13,0.001)),1)),1)*DATOS!$C$26*BT13))&lt;=MIN(MAX(0.15*DATOS!$C$33*DATOS!$C$24,3),0.05*DATOS!$C$25/10*MIN(DATOS!$C$50,6000)/(MIN(6,FLOOR(45/DATOS!$C$26,1),FLOOR((2*INDEX(TABLAS!$D$6:$D$14,MATCH("5/32 in",TABLAS!$B$6:$B$14,0)))*MIN(DATOS!$C$50,6000)/(BT13*DATOS!$C$26*MAX(ED13,0.001)),1))*DATOS!$C$26))),"2 alambres de 5/32"" por junta cada "&amp;MIN(6,FLOOR(45/DATOS!$C$26,1),FLOOR((2*INDEX(TABLAS!$D$6:$D$14,MATCH("5/32 in",TABLAS!$B$6:$B$14,0)))*MIN(DATOS!$C$50,6000)/(BT13*DATOS!$C$26*MAX(ED13,0.001)),1))&amp;" hilada(s) (p_h·f_yh = "&amp;TEXT(((2*INDEX(TABLAS!$D$6:$D$14,MATCH("5/32 in",TABLAS!$B$6:$B$14,0)))*MIN(DATOS!$C$50,6000)/(MAX(MIN(6,FLOOR(45/DATOS!$C$26,1),FLOOR((2*INDEX(TABLAS!$D$6:$D$14,MATCH("5/32 in",TABLAS!$B$6:$B$14,0)))*MIN(DATOS!$C$50,6000)/(BT13*DATOS!$C$26*MAX(ED13,0.001)),1)),1)*DATOS!$C$26*BT13)),"0.00")&amp;")",IF(AND(MIN(6,FLOOR(45/DATOS!$C$26,1),FLOOR((1*INDEX(TABLAS!$D$6:$D$14,MATCH("3/16 in",TABLAS!$B$6:$B$14,0)))*MIN(DATOS!$C$50,6000)/(BT13*DATOS!$C$26*MAX(ED13,0.001)),1))&gt;=1,((1*INDEX(TABLAS!$D$6:$D$14,MATCH("3/16 in",TABLAS!$B$6:$B$14,0)))*MIN(DATOS!$C$50,6000)/(MAX(MIN(6,FLOOR(45/DATOS!$C$26,1),FLOOR((1*INDEX(TABLAS!$D$6:$D$14,MATCH("3/16 in",TABLAS!$B$6:$B$14,0)))*MIN(DATOS!$C$50,6000)/(BT13*DATOS!$C$26*MAX(ED13,0.001)),1)),1)*DATOS!$C$26*BT13))&lt;=MIN(MAX(0.15*DATOS!$C$33*DATOS!$C$24,3),0.05*DATOS!$C$25/10*MIN(DATOS!$C$50,6000)/(MIN(6,FLOOR(45/DATOS!$C$26,1),FLOOR((1*INDEX(TABLAS!$D$6:$D$14,MATCH("3/16 in",TABLAS!$B$6:$B$14,0)))*MIN(DATOS!$C$50,6000)/(BT13*DATOS!$C$26*MAX(ED13,0.001)),1))*DATOS!$C$26))),"1 alambre de 3/16"" por junta cada "&amp;MIN(6,FLOOR(45/DATOS!$C$26,1),FLOOR((1*INDEX(TABLAS!$D$6:$D$14,MATCH("3/16 in",TABLAS!$B$6:$B$14,0)))*MIN(DATOS!$C$50,6000)/(BT13*DATOS!$C$26*MAX(ED13,0.001)),1))&amp;" hilada(s) (p_h·f_yh = "&amp;TEXT(((1*INDEX(TABLAS!$D$6:$D$14,MATCH("3/16 in",TABLAS!$B$6:$B$14,0)))*MIN(DATOS!$C$50,6000)/(MAX(MIN(6,FLOOR(45/DATOS!$C$26,1),FLOOR((1*INDEX(TABLAS!$D$6:$D$14,MATCH("3/16 in",TABLAS!$B$6:$B$14,0)))*MIN(DATOS!$C$50,6000)/(BT13*DATOS!$C$26*MAX(ED13,0.001)),1)),1)*DATOS!$C$26*BT13)),"0.00")&amp;")",IF(AND(MIN(6,FLOOR(45/DATOS!$C$26,1),FLOOR((1*INDEX(TABLAS!$D$6:$D$14,MATCH("5/32 in",TABLAS!$B$6:$B$14,0)))*MIN(DATOS!$C$50,6000)/(BT13*DATOS!$C$26*MAX(ED13,0.001)),1))&gt;=1,((1*INDEX(TABLAS!$D$6:$D$14,MATCH("5/32 in",TABLAS!$B$6:$B$14,0)))*MIN(DATOS!$C$50,6000)/(MAX(MIN(6,FLOOR(45/DATOS!$C$26,1),FLOOR((1*INDEX(TABLAS!$D$6:$D$14,MATCH("5/32 in",TABLAS!$B$6:$B$14,0)))*MIN(DATOS!$C$50,6000)/(BT13*DATOS!$C$26*MAX(ED13,0.001)),1)),1)*DATOS!$C$26*BT13))&lt;=MIN(MAX(0.15*DATOS!$C$33*DATOS!$C$24,3),0.05*DATOS!$C$25/10*MIN(DATOS!$C$50,6000)/(MIN(6,FLOOR(45/DATOS!$C$26,1),FLOOR((1*INDEX(TABLAS!$D$6:$D$14,MATCH("5/32 in",TABLAS!$B$6:$B$14,0)))*MIN(DATOS!$C$50,6000)/(BT13*DATOS!$C$26*MAX(ED13,0.001)),1))*DATOS!$C$26))),"1 alambre de 5/32"" por junta cada "&amp;MIN(6,FLOOR(45/DATOS!$C$26,1),FLOOR((1*INDEX(TABLAS!$D$6:$D$14,MATCH("5/32 in",TABLAS!$B$6:$B$14,0)))*MIN(DATOS!$C$50,6000)/(BT13*DATOS!$C$26*MAX(ED13,0.001)),1))&amp;" hilada(s) (p_h·f_yh = "&amp;TEXT(((1*INDEX(TABLAS!$D$6:$D$14,MATCH("5/32 in",TABLAS!$B$6:$B$14,0)))*MIN(DATOS!$C$50,6000)/(MAX(MIN(6,FLOOR(45/DATOS!$C$26,1),FLOOR((1*INDEX(TABLAS!$D$6:$D$14,MATCH("5/32 in",TABLAS!$B$6:$B$14,0)))*MIN(DATOS!$C$50,6000)/(BT13*DATOS!$C$26*MAX(ED13,0.001)),1)),1)*DATOS!$C$26*BT13)),"0.00")&amp;")","ninguna combinación de 1 o 2 alambres por junta queda entre el mínimo y el máximo: revisa con malla (6.5.4)"))))))))</f>
        <v>NO REQUIERE: V_mR ≥ V_u</v>
      </c>
      <c r="EF13" s="43">
        <f>IF(BI13&lt;&gt;"SÍ","",IF(AI13="SÍ",N(AK13)*N(AL13)^3/12,0))</f>
        <v>151875</v>
      </c>
      <c r="EG13" s="48">
        <f>IF(BI13&lt;&gt;"SÍ","",IF(AND(AI13="SÍ",N(AM13)&gt;0),MIN(1,F13/AM13),0))</f>
        <v>0.9</v>
      </c>
      <c r="EH13" s="47">
        <f>IF(BI13&lt;&gt;"SÍ","",IF(AI13="SÍ",BP13*1000/(BT13*F13*100)*BT13*(EG13^4-4*EG13^3+8*EG13),0))</f>
        <v>123.5025</v>
      </c>
      <c r="EI13" s="48">
        <f>IF(BI13&lt;&gt;"SÍ","",IF(AND(AI13="SÍ",EH13&gt;0),EH13/(EH13+5*N(AN13)*10),0))</f>
        <v>0.673028977806842</v>
      </c>
      <c r="EJ13" s="44">
        <f>IF(BI13&lt;&gt;"SÍ","",IF(AND(AI13="SÍ",EI13&gt;0,EF13&gt;0),(DATOS!$C$43*BT13*(AM13*100)^3/(DATOS!$C$53*EF13*EI13))^0.25,0))</f>
        <v>6.41842221683169</v>
      </c>
      <c r="EK13" s="44">
        <f>IF(BI13&lt;&gt;"SÍ","",IF(AI13&lt;&gt;"SÍ",0,IF(N(AM13)&lt;=F13,1,IF(MIN(1,N(AO13)/((AM13-F13)/2))&lt;=0.5,0.7+0.6*MIN(1,N(AO13)/((AM13-F13)/2)),1.5-MIN(1,N(AO13)/((AM13-F13)/2))))))</f>
        <v>0.7</v>
      </c>
      <c r="EL13" s="44">
        <f>IF(BI13&lt;&gt;"SÍ","",IF(AI13&lt;&gt;"SÍ",0,MAX(1,IF(EG13&gt;=1,(1.6*EJ13-3.9),IF(EG13&lt;0.9,((3.2*EJ13-7.8)*EK13),((3.2*EJ13-7.8)*EK13)+((1.6*EJ13-3.9)-((3.2*EJ13-7.8)*EK13))*(EG13-0.9)/0.1)))))</f>
        <v>8.91726576570299</v>
      </c>
      <c r="EM13" s="47">
        <f>IF(BI13&lt;&gt;"SÍ","",IF(AI13="SÍ",EL13*BP13*1000/(BT13*F13*100),0))</f>
        <v>14.862109609505</v>
      </c>
      <c r="EN13" s="47">
        <f>IF(BI13&lt;&gt;"SÍ","",IF(AND(AI13="SÍ",N(AL13)&gt;0),AM13*100/AL13,0))</f>
        <v>8.88888888888889</v>
      </c>
      <c r="EO13" s="47">
        <f>IF(BI13&lt;&gt;"SÍ","",IF(AI13="SÍ",(1/15*DATOS!$C$53*N(AK13)/MAX((IF(ISNUMBER(AP13),AP13,BP13/DATOS!$C$90)*1000/(BT13*F13*100)*BT13*(EG13^4-4*EG13^3+8*EG13))+5*N(AN13)/DATOS!$C$90*10,0.001))^(1/3),0))</f>
        <v>12.787315517068</v>
      </c>
      <c r="EP13" s="45" t="str">
        <f>IF(BI13&lt;&gt;"SÍ","",IF(AI13&lt;&gt;"SÍ","—",IF(OR(N(AK13)&lt;=0,N(AL13)&lt;=0,N(AM13)&lt;=0),"REVISAR: faltan b, h o L_v de la viga",IF(AND(EM13&lt;=DATOS!$C$87*DATOS!$C$33,EN13&lt;=14,N(AL13)&gt;=25,EN13&lt;=EO13),IF(BS13/F13&lt;0.6,"PENDIENTE: H/L &lt; 0.6, falta el análisis de interacción muro–viga (4.1.18.2.1); f_CM es estimado","CUMPLE"),"NO CUMPLE: "&amp;IF(EM13&gt;DATOS!$C$87*DATOS!$C$33,"f_CM &gt; F_R·f'm ","")&amp;IF(EN13&gt;14,"L_v/h_v &gt; 14 ","")&amp;IF(N(AL13)&lt;25,"h_v &lt; 25 cm ","")&amp;IF(EN13&gt;EO13,"flecha (4.1.18.3)","")))))</f>
        <v>CUMPLE</v>
      </c>
      <c r="EQ13" s="44">
        <f>IF(BI13&lt;&gt;"SÍ","",MAX(0,F13*BS13-(N(K13)*N(M13)+N(P13)*N(R13)+N(U13)*N(W13)+N(Z13)*N(AB13))-CK13*DATOS!$C$59/100*BS13))</f>
        <v>8.25</v>
      </c>
      <c r="ER13" s="48">
        <f>IF(BI13&lt;&gt;"SÍ","",CK13*DATOS!$C$59*DATOS!$C$60/10000*BS13)</f>
        <v>0.1125</v>
      </c>
      <c r="ES13" s="47">
        <f>IF(BI13&lt;&gt;"SÍ","",CK13*(DATOS!$C$61*(BS13+0.6)*INDEX(TABLAS!$E$6:$E$14,MATCH(DATOS!$C$62,TABLAS!$B$6:$B$14,0))+(2*ROUNDUP(CN13/DATOS!$C$65,0)+ROUNDUP(MAX(0,BS13*100-2*CN13)/DATOS!$C$64,0))*((2*(DATOS!$C$60+DATOS!$C$59-4*(DATOS!$C$66-INDEX(TABLAS!$C$6:$C$14,MATCH(DATOS!$C$63,TABLAS!$B$6:$B$14,0))))+15)/100)*INDEX(TABLAS!$E$6:$E$14,MATCH(DATOS!$C$63,TABLAS!$B$6:$B$14,0))))</f>
        <v>20.5894864</v>
      </c>
      <c r="ET13" s="47">
        <f>IF(BI13&lt;&gt;"SÍ","",IF(OR(AE13="VARILLA EN JUNTAS",AE13="ESCALERILLA"),INT(BS13*100/MAX(DK13,1))*IF(ISNUMBER(AF13),AF13,2)*CB13*INDEX(TABLAS!$E$6:$E$14,MATCH(IF(AG13&lt;&gt;"",AG13,DATOS!$C$73),TABLAS!$B$6:$B$14,0)),IF(AE13="MALLA",IF(ISNUMBER(AF13),AF13,1)*CB13*BS13*INDEX(TABLAS!$E$19:$E$22,MATCH(IF(AG13&lt;&gt;"",AG13,DATOS!$C$74),TABLAS!$B$19:$B$22,0)),0)))</f>
        <v>0</v>
      </c>
      <c r="EU13" s="45" t="str">
        <f>IF(BI13&lt;&gt;"SÍ","",""&amp;IF(BJ13="NO ESTÁ EN PIER_FORCES","sin fuerzas en PIER_FORCES; ","")&amp;IF(BV13&lt;&gt;"CUMPLE","vanos; ","")&amp;IF(LEFT(CH13,2)="NO","espesor o esbeltez; ","")&amp;IF(CQ13&gt;1,"compresión; ","")&amp;IF(CX13&gt;1,"flexión; ","")&amp;IF(CB13&lt;=0,"sin tramos de muro (todos son machones menores que L mín.: diséñalos como columnas o baja L mín.); ",IF(EC13&gt;1,"cortante; ",""))&amp;IF(OR(LEFT(EA13,2)="NO",LEFT(EA13,5)="FALTA"),"refuerzo horizontal; ","")&amp;IF(OR(LEFT(EP13,2)="NO",LEFT(EP13,7)="REVISAR"),"muro sobre viga; ","")&amp;IF(LEFT(DATOS!$C$81,2)="NO","castillo típico; ","")&amp;IF(LEFT(DATOS!$C$82,2)="NO","dala típica; ","")&amp;IF(AND(BT13&lt;&gt;DATOS!$C$58,DATOS!$C$60&lt;BT13),"castillo más angosto que el muro; ",""))</f>
        <v/>
      </c>
      <c r="EV13" s="45" t="str">
        <f>IF(BI13&lt;&gt;"SÍ","",""&amp;IF(LEFT(EP13,9)="PENDIENTE","análisis muro–viga (H/L &lt; 0.6); ","")&amp;IF(BR13&gt;50,"V_u casi todo por carga vertical; ","")&amp;IF(OR(LEFT(DATOS!$C$42,9)="PENDIENTE",LEFT(DATOS!$C$34,9)="PENDIENTE"),"v'm provisional; ","")&amp;IF(OR(LEFT(DATOS!$C$42,2)="NO",LEFT(DATOS!$C$34,2)="NO"),"f'm o v'm no válido; ",""))</f>
        <v>v'm provisional; </v>
      </c>
      <c r="EW13" s="51" t="str">
        <f>IF(BI13&lt;&gt;"SÍ","",IF(EU13&lt;&gt;"","NO CUMPLE: "&amp;LEFT(EU13,LEN(EU13)-2),IF(EV13&lt;&gt;"","CUMPLE — PENDIENTE: "&amp;LEFT(EV13,LEN(EV13)-2),"CUMPLE")))</f>
        <v>CUMPLE — PENDIENTE: v'm provisional</v>
      </c>
      <c r="EX13" s="52" t="inlineStr">
        <is>
          <t>Ejemplo: muro sobre la viga T-1 (4.1.18).</t>
        </is>
      </c>
    </row>
    <row r="14" ht="30" customHeight="1">
      <c r="A14" s="38" t="str">
        <f>IF(B14="","",ROW()-10)</f>
        <v/>
      </c>
      <c r="B14" s="28" t="n"/>
      <c r="C14" s="39" t="n"/>
      <c r="D14" s="39" t="n"/>
      <c r="E14" s="39" t="n"/>
      <c r="F14" s="40" t="n"/>
      <c r="G14" s="40" t="n"/>
      <c r="H14" s="41" t="n"/>
      <c r="I14" s="39" t="n"/>
      <c r="J14" s="40" t="n"/>
      <c r="K14" s="40" t="n"/>
      <c r="L14" s="40" t="n"/>
      <c r="M14" s="40" t="n"/>
      <c r="N14" s="39" t="n"/>
      <c r="O14" s="40" t="n"/>
      <c r="P14" s="40" t="n"/>
      <c r="Q14" s="40" t="n"/>
      <c r="R14" s="40" t="n"/>
      <c r="S14" s="39" t="n"/>
      <c r="T14" s="40" t="n"/>
      <c r="U14" s="40" t="n"/>
      <c r="V14" s="40" t="n"/>
      <c r="W14" s="40" t="n"/>
      <c r="X14" s="39" t="n"/>
      <c r="Y14" s="40" t="n"/>
      <c r="Z14" s="40" t="n"/>
      <c r="AA14" s="40" t="n"/>
      <c r="AB14" s="40" t="n"/>
      <c r="AC14" s="41" t="n"/>
      <c r="AD14" s="41" t="n"/>
      <c r="AE14" s="39" t="n"/>
      <c r="AF14" s="41" t="n"/>
      <c r="AG14" s="41" t="n"/>
      <c r="AH14" s="41" t="n"/>
      <c r="AI14" s="39" t="n"/>
      <c r="AJ14" s="39" t="n"/>
      <c r="AK14" s="41" t="n"/>
      <c r="AL14" s="41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2" t="str">
        <f>IF(B14="","",C14&amp;"|"&amp;B14)</f>
        <v/>
      </c>
      <c r="AY14" s="43" t="str">
        <f>IF(B14="","",COUNTIFS(PIER_FORCES!$O$9:$O$3008,4,PIER_FORCES!$P$9:$P$3008,1))</f>
        <v/>
      </c>
      <c r="AZ14" s="43" t="str">
        <f>IF(B14="","",COUNTIFS(PIER_FORCES!$O$9:$O$3008,4,PIER_FORCES!$P$9:$P$3008,2))</f>
        <v/>
      </c>
      <c r="BA14" s="44">
        <f>IF(N(AY14)=0,0,SUMPRODUCT(MAX((PIER_FORCES!$O$9:$O$3008=4)*(PIER_FORCES!$P$9:$P$3008=1)*PIER_FORCES!$R$9:$R$3008)))</f>
        <v>0</v>
      </c>
      <c r="BB14" s="44">
        <f>IF(N(AY14)=0,0,SUMPRODUCT(MAX((PIER_FORCES!$O$9:$O$3008=4)*(PIER_FORCES!$P$9:$P$3008=1)*PIER_FORCES!$S$9:$S$3008)))</f>
        <v>0</v>
      </c>
      <c r="BC14" s="44">
        <f>IF(N(AY14)=0,0,-SUMPRODUCT(MAX((PIER_FORCES!$O$9:$O$3008=4)*(PIER_FORCES!$P$9:$P$3008=1)*(-PIER_FORCES!$Q$9:$Q$3008)+(1-(PIER_FORCES!$O$9:$O$3008=4)*(PIER_FORCES!$P$9:$P$3008=1))*(-1E9))))</f>
        <v>0</v>
      </c>
      <c r="BD14" s="44">
        <f>IF(N(AY14)=0,0,SUMPRODUCT(MAX((PIER_FORCES!$O$9:$O$3008=4)*(PIER_FORCES!$P$9:$P$3008=1)*PIER_FORCES!$Q$9:$Q$3008+(1-(PIER_FORCES!$O$9:$O$3008=4)*(PIER_FORCES!$P$9:$P$3008=1))*(-1E9))))</f>
        <v>0</v>
      </c>
      <c r="BE14" s="44">
        <f>IF(N(AZ14)=0,BD14,SUMPRODUCT(MAX((PIER_FORCES!$O$9:$O$3008=4)*(PIER_FORCES!$P$9:$P$3008=2)*PIER_FORCES!$Q$9:$Q$3008+(1-(PIER_FORCES!$O$9:$O$3008=4)*(PIER_FORCES!$P$9:$P$3008=2))*(-1E9))))</f>
        <v>0</v>
      </c>
      <c r="BF14" s="44">
        <f>IF(N(AZ14)=0,0,SUMPRODUCT(MAX((PIER_FORCES!$O$9:$O$3008=4)*(PIER_FORCES!$P$9:$P$3008=2)*PIER_FORCES!$R$9:$R$3008)))</f>
        <v>0</v>
      </c>
      <c r="BG14" s="43">
        <f>IF(N(AY14)=0,0,SUMPRODUCT(MAX((PIER_FORCES!$O$9:$O$3008=4)*(PIER_FORCES!$P$9:$P$3008=1)*(ABS(PIER_FORCES!$R$9:$R$3008-BA14)&lt;0.000001)*PIER_FORCES!$T$9:$T$3008)))</f>
        <v>0</v>
      </c>
      <c r="BH14" s="45" t="str">
        <f>IF(N(BG14)=0,"",INDEX(PIER_FORCES!$D$9:$D$3008,BG14)&amp;" "&amp;INDEX(PIER_FORCES!$F$9:$F$3008,BG14)&amp;" / "&amp;INDEX(PIER_FORCES!$G$9:$G$3008,BG14))</f>
        <v/>
      </c>
      <c r="BI14" s="42" t="str">
        <f>IF(B14="","",IF(AND(C14&lt;&gt;"",OR(D14="X",D14="Y"),ISNUMBER(F14),N(F14)&gt;0),"SÍ","NO"))</f>
        <v/>
      </c>
      <c r="BJ14" s="42" t="str">
        <f>IF(BI14&lt;&gt;"SÍ","",IF(DATOS!$C$108="ETABS (PIER_FORCES)",IF(N(AY14)&gt;0,"ETABS","NO ESTÁ EN PIER_FORCES"),"CAPTURA"))</f>
        <v/>
      </c>
      <c r="BK14" s="46" t="str">
        <f>IF(BI14&lt;&gt;"SÍ","",IF(BJ14="ETABS",BA14,IF(BJ14="CAPTURA",N(AQ14),0)))</f>
        <v/>
      </c>
      <c r="BL14" s="46" t="str">
        <f>IF(BI14&lt;&gt;"SÍ","",IF(BJ14="ETABS",BB14,IF(BJ14="CAPTURA",N(AR14),0)))</f>
        <v/>
      </c>
      <c r="BM14" s="46" t="str">
        <f>IF(BI14&lt;&gt;"SÍ","",IF(BJ14="ETABS",BC14/DATOS!$C$89,IF(BJ14="CAPTURA",N(AS14),0)))</f>
        <v/>
      </c>
      <c r="BN14" s="44" t="str">
        <f>IF(BI14&lt;&gt;"SÍ","",IF(BJ14="ETABS",BC14,IF(BJ14="CAPTURA",IF(ISNUMBER(AU14),AU14,N(AS14)*DATOS!$C$89),0)))</f>
        <v/>
      </c>
      <c r="BO14" s="44" t="str">
        <f>IF(BI14&lt;&gt;"SÍ","",IF(BJ14="ETABS",MAX(BD14,BE14),IF(BJ14="CAPTURA",N(AT14),0)))</f>
        <v/>
      </c>
      <c r="BP14" s="44" t="str">
        <f>IF(BI14&lt;&gt;"SÍ","",IF(BJ14="ETABS",BE14,IF(BJ14="CAPTURA",IF(ISNUMBER(AV14),AV14,N(AT14)),0)))</f>
        <v/>
      </c>
      <c r="BQ14" s="44" t="str">
        <f>IF(BI14&lt;&gt;"SÍ","",IF(BJ14="ETABS",BF14,IF(BJ14="CAPTURA",N(AW14),0)))</f>
        <v/>
      </c>
      <c r="BR14" s="43" t="str">
        <f>IF(BI14&lt;&gt;"SÍ","",IF(BK14&gt;0,100*BQ14/BK14,0))</f>
        <v/>
      </c>
      <c r="BS14" s="44" t="str">
        <f>IF(BI14&lt;&gt;"SÍ","",IF(ISNUMBER(G14),G14,DATOS!$C$57))</f>
        <v/>
      </c>
      <c r="BT14" s="47" t="str">
        <f>IF(BI14&lt;&gt;"SÍ","",IF(ISNUMBER(H14),H14,DATOS!$C$58))</f>
        <v/>
      </c>
      <c r="BU14" s="43" t="str">
        <f>IF(BI14&lt;&gt;"SÍ","",IF(N(K14)&gt;0,1+IF(N(P14)&gt;0,1+IF(N(U14)&gt;0,1+IF(N(Z14)&gt;0,1,0),0),0),0))</f>
        <v/>
      </c>
      <c r="BV14" s="45" t="str">
        <f>IF(BI14&lt;&gt;"SÍ","",IF(AND(OR(BU14&lt;1,AND(N(J14)&gt;=0-0.001,J14+K14&lt;=F14+0.001,N(L14)&gt;=0,N(L14)+N(M14)&lt;=BS14+0.001,N(M14)&gt;0,OR(I14="PUERTA",I14="VENTANA"))),OR(BU14&lt;2,AND(N(O14)&gt;=(J14+K14)-0.001,O14+P14&lt;=F14+0.001,N(Q14)&gt;=0,N(Q14)+N(R14)&lt;=BS14+0.001,N(R14)&gt;0,OR(N14="PUERTA",N14="VENTANA"))),OR(BU14&lt;3,AND(N(T14)&gt;=(O14+P14)-0.001,T14+U14&lt;=F14+0.001,N(V14)&gt;=0,N(V14)+N(W14)&lt;=BS14+0.001,N(W14)&gt;0,OR(S14="PUERTA",S14="VENTANA"))),OR(BU14&lt;4,AND(N(Y14)&gt;=(T14+U14)-0.001,Y14+Z14&lt;=F14+0.001,N(AA14)&gt;=0,N(AA14)+N(AB14)&lt;=BS14+0.001,N(AB14)&gt;0,OR(X14="PUERTA",X14="VENTANA"))),(N(K14)&gt;0)+(N(P14)&gt;0)+(N(U14)&gt;0)+(N(Z14)&gt;0)=BU14),"CUMPLE","REVISAR VANOS: tipo, orden de izquierda a derecha, que quepan en L y en H"))</f>
        <v/>
      </c>
      <c r="BW14" s="44" t="str">
        <f>IF(BI14&lt;&gt;"SÍ","",MAX(0,IF(BU14&gt;=1,N(J14),F14)))</f>
        <v/>
      </c>
      <c r="BX14" s="44" t="str">
        <f>IF(BI14&lt;&gt;"SÍ","",MAX(0,IF(BU14&gt;=2,N(O14)-(N(J14)+N(K14)),IF(BU14=1,F14-(N(J14)+N(K14)),0))))</f>
        <v/>
      </c>
      <c r="BY14" s="44" t="str">
        <f>IF(BI14&lt;&gt;"SÍ","",MAX(0,IF(BU14&gt;=3,N(T14)-(N(O14)+N(P14)),IF(BU14=2,F14-(N(O14)+N(P14)),0))))</f>
        <v/>
      </c>
      <c r="BZ14" s="44" t="str">
        <f>IF(BI14&lt;&gt;"SÍ","",MAX(0,IF(BU14&gt;=4,N(Y14)-(N(T14)+N(U14)),IF(BU14=3,F14-(N(T14)+N(U14)),0))))</f>
        <v/>
      </c>
      <c r="CA14" s="44" t="str">
        <f>IF(BI14&lt;&gt;"SÍ","",MAX(0,IF(BU14=4,F14-(N(Y14)+N(Z14)),0)))</f>
        <v/>
      </c>
      <c r="CB14" s="46" t="str">
        <f>IF(BI14&lt;&gt;"SÍ","",SUMPRODUCT((BW14:CA14&gt;=DATOS!$C$72-0.0001)*BW14:CA14))</f>
        <v/>
      </c>
      <c r="CC14" s="43" t="str">
        <f>IF(BI14&lt;&gt;"SÍ","",SUMPRODUCT(--(BW14:CA14&gt;=DATOS!$C$72-0.0001)))</f>
        <v/>
      </c>
      <c r="CD14" s="44" t="str">
        <f>IF(BI14&lt;&gt;"SÍ","",SUM(BW14:CA14))</f>
        <v/>
      </c>
      <c r="CE14" s="43" t="str">
        <f>IF(BI14&lt;&gt;"SÍ","",BT14*CB14*100)</f>
        <v/>
      </c>
      <c r="CF14" s="43" t="str">
        <f>IF(BI14&lt;&gt;"SÍ","",BT14*CD14*100)</f>
        <v/>
      </c>
      <c r="CG14" s="47" t="str">
        <f>IF(BI14&lt;&gt;"SÍ","",BS14*100/BT14)</f>
        <v/>
      </c>
      <c r="CH14" s="45" t="str">
        <f>IF(BI14&lt;&gt;"SÍ","",IF(AND(OR(DATOS!$C$14="TIPO II",BT14&gt;=12),CG14&lt;=25),"CUMPLE","NO CUMPLE: "&amp;IF(AND(DATOS!$C$14="TIPO I",BT14&lt;12),"t &lt; 12 cm ","")&amp;IF(CG14&gt;25,"H/t &gt; 25","")))</f>
        <v/>
      </c>
      <c r="CI14" s="44" t="str">
        <f>IF(BI14&lt;&gt;"SÍ","",MIN(1.5*BS14,4))</f>
        <v/>
      </c>
      <c r="CJ14" s="43" t="str">
        <f>IF(BI14&lt;&gt;"SÍ","",SUMPRODUCT((BW14:CA14&gt;=2*DATOS!$C$59/100)*INT((BW14:CA14-DATOS!$C$59/100)/CI14-0.000001)*((BW14:CA14-DATOS!$C$59/100)&gt;0)))</f>
        <v/>
      </c>
      <c r="CK14" s="43" t="str">
        <f>IF(BI14&lt;&gt;"SÍ","",SUMPRODUCT((BW14:CA14&gt;0.0001)*1+(BW14:CA14&gt;=2*DATOS!$C$59/100)*1)+CJ14)</f>
        <v/>
      </c>
      <c r="CL14" s="44" t="str">
        <f>IF(BI14&lt;&gt;"SÍ","",IF(ISNUMBER(AC14),AC14,DATOS!$C$61)*INDEX(TABLAS!$D$6:$D$14,MATCH(IF(AD14&lt;&gt;"",AD14,DATOS!$C$62),TABLAS!$B$6:$B$14,0)))</f>
        <v/>
      </c>
      <c r="CM14" s="44" t="str">
        <f>IF(BI14&lt;&gt;"SÍ","",CK14*DATOS!$C$78+IF(CK14&gt;=2,2,CK14)*(CL14-DATOS!$C$78))</f>
        <v/>
      </c>
      <c r="CN14" s="47" t="str">
        <f>IF(BI14&lt;&gt;"SÍ","",MAX(BS14*100/6,40))</f>
        <v/>
      </c>
      <c r="CO14" s="48" t="str">
        <f>IF(BI14&lt;&gt;"SÍ","",IF(CG14&lt;=20,IF(E14="INTERIOR",0.7,0.6),MIN(IF(E14="INTERIOR",0.7,0.6),(1-2/24)*(1-(IF(E14="INTERIOR",0.8,1)*CG14/30)^2))))</f>
        <v/>
      </c>
      <c r="CP14" s="47" t="str">
        <f>IF(BI14&lt;&gt;"SÍ","",DATOS!$C$87*CO14*(DATOS!$C$33*CF14+CM14*DATOS!$C$48)/1000)</f>
        <v/>
      </c>
      <c r="CQ14" s="46" t="str">
        <f>IF(BI14&lt;&gt;"SÍ","",IF(CP14&gt;0,BO14/CP14,99))</f>
        <v/>
      </c>
      <c r="CR14" s="47" t="str">
        <f>IF(BI14&lt;&gt;"SÍ","",MAX(0,F14*100-DATOS!$C$59))</f>
        <v/>
      </c>
      <c r="CS14" s="47" t="str">
        <f>IF(BI14&lt;&gt;"SÍ","",MAX(0,F14*100-DATOS!$C$59/2))</f>
        <v/>
      </c>
      <c r="CT14" s="44" t="str">
        <f>IF(BI14&lt;&gt;"SÍ","",CL14*DATOS!$C$48*CR14/100000)</f>
        <v/>
      </c>
      <c r="CU14" s="44" t="str">
        <f>IF(BI14&lt;&gt;"SÍ","",IF(BN14&lt;0,0.8*CT14*MAX(0,1+BN14/(0.8*CM14*DATOS!$C$48/1000)),IF(BN14&lt;=CP14/3,0.8*CT14+0.3*BN14*CS14/100,(1.5*0.6*CT14+0.15*CP14*CS14/100)*MAX(0,1-BN14/CP14))))</f>
        <v/>
      </c>
      <c r="CV14" s="44" t="str">
        <f>IF(BI14&lt;&gt;"SÍ","",IF(BO14&lt;0,0.8*CT14*MAX(0,1+BO14/(0.8*CM14*DATOS!$C$48/1000)),IF(BO14&lt;=CP14/3,0.8*CT14+0.3*BO14*CS14/100,(1.5*0.6*CT14+0.15*CP14*CS14/100)*MAX(0,1-BO14/CP14))))</f>
        <v/>
      </c>
      <c r="CW14" s="46" t="str">
        <f>IF(BI14&lt;&gt;"SÍ","",MAX(0,MIN(CU14,CV14)))</f>
        <v/>
      </c>
      <c r="CX14" s="49" t="str">
        <f>IF(BI14&lt;&gt;"SÍ","",IF(CW14&gt;0,BL14/CW14,IF(BL14&gt;0,99,0)))</f>
        <v/>
      </c>
      <c r="CY14" s="44" t="str">
        <f>IF(BI14&lt;&gt;"SÍ","",IF(BW14&gt;0,MAX(1,MIN(1.5,1.5-0.625*(BS14/BW14-0.2))),0))</f>
        <v/>
      </c>
      <c r="CZ14" s="44" t="str">
        <f>IF(BI14&lt;&gt;"SÍ","",IF(BX14&gt;0,MAX(1,MIN(1.5,1.5-0.625*(BS14/BX14-0.2))),0))</f>
        <v/>
      </c>
      <c r="DA14" s="44" t="str">
        <f>IF(BI14&lt;&gt;"SÍ","",IF(BY14&gt;0,MAX(1,MIN(1.5,1.5-0.625*(BS14/BY14-0.2))),0))</f>
        <v/>
      </c>
      <c r="DB14" s="44" t="str">
        <f>IF(BI14&lt;&gt;"SÍ","",IF(BZ14&gt;0,MAX(1,MIN(1.5,1.5-0.625*(BS14/BZ14-0.2))),0))</f>
        <v/>
      </c>
      <c r="DC14" s="44" t="str">
        <f>IF(BI14&lt;&gt;"SÍ","",IF(CA14&gt;0,MAX(1,MIN(1.5,1.5-0.625*(BS14/CA14-0.2))),0))</f>
        <v/>
      </c>
      <c r="DD14" s="44" t="str">
        <f>IF(BI14&lt;&gt;"SÍ","",IF(OR(BW14&lt;DATOS!$C$72-0.0001,BM14&lt;0,CB14&lt;=0),0,MIN(DATOS!$C$86*(0.5*DATOS!$C$41*BT14*BW14*100+0.3*BM14*BW14/CB14*1000)*CY14,1.5*DATOS!$C$86*DATOS!$C$41*BT14*BW14*100*CY14)/1000))</f>
        <v/>
      </c>
      <c r="DE14" s="44" t="str">
        <f>IF(BI14&lt;&gt;"SÍ","",IF(OR(BX14&lt;DATOS!$C$72-0.0001,BM14&lt;0,CB14&lt;=0),0,MIN(DATOS!$C$86*(0.5*DATOS!$C$41*BT14*BX14*100+0.3*BM14*BX14/CB14*1000)*CZ14,1.5*DATOS!$C$86*DATOS!$C$41*BT14*BX14*100*CZ14)/1000))</f>
        <v/>
      </c>
      <c r="DF14" s="44" t="str">
        <f>IF(BI14&lt;&gt;"SÍ","",IF(OR(BY14&lt;DATOS!$C$72-0.0001,BM14&lt;0,CB14&lt;=0),0,MIN(DATOS!$C$86*(0.5*DATOS!$C$41*BT14*BY14*100+0.3*BM14*BY14/CB14*1000)*DA14,1.5*DATOS!$C$86*DATOS!$C$41*BT14*BY14*100*DA14)/1000))</f>
        <v/>
      </c>
      <c r="DG14" s="44" t="str">
        <f>IF(BI14&lt;&gt;"SÍ","",IF(OR(BZ14&lt;DATOS!$C$72-0.0001,BM14&lt;0,CB14&lt;=0),0,MIN(DATOS!$C$86*(0.5*DATOS!$C$41*BT14*BZ14*100+0.3*BM14*BZ14/CB14*1000)*DB14,1.5*DATOS!$C$86*DATOS!$C$41*BT14*BZ14*100*DB14)/1000))</f>
        <v/>
      </c>
      <c r="DH14" s="44" t="str">
        <f>IF(BI14&lt;&gt;"SÍ","",IF(OR(CA14&lt;DATOS!$C$72-0.0001,BM14&lt;0,CB14&lt;=0),0,MIN(DATOS!$C$86*(0.5*DATOS!$C$41*BT14*CA14*100+0.3*BM14*CA14/CB14*1000)*DC14,1.5*DATOS!$C$86*DATOS!$C$41*BT14*CA14*100*DC14)/1000))</f>
        <v/>
      </c>
      <c r="DI14" s="46" t="str">
        <f>IF(BI14&lt;&gt;"SÍ","",SUM(DD14:DH14))</f>
        <v/>
      </c>
      <c r="DJ14" s="48" t="str">
        <f>IF(BI14&lt;&gt;"SÍ","",IF(AE14="VARILLA EN JUNTAS",IF(ISNUMBER(AF14),AF14,2)*INDEX(TABLAS!$D$6:$D$14,MATCH(IF(AG14&lt;&gt;"",AG14,DATOS!$C$73),TABLAS!$B$6:$B$14,0)),IF(AE14="MALLA",IF(ISNUMBER(AF14),AF14,1)*INDEX(TABLAS!$D$19:$D$22,MATCH(IF(AG14&lt;&gt;"",AG14,DATOS!$C$74),TABLAS!$B$19:$B$22,0))/100,IF(AE14="ESCALERILLA",IF(ISNUMBER(AF14),AF14,2)*INDEX(TABLAS!$D$6:$D$14,MATCH(IF(AG14&lt;&gt;"",AG14,DATOS!$C$73),TABLAS!$B$6:$B$14,0)),0))))</f>
        <v/>
      </c>
      <c r="DK14" s="47" t="str">
        <f>IF(BI14&lt;&gt;"SÍ","",IF(OR(AE14="VARILLA EN JUNTAS",AE14="ESCALERILLA"),IF(ISNUMBER(AH14),AH14,2)*DATOS!$C$26,IF(AE14="MALLA",1,0)))</f>
        <v/>
      </c>
      <c r="DL14" s="44" t="str">
        <f>IF(BI14&lt;&gt;"SÍ","",IF(DK14&gt;0,DJ14/(DK14*BT14)*MIN(DATOS!$C$50,IF(AE14="MALLA",5000,6000)),0))</f>
        <v/>
      </c>
      <c r="DM14" s="44" t="str">
        <f>IF(BI14&lt;&gt;"SÍ","",IF(AE14="ESCALERILLA",0,MIN(DL14,0.1*DATOS!$C$33*DATOS!$C$24)))</f>
        <v/>
      </c>
      <c r="DN14" s="48" t="str">
        <f>IF(BI14&lt;&gt;"SÍ","",IF(AE14="MALLA",0.5,IF(DATOS!$C$33&lt;=60,0.55,IF(DATOS!$C$33&gt;=90,0.75,0.55+0.2*(DATOS!$C$33-60)/30))))</f>
        <v/>
      </c>
      <c r="DO14" s="48" t="str">
        <f>IF(BI14&lt;&gt;"SÍ","",1-DATOS!$C$91*DM14)</f>
        <v/>
      </c>
      <c r="DP14" s="44" t="str">
        <f>IF(BI14&lt;&gt;"SÍ","",IF(BW14&gt;0,IF(BS14/BW14&lt;=1,1.3,IF(BS14/BW14&gt;=1.5,1,1.3-0.6*(BS14/BW14-1))),0))</f>
        <v/>
      </c>
      <c r="DQ14" s="44" t="str">
        <f>IF(BI14&lt;&gt;"SÍ","",IF(BX14&gt;0,IF(BS14/BX14&lt;=1,1.3,IF(BS14/BX14&gt;=1.5,1,1.3-0.6*(BS14/BX14-1))),0))</f>
        <v/>
      </c>
      <c r="DR14" s="44" t="str">
        <f>IF(BI14&lt;&gt;"SÍ","",IF(BY14&gt;0,IF(BS14/BY14&lt;=1,1.3,IF(BS14/BY14&gt;=1.5,1,1.3-0.6*(BS14/BY14-1))),0))</f>
        <v/>
      </c>
      <c r="DS14" s="44" t="str">
        <f>IF(BI14&lt;&gt;"SÍ","",IF(BZ14&gt;0,IF(BS14/BZ14&lt;=1,1.3,IF(BS14/BZ14&gt;=1.5,1,1.3-0.6*(BS14/BZ14-1))),0))</f>
        <v/>
      </c>
      <c r="DT14" s="44" t="str">
        <f>IF(BI14&lt;&gt;"SÍ","",IF(CA14&gt;0,IF(BS14/CA14&lt;=1,1.3,IF(BS14/CA14&gt;=1.5,1,1.3-0.6*(BS14/CA14-1))),0))</f>
        <v/>
      </c>
      <c r="DU14" s="44" t="str">
        <f>IF(BI14&lt;&gt;"SÍ","",IF(OR(DM14&lt;=0,BW14&lt;DATOS!$C$72-0.0001),0,DATOS!$C$86*MAX(0,IF(BM14&gt;=0,DD14/(DATOS!$C$86*DM14*BT14*BW14*100/1000)*(DP14*DO14-1)+DN14,DO14*DN14))*DM14*BT14*BW14*100/1000))</f>
        <v/>
      </c>
      <c r="DV14" s="44" t="str">
        <f>IF(BI14&lt;&gt;"SÍ","",IF(OR(DM14&lt;=0,BX14&lt;DATOS!$C$72-0.0001),0,DATOS!$C$86*MAX(0,IF(BM14&gt;=0,DE14/(DATOS!$C$86*DM14*BT14*BX14*100/1000)*(DQ14*DO14-1)+DN14,DO14*DN14))*DM14*BT14*BX14*100/1000))</f>
        <v/>
      </c>
      <c r="DW14" s="44" t="str">
        <f>IF(BI14&lt;&gt;"SÍ","",IF(OR(DM14&lt;=0,BY14&lt;DATOS!$C$72-0.0001),0,DATOS!$C$86*MAX(0,IF(BM14&gt;=0,DF14/(DATOS!$C$86*DM14*BT14*BY14*100/1000)*(DR14*DO14-1)+DN14,DO14*DN14))*DM14*BT14*BY14*100/1000))</f>
        <v/>
      </c>
      <c r="DX14" s="44" t="str">
        <f>IF(BI14&lt;&gt;"SÍ","",IF(OR(DM14&lt;=0,BZ14&lt;DATOS!$C$72-0.0001),0,DATOS!$C$86*MAX(0,IF(BM14&gt;=0,DG14/(DATOS!$C$86*DM14*BT14*BZ14*100/1000)*(DS14*DO14-1)+DN14,DO14*DN14))*DM14*BT14*BZ14*100/1000))</f>
        <v/>
      </c>
      <c r="DY14" s="44" t="str">
        <f>IF(BI14&lt;&gt;"SÍ","",IF(OR(DM14&lt;=0,CA14&lt;DATOS!$C$72-0.0001),0,DATOS!$C$86*MAX(0,IF(BM14&gt;=0,DH14/(DATOS!$C$86*DM14*BT14*CA14*100/1000)*(DT14*DO14-1)+DN14,DO14*DN14))*DM14*BT14*CA14*100/1000))</f>
        <v/>
      </c>
      <c r="DZ14" s="46" t="str">
        <f>IF(BI14&lt;&gt;"SÍ","",SUM(DU14:DY14))</f>
        <v/>
      </c>
      <c r="EA14" s="45" t="str">
        <f>IF(BI14&lt;&gt;"SÍ","",IF(OR(AE14="",AE14="NINGUNO"),IF(DATOS!$C$41&gt;=10,"FALTA refuerzo horizontal: v'm ≥ 10 kg/cm² (6.5.2.2)",IF(AND(BM14&lt;0,BK14&gt;0),"FALTA: P en tensión, el refuerzo debe tomar todo el cortante (6.5.1.3)","—")),IF(AE14="ESCALERILLA","NO CUENTA: la escalerilla no se permite para cortante por sismo (6.5.3.1.2)",IF(AE14="MALLA",IF(AND(DL14&gt;=2.5,DL14&lt;=MAX(0.15*DATOS!$C$33*DATOS!$C$24,2.5)),"CUMPLE","NO CUMPLE: "&amp;IF(DL14&lt;2.5,"p_h·f_yh &lt; 2.5 (6.5.4.2.4)","p_h·f_yh &gt; 0.15·f'm·f_an (6.5.4.2.4)")),IF(AND(DK14&lt;=MIN(6*DATOS!$C$26,45),DL14&gt;=3,DL14&lt;=MIN(MAX(0.15*DATOS!$C$33*DATOS!$C$24,3),0.05*DATOS!$C$25/10*MIN(DATOS!$C$50,6000)/DK14),INDEX(TABLAS!$C$6:$C$14,MATCH(IF(AG14&lt;&gt;"",AG14,DATOS!$C$73),TABLAS!$B$6:$B$14,0))&gt;=0.35,INDEX(TABLAS!$C$6:$C$14,MATCH(IF(AG14&lt;&gt;"",AG14,DATOS!$C$73),TABLAS!$B$6:$B$14,0))&lt;=0.75*DATOS!$C$25/10),"CUMPLE","NO CUMPLE: "&amp;IF(DK14&gt;MIN(6*DATOS!$C$26,45),"s_h &gt; 6 hiladas o 45 cm (6.5.3.2.1) ","")&amp;IF(DL14&lt;3,"p_h·f_yh &lt; 3 (6.5.3.3.1) ","")&amp;IF(DL14&gt;MIN(MAX(0.15*DATOS!$C$33*DATOS!$C$24,3),0.05*DATOS!$C$25/10*MIN(DATOS!$C$50,6000)/DK14),"p_h·f_yh &gt; máximo (6.5.3.3.2) ","")&amp;IF(OR(INDEX(TABLAS!$C$6:$C$14,MATCH(IF(AG14&lt;&gt;"",AG14,DATOS!$C$73),TABLAS!$B$6:$B$14,0))&lt;0.35,INDEX(TABLAS!$C$6:$C$14,MATCH(IF(AG14&lt;&gt;"",AG14,DATOS!$C$73),TABLAS!$B$6:$B$14,0))&gt;0.75*DATOS!$C$25/10),"diámetro fuera de 3.5 mm a 0.75·h_j (4.2.2.2.1)",""))))))</f>
        <v/>
      </c>
      <c r="EB14" s="46" t="str">
        <f>IF(BI14&lt;&gt;"SÍ","",DI14+DZ14)</f>
        <v/>
      </c>
      <c r="EC14" s="50" t="str">
        <f>IF(BI14&lt;&gt;"SÍ","",IF(EB14&gt;0,BK14/EB14,IF(BK14&gt;0,99,0)))</f>
        <v/>
      </c>
      <c r="ED14" s="47" t="str">
        <f>IF(BI14&lt;&gt;"SÍ","",IF(CE14&lt;=0,-1,IF(BK14&lt;=DI14,0,IF(IF(BM14&gt;=0,IF((DATOS!$C$86*IF(AE14="MALLA",0.5,IF(DATOS!$C$33&lt;=60,0.55,IF(DATOS!$C$33&gt;=90,0.75,0.55+0.2*(DATOS!$C$33-60)/30)))*CE14/1000-DATOS!$C$91*SUMPRODUCT(DP14:DT14,DD14:DH14))&lt;=0,1E9,(BK14-SUMPRODUCT(DP14:DT14,DD14:DH14))/(DATOS!$C$86*IF(AE14="MALLA",0.5,IF(DATOS!$C$33&lt;=60,0.55,IF(DATOS!$C$33&gt;=90,0.75,0.55+0.2*(DATOS!$C$33-60)/30)))*CE14/1000-DATOS!$C$91*SUMPRODUCT(DP14:DT14,DD14:DH14))),IF((1-4*DATOS!$C$91*BK14*1000/(DATOS!$C$86*IF(AE14="MALLA",0.5,IF(DATOS!$C$33&lt;=60,0.55,IF(DATOS!$C$33&gt;=90,0.75,0.55+0.2*(DATOS!$C$33-60)/30)))*MAX(CE14,1)))&lt;0,1E9,(1-SQRT((1-4*DATOS!$C$91*BK14*1000/(DATOS!$C$86*IF(AE14="MALLA",0.5,IF(DATOS!$C$33&lt;=60,0.55,IF(DATOS!$C$33&gt;=90,0.75,0.55+0.2*(DATOS!$C$33-60)/30)))*MAX(CE14,1)))))/(2*DATOS!$C$91)))&gt;0.1*DATOS!$C$33*DATOS!$C$24+0.000001,-1,MAX(IF(AE14="MALLA",2.5,3),IF(BM14&gt;=0,IF((DATOS!$C$86*IF(AE14="MALLA",0.5,IF(DATOS!$C$33&lt;=60,0.55,IF(DATOS!$C$33&gt;=90,0.75,0.55+0.2*(DATOS!$C$33-60)/30)))*CE14/1000-DATOS!$C$91*SUMPRODUCT(DP14:DT14,DD14:DH14))&lt;=0,1E9,(BK14-SUMPRODUCT(DP14:DT14,DD14:DH14))/(DATOS!$C$86*IF(AE14="MALLA",0.5,IF(DATOS!$C$33&lt;=60,0.55,IF(DATOS!$C$33&gt;=90,0.75,0.55+0.2*(DATOS!$C$33-60)/30)))*CE14/1000-DATOS!$C$91*SUMPRODUCT(DP14:DT14,DD14:DH14))),IF((1-4*DATOS!$C$91*BK14*1000/(DATOS!$C$86*IF(AE14="MALLA",0.5,IF(DATOS!$C$33&lt;=60,0.55,IF(DATOS!$C$33&gt;=90,0.75,0.55+0.2*(DATOS!$C$33-60)/30)))*MAX(CE14,1)))&lt;0,1E9,(1-SQRT((1-4*DATOS!$C$91*BK14*1000/(DATOS!$C$86*IF(AE14="MALLA",0.5,IF(DATOS!$C$33&lt;=60,0.55,IF(DATOS!$C$33&gt;=90,0.75,0.55+0.2*(DATOS!$C$33-60)/30)))*MAX(CE14,1)))))/(2*DATOS!$C$91))))))))</f>
        <v/>
      </c>
      <c r="EE14" s="45" t="str">
        <f>IF(BI14&lt;&gt;"SÍ","",IF(ED14=0,"NO REQUIERE: V_mR ≥ V_u",IF(ED14&lt;0,"NO ALCANZA con refuerzo horizontal (haría falta más de 0.1·f'm·f_an efectivo): sube v'm con ensayes, el espesor o la longitud del muro",IF(AND(OR(AE14="VARILLA EN JUNTAS",AE14="MALLA"),LEFT(EA14,6)="CUMPLE",EC14&lt;=1),"YA LO TIENE (pide p_h·f_yh ≥ "&amp;TEXT(ED14,"0.0")&amp;" kg/cm²)","p_h·f_yh ≥ "&amp;TEXT(ED14,"0.0")&amp;" kg/cm² → "&amp;IF(AND(MIN(6,FLOOR(45/DATOS!$C$26,1),FLOOR((2*INDEX(TABLAS!$D$6:$D$14,MATCH("3/16 in",TABLAS!$B$6:$B$14,0)))*MIN(DATOS!$C$50,6000)/(BT14*DATOS!$C$26*MAX(ED14,0.001)),1))&gt;=1,((2*INDEX(TABLAS!$D$6:$D$14,MATCH("3/16 in",TABLAS!$B$6:$B$14,0)))*MIN(DATOS!$C$50,6000)/(MAX(MIN(6,FLOOR(45/DATOS!$C$26,1),FLOOR((2*INDEX(TABLAS!$D$6:$D$14,MATCH("3/16 in",TABLAS!$B$6:$B$14,0)))*MIN(DATOS!$C$50,6000)/(BT14*DATOS!$C$26*MAX(ED14,0.001)),1)),1)*DATOS!$C$26*BT14))&lt;=MIN(MAX(0.15*DATOS!$C$33*DATOS!$C$24,3),0.05*DATOS!$C$25/10*MIN(DATOS!$C$50,6000)/(MIN(6,FLOOR(45/DATOS!$C$26,1),FLOOR((2*INDEX(TABLAS!$D$6:$D$14,MATCH("3/16 in",TABLAS!$B$6:$B$14,0)))*MIN(DATOS!$C$50,6000)/(BT14*DATOS!$C$26*MAX(ED14,0.001)),1))*DATOS!$C$26))),"2 alambres de 3/16"" por junta cada "&amp;MIN(6,FLOOR(45/DATOS!$C$26,1),FLOOR((2*INDEX(TABLAS!$D$6:$D$14,MATCH("3/16 in",TABLAS!$B$6:$B$14,0)))*MIN(DATOS!$C$50,6000)/(BT14*DATOS!$C$26*MAX(ED14,0.001)),1))&amp;" hilada(s) (p_h·f_yh = "&amp;TEXT(((2*INDEX(TABLAS!$D$6:$D$14,MATCH("3/16 in",TABLAS!$B$6:$B$14,0)))*MIN(DATOS!$C$50,6000)/(MAX(MIN(6,FLOOR(45/DATOS!$C$26,1),FLOOR((2*INDEX(TABLAS!$D$6:$D$14,MATCH("3/16 in",TABLAS!$B$6:$B$14,0)))*MIN(DATOS!$C$50,6000)/(BT14*DATOS!$C$26*MAX(ED14,0.001)),1)),1)*DATOS!$C$26*BT14)),"0.00")&amp;")",IF(AND(MIN(6,FLOOR(45/DATOS!$C$26,1),FLOOR((2*INDEX(TABLAS!$D$6:$D$14,MATCH("5/32 in",TABLAS!$B$6:$B$14,0)))*MIN(DATOS!$C$50,6000)/(BT14*DATOS!$C$26*MAX(ED14,0.001)),1))&gt;=1,((2*INDEX(TABLAS!$D$6:$D$14,MATCH("5/32 in",TABLAS!$B$6:$B$14,0)))*MIN(DATOS!$C$50,6000)/(MAX(MIN(6,FLOOR(45/DATOS!$C$26,1),FLOOR((2*INDEX(TABLAS!$D$6:$D$14,MATCH("5/32 in",TABLAS!$B$6:$B$14,0)))*MIN(DATOS!$C$50,6000)/(BT14*DATOS!$C$26*MAX(ED14,0.001)),1)),1)*DATOS!$C$26*BT14))&lt;=MIN(MAX(0.15*DATOS!$C$33*DATOS!$C$24,3),0.05*DATOS!$C$25/10*MIN(DATOS!$C$50,6000)/(MIN(6,FLOOR(45/DATOS!$C$26,1),FLOOR((2*INDEX(TABLAS!$D$6:$D$14,MATCH("5/32 in",TABLAS!$B$6:$B$14,0)))*MIN(DATOS!$C$50,6000)/(BT14*DATOS!$C$26*MAX(ED14,0.001)),1))*DATOS!$C$26))),"2 alambres de 5/32"" por junta cada "&amp;MIN(6,FLOOR(45/DATOS!$C$26,1),FLOOR((2*INDEX(TABLAS!$D$6:$D$14,MATCH("5/32 in",TABLAS!$B$6:$B$14,0)))*MIN(DATOS!$C$50,6000)/(BT14*DATOS!$C$26*MAX(ED14,0.001)),1))&amp;" hilada(s) (p_h·f_yh = "&amp;TEXT(((2*INDEX(TABLAS!$D$6:$D$14,MATCH("5/32 in",TABLAS!$B$6:$B$14,0)))*MIN(DATOS!$C$50,6000)/(MAX(MIN(6,FLOOR(45/DATOS!$C$26,1),FLOOR((2*INDEX(TABLAS!$D$6:$D$14,MATCH("5/32 in",TABLAS!$B$6:$B$14,0)))*MIN(DATOS!$C$50,6000)/(BT14*DATOS!$C$26*MAX(ED14,0.001)),1)),1)*DATOS!$C$26*BT14)),"0.00")&amp;")",IF(AND(MIN(6,FLOOR(45/DATOS!$C$26,1),FLOOR((1*INDEX(TABLAS!$D$6:$D$14,MATCH("3/16 in",TABLAS!$B$6:$B$14,0)))*MIN(DATOS!$C$50,6000)/(BT14*DATOS!$C$26*MAX(ED14,0.001)),1))&gt;=1,((1*INDEX(TABLAS!$D$6:$D$14,MATCH("3/16 in",TABLAS!$B$6:$B$14,0)))*MIN(DATOS!$C$50,6000)/(MAX(MIN(6,FLOOR(45/DATOS!$C$26,1),FLOOR((1*INDEX(TABLAS!$D$6:$D$14,MATCH("3/16 in",TABLAS!$B$6:$B$14,0)))*MIN(DATOS!$C$50,6000)/(BT14*DATOS!$C$26*MAX(ED14,0.001)),1)),1)*DATOS!$C$26*BT14))&lt;=MIN(MAX(0.15*DATOS!$C$33*DATOS!$C$24,3),0.05*DATOS!$C$25/10*MIN(DATOS!$C$50,6000)/(MIN(6,FLOOR(45/DATOS!$C$26,1),FLOOR((1*INDEX(TABLAS!$D$6:$D$14,MATCH("3/16 in",TABLAS!$B$6:$B$14,0)))*MIN(DATOS!$C$50,6000)/(BT14*DATOS!$C$26*MAX(ED14,0.001)),1))*DATOS!$C$26))),"1 alambre de 3/16"" por junta cada "&amp;MIN(6,FLOOR(45/DATOS!$C$26,1),FLOOR((1*INDEX(TABLAS!$D$6:$D$14,MATCH("3/16 in",TABLAS!$B$6:$B$14,0)))*MIN(DATOS!$C$50,6000)/(BT14*DATOS!$C$26*MAX(ED14,0.001)),1))&amp;" hilada(s) (p_h·f_yh = "&amp;TEXT(((1*INDEX(TABLAS!$D$6:$D$14,MATCH("3/16 in",TABLAS!$B$6:$B$14,0)))*MIN(DATOS!$C$50,6000)/(MAX(MIN(6,FLOOR(45/DATOS!$C$26,1),FLOOR((1*INDEX(TABLAS!$D$6:$D$14,MATCH("3/16 in",TABLAS!$B$6:$B$14,0)))*MIN(DATOS!$C$50,6000)/(BT14*DATOS!$C$26*MAX(ED14,0.001)),1)),1)*DATOS!$C$26*BT14)),"0.00")&amp;")",IF(AND(MIN(6,FLOOR(45/DATOS!$C$26,1),FLOOR((1*INDEX(TABLAS!$D$6:$D$14,MATCH("5/32 in",TABLAS!$B$6:$B$14,0)))*MIN(DATOS!$C$50,6000)/(BT14*DATOS!$C$26*MAX(ED14,0.001)),1))&gt;=1,((1*INDEX(TABLAS!$D$6:$D$14,MATCH("5/32 in",TABLAS!$B$6:$B$14,0)))*MIN(DATOS!$C$50,6000)/(MAX(MIN(6,FLOOR(45/DATOS!$C$26,1),FLOOR((1*INDEX(TABLAS!$D$6:$D$14,MATCH("5/32 in",TABLAS!$B$6:$B$14,0)))*MIN(DATOS!$C$50,6000)/(BT14*DATOS!$C$26*MAX(ED14,0.001)),1)),1)*DATOS!$C$26*BT14))&lt;=MIN(MAX(0.15*DATOS!$C$33*DATOS!$C$24,3),0.05*DATOS!$C$25/10*MIN(DATOS!$C$50,6000)/(MIN(6,FLOOR(45/DATOS!$C$26,1),FLOOR((1*INDEX(TABLAS!$D$6:$D$14,MATCH("5/32 in",TABLAS!$B$6:$B$14,0)))*MIN(DATOS!$C$50,6000)/(BT14*DATOS!$C$26*MAX(ED14,0.001)),1))*DATOS!$C$26))),"1 alambre de 5/32"" por junta cada "&amp;MIN(6,FLOOR(45/DATOS!$C$26,1),FLOOR((1*INDEX(TABLAS!$D$6:$D$14,MATCH("5/32 in",TABLAS!$B$6:$B$14,0)))*MIN(DATOS!$C$50,6000)/(BT14*DATOS!$C$26*MAX(ED14,0.001)),1))&amp;" hilada(s) (p_h·f_yh = "&amp;TEXT(((1*INDEX(TABLAS!$D$6:$D$14,MATCH("5/32 in",TABLAS!$B$6:$B$14,0)))*MIN(DATOS!$C$50,6000)/(MAX(MIN(6,FLOOR(45/DATOS!$C$26,1),FLOOR((1*INDEX(TABLAS!$D$6:$D$14,MATCH("5/32 in",TABLAS!$B$6:$B$14,0)))*MIN(DATOS!$C$50,6000)/(BT14*DATOS!$C$26*MAX(ED14,0.001)),1)),1)*DATOS!$C$26*BT14)),"0.00")&amp;")","ninguna combinación de 1 o 2 alambres por junta queda entre el mínimo y el máximo: revisa con malla (6.5.4)"))))))))</f>
        <v/>
      </c>
      <c r="EF14" s="43" t="str">
        <f>IF(BI14&lt;&gt;"SÍ","",IF(AI14="SÍ",N(AK14)*N(AL14)^3/12,0))</f>
        <v/>
      </c>
      <c r="EG14" s="48" t="str">
        <f>IF(BI14&lt;&gt;"SÍ","",IF(AND(AI14="SÍ",N(AM14)&gt;0),MIN(1,F14/AM14),0))</f>
        <v/>
      </c>
      <c r="EH14" s="47" t="str">
        <f>IF(BI14&lt;&gt;"SÍ","",IF(AI14="SÍ",BP14*1000/(BT14*F14*100)*BT14*(EG14^4-4*EG14^3+8*EG14),0))</f>
        <v/>
      </c>
      <c r="EI14" s="48" t="str">
        <f>IF(BI14&lt;&gt;"SÍ","",IF(AND(AI14="SÍ",EH14&gt;0),EH14/(EH14+5*N(AN14)*10),0))</f>
        <v/>
      </c>
      <c r="EJ14" s="44" t="str">
        <f>IF(BI14&lt;&gt;"SÍ","",IF(AND(AI14="SÍ",EI14&gt;0,EF14&gt;0),(DATOS!$C$43*BT14*(AM14*100)^3/(DATOS!$C$53*EF14*EI14))^0.25,0))</f>
        <v/>
      </c>
      <c r="EK14" s="44" t="str">
        <f>IF(BI14&lt;&gt;"SÍ","",IF(AI14&lt;&gt;"SÍ",0,IF(N(AM14)&lt;=F14,1,IF(MIN(1,N(AO14)/((AM14-F14)/2))&lt;=0.5,0.7+0.6*MIN(1,N(AO14)/((AM14-F14)/2)),1.5-MIN(1,N(AO14)/((AM14-F14)/2))))))</f>
        <v/>
      </c>
      <c r="EL14" s="44" t="str">
        <f>IF(BI14&lt;&gt;"SÍ","",IF(AI14&lt;&gt;"SÍ",0,MAX(1,IF(EG14&gt;=1,(1.6*EJ14-3.9),IF(EG14&lt;0.9,((3.2*EJ14-7.8)*EK14),((3.2*EJ14-7.8)*EK14)+((1.6*EJ14-3.9)-((3.2*EJ14-7.8)*EK14))*(EG14-0.9)/0.1)))))</f>
        <v/>
      </c>
      <c r="EM14" s="47" t="str">
        <f>IF(BI14&lt;&gt;"SÍ","",IF(AI14="SÍ",EL14*BP14*1000/(BT14*F14*100),0))</f>
        <v/>
      </c>
      <c r="EN14" s="47" t="str">
        <f>IF(BI14&lt;&gt;"SÍ","",IF(AND(AI14="SÍ",N(AL14)&gt;0),AM14*100/AL14,0))</f>
        <v/>
      </c>
      <c r="EO14" s="47" t="str">
        <f>IF(BI14&lt;&gt;"SÍ","",IF(AI14="SÍ",(1/15*DATOS!$C$53*N(AK14)/MAX((IF(ISNUMBER(AP14),AP14,BP14/DATOS!$C$90)*1000/(BT14*F14*100)*BT14*(EG14^4-4*EG14^3+8*EG14))+5*N(AN14)/DATOS!$C$90*10,0.001))^(1/3),0))</f>
        <v/>
      </c>
      <c r="EP14" s="45" t="str">
        <f>IF(BI14&lt;&gt;"SÍ","",IF(AI14&lt;&gt;"SÍ","—",IF(OR(N(AK14)&lt;=0,N(AL14)&lt;=0,N(AM14)&lt;=0),"REVISAR: faltan b, h o L_v de la viga",IF(AND(EM14&lt;=DATOS!$C$87*DATOS!$C$33,EN14&lt;=14,N(AL14)&gt;=25,EN14&lt;=EO14),IF(BS14/F14&lt;0.6,"PENDIENTE: H/L &lt; 0.6, falta el análisis de interacción muro–viga (4.1.18.2.1); f_CM es estimado","CUMPLE"),"NO CUMPLE: "&amp;IF(EM14&gt;DATOS!$C$87*DATOS!$C$33,"f_CM &gt; F_R·f'm ","")&amp;IF(EN14&gt;14,"L_v/h_v &gt; 14 ","")&amp;IF(N(AL14)&lt;25,"h_v &lt; 25 cm ","")&amp;IF(EN14&gt;EO14,"flecha (4.1.18.3)","")))))</f>
        <v/>
      </c>
      <c r="EQ14" s="44" t="str">
        <f>IF(BI14&lt;&gt;"SÍ","",MAX(0,F14*BS14-(N(K14)*N(M14)+N(P14)*N(R14)+N(U14)*N(W14)+N(Z14)*N(AB14))-CK14*DATOS!$C$59/100*BS14))</f>
        <v/>
      </c>
      <c r="ER14" s="48" t="str">
        <f>IF(BI14&lt;&gt;"SÍ","",CK14*DATOS!$C$59*DATOS!$C$60/10000*BS14)</f>
        <v/>
      </c>
      <c r="ES14" s="47" t="str">
        <f>IF(BI14&lt;&gt;"SÍ","",CK14*(DATOS!$C$61*(BS14+0.6)*INDEX(TABLAS!$E$6:$E$14,MATCH(DATOS!$C$62,TABLAS!$B$6:$B$14,0))+(2*ROUNDUP(CN14/DATOS!$C$65,0)+ROUNDUP(MAX(0,BS14*100-2*CN14)/DATOS!$C$64,0))*((2*(DATOS!$C$60+DATOS!$C$59-4*(DATOS!$C$66-INDEX(TABLAS!$C$6:$C$14,MATCH(DATOS!$C$63,TABLAS!$B$6:$B$14,0))))+15)/100)*INDEX(TABLAS!$E$6:$E$14,MATCH(DATOS!$C$63,TABLAS!$B$6:$B$14,0))))</f>
        <v/>
      </c>
      <c r="ET14" s="47" t="str">
        <f>IF(BI14&lt;&gt;"SÍ","",IF(OR(AE14="VARILLA EN JUNTAS",AE14="ESCALERILLA"),INT(BS14*100/MAX(DK14,1))*IF(ISNUMBER(AF14),AF14,2)*CB14*INDEX(TABLAS!$E$6:$E$14,MATCH(IF(AG14&lt;&gt;"",AG14,DATOS!$C$73),TABLAS!$B$6:$B$14,0)),IF(AE14="MALLA",IF(ISNUMBER(AF14),AF14,1)*CB14*BS14*INDEX(TABLAS!$E$19:$E$22,MATCH(IF(AG14&lt;&gt;"",AG14,DATOS!$C$74),TABLAS!$B$19:$B$22,0)),0)))</f>
        <v/>
      </c>
      <c r="EU14" s="45" t="str">
        <f>IF(BI14&lt;&gt;"SÍ","",""&amp;IF(BJ14="NO ESTÁ EN PIER_FORCES","sin fuerzas en PIER_FORCES; ","")&amp;IF(BV14&lt;&gt;"CUMPLE","vanos; ","")&amp;IF(LEFT(CH14,2)="NO","espesor o esbeltez; ","")&amp;IF(CQ14&gt;1,"compresión; ","")&amp;IF(CX14&gt;1,"flexión; ","")&amp;IF(CB14&lt;=0,"sin tramos de muro (todos son machones menores que L mín.: diséñalos como columnas o baja L mín.); ",IF(EC14&gt;1,"cortante; ",""))&amp;IF(OR(LEFT(EA14,2)="NO",LEFT(EA14,5)="FALTA"),"refuerzo horizontal; ","")&amp;IF(OR(LEFT(EP14,2)="NO",LEFT(EP14,7)="REVISAR"),"muro sobre viga; ","")&amp;IF(LEFT(DATOS!$C$81,2)="NO","castillo típico; ","")&amp;IF(LEFT(DATOS!$C$82,2)="NO","dala típica; ","")&amp;IF(AND(BT14&lt;&gt;DATOS!$C$58,DATOS!$C$60&lt;BT14),"castillo más angosto que el muro; ",""))</f>
        <v/>
      </c>
      <c r="EV14" s="45" t="str">
        <f>IF(BI14&lt;&gt;"SÍ","",""&amp;IF(LEFT(EP14,9)="PENDIENTE","análisis muro–viga (H/L &lt; 0.6); ","")&amp;IF(BR14&gt;50,"V_u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14" s="51" t="str">
        <f>IF(BI14&lt;&gt;"SÍ","",IF(EU14&lt;&gt;"","NO CUMPLE: "&amp;LEFT(EU14,LEN(EU14)-2),IF(EV14&lt;&gt;"","CUMPLE — PENDIENTE: "&amp;LEFT(EV14,LEN(EV14)-2),"CUMPLE")))</f>
        <v/>
      </c>
      <c r="EX14" s="52" t="n"/>
    </row>
    <row r="15" ht="30" customHeight="1">
      <c r="A15" s="38" t="str">
        <f>IF(B15="","",ROW()-10)</f>
        <v/>
      </c>
      <c r="B15" s="28" t="n"/>
      <c r="C15" s="39" t="n"/>
      <c r="D15" s="39" t="n"/>
      <c r="E15" s="39" t="n"/>
      <c r="F15" s="40" t="n"/>
      <c r="G15" s="40" t="n"/>
      <c r="H15" s="41" t="n"/>
      <c r="I15" s="39" t="n"/>
      <c r="J15" s="40" t="n"/>
      <c r="K15" s="40" t="n"/>
      <c r="L15" s="40" t="n"/>
      <c r="M15" s="40" t="n"/>
      <c r="N15" s="39" t="n"/>
      <c r="O15" s="40" t="n"/>
      <c r="P15" s="40" t="n"/>
      <c r="Q15" s="40" t="n"/>
      <c r="R15" s="40" t="n"/>
      <c r="S15" s="39" t="n"/>
      <c r="T15" s="40" t="n"/>
      <c r="U15" s="40" t="n"/>
      <c r="V15" s="40" t="n"/>
      <c r="W15" s="40" t="n"/>
      <c r="X15" s="39" t="n"/>
      <c r="Y15" s="40" t="n"/>
      <c r="Z15" s="40" t="n"/>
      <c r="AA15" s="40" t="n"/>
      <c r="AB15" s="40" t="n"/>
      <c r="AC15" s="41" t="n"/>
      <c r="AD15" s="41" t="n"/>
      <c r="AE15" s="39" t="n"/>
      <c r="AF15" s="41" t="n"/>
      <c r="AG15" s="41" t="n"/>
      <c r="AH15" s="41" t="n"/>
      <c r="AI15" s="39" t="n"/>
      <c r="AJ15" s="39" t="n"/>
      <c r="AK15" s="41" t="n"/>
      <c r="AL15" s="41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2" t="str">
        <f>IF(B15="","",C15&amp;"|"&amp;B15)</f>
        <v/>
      </c>
      <c r="AY15" s="43" t="str">
        <f>IF(B15="","",COUNTIFS(PIER_FORCES!$O$9:$O$3008,5,PIER_FORCES!$P$9:$P$3008,1))</f>
        <v/>
      </c>
      <c r="AZ15" s="43" t="str">
        <f>IF(B15="","",COUNTIFS(PIER_FORCES!$O$9:$O$3008,5,PIER_FORCES!$P$9:$P$3008,2))</f>
        <v/>
      </c>
      <c r="BA15" s="44">
        <f>IF(N(AY15)=0,0,SUMPRODUCT(MAX((PIER_FORCES!$O$9:$O$3008=5)*(PIER_FORCES!$P$9:$P$3008=1)*PIER_FORCES!$R$9:$R$3008)))</f>
        <v>0</v>
      </c>
      <c r="BB15" s="44">
        <f>IF(N(AY15)=0,0,SUMPRODUCT(MAX((PIER_FORCES!$O$9:$O$3008=5)*(PIER_FORCES!$P$9:$P$3008=1)*PIER_FORCES!$S$9:$S$3008)))</f>
        <v>0</v>
      </c>
      <c r="BC15" s="44">
        <f>IF(N(AY15)=0,0,-SUMPRODUCT(MAX((PIER_FORCES!$O$9:$O$3008=5)*(PIER_FORCES!$P$9:$P$3008=1)*(-PIER_FORCES!$Q$9:$Q$3008)+(1-(PIER_FORCES!$O$9:$O$3008=5)*(PIER_FORCES!$P$9:$P$3008=1))*(-1E9))))</f>
        <v>0</v>
      </c>
      <c r="BD15" s="44">
        <f>IF(N(AY15)=0,0,SUMPRODUCT(MAX((PIER_FORCES!$O$9:$O$3008=5)*(PIER_FORCES!$P$9:$P$3008=1)*PIER_FORCES!$Q$9:$Q$3008+(1-(PIER_FORCES!$O$9:$O$3008=5)*(PIER_FORCES!$P$9:$P$3008=1))*(-1E9))))</f>
        <v>0</v>
      </c>
      <c r="BE15" s="44">
        <f>IF(N(AZ15)=0,BD15,SUMPRODUCT(MAX((PIER_FORCES!$O$9:$O$3008=5)*(PIER_FORCES!$P$9:$P$3008=2)*PIER_FORCES!$Q$9:$Q$3008+(1-(PIER_FORCES!$O$9:$O$3008=5)*(PIER_FORCES!$P$9:$P$3008=2))*(-1E9))))</f>
        <v>0</v>
      </c>
      <c r="BF15" s="44">
        <f>IF(N(AZ15)=0,0,SUMPRODUCT(MAX((PIER_FORCES!$O$9:$O$3008=5)*(PIER_FORCES!$P$9:$P$3008=2)*PIER_FORCES!$R$9:$R$3008)))</f>
        <v>0</v>
      </c>
      <c r="BG15" s="43">
        <f>IF(N(AY15)=0,0,SUMPRODUCT(MAX((PIER_FORCES!$O$9:$O$3008=5)*(PIER_FORCES!$P$9:$P$3008=1)*(ABS(PIER_FORCES!$R$9:$R$3008-BA15)&lt;0.000001)*PIER_FORCES!$T$9:$T$3008)))</f>
        <v>0</v>
      </c>
      <c r="BH15" s="45" t="str">
        <f>IF(N(BG15)=0,"",INDEX(PIER_FORCES!$D$9:$D$3008,BG15)&amp;" "&amp;INDEX(PIER_FORCES!$F$9:$F$3008,BG15)&amp;" / "&amp;INDEX(PIER_FORCES!$G$9:$G$3008,BG15))</f>
        <v/>
      </c>
      <c r="BI15" s="42" t="str">
        <f>IF(B15="","",IF(AND(C15&lt;&gt;"",OR(D15="X",D15="Y"),ISNUMBER(F15),N(F15)&gt;0),"SÍ","NO"))</f>
        <v/>
      </c>
      <c r="BJ15" s="42" t="str">
        <f>IF(BI15&lt;&gt;"SÍ","",IF(DATOS!$C$108="ETABS (PIER_FORCES)",IF(N(AY15)&gt;0,"ETABS","NO ESTÁ EN PIER_FORCES"),"CAPTURA"))</f>
        <v/>
      </c>
      <c r="BK15" s="46" t="str">
        <f>IF(BI15&lt;&gt;"SÍ","",IF(BJ15="ETABS",BA15,IF(BJ15="CAPTURA",N(AQ15),0)))</f>
        <v/>
      </c>
      <c r="BL15" s="46" t="str">
        <f>IF(BI15&lt;&gt;"SÍ","",IF(BJ15="ETABS",BB15,IF(BJ15="CAPTURA",N(AR15),0)))</f>
        <v/>
      </c>
      <c r="BM15" s="46" t="str">
        <f>IF(BI15&lt;&gt;"SÍ","",IF(BJ15="ETABS",BC15/DATOS!$C$89,IF(BJ15="CAPTURA",N(AS15),0)))</f>
        <v/>
      </c>
      <c r="BN15" s="44" t="str">
        <f>IF(BI15&lt;&gt;"SÍ","",IF(BJ15="ETABS",BC15,IF(BJ15="CAPTURA",IF(ISNUMBER(AU15),AU15,N(AS15)*DATOS!$C$89),0)))</f>
        <v/>
      </c>
      <c r="BO15" s="44" t="str">
        <f>IF(BI15&lt;&gt;"SÍ","",IF(BJ15="ETABS",MAX(BD15,BE15),IF(BJ15="CAPTURA",N(AT15),0)))</f>
        <v/>
      </c>
      <c r="BP15" s="44" t="str">
        <f>IF(BI15&lt;&gt;"SÍ","",IF(BJ15="ETABS",BE15,IF(BJ15="CAPTURA",IF(ISNUMBER(AV15),AV15,N(AT15)),0)))</f>
        <v/>
      </c>
      <c r="BQ15" s="44" t="str">
        <f>IF(BI15&lt;&gt;"SÍ","",IF(BJ15="ETABS",BF15,IF(BJ15="CAPTURA",N(AW15),0)))</f>
        <v/>
      </c>
      <c r="BR15" s="43" t="str">
        <f>IF(BI15&lt;&gt;"SÍ","",IF(BK15&gt;0,100*BQ15/BK15,0))</f>
        <v/>
      </c>
      <c r="BS15" s="44" t="str">
        <f>IF(BI15&lt;&gt;"SÍ","",IF(ISNUMBER(G15),G15,DATOS!$C$57))</f>
        <v/>
      </c>
      <c r="BT15" s="47" t="str">
        <f>IF(BI15&lt;&gt;"SÍ","",IF(ISNUMBER(H15),H15,DATOS!$C$58))</f>
        <v/>
      </c>
      <c r="BU15" s="43" t="str">
        <f>IF(BI15&lt;&gt;"SÍ","",IF(N(K15)&gt;0,1+IF(N(P15)&gt;0,1+IF(N(U15)&gt;0,1+IF(N(Z15)&gt;0,1,0),0),0),0))</f>
        <v/>
      </c>
      <c r="BV15" s="45" t="str">
        <f>IF(BI15&lt;&gt;"SÍ","",IF(AND(OR(BU15&lt;1,AND(N(J15)&gt;=0-0.001,J15+K15&lt;=F15+0.001,N(L15)&gt;=0,N(L15)+N(M15)&lt;=BS15+0.001,N(M15)&gt;0,OR(I15="PUERTA",I15="VENTANA"))),OR(BU15&lt;2,AND(N(O15)&gt;=(J15+K15)-0.001,O15+P15&lt;=F15+0.001,N(Q15)&gt;=0,N(Q15)+N(R15)&lt;=BS15+0.001,N(R15)&gt;0,OR(N15="PUERTA",N15="VENTANA"))),OR(BU15&lt;3,AND(N(T15)&gt;=(O15+P15)-0.001,T15+U15&lt;=F15+0.001,N(V15)&gt;=0,N(V15)+N(W15)&lt;=BS15+0.001,N(W15)&gt;0,OR(S15="PUERTA",S15="VENTANA"))),OR(BU15&lt;4,AND(N(Y15)&gt;=(T15+U15)-0.001,Y15+Z15&lt;=F15+0.001,N(AA15)&gt;=0,N(AA15)+N(AB15)&lt;=BS15+0.001,N(AB15)&gt;0,OR(X15="PUERTA",X15="VENTANA"))),(N(K15)&gt;0)+(N(P15)&gt;0)+(N(U15)&gt;0)+(N(Z15)&gt;0)=BU15),"CUMPLE","REVISAR VANOS: tipo, orden de izquierda a derecha, que quepan en L y en H"))</f>
        <v/>
      </c>
      <c r="BW15" s="44" t="str">
        <f>IF(BI15&lt;&gt;"SÍ","",MAX(0,IF(BU15&gt;=1,N(J15),F15)))</f>
        <v/>
      </c>
      <c r="BX15" s="44" t="str">
        <f>IF(BI15&lt;&gt;"SÍ","",MAX(0,IF(BU15&gt;=2,N(O15)-(N(J15)+N(K15)),IF(BU15=1,F15-(N(J15)+N(K15)),0))))</f>
        <v/>
      </c>
      <c r="BY15" s="44" t="str">
        <f>IF(BI15&lt;&gt;"SÍ","",MAX(0,IF(BU15&gt;=3,N(T15)-(N(O15)+N(P15)),IF(BU15=2,F15-(N(O15)+N(P15)),0))))</f>
        <v/>
      </c>
      <c r="BZ15" s="44" t="str">
        <f>IF(BI15&lt;&gt;"SÍ","",MAX(0,IF(BU15&gt;=4,N(Y15)-(N(T15)+N(U15)),IF(BU15=3,F15-(N(T15)+N(U15)),0))))</f>
        <v/>
      </c>
      <c r="CA15" s="44" t="str">
        <f>IF(BI15&lt;&gt;"SÍ","",MAX(0,IF(BU15=4,F15-(N(Y15)+N(Z15)),0)))</f>
        <v/>
      </c>
      <c r="CB15" s="46" t="str">
        <f>IF(BI15&lt;&gt;"SÍ","",SUMPRODUCT((BW15:CA15&gt;=DATOS!$C$72-0.0001)*BW15:CA15))</f>
        <v/>
      </c>
      <c r="CC15" s="43" t="str">
        <f>IF(BI15&lt;&gt;"SÍ","",SUMPRODUCT(--(BW15:CA15&gt;=DATOS!$C$72-0.0001)))</f>
        <v/>
      </c>
      <c r="CD15" s="44" t="str">
        <f>IF(BI15&lt;&gt;"SÍ","",SUM(BW15:CA15))</f>
        <v/>
      </c>
      <c r="CE15" s="43" t="str">
        <f>IF(BI15&lt;&gt;"SÍ","",BT15*CB15*100)</f>
        <v/>
      </c>
      <c r="CF15" s="43" t="str">
        <f>IF(BI15&lt;&gt;"SÍ","",BT15*CD15*100)</f>
        <v/>
      </c>
      <c r="CG15" s="47" t="str">
        <f>IF(BI15&lt;&gt;"SÍ","",BS15*100/BT15)</f>
        <v/>
      </c>
      <c r="CH15" s="45" t="str">
        <f>IF(BI15&lt;&gt;"SÍ","",IF(AND(OR(DATOS!$C$14="TIPO II",BT15&gt;=12),CG15&lt;=25),"CUMPLE","NO CUMPLE: "&amp;IF(AND(DATOS!$C$14="TIPO I",BT15&lt;12),"t &lt; 12 cm ","")&amp;IF(CG15&gt;25,"H/t &gt; 25","")))</f>
        <v/>
      </c>
      <c r="CI15" s="44" t="str">
        <f>IF(BI15&lt;&gt;"SÍ","",MIN(1.5*BS15,4))</f>
        <v/>
      </c>
      <c r="CJ15" s="43" t="str">
        <f>IF(BI15&lt;&gt;"SÍ","",SUMPRODUCT((BW15:CA15&gt;=2*DATOS!$C$59/100)*INT((BW15:CA15-DATOS!$C$59/100)/CI15-0.000001)*((BW15:CA15-DATOS!$C$59/100)&gt;0)))</f>
        <v/>
      </c>
      <c r="CK15" s="43" t="str">
        <f>IF(BI15&lt;&gt;"SÍ","",SUMPRODUCT((BW15:CA15&gt;0.0001)*1+(BW15:CA15&gt;=2*DATOS!$C$59/100)*1)+CJ15)</f>
        <v/>
      </c>
      <c r="CL15" s="44" t="str">
        <f>IF(BI15&lt;&gt;"SÍ","",IF(ISNUMBER(AC15),AC15,DATOS!$C$61)*INDEX(TABLAS!$D$6:$D$14,MATCH(IF(AD15&lt;&gt;"",AD15,DATOS!$C$62),TABLAS!$B$6:$B$14,0)))</f>
        <v/>
      </c>
      <c r="CM15" s="44" t="str">
        <f>IF(BI15&lt;&gt;"SÍ","",CK15*DATOS!$C$78+IF(CK15&gt;=2,2,CK15)*(CL15-DATOS!$C$78))</f>
        <v/>
      </c>
      <c r="CN15" s="47" t="str">
        <f>IF(BI15&lt;&gt;"SÍ","",MAX(BS15*100/6,40))</f>
        <v/>
      </c>
      <c r="CO15" s="48" t="str">
        <f>IF(BI15&lt;&gt;"SÍ","",IF(CG15&lt;=20,IF(E15="INTERIOR",0.7,0.6),MIN(IF(E15="INTERIOR",0.7,0.6),(1-2/24)*(1-(IF(E15="INTERIOR",0.8,1)*CG15/30)^2))))</f>
        <v/>
      </c>
      <c r="CP15" s="47" t="str">
        <f>IF(BI15&lt;&gt;"SÍ","",DATOS!$C$87*CO15*(DATOS!$C$33*CF15+CM15*DATOS!$C$48)/1000)</f>
        <v/>
      </c>
      <c r="CQ15" s="46" t="str">
        <f>IF(BI15&lt;&gt;"SÍ","",IF(CP15&gt;0,BO15/CP15,99))</f>
        <v/>
      </c>
      <c r="CR15" s="47" t="str">
        <f>IF(BI15&lt;&gt;"SÍ","",MAX(0,F15*100-DATOS!$C$59))</f>
        <v/>
      </c>
      <c r="CS15" s="47" t="str">
        <f>IF(BI15&lt;&gt;"SÍ","",MAX(0,F15*100-DATOS!$C$59/2))</f>
        <v/>
      </c>
      <c r="CT15" s="44" t="str">
        <f>IF(BI15&lt;&gt;"SÍ","",CL15*DATOS!$C$48*CR15/100000)</f>
        <v/>
      </c>
      <c r="CU15" s="44" t="str">
        <f>IF(BI15&lt;&gt;"SÍ","",IF(BN15&lt;0,0.8*CT15*MAX(0,1+BN15/(0.8*CM15*DATOS!$C$48/1000)),IF(BN15&lt;=CP15/3,0.8*CT15+0.3*BN15*CS15/100,(1.5*0.6*CT15+0.15*CP15*CS15/100)*MAX(0,1-BN15/CP15))))</f>
        <v/>
      </c>
      <c r="CV15" s="44" t="str">
        <f>IF(BI15&lt;&gt;"SÍ","",IF(BO15&lt;0,0.8*CT15*MAX(0,1+BO15/(0.8*CM15*DATOS!$C$48/1000)),IF(BO15&lt;=CP15/3,0.8*CT15+0.3*BO15*CS15/100,(1.5*0.6*CT15+0.15*CP15*CS15/100)*MAX(0,1-BO15/CP15))))</f>
        <v/>
      </c>
      <c r="CW15" s="46" t="str">
        <f>IF(BI15&lt;&gt;"SÍ","",MAX(0,MIN(CU15,CV15)))</f>
        <v/>
      </c>
      <c r="CX15" s="49" t="str">
        <f>IF(BI15&lt;&gt;"SÍ","",IF(CW15&gt;0,BL15/CW15,IF(BL15&gt;0,99,0)))</f>
        <v/>
      </c>
      <c r="CY15" s="44" t="str">
        <f>IF(BI15&lt;&gt;"SÍ","",IF(BW15&gt;0,MAX(1,MIN(1.5,1.5-0.625*(BS15/BW15-0.2))),0))</f>
        <v/>
      </c>
      <c r="CZ15" s="44" t="str">
        <f>IF(BI15&lt;&gt;"SÍ","",IF(BX15&gt;0,MAX(1,MIN(1.5,1.5-0.625*(BS15/BX15-0.2))),0))</f>
        <v/>
      </c>
      <c r="DA15" s="44" t="str">
        <f>IF(BI15&lt;&gt;"SÍ","",IF(BY15&gt;0,MAX(1,MIN(1.5,1.5-0.625*(BS15/BY15-0.2))),0))</f>
        <v/>
      </c>
      <c r="DB15" s="44" t="str">
        <f>IF(BI15&lt;&gt;"SÍ","",IF(BZ15&gt;0,MAX(1,MIN(1.5,1.5-0.625*(BS15/BZ15-0.2))),0))</f>
        <v/>
      </c>
      <c r="DC15" s="44" t="str">
        <f>IF(BI15&lt;&gt;"SÍ","",IF(CA15&gt;0,MAX(1,MIN(1.5,1.5-0.625*(BS15/CA15-0.2))),0))</f>
        <v/>
      </c>
      <c r="DD15" s="44" t="str">
        <f>IF(BI15&lt;&gt;"SÍ","",IF(OR(BW15&lt;DATOS!$C$72-0.0001,BM15&lt;0,CB15&lt;=0),0,MIN(DATOS!$C$86*(0.5*DATOS!$C$41*BT15*BW15*100+0.3*BM15*BW15/CB15*1000)*CY15,1.5*DATOS!$C$86*DATOS!$C$41*BT15*BW15*100*CY15)/1000))</f>
        <v/>
      </c>
      <c r="DE15" s="44" t="str">
        <f>IF(BI15&lt;&gt;"SÍ","",IF(OR(BX15&lt;DATOS!$C$72-0.0001,BM15&lt;0,CB15&lt;=0),0,MIN(DATOS!$C$86*(0.5*DATOS!$C$41*BT15*BX15*100+0.3*BM15*BX15/CB15*1000)*CZ15,1.5*DATOS!$C$86*DATOS!$C$41*BT15*BX15*100*CZ15)/1000))</f>
        <v/>
      </c>
      <c r="DF15" s="44" t="str">
        <f>IF(BI15&lt;&gt;"SÍ","",IF(OR(BY15&lt;DATOS!$C$72-0.0001,BM15&lt;0,CB15&lt;=0),0,MIN(DATOS!$C$86*(0.5*DATOS!$C$41*BT15*BY15*100+0.3*BM15*BY15/CB15*1000)*DA15,1.5*DATOS!$C$86*DATOS!$C$41*BT15*BY15*100*DA15)/1000))</f>
        <v/>
      </c>
      <c r="DG15" s="44" t="str">
        <f>IF(BI15&lt;&gt;"SÍ","",IF(OR(BZ15&lt;DATOS!$C$72-0.0001,BM15&lt;0,CB15&lt;=0),0,MIN(DATOS!$C$86*(0.5*DATOS!$C$41*BT15*BZ15*100+0.3*BM15*BZ15/CB15*1000)*DB15,1.5*DATOS!$C$86*DATOS!$C$41*BT15*BZ15*100*DB15)/1000))</f>
        <v/>
      </c>
      <c r="DH15" s="44" t="str">
        <f>IF(BI15&lt;&gt;"SÍ","",IF(OR(CA15&lt;DATOS!$C$72-0.0001,BM15&lt;0,CB15&lt;=0),0,MIN(DATOS!$C$86*(0.5*DATOS!$C$41*BT15*CA15*100+0.3*BM15*CA15/CB15*1000)*DC15,1.5*DATOS!$C$86*DATOS!$C$41*BT15*CA15*100*DC15)/1000))</f>
        <v/>
      </c>
      <c r="DI15" s="46" t="str">
        <f>IF(BI15&lt;&gt;"SÍ","",SUM(DD15:DH15))</f>
        <v/>
      </c>
      <c r="DJ15" s="48" t="str">
        <f>IF(BI15&lt;&gt;"SÍ","",IF(AE15="VARILLA EN JUNTAS",IF(ISNUMBER(AF15),AF15,2)*INDEX(TABLAS!$D$6:$D$14,MATCH(IF(AG15&lt;&gt;"",AG15,DATOS!$C$73),TABLAS!$B$6:$B$14,0)),IF(AE15="MALLA",IF(ISNUMBER(AF15),AF15,1)*INDEX(TABLAS!$D$19:$D$22,MATCH(IF(AG15&lt;&gt;"",AG15,DATOS!$C$74),TABLAS!$B$19:$B$22,0))/100,IF(AE15="ESCALERILLA",IF(ISNUMBER(AF15),AF15,2)*INDEX(TABLAS!$D$6:$D$14,MATCH(IF(AG15&lt;&gt;"",AG15,DATOS!$C$73),TABLAS!$B$6:$B$14,0)),0))))</f>
        <v/>
      </c>
      <c r="DK15" s="47" t="str">
        <f>IF(BI15&lt;&gt;"SÍ","",IF(OR(AE15="VARILLA EN JUNTAS",AE15="ESCALERILLA"),IF(ISNUMBER(AH15),AH15,2)*DATOS!$C$26,IF(AE15="MALLA",1,0)))</f>
        <v/>
      </c>
      <c r="DL15" s="44" t="str">
        <f>IF(BI15&lt;&gt;"SÍ","",IF(DK15&gt;0,DJ15/(DK15*BT15)*MIN(DATOS!$C$50,IF(AE15="MALLA",5000,6000)),0))</f>
        <v/>
      </c>
      <c r="DM15" s="44" t="str">
        <f>IF(BI15&lt;&gt;"SÍ","",IF(AE15="ESCALERILLA",0,MIN(DL15,0.1*DATOS!$C$33*DATOS!$C$24)))</f>
        <v/>
      </c>
      <c r="DN15" s="48" t="str">
        <f>IF(BI15&lt;&gt;"SÍ","",IF(AE15="MALLA",0.5,IF(DATOS!$C$33&lt;=60,0.55,IF(DATOS!$C$33&gt;=90,0.75,0.55+0.2*(DATOS!$C$33-60)/30))))</f>
        <v/>
      </c>
      <c r="DO15" s="48" t="str">
        <f>IF(BI15&lt;&gt;"SÍ","",1-DATOS!$C$91*DM15)</f>
        <v/>
      </c>
      <c r="DP15" s="44" t="str">
        <f>IF(BI15&lt;&gt;"SÍ","",IF(BW15&gt;0,IF(BS15/BW15&lt;=1,1.3,IF(BS15/BW15&gt;=1.5,1,1.3-0.6*(BS15/BW15-1))),0))</f>
        <v/>
      </c>
      <c r="DQ15" s="44" t="str">
        <f>IF(BI15&lt;&gt;"SÍ","",IF(BX15&gt;0,IF(BS15/BX15&lt;=1,1.3,IF(BS15/BX15&gt;=1.5,1,1.3-0.6*(BS15/BX15-1))),0))</f>
        <v/>
      </c>
      <c r="DR15" s="44" t="str">
        <f>IF(BI15&lt;&gt;"SÍ","",IF(BY15&gt;0,IF(BS15/BY15&lt;=1,1.3,IF(BS15/BY15&gt;=1.5,1,1.3-0.6*(BS15/BY15-1))),0))</f>
        <v/>
      </c>
      <c r="DS15" s="44" t="str">
        <f>IF(BI15&lt;&gt;"SÍ","",IF(BZ15&gt;0,IF(BS15/BZ15&lt;=1,1.3,IF(BS15/BZ15&gt;=1.5,1,1.3-0.6*(BS15/BZ15-1))),0))</f>
        <v/>
      </c>
      <c r="DT15" s="44" t="str">
        <f>IF(BI15&lt;&gt;"SÍ","",IF(CA15&gt;0,IF(BS15/CA15&lt;=1,1.3,IF(BS15/CA15&gt;=1.5,1,1.3-0.6*(BS15/CA15-1))),0))</f>
        <v/>
      </c>
      <c r="DU15" s="44" t="str">
        <f>IF(BI15&lt;&gt;"SÍ","",IF(OR(DM15&lt;=0,BW15&lt;DATOS!$C$72-0.0001),0,DATOS!$C$86*MAX(0,IF(BM15&gt;=0,DD15/(DATOS!$C$86*DM15*BT15*BW15*100/1000)*(DP15*DO15-1)+DN15,DO15*DN15))*DM15*BT15*BW15*100/1000))</f>
        <v/>
      </c>
      <c r="DV15" s="44" t="str">
        <f>IF(BI15&lt;&gt;"SÍ","",IF(OR(DM15&lt;=0,BX15&lt;DATOS!$C$72-0.0001),0,DATOS!$C$86*MAX(0,IF(BM15&gt;=0,DE15/(DATOS!$C$86*DM15*BT15*BX15*100/1000)*(DQ15*DO15-1)+DN15,DO15*DN15))*DM15*BT15*BX15*100/1000))</f>
        <v/>
      </c>
      <c r="DW15" s="44" t="str">
        <f>IF(BI15&lt;&gt;"SÍ","",IF(OR(DM15&lt;=0,BY15&lt;DATOS!$C$72-0.0001),0,DATOS!$C$86*MAX(0,IF(BM15&gt;=0,DF15/(DATOS!$C$86*DM15*BT15*BY15*100/1000)*(DR15*DO15-1)+DN15,DO15*DN15))*DM15*BT15*BY15*100/1000))</f>
        <v/>
      </c>
      <c r="DX15" s="44" t="str">
        <f>IF(BI15&lt;&gt;"SÍ","",IF(OR(DM15&lt;=0,BZ15&lt;DATOS!$C$72-0.0001),0,DATOS!$C$86*MAX(0,IF(BM15&gt;=0,DG15/(DATOS!$C$86*DM15*BT15*BZ15*100/1000)*(DS15*DO15-1)+DN15,DO15*DN15))*DM15*BT15*BZ15*100/1000))</f>
        <v/>
      </c>
      <c r="DY15" s="44" t="str">
        <f>IF(BI15&lt;&gt;"SÍ","",IF(OR(DM15&lt;=0,CA15&lt;DATOS!$C$72-0.0001),0,DATOS!$C$86*MAX(0,IF(BM15&gt;=0,DH15/(DATOS!$C$86*DM15*BT15*CA15*100/1000)*(DT15*DO15-1)+DN15,DO15*DN15))*DM15*BT15*CA15*100/1000))</f>
        <v/>
      </c>
      <c r="DZ15" s="46" t="str">
        <f>IF(BI15&lt;&gt;"SÍ","",SUM(DU15:DY15))</f>
        <v/>
      </c>
      <c r="EA15" s="45" t="str">
        <f>IF(BI15&lt;&gt;"SÍ","",IF(OR(AE15="",AE15="NINGUNO"),IF(DATOS!$C$41&gt;=10,"FALTA refuerzo horizontal: v'm ≥ 10 kg/cm² (6.5.2.2)",IF(AND(BM15&lt;0,BK15&gt;0),"FALTA: P en tensión, el refuerzo debe tomar todo el cortante (6.5.1.3)","—")),IF(AE15="ESCALERILLA","NO CUENTA: la escalerilla no se permite para cortante por sismo (6.5.3.1.2)",IF(AE15="MALLA",IF(AND(DL15&gt;=2.5,DL15&lt;=MAX(0.15*DATOS!$C$33*DATOS!$C$24,2.5)),"CUMPLE","NO CUMPLE: "&amp;IF(DL15&lt;2.5,"p_h·f_yh &lt; 2.5 (6.5.4.2.4)","p_h·f_yh &gt; 0.15·f'm·f_an (6.5.4.2.4)")),IF(AND(DK15&lt;=MIN(6*DATOS!$C$26,45),DL15&gt;=3,DL15&lt;=MIN(MAX(0.15*DATOS!$C$33*DATOS!$C$24,3),0.05*DATOS!$C$25/10*MIN(DATOS!$C$50,6000)/DK15),INDEX(TABLAS!$C$6:$C$14,MATCH(IF(AG15&lt;&gt;"",AG15,DATOS!$C$73),TABLAS!$B$6:$B$14,0))&gt;=0.35,INDEX(TABLAS!$C$6:$C$14,MATCH(IF(AG15&lt;&gt;"",AG15,DATOS!$C$73),TABLAS!$B$6:$B$14,0))&lt;=0.75*DATOS!$C$25/10),"CUMPLE","NO CUMPLE: "&amp;IF(DK15&gt;MIN(6*DATOS!$C$26,45),"s_h &gt; 6 hiladas o 45 cm (6.5.3.2.1) ","")&amp;IF(DL15&lt;3,"p_h·f_yh &lt; 3 (6.5.3.3.1) ","")&amp;IF(DL15&gt;MIN(MAX(0.15*DATOS!$C$33*DATOS!$C$24,3),0.05*DATOS!$C$25/10*MIN(DATOS!$C$50,6000)/DK15),"p_h·f_yh &gt; máximo (6.5.3.3.2) ","")&amp;IF(OR(INDEX(TABLAS!$C$6:$C$14,MATCH(IF(AG15&lt;&gt;"",AG15,DATOS!$C$73),TABLAS!$B$6:$B$14,0))&lt;0.35,INDEX(TABLAS!$C$6:$C$14,MATCH(IF(AG15&lt;&gt;"",AG15,DATOS!$C$73),TABLAS!$B$6:$B$14,0))&gt;0.75*DATOS!$C$25/10),"diámetro fuera de 3.5 mm a 0.75·h_j (4.2.2.2.1)",""))))))</f>
        <v/>
      </c>
      <c r="EB15" s="46" t="str">
        <f>IF(BI15&lt;&gt;"SÍ","",DI15+DZ15)</f>
        <v/>
      </c>
      <c r="EC15" s="50" t="str">
        <f>IF(BI15&lt;&gt;"SÍ","",IF(EB15&gt;0,BK15/EB15,IF(BK15&gt;0,99,0)))</f>
        <v/>
      </c>
      <c r="ED15" s="47" t="str">
        <f>IF(BI15&lt;&gt;"SÍ","",IF(CE15&lt;=0,-1,IF(BK15&lt;=DI15,0,IF(IF(BM15&gt;=0,IF((DATOS!$C$86*IF(AE15="MALLA",0.5,IF(DATOS!$C$33&lt;=60,0.55,IF(DATOS!$C$33&gt;=90,0.75,0.55+0.2*(DATOS!$C$33-60)/30)))*CE15/1000-DATOS!$C$91*SUMPRODUCT(DP15:DT15,DD15:DH15))&lt;=0,1E9,(BK15-SUMPRODUCT(DP15:DT15,DD15:DH15))/(DATOS!$C$86*IF(AE15="MALLA",0.5,IF(DATOS!$C$33&lt;=60,0.55,IF(DATOS!$C$33&gt;=90,0.75,0.55+0.2*(DATOS!$C$33-60)/30)))*CE15/1000-DATOS!$C$91*SUMPRODUCT(DP15:DT15,DD15:DH15))),IF((1-4*DATOS!$C$91*BK15*1000/(DATOS!$C$86*IF(AE15="MALLA",0.5,IF(DATOS!$C$33&lt;=60,0.55,IF(DATOS!$C$33&gt;=90,0.75,0.55+0.2*(DATOS!$C$33-60)/30)))*MAX(CE15,1)))&lt;0,1E9,(1-SQRT((1-4*DATOS!$C$91*BK15*1000/(DATOS!$C$86*IF(AE15="MALLA",0.5,IF(DATOS!$C$33&lt;=60,0.55,IF(DATOS!$C$33&gt;=90,0.75,0.55+0.2*(DATOS!$C$33-60)/30)))*MAX(CE15,1)))))/(2*DATOS!$C$91)))&gt;0.1*DATOS!$C$33*DATOS!$C$24+0.000001,-1,MAX(IF(AE15="MALLA",2.5,3),IF(BM15&gt;=0,IF((DATOS!$C$86*IF(AE15="MALLA",0.5,IF(DATOS!$C$33&lt;=60,0.55,IF(DATOS!$C$33&gt;=90,0.75,0.55+0.2*(DATOS!$C$33-60)/30)))*CE15/1000-DATOS!$C$91*SUMPRODUCT(DP15:DT15,DD15:DH15))&lt;=0,1E9,(BK15-SUMPRODUCT(DP15:DT15,DD15:DH15))/(DATOS!$C$86*IF(AE15="MALLA",0.5,IF(DATOS!$C$33&lt;=60,0.55,IF(DATOS!$C$33&gt;=90,0.75,0.55+0.2*(DATOS!$C$33-60)/30)))*CE15/1000-DATOS!$C$91*SUMPRODUCT(DP15:DT15,DD15:DH15))),IF((1-4*DATOS!$C$91*BK15*1000/(DATOS!$C$86*IF(AE15="MALLA",0.5,IF(DATOS!$C$33&lt;=60,0.55,IF(DATOS!$C$33&gt;=90,0.75,0.55+0.2*(DATOS!$C$33-60)/30)))*MAX(CE15,1)))&lt;0,1E9,(1-SQRT((1-4*DATOS!$C$91*BK15*1000/(DATOS!$C$86*IF(AE15="MALLA",0.5,IF(DATOS!$C$33&lt;=60,0.55,IF(DATOS!$C$33&gt;=90,0.75,0.55+0.2*(DATOS!$C$33-60)/30)))*MAX(CE15,1)))))/(2*DATOS!$C$91))))))))</f>
        <v/>
      </c>
      <c r="EE15" s="45" t="str">
        <f>IF(BI15&lt;&gt;"SÍ","",IF(ED15=0,"NO REQUIERE: V_mR ≥ V_u",IF(ED15&lt;0,"NO ALCANZA con refuerzo horizontal (haría falta más de 0.1·f'm·f_an efectivo): sube v'm con ensayes, el espesor o la longitud del muro",IF(AND(OR(AE15="VARILLA EN JUNTAS",AE15="MALLA"),LEFT(EA15,6)="CUMPLE",EC15&lt;=1),"YA LO TIENE (pide p_h·f_yh ≥ "&amp;TEXT(ED15,"0.0")&amp;" kg/cm²)","p_h·f_yh ≥ "&amp;TEXT(ED15,"0.0")&amp;" kg/cm² → "&amp;IF(AND(MIN(6,FLOOR(45/DATOS!$C$26,1),FLOOR((2*INDEX(TABLAS!$D$6:$D$14,MATCH("3/16 in",TABLAS!$B$6:$B$14,0)))*MIN(DATOS!$C$50,6000)/(BT15*DATOS!$C$26*MAX(ED15,0.001)),1))&gt;=1,((2*INDEX(TABLAS!$D$6:$D$14,MATCH("3/16 in",TABLAS!$B$6:$B$14,0)))*MIN(DATOS!$C$50,6000)/(MAX(MIN(6,FLOOR(45/DATOS!$C$26,1),FLOOR((2*INDEX(TABLAS!$D$6:$D$14,MATCH("3/16 in",TABLAS!$B$6:$B$14,0)))*MIN(DATOS!$C$50,6000)/(BT15*DATOS!$C$26*MAX(ED15,0.001)),1)),1)*DATOS!$C$26*BT15))&lt;=MIN(MAX(0.15*DATOS!$C$33*DATOS!$C$24,3),0.05*DATOS!$C$25/10*MIN(DATOS!$C$50,6000)/(MIN(6,FLOOR(45/DATOS!$C$26,1),FLOOR((2*INDEX(TABLAS!$D$6:$D$14,MATCH("3/16 in",TABLAS!$B$6:$B$14,0)))*MIN(DATOS!$C$50,6000)/(BT15*DATOS!$C$26*MAX(ED15,0.001)),1))*DATOS!$C$26))),"2 alambres de 3/16"" por junta cada "&amp;MIN(6,FLOOR(45/DATOS!$C$26,1),FLOOR((2*INDEX(TABLAS!$D$6:$D$14,MATCH("3/16 in",TABLAS!$B$6:$B$14,0)))*MIN(DATOS!$C$50,6000)/(BT15*DATOS!$C$26*MAX(ED15,0.001)),1))&amp;" hilada(s) (p_h·f_yh = "&amp;TEXT(((2*INDEX(TABLAS!$D$6:$D$14,MATCH("3/16 in",TABLAS!$B$6:$B$14,0)))*MIN(DATOS!$C$50,6000)/(MAX(MIN(6,FLOOR(45/DATOS!$C$26,1),FLOOR((2*INDEX(TABLAS!$D$6:$D$14,MATCH("3/16 in",TABLAS!$B$6:$B$14,0)))*MIN(DATOS!$C$50,6000)/(BT15*DATOS!$C$26*MAX(ED15,0.001)),1)),1)*DATOS!$C$26*BT15)),"0.00")&amp;")",IF(AND(MIN(6,FLOOR(45/DATOS!$C$26,1),FLOOR((2*INDEX(TABLAS!$D$6:$D$14,MATCH("5/32 in",TABLAS!$B$6:$B$14,0)))*MIN(DATOS!$C$50,6000)/(BT15*DATOS!$C$26*MAX(ED15,0.001)),1))&gt;=1,((2*INDEX(TABLAS!$D$6:$D$14,MATCH("5/32 in",TABLAS!$B$6:$B$14,0)))*MIN(DATOS!$C$50,6000)/(MAX(MIN(6,FLOOR(45/DATOS!$C$26,1),FLOOR((2*INDEX(TABLAS!$D$6:$D$14,MATCH("5/32 in",TABLAS!$B$6:$B$14,0)))*MIN(DATOS!$C$50,6000)/(BT15*DATOS!$C$26*MAX(ED15,0.001)),1)),1)*DATOS!$C$26*BT15))&lt;=MIN(MAX(0.15*DATOS!$C$33*DATOS!$C$24,3),0.05*DATOS!$C$25/10*MIN(DATOS!$C$50,6000)/(MIN(6,FLOOR(45/DATOS!$C$26,1),FLOOR((2*INDEX(TABLAS!$D$6:$D$14,MATCH("5/32 in",TABLAS!$B$6:$B$14,0)))*MIN(DATOS!$C$50,6000)/(BT15*DATOS!$C$26*MAX(ED15,0.001)),1))*DATOS!$C$26))),"2 alambres de 5/32"" por junta cada "&amp;MIN(6,FLOOR(45/DATOS!$C$26,1),FLOOR((2*INDEX(TABLAS!$D$6:$D$14,MATCH("5/32 in",TABLAS!$B$6:$B$14,0)))*MIN(DATOS!$C$50,6000)/(BT15*DATOS!$C$26*MAX(ED15,0.001)),1))&amp;" hilada(s) (p_h·f_yh = "&amp;TEXT(((2*INDEX(TABLAS!$D$6:$D$14,MATCH("5/32 in",TABLAS!$B$6:$B$14,0)))*MIN(DATOS!$C$50,6000)/(MAX(MIN(6,FLOOR(45/DATOS!$C$26,1),FLOOR((2*INDEX(TABLAS!$D$6:$D$14,MATCH("5/32 in",TABLAS!$B$6:$B$14,0)))*MIN(DATOS!$C$50,6000)/(BT15*DATOS!$C$26*MAX(ED15,0.001)),1)),1)*DATOS!$C$26*BT15)),"0.00")&amp;")",IF(AND(MIN(6,FLOOR(45/DATOS!$C$26,1),FLOOR((1*INDEX(TABLAS!$D$6:$D$14,MATCH("3/16 in",TABLAS!$B$6:$B$14,0)))*MIN(DATOS!$C$50,6000)/(BT15*DATOS!$C$26*MAX(ED15,0.001)),1))&gt;=1,((1*INDEX(TABLAS!$D$6:$D$14,MATCH("3/16 in",TABLAS!$B$6:$B$14,0)))*MIN(DATOS!$C$50,6000)/(MAX(MIN(6,FLOOR(45/DATOS!$C$26,1),FLOOR((1*INDEX(TABLAS!$D$6:$D$14,MATCH("3/16 in",TABLAS!$B$6:$B$14,0)))*MIN(DATOS!$C$50,6000)/(BT15*DATOS!$C$26*MAX(ED15,0.001)),1)),1)*DATOS!$C$26*BT15))&lt;=MIN(MAX(0.15*DATOS!$C$33*DATOS!$C$24,3),0.05*DATOS!$C$25/10*MIN(DATOS!$C$50,6000)/(MIN(6,FLOOR(45/DATOS!$C$26,1),FLOOR((1*INDEX(TABLAS!$D$6:$D$14,MATCH("3/16 in",TABLAS!$B$6:$B$14,0)))*MIN(DATOS!$C$50,6000)/(BT15*DATOS!$C$26*MAX(ED15,0.001)),1))*DATOS!$C$26))),"1 alambre de 3/16"" por junta cada "&amp;MIN(6,FLOOR(45/DATOS!$C$26,1),FLOOR((1*INDEX(TABLAS!$D$6:$D$14,MATCH("3/16 in",TABLAS!$B$6:$B$14,0)))*MIN(DATOS!$C$50,6000)/(BT15*DATOS!$C$26*MAX(ED15,0.001)),1))&amp;" hilada(s) (p_h·f_yh = "&amp;TEXT(((1*INDEX(TABLAS!$D$6:$D$14,MATCH("3/16 in",TABLAS!$B$6:$B$14,0)))*MIN(DATOS!$C$50,6000)/(MAX(MIN(6,FLOOR(45/DATOS!$C$26,1),FLOOR((1*INDEX(TABLAS!$D$6:$D$14,MATCH("3/16 in",TABLAS!$B$6:$B$14,0)))*MIN(DATOS!$C$50,6000)/(BT15*DATOS!$C$26*MAX(ED15,0.001)),1)),1)*DATOS!$C$26*BT15)),"0.00")&amp;")",IF(AND(MIN(6,FLOOR(45/DATOS!$C$26,1),FLOOR((1*INDEX(TABLAS!$D$6:$D$14,MATCH("5/32 in",TABLAS!$B$6:$B$14,0)))*MIN(DATOS!$C$50,6000)/(BT15*DATOS!$C$26*MAX(ED15,0.001)),1))&gt;=1,((1*INDEX(TABLAS!$D$6:$D$14,MATCH("5/32 in",TABLAS!$B$6:$B$14,0)))*MIN(DATOS!$C$50,6000)/(MAX(MIN(6,FLOOR(45/DATOS!$C$26,1),FLOOR((1*INDEX(TABLAS!$D$6:$D$14,MATCH("5/32 in",TABLAS!$B$6:$B$14,0)))*MIN(DATOS!$C$50,6000)/(BT15*DATOS!$C$26*MAX(ED15,0.001)),1)),1)*DATOS!$C$26*BT15))&lt;=MIN(MAX(0.15*DATOS!$C$33*DATOS!$C$24,3),0.05*DATOS!$C$25/10*MIN(DATOS!$C$50,6000)/(MIN(6,FLOOR(45/DATOS!$C$26,1),FLOOR((1*INDEX(TABLAS!$D$6:$D$14,MATCH("5/32 in",TABLAS!$B$6:$B$14,0)))*MIN(DATOS!$C$50,6000)/(BT15*DATOS!$C$26*MAX(ED15,0.001)),1))*DATOS!$C$26))),"1 alambre de 5/32"" por junta cada "&amp;MIN(6,FLOOR(45/DATOS!$C$26,1),FLOOR((1*INDEX(TABLAS!$D$6:$D$14,MATCH("5/32 in",TABLAS!$B$6:$B$14,0)))*MIN(DATOS!$C$50,6000)/(BT15*DATOS!$C$26*MAX(ED15,0.001)),1))&amp;" hilada(s) (p_h·f_yh = "&amp;TEXT(((1*INDEX(TABLAS!$D$6:$D$14,MATCH("5/32 in",TABLAS!$B$6:$B$14,0)))*MIN(DATOS!$C$50,6000)/(MAX(MIN(6,FLOOR(45/DATOS!$C$26,1),FLOOR((1*INDEX(TABLAS!$D$6:$D$14,MATCH("5/32 in",TABLAS!$B$6:$B$14,0)))*MIN(DATOS!$C$50,6000)/(BT15*DATOS!$C$26*MAX(ED15,0.001)),1)),1)*DATOS!$C$26*BT15)),"0.00")&amp;")","ninguna combinación de 1 o 2 alambres por junta queda entre el mínimo y el máximo: revisa con malla (6.5.4)"))))))))</f>
        <v/>
      </c>
      <c r="EF15" s="43" t="str">
        <f>IF(BI15&lt;&gt;"SÍ","",IF(AI15="SÍ",N(AK15)*N(AL15)^3/12,0))</f>
        <v/>
      </c>
      <c r="EG15" s="48" t="str">
        <f>IF(BI15&lt;&gt;"SÍ","",IF(AND(AI15="SÍ",N(AM15)&gt;0),MIN(1,F15/AM15),0))</f>
        <v/>
      </c>
      <c r="EH15" s="47" t="str">
        <f>IF(BI15&lt;&gt;"SÍ","",IF(AI15="SÍ",BP15*1000/(BT15*F15*100)*BT15*(EG15^4-4*EG15^3+8*EG15),0))</f>
        <v/>
      </c>
      <c r="EI15" s="48" t="str">
        <f>IF(BI15&lt;&gt;"SÍ","",IF(AND(AI15="SÍ",EH15&gt;0),EH15/(EH15+5*N(AN15)*10),0))</f>
        <v/>
      </c>
      <c r="EJ15" s="44" t="str">
        <f>IF(BI15&lt;&gt;"SÍ","",IF(AND(AI15="SÍ",EI15&gt;0,EF15&gt;0),(DATOS!$C$43*BT15*(AM15*100)^3/(DATOS!$C$53*EF15*EI15))^0.25,0))</f>
        <v/>
      </c>
      <c r="EK15" s="44" t="str">
        <f>IF(BI15&lt;&gt;"SÍ","",IF(AI15&lt;&gt;"SÍ",0,IF(N(AM15)&lt;=F15,1,IF(MIN(1,N(AO15)/((AM15-F15)/2))&lt;=0.5,0.7+0.6*MIN(1,N(AO15)/((AM15-F15)/2)),1.5-MIN(1,N(AO15)/((AM15-F15)/2))))))</f>
        <v/>
      </c>
      <c r="EL15" s="44" t="str">
        <f>IF(BI15&lt;&gt;"SÍ","",IF(AI15&lt;&gt;"SÍ",0,MAX(1,IF(EG15&gt;=1,(1.6*EJ15-3.9),IF(EG15&lt;0.9,((3.2*EJ15-7.8)*EK15),((3.2*EJ15-7.8)*EK15)+((1.6*EJ15-3.9)-((3.2*EJ15-7.8)*EK15))*(EG15-0.9)/0.1)))))</f>
        <v/>
      </c>
      <c r="EM15" s="47" t="str">
        <f>IF(BI15&lt;&gt;"SÍ","",IF(AI15="SÍ",EL15*BP15*1000/(BT15*F15*100),0))</f>
        <v/>
      </c>
      <c r="EN15" s="47" t="str">
        <f>IF(BI15&lt;&gt;"SÍ","",IF(AND(AI15="SÍ",N(AL15)&gt;0),AM15*100/AL15,0))</f>
        <v/>
      </c>
      <c r="EO15" s="47" t="str">
        <f>IF(BI15&lt;&gt;"SÍ","",IF(AI15="SÍ",(1/15*DATOS!$C$53*N(AK15)/MAX((IF(ISNUMBER(AP15),AP15,BP15/DATOS!$C$90)*1000/(BT15*F15*100)*BT15*(EG15^4-4*EG15^3+8*EG15))+5*N(AN15)/DATOS!$C$90*10,0.001))^(1/3),0))</f>
        <v/>
      </c>
      <c r="EP15" s="45" t="str">
        <f>IF(BI15&lt;&gt;"SÍ","",IF(AI15&lt;&gt;"SÍ","—",IF(OR(N(AK15)&lt;=0,N(AL15)&lt;=0,N(AM15)&lt;=0),"REVISAR: faltan b, h o L_v de la viga",IF(AND(EM15&lt;=DATOS!$C$87*DATOS!$C$33,EN15&lt;=14,N(AL15)&gt;=25,EN15&lt;=EO15),IF(BS15/F15&lt;0.6,"PENDIENTE: H/L &lt; 0.6, falta el análisis de interacción muro–viga (4.1.18.2.1); f_CM es estimado","CUMPLE"),"NO CUMPLE: "&amp;IF(EM15&gt;DATOS!$C$87*DATOS!$C$33,"f_CM &gt; F_R·f'm ","")&amp;IF(EN15&gt;14,"L_v/h_v &gt; 14 ","")&amp;IF(N(AL15)&lt;25,"h_v &lt; 25 cm ","")&amp;IF(EN15&gt;EO15,"flecha (4.1.18.3)","")))))</f>
        <v/>
      </c>
      <c r="EQ15" s="44" t="str">
        <f>IF(BI15&lt;&gt;"SÍ","",MAX(0,F15*BS15-(N(K15)*N(M15)+N(P15)*N(R15)+N(U15)*N(W15)+N(Z15)*N(AB15))-CK15*DATOS!$C$59/100*BS15))</f>
        <v/>
      </c>
      <c r="ER15" s="48" t="str">
        <f>IF(BI15&lt;&gt;"SÍ","",CK15*DATOS!$C$59*DATOS!$C$60/10000*BS15)</f>
        <v/>
      </c>
      <c r="ES15" s="47" t="str">
        <f>IF(BI15&lt;&gt;"SÍ","",CK15*(DATOS!$C$61*(BS15+0.6)*INDEX(TABLAS!$E$6:$E$14,MATCH(DATOS!$C$62,TABLAS!$B$6:$B$14,0))+(2*ROUNDUP(CN15/DATOS!$C$65,0)+ROUNDUP(MAX(0,BS15*100-2*CN15)/DATOS!$C$64,0))*((2*(DATOS!$C$60+DATOS!$C$59-4*(DATOS!$C$66-INDEX(TABLAS!$C$6:$C$14,MATCH(DATOS!$C$63,TABLAS!$B$6:$B$14,0))))+15)/100)*INDEX(TABLAS!$E$6:$E$14,MATCH(DATOS!$C$63,TABLAS!$B$6:$B$14,0))))</f>
        <v/>
      </c>
      <c r="ET15" s="47" t="str">
        <f>IF(BI15&lt;&gt;"SÍ","",IF(OR(AE15="VARILLA EN JUNTAS",AE15="ESCALERILLA"),INT(BS15*100/MAX(DK15,1))*IF(ISNUMBER(AF15),AF15,2)*CB15*INDEX(TABLAS!$E$6:$E$14,MATCH(IF(AG15&lt;&gt;"",AG15,DATOS!$C$73),TABLAS!$B$6:$B$14,0)),IF(AE15="MALLA",IF(ISNUMBER(AF15),AF15,1)*CB15*BS15*INDEX(TABLAS!$E$19:$E$22,MATCH(IF(AG15&lt;&gt;"",AG15,DATOS!$C$74),TABLAS!$B$19:$B$22,0)),0)))</f>
        <v/>
      </c>
      <c r="EU15" s="45" t="str">
        <f>IF(BI15&lt;&gt;"SÍ","",""&amp;IF(BJ15="NO ESTÁ EN PIER_FORCES","sin fuerzas en PIER_FORCES; ","")&amp;IF(BV15&lt;&gt;"CUMPLE","vanos; ","")&amp;IF(LEFT(CH15,2)="NO","espesor o esbeltez; ","")&amp;IF(CQ15&gt;1,"compresión; ","")&amp;IF(CX15&gt;1,"flexión; ","")&amp;IF(CB15&lt;=0,"sin tramos de muro (todos son machones menores que L mín.: diséñalos como columnas o baja L mín.); ",IF(EC15&gt;1,"cortante; ",""))&amp;IF(OR(LEFT(EA15,2)="NO",LEFT(EA15,5)="FALTA"),"refuerzo horizontal; ","")&amp;IF(OR(LEFT(EP15,2)="NO",LEFT(EP15,7)="REVISAR"),"muro sobre viga; ","")&amp;IF(LEFT(DATOS!$C$81,2)="NO","castillo típico; ","")&amp;IF(LEFT(DATOS!$C$82,2)="NO","dala típica; ","")&amp;IF(AND(BT15&lt;&gt;DATOS!$C$58,DATOS!$C$60&lt;BT15),"castillo más angosto que el muro; ",""))</f>
        <v/>
      </c>
      <c r="EV15" s="45" t="str">
        <f>IF(BI15&lt;&gt;"SÍ","",""&amp;IF(LEFT(EP15,9)="PENDIENTE","análisis muro–viga (H/L &lt; 0.6); ","")&amp;IF(BR15&gt;50,"V_u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15" s="51" t="str">
        <f>IF(BI15&lt;&gt;"SÍ","",IF(EU15&lt;&gt;"","NO CUMPLE: "&amp;LEFT(EU15,LEN(EU15)-2),IF(EV15&lt;&gt;"","CUMPLE — PENDIENTE: "&amp;LEFT(EV15,LEN(EV15)-2),"CUMPLE")))</f>
        <v/>
      </c>
      <c r="EX15" s="52" t="n"/>
    </row>
    <row r="16" ht="30" customHeight="1">
      <c r="A16" s="38" t="str">
        <f>IF(B16="","",ROW()-10)</f>
        <v/>
      </c>
      <c r="B16" s="28" t="n"/>
      <c r="C16" s="39" t="n"/>
      <c r="D16" s="39" t="n"/>
      <c r="E16" s="39" t="n"/>
      <c r="F16" s="40" t="n"/>
      <c r="G16" s="40" t="n"/>
      <c r="H16" s="41" t="n"/>
      <c r="I16" s="39" t="n"/>
      <c r="J16" s="40" t="n"/>
      <c r="K16" s="40" t="n"/>
      <c r="L16" s="40" t="n"/>
      <c r="M16" s="40" t="n"/>
      <c r="N16" s="39" t="n"/>
      <c r="O16" s="40" t="n"/>
      <c r="P16" s="40" t="n"/>
      <c r="Q16" s="40" t="n"/>
      <c r="R16" s="40" t="n"/>
      <c r="S16" s="39" t="n"/>
      <c r="T16" s="40" t="n"/>
      <c r="U16" s="40" t="n"/>
      <c r="V16" s="40" t="n"/>
      <c r="W16" s="40" t="n"/>
      <c r="X16" s="39" t="n"/>
      <c r="Y16" s="40" t="n"/>
      <c r="Z16" s="40" t="n"/>
      <c r="AA16" s="40" t="n"/>
      <c r="AB16" s="40" t="n"/>
      <c r="AC16" s="41" t="n"/>
      <c r="AD16" s="41" t="n"/>
      <c r="AE16" s="39" t="n"/>
      <c r="AF16" s="41" t="n"/>
      <c r="AG16" s="41" t="n"/>
      <c r="AH16" s="41" t="n"/>
      <c r="AI16" s="39" t="n"/>
      <c r="AJ16" s="39" t="n"/>
      <c r="AK16" s="41" t="n"/>
      <c r="AL16" s="41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2" t="str">
        <f>IF(B16="","",C16&amp;"|"&amp;B16)</f>
        <v/>
      </c>
      <c r="AY16" s="43" t="str">
        <f>IF(B16="","",COUNTIFS(PIER_FORCES!$O$9:$O$3008,6,PIER_FORCES!$P$9:$P$3008,1))</f>
        <v/>
      </c>
      <c r="AZ16" s="43" t="str">
        <f>IF(B16="","",COUNTIFS(PIER_FORCES!$O$9:$O$3008,6,PIER_FORCES!$P$9:$P$3008,2))</f>
        <v/>
      </c>
      <c r="BA16" s="44">
        <f>IF(N(AY16)=0,0,SUMPRODUCT(MAX((PIER_FORCES!$O$9:$O$3008=6)*(PIER_FORCES!$P$9:$P$3008=1)*PIER_FORCES!$R$9:$R$3008)))</f>
        <v>0</v>
      </c>
      <c r="BB16" s="44">
        <f>IF(N(AY16)=0,0,SUMPRODUCT(MAX((PIER_FORCES!$O$9:$O$3008=6)*(PIER_FORCES!$P$9:$P$3008=1)*PIER_FORCES!$S$9:$S$3008)))</f>
        <v>0</v>
      </c>
      <c r="BC16" s="44">
        <f>IF(N(AY16)=0,0,-SUMPRODUCT(MAX((PIER_FORCES!$O$9:$O$3008=6)*(PIER_FORCES!$P$9:$P$3008=1)*(-PIER_FORCES!$Q$9:$Q$3008)+(1-(PIER_FORCES!$O$9:$O$3008=6)*(PIER_FORCES!$P$9:$P$3008=1))*(-1E9))))</f>
        <v>0</v>
      </c>
      <c r="BD16" s="44">
        <f>IF(N(AY16)=0,0,SUMPRODUCT(MAX((PIER_FORCES!$O$9:$O$3008=6)*(PIER_FORCES!$P$9:$P$3008=1)*PIER_FORCES!$Q$9:$Q$3008+(1-(PIER_FORCES!$O$9:$O$3008=6)*(PIER_FORCES!$P$9:$P$3008=1))*(-1E9))))</f>
        <v>0</v>
      </c>
      <c r="BE16" s="44">
        <f>IF(N(AZ16)=0,BD16,SUMPRODUCT(MAX((PIER_FORCES!$O$9:$O$3008=6)*(PIER_FORCES!$P$9:$P$3008=2)*PIER_FORCES!$Q$9:$Q$3008+(1-(PIER_FORCES!$O$9:$O$3008=6)*(PIER_FORCES!$P$9:$P$3008=2))*(-1E9))))</f>
        <v>0</v>
      </c>
      <c r="BF16" s="44">
        <f>IF(N(AZ16)=0,0,SUMPRODUCT(MAX((PIER_FORCES!$O$9:$O$3008=6)*(PIER_FORCES!$P$9:$P$3008=2)*PIER_FORCES!$R$9:$R$3008)))</f>
        <v>0</v>
      </c>
      <c r="BG16" s="43">
        <f>IF(N(AY16)=0,0,SUMPRODUCT(MAX((PIER_FORCES!$O$9:$O$3008=6)*(PIER_FORCES!$P$9:$P$3008=1)*(ABS(PIER_FORCES!$R$9:$R$3008-BA16)&lt;0.000001)*PIER_FORCES!$T$9:$T$3008)))</f>
        <v>0</v>
      </c>
      <c r="BH16" s="45" t="str">
        <f>IF(N(BG16)=0,"",INDEX(PIER_FORCES!$D$9:$D$3008,BG16)&amp;" "&amp;INDEX(PIER_FORCES!$F$9:$F$3008,BG16)&amp;" / "&amp;INDEX(PIER_FORCES!$G$9:$G$3008,BG16))</f>
        <v/>
      </c>
      <c r="BI16" s="42" t="str">
        <f>IF(B16="","",IF(AND(C16&lt;&gt;"",OR(D16="X",D16="Y"),ISNUMBER(F16),N(F16)&gt;0),"SÍ","NO"))</f>
        <v/>
      </c>
      <c r="BJ16" s="42" t="str">
        <f>IF(BI16&lt;&gt;"SÍ","",IF(DATOS!$C$108="ETABS (PIER_FORCES)",IF(N(AY16)&gt;0,"ETABS","NO ESTÁ EN PIER_FORCES"),"CAPTURA"))</f>
        <v/>
      </c>
      <c r="BK16" s="46" t="str">
        <f>IF(BI16&lt;&gt;"SÍ","",IF(BJ16="ETABS",BA16,IF(BJ16="CAPTURA",N(AQ16),0)))</f>
        <v/>
      </c>
      <c r="BL16" s="46" t="str">
        <f>IF(BI16&lt;&gt;"SÍ","",IF(BJ16="ETABS",BB16,IF(BJ16="CAPTURA",N(AR16),0)))</f>
        <v/>
      </c>
      <c r="BM16" s="46" t="str">
        <f>IF(BI16&lt;&gt;"SÍ","",IF(BJ16="ETABS",BC16/DATOS!$C$89,IF(BJ16="CAPTURA",N(AS16),0)))</f>
        <v/>
      </c>
      <c r="BN16" s="44" t="str">
        <f>IF(BI16&lt;&gt;"SÍ","",IF(BJ16="ETABS",BC16,IF(BJ16="CAPTURA",IF(ISNUMBER(AU16),AU16,N(AS16)*DATOS!$C$89),0)))</f>
        <v/>
      </c>
      <c r="BO16" s="44" t="str">
        <f>IF(BI16&lt;&gt;"SÍ","",IF(BJ16="ETABS",MAX(BD16,BE16),IF(BJ16="CAPTURA",N(AT16),0)))</f>
        <v/>
      </c>
      <c r="BP16" s="44" t="str">
        <f>IF(BI16&lt;&gt;"SÍ","",IF(BJ16="ETABS",BE16,IF(BJ16="CAPTURA",IF(ISNUMBER(AV16),AV16,N(AT16)),0)))</f>
        <v/>
      </c>
      <c r="BQ16" s="44" t="str">
        <f>IF(BI16&lt;&gt;"SÍ","",IF(BJ16="ETABS",BF16,IF(BJ16="CAPTURA",N(AW16),0)))</f>
        <v/>
      </c>
      <c r="BR16" s="43" t="str">
        <f>IF(BI16&lt;&gt;"SÍ","",IF(BK16&gt;0,100*BQ16/BK16,0))</f>
        <v/>
      </c>
      <c r="BS16" s="44" t="str">
        <f>IF(BI16&lt;&gt;"SÍ","",IF(ISNUMBER(G16),G16,DATOS!$C$57))</f>
        <v/>
      </c>
      <c r="BT16" s="47" t="str">
        <f>IF(BI16&lt;&gt;"SÍ","",IF(ISNUMBER(H16),H16,DATOS!$C$58))</f>
        <v/>
      </c>
      <c r="BU16" s="43" t="str">
        <f>IF(BI16&lt;&gt;"SÍ","",IF(N(K16)&gt;0,1+IF(N(P16)&gt;0,1+IF(N(U16)&gt;0,1+IF(N(Z16)&gt;0,1,0),0),0),0))</f>
        <v/>
      </c>
      <c r="BV16" s="45" t="str">
        <f>IF(BI16&lt;&gt;"SÍ","",IF(AND(OR(BU16&lt;1,AND(N(J16)&gt;=0-0.001,J16+K16&lt;=F16+0.001,N(L16)&gt;=0,N(L16)+N(M16)&lt;=BS16+0.001,N(M16)&gt;0,OR(I16="PUERTA",I16="VENTANA"))),OR(BU16&lt;2,AND(N(O16)&gt;=(J16+K16)-0.001,O16+P16&lt;=F16+0.001,N(Q16)&gt;=0,N(Q16)+N(R16)&lt;=BS16+0.001,N(R16)&gt;0,OR(N16="PUERTA",N16="VENTANA"))),OR(BU16&lt;3,AND(N(T16)&gt;=(O16+P16)-0.001,T16+U16&lt;=F16+0.001,N(V16)&gt;=0,N(V16)+N(W16)&lt;=BS16+0.001,N(W16)&gt;0,OR(S16="PUERTA",S16="VENTANA"))),OR(BU16&lt;4,AND(N(Y16)&gt;=(T16+U16)-0.001,Y16+Z16&lt;=F16+0.001,N(AA16)&gt;=0,N(AA16)+N(AB16)&lt;=BS16+0.001,N(AB16)&gt;0,OR(X16="PUERTA",X16="VENTANA"))),(N(K16)&gt;0)+(N(P16)&gt;0)+(N(U16)&gt;0)+(N(Z16)&gt;0)=BU16),"CUMPLE","REVISAR VANOS: tipo, orden de izquierda a derecha, que quepan en L y en H"))</f>
        <v/>
      </c>
      <c r="BW16" s="44" t="str">
        <f>IF(BI16&lt;&gt;"SÍ","",MAX(0,IF(BU16&gt;=1,N(J16),F16)))</f>
        <v/>
      </c>
      <c r="BX16" s="44" t="str">
        <f>IF(BI16&lt;&gt;"SÍ","",MAX(0,IF(BU16&gt;=2,N(O16)-(N(J16)+N(K16)),IF(BU16=1,F16-(N(J16)+N(K16)),0))))</f>
        <v/>
      </c>
      <c r="BY16" s="44" t="str">
        <f>IF(BI16&lt;&gt;"SÍ","",MAX(0,IF(BU16&gt;=3,N(T16)-(N(O16)+N(P16)),IF(BU16=2,F16-(N(O16)+N(P16)),0))))</f>
        <v/>
      </c>
      <c r="BZ16" s="44" t="str">
        <f>IF(BI16&lt;&gt;"SÍ","",MAX(0,IF(BU16&gt;=4,N(Y16)-(N(T16)+N(U16)),IF(BU16=3,F16-(N(T16)+N(U16)),0))))</f>
        <v/>
      </c>
      <c r="CA16" s="44" t="str">
        <f>IF(BI16&lt;&gt;"SÍ","",MAX(0,IF(BU16=4,F16-(N(Y16)+N(Z16)),0)))</f>
        <v/>
      </c>
      <c r="CB16" s="46" t="str">
        <f>IF(BI16&lt;&gt;"SÍ","",SUMPRODUCT((BW16:CA16&gt;=DATOS!$C$72-0.0001)*BW16:CA16))</f>
        <v/>
      </c>
      <c r="CC16" s="43" t="str">
        <f>IF(BI16&lt;&gt;"SÍ","",SUMPRODUCT(--(BW16:CA16&gt;=DATOS!$C$72-0.0001)))</f>
        <v/>
      </c>
      <c r="CD16" s="44" t="str">
        <f>IF(BI16&lt;&gt;"SÍ","",SUM(BW16:CA16))</f>
        <v/>
      </c>
      <c r="CE16" s="43" t="str">
        <f>IF(BI16&lt;&gt;"SÍ","",BT16*CB16*100)</f>
        <v/>
      </c>
      <c r="CF16" s="43" t="str">
        <f>IF(BI16&lt;&gt;"SÍ","",BT16*CD16*100)</f>
        <v/>
      </c>
      <c r="CG16" s="47" t="str">
        <f>IF(BI16&lt;&gt;"SÍ","",BS16*100/BT16)</f>
        <v/>
      </c>
      <c r="CH16" s="45" t="str">
        <f>IF(BI16&lt;&gt;"SÍ","",IF(AND(OR(DATOS!$C$14="TIPO II",BT16&gt;=12),CG16&lt;=25),"CUMPLE","NO CUMPLE: "&amp;IF(AND(DATOS!$C$14="TIPO I",BT16&lt;12),"t &lt; 12 cm ","")&amp;IF(CG16&gt;25,"H/t &gt; 25","")))</f>
        <v/>
      </c>
      <c r="CI16" s="44" t="str">
        <f>IF(BI16&lt;&gt;"SÍ","",MIN(1.5*BS16,4))</f>
        <v/>
      </c>
      <c r="CJ16" s="43" t="str">
        <f>IF(BI16&lt;&gt;"SÍ","",SUMPRODUCT((BW16:CA16&gt;=2*DATOS!$C$59/100)*INT((BW16:CA16-DATOS!$C$59/100)/CI16-0.000001)*((BW16:CA16-DATOS!$C$59/100)&gt;0)))</f>
        <v/>
      </c>
      <c r="CK16" s="43" t="str">
        <f>IF(BI16&lt;&gt;"SÍ","",SUMPRODUCT((BW16:CA16&gt;0.0001)*1+(BW16:CA16&gt;=2*DATOS!$C$59/100)*1)+CJ16)</f>
        <v/>
      </c>
      <c r="CL16" s="44" t="str">
        <f>IF(BI16&lt;&gt;"SÍ","",IF(ISNUMBER(AC16),AC16,DATOS!$C$61)*INDEX(TABLAS!$D$6:$D$14,MATCH(IF(AD16&lt;&gt;"",AD16,DATOS!$C$62),TABLAS!$B$6:$B$14,0)))</f>
        <v/>
      </c>
      <c r="CM16" s="44" t="str">
        <f>IF(BI16&lt;&gt;"SÍ","",CK16*DATOS!$C$78+IF(CK16&gt;=2,2,CK16)*(CL16-DATOS!$C$78))</f>
        <v/>
      </c>
      <c r="CN16" s="47" t="str">
        <f>IF(BI16&lt;&gt;"SÍ","",MAX(BS16*100/6,40))</f>
        <v/>
      </c>
      <c r="CO16" s="48" t="str">
        <f>IF(BI16&lt;&gt;"SÍ","",IF(CG16&lt;=20,IF(E16="INTERIOR",0.7,0.6),MIN(IF(E16="INTERIOR",0.7,0.6),(1-2/24)*(1-(IF(E16="INTERIOR",0.8,1)*CG16/30)^2))))</f>
        <v/>
      </c>
      <c r="CP16" s="47" t="str">
        <f>IF(BI16&lt;&gt;"SÍ","",DATOS!$C$87*CO16*(DATOS!$C$33*CF16+CM16*DATOS!$C$48)/1000)</f>
        <v/>
      </c>
      <c r="CQ16" s="46" t="str">
        <f>IF(BI16&lt;&gt;"SÍ","",IF(CP16&gt;0,BO16/CP16,99))</f>
        <v/>
      </c>
      <c r="CR16" s="47" t="str">
        <f>IF(BI16&lt;&gt;"SÍ","",MAX(0,F16*100-DATOS!$C$59))</f>
        <v/>
      </c>
      <c r="CS16" s="47" t="str">
        <f>IF(BI16&lt;&gt;"SÍ","",MAX(0,F16*100-DATOS!$C$59/2))</f>
        <v/>
      </c>
      <c r="CT16" s="44" t="str">
        <f>IF(BI16&lt;&gt;"SÍ","",CL16*DATOS!$C$48*CR16/100000)</f>
        <v/>
      </c>
      <c r="CU16" s="44" t="str">
        <f>IF(BI16&lt;&gt;"SÍ","",IF(BN16&lt;0,0.8*CT16*MAX(0,1+BN16/(0.8*CM16*DATOS!$C$48/1000)),IF(BN16&lt;=CP16/3,0.8*CT16+0.3*BN16*CS16/100,(1.5*0.6*CT16+0.15*CP16*CS16/100)*MAX(0,1-BN16/CP16))))</f>
        <v/>
      </c>
      <c r="CV16" s="44" t="str">
        <f>IF(BI16&lt;&gt;"SÍ","",IF(BO16&lt;0,0.8*CT16*MAX(0,1+BO16/(0.8*CM16*DATOS!$C$48/1000)),IF(BO16&lt;=CP16/3,0.8*CT16+0.3*BO16*CS16/100,(1.5*0.6*CT16+0.15*CP16*CS16/100)*MAX(0,1-BO16/CP16))))</f>
        <v/>
      </c>
      <c r="CW16" s="46" t="str">
        <f>IF(BI16&lt;&gt;"SÍ","",MAX(0,MIN(CU16,CV16)))</f>
        <v/>
      </c>
      <c r="CX16" s="49" t="str">
        <f>IF(BI16&lt;&gt;"SÍ","",IF(CW16&gt;0,BL16/CW16,IF(BL16&gt;0,99,0)))</f>
        <v/>
      </c>
      <c r="CY16" s="44" t="str">
        <f>IF(BI16&lt;&gt;"SÍ","",IF(BW16&gt;0,MAX(1,MIN(1.5,1.5-0.625*(BS16/BW16-0.2))),0))</f>
        <v/>
      </c>
      <c r="CZ16" s="44" t="str">
        <f>IF(BI16&lt;&gt;"SÍ","",IF(BX16&gt;0,MAX(1,MIN(1.5,1.5-0.625*(BS16/BX16-0.2))),0))</f>
        <v/>
      </c>
      <c r="DA16" s="44" t="str">
        <f>IF(BI16&lt;&gt;"SÍ","",IF(BY16&gt;0,MAX(1,MIN(1.5,1.5-0.625*(BS16/BY16-0.2))),0))</f>
        <v/>
      </c>
      <c r="DB16" s="44" t="str">
        <f>IF(BI16&lt;&gt;"SÍ","",IF(BZ16&gt;0,MAX(1,MIN(1.5,1.5-0.625*(BS16/BZ16-0.2))),0))</f>
        <v/>
      </c>
      <c r="DC16" s="44" t="str">
        <f>IF(BI16&lt;&gt;"SÍ","",IF(CA16&gt;0,MAX(1,MIN(1.5,1.5-0.625*(BS16/CA16-0.2))),0))</f>
        <v/>
      </c>
      <c r="DD16" s="44" t="str">
        <f>IF(BI16&lt;&gt;"SÍ","",IF(OR(BW16&lt;DATOS!$C$72-0.0001,BM16&lt;0,CB16&lt;=0),0,MIN(DATOS!$C$86*(0.5*DATOS!$C$41*BT16*BW16*100+0.3*BM16*BW16/CB16*1000)*CY16,1.5*DATOS!$C$86*DATOS!$C$41*BT16*BW16*100*CY16)/1000))</f>
        <v/>
      </c>
      <c r="DE16" s="44" t="str">
        <f>IF(BI16&lt;&gt;"SÍ","",IF(OR(BX16&lt;DATOS!$C$72-0.0001,BM16&lt;0,CB16&lt;=0),0,MIN(DATOS!$C$86*(0.5*DATOS!$C$41*BT16*BX16*100+0.3*BM16*BX16/CB16*1000)*CZ16,1.5*DATOS!$C$86*DATOS!$C$41*BT16*BX16*100*CZ16)/1000))</f>
        <v/>
      </c>
      <c r="DF16" s="44" t="str">
        <f>IF(BI16&lt;&gt;"SÍ","",IF(OR(BY16&lt;DATOS!$C$72-0.0001,BM16&lt;0,CB16&lt;=0),0,MIN(DATOS!$C$86*(0.5*DATOS!$C$41*BT16*BY16*100+0.3*BM16*BY16/CB16*1000)*DA16,1.5*DATOS!$C$86*DATOS!$C$41*BT16*BY16*100*DA16)/1000))</f>
        <v/>
      </c>
      <c r="DG16" s="44" t="str">
        <f>IF(BI16&lt;&gt;"SÍ","",IF(OR(BZ16&lt;DATOS!$C$72-0.0001,BM16&lt;0,CB16&lt;=0),0,MIN(DATOS!$C$86*(0.5*DATOS!$C$41*BT16*BZ16*100+0.3*BM16*BZ16/CB16*1000)*DB16,1.5*DATOS!$C$86*DATOS!$C$41*BT16*BZ16*100*DB16)/1000))</f>
        <v/>
      </c>
      <c r="DH16" s="44" t="str">
        <f>IF(BI16&lt;&gt;"SÍ","",IF(OR(CA16&lt;DATOS!$C$72-0.0001,BM16&lt;0,CB16&lt;=0),0,MIN(DATOS!$C$86*(0.5*DATOS!$C$41*BT16*CA16*100+0.3*BM16*CA16/CB16*1000)*DC16,1.5*DATOS!$C$86*DATOS!$C$41*BT16*CA16*100*DC16)/1000))</f>
        <v/>
      </c>
      <c r="DI16" s="46" t="str">
        <f>IF(BI16&lt;&gt;"SÍ","",SUM(DD16:DH16))</f>
        <v/>
      </c>
      <c r="DJ16" s="48" t="str">
        <f>IF(BI16&lt;&gt;"SÍ","",IF(AE16="VARILLA EN JUNTAS",IF(ISNUMBER(AF16),AF16,2)*INDEX(TABLAS!$D$6:$D$14,MATCH(IF(AG16&lt;&gt;"",AG16,DATOS!$C$73),TABLAS!$B$6:$B$14,0)),IF(AE16="MALLA",IF(ISNUMBER(AF16),AF16,1)*INDEX(TABLAS!$D$19:$D$22,MATCH(IF(AG16&lt;&gt;"",AG16,DATOS!$C$74),TABLAS!$B$19:$B$22,0))/100,IF(AE16="ESCALERILLA",IF(ISNUMBER(AF16),AF16,2)*INDEX(TABLAS!$D$6:$D$14,MATCH(IF(AG16&lt;&gt;"",AG16,DATOS!$C$73),TABLAS!$B$6:$B$14,0)),0))))</f>
        <v/>
      </c>
      <c r="DK16" s="47" t="str">
        <f>IF(BI16&lt;&gt;"SÍ","",IF(OR(AE16="VARILLA EN JUNTAS",AE16="ESCALERILLA"),IF(ISNUMBER(AH16),AH16,2)*DATOS!$C$26,IF(AE16="MALLA",1,0)))</f>
        <v/>
      </c>
      <c r="DL16" s="44" t="str">
        <f>IF(BI16&lt;&gt;"SÍ","",IF(DK16&gt;0,DJ16/(DK16*BT16)*MIN(DATOS!$C$50,IF(AE16="MALLA",5000,6000)),0))</f>
        <v/>
      </c>
      <c r="DM16" s="44" t="str">
        <f>IF(BI16&lt;&gt;"SÍ","",IF(AE16="ESCALERILLA",0,MIN(DL16,0.1*DATOS!$C$33*DATOS!$C$24)))</f>
        <v/>
      </c>
      <c r="DN16" s="48" t="str">
        <f>IF(BI16&lt;&gt;"SÍ","",IF(AE16="MALLA",0.5,IF(DATOS!$C$33&lt;=60,0.55,IF(DATOS!$C$33&gt;=90,0.75,0.55+0.2*(DATOS!$C$33-60)/30))))</f>
        <v/>
      </c>
      <c r="DO16" s="48" t="str">
        <f>IF(BI16&lt;&gt;"SÍ","",1-DATOS!$C$91*DM16)</f>
        <v/>
      </c>
      <c r="DP16" s="44" t="str">
        <f>IF(BI16&lt;&gt;"SÍ","",IF(BW16&gt;0,IF(BS16/BW16&lt;=1,1.3,IF(BS16/BW16&gt;=1.5,1,1.3-0.6*(BS16/BW16-1))),0))</f>
        <v/>
      </c>
      <c r="DQ16" s="44" t="str">
        <f>IF(BI16&lt;&gt;"SÍ","",IF(BX16&gt;0,IF(BS16/BX16&lt;=1,1.3,IF(BS16/BX16&gt;=1.5,1,1.3-0.6*(BS16/BX16-1))),0))</f>
        <v/>
      </c>
      <c r="DR16" s="44" t="str">
        <f>IF(BI16&lt;&gt;"SÍ","",IF(BY16&gt;0,IF(BS16/BY16&lt;=1,1.3,IF(BS16/BY16&gt;=1.5,1,1.3-0.6*(BS16/BY16-1))),0))</f>
        <v/>
      </c>
      <c r="DS16" s="44" t="str">
        <f>IF(BI16&lt;&gt;"SÍ","",IF(BZ16&gt;0,IF(BS16/BZ16&lt;=1,1.3,IF(BS16/BZ16&gt;=1.5,1,1.3-0.6*(BS16/BZ16-1))),0))</f>
        <v/>
      </c>
      <c r="DT16" s="44" t="str">
        <f>IF(BI16&lt;&gt;"SÍ","",IF(CA16&gt;0,IF(BS16/CA16&lt;=1,1.3,IF(BS16/CA16&gt;=1.5,1,1.3-0.6*(BS16/CA16-1))),0))</f>
        <v/>
      </c>
      <c r="DU16" s="44" t="str">
        <f>IF(BI16&lt;&gt;"SÍ","",IF(OR(DM16&lt;=0,BW16&lt;DATOS!$C$72-0.0001),0,DATOS!$C$86*MAX(0,IF(BM16&gt;=0,DD16/(DATOS!$C$86*DM16*BT16*BW16*100/1000)*(DP16*DO16-1)+DN16,DO16*DN16))*DM16*BT16*BW16*100/1000))</f>
        <v/>
      </c>
      <c r="DV16" s="44" t="str">
        <f>IF(BI16&lt;&gt;"SÍ","",IF(OR(DM16&lt;=0,BX16&lt;DATOS!$C$72-0.0001),0,DATOS!$C$86*MAX(0,IF(BM16&gt;=0,DE16/(DATOS!$C$86*DM16*BT16*BX16*100/1000)*(DQ16*DO16-1)+DN16,DO16*DN16))*DM16*BT16*BX16*100/1000))</f>
        <v/>
      </c>
      <c r="DW16" s="44" t="str">
        <f>IF(BI16&lt;&gt;"SÍ","",IF(OR(DM16&lt;=0,BY16&lt;DATOS!$C$72-0.0001),0,DATOS!$C$86*MAX(0,IF(BM16&gt;=0,DF16/(DATOS!$C$86*DM16*BT16*BY16*100/1000)*(DR16*DO16-1)+DN16,DO16*DN16))*DM16*BT16*BY16*100/1000))</f>
        <v/>
      </c>
      <c r="DX16" s="44" t="str">
        <f>IF(BI16&lt;&gt;"SÍ","",IF(OR(DM16&lt;=0,BZ16&lt;DATOS!$C$72-0.0001),0,DATOS!$C$86*MAX(0,IF(BM16&gt;=0,DG16/(DATOS!$C$86*DM16*BT16*BZ16*100/1000)*(DS16*DO16-1)+DN16,DO16*DN16))*DM16*BT16*BZ16*100/1000))</f>
        <v/>
      </c>
      <c r="DY16" s="44" t="str">
        <f>IF(BI16&lt;&gt;"SÍ","",IF(OR(DM16&lt;=0,CA16&lt;DATOS!$C$72-0.0001),0,DATOS!$C$86*MAX(0,IF(BM16&gt;=0,DH16/(DATOS!$C$86*DM16*BT16*CA16*100/1000)*(DT16*DO16-1)+DN16,DO16*DN16))*DM16*BT16*CA16*100/1000))</f>
        <v/>
      </c>
      <c r="DZ16" s="46" t="str">
        <f>IF(BI16&lt;&gt;"SÍ","",SUM(DU16:DY16))</f>
        <v/>
      </c>
      <c r="EA16" s="45" t="str">
        <f>IF(BI16&lt;&gt;"SÍ","",IF(OR(AE16="",AE16="NINGUNO"),IF(DATOS!$C$41&gt;=10,"FALTA refuerzo horizontal: v'm ≥ 10 kg/cm² (6.5.2.2)",IF(AND(BM16&lt;0,BK16&gt;0),"FALTA: P en tensión, el refuerzo debe tomar todo el cortante (6.5.1.3)","—")),IF(AE16="ESCALERILLA","NO CUENTA: la escalerilla no se permite para cortante por sismo (6.5.3.1.2)",IF(AE16="MALLA",IF(AND(DL16&gt;=2.5,DL16&lt;=MAX(0.15*DATOS!$C$33*DATOS!$C$24,2.5)),"CUMPLE","NO CUMPLE: "&amp;IF(DL16&lt;2.5,"p_h·f_yh &lt; 2.5 (6.5.4.2.4)","p_h·f_yh &gt; 0.15·f'm·f_an (6.5.4.2.4)")),IF(AND(DK16&lt;=MIN(6*DATOS!$C$26,45),DL16&gt;=3,DL16&lt;=MIN(MAX(0.15*DATOS!$C$33*DATOS!$C$24,3),0.05*DATOS!$C$25/10*MIN(DATOS!$C$50,6000)/DK16),INDEX(TABLAS!$C$6:$C$14,MATCH(IF(AG16&lt;&gt;"",AG16,DATOS!$C$73),TABLAS!$B$6:$B$14,0))&gt;=0.35,INDEX(TABLAS!$C$6:$C$14,MATCH(IF(AG16&lt;&gt;"",AG16,DATOS!$C$73),TABLAS!$B$6:$B$14,0))&lt;=0.75*DATOS!$C$25/10),"CUMPLE","NO CUMPLE: "&amp;IF(DK16&gt;MIN(6*DATOS!$C$26,45),"s_h &gt; 6 hiladas o 45 cm (6.5.3.2.1) ","")&amp;IF(DL16&lt;3,"p_h·f_yh &lt; 3 (6.5.3.3.1) ","")&amp;IF(DL16&gt;MIN(MAX(0.15*DATOS!$C$33*DATOS!$C$24,3),0.05*DATOS!$C$25/10*MIN(DATOS!$C$50,6000)/DK16),"p_h·f_yh &gt; máximo (6.5.3.3.2) ","")&amp;IF(OR(INDEX(TABLAS!$C$6:$C$14,MATCH(IF(AG16&lt;&gt;"",AG16,DATOS!$C$73),TABLAS!$B$6:$B$14,0))&lt;0.35,INDEX(TABLAS!$C$6:$C$14,MATCH(IF(AG16&lt;&gt;"",AG16,DATOS!$C$73),TABLAS!$B$6:$B$14,0))&gt;0.75*DATOS!$C$25/10),"diámetro fuera de 3.5 mm a 0.75·h_j (4.2.2.2.1)",""))))))</f>
        <v/>
      </c>
      <c r="EB16" s="46" t="str">
        <f>IF(BI16&lt;&gt;"SÍ","",DI16+DZ16)</f>
        <v/>
      </c>
      <c r="EC16" s="50" t="str">
        <f>IF(BI16&lt;&gt;"SÍ","",IF(EB16&gt;0,BK16/EB16,IF(BK16&gt;0,99,0)))</f>
        <v/>
      </c>
      <c r="ED16" s="47" t="str">
        <f>IF(BI16&lt;&gt;"SÍ","",IF(CE16&lt;=0,-1,IF(BK16&lt;=DI16,0,IF(IF(BM16&gt;=0,IF((DATOS!$C$86*IF(AE16="MALLA",0.5,IF(DATOS!$C$33&lt;=60,0.55,IF(DATOS!$C$33&gt;=90,0.75,0.55+0.2*(DATOS!$C$33-60)/30)))*CE16/1000-DATOS!$C$91*SUMPRODUCT(DP16:DT16,DD16:DH16))&lt;=0,1E9,(BK16-SUMPRODUCT(DP16:DT16,DD16:DH16))/(DATOS!$C$86*IF(AE16="MALLA",0.5,IF(DATOS!$C$33&lt;=60,0.55,IF(DATOS!$C$33&gt;=90,0.75,0.55+0.2*(DATOS!$C$33-60)/30)))*CE16/1000-DATOS!$C$91*SUMPRODUCT(DP16:DT16,DD16:DH16))),IF((1-4*DATOS!$C$91*BK16*1000/(DATOS!$C$86*IF(AE16="MALLA",0.5,IF(DATOS!$C$33&lt;=60,0.55,IF(DATOS!$C$33&gt;=90,0.75,0.55+0.2*(DATOS!$C$33-60)/30)))*MAX(CE16,1)))&lt;0,1E9,(1-SQRT((1-4*DATOS!$C$91*BK16*1000/(DATOS!$C$86*IF(AE16="MALLA",0.5,IF(DATOS!$C$33&lt;=60,0.55,IF(DATOS!$C$33&gt;=90,0.75,0.55+0.2*(DATOS!$C$33-60)/30)))*MAX(CE16,1)))))/(2*DATOS!$C$91)))&gt;0.1*DATOS!$C$33*DATOS!$C$24+0.000001,-1,MAX(IF(AE16="MALLA",2.5,3),IF(BM16&gt;=0,IF((DATOS!$C$86*IF(AE16="MALLA",0.5,IF(DATOS!$C$33&lt;=60,0.55,IF(DATOS!$C$33&gt;=90,0.75,0.55+0.2*(DATOS!$C$33-60)/30)))*CE16/1000-DATOS!$C$91*SUMPRODUCT(DP16:DT16,DD16:DH16))&lt;=0,1E9,(BK16-SUMPRODUCT(DP16:DT16,DD16:DH16))/(DATOS!$C$86*IF(AE16="MALLA",0.5,IF(DATOS!$C$33&lt;=60,0.55,IF(DATOS!$C$33&gt;=90,0.75,0.55+0.2*(DATOS!$C$33-60)/30)))*CE16/1000-DATOS!$C$91*SUMPRODUCT(DP16:DT16,DD16:DH16))),IF((1-4*DATOS!$C$91*BK16*1000/(DATOS!$C$86*IF(AE16="MALLA",0.5,IF(DATOS!$C$33&lt;=60,0.55,IF(DATOS!$C$33&gt;=90,0.75,0.55+0.2*(DATOS!$C$33-60)/30)))*MAX(CE16,1)))&lt;0,1E9,(1-SQRT((1-4*DATOS!$C$91*BK16*1000/(DATOS!$C$86*IF(AE16="MALLA",0.5,IF(DATOS!$C$33&lt;=60,0.55,IF(DATOS!$C$33&gt;=90,0.75,0.55+0.2*(DATOS!$C$33-60)/30)))*MAX(CE16,1)))))/(2*DATOS!$C$91))))))))</f>
        <v/>
      </c>
      <c r="EE16" s="45" t="str">
        <f>IF(BI16&lt;&gt;"SÍ","",IF(ED16=0,"NO REQUIERE: V_mR ≥ V_u",IF(ED16&lt;0,"NO ALCANZA con refuerzo horizontal (haría falta más de 0.1·f'm·f_an efectivo): sube v'm con ensayes, el espesor o la longitud del muro",IF(AND(OR(AE16="VARILLA EN JUNTAS",AE16="MALLA"),LEFT(EA16,6)="CUMPLE",EC16&lt;=1),"YA LO TIENE (pide p_h·f_yh ≥ "&amp;TEXT(ED16,"0.0")&amp;" kg/cm²)","p_h·f_yh ≥ "&amp;TEXT(ED16,"0.0")&amp;" kg/cm² → "&amp;IF(AND(MIN(6,FLOOR(45/DATOS!$C$26,1),FLOOR((2*INDEX(TABLAS!$D$6:$D$14,MATCH("3/16 in",TABLAS!$B$6:$B$14,0)))*MIN(DATOS!$C$50,6000)/(BT16*DATOS!$C$26*MAX(ED16,0.001)),1))&gt;=1,((2*INDEX(TABLAS!$D$6:$D$14,MATCH("3/16 in",TABLAS!$B$6:$B$14,0)))*MIN(DATOS!$C$50,6000)/(MAX(MIN(6,FLOOR(45/DATOS!$C$26,1),FLOOR((2*INDEX(TABLAS!$D$6:$D$14,MATCH("3/16 in",TABLAS!$B$6:$B$14,0)))*MIN(DATOS!$C$50,6000)/(BT16*DATOS!$C$26*MAX(ED16,0.001)),1)),1)*DATOS!$C$26*BT16))&lt;=MIN(MAX(0.15*DATOS!$C$33*DATOS!$C$24,3),0.05*DATOS!$C$25/10*MIN(DATOS!$C$50,6000)/(MIN(6,FLOOR(45/DATOS!$C$26,1),FLOOR((2*INDEX(TABLAS!$D$6:$D$14,MATCH("3/16 in",TABLAS!$B$6:$B$14,0)))*MIN(DATOS!$C$50,6000)/(BT16*DATOS!$C$26*MAX(ED16,0.001)),1))*DATOS!$C$26))),"2 alambres de 3/16"" por junta cada "&amp;MIN(6,FLOOR(45/DATOS!$C$26,1),FLOOR((2*INDEX(TABLAS!$D$6:$D$14,MATCH("3/16 in",TABLAS!$B$6:$B$14,0)))*MIN(DATOS!$C$50,6000)/(BT16*DATOS!$C$26*MAX(ED16,0.001)),1))&amp;" hilada(s) (p_h·f_yh = "&amp;TEXT(((2*INDEX(TABLAS!$D$6:$D$14,MATCH("3/16 in",TABLAS!$B$6:$B$14,0)))*MIN(DATOS!$C$50,6000)/(MAX(MIN(6,FLOOR(45/DATOS!$C$26,1),FLOOR((2*INDEX(TABLAS!$D$6:$D$14,MATCH("3/16 in",TABLAS!$B$6:$B$14,0)))*MIN(DATOS!$C$50,6000)/(BT16*DATOS!$C$26*MAX(ED16,0.001)),1)),1)*DATOS!$C$26*BT16)),"0.00")&amp;")",IF(AND(MIN(6,FLOOR(45/DATOS!$C$26,1),FLOOR((2*INDEX(TABLAS!$D$6:$D$14,MATCH("5/32 in",TABLAS!$B$6:$B$14,0)))*MIN(DATOS!$C$50,6000)/(BT16*DATOS!$C$26*MAX(ED16,0.001)),1))&gt;=1,((2*INDEX(TABLAS!$D$6:$D$14,MATCH("5/32 in",TABLAS!$B$6:$B$14,0)))*MIN(DATOS!$C$50,6000)/(MAX(MIN(6,FLOOR(45/DATOS!$C$26,1),FLOOR((2*INDEX(TABLAS!$D$6:$D$14,MATCH("5/32 in",TABLAS!$B$6:$B$14,0)))*MIN(DATOS!$C$50,6000)/(BT16*DATOS!$C$26*MAX(ED16,0.001)),1)),1)*DATOS!$C$26*BT16))&lt;=MIN(MAX(0.15*DATOS!$C$33*DATOS!$C$24,3),0.05*DATOS!$C$25/10*MIN(DATOS!$C$50,6000)/(MIN(6,FLOOR(45/DATOS!$C$26,1),FLOOR((2*INDEX(TABLAS!$D$6:$D$14,MATCH("5/32 in",TABLAS!$B$6:$B$14,0)))*MIN(DATOS!$C$50,6000)/(BT16*DATOS!$C$26*MAX(ED16,0.001)),1))*DATOS!$C$26))),"2 alambres de 5/32"" por junta cada "&amp;MIN(6,FLOOR(45/DATOS!$C$26,1),FLOOR((2*INDEX(TABLAS!$D$6:$D$14,MATCH("5/32 in",TABLAS!$B$6:$B$14,0)))*MIN(DATOS!$C$50,6000)/(BT16*DATOS!$C$26*MAX(ED16,0.001)),1))&amp;" hilada(s) (p_h·f_yh = "&amp;TEXT(((2*INDEX(TABLAS!$D$6:$D$14,MATCH("5/32 in",TABLAS!$B$6:$B$14,0)))*MIN(DATOS!$C$50,6000)/(MAX(MIN(6,FLOOR(45/DATOS!$C$26,1),FLOOR((2*INDEX(TABLAS!$D$6:$D$14,MATCH("5/32 in",TABLAS!$B$6:$B$14,0)))*MIN(DATOS!$C$50,6000)/(BT16*DATOS!$C$26*MAX(ED16,0.001)),1)),1)*DATOS!$C$26*BT16)),"0.00")&amp;")",IF(AND(MIN(6,FLOOR(45/DATOS!$C$26,1),FLOOR((1*INDEX(TABLAS!$D$6:$D$14,MATCH("3/16 in",TABLAS!$B$6:$B$14,0)))*MIN(DATOS!$C$50,6000)/(BT16*DATOS!$C$26*MAX(ED16,0.001)),1))&gt;=1,((1*INDEX(TABLAS!$D$6:$D$14,MATCH("3/16 in",TABLAS!$B$6:$B$14,0)))*MIN(DATOS!$C$50,6000)/(MAX(MIN(6,FLOOR(45/DATOS!$C$26,1),FLOOR((1*INDEX(TABLAS!$D$6:$D$14,MATCH("3/16 in",TABLAS!$B$6:$B$14,0)))*MIN(DATOS!$C$50,6000)/(BT16*DATOS!$C$26*MAX(ED16,0.001)),1)),1)*DATOS!$C$26*BT16))&lt;=MIN(MAX(0.15*DATOS!$C$33*DATOS!$C$24,3),0.05*DATOS!$C$25/10*MIN(DATOS!$C$50,6000)/(MIN(6,FLOOR(45/DATOS!$C$26,1),FLOOR((1*INDEX(TABLAS!$D$6:$D$14,MATCH("3/16 in",TABLAS!$B$6:$B$14,0)))*MIN(DATOS!$C$50,6000)/(BT16*DATOS!$C$26*MAX(ED16,0.001)),1))*DATOS!$C$26))),"1 alambre de 3/16"" por junta cada "&amp;MIN(6,FLOOR(45/DATOS!$C$26,1),FLOOR((1*INDEX(TABLAS!$D$6:$D$14,MATCH("3/16 in",TABLAS!$B$6:$B$14,0)))*MIN(DATOS!$C$50,6000)/(BT16*DATOS!$C$26*MAX(ED16,0.001)),1))&amp;" hilada(s) (p_h·f_yh = "&amp;TEXT(((1*INDEX(TABLAS!$D$6:$D$14,MATCH("3/16 in",TABLAS!$B$6:$B$14,0)))*MIN(DATOS!$C$50,6000)/(MAX(MIN(6,FLOOR(45/DATOS!$C$26,1),FLOOR((1*INDEX(TABLAS!$D$6:$D$14,MATCH("3/16 in",TABLAS!$B$6:$B$14,0)))*MIN(DATOS!$C$50,6000)/(BT16*DATOS!$C$26*MAX(ED16,0.001)),1)),1)*DATOS!$C$26*BT16)),"0.00")&amp;")",IF(AND(MIN(6,FLOOR(45/DATOS!$C$26,1),FLOOR((1*INDEX(TABLAS!$D$6:$D$14,MATCH("5/32 in",TABLAS!$B$6:$B$14,0)))*MIN(DATOS!$C$50,6000)/(BT16*DATOS!$C$26*MAX(ED16,0.001)),1))&gt;=1,((1*INDEX(TABLAS!$D$6:$D$14,MATCH("5/32 in",TABLAS!$B$6:$B$14,0)))*MIN(DATOS!$C$50,6000)/(MAX(MIN(6,FLOOR(45/DATOS!$C$26,1),FLOOR((1*INDEX(TABLAS!$D$6:$D$14,MATCH("5/32 in",TABLAS!$B$6:$B$14,0)))*MIN(DATOS!$C$50,6000)/(BT16*DATOS!$C$26*MAX(ED16,0.001)),1)),1)*DATOS!$C$26*BT16))&lt;=MIN(MAX(0.15*DATOS!$C$33*DATOS!$C$24,3),0.05*DATOS!$C$25/10*MIN(DATOS!$C$50,6000)/(MIN(6,FLOOR(45/DATOS!$C$26,1),FLOOR((1*INDEX(TABLAS!$D$6:$D$14,MATCH("5/32 in",TABLAS!$B$6:$B$14,0)))*MIN(DATOS!$C$50,6000)/(BT16*DATOS!$C$26*MAX(ED16,0.001)),1))*DATOS!$C$26))),"1 alambre de 5/32"" por junta cada "&amp;MIN(6,FLOOR(45/DATOS!$C$26,1),FLOOR((1*INDEX(TABLAS!$D$6:$D$14,MATCH("5/32 in",TABLAS!$B$6:$B$14,0)))*MIN(DATOS!$C$50,6000)/(BT16*DATOS!$C$26*MAX(ED16,0.001)),1))&amp;" hilada(s) (p_h·f_yh = "&amp;TEXT(((1*INDEX(TABLAS!$D$6:$D$14,MATCH("5/32 in",TABLAS!$B$6:$B$14,0)))*MIN(DATOS!$C$50,6000)/(MAX(MIN(6,FLOOR(45/DATOS!$C$26,1),FLOOR((1*INDEX(TABLAS!$D$6:$D$14,MATCH("5/32 in",TABLAS!$B$6:$B$14,0)))*MIN(DATOS!$C$50,6000)/(BT16*DATOS!$C$26*MAX(ED16,0.001)),1)),1)*DATOS!$C$26*BT16)),"0.00")&amp;")","ninguna combinación de 1 o 2 alambres por junta queda entre el mínimo y el máximo: revisa con malla (6.5.4)"))))))))</f>
        <v/>
      </c>
      <c r="EF16" s="43" t="str">
        <f>IF(BI16&lt;&gt;"SÍ","",IF(AI16="SÍ",N(AK16)*N(AL16)^3/12,0))</f>
        <v/>
      </c>
      <c r="EG16" s="48" t="str">
        <f>IF(BI16&lt;&gt;"SÍ","",IF(AND(AI16="SÍ",N(AM16)&gt;0),MIN(1,F16/AM16),0))</f>
        <v/>
      </c>
      <c r="EH16" s="47" t="str">
        <f>IF(BI16&lt;&gt;"SÍ","",IF(AI16="SÍ",BP16*1000/(BT16*F16*100)*BT16*(EG16^4-4*EG16^3+8*EG16),0))</f>
        <v/>
      </c>
      <c r="EI16" s="48" t="str">
        <f>IF(BI16&lt;&gt;"SÍ","",IF(AND(AI16="SÍ",EH16&gt;0),EH16/(EH16+5*N(AN16)*10),0))</f>
        <v/>
      </c>
      <c r="EJ16" s="44" t="str">
        <f>IF(BI16&lt;&gt;"SÍ","",IF(AND(AI16="SÍ",EI16&gt;0,EF16&gt;0),(DATOS!$C$43*BT16*(AM16*100)^3/(DATOS!$C$53*EF16*EI16))^0.25,0))</f>
        <v/>
      </c>
      <c r="EK16" s="44" t="str">
        <f>IF(BI16&lt;&gt;"SÍ","",IF(AI16&lt;&gt;"SÍ",0,IF(N(AM16)&lt;=F16,1,IF(MIN(1,N(AO16)/((AM16-F16)/2))&lt;=0.5,0.7+0.6*MIN(1,N(AO16)/((AM16-F16)/2)),1.5-MIN(1,N(AO16)/((AM16-F16)/2))))))</f>
        <v/>
      </c>
      <c r="EL16" s="44" t="str">
        <f>IF(BI16&lt;&gt;"SÍ","",IF(AI16&lt;&gt;"SÍ",0,MAX(1,IF(EG16&gt;=1,(1.6*EJ16-3.9),IF(EG16&lt;0.9,((3.2*EJ16-7.8)*EK16),((3.2*EJ16-7.8)*EK16)+((1.6*EJ16-3.9)-((3.2*EJ16-7.8)*EK16))*(EG16-0.9)/0.1)))))</f>
        <v/>
      </c>
      <c r="EM16" s="47" t="str">
        <f>IF(BI16&lt;&gt;"SÍ","",IF(AI16="SÍ",EL16*BP16*1000/(BT16*F16*100),0))</f>
        <v/>
      </c>
      <c r="EN16" s="47" t="str">
        <f>IF(BI16&lt;&gt;"SÍ","",IF(AND(AI16="SÍ",N(AL16)&gt;0),AM16*100/AL16,0))</f>
        <v/>
      </c>
      <c r="EO16" s="47" t="str">
        <f>IF(BI16&lt;&gt;"SÍ","",IF(AI16="SÍ",(1/15*DATOS!$C$53*N(AK16)/MAX((IF(ISNUMBER(AP16),AP16,BP16/DATOS!$C$90)*1000/(BT16*F16*100)*BT16*(EG16^4-4*EG16^3+8*EG16))+5*N(AN16)/DATOS!$C$90*10,0.001))^(1/3),0))</f>
        <v/>
      </c>
      <c r="EP16" s="45" t="str">
        <f>IF(BI16&lt;&gt;"SÍ","",IF(AI16&lt;&gt;"SÍ","—",IF(OR(N(AK16)&lt;=0,N(AL16)&lt;=0,N(AM16)&lt;=0),"REVISAR: faltan b, h o L_v de la viga",IF(AND(EM16&lt;=DATOS!$C$87*DATOS!$C$33,EN16&lt;=14,N(AL16)&gt;=25,EN16&lt;=EO16),IF(BS16/F16&lt;0.6,"PENDIENTE: H/L &lt; 0.6, falta el análisis de interacción muro–viga (4.1.18.2.1); f_CM es estimado","CUMPLE"),"NO CUMPLE: "&amp;IF(EM16&gt;DATOS!$C$87*DATOS!$C$33,"f_CM &gt; F_R·f'm ","")&amp;IF(EN16&gt;14,"L_v/h_v &gt; 14 ","")&amp;IF(N(AL16)&lt;25,"h_v &lt; 25 cm ","")&amp;IF(EN16&gt;EO16,"flecha (4.1.18.3)","")))))</f>
        <v/>
      </c>
      <c r="EQ16" s="44" t="str">
        <f>IF(BI16&lt;&gt;"SÍ","",MAX(0,F16*BS16-(N(K16)*N(M16)+N(P16)*N(R16)+N(U16)*N(W16)+N(Z16)*N(AB16))-CK16*DATOS!$C$59/100*BS16))</f>
        <v/>
      </c>
      <c r="ER16" s="48" t="str">
        <f>IF(BI16&lt;&gt;"SÍ","",CK16*DATOS!$C$59*DATOS!$C$60/10000*BS16)</f>
        <v/>
      </c>
      <c r="ES16" s="47" t="str">
        <f>IF(BI16&lt;&gt;"SÍ","",CK16*(DATOS!$C$61*(BS16+0.6)*INDEX(TABLAS!$E$6:$E$14,MATCH(DATOS!$C$62,TABLAS!$B$6:$B$14,0))+(2*ROUNDUP(CN16/DATOS!$C$65,0)+ROUNDUP(MAX(0,BS16*100-2*CN16)/DATOS!$C$64,0))*((2*(DATOS!$C$60+DATOS!$C$59-4*(DATOS!$C$66-INDEX(TABLAS!$C$6:$C$14,MATCH(DATOS!$C$63,TABLAS!$B$6:$B$14,0))))+15)/100)*INDEX(TABLAS!$E$6:$E$14,MATCH(DATOS!$C$63,TABLAS!$B$6:$B$14,0))))</f>
        <v/>
      </c>
      <c r="ET16" s="47" t="str">
        <f>IF(BI16&lt;&gt;"SÍ","",IF(OR(AE16="VARILLA EN JUNTAS",AE16="ESCALERILLA"),INT(BS16*100/MAX(DK16,1))*IF(ISNUMBER(AF16),AF16,2)*CB16*INDEX(TABLAS!$E$6:$E$14,MATCH(IF(AG16&lt;&gt;"",AG16,DATOS!$C$73),TABLAS!$B$6:$B$14,0)),IF(AE16="MALLA",IF(ISNUMBER(AF16),AF16,1)*CB16*BS16*INDEX(TABLAS!$E$19:$E$22,MATCH(IF(AG16&lt;&gt;"",AG16,DATOS!$C$74),TABLAS!$B$19:$B$22,0)),0)))</f>
        <v/>
      </c>
      <c r="EU16" s="45" t="str">
        <f>IF(BI16&lt;&gt;"SÍ","",""&amp;IF(BJ16="NO ESTÁ EN PIER_FORCES","sin fuerzas en PIER_FORCES; ","")&amp;IF(BV16&lt;&gt;"CUMPLE","vanos; ","")&amp;IF(LEFT(CH16,2)="NO","espesor o esbeltez; ","")&amp;IF(CQ16&gt;1,"compresión; ","")&amp;IF(CX16&gt;1,"flexión; ","")&amp;IF(CB16&lt;=0,"sin tramos de muro (todos son machones menores que L mín.: diséñalos como columnas o baja L mín.); ",IF(EC16&gt;1,"cortante; ",""))&amp;IF(OR(LEFT(EA16,2)="NO",LEFT(EA16,5)="FALTA"),"refuerzo horizontal; ","")&amp;IF(OR(LEFT(EP16,2)="NO",LEFT(EP16,7)="REVISAR"),"muro sobre viga; ","")&amp;IF(LEFT(DATOS!$C$81,2)="NO","castillo típico; ","")&amp;IF(LEFT(DATOS!$C$82,2)="NO","dala típica; ","")&amp;IF(AND(BT16&lt;&gt;DATOS!$C$58,DATOS!$C$60&lt;BT16),"castillo más angosto que el muro; ",""))</f>
        <v/>
      </c>
      <c r="EV16" s="45" t="str">
        <f>IF(BI16&lt;&gt;"SÍ","",""&amp;IF(LEFT(EP16,9)="PENDIENTE","análisis muro–viga (H/L &lt; 0.6); ","")&amp;IF(BR16&gt;50,"V_u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16" s="51" t="str">
        <f>IF(BI16&lt;&gt;"SÍ","",IF(EU16&lt;&gt;"","NO CUMPLE: "&amp;LEFT(EU16,LEN(EU16)-2),IF(EV16&lt;&gt;"","CUMPLE — PENDIENTE: "&amp;LEFT(EV16,LEN(EV16)-2),"CUMPLE")))</f>
        <v/>
      </c>
      <c r="EX16" s="52" t="n"/>
    </row>
    <row r="17" ht="30" customHeight="1">
      <c r="A17" s="38" t="str">
        <f>IF(B17="","",ROW()-10)</f>
        <v/>
      </c>
      <c r="B17" s="28" t="n"/>
      <c r="C17" s="39" t="n"/>
      <c r="D17" s="39" t="n"/>
      <c r="E17" s="39" t="n"/>
      <c r="F17" s="40" t="n"/>
      <c r="G17" s="40" t="n"/>
      <c r="H17" s="41" t="n"/>
      <c r="I17" s="39" t="n"/>
      <c r="J17" s="40" t="n"/>
      <c r="K17" s="40" t="n"/>
      <c r="L17" s="40" t="n"/>
      <c r="M17" s="40" t="n"/>
      <c r="N17" s="39" t="n"/>
      <c r="O17" s="40" t="n"/>
      <c r="P17" s="40" t="n"/>
      <c r="Q17" s="40" t="n"/>
      <c r="R17" s="40" t="n"/>
      <c r="S17" s="39" t="n"/>
      <c r="T17" s="40" t="n"/>
      <c r="U17" s="40" t="n"/>
      <c r="V17" s="40" t="n"/>
      <c r="W17" s="40" t="n"/>
      <c r="X17" s="39" t="n"/>
      <c r="Y17" s="40" t="n"/>
      <c r="Z17" s="40" t="n"/>
      <c r="AA17" s="40" t="n"/>
      <c r="AB17" s="40" t="n"/>
      <c r="AC17" s="41" t="n"/>
      <c r="AD17" s="41" t="n"/>
      <c r="AE17" s="39" t="n"/>
      <c r="AF17" s="41" t="n"/>
      <c r="AG17" s="41" t="n"/>
      <c r="AH17" s="41" t="n"/>
      <c r="AI17" s="39" t="n"/>
      <c r="AJ17" s="39" t="n"/>
      <c r="AK17" s="41" t="n"/>
      <c r="AL17" s="41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2" t="str">
        <f>IF(B17="","",C17&amp;"|"&amp;B17)</f>
        <v/>
      </c>
      <c r="AY17" s="43" t="str">
        <f>IF(B17="","",COUNTIFS(PIER_FORCES!$O$9:$O$3008,7,PIER_FORCES!$P$9:$P$3008,1))</f>
        <v/>
      </c>
      <c r="AZ17" s="43" t="str">
        <f>IF(B17="","",COUNTIFS(PIER_FORCES!$O$9:$O$3008,7,PIER_FORCES!$P$9:$P$3008,2))</f>
        <v/>
      </c>
      <c r="BA17" s="44">
        <f>IF(N(AY17)=0,0,SUMPRODUCT(MAX((PIER_FORCES!$O$9:$O$3008=7)*(PIER_FORCES!$P$9:$P$3008=1)*PIER_FORCES!$R$9:$R$3008)))</f>
        <v>0</v>
      </c>
      <c r="BB17" s="44">
        <f>IF(N(AY17)=0,0,SUMPRODUCT(MAX((PIER_FORCES!$O$9:$O$3008=7)*(PIER_FORCES!$P$9:$P$3008=1)*PIER_FORCES!$S$9:$S$3008)))</f>
        <v>0</v>
      </c>
      <c r="BC17" s="44">
        <f>IF(N(AY17)=0,0,-SUMPRODUCT(MAX((PIER_FORCES!$O$9:$O$3008=7)*(PIER_FORCES!$P$9:$P$3008=1)*(-PIER_FORCES!$Q$9:$Q$3008)+(1-(PIER_FORCES!$O$9:$O$3008=7)*(PIER_FORCES!$P$9:$P$3008=1))*(-1E9))))</f>
        <v>0</v>
      </c>
      <c r="BD17" s="44">
        <f>IF(N(AY17)=0,0,SUMPRODUCT(MAX((PIER_FORCES!$O$9:$O$3008=7)*(PIER_FORCES!$P$9:$P$3008=1)*PIER_FORCES!$Q$9:$Q$3008+(1-(PIER_FORCES!$O$9:$O$3008=7)*(PIER_FORCES!$P$9:$P$3008=1))*(-1E9))))</f>
        <v>0</v>
      </c>
      <c r="BE17" s="44">
        <f>IF(N(AZ17)=0,BD17,SUMPRODUCT(MAX((PIER_FORCES!$O$9:$O$3008=7)*(PIER_FORCES!$P$9:$P$3008=2)*PIER_FORCES!$Q$9:$Q$3008+(1-(PIER_FORCES!$O$9:$O$3008=7)*(PIER_FORCES!$P$9:$P$3008=2))*(-1E9))))</f>
        <v>0</v>
      </c>
      <c r="BF17" s="44">
        <f>IF(N(AZ17)=0,0,SUMPRODUCT(MAX((PIER_FORCES!$O$9:$O$3008=7)*(PIER_FORCES!$P$9:$P$3008=2)*PIER_FORCES!$R$9:$R$3008)))</f>
        <v>0</v>
      </c>
      <c r="BG17" s="43">
        <f>IF(N(AY17)=0,0,SUMPRODUCT(MAX((PIER_FORCES!$O$9:$O$3008=7)*(PIER_FORCES!$P$9:$P$3008=1)*(ABS(PIER_FORCES!$R$9:$R$3008-BA17)&lt;0.000001)*PIER_FORCES!$T$9:$T$3008)))</f>
        <v>0</v>
      </c>
      <c r="BH17" s="45" t="str">
        <f>IF(N(BG17)=0,"",INDEX(PIER_FORCES!$D$9:$D$3008,BG17)&amp;" "&amp;INDEX(PIER_FORCES!$F$9:$F$3008,BG17)&amp;" / "&amp;INDEX(PIER_FORCES!$G$9:$G$3008,BG17))</f>
        <v/>
      </c>
      <c r="BI17" s="42" t="str">
        <f>IF(B17="","",IF(AND(C17&lt;&gt;"",OR(D17="X",D17="Y"),ISNUMBER(F17),N(F17)&gt;0),"SÍ","NO"))</f>
        <v/>
      </c>
      <c r="BJ17" s="42" t="str">
        <f>IF(BI17&lt;&gt;"SÍ","",IF(DATOS!$C$108="ETABS (PIER_FORCES)",IF(N(AY17)&gt;0,"ETABS","NO ESTÁ EN PIER_FORCES"),"CAPTURA"))</f>
        <v/>
      </c>
      <c r="BK17" s="46" t="str">
        <f>IF(BI17&lt;&gt;"SÍ","",IF(BJ17="ETABS",BA17,IF(BJ17="CAPTURA",N(AQ17),0)))</f>
        <v/>
      </c>
      <c r="BL17" s="46" t="str">
        <f>IF(BI17&lt;&gt;"SÍ","",IF(BJ17="ETABS",BB17,IF(BJ17="CAPTURA",N(AR17),0)))</f>
        <v/>
      </c>
      <c r="BM17" s="46" t="str">
        <f>IF(BI17&lt;&gt;"SÍ","",IF(BJ17="ETABS",BC17/DATOS!$C$89,IF(BJ17="CAPTURA",N(AS17),0)))</f>
        <v/>
      </c>
      <c r="BN17" s="44" t="str">
        <f>IF(BI17&lt;&gt;"SÍ","",IF(BJ17="ETABS",BC17,IF(BJ17="CAPTURA",IF(ISNUMBER(AU17),AU17,N(AS17)*DATOS!$C$89),0)))</f>
        <v/>
      </c>
      <c r="BO17" s="44" t="str">
        <f>IF(BI17&lt;&gt;"SÍ","",IF(BJ17="ETABS",MAX(BD17,BE17),IF(BJ17="CAPTURA",N(AT17),0)))</f>
        <v/>
      </c>
      <c r="BP17" s="44" t="str">
        <f>IF(BI17&lt;&gt;"SÍ","",IF(BJ17="ETABS",BE17,IF(BJ17="CAPTURA",IF(ISNUMBER(AV17),AV17,N(AT17)),0)))</f>
        <v/>
      </c>
      <c r="BQ17" s="44" t="str">
        <f>IF(BI17&lt;&gt;"SÍ","",IF(BJ17="ETABS",BF17,IF(BJ17="CAPTURA",N(AW17),0)))</f>
        <v/>
      </c>
      <c r="BR17" s="43" t="str">
        <f>IF(BI17&lt;&gt;"SÍ","",IF(BK17&gt;0,100*BQ17/BK17,0))</f>
        <v/>
      </c>
      <c r="BS17" s="44" t="str">
        <f>IF(BI17&lt;&gt;"SÍ","",IF(ISNUMBER(G17),G17,DATOS!$C$57))</f>
        <v/>
      </c>
      <c r="BT17" s="47" t="str">
        <f>IF(BI17&lt;&gt;"SÍ","",IF(ISNUMBER(H17),H17,DATOS!$C$58))</f>
        <v/>
      </c>
      <c r="BU17" s="43" t="str">
        <f>IF(BI17&lt;&gt;"SÍ","",IF(N(K17)&gt;0,1+IF(N(P17)&gt;0,1+IF(N(U17)&gt;0,1+IF(N(Z17)&gt;0,1,0),0),0),0))</f>
        <v/>
      </c>
      <c r="BV17" s="45" t="str">
        <f>IF(BI17&lt;&gt;"SÍ","",IF(AND(OR(BU17&lt;1,AND(N(J17)&gt;=0-0.001,J17+K17&lt;=F17+0.001,N(L17)&gt;=0,N(L17)+N(M17)&lt;=BS17+0.001,N(M17)&gt;0,OR(I17="PUERTA",I17="VENTANA"))),OR(BU17&lt;2,AND(N(O17)&gt;=(J17+K17)-0.001,O17+P17&lt;=F17+0.001,N(Q17)&gt;=0,N(Q17)+N(R17)&lt;=BS17+0.001,N(R17)&gt;0,OR(N17="PUERTA",N17="VENTANA"))),OR(BU17&lt;3,AND(N(T17)&gt;=(O17+P17)-0.001,T17+U17&lt;=F17+0.001,N(V17)&gt;=0,N(V17)+N(W17)&lt;=BS17+0.001,N(W17)&gt;0,OR(S17="PUERTA",S17="VENTANA"))),OR(BU17&lt;4,AND(N(Y17)&gt;=(T17+U17)-0.001,Y17+Z17&lt;=F17+0.001,N(AA17)&gt;=0,N(AA17)+N(AB17)&lt;=BS17+0.001,N(AB17)&gt;0,OR(X17="PUERTA",X17="VENTANA"))),(N(K17)&gt;0)+(N(P17)&gt;0)+(N(U17)&gt;0)+(N(Z17)&gt;0)=BU17),"CUMPLE","REVISAR VANOS: tipo, orden de izquierda a derecha, que quepan en L y en H"))</f>
        <v/>
      </c>
      <c r="BW17" s="44" t="str">
        <f>IF(BI17&lt;&gt;"SÍ","",MAX(0,IF(BU17&gt;=1,N(J17),F17)))</f>
        <v/>
      </c>
      <c r="BX17" s="44" t="str">
        <f>IF(BI17&lt;&gt;"SÍ","",MAX(0,IF(BU17&gt;=2,N(O17)-(N(J17)+N(K17)),IF(BU17=1,F17-(N(J17)+N(K17)),0))))</f>
        <v/>
      </c>
      <c r="BY17" s="44" t="str">
        <f>IF(BI17&lt;&gt;"SÍ","",MAX(0,IF(BU17&gt;=3,N(T17)-(N(O17)+N(P17)),IF(BU17=2,F17-(N(O17)+N(P17)),0))))</f>
        <v/>
      </c>
      <c r="BZ17" s="44" t="str">
        <f>IF(BI17&lt;&gt;"SÍ","",MAX(0,IF(BU17&gt;=4,N(Y17)-(N(T17)+N(U17)),IF(BU17=3,F17-(N(T17)+N(U17)),0))))</f>
        <v/>
      </c>
      <c r="CA17" s="44" t="str">
        <f>IF(BI17&lt;&gt;"SÍ","",MAX(0,IF(BU17=4,F17-(N(Y17)+N(Z17)),0)))</f>
        <v/>
      </c>
      <c r="CB17" s="46" t="str">
        <f>IF(BI17&lt;&gt;"SÍ","",SUMPRODUCT((BW17:CA17&gt;=DATOS!$C$72-0.0001)*BW17:CA17))</f>
        <v/>
      </c>
      <c r="CC17" s="43" t="str">
        <f>IF(BI17&lt;&gt;"SÍ","",SUMPRODUCT(--(BW17:CA17&gt;=DATOS!$C$72-0.0001)))</f>
        <v/>
      </c>
      <c r="CD17" s="44" t="str">
        <f>IF(BI17&lt;&gt;"SÍ","",SUM(BW17:CA17))</f>
        <v/>
      </c>
      <c r="CE17" s="43" t="str">
        <f>IF(BI17&lt;&gt;"SÍ","",BT17*CB17*100)</f>
        <v/>
      </c>
      <c r="CF17" s="43" t="str">
        <f>IF(BI17&lt;&gt;"SÍ","",BT17*CD17*100)</f>
        <v/>
      </c>
      <c r="CG17" s="47" t="str">
        <f>IF(BI17&lt;&gt;"SÍ","",BS17*100/BT17)</f>
        <v/>
      </c>
      <c r="CH17" s="45" t="str">
        <f>IF(BI17&lt;&gt;"SÍ","",IF(AND(OR(DATOS!$C$14="TIPO II",BT17&gt;=12),CG17&lt;=25),"CUMPLE","NO CUMPLE: "&amp;IF(AND(DATOS!$C$14="TIPO I",BT17&lt;12),"t &lt; 12 cm ","")&amp;IF(CG17&gt;25,"H/t &gt; 25","")))</f>
        <v/>
      </c>
      <c r="CI17" s="44" t="str">
        <f>IF(BI17&lt;&gt;"SÍ","",MIN(1.5*BS17,4))</f>
        <v/>
      </c>
      <c r="CJ17" s="43" t="str">
        <f>IF(BI17&lt;&gt;"SÍ","",SUMPRODUCT((BW17:CA17&gt;=2*DATOS!$C$59/100)*INT((BW17:CA17-DATOS!$C$59/100)/CI17-0.000001)*((BW17:CA17-DATOS!$C$59/100)&gt;0)))</f>
        <v/>
      </c>
      <c r="CK17" s="43" t="str">
        <f>IF(BI17&lt;&gt;"SÍ","",SUMPRODUCT((BW17:CA17&gt;0.0001)*1+(BW17:CA17&gt;=2*DATOS!$C$59/100)*1)+CJ17)</f>
        <v/>
      </c>
      <c r="CL17" s="44" t="str">
        <f>IF(BI17&lt;&gt;"SÍ","",IF(ISNUMBER(AC17),AC17,DATOS!$C$61)*INDEX(TABLAS!$D$6:$D$14,MATCH(IF(AD17&lt;&gt;"",AD17,DATOS!$C$62),TABLAS!$B$6:$B$14,0)))</f>
        <v/>
      </c>
      <c r="CM17" s="44" t="str">
        <f>IF(BI17&lt;&gt;"SÍ","",CK17*DATOS!$C$78+IF(CK17&gt;=2,2,CK17)*(CL17-DATOS!$C$78))</f>
        <v/>
      </c>
      <c r="CN17" s="47" t="str">
        <f>IF(BI17&lt;&gt;"SÍ","",MAX(BS17*100/6,40))</f>
        <v/>
      </c>
      <c r="CO17" s="48" t="str">
        <f>IF(BI17&lt;&gt;"SÍ","",IF(CG17&lt;=20,IF(E17="INTERIOR",0.7,0.6),MIN(IF(E17="INTERIOR",0.7,0.6),(1-2/24)*(1-(IF(E17="INTERIOR",0.8,1)*CG17/30)^2))))</f>
        <v/>
      </c>
      <c r="CP17" s="47" t="str">
        <f>IF(BI17&lt;&gt;"SÍ","",DATOS!$C$87*CO17*(DATOS!$C$33*CF17+CM17*DATOS!$C$48)/1000)</f>
        <v/>
      </c>
      <c r="CQ17" s="46" t="str">
        <f>IF(BI17&lt;&gt;"SÍ","",IF(CP17&gt;0,BO17/CP17,99))</f>
        <v/>
      </c>
      <c r="CR17" s="47" t="str">
        <f>IF(BI17&lt;&gt;"SÍ","",MAX(0,F17*100-DATOS!$C$59))</f>
        <v/>
      </c>
      <c r="CS17" s="47" t="str">
        <f>IF(BI17&lt;&gt;"SÍ","",MAX(0,F17*100-DATOS!$C$59/2))</f>
        <v/>
      </c>
      <c r="CT17" s="44" t="str">
        <f>IF(BI17&lt;&gt;"SÍ","",CL17*DATOS!$C$48*CR17/100000)</f>
        <v/>
      </c>
      <c r="CU17" s="44" t="str">
        <f>IF(BI17&lt;&gt;"SÍ","",IF(BN17&lt;0,0.8*CT17*MAX(0,1+BN17/(0.8*CM17*DATOS!$C$48/1000)),IF(BN17&lt;=CP17/3,0.8*CT17+0.3*BN17*CS17/100,(1.5*0.6*CT17+0.15*CP17*CS17/100)*MAX(0,1-BN17/CP17))))</f>
        <v/>
      </c>
      <c r="CV17" s="44" t="str">
        <f>IF(BI17&lt;&gt;"SÍ","",IF(BO17&lt;0,0.8*CT17*MAX(0,1+BO17/(0.8*CM17*DATOS!$C$48/1000)),IF(BO17&lt;=CP17/3,0.8*CT17+0.3*BO17*CS17/100,(1.5*0.6*CT17+0.15*CP17*CS17/100)*MAX(0,1-BO17/CP17))))</f>
        <v/>
      </c>
      <c r="CW17" s="46" t="str">
        <f>IF(BI17&lt;&gt;"SÍ","",MAX(0,MIN(CU17,CV17)))</f>
        <v/>
      </c>
      <c r="CX17" s="49" t="str">
        <f>IF(BI17&lt;&gt;"SÍ","",IF(CW17&gt;0,BL17/CW17,IF(BL17&gt;0,99,0)))</f>
        <v/>
      </c>
      <c r="CY17" s="44" t="str">
        <f>IF(BI17&lt;&gt;"SÍ","",IF(BW17&gt;0,MAX(1,MIN(1.5,1.5-0.625*(BS17/BW17-0.2))),0))</f>
        <v/>
      </c>
      <c r="CZ17" s="44" t="str">
        <f>IF(BI17&lt;&gt;"SÍ","",IF(BX17&gt;0,MAX(1,MIN(1.5,1.5-0.625*(BS17/BX17-0.2))),0))</f>
        <v/>
      </c>
      <c r="DA17" s="44" t="str">
        <f>IF(BI17&lt;&gt;"SÍ","",IF(BY17&gt;0,MAX(1,MIN(1.5,1.5-0.625*(BS17/BY17-0.2))),0))</f>
        <v/>
      </c>
      <c r="DB17" s="44" t="str">
        <f>IF(BI17&lt;&gt;"SÍ","",IF(BZ17&gt;0,MAX(1,MIN(1.5,1.5-0.625*(BS17/BZ17-0.2))),0))</f>
        <v/>
      </c>
      <c r="DC17" s="44" t="str">
        <f>IF(BI17&lt;&gt;"SÍ","",IF(CA17&gt;0,MAX(1,MIN(1.5,1.5-0.625*(BS17/CA17-0.2))),0))</f>
        <v/>
      </c>
      <c r="DD17" s="44" t="str">
        <f>IF(BI17&lt;&gt;"SÍ","",IF(OR(BW17&lt;DATOS!$C$72-0.0001,BM17&lt;0,CB17&lt;=0),0,MIN(DATOS!$C$86*(0.5*DATOS!$C$41*BT17*BW17*100+0.3*BM17*BW17/CB17*1000)*CY17,1.5*DATOS!$C$86*DATOS!$C$41*BT17*BW17*100*CY17)/1000))</f>
        <v/>
      </c>
      <c r="DE17" s="44" t="str">
        <f>IF(BI17&lt;&gt;"SÍ","",IF(OR(BX17&lt;DATOS!$C$72-0.0001,BM17&lt;0,CB17&lt;=0),0,MIN(DATOS!$C$86*(0.5*DATOS!$C$41*BT17*BX17*100+0.3*BM17*BX17/CB17*1000)*CZ17,1.5*DATOS!$C$86*DATOS!$C$41*BT17*BX17*100*CZ17)/1000))</f>
        <v/>
      </c>
      <c r="DF17" s="44" t="str">
        <f>IF(BI17&lt;&gt;"SÍ","",IF(OR(BY17&lt;DATOS!$C$72-0.0001,BM17&lt;0,CB17&lt;=0),0,MIN(DATOS!$C$86*(0.5*DATOS!$C$41*BT17*BY17*100+0.3*BM17*BY17/CB17*1000)*DA17,1.5*DATOS!$C$86*DATOS!$C$41*BT17*BY17*100*DA17)/1000))</f>
        <v/>
      </c>
      <c r="DG17" s="44" t="str">
        <f>IF(BI17&lt;&gt;"SÍ","",IF(OR(BZ17&lt;DATOS!$C$72-0.0001,BM17&lt;0,CB17&lt;=0),0,MIN(DATOS!$C$86*(0.5*DATOS!$C$41*BT17*BZ17*100+0.3*BM17*BZ17/CB17*1000)*DB17,1.5*DATOS!$C$86*DATOS!$C$41*BT17*BZ17*100*DB17)/1000))</f>
        <v/>
      </c>
      <c r="DH17" s="44" t="str">
        <f>IF(BI17&lt;&gt;"SÍ","",IF(OR(CA17&lt;DATOS!$C$72-0.0001,BM17&lt;0,CB17&lt;=0),0,MIN(DATOS!$C$86*(0.5*DATOS!$C$41*BT17*CA17*100+0.3*BM17*CA17/CB17*1000)*DC17,1.5*DATOS!$C$86*DATOS!$C$41*BT17*CA17*100*DC17)/1000))</f>
        <v/>
      </c>
      <c r="DI17" s="46" t="str">
        <f>IF(BI17&lt;&gt;"SÍ","",SUM(DD17:DH17))</f>
        <v/>
      </c>
      <c r="DJ17" s="48" t="str">
        <f>IF(BI17&lt;&gt;"SÍ","",IF(AE17="VARILLA EN JUNTAS",IF(ISNUMBER(AF17),AF17,2)*INDEX(TABLAS!$D$6:$D$14,MATCH(IF(AG17&lt;&gt;"",AG17,DATOS!$C$73),TABLAS!$B$6:$B$14,0)),IF(AE17="MALLA",IF(ISNUMBER(AF17),AF17,1)*INDEX(TABLAS!$D$19:$D$22,MATCH(IF(AG17&lt;&gt;"",AG17,DATOS!$C$74),TABLAS!$B$19:$B$22,0))/100,IF(AE17="ESCALERILLA",IF(ISNUMBER(AF17),AF17,2)*INDEX(TABLAS!$D$6:$D$14,MATCH(IF(AG17&lt;&gt;"",AG17,DATOS!$C$73),TABLAS!$B$6:$B$14,0)),0))))</f>
        <v/>
      </c>
      <c r="DK17" s="47" t="str">
        <f>IF(BI17&lt;&gt;"SÍ","",IF(OR(AE17="VARILLA EN JUNTAS",AE17="ESCALERILLA"),IF(ISNUMBER(AH17),AH17,2)*DATOS!$C$26,IF(AE17="MALLA",1,0)))</f>
        <v/>
      </c>
      <c r="DL17" s="44" t="str">
        <f>IF(BI17&lt;&gt;"SÍ","",IF(DK17&gt;0,DJ17/(DK17*BT17)*MIN(DATOS!$C$50,IF(AE17="MALLA",5000,6000)),0))</f>
        <v/>
      </c>
      <c r="DM17" s="44" t="str">
        <f>IF(BI17&lt;&gt;"SÍ","",IF(AE17="ESCALERILLA",0,MIN(DL17,0.1*DATOS!$C$33*DATOS!$C$24)))</f>
        <v/>
      </c>
      <c r="DN17" s="48" t="str">
        <f>IF(BI17&lt;&gt;"SÍ","",IF(AE17="MALLA",0.5,IF(DATOS!$C$33&lt;=60,0.55,IF(DATOS!$C$33&gt;=90,0.75,0.55+0.2*(DATOS!$C$33-60)/30))))</f>
        <v/>
      </c>
      <c r="DO17" s="48" t="str">
        <f>IF(BI17&lt;&gt;"SÍ","",1-DATOS!$C$91*DM17)</f>
        <v/>
      </c>
      <c r="DP17" s="44" t="str">
        <f>IF(BI17&lt;&gt;"SÍ","",IF(BW17&gt;0,IF(BS17/BW17&lt;=1,1.3,IF(BS17/BW17&gt;=1.5,1,1.3-0.6*(BS17/BW17-1))),0))</f>
        <v/>
      </c>
      <c r="DQ17" s="44" t="str">
        <f>IF(BI17&lt;&gt;"SÍ","",IF(BX17&gt;0,IF(BS17/BX17&lt;=1,1.3,IF(BS17/BX17&gt;=1.5,1,1.3-0.6*(BS17/BX17-1))),0))</f>
        <v/>
      </c>
      <c r="DR17" s="44" t="str">
        <f>IF(BI17&lt;&gt;"SÍ","",IF(BY17&gt;0,IF(BS17/BY17&lt;=1,1.3,IF(BS17/BY17&gt;=1.5,1,1.3-0.6*(BS17/BY17-1))),0))</f>
        <v/>
      </c>
      <c r="DS17" s="44" t="str">
        <f>IF(BI17&lt;&gt;"SÍ","",IF(BZ17&gt;0,IF(BS17/BZ17&lt;=1,1.3,IF(BS17/BZ17&gt;=1.5,1,1.3-0.6*(BS17/BZ17-1))),0))</f>
        <v/>
      </c>
      <c r="DT17" s="44" t="str">
        <f>IF(BI17&lt;&gt;"SÍ","",IF(CA17&gt;0,IF(BS17/CA17&lt;=1,1.3,IF(BS17/CA17&gt;=1.5,1,1.3-0.6*(BS17/CA17-1))),0))</f>
        <v/>
      </c>
      <c r="DU17" s="44" t="str">
        <f>IF(BI17&lt;&gt;"SÍ","",IF(OR(DM17&lt;=0,BW17&lt;DATOS!$C$72-0.0001),0,DATOS!$C$86*MAX(0,IF(BM17&gt;=0,DD17/(DATOS!$C$86*DM17*BT17*BW17*100/1000)*(DP17*DO17-1)+DN17,DO17*DN17))*DM17*BT17*BW17*100/1000))</f>
        <v/>
      </c>
      <c r="DV17" s="44" t="str">
        <f>IF(BI17&lt;&gt;"SÍ","",IF(OR(DM17&lt;=0,BX17&lt;DATOS!$C$72-0.0001),0,DATOS!$C$86*MAX(0,IF(BM17&gt;=0,DE17/(DATOS!$C$86*DM17*BT17*BX17*100/1000)*(DQ17*DO17-1)+DN17,DO17*DN17))*DM17*BT17*BX17*100/1000))</f>
        <v/>
      </c>
      <c r="DW17" s="44" t="str">
        <f>IF(BI17&lt;&gt;"SÍ","",IF(OR(DM17&lt;=0,BY17&lt;DATOS!$C$72-0.0001),0,DATOS!$C$86*MAX(0,IF(BM17&gt;=0,DF17/(DATOS!$C$86*DM17*BT17*BY17*100/1000)*(DR17*DO17-1)+DN17,DO17*DN17))*DM17*BT17*BY17*100/1000))</f>
        <v/>
      </c>
      <c r="DX17" s="44" t="str">
        <f>IF(BI17&lt;&gt;"SÍ","",IF(OR(DM17&lt;=0,BZ17&lt;DATOS!$C$72-0.0001),0,DATOS!$C$86*MAX(0,IF(BM17&gt;=0,DG17/(DATOS!$C$86*DM17*BT17*BZ17*100/1000)*(DS17*DO17-1)+DN17,DO17*DN17))*DM17*BT17*BZ17*100/1000))</f>
        <v/>
      </c>
      <c r="DY17" s="44" t="str">
        <f>IF(BI17&lt;&gt;"SÍ","",IF(OR(DM17&lt;=0,CA17&lt;DATOS!$C$72-0.0001),0,DATOS!$C$86*MAX(0,IF(BM17&gt;=0,DH17/(DATOS!$C$86*DM17*BT17*CA17*100/1000)*(DT17*DO17-1)+DN17,DO17*DN17))*DM17*BT17*CA17*100/1000))</f>
        <v/>
      </c>
      <c r="DZ17" s="46" t="str">
        <f>IF(BI17&lt;&gt;"SÍ","",SUM(DU17:DY17))</f>
        <v/>
      </c>
      <c r="EA17" s="45" t="str">
        <f>IF(BI17&lt;&gt;"SÍ","",IF(OR(AE17="",AE17="NINGUNO"),IF(DATOS!$C$41&gt;=10,"FALTA refuerzo horizontal: v'm ≥ 10 kg/cm² (6.5.2.2)",IF(AND(BM17&lt;0,BK17&gt;0),"FALTA: P en tensión, el refuerzo debe tomar todo el cortante (6.5.1.3)","—")),IF(AE17="ESCALERILLA","NO CUENTA: la escalerilla no se permite para cortante por sismo (6.5.3.1.2)",IF(AE17="MALLA",IF(AND(DL17&gt;=2.5,DL17&lt;=MAX(0.15*DATOS!$C$33*DATOS!$C$24,2.5)),"CUMPLE","NO CUMPLE: "&amp;IF(DL17&lt;2.5,"p_h·f_yh &lt; 2.5 (6.5.4.2.4)","p_h·f_yh &gt; 0.15·f'm·f_an (6.5.4.2.4)")),IF(AND(DK17&lt;=MIN(6*DATOS!$C$26,45),DL17&gt;=3,DL17&lt;=MIN(MAX(0.15*DATOS!$C$33*DATOS!$C$24,3),0.05*DATOS!$C$25/10*MIN(DATOS!$C$50,6000)/DK17),INDEX(TABLAS!$C$6:$C$14,MATCH(IF(AG17&lt;&gt;"",AG17,DATOS!$C$73),TABLAS!$B$6:$B$14,0))&gt;=0.35,INDEX(TABLAS!$C$6:$C$14,MATCH(IF(AG17&lt;&gt;"",AG17,DATOS!$C$73),TABLAS!$B$6:$B$14,0))&lt;=0.75*DATOS!$C$25/10),"CUMPLE","NO CUMPLE: "&amp;IF(DK17&gt;MIN(6*DATOS!$C$26,45),"s_h &gt; 6 hiladas o 45 cm (6.5.3.2.1) ","")&amp;IF(DL17&lt;3,"p_h·f_yh &lt; 3 (6.5.3.3.1) ","")&amp;IF(DL17&gt;MIN(MAX(0.15*DATOS!$C$33*DATOS!$C$24,3),0.05*DATOS!$C$25/10*MIN(DATOS!$C$50,6000)/DK17),"p_h·f_yh &gt; máximo (6.5.3.3.2) ","")&amp;IF(OR(INDEX(TABLAS!$C$6:$C$14,MATCH(IF(AG17&lt;&gt;"",AG17,DATOS!$C$73),TABLAS!$B$6:$B$14,0))&lt;0.35,INDEX(TABLAS!$C$6:$C$14,MATCH(IF(AG17&lt;&gt;"",AG17,DATOS!$C$73),TABLAS!$B$6:$B$14,0))&gt;0.75*DATOS!$C$25/10),"diámetro fuera de 3.5 mm a 0.75·h_j (4.2.2.2.1)",""))))))</f>
        <v/>
      </c>
      <c r="EB17" s="46" t="str">
        <f>IF(BI17&lt;&gt;"SÍ","",DI17+DZ17)</f>
        <v/>
      </c>
      <c r="EC17" s="50" t="str">
        <f>IF(BI17&lt;&gt;"SÍ","",IF(EB17&gt;0,BK17/EB17,IF(BK17&gt;0,99,0)))</f>
        <v/>
      </c>
      <c r="ED17" s="47" t="str">
        <f>IF(BI17&lt;&gt;"SÍ","",IF(CE17&lt;=0,-1,IF(BK17&lt;=DI17,0,IF(IF(BM17&gt;=0,IF((DATOS!$C$86*IF(AE17="MALLA",0.5,IF(DATOS!$C$33&lt;=60,0.55,IF(DATOS!$C$33&gt;=90,0.75,0.55+0.2*(DATOS!$C$33-60)/30)))*CE17/1000-DATOS!$C$91*SUMPRODUCT(DP17:DT17,DD17:DH17))&lt;=0,1E9,(BK17-SUMPRODUCT(DP17:DT17,DD17:DH17))/(DATOS!$C$86*IF(AE17="MALLA",0.5,IF(DATOS!$C$33&lt;=60,0.55,IF(DATOS!$C$33&gt;=90,0.75,0.55+0.2*(DATOS!$C$33-60)/30)))*CE17/1000-DATOS!$C$91*SUMPRODUCT(DP17:DT17,DD17:DH17))),IF((1-4*DATOS!$C$91*BK17*1000/(DATOS!$C$86*IF(AE17="MALLA",0.5,IF(DATOS!$C$33&lt;=60,0.55,IF(DATOS!$C$33&gt;=90,0.75,0.55+0.2*(DATOS!$C$33-60)/30)))*MAX(CE17,1)))&lt;0,1E9,(1-SQRT((1-4*DATOS!$C$91*BK17*1000/(DATOS!$C$86*IF(AE17="MALLA",0.5,IF(DATOS!$C$33&lt;=60,0.55,IF(DATOS!$C$33&gt;=90,0.75,0.55+0.2*(DATOS!$C$33-60)/30)))*MAX(CE17,1)))))/(2*DATOS!$C$91)))&gt;0.1*DATOS!$C$33*DATOS!$C$24+0.000001,-1,MAX(IF(AE17="MALLA",2.5,3),IF(BM17&gt;=0,IF((DATOS!$C$86*IF(AE17="MALLA",0.5,IF(DATOS!$C$33&lt;=60,0.55,IF(DATOS!$C$33&gt;=90,0.75,0.55+0.2*(DATOS!$C$33-60)/30)))*CE17/1000-DATOS!$C$91*SUMPRODUCT(DP17:DT17,DD17:DH17))&lt;=0,1E9,(BK17-SUMPRODUCT(DP17:DT17,DD17:DH17))/(DATOS!$C$86*IF(AE17="MALLA",0.5,IF(DATOS!$C$33&lt;=60,0.55,IF(DATOS!$C$33&gt;=90,0.75,0.55+0.2*(DATOS!$C$33-60)/30)))*CE17/1000-DATOS!$C$91*SUMPRODUCT(DP17:DT17,DD17:DH17))),IF((1-4*DATOS!$C$91*BK17*1000/(DATOS!$C$86*IF(AE17="MALLA",0.5,IF(DATOS!$C$33&lt;=60,0.55,IF(DATOS!$C$33&gt;=90,0.75,0.55+0.2*(DATOS!$C$33-60)/30)))*MAX(CE17,1)))&lt;0,1E9,(1-SQRT((1-4*DATOS!$C$91*BK17*1000/(DATOS!$C$86*IF(AE17="MALLA",0.5,IF(DATOS!$C$33&lt;=60,0.55,IF(DATOS!$C$33&gt;=90,0.75,0.55+0.2*(DATOS!$C$33-60)/30)))*MAX(CE17,1)))))/(2*DATOS!$C$91))))))))</f>
        <v/>
      </c>
      <c r="EE17" s="45" t="str">
        <f>IF(BI17&lt;&gt;"SÍ","",IF(ED17=0,"NO REQUIERE: V_mR ≥ V_u",IF(ED17&lt;0,"NO ALCANZA con refuerzo horizontal (haría falta más de 0.1·f'm·f_an efectivo): sube v'm con ensayes, el espesor o la longitud del muro",IF(AND(OR(AE17="VARILLA EN JUNTAS",AE17="MALLA"),LEFT(EA17,6)="CUMPLE",EC17&lt;=1),"YA LO TIENE (pide p_h·f_yh ≥ "&amp;TEXT(ED17,"0.0")&amp;" kg/cm²)","p_h·f_yh ≥ "&amp;TEXT(ED17,"0.0")&amp;" kg/cm² → "&amp;IF(AND(MIN(6,FLOOR(45/DATOS!$C$26,1),FLOOR((2*INDEX(TABLAS!$D$6:$D$14,MATCH("3/16 in",TABLAS!$B$6:$B$14,0)))*MIN(DATOS!$C$50,6000)/(BT17*DATOS!$C$26*MAX(ED17,0.001)),1))&gt;=1,((2*INDEX(TABLAS!$D$6:$D$14,MATCH("3/16 in",TABLAS!$B$6:$B$14,0)))*MIN(DATOS!$C$50,6000)/(MAX(MIN(6,FLOOR(45/DATOS!$C$26,1),FLOOR((2*INDEX(TABLAS!$D$6:$D$14,MATCH("3/16 in",TABLAS!$B$6:$B$14,0)))*MIN(DATOS!$C$50,6000)/(BT17*DATOS!$C$26*MAX(ED17,0.001)),1)),1)*DATOS!$C$26*BT17))&lt;=MIN(MAX(0.15*DATOS!$C$33*DATOS!$C$24,3),0.05*DATOS!$C$25/10*MIN(DATOS!$C$50,6000)/(MIN(6,FLOOR(45/DATOS!$C$26,1),FLOOR((2*INDEX(TABLAS!$D$6:$D$14,MATCH("3/16 in",TABLAS!$B$6:$B$14,0)))*MIN(DATOS!$C$50,6000)/(BT17*DATOS!$C$26*MAX(ED17,0.001)),1))*DATOS!$C$26))),"2 alambres de 3/16"" por junta cada "&amp;MIN(6,FLOOR(45/DATOS!$C$26,1),FLOOR((2*INDEX(TABLAS!$D$6:$D$14,MATCH("3/16 in",TABLAS!$B$6:$B$14,0)))*MIN(DATOS!$C$50,6000)/(BT17*DATOS!$C$26*MAX(ED17,0.001)),1))&amp;" hilada(s) (p_h·f_yh = "&amp;TEXT(((2*INDEX(TABLAS!$D$6:$D$14,MATCH("3/16 in",TABLAS!$B$6:$B$14,0)))*MIN(DATOS!$C$50,6000)/(MAX(MIN(6,FLOOR(45/DATOS!$C$26,1),FLOOR((2*INDEX(TABLAS!$D$6:$D$14,MATCH("3/16 in",TABLAS!$B$6:$B$14,0)))*MIN(DATOS!$C$50,6000)/(BT17*DATOS!$C$26*MAX(ED17,0.001)),1)),1)*DATOS!$C$26*BT17)),"0.00")&amp;")",IF(AND(MIN(6,FLOOR(45/DATOS!$C$26,1),FLOOR((2*INDEX(TABLAS!$D$6:$D$14,MATCH("5/32 in",TABLAS!$B$6:$B$14,0)))*MIN(DATOS!$C$50,6000)/(BT17*DATOS!$C$26*MAX(ED17,0.001)),1))&gt;=1,((2*INDEX(TABLAS!$D$6:$D$14,MATCH("5/32 in",TABLAS!$B$6:$B$14,0)))*MIN(DATOS!$C$50,6000)/(MAX(MIN(6,FLOOR(45/DATOS!$C$26,1),FLOOR((2*INDEX(TABLAS!$D$6:$D$14,MATCH("5/32 in",TABLAS!$B$6:$B$14,0)))*MIN(DATOS!$C$50,6000)/(BT17*DATOS!$C$26*MAX(ED17,0.001)),1)),1)*DATOS!$C$26*BT17))&lt;=MIN(MAX(0.15*DATOS!$C$33*DATOS!$C$24,3),0.05*DATOS!$C$25/10*MIN(DATOS!$C$50,6000)/(MIN(6,FLOOR(45/DATOS!$C$26,1),FLOOR((2*INDEX(TABLAS!$D$6:$D$14,MATCH("5/32 in",TABLAS!$B$6:$B$14,0)))*MIN(DATOS!$C$50,6000)/(BT17*DATOS!$C$26*MAX(ED17,0.001)),1))*DATOS!$C$26))),"2 alambres de 5/32"" por junta cada "&amp;MIN(6,FLOOR(45/DATOS!$C$26,1),FLOOR((2*INDEX(TABLAS!$D$6:$D$14,MATCH("5/32 in",TABLAS!$B$6:$B$14,0)))*MIN(DATOS!$C$50,6000)/(BT17*DATOS!$C$26*MAX(ED17,0.001)),1))&amp;" hilada(s) (p_h·f_yh = "&amp;TEXT(((2*INDEX(TABLAS!$D$6:$D$14,MATCH("5/32 in",TABLAS!$B$6:$B$14,0)))*MIN(DATOS!$C$50,6000)/(MAX(MIN(6,FLOOR(45/DATOS!$C$26,1),FLOOR((2*INDEX(TABLAS!$D$6:$D$14,MATCH("5/32 in",TABLAS!$B$6:$B$14,0)))*MIN(DATOS!$C$50,6000)/(BT17*DATOS!$C$26*MAX(ED17,0.001)),1)),1)*DATOS!$C$26*BT17)),"0.00")&amp;")",IF(AND(MIN(6,FLOOR(45/DATOS!$C$26,1),FLOOR((1*INDEX(TABLAS!$D$6:$D$14,MATCH("3/16 in",TABLAS!$B$6:$B$14,0)))*MIN(DATOS!$C$50,6000)/(BT17*DATOS!$C$26*MAX(ED17,0.001)),1))&gt;=1,((1*INDEX(TABLAS!$D$6:$D$14,MATCH("3/16 in",TABLAS!$B$6:$B$14,0)))*MIN(DATOS!$C$50,6000)/(MAX(MIN(6,FLOOR(45/DATOS!$C$26,1),FLOOR((1*INDEX(TABLAS!$D$6:$D$14,MATCH("3/16 in",TABLAS!$B$6:$B$14,0)))*MIN(DATOS!$C$50,6000)/(BT17*DATOS!$C$26*MAX(ED17,0.001)),1)),1)*DATOS!$C$26*BT17))&lt;=MIN(MAX(0.15*DATOS!$C$33*DATOS!$C$24,3),0.05*DATOS!$C$25/10*MIN(DATOS!$C$50,6000)/(MIN(6,FLOOR(45/DATOS!$C$26,1),FLOOR((1*INDEX(TABLAS!$D$6:$D$14,MATCH("3/16 in",TABLAS!$B$6:$B$14,0)))*MIN(DATOS!$C$50,6000)/(BT17*DATOS!$C$26*MAX(ED17,0.001)),1))*DATOS!$C$26))),"1 alambre de 3/16"" por junta cada "&amp;MIN(6,FLOOR(45/DATOS!$C$26,1),FLOOR((1*INDEX(TABLAS!$D$6:$D$14,MATCH("3/16 in",TABLAS!$B$6:$B$14,0)))*MIN(DATOS!$C$50,6000)/(BT17*DATOS!$C$26*MAX(ED17,0.001)),1))&amp;" hilada(s) (p_h·f_yh = "&amp;TEXT(((1*INDEX(TABLAS!$D$6:$D$14,MATCH("3/16 in",TABLAS!$B$6:$B$14,0)))*MIN(DATOS!$C$50,6000)/(MAX(MIN(6,FLOOR(45/DATOS!$C$26,1),FLOOR((1*INDEX(TABLAS!$D$6:$D$14,MATCH("3/16 in",TABLAS!$B$6:$B$14,0)))*MIN(DATOS!$C$50,6000)/(BT17*DATOS!$C$26*MAX(ED17,0.001)),1)),1)*DATOS!$C$26*BT17)),"0.00")&amp;")",IF(AND(MIN(6,FLOOR(45/DATOS!$C$26,1),FLOOR((1*INDEX(TABLAS!$D$6:$D$14,MATCH("5/32 in",TABLAS!$B$6:$B$14,0)))*MIN(DATOS!$C$50,6000)/(BT17*DATOS!$C$26*MAX(ED17,0.001)),1))&gt;=1,((1*INDEX(TABLAS!$D$6:$D$14,MATCH("5/32 in",TABLAS!$B$6:$B$14,0)))*MIN(DATOS!$C$50,6000)/(MAX(MIN(6,FLOOR(45/DATOS!$C$26,1),FLOOR((1*INDEX(TABLAS!$D$6:$D$14,MATCH("5/32 in",TABLAS!$B$6:$B$14,0)))*MIN(DATOS!$C$50,6000)/(BT17*DATOS!$C$26*MAX(ED17,0.001)),1)),1)*DATOS!$C$26*BT17))&lt;=MIN(MAX(0.15*DATOS!$C$33*DATOS!$C$24,3),0.05*DATOS!$C$25/10*MIN(DATOS!$C$50,6000)/(MIN(6,FLOOR(45/DATOS!$C$26,1),FLOOR((1*INDEX(TABLAS!$D$6:$D$14,MATCH("5/32 in",TABLAS!$B$6:$B$14,0)))*MIN(DATOS!$C$50,6000)/(BT17*DATOS!$C$26*MAX(ED17,0.001)),1))*DATOS!$C$26))),"1 alambre de 5/32"" por junta cada "&amp;MIN(6,FLOOR(45/DATOS!$C$26,1),FLOOR((1*INDEX(TABLAS!$D$6:$D$14,MATCH("5/32 in",TABLAS!$B$6:$B$14,0)))*MIN(DATOS!$C$50,6000)/(BT17*DATOS!$C$26*MAX(ED17,0.001)),1))&amp;" hilada(s) (p_h·f_yh = "&amp;TEXT(((1*INDEX(TABLAS!$D$6:$D$14,MATCH("5/32 in",TABLAS!$B$6:$B$14,0)))*MIN(DATOS!$C$50,6000)/(MAX(MIN(6,FLOOR(45/DATOS!$C$26,1),FLOOR((1*INDEX(TABLAS!$D$6:$D$14,MATCH("5/32 in",TABLAS!$B$6:$B$14,0)))*MIN(DATOS!$C$50,6000)/(BT17*DATOS!$C$26*MAX(ED17,0.001)),1)),1)*DATOS!$C$26*BT17)),"0.00")&amp;")","ninguna combinación de 1 o 2 alambres por junta queda entre el mínimo y el máximo: revisa con malla (6.5.4)"))))))))</f>
        <v/>
      </c>
      <c r="EF17" s="43" t="str">
        <f>IF(BI17&lt;&gt;"SÍ","",IF(AI17="SÍ",N(AK17)*N(AL17)^3/12,0))</f>
        <v/>
      </c>
      <c r="EG17" s="48" t="str">
        <f>IF(BI17&lt;&gt;"SÍ","",IF(AND(AI17="SÍ",N(AM17)&gt;0),MIN(1,F17/AM17),0))</f>
        <v/>
      </c>
      <c r="EH17" s="47" t="str">
        <f>IF(BI17&lt;&gt;"SÍ","",IF(AI17="SÍ",BP17*1000/(BT17*F17*100)*BT17*(EG17^4-4*EG17^3+8*EG17),0))</f>
        <v/>
      </c>
      <c r="EI17" s="48" t="str">
        <f>IF(BI17&lt;&gt;"SÍ","",IF(AND(AI17="SÍ",EH17&gt;0),EH17/(EH17+5*N(AN17)*10),0))</f>
        <v/>
      </c>
      <c r="EJ17" s="44" t="str">
        <f>IF(BI17&lt;&gt;"SÍ","",IF(AND(AI17="SÍ",EI17&gt;0,EF17&gt;0),(DATOS!$C$43*BT17*(AM17*100)^3/(DATOS!$C$53*EF17*EI17))^0.25,0))</f>
        <v/>
      </c>
      <c r="EK17" s="44" t="str">
        <f>IF(BI17&lt;&gt;"SÍ","",IF(AI17&lt;&gt;"SÍ",0,IF(N(AM17)&lt;=F17,1,IF(MIN(1,N(AO17)/((AM17-F17)/2))&lt;=0.5,0.7+0.6*MIN(1,N(AO17)/((AM17-F17)/2)),1.5-MIN(1,N(AO17)/((AM17-F17)/2))))))</f>
        <v/>
      </c>
      <c r="EL17" s="44" t="str">
        <f>IF(BI17&lt;&gt;"SÍ","",IF(AI17&lt;&gt;"SÍ",0,MAX(1,IF(EG17&gt;=1,(1.6*EJ17-3.9),IF(EG17&lt;0.9,((3.2*EJ17-7.8)*EK17),((3.2*EJ17-7.8)*EK17)+((1.6*EJ17-3.9)-((3.2*EJ17-7.8)*EK17))*(EG17-0.9)/0.1)))))</f>
        <v/>
      </c>
      <c r="EM17" s="47" t="str">
        <f>IF(BI17&lt;&gt;"SÍ","",IF(AI17="SÍ",EL17*BP17*1000/(BT17*F17*100),0))</f>
        <v/>
      </c>
      <c r="EN17" s="47" t="str">
        <f>IF(BI17&lt;&gt;"SÍ","",IF(AND(AI17="SÍ",N(AL17)&gt;0),AM17*100/AL17,0))</f>
        <v/>
      </c>
      <c r="EO17" s="47" t="str">
        <f>IF(BI17&lt;&gt;"SÍ","",IF(AI17="SÍ",(1/15*DATOS!$C$53*N(AK17)/MAX((IF(ISNUMBER(AP17),AP17,BP17/DATOS!$C$90)*1000/(BT17*F17*100)*BT17*(EG17^4-4*EG17^3+8*EG17))+5*N(AN17)/DATOS!$C$90*10,0.001))^(1/3),0))</f>
        <v/>
      </c>
      <c r="EP17" s="45" t="str">
        <f>IF(BI17&lt;&gt;"SÍ","",IF(AI17&lt;&gt;"SÍ","—",IF(OR(N(AK17)&lt;=0,N(AL17)&lt;=0,N(AM17)&lt;=0),"REVISAR: faltan b, h o L_v de la viga",IF(AND(EM17&lt;=DATOS!$C$87*DATOS!$C$33,EN17&lt;=14,N(AL17)&gt;=25,EN17&lt;=EO17),IF(BS17/F17&lt;0.6,"PENDIENTE: H/L &lt; 0.6, falta el análisis de interacción muro–viga (4.1.18.2.1); f_CM es estimado","CUMPLE"),"NO CUMPLE: "&amp;IF(EM17&gt;DATOS!$C$87*DATOS!$C$33,"f_CM &gt; F_R·f'm ","")&amp;IF(EN17&gt;14,"L_v/h_v &gt; 14 ","")&amp;IF(N(AL17)&lt;25,"h_v &lt; 25 cm ","")&amp;IF(EN17&gt;EO17,"flecha (4.1.18.3)","")))))</f>
        <v/>
      </c>
      <c r="EQ17" s="44" t="str">
        <f>IF(BI17&lt;&gt;"SÍ","",MAX(0,F17*BS17-(N(K17)*N(M17)+N(P17)*N(R17)+N(U17)*N(W17)+N(Z17)*N(AB17))-CK17*DATOS!$C$59/100*BS17))</f>
        <v/>
      </c>
      <c r="ER17" s="48" t="str">
        <f>IF(BI17&lt;&gt;"SÍ","",CK17*DATOS!$C$59*DATOS!$C$60/10000*BS17)</f>
        <v/>
      </c>
      <c r="ES17" s="47" t="str">
        <f>IF(BI17&lt;&gt;"SÍ","",CK17*(DATOS!$C$61*(BS17+0.6)*INDEX(TABLAS!$E$6:$E$14,MATCH(DATOS!$C$62,TABLAS!$B$6:$B$14,0))+(2*ROUNDUP(CN17/DATOS!$C$65,0)+ROUNDUP(MAX(0,BS17*100-2*CN17)/DATOS!$C$64,0))*((2*(DATOS!$C$60+DATOS!$C$59-4*(DATOS!$C$66-INDEX(TABLAS!$C$6:$C$14,MATCH(DATOS!$C$63,TABLAS!$B$6:$B$14,0))))+15)/100)*INDEX(TABLAS!$E$6:$E$14,MATCH(DATOS!$C$63,TABLAS!$B$6:$B$14,0))))</f>
        <v/>
      </c>
      <c r="ET17" s="47" t="str">
        <f>IF(BI17&lt;&gt;"SÍ","",IF(OR(AE17="VARILLA EN JUNTAS",AE17="ESCALERILLA"),INT(BS17*100/MAX(DK17,1))*IF(ISNUMBER(AF17),AF17,2)*CB17*INDEX(TABLAS!$E$6:$E$14,MATCH(IF(AG17&lt;&gt;"",AG17,DATOS!$C$73),TABLAS!$B$6:$B$14,0)),IF(AE17="MALLA",IF(ISNUMBER(AF17),AF17,1)*CB17*BS17*INDEX(TABLAS!$E$19:$E$22,MATCH(IF(AG17&lt;&gt;"",AG17,DATOS!$C$74),TABLAS!$B$19:$B$22,0)),0)))</f>
        <v/>
      </c>
      <c r="EU17" s="45" t="str">
        <f>IF(BI17&lt;&gt;"SÍ","",""&amp;IF(BJ17="NO ESTÁ EN PIER_FORCES","sin fuerzas en PIER_FORCES; ","")&amp;IF(BV17&lt;&gt;"CUMPLE","vanos; ","")&amp;IF(LEFT(CH17,2)="NO","espesor o esbeltez; ","")&amp;IF(CQ17&gt;1,"compresión; ","")&amp;IF(CX17&gt;1,"flexión; ","")&amp;IF(CB17&lt;=0,"sin tramos de muro (todos son machones menores que L mín.: diséñalos como columnas o baja L mín.); ",IF(EC17&gt;1,"cortante; ",""))&amp;IF(OR(LEFT(EA17,2)="NO",LEFT(EA17,5)="FALTA"),"refuerzo horizontal; ","")&amp;IF(OR(LEFT(EP17,2)="NO",LEFT(EP17,7)="REVISAR"),"muro sobre viga; ","")&amp;IF(LEFT(DATOS!$C$81,2)="NO","castillo típico; ","")&amp;IF(LEFT(DATOS!$C$82,2)="NO","dala típica; ","")&amp;IF(AND(BT17&lt;&gt;DATOS!$C$58,DATOS!$C$60&lt;BT17),"castillo más angosto que el muro; ",""))</f>
        <v/>
      </c>
      <c r="EV17" s="45" t="str">
        <f>IF(BI17&lt;&gt;"SÍ","",""&amp;IF(LEFT(EP17,9)="PENDIENTE","análisis muro–viga (H/L &lt; 0.6); ","")&amp;IF(BR17&gt;50,"V_u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17" s="51" t="str">
        <f>IF(BI17&lt;&gt;"SÍ","",IF(EU17&lt;&gt;"","NO CUMPLE: "&amp;LEFT(EU17,LEN(EU17)-2),IF(EV17&lt;&gt;"","CUMPLE — PENDIENTE: "&amp;LEFT(EV17,LEN(EV17)-2),"CUMPLE")))</f>
        <v/>
      </c>
      <c r="EX17" s="52" t="n"/>
    </row>
    <row r="18" ht="30" customHeight="1">
      <c r="A18" s="38" t="str">
        <f>IF(B18="","",ROW()-10)</f>
        <v/>
      </c>
      <c r="B18" s="28" t="n"/>
      <c r="C18" s="39" t="n"/>
      <c r="D18" s="39" t="n"/>
      <c r="E18" s="39" t="n"/>
      <c r="F18" s="40" t="n"/>
      <c r="G18" s="40" t="n"/>
      <c r="H18" s="41" t="n"/>
      <c r="I18" s="39" t="n"/>
      <c r="J18" s="40" t="n"/>
      <c r="K18" s="40" t="n"/>
      <c r="L18" s="40" t="n"/>
      <c r="M18" s="40" t="n"/>
      <c r="N18" s="39" t="n"/>
      <c r="O18" s="40" t="n"/>
      <c r="P18" s="40" t="n"/>
      <c r="Q18" s="40" t="n"/>
      <c r="R18" s="40" t="n"/>
      <c r="S18" s="39" t="n"/>
      <c r="T18" s="40" t="n"/>
      <c r="U18" s="40" t="n"/>
      <c r="V18" s="40" t="n"/>
      <c r="W18" s="40" t="n"/>
      <c r="X18" s="39" t="n"/>
      <c r="Y18" s="40" t="n"/>
      <c r="Z18" s="40" t="n"/>
      <c r="AA18" s="40" t="n"/>
      <c r="AB18" s="40" t="n"/>
      <c r="AC18" s="41" t="n"/>
      <c r="AD18" s="41" t="n"/>
      <c r="AE18" s="39" t="n"/>
      <c r="AF18" s="41" t="n"/>
      <c r="AG18" s="41" t="n"/>
      <c r="AH18" s="41" t="n"/>
      <c r="AI18" s="39" t="n"/>
      <c r="AJ18" s="39" t="n"/>
      <c r="AK18" s="41" t="n"/>
      <c r="AL18" s="41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2" t="str">
        <f>IF(B18="","",C18&amp;"|"&amp;B18)</f>
        <v/>
      </c>
      <c r="AY18" s="43" t="str">
        <f>IF(B18="","",COUNTIFS(PIER_FORCES!$O$9:$O$3008,8,PIER_FORCES!$P$9:$P$3008,1))</f>
        <v/>
      </c>
      <c r="AZ18" s="43" t="str">
        <f>IF(B18="","",COUNTIFS(PIER_FORCES!$O$9:$O$3008,8,PIER_FORCES!$P$9:$P$3008,2))</f>
        <v/>
      </c>
      <c r="BA18" s="44">
        <f>IF(N(AY18)=0,0,SUMPRODUCT(MAX((PIER_FORCES!$O$9:$O$3008=8)*(PIER_FORCES!$P$9:$P$3008=1)*PIER_FORCES!$R$9:$R$3008)))</f>
        <v>0</v>
      </c>
      <c r="BB18" s="44">
        <f>IF(N(AY18)=0,0,SUMPRODUCT(MAX((PIER_FORCES!$O$9:$O$3008=8)*(PIER_FORCES!$P$9:$P$3008=1)*PIER_FORCES!$S$9:$S$3008)))</f>
        <v>0</v>
      </c>
      <c r="BC18" s="44">
        <f>IF(N(AY18)=0,0,-SUMPRODUCT(MAX((PIER_FORCES!$O$9:$O$3008=8)*(PIER_FORCES!$P$9:$P$3008=1)*(-PIER_FORCES!$Q$9:$Q$3008)+(1-(PIER_FORCES!$O$9:$O$3008=8)*(PIER_FORCES!$P$9:$P$3008=1))*(-1E9))))</f>
        <v>0</v>
      </c>
      <c r="BD18" s="44">
        <f>IF(N(AY18)=0,0,SUMPRODUCT(MAX((PIER_FORCES!$O$9:$O$3008=8)*(PIER_FORCES!$P$9:$P$3008=1)*PIER_FORCES!$Q$9:$Q$3008+(1-(PIER_FORCES!$O$9:$O$3008=8)*(PIER_FORCES!$P$9:$P$3008=1))*(-1E9))))</f>
        <v>0</v>
      </c>
      <c r="BE18" s="44">
        <f>IF(N(AZ18)=0,BD18,SUMPRODUCT(MAX((PIER_FORCES!$O$9:$O$3008=8)*(PIER_FORCES!$P$9:$P$3008=2)*PIER_FORCES!$Q$9:$Q$3008+(1-(PIER_FORCES!$O$9:$O$3008=8)*(PIER_FORCES!$P$9:$P$3008=2))*(-1E9))))</f>
        <v>0</v>
      </c>
      <c r="BF18" s="44">
        <f>IF(N(AZ18)=0,0,SUMPRODUCT(MAX((PIER_FORCES!$O$9:$O$3008=8)*(PIER_FORCES!$P$9:$P$3008=2)*PIER_FORCES!$R$9:$R$3008)))</f>
        <v>0</v>
      </c>
      <c r="BG18" s="43">
        <f>IF(N(AY18)=0,0,SUMPRODUCT(MAX((PIER_FORCES!$O$9:$O$3008=8)*(PIER_FORCES!$P$9:$P$3008=1)*(ABS(PIER_FORCES!$R$9:$R$3008-BA18)&lt;0.000001)*PIER_FORCES!$T$9:$T$3008)))</f>
        <v>0</v>
      </c>
      <c r="BH18" s="45" t="str">
        <f>IF(N(BG18)=0,"",INDEX(PIER_FORCES!$D$9:$D$3008,BG18)&amp;" "&amp;INDEX(PIER_FORCES!$F$9:$F$3008,BG18)&amp;" / "&amp;INDEX(PIER_FORCES!$G$9:$G$3008,BG18))</f>
        <v/>
      </c>
      <c r="BI18" s="42" t="str">
        <f>IF(B18="","",IF(AND(C18&lt;&gt;"",OR(D18="X",D18="Y"),ISNUMBER(F18),N(F18)&gt;0),"SÍ","NO"))</f>
        <v/>
      </c>
      <c r="BJ18" s="42" t="str">
        <f>IF(BI18&lt;&gt;"SÍ","",IF(DATOS!$C$108="ETABS (PIER_FORCES)",IF(N(AY18)&gt;0,"ETABS","NO ESTÁ EN PIER_FORCES"),"CAPTURA"))</f>
        <v/>
      </c>
      <c r="BK18" s="46" t="str">
        <f>IF(BI18&lt;&gt;"SÍ","",IF(BJ18="ETABS",BA18,IF(BJ18="CAPTURA",N(AQ18),0)))</f>
        <v/>
      </c>
      <c r="BL18" s="46" t="str">
        <f>IF(BI18&lt;&gt;"SÍ","",IF(BJ18="ETABS",BB18,IF(BJ18="CAPTURA",N(AR18),0)))</f>
        <v/>
      </c>
      <c r="BM18" s="46" t="str">
        <f>IF(BI18&lt;&gt;"SÍ","",IF(BJ18="ETABS",BC18/DATOS!$C$89,IF(BJ18="CAPTURA",N(AS18),0)))</f>
        <v/>
      </c>
      <c r="BN18" s="44" t="str">
        <f>IF(BI18&lt;&gt;"SÍ","",IF(BJ18="ETABS",BC18,IF(BJ18="CAPTURA",IF(ISNUMBER(AU18),AU18,N(AS18)*DATOS!$C$89),0)))</f>
        <v/>
      </c>
      <c r="BO18" s="44" t="str">
        <f>IF(BI18&lt;&gt;"SÍ","",IF(BJ18="ETABS",MAX(BD18,BE18),IF(BJ18="CAPTURA",N(AT18),0)))</f>
        <v/>
      </c>
      <c r="BP18" s="44" t="str">
        <f>IF(BI18&lt;&gt;"SÍ","",IF(BJ18="ETABS",BE18,IF(BJ18="CAPTURA",IF(ISNUMBER(AV18),AV18,N(AT18)),0)))</f>
        <v/>
      </c>
      <c r="BQ18" s="44" t="str">
        <f>IF(BI18&lt;&gt;"SÍ","",IF(BJ18="ETABS",BF18,IF(BJ18="CAPTURA",N(AW18),0)))</f>
        <v/>
      </c>
      <c r="BR18" s="43" t="str">
        <f>IF(BI18&lt;&gt;"SÍ","",IF(BK18&gt;0,100*BQ18/BK18,0))</f>
        <v/>
      </c>
      <c r="BS18" s="44" t="str">
        <f>IF(BI18&lt;&gt;"SÍ","",IF(ISNUMBER(G18),G18,DATOS!$C$57))</f>
        <v/>
      </c>
      <c r="BT18" s="47" t="str">
        <f>IF(BI18&lt;&gt;"SÍ","",IF(ISNUMBER(H18),H18,DATOS!$C$58))</f>
        <v/>
      </c>
      <c r="BU18" s="43" t="str">
        <f>IF(BI18&lt;&gt;"SÍ","",IF(N(K18)&gt;0,1+IF(N(P18)&gt;0,1+IF(N(U18)&gt;0,1+IF(N(Z18)&gt;0,1,0),0),0),0))</f>
        <v/>
      </c>
      <c r="BV18" s="45" t="str">
        <f>IF(BI18&lt;&gt;"SÍ","",IF(AND(OR(BU18&lt;1,AND(N(J18)&gt;=0-0.001,J18+K18&lt;=F18+0.001,N(L18)&gt;=0,N(L18)+N(M18)&lt;=BS18+0.001,N(M18)&gt;0,OR(I18="PUERTA",I18="VENTANA"))),OR(BU18&lt;2,AND(N(O18)&gt;=(J18+K18)-0.001,O18+P18&lt;=F18+0.001,N(Q18)&gt;=0,N(Q18)+N(R18)&lt;=BS18+0.001,N(R18)&gt;0,OR(N18="PUERTA",N18="VENTANA"))),OR(BU18&lt;3,AND(N(T18)&gt;=(O18+P18)-0.001,T18+U18&lt;=F18+0.001,N(V18)&gt;=0,N(V18)+N(W18)&lt;=BS18+0.001,N(W18)&gt;0,OR(S18="PUERTA",S18="VENTANA"))),OR(BU18&lt;4,AND(N(Y18)&gt;=(T18+U18)-0.001,Y18+Z18&lt;=F18+0.001,N(AA18)&gt;=0,N(AA18)+N(AB18)&lt;=BS18+0.001,N(AB18)&gt;0,OR(X18="PUERTA",X18="VENTANA"))),(N(K18)&gt;0)+(N(P18)&gt;0)+(N(U18)&gt;0)+(N(Z18)&gt;0)=BU18),"CUMPLE","REVISAR VANOS: tipo, orden de izquierda a derecha, que quepan en L y en H"))</f>
        <v/>
      </c>
      <c r="BW18" s="44" t="str">
        <f>IF(BI18&lt;&gt;"SÍ","",MAX(0,IF(BU18&gt;=1,N(J18),F18)))</f>
        <v/>
      </c>
      <c r="BX18" s="44" t="str">
        <f>IF(BI18&lt;&gt;"SÍ","",MAX(0,IF(BU18&gt;=2,N(O18)-(N(J18)+N(K18)),IF(BU18=1,F18-(N(J18)+N(K18)),0))))</f>
        <v/>
      </c>
      <c r="BY18" s="44" t="str">
        <f>IF(BI18&lt;&gt;"SÍ","",MAX(0,IF(BU18&gt;=3,N(T18)-(N(O18)+N(P18)),IF(BU18=2,F18-(N(O18)+N(P18)),0))))</f>
        <v/>
      </c>
      <c r="BZ18" s="44" t="str">
        <f>IF(BI18&lt;&gt;"SÍ","",MAX(0,IF(BU18&gt;=4,N(Y18)-(N(T18)+N(U18)),IF(BU18=3,F18-(N(T18)+N(U18)),0))))</f>
        <v/>
      </c>
      <c r="CA18" s="44" t="str">
        <f>IF(BI18&lt;&gt;"SÍ","",MAX(0,IF(BU18=4,F18-(N(Y18)+N(Z18)),0)))</f>
        <v/>
      </c>
      <c r="CB18" s="46" t="str">
        <f>IF(BI18&lt;&gt;"SÍ","",SUMPRODUCT((BW18:CA18&gt;=DATOS!$C$72-0.0001)*BW18:CA18))</f>
        <v/>
      </c>
      <c r="CC18" s="43" t="str">
        <f>IF(BI18&lt;&gt;"SÍ","",SUMPRODUCT(--(BW18:CA18&gt;=DATOS!$C$72-0.0001)))</f>
        <v/>
      </c>
      <c r="CD18" s="44" t="str">
        <f>IF(BI18&lt;&gt;"SÍ","",SUM(BW18:CA18))</f>
        <v/>
      </c>
      <c r="CE18" s="43" t="str">
        <f>IF(BI18&lt;&gt;"SÍ","",BT18*CB18*100)</f>
        <v/>
      </c>
      <c r="CF18" s="43" t="str">
        <f>IF(BI18&lt;&gt;"SÍ","",BT18*CD18*100)</f>
        <v/>
      </c>
      <c r="CG18" s="47" t="str">
        <f>IF(BI18&lt;&gt;"SÍ","",BS18*100/BT18)</f>
        <v/>
      </c>
      <c r="CH18" s="45" t="str">
        <f>IF(BI18&lt;&gt;"SÍ","",IF(AND(OR(DATOS!$C$14="TIPO II",BT18&gt;=12),CG18&lt;=25),"CUMPLE","NO CUMPLE: "&amp;IF(AND(DATOS!$C$14="TIPO I",BT18&lt;12),"t &lt; 12 cm ","")&amp;IF(CG18&gt;25,"H/t &gt; 25","")))</f>
        <v/>
      </c>
      <c r="CI18" s="44" t="str">
        <f>IF(BI18&lt;&gt;"SÍ","",MIN(1.5*BS18,4))</f>
        <v/>
      </c>
      <c r="CJ18" s="43" t="str">
        <f>IF(BI18&lt;&gt;"SÍ","",SUMPRODUCT((BW18:CA18&gt;=2*DATOS!$C$59/100)*INT((BW18:CA18-DATOS!$C$59/100)/CI18-0.000001)*((BW18:CA18-DATOS!$C$59/100)&gt;0)))</f>
        <v/>
      </c>
      <c r="CK18" s="43" t="str">
        <f>IF(BI18&lt;&gt;"SÍ","",SUMPRODUCT((BW18:CA18&gt;0.0001)*1+(BW18:CA18&gt;=2*DATOS!$C$59/100)*1)+CJ18)</f>
        <v/>
      </c>
      <c r="CL18" s="44" t="str">
        <f>IF(BI18&lt;&gt;"SÍ","",IF(ISNUMBER(AC18),AC18,DATOS!$C$61)*INDEX(TABLAS!$D$6:$D$14,MATCH(IF(AD18&lt;&gt;"",AD18,DATOS!$C$62),TABLAS!$B$6:$B$14,0)))</f>
        <v/>
      </c>
      <c r="CM18" s="44" t="str">
        <f>IF(BI18&lt;&gt;"SÍ","",CK18*DATOS!$C$78+IF(CK18&gt;=2,2,CK18)*(CL18-DATOS!$C$78))</f>
        <v/>
      </c>
      <c r="CN18" s="47" t="str">
        <f>IF(BI18&lt;&gt;"SÍ","",MAX(BS18*100/6,40))</f>
        <v/>
      </c>
      <c r="CO18" s="48" t="str">
        <f>IF(BI18&lt;&gt;"SÍ","",IF(CG18&lt;=20,IF(E18="INTERIOR",0.7,0.6),MIN(IF(E18="INTERIOR",0.7,0.6),(1-2/24)*(1-(IF(E18="INTERIOR",0.8,1)*CG18/30)^2))))</f>
        <v/>
      </c>
      <c r="CP18" s="47" t="str">
        <f>IF(BI18&lt;&gt;"SÍ","",DATOS!$C$87*CO18*(DATOS!$C$33*CF18+CM18*DATOS!$C$48)/1000)</f>
        <v/>
      </c>
      <c r="CQ18" s="46" t="str">
        <f>IF(BI18&lt;&gt;"SÍ","",IF(CP18&gt;0,BO18/CP18,99))</f>
        <v/>
      </c>
      <c r="CR18" s="47" t="str">
        <f>IF(BI18&lt;&gt;"SÍ","",MAX(0,F18*100-DATOS!$C$59))</f>
        <v/>
      </c>
      <c r="CS18" s="47" t="str">
        <f>IF(BI18&lt;&gt;"SÍ","",MAX(0,F18*100-DATOS!$C$59/2))</f>
        <v/>
      </c>
      <c r="CT18" s="44" t="str">
        <f>IF(BI18&lt;&gt;"SÍ","",CL18*DATOS!$C$48*CR18/100000)</f>
        <v/>
      </c>
      <c r="CU18" s="44" t="str">
        <f>IF(BI18&lt;&gt;"SÍ","",IF(BN18&lt;0,0.8*CT18*MAX(0,1+BN18/(0.8*CM18*DATOS!$C$48/1000)),IF(BN18&lt;=CP18/3,0.8*CT18+0.3*BN18*CS18/100,(1.5*0.6*CT18+0.15*CP18*CS18/100)*MAX(0,1-BN18/CP18))))</f>
        <v/>
      </c>
      <c r="CV18" s="44" t="str">
        <f>IF(BI18&lt;&gt;"SÍ","",IF(BO18&lt;0,0.8*CT18*MAX(0,1+BO18/(0.8*CM18*DATOS!$C$48/1000)),IF(BO18&lt;=CP18/3,0.8*CT18+0.3*BO18*CS18/100,(1.5*0.6*CT18+0.15*CP18*CS18/100)*MAX(0,1-BO18/CP18))))</f>
        <v/>
      </c>
      <c r="CW18" s="46" t="str">
        <f>IF(BI18&lt;&gt;"SÍ","",MAX(0,MIN(CU18,CV18)))</f>
        <v/>
      </c>
      <c r="CX18" s="49" t="str">
        <f>IF(BI18&lt;&gt;"SÍ","",IF(CW18&gt;0,BL18/CW18,IF(BL18&gt;0,99,0)))</f>
        <v/>
      </c>
      <c r="CY18" s="44" t="str">
        <f>IF(BI18&lt;&gt;"SÍ","",IF(BW18&gt;0,MAX(1,MIN(1.5,1.5-0.625*(BS18/BW18-0.2))),0))</f>
        <v/>
      </c>
      <c r="CZ18" s="44" t="str">
        <f>IF(BI18&lt;&gt;"SÍ","",IF(BX18&gt;0,MAX(1,MIN(1.5,1.5-0.625*(BS18/BX18-0.2))),0))</f>
        <v/>
      </c>
      <c r="DA18" s="44" t="str">
        <f>IF(BI18&lt;&gt;"SÍ","",IF(BY18&gt;0,MAX(1,MIN(1.5,1.5-0.625*(BS18/BY18-0.2))),0))</f>
        <v/>
      </c>
      <c r="DB18" s="44" t="str">
        <f>IF(BI18&lt;&gt;"SÍ","",IF(BZ18&gt;0,MAX(1,MIN(1.5,1.5-0.625*(BS18/BZ18-0.2))),0))</f>
        <v/>
      </c>
      <c r="DC18" s="44" t="str">
        <f>IF(BI18&lt;&gt;"SÍ","",IF(CA18&gt;0,MAX(1,MIN(1.5,1.5-0.625*(BS18/CA18-0.2))),0))</f>
        <v/>
      </c>
      <c r="DD18" s="44" t="str">
        <f>IF(BI18&lt;&gt;"SÍ","",IF(OR(BW18&lt;DATOS!$C$72-0.0001,BM18&lt;0,CB18&lt;=0),0,MIN(DATOS!$C$86*(0.5*DATOS!$C$41*BT18*BW18*100+0.3*BM18*BW18/CB18*1000)*CY18,1.5*DATOS!$C$86*DATOS!$C$41*BT18*BW18*100*CY18)/1000))</f>
        <v/>
      </c>
      <c r="DE18" s="44" t="str">
        <f>IF(BI18&lt;&gt;"SÍ","",IF(OR(BX18&lt;DATOS!$C$72-0.0001,BM18&lt;0,CB18&lt;=0),0,MIN(DATOS!$C$86*(0.5*DATOS!$C$41*BT18*BX18*100+0.3*BM18*BX18/CB18*1000)*CZ18,1.5*DATOS!$C$86*DATOS!$C$41*BT18*BX18*100*CZ18)/1000))</f>
        <v/>
      </c>
      <c r="DF18" s="44" t="str">
        <f>IF(BI18&lt;&gt;"SÍ","",IF(OR(BY18&lt;DATOS!$C$72-0.0001,BM18&lt;0,CB18&lt;=0),0,MIN(DATOS!$C$86*(0.5*DATOS!$C$41*BT18*BY18*100+0.3*BM18*BY18/CB18*1000)*DA18,1.5*DATOS!$C$86*DATOS!$C$41*BT18*BY18*100*DA18)/1000))</f>
        <v/>
      </c>
      <c r="DG18" s="44" t="str">
        <f>IF(BI18&lt;&gt;"SÍ","",IF(OR(BZ18&lt;DATOS!$C$72-0.0001,BM18&lt;0,CB18&lt;=0),0,MIN(DATOS!$C$86*(0.5*DATOS!$C$41*BT18*BZ18*100+0.3*BM18*BZ18/CB18*1000)*DB18,1.5*DATOS!$C$86*DATOS!$C$41*BT18*BZ18*100*DB18)/1000))</f>
        <v/>
      </c>
      <c r="DH18" s="44" t="str">
        <f>IF(BI18&lt;&gt;"SÍ","",IF(OR(CA18&lt;DATOS!$C$72-0.0001,BM18&lt;0,CB18&lt;=0),0,MIN(DATOS!$C$86*(0.5*DATOS!$C$41*BT18*CA18*100+0.3*BM18*CA18/CB18*1000)*DC18,1.5*DATOS!$C$86*DATOS!$C$41*BT18*CA18*100*DC18)/1000))</f>
        <v/>
      </c>
      <c r="DI18" s="46" t="str">
        <f>IF(BI18&lt;&gt;"SÍ","",SUM(DD18:DH18))</f>
        <v/>
      </c>
      <c r="DJ18" s="48" t="str">
        <f>IF(BI18&lt;&gt;"SÍ","",IF(AE18="VARILLA EN JUNTAS",IF(ISNUMBER(AF18),AF18,2)*INDEX(TABLAS!$D$6:$D$14,MATCH(IF(AG18&lt;&gt;"",AG18,DATOS!$C$73),TABLAS!$B$6:$B$14,0)),IF(AE18="MALLA",IF(ISNUMBER(AF18),AF18,1)*INDEX(TABLAS!$D$19:$D$22,MATCH(IF(AG18&lt;&gt;"",AG18,DATOS!$C$74),TABLAS!$B$19:$B$22,0))/100,IF(AE18="ESCALERILLA",IF(ISNUMBER(AF18),AF18,2)*INDEX(TABLAS!$D$6:$D$14,MATCH(IF(AG18&lt;&gt;"",AG18,DATOS!$C$73),TABLAS!$B$6:$B$14,0)),0))))</f>
        <v/>
      </c>
      <c r="DK18" s="47" t="str">
        <f>IF(BI18&lt;&gt;"SÍ","",IF(OR(AE18="VARILLA EN JUNTAS",AE18="ESCALERILLA"),IF(ISNUMBER(AH18),AH18,2)*DATOS!$C$26,IF(AE18="MALLA",1,0)))</f>
        <v/>
      </c>
      <c r="DL18" s="44" t="str">
        <f>IF(BI18&lt;&gt;"SÍ","",IF(DK18&gt;0,DJ18/(DK18*BT18)*MIN(DATOS!$C$50,IF(AE18="MALLA",5000,6000)),0))</f>
        <v/>
      </c>
      <c r="DM18" s="44" t="str">
        <f>IF(BI18&lt;&gt;"SÍ","",IF(AE18="ESCALERILLA",0,MIN(DL18,0.1*DATOS!$C$33*DATOS!$C$24)))</f>
        <v/>
      </c>
      <c r="DN18" s="48" t="str">
        <f>IF(BI18&lt;&gt;"SÍ","",IF(AE18="MALLA",0.5,IF(DATOS!$C$33&lt;=60,0.55,IF(DATOS!$C$33&gt;=90,0.75,0.55+0.2*(DATOS!$C$33-60)/30))))</f>
        <v/>
      </c>
      <c r="DO18" s="48" t="str">
        <f>IF(BI18&lt;&gt;"SÍ","",1-DATOS!$C$91*DM18)</f>
        <v/>
      </c>
      <c r="DP18" s="44" t="str">
        <f>IF(BI18&lt;&gt;"SÍ","",IF(BW18&gt;0,IF(BS18/BW18&lt;=1,1.3,IF(BS18/BW18&gt;=1.5,1,1.3-0.6*(BS18/BW18-1))),0))</f>
        <v/>
      </c>
      <c r="DQ18" s="44" t="str">
        <f>IF(BI18&lt;&gt;"SÍ","",IF(BX18&gt;0,IF(BS18/BX18&lt;=1,1.3,IF(BS18/BX18&gt;=1.5,1,1.3-0.6*(BS18/BX18-1))),0))</f>
        <v/>
      </c>
      <c r="DR18" s="44" t="str">
        <f>IF(BI18&lt;&gt;"SÍ","",IF(BY18&gt;0,IF(BS18/BY18&lt;=1,1.3,IF(BS18/BY18&gt;=1.5,1,1.3-0.6*(BS18/BY18-1))),0))</f>
        <v/>
      </c>
      <c r="DS18" s="44" t="str">
        <f>IF(BI18&lt;&gt;"SÍ","",IF(BZ18&gt;0,IF(BS18/BZ18&lt;=1,1.3,IF(BS18/BZ18&gt;=1.5,1,1.3-0.6*(BS18/BZ18-1))),0))</f>
        <v/>
      </c>
      <c r="DT18" s="44" t="str">
        <f>IF(BI18&lt;&gt;"SÍ","",IF(CA18&gt;0,IF(BS18/CA18&lt;=1,1.3,IF(BS18/CA18&gt;=1.5,1,1.3-0.6*(BS18/CA18-1))),0))</f>
        <v/>
      </c>
      <c r="DU18" s="44" t="str">
        <f>IF(BI18&lt;&gt;"SÍ","",IF(OR(DM18&lt;=0,BW18&lt;DATOS!$C$72-0.0001),0,DATOS!$C$86*MAX(0,IF(BM18&gt;=0,DD18/(DATOS!$C$86*DM18*BT18*BW18*100/1000)*(DP18*DO18-1)+DN18,DO18*DN18))*DM18*BT18*BW18*100/1000))</f>
        <v/>
      </c>
      <c r="DV18" s="44" t="str">
        <f>IF(BI18&lt;&gt;"SÍ","",IF(OR(DM18&lt;=0,BX18&lt;DATOS!$C$72-0.0001),0,DATOS!$C$86*MAX(0,IF(BM18&gt;=0,DE18/(DATOS!$C$86*DM18*BT18*BX18*100/1000)*(DQ18*DO18-1)+DN18,DO18*DN18))*DM18*BT18*BX18*100/1000))</f>
        <v/>
      </c>
      <c r="DW18" s="44" t="str">
        <f>IF(BI18&lt;&gt;"SÍ","",IF(OR(DM18&lt;=0,BY18&lt;DATOS!$C$72-0.0001),0,DATOS!$C$86*MAX(0,IF(BM18&gt;=0,DF18/(DATOS!$C$86*DM18*BT18*BY18*100/1000)*(DR18*DO18-1)+DN18,DO18*DN18))*DM18*BT18*BY18*100/1000))</f>
        <v/>
      </c>
      <c r="DX18" s="44" t="str">
        <f>IF(BI18&lt;&gt;"SÍ","",IF(OR(DM18&lt;=0,BZ18&lt;DATOS!$C$72-0.0001),0,DATOS!$C$86*MAX(0,IF(BM18&gt;=0,DG18/(DATOS!$C$86*DM18*BT18*BZ18*100/1000)*(DS18*DO18-1)+DN18,DO18*DN18))*DM18*BT18*BZ18*100/1000))</f>
        <v/>
      </c>
      <c r="DY18" s="44" t="str">
        <f>IF(BI18&lt;&gt;"SÍ","",IF(OR(DM18&lt;=0,CA18&lt;DATOS!$C$72-0.0001),0,DATOS!$C$86*MAX(0,IF(BM18&gt;=0,DH18/(DATOS!$C$86*DM18*BT18*CA18*100/1000)*(DT18*DO18-1)+DN18,DO18*DN18))*DM18*BT18*CA18*100/1000))</f>
        <v/>
      </c>
      <c r="DZ18" s="46" t="str">
        <f>IF(BI18&lt;&gt;"SÍ","",SUM(DU18:DY18))</f>
        <v/>
      </c>
      <c r="EA18" s="45" t="str">
        <f>IF(BI18&lt;&gt;"SÍ","",IF(OR(AE18="",AE18="NINGUNO"),IF(DATOS!$C$41&gt;=10,"FALTA refuerzo horizontal: v'm ≥ 10 kg/cm² (6.5.2.2)",IF(AND(BM18&lt;0,BK18&gt;0),"FALTA: P en tensión, el refuerzo debe tomar todo el cortante (6.5.1.3)","—")),IF(AE18="ESCALERILLA","NO CUENTA: la escalerilla no se permite para cortante por sismo (6.5.3.1.2)",IF(AE18="MALLA",IF(AND(DL18&gt;=2.5,DL18&lt;=MAX(0.15*DATOS!$C$33*DATOS!$C$24,2.5)),"CUMPLE","NO CUMPLE: "&amp;IF(DL18&lt;2.5,"p_h·f_yh &lt; 2.5 (6.5.4.2.4)","p_h·f_yh &gt; 0.15·f'm·f_an (6.5.4.2.4)")),IF(AND(DK18&lt;=MIN(6*DATOS!$C$26,45),DL18&gt;=3,DL18&lt;=MIN(MAX(0.15*DATOS!$C$33*DATOS!$C$24,3),0.05*DATOS!$C$25/10*MIN(DATOS!$C$50,6000)/DK18),INDEX(TABLAS!$C$6:$C$14,MATCH(IF(AG18&lt;&gt;"",AG18,DATOS!$C$73),TABLAS!$B$6:$B$14,0))&gt;=0.35,INDEX(TABLAS!$C$6:$C$14,MATCH(IF(AG18&lt;&gt;"",AG18,DATOS!$C$73),TABLAS!$B$6:$B$14,0))&lt;=0.75*DATOS!$C$25/10),"CUMPLE","NO CUMPLE: "&amp;IF(DK18&gt;MIN(6*DATOS!$C$26,45),"s_h &gt; 6 hiladas o 45 cm (6.5.3.2.1) ","")&amp;IF(DL18&lt;3,"p_h·f_yh &lt; 3 (6.5.3.3.1) ","")&amp;IF(DL18&gt;MIN(MAX(0.15*DATOS!$C$33*DATOS!$C$24,3),0.05*DATOS!$C$25/10*MIN(DATOS!$C$50,6000)/DK18),"p_h·f_yh &gt; máximo (6.5.3.3.2) ","")&amp;IF(OR(INDEX(TABLAS!$C$6:$C$14,MATCH(IF(AG18&lt;&gt;"",AG18,DATOS!$C$73),TABLAS!$B$6:$B$14,0))&lt;0.35,INDEX(TABLAS!$C$6:$C$14,MATCH(IF(AG18&lt;&gt;"",AG18,DATOS!$C$73),TABLAS!$B$6:$B$14,0))&gt;0.75*DATOS!$C$25/10),"diámetro fuera de 3.5 mm a 0.75·h_j (4.2.2.2.1)",""))))))</f>
        <v/>
      </c>
      <c r="EB18" s="46" t="str">
        <f>IF(BI18&lt;&gt;"SÍ","",DI18+DZ18)</f>
        <v/>
      </c>
      <c r="EC18" s="50" t="str">
        <f>IF(BI18&lt;&gt;"SÍ","",IF(EB18&gt;0,BK18/EB18,IF(BK18&gt;0,99,0)))</f>
        <v/>
      </c>
      <c r="ED18" s="47" t="str">
        <f>IF(BI18&lt;&gt;"SÍ","",IF(CE18&lt;=0,-1,IF(BK18&lt;=DI18,0,IF(IF(BM18&gt;=0,IF((DATOS!$C$86*IF(AE18="MALLA",0.5,IF(DATOS!$C$33&lt;=60,0.55,IF(DATOS!$C$33&gt;=90,0.75,0.55+0.2*(DATOS!$C$33-60)/30)))*CE18/1000-DATOS!$C$91*SUMPRODUCT(DP18:DT18,DD18:DH18))&lt;=0,1E9,(BK18-SUMPRODUCT(DP18:DT18,DD18:DH18))/(DATOS!$C$86*IF(AE18="MALLA",0.5,IF(DATOS!$C$33&lt;=60,0.55,IF(DATOS!$C$33&gt;=90,0.75,0.55+0.2*(DATOS!$C$33-60)/30)))*CE18/1000-DATOS!$C$91*SUMPRODUCT(DP18:DT18,DD18:DH18))),IF((1-4*DATOS!$C$91*BK18*1000/(DATOS!$C$86*IF(AE18="MALLA",0.5,IF(DATOS!$C$33&lt;=60,0.55,IF(DATOS!$C$33&gt;=90,0.75,0.55+0.2*(DATOS!$C$33-60)/30)))*MAX(CE18,1)))&lt;0,1E9,(1-SQRT((1-4*DATOS!$C$91*BK18*1000/(DATOS!$C$86*IF(AE18="MALLA",0.5,IF(DATOS!$C$33&lt;=60,0.55,IF(DATOS!$C$33&gt;=90,0.75,0.55+0.2*(DATOS!$C$33-60)/30)))*MAX(CE18,1)))))/(2*DATOS!$C$91)))&gt;0.1*DATOS!$C$33*DATOS!$C$24+0.000001,-1,MAX(IF(AE18="MALLA",2.5,3),IF(BM18&gt;=0,IF((DATOS!$C$86*IF(AE18="MALLA",0.5,IF(DATOS!$C$33&lt;=60,0.55,IF(DATOS!$C$33&gt;=90,0.75,0.55+0.2*(DATOS!$C$33-60)/30)))*CE18/1000-DATOS!$C$91*SUMPRODUCT(DP18:DT18,DD18:DH18))&lt;=0,1E9,(BK18-SUMPRODUCT(DP18:DT18,DD18:DH18))/(DATOS!$C$86*IF(AE18="MALLA",0.5,IF(DATOS!$C$33&lt;=60,0.55,IF(DATOS!$C$33&gt;=90,0.75,0.55+0.2*(DATOS!$C$33-60)/30)))*CE18/1000-DATOS!$C$91*SUMPRODUCT(DP18:DT18,DD18:DH18))),IF((1-4*DATOS!$C$91*BK18*1000/(DATOS!$C$86*IF(AE18="MALLA",0.5,IF(DATOS!$C$33&lt;=60,0.55,IF(DATOS!$C$33&gt;=90,0.75,0.55+0.2*(DATOS!$C$33-60)/30)))*MAX(CE18,1)))&lt;0,1E9,(1-SQRT((1-4*DATOS!$C$91*BK18*1000/(DATOS!$C$86*IF(AE18="MALLA",0.5,IF(DATOS!$C$33&lt;=60,0.55,IF(DATOS!$C$33&gt;=90,0.75,0.55+0.2*(DATOS!$C$33-60)/30)))*MAX(CE18,1)))))/(2*DATOS!$C$91))))))))</f>
        <v/>
      </c>
      <c r="EE18" s="45" t="str">
        <f>IF(BI18&lt;&gt;"SÍ","",IF(ED18=0,"NO REQUIERE: V_mR ≥ V_u",IF(ED18&lt;0,"NO ALCANZA con refuerzo horizontal (haría falta más de 0.1·f'm·f_an efectivo): sube v'm con ensayes, el espesor o la longitud del muro",IF(AND(OR(AE18="VARILLA EN JUNTAS",AE18="MALLA"),LEFT(EA18,6)="CUMPLE",EC18&lt;=1),"YA LO TIENE (pide p_h·f_yh ≥ "&amp;TEXT(ED18,"0.0")&amp;" kg/cm²)","p_h·f_yh ≥ "&amp;TEXT(ED18,"0.0")&amp;" kg/cm² → "&amp;IF(AND(MIN(6,FLOOR(45/DATOS!$C$26,1),FLOOR((2*INDEX(TABLAS!$D$6:$D$14,MATCH("3/16 in",TABLAS!$B$6:$B$14,0)))*MIN(DATOS!$C$50,6000)/(BT18*DATOS!$C$26*MAX(ED18,0.001)),1))&gt;=1,((2*INDEX(TABLAS!$D$6:$D$14,MATCH("3/16 in",TABLAS!$B$6:$B$14,0)))*MIN(DATOS!$C$50,6000)/(MAX(MIN(6,FLOOR(45/DATOS!$C$26,1),FLOOR((2*INDEX(TABLAS!$D$6:$D$14,MATCH("3/16 in",TABLAS!$B$6:$B$14,0)))*MIN(DATOS!$C$50,6000)/(BT18*DATOS!$C$26*MAX(ED18,0.001)),1)),1)*DATOS!$C$26*BT18))&lt;=MIN(MAX(0.15*DATOS!$C$33*DATOS!$C$24,3),0.05*DATOS!$C$25/10*MIN(DATOS!$C$50,6000)/(MIN(6,FLOOR(45/DATOS!$C$26,1),FLOOR((2*INDEX(TABLAS!$D$6:$D$14,MATCH("3/16 in",TABLAS!$B$6:$B$14,0)))*MIN(DATOS!$C$50,6000)/(BT18*DATOS!$C$26*MAX(ED18,0.001)),1))*DATOS!$C$26))),"2 alambres de 3/16"" por junta cada "&amp;MIN(6,FLOOR(45/DATOS!$C$26,1),FLOOR((2*INDEX(TABLAS!$D$6:$D$14,MATCH("3/16 in",TABLAS!$B$6:$B$14,0)))*MIN(DATOS!$C$50,6000)/(BT18*DATOS!$C$26*MAX(ED18,0.001)),1))&amp;" hilada(s) (p_h·f_yh = "&amp;TEXT(((2*INDEX(TABLAS!$D$6:$D$14,MATCH("3/16 in",TABLAS!$B$6:$B$14,0)))*MIN(DATOS!$C$50,6000)/(MAX(MIN(6,FLOOR(45/DATOS!$C$26,1),FLOOR((2*INDEX(TABLAS!$D$6:$D$14,MATCH("3/16 in",TABLAS!$B$6:$B$14,0)))*MIN(DATOS!$C$50,6000)/(BT18*DATOS!$C$26*MAX(ED18,0.001)),1)),1)*DATOS!$C$26*BT18)),"0.00")&amp;")",IF(AND(MIN(6,FLOOR(45/DATOS!$C$26,1),FLOOR((2*INDEX(TABLAS!$D$6:$D$14,MATCH("5/32 in",TABLAS!$B$6:$B$14,0)))*MIN(DATOS!$C$50,6000)/(BT18*DATOS!$C$26*MAX(ED18,0.001)),1))&gt;=1,((2*INDEX(TABLAS!$D$6:$D$14,MATCH("5/32 in",TABLAS!$B$6:$B$14,0)))*MIN(DATOS!$C$50,6000)/(MAX(MIN(6,FLOOR(45/DATOS!$C$26,1),FLOOR((2*INDEX(TABLAS!$D$6:$D$14,MATCH("5/32 in",TABLAS!$B$6:$B$14,0)))*MIN(DATOS!$C$50,6000)/(BT18*DATOS!$C$26*MAX(ED18,0.001)),1)),1)*DATOS!$C$26*BT18))&lt;=MIN(MAX(0.15*DATOS!$C$33*DATOS!$C$24,3),0.05*DATOS!$C$25/10*MIN(DATOS!$C$50,6000)/(MIN(6,FLOOR(45/DATOS!$C$26,1),FLOOR((2*INDEX(TABLAS!$D$6:$D$14,MATCH("5/32 in",TABLAS!$B$6:$B$14,0)))*MIN(DATOS!$C$50,6000)/(BT18*DATOS!$C$26*MAX(ED18,0.001)),1))*DATOS!$C$26))),"2 alambres de 5/32"" por junta cada "&amp;MIN(6,FLOOR(45/DATOS!$C$26,1),FLOOR((2*INDEX(TABLAS!$D$6:$D$14,MATCH("5/32 in",TABLAS!$B$6:$B$14,0)))*MIN(DATOS!$C$50,6000)/(BT18*DATOS!$C$26*MAX(ED18,0.001)),1))&amp;" hilada(s) (p_h·f_yh = "&amp;TEXT(((2*INDEX(TABLAS!$D$6:$D$14,MATCH("5/32 in",TABLAS!$B$6:$B$14,0)))*MIN(DATOS!$C$50,6000)/(MAX(MIN(6,FLOOR(45/DATOS!$C$26,1),FLOOR((2*INDEX(TABLAS!$D$6:$D$14,MATCH("5/32 in",TABLAS!$B$6:$B$14,0)))*MIN(DATOS!$C$50,6000)/(BT18*DATOS!$C$26*MAX(ED18,0.001)),1)),1)*DATOS!$C$26*BT18)),"0.00")&amp;")",IF(AND(MIN(6,FLOOR(45/DATOS!$C$26,1),FLOOR((1*INDEX(TABLAS!$D$6:$D$14,MATCH("3/16 in",TABLAS!$B$6:$B$14,0)))*MIN(DATOS!$C$50,6000)/(BT18*DATOS!$C$26*MAX(ED18,0.001)),1))&gt;=1,((1*INDEX(TABLAS!$D$6:$D$14,MATCH("3/16 in",TABLAS!$B$6:$B$14,0)))*MIN(DATOS!$C$50,6000)/(MAX(MIN(6,FLOOR(45/DATOS!$C$26,1),FLOOR((1*INDEX(TABLAS!$D$6:$D$14,MATCH("3/16 in",TABLAS!$B$6:$B$14,0)))*MIN(DATOS!$C$50,6000)/(BT18*DATOS!$C$26*MAX(ED18,0.001)),1)),1)*DATOS!$C$26*BT18))&lt;=MIN(MAX(0.15*DATOS!$C$33*DATOS!$C$24,3),0.05*DATOS!$C$25/10*MIN(DATOS!$C$50,6000)/(MIN(6,FLOOR(45/DATOS!$C$26,1),FLOOR((1*INDEX(TABLAS!$D$6:$D$14,MATCH("3/16 in",TABLAS!$B$6:$B$14,0)))*MIN(DATOS!$C$50,6000)/(BT18*DATOS!$C$26*MAX(ED18,0.001)),1))*DATOS!$C$26))),"1 alambre de 3/16"" por junta cada "&amp;MIN(6,FLOOR(45/DATOS!$C$26,1),FLOOR((1*INDEX(TABLAS!$D$6:$D$14,MATCH("3/16 in",TABLAS!$B$6:$B$14,0)))*MIN(DATOS!$C$50,6000)/(BT18*DATOS!$C$26*MAX(ED18,0.001)),1))&amp;" hilada(s) (p_h·f_yh = "&amp;TEXT(((1*INDEX(TABLAS!$D$6:$D$14,MATCH("3/16 in",TABLAS!$B$6:$B$14,0)))*MIN(DATOS!$C$50,6000)/(MAX(MIN(6,FLOOR(45/DATOS!$C$26,1),FLOOR((1*INDEX(TABLAS!$D$6:$D$14,MATCH("3/16 in",TABLAS!$B$6:$B$14,0)))*MIN(DATOS!$C$50,6000)/(BT18*DATOS!$C$26*MAX(ED18,0.001)),1)),1)*DATOS!$C$26*BT18)),"0.00")&amp;")",IF(AND(MIN(6,FLOOR(45/DATOS!$C$26,1),FLOOR((1*INDEX(TABLAS!$D$6:$D$14,MATCH("5/32 in",TABLAS!$B$6:$B$14,0)))*MIN(DATOS!$C$50,6000)/(BT18*DATOS!$C$26*MAX(ED18,0.001)),1))&gt;=1,((1*INDEX(TABLAS!$D$6:$D$14,MATCH("5/32 in",TABLAS!$B$6:$B$14,0)))*MIN(DATOS!$C$50,6000)/(MAX(MIN(6,FLOOR(45/DATOS!$C$26,1),FLOOR((1*INDEX(TABLAS!$D$6:$D$14,MATCH("5/32 in",TABLAS!$B$6:$B$14,0)))*MIN(DATOS!$C$50,6000)/(BT18*DATOS!$C$26*MAX(ED18,0.001)),1)),1)*DATOS!$C$26*BT18))&lt;=MIN(MAX(0.15*DATOS!$C$33*DATOS!$C$24,3),0.05*DATOS!$C$25/10*MIN(DATOS!$C$50,6000)/(MIN(6,FLOOR(45/DATOS!$C$26,1),FLOOR((1*INDEX(TABLAS!$D$6:$D$14,MATCH("5/32 in",TABLAS!$B$6:$B$14,0)))*MIN(DATOS!$C$50,6000)/(BT18*DATOS!$C$26*MAX(ED18,0.001)),1))*DATOS!$C$26))),"1 alambre de 5/32"" por junta cada "&amp;MIN(6,FLOOR(45/DATOS!$C$26,1),FLOOR((1*INDEX(TABLAS!$D$6:$D$14,MATCH("5/32 in",TABLAS!$B$6:$B$14,0)))*MIN(DATOS!$C$50,6000)/(BT18*DATOS!$C$26*MAX(ED18,0.001)),1))&amp;" hilada(s) (p_h·f_yh = "&amp;TEXT(((1*INDEX(TABLAS!$D$6:$D$14,MATCH("5/32 in",TABLAS!$B$6:$B$14,0)))*MIN(DATOS!$C$50,6000)/(MAX(MIN(6,FLOOR(45/DATOS!$C$26,1),FLOOR((1*INDEX(TABLAS!$D$6:$D$14,MATCH("5/32 in",TABLAS!$B$6:$B$14,0)))*MIN(DATOS!$C$50,6000)/(BT18*DATOS!$C$26*MAX(ED18,0.001)),1)),1)*DATOS!$C$26*BT18)),"0.00")&amp;")","ninguna combinación de 1 o 2 alambres por junta queda entre el mínimo y el máximo: revisa con malla (6.5.4)"))))))))</f>
        <v/>
      </c>
      <c r="EF18" s="43" t="str">
        <f>IF(BI18&lt;&gt;"SÍ","",IF(AI18="SÍ",N(AK18)*N(AL18)^3/12,0))</f>
        <v/>
      </c>
      <c r="EG18" s="48" t="str">
        <f>IF(BI18&lt;&gt;"SÍ","",IF(AND(AI18="SÍ",N(AM18)&gt;0),MIN(1,F18/AM18),0))</f>
        <v/>
      </c>
      <c r="EH18" s="47" t="str">
        <f>IF(BI18&lt;&gt;"SÍ","",IF(AI18="SÍ",BP18*1000/(BT18*F18*100)*BT18*(EG18^4-4*EG18^3+8*EG18),0))</f>
        <v/>
      </c>
      <c r="EI18" s="48" t="str">
        <f>IF(BI18&lt;&gt;"SÍ","",IF(AND(AI18="SÍ",EH18&gt;0),EH18/(EH18+5*N(AN18)*10),0))</f>
        <v/>
      </c>
      <c r="EJ18" s="44" t="str">
        <f>IF(BI18&lt;&gt;"SÍ","",IF(AND(AI18="SÍ",EI18&gt;0,EF18&gt;0),(DATOS!$C$43*BT18*(AM18*100)^3/(DATOS!$C$53*EF18*EI18))^0.25,0))</f>
        <v/>
      </c>
      <c r="EK18" s="44" t="str">
        <f>IF(BI18&lt;&gt;"SÍ","",IF(AI18&lt;&gt;"SÍ",0,IF(N(AM18)&lt;=F18,1,IF(MIN(1,N(AO18)/((AM18-F18)/2))&lt;=0.5,0.7+0.6*MIN(1,N(AO18)/((AM18-F18)/2)),1.5-MIN(1,N(AO18)/((AM18-F18)/2))))))</f>
        <v/>
      </c>
      <c r="EL18" s="44" t="str">
        <f>IF(BI18&lt;&gt;"SÍ","",IF(AI18&lt;&gt;"SÍ",0,MAX(1,IF(EG18&gt;=1,(1.6*EJ18-3.9),IF(EG18&lt;0.9,((3.2*EJ18-7.8)*EK18),((3.2*EJ18-7.8)*EK18)+((1.6*EJ18-3.9)-((3.2*EJ18-7.8)*EK18))*(EG18-0.9)/0.1)))))</f>
        <v/>
      </c>
      <c r="EM18" s="47" t="str">
        <f>IF(BI18&lt;&gt;"SÍ","",IF(AI18="SÍ",EL18*BP18*1000/(BT18*F18*100),0))</f>
        <v/>
      </c>
      <c r="EN18" s="47" t="str">
        <f>IF(BI18&lt;&gt;"SÍ","",IF(AND(AI18="SÍ",N(AL18)&gt;0),AM18*100/AL18,0))</f>
        <v/>
      </c>
      <c r="EO18" s="47" t="str">
        <f>IF(BI18&lt;&gt;"SÍ","",IF(AI18="SÍ",(1/15*DATOS!$C$53*N(AK18)/MAX((IF(ISNUMBER(AP18),AP18,BP18/DATOS!$C$90)*1000/(BT18*F18*100)*BT18*(EG18^4-4*EG18^3+8*EG18))+5*N(AN18)/DATOS!$C$90*10,0.001))^(1/3),0))</f>
        <v/>
      </c>
      <c r="EP18" s="45" t="str">
        <f>IF(BI18&lt;&gt;"SÍ","",IF(AI18&lt;&gt;"SÍ","—",IF(OR(N(AK18)&lt;=0,N(AL18)&lt;=0,N(AM18)&lt;=0),"REVISAR: faltan b, h o L_v de la viga",IF(AND(EM18&lt;=DATOS!$C$87*DATOS!$C$33,EN18&lt;=14,N(AL18)&gt;=25,EN18&lt;=EO18),IF(BS18/F18&lt;0.6,"PENDIENTE: H/L &lt; 0.6, falta el análisis de interacción muro–viga (4.1.18.2.1); f_CM es estimado","CUMPLE"),"NO CUMPLE: "&amp;IF(EM18&gt;DATOS!$C$87*DATOS!$C$33,"f_CM &gt; F_R·f'm ","")&amp;IF(EN18&gt;14,"L_v/h_v &gt; 14 ","")&amp;IF(N(AL18)&lt;25,"h_v &lt; 25 cm ","")&amp;IF(EN18&gt;EO18,"flecha (4.1.18.3)","")))))</f>
        <v/>
      </c>
      <c r="EQ18" s="44" t="str">
        <f>IF(BI18&lt;&gt;"SÍ","",MAX(0,F18*BS18-(N(K18)*N(M18)+N(P18)*N(R18)+N(U18)*N(W18)+N(Z18)*N(AB18))-CK18*DATOS!$C$59/100*BS18))</f>
        <v/>
      </c>
      <c r="ER18" s="48" t="str">
        <f>IF(BI18&lt;&gt;"SÍ","",CK18*DATOS!$C$59*DATOS!$C$60/10000*BS18)</f>
        <v/>
      </c>
      <c r="ES18" s="47" t="str">
        <f>IF(BI18&lt;&gt;"SÍ","",CK18*(DATOS!$C$61*(BS18+0.6)*INDEX(TABLAS!$E$6:$E$14,MATCH(DATOS!$C$62,TABLAS!$B$6:$B$14,0))+(2*ROUNDUP(CN18/DATOS!$C$65,0)+ROUNDUP(MAX(0,BS18*100-2*CN18)/DATOS!$C$64,0))*((2*(DATOS!$C$60+DATOS!$C$59-4*(DATOS!$C$66-INDEX(TABLAS!$C$6:$C$14,MATCH(DATOS!$C$63,TABLAS!$B$6:$B$14,0))))+15)/100)*INDEX(TABLAS!$E$6:$E$14,MATCH(DATOS!$C$63,TABLAS!$B$6:$B$14,0))))</f>
        <v/>
      </c>
      <c r="ET18" s="47" t="str">
        <f>IF(BI18&lt;&gt;"SÍ","",IF(OR(AE18="VARILLA EN JUNTAS",AE18="ESCALERILLA"),INT(BS18*100/MAX(DK18,1))*IF(ISNUMBER(AF18),AF18,2)*CB18*INDEX(TABLAS!$E$6:$E$14,MATCH(IF(AG18&lt;&gt;"",AG18,DATOS!$C$73),TABLAS!$B$6:$B$14,0)),IF(AE18="MALLA",IF(ISNUMBER(AF18),AF18,1)*CB18*BS18*INDEX(TABLAS!$E$19:$E$22,MATCH(IF(AG18&lt;&gt;"",AG18,DATOS!$C$74),TABLAS!$B$19:$B$22,0)),0)))</f>
        <v/>
      </c>
      <c r="EU18" s="45" t="str">
        <f>IF(BI18&lt;&gt;"SÍ","",""&amp;IF(BJ18="NO ESTÁ EN PIER_FORCES","sin fuerzas en PIER_FORCES; ","")&amp;IF(BV18&lt;&gt;"CUMPLE","vanos; ","")&amp;IF(LEFT(CH18,2)="NO","espesor o esbeltez; ","")&amp;IF(CQ18&gt;1,"compresión; ","")&amp;IF(CX18&gt;1,"flexión; ","")&amp;IF(CB18&lt;=0,"sin tramos de muro (todos son machones menores que L mín.: diséñalos como columnas o baja L mín.); ",IF(EC18&gt;1,"cortante; ",""))&amp;IF(OR(LEFT(EA18,2)="NO",LEFT(EA18,5)="FALTA"),"refuerzo horizontal; ","")&amp;IF(OR(LEFT(EP18,2)="NO",LEFT(EP18,7)="REVISAR"),"muro sobre viga; ","")&amp;IF(LEFT(DATOS!$C$81,2)="NO","castillo típico; ","")&amp;IF(LEFT(DATOS!$C$82,2)="NO","dala típica; ","")&amp;IF(AND(BT18&lt;&gt;DATOS!$C$58,DATOS!$C$60&lt;BT18),"castillo más angosto que el muro; ",""))</f>
        <v/>
      </c>
      <c r="EV18" s="45" t="str">
        <f>IF(BI18&lt;&gt;"SÍ","",""&amp;IF(LEFT(EP18,9)="PENDIENTE","análisis muro–viga (H/L &lt; 0.6); ","")&amp;IF(BR18&gt;50,"V_u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18" s="51" t="str">
        <f>IF(BI18&lt;&gt;"SÍ","",IF(EU18&lt;&gt;"","NO CUMPLE: "&amp;LEFT(EU18,LEN(EU18)-2),IF(EV18&lt;&gt;"","CUMPLE — PENDIENTE: "&amp;LEFT(EV18,LEN(EV18)-2),"CUMPLE")))</f>
        <v/>
      </c>
      <c r="EX18" s="52" t="n"/>
    </row>
    <row r="19" ht="30" customHeight="1">
      <c r="A19" s="38" t="str">
        <f>IF(B19="","",ROW()-10)</f>
        <v/>
      </c>
      <c r="B19" s="28" t="n"/>
      <c r="C19" s="39" t="n"/>
      <c r="D19" s="39" t="n"/>
      <c r="E19" s="39" t="n"/>
      <c r="F19" s="40" t="n"/>
      <c r="G19" s="40" t="n"/>
      <c r="H19" s="41" t="n"/>
      <c r="I19" s="39" t="n"/>
      <c r="J19" s="40" t="n"/>
      <c r="K19" s="40" t="n"/>
      <c r="L19" s="40" t="n"/>
      <c r="M19" s="40" t="n"/>
      <c r="N19" s="39" t="n"/>
      <c r="O19" s="40" t="n"/>
      <c r="P19" s="40" t="n"/>
      <c r="Q19" s="40" t="n"/>
      <c r="R19" s="40" t="n"/>
      <c r="S19" s="39" t="n"/>
      <c r="T19" s="40" t="n"/>
      <c r="U19" s="40" t="n"/>
      <c r="V19" s="40" t="n"/>
      <c r="W19" s="40" t="n"/>
      <c r="X19" s="39" t="n"/>
      <c r="Y19" s="40" t="n"/>
      <c r="Z19" s="40" t="n"/>
      <c r="AA19" s="40" t="n"/>
      <c r="AB19" s="40" t="n"/>
      <c r="AC19" s="41" t="n"/>
      <c r="AD19" s="41" t="n"/>
      <c r="AE19" s="39" t="n"/>
      <c r="AF19" s="41" t="n"/>
      <c r="AG19" s="41" t="n"/>
      <c r="AH19" s="41" t="n"/>
      <c r="AI19" s="39" t="n"/>
      <c r="AJ19" s="39" t="n"/>
      <c r="AK19" s="41" t="n"/>
      <c r="AL19" s="41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2" t="str">
        <f>IF(B19="","",C19&amp;"|"&amp;B19)</f>
        <v/>
      </c>
      <c r="AY19" s="43" t="str">
        <f>IF(B19="","",COUNTIFS(PIER_FORCES!$O$9:$O$3008,9,PIER_FORCES!$P$9:$P$3008,1))</f>
        <v/>
      </c>
      <c r="AZ19" s="43" t="str">
        <f>IF(B19="","",COUNTIFS(PIER_FORCES!$O$9:$O$3008,9,PIER_FORCES!$P$9:$P$3008,2))</f>
        <v/>
      </c>
      <c r="BA19" s="44">
        <f>IF(N(AY19)=0,0,SUMPRODUCT(MAX((PIER_FORCES!$O$9:$O$3008=9)*(PIER_FORCES!$P$9:$P$3008=1)*PIER_FORCES!$R$9:$R$3008)))</f>
        <v>0</v>
      </c>
      <c r="BB19" s="44">
        <f>IF(N(AY19)=0,0,SUMPRODUCT(MAX((PIER_FORCES!$O$9:$O$3008=9)*(PIER_FORCES!$P$9:$P$3008=1)*PIER_FORCES!$S$9:$S$3008)))</f>
        <v>0</v>
      </c>
      <c r="BC19" s="44">
        <f>IF(N(AY19)=0,0,-SUMPRODUCT(MAX((PIER_FORCES!$O$9:$O$3008=9)*(PIER_FORCES!$P$9:$P$3008=1)*(-PIER_FORCES!$Q$9:$Q$3008)+(1-(PIER_FORCES!$O$9:$O$3008=9)*(PIER_FORCES!$P$9:$P$3008=1))*(-1E9))))</f>
        <v>0</v>
      </c>
      <c r="BD19" s="44">
        <f>IF(N(AY19)=0,0,SUMPRODUCT(MAX((PIER_FORCES!$O$9:$O$3008=9)*(PIER_FORCES!$P$9:$P$3008=1)*PIER_FORCES!$Q$9:$Q$3008+(1-(PIER_FORCES!$O$9:$O$3008=9)*(PIER_FORCES!$P$9:$P$3008=1))*(-1E9))))</f>
        <v>0</v>
      </c>
      <c r="BE19" s="44">
        <f>IF(N(AZ19)=0,BD19,SUMPRODUCT(MAX((PIER_FORCES!$O$9:$O$3008=9)*(PIER_FORCES!$P$9:$P$3008=2)*PIER_FORCES!$Q$9:$Q$3008+(1-(PIER_FORCES!$O$9:$O$3008=9)*(PIER_FORCES!$P$9:$P$3008=2))*(-1E9))))</f>
        <v>0</v>
      </c>
      <c r="BF19" s="44">
        <f>IF(N(AZ19)=0,0,SUMPRODUCT(MAX((PIER_FORCES!$O$9:$O$3008=9)*(PIER_FORCES!$P$9:$P$3008=2)*PIER_FORCES!$R$9:$R$3008)))</f>
        <v>0</v>
      </c>
      <c r="BG19" s="43">
        <f>IF(N(AY19)=0,0,SUMPRODUCT(MAX((PIER_FORCES!$O$9:$O$3008=9)*(PIER_FORCES!$P$9:$P$3008=1)*(ABS(PIER_FORCES!$R$9:$R$3008-BA19)&lt;0.000001)*PIER_FORCES!$T$9:$T$3008)))</f>
        <v>0</v>
      </c>
      <c r="BH19" s="45" t="str">
        <f>IF(N(BG19)=0,"",INDEX(PIER_FORCES!$D$9:$D$3008,BG19)&amp;" "&amp;INDEX(PIER_FORCES!$F$9:$F$3008,BG19)&amp;" / "&amp;INDEX(PIER_FORCES!$G$9:$G$3008,BG19))</f>
        <v/>
      </c>
      <c r="BI19" s="42" t="str">
        <f>IF(B19="","",IF(AND(C19&lt;&gt;"",OR(D19="X",D19="Y"),ISNUMBER(F19),N(F19)&gt;0),"SÍ","NO"))</f>
        <v/>
      </c>
      <c r="BJ19" s="42" t="str">
        <f>IF(BI19&lt;&gt;"SÍ","",IF(DATOS!$C$108="ETABS (PIER_FORCES)",IF(N(AY19)&gt;0,"ETABS","NO ESTÁ EN PIER_FORCES"),"CAPTURA"))</f>
        <v/>
      </c>
      <c r="BK19" s="46" t="str">
        <f>IF(BI19&lt;&gt;"SÍ","",IF(BJ19="ETABS",BA19,IF(BJ19="CAPTURA",N(AQ19),0)))</f>
        <v/>
      </c>
      <c r="BL19" s="46" t="str">
        <f>IF(BI19&lt;&gt;"SÍ","",IF(BJ19="ETABS",BB19,IF(BJ19="CAPTURA",N(AR19),0)))</f>
        <v/>
      </c>
      <c r="BM19" s="46" t="str">
        <f>IF(BI19&lt;&gt;"SÍ","",IF(BJ19="ETABS",BC19/DATOS!$C$89,IF(BJ19="CAPTURA",N(AS19),0)))</f>
        <v/>
      </c>
      <c r="BN19" s="44" t="str">
        <f>IF(BI19&lt;&gt;"SÍ","",IF(BJ19="ETABS",BC19,IF(BJ19="CAPTURA",IF(ISNUMBER(AU19),AU19,N(AS19)*DATOS!$C$89),0)))</f>
        <v/>
      </c>
      <c r="BO19" s="44" t="str">
        <f>IF(BI19&lt;&gt;"SÍ","",IF(BJ19="ETABS",MAX(BD19,BE19),IF(BJ19="CAPTURA",N(AT19),0)))</f>
        <v/>
      </c>
      <c r="BP19" s="44" t="str">
        <f>IF(BI19&lt;&gt;"SÍ","",IF(BJ19="ETABS",BE19,IF(BJ19="CAPTURA",IF(ISNUMBER(AV19),AV19,N(AT19)),0)))</f>
        <v/>
      </c>
      <c r="BQ19" s="44" t="str">
        <f>IF(BI19&lt;&gt;"SÍ","",IF(BJ19="ETABS",BF19,IF(BJ19="CAPTURA",N(AW19),0)))</f>
        <v/>
      </c>
      <c r="BR19" s="43" t="str">
        <f>IF(BI19&lt;&gt;"SÍ","",IF(BK19&gt;0,100*BQ19/BK19,0))</f>
        <v/>
      </c>
      <c r="BS19" s="44" t="str">
        <f>IF(BI19&lt;&gt;"SÍ","",IF(ISNUMBER(G19),G19,DATOS!$C$57))</f>
        <v/>
      </c>
      <c r="BT19" s="47" t="str">
        <f>IF(BI19&lt;&gt;"SÍ","",IF(ISNUMBER(H19),H19,DATOS!$C$58))</f>
        <v/>
      </c>
      <c r="BU19" s="43" t="str">
        <f>IF(BI19&lt;&gt;"SÍ","",IF(N(K19)&gt;0,1+IF(N(P19)&gt;0,1+IF(N(U19)&gt;0,1+IF(N(Z19)&gt;0,1,0),0),0),0))</f>
        <v/>
      </c>
      <c r="BV19" s="45" t="str">
        <f>IF(BI19&lt;&gt;"SÍ","",IF(AND(OR(BU19&lt;1,AND(N(J19)&gt;=0-0.001,J19+K19&lt;=F19+0.001,N(L19)&gt;=0,N(L19)+N(M19)&lt;=BS19+0.001,N(M19)&gt;0,OR(I19="PUERTA",I19="VENTANA"))),OR(BU19&lt;2,AND(N(O19)&gt;=(J19+K19)-0.001,O19+P19&lt;=F19+0.001,N(Q19)&gt;=0,N(Q19)+N(R19)&lt;=BS19+0.001,N(R19)&gt;0,OR(N19="PUERTA",N19="VENTANA"))),OR(BU19&lt;3,AND(N(T19)&gt;=(O19+P19)-0.001,T19+U19&lt;=F19+0.001,N(V19)&gt;=0,N(V19)+N(W19)&lt;=BS19+0.001,N(W19)&gt;0,OR(S19="PUERTA",S19="VENTANA"))),OR(BU19&lt;4,AND(N(Y19)&gt;=(T19+U19)-0.001,Y19+Z19&lt;=F19+0.001,N(AA19)&gt;=0,N(AA19)+N(AB19)&lt;=BS19+0.001,N(AB19)&gt;0,OR(X19="PUERTA",X19="VENTANA"))),(N(K19)&gt;0)+(N(P19)&gt;0)+(N(U19)&gt;0)+(N(Z19)&gt;0)=BU19),"CUMPLE","REVISAR VANOS: tipo, orden de izquierda a derecha, que quepan en L y en H"))</f>
        <v/>
      </c>
      <c r="BW19" s="44" t="str">
        <f>IF(BI19&lt;&gt;"SÍ","",MAX(0,IF(BU19&gt;=1,N(J19),F19)))</f>
        <v/>
      </c>
      <c r="BX19" s="44" t="str">
        <f>IF(BI19&lt;&gt;"SÍ","",MAX(0,IF(BU19&gt;=2,N(O19)-(N(J19)+N(K19)),IF(BU19=1,F19-(N(J19)+N(K19)),0))))</f>
        <v/>
      </c>
      <c r="BY19" s="44" t="str">
        <f>IF(BI19&lt;&gt;"SÍ","",MAX(0,IF(BU19&gt;=3,N(T19)-(N(O19)+N(P19)),IF(BU19=2,F19-(N(O19)+N(P19)),0))))</f>
        <v/>
      </c>
      <c r="BZ19" s="44" t="str">
        <f>IF(BI19&lt;&gt;"SÍ","",MAX(0,IF(BU19&gt;=4,N(Y19)-(N(T19)+N(U19)),IF(BU19=3,F19-(N(T19)+N(U19)),0))))</f>
        <v/>
      </c>
      <c r="CA19" s="44" t="str">
        <f>IF(BI19&lt;&gt;"SÍ","",MAX(0,IF(BU19=4,F19-(N(Y19)+N(Z19)),0)))</f>
        <v/>
      </c>
      <c r="CB19" s="46" t="str">
        <f>IF(BI19&lt;&gt;"SÍ","",SUMPRODUCT((BW19:CA19&gt;=DATOS!$C$72-0.0001)*BW19:CA19))</f>
        <v/>
      </c>
      <c r="CC19" s="43" t="str">
        <f>IF(BI19&lt;&gt;"SÍ","",SUMPRODUCT(--(BW19:CA19&gt;=DATOS!$C$72-0.0001)))</f>
        <v/>
      </c>
      <c r="CD19" s="44" t="str">
        <f>IF(BI19&lt;&gt;"SÍ","",SUM(BW19:CA19))</f>
        <v/>
      </c>
      <c r="CE19" s="43" t="str">
        <f>IF(BI19&lt;&gt;"SÍ","",BT19*CB19*100)</f>
        <v/>
      </c>
      <c r="CF19" s="43" t="str">
        <f>IF(BI19&lt;&gt;"SÍ","",BT19*CD19*100)</f>
        <v/>
      </c>
      <c r="CG19" s="47" t="str">
        <f>IF(BI19&lt;&gt;"SÍ","",BS19*100/BT19)</f>
        <v/>
      </c>
      <c r="CH19" s="45" t="str">
        <f>IF(BI19&lt;&gt;"SÍ","",IF(AND(OR(DATOS!$C$14="TIPO II",BT19&gt;=12),CG19&lt;=25),"CUMPLE","NO CUMPLE: "&amp;IF(AND(DATOS!$C$14="TIPO I",BT19&lt;12),"t &lt; 12 cm ","")&amp;IF(CG19&gt;25,"H/t &gt; 25","")))</f>
        <v/>
      </c>
      <c r="CI19" s="44" t="str">
        <f>IF(BI19&lt;&gt;"SÍ","",MIN(1.5*BS19,4))</f>
        <v/>
      </c>
      <c r="CJ19" s="43" t="str">
        <f>IF(BI19&lt;&gt;"SÍ","",SUMPRODUCT((BW19:CA19&gt;=2*DATOS!$C$59/100)*INT((BW19:CA19-DATOS!$C$59/100)/CI19-0.000001)*((BW19:CA19-DATOS!$C$59/100)&gt;0)))</f>
        <v/>
      </c>
      <c r="CK19" s="43" t="str">
        <f>IF(BI19&lt;&gt;"SÍ","",SUMPRODUCT((BW19:CA19&gt;0.0001)*1+(BW19:CA19&gt;=2*DATOS!$C$59/100)*1)+CJ19)</f>
        <v/>
      </c>
      <c r="CL19" s="44" t="str">
        <f>IF(BI19&lt;&gt;"SÍ","",IF(ISNUMBER(AC19),AC19,DATOS!$C$61)*INDEX(TABLAS!$D$6:$D$14,MATCH(IF(AD19&lt;&gt;"",AD19,DATOS!$C$62),TABLAS!$B$6:$B$14,0)))</f>
        <v/>
      </c>
      <c r="CM19" s="44" t="str">
        <f>IF(BI19&lt;&gt;"SÍ","",CK19*DATOS!$C$78+IF(CK19&gt;=2,2,CK19)*(CL19-DATOS!$C$78))</f>
        <v/>
      </c>
      <c r="CN19" s="47" t="str">
        <f>IF(BI19&lt;&gt;"SÍ","",MAX(BS19*100/6,40))</f>
        <v/>
      </c>
      <c r="CO19" s="48" t="str">
        <f>IF(BI19&lt;&gt;"SÍ","",IF(CG19&lt;=20,IF(E19="INTERIOR",0.7,0.6),MIN(IF(E19="INTERIOR",0.7,0.6),(1-2/24)*(1-(IF(E19="INTERIOR",0.8,1)*CG19/30)^2))))</f>
        <v/>
      </c>
      <c r="CP19" s="47" t="str">
        <f>IF(BI19&lt;&gt;"SÍ","",DATOS!$C$87*CO19*(DATOS!$C$33*CF19+CM19*DATOS!$C$48)/1000)</f>
        <v/>
      </c>
      <c r="CQ19" s="46" t="str">
        <f>IF(BI19&lt;&gt;"SÍ","",IF(CP19&gt;0,BO19/CP19,99))</f>
        <v/>
      </c>
      <c r="CR19" s="47" t="str">
        <f>IF(BI19&lt;&gt;"SÍ","",MAX(0,F19*100-DATOS!$C$59))</f>
        <v/>
      </c>
      <c r="CS19" s="47" t="str">
        <f>IF(BI19&lt;&gt;"SÍ","",MAX(0,F19*100-DATOS!$C$59/2))</f>
        <v/>
      </c>
      <c r="CT19" s="44" t="str">
        <f>IF(BI19&lt;&gt;"SÍ","",CL19*DATOS!$C$48*CR19/100000)</f>
        <v/>
      </c>
      <c r="CU19" s="44" t="str">
        <f>IF(BI19&lt;&gt;"SÍ","",IF(BN19&lt;0,0.8*CT19*MAX(0,1+BN19/(0.8*CM19*DATOS!$C$48/1000)),IF(BN19&lt;=CP19/3,0.8*CT19+0.3*BN19*CS19/100,(1.5*0.6*CT19+0.15*CP19*CS19/100)*MAX(0,1-BN19/CP19))))</f>
        <v/>
      </c>
      <c r="CV19" s="44" t="str">
        <f>IF(BI19&lt;&gt;"SÍ","",IF(BO19&lt;0,0.8*CT19*MAX(0,1+BO19/(0.8*CM19*DATOS!$C$48/1000)),IF(BO19&lt;=CP19/3,0.8*CT19+0.3*BO19*CS19/100,(1.5*0.6*CT19+0.15*CP19*CS19/100)*MAX(0,1-BO19/CP19))))</f>
        <v/>
      </c>
      <c r="CW19" s="46" t="str">
        <f>IF(BI19&lt;&gt;"SÍ","",MAX(0,MIN(CU19,CV19)))</f>
        <v/>
      </c>
      <c r="CX19" s="49" t="str">
        <f>IF(BI19&lt;&gt;"SÍ","",IF(CW19&gt;0,BL19/CW19,IF(BL19&gt;0,99,0)))</f>
        <v/>
      </c>
      <c r="CY19" s="44" t="str">
        <f>IF(BI19&lt;&gt;"SÍ","",IF(BW19&gt;0,MAX(1,MIN(1.5,1.5-0.625*(BS19/BW19-0.2))),0))</f>
        <v/>
      </c>
      <c r="CZ19" s="44" t="str">
        <f>IF(BI19&lt;&gt;"SÍ","",IF(BX19&gt;0,MAX(1,MIN(1.5,1.5-0.625*(BS19/BX19-0.2))),0))</f>
        <v/>
      </c>
      <c r="DA19" s="44" t="str">
        <f>IF(BI19&lt;&gt;"SÍ","",IF(BY19&gt;0,MAX(1,MIN(1.5,1.5-0.625*(BS19/BY19-0.2))),0))</f>
        <v/>
      </c>
      <c r="DB19" s="44" t="str">
        <f>IF(BI19&lt;&gt;"SÍ","",IF(BZ19&gt;0,MAX(1,MIN(1.5,1.5-0.625*(BS19/BZ19-0.2))),0))</f>
        <v/>
      </c>
      <c r="DC19" s="44" t="str">
        <f>IF(BI19&lt;&gt;"SÍ","",IF(CA19&gt;0,MAX(1,MIN(1.5,1.5-0.625*(BS19/CA19-0.2))),0))</f>
        <v/>
      </c>
      <c r="DD19" s="44" t="str">
        <f>IF(BI19&lt;&gt;"SÍ","",IF(OR(BW19&lt;DATOS!$C$72-0.0001,BM19&lt;0,CB19&lt;=0),0,MIN(DATOS!$C$86*(0.5*DATOS!$C$41*BT19*BW19*100+0.3*BM19*BW19/CB19*1000)*CY19,1.5*DATOS!$C$86*DATOS!$C$41*BT19*BW19*100*CY19)/1000))</f>
        <v/>
      </c>
      <c r="DE19" s="44" t="str">
        <f>IF(BI19&lt;&gt;"SÍ","",IF(OR(BX19&lt;DATOS!$C$72-0.0001,BM19&lt;0,CB19&lt;=0),0,MIN(DATOS!$C$86*(0.5*DATOS!$C$41*BT19*BX19*100+0.3*BM19*BX19/CB19*1000)*CZ19,1.5*DATOS!$C$86*DATOS!$C$41*BT19*BX19*100*CZ19)/1000))</f>
        <v/>
      </c>
      <c r="DF19" s="44" t="str">
        <f>IF(BI19&lt;&gt;"SÍ","",IF(OR(BY19&lt;DATOS!$C$72-0.0001,BM19&lt;0,CB19&lt;=0),0,MIN(DATOS!$C$86*(0.5*DATOS!$C$41*BT19*BY19*100+0.3*BM19*BY19/CB19*1000)*DA19,1.5*DATOS!$C$86*DATOS!$C$41*BT19*BY19*100*DA19)/1000))</f>
        <v/>
      </c>
      <c r="DG19" s="44" t="str">
        <f>IF(BI19&lt;&gt;"SÍ","",IF(OR(BZ19&lt;DATOS!$C$72-0.0001,BM19&lt;0,CB19&lt;=0),0,MIN(DATOS!$C$86*(0.5*DATOS!$C$41*BT19*BZ19*100+0.3*BM19*BZ19/CB19*1000)*DB19,1.5*DATOS!$C$86*DATOS!$C$41*BT19*BZ19*100*DB19)/1000))</f>
        <v/>
      </c>
      <c r="DH19" s="44" t="str">
        <f>IF(BI19&lt;&gt;"SÍ","",IF(OR(CA19&lt;DATOS!$C$72-0.0001,BM19&lt;0,CB19&lt;=0),0,MIN(DATOS!$C$86*(0.5*DATOS!$C$41*BT19*CA19*100+0.3*BM19*CA19/CB19*1000)*DC19,1.5*DATOS!$C$86*DATOS!$C$41*BT19*CA19*100*DC19)/1000))</f>
        <v/>
      </c>
      <c r="DI19" s="46" t="str">
        <f>IF(BI19&lt;&gt;"SÍ","",SUM(DD19:DH19))</f>
        <v/>
      </c>
      <c r="DJ19" s="48" t="str">
        <f>IF(BI19&lt;&gt;"SÍ","",IF(AE19="VARILLA EN JUNTAS",IF(ISNUMBER(AF19),AF19,2)*INDEX(TABLAS!$D$6:$D$14,MATCH(IF(AG19&lt;&gt;"",AG19,DATOS!$C$73),TABLAS!$B$6:$B$14,0)),IF(AE19="MALLA",IF(ISNUMBER(AF19),AF19,1)*INDEX(TABLAS!$D$19:$D$22,MATCH(IF(AG19&lt;&gt;"",AG19,DATOS!$C$74),TABLAS!$B$19:$B$22,0))/100,IF(AE19="ESCALERILLA",IF(ISNUMBER(AF19),AF19,2)*INDEX(TABLAS!$D$6:$D$14,MATCH(IF(AG19&lt;&gt;"",AG19,DATOS!$C$73),TABLAS!$B$6:$B$14,0)),0))))</f>
        <v/>
      </c>
      <c r="DK19" s="47" t="str">
        <f>IF(BI19&lt;&gt;"SÍ","",IF(OR(AE19="VARILLA EN JUNTAS",AE19="ESCALERILLA"),IF(ISNUMBER(AH19),AH19,2)*DATOS!$C$26,IF(AE19="MALLA",1,0)))</f>
        <v/>
      </c>
      <c r="DL19" s="44" t="str">
        <f>IF(BI19&lt;&gt;"SÍ","",IF(DK19&gt;0,DJ19/(DK19*BT19)*MIN(DATOS!$C$50,IF(AE19="MALLA",5000,6000)),0))</f>
        <v/>
      </c>
      <c r="DM19" s="44" t="str">
        <f>IF(BI19&lt;&gt;"SÍ","",IF(AE19="ESCALERILLA",0,MIN(DL19,0.1*DATOS!$C$33*DATOS!$C$24)))</f>
        <v/>
      </c>
      <c r="DN19" s="48" t="str">
        <f>IF(BI19&lt;&gt;"SÍ","",IF(AE19="MALLA",0.5,IF(DATOS!$C$33&lt;=60,0.55,IF(DATOS!$C$33&gt;=90,0.75,0.55+0.2*(DATOS!$C$33-60)/30))))</f>
        <v/>
      </c>
      <c r="DO19" s="48" t="str">
        <f>IF(BI19&lt;&gt;"SÍ","",1-DATOS!$C$91*DM19)</f>
        <v/>
      </c>
      <c r="DP19" s="44" t="str">
        <f>IF(BI19&lt;&gt;"SÍ","",IF(BW19&gt;0,IF(BS19/BW19&lt;=1,1.3,IF(BS19/BW19&gt;=1.5,1,1.3-0.6*(BS19/BW19-1))),0))</f>
        <v/>
      </c>
      <c r="DQ19" s="44" t="str">
        <f>IF(BI19&lt;&gt;"SÍ","",IF(BX19&gt;0,IF(BS19/BX19&lt;=1,1.3,IF(BS19/BX19&gt;=1.5,1,1.3-0.6*(BS19/BX19-1))),0))</f>
        <v/>
      </c>
      <c r="DR19" s="44" t="str">
        <f>IF(BI19&lt;&gt;"SÍ","",IF(BY19&gt;0,IF(BS19/BY19&lt;=1,1.3,IF(BS19/BY19&gt;=1.5,1,1.3-0.6*(BS19/BY19-1))),0))</f>
        <v/>
      </c>
      <c r="DS19" s="44" t="str">
        <f>IF(BI19&lt;&gt;"SÍ","",IF(BZ19&gt;0,IF(BS19/BZ19&lt;=1,1.3,IF(BS19/BZ19&gt;=1.5,1,1.3-0.6*(BS19/BZ19-1))),0))</f>
        <v/>
      </c>
      <c r="DT19" s="44" t="str">
        <f>IF(BI19&lt;&gt;"SÍ","",IF(CA19&gt;0,IF(BS19/CA19&lt;=1,1.3,IF(BS19/CA19&gt;=1.5,1,1.3-0.6*(BS19/CA19-1))),0))</f>
        <v/>
      </c>
      <c r="DU19" s="44" t="str">
        <f>IF(BI19&lt;&gt;"SÍ","",IF(OR(DM19&lt;=0,BW19&lt;DATOS!$C$72-0.0001),0,DATOS!$C$86*MAX(0,IF(BM19&gt;=0,DD19/(DATOS!$C$86*DM19*BT19*BW19*100/1000)*(DP19*DO19-1)+DN19,DO19*DN19))*DM19*BT19*BW19*100/1000))</f>
        <v/>
      </c>
      <c r="DV19" s="44" t="str">
        <f>IF(BI19&lt;&gt;"SÍ","",IF(OR(DM19&lt;=0,BX19&lt;DATOS!$C$72-0.0001),0,DATOS!$C$86*MAX(0,IF(BM19&gt;=0,DE19/(DATOS!$C$86*DM19*BT19*BX19*100/1000)*(DQ19*DO19-1)+DN19,DO19*DN19))*DM19*BT19*BX19*100/1000))</f>
        <v/>
      </c>
      <c r="DW19" s="44" t="str">
        <f>IF(BI19&lt;&gt;"SÍ","",IF(OR(DM19&lt;=0,BY19&lt;DATOS!$C$72-0.0001),0,DATOS!$C$86*MAX(0,IF(BM19&gt;=0,DF19/(DATOS!$C$86*DM19*BT19*BY19*100/1000)*(DR19*DO19-1)+DN19,DO19*DN19))*DM19*BT19*BY19*100/1000))</f>
        <v/>
      </c>
      <c r="DX19" s="44" t="str">
        <f>IF(BI19&lt;&gt;"SÍ","",IF(OR(DM19&lt;=0,BZ19&lt;DATOS!$C$72-0.0001),0,DATOS!$C$86*MAX(0,IF(BM19&gt;=0,DG19/(DATOS!$C$86*DM19*BT19*BZ19*100/1000)*(DS19*DO19-1)+DN19,DO19*DN19))*DM19*BT19*BZ19*100/1000))</f>
        <v/>
      </c>
      <c r="DY19" s="44" t="str">
        <f>IF(BI19&lt;&gt;"SÍ","",IF(OR(DM19&lt;=0,CA19&lt;DATOS!$C$72-0.0001),0,DATOS!$C$86*MAX(0,IF(BM19&gt;=0,DH19/(DATOS!$C$86*DM19*BT19*CA19*100/1000)*(DT19*DO19-1)+DN19,DO19*DN19))*DM19*BT19*CA19*100/1000))</f>
        <v/>
      </c>
      <c r="DZ19" s="46" t="str">
        <f>IF(BI19&lt;&gt;"SÍ","",SUM(DU19:DY19))</f>
        <v/>
      </c>
      <c r="EA19" s="45" t="str">
        <f>IF(BI19&lt;&gt;"SÍ","",IF(OR(AE19="",AE19="NINGUNO"),IF(DATOS!$C$41&gt;=10,"FALTA refuerzo horizontal: v'm ≥ 10 kg/cm² (6.5.2.2)",IF(AND(BM19&lt;0,BK19&gt;0),"FALTA: P en tensión, el refuerzo debe tomar todo el cortante (6.5.1.3)","—")),IF(AE19="ESCALERILLA","NO CUENTA: la escalerilla no se permite para cortante por sismo (6.5.3.1.2)",IF(AE19="MALLA",IF(AND(DL19&gt;=2.5,DL19&lt;=MAX(0.15*DATOS!$C$33*DATOS!$C$24,2.5)),"CUMPLE","NO CUMPLE: "&amp;IF(DL19&lt;2.5,"p_h·f_yh &lt; 2.5 (6.5.4.2.4)","p_h·f_yh &gt; 0.15·f'm·f_an (6.5.4.2.4)")),IF(AND(DK19&lt;=MIN(6*DATOS!$C$26,45),DL19&gt;=3,DL19&lt;=MIN(MAX(0.15*DATOS!$C$33*DATOS!$C$24,3),0.05*DATOS!$C$25/10*MIN(DATOS!$C$50,6000)/DK19),INDEX(TABLAS!$C$6:$C$14,MATCH(IF(AG19&lt;&gt;"",AG19,DATOS!$C$73),TABLAS!$B$6:$B$14,0))&gt;=0.35,INDEX(TABLAS!$C$6:$C$14,MATCH(IF(AG19&lt;&gt;"",AG19,DATOS!$C$73),TABLAS!$B$6:$B$14,0))&lt;=0.75*DATOS!$C$25/10),"CUMPLE","NO CUMPLE: "&amp;IF(DK19&gt;MIN(6*DATOS!$C$26,45),"s_h &gt; 6 hiladas o 45 cm (6.5.3.2.1) ","")&amp;IF(DL19&lt;3,"p_h·f_yh &lt; 3 (6.5.3.3.1) ","")&amp;IF(DL19&gt;MIN(MAX(0.15*DATOS!$C$33*DATOS!$C$24,3),0.05*DATOS!$C$25/10*MIN(DATOS!$C$50,6000)/DK19),"p_h·f_yh &gt; máximo (6.5.3.3.2) ","")&amp;IF(OR(INDEX(TABLAS!$C$6:$C$14,MATCH(IF(AG19&lt;&gt;"",AG19,DATOS!$C$73),TABLAS!$B$6:$B$14,0))&lt;0.35,INDEX(TABLAS!$C$6:$C$14,MATCH(IF(AG19&lt;&gt;"",AG19,DATOS!$C$73),TABLAS!$B$6:$B$14,0))&gt;0.75*DATOS!$C$25/10),"diámetro fuera de 3.5 mm a 0.75·h_j (4.2.2.2.1)",""))))))</f>
        <v/>
      </c>
      <c r="EB19" s="46" t="str">
        <f>IF(BI19&lt;&gt;"SÍ","",DI19+DZ19)</f>
        <v/>
      </c>
      <c r="EC19" s="50" t="str">
        <f>IF(BI19&lt;&gt;"SÍ","",IF(EB19&gt;0,BK19/EB19,IF(BK19&gt;0,99,0)))</f>
        <v/>
      </c>
      <c r="ED19" s="47" t="str">
        <f>IF(BI19&lt;&gt;"SÍ","",IF(CE19&lt;=0,-1,IF(BK19&lt;=DI19,0,IF(IF(BM19&gt;=0,IF((DATOS!$C$86*IF(AE19="MALLA",0.5,IF(DATOS!$C$33&lt;=60,0.55,IF(DATOS!$C$33&gt;=90,0.75,0.55+0.2*(DATOS!$C$33-60)/30)))*CE19/1000-DATOS!$C$91*SUMPRODUCT(DP19:DT19,DD19:DH19))&lt;=0,1E9,(BK19-SUMPRODUCT(DP19:DT19,DD19:DH19))/(DATOS!$C$86*IF(AE19="MALLA",0.5,IF(DATOS!$C$33&lt;=60,0.55,IF(DATOS!$C$33&gt;=90,0.75,0.55+0.2*(DATOS!$C$33-60)/30)))*CE19/1000-DATOS!$C$91*SUMPRODUCT(DP19:DT19,DD19:DH19))),IF((1-4*DATOS!$C$91*BK19*1000/(DATOS!$C$86*IF(AE19="MALLA",0.5,IF(DATOS!$C$33&lt;=60,0.55,IF(DATOS!$C$33&gt;=90,0.75,0.55+0.2*(DATOS!$C$33-60)/30)))*MAX(CE19,1)))&lt;0,1E9,(1-SQRT((1-4*DATOS!$C$91*BK19*1000/(DATOS!$C$86*IF(AE19="MALLA",0.5,IF(DATOS!$C$33&lt;=60,0.55,IF(DATOS!$C$33&gt;=90,0.75,0.55+0.2*(DATOS!$C$33-60)/30)))*MAX(CE19,1)))))/(2*DATOS!$C$91)))&gt;0.1*DATOS!$C$33*DATOS!$C$24+0.000001,-1,MAX(IF(AE19="MALLA",2.5,3),IF(BM19&gt;=0,IF((DATOS!$C$86*IF(AE19="MALLA",0.5,IF(DATOS!$C$33&lt;=60,0.55,IF(DATOS!$C$33&gt;=90,0.75,0.55+0.2*(DATOS!$C$33-60)/30)))*CE19/1000-DATOS!$C$91*SUMPRODUCT(DP19:DT19,DD19:DH19))&lt;=0,1E9,(BK19-SUMPRODUCT(DP19:DT19,DD19:DH19))/(DATOS!$C$86*IF(AE19="MALLA",0.5,IF(DATOS!$C$33&lt;=60,0.55,IF(DATOS!$C$33&gt;=90,0.75,0.55+0.2*(DATOS!$C$33-60)/30)))*CE19/1000-DATOS!$C$91*SUMPRODUCT(DP19:DT19,DD19:DH19))),IF((1-4*DATOS!$C$91*BK19*1000/(DATOS!$C$86*IF(AE19="MALLA",0.5,IF(DATOS!$C$33&lt;=60,0.55,IF(DATOS!$C$33&gt;=90,0.75,0.55+0.2*(DATOS!$C$33-60)/30)))*MAX(CE19,1)))&lt;0,1E9,(1-SQRT((1-4*DATOS!$C$91*BK19*1000/(DATOS!$C$86*IF(AE19="MALLA",0.5,IF(DATOS!$C$33&lt;=60,0.55,IF(DATOS!$C$33&gt;=90,0.75,0.55+0.2*(DATOS!$C$33-60)/30)))*MAX(CE19,1)))))/(2*DATOS!$C$91))))))))</f>
        <v/>
      </c>
      <c r="EE19" s="45" t="str">
        <f>IF(BI19&lt;&gt;"SÍ","",IF(ED19=0,"NO REQUIERE: V_mR ≥ V_u",IF(ED19&lt;0,"NO ALCANZA con refuerzo horizontal (haría falta más de 0.1·f'm·f_an efectivo): sube v'm con ensayes, el espesor o la longitud del muro",IF(AND(OR(AE19="VARILLA EN JUNTAS",AE19="MALLA"),LEFT(EA19,6)="CUMPLE",EC19&lt;=1),"YA LO TIENE (pide p_h·f_yh ≥ "&amp;TEXT(ED19,"0.0")&amp;" kg/cm²)","p_h·f_yh ≥ "&amp;TEXT(ED19,"0.0")&amp;" kg/cm² → "&amp;IF(AND(MIN(6,FLOOR(45/DATOS!$C$26,1),FLOOR((2*INDEX(TABLAS!$D$6:$D$14,MATCH("3/16 in",TABLAS!$B$6:$B$14,0)))*MIN(DATOS!$C$50,6000)/(BT19*DATOS!$C$26*MAX(ED19,0.001)),1))&gt;=1,((2*INDEX(TABLAS!$D$6:$D$14,MATCH("3/16 in",TABLAS!$B$6:$B$14,0)))*MIN(DATOS!$C$50,6000)/(MAX(MIN(6,FLOOR(45/DATOS!$C$26,1),FLOOR((2*INDEX(TABLAS!$D$6:$D$14,MATCH("3/16 in",TABLAS!$B$6:$B$14,0)))*MIN(DATOS!$C$50,6000)/(BT19*DATOS!$C$26*MAX(ED19,0.001)),1)),1)*DATOS!$C$26*BT19))&lt;=MIN(MAX(0.15*DATOS!$C$33*DATOS!$C$24,3),0.05*DATOS!$C$25/10*MIN(DATOS!$C$50,6000)/(MIN(6,FLOOR(45/DATOS!$C$26,1),FLOOR((2*INDEX(TABLAS!$D$6:$D$14,MATCH("3/16 in",TABLAS!$B$6:$B$14,0)))*MIN(DATOS!$C$50,6000)/(BT19*DATOS!$C$26*MAX(ED19,0.001)),1))*DATOS!$C$26))),"2 alambres de 3/16"" por junta cada "&amp;MIN(6,FLOOR(45/DATOS!$C$26,1),FLOOR((2*INDEX(TABLAS!$D$6:$D$14,MATCH("3/16 in",TABLAS!$B$6:$B$14,0)))*MIN(DATOS!$C$50,6000)/(BT19*DATOS!$C$26*MAX(ED19,0.001)),1))&amp;" hilada(s) (p_h·f_yh = "&amp;TEXT(((2*INDEX(TABLAS!$D$6:$D$14,MATCH("3/16 in",TABLAS!$B$6:$B$14,0)))*MIN(DATOS!$C$50,6000)/(MAX(MIN(6,FLOOR(45/DATOS!$C$26,1),FLOOR((2*INDEX(TABLAS!$D$6:$D$14,MATCH("3/16 in",TABLAS!$B$6:$B$14,0)))*MIN(DATOS!$C$50,6000)/(BT19*DATOS!$C$26*MAX(ED19,0.001)),1)),1)*DATOS!$C$26*BT19)),"0.00")&amp;")",IF(AND(MIN(6,FLOOR(45/DATOS!$C$26,1),FLOOR((2*INDEX(TABLAS!$D$6:$D$14,MATCH("5/32 in",TABLAS!$B$6:$B$14,0)))*MIN(DATOS!$C$50,6000)/(BT19*DATOS!$C$26*MAX(ED19,0.001)),1))&gt;=1,((2*INDEX(TABLAS!$D$6:$D$14,MATCH("5/32 in",TABLAS!$B$6:$B$14,0)))*MIN(DATOS!$C$50,6000)/(MAX(MIN(6,FLOOR(45/DATOS!$C$26,1),FLOOR((2*INDEX(TABLAS!$D$6:$D$14,MATCH("5/32 in",TABLAS!$B$6:$B$14,0)))*MIN(DATOS!$C$50,6000)/(BT19*DATOS!$C$26*MAX(ED19,0.001)),1)),1)*DATOS!$C$26*BT19))&lt;=MIN(MAX(0.15*DATOS!$C$33*DATOS!$C$24,3),0.05*DATOS!$C$25/10*MIN(DATOS!$C$50,6000)/(MIN(6,FLOOR(45/DATOS!$C$26,1),FLOOR((2*INDEX(TABLAS!$D$6:$D$14,MATCH("5/32 in",TABLAS!$B$6:$B$14,0)))*MIN(DATOS!$C$50,6000)/(BT19*DATOS!$C$26*MAX(ED19,0.001)),1))*DATOS!$C$26))),"2 alambres de 5/32"" por junta cada "&amp;MIN(6,FLOOR(45/DATOS!$C$26,1),FLOOR((2*INDEX(TABLAS!$D$6:$D$14,MATCH("5/32 in",TABLAS!$B$6:$B$14,0)))*MIN(DATOS!$C$50,6000)/(BT19*DATOS!$C$26*MAX(ED19,0.001)),1))&amp;" hilada(s) (p_h·f_yh = "&amp;TEXT(((2*INDEX(TABLAS!$D$6:$D$14,MATCH("5/32 in",TABLAS!$B$6:$B$14,0)))*MIN(DATOS!$C$50,6000)/(MAX(MIN(6,FLOOR(45/DATOS!$C$26,1),FLOOR((2*INDEX(TABLAS!$D$6:$D$14,MATCH("5/32 in",TABLAS!$B$6:$B$14,0)))*MIN(DATOS!$C$50,6000)/(BT19*DATOS!$C$26*MAX(ED19,0.001)),1)),1)*DATOS!$C$26*BT19)),"0.00")&amp;")",IF(AND(MIN(6,FLOOR(45/DATOS!$C$26,1),FLOOR((1*INDEX(TABLAS!$D$6:$D$14,MATCH("3/16 in",TABLAS!$B$6:$B$14,0)))*MIN(DATOS!$C$50,6000)/(BT19*DATOS!$C$26*MAX(ED19,0.001)),1))&gt;=1,((1*INDEX(TABLAS!$D$6:$D$14,MATCH("3/16 in",TABLAS!$B$6:$B$14,0)))*MIN(DATOS!$C$50,6000)/(MAX(MIN(6,FLOOR(45/DATOS!$C$26,1),FLOOR((1*INDEX(TABLAS!$D$6:$D$14,MATCH("3/16 in",TABLAS!$B$6:$B$14,0)))*MIN(DATOS!$C$50,6000)/(BT19*DATOS!$C$26*MAX(ED19,0.001)),1)),1)*DATOS!$C$26*BT19))&lt;=MIN(MAX(0.15*DATOS!$C$33*DATOS!$C$24,3),0.05*DATOS!$C$25/10*MIN(DATOS!$C$50,6000)/(MIN(6,FLOOR(45/DATOS!$C$26,1),FLOOR((1*INDEX(TABLAS!$D$6:$D$14,MATCH("3/16 in",TABLAS!$B$6:$B$14,0)))*MIN(DATOS!$C$50,6000)/(BT19*DATOS!$C$26*MAX(ED19,0.001)),1))*DATOS!$C$26))),"1 alambre de 3/16"" por junta cada "&amp;MIN(6,FLOOR(45/DATOS!$C$26,1),FLOOR((1*INDEX(TABLAS!$D$6:$D$14,MATCH("3/16 in",TABLAS!$B$6:$B$14,0)))*MIN(DATOS!$C$50,6000)/(BT19*DATOS!$C$26*MAX(ED19,0.001)),1))&amp;" hilada(s) (p_h·f_yh = "&amp;TEXT(((1*INDEX(TABLAS!$D$6:$D$14,MATCH("3/16 in",TABLAS!$B$6:$B$14,0)))*MIN(DATOS!$C$50,6000)/(MAX(MIN(6,FLOOR(45/DATOS!$C$26,1),FLOOR((1*INDEX(TABLAS!$D$6:$D$14,MATCH("3/16 in",TABLAS!$B$6:$B$14,0)))*MIN(DATOS!$C$50,6000)/(BT19*DATOS!$C$26*MAX(ED19,0.001)),1)),1)*DATOS!$C$26*BT19)),"0.00")&amp;")",IF(AND(MIN(6,FLOOR(45/DATOS!$C$26,1),FLOOR((1*INDEX(TABLAS!$D$6:$D$14,MATCH("5/32 in",TABLAS!$B$6:$B$14,0)))*MIN(DATOS!$C$50,6000)/(BT19*DATOS!$C$26*MAX(ED19,0.001)),1))&gt;=1,((1*INDEX(TABLAS!$D$6:$D$14,MATCH("5/32 in",TABLAS!$B$6:$B$14,0)))*MIN(DATOS!$C$50,6000)/(MAX(MIN(6,FLOOR(45/DATOS!$C$26,1),FLOOR((1*INDEX(TABLAS!$D$6:$D$14,MATCH("5/32 in",TABLAS!$B$6:$B$14,0)))*MIN(DATOS!$C$50,6000)/(BT19*DATOS!$C$26*MAX(ED19,0.001)),1)),1)*DATOS!$C$26*BT19))&lt;=MIN(MAX(0.15*DATOS!$C$33*DATOS!$C$24,3),0.05*DATOS!$C$25/10*MIN(DATOS!$C$50,6000)/(MIN(6,FLOOR(45/DATOS!$C$26,1),FLOOR((1*INDEX(TABLAS!$D$6:$D$14,MATCH("5/32 in",TABLAS!$B$6:$B$14,0)))*MIN(DATOS!$C$50,6000)/(BT19*DATOS!$C$26*MAX(ED19,0.001)),1))*DATOS!$C$26))),"1 alambre de 5/32"" por junta cada "&amp;MIN(6,FLOOR(45/DATOS!$C$26,1),FLOOR((1*INDEX(TABLAS!$D$6:$D$14,MATCH("5/32 in",TABLAS!$B$6:$B$14,0)))*MIN(DATOS!$C$50,6000)/(BT19*DATOS!$C$26*MAX(ED19,0.001)),1))&amp;" hilada(s) (p_h·f_yh = "&amp;TEXT(((1*INDEX(TABLAS!$D$6:$D$14,MATCH("5/32 in",TABLAS!$B$6:$B$14,0)))*MIN(DATOS!$C$50,6000)/(MAX(MIN(6,FLOOR(45/DATOS!$C$26,1),FLOOR((1*INDEX(TABLAS!$D$6:$D$14,MATCH("5/32 in",TABLAS!$B$6:$B$14,0)))*MIN(DATOS!$C$50,6000)/(BT19*DATOS!$C$26*MAX(ED19,0.001)),1)),1)*DATOS!$C$26*BT19)),"0.00")&amp;")","ninguna combinación de 1 o 2 alambres por junta queda entre el mínimo y el máximo: revisa con malla (6.5.4)"))))))))</f>
        <v/>
      </c>
      <c r="EF19" s="43" t="str">
        <f>IF(BI19&lt;&gt;"SÍ","",IF(AI19="SÍ",N(AK19)*N(AL19)^3/12,0))</f>
        <v/>
      </c>
      <c r="EG19" s="48" t="str">
        <f>IF(BI19&lt;&gt;"SÍ","",IF(AND(AI19="SÍ",N(AM19)&gt;0),MIN(1,F19/AM19),0))</f>
        <v/>
      </c>
      <c r="EH19" s="47" t="str">
        <f>IF(BI19&lt;&gt;"SÍ","",IF(AI19="SÍ",BP19*1000/(BT19*F19*100)*BT19*(EG19^4-4*EG19^3+8*EG19),0))</f>
        <v/>
      </c>
      <c r="EI19" s="48" t="str">
        <f>IF(BI19&lt;&gt;"SÍ","",IF(AND(AI19="SÍ",EH19&gt;0),EH19/(EH19+5*N(AN19)*10),0))</f>
        <v/>
      </c>
      <c r="EJ19" s="44" t="str">
        <f>IF(BI19&lt;&gt;"SÍ","",IF(AND(AI19="SÍ",EI19&gt;0,EF19&gt;0),(DATOS!$C$43*BT19*(AM19*100)^3/(DATOS!$C$53*EF19*EI19))^0.25,0))</f>
        <v/>
      </c>
      <c r="EK19" s="44" t="str">
        <f>IF(BI19&lt;&gt;"SÍ","",IF(AI19&lt;&gt;"SÍ",0,IF(N(AM19)&lt;=F19,1,IF(MIN(1,N(AO19)/((AM19-F19)/2))&lt;=0.5,0.7+0.6*MIN(1,N(AO19)/((AM19-F19)/2)),1.5-MIN(1,N(AO19)/((AM19-F19)/2))))))</f>
        <v/>
      </c>
      <c r="EL19" s="44" t="str">
        <f>IF(BI19&lt;&gt;"SÍ","",IF(AI19&lt;&gt;"SÍ",0,MAX(1,IF(EG19&gt;=1,(1.6*EJ19-3.9),IF(EG19&lt;0.9,((3.2*EJ19-7.8)*EK19),((3.2*EJ19-7.8)*EK19)+((1.6*EJ19-3.9)-((3.2*EJ19-7.8)*EK19))*(EG19-0.9)/0.1)))))</f>
        <v/>
      </c>
      <c r="EM19" s="47" t="str">
        <f>IF(BI19&lt;&gt;"SÍ","",IF(AI19="SÍ",EL19*BP19*1000/(BT19*F19*100),0))</f>
        <v/>
      </c>
      <c r="EN19" s="47" t="str">
        <f>IF(BI19&lt;&gt;"SÍ","",IF(AND(AI19="SÍ",N(AL19)&gt;0),AM19*100/AL19,0))</f>
        <v/>
      </c>
      <c r="EO19" s="47" t="str">
        <f>IF(BI19&lt;&gt;"SÍ","",IF(AI19="SÍ",(1/15*DATOS!$C$53*N(AK19)/MAX((IF(ISNUMBER(AP19),AP19,BP19/DATOS!$C$90)*1000/(BT19*F19*100)*BT19*(EG19^4-4*EG19^3+8*EG19))+5*N(AN19)/DATOS!$C$90*10,0.001))^(1/3),0))</f>
        <v/>
      </c>
      <c r="EP19" s="45" t="str">
        <f>IF(BI19&lt;&gt;"SÍ","",IF(AI19&lt;&gt;"SÍ","—",IF(OR(N(AK19)&lt;=0,N(AL19)&lt;=0,N(AM19)&lt;=0),"REVISAR: faltan b, h o L_v de la viga",IF(AND(EM19&lt;=DATOS!$C$87*DATOS!$C$33,EN19&lt;=14,N(AL19)&gt;=25,EN19&lt;=EO19),IF(BS19/F19&lt;0.6,"PENDIENTE: H/L &lt; 0.6, falta el análisis de interacción muro–viga (4.1.18.2.1); f_CM es estimado","CUMPLE"),"NO CUMPLE: "&amp;IF(EM19&gt;DATOS!$C$87*DATOS!$C$33,"f_CM &gt; F_R·f'm ","")&amp;IF(EN19&gt;14,"L_v/h_v &gt; 14 ","")&amp;IF(N(AL19)&lt;25,"h_v &lt; 25 cm ","")&amp;IF(EN19&gt;EO19,"flecha (4.1.18.3)","")))))</f>
        <v/>
      </c>
      <c r="EQ19" s="44" t="str">
        <f>IF(BI19&lt;&gt;"SÍ","",MAX(0,F19*BS19-(N(K19)*N(M19)+N(P19)*N(R19)+N(U19)*N(W19)+N(Z19)*N(AB19))-CK19*DATOS!$C$59/100*BS19))</f>
        <v/>
      </c>
      <c r="ER19" s="48" t="str">
        <f>IF(BI19&lt;&gt;"SÍ","",CK19*DATOS!$C$59*DATOS!$C$60/10000*BS19)</f>
        <v/>
      </c>
      <c r="ES19" s="47" t="str">
        <f>IF(BI19&lt;&gt;"SÍ","",CK19*(DATOS!$C$61*(BS19+0.6)*INDEX(TABLAS!$E$6:$E$14,MATCH(DATOS!$C$62,TABLAS!$B$6:$B$14,0))+(2*ROUNDUP(CN19/DATOS!$C$65,0)+ROUNDUP(MAX(0,BS19*100-2*CN19)/DATOS!$C$64,0))*((2*(DATOS!$C$60+DATOS!$C$59-4*(DATOS!$C$66-INDEX(TABLAS!$C$6:$C$14,MATCH(DATOS!$C$63,TABLAS!$B$6:$B$14,0))))+15)/100)*INDEX(TABLAS!$E$6:$E$14,MATCH(DATOS!$C$63,TABLAS!$B$6:$B$14,0))))</f>
        <v/>
      </c>
      <c r="ET19" s="47" t="str">
        <f>IF(BI19&lt;&gt;"SÍ","",IF(OR(AE19="VARILLA EN JUNTAS",AE19="ESCALERILLA"),INT(BS19*100/MAX(DK19,1))*IF(ISNUMBER(AF19),AF19,2)*CB19*INDEX(TABLAS!$E$6:$E$14,MATCH(IF(AG19&lt;&gt;"",AG19,DATOS!$C$73),TABLAS!$B$6:$B$14,0)),IF(AE19="MALLA",IF(ISNUMBER(AF19),AF19,1)*CB19*BS19*INDEX(TABLAS!$E$19:$E$22,MATCH(IF(AG19&lt;&gt;"",AG19,DATOS!$C$74),TABLAS!$B$19:$B$22,0)),0)))</f>
        <v/>
      </c>
      <c r="EU19" s="45" t="str">
        <f>IF(BI19&lt;&gt;"SÍ","",""&amp;IF(BJ19="NO ESTÁ EN PIER_FORCES","sin fuerzas en PIER_FORCES; ","")&amp;IF(BV19&lt;&gt;"CUMPLE","vanos; ","")&amp;IF(LEFT(CH19,2)="NO","espesor o esbeltez; ","")&amp;IF(CQ19&gt;1,"compresión; ","")&amp;IF(CX19&gt;1,"flexión; ","")&amp;IF(CB19&lt;=0,"sin tramos de muro (todos son machones menores que L mín.: diséñalos como columnas o baja L mín.); ",IF(EC19&gt;1,"cortante; ",""))&amp;IF(OR(LEFT(EA19,2)="NO",LEFT(EA19,5)="FALTA"),"refuerzo horizontal; ","")&amp;IF(OR(LEFT(EP19,2)="NO",LEFT(EP19,7)="REVISAR"),"muro sobre viga; ","")&amp;IF(LEFT(DATOS!$C$81,2)="NO","castillo típico; ","")&amp;IF(LEFT(DATOS!$C$82,2)="NO","dala típica; ","")&amp;IF(AND(BT19&lt;&gt;DATOS!$C$58,DATOS!$C$60&lt;BT19),"castillo más angosto que el muro; ",""))</f>
        <v/>
      </c>
      <c r="EV19" s="45" t="str">
        <f>IF(BI19&lt;&gt;"SÍ","",""&amp;IF(LEFT(EP19,9)="PENDIENTE","análisis muro–viga (H/L &lt; 0.6); ","")&amp;IF(BR19&gt;50,"V_u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19" s="51" t="str">
        <f>IF(BI19&lt;&gt;"SÍ","",IF(EU19&lt;&gt;"","NO CUMPLE: "&amp;LEFT(EU19,LEN(EU19)-2),IF(EV19&lt;&gt;"","CUMPLE — PENDIENTE: "&amp;LEFT(EV19,LEN(EV19)-2),"CUMPLE")))</f>
        <v/>
      </c>
      <c r="EX19" s="52" t="n"/>
    </row>
    <row r="20" ht="30" customHeight="1">
      <c r="A20" s="38" t="str">
        <f>IF(B20="","",ROW()-10)</f>
        <v/>
      </c>
      <c r="B20" s="28" t="n"/>
      <c r="C20" s="39" t="n"/>
      <c r="D20" s="39" t="n"/>
      <c r="E20" s="39" t="n"/>
      <c r="F20" s="40" t="n"/>
      <c r="G20" s="40" t="n"/>
      <c r="H20" s="41" t="n"/>
      <c r="I20" s="39" t="n"/>
      <c r="J20" s="40" t="n"/>
      <c r="K20" s="40" t="n"/>
      <c r="L20" s="40" t="n"/>
      <c r="M20" s="40" t="n"/>
      <c r="N20" s="39" t="n"/>
      <c r="O20" s="40" t="n"/>
      <c r="P20" s="40" t="n"/>
      <c r="Q20" s="40" t="n"/>
      <c r="R20" s="40" t="n"/>
      <c r="S20" s="39" t="n"/>
      <c r="T20" s="40" t="n"/>
      <c r="U20" s="40" t="n"/>
      <c r="V20" s="40" t="n"/>
      <c r="W20" s="40" t="n"/>
      <c r="X20" s="39" t="n"/>
      <c r="Y20" s="40" t="n"/>
      <c r="Z20" s="40" t="n"/>
      <c r="AA20" s="40" t="n"/>
      <c r="AB20" s="40" t="n"/>
      <c r="AC20" s="41" t="n"/>
      <c r="AD20" s="41" t="n"/>
      <c r="AE20" s="39" t="n"/>
      <c r="AF20" s="41" t="n"/>
      <c r="AG20" s="41" t="n"/>
      <c r="AH20" s="41" t="n"/>
      <c r="AI20" s="39" t="n"/>
      <c r="AJ20" s="39" t="n"/>
      <c r="AK20" s="41" t="n"/>
      <c r="AL20" s="41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2" t="str">
        <f>IF(B20="","",C20&amp;"|"&amp;B20)</f>
        <v/>
      </c>
      <c r="AY20" s="43" t="str">
        <f>IF(B20="","",COUNTIFS(PIER_FORCES!$O$9:$O$3008,10,PIER_FORCES!$P$9:$P$3008,1))</f>
        <v/>
      </c>
      <c r="AZ20" s="43" t="str">
        <f>IF(B20="","",COUNTIFS(PIER_FORCES!$O$9:$O$3008,10,PIER_FORCES!$P$9:$P$3008,2))</f>
        <v/>
      </c>
      <c r="BA20" s="44">
        <f>IF(N(AY20)=0,0,SUMPRODUCT(MAX((PIER_FORCES!$O$9:$O$3008=10)*(PIER_FORCES!$P$9:$P$3008=1)*PIER_FORCES!$R$9:$R$3008)))</f>
        <v>0</v>
      </c>
      <c r="BB20" s="44">
        <f>IF(N(AY20)=0,0,SUMPRODUCT(MAX((PIER_FORCES!$O$9:$O$3008=10)*(PIER_FORCES!$P$9:$P$3008=1)*PIER_FORCES!$S$9:$S$3008)))</f>
        <v>0</v>
      </c>
      <c r="BC20" s="44">
        <f>IF(N(AY20)=0,0,-SUMPRODUCT(MAX((PIER_FORCES!$O$9:$O$3008=10)*(PIER_FORCES!$P$9:$P$3008=1)*(-PIER_FORCES!$Q$9:$Q$3008)+(1-(PIER_FORCES!$O$9:$O$3008=10)*(PIER_FORCES!$P$9:$P$3008=1))*(-1E9))))</f>
        <v>0</v>
      </c>
      <c r="BD20" s="44">
        <f>IF(N(AY20)=0,0,SUMPRODUCT(MAX((PIER_FORCES!$O$9:$O$3008=10)*(PIER_FORCES!$P$9:$P$3008=1)*PIER_FORCES!$Q$9:$Q$3008+(1-(PIER_FORCES!$O$9:$O$3008=10)*(PIER_FORCES!$P$9:$P$3008=1))*(-1E9))))</f>
        <v>0</v>
      </c>
      <c r="BE20" s="44">
        <f>IF(N(AZ20)=0,BD20,SUMPRODUCT(MAX((PIER_FORCES!$O$9:$O$3008=10)*(PIER_FORCES!$P$9:$P$3008=2)*PIER_FORCES!$Q$9:$Q$3008+(1-(PIER_FORCES!$O$9:$O$3008=10)*(PIER_FORCES!$P$9:$P$3008=2))*(-1E9))))</f>
        <v>0</v>
      </c>
      <c r="BF20" s="44">
        <f>IF(N(AZ20)=0,0,SUMPRODUCT(MAX((PIER_FORCES!$O$9:$O$3008=10)*(PIER_FORCES!$P$9:$P$3008=2)*PIER_FORCES!$R$9:$R$3008)))</f>
        <v>0</v>
      </c>
      <c r="BG20" s="43">
        <f>IF(N(AY20)=0,0,SUMPRODUCT(MAX((PIER_FORCES!$O$9:$O$3008=10)*(PIER_FORCES!$P$9:$P$3008=1)*(ABS(PIER_FORCES!$R$9:$R$3008-BA20)&lt;0.000001)*PIER_FORCES!$T$9:$T$3008)))</f>
        <v>0</v>
      </c>
      <c r="BH20" s="45" t="str">
        <f>IF(N(BG20)=0,"",INDEX(PIER_FORCES!$D$9:$D$3008,BG20)&amp;" "&amp;INDEX(PIER_FORCES!$F$9:$F$3008,BG20)&amp;" / "&amp;INDEX(PIER_FORCES!$G$9:$G$3008,BG20))</f>
        <v/>
      </c>
      <c r="BI20" s="42" t="str">
        <f>IF(B20="","",IF(AND(C20&lt;&gt;"",OR(D20="X",D20="Y"),ISNUMBER(F20),N(F20)&gt;0),"SÍ","NO"))</f>
        <v/>
      </c>
      <c r="BJ20" s="42" t="str">
        <f>IF(BI20&lt;&gt;"SÍ","",IF(DATOS!$C$108="ETABS (PIER_FORCES)",IF(N(AY20)&gt;0,"ETABS","NO ESTÁ EN PIER_FORCES"),"CAPTURA"))</f>
        <v/>
      </c>
      <c r="BK20" s="46" t="str">
        <f>IF(BI20&lt;&gt;"SÍ","",IF(BJ20="ETABS",BA20,IF(BJ20="CAPTURA",N(AQ20),0)))</f>
        <v/>
      </c>
      <c r="BL20" s="46" t="str">
        <f>IF(BI20&lt;&gt;"SÍ","",IF(BJ20="ETABS",BB20,IF(BJ20="CAPTURA",N(AR20),0)))</f>
        <v/>
      </c>
      <c r="BM20" s="46" t="str">
        <f>IF(BI20&lt;&gt;"SÍ","",IF(BJ20="ETABS",BC20/DATOS!$C$89,IF(BJ20="CAPTURA",N(AS20),0)))</f>
        <v/>
      </c>
      <c r="BN20" s="44" t="str">
        <f>IF(BI20&lt;&gt;"SÍ","",IF(BJ20="ETABS",BC20,IF(BJ20="CAPTURA",IF(ISNUMBER(AU20),AU20,N(AS20)*DATOS!$C$89),0)))</f>
        <v/>
      </c>
      <c r="BO20" s="44" t="str">
        <f>IF(BI20&lt;&gt;"SÍ","",IF(BJ20="ETABS",MAX(BD20,BE20),IF(BJ20="CAPTURA",N(AT20),0)))</f>
        <v/>
      </c>
      <c r="BP20" s="44" t="str">
        <f>IF(BI20&lt;&gt;"SÍ","",IF(BJ20="ETABS",BE20,IF(BJ20="CAPTURA",IF(ISNUMBER(AV20),AV20,N(AT20)),0)))</f>
        <v/>
      </c>
      <c r="BQ20" s="44" t="str">
        <f>IF(BI20&lt;&gt;"SÍ","",IF(BJ20="ETABS",BF20,IF(BJ20="CAPTURA",N(AW20),0)))</f>
        <v/>
      </c>
      <c r="BR20" s="43" t="str">
        <f>IF(BI20&lt;&gt;"SÍ","",IF(BK20&gt;0,100*BQ20/BK20,0))</f>
        <v/>
      </c>
      <c r="BS20" s="44" t="str">
        <f>IF(BI20&lt;&gt;"SÍ","",IF(ISNUMBER(G20),G20,DATOS!$C$57))</f>
        <v/>
      </c>
      <c r="BT20" s="47" t="str">
        <f>IF(BI20&lt;&gt;"SÍ","",IF(ISNUMBER(H20),H20,DATOS!$C$58))</f>
        <v/>
      </c>
      <c r="BU20" s="43" t="str">
        <f>IF(BI20&lt;&gt;"SÍ","",IF(N(K20)&gt;0,1+IF(N(P20)&gt;0,1+IF(N(U20)&gt;0,1+IF(N(Z20)&gt;0,1,0),0),0),0))</f>
        <v/>
      </c>
      <c r="BV20" s="45" t="str">
        <f>IF(BI20&lt;&gt;"SÍ","",IF(AND(OR(BU20&lt;1,AND(N(J20)&gt;=0-0.001,J20+K20&lt;=F20+0.001,N(L20)&gt;=0,N(L20)+N(M20)&lt;=BS20+0.001,N(M20)&gt;0,OR(I20="PUERTA",I20="VENTANA"))),OR(BU20&lt;2,AND(N(O20)&gt;=(J20+K20)-0.001,O20+P20&lt;=F20+0.001,N(Q20)&gt;=0,N(Q20)+N(R20)&lt;=BS20+0.001,N(R20)&gt;0,OR(N20="PUERTA",N20="VENTANA"))),OR(BU20&lt;3,AND(N(T20)&gt;=(O20+P20)-0.001,T20+U20&lt;=F20+0.001,N(V20)&gt;=0,N(V20)+N(W20)&lt;=BS20+0.001,N(W20)&gt;0,OR(S20="PUERTA",S20="VENTANA"))),OR(BU20&lt;4,AND(N(Y20)&gt;=(T20+U20)-0.001,Y20+Z20&lt;=F20+0.001,N(AA20)&gt;=0,N(AA20)+N(AB20)&lt;=BS20+0.001,N(AB20)&gt;0,OR(X20="PUERTA",X20="VENTANA"))),(N(K20)&gt;0)+(N(P20)&gt;0)+(N(U20)&gt;0)+(N(Z20)&gt;0)=BU20),"CUMPLE","REVISAR VANOS: tipo, orden de izquierda a derecha, que quepan en L y en H"))</f>
        <v/>
      </c>
      <c r="BW20" s="44" t="str">
        <f>IF(BI20&lt;&gt;"SÍ","",MAX(0,IF(BU20&gt;=1,N(J20),F20)))</f>
        <v/>
      </c>
      <c r="BX20" s="44" t="str">
        <f>IF(BI20&lt;&gt;"SÍ","",MAX(0,IF(BU20&gt;=2,N(O20)-(N(J20)+N(K20)),IF(BU20=1,F20-(N(J20)+N(K20)),0))))</f>
        <v/>
      </c>
      <c r="BY20" s="44" t="str">
        <f>IF(BI20&lt;&gt;"SÍ","",MAX(0,IF(BU20&gt;=3,N(T20)-(N(O20)+N(P20)),IF(BU20=2,F20-(N(O20)+N(P20)),0))))</f>
        <v/>
      </c>
      <c r="BZ20" s="44" t="str">
        <f>IF(BI20&lt;&gt;"SÍ","",MAX(0,IF(BU20&gt;=4,N(Y20)-(N(T20)+N(U20)),IF(BU20=3,F20-(N(T20)+N(U20)),0))))</f>
        <v/>
      </c>
      <c r="CA20" s="44" t="str">
        <f>IF(BI20&lt;&gt;"SÍ","",MAX(0,IF(BU20=4,F20-(N(Y20)+N(Z20)),0)))</f>
        <v/>
      </c>
      <c r="CB20" s="46" t="str">
        <f>IF(BI20&lt;&gt;"SÍ","",SUMPRODUCT((BW20:CA20&gt;=DATOS!$C$72-0.0001)*BW20:CA20))</f>
        <v/>
      </c>
      <c r="CC20" s="43" t="str">
        <f>IF(BI20&lt;&gt;"SÍ","",SUMPRODUCT(--(BW20:CA20&gt;=DATOS!$C$72-0.0001)))</f>
        <v/>
      </c>
      <c r="CD20" s="44" t="str">
        <f>IF(BI20&lt;&gt;"SÍ","",SUM(BW20:CA20))</f>
        <v/>
      </c>
      <c r="CE20" s="43" t="str">
        <f>IF(BI20&lt;&gt;"SÍ","",BT20*CB20*100)</f>
        <v/>
      </c>
      <c r="CF20" s="43" t="str">
        <f>IF(BI20&lt;&gt;"SÍ","",BT20*CD20*100)</f>
        <v/>
      </c>
      <c r="CG20" s="47" t="str">
        <f>IF(BI20&lt;&gt;"SÍ","",BS20*100/BT20)</f>
        <v/>
      </c>
      <c r="CH20" s="45" t="str">
        <f>IF(BI20&lt;&gt;"SÍ","",IF(AND(OR(DATOS!$C$14="TIPO II",BT20&gt;=12),CG20&lt;=25),"CUMPLE","NO CUMPLE: "&amp;IF(AND(DATOS!$C$14="TIPO I",BT20&lt;12),"t &lt; 12 cm ","")&amp;IF(CG20&gt;25,"H/t &gt; 25","")))</f>
        <v/>
      </c>
      <c r="CI20" s="44" t="str">
        <f>IF(BI20&lt;&gt;"SÍ","",MIN(1.5*BS20,4))</f>
        <v/>
      </c>
      <c r="CJ20" s="43" t="str">
        <f>IF(BI20&lt;&gt;"SÍ","",SUMPRODUCT((BW20:CA20&gt;=2*DATOS!$C$59/100)*INT((BW20:CA20-DATOS!$C$59/100)/CI20-0.000001)*((BW20:CA20-DATOS!$C$59/100)&gt;0)))</f>
        <v/>
      </c>
      <c r="CK20" s="43" t="str">
        <f>IF(BI20&lt;&gt;"SÍ","",SUMPRODUCT((BW20:CA20&gt;0.0001)*1+(BW20:CA20&gt;=2*DATOS!$C$59/100)*1)+CJ20)</f>
        <v/>
      </c>
      <c r="CL20" s="44" t="str">
        <f>IF(BI20&lt;&gt;"SÍ","",IF(ISNUMBER(AC20),AC20,DATOS!$C$61)*INDEX(TABLAS!$D$6:$D$14,MATCH(IF(AD20&lt;&gt;"",AD20,DATOS!$C$62),TABLAS!$B$6:$B$14,0)))</f>
        <v/>
      </c>
      <c r="CM20" s="44" t="str">
        <f>IF(BI20&lt;&gt;"SÍ","",CK20*DATOS!$C$78+IF(CK20&gt;=2,2,CK20)*(CL20-DATOS!$C$78))</f>
        <v/>
      </c>
      <c r="CN20" s="47" t="str">
        <f>IF(BI20&lt;&gt;"SÍ","",MAX(BS20*100/6,40))</f>
        <v/>
      </c>
      <c r="CO20" s="48" t="str">
        <f>IF(BI20&lt;&gt;"SÍ","",IF(CG20&lt;=20,IF(E20="INTERIOR",0.7,0.6),MIN(IF(E20="INTERIOR",0.7,0.6),(1-2/24)*(1-(IF(E20="INTERIOR",0.8,1)*CG20/30)^2))))</f>
        <v/>
      </c>
      <c r="CP20" s="47" t="str">
        <f>IF(BI20&lt;&gt;"SÍ","",DATOS!$C$87*CO20*(DATOS!$C$33*CF20+CM20*DATOS!$C$48)/1000)</f>
        <v/>
      </c>
      <c r="CQ20" s="46" t="str">
        <f>IF(BI20&lt;&gt;"SÍ","",IF(CP20&gt;0,BO20/CP20,99))</f>
        <v/>
      </c>
      <c r="CR20" s="47" t="str">
        <f>IF(BI20&lt;&gt;"SÍ","",MAX(0,F20*100-DATOS!$C$59))</f>
        <v/>
      </c>
      <c r="CS20" s="47" t="str">
        <f>IF(BI20&lt;&gt;"SÍ","",MAX(0,F20*100-DATOS!$C$59/2))</f>
        <v/>
      </c>
      <c r="CT20" s="44" t="str">
        <f>IF(BI20&lt;&gt;"SÍ","",CL20*DATOS!$C$48*CR20/100000)</f>
        <v/>
      </c>
      <c r="CU20" s="44" t="str">
        <f>IF(BI20&lt;&gt;"SÍ","",IF(BN20&lt;0,0.8*CT20*MAX(0,1+BN20/(0.8*CM20*DATOS!$C$48/1000)),IF(BN20&lt;=CP20/3,0.8*CT20+0.3*BN20*CS20/100,(1.5*0.6*CT20+0.15*CP20*CS20/100)*MAX(0,1-BN20/CP20))))</f>
        <v/>
      </c>
      <c r="CV20" s="44" t="str">
        <f>IF(BI20&lt;&gt;"SÍ","",IF(BO20&lt;0,0.8*CT20*MAX(0,1+BO20/(0.8*CM20*DATOS!$C$48/1000)),IF(BO20&lt;=CP20/3,0.8*CT20+0.3*BO20*CS20/100,(1.5*0.6*CT20+0.15*CP20*CS20/100)*MAX(0,1-BO20/CP20))))</f>
        <v/>
      </c>
      <c r="CW20" s="46" t="str">
        <f>IF(BI20&lt;&gt;"SÍ","",MAX(0,MIN(CU20,CV20)))</f>
        <v/>
      </c>
      <c r="CX20" s="49" t="str">
        <f>IF(BI20&lt;&gt;"SÍ","",IF(CW20&gt;0,BL20/CW20,IF(BL20&gt;0,99,0)))</f>
        <v/>
      </c>
      <c r="CY20" s="44" t="str">
        <f>IF(BI20&lt;&gt;"SÍ","",IF(BW20&gt;0,MAX(1,MIN(1.5,1.5-0.625*(BS20/BW20-0.2))),0))</f>
        <v/>
      </c>
      <c r="CZ20" s="44" t="str">
        <f>IF(BI20&lt;&gt;"SÍ","",IF(BX20&gt;0,MAX(1,MIN(1.5,1.5-0.625*(BS20/BX20-0.2))),0))</f>
        <v/>
      </c>
      <c r="DA20" s="44" t="str">
        <f>IF(BI20&lt;&gt;"SÍ","",IF(BY20&gt;0,MAX(1,MIN(1.5,1.5-0.625*(BS20/BY20-0.2))),0))</f>
        <v/>
      </c>
      <c r="DB20" s="44" t="str">
        <f>IF(BI20&lt;&gt;"SÍ","",IF(BZ20&gt;0,MAX(1,MIN(1.5,1.5-0.625*(BS20/BZ20-0.2))),0))</f>
        <v/>
      </c>
      <c r="DC20" s="44" t="str">
        <f>IF(BI20&lt;&gt;"SÍ","",IF(CA20&gt;0,MAX(1,MIN(1.5,1.5-0.625*(BS20/CA20-0.2))),0))</f>
        <v/>
      </c>
      <c r="DD20" s="44" t="str">
        <f>IF(BI20&lt;&gt;"SÍ","",IF(OR(BW20&lt;DATOS!$C$72-0.0001,BM20&lt;0,CB20&lt;=0),0,MIN(DATOS!$C$86*(0.5*DATOS!$C$41*BT20*BW20*100+0.3*BM20*BW20/CB20*1000)*CY20,1.5*DATOS!$C$86*DATOS!$C$41*BT20*BW20*100*CY20)/1000))</f>
        <v/>
      </c>
      <c r="DE20" s="44" t="str">
        <f>IF(BI20&lt;&gt;"SÍ","",IF(OR(BX20&lt;DATOS!$C$72-0.0001,BM20&lt;0,CB20&lt;=0),0,MIN(DATOS!$C$86*(0.5*DATOS!$C$41*BT20*BX20*100+0.3*BM20*BX20/CB20*1000)*CZ20,1.5*DATOS!$C$86*DATOS!$C$41*BT20*BX20*100*CZ20)/1000))</f>
        <v/>
      </c>
      <c r="DF20" s="44" t="str">
        <f>IF(BI20&lt;&gt;"SÍ","",IF(OR(BY20&lt;DATOS!$C$72-0.0001,BM20&lt;0,CB20&lt;=0),0,MIN(DATOS!$C$86*(0.5*DATOS!$C$41*BT20*BY20*100+0.3*BM20*BY20/CB20*1000)*DA20,1.5*DATOS!$C$86*DATOS!$C$41*BT20*BY20*100*DA20)/1000))</f>
        <v/>
      </c>
      <c r="DG20" s="44" t="str">
        <f>IF(BI20&lt;&gt;"SÍ","",IF(OR(BZ20&lt;DATOS!$C$72-0.0001,BM20&lt;0,CB20&lt;=0),0,MIN(DATOS!$C$86*(0.5*DATOS!$C$41*BT20*BZ20*100+0.3*BM20*BZ20/CB20*1000)*DB20,1.5*DATOS!$C$86*DATOS!$C$41*BT20*BZ20*100*DB20)/1000))</f>
        <v/>
      </c>
      <c r="DH20" s="44" t="str">
        <f>IF(BI20&lt;&gt;"SÍ","",IF(OR(CA20&lt;DATOS!$C$72-0.0001,BM20&lt;0,CB20&lt;=0),0,MIN(DATOS!$C$86*(0.5*DATOS!$C$41*BT20*CA20*100+0.3*BM20*CA20/CB20*1000)*DC20,1.5*DATOS!$C$86*DATOS!$C$41*BT20*CA20*100*DC20)/1000))</f>
        <v/>
      </c>
      <c r="DI20" s="46" t="str">
        <f>IF(BI20&lt;&gt;"SÍ","",SUM(DD20:DH20))</f>
        <v/>
      </c>
      <c r="DJ20" s="48" t="str">
        <f>IF(BI20&lt;&gt;"SÍ","",IF(AE20="VARILLA EN JUNTAS",IF(ISNUMBER(AF20),AF20,2)*INDEX(TABLAS!$D$6:$D$14,MATCH(IF(AG20&lt;&gt;"",AG20,DATOS!$C$73),TABLAS!$B$6:$B$14,0)),IF(AE20="MALLA",IF(ISNUMBER(AF20),AF20,1)*INDEX(TABLAS!$D$19:$D$22,MATCH(IF(AG20&lt;&gt;"",AG20,DATOS!$C$74),TABLAS!$B$19:$B$22,0))/100,IF(AE20="ESCALERILLA",IF(ISNUMBER(AF20),AF20,2)*INDEX(TABLAS!$D$6:$D$14,MATCH(IF(AG20&lt;&gt;"",AG20,DATOS!$C$73),TABLAS!$B$6:$B$14,0)),0))))</f>
        <v/>
      </c>
      <c r="DK20" s="47" t="str">
        <f>IF(BI20&lt;&gt;"SÍ","",IF(OR(AE20="VARILLA EN JUNTAS",AE20="ESCALERILLA"),IF(ISNUMBER(AH20),AH20,2)*DATOS!$C$26,IF(AE20="MALLA",1,0)))</f>
        <v/>
      </c>
      <c r="DL20" s="44" t="str">
        <f>IF(BI20&lt;&gt;"SÍ","",IF(DK20&gt;0,DJ20/(DK20*BT20)*MIN(DATOS!$C$50,IF(AE20="MALLA",5000,6000)),0))</f>
        <v/>
      </c>
      <c r="DM20" s="44" t="str">
        <f>IF(BI20&lt;&gt;"SÍ","",IF(AE20="ESCALERILLA",0,MIN(DL20,0.1*DATOS!$C$33*DATOS!$C$24)))</f>
        <v/>
      </c>
      <c r="DN20" s="48" t="str">
        <f>IF(BI20&lt;&gt;"SÍ","",IF(AE20="MALLA",0.5,IF(DATOS!$C$33&lt;=60,0.55,IF(DATOS!$C$33&gt;=90,0.75,0.55+0.2*(DATOS!$C$33-60)/30))))</f>
        <v/>
      </c>
      <c r="DO20" s="48" t="str">
        <f>IF(BI20&lt;&gt;"SÍ","",1-DATOS!$C$91*DM20)</f>
        <v/>
      </c>
      <c r="DP20" s="44" t="str">
        <f>IF(BI20&lt;&gt;"SÍ","",IF(BW20&gt;0,IF(BS20/BW20&lt;=1,1.3,IF(BS20/BW20&gt;=1.5,1,1.3-0.6*(BS20/BW20-1))),0))</f>
        <v/>
      </c>
      <c r="DQ20" s="44" t="str">
        <f>IF(BI20&lt;&gt;"SÍ","",IF(BX20&gt;0,IF(BS20/BX20&lt;=1,1.3,IF(BS20/BX20&gt;=1.5,1,1.3-0.6*(BS20/BX20-1))),0))</f>
        <v/>
      </c>
      <c r="DR20" s="44" t="str">
        <f>IF(BI20&lt;&gt;"SÍ","",IF(BY20&gt;0,IF(BS20/BY20&lt;=1,1.3,IF(BS20/BY20&gt;=1.5,1,1.3-0.6*(BS20/BY20-1))),0))</f>
        <v/>
      </c>
      <c r="DS20" s="44" t="str">
        <f>IF(BI20&lt;&gt;"SÍ","",IF(BZ20&gt;0,IF(BS20/BZ20&lt;=1,1.3,IF(BS20/BZ20&gt;=1.5,1,1.3-0.6*(BS20/BZ20-1))),0))</f>
        <v/>
      </c>
      <c r="DT20" s="44" t="str">
        <f>IF(BI20&lt;&gt;"SÍ","",IF(CA20&gt;0,IF(BS20/CA20&lt;=1,1.3,IF(BS20/CA20&gt;=1.5,1,1.3-0.6*(BS20/CA20-1))),0))</f>
        <v/>
      </c>
      <c r="DU20" s="44" t="str">
        <f>IF(BI20&lt;&gt;"SÍ","",IF(OR(DM20&lt;=0,BW20&lt;DATOS!$C$72-0.0001),0,DATOS!$C$86*MAX(0,IF(BM20&gt;=0,DD20/(DATOS!$C$86*DM20*BT20*BW20*100/1000)*(DP20*DO20-1)+DN20,DO20*DN20))*DM20*BT20*BW20*100/1000))</f>
        <v/>
      </c>
      <c r="DV20" s="44" t="str">
        <f>IF(BI20&lt;&gt;"SÍ","",IF(OR(DM20&lt;=0,BX20&lt;DATOS!$C$72-0.0001),0,DATOS!$C$86*MAX(0,IF(BM20&gt;=0,DE20/(DATOS!$C$86*DM20*BT20*BX20*100/1000)*(DQ20*DO20-1)+DN20,DO20*DN20))*DM20*BT20*BX20*100/1000))</f>
        <v/>
      </c>
      <c r="DW20" s="44" t="str">
        <f>IF(BI20&lt;&gt;"SÍ","",IF(OR(DM20&lt;=0,BY20&lt;DATOS!$C$72-0.0001),0,DATOS!$C$86*MAX(0,IF(BM20&gt;=0,DF20/(DATOS!$C$86*DM20*BT20*BY20*100/1000)*(DR20*DO20-1)+DN20,DO20*DN20))*DM20*BT20*BY20*100/1000))</f>
        <v/>
      </c>
      <c r="DX20" s="44" t="str">
        <f>IF(BI20&lt;&gt;"SÍ","",IF(OR(DM20&lt;=0,BZ20&lt;DATOS!$C$72-0.0001),0,DATOS!$C$86*MAX(0,IF(BM20&gt;=0,DG20/(DATOS!$C$86*DM20*BT20*BZ20*100/1000)*(DS20*DO20-1)+DN20,DO20*DN20))*DM20*BT20*BZ20*100/1000))</f>
        <v/>
      </c>
      <c r="DY20" s="44" t="str">
        <f>IF(BI20&lt;&gt;"SÍ","",IF(OR(DM20&lt;=0,CA20&lt;DATOS!$C$72-0.0001),0,DATOS!$C$86*MAX(0,IF(BM20&gt;=0,DH20/(DATOS!$C$86*DM20*BT20*CA20*100/1000)*(DT20*DO20-1)+DN20,DO20*DN20))*DM20*BT20*CA20*100/1000))</f>
        <v/>
      </c>
      <c r="DZ20" s="46" t="str">
        <f>IF(BI20&lt;&gt;"SÍ","",SUM(DU20:DY20))</f>
        <v/>
      </c>
      <c r="EA20" s="45" t="str">
        <f>IF(BI20&lt;&gt;"SÍ","",IF(OR(AE20="",AE20="NINGUNO"),IF(DATOS!$C$41&gt;=10,"FALTA refuerzo horizontal: v'm ≥ 10 kg/cm² (6.5.2.2)",IF(AND(BM20&lt;0,BK20&gt;0),"FALTA: P en tensión, el refuerzo debe tomar todo el cortante (6.5.1.3)","—")),IF(AE20="ESCALERILLA","NO CUENTA: la escalerilla no se permite para cortante por sismo (6.5.3.1.2)",IF(AE20="MALLA",IF(AND(DL20&gt;=2.5,DL20&lt;=MAX(0.15*DATOS!$C$33*DATOS!$C$24,2.5)),"CUMPLE","NO CUMPLE: "&amp;IF(DL20&lt;2.5,"p_h·f_yh &lt; 2.5 (6.5.4.2.4)","p_h·f_yh &gt; 0.15·f'm·f_an (6.5.4.2.4)")),IF(AND(DK20&lt;=MIN(6*DATOS!$C$26,45),DL20&gt;=3,DL20&lt;=MIN(MAX(0.15*DATOS!$C$33*DATOS!$C$24,3),0.05*DATOS!$C$25/10*MIN(DATOS!$C$50,6000)/DK20),INDEX(TABLAS!$C$6:$C$14,MATCH(IF(AG20&lt;&gt;"",AG20,DATOS!$C$73),TABLAS!$B$6:$B$14,0))&gt;=0.35,INDEX(TABLAS!$C$6:$C$14,MATCH(IF(AG20&lt;&gt;"",AG20,DATOS!$C$73),TABLAS!$B$6:$B$14,0))&lt;=0.75*DATOS!$C$25/10),"CUMPLE","NO CUMPLE: "&amp;IF(DK20&gt;MIN(6*DATOS!$C$26,45),"s_h &gt; 6 hiladas o 45 cm (6.5.3.2.1) ","")&amp;IF(DL20&lt;3,"p_h·f_yh &lt; 3 (6.5.3.3.1) ","")&amp;IF(DL20&gt;MIN(MAX(0.15*DATOS!$C$33*DATOS!$C$24,3),0.05*DATOS!$C$25/10*MIN(DATOS!$C$50,6000)/DK20),"p_h·f_yh &gt; máximo (6.5.3.3.2) ","")&amp;IF(OR(INDEX(TABLAS!$C$6:$C$14,MATCH(IF(AG20&lt;&gt;"",AG20,DATOS!$C$73),TABLAS!$B$6:$B$14,0))&lt;0.35,INDEX(TABLAS!$C$6:$C$14,MATCH(IF(AG20&lt;&gt;"",AG20,DATOS!$C$73),TABLAS!$B$6:$B$14,0))&gt;0.75*DATOS!$C$25/10),"diámetro fuera de 3.5 mm a 0.75·h_j (4.2.2.2.1)",""))))))</f>
        <v/>
      </c>
      <c r="EB20" s="46" t="str">
        <f>IF(BI20&lt;&gt;"SÍ","",DI20+DZ20)</f>
        <v/>
      </c>
      <c r="EC20" s="50" t="str">
        <f>IF(BI20&lt;&gt;"SÍ","",IF(EB20&gt;0,BK20/EB20,IF(BK20&gt;0,99,0)))</f>
        <v/>
      </c>
      <c r="ED20" s="47" t="str">
        <f>IF(BI20&lt;&gt;"SÍ","",IF(CE20&lt;=0,-1,IF(BK20&lt;=DI20,0,IF(IF(BM20&gt;=0,IF((DATOS!$C$86*IF(AE20="MALLA",0.5,IF(DATOS!$C$33&lt;=60,0.55,IF(DATOS!$C$33&gt;=90,0.75,0.55+0.2*(DATOS!$C$33-60)/30)))*CE20/1000-DATOS!$C$91*SUMPRODUCT(DP20:DT20,DD20:DH20))&lt;=0,1E9,(BK20-SUMPRODUCT(DP20:DT20,DD20:DH20))/(DATOS!$C$86*IF(AE20="MALLA",0.5,IF(DATOS!$C$33&lt;=60,0.55,IF(DATOS!$C$33&gt;=90,0.75,0.55+0.2*(DATOS!$C$33-60)/30)))*CE20/1000-DATOS!$C$91*SUMPRODUCT(DP20:DT20,DD20:DH20))),IF((1-4*DATOS!$C$91*BK20*1000/(DATOS!$C$86*IF(AE20="MALLA",0.5,IF(DATOS!$C$33&lt;=60,0.55,IF(DATOS!$C$33&gt;=90,0.75,0.55+0.2*(DATOS!$C$33-60)/30)))*MAX(CE20,1)))&lt;0,1E9,(1-SQRT((1-4*DATOS!$C$91*BK20*1000/(DATOS!$C$86*IF(AE20="MALLA",0.5,IF(DATOS!$C$33&lt;=60,0.55,IF(DATOS!$C$33&gt;=90,0.75,0.55+0.2*(DATOS!$C$33-60)/30)))*MAX(CE20,1)))))/(2*DATOS!$C$91)))&gt;0.1*DATOS!$C$33*DATOS!$C$24+0.000001,-1,MAX(IF(AE20="MALLA",2.5,3),IF(BM20&gt;=0,IF((DATOS!$C$86*IF(AE20="MALLA",0.5,IF(DATOS!$C$33&lt;=60,0.55,IF(DATOS!$C$33&gt;=90,0.75,0.55+0.2*(DATOS!$C$33-60)/30)))*CE20/1000-DATOS!$C$91*SUMPRODUCT(DP20:DT20,DD20:DH20))&lt;=0,1E9,(BK20-SUMPRODUCT(DP20:DT20,DD20:DH20))/(DATOS!$C$86*IF(AE20="MALLA",0.5,IF(DATOS!$C$33&lt;=60,0.55,IF(DATOS!$C$33&gt;=90,0.75,0.55+0.2*(DATOS!$C$33-60)/30)))*CE20/1000-DATOS!$C$91*SUMPRODUCT(DP20:DT20,DD20:DH20))),IF((1-4*DATOS!$C$91*BK20*1000/(DATOS!$C$86*IF(AE20="MALLA",0.5,IF(DATOS!$C$33&lt;=60,0.55,IF(DATOS!$C$33&gt;=90,0.75,0.55+0.2*(DATOS!$C$33-60)/30)))*MAX(CE20,1)))&lt;0,1E9,(1-SQRT((1-4*DATOS!$C$91*BK20*1000/(DATOS!$C$86*IF(AE20="MALLA",0.5,IF(DATOS!$C$33&lt;=60,0.55,IF(DATOS!$C$33&gt;=90,0.75,0.55+0.2*(DATOS!$C$33-60)/30)))*MAX(CE20,1)))))/(2*DATOS!$C$91))))))))</f>
        <v/>
      </c>
      <c r="EE20" s="45" t="str">
        <f>IF(BI20&lt;&gt;"SÍ","",IF(ED20=0,"NO REQUIERE: V_mR ≥ V_u",IF(ED20&lt;0,"NO ALCANZA con refuerzo horizontal (haría falta más de 0.1·f'm·f_an efectivo): sube v'm con ensayes, el espesor o la longitud del muro",IF(AND(OR(AE20="VARILLA EN JUNTAS",AE20="MALLA"),LEFT(EA20,6)="CUMPLE",EC20&lt;=1),"YA LO TIENE (pide p_h·f_yh ≥ "&amp;TEXT(ED20,"0.0")&amp;" kg/cm²)","p_h·f_yh ≥ "&amp;TEXT(ED20,"0.0")&amp;" kg/cm² → "&amp;IF(AND(MIN(6,FLOOR(45/DATOS!$C$26,1),FLOOR((2*INDEX(TABLAS!$D$6:$D$14,MATCH("3/16 in",TABLAS!$B$6:$B$14,0)))*MIN(DATOS!$C$50,6000)/(BT20*DATOS!$C$26*MAX(ED20,0.001)),1))&gt;=1,((2*INDEX(TABLAS!$D$6:$D$14,MATCH("3/16 in",TABLAS!$B$6:$B$14,0)))*MIN(DATOS!$C$50,6000)/(MAX(MIN(6,FLOOR(45/DATOS!$C$26,1),FLOOR((2*INDEX(TABLAS!$D$6:$D$14,MATCH("3/16 in",TABLAS!$B$6:$B$14,0)))*MIN(DATOS!$C$50,6000)/(BT20*DATOS!$C$26*MAX(ED20,0.001)),1)),1)*DATOS!$C$26*BT20))&lt;=MIN(MAX(0.15*DATOS!$C$33*DATOS!$C$24,3),0.05*DATOS!$C$25/10*MIN(DATOS!$C$50,6000)/(MIN(6,FLOOR(45/DATOS!$C$26,1),FLOOR((2*INDEX(TABLAS!$D$6:$D$14,MATCH("3/16 in",TABLAS!$B$6:$B$14,0)))*MIN(DATOS!$C$50,6000)/(BT20*DATOS!$C$26*MAX(ED20,0.001)),1))*DATOS!$C$26))),"2 alambres de 3/16"" por junta cada "&amp;MIN(6,FLOOR(45/DATOS!$C$26,1),FLOOR((2*INDEX(TABLAS!$D$6:$D$14,MATCH("3/16 in",TABLAS!$B$6:$B$14,0)))*MIN(DATOS!$C$50,6000)/(BT20*DATOS!$C$26*MAX(ED20,0.001)),1))&amp;" hilada(s) (p_h·f_yh = "&amp;TEXT(((2*INDEX(TABLAS!$D$6:$D$14,MATCH("3/16 in",TABLAS!$B$6:$B$14,0)))*MIN(DATOS!$C$50,6000)/(MAX(MIN(6,FLOOR(45/DATOS!$C$26,1),FLOOR((2*INDEX(TABLAS!$D$6:$D$14,MATCH("3/16 in",TABLAS!$B$6:$B$14,0)))*MIN(DATOS!$C$50,6000)/(BT20*DATOS!$C$26*MAX(ED20,0.001)),1)),1)*DATOS!$C$26*BT20)),"0.00")&amp;")",IF(AND(MIN(6,FLOOR(45/DATOS!$C$26,1),FLOOR((2*INDEX(TABLAS!$D$6:$D$14,MATCH("5/32 in",TABLAS!$B$6:$B$14,0)))*MIN(DATOS!$C$50,6000)/(BT20*DATOS!$C$26*MAX(ED20,0.001)),1))&gt;=1,((2*INDEX(TABLAS!$D$6:$D$14,MATCH("5/32 in",TABLAS!$B$6:$B$14,0)))*MIN(DATOS!$C$50,6000)/(MAX(MIN(6,FLOOR(45/DATOS!$C$26,1),FLOOR((2*INDEX(TABLAS!$D$6:$D$14,MATCH("5/32 in",TABLAS!$B$6:$B$14,0)))*MIN(DATOS!$C$50,6000)/(BT20*DATOS!$C$26*MAX(ED20,0.001)),1)),1)*DATOS!$C$26*BT20))&lt;=MIN(MAX(0.15*DATOS!$C$33*DATOS!$C$24,3),0.05*DATOS!$C$25/10*MIN(DATOS!$C$50,6000)/(MIN(6,FLOOR(45/DATOS!$C$26,1),FLOOR((2*INDEX(TABLAS!$D$6:$D$14,MATCH("5/32 in",TABLAS!$B$6:$B$14,0)))*MIN(DATOS!$C$50,6000)/(BT20*DATOS!$C$26*MAX(ED20,0.001)),1))*DATOS!$C$26))),"2 alambres de 5/32"" por junta cada "&amp;MIN(6,FLOOR(45/DATOS!$C$26,1),FLOOR((2*INDEX(TABLAS!$D$6:$D$14,MATCH("5/32 in",TABLAS!$B$6:$B$14,0)))*MIN(DATOS!$C$50,6000)/(BT20*DATOS!$C$26*MAX(ED20,0.001)),1))&amp;" hilada(s) (p_h·f_yh = "&amp;TEXT(((2*INDEX(TABLAS!$D$6:$D$14,MATCH("5/32 in",TABLAS!$B$6:$B$14,0)))*MIN(DATOS!$C$50,6000)/(MAX(MIN(6,FLOOR(45/DATOS!$C$26,1),FLOOR((2*INDEX(TABLAS!$D$6:$D$14,MATCH("5/32 in",TABLAS!$B$6:$B$14,0)))*MIN(DATOS!$C$50,6000)/(BT20*DATOS!$C$26*MAX(ED20,0.001)),1)),1)*DATOS!$C$26*BT20)),"0.00")&amp;")",IF(AND(MIN(6,FLOOR(45/DATOS!$C$26,1),FLOOR((1*INDEX(TABLAS!$D$6:$D$14,MATCH("3/16 in",TABLAS!$B$6:$B$14,0)))*MIN(DATOS!$C$50,6000)/(BT20*DATOS!$C$26*MAX(ED20,0.001)),1))&gt;=1,((1*INDEX(TABLAS!$D$6:$D$14,MATCH("3/16 in",TABLAS!$B$6:$B$14,0)))*MIN(DATOS!$C$50,6000)/(MAX(MIN(6,FLOOR(45/DATOS!$C$26,1),FLOOR((1*INDEX(TABLAS!$D$6:$D$14,MATCH("3/16 in",TABLAS!$B$6:$B$14,0)))*MIN(DATOS!$C$50,6000)/(BT20*DATOS!$C$26*MAX(ED20,0.001)),1)),1)*DATOS!$C$26*BT20))&lt;=MIN(MAX(0.15*DATOS!$C$33*DATOS!$C$24,3),0.05*DATOS!$C$25/10*MIN(DATOS!$C$50,6000)/(MIN(6,FLOOR(45/DATOS!$C$26,1),FLOOR((1*INDEX(TABLAS!$D$6:$D$14,MATCH("3/16 in",TABLAS!$B$6:$B$14,0)))*MIN(DATOS!$C$50,6000)/(BT20*DATOS!$C$26*MAX(ED20,0.001)),1))*DATOS!$C$26))),"1 alambre de 3/16"" por junta cada "&amp;MIN(6,FLOOR(45/DATOS!$C$26,1),FLOOR((1*INDEX(TABLAS!$D$6:$D$14,MATCH("3/16 in",TABLAS!$B$6:$B$14,0)))*MIN(DATOS!$C$50,6000)/(BT20*DATOS!$C$26*MAX(ED20,0.001)),1))&amp;" hilada(s) (p_h·f_yh = "&amp;TEXT(((1*INDEX(TABLAS!$D$6:$D$14,MATCH("3/16 in",TABLAS!$B$6:$B$14,0)))*MIN(DATOS!$C$50,6000)/(MAX(MIN(6,FLOOR(45/DATOS!$C$26,1),FLOOR((1*INDEX(TABLAS!$D$6:$D$14,MATCH("3/16 in",TABLAS!$B$6:$B$14,0)))*MIN(DATOS!$C$50,6000)/(BT20*DATOS!$C$26*MAX(ED20,0.001)),1)),1)*DATOS!$C$26*BT20)),"0.00")&amp;")",IF(AND(MIN(6,FLOOR(45/DATOS!$C$26,1),FLOOR((1*INDEX(TABLAS!$D$6:$D$14,MATCH("5/32 in",TABLAS!$B$6:$B$14,0)))*MIN(DATOS!$C$50,6000)/(BT20*DATOS!$C$26*MAX(ED20,0.001)),1))&gt;=1,((1*INDEX(TABLAS!$D$6:$D$14,MATCH("5/32 in",TABLAS!$B$6:$B$14,0)))*MIN(DATOS!$C$50,6000)/(MAX(MIN(6,FLOOR(45/DATOS!$C$26,1),FLOOR((1*INDEX(TABLAS!$D$6:$D$14,MATCH("5/32 in",TABLAS!$B$6:$B$14,0)))*MIN(DATOS!$C$50,6000)/(BT20*DATOS!$C$26*MAX(ED20,0.001)),1)),1)*DATOS!$C$26*BT20))&lt;=MIN(MAX(0.15*DATOS!$C$33*DATOS!$C$24,3),0.05*DATOS!$C$25/10*MIN(DATOS!$C$50,6000)/(MIN(6,FLOOR(45/DATOS!$C$26,1),FLOOR((1*INDEX(TABLAS!$D$6:$D$14,MATCH("5/32 in",TABLAS!$B$6:$B$14,0)))*MIN(DATOS!$C$50,6000)/(BT20*DATOS!$C$26*MAX(ED20,0.001)),1))*DATOS!$C$26))),"1 alambre de 5/32"" por junta cada "&amp;MIN(6,FLOOR(45/DATOS!$C$26,1),FLOOR((1*INDEX(TABLAS!$D$6:$D$14,MATCH("5/32 in",TABLAS!$B$6:$B$14,0)))*MIN(DATOS!$C$50,6000)/(BT20*DATOS!$C$26*MAX(ED20,0.001)),1))&amp;" hilada(s) (p_h·f_yh = "&amp;TEXT(((1*INDEX(TABLAS!$D$6:$D$14,MATCH("5/32 in",TABLAS!$B$6:$B$14,0)))*MIN(DATOS!$C$50,6000)/(MAX(MIN(6,FLOOR(45/DATOS!$C$26,1),FLOOR((1*INDEX(TABLAS!$D$6:$D$14,MATCH("5/32 in",TABLAS!$B$6:$B$14,0)))*MIN(DATOS!$C$50,6000)/(BT20*DATOS!$C$26*MAX(ED20,0.001)),1)),1)*DATOS!$C$26*BT20)),"0.00")&amp;")","ninguna combinación de 1 o 2 alambres por junta queda entre el mínimo y el máximo: revisa con malla (6.5.4)"))))))))</f>
        <v/>
      </c>
      <c r="EF20" s="43" t="str">
        <f>IF(BI20&lt;&gt;"SÍ","",IF(AI20="SÍ",N(AK20)*N(AL20)^3/12,0))</f>
        <v/>
      </c>
      <c r="EG20" s="48" t="str">
        <f>IF(BI20&lt;&gt;"SÍ","",IF(AND(AI20="SÍ",N(AM20)&gt;0),MIN(1,F20/AM20),0))</f>
        <v/>
      </c>
      <c r="EH20" s="47" t="str">
        <f>IF(BI20&lt;&gt;"SÍ","",IF(AI20="SÍ",BP20*1000/(BT20*F20*100)*BT20*(EG20^4-4*EG20^3+8*EG20),0))</f>
        <v/>
      </c>
      <c r="EI20" s="48" t="str">
        <f>IF(BI20&lt;&gt;"SÍ","",IF(AND(AI20="SÍ",EH20&gt;0),EH20/(EH20+5*N(AN20)*10),0))</f>
        <v/>
      </c>
      <c r="EJ20" s="44" t="str">
        <f>IF(BI20&lt;&gt;"SÍ","",IF(AND(AI20="SÍ",EI20&gt;0,EF20&gt;0),(DATOS!$C$43*BT20*(AM20*100)^3/(DATOS!$C$53*EF20*EI20))^0.25,0))</f>
        <v/>
      </c>
      <c r="EK20" s="44" t="str">
        <f>IF(BI20&lt;&gt;"SÍ","",IF(AI20&lt;&gt;"SÍ",0,IF(N(AM20)&lt;=F20,1,IF(MIN(1,N(AO20)/((AM20-F20)/2))&lt;=0.5,0.7+0.6*MIN(1,N(AO20)/((AM20-F20)/2)),1.5-MIN(1,N(AO20)/((AM20-F20)/2))))))</f>
        <v/>
      </c>
      <c r="EL20" s="44" t="str">
        <f>IF(BI20&lt;&gt;"SÍ","",IF(AI20&lt;&gt;"SÍ",0,MAX(1,IF(EG20&gt;=1,(1.6*EJ20-3.9),IF(EG20&lt;0.9,((3.2*EJ20-7.8)*EK20),((3.2*EJ20-7.8)*EK20)+((1.6*EJ20-3.9)-((3.2*EJ20-7.8)*EK20))*(EG20-0.9)/0.1)))))</f>
        <v/>
      </c>
      <c r="EM20" s="47" t="str">
        <f>IF(BI20&lt;&gt;"SÍ","",IF(AI20="SÍ",EL20*BP20*1000/(BT20*F20*100),0))</f>
        <v/>
      </c>
      <c r="EN20" s="47" t="str">
        <f>IF(BI20&lt;&gt;"SÍ","",IF(AND(AI20="SÍ",N(AL20)&gt;0),AM20*100/AL20,0))</f>
        <v/>
      </c>
      <c r="EO20" s="47" t="str">
        <f>IF(BI20&lt;&gt;"SÍ","",IF(AI20="SÍ",(1/15*DATOS!$C$53*N(AK20)/MAX((IF(ISNUMBER(AP20),AP20,BP20/DATOS!$C$90)*1000/(BT20*F20*100)*BT20*(EG20^4-4*EG20^3+8*EG20))+5*N(AN20)/DATOS!$C$90*10,0.001))^(1/3),0))</f>
        <v/>
      </c>
      <c r="EP20" s="45" t="str">
        <f>IF(BI20&lt;&gt;"SÍ","",IF(AI20&lt;&gt;"SÍ","—",IF(OR(N(AK20)&lt;=0,N(AL20)&lt;=0,N(AM20)&lt;=0),"REVISAR: faltan b, h o L_v de la viga",IF(AND(EM20&lt;=DATOS!$C$87*DATOS!$C$33,EN20&lt;=14,N(AL20)&gt;=25,EN20&lt;=EO20),IF(BS20/F20&lt;0.6,"PENDIENTE: H/L &lt; 0.6, falta el análisis de interacción muro–viga (4.1.18.2.1); f_CM es estimado","CUMPLE"),"NO CUMPLE: "&amp;IF(EM20&gt;DATOS!$C$87*DATOS!$C$33,"f_CM &gt; F_R·f'm ","")&amp;IF(EN20&gt;14,"L_v/h_v &gt; 14 ","")&amp;IF(N(AL20)&lt;25,"h_v &lt; 25 cm ","")&amp;IF(EN20&gt;EO20,"flecha (4.1.18.3)","")))))</f>
        <v/>
      </c>
      <c r="EQ20" s="44" t="str">
        <f>IF(BI20&lt;&gt;"SÍ","",MAX(0,F20*BS20-(N(K20)*N(M20)+N(P20)*N(R20)+N(U20)*N(W20)+N(Z20)*N(AB20))-CK20*DATOS!$C$59/100*BS20))</f>
        <v/>
      </c>
      <c r="ER20" s="48" t="str">
        <f>IF(BI20&lt;&gt;"SÍ","",CK20*DATOS!$C$59*DATOS!$C$60/10000*BS20)</f>
        <v/>
      </c>
      <c r="ES20" s="47" t="str">
        <f>IF(BI20&lt;&gt;"SÍ","",CK20*(DATOS!$C$61*(BS20+0.6)*INDEX(TABLAS!$E$6:$E$14,MATCH(DATOS!$C$62,TABLAS!$B$6:$B$14,0))+(2*ROUNDUP(CN20/DATOS!$C$65,0)+ROUNDUP(MAX(0,BS20*100-2*CN20)/DATOS!$C$64,0))*((2*(DATOS!$C$60+DATOS!$C$59-4*(DATOS!$C$66-INDEX(TABLAS!$C$6:$C$14,MATCH(DATOS!$C$63,TABLAS!$B$6:$B$14,0))))+15)/100)*INDEX(TABLAS!$E$6:$E$14,MATCH(DATOS!$C$63,TABLAS!$B$6:$B$14,0))))</f>
        <v/>
      </c>
      <c r="ET20" s="47" t="str">
        <f>IF(BI20&lt;&gt;"SÍ","",IF(OR(AE20="VARILLA EN JUNTAS",AE20="ESCALERILLA"),INT(BS20*100/MAX(DK20,1))*IF(ISNUMBER(AF20),AF20,2)*CB20*INDEX(TABLAS!$E$6:$E$14,MATCH(IF(AG20&lt;&gt;"",AG20,DATOS!$C$73),TABLAS!$B$6:$B$14,0)),IF(AE20="MALLA",IF(ISNUMBER(AF20),AF20,1)*CB20*BS20*INDEX(TABLAS!$E$19:$E$22,MATCH(IF(AG20&lt;&gt;"",AG20,DATOS!$C$74),TABLAS!$B$19:$B$22,0)),0)))</f>
        <v/>
      </c>
      <c r="EU20" s="45" t="str">
        <f>IF(BI20&lt;&gt;"SÍ","",""&amp;IF(BJ20="NO ESTÁ EN PIER_FORCES","sin fuerzas en PIER_FORCES; ","")&amp;IF(BV20&lt;&gt;"CUMPLE","vanos; ","")&amp;IF(LEFT(CH20,2)="NO","espesor o esbeltez; ","")&amp;IF(CQ20&gt;1,"compresión; ","")&amp;IF(CX20&gt;1,"flexión; ","")&amp;IF(CB20&lt;=0,"sin tramos de muro (todos son machones menores que L mín.: diséñalos como columnas o baja L mín.); ",IF(EC20&gt;1,"cortante; ",""))&amp;IF(OR(LEFT(EA20,2)="NO",LEFT(EA20,5)="FALTA"),"refuerzo horizontal; ","")&amp;IF(OR(LEFT(EP20,2)="NO",LEFT(EP20,7)="REVISAR"),"muro sobre viga; ","")&amp;IF(LEFT(DATOS!$C$81,2)="NO","castillo típico; ","")&amp;IF(LEFT(DATOS!$C$82,2)="NO","dala típica; ","")&amp;IF(AND(BT20&lt;&gt;DATOS!$C$58,DATOS!$C$60&lt;BT20),"castillo más angosto que el muro; ",""))</f>
        <v/>
      </c>
      <c r="EV20" s="45" t="str">
        <f>IF(BI20&lt;&gt;"SÍ","",""&amp;IF(LEFT(EP20,9)="PENDIENTE","análisis muro–viga (H/L &lt; 0.6); ","")&amp;IF(BR20&gt;50,"V_u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0" s="51" t="str">
        <f>IF(BI20&lt;&gt;"SÍ","",IF(EU20&lt;&gt;"","NO CUMPLE: "&amp;LEFT(EU20,LEN(EU20)-2),IF(EV20&lt;&gt;"","CUMPLE — PENDIENTE: "&amp;LEFT(EV20,LEN(EV20)-2),"CUMPLE")))</f>
        <v/>
      </c>
      <c r="EX20" s="52" t="n"/>
    </row>
    <row r="21" ht="30" customHeight="1">
      <c r="A21" s="38" t="str">
        <f>IF(B21="","",ROW()-10)</f>
        <v/>
      </c>
      <c r="B21" s="28" t="n"/>
      <c r="C21" s="39" t="n"/>
      <c r="D21" s="39" t="n"/>
      <c r="E21" s="39" t="n"/>
      <c r="F21" s="40" t="n"/>
      <c r="G21" s="40" t="n"/>
      <c r="H21" s="41" t="n"/>
      <c r="I21" s="39" t="n"/>
      <c r="J21" s="40" t="n"/>
      <c r="K21" s="40" t="n"/>
      <c r="L21" s="40" t="n"/>
      <c r="M21" s="40" t="n"/>
      <c r="N21" s="39" t="n"/>
      <c r="O21" s="40" t="n"/>
      <c r="P21" s="40" t="n"/>
      <c r="Q21" s="40" t="n"/>
      <c r="R21" s="40" t="n"/>
      <c r="S21" s="39" t="n"/>
      <c r="T21" s="40" t="n"/>
      <c r="U21" s="40" t="n"/>
      <c r="V21" s="40" t="n"/>
      <c r="W21" s="40" t="n"/>
      <c r="X21" s="39" t="n"/>
      <c r="Y21" s="40" t="n"/>
      <c r="Z21" s="40" t="n"/>
      <c r="AA21" s="40" t="n"/>
      <c r="AB21" s="40" t="n"/>
      <c r="AC21" s="41" t="n"/>
      <c r="AD21" s="41" t="n"/>
      <c r="AE21" s="39" t="n"/>
      <c r="AF21" s="41" t="n"/>
      <c r="AG21" s="41" t="n"/>
      <c r="AH21" s="41" t="n"/>
      <c r="AI21" s="39" t="n"/>
      <c r="AJ21" s="39" t="n"/>
      <c r="AK21" s="41" t="n"/>
      <c r="AL21" s="41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2" t="str">
        <f>IF(B21="","",C21&amp;"|"&amp;B21)</f>
        <v/>
      </c>
      <c r="AY21" s="43" t="str">
        <f>IF(B21="","",COUNTIFS(PIER_FORCES!$O$9:$O$3008,11,PIER_FORCES!$P$9:$P$3008,1))</f>
        <v/>
      </c>
      <c r="AZ21" s="43" t="str">
        <f>IF(B21="","",COUNTIFS(PIER_FORCES!$O$9:$O$3008,11,PIER_FORCES!$P$9:$P$3008,2))</f>
        <v/>
      </c>
      <c r="BA21" s="44">
        <f>IF(N(AY21)=0,0,SUMPRODUCT(MAX((PIER_FORCES!$O$9:$O$3008=11)*(PIER_FORCES!$P$9:$P$3008=1)*PIER_FORCES!$R$9:$R$3008)))</f>
        <v>0</v>
      </c>
      <c r="BB21" s="44">
        <f>IF(N(AY21)=0,0,SUMPRODUCT(MAX((PIER_FORCES!$O$9:$O$3008=11)*(PIER_FORCES!$P$9:$P$3008=1)*PIER_FORCES!$S$9:$S$3008)))</f>
        <v>0</v>
      </c>
      <c r="BC21" s="44">
        <f>IF(N(AY21)=0,0,-SUMPRODUCT(MAX((PIER_FORCES!$O$9:$O$3008=11)*(PIER_FORCES!$P$9:$P$3008=1)*(-PIER_FORCES!$Q$9:$Q$3008)+(1-(PIER_FORCES!$O$9:$O$3008=11)*(PIER_FORCES!$P$9:$P$3008=1))*(-1E9))))</f>
        <v>0</v>
      </c>
      <c r="BD21" s="44">
        <f>IF(N(AY21)=0,0,SUMPRODUCT(MAX((PIER_FORCES!$O$9:$O$3008=11)*(PIER_FORCES!$P$9:$P$3008=1)*PIER_FORCES!$Q$9:$Q$3008+(1-(PIER_FORCES!$O$9:$O$3008=11)*(PIER_FORCES!$P$9:$P$3008=1))*(-1E9))))</f>
        <v>0</v>
      </c>
      <c r="BE21" s="44">
        <f>IF(N(AZ21)=0,BD21,SUMPRODUCT(MAX((PIER_FORCES!$O$9:$O$3008=11)*(PIER_FORCES!$P$9:$P$3008=2)*PIER_FORCES!$Q$9:$Q$3008+(1-(PIER_FORCES!$O$9:$O$3008=11)*(PIER_FORCES!$P$9:$P$3008=2))*(-1E9))))</f>
        <v>0</v>
      </c>
      <c r="BF21" s="44">
        <f>IF(N(AZ21)=0,0,SUMPRODUCT(MAX((PIER_FORCES!$O$9:$O$3008=11)*(PIER_FORCES!$P$9:$P$3008=2)*PIER_FORCES!$R$9:$R$3008)))</f>
        <v>0</v>
      </c>
      <c r="BG21" s="43">
        <f>IF(N(AY21)=0,0,SUMPRODUCT(MAX((PIER_FORCES!$O$9:$O$3008=11)*(PIER_FORCES!$P$9:$P$3008=1)*(ABS(PIER_FORCES!$R$9:$R$3008-BA21)&lt;0.000001)*PIER_FORCES!$T$9:$T$3008)))</f>
        <v>0</v>
      </c>
      <c r="BH21" s="45" t="str">
        <f>IF(N(BG21)=0,"",INDEX(PIER_FORCES!$D$9:$D$3008,BG21)&amp;" "&amp;INDEX(PIER_FORCES!$F$9:$F$3008,BG21)&amp;" / "&amp;INDEX(PIER_FORCES!$G$9:$G$3008,BG21))</f>
        <v/>
      </c>
      <c r="BI21" s="42" t="str">
        <f>IF(B21="","",IF(AND(C21&lt;&gt;"",OR(D21="X",D21="Y"),ISNUMBER(F21),N(F21)&gt;0),"SÍ","NO"))</f>
        <v/>
      </c>
      <c r="BJ21" s="42" t="str">
        <f>IF(BI21&lt;&gt;"SÍ","",IF(DATOS!$C$108="ETABS (PIER_FORCES)",IF(N(AY21)&gt;0,"ETABS","NO ESTÁ EN PIER_FORCES"),"CAPTURA"))</f>
        <v/>
      </c>
      <c r="BK21" s="46" t="str">
        <f>IF(BI21&lt;&gt;"SÍ","",IF(BJ21="ETABS",BA21,IF(BJ21="CAPTURA",N(AQ21),0)))</f>
        <v/>
      </c>
      <c r="BL21" s="46" t="str">
        <f>IF(BI21&lt;&gt;"SÍ","",IF(BJ21="ETABS",BB21,IF(BJ21="CAPTURA",N(AR21),0)))</f>
        <v/>
      </c>
      <c r="BM21" s="46" t="str">
        <f>IF(BI21&lt;&gt;"SÍ","",IF(BJ21="ETABS",BC21/DATOS!$C$89,IF(BJ21="CAPTURA",N(AS21),0)))</f>
        <v/>
      </c>
      <c r="BN21" s="44" t="str">
        <f>IF(BI21&lt;&gt;"SÍ","",IF(BJ21="ETABS",BC21,IF(BJ21="CAPTURA",IF(ISNUMBER(AU21),AU21,N(AS21)*DATOS!$C$89),0)))</f>
        <v/>
      </c>
      <c r="BO21" s="44" t="str">
        <f>IF(BI21&lt;&gt;"SÍ","",IF(BJ21="ETABS",MAX(BD21,BE21),IF(BJ21="CAPTURA",N(AT21),0)))</f>
        <v/>
      </c>
      <c r="BP21" s="44" t="str">
        <f>IF(BI21&lt;&gt;"SÍ","",IF(BJ21="ETABS",BE21,IF(BJ21="CAPTURA",IF(ISNUMBER(AV21),AV21,N(AT21)),0)))</f>
        <v/>
      </c>
      <c r="BQ21" s="44" t="str">
        <f>IF(BI21&lt;&gt;"SÍ","",IF(BJ21="ETABS",BF21,IF(BJ21="CAPTURA",N(AW21),0)))</f>
        <v/>
      </c>
      <c r="BR21" s="43" t="str">
        <f>IF(BI21&lt;&gt;"SÍ","",IF(BK21&gt;0,100*BQ21/BK21,0))</f>
        <v/>
      </c>
      <c r="BS21" s="44" t="str">
        <f>IF(BI21&lt;&gt;"SÍ","",IF(ISNUMBER(G21),G21,DATOS!$C$57))</f>
        <v/>
      </c>
      <c r="BT21" s="47" t="str">
        <f>IF(BI21&lt;&gt;"SÍ","",IF(ISNUMBER(H21),H21,DATOS!$C$58))</f>
        <v/>
      </c>
      <c r="BU21" s="43" t="str">
        <f>IF(BI21&lt;&gt;"SÍ","",IF(N(K21)&gt;0,1+IF(N(P21)&gt;0,1+IF(N(U21)&gt;0,1+IF(N(Z21)&gt;0,1,0),0),0),0))</f>
        <v/>
      </c>
      <c r="BV21" s="45" t="str">
        <f>IF(BI21&lt;&gt;"SÍ","",IF(AND(OR(BU21&lt;1,AND(N(J21)&gt;=0-0.001,J21+K21&lt;=F21+0.001,N(L21)&gt;=0,N(L21)+N(M21)&lt;=BS21+0.001,N(M21)&gt;0,OR(I21="PUERTA",I21="VENTANA"))),OR(BU21&lt;2,AND(N(O21)&gt;=(J21+K21)-0.001,O21+P21&lt;=F21+0.001,N(Q21)&gt;=0,N(Q21)+N(R21)&lt;=BS21+0.001,N(R21)&gt;0,OR(N21="PUERTA",N21="VENTANA"))),OR(BU21&lt;3,AND(N(T21)&gt;=(O21+P21)-0.001,T21+U21&lt;=F21+0.001,N(V21)&gt;=0,N(V21)+N(W21)&lt;=BS21+0.001,N(W21)&gt;0,OR(S21="PUERTA",S21="VENTANA"))),OR(BU21&lt;4,AND(N(Y21)&gt;=(T21+U21)-0.001,Y21+Z21&lt;=F21+0.001,N(AA21)&gt;=0,N(AA21)+N(AB21)&lt;=BS21+0.001,N(AB21)&gt;0,OR(X21="PUERTA",X21="VENTANA"))),(N(K21)&gt;0)+(N(P21)&gt;0)+(N(U21)&gt;0)+(N(Z21)&gt;0)=BU21),"CUMPLE","REVISAR VANOS: tipo, orden de izquierda a derecha, que quepan en L y en H"))</f>
        <v/>
      </c>
      <c r="BW21" s="44" t="str">
        <f>IF(BI21&lt;&gt;"SÍ","",MAX(0,IF(BU21&gt;=1,N(J21),F21)))</f>
        <v/>
      </c>
      <c r="BX21" s="44" t="str">
        <f>IF(BI21&lt;&gt;"SÍ","",MAX(0,IF(BU21&gt;=2,N(O21)-(N(J21)+N(K21)),IF(BU21=1,F21-(N(J21)+N(K21)),0))))</f>
        <v/>
      </c>
      <c r="BY21" s="44" t="str">
        <f>IF(BI21&lt;&gt;"SÍ","",MAX(0,IF(BU21&gt;=3,N(T21)-(N(O21)+N(P21)),IF(BU21=2,F21-(N(O21)+N(P21)),0))))</f>
        <v/>
      </c>
      <c r="BZ21" s="44" t="str">
        <f>IF(BI21&lt;&gt;"SÍ","",MAX(0,IF(BU21&gt;=4,N(Y21)-(N(T21)+N(U21)),IF(BU21=3,F21-(N(T21)+N(U21)),0))))</f>
        <v/>
      </c>
      <c r="CA21" s="44" t="str">
        <f>IF(BI21&lt;&gt;"SÍ","",MAX(0,IF(BU21=4,F21-(N(Y21)+N(Z21)),0)))</f>
        <v/>
      </c>
      <c r="CB21" s="46" t="str">
        <f>IF(BI21&lt;&gt;"SÍ","",SUMPRODUCT((BW21:CA21&gt;=DATOS!$C$72-0.0001)*BW21:CA21))</f>
        <v/>
      </c>
      <c r="CC21" s="43" t="str">
        <f>IF(BI21&lt;&gt;"SÍ","",SUMPRODUCT(--(BW21:CA21&gt;=DATOS!$C$72-0.0001)))</f>
        <v/>
      </c>
      <c r="CD21" s="44" t="str">
        <f>IF(BI21&lt;&gt;"SÍ","",SUM(BW21:CA21))</f>
        <v/>
      </c>
      <c r="CE21" s="43" t="str">
        <f>IF(BI21&lt;&gt;"SÍ","",BT21*CB21*100)</f>
        <v/>
      </c>
      <c r="CF21" s="43" t="str">
        <f>IF(BI21&lt;&gt;"SÍ","",BT21*CD21*100)</f>
        <v/>
      </c>
      <c r="CG21" s="47" t="str">
        <f>IF(BI21&lt;&gt;"SÍ","",BS21*100/BT21)</f>
        <v/>
      </c>
      <c r="CH21" s="45" t="str">
        <f>IF(BI21&lt;&gt;"SÍ","",IF(AND(OR(DATOS!$C$14="TIPO II",BT21&gt;=12),CG21&lt;=25),"CUMPLE","NO CUMPLE: "&amp;IF(AND(DATOS!$C$14="TIPO I",BT21&lt;12),"t &lt; 12 cm ","")&amp;IF(CG21&gt;25,"H/t &gt; 25","")))</f>
        <v/>
      </c>
      <c r="CI21" s="44" t="str">
        <f>IF(BI21&lt;&gt;"SÍ","",MIN(1.5*BS21,4))</f>
        <v/>
      </c>
      <c r="CJ21" s="43" t="str">
        <f>IF(BI21&lt;&gt;"SÍ","",SUMPRODUCT((BW21:CA21&gt;=2*DATOS!$C$59/100)*INT((BW21:CA21-DATOS!$C$59/100)/CI21-0.000001)*((BW21:CA21-DATOS!$C$59/100)&gt;0)))</f>
        <v/>
      </c>
      <c r="CK21" s="43" t="str">
        <f>IF(BI21&lt;&gt;"SÍ","",SUMPRODUCT((BW21:CA21&gt;0.0001)*1+(BW21:CA21&gt;=2*DATOS!$C$59/100)*1)+CJ21)</f>
        <v/>
      </c>
      <c r="CL21" s="44" t="str">
        <f>IF(BI21&lt;&gt;"SÍ","",IF(ISNUMBER(AC21),AC21,DATOS!$C$61)*INDEX(TABLAS!$D$6:$D$14,MATCH(IF(AD21&lt;&gt;"",AD21,DATOS!$C$62),TABLAS!$B$6:$B$14,0)))</f>
        <v/>
      </c>
      <c r="CM21" s="44" t="str">
        <f>IF(BI21&lt;&gt;"SÍ","",CK21*DATOS!$C$78+IF(CK21&gt;=2,2,CK21)*(CL21-DATOS!$C$78))</f>
        <v/>
      </c>
      <c r="CN21" s="47" t="str">
        <f>IF(BI21&lt;&gt;"SÍ","",MAX(BS21*100/6,40))</f>
        <v/>
      </c>
      <c r="CO21" s="48" t="str">
        <f>IF(BI21&lt;&gt;"SÍ","",IF(CG21&lt;=20,IF(E21="INTERIOR",0.7,0.6),MIN(IF(E21="INTERIOR",0.7,0.6),(1-2/24)*(1-(IF(E21="INTERIOR",0.8,1)*CG21/30)^2))))</f>
        <v/>
      </c>
      <c r="CP21" s="47" t="str">
        <f>IF(BI21&lt;&gt;"SÍ","",DATOS!$C$87*CO21*(DATOS!$C$33*CF21+CM21*DATOS!$C$48)/1000)</f>
        <v/>
      </c>
      <c r="CQ21" s="46" t="str">
        <f>IF(BI21&lt;&gt;"SÍ","",IF(CP21&gt;0,BO21/CP21,99))</f>
        <v/>
      </c>
      <c r="CR21" s="47" t="str">
        <f>IF(BI21&lt;&gt;"SÍ","",MAX(0,F21*100-DATOS!$C$59))</f>
        <v/>
      </c>
      <c r="CS21" s="47" t="str">
        <f>IF(BI21&lt;&gt;"SÍ","",MAX(0,F21*100-DATOS!$C$59/2))</f>
        <v/>
      </c>
      <c r="CT21" s="44" t="str">
        <f>IF(BI21&lt;&gt;"SÍ","",CL21*DATOS!$C$48*CR21/100000)</f>
        <v/>
      </c>
      <c r="CU21" s="44" t="str">
        <f>IF(BI21&lt;&gt;"SÍ","",IF(BN21&lt;0,0.8*CT21*MAX(0,1+BN21/(0.8*CM21*DATOS!$C$48/1000)),IF(BN21&lt;=CP21/3,0.8*CT21+0.3*BN21*CS21/100,(1.5*0.6*CT21+0.15*CP21*CS21/100)*MAX(0,1-BN21/CP21))))</f>
        <v/>
      </c>
      <c r="CV21" s="44" t="str">
        <f>IF(BI21&lt;&gt;"SÍ","",IF(BO21&lt;0,0.8*CT21*MAX(0,1+BO21/(0.8*CM21*DATOS!$C$48/1000)),IF(BO21&lt;=CP21/3,0.8*CT21+0.3*BO21*CS21/100,(1.5*0.6*CT21+0.15*CP21*CS21/100)*MAX(0,1-BO21/CP21))))</f>
        <v/>
      </c>
      <c r="CW21" s="46" t="str">
        <f>IF(BI21&lt;&gt;"SÍ","",MAX(0,MIN(CU21,CV21)))</f>
        <v/>
      </c>
      <c r="CX21" s="49" t="str">
        <f>IF(BI21&lt;&gt;"SÍ","",IF(CW21&gt;0,BL21/CW21,IF(BL21&gt;0,99,0)))</f>
        <v/>
      </c>
      <c r="CY21" s="44" t="str">
        <f>IF(BI21&lt;&gt;"SÍ","",IF(BW21&gt;0,MAX(1,MIN(1.5,1.5-0.625*(BS21/BW21-0.2))),0))</f>
        <v/>
      </c>
      <c r="CZ21" s="44" t="str">
        <f>IF(BI21&lt;&gt;"SÍ","",IF(BX21&gt;0,MAX(1,MIN(1.5,1.5-0.625*(BS21/BX21-0.2))),0))</f>
        <v/>
      </c>
      <c r="DA21" s="44" t="str">
        <f>IF(BI21&lt;&gt;"SÍ","",IF(BY21&gt;0,MAX(1,MIN(1.5,1.5-0.625*(BS21/BY21-0.2))),0))</f>
        <v/>
      </c>
      <c r="DB21" s="44" t="str">
        <f>IF(BI21&lt;&gt;"SÍ","",IF(BZ21&gt;0,MAX(1,MIN(1.5,1.5-0.625*(BS21/BZ21-0.2))),0))</f>
        <v/>
      </c>
      <c r="DC21" s="44" t="str">
        <f>IF(BI21&lt;&gt;"SÍ","",IF(CA21&gt;0,MAX(1,MIN(1.5,1.5-0.625*(BS21/CA21-0.2))),0))</f>
        <v/>
      </c>
      <c r="DD21" s="44" t="str">
        <f>IF(BI21&lt;&gt;"SÍ","",IF(OR(BW21&lt;DATOS!$C$72-0.0001,BM21&lt;0,CB21&lt;=0),0,MIN(DATOS!$C$86*(0.5*DATOS!$C$41*BT21*BW21*100+0.3*BM21*BW21/CB21*1000)*CY21,1.5*DATOS!$C$86*DATOS!$C$41*BT21*BW21*100*CY21)/1000))</f>
        <v/>
      </c>
      <c r="DE21" s="44" t="str">
        <f>IF(BI21&lt;&gt;"SÍ","",IF(OR(BX21&lt;DATOS!$C$72-0.0001,BM21&lt;0,CB21&lt;=0),0,MIN(DATOS!$C$86*(0.5*DATOS!$C$41*BT21*BX21*100+0.3*BM21*BX21/CB21*1000)*CZ21,1.5*DATOS!$C$86*DATOS!$C$41*BT21*BX21*100*CZ21)/1000))</f>
        <v/>
      </c>
      <c r="DF21" s="44" t="str">
        <f>IF(BI21&lt;&gt;"SÍ","",IF(OR(BY21&lt;DATOS!$C$72-0.0001,BM21&lt;0,CB21&lt;=0),0,MIN(DATOS!$C$86*(0.5*DATOS!$C$41*BT21*BY21*100+0.3*BM21*BY21/CB21*1000)*DA21,1.5*DATOS!$C$86*DATOS!$C$41*BT21*BY21*100*DA21)/1000))</f>
        <v/>
      </c>
      <c r="DG21" s="44" t="str">
        <f>IF(BI21&lt;&gt;"SÍ","",IF(OR(BZ21&lt;DATOS!$C$72-0.0001,BM21&lt;0,CB21&lt;=0),0,MIN(DATOS!$C$86*(0.5*DATOS!$C$41*BT21*BZ21*100+0.3*BM21*BZ21/CB21*1000)*DB21,1.5*DATOS!$C$86*DATOS!$C$41*BT21*BZ21*100*DB21)/1000))</f>
        <v/>
      </c>
      <c r="DH21" s="44" t="str">
        <f>IF(BI21&lt;&gt;"SÍ","",IF(OR(CA21&lt;DATOS!$C$72-0.0001,BM21&lt;0,CB21&lt;=0),0,MIN(DATOS!$C$86*(0.5*DATOS!$C$41*BT21*CA21*100+0.3*BM21*CA21/CB21*1000)*DC21,1.5*DATOS!$C$86*DATOS!$C$41*BT21*CA21*100*DC21)/1000))</f>
        <v/>
      </c>
      <c r="DI21" s="46" t="str">
        <f>IF(BI21&lt;&gt;"SÍ","",SUM(DD21:DH21))</f>
        <v/>
      </c>
      <c r="DJ21" s="48" t="str">
        <f>IF(BI21&lt;&gt;"SÍ","",IF(AE21="VARILLA EN JUNTAS",IF(ISNUMBER(AF21),AF21,2)*INDEX(TABLAS!$D$6:$D$14,MATCH(IF(AG21&lt;&gt;"",AG21,DATOS!$C$73),TABLAS!$B$6:$B$14,0)),IF(AE21="MALLA",IF(ISNUMBER(AF21),AF21,1)*INDEX(TABLAS!$D$19:$D$22,MATCH(IF(AG21&lt;&gt;"",AG21,DATOS!$C$74),TABLAS!$B$19:$B$22,0))/100,IF(AE21="ESCALERILLA",IF(ISNUMBER(AF21),AF21,2)*INDEX(TABLAS!$D$6:$D$14,MATCH(IF(AG21&lt;&gt;"",AG21,DATOS!$C$73),TABLAS!$B$6:$B$14,0)),0))))</f>
        <v/>
      </c>
      <c r="DK21" s="47" t="str">
        <f>IF(BI21&lt;&gt;"SÍ","",IF(OR(AE21="VARILLA EN JUNTAS",AE21="ESCALERILLA"),IF(ISNUMBER(AH21),AH21,2)*DATOS!$C$26,IF(AE21="MALLA",1,0)))</f>
        <v/>
      </c>
      <c r="DL21" s="44" t="str">
        <f>IF(BI21&lt;&gt;"SÍ","",IF(DK21&gt;0,DJ21/(DK21*BT21)*MIN(DATOS!$C$50,IF(AE21="MALLA",5000,6000)),0))</f>
        <v/>
      </c>
      <c r="DM21" s="44" t="str">
        <f>IF(BI21&lt;&gt;"SÍ","",IF(AE21="ESCALERILLA",0,MIN(DL21,0.1*DATOS!$C$33*DATOS!$C$24)))</f>
        <v/>
      </c>
      <c r="DN21" s="48" t="str">
        <f>IF(BI21&lt;&gt;"SÍ","",IF(AE21="MALLA",0.5,IF(DATOS!$C$33&lt;=60,0.55,IF(DATOS!$C$33&gt;=90,0.75,0.55+0.2*(DATOS!$C$33-60)/30))))</f>
        <v/>
      </c>
      <c r="DO21" s="48" t="str">
        <f>IF(BI21&lt;&gt;"SÍ","",1-DATOS!$C$91*DM21)</f>
        <v/>
      </c>
      <c r="DP21" s="44" t="str">
        <f>IF(BI21&lt;&gt;"SÍ","",IF(BW21&gt;0,IF(BS21/BW21&lt;=1,1.3,IF(BS21/BW21&gt;=1.5,1,1.3-0.6*(BS21/BW21-1))),0))</f>
        <v/>
      </c>
      <c r="DQ21" s="44" t="str">
        <f>IF(BI21&lt;&gt;"SÍ","",IF(BX21&gt;0,IF(BS21/BX21&lt;=1,1.3,IF(BS21/BX21&gt;=1.5,1,1.3-0.6*(BS21/BX21-1))),0))</f>
        <v/>
      </c>
      <c r="DR21" s="44" t="str">
        <f>IF(BI21&lt;&gt;"SÍ","",IF(BY21&gt;0,IF(BS21/BY21&lt;=1,1.3,IF(BS21/BY21&gt;=1.5,1,1.3-0.6*(BS21/BY21-1))),0))</f>
        <v/>
      </c>
      <c r="DS21" s="44" t="str">
        <f>IF(BI21&lt;&gt;"SÍ","",IF(BZ21&gt;0,IF(BS21/BZ21&lt;=1,1.3,IF(BS21/BZ21&gt;=1.5,1,1.3-0.6*(BS21/BZ21-1))),0))</f>
        <v/>
      </c>
      <c r="DT21" s="44" t="str">
        <f>IF(BI21&lt;&gt;"SÍ","",IF(CA21&gt;0,IF(BS21/CA21&lt;=1,1.3,IF(BS21/CA21&gt;=1.5,1,1.3-0.6*(BS21/CA21-1))),0))</f>
        <v/>
      </c>
      <c r="DU21" s="44" t="str">
        <f>IF(BI21&lt;&gt;"SÍ","",IF(OR(DM21&lt;=0,BW21&lt;DATOS!$C$72-0.0001),0,DATOS!$C$86*MAX(0,IF(BM21&gt;=0,DD21/(DATOS!$C$86*DM21*BT21*BW21*100/1000)*(DP21*DO21-1)+DN21,DO21*DN21))*DM21*BT21*BW21*100/1000))</f>
        <v/>
      </c>
      <c r="DV21" s="44" t="str">
        <f>IF(BI21&lt;&gt;"SÍ","",IF(OR(DM21&lt;=0,BX21&lt;DATOS!$C$72-0.0001),0,DATOS!$C$86*MAX(0,IF(BM21&gt;=0,DE21/(DATOS!$C$86*DM21*BT21*BX21*100/1000)*(DQ21*DO21-1)+DN21,DO21*DN21))*DM21*BT21*BX21*100/1000))</f>
        <v/>
      </c>
      <c r="DW21" s="44" t="str">
        <f>IF(BI21&lt;&gt;"SÍ","",IF(OR(DM21&lt;=0,BY21&lt;DATOS!$C$72-0.0001),0,DATOS!$C$86*MAX(0,IF(BM21&gt;=0,DF21/(DATOS!$C$86*DM21*BT21*BY21*100/1000)*(DR21*DO21-1)+DN21,DO21*DN21))*DM21*BT21*BY21*100/1000))</f>
        <v/>
      </c>
      <c r="DX21" s="44" t="str">
        <f>IF(BI21&lt;&gt;"SÍ","",IF(OR(DM21&lt;=0,BZ21&lt;DATOS!$C$72-0.0001),0,DATOS!$C$86*MAX(0,IF(BM21&gt;=0,DG21/(DATOS!$C$86*DM21*BT21*BZ21*100/1000)*(DS21*DO21-1)+DN21,DO21*DN21))*DM21*BT21*BZ21*100/1000))</f>
        <v/>
      </c>
      <c r="DY21" s="44" t="str">
        <f>IF(BI21&lt;&gt;"SÍ","",IF(OR(DM21&lt;=0,CA21&lt;DATOS!$C$72-0.0001),0,DATOS!$C$86*MAX(0,IF(BM21&gt;=0,DH21/(DATOS!$C$86*DM21*BT21*CA21*100/1000)*(DT21*DO21-1)+DN21,DO21*DN21))*DM21*BT21*CA21*100/1000))</f>
        <v/>
      </c>
      <c r="DZ21" s="46" t="str">
        <f>IF(BI21&lt;&gt;"SÍ","",SUM(DU21:DY21))</f>
        <v/>
      </c>
      <c r="EA21" s="45" t="str">
        <f>IF(BI21&lt;&gt;"SÍ","",IF(OR(AE21="",AE21="NINGUNO"),IF(DATOS!$C$41&gt;=10,"FALTA refuerzo horizontal: v'm ≥ 10 kg/cm² (6.5.2.2)",IF(AND(BM21&lt;0,BK21&gt;0),"FALTA: P en tensión, el refuerzo debe tomar todo el cortante (6.5.1.3)","—")),IF(AE21="ESCALERILLA","NO CUENTA: la escalerilla no se permite para cortante por sismo (6.5.3.1.2)",IF(AE21="MALLA",IF(AND(DL21&gt;=2.5,DL21&lt;=MAX(0.15*DATOS!$C$33*DATOS!$C$24,2.5)),"CUMPLE","NO CUMPLE: "&amp;IF(DL21&lt;2.5,"p_h·f_yh &lt; 2.5 (6.5.4.2.4)","p_h·f_yh &gt; 0.15·f'm·f_an (6.5.4.2.4)")),IF(AND(DK21&lt;=MIN(6*DATOS!$C$26,45),DL21&gt;=3,DL21&lt;=MIN(MAX(0.15*DATOS!$C$33*DATOS!$C$24,3),0.05*DATOS!$C$25/10*MIN(DATOS!$C$50,6000)/DK21),INDEX(TABLAS!$C$6:$C$14,MATCH(IF(AG21&lt;&gt;"",AG21,DATOS!$C$73),TABLAS!$B$6:$B$14,0))&gt;=0.35,INDEX(TABLAS!$C$6:$C$14,MATCH(IF(AG21&lt;&gt;"",AG21,DATOS!$C$73),TABLAS!$B$6:$B$14,0))&lt;=0.75*DATOS!$C$25/10),"CUMPLE","NO CUMPLE: "&amp;IF(DK21&gt;MIN(6*DATOS!$C$26,45),"s_h &gt; 6 hiladas o 45 cm (6.5.3.2.1) ","")&amp;IF(DL21&lt;3,"p_h·f_yh &lt; 3 (6.5.3.3.1) ","")&amp;IF(DL21&gt;MIN(MAX(0.15*DATOS!$C$33*DATOS!$C$24,3),0.05*DATOS!$C$25/10*MIN(DATOS!$C$50,6000)/DK21),"p_h·f_yh &gt; máximo (6.5.3.3.2) ","")&amp;IF(OR(INDEX(TABLAS!$C$6:$C$14,MATCH(IF(AG21&lt;&gt;"",AG21,DATOS!$C$73),TABLAS!$B$6:$B$14,0))&lt;0.35,INDEX(TABLAS!$C$6:$C$14,MATCH(IF(AG21&lt;&gt;"",AG21,DATOS!$C$73),TABLAS!$B$6:$B$14,0))&gt;0.75*DATOS!$C$25/10),"diámetro fuera de 3.5 mm a 0.75·h_j (4.2.2.2.1)",""))))))</f>
        <v/>
      </c>
      <c r="EB21" s="46" t="str">
        <f>IF(BI21&lt;&gt;"SÍ","",DI21+DZ21)</f>
        <v/>
      </c>
      <c r="EC21" s="50" t="str">
        <f>IF(BI21&lt;&gt;"SÍ","",IF(EB21&gt;0,BK21/EB21,IF(BK21&gt;0,99,0)))</f>
        <v/>
      </c>
      <c r="ED21" s="47" t="str">
        <f>IF(BI21&lt;&gt;"SÍ","",IF(CE21&lt;=0,-1,IF(BK21&lt;=DI21,0,IF(IF(BM21&gt;=0,IF((DATOS!$C$86*IF(AE21="MALLA",0.5,IF(DATOS!$C$33&lt;=60,0.55,IF(DATOS!$C$33&gt;=90,0.75,0.55+0.2*(DATOS!$C$33-60)/30)))*CE21/1000-DATOS!$C$91*SUMPRODUCT(DP21:DT21,DD21:DH21))&lt;=0,1E9,(BK21-SUMPRODUCT(DP21:DT21,DD21:DH21))/(DATOS!$C$86*IF(AE21="MALLA",0.5,IF(DATOS!$C$33&lt;=60,0.55,IF(DATOS!$C$33&gt;=90,0.75,0.55+0.2*(DATOS!$C$33-60)/30)))*CE21/1000-DATOS!$C$91*SUMPRODUCT(DP21:DT21,DD21:DH21))),IF((1-4*DATOS!$C$91*BK21*1000/(DATOS!$C$86*IF(AE21="MALLA",0.5,IF(DATOS!$C$33&lt;=60,0.55,IF(DATOS!$C$33&gt;=90,0.75,0.55+0.2*(DATOS!$C$33-60)/30)))*MAX(CE21,1)))&lt;0,1E9,(1-SQRT((1-4*DATOS!$C$91*BK21*1000/(DATOS!$C$86*IF(AE21="MALLA",0.5,IF(DATOS!$C$33&lt;=60,0.55,IF(DATOS!$C$33&gt;=90,0.75,0.55+0.2*(DATOS!$C$33-60)/30)))*MAX(CE21,1)))))/(2*DATOS!$C$91)))&gt;0.1*DATOS!$C$33*DATOS!$C$24+0.000001,-1,MAX(IF(AE21="MALLA",2.5,3),IF(BM21&gt;=0,IF((DATOS!$C$86*IF(AE21="MALLA",0.5,IF(DATOS!$C$33&lt;=60,0.55,IF(DATOS!$C$33&gt;=90,0.75,0.55+0.2*(DATOS!$C$33-60)/30)))*CE21/1000-DATOS!$C$91*SUMPRODUCT(DP21:DT21,DD21:DH21))&lt;=0,1E9,(BK21-SUMPRODUCT(DP21:DT21,DD21:DH21))/(DATOS!$C$86*IF(AE21="MALLA",0.5,IF(DATOS!$C$33&lt;=60,0.55,IF(DATOS!$C$33&gt;=90,0.75,0.55+0.2*(DATOS!$C$33-60)/30)))*CE21/1000-DATOS!$C$91*SUMPRODUCT(DP21:DT21,DD21:DH21))),IF((1-4*DATOS!$C$91*BK21*1000/(DATOS!$C$86*IF(AE21="MALLA",0.5,IF(DATOS!$C$33&lt;=60,0.55,IF(DATOS!$C$33&gt;=90,0.75,0.55+0.2*(DATOS!$C$33-60)/30)))*MAX(CE21,1)))&lt;0,1E9,(1-SQRT((1-4*DATOS!$C$91*BK21*1000/(DATOS!$C$86*IF(AE21="MALLA",0.5,IF(DATOS!$C$33&lt;=60,0.55,IF(DATOS!$C$33&gt;=90,0.75,0.55+0.2*(DATOS!$C$33-60)/30)))*MAX(CE21,1)))))/(2*DATOS!$C$91))))))))</f>
        <v/>
      </c>
      <c r="EE21" s="45" t="str">
        <f>IF(BI21&lt;&gt;"SÍ","",IF(ED21=0,"NO REQUIERE: V_mR ≥ V_u",IF(ED21&lt;0,"NO ALCANZA con refuerzo horizontal (haría falta más de 0.1·f'm·f_an efectivo): sube v'm con ensayes, el espesor o la longitud del muro",IF(AND(OR(AE21="VARILLA EN JUNTAS",AE21="MALLA"),LEFT(EA21,6)="CUMPLE",EC21&lt;=1),"YA LO TIENE (pide p_h·f_yh ≥ "&amp;TEXT(ED21,"0.0")&amp;" kg/cm²)","p_h·f_yh ≥ "&amp;TEXT(ED21,"0.0")&amp;" kg/cm² → "&amp;IF(AND(MIN(6,FLOOR(45/DATOS!$C$26,1),FLOOR((2*INDEX(TABLAS!$D$6:$D$14,MATCH("3/16 in",TABLAS!$B$6:$B$14,0)))*MIN(DATOS!$C$50,6000)/(BT21*DATOS!$C$26*MAX(ED21,0.001)),1))&gt;=1,((2*INDEX(TABLAS!$D$6:$D$14,MATCH("3/16 in",TABLAS!$B$6:$B$14,0)))*MIN(DATOS!$C$50,6000)/(MAX(MIN(6,FLOOR(45/DATOS!$C$26,1),FLOOR((2*INDEX(TABLAS!$D$6:$D$14,MATCH("3/16 in",TABLAS!$B$6:$B$14,0)))*MIN(DATOS!$C$50,6000)/(BT21*DATOS!$C$26*MAX(ED21,0.001)),1)),1)*DATOS!$C$26*BT21))&lt;=MIN(MAX(0.15*DATOS!$C$33*DATOS!$C$24,3),0.05*DATOS!$C$25/10*MIN(DATOS!$C$50,6000)/(MIN(6,FLOOR(45/DATOS!$C$26,1),FLOOR((2*INDEX(TABLAS!$D$6:$D$14,MATCH("3/16 in",TABLAS!$B$6:$B$14,0)))*MIN(DATOS!$C$50,6000)/(BT21*DATOS!$C$26*MAX(ED21,0.001)),1))*DATOS!$C$26))),"2 alambres de 3/16"" por junta cada "&amp;MIN(6,FLOOR(45/DATOS!$C$26,1),FLOOR((2*INDEX(TABLAS!$D$6:$D$14,MATCH("3/16 in",TABLAS!$B$6:$B$14,0)))*MIN(DATOS!$C$50,6000)/(BT21*DATOS!$C$26*MAX(ED21,0.001)),1))&amp;" hilada(s) (p_h·f_yh = "&amp;TEXT(((2*INDEX(TABLAS!$D$6:$D$14,MATCH("3/16 in",TABLAS!$B$6:$B$14,0)))*MIN(DATOS!$C$50,6000)/(MAX(MIN(6,FLOOR(45/DATOS!$C$26,1),FLOOR((2*INDEX(TABLAS!$D$6:$D$14,MATCH("3/16 in",TABLAS!$B$6:$B$14,0)))*MIN(DATOS!$C$50,6000)/(BT21*DATOS!$C$26*MAX(ED21,0.001)),1)),1)*DATOS!$C$26*BT21)),"0.00")&amp;")",IF(AND(MIN(6,FLOOR(45/DATOS!$C$26,1),FLOOR((2*INDEX(TABLAS!$D$6:$D$14,MATCH("5/32 in",TABLAS!$B$6:$B$14,0)))*MIN(DATOS!$C$50,6000)/(BT21*DATOS!$C$26*MAX(ED21,0.001)),1))&gt;=1,((2*INDEX(TABLAS!$D$6:$D$14,MATCH("5/32 in",TABLAS!$B$6:$B$14,0)))*MIN(DATOS!$C$50,6000)/(MAX(MIN(6,FLOOR(45/DATOS!$C$26,1),FLOOR((2*INDEX(TABLAS!$D$6:$D$14,MATCH("5/32 in",TABLAS!$B$6:$B$14,0)))*MIN(DATOS!$C$50,6000)/(BT21*DATOS!$C$26*MAX(ED21,0.001)),1)),1)*DATOS!$C$26*BT21))&lt;=MIN(MAX(0.15*DATOS!$C$33*DATOS!$C$24,3),0.05*DATOS!$C$25/10*MIN(DATOS!$C$50,6000)/(MIN(6,FLOOR(45/DATOS!$C$26,1),FLOOR((2*INDEX(TABLAS!$D$6:$D$14,MATCH("5/32 in",TABLAS!$B$6:$B$14,0)))*MIN(DATOS!$C$50,6000)/(BT21*DATOS!$C$26*MAX(ED21,0.001)),1))*DATOS!$C$26))),"2 alambres de 5/32"" por junta cada "&amp;MIN(6,FLOOR(45/DATOS!$C$26,1),FLOOR((2*INDEX(TABLAS!$D$6:$D$14,MATCH("5/32 in",TABLAS!$B$6:$B$14,0)))*MIN(DATOS!$C$50,6000)/(BT21*DATOS!$C$26*MAX(ED21,0.001)),1))&amp;" hilada(s) (p_h·f_yh = "&amp;TEXT(((2*INDEX(TABLAS!$D$6:$D$14,MATCH("5/32 in",TABLAS!$B$6:$B$14,0)))*MIN(DATOS!$C$50,6000)/(MAX(MIN(6,FLOOR(45/DATOS!$C$26,1),FLOOR((2*INDEX(TABLAS!$D$6:$D$14,MATCH("5/32 in",TABLAS!$B$6:$B$14,0)))*MIN(DATOS!$C$50,6000)/(BT21*DATOS!$C$26*MAX(ED21,0.001)),1)),1)*DATOS!$C$26*BT21)),"0.00")&amp;")",IF(AND(MIN(6,FLOOR(45/DATOS!$C$26,1),FLOOR((1*INDEX(TABLAS!$D$6:$D$14,MATCH("3/16 in",TABLAS!$B$6:$B$14,0)))*MIN(DATOS!$C$50,6000)/(BT21*DATOS!$C$26*MAX(ED21,0.001)),1))&gt;=1,((1*INDEX(TABLAS!$D$6:$D$14,MATCH("3/16 in",TABLAS!$B$6:$B$14,0)))*MIN(DATOS!$C$50,6000)/(MAX(MIN(6,FLOOR(45/DATOS!$C$26,1),FLOOR((1*INDEX(TABLAS!$D$6:$D$14,MATCH("3/16 in",TABLAS!$B$6:$B$14,0)))*MIN(DATOS!$C$50,6000)/(BT21*DATOS!$C$26*MAX(ED21,0.001)),1)),1)*DATOS!$C$26*BT21))&lt;=MIN(MAX(0.15*DATOS!$C$33*DATOS!$C$24,3),0.05*DATOS!$C$25/10*MIN(DATOS!$C$50,6000)/(MIN(6,FLOOR(45/DATOS!$C$26,1),FLOOR((1*INDEX(TABLAS!$D$6:$D$14,MATCH("3/16 in",TABLAS!$B$6:$B$14,0)))*MIN(DATOS!$C$50,6000)/(BT21*DATOS!$C$26*MAX(ED21,0.001)),1))*DATOS!$C$26))),"1 alambre de 3/16"" por junta cada "&amp;MIN(6,FLOOR(45/DATOS!$C$26,1),FLOOR((1*INDEX(TABLAS!$D$6:$D$14,MATCH("3/16 in",TABLAS!$B$6:$B$14,0)))*MIN(DATOS!$C$50,6000)/(BT21*DATOS!$C$26*MAX(ED21,0.001)),1))&amp;" hilada(s) (p_h·f_yh = "&amp;TEXT(((1*INDEX(TABLAS!$D$6:$D$14,MATCH("3/16 in",TABLAS!$B$6:$B$14,0)))*MIN(DATOS!$C$50,6000)/(MAX(MIN(6,FLOOR(45/DATOS!$C$26,1),FLOOR((1*INDEX(TABLAS!$D$6:$D$14,MATCH("3/16 in",TABLAS!$B$6:$B$14,0)))*MIN(DATOS!$C$50,6000)/(BT21*DATOS!$C$26*MAX(ED21,0.001)),1)),1)*DATOS!$C$26*BT21)),"0.00")&amp;")",IF(AND(MIN(6,FLOOR(45/DATOS!$C$26,1),FLOOR((1*INDEX(TABLAS!$D$6:$D$14,MATCH("5/32 in",TABLAS!$B$6:$B$14,0)))*MIN(DATOS!$C$50,6000)/(BT21*DATOS!$C$26*MAX(ED21,0.001)),1))&gt;=1,((1*INDEX(TABLAS!$D$6:$D$14,MATCH("5/32 in",TABLAS!$B$6:$B$14,0)))*MIN(DATOS!$C$50,6000)/(MAX(MIN(6,FLOOR(45/DATOS!$C$26,1),FLOOR((1*INDEX(TABLAS!$D$6:$D$14,MATCH("5/32 in",TABLAS!$B$6:$B$14,0)))*MIN(DATOS!$C$50,6000)/(BT21*DATOS!$C$26*MAX(ED21,0.001)),1)),1)*DATOS!$C$26*BT21))&lt;=MIN(MAX(0.15*DATOS!$C$33*DATOS!$C$24,3),0.05*DATOS!$C$25/10*MIN(DATOS!$C$50,6000)/(MIN(6,FLOOR(45/DATOS!$C$26,1),FLOOR((1*INDEX(TABLAS!$D$6:$D$14,MATCH("5/32 in",TABLAS!$B$6:$B$14,0)))*MIN(DATOS!$C$50,6000)/(BT21*DATOS!$C$26*MAX(ED21,0.001)),1))*DATOS!$C$26))),"1 alambre de 5/32"" por junta cada "&amp;MIN(6,FLOOR(45/DATOS!$C$26,1),FLOOR((1*INDEX(TABLAS!$D$6:$D$14,MATCH("5/32 in",TABLAS!$B$6:$B$14,0)))*MIN(DATOS!$C$50,6000)/(BT21*DATOS!$C$26*MAX(ED21,0.001)),1))&amp;" hilada(s) (p_h·f_yh = "&amp;TEXT(((1*INDEX(TABLAS!$D$6:$D$14,MATCH("5/32 in",TABLAS!$B$6:$B$14,0)))*MIN(DATOS!$C$50,6000)/(MAX(MIN(6,FLOOR(45/DATOS!$C$26,1),FLOOR((1*INDEX(TABLAS!$D$6:$D$14,MATCH("5/32 in",TABLAS!$B$6:$B$14,0)))*MIN(DATOS!$C$50,6000)/(BT21*DATOS!$C$26*MAX(ED21,0.001)),1)),1)*DATOS!$C$26*BT21)),"0.00")&amp;")","ninguna combinación de 1 o 2 alambres por junta queda entre el mínimo y el máximo: revisa con malla (6.5.4)"))))))))</f>
        <v/>
      </c>
      <c r="EF21" s="43" t="str">
        <f>IF(BI21&lt;&gt;"SÍ","",IF(AI21="SÍ",N(AK21)*N(AL21)^3/12,0))</f>
        <v/>
      </c>
      <c r="EG21" s="48" t="str">
        <f>IF(BI21&lt;&gt;"SÍ","",IF(AND(AI21="SÍ",N(AM21)&gt;0),MIN(1,F21/AM21),0))</f>
        <v/>
      </c>
      <c r="EH21" s="47" t="str">
        <f>IF(BI21&lt;&gt;"SÍ","",IF(AI21="SÍ",BP21*1000/(BT21*F21*100)*BT21*(EG21^4-4*EG21^3+8*EG21),0))</f>
        <v/>
      </c>
      <c r="EI21" s="48" t="str">
        <f>IF(BI21&lt;&gt;"SÍ","",IF(AND(AI21="SÍ",EH21&gt;0),EH21/(EH21+5*N(AN21)*10),0))</f>
        <v/>
      </c>
      <c r="EJ21" s="44" t="str">
        <f>IF(BI21&lt;&gt;"SÍ","",IF(AND(AI21="SÍ",EI21&gt;0,EF21&gt;0),(DATOS!$C$43*BT21*(AM21*100)^3/(DATOS!$C$53*EF21*EI21))^0.25,0))</f>
        <v/>
      </c>
      <c r="EK21" s="44" t="str">
        <f>IF(BI21&lt;&gt;"SÍ","",IF(AI21&lt;&gt;"SÍ",0,IF(N(AM21)&lt;=F21,1,IF(MIN(1,N(AO21)/((AM21-F21)/2))&lt;=0.5,0.7+0.6*MIN(1,N(AO21)/((AM21-F21)/2)),1.5-MIN(1,N(AO21)/((AM21-F21)/2))))))</f>
        <v/>
      </c>
      <c r="EL21" s="44" t="str">
        <f>IF(BI21&lt;&gt;"SÍ","",IF(AI21&lt;&gt;"SÍ",0,MAX(1,IF(EG21&gt;=1,(1.6*EJ21-3.9),IF(EG21&lt;0.9,((3.2*EJ21-7.8)*EK21),((3.2*EJ21-7.8)*EK21)+((1.6*EJ21-3.9)-((3.2*EJ21-7.8)*EK21))*(EG21-0.9)/0.1)))))</f>
        <v/>
      </c>
      <c r="EM21" s="47" t="str">
        <f>IF(BI21&lt;&gt;"SÍ","",IF(AI21="SÍ",EL21*BP21*1000/(BT21*F21*100),0))</f>
        <v/>
      </c>
      <c r="EN21" s="47" t="str">
        <f>IF(BI21&lt;&gt;"SÍ","",IF(AND(AI21="SÍ",N(AL21)&gt;0),AM21*100/AL21,0))</f>
        <v/>
      </c>
      <c r="EO21" s="47" t="str">
        <f>IF(BI21&lt;&gt;"SÍ","",IF(AI21="SÍ",(1/15*DATOS!$C$53*N(AK21)/MAX((IF(ISNUMBER(AP21),AP21,BP21/DATOS!$C$90)*1000/(BT21*F21*100)*BT21*(EG21^4-4*EG21^3+8*EG21))+5*N(AN21)/DATOS!$C$90*10,0.001))^(1/3),0))</f>
        <v/>
      </c>
      <c r="EP21" s="45" t="str">
        <f>IF(BI21&lt;&gt;"SÍ","",IF(AI21&lt;&gt;"SÍ","—",IF(OR(N(AK21)&lt;=0,N(AL21)&lt;=0,N(AM21)&lt;=0),"REVISAR: faltan b, h o L_v de la viga",IF(AND(EM21&lt;=DATOS!$C$87*DATOS!$C$33,EN21&lt;=14,N(AL21)&gt;=25,EN21&lt;=EO21),IF(BS21/F21&lt;0.6,"PENDIENTE: H/L &lt; 0.6, falta el análisis de interacción muro–viga (4.1.18.2.1); f_CM es estimado","CUMPLE"),"NO CUMPLE: "&amp;IF(EM21&gt;DATOS!$C$87*DATOS!$C$33,"f_CM &gt; F_R·f'm ","")&amp;IF(EN21&gt;14,"L_v/h_v &gt; 14 ","")&amp;IF(N(AL21)&lt;25,"h_v &lt; 25 cm ","")&amp;IF(EN21&gt;EO21,"flecha (4.1.18.3)","")))))</f>
        <v/>
      </c>
      <c r="EQ21" s="44" t="str">
        <f>IF(BI21&lt;&gt;"SÍ","",MAX(0,F21*BS21-(N(K21)*N(M21)+N(P21)*N(R21)+N(U21)*N(W21)+N(Z21)*N(AB21))-CK21*DATOS!$C$59/100*BS21))</f>
        <v/>
      </c>
      <c r="ER21" s="48" t="str">
        <f>IF(BI21&lt;&gt;"SÍ","",CK21*DATOS!$C$59*DATOS!$C$60/10000*BS21)</f>
        <v/>
      </c>
      <c r="ES21" s="47" t="str">
        <f>IF(BI21&lt;&gt;"SÍ","",CK21*(DATOS!$C$61*(BS21+0.6)*INDEX(TABLAS!$E$6:$E$14,MATCH(DATOS!$C$62,TABLAS!$B$6:$B$14,0))+(2*ROUNDUP(CN21/DATOS!$C$65,0)+ROUNDUP(MAX(0,BS21*100-2*CN21)/DATOS!$C$64,0))*((2*(DATOS!$C$60+DATOS!$C$59-4*(DATOS!$C$66-INDEX(TABLAS!$C$6:$C$14,MATCH(DATOS!$C$63,TABLAS!$B$6:$B$14,0))))+15)/100)*INDEX(TABLAS!$E$6:$E$14,MATCH(DATOS!$C$63,TABLAS!$B$6:$B$14,0))))</f>
        <v/>
      </c>
      <c r="ET21" s="47" t="str">
        <f>IF(BI21&lt;&gt;"SÍ","",IF(OR(AE21="VARILLA EN JUNTAS",AE21="ESCALERILLA"),INT(BS21*100/MAX(DK21,1))*IF(ISNUMBER(AF21),AF21,2)*CB21*INDEX(TABLAS!$E$6:$E$14,MATCH(IF(AG21&lt;&gt;"",AG21,DATOS!$C$73),TABLAS!$B$6:$B$14,0)),IF(AE21="MALLA",IF(ISNUMBER(AF21),AF21,1)*CB21*BS21*INDEX(TABLAS!$E$19:$E$22,MATCH(IF(AG21&lt;&gt;"",AG21,DATOS!$C$74),TABLAS!$B$19:$B$22,0)),0)))</f>
        <v/>
      </c>
      <c r="EU21" s="45" t="str">
        <f>IF(BI21&lt;&gt;"SÍ","",""&amp;IF(BJ21="NO ESTÁ EN PIER_FORCES","sin fuerzas en PIER_FORCES; ","")&amp;IF(BV21&lt;&gt;"CUMPLE","vanos; ","")&amp;IF(LEFT(CH21,2)="NO","espesor o esbeltez; ","")&amp;IF(CQ21&gt;1,"compresión; ","")&amp;IF(CX21&gt;1,"flexión; ","")&amp;IF(CB21&lt;=0,"sin tramos de muro (todos son machones menores que L mín.: diséñalos como columnas o baja L mín.); ",IF(EC21&gt;1,"cortante; ",""))&amp;IF(OR(LEFT(EA21,2)="NO",LEFT(EA21,5)="FALTA"),"refuerzo horizontal; ","")&amp;IF(OR(LEFT(EP21,2)="NO",LEFT(EP21,7)="REVISAR"),"muro sobre viga; ","")&amp;IF(LEFT(DATOS!$C$81,2)="NO","castillo típico; ","")&amp;IF(LEFT(DATOS!$C$82,2)="NO","dala típica; ","")&amp;IF(AND(BT21&lt;&gt;DATOS!$C$58,DATOS!$C$60&lt;BT21),"castillo más angosto que el muro; ",""))</f>
        <v/>
      </c>
      <c r="EV21" s="45" t="str">
        <f>IF(BI21&lt;&gt;"SÍ","",""&amp;IF(LEFT(EP21,9)="PENDIENTE","análisis muro–viga (H/L &lt; 0.6); ","")&amp;IF(BR21&gt;50,"V_u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1" s="51" t="str">
        <f>IF(BI21&lt;&gt;"SÍ","",IF(EU21&lt;&gt;"","NO CUMPLE: "&amp;LEFT(EU21,LEN(EU21)-2),IF(EV21&lt;&gt;"","CUMPLE — PENDIENTE: "&amp;LEFT(EV21,LEN(EV21)-2),"CUMPLE")))</f>
        <v/>
      </c>
      <c r="EX21" s="52" t="n"/>
    </row>
    <row r="22" ht="30" customHeight="1">
      <c r="A22" s="38" t="str">
        <f>IF(B22="","",ROW()-10)</f>
        <v/>
      </c>
      <c r="B22" s="28" t="n"/>
      <c r="C22" s="39" t="n"/>
      <c r="D22" s="39" t="n"/>
      <c r="E22" s="39" t="n"/>
      <c r="F22" s="40" t="n"/>
      <c r="G22" s="40" t="n"/>
      <c r="H22" s="41" t="n"/>
      <c r="I22" s="39" t="n"/>
      <c r="J22" s="40" t="n"/>
      <c r="K22" s="40" t="n"/>
      <c r="L22" s="40" t="n"/>
      <c r="M22" s="40" t="n"/>
      <c r="N22" s="39" t="n"/>
      <c r="O22" s="40" t="n"/>
      <c r="P22" s="40" t="n"/>
      <c r="Q22" s="40" t="n"/>
      <c r="R22" s="40" t="n"/>
      <c r="S22" s="39" t="n"/>
      <c r="T22" s="40" t="n"/>
      <c r="U22" s="40" t="n"/>
      <c r="V22" s="40" t="n"/>
      <c r="W22" s="40" t="n"/>
      <c r="X22" s="39" t="n"/>
      <c r="Y22" s="40" t="n"/>
      <c r="Z22" s="40" t="n"/>
      <c r="AA22" s="40" t="n"/>
      <c r="AB22" s="40" t="n"/>
      <c r="AC22" s="41" t="n"/>
      <c r="AD22" s="41" t="n"/>
      <c r="AE22" s="39" t="n"/>
      <c r="AF22" s="41" t="n"/>
      <c r="AG22" s="41" t="n"/>
      <c r="AH22" s="41" t="n"/>
      <c r="AI22" s="39" t="n"/>
      <c r="AJ22" s="39" t="n"/>
      <c r="AK22" s="41" t="n"/>
      <c r="AL22" s="41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2" t="str">
        <f>IF(B22="","",C22&amp;"|"&amp;B22)</f>
        <v/>
      </c>
      <c r="AY22" s="43" t="str">
        <f>IF(B22="","",COUNTIFS(PIER_FORCES!$O$9:$O$3008,12,PIER_FORCES!$P$9:$P$3008,1))</f>
        <v/>
      </c>
      <c r="AZ22" s="43" t="str">
        <f>IF(B22="","",COUNTIFS(PIER_FORCES!$O$9:$O$3008,12,PIER_FORCES!$P$9:$P$3008,2))</f>
        <v/>
      </c>
      <c r="BA22" s="44">
        <f>IF(N(AY22)=0,0,SUMPRODUCT(MAX((PIER_FORCES!$O$9:$O$3008=12)*(PIER_FORCES!$P$9:$P$3008=1)*PIER_FORCES!$R$9:$R$3008)))</f>
        <v>0</v>
      </c>
      <c r="BB22" s="44">
        <f>IF(N(AY22)=0,0,SUMPRODUCT(MAX((PIER_FORCES!$O$9:$O$3008=12)*(PIER_FORCES!$P$9:$P$3008=1)*PIER_FORCES!$S$9:$S$3008)))</f>
        <v>0</v>
      </c>
      <c r="BC22" s="44">
        <f>IF(N(AY22)=0,0,-SUMPRODUCT(MAX((PIER_FORCES!$O$9:$O$3008=12)*(PIER_FORCES!$P$9:$P$3008=1)*(-PIER_FORCES!$Q$9:$Q$3008)+(1-(PIER_FORCES!$O$9:$O$3008=12)*(PIER_FORCES!$P$9:$P$3008=1))*(-1E9))))</f>
        <v>0</v>
      </c>
      <c r="BD22" s="44">
        <f>IF(N(AY22)=0,0,SUMPRODUCT(MAX((PIER_FORCES!$O$9:$O$3008=12)*(PIER_FORCES!$P$9:$P$3008=1)*PIER_FORCES!$Q$9:$Q$3008+(1-(PIER_FORCES!$O$9:$O$3008=12)*(PIER_FORCES!$P$9:$P$3008=1))*(-1E9))))</f>
        <v>0</v>
      </c>
      <c r="BE22" s="44">
        <f>IF(N(AZ22)=0,BD22,SUMPRODUCT(MAX((PIER_FORCES!$O$9:$O$3008=12)*(PIER_FORCES!$P$9:$P$3008=2)*PIER_FORCES!$Q$9:$Q$3008+(1-(PIER_FORCES!$O$9:$O$3008=12)*(PIER_FORCES!$P$9:$P$3008=2))*(-1E9))))</f>
        <v>0</v>
      </c>
      <c r="BF22" s="44">
        <f>IF(N(AZ22)=0,0,SUMPRODUCT(MAX((PIER_FORCES!$O$9:$O$3008=12)*(PIER_FORCES!$P$9:$P$3008=2)*PIER_FORCES!$R$9:$R$3008)))</f>
        <v>0</v>
      </c>
      <c r="BG22" s="43">
        <f>IF(N(AY22)=0,0,SUMPRODUCT(MAX((PIER_FORCES!$O$9:$O$3008=12)*(PIER_FORCES!$P$9:$P$3008=1)*(ABS(PIER_FORCES!$R$9:$R$3008-BA22)&lt;0.000001)*PIER_FORCES!$T$9:$T$3008)))</f>
        <v>0</v>
      </c>
      <c r="BH22" s="45" t="str">
        <f>IF(N(BG22)=0,"",INDEX(PIER_FORCES!$D$9:$D$3008,BG22)&amp;" "&amp;INDEX(PIER_FORCES!$F$9:$F$3008,BG22)&amp;" / "&amp;INDEX(PIER_FORCES!$G$9:$G$3008,BG22))</f>
        <v/>
      </c>
      <c r="BI22" s="42" t="str">
        <f>IF(B22="","",IF(AND(C22&lt;&gt;"",OR(D22="X",D22="Y"),ISNUMBER(F22),N(F22)&gt;0),"SÍ","NO"))</f>
        <v/>
      </c>
      <c r="BJ22" s="42" t="str">
        <f>IF(BI22&lt;&gt;"SÍ","",IF(DATOS!$C$108="ETABS (PIER_FORCES)",IF(N(AY22)&gt;0,"ETABS","NO ESTÁ EN PIER_FORCES"),"CAPTURA"))</f>
        <v/>
      </c>
      <c r="BK22" s="46" t="str">
        <f>IF(BI22&lt;&gt;"SÍ","",IF(BJ22="ETABS",BA22,IF(BJ22="CAPTURA",N(AQ22),0)))</f>
        <v/>
      </c>
      <c r="BL22" s="46" t="str">
        <f>IF(BI22&lt;&gt;"SÍ","",IF(BJ22="ETABS",BB22,IF(BJ22="CAPTURA",N(AR22),0)))</f>
        <v/>
      </c>
      <c r="BM22" s="46" t="str">
        <f>IF(BI22&lt;&gt;"SÍ","",IF(BJ22="ETABS",BC22/DATOS!$C$89,IF(BJ22="CAPTURA",N(AS22),0)))</f>
        <v/>
      </c>
      <c r="BN22" s="44" t="str">
        <f>IF(BI22&lt;&gt;"SÍ","",IF(BJ22="ETABS",BC22,IF(BJ22="CAPTURA",IF(ISNUMBER(AU22),AU22,N(AS22)*DATOS!$C$89),0)))</f>
        <v/>
      </c>
      <c r="BO22" s="44" t="str">
        <f>IF(BI22&lt;&gt;"SÍ","",IF(BJ22="ETABS",MAX(BD22,BE22),IF(BJ22="CAPTURA",N(AT22),0)))</f>
        <v/>
      </c>
      <c r="BP22" s="44" t="str">
        <f>IF(BI22&lt;&gt;"SÍ","",IF(BJ22="ETABS",BE22,IF(BJ22="CAPTURA",IF(ISNUMBER(AV22),AV22,N(AT22)),0)))</f>
        <v/>
      </c>
      <c r="BQ22" s="44" t="str">
        <f>IF(BI22&lt;&gt;"SÍ","",IF(BJ22="ETABS",BF22,IF(BJ22="CAPTURA",N(AW22),0)))</f>
        <v/>
      </c>
      <c r="BR22" s="43" t="str">
        <f>IF(BI22&lt;&gt;"SÍ","",IF(BK22&gt;0,100*BQ22/BK22,0))</f>
        <v/>
      </c>
      <c r="BS22" s="44" t="str">
        <f>IF(BI22&lt;&gt;"SÍ","",IF(ISNUMBER(G22),G22,DATOS!$C$57))</f>
        <v/>
      </c>
      <c r="BT22" s="47" t="str">
        <f>IF(BI22&lt;&gt;"SÍ","",IF(ISNUMBER(H22),H22,DATOS!$C$58))</f>
        <v/>
      </c>
      <c r="BU22" s="43" t="str">
        <f>IF(BI22&lt;&gt;"SÍ","",IF(N(K22)&gt;0,1+IF(N(P22)&gt;0,1+IF(N(U22)&gt;0,1+IF(N(Z22)&gt;0,1,0),0),0),0))</f>
        <v/>
      </c>
      <c r="BV22" s="45" t="str">
        <f>IF(BI22&lt;&gt;"SÍ","",IF(AND(OR(BU22&lt;1,AND(N(J22)&gt;=0-0.001,J22+K22&lt;=F22+0.001,N(L22)&gt;=0,N(L22)+N(M22)&lt;=BS22+0.001,N(M22)&gt;0,OR(I22="PUERTA",I22="VENTANA"))),OR(BU22&lt;2,AND(N(O22)&gt;=(J22+K22)-0.001,O22+P22&lt;=F22+0.001,N(Q22)&gt;=0,N(Q22)+N(R22)&lt;=BS22+0.001,N(R22)&gt;0,OR(N22="PUERTA",N22="VENTANA"))),OR(BU22&lt;3,AND(N(T22)&gt;=(O22+P22)-0.001,T22+U22&lt;=F22+0.001,N(V22)&gt;=0,N(V22)+N(W22)&lt;=BS22+0.001,N(W22)&gt;0,OR(S22="PUERTA",S22="VENTANA"))),OR(BU22&lt;4,AND(N(Y22)&gt;=(T22+U22)-0.001,Y22+Z22&lt;=F22+0.001,N(AA22)&gt;=0,N(AA22)+N(AB22)&lt;=BS22+0.001,N(AB22)&gt;0,OR(X22="PUERTA",X22="VENTANA"))),(N(K22)&gt;0)+(N(P22)&gt;0)+(N(U22)&gt;0)+(N(Z22)&gt;0)=BU22),"CUMPLE","REVISAR VANOS: tipo, orden de izquierda a derecha, que quepan en L y en H"))</f>
        <v/>
      </c>
      <c r="BW22" s="44" t="str">
        <f>IF(BI22&lt;&gt;"SÍ","",MAX(0,IF(BU22&gt;=1,N(J22),F22)))</f>
        <v/>
      </c>
      <c r="BX22" s="44" t="str">
        <f>IF(BI22&lt;&gt;"SÍ","",MAX(0,IF(BU22&gt;=2,N(O22)-(N(J22)+N(K22)),IF(BU22=1,F22-(N(J22)+N(K22)),0))))</f>
        <v/>
      </c>
      <c r="BY22" s="44" t="str">
        <f>IF(BI22&lt;&gt;"SÍ","",MAX(0,IF(BU22&gt;=3,N(T22)-(N(O22)+N(P22)),IF(BU22=2,F22-(N(O22)+N(P22)),0))))</f>
        <v/>
      </c>
      <c r="BZ22" s="44" t="str">
        <f>IF(BI22&lt;&gt;"SÍ","",MAX(0,IF(BU22&gt;=4,N(Y22)-(N(T22)+N(U22)),IF(BU22=3,F22-(N(T22)+N(U22)),0))))</f>
        <v/>
      </c>
      <c r="CA22" s="44" t="str">
        <f>IF(BI22&lt;&gt;"SÍ","",MAX(0,IF(BU22=4,F22-(N(Y22)+N(Z22)),0)))</f>
        <v/>
      </c>
      <c r="CB22" s="46" t="str">
        <f>IF(BI22&lt;&gt;"SÍ","",SUMPRODUCT((BW22:CA22&gt;=DATOS!$C$72-0.0001)*BW22:CA22))</f>
        <v/>
      </c>
      <c r="CC22" s="43" t="str">
        <f>IF(BI22&lt;&gt;"SÍ","",SUMPRODUCT(--(BW22:CA22&gt;=DATOS!$C$72-0.0001)))</f>
        <v/>
      </c>
      <c r="CD22" s="44" t="str">
        <f>IF(BI22&lt;&gt;"SÍ","",SUM(BW22:CA22))</f>
        <v/>
      </c>
      <c r="CE22" s="43" t="str">
        <f>IF(BI22&lt;&gt;"SÍ","",BT22*CB22*100)</f>
        <v/>
      </c>
      <c r="CF22" s="43" t="str">
        <f>IF(BI22&lt;&gt;"SÍ","",BT22*CD22*100)</f>
        <v/>
      </c>
      <c r="CG22" s="47" t="str">
        <f>IF(BI22&lt;&gt;"SÍ","",BS22*100/BT22)</f>
        <v/>
      </c>
      <c r="CH22" s="45" t="str">
        <f>IF(BI22&lt;&gt;"SÍ","",IF(AND(OR(DATOS!$C$14="TIPO II",BT22&gt;=12),CG22&lt;=25),"CUMPLE","NO CUMPLE: "&amp;IF(AND(DATOS!$C$14="TIPO I",BT22&lt;12),"t &lt; 12 cm ","")&amp;IF(CG22&gt;25,"H/t &gt; 25","")))</f>
        <v/>
      </c>
      <c r="CI22" s="44" t="str">
        <f>IF(BI22&lt;&gt;"SÍ","",MIN(1.5*BS22,4))</f>
        <v/>
      </c>
      <c r="CJ22" s="43" t="str">
        <f>IF(BI22&lt;&gt;"SÍ","",SUMPRODUCT((BW22:CA22&gt;=2*DATOS!$C$59/100)*INT((BW22:CA22-DATOS!$C$59/100)/CI22-0.000001)*((BW22:CA22-DATOS!$C$59/100)&gt;0)))</f>
        <v/>
      </c>
      <c r="CK22" s="43" t="str">
        <f>IF(BI22&lt;&gt;"SÍ","",SUMPRODUCT((BW22:CA22&gt;0.0001)*1+(BW22:CA22&gt;=2*DATOS!$C$59/100)*1)+CJ22)</f>
        <v/>
      </c>
      <c r="CL22" s="44" t="str">
        <f>IF(BI22&lt;&gt;"SÍ","",IF(ISNUMBER(AC22),AC22,DATOS!$C$61)*INDEX(TABLAS!$D$6:$D$14,MATCH(IF(AD22&lt;&gt;"",AD22,DATOS!$C$62),TABLAS!$B$6:$B$14,0)))</f>
        <v/>
      </c>
      <c r="CM22" s="44" t="str">
        <f>IF(BI22&lt;&gt;"SÍ","",CK22*DATOS!$C$78+IF(CK22&gt;=2,2,CK22)*(CL22-DATOS!$C$78))</f>
        <v/>
      </c>
      <c r="CN22" s="47" t="str">
        <f>IF(BI22&lt;&gt;"SÍ","",MAX(BS22*100/6,40))</f>
        <v/>
      </c>
      <c r="CO22" s="48" t="str">
        <f>IF(BI22&lt;&gt;"SÍ","",IF(CG22&lt;=20,IF(E22="INTERIOR",0.7,0.6),MIN(IF(E22="INTERIOR",0.7,0.6),(1-2/24)*(1-(IF(E22="INTERIOR",0.8,1)*CG22/30)^2))))</f>
        <v/>
      </c>
      <c r="CP22" s="47" t="str">
        <f>IF(BI22&lt;&gt;"SÍ","",DATOS!$C$87*CO22*(DATOS!$C$33*CF22+CM22*DATOS!$C$48)/1000)</f>
        <v/>
      </c>
      <c r="CQ22" s="46" t="str">
        <f>IF(BI22&lt;&gt;"SÍ","",IF(CP22&gt;0,BO22/CP22,99))</f>
        <v/>
      </c>
      <c r="CR22" s="47" t="str">
        <f>IF(BI22&lt;&gt;"SÍ","",MAX(0,F22*100-DATOS!$C$59))</f>
        <v/>
      </c>
      <c r="CS22" s="47" t="str">
        <f>IF(BI22&lt;&gt;"SÍ","",MAX(0,F22*100-DATOS!$C$59/2))</f>
        <v/>
      </c>
      <c r="CT22" s="44" t="str">
        <f>IF(BI22&lt;&gt;"SÍ","",CL22*DATOS!$C$48*CR22/100000)</f>
        <v/>
      </c>
      <c r="CU22" s="44" t="str">
        <f>IF(BI22&lt;&gt;"SÍ","",IF(BN22&lt;0,0.8*CT22*MAX(0,1+BN22/(0.8*CM22*DATOS!$C$48/1000)),IF(BN22&lt;=CP22/3,0.8*CT22+0.3*BN22*CS22/100,(1.5*0.6*CT22+0.15*CP22*CS22/100)*MAX(0,1-BN22/CP22))))</f>
        <v/>
      </c>
      <c r="CV22" s="44" t="str">
        <f>IF(BI22&lt;&gt;"SÍ","",IF(BO22&lt;0,0.8*CT22*MAX(0,1+BO22/(0.8*CM22*DATOS!$C$48/1000)),IF(BO22&lt;=CP22/3,0.8*CT22+0.3*BO22*CS22/100,(1.5*0.6*CT22+0.15*CP22*CS22/100)*MAX(0,1-BO22/CP22))))</f>
        <v/>
      </c>
      <c r="CW22" s="46" t="str">
        <f>IF(BI22&lt;&gt;"SÍ","",MAX(0,MIN(CU22,CV22)))</f>
        <v/>
      </c>
      <c r="CX22" s="49" t="str">
        <f>IF(BI22&lt;&gt;"SÍ","",IF(CW22&gt;0,BL22/CW22,IF(BL22&gt;0,99,0)))</f>
        <v/>
      </c>
      <c r="CY22" s="44" t="str">
        <f>IF(BI22&lt;&gt;"SÍ","",IF(BW22&gt;0,MAX(1,MIN(1.5,1.5-0.625*(BS22/BW22-0.2))),0))</f>
        <v/>
      </c>
      <c r="CZ22" s="44" t="str">
        <f>IF(BI22&lt;&gt;"SÍ","",IF(BX22&gt;0,MAX(1,MIN(1.5,1.5-0.625*(BS22/BX22-0.2))),0))</f>
        <v/>
      </c>
      <c r="DA22" s="44" t="str">
        <f>IF(BI22&lt;&gt;"SÍ","",IF(BY22&gt;0,MAX(1,MIN(1.5,1.5-0.625*(BS22/BY22-0.2))),0))</f>
        <v/>
      </c>
      <c r="DB22" s="44" t="str">
        <f>IF(BI22&lt;&gt;"SÍ","",IF(BZ22&gt;0,MAX(1,MIN(1.5,1.5-0.625*(BS22/BZ22-0.2))),0))</f>
        <v/>
      </c>
      <c r="DC22" s="44" t="str">
        <f>IF(BI22&lt;&gt;"SÍ","",IF(CA22&gt;0,MAX(1,MIN(1.5,1.5-0.625*(BS22/CA22-0.2))),0))</f>
        <v/>
      </c>
      <c r="DD22" s="44" t="str">
        <f>IF(BI22&lt;&gt;"SÍ","",IF(OR(BW22&lt;DATOS!$C$72-0.0001,BM22&lt;0,CB22&lt;=0),0,MIN(DATOS!$C$86*(0.5*DATOS!$C$41*BT22*BW22*100+0.3*BM22*BW22/CB22*1000)*CY22,1.5*DATOS!$C$86*DATOS!$C$41*BT22*BW22*100*CY22)/1000))</f>
        <v/>
      </c>
      <c r="DE22" s="44" t="str">
        <f>IF(BI22&lt;&gt;"SÍ","",IF(OR(BX22&lt;DATOS!$C$72-0.0001,BM22&lt;0,CB22&lt;=0),0,MIN(DATOS!$C$86*(0.5*DATOS!$C$41*BT22*BX22*100+0.3*BM22*BX22/CB22*1000)*CZ22,1.5*DATOS!$C$86*DATOS!$C$41*BT22*BX22*100*CZ22)/1000))</f>
        <v/>
      </c>
      <c r="DF22" s="44" t="str">
        <f>IF(BI22&lt;&gt;"SÍ","",IF(OR(BY22&lt;DATOS!$C$72-0.0001,BM22&lt;0,CB22&lt;=0),0,MIN(DATOS!$C$86*(0.5*DATOS!$C$41*BT22*BY22*100+0.3*BM22*BY22/CB22*1000)*DA22,1.5*DATOS!$C$86*DATOS!$C$41*BT22*BY22*100*DA22)/1000))</f>
        <v/>
      </c>
      <c r="DG22" s="44" t="str">
        <f>IF(BI22&lt;&gt;"SÍ","",IF(OR(BZ22&lt;DATOS!$C$72-0.0001,BM22&lt;0,CB22&lt;=0),0,MIN(DATOS!$C$86*(0.5*DATOS!$C$41*BT22*BZ22*100+0.3*BM22*BZ22/CB22*1000)*DB22,1.5*DATOS!$C$86*DATOS!$C$41*BT22*BZ22*100*DB22)/1000))</f>
        <v/>
      </c>
      <c r="DH22" s="44" t="str">
        <f>IF(BI22&lt;&gt;"SÍ","",IF(OR(CA22&lt;DATOS!$C$72-0.0001,BM22&lt;0,CB22&lt;=0),0,MIN(DATOS!$C$86*(0.5*DATOS!$C$41*BT22*CA22*100+0.3*BM22*CA22/CB22*1000)*DC22,1.5*DATOS!$C$86*DATOS!$C$41*BT22*CA22*100*DC22)/1000))</f>
        <v/>
      </c>
      <c r="DI22" s="46" t="str">
        <f>IF(BI22&lt;&gt;"SÍ","",SUM(DD22:DH22))</f>
        <v/>
      </c>
      <c r="DJ22" s="48" t="str">
        <f>IF(BI22&lt;&gt;"SÍ","",IF(AE22="VARILLA EN JUNTAS",IF(ISNUMBER(AF22),AF22,2)*INDEX(TABLAS!$D$6:$D$14,MATCH(IF(AG22&lt;&gt;"",AG22,DATOS!$C$73),TABLAS!$B$6:$B$14,0)),IF(AE22="MALLA",IF(ISNUMBER(AF22),AF22,1)*INDEX(TABLAS!$D$19:$D$22,MATCH(IF(AG22&lt;&gt;"",AG22,DATOS!$C$74),TABLAS!$B$19:$B$22,0))/100,IF(AE22="ESCALERILLA",IF(ISNUMBER(AF22),AF22,2)*INDEX(TABLAS!$D$6:$D$14,MATCH(IF(AG22&lt;&gt;"",AG22,DATOS!$C$73),TABLAS!$B$6:$B$14,0)),0))))</f>
        <v/>
      </c>
      <c r="DK22" s="47" t="str">
        <f>IF(BI22&lt;&gt;"SÍ","",IF(OR(AE22="VARILLA EN JUNTAS",AE22="ESCALERILLA"),IF(ISNUMBER(AH22),AH22,2)*DATOS!$C$26,IF(AE22="MALLA",1,0)))</f>
        <v/>
      </c>
      <c r="DL22" s="44" t="str">
        <f>IF(BI22&lt;&gt;"SÍ","",IF(DK22&gt;0,DJ22/(DK22*BT22)*MIN(DATOS!$C$50,IF(AE22="MALLA",5000,6000)),0))</f>
        <v/>
      </c>
      <c r="DM22" s="44" t="str">
        <f>IF(BI22&lt;&gt;"SÍ","",IF(AE22="ESCALERILLA",0,MIN(DL22,0.1*DATOS!$C$33*DATOS!$C$24)))</f>
        <v/>
      </c>
      <c r="DN22" s="48" t="str">
        <f>IF(BI22&lt;&gt;"SÍ","",IF(AE22="MALLA",0.5,IF(DATOS!$C$33&lt;=60,0.55,IF(DATOS!$C$33&gt;=90,0.75,0.55+0.2*(DATOS!$C$33-60)/30))))</f>
        <v/>
      </c>
      <c r="DO22" s="48" t="str">
        <f>IF(BI22&lt;&gt;"SÍ","",1-DATOS!$C$91*DM22)</f>
        <v/>
      </c>
      <c r="DP22" s="44" t="str">
        <f>IF(BI22&lt;&gt;"SÍ","",IF(BW22&gt;0,IF(BS22/BW22&lt;=1,1.3,IF(BS22/BW22&gt;=1.5,1,1.3-0.6*(BS22/BW22-1))),0))</f>
        <v/>
      </c>
      <c r="DQ22" s="44" t="str">
        <f>IF(BI22&lt;&gt;"SÍ","",IF(BX22&gt;0,IF(BS22/BX22&lt;=1,1.3,IF(BS22/BX22&gt;=1.5,1,1.3-0.6*(BS22/BX22-1))),0))</f>
        <v/>
      </c>
      <c r="DR22" s="44" t="str">
        <f>IF(BI22&lt;&gt;"SÍ","",IF(BY22&gt;0,IF(BS22/BY22&lt;=1,1.3,IF(BS22/BY22&gt;=1.5,1,1.3-0.6*(BS22/BY22-1))),0))</f>
        <v/>
      </c>
      <c r="DS22" s="44" t="str">
        <f>IF(BI22&lt;&gt;"SÍ","",IF(BZ22&gt;0,IF(BS22/BZ22&lt;=1,1.3,IF(BS22/BZ22&gt;=1.5,1,1.3-0.6*(BS22/BZ22-1))),0))</f>
        <v/>
      </c>
      <c r="DT22" s="44" t="str">
        <f>IF(BI22&lt;&gt;"SÍ","",IF(CA22&gt;0,IF(BS22/CA22&lt;=1,1.3,IF(BS22/CA22&gt;=1.5,1,1.3-0.6*(BS22/CA22-1))),0))</f>
        <v/>
      </c>
      <c r="DU22" s="44" t="str">
        <f>IF(BI22&lt;&gt;"SÍ","",IF(OR(DM22&lt;=0,BW22&lt;DATOS!$C$72-0.0001),0,DATOS!$C$86*MAX(0,IF(BM22&gt;=0,DD22/(DATOS!$C$86*DM22*BT22*BW22*100/1000)*(DP22*DO22-1)+DN22,DO22*DN22))*DM22*BT22*BW22*100/1000))</f>
        <v/>
      </c>
      <c r="DV22" s="44" t="str">
        <f>IF(BI22&lt;&gt;"SÍ","",IF(OR(DM22&lt;=0,BX22&lt;DATOS!$C$72-0.0001),0,DATOS!$C$86*MAX(0,IF(BM22&gt;=0,DE22/(DATOS!$C$86*DM22*BT22*BX22*100/1000)*(DQ22*DO22-1)+DN22,DO22*DN22))*DM22*BT22*BX22*100/1000))</f>
        <v/>
      </c>
      <c r="DW22" s="44" t="str">
        <f>IF(BI22&lt;&gt;"SÍ","",IF(OR(DM22&lt;=0,BY22&lt;DATOS!$C$72-0.0001),0,DATOS!$C$86*MAX(0,IF(BM22&gt;=0,DF22/(DATOS!$C$86*DM22*BT22*BY22*100/1000)*(DR22*DO22-1)+DN22,DO22*DN22))*DM22*BT22*BY22*100/1000))</f>
        <v/>
      </c>
      <c r="DX22" s="44" t="str">
        <f>IF(BI22&lt;&gt;"SÍ","",IF(OR(DM22&lt;=0,BZ22&lt;DATOS!$C$72-0.0001),0,DATOS!$C$86*MAX(0,IF(BM22&gt;=0,DG22/(DATOS!$C$86*DM22*BT22*BZ22*100/1000)*(DS22*DO22-1)+DN22,DO22*DN22))*DM22*BT22*BZ22*100/1000))</f>
        <v/>
      </c>
      <c r="DY22" s="44" t="str">
        <f>IF(BI22&lt;&gt;"SÍ","",IF(OR(DM22&lt;=0,CA22&lt;DATOS!$C$72-0.0001),0,DATOS!$C$86*MAX(0,IF(BM22&gt;=0,DH22/(DATOS!$C$86*DM22*BT22*CA22*100/1000)*(DT22*DO22-1)+DN22,DO22*DN22))*DM22*BT22*CA22*100/1000))</f>
        <v/>
      </c>
      <c r="DZ22" s="46" t="str">
        <f>IF(BI22&lt;&gt;"SÍ","",SUM(DU22:DY22))</f>
        <v/>
      </c>
      <c r="EA22" s="45" t="str">
        <f>IF(BI22&lt;&gt;"SÍ","",IF(OR(AE22="",AE22="NINGUNO"),IF(DATOS!$C$41&gt;=10,"FALTA refuerzo horizontal: v'm ≥ 10 kg/cm² (6.5.2.2)",IF(AND(BM22&lt;0,BK22&gt;0),"FALTA: P en tensión, el refuerzo debe tomar todo el cortante (6.5.1.3)","—")),IF(AE22="ESCALERILLA","NO CUENTA: la escalerilla no se permite para cortante por sismo (6.5.3.1.2)",IF(AE22="MALLA",IF(AND(DL22&gt;=2.5,DL22&lt;=MAX(0.15*DATOS!$C$33*DATOS!$C$24,2.5)),"CUMPLE","NO CUMPLE: "&amp;IF(DL22&lt;2.5,"p_h·f_yh &lt; 2.5 (6.5.4.2.4)","p_h·f_yh &gt; 0.15·f'm·f_an (6.5.4.2.4)")),IF(AND(DK22&lt;=MIN(6*DATOS!$C$26,45),DL22&gt;=3,DL22&lt;=MIN(MAX(0.15*DATOS!$C$33*DATOS!$C$24,3),0.05*DATOS!$C$25/10*MIN(DATOS!$C$50,6000)/DK22),INDEX(TABLAS!$C$6:$C$14,MATCH(IF(AG22&lt;&gt;"",AG22,DATOS!$C$73),TABLAS!$B$6:$B$14,0))&gt;=0.35,INDEX(TABLAS!$C$6:$C$14,MATCH(IF(AG22&lt;&gt;"",AG22,DATOS!$C$73),TABLAS!$B$6:$B$14,0))&lt;=0.75*DATOS!$C$25/10),"CUMPLE","NO CUMPLE: "&amp;IF(DK22&gt;MIN(6*DATOS!$C$26,45),"s_h &gt; 6 hiladas o 45 cm (6.5.3.2.1) ","")&amp;IF(DL22&lt;3,"p_h·f_yh &lt; 3 (6.5.3.3.1) ","")&amp;IF(DL22&gt;MIN(MAX(0.15*DATOS!$C$33*DATOS!$C$24,3),0.05*DATOS!$C$25/10*MIN(DATOS!$C$50,6000)/DK22),"p_h·f_yh &gt; máximo (6.5.3.3.2) ","")&amp;IF(OR(INDEX(TABLAS!$C$6:$C$14,MATCH(IF(AG22&lt;&gt;"",AG22,DATOS!$C$73),TABLAS!$B$6:$B$14,0))&lt;0.35,INDEX(TABLAS!$C$6:$C$14,MATCH(IF(AG22&lt;&gt;"",AG22,DATOS!$C$73),TABLAS!$B$6:$B$14,0))&gt;0.75*DATOS!$C$25/10),"diámetro fuera de 3.5 mm a 0.75·h_j (4.2.2.2.1)",""))))))</f>
        <v/>
      </c>
      <c r="EB22" s="46" t="str">
        <f>IF(BI22&lt;&gt;"SÍ","",DI22+DZ22)</f>
        <v/>
      </c>
      <c r="EC22" s="50" t="str">
        <f>IF(BI22&lt;&gt;"SÍ","",IF(EB22&gt;0,BK22/EB22,IF(BK22&gt;0,99,0)))</f>
        <v/>
      </c>
      <c r="ED22" s="47" t="str">
        <f>IF(BI22&lt;&gt;"SÍ","",IF(CE22&lt;=0,-1,IF(BK22&lt;=DI22,0,IF(IF(BM22&gt;=0,IF((DATOS!$C$86*IF(AE22="MALLA",0.5,IF(DATOS!$C$33&lt;=60,0.55,IF(DATOS!$C$33&gt;=90,0.75,0.55+0.2*(DATOS!$C$33-60)/30)))*CE22/1000-DATOS!$C$91*SUMPRODUCT(DP22:DT22,DD22:DH22))&lt;=0,1E9,(BK22-SUMPRODUCT(DP22:DT22,DD22:DH22))/(DATOS!$C$86*IF(AE22="MALLA",0.5,IF(DATOS!$C$33&lt;=60,0.55,IF(DATOS!$C$33&gt;=90,0.75,0.55+0.2*(DATOS!$C$33-60)/30)))*CE22/1000-DATOS!$C$91*SUMPRODUCT(DP22:DT22,DD22:DH22))),IF((1-4*DATOS!$C$91*BK22*1000/(DATOS!$C$86*IF(AE22="MALLA",0.5,IF(DATOS!$C$33&lt;=60,0.55,IF(DATOS!$C$33&gt;=90,0.75,0.55+0.2*(DATOS!$C$33-60)/30)))*MAX(CE22,1)))&lt;0,1E9,(1-SQRT((1-4*DATOS!$C$91*BK22*1000/(DATOS!$C$86*IF(AE22="MALLA",0.5,IF(DATOS!$C$33&lt;=60,0.55,IF(DATOS!$C$33&gt;=90,0.75,0.55+0.2*(DATOS!$C$33-60)/30)))*MAX(CE22,1)))))/(2*DATOS!$C$91)))&gt;0.1*DATOS!$C$33*DATOS!$C$24+0.000001,-1,MAX(IF(AE22="MALLA",2.5,3),IF(BM22&gt;=0,IF((DATOS!$C$86*IF(AE22="MALLA",0.5,IF(DATOS!$C$33&lt;=60,0.55,IF(DATOS!$C$33&gt;=90,0.75,0.55+0.2*(DATOS!$C$33-60)/30)))*CE22/1000-DATOS!$C$91*SUMPRODUCT(DP22:DT22,DD22:DH22))&lt;=0,1E9,(BK22-SUMPRODUCT(DP22:DT22,DD22:DH22))/(DATOS!$C$86*IF(AE22="MALLA",0.5,IF(DATOS!$C$33&lt;=60,0.55,IF(DATOS!$C$33&gt;=90,0.75,0.55+0.2*(DATOS!$C$33-60)/30)))*CE22/1000-DATOS!$C$91*SUMPRODUCT(DP22:DT22,DD22:DH22))),IF((1-4*DATOS!$C$91*BK22*1000/(DATOS!$C$86*IF(AE22="MALLA",0.5,IF(DATOS!$C$33&lt;=60,0.55,IF(DATOS!$C$33&gt;=90,0.75,0.55+0.2*(DATOS!$C$33-60)/30)))*MAX(CE22,1)))&lt;0,1E9,(1-SQRT((1-4*DATOS!$C$91*BK22*1000/(DATOS!$C$86*IF(AE22="MALLA",0.5,IF(DATOS!$C$33&lt;=60,0.55,IF(DATOS!$C$33&gt;=90,0.75,0.55+0.2*(DATOS!$C$33-60)/30)))*MAX(CE22,1)))))/(2*DATOS!$C$91))))))))</f>
        <v/>
      </c>
      <c r="EE22" s="45" t="str">
        <f>IF(BI22&lt;&gt;"SÍ","",IF(ED22=0,"NO REQUIERE: V_mR ≥ V_u",IF(ED22&lt;0,"NO ALCANZA con refuerzo horizontal (haría falta más de 0.1·f'm·f_an efectivo): sube v'm con ensayes, el espesor o la longitud del muro",IF(AND(OR(AE22="VARILLA EN JUNTAS",AE22="MALLA"),LEFT(EA22,6)="CUMPLE",EC22&lt;=1),"YA LO TIENE (pide p_h·f_yh ≥ "&amp;TEXT(ED22,"0.0")&amp;" kg/cm²)","p_h·f_yh ≥ "&amp;TEXT(ED22,"0.0")&amp;" kg/cm² → "&amp;IF(AND(MIN(6,FLOOR(45/DATOS!$C$26,1),FLOOR((2*INDEX(TABLAS!$D$6:$D$14,MATCH("3/16 in",TABLAS!$B$6:$B$14,0)))*MIN(DATOS!$C$50,6000)/(BT22*DATOS!$C$26*MAX(ED22,0.001)),1))&gt;=1,((2*INDEX(TABLAS!$D$6:$D$14,MATCH("3/16 in",TABLAS!$B$6:$B$14,0)))*MIN(DATOS!$C$50,6000)/(MAX(MIN(6,FLOOR(45/DATOS!$C$26,1),FLOOR((2*INDEX(TABLAS!$D$6:$D$14,MATCH("3/16 in",TABLAS!$B$6:$B$14,0)))*MIN(DATOS!$C$50,6000)/(BT22*DATOS!$C$26*MAX(ED22,0.001)),1)),1)*DATOS!$C$26*BT22))&lt;=MIN(MAX(0.15*DATOS!$C$33*DATOS!$C$24,3),0.05*DATOS!$C$25/10*MIN(DATOS!$C$50,6000)/(MIN(6,FLOOR(45/DATOS!$C$26,1),FLOOR((2*INDEX(TABLAS!$D$6:$D$14,MATCH("3/16 in",TABLAS!$B$6:$B$14,0)))*MIN(DATOS!$C$50,6000)/(BT22*DATOS!$C$26*MAX(ED22,0.001)),1))*DATOS!$C$26))),"2 alambres de 3/16"" por junta cada "&amp;MIN(6,FLOOR(45/DATOS!$C$26,1),FLOOR((2*INDEX(TABLAS!$D$6:$D$14,MATCH("3/16 in",TABLAS!$B$6:$B$14,0)))*MIN(DATOS!$C$50,6000)/(BT22*DATOS!$C$26*MAX(ED22,0.001)),1))&amp;" hilada(s) (p_h·f_yh = "&amp;TEXT(((2*INDEX(TABLAS!$D$6:$D$14,MATCH("3/16 in",TABLAS!$B$6:$B$14,0)))*MIN(DATOS!$C$50,6000)/(MAX(MIN(6,FLOOR(45/DATOS!$C$26,1),FLOOR((2*INDEX(TABLAS!$D$6:$D$14,MATCH("3/16 in",TABLAS!$B$6:$B$14,0)))*MIN(DATOS!$C$50,6000)/(BT22*DATOS!$C$26*MAX(ED22,0.001)),1)),1)*DATOS!$C$26*BT22)),"0.00")&amp;")",IF(AND(MIN(6,FLOOR(45/DATOS!$C$26,1),FLOOR((2*INDEX(TABLAS!$D$6:$D$14,MATCH("5/32 in",TABLAS!$B$6:$B$14,0)))*MIN(DATOS!$C$50,6000)/(BT22*DATOS!$C$26*MAX(ED22,0.001)),1))&gt;=1,((2*INDEX(TABLAS!$D$6:$D$14,MATCH("5/32 in",TABLAS!$B$6:$B$14,0)))*MIN(DATOS!$C$50,6000)/(MAX(MIN(6,FLOOR(45/DATOS!$C$26,1),FLOOR((2*INDEX(TABLAS!$D$6:$D$14,MATCH("5/32 in",TABLAS!$B$6:$B$14,0)))*MIN(DATOS!$C$50,6000)/(BT22*DATOS!$C$26*MAX(ED22,0.001)),1)),1)*DATOS!$C$26*BT22))&lt;=MIN(MAX(0.15*DATOS!$C$33*DATOS!$C$24,3),0.05*DATOS!$C$25/10*MIN(DATOS!$C$50,6000)/(MIN(6,FLOOR(45/DATOS!$C$26,1),FLOOR((2*INDEX(TABLAS!$D$6:$D$14,MATCH("5/32 in",TABLAS!$B$6:$B$14,0)))*MIN(DATOS!$C$50,6000)/(BT22*DATOS!$C$26*MAX(ED22,0.001)),1))*DATOS!$C$26))),"2 alambres de 5/32"" por junta cada "&amp;MIN(6,FLOOR(45/DATOS!$C$26,1),FLOOR((2*INDEX(TABLAS!$D$6:$D$14,MATCH("5/32 in",TABLAS!$B$6:$B$14,0)))*MIN(DATOS!$C$50,6000)/(BT22*DATOS!$C$26*MAX(ED22,0.001)),1))&amp;" hilada(s) (p_h·f_yh = "&amp;TEXT(((2*INDEX(TABLAS!$D$6:$D$14,MATCH("5/32 in",TABLAS!$B$6:$B$14,0)))*MIN(DATOS!$C$50,6000)/(MAX(MIN(6,FLOOR(45/DATOS!$C$26,1),FLOOR((2*INDEX(TABLAS!$D$6:$D$14,MATCH("5/32 in",TABLAS!$B$6:$B$14,0)))*MIN(DATOS!$C$50,6000)/(BT22*DATOS!$C$26*MAX(ED22,0.001)),1)),1)*DATOS!$C$26*BT22)),"0.00")&amp;")",IF(AND(MIN(6,FLOOR(45/DATOS!$C$26,1),FLOOR((1*INDEX(TABLAS!$D$6:$D$14,MATCH("3/16 in",TABLAS!$B$6:$B$14,0)))*MIN(DATOS!$C$50,6000)/(BT22*DATOS!$C$26*MAX(ED22,0.001)),1))&gt;=1,((1*INDEX(TABLAS!$D$6:$D$14,MATCH("3/16 in",TABLAS!$B$6:$B$14,0)))*MIN(DATOS!$C$50,6000)/(MAX(MIN(6,FLOOR(45/DATOS!$C$26,1),FLOOR((1*INDEX(TABLAS!$D$6:$D$14,MATCH("3/16 in",TABLAS!$B$6:$B$14,0)))*MIN(DATOS!$C$50,6000)/(BT22*DATOS!$C$26*MAX(ED22,0.001)),1)),1)*DATOS!$C$26*BT22))&lt;=MIN(MAX(0.15*DATOS!$C$33*DATOS!$C$24,3),0.05*DATOS!$C$25/10*MIN(DATOS!$C$50,6000)/(MIN(6,FLOOR(45/DATOS!$C$26,1),FLOOR((1*INDEX(TABLAS!$D$6:$D$14,MATCH("3/16 in",TABLAS!$B$6:$B$14,0)))*MIN(DATOS!$C$50,6000)/(BT22*DATOS!$C$26*MAX(ED22,0.001)),1))*DATOS!$C$26))),"1 alambre de 3/16"" por junta cada "&amp;MIN(6,FLOOR(45/DATOS!$C$26,1),FLOOR((1*INDEX(TABLAS!$D$6:$D$14,MATCH("3/16 in",TABLAS!$B$6:$B$14,0)))*MIN(DATOS!$C$50,6000)/(BT22*DATOS!$C$26*MAX(ED22,0.001)),1))&amp;" hilada(s) (p_h·f_yh = "&amp;TEXT(((1*INDEX(TABLAS!$D$6:$D$14,MATCH("3/16 in",TABLAS!$B$6:$B$14,0)))*MIN(DATOS!$C$50,6000)/(MAX(MIN(6,FLOOR(45/DATOS!$C$26,1),FLOOR((1*INDEX(TABLAS!$D$6:$D$14,MATCH("3/16 in",TABLAS!$B$6:$B$14,0)))*MIN(DATOS!$C$50,6000)/(BT22*DATOS!$C$26*MAX(ED22,0.001)),1)),1)*DATOS!$C$26*BT22)),"0.00")&amp;")",IF(AND(MIN(6,FLOOR(45/DATOS!$C$26,1),FLOOR((1*INDEX(TABLAS!$D$6:$D$14,MATCH("5/32 in",TABLAS!$B$6:$B$14,0)))*MIN(DATOS!$C$50,6000)/(BT22*DATOS!$C$26*MAX(ED22,0.001)),1))&gt;=1,((1*INDEX(TABLAS!$D$6:$D$14,MATCH("5/32 in",TABLAS!$B$6:$B$14,0)))*MIN(DATOS!$C$50,6000)/(MAX(MIN(6,FLOOR(45/DATOS!$C$26,1),FLOOR((1*INDEX(TABLAS!$D$6:$D$14,MATCH("5/32 in",TABLAS!$B$6:$B$14,0)))*MIN(DATOS!$C$50,6000)/(BT22*DATOS!$C$26*MAX(ED22,0.001)),1)),1)*DATOS!$C$26*BT22))&lt;=MIN(MAX(0.15*DATOS!$C$33*DATOS!$C$24,3),0.05*DATOS!$C$25/10*MIN(DATOS!$C$50,6000)/(MIN(6,FLOOR(45/DATOS!$C$26,1),FLOOR((1*INDEX(TABLAS!$D$6:$D$14,MATCH("5/32 in",TABLAS!$B$6:$B$14,0)))*MIN(DATOS!$C$50,6000)/(BT22*DATOS!$C$26*MAX(ED22,0.001)),1))*DATOS!$C$26))),"1 alambre de 5/32"" por junta cada "&amp;MIN(6,FLOOR(45/DATOS!$C$26,1),FLOOR((1*INDEX(TABLAS!$D$6:$D$14,MATCH("5/32 in",TABLAS!$B$6:$B$14,0)))*MIN(DATOS!$C$50,6000)/(BT22*DATOS!$C$26*MAX(ED22,0.001)),1))&amp;" hilada(s) (p_h·f_yh = "&amp;TEXT(((1*INDEX(TABLAS!$D$6:$D$14,MATCH("5/32 in",TABLAS!$B$6:$B$14,0)))*MIN(DATOS!$C$50,6000)/(MAX(MIN(6,FLOOR(45/DATOS!$C$26,1),FLOOR((1*INDEX(TABLAS!$D$6:$D$14,MATCH("5/32 in",TABLAS!$B$6:$B$14,0)))*MIN(DATOS!$C$50,6000)/(BT22*DATOS!$C$26*MAX(ED22,0.001)),1)),1)*DATOS!$C$26*BT22)),"0.00")&amp;")","ninguna combinación de 1 o 2 alambres por junta queda entre el mínimo y el máximo: revisa con malla (6.5.4)"))))))))</f>
        <v/>
      </c>
      <c r="EF22" s="43" t="str">
        <f>IF(BI22&lt;&gt;"SÍ","",IF(AI22="SÍ",N(AK22)*N(AL22)^3/12,0))</f>
        <v/>
      </c>
      <c r="EG22" s="48" t="str">
        <f>IF(BI22&lt;&gt;"SÍ","",IF(AND(AI22="SÍ",N(AM22)&gt;0),MIN(1,F22/AM22),0))</f>
        <v/>
      </c>
      <c r="EH22" s="47" t="str">
        <f>IF(BI22&lt;&gt;"SÍ","",IF(AI22="SÍ",BP22*1000/(BT22*F22*100)*BT22*(EG22^4-4*EG22^3+8*EG22),0))</f>
        <v/>
      </c>
      <c r="EI22" s="48" t="str">
        <f>IF(BI22&lt;&gt;"SÍ","",IF(AND(AI22="SÍ",EH22&gt;0),EH22/(EH22+5*N(AN22)*10),0))</f>
        <v/>
      </c>
      <c r="EJ22" s="44" t="str">
        <f>IF(BI22&lt;&gt;"SÍ","",IF(AND(AI22="SÍ",EI22&gt;0,EF22&gt;0),(DATOS!$C$43*BT22*(AM22*100)^3/(DATOS!$C$53*EF22*EI22))^0.25,0))</f>
        <v/>
      </c>
      <c r="EK22" s="44" t="str">
        <f>IF(BI22&lt;&gt;"SÍ","",IF(AI22&lt;&gt;"SÍ",0,IF(N(AM22)&lt;=F22,1,IF(MIN(1,N(AO22)/((AM22-F22)/2))&lt;=0.5,0.7+0.6*MIN(1,N(AO22)/((AM22-F22)/2)),1.5-MIN(1,N(AO22)/((AM22-F22)/2))))))</f>
        <v/>
      </c>
      <c r="EL22" s="44" t="str">
        <f>IF(BI22&lt;&gt;"SÍ","",IF(AI22&lt;&gt;"SÍ",0,MAX(1,IF(EG22&gt;=1,(1.6*EJ22-3.9),IF(EG22&lt;0.9,((3.2*EJ22-7.8)*EK22),((3.2*EJ22-7.8)*EK22)+((1.6*EJ22-3.9)-((3.2*EJ22-7.8)*EK22))*(EG22-0.9)/0.1)))))</f>
        <v/>
      </c>
      <c r="EM22" s="47" t="str">
        <f>IF(BI22&lt;&gt;"SÍ","",IF(AI22="SÍ",EL22*BP22*1000/(BT22*F22*100),0))</f>
        <v/>
      </c>
      <c r="EN22" s="47" t="str">
        <f>IF(BI22&lt;&gt;"SÍ","",IF(AND(AI22="SÍ",N(AL22)&gt;0),AM22*100/AL22,0))</f>
        <v/>
      </c>
      <c r="EO22" s="47" t="str">
        <f>IF(BI22&lt;&gt;"SÍ","",IF(AI22="SÍ",(1/15*DATOS!$C$53*N(AK22)/MAX((IF(ISNUMBER(AP22),AP22,BP22/DATOS!$C$90)*1000/(BT22*F22*100)*BT22*(EG22^4-4*EG22^3+8*EG22))+5*N(AN22)/DATOS!$C$90*10,0.001))^(1/3),0))</f>
        <v/>
      </c>
      <c r="EP22" s="45" t="str">
        <f>IF(BI22&lt;&gt;"SÍ","",IF(AI22&lt;&gt;"SÍ","—",IF(OR(N(AK22)&lt;=0,N(AL22)&lt;=0,N(AM22)&lt;=0),"REVISAR: faltan b, h o L_v de la viga",IF(AND(EM22&lt;=DATOS!$C$87*DATOS!$C$33,EN22&lt;=14,N(AL22)&gt;=25,EN22&lt;=EO22),IF(BS22/F22&lt;0.6,"PENDIENTE: H/L &lt; 0.6, falta el análisis de interacción muro–viga (4.1.18.2.1); f_CM es estimado","CUMPLE"),"NO CUMPLE: "&amp;IF(EM22&gt;DATOS!$C$87*DATOS!$C$33,"f_CM &gt; F_R·f'm ","")&amp;IF(EN22&gt;14,"L_v/h_v &gt; 14 ","")&amp;IF(N(AL22)&lt;25,"h_v &lt; 25 cm ","")&amp;IF(EN22&gt;EO22,"flecha (4.1.18.3)","")))))</f>
        <v/>
      </c>
      <c r="EQ22" s="44" t="str">
        <f>IF(BI22&lt;&gt;"SÍ","",MAX(0,F22*BS22-(N(K22)*N(M22)+N(P22)*N(R22)+N(U22)*N(W22)+N(Z22)*N(AB22))-CK22*DATOS!$C$59/100*BS22))</f>
        <v/>
      </c>
      <c r="ER22" s="48" t="str">
        <f>IF(BI22&lt;&gt;"SÍ","",CK22*DATOS!$C$59*DATOS!$C$60/10000*BS22)</f>
        <v/>
      </c>
      <c r="ES22" s="47" t="str">
        <f>IF(BI22&lt;&gt;"SÍ","",CK22*(DATOS!$C$61*(BS22+0.6)*INDEX(TABLAS!$E$6:$E$14,MATCH(DATOS!$C$62,TABLAS!$B$6:$B$14,0))+(2*ROUNDUP(CN22/DATOS!$C$65,0)+ROUNDUP(MAX(0,BS22*100-2*CN22)/DATOS!$C$64,0))*((2*(DATOS!$C$60+DATOS!$C$59-4*(DATOS!$C$66-INDEX(TABLAS!$C$6:$C$14,MATCH(DATOS!$C$63,TABLAS!$B$6:$B$14,0))))+15)/100)*INDEX(TABLAS!$E$6:$E$14,MATCH(DATOS!$C$63,TABLAS!$B$6:$B$14,0))))</f>
        <v/>
      </c>
      <c r="ET22" s="47" t="str">
        <f>IF(BI22&lt;&gt;"SÍ","",IF(OR(AE22="VARILLA EN JUNTAS",AE22="ESCALERILLA"),INT(BS22*100/MAX(DK22,1))*IF(ISNUMBER(AF22),AF22,2)*CB22*INDEX(TABLAS!$E$6:$E$14,MATCH(IF(AG22&lt;&gt;"",AG22,DATOS!$C$73),TABLAS!$B$6:$B$14,0)),IF(AE22="MALLA",IF(ISNUMBER(AF22),AF22,1)*CB22*BS22*INDEX(TABLAS!$E$19:$E$22,MATCH(IF(AG22&lt;&gt;"",AG22,DATOS!$C$74),TABLAS!$B$19:$B$22,0)),0)))</f>
        <v/>
      </c>
      <c r="EU22" s="45" t="str">
        <f>IF(BI22&lt;&gt;"SÍ","",""&amp;IF(BJ22="NO ESTÁ EN PIER_FORCES","sin fuerzas en PIER_FORCES; ","")&amp;IF(BV22&lt;&gt;"CUMPLE","vanos; ","")&amp;IF(LEFT(CH22,2)="NO","espesor o esbeltez; ","")&amp;IF(CQ22&gt;1,"compresión; ","")&amp;IF(CX22&gt;1,"flexión; ","")&amp;IF(CB22&lt;=0,"sin tramos de muro (todos son machones menores que L mín.: diséñalos como columnas o baja L mín.); ",IF(EC22&gt;1,"cortante; ",""))&amp;IF(OR(LEFT(EA22,2)="NO",LEFT(EA22,5)="FALTA"),"refuerzo horizontal; ","")&amp;IF(OR(LEFT(EP22,2)="NO",LEFT(EP22,7)="REVISAR"),"muro sobre viga; ","")&amp;IF(LEFT(DATOS!$C$81,2)="NO","castillo típico; ","")&amp;IF(LEFT(DATOS!$C$82,2)="NO","dala típica; ","")&amp;IF(AND(BT22&lt;&gt;DATOS!$C$58,DATOS!$C$60&lt;BT22),"castillo más angosto que el muro; ",""))</f>
        <v/>
      </c>
      <c r="EV22" s="45" t="str">
        <f>IF(BI22&lt;&gt;"SÍ","",""&amp;IF(LEFT(EP22,9)="PENDIENTE","análisis muro–viga (H/L &lt; 0.6); ","")&amp;IF(BR22&gt;50,"V_u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2" s="51" t="str">
        <f>IF(BI22&lt;&gt;"SÍ","",IF(EU22&lt;&gt;"","NO CUMPLE: "&amp;LEFT(EU22,LEN(EU22)-2),IF(EV22&lt;&gt;"","CUMPLE — PENDIENTE: "&amp;LEFT(EV22,LEN(EV22)-2),"CUMPLE")))</f>
        <v/>
      </c>
      <c r="EX22" s="52" t="n"/>
    </row>
    <row r="23" ht="30" customHeight="1">
      <c r="A23" s="38" t="str">
        <f>IF(B23="","",ROW()-10)</f>
        <v/>
      </c>
      <c r="B23" s="28" t="n"/>
      <c r="C23" s="39" t="n"/>
      <c r="D23" s="39" t="n"/>
      <c r="E23" s="39" t="n"/>
      <c r="F23" s="40" t="n"/>
      <c r="G23" s="40" t="n"/>
      <c r="H23" s="41" t="n"/>
      <c r="I23" s="39" t="n"/>
      <c r="J23" s="40" t="n"/>
      <c r="K23" s="40" t="n"/>
      <c r="L23" s="40" t="n"/>
      <c r="M23" s="40" t="n"/>
      <c r="N23" s="39" t="n"/>
      <c r="O23" s="40" t="n"/>
      <c r="P23" s="40" t="n"/>
      <c r="Q23" s="40" t="n"/>
      <c r="R23" s="40" t="n"/>
      <c r="S23" s="39" t="n"/>
      <c r="T23" s="40" t="n"/>
      <c r="U23" s="40" t="n"/>
      <c r="V23" s="40" t="n"/>
      <c r="W23" s="40" t="n"/>
      <c r="X23" s="39" t="n"/>
      <c r="Y23" s="40" t="n"/>
      <c r="Z23" s="40" t="n"/>
      <c r="AA23" s="40" t="n"/>
      <c r="AB23" s="40" t="n"/>
      <c r="AC23" s="41" t="n"/>
      <c r="AD23" s="41" t="n"/>
      <c r="AE23" s="39" t="n"/>
      <c r="AF23" s="41" t="n"/>
      <c r="AG23" s="41" t="n"/>
      <c r="AH23" s="41" t="n"/>
      <c r="AI23" s="39" t="n"/>
      <c r="AJ23" s="39" t="n"/>
      <c r="AK23" s="41" t="n"/>
      <c r="AL23" s="41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2" t="str">
        <f>IF(B23="","",C23&amp;"|"&amp;B23)</f>
        <v/>
      </c>
      <c r="AY23" s="43" t="str">
        <f>IF(B23="","",COUNTIFS(PIER_FORCES!$O$9:$O$3008,13,PIER_FORCES!$P$9:$P$3008,1))</f>
        <v/>
      </c>
      <c r="AZ23" s="43" t="str">
        <f>IF(B23="","",COUNTIFS(PIER_FORCES!$O$9:$O$3008,13,PIER_FORCES!$P$9:$P$3008,2))</f>
        <v/>
      </c>
      <c r="BA23" s="44">
        <f>IF(N(AY23)=0,0,SUMPRODUCT(MAX((PIER_FORCES!$O$9:$O$3008=13)*(PIER_FORCES!$P$9:$P$3008=1)*PIER_FORCES!$R$9:$R$3008)))</f>
        <v>0</v>
      </c>
      <c r="BB23" s="44">
        <f>IF(N(AY23)=0,0,SUMPRODUCT(MAX((PIER_FORCES!$O$9:$O$3008=13)*(PIER_FORCES!$P$9:$P$3008=1)*PIER_FORCES!$S$9:$S$3008)))</f>
        <v>0</v>
      </c>
      <c r="BC23" s="44">
        <f>IF(N(AY23)=0,0,-SUMPRODUCT(MAX((PIER_FORCES!$O$9:$O$3008=13)*(PIER_FORCES!$P$9:$P$3008=1)*(-PIER_FORCES!$Q$9:$Q$3008)+(1-(PIER_FORCES!$O$9:$O$3008=13)*(PIER_FORCES!$P$9:$P$3008=1))*(-1E9))))</f>
        <v>0</v>
      </c>
      <c r="BD23" s="44">
        <f>IF(N(AY23)=0,0,SUMPRODUCT(MAX((PIER_FORCES!$O$9:$O$3008=13)*(PIER_FORCES!$P$9:$P$3008=1)*PIER_FORCES!$Q$9:$Q$3008+(1-(PIER_FORCES!$O$9:$O$3008=13)*(PIER_FORCES!$P$9:$P$3008=1))*(-1E9))))</f>
        <v>0</v>
      </c>
      <c r="BE23" s="44">
        <f>IF(N(AZ23)=0,BD23,SUMPRODUCT(MAX((PIER_FORCES!$O$9:$O$3008=13)*(PIER_FORCES!$P$9:$P$3008=2)*PIER_FORCES!$Q$9:$Q$3008+(1-(PIER_FORCES!$O$9:$O$3008=13)*(PIER_FORCES!$P$9:$P$3008=2))*(-1E9))))</f>
        <v>0</v>
      </c>
      <c r="BF23" s="44">
        <f>IF(N(AZ23)=0,0,SUMPRODUCT(MAX((PIER_FORCES!$O$9:$O$3008=13)*(PIER_FORCES!$P$9:$P$3008=2)*PIER_FORCES!$R$9:$R$3008)))</f>
        <v>0</v>
      </c>
      <c r="BG23" s="43">
        <f>IF(N(AY23)=0,0,SUMPRODUCT(MAX((PIER_FORCES!$O$9:$O$3008=13)*(PIER_FORCES!$P$9:$P$3008=1)*(ABS(PIER_FORCES!$R$9:$R$3008-BA23)&lt;0.000001)*PIER_FORCES!$T$9:$T$3008)))</f>
        <v>0</v>
      </c>
      <c r="BH23" s="45" t="str">
        <f>IF(N(BG23)=0,"",INDEX(PIER_FORCES!$D$9:$D$3008,BG23)&amp;" "&amp;INDEX(PIER_FORCES!$F$9:$F$3008,BG23)&amp;" / "&amp;INDEX(PIER_FORCES!$G$9:$G$3008,BG23))</f>
        <v/>
      </c>
      <c r="BI23" s="42" t="str">
        <f>IF(B23="","",IF(AND(C23&lt;&gt;"",OR(D23="X",D23="Y"),ISNUMBER(F23),N(F23)&gt;0),"SÍ","NO"))</f>
        <v/>
      </c>
      <c r="BJ23" s="42" t="str">
        <f>IF(BI23&lt;&gt;"SÍ","",IF(DATOS!$C$108="ETABS (PIER_FORCES)",IF(N(AY23)&gt;0,"ETABS","NO ESTÁ EN PIER_FORCES"),"CAPTURA"))</f>
        <v/>
      </c>
      <c r="BK23" s="46" t="str">
        <f>IF(BI23&lt;&gt;"SÍ","",IF(BJ23="ETABS",BA23,IF(BJ23="CAPTURA",N(AQ23),0)))</f>
        <v/>
      </c>
      <c r="BL23" s="46" t="str">
        <f>IF(BI23&lt;&gt;"SÍ","",IF(BJ23="ETABS",BB23,IF(BJ23="CAPTURA",N(AR23),0)))</f>
        <v/>
      </c>
      <c r="BM23" s="46" t="str">
        <f>IF(BI23&lt;&gt;"SÍ","",IF(BJ23="ETABS",BC23/DATOS!$C$89,IF(BJ23="CAPTURA",N(AS23),0)))</f>
        <v/>
      </c>
      <c r="BN23" s="44" t="str">
        <f>IF(BI23&lt;&gt;"SÍ","",IF(BJ23="ETABS",BC23,IF(BJ23="CAPTURA",IF(ISNUMBER(AU23),AU23,N(AS23)*DATOS!$C$89),0)))</f>
        <v/>
      </c>
      <c r="BO23" s="44" t="str">
        <f>IF(BI23&lt;&gt;"SÍ","",IF(BJ23="ETABS",MAX(BD23,BE23),IF(BJ23="CAPTURA",N(AT23),0)))</f>
        <v/>
      </c>
      <c r="BP23" s="44" t="str">
        <f>IF(BI23&lt;&gt;"SÍ","",IF(BJ23="ETABS",BE23,IF(BJ23="CAPTURA",IF(ISNUMBER(AV23),AV23,N(AT23)),0)))</f>
        <v/>
      </c>
      <c r="BQ23" s="44" t="str">
        <f>IF(BI23&lt;&gt;"SÍ","",IF(BJ23="ETABS",BF23,IF(BJ23="CAPTURA",N(AW23),0)))</f>
        <v/>
      </c>
      <c r="BR23" s="43" t="str">
        <f>IF(BI23&lt;&gt;"SÍ","",IF(BK23&gt;0,100*BQ23/BK23,0))</f>
        <v/>
      </c>
      <c r="BS23" s="44" t="str">
        <f>IF(BI23&lt;&gt;"SÍ","",IF(ISNUMBER(G23),G23,DATOS!$C$57))</f>
        <v/>
      </c>
      <c r="BT23" s="47" t="str">
        <f>IF(BI23&lt;&gt;"SÍ","",IF(ISNUMBER(H23),H23,DATOS!$C$58))</f>
        <v/>
      </c>
      <c r="BU23" s="43" t="str">
        <f>IF(BI23&lt;&gt;"SÍ","",IF(N(K23)&gt;0,1+IF(N(P23)&gt;0,1+IF(N(U23)&gt;0,1+IF(N(Z23)&gt;0,1,0),0),0),0))</f>
        <v/>
      </c>
      <c r="BV23" s="45" t="str">
        <f>IF(BI23&lt;&gt;"SÍ","",IF(AND(OR(BU23&lt;1,AND(N(J23)&gt;=0-0.001,J23+K23&lt;=F23+0.001,N(L23)&gt;=0,N(L23)+N(M23)&lt;=BS23+0.001,N(M23)&gt;0,OR(I23="PUERTA",I23="VENTANA"))),OR(BU23&lt;2,AND(N(O23)&gt;=(J23+K23)-0.001,O23+P23&lt;=F23+0.001,N(Q23)&gt;=0,N(Q23)+N(R23)&lt;=BS23+0.001,N(R23)&gt;0,OR(N23="PUERTA",N23="VENTANA"))),OR(BU23&lt;3,AND(N(T23)&gt;=(O23+P23)-0.001,T23+U23&lt;=F23+0.001,N(V23)&gt;=0,N(V23)+N(W23)&lt;=BS23+0.001,N(W23)&gt;0,OR(S23="PUERTA",S23="VENTANA"))),OR(BU23&lt;4,AND(N(Y23)&gt;=(T23+U23)-0.001,Y23+Z23&lt;=F23+0.001,N(AA23)&gt;=0,N(AA23)+N(AB23)&lt;=BS23+0.001,N(AB23)&gt;0,OR(X23="PUERTA",X23="VENTANA"))),(N(K23)&gt;0)+(N(P23)&gt;0)+(N(U23)&gt;0)+(N(Z23)&gt;0)=BU23),"CUMPLE","REVISAR VANOS: tipo, orden de izquierda a derecha, que quepan en L y en H"))</f>
        <v/>
      </c>
      <c r="BW23" s="44" t="str">
        <f>IF(BI23&lt;&gt;"SÍ","",MAX(0,IF(BU23&gt;=1,N(J23),F23)))</f>
        <v/>
      </c>
      <c r="BX23" s="44" t="str">
        <f>IF(BI23&lt;&gt;"SÍ","",MAX(0,IF(BU23&gt;=2,N(O23)-(N(J23)+N(K23)),IF(BU23=1,F23-(N(J23)+N(K23)),0))))</f>
        <v/>
      </c>
      <c r="BY23" s="44" t="str">
        <f>IF(BI23&lt;&gt;"SÍ","",MAX(0,IF(BU23&gt;=3,N(T23)-(N(O23)+N(P23)),IF(BU23=2,F23-(N(O23)+N(P23)),0))))</f>
        <v/>
      </c>
      <c r="BZ23" s="44" t="str">
        <f>IF(BI23&lt;&gt;"SÍ","",MAX(0,IF(BU23&gt;=4,N(Y23)-(N(T23)+N(U23)),IF(BU23=3,F23-(N(T23)+N(U23)),0))))</f>
        <v/>
      </c>
      <c r="CA23" s="44" t="str">
        <f>IF(BI23&lt;&gt;"SÍ","",MAX(0,IF(BU23=4,F23-(N(Y23)+N(Z23)),0)))</f>
        <v/>
      </c>
      <c r="CB23" s="46" t="str">
        <f>IF(BI23&lt;&gt;"SÍ","",SUMPRODUCT((BW23:CA23&gt;=DATOS!$C$72-0.0001)*BW23:CA23))</f>
        <v/>
      </c>
      <c r="CC23" s="43" t="str">
        <f>IF(BI23&lt;&gt;"SÍ","",SUMPRODUCT(--(BW23:CA23&gt;=DATOS!$C$72-0.0001)))</f>
        <v/>
      </c>
      <c r="CD23" s="44" t="str">
        <f>IF(BI23&lt;&gt;"SÍ","",SUM(BW23:CA23))</f>
        <v/>
      </c>
      <c r="CE23" s="43" t="str">
        <f>IF(BI23&lt;&gt;"SÍ","",BT23*CB23*100)</f>
        <v/>
      </c>
      <c r="CF23" s="43" t="str">
        <f>IF(BI23&lt;&gt;"SÍ","",BT23*CD23*100)</f>
        <v/>
      </c>
      <c r="CG23" s="47" t="str">
        <f>IF(BI23&lt;&gt;"SÍ","",BS23*100/BT23)</f>
        <v/>
      </c>
      <c r="CH23" s="45" t="str">
        <f>IF(BI23&lt;&gt;"SÍ","",IF(AND(OR(DATOS!$C$14="TIPO II",BT23&gt;=12),CG23&lt;=25),"CUMPLE","NO CUMPLE: "&amp;IF(AND(DATOS!$C$14="TIPO I",BT23&lt;12),"t &lt; 12 cm ","")&amp;IF(CG23&gt;25,"H/t &gt; 25","")))</f>
        <v/>
      </c>
      <c r="CI23" s="44" t="str">
        <f>IF(BI23&lt;&gt;"SÍ","",MIN(1.5*BS23,4))</f>
        <v/>
      </c>
      <c r="CJ23" s="43" t="str">
        <f>IF(BI23&lt;&gt;"SÍ","",SUMPRODUCT((BW23:CA23&gt;=2*DATOS!$C$59/100)*INT((BW23:CA23-DATOS!$C$59/100)/CI23-0.000001)*((BW23:CA23-DATOS!$C$59/100)&gt;0)))</f>
        <v/>
      </c>
      <c r="CK23" s="43" t="str">
        <f>IF(BI23&lt;&gt;"SÍ","",SUMPRODUCT((BW23:CA23&gt;0.0001)*1+(BW23:CA23&gt;=2*DATOS!$C$59/100)*1)+CJ23)</f>
        <v/>
      </c>
      <c r="CL23" s="44" t="str">
        <f>IF(BI23&lt;&gt;"SÍ","",IF(ISNUMBER(AC23),AC23,DATOS!$C$61)*INDEX(TABLAS!$D$6:$D$14,MATCH(IF(AD23&lt;&gt;"",AD23,DATOS!$C$62),TABLAS!$B$6:$B$14,0)))</f>
        <v/>
      </c>
      <c r="CM23" s="44" t="str">
        <f>IF(BI23&lt;&gt;"SÍ","",CK23*DATOS!$C$78+IF(CK23&gt;=2,2,CK23)*(CL23-DATOS!$C$78))</f>
        <v/>
      </c>
      <c r="CN23" s="47" t="str">
        <f>IF(BI23&lt;&gt;"SÍ","",MAX(BS23*100/6,40))</f>
        <v/>
      </c>
      <c r="CO23" s="48" t="str">
        <f>IF(BI23&lt;&gt;"SÍ","",IF(CG23&lt;=20,IF(E23="INTERIOR",0.7,0.6),MIN(IF(E23="INTERIOR",0.7,0.6),(1-2/24)*(1-(IF(E23="INTERIOR",0.8,1)*CG23/30)^2))))</f>
        <v/>
      </c>
      <c r="CP23" s="47" t="str">
        <f>IF(BI23&lt;&gt;"SÍ","",DATOS!$C$87*CO23*(DATOS!$C$33*CF23+CM23*DATOS!$C$48)/1000)</f>
        <v/>
      </c>
      <c r="CQ23" s="46" t="str">
        <f>IF(BI23&lt;&gt;"SÍ","",IF(CP23&gt;0,BO23/CP23,99))</f>
        <v/>
      </c>
      <c r="CR23" s="47" t="str">
        <f>IF(BI23&lt;&gt;"SÍ","",MAX(0,F23*100-DATOS!$C$59))</f>
        <v/>
      </c>
      <c r="CS23" s="47" t="str">
        <f>IF(BI23&lt;&gt;"SÍ","",MAX(0,F23*100-DATOS!$C$59/2))</f>
        <v/>
      </c>
      <c r="CT23" s="44" t="str">
        <f>IF(BI23&lt;&gt;"SÍ","",CL23*DATOS!$C$48*CR23/100000)</f>
        <v/>
      </c>
      <c r="CU23" s="44" t="str">
        <f>IF(BI23&lt;&gt;"SÍ","",IF(BN23&lt;0,0.8*CT23*MAX(0,1+BN23/(0.8*CM23*DATOS!$C$48/1000)),IF(BN23&lt;=CP23/3,0.8*CT23+0.3*BN23*CS23/100,(1.5*0.6*CT23+0.15*CP23*CS23/100)*MAX(0,1-BN23/CP23))))</f>
        <v/>
      </c>
      <c r="CV23" s="44" t="str">
        <f>IF(BI23&lt;&gt;"SÍ","",IF(BO23&lt;0,0.8*CT23*MAX(0,1+BO23/(0.8*CM23*DATOS!$C$48/1000)),IF(BO23&lt;=CP23/3,0.8*CT23+0.3*BO23*CS23/100,(1.5*0.6*CT23+0.15*CP23*CS23/100)*MAX(0,1-BO23/CP23))))</f>
        <v/>
      </c>
      <c r="CW23" s="46" t="str">
        <f>IF(BI23&lt;&gt;"SÍ","",MAX(0,MIN(CU23,CV23)))</f>
        <v/>
      </c>
      <c r="CX23" s="49" t="str">
        <f>IF(BI23&lt;&gt;"SÍ","",IF(CW23&gt;0,BL23/CW23,IF(BL23&gt;0,99,0)))</f>
        <v/>
      </c>
      <c r="CY23" s="44" t="str">
        <f>IF(BI23&lt;&gt;"SÍ","",IF(BW23&gt;0,MAX(1,MIN(1.5,1.5-0.625*(BS23/BW23-0.2))),0))</f>
        <v/>
      </c>
      <c r="CZ23" s="44" t="str">
        <f>IF(BI23&lt;&gt;"SÍ","",IF(BX23&gt;0,MAX(1,MIN(1.5,1.5-0.625*(BS23/BX23-0.2))),0))</f>
        <v/>
      </c>
      <c r="DA23" s="44" t="str">
        <f>IF(BI23&lt;&gt;"SÍ","",IF(BY23&gt;0,MAX(1,MIN(1.5,1.5-0.625*(BS23/BY23-0.2))),0))</f>
        <v/>
      </c>
      <c r="DB23" s="44" t="str">
        <f>IF(BI23&lt;&gt;"SÍ","",IF(BZ23&gt;0,MAX(1,MIN(1.5,1.5-0.625*(BS23/BZ23-0.2))),0))</f>
        <v/>
      </c>
      <c r="DC23" s="44" t="str">
        <f>IF(BI23&lt;&gt;"SÍ","",IF(CA23&gt;0,MAX(1,MIN(1.5,1.5-0.625*(BS23/CA23-0.2))),0))</f>
        <v/>
      </c>
      <c r="DD23" s="44" t="str">
        <f>IF(BI23&lt;&gt;"SÍ","",IF(OR(BW23&lt;DATOS!$C$72-0.0001,BM23&lt;0,CB23&lt;=0),0,MIN(DATOS!$C$86*(0.5*DATOS!$C$41*BT23*BW23*100+0.3*BM23*BW23/CB23*1000)*CY23,1.5*DATOS!$C$86*DATOS!$C$41*BT23*BW23*100*CY23)/1000))</f>
        <v/>
      </c>
      <c r="DE23" s="44" t="str">
        <f>IF(BI23&lt;&gt;"SÍ","",IF(OR(BX23&lt;DATOS!$C$72-0.0001,BM23&lt;0,CB23&lt;=0),0,MIN(DATOS!$C$86*(0.5*DATOS!$C$41*BT23*BX23*100+0.3*BM23*BX23/CB23*1000)*CZ23,1.5*DATOS!$C$86*DATOS!$C$41*BT23*BX23*100*CZ23)/1000))</f>
        <v/>
      </c>
      <c r="DF23" s="44" t="str">
        <f>IF(BI23&lt;&gt;"SÍ","",IF(OR(BY23&lt;DATOS!$C$72-0.0001,BM23&lt;0,CB23&lt;=0),0,MIN(DATOS!$C$86*(0.5*DATOS!$C$41*BT23*BY23*100+0.3*BM23*BY23/CB23*1000)*DA23,1.5*DATOS!$C$86*DATOS!$C$41*BT23*BY23*100*DA23)/1000))</f>
        <v/>
      </c>
      <c r="DG23" s="44" t="str">
        <f>IF(BI23&lt;&gt;"SÍ","",IF(OR(BZ23&lt;DATOS!$C$72-0.0001,BM23&lt;0,CB23&lt;=0),0,MIN(DATOS!$C$86*(0.5*DATOS!$C$41*BT23*BZ23*100+0.3*BM23*BZ23/CB23*1000)*DB23,1.5*DATOS!$C$86*DATOS!$C$41*BT23*BZ23*100*DB23)/1000))</f>
        <v/>
      </c>
      <c r="DH23" s="44" t="str">
        <f>IF(BI23&lt;&gt;"SÍ","",IF(OR(CA23&lt;DATOS!$C$72-0.0001,BM23&lt;0,CB23&lt;=0),0,MIN(DATOS!$C$86*(0.5*DATOS!$C$41*BT23*CA23*100+0.3*BM23*CA23/CB23*1000)*DC23,1.5*DATOS!$C$86*DATOS!$C$41*BT23*CA23*100*DC23)/1000))</f>
        <v/>
      </c>
      <c r="DI23" s="46" t="str">
        <f>IF(BI23&lt;&gt;"SÍ","",SUM(DD23:DH23))</f>
        <v/>
      </c>
      <c r="DJ23" s="48" t="str">
        <f>IF(BI23&lt;&gt;"SÍ","",IF(AE23="VARILLA EN JUNTAS",IF(ISNUMBER(AF23),AF23,2)*INDEX(TABLAS!$D$6:$D$14,MATCH(IF(AG23&lt;&gt;"",AG23,DATOS!$C$73),TABLAS!$B$6:$B$14,0)),IF(AE23="MALLA",IF(ISNUMBER(AF23),AF23,1)*INDEX(TABLAS!$D$19:$D$22,MATCH(IF(AG23&lt;&gt;"",AG23,DATOS!$C$74),TABLAS!$B$19:$B$22,0))/100,IF(AE23="ESCALERILLA",IF(ISNUMBER(AF23),AF23,2)*INDEX(TABLAS!$D$6:$D$14,MATCH(IF(AG23&lt;&gt;"",AG23,DATOS!$C$73),TABLAS!$B$6:$B$14,0)),0))))</f>
        <v/>
      </c>
      <c r="DK23" s="47" t="str">
        <f>IF(BI23&lt;&gt;"SÍ","",IF(OR(AE23="VARILLA EN JUNTAS",AE23="ESCALERILLA"),IF(ISNUMBER(AH23),AH23,2)*DATOS!$C$26,IF(AE23="MALLA",1,0)))</f>
        <v/>
      </c>
      <c r="DL23" s="44" t="str">
        <f>IF(BI23&lt;&gt;"SÍ","",IF(DK23&gt;0,DJ23/(DK23*BT23)*MIN(DATOS!$C$50,IF(AE23="MALLA",5000,6000)),0))</f>
        <v/>
      </c>
      <c r="DM23" s="44" t="str">
        <f>IF(BI23&lt;&gt;"SÍ","",IF(AE23="ESCALERILLA",0,MIN(DL23,0.1*DATOS!$C$33*DATOS!$C$24)))</f>
        <v/>
      </c>
      <c r="DN23" s="48" t="str">
        <f>IF(BI23&lt;&gt;"SÍ","",IF(AE23="MALLA",0.5,IF(DATOS!$C$33&lt;=60,0.55,IF(DATOS!$C$33&gt;=90,0.75,0.55+0.2*(DATOS!$C$33-60)/30))))</f>
        <v/>
      </c>
      <c r="DO23" s="48" t="str">
        <f>IF(BI23&lt;&gt;"SÍ","",1-DATOS!$C$91*DM23)</f>
        <v/>
      </c>
      <c r="DP23" s="44" t="str">
        <f>IF(BI23&lt;&gt;"SÍ","",IF(BW23&gt;0,IF(BS23/BW23&lt;=1,1.3,IF(BS23/BW23&gt;=1.5,1,1.3-0.6*(BS23/BW23-1))),0))</f>
        <v/>
      </c>
      <c r="DQ23" s="44" t="str">
        <f>IF(BI23&lt;&gt;"SÍ","",IF(BX23&gt;0,IF(BS23/BX23&lt;=1,1.3,IF(BS23/BX23&gt;=1.5,1,1.3-0.6*(BS23/BX23-1))),0))</f>
        <v/>
      </c>
      <c r="DR23" s="44" t="str">
        <f>IF(BI23&lt;&gt;"SÍ","",IF(BY23&gt;0,IF(BS23/BY23&lt;=1,1.3,IF(BS23/BY23&gt;=1.5,1,1.3-0.6*(BS23/BY23-1))),0))</f>
        <v/>
      </c>
      <c r="DS23" s="44" t="str">
        <f>IF(BI23&lt;&gt;"SÍ","",IF(BZ23&gt;0,IF(BS23/BZ23&lt;=1,1.3,IF(BS23/BZ23&gt;=1.5,1,1.3-0.6*(BS23/BZ23-1))),0))</f>
        <v/>
      </c>
      <c r="DT23" s="44" t="str">
        <f>IF(BI23&lt;&gt;"SÍ","",IF(CA23&gt;0,IF(BS23/CA23&lt;=1,1.3,IF(BS23/CA23&gt;=1.5,1,1.3-0.6*(BS23/CA23-1))),0))</f>
        <v/>
      </c>
      <c r="DU23" s="44" t="str">
        <f>IF(BI23&lt;&gt;"SÍ","",IF(OR(DM23&lt;=0,BW23&lt;DATOS!$C$72-0.0001),0,DATOS!$C$86*MAX(0,IF(BM23&gt;=0,DD23/(DATOS!$C$86*DM23*BT23*BW23*100/1000)*(DP23*DO23-1)+DN23,DO23*DN23))*DM23*BT23*BW23*100/1000))</f>
        <v/>
      </c>
      <c r="DV23" s="44" t="str">
        <f>IF(BI23&lt;&gt;"SÍ","",IF(OR(DM23&lt;=0,BX23&lt;DATOS!$C$72-0.0001),0,DATOS!$C$86*MAX(0,IF(BM23&gt;=0,DE23/(DATOS!$C$86*DM23*BT23*BX23*100/1000)*(DQ23*DO23-1)+DN23,DO23*DN23))*DM23*BT23*BX23*100/1000))</f>
        <v/>
      </c>
      <c r="DW23" s="44" t="str">
        <f>IF(BI23&lt;&gt;"SÍ","",IF(OR(DM23&lt;=0,BY23&lt;DATOS!$C$72-0.0001),0,DATOS!$C$86*MAX(0,IF(BM23&gt;=0,DF23/(DATOS!$C$86*DM23*BT23*BY23*100/1000)*(DR23*DO23-1)+DN23,DO23*DN23))*DM23*BT23*BY23*100/1000))</f>
        <v/>
      </c>
      <c r="DX23" s="44" t="str">
        <f>IF(BI23&lt;&gt;"SÍ","",IF(OR(DM23&lt;=0,BZ23&lt;DATOS!$C$72-0.0001),0,DATOS!$C$86*MAX(0,IF(BM23&gt;=0,DG23/(DATOS!$C$86*DM23*BT23*BZ23*100/1000)*(DS23*DO23-1)+DN23,DO23*DN23))*DM23*BT23*BZ23*100/1000))</f>
        <v/>
      </c>
      <c r="DY23" s="44" t="str">
        <f>IF(BI23&lt;&gt;"SÍ","",IF(OR(DM23&lt;=0,CA23&lt;DATOS!$C$72-0.0001),0,DATOS!$C$86*MAX(0,IF(BM23&gt;=0,DH23/(DATOS!$C$86*DM23*BT23*CA23*100/1000)*(DT23*DO23-1)+DN23,DO23*DN23))*DM23*BT23*CA23*100/1000))</f>
        <v/>
      </c>
      <c r="DZ23" s="46" t="str">
        <f>IF(BI23&lt;&gt;"SÍ","",SUM(DU23:DY23))</f>
        <v/>
      </c>
      <c r="EA23" s="45" t="str">
        <f>IF(BI23&lt;&gt;"SÍ","",IF(OR(AE23="",AE23="NINGUNO"),IF(DATOS!$C$41&gt;=10,"FALTA refuerzo horizontal: v'm ≥ 10 kg/cm² (6.5.2.2)",IF(AND(BM23&lt;0,BK23&gt;0),"FALTA: P en tensión, el refuerzo debe tomar todo el cortante (6.5.1.3)","—")),IF(AE23="ESCALERILLA","NO CUENTA: la escalerilla no se permite para cortante por sismo (6.5.3.1.2)",IF(AE23="MALLA",IF(AND(DL23&gt;=2.5,DL23&lt;=MAX(0.15*DATOS!$C$33*DATOS!$C$24,2.5)),"CUMPLE","NO CUMPLE: "&amp;IF(DL23&lt;2.5,"p_h·f_yh &lt; 2.5 (6.5.4.2.4)","p_h·f_yh &gt; 0.15·f'm·f_an (6.5.4.2.4)")),IF(AND(DK23&lt;=MIN(6*DATOS!$C$26,45),DL23&gt;=3,DL23&lt;=MIN(MAX(0.15*DATOS!$C$33*DATOS!$C$24,3),0.05*DATOS!$C$25/10*MIN(DATOS!$C$50,6000)/DK23),INDEX(TABLAS!$C$6:$C$14,MATCH(IF(AG23&lt;&gt;"",AG23,DATOS!$C$73),TABLAS!$B$6:$B$14,0))&gt;=0.35,INDEX(TABLAS!$C$6:$C$14,MATCH(IF(AG23&lt;&gt;"",AG23,DATOS!$C$73),TABLAS!$B$6:$B$14,0))&lt;=0.75*DATOS!$C$25/10),"CUMPLE","NO CUMPLE: "&amp;IF(DK23&gt;MIN(6*DATOS!$C$26,45),"s_h &gt; 6 hiladas o 45 cm (6.5.3.2.1) ","")&amp;IF(DL23&lt;3,"p_h·f_yh &lt; 3 (6.5.3.3.1) ","")&amp;IF(DL23&gt;MIN(MAX(0.15*DATOS!$C$33*DATOS!$C$24,3),0.05*DATOS!$C$25/10*MIN(DATOS!$C$50,6000)/DK23),"p_h·f_yh &gt; máximo (6.5.3.3.2) ","")&amp;IF(OR(INDEX(TABLAS!$C$6:$C$14,MATCH(IF(AG23&lt;&gt;"",AG23,DATOS!$C$73),TABLAS!$B$6:$B$14,0))&lt;0.35,INDEX(TABLAS!$C$6:$C$14,MATCH(IF(AG23&lt;&gt;"",AG23,DATOS!$C$73),TABLAS!$B$6:$B$14,0))&gt;0.75*DATOS!$C$25/10),"diámetro fuera de 3.5 mm a 0.75·h_j (4.2.2.2.1)",""))))))</f>
        <v/>
      </c>
      <c r="EB23" s="46" t="str">
        <f>IF(BI23&lt;&gt;"SÍ","",DI23+DZ23)</f>
        <v/>
      </c>
      <c r="EC23" s="50" t="str">
        <f>IF(BI23&lt;&gt;"SÍ","",IF(EB23&gt;0,BK23/EB23,IF(BK23&gt;0,99,0)))</f>
        <v/>
      </c>
      <c r="ED23" s="47" t="str">
        <f>IF(BI23&lt;&gt;"SÍ","",IF(CE23&lt;=0,-1,IF(BK23&lt;=DI23,0,IF(IF(BM23&gt;=0,IF((DATOS!$C$86*IF(AE23="MALLA",0.5,IF(DATOS!$C$33&lt;=60,0.55,IF(DATOS!$C$33&gt;=90,0.75,0.55+0.2*(DATOS!$C$33-60)/30)))*CE23/1000-DATOS!$C$91*SUMPRODUCT(DP23:DT23,DD23:DH23))&lt;=0,1E9,(BK23-SUMPRODUCT(DP23:DT23,DD23:DH23))/(DATOS!$C$86*IF(AE23="MALLA",0.5,IF(DATOS!$C$33&lt;=60,0.55,IF(DATOS!$C$33&gt;=90,0.75,0.55+0.2*(DATOS!$C$33-60)/30)))*CE23/1000-DATOS!$C$91*SUMPRODUCT(DP23:DT23,DD23:DH23))),IF((1-4*DATOS!$C$91*BK23*1000/(DATOS!$C$86*IF(AE23="MALLA",0.5,IF(DATOS!$C$33&lt;=60,0.55,IF(DATOS!$C$33&gt;=90,0.75,0.55+0.2*(DATOS!$C$33-60)/30)))*MAX(CE23,1)))&lt;0,1E9,(1-SQRT((1-4*DATOS!$C$91*BK23*1000/(DATOS!$C$86*IF(AE23="MALLA",0.5,IF(DATOS!$C$33&lt;=60,0.55,IF(DATOS!$C$33&gt;=90,0.75,0.55+0.2*(DATOS!$C$33-60)/30)))*MAX(CE23,1)))))/(2*DATOS!$C$91)))&gt;0.1*DATOS!$C$33*DATOS!$C$24+0.000001,-1,MAX(IF(AE23="MALLA",2.5,3),IF(BM23&gt;=0,IF((DATOS!$C$86*IF(AE23="MALLA",0.5,IF(DATOS!$C$33&lt;=60,0.55,IF(DATOS!$C$33&gt;=90,0.75,0.55+0.2*(DATOS!$C$33-60)/30)))*CE23/1000-DATOS!$C$91*SUMPRODUCT(DP23:DT23,DD23:DH23))&lt;=0,1E9,(BK23-SUMPRODUCT(DP23:DT23,DD23:DH23))/(DATOS!$C$86*IF(AE23="MALLA",0.5,IF(DATOS!$C$33&lt;=60,0.55,IF(DATOS!$C$33&gt;=90,0.75,0.55+0.2*(DATOS!$C$33-60)/30)))*CE23/1000-DATOS!$C$91*SUMPRODUCT(DP23:DT23,DD23:DH23))),IF((1-4*DATOS!$C$91*BK23*1000/(DATOS!$C$86*IF(AE23="MALLA",0.5,IF(DATOS!$C$33&lt;=60,0.55,IF(DATOS!$C$33&gt;=90,0.75,0.55+0.2*(DATOS!$C$33-60)/30)))*MAX(CE23,1)))&lt;0,1E9,(1-SQRT((1-4*DATOS!$C$91*BK23*1000/(DATOS!$C$86*IF(AE23="MALLA",0.5,IF(DATOS!$C$33&lt;=60,0.55,IF(DATOS!$C$33&gt;=90,0.75,0.55+0.2*(DATOS!$C$33-60)/30)))*MAX(CE23,1)))))/(2*DATOS!$C$91))))))))</f>
        <v/>
      </c>
      <c r="EE23" s="45" t="str">
        <f>IF(BI23&lt;&gt;"SÍ","",IF(ED23=0,"NO REQUIERE: V_mR ≥ V_u",IF(ED23&lt;0,"NO ALCANZA con refuerzo horizontal (haría falta más de 0.1·f'm·f_an efectivo): sube v'm con ensayes, el espesor o la longitud del muro",IF(AND(OR(AE23="VARILLA EN JUNTAS",AE23="MALLA"),LEFT(EA23,6)="CUMPLE",EC23&lt;=1),"YA LO TIENE (pide p_h·f_yh ≥ "&amp;TEXT(ED23,"0.0")&amp;" kg/cm²)","p_h·f_yh ≥ "&amp;TEXT(ED23,"0.0")&amp;" kg/cm² → "&amp;IF(AND(MIN(6,FLOOR(45/DATOS!$C$26,1),FLOOR((2*INDEX(TABLAS!$D$6:$D$14,MATCH("3/16 in",TABLAS!$B$6:$B$14,0)))*MIN(DATOS!$C$50,6000)/(BT23*DATOS!$C$26*MAX(ED23,0.001)),1))&gt;=1,((2*INDEX(TABLAS!$D$6:$D$14,MATCH("3/16 in",TABLAS!$B$6:$B$14,0)))*MIN(DATOS!$C$50,6000)/(MAX(MIN(6,FLOOR(45/DATOS!$C$26,1),FLOOR((2*INDEX(TABLAS!$D$6:$D$14,MATCH("3/16 in",TABLAS!$B$6:$B$14,0)))*MIN(DATOS!$C$50,6000)/(BT23*DATOS!$C$26*MAX(ED23,0.001)),1)),1)*DATOS!$C$26*BT23))&lt;=MIN(MAX(0.15*DATOS!$C$33*DATOS!$C$24,3),0.05*DATOS!$C$25/10*MIN(DATOS!$C$50,6000)/(MIN(6,FLOOR(45/DATOS!$C$26,1),FLOOR((2*INDEX(TABLAS!$D$6:$D$14,MATCH("3/16 in",TABLAS!$B$6:$B$14,0)))*MIN(DATOS!$C$50,6000)/(BT23*DATOS!$C$26*MAX(ED23,0.001)),1))*DATOS!$C$26))),"2 alambres de 3/16"" por junta cada "&amp;MIN(6,FLOOR(45/DATOS!$C$26,1),FLOOR((2*INDEX(TABLAS!$D$6:$D$14,MATCH("3/16 in",TABLAS!$B$6:$B$14,0)))*MIN(DATOS!$C$50,6000)/(BT23*DATOS!$C$26*MAX(ED23,0.001)),1))&amp;" hilada(s) (p_h·f_yh = "&amp;TEXT(((2*INDEX(TABLAS!$D$6:$D$14,MATCH("3/16 in",TABLAS!$B$6:$B$14,0)))*MIN(DATOS!$C$50,6000)/(MAX(MIN(6,FLOOR(45/DATOS!$C$26,1),FLOOR((2*INDEX(TABLAS!$D$6:$D$14,MATCH("3/16 in",TABLAS!$B$6:$B$14,0)))*MIN(DATOS!$C$50,6000)/(BT23*DATOS!$C$26*MAX(ED23,0.001)),1)),1)*DATOS!$C$26*BT23)),"0.00")&amp;")",IF(AND(MIN(6,FLOOR(45/DATOS!$C$26,1),FLOOR((2*INDEX(TABLAS!$D$6:$D$14,MATCH("5/32 in",TABLAS!$B$6:$B$14,0)))*MIN(DATOS!$C$50,6000)/(BT23*DATOS!$C$26*MAX(ED23,0.001)),1))&gt;=1,((2*INDEX(TABLAS!$D$6:$D$14,MATCH("5/32 in",TABLAS!$B$6:$B$14,0)))*MIN(DATOS!$C$50,6000)/(MAX(MIN(6,FLOOR(45/DATOS!$C$26,1),FLOOR((2*INDEX(TABLAS!$D$6:$D$14,MATCH("5/32 in",TABLAS!$B$6:$B$14,0)))*MIN(DATOS!$C$50,6000)/(BT23*DATOS!$C$26*MAX(ED23,0.001)),1)),1)*DATOS!$C$26*BT23))&lt;=MIN(MAX(0.15*DATOS!$C$33*DATOS!$C$24,3),0.05*DATOS!$C$25/10*MIN(DATOS!$C$50,6000)/(MIN(6,FLOOR(45/DATOS!$C$26,1),FLOOR((2*INDEX(TABLAS!$D$6:$D$14,MATCH("5/32 in",TABLAS!$B$6:$B$14,0)))*MIN(DATOS!$C$50,6000)/(BT23*DATOS!$C$26*MAX(ED23,0.001)),1))*DATOS!$C$26))),"2 alambres de 5/32"" por junta cada "&amp;MIN(6,FLOOR(45/DATOS!$C$26,1),FLOOR((2*INDEX(TABLAS!$D$6:$D$14,MATCH("5/32 in",TABLAS!$B$6:$B$14,0)))*MIN(DATOS!$C$50,6000)/(BT23*DATOS!$C$26*MAX(ED23,0.001)),1))&amp;" hilada(s) (p_h·f_yh = "&amp;TEXT(((2*INDEX(TABLAS!$D$6:$D$14,MATCH("5/32 in",TABLAS!$B$6:$B$14,0)))*MIN(DATOS!$C$50,6000)/(MAX(MIN(6,FLOOR(45/DATOS!$C$26,1),FLOOR((2*INDEX(TABLAS!$D$6:$D$14,MATCH("5/32 in",TABLAS!$B$6:$B$14,0)))*MIN(DATOS!$C$50,6000)/(BT23*DATOS!$C$26*MAX(ED23,0.001)),1)),1)*DATOS!$C$26*BT23)),"0.00")&amp;")",IF(AND(MIN(6,FLOOR(45/DATOS!$C$26,1),FLOOR((1*INDEX(TABLAS!$D$6:$D$14,MATCH("3/16 in",TABLAS!$B$6:$B$14,0)))*MIN(DATOS!$C$50,6000)/(BT23*DATOS!$C$26*MAX(ED23,0.001)),1))&gt;=1,((1*INDEX(TABLAS!$D$6:$D$14,MATCH("3/16 in",TABLAS!$B$6:$B$14,0)))*MIN(DATOS!$C$50,6000)/(MAX(MIN(6,FLOOR(45/DATOS!$C$26,1),FLOOR((1*INDEX(TABLAS!$D$6:$D$14,MATCH("3/16 in",TABLAS!$B$6:$B$14,0)))*MIN(DATOS!$C$50,6000)/(BT23*DATOS!$C$26*MAX(ED23,0.001)),1)),1)*DATOS!$C$26*BT23))&lt;=MIN(MAX(0.15*DATOS!$C$33*DATOS!$C$24,3),0.05*DATOS!$C$25/10*MIN(DATOS!$C$50,6000)/(MIN(6,FLOOR(45/DATOS!$C$26,1),FLOOR((1*INDEX(TABLAS!$D$6:$D$14,MATCH("3/16 in",TABLAS!$B$6:$B$14,0)))*MIN(DATOS!$C$50,6000)/(BT23*DATOS!$C$26*MAX(ED23,0.001)),1))*DATOS!$C$26))),"1 alambre de 3/16"" por junta cada "&amp;MIN(6,FLOOR(45/DATOS!$C$26,1),FLOOR((1*INDEX(TABLAS!$D$6:$D$14,MATCH("3/16 in",TABLAS!$B$6:$B$14,0)))*MIN(DATOS!$C$50,6000)/(BT23*DATOS!$C$26*MAX(ED23,0.001)),1))&amp;" hilada(s) (p_h·f_yh = "&amp;TEXT(((1*INDEX(TABLAS!$D$6:$D$14,MATCH("3/16 in",TABLAS!$B$6:$B$14,0)))*MIN(DATOS!$C$50,6000)/(MAX(MIN(6,FLOOR(45/DATOS!$C$26,1),FLOOR((1*INDEX(TABLAS!$D$6:$D$14,MATCH("3/16 in",TABLAS!$B$6:$B$14,0)))*MIN(DATOS!$C$50,6000)/(BT23*DATOS!$C$26*MAX(ED23,0.001)),1)),1)*DATOS!$C$26*BT23)),"0.00")&amp;")",IF(AND(MIN(6,FLOOR(45/DATOS!$C$26,1),FLOOR((1*INDEX(TABLAS!$D$6:$D$14,MATCH("5/32 in",TABLAS!$B$6:$B$14,0)))*MIN(DATOS!$C$50,6000)/(BT23*DATOS!$C$26*MAX(ED23,0.001)),1))&gt;=1,((1*INDEX(TABLAS!$D$6:$D$14,MATCH("5/32 in",TABLAS!$B$6:$B$14,0)))*MIN(DATOS!$C$50,6000)/(MAX(MIN(6,FLOOR(45/DATOS!$C$26,1),FLOOR((1*INDEX(TABLAS!$D$6:$D$14,MATCH("5/32 in",TABLAS!$B$6:$B$14,0)))*MIN(DATOS!$C$50,6000)/(BT23*DATOS!$C$26*MAX(ED23,0.001)),1)),1)*DATOS!$C$26*BT23))&lt;=MIN(MAX(0.15*DATOS!$C$33*DATOS!$C$24,3),0.05*DATOS!$C$25/10*MIN(DATOS!$C$50,6000)/(MIN(6,FLOOR(45/DATOS!$C$26,1),FLOOR((1*INDEX(TABLAS!$D$6:$D$14,MATCH("5/32 in",TABLAS!$B$6:$B$14,0)))*MIN(DATOS!$C$50,6000)/(BT23*DATOS!$C$26*MAX(ED23,0.001)),1))*DATOS!$C$26))),"1 alambre de 5/32"" por junta cada "&amp;MIN(6,FLOOR(45/DATOS!$C$26,1),FLOOR((1*INDEX(TABLAS!$D$6:$D$14,MATCH("5/32 in",TABLAS!$B$6:$B$14,0)))*MIN(DATOS!$C$50,6000)/(BT23*DATOS!$C$26*MAX(ED23,0.001)),1))&amp;" hilada(s) (p_h·f_yh = "&amp;TEXT(((1*INDEX(TABLAS!$D$6:$D$14,MATCH("5/32 in",TABLAS!$B$6:$B$14,0)))*MIN(DATOS!$C$50,6000)/(MAX(MIN(6,FLOOR(45/DATOS!$C$26,1),FLOOR((1*INDEX(TABLAS!$D$6:$D$14,MATCH("5/32 in",TABLAS!$B$6:$B$14,0)))*MIN(DATOS!$C$50,6000)/(BT23*DATOS!$C$26*MAX(ED23,0.001)),1)),1)*DATOS!$C$26*BT23)),"0.00")&amp;")","ninguna combinación de 1 o 2 alambres por junta queda entre el mínimo y el máximo: revisa con malla (6.5.4)"))))))))</f>
        <v/>
      </c>
      <c r="EF23" s="43" t="str">
        <f>IF(BI23&lt;&gt;"SÍ","",IF(AI23="SÍ",N(AK23)*N(AL23)^3/12,0))</f>
        <v/>
      </c>
      <c r="EG23" s="48" t="str">
        <f>IF(BI23&lt;&gt;"SÍ","",IF(AND(AI23="SÍ",N(AM23)&gt;0),MIN(1,F23/AM23),0))</f>
        <v/>
      </c>
      <c r="EH23" s="47" t="str">
        <f>IF(BI23&lt;&gt;"SÍ","",IF(AI23="SÍ",BP23*1000/(BT23*F23*100)*BT23*(EG23^4-4*EG23^3+8*EG23),0))</f>
        <v/>
      </c>
      <c r="EI23" s="48" t="str">
        <f>IF(BI23&lt;&gt;"SÍ","",IF(AND(AI23="SÍ",EH23&gt;0),EH23/(EH23+5*N(AN23)*10),0))</f>
        <v/>
      </c>
      <c r="EJ23" s="44" t="str">
        <f>IF(BI23&lt;&gt;"SÍ","",IF(AND(AI23="SÍ",EI23&gt;0,EF23&gt;0),(DATOS!$C$43*BT23*(AM23*100)^3/(DATOS!$C$53*EF23*EI23))^0.25,0))</f>
        <v/>
      </c>
      <c r="EK23" s="44" t="str">
        <f>IF(BI23&lt;&gt;"SÍ","",IF(AI23&lt;&gt;"SÍ",0,IF(N(AM23)&lt;=F23,1,IF(MIN(1,N(AO23)/((AM23-F23)/2))&lt;=0.5,0.7+0.6*MIN(1,N(AO23)/((AM23-F23)/2)),1.5-MIN(1,N(AO23)/((AM23-F23)/2))))))</f>
        <v/>
      </c>
      <c r="EL23" s="44" t="str">
        <f>IF(BI23&lt;&gt;"SÍ","",IF(AI23&lt;&gt;"SÍ",0,MAX(1,IF(EG23&gt;=1,(1.6*EJ23-3.9),IF(EG23&lt;0.9,((3.2*EJ23-7.8)*EK23),((3.2*EJ23-7.8)*EK23)+((1.6*EJ23-3.9)-((3.2*EJ23-7.8)*EK23))*(EG23-0.9)/0.1)))))</f>
        <v/>
      </c>
      <c r="EM23" s="47" t="str">
        <f>IF(BI23&lt;&gt;"SÍ","",IF(AI23="SÍ",EL23*BP23*1000/(BT23*F23*100),0))</f>
        <v/>
      </c>
      <c r="EN23" s="47" t="str">
        <f>IF(BI23&lt;&gt;"SÍ","",IF(AND(AI23="SÍ",N(AL23)&gt;0),AM23*100/AL23,0))</f>
        <v/>
      </c>
      <c r="EO23" s="47" t="str">
        <f>IF(BI23&lt;&gt;"SÍ","",IF(AI23="SÍ",(1/15*DATOS!$C$53*N(AK23)/MAX((IF(ISNUMBER(AP23),AP23,BP23/DATOS!$C$90)*1000/(BT23*F23*100)*BT23*(EG23^4-4*EG23^3+8*EG23))+5*N(AN23)/DATOS!$C$90*10,0.001))^(1/3),0))</f>
        <v/>
      </c>
      <c r="EP23" s="45" t="str">
        <f>IF(BI23&lt;&gt;"SÍ","",IF(AI23&lt;&gt;"SÍ","—",IF(OR(N(AK23)&lt;=0,N(AL23)&lt;=0,N(AM23)&lt;=0),"REVISAR: faltan b, h o L_v de la viga",IF(AND(EM23&lt;=DATOS!$C$87*DATOS!$C$33,EN23&lt;=14,N(AL23)&gt;=25,EN23&lt;=EO23),IF(BS23/F23&lt;0.6,"PENDIENTE: H/L &lt; 0.6, falta el análisis de interacción muro–viga (4.1.18.2.1); f_CM es estimado","CUMPLE"),"NO CUMPLE: "&amp;IF(EM23&gt;DATOS!$C$87*DATOS!$C$33,"f_CM &gt; F_R·f'm ","")&amp;IF(EN23&gt;14,"L_v/h_v &gt; 14 ","")&amp;IF(N(AL23)&lt;25,"h_v &lt; 25 cm ","")&amp;IF(EN23&gt;EO23,"flecha (4.1.18.3)","")))))</f>
        <v/>
      </c>
      <c r="EQ23" s="44" t="str">
        <f>IF(BI23&lt;&gt;"SÍ","",MAX(0,F23*BS23-(N(K23)*N(M23)+N(P23)*N(R23)+N(U23)*N(W23)+N(Z23)*N(AB23))-CK23*DATOS!$C$59/100*BS23))</f>
        <v/>
      </c>
      <c r="ER23" s="48" t="str">
        <f>IF(BI23&lt;&gt;"SÍ","",CK23*DATOS!$C$59*DATOS!$C$60/10000*BS23)</f>
        <v/>
      </c>
      <c r="ES23" s="47" t="str">
        <f>IF(BI23&lt;&gt;"SÍ","",CK23*(DATOS!$C$61*(BS23+0.6)*INDEX(TABLAS!$E$6:$E$14,MATCH(DATOS!$C$62,TABLAS!$B$6:$B$14,0))+(2*ROUNDUP(CN23/DATOS!$C$65,0)+ROUNDUP(MAX(0,BS23*100-2*CN23)/DATOS!$C$64,0))*((2*(DATOS!$C$60+DATOS!$C$59-4*(DATOS!$C$66-INDEX(TABLAS!$C$6:$C$14,MATCH(DATOS!$C$63,TABLAS!$B$6:$B$14,0))))+15)/100)*INDEX(TABLAS!$E$6:$E$14,MATCH(DATOS!$C$63,TABLAS!$B$6:$B$14,0))))</f>
        <v/>
      </c>
      <c r="ET23" s="47" t="str">
        <f>IF(BI23&lt;&gt;"SÍ","",IF(OR(AE23="VARILLA EN JUNTAS",AE23="ESCALERILLA"),INT(BS23*100/MAX(DK23,1))*IF(ISNUMBER(AF23),AF23,2)*CB23*INDEX(TABLAS!$E$6:$E$14,MATCH(IF(AG23&lt;&gt;"",AG23,DATOS!$C$73),TABLAS!$B$6:$B$14,0)),IF(AE23="MALLA",IF(ISNUMBER(AF23),AF23,1)*CB23*BS23*INDEX(TABLAS!$E$19:$E$22,MATCH(IF(AG23&lt;&gt;"",AG23,DATOS!$C$74),TABLAS!$B$19:$B$22,0)),0)))</f>
        <v/>
      </c>
      <c r="EU23" s="45" t="str">
        <f>IF(BI23&lt;&gt;"SÍ","",""&amp;IF(BJ23="NO ESTÁ EN PIER_FORCES","sin fuerzas en PIER_FORCES; ","")&amp;IF(BV23&lt;&gt;"CUMPLE","vanos; ","")&amp;IF(LEFT(CH23,2)="NO","espesor o esbeltez; ","")&amp;IF(CQ23&gt;1,"compresión; ","")&amp;IF(CX23&gt;1,"flexión; ","")&amp;IF(CB23&lt;=0,"sin tramos de muro (todos son machones menores que L mín.: diséñalos como columnas o baja L mín.); ",IF(EC23&gt;1,"cortante; ",""))&amp;IF(OR(LEFT(EA23,2)="NO",LEFT(EA23,5)="FALTA"),"refuerzo horizontal; ","")&amp;IF(OR(LEFT(EP23,2)="NO",LEFT(EP23,7)="REVISAR"),"muro sobre viga; ","")&amp;IF(LEFT(DATOS!$C$81,2)="NO","castillo típico; ","")&amp;IF(LEFT(DATOS!$C$82,2)="NO","dala típica; ","")&amp;IF(AND(BT23&lt;&gt;DATOS!$C$58,DATOS!$C$60&lt;BT23),"castillo más angosto que el muro; ",""))</f>
        <v/>
      </c>
      <c r="EV23" s="45" t="str">
        <f>IF(BI23&lt;&gt;"SÍ","",""&amp;IF(LEFT(EP23,9)="PENDIENTE","análisis muro–viga (H/L &lt; 0.6); ","")&amp;IF(BR23&gt;50,"V_u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3" s="51" t="str">
        <f>IF(BI23&lt;&gt;"SÍ","",IF(EU23&lt;&gt;"","NO CUMPLE: "&amp;LEFT(EU23,LEN(EU23)-2),IF(EV23&lt;&gt;"","CUMPLE — PENDIENTE: "&amp;LEFT(EV23,LEN(EV23)-2),"CUMPLE")))</f>
        <v/>
      </c>
      <c r="EX23" s="52" t="n"/>
    </row>
    <row r="24" ht="30" customHeight="1">
      <c r="A24" s="38" t="str">
        <f>IF(B24="","",ROW()-10)</f>
        <v/>
      </c>
      <c r="B24" s="28" t="n"/>
      <c r="C24" s="39" t="n"/>
      <c r="D24" s="39" t="n"/>
      <c r="E24" s="39" t="n"/>
      <c r="F24" s="40" t="n"/>
      <c r="G24" s="40" t="n"/>
      <c r="H24" s="41" t="n"/>
      <c r="I24" s="39" t="n"/>
      <c r="J24" s="40" t="n"/>
      <c r="K24" s="40" t="n"/>
      <c r="L24" s="40" t="n"/>
      <c r="M24" s="40" t="n"/>
      <c r="N24" s="39" t="n"/>
      <c r="O24" s="40" t="n"/>
      <c r="P24" s="40" t="n"/>
      <c r="Q24" s="40" t="n"/>
      <c r="R24" s="40" t="n"/>
      <c r="S24" s="39" t="n"/>
      <c r="T24" s="40" t="n"/>
      <c r="U24" s="40" t="n"/>
      <c r="V24" s="40" t="n"/>
      <c r="W24" s="40" t="n"/>
      <c r="X24" s="39" t="n"/>
      <c r="Y24" s="40" t="n"/>
      <c r="Z24" s="40" t="n"/>
      <c r="AA24" s="40" t="n"/>
      <c r="AB24" s="40" t="n"/>
      <c r="AC24" s="41" t="n"/>
      <c r="AD24" s="41" t="n"/>
      <c r="AE24" s="39" t="n"/>
      <c r="AF24" s="41" t="n"/>
      <c r="AG24" s="41" t="n"/>
      <c r="AH24" s="41" t="n"/>
      <c r="AI24" s="39" t="n"/>
      <c r="AJ24" s="39" t="n"/>
      <c r="AK24" s="41" t="n"/>
      <c r="AL24" s="41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2" t="str">
        <f>IF(B24="","",C24&amp;"|"&amp;B24)</f>
        <v/>
      </c>
      <c r="AY24" s="43" t="str">
        <f>IF(B24="","",COUNTIFS(PIER_FORCES!$O$9:$O$3008,14,PIER_FORCES!$P$9:$P$3008,1))</f>
        <v/>
      </c>
      <c r="AZ24" s="43" t="str">
        <f>IF(B24="","",COUNTIFS(PIER_FORCES!$O$9:$O$3008,14,PIER_FORCES!$P$9:$P$3008,2))</f>
        <v/>
      </c>
      <c r="BA24" s="44">
        <f>IF(N(AY24)=0,0,SUMPRODUCT(MAX((PIER_FORCES!$O$9:$O$3008=14)*(PIER_FORCES!$P$9:$P$3008=1)*PIER_FORCES!$R$9:$R$3008)))</f>
        <v>0</v>
      </c>
      <c r="BB24" s="44">
        <f>IF(N(AY24)=0,0,SUMPRODUCT(MAX((PIER_FORCES!$O$9:$O$3008=14)*(PIER_FORCES!$P$9:$P$3008=1)*PIER_FORCES!$S$9:$S$3008)))</f>
        <v>0</v>
      </c>
      <c r="BC24" s="44">
        <f>IF(N(AY24)=0,0,-SUMPRODUCT(MAX((PIER_FORCES!$O$9:$O$3008=14)*(PIER_FORCES!$P$9:$P$3008=1)*(-PIER_FORCES!$Q$9:$Q$3008)+(1-(PIER_FORCES!$O$9:$O$3008=14)*(PIER_FORCES!$P$9:$P$3008=1))*(-1E9))))</f>
        <v>0</v>
      </c>
      <c r="BD24" s="44">
        <f>IF(N(AY24)=0,0,SUMPRODUCT(MAX((PIER_FORCES!$O$9:$O$3008=14)*(PIER_FORCES!$P$9:$P$3008=1)*PIER_FORCES!$Q$9:$Q$3008+(1-(PIER_FORCES!$O$9:$O$3008=14)*(PIER_FORCES!$P$9:$P$3008=1))*(-1E9))))</f>
        <v>0</v>
      </c>
      <c r="BE24" s="44">
        <f>IF(N(AZ24)=0,BD24,SUMPRODUCT(MAX((PIER_FORCES!$O$9:$O$3008=14)*(PIER_FORCES!$P$9:$P$3008=2)*PIER_FORCES!$Q$9:$Q$3008+(1-(PIER_FORCES!$O$9:$O$3008=14)*(PIER_FORCES!$P$9:$P$3008=2))*(-1E9))))</f>
        <v>0</v>
      </c>
      <c r="BF24" s="44">
        <f>IF(N(AZ24)=0,0,SUMPRODUCT(MAX((PIER_FORCES!$O$9:$O$3008=14)*(PIER_FORCES!$P$9:$P$3008=2)*PIER_FORCES!$R$9:$R$3008)))</f>
        <v>0</v>
      </c>
      <c r="BG24" s="43">
        <f>IF(N(AY24)=0,0,SUMPRODUCT(MAX((PIER_FORCES!$O$9:$O$3008=14)*(PIER_FORCES!$P$9:$P$3008=1)*(ABS(PIER_FORCES!$R$9:$R$3008-BA24)&lt;0.000001)*PIER_FORCES!$T$9:$T$3008)))</f>
        <v>0</v>
      </c>
      <c r="BH24" s="45" t="str">
        <f>IF(N(BG24)=0,"",INDEX(PIER_FORCES!$D$9:$D$3008,BG24)&amp;" "&amp;INDEX(PIER_FORCES!$F$9:$F$3008,BG24)&amp;" / "&amp;INDEX(PIER_FORCES!$G$9:$G$3008,BG24))</f>
        <v/>
      </c>
      <c r="BI24" s="42" t="str">
        <f>IF(B24="","",IF(AND(C24&lt;&gt;"",OR(D24="X",D24="Y"),ISNUMBER(F24),N(F24)&gt;0),"SÍ","NO"))</f>
        <v/>
      </c>
      <c r="BJ24" s="42" t="str">
        <f>IF(BI24&lt;&gt;"SÍ","",IF(DATOS!$C$108="ETABS (PIER_FORCES)",IF(N(AY24)&gt;0,"ETABS","NO ESTÁ EN PIER_FORCES"),"CAPTURA"))</f>
        <v/>
      </c>
      <c r="BK24" s="46" t="str">
        <f>IF(BI24&lt;&gt;"SÍ","",IF(BJ24="ETABS",BA24,IF(BJ24="CAPTURA",N(AQ24),0)))</f>
        <v/>
      </c>
      <c r="BL24" s="46" t="str">
        <f>IF(BI24&lt;&gt;"SÍ","",IF(BJ24="ETABS",BB24,IF(BJ24="CAPTURA",N(AR24),0)))</f>
        <v/>
      </c>
      <c r="BM24" s="46" t="str">
        <f>IF(BI24&lt;&gt;"SÍ","",IF(BJ24="ETABS",BC24/DATOS!$C$89,IF(BJ24="CAPTURA",N(AS24),0)))</f>
        <v/>
      </c>
      <c r="BN24" s="44" t="str">
        <f>IF(BI24&lt;&gt;"SÍ","",IF(BJ24="ETABS",BC24,IF(BJ24="CAPTURA",IF(ISNUMBER(AU24),AU24,N(AS24)*DATOS!$C$89),0)))</f>
        <v/>
      </c>
      <c r="BO24" s="44" t="str">
        <f>IF(BI24&lt;&gt;"SÍ","",IF(BJ24="ETABS",MAX(BD24,BE24),IF(BJ24="CAPTURA",N(AT24),0)))</f>
        <v/>
      </c>
      <c r="BP24" s="44" t="str">
        <f>IF(BI24&lt;&gt;"SÍ","",IF(BJ24="ETABS",BE24,IF(BJ24="CAPTURA",IF(ISNUMBER(AV24),AV24,N(AT24)),0)))</f>
        <v/>
      </c>
      <c r="BQ24" s="44" t="str">
        <f>IF(BI24&lt;&gt;"SÍ","",IF(BJ24="ETABS",BF24,IF(BJ24="CAPTURA",N(AW24),0)))</f>
        <v/>
      </c>
      <c r="BR24" s="43" t="str">
        <f>IF(BI24&lt;&gt;"SÍ","",IF(BK24&gt;0,100*BQ24/BK24,0))</f>
        <v/>
      </c>
      <c r="BS24" s="44" t="str">
        <f>IF(BI24&lt;&gt;"SÍ","",IF(ISNUMBER(G24),G24,DATOS!$C$57))</f>
        <v/>
      </c>
      <c r="BT24" s="47" t="str">
        <f>IF(BI24&lt;&gt;"SÍ","",IF(ISNUMBER(H24),H24,DATOS!$C$58))</f>
        <v/>
      </c>
      <c r="BU24" s="43" t="str">
        <f>IF(BI24&lt;&gt;"SÍ","",IF(N(K24)&gt;0,1+IF(N(P24)&gt;0,1+IF(N(U24)&gt;0,1+IF(N(Z24)&gt;0,1,0),0),0),0))</f>
        <v/>
      </c>
      <c r="BV24" s="45" t="str">
        <f>IF(BI24&lt;&gt;"SÍ","",IF(AND(OR(BU24&lt;1,AND(N(J24)&gt;=0-0.001,J24+K24&lt;=F24+0.001,N(L24)&gt;=0,N(L24)+N(M24)&lt;=BS24+0.001,N(M24)&gt;0,OR(I24="PUERTA",I24="VENTANA"))),OR(BU24&lt;2,AND(N(O24)&gt;=(J24+K24)-0.001,O24+P24&lt;=F24+0.001,N(Q24)&gt;=0,N(Q24)+N(R24)&lt;=BS24+0.001,N(R24)&gt;0,OR(N24="PUERTA",N24="VENTANA"))),OR(BU24&lt;3,AND(N(T24)&gt;=(O24+P24)-0.001,T24+U24&lt;=F24+0.001,N(V24)&gt;=0,N(V24)+N(W24)&lt;=BS24+0.001,N(W24)&gt;0,OR(S24="PUERTA",S24="VENTANA"))),OR(BU24&lt;4,AND(N(Y24)&gt;=(T24+U24)-0.001,Y24+Z24&lt;=F24+0.001,N(AA24)&gt;=0,N(AA24)+N(AB24)&lt;=BS24+0.001,N(AB24)&gt;0,OR(X24="PUERTA",X24="VENTANA"))),(N(K24)&gt;0)+(N(P24)&gt;0)+(N(U24)&gt;0)+(N(Z24)&gt;0)=BU24),"CUMPLE","REVISAR VANOS: tipo, orden de izquierda a derecha, que quepan en L y en H"))</f>
        <v/>
      </c>
      <c r="BW24" s="44" t="str">
        <f>IF(BI24&lt;&gt;"SÍ","",MAX(0,IF(BU24&gt;=1,N(J24),F24)))</f>
        <v/>
      </c>
      <c r="BX24" s="44" t="str">
        <f>IF(BI24&lt;&gt;"SÍ","",MAX(0,IF(BU24&gt;=2,N(O24)-(N(J24)+N(K24)),IF(BU24=1,F24-(N(J24)+N(K24)),0))))</f>
        <v/>
      </c>
      <c r="BY24" s="44" t="str">
        <f>IF(BI24&lt;&gt;"SÍ","",MAX(0,IF(BU24&gt;=3,N(T24)-(N(O24)+N(P24)),IF(BU24=2,F24-(N(O24)+N(P24)),0))))</f>
        <v/>
      </c>
      <c r="BZ24" s="44" t="str">
        <f>IF(BI24&lt;&gt;"SÍ","",MAX(0,IF(BU24&gt;=4,N(Y24)-(N(T24)+N(U24)),IF(BU24=3,F24-(N(T24)+N(U24)),0))))</f>
        <v/>
      </c>
      <c r="CA24" s="44" t="str">
        <f>IF(BI24&lt;&gt;"SÍ","",MAX(0,IF(BU24=4,F24-(N(Y24)+N(Z24)),0)))</f>
        <v/>
      </c>
      <c r="CB24" s="46" t="str">
        <f>IF(BI24&lt;&gt;"SÍ","",SUMPRODUCT((BW24:CA24&gt;=DATOS!$C$72-0.0001)*BW24:CA24))</f>
        <v/>
      </c>
      <c r="CC24" s="43" t="str">
        <f>IF(BI24&lt;&gt;"SÍ","",SUMPRODUCT(--(BW24:CA24&gt;=DATOS!$C$72-0.0001)))</f>
        <v/>
      </c>
      <c r="CD24" s="44" t="str">
        <f>IF(BI24&lt;&gt;"SÍ","",SUM(BW24:CA24))</f>
        <v/>
      </c>
      <c r="CE24" s="43" t="str">
        <f>IF(BI24&lt;&gt;"SÍ","",BT24*CB24*100)</f>
        <v/>
      </c>
      <c r="CF24" s="43" t="str">
        <f>IF(BI24&lt;&gt;"SÍ","",BT24*CD24*100)</f>
        <v/>
      </c>
      <c r="CG24" s="47" t="str">
        <f>IF(BI24&lt;&gt;"SÍ","",BS24*100/BT24)</f>
        <v/>
      </c>
      <c r="CH24" s="45" t="str">
        <f>IF(BI24&lt;&gt;"SÍ","",IF(AND(OR(DATOS!$C$14="TIPO II",BT24&gt;=12),CG24&lt;=25),"CUMPLE","NO CUMPLE: "&amp;IF(AND(DATOS!$C$14="TIPO I",BT24&lt;12),"t &lt; 12 cm ","")&amp;IF(CG24&gt;25,"H/t &gt; 25","")))</f>
        <v/>
      </c>
      <c r="CI24" s="44" t="str">
        <f>IF(BI24&lt;&gt;"SÍ","",MIN(1.5*BS24,4))</f>
        <v/>
      </c>
      <c r="CJ24" s="43" t="str">
        <f>IF(BI24&lt;&gt;"SÍ","",SUMPRODUCT((BW24:CA24&gt;=2*DATOS!$C$59/100)*INT((BW24:CA24-DATOS!$C$59/100)/CI24-0.000001)*((BW24:CA24-DATOS!$C$59/100)&gt;0)))</f>
        <v/>
      </c>
      <c r="CK24" s="43" t="str">
        <f>IF(BI24&lt;&gt;"SÍ","",SUMPRODUCT((BW24:CA24&gt;0.0001)*1+(BW24:CA24&gt;=2*DATOS!$C$59/100)*1)+CJ24)</f>
        <v/>
      </c>
      <c r="CL24" s="44" t="str">
        <f>IF(BI24&lt;&gt;"SÍ","",IF(ISNUMBER(AC24),AC24,DATOS!$C$61)*INDEX(TABLAS!$D$6:$D$14,MATCH(IF(AD24&lt;&gt;"",AD24,DATOS!$C$62),TABLAS!$B$6:$B$14,0)))</f>
        <v/>
      </c>
      <c r="CM24" s="44" t="str">
        <f>IF(BI24&lt;&gt;"SÍ","",CK24*DATOS!$C$78+IF(CK24&gt;=2,2,CK24)*(CL24-DATOS!$C$78))</f>
        <v/>
      </c>
      <c r="CN24" s="47" t="str">
        <f>IF(BI24&lt;&gt;"SÍ","",MAX(BS24*100/6,40))</f>
        <v/>
      </c>
      <c r="CO24" s="48" t="str">
        <f>IF(BI24&lt;&gt;"SÍ","",IF(CG24&lt;=20,IF(E24="INTERIOR",0.7,0.6),MIN(IF(E24="INTERIOR",0.7,0.6),(1-2/24)*(1-(IF(E24="INTERIOR",0.8,1)*CG24/30)^2))))</f>
        <v/>
      </c>
      <c r="CP24" s="47" t="str">
        <f>IF(BI24&lt;&gt;"SÍ","",DATOS!$C$87*CO24*(DATOS!$C$33*CF24+CM24*DATOS!$C$48)/1000)</f>
        <v/>
      </c>
      <c r="CQ24" s="46" t="str">
        <f>IF(BI24&lt;&gt;"SÍ","",IF(CP24&gt;0,BO24/CP24,99))</f>
        <v/>
      </c>
      <c r="CR24" s="47" t="str">
        <f>IF(BI24&lt;&gt;"SÍ","",MAX(0,F24*100-DATOS!$C$59))</f>
        <v/>
      </c>
      <c r="CS24" s="47" t="str">
        <f>IF(BI24&lt;&gt;"SÍ","",MAX(0,F24*100-DATOS!$C$59/2))</f>
        <v/>
      </c>
      <c r="CT24" s="44" t="str">
        <f>IF(BI24&lt;&gt;"SÍ","",CL24*DATOS!$C$48*CR24/100000)</f>
        <v/>
      </c>
      <c r="CU24" s="44" t="str">
        <f>IF(BI24&lt;&gt;"SÍ","",IF(BN24&lt;0,0.8*CT24*MAX(0,1+BN24/(0.8*CM24*DATOS!$C$48/1000)),IF(BN24&lt;=CP24/3,0.8*CT24+0.3*BN24*CS24/100,(1.5*0.6*CT24+0.15*CP24*CS24/100)*MAX(0,1-BN24/CP24))))</f>
        <v/>
      </c>
      <c r="CV24" s="44" t="str">
        <f>IF(BI24&lt;&gt;"SÍ","",IF(BO24&lt;0,0.8*CT24*MAX(0,1+BO24/(0.8*CM24*DATOS!$C$48/1000)),IF(BO24&lt;=CP24/3,0.8*CT24+0.3*BO24*CS24/100,(1.5*0.6*CT24+0.15*CP24*CS24/100)*MAX(0,1-BO24/CP24))))</f>
        <v/>
      </c>
      <c r="CW24" s="46" t="str">
        <f>IF(BI24&lt;&gt;"SÍ","",MAX(0,MIN(CU24,CV24)))</f>
        <v/>
      </c>
      <c r="CX24" s="49" t="str">
        <f>IF(BI24&lt;&gt;"SÍ","",IF(CW24&gt;0,BL24/CW24,IF(BL24&gt;0,99,0)))</f>
        <v/>
      </c>
      <c r="CY24" s="44" t="str">
        <f>IF(BI24&lt;&gt;"SÍ","",IF(BW24&gt;0,MAX(1,MIN(1.5,1.5-0.625*(BS24/BW24-0.2))),0))</f>
        <v/>
      </c>
      <c r="CZ24" s="44" t="str">
        <f>IF(BI24&lt;&gt;"SÍ","",IF(BX24&gt;0,MAX(1,MIN(1.5,1.5-0.625*(BS24/BX24-0.2))),0))</f>
        <v/>
      </c>
      <c r="DA24" s="44" t="str">
        <f>IF(BI24&lt;&gt;"SÍ","",IF(BY24&gt;0,MAX(1,MIN(1.5,1.5-0.625*(BS24/BY24-0.2))),0))</f>
        <v/>
      </c>
      <c r="DB24" s="44" t="str">
        <f>IF(BI24&lt;&gt;"SÍ","",IF(BZ24&gt;0,MAX(1,MIN(1.5,1.5-0.625*(BS24/BZ24-0.2))),0))</f>
        <v/>
      </c>
      <c r="DC24" s="44" t="str">
        <f>IF(BI24&lt;&gt;"SÍ","",IF(CA24&gt;0,MAX(1,MIN(1.5,1.5-0.625*(BS24/CA24-0.2))),0))</f>
        <v/>
      </c>
      <c r="DD24" s="44" t="str">
        <f>IF(BI24&lt;&gt;"SÍ","",IF(OR(BW24&lt;DATOS!$C$72-0.0001,BM24&lt;0,CB24&lt;=0),0,MIN(DATOS!$C$86*(0.5*DATOS!$C$41*BT24*BW24*100+0.3*BM24*BW24/CB24*1000)*CY24,1.5*DATOS!$C$86*DATOS!$C$41*BT24*BW24*100*CY24)/1000))</f>
        <v/>
      </c>
      <c r="DE24" s="44" t="str">
        <f>IF(BI24&lt;&gt;"SÍ","",IF(OR(BX24&lt;DATOS!$C$72-0.0001,BM24&lt;0,CB24&lt;=0),0,MIN(DATOS!$C$86*(0.5*DATOS!$C$41*BT24*BX24*100+0.3*BM24*BX24/CB24*1000)*CZ24,1.5*DATOS!$C$86*DATOS!$C$41*BT24*BX24*100*CZ24)/1000))</f>
        <v/>
      </c>
      <c r="DF24" s="44" t="str">
        <f>IF(BI24&lt;&gt;"SÍ","",IF(OR(BY24&lt;DATOS!$C$72-0.0001,BM24&lt;0,CB24&lt;=0),0,MIN(DATOS!$C$86*(0.5*DATOS!$C$41*BT24*BY24*100+0.3*BM24*BY24/CB24*1000)*DA24,1.5*DATOS!$C$86*DATOS!$C$41*BT24*BY24*100*DA24)/1000))</f>
        <v/>
      </c>
      <c r="DG24" s="44" t="str">
        <f>IF(BI24&lt;&gt;"SÍ","",IF(OR(BZ24&lt;DATOS!$C$72-0.0001,BM24&lt;0,CB24&lt;=0),0,MIN(DATOS!$C$86*(0.5*DATOS!$C$41*BT24*BZ24*100+0.3*BM24*BZ24/CB24*1000)*DB24,1.5*DATOS!$C$86*DATOS!$C$41*BT24*BZ24*100*DB24)/1000))</f>
        <v/>
      </c>
      <c r="DH24" s="44" t="str">
        <f>IF(BI24&lt;&gt;"SÍ","",IF(OR(CA24&lt;DATOS!$C$72-0.0001,BM24&lt;0,CB24&lt;=0),0,MIN(DATOS!$C$86*(0.5*DATOS!$C$41*BT24*CA24*100+0.3*BM24*CA24/CB24*1000)*DC24,1.5*DATOS!$C$86*DATOS!$C$41*BT24*CA24*100*DC24)/1000))</f>
        <v/>
      </c>
      <c r="DI24" s="46" t="str">
        <f>IF(BI24&lt;&gt;"SÍ","",SUM(DD24:DH24))</f>
        <v/>
      </c>
      <c r="DJ24" s="48" t="str">
        <f>IF(BI24&lt;&gt;"SÍ","",IF(AE24="VARILLA EN JUNTAS",IF(ISNUMBER(AF24),AF24,2)*INDEX(TABLAS!$D$6:$D$14,MATCH(IF(AG24&lt;&gt;"",AG24,DATOS!$C$73),TABLAS!$B$6:$B$14,0)),IF(AE24="MALLA",IF(ISNUMBER(AF24),AF24,1)*INDEX(TABLAS!$D$19:$D$22,MATCH(IF(AG24&lt;&gt;"",AG24,DATOS!$C$74),TABLAS!$B$19:$B$22,0))/100,IF(AE24="ESCALERILLA",IF(ISNUMBER(AF24),AF24,2)*INDEX(TABLAS!$D$6:$D$14,MATCH(IF(AG24&lt;&gt;"",AG24,DATOS!$C$73),TABLAS!$B$6:$B$14,0)),0))))</f>
        <v/>
      </c>
      <c r="DK24" s="47" t="str">
        <f>IF(BI24&lt;&gt;"SÍ","",IF(OR(AE24="VARILLA EN JUNTAS",AE24="ESCALERILLA"),IF(ISNUMBER(AH24),AH24,2)*DATOS!$C$26,IF(AE24="MALLA",1,0)))</f>
        <v/>
      </c>
      <c r="DL24" s="44" t="str">
        <f>IF(BI24&lt;&gt;"SÍ","",IF(DK24&gt;0,DJ24/(DK24*BT24)*MIN(DATOS!$C$50,IF(AE24="MALLA",5000,6000)),0))</f>
        <v/>
      </c>
      <c r="DM24" s="44" t="str">
        <f>IF(BI24&lt;&gt;"SÍ","",IF(AE24="ESCALERILLA",0,MIN(DL24,0.1*DATOS!$C$33*DATOS!$C$24)))</f>
        <v/>
      </c>
      <c r="DN24" s="48" t="str">
        <f>IF(BI24&lt;&gt;"SÍ","",IF(AE24="MALLA",0.5,IF(DATOS!$C$33&lt;=60,0.55,IF(DATOS!$C$33&gt;=90,0.75,0.55+0.2*(DATOS!$C$33-60)/30))))</f>
        <v/>
      </c>
      <c r="DO24" s="48" t="str">
        <f>IF(BI24&lt;&gt;"SÍ","",1-DATOS!$C$91*DM24)</f>
        <v/>
      </c>
      <c r="DP24" s="44" t="str">
        <f>IF(BI24&lt;&gt;"SÍ","",IF(BW24&gt;0,IF(BS24/BW24&lt;=1,1.3,IF(BS24/BW24&gt;=1.5,1,1.3-0.6*(BS24/BW24-1))),0))</f>
        <v/>
      </c>
      <c r="DQ24" s="44" t="str">
        <f>IF(BI24&lt;&gt;"SÍ","",IF(BX24&gt;0,IF(BS24/BX24&lt;=1,1.3,IF(BS24/BX24&gt;=1.5,1,1.3-0.6*(BS24/BX24-1))),0))</f>
        <v/>
      </c>
      <c r="DR24" s="44" t="str">
        <f>IF(BI24&lt;&gt;"SÍ","",IF(BY24&gt;0,IF(BS24/BY24&lt;=1,1.3,IF(BS24/BY24&gt;=1.5,1,1.3-0.6*(BS24/BY24-1))),0))</f>
        <v/>
      </c>
      <c r="DS24" s="44" t="str">
        <f>IF(BI24&lt;&gt;"SÍ","",IF(BZ24&gt;0,IF(BS24/BZ24&lt;=1,1.3,IF(BS24/BZ24&gt;=1.5,1,1.3-0.6*(BS24/BZ24-1))),0))</f>
        <v/>
      </c>
      <c r="DT24" s="44" t="str">
        <f>IF(BI24&lt;&gt;"SÍ","",IF(CA24&gt;0,IF(BS24/CA24&lt;=1,1.3,IF(BS24/CA24&gt;=1.5,1,1.3-0.6*(BS24/CA24-1))),0))</f>
        <v/>
      </c>
      <c r="DU24" s="44" t="str">
        <f>IF(BI24&lt;&gt;"SÍ","",IF(OR(DM24&lt;=0,BW24&lt;DATOS!$C$72-0.0001),0,DATOS!$C$86*MAX(0,IF(BM24&gt;=0,DD24/(DATOS!$C$86*DM24*BT24*BW24*100/1000)*(DP24*DO24-1)+DN24,DO24*DN24))*DM24*BT24*BW24*100/1000))</f>
        <v/>
      </c>
      <c r="DV24" s="44" t="str">
        <f>IF(BI24&lt;&gt;"SÍ","",IF(OR(DM24&lt;=0,BX24&lt;DATOS!$C$72-0.0001),0,DATOS!$C$86*MAX(0,IF(BM24&gt;=0,DE24/(DATOS!$C$86*DM24*BT24*BX24*100/1000)*(DQ24*DO24-1)+DN24,DO24*DN24))*DM24*BT24*BX24*100/1000))</f>
        <v/>
      </c>
      <c r="DW24" s="44" t="str">
        <f>IF(BI24&lt;&gt;"SÍ","",IF(OR(DM24&lt;=0,BY24&lt;DATOS!$C$72-0.0001),0,DATOS!$C$86*MAX(0,IF(BM24&gt;=0,DF24/(DATOS!$C$86*DM24*BT24*BY24*100/1000)*(DR24*DO24-1)+DN24,DO24*DN24))*DM24*BT24*BY24*100/1000))</f>
        <v/>
      </c>
      <c r="DX24" s="44" t="str">
        <f>IF(BI24&lt;&gt;"SÍ","",IF(OR(DM24&lt;=0,BZ24&lt;DATOS!$C$72-0.0001),0,DATOS!$C$86*MAX(0,IF(BM24&gt;=0,DG24/(DATOS!$C$86*DM24*BT24*BZ24*100/1000)*(DS24*DO24-1)+DN24,DO24*DN24))*DM24*BT24*BZ24*100/1000))</f>
        <v/>
      </c>
      <c r="DY24" s="44" t="str">
        <f>IF(BI24&lt;&gt;"SÍ","",IF(OR(DM24&lt;=0,CA24&lt;DATOS!$C$72-0.0001),0,DATOS!$C$86*MAX(0,IF(BM24&gt;=0,DH24/(DATOS!$C$86*DM24*BT24*CA24*100/1000)*(DT24*DO24-1)+DN24,DO24*DN24))*DM24*BT24*CA24*100/1000))</f>
        <v/>
      </c>
      <c r="DZ24" s="46" t="str">
        <f>IF(BI24&lt;&gt;"SÍ","",SUM(DU24:DY24))</f>
        <v/>
      </c>
      <c r="EA24" s="45" t="str">
        <f>IF(BI24&lt;&gt;"SÍ","",IF(OR(AE24="",AE24="NINGUNO"),IF(DATOS!$C$41&gt;=10,"FALTA refuerzo horizontal: v'm ≥ 10 kg/cm² (6.5.2.2)",IF(AND(BM24&lt;0,BK24&gt;0),"FALTA: P en tensión, el refuerzo debe tomar todo el cortante (6.5.1.3)","—")),IF(AE24="ESCALERILLA","NO CUENTA: la escalerilla no se permite para cortante por sismo (6.5.3.1.2)",IF(AE24="MALLA",IF(AND(DL24&gt;=2.5,DL24&lt;=MAX(0.15*DATOS!$C$33*DATOS!$C$24,2.5)),"CUMPLE","NO CUMPLE: "&amp;IF(DL24&lt;2.5,"p_h·f_yh &lt; 2.5 (6.5.4.2.4)","p_h·f_yh &gt; 0.15·f'm·f_an (6.5.4.2.4)")),IF(AND(DK24&lt;=MIN(6*DATOS!$C$26,45),DL24&gt;=3,DL24&lt;=MIN(MAX(0.15*DATOS!$C$33*DATOS!$C$24,3),0.05*DATOS!$C$25/10*MIN(DATOS!$C$50,6000)/DK24),INDEX(TABLAS!$C$6:$C$14,MATCH(IF(AG24&lt;&gt;"",AG24,DATOS!$C$73),TABLAS!$B$6:$B$14,0))&gt;=0.35,INDEX(TABLAS!$C$6:$C$14,MATCH(IF(AG24&lt;&gt;"",AG24,DATOS!$C$73),TABLAS!$B$6:$B$14,0))&lt;=0.75*DATOS!$C$25/10),"CUMPLE","NO CUMPLE: "&amp;IF(DK24&gt;MIN(6*DATOS!$C$26,45),"s_h &gt; 6 hiladas o 45 cm (6.5.3.2.1) ","")&amp;IF(DL24&lt;3,"p_h·f_yh &lt; 3 (6.5.3.3.1) ","")&amp;IF(DL24&gt;MIN(MAX(0.15*DATOS!$C$33*DATOS!$C$24,3),0.05*DATOS!$C$25/10*MIN(DATOS!$C$50,6000)/DK24),"p_h·f_yh &gt; máximo (6.5.3.3.2) ","")&amp;IF(OR(INDEX(TABLAS!$C$6:$C$14,MATCH(IF(AG24&lt;&gt;"",AG24,DATOS!$C$73),TABLAS!$B$6:$B$14,0))&lt;0.35,INDEX(TABLAS!$C$6:$C$14,MATCH(IF(AG24&lt;&gt;"",AG24,DATOS!$C$73),TABLAS!$B$6:$B$14,0))&gt;0.75*DATOS!$C$25/10),"diámetro fuera de 3.5 mm a 0.75·h_j (4.2.2.2.1)",""))))))</f>
        <v/>
      </c>
      <c r="EB24" s="46" t="str">
        <f>IF(BI24&lt;&gt;"SÍ","",DI24+DZ24)</f>
        <v/>
      </c>
      <c r="EC24" s="50" t="str">
        <f>IF(BI24&lt;&gt;"SÍ","",IF(EB24&gt;0,BK24/EB24,IF(BK24&gt;0,99,0)))</f>
        <v/>
      </c>
      <c r="ED24" s="47" t="str">
        <f>IF(BI24&lt;&gt;"SÍ","",IF(CE24&lt;=0,-1,IF(BK24&lt;=DI24,0,IF(IF(BM24&gt;=0,IF((DATOS!$C$86*IF(AE24="MALLA",0.5,IF(DATOS!$C$33&lt;=60,0.55,IF(DATOS!$C$33&gt;=90,0.75,0.55+0.2*(DATOS!$C$33-60)/30)))*CE24/1000-DATOS!$C$91*SUMPRODUCT(DP24:DT24,DD24:DH24))&lt;=0,1E9,(BK24-SUMPRODUCT(DP24:DT24,DD24:DH24))/(DATOS!$C$86*IF(AE24="MALLA",0.5,IF(DATOS!$C$33&lt;=60,0.55,IF(DATOS!$C$33&gt;=90,0.75,0.55+0.2*(DATOS!$C$33-60)/30)))*CE24/1000-DATOS!$C$91*SUMPRODUCT(DP24:DT24,DD24:DH24))),IF((1-4*DATOS!$C$91*BK24*1000/(DATOS!$C$86*IF(AE24="MALLA",0.5,IF(DATOS!$C$33&lt;=60,0.55,IF(DATOS!$C$33&gt;=90,0.75,0.55+0.2*(DATOS!$C$33-60)/30)))*MAX(CE24,1)))&lt;0,1E9,(1-SQRT((1-4*DATOS!$C$91*BK24*1000/(DATOS!$C$86*IF(AE24="MALLA",0.5,IF(DATOS!$C$33&lt;=60,0.55,IF(DATOS!$C$33&gt;=90,0.75,0.55+0.2*(DATOS!$C$33-60)/30)))*MAX(CE24,1)))))/(2*DATOS!$C$91)))&gt;0.1*DATOS!$C$33*DATOS!$C$24+0.000001,-1,MAX(IF(AE24="MALLA",2.5,3),IF(BM24&gt;=0,IF((DATOS!$C$86*IF(AE24="MALLA",0.5,IF(DATOS!$C$33&lt;=60,0.55,IF(DATOS!$C$33&gt;=90,0.75,0.55+0.2*(DATOS!$C$33-60)/30)))*CE24/1000-DATOS!$C$91*SUMPRODUCT(DP24:DT24,DD24:DH24))&lt;=0,1E9,(BK24-SUMPRODUCT(DP24:DT24,DD24:DH24))/(DATOS!$C$86*IF(AE24="MALLA",0.5,IF(DATOS!$C$33&lt;=60,0.55,IF(DATOS!$C$33&gt;=90,0.75,0.55+0.2*(DATOS!$C$33-60)/30)))*CE24/1000-DATOS!$C$91*SUMPRODUCT(DP24:DT24,DD24:DH24))),IF((1-4*DATOS!$C$91*BK24*1000/(DATOS!$C$86*IF(AE24="MALLA",0.5,IF(DATOS!$C$33&lt;=60,0.55,IF(DATOS!$C$33&gt;=90,0.75,0.55+0.2*(DATOS!$C$33-60)/30)))*MAX(CE24,1)))&lt;0,1E9,(1-SQRT((1-4*DATOS!$C$91*BK24*1000/(DATOS!$C$86*IF(AE24="MALLA",0.5,IF(DATOS!$C$33&lt;=60,0.55,IF(DATOS!$C$33&gt;=90,0.75,0.55+0.2*(DATOS!$C$33-60)/30)))*MAX(CE24,1)))))/(2*DATOS!$C$91))))))))</f>
        <v/>
      </c>
      <c r="EE24" s="45" t="str">
        <f>IF(BI24&lt;&gt;"SÍ","",IF(ED24=0,"NO REQUIERE: V_mR ≥ V_u",IF(ED24&lt;0,"NO ALCANZA con refuerzo horizontal (haría falta más de 0.1·f'm·f_an efectivo): sube v'm con ensayes, el espesor o la longitud del muro",IF(AND(OR(AE24="VARILLA EN JUNTAS",AE24="MALLA"),LEFT(EA24,6)="CUMPLE",EC24&lt;=1),"YA LO TIENE (pide p_h·f_yh ≥ "&amp;TEXT(ED24,"0.0")&amp;" kg/cm²)","p_h·f_yh ≥ "&amp;TEXT(ED24,"0.0")&amp;" kg/cm² → "&amp;IF(AND(MIN(6,FLOOR(45/DATOS!$C$26,1),FLOOR((2*INDEX(TABLAS!$D$6:$D$14,MATCH("3/16 in",TABLAS!$B$6:$B$14,0)))*MIN(DATOS!$C$50,6000)/(BT24*DATOS!$C$26*MAX(ED24,0.001)),1))&gt;=1,((2*INDEX(TABLAS!$D$6:$D$14,MATCH("3/16 in",TABLAS!$B$6:$B$14,0)))*MIN(DATOS!$C$50,6000)/(MAX(MIN(6,FLOOR(45/DATOS!$C$26,1),FLOOR((2*INDEX(TABLAS!$D$6:$D$14,MATCH("3/16 in",TABLAS!$B$6:$B$14,0)))*MIN(DATOS!$C$50,6000)/(BT24*DATOS!$C$26*MAX(ED24,0.001)),1)),1)*DATOS!$C$26*BT24))&lt;=MIN(MAX(0.15*DATOS!$C$33*DATOS!$C$24,3),0.05*DATOS!$C$25/10*MIN(DATOS!$C$50,6000)/(MIN(6,FLOOR(45/DATOS!$C$26,1),FLOOR((2*INDEX(TABLAS!$D$6:$D$14,MATCH("3/16 in",TABLAS!$B$6:$B$14,0)))*MIN(DATOS!$C$50,6000)/(BT24*DATOS!$C$26*MAX(ED24,0.001)),1))*DATOS!$C$26))),"2 alambres de 3/16"" por junta cada "&amp;MIN(6,FLOOR(45/DATOS!$C$26,1),FLOOR((2*INDEX(TABLAS!$D$6:$D$14,MATCH("3/16 in",TABLAS!$B$6:$B$14,0)))*MIN(DATOS!$C$50,6000)/(BT24*DATOS!$C$26*MAX(ED24,0.001)),1))&amp;" hilada(s) (p_h·f_yh = "&amp;TEXT(((2*INDEX(TABLAS!$D$6:$D$14,MATCH("3/16 in",TABLAS!$B$6:$B$14,0)))*MIN(DATOS!$C$50,6000)/(MAX(MIN(6,FLOOR(45/DATOS!$C$26,1),FLOOR((2*INDEX(TABLAS!$D$6:$D$14,MATCH("3/16 in",TABLAS!$B$6:$B$14,0)))*MIN(DATOS!$C$50,6000)/(BT24*DATOS!$C$26*MAX(ED24,0.001)),1)),1)*DATOS!$C$26*BT24)),"0.00")&amp;")",IF(AND(MIN(6,FLOOR(45/DATOS!$C$26,1),FLOOR((2*INDEX(TABLAS!$D$6:$D$14,MATCH("5/32 in",TABLAS!$B$6:$B$14,0)))*MIN(DATOS!$C$50,6000)/(BT24*DATOS!$C$26*MAX(ED24,0.001)),1))&gt;=1,((2*INDEX(TABLAS!$D$6:$D$14,MATCH("5/32 in",TABLAS!$B$6:$B$14,0)))*MIN(DATOS!$C$50,6000)/(MAX(MIN(6,FLOOR(45/DATOS!$C$26,1),FLOOR((2*INDEX(TABLAS!$D$6:$D$14,MATCH("5/32 in",TABLAS!$B$6:$B$14,0)))*MIN(DATOS!$C$50,6000)/(BT24*DATOS!$C$26*MAX(ED24,0.001)),1)),1)*DATOS!$C$26*BT24))&lt;=MIN(MAX(0.15*DATOS!$C$33*DATOS!$C$24,3),0.05*DATOS!$C$25/10*MIN(DATOS!$C$50,6000)/(MIN(6,FLOOR(45/DATOS!$C$26,1),FLOOR((2*INDEX(TABLAS!$D$6:$D$14,MATCH("5/32 in",TABLAS!$B$6:$B$14,0)))*MIN(DATOS!$C$50,6000)/(BT24*DATOS!$C$26*MAX(ED24,0.001)),1))*DATOS!$C$26))),"2 alambres de 5/32"" por junta cada "&amp;MIN(6,FLOOR(45/DATOS!$C$26,1),FLOOR((2*INDEX(TABLAS!$D$6:$D$14,MATCH("5/32 in",TABLAS!$B$6:$B$14,0)))*MIN(DATOS!$C$50,6000)/(BT24*DATOS!$C$26*MAX(ED24,0.001)),1))&amp;" hilada(s) (p_h·f_yh = "&amp;TEXT(((2*INDEX(TABLAS!$D$6:$D$14,MATCH("5/32 in",TABLAS!$B$6:$B$14,0)))*MIN(DATOS!$C$50,6000)/(MAX(MIN(6,FLOOR(45/DATOS!$C$26,1),FLOOR((2*INDEX(TABLAS!$D$6:$D$14,MATCH("5/32 in",TABLAS!$B$6:$B$14,0)))*MIN(DATOS!$C$50,6000)/(BT24*DATOS!$C$26*MAX(ED24,0.001)),1)),1)*DATOS!$C$26*BT24)),"0.00")&amp;")",IF(AND(MIN(6,FLOOR(45/DATOS!$C$26,1),FLOOR((1*INDEX(TABLAS!$D$6:$D$14,MATCH("3/16 in",TABLAS!$B$6:$B$14,0)))*MIN(DATOS!$C$50,6000)/(BT24*DATOS!$C$26*MAX(ED24,0.001)),1))&gt;=1,((1*INDEX(TABLAS!$D$6:$D$14,MATCH("3/16 in",TABLAS!$B$6:$B$14,0)))*MIN(DATOS!$C$50,6000)/(MAX(MIN(6,FLOOR(45/DATOS!$C$26,1),FLOOR((1*INDEX(TABLAS!$D$6:$D$14,MATCH("3/16 in",TABLAS!$B$6:$B$14,0)))*MIN(DATOS!$C$50,6000)/(BT24*DATOS!$C$26*MAX(ED24,0.001)),1)),1)*DATOS!$C$26*BT24))&lt;=MIN(MAX(0.15*DATOS!$C$33*DATOS!$C$24,3),0.05*DATOS!$C$25/10*MIN(DATOS!$C$50,6000)/(MIN(6,FLOOR(45/DATOS!$C$26,1),FLOOR((1*INDEX(TABLAS!$D$6:$D$14,MATCH("3/16 in",TABLAS!$B$6:$B$14,0)))*MIN(DATOS!$C$50,6000)/(BT24*DATOS!$C$26*MAX(ED24,0.001)),1))*DATOS!$C$26))),"1 alambre de 3/16"" por junta cada "&amp;MIN(6,FLOOR(45/DATOS!$C$26,1),FLOOR((1*INDEX(TABLAS!$D$6:$D$14,MATCH("3/16 in",TABLAS!$B$6:$B$14,0)))*MIN(DATOS!$C$50,6000)/(BT24*DATOS!$C$26*MAX(ED24,0.001)),1))&amp;" hilada(s) (p_h·f_yh = "&amp;TEXT(((1*INDEX(TABLAS!$D$6:$D$14,MATCH("3/16 in",TABLAS!$B$6:$B$14,0)))*MIN(DATOS!$C$50,6000)/(MAX(MIN(6,FLOOR(45/DATOS!$C$26,1),FLOOR((1*INDEX(TABLAS!$D$6:$D$14,MATCH("3/16 in",TABLAS!$B$6:$B$14,0)))*MIN(DATOS!$C$50,6000)/(BT24*DATOS!$C$26*MAX(ED24,0.001)),1)),1)*DATOS!$C$26*BT24)),"0.00")&amp;")",IF(AND(MIN(6,FLOOR(45/DATOS!$C$26,1),FLOOR((1*INDEX(TABLAS!$D$6:$D$14,MATCH("5/32 in",TABLAS!$B$6:$B$14,0)))*MIN(DATOS!$C$50,6000)/(BT24*DATOS!$C$26*MAX(ED24,0.001)),1))&gt;=1,((1*INDEX(TABLAS!$D$6:$D$14,MATCH("5/32 in",TABLAS!$B$6:$B$14,0)))*MIN(DATOS!$C$50,6000)/(MAX(MIN(6,FLOOR(45/DATOS!$C$26,1),FLOOR((1*INDEX(TABLAS!$D$6:$D$14,MATCH("5/32 in",TABLAS!$B$6:$B$14,0)))*MIN(DATOS!$C$50,6000)/(BT24*DATOS!$C$26*MAX(ED24,0.001)),1)),1)*DATOS!$C$26*BT24))&lt;=MIN(MAX(0.15*DATOS!$C$33*DATOS!$C$24,3),0.05*DATOS!$C$25/10*MIN(DATOS!$C$50,6000)/(MIN(6,FLOOR(45/DATOS!$C$26,1),FLOOR((1*INDEX(TABLAS!$D$6:$D$14,MATCH("5/32 in",TABLAS!$B$6:$B$14,0)))*MIN(DATOS!$C$50,6000)/(BT24*DATOS!$C$26*MAX(ED24,0.001)),1))*DATOS!$C$26))),"1 alambre de 5/32"" por junta cada "&amp;MIN(6,FLOOR(45/DATOS!$C$26,1),FLOOR((1*INDEX(TABLAS!$D$6:$D$14,MATCH("5/32 in",TABLAS!$B$6:$B$14,0)))*MIN(DATOS!$C$50,6000)/(BT24*DATOS!$C$26*MAX(ED24,0.001)),1))&amp;" hilada(s) (p_h·f_yh = "&amp;TEXT(((1*INDEX(TABLAS!$D$6:$D$14,MATCH("5/32 in",TABLAS!$B$6:$B$14,0)))*MIN(DATOS!$C$50,6000)/(MAX(MIN(6,FLOOR(45/DATOS!$C$26,1),FLOOR((1*INDEX(TABLAS!$D$6:$D$14,MATCH("5/32 in",TABLAS!$B$6:$B$14,0)))*MIN(DATOS!$C$50,6000)/(BT24*DATOS!$C$26*MAX(ED24,0.001)),1)),1)*DATOS!$C$26*BT24)),"0.00")&amp;")","ninguna combinación de 1 o 2 alambres por junta queda entre el mínimo y el máximo: revisa con malla (6.5.4)"))))))))</f>
        <v/>
      </c>
      <c r="EF24" s="43" t="str">
        <f>IF(BI24&lt;&gt;"SÍ","",IF(AI24="SÍ",N(AK24)*N(AL24)^3/12,0))</f>
        <v/>
      </c>
      <c r="EG24" s="48" t="str">
        <f>IF(BI24&lt;&gt;"SÍ","",IF(AND(AI24="SÍ",N(AM24)&gt;0),MIN(1,F24/AM24),0))</f>
        <v/>
      </c>
      <c r="EH24" s="47" t="str">
        <f>IF(BI24&lt;&gt;"SÍ","",IF(AI24="SÍ",BP24*1000/(BT24*F24*100)*BT24*(EG24^4-4*EG24^3+8*EG24),0))</f>
        <v/>
      </c>
      <c r="EI24" s="48" t="str">
        <f>IF(BI24&lt;&gt;"SÍ","",IF(AND(AI24="SÍ",EH24&gt;0),EH24/(EH24+5*N(AN24)*10),0))</f>
        <v/>
      </c>
      <c r="EJ24" s="44" t="str">
        <f>IF(BI24&lt;&gt;"SÍ","",IF(AND(AI24="SÍ",EI24&gt;0,EF24&gt;0),(DATOS!$C$43*BT24*(AM24*100)^3/(DATOS!$C$53*EF24*EI24))^0.25,0))</f>
        <v/>
      </c>
      <c r="EK24" s="44" t="str">
        <f>IF(BI24&lt;&gt;"SÍ","",IF(AI24&lt;&gt;"SÍ",0,IF(N(AM24)&lt;=F24,1,IF(MIN(1,N(AO24)/((AM24-F24)/2))&lt;=0.5,0.7+0.6*MIN(1,N(AO24)/((AM24-F24)/2)),1.5-MIN(1,N(AO24)/((AM24-F24)/2))))))</f>
        <v/>
      </c>
      <c r="EL24" s="44" t="str">
        <f>IF(BI24&lt;&gt;"SÍ","",IF(AI24&lt;&gt;"SÍ",0,MAX(1,IF(EG24&gt;=1,(1.6*EJ24-3.9),IF(EG24&lt;0.9,((3.2*EJ24-7.8)*EK24),((3.2*EJ24-7.8)*EK24)+((1.6*EJ24-3.9)-((3.2*EJ24-7.8)*EK24))*(EG24-0.9)/0.1)))))</f>
        <v/>
      </c>
      <c r="EM24" s="47" t="str">
        <f>IF(BI24&lt;&gt;"SÍ","",IF(AI24="SÍ",EL24*BP24*1000/(BT24*F24*100),0))</f>
        <v/>
      </c>
      <c r="EN24" s="47" t="str">
        <f>IF(BI24&lt;&gt;"SÍ","",IF(AND(AI24="SÍ",N(AL24)&gt;0),AM24*100/AL24,0))</f>
        <v/>
      </c>
      <c r="EO24" s="47" t="str">
        <f>IF(BI24&lt;&gt;"SÍ","",IF(AI24="SÍ",(1/15*DATOS!$C$53*N(AK24)/MAX((IF(ISNUMBER(AP24),AP24,BP24/DATOS!$C$90)*1000/(BT24*F24*100)*BT24*(EG24^4-4*EG24^3+8*EG24))+5*N(AN24)/DATOS!$C$90*10,0.001))^(1/3),0))</f>
        <v/>
      </c>
      <c r="EP24" s="45" t="str">
        <f>IF(BI24&lt;&gt;"SÍ","",IF(AI24&lt;&gt;"SÍ","—",IF(OR(N(AK24)&lt;=0,N(AL24)&lt;=0,N(AM24)&lt;=0),"REVISAR: faltan b, h o L_v de la viga",IF(AND(EM24&lt;=DATOS!$C$87*DATOS!$C$33,EN24&lt;=14,N(AL24)&gt;=25,EN24&lt;=EO24),IF(BS24/F24&lt;0.6,"PENDIENTE: H/L &lt; 0.6, falta el análisis de interacción muro–viga (4.1.18.2.1); f_CM es estimado","CUMPLE"),"NO CUMPLE: "&amp;IF(EM24&gt;DATOS!$C$87*DATOS!$C$33,"f_CM &gt; F_R·f'm ","")&amp;IF(EN24&gt;14,"L_v/h_v &gt; 14 ","")&amp;IF(N(AL24)&lt;25,"h_v &lt; 25 cm ","")&amp;IF(EN24&gt;EO24,"flecha (4.1.18.3)","")))))</f>
        <v/>
      </c>
      <c r="EQ24" s="44" t="str">
        <f>IF(BI24&lt;&gt;"SÍ","",MAX(0,F24*BS24-(N(K24)*N(M24)+N(P24)*N(R24)+N(U24)*N(W24)+N(Z24)*N(AB24))-CK24*DATOS!$C$59/100*BS24))</f>
        <v/>
      </c>
      <c r="ER24" s="48" t="str">
        <f>IF(BI24&lt;&gt;"SÍ","",CK24*DATOS!$C$59*DATOS!$C$60/10000*BS24)</f>
        <v/>
      </c>
      <c r="ES24" s="47" t="str">
        <f>IF(BI24&lt;&gt;"SÍ","",CK24*(DATOS!$C$61*(BS24+0.6)*INDEX(TABLAS!$E$6:$E$14,MATCH(DATOS!$C$62,TABLAS!$B$6:$B$14,0))+(2*ROUNDUP(CN24/DATOS!$C$65,0)+ROUNDUP(MAX(0,BS24*100-2*CN24)/DATOS!$C$64,0))*((2*(DATOS!$C$60+DATOS!$C$59-4*(DATOS!$C$66-INDEX(TABLAS!$C$6:$C$14,MATCH(DATOS!$C$63,TABLAS!$B$6:$B$14,0))))+15)/100)*INDEX(TABLAS!$E$6:$E$14,MATCH(DATOS!$C$63,TABLAS!$B$6:$B$14,0))))</f>
        <v/>
      </c>
      <c r="ET24" s="47" t="str">
        <f>IF(BI24&lt;&gt;"SÍ","",IF(OR(AE24="VARILLA EN JUNTAS",AE24="ESCALERILLA"),INT(BS24*100/MAX(DK24,1))*IF(ISNUMBER(AF24),AF24,2)*CB24*INDEX(TABLAS!$E$6:$E$14,MATCH(IF(AG24&lt;&gt;"",AG24,DATOS!$C$73),TABLAS!$B$6:$B$14,0)),IF(AE24="MALLA",IF(ISNUMBER(AF24),AF24,1)*CB24*BS24*INDEX(TABLAS!$E$19:$E$22,MATCH(IF(AG24&lt;&gt;"",AG24,DATOS!$C$74),TABLAS!$B$19:$B$22,0)),0)))</f>
        <v/>
      </c>
      <c r="EU24" s="45" t="str">
        <f>IF(BI24&lt;&gt;"SÍ","",""&amp;IF(BJ24="NO ESTÁ EN PIER_FORCES","sin fuerzas en PIER_FORCES; ","")&amp;IF(BV24&lt;&gt;"CUMPLE","vanos; ","")&amp;IF(LEFT(CH24,2)="NO","espesor o esbeltez; ","")&amp;IF(CQ24&gt;1,"compresión; ","")&amp;IF(CX24&gt;1,"flexión; ","")&amp;IF(CB24&lt;=0,"sin tramos de muro (todos son machones menores que L mín.: diséñalos como columnas o baja L mín.); ",IF(EC24&gt;1,"cortante; ",""))&amp;IF(OR(LEFT(EA24,2)="NO",LEFT(EA24,5)="FALTA"),"refuerzo horizontal; ","")&amp;IF(OR(LEFT(EP24,2)="NO",LEFT(EP24,7)="REVISAR"),"muro sobre viga; ","")&amp;IF(LEFT(DATOS!$C$81,2)="NO","castillo típico; ","")&amp;IF(LEFT(DATOS!$C$82,2)="NO","dala típica; ","")&amp;IF(AND(BT24&lt;&gt;DATOS!$C$58,DATOS!$C$60&lt;BT24),"castillo más angosto que el muro; ",""))</f>
        <v/>
      </c>
      <c r="EV24" s="45" t="str">
        <f>IF(BI24&lt;&gt;"SÍ","",""&amp;IF(LEFT(EP24,9)="PENDIENTE","análisis muro–viga (H/L &lt; 0.6); ","")&amp;IF(BR24&gt;50,"V_u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4" s="51" t="str">
        <f>IF(BI24&lt;&gt;"SÍ","",IF(EU24&lt;&gt;"","NO CUMPLE: "&amp;LEFT(EU24,LEN(EU24)-2),IF(EV24&lt;&gt;"","CUMPLE — PENDIENTE: "&amp;LEFT(EV24,LEN(EV24)-2),"CUMPLE")))</f>
        <v/>
      </c>
      <c r="EX24" s="52" t="n"/>
    </row>
    <row r="25" ht="30" customHeight="1">
      <c r="A25" s="38" t="str">
        <f>IF(B25="","",ROW()-10)</f>
        <v/>
      </c>
      <c r="B25" s="28" t="n"/>
      <c r="C25" s="39" t="n"/>
      <c r="D25" s="39" t="n"/>
      <c r="E25" s="39" t="n"/>
      <c r="F25" s="40" t="n"/>
      <c r="G25" s="40" t="n"/>
      <c r="H25" s="41" t="n"/>
      <c r="I25" s="39" t="n"/>
      <c r="J25" s="40" t="n"/>
      <c r="K25" s="40" t="n"/>
      <c r="L25" s="40" t="n"/>
      <c r="M25" s="40" t="n"/>
      <c r="N25" s="39" t="n"/>
      <c r="O25" s="40" t="n"/>
      <c r="P25" s="40" t="n"/>
      <c r="Q25" s="40" t="n"/>
      <c r="R25" s="40" t="n"/>
      <c r="S25" s="39" t="n"/>
      <c r="T25" s="40" t="n"/>
      <c r="U25" s="40" t="n"/>
      <c r="V25" s="40" t="n"/>
      <c r="W25" s="40" t="n"/>
      <c r="X25" s="39" t="n"/>
      <c r="Y25" s="40" t="n"/>
      <c r="Z25" s="40" t="n"/>
      <c r="AA25" s="40" t="n"/>
      <c r="AB25" s="40" t="n"/>
      <c r="AC25" s="41" t="n"/>
      <c r="AD25" s="41" t="n"/>
      <c r="AE25" s="39" t="n"/>
      <c r="AF25" s="41" t="n"/>
      <c r="AG25" s="41" t="n"/>
      <c r="AH25" s="41" t="n"/>
      <c r="AI25" s="39" t="n"/>
      <c r="AJ25" s="39" t="n"/>
      <c r="AK25" s="41" t="n"/>
      <c r="AL25" s="41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2" t="str">
        <f>IF(B25="","",C25&amp;"|"&amp;B25)</f>
        <v/>
      </c>
      <c r="AY25" s="43" t="str">
        <f>IF(B25="","",COUNTIFS(PIER_FORCES!$O$9:$O$3008,15,PIER_FORCES!$P$9:$P$3008,1))</f>
        <v/>
      </c>
      <c r="AZ25" s="43" t="str">
        <f>IF(B25="","",COUNTIFS(PIER_FORCES!$O$9:$O$3008,15,PIER_FORCES!$P$9:$P$3008,2))</f>
        <v/>
      </c>
      <c r="BA25" s="44">
        <f>IF(N(AY25)=0,0,SUMPRODUCT(MAX((PIER_FORCES!$O$9:$O$3008=15)*(PIER_FORCES!$P$9:$P$3008=1)*PIER_FORCES!$R$9:$R$3008)))</f>
        <v>0</v>
      </c>
      <c r="BB25" s="44">
        <f>IF(N(AY25)=0,0,SUMPRODUCT(MAX((PIER_FORCES!$O$9:$O$3008=15)*(PIER_FORCES!$P$9:$P$3008=1)*PIER_FORCES!$S$9:$S$3008)))</f>
        <v>0</v>
      </c>
      <c r="BC25" s="44">
        <f>IF(N(AY25)=0,0,-SUMPRODUCT(MAX((PIER_FORCES!$O$9:$O$3008=15)*(PIER_FORCES!$P$9:$P$3008=1)*(-PIER_FORCES!$Q$9:$Q$3008)+(1-(PIER_FORCES!$O$9:$O$3008=15)*(PIER_FORCES!$P$9:$P$3008=1))*(-1E9))))</f>
        <v>0</v>
      </c>
      <c r="BD25" s="44">
        <f>IF(N(AY25)=0,0,SUMPRODUCT(MAX((PIER_FORCES!$O$9:$O$3008=15)*(PIER_FORCES!$P$9:$P$3008=1)*PIER_FORCES!$Q$9:$Q$3008+(1-(PIER_FORCES!$O$9:$O$3008=15)*(PIER_FORCES!$P$9:$P$3008=1))*(-1E9))))</f>
        <v>0</v>
      </c>
      <c r="BE25" s="44">
        <f>IF(N(AZ25)=0,BD25,SUMPRODUCT(MAX((PIER_FORCES!$O$9:$O$3008=15)*(PIER_FORCES!$P$9:$P$3008=2)*PIER_FORCES!$Q$9:$Q$3008+(1-(PIER_FORCES!$O$9:$O$3008=15)*(PIER_FORCES!$P$9:$P$3008=2))*(-1E9))))</f>
        <v>0</v>
      </c>
      <c r="BF25" s="44">
        <f>IF(N(AZ25)=0,0,SUMPRODUCT(MAX((PIER_FORCES!$O$9:$O$3008=15)*(PIER_FORCES!$P$9:$P$3008=2)*PIER_FORCES!$R$9:$R$3008)))</f>
        <v>0</v>
      </c>
      <c r="BG25" s="43">
        <f>IF(N(AY25)=0,0,SUMPRODUCT(MAX((PIER_FORCES!$O$9:$O$3008=15)*(PIER_FORCES!$P$9:$P$3008=1)*(ABS(PIER_FORCES!$R$9:$R$3008-BA25)&lt;0.000001)*PIER_FORCES!$T$9:$T$3008)))</f>
        <v>0</v>
      </c>
      <c r="BH25" s="45" t="str">
        <f>IF(N(BG25)=0,"",INDEX(PIER_FORCES!$D$9:$D$3008,BG25)&amp;" "&amp;INDEX(PIER_FORCES!$F$9:$F$3008,BG25)&amp;" / "&amp;INDEX(PIER_FORCES!$G$9:$G$3008,BG25))</f>
        <v/>
      </c>
      <c r="BI25" s="42" t="str">
        <f>IF(B25="","",IF(AND(C25&lt;&gt;"",OR(D25="X",D25="Y"),ISNUMBER(F25),N(F25)&gt;0),"SÍ","NO"))</f>
        <v/>
      </c>
      <c r="BJ25" s="42" t="str">
        <f>IF(BI25&lt;&gt;"SÍ","",IF(DATOS!$C$108="ETABS (PIER_FORCES)",IF(N(AY25)&gt;0,"ETABS","NO ESTÁ EN PIER_FORCES"),"CAPTURA"))</f>
        <v/>
      </c>
      <c r="BK25" s="46" t="str">
        <f>IF(BI25&lt;&gt;"SÍ","",IF(BJ25="ETABS",BA25,IF(BJ25="CAPTURA",N(AQ25),0)))</f>
        <v/>
      </c>
      <c r="BL25" s="46" t="str">
        <f>IF(BI25&lt;&gt;"SÍ","",IF(BJ25="ETABS",BB25,IF(BJ25="CAPTURA",N(AR25),0)))</f>
        <v/>
      </c>
      <c r="BM25" s="46" t="str">
        <f>IF(BI25&lt;&gt;"SÍ","",IF(BJ25="ETABS",BC25/DATOS!$C$89,IF(BJ25="CAPTURA",N(AS25),0)))</f>
        <v/>
      </c>
      <c r="BN25" s="44" t="str">
        <f>IF(BI25&lt;&gt;"SÍ","",IF(BJ25="ETABS",BC25,IF(BJ25="CAPTURA",IF(ISNUMBER(AU25),AU25,N(AS25)*DATOS!$C$89),0)))</f>
        <v/>
      </c>
      <c r="BO25" s="44" t="str">
        <f>IF(BI25&lt;&gt;"SÍ","",IF(BJ25="ETABS",MAX(BD25,BE25),IF(BJ25="CAPTURA",N(AT25),0)))</f>
        <v/>
      </c>
      <c r="BP25" s="44" t="str">
        <f>IF(BI25&lt;&gt;"SÍ","",IF(BJ25="ETABS",BE25,IF(BJ25="CAPTURA",IF(ISNUMBER(AV25),AV25,N(AT25)),0)))</f>
        <v/>
      </c>
      <c r="BQ25" s="44" t="str">
        <f>IF(BI25&lt;&gt;"SÍ","",IF(BJ25="ETABS",BF25,IF(BJ25="CAPTURA",N(AW25),0)))</f>
        <v/>
      </c>
      <c r="BR25" s="43" t="str">
        <f>IF(BI25&lt;&gt;"SÍ","",IF(BK25&gt;0,100*BQ25/BK25,0))</f>
        <v/>
      </c>
      <c r="BS25" s="44" t="str">
        <f>IF(BI25&lt;&gt;"SÍ","",IF(ISNUMBER(G25),G25,DATOS!$C$57))</f>
        <v/>
      </c>
      <c r="BT25" s="47" t="str">
        <f>IF(BI25&lt;&gt;"SÍ","",IF(ISNUMBER(H25),H25,DATOS!$C$58))</f>
        <v/>
      </c>
      <c r="BU25" s="43" t="str">
        <f>IF(BI25&lt;&gt;"SÍ","",IF(N(K25)&gt;0,1+IF(N(P25)&gt;0,1+IF(N(U25)&gt;0,1+IF(N(Z25)&gt;0,1,0),0),0),0))</f>
        <v/>
      </c>
      <c r="BV25" s="45" t="str">
        <f>IF(BI25&lt;&gt;"SÍ","",IF(AND(OR(BU25&lt;1,AND(N(J25)&gt;=0-0.001,J25+K25&lt;=F25+0.001,N(L25)&gt;=0,N(L25)+N(M25)&lt;=BS25+0.001,N(M25)&gt;0,OR(I25="PUERTA",I25="VENTANA"))),OR(BU25&lt;2,AND(N(O25)&gt;=(J25+K25)-0.001,O25+P25&lt;=F25+0.001,N(Q25)&gt;=0,N(Q25)+N(R25)&lt;=BS25+0.001,N(R25)&gt;0,OR(N25="PUERTA",N25="VENTANA"))),OR(BU25&lt;3,AND(N(T25)&gt;=(O25+P25)-0.001,T25+U25&lt;=F25+0.001,N(V25)&gt;=0,N(V25)+N(W25)&lt;=BS25+0.001,N(W25)&gt;0,OR(S25="PUERTA",S25="VENTANA"))),OR(BU25&lt;4,AND(N(Y25)&gt;=(T25+U25)-0.001,Y25+Z25&lt;=F25+0.001,N(AA25)&gt;=0,N(AA25)+N(AB25)&lt;=BS25+0.001,N(AB25)&gt;0,OR(X25="PUERTA",X25="VENTANA"))),(N(K25)&gt;0)+(N(P25)&gt;0)+(N(U25)&gt;0)+(N(Z25)&gt;0)=BU25),"CUMPLE","REVISAR VANOS: tipo, orden de izquierda a derecha, que quepan en L y en H"))</f>
        <v/>
      </c>
      <c r="BW25" s="44" t="str">
        <f>IF(BI25&lt;&gt;"SÍ","",MAX(0,IF(BU25&gt;=1,N(J25),F25)))</f>
        <v/>
      </c>
      <c r="BX25" s="44" t="str">
        <f>IF(BI25&lt;&gt;"SÍ","",MAX(0,IF(BU25&gt;=2,N(O25)-(N(J25)+N(K25)),IF(BU25=1,F25-(N(J25)+N(K25)),0))))</f>
        <v/>
      </c>
      <c r="BY25" s="44" t="str">
        <f>IF(BI25&lt;&gt;"SÍ","",MAX(0,IF(BU25&gt;=3,N(T25)-(N(O25)+N(P25)),IF(BU25=2,F25-(N(O25)+N(P25)),0))))</f>
        <v/>
      </c>
      <c r="BZ25" s="44" t="str">
        <f>IF(BI25&lt;&gt;"SÍ","",MAX(0,IF(BU25&gt;=4,N(Y25)-(N(T25)+N(U25)),IF(BU25=3,F25-(N(T25)+N(U25)),0))))</f>
        <v/>
      </c>
      <c r="CA25" s="44" t="str">
        <f>IF(BI25&lt;&gt;"SÍ","",MAX(0,IF(BU25=4,F25-(N(Y25)+N(Z25)),0)))</f>
        <v/>
      </c>
      <c r="CB25" s="46" t="str">
        <f>IF(BI25&lt;&gt;"SÍ","",SUMPRODUCT((BW25:CA25&gt;=DATOS!$C$72-0.0001)*BW25:CA25))</f>
        <v/>
      </c>
      <c r="CC25" s="43" t="str">
        <f>IF(BI25&lt;&gt;"SÍ","",SUMPRODUCT(--(BW25:CA25&gt;=DATOS!$C$72-0.0001)))</f>
        <v/>
      </c>
      <c r="CD25" s="44" t="str">
        <f>IF(BI25&lt;&gt;"SÍ","",SUM(BW25:CA25))</f>
        <v/>
      </c>
      <c r="CE25" s="43" t="str">
        <f>IF(BI25&lt;&gt;"SÍ","",BT25*CB25*100)</f>
        <v/>
      </c>
      <c r="CF25" s="43" t="str">
        <f>IF(BI25&lt;&gt;"SÍ","",BT25*CD25*100)</f>
        <v/>
      </c>
      <c r="CG25" s="47" t="str">
        <f>IF(BI25&lt;&gt;"SÍ","",BS25*100/BT25)</f>
        <v/>
      </c>
      <c r="CH25" s="45" t="str">
        <f>IF(BI25&lt;&gt;"SÍ","",IF(AND(OR(DATOS!$C$14="TIPO II",BT25&gt;=12),CG25&lt;=25),"CUMPLE","NO CUMPLE: "&amp;IF(AND(DATOS!$C$14="TIPO I",BT25&lt;12),"t &lt; 12 cm ","")&amp;IF(CG25&gt;25,"H/t &gt; 25","")))</f>
        <v/>
      </c>
      <c r="CI25" s="44" t="str">
        <f>IF(BI25&lt;&gt;"SÍ","",MIN(1.5*BS25,4))</f>
        <v/>
      </c>
      <c r="CJ25" s="43" t="str">
        <f>IF(BI25&lt;&gt;"SÍ","",SUMPRODUCT((BW25:CA25&gt;=2*DATOS!$C$59/100)*INT((BW25:CA25-DATOS!$C$59/100)/CI25-0.000001)*((BW25:CA25-DATOS!$C$59/100)&gt;0)))</f>
        <v/>
      </c>
      <c r="CK25" s="43" t="str">
        <f>IF(BI25&lt;&gt;"SÍ","",SUMPRODUCT((BW25:CA25&gt;0.0001)*1+(BW25:CA25&gt;=2*DATOS!$C$59/100)*1)+CJ25)</f>
        <v/>
      </c>
      <c r="CL25" s="44" t="str">
        <f>IF(BI25&lt;&gt;"SÍ","",IF(ISNUMBER(AC25),AC25,DATOS!$C$61)*INDEX(TABLAS!$D$6:$D$14,MATCH(IF(AD25&lt;&gt;"",AD25,DATOS!$C$62),TABLAS!$B$6:$B$14,0)))</f>
        <v/>
      </c>
      <c r="CM25" s="44" t="str">
        <f>IF(BI25&lt;&gt;"SÍ","",CK25*DATOS!$C$78+IF(CK25&gt;=2,2,CK25)*(CL25-DATOS!$C$78))</f>
        <v/>
      </c>
      <c r="CN25" s="47" t="str">
        <f>IF(BI25&lt;&gt;"SÍ","",MAX(BS25*100/6,40))</f>
        <v/>
      </c>
      <c r="CO25" s="48" t="str">
        <f>IF(BI25&lt;&gt;"SÍ","",IF(CG25&lt;=20,IF(E25="INTERIOR",0.7,0.6),MIN(IF(E25="INTERIOR",0.7,0.6),(1-2/24)*(1-(IF(E25="INTERIOR",0.8,1)*CG25/30)^2))))</f>
        <v/>
      </c>
      <c r="CP25" s="47" t="str">
        <f>IF(BI25&lt;&gt;"SÍ","",DATOS!$C$87*CO25*(DATOS!$C$33*CF25+CM25*DATOS!$C$48)/1000)</f>
        <v/>
      </c>
      <c r="CQ25" s="46" t="str">
        <f>IF(BI25&lt;&gt;"SÍ","",IF(CP25&gt;0,BO25/CP25,99))</f>
        <v/>
      </c>
      <c r="CR25" s="47" t="str">
        <f>IF(BI25&lt;&gt;"SÍ","",MAX(0,F25*100-DATOS!$C$59))</f>
        <v/>
      </c>
      <c r="CS25" s="47" t="str">
        <f>IF(BI25&lt;&gt;"SÍ","",MAX(0,F25*100-DATOS!$C$59/2))</f>
        <v/>
      </c>
      <c r="CT25" s="44" t="str">
        <f>IF(BI25&lt;&gt;"SÍ","",CL25*DATOS!$C$48*CR25/100000)</f>
        <v/>
      </c>
      <c r="CU25" s="44" t="str">
        <f>IF(BI25&lt;&gt;"SÍ","",IF(BN25&lt;0,0.8*CT25*MAX(0,1+BN25/(0.8*CM25*DATOS!$C$48/1000)),IF(BN25&lt;=CP25/3,0.8*CT25+0.3*BN25*CS25/100,(1.5*0.6*CT25+0.15*CP25*CS25/100)*MAX(0,1-BN25/CP25))))</f>
        <v/>
      </c>
      <c r="CV25" s="44" t="str">
        <f>IF(BI25&lt;&gt;"SÍ","",IF(BO25&lt;0,0.8*CT25*MAX(0,1+BO25/(0.8*CM25*DATOS!$C$48/1000)),IF(BO25&lt;=CP25/3,0.8*CT25+0.3*BO25*CS25/100,(1.5*0.6*CT25+0.15*CP25*CS25/100)*MAX(0,1-BO25/CP25))))</f>
        <v/>
      </c>
      <c r="CW25" s="46" t="str">
        <f>IF(BI25&lt;&gt;"SÍ","",MAX(0,MIN(CU25,CV25)))</f>
        <v/>
      </c>
      <c r="CX25" s="49" t="str">
        <f>IF(BI25&lt;&gt;"SÍ","",IF(CW25&gt;0,BL25/CW25,IF(BL25&gt;0,99,0)))</f>
        <v/>
      </c>
      <c r="CY25" s="44" t="str">
        <f>IF(BI25&lt;&gt;"SÍ","",IF(BW25&gt;0,MAX(1,MIN(1.5,1.5-0.625*(BS25/BW25-0.2))),0))</f>
        <v/>
      </c>
      <c r="CZ25" s="44" t="str">
        <f>IF(BI25&lt;&gt;"SÍ","",IF(BX25&gt;0,MAX(1,MIN(1.5,1.5-0.625*(BS25/BX25-0.2))),0))</f>
        <v/>
      </c>
      <c r="DA25" s="44" t="str">
        <f>IF(BI25&lt;&gt;"SÍ","",IF(BY25&gt;0,MAX(1,MIN(1.5,1.5-0.625*(BS25/BY25-0.2))),0))</f>
        <v/>
      </c>
      <c r="DB25" s="44" t="str">
        <f>IF(BI25&lt;&gt;"SÍ","",IF(BZ25&gt;0,MAX(1,MIN(1.5,1.5-0.625*(BS25/BZ25-0.2))),0))</f>
        <v/>
      </c>
      <c r="DC25" s="44" t="str">
        <f>IF(BI25&lt;&gt;"SÍ","",IF(CA25&gt;0,MAX(1,MIN(1.5,1.5-0.625*(BS25/CA25-0.2))),0))</f>
        <v/>
      </c>
      <c r="DD25" s="44" t="str">
        <f>IF(BI25&lt;&gt;"SÍ","",IF(OR(BW25&lt;DATOS!$C$72-0.0001,BM25&lt;0,CB25&lt;=0),0,MIN(DATOS!$C$86*(0.5*DATOS!$C$41*BT25*BW25*100+0.3*BM25*BW25/CB25*1000)*CY25,1.5*DATOS!$C$86*DATOS!$C$41*BT25*BW25*100*CY25)/1000))</f>
        <v/>
      </c>
      <c r="DE25" s="44" t="str">
        <f>IF(BI25&lt;&gt;"SÍ","",IF(OR(BX25&lt;DATOS!$C$72-0.0001,BM25&lt;0,CB25&lt;=0),0,MIN(DATOS!$C$86*(0.5*DATOS!$C$41*BT25*BX25*100+0.3*BM25*BX25/CB25*1000)*CZ25,1.5*DATOS!$C$86*DATOS!$C$41*BT25*BX25*100*CZ25)/1000))</f>
        <v/>
      </c>
      <c r="DF25" s="44" t="str">
        <f>IF(BI25&lt;&gt;"SÍ","",IF(OR(BY25&lt;DATOS!$C$72-0.0001,BM25&lt;0,CB25&lt;=0),0,MIN(DATOS!$C$86*(0.5*DATOS!$C$41*BT25*BY25*100+0.3*BM25*BY25/CB25*1000)*DA25,1.5*DATOS!$C$86*DATOS!$C$41*BT25*BY25*100*DA25)/1000))</f>
        <v/>
      </c>
      <c r="DG25" s="44" t="str">
        <f>IF(BI25&lt;&gt;"SÍ","",IF(OR(BZ25&lt;DATOS!$C$72-0.0001,BM25&lt;0,CB25&lt;=0),0,MIN(DATOS!$C$86*(0.5*DATOS!$C$41*BT25*BZ25*100+0.3*BM25*BZ25/CB25*1000)*DB25,1.5*DATOS!$C$86*DATOS!$C$41*BT25*BZ25*100*DB25)/1000))</f>
        <v/>
      </c>
      <c r="DH25" s="44" t="str">
        <f>IF(BI25&lt;&gt;"SÍ","",IF(OR(CA25&lt;DATOS!$C$72-0.0001,BM25&lt;0,CB25&lt;=0),0,MIN(DATOS!$C$86*(0.5*DATOS!$C$41*BT25*CA25*100+0.3*BM25*CA25/CB25*1000)*DC25,1.5*DATOS!$C$86*DATOS!$C$41*BT25*CA25*100*DC25)/1000))</f>
        <v/>
      </c>
      <c r="DI25" s="46" t="str">
        <f>IF(BI25&lt;&gt;"SÍ","",SUM(DD25:DH25))</f>
        <v/>
      </c>
      <c r="DJ25" s="48" t="str">
        <f>IF(BI25&lt;&gt;"SÍ","",IF(AE25="VARILLA EN JUNTAS",IF(ISNUMBER(AF25),AF25,2)*INDEX(TABLAS!$D$6:$D$14,MATCH(IF(AG25&lt;&gt;"",AG25,DATOS!$C$73),TABLAS!$B$6:$B$14,0)),IF(AE25="MALLA",IF(ISNUMBER(AF25),AF25,1)*INDEX(TABLAS!$D$19:$D$22,MATCH(IF(AG25&lt;&gt;"",AG25,DATOS!$C$74),TABLAS!$B$19:$B$22,0))/100,IF(AE25="ESCALERILLA",IF(ISNUMBER(AF25),AF25,2)*INDEX(TABLAS!$D$6:$D$14,MATCH(IF(AG25&lt;&gt;"",AG25,DATOS!$C$73),TABLAS!$B$6:$B$14,0)),0))))</f>
        <v/>
      </c>
      <c r="DK25" s="47" t="str">
        <f>IF(BI25&lt;&gt;"SÍ","",IF(OR(AE25="VARILLA EN JUNTAS",AE25="ESCALERILLA"),IF(ISNUMBER(AH25),AH25,2)*DATOS!$C$26,IF(AE25="MALLA",1,0)))</f>
        <v/>
      </c>
      <c r="DL25" s="44" t="str">
        <f>IF(BI25&lt;&gt;"SÍ","",IF(DK25&gt;0,DJ25/(DK25*BT25)*MIN(DATOS!$C$50,IF(AE25="MALLA",5000,6000)),0))</f>
        <v/>
      </c>
      <c r="DM25" s="44" t="str">
        <f>IF(BI25&lt;&gt;"SÍ","",IF(AE25="ESCALERILLA",0,MIN(DL25,0.1*DATOS!$C$33*DATOS!$C$24)))</f>
        <v/>
      </c>
      <c r="DN25" s="48" t="str">
        <f>IF(BI25&lt;&gt;"SÍ","",IF(AE25="MALLA",0.5,IF(DATOS!$C$33&lt;=60,0.55,IF(DATOS!$C$33&gt;=90,0.75,0.55+0.2*(DATOS!$C$33-60)/30))))</f>
        <v/>
      </c>
      <c r="DO25" s="48" t="str">
        <f>IF(BI25&lt;&gt;"SÍ","",1-DATOS!$C$91*DM25)</f>
        <v/>
      </c>
      <c r="DP25" s="44" t="str">
        <f>IF(BI25&lt;&gt;"SÍ","",IF(BW25&gt;0,IF(BS25/BW25&lt;=1,1.3,IF(BS25/BW25&gt;=1.5,1,1.3-0.6*(BS25/BW25-1))),0))</f>
        <v/>
      </c>
      <c r="DQ25" s="44" t="str">
        <f>IF(BI25&lt;&gt;"SÍ","",IF(BX25&gt;0,IF(BS25/BX25&lt;=1,1.3,IF(BS25/BX25&gt;=1.5,1,1.3-0.6*(BS25/BX25-1))),0))</f>
        <v/>
      </c>
      <c r="DR25" s="44" t="str">
        <f>IF(BI25&lt;&gt;"SÍ","",IF(BY25&gt;0,IF(BS25/BY25&lt;=1,1.3,IF(BS25/BY25&gt;=1.5,1,1.3-0.6*(BS25/BY25-1))),0))</f>
        <v/>
      </c>
      <c r="DS25" s="44" t="str">
        <f>IF(BI25&lt;&gt;"SÍ","",IF(BZ25&gt;0,IF(BS25/BZ25&lt;=1,1.3,IF(BS25/BZ25&gt;=1.5,1,1.3-0.6*(BS25/BZ25-1))),0))</f>
        <v/>
      </c>
      <c r="DT25" s="44" t="str">
        <f>IF(BI25&lt;&gt;"SÍ","",IF(CA25&gt;0,IF(BS25/CA25&lt;=1,1.3,IF(BS25/CA25&gt;=1.5,1,1.3-0.6*(BS25/CA25-1))),0))</f>
        <v/>
      </c>
      <c r="DU25" s="44" t="str">
        <f>IF(BI25&lt;&gt;"SÍ","",IF(OR(DM25&lt;=0,BW25&lt;DATOS!$C$72-0.0001),0,DATOS!$C$86*MAX(0,IF(BM25&gt;=0,DD25/(DATOS!$C$86*DM25*BT25*BW25*100/1000)*(DP25*DO25-1)+DN25,DO25*DN25))*DM25*BT25*BW25*100/1000))</f>
        <v/>
      </c>
      <c r="DV25" s="44" t="str">
        <f>IF(BI25&lt;&gt;"SÍ","",IF(OR(DM25&lt;=0,BX25&lt;DATOS!$C$72-0.0001),0,DATOS!$C$86*MAX(0,IF(BM25&gt;=0,DE25/(DATOS!$C$86*DM25*BT25*BX25*100/1000)*(DQ25*DO25-1)+DN25,DO25*DN25))*DM25*BT25*BX25*100/1000))</f>
        <v/>
      </c>
      <c r="DW25" s="44" t="str">
        <f>IF(BI25&lt;&gt;"SÍ","",IF(OR(DM25&lt;=0,BY25&lt;DATOS!$C$72-0.0001),0,DATOS!$C$86*MAX(0,IF(BM25&gt;=0,DF25/(DATOS!$C$86*DM25*BT25*BY25*100/1000)*(DR25*DO25-1)+DN25,DO25*DN25))*DM25*BT25*BY25*100/1000))</f>
        <v/>
      </c>
      <c r="DX25" s="44" t="str">
        <f>IF(BI25&lt;&gt;"SÍ","",IF(OR(DM25&lt;=0,BZ25&lt;DATOS!$C$72-0.0001),0,DATOS!$C$86*MAX(0,IF(BM25&gt;=0,DG25/(DATOS!$C$86*DM25*BT25*BZ25*100/1000)*(DS25*DO25-1)+DN25,DO25*DN25))*DM25*BT25*BZ25*100/1000))</f>
        <v/>
      </c>
      <c r="DY25" s="44" t="str">
        <f>IF(BI25&lt;&gt;"SÍ","",IF(OR(DM25&lt;=0,CA25&lt;DATOS!$C$72-0.0001),0,DATOS!$C$86*MAX(0,IF(BM25&gt;=0,DH25/(DATOS!$C$86*DM25*BT25*CA25*100/1000)*(DT25*DO25-1)+DN25,DO25*DN25))*DM25*BT25*CA25*100/1000))</f>
        <v/>
      </c>
      <c r="DZ25" s="46" t="str">
        <f>IF(BI25&lt;&gt;"SÍ","",SUM(DU25:DY25))</f>
        <v/>
      </c>
      <c r="EA25" s="45" t="str">
        <f>IF(BI25&lt;&gt;"SÍ","",IF(OR(AE25="",AE25="NINGUNO"),IF(DATOS!$C$41&gt;=10,"FALTA refuerzo horizontal: v'm ≥ 10 kg/cm² (6.5.2.2)",IF(AND(BM25&lt;0,BK25&gt;0),"FALTA: P en tensión, el refuerzo debe tomar todo el cortante (6.5.1.3)","—")),IF(AE25="ESCALERILLA","NO CUENTA: la escalerilla no se permite para cortante por sismo (6.5.3.1.2)",IF(AE25="MALLA",IF(AND(DL25&gt;=2.5,DL25&lt;=MAX(0.15*DATOS!$C$33*DATOS!$C$24,2.5)),"CUMPLE","NO CUMPLE: "&amp;IF(DL25&lt;2.5,"p_h·f_yh &lt; 2.5 (6.5.4.2.4)","p_h·f_yh &gt; 0.15·f'm·f_an (6.5.4.2.4)")),IF(AND(DK25&lt;=MIN(6*DATOS!$C$26,45),DL25&gt;=3,DL25&lt;=MIN(MAX(0.15*DATOS!$C$33*DATOS!$C$24,3),0.05*DATOS!$C$25/10*MIN(DATOS!$C$50,6000)/DK25),INDEX(TABLAS!$C$6:$C$14,MATCH(IF(AG25&lt;&gt;"",AG25,DATOS!$C$73),TABLAS!$B$6:$B$14,0))&gt;=0.35,INDEX(TABLAS!$C$6:$C$14,MATCH(IF(AG25&lt;&gt;"",AG25,DATOS!$C$73),TABLAS!$B$6:$B$14,0))&lt;=0.75*DATOS!$C$25/10),"CUMPLE","NO CUMPLE: "&amp;IF(DK25&gt;MIN(6*DATOS!$C$26,45),"s_h &gt; 6 hiladas o 45 cm (6.5.3.2.1) ","")&amp;IF(DL25&lt;3,"p_h·f_yh &lt; 3 (6.5.3.3.1) ","")&amp;IF(DL25&gt;MIN(MAX(0.15*DATOS!$C$33*DATOS!$C$24,3),0.05*DATOS!$C$25/10*MIN(DATOS!$C$50,6000)/DK25),"p_h·f_yh &gt; máximo (6.5.3.3.2) ","")&amp;IF(OR(INDEX(TABLAS!$C$6:$C$14,MATCH(IF(AG25&lt;&gt;"",AG25,DATOS!$C$73),TABLAS!$B$6:$B$14,0))&lt;0.35,INDEX(TABLAS!$C$6:$C$14,MATCH(IF(AG25&lt;&gt;"",AG25,DATOS!$C$73),TABLAS!$B$6:$B$14,0))&gt;0.75*DATOS!$C$25/10),"diámetro fuera de 3.5 mm a 0.75·h_j (4.2.2.2.1)",""))))))</f>
        <v/>
      </c>
      <c r="EB25" s="46" t="str">
        <f>IF(BI25&lt;&gt;"SÍ","",DI25+DZ25)</f>
        <v/>
      </c>
      <c r="EC25" s="50" t="str">
        <f>IF(BI25&lt;&gt;"SÍ","",IF(EB25&gt;0,BK25/EB25,IF(BK25&gt;0,99,0)))</f>
        <v/>
      </c>
      <c r="ED25" s="47" t="str">
        <f>IF(BI25&lt;&gt;"SÍ","",IF(CE25&lt;=0,-1,IF(BK25&lt;=DI25,0,IF(IF(BM25&gt;=0,IF((DATOS!$C$86*IF(AE25="MALLA",0.5,IF(DATOS!$C$33&lt;=60,0.55,IF(DATOS!$C$33&gt;=90,0.75,0.55+0.2*(DATOS!$C$33-60)/30)))*CE25/1000-DATOS!$C$91*SUMPRODUCT(DP25:DT25,DD25:DH25))&lt;=0,1E9,(BK25-SUMPRODUCT(DP25:DT25,DD25:DH25))/(DATOS!$C$86*IF(AE25="MALLA",0.5,IF(DATOS!$C$33&lt;=60,0.55,IF(DATOS!$C$33&gt;=90,0.75,0.55+0.2*(DATOS!$C$33-60)/30)))*CE25/1000-DATOS!$C$91*SUMPRODUCT(DP25:DT25,DD25:DH25))),IF((1-4*DATOS!$C$91*BK25*1000/(DATOS!$C$86*IF(AE25="MALLA",0.5,IF(DATOS!$C$33&lt;=60,0.55,IF(DATOS!$C$33&gt;=90,0.75,0.55+0.2*(DATOS!$C$33-60)/30)))*MAX(CE25,1)))&lt;0,1E9,(1-SQRT((1-4*DATOS!$C$91*BK25*1000/(DATOS!$C$86*IF(AE25="MALLA",0.5,IF(DATOS!$C$33&lt;=60,0.55,IF(DATOS!$C$33&gt;=90,0.75,0.55+0.2*(DATOS!$C$33-60)/30)))*MAX(CE25,1)))))/(2*DATOS!$C$91)))&gt;0.1*DATOS!$C$33*DATOS!$C$24+0.000001,-1,MAX(IF(AE25="MALLA",2.5,3),IF(BM25&gt;=0,IF((DATOS!$C$86*IF(AE25="MALLA",0.5,IF(DATOS!$C$33&lt;=60,0.55,IF(DATOS!$C$33&gt;=90,0.75,0.55+0.2*(DATOS!$C$33-60)/30)))*CE25/1000-DATOS!$C$91*SUMPRODUCT(DP25:DT25,DD25:DH25))&lt;=0,1E9,(BK25-SUMPRODUCT(DP25:DT25,DD25:DH25))/(DATOS!$C$86*IF(AE25="MALLA",0.5,IF(DATOS!$C$33&lt;=60,0.55,IF(DATOS!$C$33&gt;=90,0.75,0.55+0.2*(DATOS!$C$33-60)/30)))*CE25/1000-DATOS!$C$91*SUMPRODUCT(DP25:DT25,DD25:DH25))),IF((1-4*DATOS!$C$91*BK25*1000/(DATOS!$C$86*IF(AE25="MALLA",0.5,IF(DATOS!$C$33&lt;=60,0.55,IF(DATOS!$C$33&gt;=90,0.75,0.55+0.2*(DATOS!$C$33-60)/30)))*MAX(CE25,1)))&lt;0,1E9,(1-SQRT((1-4*DATOS!$C$91*BK25*1000/(DATOS!$C$86*IF(AE25="MALLA",0.5,IF(DATOS!$C$33&lt;=60,0.55,IF(DATOS!$C$33&gt;=90,0.75,0.55+0.2*(DATOS!$C$33-60)/30)))*MAX(CE25,1)))))/(2*DATOS!$C$91))))))))</f>
        <v/>
      </c>
      <c r="EE25" s="45" t="str">
        <f>IF(BI25&lt;&gt;"SÍ","",IF(ED25=0,"NO REQUIERE: V_mR ≥ V_u",IF(ED25&lt;0,"NO ALCANZA con refuerzo horizontal (haría falta más de 0.1·f'm·f_an efectivo): sube v'm con ensayes, el espesor o la longitud del muro",IF(AND(OR(AE25="VARILLA EN JUNTAS",AE25="MALLA"),LEFT(EA25,6)="CUMPLE",EC25&lt;=1),"YA LO TIENE (pide p_h·f_yh ≥ "&amp;TEXT(ED25,"0.0")&amp;" kg/cm²)","p_h·f_yh ≥ "&amp;TEXT(ED25,"0.0")&amp;" kg/cm² → "&amp;IF(AND(MIN(6,FLOOR(45/DATOS!$C$26,1),FLOOR((2*INDEX(TABLAS!$D$6:$D$14,MATCH("3/16 in",TABLAS!$B$6:$B$14,0)))*MIN(DATOS!$C$50,6000)/(BT25*DATOS!$C$26*MAX(ED25,0.001)),1))&gt;=1,((2*INDEX(TABLAS!$D$6:$D$14,MATCH("3/16 in",TABLAS!$B$6:$B$14,0)))*MIN(DATOS!$C$50,6000)/(MAX(MIN(6,FLOOR(45/DATOS!$C$26,1),FLOOR((2*INDEX(TABLAS!$D$6:$D$14,MATCH("3/16 in",TABLAS!$B$6:$B$14,0)))*MIN(DATOS!$C$50,6000)/(BT25*DATOS!$C$26*MAX(ED25,0.001)),1)),1)*DATOS!$C$26*BT25))&lt;=MIN(MAX(0.15*DATOS!$C$33*DATOS!$C$24,3),0.05*DATOS!$C$25/10*MIN(DATOS!$C$50,6000)/(MIN(6,FLOOR(45/DATOS!$C$26,1),FLOOR((2*INDEX(TABLAS!$D$6:$D$14,MATCH("3/16 in",TABLAS!$B$6:$B$14,0)))*MIN(DATOS!$C$50,6000)/(BT25*DATOS!$C$26*MAX(ED25,0.001)),1))*DATOS!$C$26))),"2 alambres de 3/16"" por junta cada "&amp;MIN(6,FLOOR(45/DATOS!$C$26,1),FLOOR((2*INDEX(TABLAS!$D$6:$D$14,MATCH("3/16 in",TABLAS!$B$6:$B$14,0)))*MIN(DATOS!$C$50,6000)/(BT25*DATOS!$C$26*MAX(ED25,0.001)),1))&amp;" hilada(s) (p_h·f_yh = "&amp;TEXT(((2*INDEX(TABLAS!$D$6:$D$14,MATCH("3/16 in",TABLAS!$B$6:$B$14,0)))*MIN(DATOS!$C$50,6000)/(MAX(MIN(6,FLOOR(45/DATOS!$C$26,1),FLOOR((2*INDEX(TABLAS!$D$6:$D$14,MATCH("3/16 in",TABLAS!$B$6:$B$14,0)))*MIN(DATOS!$C$50,6000)/(BT25*DATOS!$C$26*MAX(ED25,0.001)),1)),1)*DATOS!$C$26*BT25)),"0.00")&amp;")",IF(AND(MIN(6,FLOOR(45/DATOS!$C$26,1),FLOOR((2*INDEX(TABLAS!$D$6:$D$14,MATCH("5/32 in",TABLAS!$B$6:$B$14,0)))*MIN(DATOS!$C$50,6000)/(BT25*DATOS!$C$26*MAX(ED25,0.001)),1))&gt;=1,((2*INDEX(TABLAS!$D$6:$D$14,MATCH("5/32 in",TABLAS!$B$6:$B$14,0)))*MIN(DATOS!$C$50,6000)/(MAX(MIN(6,FLOOR(45/DATOS!$C$26,1),FLOOR((2*INDEX(TABLAS!$D$6:$D$14,MATCH("5/32 in",TABLAS!$B$6:$B$14,0)))*MIN(DATOS!$C$50,6000)/(BT25*DATOS!$C$26*MAX(ED25,0.001)),1)),1)*DATOS!$C$26*BT25))&lt;=MIN(MAX(0.15*DATOS!$C$33*DATOS!$C$24,3),0.05*DATOS!$C$25/10*MIN(DATOS!$C$50,6000)/(MIN(6,FLOOR(45/DATOS!$C$26,1),FLOOR((2*INDEX(TABLAS!$D$6:$D$14,MATCH("5/32 in",TABLAS!$B$6:$B$14,0)))*MIN(DATOS!$C$50,6000)/(BT25*DATOS!$C$26*MAX(ED25,0.001)),1))*DATOS!$C$26))),"2 alambres de 5/32"" por junta cada "&amp;MIN(6,FLOOR(45/DATOS!$C$26,1),FLOOR((2*INDEX(TABLAS!$D$6:$D$14,MATCH("5/32 in",TABLAS!$B$6:$B$14,0)))*MIN(DATOS!$C$50,6000)/(BT25*DATOS!$C$26*MAX(ED25,0.001)),1))&amp;" hilada(s) (p_h·f_yh = "&amp;TEXT(((2*INDEX(TABLAS!$D$6:$D$14,MATCH("5/32 in",TABLAS!$B$6:$B$14,0)))*MIN(DATOS!$C$50,6000)/(MAX(MIN(6,FLOOR(45/DATOS!$C$26,1),FLOOR((2*INDEX(TABLAS!$D$6:$D$14,MATCH("5/32 in",TABLAS!$B$6:$B$14,0)))*MIN(DATOS!$C$50,6000)/(BT25*DATOS!$C$26*MAX(ED25,0.001)),1)),1)*DATOS!$C$26*BT25)),"0.00")&amp;")",IF(AND(MIN(6,FLOOR(45/DATOS!$C$26,1),FLOOR((1*INDEX(TABLAS!$D$6:$D$14,MATCH("3/16 in",TABLAS!$B$6:$B$14,0)))*MIN(DATOS!$C$50,6000)/(BT25*DATOS!$C$26*MAX(ED25,0.001)),1))&gt;=1,((1*INDEX(TABLAS!$D$6:$D$14,MATCH("3/16 in",TABLAS!$B$6:$B$14,0)))*MIN(DATOS!$C$50,6000)/(MAX(MIN(6,FLOOR(45/DATOS!$C$26,1),FLOOR((1*INDEX(TABLAS!$D$6:$D$14,MATCH("3/16 in",TABLAS!$B$6:$B$14,0)))*MIN(DATOS!$C$50,6000)/(BT25*DATOS!$C$26*MAX(ED25,0.001)),1)),1)*DATOS!$C$26*BT25))&lt;=MIN(MAX(0.15*DATOS!$C$33*DATOS!$C$24,3),0.05*DATOS!$C$25/10*MIN(DATOS!$C$50,6000)/(MIN(6,FLOOR(45/DATOS!$C$26,1),FLOOR((1*INDEX(TABLAS!$D$6:$D$14,MATCH("3/16 in",TABLAS!$B$6:$B$14,0)))*MIN(DATOS!$C$50,6000)/(BT25*DATOS!$C$26*MAX(ED25,0.001)),1))*DATOS!$C$26))),"1 alambre de 3/16"" por junta cada "&amp;MIN(6,FLOOR(45/DATOS!$C$26,1),FLOOR((1*INDEX(TABLAS!$D$6:$D$14,MATCH("3/16 in",TABLAS!$B$6:$B$14,0)))*MIN(DATOS!$C$50,6000)/(BT25*DATOS!$C$26*MAX(ED25,0.001)),1))&amp;" hilada(s) (p_h·f_yh = "&amp;TEXT(((1*INDEX(TABLAS!$D$6:$D$14,MATCH("3/16 in",TABLAS!$B$6:$B$14,0)))*MIN(DATOS!$C$50,6000)/(MAX(MIN(6,FLOOR(45/DATOS!$C$26,1),FLOOR((1*INDEX(TABLAS!$D$6:$D$14,MATCH("3/16 in",TABLAS!$B$6:$B$14,0)))*MIN(DATOS!$C$50,6000)/(BT25*DATOS!$C$26*MAX(ED25,0.001)),1)),1)*DATOS!$C$26*BT25)),"0.00")&amp;")",IF(AND(MIN(6,FLOOR(45/DATOS!$C$26,1),FLOOR((1*INDEX(TABLAS!$D$6:$D$14,MATCH("5/32 in",TABLAS!$B$6:$B$14,0)))*MIN(DATOS!$C$50,6000)/(BT25*DATOS!$C$26*MAX(ED25,0.001)),1))&gt;=1,((1*INDEX(TABLAS!$D$6:$D$14,MATCH("5/32 in",TABLAS!$B$6:$B$14,0)))*MIN(DATOS!$C$50,6000)/(MAX(MIN(6,FLOOR(45/DATOS!$C$26,1),FLOOR((1*INDEX(TABLAS!$D$6:$D$14,MATCH("5/32 in",TABLAS!$B$6:$B$14,0)))*MIN(DATOS!$C$50,6000)/(BT25*DATOS!$C$26*MAX(ED25,0.001)),1)),1)*DATOS!$C$26*BT25))&lt;=MIN(MAX(0.15*DATOS!$C$33*DATOS!$C$24,3),0.05*DATOS!$C$25/10*MIN(DATOS!$C$50,6000)/(MIN(6,FLOOR(45/DATOS!$C$26,1),FLOOR((1*INDEX(TABLAS!$D$6:$D$14,MATCH("5/32 in",TABLAS!$B$6:$B$14,0)))*MIN(DATOS!$C$50,6000)/(BT25*DATOS!$C$26*MAX(ED25,0.001)),1))*DATOS!$C$26))),"1 alambre de 5/32"" por junta cada "&amp;MIN(6,FLOOR(45/DATOS!$C$26,1),FLOOR((1*INDEX(TABLAS!$D$6:$D$14,MATCH("5/32 in",TABLAS!$B$6:$B$14,0)))*MIN(DATOS!$C$50,6000)/(BT25*DATOS!$C$26*MAX(ED25,0.001)),1))&amp;" hilada(s) (p_h·f_yh = "&amp;TEXT(((1*INDEX(TABLAS!$D$6:$D$14,MATCH("5/32 in",TABLAS!$B$6:$B$14,0)))*MIN(DATOS!$C$50,6000)/(MAX(MIN(6,FLOOR(45/DATOS!$C$26,1),FLOOR((1*INDEX(TABLAS!$D$6:$D$14,MATCH("5/32 in",TABLAS!$B$6:$B$14,0)))*MIN(DATOS!$C$50,6000)/(BT25*DATOS!$C$26*MAX(ED25,0.001)),1)),1)*DATOS!$C$26*BT25)),"0.00")&amp;")","ninguna combinación de 1 o 2 alambres por junta queda entre el mínimo y el máximo: revisa con malla (6.5.4)"))))))))</f>
        <v/>
      </c>
      <c r="EF25" s="43" t="str">
        <f>IF(BI25&lt;&gt;"SÍ","",IF(AI25="SÍ",N(AK25)*N(AL25)^3/12,0))</f>
        <v/>
      </c>
      <c r="EG25" s="48" t="str">
        <f>IF(BI25&lt;&gt;"SÍ","",IF(AND(AI25="SÍ",N(AM25)&gt;0),MIN(1,F25/AM25),0))</f>
        <v/>
      </c>
      <c r="EH25" s="47" t="str">
        <f>IF(BI25&lt;&gt;"SÍ","",IF(AI25="SÍ",BP25*1000/(BT25*F25*100)*BT25*(EG25^4-4*EG25^3+8*EG25),0))</f>
        <v/>
      </c>
      <c r="EI25" s="48" t="str">
        <f>IF(BI25&lt;&gt;"SÍ","",IF(AND(AI25="SÍ",EH25&gt;0),EH25/(EH25+5*N(AN25)*10),0))</f>
        <v/>
      </c>
      <c r="EJ25" s="44" t="str">
        <f>IF(BI25&lt;&gt;"SÍ","",IF(AND(AI25="SÍ",EI25&gt;0,EF25&gt;0),(DATOS!$C$43*BT25*(AM25*100)^3/(DATOS!$C$53*EF25*EI25))^0.25,0))</f>
        <v/>
      </c>
      <c r="EK25" s="44" t="str">
        <f>IF(BI25&lt;&gt;"SÍ","",IF(AI25&lt;&gt;"SÍ",0,IF(N(AM25)&lt;=F25,1,IF(MIN(1,N(AO25)/((AM25-F25)/2))&lt;=0.5,0.7+0.6*MIN(1,N(AO25)/((AM25-F25)/2)),1.5-MIN(1,N(AO25)/((AM25-F25)/2))))))</f>
        <v/>
      </c>
      <c r="EL25" s="44" t="str">
        <f>IF(BI25&lt;&gt;"SÍ","",IF(AI25&lt;&gt;"SÍ",0,MAX(1,IF(EG25&gt;=1,(1.6*EJ25-3.9),IF(EG25&lt;0.9,((3.2*EJ25-7.8)*EK25),((3.2*EJ25-7.8)*EK25)+((1.6*EJ25-3.9)-((3.2*EJ25-7.8)*EK25))*(EG25-0.9)/0.1)))))</f>
        <v/>
      </c>
      <c r="EM25" s="47" t="str">
        <f>IF(BI25&lt;&gt;"SÍ","",IF(AI25="SÍ",EL25*BP25*1000/(BT25*F25*100),0))</f>
        <v/>
      </c>
      <c r="EN25" s="47" t="str">
        <f>IF(BI25&lt;&gt;"SÍ","",IF(AND(AI25="SÍ",N(AL25)&gt;0),AM25*100/AL25,0))</f>
        <v/>
      </c>
      <c r="EO25" s="47" t="str">
        <f>IF(BI25&lt;&gt;"SÍ","",IF(AI25="SÍ",(1/15*DATOS!$C$53*N(AK25)/MAX((IF(ISNUMBER(AP25),AP25,BP25/DATOS!$C$90)*1000/(BT25*F25*100)*BT25*(EG25^4-4*EG25^3+8*EG25))+5*N(AN25)/DATOS!$C$90*10,0.001))^(1/3),0))</f>
        <v/>
      </c>
      <c r="EP25" s="45" t="str">
        <f>IF(BI25&lt;&gt;"SÍ","",IF(AI25&lt;&gt;"SÍ","—",IF(OR(N(AK25)&lt;=0,N(AL25)&lt;=0,N(AM25)&lt;=0),"REVISAR: faltan b, h o L_v de la viga",IF(AND(EM25&lt;=DATOS!$C$87*DATOS!$C$33,EN25&lt;=14,N(AL25)&gt;=25,EN25&lt;=EO25),IF(BS25/F25&lt;0.6,"PENDIENTE: H/L &lt; 0.6, falta el análisis de interacción muro–viga (4.1.18.2.1); f_CM es estimado","CUMPLE"),"NO CUMPLE: "&amp;IF(EM25&gt;DATOS!$C$87*DATOS!$C$33,"f_CM &gt; F_R·f'm ","")&amp;IF(EN25&gt;14,"L_v/h_v &gt; 14 ","")&amp;IF(N(AL25)&lt;25,"h_v &lt; 25 cm ","")&amp;IF(EN25&gt;EO25,"flecha (4.1.18.3)","")))))</f>
        <v/>
      </c>
      <c r="EQ25" s="44" t="str">
        <f>IF(BI25&lt;&gt;"SÍ","",MAX(0,F25*BS25-(N(K25)*N(M25)+N(P25)*N(R25)+N(U25)*N(W25)+N(Z25)*N(AB25))-CK25*DATOS!$C$59/100*BS25))</f>
        <v/>
      </c>
      <c r="ER25" s="48" t="str">
        <f>IF(BI25&lt;&gt;"SÍ","",CK25*DATOS!$C$59*DATOS!$C$60/10000*BS25)</f>
        <v/>
      </c>
      <c r="ES25" s="47" t="str">
        <f>IF(BI25&lt;&gt;"SÍ","",CK25*(DATOS!$C$61*(BS25+0.6)*INDEX(TABLAS!$E$6:$E$14,MATCH(DATOS!$C$62,TABLAS!$B$6:$B$14,0))+(2*ROUNDUP(CN25/DATOS!$C$65,0)+ROUNDUP(MAX(0,BS25*100-2*CN25)/DATOS!$C$64,0))*((2*(DATOS!$C$60+DATOS!$C$59-4*(DATOS!$C$66-INDEX(TABLAS!$C$6:$C$14,MATCH(DATOS!$C$63,TABLAS!$B$6:$B$14,0))))+15)/100)*INDEX(TABLAS!$E$6:$E$14,MATCH(DATOS!$C$63,TABLAS!$B$6:$B$14,0))))</f>
        <v/>
      </c>
      <c r="ET25" s="47" t="str">
        <f>IF(BI25&lt;&gt;"SÍ","",IF(OR(AE25="VARILLA EN JUNTAS",AE25="ESCALERILLA"),INT(BS25*100/MAX(DK25,1))*IF(ISNUMBER(AF25),AF25,2)*CB25*INDEX(TABLAS!$E$6:$E$14,MATCH(IF(AG25&lt;&gt;"",AG25,DATOS!$C$73),TABLAS!$B$6:$B$14,0)),IF(AE25="MALLA",IF(ISNUMBER(AF25),AF25,1)*CB25*BS25*INDEX(TABLAS!$E$19:$E$22,MATCH(IF(AG25&lt;&gt;"",AG25,DATOS!$C$74),TABLAS!$B$19:$B$22,0)),0)))</f>
        <v/>
      </c>
      <c r="EU25" s="45" t="str">
        <f>IF(BI25&lt;&gt;"SÍ","",""&amp;IF(BJ25="NO ESTÁ EN PIER_FORCES","sin fuerzas en PIER_FORCES; ","")&amp;IF(BV25&lt;&gt;"CUMPLE","vanos; ","")&amp;IF(LEFT(CH25,2)="NO","espesor o esbeltez; ","")&amp;IF(CQ25&gt;1,"compresión; ","")&amp;IF(CX25&gt;1,"flexión; ","")&amp;IF(CB25&lt;=0,"sin tramos de muro (todos son machones menores que L mín.: diséñalos como columnas o baja L mín.); ",IF(EC25&gt;1,"cortante; ",""))&amp;IF(OR(LEFT(EA25,2)="NO",LEFT(EA25,5)="FALTA"),"refuerzo horizontal; ","")&amp;IF(OR(LEFT(EP25,2)="NO",LEFT(EP25,7)="REVISAR"),"muro sobre viga; ","")&amp;IF(LEFT(DATOS!$C$81,2)="NO","castillo típico; ","")&amp;IF(LEFT(DATOS!$C$82,2)="NO","dala típica; ","")&amp;IF(AND(BT25&lt;&gt;DATOS!$C$58,DATOS!$C$60&lt;BT25),"castillo más angosto que el muro; ",""))</f>
        <v/>
      </c>
      <c r="EV25" s="45" t="str">
        <f>IF(BI25&lt;&gt;"SÍ","",""&amp;IF(LEFT(EP25,9)="PENDIENTE","análisis muro–viga (H/L &lt; 0.6); ","")&amp;IF(BR25&gt;50,"V_u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5" s="51" t="str">
        <f>IF(BI25&lt;&gt;"SÍ","",IF(EU25&lt;&gt;"","NO CUMPLE: "&amp;LEFT(EU25,LEN(EU25)-2),IF(EV25&lt;&gt;"","CUMPLE — PENDIENTE: "&amp;LEFT(EV25,LEN(EV25)-2),"CUMPLE")))</f>
        <v/>
      </c>
      <c r="EX25" s="52" t="n"/>
    </row>
    <row r="26" ht="30" customHeight="1">
      <c r="A26" s="38" t="str">
        <f>IF(B26="","",ROW()-10)</f>
        <v/>
      </c>
      <c r="B26" s="28" t="n"/>
      <c r="C26" s="39" t="n"/>
      <c r="D26" s="39" t="n"/>
      <c r="E26" s="39" t="n"/>
      <c r="F26" s="40" t="n"/>
      <c r="G26" s="40" t="n"/>
      <c r="H26" s="41" t="n"/>
      <c r="I26" s="39" t="n"/>
      <c r="J26" s="40" t="n"/>
      <c r="K26" s="40" t="n"/>
      <c r="L26" s="40" t="n"/>
      <c r="M26" s="40" t="n"/>
      <c r="N26" s="39" t="n"/>
      <c r="O26" s="40" t="n"/>
      <c r="P26" s="40" t="n"/>
      <c r="Q26" s="40" t="n"/>
      <c r="R26" s="40" t="n"/>
      <c r="S26" s="39" t="n"/>
      <c r="T26" s="40" t="n"/>
      <c r="U26" s="40" t="n"/>
      <c r="V26" s="40" t="n"/>
      <c r="W26" s="40" t="n"/>
      <c r="X26" s="39" t="n"/>
      <c r="Y26" s="40" t="n"/>
      <c r="Z26" s="40" t="n"/>
      <c r="AA26" s="40" t="n"/>
      <c r="AB26" s="40" t="n"/>
      <c r="AC26" s="41" t="n"/>
      <c r="AD26" s="41" t="n"/>
      <c r="AE26" s="39" t="n"/>
      <c r="AF26" s="41" t="n"/>
      <c r="AG26" s="41" t="n"/>
      <c r="AH26" s="41" t="n"/>
      <c r="AI26" s="39" t="n"/>
      <c r="AJ26" s="39" t="n"/>
      <c r="AK26" s="41" t="n"/>
      <c r="AL26" s="41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2" t="str">
        <f>IF(B26="","",C26&amp;"|"&amp;B26)</f>
        <v/>
      </c>
      <c r="AY26" s="43" t="str">
        <f>IF(B26="","",COUNTIFS(PIER_FORCES!$O$9:$O$3008,16,PIER_FORCES!$P$9:$P$3008,1))</f>
        <v/>
      </c>
      <c r="AZ26" s="43" t="str">
        <f>IF(B26="","",COUNTIFS(PIER_FORCES!$O$9:$O$3008,16,PIER_FORCES!$P$9:$P$3008,2))</f>
        <v/>
      </c>
      <c r="BA26" s="44">
        <f>IF(N(AY26)=0,0,SUMPRODUCT(MAX((PIER_FORCES!$O$9:$O$3008=16)*(PIER_FORCES!$P$9:$P$3008=1)*PIER_FORCES!$R$9:$R$3008)))</f>
        <v>0</v>
      </c>
      <c r="BB26" s="44">
        <f>IF(N(AY26)=0,0,SUMPRODUCT(MAX((PIER_FORCES!$O$9:$O$3008=16)*(PIER_FORCES!$P$9:$P$3008=1)*PIER_FORCES!$S$9:$S$3008)))</f>
        <v>0</v>
      </c>
      <c r="BC26" s="44">
        <f>IF(N(AY26)=0,0,-SUMPRODUCT(MAX((PIER_FORCES!$O$9:$O$3008=16)*(PIER_FORCES!$P$9:$P$3008=1)*(-PIER_FORCES!$Q$9:$Q$3008)+(1-(PIER_FORCES!$O$9:$O$3008=16)*(PIER_FORCES!$P$9:$P$3008=1))*(-1E9))))</f>
        <v>0</v>
      </c>
      <c r="BD26" s="44">
        <f>IF(N(AY26)=0,0,SUMPRODUCT(MAX((PIER_FORCES!$O$9:$O$3008=16)*(PIER_FORCES!$P$9:$P$3008=1)*PIER_FORCES!$Q$9:$Q$3008+(1-(PIER_FORCES!$O$9:$O$3008=16)*(PIER_FORCES!$P$9:$P$3008=1))*(-1E9))))</f>
        <v>0</v>
      </c>
      <c r="BE26" s="44">
        <f>IF(N(AZ26)=0,BD26,SUMPRODUCT(MAX((PIER_FORCES!$O$9:$O$3008=16)*(PIER_FORCES!$P$9:$P$3008=2)*PIER_FORCES!$Q$9:$Q$3008+(1-(PIER_FORCES!$O$9:$O$3008=16)*(PIER_FORCES!$P$9:$P$3008=2))*(-1E9))))</f>
        <v>0</v>
      </c>
      <c r="BF26" s="44">
        <f>IF(N(AZ26)=0,0,SUMPRODUCT(MAX((PIER_FORCES!$O$9:$O$3008=16)*(PIER_FORCES!$P$9:$P$3008=2)*PIER_FORCES!$R$9:$R$3008)))</f>
        <v>0</v>
      </c>
      <c r="BG26" s="43">
        <f>IF(N(AY26)=0,0,SUMPRODUCT(MAX((PIER_FORCES!$O$9:$O$3008=16)*(PIER_FORCES!$P$9:$P$3008=1)*(ABS(PIER_FORCES!$R$9:$R$3008-BA26)&lt;0.000001)*PIER_FORCES!$T$9:$T$3008)))</f>
        <v>0</v>
      </c>
      <c r="BH26" s="45" t="str">
        <f>IF(N(BG26)=0,"",INDEX(PIER_FORCES!$D$9:$D$3008,BG26)&amp;" "&amp;INDEX(PIER_FORCES!$F$9:$F$3008,BG26)&amp;" / "&amp;INDEX(PIER_FORCES!$G$9:$G$3008,BG26))</f>
        <v/>
      </c>
      <c r="BI26" s="42" t="str">
        <f>IF(B26="","",IF(AND(C26&lt;&gt;"",OR(D26="X",D26="Y"),ISNUMBER(F26),N(F26)&gt;0),"SÍ","NO"))</f>
        <v/>
      </c>
      <c r="BJ26" s="42" t="str">
        <f>IF(BI26&lt;&gt;"SÍ","",IF(DATOS!$C$108="ETABS (PIER_FORCES)",IF(N(AY26)&gt;0,"ETABS","NO ESTÁ EN PIER_FORCES"),"CAPTURA"))</f>
        <v/>
      </c>
      <c r="BK26" s="46" t="str">
        <f>IF(BI26&lt;&gt;"SÍ","",IF(BJ26="ETABS",BA26,IF(BJ26="CAPTURA",N(AQ26),0)))</f>
        <v/>
      </c>
      <c r="BL26" s="46" t="str">
        <f>IF(BI26&lt;&gt;"SÍ","",IF(BJ26="ETABS",BB26,IF(BJ26="CAPTURA",N(AR26),0)))</f>
        <v/>
      </c>
      <c r="BM26" s="46" t="str">
        <f>IF(BI26&lt;&gt;"SÍ","",IF(BJ26="ETABS",BC26/DATOS!$C$89,IF(BJ26="CAPTURA",N(AS26),0)))</f>
        <v/>
      </c>
      <c r="BN26" s="44" t="str">
        <f>IF(BI26&lt;&gt;"SÍ","",IF(BJ26="ETABS",BC26,IF(BJ26="CAPTURA",IF(ISNUMBER(AU26),AU26,N(AS26)*DATOS!$C$89),0)))</f>
        <v/>
      </c>
      <c r="BO26" s="44" t="str">
        <f>IF(BI26&lt;&gt;"SÍ","",IF(BJ26="ETABS",MAX(BD26,BE26),IF(BJ26="CAPTURA",N(AT26),0)))</f>
        <v/>
      </c>
      <c r="BP26" s="44" t="str">
        <f>IF(BI26&lt;&gt;"SÍ","",IF(BJ26="ETABS",BE26,IF(BJ26="CAPTURA",IF(ISNUMBER(AV26),AV26,N(AT26)),0)))</f>
        <v/>
      </c>
      <c r="BQ26" s="44" t="str">
        <f>IF(BI26&lt;&gt;"SÍ","",IF(BJ26="ETABS",BF26,IF(BJ26="CAPTURA",N(AW26),0)))</f>
        <v/>
      </c>
      <c r="BR26" s="43" t="str">
        <f>IF(BI26&lt;&gt;"SÍ","",IF(BK26&gt;0,100*BQ26/BK26,0))</f>
        <v/>
      </c>
      <c r="BS26" s="44" t="str">
        <f>IF(BI26&lt;&gt;"SÍ","",IF(ISNUMBER(G26),G26,DATOS!$C$57))</f>
        <v/>
      </c>
      <c r="BT26" s="47" t="str">
        <f>IF(BI26&lt;&gt;"SÍ","",IF(ISNUMBER(H26),H26,DATOS!$C$58))</f>
        <v/>
      </c>
      <c r="BU26" s="43" t="str">
        <f>IF(BI26&lt;&gt;"SÍ","",IF(N(K26)&gt;0,1+IF(N(P26)&gt;0,1+IF(N(U26)&gt;0,1+IF(N(Z26)&gt;0,1,0),0),0),0))</f>
        <v/>
      </c>
      <c r="BV26" s="45" t="str">
        <f>IF(BI26&lt;&gt;"SÍ","",IF(AND(OR(BU26&lt;1,AND(N(J26)&gt;=0-0.001,J26+K26&lt;=F26+0.001,N(L26)&gt;=0,N(L26)+N(M26)&lt;=BS26+0.001,N(M26)&gt;0,OR(I26="PUERTA",I26="VENTANA"))),OR(BU26&lt;2,AND(N(O26)&gt;=(J26+K26)-0.001,O26+P26&lt;=F26+0.001,N(Q26)&gt;=0,N(Q26)+N(R26)&lt;=BS26+0.001,N(R26)&gt;0,OR(N26="PUERTA",N26="VENTANA"))),OR(BU26&lt;3,AND(N(T26)&gt;=(O26+P26)-0.001,T26+U26&lt;=F26+0.001,N(V26)&gt;=0,N(V26)+N(W26)&lt;=BS26+0.001,N(W26)&gt;0,OR(S26="PUERTA",S26="VENTANA"))),OR(BU26&lt;4,AND(N(Y26)&gt;=(T26+U26)-0.001,Y26+Z26&lt;=F26+0.001,N(AA26)&gt;=0,N(AA26)+N(AB26)&lt;=BS26+0.001,N(AB26)&gt;0,OR(X26="PUERTA",X26="VENTANA"))),(N(K26)&gt;0)+(N(P26)&gt;0)+(N(U26)&gt;0)+(N(Z26)&gt;0)=BU26),"CUMPLE","REVISAR VANOS: tipo, orden de izquierda a derecha, que quepan en L y en H"))</f>
        <v/>
      </c>
      <c r="BW26" s="44" t="str">
        <f>IF(BI26&lt;&gt;"SÍ","",MAX(0,IF(BU26&gt;=1,N(J26),F26)))</f>
        <v/>
      </c>
      <c r="BX26" s="44" t="str">
        <f>IF(BI26&lt;&gt;"SÍ","",MAX(0,IF(BU26&gt;=2,N(O26)-(N(J26)+N(K26)),IF(BU26=1,F26-(N(J26)+N(K26)),0))))</f>
        <v/>
      </c>
      <c r="BY26" s="44" t="str">
        <f>IF(BI26&lt;&gt;"SÍ","",MAX(0,IF(BU26&gt;=3,N(T26)-(N(O26)+N(P26)),IF(BU26=2,F26-(N(O26)+N(P26)),0))))</f>
        <v/>
      </c>
      <c r="BZ26" s="44" t="str">
        <f>IF(BI26&lt;&gt;"SÍ","",MAX(0,IF(BU26&gt;=4,N(Y26)-(N(T26)+N(U26)),IF(BU26=3,F26-(N(T26)+N(U26)),0))))</f>
        <v/>
      </c>
      <c r="CA26" s="44" t="str">
        <f>IF(BI26&lt;&gt;"SÍ","",MAX(0,IF(BU26=4,F26-(N(Y26)+N(Z26)),0)))</f>
        <v/>
      </c>
      <c r="CB26" s="46" t="str">
        <f>IF(BI26&lt;&gt;"SÍ","",SUMPRODUCT((BW26:CA26&gt;=DATOS!$C$72-0.0001)*BW26:CA26))</f>
        <v/>
      </c>
      <c r="CC26" s="43" t="str">
        <f>IF(BI26&lt;&gt;"SÍ","",SUMPRODUCT(--(BW26:CA26&gt;=DATOS!$C$72-0.0001)))</f>
        <v/>
      </c>
      <c r="CD26" s="44" t="str">
        <f>IF(BI26&lt;&gt;"SÍ","",SUM(BW26:CA26))</f>
        <v/>
      </c>
      <c r="CE26" s="43" t="str">
        <f>IF(BI26&lt;&gt;"SÍ","",BT26*CB26*100)</f>
        <v/>
      </c>
      <c r="CF26" s="43" t="str">
        <f>IF(BI26&lt;&gt;"SÍ","",BT26*CD26*100)</f>
        <v/>
      </c>
      <c r="CG26" s="47" t="str">
        <f>IF(BI26&lt;&gt;"SÍ","",BS26*100/BT26)</f>
        <v/>
      </c>
      <c r="CH26" s="45" t="str">
        <f>IF(BI26&lt;&gt;"SÍ","",IF(AND(OR(DATOS!$C$14="TIPO II",BT26&gt;=12),CG26&lt;=25),"CUMPLE","NO CUMPLE: "&amp;IF(AND(DATOS!$C$14="TIPO I",BT26&lt;12),"t &lt; 12 cm ","")&amp;IF(CG26&gt;25,"H/t &gt; 25","")))</f>
        <v/>
      </c>
      <c r="CI26" s="44" t="str">
        <f>IF(BI26&lt;&gt;"SÍ","",MIN(1.5*BS26,4))</f>
        <v/>
      </c>
      <c r="CJ26" s="43" t="str">
        <f>IF(BI26&lt;&gt;"SÍ","",SUMPRODUCT((BW26:CA26&gt;=2*DATOS!$C$59/100)*INT((BW26:CA26-DATOS!$C$59/100)/CI26-0.000001)*((BW26:CA26-DATOS!$C$59/100)&gt;0)))</f>
        <v/>
      </c>
      <c r="CK26" s="43" t="str">
        <f>IF(BI26&lt;&gt;"SÍ","",SUMPRODUCT((BW26:CA26&gt;0.0001)*1+(BW26:CA26&gt;=2*DATOS!$C$59/100)*1)+CJ26)</f>
        <v/>
      </c>
      <c r="CL26" s="44" t="str">
        <f>IF(BI26&lt;&gt;"SÍ","",IF(ISNUMBER(AC26),AC26,DATOS!$C$61)*INDEX(TABLAS!$D$6:$D$14,MATCH(IF(AD26&lt;&gt;"",AD26,DATOS!$C$62),TABLAS!$B$6:$B$14,0)))</f>
        <v/>
      </c>
      <c r="CM26" s="44" t="str">
        <f>IF(BI26&lt;&gt;"SÍ","",CK26*DATOS!$C$78+IF(CK26&gt;=2,2,CK26)*(CL26-DATOS!$C$78))</f>
        <v/>
      </c>
      <c r="CN26" s="47" t="str">
        <f>IF(BI26&lt;&gt;"SÍ","",MAX(BS26*100/6,40))</f>
        <v/>
      </c>
      <c r="CO26" s="48" t="str">
        <f>IF(BI26&lt;&gt;"SÍ","",IF(CG26&lt;=20,IF(E26="INTERIOR",0.7,0.6),MIN(IF(E26="INTERIOR",0.7,0.6),(1-2/24)*(1-(IF(E26="INTERIOR",0.8,1)*CG26/30)^2))))</f>
        <v/>
      </c>
      <c r="CP26" s="47" t="str">
        <f>IF(BI26&lt;&gt;"SÍ","",DATOS!$C$87*CO26*(DATOS!$C$33*CF26+CM26*DATOS!$C$48)/1000)</f>
        <v/>
      </c>
      <c r="CQ26" s="46" t="str">
        <f>IF(BI26&lt;&gt;"SÍ","",IF(CP26&gt;0,BO26/CP26,99))</f>
        <v/>
      </c>
      <c r="CR26" s="47" t="str">
        <f>IF(BI26&lt;&gt;"SÍ","",MAX(0,F26*100-DATOS!$C$59))</f>
        <v/>
      </c>
      <c r="CS26" s="47" t="str">
        <f>IF(BI26&lt;&gt;"SÍ","",MAX(0,F26*100-DATOS!$C$59/2))</f>
        <v/>
      </c>
      <c r="CT26" s="44" t="str">
        <f>IF(BI26&lt;&gt;"SÍ","",CL26*DATOS!$C$48*CR26/100000)</f>
        <v/>
      </c>
      <c r="CU26" s="44" t="str">
        <f>IF(BI26&lt;&gt;"SÍ","",IF(BN26&lt;0,0.8*CT26*MAX(0,1+BN26/(0.8*CM26*DATOS!$C$48/1000)),IF(BN26&lt;=CP26/3,0.8*CT26+0.3*BN26*CS26/100,(1.5*0.6*CT26+0.15*CP26*CS26/100)*MAX(0,1-BN26/CP26))))</f>
        <v/>
      </c>
      <c r="CV26" s="44" t="str">
        <f>IF(BI26&lt;&gt;"SÍ","",IF(BO26&lt;0,0.8*CT26*MAX(0,1+BO26/(0.8*CM26*DATOS!$C$48/1000)),IF(BO26&lt;=CP26/3,0.8*CT26+0.3*BO26*CS26/100,(1.5*0.6*CT26+0.15*CP26*CS26/100)*MAX(0,1-BO26/CP26))))</f>
        <v/>
      </c>
      <c r="CW26" s="46" t="str">
        <f>IF(BI26&lt;&gt;"SÍ","",MAX(0,MIN(CU26,CV26)))</f>
        <v/>
      </c>
      <c r="CX26" s="49" t="str">
        <f>IF(BI26&lt;&gt;"SÍ","",IF(CW26&gt;0,BL26/CW26,IF(BL26&gt;0,99,0)))</f>
        <v/>
      </c>
      <c r="CY26" s="44" t="str">
        <f>IF(BI26&lt;&gt;"SÍ","",IF(BW26&gt;0,MAX(1,MIN(1.5,1.5-0.625*(BS26/BW26-0.2))),0))</f>
        <v/>
      </c>
      <c r="CZ26" s="44" t="str">
        <f>IF(BI26&lt;&gt;"SÍ","",IF(BX26&gt;0,MAX(1,MIN(1.5,1.5-0.625*(BS26/BX26-0.2))),0))</f>
        <v/>
      </c>
      <c r="DA26" s="44" t="str">
        <f>IF(BI26&lt;&gt;"SÍ","",IF(BY26&gt;0,MAX(1,MIN(1.5,1.5-0.625*(BS26/BY26-0.2))),0))</f>
        <v/>
      </c>
      <c r="DB26" s="44" t="str">
        <f>IF(BI26&lt;&gt;"SÍ","",IF(BZ26&gt;0,MAX(1,MIN(1.5,1.5-0.625*(BS26/BZ26-0.2))),0))</f>
        <v/>
      </c>
      <c r="DC26" s="44" t="str">
        <f>IF(BI26&lt;&gt;"SÍ","",IF(CA26&gt;0,MAX(1,MIN(1.5,1.5-0.625*(BS26/CA26-0.2))),0))</f>
        <v/>
      </c>
      <c r="DD26" s="44" t="str">
        <f>IF(BI26&lt;&gt;"SÍ","",IF(OR(BW26&lt;DATOS!$C$72-0.0001,BM26&lt;0,CB26&lt;=0),0,MIN(DATOS!$C$86*(0.5*DATOS!$C$41*BT26*BW26*100+0.3*BM26*BW26/CB26*1000)*CY26,1.5*DATOS!$C$86*DATOS!$C$41*BT26*BW26*100*CY26)/1000))</f>
        <v/>
      </c>
      <c r="DE26" s="44" t="str">
        <f>IF(BI26&lt;&gt;"SÍ","",IF(OR(BX26&lt;DATOS!$C$72-0.0001,BM26&lt;0,CB26&lt;=0),0,MIN(DATOS!$C$86*(0.5*DATOS!$C$41*BT26*BX26*100+0.3*BM26*BX26/CB26*1000)*CZ26,1.5*DATOS!$C$86*DATOS!$C$41*BT26*BX26*100*CZ26)/1000))</f>
        <v/>
      </c>
      <c r="DF26" s="44" t="str">
        <f>IF(BI26&lt;&gt;"SÍ","",IF(OR(BY26&lt;DATOS!$C$72-0.0001,BM26&lt;0,CB26&lt;=0),0,MIN(DATOS!$C$86*(0.5*DATOS!$C$41*BT26*BY26*100+0.3*BM26*BY26/CB26*1000)*DA26,1.5*DATOS!$C$86*DATOS!$C$41*BT26*BY26*100*DA26)/1000))</f>
        <v/>
      </c>
      <c r="DG26" s="44" t="str">
        <f>IF(BI26&lt;&gt;"SÍ","",IF(OR(BZ26&lt;DATOS!$C$72-0.0001,BM26&lt;0,CB26&lt;=0),0,MIN(DATOS!$C$86*(0.5*DATOS!$C$41*BT26*BZ26*100+0.3*BM26*BZ26/CB26*1000)*DB26,1.5*DATOS!$C$86*DATOS!$C$41*BT26*BZ26*100*DB26)/1000))</f>
        <v/>
      </c>
      <c r="DH26" s="44" t="str">
        <f>IF(BI26&lt;&gt;"SÍ","",IF(OR(CA26&lt;DATOS!$C$72-0.0001,BM26&lt;0,CB26&lt;=0),0,MIN(DATOS!$C$86*(0.5*DATOS!$C$41*BT26*CA26*100+0.3*BM26*CA26/CB26*1000)*DC26,1.5*DATOS!$C$86*DATOS!$C$41*BT26*CA26*100*DC26)/1000))</f>
        <v/>
      </c>
      <c r="DI26" s="46" t="str">
        <f>IF(BI26&lt;&gt;"SÍ","",SUM(DD26:DH26))</f>
        <v/>
      </c>
      <c r="DJ26" s="48" t="str">
        <f>IF(BI26&lt;&gt;"SÍ","",IF(AE26="VARILLA EN JUNTAS",IF(ISNUMBER(AF26),AF26,2)*INDEX(TABLAS!$D$6:$D$14,MATCH(IF(AG26&lt;&gt;"",AG26,DATOS!$C$73),TABLAS!$B$6:$B$14,0)),IF(AE26="MALLA",IF(ISNUMBER(AF26),AF26,1)*INDEX(TABLAS!$D$19:$D$22,MATCH(IF(AG26&lt;&gt;"",AG26,DATOS!$C$74),TABLAS!$B$19:$B$22,0))/100,IF(AE26="ESCALERILLA",IF(ISNUMBER(AF26),AF26,2)*INDEX(TABLAS!$D$6:$D$14,MATCH(IF(AG26&lt;&gt;"",AG26,DATOS!$C$73),TABLAS!$B$6:$B$14,0)),0))))</f>
        <v/>
      </c>
      <c r="DK26" s="47" t="str">
        <f>IF(BI26&lt;&gt;"SÍ","",IF(OR(AE26="VARILLA EN JUNTAS",AE26="ESCALERILLA"),IF(ISNUMBER(AH26),AH26,2)*DATOS!$C$26,IF(AE26="MALLA",1,0)))</f>
        <v/>
      </c>
      <c r="DL26" s="44" t="str">
        <f>IF(BI26&lt;&gt;"SÍ","",IF(DK26&gt;0,DJ26/(DK26*BT26)*MIN(DATOS!$C$50,IF(AE26="MALLA",5000,6000)),0))</f>
        <v/>
      </c>
      <c r="DM26" s="44" t="str">
        <f>IF(BI26&lt;&gt;"SÍ","",IF(AE26="ESCALERILLA",0,MIN(DL26,0.1*DATOS!$C$33*DATOS!$C$24)))</f>
        <v/>
      </c>
      <c r="DN26" s="48" t="str">
        <f>IF(BI26&lt;&gt;"SÍ","",IF(AE26="MALLA",0.5,IF(DATOS!$C$33&lt;=60,0.55,IF(DATOS!$C$33&gt;=90,0.75,0.55+0.2*(DATOS!$C$33-60)/30))))</f>
        <v/>
      </c>
      <c r="DO26" s="48" t="str">
        <f>IF(BI26&lt;&gt;"SÍ","",1-DATOS!$C$91*DM26)</f>
        <v/>
      </c>
      <c r="DP26" s="44" t="str">
        <f>IF(BI26&lt;&gt;"SÍ","",IF(BW26&gt;0,IF(BS26/BW26&lt;=1,1.3,IF(BS26/BW26&gt;=1.5,1,1.3-0.6*(BS26/BW26-1))),0))</f>
        <v/>
      </c>
      <c r="DQ26" s="44" t="str">
        <f>IF(BI26&lt;&gt;"SÍ","",IF(BX26&gt;0,IF(BS26/BX26&lt;=1,1.3,IF(BS26/BX26&gt;=1.5,1,1.3-0.6*(BS26/BX26-1))),0))</f>
        <v/>
      </c>
      <c r="DR26" s="44" t="str">
        <f>IF(BI26&lt;&gt;"SÍ","",IF(BY26&gt;0,IF(BS26/BY26&lt;=1,1.3,IF(BS26/BY26&gt;=1.5,1,1.3-0.6*(BS26/BY26-1))),0))</f>
        <v/>
      </c>
      <c r="DS26" s="44" t="str">
        <f>IF(BI26&lt;&gt;"SÍ","",IF(BZ26&gt;0,IF(BS26/BZ26&lt;=1,1.3,IF(BS26/BZ26&gt;=1.5,1,1.3-0.6*(BS26/BZ26-1))),0))</f>
        <v/>
      </c>
      <c r="DT26" s="44" t="str">
        <f>IF(BI26&lt;&gt;"SÍ","",IF(CA26&gt;0,IF(BS26/CA26&lt;=1,1.3,IF(BS26/CA26&gt;=1.5,1,1.3-0.6*(BS26/CA26-1))),0))</f>
        <v/>
      </c>
      <c r="DU26" s="44" t="str">
        <f>IF(BI26&lt;&gt;"SÍ","",IF(OR(DM26&lt;=0,BW26&lt;DATOS!$C$72-0.0001),0,DATOS!$C$86*MAX(0,IF(BM26&gt;=0,DD26/(DATOS!$C$86*DM26*BT26*BW26*100/1000)*(DP26*DO26-1)+DN26,DO26*DN26))*DM26*BT26*BW26*100/1000))</f>
        <v/>
      </c>
      <c r="DV26" s="44" t="str">
        <f>IF(BI26&lt;&gt;"SÍ","",IF(OR(DM26&lt;=0,BX26&lt;DATOS!$C$72-0.0001),0,DATOS!$C$86*MAX(0,IF(BM26&gt;=0,DE26/(DATOS!$C$86*DM26*BT26*BX26*100/1000)*(DQ26*DO26-1)+DN26,DO26*DN26))*DM26*BT26*BX26*100/1000))</f>
        <v/>
      </c>
      <c r="DW26" s="44" t="str">
        <f>IF(BI26&lt;&gt;"SÍ","",IF(OR(DM26&lt;=0,BY26&lt;DATOS!$C$72-0.0001),0,DATOS!$C$86*MAX(0,IF(BM26&gt;=0,DF26/(DATOS!$C$86*DM26*BT26*BY26*100/1000)*(DR26*DO26-1)+DN26,DO26*DN26))*DM26*BT26*BY26*100/1000))</f>
        <v/>
      </c>
      <c r="DX26" s="44" t="str">
        <f>IF(BI26&lt;&gt;"SÍ","",IF(OR(DM26&lt;=0,BZ26&lt;DATOS!$C$72-0.0001),0,DATOS!$C$86*MAX(0,IF(BM26&gt;=0,DG26/(DATOS!$C$86*DM26*BT26*BZ26*100/1000)*(DS26*DO26-1)+DN26,DO26*DN26))*DM26*BT26*BZ26*100/1000))</f>
        <v/>
      </c>
      <c r="DY26" s="44" t="str">
        <f>IF(BI26&lt;&gt;"SÍ","",IF(OR(DM26&lt;=0,CA26&lt;DATOS!$C$72-0.0001),0,DATOS!$C$86*MAX(0,IF(BM26&gt;=0,DH26/(DATOS!$C$86*DM26*BT26*CA26*100/1000)*(DT26*DO26-1)+DN26,DO26*DN26))*DM26*BT26*CA26*100/1000))</f>
        <v/>
      </c>
      <c r="DZ26" s="46" t="str">
        <f>IF(BI26&lt;&gt;"SÍ","",SUM(DU26:DY26))</f>
        <v/>
      </c>
      <c r="EA26" s="45" t="str">
        <f>IF(BI26&lt;&gt;"SÍ","",IF(OR(AE26="",AE26="NINGUNO"),IF(DATOS!$C$41&gt;=10,"FALTA refuerzo horizontal: v'm ≥ 10 kg/cm² (6.5.2.2)",IF(AND(BM26&lt;0,BK26&gt;0),"FALTA: P en tensión, el refuerzo debe tomar todo el cortante (6.5.1.3)","—")),IF(AE26="ESCALERILLA","NO CUENTA: la escalerilla no se permite para cortante por sismo (6.5.3.1.2)",IF(AE26="MALLA",IF(AND(DL26&gt;=2.5,DL26&lt;=MAX(0.15*DATOS!$C$33*DATOS!$C$24,2.5)),"CUMPLE","NO CUMPLE: "&amp;IF(DL26&lt;2.5,"p_h·f_yh &lt; 2.5 (6.5.4.2.4)","p_h·f_yh &gt; 0.15·f'm·f_an (6.5.4.2.4)")),IF(AND(DK26&lt;=MIN(6*DATOS!$C$26,45),DL26&gt;=3,DL26&lt;=MIN(MAX(0.15*DATOS!$C$33*DATOS!$C$24,3),0.05*DATOS!$C$25/10*MIN(DATOS!$C$50,6000)/DK26),INDEX(TABLAS!$C$6:$C$14,MATCH(IF(AG26&lt;&gt;"",AG26,DATOS!$C$73),TABLAS!$B$6:$B$14,0))&gt;=0.35,INDEX(TABLAS!$C$6:$C$14,MATCH(IF(AG26&lt;&gt;"",AG26,DATOS!$C$73),TABLAS!$B$6:$B$14,0))&lt;=0.75*DATOS!$C$25/10),"CUMPLE","NO CUMPLE: "&amp;IF(DK26&gt;MIN(6*DATOS!$C$26,45),"s_h &gt; 6 hiladas o 45 cm (6.5.3.2.1) ","")&amp;IF(DL26&lt;3,"p_h·f_yh &lt; 3 (6.5.3.3.1) ","")&amp;IF(DL26&gt;MIN(MAX(0.15*DATOS!$C$33*DATOS!$C$24,3),0.05*DATOS!$C$25/10*MIN(DATOS!$C$50,6000)/DK26),"p_h·f_yh &gt; máximo (6.5.3.3.2) ","")&amp;IF(OR(INDEX(TABLAS!$C$6:$C$14,MATCH(IF(AG26&lt;&gt;"",AG26,DATOS!$C$73),TABLAS!$B$6:$B$14,0))&lt;0.35,INDEX(TABLAS!$C$6:$C$14,MATCH(IF(AG26&lt;&gt;"",AG26,DATOS!$C$73),TABLAS!$B$6:$B$14,0))&gt;0.75*DATOS!$C$25/10),"diámetro fuera de 3.5 mm a 0.75·h_j (4.2.2.2.1)",""))))))</f>
        <v/>
      </c>
      <c r="EB26" s="46" t="str">
        <f>IF(BI26&lt;&gt;"SÍ","",DI26+DZ26)</f>
        <v/>
      </c>
      <c r="EC26" s="50" t="str">
        <f>IF(BI26&lt;&gt;"SÍ","",IF(EB26&gt;0,BK26/EB26,IF(BK26&gt;0,99,0)))</f>
        <v/>
      </c>
      <c r="ED26" s="47" t="str">
        <f>IF(BI26&lt;&gt;"SÍ","",IF(CE26&lt;=0,-1,IF(BK26&lt;=DI26,0,IF(IF(BM26&gt;=0,IF((DATOS!$C$86*IF(AE26="MALLA",0.5,IF(DATOS!$C$33&lt;=60,0.55,IF(DATOS!$C$33&gt;=90,0.75,0.55+0.2*(DATOS!$C$33-60)/30)))*CE26/1000-DATOS!$C$91*SUMPRODUCT(DP26:DT26,DD26:DH26))&lt;=0,1E9,(BK26-SUMPRODUCT(DP26:DT26,DD26:DH26))/(DATOS!$C$86*IF(AE26="MALLA",0.5,IF(DATOS!$C$33&lt;=60,0.55,IF(DATOS!$C$33&gt;=90,0.75,0.55+0.2*(DATOS!$C$33-60)/30)))*CE26/1000-DATOS!$C$91*SUMPRODUCT(DP26:DT26,DD26:DH26))),IF((1-4*DATOS!$C$91*BK26*1000/(DATOS!$C$86*IF(AE26="MALLA",0.5,IF(DATOS!$C$33&lt;=60,0.55,IF(DATOS!$C$33&gt;=90,0.75,0.55+0.2*(DATOS!$C$33-60)/30)))*MAX(CE26,1)))&lt;0,1E9,(1-SQRT((1-4*DATOS!$C$91*BK26*1000/(DATOS!$C$86*IF(AE26="MALLA",0.5,IF(DATOS!$C$33&lt;=60,0.55,IF(DATOS!$C$33&gt;=90,0.75,0.55+0.2*(DATOS!$C$33-60)/30)))*MAX(CE26,1)))))/(2*DATOS!$C$91)))&gt;0.1*DATOS!$C$33*DATOS!$C$24+0.000001,-1,MAX(IF(AE26="MALLA",2.5,3),IF(BM26&gt;=0,IF((DATOS!$C$86*IF(AE26="MALLA",0.5,IF(DATOS!$C$33&lt;=60,0.55,IF(DATOS!$C$33&gt;=90,0.75,0.55+0.2*(DATOS!$C$33-60)/30)))*CE26/1000-DATOS!$C$91*SUMPRODUCT(DP26:DT26,DD26:DH26))&lt;=0,1E9,(BK26-SUMPRODUCT(DP26:DT26,DD26:DH26))/(DATOS!$C$86*IF(AE26="MALLA",0.5,IF(DATOS!$C$33&lt;=60,0.55,IF(DATOS!$C$33&gt;=90,0.75,0.55+0.2*(DATOS!$C$33-60)/30)))*CE26/1000-DATOS!$C$91*SUMPRODUCT(DP26:DT26,DD26:DH26))),IF((1-4*DATOS!$C$91*BK26*1000/(DATOS!$C$86*IF(AE26="MALLA",0.5,IF(DATOS!$C$33&lt;=60,0.55,IF(DATOS!$C$33&gt;=90,0.75,0.55+0.2*(DATOS!$C$33-60)/30)))*MAX(CE26,1)))&lt;0,1E9,(1-SQRT((1-4*DATOS!$C$91*BK26*1000/(DATOS!$C$86*IF(AE26="MALLA",0.5,IF(DATOS!$C$33&lt;=60,0.55,IF(DATOS!$C$33&gt;=90,0.75,0.55+0.2*(DATOS!$C$33-60)/30)))*MAX(CE26,1)))))/(2*DATOS!$C$91))))))))</f>
        <v/>
      </c>
      <c r="EE26" s="45" t="str">
        <f>IF(BI26&lt;&gt;"SÍ","",IF(ED26=0,"NO REQUIERE: V_mR ≥ V_u",IF(ED26&lt;0,"NO ALCANZA con refuerzo horizontal (haría falta más de 0.1·f'm·f_an efectivo): sube v'm con ensayes, el espesor o la longitud del muro",IF(AND(OR(AE26="VARILLA EN JUNTAS",AE26="MALLA"),LEFT(EA26,6)="CUMPLE",EC26&lt;=1),"YA LO TIENE (pide p_h·f_yh ≥ "&amp;TEXT(ED26,"0.0")&amp;" kg/cm²)","p_h·f_yh ≥ "&amp;TEXT(ED26,"0.0")&amp;" kg/cm² → "&amp;IF(AND(MIN(6,FLOOR(45/DATOS!$C$26,1),FLOOR((2*INDEX(TABLAS!$D$6:$D$14,MATCH("3/16 in",TABLAS!$B$6:$B$14,0)))*MIN(DATOS!$C$50,6000)/(BT26*DATOS!$C$26*MAX(ED26,0.001)),1))&gt;=1,((2*INDEX(TABLAS!$D$6:$D$14,MATCH("3/16 in",TABLAS!$B$6:$B$14,0)))*MIN(DATOS!$C$50,6000)/(MAX(MIN(6,FLOOR(45/DATOS!$C$26,1),FLOOR((2*INDEX(TABLAS!$D$6:$D$14,MATCH("3/16 in",TABLAS!$B$6:$B$14,0)))*MIN(DATOS!$C$50,6000)/(BT26*DATOS!$C$26*MAX(ED26,0.001)),1)),1)*DATOS!$C$26*BT26))&lt;=MIN(MAX(0.15*DATOS!$C$33*DATOS!$C$24,3),0.05*DATOS!$C$25/10*MIN(DATOS!$C$50,6000)/(MIN(6,FLOOR(45/DATOS!$C$26,1),FLOOR((2*INDEX(TABLAS!$D$6:$D$14,MATCH("3/16 in",TABLAS!$B$6:$B$14,0)))*MIN(DATOS!$C$50,6000)/(BT26*DATOS!$C$26*MAX(ED26,0.001)),1))*DATOS!$C$26))),"2 alambres de 3/16"" por junta cada "&amp;MIN(6,FLOOR(45/DATOS!$C$26,1),FLOOR((2*INDEX(TABLAS!$D$6:$D$14,MATCH("3/16 in",TABLAS!$B$6:$B$14,0)))*MIN(DATOS!$C$50,6000)/(BT26*DATOS!$C$26*MAX(ED26,0.001)),1))&amp;" hilada(s) (p_h·f_yh = "&amp;TEXT(((2*INDEX(TABLAS!$D$6:$D$14,MATCH("3/16 in",TABLAS!$B$6:$B$14,0)))*MIN(DATOS!$C$50,6000)/(MAX(MIN(6,FLOOR(45/DATOS!$C$26,1),FLOOR((2*INDEX(TABLAS!$D$6:$D$14,MATCH("3/16 in",TABLAS!$B$6:$B$14,0)))*MIN(DATOS!$C$50,6000)/(BT26*DATOS!$C$26*MAX(ED26,0.001)),1)),1)*DATOS!$C$26*BT26)),"0.00")&amp;")",IF(AND(MIN(6,FLOOR(45/DATOS!$C$26,1),FLOOR((2*INDEX(TABLAS!$D$6:$D$14,MATCH("5/32 in",TABLAS!$B$6:$B$14,0)))*MIN(DATOS!$C$50,6000)/(BT26*DATOS!$C$26*MAX(ED26,0.001)),1))&gt;=1,((2*INDEX(TABLAS!$D$6:$D$14,MATCH("5/32 in",TABLAS!$B$6:$B$14,0)))*MIN(DATOS!$C$50,6000)/(MAX(MIN(6,FLOOR(45/DATOS!$C$26,1),FLOOR((2*INDEX(TABLAS!$D$6:$D$14,MATCH("5/32 in",TABLAS!$B$6:$B$14,0)))*MIN(DATOS!$C$50,6000)/(BT26*DATOS!$C$26*MAX(ED26,0.001)),1)),1)*DATOS!$C$26*BT26))&lt;=MIN(MAX(0.15*DATOS!$C$33*DATOS!$C$24,3),0.05*DATOS!$C$25/10*MIN(DATOS!$C$50,6000)/(MIN(6,FLOOR(45/DATOS!$C$26,1),FLOOR((2*INDEX(TABLAS!$D$6:$D$14,MATCH("5/32 in",TABLAS!$B$6:$B$14,0)))*MIN(DATOS!$C$50,6000)/(BT26*DATOS!$C$26*MAX(ED26,0.001)),1))*DATOS!$C$26))),"2 alambres de 5/32"" por junta cada "&amp;MIN(6,FLOOR(45/DATOS!$C$26,1),FLOOR((2*INDEX(TABLAS!$D$6:$D$14,MATCH("5/32 in",TABLAS!$B$6:$B$14,0)))*MIN(DATOS!$C$50,6000)/(BT26*DATOS!$C$26*MAX(ED26,0.001)),1))&amp;" hilada(s) (p_h·f_yh = "&amp;TEXT(((2*INDEX(TABLAS!$D$6:$D$14,MATCH("5/32 in",TABLAS!$B$6:$B$14,0)))*MIN(DATOS!$C$50,6000)/(MAX(MIN(6,FLOOR(45/DATOS!$C$26,1),FLOOR((2*INDEX(TABLAS!$D$6:$D$14,MATCH("5/32 in",TABLAS!$B$6:$B$14,0)))*MIN(DATOS!$C$50,6000)/(BT26*DATOS!$C$26*MAX(ED26,0.001)),1)),1)*DATOS!$C$26*BT26)),"0.00")&amp;")",IF(AND(MIN(6,FLOOR(45/DATOS!$C$26,1),FLOOR((1*INDEX(TABLAS!$D$6:$D$14,MATCH("3/16 in",TABLAS!$B$6:$B$14,0)))*MIN(DATOS!$C$50,6000)/(BT26*DATOS!$C$26*MAX(ED26,0.001)),1))&gt;=1,((1*INDEX(TABLAS!$D$6:$D$14,MATCH("3/16 in",TABLAS!$B$6:$B$14,0)))*MIN(DATOS!$C$50,6000)/(MAX(MIN(6,FLOOR(45/DATOS!$C$26,1),FLOOR((1*INDEX(TABLAS!$D$6:$D$14,MATCH("3/16 in",TABLAS!$B$6:$B$14,0)))*MIN(DATOS!$C$50,6000)/(BT26*DATOS!$C$26*MAX(ED26,0.001)),1)),1)*DATOS!$C$26*BT26))&lt;=MIN(MAX(0.15*DATOS!$C$33*DATOS!$C$24,3),0.05*DATOS!$C$25/10*MIN(DATOS!$C$50,6000)/(MIN(6,FLOOR(45/DATOS!$C$26,1),FLOOR((1*INDEX(TABLAS!$D$6:$D$14,MATCH("3/16 in",TABLAS!$B$6:$B$14,0)))*MIN(DATOS!$C$50,6000)/(BT26*DATOS!$C$26*MAX(ED26,0.001)),1))*DATOS!$C$26))),"1 alambre de 3/16"" por junta cada "&amp;MIN(6,FLOOR(45/DATOS!$C$26,1),FLOOR((1*INDEX(TABLAS!$D$6:$D$14,MATCH("3/16 in",TABLAS!$B$6:$B$14,0)))*MIN(DATOS!$C$50,6000)/(BT26*DATOS!$C$26*MAX(ED26,0.001)),1))&amp;" hilada(s) (p_h·f_yh = "&amp;TEXT(((1*INDEX(TABLAS!$D$6:$D$14,MATCH("3/16 in",TABLAS!$B$6:$B$14,0)))*MIN(DATOS!$C$50,6000)/(MAX(MIN(6,FLOOR(45/DATOS!$C$26,1),FLOOR((1*INDEX(TABLAS!$D$6:$D$14,MATCH("3/16 in",TABLAS!$B$6:$B$14,0)))*MIN(DATOS!$C$50,6000)/(BT26*DATOS!$C$26*MAX(ED26,0.001)),1)),1)*DATOS!$C$26*BT26)),"0.00")&amp;")",IF(AND(MIN(6,FLOOR(45/DATOS!$C$26,1),FLOOR((1*INDEX(TABLAS!$D$6:$D$14,MATCH("5/32 in",TABLAS!$B$6:$B$14,0)))*MIN(DATOS!$C$50,6000)/(BT26*DATOS!$C$26*MAX(ED26,0.001)),1))&gt;=1,((1*INDEX(TABLAS!$D$6:$D$14,MATCH("5/32 in",TABLAS!$B$6:$B$14,0)))*MIN(DATOS!$C$50,6000)/(MAX(MIN(6,FLOOR(45/DATOS!$C$26,1),FLOOR((1*INDEX(TABLAS!$D$6:$D$14,MATCH("5/32 in",TABLAS!$B$6:$B$14,0)))*MIN(DATOS!$C$50,6000)/(BT26*DATOS!$C$26*MAX(ED26,0.001)),1)),1)*DATOS!$C$26*BT26))&lt;=MIN(MAX(0.15*DATOS!$C$33*DATOS!$C$24,3),0.05*DATOS!$C$25/10*MIN(DATOS!$C$50,6000)/(MIN(6,FLOOR(45/DATOS!$C$26,1),FLOOR((1*INDEX(TABLAS!$D$6:$D$14,MATCH("5/32 in",TABLAS!$B$6:$B$14,0)))*MIN(DATOS!$C$50,6000)/(BT26*DATOS!$C$26*MAX(ED26,0.001)),1))*DATOS!$C$26))),"1 alambre de 5/32"" por junta cada "&amp;MIN(6,FLOOR(45/DATOS!$C$26,1),FLOOR((1*INDEX(TABLAS!$D$6:$D$14,MATCH("5/32 in",TABLAS!$B$6:$B$14,0)))*MIN(DATOS!$C$50,6000)/(BT26*DATOS!$C$26*MAX(ED26,0.001)),1))&amp;" hilada(s) (p_h·f_yh = "&amp;TEXT(((1*INDEX(TABLAS!$D$6:$D$14,MATCH("5/32 in",TABLAS!$B$6:$B$14,0)))*MIN(DATOS!$C$50,6000)/(MAX(MIN(6,FLOOR(45/DATOS!$C$26,1),FLOOR((1*INDEX(TABLAS!$D$6:$D$14,MATCH("5/32 in",TABLAS!$B$6:$B$14,0)))*MIN(DATOS!$C$50,6000)/(BT26*DATOS!$C$26*MAX(ED26,0.001)),1)),1)*DATOS!$C$26*BT26)),"0.00")&amp;")","ninguna combinación de 1 o 2 alambres por junta queda entre el mínimo y el máximo: revisa con malla (6.5.4)"))))))))</f>
        <v/>
      </c>
      <c r="EF26" s="43" t="str">
        <f>IF(BI26&lt;&gt;"SÍ","",IF(AI26="SÍ",N(AK26)*N(AL26)^3/12,0))</f>
        <v/>
      </c>
      <c r="EG26" s="48" t="str">
        <f>IF(BI26&lt;&gt;"SÍ","",IF(AND(AI26="SÍ",N(AM26)&gt;0),MIN(1,F26/AM26),0))</f>
        <v/>
      </c>
      <c r="EH26" s="47" t="str">
        <f>IF(BI26&lt;&gt;"SÍ","",IF(AI26="SÍ",BP26*1000/(BT26*F26*100)*BT26*(EG26^4-4*EG26^3+8*EG26),0))</f>
        <v/>
      </c>
      <c r="EI26" s="48" t="str">
        <f>IF(BI26&lt;&gt;"SÍ","",IF(AND(AI26="SÍ",EH26&gt;0),EH26/(EH26+5*N(AN26)*10),0))</f>
        <v/>
      </c>
      <c r="EJ26" s="44" t="str">
        <f>IF(BI26&lt;&gt;"SÍ","",IF(AND(AI26="SÍ",EI26&gt;0,EF26&gt;0),(DATOS!$C$43*BT26*(AM26*100)^3/(DATOS!$C$53*EF26*EI26))^0.25,0))</f>
        <v/>
      </c>
      <c r="EK26" s="44" t="str">
        <f>IF(BI26&lt;&gt;"SÍ","",IF(AI26&lt;&gt;"SÍ",0,IF(N(AM26)&lt;=F26,1,IF(MIN(1,N(AO26)/((AM26-F26)/2))&lt;=0.5,0.7+0.6*MIN(1,N(AO26)/((AM26-F26)/2)),1.5-MIN(1,N(AO26)/((AM26-F26)/2))))))</f>
        <v/>
      </c>
      <c r="EL26" s="44" t="str">
        <f>IF(BI26&lt;&gt;"SÍ","",IF(AI26&lt;&gt;"SÍ",0,MAX(1,IF(EG26&gt;=1,(1.6*EJ26-3.9),IF(EG26&lt;0.9,((3.2*EJ26-7.8)*EK26),((3.2*EJ26-7.8)*EK26)+((1.6*EJ26-3.9)-((3.2*EJ26-7.8)*EK26))*(EG26-0.9)/0.1)))))</f>
        <v/>
      </c>
      <c r="EM26" s="47" t="str">
        <f>IF(BI26&lt;&gt;"SÍ","",IF(AI26="SÍ",EL26*BP26*1000/(BT26*F26*100),0))</f>
        <v/>
      </c>
      <c r="EN26" s="47" t="str">
        <f>IF(BI26&lt;&gt;"SÍ","",IF(AND(AI26="SÍ",N(AL26)&gt;0),AM26*100/AL26,0))</f>
        <v/>
      </c>
      <c r="EO26" s="47" t="str">
        <f>IF(BI26&lt;&gt;"SÍ","",IF(AI26="SÍ",(1/15*DATOS!$C$53*N(AK26)/MAX((IF(ISNUMBER(AP26),AP26,BP26/DATOS!$C$90)*1000/(BT26*F26*100)*BT26*(EG26^4-4*EG26^3+8*EG26))+5*N(AN26)/DATOS!$C$90*10,0.001))^(1/3),0))</f>
        <v/>
      </c>
      <c r="EP26" s="45" t="str">
        <f>IF(BI26&lt;&gt;"SÍ","",IF(AI26&lt;&gt;"SÍ","—",IF(OR(N(AK26)&lt;=0,N(AL26)&lt;=0,N(AM26)&lt;=0),"REVISAR: faltan b, h o L_v de la viga",IF(AND(EM26&lt;=DATOS!$C$87*DATOS!$C$33,EN26&lt;=14,N(AL26)&gt;=25,EN26&lt;=EO26),IF(BS26/F26&lt;0.6,"PENDIENTE: H/L &lt; 0.6, falta el análisis de interacción muro–viga (4.1.18.2.1); f_CM es estimado","CUMPLE"),"NO CUMPLE: "&amp;IF(EM26&gt;DATOS!$C$87*DATOS!$C$33,"f_CM &gt; F_R·f'm ","")&amp;IF(EN26&gt;14,"L_v/h_v &gt; 14 ","")&amp;IF(N(AL26)&lt;25,"h_v &lt; 25 cm ","")&amp;IF(EN26&gt;EO26,"flecha (4.1.18.3)","")))))</f>
        <v/>
      </c>
      <c r="EQ26" s="44" t="str">
        <f>IF(BI26&lt;&gt;"SÍ","",MAX(0,F26*BS26-(N(K26)*N(M26)+N(P26)*N(R26)+N(U26)*N(W26)+N(Z26)*N(AB26))-CK26*DATOS!$C$59/100*BS26))</f>
        <v/>
      </c>
      <c r="ER26" s="48" t="str">
        <f>IF(BI26&lt;&gt;"SÍ","",CK26*DATOS!$C$59*DATOS!$C$60/10000*BS26)</f>
        <v/>
      </c>
      <c r="ES26" s="47" t="str">
        <f>IF(BI26&lt;&gt;"SÍ","",CK26*(DATOS!$C$61*(BS26+0.6)*INDEX(TABLAS!$E$6:$E$14,MATCH(DATOS!$C$62,TABLAS!$B$6:$B$14,0))+(2*ROUNDUP(CN26/DATOS!$C$65,0)+ROUNDUP(MAX(0,BS26*100-2*CN26)/DATOS!$C$64,0))*((2*(DATOS!$C$60+DATOS!$C$59-4*(DATOS!$C$66-INDEX(TABLAS!$C$6:$C$14,MATCH(DATOS!$C$63,TABLAS!$B$6:$B$14,0))))+15)/100)*INDEX(TABLAS!$E$6:$E$14,MATCH(DATOS!$C$63,TABLAS!$B$6:$B$14,0))))</f>
        <v/>
      </c>
      <c r="ET26" s="47" t="str">
        <f>IF(BI26&lt;&gt;"SÍ","",IF(OR(AE26="VARILLA EN JUNTAS",AE26="ESCALERILLA"),INT(BS26*100/MAX(DK26,1))*IF(ISNUMBER(AF26),AF26,2)*CB26*INDEX(TABLAS!$E$6:$E$14,MATCH(IF(AG26&lt;&gt;"",AG26,DATOS!$C$73),TABLAS!$B$6:$B$14,0)),IF(AE26="MALLA",IF(ISNUMBER(AF26),AF26,1)*CB26*BS26*INDEX(TABLAS!$E$19:$E$22,MATCH(IF(AG26&lt;&gt;"",AG26,DATOS!$C$74),TABLAS!$B$19:$B$22,0)),0)))</f>
        <v/>
      </c>
      <c r="EU26" s="45" t="str">
        <f>IF(BI26&lt;&gt;"SÍ","",""&amp;IF(BJ26="NO ESTÁ EN PIER_FORCES","sin fuerzas en PIER_FORCES; ","")&amp;IF(BV26&lt;&gt;"CUMPLE","vanos; ","")&amp;IF(LEFT(CH26,2)="NO","espesor o esbeltez; ","")&amp;IF(CQ26&gt;1,"compresión; ","")&amp;IF(CX26&gt;1,"flexión; ","")&amp;IF(CB26&lt;=0,"sin tramos de muro (todos son machones menores que L mín.: diséñalos como columnas o baja L mín.); ",IF(EC26&gt;1,"cortante; ",""))&amp;IF(OR(LEFT(EA26,2)="NO",LEFT(EA26,5)="FALTA"),"refuerzo horizontal; ","")&amp;IF(OR(LEFT(EP26,2)="NO",LEFT(EP26,7)="REVISAR"),"muro sobre viga; ","")&amp;IF(LEFT(DATOS!$C$81,2)="NO","castillo típico; ","")&amp;IF(LEFT(DATOS!$C$82,2)="NO","dala típica; ","")&amp;IF(AND(BT26&lt;&gt;DATOS!$C$58,DATOS!$C$60&lt;BT26),"castillo más angosto que el muro; ",""))</f>
        <v/>
      </c>
      <c r="EV26" s="45" t="str">
        <f>IF(BI26&lt;&gt;"SÍ","",""&amp;IF(LEFT(EP26,9)="PENDIENTE","análisis muro–viga (H/L &lt; 0.6); ","")&amp;IF(BR26&gt;50,"V_u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6" s="51" t="str">
        <f>IF(BI26&lt;&gt;"SÍ","",IF(EU26&lt;&gt;"","NO CUMPLE: "&amp;LEFT(EU26,LEN(EU26)-2),IF(EV26&lt;&gt;"","CUMPLE — PENDIENTE: "&amp;LEFT(EV26,LEN(EV26)-2),"CUMPLE")))</f>
        <v/>
      </c>
      <c r="EX26" s="52" t="n"/>
    </row>
    <row r="27" ht="30" customHeight="1">
      <c r="A27" s="38" t="str">
        <f>IF(B27="","",ROW()-10)</f>
        <v/>
      </c>
      <c r="B27" s="28" t="n"/>
      <c r="C27" s="39" t="n"/>
      <c r="D27" s="39" t="n"/>
      <c r="E27" s="39" t="n"/>
      <c r="F27" s="40" t="n"/>
      <c r="G27" s="40" t="n"/>
      <c r="H27" s="41" t="n"/>
      <c r="I27" s="39" t="n"/>
      <c r="J27" s="40" t="n"/>
      <c r="K27" s="40" t="n"/>
      <c r="L27" s="40" t="n"/>
      <c r="M27" s="40" t="n"/>
      <c r="N27" s="39" t="n"/>
      <c r="O27" s="40" t="n"/>
      <c r="P27" s="40" t="n"/>
      <c r="Q27" s="40" t="n"/>
      <c r="R27" s="40" t="n"/>
      <c r="S27" s="39" t="n"/>
      <c r="T27" s="40" t="n"/>
      <c r="U27" s="40" t="n"/>
      <c r="V27" s="40" t="n"/>
      <c r="W27" s="40" t="n"/>
      <c r="X27" s="39" t="n"/>
      <c r="Y27" s="40" t="n"/>
      <c r="Z27" s="40" t="n"/>
      <c r="AA27" s="40" t="n"/>
      <c r="AB27" s="40" t="n"/>
      <c r="AC27" s="41" t="n"/>
      <c r="AD27" s="41" t="n"/>
      <c r="AE27" s="39" t="n"/>
      <c r="AF27" s="41" t="n"/>
      <c r="AG27" s="41" t="n"/>
      <c r="AH27" s="41" t="n"/>
      <c r="AI27" s="39" t="n"/>
      <c r="AJ27" s="39" t="n"/>
      <c r="AK27" s="41" t="n"/>
      <c r="AL27" s="41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2" t="str">
        <f>IF(B27="","",C27&amp;"|"&amp;B27)</f>
        <v/>
      </c>
      <c r="AY27" s="43" t="str">
        <f>IF(B27="","",COUNTIFS(PIER_FORCES!$O$9:$O$3008,17,PIER_FORCES!$P$9:$P$3008,1))</f>
        <v/>
      </c>
      <c r="AZ27" s="43" t="str">
        <f>IF(B27="","",COUNTIFS(PIER_FORCES!$O$9:$O$3008,17,PIER_FORCES!$P$9:$P$3008,2))</f>
        <v/>
      </c>
      <c r="BA27" s="44">
        <f>IF(N(AY27)=0,0,SUMPRODUCT(MAX((PIER_FORCES!$O$9:$O$3008=17)*(PIER_FORCES!$P$9:$P$3008=1)*PIER_FORCES!$R$9:$R$3008)))</f>
        <v>0</v>
      </c>
      <c r="BB27" s="44">
        <f>IF(N(AY27)=0,0,SUMPRODUCT(MAX((PIER_FORCES!$O$9:$O$3008=17)*(PIER_FORCES!$P$9:$P$3008=1)*PIER_FORCES!$S$9:$S$3008)))</f>
        <v>0</v>
      </c>
      <c r="BC27" s="44">
        <f>IF(N(AY27)=0,0,-SUMPRODUCT(MAX((PIER_FORCES!$O$9:$O$3008=17)*(PIER_FORCES!$P$9:$P$3008=1)*(-PIER_FORCES!$Q$9:$Q$3008)+(1-(PIER_FORCES!$O$9:$O$3008=17)*(PIER_FORCES!$P$9:$P$3008=1))*(-1E9))))</f>
        <v>0</v>
      </c>
      <c r="BD27" s="44">
        <f>IF(N(AY27)=0,0,SUMPRODUCT(MAX((PIER_FORCES!$O$9:$O$3008=17)*(PIER_FORCES!$P$9:$P$3008=1)*PIER_FORCES!$Q$9:$Q$3008+(1-(PIER_FORCES!$O$9:$O$3008=17)*(PIER_FORCES!$P$9:$P$3008=1))*(-1E9))))</f>
        <v>0</v>
      </c>
      <c r="BE27" s="44">
        <f>IF(N(AZ27)=0,BD27,SUMPRODUCT(MAX((PIER_FORCES!$O$9:$O$3008=17)*(PIER_FORCES!$P$9:$P$3008=2)*PIER_FORCES!$Q$9:$Q$3008+(1-(PIER_FORCES!$O$9:$O$3008=17)*(PIER_FORCES!$P$9:$P$3008=2))*(-1E9))))</f>
        <v>0</v>
      </c>
      <c r="BF27" s="44">
        <f>IF(N(AZ27)=0,0,SUMPRODUCT(MAX((PIER_FORCES!$O$9:$O$3008=17)*(PIER_FORCES!$P$9:$P$3008=2)*PIER_FORCES!$R$9:$R$3008)))</f>
        <v>0</v>
      </c>
      <c r="BG27" s="43">
        <f>IF(N(AY27)=0,0,SUMPRODUCT(MAX((PIER_FORCES!$O$9:$O$3008=17)*(PIER_FORCES!$P$9:$P$3008=1)*(ABS(PIER_FORCES!$R$9:$R$3008-BA27)&lt;0.000001)*PIER_FORCES!$T$9:$T$3008)))</f>
        <v>0</v>
      </c>
      <c r="BH27" s="45" t="str">
        <f>IF(N(BG27)=0,"",INDEX(PIER_FORCES!$D$9:$D$3008,BG27)&amp;" "&amp;INDEX(PIER_FORCES!$F$9:$F$3008,BG27)&amp;" / "&amp;INDEX(PIER_FORCES!$G$9:$G$3008,BG27))</f>
        <v/>
      </c>
      <c r="BI27" s="42" t="str">
        <f>IF(B27="","",IF(AND(C27&lt;&gt;"",OR(D27="X",D27="Y"),ISNUMBER(F27),N(F27)&gt;0),"SÍ","NO"))</f>
        <v/>
      </c>
      <c r="BJ27" s="42" t="str">
        <f>IF(BI27&lt;&gt;"SÍ","",IF(DATOS!$C$108="ETABS (PIER_FORCES)",IF(N(AY27)&gt;0,"ETABS","NO ESTÁ EN PIER_FORCES"),"CAPTURA"))</f>
        <v/>
      </c>
      <c r="BK27" s="46" t="str">
        <f>IF(BI27&lt;&gt;"SÍ","",IF(BJ27="ETABS",BA27,IF(BJ27="CAPTURA",N(AQ27),0)))</f>
        <v/>
      </c>
      <c r="BL27" s="46" t="str">
        <f>IF(BI27&lt;&gt;"SÍ","",IF(BJ27="ETABS",BB27,IF(BJ27="CAPTURA",N(AR27),0)))</f>
        <v/>
      </c>
      <c r="BM27" s="46" t="str">
        <f>IF(BI27&lt;&gt;"SÍ","",IF(BJ27="ETABS",BC27/DATOS!$C$89,IF(BJ27="CAPTURA",N(AS27),0)))</f>
        <v/>
      </c>
      <c r="BN27" s="44" t="str">
        <f>IF(BI27&lt;&gt;"SÍ","",IF(BJ27="ETABS",BC27,IF(BJ27="CAPTURA",IF(ISNUMBER(AU27),AU27,N(AS27)*DATOS!$C$89),0)))</f>
        <v/>
      </c>
      <c r="BO27" s="44" t="str">
        <f>IF(BI27&lt;&gt;"SÍ","",IF(BJ27="ETABS",MAX(BD27,BE27),IF(BJ27="CAPTURA",N(AT27),0)))</f>
        <v/>
      </c>
      <c r="BP27" s="44" t="str">
        <f>IF(BI27&lt;&gt;"SÍ","",IF(BJ27="ETABS",BE27,IF(BJ27="CAPTURA",IF(ISNUMBER(AV27),AV27,N(AT27)),0)))</f>
        <v/>
      </c>
      <c r="BQ27" s="44" t="str">
        <f>IF(BI27&lt;&gt;"SÍ","",IF(BJ27="ETABS",BF27,IF(BJ27="CAPTURA",N(AW27),0)))</f>
        <v/>
      </c>
      <c r="BR27" s="43" t="str">
        <f>IF(BI27&lt;&gt;"SÍ","",IF(BK27&gt;0,100*BQ27/BK27,0))</f>
        <v/>
      </c>
      <c r="BS27" s="44" t="str">
        <f>IF(BI27&lt;&gt;"SÍ","",IF(ISNUMBER(G27),G27,DATOS!$C$57))</f>
        <v/>
      </c>
      <c r="BT27" s="47" t="str">
        <f>IF(BI27&lt;&gt;"SÍ","",IF(ISNUMBER(H27),H27,DATOS!$C$58))</f>
        <v/>
      </c>
      <c r="BU27" s="43" t="str">
        <f>IF(BI27&lt;&gt;"SÍ","",IF(N(K27)&gt;0,1+IF(N(P27)&gt;0,1+IF(N(U27)&gt;0,1+IF(N(Z27)&gt;0,1,0),0),0),0))</f>
        <v/>
      </c>
      <c r="BV27" s="45" t="str">
        <f>IF(BI27&lt;&gt;"SÍ","",IF(AND(OR(BU27&lt;1,AND(N(J27)&gt;=0-0.001,J27+K27&lt;=F27+0.001,N(L27)&gt;=0,N(L27)+N(M27)&lt;=BS27+0.001,N(M27)&gt;0,OR(I27="PUERTA",I27="VENTANA"))),OR(BU27&lt;2,AND(N(O27)&gt;=(J27+K27)-0.001,O27+P27&lt;=F27+0.001,N(Q27)&gt;=0,N(Q27)+N(R27)&lt;=BS27+0.001,N(R27)&gt;0,OR(N27="PUERTA",N27="VENTANA"))),OR(BU27&lt;3,AND(N(T27)&gt;=(O27+P27)-0.001,T27+U27&lt;=F27+0.001,N(V27)&gt;=0,N(V27)+N(W27)&lt;=BS27+0.001,N(W27)&gt;0,OR(S27="PUERTA",S27="VENTANA"))),OR(BU27&lt;4,AND(N(Y27)&gt;=(T27+U27)-0.001,Y27+Z27&lt;=F27+0.001,N(AA27)&gt;=0,N(AA27)+N(AB27)&lt;=BS27+0.001,N(AB27)&gt;0,OR(X27="PUERTA",X27="VENTANA"))),(N(K27)&gt;0)+(N(P27)&gt;0)+(N(U27)&gt;0)+(N(Z27)&gt;0)=BU27),"CUMPLE","REVISAR VANOS: tipo, orden de izquierda a derecha, que quepan en L y en H"))</f>
        <v/>
      </c>
      <c r="BW27" s="44" t="str">
        <f>IF(BI27&lt;&gt;"SÍ","",MAX(0,IF(BU27&gt;=1,N(J27),F27)))</f>
        <v/>
      </c>
      <c r="BX27" s="44" t="str">
        <f>IF(BI27&lt;&gt;"SÍ","",MAX(0,IF(BU27&gt;=2,N(O27)-(N(J27)+N(K27)),IF(BU27=1,F27-(N(J27)+N(K27)),0))))</f>
        <v/>
      </c>
      <c r="BY27" s="44" t="str">
        <f>IF(BI27&lt;&gt;"SÍ","",MAX(0,IF(BU27&gt;=3,N(T27)-(N(O27)+N(P27)),IF(BU27=2,F27-(N(O27)+N(P27)),0))))</f>
        <v/>
      </c>
      <c r="BZ27" s="44" t="str">
        <f>IF(BI27&lt;&gt;"SÍ","",MAX(0,IF(BU27&gt;=4,N(Y27)-(N(T27)+N(U27)),IF(BU27=3,F27-(N(T27)+N(U27)),0))))</f>
        <v/>
      </c>
      <c r="CA27" s="44" t="str">
        <f>IF(BI27&lt;&gt;"SÍ","",MAX(0,IF(BU27=4,F27-(N(Y27)+N(Z27)),0)))</f>
        <v/>
      </c>
      <c r="CB27" s="46" t="str">
        <f>IF(BI27&lt;&gt;"SÍ","",SUMPRODUCT((BW27:CA27&gt;=DATOS!$C$72-0.0001)*BW27:CA27))</f>
        <v/>
      </c>
      <c r="CC27" s="43" t="str">
        <f>IF(BI27&lt;&gt;"SÍ","",SUMPRODUCT(--(BW27:CA27&gt;=DATOS!$C$72-0.0001)))</f>
        <v/>
      </c>
      <c r="CD27" s="44" t="str">
        <f>IF(BI27&lt;&gt;"SÍ","",SUM(BW27:CA27))</f>
        <v/>
      </c>
      <c r="CE27" s="43" t="str">
        <f>IF(BI27&lt;&gt;"SÍ","",BT27*CB27*100)</f>
        <v/>
      </c>
      <c r="CF27" s="43" t="str">
        <f>IF(BI27&lt;&gt;"SÍ","",BT27*CD27*100)</f>
        <v/>
      </c>
      <c r="CG27" s="47" t="str">
        <f>IF(BI27&lt;&gt;"SÍ","",BS27*100/BT27)</f>
        <v/>
      </c>
      <c r="CH27" s="45" t="str">
        <f>IF(BI27&lt;&gt;"SÍ","",IF(AND(OR(DATOS!$C$14="TIPO II",BT27&gt;=12),CG27&lt;=25),"CUMPLE","NO CUMPLE: "&amp;IF(AND(DATOS!$C$14="TIPO I",BT27&lt;12),"t &lt; 12 cm ","")&amp;IF(CG27&gt;25,"H/t &gt; 25","")))</f>
        <v/>
      </c>
      <c r="CI27" s="44" t="str">
        <f>IF(BI27&lt;&gt;"SÍ","",MIN(1.5*BS27,4))</f>
        <v/>
      </c>
      <c r="CJ27" s="43" t="str">
        <f>IF(BI27&lt;&gt;"SÍ","",SUMPRODUCT((BW27:CA27&gt;=2*DATOS!$C$59/100)*INT((BW27:CA27-DATOS!$C$59/100)/CI27-0.000001)*((BW27:CA27-DATOS!$C$59/100)&gt;0)))</f>
        <v/>
      </c>
      <c r="CK27" s="43" t="str">
        <f>IF(BI27&lt;&gt;"SÍ","",SUMPRODUCT((BW27:CA27&gt;0.0001)*1+(BW27:CA27&gt;=2*DATOS!$C$59/100)*1)+CJ27)</f>
        <v/>
      </c>
      <c r="CL27" s="44" t="str">
        <f>IF(BI27&lt;&gt;"SÍ","",IF(ISNUMBER(AC27),AC27,DATOS!$C$61)*INDEX(TABLAS!$D$6:$D$14,MATCH(IF(AD27&lt;&gt;"",AD27,DATOS!$C$62),TABLAS!$B$6:$B$14,0)))</f>
        <v/>
      </c>
      <c r="CM27" s="44" t="str">
        <f>IF(BI27&lt;&gt;"SÍ","",CK27*DATOS!$C$78+IF(CK27&gt;=2,2,CK27)*(CL27-DATOS!$C$78))</f>
        <v/>
      </c>
      <c r="CN27" s="47" t="str">
        <f>IF(BI27&lt;&gt;"SÍ","",MAX(BS27*100/6,40))</f>
        <v/>
      </c>
      <c r="CO27" s="48" t="str">
        <f>IF(BI27&lt;&gt;"SÍ","",IF(CG27&lt;=20,IF(E27="INTERIOR",0.7,0.6),MIN(IF(E27="INTERIOR",0.7,0.6),(1-2/24)*(1-(IF(E27="INTERIOR",0.8,1)*CG27/30)^2))))</f>
        <v/>
      </c>
      <c r="CP27" s="47" t="str">
        <f>IF(BI27&lt;&gt;"SÍ","",DATOS!$C$87*CO27*(DATOS!$C$33*CF27+CM27*DATOS!$C$48)/1000)</f>
        <v/>
      </c>
      <c r="CQ27" s="46" t="str">
        <f>IF(BI27&lt;&gt;"SÍ","",IF(CP27&gt;0,BO27/CP27,99))</f>
        <v/>
      </c>
      <c r="CR27" s="47" t="str">
        <f>IF(BI27&lt;&gt;"SÍ","",MAX(0,F27*100-DATOS!$C$59))</f>
        <v/>
      </c>
      <c r="CS27" s="47" t="str">
        <f>IF(BI27&lt;&gt;"SÍ","",MAX(0,F27*100-DATOS!$C$59/2))</f>
        <v/>
      </c>
      <c r="CT27" s="44" t="str">
        <f>IF(BI27&lt;&gt;"SÍ","",CL27*DATOS!$C$48*CR27/100000)</f>
        <v/>
      </c>
      <c r="CU27" s="44" t="str">
        <f>IF(BI27&lt;&gt;"SÍ","",IF(BN27&lt;0,0.8*CT27*MAX(0,1+BN27/(0.8*CM27*DATOS!$C$48/1000)),IF(BN27&lt;=CP27/3,0.8*CT27+0.3*BN27*CS27/100,(1.5*0.6*CT27+0.15*CP27*CS27/100)*MAX(0,1-BN27/CP27))))</f>
        <v/>
      </c>
      <c r="CV27" s="44" t="str">
        <f>IF(BI27&lt;&gt;"SÍ","",IF(BO27&lt;0,0.8*CT27*MAX(0,1+BO27/(0.8*CM27*DATOS!$C$48/1000)),IF(BO27&lt;=CP27/3,0.8*CT27+0.3*BO27*CS27/100,(1.5*0.6*CT27+0.15*CP27*CS27/100)*MAX(0,1-BO27/CP27))))</f>
        <v/>
      </c>
      <c r="CW27" s="46" t="str">
        <f>IF(BI27&lt;&gt;"SÍ","",MAX(0,MIN(CU27,CV27)))</f>
        <v/>
      </c>
      <c r="CX27" s="49" t="str">
        <f>IF(BI27&lt;&gt;"SÍ","",IF(CW27&gt;0,BL27/CW27,IF(BL27&gt;0,99,0)))</f>
        <v/>
      </c>
      <c r="CY27" s="44" t="str">
        <f>IF(BI27&lt;&gt;"SÍ","",IF(BW27&gt;0,MAX(1,MIN(1.5,1.5-0.625*(BS27/BW27-0.2))),0))</f>
        <v/>
      </c>
      <c r="CZ27" s="44" t="str">
        <f>IF(BI27&lt;&gt;"SÍ","",IF(BX27&gt;0,MAX(1,MIN(1.5,1.5-0.625*(BS27/BX27-0.2))),0))</f>
        <v/>
      </c>
      <c r="DA27" s="44" t="str">
        <f>IF(BI27&lt;&gt;"SÍ","",IF(BY27&gt;0,MAX(1,MIN(1.5,1.5-0.625*(BS27/BY27-0.2))),0))</f>
        <v/>
      </c>
      <c r="DB27" s="44" t="str">
        <f>IF(BI27&lt;&gt;"SÍ","",IF(BZ27&gt;0,MAX(1,MIN(1.5,1.5-0.625*(BS27/BZ27-0.2))),0))</f>
        <v/>
      </c>
      <c r="DC27" s="44" t="str">
        <f>IF(BI27&lt;&gt;"SÍ","",IF(CA27&gt;0,MAX(1,MIN(1.5,1.5-0.625*(BS27/CA27-0.2))),0))</f>
        <v/>
      </c>
      <c r="DD27" s="44" t="str">
        <f>IF(BI27&lt;&gt;"SÍ","",IF(OR(BW27&lt;DATOS!$C$72-0.0001,BM27&lt;0,CB27&lt;=0),0,MIN(DATOS!$C$86*(0.5*DATOS!$C$41*BT27*BW27*100+0.3*BM27*BW27/CB27*1000)*CY27,1.5*DATOS!$C$86*DATOS!$C$41*BT27*BW27*100*CY27)/1000))</f>
        <v/>
      </c>
      <c r="DE27" s="44" t="str">
        <f>IF(BI27&lt;&gt;"SÍ","",IF(OR(BX27&lt;DATOS!$C$72-0.0001,BM27&lt;0,CB27&lt;=0),0,MIN(DATOS!$C$86*(0.5*DATOS!$C$41*BT27*BX27*100+0.3*BM27*BX27/CB27*1000)*CZ27,1.5*DATOS!$C$86*DATOS!$C$41*BT27*BX27*100*CZ27)/1000))</f>
        <v/>
      </c>
      <c r="DF27" s="44" t="str">
        <f>IF(BI27&lt;&gt;"SÍ","",IF(OR(BY27&lt;DATOS!$C$72-0.0001,BM27&lt;0,CB27&lt;=0),0,MIN(DATOS!$C$86*(0.5*DATOS!$C$41*BT27*BY27*100+0.3*BM27*BY27/CB27*1000)*DA27,1.5*DATOS!$C$86*DATOS!$C$41*BT27*BY27*100*DA27)/1000))</f>
        <v/>
      </c>
      <c r="DG27" s="44" t="str">
        <f>IF(BI27&lt;&gt;"SÍ","",IF(OR(BZ27&lt;DATOS!$C$72-0.0001,BM27&lt;0,CB27&lt;=0),0,MIN(DATOS!$C$86*(0.5*DATOS!$C$41*BT27*BZ27*100+0.3*BM27*BZ27/CB27*1000)*DB27,1.5*DATOS!$C$86*DATOS!$C$41*BT27*BZ27*100*DB27)/1000))</f>
        <v/>
      </c>
      <c r="DH27" s="44" t="str">
        <f>IF(BI27&lt;&gt;"SÍ","",IF(OR(CA27&lt;DATOS!$C$72-0.0001,BM27&lt;0,CB27&lt;=0),0,MIN(DATOS!$C$86*(0.5*DATOS!$C$41*BT27*CA27*100+0.3*BM27*CA27/CB27*1000)*DC27,1.5*DATOS!$C$86*DATOS!$C$41*BT27*CA27*100*DC27)/1000))</f>
        <v/>
      </c>
      <c r="DI27" s="46" t="str">
        <f>IF(BI27&lt;&gt;"SÍ","",SUM(DD27:DH27))</f>
        <v/>
      </c>
      <c r="DJ27" s="48" t="str">
        <f>IF(BI27&lt;&gt;"SÍ","",IF(AE27="VARILLA EN JUNTAS",IF(ISNUMBER(AF27),AF27,2)*INDEX(TABLAS!$D$6:$D$14,MATCH(IF(AG27&lt;&gt;"",AG27,DATOS!$C$73),TABLAS!$B$6:$B$14,0)),IF(AE27="MALLA",IF(ISNUMBER(AF27),AF27,1)*INDEX(TABLAS!$D$19:$D$22,MATCH(IF(AG27&lt;&gt;"",AG27,DATOS!$C$74),TABLAS!$B$19:$B$22,0))/100,IF(AE27="ESCALERILLA",IF(ISNUMBER(AF27),AF27,2)*INDEX(TABLAS!$D$6:$D$14,MATCH(IF(AG27&lt;&gt;"",AG27,DATOS!$C$73),TABLAS!$B$6:$B$14,0)),0))))</f>
        <v/>
      </c>
      <c r="DK27" s="47" t="str">
        <f>IF(BI27&lt;&gt;"SÍ","",IF(OR(AE27="VARILLA EN JUNTAS",AE27="ESCALERILLA"),IF(ISNUMBER(AH27),AH27,2)*DATOS!$C$26,IF(AE27="MALLA",1,0)))</f>
        <v/>
      </c>
      <c r="DL27" s="44" t="str">
        <f>IF(BI27&lt;&gt;"SÍ","",IF(DK27&gt;0,DJ27/(DK27*BT27)*MIN(DATOS!$C$50,IF(AE27="MALLA",5000,6000)),0))</f>
        <v/>
      </c>
      <c r="DM27" s="44" t="str">
        <f>IF(BI27&lt;&gt;"SÍ","",IF(AE27="ESCALERILLA",0,MIN(DL27,0.1*DATOS!$C$33*DATOS!$C$24)))</f>
        <v/>
      </c>
      <c r="DN27" s="48" t="str">
        <f>IF(BI27&lt;&gt;"SÍ","",IF(AE27="MALLA",0.5,IF(DATOS!$C$33&lt;=60,0.55,IF(DATOS!$C$33&gt;=90,0.75,0.55+0.2*(DATOS!$C$33-60)/30))))</f>
        <v/>
      </c>
      <c r="DO27" s="48" t="str">
        <f>IF(BI27&lt;&gt;"SÍ","",1-DATOS!$C$91*DM27)</f>
        <v/>
      </c>
      <c r="DP27" s="44" t="str">
        <f>IF(BI27&lt;&gt;"SÍ","",IF(BW27&gt;0,IF(BS27/BW27&lt;=1,1.3,IF(BS27/BW27&gt;=1.5,1,1.3-0.6*(BS27/BW27-1))),0))</f>
        <v/>
      </c>
      <c r="DQ27" s="44" t="str">
        <f>IF(BI27&lt;&gt;"SÍ","",IF(BX27&gt;0,IF(BS27/BX27&lt;=1,1.3,IF(BS27/BX27&gt;=1.5,1,1.3-0.6*(BS27/BX27-1))),0))</f>
        <v/>
      </c>
      <c r="DR27" s="44" t="str">
        <f>IF(BI27&lt;&gt;"SÍ","",IF(BY27&gt;0,IF(BS27/BY27&lt;=1,1.3,IF(BS27/BY27&gt;=1.5,1,1.3-0.6*(BS27/BY27-1))),0))</f>
        <v/>
      </c>
      <c r="DS27" s="44" t="str">
        <f>IF(BI27&lt;&gt;"SÍ","",IF(BZ27&gt;0,IF(BS27/BZ27&lt;=1,1.3,IF(BS27/BZ27&gt;=1.5,1,1.3-0.6*(BS27/BZ27-1))),0))</f>
        <v/>
      </c>
      <c r="DT27" s="44" t="str">
        <f>IF(BI27&lt;&gt;"SÍ","",IF(CA27&gt;0,IF(BS27/CA27&lt;=1,1.3,IF(BS27/CA27&gt;=1.5,1,1.3-0.6*(BS27/CA27-1))),0))</f>
        <v/>
      </c>
      <c r="DU27" s="44" t="str">
        <f>IF(BI27&lt;&gt;"SÍ","",IF(OR(DM27&lt;=0,BW27&lt;DATOS!$C$72-0.0001),0,DATOS!$C$86*MAX(0,IF(BM27&gt;=0,DD27/(DATOS!$C$86*DM27*BT27*BW27*100/1000)*(DP27*DO27-1)+DN27,DO27*DN27))*DM27*BT27*BW27*100/1000))</f>
        <v/>
      </c>
      <c r="DV27" s="44" t="str">
        <f>IF(BI27&lt;&gt;"SÍ","",IF(OR(DM27&lt;=0,BX27&lt;DATOS!$C$72-0.0001),0,DATOS!$C$86*MAX(0,IF(BM27&gt;=0,DE27/(DATOS!$C$86*DM27*BT27*BX27*100/1000)*(DQ27*DO27-1)+DN27,DO27*DN27))*DM27*BT27*BX27*100/1000))</f>
        <v/>
      </c>
      <c r="DW27" s="44" t="str">
        <f>IF(BI27&lt;&gt;"SÍ","",IF(OR(DM27&lt;=0,BY27&lt;DATOS!$C$72-0.0001),0,DATOS!$C$86*MAX(0,IF(BM27&gt;=0,DF27/(DATOS!$C$86*DM27*BT27*BY27*100/1000)*(DR27*DO27-1)+DN27,DO27*DN27))*DM27*BT27*BY27*100/1000))</f>
        <v/>
      </c>
      <c r="DX27" s="44" t="str">
        <f>IF(BI27&lt;&gt;"SÍ","",IF(OR(DM27&lt;=0,BZ27&lt;DATOS!$C$72-0.0001),0,DATOS!$C$86*MAX(0,IF(BM27&gt;=0,DG27/(DATOS!$C$86*DM27*BT27*BZ27*100/1000)*(DS27*DO27-1)+DN27,DO27*DN27))*DM27*BT27*BZ27*100/1000))</f>
        <v/>
      </c>
      <c r="DY27" s="44" t="str">
        <f>IF(BI27&lt;&gt;"SÍ","",IF(OR(DM27&lt;=0,CA27&lt;DATOS!$C$72-0.0001),0,DATOS!$C$86*MAX(0,IF(BM27&gt;=0,DH27/(DATOS!$C$86*DM27*BT27*CA27*100/1000)*(DT27*DO27-1)+DN27,DO27*DN27))*DM27*BT27*CA27*100/1000))</f>
        <v/>
      </c>
      <c r="DZ27" s="46" t="str">
        <f>IF(BI27&lt;&gt;"SÍ","",SUM(DU27:DY27))</f>
        <v/>
      </c>
      <c r="EA27" s="45" t="str">
        <f>IF(BI27&lt;&gt;"SÍ","",IF(OR(AE27="",AE27="NINGUNO"),IF(DATOS!$C$41&gt;=10,"FALTA refuerzo horizontal: v'm ≥ 10 kg/cm² (6.5.2.2)",IF(AND(BM27&lt;0,BK27&gt;0),"FALTA: P en tensión, el refuerzo debe tomar todo el cortante (6.5.1.3)","—")),IF(AE27="ESCALERILLA","NO CUENTA: la escalerilla no se permite para cortante por sismo (6.5.3.1.2)",IF(AE27="MALLA",IF(AND(DL27&gt;=2.5,DL27&lt;=MAX(0.15*DATOS!$C$33*DATOS!$C$24,2.5)),"CUMPLE","NO CUMPLE: "&amp;IF(DL27&lt;2.5,"p_h·f_yh &lt; 2.5 (6.5.4.2.4)","p_h·f_yh &gt; 0.15·f'm·f_an (6.5.4.2.4)")),IF(AND(DK27&lt;=MIN(6*DATOS!$C$26,45),DL27&gt;=3,DL27&lt;=MIN(MAX(0.15*DATOS!$C$33*DATOS!$C$24,3),0.05*DATOS!$C$25/10*MIN(DATOS!$C$50,6000)/DK27),INDEX(TABLAS!$C$6:$C$14,MATCH(IF(AG27&lt;&gt;"",AG27,DATOS!$C$73),TABLAS!$B$6:$B$14,0))&gt;=0.35,INDEX(TABLAS!$C$6:$C$14,MATCH(IF(AG27&lt;&gt;"",AG27,DATOS!$C$73),TABLAS!$B$6:$B$14,0))&lt;=0.75*DATOS!$C$25/10),"CUMPLE","NO CUMPLE: "&amp;IF(DK27&gt;MIN(6*DATOS!$C$26,45),"s_h &gt; 6 hiladas o 45 cm (6.5.3.2.1) ","")&amp;IF(DL27&lt;3,"p_h·f_yh &lt; 3 (6.5.3.3.1) ","")&amp;IF(DL27&gt;MIN(MAX(0.15*DATOS!$C$33*DATOS!$C$24,3),0.05*DATOS!$C$25/10*MIN(DATOS!$C$50,6000)/DK27),"p_h·f_yh &gt; máximo (6.5.3.3.2) ","")&amp;IF(OR(INDEX(TABLAS!$C$6:$C$14,MATCH(IF(AG27&lt;&gt;"",AG27,DATOS!$C$73),TABLAS!$B$6:$B$14,0))&lt;0.35,INDEX(TABLAS!$C$6:$C$14,MATCH(IF(AG27&lt;&gt;"",AG27,DATOS!$C$73),TABLAS!$B$6:$B$14,0))&gt;0.75*DATOS!$C$25/10),"diámetro fuera de 3.5 mm a 0.75·h_j (4.2.2.2.1)",""))))))</f>
        <v/>
      </c>
      <c r="EB27" s="46" t="str">
        <f>IF(BI27&lt;&gt;"SÍ","",DI27+DZ27)</f>
        <v/>
      </c>
      <c r="EC27" s="50" t="str">
        <f>IF(BI27&lt;&gt;"SÍ","",IF(EB27&gt;0,BK27/EB27,IF(BK27&gt;0,99,0)))</f>
        <v/>
      </c>
      <c r="ED27" s="47" t="str">
        <f>IF(BI27&lt;&gt;"SÍ","",IF(CE27&lt;=0,-1,IF(BK27&lt;=DI27,0,IF(IF(BM27&gt;=0,IF((DATOS!$C$86*IF(AE27="MALLA",0.5,IF(DATOS!$C$33&lt;=60,0.55,IF(DATOS!$C$33&gt;=90,0.75,0.55+0.2*(DATOS!$C$33-60)/30)))*CE27/1000-DATOS!$C$91*SUMPRODUCT(DP27:DT27,DD27:DH27))&lt;=0,1E9,(BK27-SUMPRODUCT(DP27:DT27,DD27:DH27))/(DATOS!$C$86*IF(AE27="MALLA",0.5,IF(DATOS!$C$33&lt;=60,0.55,IF(DATOS!$C$33&gt;=90,0.75,0.55+0.2*(DATOS!$C$33-60)/30)))*CE27/1000-DATOS!$C$91*SUMPRODUCT(DP27:DT27,DD27:DH27))),IF((1-4*DATOS!$C$91*BK27*1000/(DATOS!$C$86*IF(AE27="MALLA",0.5,IF(DATOS!$C$33&lt;=60,0.55,IF(DATOS!$C$33&gt;=90,0.75,0.55+0.2*(DATOS!$C$33-60)/30)))*MAX(CE27,1)))&lt;0,1E9,(1-SQRT((1-4*DATOS!$C$91*BK27*1000/(DATOS!$C$86*IF(AE27="MALLA",0.5,IF(DATOS!$C$33&lt;=60,0.55,IF(DATOS!$C$33&gt;=90,0.75,0.55+0.2*(DATOS!$C$33-60)/30)))*MAX(CE27,1)))))/(2*DATOS!$C$91)))&gt;0.1*DATOS!$C$33*DATOS!$C$24+0.000001,-1,MAX(IF(AE27="MALLA",2.5,3),IF(BM27&gt;=0,IF((DATOS!$C$86*IF(AE27="MALLA",0.5,IF(DATOS!$C$33&lt;=60,0.55,IF(DATOS!$C$33&gt;=90,0.75,0.55+0.2*(DATOS!$C$33-60)/30)))*CE27/1000-DATOS!$C$91*SUMPRODUCT(DP27:DT27,DD27:DH27))&lt;=0,1E9,(BK27-SUMPRODUCT(DP27:DT27,DD27:DH27))/(DATOS!$C$86*IF(AE27="MALLA",0.5,IF(DATOS!$C$33&lt;=60,0.55,IF(DATOS!$C$33&gt;=90,0.75,0.55+0.2*(DATOS!$C$33-60)/30)))*CE27/1000-DATOS!$C$91*SUMPRODUCT(DP27:DT27,DD27:DH27))),IF((1-4*DATOS!$C$91*BK27*1000/(DATOS!$C$86*IF(AE27="MALLA",0.5,IF(DATOS!$C$33&lt;=60,0.55,IF(DATOS!$C$33&gt;=90,0.75,0.55+0.2*(DATOS!$C$33-60)/30)))*MAX(CE27,1)))&lt;0,1E9,(1-SQRT((1-4*DATOS!$C$91*BK27*1000/(DATOS!$C$86*IF(AE27="MALLA",0.5,IF(DATOS!$C$33&lt;=60,0.55,IF(DATOS!$C$33&gt;=90,0.75,0.55+0.2*(DATOS!$C$33-60)/30)))*MAX(CE27,1)))))/(2*DATOS!$C$91))))))))</f>
        <v/>
      </c>
      <c r="EE27" s="45" t="str">
        <f>IF(BI27&lt;&gt;"SÍ","",IF(ED27=0,"NO REQUIERE: V_mR ≥ V_u",IF(ED27&lt;0,"NO ALCANZA con refuerzo horizontal (haría falta más de 0.1·f'm·f_an efectivo): sube v'm con ensayes, el espesor o la longitud del muro",IF(AND(OR(AE27="VARILLA EN JUNTAS",AE27="MALLA"),LEFT(EA27,6)="CUMPLE",EC27&lt;=1),"YA LO TIENE (pide p_h·f_yh ≥ "&amp;TEXT(ED27,"0.0")&amp;" kg/cm²)","p_h·f_yh ≥ "&amp;TEXT(ED27,"0.0")&amp;" kg/cm² → "&amp;IF(AND(MIN(6,FLOOR(45/DATOS!$C$26,1),FLOOR((2*INDEX(TABLAS!$D$6:$D$14,MATCH("3/16 in",TABLAS!$B$6:$B$14,0)))*MIN(DATOS!$C$50,6000)/(BT27*DATOS!$C$26*MAX(ED27,0.001)),1))&gt;=1,((2*INDEX(TABLAS!$D$6:$D$14,MATCH("3/16 in",TABLAS!$B$6:$B$14,0)))*MIN(DATOS!$C$50,6000)/(MAX(MIN(6,FLOOR(45/DATOS!$C$26,1),FLOOR((2*INDEX(TABLAS!$D$6:$D$14,MATCH("3/16 in",TABLAS!$B$6:$B$14,0)))*MIN(DATOS!$C$50,6000)/(BT27*DATOS!$C$26*MAX(ED27,0.001)),1)),1)*DATOS!$C$26*BT27))&lt;=MIN(MAX(0.15*DATOS!$C$33*DATOS!$C$24,3),0.05*DATOS!$C$25/10*MIN(DATOS!$C$50,6000)/(MIN(6,FLOOR(45/DATOS!$C$26,1),FLOOR((2*INDEX(TABLAS!$D$6:$D$14,MATCH("3/16 in",TABLAS!$B$6:$B$14,0)))*MIN(DATOS!$C$50,6000)/(BT27*DATOS!$C$26*MAX(ED27,0.001)),1))*DATOS!$C$26))),"2 alambres de 3/16"" por junta cada "&amp;MIN(6,FLOOR(45/DATOS!$C$26,1),FLOOR((2*INDEX(TABLAS!$D$6:$D$14,MATCH("3/16 in",TABLAS!$B$6:$B$14,0)))*MIN(DATOS!$C$50,6000)/(BT27*DATOS!$C$26*MAX(ED27,0.001)),1))&amp;" hilada(s) (p_h·f_yh = "&amp;TEXT(((2*INDEX(TABLAS!$D$6:$D$14,MATCH("3/16 in",TABLAS!$B$6:$B$14,0)))*MIN(DATOS!$C$50,6000)/(MAX(MIN(6,FLOOR(45/DATOS!$C$26,1),FLOOR((2*INDEX(TABLAS!$D$6:$D$14,MATCH("3/16 in",TABLAS!$B$6:$B$14,0)))*MIN(DATOS!$C$50,6000)/(BT27*DATOS!$C$26*MAX(ED27,0.001)),1)),1)*DATOS!$C$26*BT27)),"0.00")&amp;")",IF(AND(MIN(6,FLOOR(45/DATOS!$C$26,1),FLOOR((2*INDEX(TABLAS!$D$6:$D$14,MATCH("5/32 in",TABLAS!$B$6:$B$14,0)))*MIN(DATOS!$C$50,6000)/(BT27*DATOS!$C$26*MAX(ED27,0.001)),1))&gt;=1,((2*INDEX(TABLAS!$D$6:$D$14,MATCH("5/32 in",TABLAS!$B$6:$B$14,0)))*MIN(DATOS!$C$50,6000)/(MAX(MIN(6,FLOOR(45/DATOS!$C$26,1),FLOOR((2*INDEX(TABLAS!$D$6:$D$14,MATCH("5/32 in",TABLAS!$B$6:$B$14,0)))*MIN(DATOS!$C$50,6000)/(BT27*DATOS!$C$26*MAX(ED27,0.001)),1)),1)*DATOS!$C$26*BT27))&lt;=MIN(MAX(0.15*DATOS!$C$33*DATOS!$C$24,3),0.05*DATOS!$C$25/10*MIN(DATOS!$C$50,6000)/(MIN(6,FLOOR(45/DATOS!$C$26,1),FLOOR((2*INDEX(TABLAS!$D$6:$D$14,MATCH("5/32 in",TABLAS!$B$6:$B$14,0)))*MIN(DATOS!$C$50,6000)/(BT27*DATOS!$C$26*MAX(ED27,0.001)),1))*DATOS!$C$26))),"2 alambres de 5/32"" por junta cada "&amp;MIN(6,FLOOR(45/DATOS!$C$26,1),FLOOR((2*INDEX(TABLAS!$D$6:$D$14,MATCH("5/32 in",TABLAS!$B$6:$B$14,0)))*MIN(DATOS!$C$50,6000)/(BT27*DATOS!$C$26*MAX(ED27,0.001)),1))&amp;" hilada(s) (p_h·f_yh = "&amp;TEXT(((2*INDEX(TABLAS!$D$6:$D$14,MATCH("5/32 in",TABLAS!$B$6:$B$14,0)))*MIN(DATOS!$C$50,6000)/(MAX(MIN(6,FLOOR(45/DATOS!$C$26,1),FLOOR((2*INDEX(TABLAS!$D$6:$D$14,MATCH("5/32 in",TABLAS!$B$6:$B$14,0)))*MIN(DATOS!$C$50,6000)/(BT27*DATOS!$C$26*MAX(ED27,0.001)),1)),1)*DATOS!$C$26*BT27)),"0.00")&amp;")",IF(AND(MIN(6,FLOOR(45/DATOS!$C$26,1),FLOOR((1*INDEX(TABLAS!$D$6:$D$14,MATCH("3/16 in",TABLAS!$B$6:$B$14,0)))*MIN(DATOS!$C$50,6000)/(BT27*DATOS!$C$26*MAX(ED27,0.001)),1))&gt;=1,((1*INDEX(TABLAS!$D$6:$D$14,MATCH("3/16 in",TABLAS!$B$6:$B$14,0)))*MIN(DATOS!$C$50,6000)/(MAX(MIN(6,FLOOR(45/DATOS!$C$26,1),FLOOR((1*INDEX(TABLAS!$D$6:$D$14,MATCH("3/16 in",TABLAS!$B$6:$B$14,0)))*MIN(DATOS!$C$50,6000)/(BT27*DATOS!$C$26*MAX(ED27,0.001)),1)),1)*DATOS!$C$26*BT27))&lt;=MIN(MAX(0.15*DATOS!$C$33*DATOS!$C$24,3),0.05*DATOS!$C$25/10*MIN(DATOS!$C$50,6000)/(MIN(6,FLOOR(45/DATOS!$C$26,1),FLOOR((1*INDEX(TABLAS!$D$6:$D$14,MATCH("3/16 in",TABLAS!$B$6:$B$14,0)))*MIN(DATOS!$C$50,6000)/(BT27*DATOS!$C$26*MAX(ED27,0.001)),1))*DATOS!$C$26))),"1 alambre de 3/16"" por junta cada "&amp;MIN(6,FLOOR(45/DATOS!$C$26,1),FLOOR((1*INDEX(TABLAS!$D$6:$D$14,MATCH("3/16 in",TABLAS!$B$6:$B$14,0)))*MIN(DATOS!$C$50,6000)/(BT27*DATOS!$C$26*MAX(ED27,0.001)),1))&amp;" hilada(s) (p_h·f_yh = "&amp;TEXT(((1*INDEX(TABLAS!$D$6:$D$14,MATCH("3/16 in",TABLAS!$B$6:$B$14,0)))*MIN(DATOS!$C$50,6000)/(MAX(MIN(6,FLOOR(45/DATOS!$C$26,1),FLOOR((1*INDEX(TABLAS!$D$6:$D$14,MATCH("3/16 in",TABLAS!$B$6:$B$14,0)))*MIN(DATOS!$C$50,6000)/(BT27*DATOS!$C$26*MAX(ED27,0.001)),1)),1)*DATOS!$C$26*BT27)),"0.00")&amp;")",IF(AND(MIN(6,FLOOR(45/DATOS!$C$26,1),FLOOR((1*INDEX(TABLAS!$D$6:$D$14,MATCH("5/32 in",TABLAS!$B$6:$B$14,0)))*MIN(DATOS!$C$50,6000)/(BT27*DATOS!$C$26*MAX(ED27,0.001)),1))&gt;=1,((1*INDEX(TABLAS!$D$6:$D$14,MATCH("5/32 in",TABLAS!$B$6:$B$14,0)))*MIN(DATOS!$C$50,6000)/(MAX(MIN(6,FLOOR(45/DATOS!$C$26,1),FLOOR((1*INDEX(TABLAS!$D$6:$D$14,MATCH("5/32 in",TABLAS!$B$6:$B$14,0)))*MIN(DATOS!$C$50,6000)/(BT27*DATOS!$C$26*MAX(ED27,0.001)),1)),1)*DATOS!$C$26*BT27))&lt;=MIN(MAX(0.15*DATOS!$C$33*DATOS!$C$24,3),0.05*DATOS!$C$25/10*MIN(DATOS!$C$50,6000)/(MIN(6,FLOOR(45/DATOS!$C$26,1),FLOOR((1*INDEX(TABLAS!$D$6:$D$14,MATCH("5/32 in",TABLAS!$B$6:$B$14,0)))*MIN(DATOS!$C$50,6000)/(BT27*DATOS!$C$26*MAX(ED27,0.001)),1))*DATOS!$C$26))),"1 alambre de 5/32"" por junta cada "&amp;MIN(6,FLOOR(45/DATOS!$C$26,1),FLOOR((1*INDEX(TABLAS!$D$6:$D$14,MATCH("5/32 in",TABLAS!$B$6:$B$14,0)))*MIN(DATOS!$C$50,6000)/(BT27*DATOS!$C$26*MAX(ED27,0.001)),1))&amp;" hilada(s) (p_h·f_yh = "&amp;TEXT(((1*INDEX(TABLAS!$D$6:$D$14,MATCH("5/32 in",TABLAS!$B$6:$B$14,0)))*MIN(DATOS!$C$50,6000)/(MAX(MIN(6,FLOOR(45/DATOS!$C$26,1),FLOOR((1*INDEX(TABLAS!$D$6:$D$14,MATCH("5/32 in",TABLAS!$B$6:$B$14,0)))*MIN(DATOS!$C$50,6000)/(BT27*DATOS!$C$26*MAX(ED27,0.001)),1)),1)*DATOS!$C$26*BT27)),"0.00")&amp;")","ninguna combinación de 1 o 2 alambres por junta queda entre el mínimo y el máximo: revisa con malla (6.5.4)"))))))))</f>
        <v/>
      </c>
      <c r="EF27" s="43" t="str">
        <f>IF(BI27&lt;&gt;"SÍ","",IF(AI27="SÍ",N(AK27)*N(AL27)^3/12,0))</f>
        <v/>
      </c>
      <c r="EG27" s="48" t="str">
        <f>IF(BI27&lt;&gt;"SÍ","",IF(AND(AI27="SÍ",N(AM27)&gt;0),MIN(1,F27/AM27),0))</f>
        <v/>
      </c>
      <c r="EH27" s="47" t="str">
        <f>IF(BI27&lt;&gt;"SÍ","",IF(AI27="SÍ",BP27*1000/(BT27*F27*100)*BT27*(EG27^4-4*EG27^3+8*EG27),0))</f>
        <v/>
      </c>
      <c r="EI27" s="48" t="str">
        <f>IF(BI27&lt;&gt;"SÍ","",IF(AND(AI27="SÍ",EH27&gt;0),EH27/(EH27+5*N(AN27)*10),0))</f>
        <v/>
      </c>
      <c r="EJ27" s="44" t="str">
        <f>IF(BI27&lt;&gt;"SÍ","",IF(AND(AI27="SÍ",EI27&gt;0,EF27&gt;0),(DATOS!$C$43*BT27*(AM27*100)^3/(DATOS!$C$53*EF27*EI27))^0.25,0))</f>
        <v/>
      </c>
      <c r="EK27" s="44" t="str">
        <f>IF(BI27&lt;&gt;"SÍ","",IF(AI27&lt;&gt;"SÍ",0,IF(N(AM27)&lt;=F27,1,IF(MIN(1,N(AO27)/((AM27-F27)/2))&lt;=0.5,0.7+0.6*MIN(1,N(AO27)/((AM27-F27)/2)),1.5-MIN(1,N(AO27)/((AM27-F27)/2))))))</f>
        <v/>
      </c>
      <c r="EL27" s="44" t="str">
        <f>IF(BI27&lt;&gt;"SÍ","",IF(AI27&lt;&gt;"SÍ",0,MAX(1,IF(EG27&gt;=1,(1.6*EJ27-3.9),IF(EG27&lt;0.9,((3.2*EJ27-7.8)*EK27),((3.2*EJ27-7.8)*EK27)+((1.6*EJ27-3.9)-((3.2*EJ27-7.8)*EK27))*(EG27-0.9)/0.1)))))</f>
        <v/>
      </c>
      <c r="EM27" s="47" t="str">
        <f>IF(BI27&lt;&gt;"SÍ","",IF(AI27="SÍ",EL27*BP27*1000/(BT27*F27*100),0))</f>
        <v/>
      </c>
      <c r="EN27" s="47" t="str">
        <f>IF(BI27&lt;&gt;"SÍ","",IF(AND(AI27="SÍ",N(AL27)&gt;0),AM27*100/AL27,0))</f>
        <v/>
      </c>
      <c r="EO27" s="47" t="str">
        <f>IF(BI27&lt;&gt;"SÍ","",IF(AI27="SÍ",(1/15*DATOS!$C$53*N(AK27)/MAX((IF(ISNUMBER(AP27),AP27,BP27/DATOS!$C$90)*1000/(BT27*F27*100)*BT27*(EG27^4-4*EG27^3+8*EG27))+5*N(AN27)/DATOS!$C$90*10,0.001))^(1/3),0))</f>
        <v/>
      </c>
      <c r="EP27" s="45" t="str">
        <f>IF(BI27&lt;&gt;"SÍ","",IF(AI27&lt;&gt;"SÍ","—",IF(OR(N(AK27)&lt;=0,N(AL27)&lt;=0,N(AM27)&lt;=0),"REVISAR: faltan b, h o L_v de la viga",IF(AND(EM27&lt;=DATOS!$C$87*DATOS!$C$33,EN27&lt;=14,N(AL27)&gt;=25,EN27&lt;=EO27),IF(BS27/F27&lt;0.6,"PENDIENTE: H/L &lt; 0.6, falta el análisis de interacción muro–viga (4.1.18.2.1); f_CM es estimado","CUMPLE"),"NO CUMPLE: "&amp;IF(EM27&gt;DATOS!$C$87*DATOS!$C$33,"f_CM &gt; F_R·f'm ","")&amp;IF(EN27&gt;14,"L_v/h_v &gt; 14 ","")&amp;IF(N(AL27)&lt;25,"h_v &lt; 25 cm ","")&amp;IF(EN27&gt;EO27,"flecha (4.1.18.3)","")))))</f>
        <v/>
      </c>
      <c r="EQ27" s="44" t="str">
        <f>IF(BI27&lt;&gt;"SÍ","",MAX(0,F27*BS27-(N(K27)*N(M27)+N(P27)*N(R27)+N(U27)*N(W27)+N(Z27)*N(AB27))-CK27*DATOS!$C$59/100*BS27))</f>
        <v/>
      </c>
      <c r="ER27" s="48" t="str">
        <f>IF(BI27&lt;&gt;"SÍ","",CK27*DATOS!$C$59*DATOS!$C$60/10000*BS27)</f>
        <v/>
      </c>
      <c r="ES27" s="47" t="str">
        <f>IF(BI27&lt;&gt;"SÍ","",CK27*(DATOS!$C$61*(BS27+0.6)*INDEX(TABLAS!$E$6:$E$14,MATCH(DATOS!$C$62,TABLAS!$B$6:$B$14,0))+(2*ROUNDUP(CN27/DATOS!$C$65,0)+ROUNDUP(MAX(0,BS27*100-2*CN27)/DATOS!$C$64,0))*((2*(DATOS!$C$60+DATOS!$C$59-4*(DATOS!$C$66-INDEX(TABLAS!$C$6:$C$14,MATCH(DATOS!$C$63,TABLAS!$B$6:$B$14,0))))+15)/100)*INDEX(TABLAS!$E$6:$E$14,MATCH(DATOS!$C$63,TABLAS!$B$6:$B$14,0))))</f>
        <v/>
      </c>
      <c r="ET27" s="47" t="str">
        <f>IF(BI27&lt;&gt;"SÍ","",IF(OR(AE27="VARILLA EN JUNTAS",AE27="ESCALERILLA"),INT(BS27*100/MAX(DK27,1))*IF(ISNUMBER(AF27),AF27,2)*CB27*INDEX(TABLAS!$E$6:$E$14,MATCH(IF(AG27&lt;&gt;"",AG27,DATOS!$C$73),TABLAS!$B$6:$B$14,0)),IF(AE27="MALLA",IF(ISNUMBER(AF27),AF27,1)*CB27*BS27*INDEX(TABLAS!$E$19:$E$22,MATCH(IF(AG27&lt;&gt;"",AG27,DATOS!$C$74),TABLAS!$B$19:$B$22,0)),0)))</f>
        <v/>
      </c>
      <c r="EU27" s="45" t="str">
        <f>IF(BI27&lt;&gt;"SÍ","",""&amp;IF(BJ27="NO ESTÁ EN PIER_FORCES","sin fuerzas en PIER_FORCES; ","")&amp;IF(BV27&lt;&gt;"CUMPLE","vanos; ","")&amp;IF(LEFT(CH27,2)="NO","espesor o esbeltez; ","")&amp;IF(CQ27&gt;1,"compresión; ","")&amp;IF(CX27&gt;1,"flexión; ","")&amp;IF(CB27&lt;=0,"sin tramos de muro (todos son machones menores que L mín.: diséñalos como columnas o baja L mín.); ",IF(EC27&gt;1,"cortante; ",""))&amp;IF(OR(LEFT(EA27,2)="NO",LEFT(EA27,5)="FALTA"),"refuerzo horizontal; ","")&amp;IF(OR(LEFT(EP27,2)="NO",LEFT(EP27,7)="REVISAR"),"muro sobre viga; ","")&amp;IF(LEFT(DATOS!$C$81,2)="NO","castillo típico; ","")&amp;IF(LEFT(DATOS!$C$82,2)="NO","dala típica; ","")&amp;IF(AND(BT27&lt;&gt;DATOS!$C$58,DATOS!$C$60&lt;BT27),"castillo más angosto que el muro; ",""))</f>
        <v/>
      </c>
      <c r="EV27" s="45" t="str">
        <f>IF(BI27&lt;&gt;"SÍ","",""&amp;IF(LEFT(EP27,9)="PENDIENTE","análisis muro–viga (H/L &lt; 0.6); ","")&amp;IF(BR27&gt;50,"V_u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7" s="51" t="str">
        <f>IF(BI27&lt;&gt;"SÍ","",IF(EU27&lt;&gt;"","NO CUMPLE: "&amp;LEFT(EU27,LEN(EU27)-2),IF(EV27&lt;&gt;"","CUMPLE — PENDIENTE: "&amp;LEFT(EV27,LEN(EV27)-2),"CUMPLE")))</f>
        <v/>
      </c>
      <c r="EX27" s="52" t="n"/>
    </row>
    <row r="28" ht="30" customHeight="1">
      <c r="A28" s="38" t="str">
        <f>IF(B28="","",ROW()-10)</f>
        <v/>
      </c>
      <c r="B28" s="28" t="n"/>
      <c r="C28" s="39" t="n"/>
      <c r="D28" s="39" t="n"/>
      <c r="E28" s="39" t="n"/>
      <c r="F28" s="40" t="n"/>
      <c r="G28" s="40" t="n"/>
      <c r="H28" s="41" t="n"/>
      <c r="I28" s="39" t="n"/>
      <c r="J28" s="40" t="n"/>
      <c r="K28" s="40" t="n"/>
      <c r="L28" s="40" t="n"/>
      <c r="M28" s="40" t="n"/>
      <c r="N28" s="39" t="n"/>
      <c r="O28" s="40" t="n"/>
      <c r="P28" s="40" t="n"/>
      <c r="Q28" s="40" t="n"/>
      <c r="R28" s="40" t="n"/>
      <c r="S28" s="39" t="n"/>
      <c r="T28" s="40" t="n"/>
      <c r="U28" s="40" t="n"/>
      <c r="V28" s="40" t="n"/>
      <c r="W28" s="40" t="n"/>
      <c r="X28" s="39" t="n"/>
      <c r="Y28" s="40" t="n"/>
      <c r="Z28" s="40" t="n"/>
      <c r="AA28" s="40" t="n"/>
      <c r="AB28" s="40" t="n"/>
      <c r="AC28" s="41" t="n"/>
      <c r="AD28" s="41" t="n"/>
      <c r="AE28" s="39" t="n"/>
      <c r="AF28" s="41" t="n"/>
      <c r="AG28" s="41" t="n"/>
      <c r="AH28" s="41" t="n"/>
      <c r="AI28" s="39" t="n"/>
      <c r="AJ28" s="39" t="n"/>
      <c r="AK28" s="41" t="n"/>
      <c r="AL28" s="41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2" t="str">
        <f>IF(B28="","",C28&amp;"|"&amp;B28)</f>
        <v/>
      </c>
      <c r="AY28" s="43" t="str">
        <f>IF(B28="","",COUNTIFS(PIER_FORCES!$O$9:$O$3008,18,PIER_FORCES!$P$9:$P$3008,1))</f>
        <v/>
      </c>
      <c r="AZ28" s="43" t="str">
        <f>IF(B28="","",COUNTIFS(PIER_FORCES!$O$9:$O$3008,18,PIER_FORCES!$P$9:$P$3008,2))</f>
        <v/>
      </c>
      <c r="BA28" s="44">
        <f>IF(N(AY28)=0,0,SUMPRODUCT(MAX((PIER_FORCES!$O$9:$O$3008=18)*(PIER_FORCES!$P$9:$P$3008=1)*PIER_FORCES!$R$9:$R$3008)))</f>
        <v>0</v>
      </c>
      <c r="BB28" s="44">
        <f>IF(N(AY28)=0,0,SUMPRODUCT(MAX((PIER_FORCES!$O$9:$O$3008=18)*(PIER_FORCES!$P$9:$P$3008=1)*PIER_FORCES!$S$9:$S$3008)))</f>
        <v>0</v>
      </c>
      <c r="BC28" s="44">
        <f>IF(N(AY28)=0,0,-SUMPRODUCT(MAX((PIER_FORCES!$O$9:$O$3008=18)*(PIER_FORCES!$P$9:$P$3008=1)*(-PIER_FORCES!$Q$9:$Q$3008)+(1-(PIER_FORCES!$O$9:$O$3008=18)*(PIER_FORCES!$P$9:$P$3008=1))*(-1E9))))</f>
        <v>0</v>
      </c>
      <c r="BD28" s="44">
        <f>IF(N(AY28)=0,0,SUMPRODUCT(MAX((PIER_FORCES!$O$9:$O$3008=18)*(PIER_FORCES!$P$9:$P$3008=1)*PIER_FORCES!$Q$9:$Q$3008+(1-(PIER_FORCES!$O$9:$O$3008=18)*(PIER_FORCES!$P$9:$P$3008=1))*(-1E9))))</f>
        <v>0</v>
      </c>
      <c r="BE28" s="44">
        <f>IF(N(AZ28)=0,BD28,SUMPRODUCT(MAX((PIER_FORCES!$O$9:$O$3008=18)*(PIER_FORCES!$P$9:$P$3008=2)*PIER_FORCES!$Q$9:$Q$3008+(1-(PIER_FORCES!$O$9:$O$3008=18)*(PIER_FORCES!$P$9:$P$3008=2))*(-1E9))))</f>
        <v>0</v>
      </c>
      <c r="BF28" s="44">
        <f>IF(N(AZ28)=0,0,SUMPRODUCT(MAX((PIER_FORCES!$O$9:$O$3008=18)*(PIER_FORCES!$P$9:$P$3008=2)*PIER_FORCES!$R$9:$R$3008)))</f>
        <v>0</v>
      </c>
      <c r="BG28" s="43">
        <f>IF(N(AY28)=0,0,SUMPRODUCT(MAX((PIER_FORCES!$O$9:$O$3008=18)*(PIER_FORCES!$P$9:$P$3008=1)*(ABS(PIER_FORCES!$R$9:$R$3008-BA28)&lt;0.000001)*PIER_FORCES!$T$9:$T$3008)))</f>
        <v>0</v>
      </c>
      <c r="BH28" s="45" t="str">
        <f>IF(N(BG28)=0,"",INDEX(PIER_FORCES!$D$9:$D$3008,BG28)&amp;" "&amp;INDEX(PIER_FORCES!$F$9:$F$3008,BG28)&amp;" / "&amp;INDEX(PIER_FORCES!$G$9:$G$3008,BG28))</f>
        <v/>
      </c>
      <c r="BI28" s="42" t="str">
        <f>IF(B28="","",IF(AND(C28&lt;&gt;"",OR(D28="X",D28="Y"),ISNUMBER(F28),N(F28)&gt;0),"SÍ","NO"))</f>
        <v/>
      </c>
      <c r="BJ28" s="42" t="str">
        <f>IF(BI28&lt;&gt;"SÍ","",IF(DATOS!$C$108="ETABS (PIER_FORCES)",IF(N(AY28)&gt;0,"ETABS","NO ESTÁ EN PIER_FORCES"),"CAPTURA"))</f>
        <v/>
      </c>
      <c r="BK28" s="46" t="str">
        <f>IF(BI28&lt;&gt;"SÍ","",IF(BJ28="ETABS",BA28,IF(BJ28="CAPTURA",N(AQ28),0)))</f>
        <v/>
      </c>
      <c r="BL28" s="46" t="str">
        <f>IF(BI28&lt;&gt;"SÍ","",IF(BJ28="ETABS",BB28,IF(BJ28="CAPTURA",N(AR28),0)))</f>
        <v/>
      </c>
      <c r="BM28" s="46" t="str">
        <f>IF(BI28&lt;&gt;"SÍ","",IF(BJ28="ETABS",BC28/DATOS!$C$89,IF(BJ28="CAPTURA",N(AS28),0)))</f>
        <v/>
      </c>
      <c r="BN28" s="44" t="str">
        <f>IF(BI28&lt;&gt;"SÍ","",IF(BJ28="ETABS",BC28,IF(BJ28="CAPTURA",IF(ISNUMBER(AU28),AU28,N(AS28)*DATOS!$C$89),0)))</f>
        <v/>
      </c>
      <c r="BO28" s="44" t="str">
        <f>IF(BI28&lt;&gt;"SÍ","",IF(BJ28="ETABS",MAX(BD28,BE28),IF(BJ28="CAPTURA",N(AT28),0)))</f>
        <v/>
      </c>
      <c r="BP28" s="44" t="str">
        <f>IF(BI28&lt;&gt;"SÍ","",IF(BJ28="ETABS",BE28,IF(BJ28="CAPTURA",IF(ISNUMBER(AV28),AV28,N(AT28)),0)))</f>
        <v/>
      </c>
      <c r="BQ28" s="44" t="str">
        <f>IF(BI28&lt;&gt;"SÍ","",IF(BJ28="ETABS",BF28,IF(BJ28="CAPTURA",N(AW28),0)))</f>
        <v/>
      </c>
      <c r="BR28" s="43" t="str">
        <f>IF(BI28&lt;&gt;"SÍ","",IF(BK28&gt;0,100*BQ28/BK28,0))</f>
        <v/>
      </c>
      <c r="BS28" s="44" t="str">
        <f>IF(BI28&lt;&gt;"SÍ","",IF(ISNUMBER(G28),G28,DATOS!$C$57))</f>
        <v/>
      </c>
      <c r="BT28" s="47" t="str">
        <f>IF(BI28&lt;&gt;"SÍ","",IF(ISNUMBER(H28),H28,DATOS!$C$58))</f>
        <v/>
      </c>
      <c r="BU28" s="43" t="str">
        <f>IF(BI28&lt;&gt;"SÍ","",IF(N(K28)&gt;0,1+IF(N(P28)&gt;0,1+IF(N(U28)&gt;0,1+IF(N(Z28)&gt;0,1,0),0),0),0))</f>
        <v/>
      </c>
      <c r="BV28" s="45" t="str">
        <f>IF(BI28&lt;&gt;"SÍ","",IF(AND(OR(BU28&lt;1,AND(N(J28)&gt;=0-0.001,J28+K28&lt;=F28+0.001,N(L28)&gt;=0,N(L28)+N(M28)&lt;=BS28+0.001,N(M28)&gt;0,OR(I28="PUERTA",I28="VENTANA"))),OR(BU28&lt;2,AND(N(O28)&gt;=(J28+K28)-0.001,O28+P28&lt;=F28+0.001,N(Q28)&gt;=0,N(Q28)+N(R28)&lt;=BS28+0.001,N(R28)&gt;0,OR(N28="PUERTA",N28="VENTANA"))),OR(BU28&lt;3,AND(N(T28)&gt;=(O28+P28)-0.001,T28+U28&lt;=F28+0.001,N(V28)&gt;=0,N(V28)+N(W28)&lt;=BS28+0.001,N(W28)&gt;0,OR(S28="PUERTA",S28="VENTANA"))),OR(BU28&lt;4,AND(N(Y28)&gt;=(T28+U28)-0.001,Y28+Z28&lt;=F28+0.001,N(AA28)&gt;=0,N(AA28)+N(AB28)&lt;=BS28+0.001,N(AB28)&gt;0,OR(X28="PUERTA",X28="VENTANA"))),(N(K28)&gt;0)+(N(P28)&gt;0)+(N(U28)&gt;0)+(N(Z28)&gt;0)=BU28),"CUMPLE","REVISAR VANOS: tipo, orden de izquierda a derecha, que quepan en L y en H"))</f>
        <v/>
      </c>
      <c r="BW28" s="44" t="str">
        <f>IF(BI28&lt;&gt;"SÍ","",MAX(0,IF(BU28&gt;=1,N(J28),F28)))</f>
        <v/>
      </c>
      <c r="BX28" s="44" t="str">
        <f>IF(BI28&lt;&gt;"SÍ","",MAX(0,IF(BU28&gt;=2,N(O28)-(N(J28)+N(K28)),IF(BU28=1,F28-(N(J28)+N(K28)),0))))</f>
        <v/>
      </c>
      <c r="BY28" s="44" t="str">
        <f>IF(BI28&lt;&gt;"SÍ","",MAX(0,IF(BU28&gt;=3,N(T28)-(N(O28)+N(P28)),IF(BU28=2,F28-(N(O28)+N(P28)),0))))</f>
        <v/>
      </c>
      <c r="BZ28" s="44" t="str">
        <f>IF(BI28&lt;&gt;"SÍ","",MAX(0,IF(BU28&gt;=4,N(Y28)-(N(T28)+N(U28)),IF(BU28=3,F28-(N(T28)+N(U28)),0))))</f>
        <v/>
      </c>
      <c r="CA28" s="44" t="str">
        <f>IF(BI28&lt;&gt;"SÍ","",MAX(0,IF(BU28=4,F28-(N(Y28)+N(Z28)),0)))</f>
        <v/>
      </c>
      <c r="CB28" s="46" t="str">
        <f>IF(BI28&lt;&gt;"SÍ","",SUMPRODUCT((BW28:CA28&gt;=DATOS!$C$72-0.0001)*BW28:CA28))</f>
        <v/>
      </c>
      <c r="CC28" s="43" t="str">
        <f>IF(BI28&lt;&gt;"SÍ","",SUMPRODUCT(--(BW28:CA28&gt;=DATOS!$C$72-0.0001)))</f>
        <v/>
      </c>
      <c r="CD28" s="44" t="str">
        <f>IF(BI28&lt;&gt;"SÍ","",SUM(BW28:CA28))</f>
        <v/>
      </c>
      <c r="CE28" s="43" t="str">
        <f>IF(BI28&lt;&gt;"SÍ","",BT28*CB28*100)</f>
        <v/>
      </c>
      <c r="CF28" s="43" t="str">
        <f>IF(BI28&lt;&gt;"SÍ","",BT28*CD28*100)</f>
        <v/>
      </c>
      <c r="CG28" s="47" t="str">
        <f>IF(BI28&lt;&gt;"SÍ","",BS28*100/BT28)</f>
        <v/>
      </c>
      <c r="CH28" s="45" t="str">
        <f>IF(BI28&lt;&gt;"SÍ","",IF(AND(OR(DATOS!$C$14="TIPO II",BT28&gt;=12),CG28&lt;=25),"CUMPLE","NO CUMPLE: "&amp;IF(AND(DATOS!$C$14="TIPO I",BT28&lt;12),"t &lt; 12 cm ","")&amp;IF(CG28&gt;25,"H/t &gt; 25","")))</f>
        <v/>
      </c>
      <c r="CI28" s="44" t="str">
        <f>IF(BI28&lt;&gt;"SÍ","",MIN(1.5*BS28,4))</f>
        <v/>
      </c>
      <c r="CJ28" s="43" t="str">
        <f>IF(BI28&lt;&gt;"SÍ","",SUMPRODUCT((BW28:CA28&gt;=2*DATOS!$C$59/100)*INT((BW28:CA28-DATOS!$C$59/100)/CI28-0.000001)*((BW28:CA28-DATOS!$C$59/100)&gt;0)))</f>
        <v/>
      </c>
      <c r="CK28" s="43" t="str">
        <f>IF(BI28&lt;&gt;"SÍ","",SUMPRODUCT((BW28:CA28&gt;0.0001)*1+(BW28:CA28&gt;=2*DATOS!$C$59/100)*1)+CJ28)</f>
        <v/>
      </c>
      <c r="CL28" s="44" t="str">
        <f>IF(BI28&lt;&gt;"SÍ","",IF(ISNUMBER(AC28),AC28,DATOS!$C$61)*INDEX(TABLAS!$D$6:$D$14,MATCH(IF(AD28&lt;&gt;"",AD28,DATOS!$C$62),TABLAS!$B$6:$B$14,0)))</f>
        <v/>
      </c>
      <c r="CM28" s="44" t="str">
        <f>IF(BI28&lt;&gt;"SÍ","",CK28*DATOS!$C$78+IF(CK28&gt;=2,2,CK28)*(CL28-DATOS!$C$78))</f>
        <v/>
      </c>
      <c r="CN28" s="47" t="str">
        <f>IF(BI28&lt;&gt;"SÍ","",MAX(BS28*100/6,40))</f>
        <v/>
      </c>
      <c r="CO28" s="48" t="str">
        <f>IF(BI28&lt;&gt;"SÍ","",IF(CG28&lt;=20,IF(E28="INTERIOR",0.7,0.6),MIN(IF(E28="INTERIOR",0.7,0.6),(1-2/24)*(1-(IF(E28="INTERIOR",0.8,1)*CG28/30)^2))))</f>
        <v/>
      </c>
      <c r="CP28" s="47" t="str">
        <f>IF(BI28&lt;&gt;"SÍ","",DATOS!$C$87*CO28*(DATOS!$C$33*CF28+CM28*DATOS!$C$48)/1000)</f>
        <v/>
      </c>
      <c r="CQ28" s="46" t="str">
        <f>IF(BI28&lt;&gt;"SÍ","",IF(CP28&gt;0,BO28/CP28,99))</f>
        <v/>
      </c>
      <c r="CR28" s="47" t="str">
        <f>IF(BI28&lt;&gt;"SÍ","",MAX(0,F28*100-DATOS!$C$59))</f>
        <v/>
      </c>
      <c r="CS28" s="47" t="str">
        <f>IF(BI28&lt;&gt;"SÍ","",MAX(0,F28*100-DATOS!$C$59/2))</f>
        <v/>
      </c>
      <c r="CT28" s="44" t="str">
        <f>IF(BI28&lt;&gt;"SÍ","",CL28*DATOS!$C$48*CR28/100000)</f>
        <v/>
      </c>
      <c r="CU28" s="44" t="str">
        <f>IF(BI28&lt;&gt;"SÍ","",IF(BN28&lt;0,0.8*CT28*MAX(0,1+BN28/(0.8*CM28*DATOS!$C$48/1000)),IF(BN28&lt;=CP28/3,0.8*CT28+0.3*BN28*CS28/100,(1.5*0.6*CT28+0.15*CP28*CS28/100)*MAX(0,1-BN28/CP28))))</f>
        <v/>
      </c>
      <c r="CV28" s="44" t="str">
        <f>IF(BI28&lt;&gt;"SÍ","",IF(BO28&lt;0,0.8*CT28*MAX(0,1+BO28/(0.8*CM28*DATOS!$C$48/1000)),IF(BO28&lt;=CP28/3,0.8*CT28+0.3*BO28*CS28/100,(1.5*0.6*CT28+0.15*CP28*CS28/100)*MAX(0,1-BO28/CP28))))</f>
        <v/>
      </c>
      <c r="CW28" s="46" t="str">
        <f>IF(BI28&lt;&gt;"SÍ","",MAX(0,MIN(CU28,CV28)))</f>
        <v/>
      </c>
      <c r="CX28" s="49" t="str">
        <f>IF(BI28&lt;&gt;"SÍ","",IF(CW28&gt;0,BL28/CW28,IF(BL28&gt;0,99,0)))</f>
        <v/>
      </c>
      <c r="CY28" s="44" t="str">
        <f>IF(BI28&lt;&gt;"SÍ","",IF(BW28&gt;0,MAX(1,MIN(1.5,1.5-0.625*(BS28/BW28-0.2))),0))</f>
        <v/>
      </c>
      <c r="CZ28" s="44" t="str">
        <f>IF(BI28&lt;&gt;"SÍ","",IF(BX28&gt;0,MAX(1,MIN(1.5,1.5-0.625*(BS28/BX28-0.2))),0))</f>
        <v/>
      </c>
      <c r="DA28" s="44" t="str">
        <f>IF(BI28&lt;&gt;"SÍ","",IF(BY28&gt;0,MAX(1,MIN(1.5,1.5-0.625*(BS28/BY28-0.2))),0))</f>
        <v/>
      </c>
      <c r="DB28" s="44" t="str">
        <f>IF(BI28&lt;&gt;"SÍ","",IF(BZ28&gt;0,MAX(1,MIN(1.5,1.5-0.625*(BS28/BZ28-0.2))),0))</f>
        <v/>
      </c>
      <c r="DC28" s="44" t="str">
        <f>IF(BI28&lt;&gt;"SÍ","",IF(CA28&gt;0,MAX(1,MIN(1.5,1.5-0.625*(BS28/CA28-0.2))),0))</f>
        <v/>
      </c>
      <c r="DD28" s="44" t="str">
        <f>IF(BI28&lt;&gt;"SÍ","",IF(OR(BW28&lt;DATOS!$C$72-0.0001,BM28&lt;0,CB28&lt;=0),0,MIN(DATOS!$C$86*(0.5*DATOS!$C$41*BT28*BW28*100+0.3*BM28*BW28/CB28*1000)*CY28,1.5*DATOS!$C$86*DATOS!$C$41*BT28*BW28*100*CY28)/1000))</f>
        <v/>
      </c>
      <c r="DE28" s="44" t="str">
        <f>IF(BI28&lt;&gt;"SÍ","",IF(OR(BX28&lt;DATOS!$C$72-0.0001,BM28&lt;0,CB28&lt;=0),0,MIN(DATOS!$C$86*(0.5*DATOS!$C$41*BT28*BX28*100+0.3*BM28*BX28/CB28*1000)*CZ28,1.5*DATOS!$C$86*DATOS!$C$41*BT28*BX28*100*CZ28)/1000))</f>
        <v/>
      </c>
      <c r="DF28" s="44" t="str">
        <f>IF(BI28&lt;&gt;"SÍ","",IF(OR(BY28&lt;DATOS!$C$72-0.0001,BM28&lt;0,CB28&lt;=0),0,MIN(DATOS!$C$86*(0.5*DATOS!$C$41*BT28*BY28*100+0.3*BM28*BY28/CB28*1000)*DA28,1.5*DATOS!$C$86*DATOS!$C$41*BT28*BY28*100*DA28)/1000))</f>
        <v/>
      </c>
      <c r="DG28" s="44" t="str">
        <f>IF(BI28&lt;&gt;"SÍ","",IF(OR(BZ28&lt;DATOS!$C$72-0.0001,BM28&lt;0,CB28&lt;=0),0,MIN(DATOS!$C$86*(0.5*DATOS!$C$41*BT28*BZ28*100+0.3*BM28*BZ28/CB28*1000)*DB28,1.5*DATOS!$C$86*DATOS!$C$41*BT28*BZ28*100*DB28)/1000))</f>
        <v/>
      </c>
      <c r="DH28" s="44" t="str">
        <f>IF(BI28&lt;&gt;"SÍ","",IF(OR(CA28&lt;DATOS!$C$72-0.0001,BM28&lt;0,CB28&lt;=0),0,MIN(DATOS!$C$86*(0.5*DATOS!$C$41*BT28*CA28*100+0.3*BM28*CA28/CB28*1000)*DC28,1.5*DATOS!$C$86*DATOS!$C$41*BT28*CA28*100*DC28)/1000))</f>
        <v/>
      </c>
      <c r="DI28" s="46" t="str">
        <f>IF(BI28&lt;&gt;"SÍ","",SUM(DD28:DH28))</f>
        <v/>
      </c>
      <c r="DJ28" s="48" t="str">
        <f>IF(BI28&lt;&gt;"SÍ","",IF(AE28="VARILLA EN JUNTAS",IF(ISNUMBER(AF28),AF28,2)*INDEX(TABLAS!$D$6:$D$14,MATCH(IF(AG28&lt;&gt;"",AG28,DATOS!$C$73),TABLAS!$B$6:$B$14,0)),IF(AE28="MALLA",IF(ISNUMBER(AF28),AF28,1)*INDEX(TABLAS!$D$19:$D$22,MATCH(IF(AG28&lt;&gt;"",AG28,DATOS!$C$74),TABLAS!$B$19:$B$22,0))/100,IF(AE28="ESCALERILLA",IF(ISNUMBER(AF28),AF28,2)*INDEX(TABLAS!$D$6:$D$14,MATCH(IF(AG28&lt;&gt;"",AG28,DATOS!$C$73),TABLAS!$B$6:$B$14,0)),0))))</f>
        <v/>
      </c>
      <c r="DK28" s="47" t="str">
        <f>IF(BI28&lt;&gt;"SÍ","",IF(OR(AE28="VARILLA EN JUNTAS",AE28="ESCALERILLA"),IF(ISNUMBER(AH28),AH28,2)*DATOS!$C$26,IF(AE28="MALLA",1,0)))</f>
        <v/>
      </c>
      <c r="DL28" s="44" t="str">
        <f>IF(BI28&lt;&gt;"SÍ","",IF(DK28&gt;0,DJ28/(DK28*BT28)*MIN(DATOS!$C$50,IF(AE28="MALLA",5000,6000)),0))</f>
        <v/>
      </c>
      <c r="DM28" s="44" t="str">
        <f>IF(BI28&lt;&gt;"SÍ","",IF(AE28="ESCALERILLA",0,MIN(DL28,0.1*DATOS!$C$33*DATOS!$C$24)))</f>
        <v/>
      </c>
      <c r="DN28" s="48" t="str">
        <f>IF(BI28&lt;&gt;"SÍ","",IF(AE28="MALLA",0.5,IF(DATOS!$C$33&lt;=60,0.55,IF(DATOS!$C$33&gt;=90,0.75,0.55+0.2*(DATOS!$C$33-60)/30))))</f>
        <v/>
      </c>
      <c r="DO28" s="48" t="str">
        <f>IF(BI28&lt;&gt;"SÍ","",1-DATOS!$C$91*DM28)</f>
        <v/>
      </c>
      <c r="DP28" s="44" t="str">
        <f>IF(BI28&lt;&gt;"SÍ","",IF(BW28&gt;0,IF(BS28/BW28&lt;=1,1.3,IF(BS28/BW28&gt;=1.5,1,1.3-0.6*(BS28/BW28-1))),0))</f>
        <v/>
      </c>
      <c r="DQ28" s="44" t="str">
        <f>IF(BI28&lt;&gt;"SÍ","",IF(BX28&gt;0,IF(BS28/BX28&lt;=1,1.3,IF(BS28/BX28&gt;=1.5,1,1.3-0.6*(BS28/BX28-1))),0))</f>
        <v/>
      </c>
      <c r="DR28" s="44" t="str">
        <f>IF(BI28&lt;&gt;"SÍ","",IF(BY28&gt;0,IF(BS28/BY28&lt;=1,1.3,IF(BS28/BY28&gt;=1.5,1,1.3-0.6*(BS28/BY28-1))),0))</f>
        <v/>
      </c>
      <c r="DS28" s="44" t="str">
        <f>IF(BI28&lt;&gt;"SÍ","",IF(BZ28&gt;0,IF(BS28/BZ28&lt;=1,1.3,IF(BS28/BZ28&gt;=1.5,1,1.3-0.6*(BS28/BZ28-1))),0))</f>
        <v/>
      </c>
      <c r="DT28" s="44" t="str">
        <f>IF(BI28&lt;&gt;"SÍ","",IF(CA28&gt;0,IF(BS28/CA28&lt;=1,1.3,IF(BS28/CA28&gt;=1.5,1,1.3-0.6*(BS28/CA28-1))),0))</f>
        <v/>
      </c>
      <c r="DU28" s="44" t="str">
        <f>IF(BI28&lt;&gt;"SÍ","",IF(OR(DM28&lt;=0,BW28&lt;DATOS!$C$72-0.0001),0,DATOS!$C$86*MAX(0,IF(BM28&gt;=0,DD28/(DATOS!$C$86*DM28*BT28*BW28*100/1000)*(DP28*DO28-1)+DN28,DO28*DN28))*DM28*BT28*BW28*100/1000))</f>
        <v/>
      </c>
      <c r="DV28" s="44" t="str">
        <f>IF(BI28&lt;&gt;"SÍ","",IF(OR(DM28&lt;=0,BX28&lt;DATOS!$C$72-0.0001),0,DATOS!$C$86*MAX(0,IF(BM28&gt;=0,DE28/(DATOS!$C$86*DM28*BT28*BX28*100/1000)*(DQ28*DO28-1)+DN28,DO28*DN28))*DM28*BT28*BX28*100/1000))</f>
        <v/>
      </c>
      <c r="DW28" s="44" t="str">
        <f>IF(BI28&lt;&gt;"SÍ","",IF(OR(DM28&lt;=0,BY28&lt;DATOS!$C$72-0.0001),0,DATOS!$C$86*MAX(0,IF(BM28&gt;=0,DF28/(DATOS!$C$86*DM28*BT28*BY28*100/1000)*(DR28*DO28-1)+DN28,DO28*DN28))*DM28*BT28*BY28*100/1000))</f>
        <v/>
      </c>
      <c r="DX28" s="44" t="str">
        <f>IF(BI28&lt;&gt;"SÍ","",IF(OR(DM28&lt;=0,BZ28&lt;DATOS!$C$72-0.0001),0,DATOS!$C$86*MAX(0,IF(BM28&gt;=0,DG28/(DATOS!$C$86*DM28*BT28*BZ28*100/1000)*(DS28*DO28-1)+DN28,DO28*DN28))*DM28*BT28*BZ28*100/1000))</f>
        <v/>
      </c>
      <c r="DY28" s="44" t="str">
        <f>IF(BI28&lt;&gt;"SÍ","",IF(OR(DM28&lt;=0,CA28&lt;DATOS!$C$72-0.0001),0,DATOS!$C$86*MAX(0,IF(BM28&gt;=0,DH28/(DATOS!$C$86*DM28*BT28*CA28*100/1000)*(DT28*DO28-1)+DN28,DO28*DN28))*DM28*BT28*CA28*100/1000))</f>
        <v/>
      </c>
      <c r="DZ28" s="46" t="str">
        <f>IF(BI28&lt;&gt;"SÍ","",SUM(DU28:DY28))</f>
        <v/>
      </c>
      <c r="EA28" s="45" t="str">
        <f>IF(BI28&lt;&gt;"SÍ","",IF(OR(AE28="",AE28="NINGUNO"),IF(DATOS!$C$41&gt;=10,"FALTA refuerzo horizontal: v'm ≥ 10 kg/cm² (6.5.2.2)",IF(AND(BM28&lt;0,BK28&gt;0),"FALTA: P en tensión, el refuerzo debe tomar todo el cortante (6.5.1.3)","—")),IF(AE28="ESCALERILLA","NO CUENTA: la escalerilla no se permite para cortante por sismo (6.5.3.1.2)",IF(AE28="MALLA",IF(AND(DL28&gt;=2.5,DL28&lt;=MAX(0.15*DATOS!$C$33*DATOS!$C$24,2.5)),"CUMPLE","NO CUMPLE: "&amp;IF(DL28&lt;2.5,"p_h·f_yh &lt; 2.5 (6.5.4.2.4)","p_h·f_yh &gt; 0.15·f'm·f_an (6.5.4.2.4)")),IF(AND(DK28&lt;=MIN(6*DATOS!$C$26,45),DL28&gt;=3,DL28&lt;=MIN(MAX(0.15*DATOS!$C$33*DATOS!$C$24,3),0.05*DATOS!$C$25/10*MIN(DATOS!$C$50,6000)/DK28),INDEX(TABLAS!$C$6:$C$14,MATCH(IF(AG28&lt;&gt;"",AG28,DATOS!$C$73),TABLAS!$B$6:$B$14,0))&gt;=0.35,INDEX(TABLAS!$C$6:$C$14,MATCH(IF(AG28&lt;&gt;"",AG28,DATOS!$C$73),TABLAS!$B$6:$B$14,0))&lt;=0.75*DATOS!$C$25/10),"CUMPLE","NO CUMPLE: "&amp;IF(DK28&gt;MIN(6*DATOS!$C$26,45),"s_h &gt; 6 hiladas o 45 cm (6.5.3.2.1) ","")&amp;IF(DL28&lt;3,"p_h·f_yh &lt; 3 (6.5.3.3.1) ","")&amp;IF(DL28&gt;MIN(MAX(0.15*DATOS!$C$33*DATOS!$C$24,3),0.05*DATOS!$C$25/10*MIN(DATOS!$C$50,6000)/DK28),"p_h·f_yh &gt; máximo (6.5.3.3.2) ","")&amp;IF(OR(INDEX(TABLAS!$C$6:$C$14,MATCH(IF(AG28&lt;&gt;"",AG28,DATOS!$C$73),TABLAS!$B$6:$B$14,0))&lt;0.35,INDEX(TABLAS!$C$6:$C$14,MATCH(IF(AG28&lt;&gt;"",AG28,DATOS!$C$73),TABLAS!$B$6:$B$14,0))&gt;0.75*DATOS!$C$25/10),"diámetro fuera de 3.5 mm a 0.75·h_j (4.2.2.2.1)",""))))))</f>
        <v/>
      </c>
      <c r="EB28" s="46" t="str">
        <f>IF(BI28&lt;&gt;"SÍ","",DI28+DZ28)</f>
        <v/>
      </c>
      <c r="EC28" s="50" t="str">
        <f>IF(BI28&lt;&gt;"SÍ","",IF(EB28&gt;0,BK28/EB28,IF(BK28&gt;0,99,0)))</f>
        <v/>
      </c>
      <c r="ED28" s="47" t="str">
        <f>IF(BI28&lt;&gt;"SÍ","",IF(CE28&lt;=0,-1,IF(BK28&lt;=DI28,0,IF(IF(BM28&gt;=0,IF((DATOS!$C$86*IF(AE28="MALLA",0.5,IF(DATOS!$C$33&lt;=60,0.55,IF(DATOS!$C$33&gt;=90,0.75,0.55+0.2*(DATOS!$C$33-60)/30)))*CE28/1000-DATOS!$C$91*SUMPRODUCT(DP28:DT28,DD28:DH28))&lt;=0,1E9,(BK28-SUMPRODUCT(DP28:DT28,DD28:DH28))/(DATOS!$C$86*IF(AE28="MALLA",0.5,IF(DATOS!$C$33&lt;=60,0.55,IF(DATOS!$C$33&gt;=90,0.75,0.55+0.2*(DATOS!$C$33-60)/30)))*CE28/1000-DATOS!$C$91*SUMPRODUCT(DP28:DT28,DD28:DH28))),IF((1-4*DATOS!$C$91*BK28*1000/(DATOS!$C$86*IF(AE28="MALLA",0.5,IF(DATOS!$C$33&lt;=60,0.55,IF(DATOS!$C$33&gt;=90,0.75,0.55+0.2*(DATOS!$C$33-60)/30)))*MAX(CE28,1)))&lt;0,1E9,(1-SQRT((1-4*DATOS!$C$91*BK28*1000/(DATOS!$C$86*IF(AE28="MALLA",0.5,IF(DATOS!$C$33&lt;=60,0.55,IF(DATOS!$C$33&gt;=90,0.75,0.55+0.2*(DATOS!$C$33-60)/30)))*MAX(CE28,1)))))/(2*DATOS!$C$91)))&gt;0.1*DATOS!$C$33*DATOS!$C$24+0.000001,-1,MAX(IF(AE28="MALLA",2.5,3),IF(BM28&gt;=0,IF((DATOS!$C$86*IF(AE28="MALLA",0.5,IF(DATOS!$C$33&lt;=60,0.55,IF(DATOS!$C$33&gt;=90,0.75,0.55+0.2*(DATOS!$C$33-60)/30)))*CE28/1000-DATOS!$C$91*SUMPRODUCT(DP28:DT28,DD28:DH28))&lt;=0,1E9,(BK28-SUMPRODUCT(DP28:DT28,DD28:DH28))/(DATOS!$C$86*IF(AE28="MALLA",0.5,IF(DATOS!$C$33&lt;=60,0.55,IF(DATOS!$C$33&gt;=90,0.75,0.55+0.2*(DATOS!$C$33-60)/30)))*CE28/1000-DATOS!$C$91*SUMPRODUCT(DP28:DT28,DD28:DH28))),IF((1-4*DATOS!$C$91*BK28*1000/(DATOS!$C$86*IF(AE28="MALLA",0.5,IF(DATOS!$C$33&lt;=60,0.55,IF(DATOS!$C$33&gt;=90,0.75,0.55+0.2*(DATOS!$C$33-60)/30)))*MAX(CE28,1)))&lt;0,1E9,(1-SQRT((1-4*DATOS!$C$91*BK28*1000/(DATOS!$C$86*IF(AE28="MALLA",0.5,IF(DATOS!$C$33&lt;=60,0.55,IF(DATOS!$C$33&gt;=90,0.75,0.55+0.2*(DATOS!$C$33-60)/30)))*MAX(CE28,1)))))/(2*DATOS!$C$91))))))))</f>
        <v/>
      </c>
      <c r="EE28" s="45" t="str">
        <f>IF(BI28&lt;&gt;"SÍ","",IF(ED28=0,"NO REQUIERE: V_mR ≥ V_u",IF(ED28&lt;0,"NO ALCANZA con refuerzo horizontal (haría falta más de 0.1·f'm·f_an efectivo): sube v'm con ensayes, el espesor o la longitud del muro",IF(AND(OR(AE28="VARILLA EN JUNTAS",AE28="MALLA"),LEFT(EA28,6)="CUMPLE",EC28&lt;=1),"YA LO TIENE (pide p_h·f_yh ≥ "&amp;TEXT(ED28,"0.0")&amp;" kg/cm²)","p_h·f_yh ≥ "&amp;TEXT(ED28,"0.0")&amp;" kg/cm² → "&amp;IF(AND(MIN(6,FLOOR(45/DATOS!$C$26,1),FLOOR((2*INDEX(TABLAS!$D$6:$D$14,MATCH("3/16 in",TABLAS!$B$6:$B$14,0)))*MIN(DATOS!$C$50,6000)/(BT28*DATOS!$C$26*MAX(ED28,0.001)),1))&gt;=1,((2*INDEX(TABLAS!$D$6:$D$14,MATCH("3/16 in",TABLAS!$B$6:$B$14,0)))*MIN(DATOS!$C$50,6000)/(MAX(MIN(6,FLOOR(45/DATOS!$C$26,1),FLOOR((2*INDEX(TABLAS!$D$6:$D$14,MATCH("3/16 in",TABLAS!$B$6:$B$14,0)))*MIN(DATOS!$C$50,6000)/(BT28*DATOS!$C$26*MAX(ED28,0.001)),1)),1)*DATOS!$C$26*BT28))&lt;=MIN(MAX(0.15*DATOS!$C$33*DATOS!$C$24,3),0.05*DATOS!$C$25/10*MIN(DATOS!$C$50,6000)/(MIN(6,FLOOR(45/DATOS!$C$26,1),FLOOR((2*INDEX(TABLAS!$D$6:$D$14,MATCH("3/16 in",TABLAS!$B$6:$B$14,0)))*MIN(DATOS!$C$50,6000)/(BT28*DATOS!$C$26*MAX(ED28,0.001)),1))*DATOS!$C$26))),"2 alambres de 3/16"" por junta cada "&amp;MIN(6,FLOOR(45/DATOS!$C$26,1),FLOOR((2*INDEX(TABLAS!$D$6:$D$14,MATCH("3/16 in",TABLAS!$B$6:$B$14,0)))*MIN(DATOS!$C$50,6000)/(BT28*DATOS!$C$26*MAX(ED28,0.001)),1))&amp;" hilada(s) (p_h·f_yh = "&amp;TEXT(((2*INDEX(TABLAS!$D$6:$D$14,MATCH("3/16 in",TABLAS!$B$6:$B$14,0)))*MIN(DATOS!$C$50,6000)/(MAX(MIN(6,FLOOR(45/DATOS!$C$26,1),FLOOR((2*INDEX(TABLAS!$D$6:$D$14,MATCH("3/16 in",TABLAS!$B$6:$B$14,0)))*MIN(DATOS!$C$50,6000)/(BT28*DATOS!$C$26*MAX(ED28,0.001)),1)),1)*DATOS!$C$26*BT28)),"0.00")&amp;")",IF(AND(MIN(6,FLOOR(45/DATOS!$C$26,1),FLOOR((2*INDEX(TABLAS!$D$6:$D$14,MATCH("5/32 in",TABLAS!$B$6:$B$14,0)))*MIN(DATOS!$C$50,6000)/(BT28*DATOS!$C$26*MAX(ED28,0.001)),1))&gt;=1,((2*INDEX(TABLAS!$D$6:$D$14,MATCH("5/32 in",TABLAS!$B$6:$B$14,0)))*MIN(DATOS!$C$50,6000)/(MAX(MIN(6,FLOOR(45/DATOS!$C$26,1),FLOOR((2*INDEX(TABLAS!$D$6:$D$14,MATCH("5/32 in",TABLAS!$B$6:$B$14,0)))*MIN(DATOS!$C$50,6000)/(BT28*DATOS!$C$26*MAX(ED28,0.001)),1)),1)*DATOS!$C$26*BT28))&lt;=MIN(MAX(0.15*DATOS!$C$33*DATOS!$C$24,3),0.05*DATOS!$C$25/10*MIN(DATOS!$C$50,6000)/(MIN(6,FLOOR(45/DATOS!$C$26,1),FLOOR((2*INDEX(TABLAS!$D$6:$D$14,MATCH("5/32 in",TABLAS!$B$6:$B$14,0)))*MIN(DATOS!$C$50,6000)/(BT28*DATOS!$C$26*MAX(ED28,0.001)),1))*DATOS!$C$26))),"2 alambres de 5/32"" por junta cada "&amp;MIN(6,FLOOR(45/DATOS!$C$26,1),FLOOR((2*INDEX(TABLAS!$D$6:$D$14,MATCH("5/32 in",TABLAS!$B$6:$B$14,0)))*MIN(DATOS!$C$50,6000)/(BT28*DATOS!$C$26*MAX(ED28,0.001)),1))&amp;" hilada(s) (p_h·f_yh = "&amp;TEXT(((2*INDEX(TABLAS!$D$6:$D$14,MATCH("5/32 in",TABLAS!$B$6:$B$14,0)))*MIN(DATOS!$C$50,6000)/(MAX(MIN(6,FLOOR(45/DATOS!$C$26,1),FLOOR((2*INDEX(TABLAS!$D$6:$D$14,MATCH("5/32 in",TABLAS!$B$6:$B$14,0)))*MIN(DATOS!$C$50,6000)/(BT28*DATOS!$C$26*MAX(ED28,0.001)),1)),1)*DATOS!$C$26*BT28)),"0.00")&amp;")",IF(AND(MIN(6,FLOOR(45/DATOS!$C$26,1),FLOOR((1*INDEX(TABLAS!$D$6:$D$14,MATCH("3/16 in",TABLAS!$B$6:$B$14,0)))*MIN(DATOS!$C$50,6000)/(BT28*DATOS!$C$26*MAX(ED28,0.001)),1))&gt;=1,((1*INDEX(TABLAS!$D$6:$D$14,MATCH("3/16 in",TABLAS!$B$6:$B$14,0)))*MIN(DATOS!$C$50,6000)/(MAX(MIN(6,FLOOR(45/DATOS!$C$26,1),FLOOR((1*INDEX(TABLAS!$D$6:$D$14,MATCH("3/16 in",TABLAS!$B$6:$B$14,0)))*MIN(DATOS!$C$50,6000)/(BT28*DATOS!$C$26*MAX(ED28,0.001)),1)),1)*DATOS!$C$26*BT28))&lt;=MIN(MAX(0.15*DATOS!$C$33*DATOS!$C$24,3),0.05*DATOS!$C$25/10*MIN(DATOS!$C$50,6000)/(MIN(6,FLOOR(45/DATOS!$C$26,1),FLOOR((1*INDEX(TABLAS!$D$6:$D$14,MATCH("3/16 in",TABLAS!$B$6:$B$14,0)))*MIN(DATOS!$C$50,6000)/(BT28*DATOS!$C$26*MAX(ED28,0.001)),1))*DATOS!$C$26))),"1 alambre de 3/16"" por junta cada "&amp;MIN(6,FLOOR(45/DATOS!$C$26,1),FLOOR((1*INDEX(TABLAS!$D$6:$D$14,MATCH("3/16 in",TABLAS!$B$6:$B$14,0)))*MIN(DATOS!$C$50,6000)/(BT28*DATOS!$C$26*MAX(ED28,0.001)),1))&amp;" hilada(s) (p_h·f_yh = "&amp;TEXT(((1*INDEX(TABLAS!$D$6:$D$14,MATCH("3/16 in",TABLAS!$B$6:$B$14,0)))*MIN(DATOS!$C$50,6000)/(MAX(MIN(6,FLOOR(45/DATOS!$C$26,1),FLOOR((1*INDEX(TABLAS!$D$6:$D$14,MATCH("3/16 in",TABLAS!$B$6:$B$14,0)))*MIN(DATOS!$C$50,6000)/(BT28*DATOS!$C$26*MAX(ED28,0.001)),1)),1)*DATOS!$C$26*BT28)),"0.00")&amp;")",IF(AND(MIN(6,FLOOR(45/DATOS!$C$26,1),FLOOR((1*INDEX(TABLAS!$D$6:$D$14,MATCH("5/32 in",TABLAS!$B$6:$B$14,0)))*MIN(DATOS!$C$50,6000)/(BT28*DATOS!$C$26*MAX(ED28,0.001)),1))&gt;=1,((1*INDEX(TABLAS!$D$6:$D$14,MATCH("5/32 in",TABLAS!$B$6:$B$14,0)))*MIN(DATOS!$C$50,6000)/(MAX(MIN(6,FLOOR(45/DATOS!$C$26,1),FLOOR((1*INDEX(TABLAS!$D$6:$D$14,MATCH("5/32 in",TABLAS!$B$6:$B$14,0)))*MIN(DATOS!$C$50,6000)/(BT28*DATOS!$C$26*MAX(ED28,0.001)),1)),1)*DATOS!$C$26*BT28))&lt;=MIN(MAX(0.15*DATOS!$C$33*DATOS!$C$24,3),0.05*DATOS!$C$25/10*MIN(DATOS!$C$50,6000)/(MIN(6,FLOOR(45/DATOS!$C$26,1),FLOOR((1*INDEX(TABLAS!$D$6:$D$14,MATCH("5/32 in",TABLAS!$B$6:$B$14,0)))*MIN(DATOS!$C$50,6000)/(BT28*DATOS!$C$26*MAX(ED28,0.001)),1))*DATOS!$C$26))),"1 alambre de 5/32"" por junta cada "&amp;MIN(6,FLOOR(45/DATOS!$C$26,1),FLOOR((1*INDEX(TABLAS!$D$6:$D$14,MATCH("5/32 in",TABLAS!$B$6:$B$14,0)))*MIN(DATOS!$C$50,6000)/(BT28*DATOS!$C$26*MAX(ED28,0.001)),1))&amp;" hilada(s) (p_h·f_yh = "&amp;TEXT(((1*INDEX(TABLAS!$D$6:$D$14,MATCH("5/32 in",TABLAS!$B$6:$B$14,0)))*MIN(DATOS!$C$50,6000)/(MAX(MIN(6,FLOOR(45/DATOS!$C$26,1),FLOOR((1*INDEX(TABLAS!$D$6:$D$14,MATCH("5/32 in",TABLAS!$B$6:$B$14,0)))*MIN(DATOS!$C$50,6000)/(BT28*DATOS!$C$26*MAX(ED28,0.001)),1)),1)*DATOS!$C$26*BT28)),"0.00")&amp;")","ninguna combinación de 1 o 2 alambres por junta queda entre el mínimo y el máximo: revisa con malla (6.5.4)"))))))))</f>
        <v/>
      </c>
      <c r="EF28" s="43" t="str">
        <f>IF(BI28&lt;&gt;"SÍ","",IF(AI28="SÍ",N(AK28)*N(AL28)^3/12,0))</f>
        <v/>
      </c>
      <c r="EG28" s="48" t="str">
        <f>IF(BI28&lt;&gt;"SÍ","",IF(AND(AI28="SÍ",N(AM28)&gt;0),MIN(1,F28/AM28),0))</f>
        <v/>
      </c>
      <c r="EH28" s="47" t="str">
        <f>IF(BI28&lt;&gt;"SÍ","",IF(AI28="SÍ",BP28*1000/(BT28*F28*100)*BT28*(EG28^4-4*EG28^3+8*EG28),0))</f>
        <v/>
      </c>
      <c r="EI28" s="48" t="str">
        <f>IF(BI28&lt;&gt;"SÍ","",IF(AND(AI28="SÍ",EH28&gt;0),EH28/(EH28+5*N(AN28)*10),0))</f>
        <v/>
      </c>
      <c r="EJ28" s="44" t="str">
        <f>IF(BI28&lt;&gt;"SÍ","",IF(AND(AI28="SÍ",EI28&gt;0,EF28&gt;0),(DATOS!$C$43*BT28*(AM28*100)^3/(DATOS!$C$53*EF28*EI28))^0.25,0))</f>
        <v/>
      </c>
      <c r="EK28" s="44" t="str">
        <f>IF(BI28&lt;&gt;"SÍ","",IF(AI28&lt;&gt;"SÍ",0,IF(N(AM28)&lt;=F28,1,IF(MIN(1,N(AO28)/((AM28-F28)/2))&lt;=0.5,0.7+0.6*MIN(1,N(AO28)/((AM28-F28)/2)),1.5-MIN(1,N(AO28)/((AM28-F28)/2))))))</f>
        <v/>
      </c>
      <c r="EL28" s="44" t="str">
        <f>IF(BI28&lt;&gt;"SÍ","",IF(AI28&lt;&gt;"SÍ",0,MAX(1,IF(EG28&gt;=1,(1.6*EJ28-3.9),IF(EG28&lt;0.9,((3.2*EJ28-7.8)*EK28),((3.2*EJ28-7.8)*EK28)+((1.6*EJ28-3.9)-((3.2*EJ28-7.8)*EK28))*(EG28-0.9)/0.1)))))</f>
        <v/>
      </c>
      <c r="EM28" s="47" t="str">
        <f>IF(BI28&lt;&gt;"SÍ","",IF(AI28="SÍ",EL28*BP28*1000/(BT28*F28*100),0))</f>
        <v/>
      </c>
      <c r="EN28" s="47" t="str">
        <f>IF(BI28&lt;&gt;"SÍ","",IF(AND(AI28="SÍ",N(AL28)&gt;0),AM28*100/AL28,0))</f>
        <v/>
      </c>
      <c r="EO28" s="47" t="str">
        <f>IF(BI28&lt;&gt;"SÍ","",IF(AI28="SÍ",(1/15*DATOS!$C$53*N(AK28)/MAX((IF(ISNUMBER(AP28),AP28,BP28/DATOS!$C$90)*1000/(BT28*F28*100)*BT28*(EG28^4-4*EG28^3+8*EG28))+5*N(AN28)/DATOS!$C$90*10,0.001))^(1/3),0))</f>
        <v/>
      </c>
      <c r="EP28" s="45" t="str">
        <f>IF(BI28&lt;&gt;"SÍ","",IF(AI28&lt;&gt;"SÍ","—",IF(OR(N(AK28)&lt;=0,N(AL28)&lt;=0,N(AM28)&lt;=0),"REVISAR: faltan b, h o L_v de la viga",IF(AND(EM28&lt;=DATOS!$C$87*DATOS!$C$33,EN28&lt;=14,N(AL28)&gt;=25,EN28&lt;=EO28),IF(BS28/F28&lt;0.6,"PENDIENTE: H/L &lt; 0.6, falta el análisis de interacción muro–viga (4.1.18.2.1); f_CM es estimado","CUMPLE"),"NO CUMPLE: "&amp;IF(EM28&gt;DATOS!$C$87*DATOS!$C$33,"f_CM &gt; F_R·f'm ","")&amp;IF(EN28&gt;14,"L_v/h_v &gt; 14 ","")&amp;IF(N(AL28)&lt;25,"h_v &lt; 25 cm ","")&amp;IF(EN28&gt;EO28,"flecha (4.1.18.3)","")))))</f>
        <v/>
      </c>
      <c r="EQ28" s="44" t="str">
        <f>IF(BI28&lt;&gt;"SÍ","",MAX(0,F28*BS28-(N(K28)*N(M28)+N(P28)*N(R28)+N(U28)*N(W28)+N(Z28)*N(AB28))-CK28*DATOS!$C$59/100*BS28))</f>
        <v/>
      </c>
      <c r="ER28" s="48" t="str">
        <f>IF(BI28&lt;&gt;"SÍ","",CK28*DATOS!$C$59*DATOS!$C$60/10000*BS28)</f>
        <v/>
      </c>
      <c r="ES28" s="47" t="str">
        <f>IF(BI28&lt;&gt;"SÍ","",CK28*(DATOS!$C$61*(BS28+0.6)*INDEX(TABLAS!$E$6:$E$14,MATCH(DATOS!$C$62,TABLAS!$B$6:$B$14,0))+(2*ROUNDUP(CN28/DATOS!$C$65,0)+ROUNDUP(MAX(0,BS28*100-2*CN28)/DATOS!$C$64,0))*((2*(DATOS!$C$60+DATOS!$C$59-4*(DATOS!$C$66-INDEX(TABLAS!$C$6:$C$14,MATCH(DATOS!$C$63,TABLAS!$B$6:$B$14,0))))+15)/100)*INDEX(TABLAS!$E$6:$E$14,MATCH(DATOS!$C$63,TABLAS!$B$6:$B$14,0))))</f>
        <v/>
      </c>
      <c r="ET28" s="47" t="str">
        <f>IF(BI28&lt;&gt;"SÍ","",IF(OR(AE28="VARILLA EN JUNTAS",AE28="ESCALERILLA"),INT(BS28*100/MAX(DK28,1))*IF(ISNUMBER(AF28),AF28,2)*CB28*INDEX(TABLAS!$E$6:$E$14,MATCH(IF(AG28&lt;&gt;"",AG28,DATOS!$C$73),TABLAS!$B$6:$B$14,0)),IF(AE28="MALLA",IF(ISNUMBER(AF28),AF28,1)*CB28*BS28*INDEX(TABLAS!$E$19:$E$22,MATCH(IF(AG28&lt;&gt;"",AG28,DATOS!$C$74),TABLAS!$B$19:$B$22,0)),0)))</f>
        <v/>
      </c>
      <c r="EU28" s="45" t="str">
        <f>IF(BI28&lt;&gt;"SÍ","",""&amp;IF(BJ28="NO ESTÁ EN PIER_FORCES","sin fuerzas en PIER_FORCES; ","")&amp;IF(BV28&lt;&gt;"CUMPLE","vanos; ","")&amp;IF(LEFT(CH28,2)="NO","espesor o esbeltez; ","")&amp;IF(CQ28&gt;1,"compresión; ","")&amp;IF(CX28&gt;1,"flexión; ","")&amp;IF(CB28&lt;=0,"sin tramos de muro (todos son machones menores que L mín.: diséñalos como columnas o baja L mín.); ",IF(EC28&gt;1,"cortante; ",""))&amp;IF(OR(LEFT(EA28,2)="NO",LEFT(EA28,5)="FALTA"),"refuerzo horizontal; ","")&amp;IF(OR(LEFT(EP28,2)="NO",LEFT(EP28,7)="REVISAR"),"muro sobre viga; ","")&amp;IF(LEFT(DATOS!$C$81,2)="NO","castillo típico; ","")&amp;IF(LEFT(DATOS!$C$82,2)="NO","dala típica; ","")&amp;IF(AND(BT28&lt;&gt;DATOS!$C$58,DATOS!$C$60&lt;BT28),"castillo más angosto que el muro; ",""))</f>
        <v/>
      </c>
      <c r="EV28" s="45" t="str">
        <f>IF(BI28&lt;&gt;"SÍ","",""&amp;IF(LEFT(EP28,9)="PENDIENTE","análisis muro–viga (H/L &lt; 0.6); ","")&amp;IF(BR28&gt;50,"V_u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8" s="51" t="str">
        <f>IF(BI28&lt;&gt;"SÍ","",IF(EU28&lt;&gt;"","NO CUMPLE: "&amp;LEFT(EU28,LEN(EU28)-2),IF(EV28&lt;&gt;"","CUMPLE — PENDIENTE: "&amp;LEFT(EV28,LEN(EV28)-2),"CUMPLE")))</f>
        <v/>
      </c>
      <c r="EX28" s="52" t="n"/>
    </row>
    <row r="29" ht="30" customHeight="1">
      <c r="A29" s="38" t="str">
        <f>IF(B29="","",ROW()-10)</f>
        <v/>
      </c>
      <c r="B29" s="28" t="n"/>
      <c r="C29" s="39" t="n"/>
      <c r="D29" s="39" t="n"/>
      <c r="E29" s="39" t="n"/>
      <c r="F29" s="40" t="n"/>
      <c r="G29" s="40" t="n"/>
      <c r="H29" s="41" t="n"/>
      <c r="I29" s="39" t="n"/>
      <c r="J29" s="40" t="n"/>
      <c r="K29" s="40" t="n"/>
      <c r="L29" s="40" t="n"/>
      <c r="M29" s="40" t="n"/>
      <c r="N29" s="39" t="n"/>
      <c r="O29" s="40" t="n"/>
      <c r="P29" s="40" t="n"/>
      <c r="Q29" s="40" t="n"/>
      <c r="R29" s="40" t="n"/>
      <c r="S29" s="39" t="n"/>
      <c r="T29" s="40" t="n"/>
      <c r="U29" s="40" t="n"/>
      <c r="V29" s="40" t="n"/>
      <c r="W29" s="40" t="n"/>
      <c r="X29" s="39" t="n"/>
      <c r="Y29" s="40" t="n"/>
      <c r="Z29" s="40" t="n"/>
      <c r="AA29" s="40" t="n"/>
      <c r="AB29" s="40" t="n"/>
      <c r="AC29" s="41" t="n"/>
      <c r="AD29" s="41" t="n"/>
      <c r="AE29" s="39" t="n"/>
      <c r="AF29" s="41" t="n"/>
      <c r="AG29" s="41" t="n"/>
      <c r="AH29" s="41" t="n"/>
      <c r="AI29" s="39" t="n"/>
      <c r="AJ29" s="39" t="n"/>
      <c r="AK29" s="41" t="n"/>
      <c r="AL29" s="41" t="n"/>
      <c r="AM29" s="40" t="n"/>
      <c r="AN29" s="40" t="n"/>
      <c r="AO29" s="40" t="n"/>
      <c r="AP29" s="40" t="n"/>
      <c r="AQ29" s="40" t="n"/>
      <c r="AR29" s="40" t="n"/>
      <c r="AS29" s="40" t="n"/>
      <c r="AT29" s="40" t="n"/>
      <c r="AU29" s="40" t="n"/>
      <c r="AV29" s="40" t="n"/>
      <c r="AW29" s="40" t="n"/>
      <c r="AX29" s="42" t="str">
        <f>IF(B29="","",C29&amp;"|"&amp;B29)</f>
        <v/>
      </c>
      <c r="AY29" s="43" t="str">
        <f>IF(B29="","",COUNTIFS(PIER_FORCES!$O$9:$O$3008,19,PIER_FORCES!$P$9:$P$3008,1))</f>
        <v/>
      </c>
      <c r="AZ29" s="43" t="str">
        <f>IF(B29="","",COUNTIFS(PIER_FORCES!$O$9:$O$3008,19,PIER_FORCES!$P$9:$P$3008,2))</f>
        <v/>
      </c>
      <c r="BA29" s="44">
        <f>IF(N(AY29)=0,0,SUMPRODUCT(MAX((PIER_FORCES!$O$9:$O$3008=19)*(PIER_FORCES!$P$9:$P$3008=1)*PIER_FORCES!$R$9:$R$3008)))</f>
        <v>0</v>
      </c>
      <c r="BB29" s="44">
        <f>IF(N(AY29)=0,0,SUMPRODUCT(MAX((PIER_FORCES!$O$9:$O$3008=19)*(PIER_FORCES!$P$9:$P$3008=1)*PIER_FORCES!$S$9:$S$3008)))</f>
        <v>0</v>
      </c>
      <c r="BC29" s="44">
        <f>IF(N(AY29)=0,0,-SUMPRODUCT(MAX((PIER_FORCES!$O$9:$O$3008=19)*(PIER_FORCES!$P$9:$P$3008=1)*(-PIER_FORCES!$Q$9:$Q$3008)+(1-(PIER_FORCES!$O$9:$O$3008=19)*(PIER_FORCES!$P$9:$P$3008=1))*(-1E9))))</f>
        <v>0</v>
      </c>
      <c r="BD29" s="44">
        <f>IF(N(AY29)=0,0,SUMPRODUCT(MAX((PIER_FORCES!$O$9:$O$3008=19)*(PIER_FORCES!$P$9:$P$3008=1)*PIER_FORCES!$Q$9:$Q$3008+(1-(PIER_FORCES!$O$9:$O$3008=19)*(PIER_FORCES!$P$9:$P$3008=1))*(-1E9))))</f>
        <v>0</v>
      </c>
      <c r="BE29" s="44">
        <f>IF(N(AZ29)=0,BD29,SUMPRODUCT(MAX((PIER_FORCES!$O$9:$O$3008=19)*(PIER_FORCES!$P$9:$P$3008=2)*PIER_FORCES!$Q$9:$Q$3008+(1-(PIER_FORCES!$O$9:$O$3008=19)*(PIER_FORCES!$P$9:$P$3008=2))*(-1E9))))</f>
        <v>0</v>
      </c>
      <c r="BF29" s="44">
        <f>IF(N(AZ29)=0,0,SUMPRODUCT(MAX((PIER_FORCES!$O$9:$O$3008=19)*(PIER_FORCES!$P$9:$P$3008=2)*PIER_FORCES!$R$9:$R$3008)))</f>
        <v>0</v>
      </c>
      <c r="BG29" s="43">
        <f>IF(N(AY29)=0,0,SUMPRODUCT(MAX((PIER_FORCES!$O$9:$O$3008=19)*(PIER_FORCES!$P$9:$P$3008=1)*(ABS(PIER_FORCES!$R$9:$R$3008-BA29)&lt;0.000001)*PIER_FORCES!$T$9:$T$3008)))</f>
        <v>0</v>
      </c>
      <c r="BH29" s="45" t="str">
        <f>IF(N(BG29)=0,"",INDEX(PIER_FORCES!$D$9:$D$3008,BG29)&amp;" "&amp;INDEX(PIER_FORCES!$F$9:$F$3008,BG29)&amp;" / "&amp;INDEX(PIER_FORCES!$G$9:$G$3008,BG29))</f>
        <v/>
      </c>
      <c r="BI29" s="42" t="str">
        <f>IF(B29="","",IF(AND(C29&lt;&gt;"",OR(D29="X",D29="Y"),ISNUMBER(F29),N(F29)&gt;0),"SÍ","NO"))</f>
        <v/>
      </c>
      <c r="BJ29" s="42" t="str">
        <f>IF(BI29&lt;&gt;"SÍ","",IF(DATOS!$C$108="ETABS (PIER_FORCES)",IF(N(AY29)&gt;0,"ETABS","NO ESTÁ EN PIER_FORCES"),"CAPTURA"))</f>
        <v/>
      </c>
      <c r="BK29" s="46" t="str">
        <f>IF(BI29&lt;&gt;"SÍ","",IF(BJ29="ETABS",BA29,IF(BJ29="CAPTURA",N(AQ29),0)))</f>
        <v/>
      </c>
      <c r="BL29" s="46" t="str">
        <f>IF(BI29&lt;&gt;"SÍ","",IF(BJ29="ETABS",BB29,IF(BJ29="CAPTURA",N(AR29),0)))</f>
        <v/>
      </c>
      <c r="BM29" s="46" t="str">
        <f>IF(BI29&lt;&gt;"SÍ","",IF(BJ29="ETABS",BC29/DATOS!$C$89,IF(BJ29="CAPTURA",N(AS29),0)))</f>
        <v/>
      </c>
      <c r="BN29" s="44" t="str">
        <f>IF(BI29&lt;&gt;"SÍ","",IF(BJ29="ETABS",BC29,IF(BJ29="CAPTURA",IF(ISNUMBER(AU29),AU29,N(AS29)*DATOS!$C$89),0)))</f>
        <v/>
      </c>
      <c r="BO29" s="44" t="str">
        <f>IF(BI29&lt;&gt;"SÍ","",IF(BJ29="ETABS",MAX(BD29,BE29),IF(BJ29="CAPTURA",N(AT29),0)))</f>
        <v/>
      </c>
      <c r="BP29" s="44" t="str">
        <f>IF(BI29&lt;&gt;"SÍ","",IF(BJ29="ETABS",BE29,IF(BJ29="CAPTURA",IF(ISNUMBER(AV29),AV29,N(AT29)),0)))</f>
        <v/>
      </c>
      <c r="BQ29" s="44" t="str">
        <f>IF(BI29&lt;&gt;"SÍ","",IF(BJ29="ETABS",BF29,IF(BJ29="CAPTURA",N(AW29),0)))</f>
        <v/>
      </c>
      <c r="BR29" s="43" t="str">
        <f>IF(BI29&lt;&gt;"SÍ","",IF(BK29&gt;0,100*BQ29/BK29,0))</f>
        <v/>
      </c>
      <c r="BS29" s="44" t="str">
        <f>IF(BI29&lt;&gt;"SÍ","",IF(ISNUMBER(G29),G29,DATOS!$C$57))</f>
        <v/>
      </c>
      <c r="BT29" s="47" t="str">
        <f>IF(BI29&lt;&gt;"SÍ","",IF(ISNUMBER(H29),H29,DATOS!$C$58))</f>
        <v/>
      </c>
      <c r="BU29" s="43" t="str">
        <f>IF(BI29&lt;&gt;"SÍ","",IF(N(K29)&gt;0,1+IF(N(P29)&gt;0,1+IF(N(U29)&gt;0,1+IF(N(Z29)&gt;0,1,0),0),0),0))</f>
        <v/>
      </c>
      <c r="BV29" s="45" t="str">
        <f>IF(BI29&lt;&gt;"SÍ","",IF(AND(OR(BU29&lt;1,AND(N(J29)&gt;=0-0.001,J29+K29&lt;=F29+0.001,N(L29)&gt;=0,N(L29)+N(M29)&lt;=BS29+0.001,N(M29)&gt;0,OR(I29="PUERTA",I29="VENTANA"))),OR(BU29&lt;2,AND(N(O29)&gt;=(J29+K29)-0.001,O29+P29&lt;=F29+0.001,N(Q29)&gt;=0,N(Q29)+N(R29)&lt;=BS29+0.001,N(R29)&gt;0,OR(N29="PUERTA",N29="VENTANA"))),OR(BU29&lt;3,AND(N(T29)&gt;=(O29+P29)-0.001,T29+U29&lt;=F29+0.001,N(V29)&gt;=0,N(V29)+N(W29)&lt;=BS29+0.001,N(W29)&gt;0,OR(S29="PUERTA",S29="VENTANA"))),OR(BU29&lt;4,AND(N(Y29)&gt;=(T29+U29)-0.001,Y29+Z29&lt;=F29+0.001,N(AA29)&gt;=0,N(AA29)+N(AB29)&lt;=BS29+0.001,N(AB29)&gt;0,OR(X29="PUERTA",X29="VENTANA"))),(N(K29)&gt;0)+(N(P29)&gt;0)+(N(U29)&gt;0)+(N(Z29)&gt;0)=BU29),"CUMPLE","REVISAR VANOS: tipo, orden de izquierda a derecha, que quepan en L y en H"))</f>
        <v/>
      </c>
      <c r="BW29" s="44" t="str">
        <f>IF(BI29&lt;&gt;"SÍ","",MAX(0,IF(BU29&gt;=1,N(J29),F29)))</f>
        <v/>
      </c>
      <c r="BX29" s="44" t="str">
        <f>IF(BI29&lt;&gt;"SÍ","",MAX(0,IF(BU29&gt;=2,N(O29)-(N(J29)+N(K29)),IF(BU29=1,F29-(N(J29)+N(K29)),0))))</f>
        <v/>
      </c>
      <c r="BY29" s="44" t="str">
        <f>IF(BI29&lt;&gt;"SÍ","",MAX(0,IF(BU29&gt;=3,N(T29)-(N(O29)+N(P29)),IF(BU29=2,F29-(N(O29)+N(P29)),0))))</f>
        <v/>
      </c>
      <c r="BZ29" s="44" t="str">
        <f>IF(BI29&lt;&gt;"SÍ","",MAX(0,IF(BU29&gt;=4,N(Y29)-(N(T29)+N(U29)),IF(BU29=3,F29-(N(T29)+N(U29)),0))))</f>
        <v/>
      </c>
      <c r="CA29" s="44" t="str">
        <f>IF(BI29&lt;&gt;"SÍ","",MAX(0,IF(BU29=4,F29-(N(Y29)+N(Z29)),0)))</f>
        <v/>
      </c>
      <c r="CB29" s="46" t="str">
        <f>IF(BI29&lt;&gt;"SÍ","",SUMPRODUCT((BW29:CA29&gt;=DATOS!$C$72-0.0001)*BW29:CA29))</f>
        <v/>
      </c>
      <c r="CC29" s="43" t="str">
        <f>IF(BI29&lt;&gt;"SÍ","",SUMPRODUCT(--(BW29:CA29&gt;=DATOS!$C$72-0.0001)))</f>
        <v/>
      </c>
      <c r="CD29" s="44" t="str">
        <f>IF(BI29&lt;&gt;"SÍ","",SUM(BW29:CA29))</f>
        <v/>
      </c>
      <c r="CE29" s="43" t="str">
        <f>IF(BI29&lt;&gt;"SÍ","",BT29*CB29*100)</f>
        <v/>
      </c>
      <c r="CF29" s="43" t="str">
        <f>IF(BI29&lt;&gt;"SÍ","",BT29*CD29*100)</f>
        <v/>
      </c>
      <c r="CG29" s="47" t="str">
        <f>IF(BI29&lt;&gt;"SÍ","",BS29*100/BT29)</f>
        <v/>
      </c>
      <c r="CH29" s="45" t="str">
        <f>IF(BI29&lt;&gt;"SÍ","",IF(AND(OR(DATOS!$C$14="TIPO II",BT29&gt;=12),CG29&lt;=25),"CUMPLE","NO CUMPLE: "&amp;IF(AND(DATOS!$C$14="TIPO I",BT29&lt;12),"t &lt; 12 cm ","")&amp;IF(CG29&gt;25,"H/t &gt; 25","")))</f>
        <v/>
      </c>
      <c r="CI29" s="44" t="str">
        <f>IF(BI29&lt;&gt;"SÍ","",MIN(1.5*BS29,4))</f>
        <v/>
      </c>
      <c r="CJ29" s="43" t="str">
        <f>IF(BI29&lt;&gt;"SÍ","",SUMPRODUCT((BW29:CA29&gt;=2*DATOS!$C$59/100)*INT((BW29:CA29-DATOS!$C$59/100)/CI29-0.000001)*((BW29:CA29-DATOS!$C$59/100)&gt;0)))</f>
        <v/>
      </c>
      <c r="CK29" s="43" t="str">
        <f>IF(BI29&lt;&gt;"SÍ","",SUMPRODUCT((BW29:CA29&gt;0.0001)*1+(BW29:CA29&gt;=2*DATOS!$C$59/100)*1)+CJ29)</f>
        <v/>
      </c>
      <c r="CL29" s="44" t="str">
        <f>IF(BI29&lt;&gt;"SÍ","",IF(ISNUMBER(AC29),AC29,DATOS!$C$61)*INDEX(TABLAS!$D$6:$D$14,MATCH(IF(AD29&lt;&gt;"",AD29,DATOS!$C$62),TABLAS!$B$6:$B$14,0)))</f>
        <v/>
      </c>
      <c r="CM29" s="44" t="str">
        <f>IF(BI29&lt;&gt;"SÍ","",CK29*DATOS!$C$78+IF(CK29&gt;=2,2,CK29)*(CL29-DATOS!$C$78))</f>
        <v/>
      </c>
      <c r="CN29" s="47" t="str">
        <f>IF(BI29&lt;&gt;"SÍ","",MAX(BS29*100/6,40))</f>
        <v/>
      </c>
      <c r="CO29" s="48" t="str">
        <f>IF(BI29&lt;&gt;"SÍ","",IF(CG29&lt;=20,IF(E29="INTERIOR",0.7,0.6),MIN(IF(E29="INTERIOR",0.7,0.6),(1-2/24)*(1-(IF(E29="INTERIOR",0.8,1)*CG29/30)^2))))</f>
        <v/>
      </c>
      <c r="CP29" s="47" t="str">
        <f>IF(BI29&lt;&gt;"SÍ","",DATOS!$C$87*CO29*(DATOS!$C$33*CF29+CM29*DATOS!$C$48)/1000)</f>
        <v/>
      </c>
      <c r="CQ29" s="46" t="str">
        <f>IF(BI29&lt;&gt;"SÍ","",IF(CP29&gt;0,BO29/CP29,99))</f>
        <v/>
      </c>
      <c r="CR29" s="47" t="str">
        <f>IF(BI29&lt;&gt;"SÍ","",MAX(0,F29*100-DATOS!$C$59))</f>
        <v/>
      </c>
      <c r="CS29" s="47" t="str">
        <f>IF(BI29&lt;&gt;"SÍ","",MAX(0,F29*100-DATOS!$C$59/2))</f>
        <v/>
      </c>
      <c r="CT29" s="44" t="str">
        <f>IF(BI29&lt;&gt;"SÍ","",CL29*DATOS!$C$48*CR29/100000)</f>
        <v/>
      </c>
      <c r="CU29" s="44" t="str">
        <f>IF(BI29&lt;&gt;"SÍ","",IF(BN29&lt;0,0.8*CT29*MAX(0,1+BN29/(0.8*CM29*DATOS!$C$48/1000)),IF(BN29&lt;=CP29/3,0.8*CT29+0.3*BN29*CS29/100,(1.5*0.6*CT29+0.15*CP29*CS29/100)*MAX(0,1-BN29/CP29))))</f>
        <v/>
      </c>
      <c r="CV29" s="44" t="str">
        <f>IF(BI29&lt;&gt;"SÍ","",IF(BO29&lt;0,0.8*CT29*MAX(0,1+BO29/(0.8*CM29*DATOS!$C$48/1000)),IF(BO29&lt;=CP29/3,0.8*CT29+0.3*BO29*CS29/100,(1.5*0.6*CT29+0.15*CP29*CS29/100)*MAX(0,1-BO29/CP29))))</f>
        <v/>
      </c>
      <c r="CW29" s="46" t="str">
        <f>IF(BI29&lt;&gt;"SÍ","",MAX(0,MIN(CU29,CV29)))</f>
        <v/>
      </c>
      <c r="CX29" s="49" t="str">
        <f>IF(BI29&lt;&gt;"SÍ","",IF(CW29&gt;0,BL29/CW29,IF(BL29&gt;0,99,0)))</f>
        <v/>
      </c>
      <c r="CY29" s="44" t="str">
        <f>IF(BI29&lt;&gt;"SÍ","",IF(BW29&gt;0,MAX(1,MIN(1.5,1.5-0.625*(BS29/BW29-0.2))),0))</f>
        <v/>
      </c>
      <c r="CZ29" s="44" t="str">
        <f>IF(BI29&lt;&gt;"SÍ","",IF(BX29&gt;0,MAX(1,MIN(1.5,1.5-0.625*(BS29/BX29-0.2))),0))</f>
        <v/>
      </c>
      <c r="DA29" s="44" t="str">
        <f>IF(BI29&lt;&gt;"SÍ","",IF(BY29&gt;0,MAX(1,MIN(1.5,1.5-0.625*(BS29/BY29-0.2))),0))</f>
        <v/>
      </c>
      <c r="DB29" s="44" t="str">
        <f>IF(BI29&lt;&gt;"SÍ","",IF(BZ29&gt;0,MAX(1,MIN(1.5,1.5-0.625*(BS29/BZ29-0.2))),0))</f>
        <v/>
      </c>
      <c r="DC29" s="44" t="str">
        <f>IF(BI29&lt;&gt;"SÍ","",IF(CA29&gt;0,MAX(1,MIN(1.5,1.5-0.625*(BS29/CA29-0.2))),0))</f>
        <v/>
      </c>
      <c r="DD29" s="44" t="str">
        <f>IF(BI29&lt;&gt;"SÍ","",IF(OR(BW29&lt;DATOS!$C$72-0.0001,BM29&lt;0,CB29&lt;=0),0,MIN(DATOS!$C$86*(0.5*DATOS!$C$41*BT29*BW29*100+0.3*BM29*BW29/CB29*1000)*CY29,1.5*DATOS!$C$86*DATOS!$C$41*BT29*BW29*100*CY29)/1000))</f>
        <v/>
      </c>
      <c r="DE29" s="44" t="str">
        <f>IF(BI29&lt;&gt;"SÍ","",IF(OR(BX29&lt;DATOS!$C$72-0.0001,BM29&lt;0,CB29&lt;=0),0,MIN(DATOS!$C$86*(0.5*DATOS!$C$41*BT29*BX29*100+0.3*BM29*BX29/CB29*1000)*CZ29,1.5*DATOS!$C$86*DATOS!$C$41*BT29*BX29*100*CZ29)/1000))</f>
        <v/>
      </c>
      <c r="DF29" s="44" t="str">
        <f>IF(BI29&lt;&gt;"SÍ","",IF(OR(BY29&lt;DATOS!$C$72-0.0001,BM29&lt;0,CB29&lt;=0),0,MIN(DATOS!$C$86*(0.5*DATOS!$C$41*BT29*BY29*100+0.3*BM29*BY29/CB29*1000)*DA29,1.5*DATOS!$C$86*DATOS!$C$41*BT29*BY29*100*DA29)/1000))</f>
        <v/>
      </c>
      <c r="DG29" s="44" t="str">
        <f>IF(BI29&lt;&gt;"SÍ","",IF(OR(BZ29&lt;DATOS!$C$72-0.0001,BM29&lt;0,CB29&lt;=0),0,MIN(DATOS!$C$86*(0.5*DATOS!$C$41*BT29*BZ29*100+0.3*BM29*BZ29/CB29*1000)*DB29,1.5*DATOS!$C$86*DATOS!$C$41*BT29*BZ29*100*DB29)/1000))</f>
        <v/>
      </c>
      <c r="DH29" s="44" t="str">
        <f>IF(BI29&lt;&gt;"SÍ","",IF(OR(CA29&lt;DATOS!$C$72-0.0001,BM29&lt;0,CB29&lt;=0),0,MIN(DATOS!$C$86*(0.5*DATOS!$C$41*BT29*CA29*100+0.3*BM29*CA29/CB29*1000)*DC29,1.5*DATOS!$C$86*DATOS!$C$41*BT29*CA29*100*DC29)/1000))</f>
        <v/>
      </c>
      <c r="DI29" s="46" t="str">
        <f>IF(BI29&lt;&gt;"SÍ","",SUM(DD29:DH29))</f>
        <v/>
      </c>
      <c r="DJ29" s="48" t="str">
        <f>IF(BI29&lt;&gt;"SÍ","",IF(AE29="VARILLA EN JUNTAS",IF(ISNUMBER(AF29),AF29,2)*INDEX(TABLAS!$D$6:$D$14,MATCH(IF(AG29&lt;&gt;"",AG29,DATOS!$C$73),TABLAS!$B$6:$B$14,0)),IF(AE29="MALLA",IF(ISNUMBER(AF29),AF29,1)*INDEX(TABLAS!$D$19:$D$22,MATCH(IF(AG29&lt;&gt;"",AG29,DATOS!$C$74),TABLAS!$B$19:$B$22,0))/100,IF(AE29="ESCALERILLA",IF(ISNUMBER(AF29),AF29,2)*INDEX(TABLAS!$D$6:$D$14,MATCH(IF(AG29&lt;&gt;"",AG29,DATOS!$C$73),TABLAS!$B$6:$B$14,0)),0))))</f>
        <v/>
      </c>
      <c r="DK29" s="47" t="str">
        <f>IF(BI29&lt;&gt;"SÍ","",IF(OR(AE29="VARILLA EN JUNTAS",AE29="ESCALERILLA"),IF(ISNUMBER(AH29),AH29,2)*DATOS!$C$26,IF(AE29="MALLA",1,0)))</f>
        <v/>
      </c>
      <c r="DL29" s="44" t="str">
        <f>IF(BI29&lt;&gt;"SÍ","",IF(DK29&gt;0,DJ29/(DK29*BT29)*MIN(DATOS!$C$50,IF(AE29="MALLA",5000,6000)),0))</f>
        <v/>
      </c>
      <c r="DM29" s="44" t="str">
        <f>IF(BI29&lt;&gt;"SÍ","",IF(AE29="ESCALERILLA",0,MIN(DL29,0.1*DATOS!$C$33*DATOS!$C$24)))</f>
        <v/>
      </c>
      <c r="DN29" s="48" t="str">
        <f>IF(BI29&lt;&gt;"SÍ","",IF(AE29="MALLA",0.5,IF(DATOS!$C$33&lt;=60,0.55,IF(DATOS!$C$33&gt;=90,0.75,0.55+0.2*(DATOS!$C$33-60)/30))))</f>
        <v/>
      </c>
      <c r="DO29" s="48" t="str">
        <f>IF(BI29&lt;&gt;"SÍ","",1-DATOS!$C$91*DM29)</f>
        <v/>
      </c>
      <c r="DP29" s="44" t="str">
        <f>IF(BI29&lt;&gt;"SÍ","",IF(BW29&gt;0,IF(BS29/BW29&lt;=1,1.3,IF(BS29/BW29&gt;=1.5,1,1.3-0.6*(BS29/BW29-1))),0))</f>
        <v/>
      </c>
      <c r="DQ29" s="44" t="str">
        <f>IF(BI29&lt;&gt;"SÍ","",IF(BX29&gt;0,IF(BS29/BX29&lt;=1,1.3,IF(BS29/BX29&gt;=1.5,1,1.3-0.6*(BS29/BX29-1))),0))</f>
        <v/>
      </c>
      <c r="DR29" s="44" t="str">
        <f>IF(BI29&lt;&gt;"SÍ","",IF(BY29&gt;0,IF(BS29/BY29&lt;=1,1.3,IF(BS29/BY29&gt;=1.5,1,1.3-0.6*(BS29/BY29-1))),0))</f>
        <v/>
      </c>
      <c r="DS29" s="44" t="str">
        <f>IF(BI29&lt;&gt;"SÍ","",IF(BZ29&gt;0,IF(BS29/BZ29&lt;=1,1.3,IF(BS29/BZ29&gt;=1.5,1,1.3-0.6*(BS29/BZ29-1))),0))</f>
        <v/>
      </c>
      <c r="DT29" s="44" t="str">
        <f>IF(BI29&lt;&gt;"SÍ","",IF(CA29&gt;0,IF(BS29/CA29&lt;=1,1.3,IF(BS29/CA29&gt;=1.5,1,1.3-0.6*(BS29/CA29-1))),0))</f>
        <v/>
      </c>
      <c r="DU29" s="44" t="str">
        <f>IF(BI29&lt;&gt;"SÍ","",IF(OR(DM29&lt;=0,BW29&lt;DATOS!$C$72-0.0001),0,DATOS!$C$86*MAX(0,IF(BM29&gt;=0,DD29/(DATOS!$C$86*DM29*BT29*BW29*100/1000)*(DP29*DO29-1)+DN29,DO29*DN29))*DM29*BT29*BW29*100/1000))</f>
        <v/>
      </c>
      <c r="DV29" s="44" t="str">
        <f>IF(BI29&lt;&gt;"SÍ","",IF(OR(DM29&lt;=0,BX29&lt;DATOS!$C$72-0.0001),0,DATOS!$C$86*MAX(0,IF(BM29&gt;=0,DE29/(DATOS!$C$86*DM29*BT29*BX29*100/1000)*(DQ29*DO29-1)+DN29,DO29*DN29))*DM29*BT29*BX29*100/1000))</f>
        <v/>
      </c>
      <c r="DW29" s="44" t="str">
        <f>IF(BI29&lt;&gt;"SÍ","",IF(OR(DM29&lt;=0,BY29&lt;DATOS!$C$72-0.0001),0,DATOS!$C$86*MAX(0,IF(BM29&gt;=0,DF29/(DATOS!$C$86*DM29*BT29*BY29*100/1000)*(DR29*DO29-1)+DN29,DO29*DN29))*DM29*BT29*BY29*100/1000))</f>
        <v/>
      </c>
      <c r="DX29" s="44" t="str">
        <f>IF(BI29&lt;&gt;"SÍ","",IF(OR(DM29&lt;=0,BZ29&lt;DATOS!$C$72-0.0001),0,DATOS!$C$86*MAX(0,IF(BM29&gt;=0,DG29/(DATOS!$C$86*DM29*BT29*BZ29*100/1000)*(DS29*DO29-1)+DN29,DO29*DN29))*DM29*BT29*BZ29*100/1000))</f>
        <v/>
      </c>
      <c r="DY29" s="44" t="str">
        <f>IF(BI29&lt;&gt;"SÍ","",IF(OR(DM29&lt;=0,CA29&lt;DATOS!$C$72-0.0001),0,DATOS!$C$86*MAX(0,IF(BM29&gt;=0,DH29/(DATOS!$C$86*DM29*BT29*CA29*100/1000)*(DT29*DO29-1)+DN29,DO29*DN29))*DM29*BT29*CA29*100/1000))</f>
        <v/>
      </c>
      <c r="DZ29" s="46" t="str">
        <f>IF(BI29&lt;&gt;"SÍ","",SUM(DU29:DY29))</f>
        <v/>
      </c>
      <c r="EA29" s="45" t="str">
        <f>IF(BI29&lt;&gt;"SÍ","",IF(OR(AE29="",AE29="NINGUNO"),IF(DATOS!$C$41&gt;=10,"FALTA refuerzo horizontal: v'm ≥ 10 kg/cm² (6.5.2.2)",IF(AND(BM29&lt;0,BK29&gt;0),"FALTA: P en tensión, el refuerzo debe tomar todo el cortante (6.5.1.3)","—")),IF(AE29="ESCALERILLA","NO CUENTA: la escalerilla no se permite para cortante por sismo (6.5.3.1.2)",IF(AE29="MALLA",IF(AND(DL29&gt;=2.5,DL29&lt;=MAX(0.15*DATOS!$C$33*DATOS!$C$24,2.5)),"CUMPLE","NO CUMPLE: "&amp;IF(DL29&lt;2.5,"p_h·f_yh &lt; 2.5 (6.5.4.2.4)","p_h·f_yh &gt; 0.15·f'm·f_an (6.5.4.2.4)")),IF(AND(DK29&lt;=MIN(6*DATOS!$C$26,45),DL29&gt;=3,DL29&lt;=MIN(MAX(0.15*DATOS!$C$33*DATOS!$C$24,3),0.05*DATOS!$C$25/10*MIN(DATOS!$C$50,6000)/DK29),INDEX(TABLAS!$C$6:$C$14,MATCH(IF(AG29&lt;&gt;"",AG29,DATOS!$C$73),TABLAS!$B$6:$B$14,0))&gt;=0.35,INDEX(TABLAS!$C$6:$C$14,MATCH(IF(AG29&lt;&gt;"",AG29,DATOS!$C$73),TABLAS!$B$6:$B$14,0))&lt;=0.75*DATOS!$C$25/10),"CUMPLE","NO CUMPLE: "&amp;IF(DK29&gt;MIN(6*DATOS!$C$26,45),"s_h &gt; 6 hiladas o 45 cm (6.5.3.2.1) ","")&amp;IF(DL29&lt;3,"p_h·f_yh &lt; 3 (6.5.3.3.1) ","")&amp;IF(DL29&gt;MIN(MAX(0.15*DATOS!$C$33*DATOS!$C$24,3),0.05*DATOS!$C$25/10*MIN(DATOS!$C$50,6000)/DK29),"p_h·f_yh &gt; máximo (6.5.3.3.2) ","")&amp;IF(OR(INDEX(TABLAS!$C$6:$C$14,MATCH(IF(AG29&lt;&gt;"",AG29,DATOS!$C$73),TABLAS!$B$6:$B$14,0))&lt;0.35,INDEX(TABLAS!$C$6:$C$14,MATCH(IF(AG29&lt;&gt;"",AG29,DATOS!$C$73),TABLAS!$B$6:$B$14,0))&gt;0.75*DATOS!$C$25/10),"diámetro fuera de 3.5 mm a 0.75·h_j (4.2.2.2.1)",""))))))</f>
        <v/>
      </c>
      <c r="EB29" s="46" t="str">
        <f>IF(BI29&lt;&gt;"SÍ","",DI29+DZ29)</f>
        <v/>
      </c>
      <c r="EC29" s="50" t="str">
        <f>IF(BI29&lt;&gt;"SÍ","",IF(EB29&gt;0,BK29/EB29,IF(BK29&gt;0,99,0)))</f>
        <v/>
      </c>
      <c r="ED29" s="47" t="str">
        <f>IF(BI29&lt;&gt;"SÍ","",IF(CE29&lt;=0,-1,IF(BK29&lt;=DI29,0,IF(IF(BM29&gt;=0,IF((DATOS!$C$86*IF(AE29="MALLA",0.5,IF(DATOS!$C$33&lt;=60,0.55,IF(DATOS!$C$33&gt;=90,0.75,0.55+0.2*(DATOS!$C$33-60)/30)))*CE29/1000-DATOS!$C$91*SUMPRODUCT(DP29:DT29,DD29:DH29))&lt;=0,1E9,(BK29-SUMPRODUCT(DP29:DT29,DD29:DH29))/(DATOS!$C$86*IF(AE29="MALLA",0.5,IF(DATOS!$C$33&lt;=60,0.55,IF(DATOS!$C$33&gt;=90,0.75,0.55+0.2*(DATOS!$C$33-60)/30)))*CE29/1000-DATOS!$C$91*SUMPRODUCT(DP29:DT29,DD29:DH29))),IF((1-4*DATOS!$C$91*BK29*1000/(DATOS!$C$86*IF(AE29="MALLA",0.5,IF(DATOS!$C$33&lt;=60,0.55,IF(DATOS!$C$33&gt;=90,0.75,0.55+0.2*(DATOS!$C$33-60)/30)))*MAX(CE29,1)))&lt;0,1E9,(1-SQRT((1-4*DATOS!$C$91*BK29*1000/(DATOS!$C$86*IF(AE29="MALLA",0.5,IF(DATOS!$C$33&lt;=60,0.55,IF(DATOS!$C$33&gt;=90,0.75,0.55+0.2*(DATOS!$C$33-60)/30)))*MAX(CE29,1)))))/(2*DATOS!$C$91)))&gt;0.1*DATOS!$C$33*DATOS!$C$24+0.000001,-1,MAX(IF(AE29="MALLA",2.5,3),IF(BM29&gt;=0,IF((DATOS!$C$86*IF(AE29="MALLA",0.5,IF(DATOS!$C$33&lt;=60,0.55,IF(DATOS!$C$33&gt;=90,0.75,0.55+0.2*(DATOS!$C$33-60)/30)))*CE29/1000-DATOS!$C$91*SUMPRODUCT(DP29:DT29,DD29:DH29))&lt;=0,1E9,(BK29-SUMPRODUCT(DP29:DT29,DD29:DH29))/(DATOS!$C$86*IF(AE29="MALLA",0.5,IF(DATOS!$C$33&lt;=60,0.55,IF(DATOS!$C$33&gt;=90,0.75,0.55+0.2*(DATOS!$C$33-60)/30)))*CE29/1000-DATOS!$C$91*SUMPRODUCT(DP29:DT29,DD29:DH29))),IF((1-4*DATOS!$C$91*BK29*1000/(DATOS!$C$86*IF(AE29="MALLA",0.5,IF(DATOS!$C$33&lt;=60,0.55,IF(DATOS!$C$33&gt;=90,0.75,0.55+0.2*(DATOS!$C$33-60)/30)))*MAX(CE29,1)))&lt;0,1E9,(1-SQRT((1-4*DATOS!$C$91*BK29*1000/(DATOS!$C$86*IF(AE29="MALLA",0.5,IF(DATOS!$C$33&lt;=60,0.55,IF(DATOS!$C$33&gt;=90,0.75,0.55+0.2*(DATOS!$C$33-60)/30)))*MAX(CE29,1)))))/(2*DATOS!$C$91))))))))</f>
        <v/>
      </c>
      <c r="EE29" s="45" t="str">
        <f>IF(BI29&lt;&gt;"SÍ","",IF(ED29=0,"NO REQUIERE: V_mR ≥ V_u",IF(ED29&lt;0,"NO ALCANZA con refuerzo horizontal (haría falta más de 0.1·f'm·f_an efectivo): sube v'm con ensayes, el espesor o la longitud del muro",IF(AND(OR(AE29="VARILLA EN JUNTAS",AE29="MALLA"),LEFT(EA29,6)="CUMPLE",EC29&lt;=1),"YA LO TIENE (pide p_h·f_yh ≥ "&amp;TEXT(ED29,"0.0")&amp;" kg/cm²)","p_h·f_yh ≥ "&amp;TEXT(ED29,"0.0")&amp;" kg/cm² → "&amp;IF(AND(MIN(6,FLOOR(45/DATOS!$C$26,1),FLOOR((2*INDEX(TABLAS!$D$6:$D$14,MATCH("3/16 in",TABLAS!$B$6:$B$14,0)))*MIN(DATOS!$C$50,6000)/(BT29*DATOS!$C$26*MAX(ED29,0.001)),1))&gt;=1,((2*INDEX(TABLAS!$D$6:$D$14,MATCH("3/16 in",TABLAS!$B$6:$B$14,0)))*MIN(DATOS!$C$50,6000)/(MAX(MIN(6,FLOOR(45/DATOS!$C$26,1),FLOOR((2*INDEX(TABLAS!$D$6:$D$14,MATCH("3/16 in",TABLAS!$B$6:$B$14,0)))*MIN(DATOS!$C$50,6000)/(BT29*DATOS!$C$26*MAX(ED29,0.001)),1)),1)*DATOS!$C$26*BT29))&lt;=MIN(MAX(0.15*DATOS!$C$33*DATOS!$C$24,3),0.05*DATOS!$C$25/10*MIN(DATOS!$C$50,6000)/(MIN(6,FLOOR(45/DATOS!$C$26,1),FLOOR((2*INDEX(TABLAS!$D$6:$D$14,MATCH("3/16 in",TABLAS!$B$6:$B$14,0)))*MIN(DATOS!$C$50,6000)/(BT29*DATOS!$C$26*MAX(ED29,0.001)),1))*DATOS!$C$26))),"2 alambres de 3/16"" por junta cada "&amp;MIN(6,FLOOR(45/DATOS!$C$26,1),FLOOR((2*INDEX(TABLAS!$D$6:$D$14,MATCH("3/16 in",TABLAS!$B$6:$B$14,0)))*MIN(DATOS!$C$50,6000)/(BT29*DATOS!$C$26*MAX(ED29,0.001)),1))&amp;" hilada(s) (p_h·f_yh = "&amp;TEXT(((2*INDEX(TABLAS!$D$6:$D$14,MATCH("3/16 in",TABLAS!$B$6:$B$14,0)))*MIN(DATOS!$C$50,6000)/(MAX(MIN(6,FLOOR(45/DATOS!$C$26,1),FLOOR((2*INDEX(TABLAS!$D$6:$D$14,MATCH("3/16 in",TABLAS!$B$6:$B$14,0)))*MIN(DATOS!$C$50,6000)/(BT29*DATOS!$C$26*MAX(ED29,0.001)),1)),1)*DATOS!$C$26*BT29)),"0.00")&amp;")",IF(AND(MIN(6,FLOOR(45/DATOS!$C$26,1),FLOOR((2*INDEX(TABLAS!$D$6:$D$14,MATCH("5/32 in",TABLAS!$B$6:$B$14,0)))*MIN(DATOS!$C$50,6000)/(BT29*DATOS!$C$26*MAX(ED29,0.001)),1))&gt;=1,((2*INDEX(TABLAS!$D$6:$D$14,MATCH("5/32 in",TABLAS!$B$6:$B$14,0)))*MIN(DATOS!$C$50,6000)/(MAX(MIN(6,FLOOR(45/DATOS!$C$26,1),FLOOR((2*INDEX(TABLAS!$D$6:$D$14,MATCH("5/32 in",TABLAS!$B$6:$B$14,0)))*MIN(DATOS!$C$50,6000)/(BT29*DATOS!$C$26*MAX(ED29,0.001)),1)),1)*DATOS!$C$26*BT29))&lt;=MIN(MAX(0.15*DATOS!$C$33*DATOS!$C$24,3),0.05*DATOS!$C$25/10*MIN(DATOS!$C$50,6000)/(MIN(6,FLOOR(45/DATOS!$C$26,1),FLOOR((2*INDEX(TABLAS!$D$6:$D$14,MATCH("5/32 in",TABLAS!$B$6:$B$14,0)))*MIN(DATOS!$C$50,6000)/(BT29*DATOS!$C$26*MAX(ED29,0.001)),1))*DATOS!$C$26))),"2 alambres de 5/32"" por junta cada "&amp;MIN(6,FLOOR(45/DATOS!$C$26,1),FLOOR((2*INDEX(TABLAS!$D$6:$D$14,MATCH("5/32 in",TABLAS!$B$6:$B$14,0)))*MIN(DATOS!$C$50,6000)/(BT29*DATOS!$C$26*MAX(ED29,0.001)),1))&amp;" hilada(s) (p_h·f_yh = "&amp;TEXT(((2*INDEX(TABLAS!$D$6:$D$14,MATCH("5/32 in",TABLAS!$B$6:$B$14,0)))*MIN(DATOS!$C$50,6000)/(MAX(MIN(6,FLOOR(45/DATOS!$C$26,1),FLOOR((2*INDEX(TABLAS!$D$6:$D$14,MATCH("5/32 in",TABLAS!$B$6:$B$14,0)))*MIN(DATOS!$C$50,6000)/(BT29*DATOS!$C$26*MAX(ED29,0.001)),1)),1)*DATOS!$C$26*BT29)),"0.00")&amp;")",IF(AND(MIN(6,FLOOR(45/DATOS!$C$26,1),FLOOR((1*INDEX(TABLAS!$D$6:$D$14,MATCH("3/16 in",TABLAS!$B$6:$B$14,0)))*MIN(DATOS!$C$50,6000)/(BT29*DATOS!$C$26*MAX(ED29,0.001)),1))&gt;=1,((1*INDEX(TABLAS!$D$6:$D$14,MATCH("3/16 in",TABLAS!$B$6:$B$14,0)))*MIN(DATOS!$C$50,6000)/(MAX(MIN(6,FLOOR(45/DATOS!$C$26,1),FLOOR((1*INDEX(TABLAS!$D$6:$D$14,MATCH("3/16 in",TABLAS!$B$6:$B$14,0)))*MIN(DATOS!$C$50,6000)/(BT29*DATOS!$C$26*MAX(ED29,0.001)),1)),1)*DATOS!$C$26*BT29))&lt;=MIN(MAX(0.15*DATOS!$C$33*DATOS!$C$24,3),0.05*DATOS!$C$25/10*MIN(DATOS!$C$50,6000)/(MIN(6,FLOOR(45/DATOS!$C$26,1),FLOOR((1*INDEX(TABLAS!$D$6:$D$14,MATCH("3/16 in",TABLAS!$B$6:$B$14,0)))*MIN(DATOS!$C$50,6000)/(BT29*DATOS!$C$26*MAX(ED29,0.001)),1))*DATOS!$C$26))),"1 alambre de 3/16"" por junta cada "&amp;MIN(6,FLOOR(45/DATOS!$C$26,1),FLOOR((1*INDEX(TABLAS!$D$6:$D$14,MATCH("3/16 in",TABLAS!$B$6:$B$14,0)))*MIN(DATOS!$C$50,6000)/(BT29*DATOS!$C$26*MAX(ED29,0.001)),1))&amp;" hilada(s) (p_h·f_yh = "&amp;TEXT(((1*INDEX(TABLAS!$D$6:$D$14,MATCH("3/16 in",TABLAS!$B$6:$B$14,0)))*MIN(DATOS!$C$50,6000)/(MAX(MIN(6,FLOOR(45/DATOS!$C$26,1),FLOOR((1*INDEX(TABLAS!$D$6:$D$14,MATCH("3/16 in",TABLAS!$B$6:$B$14,0)))*MIN(DATOS!$C$50,6000)/(BT29*DATOS!$C$26*MAX(ED29,0.001)),1)),1)*DATOS!$C$26*BT29)),"0.00")&amp;")",IF(AND(MIN(6,FLOOR(45/DATOS!$C$26,1),FLOOR((1*INDEX(TABLAS!$D$6:$D$14,MATCH("5/32 in",TABLAS!$B$6:$B$14,0)))*MIN(DATOS!$C$50,6000)/(BT29*DATOS!$C$26*MAX(ED29,0.001)),1))&gt;=1,((1*INDEX(TABLAS!$D$6:$D$14,MATCH("5/32 in",TABLAS!$B$6:$B$14,0)))*MIN(DATOS!$C$50,6000)/(MAX(MIN(6,FLOOR(45/DATOS!$C$26,1),FLOOR((1*INDEX(TABLAS!$D$6:$D$14,MATCH("5/32 in",TABLAS!$B$6:$B$14,0)))*MIN(DATOS!$C$50,6000)/(BT29*DATOS!$C$26*MAX(ED29,0.001)),1)),1)*DATOS!$C$26*BT29))&lt;=MIN(MAX(0.15*DATOS!$C$33*DATOS!$C$24,3),0.05*DATOS!$C$25/10*MIN(DATOS!$C$50,6000)/(MIN(6,FLOOR(45/DATOS!$C$26,1),FLOOR((1*INDEX(TABLAS!$D$6:$D$14,MATCH("5/32 in",TABLAS!$B$6:$B$14,0)))*MIN(DATOS!$C$50,6000)/(BT29*DATOS!$C$26*MAX(ED29,0.001)),1))*DATOS!$C$26))),"1 alambre de 5/32"" por junta cada "&amp;MIN(6,FLOOR(45/DATOS!$C$26,1),FLOOR((1*INDEX(TABLAS!$D$6:$D$14,MATCH("5/32 in",TABLAS!$B$6:$B$14,0)))*MIN(DATOS!$C$50,6000)/(BT29*DATOS!$C$26*MAX(ED29,0.001)),1))&amp;" hilada(s) (p_h·f_yh = "&amp;TEXT(((1*INDEX(TABLAS!$D$6:$D$14,MATCH("5/32 in",TABLAS!$B$6:$B$14,0)))*MIN(DATOS!$C$50,6000)/(MAX(MIN(6,FLOOR(45/DATOS!$C$26,1),FLOOR((1*INDEX(TABLAS!$D$6:$D$14,MATCH("5/32 in",TABLAS!$B$6:$B$14,0)))*MIN(DATOS!$C$50,6000)/(BT29*DATOS!$C$26*MAX(ED29,0.001)),1)),1)*DATOS!$C$26*BT29)),"0.00")&amp;")","ninguna combinación de 1 o 2 alambres por junta queda entre el mínimo y el máximo: revisa con malla (6.5.4)"))))))))</f>
        <v/>
      </c>
      <c r="EF29" s="43" t="str">
        <f>IF(BI29&lt;&gt;"SÍ","",IF(AI29="SÍ",N(AK29)*N(AL29)^3/12,0))</f>
        <v/>
      </c>
      <c r="EG29" s="48" t="str">
        <f>IF(BI29&lt;&gt;"SÍ","",IF(AND(AI29="SÍ",N(AM29)&gt;0),MIN(1,F29/AM29),0))</f>
        <v/>
      </c>
      <c r="EH29" s="47" t="str">
        <f>IF(BI29&lt;&gt;"SÍ","",IF(AI29="SÍ",BP29*1000/(BT29*F29*100)*BT29*(EG29^4-4*EG29^3+8*EG29),0))</f>
        <v/>
      </c>
      <c r="EI29" s="48" t="str">
        <f>IF(BI29&lt;&gt;"SÍ","",IF(AND(AI29="SÍ",EH29&gt;0),EH29/(EH29+5*N(AN29)*10),0))</f>
        <v/>
      </c>
      <c r="EJ29" s="44" t="str">
        <f>IF(BI29&lt;&gt;"SÍ","",IF(AND(AI29="SÍ",EI29&gt;0,EF29&gt;0),(DATOS!$C$43*BT29*(AM29*100)^3/(DATOS!$C$53*EF29*EI29))^0.25,0))</f>
        <v/>
      </c>
      <c r="EK29" s="44" t="str">
        <f>IF(BI29&lt;&gt;"SÍ","",IF(AI29&lt;&gt;"SÍ",0,IF(N(AM29)&lt;=F29,1,IF(MIN(1,N(AO29)/((AM29-F29)/2))&lt;=0.5,0.7+0.6*MIN(1,N(AO29)/((AM29-F29)/2)),1.5-MIN(1,N(AO29)/((AM29-F29)/2))))))</f>
        <v/>
      </c>
      <c r="EL29" s="44" t="str">
        <f>IF(BI29&lt;&gt;"SÍ","",IF(AI29&lt;&gt;"SÍ",0,MAX(1,IF(EG29&gt;=1,(1.6*EJ29-3.9),IF(EG29&lt;0.9,((3.2*EJ29-7.8)*EK29),((3.2*EJ29-7.8)*EK29)+((1.6*EJ29-3.9)-((3.2*EJ29-7.8)*EK29))*(EG29-0.9)/0.1)))))</f>
        <v/>
      </c>
      <c r="EM29" s="47" t="str">
        <f>IF(BI29&lt;&gt;"SÍ","",IF(AI29="SÍ",EL29*BP29*1000/(BT29*F29*100),0))</f>
        <v/>
      </c>
      <c r="EN29" s="47" t="str">
        <f>IF(BI29&lt;&gt;"SÍ","",IF(AND(AI29="SÍ",N(AL29)&gt;0),AM29*100/AL29,0))</f>
        <v/>
      </c>
      <c r="EO29" s="47" t="str">
        <f>IF(BI29&lt;&gt;"SÍ","",IF(AI29="SÍ",(1/15*DATOS!$C$53*N(AK29)/MAX((IF(ISNUMBER(AP29),AP29,BP29/DATOS!$C$90)*1000/(BT29*F29*100)*BT29*(EG29^4-4*EG29^3+8*EG29))+5*N(AN29)/DATOS!$C$90*10,0.001))^(1/3),0))</f>
        <v/>
      </c>
      <c r="EP29" s="45" t="str">
        <f>IF(BI29&lt;&gt;"SÍ","",IF(AI29&lt;&gt;"SÍ","—",IF(OR(N(AK29)&lt;=0,N(AL29)&lt;=0,N(AM29)&lt;=0),"REVISAR: faltan b, h o L_v de la viga",IF(AND(EM29&lt;=DATOS!$C$87*DATOS!$C$33,EN29&lt;=14,N(AL29)&gt;=25,EN29&lt;=EO29),IF(BS29/F29&lt;0.6,"PENDIENTE: H/L &lt; 0.6, falta el análisis de interacción muro–viga (4.1.18.2.1); f_CM es estimado","CUMPLE"),"NO CUMPLE: "&amp;IF(EM29&gt;DATOS!$C$87*DATOS!$C$33,"f_CM &gt; F_R·f'm ","")&amp;IF(EN29&gt;14,"L_v/h_v &gt; 14 ","")&amp;IF(N(AL29)&lt;25,"h_v &lt; 25 cm ","")&amp;IF(EN29&gt;EO29,"flecha (4.1.18.3)","")))))</f>
        <v/>
      </c>
      <c r="EQ29" s="44" t="str">
        <f>IF(BI29&lt;&gt;"SÍ","",MAX(0,F29*BS29-(N(K29)*N(M29)+N(P29)*N(R29)+N(U29)*N(W29)+N(Z29)*N(AB29))-CK29*DATOS!$C$59/100*BS29))</f>
        <v/>
      </c>
      <c r="ER29" s="48" t="str">
        <f>IF(BI29&lt;&gt;"SÍ","",CK29*DATOS!$C$59*DATOS!$C$60/10000*BS29)</f>
        <v/>
      </c>
      <c r="ES29" s="47" t="str">
        <f>IF(BI29&lt;&gt;"SÍ","",CK29*(DATOS!$C$61*(BS29+0.6)*INDEX(TABLAS!$E$6:$E$14,MATCH(DATOS!$C$62,TABLAS!$B$6:$B$14,0))+(2*ROUNDUP(CN29/DATOS!$C$65,0)+ROUNDUP(MAX(0,BS29*100-2*CN29)/DATOS!$C$64,0))*((2*(DATOS!$C$60+DATOS!$C$59-4*(DATOS!$C$66-INDEX(TABLAS!$C$6:$C$14,MATCH(DATOS!$C$63,TABLAS!$B$6:$B$14,0))))+15)/100)*INDEX(TABLAS!$E$6:$E$14,MATCH(DATOS!$C$63,TABLAS!$B$6:$B$14,0))))</f>
        <v/>
      </c>
      <c r="ET29" s="47" t="str">
        <f>IF(BI29&lt;&gt;"SÍ","",IF(OR(AE29="VARILLA EN JUNTAS",AE29="ESCALERILLA"),INT(BS29*100/MAX(DK29,1))*IF(ISNUMBER(AF29),AF29,2)*CB29*INDEX(TABLAS!$E$6:$E$14,MATCH(IF(AG29&lt;&gt;"",AG29,DATOS!$C$73),TABLAS!$B$6:$B$14,0)),IF(AE29="MALLA",IF(ISNUMBER(AF29),AF29,1)*CB29*BS29*INDEX(TABLAS!$E$19:$E$22,MATCH(IF(AG29&lt;&gt;"",AG29,DATOS!$C$74),TABLAS!$B$19:$B$22,0)),0)))</f>
        <v/>
      </c>
      <c r="EU29" s="45" t="str">
        <f>IF(BI29&lt;&gt;"SÍ","",""&amp;IF(BJ29="NO ESTÁ EN PIER_FORCES","sin fuerzas en PIER_FORCES; ","")&amp;IF(BV29&lt;&gt;"CUMPLE","vanos; ","")&amp;IF(LEFT(CH29,2)="NO","espesor o esbeltez; ","")&amp;IF(CQ29&gt;1,"compresión; ","")&amp;IF(CX29&gt;1,"flexión; ","")&amp;IF(CB29&lt;=0,"sin tramos de muro (todos son machones menores que L mín.: diséñalos como columnas o baja L mín.); ",IF(EC29&gt;1,"cortante; ",""))&amp;IF(OR(LEFT(EA29,2)="NO",LEFT(EA29,5)="FALTA"),"refuerzo horizontal; ","")&amp;IF(OR(LEFT(EP29,2)="NO",LEFT(EP29,7)="REVISAR"),"muro sobre viga; ","")&amp;IF(LEFT(DATOS!$C$81,2)="NO","castillo típico; ","")&amp;IF(LEFT(DATOS!$C$82,2)="NO","dala típica; ","")&amp;IF(AND(BT29&lt;&gt;DATOS!$C$58,DATOS!$C$60&lt;BT29),"castillo más angosto que el muro; ",""))</f>
        <v/>
      </c>
      <c r="EV29" s="45" t="str">
        <f>IF(BI29&lt;&gt;"SÍ","",""&amp;IF(LEFT(EP29,9)="PENDIENTE","análisis muro–viga (H/L &lt; 0.6); ","")&amp;IF(BR29&gt;50,"V_u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29" s="51" t="str">
        <f>IF(BI29&lt;&gt;"SÍ","",IF(EU29&lt;&gt;"","NO CUMPLE: "&amp;LEFT(EU29,LEN(EU29)-2),IF(EV29&lt;&gt;"","CUMPLE — PENDIENTE: "&amp;LEFT(EV29,LEN(EV29)-2),"CUMPLE")))</f>
        <v/>
      </c>
      <c r="EX29" s="52" t="n"/>
    </row>
    <row r="30" ht="30" customHeight="1">
      <c r="A30" s="38" t="str">
        <f>IF(B30="","",ROW()-10)</f>
        <v/>
      </c>
      <c r="B30" s="28" t="n"/>
      <c r="C30" s="39" t="n"/>
      <c r="D30" s="39" t="n"/>
      <c r="E30" s="39" t="n"/>
      <c r="F30" s="40" t="n"/>
      <c r="G30" s="40" t="n"/>
      <c r="H30" s="41" t="n"/>
      <c r="I30" s="39" t="n"/>
      <c r="J30" s="40" t="n"/>
      <c r="K30" s="40" t="n"/>
      <c r="L30" s="40" t="n"/>
      <c r="M30" s="40" t="n"/>
      <c r="N30" s="39" t="n"/>
      <c r="O30" s="40" t="n"/>
      <c r="P30" s="40" t="n"/>
      <c r="Q30" s="40" t="n"/>
      <c r="R30" s="40" t="n"/>
      <c r="S30" s="39" t="n"/>
      <c r="T30" s="40" t="n"/>
      <c r="U30" s="40" t="n"/>
      <c r="V30" s="40" t="n"/>
      <c r="W30" s="40" t="n"/>
      <c r="X30" s="39" t="n"/>
      <c r="Y30" s="40" t="n"/>
      <c r="Z30" s="40" t="n"/>
      <c r="AA30" s="40" t="n"/>
      <c r="AB30" s="40" t="n"/>
      <c r="AC30" s="41" t="n"/>
      <c r="AD30" s="41" t="n"/>
      <c r="AE30" s="39" t="n"/>
      <c r="AF30" s="41" t="n"/>
      <c r="AG30" s="41" t="n"/>
      <c r="AH30" s="41" t="n"/>
      <c r="AI30" s="39" t="n"/>
      <c r="AJ30" s="39" t="n"/>
      <c r="AK30" s="41" t="n"/>
      <c r="AL30" s="41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2" t="str">
        <f>IF(B30="","",C30&amp;"|"&amp;B30)</f>
        <v/>
      </c>
      <c r="AY30" s="43" t="str">
        <f>IF(B30="","",COUNTIFS(PIER_FORCES!$O$9:$O$3008,20,PIER_FORCES!$P$9:$P$3008,1))</f>
        <v/>
      </c>
      <c r="AZ30" s="43" t="str">
        <f>IF(B30="","",COUNTIFS(PIER_FORCES!$O$9:$O$3008,20,PIER_FORCES!$P$9:$P$3008,2))</f>
        <v/>
      </c>
      <c r="BA30" s="44">
        <f>IF(N(AY30)=0,0,SUMPRODUCT(MAX((PIER_FORCES!$O$9:$O$3008=20)*(PIER_FORCES!$P$9:$P$3008=1)*PIER_FORCES!$R$9:$R$3008)))</f>
        <v>0</v>
      </c>
      <c r="BB30" s="44">
        <f>IF(N(AY30)=0,0,SUMPRODUCT(MAX((PIER_FORCES!$O$9:$O$3008=20)*(PIER_FORCES!$P$9:$P$3008=1)*PIER_FORCES!$S$9:$S$3008)))</f>
        <v>0</v>
      </c>
      <c r="BC30" s="44">
        <f>IF(N(AY30)=0,0,-SUMPRODUCT(MAX((PIER_FORCES!$O$9:$O$3008=20)*(PIER_FORCES!$P$9:$P$3008=1)*(-PIER_FORCES!$Q$9:$Q$3008)+(1-(PIER_FORCES!$O$9:$O$3008=20)*(PIER_FORCES!$P$9:$P$3008=1))*(-1E9))))</f>
        <v>0</v>
      </c>
      <c r="BD30" s="44">
        <f>IF(N(AY30)=0,0,SUMPRODUCT(MAX((PIER_FORCES!$O$9:$O$3008=20)*(PIER_FORCES!$P$9:$P$3008=1)*PIER_FORCES!$Q$9:$Q$3008+(1-(PIER_FORCES!$O$9:$O$3008=20)*(PIER_FORCES!$P$9:$P$3008=1))*(-1E9))))</f>
        <v>0</v>
      </c>
      <c r="BE30" s="44">
        <f>IF(N(AZ30)=0,BD30,SUMPRODUCT(MAX((PIER_FORCES!$O$9:$O$3008=20)*(PIER_FORCES!$P$9:$P$3008=2)*PIER_FORCES!$Q$9:$Q$3008+(1-(PIER_FORCES!$O$9:$O$3008=20)*(PIER_FORCES!$P$9:$P$3008=2))*(-1E9))))</f>
        <v>0</v>
      </c>
      <c r="BF30" s="44">
        <f>IF(N(AZ30)=0,0,SUMPRODUCT(MAX((PIER_FORCES!$O$9:$O$3008=20)*(PIER_FORCES!$P$9:$P$3008=2)*PIER_FORCES!$R$9:$R$3008)))</f>
        <v>0</v>
      </c>
      <c r="BG30" s="43">
        <f>IF(N(AY30)=0,0,SUMPRODUCT(MAX((PIER_FORCES!$O$9:$O$3008=20)*(PIER_FORCES!$P$9:$P$3008=1)*(ABS(PIER_FORCES!$R$9:$R$3008-BA30)&lt;0.000001)*PIER_FORCES!$T$9:$T$3008)))</f>
        <v>0</v>
      </c>
      <c r="BH30" s="45" t="str">
        <f>IF(N(BG30)=0,"",INDEX(PIER_FORCES!$D$9:$D$3008,BG30)&amp;" "&amp;INDEX(PIER_FORCES!$F$9:$F$3008,BG30)&amp;" / "&amp;INDEX(PIER_FORCES!$G$9:$G$3008,BG30))</f>
        <v/>
      </c>
      <c r="BI30" s="42" t="str">
        <f>IF(B30="","",IF(AND(C30&lt;&gt;"",OR(D30="X",D30="Y"),ISNUMBER(F30),N(F30)&gt;0),"SÍ","NO"))</f>
        <v/>
      </c>
      <c r="BJ30" s="42" t="str">
        <f>IF(BI30&lt;&gt;"SÍ","",IF(DATOS!$C$108="ETABS (PIER_FORCES)",IF(N(AY30)&gt;0,"ETABS","NO ESTÁ EN PIER_FORCES"),"CAPTURA"))</f>
        <v/>
      </c>
      <c r="BK30" s="46" t="str">
        <f>IF(BI30&lt;&gt;"SÍ","",IF(BJ30="ETABS",BA30,IF(BJ30="CAPTURA",N(AQ30),0)))</f>
        <v/>
      </c>
      <c r="BL30" s="46" t="str">
        <f>IF(BI30&lt;&gt;"SÍ","",IF(BJ30="ETABS",BB30,IF(BJ30="CAPTURA",N(AR30),0)))</f>
        <v/>
      </c>
      <c r="BM30" s="46" t="str">
        <f>IF(BI30&lt;&gt;"SÍ","",IF(BJ30="ETABS",BC30/DATOS!$C$89,IF(BJ30="CAPTURA",N(AS30),0)))</f>
        <v/>
      </c>
      <c r="BN30" s="44" t="str">
        <f>IF(BI30&lt;&gt;"SÍ","",IF(BJ30="ETABS",BC30,IF(BJ30="CAPTURA",IF(ISNUMBER(AU30),AU30,N(AS30)*DATOS!$C$89),0)))</f>
        <v/>
      </c>
      <c r="BO30" s="44" t="str">
        <f>IF(BI30&lt;&gt;"SÍ","",IF(BJ30="ETABS",MAX(BD30,BE30),IF(BJ30="CAPTURA",N(AT30),0)))</f>
        <v/>
      </c>
      <c r="BP30" s="44" t="str">
        <f>IF(BI30&lt;&gt;"SÍ","",IF(BJ30="ETABS",BE30,IF(BJ30="CAPTURA",IF(ISNUMBER(AV30),AV30,N(AT30)),0)))</f>
        <v/>
      </c>
      <c r="BQ30" s="44" t="str">
        <f>IF(BI30&lt;&gt;"SÍ","",IF(BJ30="ETABS",BF30,IF(BJ30="CAPTURA",N(AW30),0)))</f>
        <v/>
      </c>
      <c r="BR30" s="43" t="str">
        <f>IF(BI30&lt;&gt;"SÍ","",IF(BK30&gt;0,100*BQ30/BK30,0))</f>
        <v/>
      </c>
      <c r="BS30" s="44" t="str">
        <f>IF(BI30&lt;&gt;"SÍ","",IF(ISNUMBER(G30),G30,DATOS!$C$57))</f>
        <v/>
      </c>
      <c r="BT30" s="47" t="str">
        <f>IF(BI30&lt;&gt;"SÍ","",IF(ISNUMBER(H30),H30,DATOS!$C$58))</f>
        <v/>
      </c>
      <c r="BU30" s="43" t="str">
        <f>IF(BI30&lt;&gt;"SÍ","",IF(N(K30)&gt;0,1+IF(N(P30)&gt;0,1+IF(N(U30)&gt;0,1+IF(N(Z30)&gt;0,1,0),0),0),0))</f>
        <v/>
      </c>
      <c r="BV30" s="45" t="str">
        <f>IF(BI30&lt;&gt;"SÍ","",IF(AND(OR(BU30&lt;1,AND(N(J30)&gt;=0-0.001,J30+K30&lt;=F30+0.001,N(L30)&gt;=0,N(L30)+N(M30)&lt;=BS30+0.001,N(M30)&gt;0,OR(I30="PUERTA",I30="VENTANA"))),OR(BU30&lt;2,AND(N(O30)&gt;=(J30+K30)-0.001,O30+P30&lt;=F30+0.001,N(Q30)&gt;=0,N(Q30)+N(R30)&lt;=BS30+0.001,N(R30)&gt;0,OR(N30="PUERTA",N30="VENTANA"))),OR(BU30&lt;3,AND(N(T30)&gt;=(O30+P30)-0.001,T30+U30&lt;=F30+0.001,N(V30)&gt;=0,N(V30)+N(W30)&lt;=BS30+0.001,N(W30)&gt;0,OR(S30="PUERTA",S30="VENTANA"))),OR(BU30&lt;4,AND(N(Y30)&gt;=(T30+U30)-0.001,Y30+Z30&lt;=F30+0.001,N(AA30)&gt;=0,N(AA30)+N(AB30)&lt;=BS30+0.001,N(AB30)&gt;0,OR(X30="PUERTA",X30="VENTANA"))),(N(K30)&gt;0)+(N(P30)&gt;0)+(N(U30)&gt;0)+(N(Z30)&gt;0)=BU30),"CUMPLE","REVISAR VANOS: tipo, orden de izquierda a derecha, que quepan en L y en H"))</f>
        <v/>
      </c>
      <c r="BW30" s="44" t="str">
        <f>IF(BI30&lt;&gt;"SÍ","",MAX(0,IF(BU30&gt;=1,N(J30),F30)))</f>
        <v/>
      </c>
      <c r="BX30" s="44" t="str">
        <f>IF(BI30&lt;&gt;"SÍ","",MAX(0,IF(BU30&gt;=2,N(O30)-(N(J30)+N(K30)),IF(BU30=1,F30-(N(J30)+N(K30)),0))))</f>
        <v/>
      </c>
      <c r="BY30" s="44" t="str">
        <f>IF(BI30&lt;&gt;"SÍ","",MAX(0,IF(BU30&gt;=3,N(T30)-(N(O30)+N(P30)),IF(BU30=2,F30-(N(O30)+N(P30)),0))))</f>
        <v/>
      </c>
      <c r="BZ30" s="44" t="str">
        <f>IF(BI30&lt;&gt;"SÍ","",MAX(0,IF(BU30&gt;=4,N(Y30)-(N(T30)+N(U30)),IF(BU30=3,F30-(N(T30)+N(U30)),0))))</f>
        <v/>
      </c>
      <c r="CA30" s="44" t="str">
        <f>IF(BI30&lt;&gt;"SÍ","",MAX(0,IF(BU30=4,F30-(N(Y30)+N(Z30)),0)))</f>
        <v/>
      </c>
      <c r="CB30" s="46" t="str">
        <f>IF(BI30&lt;&gt;"SÍ","",SUMPRODUCT((BW30:CA30&gt;=DATOS!$C$72-0.0001)*BW30:CA30))</f>
        <v/>
      </c>
      <c r="CC30" s="43" t="str">
        <f>IF(BI30&lt;&gt;"SÍ","",SUMPRODUCT(--(BW30:CA30&gt;=DATOS!$C$72-0.0001)))</f>
        <v/>
      </c>
      <c r="CD30" s="44" t="str">
        <f>IF(BI30&lt;&gt;"SÍ","",SUM(BW30:CA30))</f>
        <v/>
      </c>
      <c r="CE30" s="43" t="str">
        <f>IF(BI30&lt;&gt;"SÍ","",BT30*CB30*100)</f>
        <v/>
      </c>
      <c r="CF30" s="43" t="str">
        <f>IF(BI30&lt;&gt;"SÍ","",BT30*CD30*100)</f>
        <v/>
      </c>
      <c r="CG30" s="47" t="str">
        <f>IF(BI30&lt;&gt;"SÍ","",BS30*100/BT30)</f>
        <v/>
      </c>
      <c r="CH30" s="45" t="str">
        <f>IF(BI30&lt;&gt;"SÍ","",IF(AND(OR(DATOS!$C$14="TIPO II",BT30&gt;=12),CG30&lt;=25),"CUMPLE","NO CUMPLE: "&amp;IF(AND(DATOS!$C$14="TIPO I",BT30&lt;12),"t &lt; 12 cm ","")&amp;IF(CG30&gt;25,"H/t &gt; 25","")))</f>
        <v/>
      </c>
      <c r="CI30" s="44" t="str">
        <f>IF(BI30&lt;&gt;"SÍ","",MIN(1.5*BS30,4))</f>
        <v/>
      </c>
      <c r="CJ30" s="43" t="str">
        <f>IF(BI30&lt;&gt;"SÍ","",SUMPRODUCT((BW30:CA30&gt;=2*DATOS!$C$59/100)*INT((BW30:CA30-DATOS!$C$59/100)/CI30-0.000001)*((BW30:CA30-DATOS!$C$59/100)&gt;0)))</f>
        <v/>
      </c>
      <c r="CK30" s="43" t="str">
        <f>IF(BI30&lt;&gt;"SÍ","",SUMPRODUCT((BW30:CA30&gt;0.0001)*1+(BW30:CA30&gt;=2*DATOS!$C$59/100)*1)+CJ30)</f>
        <v/>
      </c>
      <c r="CL30" s="44" t="str">
        <f>IF(BI30&lt;&gt;"SÍ","",IF(ISNUMBER(AC30),AC30,DATOS!$C$61)*INDEX(TABLAS!$D$6:$D$14,MATCH(IF(AD30&lt;&gt;"",AD30,DATOS!$C$62),TABLAS!$B$6:$B$14,0)))</f>
        <v/>
      </c>
      <c r="CM30" s="44" t="str">
        <f>IF(BI30&lt;&gt;"SÍ","",CK30*DATOS!$C$78+IF(CK30&gt;=2,2,CK30)*(CL30-DATOS!$C$78))</f>
        <v/>
      </c>
      <c r="CN30" s="47" t="str">
        <f>IF(BI30&lt;&gt;"SÍ","",MAX(BS30*100/6,40))</f>
        <v/>
      </c>
      <c r="CO30" s="48" t="str">
        <f>IF(BI30&lt;&gt;"SÍ","",IF(CG30&lt;=20,IF(E30="INTERIOR",0.7,0.6),MIN(IF(E30="INTERIOR",0.7,0.6),(1-2/24)*(1-(IF(E30="INTERIOR",0.8,1)*CG30/30)^2))))</f>
        <v/>
      </c>
      <c r="CP30" s="47" t="str">
        <f>IF(BI30&lt;&gt;"SÍ","",DATOS!$C$87*CO30*(DATOS!$C$33*CF30+CM30*DATOS!$C$48)/1000)</f>
        <v/>
      </c>
      <c r="CQ30" s="46" t="str">
        <f>IF(BI30&lt;&gt;"SÍ","",IF(CP30&gt;0,BO30/CP30,99))</f>
        <v/>
      </c>
      <c r="CR30" s="47" t="str">
        <f>IF(BI30&lt;&gt;"SÍ","",MAX(0,F30*100-DATOS!$C$59))</f>
        <v/>
      </c>
      <c r="CS30" s="47" t="str">
        <f>IF(BI30&lt;&gt;"SÍ","",MAX(0,F30*100-DATOS!$C$59/2))</f>
        <v/>
      </c>
      <c r="CT30" s="44" t="str">
        <f>IF(BI30&lt;&gt;"SÍ","",CL30*DATOS!$C$48*CR30/100000)</f>
        <v/>
      </c>
      <c r="CU30" s="44" t="str">
        <f>IF(BI30&lt;&gt;"SÍ","",IF(BN30&lt;0,0.8*CT30*MAX(0,1+BN30/(0.8*CM30*DATOS!$C$48/1000)),IF(BN30&lt;=CP30/3,0.8*CT30+0.3*BN30*CS30/100,(1.5*0.6*CT30+0.15*CP30*CS30/100)*MAX(0,1-BN30/CP30))))</f>
        <v/>
      </c>
      <c r="CV30" s="44" t="str">
        <f>IF(BI30&lt;&gt;"SÍ","",IF(BO30&lt;0,0.8*CT30*MAX(0,1+BO30/(0.8*CM30*DATOS!$C$48/1000)),IF(BO30&lt;=CP30/3,0.8*CT30+0.3*BO30*CS30/100,(1.5*0.6*CT30+0.15*CP30*CS30/100)*MAX(0,1-BO30/CP30))))</f>
        <v/>
      </c>
      <c r="CW30" s="46" t="str">
        <f>IF(BI30&lt;&gt;"SÍ","",MAX(0,MIN(CU30,CV30)))</f>
        <v/>
      </c>
      <c r="CX30" s="49" t="str">
        <f>IF(BI30&lt;&gt;"SÍ","",IF(CW30&gt;0,BL30/CW30,IF(BL30&gt;0,99,0)))</f>
        <v/>
      </c>
      <c r="CY30" s="44" t="str">
        <f>IF(BI30&lt;&gt;"SÍ","",IF(BW30&gt;0,MAX(1,MIN(1.5,1.5-0.625*(BS30/BW30-0.2))),0))</f>
        <v/>
      </c>
      <c r="CZ30" s="44" t="str">
        <f>IF(BI30&lt;&gt;"SÍ","",IF(BX30&gt;0,MAX(1,MIN(1.5,1.5-0.625*(BS30/BX30-0.2))),0))</f>
        <v/>
      </c>
      <c r="DA30" s="44" t="str">
        <f>IF(BI30&lt;&gt;"SÍ","",IF(BY30&gt;0,MAX(1,MIN(1.5,1.5-0.625*(BS30/BY30-0.2))),0))</f>
        <v/>
      </c>
      <c r="DB30" s="44" t="str">
        <f>IF(BI30&lt;&gt;"SÍ","",IF(BZ30&gt;0,MAX(1,MIN(1.5,1.5-0.625*(BS30/BZ30-0.2))),0))</f>
        <v/>
      </c>
      <c r="DC30" s="44" t="str">
        <f>IF(BI30&lt;&gt;"SÍ","",IF(CA30&gt;0,MAX(1,MIN(1.5,1.5-0.625*(BS30/CA30-0.2))),0))</f>
        <v/>
      </c>
      <c r="DD30" s="44" t="str">
        <f>IF(BI30&lt;&gt;"SÍ","",IF(OR(BW30&lt;DATOS!$C$72-0.0001,BM30&lt;0,CB30&lt;=0),0,MIN(DATOS!$C$86*(0.5*DATOS!$C$41*BT30*BW30*100+0.3*BM30*BW30/CB30*1000)*CY30,1.5*DATOS!$C$86*DATOS!$C$41*BT30*BW30*100*CY30)/1000))</f>
        <v/>
      </c>
      <c r="DE30" s="44" t="str">
        <f>IF(BI30&lt;&gt;"SÍ","",IF(OR(BX30&lt;DATOS!$C$72-0.0001,BM30&lt;0,CB30&lt;=0),0,MIN(DATOS!$C$86*(0.5*DATOS!$C$41*BT30*BX30*100+0.3*BM30*BX30/CB30*1000)*CZ30,1.5*DATOS!$C$86*DATOS!$C$41*BT30*BX30*100*CZ30)/1000))</f>
        <v/>
      </c>
      <c r="DF30" s="44" t="str">
        <f>IF(BI30&lt;&gt;"SÍ","",IF(OR(BY30&lt;DATOS!$C$72-0.0001,BM30&lt;0,CB30&lt;=0),0,MIN(DATOS!$C$86*(0.5*DATOS!$C$41*BT30*BY30*100+0.3*BM30*BY30/CB30*1000)*DA30,1.5*DATOS!$C$86*DATOS!$C$41*BT30*BY30*100*DA30)/1000))</f>
        <v/>
      </c>
      <c r="DG30" s="44" t="str">
        <f>IF(BI30&lt;&gt;"SÍ","",IF(OR(BZ30&lt;DATOS!$C$72-0.0001,BM30&lt;0,CB30&lt;=0),0,MIN(DATOS!$C$86*(0.5*DATOS!$C$41*BT30*BZ30*100+0.3*BM30*BZ30/CB30*1000)*DB30,1.5*DATOS!$C$86*DATOS!$C$41*BT30*BZ30*100*DB30)/1000))</f>
        <v/>
      </c>
      <c r="DH30" s="44" t="str">
        <f>IF(BI30&lt;&gt;"SÍ","",IF(OR(CA30&lt;DATOS!$C$72-0.0001,BM30&lt;0,CB30&lt;=0),0,MIN(DATOS!$C$86*(0.5*DATOS!$C$41*BT30*CA30*100+0.3*BM30*CA30/CB30*1000)*DC30,1.5*DATOS!$C$86*DATOS!$C$41*BT30*CA30*100*DC30)/1000))</f>
        <v/>
      </c>
      <c r="DI30" s="46" t="str">
        <f>IF(BI30&lt;&gt;"SÍ","",SUM(DD30:DH30))</f>
        <v/>
      </c>
      <c r="DJ30" s="48" t="str">
        <f>IF(BI30&lt;&gt;"SÍ","",IF(AE30="VARILLA EN JUNTAS",IF(ISNUMBER(AF30),AF30,2)*INDEX(TABLAS!$D$6:$D$14,MATCH(IF(AG30&lt;&gt;"",AG30,DATOS!$C$73),TABLAS!$B$6:$B$14,0)),IF(AE30="MALLA",IF(ISNUMBER(AF30),AF30,1)*INDEX(TABLAS!$D$19:$D$22,MATCH(IF(AG30&lt;&gt;"",AG30,DATOS!$C$74),TABLAS!$B$19:$B$22,0))/100,IF(AE30="ESCALERILLA",IF(ISNUMBER(AF30),AF30,2)*INDEX(TABLAS!$D$6:$D$14,MATCH(IF(AG30&lt;&gt;"",AG30,DATOS!$C$73),TABLAS!$B$6:$B$14,0)),0))))</f>
        <v/>
      </c>
      <c r="DK30" s="47" t="str">
        <f>IF(BI30&lt;&gt;"SÍ","",IF(OR(AE30="VARILLA EN JUNTAS",AE30="ESCALERILLA"),IF(ISNUMBER(AH30),AH30,2)*DATOS!$C$26,IF(AE30="MALLA",1,0)))</f>
        <v/>
      </c>
      <c r="DL30" s="44" t="str">
        <f>IF(BI30&lt;&gt;"SÍ","",IF(DK30&gt;0,DJ30/(DK30*BT30)*MIN(DATOS!$C$50,IF(AE30="MALLA",5000,6000)),0))</f>
        <v/>
      </c>
      <c r="DM30" s="44" t="str">
        <f>IF(BI30&lt;&gt;"SÍ","",IF(AE30="ESCALERILLA",0,MIN(DL30,0.1*DATOS!$C$33*DATOS!$C$24)))</f>
        <v/>
      </c>
      <c r="DN30" s="48" t="str">
        <f>IF(BI30&lt;&gt;"SÍ","",IF(AE30="MALLA",0.5,IF(DATOS!$C$33&lt;=60,0.55,IF(DATOS!$C$33&gt;=90,0.75,0.55+0.2*(DATOS!$C$33-60)/30))))</f>
        <v/>
      </c>
      <c r="DO30" s="48" t="str">
        <f>IF(BI30&lt;&gt;"SÍ","",1-DATOS!$C$91*DM30)</f>
        <v/>
      </c>
      <c r="DP30" s="44" t="str">
        <f>IF(BI30&lt;&gt;"SÍ","",IF(BW30&gt;0,IF(BS30/BW30&lt;=1,1.3,IF(BS30/BW30&gt;=1.5,1,1.3-0.6*(BS30/BW30-1))),0))</f>
        <v/>
      </c>
      <c r="DQ30" s="44" t="str">
        <f>IF(BI30&lt;&gt;"SÍ","",IF(BX30&gt;0,IF(BS30/BX30&lt;=1,1.3,IF(BS30/BX30&gt;=1.5,1,1.3-0.6*(BS30/BX30-1))),0))</f>
        <v/>
      </c>
      <c r="DR30" s="44" t="str">
        <f>IF(BI30&lt;&gt;"SÍ","",IF(BY30&gt;0,IF(BS30/BY30&lt;=1,1.3,IF(BS30/BY30&gt;=1.5,1,1.3-0.6*(BS30/BY30-1))),0))</f>
        <v/>
      </c>
      <c r="DS30" s="44" t="str">
        <f>IF(BI30&lt;&gt;"SÍ","",IF(BZ30&gt;0,IF(BS30/BZ30&lt;=1,1.3,IF(BS30/BZ30&gt;=1.5,1,1.3-0.6*(BS30/BZ30-1))),0))</f>
        <v/>
      </c>
      <c r="DT30" s="44" t="str">
        <f>IF(BI30&lt;&gt;"SÍ","",IF(CA30&gt;0,IF(BS30/CA30&lt;=1,1.3,IF(BS30/CA30&gt;=1.5,1,1.3-0.6*(BS30/CA30-1))),0))</f>
        <v/>
      </c>
      <c r="DU30" s="44" t="str">
        <f>IF(BI30&lt;&gt;"SÍ","",IF(OR(DM30&lt;=0,BW30&lt;DATOS!$C$72-0.0001),0,DATOS!$C$86*MAX(0,IF(BM30&gt;=0,DD30/(DATOS!$C$86*DM30*BT30*BW30*100/1000)*(DP30*DO30-1)+DN30,DO30*DN30))*DM30*BT30*BW30*100/1000))</f>
        <v/>
      </c>
      <c r="DV30" s="44" t="str">
        <f>IF(BI30&lt;&gt;"SÍ","",IF(OR(DM30&lt;=0,BX30&lt;DATOS!$C$72-0.0001),0,DATOS!$C$86*MAX(0,IF(BM30&gt;=0,DE30/(DATOS!$C$86*DM30*BT30*BX30*100/1000)*(DQ30*DO30-1)+DN30,DO30*DN30))*DM30*BT30*BX30*100/1000))</f>
        <v/>
      </c>
      <c r="DW30" s="44" t="str">
        <f>IF(BI30&lt;&gt;"SÍ","",IF(OR(DM30&lt;=0,BY30&lt;DATOS!$C$72-0.0001),0,DATOS!$C$86*MAX(0,IF(BM30&gt;=0,DF30/(DATOS!$C$86*DM30*BT30*BY30*100/1000)*(DR30*DO30-1)+DN30,DO30*DN30))*DM30*BT30*BY30*100/1000))</f>
        <v/>
      </c>
      <c r="DX30" s="44" t="str">
        <f>IF(BI30&lt;&gt;"SÍ","",IF(OR(DM30&lt;=0,BZ30&lt;DATOS!$C$72-0.0001),0,DATOS!$C$86*MAX(0,IF(BM30&gt;=0,DG30/(DATOS!$C$86*DM30*BT30*BZ30*100/1000)*(DS30*DO30-1)+DN30,DO30*DN30))*DM30*BT30*BZ30*100/1000))</f>
        <v/>
      </c>
      <c r="DY30" s="44" t="str">
        <f>IF(BI30&lt;&gt;"SÍ","",IF(OR(DM30&lt;=0,CA30&lt;DATOS!$C$72-0.0001),0,DATOS!$C$86*MAX(0,IF(BM30&gt;=0,DH30/(DATOS!$C$86*DM30*BT30*CA30*100/1000)*(DT30*DO30-1)+DN30,DO30*DN30))*DM30*BT30*CA30*100/1000))</f>
        <v/>
      </c>
      <c r="DZ30" s="46" t="str">
        <f>IF(BI30&lt;&gt;"SÍ","",SUM(DU30:DY30))</f>
        <v/>
      </c>
      <c r="EA30" s="45" t="str">
        <f>IF(BI30&lt;&gt;"SÍ","",IF(OR(AE30="",AE30="NINGUNO"),IF(DATOS!$C$41&gt;=10,"FALTA refuerzo horizontal: v'm ≥ 10 kg/cm² (6.5.2.2)",IF(AND(BM30&lt;0,BK30&gt;0),"FALTA: P en tensión, el refuerzo debe tomar todo el cortante (6.5.1.3)","—")),IF(AE30="ESCALERILLA","NO CUENTA: la escalerilla no se permite para cortante por sismo (6.5.3.1.2)",IF(AE30="MALLA",IF(AND(DL30&gt;=2.5,DL30&lt;=MAX(0.15*DATOS!$C$33*DATOS!$C$24,2.5)),"CUMPLE","NO CUMPLE: "&amp;IF(DL30&lt;2.5,"p_h·f_yh &lt; 2.5 (6.5.4.2.4)","p_h·f_yh &gt; 0.15·f'm·f_an (6.5.4.2.4)")),IF(AND(DK30&lt;=MIN(6*DATOS!$C$26,45),DL30&gt;=3,DL30&lt;=MIN(MAX(0.15*DATOS!$C$33*DATOS!$C$24,3),0.05*DATOS!$C$25/10*MIN(DATOS!$C$50,6000)/DK30),INDEX(TABLAS!$C$6:$C$14,MATCH(IF(AG30&lt;&gt;"",AG30,DATOS!$C$73),TABLAS!$B$6:$B$14,0))&gt;=0.35,INDEX(TABLAS!$C$6:$C$14,MATCH(IF(AG30&lt;&gt;"",AG30,DATOS!$C$73),TABLAS!$B$6:$B$14,0))&lt;=0.75*DATOS!$C$25/10),"CUMPLE","NO CUMPLE: "&amp;IF(DK30&gt;MIN(6*DATOS!$C$26,45),"s_h &gt; 6 hiladas o 45 cm (6.5.3.2.1) ","")&amp;IF(DL30&lt;3,"p_h·f_yh &lt; 3 (6.5.3.3.1) ","")&amp;IF(DL30&gt;MIN(MAX(0.15*DATOS!$C$33*DATOS!$C$24,3),0.05*DATOS!$C$25/10*MIN(DATOS!$C$50,6000)/DK30),"p_h·f_yh &gt; máximo (6.5.3.3.2) ","")&amp;IF(OR(INDEX(TABLAS!$C$6:$C$14,MATCH(IF(AG30&lt;&gt;"",AG30,DATOS!$C$73),TABLAS!$B$6:$B$14,0))&lt;0.35,INDEX(TABLAS!$C$6:$C$14,MATCH(IF(AG30&lt;&gt;"",AG30,DATOS!$C$73),TABLAS!$B$6:$B$14,0))&gt;0.75*DATOS!$C$25/10),"diámetro fuera de 3.5 mm a 0.75·h_j (4.2.2.2.1)",""))))))</f>
        <v/>
      </c>
      <c r="EB30" s="46" t="str">
        <f>IF(BI30&lt;&gt;"SÍ","",DI30+DZ30)</f>
        <v/>
      </c>
      <c r="EC30" s="50" t="str">
        <f>IF(BI30&lt;&gt;"SÍ","",IF(EB30&gt;0,BK30/EB30,IF(BK30&gt;0,99,0)))</f>
        <v/>
      </c>
      <c r="ED30" s="47" t="str">
        <f>IF(BI30&lt;&gt;"SÍ","",IF(CE30&lt;=0,-1,IF(BK30&lt;=DI30,0,IF(IF(BM30&gt;=0,IF((DATOS!$C$86*IF(AE30="MALLA",0.5,IF(DATOS!$C$33&lt;=60,0.55,IF(DATOS!$C$33&gt;=90,0.75,0.55+0.2*(DATOS!$C$33-60)/30)))*CE30/1000-DATOS!$C$91*SUMPRODUCT(DP30:DT30,DD30:DH30))&lt;=0,1E9,(BK30-SUMPRODUCT(DP30:DT30,DD30:DH30))/(DATOS!$C$86*IF(AE30="MALLA",0.5,IF(DATOS!$C$33&lt;=60,0.55,IF(DATOS!$C$33&gt;=90,0.75,0.55+0.2*(DATOS!$C$33-60)/30)))*CE30/1000-DATOS!$C$91*SUMPRODUCT(DP30:DT30,DD30:DH30))),IF((1-4*DATOS!$C$91*BK30*1000/(DATOS!$C$86*IF(AE30="MALLA",0.5,IF(DATOS!$C$33&lt;=60,0.55,IF(DATOS!$C$33&gt;=90,0.75,0.55+0.2*(DATOS!$C$33-60)/30)))*MAX(CE30,1)))&lt;0,1E9,(1-SQRT((1-4*DATOS!$C$91*BK30*1000/(DATOS!$C$86*IF(AE30="MALLA",0.5,IF(DATOS!$C$33&lt;=60,0.55,IF(DATOS!$C$33&gt;=90,0.75,0.55+0.2*(DATOS!$C$33-60)/30)))*MAX(CE30,1)))))/(2*DATOS!$C$91)))&gt;0.1*DATOS!$C$33*DATOS!$C$24+0.000001,-1,MAX(IF(AE30="MALLA",2.5,3),IF(BM30&gt;=0,IF((DATOS!$C$86*IF(AE30="MALLA",0.5,IF(DATOS!$C$33&lt;=60,0.55,IF(DATOS!$C$33&gt;=90,0.75,0.55+0.2*(DATOS!$C$33-60)/30)))*CE30/1000-DATOS!$C$91*SUMPRODUCT(DP30:DT30,DD30:DH30))&lt;=0,1E9,(BK30-SUMPRODUCT(DP30:DT30,DD30:DH30))/(DATOS!$C$86*IF(AE30="MALLA",0.5,IF(DATOS!$C$33&lt;=60,0.55,IF(DATOS!$C$33&gt;=90,0.75,0.55+0.2*(DATOS!$C$33-60)/30)))*CE30/1000-DATOS!$C$91*SUMPRODUCT(DP30:DT30,DD30:DH30))),IF((1-4*DATOS!$C$91*BK30*1000/(DATOS!$C$86*IF(AE30="MALLA",0.5,IF(DATOS!$C$33&lt;=60,0.55,IF(DATOS!$C$33&gt;=90,0.75,0.55+0.2*(DATOS!$C$33-60)/30)))*MAX(CE30,1)))&lt;0,1E9,(1-SQRT((1-4*DATOS!$C$91*BK30*1000/(DATOS!$C$86*IF(AE30="MALLA",0.5,IF(DATOS!$C$33&lt;=60,0.55,IF(DATOS!$C$33&gt;=90,0.75,0.55+0.2*(DATOS!$C$33-60)/30)))*MAX(CE30,1)))))/(2*DATOS!$C$91))))))))</f>
        <v/>
      </c>
      <c r="EE30" s="45" t="str">
        <f>IF(BI30&lt;&gt;"SÍ","",IF(ED30=0,"NO REQUIERE: V_mR ≥ V_u",IF(ED30&lt;0,"NO ALCANZA con refuerzo horizontal (haría falta más de 0.1·f'm·f_an efectivo): sube v'm con ensayes, el espesor o la longitud del muro",IF(AND(OR(AE30="VARILLA EN JUNTAS",AE30="MALLA"),LEFT(EA30,6)="CUMPLE",EC30&lt;=1),"YA LO TIENE (pide p_h·f_yh ≥ "&amp;TEXT(ED30,"0.0")&amp;" kg/cm²)","p_h·f_yh ≥ "&amp;TEXT(ED30,"0.0")&amp;" kg/cm² → "&amp;IF(AND(MIN(6,FLOOR(45/DATOS!$C$26,1),FLOOR((2*INDEX(TABLAS!$D$6:$D$14,MATCH("3/16 in",TABLAS!$B$6:$B$14,0)))*MIN(DATOS!$C$50,6000)/(BT30*DATOS!$C$26*MAX(ED30,0.001)),1))&gt;=1,((2*INDEX(TABLAS!$D$6:$D$14,MATCH("3/16 in",TABLAS!$B$6:$B$14,0)))*MIN(DATOS!$C$50,6000)/(MAX(MIN(6,FLOOR(45/DATOS!$C$26,1),FLOOR((2*INDEX(TABLAS!$D$6:$D$14,MATCH("3/16 in",TABLAS!$B$6:$B$14,0)))*MIN(DATOS!$C$50,6000)/(BT30*DATOS!$C$26*MAX(ED30,0.001)),1)),1)*DATOS!$C$26*BT30))&lt;=MIN(MAX(0.15*DATOS!$C$33*DATOS!$C$24,3),0.05*DATOS!$C$25/10*MIN(DATOS!$C$50,6000)/(MIN(6,FLOOR(45/DATOS!$C$26,1),FLOOR((2*INDEX(TABLAS!$D$6:$D$14,MATCH("3/16 in",TABLAS!$B$6:$B$14,0)))*MIN(DATOS!$C$50,6000)/(BT30*DATOS!$C$26*MAX(ED30,0.001)),1))*DATOS!$C$26))),"2 alambres de 3/16"" por junta cada "&amp;MIN(6,FLOOR(45/DATOS!$C$26,1),FLOOR((2*INDEX(TABLAS!$D$6:$D$14,MATCH("3/16 in",TABLAS!$B$6:$B$14,0)))*MIN(DATOS!$C$50,6000)/(BT30*DATOS!$C$26*MAX(ED30,0.001)),1))&amp;" hilada(s) (p_h·f_yh = "&amp;TEXT(((2*INDEX(TABLAS!$D$6:$D$14,MATCH("3/16 in",TABLAS!$B$6:$B$14,0)))*MIN(DATOS!$C$50,6000)/(MAX(MIN(6,FLOOR(45/DATOS!$C$26,1),FLOOR((2*INDEX(TABLAS!$D$6:$D$14,MATCH("3/16 in",TABLAS!$B$6:$B$14,0)))*MIN(DATOS!$C$50,6000)/(BT30*DATOS!$C$26*MAX(ED30,0.001)),1)),1)*DATOS!$C$26*BT30)),"0.00")&amp;")",IF(AND(MIN(6,FLOOR(45/DATOS!$C$26,1),FLOOR((2*INDEX(TABLAS!$D$6:$D$14,MATCH("5/32 in",TABLAS!$B$6:$B$14,0)))*MIN(DATOS!$C$50,6000)/(BT30*DATOS!$C$26*MAX(ED30,0.001)),1))&gt;=1,((2*INDEX(TABLAS!$D$6:$D$14,MATCH("5/32 in",TABLAS!$B$6:$B$14,0)))*MIN(DATOS!$C$50,6000)/(MAX(MIN(6,FLOOR(45/DATOS!$C$26,1),FLOOR((2*INDEX(TABLAS!$D$6:$D$14,MATCH("5/32 in",TABLAS!$B$6:$B$14,0)))*MIN(DATOS!$C$50,6000)/(BT30*DATOS!$C$26*MAX(ED30,0.001)),1)),1)*DATOS!$C$26*BT30))&lt;=MIN(MAX(0.15*DATOS!$C$33*DATOS!$C$24,3),0.05*DATOS!$C$25/10*MIN(DATOS!$C$50,6000)/(MIN(6,FLOOR(45/DATOS!$C$26,1),FLOOR((2*INDEX(TABLAS!$D$6:$D$14,MATCH("5/32 in",TABLAS!$B$6:$B$14,0)))*MIN(DATOS!$C$50,6000)/(BT30*DATOS!$C$26*MAX(ED30,0.001)),1))*DATOS!$C$26))),"2 alambres de 5/32"" por junta cada "&amp;MIN(6,FLOOR(45/DATOS!$C$26,1),FLOOR((2*INDEX(TABLAS!$D$6:$D$14,MATCH("5/32 in",TABLAS!$B$6:$B$14,0)))*MIN(DATOS!$C$50,6000)/(BT30*DATOS!$C$26*MAX(ED30,0.001)),1))&amp;" hilada(s) (p_h·f_yh = "&amp;TEXT(((2*INDEX(TABLAS!$D$6:$D$14,MATCH("5/32 in",TABLAS!$B$6:$B$14,0)))*MIN(DATOS!$C$50,6000)/(MAX(MIN(6,FLOOR(45/DATOS!$C$26,1),FLOOR((2*INDEX(TABLAS!$D$6:$D$14,MATCH("5/32 in",TABLAS!$B$6:$B$14,0)))*MIN(DATOS!$C$50,6000)/(BT30*DATOS!$C$26*MAX(ED30,0.001)),1)),1)*DATOS!$C$26*BT30)),"0.00")&amp;")",IF(AND(MIN(6,FLOOR(45/DATOS!$C$26,1),FLOOR((1*INDEX(TABLAS!$D$6:$D$14,MATCH("3/16 in",TABLAS!$B$6:$B$14,0)))*MIN(DATOS!$C$50,6000)/(BT30*DATOS!$C$26*MAX(ED30,0.001)),1))&gt;=1,((1*INDEX(TABLAS!$D$6:$D$14,MATCH("3/16 in",TABLAS!$B$6:$B$14,0)))*MIN(DATOS!$C$50,6000)/(MAX(MIN(6,FLOOR(45/DATOS!$C$26,1),FLOOR((1*INDEX(TABLAS!$D$6:$D$14,MATCH("3/16 in",TABLAS!$B$6:$B$14,0)))*MIN(DATOS!$C$50,6000)/(BT30*DATOS!$C$26*MAX(ED30,0.001)),1)),1)*DATOS!$C$26*BT30))&lt;=MIN(MAX(0.15*DATOS!$C$33*DATOS!$C$24,3),0.05*DATOS!$C$25/10*MIN(DATOS!$C$50,6000)/(MIN(6,FLOOR(45/DATOS!$C$26,1),FLOOR((1*INDEX(TABLAS!$D$6:$D$14,MATCH("3/16 in",TABLAS!$B$6:$B$14,0)))*MIN(DATOS!$C$50,6000)/(BT30*DATOS!$C$26*MAX(ED30,0.001)),1))*DATOS!$C$26))),"1 alambre de 3/16"" por junta cada "&amp;MIN(6,FLOOR(45/DATOS!$C$26,1),FLOOR((1*INDEX(TABLAS!$D$6:$D$14,MATCH("3/16 in",TABLAS!$B$6:$B$14,0)))*MIN(DATOS!$C$50,6000)/(BT30*DATOS!$C$26*MAX(ED30,0.001)),1))&amp;" hilada(s) (p_h·f_yh = "&amp;TEXT(((1*INDEX(TABLAS!$D$6:$D$14,MATCH("3/16 in",TABLAS!$B$6:$B$14,0)))*MIN(DATOS!$C$50,6000)/(MAX(MIN(6,FLOOR(45/DATOS!$C$26,1),FLOOR((1*INDEX(TABLAS!$D$6:$D$14,MATCH("3/16 in",TABLAS!$B$6:$B$14,0)))*MIN(DATOS!$C$50,6000)/(BT30*DATOS!$C$26*MAX(ED30,0.001)),1)),1)*DATOS!$C$26*BT30)),"0.00")&amp;")",IF(AND(MIN(6,FLOOR(45/DATOS!$C$26,1),FLOOR((1*INDEX(TABLAS!$D$6:$D$14,MATCH("5/32 in",TABLAS!$B$6:$B$14,0)))*MIN(DATOS!$C$50,6000)/(BT30*DATOS!$C$26*MAX(ED30,0.001)),1))&gt;=1,((1*INDEX(TABLAS!$D$6:$D$14,MATCH("5/32 in",TABLAS!$B$6:$B$14,0)))*MIN(DATOS!$C$50,6000)/(MAX(MIN(6,FLOOR(45/DATOS!$C$26,1),FLOOR((1*INDEX(TABLAS!$D$6:$D$14,MATCH("5/32 in",TABLAS!$B$6:$B$14,0)))*MIN(DATOS!$C$50,6000)/(BT30*DATOS!$C$26*MAX(ED30,0.001)),1)),1)*DATOS!$C$26*BT30))&lt;=MIN(MAX(0.15*DATOS!$C$33*DATOS!$C$24,3),0.05*DATOS!$C$25/10*MIN(DATOS!$C$50,6000)/(MIN(6,FLOOR(45/DATOS!$C$26,1),FLOOR((1*INDEX(TABLAS!$D$6:$D$14,MATCH("5/32 in",TABLAS!$B$6:$B$14,0)))*MIN(DATOS!$C$50,6000)/(BT30*DATOS!$C$26*MAX(ED30,0.001)),1))*DATOS!$C$26))),"1 alambre de 5/32"" por junta cada "&amp;MIN(6,FLOOR(45/DATOS!$C$26,1),FLOOR((1*INDEX(TABLAS!$D$6:$D$14,MATCH("5/32 in",TABLAS!$B$6:$B$14,0)))*MIN(DATOS!$C$50,6000)/(BT30*DATOS!$C$26*MAX(ED30,0.001)),1))&amp;" hilada(s) (p_h·f_yh = "&amp;TEXT(((1*INDEX(TABLAS!$D$6:$D$14,MATCH("5/32 in",TABLAS!$B$6:$B$14,0)))*MIN(DATOS!$C$50,6000)/(MAX(MIN(6,FLOOR(45/DATOS!$C$26,1),FLOOR((1*INDEX(TABLAS!$D$6:$D$14,MATCH("5/32 in",TABLAS!$B$6:$B$14,0)))*MIN(DATOS!$C$50,6000)/(BT30*DATOS!$C$26*MAX(ED30,0.001)),1)),1)*DATOS!$C$26*BT30)),"0.00")&amp;")","ninguna combinación de 1 o 2 alambres por junta queda entre el mínimo y el máximo: revisa con malla (6.5.4)"))))))))</f>
        <v/>
      </c>
      <c r="EF30" s="43" t="str">
        <f>IF(BI30&lt;&gt;"SÍ","",IF(AI30="SÍ",N(AK30)*N(AL30)^3/12,0))</f>
        <v/>
      </c>
      <c r="EG30" s="48" t="str">
        <f>IF(BI30&lt;&gt;"SÍ","",IF(AND(AI30="SÍ",N(AM30)&gt;0),MIN(1,F30/AM30),0))</f>
        <v/>
      </c>
      <c r="EH30" s="47" t="str">
        <f>IF(BI30&lt;&gt;"SÍ","",IF(AI30="SÍ",BP30*1000/(BT30*F30*100)*BT30*(EG30^4-4*EG30^3+8*EG30),0))</f>
        <v/>
      </c>
      <c r="EI30" s="48" t="str">
        <f>IF(BI30&lt;&gt;"SÍ","",IF(AND(AI30="SÍ",EH30&gt;0),EH30/(EH30+5*N(AN30)*10),0))</f>
        <v/>
      </c>
      <c r="EJ30" s="44" t="str">
        <f>IF(BI30&lt;&gt;"SÍ","",IF(AND(AI30="SÍ",EI30&gt;0,EF30&gt;0),(DATOS!$C$43*BT30*(AM30*100)^3/(DATOS!$C$53*EF30*EI30))^0.25,0))</f>
        <v/>
      </c>
      <c r="EK30" s="44" t="str">
        <f>IF(BI30&lt;&gt;"SÍ","",IF(AI30&lt;&gt;"SÍ",0,IF(N(AM30)&lt;=F30,1,IF(MIN(1,N(AO30)/((AM30-F30)/2))&lt;=0.5,0.7+0.6*MIN(1,N(AO30)/((AM30-F30)/2)),1.5-MIN(1,N(AO30)/((AM30-F30)/2))))))</f>
        <v/>
      </c>
      <c r="EL30" s="44" t="str">
        <f>IF(BI30&lt;&gt;"SÍ","",IF(AI30&lt;&gt;"SÍ",0,MAX(1,IF(EG30&gt;=1,(1.6*EJ30-3.9),IF(EG30&lt;0.9,((3.2*EJ30-7.8)*EK30),((3.2*EJ30-7.8)*EK30)+((1.6*EJ30-3.9)-((3.2*EJ30-7.8)*EK30))*(EG30-0.9)/0.1)))))</f>
        <v/>
      </c>
      <c r="EM30" s="47" t="str">
        <f>IF(BI30&lt;&gt;"SÍ","",IF(AI30="SÍ",EL30*BP30*1000/(BT30*F30*100),0))</f>
        <v/>
      </c>
      <c r="EN30" s="47" t="str">
        <f>IF(BI30&lt;&gt;"SÍ","",IF(AND(AI30="SÍ",N(AL30)&gt;0),AM30*100/AL30,0))</f>
        <v/>
      </c>
      <c r="EO30" s="47" t="str">
        <f>IF(BI30&lt;&gt;"SÍ","",IF(AI30="SÍ",(1/15*DATOS!$C$53*N(AK30)/MAX((IF(ISNUMBER(AP30),AP30,BP30/DATOS!$C$90)*1000/(BT30*F30*100)*BT30*(EG30^4-4*EG30^3+8*EG30))+5*N(AN30)/DATOS!$C$90*10,0.001))^(1/3),0))</f>
        <v/>
      </c>
      <c r="EP30" s="45" t="str">
        <f>IF(BI30&lt;&gt;"SÍ","",IF(AI30&lt;&gt;"SÍ","—",IF(OR(N(AK30)&lt;=0,N(AL30)&lt;=0,N(AM30)&lt;=0),"REVISAR: faltan b, h o L_v de la viga",IF(AND(EM30&lt;=DATOS!$C$87*DATOS!$C$33,EN30&lt;=14,N(AL30)&gt;=25,EN30&lt;=EO30),IF(BS30/F30&lt;0.6,"PENDIENTE: H/L &lt; 0.6, falta el análisis de interacción muro–viga (4.1.18.2.1); f_CM es estimado","CUMPLE"),"NO CUMPLE: "&amp;IF(EM30&gt;DATOS!$C$87*DATOS!$C$33,"f_CM &gt; F_R·f'm ","")&amp;IF(EN30&gt;14,"L_v/h_v &gt; 14 ","")&amp;IF(N(AL30)&lt;25,"h_v &lt; 25 cm ","")&amp;IF(EN30&gt;EO30,"flecha (4.1.18.3)","")))))</f>
        <v/>
      </c>
      <c r="EQ30" s="44" t="str">
        <f>IF(BI30&lt;&gt;"SÍ","",MAX(0,F30*BS30-(N(K30)*N(M30)+N(P30)*N(R30)+N(U30)*N(W30)+N(Z30)*N(AB30))-CK30*DATOS!$C$59/100*BS30))</f>
        <v/>
      </c>
      <c r="ER30" s="48" t="str">
        <f>IF(BI30&lt;&gt;"SÍ","",CK30*DATOS!$C$59*DATOS!$C$60/10000*BS30)</f>
        <v/>
      </c>
      <c r="ES30" s="47" t="str">
        <f>IF(BI30&lt;&gt;"SÍ","",CK30*(DATOS!$C$61*(BS30+0.6)*INDEX(TABLAS!$E$6:$E$14,MATCH(DATOS!$C$62,TABLAS!$B$6:$B$14,0))+(2*ROUNDUP(CN30/DATOS!$C$65,0)+ROUNDUP(MAX(0,BS30*100-2*CN30)/DATOS!$C$64,0))*((2*(DATOS!$C$60+DATOS!$C$59-4*(DATOS!$C$66-INDEX(TABLAS!$C$6:$C$14,MATCH(DATOS!$C$63,TABLAS!$B$6:$B$14,0))))+15)/100)*INDEX(TABLAS!$E$6:$E$14,MATCH(DATOS!$C$63,TABLAS!$B$6:$B$14,0))))</f>
        <v/>
      </c>
      <c r="ET30" s="47" t="str">
        <f>IF(BI30&lt;&gt;"SÍ","",IF(OR(AE30="VARILLA EN JUNTAS",AE30="ESCALERILLA"),INT(BS30*100/MAX(DK30,1))*IF(ISNUMBER(AF30),AF30,2)*CB30*INDEX(TABLAS!$E$6:$E$14,MATCH(IF(AG30&lt;&gt;"",AG30,DATOS!$C$73),TABLAS!$B$6:$B$14,0)),IF(AE30="MALLA",IF(ISNUMBER(AF30),AF30,1)*CB30*BS30*INDEX(TABLAS!$E$19:$E$22,MATCH(IF(AG30&lt;&gt;"",AG30,DATOS!$C$74),TABLAS!$B$19:$B$22,0)),0)))</f>
        <v/>
      </c>
      <c r="EU30" s="45" t="str">
        <f>IF(BI30&lt;&gt;"SÍ","",""&amp;IF(BJ30="NO ESTÁ EN PIER_FORCES","sin fuerzas en PIER_FORCES; ","")&amp;IF(BV30&lt;&gt;"CUMPLE","vanos; ","")&amp;IF(LEFT(CH30,2)="NO","espesor o esbeltez; ","")&amp;IF(CQ30&gt;1,"compresión; ","")&amp;IF(CX30&gt;1,"flexión; ","")&amp;IF(CB30&lt;=0,"sin tramos de muro (todos son machones menores que L mín.: diséñalos como columnas o baja L mín.); ",IF(EC30&gt;1,"cortante; ",""))&amp;IF(OR(LEFT(EA30,2)="NO",LEFT(EA30,5)="FALTA"),"refuerzo horizontal; ","")&amp;IF(OR(LEFT(EP30,2)="NO",LEFT(EP30,7)="REVISAR"),"muro sobre viga; ","")&amp;IF(LEFT(DATOS!$C$81,2)="NO","castillo típico; ","")&amp;IF(LEFT(DATOS!$C$82,2)="NO","dala típica; ","")&amp;IF(AND(BT30&lt;&gt;DATOS!$C$58,DATOS!$C$60&lt;BT30),"castillo más angosto que el muro; ",""))</f>
        <v/>
      </c>
      <c r="EV30" s="45" t="str">
        <f>IF(BI30&lt;&gt;"SÍ","",""&amp;IF(LEFT(EP30,9)="PENDIENTE","análisis muro–viga (H/L &lt; 0.6); ","")&amp;IF(BR30&gt;50,"V_u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0" s="51" t="str">
        <f>IF(BI30&lt;&gt;"SÍ","",IF(EU30&lt;&gt;"","NO CUMPLE: "&amp;LEFT(EU30,LEN(EU30)-2),IF(EV30&lt;&gt;"","CUMPLE — PENDIENTE: "&amp;LEFT(EV30,LEN(EV30)-2),"CUMPLE")))</f>
        <v/>
      </c>
      <c r="EX30" s="52" t="n"/>
    </row>
    <row r="31" ht="30" customHeight="1">
      <c r="A31" s="38" t="str">
        <f>IF(B31="","",ROW()-10)</f>
        <v/>
      </c>
      <c r="B31" s="28" t="n"/>
      <c r="C31" s="39" t="n"/>
      <c r="D31" s="39" t="n"/>
      <c r="E31" s="39" t="n"/>
      <c r="F31" s="40" t="n"/>
      <c r="G31" s="40" t="n"/>
      <c r="H31" s="41" t="n"/>
      <c r="I31" s="39" t="n"/>
      <c r="J31" s="40" t="n"/>
      <c r="K31" s="40" t="n"/>
      <c r="L31" s="40" t="n"/>
      <c r="M31" s="40" t="n"/>
      <c r="N31" s="39" t="n"/>
      <c r="O31" s="40" t="n"/>
      <c r="P31" s="40" t="n"/>
      <c r="Q31" s="40" t="n"/>
      <c r="R31" s="40" t="n"/>
      <c r="S31" s="39" t="n"/>
      <c r="T31" s="40" t="n"/>
      <c r="U31" s="40" t="n"/>
      <c r="V31" s="40" t="n"/>
      <c r="W31" s="40" t="n"/>
      <c r="X31" s="39" t="n"/>
      <c r="Y31" s="40" t="n"/>
      <c r="Z31" s="40" t="n"/>
      <c r="AA31" s="40" t="n"/>
      <c r="AB31" s="40" t="n"/>
      <c r="AC31" s="41" t="n"/>
      <c r="AD31" s="41" t="n"/>
      <c r="AE31" s="39" t="n"/>
      <c r="AF31" s="41" t="n"/>
      <c r="AG31" s="41" t="n"/>
      <c r="AH31" s="41" t="n"/>
      <c r="AI31" s="39" t="n"/>
      <c r="AJ31" s="39" t="n"/>
      <c r="AK31" s="41" t="n"/>
      <c r="AL31" s="41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2" t="str">
        <f>IF(B31="","",C31&amp;"|"&amp;B31)</f>
        <v/>
      </c>
      <c r="AY31" s="43" t="str">
        <f>IF(B31="","",COUNTIFS(PIER_FORCES!$O$9:$O$3008,21,PIER_FORCES!$P$9:$P$3008,1))</f>
        <v/>
      </c>
      <c r="AZ31" s="43" t="str">
        <f>IF(B31="","",COUNTIFS(PIER_FORCES!$O$9:$O$3008,21,PIER_FORCES!$P$9:$P$3008,2))</f>
        <v/>
      </c>
      <c r="BA31" s="44">
        <f>IF(N(AY31)=0,0,SUMPRODUCT(MAX((PIER_FORCES!$O$9:$O$3008=21)*(PIER_FORCES!$P$9:$P$3008=1)*PIER_FORCES!$R$9:$R$3008)))</f>
        <v>0</v>
      </c>
      <c r="BB31" s="44">
        <f>IF(N(AY31)=0,0,SUMPRODUCT(MAX((PIER_FORCES!$O$9:$O$3008=21)*(PIER_FORCES!$P$9:$P$3008=1)*PIER_FORCES!$S$9:$S$3008)))</f>
        <v>0</v>
      </c>
      <c r="BC31" s="44">
        <f>IF(N(AY31)=0,0,-SUMPRODUCT(MAX((PIER_FORCES!$O$9:$O$3008=21)*(PIER_FORCES!$P$9:$P$3008=1)*(-PIER_FORCES!$Q$9:$Q$3008)+(1-(PIER_FORCES!$O$9:$O$3008=21)*(PIER_FORCES!$P$9:$P$3008=1))*(-1E9))))</f>
        <v>0</v>
      </c>
      <c r="BD31" s="44">
        <f>IF(N(AY31)=0,0,SUMPRODUCT(MAX((PIER_FORCES!$O$9:$O$3008=21)*(PIER_FORCES!$P$9:$P$3008=1)*PIER_FORCES!$Q$9:$Q$3008+(1-(PIER_FORCES!$O$9:$O$3008=21)*(PIER_FORCES!$P$9:$P$3008=1))*(-1E9))))</f>
        <v>0</v>
      </c>
      <c r="BE31" s="44">
        <f>IF(N(AZ31)=0,BD31,SUMPRODUCT(MAX((PIER_FORCES!$O$9:$O$3008=21)*(PIER_FORCES!$P$9:$P$3008=2)*PIER_FORCES!$Q$9:$Q$3008+(1-(PIER_FORCES!$O$9:$O$3008=21)*(PIER_FORCES!$P$9:$P$3008=2))*(-1E9))))</f>
        <v>0</v>
      </c>
      <c r="BF31" s="44">
        <f>IF(N(AZ31)=0,0,SUMPRODUCT(MAX((PIER_FORCES!$O$9:$O$3008=21)*(PIER_FORCES!$P$9:$P$3008=2)*PIER_FORCES!$R$9:$R$3008)))</f>
        <v>0</v>
      </c>
      <c r="BG31" s="43">
        <f>IF(N(AY31)=0,0,SUMPRODUCT(MAX((PIER_FORCES!$O$9:$O$3008=21)*(PIER_FORCES!$P$9:$P$3008=1)*(ABS(PIER_FORCES!$R$9:$R$3008-BA31)&lt;0.000001)*PIER_FORCES!$T$9:$T$3008)))</f>
        <v>0</v>
      </c>
      <c r="BH31" s="45" t="str">
        <f>IF(N(BG31)=0,"",INDEX(PIER_FORCES!$D$9:$D$3008,BG31)&amp;" "&amp;INDEX(PIER_FORCES!$F$9:$F$3008,BG31)&amp;" / "&amp;INDEX(PIER_FORCES!$G$9:$G$3008,BG31))</f>
        <v/>
      </c>
      <c r="BI31" s="42" t="str">
        <f>IF(B31="","",IF(AND(C31&lt;&gt;"",OR(D31="X",D31="Y"),ISNUMBER(F31),N(F31)&gt;0),"SÍ","NO"))</f>
        <v/>
      </c>
      <c r="BJ31" s="42" t="str">
        <f>IF(BI31&lt;&gt;"SÍ","",IF(DATOS!$C$108="ETABS (PIER_FORCES)",IF(N(AY31)&gt;0,"ETABS","NO ESTÁ EN PIER_FORCES"),"CAPTURA"))</f>
        <v/>
      </c>
      <c r="BK31" s="46" t="str">
        <f>IF(BI31&lt;&gt;"SÍ","",IF(BJ31="ETABS",BA31,IF(BJ31="CAPTURA",N(AQ31),0)))</f>
        <v/>
      </c>
      <c r="BL31" s="46" t="str">
        <f>IF(BI31&lt;&gt;"SÍ","",IF(BJ31="ETABS",BB31,IF(BJ31="CAPTURA",N(AR31),0)))</f>
        <v/>
      </c>
      <c r="BM31" s="46" t="str">
        <f>IF(BI31&lt;&gt;"SÍ","",IF(BJ31="ETABS",BC31/DATOS!$C$89,IF(BJ31="CAPTURA",N(AS31),0)))</f>
        <v/>
      </c>
      <c r="BN31" s="44" t="str">
        <f>IF(BI31&lt;&gt;"SÍ","",IF(BJ31="ETABS",BC31,IF(BJ31="CAPTURA",IF(ISNUMBER(AU31),AU31,N(AS31)*DATOS!$C$89),0)))</f>
        <v/>
      </c>
      <c r="BO31" s="44" t="str">
        <f>IF(BI31&lt;&gt;"SÍ","",IF(BJ31="ETABS",MAX(BD31,BE31),IF(BJ31="CAPTURA",N(AT31),0)))</f>
        <v/>
      </c>
      <c r="BP31" s="44" t="str">
        <f>IF(BI31&lt;&gt;"SÍ","",IF(BJ31="ETABS",BE31,IF(BJ31="CAPTURA",IF(ISNUMBER(AV31),AV31,N(AT31)),0)))</f>
        <v/>
      </c>
      <c r="BQ31" s="44" t="str">
        <f>IF(BI31&lt;&gt;"SÍ","",IF(BJ31="ETABS",BF31,IF(BJ31="CAPTURA",N(AW31),0)))</f>
        <v/>
      </c>
      <c r="BR31" s="43" t="str">
        <f>IF(BI31&lt;&gt;"SÍ","",IF(BK31&gt;0,100*BQ31/BK31,0))</f>
        <v/>
      </c>
      <c r="BS31" s="44" t="str">
        <f>IF(BI31&lt;&gt;"SÍ","",IF(ISNUMBER(G31),G31,DATOS!$C$57))</f>
        <v/>
      </c>
      <c r="BT31" s="47" t="str">
        <f>IF(BI31&lt;&gt;"SÍ","",IF(ISNUMBER(H31),H31,DATOS!$C$58))</f>
        <v/>
      </c>
      <c r="BU31" s="43" t="str">
        <f>IF(BI31&lt;&gt;"SÍ","",IF(N(K31)&gt;0,1+IF(N(P31)&gt;0,1+IF(N(U31)&gt;0,1+IF(N(Z31)&gt;0,1,0),0),0),0))</f>
        <v/>
      </c>
      <c r="BV31" s="45" t="str">
        <f>IF(BI31&lt;&gt;"SÍ","",IF(AND(OR(BU31&lt;1,AND(N(J31)&gt;=0-0.001,J31+K31&lt;=F31+0.001,N(L31)&gt;=0,N(L31)+N(M31)&lt;=BS31+0.001,N(M31)&gt;0,OR(I31="PUERTA",I31="VENTANA"))),OR(BU31&lt;2,AND(N(O31)&gt;=(J31+K31)-0.001,O31+P31&lt;=F31+0.001,N(Q31)&gt;=0,N(Q31)+N(R31)&lt;=BS31+0.001,N(R31)&gt;0,OR(N31="PUERTA",N31="VENTANA"))),OR(BU31&lt;3,AND(N(T31)&gt;=(O31+P31)-0.001,T31+U31&lt;=F31+0.001,N(V31)&gt;=0,N(V31)+N(W31)&lt;=BS31+0.001,N(W31)&gt;0,OR(S31="PUERTA",S31="VENTANA"))),OR(BU31&lt;4,AND(N(Y31)&gt;=(T31+U31)-0.001,Y31+Z31&lt;=F31+0.001,N(AA31)&gt;=0,N(AA31)+N(AB31)&lt;=BS31+0.001,N(AB31)&gt;0,OR(X31="PUERTA",X31="VENTANA"))),(N(K31)&gt;0)+(N(P31)&gt;0)+(N(U31)&gt;0)+(N(Z31)&gt;0)=BU31),"CUMPLE","REVISAR VANOS: tipo, orden de izquierda a derecha, que quepan en L y en H"))</f>
        <v/>
      </c>
      <c r="BW31" s="44" t="str">
        <f>IF(BI31&lt;&gt;"SÍ","",MAX(0,IF(BU31&gt;=1,N(J31),F31)))</f>
        <v/>
      </c>
      <c r="BX31" s="44" t="str">
        <f>IF(BI31&lt;&gt;"SÍ","",MAX(0,IF(BU31&gt;=2,N(O31)-(N(J31)+N(K31)),IF(BU31=1,F31-(N(J31)+N(K31)),0))))</f>
        <v/>
      </c>
      <c r="BY31" s="44" t="str">
        <f>IF(BI31&lt;&gt;"SÍ","",MAX(0,IF(BU31&gt;=3,N(T31)-(N(O31)+N(P31)),IF(BU31=2,F31-(N(O31)+N(P31)),0))))</f>
        <v/>
      </c>
      <c r="BZ31" s="44" t="str">
        <f>IF(BI31&lt;&gt;"SÍ","",MAX(0,IF(BU31&gt;=4,N(Y31)-(N(T31)+N(U31)),IF(BU31=3,F31-(N(T31)+N(U31)),0))))</f>
        <v/>
      </c>
      <c r="CA31" s="44" t="str">
        <f>IF(BI31&lt;&gt;"SÍ","",MAX(0,IF(BU31=4,F31-(N(Y31)+N(Z31)),0)))</f>
        <v/>
      </c>
      <c r="CB31" s="46" t="str">
        <f>IF(BI31&lt;&gt;"SÍ","",SUMPRODUCT((BW31:CA31&gt;=DATOS!$C$72-0.0001)*BW31:CA31))</f>
        <v/>
      </c>
      <c r="CC31" s="43" t="str">
        <f>IF(BI31&lt;&gt;"SÍ","",SUMPRODUCT(--(BW31:CA31&gt;=DATOS!$C$72-0.0001)))</f>
        <v/>
      </c>
      <c r="CD31" s="44" t="str">
        <f>IF(BI31&lt;&gt;"SÍ","",SUM(BW31:CA31))</f>
        <v/>
      </c>
      <c r="CE31" s="43" t="str">
        <f>IF(BI31&lt;&gt;"SÍ","",BT31*CB31*100)</f>
        <v/>
      </c>
      <c r="CF31" s="43" t="str">
        <f>IF(BI31&lt;&gt;"SÍ","",BT31*CD31*100)</f>
        <v/>
      </c>
      <c r="CG31" s="47" t="str">
        <f>IF(BI31&lt;&gt;"SÍ","",BS31*100/BT31)</f>
        <v/>
      </c>
      <c r="CH31" s="45" t="str">
        <f>IF(BI31&lt;&gt;"SÍ","",IF(AND(OR(DATOS!$C$14="TIPO II",BT31&gt;=12),CG31&lt;=25),"CUMPLE","NO CUMPLE: "&amp;IF(AND(DATOS!$C$14="TIPO I",BT31&lt;12),"t &lt; 12 cm ","")&amp;IF(CG31&gt;25,"H/t &gt; 25","")))</f>
        <v/>
      </c>
      <c r="CI31" s="44" t="str">
        <f>IF(BI31&lt;&gt;"SÍ","",MIN(1.5*BS31,4))</f>
        <v/>
      </c>
      <c r="CJ31" s="43" t="str">
        <f>IF(BI31&lt;&gt;"SÍ","",SUMPRODUCT((BW31:CA31&gt;=2*DATOS!$C$59/100)*INT((BW31:CA31-DATOS!$C$59/100)/CI31-0.000001)*((BW31:CA31-DATOS!$C$59/100)&gt;0)))</f>
        <v/>
      </c>
      <c r="CK31" s="43" t="str">
        <f>IF(BI31&lt;&gt;"SÍ","",SUMPRODUCT((BW31:CA31&gt;0.0001)*1+(BW31:CA31&gt;=2*DATOS!$C$59/100)*1)+CJ31)</f>
        <v/>
      </c>
      <c r="CL31" s="44" t="str">
        <f>IF(BI31&lt;&gt;"SÍ","",IF(ISNUMBER(AC31),AC31,DATOS!$C$61)*INDEX(TABLAS!$D$6:$D$14,MATCH(IF(AD31&lt;&gt;"",AD31,DATOS!$C$62),TABLAS!$B$6:$B$14,0)))</f>
        <v/>
      </c>
      <c r="CM31" s="44" t="str">
        <f>IF(BI31&lt;&gt;"SÍ","",CK31*DATOS!$C$78+IF(CK31&gt;=2,2,CK31)*(CL31-DATOS!$C$78))</f>
        <v/>
      </c>
      <c r="CN31" s="47" t="str">
        <f>IF(BI31&lt;&gt;"SÍ","",MAX(BS31*100/6,40))</f>
        <v/>
      </c>
      <c r="CO31" s="48" t="str">
        <f>IF(BI31&lt;&gt;"SÍ","",IF(CG31&lt;=20,IF(E31="INTERIOR",0.7,0.6),MIN(IF(E31="INTERIOR",0.7,0.6),(1-2/24)*(1-(IF(E31="INTERIOR",0.8,1)*CG31/30)^2))))</f>
        <v/>
      </c>
      <c r="CP31" s="47" t="str">
        <f>IF(BI31&lt;&gt;"SÍ","",DATOS!$C$87*CO31*(DATOS!$C$33*CF31+CM31*DATOS!$C$48)/1000)</f>
        <v/>
      </c>
      <c r="CQ31" s="46" t="str">
        <f>IF(BI31&lt;&gt;"SÍ","",IF(CP31&gt;0,BO31/CP31,99))</f>
        <v/>
      </c>
      <c r="CR31" s="47" t="str">
        <f>IF(BI31&lt;&gt;"SÍ","",MAX(0,F31*100-DATOS!$C$59))</f>
        <v/>
      </c>
      <c r="CS31" s="47" t="str">
        <f>IF(BI31&lt;&gt;"SÍ","",MAX(0,F31*100-DATOS!$C$59/2))</f>
        <v/>
      </c>
      <c r="CT31" s="44" t="str">
        <f>IF(BI31&lt;&gt;"SÍ","",CL31*DATOS!$C$48*CR31/100000)</f>
        <v/>
      </c>
      <c r="CU31" s="44" t="str">
        <f>IF(BI31&lt;&gt;"SÍ","",IF(BN31&lt;0,0.8*CT31*MAX(0,1+BN31/(0.8*CM31*DATOS!$C$48/1000)),IF(BN31&lt;=CP31/3,0.8*CT31+0.3*BN31*CS31/100,(1.5*0.6*CT31+0.15*CP31*CS31/100)*MAX(0,1-BN31/CP31))))</f>
        <v/>
      </c>
      <c r="CV31" s="44" t="str">
        <f>IF(BI31&lt;&gt;"SÍ","",IF(BO31&lt;0,0.8*CT31*MAX(0,1+BO31/(0.8*CM31*DATOS!$C$48/1000)),IF(BO31&lt;=CP31/3,0.8*CT31+0.3*BO31*CS31/100,(1.5*0.6*CT31+0.15*CP31*CS31/100)*MAX(0,1-BO31/CP31))))</f>
        <v/>
      </c>
      <c r="CW31" s="46" t="str">
        <f>IF(BI31&lt;&gt;"SÍ","",MAX(0,MIN(CU31,CV31)))</f>
        <v/>
      </c>
      <c r="CX31" s="49" t="str">
        <f>IF(BI31&lt;&gt;"SÍ","",IF(CW31&gt;0,BL31/CW31,IF(BL31&gt;0,99,0)))</f>
        <v/>
      </c>
      <c r="CY31" s="44" t="str">
        <f>IF(BI31&lt;&gt;"SÍ","",IF(BW31&gt;0,MAX(1,MIN(1.5,1.5-0.625*(BS31/BW31-0.2))),0))</f>
        <v/>
      </c>
      <c r="CZ31" s="44" t="str">
        <f>IF(BI31&lt;&gt;"SÍ","",IF(BX31&gt;0,MAX(1,MIN(1.5,1.5-0.625*(BS31/BX31-0.2))),0))</f>
        <v/>
      </c>
      <c r="DA31" s="44" t="str">
        <f>IF(BI31&lt;&gt;"SÍ","",IF(BY31&gt;0,MAX(1,MIN(1.5,1.5-0.625*(BS31/BY31-0.2))),0))</f>
        <v/>
      </c>
      <c r="DB31" s="44" t="str">
        <f>IF(BI31&lt;&gt;"SÍ","",IF(BZ31&gt;0,MAX(1,MIN(1.5,1.5-0.625*(BS31/BZ31-0.2))),0))</f>
        <v/>
      </c>
      <c r="DC31" s="44" t="str">
        <f>IF(BI31&lt;&gt;"SÍ","",IF(CA31&gt;0,MAX(1,MIN(1.5,1.5-0.625*(BS31/CA31-0.2))),0))</f>
        <v/>
      </c>
      <c r="DD31" s="44" t="str">
        <f>IF(BI31&lt;&gt;"SÍ","",IF(OR(BW31&lt;DATOS!$C$72-0.0001,BM31&lt;0,CB31&lt;=0),0,MIN(DATOS!$C$86*(0.5*DATOS!$C$41*BT31*BW31*100+0.3*BM31*BW31/CB31*1000)*CY31,1.5*DATOS!$C$86*DATOS!$C$41*BT31*BW31*100*CY31)/1000))</f>
        <v/>
      </c>
      <c r="DE31" s="44" t="str">
        <f>IF(BI31&lt;&gt;"SÍ","",IF(OR(BX31&lt;DATOS!$C$72-0.0001,BM31&lt;0,CB31&lt;=0),0,MIN(DATOS!$C$86*(0.5*DATOS!$C$41*BT31*BX31*100+0.3*BM31*BX31/CB31*1000)*CZ31,1.5*DATOS!$C$86*DATOS!$C$41*BT31*BX31*100*CZ31)/1000))</f>
        <v/>
      </c>
      <c r="DF31" s="44" t="str">
        <f>IF(BI31&lt;&gt;"SÍ","",IF(OR(BY31&lt;DATOS!$C$72-0.0001,BM31&lt;0,CB31&lt;=0),0,MIN(DATOS!$C$86*(0.5*DATOS!$C$41*BT31*BY31*100+0.3*BM31*BY31/CB31*1000)*DA31,1.5*DATOS!$C$86*DATOS!$C$41*BT31*BY31*100*DA31)/1000))</f>
        <v/>
      </c>
      <c r="DG31" s="44" t="str">
        <f>IF(BI31&lt;&gt;"SÍ","",IF(OR(BZ31&lt;DATOS!$C$72-0.0001,BM31&lt;0,CB31&lt;=0),0,MIN(DATOS!$C$86*(0.5*DATOS!$C$41*BT31*BZ31*100+0.3*BM31*BZ31/CB31*1000)*DB31,1.5*DATOS!$C$86*DATOS!$C$41*BT31*BZ31*100*DB31)/1000))</f>
        <v/>
      </c>
      <c r="DH31" s="44" t="str">
        <f>IF(BI31&lt;&gt;"SÍ","",IF(OR(CA31&lt;DATOS!$C$72-0.0001,BM31&lt;0,CB31&lt;=0),0,MIN(DATOS!$C$86*(0.5*DATOS!$C$41*BT31*CA31*100+0.3*BM31*CA31/CB31*1000)*DC31,1.5*DATOS!$C$86*DATOS!$C$41*BT31*CA31*100*DC31)/1000))</f>
        <v/>
      </c>
      <c r="DI31" s="46" t="str">
        <f>IF(BI31&lt;&gt;"SÍ","",SUM(DD31:DH31))</f>
        <v/>
      </c>
      <c r="DJ31" s="48" t="str">
        <f>IF(BI31&lt;&gt;"SÍ","",IF(AE31="VARILLA EN JUNTAS",IF(ISNUMBER(AF31),AF31,2)*INDEX(TABLAS!$D$6:$D$14,MATCH(IF(AG31&lt;&gt;"",AG31,DATOS!$C$73),TABLAS!$B$6:$B$14,0)),IF(AE31="MALLA",IF(ISNUMBER(AF31),AF31,1)*INDEX(TABLAS!$D$19:$D$22,MATCH(IF(AG31&lt;&gt;"",AG31,DATOS!$C$74),TABLAS!$B$19:$B$22,0))/100,IF(AE31="ESCALERILLA",IF(ISNUMBER(AF31),AF31,2)*INDEX(TABLAS!$D$6:$D$14,MATCH(IF(AG31&lt;&gt;"",AG31,DATOS!$C$73),TABLAS!$B$6:$B$14,0)),0))))</f>
        <v/>
      </c>
      <c r="DK31" s="47" t="str">
        <f>IF(BI31&lt;&gt;"SÍ","",IF(OR(AE31="VARILLA EN JUNTAS",AE31="ESCALERILLA"),IF(ISNUMBER(AH31),AH31,2)*DATOS!$C$26,IF(AE31="MALLA",1,0)))</f>
        <v/>
      </c>
      <c r="DL31" s="44" t="str">
        <f>IF(BI31&lt;&gt;"SÍ","",IF(DK31&gt;0,DJ31/(DK31*BT31)*MIN(DATOS!$C$50,IF(AE31="MALLA",5000,6000)),0))</f>
        <v/>
      </c>
      <c r="DM31" s="44" t="str">
        <f>IF(BI31&lt;&gt;"SÍ","",IF(AE31="ESCALERILLA",0,MIN(DL31,0.1*DATOS!$C$33*DATOS!$C$24)))</f>
        <v/>
      </c>
      <c r="DN31" s="48" t="str">
        <f>IF(BI31&lt;&gt;"SÍ","",IF(AE31="MALLA",0.5,IF(DATOS!$C$33&lt;=60,0.55,IF(DATOS!$C$33&gt;=90,0.75,0.55+0.2*(DATOS!$C$33-60)/30))))</f>
        <v/>
      </c>
      <c r="DO31" s="48" t="str">
        <f>IF(BI31&lt;&gt;"SÍ","",1-DATOS!$C$91*DM31)</f>
        <v/>
      </c>
      <c r="DP31" s="44" t="str">
        <f>IF(BI31&lt;&gt;"SÍ","",IF(BW31&gt;0,IF(BS31/BW31&lt;=1,1.3,IF(BS31/BW31&gt;=1.5,1,1.3-0.6*(BS31/BW31-1))),0))</f>
        <v/>
      </c>
      <c r="DQ31" s="44" t="str">
        <f>IF(BI31&lt;&gt;"SÍ","",IF(BX31&gt;0,IF(BS31/BX31&lt;=1,1.3,IF(BS31/BX31&gt;=1.5,1,1.3-0.6*(BS31/BX31-1))),0))</f>
        <v/>
      </c>
      <c r="DR31" s="44" t="str">
        <f>IF(BI31&lt;&gt;"SÍ","",IF(BY31&gt;0,IF(BS31/BY31&lt;=1,1.3,IF(BS31/BY31&gt;=1.5,1,1.3-0.6*(BS31/BY31-1))),0))</f>
        <v/>
      </c>
      <c r="DS31" s="44" t="str">
        <f>IF(BI31&lt;&gt;"SÍ","",IF(BZ31&gt;0,IF(BS31/BZ31&lt;=1,1.3,IF(BS31/BZ31&gt;=1.5,1,1.3-0.6*(BS31/BZ31-1))),0))</f>
        <v/>
      </c>
      <c r="DT31" s="44" t="str">
        <f>IF(BI31&lt;&gt;"SÍ","",IF(CA31&gt;0,IF(BS31/CA31&lt;=1,1.3,IF(BS31/CA31&gt;=1.5,1,1.3-0.6*(BS31/CA31-1))),0))</f>
        <v/>
      </c>
      <c r="DU31" s="44" t="str">
        <f>IF(BI31&lt;&gt;"SÍ","",IF(OR(DM31&lt;=0,BW31&lt;DATOS!$C$72-0.0001),0,DATOS!$C$86*MAX(0,IF(BM31&gt;=0,DD31/(DATOS!$C$86*DM31*BT31*BW31*100/1000)*(DP31*DO31-1)+DN31,DO31*DN31))*DM31*BT31*BW31*100/1000))</f>
        <v/>
      </c>
      <c r="DV31" s="44" t="str">
        <f>IF(BI31&lt;&gt;"SÍ","",IF(OR(DM31&lt;=0,BX31&lt;DATOS!$C$72-0.0001),0,DATOS!$C$86*MAX(0,IF(BM31&gt;=0,DE31/(DATOS!$C$86*DM31*BT31*BX31*100/1000)*(DQ31*DO31-1)+DN31,DO31*DN31))*DM31*BT31*BX31*100/1000))</f>
        <v/>
      </c>
      <c r="DW31" s="44" t="str">
        <f>IF(BI31&lt;&gt;"SÍ","",IF(OR(DM31&lt;=0,BY31&lt;DATOS!$C$72-0.0001),0,DATOS!$C$86*MAX(0,IF(BM31&gt;=0,DF31/(DATOS!$C$86*DM31*BT31*BY31*100/1000)*(DR31*DO31-1)+DN31,DO31*DN31))*DM31*BT31*BY31*100/1000))</f>
        <v/>
      </c>
      <c r="DX31" s="44" t="str">
        <f>IF(BI31&lt;&gt;"SÍ","",IF(OR(DM31&lt;=0,BZ31&lt;DATOS!$C$72-0.0001),0,DATOS!$C$86*MAX(0,IF(BM31&gt;=0,DG31/(DATOS!$C$86*DM31*BT31*BZ31*100/1000)*(DS31*DO31-1)+DN31,DO31*DN31))*DM31*BT31*BZ31*100/1000))</f>
        <v/>
      </c>
      <c r="DY31" s="44" t="str">
        <f>IF(BI31&lt;&gt;"SÍ","",IF(OR(DM31&lt;=0,CA31&lt;DATOS!$C$72-0.0001),0,DATOS!$C$86*MAX(0,IF(BM31&gt;=0,DH31/(DATOS!$C$86*DM31*BT31*CA31*100/1000)*(DT31*DO31-1)+DN31,DO31*DN31))*DM31*BT31*CA31*100/1000))</f>
        <v/>
      </c>
      <c r="DZ31" s="46" t="str">
        <f>IF(BI31&lt;&gt;"SÍ","",SUM(DU31:DY31))</f>
        <v/>
      </c>
      <c r="EA31" s="45" t="str">
        <f>IF(BI31&lt;&gt;"SÍ","",IF(OR(AE31="",AE31="NINGUNO"),IF(DATOS!$C$41&gt;=10,"FALTA refuerzo horizontal: v'm ≥ 10 kg/cm² (6.5.2.2)",IF(AND(BM31&lt;0,BK31&gt;0),"FALTA: P en tensión, el refuerzo debe tomar todo el cortante (6.5.1.3)","—")),IF(AE31="ESCALERILLA","NO CUENTA: la escalerilla no se permite para cortante por sismo (6.5.3.1.2)",IF(AE31="MALLA",IF(AND(DL31&gt;=2.5,DL31&lt;=MAX(0.15*DATOS!$C$33*DATOS!$C$24,2.5)),"CUMPLE","NO CUMPLE: "&amp;IF(DL31&lt;2.5,"p_h·f_yh &lt; 2.5 (6.5.4.2.4)","p_h·f_yh &gt; 0.15·f'm·f_an (6.5.4.2.4)")),IF(AND(DK31&lt;=MIN(6*DATOS!$C$26,45),DL31&gt;=3,DL31&lt;=MIN(MAX(0.15*DATOS!$C$33*DATOS!$C$24,3),0.05*DATOS!$C$25/10*MIN(DATOS!$C$50,6000)/DK31),INDEX(TABLAS!$C$6:$C$14,MATCH(IF(AG31&lt;&gt;"",AG31,DATOS!$C$73),TABLAS!$B$6:$B$14,0))&gt;=0.35,INDEX(TABLAS!$C$6:$C$14,MATCH(IF(AG31&lt;&gt;"",AG31,DATOS!$C$73),TABLAS!$B$6:$B$14,0))&lt;=0.75*DATOS!$C$25/10),"CUMPLE","NO CUMPLE: "&amp;IF(DK31&gt;MIN(6*DATOS!$C$26,45),"s_h &gt; 6 hiladas o 45 cm (6.5.3.2.1) ","")&amp;IF(DL31&lt;3,"p_h·f_yh &lt; 3 (6.5.3.3.1) ","")&amp;IF(DL31&gt;MIN(MAX(0.15*DATOS!$C$33*DATOS!$C$24,3),0.05*DATOS!$C$25/10*MIN(DATOS!$C$50,6000)/DK31),"p_h·f_yh &gt; máximo (6.5.3.3.2) ","")&amp;IF(OR(INDEX(TABLAS!$C$6:$C$14,MATCH(IF(AG31&lt;&gt;"",AG31,DATOS!$C$73),TABLAS!$B$6:$B$14,0))&lt;0.35,INDEX(TABLAS!$C$6:$C$14,MATCH(IF(AG31&lt;&gt;"",AG31,DATOS!$C$73),TABLAS!$B$6:$B$14,0))&gt;0.75*DATOS!$C$25/10),"diámetro fuera de 3.5 mm a 0.75·h_j (4.2.2.2.1)",""))))))</f>
        <v/>
      </c>
      <c r="EB31" s="46" t="str">
        <f>IF(BI31&lt;&gt;"SÍ","",DI31+DZ31)</f>
        <v/>
      </c>
      <c r="EC31" s="50" t="str">
        <f>IF(BI31&lt;&gt;"SÍ","",IF(EB31&gt;0,BK31/EB31,IF(BK31&gt;0,99,0)))</f>
        <v/>
      </c>
      <c r="ED31" s="47" t="str">
        <f>IF(BI31&lt;&gt;"SÍ","",IF(CE31&lt;=0,-1,IF(BK31&lt;=DI31,0,IF(IF(BM31&gt;=0,IF((DATOS!$C$86*IF(AE31="MALLA",0.5,IF(DATOS!$C$33&lt;=60,0.55,IF(DATOS!$C$33&gt;=90,0.75,0.55+0.2*(DATOS!$C$33-60)/30)))*CE31/1000-DATOS!$C$91*SUMPRODUCT(DP31:DT31,DD31:DH31))&lt;=0,1E9,(BK31-SUMPRODUCT(DP31:DT31,DD31:DH31))/(DATOS!$C$86*IF(AE31="MALLA",0.5,IF(DATOS!$C$33&lt;=60,0.55,IF(DATOS!$C$33&gt;=90,0.75,0.55+0.2*(DATOS!$C$33-60)/30)))*CE31/1000-DATOS!$C$91*SUMPRODUCT(DP31:DT31,DD31:DH31))),IF((1-4*DATOS!$C$91*BK31*1000/(DATOS!$C$86*IF(AE31="MALLA",0.5,IF(DATOS!$C$33&lt;=60,0.55,IF(DATOS!$C$33&gt;=90,0.75,0.55+0.2*(DATOS!$C$33-60)/30)))*MAX(CE31,1)))&lt;0,1E9,(1-SQRT((1-4*DATOS!$C$91*BK31*1000/(DATOS!$C$86*IF(AE31="MALLA",0.5,IF(DATOS!$C$33&lt;=60,0.55,IF(DATOS!$C$33&gt;=90,0.75,0.55+0.2*(DATOS!$C$33-60)/30)))*MAX(CE31,1)))))/(2*DATOS!$C$91)))&gt;0.1*DATOS!$C$33*DATOS!$C$24+0.000001,-1,MAX(IF(AE31="MALLA",2.5,3),IF(BM31&gt;=0,IF((DATOS!$C$86*IF(AE31="MALLA",0.5,IF(DATOS!$C$33&lt;=60,0.55,IF(DATOS!$C$33&gt;=90,0.75,0.55+0.2*(DATOS!$C$33-60)/30)))*CE31/1000-DATOS!$C$91*SUMPRODUCT(DP31:DT31,DD31:DH31))&lt;=0,1E9,(BK31-SUMPRODUCT(DP31:DT31,DD31:DH31))/(DATOS!$C$86*IF(AE31="MALLA",0.5,IF(DATOS!$C$33&lt;=60,0.55,IF(DATOS!$C$33&gt;=90,0.75,0.55+0.2*(DATOS!$C$33-60)/30)))*CE31/1000-DATOS!$C$91*SUMPRODUCT(DP31:DT31,DD31:DH31))),IF((1-4*DATOS!$C$91*BK31*1000/(DATOS!$C$86*IF(AE31="MALLA",0.5,IF(DATOS!$C$33&lt;=60,0.55,IF(DATOS!$C$33&gt;=90,0.75,0.55+0.2*(DATOS!$C$33-60)/30)))*MAX(CE31,1)))&lt;0,1E9,(1-SQRT((1-4*DATOS!$C$91*BK31*1000/(DATOS!$C$86*IF(AE31="MALLA",0.5,IF(DATOS!$C$33&lt;=60,0.55,IF(DATOS!$C$33&gt;=90,0.75,0.55+0.2*(DATOS!$C$33-60)/30)))*MAX(CE31,1)))))/(2*DATOS!$C$91))))))))</f>
        <v/>
      </c>
      <c r="EE31" s="45" t="str">
        <f>IF(BI31&lt;&gt;"SÍ","",IF(ED31=0,"NO REQUIERE: V_mR ≥ V_u",IF(ED31&lt;0,"NO ALCANZA con refuerzo horizontal (haría falta más de 0.1·f'm·f_an efectivo): sube v'm con ensayes, el espesor o la longitud del muro",IF(AND(OR(AE31="VARILLA EN JUNTAS",AE31="MALLA"),LEFT(EA31,6)="CUMPLE",EC31&lt;=1),"YA LO TIENE (pide p_h·f_yh ≥ "&amp;TEXT(ED31,"0.0")&amp;" kg/cm²)","p_h·f_yh ≥ "&amp;TEXT(ED31,"0.0")&amp;" kg/cm² → "&amp;IF(AND(MIN(6,FLOOR(45/DATOS!$C$26,1),FLOOR((2*INDEX(TABLAS!$D$6:$D$14,MATCH("3/16 in",TABLAS!$B$6:$B$14,0)))*MIN(DATOS!$C$50,6000)/(BT31*DATOS!$C$26*MAX(ED31,0.001)),1))&gt;=1,((2*INDEX(TABLAS!$D$6:$D$14,MATCH("3/16 in",TABLAS!$B$6:$B$14,0)))*MIN(DATOS!$C$50,6000)/(MAX(MIN(6,FLOOR(45/DATOS!$C$26,1),FLOOR((2*INDEX(TABLAS!$D$6:$D$14,MATCH("3/16 in",TABLAS!$B$6:$B$14,0)))*MIN(DATOS!$C$50,6000)/(BT31*DATOS!$C$26*MAX(ED31,0.001)),1)),1)*DATOS!$C$26*BT31))&lt;=MIN(MAX(0.15*DATOS!$C$33*DATOS!$C$24,3),0.05*DATOS!$C$25/10*MIN(DATOS!$C$50,6000)/(MIN(6,FLOOR(45/DATOS!$C$26,1),FLOOR((2*INDEX(TABLAS!$D$6:$D$14,MATCH("3/16 in",TABLAS!$B$6:$B$14,0)))*MIN(DATOS!$C$50,6000)/(BT31*DATOS!$C$26*MAX(ED31,0.001)),1))*DATOS!$C$26))),"2 alambres de 3/16"" por junta cada "&amp;MIN(6,FLOOR(45/DATOS!$C$26,1),FLOOR((2*INDEX(TABLAS!$D$6:$D$14,MATCH("3/16 in",TABLAS!$B$6:$B$14,0)))*MIN(DATOS!$C$50,6000)/(BT31*DATOS!$C$26*MAX(ED31,0.001)),1))&amp;" hilada(s) (p_h·f_yh = "&amp;TEXT(((2*INDEX(TABLAS!$D$6:$D$14,MATCH("3/16 in",TABLAS!$B$6:$B$14,0)))*MIN(DATOS!$C$50,6000)/(MAX(MIN(6,FLOOR(45/DATOS!$C$26,1),FLOOR((2*INDEX(TABLAS!$D$6:$D$14,MATCH("3/16 in",TABLAS!$B$6:$B$14,0)))*MIN(DATOS!$C$50,6000)/(BT31*DATOS!$C$26*MAX(ED31,0.001)),1)),1)*DATOS!$C$26*BT31)),"0.00")&amp;")",IF(AND(MIN(6,FLOOR(45/DATOS!$C$26,1),FLOOR((2*INDEX(TABLAS!$D$6:$D$14,MATCH("5/32 in",TABLAS!$B$6:$B$14,0)))*MIN(DATOS!$C$50,6000)/(BT31*DATOS!$C$26*MAX(ED31,0.001)),1))&gt;=1,((2*INDEX(TABLAS!$D$6:$D$14,MATCH("5/32 in",TABLAS!$B$6:$B$14,0)))*MIN(DATOS!$C$50,6000)/(MAX(MIN(6,FLOOR(45/DATOS!$C$26,1),FLOOR((2*INDEX(TABLAS!$D$6:$D$14,MATCH("5/32 in",TABLAS!$B$6:$B$14,0)))*MIN(DATOS!$C$50,6000)/(BT31*DATOS!$C$26*MAX(ED31,0.001)),1)),1)*DATOS!$C$26*BT31))&lt;=MIN(MAX(0.15*DATOS!$C$33*DATOS!$C$24,3),0.05*DATOS!$C$25/10*MIN(DATOS!$C$50,6000)/(MIN(6,FLOOR(45/DATOS!$C$26,1),FLOOR((2*INDEX(TABLAS!$D$6:$D$14,MATCH("5/32 in",TABLAS!$B$6:$B$14,0)))*MIN(DATOS!$C$50,6000)/(BT31*DATOS!$C$26*MAX(ED31,0.001)),1))*DATOS!$C$26))),"2 alambres de 5/32"" por junta cada "&amp;MIN(6,FLOOR(45/DATOS!$C$26,1),FLOOR((2*INDEX(TABLAS!$D$6:$D$14,MATCH("5/32 in",TABLAS!$B$6:$B$14,0)))*MIN(DATOS!$C$50,6000)/(BT31*DATOS!$C$26*MAX(ED31,0.001)),1))&amp;" hilada(s) (p_h·f_yh = "&amp;TEXT(((2*INDEX(TABLAS!$D$6:$D$14,MATCH("5/32 in",TABLAS!$B$6:$B$14,0)))*MIN(DATOS!$C$50,6000)/(MAX(MIN(6,FLOOR(45/DATOS!$C$26,1),FLOOR((2*INDEX(TABLAS!$D$6:$D$14,MATCH("5/32 in",TABLAS!$B$6:$B$14,0)))*MIN(DATOS!$C$50,6000)/(BT31*DATOS!$C$26*MAX(ED31,0.001)),1)),1)*DATOS!$C$26*BT31)),"0.00")&amp;")",IF(AND(MIN(6,FLOOR(45/DATOS!$C$26,1),FLOOR((1*INDEX(TABLAS!$D$6:$D$14,MATCH("3/16 in",TABLAS!$B$6:$B$14,0)))*MIN(DATOS!$C$50,6000)/(BT31*DATOS!$C$26*MAX(ED31,0.001)),1))&gt;=1,((1*INDEX(TABLAS!$D$6:$D$14,MATCH("3/16 in",TABLAS!$B$6:$B$14,0)))*MIN(DATOS!$C$50,6000)/(MAX(MIN(6,FLOOR(45/DATOS!$C$26,1),FLOOR((1*INDEX(TABLAS!$D$6:$D$14,MATCH("3/16 in",TABLAS!$B$6:$B$14,0)))*MIN(DATOS!$C$50,6000)/(BT31*DATOS!$C$26*MAX(ED31,0.001)),1)),1)*DATOS!$C$26*BT31))&lt;=MIN(MAX(0.15*DATOS!$C$33*DATOS!$C$24,3),0.05*DATOS!$C$25/10*MIN(DATOS!$C$50,6000)/(MIN(6,FLOOR(45/DATOS!$C$26,1),FLOOR((1*INDEX(TABLAS!$D$6:$D$14,MATCH("3/16 in",TABLAS!$B$6:$B$14,0)))*MIN(DATOS!$C$50,6000)/(BT31*DATOS!$C$26*MAX(ED31,0.001)),1))*DATOS!$C$26))),"1 alambre de 3/16"" por junta cada "&amp;MIN(6,FLOOR(45/DATOS!$C$26,1),FLOOR((1*INDEX(TABLAS!$D$6:$D$14,MATCH("3/16 in",TABLAS!$B$6:$B$14,0)))*MIN(DATOS!$C$50,6000)/(BT31*DATOS!$C$26*MAX(ED31,0.001)),1))&amp;" hilada(s) (p_h·f_yh = "&amp;TEXT(((1*INDEX(TABLAS!$D$6:$D$14,MATCH("3/16 in",TABLAS!$B$6:$B$14,0)))*MIN(DATOS!$C$50,6000)/(MAX(MIN(6,FLOOR(45/DATOS!$C$26,1),FLOOR((1*INDEX(TABLAS!$D$6:$D$14,MATCH("3/16 in",TABLAS!$B$6:$B$14,0)))*MIN(DATOS!$C$50,6000)/(BT31*DATOS!$C$26*MAX(ED31,0.001)),1)),1)*DATOS!$C$26*BT31)),"0.00")&amp;")",IF(AND(MIN(6,FLOOR(45/DATOS!$C$26,1),FLOOR((1*INDEX(TABLAS!$D$6:$D$14,MATCH("5/32 in",TABLAS!$B$6:$B$14,0)))*MIN(DATOS!$C$50,6000)/(BT31*DATOS!$C$26*MAX(ED31,0.001)),1))&gt;=1,((1*INDEX(TABLAS!$D$6:$D$14,MATCH("5/32 in",TABLAS!$B$6:$B$14,0)))*MIN(DATOS!$C$50,6000)/(MAX(MIN(6,FLOOR(45/DATOS!$C$26,1),FLOOR((1*INDEX(TABLAS!$D$6:$D$14,MATCH("5/32 in",TABLAS!$B$6:$B$14,0)))*MIN(DATOS!$C$50,6000)/(BT31*DATOS!$C$26*MAX(ED31,0.001)),1)),1)*DATOS!$C$26*BT31))&lt;=MIN(MAX(0.15*DATOS!$C$33*DATOS!$C$24,3),0.05*DATOS!$C$25/10*MIN(DATOS!$C$50,6000)/(MIN(6,FLOOR(45/DATOS!$C$26,1),FLOOR((1*INDEX(TABLAS!$D$6:$D$14,MATCH("5/32 in",TABLAS!$B$6:$B$14,0)))*MIN(DATOS!$C$50,6000)/(BT31*DATOS!$C$26*MAX(ED31,0.001)),1))*DATOS!$C$26))),"1 alambre de 5/32"" por junta cada "&amp;MIN(6,FLOOR(45/DATOS!$C$26,1),FLOOR((1*INDEX(TABLAS!$D$6:$D$14,MATCH("5/32 in",TABLAS!$B$6:$B$14,0)))*MIN(DATOS!$C$50,6000)/(BT31*DATOS!$C$26*MAX(ED31,0.001)),1))&amp;" hilada(s) (p_h·f_yh = "&amp;TEXT(((1*INDEX(TABLAS!$D$6:$D$14,MATCH("5/32 in",TABLAS!$B$6:$B$14,0)))*MIN(DATOS!$C$50,6000)/(MAX(MIN(6,FLOOR(45/DATOS!$C$26,1),FLOOR((1*INDEX(TABLAS!$D$6:$D$14,MATCH("5/32 in",TABLAS!$B$6:$B$14,0)))*MIN(DATOS!$C$50,6000)/(BT31*DATOS!$C$26*MAX(ED31,0.001)),1)),1)*DATOS!$C$26*BT31)),"0.00")&amp;")","ninguna combinación de 1 o 2 alambres por junta queda entre el mínimo y el máximo: revisa con malla (6.5.4)"))))))))</f>
        <v/>
      </c>
      <c r="EF31" s="43" t="str">
        <f>IF(BI31&lt;&gt;"SÍ","",IF(AI31="SÍ",N(AK31)*N(AL31)^3/12,0))</f>
        <v/>
      </c>
      <c r="EG31" s="48" t="str">
        <f>IF(BI31&lt;&gt;"SÍ","",IF(AND(AI31="SÍ",N(AM31)&gt;0),MIN(1,F31/AM31),0))</f>
        <v/>
      </c>
      <c r="EH31" s="47" t="str">
        <f>IF(BI31&lt;&gt;"SÍ","",IF(AI31="SÍ",BP31*1000/(BT31*F31*100)*BT31*(EG31^4-4*EG31^3+8*EG31),0))</f>
        <v/>
      </c>
      <c r="EI31" s="48" t="str">
        <f>IF(BI31&lt;&gt;"SÍ","",IF(AND(AI31="SÍ",EH31&gt;0),EH31/(EH31+5*N(AN31)*10),0))</f>
        <v/>
      </c>
      <c r="EJ31" s="44" t="str">
        <f>IF(BI31&lt;&gt;"SÍ","",IF(AND(AI31="SÍ",EI31&gt;0,EF31&gt;0),(DATOS!$C$43*BT31*(AM31*100)^3/(DATOS!$C$53*EF31*EI31))^0.25,0))</f>
        <v/>
      </c>
      <c r="EK31" s="44" t="str">
        <f>IF(BI31&lt;&gt;"SÍ","",IF(AI31&lt;&gt;"SÍ",0,IF(N(AM31)&lt;=F31,1,IF(MIN(1,N(AO31)/((AM31-F31)/2))&lt;=0.5,0.7+0.6*MIN(1,N(AO31)/((AM31-F31)/2)),1.5-MIN(1,N(AO31)/((AM31-F31)/2))))))</f>
        <v/>
      </c>
      <c r="EL31" s="44" t="str">
        <f>IF(BI31&lt;&gt;"SÍ","",IF(AI31&lt;&gt;"SÍ",0,MAX(1,IF(EG31&gt;=1,(1.6*EJ31-3.9),IF(EG31&lt;0.9,((3.2*EJ31-7.8)*EK31),((3.2*EJ31-7.8)*EK31)+((1.6*EJ31-3.9)-((3.2*EJ31-7.8)*EK31))*(EG31-0.9)/0.1)))))</f>
        <v/>
      </c>
      <c r="EM31" s="47" t="str">
        <f>IF(BI31&lt;&gt;"SÍ","",IF(AI31="SÍ",EL31*BP31*1000/(BT31*F31*100),0))</f>
        <v/>
      </c>
      <c r="EN31" s="47" t="str">
        <f>IF(BI31&lt;&gt;"SÍ","",IF(AND(AI31="SÍ",N(AL31)&gt;0),AM31*100/AL31,0))</f>
        <v/>
      </c>
      <c r="EO31" s="47" t="str">
        <f>IF(BI31&lt;&gt;"SÍ","",IF(AI31="SÍ",(1/15*DATOS!$C$53*N(AK31)/MAX((IF(ISNUMBER(AP31),AP31,BP31/DATOS!$C$90)*1000/(BT31*F31*100)*BT31*(EG31^4-4*EG31^3+8*EG31))+5*N(AN31)/DATOS!$C$90*10,0.001))^(1/3),0))</f>
        <v/>
      </c>
      <c r="EP31" s="45" t="str">
        <f>IF(BI31&lt;&gt;"SÍ","",IF(AI31&lt;&gt;"SÍ","—",IF(OR(N(AK31)&lt;=0,N(AL31)&lt;=0,N(AM31)&lt;=0),"REVISAR: faltan b, h o L_v de la viga",IF(AND(EM31&lt;=DATOS!$C$87*DATOS!$C$33,EN31&lt;=14,N(AL31)&gt;=25,EN31&lt;=EO31),IF(BS31/F31&lt;0.6,"PENDIENTE: H/L &lt; 0.6, falta el análisis de interacción muro–viga (4.1.18.2.1); f_CM es estimado","CUMPLE"),"NO CUMPLE: "&amp;IF(EM31&gt;DATOS!$C$87*DATOS!$C$33,"f_CM &gt; F_R·f'm ","")&amp;IF(EN31&gt;14,"L_v/h_v &gt; 14 ","")&amp;IF(N(AL31)&lt;25,"h_v &lt; 25 cm ","")&amp;IF(EN31&gt;EO31,"flecha (4.1.18.3)","")))))</f>
        <v/>
      </c>
      <c r="EQ31" s="44" t="str">
        <f>IF(BI31&lt;&gt;"SÍ","",MAX(0,F31*BS31-(N(K31)*N(M31)+N(P31)*N(R31)+N(U31)*N(W31)+N(Z31)*N(AB31))-CK31*DATOS!$C$59/100*BS31))</f>
        <v/>
      </c>
      <c r="ER31" s="48" t="str">
        <f>IF(BI31&lt;&gt;"SÍ","",CK31*DATOS!$C$59*DATOS!$C$60/10000*BS31)</f>
        <v/>
      </c>
      <c r="ES31" s="47" t="str">
        <f>IF(BI31&lt;&gt;"SÍ","",CK31*(DATOS!$C$61*(BS31+0.6)*INDEX(TABLAS!$E$6:$E$14,MATCH(DATOS!$C$62,TABLAS!$B$6:$B$14,0))+(2*ROUNDUP(CN31/DATOS!$C$65,0)+ROUNDUP(MAX(0,BS31*100-2*CN31)/DATOS!$C$64,0))*((2*(DATOS!$C$60+DATOS!$C$59-4*(DATOS!$C$66-INDEX(TABLAS!$C$6:$C$14,MATCH(DATOS!$C$63,TABLAS!$B$6:$B$14,0))))+15)/100)*INDEX(TABLAS!$E$6:$E$14,MATCH(DATOS!$C$63,TABLAS!$B$6:$B$14,0))))</f>
        <v/>
      </c>
      <c r="ET31" s="47" t="str">
        <f>IF(BI31&lt;&gt;"SÍ","",IF(OR(AE31="VARILLA EN JUNTAS",AE31="ESCALERILLA"),INT(BS31*100/MAX(DK31,1))*IF(ISNUMBER(AF31),AF31,2)*CB31*INDEX(TABLAS!$E$6:$E$14,MATCH(IF(AG31&lt;&gt;"",AG31,DATOS!$C$73),TABLAS!$B$6:$B$14,0)),IF(AE31="MALLA",IF(ISNUMBER(AF31),AF31,1)*CB31*BS31*INDEX(TABLAS!$E$19:$E$22,MATCH(IF(AG31&lt;&gt;"",AG31,DATOS!$C$74),TABLAS!$B$19:$B$22,0)),0)))</f>
        <v/>
      </c>
      <c r="EU31" s="45" t="str">
        <f>IF(BI31&lt;&gt;"SÍ","",""&amp;IF(BJ31="NO ESTÁ EN PIER_FORCES","sin fuerzas en PIER_FORCES; ","")&amp;IF(BV31&lt;&gt;"CUMPLE","vanos; ","")&amp;IF(LEFT(CH31,2)="NO","espesor o esbeltez; ","")&amp;IF(CQ31&gt;1,"compresión; ","")&amp;IF(CX31&gt;1,"flexión; ","")&amp;IF(CB31&lt;=0,"sin tramos de muro (todos son machones menores que L mín.: diséñalos como columnas o baja L mín.); ",IF(EC31&gt;1,"cortante; ",""))&amp;IF(OR(LEFT(EA31,2)="NO",LEFT(EA31,5)="FALTA"),"refuerzo horizontal; ","")&amp;IF(OR(LEFT(EP31,2)="NO",LEFT(EP31,7)="REVISAR"),"muro sobre viga; ","")&amp;IF(LEFT(DATOS!$C$81,2)="NO","castillo típico; ","")&amp;IF(LEFT(DATOS!$C$82,2)="NO","dala típica; ","")&amp;IF(AND(BT31&lt;&gt;DATOS!$C$58,DATOS!$C$60&lt;BT31),"castillo más angosto que el muro; ",""))</f>
        <v/>
      </c>
      <c r="EV31" s="45" t="str">
        <f>IF(BI31&lt;&gt;"SÍ","",""&amp;IF(LEFT(EP31,9)="PENDIENTE","análisis muro–viga (H/L &lt; 0.6); ","")&amp;IF(BR31&gt;50,"V_u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1" s="51" t="str">
        <f>IF(BI31&lt;&gt;"SÍ","",IF(EU31&lt;&gt;"","NO CUMPLE: "&amp;LEFT(EU31,LEN(EU31)-2),IF(EV31&lt;&gt;"","CUMPLE — PENDIENTE: "&amp;LEFT(EV31,LEN(EV31)-2),"CUMPLE")))</f>
        <v/>
      </c>
      <c r="EX31" s="52" t="n"/>
    </row>
    <row r="32" ht="30" customHeight="1">
      <c r="A32" s="38" t="str">
        <f>IF(B32="","",ROW()-10)</f>
        <v/>
      </c>
      <c r="B32" s="28" t="n"/>
      <c r="C32" s="39" t="n"/>
      <c r="D32" s="39" t="n"/>
      <c r="E32" s="39" t="n"/>
      <c r="F32" s="40" t="n"/>
      <c r="G32" s="40" t="n"/>
      <c r="H32" s="41" t="n"/>
      <c r="I32" s="39" t="n"/>
      <c r="J32" s="40" t="n"/>
      <c r="K32" s="40" t="n"/>
      <c r="L32" s="40" t="n"/>
      <c r="M32" s="40" t="n"/>
      <c r="N32" s="39" t="n"/>
      <c r="O32" s="40" t="n"/>
      <c r="P32" s="40" t="n"/>
      <c r="Q32" s="40" t="n"/>
      <c r="R32" s="40" t="n"/>
      <c r="S32" s="39" t="n"/>
      <c r="T32" s="40" t="n"/>
      <c r="U32" s="40" t="n"/>
      <c r="V32" s="40" t="n"/>
      <c r="W32" s="40" t="n"/>
      <c r="X32" s="39" t="n"/>
      <c r="Y32" s="40" t="n"/>
      <c r="Z32" s="40" t="n"/>
      <c r="AA32" s="40" t="n"/>
      <c r="AB32" s="40" t="n"/>
      <c r="AC32" s="41" t="n"/>
      <c r="AD32" s="41" t="n"/>
      <c r="AE32" s="39" t="n"/>
      <c r="AF32" s="41" t="n"/>
      <c r="AG32" s="41" t="n"/>
      <c r="AH32" s="41" t="n"/>
      <c r="AI32" s="39" t="n"/>
      <c r="AJ32" s="39" t="n"/>
      <c r="AK32" s="41" t="n"/>
      <c r="AL32" s="41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2" t="str">
        <f>IF(B32="","",C32&amp;"|"&amp;B32)</f>
        <v/>
      </c>
      <c r="AY32" s="43" t="str">
        <f>IF(B32="","",COUNTIFS(PIER_FORCES!$O$9:$O$3008,22,PIER_FORCES!$P$9:$P$3008,1))</f>
        <v/>
      </c>
      <c r="AZ32" s="43" t="str">
        <f>IF(B32="","",COUNTIFS(PIER_FORCES!$O$9:$O$3008,22,PIER_FORCES!$P$9:$P$3008,2))</f>
        <v/>
      </c>
      <c r="BA32" s="44">
        <f>IF(N(AY32)=0,0,SUMPRODUCT(MAX((PIER_FORCES!$O$9:$O$3008=22)*(PIER_FORCES!$P$9:$P$3008=1)*PIER_FORCES!$R$9:$R$3008)))</f>
        <v>0</v>
      </c>
      <c r="BB32" s="44">
        <f>IF(N(AY32)=0,0,SUMPRODUCT(MAX((PIER_FORCES!$O$9:$O$3008=22)*(PIER_FORCES!$P$9:$P$3008=1)*PIER_FORCES!$S$9:$S$3008)))</f>
        <v>0</v>
      </c>
      <c r="BC32" s="44">
        <f>IF(N(AY32)=0,0,-SUMPRODUCT(MAX((PIER_FORCES!$O$9:$O$3008=22)*(PIER_FORCES!$P$9:$P$3008=1)*(-PIER_FORCES!$Q$9:$Q$3008)+(1-(PIER_FORCES!$O$9:$O$3008=22)*(PIER_FORCES!$P$9:$P$3008=1))*(-1E9))))</f>
        <v>0</v>
      </c>
      <c r="BD32" s="44">
        <f>IF(N(AY32)=0,0,SUMPRODUCT(MAX((PIER_FORCES!$O$9:$O$3008=22)*(PIER_FORCES!$P$9:$P$3008=1)*PIER_FORCES!$Q$9:$Q$3008+(1-(PIER_FORCES!$O$9:$O$3008=22)*(PIER_FORCES!$P$9:$P$3008=1))*(-1E9))))</f>
        <v>0</v>
      </c>
      <c r="BE32" s="44">
        <f>IF(N(AZ32)=0,BD32,SUMPRODUCT(MAX((PIER_FORCES!$O$9:$O$3008=22)*(PIER_FORCES!$P$9:$P$3008=2)*PIER_FORCES!$Q$9:$Q$3008+(1-(PIER_FORCES!$O$9:$O$3008=22)*(PIER_FORCES!$P$9:$P$3008=2))*(-1E9))))</f>
        <v>0</v>
      </c>
      <c r="BF32" s="44">
        <f>IF(N(AZ32)=0,0,SUMPRODUCT(MAX((PIER_FORCES!$O$9:$O$3008=22)*(PIER_FORCES!$P$9:$P$3008=2)*PIER_FORCES!$R$9:$R$3008)))</f>
        <v>0</v>
      </c>
      <c r="BG32" s="43">
        <f>IF(N(AY32)=0,0,SUMPRODUCT(MAX((PIER_FORCES!$O$9:$O$3008=22)*(PIER_FORCES!$P$9:$P$3008=1)*(ABS(PIER_FORCES!$R$9:$R$3008-BA32)&lt;0.000001)*PIER_FORCES!$T$9:$T$3008)))</f>
        <v>0</v>
      </c>
      <c r="BH32" s="45" t="str">
        <f>IF(N(BG32)=0,"",INDEX(PIER_FORCES!$D$9:$D$3008,BG32)&amp;" "&amp;INDEX(PIER_FORCES!$F$9:$F$3008,BG32)&amp;" / "&amp;INDEX(PIER_FORCES!$G$9:$G$3008,BG32))</f>
        <v/>
      </c>
      <c r="BI32" s="42" t="str">
        <f>IF(B32="","",IF(AND(C32&lt;&gt;"",OR(D32="X",D32="Y"),ISNUMBER(F32),N(F32)&gt;0),"SÍ","NO"))</f>
        <v/>
      </c>
      <c r="BJ32" s="42" t="str">
        <f>IF(BI32&lt;&gt;"SÍ","",IF(DATOS!$C$108="ETABS (PIER_FORCES)",IF(N(AY32)&gt;0,"ETABS","NO ESTÁ EN PIER_FORCES"),"CAPTURA"))</f>
        <v/>
      </c>
      <c r="BK32" s="46" t="str">
        <f>IF(BI32&lt;&gt;"SÍ","",IF(BJ32="ETABS",BA32,IF(BJ32="CAPTURA",N(AQ32),0)))</f>
        <v/>
      </c>
      <c r="BL32" s="46" t="str">
        <f>IF(BI32&lt;&gt;"SÍ","",IF(BJ32="ETABS",BB32,IF(BJ32="CAPTURA",N(AR32),0)))</f>
        <v/>
      </c>
      <c r="BM32" s="46" t="str">
        <f>IF(BI32&lt;&gt;"SÍ","",IF(BJ32="ETABS",BC32/DATOS!$C$89,IF(BJ32="CAPTURA",N(AS32),0)))</f>
        <v/>
      </c>
      <c r="BN32" s="44" t="str">
        <f>IF(BI32&lt;&gt;"SÍ","",IF(BJ32="ETABS",BC32,IF(BJ32="CAPTURA",IF(ISNUMBER(AU32),AU32,N(AS32)*DATOS!$C$89),0)))</f>
        <v/>
      </c>
      <c r="BO32" s="44" t="str">
        <f>IF(BI32&lt;&gt;"SÍ","",IF(BJ32="ETABS",MAX(BD32,BE32),IF(BJ32="CAPTURA",N(AT32),0)))</f>
        <v/>
      </c>
      <c r="BP32" s="44" t="str">
        <f>IF(BI32&lt;&gt;"SÍ","",IF(BJ32="ETABS",BE32,IF(BJ32="CAPTURA",IF(ISNUMBER(AV32),AV32,N(AT32)),0)))</f>
        <v/>
      </c>
      <c r="BQ32" s="44" t="str">
        <f>IF(BI32&lt;&gt;"SÍ","",IF(BJ32="ETABS",BF32,IF(BJ32="CAPTURA",N(AW32),0)))</f>
        <v/>
      </c>
      <c r="BR32" s="43" t="str">
        <f>IF(BI32&lt;&gt;"SÍ","",IF(BK32&gt;0,100*BQ32/BK32,0))</f>
        <v/>
      </c>
      <c r="BS32" s="44" t="str">
        <f>IF(BI32&lt;&gt;"SÍ","",IF(ISNUMBER(G32),G32,DATOS!$C$57))</f>
        <v/>
      </c>
      <c r="BT32" s="47" t="str">
        <f>IF(BI32&lt;&gt;"SÍ","",IF(ISNUMBER(H32),H32,DATOS!$C$58))</f>
        <v/>
      </c>
      <c r="BU32" s="43" t="str">
        <f>IF(BI32&lt;&gt;"SÍ","",IF(N(K32)&gt;0,1+IF(N(P32)&gt;0,1+IF(N(U32)&gt;0,1+IF(N(Z32)&gt;0,1,0),0),0),0))</f>
        <v/>
      </c>
      <c r="BV32" s="45" t="str">
        <f>IF(BI32&lt;&gt;"SÍ","",IF(AND(OR(BU32&lt;1,AND(N(J32)&gt;=0-0.001,J32+K32&lt;=F32+0.001,N(L32)&gt;=0,N(L32)+N(M32)&lt;=BS32+0.001,N(M32)&gt;0,OR(I32="PUERTA",I32="VENTANA"))),OR(BU32&lt;2,AND(N(O32)&gt;=(J32+K32)-0.001,O32+P32&lt;=F32+0.001,N(Q32)&gt;=0,N(Q32)+N(R32)&lt;=BS32+0.001,N(R32)&gt;0,OR(N32="PUERTA",N32="VENTANA"))),OR(BU32&lt;3,AND(N(T32)&gt;=(O32+P32)-0.001,T32+U32&lt;=F32+0.001,N(V32)&gt;=0,N(V32)+N(W32)&lt;=BS32+0.001,N(W32)&gt;0,OR(S32="PUERTA",S32="VENTANA"))),OR(BU32&lt;4,AND(N(Y32)&gt;=(T32+U32)-0.001,Y32+Z32&lt;=F32+0.001,N(AA32)&gt;=0,N(AA32)+N(AB32)&lt;=BS32+0.001,N(AB32)&gt;0,OR(X32="PUERTA",X32="VENTANA"))),(N(K32)&gt;0)+(N(P32)&gt;0)+(N(U32)&gt;0)+(N(Z32)&gt;0)=BU32),"CUMPLE","REVISAR VANOS: tipo, orden de izquierda a derecha, que quepan en L y en H"))</f>
        <v/>
      </c>
      <c r="BW32" s="44" t="str">
        <f>IF(BI32&lt;&gt;"SÍ","",MAX(0,IF(BU32&gt;=1,N(J32),F32)))</f>
        <v/>
      </c>
      <c r="BX32" s="44" t="str">
        <f>IF(BI32&lt;&gt;"SÍ","",MAX(0,IF(BU32&gt;=2,N(O32)-(N(J32)+N(K32)),IF(BU32=1,F32-(N(J32)+N(K32)),0))))</f>
        <v/>
      </c>
      <c r="BY32" s="44" t="str">
        <f>IF(BI32&lt;&gt;"SÍ","",MAX(0,IF(BU32&gt;=3,N(T32)-(N(O32)+N(P32)),IF(BU32=2,F32-(N(O32)+N(P32)),0))))</f>
        <v/>
      </c>
      <c r="BZ32" s="44" t="str">
        <f>IF(BI32&lt;&gt;"SÍ","",MAX(0,IF(BU32&gt;=4,N(Y32)-(N(T32)+N(U32)),IF(BU32=3,F32-(N(T32)+N(U32)),0))))</f>
        <v/>
      </c>
      <c r="CA32" s="44" t="str">
        <f>IF(BI32&lt;&gt;"SÍ","",MAX(0,IF(BU32=4,F32-(N(Y32)+N(Z32)),0)))</f>
        <v/>
      </c>
      <c r="CB32" s="46" t="str">
        <f>IF(BI32&lt;&gt;"SÍ","",SUMPRODUCT((BW32:CA32&gt;=DATOS!$C$72-0.0001)*BW32:CA32))</f>
        <v/>
      </c>
      <c r="CC32" s="43" t="str">
        <f>IF(BI32&lt;&gt;"SÍ","",SUMPRODUCT(--(BW32:CA32&gt;=DATOS!$C$72-0.0001)))</f>
        <v/>
      </c>
      <c r="CD32" s="44" t="str">
        <f>IF(BI32&lt;&gt;"SÍ","",SUM(BW32:CA32))</f>
        <v/>
      </c>
      <c r="CE32" s="43" t="str">
        <f>IF(BI32&lt;&gt;"SÍ","",BT32*CB32*100)</f>
        <v/>
      </c>
      <c r="CF32" s="43" t="str">
        <f>IF(BI32&lt;&gt;"SÍ","",BT32*CD32*100)</f>
        <v/>
      </c>
      <c r="CG32" s="47" t="str">
        <f>IF(BI32&lt;&gt;"SÍ","",BS32*100/BT32)</f>
        <v/>
      </c>
      <c r="CH32" s="45" t="str">
        <f>IF(BI32&lt;&gt;"SÍ","",IF(AND(OR(DATOS!$C$14="TIPO II",BT32&gt;=12),CG32&lt;=25),"CUMPLE","NO CUMPLE: "&amp;IF(AND(DATOS!$C$14="TIPO I",BT32&lt;12),"t &lt; 12 cm ","")&amp;IF(CG32&gt;25,"H/t &gt; 25","")))</f>
        <v/>
      </c>
      <c r="CI32" s="44" t="str">
        <f>IF(BI32&lt;&gt;"SÍ","",MIN(1.5*BS32,4))</f>
        <v/>
      </c>
      <c r="CJ32" s="43" t="str">
        <f>IF(BI32&lt;&gt;"SÍ","",SUMPRODUCT((BW32:CA32&gt;=2*DATOS!$C$59/100)*INT((BW32:CA32-DATOS!$C$59/100)/CI32-0.000001)*((BW32:CA32-DATOS!$C$59/100)&gt;0)))</f>
        <v/>
      </c>
      <c r="CK32" s="43" t="str">
        <f>IF(BI32&lt;&gt;"SÍ","",SUMPRODUCT((BW32:CA32&gt;0.0001)*1+(BW32:CA32&gt;=2*DATOS!$C$59/100)*1)+CJ32)</f>
        <v/>
      </c>
      <c r="CL32" s="44" t="str">
        <f>IF(BI32&lt;&gt;"SÍ","",IF(ISNUMBER(AC32),AC32,DATOS!$C$61)*INDEX(TABLAS!$D$6:$D$14,MATCH(IF(AD32&lt;&gt;"",AD32,DATOS!$C$62),TABLAS!$B$6:$B$14,0)))</f>
        <v/>
      </c>
      <c r="CM32" s="44" t="str">
        <f>IF(BI32&lt;&gt;"SÍ","",CK32*DATOS!$C$78+IF(CK32&gt;=2,2,CK32)*(CL32-DATOS!$C$78))</f>
        <v/>
      </c>
      <c r="CN32" s="47" t="str">
        <f>IF(BI32&lt;&gt;"SÍ","",MAX(BS32*100/6,40))</f>
        <v/>
      </c>
      <c r="CO32" s="48" t="str">
        <f>IF(BI32&lt;&gt;"SÍ","",IF(CG32&lt;=20,IF(E32="INTERIOR",0.7,0.6),MIN(IF(E32="INTERIOR",0.7,0.6),(1-2/24)*(1-(IF(E32="INTERIOR",0.8,1)*CG32/30)^2))))</f>
        <v/>
      </c>
      <c r="CP32" s="47" t="str">
        <f>IF(BI32&lt;&gt;"SÍ","",DATOS!$C$87*CO32*(DATOS!$C$33*CF32+CM32*DATOS!$C$48)/1000)</f>
        <v/>
      </c>
      <c r="CQ32" s="46" t="str">
        <f>IF(BI32&lt;&gt;"SÍ","",IF(CP32&gt;0,BO32/CP32,99))</f>
        <v/>
      </c>
      <c r="CR32" s="47" t="str">
        <f>IF(BI32&lt;&gt;"SÍ","",MAX(0,F32*100-DATOS!$C$59))</f>
        <v/>
      </c>
      <c r="CS32" s="47" t="str">
        <f>IF(BI32&lt;&gt;"SÍ","",MAX(0,F32*100-DATOS!$C$59/2))</f>
        <v/>
      </c>
      <c r="CT32" s="44" t="str">
        <f>IF(BI32&lt;&gt;"SÍ","",CL32*DATOS!$C$48*CR32/100000)</f>
        <v/>
      </c>
      <c r="CU32" s="44" t="str">
        <f>IF(BI32&lt;&gt;"SÍ","",IF(BN32&lt;0,0.8*CT32*MAX(0,1+BN32/(0.8*CM32*DATOS!$C$48/1000)),IF(BN32&lt;=CP32/3,0.8*CT32+0.3*BN32*CS32/100,(1.5*0.6*CT32+0.15*CP32*CS32/100)*MAX(0,1-BN32/CP32))))</f>
        <v/>
      </c>
      <c r="CV32" s="44" t="str">
        <f>IF(BI32&lt;&gt;"SÍ","",IF(BO32&lt;0,0.8*CT32*MAX(0,1+BO32/(0.8*CM32*DATOS!$C$48/1000)),IF(BO32&lt;=CP32/3,0.8*CT32+0.3*BO32*CS32/100,(1.5*0.6*CT32+0.15*CP32*CS32/100)*MAX(0,1-BO32/CP32))))</f>
        <v/>
      </c>
      <c r="CW32" s="46" t="str">
        <f>IF(BI32&lt;&gt;"SÍ","",MAX(0,MIN(CU32,CV32)))</f>
        <v/>
      </c>
      <c r="CX32" s="49" t="str">
        <f>IF(BI32&lt;&gt;"SÍ","",IF(CW32&gt;0,BL32/CW32,IF(BL32&gt;0,99,0)))</f>
        <v/>
      </c>
      <c r="CY32" s="44" t="str">
        <f>IF(BI32&lt;&gt;"SÍ","",IF(BW32&gt;0,MAX(1,MIN(1.5,1.5-0.625*(BS32/BW32-0.2))),0))</f>
        <v/>
      </c>
      <c r="CZ32" s="44" t="str">
        <f>IF(BI32&lt;&gt;"SÍ","",IF(BX32&gt;0,MAX(1,MIN(1.5,1.5-0.625*(BS32/BX32-0.2))),0))</f>
        <v/>
      </c>
      <c r="DA32" s="44" t="str">
        <f>IF(BI32&lt;&gt;"SÍ","",IF(BY32&gt;0,MAX(1,MIN(1.5,1.5-0.625*(BS32/BY32-0.2))),0))</f>
        <v/>
      </c>
      <c r="DB32" s="44" t="str">
        <f>IF(BI32&lt;&gt;"SÍ","",IF(BZ32&gt;0,MAX(1,MIN(1.5,1.5-0.625*(BS32/BZ32-0.2))),0))</f>
        <v/>
      </c>
      <c r="DC32" s="44" t="str">
        <f>IF(BI32&lt;&gt;"SÍ","",IF(CA32&gt;0,MAX(1,MIN(1.5,1.5-0.625*(BS32/CA32-0.2))),0))</f>
        <v/>
      </c>
      <c r="DD32" s="44" t="str">
        <f>IF(BI32&lt;&gt;"SÍ","",IF(OR(BW32&lt;DATOS!$C$72-0.0001,BM32&lt;0,CB32&lt;=0),0,MIN(DATOS!$C$86*(0.5*DATOS!$C$41*BT32*BW32*100+0.3*BM32*BW32/CB32*1000)*CY32,1.5*DATOS!$C$86*DATOS!$C$41*BT32*BW32*100*CY32)/1000))</f>
        <v/>
      </c>
      <c r="DE32" s="44" t="str">
        <f>IF(BI32&lt;&gt;"SÍ","",IF(OR(BX32&lt;DATOS!$C$72-0.0001,BM32&lt;0,CB32&lt;=0),0,MIN(DATOS!$C$86*(0.5*DATOS!$C$41*BT32*BX32*100+0.3*BM32*BX32/CB32*1000)*CZ32,1.5*DATOS!$C$86*DATOS!$C$41*BT32*BX32*100*CZ32)/1000))</f>
        <v/>
      </c>
      <c r="DF32" s="44" t="str">
        <f>IF(BI32&lt;&gt;"SÍ","",IF(OR(BY32&lt;DATOS!$C$72-0.0001,BM32&lt;0,CB32&lt;=0),0,MIN(DATOS!$C$86*(0.5*DATOS!$C$41*BT32*BY32*100+0.3*BM32*BY32/CB32*1000)*DA32,1.5*DATOS!$C$86*DATOS!$C$41*BT32*BY32*100*DA32)/1000))</f>
        <v/>
      </c>
      <c r="DG32" s="44" t="str">
        <f>IF(BI32&lt;&gt;"SÍ","",IF(OR(BZ32&lt;DATOS!$C$72-0.0001,BM32&lt;0,CB32&lt;=0),0,MIN(DATOS!$C$86*(0.5*DATOS!$C$41*BT32*BZ32*100+0.3*BM32*BZ32/CB32*1000)*DB32,1.5*DATOS!$C$86*DATOS!$C$41*BT32*BZ32*100*DB32)/1000))</f>
        <v/>
      </c>
      <c r="DH32" s="44" t="str">
        <f>IF(BI32&lt;&gt;"SÍ","",IF(OR(CA32&lt;DATOS!$C$72-0.0001,BM32&lt;0,CB32&lt;=0),0,MIN(DATOS!$C$86*(0.5*DATOS!$C$41*BT32*CA32*100+0.3*BM32*CA32/CB32*1000)*DC32,1.5*DATOS!$C$86*DATOS!$C$41*BT32*CA32*100*DC32)/1000))</f>
        <v/>
      </c>
      <c r="DI32" s="46" t="str">
        <f>IF(BI32&lt;&gt;"SÍ","",SUM(DD32:DH32))</f>
        <v/>
      </c>
      <c r="DJ32" s="48" t="str">
        <f>IF(BI32&lt;&gt;"SÍ","",IF(AE32="VARILLA EN JUNTAS",IF(ISNUMBER(AF32),AF32,2)*INDEX(TABLAS!$D$6:$D$14,MATCH(IF(AG32&lt;&gt;"",AG32,DATOS!$C$73),TABLAS!$B$6:$B$14,0)),IF(AE32="MALLA",IF(ISNUMBER(AF32),AF32,1)*INDEX(TABLAS!$D$19:$D$22,MATCH(IF(AG32&lt;&gt;"",AG32,DATOS!$C$74),TABLAS!$B$19:$B$22,0))/100,IF(AE32="ESCALERILLA",IF(ISNUMBER(AF32),AF32,2)*INDEX(TABLAS!$D$6:$D$14,MATCH(IF(AG32&lt;&gt;"",AG32,DATOS!$C$73),TABLAS!$B$6:$B$14,0)),0))))</f>
        <v/>
      </c>
      <c r="DK32" s="47" t="str">
        <f>IF(BI32&lt;&gt;"SÍ","",IF(OR(AE32="VARILLA EN JUNTAS",AE32="ESCALERILLA"),IF(ISNUMBER(AH32),AH32,2)*DATOS!$C$26,IF(AE32="MALLA",1,0)))</f>
        <v/>
      </c>
      <c r="DL32" s="44" t="str">
        <f>IF(BI32&lt;&gt;"SÍ","",IF(DK32&gt;0,DJ32/(DK32*BT32)*MIN(DATOS!$C$50,IF(AE32="MALLA",5000,6000)),0))</f>
        <v/>
      </c>
      <c r="DM32" s="44" t="str">
        <f>IF(BI32&lt;&gt;"SÍ","",IF(AE32="ESCALERILLA",0,MIN(DL32,0.1*DATOS!$C$33*DATOS!$C$24)))</f>
        <v/>
      </c>
      <c r="DN32" s="48" t="str">
        <f>IF(BI32&lt;&gt;"SÍ","",IF(AE32="MALLA",0.5,IF(DATOS!$C$33&lt;=60,0.55,IF(DATOS!$C$33&gt;=90,0.75,0.55+0.2*(DATOS!$C$33-60)/30))))</f>
        <v/>
      </c>
      <c r="DO32" s="48" t="str">
        <f>IF(BI32&lt;&gt;"SÍ","",1-DATOS!$C$91*DM32)</f>
        <v/>
      </c>
      <c r="DP32" s="44" t="str">
        <f>IF(BI32&lt;&gt;"SÍ","",IF(BW32&gt;0,IF(BS32/BW32&lt;=1,1.3,IF(BS32/BW32&gt;=1.5,1,1.3-0.6*(BS32/BW32-1))),0))</f>
        <v/>
      </c>
      <c r="DQ32" s="44" t="str">
        <f>IF(BI32&lt;&gt;"SÍ","",IF(BX32&gt;0,IF(BS32/BX32&lt;=1,1.3,IF(BS32/BX32&gt;=1.5,1,1.3-0.6*(BS32/BX32-1))),0))</f>
        <v/>
      </c>
      <c r="DR32" s="44" t="str">
        <f>IF(BI32&lt;&gt;"SÍ","",IF(BY32&gt;0,IF(BS32/BY32&lt;=1,1.3,IF(BS32/BY32&gt;=1.5,1,1.3-0.6*(BS32/BY32-1))),0))</f>
        <v/>
      </c>
      <c r="DS32" s="44" t="str">
        <f>IF(BI32&lt;&gt;"SÍ","",IF(BZ32&gt;0,IF(BS32/BZ32&lt;=1,1.3,IF(BS32/BZ32&gt;=1.5,1,1.3-0.6*(BS32/BZ32-1))),0))</f>
        <v/>
      </c>
      <c r="DT32" s="44" t="str">
        <f>IF(BI32&lt;&gt;"SÍ","",IF(CA32&gt;0,IF(BS32/CA32&lt;=1,1.3,IF(BS32/CA32&gt;=1.5,1,1.3-0.6*(BS32/CA32-1))),0))</f>
        <v/>
      </c>
      <c r="DU32" s="44" t="str">
        <f>IF(BI32&lt;&gt;"SÍ","",IF(OR(DM32&lt;=0,BW32&lt;DATOS!$C$72-0.0001),0,DATOS!$C$86*MAX(0,IF(BM32&gt;=0,DD32/(DATOS!$C$86*DM32*BT32*BW32*100/1000)*(DP32*DO32-1)+DN32,DO32*DN32))*DM32*BT32*BW32*100/1000))</f>
        <v/>
      </c>
      <c r="DV32" s="44" t="str">
        <f>IF(BI32&lt;&gt;"SÍ","",IF(OR(DM32&lt;=0,BX32&lt;DATOS!$C$72-0.0001),0,DATOS!$C$86*MAX(0,IF(BM32&gt;=0,DE32/(DATOS!$C$86*DM32*BT32*BX32*100/1000)*(DQ32*DO32-1)+DN32,DO32*DN32))*DM32*BT32*BX32*100/1000))</f>
        <v/>
      </c>
      <c r="DW32" s="44" t="str">
        <f>IF(BI32&lt;&gt;"SÍ","",IF(OR(DM32&lt;=0,BY32&lt;DATOS!$C$72-0.0001),0,DATOS!$C$86*MAX(0,IF(BM32&gt;=0,DF32/(DATOS!$C$86*DM32*BT32*BY32*100/1000)*(DR32*DO32-1)+DN32,DO32*DN32))*DM32*BT32*BY32*100/1000))</f>
        <v/>
      </c>
      <c r="DX32" s="44" t="str">
        <f>IF(BI32&lt;&gt;"SÍ","",IF(OR(DM32&lt;=0,BZ32&lt;DATOS!$C$72-0.0001),0,DATOS!$C$86*MAX(0,IF(BM32&gt;=0,DG32/(DATOS!$C$86*DM32*BT32*BZ32*100/1000)*(DS32*DO32-1)+DN32,DO32*DN32))*DM32*BT32*BZ32*100/1000))</f>
        <v/>
      </c>
      <c r="DY32" s="44" t="str">
        <f>IF(BI32&lt;&gt;"SÍ","",IF(OR(DM32&lt;=0,CA32&lt;DATOS!$C$72-0.0001),0,DATOS!$C$86*MAX(0,IF(BM32&gt;=0,DH32/(DATOS!$C$86*DM32*BT32*CA32*100/1000)*(DT32*DO32-1)+DN32,DO32*DN32))*DM32*BT32*CA32*100/1000))</f>
        <v/>
      </c>
      <c r="DZ32" s="46" t="str">
        <f>IF(BI32&lt;&gt;"SÍ","",SUM(DU32:DY32))</f>
        <v/>
      </c>
      <c r="EA32" s="45" t="str">
        <f>IF(BI32&lt;&gt;"SÍ","",IF(OR(AE32="",AE32="NINGUNO"),IF(DATOS!$C$41&gt;=10,"FALTA refuerzo horizontal: v'm ≥ 10 kg/cm² (6.5.2.2)",IF(AND(BM32&lt;0,BK32&gt;0),"FALTA: P en tensión, el refuerzo debe tomar todo el cortante (6.5.1.3)","—")),IF(AE32="ESCALERILLA","NO CUENTA: la escalerilla no se permite para cortante por sismo (6.5.3.1.2)",IF(AE32="MALLA",IF(AND(DL32&gt;=2.5,DL32&lt;=MAX(0.15*DATOS!$C$33*DATOS!$C$24,2.5)),"CUMPLE","NO CUMPLE: "&amp;IF(DL32&lt;2.5,"p_h·f_yh &lt; 2.5 (6.5.4.2.4)","p_h·f_yh &gt; 0.15·f'm·f_an (6.5.4.2.4)")),IF(AND(DK32&lt;=MIN(6*DATOS!$C$26,45),DL32&gt;=3,DL32&lt;=MIN(MAX(0.15*DATOS!$C$33*DATOS!$C$24,3),0.05*DATOS!$C$25/10*MIN(DATOS!$C$50,6000)/DK32),INDEX(TABLAS!$C$6:$C$14,MATCH(IF(AG32&lt;&gt;"",AG32,DATOS!$C$73),TABLAS!$B$6:$B$14,0))&gt;=0.35,INDEX(TABLAS!$C$6:$C$14,MATCH(IF(AG32&lt;&gt;"",AG32,DATOS!$C$73),TABLAS!$B$6:$B$14,0))&lt;=0.75*DATOS!$C$25/10),"CUMPLE","NO CUMPLE: "&amp;IF(DK32&gt;MIN(6*DATOS!$C$26,45),"s_h &gt; 6 hiladas o 45 cm (6.5.3.2.1) ","")&amp;IF(DL32&lt;3,"p_h·f_yh &lt; 3 (6.5.3.3.1) ","")&amp;IF(DL32&gt;MIN(MAX(0.15*DATOS!$C$33*DATOS!$C$24,3),0.05*DATOS!$C$25/10*MIN(DATOS!$C$50,6000)/DK32),"p_h·f_yh &gt; máximo (6.5.3.3.2) ","")&amp;IF(OR(INDEX(TABLAS!$C$6:$C$14,MATCH(IF(AG32&lt;&gt;"",AG32,DATOS!$C$73),TABLAS!$B$6:$B$14,0))&lt;0.35,INDEX(TABLAS!$C$6:$C$14,MATCH(IF(AG32&lt;&gt;"",AG32,DATOS!$C$73),TABLAS!$B$6:$B$14,0))&gt;0.75*DATOS!$C$25/10),"diámetro fuera de 3.5 mm a 0.75·h_j (4.2.2.2.1)",""))))))</f>
        <v/>
      </c>
      <c r="EB32" s="46" t="str">
        <f>IF(BI32&lt;&gt;"SÍ","",DI32+DZ32)</f>
        <v/>
      </c>
      <c r="EC32" s="50" t="str">
        <f>IF(BI32&lt;&gt;"SÍ","",IF(EB32&gt;0,BK32/EB32,IF(BK32&gt;0,99,0)))</f>
        <v/>
      </c>
      <c r="ED32" s="47" t="str">
        <f>IF(BI32&lt;&gt;"SÍ","",IF(CE32&lt;=0,-1,IF(BK32&lt;=DI32,0,IF(IF(BM32&gt;=0,IF((DATOS!$C$86*IF(AE32="MALLA",0.5,IF(DATOS!$C$33&lt;=60,0.55,IF(DATOS!$C$33&gt;=90,0.75,0.55+0.2*(DATOS!$C$33-60)/30)))*CE32/1000-DATOS!$C$91*SUMPRODUCT(DP32:DT32,DD32:DH32))&lt;=0,1E9,(BK32-SUMPRODUCT(DP32:DT32,DD32:DH32))/(DATOS!$C$86*IF(AE32="MALLA",0.5,IF(DATOS!$C$33&lt;=60,0.55,IF(DATOS!$C$33&gt;=90,0.75,0.55+0.2*(DATOS!$C$33-60)/30)))*CE32/1000-DATOS!$C$91*SUMPRODUCT(DP32:DT32,DD32:DH32))),IF((1-4*DATOS!$C$91*BK32*1000/(DATOS!$C$86*IF(AE32="MALLA",0.5,IF(DATOS!$C$33&lt;=60,0.55,IF(DATOS!$C$33&gt;=90,0.75,0.55+0.2*(DATOS!$C$33-60)/30)))*MAX(CE32,1)))&lt;0,1E9,(1-SQRT((1-4*DATOS!$C$91*BK32*1000/(DATOS!$C$86*IF(AE32="MALLA",0.5,IF(DATOS!$C$33&lt;=60,0.55,IF(DATOS!$C$33&gt;=90,0.75,0.55+0.2*(DATOS!$C$33-60)/30)))*MAX(CE32,1)))))/(2*DATOS!$C$91)))&gt;0.1*DATOS!$C$33*DATOS!$C$24+0.000001,-1,MAX(IF(AE32="MALLA",2.5,3),IF(BM32&gt;=0,IF((DATOS!$C$86*IF(AE32="MALLA",0.5,IF(DATOS!$C$33&lt;=60,0.55,IF(DATOS!$C$33&gt;=90,0.75,0.55+0.2*(DATOS!$C$33-60)/30)))*CE32/1000-DATOS!$C$91*SUMPRODUCT(DP32:DT32,DD32:DH32))&lt;=0,1E9,(BK32-SUMPRODUCT(DP32:DT32,DD32:DH32))/(DATOS!$C$86*IF(AE32="MALLA",0.5,IF(DATOS!$C$33&lt;=60,0.55,IF(DATOS!$C$33&gt;=90,0.75,0.55+0.2*(DATOS!$C$33-60)/30)))*CE32/1000-DATOS!$C$91*SUMPRODUCT(DP32:DT32,DD32:DH32))),IF((1-4*DATOS!$C$91*BK32*1000/(DATOS!$C$86*IF(AE32="MALLA",0.5,IF(DATOS!$C$33&lt;=60,0.55,IF(DATOS!$C$33&gt;=90,0.75,0.55+0.2*(DATOS!$C$33-60)/30)))*MAX(CE32,1)))&lt;0,1E9,(1-SQRT((1-4*DATOS!$C$91*BK32*1000/(DATOS!$C$86*IF(AE32="MALLA",0.5,IF(DATOS!$C$33&lt;=60,0.55,IF(DATOS!$C$33&gt;=90,0.75,0.55+0.2*(DATOS!$C$33-60)/30)))*MAX(CE32,1)))))/(2*DATOS!$C$91))))))))</f>
        <v/>
      </c>
      <c r="EE32" s="45" t="str">
        <f>IF(BI32&lt;&gt;"SÍ","",IF(ED32=0,"NO REQUIERE: V_mR ≥ V_u",IF(ED32&lt;0,"NO ALCANZA con refuerzo horizontal (haría falta más de 0.1·f'm·f_an efectivo): sube v'm con ensayes, el espesor o la longitud del muro",IF(AND(OR(AE32="VARILLA EN JUNTAS",AE32="MALLA"),LEFT(EA32,6)="CUMPLE",EC32&lt;=1),"YA LO TIENE (pide p_h·f_yh ≥ "&amp;TEXT(ED32,"0.0")&amp;" kg/cm²)","p_h·f_yh ≥ "&amp;TEXT(ED32,"0.0")&amp;" kg/cm² → "&amp;IF(AND(MIN(6,FLOOR(45/DATOS!$C$26,1),FLOOR((2*INDEX(TABLAS!$D$6:$D$14,MATCH("3/16 in",TABLAS!$B$6:$B$14,0)))*MIN(DATOS!$C$50,6000)/(BT32*DATOS!$C$26*MAX(ED32,0.001)),1))&gt;=1,((2*INDEX(TABLAS!$D$6:$D$14,MATCH("3/16 in",TABLAS!$B$6:$B$14,0)))*MIN(DATOS!$C$50,6000)/(MAX(MIN(6,FLOOR(45/DATOS!$C$26,1),FLOOR((2*INDEX(TABLAS!$D$6:$D$14,MATCH("3/16 in",TABLAS!$B$6:$B$14,0)))*MIN(DATOS!$C$50,6000)/(BT32*DATOS!$C$26*MAX(ED32,0.001)),1)),1)*DATOS!$C$26*BT32))&lt;=MIN(MAX(0.15*DATOS!$C$33*DATOS!$C$24,3),0.05*DATOS!$C$25/10*MIN(DATOS!$C$50,6000)/(MIN(6,FLOOR(45/DATOS!$C$26,1),FLOOR((2*INDEX(TABLAS!$D$6:$D$14,MATCH("3/16 in",TABLAS!$B$6:$B$14,0)))*MIN(DATOS!$C$50,6000)/(BT32*DATOS!$C$26*MAX(ED32,0.001)),1))*DATOS!$C$26))),"2 alambres de 3/16"" por junta cada "&amp;MIN(6,FLOOR(45/DATOS!$C$26,1),FLOOR((2*INDEX(TABLAS!$D$6:$D$14,MATCH("3/16 in",TABLAS!$B$6:$B$14,0)))*MIN(DATOS!$C$50,6000)/(BT32*DATOS!$C$26*MAX(ED32,0.001)),1))&amp;" hilada(s) (p_h·f_yh = "&amp;TEXT(((2*INDEX(TABLAS!$D$6:$D$14,MATCH("3/16 in",TABLAS!$B$6:$B$14,0)))*MIN(DATOS!$C$50,6000)/(MAX(MIN(6,FLOOR(45/DATOS!$C$26,1),FLOOR((2*INDEX(TABLAS!$D$6:$D$14,MATCH("3/16 in",TABLAS!$B$6:$B$14,0)))*MIN(DATOS!$C$50,6000)/(BT32*DATOS!$C$26*MAX(ED32,0.001)),1)),1)*DATOS!$C$26*BT32)),"0.00")&amp;")",IF(AND(MIN(6,FLOOR(45/DATOS!$C$26,1),FLOOR((2*INDEX(TABLAS!$D$6:$D$14,MATCH("5/32 in",TABLAS!$B$6:$B$14,0)))*MIN(DATOS!$C$50,6000)/(BT32*DATOS!$C$26*MAX(ED32,0.001)),1))&gt;=1,((2*INDEX(TABLAS!$D$6:$D$14,MATCH("5/32 in",TABLAS!$B$6:$B$14,0)))*MIN(DATOS!$C$50,6000)/(MAX(MIN(6,FLOOR(45/DATOS!$C$26,1),FLOOR((2*INDEX(TABLAS!$D$6:$D$14,MATCH("5/32 in",TABLAS!$B$6:$B$14,0)))*MIN(DATOS!$C$50,6000)/(BT32*DATOS!$C$26*MAX(ED32,0.001)),1)),1)*DATOS!$C$26*BT32))&lt;=MIN(MAX(0.15*DATOS!$C$33*DATOS!$C$24,3),0.05*DATOS!$C$25/10*MIN(DATOS!$C$50,6000)/(MIN(6,FLOOR(45/DATOS!$C$26,1),FLOOR((2*INDEX(TABLAS!$D$6:$D$14,MATCH("5/32 in",TABLAS!$B$6:$B$14,0)))*MIN(DATOS!$C$50,6000)/(BT32*DATOS!$C$26*MAX(ED32,0.001)),1))*DATOS!$C$26))),"2 alambres de 5/32"" por junta cada "&amp;MIN(6,FLOOR(45/DATOS!$C$26,1),FLOOR((2*INDEX(TABLAS!$D$6:$D$14,MATCH("5/32 in",TABLAS!$B$6:$B$14,0)))*MIN(DATOS!$C$50,6000)/(BT32*DATOS!$C$26*MAX(ED32,0.001)),1))&amp;" hilada(s) (p_h·f_yh = "&amp;TEXT(((2*INDEX(TABLAS!$D$6:$D$14,MATCH("5/32 in",TABLAS!$B$6:$B$14,0)))*MIN(DATOS!$C$50,6000)/(MAX(MIN(6,FLOOR(45/DATOS!$C$26,1),FLOOR((2*INDEX(TABLAS!$D$6:$D$14,MATCH("5/32 in",TABLAS!$B$6:$B$14,0)))*MIN(DATOS!$C$50,6000)/(BT32*DATOS!$C$26*MAX(ED32,0.001)),1)),1)*DATOS!$C$26*BT32)),"0.00")&amp;")",IF(AND(MIN(6,FLOOR(45/DATOS!$C$26,1),FLOOR((1*INDEX(TABLAS!$D$6:$D$14,MATCH("3/16 in",TABLAS!$B$6:$B$14,0)))*MIN(DATOS!$C$50,6000)/(BT32*DATOS!$C$26*MAX(ED32,0.001)),1))&gt;=1,((1*INDEX(TABLAS!$D$6:$D$14,MATCH("3/16 in",TABLAS!$B$6:$B$14,0)))*MIN(DATOS!$C$50,6000)/(MAX(MIN(6,FLOOR(45/DATOS!$C$26,1),FLOOR((1*INDEX(TABLAS!$D$6:$D$14,MATCH("3/16 in",TABLAS!$B$6:$B$14,0)))*MIN(DATOS!$C$50,6000)/(BT32*DATOS!$C$26*MAX(ED32,0.001)),1)),1)*DATOS!$C$26*BT32))&lt;=MIN(MAX(0.15*DATOS!$C$33*DATOS!$C$24,3),0.05*DATOS!$C$25/10*MIN(DATOS!$C$50,6000)/(MIN(6,FLOOR(45/DATOS!$C$26,1),FLOOR((1*INDEX(TABLAS!$D$6:$D$14,MATCH("3/16 in",TABLAS!$B$6:$B$14,0)))*MIN(DATOS!$C$50,6000)/(BT32*DATOS!$C$26*MAX(ED32,0.001)),1))*DATOS!$C$26))),"1 alambre de 3/16"" por junta cada "&amp;MIN(6,FLOOR(45/DATOS!$C$26,1),FLOOR((1*INDEX(TABLAS!$D$6:$D$14,MATCH("3/16 in",TABLAS!$B$6:$B$14,0)))*MIN(DATOS!$C$50,6000)/(BT32*DATOS!$C$26*MAX(ED32,0.001)),1))&amp;" hilada(s) (p_h·f_yh = "&amp;TEXT(((1*INDEX(TABLAS!$D$6:$D$14,MATCH("3/16 in",TABLAS!$B$6:$B$14,0)))*MIN(DATOS!$C$50,6000)/(MAX(MIN(6,FLOOR(45/DATOS!$C$26,1),FLOOR((1*INDEX(TABLAS!$D$6:$D$14,MATCH("3/16 in",TABLAS!$B$6:$B$14,0)))*MIN(DATOS!$C$50,6000)/(BT32*DATOS!$C$26*MAX(ED32,0.001)),1)),1)*DATOS!$C$26*BT32)),"0.00")&amp;")",IF(AND(MIN(6,FLOOR(45/DATOS!$C$26,1),FLOOR((1*INDEX(TABLAS!$D$6:$D$14,MATCH("5/32 in",TABLAS!$B$6:$B$14,0)))*MIN(DATOS!$C$50,6000)/(BT32*DATOS!$C$26*MAX(ED32,0.001)),1))&gt;=1,((1*INDEX(TABLAS!$D$6:$D$14,MATCH("5/32 in",TABLAS!$B$6:$B$14,0)))*MIN(DATOS!$C$50,6000)/(MAX(MIN(6,FLOOR(45/DATOS!$C$26,1),FLOOR((1*INDEX(TABLAS!$D$6:$D$14,MATCH("5/32 in",TABLAS!$B$6:$B$14,0)))*MIN(DATOS!$C$50,6000)/(BT32*DATOS!$C$26*MAX(ED32,0.001)),1)),1)*DATOS!$C$26*BT32))&lt;=MIN(MAX(0.15*DATOS!$C$33*DATOS!$C$24,3),0.05*DATOS!$C$25/10*MIN(DATOS!$C$50,6000)/(MIN(6,FLOOR(45/DATOS!$C$26,1),FLOOR((1*INDEX(TABLAS!$D$6:$D$14,MATCH("5/32 in",TABLAS!$B$6:$B$14,0)))*MIN(DATOS!$C$50,6000)/(BT32*DATOS!$C$26*MAX(ED32,0.001)),1))*DATOS!$C$26))),"1 alambre de 5/32"" por junta cada "&amp;MIN(6,FLOOR(45/DATOS!$C$26,1),FLOOR((1*INDEX(TABLAS!$D$6:$D$14,MATCH("5/32 in",TABLAS!$B$6:$B$14,0)))*MIN(DATOS!$C$50,6000)/(BT32*DATOS!$C$26*MAX(ED32,0.001)),1))&amp;" hilada(s) (p_h·f_yh = "&amp;TEXT(((1*INDEX(TABLAS!$D$6:$D$14,MATCH("5/32 in",TABLAS!$B$6:$B$14,0)))*MIN(DATOS!$C$50,6000)/(MAX(MIN(6,FLOOR(45/DATOS!$C$26,1),FLOOR((1*INDEX(TABLAS!$D$6:$D$14,MATCH("5/32 in",TABLAS!$B$6:$B$14,0)))*MIN(DATOS!$C$50,6000)/(BT32*DATOS!$C$26*MAX(ED32,0.001)),1)),1)*DATOS!$C$26*BT32)),"0.00")&amp;")","ninguna combinación de 1 o 2 alambres por junta queda entre el mínimo y el máximo: revisa con malla (6.5.4)"))))))))</f>
        <v/>
      </c>
      <c r="EF32" s="43" t="str">
        <f>IF(BI32&lt;&gt;"SÍ","",IF(AI32="SÍ",N(AK32)*N(AL32)^3/12,0))</f>
        <v/>
      </c>
      <c r="EG32" s="48" t="str">
        <f>IF(BI32&lt;&gt;"SÍ","",IF(AND(AI32="SÍ",N(AM32)&gt;0),MIN(1,F32/AM32),0))</f>
        <v/>
      </c>
      <c r="EH32" s="47" t="str">
        <f>IF(BI32&lt;&gt;"SÍ","",IF(AI32="SÍ",BP32*1000/(BT32*F32*100)*BT32*(EG32^4-4*EG32^3+8*EG32),0))</f>
        <v/>
      </c>
      <c r="EI32" s="48" t="str">
        <f>IF(BI32&lt;&gt;"SÍ","",IF(AND(AI32="SÍ",EH32&gt;0),EH32/(EH32+5*N(AN32)*10),0))</f>
        <v/>
      </c>
      <c r="EJ32" s="44" t="str">
        <f>IF(BI32&lt;&gt;"SÍ","",IF(AND(AI32="SÍ",EI32&gt;0,EF32&gt;0),(DATOS!$C$43*BT32*(AM32*100)^3/(DATOS!$C$53*EF32*EI32))^0.25,0))</f>
        <v/>
      </c>
      <c r="EK32" s="44" t="str">
        <f>IF(BI32&lt;&gt;"SÍ","",IF(AI32&lt;&gt;"SÍ",0,IF(N(AM32)&lt;=F32,1,IF(MIN(1,N(AO32)/((AM32-F32)/2))&lt;=0.5,0.7+0.6*MIN(1,N(AO32)/((AM32-F32)/2)),1.5-MIN(1,N(AO32)/((AM32-F32)/2))))))</f>
        <v/>
      </c>
      <c r="EL32" s="44" t="str">
        <f>IF(BI32&lt;&gt;"SÍ","",IF(AI32&lt;&gt;"SÍ",0,MAX(1,IF(EG32&gt;=1,(1.6*EJ32-3.9),IF(EG32&lt;0.9,((3.2*EJ32-7.8)*EK32),((3.2*EJ32-7.8)*EK32)+((1.6*EJ32-3.9)-((3.2*EJ32-7.8)*EK32))*(EG32-0.9)/0.1)))))</f>
        <v/>
      </c>
      <c r="EM32" s="47" t="str">
        <f>IF(BI32&lt;&gt;"SÍ","",IF(AI32="SÍ",EL32*BP32*1000/(BT32*F32*100),0))</f>
        <v/>
      </c>
      <c r="EN32" s="47" t="str">
        <f>IF(BI32&lt;&gt;"SÍ","",IF(AND(AI32="SÍ",N(AL32)&gt;0),AM32*100/AL32,0))</f>
        <v/>
      </c>
      <c r="EO32" s="47" t="str">
        <f>IF(BI32&lt;&gt;"SÍ","",IF(AI32="SÍ",(1/15*DATOS!$C$53*N(AK32)/MAX((IF(ISNUMBER(AP32),AP32,BP32/DATOS!$C$90)*1000/(BT32*F32*100)*BT32*(EG32^4-4*EG32^3+8*EG32))+5*N(AN32)/DATOS!$C$90*10,0.001))^(1/3),0))</f>
        <v/>
      </c>
      <c r="EP32" s="45" t="str">
        <f>IF(BI32&lt;&gt;"SÍ","",IF(AI32&lt;&gt;"SÍ","—",IF(OR(N(AK32)&lt;=0,N(AL32)&lt;=0,N(AM32)&lt;=0),"REVISAR: faltan b, h o L_v de la viga",IF(AND(EM32&lt;=DATOS!$C$87*DATOS!$C$33,EN32&lt;=14,N(AL32)&gt;=25,EN32&lt;=EO32),IF(BS32/F32&lt;0.6,"PENDIENTE: H/L &lt; 0.6, falta el análisis de interacción muro–viga (4.1.18.2.1); f_CM es estimado","CUMPLE"),"NO CUMPLE: "&amp;IF(EM32&gt;DATOS!$C$87*DATOS!$C$33,"f_CM &gt; F_R·f'm ","")&amp;IF(EN32&gt;14,"L_v/h_v &gt; 14 ","")&amp;IF(N(AL32)&lt;25,"h_v &lt; 25 cm ","")&amp;IF(EN32&gt;EO32,"flecha (4.1.18.3)","")))))</f>
        <v/>
      </c>
      <c r="EQ32" s="44" t="str">
        <f>IF(BI32&lt;&gt;"SÍ","",MAX(0,F32*BS32-(N(K32)*N(M32)+N(P32)*N(R32)+N(U32)*N(W32)+N(Z32)*N(AB32))-CK32*DATOS!$C$59/100*BS32))</f>
        <v/>
      </c>
      <c r="ER32" s="48" t="str">
        <f>IF(BI32&lt;&gt;"SÍ","",CK32*DATOS!$C$59*DATOS!$C$60/10000*BS32)</f>
        <v/>
      </c>
      <c r="ES32" s="47" t="str">
        <f>IF(BI32&lt;&gt;"SÍ","",CK32*(DATOS!$C$61*(BS32+0.6)*INDEX(TABLAS!$E$6:$E$14,MATCH(DATOS!$C$62,TABLAS!$B$6:$B$14,0))+(2*ROUNDUP(CN32/DATOS!$C$65,0)+ROUNDUP(MAX(0,BS32*100-2*CN32)/DATOS!$C$64,0))*((2*(DATOS!$C$60+DATOS!$C$59-4*(DATOS!$C$66-INDEX(TABLAS!$C$6:$C$14,MATCH(DATOS!$C$63,TABLAS!$B$6:$B$14,0))))+15)/100)*INDEX(TABLAS!$E$6:$E$14,MATCH(DATOS!$C$63,TABLAS!$B$6:$B$14,0))))</f>
        <v/>
      </c>
      <c r="ET32" s="47" t="str">
        <f>IF(BI32&lt;&gt;"SÍ","",IF(OR(AE32="VARILLA EN JUNTAS",AE32="ESCALERILLA"),INT(BS32*100/MAX(DK32,1))*IF(ISNUMBER(AF32),AF32,2)*CB32*INDEX(TABLAS!$E$6:$E$14,MATCH(IF(AG32&lt;&gt;"",AG32,DATOS!$C$73),TABLAS!$B$6:$B$14,0)),IF(AE32="MALLA",IF(ISNUMBER(AF32),AF32,1)*CB32*BS32*INDEX(TABLAS!$E$19:$E$22,MATCH(IF(AG32&lt;&gt;"",AG32,DATOS!$C$74),TABLAS!$B$19:$B$22,0)),0)))</f>
        <v/>
      </c>
      <c r="EU32" s="45" t="str">
        <f>IF(BI32&lt;&gt;"SÍ","",""&amp;IF(BJ32="NO ESTÁ EN PIER_FORCES","sin fuerzas en PIER_FORCES; ","")&amp;IF(BV32&lt;&gt;"CUMPLE","vanos; ","")&amp;IF(LEFT(CH32,2)="NO","espesor o esbeltez; ","")&amp;IF(CQ32&gt;1,"compresión; ","")&amp;IF(CX32&gt;1,"flexión; ","")&amp;IF(CB32&lt;=0,"sin tramos de muro (todos son machones menores que L mín.: diséñalos como columnas o baja L mín.); ",IF(EC32&gt;1,"cortante; ",""))&amp;IF(OR(LEFT(EA32,2)="NO",LEFT(EA32,5)="FALTA"),"refuerzo horizontal; ","")&amp;IF(OR(LEFT(EP32,2)="NO",LEFT(EP32,7)="REVISAR"),"muro sobre viga; ","")&amp;IF(LEFT(DATOS!$C$81,2)="NO","castillo típico; ","")&amp;IF(LEFT(DATOS!$C$82,2)="NO","dala típica; ","")&amp;IF(AND(BT32&lt;&gt;DATOS!$C$58,DATOS!$C$60&lt;BT32),"castillo más angosto que el muro; ",""))</f>
        <v/>
      </c>
      <c r="EV32" s="45" t="str">
        <f>IF(BI32&lt;&gt;"SÍ","",""&amp;IF(LEFT(EP32,9)="PENDIENTE","análisis muro–viga (H/L &lt; 0.6); ","")&amp;IF(BR32&gt;50,"V_u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2" s="51" t="str">
        <f>IF(BI32&lt;&gt;"SÍ","",IF(EU32&lt;&gt;"","NO CUMPLE: "&amp;LEFT(EU32,LEN(EU32)-2),IF(EV32&lt;&gt;"","CUMPLE — PENDIENTE: "&amp;LEFT(EV32,LEN(EV32)-2),"CUMPLE")))</f>
        <v/>
      </c>
      <c r="EX32" s="52" t="n"/>
    </row>
    <row r="33" ht="30" customHeight="1">
      <c r="A33" s="38" t="str">
        <f>IF(B33="","",ROW()-10)</f>
        <v/>
      </c>
      <c r="B33" s="28" t="n"/>
      <c r="C33" s="39" t="n"/>
      <c r="D33" s="39" t="n"/>
      <c r="E33" s="39" t="n"/>
      <c r="F33" s="40" t="n"/>
      <c r="G33" s="40" t="n"/>
      <c r="H33" s="41" t="n"/>
      <c r="I33" s="39" t="n"/>
      <c r="J33" s="40" t="n"/>
      <c r="K33" s="40" t="n"/>
      <c r="L33" s="40" t="n"/>
      <c r="M33" s="40" t="n"/>
      <c r="N33" s="39" t="n"/>
      <c r="O33" s="40" t="n"/>
      <c r="P33" s="40" t="n"/>
      <c r="Q33" s="40" t="n"/>
      <c r="R33" s="40" t="n"/>
      <c r="S33" s="39" t="n"/>
      <c r="T33" s="40" t="n"/>
      <c r="U33" s="40" t="n"/>
      <c r="V33" s="40" t="n"/>
      <c r="W33" s="40" t="n"/>
      <c r="X33" s="39" t="n"/>
      <c r="Y33" s="40" t="n"/>
      <c r="Z33" s="40" t="n"/>
      <c r="AA33" s="40" t="n"/>
      <c r="AB33" s="40" t="n"/>
      <c r="AC33" s="41" t="n"/>
      <c r="AD33" s="41" t="n"/>
      <c r="AE33" s="39" t="n"/>
      <c r="AF33" s="41" t="n"/>
      <c r="AG33" s="41" t="n"/>
      <c r="AH33" s="41" t="n"/>
      <c r="AI33" s="39" t="n"/>
      <c r="AJ33" s="39" t="n"/>
      <c r="AK33" s="41" t="n"/>
      <c r="AL33" s="41" t="n"/>
      <c r="AM33" s="40" t="n"/>
      <c r="AN33" s="40" t="n"/>
      <c r="AO33" s="40" t="n"/>
      <c r="AP33" s="40" t="n"/>
      <c r="AQ33" s="40" t="n"/>
      <c r="AR33" s="40" t="n"/>
      <c r="AS33" s="40" t="n"/>
      <c r="AT33" s="40" t="n"/>
      <c r="AU33" s="40" t="n"/>
      <c r="AV33" s="40" t="n"/>
      <c r="AW33" s="40" t="n"/>
      <c r="AX33" s="42" t="str">
        <f>IF(B33="","",C33&amp;"|"&amp;B33)</f>
        <v/>
      </c>
      <c r="AY33" s="43" t="str">
        <f>IF(B33="","",COUNTIFS(PIER_FORCES!$O$9:$O$3008,23,PIER_FORCES!$P$9:$P$3008,1))</f>
        <v/>
      </c>
      <c r="AZ33" s="43" t="str">
        <f>IF(B33="","",COUNTIFS(PIER_FORCES!$O$9:$O$3008,23,PIER_FORCES!$P$9:$P$3008,2))</f>
        <v/>
      </c>
      <c r="BA33" s="44">
        <f>IF(N(AY33)=0,0,SUMPRODUCT(MAX((PIER_FORCES!$O$9:$O$3008=23)*(PIER_FORCES!$P$9:$P$3008=1)*PIER_FORCES!$R$9:$R$3008)))</f>
        <v>0</v>
      </c>
      <c r="BB33" s="44">
        <f>IF(N(AY33)=0,0,SUMPRODUCT(MAX((PIER_FORCES!$O$9:$O$3008=23)*(PIER_FORCES!$P$9:$P$3008=1)*PIER_FORCES!$S$9:$S$3008)))</f>
        <v>0</v>
      </c>
      <c r="BC33" s="44">
        <f>IF(N(AY33)=0,0,-SUMPRODUCT(MAX((PIER_FORCES!$O$9:$O$3008=23)*(PIER_FORCES!$P$9:$P$3008=1)*(-PIER_FORCES!$Q$9:$Q$3008)+(1-(PIER_FORCES!$O$9:$O$3008=23)*(PIER_FORCES!$P$9:$P$3008=1))*(-1E9))))</f>
        <v>0</v>
      </c>
      <c r="BD33" s="44">
        <f>IF(N(AY33)=0,0,SUMPRODUCT(MAX((PIER_FORCES!$O$9:$O$3008=23)*(PIER_FORCES!$P$9:$P$3008=1)*PIER_FORCES!$Q$9:$Q$3008+(1-(PIER_FORCES!$O$9:$O$3008=23)*(PIER_FORCES!$P$9:$P$3008=1))*(-1E9))))</f>
        <v>0</v>
      </c>
      <c r="BE33" s="44">
        <f>IF(N(AZ33)=0,BD33,SUMPRODUCT(MAX((PIER_FORCES!$O$9:$O$3008=23)*(PIER_FORCES!$P$9:$P$3008=2)*PIER_FORCES!$Q$9:$Q$3008+(1-(PIER_FORCES!$O$9:$O$3008=23)*(PIER_FORCES!$P$9:$P$3008=2))*(-1E9))))</f>
        <v>0</v>
      </c>
      <c r="BF33" s="44">
        <f>IF(N(AZ33)=0,0,SUMPRODUCT(MAX((PIER_FORCES!$O$9:$O$3008=23)*(PIER_FORCES!$P$9:$P$3008=2)*PIER_FORCES!$R$9:$R$3008)))</f>
        <v>0</v>
      </c>
      <c r="BG33" s="43">
        <f>IF(N(AY33)=0,0,SUMPRODUCT(MAX((PIER_FORCES!$O$9:$O$3008=23)*(PIER_FORCES!$P$9:$P$3008=1)*(ABS(PIER_FORCES!$R$9:$R$3008-BA33)&lt;0.000001)*PIER_FORCES!$T$9:$T$3008)))</f>
        <v>0</v>
      </c>
      <c r="BH33" s="45" t="str">
        <f>IF(N(BG33)=0,"",INDEX(PIER_FORCES!$D$9:$D$3008,BG33)&amp;" "&amp;INDEX(PIER_FORCES!$F$9:$F$3008,BG33)&amp;" / "&amp;INDEX(PIER_FORCES!$G$9:$G$3008,BG33))</f>
        <v/>
      </c>
      <c r="BI33" s="42" t="str">
        <f>IF(B33="","",IF(AND(C33&lt;&gt;"",OR(D33="X",D33="Y"),ISNUMBER(F33),N(F33)&gt;0),"SÍ","NO"))</f>
        <v/>
      </c>
      <c r="BJ33" s="42" t="str">
        <f>IF(BI33&lt;&gt;"SÍ","",IF(DATOS!$C$108="ETABS (PIER_FORCES)",IF(N(AY33)&gt;0,"ETABS","NO ESTÁ EN PIER_FORCES"),"CAPTURA"))</f>
        <v/>
      </c>
      <c r="BK33" s="46" t="str">
        <f>IF(BI33&lt;&gt;"SÍ","",IF(BJ33="ETABS",BA33,IF(BJ33="CAPTURA",N(AQ33),0)))</f>
        <v/>
      </c>
      <c r="BL33" s="46" t="str">
        <f>IF(BI33&lt;&gt;"SÍ","",IF(BJ33="ETABS",BB33,IF(BJ33="CAPTURA",N(AR33),0)))</f>
        <v/>
      </c>
      <c r="BM33" s="46" t="str">
        <f>IF(BI33&lt;&gt;"SÍ","",IF(BJ33="ETABS",BC33/DATOS!$C$89,IF(BJ33="CAPTURA",N(AS33),0)))</f>
        <v/>
      </c>
      <c r="BN33" s="44" t="str">
        <f>IF(BI33&lt;&gt;"SÍ","",IF(BJ33="ETABS",BC33,IF(BJ33="CAPTURA",IF(ISNUMBER(AU33),AU33,N(AS33)*DATOS!$C$89),0)))</f>
        <v/>
      </c>
      <c r="BO33" s="44" t="str">
        <f>IF(BI33&lt;&gt;"SÍ","",IF(BJ33="ETABS",MAX(BD33,BE33),IF(BJ33="CAPTURA",N(AT33),0)))</f>
        <v/>
      </c>
      <c r="BP33" s="44" t="str">
        <f>IF(BI33&lt;&gt;"SÍ","",IF(BJ33="ETABS",BE33,IF(BJ33="CAPTURA",IF(ISNUMBER(AV33),AV33,N(AT33)),0)))</f>
        <v/>
      </c>
      <c r="BQ33" s="44" t="str">
        <f>IF(BI33&lt;&gt;"SÍ","",IF(BJ33="ETABS",BF33,IF(BJ33="CAPTURA",N(AW33),0)))</f>
        <v/>
      </c>
      <c r="BR33" s="43" t="str">
        <f>IF(BI33&lt;&gt;"SÍ","",IF(BK33&gt;0,100*BQ33/BK33,0))</f>
        <v/>
      </c>
      <c r="BS33" s="44" t="str">
        <f>IF(BI33&lt;&gt;"SÍ","",IF(ISNUMBER(G33),G33,DATOS!$C$57))</f>
        <v/>
      </c>
      <c r="BT33" s="47" t="str">
        <f>IF(BI33&lt;&gt;"SÍ","",IF(ISNUMBER(H33),H33,DATOS!$C$58))</f>
        <v/>
      </c>
      <c r="BU33" s="43" t="str">
        <f>IF(BI33&lt;&gt;"SÍ","",IF(N(K33)&gt;0,1+IF(N(P33)&gt;0,1+IF(N(U33)&gt;0,1+IF(N(Z33)&gt;0,1,0),0),0),0))</f>
        <v/>
      </c>
      <c r="BV33" s="45" t="str">
        <f>IF(BI33&lt;&gt;"SÍ","",IF(AND(OR(BU33&lt;1,AND(N(J33)&gt;=0-0.001,J33+K33&lt;=F33+0.001,N(L33)&gt;=0,N(L33)+N(M33)&lt;=BS33+0.001,N(M33)&gt;0,OR(I33="PUERTA",I33="VENTANA"))),OR(BU33&lt;2,AND(N(O33)&gt;=(J33+K33)-0.001,O33+P33&lt;=F33+0.001,N(Q33)&gt;=0,N(Q33)+N(R33)&lt;=BS33+0.001,N(R33)&gt;0,OR(N33="PUERTA",N33="VENTANA"))),OR(BU33&lt;3,AND(N(T33)&gt;=(O33+P33)-0.001,T33+U33&lt;=F33+0.001,N(V33)&gt;=0,N(V33)+N(W33)&lt;=BS33+0.001,N(W33)&gt;0,OR(S33="PUERTA",S33="VENTANA"))),OR(BU33&lt;4,AND(N(Y33)&gt;=(T33+U33)-0.001,Y33+Z33&lt;=F33+0.001,N(AA33)&gt;=0,N(AA33)+N(AB33)&lt;=BS33+0.001,N(AB33)&gt;0,OR(X33="PUERTA",X33="VENTANA"))),(N(K33)&gt;0)+(N(P33)&gt;0)+(N(U33)&gt;0)+(N(Z33)&gt;0)=BU33),"CUMPLE","REVISAR VANOS: tipo, orden de izquierda a derecha, que quepan en L y en H"))</f>
        <v/>
      </c>
      <c r="BW33" s="44" t="str">
        <f>IF(BI33&lt;&gt;"SÍ","",MAX(0,IF(BU33&gt;=1,N(J33),F33)))</f>
        <v/>
      </c>
      <c r="BX33" s="44" t="str">
        <f>IF(BI33&lt;&gt;"SÍ","",MAX(0,IF(BU33&gt;=2,N(O33)-(N(J33)+N(K33)),IF(BU33=1,F33-(N(J33)+N(K33)),0))))</f>
        <v/>
      </c>
      <c r="BY33" s="44" t="str">
        <f>IF(BI33&lt;&gt;"SÍ","",MAX(0,IF(BU33&gt;=3,N(T33)-(N(O33)+N(P33)),IF(BU33=2,F33-(N(O33)+N(P33)),0))))</f>
        <v/>
      </c>
      <c r="BZ33" s="44" t="str">
        <f>IF(BI33&lt;&gt;"SÍ","",MAX(0,IF(BU33&gt;=4,N(Y33)-(N(T33)+N(U33)),IF(BU33=3,F33-(N(T33)+N(U33)),0))))</f>
        <v/>
      </c>
      <c r="CA33" s="44" t="str">
        <f>IF(BI33&lt;&gt;"SÍ","",MAX(0,IF(BU33=4,F33-(N(Y33)+N(Z33)),0)))</f>
        <v/>
      </c>
      <c r="CB33" s="46" t="str">
        <f>IF(BI33&lt;&gt;"SÍ","",SUMPRODUCT((BW33:CA33&gt;=DATOS!$C$72-0.0001)*BW33:CA33))</f>
        <v/>
      </c>
      <c r="CC33" s="43" t="str">
        <f>IF(BI33&lt;&gt;"SÍ","",SUMPRODUCT(--(BW33:CA33&gt;=DATOS!$C$72-0.0001)))</f>
        <v/>
      </c>
      <c r="CD33" s="44" t="str">
        <f>IF(BI33&lt;&gt;"SÍ","",SUM(BW33:CA33))</f>
        <v/>
      </c>
      <c r="CE33" s="43" t="str">
        <f>IF(BI33&lt;&gt;"SÍ","",BT33*CB33*100)</f>
        <v/>
      </c>
      <c r="CF33" s="43" t="str">
        <f>IF(BI33&lt;&gt;"SÍ","",BT33*CD33*100)</f>
        <v/>
      </c>
      <c r="CG33" s="47" t="str">
        <f>IF(BI33&lt;&gt;"SÍ","",BS33*100/BT33)</f>
        <v/>
      </c>
      <c r="CH33" s="45" t="str">
        <f>IF(BI33&lt;&gt;"SÍ","",IF(AND(OR(DATOS!$C$14="TIPO II",BT33&gt;=12),CG33&lt;=25),"CUMPLE","NO CUMPLE: "&amp;IF(AND(DATOS!$C$14="TIPO I",BT33&lt;12),"t &lt; 12 cm ","")&amp;IF(CG33&gt;25,"H/t &gt; 25","")))</f>
        <v/>
      </c>
      <c r="CI33" s="44" t="str">
        <f>IF(BI33&lt;&gt;"SÍ","",MIN(1.5*BS33,4))</f>
        <v/>
      </c>
      <c r="CJ33" s="43" t="str">
        <f>IF(BI33&lt;&gt;"SÍ","",SUMPRODUCT((BW33:CA33&gt;=2*DATOS!$C$59/100)*INT((BW33:CA33-DATOS!$C$59/100)/CI33-0.000001)*((BW33:CA33-DATOS!$C$59/100)&gt;0)))</f>
        <v/>
      </c>
      <c r="CK33" s="43" t="str">
        <f>IF(BI33&lt;&gt;"SÍ","",SUMPRODUCT((BW33:CA33&gt;0.0001)*1+(BW33:CA33&gt;=2*DATOS!$C$59/100)*1)+CJ33)</f>
        <v/>
      </c>
      <c r="CL33" s="44" t="str">
        <f>IF(BI33&lt;&gt;"SÍ","",IF(ISNUMBER(AC33),AC33,DATOS!$C$61)*INDEX(TABLAS!$D$6:$D$14,MATCH(IF(AD33&lt;&gt;"",AD33,DATOS!$C$62),TABLAS!$B$6:$B$14,0)))</f>
        <v/>
      </c>
      <c r="CM33" s="44" t="str">
        <f>IF(BI33&lt;&gt;"SÍ","",CK33*DATOS!$C$78+IF(CK33&gt;=2,2,CK33)*(CL33-DATOS!$C$78))</f>
        <v/>
      </c>
      <c r="CN33" s="47" t="str">
        <f>IF(BI33&lt;&gt;"SÍ","",MAX(BS33*100/6,40))</f>
        <v/>
      </c>
      <c r="CO33" s="48" t="str">
        <f>IF(BI33&lt;&gt;"SÍ","",IF(CG33&lt;=20,IF(E33="INTERIOR",0.7,0.6),MIN(IF(E33="INTERIOR",0.7,0.6),(1-2/24)*(1-(IF(E33="INTERIOR",0.8,1)*CG33/30)^2))))</f>
        <v/>
      </c>
      <c r="CP33" s="47" t="str">
        <f>IF(BI33&lt;&gt;"SÍ","",DATOS!$C$87*CO33*(DATOS!$C$33*CF33+CM33*DATOS!$C$48)/1000)</f>
        <v/>
      </c>
      <c r="CQ33" s="46" t="str">
        <f>IF(BI33&lt;&gt;"SÍ","",IF(CP33&gt;0,BO33/CP33,99))</f>
        <v/>
      </c>
      <c r="CR33" s="47" t="str">
        <f>IF(BI33&lt;&gt;"SÍ","",MAX(0,F33*100-DATOS!$C$59))</f>
        <v/>
      </c>
      <c r="CS33" s="47" t="str">
        <f>IF(BI33&lt;&gt;"SÍ","",MAX(0,F33*100-DATOS!$C$59/2))</f>
        <v/>
      </c>
      <c r="CT33" s="44" t="str">
        <f>IF(BI33&lt;&gt;"SÍ","",CL33*DATOS!$C$48*CR33/100000)</f>
        <v/>
      </c>
      <c r="CU33" s="44" t="str">
        <f>IF(BI33&lt;&gt;"SÍ","",IF(BN33&lt;0,0.8*CT33*MAX(0,1+BN33/(0.8*CM33*DATOS!$C$48/1000)),IF(BN33&lt;=CP33/3,0.8*CT33+0.3*BN33*CS33/100,(1.5*0.6*CT33+0.15*CP33*CS33/100)*MAX(0,1-BN33/CP33))))</f>
        <v/>
      </c>
      <c r="CV33" s="44" t="str">
        <f>IF(BI33&lt;&gt;"SÍ","",IF(BO33&lt;0,0.8*CT33*MAX(0,1+BO33/(0.8*CM33*DATOS!$C$48/1000)),IF(BO33&lt;=CP33/3,0.8*CT33+0.3*BO33*CS33/100,(1.5*0.6*CT33+0.15*CP33*CS33/100)*MAX(0,1-BO33/CP33))))</f>
        <v/>
      </c>
      <c r="CW33" s="46" t="str">
        <f>IF(BI33&lt;&gt;"SÍ","",MAX(0,MIN(CU33,CV33)))</f>
        <v/>
      </c>
      <c r="CX33" s="49" t="str">
        <f>IF(BI33&lt;&gt;"SÍ","",IF(CW33&gt;0,BL33/CW33,IF(BL33&gt;0,99,0)))</f>
        <v/>
      </c>
      <c r="CY33" s="44" t="str">
        <f>IF(BI33&lt;&gt;"SÍ","",IF(BW33&gt;0,MAX(1,MIN(1.5,1.5-0.625*(BS33/BW33-0.2))),0))</f>
        <v/>
      </c>
      <c r="CZ33" s="44" t="str">
        <f>IF(BI33&lt;&gt;"SÍ","",IF(BX33&gt;0,MAX(1,MIN(1.5,1.5-0.625*(BS33/BX33-0.2))),0))</f>
        <v/>
      </c>
      <c r="DA33" s="44" t="str">
        <f>IF(BI33&lt;&gt;"SÍ","",IF(BY33&gt;0,MAX(1,MIN(1.5,1.5-0.625*(BS33/BY33-0.2))),0))</f>
        <v/>
      </c>
      <c r="DB33" s="44" t="str">
        <f>IF(BI33&lt;&gt;"SÍ","",IF(BZ33&gt;0,MAX(1,MIN(1.5,1.5-0.625*(BS33/BZ33-0.2))),0))</f>
        <v/>
      </c>
      <c r="DC33" s="44" t="str">
        <f>IF(BI33&lt;&gt;"SÍ","",IF(CA33&gt;0,MAX(1,MIN(1.5,1.5-0.625*(BS33/CA33-0.2))),0))</f>
        <v/>
      </c>
      <c r="DD33" s="44" t="str">
        <f>IF(BI33&lt;&gt;"SÍ","",IF(OR(BW33&lt;DATOS!$C$72-0.0001,BM33&lt;0,CB33&lt;=0),0,MIN(DATOS!$C$86*(0.5*DATOS!$C$41*BT33*BW33*100+0.3*BM33*BW33/CB33*1000)*CY33,1.5*DATOS!$C$86*DATOS!$C$41*BT33*BW33*100*CY33)/1000))</f>
        <v/>
      </c>
      <c r="DE33" s="44" t="str">
        <f>IF(BI33&lt;&gt;"SÍ","",IF(OR(BX33&lt;DATOS!$C$72-0.0001,BM33&lt;0,CB33&lt;=0),0,MIN(DATOS!$C$86*(0.5*DATOS!$C$41*BT33*BX33*100+0.3*BM33*BX33/CB33*1000)*CZ33,1.5*DATOS!$C$86*DATOS!$C$41*BT33*BX33*100*CZ33)/1000))</f>
        <v/>
      </c>
      <c r="DF33" s="44" t="str">
        <f>IF(BI33&lt;&gt;"SÍ","",IF(OR(BY33&lt;DATOS!$C$72-0.0001,BM33&lt;0,CB33&lt;=0),0,MIN(DATOS!$C$86*(0.5*DATOS!$C$41*BT33*BY33*100+0.3*BM33*BY33/CB33*1000)*DA33,1.5*DATOS!$C$86*DATOS!$C$41*BT33*BY33*100*DA33)/1000))</f>
        <v/>
      </c>
      <c r="DG33" s="44" t="str">
        <f>IF(BI33&lt;&gt;"SÍ","",IF(OR(BZ33&lt;DATOS!$C$72-0.0001,BM33&lt;0,CB33&lt;=0),0,MIN(DATOS!$C$86*(0.5*DATOS!$C$41*BT33*BZ33*100+0.3*BM33*BZ33/CB33*1000)*DB33,1.5*DATOS!$C$86*DATOS!$C$41*BT33*BZ33*100*DB33)/1000))</f>
        <v/>
      </c>
      <c r="DH33" s="44" t="str">
        <f>IF(BI33&lt;&gt;"SÍ","",IF(OR(CA33&lt;DATOS!$C$72-0.0001,BM33&lt;0,CB33&lt;=0),0,MIN(DATOS!$C$86*(0.5*DATOS!$C$41*BT33*CA33*100+0.3*BM33*CA33/CB33*1000)*DC33,1.5*DATOS!$C$86*DATOS!$C$41*BT33*CA33*100*DC33)/1000))</f>
        <v/>
      </c>
      <c r="DI33" s="46" t="str">
        <f>IF(BI33&lt;&gt;"SÍ","",SUM(DD33:DH33))</f>
        <v/>
      </c>
      <c r="DJ33" s="48" t="str">
        <f>IF(BI33&lt;&gt;"SÍ","",IF(AE33="VARILLA EN JUNTAS",IF(ISNUMBER(AF33),AF33,2)*INDEX(TABLAS!$D$6:$D$14,MATCH(IF(AG33&lt;&gt;"",AG33,DATOS!$C$73),TABLAS!$B$6:$B$14,0)),IF(AE33="MALLA",IF(ISNUMBER(AF33),AF33,1)*INDEX(TABLAS!$D$19:$D$22,MATCH(IF(AG33&lt;&gt;"",AG33,DATOS!$C$74),TABLAS!$B$19:$B$22,0))/100,IF(AE33="ESCALERILLA",IF(ISNUMBER(AF33),AF33,2)*INDEX(TABLAS!$D$6:$D$14,MATCH(IF(AG33&lt;&gt;"",AG33,DATOS!$C$73),TABLAS!$B$6:$B$14,0)),0))))</f>
        <v/>
      </c>
      <c r="DK33" s="47" t="str">
        <f>IF(BI33&lt;&gt;"SÍ","",IF(OR(AE33="VARILLA EN JUNTAS",AE33="ESCALERILLA"),IF(ISNUMBER(AH33),AH33,2)*DATOS!$C$26,IF(AE33="MALLA",1,0)))</f>
        <v/>
      </c>
      <c r="DL33" s="44" t="str">
        <f>IF(BI33&lt;&gt;"SÍ","",IF(DK33&gt;0,DJ33/(DK33*BT33)*MIN(DATOS!$C$50,IF(AE33="MALLA",5000,6000)),0))</f>
        <v/>
      </c>
      <c r="DM33" s="44" t="str">
        <f>IF(BI33&lt;&gt;"SÍ","",IF(AE33="ESCALERILLA",0,MIN(DL33,0.1*DATOS!$C$33*DATOS!$C$24)))</f>
        <v/>
      </c>
      <c r="DN33" s="48" t="str">
        <f>IF(BI33&lt;&gt;"SÍ","",IF(AE33="MALLA",0.5,IF(DATOS!$C$33&lt;=60,0.55,IF(DATOS!$C$33&gt;=90,0.75,0.55+0.2*(DATOS!$C$33-60)/30))))</f>
        <v/>
      </c>
      <c r="DO33" s="48" t="str">
        <f>IF(BI33&lt;&gt;"SÍ","",1-DATOS!$C$91*DM33)</f>
        <v/>
      </c>
      <c r="DP33" s="44" t="str">
        <f>IF(BI33&lt;&gt;"SÍ","",IF(BW33&gt;0,IF(BS33/BW33&lt;=1,1.3,IF(BS33/BW33&gt;=1.5,1,1.3-0.6*(BS33/BW33-1))),0))</f>
        <v/>
      </c>
      <c r="DQ33" s="44" t="str">
        <f>IF(BI33&lt;&gt;"SÍ","",IF(BX33&gt;0,IF(BS33/BX33&lt;=1,1.3,IF(BS33/BX33&gt;=1.5,1,1.3-0.6*(BS33/BX33-1))),0))</f>
        <v/>
      </c>
      <c r="DR33" s="44" t="str">
        <f>IF(BI33&lt;&gt;"SÍ","",IF(BY33&gt;0,IF(BS33/BY33&lt;=1,1.3,IF(BS33/BY33&gt;=1.5,1,1.3-0.6*(BS33/BY33-1))),0))</f>
        <v/>
      </c>
      <c r="DS33" s="44" t="str">
        <f>IF(BI33&lt;&gt;"SÍ","",IF(BZ33&gt;0,IF(BS33/BZ33&lt;=1,1.3,IF(BS33/BZ33&gt;=1.5,1,1.3-0.6*(BS33/BZ33-1))),0))</f>
        <v/>
      </c>
      <c r="DT33" s="44" t="str">
        <f>IF(BI33&lt;&gt;"SÍ","",IF(CA33&gt;0,IF(BS33/CA33&lt;=1,1.3,IF(BS33/CA33&gt;=1.5,1,1.3-0.6*(BS33/CA33-1))),0))</f>
        <v/>
      </c>
      <c r="DU33" s="44" t="str">
        <f>IF(BI33&lt;&gt;"SÍ","",IF(OR(DM33&lt;=0,BW33&lt;DATOS!$C$72-0.0001),0,DATOS!$C$86*MAX(0,IF(BM33&gt;=0,DD33/(DATOS!$C$86*DM33*BT33*BW33*100/1000)*(DP33*DO33-1)+DN33,DO33*DN33))*DM33*BT33*BW33*100/1000))</f>
        <v/>
      </c>
      <c r="DV33" s="44" t="str">
        <f>IF(BI33&lt;&gt;"SÍ","",IF(OR(DM33&lt;=0,BX33&lt;DATOS!$C$72-0.0001),0,DATOS!$C$86*MAX(0,IF(BM33&gt;=0,DE33/(DATOS!$C$86*DM33*BT33*BX33*100/1000)*(DQ33*DO33-1)+DN33,DO33*DN33))*DM33*BT33*BX33*100/1000))</f>
        <v/>
      </c>
      <c r="DW33" s="44" t="str">
        <f>IF(BI33&lt;&gt;"SÍ","",IF(OR(DM33&lt;=0,BY33&lt;DATOS!$C$72-0.0001),0,DATOS!$C$86*MAX(0,IF(BM33&gt;=0,DF33/(DATOS!$C$86*DM33*BT33*BY33*100/1000)*(DR33*DO33-1)+DN33,DO33*DN33))*DM33*BT33*BY33*100/1000))</f>
        <v/>
      </c>
      <c r="DX33" s="44" t="str">
        <f>IF(BI33&lt;&gt;"SÍ","",IF(OR(DM33&lt;=0,BZ33&lt;DATOS!$C$72-0.0001),0,DATOS!$C$86*MAX(0,IF(BM33&gt;=0,DG33/(DATOS!$C$86*DM33*BT33*BZ33*100/1000)*(DS33*DO33-1)+DN33,DO33*DN33))*DM33*BT33*BZ33*100/1000))</f>
        <v/>
      </c>
      <c r="DY33" s="44" t="str">
        <f>IF(BI33&lt;&gt;"SÍ","",IF(OR(DM33&lt;=0,CA33&lt;DATOS!$C$72-0.0001),0,DATOS!$C$86*MAX(0,IF(BM33&gt;=0,DH33/(DATOS!$C$86*DM33*BT33*CA33*100/1000)*(DT33*DO33-1)+DN33,DO33*DN33))*DM33*BT33*CA33*100/1000))</f>
        <v/>
      </c>
      <c r="DZ33" s="46" t="str">
        <f>IF(BI33&lt;&gt;"SÍ","",SUM(DU33:DY33))</f>
        <v/>
      </c>
      <c r="EA33" s="45" t="str">
        <f>IF(BI33&lt;&gt;"SÍ","",IF(OR(AE33="",AE33="NINGUNO"),IF(DATOS!$C$41&gt;=10,"FALTA refuerzo horizontal: v'm ≥ 10 kg/cm² (6.5.2.2)",IF(AND(BM33&lt;0,BK33&gt;0),"FALTA: P en tensión, el refuerzo debe tomar todo el cortante (6.5.1.3)","—")),IF(AE33="ESCALERILLA","NO CUENTA: la escalerilla no se permite para cortante por sismo (6.5.3.1.2)",IF(AE33="MALLA",IF(AND(DL33&gt;=2.5,DL33&lt;=MAX(0.15*DATOS!$C$33*DATOS!$C$24,2.5)),"CUMPLE","NO CUMPLE: "&amp;IF(DL33&lt;2.5,"p_h·f_yh &lt; 2.5 (6.5.4.2.4)","p_h·f_yh &gt; 0.15·f'm·f_an (6.5.4.2.4)")),IF(AND(DK33&lt;=MIN(6*DATOS!$C$26,45),DL33&gt;=3,DL33&lt;=MIN(MAX(0.15*DATOS!$C$33*DATOS!$C$24,3),0.05*DATOS!$C$25/10*MIN(DATOS!$C$50,6000)/DK33),INDEX(TABLAS!$C$6:$C$14,MATCH(IF(AG33&lt;&gt;"",AG33,DATOS!$C$73),TABLAS!$B$6:$B$14,0))&gt;=0.35,INDEX(TABLAS!$C$6:$C$14,MATCH(IF(AG33&lt;&gt;"",AG33,DATOS!$C$73),TABLAS!$B$6:$B$14,0))&lt;=0.75*DATOS!$C$25/10),"CUMPLE","NO CUMPLE: "&amp;IF(DK33&gt;MIN(6*DATOS!$C$26,45),"s_h &gt; 6 hiladas o 45 cm (6.5.3.2.1) ","")&amp;IF(DL33&lt;3,"p_h·f_yh &lt; 3 (6.5.3.3.1) ","")&amp;IF(DL33&gt;MIN(MAX(0.15*DATOS!$C$33*DATOS!$C$24,3),0.05*DATOS!$C$25/10*MIN(DATOS!$C$50,6000)/DK33),"p_h·f_yh &gt; máximo (6.5.3.3.2) ","")&amp;IF(OR(INDEX(TABLAS!$C$6:$C$14,MATCH(IF(AG33&lt;&gt;"",AG33,DATOS!$C$73),TABLAS!$B$6:$B$14,0))&lt;0.35,INDEX(TABLAS!$C$6:$C$14,MATCH(IF(AG33&lt;&gt;"",AG33,DATOS!$C$73),TABLAS!$B$6:$B$14,0))&gt;0.75*DATOS!$C$25/10),"diámetro fuera de 3.5 mm a 0.75·h_j (4.2.2.2.1)",""))))))</f>
        <v/>
      </c>
      <c r="EB33" s="46" t="str">
        <f>IF(BI33&lt;&gt;"SÍ","",DI33+DZ33)</f>
        <v/>
      </c>
      <c r="EC33" s="50" t="str">
        <f>IF(BI33&lt;&gt;"SÍ","",IF(EB33&gt;0,BK33/EB33,IF(BK33&gt;0,99,0)))</f>
        <v/>
      </c>
      <c r="ED33" s="47" t="str">
        <f>IF(BI33&lt;&gt;"SÍ","",IF(CE33&lt;=0,-1,IF(BK33&lt;=DI33,0,IF(IF(BM33&gt;=0,IF((DATOS!$C$86*IF(AE33="MALLA",0.5,IF(DATOS!$C$33&lt;=60,0.55,IF(DATOS!$C$33&gt;=90,0.75,0.55+0.2*(DATOS!$C$33-60)/30)))*CE33/1000-DATOS!$C$91*SUMPRODUCT(DP33:DT33,DD33:DH33))&lt;=0,1E9,(BK33-SUMPRODUCT(DP33:DT33,DD33:DH33))/(DATOS!$C$86*IF(AE33="MALLA",0.5,IF(DATOS!$C$33&lt;=60,0.55,IF(DATOS!$C$33&gt;=90,0.75,0.55+0.2*(DATOS!$C$33-60)/30)))*CE33/1000-DATOS!$C$91*SUMPRODUCT(DP33:DT33,DD33:DH33))),IF((1-4*DATOS!$C$91*BK33*1000/(DATOS!$C$86*IF(AE33="MALLA",0.5,IF(DATOS!$C$33&lt;=60,0.55,IF(DATOS!$C$33&gt;=90,0.75,0.55+0.2*(DATOS!$C$33-60)/30)))*MAX(CE33,1)))&lt;0,1E9,(1-SQRT((1-4*DATOS!$C$91*BK33*1000/(DATOS!$C$86*IF(AE33="MALLA",0.5,IF(DATOS!$C$33&lt;=60,0.55,IF(DATOS!$C$33&gt;=90,0.75,0.55+0.2*(DATOS!$C$33-60)/30)))*MAX(CE33,1)))))/(2*DATOS!$C$91)))&gt;0.1*DATOS!$C$33*DATOS!$C$24+0.000001,-1,MAX(IF(AE33="MALLA",2.5,3),IF(BM33&gt;=0,IF((DATOS!$C$86*IF(AE33="MALLA",0.5,IF(DATOS!$C$33&lt;=60,0.55,IF(DATOS!$C$33&gt;=90,0.75,0.55+0.2*(DATOS!$C$33-60)/30)))*CE33/1000-DATOS!$C$91*SUMPRODUCT(DP33:DT33,DD33:DH33))&lt;=0,1E9,(BK33-SUMPRODUCT(DP33:DT33,DD33:DH33))/(DATOS!$C$86*IF(AE33="MALLA",0.5,IF(DATOS!$C$33&lt;=60,0.55,IF(DATOS!$C$33&gt;=90,0.75,0.55+0.2*(DATOS!$C$33-60)/30)))*CE33/1000-DATOS!$C$91*SUMPRODUCT(DP33:DT33,DD33:DH33))),IF((1-4*DATOS!$C$91*BK33*1000/(DATOS!$C$86*IF(AE33="MALLA",0.5,IF(DATOS!$C$33&lt;=60,0.55,IF(DATOS!$C$33&gt;=90,0.75,0.55+0.2*(DATOS!$C$33-60)/30)))*MAX(CE33,1)))&lt;0,1E9,(1-SQRT((1-4*DATOS!$C$91*BK33*1000/(DATOS!$C$86*IF(AE33="MALLA",0.5,IF(DATOS!$C$33&lt;=60,0.55,IF(DATOS!$C$33&gt;=90,0.75,0.55+0.2*(DATOS!$C$33-60)/30)))*MAX(CE33,1)))))/(2*DATOS!$C$91))))))))</f>
        <v/>
      </c>
      <c r="EE33" s="45" t="str">
        <f>IF(BI33&lt;&gt;"SÍ","",IF(ED33=0,"NO REQUIERE: V_mR ≥ V_u",IF(ED33&lt;0,"NO ALCANZA con refuerzo horizontal (haría falta más de 0.1·f'm·f_an efectivo): sube v'm con ensayes, el espesor o la longitud del muro",IF(AND(OR(AE33="VARILLA EN JUNTAS",AE33="MALLA"),LEFT(EA33,6)="CUMPLE",EC33&lt;=1),"YA LO TIENE (pide p_h·f_yh ≥ "&amp;TEXT(ED33,"0.0")&amp;" kg/cm²)","p_h·f_yh ≥ "&amp;TEXT(ED33,"0.0")&amp;" kg/cm² → "&amp;IF(AND(MIN(6,FLOOR(45/DATOS!$C$26,1),FLOOR((2*INDEX(TABLAS!$D$6:$D$14,MATCH("3/16 in",TABLAS!$B$6:$B$14,0)))*MIN(DATOS!$C$50,6000)/(BT33*DATOS!$C$26*MAX(ED33,0.001)),1))&gt;=1,((2*INDEX(TABLAS!$D$6:$D$14,MATCH("3/16 in",TABLAS!$B$6:$B$14,0)))*MIN(DATOS!$C$50,6000)/(MAX(MIN(6,FLOOR(45/DATOS!$C$26,1),FLOOR((2*INDEX(TABLAS!$D$6:$D$14,MATCH("3/16 in",TABLAS!$B$6:$B$14,0)))*MIN(DATOS!$C$50,6000)/(BT33*DATOS!$C$26*MAX(ED33,0.001)),1)),1)*DATOS!$C$26*BT33))&lt;=MIN(MAX(0.15*DATOS!$C$33*DATOS!$C$24,3),0.05*DATOS!$C$25/10*MIN(DATOS!$C$50,6000)/(MIN(6,FLOOR(45/DATOS!$C$26,1),FLOOR((2*INDEX(TABLAS!$D$6:$D$14,MATCH("3/16 in",TABLAS!$B$6:$B$14,0)))*MIN(DATOS!$C$50,6000)/(BT33*DATOS!$C$26*MAX(ED33,0.001)),1))*DATOS!$C$26))),"2 alambres de 3/16"" por junta cada "&amp;MIN(6,FLOOR(45/DATOS!$C$26,1),FLOOR((2*INDEX(TABLAS!$D$6:$D$14,MATCH("3/16 in",TABLAS!$B$6:$B$14,0)))*MIN(DATOS!$C$50,6000)/(BT33*DATOS!$C$26*MAX(ED33,0.001)),1))&amp;" hilada(s) (p_h·f_yh = "&amp;TEXT(((2*INDEX(TABLAS!$D$6:$D$14,MATCH("3/16 in",TABLAS!$B$6:$B$14,0)))*MIN(DATOS!$C$50,6000)/(MAX(MIN(6,FLOOR(45/DATOS!$C$26,1),FLOOR((2*INDEX(TABLAS!$D$6:$D$14,MATCH("3/16 in",TABLAS!$B$6:$B$14,0)))*MIN(DATOS!$C$50,6000)/(BT33*DATOS!$C$26*MAX(ED33,0.001)),1)),1)*DATOS!$C$26*BT33)),"0.00")&amp;")",IF(AND(MIN(6,FLOOR(45/DATOS!$C$26,1),FLOOR((2*INDEX(TABLAS!$D$6:$D$14,MATCH("5/32 in",TABLAS!$B$6:$B$14,0)))*MIN(DATOS!$C$50,6000)/(BT33*DATOS!$C$26*MAX(ED33,0.001)),1))&gt;=1,((2*INDEX(TABLAS!$D$6:$D$14,MATCH("5/32 in",TABLAS!$B$6:$B$14,0)))*MIN(DATOS!$C$50,6000)/(MAX(MIN(6,FLOOR(45/DATOS!$C$26,1),FLOOR((2*INDEX(TABLAS!$D$6:$D$14,MATCH("5/32 in",TABLAS!$B$6:$B$14,0)))*MIN(DATOS!$C$50,6000)/(BT33*DATOS!$C$26*MAX(ED33,0.001)),1)),1)*DATOS!$C$26*BT33))&lt;=MIN(MAX(0.15*DATOS!$C$33*DATOS!$C$24,3),0.05*DATOS!$C$25/10*MIN(DATOS!$C$50,6000)/(MIN(6,FLOOR(45/DATOS!$C$26,1),FLOOR((2*INDEX(TABLAS!$D$6:$D$14,MATCH("5/32 in",TABLAS!$B$6:$B$14,0)))*MIN(DATOS!$C$50,6000)/(BT33*DATOS!$C$26*MAX(ED33,0.001)),1))*DATOS!$C$26))),"2 alambres de 5/32"" por junta cada "&amp;MIN(6,FLOOR(45/DATOS!$C$26,1),FLOOR((2*INDEX(TABLAS!$D$6:$D$14,MATCH("5/32 in",TABLAS!$B$6:$B$14,0)))*MIN(DATOS!$C$50,6000)/(BT33*DATOS!$C$26*MAX(ED33,0.001)),1))&amp;" hilada(s) (p_h·f_yh = "&amp;TEXT(((2*INDEX(TABLAS!$D$6:$D$14,MATCH("5/32 in",TABLAS!$B$6:$B$14,0)))*MIN(DATOS!$C$50,6000)/(MAX(MIN(6,FLOOR(45/DATOS!$C$26,1),FLOOR((2*INDEX(TABLAS!$D$6:$D$14,MATCH("5/32 in",TABLAS!$B$6:$B$14,0)))*MIN(DATOS!$C$50,6000)/(BT33*DATOS!$C$26*MAX(ED33,0.001)),1)),1)*DATOS!$C$26*BT33)),"0.00")&amp;")",IF(AND(MIN(6,FLOOR(45/DATOS!$C$26,1),FLOOR((1*INDEX(TABLAS!$D$6:$D$14,MATCH("3/16 in",TABLAS!$B$6:$B$14,0)))*MIN(DATOS!$C$50,6000)/(BT33*DATOS!$C$26*MAX(ED33,0.001)),1))&gt;=1,((1*INDEX(TABLAS!$D$6:$D$14,MATCH("3/16 in",TABLAS!$B$6:$B$14,0)))*MIN(DATOS!$C$50,6000)/(MAX(MIN(6,FLOOR(45/DATOS!$C$26,1),FLOOR((1*INDEX(TABLAS!$D$6:$D$14,MATCH("3/16 in",TABLAS!$B$6:$B$14,0)))*MIN(DATOS!$C$50,6000)/(BT33*DATOS!$C$26*MAX(ED33,0.001)),1)),1)*DATOS!$C$26*BT33))&lt;=MIN(MAX(0.15*DATOS!$C$33*DATOS!$C$24,3),0.05*DATOS!$C$25/10*MIN(DATOS!$C$50,6000)/(MIN(6,FLOOR(45/DATOS!$C$26,1),FLOOR((1*INDEX(TABLAS!$D$6:$D$14,MATCH("3/16 in",TABLAS!$B$6:$B$14,0)))*MIN(DATOS!$C$50,6000)/(BT33*DATOS!$C$26*MAX(ED33,0.001)),1))*DATOS!$C$26))),"1 alambre de 3/16"" por junta cada "&amp;MIN(6,FLOOR(45/DATOS!$C$26,1),FLOOR((1*INDEX(TABLAS!$D$6:$D$14,MATCH("3/16 in",TABLAS!$B$6:$B$14,0)))*MIN(DATOS!$C$50,6000)/(BT33*DATOS!$C$26*MAX(ED33,0.001)),1))&amp;" hilada(s) (p_h·f_yh = "&amp;TEXT(((1*INDEX(TABLAS!$D$6:$D$14,MATCH("3/16 in",TABLAS!$B$6:$B$14,0)))*MIN(DATOS!$C$50,6000)/(MAX(MIN(6,FLOOR(45/DATOS!$C$26,1),FLOOR((1*INDEX(TABLAS!$D$6:$D$14,MATCH("3/16 in",TABLAS!$B$6:$B$14,0)))*MIN(DATOS!$C$50,6000)/(BT33*DATOS!$C$26*MAX(ED33,0.001)),1)),1)*DATOS!$C$26*BT33)),"0.00")&amp;")",IF(AND(MIN(6,FLOOR(45/DATOS!$C$26,1),FLOOR((1*INDEX(TABLAS!$D$6:$D$14,MATCH("5/32 in",TABLAS!$B$6:$B$14,0)))*MIN(DATOS!$C$50,6000)/(BT33*DATOS!$C$26*MAX(ED33,0.001)),1))&gt;=1,((1*INDEX(TABLAS!$D$6:$D$14,MATCH("5/32 in",TABLAS!$B$6:$B$14,0)))*MIN(DATOS!$C$50,6000)/(MAX(MIN(6,FLOOR(45/DATOS!$C$26,1),FLOOR((1*INDEX(TABLAS!$D$6:$D$14,MATCH("5/32 in",TABLAS!$B$6:$B$14,0)))*MIN(DATOS!$C$50,6000)/(BT33*DATOS!$C$26*MAX(ED33,0.001)),1)),1)*DATOS!$C$26*BT33))&lt;=MIN(MAX(0.15*DATOS!$C$33*DATOS!$C$24,3),0.05*DATOS!$C$25/10*MIN(DATOS!$C$50,6000)/(MIN(6,FLOOR(45/DATOS!$C$26,1),FLOOR((1*INDEX(TABLAS!$D$6:$D$14,MATCH("5/32 in",TABLAS!$B$6:$B$14,0)))*MIN(DATOS!$C$50,6000)/(BT33*DATOS!$C$26*MAX(ED33,0.001)),1))*DATOS!$C$26))),"1 alambre de 5/32"" por junta cada "&amp;MIN(6,FLOOR(45/DATOS!$C$26,1),FLOOR((1*INDEX(TABLAS!$D$6:$D$14,MATCH("5/32 in",TABLAS!$B$6:$B$14,0)))*MIN(DATOS!$C$50,6000)/(BT33*DATOS!$C$26*MAX(ED33,0.001)),1))&amp;" hilada(s) (p_h·f_yh = "&amp;TEXT(((1*INDEX(TABLAS!$D$6:$D$14,MATCH("5/32 in",TABLAS!$B$6:$B$14,0)))*MIN(DATOS!$C$50,6000)/(MAX(MIN(6,FLOOR(45/DATOS!$C$26,1),FLOOR((1*INDEX(TABLAS!$D$6:$D$14,MATCH("5/32 in",TABLAS!$B$6:$B$14,0)))*MIN(DATOS!$C$50,6000)/(BT33*DATOS!$C$26*MAX(ED33,0.001)),1)),1)*DATOS!$C$26*BT33)),"0.00")&amp;")","ninguna combinación de 1 o 2 alambres por junta queda entre el mínimo y el máximo: revisa con malla (6.5.4)"))))))))</f>
        <v/>
      </c>
      <c r="EF33" s="43" t="str">
        <f>IF(BI33&lt;&gt;"SÍ","",IF(AI33="SÍ",N(AK33)*N(AL33)^3/12,0))</f>
        <v/>
      </c>
      <c r="EG33" s="48" t="str">
        <f>IF(BI33&lt;&gt;"SÍ","",IF(AND(AI33="SÍ",N(AM33)&gt;0),MIN(1,F33/AM33),0))</f>
        <v/>
      </c>
      <c r="EH33" s="47" t="str">
        <f>IF(BI33&lt;&gt;"SÍ","",IF(AI33="SÍ",BP33*1000/(BT33*F33*100)*BT33*(EG33^4-4*EG33^3+8*EG33),0))</f>
        <v/>
      </c>
      <c r="EI33" s="48" t="str">
        <f>IF(BI33&lt;&gt;"SÍ","",IF(AND(AI33="SÍ",EH33&gt;0),EH33/(EH33+5*N(AN33)*10),0))</f>
        <v/>
      </c>
      <c r="EJ33" s="44" t="str">
        <f>IF(BI33&lt;&gt;"SÍ","",IF(AND(AI33="SÍ",EI33&gt;0,EF33&gt;0),(DATOS!$C$43*BT33*(AM33*100)^3/(DATOS!$C$53*EF33*EI33))^0.25,0))</f>
        <v/>
      </c>
      <c r="EK33" s="44" t="str">
        <f>IF(BI33&lt;&gt;"SÍ","",IF(AI33&lt;&gt;"SÍ",0,IF(N(AM33)&lt;=F33,1,IF(MIN(1,N(AO33)/((AM33-F33)/2))&lt;=0.5,0.7+0.6*MIN(1,N(AO33)/((AM33-F33)/2)),1.5-MIN(1,N(AO33)/((AM33-F33)/2))))))</f>
        <v/>
      </c>
      <c r="EL33" s="44" t="str">
        <f>IF(BI33&lt;&gt;"SÍ","",IF(AI33&lt;&gt;"SÍ",0,MAX(1,IF(EG33&gt;=1,(1.6*EJ33-3.9),IF(EG33&lt;0.9,((3.2*EJ33-7.8)*EK33),((3.2*EJ33-7.8)*EK33)+((1.6*EJ33-3.9)-((3.2*EJ33-7.8)*EK33))*(EG33-0.9)/0.1)))))</f>
        <v/>
      </c>
      <c r="EM33" s="47" t="str">
        <f>IF(BI33&lt;&gt;"SÍ","",IF(AI33="SÍ",EL33*BP33*1000/(BT33*F33*100),0))</f>
        <v/>
      </c>
      <c r="EN33" s="47" t="str">
        <f>IF(BI33&lt;&gt;"SÍ","",IF(AND(AI33="SÍ",N(AL33)&gt;0),AM33*100/AL33,0))</f>
        <v/>
      </c>
      <c r="EO33" s="47" t="str">
        <f>IF(BI33&lt;&gt;"SÍ","",IF(AI33="SÍ",(1/15*DATOS!$C$53*N(AK33)/MAX((IF(ISNUMBER(AP33),AP33,BP33/DATOS!$C$90)*1000/(BT33*F33*100)*BT33*(EG33^4-4*EG33^3+8*EG33))+5*N(AN33)/DATOS!$C$90*10,0.001))^(1/3),0))</f>
        <v/>
      </c>
      <c r="EP33" s="45" t="str">
        <f>IF(BI33&lt;&gt;"SÍ","",IF(AI33&lt;&gt;"SÍ","—",IF(OR(N(AK33)&lt;=0,N(AL33)&lt;=0,N(AM33)&lt;=0),"REVISAR: faltan b, h o L_v de la viga",IF(AND(EM33&lt;=DATOS!$C$87*DATOS!$C$33,EN33&lt;=14,N(AL33)&gt;=25,EN33&lt;=EO33),IF(BS33/F33&lt;0.6,"PENDIENTE: H/L &lt; 0.6, falta el análisis de interacción muro–viga (4.1.18.2.1); f_CM es estimado","CUMPLE"),"NO CUMPLE: "&amp;IF(EM33&gt;DATOS!$C$87*DATOS!$C$33,"f_CM &gt; F_R·f'm ","")&amp;IF(EN33&gt;14,"L_v/h_v &gt; 14 ","")&amp;IF(N(AL33)&lt;25,"h_v &lt; 25 cm ","")&amp;IF(EN33&gt;EO33,"flecha (4.1.18.3)","")))))</f>
        <v/>
      </c>
      <c r="EQ33" s="44" t="str">
        <f>IF(BI33&lt;&gt;"SÍ","",MAX(0,F33*BS33-(N(K33)*N(M33)+N(P33)*N(R33)+N(U33)*N(W33)+N(Z33)*N(AB33))-CK33*DATOS!$C$59/100*BS33))</f>
        <v/>
      </c>
      <c r="ER33" s="48" t="str">
        <f>IF(BI33&lt;&gt;"SÍ","",CK33*DATOS!$C$59*DATOS!$C$60/10000*BS33)</f>
        <v/>
      </c>
      <c r="ES33" s="47" t="str">
        <f>IF(BI33&lt;&gt;"SÍ","",CK33*(DATOS!$C$61*(BS33+0.6)*INDEX(TABLAS!$E$6:$E$14,MATCH(DATOS!$C$62,TABLAS!$B$6:$B$14,0))+(2*ROUNDUP(CN33/DATOS!$C$65,0)+ROUNDUP(MAX(0,BS33*100-2*CN33)/DATOS!$C$64,0))*((2*(DATOS!$C$60+DATOS!$C$59-4*(DATOS!$C$66-INDEX(TABLAS!$C$6:$C$14,MATCH(DATOS!$C$63,TABLAS!$B$6:$B$14,0))))+15)/100)*INDEX(TABLAS!$E$6:$E$14,MATCH(DATOS!$C$63,TABLAS!$B$6:$B$14,0))))</f>
        <v/>
      </c>
      <c r="ET33" s="47" t="str">
        <f>IF(BI33&lt;&gt;"SÍ","",IF(OR(AE33="VARILLA EN JUNTAS",AE33="ESCALERILLA"),INT(BS33*100/MAX(DK33,1))*IF(ISNUMBER(AF33),AF33,2)*CB33*INDEX(TABLAS!$E$6:$E$14,MATCH(IF(AG33&lt;&gt;"",AG33,DATOS!$C$73),TABLAS!$B$6:$B$14,0)),IF(AE33="MALLA",IF(ISNUMBER(AF33),AF33,1)*CB33*BS33*INDEX(TABLAS!$E$19:$E$22,MATCH(IF(AG33&lt;&gt;"",AG33,DATOS!$C$74),TABLAS!$B$19:$B$22,0)),0)))</f>
        <v/>
      </c>
      <c r="EU33" s="45" t="str">
        <f>IF(BI33&lt;&gt;"SÍ","",""&amp;IF(BJ33="NO ESTÁ EN PIER_FORCES","sin fuerzas en PIER_FORCES; ","")&amp;IF(BV33&lt;&gt;"CUMPLE","vanos; ","")&amp;IF(LEFT(CH33,2)="NO","espesor o esbeltez; ","")&amp;IF(CQ33&gt;1,"compresión; ","")&amp;IF(CX33&gt;1,"flexión; ","")&amp;IF(CB33&lt;=0,"sin tramos de muro (todos son machones menores que L mín.: diséñalos como columnas o baja L mín.); ",IF(EC33&gt;1,"cortante; ",""))&amp;IF(OR(LEFT(EA33,2)="NO",LEFT(EA33,5)="FALTA"),"refuerzo horizontal; ","")&amp;IF(OR(LEFT(EP33,2)="NO",LEFT(EP33,7)="REVISAR"),"muro sobre viga; ","")&amp;IF(LEFT(DATOS!$C$81,2)="NO","castillo típico; ","")&amp;IF(LEFT(DATOS!$C$82,2)="NO","dala típica; ","")&amp;IF(AND(BT33&lt;&gt;DATOS!$C$58,DATOS!$C$60&lt;BT33),"castillo más angosto que el muro; ",""))</f>
        <v/>
      </c>
      <c r="EV33" s="45" t="str">
        <f>IF(BI33&lt;&gt;"SÍ","",""&amp;IF(LEFT(EP33,9)="PENDIENTE","análisis muro–viga (H/L &lt; 0.6); ","")&amp;IF(BR33&gt;50,"V_u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3" s="51" t="str">
        <f>IF(BI33&lt;&gt;"SÍ","",IF(EU33&lt;&gt;"","NO CUMPLE: "&amp;LEFT(EU33,LEN(EU33)-2),IF(EV33&lt;&gt;"","CUMPLE — PENDIENTE: "&amp;LEFT(EV33,LEN(EV33)-2),"CUMPLE")))</f>
        <v/>
      </c>
      <c r="EX33" s="52" t="n"/>
    </row>
    <row r="34" ht="30" customHeight="1">
      <c r="A34" s="38" t="str">
        <f>IF(B34="","",ROW()-10)</f>
        <v/>
      </c>
      <c r="B34" s="28" t="n"/>
      <c r="C34" s="39" t="n"/>
      <c r="D34" s="39" t="n"/>
      <c r="E34" s="39" t="n"/>
      <c r="F34" s="40" t="n"/>
      <c r="G34" s="40" t="n"/>
      <c r="H34" s="41" t="n"/>
      <c r="I34" s="39" t="n"/>
      <c r="J34" s="40" t="n"/>
      <c r="K34" s="40" t="n"/>
      <c r="L34" s="40" t="n"/>
      <c r="M34" s="40" t="n"/>
      <c r="N34" s="39" t="n"/>
      <c r="O34" s="40" t="n"/>
      <c r="P34" s="40" t="n"/>
      <c r="Q34" s="40" t="n"/>
      <c r="R34" s="40" t="n"/>
      <c r="S34" s="39" t="n"/>
      <c r="T34" s="40" t="n"/>
      <c r="U34" s="40" t="n"/>
      <c r="V34" s="40" t="n"/>
      <c r="W34" s="40" t="n"/>
      <c r="X34" s="39" t="n"/>
      <c r="Y34" s="40" t="n"/>
      <c r="Z34" s="40" t="n"/>
      <c r="AA34" s="40" t="n"/>
      <c r="AB34" s="40" t="n"/>
      <c r="AC34" s="41" t="n"/>
      <c r="AD34" s="41" t="n"/>
      <c r="AE34" s="39" t="n"/>
      <c r="AF34" s="41" t="n"/>
      <c r="AG34" s="41" t="n"/>
      <c r="AH34" s="41" t="n"/>
      <c r="AI34" s="39" t="n"/>
      <c r="AJ34" s="39" t="n"/>
      <c r="AK34" s="41" t="n"/>
      <c r="AL34" s="41" t="n"/>
      <c r="AM34" s="40" t="n"/>
      <c r="AN34" s="40" t="n"/>
      <c r="AO34" s="40" t="n"/>
      <c r="AP34" s="40" t="n"/>
      <c r="AQ34" s="40" t="n"/>
      <c r="AR34" s="40" t="n"/>
      <c r="AS34" s="40" t="n"/>
      <c r="AT34" s="40" t="n"/>
      <c r="AU34" s="40" t="n"/>
      <c r="AV34" s="40" t="n"/>
      <c r="AW34" s="40" t="n"/>
      <c r="AX34" s="42" t="str">
        <f>IF(B34="","",C34&amp;"|"&amp;B34)</f>
        <v/>
      </c>
      <c r="AY34" s="43" t="str">
        <f>IF(B34="","",COUNTIFS(PIER_FORCES!$O$9:$O$3008,24,PIER_FORCES!$P$9:$P$3008,1))</f>
        <v/>
      </c>
      <c r="AZ34" s="43" t="str">
        <f>IF(B34="","",COUNTIFS(PIER_FORCES!$O$9:$O$3008,24,PIER_FORCES!$P$9:$P$3008,2))</f>
        <v/>
      </c>
      <c r="BA34" s="44">
        <f>IF(N(AY34)=0,0,SUMPRODUCT(MAX((PIER_FORCES!$O$9:$O$3008=24)*(PIER_FORCES!$P$9:$P$3008=1)*PIER_FORCES!$R$9:$R$3008)))</f>
        <v>0</v>
      </c>
      <c r="BB34" s="44">
        <f>IF(N(AY34)=0,0,SUMPRODUCT(MAX((PIER_FORCES!$O$9:$O$3008=24)*(PIER_FORCES!$P$9:$P$3008=1)*PIER_FORCES!$S$9:$S$3008)))</f>
        <v>0</v>
      </c>
      <c r="BC34" s="44">
        <f>IF(N(AY34)=0,0,-SUMPRODUCT(MAX((PIER_FORCES!$O$9:$O$3008=24)*(PIER_FORCES!$P$9:$P$3008=1)*(-PIER_FORCES!$Q$9:$Q$3008)+(1-(PIER_FORCES!$O$9:$O$3008=24)*(PIER_FORCES!$P$9:$P$3008=1))*(-1E9))))</f>
        <v>0</v>
      </c>
      <c r="BD34" s="44">
        <f>IF(N(AY34)=0,0,SUMPRODUCT(MAX((PIER_FORCES!$O$9:$O$3008=24)*(PIER_FORCES!$P$9:$P$3008=1)*PIER_FORCES!$Q$9:$Q$3008+(1-(PIER_FORCES!$O$9:$O$3008=24)*(PIER_FORCES!$P$9:$P$3008=1))*(-1E9))))</f>
        <v>0</v>
      </c>
      <c r="BE34" s="44">
        <f>IF(N(AZ34)=0,BD34,SUMPRODUCT(MAX((PIER_FORCES!$O$9:$O$3008=24)*(PIER_FORCES!$P$9:$P$3008=2)*PIER_FORCES!$Q$9:$Q$3008+(1-(PIER_FORCES!$O$9:$O$3008=24)*(PIER_FORCES!$P$9:$P$3008=2))*(-1E9))))</f>
        <v>0</v>
      </c>
      <c r="BF34" s="44">
        <f>IF(N(AZ34)=0,0,SUMPRODUCT(MAX((PIER_FORCES!$O$9:$O$3008=24)*(PIER_FORCES!$P$9:$P$3008=2)*PIER_FORCES!$R$9:$R$3008)))</f>
        <v>0</v>
      </c>
      <c r="BG34" s="43">
        <f>IF(N(AY34)=0,0,SUMPRODUCT(MAX((PIER_FORCES!$O$9:$O$3008=24)*(PIER_FORCES!$P$9:$P$3008=1)*(ABS(PIER_FORCES!$R$9:$R$3008-BA34)&lt;0.000001)*PIER_FORCES!$T$9:$T$3008)))</f>
        <v>0</v>
      </c>
      <c r="BH34" s="45" t="str">
        <f>IF(N(BG34)=0,"",INDEX(PIER_FORCES!$D$9:$D$3008,BG34)&amp;" "&amp;INDEX(PIER_FORCES!$F$9:$F$3008,BG34)&amp;" / "&amp;INDEX(PIER_FORCES!$G$9:$G$3008,BG34))</f>
        <v/>
      </c>
      <c r="BI34" s="42" t="str">
        <f>IF(B34="","",IF(AND(C34&lt;&gt;"",OR(D34="X",D34="Y"),ISNUMBER(F34),N(F34)&gt;0),"SÍ","NO"))</f>
        <v/>
      </c>
      <c r="BJ34" s="42" t="str">
        <f>IF(BI34&lt;&gt;"SÍ","",IF(DATOS!$C$108="ETABS (PIER_FORCES)",IF(N(AY34)&gt;0,"ETABS","NO ESTÁ EN PIER_FORCES"),"CAPTURA"))</f>
        <v/>
      </c>
      <c r="BK34" s="46" t="str">
        <f>IF(BI34&lt;&gt;"SÍ","",IF(BJ34="ETABS",BA34,IF(BJ34="CAPTURA",N(AQ34),0)))</f>
        <v/>
      </c>
      <c r="BL34" s="46" t="str">
        <f>IF(BI34&lt;&gt;"SÍ","",IF(BJ34="ETABS",BB34,IF(BJ34="CAPTURA",N(AR34),0)))</f>
        <v/>
      </c>
      <c r="BM34" s="46" t="str">
        <f>IF(BI34&lt;&gt;"SÍ","",IF(BJ34="ETABS",BC34/DATOS!$C$89,IF(BJ34="CAPTURA",N(AS34),0)))</f>
        <v/>
      </c>
      <c r="BN34" s="44" t="str">
        <f>IF(BI34&lt;&gt;"SÍ","",IF(BJ34="ETABS",BC34,IF(BJ34="CAPTURA",IF(ISNUMBER(AU34),AU34,N(AS34)*DATOS!$C$89),0)))</f>
        <v/>
      </c>
      <c r="BO34" s="44" t="str">
        <f>IF(BI34&lt;&gt;"SÍ","",IF(BJ34="ETABS",MAX(BD34,BE34),IF(BJ34="CAPTURA",N(AT34),0)))</f>
        <v/>
      </c>
      <c r="BP34" s="44" t="str">
        <f>IF(BI34&lt;&gt;"SÍ","",IF(BJ34="ETABS",BE34,IF(BJ34="CAPTURA",IF(ISNUMBER(AV34),AV34,N(AT34)),0)))</f>
        <v/>
      </c>
      <c r="BQ34" s="44" t="str">
        <f>IF(BI34&lt;&gt;"SÍ","",IF(BJ34="ETABS",BF34,IF(BJ34="CAPTURA",N(AW34),0)))</f>
        <v/>
      </c>
      <c r="BR34" s="43" t="str">
        <f>IF(BI34&lt;&gt;"SÍ","",IF(BK34&gt;0,100*BQ34/BK34,0))</f>
        <v/>
      </c>
      <c r="BS34" s="44" t="str">
        <f>IF(BI34&lt;&gt;"SÍ","",IF(ISNUMBER(G34),G34,DATOS!$C$57))</f>
        <v/>
      </c>
      <c r="BT34" s="47" t="str">
        <f>IF(BI34&lt;&gt;"SÍ","",IF(ISNUMBER(H34),H34,DATOS!$C$58))</f>
        <v/>
      </c>
      <c r="BU34" s="43" t="str">
        <f>IF(BI34&lt;&gt;"SÍ","",IF(N(K34)&gt;0,1+IF(N(P34)&gt;0,1+IF(N(U34)&gt;0,1+IF(N(Z34)&gt;0,1,0),0),0),0))</f>
        <v/>
      </c>
      <c r="BV34" s="45" t="str">
        <f>IF(BI34&lt;&gt;"SÍ","",IF(AND(OR(BU34&lt;1,AND(N(J34)&gt;=0-0.001,J34+K34&lt;=F34+0.001,N(L34)&gt;=0,N(L34)+N(M34)&lt;=BS34+0.001,N(M34)&gt;0,OR(I34="PUERTA",I34="VENTANA"))),OR(BU34&lt;2,AND(N(O34)&gt;=(J34+K34)-0.001,O34+P34&lt;=F34+0.001,N(Q34)&gt;=0,N(Q34)+N(R34)&lt;=BS34+0.001,N(R34)&gt;0,OR(N34="PUERTA",N34="VENTANA"))),OR(BU34&lt;3,AND(N(T34)&gt;=(O34+P34)-0.001,T34+U34&lt;=F34+0.001,N(V34)&gt;=0,N(V34)+N(W34)&lt;=BS34+0.001,N(W34)&gt;0,OR(S34="PUERTA",S34="VENTANA"))),OR(BU34&lt;4,AND(N(Y34)&gt;=(T34+U34)-0.001,Y34+Z34&lt;=F34+0.001,N(AA34)&gt;=0,N(AA34)+N(AB34)&lt;=BS34+0.001,N(AB34)&gt;0,OR(X34="PUERTA",X34="VENTANA"))),(N(K34)&gt;0)+(N(P34)&gt;0)+(N(U34)&gt;0)+(N(Z34)&gt;0)=BU34),"CUMPLE","REVISAR VANOS: tipo, orden de izquierda a derecha, que quepan en L y en H"))</f>
        <v/>
      </c>
      <c r="BW34" s="44" t="str">
        <f>IF(BI34&lt;&gt;"SÍ","",MAX(0,IF(BU34&gt;=1,N(J34),F34)))</f>
        <v/>
      </c>
      <c r="BX34" s="44" t="str">
        <f>IF(BI34&lt;&gt;"SÍ","",MAX(0,IF(BU34&gt;=2,N(O34)-(N(J34)+N(K34)),IF(BU34=1,F34-(N(J34)+N(K34)),0))))</f>
        <v/>
      </c>
      <c r="BY34" s="44" t="str">
        <f>IF(BI34&lt;&gt;"SÍ","",MAX(0,IF(BU34&gt;=3,N(T34)-(N(O34)+N(P34)),IF(BU34=2,F34-(N(O34)+N(P34)),0))))</f>
        <v/>
      </c>
      <c r="BZ34" s="44" t="str">
        <f>IF(BI34&lt;&gt;"SÍ","",MAX(0,IF(BU34&gt;=4,N(Y34)-(N(T34)+N(U34)),IF(BU34=3,F34-(N(T34)+N(U34)),0))))</f>
        <v/>
      </c>
      <c r="CA34" s="44" t="str">
        <f>IF(BI34&lt;&gt;"SÍ","",MAX(0,IF(BU34=4,F34-(N(Y34)+N(Z34)),0)))</f>
        <v/>
      </c>
      <c r="CB34" s="46" t="str">
        <f>IF(BI34&lt;&gt;"SÍ","",SUMPRODUCT((BW34:CA34&gt;=DATOS!$C$72-0.0001)*BW34:CA34))</f>
        <v/>
      </c>
      <c r="CC34" s="43" t="str">
        <f>IF(BI34&lt;&gt;"SÍ","",SUMPRODUCT(--(BW34:CA34&gt;=DATOS!$C$72-0.0001)))</f>
        <v/>
      </c>
      <c r="CD34" s="44" t="str">
        <f>IF(BI34&lt;&gt;"SÍ","",SUM(BW34:CA34))</f>
        <v/>
      </c>
      <c r="CE34" s="43" t="str">
        <f>IF(BI34&lt;&gt;"SÍ","",BT34*CB34*100)</f>
        <v/>
      </c>
      <c r="CF34" s="43" t="str">
        <f>IF(BI34&lt;&gt;"SÍ","",BT34*CD34*100)</f>
        <v/>
      </c>
      <c r="CG34" s="47" t="str">
        <f>IF(BI34&lt;&gt;"SÍ","",BS34*100/BT34)</f>
        <v/>
      </c>
      <c r="CH34" s="45" t="str">
        <f>IF(BI34&lt;&gt;"SÍ","",IF(AND(OR(DATOS!$C$14="TIPO II",BT34&gt;=12),CG34&lt;=25),"CUMPLE","NO CUMPLE: "&amp;IF(AND(DATOS!$C$14="TIPO I",BT34&lt;12),"t &lt; 12 cm ","")&amp;IF(CG34&gt;25,"H/t &gt; 25","")))</f>
        <v/>
      </c>
      <c r="CI34" s="44" t="str">
        <f>IF(BI34&lt;&gt;"SÍ","",MIN(1.5*BS34,4))</f>
        <v/>
      </c>
      <c r="CJ34" s="43" t="str">
        <f>IF(BI34&lt;&gt;"SÍ","",SUMPRODUCT((BW34:CA34&gt;=2*DATOS!$C$59/100)*INT((BW34:CA34-DATOS!$C$59/100)/CI34-0.000001)*((BW34:CA34-DATOS!$C$59/100)&gt;0)))</f>
        <v/>
      </c>
      <c r="CK34" s="43" t="str">
        <f>IF(BI34&lt;&gt;"SÍ","",SUMPRODUCT((BW34:CA34&gt;0.0001)*1+(BW34:CA34&gt;=2*DATOS!$C$59/100)*1)+CJ34)</f>
        <v/>
      </c>
      <c r="CL34" s="44" t="str">
        <f>IF(BI34&lt;&gt;"SÍ","",IF(ISNUMBER(AC34),AC34,DATOS!$C$61)*INDEX(TABLAS!$D$6:$D$14,MATCH(IF(AD34&lt;&gt;"",AD34,DATOS!$C$62),TABLAS!$B$6:$B$14,0)))</f>
        <v/>
      </c>
      <c r="CM34" s="44" t="str">
        <f>IF(BI34&lt;&gt;"SÍ","",CK34*DATOS!$C$78+IF(CK34&gt;=2,2,CK34)*(CL34-DATOS!$C$78))</f>
        <v/>
      </c>
      <c r="CN34" s="47" t="str">
        <f>IF(BI34&lt;&gt;"SÍ","",MAX(BS34*100/6,40))</f>
        <v/>
      </c>
      <c r="CO34" s="48" t="str">
        <f>IF(BI34&lt;&gt;"SÍ","",IF(CG34&lt;=20,IF(E34="INTERIOR",0.7,0.6),MIN(IF(E34="INTERIOR",0.7,0.6),(1-2/24)*(1-(IF(E34="INTERIOR",0.8,1)*CG34/30)^2))))</f>
        <v/>
      </c>
      <c r="CP34" s="47" t="str">
        <f>IF(BI34&lt;&gt;"SÍ","",DATOS!$C$87*CO34*(DATOS!$C$33*CF34+CM34*DATOS!$C$48)/1000)</f>
        <v/>
      </c>
      <c r="CQ34" s="46" t="str">
        <f>IF(BI34&lt;&gt;"SÍ","",IF(CP34&gt;0,BO34/CP34,99))</f>
        <v/>
      </c>
      <c r="CR34" s="47" t="str">
        <f>IF(BI34&lt;&gt;"SÍ","",MAX(0,F34*100-DATOS!$C$59))</f>
        <v/>
      </c>
      <c r="CS34" s="47" t="str">
        <f>IF(BI34&lt;&gt;"SÍ","",MAX(0,F34*100-DATOS!$C$59/2))</f>
        <v/>
      </c>
      <c r="CT34" s="44" t="str">
        <f>IF(BI34&lt;&gt;"SÍ","",CL34*DATOS!$C$48*CR34/100000)</f>
        <v/>
      </c>
      <c r="CU34" s="44" t="str">
        <f>IF(BI34&lt;&gt;"SÍ","",IF(BN34&lt;0,0.8*CT34*MAX(0,1+BN34/(0.8*CM34*DATOS!$C$48/1000)),IF(BN34&lt;=CP34/3,0.8*CT34+0.3*BN34*CS34/100,(1.5*0.6*CT34+0.15*CP34*CS34/100)*MAX(0,1-BN34/CP34))))</f>
        <v/>
      </c>
      <c r="CV34" s="44" t="str">
        <f>IF(BI34&lt;&gt;"SÍ","",IF(BO34&lt;0,0.8*CT34*MAX(0,1+BO34/(0.8*CM34*DATOS!$C$48/1000)),IF(BO34&lt;=CP34/3,0.8*CT34+0.3*BO34*CS34/100,(1.5*0.6*CT34+0.15*CP34*CS34/100)*MAX(0,1-BO34/CP34))))</f>
        <v/>
      </c>
      <c r="CW34" s="46" t="str">
        <f>IF(BI34&lt;&gt;"SÍ","",MAX(0,MIN(CU34,CV34)))</f>
        <v/>
      </c>
      <c r="CX34" s="49" t="str">
        <f>IF(BI34&lt;&gt;"SÍ","",IF(CW34&gt;0,BL34/CW34,IF(BL34&gt;0,99,0)))</f>
        <v/>
      </c>
      <c r="CY34" s="44" t="str">
        <f>IF(BI34&lt;&gt;"SÍ","",IF(BW34&gt;0,MAX(1,MIN(1.5,1.5-0.625*(BS34/BW34-0.2))),0))</f>
        <v/>
      </c>
      <c r="CZ34" s="44" t="str">
        <f>IF(BI34&lt;&gt;"SÍ","",IF(BX34&gt;0,MAX(1,MIN(1.5,1.5-0.625*(BS34/BX34-0.2))),0))</f>
        <v/>
      </c>
      <c r="DA34" s="44" t="str">
        <f>IF(BI34&lt;&gt;"SÍ","",IF(BY34&gt;0,MAX(1,MIN(1.5,1.5-0.625*(BS34/BY34-0.2))),0))</f>
        <v/>
      </c>
      <c r="DB34" s="44" t="str">
        <f>IF(BI34&lt;&gt;"SÍ","",IF(BZ34&gt;0,MAX(1,MIN(1.5,1.5-0.625*(BS34/BZ34-0.2))),0))</f>
        <v/>
      </c>
      <c r="DC34" s="44" t="str">
        <f>IF(BI34&lt;&gt;"SÍ","",IF(CA34&gt;0,MAX(1,MIN(1.5,1.5-0.625*(BS34/CA34-0.2))),0))</f>
        <v/>
      </c>
      <c r="DD34" s="44" t="str">
        <f>IF(BI34&lt;&gt;"SÍ","",IF(OR(BW34&lt;DATOS!$C$72-0.0001,BM34&lt;0,CB34&lt;=0),0,MIN(DATOS!$C$86*(0.5*DATOS!$C$41*BT34*BW34*100+0.3*BM34*BW34/CB34*1000)*CY34,1.5*DATOS!$C$86*DATOS!$C$41*BT34*BW34*100*CY34)/1000))</f>
        <v/>
      </c>
      <c r="DE34" s="44" t="str">
        <f>IF(BI34&lt;&gt;"SÍ","",IF(OR(BX34&lt;DATOS!$C$72-0.0001,BM34&lt;0,CB34&lt;=0),0,MIN(DATOS!$C$86*(0.5*DATOS!$C$41*BT34*BX34*100+0.3*BM34*BX34/CB34*1000)*CZ34,1.5*DATOS!$C$86*DATOS!$C$41*BT34*BX34*100*CZ34)/1000))</f>
        <v/>
      </c>
      <c r="DF34" s="44" t="str">
        <f>IF(BI34&lt;&gt;"SÍ","",IF(OR(BY34&lt;DATOS!$C$72-0.0001,BM34&lt;0,CB34&lt;=0),0,MIN(DATOS!$C$86*(0.5*DATOS!$C$41*BT34*BY34*100+0.3*BM34*BY34/CB34*1000)*DA34,1.5*DATOS!$C$86*DATOS!$C$41*BT34*BY34*100*DA34)/1000))</f>
        <v/>
      </c>
      <c r="DG34" s="44" t="str">
        <f>IF(BI34&lt;&gt;"SÍ","",IF(OR(BZ34&lt;DATOS!$C$72-0.0001,BM34&lt;0,CB34&lt;=0),0,MIN(DATOS!$C$86*(0.5*DATOS!$C$41*BT34*BZ34*100+0.3*BM34*BZ34/CB34*1000)*DB34,1.5*DATOS!$C$86*DATOS!$C$41*BT34*BZ34*100*DB34)/1000))</f>
        <v/>
      </c>
      <c r="DH34" s="44" t="str">
        <f>IF(BI34&lt;&gt;"SÍ","",IF(OR(CA34&lt;DATOS!$C$72-0.0001,BM34&lt;0,CB34&lt;=0),0,MIN(DATOS!$C$86*(0.5*DATOS!$C$41*BT34*CA34*100+0.3*BM34*CA34/CB34*1000)*DC34,1.5*DATOS!$C$86*DATOS!$C$41*BT34*CA34*100*DC34)/1000))</f>
        <v/>
      </c>
      <c r="DI34" s="46" t="str">
        <f>IF(BI34&lt;&gt;"SÍ","",SUM(DD34:DH34))</f>
        <v/>
      </c>
      <c r="DJ34" s="48" t="str">
        <f>IF(BI34&lt;&gt;"SÍ","",IF(AE34="VARILLA EN JUNTAS",IF(ISNUMBER(AF34),AF34,2)*INDEX(TABLAS!$D$6:$D$14,MATCH(IF(AG34&lt;&gt;"",AG34,DATOS!$C$73),TABLAS!$B$6:$B$14,0)),IF(AE34="MALLA",IF(ISNUMBER(AF34),AF34,1)*INDEX(TABLAS!$D$19:$D$22,MATCH(IF(AG34&lt;&gt;"",AG34,DATOS!$C$74),TABLAS!$B$19:$B$22,0))/100,IF(AE34="ESCALERILLA",IF(ISNUMBER(AF34),AF34,2)*INDEX(TABLAS!$D$6:$D$14,MATCH(IF(AG34&lt;&gt;"",AG34,DATOS!$C$73),TABLAS!$B$6:$B$14,0)),0))))</f>
        <v/>
      </c>
      <c r="DK34" s="47" t="str">
        <f>IF(BI34&lt;&gt;"SÍ","",IF(OR(AE34="VARILLA EN JUNTAS",AE34="ESCALERILLA"),IF(ISNUMBER(AH34),AH34,2)*DATOS!$C$26,IF(AE34="MALLA",1,0)))</f>
        <v/>
      </c>
      <c r="DL34" s="44" t="str">
        <f>IF(BI34&lt;&gt;"SÍ","",IF(DK34&gt;0,DJ34/(DK34*BT34)*MIN(DATOS!$C$50,IF(AE34="MALLA",5000,6000)),0))</f>
        <v/>
      </c>
      <c r="DM34" s="44" t="str">
        <f>IF(BI34&lt;&gt;"SÍ","",IF(AE34="ESCALERILLA",0,MIN(DL34,0.1*DATOS!$C$33*DATOS!$C$24)))</f>
        <v/>
      </c>
      <c r="DN34" s="48" t="str">
        <f>IF(BI34&lt;&gt;"SÍ","",IF(AE34="MALLA",0.5,IF(DATOS!$C$33&lt;=60,0.55,IF(DATOS!$C$33&gt;=90,0.75,0.55+0.2*(DATOS!$C$33-60)/30))))</f>
        <v/>
      </c>
      <c r="DO34" s="48" t="str">
        <f>IF(BI34&lt;&gt;"SÍ","",1-DATOS!$C$91*DM34)</f>
        <v/>
      </c>
      <c r="DP34" s="44" t="str">
        <f>IF(BI34&lt;&gt;"SÍ","",IF(BW34&gt;0,IF(BS34/BW34&lt;=1,1.3,IF(BS34/BW34&gt;=1.5,1,1.3-0.6*(BS34/BW34-1))),0))</f>
        <v/>
      </c>
      <c r="DQ34" s="44" t="str">
        <f>IF(BI34&lt;&gt;"SÍ","",IF(BX34&gt;0,IF(BS34/BX34&lt;=1,1.3,IF(BS34/BX34&gt;=1.5,1,1.3-0.6*(BS34/BX34-1))),0))</f>
        <v/>
      </c>
      <c r="DR34" s="44" t="str">
        <f>IF(BI34&lt;&gt;"SÍ","",IF(BY34&gt;0,IF(BS34/BY34&lt;=1,1.3,IF(BS34/BY34&gt;=1.5,1,1.3-0.6*(BS34/BY34-1))),0))</f>
        <v/>
      </c>
      <c r="DS34" s="44" t="str">
        <f>IF(BI34&lt;&gt;"SÍ","",IF(BZ34&gt;0,IF(BS34/BZ34&lt;=1,1.3,IF(BS34/BZ34&gt;=1.5,1,1.3-0.6*(BS34/BZ34-1))),0))</f>
        <v/>
      </c>
      <c r="DT34" s="44" t="str">
        <f>IF(BI34&lt;&gt;"SÍ","",IF(CA34&gt;0,IF(BS34/CA34&lt;=1,1.3,IF(BS34/CA34&gt;=1.5,1,1.3-0.6*(BS34/CA34-1))),0))</f>
        <v/>
      </c>
      <c r="DU34" s="44" t="str">
        <f>IF(BI34&lt;&gt;"SÍ","",IF(OR(DM34&lt;=0,BW34&lt;DATOS!$C$72-0.0001),0,DATOS!$C$86*MAX(0,IF(BM34&gt;=0,DD34/(DATOS!$C$86*DM34*BT34*BW34*100/1000)*(DP34*DO34-1)+DN34,DO34*DN34))*DM34*BT34*BW34*100/1000))</f>
        <v/>
      </c>
      <c r="DV34" s="44" t="str">
        <f>IF(BI34&lt;&gt;"SÍ","",IF(OR(DM34&lt;=0,BX34&lt;DATOS!$C$72-0.0001),0,DATOS!$C$86*MAX(0,IF(BM34&gt;=0,DE34/(DATOS!$C$86*DM34*BT34*BX34*100/1000)*(DQ34*DO34-1)+DN34,DO34*DN34))*DM34*BT34*BX34*100/1000))</f>
        <v/>
      </c>
      <c r="DW34" s="44" t="str">
        <f>IF(BI34&lt;&gt;"SÍ","",IF(OR(DM34&lt;=0,BY34&lt;DATOS!$C$72-0.0001),0,DATOS!$C$86*MAX(0,IF(BM34&gt;=0,DF34/(DATOS!$C$86*DM34*BT34*BY34*100/1000)*(DR34*DO34-1)+DN34,DO34*DN34))*DM34*BT34*BY34*100/1000))</f>
        <v/>
      </c>
      <c r="DX34" s="44" t="str">
        <f>IF(BI34&lt;&gt;"SÍ","",IF(OR(DM34&lt;=0,BZ34&lt;DATOS!$C$72-0.0001),0,DATOS!$C$86*MAX(0,IF(BM34&gt;=0,DG34/(DATOS!$C$86*DM34*BT34*BZ34*100/1000)*(DS34*DO34-1)+DN34,DO34*DN34))*DM34*BT34*BZ34*100/1000))</f>
        <v/>
      </c>
      <c r="DY34" s="44" t="str">
        <f>IF(BI34&lt;&gt;"SÍ","",IF(OR(DM34&lt;=0,CA34&lt;DATOS!$C$72-0.0001),0,DATOS!$C$86*MAX(0,IF(BM34&gt;=0,DH34/(DATOS!$C$86*DM34*BT34*CA34*100/1000)*(DT34*DO34-1)+DN34,DO34*DN34))*DM34*BT34*CA34*100/1000))</f>
        <v/>
      </c>
      <c r="DZ34" s="46" t="str">
        <f>IF(BI34&lt;&gt;"SÍ","",SUM(DU34:DY34))</f>
        <v/>
      </c>
      <c r="EA34" s="45" t="str">
        <f>IF(BI34&lt;&gt;"SÍ","",IF(OR(AE34="",AE34="NINGUNO"),IF(DATOS!$C$41&gt;=10,"FALTA refuerzo horizontal: v'm ≥ 10 kg/cm² (6.5.2.2)",IF(AND(BM34&lt;0,BK34&gt;0),"FALTA: P en tensión, el refuerzo debe tomar todo el cortante (6.5.1.3)","—")),IF(AE34="ESCALERILLA","NO CUENTA: la escalerilla no se permite para cortante por sismo (6.5.3.1.2)",IF(AE34="MALLA",IF(AND(DL34&gt;=2.5,DL34&lt;=MAX(0.15*DATOS!$C$33*DATOS!$C$24,2.5)),"CUMPLE","NO CUMPLE: "&amp;IF(DL34&lt;2.5,"p_h·f_yh &lt; 2.5 (6.5.4.2.4)","p_h·f_yh &gt; 0.15·f'm·f_an (6.5.4.2.4)")),IF(AND(DK34&lt;=MIN(6*DATOS!$C$26,45),DL34&gt;=3,DL34&lt;=MIN(MAX(0.15*DATOS!$C$33*DATOS!$C$24,3),0.05*DATOS!$C$25/10*MIN(DATOS!$C$50,6000)/DK34),INDEX(TABLAS!$C$6:$C$14,MATCH(IF(AG34&lt;&gt;"",AG34,DATOS!$C$73),TABLAS!$B$6:$B$14,0))&gt;=0.35,INDEX(TABLAS!$C$6:$C$14,MATCH(IF(AG34&lt;&gt;"",AG34,DATOS!$C$73),TABLAS!$B$6:$B$14,0))&lt;=0.75*DATOS!$C$25/10),"CUMPLE","NO CUMPLE: "&amp;IF(DK34&gt;MIN(6*DATOS!$C$26,45),"s_h &gt; 6 hiladas o 45 cm (6.5.3.2.1) ","")&amp;IF(DL34&lt;3,"p_h·f_yh &lt; 3 (6.5.3.3.1) ","")&amp;IF(DL34&gt;MIN(MAX(0.15*DATOS!$C$33*DATOS!$C$24,3),0.05*DATOS!$C$25/10*MIN(DATOS!$C$50,6000)/DK34),"p_h·f_yh &gt; máximo (6.5.3.3.2) ","")&amp;IF(OR(INDEX(TABLAS!$C$6:$C$14,MATCH(IF(AG34&lt;&gt;"",AG34,DATOS!$C$73),TABLAS!$B$6:$B$14,0))&lt;0.35,INDEX(TABLAS!$C$6:$C$14,MATCH(IF(AG34&lt;&gt;"",AG34,DATOS!$C$73),TABLAS!$B$6:$B$14,0))&gt;0.75*DATOS!$C$25/10),"diámetro fuera de 3.5 mm a 0.75·h_j (4.2.2.2.1)",""))))))</f>
        <v/>
      </c>
      <c r="EB34" s="46" t="str">
        <f>IF(BI34&lt;&gt;"SÍ","",DI34+DZ34)</f>
        <v/>
      </c>
      <c r="EC34" s="50" t="str">
        <f>IF(BI34&lt;&gt;"SÍ","",IF(EB34&gt;0,BK34/EB34,IF(BK34&gt;0,99,0)))</f>
        <v/>
      </c>
      <c r="ED34" s="47" t="str">
        <f>IF(BI34&lt;&gt;"SÍ","",IF(CE34&lt;=0,-1,IF(BK34&lt;=DI34,0,IF(IF(BM34&gt;=0,IF((DATOS!$C$86*IF(AE34="MALLA",0.5,IF(DATOS!$C$33&lt;=60,0.55,IF(DATOS!$C$33&gt;=90,0.75,0.55+0.2*(DATOS!$C$33-60)/30)))*CE34/1000-DATOS!$C$91*SUMPRODUCT(DP34:DT34,DD34:DH34))&lt;=0,1E9,(BK34-SUMPRODUCT(DP34:DT34,DD34:DH34))/(DATOS!$C$86*IF(AE34="MALLA",0.5,IF(DATOS!$C$33&lt;=60,0.55,IF(DATOS!$C$33&gt;=90,0.75,0.55+0.2*(DATOS!$C$33-60)/30)))*CE34/1000-DATOS!$C$91*SUMPRODUCT(DP34:DT34,DD34:DH34))),IF((1-4*DATOS!$C$91*BK34*1000/(DATOS!$C$86*IF(AE34="MALLA",0.5,IF(DATOS!$C$33&lt;=60,0.55,IF(DATOS!$C$33&gt;=90,0.75,0.55+0.2*(DATOS!$C$33-60)/30)))*MAX(CE34,1)))&lt;0,1E9,(1-SQRT((1-4*DATOS!$C$91*BK34*1000/(DATOS!$C$86*IF(AE34="MALLA",0.5,IF(DATOS!$C$33&lt;=60,0.55,IF(DATOS!$C$33&gt;=90,0.75,0.55+0.2*(DATOS!$C$33-60)/30)))*MAX(CE34,1)))))/(2*DATOS!$C$91)))&gt;0.1*DATOS!$C$33*DATOS!$C$24+0.000001,-1,MAX(IF(AE34="MALLA",2.5,3),IF(BM34&gt;=0,IF((DATOS!$C$86*IF(AE34="MALLA",0.5,IF(DATOS!$C$33&lt;=60,0.55,IF(DATOS!$C$33&gt;=90,0.75,0.55+0.2*(DATOS!$C$33-60)/30)))*CE34/1000-DATOS!$C$91*SUMPRODUCT(DP34:DT34,DD34:DH34))&lt;=0,1E9,(BK34-SUMPRODUCT(DP34:DT34,DD34:DH34))/(DATOS!$C$86*IF(AE34="MALLA",0.5,IF(DATOS!$C$33&lt;=60,0.55,IF(DATOS!$C$33&gt;=90,0.75,0.55+0.2*(DATOS!$C$33-60)/30)))*CE34/1000-DATOS!$C$91*SUMPRODUCT(DP34:DT34,DD34:DH34))),IF((1-4*DATOS!$C$91*BK34*1000/(DATOS!$C$86*IF(AE34="MALLA",0.5,IF(DATOS!$C$33&lt;=60,0.55,IF(DATOS!$C$33&gt;=90,0.75,0.55+0.2*(DATOS!$C$33-60)/30)))*MAX(CE34,1)))&lt;0,1E9,(1-SQRT((1-4*DATOS!$C$91*BK34*1000/(DATOS!$C$86*IF(AE34="MALLA",0.5,IF(DATOS!$C$33&lt;=60,0.55,IF(DATOS!$C$33&gt;=90,0.75,0.55+0.2*(DATOS!$C$33-60)/30)))*MAX(CE34,1)))))/(2*DATOS!$C$91))))))))</f>
        <v/>
      </c>
      <c r="EE34" s="45" t="str">
        <f>IF(BI34&lt;&gt;"SÍ","",IF(ED34=0,"NO REQUIERE: V_mR ≥ V_u",IF(ED34&lt;0,"NO ALCANZA con refuerzo horizontal (haría falta más de 0.1·f'm·f_an efectivo): sube v'm con ensayes, el espesor o la longitud del muro",IF(AND(OR(AE34="VARILLA EN JUNTAS",AE34="MALLA"),LEFT(EA34,6)="CUMPLE",EC34&lt;=1),"YA LO TIENE (pide p_h·f_yh ≥ "&amp;TEXT(ED34,"0.0")&amp;" kg/cm²)","p_h·f_yh ≥ "&amp;TEXT(ED34,"0.0")&amp;" kg/cm² → "&amp;IF(AND(MIN(6,FLOOR(45/DATOS!$C$26,1),FLOOR((2*INDEX(TABLAS!$D$6:$D$14,MATCH("3/16 in",TABLAS!$B$6:$B$14,0)))*MIN(DATOS!$C$50,6000)/(BT34*DATOS!$C$26*MAX(ED34,0.001)),1))&gt;=1,((2*INDEX(TABLAS!$D$6:$D$14,MATCH("3/16 in",TABLAS!$B$6:$B$14,0)))*MIN(DATOS!$C$50,6000)/(MAX(MIN(6,FLOOR(45/DATOS!$C$26,1),FLOOR((2*INDEX(TABLAS!$D$6:$D$14,MATCH("3/16 in",TABLAS!$B$6:$B$14,0)))*MIN(DATOS!$C$50,6000)/(BT34*DATOS!$C$26*MAX(ED34,0.001)),1)),1)*DATOS!$C$26*BT34))&lt;=MIN(MAX(0.15*DATOS!$C$33*DATOS!$C$24,3),0.05*DATOS!$C$25/10*MIN(DATOS!$C$50,6000)/(MIN(6,FLOOR(45/DATOS!$C$26,1),FLOOR((2*INDEX(TABLAS!$D$6:$D$14,MATCH("3/16 in",TABLAS!$B$6:$B$14,0)))*MIN(DATOS!$C$50,6000)/(BT34*DATOS!$C$26*MAX(ED34,0.001)),1))*DATOS!$C$26))),"2 alambres de 3/16"" por junta cada "&amp;MIN(6,FLOOR(45/DATOS!$C$26,1),FLOOR((2*INDEX(TABLAS!$D$6:$D$14,MATCH("3/16 in",TABLAS!$B$6:$B$14,0)))*MIN(DATOS!$C$50,6000)/(BT34*DATOS!$C$26*MAX(ED34,0.001)),1))&amp;" hilada(s) (p_h·f_yh = "&amp;TEXT(((2*INDEX(TABLAS!$D$6:$D$14,MATCH("3/16 in",TABLAS!$B$6:$B$14,0)))*MIN(DATOS!$C$50,6000)/(MAX(MIN(6,FLOOR(45/DATOS!$C$26,1),FLOOR((2*INDEX(TABLAS!$D$6:$D$14,MATCH("3/16 in",TABLAS!$B$6:$B$14,0)))*MIN(DATOS!$C$50,6000)/(BT34*DATOS!$C$26*MAX(ED34,0.001)),1)),1)*DATOS!$C$26*BT34)),"0.00")&amp;")",IF(AND(MIN(6,FLOOR(45/DATOS!$C$26,1),FLOOR((2*INDEX(TABLAS!$D$6:$D$14,MATCH("5/32 in",TABLAS!$B$6:$B$14,0)))*MIN(DATOS!$C$50,6000)/(BT34*DATOS!$C$26*MAX(ED34,0.001)),1))&gt;=1,((2*INDEX(TABLAS!$D$6:$D$14,MATCH("5/32 in",TABLAS!$B$6:$B$14,0)))*MIN(DATOS!$C$50,6000)/(MAX(MIN(6,FLOOR(45/DATOS!$C$26,1),FLOOR((2*INDEX(TABLAS!$D$6:$D$14,MATCH("5/32 in",TABLAS!$B$6:$B$14,0)))*MIN(DATOS!$C$50,6000)/(BT34*DATOS!$C$26*MAX(ED34,0.001)),1)),1)*DATOS!$C$26*BT34))&lt;=MIN(MAX(0.15*DATOS!$C$33*DATOS!$C$24,3),0.05*DATOS!$C$25/10*MIN(DATOS!$C$50,6000)/(MIN(6,FLOOR(45/DATOS!$C$26,1),FLOOR((2*INDEX(TABLAS!$D$6:$D$14,MATCH("5/32 in",TABLAS!$B$6:$B$14,0)))*MIN(DATOS!$C$50,6000)/(BT34*DATOS!$C$26*MAX(ED34,0.001)),1))*DATOS!$C$26))),"2 alambres de 5/32"" por junta cada "&amp;MIN(6,FLOOR(45/DATOS!$C$26,1),FLOOR((2*INDEX(TABLAS!$D$6:$D$14,MATCH("5/32 in",TABLAS!$B$6:$B$14,0)))*MIN(DATOS!$C$50,6000)/(BT34*DATOS!$C$26*MAX(ED34,0.001)),1))&amp;" hilada(s) (p_h·f_yh = "&amp;TEXT(((2*INDEX(TABLAS!$D$6:$D$14,MATCH("5/32 in",TABLAS!$B$6:$B$14,0)))*MIN(DATOS!$C$50,6000)/(MAX(MIN(6,FLOOR(45/DATOS!$C$26,1),FLOOR((2*INDEX(TABLAS!$D$6:$D$14,MATCH("5/32 in",TABLAS!$B$6:$B$14,0)))*MIN(DATOS!$C$50,6000)/(BT34*DATOS!$C$26*MAX(ED34,0.001)),1)),1)*DATOS!$C$26*BT34)),"0.00")&amp;")",IF(AND(MIN(6,FLOOR(45/DATOS!$C$26,1),FLOOR((1*INDEX(TABLAS!$D$6:$D$14,MATCH("3/16 in",TABLAS!$B$6:$B$14,0)))*MIN(DATOS!$C$50,6000)/(BT34*DATOS!$C$26*MAX(ED34,0.001)),1))&gt;=1,((1*INDEX(TABLAS!$D$6:$D$14,MATCH("3/16 in",TABLAS!$B$6:$B$14,0)))*MIN(DATOS!$C$50,6000)/(MAX(MIN(6,FLOOR(45/DATOS!$C$26,1),FLOOR((1*INDEX(TABLAS!$D$6:$D$14,MATCH("3/16 in",TABLAS!$B$6:$B$14,0)))*MIN(DATOS!$C$50,6000)/(BT34*DATOS!$C$26*MAX(ED34,0.001)),1)),1)*DATOS!$C$26*BT34))&lt;=MIN(MAX(0.15*DATOS!$C$33*DATOS!$C$24,3),0.05*DATOS!$C$25/10*MIN(DATOS!$C$50,6000)/(MIN(6,FLOOR(45/DATOS!$C$26,1),FLOOR((1*INDEX(TABLAS!$D$6:$D$14,MATCH("3/16 in",TABLAS!$B$6:$B$14,0)))*MIN(DATOS!$C$50,6000)/(BT34*DATOS!$C$26*MAX(ED34,0.001)),1))*DATOS!$C$26))),"1 alambre de 3/16"" por junta cada "&amp;MIN(6,FLOOR(45/DATOS!$C$26,1),FLOOR((1*INDEX(TABLAS!$D$6:$D$14,MATCH("3/16 in",TABLAS!$B$6:$B$14,0)))*MIN(DATOS!$C$50,6000)/(BT34*DATOS!$C$26*MAX(ED34,0.001)),1))&amp;" hilada(s) (p_h·f_yh = "&amp;TEXT(((1*INDEX(TABLAS!$D$6:$D$14,MATCH("3/16 in",TABLAS!$B$6:$B$14,0)))*MIN(DATOS!$C$50,6000)/(MAX(MIN(6,FLOOR(45/DATOS!$C$26,1),FLOOR((1*INDEX(TABLAS!$D$6:$D$14,MATCH("3/16 in",TABLAS!$B$6:$B$14,0)))*MIN(DATOS!$C$50,6000)/(BT34*DATOS!$C$26*MAX(ED34,0.001)),1)),1)*DATOS!$C$26*BT34)),"0.00")&amp;")",IF(AND(MIN(6,FLOOR(45/DATOS!$C$26,1),FLOOR((1*INDEX(TABLAS!$D$6:$D$14,MATCH("5/32 in",TABLAS!$B$6:$B$14,0)))*MIN(DATOS!$C$50,6000)/(BT34*DATOS!$C$26*MAX(ED34,0.001)),1))&gt;=1,((1*INDEX(TABLAS!$D$6:$D$14,MATCH("5/32 in",TABLAS!$B$6:$B$14,0)))*MIN(DATOS!$C$50,6000)/(MAX(MIN(6,FLOOR(45/DATOS!$C$26,1),FLOOR((1*INDEX(TABLAS!$D$6:$D$14,MATCH("5/32 in",TABLAS!$B$6:$B$14,0)))*MIN(DATOS!$C$50,6000)/(BT34*DATOS!$C$26*MAX(ED34,0.001)),1)),1)*DATOS!$C$26*BT34))&lt;=MIN(MAX(0.15*DATOS!$C$33*DATOS!$C$24,3),0.05*DATOS!$C$25/10*MIN(DATOS!$C$50,6000)/(MIN(6,FLOOR(45/DATOS!$C$26,1),FLOOR((1*INDEX(TABLAS!$D$6:$D$14,MATCH("5/32 in",TABLAS!$B$6:$B$14,0)))*MIN(DATOS!$C$50,6000)/(BT34*DATOS!$C$26*MAX(ED34,0.001)),1))*DATOS!$C$26))),"1 alambre de 5/32"" por junta cada "&amp;MIN(6,FLOOR(45/DATOS!$C$26,1),FLOOR((1*INDEX(TABLAS!$D$6:$D$14,MATCH("5/32 in",TABLAS!$B$6:$B$14,0)))*MIN(DATOS!$C$50,6000)/(BT34*DATOS!$C$26*MAX(ED34,0.001)),1))&amp;" hilada(s) (p_h·f_yh = "&amp;TEXT(((1*INDEX(TABLAS!$D$6:$D$14,MATCH("5/32 in",TABLAS!$B$6:$B$14,0)))*MIN(DATOS!$C$50,6000)/(MAX(MIN(6,FLOOR(45/DATOS!$C$26,1),FLOOR((1*INDEX(TABLAS!$D$6:$D$14,MATCH("5/32 in",TABLAS!$B$6:$B$14,0)))*MIN(DATOS!$C$50,6000)/(BT34*DATOS!$C$26*MAX(ED34,0.001)),1)),1)*DATOS!$C$26*BT34)),"0.00")&amp;")","ninguna combinación de 1 o 2 alambres por junta queda entre el mínimo y el máximo: revisa con malla (6.5.4)"))))))))</f>
        <v/>
      </c>
      <c r="EF34" s="43" t="str">
        <f>IF(BI34&lt;&gt;"SÍ","",IF(AI34="SÍ",N(AK34)*N(AL34)^3/12,0))</f>
        <v/>
      </c>
      <c r="EG34" s="48" t="str">
        <f>IF(BI34&lt;&gt;"SÍ","",IF(AND(AI34="SÍ",N(AM34)&gt;0),MIN(1,F34/AM34),0))</f>
        <v/>
      </c>
      <c r="EH34" s="47" t="str">
        <f>IF(BI34&lt;&gt;"SÍ","",IF(AI34="SÍ",BP34*1000/(BT34*F34*100)*BT34*(EG34^4-4*EG34^3+8*EG34),0))</f>
        <v/>
      </c>
      <c r="EI34" s="48" t="str">
        <f>IF(BI34&lt;&gt;"SÍ","",IF(AND(AI34="SÍ",EH34&gt;0),EH34/(EH34+5*N(AN34)*10),0))</f>
        <v/>
      </c>
      <c r="EJ34" s="44" t="str">
        <f>IF(BI34&lt;&gt;"SÍ","",IF(AND(AI34="SÍ",EI34&gt;0,EF34&gt;0),(DATOS!$C$43*BT34*(AM34*100)^3/(DATOS!$C$53*EF34*EI34))^0.25,0))</f>
        <v/>
      </c>
      <c r="EK34" s="44" t="str">
        <f>IF(BI34&lt;&gt;"SÍ","",IF(AI34&lt;&gt;"SÍ",0,IF(N(AM34)&lt;=F34,1,IF(MIN(1,N(AO34)/((AM34-F34)/2))&lt;=0.5,0.7+0.6*MIN(1,N(AO34)/((AM34-F34)/2)),1.5-MIN(1,N(AO34)/((AM34-F34)/2))))))</f>
        <v/>
      </c>
      <c r="EL34" s="44" t="str">
        <f>IF(BI34&lt;&gt;"SÍ","",IF(AI34&lt;&gt;"SÍ",0,MAX(1,IF(EG34&gt;=1,(1.6*EJ34-3.9),IF(EG34&lt;0.9,((3.2*EJ34-7.8)*EK34),((3.2*EJ34-7.8)*EK34)+((1.6*EJ34-3.9)-((3.2*EJ34-7.8)*EK34))*(EG34-0.9)/0.1)))))</f>
        <v/>
      </c>
      <c r="EM34" s="47" t="str">
        <f>IF(BI34&lt;&gt;"SÍ","",IF(AI34="SÍ",EL34*BP34*1000/(BT34*F34*100),0))</f>
        <v/>
      </c>
      <c r="EN34" s="47" t="str">
        <f>IF(BI34&lt;&gt;"SÍ","",IF(AND(AI34="SÍ",N(AL34)&gt;0),AM34*100/AL34,0))</f>
        <v/>
      </c>
      <c r="EO34" s="47" t="str">
        <f>IF(BI34&lt;&gt;"SÍ","",IF(AI34="SÍ",(1/15*DATOS!$C$53*N(AK34)/MAX((IF(ISNUMBER(AP34),AP34,BP34/DATOS!$C$90)*1000/(BT34*F34*100)*BT34*(EG34^4-4*EG34^3+8*EG34))+5*N(AN34)/DATOS!$C$90*10,0.001))^(1/3),0))</f>
        <v/>
      </c>
      <c r="EP34" s="45" t="str">
        <f>IF(BI34&lt;&gt;"SÍ","",IF(AI34&lt;&gt;"SÍ","—",IF(OR(N(AK34)&lt;=0,N(AL34)&lt;=0,N(AM34)&lt;=0),"REVISAR: faltan b, h o L_v de la viga",IF(AND(EM34&lt;=DATOS!$C$87*DATOS!$C$33,EN34&lt;=14,N(AL34)&gt;=25,EN34&lt;=EO34),IF(BS34/F34&lt;0.6,"PENDIENTE: H/L &lt; 0.6, falta el análisis de interacción muro–viga (4.1.18.2.1); f_CM es estimado","CUMPLE"),"NO CUMPLE: "&amp;IF(EM34&gt;DATOS!$C$87*DATOS!$C$33,"f_CM &gt; F_R·f'm ","")&amp;IF(EN34&gt;14,"L_v/h_v &gt; 14 ","")&amp;IF(N(AL34)&lt;25,"h_v &lt; 25 cm ","")&amp;IF(EN34&gt;EO34,"flecha (4.1.18.3)","")))))</f>
        <v/>
      </c>
      <c r="EQ34" s="44" t="str">
        <f>IF(BI34&lt;&gt;"SÍ","",MAX(0,F34*BS34-(N(K34)*N(M34)+N(P34)*N(R34)+N(U34)*N(W34)+N(Z34)*N(AB34))-CK34*DATOS!$C$59/100*BS34))</f>
        <v/>
      </c>
      <c r="ER34" s="48" t="str">
        <f>IF(BI34&lt;&gt;"SÍ","",CK34*DATOS!$C$59*DATOS!$C$60/10000*BS34)</f>
        <v/>
      </c>
      <c r="ES34" s="47" t="str">
        <f>IF(BI34&lt;&gt;"SÍ","",CK34*(DATOS!$C$61*(BS34+0.6)*INDEX(TABLAS!$E$6:$E$14,MATCH(DATOS!$C$62,TABLAS!$B$6:$B$14,0))+(2*ROUNDUP(CN34/DATOS!$C$65,0)+ROUNDUP(MAX(0,BS34*100-2*CN34)/DATOS!$C$64,0))*((2*(DATOS!$C$60+DATOS!$C$59-4*(DATOS!$C$66-INDEX(TABLAS!$C$6:$C$14,MATCH(DATOS!$C$63,TABLAS!$B$6:$B$14,0))))+15)/100)*INDEX(TABLAS!$E$6:$E$14,MATCH(DATOS!$C$63,TABLAS!$B$6:$B$14,0))))</f>
        <v/>
      </c>
      <c r="ET34" s="47" t="str">
        <f>IF(BI34&lt;&gt;"SÍ","",IF(OR(AE34="VARILLA EN JUNTAS",AE34="ESCALERILLA"),INT(BS34*100/MAX(DK34,1))*IF(ISNUMBER(AF34),AF34,2)*CB34*INDEX(TABLAS!$E$6:$E$14,MATCH(IF(AG34&lt;&gt;"",AG34,DATOS!$C$73),TABLAS!$B$6:$B$14,0)),IF(AE34="MALLA",IF(ISNUMBER(AF34),AF34,1)*CB34*BS34*INDEX(TABLAS!$E$19:$E$22,MATCH(IF(AG34&lt;&gt;"",AG34,DATOS!$C$74),TABLAS!$B$19:$B$22,0)),0)))</f>
        <v/>
      </c>
      <c r="EU34" s="45" t="str">
        <f>IF(BI34&lt;&gt;"SÍ","",""&amp;IF(BJ34="NO ESTÁ EN PIER_FORCES","sin fuerzas en PIER_FORCES; ","")&amp;IF(BV34&lt;&gt;"CUMPLE","vanos; ","")&amp;IF(LEFT(CH34,2)="NO","espesor o esbeltez; ","")&amp;IF(CQ34&gt;1,"compresión; ","")&amp;IF(CX34&gt;1,"flexión; ","")&amp;IF(CB34&lt;=0,"sin tramos de muro (todos son machones menores que L mín.: diséñalos como columnas o baja L mín.); ",IF(EC34&gt;1,"cortante; ",""))&amp;IF(OR(LEFT(EA34,2)="NO",LEFT(EA34,5)="FALTA"),"refuerzo horizontal; ","")&amp;IF(OR(LEFT(EP34,2)="NO",LEFT(EP34,7)="REVISAR"),"muro sobre viga; ","")&amp;IF(LEFT(DATOS!$C$81,2)="NO","castillo típico; ","")&amp;IF(LEFT(DATOS!$C$82,2)="NO","dala típica; ","")&amp;IF(AND(BT34&lt;&gt;DATOS!$C$58,DATOS!$C$60&lt;BT34),"castillo más angosto que el muro; ",""))</f>
        <v/>
      </c>
      <c r="EV34" s="45" t="str">
        <f>IF(BI34&lt;&gt;"SÍ","",""&amp;IF(LEFT(EP34,9)="PENDIENTE","análisis muro–viga (H/L &lt; 0.6); ","")&amp;IF(BR34&gt;50,"V_u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4" s="51" t="str">
        <f>IF(BI34&lt;&gt;"SÍ","",IF(EU34&lt;&gt;"","NO CUMPLE: "&amp;LEFT(EU34,LEN(EU34)-2),IF(EV34&lt;&gt;"","CUMPLE — PENDIENTE: "&amp;LEFT(EV34,LEN(EV34)-2),"CUMPLE")))</f>
        <v/>
      </c>
      <c r="EX34" s="52" t="n"/>
    </row>
    <row r="35" ht="30" customHeight="1">
      <c r="A35" s="38" t="str">
        <f>IF(B35="","",ROW()-10)</f>
        <v/>
      </c>
      <c r="B35" s="28" t="n"/>
      <c r="C35" s="39" t="n"/>
      <c r="D35" s="39" t="n"/>
      <c r="E35" s="39" t="n"/>
      <c r="F35" s="40" t="n"/>
      <c r="G35" s="40" t="n"/>
      <c r="H35" s="41" t="n"/>
      <c r="I35" s="39" t="n"/>
      <c r="J35" s="40" t="n"/>
      <c r="K35" s="40" t="n"/>
      <c r="L35" s="40" t="n"/>
      <c r="M35" s="40" t="n"/>
      <c r="N35" s="39" t="n"/>
      <c r="O35" s="40" t="n"/>
      <c r="P35" s="40" t="n"/>
      <c r="Q35" s="40" t="n"/>
      <c r="R35" s="40" t="n"/>
      <c r="S35" s="39" t="n"/>
      <c r="T35" s="40" t="n"/>
      <c r="U35" s="40" t="n"/>
      <c r="V35" s="40" t="n"/>
      <c r="W35" s="40" t="n"/>
      <c r="X35" s="39" t="n"/>
      <c r="Y35" s="40" t="n"/>
      <c r="Z35" s="40" t="n"/>
      <c r="AA35" s="40" t="n"/>
      <c r="AB35" s="40" t="n"/>
      <c r="AC35" s="41" t="n"/>
      <c r="AD35" s="41" t="n"/>
      <c r="AE35" s="39" t="n"/>
      <c r="AF35" s="41" t="n"/>
      <c r="AG35" s="41" t="n"/>
      <c r="AH35" s="41" t="n"/>
      <c r="AI35" s="39" t="n"/>
      <c r="AJ35" s="39" t="n"/>
      <c r="AK35" s="41" t="n"/>
      <c r="AL35" s="41" t="n"/>
      <c r="AM35" s="40" t="n"/>
      <c r="AN35" s="40" t="n"/>
      <c r="AO35" s="40" t="n"/>
      <c r="AP35" s="40" t="n"/>
      <c r="AQ35" s="40" t="n"/>
      <c r="AR35" s="40" t="n"/>
      <c r="AS35" s="40" t="n"/>
      <c r="AT35" s="40" t="n"/>
      <c r="AU35" s="40" t="n"/>
      <c r="AV35" s="40" t="n"/>
      <c r="AW35" s="40" t="n"/>
      <c r="AX35" s="42" t="str">
        <f>IF(B35="","",C35&amp;"|"&amp;B35)</f>
        <v/>
      </c>
      <c r="AY35" s="43" t="str">
        <f>IF(B35="","",COUNTIFS(PIER_FORCES!$O$9:$O$3008,25,PIER_FORCES!$P$9:$P$3008,1))</f>
        <v/>
      </c>
      <c r="AZ35" s="43" t="str">
        <f>IF(B35="","",COUNTIFS(PIER_FORCES!$O$9:$O$3008,25,PIER_FORCES!$P$9:$P$3008,2))</f>
        <v/>
      </c>
      <c r="BA35" s="44">
        <f>IF(N(AY35)=0,0,SUMPRODUCT(MAX((PIER_FORCES!$O$9:$O$3008=25)*(PIER_FORCES!$P$9:$P$3008=1)*PIER_FORCES!$R$9:$R$3008)))</f>
        <v>0</v>
      </c>
      <c r="BB35" s="44">
        <f>IF(N(AY35)=0,0,SUMPRODUCT(MAX((PIER_FORCES!$O$9:$O$3008=25)*(PIER_FORCES!$P$9:$P$3008=1)*PIER_FORCES!$S$9:$S$3008)))</f>
        <v>0</v>
      </c>
      <c r="BC35" s="44">
        <f>IF(N(AY35)=0,0,-SUMPRODUCT(MAX((PIER_FORCES!$O$9:$O$3008=25)*(PIER_FORCES!$P$9:$P$3008=1)*(-PIER_FORCES!$Q$9:$Q$3008)+(1-(PIER_FORCES!$O$9:$O$3008=25)*(PIER_FORCES!$P$9:$P$3008=1))*(-1E9))))</f>
        <v>0</v>
      </c>
      <c r="BD35" s="44">
        <f>IF(N(AY35)=0,0,SUMPRODUCT(MAX((PIER_FORCES!$O$9:$O$3008=25)*(PIER_FORCES!$P$9:$P$3008=1)*PIER_FORCES!$Q$9:$Q$3008+(1-(PIER_FORCES!$O$9:$O$3008=25)*(PIER_FORCES!$P$9:$P$3008=1))*(-1E9))))</f>
        <v>0</v>
      </c>
      <c r="BE35" s="44">
        <f>IF(N(AZ35)=0,BD35,SUMPRODUCT(MAX((PIER_FORCES!$O$9:$O$3008=25)*(PIER_FORCES!$P$9:$P$3008=2)*PIER_FORCES!$Q$9:$Q$3008+(1-(PIER_FORCES!$O$9:$O$3008=25)*(PIER_FORCES!$P$9:$P$3008=2))*(-1E9))))</f>
        <v>0</v>
      </c>
      <c r="BF35" s="44">
        <f>IF(N(AZ35)=0,0,SUMPRODUCT(MAX((PIER_FORCES!$O$9:$O$3008=25)*(PIER_FORCES!$P$9:$P$3008=2)*PIER_FORCES!$R$9:$R$3008)))</f>
        <v>0</v>
      </c>
      <c r="BG35" s="43">
        <f>IF(N(AY35)=0,0,SUMPRODUCT(MAX((PIER_FORCES!$O$9:$O$3008=25)*(PIER_FORCES!$P$9:$P$3008=1)*(ABS(PIER_FORCES!$R$9:$R$3008-BA35)&lt;0.000001)*PIER_FORCES!$T$9:$T$3008)))</f>
        <v>0</v>
      </c>
      <c r="BH35" s="45" t="str">
        <f>IF(N(BG35)=0,"",INDEX(PIER_FORCES!$D$9:$D$3008,BG35)&amp;" "&amp;INDEX(PIER_FORCES!$F$9:$F$3008,BG35)&amp;" / "&amp;INDEX(PIER_FORCES!$G$9:$G$3008,BG35))</f>
        <v/>
      </c>
      <c r="BI35" s="42" t="str">
        <f>IF(B35="","",IF(AND(C35&lt;&gt;"",OR(D35="X",D35="Y"),ISNUMBER(F35),N(F35)&gt;0),"SÍ","NO"))</f>
        <v/>
      </c>
      <c r="BJ35" s="42" t="str">
        <f>IF(BI35&lt;&gt;"SÍ","",IF(DATOS!$C$108="ETABS (PIER_FORCES)",IF(N(AY35)&gt;0,"ETABS","NO ESTÁ EN PIER_FORCES"),"CAPTURA"))</f>
        <v/>
      </c>
      <c r="BK35" s="46" t="str">
        <f>IF(BI35&lt;&gt;"SÍ","",IF(BJ35="ETABS",BA35,IF(BJ35="CAPTURA",N(AQ35),0)))</f>
        <v/>
      </c>
      <c r="BL35" s="46" t="str">
        <f>IF(BI35&lt;&gt;"SÍ","",IF(BJ35="ETABS",BB35,IF(BJ35="CAPTURA",N(AR35),0)))</f>
        <v/>
      </c>
      <c r="BM35" s="46" t="str">
        <f>IF(BI35&lt;&gt;"SÍ","",IF(BJ35="ETABS",BC35/DATOS!$C$89,IF(BJ35="CAPTURA",N(AS35),0)))</f>
        <v/>
      </c>
      <c r="BN35" s="44" t="str">
        <f>IF(BI35&lt;&gt;"SÍ","",IF(BJ35="ETABS",BC35,IF(BJ35="CAPTURA",IF(ISNUMBER(AU35),AU35,N(AS35)*DATOS!$C$89),0)))</f>
        <v/>
      </c>
      <c r="BO35" s="44" t="str">
        <f>IF(BI35&lt;&gt;"SÍ","",IF(BJ35="ETABS",MAX(BD35,BE35),IF(BJ35="CAPTURA",N(AT35),0)))</f>
        <v/>
      </c>
      <c r="BP35" s="44" t="str">
        <f>IF(BI35&lt;&gt;"SÍ","",IF(BJ35="ETABS",BE35,IF(BJ35="CAPTURA",IF(ISNUMBER(AV35),AV35,N(AT35)),0)))</f>
        <v/>
      </c>
      <c r="BQ35" s="44" t="str">
        <f>IF(BI35&lt;&gt;"SÍ","",IF(BJ35="ETABS",BF35,IF(BJ35="CAPTURA",N(AW35),0)))</f>
        <v/>
      </c>
      <c r="BR35" s="43" t="str">
        <f>IF(BI35&lt;&gt;"SÍ","",IF(BK35&gt;0,100*BQ35/BK35,0))</f>
        <v/>
      </c>
      <c r="BS35" s="44" t="str">
        <f>IF(BI35&lt;&gt;"SÍ","",IF(ISNUMBER(G35),G35,DATOS!$C$57))</f>
        <v/>
      </c>
      <c r="BT35" s="47" t="str">
        <f>IF(BI35&lt;&gt;"SÍ","",IF(ISNUMBER(H35),H35,DATOS!$C$58))</f>
        <v/>
      </c>
      <c r="BU35" s="43" t="str">
        <f>IF(BI35&lt;&gt;"SÍ","",IF(N(K35)&gt;0,1+IF(N(P35)&gt;0,1+IF(N(U35)&gt;0,1+IF(N(Z35)&gt;0,1,0),0),0),0))</f>
        <v/>
      </c>
      <c r="BV35" s="45" t="str">
        <f>IF(BI35&lt;&gt;"SÍ","",IF(AND(OR(BU35&lt;1,AND(N(J35)&gt;=0-0.001,J35+K35&lt;=F35+0.001,N(L35)&gt;=0,N(L35)+N(M35)&lt;=BS35+0.001,N(M35)&gt;0,OR(I35="PUERTA",I35="VENTANA"))),OR(BU35&lt;2,AND(N(O35)&gt;=(J35+K35)-0.001,O35+P35&lt;=F35+0.001,N(Q35)&gt;=0,N(Q35)+N(R35)&lt;=BS35+0.001,N(R35)&gt;0,OR(N35="PUERTA",N35="VENTANA"))),OR(BU35&lt;3,AND(N(T35)&gt;=(O35+P35)-0.001,T35+U35&lt;=F35+0.001,N(V35)&gt;=0,N(V35)+N(W35)&lt;=BS35+0.001,N(W35)&gt;0,OR(S35="PUERTA",S35="VENTANA"))),OR(BU35&lt;4,AND(N(Y35)&gt;=(T35+U35)-0.001,Y35+Z35&lt;=F35+0.001,N(AA35)&gt;=0,N(AA35)+N(AB35)&lt;=BS35+0.001,N(AB35)&gt;0,OR(X35="PUERTA",X35="VENTANA"))),(N(K35)&gt;0)+(N(P35)&gt;0)+(N(U35)&gt;0)+(N(Z35)&gt;0)=BU35),"CUMPLE","REVISAR VANOS: tipo, orden de izquierda a derecha, que quepan en L y en H"))</f>
        <v/>
      </c>
      <c r="BW35" s="44" t="str">
        <f>IF(BI35&lt;&gt;"SÍ","",MAX(0,IF(BU35&gt;=1,N(J35),F35)))</f>
        <v/>
      </c>
      <c r="BX35" s="44" t="str">
        <f>IF(BI35&lt;&gt;"SÍ","",MAX(0,IF(BU35&gt;=2,N(O35)-(N(J35)+N(K35)),IF(BU35=1,F35-(N(J35)+N(K35)),0))))</f>
        <v/>
      </c>
      <c r="BY35" s="44" t="str">
        <f>IF(BI35&lt;&gt;"SÍ","",MAX(0,IF(BU35&gt;=3,N(T35)-(N(O35)+N(P35)),IF(BU35=2,F35-(N(O35)+N(P35)),0))))</f>
        <v/>
      </c>
      <c r="BZ35" s="44" t="str">
        <f>IF(BI35&lt;&gt;"SÍ","",MAX(0,IF(BU35&gt;=4,N(Y35)-(N(T35)+N(U35)),IF(BU35=3,F35-(N(T35)+N(U35)),0))))</f>
        <v/>
      </c>
      <c r="CA35" s="44" t="str">
        <f>IF(BI35&lt;&gt;"SÍ","",MAX(0,IF(BU35=4,F35-(N(Y35)+N(Z35)),0)))</f>
        <v/>
      </c>
      <c r="CB35" s="46" t="str">
        <f>IF(BI35&lt;&gt;"SÍ","",SUMPRODUCT((BW35:CA35&gt;=DATOS!$C$72-0.0001)*BW35:CA35))</f>
        <v/>
      </c>
      <c r="CC35" s="43" t="str">
        <f>IF(BI35&lt;&gt;"SÍ","",SUMPRODUCT(--(BW35:CA35&gt;=DATOS!$C$72-0.0001)))</f>
        <v/>
      </c>
      <c r="CD35" s="44" t="str">
        <f>IF(BI35&lt;&gt;"SÍ","",SUM(BW35:CA35))</f>
        <v/>
      </c>
      <c r="CE35" s="43" t="str">
        <f>IF(BI35&lt;&gt;"SÍ","",BT35*CB35*100)</f>
        <v/>
      </c>
      <c r="CF35" s="43" t="str">
        <f>IF(BI35&lt;&gt;"SÍ","",BT35*CD35*100)</f>
        <v/>
      </c>
      <c r="CG35" s="47" t="str">
        <f>IF(BI35&lt;&gt;"SÍ","",BS35*100/BT35)</f>
        <v/>
      </c>
      <c r="CH35" s="45" t="str">
        <f>IF(BI35&lt;&gt;"SÍ","",IF(AND(OR(DATOS!$C$14="TIPO II",BT35&gt;=12),CG35&lt;=25),"CUMPLE","NO CUMPLE: "&amp;IF(AND(DATOS!$C$14="TIPO I",BT35&lt;12),"t &lt; 12 cm ","")&amp;IF(CG35&gt;25,"H/t &gt; 25","")))</f>
        <v/>
      </c>
      <c r="CI35" s="44" t="str">
        <f>IF(BI35&lt;&gt;"SÍ","",MIN(1.5*BS35,4))</f>
        <v/>
      </c>
      <c r="CJ35" s="43" t="str">
        <f>IF(BI35&lt;&gt;"SÍ","",SUMPRODUCT((BW35:CA35&gt;=2*DATOS!$C$59/100)*INT((BW35:CA35-DATOS!$C$59/100)/CI35-0.000001)*((BW35:CA35-DATOS!$C$59/100)&gt;0)))</f>
        <v/>
      </c>
      <c r="CK35" s="43" t="str">
        <f>IF(BI35&lt;&gt;"SÍ","",SUMPRODUCT((BW35:CA35&gt;0.0001)*1+(BW35:CA35&gt;=2*DATOS!$C$59/100)*1)+CJ35)</f>
        <v/>
      </c>
      <c r="CL35" s="44" t="str">
        <f>IF(BI35&lt;&gt;"SÍ","",IF(ISNUMBER(AC35),AC35,DATOS!$C$61)*INDEX(TABLAS!$D$6:$D$14,MATCH(IF(AD35&lt;&gt;"",AD35,DATOS!$C$62),TABLAS!$B$6:$B$14,0)))</f>
        <v/>
      </c>
      <c r="CM35" s="44" t="str">
        <f>IF(BI35&lt;&gt;"SÍ","",CK35*DATOS!$C$78+IF(CK35&gt;=2,2,CK35)*(CL35-DATOS!$C$78))</f>
        <v/>
      </c>
      <c r="CN35" s="47" t="str">
        <f>IF(BI35&lt;&gt;"SÍ","",MAX(BS35*100/6,40))</f>
        <v/>
      </c>
      <c r="CO35" s="48" t="str">
        <f>IF(BI35&lt;&gt;"SÍ","",IF(CG35&lt;=20,IF(E35="INTERIOR",0.7,0.6),MIN(IF(E35="INTERIOR",0.7,0.6),(1-2/24)*(1-(IF(E35="INTERIOR",0.8,1)*CG35/30)^2))))</f>
        <v/>
      </c>
      <c r="CP35" s="47" t="str">
        <f>IF(BI35&lt;&gt;"SÍ","",DATOS!$C$87*CO35*(DATOS!$C$33*CF35+CM35*DATOS!$C$48)/1000)</f>
        <v/>
      </c>
      <c r="CQ35" s="46" t="str">
        <f>IF(BI35&lt;&gt;"SÍ","",IF(CP35&gt;0,BO35/CP35,99))</f>
        <v/>
      </c>
      <c r="CR35" s="47" t="str">
        <f>IF(BI35&lt;&gt;"SÍ","",MAX(0,F35*100-DATOS!$C$59))</f>
        <v/>
      </c>
      <c r="CS35" s="47" t="str">
        <f>IF(BI35&lt;&gt;"SÍ","",MAX(0,F35*100-DATOS!$C$59/2))</f>
        <v/>
      </c>
      <c r="CT35" s="44" t="str">
        <f>IF(BI35&lt;&gt;"SÍ","",CL35*DATOS!$C$48*CR35/100000)</f>
        <v/>
      </c>
      <c r="CU35" s="44" t="str">
        <f>IF(BI35&lt;&gt;"SÍ","",IF(BN35&lt;0,0.8*CT35*MAX(0,1+BN35/(0.8*CM35*DATOS!$C$48/1000)),IF(BN35&lt;=CP35/3,0.8*CT35+0.3*BN35*CS35/100,(1.5*0.6*CT35+0.15*CP35*CS35/100)*MAX(0,1-BN35/CP35))))</f>
        <v/>
      </c>
      <c r="CV35" s="44" t="str">
        <f>IF(BI35&lt;&gt;"SÍ","",IF(BO35&lt;0,0.8*CT35*MAX(0,1+BO35/(0.8*CM35*DATOS!$C$48/1000)),IF(BO35&lt;=CP35/3,0.8*CT35+0.3*BO35*CS35/100,(1.5*0.6*CT35+0.15*CP35*CS35/100)*MAX(0,1-BO35/CP35))))</f>
        <v/>
      </c>
      <c r="CW35" s="46" t="str">
        <f>IF(BI35&lt;&gt;"SÍ","",MAX(0,MIN(CU35,CV35)))</f>
        <v/>
      </c>
      <c r="CX35" s="49" t="str">
        <f>IF(BI35&lt;&gt;"SÍ","",IF(CW35&gt;0,BL35/CW35,IF(BL35&gt;0,99,0)))</f>
        <v/>
      </c>
      <c r="CY35" s="44" t="str">
        <f>IF(BI35&lt;&gt;"SÍ","",IF(BW35&gt;0,MAX(1,MIN(1.5,1.5-0.625*(BS35/BW35-0.2))),0))</f>
        <v/>
      </c>
      <c r="CZ35" s="44" t="str">
        <f>IF(BI35&lt;&gt;"SÍ","",IF(BX35&gt;0,MAX(1,MIN(1.5,1.5-0.625*(BS35/BX35-0.2))),0))</f>
        <v/>
      </c>
      <c r="DA35" s="44" t="str">
        <f>IF(BI35&lt;&gt;"SÍ","",IF(BY35&gt;0,MAX(1,MIN(1.5,1.5-0.625*(BS35/BY35-0.2))),0))</f>
        <v/>
      </c>
      <c r="DB35" s="44" t="str">
        <f>IF(BI35&lt;&gt;"SÍ","",IF(BZ35&gt;0,MAX(1,MIN(1.5,1.5-0.625*(BS35/BZ35-0.2))),0))</f>
        <v/>
      </c>
      <c r="DC35" s="44" t="str">
        <f>IF(BI35&lt;&gt;"SÍ","",IF(CA35&gt;0,MAX(1,MIN(1.5,1.5-0.625*(BS35/CA35-0.2))),0))</f>
        <v/>
      </c>
      <c r="DD35" s="44" t="str">
        <f>IF(BI35&lt;&gt;"SÍ","",IF(OR(BW35&lt;DATOS!$C$72-0.0001,BM35&lt;0,CB35&lt;=0),0,MIN(DATOS!$C$86*(0.5*DATOS!$C$41*BT35*BW35*100+0.3*BM35*BW35/CB35*1000)*CY35,1.5*DATOS!$C$86*DATOS!$C$41*BT35*BW35*100*CY35)/1000))</f>
        <v/>
      </c>
      <c r="DE35" s="44" t="str">
        <f>IF(BI35&lt;&gt;"SÍ","",IF(OR(BX35&lt;DATOS!$C$72-0.0001,BM35&lt;0,CB35&lt;=0),0,MIN(DATOS!$C$86*(0.5*DATOS!$C$41*BT35*BX35*100+0.3*BM35*BX35/CB35*1000)*CZ35,1.5*DATOS!$C$86*DATOS!$C$41*BT35*BX35*100*CZ35)/1000))</f>
        <v/>
      </c>
      <c r="DF35" s="44" t="str">
        <f>IF(BI35&lt;&gt;"SÍ","",IF(OR(BY35&lt;DATOS!$C$72-0.0001,BM35&lt;0,CB35&lt;=0),0,MIN(DATOS!$C$86*(0.5*DATOS!$C$41*BT35*BY35*100+0.3*BM35*BY35/CB35*1000)*DA35,1.5*DATOS!$C$86*DATOS!$C$41*BT35*BY35*100*DA35)/1000))</f>
        <v/>
      </c>
      <c r="DG35" s="44" t="str">
        <f>IF(BI35&lt;&gt;"SÍ","",IF(OR(BZ35&lt;DATOS!$C$72-0.0001,BM35&lt;0,CB35&lt;=0),0,MIN(DATOS!$C$86*(0.5*DATOS!$C$41*BT35*BZ35*100+0.3*BM35*BZ35/CB35*1000)*DB35,1.5*DATOS!$C$86*DATOS!$C$41*BT35*BZ35*100*DB35)/1000))</f>
        <v/>
      </c>
      <c r="DH35" s="44" t="str">
        <f>IF(BI35&lt;&gt;"SÍ","",IF(OR(CA35&lt;DATOS!$C$72-0.0001,BM35&lt;0,CB35&lt;=0),0,MIN(DATOS!$C$86*(0.5*DATOS!$C$41*BT35*CA35*100+0.3*BM35*CA35/CB35*1000)*DC35,1.5*DATOS!$C$86*DATOS!$C$41*BT35*CA35*100*DC35)/1000))</f>
        <v/>
      </c>
      <c r="DI35" s="46" t="str">
        <f>IF(BI35&lt;&gt;"SÍ","",SUM(DD35:DH35))</f>
        <v/>
      </c>
      <c r="DJ35" s="48" t="str">
        <f>IF(BI35&lt;&gt;"SÍ","",IF(AE35="VARILLA EN JUNTAS",IF(ISNUMBER(AF35),AF35,2)*INDEX(TABLAS!$D$6:$D$14,MATCH(IF(AG35&lt;&gt;"",AG35,DATOS!$C$73),TABLAS!$B$6:$B$14,0)),IF(AE35="MALLA",IF(ISNUMBER(AF35),AF35,1)*INDEX(TABLAS!$D$19:$D$22,MATCH(IF(AG35&lt;&gt;"",AG35,DATOS!$C$74),TABLAS!$B$19:$B$22,0))/100,IF(AE35="ESCALERILLA",IF(ISNUMBER(AF35),AF35,2)*INDEX(TABLAS!$D$6:$D$14,MATCH(IF(AG35&lt;&gt;"",AG35,DATOS!$C$73),TABLAS!$B$6:$B$14,0)),0))))</f>
        <v/>
      </c>
      <c r="DK35" s="47" t="str">
        <f>IF(BI35&lt;&gt;"SÍ","",IF(OR(AE35="VARILLA EN JUNTAS",AE35="ESCALERILLA"),IF(ISNUMBER(AH35),AH35,2)*DATOS!$C$26,IF(AE35="MALLA",1,0)))</f>
        <v/>
      </c>
      <c r="DL35" s="44" t="str">
        <f>IF(BI35&lt;&gt;"SÍ","",IF(DK35&gt;0,DJ35/(DK35*BT35)*MIN(DATOS!$C$50,IF(AE35="MALLA",5000,6000)),0))</f>
        <v/>
      </c>
      <c r="DM35" s="44" t="str">
        <f>IF(BI35&lt;&gt;"SÍ","",IF(AE35="ESCALERILLA",0,MIN(DL35,0.1*DATOS!$C$33*DATOS!$C$24)))</f>
        <v/>
      </c>
      <c r="DN35" s="48" t="str">
        <f>IF(BI35&lt;&gt;"SÍ","",IF(AE35="MALLA",0.5,IF(DATOS!$C$33&lt;=60,0.55,IF(DATOS!$C$33&gt;=90,0.75,0.55+0.2*(DATOS!$C$33-60)/30))))</f>
        <v/>
      </c>
      <c r="DO35" s="48" t="str">
        <f>IF(BI35&lt;&gt;"SÍ","",1-DATOS!$C$91*DM35)</f>
        <v/>
      </c>
      <c r="DP35" s="44" t="str">
        <f>IF(BI35&lt;&gt;"SÍ","",IF(BW35&gt;0,IF(BS35/BW35&lt;=1,1.3,IF(BS35/BW35&gt;=1.5,1,1.3-0.6*(BS35/BW35-1))),0))</f>
        <v/>
      </c>
      <c r="DQ35" s="44" t="str">
        <f>IF(BI35&lt;&gt;"SÍ","",IF(BX35&gt;0,IF(BS35/BX35&lt;=1,1.3,IF(BS35/BX35&gt;=1.5,1,1.3-0.6*(BS35/BX35-1))),0))</f>
        <v/>
      </c>
      <c r="DR35" s="44" t="str">
        <f>IF(BI35&lt;&gt;"SÍ","",IF(BY35&gt;0,IF(BS35/BY35&lt;=1,1.3,IF(BS35/BY35&gt;=1.5,1,1.3-0.6*(BS35/BY35-1))),0))</f>
        <v/>
      </c>
      <c r="DS35" s="44" t="str">
        <f>IF(BI35&lt;&gt;"SÍ","",IF(BZ35&gt;0,IF(BS35/BZ35&lt;=1,1.3,IF(BS35/BZ35&gt;=1.5,1,1.3-0.6*(BS35/BZ35-1))),0))</f>
        <v/>
      </c>
      <c r="DT35" s="44" t="str">
        <f>IF(BI35&lt;&gt;"SÍ","",IF(CA35&gt;0,IF(BS35/CA35&lt;=1,1.3,IF(BS35/CA35&gt;=1.5,1,1.3-0.6*(BS35/CA35-1))),0))</f>
        <v/>
      </c>
      <c r="DU35" s="44" t="str">
        <f>IF(BI35&lt;&gt;"SÍ","",IF(OR(DM35&lt;=0,BW35&lt;DATOS!$C$72-0.0001),0,DATOS!$C$86*MAX(0,IF(BM35&gt;=0,DD35/(DATOS!$C$86*DM35*BT35*BW35*100/1000)*(DP35*DO35-1)+DN35,DO35*DN35))*DM35*BT35*BW35*100/1000))</f>
        <v/>
      </c>
      <c r="DV35" s="44" t="str">
        <f>IF(BI35&lt;&gt;"SÍ","",IF(OR(DM35&lt;=0,BX35&lt;DATOS!$C$72-0.0001),0,DATOS!$C$86*MAX(0,IF(BM35&gt;=0,DE35/(DATOS!$C$86*DM35*BT35*BX35*100/1000)*(DQ35*DO35-1)+DN35,DO35*DN35))*DM35*BT35*BX35*100/1000))</f>
        <v/>
      </c>
      <c r="DW35" s="44" t="str">
        <f>IF(BI35&lt;&gt;"SÍ","",IF(OR(DM35&lt;=0,BY35&lt;DATOS!$C$72-0.0001),0,DATOS!$C$86*MAX(0,IF(BM35&gt;=0,DF35/(DATOS!$C$86*DM35*BT35*BY35*100/1000)*(DR35*DO35-1)+DN35,DO35*DN35))*DM35*BT35*BY35*100/1000))</f>
        <v/>
      </c>
      <c r="DX35" s="44" t="str">
        <f>IF(BI35&lt;&gt;"SÍ","",IF(OR(DM35&lt;=0,BZ35&lt;DATOS!$C$72-0.0001),0,DATOS!$C$86*MAX(0,IF(BM35&gt;=0,DG35/(DATOS!$C$86*DM35*BT35*BZ35*100/1000)*(DS35*DO35-1)+DN35,DO35*DN35))*DM35*BT35*BZ35*100/1000))</f>
        <v/>
      </c>
      <c r="DY35" s="44" t="str">
        <f>IF(BI35&lt;&gt;"SÍ","",IF(OR(DM35&lt;=0,CA35&lt;DATOS!$C$72-0.0001),0,DATOS!$C$86*MAX(0,IF(BM35&gt;=0,DH35/(DATOS!$C$86*DM35*BT35*CA35*100/1000)*(DT35*DO35-1)+DN35,DO35*DN35))*DM35*BT35*CA35*100/1000))</f>
        <v/>
      </c>
      <c r="DZ35" s="46" t="str">
        <f>IF(BI35&lt;&gt;"SÍ","",SUM(DU35:DY35))</f>
        <v/>
      </c>
      <c r="EA35" s="45" t="str">
        <f>IF(BI35&lt;&gt;"SÍ","",IF(OR(AE35="",AE35="NINGUNO"),IF(DATOS!$C$41&gt;=10,"FALTA refuerzo horizontal: v'm ≥ 10 kg/cm² (6.5.2.2)",IF(AND(BM35&lt;0,BK35&gt;0),"FALTA: P en tensión, el refuerzo debe tomar todo el cortante (6.5.1.3)","—")),IF(AE35="ESCALERILLA","NO CUENTA: la escalerilla no se permite para cortante por sismo (6.5.3.1.2)",IF(AE35="MALLA",IF(AND(DL35&gt;=2.5,DL35&lt;=MAX(0.15*DATOS!$C$33*DATOS!$C$24,2.5)),"CUMPLE","NO CUMPLE: "&amp;IF(DL35&lt;2.5,"p_h·f_yh &lt; 2.5 (6.5.4.2.4)","p_h·f_yh &gt; 0.15·f'm·f_an (6.5.4.2.4)")),IF(AND(DK35&lt;=MIN(6*DATOS!$C$26,45),DL35&gt;=3,DL35&lt;=MIN(MAX(0.15*DATOS!$C$33*DATOS!$C$24,3),0.05*DATOS!$C$25/10*MIN(DATOS!$C$50,6000)/DK35),INDEX(TABLAS!$C$6:$C$14,MATCH(IF(AG35&lt;&gt;"",AG35,DATOS!$C$73),TABLAS!$B$6:$B$14,0))&gt;=0.35,INDEX(TABLAS!$C$6:$C$14,MATCH(IF(AG35&lt;&gt;"",AG35,DATOS!$C$73),TABLAS!$B$6:$B$14,0))&lt;=0.75*DATOS!$C$25/10),"CUMPLE","NO CUMPLE: "&amp;IF(DK35&gt;MIN(6*DATOS!$C$26,45),"s_h &gt; 6 hiladas o 45 cm (6.5.3.2.1) ","")&amp;IF(DL35&lt;3,"p_h·f_yh &lt; 3 (6.5.3.3.1) ","")&amp;IF(DL35&gt;MIN(MAX(0.15*DATOS!$C$33*DATOS!$C$24,3),0.05*DATOS!$C$25/10*MIN(DATOS!$C$50,6000)/DK35),"p_h·f_yh &gt; máximo (6.5.3.3.2) ","")&amp;IF(OR(INDEX(TABLAS!$C$6:$C$14,MATCH(IF(AG35&lt;&gt;"",AG35,DATOS!$C$73),TABLAS!$B$6:$B$14,0))&lt;0.35,INDEX(TABLAS!$C$6:$C$14,MATCH(IF(AG35&lt;&gt;"",AG35,DATOS!$C$73),TABLAS!$B$6:$B$14,0))&gt;0.75*DATOS!$C$25/10),"diámetro fuera de 3.5 mm a 0.75·h_j (4.2.2.2.1)",""))))))</f>
        <v/>
      </c>
      <c r="EB35" s="46" t="str">
        <f>IF(BI35&lt;&gt;"SÍ","",DI35+DZ35)</f>
        <v/>
      </c>
      <c r="EC35" s="50" t="str">
        <f>IF(BI35&lt;&gt;"SÍ","",IF(EB35&gt;0,BK35/EB35,IF(BK35&gt;0,99,0)))</f>
        <v/>
      </c>
      <c r="ED35" s="47" t="str">
        <f>IF(BI35&lt;&gt;"SÍ","",IF(CE35&lt;=0,-1,IF(BK35&lt;=DI35,0,IF(IF(BM35&gt;=0,IF((DATOS!$C$86*IF(AE35="MALLA",0.5,IF(DATOS!$C$33&lt;=60,0.55,IF(DATOS!$C$33&gt;=90,0.75,0.55+0.2*(DATOS!$C$33-60)/30)))*CE35/1000-DATOS!$C$91*SUMPRODUCT(DP35:DT35,DD35:DH35))&lt;=0,1E9,(BK35-SUMPRODUCT(DP35:DT35,DD35:DH35))/(DATOS!$C$86*IF(AE35="MALLA",0.5,IF(DATOS!$C$33&lt;=60,0.55,IF(DATOS!$C$33&gt;=90,0.75,0.55+0.2*(DATOS!$C$33-60)/30)))*CE35/1000-DATOS!$C$91*SUMPRODUCT(DP35:DT35,DD35:DH35))),IF((1-4*DATOS!$C$91*BK35*1000/(DATOS!$C$86*IF(AE35="MALLA",0.5,IF(DATOS!$C$33&lt;=60,0.55,IF(DATOS!$C$33&gt;=90,0.75,0.55+0.2*(DATOS!$C$33-60)/30)))*MAX(CE35,1)))&lt;0,1E9,(1-SQRT((1-4*DATOS!$C$91*BK35*1000/(DATOS!$C$86*IF(AE35="MALLA",0.5,IF(DATOS!$C$33&lt;=60,0.55,IF(DATOS!$C$33&gt;=90,0.75,0.55+0.2*(DATOS!$C$33-60)/30)))*MAX(CE35,1)))))/(2*DATOS!$C$91)))&gt;0.1*DATOS!$C$33*DATOS!$C$24+0.000001,-1,MAX(IF(AE35="MALLA",2.5,3),IF(BM35&gt;=0,IF((DATOS!$C$86*IF(AE35="MALLA",0.5,IF(DATOS!$C$33&lt;=60,0.55,IF(DATOS!$C$33&gt;=90,0.75,0.55+0.2*(DATOS!$C$33-60)/30)))*CE35/1000-DATOS!$C$91*SUMPRODUCT(DP35:DT35,DD35:DH35))&lt;=0,1E9,(BK35-SUMPRODUCT(DP35:DT35,DD35:DH35))/(DATOS!$C$86*IF(AE35="MALLA",0.5,IF(DATOS!$C$33&lt;=60,0.55,IF(DATOS!$C$33&gt;=90,0.75,0.55+0.2*(DATOS!$C$33-60)/30)))*CE35/1000-DATOS!$C$91*SUMPRODUCT(DP35:DT35,DD35:DH35))),IF((1-4*DATOS!$C$91*BK35*1000/(DATOS!$C$86*IF(AE35="MALLA",0.5,IF(DATOS!$C$33&lt;=60,0.55,IF(DATOS!$C$33&gt;=90,0.75,0.55+0.2*(DATOS!$C$33-60)/30)))*MAX(CE35,1)))&lt;0,1E9,(1-SQRT((1-4*DATOS!$C$91*BK35*1000/(DATOS!$C$86*IF(AE35="MALLA",0.5,IF(DATOS!$C$33&lt;=60,0.55,IF(DATOS!$C$33&gt;=90,0.75,0.55+0.2*(DATOS!$C$33-60)/30)))*MAX(CE35,1)))))/(2*DATOS!$C$91))))))))</f>
        <v/>
      </c>
      <c r="EE35" s="45" t="str">
        <f>IF(BI35&lt;&gt;"SÍ","",IF(ED35=0,"NO REQUIERE: V_mR ≥ V_u",IF(ED35&lt;0,"NO ALCANZA con refuerzo horizontal (haría falta más de 0.1·f'm·f_an efectivo): sube v'm con ensayes, el espesor o la longitud del muro",IF(AND(OR(AE35="VARILLA EN JUNTAS",AE35="MALLA"),LEFT(EA35,6)="CUMPLE",EC35&lt;=1),"YA LO TIENE (pide p_h·f_yh ≥ "&amp;TEXT(ED35,"0.0")&amp;" kg/cm²)","p_h·f_yh ≥ "&amp;TEXT(ED35,"0.0")&amp;" kg/cm² → "&amp;IF(AND(MIN(6,FLOOR(45/DATOS!$C$26,1),FLOOR((2*INDEX(TABLAS!$D$6:$D$14,MATCH("3/16 in",TABLAS!$B$6:$B$14,0)))*MIN(DATOS!$C$50,6000)/(BT35*DATOS!$C$26*MAX(ED35,0.001)),1))&gt;=1,((2*INDEX(TABLAS!$D$6:$D$14,MATCH("3/16 in",TABLAS!$B$6:$B$14,0)))*MIN(DATOS!$C$50,6000)/(MAX(MIN(6,FLOOR(45/DATOS!$C$26,1),FLOOR((2*INDEX(TABLAS!$D$6:$D$14,MATCH("3/16 in",TABLAS!$B$6:$B$14,0)))*MIN(DATOS!$C$50,6000)/(BT35*DATOS!$C$26*MAX(ED35,0.001)),1)),1)*DATOS!$C$26*BT35))&lt;=MIN(MAX(0.15*DATOS!$C$33*DATOS!$C$24,3),0.05*DATOS!$C$25/10*MIN(DATOS!$C$50,6000)/(MIN(6,FLOOR(45/DATOS!$C$26,1),FLOOR((2*INDEX(TABLAS!$D$6:$D$14,MATCH("3/16 in",TABLAS!$B$6:$B$14,0)))*MIN(DATOS!$C$50,6000)/(BT35*DATOS!$C$26*MAX(ED35,0.001)),1))*DATOS!$C$26))),"2 alambres de 3/16"" por junta cada "&amp;MIN(6,FLOOR(45/DATOS!$C$26,1),FLOOR((2*INDEX(TABLAS!$D$6:$D$14,MATCH("3/16 in",TABLAS!$B$6:$B$14,0)))*MIN(DATOS!$C$50,6000)/(BT35*DATOS!$C$26*MAX(ED35,0.001)),1))&amp;" hilada(s) (p_h·f_yh = "&amp;TEXT(((2*INDEX(TABLAS!$D$6:$D$14,MATCH("3/16 in",TABLAS!$B$6:$B$14,0)))*MIN(DATOS!$C$50,6000)/(MAX(MIN(6,FLOOR(45/DATOS!$C$26,1),FLOOR((2*INDEX(TABLAS!$D$6:$D$14,MATCH("3/16 in",TABLAS!$B$6:$B$14,0)))*MIN(DATOS!$C$50,6000)/(BT35*DATOS!$C$26*MAX(ED35,0.001)),1)),1)*DATOS!$C$26*BT35)),"0.00")&amp;")",IF(AND(MIN(6,FLOOR(45/DATOS!$C$26,1),FLOOR((2*INDEX(TABLAS!$D$6:$D$14,MATCH("5/32 in",TABLAS!$B$6:$B$14,0)))*MIN(DATOS!$C$50,6000)/(BT35*DATOS!$C$26*MAX(ED35,0.001)),1))&gt;=1,((2*INDEX(TABLAS!$D$6:$D$14,MATCH("5/32 in",TABLAS!$B$6:$B$14,0)))*MIN(DATOS!$C$50,6000)/(MAX(MIN(6,FLOOR(45/DATOS!$C$26,1),FLOOR((2*INDEX(TABLAS!$D$6:$D$14,MATCH("5/32 in",TABLAS!$B$6:$B$14,0)))*MIN(DATOS!$C$50,6000)/(BT35*DATOS!$C$26*MAX(ED35,0.001)),1)),1)*DATOS!$C$26*BT35))&lt;=MIN(MAX(0.15*DATOS!$C$33*DATOS!$C$24,3),0.05*DATOS!$C$25/10*MIN(DATOS!$C$50,6000)/(MIN(6,FLOOR(45/DATOS!$C$26,1),FLOOR((2*INDEX(TABLAS!$D$6:$D$14,MATCH("5/32 in",TABLAS!$B$6:$B$14,0)))*MIN(DATOS!$C$50,6000)/(BT35*DATOS!$C$26*MAX(ED35,0.001)),1))*DATOS!$C$26))),"2 alambres de 5/32"" por junta cada "&amp;MIN(6,FLOOR(45/DATOS!$C$26,1),FLOOR((2*INDEX(TABLAS!$D$6:$D$14,MATCH("5/32 in",TABLAS!$B$6:$B$14,0)))*MIN(DATOS!$C$50,6000)/(BT35*DATOS!$C$26*MAX(ED35,0.001)),1))&amp;" hilada(s) (p_h·f_yh = "&amp;TEXT(((2*INDEX(TABLAS!$D$6:$D$14,MATCH("5/32 in",TABLAS!$B$6:$B$14,0)))*MIN(DATOS!$C$50,6000)/(MAX(MIN(6,FLOOR(45/DATOS!$C$26,1),FLOOR((2*INDEX(TABLAS!$D$6:$D$14,MATCH("5/32 in",TABLAS!$B$6:$B$14,0)))*MIN(DATOS!$C$50,6000)/(BT35*DATOS!$C$26*MAX(ED35,0.001)),1)),1)*DATOS!$C$26*BT35)),"0.00")&amp;")",IF(AND(MIN(6,FLOOR(45/DATOS!$C$26,1),FLOOR((1*INDEX(TABLAS!$D$6:$D$14,MATCH("3/16 in",TABLAS!$B$6:$B$14,0)))*MIN(DATOS!$C$50,6000)/(BT35*DATOS!$C$26*MAX(ED35,0.001)),1))&gt;=1,((1*INDEX(TABLAS!$D$6:$D$14,MATCH("3/16 in",TABLAS!$B$6:$B$14,0)))*MIN(DATOS!$C$50,6000)/(MAX(MIN(6,FLOOR(45/DATOS!$C$26,1),FLOOR((1*INDEX(TABLAS!$D$6:$D$14,MATCH("3/16 in",TABLAS!$B$6:$B$14,0)))*MIN(DATOS!$C$50,6000)/(BT35*DATOS!$C$26*MAX(ED35,0.001)),1)),1)*DATOS!$C$26*BT35))&lt;=MIN(MAX(0.15*DATOS!$C$33*DATOS!$C$24,3),0.05*DATOS!$C$25/10*MIN(DATOS!$C$50,6000)/(MIN(6,FLOOR(45/DATOS!$C$26,1),FLOOR((1*INDEX(TABLAS!$D$6:$D$14,MATCH("3/16 in",TABLAS!$B$6:$B$14,0)))*MIN(DATOS!$C$50,6000)/(BT35*DATOS!$C$26*MAX(ED35,0.001)),1))*DATOS!$C$26))),"1 alambre de 3/16"" por junta cada "&amp;MIN(6,FLOOR(45/DATOS!$C$26,1),FLOOR((1*INDEX(TABLAS!$D$6:$D$14,MATCH("3/16 in",TABLAS!$B$6:$B$14,0)))*MIN(DATOS!$C$50,6000)/(BT35*DATOS!$C$26*MAX(ED35,0.001)),1))&amp;" hilada(s) (p_h·f_yh = "&amp;TEXT(((1*INDEX(TABLAS!$D$6:$D$14,MATCH("3/16 in",TABLAS!$B$6:$B$14,0)))*MIN(DATOS!$C$50,6000)/(MAX(MIN(6,FLOOR(45/DATOS!$C$26,1),FLOOR((1*INDEX(TABLAS!$D$6:$D$14,MATCH("3/16 in",TABLAS!$B$6:$B$14,0)))*MIN(DATOS!$C$50,6000)/(BT35*DATOS!$C$26*MAX(ED35,0.001)),1)),1)*DATOS!$C$26*BT35)),"0.00")&amp;")",IF(AND(MIN(6,FLOOR(45/DATOS!$C$26,1),FLOOR((1*INDEX(TABLAS!$D$6:$D$14,MATCH("5/32 in",TABLAS!$B$6:$B$14,0)))*MIN(DATOS!$C$50,6000)/(BT35*DATOS!$C$26*MAX(ED35,0.001)),1))&gt;=1,((1*INDEX(TABLAS!$D$6:$D$14,MATCH("5/32 in",TABLAS!$B$6:$B$14,0)))*MIN(DATOS!$C$50,6000)/(MAX(MIN(6,FLOOR(45/DATOS!$C$26,1),FLOOR((1*INDEX(TABLAS!$D$6:$D$14,MATCH("5/32 in",TABLAS!$B$6:$B$14,0)))*MIN(DATOS!$C$50,6000)/(BT35*DATOS!$C$26*MAX(ED35,0.001)),1)),1)*DATOS!$C$26*BT35))&lt;=MIN(MAX(0.15*DATOS!$C$33*DATOS!$C$24,3),0.05*DATOS!$C$25/10*MIN(DATOS!$C$50,6000)/(MIN(6,FLOOR(45/DATOS!$C$26,1),FLOOR((1*INDEX(TABLAS!$D$6:$D$14,MATCH("5/32 in",TABLAS!$B$6:$B$14,0)))*MIN(DATOS!$C$50,6000)/(BT35*DATOS!$C$26*MAX(ED35,0.001)),1))*DATOS!$C$26))),"1 alambre de 5/32"" por junta cada "&amp;MIN(6,FLOOR(45/DATOS!$C$26,1),FLOOR((1*INDEX(TABLAS!$D$6:$D$14,MATCH("5/32 in",TABLAS!$B$6:$B$14,0)))*MIN(DATOS!$C$50,6000)/(BT35*DATOS!$C$26*MAX(ED35,0.001)),1))&amp;" hilada(s) (p_h·f_yh = "&amp;TEXT(((1*INDEX(TABLAS!$D$6:$D$14,MATCH("5/32 in",TABLAS!$B$6:$B$14,0)))*MIN(DATOS!$C$50,6000)/(MAX(MIN(6,FLOOR(45/DATOS!$C$26,1),FLOOR((1*INDEX(TABLAS!$D$6:$D$14,MATCH("5/32 in",TABLAS!$B$6:$B$14,0)))*MIN(DATOS!$C$50,6000)/(BT35*DATOS!$C$26*MAX(ED35,0.001)),1)),1)*DATOS!$C$26*BT35)),"0.00")&amp;")","ninguna combinación de 1 o 2 alambres por junta queda entre el mínimo y el máximo: revisa con malla (6.5.4)"))))))))</f>
        <v/>
      </c>
      <c r="EF35" s="43" t="str">
        <f>IF(BI35&lt;&gt;"SÍ","",IF(AI35="SÍ",N(AK35)*N(AL35)^3/12,0))</f>
        <v/>
      </c>
      <c r="EG35" s="48" t="str">
        <f>IF(BI35&lt;&gt;"SÍ","",IF(AND(AI35="SÍ",N(AM35)&gt;0),MIN(1,F35/AM35),0))</f>
        <v/>
      </c>
      <c r="EH35" s="47" t="str">
        <f>IF(BI35&lt;&gt;"SÍ","",IF(AI35="SÍ",BP35*1000/(BT35*F35*100)*BT35*(EG35^4-4*EG35^3+8*EG35),0))</f>
        <v/>
      </c>
      <c r="EI35" s="48" t="str">
        <f>IF(BI35&lt;&gt;"SÍ","",IF(AND(AI35="SÍ",EH35&gt;0),EH35/(EH35+5*N(AN35)*10),0))</f>
        <v/>
      </c>
      <c r="EJ35" s="44" t="str">
        <f>IF(BI35&lt;&gt;"SÍ","",IF(AND(AI35="SÍ",EI35&gt;0,EF35&gt;0),(DATOS!$C$43*BT35*(AM35*100)^3/(DATOS!$C$53*EF35*EI35))^0.25,0))</f>
        <v/>
      </c>
      <c r="EK35" s="44" t="str">
        <f>IF(BI35&lt;&gt;"SÍ","",IF(AI35&lt;&gt;"SÍ",0,IF(N(AM35)&lt;=F35,1,IF(MIN(1,N(AO35)/((AM35-F35)/2))&lt;=0.5,0.7+0.6*MIN(1,N(AO35)/((AM35-F35)/2)),1.5-MIN(1,N(AO35)/((AM35-F35)/2))))))</f>
        <v/>
      </c>
      <c r="EL35" s="44" t="str">
        <f>IF(BI35&lt;&gt;"SÍ","",IF(AI35&lt;&gt;"SÍ",0,MAX(1,IF(EG35&gt;=1,(1.6*EJ35-3.9),IF(EG35&lt;0.9,((3.2*EJ35-7.8)*EK35),((3.2*EJ35-7.8)*EK35)+((1.6*EJ35-3.9)-((3.2*EJ35-7.8)*EK35))*(EG35-0.9)/0.1)))))</f>
        <v/>
      </c>
      <c r="EM35" s="47" t="str">
        <f>IF(BI35&lt;&gt;"SÍ","",IF(AI35="SÍ",EL35*BP35*1000/(BT35*F35*100),0))</f>
        <v/>
      </c>
      <c r="EN35" s="47" t="str">
        <f>IF(BI35&lt;&gt;"SÍ","",IF(AND(AI35="SÍ",N(AL35)&gt;0),AM35*100/AL35,0))</f>
        <v/>
      </c>
      <c r="EO35" s="47" t="str">
        <f>IF(BI35&lt;&gt;"SÍ","",IF(AI35="SÍ",(1/15*DATOS!$C$53*N(AK35)/MAX((IF(ISNUMBER(AP35),AP35,BP35/DATOS!$C$90)*1000/(BT35*F35*100)*BT35*(EG35^4-4*EG35^3+8*EG35))+5*N(AN35)/DATOS!$C$90*10,0.001))^(1/3),0))</f>
        <v/>
      </c>
      <c r="EP35" s="45" t="str">
        <f>IF(BI35&lt;&gt;"SÍ","",IF(AI35&lt;&gt;"SÍ","—",IF(OR(N(AK35)&lt;=0,N(AL35)&lt;=0,N(AM35)&lt;=0),"REVISAR: faltan b, h o L_v de la viga",IF(AND(EM35&lt;=DATOS!$C$87*DATOS!$C$33,EN35&lt;=14,N(AL35)&gt;=25,EN35&lt;=EO35),IF(BS35/F35&lt;0.6,"PENDIENTE: H/L &lt; 0.6, falta el análisis de interacción muro–viga (4.1.18.2.1); f_CM es estimado","CUMPLE"),"NO CUMPLE: "&amp;IF(EM35&gt;DATOS!$C$87*DATOS!$C$33,"f_CM &gt; F_R·f'm ","")&amp;IF(EN35&gt;14,"L_v/h_v &gt; 14 ","")&amp;IF(N(AL35)&lt;25,"h_v &lt; 25 cm ","")&amp;IF(EN35&gt;EO35,"flecha (4.1.18.3)","")))))</f>
        <v/>
      </c>
      <c r="EQ35" s="44" t="str">
        <f>IF(BI35&lt;&gt;"SÍ","",MAX(0,F35*BS35-(N(K35)*N(M35)+N(P35)*N(R35)+N(U35)*N(W35)+N(Z35)*N(AB35))-CK35*DATOS!$C$59/100*BS35))</f>
        <v/>
      </c>
      <c r="ER35" s="48" t="str">
        <f>IF(BI35&lt;&gt;"SÍ","",CK35*DATOS!$C$59*DATOS!$C$60/10000*BS35)</f>
        <v/>
      </c>
      <c r="ES35" s="47" t="str">
        <f>IF(BI35&lt;&gt;"SÍ","",CK35*(DATOS!$C$61*(BS35+0.6)*INDEX(TABLAS!$E$6:$E$14,MATCH(DATOS!$C$62,TABLAS!$B$6:$B$14,0))+(2*ROUNDUP(CN35/DATOS!$C$65,0)+ROUNDUP(MAX(0,BS35*100-2*CN35)/DATOS!$C$64,0))*((2*(DATOS!$C$60+DATOS!$C$59-4*(DATOS!$C$66-INDEX(TABLAS!$C$6:$C$14,MATCH(DATOS!$C$63,TABLAS!$B$6:$B$14,0))))+15)/100)*INDEX(TABLAS!$E$6:$E$14,MATCH(DATOS!$C$63,TABLAS!$B$6:$B$14,0))))</f>
        <v/>
      </c>
      <c r="ET35" s="47" t="str">
        <f>IF(BI35&lt;&gt;"SÍ","",IF(OR(AE35="VARILLA EN JUNTAS",AE35="ESCALERILLA"),INT(BS35*100/MAX(DK35,1))*IF(ISNUMBER(AF35),AF35,2)*CB35*INDEX(TABLAS!$E$6:$E$14,MATCH(IF(AG35&lt;&gt;"",AG35,DATOS!$C$73),TABLAS!$B$6:$B$14,0)),IF(AE35="MALLA",IF(ISNUMBER(AF35),AF35,1)*CB35*BS35*INDEX(TABLAS!$E$19:$E$22,MATCH(IF(AG35&lt;&gt;"",AG35,DATOS!$C$74),TABLAS!$B$19:$B$22,0)),0)))</f>
        <v/>
      </c>
      <c r="EU35" s="45" t="str">
        <f>IF(BI35&lt;&gt;"SÍ","",""&amp;IF(BJ35="NO ESTÁ EN PIER_FORCES","sin fuerzas en PIER_FORCES; ","")&amp;IF(BV35&lt;&gt;"CUMPLE","vanos; ","")&amp;IF(LEFT(CH35,2)="NO","espesor o esbeltez; ","")&amp;IF(CQ35&gt;1,"compresión; ","")&amp;IF(CX35&gt;1,"flexión; ","")&amp;IF(CB35&lt;=0,"sin tramos de muro (todos son machones menores que L mín.: diséñalos como columnas o baja L mín.); ",IF(EC35&gt;1,"cortante; ",""))&amp;IF(OR(LEFT(EA35,2)="NO",LEFT(EA35,5)="FALTA"),"refuerzo horizontal; ","")&amp;IF(OR(LEFT(EP35,2)="NO",LEFT(EP35,7)="REVISAR"),"muro sobre viga; ","")&amp;IF(LEFT(DATOS!$C$81,2)="NO","castillo típico; ","")&amp;IF(LEFT(DATOS!$C$82,2)="NO","dala típica; ","")&amp;IF(AND(BT35&lt;&gt;DATOS!$C$58,DATOS!$C$60&lt;BT35),"castillo más angosto que el muro; ",""))</f>
        <v/>
      </c>
      <c r="EV35" s="45" t="str">
        <f>IF(BI35&lt;&gt;"SÍ","",""&amp;IF(LEFT(EP35,9)="PENDIENTE","análisis muro–viga (H/L &lt; 0.6); ","")&amp;IF(BR35&gt;50,"V_u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5" s="51" t="str">
        <f>IF(BI35&lt;&gt;"SÍ","",IF(EU35&lt;&gt;"","NO CUMPLE: "&amp;LEFT(EU35,LEN(EU35)-2),IF(EV35&lt;&gt;"","CUMPLE — PENDIENTE: "&amp;LEFT(EV35,LEN(EV35)-2),"CUMPLE")))</f>
        <v/>
      </c>
      <c r="EX35" s="52" t="n"/>
    </row>
    <row r="36" ht="30" customHeight="1">
      <c r="A36" s="38" t="str">
        <f>IF(B36="","",ROW()-10)</f>
        <v/>
      </c>
      <c r="B36" s="28" t="n"/>
      <c r="C36" s="39" t="n"/>
      <c r="D36" s="39" t="n"/>
      <c r="E36" s="39" t="n"/>
      <c r="F36" s="40" t="n"/>
      <c r="G36" s="40" t="n"/>
      <c r="H36" s="41" t="n"/>
      <c r="I36" s="39" t="n"/>
      <c r="J36" s="40" t="n"/>
      <c r="K36" s="40" t="n"/>
      <c r="L36" s="40" t="n"/>
      <c r="M36" s="40" t="n"/>
      <c r="N36" s="39" t="n"/>
      <c r="O36" s="40" t="n"/>
      <c r="P36" s="40" t="n"/>
      <c r="Q36" s="40" t="n"/>
      <c r="R36" s="40" t="n"/>
      <c r="S36" s="39" t="n"/>
      <c r="T36" s="40" t="n"/>
      <c r="U36" s="40" t="n"/>
      <c r="V36" s="40" t="n"/>
      <c r="W36" s="40" t="n"/>
      <c r="X36" s="39" t="n"/>
      <c r="Y36" s="40" t="n"/>
      <c r="Z36" s="40" t="n"/>
      <c r="AA36" s="40" t="n"/>
      <c r="AB36" s="40" t="n"/>
      <c r="AC36" s="41" t="n"/>
      <c r="AD36" s="41" t="n"/>
      <c r="AE36" s="39" t="n"/>
      <c r="AF36" s="41" t="n"/>
      <c r="AG36" s="41" t="n"/>
      <c r="AH36" s="41" t="n"/>
      <c r="AI36" s="39" t="n"/>
      <c r="AJ36" s="39" t="n"/>
      <c r="AK36" s="41" t="n"/>
      <c r="AL36" s="41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2" t="str">
        <f>IF(B36="","",C36&amp;"|"&amp;B36)</f>
        <v/>
      </c>
      <c r="AY36" s="43" t="str">
        <f>IF(B36="","",COUNTIFS(PIER_FORCES!$O$9:$O$3008,26,PIER_FORCES!$P$9:$P$3008,1))</f>
        <v/>
      </c>
      <c r="AZ36" s="43" t="str">
        <f>IF(B36="","",COUNTIFS(PIER_FORCES!$O$9:$O$3008,26,PIER_FORCES!$P$9:$P$3008,2))</f>
        <v/>
      </c>
      <c r="BA36" s="44">
        <f>IF(N(AY36)=0,0,SUMPRODUCT(MAX((PIER_FORCES!$O$9:$O$3008=26)*(PIER_FORCES!$P$9:$P$3008=1)*PIER_FORCES!$R$9:$R$3008)))</f>
        <v>0</v>
      </c>
      <c r="BB36" s="44">
        <f>IF(N(AY36)=0,0,SUMPRODUCT(MAX((PIER_FORCES!$O$9:$O$3008=26)*(PIER_FORCES!$P$9:$P$3008=1)*PIER_FORCES!$S$9:$S$3008)))</f>
        <v>0</v>
      </c>
      <c r="BC36" s="44">
        <f>IF(N(AY36)=0,0,-SUMPRODUCT(MAX((PIER_FORCES!$O$9:$O$3008=26)*(PIER_FORCES!$P$9:$P$3008=1)*(-PIER_FORCES!$Q$9:$Q$3008)+(1-(PIER_FORCES!$O$9:$O$3008=26)*(PIER_FORCES!$P$9:$P$3008=1))*(-1E9))))</f>
        <v>0</v>
      </c>
      <c r="BD36" s="44">
        <f>IF(N(AY36)=0,0,SUMPRODUCT(MAX((PIER_FORCES!$O$9:$O$3008=26)*(PIER_FORCES!$P$9:$P$3008=1)*PIER_FORCES!$Q$9:$Q$3008+(1-(PIER_FORCES!$O$9:$O$3008=26)*(PIER_FORCES!$P$9:$P$3008=1))*(-1E9))))</f>
        <v>0</v>
      </c>
      <c r="BE36" s="44">
        <f>IF(N(AZ36)=0,BD36,SUMPRODUCT(MAX((PIER_FORCES!$O$9:$O$3008=26)*(PIER_FORCES!$P$9:$P$3008=2)*PIER_FORCES!$Q$9:$Q$3008+(1-(PIER_FORCES!$O$9:$O$3008=26)*(PIER_FORCES!$P$9:$P$3008=2))*(-1E9))))</f>
        <v>0</v>
      </c>
      <c r="BF36" s="44">
        <f>IF(N(AZ36)=0,0,SUMPRODUCT(MAX((PIER_FORCES!$O$9:$O$3008=26)*(PIER_FORCES!$P$9:$P$3008=2)*PIER_FORCES!$R$9:$R$3008)))</f>
        <v>0</v>
      </c>
      <c r="BG36" s="43">
        <f>IF(N(AY36)=0,0,SUMPRODUCT(MAX((PIER_FORCES!$O$9:$O$3008=26)*(PIER_FORCES!$P$9:$P$3008=1)*(ABS(PIER_FORCES!$R$9:$R$3008-BA36)&lt;0.000001)*PIER_FORCES!$T$9:$T$3008)))</f>
        <v>0</v>
      </c>
      <c r="BH36" s="45" t="str">
        <f>IF(N(BG36)=0,"",INDEX(PIER_FORCES!$D$9:$D$3008,BG36)&amp;" "&amp;INDEX(PIER_FORCES!$F$9:$F$3008,BG36)&amp;" / "&amp;INDEX(PIER_FORCES!$G$9:$G$3008,BG36))</f>
        <v/>
      </c>
      <c r="BI36" s="42" t="str">
        <f>IF(B36="","",IF(AND(C36&lt;&gt;"",OR(D36="X",D36="Y"),ISNUMBER(F36),N(F36)&gt;0),"SÍ","NO"))</f>
        <v/>
      </c>
      <c r="BJ36" s="42" t="str">
        <f>IF(BI36&lt;&gt;"SÍ","",IF(DATOS!$C$108="ETABS (PIER_FORCES)",IF(N(AY36)&gt;0,"ETABS","NO ESTÁ EN PIER_FORCES"),"CAPTURA"))</f>
        <v/>
      </c>
      <c r="BK36" s="46" t="str">
        <f>IF(BI36&lt;&gt;"SÍ","",IF(BJ36="ETABS",BA36,IF(BJ36="CAPTURA",N(AQ36),0)))</f>
        <v/>
      </c>
      <c r="BL36" s="46" t="str">
        <f>IF(BI36&lt;&gt;"SÍ","",IF(BJ36="ETABS",BB36,IF(BJ36="CAPTURA",N(AR36),0)))</f>
        <v/>
      </c>
      <c r="BM36" s="46" t="str">
        <f>IF(BI36&lt;&gt;"SÍ","",IF(BJ36="ETABS",BC36/DATOS!$C$89,IF(BJ36="CAPTURA",N(AS36),0)))</f>
        <v/>
      </c>
      <c r="BN36" s="44" t="str">
        <f>IF(BI36&lt;&gt;"SÍ","",IF(BJ36="ETABS",BC36,IF(BJ36="CAPTURA",IF(ISNUMBER(AU36),AU36,N(AS36)*DATOS!$C$89),0)))</f>
        <v/>
      </c>
      <c r="BO36" s="44" t="str">
        <f>IF(BI36&lt;&gt;"SÍ","",IF(BJ36="ETABS",MAX(BD36,BE36),IF(BJ36="CAPTURA",N(AT36),0)))</f>
        <v/>
      </c>
      <c r="BP36" s="44" t="str">
        <f>IF(BI36&lt;&gt;"SÍ","",IF(BJ36="ETABS",BE36,IF(BJ36="CAPTURA",IF(ISNUMBER(AV36),AV36,N(AT36)),0)))</f>
        <v/>
      </c>
      <c r="BQ36" s="44" t="str">
        <f>IF(BI36&lt;&gt;"SÍ","",IF(BJ36="ETABS",BF36,IF(BJ36="CAPTURA",N(AW36),0)))</f>
        <v/>
      </c>
      <c r="BR36" s="43" t="str">
        <f>IF(BI36&lt;&gt;"SÍ","",IF(BK36&gt;0,100*BQ36/BK36,0))</f>
        <v/>
      </c>
      <c r="BS36" s="44" t="str">
        <f>IF(BI36&lt;&gt;"SÍ","",IF(ISNUMBER(G36),G36,DATOS!$C$57))</f>
        <v/>
      </c>
      <c r="BT36" s="47" t="str">
        <f>IF(BI36&lt;&gt;"SÍ","",IF(ISNUMBER(H36),H36,DATOS!$C$58))</f>
        <v/>
      </c>
      <c r="BU36" s="43" t="str">
        <f>IF(BI36&lt;&gt;"SÍ","",IF(N(K36)&gt;0,1+IF(N(P36)&gt;0,1+IF(N(U36)&gt;0,1+IF(N(Z36)&gt;0,1,0),0),0),0))</f>
        <v/>
      </c>
      <c r="BV36" s="45" t="str">
        <f>IF(BI36&lt;&gt;"SÍ","",IF(AND(OR(BU36&lt;1,AND(N(J36)&gt;=0-0.001,J36+K36&lt;=F36+0.001,N(L36)&gt;=0,N(L36)+N(M36)&lt;=BS36+0.001,N(M36)&gt;0,OR(I36="PUERTA",I36="VENTANA"))),OR(BU36&lt;2,AND(N(O36)&gt;=(J36+K36)-0.001,O36+P36&lt;=F36+0.001,N(Q36)&gt;=0,N(Q36)+N(R36)&lt;=BS36+0.001,N(R36)&gt;0,OR(N36="PUERTA",N36="VENTANA"))),OR(BU36&lt;3,AND(N(T36)&gt;=(O36+P36)-0.001,T36+U36&lt;=F36+0.001,N(V36)&gt;=0,N(V36)+N(W36)&lt;=BS36+0.001,N(W36)&gt;0,OR(S36="PUERTA",S36="VENTANA"))),OR(BU36&lt;4,AND(N(Y36)&gt;=(T36+U36)-0.001,Y36+Z36&lt;=F36+0.001,N(AA36)&gt;=0,N(AA36)+N(AB36)&lt;=BS36+0.001,N(AB36)&gt;0,OR(X36="PUERTA",X36="VENTANA"))),(N(K36)&gt;0)+(N(P36)&gt;0)+(N(U36)&gt;0)+(N(Z36)&gt;0)=BU36),"CUMPLE","REVISAR VANOS: tipo, orden de izquierda a derecha, que quepan en L y en H"))</f>
        <v/>
      </c>
      <c r="BW36" s="44" t="str">
        <f>IF(BI36&lt;&gt;"SÍ","",MAX(0,IF(BU36&gt;=1,N(J36),F36)))</f>
        <v/>
      </c>
      <c r="BX36" s="44" t="str">
        <f>IF(BI36&lt;&gt;"SÍ","",MAX(0,IF(BU36&gt;=2,N(O36)-(N(J36)+N(K36)),IF(BU36=1,F36-(N(J36)+N(K36)),0))))</f>
        <v/>
      </c>
      <c r="BY36" s="44" t="str">
        <f>IF(BI36&lt;&gt;"SÍ","",MAX(0,IF(BU36&gt;=3,N(T36)-(N(O36)+N(P36)),IF(BU36=2,F36-(N(O36)+N(P36)),0))))</f>
        <v/>
      </c>
      <c r="BZ36" s="44" t="str">
        <f>IF(BI36&lt;&gt;"SÍ","",MAX(0,IF(BU36&gt;=4,N(Y36)-(N(T36)+N(U36)),IF(BU36=3,F36-(N(T36)+N(U36)),0))))</f>
        <v/>
      </c>
      <c r="CA36" s="44" t="str">
        <f>IF(BI36&lt;&gt;"SÍ","",MAX(0,IF(BU36=4,F36-(N(Y36)+N(Z36)),0)))</f>
        <v/>
      </c>
      <c r="CB36" s="46" t="str">
        <f>IF(BI36&lt;&gt;"SÍ","",SUMPRODUCT((BW36:CA36&gt;=DATOS!$C$72-0.0001)*BW36:CA36))</f>
        <v/>
      </c>
      <c r="CC36" s="43" t="str">
        <f>IF(BI36&lt;&gt;"SÍ","",SUMPRODUCT(--(BW36:CA36&gt;=DATOS!$C$72-0.0001)))</f>
        <v/>
      </c>
      <c r="CD36" s="44" t="str">
        <f>IF(BI36&lt;&gt;"SÍ","",SUM(BW36:CA36))</f>
        <v/>
      </c>
      <c r="CE36" s="43" t="str">
        <f>IF(BI36&lt;&gt;"SÍ","",BT36*CB36*100)</f>
        <v/>
      </c>
      <c r="CF36" s="43" t="str">
        <f>IF(BI36&lt;&gt;"SÍ","",BT36*CD36*100)</f>
        <v/>
      </c>
      <c r="CG36" s="47" t="str">
        <f>IF(BI36&lt;&gt;"SÍ","",BS36*100/BT36)</f>
        <v/>
      </c>
      <c r="CH36" s="45" t="str">
        <f>IF(BI36&lt;&gt;"SÍ","",IF(AND(OR(DATOS!$C$14="TIPO II",BT36&gt;=12),CG36&lt;=25),"CUMPLE","NO CUMPLE: "&amp;IF(AND(DATOS!$C$14="TIPO I",BT36&lt;12),"t &lt; 12 cm ","")&amp;IF(CG36&gt;25,"H/t &gt; 25","")))</f>
        <v/>
      </c>
      <c r="CI36" s="44" t="str">
        <f>IF(BI36&lt;&gt;"SÍ","",MIN(1.5*BS36,4))</f>
        <v/>
      </c>
      <c r="CJ36" s="43" t="str">
        <f>IF(BI36&lt;&gt;"SÍ","",SUMPRODUCT((BW36:CA36&gt;=2*DATOS!$C$59/100)*INT((BW36:CA36-DATOS!$C$59/100)/CI36-0.000001)*((BW36:CA36-DATOS!$C$59/100)&gt;0)))</f>
        <v/>
      </c>
      <c r="CK36" s="43" t="str">
        <f>IF(BI36&lt;&gt;"SÍ","",SUMPRODUCT((BW36:CA36&gt;0.0001)*1+(BW36:CA36&gt;=2*DATOS!$C$59/100)*1)+CJ36)</f>
        <v/>
      </c>
      <c r="CL36" s="44" t="str">
        <f>IF(BI36&lt;&gt;"SÍ","",IF(ISNUMBER(AC36),AC36,DATOS!$C$61)*INDEX(TABLAS!$D$6:$D$14,MATCH(IF(AD36&lt;&gt;"",AD36,DATOS!$C$62),TABLAS!$B$6:$B$14,0)))</f>
        <v/>
      </c>
      <c r="CM36" s="44" t="str">
        <f>IF(BI36&lt;&gt;"SÍ","",CK36*DATOS!$C$78+IF(CK36&gt;=2,2,CK36)*(CL36-DATOS!$C$78))</f>
        <v/>
      </c>
      <c r="CN36" s="47" t="str">
        <f>IF(BI36&lt;&gt;"SÍ","",MAX(BS36*100/6,40))</f>
        <v/>
      </c>
      <c r="CO36" s="48" t="str">
        <f>IF(BI36&lt;&gt;"SÍ","",IF(CG36&lt;=20,IF(E36="INTERIOR",0.7,0.6),MIN(IF(E36="INTERIOR",0.7,0.6),(1-2/24)*(1-(IF(E36="INTERIOR",0.8,1)*CG36/30)^2))))</f>
        <v/>
      </c>
      <c r="CP36" s="47" t="str">
        <f>IF(BI36&lt;&gt;"SÍ","",DATOS!$C$87*CO36*(DATOS!$C$33*CF36+CM36*DATOS!$C$48)/1000)</f>
        <v/>
      </c>
      <c r="CQ36" s="46" t="str">
        <f>IF(BI36&lt;&gt;"SÍ","",IF(CP36&gt;0,BO36/CP36,99))</f>
        <v/>
      </c>
      <c r="CR36" s="47" t="str">
        <f>IF(BI36&lt;&gt;"SÍ","",MAX(0,F36*100-DATOS!$C$59))</f>
        <v/>
      </c>
      <c r="CS36" s="47" t="str">
        <f>IF(BI36&lt;&gt;"SÍ","",MAX(0,F36*100-DATOS!$C$59/2))</f>
        <v/>
      </c>
      <c r="CT36" s="44" t="str">
        <f>IF(BI36&lt;&gt;"SÍ","",CL36*DATOS!$C$48*CR36/100000)</f>
        <v/>
      </c>
      <c r="CU36" s="44" t="str">
        <f>IF(BI36&lt;&gt;"SÍ","",IF(BN36&lt;0,0.8*CT36*MAX(0,1+BN36/(0.8*CM36*DATOS!$C$48/1000)),IF(BN36&lt;=CP36/3,0.8*CT36+0.3*BN36*CS36/100,(1.5*0.6*CT36+0.15*CP36*CS36/100)*MAX(0,1-BN36/CP36))))</f>
        <v/>
      </c>
      <c r="CV36" s="44" t="str">
        <f>IF(BI36&lt;&gt;"SÍ","",IF(BO36&lt;0,0.8*CT36*MAX(0,1+BO36/(0.8*CM36*DATOS!$C$48/1000)),IF(BO36&lt;=CP36/3,0.8*CT36+0.3*BO36*CS36/100,(1.5*0.6*CT36+0.15*CP36*CS36/100)*MAX(0,1-BO36/CP36))))</f>
        <v/>
      </c>
      <c r="CW36" s="46" t="str">
        <f>IF(BI36&lt;&gt;"SÍ","",MAX(0,MIN(CU36,CV36)))</f>
        <v/>
      </c>
      <c r="CX36" s="49" t="str">
        <f>IF(BI36&lt;&gt;"SÍ","",IF(CW36&gt;0,BL36/CW36,IF(BL36&gt;0,99,0)))</f>
        <v/>
      </c>
      <c r="CY36" s="44" t="str">
        <f>IF(BI36&lt;&gt;"SÍ","",IF(BW36&gt;0,MAX(1,MIN(1.5,1.5-0.625*(BS36/BW36-0.2))),0))</f>
        <v/>
      </c>
      <c r="CZ36" s="44" t="str">
        <f>IF(BI36&lt;&gt;"SÍ","",IF(BX36&gt;0,MAX(1,MIN(1.5,1.5-0.625*(BS36/BX36-0.2))),0))</f>
        <v/>
      </c>
      <c r="DA36" s="44" t="str">
        <f>IF(BI36&lt;&gt;"SÍ","",IF(BY36&gt;0,MAX(1,MIN(1.5,1.5-0.625*(BS36/BY36-0.2))),0))</f>
        <v/>
      </c>
      <c r="DB36" s="44" t="str">
        <f>IF(BI36&lt;&gt;"SÍ","",IF(BZ36&gt;0,MAX(1,MIN(1.5,1.5-0.625*(BS36/BZ36-0.2))),0))</f>
        <v/>
      </c>
      <c r="DC36" s="44" t="str">
        <f>IF(BI36&lt;&gt;"SÍ","",IF(CA36&gt;0,MAX(1,MIN(1.5,1.5-0.625*(BS36/CA36-0.2))),0))</f>
        <v/>
      </c>
      <c r="DD36" s="44" t="str">
        <f>IF(BI36&lt;&gt;"SÍ","",IF(OR(BW36&lt;DATOS!$C$72-0.0001,BM36&lt;0,CB36&lt;=0),0,MIN(DATOS!$C$86*(0.5*DATOS!$C$41*BT36*BW36*100+0.3*BM36*BW36/CB36*1000)*CY36,1.5*DATOS!$C$86*DATOS!$C$41*BT36*BW36*100*CY36)/1000))</f>
        <v/>
      </c>
      <c r="DE36" s="44" t="str">
        <f>IF(BI36&lt;&gt;"SÍ","",IF(OR(BX36&lt;DATOS!$C$72-0.0001,BM36&lt;0,CB36&lt;=0),0,MIN(DATOS!$C$86*(0.5*DATOS!$C$41*BT36*BX36*100+0.3*BM36*BX36/CB36*1000)*CZ36,1.5*DATOS!$C$86*DATOS!$C$41*BT36*BX36*100*CZ36)/1000))</f>
        <v/>
      </c>
      <c r="DF36" s="44" t="str">
        <f>IF(BI36&lt;&gt;"SÍ","",IF(OR(BY36&lt;DATOS!$C$72-0.0001,BM36&lt;0,CB36&lt;=0),0,MIN(DATOS!$C$86*(0.5*DATOS!$C$41*BT36*BY36*100+0.3*BM36*BY36/CB36*1000)*DA36,1.5*DATOS!$C$86*DATOS!$C$41*BT36*BY36*100*DA36)/1000))</f>
        <v/>
      </c>
      <c r="DG36" s="44" t="str">
        <f>IF(BI36&lt;&gt;"SÍ","",IF(OR(BZ36&lt;DATOS!$C$72-0.0001,BM36&lt;0,CB36&lt;=0),0,MIN(DATOS!$C$86*(0.5*DATOS!$C$41*BT36*BZ36*100+0.3*BM36*BZ36/CB36*1000)*DB36,1.5*DATOS!$C$86*DATOS!$C$41*BT36*BZ36*100*DB36)/1000))</f>
        <v/>
      </c>
      <c r="DH36" s="44" t="str">
        <f>IF(BI36&lt;&gt;"SÍ","",IF(OR(CA36&lt;DATOS!$C$72-0.0001,BM36&lt;0,CB36&lt;=0),0,MIN(DATOS!$C$86*(0.5*DATOS!$C$41*BT36*CA36*100+0.3*BM36*CA36/CB36*1000)*DC36,1.5*DATOS!$C$86*DATOS!$C$41*BT36*CA36*100*DC36)/1000))</f>
        <v/>
      </c>
      <c r="DI36" s="46" t="str">
        <f>IF(BI36&lt;&gt;"SÍ","",SUM(DD36:DH36))</f>
        <v/>
      </c>
      <c r="DJ36" s="48" t="str">
        <f>IF(BI36&lt;&gt;"SÍ","",IF(AE36="VARILLA EN JUNTAS",IF(ISNUMBER(AF36),AF36,2)*INDEX(TABLAS!$D$6:$D$14,MATCH(IF(AG36&lt;&gt;"",AG36,DATOS!$C$73),TABLAS!$B$6:$B$14,0)),IF(AE36="MALLA",IF(ISNUMBER(AF36),AF36,1)*INDEX(TABLAS!$D$19:$D$22,MATCH(IF(AG36&lt;&gt;"",AG36,DATOS!$C$74),TABLAS!$B$19:$B$22,0))/100,IF(AE36="ESCALERILLA",IF(ISNUMBER(AF36),AF36,2)*INDEX(TABLAS!$D$6:$D$14,MATCH(IF(AG36&lt;&gt;"",AG36,DATOS!$C$73),TABLAS!$B$6:$B$14,0)),0))))</f>
        <v/>
      </c>
      <c r="DK36" s="47" t="str">
        <f>IF(BI36&lt;&gt;"SÍ","",IF(OR(AE36="VARILLA EN JUNTAS",AE36="ESCALERILLA"),IF(ISNUMBER(AH36),AH36,2)*DATOS!$C$26,IF(AE36="MALLA",1,0)))</f>
        <v/>
      </c>
      <c r="DL36" s="44" t="str">
        <f>IF(BI36&lt;&gt;"SÍ","",IF(DK36&gt;0,DJ36/(DK36*BT36)*MIN(DATOS!$C$50,IF(AE36="MALLA",5000,6000)),0))</f>
        <v/>
      </c>
      <c r="DM36" s="44" t="str">
        <f>IF(BI36&lt;&gt;"SÍ","",IF(AE36="ESCALERILLA",0,MIN(DL36,0.1*DATOS!$C$33*DATOS!$C$24)))</f>
        <v/>
      </c>
      <c r="DN36" s="48" t="str">
        <f>IF(BI36&lt;&gt;"SÍ","",IF(AE36="MALLA",0.5,IF(DATOS!$C$33&lt;=60,0.55,IF(DATOS!$C$33&gt;=90,0.75,0.55+0.2*(DATOS!$C$33-60)/30))))</f>
        <v/>
      </c>
      <c r="DO36" s="48" t="str">
        <f>IF(BI36&lt;&gt;"SÍ","",1-DATOS!$C$91*DM36)</f>
        <v/>
      </c>
      <c r="DP36" s="44" t="str">
        <f>IF(BI36&lt;&gt;"SÍ","",IF(BW36&gt;0,IF(BS36/BW36&lt;=1,1.3,IF(BS36/BW36&gt;=1.5,1,1.3-0.6*(BS36/BW36-1))),0))</f>
        <v/>
      </c>
      <c r="DQ36" s="44" t="str">
        <f>IF(BI36&lt;&gt;"SÍ","",IF(BX36&gt;0,IF(BS36/BX36&lt;=1,1.3,IF(BS36/BX36&gt;=1.5,1,1.3-0.6*(BS36/BX36-1))),0))</f>
        <v/>
      </c>
      <c r="DR36" s="44" t="str">
        <f>IF(BI36&lt;&gt;"SÍ","",IF(BY36&gt;0,IF(BS36/BY36&lt;=1,1.3,IF(BS36/BY36&gt;=1.5,1,1.3-0.6*(BS36/BY36-1))),0))</f>
        <v/>
      </c>
      <c r="DS36" s="44" t="str">
        <f>IF(BI36&lt;&gt;"SÍ","",IF(BZ36&gt;0,IF(BS36/BZ36&lt;=1,1.3,IF(BS36/BZ36&gt;=1.5,1,1.3-0.6*(BS36/BZ36-1))),0))</f>
        <v/>
      </c>
      <c r="DT36" s="44" t="str">
        <f>IF(BI36&lt;&gt;"SÍ","",IF(CA36&gt;0,IF(BS36/CA36&lt;=1,1.3,IF(BS36/CA36&gt;=1.5,1,1.3-0.6*(BS36/CA36-1))),0))</f>
        <v/>
      </c>
      <c r="DU36" s="44" t="str">
        <f>IF(BI36&lt;&gt;"SÍ","",IF(OR(DM36&lt;=0,BW36&lt;DATOS!$C$72-0.0001),0,DATOS!$C$86*MAX(0,IF(BM36&gt;=0,DD36/(DATOS!$C$86*DM36*BT36*BW36*100/1000)*(DP36*DO36-1)+DN36,DO36*DN36))*DM36*BT36*BW36*100/1000))</f>
        <v/>
      </c>
      <c r="DV36" s="44" t="str">
        <f>IF(BI36&lt;&gt;"SÍ","",IF(OR(DM36&lt;=0,BX36&lt;DATOS!$C$72-0.0001),0,DATOS!$C$86*MAX(0,IF(BM36&gt;=0,DE36/(DATOS!$C$86*DM36*BT36*BX36*100/1000)*(DQ36*DO36-1)+DN36,DO36*DN36))*DM36*BT36*BX36*100/1000))</f>
        <v/>
      </c>
      <c r="DW36" s="44" t="str">
        <f>IF(BI36&lt;&gt;"SÍ","",IF(OR(DM36&lt;=0,BY36&lt;DATOS!$C$72-0.0001),0,DATOS!$C$86*MAX(0,IF(BM36&gt;=0,DF36/(DATOS!$C$86*DM36*BT36*BY36*100/1000)*(DR36*DO36-1)+DN36,DO36*DN36))*DM36*BT36*BY36*100/1000))</f>
        <v/>
      </c>
      <c r="DX36" s="44" t="str">
        <f>IF(BI36&lt;&gt;"SÍ","",IF(OR(DM36&lt;=0,BZ36&lt;DATOS!$C$72-0.0001),0,DATOS!$C$86*MAX(0,IF(BM36&gt;=0,DG36/(DATOS!$C$86*DM36*BT36*BZ36*100/1000)*(DS36*DO36-1)+DN36,DO36*DN36))*DM36*BT36*BZ36*100/1000))</f>
        <v/>
      </c>
      <c r="DY36" s="44" t="str">
        <f>IF(BI36&lt;&gt;"SÍ","",IF(OR(DM36&lt;=0,CA36&lt;DATOS!$C$72-0.0001),0,DATOS!$C$86*MAX(0,IF(BM36&gt;=0,DH36/(DATOS!$C$86*DM36*BT36*CA36*100/1000)*(DT36*DO36-1)+DN36,DO36*DN36))*DM36*BT36*CA36*100/1000))</f>
        <v/>
      </c>
      <c r="DZ36" s="46" t="str">
        <f>IF(BI36&lt;&gt;"SÍ","",SUM(DU36:DY36))</f>
        <v/>
      </c>
      <c r="EA36" s="45" t="str">
        <f>IF(BI36&lt;&gt;"SÍ","",IF(OR(AE36="",AE36="NINGUNO"),IF(DATOS!$C$41&gt;=10,"FALTA refuerzo horizontal: v'm ≥ 10 kg/cm² (6.5.2.2)",IF(AND(BM36&lt;0,BK36&gt;0),"FALTA: P en tensión, el refuerzo debe tomar todo el cortante (6.5.1.3)","—")),IF(AE36="ESCALERILLA","NO CUENTA: la escalerilla no se permite para cortante por sismo (6.5.3.1.2)",IF(AE36="MALLA",IF(AND(DL36&gt;=2.5,DL36&lt;=MAX(0.15*DATOS!$C$33*DATOS!$C$24,2.5)),"CUMPLE","NO CUMPLE: "&amp;IF(DL36&lt;2.5,"p_h·f_yh &lt; 2.5 (6.5.4.2.4)","p_h·f_yh &gt; 0.15·f'm·f_an (6.5.4.2.4)")),IF(AND(DK36&lt;=MIN(6*DATOS!$C$26,45),DL36&gt;=3,DL36&lt;=MIN(MAX(0.15*DATOS!$C$33*DATOS!$C$24,3),0.05*DATOS!$C$25/10*MIN(DATOS!$C$50,6000)/DK36),INDEX(TABLAS!$C$6:$C$14,MATCH(IF(AG36&lt;&gt;"",AG36,DATOS!$C$73),TABLAS!$B$6:$B$14,0))&gt;=0.35,INDEX(TABLAS!$C$6:$C$14,MATCH(IF(AG36&lt;&gt;"",AG36,DATOS!$C$73),TABLAS!$B$6:$B$14,0))&lt;=0.75*DATOS!$C$25/10),"CUMPLE","NO CUMPLE: "&amp;IF(DK36&gt;MIN(6*DATOS!$C$26,45),"s_h &gt; 6 hiladas o 45 cm (6.5.3.2.1) ","")&amp;IF(DL36&lt;3,"p_h·f_yh &lt; 3 (6.5.3.3.1) ","")&amp;IF(DL36&gt;MIN(MAX(0.15*DATOS!$C$33*DATOS!$C$24,3),0.05*DATOS!$C$25/10*MIN(DATOS!$C$50,6000)/DK36),"p_h·f_yh &gt; máximo (6.5.3.3.2) ","")&amp;IF(OR(INDEX(TABLAS!$C$6:$C$14,MATCH(IF(AG36&lt;&gt;"",AG36,DATOS!$C$73),TABLAS!$B$6:$B$14,0))&lt;0.35,INDEX(TABLAS!$C$6:$C$14,MATCH(IF(AG36&lt;&gt;"",AG36,DATOS!$C$73),TABLAS!$B$6:$B$14,0))&gt;0.75*DATOS!$C$25/10),"diámetro fuera de 3.5 mm a 0.75·h_j (4.2.2.2.1)",""))))))</f>
        <v/>
      </c>
      <c r="EB36" s="46" t="str">
        <f>IF(BI36&lt;&gt;"SÍ","",DI36+DZ36)</f>
        <v/>
      </c>
      <c r="EC36" s="50" t="str">
        <f>IF(BI36&lt;&gt;"SÍ","",IF(EB36&gt;0,BK36/EB36,IF(BK36&gt;0,99,0)))</f>
        <v/>
      </c>
      <c r="ED36" s="47" t="str">
        <f>IF(BI36&lt;&gt;"SÍ","",IF(CE36&lt;=0,-1,IF(BK36&lt;=DI36,0,IF(IF(BM36&gt;=0,IF((DATOS!$C$86*IF(AE36="MALLA",0.5,IF(DATOS!$C$33&lt;=60,0.55,IF(DATOS!$C$33&gt;=90,0.75,0.55+0.2*(DATOS!$C$33-60)/30)))*CE36/1000-DATOS!$C$91*SUMPRODUCT(DP36:DT36,DD36:DH36))&lt;=0,1E9,(BK36-SUMPRODUCT(DP36:DT36,DD36:DH36))/(DATOS!$C$86*IF(AE36="MALLA",0.5,IF(DATOS!$C$33&lt;=60,0.55,IF(DATOS!$C$33&gt;=90,0.75,0.55+0.2*(DATOS!$C$33-60)/30)))*CE36/1000-DATOS!$C$91*SUMPRODUCT(DP36:DT36,DD36:DH36))),IF((1-4*DATOS!$C$91*BK36*1000/(DATOS!$C$86*IF(AE36="MALLA",0.5,IF(DATOS!$C$33&lt;=60,0.55,IF(DATOS!$C$33&gt;=90,0.75,0.55+0.2*(DATOS!$C$33-60)/30)))*MAX(CE36,1)))&lt;0,1E9,(1-SQRT((1-4*DATOS!$C$91*BK36*1000/(DATOS!$C$86*IF(AE36="MALLA",0.5,IF(DATOS!$C$33&lt;=60,0.55,IF(DATOS!$C$33&gt;=90,0.75,0.55+0.2*(DATOS!$C$33-60)/30)))*MAX(CE36,1)))))/(2*DATOS!$C$91)))&gt;0.1*DATOS!$C$33*DATOS!$C$24+0.000001,-1,MAX(IF(AE36="MALLA",2.5,3),IF(BM36&gt;=0,IF((DATOS!$C$86*IF(AE36="MALLA",0.5,IF(DATOS!$C$33&lt;=60,0.55,IF(DATOS!$C$33&gt;=90,0.75,0.55+0.2*(DATOS!$C$33-60)/30)))*CE36/1000-DATOS!$C$91*SUMPRODUCT(DP36:DT36,DD36:DH36))&lt;=0,1E9,(BK36-SUMPRODUCT(DP36:DT36,DD36:DH36))/(DATOS!$C$86*IF(AE36="MALLA",0.5,IF(DATOS!$C$33&lt;=60,0.55,IF(DATOS!$C$33&gt;=90,0.75,0.55+0.2*(DATOS!$C$33-60)/30)))*CE36/1000-DATOS!$C$91*SUMPRODUCT(DP36:DT36,DD36:DH36))),IF((1-4*DATOS!$C$91*BK36*1000/(DATOS!$C$86*IF(AE36="MALLA",0.5,IF(DATOS!$C$33&lt;=60,0.55,IF(DATOS!$C$33&gt;=90,0.75,0.55+0.2*(DATOS!$C$33-60)/30)))*MAX(CE36,1)))&lt;0,1E9,(1-SQRT((1-4*DATOS!$C$91*BK36*1000/(DATOS!$C$86*IF(AE36="MALLA",0.5,IF(DATOS!$C$33&lt;=60,0.55,IF(DATOS!$C$33&gt;=90,0.75,0.55+0.2*(DATOS!$C$33-60)/30)))*MAX(CE36,1)))))/(2*DATOS!$C$91))))))))</f>
        <v/>
      </c>
      <c r="EE36" s="45" t="str">
        <f>IF(BI36&lt;&gt;"SÍ","",IF(ED36=0,"NO REQUIERE: V_mR ≥ V_u",IF(ED36&lt;0,"NO ALCANZA con refuerzo horizontal (haría falta más de 0.1·f'm·f_an efectivo): sube v'm con ensayes, el espesor o la longitud del muro",IF(AND(OR(AE36="VARILLA EN JUNTAS",AE36="MALLA"),LEFT(EA36,6)="CUMPLE",EC36&lt;=1),"YA LO TIENE (pide p_h·f_yh ≥ "&amp;TEXT(ED36,"0.0")&amp;" kg/cm²)","p_h·f_yh ≥ "&amp;TEXT(ED36,"0.0")&amp;" kg/cm² → "&amp;IF(AND(MIN(6,FLOOR(45/DATOS!$C$26,1),FLOOR((2*INDEX(TABLAS!$D$6:$D$14,MATCH("3/16 in",TABLAS!$B$6:$B$14,0)))*MIN(DATOS!$C$50,6000)/(BT36*DATOS!$C$26*MAX(ED36,0.001)),1))&gt;=1,((2*INDEX(TABLAS!$D$6:$D$14,MATCH("3/16 in",TABLAS!$B$6:$B$14,0)))*MIN(DATOS!$C$50,6000)/(MAX(MIN(6,FLOOR(45/DATOS!$C$26,1),FLOOR((2*INDEX(TABLAS!$D$6:$D$14,MATCH("3/16 in",TABLAS!$B$6:$B$14,0)))*MIN(DATOS!$C$50,6000)/(BT36*DATOS!$C$26*MAX(ED36,0.001)),1)),1)*DATOS!$C$26*BT36))&lt;=MIN(MAX(0.15*DATOS!$C$33*DATOS!$C$24,3),0.05*DATOS!$C$25/10*MIN(DATOS!$C$50,6000)/(MIN(6,FLOOR(45/DATOS!$C$26,1),FLOOR((2*INDEX(TABLAS!$D$6:$D$14,MATCH("3/16 in",TABLAS!$B$6:$B$14,0)))*MIN(DATOS!$C$50,6000)/(BT36*DATOS!$C$26*MAX(ED36,0.001)),1))*DATOS!$C$26))),"2 alambres de 3/16"" por junta cada "&amp;MIN(6,FLOOR(45/DATOS!$C$26,1),FLOOR((2*INDEX(TABLAS!$D$6:$D$14,MATCH("3/16 in",TABLAS!$B$6:$B$14,0)))*MIN(DATOS!$C$50,6000)/(BT36*DATOS!$C$26*MAX(ED36,0.001)),1))&amp;" hilada(s) (p_h·f_yh = "&amp;TEXT(((2*INDEX(TABLAS!$D$6:$D$14,MATCH("3/16 in",TABLAS!$B$6:$B$14,0)))*MIN(DATOS!$C$50,6000)/(MAX(MIN(6,FLOOR(45/DATOS!$C$26,1),FLOOR((2*INDEX(TABLAS!$D$6:$D$14,MATCH("3/16 in",TABLAS!$B$6:$B$14,0)))*MIN(DATOS!$C$50,6000)/(BT36*DATOS!$C$26*MAX(ED36,0.001)),1)),1)*DATOS!$C$26*BT36)),"0.00")&amp;")",IF(AND(MIN(6,FLOOR(45/DATOS!$C$26,1),FLOOR((2*INDEX(TABLAS!$D$6:$D$14,MATCH("5/32 in",TABLAS!$B$6:$B$14,0)))*MIN(DATOS!$C$50,6000)/(BT36*DATOS!$C$26*MAX(ED36,0.001)),1))&gt;=1,((2*INDEX(TABLAS!$D$6:$D$14,MATCH("5/32 in",TABLAS!$B$6:$B$14,0)))*MIN(DATOS!$C$50,6000)/(MAX(MIN(6,FLOOR(45/DATOS!$C$26,1),FLOOR((2*INDEX(TABLAS!$D$6:$D$14,MATCH("5/32 in",TABLAS!$B$6:$B$14,0)))*MIN(DATOS!$C$50,6000)/(BT36*DATOS!$C$26*MAX(ED36,0.001)),1)),1)*DATOS!$C$26*BT36))&lt;=MIN(MAX(0.15*DATOS!$C$33*DATOS!$C$24,3),0.05*DATOS!$C$25/10*MIN(DATOS!$C$50,6000)/(MIN(6,FLOOR(45/DATOS!$C$26,1),FLOOR((2*INDEX(TABLAS!$D$6:$D$14,MATCH("5/32 in",TABLAS!$B$6:$B$14,0)))*MIN(DATOS!$C$50,6000)/(BT36*DATOS!$C$26*MAX(ED36,0.001)),1))*DATOS!$C$26))),"2 alambres de 5/32"" por junta cada "&amp;MIN(6,FLOOR(45/DATOS!$C$26,1),FLOOR((2*INDEX(TABLAS!$D$6:$D$14,MATCH("5/32 in",TABLAS!$B$6:$B$14,0)))*MIN(DATOS!$C$50,6000)/(BT36*DATOS!$C$26*MAX(ED36,0.001)),1))&amp;" hilada(s) (p_h·f_yh = "&amp;TEXT(((2*INDEX(TABLAS!$D$6:$D$14,MATCH("5/32 in",TABLAS!$B$6:$B$14,0)))*MIN(DATOS!$C$50,6000)/(MAX(MIN(6,FLOOR(45/DATOS!$C$26,1),FLOOR((2*INDEX(TABLAS!$D$6:$D$14,MATCH("5/32 in",TABLAS!$B$6:$B$14,0)))*MIN(DATOS!$C$50,6000)/(BT36*DATOS!$C$26*MAX(ED36,0.001)),1)),1)*DATOS!$C$26*BT36)),"0.00")&amp;")",IF(AND(MIN(6,FLOOR(45/DATOS!$C$26,1),FLOOR((1*INDEX(TABLAS!$D$6:$D$14,MATCH("3/16 in",TABLAS!$B$6:$B$14,0)))*MIN(DATOS!$C$50,6000)/(BT36*DATOS!$C$26*MAX(ED36,0.001)),1))&gt;=1,((1*INDEX(TABLAS!$D$6:$D$14,MATCH("3/16 in",TABLAS!$B$6:$B$14,0)))*MIN(DATOS!$C$50,6000)/(MAX(MIN(6,FLOOR(45/DATOS!$C$26,1),FLOOR((1*INDEX(TABLAS!$D$6:$D$14,MATCH("3/16 in",TABLAS!$B$6:$B$14,0)))*MIN(DATOS!$C$50,6000)/(BT36*DATOS!$C$26*MAX(ED36,0.001)),1)),1)*DATOS!$C$26*BT36))&lt;=MIN(MAX(0.15*DATOS!$C$33*DATOS!$C$24,3),0.05*DATOS!$C$25/10*MIN(DATOS!$C$50,6000)/(MIN(6,FLOOR(45/DATOS!$C$26,1),FLOOR((1*INDEX(TABLAS!$D$6:$D$14,MATCH("3/16 in",TABLAS!$B$6:$B$14,0)))*MIN(DATOS!$C$50,6000)/(BT36*DATOS!$C$26*MAX(ED36,0.001)),1))*DATOS!$C$26))),"1 alambre de 3/16"" por junta cada "&amp;MIN(6,FLOOR(45/DATOS!$C$26,1),FLOOR((1*INDEX(TABLAS!$D$6:$D$14,MATCH("3/16 in",TABLAS!$B$6:$B$14,0)))*MIN(DATOS!$C$50,6000)/(BT36*DATOS!$C$26*MAX(ED36,0.001)),1))&amp;" hilada(s) (p_h·f_yh = "&amp;TEXT(((1*INDEX(TABLAS!$D$6:$D$14,MATCH("3/16 in",TABLAS!$B$6:$B$14,0)))*MIN(DATOS!$C$50,6000)/(MAX(MIN(6,FLOOR(45/DATOS!$C$26,1),FLOOR((1*INDEX(TABLAS!$D$6:$D$14,MATCH("3/16 in",TABLAS!$B$6:$B$14,0)))*MIN(DATOS!$C$50,6000)/(BT36*DATOS!$C$26*MAX(ED36,0.001)),1)),1)*DATOS!$C$26*BT36)),"0.00")&amp;")",IF(AND(MIN(6,FLOOR(45/DATOS!$C$26,1),FLOOR((1*INDEX(TABLAS!$D$6:$D$14,MATCH("5/32 in",TABLAS!$B$6:$B$14,0)))*MIN(DATOS!$C$50,6000)/(BT36*DATOS!$C$26*MAX(ED36,0.001)),1))&gt;=1,((1*INDEX(TABLAS!$D$6:$D$14,MATCH("5/32 in",TABLAS!$B$6:$B$14,0)))*MIN(DATOS!$C$50,6000)/(MAX(MIN(6,FLOOR(45/DATOS!$C$26,1),FLOOR((1*INDEX(TABLAS!$D$6:$D$14,MATCH("5/32 in",TABLAS!$B$6:$B$14,0)))*MIN(DATOS!$C$50,6000)/(BT36*DATOS!$C$26*MAX(ED36,0.001)),1)),1)*DATOS!$C$26*BT36))&lt;=MIN(MAX(0.15*DATOS!$C$33*DATOS!$C$24,3),0.05*DATOS!$C$25/10*MIN(DATOS!$C$50,6000)/(MIN(6,FLOOR(45/DATOS!$C$26,1),FLOOR((1*INDEX(TABLAS!$D$6:$D$14,MATCH("5/32 in",TABLAS!$B$6:$B$14,0)))*MIN(DATOS!$C$50,6000)/(BT36*DATOS!$C$26*MAX(ED36,0.001)),1))*DATOS!$C$26))),"1 alambre de 5/32"" por junta cada "&amp;MIN(6,FLOOR(45/DATOS!$C$26,1),FLOOR((1*INDEX(TABLAS!$D$6:$D$14,MATCH("5/32 in",TABLAS!$B$6:$B$14,0)))*MIN(DATOS!$C$50,6000)/(BT36*DATOS!$C$26*MAX(ED36,0.001)),1))&amp;" hilada(s) (p_h·f_yh = "&amp;TEXT(((1*INDEX(TABLAS!$D$6:$D$14,MATCH("5/32 in",TABLAS!$B$6:$B$14,0)))*MIN(DATOS!$C$50,6000)/(MAX(MIN(6,FLOOR(45/DATOS!$C$26,1),FLOOR((1*INDEX(TABLAS!$D$6:$D$14,MATCH("5/32 in",TABLAS!$B$6:$B$14,0)))*MIN(DATOS!$C$50,6000)/(BT36*DATOS!$C$26*MAX(ED36,0.001)),1)),1)*DATOS!$C$26*BT36)),"0.00")&amp;")","ninguna combinación de 1 o 2 alambres por junta queda entre el mínimo y el máximo: revisa con malla (6.5.4)"))))))))</f>
        <v/>
      </c>
      <c r="EF36" s="43" t="str">
        <f>IF(BI36&lt;&gt;"SÍ","",IF(AI36="SÍ",N(AK36)*N(AL36)^3/12,0))</f>
        <v/>
      </c>
      <c r="EG36" s="48" t="str">
        <f>IF(BI36&lt;&gt;"SÍ","",IF(AND(AI36="SÍ",N(AM36)&gt;0),MIN(1,F36/AM36),0))</f>
        <v/>
      </c>
      <c r="EH36" s="47" t="str">
        <f>IF(BI36&lt;&gt;"SÍ","",IF(AI36="SÍ",BP36*1000/(BT36*F36*100)*BT36*(EG36^4-4*EG36^3+8*EG36),0))</f>
        <v/>
      </c>
      <c r="EI36" s="48" t="str">
        <f>IF(BI36&lt;&gt;"SÍ","",IF(AND(AI36="SÍ",EH36&gt;0),EH36/(EH36+5*N(AN36)*10),0))</f>
        <v/>
      </c>
      <c r="EJ36" s="44" t="str">
        <f>IF(BI36&lt;&gt;"SÍ","",IF(AND(AI36="SÍ",EI36&gt;0,EF36&gt;0),(DATOS!$C$43*BT36*(AM36*100)^3/(DATOS!$C$53*EF36*EI36))^0.25,0))</f>
        <v/>
      </c>
      <c r="EK36" s="44" t="str">
        <f>IF(BI36&lt;&gt;"SÍ","",IF(AI36&lt;&gt;"SÍ",0,IF(N(AM36)&lt;=F36,1,IF(MIN(1,N(AO36)/((AM36-F36)/2))&lt;=0.5,0.7+0.6*MIN(1,N(AO36)/((AM36-F36)/2)),1.5-MIN(1,N(AO36)/((AM36-F36)/2))))))</f>
        <v/>
      </c>
      <c r="EL36" s="44" t="str">
        <f>IF(BI36&lt;&gt;"SÍ","",IF(AI36&lt;&gt;"SÍ",0,MAX(1,IF(EG36&gt;=1,(1.6*EJ36-3.9),IF(EG36&lt;0.9,((3.2*EJ36-7.8)*EK36),((3.2*EJ36-7.8)*EK36)+((1.6*EJ36-3.9)-((3.2*EJ36-7.8)*EK36))*(EG36-0.9)/0.1)))))</f>
        <v/>
      </c>
      <c r="EM36" s="47" t="str">
        <f>IF(BI36&lt;&gt;"SÍ","",IF(AI36="SÍ",EL36*BP36*1000/(BT36*F36*100),0))</f>
        <v/>
      </c>
      <c r="EN36" s="47" t="str">
        <f>IF(BI36&lt;&gt;"SÍ","",IF(AND(AI36="SÍ",N(AL36)&gt;0),AM36*100/AL36,0))</f>
        <v/>
      </c>
      <c r="EO36" s="47" t="str">
        <f>IF(BI36&lt;&gt;"SÍ","",IF(AI36="SÍ",(1/15*DATOS!$C$53*N(AK36)/MAX((IF(ISNUMBER(AP36),AP36,BP36/DATOS!$C$90)*1000/(BT36*F36*100)*BT36*(EG36^4-4*EG36^3+8*EG36))+5*N(AN36)/DATOS!$C$90*10,0.001))^(1/3),0))</f>
        <v/>
      </c>
      <c r="EP36" s="45" t="str">
        <f>IF(BI36&lt;&gt;"SÍ","",IF(AI36&lt;&gt;"SÍ","—",IF(OR(N(AK36)&lt;=0,N(AL36)&lt;=0,N(AM36)&lt;=0),"REVISAR: faltan b, h o L_v de la viga",IF(AND(EM36&lt;=DATOS!$C$87*DATOS!$C$33,EN36&lt;=14,N(AL36)&gt;=25,EN36&lt;=EO36),IF(BS36/F36&lt;0.6,"PENDIENTE: H/L &lt; 0.6, falta el análisis de interacción muro–viga (4.1.18.2.1); f_CM es estimado","CUMPLE"),"NO CUMPLE: "&amp;IF(EM36&gt;DATOS!$C$87*DATOS!$C$33,"f_CM &gt; F_R·f'm ","")&amp;IF(EN36&gt;14,"L_v/h_v &gt; 14 ","")&amp;IF(N(AL36)&lt;25,"h_v &lt; 25 cm ","")&amp;IF(EN36&gt;EO36,"flecha (4.1.18.3)","")))))</f>
        <v/>
      </c>
      <c r="EQ36" s="44" t="str">
        <f>IF(BI36&lt;&gt;"SÍ","",MAX(0,F36*BS36-(N(K36)*N(M36)+N(P36)*N(R36)+N(U36)*N(W36)+N(Z36)*N(AB36))-CK36*DATOS!$C$59/100*BS36))</f>
        <v/>
      </c>
      <c r="ER36" s="48" t="str">
        <f>IF(BI36&lt;&gt;"SÍ","",CK36*DATOS!$C$59*DATOS!$C$60/10000*BS36)</f>
        <v/>
      </c>
      <c r="ES36" s="47" t="str">
        <f>IF(BI36&lt;&gt;"SÍ","",CK36*(DATOS!$C$61*(BS36+0.6)*INDEX(TABLAS!$E$6:$E$14,MATCH(DATOS!$C$62,TABLAS!$B$6:$B$14,0))+(2*ROUNDUP(CN36/DATOS!$C$65,0)+ROUNDUP(MAX(0,BS36*100-2*CN36)/DATOS!$C$64,0))*((2*(DATOS!$C$60+DATOS!$C$59-4*(DATOS!$C$66-INDEX(TABLAS!$C$6:$C$14,MATCH(DATOS!$C$63,TABLAS!$B$6:$B$14,0))))+15)/100)*INDEX(TABLAS!$E$6:$E$14,MATCH(DATOS!$C$63,TABLAS!$B$6:$B$14,0))))</f>
        <v/>
      </c>
      <c r="ET36" s="47" t="str">
        <f>IF(BI36&lt;&gt;"SÍ","",IF(OR(AE36="VARILLA EN JUNTAS",AE36="ESCALERILLA"),INT(BS36*100/MAX(DK36,1))*IF(ISNUMBER(AF36),AF36,2)*CB36*INDEX(TABLAS!$E$6:$E$14,MATCH(IF(AG36&lt;&gt;"",AG36,DATOS!$C$73),TABLAS!$B$6:$B$14,0)),IF(AE36="MALLA",IF(ISNUMBER(AF36),AF36,1)*CB36*BS36*INDEX(TABLAS!$E$19:$E$22,MATCH(IF(AG36&lt;&gt;"",AG36,DATOS!$C$74),TABLAS!$B$19:$B$22,0)),0)))</f>
        <v/>
      </c>
      <c r="EU36" s="45" t="str">
        <f>IF(BI36&lt;&gt;"SÍ","",""&amp;IF(BJ36="NO ESTÁ EN PIER_FORCES","sin fuerzas en PIER_FORCES; ","")&amp;IF(BV36&lt;&gt;"CUMPLE","vanos; ","")&amp;IF(LEFT(CH36,2)="NO","espesor o esbeltez; ","")&amp;IF(CQ36&gt;1,"compresión; ","")&amp;IF(CX36&gt;1,"flexión; ","")&amp;IF(CB36&lt;=0,"sin tramos de muro (todos son machones menores que L mín.: diséñalos como columnas o baja L mín.); ",IF(EC36&gt;1,"cortante; ",""))&amp;IF(OR(LEFT(EA36,2)="NO",LEFT(EA36,5)="FALTA"),"refuerzo horizontal; ","")&amp;IF(OR(LEFT(EP36,2)="NO",LEFT(EP36,7)="REVISAR"),"muro sobre viga; ","")&amp;IF(LEFT(DATOS!$C$81,2)="NO","castillo típico; ","")&amp;IF(LEFT(DATOS!$C$82,2)="NO","dala típica; ","")&amp;IF(AND(BT36&lt;&gt;DATOS!$C$58,DATOS!$C$60&lt;BT36),"castillo más angosto que el muro; ",""))</f>
        <v/>
      </c>
      <c r="EV36" s="45" t="str">
        <f>IF(BI36&lt;&gt;"SÍ","",""&amp;IF(LEFT(EP36,9)="PENDIENTE","análisis muro–viga (H/L &lt; 0.6); ","")&amp;IF(BR36&gt;50,"V_u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6" s="51" t="str">
        <f>IF(BI36&lt;&gt;"SÍ","",IF(EU36&lt;&gt;"","NO CUMPLE: "&amp;LEFT(EU36,LEN(EU36)-2),IF(EV36&lt;&gt;"","CUMPLE — PENDIENTE: "&amp;LEFT(EV36,LEN(EV36)-2),"CUMPLE")))</f>
        <v/>
      </c>
      <c r="EX36" s="52" t="n"/>
    </row>
    <row r="37" ht="30" customHeight="1">
      <c r="A37" s="38" t="str">
        <f>IF(B37="","",ROW()-10)</f>
        <v/>
      </c>
      <c r="B37" s="28" t="n"/>
      <c r="C37" s="39" t="n"/>
      <c r="D37" s="39" t="n"/>
      <c r="E37" s="39" t="n"/>
      <c r="F37" s="40" t="n"/>
      <c r="G37" s="40" t="n"/>
      <c r="H37" s="41" t="n"/>
      <c r="I37" s="39" t="n"/>
      <c r="J37" s="40" t="n"/>
      <c r="K37" s="40" t="n"/>
      <c r="L37" s="40" t="n"/>
      <c r="M37" s="40" t="n"/>
      <c r="N37" s="39" t="n"/>
      <c r="O37" s="40" t="n"/>
      <c r="P37" s="40" t="n"/>
      <c r="Q37" s="40" t="n"/>
      <c r="R37" s="40" t="n"/>
      <c r="S37" s="39" t="n"/>
      <c r="T37" s="40" t="n"/>
      <c r="U37" s="40" t="n"/>
      <c r="V37" s="40" t="n"/>
      <c r="W37" s="40" t="n"/>
      <c r="X37" s="39" t="n"/>
      <c r="Y37" s="40" t="n"/>
      <c r="Z37" s="40" t="n"/>
      <c r="AA37" s="40" t="n"/>
      <c r="AB37" s="40" t="n"/>
      <c r="AC37" s="41" t="n"/>
      <c r="AD37" s="41" t="n"/>
      <c r="AE37" s="39" t="n"/>
      <c r="AF37" s="41" t="n"/>
      <c r="AG37" s="41" t="n"/>
      <c r="AH37" s="41" t="n"/>
      <c r="AI37" s="39" t="n"/>
      <c r="AJ37" s="39" t="n"/>
      <c r="AK37" s="41" t="n"/>
      <c r="AL37" s="41" t="n"/>
      <c r="AM37" s="40" t="n"/>
      <c r="AN37" s="40" t="n"/>
      <c r="AO37" s="40" t="n"/>
      <c r="AP37" s="40" t="n"/>
      <c r="AQ37" s="40" t="n"/>
      <c r="AR37" s="40" t="n"/>
      <c r="AS37" s="40" t="n"/>
      <c r="AT37" s="40" t="n"/>
      <c r="AU37" s="40" t="n"/>
      <c r="AV37" s="40" t="n"/>
      <c r="AW37" s="40" t="n"/>
      <c r="AX37" s="42" t="str">
        <f>IF(B37="","",C37&amp;"|"&amp;B37)</f>
        <v/>
      </c>
      <c r="AY37" s="43" t="str">
        <f>IF(B37="","",COUNTIFS(PIER_FORCES!$O$9:$O$3008,27,PIER_FORCES!$P$9:$P$3008,1))</f>
        <v/>
      </c>
      <c r="AZ37" s="43" t="str">
        <f>IF(B37="","",COUNTIFS(PIER_FORCES!$O$9:$O$3008,27,PIER_FORCES!$P$9:$P$3008,2))</f>
        <v/>
      </c>
      <c r="BA37" s="44">
        <f>IF(N(AY37)=0,0,SUMPRODUCT(MAX((PIER_FORCES!$O$9:$O$3008=27)*(PIER_FORCES!$P$9:$P$3008=1)*PIER_FORCES!$R$9:$R$3008)))</f>
        <v>0</v>
      </c>
      <c r="BB37" s="44">
        <f>IF(N(AY37)=0,0,SUMPRODUCT(MAX((PIER_FORCES!$O$9:$O$3008=27)*(PIER_FORCES!$P$9:$P$3008=1)*PIER_FORCES!$S$9:$S$3008)))</f>
        <v>0</v>
      </c>
      <c r="BC37" s="44">
        <f>IF(N(AY37)=0,0,-SUMPRODUCT(MAX((PIER_FORCES!$O$9:$O$3008=27)*(PIER_FORCES!$P$9:$P$3008=1)*(-PIER_FORCES!$Q$9:$Q$3008)+(1-(PIER_FORCES!$O$9:$O$3008=27)*(PIER_FORCES!$P$9:$P$3008=1))*(-1E9))))</f>
        <v>0</v>
      </c>
      <c r="BD37" s="44">
        <f>IF(N(AY37)=0,0,SUMPRODUCT(MAX((PIER_FORCES!$O$9:$O$3008=27)*(PIER_FORCES!$P$9:$P$3008=1)*PIER_FORCES!$Q$9:$Q$3008+(1-(PIER_FORCES!$O$9:$O$3008=27)*(PIER_FORCES!$P$9:$P$3008=1))*(-1E9))))</f>
        <v>0</v>
      </c>
      <c r="BE37" s="44">
        <f>IF(N(AZ37)=0,BD37,SUMPRODUCT(MAX((PIER_FORCES!$O$9:$O$3008=27)*(PIER_FORCES!$P$9:$P$3008=2)*PIER_FORCES!$Q$9:$Q$3008+(1-(PIER_FORCES!$O$9:$O$3008=27)*(PIER_FORCES!$P$9:$P$3008=2))*(-1E9))))</f>
        <v>0</v>
      </c>
      <c r="BF37" s="44">
        <f>IF(N(AZ37)=0,0,SUMPRODUCT(MAX((PIER_FORCES!$O$9:$O$3008=27)*(PIER_FORCES!$P$9:$P$3008=2)*PIER_FORCES!$R$9:$R$3008)))</f>
        <v>0</v>
      </c>
      <c r="BG37" s="43">
        <f>IF(N(AY37)=0,0,SUMPRODUCT(MAX((PIER_FORCES!$O$9:$O$3008=27)*(PIER_FORCES!$P$9:$P$3008=1)*(ABS(PIER_FORCES!$R$9:$R$3008-BA37)&lt;0.000001)*PIER_FORCES!$T$9:$T$3008)))</f>
        <v>0</v>
      </c>
      <c r="BH37" s="45" t="str">
        <f>IF(N(BG37)=0,"",INDEX(PIER_FORCES!$D$9:$D$3008,BG37)&amp;" "&amp;INDEX(PIER_FORCES!$F$9:$F$3008,BG37)&amp;" / "&amp;INDEX(PIER_FORCES!$G$9:$G$3008,BG37))</f>
        <v/>
      </c>
      <c r="BI37" s="42" t="str">
        <f>IF(B37="","",IF(AND(C37&lt;&gt;"",OR(D37="X",D37="Y"),ISNUMBER(F37),N(F37)&gt;0),"SÍ","NO"))</f>
        <v/>
      </c>
      <c r="BJ37" s="42" t="str">
        <f>IF(BI37&lt;&gt;"SÍ","",IF(DATOS!$C$108="ETABS (PIER_FORCES)",IF(N(AY37)&gt;0,"ETABS","NO ESTÁ EN PIER_FORCES"),"CAPTURA"))</f>
        <v/>
      </c>
      <c r="BK37" s="46" t="str">
        <f>IF(BI37&lt;&gt;"SÍ","",IF(BJ37="ETABS",BA37,IF(BJ37="CAPTURA",N(AQ37),0)))</f>
        <v/>
      </c>
      <c r="BL37" s="46" t="str">
        <f>IF(BI37&lt;&gt;"SÍ","",IF(BJ37="ETABS",BB37,IF(BJ37="CAPTURA",N(AR37),0)))</f>
        <v/>
      </c>
      <c r="BM37" s="46" t="str">
        <f>IF(BI37&lt;&gt;"SÍ","",IF(BJ37="ETABS",BC37/DATOS!$C$89,IF(BJ37="CAPTURA",N(AS37),0)))</f>
        <v/>
      </c>
      <c r="BN37" s="44" t="str">
        <f>IF(BI37&lt;&gt;"SÍ","",IF(BJ37="ETABS",BC37,IF(BJ37="CAPTURA",IF(ISNUMBER(AU37),AU37,N(AS37)*DATOS!$C$89),0)))</f>
        <v/>
      </c>
      <c r="BO37" s="44" t="str">
        <f>IF(BI37&lt;&gt;"SÍ","",IF(BJ37="ETABS",MAX(BD37,BE37),IF(BJ37="CAPTURA",N(AT37),0)))</f>
        <v/>
      </c>
      <c r="BP37" s="44" t="str">
        <f>IF(BI37&lt;&gt;"SÍ","",IF(BJ37="ETABS",BE37,IF(BJ37="CAPTURA",IF(ISNUMBER(AV37),AV37,N(AT37)),0)))</f>
        <v/>
      </c>
      <c r="BQ37" s="44" t="str">
        <f>IF(BI37&lt;&gt;"SÍ","",IF(BJ37="ETABS",BF37,IF(BJ37="CAPTURA",N(AW37),0)))</f>
        <v/>
      </c>
      <c r="BR37" s="43" t="str">
        <f>IF(BI37&lt;&gt;"SÍ","",IF(BK37&gt;0,100*BQ37/BK37,0))</f>
        <v/>
      </c>
      <c r="BS37" s="44" t="str">
        <f>IF(BI37&lt;&gt;"SÍ","",IF(ISNUMBER(G37),G37,DATOS!$C$57))</f>
        <v/>
      </c>
      <c r="BT37" s="47" t="str">
        <f>IF(BI37&lt;&gt;"SÍ","",IF(ISNUMBER(H37),H37,DATOS!$C$58))</f>
        <v/>
      </c>
      <c r="BU37" s="43" t="str">
        <f>IF(BI37&lt;&gt;"SÍ","",IF(N(K37)&gt;0,1+IF(N(P37)&gt;0,1+IF(N(U37)&gt;0,1+IF(N(Z37)&gt;0,1,0),0),0),0))</f>
        <v/>
      </c>
      <c r="BV37" s="45" t="str">
        <f>IF(BI37&lt;&gt;"SÍ","",IF(AND(OR(BU37&lt;1,AND(N(J37)&gt;=0-0.001,J37+K37&lt;=F37+0.001,N(L37)&gt;=0,N(L37)+N(M37)&lt;=BS37+0.001,N(M37)&gt;0,OR(I37="PUERTA",I37="VENTANA"))),OR(BU37&lt;2,AND(N(O37)&gt;=(J37+K37)-0.001,O37+P37&lt;=F37+0.001,N(Q37)&gt;=0,N(Q37)+N(R37)&lt;=BS37+0.001,N(R37)&gt;0,OR(N37="PUERTA",N37="VENTANA"))),OR(BU37&lt;3,AND(N(T37)&gt;=(O37+P37)-0.001,T37+U37&lt;=F37+0.001,N(V37)&gt;=0,N(V37)+N(W37)&lt;=BS37+0.001,N(W37)&gt;0,OR(S37="PUERTA",S37="VENTANA"))),OR(BU37&lt;4,AND(N(Y37)&gt;=(T37+U37)-0.001,Y37+Z37&lt;=F37+0.001,N(AA37)&gt;=0,N(AA37)+N(AB37)&lt;=BS37+0.001,N(AB37)&gt;0,OR(X37="PUERTA",X37="VENTANA"))),(N(K37)&gt;0)+(N(P37)&gt;0)+(N(U37)&gt;0)+(N(Z37)&gt;0)=BU37),"CUMPLE","REVISAR VANOS: tipo, orden de izquierda a derecha, que quepan en L y en H"))</f>
        <v/>
      </c>
      <c r="BW37" s="44" t="str">
        <f>IF(BI37&lt;&gt;"SÍ","",MAX(0,IF(BU37&gt;=1,N(J37),F37)))</f>
        <v/>
      </c>
      <c r="BX37" s="44" t="str">
        <f>IF(BI37&lt;&gt;"SÍ","",MAX(0,IF(BU37&gt;=2,N(O37)-(N(J37)+N(K37)),IF(BU37=1,F37-(N(J37)+N(K37)),0))))</f>
        <v/>
      </c>
      <c r="BY37" s="44" t="str">
        <f>IF(BI37&lt;&gt;"SÍ","",MAX(0,IF(BU37&gt;=3,N(T37)-(N(O37)+N(P37)),IF(BU37=2,F37-(N(O37)+N(P37)),0))))</f>
        <v/>
      </c>
      <c r="BZ37" s="44" t="str">
        <f>IF(BI37&lt;&gt;"SÍ","",MAX(0,IF(BU37&gt;=4,N(Y37)-(N(T37)+N(U37)),IF(BU37=3,F37-(N(T37)+N(U37)),0))))</f>
        <v/>
      </c>
      <c r="CA37" s="44" t="str">
        <f>IF(BI37&lt;&gt;"SÍ","",MAX(0,IF(BU37=4,F37-(N(Y37)+N(Z37)),0)))</f>
        <v/>
      </c>
      <c r="CB37" s="46" t="str">
        <f>IF(BI37&lt;&gt;"SÍ","",SUMPRODUCT((BW37:CA37&gt;=DATOS!$C$72-0.0001)*BW37:CA37))</f>
        <v/>
      </c>
      <c r="CC37" s="43" t="str">
        <f>IF(BI37&lt;&gt;"SÍ","",SUMPRODUCT(--(BW37:CA37&gt;=DATOS!$C$72-0.0001)))</f>
        <v/>
      </c>
      <c r="CD37" s="44" t="str">
        <f>IF(BI37&lt;&gt;"SÍ","",SUM(BW37:CA37))</f>
        <v/>
      </c>
      <c r="CE37" s="43" t="str">
        <f>IF(BI37&lt;&gt;"SÍ","",BT37*CB37*100)</f>
        <v/>
      </c>
      <c r="CF37" s="43" t="str">
        <f>IF(BI37&lt;&gt;"SÍ","",BT37*CD37*100)</f>
        <v/>
      </c>
      <c r="CG37" s="47" t="str">
        <f>IF(BI37&lt;&gt;"SÍ","",BS37*100/BT37)</f>
        <v/>
      </c>
      <c r="CH37" s="45" t="str">
        <f>IF(BI37&lt;&gt;"SÍ","",IF(AND(OR(DATOS!$C$14="TIPO II",BT37&gt;=12),CG37&lt;=25),"CUMPLE","NO CUMPLE: "&amp;IF(AND(DATOS!$C$14="TIPO I",BT37&lt;12),"t &lt; 12 cm ","")&amp;IF(CG37&gt;25,"H/t &gt; 25","")))</f>
        <v/>
      </c>
      <c r="CI37" s="44" t="str">
        <f>IF(BI37&lt;&gt;"SÍ","",MIN(1.5*BS37,4))</f>
        <v/>
      </c>
      <c r="CJ37" s="43" t="str">
        <f>IF(BI37&lt;&gt;"SÍ","",SUMPRODUCT((BW37:CA37&gt;=2*DATOS!$C$59/100)*INT((BW37:CA37-DATOS!$C$59/100)/CI37-0.000001)*((BW37:CA37-DATOS!$C$59/100)&gt;0)))</f>
        <v/>
      </c>
      <c r="CK37" s="43" t="str">
        <f>IF(BI37&lt;&gt;"SÍ","",SUMPRODUCT((BW37:CA37&gt;0.0001)*1+(BW37:CA37&gt;=2*DATOS!$C$59/100)*1)+CJ37)</f>
        <v/>
      </c>
      <c r="CL37" s="44" t="str">
        <f>IF(BI37&lt;&gt;"SÍ","",IF(ISNUMBER(AC37),AC37,DATOS!$C$61)*INDEX(TABLAS!$D$6:$D$14,MATCH(IF(AD37&lt;&gt;"",AD37,DATOS!$C$62),TABLAS!$B$6:$B$14,0)))</f>
        <v/>
      </c>
      <c r="CM37" s="44" t="str">
        <f>IF(BI37&lt;&gt;"SÍ","",CK37*DATOS!$C$78+IF(CK37&gt;=2,2,CK37)*(CL37-DATOS!$C$78))</f>
        <v/>
      </c>
      <c r="CN37" s="47" t="str">
        <f>IF(BI37&lt;&gt;"SÍ","",MAX(BS37*100/6,40))</f>
        <v/>
      </c>
      <c r="CO37" s="48" t="str">
        <f>IF(BI37&lt;&gt;"SÍ","",IF(CG37&lt;=20,IF(E37="INTERIOR",0.7,0.6),MIN(IF(E37="INTERIOR",0.7,0.6),(1-2/24)*(1-(IF(E37="INTERIOR",0.8,1)*CG37/30)^2))))</f>
        <v/>
      </c>
      <c r="CP37" s="47" t="str">
        <f>IF(BI37&lt;&gt;"SÍ","",DATOS!$C$87*CO37*(DATOS!$C$33*CF37+CM37*DATOS!$C$48)/1000)</f>
        <v/>
      </c>
      <c r="CQ37" s="46" t="str">
        <f>IF(BI37&lt;&gt;"SÍ","",IF(CP37&gt;0,BO37/CP37,99))</f>
        <v/>
      </c>
      <c r="CR37" s="47" t="str">
        <f>IF(BI37&lt;&gt;"SÍ","",MAX(0,F37*100-DATOS!$C$59))</f>
        <v/>
      </c>
      <c r="CS37" s="47" t="str">
        <f>IF(BI37&lt;&gt;"SÍ","",MAX(0,F37*100-DATOS!$C$59/2))</f>
        <v/>
      </c>
      <c r="CT37" s="44" t="str">
        <f>IF(BI37&lt;&gt;"SÍ","",CL37*DATOS!$C$48*CR37/100000)</f>
        <v/>
      </c>
      <c r="CU37" s="44" t="str">
        <f>IF(BI37&lt;&gt;"SÍ","",IF(BN37&lt;0,0.8*CT37*MAX(0,1+BN37/(0.8*CM37*DATOS!$C$48/1000)),IF(BN37&lt;=CP37/3,0.8*CT37+0.3*BN37*CS37/100,(1.5*0.6*CT37+0.15*CP37*CS37/100)*MAX(0,1-BN37/CP37))))</f>
        <v/>
      </c>
      <c r="CV37" s="44" t="str">
        <f>IF(BI37&lt;&gt;"SÍ","",IF(BO37&lt;0,0.8*CT37*MAX(0,1+BO37/(0.8*CM37*DATOS!$C$48/1000)),IF(BO37&lt;=CP37/3,0.8*CT37+0.3*BO37*CS37/100,(1.5*0.6*CT37+0.15*CP37*CS37/100)*MAX(0,1-BO37/CP37))))</f>
        <v/>
      </c>
      <c r="CW37" s="46" t="str">
        <f>IF(BI37&lt;&gt;"SÍ","",MAX(0,MIN(CU37,CV37)))</f>
        <v/>
      </c>
      <c r="CX37" s="49" t="str">
        <f>IF(BI37&lt;&gt;"SÍ","",IF(CW37&gt;0,BL37/CW37,IF(BL37&gt;0,99,0)))</f>
        <v/>
      </c>
      <c r="CY37" s="44" t="str">
        <f>IF(BI37&lt;&gt;"SÍ","",IF(BW37&gt;0,MAX(1,MIN(1.5,1.5-0.625*(BS37/BW37-0.2))),0))</f>
        <v/>
      </c>
      <c r="CZ37" s="44" t="str">
        <f>IF(BI37&lt;&gt;"SÍ","",IF(BX37&gt;0,MAX(1,MIN(1.5,1.5-0.625*(BS37/BX37-0.2))),0))</f>
        <v/>
      </c>
      <c r="DA37" s="44" t="str">
        <f>IF(BI37&lt;&gt;"SÍ","",IF(BY37&gt;0,MAX(1,MIN(1.5,1.5-0.625*(BS37/BY37-0.2))),0))</f>
        <v/>
      </c>
      <c r="DB37" s="44" t="str">
        <f>IF(BI37&lt;&gt;"SÍ","",IF(BZ37&gt;0,MAX(1,MIN(1.5,1.5-0.625*(BS37/BZ37-0.2))),0))</f>
        <v/>
      </c>
      <c r="DC37" s="44" t="str">
        <f>IF(BI37&lt;&gt;"SÍ","",IF(CA37&gt;0,MAX(1,MIN(1.5,1.5-0.625*(BS37/CA37-0.2))),0))</f>
        <v/>
      </c>
      <c r="DD37" s="44" t="str">
        <f>IF(BI37&lt;&gt;"SÍ","",IF(OR(BW37&lt;DATOS!$C$72-0.0001,BM37&lt;0,CB37&lt;=0),0,MIN(DATOS!$C$86*(0.5*DATOS!$C$41*BT37*BW37*100+0.3*BM37*BW37/CB37*1000)*CY37,1.5*DATOS!$C$86*DATOS!$C$41*BT37*BW37*100*CY37)/1000))</f>
        <v/>
      </c>
      <c r="DE37" s="44" t="str">
        <f>IF(BI37&lt;&gt;"SÍ","",IF(OR(BX37&lt;DATOS!$C$72-0.0001,BM37&lt;0,CB37&lt;=0),0,MIN(DATOS!$C$86*(0.5*DATOS!$C$41*BT37*BX37*100+0.3*BM37*BX37/CB37*1000)*CZ37,1.5*DATOS!$C$86*DATOS!$C$41*BT37*BX37*100*CZ37)/1000))</f>
        <v/>
      </c>
      <c r="DF37" s="44" t="str">
        <f>IF(BI37&lt;&gt;"SÍ","",IF(OR(BY37&lt;DATOS!$C$72-0.0001,BM37&lt;0,CB37&lt;=0),0,MIN(DATOS!$C$86*(0.5*DATOS!$C$41*BT37*BY37*100+0.3*BM37*BY37/CB37*1000)*DA37,1.5*DATOS!$C$86*DATOS!$C$41*BT37*BY37*100*DA37)/1000))</f>
        <v/>
      </c>
      <c r="DG37" s="44" t="str">
        <f>IF(BI37&lt;&gt;"SÍ","",IF(OR(BZ37&lt;DATOS!$C$72-0.0001,BM37&lt;0,CB37&lt;=0),0,MIN(DATOS!$C$86*(0.5*DATOS!$C$41*BT37*BZ37*100+0.3*BM37*BZ37/CB37*1000)*DB37,1.5*DATOS!$C$86*DATOS!$C$41*BT37*BZ37*100*DB37)/1000))</f>
        <v/>
      </c>
      <c r="DH37" s="44" t="str">
        <f>IF(BI37&lt;&gt;"SÍ","",IF(OR(CA37&lt;DATOS!$C$72-0.0001,BM37&lt;0,CB37&lt;=0),0,MIN(DATOS!$C$86*(0.5*DATOS!$C$41*BT37*CA37*100+0.3*BM37*CA37/CB37*1000)*DC37,1.5*DATOS!$C$86*DATOS!$C$41*BT37*CA37*100*DC37)/1000))</f>
        <v/>
      </c>
      <c r="DI37" s="46" t="str">
        <f>IF(BI37&lt;&gt;"SÍ","",SUM(DD37:DH37))</f>
        <v/>
      </c>
      <c r="DJ37" s="48" t="str">
        <f>IF(BI37&lt;&gt;"SÍ","",IF(AE37="VARILLA EN JUNTAS",IF(ISNUMBER(AF37),AF37,2)*INDEX(TABLAS!$D$6:$D$14,MATCH(IF(AG37&lt;&gt;"",AG37,DATOS!$C$73),TABLAS!$B$6:$B$14,0)),IF(AE37="MALLA",IF(ISNUMBER(AF37),AF37,1)*INDEX(TABLAS!$D$19:$D$22,MATCH(IF(AG37&lt;&gt;"",AG37,DATOS!$C$74),TABLAS!$B$19:$B$22,0))/100,IF(AE37="ESCALERILLA",IF(ISNUMBER(AF37),AF37,2)*INDEX(TABLAS!$D$6:$D$14,MATCH(IF(AG37&lt;&gt;"",AG37,DATOS!$C$73),TABLAS!$B$6:$B$14,0)),0))))</f>
        <v/>
      </c>
      <c r="DK37" s="47" t="str">
        <f>IF(BI37&lt;&gt;"SÍ","",IF(OR(AE37="VARILLA EN JUNTAS",AE37="ESCALERILLA"),IF(ISNUMBER(AH37),AH37,2)*DATOS!$C$26,IF(AE37="MALLA",1,0)))</f>
        <v/>
      </c>
      <c r="DL37" s="44" t="str">
        <f>IF(BI37&lt;&gt;"SÍ","",IF(DK37&gt;0,DJ37/(DK37*BT37)*MIN(DATOS!$C$50,IF(AE37="MALLA",5000,6000)),0))</f>
        <v/>
      </c>
      <c r="DM37" s="44" t="str">
        <f>IF(BI37&lt;&gt;"SÍ","",IF(AE37="ESCALERILLA",0,MIN(DL37,0.1*DATOS!$C$33*DATOS!$C$24)))</f>
        <v/>
      </c>
      <c r="DN37" s="48" t="str">
        <f>IF(BI37&lt;&gt;"SÍ","",IF(AE37="MALLA",0.5,IF(DATOS!$C$33&lt;=60,0.55,IF(DATOS!$C$33&gt;=90,0.75,0.55+0.2*(DATOS!$C$33-60)/30))))</f>
        <v/>
      </c>
      <c r="DO37" s="48" t="str">
        <f>IF(BI37&lt;&gt;"SÍ","",1-DATOS!$C$91*DM37)</f>
        <v/>
      </c>
      <c r="DP37" s="44" t="str">
        <f>IF(BI37&lt;&gt;"SÍ","",IF(BW37&gt;0,IF(BS37/BW37&lt;=1,1.3,IF(BS37/BW37&gt;=1.5,1,1.3-0.6*(BS37/BW37-1))),0))</f>
        <v/>
      </c>
      <c r="DQ37" s="44" t="str">
        <f>IF(BI37&lt;&gt;"SÍ","",IF(BX37&gt;0,IF(BS37/BX37&lt;=1,1.3,IF(BS37/BX37&gt;=1.5,1,1.3-0.6*(BS37/BX37-1))),0))</f>
        <v/>
      </c>
      <c r="DR37" s="44" t="str">
        <f>IF(BI37&lt;&gt;"SÍ","",IF(BY37&gt;0,IF(BS37/BY37&lt;=1,1.3,IF(BS37/BY37&gt;=1.5,1,1.3-0.6*(BS37/BY37-1))),0))</f>
        <v/>
      </c>
      <c r="DS37" s="44" t="str">
        <f>IF(BI37&lt;&gt;"SÍ","",IF(BZ37&gt;0,IF(BS37/BZ37&lt;=1,1.3,IF(BS37/BZ37&gt;=1.5,1,1.3-0.6*(BS37/BZ37-1))),0))</f>
        <v/>
      </c>
      <c r="DT37" s="44" t="str">
        <f>IF(BI37&lt;&gt;"SÍ","",IF(CA37&gt;0,IF(BS37/CA37&lt;=1,1.3,IF(BS37/CA37&gt;=1.5,1,1.3-0.6*(BS37/CA37-1))),0))</f>
        <v/>
      </c>
      <c r="DU37" s="44" t="str">
        <f>IF(BI37&lt;&gt;"SÍ","",IF(OR(DM37&lt;=0,BW37&lt;DATOS!$C$72-0.0001),0,DATOS!$C$86*MAX(0,IF(BM37&gt;=0,DD37/(DATOS!$C$86*DM37*BT37*BW37*100/1000)*(DP37*DO37-1)+DN37,DO37*DN37))*DM37*BT37*BW37*100/1000))</f>
        <v/>
      </c>
      <c r="DV37" s="44" t="str">
        <f>IF(BI37&lt;&gt;"SÍ","",IF(OR(DM37&lt;=0,BX37&lt;DATOS!$C$72-0.0001),0,DATOS!$C$86*MAX(0,IF(BM37&gt;=0,DE37/(DATOS!$C$86*DM37*BT37*BX37*100/1000)*(DQ37*DO37-1)+DN37,DO37*DN37))*DM37*BT37*BX37*100/1000))</f>
        <v/>
      </c>
      <c r="DW37" s="44" t="str">
        <f>IF(BI37&lt;&gt;"SÍ","",IF(OR(DM37&lt;=0,BY37&lt;DATOS!$C$72-0.0001),0,DATOS!$C$86*MAX(0,IF(BM37&gt;=0,DF37/(DATOS!$C$86*DM37*BT37*BY37*100/1000)*(DR37*DO37-1)+DN37,DO37*DN37))*DM37*BT37*BY37*100/1000))</f>
        <v/>
      </c>
      <c r="DX37" s="44" t="str">
        <f>IF(BI37&lt;&gt;"SÍ","",IF(OR(DM37&lt;=0,BZ37&lt;DATOS!$C$72-0.0001),0,DATOS!$C$86*MAX(0,IF(BM37&gt;=0,DG37/(DATOS!$C$86*DM37*BT37*BZ37*100/1000)*(DS37*DO37-1)+DN37,DO37*DN37))*DM37*BT37*BZ37*100/1000))</f>
        <v/>
      </c>
      <c r="DY37" s="44" t="str">
        <f>IF(BI37&lt;&gt;"SÍ","",IF(OR(DM37&lt;=0,CA37&lt;DATOS!$C$72-0.0001),0,DATOS!$C$86*MAX(0,IF(BM37&gt;=0,DH37/(DATOS!$C$86*DM37*BT37*CA37*100/1000)*(DT37*DO37-1)+DN37,DO37*DN37))*DM37*BT37*CA37*100/1000))</f>
        <v/>
      </c>
      <c r="DZ37" s="46" t="str">
        <f>IF(BI37&lt;&gt;"SÍ","",SUM(DU37:DY37))</f>
        <v/>
      </c>
      <c r="EA37" s="45" t="str">
        <f>IF(BI37&lt;&gt;"SÍ","",IF(OR(AE37="",AE37="NINGUNO"),IF(DATOS!$C$41&gt;=10,"FALTA refuerzo horizontal: v'm ≥ 10 kg/cm² (6.5.2.2)",IF(AND(BM37&lt;0,BK37&gt;0),"FALTA: P en tensión, el refuerzo debe tomar todo el cortante (6.5.1.3)","—")),IF(AE37="ESCALERILLA","NO CUENTA: la escalerilla no se permite para cortante por sismo (6.5.3.1.2)",IF(AE37="MALLA",IF(AND(DL37&gt;=2.5,DL37&lt;=MAX(0.15*DATOS!$C$33*DATOS!$C$24,2.5)),"CUMPLE","NO CUMPLE: "&amp;IF(DL37&lt;2.5,"p_h·f_yh &lt; 2.5 (6.5.4.2.4)","p_h·f_yh &gt; 0.15·f'm·f_an (6.5.4.2.4)")),IF(AND(DK37&lt;=MIN(6*DATOS!$C$26,45),DL37&gt;=3,DL37&lt;=MIN(MAX(0.15*DATOS!$C$33*DATOS!$C$24,3),0.05*DATOS!$C$25/10*MIN(DATOS!$C$50,6000)/DK37),INDEX(TABLAS!$C$6:$C$14,MATCH(IF(AG37&lt;&gt;"",AG37,DATOS!$C$73),TABLAS!$B$6:$B$14,0))&gt;=0.35,INDEX(TABLAS!$C$6:$C$14,MATCH(IF(AG37&lt;&gt;"",AG37,DATOS!$C$73),TABLAS!$B$6:$B$14,0))&lt;=0.75*DATOS!$C$25/10),"CUMPLE","NO CUMPLE: "&amp;IF(DK37&gt;MIN(6*DATOS!$C$26,45),"s_h &gt; 6 hiladas o 45 cm (6.5.3.2.1) ","")&amp;IF(DL37&lt;3,"p_h·f_yh &lt; 3 (6.5.3.3.1) ","")&amp;IF(DL37&gt;MIN(MAX(0.15*DATOS!$C$33*DATOS!$C$24,3),0.05*DATOS!$C$25/10*MIN(DATOS!$C$50,6000)/DK37),"p_h·f_yh &gt; máximo (6.5.3.3.2) ","")&amp;IF(OR(INDEX(TABLAS!$C$6:$C$14,MATCH(IF(AG37&lt;&gt;"",AG37,DATOS!$C$73),TABLAS!$B$6:$B$14,0))&lt;0.35,INDEX(TABLAS!$C$6:$C$14,MATCH(IF(AG37&lt;&gt;"",AG37,DATOS!$C$73),TABLAS!$B$6:$B$14,0))&gt;0.75*DATOS!$C$25/10),"diámetro fuera de 3.5 mm a 0.75·h_j (4.2.2.2.1)",""))))))</f>
        <v/>
      </c>
      <c r="EB37" s="46" t="str">
        <f>IF(BI37&lt;&gt;"SÍ","",DI37+DZ37)</f>
        <v/>
      </c>
      <c r="EC37" s="50" t="str">
        <f>IF(BI37&lt;&gt;"SÍ","",IF(EB37&gt;0,BK37/EB37,IF(BK37&gt;0,99,0)))</f>
        <v/>
      </c>
      <c r="ED37" s="47" t="str">
        <f>IF(BI37&lt;&gt;"SÍ","",IF(CE37&lt;=0,-1,IF(BK37&lt;=DI37,0,IF(IF(BM37&gt;=0,IF((DATOS!$C$86*IF(AE37="MALLA",0.5,IF(DATOS!$C$33&lt;=60,0.55,IF(DATOS!$C$33&gt;=90,0.75,0.55+0.2*(DATOS!$C$33-60)/30)))*CE37/1000-DATOS!$C$91*SUMPRODUCT(DP37:DT37,DD37:DH37))&lt;=0,1E9,(BK37-SUMPRODUCT(DP37:DT37,DD37:DH37))/(DATOS!$C$86*IF(AE37="MALLA",0.5,IF(DATOS!$C$33&lt;=60,0.55,IF(DATOS!$C$33&gt;=90,0.75,0.55+0.2*(DATOS!$C$33-60)/30)))*CE37/1000-DATOS!$C$91*SUMPRODUCT(DP37:DT37,DD37:DH37))),IF((1-4*DATOS!$C$91*BK37*1000/(DATOS!$C$86*IF(AE37="MALLA",0.5,IF(DATOS!$C$33&lt;=60,0.55,IF(DATOS!$C$33&gt;=90,0.75,0.55+0.2*(DATOS!$C$33-60)/30)))*MAX(CE37,1)))&lt;0,1E9,(1-SQRT((1-4*DATOS!$C$91*BK37*1000/(DATOS!$C$86*IF(AE37="MALLA",0.5,IF(DATOS!$C$33&lt;=60,0.55,IF(DATOS!$C$33&gt;=90,0.75,0.55+0.2*(DATOS!$C$33-60)/30)))*MAX(CE37,1)))))/(2*DATOS!$C$91)))&gt;0.1*DATOS!$C$33*DATOS!$C$24+0.000001,-1,MAX(IF(AE37="MALLA",2.5,3),IF(BM37&gt;=0,IF((DATOS!$C$86*IF(AE37="MALLA",0.5,IF(DATOS!$C$33&lt;=60,0.55,IF(DATOS!$C$33&gt;=90,0.75,0.55+0.2*(DATOS!$C$33-60)/30)))*CE37/1000-DATOS!$C$91*SUMPRODUCT(DP37:DT37,DD37:DH37))&lt;=0,1E9,(BK37-SUMPRODUCT(DP37:DT37,DD37:DH37))/(DATOS!$C$86*IF(AE37="MALLA",0.5,IF(DATOS!$C$33&lt;=60,0.55,IF(DATOS!$C$33&gt;=90,0.75,0.55+0.2*(DATOS!$C$33-60)/30)))*CE37/1000-DATOS!$C$91*SUMPRODUCT(DP37:DT37,DD37:DH37))),IF((1-4*DATOS!$C$91*BK37*1000/(DATOS!$C$86*IF(AE37="MALLA",0.5,IF(DATOS!$C$33&lt;=60,0.55,IF(DATOS!$C$33&gt;=90,0.75,0.55+0.2*(DATOS!$C$33-60)/30)))*MAX(CE37,1)))&lt;0,1E9,(1-SQRT((1-4*DATOS!$C$91*BK37*1000/(DATOS!$C$86*IF(AE37="MALLA",0.5,IF(DATOS!$C$33&lt;=60,0.55,IF(DATOS!$C$33&gt;=90,0.75,0.55+0.2*(DATOS!$C$33-60)/30)))*MAX(CE37,1)))))/(2*DATOS!$C$91))))))))</f>
        <v/>
      </c>
      <c r="EE37" s="45" t="str">
        <f>IF(BI37&lt;&gt;"SÍ","",IF(ED37=0,"NO REQUIERE: V_mR ≥ V_u",IF(ED37&lt;0,"NO ALCANZA con refuerzo horizontal (haría falta más de 0.1·f'm·f_an efectivo): sube v'm con ensayes, el espesor o la longitud del muro",IF(AND(OR(AE37="VARILLA EN JUNTAS",AE37="MALLA"),LEFT(EA37,6)="CUMPLE",EC37&lt;=1),"YA LO TIENE (pide p_h·f_yh ≥ "&amp;TEXT(ED37,"0.0")&amp;" kg/cm²)","p_h·f_yh ≥ "&amp;TEXT(ED37,"0.0")&amp;" kg/cm² → "&amp;IF(AND(MIN(6,FLOOR(45/DATOS!$C$26,1),FLOOR((2*INDEX(TABLAS!$D$6:$D$14,MATCH("3/16 in",TABLAS!$B$6:$B$14,0)))*MIN(DATOS!$C$50,6000)/(BT37*DATOS!$C$26*MAX(ED37,0.001)),1))&gt;=1,((2*INDEX(TABLAS!$D$6:$D$14,MATCH("3/16 in",TABLAS!$B$6:$B$14,0)))*MIN(DATOS!$C$50,6000)/(MAX(MIN(6,FLOOR(45/DATOS!$C$26,1),FLOOR((2*INDEX(TABLAS!$D$6:$D$14,MATCH("3/16 in",TABLAS!$B$6:$B$14,0)))*MIN(DATOS!$C$50,6000)/(BT37*DATOS!$C$26*MAX(ED37,0.001)),1)),1)*DATOS!$C$26*BT37))&lt;=MIN(MAX(0.15*DATOS!$C$33*DATOS!$C$24,3),0.05*DATOS!$C$25/10*MIN(DATOS!$C$50,6000)/(MIN(6,FLOOR(45/DATOS!$C$26,1),FLOOR((2*INDEX(TABLAS!$D$6:$D$14,MATCH("3/16 in",TABLAS!$B$6:$B$14,0)))*MIN(DATOS!$C$50,6000)/(BT37*DATOS!$C$26*MAX(ED37,0.001)),1))*DATOS!$C$26))),"2 alambres de 3/16"" por junta cada "&amp;MIN(6,FLOOR(45/DATOS!$C$26,1),FLOOR((2*INDEX(TABLAS!$D$6:$D$14,MATCH("3/16 in",TABLAS!$B$6:$B$14,0)))*MIN(DATOS!$C$50,6000)/(BT37*DATOS!$C$26*MAX(ED37,0.001)),1))&amp;" hilada(s) (p_h·f_yh = "&amp;TEXT(((2*INDEX(TABLAS!$D$6:$D$14,MATCH("3/16 in",TABLAS!$B$6:$B$14,0)))*MIN(DATOS!$C$50,6000)/(MAX(MIN(6,FLOOR(45/DATOS!$C$26,1),FLOOR((2*INDEX(TABLAS!$D$6:$D$14,MATCH("3/16 in",TABLAS!$B$6:$B$14,0)))*MIN(DATOS!$C$50,6000)/(BT37*DATOS!$C$26*MAX(ED37,0.001)),1)),1)*DATOS!$C$26*BT37)),"0.00")&amp;")",IF(AND(MIN(6,FLOOR(45/DATOS!$C$26,1),FLOOR((2*INDEX(TABLAS!$D$6:$D$14,MATCH("5/32 in",TABLAS!$B$6:$B$14,0)))*MIN(DATOS!$C$50,6000)/(BT37*DATOS!$C$26*MAX(ED37,0.001)),1))&gt;=1,((2*INDEX(TABLAS!$D$6:$D$14,MATCH("5/32 in",TABLAS!$B$6:$B$14,0)))*MIN(DATOS!$C$50,6000)/(MAX(MIN(6,FLOOR(45/DATOS!$C$26,1),FLOOR((2*INDEX(TABLAS!$D$6:$D$14,MATCH("5/32 in",TABLAS!$B$6:$B$14,0)))*MIN(DATOS!$C$50,6000)/(BT37*DATOS!$C$26*MAX(ED37,0.001)),1)),1)*DATOS!$C$26*BT37))&lt;=MIN(MAX(0.15*DATOS!$C$33*DATOS!$C$24,3),0.05*DATOS!$C$25/10*MIN(DATOS!$C$50,6000)/(MIN(6,FLOOR(45/DATOS!$C$26,1),FLOOR((2*INDEX(TABLAS!$D$6:$D$14,MATCH("5/32 in",TABLAS!$B$6:$B$14,0)))*MIN(DATOS!$C$50,6000)/(BT37*DATOS!$C$26*MAX(ED37,0.001)),1))*DATOS!$C$26))),"2 alambres de 5/32"" por junta cada "&amp;MIN(6,FLOOR(45/DATOS!$C$26,1),FLOOR((2*INDEX(TABLAS!$D$6:$D$14,MATCH("5/32 in",TABLAS!$B$6:$B$14,0)))*MIN(DATOS!$C$50,6000)/(BT37*DATOS!$C$26*MAX(ED37,0.001)),1))&amp;" hilada(s) (p_h·f_yh = "&amp;TEXT(((2*INDEX(TABLAS!$D$6:$D$14,MATCH("5/32 in",TABLAS!$B$6:$B$14,0)))*MIN(DATOS!$C$50,6000)/(MAX(MIN(6,FLOOR(45/DATOS!$C$26,1),FLOOR((2*INDEX(TABLAS!$D$6:$D$14,MATCH("5/32 in",TABLAS!$B$6:$B$14,0)))*MIN(DATOS!$C$50,6000)/(BT37*DATOS!$C$26*MAX(ED37,0.001)),1)),1)*DATOS!$C$26*BT37)),"0.00")&amp;")",IF(AND(MIN(6,FLOOR(45/DATOS!$C$26,1),FLOOR((1*INDEX(TABLAS!$D$6:$D$14,MATCH("3/16 in",TABLAS!$B$6:$B$14,0)))*MIN(DATOS!$C$50,6000)/(BT37*DATOS!$C$26*MAX(ED37,0.001)),1))&gt;=1,((1*INDEX(TABLAS!$D$6:$D$14,MATCH("3/16 in",TABLAS!$B$6:$B$14,0)))*MIN(DATOS!$C$50,6000)/(MAX(MIN(6,FLOOR(45/DATOS!$C$26,1),FLOOR((1*INDEX(TABLAS!$D$6:$D$14,MATCH("3/16 in",TABLAS!$B$6:$B$14,0)))*MIN(DATOS!$C$50,6000)/(BT37*DATOS!$C$26*MAX(ED37,0.001)),1)),1)*DATOS!$C$26*BT37))&lt;=MIN(MAX(0.15*DATOS!$C$33*DATOS!$C$24,3),0.05*DATOS!$C$25/10*MIN(DATOS!$C$50,6000)/(MIN(6,FLOOR(45/DATOS!$C$26,1),FLOOR((1*INDEX(TABLAS!$D$6:$D$14,MATCH("3/16 in",TABLAS!$B$6:$B$14,0)))*MIN(DATOS!$C$50,6000)/(BT37*DATOS!$C$26*MAX(ED37,0.001)),1))*DATOS!$C$26))),"1 alambre de 3/16"" por junta cada "&amp;MIN(6,FLOOR(45/DATOS!$C$26,1),FLOOR((1*INDEX(TABLAS!$D$6:$D$14,MATCH("3/16 in",TABLAS!$B$6:$B$14,0)))*MIN(DATOS!$C$50,6000)/(BT37*DATOS!$C$26*MAX(ED37,0.001)),1))&amp;" hilada(s) (p_h·f_yh = "&amp;TEXT(((1*INDEX(TABLAS!$D$6:$D$14,MATCH("3/16 in",TABLAS!$B$6:$B$14,0)))*MIN(DATOS!$C$50,6000)/(MAX(MIN(6,FLOOR(45/DATOS!$C$26,1),FLOOR((1*INDEX(TABLAS!$D$6:$D$14,MATCH("3/16 in",TABLAS!$B$6:$B$14,0)))*MIN(DATOS!$C$50,6000)/(BT37*DATOS!$C$26*MAX(ED37,0.001)),1)),1)*DATOS!$C$26*BT37)),"0.00")&amp;")",IF(AND(MIN(6,FLOOR(45/DATOS!$C$26,1),FLOOR((1*INDEX(TABLAS!$D$6:$D$14,MATCH("5/32 in",TABLAS!$B$6:$B$14,0)))*MIN(DATOS!$C$50,6000)/(BT37*DATOS!$C$26*MAX(ED37,0.001)),1))&gt;=1,((1*INDEX(TABLAS!$D$6:$D$14,MATCH("5/32 in",TABLAS!$B$6:$B$14,0)))*MIN(DATOS!$C$50,6000)/(MAX(MIN(6,FLOOR(45/DATOS!$C$26,1),FLOOR((1*INDEX(TABLAS!$D$6:$D$14,MATCH("5/32 in",TABLAS!$B$6:$B$14,0)))*MIN(DATOS!$C$50,6000)/(BT37*DATOS!$C$26*MAX(ED37,0.001)),1)),1)*DATOS!$C$26*BT37))&lt;=MIN(MAX(0.15*DATOS!$C$33*DATOS!$C$24,3),0.05*DATOS!$C$25/10*MIN(DATOS!$C$50,6000)/(MIN(6,FLOOR(45/DATOS!$C$26,1),FLOOR((1*INDEX(TABLAS!$D$6:$D$14,MATCH("5/32 in",TABLAS!$B$6:$B$14,0)))*MIN(DATOS!$C$50,6000)/(BT37*DATOS!$C$26*MAX(ED37,0.001)),1))*DATOS!$C$26))),"1 alambre de 5/32"" por junta cada "&amp;MIN(6,FLOOR(45/DATOS!$C$26,1),FLOOR((1*INDEX(TABLAS!$D$6:$D$14,MATCH("5/32 in",TABLAS!$B$6:$B$14,0)))*MIN(DATOS!$C$50,6000)/(BT37*DATOS!$C$26*MAX(ED37,0.001)),1))&amp;" hilada(s) (p_h·f_yh = "&amp;TEXT(((1*INDEX(TABLAS!$D$6:$D$14,MATCH("5/32 in",TABLAS!$B$6:$B$14,0)))*MIN(DATOS!$C$50,6000)/(MAX(MIN(6,FLOOR(45/DATOS!$C$26,1),FLOOR((1*INDEX(TABLAS!$D$6:$D$14,MATCH("5/32 in",TABLAS!$B$6:$B$14,0)))*MIN(DATOS!$C$50,6000)/(BT37*DATOS!$C$26*MAX(ED37,0.001)),1)),1)*DATOS!$C$26*BT37)),"0.00")&amp;")","ninguna combinación de 1 o 2 alambres por junta queda entre el mínimo y el máximo: revisa con malla (6.5.4)"))))))))</f>
        <v/>
      </c>
      <c r="EF37" s="43" t="str">
        <f>IF(BI37&lt;&gt;"SÍ","",IF(AI37="SÍ",N(AK37)*N(AL37)^3/12,0))</f>
        <v/>
      </c>
      <c r="EG37" s="48" t="str">
        <f>IF(BI37&lt;&gt;"SÍ","",IF(AND(AI37="SÍ",N(AM37)&gt;0),MIN(1,F37/AM37),0))</f>
        <v/>
      </c>
      <c r="EH37" s="47" t="str">
        <f>IF(BI37&lt;&gt;"SÍ","",IF(AI37="SÍ",BP37*1000/(BT37*F37*100)*BT37*(EG37^4-4*EG37^3+8*EG37),0))</f>
        <v/>
      </c>
      <c r="EI37" s="48" t="str">
        <f>IF(BI37&lt;&gt;"SÍ","",IF(AND(AI37="SÍ",EH37&gt;0),EH37/(EH37+5*N(AN37)*10),0))</f>
        <v/>
      </c>
      <c r="EJ37" s="44" t="str">
        <f>IF(BI37&lt;&gt;"SÍ","",IF(AND(AI37="SÍ",EI37&gt;0,EF37&gt;0),(DATOS!$C$43*BT37*(AM37*100)^3/(DATOS!$C$53*EF37*EI37))^0.25,0))</f>
        <v/>
      </c>
      <c r="EK37" s="44" t="str">
        <f>IF(BI37&lt;&gt;"SÍ","",IF(AI37&lt;&gt;"SÍ",0,IF(N(AM37)&lt;=F37,1,IF(MIN(1,N(AO37)/((AM37-F37)/2))&lt;=0.5,0.7+0.6*MIN(1,N(AO37)/((AM37-F37)/2)),1.5-MIN(1,N(AO37)/((AM37-F37)/2))))))</f>
        <v/>
      </c>
      <c r="EL37" s="44" t="str">
        <f>IF(BI37&lt;&gt;"SÍ","",IF(AI37&lt;&gt;"SÍ",0,MAX(1,IF(EG37&gt;=1,(1.6*EJ37-3.9),IF(EG37&lt;0.9,((3.2*EJ37-7.8)*EK37),((3.2*EJ37-7.8)*EK37)+((1.6*EJ37-3.9)-((3.2*EJ37-7.8)*EK37))*(EG37-0.9)/0.1)))))</f>
        <v/>
      </c>
      <c r="EM37" s="47" t="str">
        <f>IF(BI37&lt;&gt;"SÍ","",IF(AI37="SÍ",EL37*BP37*1000/(BT37*F37*100),0))</f>
        <v/>
      </c>
      <c r="EN37" s="47" t="str">
        <f>IF(BI37&lt;&gt;"SÍ","",IF(AND(AI37="SÍ",N(AL37)&gt;0),AM37*100/AL37,0))</f>
        <v/>
      </c>
      <c r="EO37" s="47" t="str">
        <f>IF(BI37&lt;&gt;"SÍ","",IF(AI37="SÍ",(1/15*DATOS!$C$53*N(AK37)/MAX((IF(ISNUMBER(AP37),AP37,BP37/DATOS!$C$90)*1000/(BT37*F37*100)*BT37*(EG37^4-4*EG37^3+8*EG37))+5*N(AN37)/DATOS!$C$90*10,0.001))^(1/3),0))</f>
        <v/>
      </c>
      <c r="EP37" s="45" t="str">
        <f>IF(BI37&lt;&gt;"SÍ","",IF(AI37&lt;&gt;"SÍ","—",IF(OR(N(AK37)&lt;=0,N(AL37)&lt;=0,N(AM37)&lt;=0),"REVISAR: faltan b, h o L_v de la viga",IF(AND(EM37&lt;=DATOS!$C$87*DATOS!$C$33,EN37&lt;=14,N(AL37)&gt;=25,EN37&lt;=EO37),IF(BS37/F37&lt;0.6,"PENDIENTE: H/L &lt; 0.6, falta el análisis de interacción muro–viga (4.1.18.2.1); f_CM es estimado","CUMPLE"),"NO CUMPLE: "&amp;IF(EM37&gt;DATOS!$C$87*DATOS!$C$33,"f_CM &gt; F_R·f'm ","")&amp;IF(EN37&gt;14,"L_v/h_v &gt; 14 ","")&amp;IF(N(AL37)&lt;25,"h_v &lt; 25 cm ","")&amp;IF(EN37&gt;EO37,"flecha (4.1.18.3)","")))))</f>
        <v/>
      </c>
      <c r="EQ37" s="44" t="str">
        <f>IF(BI37&lt;&gt;"SÍ","",MAX(0,F37*BS37-(N(K37)*N(M37)+N(P37)*N(R37)+N(U37)*N(W37)+N(Z37)*N(AB37))-CK37*DATOS!$C$59/100*BS37))</f>
        <v/>
      </c>
      <c r="ER37" s="48" t="str">
        <f>IF(BI37&lt;&gt;"SÍ","",CK37*DATOS!$C$59*DATOS!$C$60/10000*BS37)</f>
        <v/>
      </c>
      <c r="ES37" s="47" t="str">
        <f>IF(BI37&lt;&gt;"SÍ","",CK37*(DATOS!$C$61*(BS37+0.6)*INDEX(TABLAS!$E$6:$E$14,MATCH(DATOS!$C$62,TABLAS!$B$6:$B$14,0))+(2*ROUNDUP(CN37/DATOS!$C$65,0)+ROUNDUP(MAX(0,BS37*100-2*CN37)/DATOS!$C$64,0))*((2*(DATOS!$C$60+DATOS!$C$59-4*(DATOS!$C$66-INDEX(TABLAS!$C$6:$C$14,MATCH(DATOS!$C$63,TABLAS!$B$6:$B$14,0))))+15)/100)*INDEX(TABLAS!$E$6:$E$14,MATCH(DATOS!$C$63,TABLAS!$B$6:$B$14,0))))</f>
        <v/>
      </c>
      <c r="ET37" s="47" t="str">
        <f>IF(BI37&lt;&gt;"SÍ","",IF(OR(AE37="VARILLA EN JUNTAS",AE37="ESCALERILLA"),INT(BS37*100/MAX(DK37,1))*IF(ISNUMBER(AF37),AF37,2)*CB37*INDEX(TABLAS!$E$6:$E$14,MATCH(IF(AG37&lt;&gt;"",AG37,DATOS!$C$73),TABLAS!$B$6:$B$14,0)),IF(AE37="MALLA",IF(ISNUMBER(AF37),AF37,1)*CB37*BS37*INDEX(TABLAS!$E$19:$E$22,MATCH(IF(AG37&lt;&gt;"",AG37,DATOS!$C$74),TABLAS!$B$19:$B$22,0)),0)))</f>
        <v/>
      </c>
      <c r="EU37" s="45" t="str">
        <f>IF(BI37&lt;&gt;"SÍ","",""&amp;IF(BJ37="NO ESTÁ EN PIER_FORCES","sin fuerzas en PIER_FORCES; ","")&amp;IF(BV37&lt;&gt;"CUMPLE","vanos; ","")&amp;IF(LEFT(CH37,2)="NO","espesor o esbeltez; ","")&amp;IF(CQ37&gt;1,"compresión; ","")&amp;IF(CX37&gt;1,"flexión; ","")&amp;IF(CB37&lt;=0,"sin tramos de muro (todos son machones menores que L mín.: diséñalos como columnas o baja L mín.); ",IF(EC37&gt;1,"cortante; ",""))&amp;IF(OR(LEFT(EA37,2)="NO",LEFT(EA37,5)="FALTA"),"refuerzo horizontal; ","")&amp;IF(OR(LEFT(EP37,2)="NO",LEFT(EP37,7)="REVISAR"),"muro sobre viga; ","")&amp;IF(LEFT(DATOS!$C$81,2)="NO","castillo típico; ","")&amp;IF(LEFT(DATOS!$C$82,2)="NO","dala típica; ","")&amp;IF(AND(BT37&lt;&gt;DATOS!$C$58,DATOS!$C$60&lt;BT37),"castillo más angosto que el muro; ",""))</f>
        <v/>
      </c>
      <c r="EV37" s="45" t="str">
        <f>IF(BI37&lt;&gt;"SÍ","",""&amp;IF(LEFT(EP37,9)="PENDIENTE","análisis muro–viga (H/L &lt; 0.6); ","")&amp;IF(BR37&gt;50,"V_u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7" s="51" t="str">
        <f>IF(BI37&lt;&gt;"SÍ","",IF(EU37&lt;&gt;"","NO CUMPLE: "&amp;LEFT(EU37,LEN(EU37)-2),IF(EV37&lt;&gt;"","CUMPLE — PENDIENTE: "&amp;LEFT(EV37,LEN(EV37)-2),"CUMPLE")))</f>
        <v/>
      </c>
      <c r="EX37" s="52" t="n"/>
    </row>
    <row r="38" ht="30" customHeight="1">
      <c r="A38" s="38" t="str">
        <f>IF(B38="","",ROW()-10)</f>
        <v/>
      </c>
      <c r="B38" s="28" t="n"/>
      <c r="C38" s="39" t="n"/>
      <c r="D38" s="39" t="n"/>
      <c r="E38" s="39" t="n"/>
      <c r="F38" s="40" t="n"/>
      <c r="G38" s="40" t="n"/>
      <c r="H38" s="41" t="n"/>
      <c r="I38" s="39" t="n"/>
      <c r="J38" s="40" t="n"/>
      <c r="K38" s="40" t="n"/>
      <c r="L38" s="40" t="n"/>
      <c r="M38" s="40" t="n"/>
      <c r="N38" s="39" t="n"/>
      <c r="O38" s="40" t="n"/>
      <c r="P38" s="40" t="n"/>
      <c r="Q38" s="40" t="n"/>
      <c r="R38" s="40" t="n"/>
      <c r="S38" s="39" t="n"/>
      <c r="T38" s="40" t="n"/>
      <c r="U38" s="40" t="n"/>
      <c r="V38" s="40" t="n"/>
      <c r="W38" s="40" t="n"/>
      <c r="X38" s="39" t="n"/>
      <c r="Y38" s="40" t="n"/>
      <c r="Z38" s="40" t="n"/>
      <c r="AA38" s="40" t="n"/>
      <c r="AB38" s="40" t="n"/>
      <c r="AC38" s="41" t="n"/>
      <c r="AD38" s="41" t="n"/>
      <c r="AE38" s="39" t="n"/>
      <c r="AF38" s="41" t="n"/>
      <c r="AG38" s="41" t="n"/>
      <c r="AH38" s="41" t="n"/>
      <c r="AI38" s="39" t="n"/>
      <c r="AJ38" s="39" t="n"/>
      <c r="AK38" s="41" t="n"/>
      <c r="AL38" s="41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2" t="str">
        <f>IF(B38="","",C38&amp;"|"&amp;B38)</f>
        <v/>
      </c>
      <c r="AY38" s="43" t="str">
        <f>IF(B38="","",COUNTIFS(PIER_FORCES!$O$9:$O$3008,28,PIER_FORCES!$P$9:$P$3008,1))</f>
        <v/>
      </c>
      <c r="AZ38" s="43" t="str">
        <f>IF(B38="","",COUNTIFS(PIER_FORCES!$O$9:$O$3008,28,PIER_FORCES!$P$9:$P$3008,2))</f>
        <v/>
      </c>
      <c r="BA38" s="44">
        <f>IF(N(AY38)=0,0,SUMPRODUCT(MAX((PIER_FORCES!$O$9:$O$3008=28)*(PIER_FORCES!$P$9:$P$3008=1)*PIER_FORCES!$R$9:$R$3008)))</f>
        <v>0</v>
      </c>
      <c r="BB38" s="44">
        <f>IF(N(AY38)=0,0,SUMPRODUCT(MAX((PIER_FORCES!$O$9:$O$3008=28)*(PIER_FORCES!$P$9:$P$3008=1)*PIER_FORCES!$S$9:$S$3008)))</f>
        <v>0</v>
      </c>
      <c r="BC38" s="44">
        <f>IF(N(AY38)=0,0,-SUMPRODUCT(MAX((PIER_FORCES!$O$9:$O$3008=28)*(PIER_FORCES!$P$9:$P$3008=1)*(-PIER_FORCES!$Q$9:$Q$3008)+(1-(PIER_FORCES!$O$9:$O$3008=28)*(PIER_FORCES!$P$9:$P$3008=1))*(-1E9))))</f>
        <v>0</v>
      </c>
      <c r="BD38" s="44">
        <f>IF(N(AY38)=0,0,SUMPRODUCT(MAX((PIER_FORCES!$O$9:$O$3008=28)*(PIER_FORCES!$P$9:$P$3008=1)*PIER_FORCES!$Q$9:$Q$3008+(1-(PIER_FORCES!$O$9:$O$3008=28)*(PIER_FORCES!$P$9:$P$3008=1))*(-1E9))))</f>
        <v>0</v>
      </c>
      <c r="BE38" s="44">
        <f>IF(N(AZ38)=0,BD38,SUMPRODUCT(MAX((PIER_FORCES!$O$9:$O$3008=28)*(PIER_FORCES!$P$9:$P$3008=2)*PIER_FORCES!$Q$9:$Q$3008+(1-(PIER_FORCES!$O$9:$O$3008=28)*(PIER_FORCES!$P$9:$P$3008=2))*(-1E9))))</f>
        <v>0</v>
      </c>
      <c r="BF38" s="44">
        <f>IF(N(AZ38)=0,0,SUMPRODUCT(MAX((PIER_FORCES!$O$9:$O$3008=28)*(PIER_FORCES!$P$9:$P$3008=2)*PIER_FORCES!$R$9:$R$3008)))</f>
        <v>0</v>
      </c>
      <c r="BG38" s="43">
        <f>IF(N(AY38)=0,0,SUMPRODUCT(MAX((PIER_FORCES!$O$9:$O$3008=28)*(PIER_FORCES!$P$9:$P$3008=1)*(ABS(PIER_FORCES!$R$9:$R$3008-BA38)&lt;0.000001)*PIER_FORCES!$T$9:$T$3008)))</f>
        <v>0</v>
      </c>
      <c r="BH38" s="45" t="str">
        <f>IF(N(BG38)=0,"",INDEX(PIER_FORCES!$D$9:$D$3008,BG38)&amp;" "&amp;INDEX(PIER_FORCES!$F$9:$F$3008,BG38)&amp;" / "&amp;INDEX(PIER_FORCES!$G$9:$G$3008,BG38))</f>
        <v/>
      </c>
      <c r="BI38" s="42" t="str">
        <f>IF(B38="","",IF(AND(C38&lt;&gt;"",OR(D38="X",D38="Y"),ISNUMBER(F38),N(F38)&gt;0),"SÍ","NO"))</f>
        <v/>
      </c>
      <c r="BJ38" s="42" t="str">
        <f>IF(BI38&lt;&gt;"SÍ","",IF(DATOS!$C$108="ETABS (PIER_FORCES)",IF(N(AY38)&gt;0,"ETABS","NO ESTÁ EN PIER_FORCES"),"CAPTURA"))</f>
        <v/>
      </c>
      <c r="BK38" s="46" t="str">
        <f>IF(BI38&lt;&gt;"SÍ","",IF(BJ38="ETABS",BA38,IF(BJ38="CAPTURA",N(AQ38),0)))</f>
        <v/>
      </c>
      <c r="BL38" s="46" t="str">
        <f>IF(BI38&lt;&gt;"SÍ","",IF(BJ38="ETABS",BB38,IF(BJ38="CAPTURA",N(AR38),0)))</f>
        <v/>
      </c>
      <c r="BM38" s="46" t="str">
        <f>IF(BI38&lt;&gt;"SÍ","",IF(BJ38="ETABS",BC38/DATOS!$C$89,IF(BJ38="CAPTURA",N(AS38),0)))</f>
        <v/>
      </c>
      <c r="BN38" s="44" t="str">
        <f>IF(BI38&lt;&gt;"SÍ","",IF(BJ38="ETABS",BC38,IF(BJ38="CAPTURA",IF(ISNUMBER(AU38),AU38,N(AS38)*DATOS!$C$89),0)))</f>
        <v/>
      </c>
      <c r="BO38" s="44" t="str">
        <f>IF(BI38&lt;&gt;"SÍ","",IF(BJ38="ETABS",MAX(BD38,BE38),IF(BJ38="CAPTURA",N(AT38),0)))</f>
        <v/>
      </c>
      <c r="BP38" s="44" t="str">
        <f>IF(BI38&lt;&gt;"SÍ","",IF(BJ38="ETABS",BE38,IF(BJ38="CAPTURA",IF(ISNUMBER(AV38),AV38,N(AT38)),0)))</f>
        <v/>
      </c>
      <c r="BQ38" s="44" t="str">
        <f>IF(BI38&lt;&gt;"SÍ","",IF(BJ38="ETABS",BF38,IF(BJ38="CAPTURA",N(AW38),0)))</f>
        <v/>
      </c>
      <c r="BR38" s="43" t="str">
        <f>IF(BI38&lt;&gt;"SÍ","",IF(BK38&gt;0,100*BQ38/BK38,0))</f>
        <v/>
      </c>
      <c r="BS38" s="44" t="str">
        <f>IF(BI38&lt;&gt;"SÍ","",IF(ISNUMBER(G38),G38,DATOS!$C$57))</f>
        <v/>
      </c>
      <c r="BT38" s="47" t="str">
        <f>IF(BI38&lt;&gt;"SÍ","",IF(ISNUMBER(H38),H38,DATOS!$C$58))</f>
        <v/>
      </c>
      <c r="BU38" s="43" t="str">
        <f>IF(BI38&lt;&gt;"SÍ","",IF(N(K38)&gt;0,1+IF(N(P38)&gt;0,1+IF(N(U38)&gt;0,1+IF(N(Z38)&gt;0,1,0),0),0),0))</f>
        <v/>
      </c>
      <c r="BV38" s="45" t="str">
        <f>IF(BI38&lt;&gt;"SÍ","",IF(AND(OR(BU38&lt;1,AND(N(J38)&gt;=0-0.001,J38+K38&lt;=F38+0.001,N(L38)&gt;=0,N(L38)+N(M38)&lt;=BS38+0.001,N(M38)&gt;0,OR(I38="PUERTA",I38="VENTANA"))),OR(BU38&lt;2,AND(N(O38)&gt;=(J38+K38)-0.001,O38+P38&lt;=F38+0.001,N(Q38)&gt;=0,N(Q38)+N(R38)&lt;=BS38+0.001,N(R38)&gt;0,OR(N38="PUERTA",N38="VENTANA"))),OR(BU38&lt;3,AND(N(T38)&gt;=(O38+P38)-0.001,T38+U38&lt;=F38+0.001,N(V38)&gt;=0,N(V38)+N(W38)&lt;=BS38+0.001,N(W38)&gt;0,OR(S38="PUERTA",S38="VENTANA"))),OR(BU38&lt;4,AND(N(Y38)&gt;=(T38+U38)-0.001,Y38+Z38&lt;=F38+0.001,N(AA38)&gt;=0,N(AA38)+N(AB38)&lt;=BS38+0.001,N(AB38)&gt;0,OR(X38="PUERTA",X38="VENTANA"))),(N(K38)&gt;0)+(N(P38)&gt;0)+(N(U38)&gt;0)+(N(Z38)&gt;0)=BU38),"CUMPLE","REVISAR VANOS: tipo, orden de izquierda a derecha, que quepan en L y en H"))</f>
        <v/>
      </c>
      <c r="BW38" s="44" t="str">
        <f>IF(BI38&lt;&gt;"SÍ","",MAX(0,IF(BU38&gt;=1,N(J38),F38)))</f>
        <v/>
      </c>
      <c r="BX38" s="44" t="str">
        <f>IF(BI38&lt;&gt;"SÍ","",MAX(0,IF(BU38&gt;=2,N(O38)-(N(J38)+N(K38)),IF(BU38=1,F38-(N(J38)+N(K38)),0))))</f>
        <v/>
      </c>
      <c r="BY38" s="44" t="str">
        <f>IF(BI38&lt;&gt;"SÍ","",MAX(0,IF(BU38&gt;=3,N(T38)-(N(O38)+N(P38)),IF(BU38=2,F38-(N(O38)+N(P38)),0))))</f>
        <v/>
      </c>
      <c r="BZ38" s="44" t="str">
        <f>IF(BI38&lt;&gt;"SÍ","",MAX(0,IF(BU38&gt;=4,N(Y38)-(N(T38)+N(U38)),IF(BU38=3,F38-(N(T38)+N(U38)),0))))</f>
        <v/>
      </c>
      <c r="CA38" s="44" t="str">
        <f>IF(BI38&lt;&gt;"SÍ","",MAX(0,IF(BU38=4,F38-(N(Y38)+N(Z38)),0)))</f>
        <v/>
      </c>
      <c r="CB38" s="46" t="str">
        <f>IF(BI38&lt;&gt;"SÍ","",SUMPRODUCT((BW38:CA38&gt;=DATOS!$C$72-0.0001)*BW38:CA38))</f>
        <v/>
      </c>
      <c r="CC38" s="43" t="str">
        <f>IF(BI38&lt;&gt;"SÍ","",SUMPRODUCT(--(BW38:CA38&gt;=DATOS!$C$72-0.0001)))</f>
        <v/>
      </c>
      <c r="CD38" s="44" t="str">
        <f>IF(BI38&lt;&gt;"SÍ","",SUM(BW38:CA38))</f>
        <v/>
      </c>
      <c r="CE38" s="43" t="str">
        <f>IF(BI38&lt;&gt;"SÍ","",BT38*CB38*100)</f>
        <v/>
      </c>
      <c r="CF38" s="43" t="str">
        <f>IF(BI38&lt;&gt;"SÍ","",BT38*CD38*100)</f>
        <v/>
      </c>
      <c r="CG38" s="47" t="str">
        <f>IF(BI38&lt;&gt;"SÍ","",BS38*100/BT38)</f>
        <v/>
      </c>
      <c r="CH38" s="45" t="str">
        <f>IF(BI38&lt;&gt;"SÍ","",IF(AND(OR(DATOS!$C$14="TIPO II",BT38&gt;=12),CG38&lt;=25),"CUMPLE","NO CUMPLE: "&amp;IF(AND(DATOS!$C$14="TIPO I",BT38&lt;12),"t &lt; 12 cm ","")&amp;IF(CG38&gt;25,"H/t &gt; 25","")))</f>
        <v/>
      </c>
      <c r="CI38" s="44" t="str">
        <f>IF(BI38&lt;&gt;"SÍ","",MIN(1.5*BS38,4))</f>
        <v/>
      </c>
      <c r="CJ38" s="43" t="str">
        <f>IF(BI38&lt;&gt;"SÍ","",SUMPRODUCT((BW38:CA38&gt;=2*DATOS!$C$59/100)*INT((BW38:CA38-DATOS!$C$59/100)/CI38-0.000001)*((BW38:CA38-DATOS!$C$59/100)&gt;0)))</f>
        <v/>
      </c>
      <c r="CK38" s="43" t="str">
        <f>IF(BI38&lt;&gt;"SÍ","",SUMPRODUCT((BW38:CA38&gt;0.0001)*1+(BW38:CA38&gt;=2*DATOS!$C$59/100)*1)+CJ38)</f>
        <v/>
      </c>
      <c r="CL38" s="44" t="str">
        <f>IF(BI38&lt;&gt;"SÍ","",IF(ISNUMBER(AC38),AC38,DATOS!$C$61)*INDEX(TABLAS!$D$6:$D$14,MATCH(IF(AD38&lt;&gt;"",AD38,DATOS!$C$62),TABLAS!$B$6:$B$14,0)))</f>
        <v/>
      </c>
      <c r="CM38" s="44" t="str">
        <f>IF(BI38&lt;&gt;"SÍ","",CK38*DATOS!$C$78+IF(CK38&gt;=2,2,CK38)*(CL38-DATOS!$C$78))</f>
        <v/>
      </c>
      <c r="CN38" s="47" t="str">
        <f>IF(BI38&lt;&gt;"SÍ","",MAX(BS38*100/6,40))</f>
        <v/>
      </c>
      <c r="CO38" s="48" t="str">
        <f>IF(BI38&lt;&gt;"SÍ","",IF(CG38&lt;=20,IF(E38="INTERIOR",0.7,0.6),MIN(IF(E38="INTERIOR",0.7,0.6),(1-2/24)*(1-(IF(E38="INTERIOR",0.8,1)*CG38/30)^2))))</f>
        <v/>
      </c>
      <c r="CP38" s="47" t="str">
        <f>IF(BI38&lt;&gt;"SÍ","",DATOS!$C$87*CO38*(DATOS!$C$33*CF38+CM38*DATOS!$C$48)/1000)</f>
        <v/>
      </c>
      <c r="CQ38" s="46" t="str">
        <f>IF(BI38&lt;&gt;"SÍ","",IF(CP38&gt;0,BO38/CP38,99))</f>
        <v/>
      </c>
      <c r="CR38" s="47" t="str">
        <f>IF(BI38&lt;&gt;"SÍ","",MAX(0,F38*100-DATOS!$C$59))</f>
        <v/>
      </c>
      <c r="CS38" s="47" t="str">
        <f>IF(BI38&lt;&gt;"SÍ","",MAX(0,F38*100-DATOS!$C$59/2))</f>
        <v/>
      </c>
      <c r="CT38" s="44" t="str">
        <f>IF(BI38&lt;&gt;"SÍ","",CL38*DATOS!$C$48*CR38/100000)</f>
        <v/>
      </c>
      <c r="CU38" s="44" t="str">
        <f>IF(BI38&lt;&gt;"SÍ","",IF(BN38&lt;0,0.8*CT38*MAX(0,1+BN38/(0.8*CM38*DATOS!$C$48/1000)),IF(BN38&lt;=CP38/3,0.8*CT38+0.3*BN38*CS38/100,(1.5*0.6*CT38+0.15*CP38*CS38/100)*MAX(0,1-BN38/CP38))))</f>
        <v/>
      </c>
      <c r="CV38" s="44" t="str">
        <f>IF(BI38&lt;&gt;"SÍ","",IF(BO38&lt;0,0.8*CT38*MAX(0,1+BO38/(0.8*CM38*DATOS!$C$48/1000)),IF(BO38&lt;=CP38/3,0.8*CT38+0.3*BO38*CS38/100,(1.5*0.6*CT38+0.15*CP38*CS38/100)*MAX(0,1-BO38/CP38))))</f>
        <v/>
      </c>
      <c r="CW38" s="46" t="str">
        <f>IF(BI38&lt;&gt;"SÍ","",MAX(0,MIN(CU38,CV38)))</f>
        <v/>
      </c>
      <c r="CX38" s="49" t="str">
        <f>IF(BI38&lt;&gt;"SÍ","",IF(CW38&gt;0,BL38/CW38,IF(BL38&gt;0,99,0)))</f>
        <v/>
      </c>
      <c r="CY38" s="44" t="str">
        <f>IF(BI38&lt;&gt;"SÍ","",IF(BW38&gt;0,MAX(1,MIN(1.5,1.5-0.625*(BS38/BW38-0.2))),0))</f>
        <v/>
      </c>
      <c r="CZ38" s="44" t="str">
        <f>IF(BI38&lt;&gt;"SÍ","",IF(BX38&gt;0,MAX(1,MIN(1.5,1.5-0.625*(BS38/BX38-0.2))),0))</f>
        <v/>
      </c>
      <c r="DA38" s="44" t="str">
        <f>IF(BI38&lt;&gt;"SÍ","",IF(BY38&gt;0,MAX(1,MIN(1.5,1.5-0.625*(BS38/BY38-0.2))),0))</f>
        <v/>
      </c>
      <c r="DB38" s="44" t="str">
        <f>IF(BI38&lt;&gt;"SÍ","",IF(BZ38&gt;0,MAX(1,MIN(1.5,1.5-0.625*(BS38/BZ38-0.2))),0))</f>
        <v/>
      </c>
      <c r="DC38" s="44" t="str">
        <f>IF(BI38&lt;&gt;"SÍ","",IF(CA38&gt;0,MAX(1,MIN(1.5,1.5-0.625*(BS38/CA38-0.2))),0))</f>
        <v/>
      </c>
      <c r="DD38" s="44" t="str">
        <f>IF(BI38&lt;&gt;"SÍ","",IF(OR(BW38&lt;DATOS!$C$72-0.0001,BM38&lt;0,CB38&lt;=0),0,MIN(DATOS!$C$86*(0.5*DATOS!$C$41*BT38*BW38*100+0.3*BM38*BW38/CB38*1000)*CY38,1.5*DATOS!$C$86*DATOS!$C$41*BT38*BW38*100*CY38)/1000))</f>
        <v/>
      </c>
      <c r="DE38" s="44" t="str">
        <f>IF(BI38&lt;&gt;"SÍ","",IF(OR(BX38&lt;DATOS!$C$72-0.0001,BM38&lt;0,CB38&lt;=0),0,MIN(DATOS!$C$86*(0.5*DATOS!$C$41*BT38*BX38*100+0.3*BM38*BX38/CB38*1000)*CZ38,1.5*DATOS!$C$86*DATOS!$C$41*BT38*BX38*100*CZ38)/1000))</f>
        <v/>
      </c>
      <c r="DF38" s="44" t="str">
        <f>IF(BI38&lt;&gt;"SÍ","",IF(OR(BY38&lt;DATOS!$C$72-0.0001,BM38&lt;0,CB38&lt;=0),0,MIN(DATOS!$C$86*(0.5*DATOS!$C$41*BT38*BY38*100+0.3*BM38*BY38/CB38*1000)*DA38,1.5*DATOS!$C$86*DATOS!$C$41*BT38*BY38*100*DA38)/1000))</f>
        <v/>
      </c>
      <c r="DG38" s="44" t="str">
        <f>IF(BI38&lt;&gt;"SÍ","",IF(OR(BZ38&lt;DATOS!$C$72-0.0001,BM38&lt;0,CB38&lt;=0),0,MIN(DATOS!$C$86*(0.5*DATOS!$C$41*BT38*BZ38*100+0.3*BM38*BZ38/CB38*1000)*DB38,1.5*DATOS!$C$86*DATOS!$C$41*BT38*BZ38*100*DB38)/1000))</f>
        <v/>
      </c>
      <c r="DH38" s="44" t="str">
        <f>IF(BI38&lt;&gt;"SÍ","",IF(OR(CA38&lt;DATOS!$C$72-0.0001,BM38&lt;0,CB38&lt;=0),0,MIN(DATOS!$C$86*(0.5*DATOS!$C$41*BT38*CA38*100+0.3*BM38*CA38/CB38*1000)*DC38,1.5*DATOS!$C$86*DATOS!$C$41*BT38*CA38*100*DC38)/1000))</f>
        <v/>
      </c>
      <c r="DI38" s="46" t="str">
        <f>IF(BI38&lt;&gt;"SÍ","",SUM(DD38:DH38))</f>
        <v/>
      </c>
      <c r="DJ38" s="48" t="str">
        <f>IF(BI38&lt;&gt;"SÍ","",IF(AE38="VARILLA EN JUNTAS",IF(ISNUMBER(AF38),AF38,2)*INDEX(TABLAS!$D$6:$D$14,MATCH(IF(AG38&lt;&gt;"",AG38,DATOS!$C$73),TABLAS!$B$6:$B$14,0)),IF(AE38="MALLA",IF(ISNUMBER(AF38),AF38,1)*INDEX(TABLAS!$D$19:$D$22,MATCH(IF(AG38&lt;&gt;"",AG38,DATOS!$C$74),TABLAS!$B$19:$B$22,0))/100,IF(AE38="ESCALERILLA",IF(ISNUMBER(AF38),AF38,2)*INDEX(TABLAS!$D$6:$D$14,MATCH(IF(AG38&lt;&gt;"",AG38,DATOS!$C$73),TABLAS!$B$6:$B$14,0)),0))))</f>
        <v/>
      </c>
      <c r="DK38" s="47" t="str">
        <f>IF(BI38&lt;&gt;"SÍ","",IF(OR(AE38="VARILLA EN JUNTAS",AE38="ESCALERILLA"),IF(ISNUMBER(AH38),AH38,2)*DATOS!$C$26,IF(AE38="MALLA",1,0)))</f>
        <v/>
      </c>
      <c r="DL38" s="44" t="str">
        <f>IF(BI38&lt;&gt;"SÍ","",IF(DK38&gt;0,DJ38/(DK38*BT38)*MIN(DATOS!$C$50,IF(AE38="MALLA",5000,6000)),0))</f>
        <v/>
      </c>
      <c r="DM38" s="44" t="str">
        <f>IF(BI38&lt;&gt;"SÍ","",IF(AE38="ESCALERILLA",0,MIN(DL38,0.1*DATOS!$C$33*DATOS!$C$24)))</f>
        <v/>
      </c>
      <c r="DN38" s="48" t="str">
        <f>IF(BI38&lt;&gt;"SÍ","",IF(AE38="MALLA",0.5,IF(DATOS!$C$33&lt;=60,0.55,IF(DATOS!$C$33&gt;=90,0.75,0.55+0.2*(DATOS!$C$33-60)/30))))</f>
        <v/>
      </c>
      <c r="DO38" s="48" t="str">
        <f>IF(BI38&lt;&gt;"SÍ","",1-DATOS!$C$91*DM38)</f>
        <v/>
      </c>
      <c r="DP38" s="44" t="str">
        <f>IF(BI38&lt;&gt;"SÍ","",IF(BW38&gt;0,IF(BS38/BW38&lt;=1,1.3,IF(BS38/BW38&gt;=1.5,1,1.3-0.6*(BS38/BW38-1))),0))</f>
        <v/>
      </c>
      <c r="DQ38" s="44" t="str">
        <f>IF(BI38&lt;&gt;"SÍ","",IF(BX38&gt;0,IF(BS38/BX38&lt;=1,1.3,IF(BS38/BX38&gt;=1.5,1,1.3-0.6*(BS38/BX38-1))),0))</f>
        <v/>
      </c>
      <c r="DR38" s="44" t="str">
        <f>IF(BI38&lt;&gt;"SÍ","",IF(BY38&gt;0,IF(BS38/BY38&lt;=1,1.3,IF(BS38/BY38&gt;=1.5,1,1.3-0.6*(BS38/BY38-1))),0))</f>
        <v/>
      </c>
      <c r="DS38" s="44" t="str">
        <f>IF(BI38&lt;&gt;"SÍ","",IF(BZ38&gt;0,IF(BS38/BZ38&lt;=1,1.3,IF(BS38/BZ38&gt;=1.5,1,1.3-0.6*(BS38/BZ38-1))),0))</f>
        <v/>
      </c>
      <c r="DT38" s="44" t="str">
        <f>IF(BI38&lt;&gt;"SÍ","",IF(CA38&gt;0,IF(BS38/CA38&lt;=1,1.3,IF(BS38/CA38&gt;=1.5,1,1.3-0.6*(BS38/CA38-1))),0))</f>
        <v/>
      </c>
      <c r="DU38" s="44" t="str">
        <f>IF(BI38&lt;&gt;"SÍ","",IF(OR(DM38&lt;=0,BW38&lt;DATOS!$C$72-0.0001),0,DATOS!$C$86*MAX(0,IF(BM38&gt;=0,DD38/(DATOS!$C$86*DM38*BT38*BW38*100/1000)*(DP38*DO38-1)+DN38,DO38*DN38))*DM38*BT38*BW38*100/1000))</f>
        <v/>
      </c>
      <c r="DV38" s="44" t="str">
        <f>IF(BI38&lt;&gt;"SÍ","",IF(OR(DM38&lt;=0,BX38&lt;DATOS!$C$72-0.0001),0,DATOS!$C$86*MAX(0,IF(BM38&gt;=0,DE38/(DATOS!$C$86*DM38*BT38*BX38*100/1000)*(DQ38*DO38-1)+DN38,DO38*DN38))*DM38*BT38*BX38*100/1000))</f>
        <v/>
      </c>
      <c r="DW38" s="44" t="str">
        <f>IF(BI38&lt;&gt;"SÍ","",IF(OR(DM38&lt;=0,BY38&lt;DATOS!$C$72-0.0001),0,DATOS!$C$86*MAX(0,IF(BM38&gt;=0,DF38/(DATOS!$C$86*DM38*BT38*BY38*100/1000)*(DR38*DO38-1)+DN38,DO38*DN38))*DM38*BT38*BY38*100/1000))</f>
        <v/>
      </c>
      <c r="DX38" s="44" t="str">
        <f>IF(BI38&lt;&gt;"SÍ","",IF(OR(DM38&lt;=0,BZ38&lt;DATOS!$C$72-0.0001),0,DATOS!$C$86*MAX(0,IF(BM38&gt;=0,DG38/(DATOS!$C$86*DM38*BT38*BZ38*100/1000)*(DS38*DO38-1)+DN38,DO38*DN38))*DM38*BT38*BZ38*100/1000))</f>
        <v/>
      </c>
      <c r="DY38" s="44" t="str">
        <f>IF(BI38&lt;&gt;"SÍ","",IF(OR(DM38&lt;=0,CA38&lt;DATOS!$C$72-0.0001),0,DATOS!$C$86*MAX(0,IF(BM38&gt;=0,DH38/(DATOS!$C$86*DM38*BT38*CA38*100/1000)*(DT38*DO38-1)+DN38,DO38*DN38))*DM38*BT38*CA38*100/1000))</f>
        <v/>
      </c>
      <c r="DZ38" s="46" t="str">
        <f>IF(BI38&lt;&gt;"SÍ","",SUM(DU38:DY38))</f>
        <v/>
      </c>
      <c r="EA38" s="45" t="str">
        <f>IF(BI38&lt;&gt;"SÍ","",IF(OR(AE38="",AE38="NINGUNO"),IF(DATOS!$C$41&gt;=10,"FALTA refuerzo horizontal: v'm ≥ 10 kg/cm² (6.5.2.2)",IF(AND(BM38&lt;0,BK38&gt;0),"FALTA: P en tensión, el refuerzo debe tomar todo el cortante (6.5.1.3)","—")),IF(AE38="ESCALERILLA","NO CUENTA: la escalerilla no se permite para cortante por sismo (6.5.3.1.2)",IF(AE38="MALLA",IF(AND(DL38&gt;=2.5,DL38&lt;=MAX(0.15*DATOS!$C$33*DATOS!$C$24,2.5)),"CUMPLE","NO CUMPLE: "&amp;IF(DL38&lt;2.5,"p_h·f_yh &lt; 2.5 (6.5.4.2.4)","p_h·f_yh &gt; 0.15·f'm·f_an (6.5.4.2.4)")),IF(AND(DK38&lt;=MIN(6*DATOS!$C$26,45),DL38&gt;=3,DL38&lt;=MIN(MAX(0.15*DATOS!$C$33*DATOS!$C$24,3),0.05*DATOS!$C$25/10*MIN(DATOS!$C$50,6000)/DK38),INDEX(TABLAS!$C$6:$C$14,MATCH(IF(AG38&lt;&gt;"",AG38,DATOS!$C$73),TABLAS!$B$6:$B$14,0))&gt;=0.35,INDEX(TABLAS!$C$6:$C$14,MATCH(IF(AG38&lt;&gt;"",AG38,DATOS!$C$73),TABLAS!$B$6:$B$14,0))&lt;=0.75*DATOS!$C$25/10),"CUMPLE","NO CUMPLE: "&amp;IF(DK38&gt;MIN(6*DATOS!$C$26,45),"s_h &gt; 6 hiladas o 45 cm (6.5.3.2.1) ","")&amp;IF(DL38&lt;3,"p_h·f_yh &lt; 3 (6.5.3.3.1) ","")&amp;IF(DL38&gt;MIN(MAX(0.15*DATOS!$C$33*DATOS!$C$24,3),0.05*DATOS!$C$25/10*MIN(DATOS!$C$50,6000)/DK38),"p_h·f_yh &gt; máximo (6.5.3.3.2) ","")&amp;IF(OR(INDEX(TABLAS!$C$6:$C$14,MATCH(IF(AG38&lt;&gt;"",AG38,DATOS!$C$73),TABLAS!$B$6:$B$14,0))&lt;0.35,INDEX(TABLAS!$C$6:$C$14,MATCH(IF(AG38&lt;&gt;"",AG38,DATOS!$C$73),TABLAS!$B$6:$B$14,0))&gt;0.75*DATOS!$C$25/10),"diámetro fuera de 3.5 mm a 0.75·h_j (4.2.2.2.1)",""))))))</f>
        <v/>
      </c>
      <c r="EB38" s="46" t="str">
        <f>IF(BI38&lt;&gt;"SÍ","",DI38+DZ38)</f>
        <v/>
      </c>
      <c r="EC38" s="50" t="str">
        <f>IF(BI38&lt;&gt;"SÍ","",IF(EB38&gt;0,BK38/EB38,IF(BK38&gt;0,99,0)))</f>
        <v/>
      </c>
      <c r="ED38" s="47" t="str">
        <f>IF(BI38&lt;&gt;"SÍ","",IF(CE38&lt;=0,-1,IF(BK38&lt;=DI38,0,IF(IF(BM38&gt;=0,IF((DATOS!$C$86*IF(AE38="MALLA",0.5,IF(DATOS!$C$33&lt;=60,0.55,IF(DATOS!$C$33&gt;=90,0.75,0.55+0.2*(DATOS!$C$33-60)/30)))*CE38/1000-DATOS!$C$91*SUMPRODUCT(DP38:DT38,DD38:DH38))&lt;=0,1E9,(BK38-SUMPRODUCT(DP38:DT38,DD38:DH38))/(DATOS!$C$86*IF(AE38="MALLA",0.5,IF(DATOS!$C$33&lt;=60,0.55,IF(DATOS!$C$33&gt;=90,0.75,0.55+0.2*(DATOS!$C$33-60)/30)))*CE38/1000-DATOS!$C$91*SUMPRODUCT(DP38:DT38,DD38:DH38))),IF((1-4*DATOS!$C$91*BK38*1000/(DATOS!$C$86*IF(AE38="MALLA",0.5,IF(DATOS!$C$33&lt;=60,0.55,IF(DATOS!$C$33&gt;=90,0.75,0.55+0.2*(DATOS!$C$33-60)/30)))*MAX(CE38,1)))&lt;0,1E9,(1-SQRT((1-4*DATOS!$C$91*BK38*1000/(DATOS!$C$86*IF(AE38="MALLA",0.5,IF(DATOS!$C$33&lt;=60,0.55,IF(DATOS!$C$33&gt;=90,0.75,0.55+0.2*(DATOS!$C$33-60)/30)))*MAX(CE38,1)))))/(2*DATOS!$C$91)))&gt;0.1*DATOS!$C$33*DATOS!$C$24+0.000001,-1,MAX(IF(AE38="MALLA",2.5,3),IF(BM38&gt;=0,IF((DATOS!$C$86*IF(AE38="MALLA",0.5,IF(DATOS!$C$33&lt;=60,0.55,IF(DATOS!$C$33&gt;=90,0.75,0.55+0.2*(DATOS!$C$33-60)/30)))*CE38/1000-DATOS!$C$91*SUMPRODUCT(DP38:DT38,DD38:DH38))&lt;=0,1E9,(BK38-SUMPRODUCT(DP38:DT38,DD38:DH38))/(DATOS!$C$86*IF(AE38="MALLA",0.5,IF(DATOS!$C$33&lt;=60,0.55,IF(DATOS!$C$33&gt;=90,0.75,0.55+0.2*(DATOS!$C$33-60)/30)))*CE38/1000-DATOS!$C$91*SUMPRODUCT(DP38:DT38,DD38:DH38))),IF((1-4*DATOS!$C$91*BK38*1000/(DATOS!$C$86*IF(AE38="MALLA",0.5,IF(DATOS!$C$33&lt;=60,0.55,IF(DATOS!$C$33&gt;=90,0.75,0.55+0.2*(DATOS!$C$33-60)/30)))*MAX(CE38,1)))&lt;0,1E9,(1-SQRT((1-4*DATOS!$C$91*BK38*1000/(DATOS!$C$86*IF(AE38="MALLA",0.5,IF(DATOS!$C$33&lt;=60,0.55,IF(DATOS!$C$33&gt;=90,0.75,0.55+0.2*(DATOS!$C$33-60)/30)))*MAX(CE38,1)))))/(2*DATOS!$C$91))))))))</f>
        <v/>
      </c>
      <c r="EE38" s="45" t="str">
        <f>IF(BI38&lt;&gt;"SÍ","",IF(ED38=0,"NO REQUIERE: V_mR ≥ V_u",IF(ED38&lt;0,"NO ALCANZA con refuerzo horizontal (haría falta más de 0.1·f'm·f_an efectivo): sube v'm con ensayes, el espesor o la longitud del muro",IF(AND(OR(AE38="VARILLA EN JUNTAS",AE38="MALLA"),LEFT(EA38,6)="CUMPLE",EC38&lt;=1),"YA LO TIENE (pide p_h·f_yh ≥ "&amp;TEXT(ED38,"0.0")&amp;" kg/cm²)","p_h·f_yh ≥ "&amp;TEXT(ED38,"0.0")&amp;" kg/cm² → "&amp;IF(AND(MIN(6,FLOOR(45/DATOS!$C$26,1),FLOOR((2*INDEX(TABLAS!$D$6:$D$14,MATCH("3/16 in",TABLAS!$B$6:$B$14,0)))*MIN(DATOS!$C$50,6000)/(BT38*DATOS!$C$26*MAX(ED38,0.001)),1))&gt;=1,((2*INDEX(TABLAS!$D$6:$D$14,MATCH("3/16 in",TABLAS!$B$6:$B$14,0)))*MIN(DATOS!$C$50,6000)/(MAX(MIN(6,FLOOR(45/DATOS!$C$26,1),FLOOR((2*INDEX(TABLAS!$D$6:$D$14,MATCH("3/16 in",TABLAS!$B$6:$B$14,0)))*MIN(DATOS!$C$50,6000)/(BT38*DATOS!$C$26*MAX(ED38,0.001)),1)),1)*DATOS!$C$26*BT38))&lt;=MIN(MAX(0.15*DATOS!$C$33*DATOS!$C$24,3),0.05*DATOS!$C$25/10*MIN(DATOS!$C$50,6000)/(MIN(6,FLOOR(45/DATOS!$C$26,1),FLOOR((2*INDEX(TABLAS!$D$6:$D$14,MATCH("3/16 in",TABLAS!$B$6:$B$14,0)))*MIN(DATOS!$C$50,6000)/(BT38*DATOS!$C$26*MAX(ED38,0.001)),1))*DATOS!$C$26))),"2 alambres de 3/16"" por junta cada "&amp;MIN(6,FLOOR(45/DATOS!$C$26,1),FLOOR((2*INDEX(TABLAS!$D$6:$D$14,MATCH("3/16 in",TABLAS!$B$6:$B$14,0)))*MIN(DATOS!$C$50,6000)/(BT38*DATOS!$C$26*MAX(ED38,0.001)),1))&amp;" hilada(s) (p_h·f_yh = "&amp;TEXT(((2*INDEX(TABLAS!$D$6:$D$14,MATCH("3/16 in",TABLAS!$B$6:$B$14,0)))*MIN(DATOS!$C$50,6000)/(MAX(MIN(6,FLOOR(45/DATOS!$C$26,1),FLOOR((2*INDEX(TABLAS!$D$6:$D$14,MATCH("3/16 in",TABLAS!$B$6:$B$14,0)))*MIN(DATOS!$C$50,6000)/(BT38*DATOS!$C$26*MAX(ED38,0.001)),1)),1)*DATOS!$C$26*BT38)),"0.00")&amp;")",IF(AND(MIN(6,FLOOR(45/DATOS!$C$26,1),FLOOR((2*INDEX(TABLAS!$D$6:$D$14,MATCH("5/32 in",TABLAS!$B$6:$B$14,0)))*MIN(DATOS!$C$50,6000)/(BT38*DATOS!$C$26*MAX(ED38,0.001)),1))&gt;=1,((2*INDEX(TABLAS!$D$6:$D$14,MATCH("5/32 in",TABLAS!$B$6:$B$14,0)))*MIN(DATOS!$C$50,6000)/(MAX(MIN(6,FLOOR(45/DATOS!$C$26,1),FLOOR((2*INDEX(TABLAS!$D$6:$D$14,MATCH("5/32 in",TABLAS!$B$6:$B$14,0)))*MIN(DATOS!$C$50,6000)/(BT38*DATOS!$C$26*MAX(ED38,0.001)),1)),1)*DATOS!$C$26*BT38))&lt;=MIN(MAX(0.15*DATOS!$C$33*DATOS!$C$24,3),0.05*DATOS!$C$25/10*MIN(DATOS!$C$50,6000)/(MIN(6,FLOOR(45/DATOS!$C$26,1),FLOOR((2*INDEX(TABLAS!$D$6:$D$14,MATCH("5/32 in",TABLAS!$B$6:$B$14,0)))*MIN(DATOS!$C$50,6000)/(BT38*DATOS!$C$26*MAX(ED38,0.001)),1))*DATOS!$C$26))),"2 alambres de 5/32"" por junta cada "&amp;MIN(6,FLOOR(45/DATOS!$C$26,1),FLOOR((2*INDEX(TABLAS!$D$6:$D$14,MATCH("5/32 in",TABLAS!$B$6:$B$14,0)))*MIN(DATOS!$C$50,6000)/(BT38*DATOS!$C$26*MAX(ED38,0.001)),1))&amp;" hilada(s) (p_h·f_yh = "&amp;TEXT(((2*INDEX(TABLAS!$D$6:$D$14,MATCH("5/32 in",TABLAS!$B$6:$B$14,0)))*MIN(DATOS!$C$50,6000)/(MAX(MIN(6,FLOOR(45/DATOS!$C$26,1),FLOOR((2*INDEX(TABLAS!$D$6:$D$14,MATCH("5/32 in",TABLAS!$B$6:$B$14,0)))*MIN(DATOS!$C$50,6000)/(BT38*DATOS!$C$26*MAX(ED38,0.001)),1)),1)*DATOS!$C$26*BT38)),"0.00")&amp;")",IF(AND(MIN(6,FLOOR(45/DATOS!$C$26,1),FLOOR((1*INDEX(TABLAS!$D$6:$D$14,MATCH("3/16 in",TABLAS!$B$6:$B$14,0)))*MIN(DATOS!$C$50,6000)/(BT38*DATOS!$C$26*MAX(ED38,0.001)),1))&gt;=1,((1*INDEX(TABLAS!$D$6:$D$14,MATCH("3/16 in",TABLAS!$B$6:$B$14,0)))*MIN(DATOS!$C$50,6000)/(MAX(MIN(6,FLOOR(45/DATOS!$C$26,1),FLOOR((1*INDEX(TABLAS!$D$6:$D$14,MATCH("3/16 in",TABLAS!$B$6:$B$14,0)))*MIN(DATOS!$C$50,6000)/(BT38*DATOS!$C$26*MAX(ED38,0.001)),1)),1)*DATOS!$C$26*BT38))&lt;=MIN(MAX(0.15*DATOS!$C$33*DATOS!$C$24,3),0.05*DATOS!$C$25/10*MIN(DATOS!$C$50,6000)/(MIN(6,FLOOR(45/DATOS!$C$26,1),FLOOR((1*INDEX(TABLAS!$D$6:$D$14,MATCH("3/16 in",TABLAS!$B$6:$B$14,0)))*MIN(DATOS!$C$50,6000)/(BT38*DATOS!$C$26*MAX(ED38,0.001)),1))*DATOS!$C$26))),"1 alambre de 3/16"" por junta cada "&amp;MIN(6,FLOOR(45/DATOS!$C$26,1),FLOOR((1*INDEX(TABLAS!$D$6:$D$14,MATCH("3/16 in",TABLAS!$B$6:$B$14,0)))*MIN(DATOS!$C$50,6000)/(BT38*DATOS!$C$26*MAX(ED38,0.001)),1))&amp;" hilada(s) (p_h·f_yh = "&amp;TEXT(((1*INDEX(TABLAS!$D$6:$D$14,MATCH("3/16 in",TABLAS!$B$6:$B$14,0)))*MIN(DATOS!$C$50,6000)/(MAX(MIN(6,FLOOR(45/DATOS!$C$26,1),FLOOR((1*INDEX(TABLAS!$D$6:$D$14,MATCH("3/16 in",TABLAS!$B$6:$B$14,0)))*MIN(DATOS!$C$50,6000)/(BT38*DATOS!$C$26*MAX(ED38,0.001)),1)),1)*DATOS!$C$26*BT38)),"0.00")&amp;")",IF(AND(MIN(6,FLOOR(45/DATOS!$C$26,1),FLOOR((1*INDEX(TABLAS!$D$6:$D$14,MATCH("5/32 in",TABLAS!$B$6:$B$14,0)))*MIN(DATOS!$C$50,6000)/(BT38*DATOS!$C$26*MAX(ED38,0.001)),1))&gt;=1,((1*INDEX(TABLAS!$D$6:$D$14,MATCH("5/32 in",TABLAS!$B$6:$B$14,0)))*MIN(DATOS!$C$50,6000)/(MAX(MIN(6,FLOOR(45/DATOS!$C$26,1),FLOOR((1*INDEX(TABLAS!$D$6:$D$14,MATCH("5/32 in",TABLAS!$B$6:$B$14,0)))*MIN(DATOS!$C$50,6000)/(BT38*DATOS!$C$26*MAX(ED38,0.001)),1)),1)*DATOS!$C$26*BT38))&lt;=MIN(MAX(0.15*DATOS!$C$33*DATOS!$C$24,3),0.05*DATOS!$C$25/10*MIN(DATOS!$C$50,6000)/(MIN(6,FLOOR(45/DATOS!$C$26,1),FLOOR((1*INDEX(TABLAS!$D$6:$D$14,MATCH("5/32 in",TABLAS!$B$6:$B$14,0)))*MIN(DATOS!$C$50,6000)/(BT38*DATOS!$C$26*MAX(ED38,0.001)),1))*DATOS!$C$26))),"1 alambre de 5/32"" por junta cada "&amp;MIN(6,FLOOR(45/DATOS!$C$26,1),FLOOR((1*INDEX(TABLAS!$D$6:$D$14,MATCH("5/32 in",TABLAS!$B$6:$B$14,0)))*MIN(DATOS!$C$50,6000)/(BT38*DATOS!$C$26*MAX(ED38,0.001)),1))&amp;" hilada(s) (p_h·f_yh = "&amp;TEXT(((1*INDEX(TABLAS!$D$6:$D$14,MATCH("5/32 in",TABLAS!$B$6:$B$14,0)))*MIN(DATOS!$C$50,6000)/(MAX(MIN(6,FLOOR(45/DATOS!$C$26,1),FLOOR((1*INDEX(TABLAS!$D$6:$D$14,MATCH("5/32 in",TABLAS!$B$6:$B$14,0)))*MIN(DATOS!$C$50,6000)/(BT38*DATOS!$C$26*MAX(ED38,0.001)),1)),1)*DATOS!$C$26*BT38)),"0.00")&amp;")","ninguna combinación de 1 o 2 alambres por junta queda entre el mínimo y el máximo: revisa con malla (6.5.4)"))))))))</f>
        <v/>
      </c>
      <c r="EF38" s="43" t="str">
        <f>IF(BI38&lt;&gt;"SÍ","",IF(AI38="SÍ",N(AK38)*N(AL38)^3/12,0))</f>
        <v/>
      </c>
      <c r="EG38" s="48" t="str">
        <f>IF(BI38&lt;&gt;"SÍ","",IF(AND(AI38="SÍ",N(AM38)&gt;0),MIN(1,F38/AM38),0))</f>
        <v/>
      </c>
      <c r="EH38" s="47" t="str">
        <f>IF(BI38&lt;&gt;"SÍ","",IF(AI38="SÍ",BP38*1000/(BT38*F38*100)*BT38*(EG38^4-4*EG38^3+8*EG38),0))</f>
        <v/>
      </c>
      <c r="EI38" s="48" t="str">
        <f>IF(BI38&lt;&gt;"SÍ","",IF(AND(AI38="SÍ",EH38&gt;0),EH38/(EH38+5*N(AN38)*10),0))</f>
        <v/>
      </c>
      <c r="EJ38" s="44" t="str">
        <f>IF(BI38&lt;&gt;"SÍ","",IF(AND(AI38="SÍ",EI38&gt;0,EF38&gt;0),(DATOS!$C$43*BT38*(AM38*100)^3/(DATOS!$C$53*EF38*EI38))^0.25,0))</f>
        <v/>
      </c>
      <c r="EK38" s="44" t="str">
        <f>IF(BI38&lt;&gt;"SÍ","",IF(AI38&lt;&gt;"SÍ",0,IF(N(AM38)&lt;=F38,1,IF(MIN(1,N(AO38)/((AM38-F38)/2))&lt;=0.5,0.7+0.6*MIN(1,N(AO38)/((AM38-F38)/2)),1.5-MIN(1,N(AO38)/((AM38-F38)/2))))))</f>
        <v/>
      </c>
      <c r="EL38" s="44" t="str">
        <f>IF(BI38&lt;&gt;"SÍ","",IF(AI38&lt;&gt;"SÍ",0,MAX(1,IF(EG38&gt;=1,(1.6*EJ38-3.9),IF(EG38&lt;0.9,((3.2*EJ38-7.8)*EK38),((3.2*EJ38-7.8)*EK38)+((1.6*EJ38-3.9)-((3.2*EJ38-7.8)*EK38))*(EG38-0.9)/0.1)))))</f>
        <v/>
      </c>
      <c r="EM38" s="47" t="str">
        <f>IF(BI38&lt;&gt;"SÍ","",IF(AI38="SÍ",EL38*BP38*1000/(BT38*F38*100),0))</f>
        <v/>
      </c>
      <c r="EN38" s="47" t="str">
        <f>IF(BI38&lt;&gt;"SÍ","",IF(AND(AI38="SÍ",N(AL38)&gt;0),AM38*100/AL38,0))</f>
        <v/>
      </c>
      <c r="EO38" s="47" t="str">
        <f>IF(BI38&lt;&gt;"SÍ","",IF(AI38="SÍ",(1/15*DATOS!$C$53*N(AK38)/MAX((IF(ISNUMBER(AP38),AP38,BP38/DATOS!$C$90)*1000/(BT38*F38*100)*BT38*(EG38^4-4*EG38^3+8*EG38))+5*N(AN38)/DATOS!$C$90*10,0.001))^(1/3),0))</f>
        <v/>
      </c>
      <c r="EP38" s="45" t="str">
        <f>IF(BI38&lt;&gt;"SÍ","",IF(AI38&lt;&gt;"SÍ","—",IF(OR(N(AK38)&lt;=0,N(AL38)&lt;=0,N(AM38)&lt;=0),"REVISAR: faltan b, h o L_v de la viga",IF(AND(EM38&lt;=DATOS!$C$87*DATOS!$C$33,EN38&lt;=14,N(AL38)&gt;=25,EN38&lt;=EO38),IF(BS38/F38&lt;0.6,"PENDIENTE: H/L &lt; 0.6, falta el análisis de interacción muro–viga (4.1.18.2.1); f_CM es estimado","CUMPLE"),"NO CUMPLE: "&amp;IF(EM38&gt;DATOS!$C$87*DATOS!$C$33,"f_CM &gt; F_R·f'm ","")&amp;IF(EN38&gt;14,"L_v/h_v &gt; 14 ","")&amp;IF(N(AL38)&lt;25,"h_v &lt; 25 cm ","")&amp;IF(EN38&gt;EO38,"flecha (4.1.18.3)","")))))</f>
        <v/>
      </c>
      <c r="EQ38" s="44" t="str">
        <f>IF(BI38&lt;&gt;"SÍ","",MAX(0,F38*BS38-(N(K38)*N(M38)+N(P38)*N(R38)+N(U38)*N(W38)+N(Z38)*N(AB38))-CK38*DATOS!$C$59/100*BS38))</f>
        <v/>
      </c>
      <c r="ER38" s="48" t="str">
        <f>IF(BI38&lt;&gt;"SÍ","",CK38*DATOS!$C$59*DATOS!$C$60/10000*BS38)</f>
        <v/>
      </c>
      <c r="ES38" s="47" t="str">
        <f>IF(BI38&lt;&gt;"SÍ","",CK38*(DATOS!$C$61*(BS38+0.6)*INDEX(TABLAS!$E$6:$E$14,MATCH(DATOS!$C$62,TABLAS!$B$6:$B$14,0))+(2*ROUNDUP(CN38/DATOS!$C$65,0)+ROUNDUP(MAX(0,BS38*100-2*CN38)/DATOS!$C$64,0))*((2*(DATOS!$C$60+DATOS!$C$59-4*(DATOS!$C$66-INDEX(TABLAS!$C$6:$C$14,MATCH(DATOS!$C$63,TABLAS!$B$6:$B$14,0))))+15)/100)*INDEX(TABLAS!$E$6:$E$14,MATCH(DATOS!$C$63,TABLAS!$B$6:$B$14,0))))</f>
        <v/>
      </c>
      <c r="ET38" s="47" t="str">
        <f>IF(BI38&lt;&gt;"SÍ","",IF(OR(AE38="VARILLA EN JUNTAS",AE38="ESCALERILLA"),INT(BS38*100/MAX(DK38,1))*IF(ISNUMBER(AF38),AF38,2)*CB38*INDEX(TABLAS!$E$6:$E$14,MATCH(IF(AG38&lt;&gt;"",AG38,DATOS!$C$73),TABLAS!$B$6:$B$14,0)),IF(AE38="MALLA",IF(ISNUMBER(AF38),AF38,1)*CB38*BS38*INDEX(TABLAS!$E$19:$E$22,MATCH(IF(AG38&lt;&gt;"",AG38,DATOS!$C$74),TABLAS!$B$19:$B$22,0)),0)))</f>
        <v/>
      </c>
      <c r="EU38" s="45" t="str">
        <f>IF(BI38&lt;&gt;"SÍ","",""&amp;IF(BJ38="NO ESTÁ EN PIER_FORCES","sin fuerzas en PIER_FORCES; ","")&amp;IF(BV38&lt;&gt;"CUMPLE","vanos; ","")&amp;IF(LEFT(CH38,2)="NO","espesor o esbeltez; ","")&amp;IF(CQ38&gt;1,"compresión; ","")&amp;IF(CX38&gt;1,"flexión; ","")&amp;IF(CB38&lt;=0,"sin tramos de muro (todos son machones menores que L mín.: diséñalos como columnas o baja L mín.); ",IF(EC38&gt;1,"cortante; ",""))&amp;IF(OR(LEFT(EA38,2)="NO",LEFT(EA38,5)="FALTA"),"refuerzo horizontal; ","")&amp;IF(OR(LEFT(EP38,2)="NO",LEFT(EP38,7)="REVISAR"),"muro sobre viga; ","")&amp;IF(LEFT(DATOS!$C$81,2)="NO","castillo típico; ","")&amp;IF(LEFT(DATOS!$C$82,2)="NO","dala típica; ","")&amp;IF(AND(BT38&lt;&gt;DATOS!$C$58,DATOS!$C$60&lt;BT38),"castillo más angosto que el muro; ",""))</f>
        <v/>
      </c>
      <c r="EV38" s="45" t="str">
        <f>IF(BI38&lt;&gt;"SÍ","",""&amp;IF(LEFT(EP38,9)="PENDIENTE","análisis muro–viga (H/L &lt; 0.6); ","")&amp;IF(BR38&gt;50,"V_u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8" s="51" t="str">
        <f>IF(BI38&lt;&gt;"SÍ","",IF(EU38&lt;&gt;"","NO CUMPLE: "&amp;LEFT(EU38,LEN(EU38)-2),IF(EV38&lt;&gt;"","CUMPLE — PENDIENTE: "&amp;LEFT(EV38,LEN(EV38)-2),"CUMPLE")))</f>
        <v/>
      </c>
      <c r="EX38" s="52" t="n"/>
    </row>
    <row r="39" ht="30" customHeight="1">
      <c r="A39" s="38" t="str">
        <f>IF(B39="","",ROW()-10)</f>
        <v/>
      </c>
      <c r="B39" s="28" t="n"/>
      <c r="C39" s="39" t="n"/>
      <c r="D39" s="39" t="n"/>
      <c r="E39" s="39" t="n"/>
      <c r="F39" s="40" t="n"/>
      <c r="G39" s="40" t="n"/>
      <c r="H39" s="41" t="n"/>
      <c r="I39" s="39" t="n"/>
      <c r="J39" s="40" t="n"/>
      <c r="K39" s="40" t="n"/>
      <c r="L39" s="40" t="n"/>
      <c r="M39" s="40" t="n"/>
      <c r="N39" s="39" t="n"/>
      <c r="O39" s="40" t="n"/>
      <c r="P39" s="40" t="n"/>
      <c r="Q39" s="40" t="n"/>
      <c r="R39" s="40" t="n"/>
      <c r="S39" s="39" t="n"/>
      <c r="T39" s="40" t="n"/>
      <c r="U39" s="40" t="n"/>
      <c r="V39" s="40" t="n"/>
      <c r="W39" s="40" t="n"/>
      <c r="X39" s="39" t="n"/>
      <c r="Y39" s="40" t="n"/>
      <c r="Z39" s="40" t="n"/>
      <c r="AA39" s="40" t="n"/>
      <c r="AB39" s="40" t="n"/>
      <c r="AC39" s="41" t="n"/>
      <c r="AD39" s="41" t="n"/>
      <c r="AE39" s="39" t="n"/>
      <c r="AF39" s="41" t="n"/>
      <c r="AG39" s="41" t="n"/>
      <c r="AH39" s="41" t="n"/>
      <c r="AI39" s="39" t="n"/>
      <c r="AJ39" s="39" t="n"/>
      <c r="AK39" s="41" t="n"/>
      <c r="AL39" s="41" t="n"/>
      <c r="AM39" s="40" t="n"/>
      <c r="AN39" s="40" t="n"/>
      <c r="AO39" s="40" t="n"/>
      <c r="AP39" s="40" t="n"/>
      <c r="AQ39" s="40" t="n"/>
      <c r="AR39" s="40" t="n"/>
      <c r="AS39" s="40" t="n"/>
      <c r="AT39" s="40" t="n"/>
      <c r="AU39" s="40" t="n"/>
      <c r="AV39" s="40" t="n"/>
      <c r="AW39" s="40" t="n"/>
      <c r="AX39" s="42" t="str">
        <f>IF(B39="","",C39&amp;"|"&amp;B39)</f>
        <v/>
      </c>
      <c r="AY39" s="43" t="str">
        <f>IF(B39="","",COUNTIFS(PIER_FORCES!$O$9:$O$3008,29,PIER_FORCES!$P$9:$P$3008,1))</f>
        <v/>
      </c>
      <c r="AZ39" s="43" t="str">
        <f>IF(B39="","",COUNTIFS(PIER_FORCES!$O$9:$O$3008,29,PIER_FORCES!$P$9:$P$3008,2))</f>
        <v/>
      </c>
      <c r="BA39" s="44">
        <f>IF(N(AY39)=0,0,SUMPRODUCT(MAX((PIER_FORCES!$O$9:$O$3008=29)*(PIER_FORCES!$P$9:$P$3008=1)*PIER_FORCES!$R$9:$R$3008)))</f>
        <v>0</v>
      </c>
      <c r="BB39" s="44">
        <f>IF(N(AY39)=0,0,SUMPRODUCT(MAX((PIER_FORCES!$O$9:$O$3008=29)*(PIER_FORCES!$P$9:$P$3008=1)*PIER_FORCES!$S$9:$S$3008)))</f>
        <v>0</v>
      </c>
      <c r="BC39" s="44">
        <f>IF(N(AY39)=0,0,-SUMPRODUCT(MAX((PIER_FORCES!$O$9:$O$3008=29)*(PIER_FORCES!$P$9:$P$3008=1)*(-PIER_FORCES!$Q$9:$Q$3008)+(1-(PIER_FORCES!$O$9:$O$3008=29)*(PIER_FORCES!$P$9:$P$3008=1))*(-1E9))))</f>
        <v>0</v>
      </c>
      <c r="BD39" s="44">
        <f>IF(N(AY39)=0,0,SUMPRODUCT(MAX((PIER_FORCES!$O$9:$O$3008=29)*(PIER_FORCES!$P$9:$P$3008=1)*PIER_FORCES!$Q$9:$Q$3008+(1-(PIER_FORCES!$O$9:$O$3008=29)*(PIER_FORCES!$P$9:$P$3008=1))*(-1E9))))</f>
        <v>0</v>
      </c>
      <c r="BE39" s="44">
        <f>IF(N(AZ39)=0,BD39,SUMPRODUCT(MAX((PIER_FORCES!$O$9:$O$3008=29)*(PIER_FORCES!$P$9:$P$3008=2)*PIER_FORCES!$Q$9:$Q$3008+(1-(PIER_FORCES!$O$9:$O$3008=29)*(PIER_FORCES!$P$9:$P$3008=2))*(-1E9))))</f>
        <v>0</v>
      </c>
      <c r="BF39" s="44">
        <f>IF(N(AZ39)=0,0,SUMPRODUCT(MAX((PIER_FORCES!$O$9:$O$3008=29)*(PIER_FORCES!$P$9:$P$3008=2)*PIER_FORCES!$R$9:$R$3008)))</f>
        <v>0</v>
      </c>
      <c r="BG39" s="43">
        <f>IF(N(AY39)=0,0,SUMPRODUCT(MAX((PIER_FORCES!$O$9:$O$3008=29)*(PIER_FORCES!$P$9:$P$3008=1)*(ABS(PIER_FORCES!$R$9:$R$3008-BA39)&lt;0.000001)*PIER_FORCES!$T$9:$T$3008)))</f>
        <v>0</v>
      </c>
      <c r="BH39" s="45" t="str">
        <f>IF(N(BG39)=0,"",INDEX(PIER_FORCES!$D$9:$D$3008,BG39)&amp;" "&amp;INDEX(PIER_FORCES!$F$9:$F$3008,BG39)&amp;" / "&amp;INDEX(PIER_FORCES!$G$9:$G$3008,BG39))</f>
        <v/>
      </c>
      <c r="BI39" s="42" t="str">
        <f>IF(B39="","",IF(AND(C39&lt;&gt;"",OR(D39="X",D39="Y"),ISNUMBER(F39),N(F39)&gt;0),"SÍ","NO"))</f>
        <v/>
      </c>
      <c r="BJ39" s="42" t="str">
        <f>IF(BI39&lt;&gt;"SÍ","",IF(DATOS!$C$108="ETABS (PIER_FORCES)",IF(N(AY39)&gt;0,"ETABS","NO ESTÁ EN PIER_FORCES"),"CAPTURA"))</f>
        <v/>
      </c>
      <c r="BK39" s="46" t="str">
        <f>IF(BI39&lt;&gt;"SÍ","",IF(BJ39="ETABS",BA39,IF(BJ39="CAPTURA",N(AQ39),0)))</f>
        <v/>
      </c>
      <c r="BL39" s="46" t="str">
        <f>IF(BI39&lt;&gt;"SÍ","",IF(BJ39="ETABS",BB39,IF(BJ39="CAPTURA",N(AR39),0)))</f>
        <v/>
      </c>
      <c r="BM39" s="46" t="str">
        <f>IF(BI39&lt;&gt;"SÍ","",IF(BJ39="ETABS",BC39/DATOS!$C$89,IF(BJ39="CAPTURA",N(AS39),0)))</f>
        <v/>
      </c>
      <c r="BN39" s="44" t="str">
        <f>IF(BI39&lt;&gt;"SÍ","",IF(BJ39="ETABS",BC39,IF(BJ39="CAPTURA",IF(ISNUMBER(AU39),AU39,N(AS39)*DATOS!$C$89),0)))</f>
        <v/>
      </c>
      <c r="BO39" s="44" t="str">
        <f>IF(BI39&lt;&gt;"SÍ","",IF(BJ39="ETABS",MAX(BD39,BE39),IF(BJ39="CAPTURA",N(AT39),0)))</f>
        <v/>
      </c>
      <c r="BP39" s="44" t="str">
        <f>IF(BI39&lt;&gt;"SÍ","",IF(BJ39="ETABS",BE39,IF(BJ39="CAPTURA",IF(ISNUMBER(AV39),AV39,N(AT39)),0)))</f>
        <v/>
      </c>
      <c r="BQ39" s="44" t="str">
        <f>IF(BI39&lt;&gt;"SÍ","",IF(BJ39="ETABS",BF39,IF(BJ39="CAPTURA",N(AW39),0)))</f>
        <v/>
      </c>
      <c r="BR39" s="43" t="str">
        <f>IF(BI39&lt;&gt;"SÍ","",IF(BK39&gt;0,100*BQ39/BK39,0))</f>
        <v/>
      </c>
      <c r="BS39" s="44" t="str">
        <f>IF(BI39&lt;&gt;"SÍ","",IF(ISNUMBER(G39),G39,DATOS!$C$57))</f>
        <v/>
      </c>
      <c r="BT39" s="47" t="str">
        <f>IF(BI39&lt;&gt;"SÍ","",IF(ISNUMBER(H39),H39,DATOS!$C$58))</f>
        <v/>
      </c>
      <c r="BU39" s="43" t="str">
        <f>IF(BI39&lt;&gt;"SÍ","",IF(N(K39)&gt;0,1+IF(N(P39)&gt;0,1+IF(N(U39)&gt;0,1+IF(N(Z39)&gt;0,1,0),0),0),0))</f>
        <v/>
      </c>
      <c r="BV39" s="45" t="str">
        <f>IF(BI39&lt;&gt;"SÍ","",IF(AND(OR(BU39&lt;1,AND(N(J39)&gt;=0-0.001,J39+K39&lt;=F39+0.001,N(L39)&gt;=0,N(L39)+N(M39)&lt;=BS39+0.001,N(M39)&gt;0,OR(I39="PUERTA",I39="VENTANA"))),OR(BU39&lt;2,AND(N(O39)&gt;=(J39+K39)-0.001,O39+P39&lt;=F39+0.001,N(Q39)&gt;=0,N(Q39)+N(R39)&lt;=BS39+0.001,N(R39)&gt;0,OR(N39="PUERTA",N39="VENTANA"))),OR(BU39&lt;3,AND(N(T39)&gt;=(O39+P39)-0.001,T39+U39&lt;=F39+0.001,N(V39)&gt;=0,N(V39)+N(W39)&lt;=BS39+0.001,N(W39)&gt;0,OR(S39="PUERTA",S39="VENTANA"))),OR(BU39&lt;4,AND(N(Y39)&gt;=(T39+U39)-0.001,Y39+Z39&lt;=F39+0.001,N(AA39)&gt;=0,N(AA39)+N(AB39)&lt;=BS39+0.001,N(AB39)&gt;0,OR(X39="PUERTA",X39="VENTANA"))),(N(K39)&gt;0)+(N(P39)&gt;0)+(N(U39)&gt;0)+(N(Z39)&gt;0)=BU39),"CUMPLE","REVISAR VANOS: tipo, orden de izquierda a derecha, que quepan en L y en H"))</f>
        <v/>
      </c>
      <c r="BW39" s="44" t="str">
        <f>IF(BI39&lt;&gt;"SÍ","",MAX(0,IF(BU39&gt;=1,N(J39),F39)))</f>
        <v/>
      </c>
      <c r="BX39" s="44" t="str">
        <f>IF(BI39&lt;&gt;"SÍ","",MAX(0,IF(BU39&gt;=2,N(O39)-(N(J39)+N(K39)),IF(BU39=1,F39-(N(J39)+N(K39)),0))))</f>
        <v/>
      </c>
      <c r="BY39" s="44" t="str">
        <f>IF(BI39&lt;&gt;"SÍ","",MAX(0,IF(BU39&gt;=3,N(T39)-(N(O39)+N(P39)),IF(BU39=2,F39-(N(O39)+N(P39)),0))))</f>
        <v/>
      </c>
      <c r="BZ39" s="44" t="str">
        <f>IF(BI39&lt;&gt;"SÍ","",MAX(0,IF(BU39&gt;=4,N(Y39)-(N(T39)+N(U39)),IF(BU39=3,F39-(N(T39)+N(U39)),0))))</f>
        <v/>
      </c>
      <c r="CA39" s="44" t="str">
        <f>IF(BI39&lt;&gt;"SÍ","",MAX(0,IF(BU39=4,F39-(N(Y39)+N(Z39)),0)))</f>
        <v/>
      </c>
      <c r="CB39" s="46" t="str">
        <f>IF(BI39&lt;&gt;"SÍ","",SUMPRODUCT((BW39:CA39&gt;=DATOS!$C$72-0.0001)*BW39:CA39))</f>
        <v/>
      </c>
      <c r="CC39" s="43" t="str">
        <f>IF(BI39&lt;&gt;"SÍ","",SUMPRODUCT(--(BW39:CA39&gt;=DATOS!$C$72-0.0001)))</f>
        <v/>
      </c>
      <c r="CD39" s="44" t="str">
        <f>IF(BI39&lt;&gt;"SÍ","",SUM(BW39:CA39))</f>
        <v/>
      </c>
      <c r="CE39" s="43" t="str">
        <f>IF(BI39&lt;&gt;"SÍ","",BT39*CB39*100)</f>
        <v/>
      </c>
      <c r="CF39" s="43" t="str">
        <f>IF(BI39&lt;&gt;"SÍ","",BT39*CD39*100)</f>
        <v/>
      </c>
      <c r="CG39" s="47" t="str">
        <f>IF(BI39&lt;&gt;"SÍ","",BS39*100/BT39)</f>
        <v/>
      </c>
      <c r="CH39" s="45" t="str">
        <f>IF(BI39&lt;&gt;"SÍ","",IF(AND(OR(DATOS!$C$14="TIPO II",BT39&gt;=12),CG39&lt;=25),"CUMPLE","NO CUMPLE: "&amp;IF(AND(DATOS!$C$14="TIPO I",BT39&lt;12),"t &lt; 12 cm ","")&amp;IF(CG39&gt;25,"H/t &gt; 25","")))</f>
        <v/>
      </c>
      <c r="CI39" s="44" t="str">
        <f>IF(BI39&lt;&gt;"SÍ","",MIN(1.5*BS39,4))</f>
        <v/>
      </c>
      <c r="CJ39" s="43" t="str">
        <f>IF(BI39&lt;&gt;"SÍ","",SUMPRODUCT((BW39:CA39&gt;=2*DATOS!$C$59/100)*INT((BW39:CA39-DATOS!$C$59/100)/CI39-0.000001)*((BW39:CA39-DATOS!$C$59/100)&gt;0)))</f>
        <v/>
      </c>
      <c r="CK39" s="43" t="str">
        <f>IF(BI39&lt;&gt;"SÍ","",SUMPRODUCT((BW39:CA39&gt;0.0001)*1+(BW39:CA39&gt;=2*DATOS!$C$59/100)*1)+CJ39)</f>
        <v/>
      </c>
      <c r="CL39" s="44" t="str">
        <f>IF(BI39&lt;&gt;"SÍ","",IF(ISNUMBER(AC39),AC39,DATOS!$C$61)*INDEX(TABLAS!$D$6:$D$14,MATCH(IF(AD39&lt;&gt;"",AD39,DATOS!$C$62),TABLAS!$B$6:$B$14,0)))</f>
        <v/>
      </c>
      <c r="CM39" s="44" t="str">
        <f>IF(BI39&lt;&gt;"SÍ","",CK39*DATOS!$C$78+IF(CK39&gt;=2,2,CK39)*(CL39-DATOS!$C$78))</f>
        <v/>
      </c>
      <c r="CN39" s="47" t="str">
        <f>IF(BI39&lt;&gt;"SÍ","",MAX(BS39*100/6,40))</f>
        <v/>
      </c>
      <c r="CO39" s="48" t="str">
        <f>IF(BI39&lt;&gt;"SÍ","",IF(CG39&lt;=20,IF(E39="INTERIOR",0.7,0.6),MIN(IF(E39="INTERIOR",0.7,0.6),(1-2/24)*(1-(IF(E39="INTERIOR",0.8,1)*CG39/30)^2))))</f>
        <v/>
      </c>
      <c r="CP39" s="47" t="str">
        <f>IF(BI39&lt;&gt;"SÍ","",DATOS!$C$87*CO39*(DATOS!$C$33*CF39+CM39*DATOS!$C$48)/1000)</f>
        <v/>
      </c>
      <c r="CQ39" s="46" t="str">
        <f>IF(BI39&lt;&gt;"SÍ","",IF(CP39&gt;0,BO39/CP39,99))</f>
        <v/>
      </c>
      <c r="CR39" s="47" t="str">
        <f>IF(BI39&lt;&gt;"SÍ","",MAX(0,F39*100-DATOS!$C$59))</f>
        <v/>
      </c>
      <c r="CS39" s="47" t="str">
        <f>IF(BI39&lt;&gt;"SÍ","",MAX(0,F39*100-DATOS!$C$59/2))</f>
        <v/>
      </c>
      <c r="CT39" s="44" t="str">
        <f>IF(BI39&lt;&gt;"SÍ","",CL39*DATOS!$C$48*CR39/100000)</f>
        <v/>
      </c>
      <c r="CU39" s="44" t="str">
        <f>IF(BI39&lt;&gt;"SÍ","",IF(BN39&lt;0,0.8*CT39*MAX(0,1+BN39/(0.8*CM39*DATOS!$C$48/1000)),IF(BN39&lt;=CP39/3,0.8*CT39+0.3*BN39*CS39/100,(1.5*0.6*CT39+0.15*CP39*CS39/100)*MAX(0,1-BN39/CP39))))</f>
        <v/>
      </c>
      <c r="CV39" s="44" t="str">
        <f>IF(BI39&lt;&gt;"SÍ","",IF(BO39&lt;0,0.8*CT39*MAX(0,1+BO39/(0.8*CM39*DATOS!$C$48/1000)),IF(BO39&lt;=CP39/3,0.8*CT39+0.3*BO39*CS39/100,(1.5*0.6*CT39+0.15*CP39*CS39/100)*MAX(0,1-BO39/CP39))))</f>
        <v/>
      </c>
      <c r="CW39" s="46" t="str">
        <f>IF(BI39&lt;&gt;"SÍ","",MAX(0,MIN(CU39,CV39)))</f>
        <v/>
      </c>
      <c r="CX39" s="49" t="str">
        <f>IF(BI39&lt;&gt;"SÍ","",IF(CW39&gt;0,BL39/CW39,IF(BL39&gt;0,99,0)))</f>
        <v/>
      </c>
      <c r="CY39" s="44" t="str">
        <f>IF(BI39&lt;&gt;"SÍ","",IF(BW39&gt;0,MAX(1,MIN(1.5,1.5-0.625*(BS39/BW39-0.2))),0))</f>
        <v/>
      </c>
      <c r="CZ39" s="44" t="str">
        <f>IF(BI39&lt;&gt;"SÍ","",IF(BX39&gt;0,MAX(1,MIN(1.5,1.5-0.625*(BS39/BX39-0.2))),0))</f>
        <v/>
      </c>
      <c r="DA39" s="44" t="str">
        <f>IF(BI39&lt;&gt;"SÍ","",IF(BY39&gt;0,MAX(1,MIN(1.5,1.5-0.625*(BS39/BY39-0.2))),0))</f>
        <v/>
      </c>
      <c r="DB39" s="44" t="str">
        <f>IF(BI39&lt;&gt;"SÍ","",IF(BZ39&gt;0,MAX(1,MIN(1.5,1.5-0.625*(BS39/BZ39-0.2))),0))</f>
        <v/>
      </c>
      <c r="DC39" s="44" t="str">
        <f>IF(BI39&lt;&gt;"SÍ","",IF(CA39&gt;0,MAX(1,MIN(1.5,1.5-0.625*(BS39/CA39-0.2))),0))</f>
        <v/>
      </c>
      <c r="DD39" s="44" t="str">
        <f>IF(BI39&lt;&gt;"SÍ","",IF(OR(BW39&lt;DATOS!$C$72-0.0001,BM39&lt;0,CB39&lt;=0),0,MIN(DATOS!$C$86*(0.5*DATOS!$C$41*BT39*BW39*100+0.3*BM39*BW39/CB39*1000)*CY39,1.5*DATOS!$C$86*DATOS!$C$41*BT39*BW39*100*CY39)/1000))</f>
        <v/>
      </c>
      <c r="DE39" s="44" t="str">
        <f>IF(BI39&lt;&gt;"SÍ","",IF(OR(BX39&lt;DATOS!$C$72-0.0001,BM39&lt;0,CB39&lt;=0),0,MIN(DATOS!$C$86*(0.5*DATOS!$C$41*BT39*BX39*100+0.3*BM39*BX39/CB39*1000)*CZ39,1.5*DATOS!$C$86*DATOS!$C$41*BT39*BX39*100*CZ39)/1000))</f>
        <v/>
      </c>
      <c r="DF39" s="44" t="str">
        <f>IF(BI39&lt;&gt;"SÍ","",IF(OR(BY39&lt;DATOS!$C$72-0.0001,BM39&lt;0,CB39&lt;=0),0,MIN(DATOS!$C$86*(0.5*DATOS!$C$41*BT39*BY39*100+0.3*BM39*BY39/CB39*1000)*DA39,1.5*DATOS!$C$86*DATOS!$C$41*BT39*BY39*100*DA39)/1000))</f>
        <v/>
      </c>
      <c r="DG39" s="44" t="str">
        <f>IF(BI39&lt;&gt;"SÍ","",IF(OR(BZ39&lt;DATOS!$C$72-0.0001,BM39&lt;0,CB39&lt;=0),0,MIN(DATOS!$C$86*(0.5*DATOS!$C$41*BT39*BZ39*100+0.3*BM39*BZ39/CB39*1000)*DB39,1.5*DATOS!$C$86*DATOS!$C$41*BT39*BZ39*100*DB39)/1000))</f>
        <v/>
      </c>
      <c r="DH39" s="44" t="str">
        <f>IF(BI39&lt;&gt;"SÍ","",IF(OR(CA39&lt;DATOS!$C$72-0.0001,BM39&lt;0,CB39&lt;=0),0,MIN(DATOS!$C$86*(0.5*DATOS!$C$41*BT39*CA39*100+0.3*BM39*CA39/CB39*1000)*DC39,1.5*DATOS!$C$86*DATOS!$C$41*BT39*CA39*100*DC39)/1000))</f>
        <v/>
      </c>
      <c r="DI39" s="46" t="str">
        <f>IF(BI39&lt;&gt;"SÍ","",SUM(DD39:DH39))</f>
        <v/>
      </c>
      <c r="DJ39" s="48" t="str">
        <f>IF(BI39&lt;&gt;"SÍ","",IF(AE39="VARILLA EN JUNTAS",IF(ISNUMBER(AF39),AF39,2)*INDEX(TABLAS!$D$6:$D$14,MATCH(IF(AG39&lt;&gt;"",AG39,DATOS!$C$73),TABLAS!$B$6:$B$14,0)),IF(AE39="MALLA",IF(ISNUMBER(AF39),AF39,1)*INDEX(TABLAS!$D$19:$D$22,MATCH(IF(AG39&lt;&gt;"",AG39,DATOS!$C$74),TABLAS!$B$19:$B$22,0))/100,IF(AE39="ESCALERILLA",IF(ISNUMBER(AF39),AF39,2)*INDEX(TABLAS!$D$6:$D$14,MATCH(IF(AG39&lt;&gt;"",AG39,DATOS!$C$73),TABLAS!$B$6:$B$14,0)),0))))</f>
        <v/>
      </c>
      <c r="DK39" s="47" t="str">
        <f>IF(BI39&lt;&gt;"SÍ","",IF(OR(AE39="VARILLA EN JUNTAS",AE39="ESCALERILLA"),IF(ISNUMBER(AH39),AH39,2)*DATOS!$C$26,IF(AE39="MALLA",1,0)))</f>
        <v/>
      </c>
      <c r="DL39" s="44" t="str">
        <f>IF(BI39&lt;&gt;"SÍ","",IF(DK39&gt;0,DJ39/(DK39*BT39)*MIN(DATOS!$C$50,IF(AE39="MALLA",5000,6000)),0))</f>
        <v/>
      </c>
      <c r="DM39" s="44" t="str">
        <f>IF(BI39&lt;&gt;"SÍ","",IF(AE39="ESCALERILLA",0,MIN(DL39,0.1*DATOS!$C$33*DATOS!$C$24)))</f>
        <v/>
      </c>
      <c r="DN39" s="48" t="str">
        <f>IF(BI39&lt;&gt;"SÍ","",IF(AE39="MALLA",0.5,IF(DATOS!$C$33&lt;=60,0.55,IF(DATOS!$C$33&gt;=90,0.75,0.55+0.2*(DATOS!$C$33-60)/30))))</f>
        <v/>
      </c>
      <c r="DO39" s="48" t="str">
        <f>IF(BI39&lt;&gt;"SÍ","",1-DATOS!$C$91*DM39)</f>
        <v/>
      </c>
      <c r="DP39" s="44" t="str">
        <f>IF(BI39&lt;&gt;"SÍ","",IF(BW39&gt;0,IF(BS39/BW39&lt;=1,1.3,IF(BS39/BW39&gt;=1.5,1,1.3-0.6*(BS39/BW39-1))),0))</f>
        <v/>
      </c>
      <c r="DQ39" s="44" t="str">
        <f>IF(BI39&lt;&gt;"SÍ","",IF(BX39&gt;0,IF(BS39/BX39&lt;=1,1.3,IF(BS39/BX39&gt;=1.5,1,1.3-0.6*(BS39/BX39-1))),0))</f>
        <v/>
      </c>
      <c r="DR39" s="44" t="str">
        <f>IF(BI39&lt;&gt;"SÍ","",IF(BY39&gt;0,IF(BS39/BY39&lt;=1,1.3,IF(BS39/BY39&gt;=1.5,1,1.3-0.6*(BS39/BY39-1))),0))</f>
        <v/>
      </c>
      <c r="DS39" s="44" t="str">
        <f>IF(BI39&lt;&gt;"SÍ","",IF(BZ39&gt;0,IF(BS39/BZ39&lt;=1,1.3,IF(BS39/BZ39&gt;=1.5,1,1.3-0.6*(BS39/BZ39-1))),0))</f>
        <v/>
      </c>
      <c r="DT39" s="44" t="str">
        <f>IF(BI39&lt;&gt;"SÍ","",IF(CA39&gt;0,IF(BS39/CA39&lt;=1,1.3,IF(BS39/CA39&gt;=1.5,1,1.3-0.6*(BS39/CA39-1))),0))</f>
        <v/>
      </c>
      <c r="DU39" s="44" t="str">
        <f>IF(BI39&lt;&gt;"SÍ","",IF(OR(DM39&lt;=0,BW39&lt;DATOS!$C$72-0.0001),0,DATOS!$C$86*MAX(0,IF(BM39&gt;=0,DD39/(DATOS!$C$86*DM39*BT39*BW39*100/1000)*(DP39*DO39-1)+DN39,DO39*DN39))*DM39*BT39*BW39*100/1000))</f>
        <v/>
      </c>
      <c r="DV39" s="44" t="str">
        <f>IF(BI39&lt;&gt;"SÍ","",IF(OR(DM39&lt;=0,BX39&lt;DATOS!$C$72-0.0001),0,DATOS!$C$86*MAX(0,IF(BM39&gt;=0,DE39/(DATOS!$C$86*DM39*BT39*BX39*100/1000)*(DQ39*DO39-1)+DN39,DO39*DN39))*DM39*BT39*BX39*100/1000))</f>
        <v/>
      </c>
      <c r="DW39" s="44" t="str">
        <f>IF(BI39&lt;&gt;"SÍ","",IF(OR(DM39&lt;=0,BY39&lt;DATOS!$C$72-0.0001),0,DATOS!$C$86*MAX(0,IF(BM39&gt;=0,DF39/(DATOS!$C$86*DM39*BT39*BY39*100/1000)*(DR39*DO39-1)+DN39,DO39*DN39))*DM39*BT39*BY39*100/1000))</f>
        <v/>
      </c>
      <c r="DX39" s="44" t="str">
        <f>IF(BI39&lt;&gt;"SÍ","",IF(OR(DM39&lt;=0,BZ39&lt;DATOS!$C$72-0.0001),0,DATOS!$C$86*MAX(0,IF(BM39&gt;=0,DG39/(DATOS!$C$86*DM39*BT39*BZ39*100/1000)*(DS39*DO39-1)+DN39,DO39*DN39))*DM39*BT39*BZ39*100/1000))</f>
        <v/>
      </c>
      <c r="DY39" s="44" t="str">
        <f>IF(BI39&lt;&gt;"SÍ","",IF(OR(DM39&lt;=0,CA39&lt;DATOS!$C$72-0.0001),0,DATOS!$C$86*MAX(0,IF(BM39&gt;=0,DH39/(DATOS!$C$86*DM39*BT39*CA39*100/1000)*(DT39*DO39-1)+DN39,DO39*DN39))*DM39*BT39*CA39*100/1000))</f>
        <v/>
      </c>
      <c r="DZ39" s="46" t="str">
        <f>IF(BI39&lt;&gt;"SÍ","",SUM(DU39:DY39))</f>
        <v/>
      </c>
      <c r="EA39" s="45" t="str">
        <f>IF(BI39&lt;&gt;"SÍ","",IF(OR(AE39="",AE39="NINGUNO"),IF(DATOS!$C$41&gt;=10,"FALTA refuerzo horizontal: v'm ≥ 10 kg/cm² (6.5.2.2)",IF(AND(BM39&lt;0,BK39&gt;0),"FALTA: P en tensión, el refuerzo debe tomar todo el cortante (6.5.1.3)","—")),IF(AE39="ESCALERILLA","NO CUENTA: la escalerilla no se permite para cortante por sismo (6.5.3.1.2)",IF(AE39="MALLA",IF(AND(DL39&gt;=2.5,DL39&lt;=MAX(0.15*DATOS!$C$33*DATOS!$C$24,2.5)),"CUMPLE","NO CUMPLE: "&amp;IF(DL39&lt;2.5,"p_h·f_yh &lt; 2.5 (6.5.4.2.4)","p_h·f_yh &gt; 0.15·f'm·f_an (6.5.4.2.4)")),IF(AND(DK39&lt;=MIN(6*DATOS!$C$26,45),DL39&gt;=3,DL39&lt;=MIN(MAX(0.15*DATOS!$C$33*DATOS!$C$24,3),0.05*DATOS!$C$25/10*MIN(DATOS!$C$50,6000)/DK39),INDEX(TABLAS!$C$6:$C$14,MATCH(IF(AG39&lt;&gt;"",AG39,DATOS!$C$73),TABLAS!$B$6:$B$14,0))&gt;=0.35,INDEX(TABLAS!$C$6:$C$14,MATCH(IF(AG39&lt;&gt;"",AG39,DATOS!$C$73),TABLAS!$B$6:$B$14,0))&lt;=0.75*DATOS!$C$25/10),"CUMPLE","NO CUMPLE: "&amp;IF(DK39&gt;MIN(6*DATOS!$C$26,45),"s_h &gt; 6 hiladas o 45 cm (6.5.3.2.1) ","")&amp;IF(DL39&lt;3,"p_h·f_yh &lt; 3 (6.5.3.3.1) ","")&amp;IF(DL39&gt;MIN(MAX(0.15*DATOS!$C$33*DATOS!$C$24,3),0.05*DATOS!$C$25/10*MIN(DATOS!$C$50,6000)/DK39),"p_h·f_yh &gt; máximo (6.5.3.3.2) ","")&amp;IF(OR(INDEX(TABLAS!$C$6:$C$14,MATCH(IF(AG39&lt;&gt;"",AG39,DATOS!$C$73),TABLAS!$B$6:$B$14,0))&lt;0.35,INDEX(TABLAS!$C$6:$C$14,MATCH(IF(AG39&lt;&gt;"",AG39,DATOS!$C$73),TABLAS!$B$6:$B$14,0))&gt;0.75*DATOS!$C$25/10),"diámetro fuera de 3.5 mm a 0.75·h_j (4.2.2.2.1)",""))))))</f>
        <v/>
      </c>
      <c r="EB39" s="46" t="str">
        <f>IF(BI39&lt;&gt;"SÍ","",DI39+DZ39)</f>
        <v/>
      </c>
      <c r="EC39" s="50" t="str">
        <f>IF(BI39&lt;&gt;"SÍ","",IF(EB39&gt;0,BK39/EB39,IF(BK39&gt;0,99,0)))</f>
        <v/>
      </c>
      <c r="ED39" s="47" t="str">
        <f>IF(BI39&lt;&gt;"SÍ","",IF(CE39&lt;=0,-1,IF(BK39&lt;=DI39,0,IF(IF(BM39&gt;=0,IF((DATOS!$C$86*IF(AE39="MALLA",0.5,IF(DATOS!$C$33&lt;=60,0.55,IF(DATOS!$C$33&gt;=90,0.75,0.55+0.2*(DATOS!$C$33-60)/30)))*CE39/1000-DATOS!$C$91*SUMPRODUCT(DP39:DT39,DD39:DH39))&lt;=0,1E9,(BK39-SUMPRODUCT(DP39:DT39,DD39:DH39))/(DATOS!$C$86*IF(AE39="MALLA",0.5,IF(DATOS!$C$33&lt;=60,0.55,IF(DATOS!$C$33&gt;=90,0.75,0.55+0.2*(DATOS!$C$33-60)/30)))*CE39/1000-DATOS!$C$91*SUMPRODUCT(DP39:DT39,DD39:DH39))),IF((1-4*DATOS!$C$91*BK39*1000/(DATOS!$C$86*IF(AE39="MALLA",0.5,IF(DATOS!$C$33&lt;=60,0.55,IF(DATOS!$C$33&gt;=90,0.75,0.55+0.2*(DATOS!$C$33-60)/30)))*MAX(CE39,1)))&lt;0,1E9,(1-SQRT((1-4*DATOS!$C$91*BK39*1000/(DATOS!$C$86*IF(AE39="MALLA",0.5,IF(DATOS!$C$33&lt;=60,0.55,IF(DATOS!$C$33&gt;=90,0.75,0.55+0.2*(DATOS!$C$33-60)/30)))*MAX(CE39,1)))))/(2*DATOS!$C$91)))&gt;0.1*DATOS!$C$33*DATOS!$C$24+0.000001,-1,MAX(IF(AE39="MALLA",2.5,3),IF(BM39&gt;=0,IF((DATOS!$C$86*IF(AE39="MALLA",0.5,IF(DATOS!$C$33&lt;=60,0.55,IF(DATOS!$C$33&gt;=90,0.75,0.55+0.2*(DATOS!$C$33-60)/30)))*CE39/1000-DATOS!$C$91*SUMPRODUCT(DP39:DT39,DD39:DH39))&lt;=0,1E9,(BK39-SUMPRODUCT(DP39:DT39,DD39:DH39))/(DATOS!$C$86*IF(AE39="MALLA",0.5,IF(DATOS!$C$33&lt;=60,0.55,IF(DATOS!$C$33&gt;=90,0.75,0.55+0.2*(DATOS!$C$33-60)/30)))*CE39/1000-DATOS!$C$91*SUMPRODUCT(DP39:DT39,DD39:DH39))),IF((1-4*DATOS!$C$91*BK39*1000/(DATOS!$C$86*IF(AE39="MALLA",0.5,IF(DATOS!$C$33&lt;=60,0.55,IF(DATOS!$C$33&gt;=90,0.75,0.55+0.2*(DATOS!$C$33-60)/30)))*MAX(CE39,1)))&lt;0,1E9,(1-SQRT((1-4*DATOS!$C$91*BK39*1000/(DATOS!$C$86*IF(AE39="MALLA",0.5,IF(DATOS!$C$33&lt;=60,0.55,IF(DATOS!$C$33&gt;=90,0.75,0.55+0.2*(DATOS!$C$33-60)/30)))*MAX(CE39,1)))))/(2*DATOS!$C$91))))))))</f>
        <v/>
      </c>
      <c r="EE39" s="45" t="str">
        <f>IF(BI39&lt;&gt;"SÍ","",IF(ED39=0,"NO REQUIERE: V_mR ≥ V_u",IF(ED39&lt;0,"NO ALCANZA con refuerzo horizontal (haría falta más de 0.1·f'm·f_an efectivo): sube v'm con ensayes, el espesor o la longitud del muro",IF(AND(OR(AE39="VARILLA EN JUNTAS",AE39="MALLA"),LEFT(EA39,6)="CUMPLE",EC39&lt;=1),"YA LO TIENE (pide p_h·f_yh ≥ "&amp;TEXT(ED39,"0.0")&amp;" kg/cm²)","p_h·f_yh ≥ "&amp;TEXT(ED39,"0.0")&amp;" kg/cm² → "&amp;IF(AND(MIN(6,FLOOR(45/DATOS!$C$26,1),FLOOR((2*INDEX(TABLAS!$D$6:$D$14,MATCH("3/16 in",TABLAS!$B$6:$B$14,0)))*MIN(DATOS!$C$50,6000)/(BT39*DATOS!$C$26*MAX(ED39,0.001)),1))&gt;=1,((2*INDEX(TABLAS!$D$6:$D$14,MATCH("3/16 in",TABLAS!$B$6:$B$14,0)))*MIN(DATOS!$C$50,6000)/(MAX(MIN(6,FLOOR(45/DATOS!$C$26,1),FLOOR((2*INDEX(TABLAS!$D$6:$D$14,MATCH("3/16 in",TABLAS!$B$6:$B$14,0)))*MIN(DATOS!$C$50,6000)/(BT39*DATOS!$C$26*MAX(ED39,0.001)),1)),1)*DATOS!$C$26*BT39))&lt;=MIN(MAX(0.15*DATOS!$C$33*DATOS!$C$24,3),0.05*DATOS!$C$25/10*MIN(DATOS!$C$50,6000)/(MIN(6,FLOOR(45/DATOS!$C$26,1),FLOOR((2*INDEX(TABLAS!$D$6:$D$14,MATCH("3/16 in",TABLAS!$B$6:$B$14,0)))*MIN(DATOS!$C$50,6000)/(BT39*DATOS!$C$26*MAX(ED39,0.001)),1))*DATOS!$C$26))),"2 alambres de 3/16"" por junta cada "&amp;MIN(6,FLOOR(45/DATOS!$C$26,1),FLOOR((2*INDEX(TABLAS!$D$6:$D$14,MATCH("3/16 in",TABLAS!$B$6:$B$14,0)))*MIN(DATOS!$C$50,6000)/(BT39*DATOS!$C$26*MAX(ED39,0.001)),1))&amp;" hilada(s) (p_h·f_yh = "&amp;TEXT(((2*INDEX(TABLAS!$D$6:$D$14,MATCH("3/16 in",TABLAS!$B$6:$B$14,0)))*MIN(DATOS!$C$50,6000)/(MAX(MIN(6,FLOOR(45/DATOS!$C$26,1),FLOOR((2*INDEX(TABLAS!$D$6:$D$14,MATCH("3/16 in",TABLAS!$B$6:$B$14,0)))*MIN(DATOS!$C$50,6000)/(BT39*DATOS!$C$26*MAX(ED39,0.001)),1)),1)*DATOS!$C$26*BT39)),"0.00")&amp;")",IF(AND(MIN(6,FLOOR(45/DATOS!$C$26,1),FLOOR((2*INDEX(TABLAS!$D$6:$D$14,MATCH("5/32 in",TABLAS!$B$6:$B$14,0)))*MIN(DATOS!$C$50,6000)/(BT39*DATOS!$C$26*MAX(ED39,0.001)),1))&gt;=1,((2*INDEX(TABLAS!$D$6:$D$14,MATCH("5/32 in",TABLAS!$B$6:$B$14,0)))*MIN(DATOS!$C$50,6000)/(MAX(MIN(6,FLOOR(45/DATOS!$C$26,1),FLOOR((2*INDEX(TABLAS!$D$6:$D$14,MATCH("5/32 in",TABLAS!$B$6:$B$14,0)))*MIN(DATOS!$C$50,6000)/(BT39*DATOS!$C$26*MAX(ED39,0.001)),1)),1)*DATOS!$C$26*BT39))&lt;=MIN(MAX(0.15*DATOS!$C$33*DATOS!$C$24,3),0.05*DATOS!$C$25/10*MIN(DATOS!$C$50,6000)/(MIN(6,FLOOR(45/DATOS!$C$26,1),FLOOR((2*INDEX(TABLAS!$D$6:$D$14,MATCH("5/32 in",TABLAS!$B$6:$B$14,0)))*MIN(DATOS!$C$50,6000)/(BT39*DATOS!$C$26*MAX(ED39,0.001)),1))*DATOS!$C$26))),"2 alambres de 5/32"" por junta cada "&amp;MIN(6,FLOOR(45/DATOS!$C$26,1),FLOOR((2*INDEX(TABLAS!$D$6:$D$14,MATCH("5/32 in",TABLAS!$B$6:$B$14,0)))*MIN(DATOS!$C$50,6000)/(BT39*DATOS!$C$26*MAX(ED39,0.001)),1))&amp;" hilada(s) (p_h·f_yh = "&amp;TEXT(((2*INDEX(TABLAS!$D$6:$D$14,MATCH("5/32 in",TABLAS!$B$6:$B$14,0)))*MIN(DATOS!$C$50,6000)/(MAX(MIN(6,FLOOR(45/DATOS!$C$26,1),FLOOR((2*INDEX(TABLAS!$D$6:$D$14,MATCH("5/32 in",TABLAS!$B$6:$B$14,0)))*MIN(DATOS!$C$50,6000)/(BT39*DATOS!$C$26*MAX(ED39,0.001)),1)),1)*DATOS!$C$26*BT39)),"0.00")&amp;")",IF(AND(MIN(6,FLOOR(45/DATOS!$C$26,1),FLOOR((1*INDEX(TABLAS!$D$6:$D$14,MATCH("3/16 in",TABLAS!$B$6:$B$14,0)))*MIN(DATOS!$C$50,6000)/(BT39*DATOS!$C$26*MAX(ED39,0.001)),1))&gt;=1,((1*INDEX(TABLAS!$D$6:$D$14,MATCH("3/16 in",TABLAS!$B$6:$B$14,0)))*MIN(DATOS!$C$50,6000)/(MAX(MIN(6,FLOOR(45/DATOS!$C$26,1),FLOOR((1*INDEX(TABLAS!$D$6:$D$14,MATCH("3/16 in",TABLAS!$B$6:$B$14,0)))*MIN(DATOS!$C$50,6000)/(BT39*DATOS!$C$26*MAX(ED39,0.001)),1)),1)*DATOS!$C$26*BT39))&lt;=MIN(MAX(0.15*DATOS!$C$33*DATOS!$C$24,3),0.05*DATOS!$C$25/10*MIN(DATOS!$C$50,6000)/(MIN(6,FLOOR(45/DATOS!$C$26,1),FLOOR((1*INDEX(TABLAS!$D$6:$D$14,MATCH("3/16 in",TABLAS!$B$6:$B$14,0)))*MIN(DATOS!$C$50,6000)/(BT39*DATOS!$C$26*MAX(ED39,0.001)),1))*DATOS!$C$26))),"1 alambre de 3/16"" por junta cada "&amp;MIN(6,FLOOR(45/DATOS!$C$26,1),FLOOR((1*INDEX(TABLAS!$D$6:$D$14,MATCH("3/16 in",TABLAS!$B$6:$B$14,0)))*MIN(DATOS!$C$50,6000)/(BT39*DATOS!$C$26*MAX(ED39,0.001)),1))&amp;" hilada(s) (p_h·f_yh = "&amp;TEXT(((1*INDEX(TABLAS!$D$6:$D$14,MATCH("3/16 in",TABLAS!$B$6:$B$14,0)))*MIN(DATOS!$C$50,6000)/(MAX(MIN(6,FLOOR(45/DATOS!$C$26,1),FLOOR((1*INDEX(TABLAS!$D$6:$D$14,MATCH("3/16 in",TABLAS!$B$6:$B$14,0)))*MIN(DATOS!$C$50,6000)/(BT39*DATOS!$C$26*MAX(ED39,0.001)),1)),1)*DATOS!$C$26*BT39)),"0.00")&amp;")",IF(AND(MIN(6,FLOOR(45/DATOS!$C$26,1),FLOOR((1*INDEX(TABLAS!$D$6:$D$14,MATCH("5/32 in",TABLAS!$B$6:$B$14,0)))*MIN(DATOS!$C$50,6000)/(BT39*DATOS!$C$26*MAX(ED39,0.001)),1))&gt;=1,((1*INDEX(TABLAS!$D$6:$D$14,MATCH("5/32 in",TABLAS!$B$6:$B$14,0)))*MIN(DATOS!$C$50,6000)/(MAX(MIN(6,FLOOR(45/DATOS!$C$26,1),FLOOR((1*INDEX(TABLAS!$D$6:$D$14,MATCH("5/32 in",TABLAS!$B$6:$B$14,0)))*MIN(DATOS!$C$50,6000)/(BT39*DATOS!$C$26*MAX(ED39,0.001)),1)),1)*DATOS!$C$26*BT39))&lt;=MIN(MAX(0.15*DATOS!$C$33*DATOS!$C$24,3),0.05*DATOS!$C$25/10*MIN(DATOS!$C$50,6000)/(MIN(6,FLOOR(45/DATOS!$C$26,1),FLOOR((1*INDEX(TABLAS!$D$6:$D$14,MATCH("5/32 in",TABLAS!$B$6:$B$14,0)))*MIN(DATOS!$C$50,6000)/(BT39*DATOS!$C$26*MAX(ED39,0.001)),1))*DATOS!$C$26))),"1 alambre de 5/32"" por junta cada "&amp;MIN(6,FLOOR(45/DATOS!$C$26,1),FLOOR((1*INDEX(TABLAS!$D$6:$D$14,MATCH("5/32 in",TABLAS!$B$6:$B$14,0)))*MIN(DATOS!$C$50,6000)/(BT39*DATOS!$C$26*MAX(ED39,0.001)),1))&amp;" hilada(s) (p_h·f_yh = "&amp;TEXT(((1*INDEX(TABLAS!$D$6:$D$14,MATCH("5/32 in",TABLAS!$B$6:$B$14,0)))*MIN(DATOS!$C$50,6000)/(MAX(MIN(6,FLOOR(45/DATOS!$C$26,1),FLOOR((1*INDEX(TABLAS!$D$6:$D$14,MATCH("5/32 in",TABLAS!$B$6:$B$14,0)))*MIN(DATOS!$C$50,6000)/(BT39*DATOS!$C$26*MAX(ED39,0.001)),1)),1)*DATOS!$C$26*BT39)),"0.00")&amp;")","ninguna combinación de 1 o 2 alambres por junta queda entre el mínimo y el máximo: revisa con malla (6.5.4)"))))))))</f>
        <v/>
      </c>
      <c r="EF39" s="43" t="str">
        <f>IF(BI39&lt;&gt;"SÍ","",IF(AI39="SÍ",N(AK39)*N(AL39)^3/12,0))</f>
        <v/>
      </c>
      <c r="EG39" s="48" t="str">
        <f>IF(BI39&lt;&gt;"SÍ","",IF(AND(AI39="SÍ",N(AM39)&gt;0),MIN(1,F39/AM39),0))</f>
        <v/>
      </c>
      <c r="EH39" s="47" t="str">
        <f>IF(BI39&lt;&gt;"SÍ","",IF(AI39="SÍ",BP39*1000/(BT39*F39*100)*BT39*(EG39^4-4*EG39^3+8*EG39),0))</f>
        <v/>
      </c>
      <c r="EI39" s="48" t="str">
        <f>IF(BI39&lt;&gt;"SÍ","",IF(AND(AI39="SÍ",EH39&gt;0),EH39/(EH39+5*N(AN39)*10),0))</f>
        <v/>
      </c>
      <c r="EJ39" s="44" t="str">
        <f>IF(BI39&lt;&gt;"SÍ","",IF(AND(AI39="SÍ",EI39&gt;0,EF39&gt;0),(DATOS!$C$43*BT39*(AM39*100)^3/(DATOS!$C$53*EF39*EI39))^0.25,0))</f>
        <v/>
      </c>
      <c r="EK39" s="44" t="str">
        <f>IF(BI39&lt;&gt;"SÍ","",IF(AI39&lt;&gt;"SÍ",0,IF(N(AM39)&lt;=F39,1,IF(MIN(1,N(AO39)/((AM39-F39)/2))&lt;=0.5,0.7+0.6*MIN(1,N(AO39)/((AM39-F39)/2)),1.5-MIN(1,N(AO39)/((AM39-F39)/2))))))</f>
        <v/>
      </c>
      <c r="EL39" s="44" t="str">
        <f>IF(BI39&lt;&gt;"SÍ","",IF(AI39&lt;&gt;"SÍ",0,MAX(1,IF(EG39&gt;=1,(1.6*EJ39-3.9),IF(EG39&lt;0.9,((3.2*EJ39-7.8)*EK39),((3.2*EJ39-7.8)*EK39)+((1.6*EJ39-3.9)-((3.2*EJ39-7.8)*EK39))*(EG39-0.9)/0.1)))))</f>
        <v/>
      </c>
      <c r="EM39" s="47" t="str">
        <f>IF(BI39&lt;&gt;"SÍ","",IF(AI39="SÍ",EL39*BP39*1000/(BT39*F39*100),0))</f>
        <v/>
      </c>
      <c r="EN39" s="47" t="str">
        <f>IF(BI39&lt;&gt;"SÍ","",IF(AND(AI39="SÍ",N(AL39)&gt;0),AM39*100/AL39,0))</f>
        <v/>
      </c>
      <c r="EO39" s="47" t="str">
        <f>IF(BI39&lt;&gt;"SÍ","",IF(AI39="SÍ",(1/15*DATOS!$C$53*N(AK39)/MAX((IF(ISNUMBER(AP39),AP39,BP39/DATOS!$C$90)*1000/(BT39*F39*100)*BT39*(EG39^4-4*EG39^3+8*EG39))+5*N(AN39)/DATOS!$C$90*10,0.001))^(1/3),0))</f>
        <v/>
      </c>
      <c r="EP39" s="45" t="str">
        <f>IF(BI39&lt;&gt;"SÍ","",IF(AI39&lt;&gt;"SÍ","—",IF(OR(N(AK39)&lt;=0,N(AL39)&lt;=0,N(AM39)&lt;=0),"REVISAR: faltan b, h o L_v de la viga",IF(AND(EM39&lt;=DATOS!$C$87*DATOS!$C$33,EN39&lt;=14,N(AL39)&gt;=25,EN39&lt;=EO39),IF(BS39/F39&lt;0.6,"PENDIENTE: H/L &lt; 0.6, falta el análisis de interacción muro–viga (4.1.18.2.1); f_CM es estimado","CUMPLE"),"NO CUMPLE: "&amp;IF(EM39&gt;DATOS!$C$87*DATOS!$C$33,"f_CM &gt; F_R·f'm ","")&amp;IF(EN39&gt;14,"L_v/h_v &gt; 14 ","")&amp;IF(N(AL39)&lt;25,"h_v &lt; 25 cm ","")&amp;IF(EN39&gt;EO39,"flecha (4.1.18.3)","")))))</f>
        <v/>
      </c>
      <c r="EQ39" s="44" t="str">
        <f>IF(BI39&lt;&gt;"SÍ","",MAX(0,F39*BS39-(N(K39)*N(M39)+N(P39)*N(R39)+N(U39)*N(W39)+N(Z39)*N(AB39))-CK39*DATOS!$C$59/100*BS39))</f>
        <v/>
      </c>
      <c r="ER39" s="48" t="str">
        <f>IF(BI39&lt;&gt;"SÍ","",CK39*DATOS!$C$59*DATOS!$C$60/10000*BS39)</f>
        <v/>
      </c>
      <c r="ES39" s="47" t="str">
        <f>IF(BI39&lt;&gt;"SÍ","",CK39*(DATOS!$C$61*(BS39+0.6)*INDEX(TABLAS!$E$6:$E$14,MATCH(DATOS!$C$62,TABLAS!$B$6:$B$14,0))+(2*ROUNDUP(CN39/DATOS!$C$65,0)+ROUNDUP(MAX(0,BS39*100-2*CN39)/DATOS!$C$64,0))*((2*(DATOS!$C$60+DATOS!$C$59-4*(DATOS!$C$66-INDEX(TABLAS!$C$6:$C$14,MATCH(DATOS!$C$63,TABLAS!$B$6:$B$14,0))))+15)/100)*INDEX(TABLAS!$E$6:$E$14,MATCH(DATOS!$C$63,TABLAS!$B$6:$B$14,0))))</f>
        <v/>
      </c>
      <c r="ET39" s="47" t="str">
        <f>IF(BI39&lt;&gt;"SÍ","",IF(OR(AE39="VARILLA EN JUNTAS",AE39="ESCALERILLA"),INT(BS39*100/MAX(DK39,1))*IF(ISNUMBER(AF39),AF39,2)*CB39*INDEX(TABLAS!$E$6:$E$14,MATCH(IF(AG39&lt;&gt;"",AG39,DATOS!$C$73),TABLAS!$B$6:$B$14,0)),IF(AE39="MALLA",IF(ISNUMBER(AF39),AF39,1)*CB39*BS39*INDEX(TABLAS!$E$19:$E$22,MATCH(IF(AG39&lt;&gt;"",AG39,DATOS!$C$74),TABLAS!$B$19:$B$22,0)),0)))</f>
        <v/>
      </c>
      <c r="EU39" s="45" t="str">
        <f>IF(BI39&lt;&gt;"SÍ","",""&amp;IF(BJ39="NO ESTÁ EN PIER_FORCES","sin fuerzas en PIER_FORCES; ","")&amp;IF(BV39&lt;&gt;"CUMPLE","vanos; ","")&amp;IF(LEFT(CH39,2)="NO","espesor o esbeltez; ","")&amp;IF(CQ39&gt;1,"compresión; ","")&amp;IF(CX39&gt;1,"flexión; ","")&amp;IF(CB39&lt;=0,"sin tramos de muro (todos son machones menores que L mín.: diséñalos como columnas o baja L mín.); ",IF(EC39&gt;1,"cortante; ",""))&amp;IF(OR(LEFT(EA39,2)="NO",LEFT(EA39,5)="FALTA"),"refuerzo horizontal; ","")&amp;IF(OR(LEFT(EP39,2)="NO",LEFT(EP39,7)="REVISAR"),"muro sobre viga; ","")&amp;IF(LEFT(DATOS!$C$81,2)="NO","castillo típico; ","")&amp;IF(LEFT(DATOS!$C$82,2)="NO","dala típica; ","")&amp;IF(AND(BT39&lt;&gt;DATOS!$C$58,DATOS!$C$60&lt;BT39),"castillo más angosto que el muro; ",""))</f>
        <v/>
      </c>
      <c r="EV39" s="45" t="str">
        <f>IF(BI39&lt;&gt;"SÍ","",""&amp;IF(LEFT(EP39,9)="PENDIENTE","análisis muro–viga (H/L &lt; 0.6); ","")&amp;IF(BR39&gt;50,"V_u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39" s="51" t="str">
        <f>IF(BI39&lt;&gt;"SÍ","",IF(EU39&lt;&gt;"","NO CUMPLE: "&amp;LEFT(EU39,LEN(EU39)-2),IF(EV39&lt;&gt;"","CUMPLE — PENDIENTE: "&amp;LEFT(EV39,LEN(EV39)-2),"CUMPLE")))</f>
        <v/>
      </c>
      <c r="EX39" s="52" t="n"/>
    </row>
    <row r="40" ht="30" customHeight="1">
      <c r="A40" s="38" t="str">
        <f>IF(B40="","",ROW()-10)</f>
        <v/>
      </c>
      <c r="B40" s="28" t="n"/>
      <c r="C40" s="39" t="n"/>
      <c r="D40" s="39" t="n"/>
      <c r="E40" s="39" t="n"/>
      <c r="F40" s="40" t="n"/>
      <c r="G40" s="40" t="n"/>
      <c r="H40" s="41" t="n"/>
      <c r="I40" s="39" t="n"/>
      <c r="J40" s="40" t="n"/>
      <c r="K40" s="40" t="n"/>
      <c r="L40" s="40" t="n"/>
      <c r="M40" s="40" t="n"/>
      <c r="N40" s="39" t="n"/>
      <c r="O40" s="40" t="n"/>
      <c r="P40" s="40" t="n"/>
      <c r="Q40" s="40" t="n"/>
      <c r="R40" s="40" t="n"/>
      <c r="S40" s="39" t="n"/>
      <c r="T40" s="40" t="n"/>
      <c r="U40" s="40" t="n"/>
      <c r="V40" s="40" t="n"/>
      <c r="W40" s="40" t="n"/>
      <c r="X40" s="39" t="n"/>
      <c r="Y40" s="40" t="n"/>
      <c r="Z40" s="40" t="n"/>
      <c r="AA40" s="40" t="n"/>
      <c r="AB40" s="40" t="n"/>
      <c r="AC40" s="41" t="n"/>
      <c r="AD40" s="41" t="n"/>
      <c r="AE40" s="39" t="n"/>
      <c r="AF40" s="41" t="n"/>
      <c r="AG40" s="41" t="n"/>
      <c r="AH40" s="41" t="n"/>
      <c r="AI40" s="39" t="n"/>
      <c r="AJ40" s="39" t="n"/>
      <c r="AK40" s="41" t="n"/>
      <c r="AL40" s="41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2" t="str">
        <f>IF(B40="","",C40&amp;"|"&amp;B40)</f>
        <v/>
      </c>
      <c r="AY40" s="43" t="str">
        <f>IF(B40="","",COUNTIFS(PIER_FORCES!$O$9:$O$3008,30,PIER_FORCES!$P$9:$P$3008,1))</f>
        <v/>
      </c>
      <c r="AZ40" s="43" t="str">
        <f>IF(B40="","",COUNTIFS(PIER_FORCES!$O$9:$O$3008,30,PIER_FORCES!$P$9:$P$3008,2))</f>
        <v/>
      </c>
      <c r="BA40" s="44">
        <f>IF(N(AY40)=0,0,SUMPRODUCT(MAX((PIER_FORCES!$O$9:$O$3008=30)*(PIER_FORCES!$P$9:$P$3008=1)*PIER_FORCES!$R$9:$R$3008)))</f>
        <v>0</v>
      </c>
      <c r="BB40" s="44">
        <f>IF(N(AY40)=0,0,SUMPRODUCT(MAX((PIER_FORCES!$O$9:$O$3008=30)*(PIER_FORCES!$P$9:$P$3008=1)*PIER_FORCES!$S$9:$S$3008)))</f>
        <v>0</v>
      </c>
      <c r="BC40" s="44">
        <f>IF(N(AY40)=0,0,-SUMPRODUCT(MAX((PIER_FORCES!$O$9:$O$3008=30)*(PIER_FORCES!$P$9:$P$3008=1)*(-PIER_FORCES!$Q$9:$Q$3008)+(1-(PIER_FORCES!$O$9:$O$3008=30)*(PIER_FORCES!$P$9:$P$3008=1))*(-1E9))))</f>
        <v>0</v>
      </c>
      <c r="BD40" s="44">
        <f>IF(N(AY40)=0,0,SUMPRODUCT(MAX((PIER_FORCES!$O$9:$O$3008=30)*(PIER_FORCES!$P$9:$P$3008=1)*PIER_FORCES!$Q$9:$Q$3008+(1-(PIER_FORCES!$O$9:$O$3008=30)*(PIER_FORCES!$P$9:$P$3008=1))*(-1E9))))</f>
        <v>0</v>
      </c>
      <c r="BE40" s="44">
        <f>IF(N(AZ40)=0,BD40,SUMPRODUCT(MAX((PIER_FORCES!$O$9:$O$3008=30)*(PIER_FORCES!$P$9:$P$3008=2)*PIER_FORCES!$Q$9:$Q$3008+(1-(PIER_FORCES!$O$9:$O$3008=30)*(PIER_FORCES!$P$9:$P$3008=2))*(-1E9))))</f>
        <v>0</v>
      </c>
      <c r="BF40" s="44">
        <f>IF(N(AZ40)=0,0,SUMPRODUCT(MAX((PIER_FORCES!$O$9:$O$3008=30)*(PIER_FORCES!$P$9:$P$3008=2)*PIER_FORCES!$R$9:$R$3008)))</f>
        <v>0</v>
      </c>
      <c r="BG40" s="43">
        <f>IF(N(AY40)=0,0,SUMPRODUCT(MAX((PIER_FORCES!$O$9:$O$3008=30)*(PIER_FORCES!$P$9:$P$3008=1)*(ABS(PIER_FORCES!$R$9:$R$3008-BA40)&lt;0.000001)*PIER_FORCES!$T$9:$T$3008)))</f>
        <v>0</v>
      </c>
      <c r="BH40" s="45" t="str">
        <f>IF(N(BG40)=0,"",INDEX(PIER_FORCES!$D$9:$D$3008,BG40)&amp;" "&amp;INDEX(PIER_FORCES!$F$9:$F$3008,BG40)&amp;" / "&amp;INDEX(PIER_FORCES!$G$9:$G$3008,BG40))</f>
        <v/>
      </c>
      <c r="BI40" s="42" t="str">
        <f>IF(B40="","",IF(AND(C40&lt;&gt;"",OR(D40="X",D40="Y"),ISNUMBER(F40),N(F40)&gt;0),"SÍ","NO"))</f>
        <v/>
      </c>
      <c r="BJ40" s="42" t="str">
        <f>IF(BI40&lt;&gt;"SÍ","",IF(DATOS!$C$108="ETABS (PIER_FORCES)",IF(N(AY40)&gt;0,"ETABS","NO ESTÁ EN PIER_FORCES"),"CAPTURA"))</f>
        <v/>
      </c>
      <c r="BK40" s="46" t="str">
        <f>IF(BI40&lt;&gt;"SÍ","",IF(BJ40="ETABS",BA40,IF(BJ40="CAPTURA",N(AQ40),0)))</f>
        <v/>
      </c>
      <c r="BL40" s="46" t="str">
        <f>IF(BI40&lt;&gt;"SÍ","",IF(BJ40="ETABS",BB40,IF(BJ40="CAPTURA",N(AR40),0)))</f>
        <v/>
      </c>
      <c r="BM40" s="46" t="str">
        <f>IF(BI40&lt;&gt;"SÍ","",IF(BJ40="ETABS",BC40/DATOS!$C$89,IF(BJ40="CAPTURA",N(AS40),0)))</f>
        <v/>
      </c>
      <c r="BN40" s="44" t="str">
        <f>IF(BI40&lt;&gt;"SÍ","",IF(BJ40="ETABS",BC40,IF(BJ40="CAPTURA",IF(ISNUMBER(AU40),AU40,N(AS40)*DATOS!$C$89),0)))</f>
        <v/>
      </c>
      <c r="BO40" s="44" t="str">
        <f>IF(BI40&lt;&gt;"SÍ","",IF(BJ40="ETABS",MAX(BD40,BE40),IF(BJ40="CAPTURA",N(AT40),0)))</f>
        <v/>
      </c>
      <c r="BP40" s="44" t="str">
        <f>IF(BI40&lt;&gt;"SÍ","",IF(BJ40="ETABS",BE40,IF(BJ40="CAPTURA",IF(ISNUMBER(AV40),AV40,N(AT40)),0)))</f>
        <v/>
      </c>
      <c r="BQ40" s="44" t="str">
        <f>IF(BI40&lt;&gt;"SÍ","",IF(BJ40="ETABS",BF40,IF(BJ40="CAPTURA",N(AW40),0)))</f>
        <v/>
      </c>
      <c r="BR40" s="43" t="str">
        <f>IF(BI40&lt;&gt;"SÍ","",IF(BK40&gt;0,100*BQ40/BK40,0))</f>
        <v/>
      </c>
      <c r="BS40" s="44" t="str">
        <f>IF(BI40&lt;&gt;"SÍ","",IF(ISNUMBER(G40),G40,DATOS!$C$57))</f>
        <v/>
      </c>
      <c r="BT40" s="47" t="str">
        <f>IF(BI40&lt;&gt;"SÍ","",IF(ISNUMBER(H40),H40,DATOS!$C$58))</f>
        <v/>
      </c>
      <c r="BU40" s="43" t="str">
        <f>IF(BI40&lt;&gt;"SÍ","",IF(N(K40)&gt;0,1+IF(N(P40)&gt;0,1+IF(N(U40)&gt;0,1+IF(N(Z40)&gt;0,1,0),0),0),0))</f>
        <v/>
      </c>
      <c r="BV40" s="45" t="str">
        <f>IF(BI40&lt;&gt;"SÍ","",IF(AND(OR(BU40&lt;1,AND(N(J40)&gt;=0-0.001,J40+K40&lt;=F40+0.001,N(L40)&gt;=0,N(L40)+N(M40)&lt;=BS40+0.001,N(M40)&gt;0,OR(I40="PUERTA",I40="VENTANA"))),OR(BU40&lt;2,AND(N(O40)&gt;=(J40+K40)-0.001,O40+P40&lt;=F40+0.001,N(Q40)&gt;=0,N(Q40)+N(R40)&lt;=BS40+0.001,N(R40)&gt;0,OR(N40="PUERTA",N40="VENTANA"))),OR(BU40&lt;3,AND(N(T40)&gt;=(O40+P40)-0.001,T40+U40&lt;=F40+0.001,N(V40)&gt;=0,N(V40)+N(W40)&lt;=BS40+0.001,N(W40)&gt;0,OR(S40="PUERTA",S40="VENTANA"))),OR(BU40&lt;4,AND(N(Y40)&gt;=(T40+U40)-0.001,Y40+Z40&lt;=F40+0.001,N(AA40)&gt;=0,N(AA40)+N(AB40)&lt;=BS40+0.001,N(AB40)&gt;0,OR(X40="PUERTA",X40="VENTANA"))),(N(K40)&gt;0)+(N(P40)&gt;0)+(N(U40)&gt;0)+(N(Z40)&gt;0)=BU40),"CUMPLE","REVISAR VANOS: tipo, orden de izquierda a derecha, que quepan en L y en H"))</f>
        <v/>
      </c>
      <c r="BW40" s="44" t="str">
        <f>IF(BI40&lt;&gt;"SÍ","",MAX(0,IF(BU40&gt;=1,N(J40),F40)))</f>
        <v/>
      </c>
      <c r="BX40" s="44" t="str">
        <f>IF(BI40&lt;&gt;"SÍ","",MAX(0,IF(BU40&gt;=2,N(O40)-(N(J40)+N(K40)),IF(BU40=1,F40-(N(J40)+N(K40)),0))))</f>
        <v/>
      </c>
      <c r="BY40" s="44" t="str">
        <f>IF(BI40&lt;&gt;"SÍ","",MAX(0,IF(BU40&gt;=3,N(T40)-(N(O40)+N(P40)),IF(BU40=2,F40-(N(O40)+N(P40)),0))))</f>
        <v/>
      </c>
      <c r="BZ40" s="44" t="str">
        <f>IF(BI40&lt;&gt;"SÍ","",MAX(0,IF(BU40&gt;=4,N(Y40)-(N(T40)+N(U40)),IF(BU40=3,F40-(N(T40)+N(U40)),0))))</f>
        <v/>
      </c>
      <c r="CA40" s="44" t="str">
        <f>IF(BI40&lt;&gt;"SÍ","",MAX(0,IF(BU40=4,F40-(N(Y40)+N(Z40)),0)))</f>
        <v/>
      </c>
      <c r="CB40" s="46" t="str">
        <f>IF(BI40&lt;&gt;"SÍ","",SUMPRODUCT((BW40:CA40&gt;=DATOS!$C$72-0.0001)*BW40:CA40))</f>
        <v/>
      </c>
      <c r="CC40" s="43" t="str">
        <f>IF(BI40&lt;&gt;"SÍ","",SUMPRODUCT(--(BW40:CA40&gt;=DATOS!$C$72-0.0001)))</f>
        <v/>
      </c>
      <c r="CD40" s="44" t="str">
        <f>IF(BI40&lt;&gt;"SÍ","",SUM(BW40:CA40))</f>
        <v/>
      </c>
      <c r="CE40" s="43" t="str">
        <f>IF(BI40&lt;&gt;"SÍ","",BT40*CB40*100)</f>
        <v/>
      </c>
      <c r="CF40" s="43" t="str">
        <f>IF(BI40&lt;&gt;"SÍ","",BT40*CD40*100)</f>
        <v/>
      </c>
      <c r="CG40" s="47" t="str">
        <f>IF(BI40&lt;&gt;"SÍ","",BS40*100/BT40)</f>
        <v/>
      </c>
      <c r="CH40" s="45" t="str">
        <f>IF(BI40&lt;&gt;"SÍ","",IF(AND(OR(DATOS!$C$14="TIPO II",BT40&gt;=12),CG40&lt;=25),"CUMPLE","NO CUMPLE: "&amp;IF(AND(DATOS!$C$14="TIPO I",BT40&lt;12),"t &lt; 12 cm ","")&amp;IF(CG40&gt;25,"H/t &gt; 25","")))</f>
        <v/>
      </c>
      <c r="CI40" s="44" t="str">
        <f>IF(BI40&lt;&gt;"SÍ","",MIN(1.5*BS40,4))</f>
        <v/>
      </c>
      <c r="CJ40" s="43" t="str">
        <f>IF(BI40&lt;&gt;"SÍ","",SUMPRODUCT((BW40:CA40&gt;=2*DATOS!$C$59/100)*INT((BW40:CA40-DATOS!$C$59/100)/CI40-0.000001)*((BW40:CA40-DATOS!$C$59/100)&gt;0)))</f>
        <v/>
      </c>
      <c r="CK40" s="43" t="str">
        <f>IF(BI40&lt;&gt;"SÍ","",SUMPRODUCT((BW40:CA40&gt;0.0001)*1+(BW40:CA40&gt;=2*DATOS!$C$59/100)*1)+CJ40)</f>
        <v/>
      </c>
      <c r="CL40" s="44" t="str">
        <f>IF(BI40&lt;&gt;"SÍ","",IF(ISNUMBER(AC40),AC40,DATOS!$C$61)*INDEX(TABLAS!$D$6:$D$14,MATCH(IF(AD40&lt;&gt;"",AD40,DATOS!$C$62),TABLAS!$B$6:$B$14,0)))</f>
        <v/>
      </c>
      <c r="CM40" s="44" t="str">
        <f>IF(BI40&lt;&gt;"SÍ","",CK40*DATOS!$C$78+IF(CK40&gt;=2,2,CK40)*(CL40-DATOS!$C$78))</f>
        <v/>
      </c>
      <c r="CN40" s="47" t="str">
        <f>IF(BI40&lt;&gt;"SÍ","",MAX(BS40*100/6,40))</f>
        <v/>
      </c>
      <c r="CO40" s="48" t="str">
        <f>IF(BI40&lt;&gt;"SÍ","",IF(CG40&lt;=20,IF(E40="INTERIOR",0.7,0.6),MIN(IF(E40="INTERIOR",0.7,0.6),(1-2/24)*(1-(IF(E40="INTERIOR",0.8,1)*CG40/30)^2))))</f>
        <v/>
      </c>
      <c r="CP40" s="47" t="str">
        <f>IF(BI40&lt;&gt;"SÍ","",DATOS!$C$87*CO40*(DATOS!$C$33*CF40+CM40*DATOS!$C$48)/1000)</f>
        <v/>
      </c>
      <c r="CQ40" s="46" t="str">
        <f>IF(BI40&lt;&gt;"SÍ","",IF(CP40&gt;0,BO40/CP40,99))</f>
        <v/>
      </c>
      <c r="CR40" s="47" t="str">
        <f>IF(BI40&lt;&gt;"SÍ","",MAX(0,F40*100-DATOS!$C$59))</f>
        <v/>
      </c>
      <c r="CS40" s="47" t="str">
        <f>IF(BI40&lt;&gt;"SÍ","",MAX(0,F40*100-DATOS!$C$59/2))</f>
        <v/>
      </c>
      <c r="CT40" s="44" t="str">
        <f>IF(BI40&lt;&gt;"SÍ","",CL40*DATOS!$C$48*CR40/100000)</f>
        <v/>
      </c>
      <c r="CU40" s="44" t="str">
        <f>IF(BI40&lt;&gt;"SÍ","",IF(BN40&lt;0,0.8*CT40*MAX(0,1+BN40/(0.8*CM40*DATOS!$C$48/1000)),IF(BN40&lt;=CP40/3,0.8*CT40+0.3*BN40*CS40/100,(1.5*0.6*CT40+0.15*CP40*CS40/100)*MAX(0,1-BN40/CP40))))</f>
        <v/>
      </c>
      <c r="CV40" s="44" t="str">
        <f>IF(BI40&lt;&gt;"SÍ","",IF(BO40&lt;0,0.8*CT40*MAX(0,1+BO40/(0.8*CM40*DATOS!$C$48/1000)),IF(BO40&lt;=CP40/3,0.8*CT40+0.3*BO40*CS40/100,(1.5*0.6*CT40+0.15*CP40*CS40/100)*MAX(0,1-BO40/CP40))))</f>
        <v/>
      </c>
      <c r="CW40" s="46" t="str">
        <f>IF(BI40&lt;&gt;"SÍ","",MAX(0,MIN(CU40,CV40)))</f>
        <v/>
      </c>
      <c r="CX40" s="49" t="str">
        <f>IF(BI40&lt;&gt;"SÍ","",IF(CW40&gt;0,BL40/CW40,IF(BL40&gt;0,99,0)))</f>
        <v/>
      </c>
      <c r="CY40" s="44" t="str">
        <f>IF(BI40&lt;&gt;"SÍ","",IF(BW40&gt;0,MAX(1,MIN(1.5,1.5-0.625*(BS40/BW40-0.2))),0))</f>
        <v/>
      </c>
      <c r="CZ40" s="44" t="str">
        <f>IF(BI40&lt;&gt;"SÍ","",IF(BX40&gt;0,MAX(1,MIN(1.5,1.5-0.625*(BS40/BX40-0.2))),0))</f>
        <v/>
      </c>
      <c r="DA40" s="44" t="str">
        <f>IF(BI40&lt;&gt;"SÍ","",IF(BY40&gt;0,MAX(1,MIN(1.5,1.5-0.625*(BS40/BY40-0.2))),0))</f>
        <v/>
      </c>
      <c r="DB40" s="44" t="str">
        <f>IF(BI40&lt;&gt;"SÍ","",IF(BZ40&gt;0,MAX(1,MIN(1.5,1.5-0.625*(BS40/BZ40-0.2))),0))</f>
        <v/>
      </c>
      <c r="DC40" s="44" t="str">
        <f>IF(BI40&lt;&gt;"SÍ","",IF(CA40&gt;0,MAX(1,MIN(1.5,1.5-0.625*(BS40/CA40-0.2))),0))</f>
        <v/>
      </c>
      <c r="DD40" s="44" t="str">
        <f>IF(BI40&lt;&gt;"SÍ","",IF(OR(BW40&lt;DATOS!$C$72-0.0001,BM40&lt;0,CB40&lt;=0),0,MIN(DATOS!$C$86*(0.5*DATOS!$C$41*BT40*BW40*100+0.3*BM40*BW40/CB40*1000)*CY40,1.5*DATOS!$C$86*DATOS!$C$41*BT40*BW40*100*CY40)/1000))</f>
        <v/>
      </c>
      <c r="DE40" s="44" t="str">
        <f>IF(BI40&lt;&gt;"SÍ","",IF(OR(BX40&lt;DATOS!$C$72-0.0001,BM40&lt;0,CB40&lt;=0),0,MIN(DATOS!$C$86*(0.5*DATOS!$C$41*BT40*BX40*100+0.3*BM40*BX40/CB40*1000)*CZ40,1.5*DATOS!$C$86*DATOS!$C$41*BT40*BX40*100*CZ40)/1000))</f>
        <v/>
      </c>
      <c r="DF40" s="44" t="str">
        <f>IF(BI40&lt;&gt;"SÍ","",IF(OR(BY40&lt;DATOS!$C$72-0.0001,BM40&lt;0,CB40&lt;=0),0,MIN(DATOS!$C$86*(0.5*DATOS!$C$41*BT40*BY40*100+0.3*BM40*BY40/CB40*1000)*DA40,1.5*DATOS!$C$86*DATOS!$C$41*BT40*BY40*100*DA40)/1000))</f>
        <v/>
      </c>
      <c r="DG40" s="44" t="str">
        <f>IF(BI40&lt;&gt;"SÍ","",IF(OR(BZ40&lt;DATOS!$C$72-0.0001,BM40&lt;0,CB40&lt;=0),0,MIN(DATOS!$C$86*(0.5*DATOS!$C$41*BT40*BZ40*100+0.3*BM40*BZ40/CB40*1000)*DB40,1.5*DATOS!$C$86*DATOS!$C$41*BT40*BZ40*100*DB40)/1000))</f>
        <v/>
      </c>
      <c r="DH40" s="44" t="str">
        <f>IF(BI40&lt;&gt;"SÍ","",IF(OR(CA40&lt;DATOS!$C$72-0.0001,BM40&lt;0,CB40&lt;=0),0,MIN(DATOS!$C$86*(0.5*DATOS!$C$41*BT40*CA40*100+0.3*BM40*CA40/CB40*1000)*DC40,1.5*DATOS!$C$86*DATOS!$C$41*BT40*CA40*100*DC40)/1000))</f>
        <v/>
      </c>
      <c r="DI40" s="46" t="str">
        <f>IF(BI40&lt;&gt;"SÍ","",SUM(DD40:DH40))</f>
        <v/>
      </c>
      <c r="DJ40" s="48" t="str">
        <f>IF(BI40&lt;&gt;"SÍ","",IF(AE40="VARILLA EN JUNTAS",IF(ISNUMBER(AF40),AF40,2)*INDEX(TABLAS!$D$6:$D$14,MATCH(IF(AG40&lt;&gt;"",AG40,DATOS!$C$73),TABLAS!$B$6:$B$14,0)),IF(AE40="MALLA",IF(ISNUMBER(AF40),AF40,1)*INDEX(TABLAS!$D$19:$D$22,MATCH(IF(AG40&lt;&gt;"",AG40,DATOS!$C$74),TABLAS!$B$19:$B$22,0))/100,IF(AE40="ESCALERILLA",IF(ISNUMBER(AF40),AF40,2)*INDEX(TABLAS!$D$6:$D$14,MATCH(IF(AG40&lt;&gt;"",AG40,DATOS!$C$73),TABLAS!$B$6:$B$14,0)),0))))</f>
        <v/>
      </c>
      <c r="DK40" s="47" t="str">
        <f>IF(BI40&lt;&gt;"SÍ","",IF(OR(AE40="VARILLA EN JUNTAS",AE40="ESCALERILLA"),IF(ISNUMBER(AH40),AH40,2)*DATOS!$C$26,IF(AE40="MALLA",1,0)))</f>
        <v/>
      </c>
      <c r="DL40" s="44" t="str">
        <f>IF(BI40&lt;&gt;"SÍ","",IF(DK40&gt;0,DJ40/(DK40*BT40)*MIN(DATOS!$C$50,IF(AE40="MALLA",5000,6000)),0))</f>
        <v/>
      </c>
      <c r="DM40" s="44" t="str">
        <f>IF(BI40&lt;&gt;"SÍ","",IF(AE40="ESCALERILLA",0,MIN(DL40,0.1*DATOS!$C$33*DATOS!$C$24)))</f>
        <v/>
      </c>
      <c r="DN40" s="48" t="str">
        <f>IF(BI40&lt;&gt;"SÍ","",IF(AE40="MALLA",0.5,IF(DATOS!$C$33&lt;=60,0.55,IF(DATOS!$C$33&gt;=90,0.75,0.55+0.2*(DATOS!$C$33-60)/30))))</f>
        <v/>
      </c>
      <c r="DO40" s="48" t="str">
        <f>IF(BI40&lt;&gt;"SÍ","",1-DATOS!$C$91*DM40)</f>
        <v/>
      </c>
      <c r="DP40" s="44" t="str">
        <f>IF(BI40&lt;&gt;"SÍ","",IF(BW40&gt;0,IF(BS40/BW40&lt;=1,1.3,IF(BS40/BW40&gt;=1.5,1,1.3-0.6*(BS40/BW40-1))),0))</f>
        <v/>
      </c>
      <c r="DQ40" s="44" t="str">
        <f>IF(BI40&lt;&gt;"SÍ","",IF(BX40&gt;0,IF(BS40/BX40&lt;=1,1.3,IF(BS40/BX40&gt;=1.5,1,1.3-0.6*(BS40/BX40-1))),0))</f>
        <v/>
      </c>
      <c r="DR40" s="44" t="str">
        <f>IF(BI40&lt;&gt;"SÍ","",IF(BY40&gt;0,IF(BS40/BY40&lt;=1,1.3,IF(BS40/BY40&gt;=1.5,1,1.3-0.6*(BS40/BY40-1))),0))</f>
        <v/>
      </c>
      <c r="DS40" s="44" t="str">
        <f>IF(BI40&lt;&gt;"SÍ","",IF(BZ40&gt;0,IF(BS40/BZ40&lt;=1,1.3,IF(BS40/BZ40&gt;=1.5,1,1.3-0.6*(BS40/BZ40-1))),0))</f>
        <v/>
      </c>
      <c r="DT40" s="44" t="str">
        <f>IF(BI40&lt;&gt;"SÍ","",IF(CA40&gt;0,IF(BS40/CA40&lt;=1,1.3,IF(BS40/CA40&gt;=1.5,1,1.3-0.6*(BS40/CA40-1))),0))</f>
        <v/>
      </c>
      <c r="DU40" s="44" t="str">
        <f>IF(BI40&lt;&gt;"SÍ","",IF(OR(DM40&lt;=0,BW40&lt;DATOS!$C$72-0.0001),0,DATOS!$C$86*MAX(0,IF(BM40&gt;=0,DD40/(DATOS!$C$86*DM40*BT40*BW40*100/1000)*(DP40*DO40-1)+DN40,DO40*DN40))*DM40*BT40*BW40*100/1000))</f>
        <v/>
      </c>
      <c r="DV40" s="44" t="str">
        <f>IF(BI40&lt;&gt;"SÍ","",IF(OR(DM40&lt;=0,BX40&lt;DATOS!$C$72-0.0001),0,DATOS!$C$86*MAX(0,IF(BM40&gt;=0,DE40/(DATOS!$C$86*DM40*BT40*BX40*100/1000)*(DQ40*DO40-1)+DN40,DO40*DN40))*DM40*BT40*BX40*100/1000))</f>
        <v/>
      </c>
      <c r="DW40" s="44" t="str">
        <f>IF(BI40&lt;&gt;"SÍ","",IF(OR(DM40&lt;=0,BY40&lt;DATOS!$C$72-0.0001),0,DATOS!$C$86*MAX(0,IF(BM40&gt;=0,DF40/(DATOS!$C$86*DM40*BT40*BY40*100/1000)*(DR40*DO40-1)+DN40,DO40*DN40))*DM40*BT40*BY40*100/1000))</f>
        <v/>
      </c>
      <c r="DX40" s="44" t="str">
        <f>IF(BI40&lt;&gt;"SÍ","",IF(OR(DM40&lt;=0,BZ40&lt;DATOS!$C$72-0.0001),0,DATOS!$C$86*MAX(0,IF(BM40&gt;=0,DG40/(DATOS!$C$86*DM40*BT40*BZ40*100/1000)*(DS40*DO40-1)+DN40,DO40*DN40))*DM40*BT40*BZ40*100/1000))</f>
        <v/>
      </c>
      <c r="DY40" s="44" t="str">
        <f>IF(BI40&lt;&gt;"SÍ","",IF(OR(DM40&lt;=0,CA40&lt;DATOS!$C$72-0.0001),0,DATOS!$C$86*MAX(0,IF(BM40&gt;=0,DH40/(DATOS!$C$86*DM40*BT40*CA40*100/1000)*(DT40*DO40-1)+DN40,DO40*DN40))*DM40*BT40*CA40*100/1000))</f>
        <v/>
      </c>
      <c r="DZ40" s="46" t="str">
        <f>IF(BI40&lt;&gt;"SÍ","",SUM(DU40:DY40))</f>
        <v/>
      </c>
      <c r="EA40" s="45" t="str">
        <f>IF(BI40&lt;&gt;"SÍ","",IF(OR(AE40="",AE40="NINGUNO"),IF(DATOS!$C$41&gt;=10,"FALTA refuerzo horizontal: v'm ≥ 10 kg/cm² (6.5.2.2)",IF(AND(BM40&lt;0,BK40&gt;0),"FALTA: P en tensión, el refuerzo debe tomar todo el cortante (6.5.1.3)","—")),IF(AE40="ESCALERILLA","NO CUENTA: la escalerilla no se permite para cortante por sismo (6.5.3.1.2)",IF(AE40="MALLA",IF(AND(DL40&gt;=2.5,DL40&lt;=MAX(0.15*DATOS!$C$33*DATOS!$C$24,2.5)),"CUMPLE","NO CUMPLE: "&amp;IF(DL40&lt;2.5,"p_h·f_yh &lt; 2.5 (6.5.4.2.4)","p_h·f_yh &gt; 0.15·f'm·f_an (6.5.4.2.4)")),IF(AND(DK40&lt;=MIN(6*DATOS!$C$26,45),DL40&gt;=3,DL40&lt;=MIN(MAX(0.15*DATOS!$C$33*DATOS!$C$24,3),0.05*DATOS!$C$25/10*MIN(DATOS!$C$50,6000)/DK40),INDEX(TABLAS!$C$6:$C$14,MATCH(IF(AG40&lt;&gt;"",AG40,DATOS!$C$73),TABLAS!$B$6:$B$14,0))&gt;=0.35,INDEX(TABLAS!$C$6:$C$14,MATCH(IF(AG40&lt;&gt;"",AG40,DATOS!$C$73),TABLAS!$B$6:$B$14,0))&lt;=0.75*DATOS!$C$25/10),"CUMPLE","NO CUMPLE: "&amp;IF(DK40&gt;MIN(6*DATOS!$C$26,45),"s_h &gt; 6 hiladas o 45 cm (6.5.3.2.1) ","")&amp;IF(DL40&lt;3,"p_h·f_yh &lt; 3 (6.5.3.3.1) ","")&amp;IF(DL40&gt;MIN(MAX(0.15*DATOS!$C$33*DATOS!$C$24,3),0.05*DATOS!$C$25/10*MIN(DATOS!$C$50,6000)/DK40),"p_h·f_yh &gt; máximo (6.5.3.3.2) ","")&amp;IF(OR(INDEX(TABLAS!$C$6:$C$14,MATCH(IF(AG40&lt;&gt;"",AG40,DATOS!$C$73),TABLAS!$B$6:$B$14,0))&lt;0.35,INDEX(TABLAS!$C$6:$C$14,MATCH(IF(AG40&lt;&gt;"",AG40,DATOS!$C$73),TABLAS!$B$6:$B$14,0))&gt;0.75*DATOS!$C$25/10),"diámetro fuera de 3.5 mm a 0.75·h_j (4.2.2.2.1)",""))))))</f>
        <v/>
      </c>
      <c r="EB40" s="46" t="str">
        <f>IF(BI40&lt;&gt;"SÍ","",DI40+DZ40)</f>
        <v/>
      </c>
      <c r="EC40" s="50" t="str">
        <f>IF(BI40&lt;&gt;"SÍ","",IF(EB40&gt;0,BK40/EB40,IF(BK40&gt;0,99,0)))</f>
        <v/>
      </c>
      <c r="ED40" s="47" t="str">
        <f>IF(BI40&lt;&gt;"SÍ","",IF(CE40&lt;=0,-1,IF(BK40&lt;=DI40,0,IF(IF(BM40&gt;=0,IF((DATOS!$C$86*IF(AE40="MALLA",0.5,IF(DATOS!$C$33&lt;=60,0.55,IF(DATOS!$C$33&gt;=90,0.75,0.55+0.2*(DATOS!$C$33-60)/30)))*CE40/1000-DATOS!$C$91*SUMPRODUCT(DP40:DT40,DD40:DH40))&lt;=0,1E9,(BK40-SUMPRODUCT(DP40:DT40,DD40:DH40))/(DATOS!$C$86*IF(AE40="MALLA",0.5,IF(DATOS!$C$33&lt;=60,0.55,IF(DATOS!$C$33&gt;=90,0.75,0.55+0.2*(DATOS!$C$33-60)/30)))*CE40/1000-DATOS!$C$91*SUMPRODUCT(DP40:DT40,DD40:DH40))),IF((1-4*DATOS!$C$91*BK40*1000/(DATOS!$C$86*IF(AE40="MALLA",0.5,IF(DATOS!$C$33&lt;=60,0.55,IF(DATOS!$C$33&gt;=90,0.75,0.55+0.2*(DATOS!$C$33-60)/30)))*MAX(CE40,1)))&lt;0,1E9,(1-SQRT((1-4*DATOS!$C$91*BK40*1000/(DATOS!$C$86*IF(AE40="MALLA",0.5,IF(DATOS!$C$33&lt;=60,0.55,IF(DATOS!$C$33&gt;=90,0.75,0.55+0.2*(DATOS!$C$33-60)/30)))*MAX(CE40,1)))))/(2*DATOS!$C$91)))&gt;0.1*DATOS!$C$33*DATOS!$C$24+0.000001,-1,MAX(IF(AE40="MALLA",2.5,3),IF(BM40&gt;=0,IF((DATOS!$C$86*IF(AE40="MALLA",0.5,IF(DATOS!$C$33&lt;=60,0.55,IF(DATOS!$C$33&gt;=90,0.75,0.55+0.2*(DATOS!$C$33-60)/30)))*CE40/1000-DATOS!$C$91*SUMPRODUCT(DP40:DT40,DD40:DH40))&lt;=0,1E9,(BK40-SUMPRODUCT(DP40:DT40,DD40:DH40))/(DATOS!$C$86*IF(AE40="MALLA",0.5,IF(DATOS!$C$33&lt;=60,0.55,IF(DATOS!$C$33&gt;=90,0.75,0.55+0.2*(DATOS!$C$33-60)/30)))*CE40/1000-DATOS!$C$91*SUMPRODUCT(DP40:DT40,DD40:DH40))),IF((1-4*DATOS!$C$91*BK40*1000/(DATOS!$C$86*IF(AE40="MALLA",0.5,IF(DATOS!$C$33&lt;=60,0.55,IF(DATOS!$C$33&gt;=90,0.75,0.55+0.2*(DATOS!$C$33-60)/30)))*MAX(CE40,1)))&lt;0,1E9,(1-SQRT((1-4*DATOS!$C$91*BK40*1000/(DATOS!$C$86*IF(AE40="MALLA",0.5,IF(DATOS!$C$33&lt;=60,0.55,IF(DATOS!$C$33&gt;=90,0.75,0.55+0.2*(DATOS!$C$33-60)/30)))*MAX(CE40,1)))))/(2*DATOS!$C$91))))))))</f>
        <v/>
      </c>
      <c r="EE40" s="45" t="str">
        <f>IF(BI40&lt;&gt;"SÍ","",IF(ED40=0,"NO REQUIERE: V_mR ≥ V_u",IF(ED40&lt;0,"NO ALCANZA con refuerzo horizontal (haría falta más de 0.1·f'm·f_an efectivo): sube v'm con ensayes, el espesor o la longitud del muro",IF(AND(OR(AE40="VARILLA EN JUNTAS",AE40="MALLA"),LEFT(EA40,6)="CUMPLE",EC40&lt;=1),"YA LO TIENE (pide p_h·f_yh ≥ "&amp;TEXT(ED40,"0.0")&amp;" kg/cm²)","p_h·f_yh ≥ "&amp;TEXT(ED40,"0.0")&amp;" kg/cm² → "&amp;IF(AND(MIN(6,FLOOR(45/DATOS!$C$26,1),FLOOR((2*INDEX(TABLAS!$D$6:$D$14,MATCH("3/16 in",TABLAS!$B$6:$B$14,0)))*MIN(DATOS!$C$50,6000)/(BT40*DATOS!$C$26*MAX(ED40,0.001)),1))&gt;=1,((2*INDEX(TABLAS!$D$6:$D$14,MATCH("3/16 in",TABLAS!$B$6:$B$14,0)))*MIN(DATOS!$C$50,6000)/(MAX(MIN(6,FLOOR(45/DATOS!$C$26,1),FLOOR((2*INDEX(TABLAS!$D$6:$D$14,MATCH("3/16 in",TABLAS!$B$6:$B$14,0)))*MIN(DATOS!$C$50,6000)/(BT40*DATOS!$C$26*MAX(ED40,0.001)),1)),1)*DATOS!$C$26*BT40))&lt;=MIN(MAX(0.15*DATOS!$C$33*DATOS!$C$24,3),0.05*DATOS!$C$25/10*MIN(DATOS!$C$50,6000)/(MIN(6,FLOOR(45/DATOS!$C$26,1),FLOOR((2*INDEX(TABLAS!$D$6:$D$14,MATCH("3/16 in",TABLAS!$B$6:$B$14,0)))*MIN(DATOS!$C$50,6000)/(BT40*DATOS!$C$26*MAX(ED40,0.001)),1))*DATOS!$C$26))),"2 alambres de 3/16"" por junta cada "&amp;MIN(6,FLOOR(45/DATOS!$C$26,1),FLOOR((2*INDEX(TABLAS!$D$6:$D$14,MATCH("3/16 in",TABLAS!$B$6:$B$14,0)))*MIN(DATOS!$C$50,6000)/(BT40*DATOS!$C$26*MAX(ED40,0.001)),1))&amp;" hilada(s) (p_h·f_yh = "&amp;TEXT(((2*INDEX(TABLAS!$D$6:$D$14,MATCH("3/16 in",TABLAS!$B$6:$B$14,0)))*MIN(DATOS!$C$50,6000)/(MAX(MIN(6,FLOOR(45/DATOS!$C$26,1),FLOOR((2*INDEX(TABLAS!$D$6:$D$14,MATCH("3/16 in",TABLAS!$B$6:$B$14,0)))*MIN(DATOS!$C$50,6000)/(BT40*DATOS!$C$26*MAX(ED40,0.001)),1)),1)*DATOS!$C$26*BT40)),"0.00")&amp;")",IF(AND(MIN(6,FLOOR(45/DATOS!$C$26,1),FLOOR((2*INDEX(TABLAS!$D$6:$D$14,MATCH("5/32 in",TABLAS!$B$6:$B$14,0)))*MIN(DATOS!$C$50,6000)/(BT40*DATOS!$C$26*MAX(ED40,0.001)),1))&gt;=1,((2*INDEX(TABLAS!$D$6:$D$14,MATCH("5/32 in",TABLAS!$B$6:$B$14,0)))*MIN(DATOS!$C$50,6000)/(MAX(MIN(6,FLOOR(45/DATOS!$C$26,1),FLOOR((2*INDEX(TABLAS!$D$6:$D$14,MATCH("5/32 in",TABLAS!$B$6:$B$14,0)))*MIN(DATOS!$C$50,6000)/(BT40*DATOS!$C$26*MAX(ED40,0.001)),1)),1)*DATOS!$C$26*BT40))&lt;=MIN(MAX(0.15*DATOS!$C$33*DATOS!$C$24,3),0.05*DATOS!$C$25/10*MIN(DATOS!$C$50,6000)/(MIN(6,FLOOR(45/DATOS!$C$26,1),FLOOR((2*INDEX(TABLAS!$D$6:$D$14,MATCH("5/32 in",TABLAS!$B$6:$B$14,0)))*MIN(DATOS!$C$50,6000)/(BT40*DATOS!$C$26*MAX(ED40,0.001)),1))*DATOS!$C$26))),"2 alambres de 5/32"" por junta cada "&amp;MIN(6,FLOOR(45/DATOS!$C$26,1),FLOOR((2*INDEX(TABLAS!$D$6:$D$14,MATCH("5/32 in",TABLAS!$B$6:$B$14,0)))*MIN(DATOS!$C$50,6000)/(BT40*DATOS!$C$26*MAX(ED40,0.001)),1))&amp;" hilada(s) (p_h·f_yh = "&amp;TEXT(((2*INDEX(TABLAS!$D$6:$D$14,MATCH("5/32 in",TABLAS!$B$6:$B$14,0)))*MIN(DATOS!$C$50,6000)/(MAX(MIN(6,FLOOR(45/DATOS!$C$26,1),FLOOR((2*INDEX(TABLAS!$D$6:$D$14,MATCH("5/32 in",TABLAS!$B$6:$B$14,0)))*MIN(DATOS!$C$50,6000)/(BT40*DATOS!$C$26*MAX(ED40,0.001)),1)),1)*DATOS!$C$26*BT40)),"0.00")&amp;")",IF(AND(MIN(6,FLOOR(45/DATOS!$C$26,1),FLOOR((1*INDEX(TABLAS!$D$6:$D$14,MATCH("3/16 in",TABLAS!$B$6:$B$14,0)))*MIN(DATOS!$C$50,6000)/(BT40*DATOS!$C$26*MAX(ED40,0.001)),1))&gt;=1,((1*INDEX(TABLAS!$D$6:$D$14,MATCH("3/16 in",TABLAS!$B$6:$B$14,0)))*MIN(DATOS!$C$50,6000)/(MAX(MIN(6,FLOOR(45/DATOS!$C$26,1),FLOOR((1*INDEX(TABLAS!$D$6:$D$14,MATCH("3/16 in",TABLAS!$B$6:$B$14,0)))*MIN(DATOS!$C$50,6000)/(BT40*DATOS!$C$26*MAX(ED40,0.001)),1)),1)*DATOS!$C$26*BT40))&lt;=MIN(MAX(0.15*DATOS!$C$33*DATOS!$C$24,3),0.05*DATOS!$C$25/10*MIN(DATOS!$C$50,6000)/(MIN(6,FLOOR(45/DATOS!$C$26,1),FLOOR((1*INDEX(TABLAS!$D$6:$D$14,MATCH("3/16 in",TABLAS!$B$6:$B$14,0)))*MIN(DATOS!$C$50,6000)/(BT40*DATOS!$C$26*MAX(ED40,0.001)),1))*DATOS!$C$26))),"1 alambre de 3/16"" por junta cada "&amp;MIN(6,FLOOR(45/DATOS!$C$26,1),FLOOR((1*INDEX(TABLAS!$D$6:$D$14,MATCH("3/16 in",TABLAS!$B$6:$B$14,0)))*MIN(DATOS!$C$50,6000)/(BT40*DATOS!$C$26*MAX(ED40,0.001)),1))&amp;" hilada(s) (p_h·f_yh = "&amp;TEXT(((1*INDEX(TABLAS!$D$6:$D$14,MATCH("3/16 in",TABLAS!$B$6:$B$14,0)))*MIN(DATOS!$C$50,6000)/(MAX(MIN(6,FLOOR(45/DATOS!$C$26,1),FLOOR((1*INDEX(TABLAS!$D$6:$D$14,MATCH("3/16 in",TABLAS!$B$6:$B$14,0)))*MIN(DATOS!$C$50,6000)/(BT40*DATOS!$C$26*MAX(ED40,0.001)),1)),1)*DATOS!$C$26*BT40)),"0.00")&amp;")",IF(AND(MIN(6,FLOOR(45/DATOS!$C$26,1),FLOOR((1*INDEX(TABLAS!$D$6:$D$14,MATCH("5/32 in",TABLAS!$B$6:$B$14,0)))*MIN(DATOS!$C$50,6000)/(BT40*DATOS!$C$26*MAX(ED40,0.001)),1))&gt;=1,((1*INDEX(TABLAS!$D$6:$D$14,MATCH("5/32 in",TABLAS!$B$6:$B$14,0)))*MIN(DATOS!$C$50,6000)/(MAX(MIN(6,FLOOR(45/DATOS!$C$26,1),FLOOR((1*INDEX(TABLAS!$D$6:$D$14,MATCH("5/32 in",TABLAS!$B$6:$B$14,0)))*MIN(DATOS!$C$50,6000)/(BT40*DATOS!$C$26*MAX(ED40,0.001)),1)),1)*DATOS!$C$26*BT40))&lt;=MIN(MAX(0.15*DATOS!$C$33*DATOS!$C$24,3),0.05*DATOS!$C$25/10*MIN(DATOS!$C$50,6000)/(MIN(6,FLOOR(45/DATOS!$C$26,1),FLOOR((1*INDEX(TABLAS!$D$6:$D$14,MATCH("5/32 in",TABLAS!$B$6:$B$14,0)))*MIN(DATOS!$C$50,6000)/(BT40*DATOS!$C$26*MAX(ED40,0.001)),1))*DATOS!$C$26))),"1 alambre de 5/32"" por junta cada "&amp;MIN(6,FLOOR(45/DATOS!$C$26,1),FLOOR((1*INDEX(TABLAS!$D$6:$D$14,MATCH("5/32 in",TABLAS!$B$6:$B$14,0)))*MIN(DATOS!$C$50,6000)/(BT40*DATOS!$C$26*MAX(ED40,0.001)),1))&amp;" hilada(s) (p_h·f_yh = "&amp;TEXT(((1*INDEX(TABLAS!$D$6:$D$14,MATCH("5/32 in",TABLAS!$B$6:$B$14,0)))*MIN(DATOS!$C$50,6000)/(MAX(MIN(6,FLOOR(45/DATOS!$C$26,1),FLOOR((1*INDEX(TABLAS!$D$6:$D$14,MATCH("5/32 in",TABLAS!$B$6:$B$14,0)))*MIN(DATOS!$C$50,6000)/(BT40*DATOS!$C$26*MAX(ED40,0.001)),1)),1)*DATOS!$C$26*BT40)),"0.00")&amp;")","ninguna combinación de 1 o 2 alambres por junta queda entre el mínimo y el máximo: revisa con malla (6.5.4)"))))))))</f>
        <v/>
      </c>
      <c r="EF40" s="43" t="str">
        <f>IF(BI40&lt;&gt;"SÍ","",IF(AI40="SÍ",N(AK40)*N(AL40)^3/12,0))</f>
        <v/>
      </c>
      <c r="EG40" s="48" t="str">
        <f>IF(BI40&lt;&gt;"SÍ","",IF(AND(AI40="SÍ",N(AM40)&gt;0),MIN(1,F40/AM40),0))</f>
        <v/>
      </c>
      <c r="EH40" s="47" t="str">
        <f>IF(BI40&lt;&gt;"SÍ","",IF(AI40="SÍ",BP40*1000/(BT40*F40*100)*BT40*(EG40^4-4*EG40^3+8*EG40),0))</f>
        <v/>
      </c>
      <c r="EI40" s="48" t="str">
        <f>IF(BI40&lt;&gt;"SÍ","",IF(AND(AI40="SÍ",EH40&gt;0),EH40/(EH40+5*N(AN40)*10),0))</f>
        <v/>
      </c>
      <c r="EJ40" s="44" t="str">
        <f>IF(BI40&lt;&gt;"SÍ","",IF(AND(AI40="SÍ",EI40&gt;0,EF40&gt;0),(DATOS!$C$43*BT40*(AM40*100)^3/(DATOS!$C$53*EF40*EI40))^0.25,0))</f>
        <v/>
      </c>
      <c r="EK40" s="44" t="str">
        <f>IF(BI40&lt;&gt;"SÍ","",IF(AI40&lt;&gt;"SÍ",0,IF(N(AM40)&lt;=F40,1,IF(MIN(1,N(AO40)/((AM40-F40)/2))&lt;=0.5,0.7+0.6*MIN(1,N(AO40)/((AM40-F40)/2)),1.5-MIN(1,N(AO40)/((AM40-F40)/2))))))</f>
        <v/>
      </c>
      <c r="EL40" s="44" t="str">
        <f>IF(BI40&lt;&gt;"SÍ","",IF(AI40&lt;&gt;"SÍ",0,MAX(1,IF(EG40&gt;=1,(1.6*EJ40-3.9),IF(EG40&lt;0.9,((3.2*EJ40-7.8)*EK40),((3.2*EJ40-7.8)*EK40)+((1.6*EJ40-3.9)-((3.2*EJ40-7.8)*EK40))*(EG40-0.9)/0.1)))))</f>
        <v/>
      </c>
      <c r="EM40" s="47" t="str">
        <f>IF(BI40&lt;&gt;"SÍ","",IF(AI40="SÍ",EL40*BP40*1000/(BT40*F40*100),0))</f>
        <v/>
      </c>
      <c r="EN40" s="47" t="str">
        <f>IF(BI40&lt;&gt;"SÍ","",IF(AND(AI40="SÍ",N(AL40)&gt;0),AM40*100/AL40,0))</f>
        <v/>
      </c>
      <c r="EO40" s="47" t="str">
        <f>IF(BI40&lt;&gt;"SÍ","",IF(AI40="SÍ",(1/15*DATOS!$C$53*N(AK40)/MAX((IF(ISNUMBER(AP40),AP40,BP40/DATOS!$C$90)*1000/(BT40*F40*100)*BT40*(EG40^4-4*EG40^3+8*EG40))+5*N(AN40)/DATOS!$C$90*10,0.001))^(1/3),0))</f>
        <v/>
      </c>
      <c r="EP40" s="45" t="str">
        <f>IF(BI40&lt;&gt;"SÍ","",IF(AI40&lt;&gt;"SÍ","—",IF(OR(N(AK40)&lt;=0,N(AL40)&lt;=0,N(AM40)&lt;=0),"REVISAR: faltan b, h o L_v de la viga",IF(AND(EM40&lt;=DATOS!$C$87*DATOS!$C$33,EN40&lt;=14,N(AL40)&gt;=25,EN40&lt;=EO40),IF(BS40/F40&lt;0.6,"PENDIENTE: H/L &lt; 0.6, falta el análisis de interacción muro–viga (4.1.18.2.1); f_CM es estimado","CUMPLE"),"NO CUMPLE: "&amp;IF(EM40&gt;DATOS!$C$87*DATOS!$C$33,"f_CM &gt; F_R·f'm ","")&amp;IF(EN40&gt;14,"L_v/h_v &gt; 14 ","")&amp;IF(N(AL40)&lt;25,"h_v &lt; 25 cm ","")&amp;IF(EN40&gt;EO40,"flecha (4.1.18.3)","")))))</f>
        <v/>
      </c>
      <c r="EQ40" s="44" t="str">
        <f>IF(BI40&lt;&gt;"SÍ","",MAX(0,F40*BS40-(N(K40)*N(M40)+N(P40)*N(R40)+N(U40)*N(W40)+N(Z40)*N(AB40))-CK40*DATOS!$C$59/100*BS40))</f>
        <v/>
      </c>
      <c r="ER40" s="48" t="str">
        <f>IF(BI40&lt;&gt;"SÍ","",CK40*DATOS!$C$59*DATOS!$C$60/10000*BS40)</f>
        <v/>
      </c>
      <c r="ES40" s="47" t="str">
        <f>IF(BI40&lt;&gt;"SÍ","",CK40*(DATOS!$C$61*(BS40+0.6)*INDEX(TABLAS!$E$6:$E$14,MATCH(DATOS!$C$62,TABLAS!$B$6:$B$14,0))+(2*ROUNDUP(CN40/DATOS!$C$65,0)+ROUNDUP(MAX(0,BS40*100-2*CN40)/DATOS!$C$64,0))*((2*(DATOS!$C$60+DATOS!$C$59-4*(DATOS!$C$66-INDEX(TABLAS!$C$6:$C$14,MATCH(DATOS!$C$63,TABLAS!$B$6:$B$14,0))))+15)/100)*INDEX(TABLAS!$E$6:$E$14,MATCH(DATOS!$C$63,TABLAS!$B$6:$B$14,0))))</f>
        <v/>
      </c>
      <c r="ET40" s="47" t="str">
        <f>IF(BI40&lt;&gt;"SÍ","",IF(OR(AE40="VARILLA EN JUNTAS",AE40="ESCALERILLA"),INT(BS40*100/MAX(DK40,1))*IF(ISNUMBER(AF40),AF40,2)*CB40*INDEX(TABLAS!$E$6:$E$14,MATCH(IF(AG40&lt;&gt;"",AG40,DATOS!$C$73),TABLAS!$B$6:$B$14,0)),IF(AE40="MALLA",IF(ISNUMBER(AF40),AF40,1)*CB40*BS40*INDEX(TABLAS!$E$19:$E$22,MATCH(IF(AG40&lt;&gt;"",AG40,DATOS!$C$74),TABLAS!$B$19:$B$22,0)),0)))</f>
        <v/>
      </c>
      <c r="EU40" s="45" t="str">
        <f>IF(BI40&lt;&gt;"SÍ","",""&amp;IF(BJ40="NO ESTÁ EN PIER_FORCES","sin fuerzas en PIER_FORCES; ","")&amp;IF(BV40&lt;&gt;"CUMPLE","vanos; ","")&amp;IF(LEFT(CH40,2)="NO","espesor o esbeltez; ","")&amp;IF(CQ40&gt;1,"compresión; ","")&amp;IF(CX40&gt;1,"flexión; ","")&amp;IF(CB40&lt;=0,"sin tramos de muro (todos son machones menores que L mín.: diséñalos como columnas o baja L mín.); ",IF(EC40&gt;1,"cortante; ",""))&amp;IF(OR(LEFT(EA40,2)="NO",LEFT(EA40,5)="FALTA"),"refuerzo horizontal; ","")&amp;IF(OR(LEFT(EP40,2)="NO",LEFT(EP40,7)="REVISAR"),"muro sobre viga; ","")&amp;IF(LEFT(DATOS!$C$81,2)="NO","castillo típico; ","")&amp;IF(LEFT(DATOS!$C$82,2)="NO","dala típica; ","")&amp;IF(AND(BT40&lt;&gt;DATOS!$C$58,DATOS!$C$60&lt;BT40),"castillo más angosto que el muro; ",""))</f>
        <v/>
      </c>
      <c r="EV40" s="45" t="str">
        <f>IF(BI40&lt;&gt;"SÍ","",""&amp;IF(LEFT(EP40,9)="PENDIENTE","análisis muro–viga (H/L &lt; 0.6); ","")&amp;IF(BR40&gt;50,"V_u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0" s="51" t="str">
        <f>IF(BI40&lt;&gt;"SÍ","",IF(EU40&lt;&gt;"","NO CUMPLE: "&amp;LEFT(EU40,LEN(EU40)-2),IF(EV40&lt;&gt;"","CUMPLE — PENDIENTE: "&amp;LEFT(EV40,LEN(EV40)-2),"CUMPLE")))</f>
        <v/>
      </c>
      <c r="EX40" s="52" t="n"/>
    </row>
    <row r="41" ht="30" customHeight="1">
      <c r="A41" s="38" t="str">
        <f>IF(B41="","",ROW()-10)</f>
        <v/>
      </c>
      <c r="B41" s="28" t="n"/>
      <c r="C41" s="39" t="n"/>
      <c r="D41" s="39" t="n"/>
      <c r="E41" s="39" t="n"/>
      <c r="F41" s="40" t="n"/>
      <c r="G41" s="40" t="n"/>
      <c r="H41" s="41" t="n"/>
      <c r="I41" s="39" t="n"/>
      <c r="J41" s="40" t="n"/>
      <c r="K41" s="40" t="n"/>
      <c r="L41" s="40" t="n"/>
      <c r="M41" s="40" t="n"/>
      <c r="N41" s="39" t="n"/>
      <c r="O41" s="40" t="n"/>
      <c r="P41" s="40" t="n"/>
      <c r="Q41" s="40" t="n"/>
      <c r="R41" s="40" t="n"/>
      <c r="S41" s="39" t="n"/>
      <c r="T41" s="40" t="n"/>
      <c r="U41" s="40" t="n"/>
      <c r="V41" s="40" t="n"/>
      <c r="W41" s="40" t="n"/>
      <c r="X41" s="39" t="n"/>
      <c r="Y41" s="40" t="n"/>
      <c r="Z41" s="40" t="n"/>
      <c r="AA41" s="40" t="n"/>
      <c r="AB41" s="40" t="n"/>
      <c r="AC41" s="41" t="n"/>
      <c r="AD41" s="41" t="n"/>
      <c r="AE41" s="39" t="n"/>
      <c r="AF41" s="41" t="n"/>
      <c r="AG41" s="41" t="n"/>
      <c r="AH41" s="41" t="n"/>
      <c r="AI41" s="39" t="n"/>
      <c r="AJ41" s="39" t="n"/>
      <c r="AK41" s="41" t="n"/>
      <c r="AL41" s="41" t="n"/>
      <c r="AM41" s="40" t="n"/>
      <c r="AN41" s="40" t="n"/>
      <c r="AO41" s="40" t="n"/>
      <c r="AP41" s="40" t="n"/>
      <c r="AQ41" s="40" t="n"/>
      <c r="AR41" s="40" t="n"/>
      <c r="AS41" s="40" t="n"/>
      <c r="AT41" s="40" t="n"/>
      <c r="AU41" s="40" t="n"/>
      <c r="AV41" s="40" t="n"/>
      <c r="AW41" s="40" t="n"/>
      <c r="AX41" s="42" t="str">
        <f>IF(B41="","",C41&amp;"|"&amp;B41)</f>
        <v/>
      </c>
      <c r="AY41" s="43" t="str">
        <f>IF(B41="","",COUNTIFS(PIER_FORCES!$O$9:$O$3008,31,PIER_FORCES!$P$9:$P$3008,1))</f>
        <v/>
      </c>
      <c r="AZ41" s="43" t="str">
        <f>IF(B41="","",COUNTIFS(PIER_FORCES!$O$9:$O$3008,31,PIER_FORCES!$P$9:$P$3008,2))</f>
        <v/>
      </c>
      <c r="BA41" s="44">
        <f>IF(N(AY41)=0,0,SUMPRODUCT(MAX((PIER_FORCES!$O$9:$O$3008=31)*(PIER_FORCES!$P$9:$P$3008=1)*PIER_FORCES!$R$9:$R$3008)))</f>
        <v>0</v>
      </c>
      <c r="BB41" s="44">
        <f>IF(N(AY41)=0,0,SUMPRODUCT(MAX((PIER_FORCES!$O$9:$O$3008=31)*(PIER_FORCES!$P$9:$P$3008=1)*PIER_FORCES!$S$9:$S$3008)))</f>
        <v>0</v>
      </c>
      <c r="BC41" s="44">
        <f>IF(N(AY41)=0,0,-SUMPRODUCT(MAX((PIER_FORCES!$O$9:$O$3008=31)*(PIER_FORCES!$P$9:$P$3008=1)*(-PIER_FORCES!$Q$9:$Q$3008)+(1-(PIER_FORCES!$O$9:$O$3008=31)*(PIER_FORCES!$P$9:$P$3008=1))*(-1E9))))</f>
        <v>0</v>
      </c>
      <c r="BD41" s="44">
        <f>IF(N(AY41)=0,0,SUMPRODUCT(MAX((PIER_FORCES!$O$9:$O$3008=31)*(PIER_FORCES!$P$9:$P$3008=1)*PIER_FORCES!$Q$9:$Q$3008+(1-(PIER_FORCES!$O$9:$O$3008=31)*(PIER_FORCES!$P$9:$P$3008=1))*(-1E9))))</f>
        <v>0</v>
      </c>
      <c r="BE41" s="44">
        <f>IF(N(AZ41)=0,BD41,SUMPRODUCT(MAX((PIER_FORCES!$O$9:$O$3008=31)*(PIER_FORCES!$P$9:$P$3008=2)*PIER_FORCES!$Q$9:$Q$3008+(1-(PIER_FORCES!$O$9:$O$3008=31)*(PIER_FORCES!$P$9:$P$3008=2))*(-1E9))))</f>
        <v>0</v>
      </c>
      <c r="BF41" s="44">
        <f>IF(N(AZ41)=0,0,SUMPRODUCT(MAX((PIER_FORCES!$O$9:$O$3008=31)*(PIER_FORCES!$P$9:$P$3008=2)*PIER_FORCES!$R$9:$R$3008)))</f>
        <v>0</v>
      </c>
      <c r="BG41" s="43">
        <f>IF(N(AY41)=0,0,SUMPRODUCT(MAX((PIER_FORCES!$O$9:$O$3008=31)*(PIER_FORCES!$P$9:$P$3008=1)*(ABS(PIER_FORCES!$R$9:$R$3008-BA41)&lt;0.000001)*PIER_FORCES!$T$9:$T$3008)))</f>
        <v>0</v>
      </c>
      <c r="BH41" s="45" t="str">
        <f>IF(N(BG41)=0,"",INDEX(PIER_FORCES!$D$9:$D$3008,BG41)&amp;" "&amp;INDEX(PIER_FORCES!$F$9:$F$3008,BG41)&amp;" / "&amp;INDEX(PIER_FORCES!$G$9:$G$3008,BG41))</f>
        <v/>
      </c>
      <c r="BI41" s="42" t="str">
        <f>IF(B41="","",IF(AND(C41&lt;&gt;"",OR(D41="X",D41="Y"),ISNUMBER(F41),N(F41)&gt;0),"SÍ","NO"))</f>
        <v/>
      </c>
      <c r="BJ41" s="42" t="str">
        <f>IF(BI41&lt;&gt;"SÍ","",IF(DATOS!$C$108="ETABS (PIER_FORCES)",IF(N(AY41)&gt;0,"ETABS","NO ESTÁ EN PIER_FORCES"),"CAPTURA"))</f>
        <v/>
      </c>
      <c r="BK41" s="46" t="str">
        <f>IF(BI41&lt;&gt;"SÍ","",IF(BJ41="ETABS",BA41,IF(BJ41="CAPTURA",N(AQ41),0)))</f>
        <v/>
      </c>
      <c r="BL41" s="46" t="str">
        <f>IF(BI41&lt;&gt;"SÍ","",IF(BJ41="ETABS",BB41,IF(BJ41="CAPTURA",N(AR41),0)))</f>
        <v/>
      </c>
      <c r="BM41" s="46" t="str">
        <f>IF(BI41&lt;&gt;"SÍ","",IF(BJ41="ETABS",BC41/DATOS!$C$89,IF(BJ41="CAPTURA",N(AS41),0)))</f>
        <v/>
      </c>
      <c r="BN41" s="44" t="str">
        <f>IF(BI41&lt;&gt;"SÍ","",IF(BJ41="ETABS",BC41,IF(BJ41="CAPTURA",IF(ISNUMBER(AU41),AU41,N(AS41)*DATOS!$C$89),0)))</f>
        <v/>
      </c>
      <c r="BO41" s="44" t="str">
        <f>IF(BI41&lt;&gt;"SÍ","",IF(BJ41="ETABS",MAX(BD41,BE41),IF(BJ41="CAPTURA",N(AT41),0)))</f>
        <v/>
      </c>
      <c r="BP41" s="44" t="str">
        <f>IF(BI41&lt;&gt;"SÍ","",IF(BJ41="ETABS",BE41,IF(BJ41="CAPTURA",IF(ISNUMBER(AV41),AV41,N(AT41)),0)))</f>
        <v/>
      </c>
      <c r="BQ41" s="44" t="str">
        <f>IF(BI41&lt;&gt;"SÍ","",IF(BJ41="ETABS",BF41,IF(BJ41="CAPTURA",N(AW41),0)))</f>
        <v/>
      </c>
      <c r="BR41" s="43" t="str">
        <f>IF(BI41&lt;&gt;"SÍ","",IF(BK41&gt;0,100*BQ41/BK41,0))</f>
        <v/>
      </c>
      <c r="BS41" s="44" t="str">
        <f>IF(BI41&lt;&gt;"SÍ","",IF(ISNUMBER(G41),G41,DATOS!$C$57))</f>
        <v/>
      </c>
      <c r="BT41" s="47" t="str">
        <f>IF(BI41&lt;&gt;"SÍ","",IF(ISNUMBER(H41),H41,DATOS!$C$58))</f>
        <v/>
      </c>
      <c r="BU41" s="43" t="str">
        <f>IF(BI41&lt;&gt;"SÍ","",IF(N(K41)&gt;0,1+IF(N(P41)&gt;0,1+IF(N(U41)&gt;0,1+IF(N(Z41)&gt;0,1,0),0),0),0))</f>
        <v/>
      </c>
      <c r="BV41" s="45" t="str">
        <f>IF(BI41&lt;&gt;"SÍ","",IF(AND(OR(BU41&lt;1,AND(N(J41)&gt;=0-0.001,J41+K41&lt;=F41+0.001,N(L41)&gt;=0,N(L41)+N(M41)&lt;=BS41+0.001,N(M41)&gt;0,OR(I41="PUERTA",I41="VENTANA"))),OR(BU41&lt;2,AND(N(O41)&gt;=(J41+K41)-0.001,O41+P41&lt;=F41+0.001,N(Q41)&gt;=0,N(Q41)+N(R41)&lt;=BS41+0.001,N(R41)&gt;0,OR(N41="PUERTA",N41="VENTANA"))),OR(BU41&lt;3,AND(N(T41)&gt;=(O41+P41)-0.001,T41+U41&lt;=F41+0.001,N(V41)&gt;=0,N(V41)+N(W41)&lt;=BS41+0.001,N(W41)&gt;0,OR(S41="PUERTA",S41="VENTANA"))),OR(BU41&lt;4,AND(N(Y41)&gt;=(T41+U41)-0.001,Y41+Z41&lt;=F41+0.001,N(AA41)&gt;=0,N(AA41)+N(AB41)&lt;=BS41+0.001,N(AB41)&gt;0,OR(X41="PUERTA",X41="VENTANA"))),(N(K41)&gt;0)+(N(P41)&gt;0)+(N(U41)&gt;0)+(N(Z41)&gt;0)=BU41),"CUMPLE","REVISAR VANOS: tipo, orden de izquierda a derecha, que quepan en L y en H"))</f>
        <v/>
      </c>
      <c r="BW41" s="44" t="str">
        <f>IF(BI41&lt;&gt;"SÍ","",MAX(0,IF(BU41&gt;=1,N(J41),F41)))</f>
        <v/>
      </c>
      <c r="BX41" s="44" t="str">
        <f>IF(BI41&lt;&gt;"SÍ","",MAX(0,IF(BU41&gt;=2,N(O41)-(N(J41)+N(K41)),IF(BU41=1,F41-(N(J41)+N(K41)),0))))</f>
        <v/>
      </c>
      <c r="BY41" s="44" t="str">
        <f>IF(BI41&lt;&gt;"SÍ","",MAX(0,IF(BU41&gt;=3,N(T41)-(N(O41)+N(P41)),IF(BU41=2,F41-(N(O41)+N(P41)),0))))</f>
        <v/>
      </c>
      <c r="BZ41" s="44" t="str">
        <f>IF(BI41&lt;&gt;"SÍ","",MAX(0,IF(BU41&gt;=4,N(Y41)-(N(T41)+N(U41)),IF(BU41=3,F41-(N(T41)+N(U41)),0))))</f>
        <v/>
      </c>
      <c r="CA41" s="44" t="str">
        <f>IF(BI41&lt;&gt;"SÍ","",MAX(0,IF(BU41=4,F41-(N(Y41)+N(Z41)),0)))</f>
        <v/>
      </c>
      <c r="CB41" s="46" t="str">
        <f>IF(BI41&lt;&gt;"SÍ","",SUMPRODUCT((BW41:CA41&gt;=DATOS!$C$72-0.0001)*BW41:CA41))</f>
        <v/>
      </c>
      <c r="CC41" s="43" t="str">
        <f>IF(BI41&lt;&gt;"SÍ","",SUMPRODUCT(--(BW41:CA41&gt;=DATOS!$C$72-0.0001)))</f>
        <v/>
      </c>
      <c r="CD41" s="44" t="str">
        <f>IF(BI41&lt;&gt;"SÍ","",SUM(BW41:CA41))</f>
        <v/>
      </c>
      <c r="CE41" s="43" t="str">
        <f>IF(BI41&lt;&gt;"SÍ","",BT41*CB41*100)</f>
        <v/>
      </c>
      <c r="CF41" s="43" t="str">
        <f>IF(BI41&lt;&gt;"SÍ","",BT41*CD41*100)</f>
        <v/>
      </c>
      <c r="CG41" s="47" t="str">
        <f>IF(BI41&lt;&gt;"SÍ","",BS41*100/BT41)</f>
        <v/>
      </c>
      <c r="CH41" s="45" t="str">
        <f>IF(BI41&lt;&gt;"SÍ","",IF(AND(OR(DATOS!$C$14="TIPO II",BT41&gt;=12),CG41&lt;=25),"CUMPLE","NO CUMPLE: "&amp;IF(AND(DATOS!$C$14="TIPO I",BT41&lt;12),"t &lt; 12 cm ","")&amp;IF(CG41&gt;25,"H/t &gt; 25","")))</f>
        <v/>
      </c>
      <c r="CI41" s="44" t="str">
        <f>IF(BI41&lt;&gt;"SÍ","",MIN(1.5*BS41,4))</f>
        <v/>
      </c>
      <c r="CJ41" s="43" t="str">
        <f>IF(BI41&lt;&gt;"SÍ","",SUMPRODUCT((BW41:CA41&gt;=2*DATOS!$C$59/100)*INT((BW41:CA41-DATOS!$C$59/100)/CI41-0.000001)*((BW41:CA41-DATOS!$C$59/100)&gt;0)))</f>
        <v/>
      </c>
      <c r="CK41" s="43" t="str">
        <f>IF(BI41&lt;&gt;"SÍ","",SUMPRODUCT((BW41:CA41&gt;0.0001)*1+(BW41:CA41&gt;=2*DATOS!$C$59/100)*1)+CJ41)</f>
        <v/>
      </c>
      <c r="CL41" s="44" t="str">
        <f>IF(BI41&lt;&gt;"SÍ","",IF(ISNUMBER(AC41),AC41,DATOS!$C$61)*INDEX(TABLAS!$D$6:$D$14,MATCH(IF(AD41&lt;&gt;"",AD41,DATOS!$C$62),TABLAS!$B$6:$B$14,0)))</f>
        <v/>
      </c>
      <c r="CM41" s="44" t="str">
        <f>IF(BI41&lt;&gt;"SÍ","",CK41*DATOS!$C$78+IF(CK41&gt;=2,2,CK41)*(CL41-DATOS!$C$78))</f>
        <v/>
      </c>
      <c r="CN41" s="47" t="str">
        <f>IF(BI41&lt;&gt;"SÍ","",MAX(BS41*100/6,40))</f>
        <v/>
      </c>
      <c r="CO41" s="48" t="str">
        <f>IF(BI41&lt;&gt;"SÍ","",IF(CG41&lt;=20,IF(E41="INTERIOR",0.7,0.6),MIN(IF(E41="INTERIOR",0.7,0.6),(1-2/24)*(1-(IF(E41="INTERIOR",0.8,1)*CG41/30)^2))))</f>
        <v/>
      </c>
      <c r="CP41" s="47" t="str">
        <f>IF(BI41&lt;&gt;"SÍ","",DATOS!$C$87*CO41*(DATOS!$C$33*CF41+CM41*DATOS!$C$48)/1000)</f>
        <v/>
      </c>
      <c r="CQ41" s="46" t="str">
        <f>IF(BI41&lt;&gt;"SÍ","",IF(CP41&gt;0,BO41/CP41,99))</f>
        <v/>
      </c>
      <c r="CR41" s="47" t="str">
        <f>IF(BI41&lt;&gt;"SÍ","",MAX(0,F41*100-DATOS!$C$59))</f>
        <v/>
      </c>
      <c r="CS41" s="47" t="str">
        <f>IF(BI41&lt;&gt;"SÍ","",MAX(0,F41*100-DATOS!$C$59/2))</f>
        <v/>
      </c>
      <c r="CT41" s="44" t="str">
        <f>IF(BI41&lt;&gt;"SÍ","",CL41*DATOS!$C$48*CR41/100000)</f>
        <v/>
      </c>
      <c r="CU41" s="44" t="str">
        <f>IF(BI41&lt;&gt;"SÍ","",IF(BN41&lt;0,0.8*CT41*MAX(0,1+BN41/(0.8*CM41*DATOS!$C$48/1000)),IF(BN41&lt;=CP41/3,0.8*CT41+0.3*BN41*CS41/100,(1.5*0.6*CT41+0.15*CP41*CS41/100)*MAX(0,1-BN41/CP41))))</f>
        <v/>
      </c>
      <c r="CV41" s="44" t="str">
        <f>IF(BI41&lt;&gt;"SÍ","",IF(BO41&lt;0,0.8*CT41*MAX(0,1+BO41/(0.8*CM41*DATOS!$C$48/1000)),IF(BO41&lt;=CP41/3,0.8*CT41+0.3*BO41*CS41/100,(1.5*0.6*CT41+0.15*CP41*CS41/100)*MAX(0,1-BO41/CP41))))</f>
        <v/>
      </c>
      <c r="CW41" s="46" t="str">
        <f>IF(BI41&lt;&gt;"SÍ","",MAX(0,MIN(CU41,CV41)))</f>
        <v/>
      </c>
      <c r="CX41" s="49" t="str">
        <f>IF(BI41&lt;&gt;"SÍ","",IF(CW41&gt;0,BL41/CW41,IF(BL41&gt;0,99,0)))</f>
        <v/>
      </c>
      <c r="CY41" s="44" t="str">
        <f>IF(BI41&lt;&gt;"SÍ","",IF(BW41&gt;0,MAX(1,MIN(1.5,1.5-0.625*(BS41/BW41-0.2))),0))</f>
        <v/>
      </c>
      <c r="CZ41" s="44" t="str">
        <f>IF(BI41&lt;&gt;"SÍ","",IF(BX41&gt;0,MAX(1,MIN(1.5,1.5-0.625*(BS41/BX41-0.2))),0))</f>
        <v/>
      </c>
      <c r="DA41" s="44" t="str">
        <f>IF(BI41&lt;&gt;"SÍ","",IF(BY41&gt;0,MAX(1,MIN(1.5,1.5-0.625*(BS41/BY41-0.2))),0))</f>
        <v/>
      </c>
      <c r="DB41" s="44" t="str">
        <f>IF(BI41&lt;&gt;"SÍ","",IF(BZ41&gt;0,MAX(1,MIN(1.5,1.5-0.625*(BS41/BZ41-0.2))),0))</f>
        <v/>
      </c>
      <c r="DC41" s="44" t="str">
        <f>IF(BI41&lt;&gt;"SÍ","",IF(CA41&gt;0,MAX(1,MIN(1.5,1.5-0.625*(BS41/CA41-0.2))),0))</f>
        <v/>
      </c>
      <c r="DD41" s="44" t="str">
        <f>IF(BI41&lt;&gt;"SÍ","",IF(OR(BW41&lt;DATOS!$C$72-0.0001,BM41&lt;0,CB41&lt;=0),0,MIN(DATOS!$C$86*(0.5*DATOS!$C$41*BT41*BW41*100+0.3*BM41*BW41/CB41*1000)*CY41,1.5*DATOS!$C$86*DATOS!$C$41*BT41*BW41*100*CY41)/1000))</f>
        <v/>
      </c>
      <c r="DE41" s="44" t="str">
        <f>IF(BI41&lt;&gt;"SÍ","",IF(OR(BX41&lt;DATOS!$C$72-0.0001,BM41&lt;0,CB41&lt;=0),0,MIN(DATOS!$C$86*(0.5*DATOS!$C$41*BT41*BX41*100+0.3*BM41*BX41/CB41*1000)*CZ41,1.5*DATOS!$C$86*DATOS!$C$41*BT41*BX41*100*CZ41)/1000))</f>
        <v/>
      </c>
      <c r="DF41" s="44" t="str">
        <f>IF(BI41&lt;&gt;"SÍ","",IF(OR(BY41&lt;DATOS!$C$72-0.0001,BM41&lt;0,CB41&lt;=0),0,MIN(DATOS!$C$86*(0.5*DATOS!$C$41*BT41*BY41*100+0.3*BM41*BY41/CB41*1000)*DA41,1.5*DATOS!$C$86*DATOS!$C$41*BT41*BY41*100*DA41)/1000))</f>
        <v/>
      </c>
      <c r="DG41" s="44" t="str">
        <f>IF(BI41&lt;&gt;"SÍ","",IF(OR(BZ41&lt;DATOS!$C$72-0.0001,BM41&lt;0,CB41&lt;=0),0,MIN(DATOS!$C$86*(0.5*DATOS!$C$41*BT41*BZ41*100+0.3*BM41*BZ41/CB41*1000)*DB41,1.5*DATOS!$C$86*DATOS!$C$41*BT41*BZ41*100*DB41)/1000))</f>
        <v/>
      </c>
      <c r="DH41" s="44" t="str">
        <f>IF(BI41&lt;&gt;"SÍ","",IF(OR(CA41&lt;DATOS!$C$72-0.0001,BM41&lt;0,CB41&lt;=0),0,MIN(DATOS!$C$86*(0.5*DATOS!$C$41*BT41*CA41*100+0.3*BM41*CA41/CB41*1000)*DC41,1.5*DATOS!$C$86*DATOS!$C$41*BT41*CA41*100*DC41)/1000))</f>
        <v/>
      </c>
      <c r="DI41" s="46" t="str">
        <f>IF(BI41&lt;&gt;"SÍ","",SUM(DD41:DH41))</f>
        <v/>
      </c>
      <c r="DJ41" s="48" t="str">
        <f>IF(BI41&lt;&gt;"SÍ","",IF(AE41="VARILLA EN JUNTAS",IF(ISNUMBER(AF41),AF41,2)*INDEX(TABLAS!$D$6:$D$14,MATCH(IF(AG41&lt;&gt;"",AG41,DATOS!$C$73),TABLAS!$B$6:$B$14,0)),IF(AE41="MALLA",IF(ISNUMBER(AF41),AF41,1)*INDEX(TABLAS!$D$19:$D$22,MATCH(IF(AG41&lt;&gt;"",AG41,DATOS!$C$74),TABLAS!$B$19:$B$22,0))/100,IF(AE41="ESCALERILLA",IF(ISNUMBER(AF41),AF41,2)*INDEX(TABLAS!$D$6:$D$14,MATCH(IF(AG41&lt;&gt;"",AG41,DATOS!$C$73),TABLAS!$B$6:$B$14,0)),0))))</f>
        <v/>
      </c>
      <c r="DK41" s="47" t="str">
        <f>IF(BI41&lt;&gt;"SÍ","",IF(OR(AE41="VARILLA EN JUNTAS",AE41="ESCALERILLA"),IF(ISNUMBER(AH41),AH41,2)*DATOS!$C$26,IF(AE41="MALLA",1,0)))</f>
        <v/>
      </c>
      <c r="DL41" s="44" t="str">
        <f>IF(BI41&lt;&gt;"SÍ","",IF(DK41&gt;0,DJ41/(DK41*BT41)*MIN(DATOS!$C$50,IF(AE41="MALLA",5000,6000)),0))</f>
        <v/>
      </c>
      <c r="DM41" s="44" t="str">
        <f>IF(BI41&lt;&gt;"SÍ","",IF(AE41="ESCALERILLA",0,MIN(DL41,0.1*DATOS!$C$33*DATOS!$C$24)))</f>
        <v/>
      </c>
      <c r="DN41" s="48" t="str">
        <f>IF(BI41&lt;&gt;"SÍ","",IF(AE41="MALLA",0.5,IF(DATOS!$C$33&lt;=60,0.55,IF(DATOS!$C$33&gt;=90,0.75,0.55+0.2*(DATOS!$C$33-60)/30))))</f>
        <v/>
      </c>
      <c r="DO41" s="48" t="str">
        <f>IF(BI41&lt;&gt;"SÍ","",1-DATOS!$C$91*DM41)</f>
        <v/>
      </c>
      <c r="DP41" s="44" t="str">
        <f>IF(BI41&lt;&gt;"SÍ","",IF(BW41&gt;0,IF(BS41/BW41&lt;=1,1.3,IF(BS41/BW41&gt;=1.5,1,1.3-0.6*(BS41/BW41-1))),0))</f>
        <v/>
      </c>
      <c r="DQ41" s="44" t="str">
        <f>IF(BI41&lt;&gt;"SÍ","",IF(BX41&gt;0,IF(BS41/BX41&lt;=1,1.3,IF(BS41/BX41&gt;=1.5,1,1.3-0.6*(BS41/BX41-1))),0))</f>
        <v/>
      </c>
      <c r="DR41" s="44" t="str">
        <f>IF(BI41&lt;&gt;"SÍ","",IF(BY41&gt;0,IF(BS41/BY41&lt;=1,1.3,IF(BS41/BY41&gt;=1.5,1,1.3-0.6*(BS41/BY41-1))),0))</f>
        <v/>
      </c>
      <c r="DS41" s="44" t="str">
        <f>IF(BI41&lt;&gt;"SÍ","",IF(BZ41&gt;0,IF(BS41/BZ41&lt;=1,1.3,IF(BS41/BZ41&gt;=1.5,1,1.3-0.6*(BS41/BZ41-1))),0))</f>
        <v/>
      </c>
      <c r="DT41" s="44" t="str">
        <f>IF(BI41&lt;&gt;"SÍ","",IF(CA41&gt;0,IF(BS41/CA41&lt;=1,1.3,IF(BS41/CA41&gt;=1.5,1,1.3-0.6*(BS41/CA41-1))),0))</f>
        <v/>
      </c>
      <c r="DU41" s="44" t="str">
        <f>IF(BI41&lt;&gt;"SÍ","",IF(OR(DM41&lt;=0,BW41&lt;DATOS!$C$72-0.0001),0,DATOS!$C$86*MAX(0,IF(BM41&gt;=0,DD41/(DATOS!$C$86*DM41*BT41*BW41*100/1000)*(DP41*DO41-1)+DN41,DO41*DN41))*DM41*BT41*BW41*100/1000))</f>
        <v/>
      </c>
      <c r="DV41" s="44" t="str">
        <f>IF(BI41&lt;&gt;"SÍ","",IF(OR(DM41&lt;=0,BX41&lt;DATOS!$C$72-0.0001),0,DATOS!$C$86*MAX(0,IF(BM41&gt;=0,DE41/(DATOS!$C$86*DM41*BT41*BX41*100/1000)*(DQ41*DO41-1)+DN41,DO41*DN41))*DM41*BT41*BX41*100/1000))</f>
        <v/>
      </c>
      <c r="DW41" s="44" t="str">
        <f>IF(BI41&lt;&gt;"SÍ","",IF(OR(DM41&lt;=0,BY41&lt;DATOS!$C$72-0.0001),0,DATOS!$C$86*MAX(0,IF(BM41&gt;=0,DF41/(DATOS!$C$86*DM41*BT41*BY41*100/1000)*(DR41*DO41-1)+DN41,DO41*DN41))*DM41*BT41*BY41*100/1000))</f>
        <v/>
      </c>
      <c r="DX41" s="44" t="str">
        <f>IF(BI41&lt;&gt;"SÍ","",IF(OR(DM41&lt;=0,BZ41&lt;DATOS!$C$72-0.0001),0,DATOS!$C$86*MAX(0,IF(BM41&gt;=0,DG41/(DATOS!$C$86*DM41*BT41*BZ41*100/1000)*(DS41*DO41-1)+DN41,DO41*DN41))*DM41*BT41*BZ41*100/1000))</f>
        <v/>
      </c>
      <c r="DY41" s="44" t="str">
        <f>IF(BI41&lt;&gt;"SÍ","",IF(OR(DM41&lt;=0,CA41&lt;DATOS!$C$72-0.0001),0,DATOS!$C$86*MAX(0,IF(BM41&gt;=0,DH41/(DATOS!$C$86*DM41*BT41*CA41*100/1000)*(DT41*DO41-1)+DN41,DO41*DN41))*DM41*BT41*CA41*100/1000))</f>
        <v/>
      </c>
      <c r="DZ41" s="46" t="str">
        <f>IF(BI41&lt;&gt;"SÍ","",SUM(DU41:DY41))</f>
        <v/>
      </c>
      <c r="EA41" s="45" t="str">
        <f>IF(BI41&lt;&gt;"SÍ","",IF(OR(AE41="",AE41="NINGUNO"),IF(DATOS!$C$41&gt;=10,"FALTA refuerzo horizontal: v'm ≥ 10 kg/cm² (6.5.2.2)",IF(AND(BM41&lt;0,BK41&gt;0),"FALTA: P en tensión, el refuerzo debe tomar todo el cortante (6.5.1.3)","—")),IF(AE41="ESCALERILLA","NO CUENTA: la escalerilla no se permite para cortante por sismo (6.5.3.1.2)",IF(AE41="MALLA",IF(AND(DL41&gt;=2.5,DL41&lt;=MAX(0.15*DATOS!$C$33*DATOS!$C$24,2.5)),"CUMPLE","NO CUMPLE: "&amp;IF(DL41&lt;2.5,"p_h·f_yh &lt; 2.5 (6.5.4.2.4)","p_h·f_yh &gt; 0.15·f'm·f_an (6.5.4.2.4)")),IF(AND(DK41&lt;=MIN(6*DATOS!$C$26,45),DL41&gt;=3,DL41&lt;=MIN(MAX(0.15*DATOS!$C$33*DATOS!$C$24,3),0.05*DATOS!$C$25/10*MIN(DATOS!$C$50,6000)/DK41),INDEX(TABLAS!$C$6:$C$14,MATCH(IF(AG41&lt;&gt;"",AG41,DATOS!$C$73),TABLAS!$B$6:$B$14,0))&gt;=0.35,INDEX(TABLAS!$C$6:$C$14,MATCH(IF(AG41&lt;&gt;"",AG41,DATOS!$C$73),TABLAS!$B$6:$B$14,0))&lt;=0.75*DATOS!$C$25/10),"CUMPLE","NO CUMPLE: "&amp;IF(DK41&gt;MIN(6*DATOS!$C$26,45),"s_h &gt; 6 hiladas o 45 cm (6.5.3.2.1) ","")&amp;IF(DL41&lt;3,"p_h·f_yh &lt; 3 (6.5.3.3.1) ","")&amp;IF(DL41&gt;MIN(MAX(0.15*DATOS!$C$33*DATOS!$C$24,3),0.05*DATOS!$C$25/10*MIN(DATOS!$C$50,6000)/DK41),"p_h·f_yh &gt; máximo (6.5.3.3.2) ","")&amp;IF(OR(INDEX(TABLAS!$C$6:$C$14,MATCH(IF(AG41&lt;&gt;"",AG41,DATOS!$C$73),TABLAS!$B$6:$B$14,0))&lt;0.35,INDEX(TABLAS!$C$6:$C$14,MATCH(IF(AG41&lt;&gt;"",AG41,DATOS!$C$73),TABLAS!$B$6:$B$14,0))&gt;0.75*DATOS!$C$25/10),"diámetro fuera de 3.5 mm a 0.75·h_j (4.2.2.2.1)",""))))))</f>
        <v/>
      </c>
      <c r="EB41" s="46" t="str">
        <f>IF(BI41&lt;&gt;"SÍ","",DI41+DZ41)</f>
        <v/>
      </c>
      <c r="EC41" s="50" t="str">
        <f>IF(BI41&lt;&gt;"SÍ","",IF(EB41&gt;0,BK41/EB41,IF(BK41&gt;0,99,0)))</f>
        <v/>
      </c>
      <c r="ED41" s="47" t="str">
        <f>IF(BI41&lt;&gt;"SÍ","",IF(CE41&lt;=0,-1,IF(BK41&lt;=DI41,0,IF(IF(BM41&gt;=0,IF((DATOS!$C$86*IF(AE41="MALLA",0.5,IF(DATOS!$C$33&lt;=60,0.55,IF(DATOS!$C$33&gt;=90,0.75,0.55+0.2*(DATOS!$C$33-60)/30)))*CE41/1000-DATOS!$C$91*SUMPRODUCT(DP41:DT41,DD41:DH41))&lt;=0,1E9,(BK41-SUMPRODUCT(DP41:DT41,DD41:DH41))/(DATOS!$C$86*IF(AE41="MALLA",0.5,IF(DATOS!$C$33&lt;=60,0.55,IF(DATOS!$C$33&gt;=90,0.75,0.55+0.2*(DATOS!$C$33-60)/30)))*CE41/1000-DATOS!$C$91*SUMPRODUCT(DP41:DT41,DD41:DH41))),IF((1-4*DATOS!$C$91*BK41*1000/(DATOS!$C$86*IF(AE41="MALLA",0.5,IF(DATOS!$C$33&lt;=60,0.55,IF(DATOS!$C$33&gt;=90,0.75,0.55+0.2*(DATOS!$C$33-60)/30)))*MAX(CE41,1)))&lt;0,1E9,(1-SQRT((1-4*DATOS!$C$91*BK41*1000/(DATOS!$C$86*IF(AE41="MALLA",0.5,IF(DATOS!$C$33&lt;=60,0.55,IF(DATOS!$C$33&gt;=90,0.75,0.55+0.2*(DATOS!$C$33-60)/30)))*MAX(CE41,1)))))/(2*DATOS!$C$91)))&gt;0.1*DATOS!$C$33*DATOS!$C$24+0.000001,-1,MAX(IF(AE41="MALLA",2.5,3),IF(BM41&gt;=0,IF((DATOS!$C$86*IF(AE41="MALLA",0.5,IF(DATOS!$C$33&lt;=60,0.55,IF(DATOS!$C$33&gt;=90,0.75,0.55+0.2*(DATOS!$C$33-60)/30)))*CE41/1000-DATOS!$C$91*SUMPRODUCT(DP41:DT41,DD41:DH41))&lt;=0,1E9,(BK41-SUMPRODUCT(DP41:DT41,DD41:DH41))/(DATOS!$C$86*IF(AE41="MALLA",0.5,IF(DATOS!$C$33&lt;=60,0.55,IF(DATOS!$C$33&gt;=90,0.75,0.55+0.2*(DATOS!$C$33-60)/30)))*CE41/1000-DATOS!$C$91*SUMPRODUCT(DP41:DT41,DD41:DH41))),IF((1-4*DATOS!$C$91*BK41*1000/(DATOS!$C$86*IF(AE41="MALLA",0.5,IF(DATOS!$C$33&lt;=60,0.55,IF(DATOS!$C$33&gt;=90,0.75,0.55+0.2*(DATOS!$C$33-60)/30)))*MAX(CE41,1)))&lt;0,1E9,(1-SQRT((1-4*DATOS!$C$91*BK41*1000/(DATOS!$C$86*IF(AE41="MALLA",0.5,IF(DATOS!$C$33&lt;=60,0.55,IF(DATOS!$C$33&gt;=90,0.75,0.55+0.2*(DATOS!$C$33-60)/30)))*MAX(CE41,1)))))/(2*DATOS!$C$91))))))))</f>
        <v/>
      </c>
      <c r="EE41" s="45" t="str">
        <f>IF(BI41&lt;&gt;"SÍ","",IF(ED41=0,"NO REQUIERE: V_mR ≥ V_u",IF(ED41&lt;0,"NO ALCANZA con refuerzo horizontal (haría falta más de 0.1·f'm·f_an efectivo): sube v'm con ensayes, el espesor o la longitud del muro",IF(AND(OR(AE41="VARILLA EN JUNTAS",AE41="MALLA"),LEFT(EA41,6)="CUMPLE",EC41&lt;=1),"YA LO TIENE (pide p_h·f_yh ≥ "&amp;TEXT(ED41,"0.0")&amp;" kg/cm²)","p_h·f_yh ≥ "&amp;TEXT(ED41,"0.0")&amp;" kg/cm² → "&amp;IF(AND(MIN(6,FLOOR(45/DATOS!$C$26,1),FLOOR((2*INDEX(TABLAS!$D$6:$D$14,MATCH("3/16 in",TABLAS!$B$6:$B$14,0)))*MIN(DATOS!$C$50,6000)/(BT41*DATOS!$C$26*MAX(ED41,0.001)),1))&gt;=1,((2*INDEX(TABLAS!$D$6:$D$14,MATCH("3/16 in",TABLAS!$B$6:$B$14,0)))*MIN(DATOS!$C$50,6000)/(MAX(MIN(6,FLOOR(45/DATOS!$C$26,1),FLOOR((2*INDEX(TABLAS!$D$6:$D$14,MATCH("3/16 in",TABLAS!$B$6:$B$14,0)))*MIN(DATOS!$C$50,6000)/(BT41*DATOS!$C$26*MAX(ED41,0.001)),1)),1)*DATOS!$C$26*BT41))&lt;=MIN(MAX(0.15*DATOS!$C$33*DATOS!$C$24,3),0.05*DATOS!$C$25/10*MIN(DATOS!$C$50,6000)/(MIN(6,FLOOR(45/DATOS!$C$26,1),FLOOR((2*INDEX(TABLAS!$D$6:$D$14,MATCH("3/16 in",TABLAS!$B$6:$B$14,0)))*MIN(DATOS!$C$50,6000)/(BT41*DATOS!$C$26*MAX(ED41,0.001)),1))*DATOS!$C$26))),"2 alambres de 3/16"" por junta cada "&amp;MIN(6,FLOOR(45/DATOS!$C$26,1),FLOOR((2*INDEX(TABLAS!$D$6:$D$14,MATCH("3/16 in",TABLAS!$B$6:$B$14,0)))*MIN(DATOS!$C$50,6000)/(BT41*DATOS!$C$26*MAX(ED41,0.001)),1))&amp;" hilada(s) (p_h·f_yh = "&amp;TEXT(((2*INDEX(TABLAS!$D$6:$D$14,MATCH("3/16 in",TABLAS!$B$6:$B$14,0)))*MIN(DATOS!$C$50,6000)/(MAX(MIN(6,FLOOR(45/DATOS!$C$26,1),FLOOR((2*INDEX(TABLAS!$D$6:$D$14,MATCH("3/16 in",TABLAS!$B$6:$B$14,0)))*MIN(DATOS!$C$50,6000)/(BT41*DATOS!$C$26*MAX(ED41,0.001)),1)),1)*DATOS!$C$26*BT41)),"0.00")&amp;")",IF(AND(MIN(6,FLOOR(45/DATOS!$C$26,1),FLOOR((2*INDEX(TABLAS!$D$6:$D$14,MATCH("5/32 in",TABLAS!$B$6:$B$14,0)))*MIN(DATOS!$C$50,6000)/(BT41*DATOS!$C$26*MAX(ED41,0.001)),1))&gt;=1,((2*INDEX(TABLAS!$D$6:$D$14,MATCH("5/32 in",TABLAS!$B$6:$B$14,0)))*MIN(DATOS!$C$50,6000)/(MAX(MIN(6,FLOOR(45/DATOS!$C$26,1),FLOOR((2*INDEX(TABLAS!$D$6:$D$14,MATCH("5/32 in",TABLAS!$B$6:$B$14,0)))*MIN(DATOS!$C$50,6000)/(BT41*DATOS!$C$26*MAX(ED41,0.001)),1)),1)*DATOS!$C$26*BT41))&lt;=MIN(MAX(0.15*DATOS!$C$33*DATOS!$C$24,3),0.05*DATOS!$C$25/10*MIN(DATOS!$C$50,6000)/(MIN(6,FLOOR(45/DATOS!$C$26,1),FLOOR((2*INDEX(TABLAS!$D$6:$D$14,MATCH("5/32 in",TABLAS!$B$6:$B$14,0)))*MIN(DATOS!$C$50,6000)/(BT41*DATOS!$C$26*MAX(ED41,0.001)),1))*DATOS!$C$26))),"2 alambres de 5/32"" por junta cada "&amp;MIN(6,FLOOR(45/DATOS!$C$26,1),FLOOR((2*INDEX(TABLAS!$D$6:$D$14,MATCH("5/32 in",TABLAS!$B$6:$B$14,0)))*MIN(DATOS!$C$50,6000)/(BT41*DATOS!$C$26*MAX(ED41,0.001)),1))&amp;" hilada(s) (p_h·f_yh = "&amp;TEXT(((2*INDEX(TABLAS!$D$6:$D$14,MATCH("5/32 in",TABLAS!$B$6:$B$14,0)))*MIN(DATOS!$C$50,6000)/(MAX(MIN(6,FLOOR(45/DATOS!$C$26,1),FLOOR((2*INDEX(TABLAS!$D$6:$D$14,MATCH("5/32 in",TABLAS!$B$6:$B$14,0)))*MIN(DATOS!$C$50,6000)/(BT41*DATOS!$C$26*MAX(ED41,0.001)),1)),1)*DATOS!$C$26*BT41)),"0.00")&amp;")",IF(AND(MIN(6,FLOOR(45/DATOS!$C$26,1),FLOOR((1*INDEX(TABLAS!$D$6:$D$14,MATCH("3/16 in",TABLAS!$B$6:$B$14,0)))*MIN(DATOS!$C$50,6000)/(BT41*DATOS!$C$26*MAX(ED41,0.001)),1))&gt;=1,((1*INDEX(TABLAS!$D$6:$D$14,MATCH("3/16 in",TABLAS!$B$6:$B$14,0)))*MIN(DATOS!$C$50,6000)/(MAX(MIN(6,FLOOR(45/DATOS!$C$26,1),FLOOR((1*INDEX(TABLAS!$D$6:$D$14,MATCH("3/16 in",TABLAS!$B$6:$B$14,0)))*MIN(DATOS!$C$50,6000)/(BT41*DATOS!$C$26*MAX(ED41,0.001)),1)),1)*DATOS!$C$26*BT41))&lt;=MIN(MAX(0.15*DATOS!$C$33*DATOS!$C$24,3),0.05*DATOS!$C$25/10*MIN(DATOS!$C$50,6000)/(MIN(6,FLOOR(45/DATOS!$C$26,1),FLOOR((1*INDEX(TABLAS!$D$6:$D$14,MATCH("3/16 in",TABLAS!$B$6:$B$14,0)))*MIN(DATOS!$C$50,6000)/(BT41*DATOS!$C$26*MAX(ED41,0.001)),1))*DATOS!$C$26))),"1 alambre de 3/16"" por junta cada "&amp;MIN(6,FLOOR(45/DATOS!$C$26,1),FLOOR((1*INDEX(TABLAS!$D$6:$D$14,MATCH("3/16 in",TABLAS!$B$6:$B$14,0)))*MIN(DATOS!$C$50,6000)/(BT41*DATOS!$C$26*MAX(ED41,0.001)),1))&amp;" hilada(s) (p_h·f_yh = "&amp;TEXT(((1*INDEX(TABLAS!$D$6:$D$14,MATCH("3/16 in",TABLAS!$B$6:$B$14,0)))*MIN(DATOS!$C$50,6000)/(MAX(MIN(6,FLOOR(45/DATOS!$C$26,1),FLOOR((1*INDEX(TABLAS!$D$6:$D$14,MATCH("3/16 in",TABLAS!$B$6:$B$14,0)))*MIN(DATOS!$C$50,6000)/(BT41*DATOS!$C$26*MAX(ED41,0.001)),1)),1)*DATOS!$C$26*BT41)),"0.00")&amp;")",IF(AND(MIN(6,FLOOR(45/DATOS!$C$26,1),FLOOR((1*INDEX(TABLAS!$D$6:$D$14,MATCH("5/32 in",TABLAS!$B$6:$B$14,0)))*MIN(DATOS!$C$50,6000)/(BT41*DATOS!$C$26*MAX(ED41,0.001)),1))&gt;=1,((1*INDEX(TABLAS!$D$6:$D$14,MATCH("5/32 in",TABLAS!$B$6:$B$14,0)))*MIN(DATOS!$C$50,6000)/(MAX(MIN(6,FLOOR(45/DATOS!$C$26,1),FLOOR((1*INDEX(TABLAS!$D$6:$D$14,MATCH("5/32 in",TABLAS!$B$6:$B$14,0)))*MIN(DATOS!$C$50,6000)/(BT41*DATOS!$C$26*MAX(ED41,0.001)),1)),1)*DATOS!$C$26*BT41))&lt;=MIN(MAX(0.15*DATOS!$C$33*DATOS!$C$24,3),0.05*DATOS!$C$25/10*MIN(DATOS!$C$50,6000)/(MIN(6,FLOOR(45/DATOS!$C$26,1),FLOOR((1*INDEX(TABLAS!$D$6:$D$14,MATCH("5/32 in",TABLAS!$B$6:$B$14,0)))*MIN(DATOS!$C$50,6000)/(BT41*DATOS!$C$26*MAX(ED41,0.001)),1))*DATOS!$C$26))),"1 alambre de 5/32"" por junta cada "&amp;MIN(6,FLOOR(45/DATOS!$C$26,1),FLOOR((1*INDEX(TABLAS!$D$6:$D$14,MATCH("5/32 in",TABLAS!$B$6:$B$14,0)))*MIN(DATOS!$C$50,6000)/(BT41*DATOS!$C$26*MAX(ED41,0.001)),1))&amp;" hilada(s) (p_h·f_yh = "&amp;TEXT(((1*INDEX(TABLAS!$D$6:$D$14,MATCH("5/32 in",TABLAS!$B$6:$B$14,0)))*MIN(DATOS!$C$50,6000)/(MAX(MIN(6,FLOOR(45/DATOS!$C$26,1),FLOOR((1*INDEX(TABLAS!$D$6:$D$14,MATCH("5/32 in",TABLAS!$B$6:$B$14,0)))*MIN(DATOS!$C$50,6000)/(BT41*DATOS!$C$26*MAX(ED41,0.001)),1)),1)*DATOS!$C$26*BT41)),"0.00")&amp;")","ninguna combinación de 1 o 2 alambres por junta queda entre el mínimo y el máximo: revisa con malla (6.5.4)"))))))))</f>
        <v/>
      </c>
      <c r="EF41" s="43" t="str">
        <f>IF(BI41&lt;&gt;"SÍ","",IF(AI41="SÍ",N(AK41)*N(AL41)^3/12,0))</f>
        <v/>
      </c>
      <c r="EG41" s="48" t="str">
        <f>IF(BI41&lt;&gt;"SÍ","",IF(AND(AI41="SÍ",N(AM41)&gt;0),MIN(1,F41/AM41),0))</f>
        <v/>
      </c>
      <c r="EH41" s="47" t="str">
        <f>IF(BI41&lt;&gt;"SÍ","",IF(AI41="SÍ",BP41*1000/(BT41*F41*100)*BT41*(EG41^4-4*EG41^3+8*EG41),0))</f>
        <v/>
      </c>
      <c r="EI41" s="48" t="str">
        <f>IF(BI41&lt;&gt;"SÍ","",IF(AND(AI41="SÍ",EH41&gt;0),EH41/(EH41+5*N(AN41)*10),0))</f>
        <v/>
      </c>
      <c r="EJ41" s="44" t="str">
        <f>IF(BI41&lt;&gt;"SÍ","",IF(AND(AI41="SÍ",EI41&gt;0,EF41&gt;0),(DATOS!$C$43*BT41*(AM41*100)^3/(DATOS!$C$53*EF41*EI41))^0.25,0))</f>
        <v/>
      </c>
      <c r="EK41" s="44" t="str">
        <f>IF(BI41&lt;&gt;"SÍ","",IF(AI41&lt;&gt;"SÍ",0,IF(N(AM41)&lt;=F41,1,IF(MIN(1,N(AO41)/((AM41-F41)/2))&lt;=0.5,0.7+0.6*MIN(1,N(AO41)/((AM41-F41)/2)),1.5-MIN(1,N(AO41)/((AM41-F41)/2))))))</f>
        <v/>
      </c>
      <c r="EL41" s="44" t="str">
        <f>IF(BI41&lt;&gt;"SÍ","",IF(AI41&lt;&gt;"SÍ",0,MAX(1,IF(EG41&gt;=1,(1.6*EJ41-3.9),IF(EG41&lt;0.9,((3.2*EJ41-7.8)*EK41),((3.2*EJ41-7.8)*EK41)+((1.6*EJ41-3.9)-((3.2*EJ41-7.8)*EK41))*(EG41-0.9)/0.1)))))</f>
        <v/>
      </c>
      <c r="EM41" s="47" t="str">
        <f>IF(BI41&lt;&gt;"SÍ","",IF(AI41="SÍ",EL41*BP41*1000/(BT41*F41*100),0))</f>
        <v/>
      </c>
      <c r="EN41" s="47" t="str">
        <f>IF(BI41&lt;&gt;"SÍ","",IF(AND(AI41="SÍ",N(AL41)&gt;0),AM41*100/AL41,0))</f>
        <v/>
      </c>
      <c r="EO41" s="47" t="str">
        <f>IF(BI41&lt;&gt;"SÍ","",IF(AI41="SÍ",(1/15*DATOS!$C$53*N(AK41)/MAX((IF(ISNUMBER(AP41),AP41,BP41/DATOS!$C$90)*1000/(BT41*F41*100)*BT41*(EG41^4-4*EG41^3+8*EG41))+5*N(AN41)/DATOS!$C$90*10,0.001))^(1/3),0))</f>
        <v/>
      </c>
      <c r="EP41" s="45" t="str">
        <f>IF(BI41&lt;&gt;"SÍ","",IF(AI41&lt;&gt;"SÍ","—",IF(OR(N(AK41)&lt;=0,N(AL41)&lt;=0,N(AM41)&lt;=0),"REVISAR: faltan b, h o L_v de la viga",IF(AND(EM41&lt;=DATOS!$C$87*DATOS!$C$33,EN41&lt;=14,N(AL41)&gt;=25,EN41&lt;=EO41),IF(BS41/F41&lt;0.6,"PENDIENTE: H/L &lt; 0.6, falta el análisis de interacción muro–viga (4.1.18.2.1); f_CM es estimado","CUMPLE"),"NO CUMPLE: "&amp;IF(EM41&gt;DATOS!$C$87*DATOS!$C$33,"f_CM &gt; F_R·f'm ","")&amp;IF(EN41&gt;14,"L_v/h_v &gt; 14 ","")&amp;IF(N(AL41)&lt;25,"h_v &lt; 25 cm ","")&amp;IF(EN41&gt;EO41,"flecha (4.1.18.3)","")))))</f>
        <v/>
      </c>
      <c r="EQ41" s="44" t="str">
        <f>IF(BI41&lt;&gt;"SÍ","",MAX(0,F41*BS41-(N(K41)*N(M41)+N(P41)*N(R41)+N(U41)*N(W41)+N(Z41)*N(AB41))-CK41*DATOS!$C$59/100*BS41))</f>
        <v/>
      </c>
      <c r="ER41" s="48" t="str">
        <f>IF(BI41&lt;&gt;"SÍ","",CK41*DATOS!$C$59*DATOS!$C$60/10000*BS41)</f>
        <v/>
      </c>
      <c r="ES41" s="47" t="str">
        <f>IF(BI41&lt;&gt;"SÍ","",CK41*(DATOS!$C$61*(BS41+0.6)*INDEX(TABLAS!$E$6:$E$14,MATCH(DATOS!$C$62,TABLAS!$B$6:$B$14,0))+(2*ROUNDUP(CN41/DATOS!$C$65,0)+ROUNDUP(MAX(0,BS41*100-2*CN41)/DATOS!$C$64,0))*((2*(DATOS!$C$60+DATOS!$C$59-4*(DATOS!$C$66-INDEX(TABLAS!$C$6:$C$14,MATCH(DATOS!$C$63,TABLAS!$B$6:$B$14,0))))+15)/100)*INDEX(TABLAS!$E$6:$E$14,MATCH(DATOS!$C$63,TABLAS!$B$6:$B$14,0))))</f>
        <v/>
      </c>
      <c r="ET41" s="47" t="str">
        <f>IF(BI41&lt;&gt;"SÍ","",IF(OR(AE41="VARILLA EN JUNTAS",AE41="ESCALERILLA"),INT(BS41*100/MAX(DK41,1))*IF(ISNUMBER(AF41),AF41,2)*CB41*INDEX(TABLAS!$E$6:$E$14,MATCH(IF(AG41&lt;&gt;"",AG41,DATOS!$C$73),TABLAS!$B$6:$B$14,0)),IF(AE41="MALLA",IF(ISNUMBER(AF41),AF41,1)*CB41*BS41*INDEX(TABLAS!$E$19:$E$22,MATCH(IF(AG41&lt;&gt;"",AG41,DATOS!$C$74),TABLAS!$B$19:$B$22,0)),0)))</f>
        <v/>
      </c>
      <c r="EU41" s="45" t="str">
        <f>IF(BI41&lt;&gt;"SÍ","",""&amp;IF(BJ41="NO ESTÁ EN PIER_FORCES","sin fuerzas en PIER_FORCES; ","")&amp;IF(BV41&lt;&gt;"CUMPLE","vanos; ","")&amp;IF(LEFT(CH41,2)="NO","espesor o esbeltez; ","")&amp;IF(CQ41&gt;1,"compresión; ","")&amp;IF(CX41&gt;1,"flexión; ","")&amp;IF(CB41&lt;=0,"sin tramos de muro (todos son machones menores que L mín.: diséñalos como columnas o baja L mín.); ",IF(EC41&gt;1,"cortante; ",""))&amp;IF(OR(LEFT(EA41,2)="NO",LEFT(EA41,5)="FALTA"),"refuerzo horizontal; ","")&amp;IF(OR(LEFT(EP41,2)="NO",LEFT(EP41,7)="REVISAR"),"muro sobre viga; ","")&amp;IF(LEFT(DATOS!$C$81,2)="NO","castillo típico; ","")&amp;IF(LEFT(DATOS!$C$82,2)="NO","dala típica; ","")&amp;IF(AND(BT41&lt;&gt;DATOS!$C$58,DATOS!$C$60&lt;BT41),"castillo más angosto que el muro; ",""))</f>
        <v/>
      </c>
      <c r="EV41" s="45" t="str">
        <f>IF(BI41&lt;&gt;"SÍ","",""&amp;IF(LEFT(EP41,9)="PENDIENTE","análisis muro–viga (H/L &lt; 0.6); ","")&amp;IF(BR41&gt;50,"V_u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1" s="51" t="str">
        <f>IF(BI41&lt;&gt;"SÍ","",IF(EU41&lt;&gt;"","NO CUMPLE: "&amp;LEFT(EU41,LEN(EU41)-2),IF(EV41&lt;&gt;"","CUMPLE — PENDIENTE: "&amp;LEFT(EV41,LEN(EV41)-2),"CUMPLE")))</f>
        <v/>
      </c>
      <c r="EX41" s="52" t="n"/>
    </row>
    <row r="42" ht="30" customHeight="1">
      <c r="A42" s="38" t="str">
        <f>IF(B42="","",ROW()-10)</f>
        <v/>
      </c>
      <c r="B42" s="28" t="n"/>
      <c r="C42" s="39" t="n"/>
      <c r="D42" s="39" t="n"/>
      <c r="E42" s="39" t="n"/>
      <c r="F42" s="40" t="n"/>
      <c r="G42" s="40" t="n"/>
      <c r="H42" s="41" t="n"/>
      <c r="I42" s="39" t="n"/>
      <c r="J42" s="40" t="n"/>
      <c r="K42" s="40" t="n"/>
      <c r="L42" s="40" t="n"/>
      <c r="M42" s="40" t="n"/>
      <c r="N42" s="39" t="n"/>
      <c r="O42" s="40" t="n"/>
      <c r="P42" s="40" t="n"/>
      <c r="Q42" s="40" t="n"/>
      <c r="R42" s="40" t="n"/>
      <c r="S42" s="39" t="n"/>
      <c r="T42" s="40" t="n"/>
      <c r="U42" s="40" t="n"/>
      <c r="V42" s="40" t="n"/>
      <c r="W42" s="40" t="n"/>
      <c r="X42" s="39" t="n"/>
      <c r="Y42" s="40" t="n"/>
      <c r="Z42" s="40" t="n"/>
      <c r="AA42" s="40" t="n"/>
      <c r="AB42" s="40" t="n"/>
      <c r="AC42" s="41" t="n"/>
      <c r="AD42" s="41" t="n"/>
      <c r="AE42" s="39" t="n"/>
      <c r="AF42" s="41" t="n"/>
      <c r="AG42" s="41" t="n"/>
      <c r="AH42" s="41" t="n"/>
      <c r="AI42" s="39" t="n"/>
      <c r="AJ42" s="39" t="n"/>
      <c r="AK42" s="41" t="n"/>
      <c r="AL42" s="41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2" t="str">
        <f>IF(B42="","",C42&amp;"|"&amp;B42)</f>
        <v/>
      </c>
      <c r="AY42" s="43" t="str">
        <f>IF(B42="","",COUNTIFS(PIER_FORCES!$O$9:$O$3008,32,PIER_FORCES!$P$9:$P$3008,1))</f>
        <v/>
      </c>
      <c r="AZ42" s="43" t="str">
        <f>IF(B42="","",COUNTIFS(PIER_FORCES!$O$9:$O$3008,32,PIER_FORCES!$P$9:$P$3008,2))</f>
        <v/>
      </c>
      <c r="BA42" s="44">
        <f>IF(N(AY42)=0,0,SUMPRODUCT(MAX((PIER_FORCES!$O$9:$O$3008=32)*(PIER_FORCES!$P$9:$P$3008=1)*PIER_FORCES!$R$9:$R$3008)))</f>
        <v>0</v>
      </c>
      <c r="BB42" s="44">
        <f>IF(N(AY42)=0,0,SUMPRODUCT(MAX((PIER_FORCES!$O$9:$O$3008=32)*(PIER_FORCES!$P$9:$P$3008=1)*PIER_FORCES!$S$9:$S$3008)))</f>
        <v>0</v>
      </c>
      <c r="BC42" s="44">
        <f>IF(N(AY42)=0,0,-SUMPRODUCT(MAX((PIER_FORCES!$O$9:$O$3008=32)*(PIER_FORCES!$P$9:$P$3008=1)*(-PIER_FORCES!$Q$9:$Q$3008)+(1-(PIER_FORCES!$O$9:$O$3008=32)*(PIER_FORCES!$P$9:$P$3008=1))*(-1E9))))</f>
        <v>0</v>
      </c>
      <c r="BD42" s="44">
        <f>IF(N(AY42)=0,0,SUMPRODUCT(MAX((PIER_FORCES!$O$9:$O$3008=32)*(PIER_FORCES!$P$9:$P$3008=1)*PIER_FORCES!$Q$9:$Q$3008+(1-(PIER_FORCES!$O$9:$O$3008=32)*(PIER_FORCES!$P$9:$P$3008=1))*(-1E9))))</f>
        <v>0</v>
      </c>
      <c r="BE42" s="44">
        <f>IF(N(AZ42)=0,BD42,SUMPRODUCT(MAX((PIER_FORCES!$O$9:$O$3008=32)*(PIER_FORCES!$P$9:$P$3008=2)*PIER_FORCES!$Q$9:$Q$3008+(1-(PIER_FORCES!$O$9:$O$3008=32)*(PIER_FORCES!$P$9:$P$3008=2))*(-1E9))))</f>
        <v>0</v>
      </c>
      <c r="BF42" s="44">
        <f>IF(N(AZ42)=0,0,SUMPRODUCT(MAX((PIER_FORCES!$O$9:$O$3008=32)*(PIER_FORCES!$P$9:$P$3008=2)*PIER_FORCES!$R$9:$R$3008)))</f>
        <v>0</v>
      </c>
      <c r="BG42" s="43">
        <f>IF(N(AY42)=0,0,SUMPRODUCT(MAX((PIER_FORCES!$O$9:$O$3008=32)*(PIER_FORCES!$P$9:$P$3008=1)*(ABS(PIER_FORCES!$R$9:$R$3008-BA42)&lt;0.000001)*PIER_FORCES!$T$9:$T$3008)))</f>
        <v>0</v>
      </c>
      <c r="BH42" s="45" t="str">
        <f>IF(N(BG42)=0,"",INDEX(PIER_FORCES!$D$9:$D$3008,BG42)&amp;" "&amp;INDEX(PIER_FORCES!$F$9:$F$3008,BG42)&amp;" / "&amp;INDEX(PIER_FORCES!$G$9:$G$3008,BG42))</f>
        <v/>
      </c>
      <c r="BI42" s="42" t="str">
        <f>IF(B42="","",IF(AND(C42&lt;&gt;"",OR(D42="X",D42="Y"),ISNUMBER(F42),N(F42)&gt;0),"SÍ","NO"))</f>
        <v/>
      </c>
      <c r="BJ42" s="42" t="str">
        <f>IF(BI42&lt;&gt;"SÍ","",IF(DATOS!$C$108="ETABS (PIER_FORCES)",IF(N(AY42)&gt;0,"ETABS","NO ESTÁ EN PIER_FORCES"),"CAPTURA"))</f>
        <v/>
      </c>
      <c r="BK42" s="46" t="str">
        <f>IF(BI42&lt;&gt;"SÍ","",IF(BJ42="ETABS",BA42,IF(BJ42="CAPTURA",N(AQ42),0)))</f>
        <v/>
      </c>
      <c r="BL42" s="46" t="str">
        <f>IF(BI42&lt;&gt;"SÍ","",IF(BJ42="ETABS",BB42,IF(BJ42="CAPTURA",N(AR42),0)))</f>
        <v/>
      </c>
      <c r="BM42" s="46" t="str">
        <f>IF(BI42&lt;&gt;"SÍ","",IF(BJ42="ETABS",BC42/DATOS!$C$89,IF(BJ42="CAPTURA",N(AS42),0)))</f>
        <v/>
      </c>
      <c r="BN42" s="44" t="str">
        <f>IF(BI42&lt;&gt;"SÍ","",IF(BJ42="ETABS",BC42,IF(BJ42="CAPTURA",IF(ISNUMBER(AU42),AU42,N(AS42)*DATOS!$C$89),0)))</f>
        <v/>
      </c>
      <c r="BO42" s="44" t="str">
        <f>IF(BI42&lt;&gt;"SÍ","",IF(BJ42="ETABS",MAX(BD42,BE42),IF(BJ42="CAPTURA",N(AT42),0)))</f>
        <v/>
      </c>
      <c r="BP42" s="44" t="str">
        <f>IF(BI42&lt;&gt;"SÍ","",IF(BJ42="ETABS",BE42,IF(BJ42="CAPTURA",IF(ISNUMBER(AV42),AV42,N(AT42)),0)))</f>
        <v/>
      </c>
      <c r="BQ42" s="44" t="str">
        <f>IF(BI42&lt;&gt;"SÍ","",IF(BJ42="ETABS",BF42,IF(BJ42="CAPTURA",N(AW42),0)))</f>
        <v/>
      </c>
      <c r="BR42" s="43" t="str">
        <f>IF(BI42&lt;&gt;"SÍ","",IF(BK42&gt;0,100*BQ42/BK42,0))</f>
        <v/>
      </c>
      <c r="BS42" s="44" t="str">
        <f>IF(BI42&lt;&gt;"SÍ","",IF(ISNUMBER(G42),G42,DATOS!$C$57))</f>
        <v/>
      </c>
      <c r="BT42" s="47" t="str">
        <f>IF(BI42&lt;&gt;"SÍ","",IF(ISNUMBER(H42),H42,DATOS!$C$58))</f>
        <v/>
      </c>
      <c r="BU42" s="43" t="str">
        <f>IF(BI42&lt;&gt;"SÍ","",IF(N(K42)&gt;0,1+IF(N(P42)&gt;0,1+IF(N(U42)&gt;0,1+IF(N(Z42)&gt;0,1,0),0),0),0))</f>
        <v/>
      </c>
      <c r="BV42" s="45" t="str">
        <f>IF(BI42&lt;&gt;"SÍ","",IF(AND(OR(BU42&lt;1,AND(N(J42)&gt;=0-0.001,J42+K42&lt;=F42+0.001,N(L42)&gt;=0,N(L42)+N(M42)&lt;=BS42+0.001,N(M42)&gt;0,OR(I42="PUERTA",I42="VENTANA"))),OR(BU42&lt;2,AND(N(O42)&gt;=(J42+K42)-0.001,O42+P42&lt;=F42+0.001,N(Q42)&gt;=0,N(Q42)+N(R42)&lt;=BS42+0.001,N(R42)&gt;0,OR(N42="PUERTA",N42="VENTANA"))),OR(BU42&lt;3,AND(N(T42)&gt;=(O42+P42)-0.001,T42+U42&lt;=F42+0.001,N(V42)&gt;=0,N(V42)+N(W42)&lt;=BS42+0.001,N(W42)&gt;0,OR(S42="PUERTA",S42="VENTANA"))),OR(BU42&lt;4,AND(N(Y42)&gt;=(T42+U42)-0.001,Y42+Z42&lt;=F42+0.001,N(AA42)&gt;=0,N(AA42)+N(AB42)&lt;=BS42+0.001,N(AB42)&gt;0,OR(X42="PUERTA",X42="VENTANA"))),(N(K42)&gt;0)+(N(P42)&gt;0)+(N(U42)&gt;0)+(N(Z42)&gt;0)=BU42),"CUMPLE","REVISAR VANOS: tipo, orden de izquierda a derecha, que quepan en L y en H"))</f>
        <v/>
      </c>
      <c r="BW42" s="44" t="str">
        <f>IF(BI42&lt;&gt;"SÍ","",MAX(0,IF(BU42&gt;=1,N(J42),F42)))</f>
        <v/>
      </c>
      <c r="BX42" s="44" t="str">
        <f>IF(BI42&lt;&gt;"SÍ","",MAX(0,IF(BU42&gt;=2,N(O42)-(N(J42)+N(K42)),IF(BU42=1,F42-(N(J42)+N(K42)),0))))</f>
        <v/>
      </c>
      <c r="BY42" s="44" t="str">
        <f>IF(BI42&lt;&gt;"SÍ","",MAX(0,IF(BU42&gt;=3,N(T42)-(N(O42)+N(P42)),IF(BU42=2,F42-(N(O42)+N(P42)),0))))</f>
        <v/>
      </c>
      <c r="BZ42" s="44" t="str">
        <f>IF(BI42&lt;&gt;"SÍ","",MAX(0,IF(BU42&gt;=4,N(Y42)-(N(T42)+N(U42)),IF(BU42=3,F42-(N(T42)+N(U42)),0))))</f>
        <v/>
      </c>
      <c r="CA42" s="44" t="str">
        <f>IF(BI42&lt;&gt;"SÍ","",MAX(0,IF(BU42=4,F42-(N(Y42)+N(Z42)),0)))</f>
        <v/>
      </c>
      <c r="CB42" s="46" t="str">
        <f>IF(BI42&lt;&gt;"SÍ","",SUMPRODUCT((BW42:CA42&gt;=DATOS!$C$72-0.0001)*BW42:CA42))</f>
        <v/>
      </c>
      <c r="CC42" s="43" t="str">
        <f>IF(BI42&lt;&gt;"SÍ","",SUMPRODUCT(--(BW42:CA42&gt;=DATOS!$C$72-0.0001)))</f>
        <v/>
      </c>
      <c r="CD42" s="44" t="str">
        <f>IF(BI42&lt;&gt;"SÍ","",SUM(BW42:CA42))</f>
        <v/>
      </c>
      <c r="CE42" s="43" t="str">
        <f>IF(BI42&lt;&gt;"SÍ","",BT42*CB42*100)</f>
        <v/>
      </c>
      <c r="CF42" s="43" t="str">
        <f>IF(BI42&lt;&gt;"SÍ","",BT42*CD42*100)</f>
        <v/>
      </c>
      <c r="CG42" s="47" t="str">
        <f>IF(BI42&lt;&gt;"SÍ","",BS42*100/BT42)</f>
        <v/>
      </c>
      <c r="CH42" s="45" t="str">
        <f>IF(BI42&lt;&gt;"SÍ","",IF(AND(OR(DATOS!$C$14="TIPO II",BT42&gt;=12),CG42&lt;=25),"CUMPLE","NO CUMPLE: "&amp;IF(AND(DATOS!$C$14="TIPO I",BT42&lt;12),"t &lt; 12 cm ","")&amp;IF(CG42&gt;25,"H/t &gt; 25","")))</f>
        <v/>
      </c>
      <c r="CI42" s="44" t="str">
        <f>IF(BI42&lt;&gt;"SÍ","",MIN(1.5*BS42,4))</f>
        <v/>
      </c>
      <c r="CJ42" s="43" t="str">
        <f>IF(BI42&lt;&gt;"SÍ","",SUMPRODUCT((BW42:CA42&gt;=2*DATOS!$C$59/100)*INT((BW42:CA42-DATOS!$C$59/100)/CI42-0.000001)*((BW42:CA42-DATOS!$C$59/100)&gt;0)))</f>
        <v/>
      </c>
      <c r="CK42" s="43" t="str">
        <f>IF(BI42&lt;&gt;"SÍ","",SUMPRODUCT((BW42:CA42&gt;0.0001)*1+(BW42:CA42&gt;=2*DATOS!$C$59/100)*1)+CJ42)</f>
        <v/>
      </c>
      <c r="CL42" s="44" t="str">
        <f>IF(BI42&lt;&gt;"SÍ","",IF(ISNUMBER(AC42),AC42,DATOS!$C$61)*INDEX(TABLAS!$D$6:$D$14,MATCH(IF(AD42&lt;&gt;"",AD42,DATOS!$C$62),TABLAS!$B$6:$B$14,0)))</f>
        <v/>
      </c>
      <c r="CM42" s="44" t="str">
        <f>IF(BI42&lt;&gt;"SÍ","",CK42*DATOS!$C$78+IF(CK42&gt;=2,2,CK42)*(CL42-DATOS!$C$78))</f>
        <v/>
      </c>
      <c r="CN42" s="47" t="str">
        <f>IF(BI42&lt;&gt;"SÍ","",MAX(BS42*100/6,40))</f>
        <v/>
      </c>
      <c r="CO42" s="48" t="str">
        <f>IF(BI42&lt;&gt;"SÍ","",IF(CG42&lt;=20,IF(E42="INTERIOR",0.7,0.6),MIN(IF(E42="INTERIOR",0.7,0.6),(1-2/24)*(1-(IF(E42="INTERIOR",0.8,1)*CG42/30)^2))))</f>
        <v/>
      </c>
      <c r="CP42" s="47" t="str">
        <f>IF(BI42&lt;&gt;"SÍ","",DATOS!$C$87*CO42*(DATOS!$C$33*CF42+CM42*DATOS!$C$48)/1000)</f>
        <v/>
      </c>
      <c r="CQ42" s="46" t="str">
        <f>IF(BI42&lt;&gt;"SÍ","",IF(CP42&gt;0,BO42/CP42,99))</f>
        <v/>
      </c>
      <c r="CR42" s="47" t="str">
        <f>IF(BI42&lt;&gt;"SÍ","",MAX(0,F42*100-DATOS!$C$59))</f>
        <v/>
      </c>
      <c r="CS42" s="47" t="str">
        <f>IF(BI42&lt;&gt;"SÍ","",MAX(0,F42*100-DATOS!$C$59/2))</f>
        <v/>
      </c>
      <c r="CT42" s="44" t="str">
        <f>IF(BI42&lt;&gt;"SÍ","",CL42*DATOS!$C$48*CR42/100000)</f>
        <v/>
      </c>
      <c r="CU42" s="44" t="str">
        <f>IF(BI42&lt;&gt;"SÍ","",IF(BN42&lt;0,0.8*CT42*MAX(0,1+BN42/(0.8*CM42*DATOS!$C$48/1000)),IF(BN42&lt;=CP42/3,0.8*CT42+0.3*BN42*CS42/100,(1.5*0.6*CT42+0.15*CP42*CS42/100)*MAX(0,1-BN42/CP42))))</f>
        <v/>
      </c>
      <c r="CV42" s="44" t="str">
        <f>IF(BI42&lt;&gt;"SÍ","",IF(BO42&lt;0,0.8*CT42*MAX(0,1+BO42/(0.8*CM42*DATOS!$C$48/1000)),IF(BO42&lt;=CP42/3,0.8*CT42+0.3*BO42*CS42/100,(1.5*0.6*CT42+0.15*CP42*CS42/100)*MAX(0,1-BO42/CP42))))</f>
        <v/>
      </c>
      <c r="CW42" s="46" t="str">
        <f>IF(BI42&lt;&gt;"SÍ","",MAX(0,MIN(CU42,CV42)))</f>
        <v/>
      </c>
      <c r="CX42" s="49" t="str">
        <f>IF(BI42&lt;&gt;"SÍ","",IF(CW42&gt;0,BL42/CW42,IF(BL42&gt;0,99,0)))</f>
        <v/>
      </c>
      <c r="CY42" s="44" t="str">
        <f>IF(BI42&lt;&gt;"SÍ","",IF(BW42&gt;0,MAX(1,MIN(1.5,1.5-0.625*(BS42/BW42-0.2))),0))</f>
        <v/>
      </c>
      <c r="CZ42" s="44" t="str">
        <f>IF(BI42&lt;&gt;"SÍ","",IF(BX42&gt;0,MAX(1,MIN(1.5,1.5-0.625*(BS42/BX42-0.2))),0))</f>
        <v/>
      </c>
      <c r="DA42" s="44" t="str">
        <f>IF(BI42&lt;&gt;"SÍ","",IF(BY42&gt;0,MAX(1,MIN(1.5,1.5-0.625*(BS42/BY42-0.2))),0))</f>
        <v/>
      </c>
      <c r="DB42" s="44" t="str">
        <f>IF(BI42&lt;&gt;"SÍ","",IF(BZ42&gt;0,MAX(1,MIN(1.5,1.5-0.625*(BS42/BZ42-0.2))),0))</f>
        <v/>
      </c>
      <c r="DC42" s="44" t="str">
        <f>IF(BI42&lt;&gt;"SÍ","",IF(CA42&gt;0,MAX(1,MIN(1.5,1.5-0.625*(BS42/CA42-0.2))),0))</f>
        <v/>
      </c>
      <c r="DD42" s="44" t="str">
        <f>IF(BI42&lt;&gt;"SÍ","",IF(OR(BW42&lt;DATOS!$C$72-0.0001,BM42&lt;0,CB42&lt;=0),0,MIN(DATOS!$C$86*(0.5*DATOS!$C$41*BT42*BW42*100+0.3*BM42*BW42/CB42*1000)*CY42,1.5*DATOS!$C$86*DATOS!$C$41*BT42*BW42*100*CY42)/1000))</f>
        <v/>
      </c>
      <c r="DE42" s="44" t="str">
        <f>IF(BI42&lt;&gt;"SÍ","",IF(OR(BX42&lt;DATOS!$C$72-0.0001,BM42&lt;0,CB42&lt;=0),0,MIN(DATOS!$C$86*(0.5*DATOS!$C$41*BT42*BX42*100+0.3*BM42*BX42/CB42*1000)*CZ42,1.5*DATOS!$C$86*DATOS!$C$41*BT42*BX42*100*CZ42)/1000))</f>
        <v/>
      </c>
      <c r="DF42" s="44" t="str">
        <f>IF(BI42&lt;&gt;"SÍ","",IF(OR(BY42&lt;DATOS!$C$72-0.0001,BM42&lt;0,CB42&lt;=0),0,MIN(DATOS!$C$86*(0.5*DATOS!$C$41*BT42*BY42*100+0.3*BM42*BY42/CB42*1000)*DA42,1.5*DATOS!$C$86*DATOS!$C$41*BT42*BY42*100*DA42)/1000))</f>
        <v/>
      </c>
      <c r="DG42" s="44" t="str">
        <f>IF(BI42&lt;&gt;"SÍ","",IF(OR(BZ42&lt;DATOS!$C$72-0.0001,BM42&lt;0,CB42&lt;=0),0,MIN(DATOS!$C$86*(0.5*DATOS!$C$41*BT42*BZ42*100+0.3*BM42*BZ42/CB42*1000)*DB42,1.5*DATOS!$C$86*DATOS!$C$41*BT42*BZ42*100*DB42)/1000))</f>
        <v/>
      </c>
      <c r="DH42" s="44" t="str">
        <f>IF(BI42&lt;&gt;"SÍ","",IF(OR(CA42&lt;DATOS!$C$72-0.0001,BM42&lt;0,CB42&lt;=0),0,MIN(DATOS!$C$86*(0.5*DATOS!$C$41*BT42*CA42*100+0.3*BM42*CA42/CB42*1000)*DC42,1.5*DATOS!$C$86*DATOS!$C$41*BT42*CA42*100*DC42)/1000))</f>
        <v/>
      </c>
      <c r="DI42" s="46" t="str">
        <f>IF(BI42&lt;&gt;"SÍ","",SUM(DD42:DH42))</f>
        <v/>
      </c>
      <c r="DJ42" s="48" t="str">
        <f>IF(BI42&lt;&gt;"SÍ","",IF(AE42="VARILLA EN JUNTAS",IF(ISNUMBER(AF42),AF42,2)*INDEX(TABLAS!$D$6:$D$14,MATCH(IF(AG42&lt;&gt;"",AG42,DATOS!$C$73),TABLAS!$B$6:$B$14,0)),IF(AE42="MALLA",IF(ISNUMBER(AF42),AF42,1)*INDEX(TABLAS!$D$19:$D$22,MATCH(IF(AG42&lt;&gt;"",AG42,DATOS!$C$74),TABLAS!$B$19:$B$22,0))/100,IF(AE42="ESCALERILLA",IF(ISNUMBER(AF42),AF42,2)*INDEX(TABLAS!$D$6:$D$14,MATCH(IF(AG42&lt;&gt;"",AG42,DATOS!$C$73),TABLAS!$B$6:$B$14,0)),0))))</f>
        <v/>
      </c>
      <c r="DK42" s="47" t="str">
        <f>IF(BI42&lt;&gt;"SÍ","",IF(OR(AE42="VARILLA EN JUNTAS",AE42="ESCALERILLA"),IF(ISNUMBER(AH42),AH42,2)*DATOS!$C$26,IF(AE42="MALLA",1,0)))</f>
        <v/>
      </c>
      <c r="DL42" s="44" t="str">
        <f>IF(BI42&lt;&gt;"SÍ","",IF(DK42&gt;0,DJ42/(DK42*BT42)*MIN(DATOS!$C$50,IF(AE42="MALLA",5000,6000)),0))</f>
        <v/>
      </c>
      <c r="DM42" s="44" t="str">
        <f>IF(BI42&lt;&gt;"SÍ","",IF(AE42="ESCALERILLA",0,MIN(DL42,0.1*DATOS!$C$33*DATOS!$C$24)))</f>
        <v/>
      </c>
      <c r="DN42" s="48" t="str">
        <f>IF(BI42&lt;&gt;"SÍ","",IF(AE42="MALLA",0.5,IF(DATOS!$C$33&lt;=60,0.55,IF(DATOS!$C$33&gt;=90,0.75,0.55+0.2*(DATOS!$C$33-60)/30))))</f>
        <v/>
      </c>
      <c r="DO42" s="48" t="str">
        <f>IF(BI42&lt;&gt;"SÍ","",1-DATOS!$C$91*DM42)</f>
        <v/>
      </c>
      <c r="DP42" s="44" t="str">
        <f>IF(BI42&lt;&gt;"SÍ","",IF(BW42&gt;0,IF(BS42/BW42&lt;=1,1.3,IF(BS42/BW42&gt;=1.5,1,1.3-0.6*(BS42/BW42-1))),0))</f>
        <v/>
      </c>
      <c r="DQ42" s="44" t="str">
        <f>IF(BI42&lt;&gt;"SÍ","",IF(BX42&gt;0,IF(BS42/BX42&lt;=1,1.3,IF(BS42/BX42&gt;=1.5,1,1.3-0.6*(BS42/BX42-1))),0))</f>
        <v/>
      </c>
      <c r="DR42" s="44" t="str">
        <f>IF(BI42&lt;&gt;"SÍ","",IF(BY42&gt;0,IF(BS42/BY42&lt;=1,1.3,IF(BS42/BY42&gt;=1.5,1,1.3-0.6*(BS42/BY42-1))),0))</f>
        <v/>
      </c>
      <c r="DS42" s="44" t="str">
        <f>IF(BI42&lt;&gt;"SÍ","",IF(BZ42&gt;0,IF(BS42/BZ42&lt;=1,1.3,IF(BS42/BZ42&gt;=1.5,1,1.3-0.6*(BS42/BZ42-1))),0))</f>
        <v/>
      </c>
      <c r="DT42" s="44" t="str">
        <f>IF(BI42&lt;&gt;"SÍ","",IF(CA42&gt;0,IF(BS42/CA42&lt;=1,1.3,IF(BS42/CA42&gt;=1.5,1,1.3-0.6*(BS42/CA42-1))),0))</f>
        <v/>
      </c>
      <c r="DU42" s="44" t="str">
        <f>IF(BI42&lt;&gt;"SÍ","",IF(OR(DM42&lt;=0,BW42&lt;DATOS!$C$72-0.0001),0,DATOS!$C$86*MAX(0,IF(BM42&gt;=0,DD42/(DATOS!$C$86*DM42*BT42*BW42*100/1000)*(DP42*DO42-1)+DN42,DO42*DN42))*DM42*BT42*BW42*100/1000))</f>
        <v/>
      </c>
      <c r="DV42" s="44" t="str">
        <f>IF(BI42&lt;&gt;"SÍ","",IF(OR(DM42&lt;=0,BX42&lt;DATOS!$C$72-0.0001),0,DATOS!$C$86*MAX(0,IF(BM42&gt;=0,DE42/(DATOS!$C$86*DM42*BT42*BX42*100/1000)*(DQ42*DO42-1)+DN42,DO42*DN42))*DM42*BT42*BX42*100/1000))</f>
        <v/>
      </c>
      <c r="DW42" s="44" t="str">
        <f>IF(BI42&lt;&gt;"SÍ","",IF(OR(DM42&lt;=0,BY42&lt;DATOS!$C$72-0.0001),0,DATOS!$C$86*MAX(0,IF(BM42&gt;=0,DF42/(DATOS!$C$86*DM42*BT42*BY42*100/1000)*(DR42*DO42-1)+DN42,DO42*DN42))*DM42*BT42*BY42*100/1000))</f>
        <v/>
      </c>
      <c r="DX42" s="44" t="str">
        <f>IF(BI42&lt;&gt;"SÍ","",IF(OR(DM42&lt;=0,BZ42&lt;DATOS!$C$72-0.0001),0,DATOS!$C$86*MAX(0,IF(BM42&gt;=0,DG42/(DATOS!$C$86*DM42*BT42*BZ42*100/1000)*(DS42*DO42-1)+DN42,DO42*DN42))*DM42*BT42*BZ42*100/1000))</f>
        <v/>
      </c>
      <c r="DY42" s="44" t="str">
        <f>IF(BI42&lt;&gt;"SÍ","",IF(OR(DM42&lt;=0,CA42&lt;DATOS!$C$72-0.0001),0,DATOS!$C$86*MAX(0,IF(BM42&gt;=0,DH42/(DATOS!$C$86*DM42*BT42*CA42*100/1000)*(DT42*DO42-1)+DN42,DO42*DN42))*DM42*BT42*CA42*100/1000))</f>
        <v/>
      </c>
      <c r="DZ42" s="46" t="str">
        <f>IF(BI42&lt;&gt;"SÍ","",SUM(DU42:DY42))</f>
        <v/>
      </c>
      <c r="EA42" s="45" t="str">
        <f>IF(BI42&lt;&gt;"SÍ","",IF(OR(AE42="",AE42="NINGUNO"),IF(DATOS!$C$41&gt;=10,"FALTA refuerzo horizontal: v'm ≥ 10 kg/cm² (6.5.2.2)",IF(AND(BM42&lt;0,BK42&gt;0),"FALTA: P en tensión, el refuerzo debe tomar todo el cortante (6.5.1.3)","—")),IF(AE42="ESCALERILLA","NO CUENTA: la escalerilla no se permite para cortante por sismo (6.5.3.1.2)",IF(AE42="MALLA",IF(AND(DL42&gt;=2.5,DL42&lt;=MAX(0.15*DATOS!$C$33*DATOS!$C$24,2.5)),"CUMPLE","NO CUMPLE: "&amp;IF(DL42&lt;2.5,"p_h·f_yh &lt; 2.5 (6.5.4.2.4)","p_h·f_yh &gt; 0.15·f'm·f_an (6.5.4.2.4)")),IF(AND(DK42&lt;=MIN(6*DATOS!$C$26,45),DL42&gt;=3,DL42&lt;=MIN(MAX(0.15*DATOS!$C$33*DATOS!$C$24,3),0.05*DATOS!$C$25/10*MIN(DATOS!$C$50,6000)/DK42),INDEX(TABLAS!$C$6:$C$14,MATCH(IF(AG42&lt;&gt;"",AG42,DATOS!$C$73),TABLAS!$B$6:$B$14,0))&gt;=0.35,INDEX(TABLAS!$C$6:$C$14,MATCH(IF(AG42&lt;&gt;"",AG42,DATOS!$C$73),TABLAS!$B$6:$B$14,0))&lt;=0.75*DATOS!$C$25/10),"CUMPLE","NO CUMPLE: "&amp;IF(DK42&gt;MIN(6*DATOS!$C$26,45),"s_h &gt; 6 hiladas o 45 cm (6.5.3.2.1) ","")&amp;IF(DL42&lt;3,"p_h·f_yh &lt; 3 (6.5.3.3.1) ","")&amp;IF(DL42&gt;MIN(MAX(0.15*DATOS!$C$33*DATOS!$C$24,3),0.05*DATOS!$C$25/10*MIN(DATOS!$C$50,6000)/DK42),"p_h·f_yh &gt; máximo (6.5.3.3.2) ","")&amp;IF(OR(INDEX(TABLAS!$C$6:$C$14,MATCH(IF(AG42&lt;&gt;"",AG42,DATOS!$C$73),TABLAS!$B$6:$B$14,0))&lt;0.35,INDEX(TABLAS!$C$6:$C$14,MATCH(IF(AG42&lt;&gt;"",AG42,DATOS!$C$73),TABLAS!$B$6:$B$14,0))&gt;0.75*DATOS!$C$25/10),"diámetro fuera de 3.5 mm a 0.75·h_j (4.2.2.2.1)",""))))))</f>
        <v/>
      </c>
      <c r="EB42" s="46" t="str">
        <f>IF(BI42&lt;&gt;"SÍ","",DI42+DZ42)</f>
        <v/>
      </c>
      <c r="EC42" s="50" t="str">
        <f>IF(BI42&lt;&gt;"SÍ","",IF(EB42&gt;0,BK42/EB42,IF(BK42&gt;0,99,0)))</f>
        <v/>
      </c>
      <c r="ED42" s="47" t="str">
        <f>IF(BI42&lt;&gt;"SÍ","",IF(CE42&lt;=0,-1,IF(BK42&lt;=DI42,0,IF(IF(BM42&gt;=0,IF((DATOS!$C$86*IF(AE42="MALLA",0.5,IF(DATOS!$C$33&lt;=60,0.55,IF(DATOS!$C$33&gt;=90,0.75,0.55+0.2*(DATOS!$C$33-60)/30)))*CE42/1000-DATOS!$C$91*SUMPRODUCT(DP42:DT42,DD42:DH42))&lt;=0,1E9,(BK42-SUMPRODUCT(DP42:DT42,DD42:DH42))/(DATOS!$C$86*IF(AE42="MALLA",0.5,IF(DATOS!$C$33&lt;=60,0.55,IF(DATOS!$C$33&gt;=90,0.75,0.55+0.2*(DATOS!$C$33-60)/30)))*CE42/1000-DATOS!$C$91*SUMPRODUCT(DP42:DT42,DD42:DH42))),IF((1-4*DATOS!$C$91*BK42*1000/(DATOS!$C$86*IF(AE42="MALLA",0.5,IF(DATOS!$C$33&lt;=60,0.55,IF(DATOS!$C$33&gt;=90,0.75,0.55+0.2*(DATOS!$C$33-60)/30)))*MAX(CE42,1)))&lt;0,1E9,(1-SQRT((1-4*DATOS!$C$91*BK42*1000/(DATOS!$C$86*IF(AE42="MALLA",0.5,IF(DATOS!$C$33&lt;=60,0.55,IF(DATOS!$C$33&gt;=90,0.75,0.55+0.2*(DATOS!$C$33-60)/30)))*MAX(CE42,1)))))/(2*DATOS!$C$91)))&gt;0.1*DATOS!$C$33*DATOS!$C$24+0.000001,-1,MAX(IF(AE42="MALLA",2.5,3),IF(BM42&gt;=0,IF((DATOS!$C$86*IF(AE42="MALLA",0.5,IF(DATOS!$C$33&lt;=60,0.55,IF(DATOS!$C$33&gt;=90,0.75,0.55+0.2*(DATOS!$C$33-60)/30)))*CE42/1000-DATOS!$C$91*SUMPRODUCT(DP42:DT42,DD42:DH42))&lt;=0,1E9,(BK42-SUMPRODUCT(DP42:DT42,DD42:DH42))/(DATOS!$C$86*IF(AE42="MALLA",0.5,IF(DATOS!$C$33&lt;=60,0.55,IF(DATOS!$C$33&gt;=90,0.75,0.55+0.2*(DATOS!$C$33-60)/30)))*CE42/1000-DATOS!$C$91*SUMPRODUCT(DP42:DT42,DD42:DH42))),IF((1-4*DATOS!$C$91*BK42*1000/(DATOS!$C$86*IF(AE42="MALLA",0.5,IF(DATOS!$C$33&lt;=60,0.55,IF(DATOS!$C$33&gt;=90,0.75,0.55+0.2*(DATOS!$C$33-60)/30)))*MAX(CE42,1)))&lt;0,1E9,(1-SQRT((1-4*DATOS!$C$91*BK42*1000/(DATOS!$C$86*IF(AE42="MALLA",0.5,IF(DATOS!$C$33&lt;=60,0.55,IF(DATOS!$C$33&gt;=90,0.75,0.55+0.2*(DATOS!$C$33-60)/30)))*MAX(CE42,1)))))/(2*DATOS!$C$91))))))))</f>
        <v/>
      </c>
      <c r="EE42" s="45" t="str">
        <f>IF(BI42&lt;&gt;"SÍ","",IF(ED42=0,"NO REQUIERE: V_mR ≥ V_u",IF(ED42&lt;0,"NO ALCANZA con refuerzo horizontal (haría falta más de 0.1·f'm·f_an efectivo): sube v'm con ensayes, el espesor o la longitud del muro",IF(AND(OR(AE42="VARILLA EN JUNTAS",AE42="MALLA"),LEFT(EA42,6)="CUMPLE",EC42&lt;=1),"YA LO TIENE (pide p_h·f_yh ≥ "&amp;TEXT(ED42,"0.0")&amp;" kg/cm²)","p_h·f_yh ≥ "&amp;TEXT(ED42,"0.0")&amp;" kg/cm² → "&amp;IF(AND(MIN(6,FLOOR(45/DATOS!$C$26,1),FLOOR((2*INDEX(TABLAS!$D$6:$D$14,MATCH("3/16 in",TABLAS!$B$6:$B$14,0)))*MIN(DATOS!$C$50,6000)/(BT42*DATOS!$C$26*MAX(ED42,0.001)),1))&gt;=1,((2*INDEX(TABLAS!$D$6:$D$14,MATCH("3/16 in",TABLAS!$B$6:$B$14,0)))*MIN(DATOS!$C$50,6000)/(MAX(MIN(6,FLOOR(45/DATOS!$C$26,1),FLOOR((2*INDEX(TABLAS!$D$6:$D$14,MATCH("3/16 in",TABLAS!$B$6:$B$14,0)))*MIN(DATOS!$C$50,6000)/(BT42*DATOS!$C$26*MAX(ED42,0.001)),1)),1)*DATOS!$C$26*BT42))&lt;=MIN(MAX(0.15*DATOS!$C$33*DATOS!$C$24,3),0.05*DATOS!$C$25/10*MIN(DATOS!$C$50,6000)/(MIN(6,FLOOR(45/DATOS!$C$26,1),FLOOR((2*INDEX(TABLAS!$D$6:$D$14,MATCH("3/16 in",TABLAS!$B$6:$B$14,0)))*MIN(DATOS!$C$50,6000)/(BT42*DATOS!$C$26*MAX(ED42,0.001)),1))*DATOS!$C$26))),"2 alambres de 3/16"" por junta cada "&amp;MIN(6,FLOOR(45/DATOS!$C$26,1),FLOOR((2*INDEX(TABLAS!$D$6:$D$14,MATCH("3/16 in",TABLAS!$B$6:$B$14,0)))*MIN(DATOS!$C$50,6000)/(BT42*DATOS!$C$26*MAX(ED42,0.001)),1))&amp;" hilada(s) (p_h·f_yh = "&amp;TEXT(((2*INDEX(TABLAS!$D$6:$D$14,MATCH("3/16 in",TABLAS!$B$6:$B$14,0)))*MIN(DATOS!$C$50,6000)/(MAX(MIN(6,FLOOR(45/DATOS!$C$26,1),FLOOR((2*INDEX(TABLAS!$D$6:$D$14,MATCH("3/16 in",TABLAS!$B$6:$B$14,0)))*MIN(DATOS!$C$50,6000)/(BT42*DATOS!$C$26*MAX(ED42,0.001)),1)),1)*DATOS!$C$26*BT42)),"0.00")&amp;")",IF(AND(MIN(6,FLOOR(45/DATOS!$C$26,1),FLOOR((2*INDEX(TABLAS!$D$6:$D$14,MATCH("5/32 in",TABLAS!$B$6:$B$14,0)))*MIN(DATOS!$C$50,6000)/(BT42*DATOS!$C$26*MAX(ED42,0.001)),1))&gt;=1,((2*INDEX(TABLAS!$D$6:$D$14,MATCH("5/32 in",TABLAS!$B$6:$B$14,0)))*MIN(DATOS!$C$50,6000)/(MAX(MIN(6,FLOOR(45/DATOS!$C$26,1),FLOOR((2*INDEX(TABLAS!$D$6:$D$14,MATCH("5/32 in",TABLAS!$B$6:$B$14,0)))*MIN(DATOS!$C$50,6000)/(BT42*DATOS!$C$26*MAX(ED42,0.001)),1)),1)*DATOS!$C$26*BT42))&lt;=MIN(MAX(0.15*DATOS!$C$33*DATOS!$C$24,3),0.05*DATOS!$C$25/10*MIN(DATOS!$C$50,6000)/(MIN(6,FLOOR(45/DATOS!$C$26,1),FLOOR((2*INDEX(TABLAS!$D$6:$D$14,MATCH("5/32 in",TABLAS!$B$6:$B$14,0)))*MIN(DATOS!$C$50,6000)/(BT42*DATOS!$C$26*MAX(ED42,0.001)),1))*DATOS!$C$26))),"2 alambres de 5/32"" por junta cada "&amp;MIN(6,FLOOR(45/DATOS!$C$26,1),FLOOR((2*INDEX(TABLAS!$D$6:$D$14,MATCH("5/32 in",TABLAS!$B$6:$B$14,0)))*MIN(DATOS!$C$50,6000)/(BT42*DATOS!$C$26*MAX(ED42,0.001)),1))&amp;" hilada(s) (p_h·f_yh = "&amp;TEXT(((2*INDEX(TABLAS!$D$6:$D$14,MATCH("5/32 in",TABLAS!$B$6:$B$14,0)))*MIN(DATOS!$C$50,6000)/(MAX(MIN(6,FLOOR(45/DATOS!$C$26,1),FLOOR((2*INDEX(TABLAS!$D$6:$D$14,MATCH("5/32 in",TABLAS!$B$6:$B$14,0)))*MIN(DATOS!$C$50,6000)/(BT42*DATOS!$C$26*MAX(ED42,0.001)),1)),1)*DATOS!$C$26*BT42)),"0.00")&amp;")",IF(AND(MIN(6,FLOOR(45/DATOS!$C$26,1),FLOOR((1*INDEX(TABLAS!$D$6:$D$14,MATCH("3/16 in",TABLAS!$B$6:$B$14,0)))*MIN(DATOS!$C$50,6000)/(BT42*DATOS!$C$26*MAX(ED42,0.001)),1))&gt;=1,((1*INDEX(TABLAS!$D$6:$D$14,MATCH("3/16 in",TABLAS!$B$6:$B$14,0)))*MIN(DATOS!$C$50,6000)/(MAX(MIN(6,FLOOR(45/DATOS!$C$26,1),FLOOR((1*INDEX(TABLAS!$D$6:$D$14,MATCH("3/16 in",TABLAS!$B$6:$B$14,0)))*MIN(DATOS!$C$50,6000)/(BT42*DATOS!$C$26*MAX(ED42,0.001)),1)),1)*DATOS!$C$26*BT42))&lt;=MIN(MAX(0.15*DATOS!$C$33*DATOS!$C$24,3),0.05*DATOS!$C$25/10*MIN(DATOS!$C$50,6000)/(MIN(6,FLOOR(45/DATOS!$C$26,1),FLOOR((1*INDEX(TABLAS!$D$6:$D$14,MATCH("3/16 in",TABLAS!$B$6:$B$14,0)))*MIN(DATOS!$C$50,6000)/(BT42*DATOS!$C$26*MAX(ED42,0.001)),1))*DATOS!$C$26))),"1 alambre de 3/16"" por junta cada "&amp;MIN(6,FLOOR(45/DATOS!$C$26,1),FLOOR((1*INDEX(TABLAS!$D$6:$D$14,MATCH("3/16 in",TABLAS!$B$6:$B$14,0)))*MIN(DATOS!$C$50,6000)/(BT42*DATOS!$C$26*MAX(ED42,0.001)),1))&amp;" hilada(s) (p_h·f_yh = "&amp;TEXT(((1*INDEX(TABLAS!$D$6:$D$14,MATCH("3/16 in",TABLAS!$B$6:$B$14,0)))*MIN(DATOS!$C$50,6000)/(MAX(MIN(6,FLOOR(45/DATOS!$C$26,1),FLOOR((1*INDEX(TABLAS!$D$6:$D$14,MATCH("3/16 in",TABLAS!$B$6:$B$14,0)))*MIN(DATOS!$C$50,6000)/(BT42*DATOS!$C$26*MAX(ED42,0.001)),1)),1)*DATOS!$C$26*BT42)),"0.00")&amp;")",IF(AND(MIN(6,FLOOR(45/DATOS!$C$26,1),FLOOR((1*INDEX(TABLAS!$D$6:$D$14,MATCH("5/32 in",TABLAS!$B$6:$B$14,0)))*MIN(DATOS!$C$50,6000)/(BT42*DATOS!$C$26*MAX(ED42,0.001)),1))&gt;=1,((1*INDEX(TABLAS!$D$6:$D$14,MATCH("5/32 in",TABLAS!$B$6:$B$14,0)))*MIN(DATOS!$C$50,6000)/(MAX(MIN(6,FLOOR(45/DATOS!$C$26,1),FLOOR((1*INDEX(TABLAS!$D$6:$D$14,MATCH("5/32 in",TABLAS!$B$6:$B$14,0)))*MIN(DATOS!$C$50,6000)/(BT42*DATOS!$C$26*MAX(ED42,0.001)),1)),1)*DATOS!$C$26*BT42))&lt;=MIN(MAX(0.15*DATOS!$C$33*DATOS!$C$24,3),0.05*DATOS!$C$25/10*MIN(DATOS!$C$50,6000)/(MIN(6,FLOOR(45/DATOS!$C$26,1),FLOOR((1*INDEX(TABLAS!$D$6:$D$14,MATCH("5/32 in",TABLAS!$B$6:$B$14,0)))*MIN(DATOS!$C$50,6000)/(BT42*DATOS!$C$26*MAX(ED42,0.001)),1))*DATOS!$C$26))),"1 alambre de 5/32"" por junta cada "&amp;MIN(6,FLOOR(45/DATOS!$C$26,1),FLOOR((1*INDEX(TABLAS!$D$6:$D$14,MATCH("5/32 in",TABLAS!$B$6:$B$14,0)))*MIN(DATOS!$C$50,6000)/(BT42*DATOS!$C$26*MAX(ED42,0.001)),1))&amp;" hilada(s) (p_h·f_yh = "&amp;TEXT(((1*INDEX(TABLAS!$D$6:$D$14,MATCH("5/32 in",TABLAS!$B$6:$B$14,0)))*MIN(DATOS!$C$50,6000)/(MAX(MIN(6,FLOOR(45/DATOS!$C$26,1),FLOOR((1*INDEX(TABLAS!$D$6:$D$14,MATCH("5/32 in",TABLAS!$B$6:$B$14,0)))*MIN(DATOS!$C$50,6000)/(BT42*DATOS!$C$26*MAX(ED42,0.001)),1)),1)*DATOS!$C$26*BT42)),"0.00")&amp;")","ninguna combinación de 1 o 2 alambres por junta queda entre el mínimo y el máximo: revisa con malla (6.5.4)"))))))))</f>
        <v/>
      </c>
      <c r="EF42" s="43" t="str">
        <f>IF(BI42&lt;&gt;"SÍ","",IF(AI42="SÍ",N(AK42)*N(AL42)^3/12,0))</f>
        <v/>
      </c>
      <c r="EG42" s="48" t="str">
        <f>IF(BI42&lt;&gt;"SÍ","",IF(AND(AI42="SÍ",N(AM42)&gt;0),MIN(1,F42/AM42),0))</f>
        <v/>
      </c>
      <c r="EH42" s="47" t="str">
        <f>IF(BI42&lt;&gt;"SÍ","",IF(AI42="SÍ",BP42*1000/(BT42*F42*100)*BT42*(EG42^4-4*EG42^3+8*EG42),0))</f>
        <v/>
      </c>
      <c r="EI42" s="48" t="str">
        <f>IF(BI42&lt;&gt;"SÍ","",IF(AND(AI42="SÍ",EH42&gt;0),EH42/(EH42+5*N(AN42)*10),0))</f>
        <v/>
      </c>
      <c r="EJ42" s="44" t="str">
        <f>IF(BI42&lt;&gt;"SÍ","",IF(AND(AI42="SÍ",EI42&gt;0,EF42&gt;0),(DATOS!$C$43*BT42*(AM42*100)^3/(DATOS!$C$53*EF42*EI42))^0.25,0))</f>
        <v/>
      </c>
      <c r="EK42" s="44" t="str">
        <f>IF(BI42&lt;&gt;"SÍ","",IF(AI42&lt;&gt;"SÍ",0,IF(N(AM42)&lt;=F42,1,IF(MIN(1,N(AO42)/((AM42-F42)/2))&lt;=0.5,0.7+0.6*MIN(1,N(AO42)/((AM42-F42)/2)),1.5-MIN(1,N(AO42)/((AM42-F42)/2))))))</f>
        <v/>
      </c>
      <c r="EL42" s="44" t="str">
        <f>IF(BI42&lt;&gt;"SÍ","",IF(AI42&lt;&gt;"SÍ",0,MAX(1,IF(EG42&gt;=1,(1.6*EJ42-3.9),IF(EG42&lt;0.9,((3.2*EJ42-7.8)*EK42),((3.2*EJ42-7.8)*EK42)+((1.6*EJ42-3.9)-((3.2*EJ42-7.8)*EK42))*(EG42-0.9)/0.1)))))</f>
        <v/>
      </c>
      <c r="EM42" s="47" t="str">
        <f>IF(BI42&lt;&gt;"SÍ","",IF(AI42="SÍ",EL42*BP42*1000/(BT42*F42*100),0))</f>
        <v/>
      </c>
      <c r="EN42" s="47" t="str">
        <f>IF(BI42&lt;&gt;"SÍ","",IF(AND(AI42="SÍ",N(AL42)&gt;0),AM42*100/AL42,0))</f>
        <v/>
      </c>
      <c r="EO42" s="47" t="str">
        <f>IF(BI42&lt;&gt;"SÍ","",IF(AI42="SÍ",(1/15*DATOS!$C$53*N(AK42)/MAX((IF(ISNUMBER(AP42),AP42,BP42/DATOS!$C$90)*1000/(BT42*F42*100)*BT42*(EG42^4-4*EG42^3+8*EG42))+5*N(AN42)/DATOS!$C$90*10,0.001))^(1/3),0))</f>
        <v/>
      </c>
      <c r="EP42" s="45" t="str">
        <f>IF(BI42&lt;&gt;"SÍ","",IF(AI42&lt;&gt;"SÍ","—",IF(OR(N(AK42)&lt;=0,N(AL42)&lt;=0,N(AM42)&lt;=0),"REVISAR: faltan b, h o L_v de la viga",IF(AND(EM42&lt;=DATOS!$C$87*DATOS!$C$33,EN42&lt;=14,N(AL42)&gt;=25,EN42&lt;=EO42),IF(BS42/F42&lt;0.6,"PENDIENTE: H/L &lt; 0.6, falta el análisis de interacción muro–viga (4.1.18.2.1); f_CM es estimado","CUMPLE"),"NO CUMPLE: "&amp;IF(EM42&gt;DATOS!$C$87*DATOS!$C$33,"f_CM &gt; F_R·f'm ","")&amp;IF(EN42&gt;14,"L_v/h_v &gt; 14 ","")&amp;IF(N(AL42)&lt;25,"h_v &lt; 25 cm ","")&amp;IF(EN42&gt;EO42,"flecha (4.1.18.3)","")))))</f>
        <v/>
      </c>
      <c r="EQ42" s="44" t="str">
        <f>IF(BI42&lt;&gt;"SÍ","",MAX(0,F42*BS42-(N(K42)*N(M42)+N(P42)*N(R42)+N(U42)*N(W42)+N(Z42)*N(AB42))-CK42*DATOS!$C$59/100*BS42))</f>
        <v/>
      </c>
      <c r="ER42" s="48" t="str">
        <f>IF(BI42&lt;&gt;"SÍ","",CK42*DATOS!$C$59*DATOS!$C$60/10000*BS42)</f>
        <v/>
      </c>
      <c r="ES42" s="47" t="str">
        <f>IF(BI42&lt;&gt;"SÍ","",CK42*(DATOS!$C$61*(BS42+0.6)*INDEX(TABLAS!$E$6:$E$14,MATCH(DATOS!$C$62,TABLAS!$B$6:$B$14,0))+(2*ROUNDUP(CN42/DATOS!$C$65,0)+ROUNDUP(MAX(0,BS42*100-2*CN42)/DATOS!$C$64,0))*((2*(DATOS!$C$60+DATOS!$C$59-4*(DATOS!$C$66-INDEX(TABLAS!$C$6:$C$14,MATCH(DATOS!$C$63,TABLAS!$B$6:$B$14,0))))+15)/100)*INDEX(TABLAS!$E$6:$E$14,MATCH(DATOS!$C$63,TABLAS!$B$6:$B$14,0))))</f>
        <v/>
      </c>
      <c r="ET42" s="47" t="str">
        <f>IF(BI42&lt;&gt;"SÍ","",IF(OR(AE42="VARILLA EN JUNTAS",AE42="ESCALERILLA"),INT(BS42*100/MAX(DK42,1))*IF(ISNUMBER(AF42),AF42,2)*CB42*INDEX(TABLAS!$E$6:$E$14,MATCH(IF(AG42&lt;&gt;"",AG42,DATOS!$C$73),TABLAS!$B$6:$B$14,0)),IF(AE42="MALLA",IF(ISNUMBER(AF42),AF42,1)*CB42*BS42*INDEX(TABLAS!$E$19:$E$22,MATCH(IF(AG42&lt;&gt;"",AG42,DATOS!$C$74),TABLAS!$B$19:$B$22,0)),0)))</f>
        <v/>
      </c>
      <c r="EU42" s="45" t="str">
        <f>IF(BI42&lt;&gt;"SÍ","",""&amp;IF(BJ42="NO ESTÁ EN PIER_FORCES","sin fuerzas en PIER_FORCES; ","")&amp;IF(BV42&lt;&gt;"CUMPLE","vanos; ","")&amp;IF(LEFT(CH42,2)="NO","espesor o esbeltez; ","")&amp;IF(CQ42&gt;1,"compresión; ","")&amp;IF(CX42&gt;1,"flexión; ","")&amp;IF(CB42&lt;=0,"sin tramos de muro (todos son machones menores que L mín.: diséñalos como columnas o baja L mín.); ",IF(EC42&gt;1,"cortante; ",""))&amp;IF(OR(LEFT(EA42,2)="NO",LEFT(EA42,5)="FALTA"),"refuerzo horizontal; ","")&amp;IF(OR(LEFT(EP42,2)="NO",LEFT(EP42,7)="REVISAR"),"muro sobre viga; ","")&amp;IF(LEFT(DATOS!$C$81,2)="NO","castillo típico; ","")&amp;IF(LEFT(DATOS!$C$82,2)="NO","dala típica; ","")&amp;IF(AND(BT42&lt;&gt;DATOS!$C$58,DATOS!$C$60&lt;BT42),"castillo más angosto que el muro; ",""))</f>
        <v/>
      </c>
      <c r="EV42" s="45" t="str">
        <f>IF(BI42&lt;&gt;"SÍ","",""&amp;IF(LEFT(EP42,9)="PENDIENTE","análisis muro–viga (H/L &lt; 0.6); ","")&amp;IF(BR42&gt;50,"V_u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2" s="51" t="str">
        <f>IF(BI42&lt;&gt;"SÍ","",IF(EU42&lt;&gt;"","NO CUMPLE: "&amp;LEFT(EU42,LEN(EU42)-2),IF(EV42&lt;&gt;"","CUMPLE — PENDIENTE: "&amp;LEFT(EV42,LEN(EV42)-2),"CUMPLE")))</f>
        <v/>
      </c>
      <c r="EX42" s="52" t="n"/>
    </row>
    <row r="43" ht="30" customHeight="1">
      <c r="A43" s="38" t="str">
        <f>IF(B43="","",ROW()-10)</f>
        <v/>
      </c>
      <c r="B43" s="28" t="n"/>
      <c r="C43" s="39" t="n"/>
      <c r="D43" s="39" t="n"/>
      <c r="E43" s="39" t="n"/>
      <c r="F43" s="40" t="n"/>
      <c r="G43" s="40" t="n"/>
      <c r="H43" s="41" t="n"/>
      <c r="I43" s="39" t="n"/>
      <c r="J43" s="40" t="n"/>
      <c r="K43" s="40" t="n"/>
      <c r="L43" s="40" t="n"/>
      <c r="M43" s="40" t="n"/>
      <c r="N43" s="39" t="n"/>
      <c r="O43" s="40" t="n"/>
      <c r="P43" s="40" t="n"/>
      <c r="Q43" s="40" t="n"/>
      <c r="R43" s="40" t="n"/>
      <c r="S43" s="39" t="n"/>
      <c r="T43" s="40" t="n"/>
      <c r="U43" s="40" t="n"/>
      <c r="V43" s="40" t="n"/>
      <c r="W43" s="40" t="n"/>
      <c r="X43" s="39" t="n"/>
      <c r="Y43" s="40" t="n"/>
      <c r="Z43" s="40" t="n"/>
      <c r="AA43" s="40" t="n"/>
      <c r="AB43" s="40" t="n"/>
      <c r="AC43" s="41" t="n"/>
      <c r="AD43" s="41" t="n"/>
      <c r="AE43" s="39" t="n"/>
      <c r="AF43" s="41" t="n"/>
      <c r="AG43" s="41" t="n"/>
      <c r="AH43" s="41" t="n"/>
      <c r="AI43" s="39" t="n"/>
      <c r="AJ43" s="39" t="n"/>
      <c r="AK43" s="41" t="n"/>
      <c r="AL43" s="41" t="n"/>
      <c r="AM43" s="40" t="n"/>
      <c r="AN43" s="40" t="n"/>
      <c r="AO43" s="40" t="n"/>
      <c r="AP43" s="40" t="n"/>
      <c r="AQ43" s="40" t="n"/>
      <c r="AR43" s="40" t="n"/>
      <c r="AS43" s="40" t="n"/>
      <c r="AT43" s="40" t="n"/>
      <c r="AU43" s="40" t="n"/>
      <c r="AV43" s="40" t="n"/>
      <c r="AW43" s="40" t="n"/>
      <c r="AX43" s="42" t="str">
        <f>IF(B43="","",C43&amp;"|"&amp;B43)</f>
        <v/>
      </c>
      <c r="AY43" s="43" t="str">
        <f>IF(B43="","",COUNTIFS(PIER_FORCES!$O$9:$O$3008,33,PIER_FORCES!$P$9:$P$3008,1))</f>
        <v/>
      </c>
      <c r="AZ43" s="43" t="str">
        <f>IF(B43="","",COUNTIFS(PIER_FORCES!$O$9:$O$3008,33,PIER_FORCES!$P$9:$P$3008,2))</f>
        <v/>
      </c>
      <c r="BA43" s="44">
        <f>IF(N(AY43)=0,0,SUMPRODUCT(MAX((PIER_FORCES!$O$9:$O$3008=33)*(PIER_FORCES!$P$9:$P$3008=1)*PIER_FORCES!$R$9:$R$3008)))</f>
        <v>0</v>
      </c>
      <c r="BB43" s="44">
        <f>IF(N(AY43)=0,0,SUMPRODUCT(MAX((PIER_FORCES!$O$9:$O$3008=33)*(PIER_FORCES!$P$9:$P$3008=1)*PIER_FORCES!$S$9:$S$3008)))</f>
        <v>0</v>
      </c>
      <c r="BC43" s="44">
        <f>IF(N(AY43)=0,0,-SUMPRODUCT(MAX((PIER_FORCES!$O$9:$O$3008=33)*(PIER_FORCES!$P$9:$P$3008=1)*(-PIER_FORCES!$Q$9:$Q$3008)+(1-(PIER_FORCES!$O$9:$O$3008=33)*(PIER_FORCES!$P$9:$P$3008=1))*(-1E9))))</f>
        <v>0</v>
      </c>
      <c r="BD43" s="44">
        <f>IF(N(AY43)=0,0,SUMPRODUCT(MAX((PIER_FORCES!$O$9:$O$3008=33)*(PIER_FORCES!$P$9:$P$3008=1)*PIER_FORCES!$Q$9:$Q$3008+(1-(PIER_FORCES!$O$9:$O$3008=33)*(PIER_FORCES!$P$9:$P$3008=1))*(-1E9))))</f>
        <v>0</v>
      </c>
      <c r="BE43" s="44">
        <f>IF(N(AZ43)=0,BD43,SUMPRODUCT(MAX((PIER_FORCES!$O$9:$O$3008=33)*(PIER_FORCES!$P$9:$P$3008=2)*PIER_FORCES!$Q$9:$Q$3008+(1-(PIER_FORCES!$O$9:$O$3008=33)*(PIER_FORCES!$P$9:$P$3008=2))*(-1E9))))</f>
        <v>0</v>
      </c>
      <c r="BF43" s="44">
        <f>IF(N(AZ43)=0,0,SUMPRODUCT(MAX((PIER_FORCES!$O$9:$O$3008=33)*(PIER_FORCES!$P$9:$P$3008=2)*PIER_FORCES!$R$9:$R$3008)))</f>
        <v>0</v>
      </c>
      <c r="BG43" s="43">
        <f>IF(N(AY43)=0,0,SUMPRODUCT(MAX((PIER_FORCES!$O$9:$O$3008=33)*(PIER_FORCES!$P$9:$P$3008=1)*(ABS(PIER_FORCES!$R$9:$R$3008-BA43)&lt;0.000001)*PIER_FORCES!$T$9:$T$3008)))</f>
        <v>0</v>
      </c>
      <c r="BH43" s="45" t="str">
        <f>IF(N(BG43)=0,"",INDEX(PIER_FORCES!$D$9:$D$3008,BG43)&amp;" "&amp;INDEX(PIER_FORCES!$F$9:$F$3008,BG43)&amp;" / "&amp;INDEX(PIER_FORCES!$G$9:$G$3008,BG43))</f>
        <v/>
      </c>
      <c r="BI43" s="42" t="str">
        <f>IF(B43="","",IF(AND(C43&lt;&gt;"",OR(D43="X",D43="Y"),ISNUMBER(F43),N(F43)&gt;0),"SÍ","NO"))</f>
        <v/>
      </c>
      <c r="BJ43" s="42" t="str">
        <f>IF(BI43&lt;&gt;"SÍ","",IF(DATOS!$C$108="ETABS (PIER_FORCES)",IF(N(AY43)&gt;0,"ETABS","NO ESTÁ EN PIER_FORCES"),"CAPTURA"))</f>
        <v/>
      </c>
      <c r="BK43" s="46" t="str">
        <f>IF(BI43&lt;&gt;"SÍ","",IF(BJ43="ETABS",BA43,IF(BJ43="CAPTURA",N(AQ43),0)))</f>
        <v/>
      </c>
      <c r="BL43" s="46" t="str">
        <f>IF(BI43&lt;&gt;"SÍ","",IF(BJ43="ETABS",BB43,IF(BJ43="CAPTURA",N(AR43),0)))</f>
        <v/>
      </c>
      <c r="BM43" s="46" t="str">
        <f>IF(BI43&lt;&gt;"SÍ","",IF(BJ43="ETABS",BC43/DATOS!$C$89,IF(BJ43="CAPTURA",N(AS43),0)))</f>
        <v/>
      </c>
      <c r="BN43" s="44" t="str">
        <f>IF(BI43&lt;&gt;"SÍ","",IF(BJ43="ETABS",BC43,IF(BJ43="CAPTURA",IF(ISNUMBER(AU43),AU43,N(AS43)*DATOS!$C$89),0)))</f>
        <v/>
      </c>
      <c r="BO43" s="44" t="str">
        <f>IF(BI43&lt;&gt;"SÍ","",IF(BJ43="ETABS",MAX(BD43,BE43),IF(BJ43="CAPTURA",N(AT43),0)))</f>
        <v/>
      </c>
      <c r="BP43" s="44" t="str">
        <f>IF(BI43&lt;&gt;"SÍ","",IF(BJ43="ETABS",BE43,IF(BJ43="CAPTURA",IF(ISNUMBER(AV43),AV43,N(AT43)),0)))</f>
        <v/>
      </c>
      <c r="BQ43" s="44" t="str">
        <f>IF(BI43&lt;&gt;"SÍ","",IF(BJ43="ETABS",BF43,IF(BJ43="CAPTURA",N(AW43),0)))</f>
        <v/>
      </c>
      <c r="BR43" s="43" t="str">
        <f>IF(BI43&lt;&gt;"SÍ","",IF(BK43&gt;0,100*BQ43/BK43,0))</f>
        <v/>
      </c>
      <c r="BS43" s="44" t="str">
        <f>IF(BI43&lt;&gt;"SÍ","",IF(ISNUMBER(G43),G43,DATOS!$C$57))</f>
        <v/>
      </c>
      <c r="BT43" s="47" t="str">
        <f>IF(BI43&lt;&gt;"SÍ","",IF(ISNUMBER(H43),H43,DATOS!$C$58))</f>
        <v/>
      </c>
      <c r="BU43" s="43" t="str">
        <f>IF(BI43&lt;&gt;"SÍ","",IF(N(K43)&gt;0,1+IF(N(P43)&gt;0,1+IF(N(U43)&gt;0,1+IF(N(Z43)&gt;0,1,0),0),0),0))</f>
        <v/>
      </c>
      <c r="BV43" s="45" t="str">
        <f>IF(BI43&lt;&gt;"SÍ","",IF(AND(OR(BU43&lt;1,AND(N(J43)&gt;=0-0.001,J43+K43&lt;=F43+0.001,N(L43)&gt;=0,N(L43)+N(M43)&lt;=BS43+0.001,N(M43)&gt;0,OR(I43="PUERTA",I43="VENTANA"))),OR(BU43&lt;2,AND(N(O43)&gt;=(J43+K43)-0.001,O43+P43&lt;=F43+0.001,N(Q43)&gt;=0,N(Q43)+N(R43)&lt;=BS43+0.001,N(R43)&gt;0,OR(N43="PUERTA",N43="VENTANA"))),OR(BU43&lt;3,AND(N(T43)&gt;=(O43+P43)-0.001,T43+U43&lt;=F43+0.001,N(V43)&gt;=0,N(V43)+N(W43)&lt;=BS43+0.001,N(W43)&gt;0,OR(S43="PUERTA",S43="VENTANA"))),OR(BU43&lt;4,AND(N(Y43)&gt;=(T43+U43)-0.001,Y43+Z43&lt;=F43+0.001,N(AA43)&gt;=0,N(AA43)+N(AB43)&lt;=BS43+0.001,N(AB43)&gt;0,OR(X43="PUERTA",X43="VENTANA"))),(N(K43)&gt;0)+(N(P43)&gt;0)+(N(U43)&gt;0)+(N(Z43)&gt;0)=BU43),"CUMPLE","REVISAR VANOS: tipo, orden de izquierda a derecha, que quepan en L y en H"))</f>
        <v/>
      </c>
      <c r="BW43" s="44" t="str">
        <f>IF(BI43&lt;&gt;"SÍ","",MAX(0,IF(BU43&gt;=1,N(J43),F43)))</f>
        <v/>
      </c>
      <c r="BX43" s="44" t="str">
        <f>IF(BI43&lt;&gt;"SÍ","",MAX(0,IF(BU43&gt;=2,N(O43)-(N(J43)+N(K43)),IF(BU43=1,F43-(N(J43)+N(K43)),0))))</f>
        <v/>
      </c>
      <c r="BY43" s="44" t="str">
        <f>IF(BI43&lt;&gt;"SÍ","",MAX(0,IF(BU43&gt;=3,N(T43)-(N(O43)+N(P43)),IF(BU43=2,F43-(N(O43)+N(P43)),0))))</f>
        <v/>
      </c>
      <c r="BZ43" s="44" t="str">
        <f>IF(BI43&lt;&gt;"SÍ","",MAX(0,IF(BU43&gt;=4,N(Y43)-(N(T43)+N(U43)),IF(BU43=3,F43-(N(T43)+N(U43)),0))))</f>
        <v/>
      </c>
      <c r="CA43" s="44" t="str">
        <f>IF(BI43&lt;&gt;"SÍ","",MAX(0,IF(BU43=4,F43-(N(Y43)+N(Z43)),0)))</f>
        <v/>
      </c>
      <c r="CB43" s="46" t="str">
        <f>IF(BI43&lt;&gt;"SÍ","",SUMPRODUCT((BW43:CA43&gt;=DATOS!$C$72-0.0001)*BW43:CA43))</f>
        <v/>
      </c>
      <c r="CC43" s="43" t="str">
        <f>IF(BI43&lt;&gt;"SÍ","",SUMPRODUCT(--(BW43:CA43&gt;=DATOS!$C$72-0.0001)))</f>
        <v/>
      </c>
      <c r="CD43" s="44" t="str">
        <f>IF(BI43&lt;&gt;"SÍ","",SUM(BW43:CA43))</f>
        <v/>
      </c>
      <c r="CE43" s="43" t="str">
        <f>IF(BI43&lt;&gt;"SÍ","",BT43*CB43*100)</f>
        <v/>
      </c>
      <c r="CF43" s="43" t="str">
        <f>IF(BI43&lt;&gt;"SÍ","",BT43*CD43*100)</f>
        <v/>
      </c>
      <c r="CG43" s="47" t="str">
        <f>IF(BI43&lt;&gt;"SÍ","",BS43*100/BT43)</f>
        <v/>
      </c>
      <c r="CH43" s="45" t="str">
        <f>IF(BI43&lt;&gt;"SÍ","",IF(AND(OR(DATOS!$C$14="TIPO II",BT43&gt;=12),CG43&lt;=25),"CUMPLE","NO CUMPLE: "&amp;IF(AND(DATOS!$C$14="TIPO I",BT43&lt;12),"t &lt; 12 cm ","")&amp;IF(CG43&gt;25,"H/t &gt; 25","")))</f>
        <v/>
      </c>
      <c r="CI43" s="44" t="str">
        <f>IF(BI43&lt;&gt;"SÍ","",MIN(1.5*BS43,4))</f>
        <v/>
      </c>
      <c r="CJ43" s="43" t="str">
        <f>IF(BI43&lt;&gt;"SÍ","",SUMPRODUCT((BW43:CA43&gt;=2*DATOS!$C$59/100)*INT((BW43:CA43-DATOS!$C$59/100)/CI43-0.000001)*((BW43:CA43-DATOS!$C$59/100)&gt;0)))</f>
        <v/>
      </c>
      <c r="CK43" s="43" t="str">
        <f>IF(BI43&lt;&gt;"SÍ","",SUMPRODUCT((BW43:CA43&gt;0.0001)*1+(BW43:CA43&gt;=2*DATOS!$C$59/100)*1)+CJ43)</f>
        <v/>
      </c>
      <c r="CL43" s="44" t="str">
        <f>IF(BI43&lt;&gt;"SÍ","",IF(ISNUMBER(AC43),AC43,DATOS!$C$61)*INDEX(TABLAS!$D$6:$D$14,MATCH(IF(AD43&lt;&gt;"",AD43,DATOS!$C$62),TABLAS!$B$6:$B$14,0)))</f>
        <v/>
      </c>
      <c r="CM43" s="44" t="str">
        <f>IF(BI43&lt;&gt;"SÍ","",CK43*DATOS!$C$78+IF(CK43&gt;=2,2,CK43)*(CL43-DATOS!$C$78))</f>
        <v/>
      </c>
      <c r="CN43" s="47" t="str">
        <f>IF(BI43&lt;&gt;"SÍ","",MAX(BS43*100/6,40))</f>
        <v/>
      </c>
      <c r="CO43" s="48" t="str">
        <f>IF(BI43&lt;&gt;"SÍ","",IF(CG43&lt;=20,IF(E43="INTERIOR",0.7,0.6),MIN(IF(E43="INTERIOR",0.7,0.6),(1-2/24)*(1-(IF(E43="INTERIOR",0.8,1)*CG43/30)^2))))</f>
        <v/>
      </c>
      <c r="CP43" s="47" t="str">
        <f>IF(BI43&lt;&gt;"SÍ","",DATOS!$C$87*CO43*(DATOS!$C$33*CF43+CM43*DATOS!$C$48)/1000)</f>
        <v/>
      </c>
      <c r="CQ43" s="46" t="str">
        <f>IF(BI43&lt;&gt;"SÍ","",IF(CP43&gt;0,BO43/CP43,99))</f>
        <v/>
      </c>
      <c r="CR43" s="47" t="str">
        <f>IF(BI43&lt;&gt;"SÍ","",MAX(0,F43*100-DATOS!$C$59))</f>
        <v/>
      </c>
      <c r="CS43" s="47" t="str">
        <f>IF(BI43&lt;&gt;"SÍ","",MAX(0,F43*100-DATOS!$C$59/2))</f>
        <v/>
      </c>
      <c r="CT43" s="44" t="str">
        <f>IF(BI43&lt;&gt;"SÍ","",CL43*DATOS!$C$48*CR43/100000)</f>
        <v/>
      </c>
      <c r="CU43" s="44" t="str">
        <f>IF(BI43&lt;&gt;"SÍ","",IF(BN43&lt;0,0.8*CT43*MAX(0,1+BN43/(0.8*CM43*DATOS!$C$48/1000)),IF(BN43&lt;=CP43/3,0.8*CT43+0.3*BN43*CS43/100,(1.5*0.6*CT43+0.15*CP43*CS43/100)*MAX(0,1-BN43/CP43))))</f>
        <v/>
      </c>
      <c r="CV43" s="44" t="str">
        <f>IF(BI43&lt;&gt;"SÍ","",IF(BO43&lt;0,0.8*CT43*MAX(0,1+BO43/(0.8*CM43*DATOS!$C$48/1000)),IF(BO43&lt;=CP43/3,0.8*CT43+0.3*BO43*CS43/100,(1.5*0.6*CT43+0.15*CP43*CS43/100)*MAX(0,1-BO43/CP43))))</f>
        <v/>
      </c>
      <c r="CW43" s="46" t="str">
        <f>IF(BI43&lt;&gt;"SÍ","",MAX(0,MIN(CU43,CV43)))</f>
        <v/>
      </c>
      <c r="CX43" s="49" t="str">
        <f>IF(BI43&lt;&gt;"SÍ","",IF(CW43&gt;0,BL43/CW43,IF(BL43&gt;0,99,0)))</f>
        <v/>
      </c>
      <c r="CY43" s="44" t="str">
        <f>IF(BI43&lt;&gt;"SÍ","",IF(BW43&gt;0,MAX(1,MIN(1.5,1.5-0.625*(BS43/BW43-0.2))),0))</f>
        <v/>
      </c>
      <c r="CZ43" s="44" t="str">
        <f>IF(BI43&lt;&gt;"SÍ","",IF(BX43&gt;0,MAX(1,MIN(1.5,1.5-0.625*(BS43/BX43-0.2))),0))</f>
        <v/>
      </c>
      <c r="DA43" s="44" t="str">
        <f>IF(BI43&lt;&gt;"SÍ","",IF(BY43&gt;0,MAX(1,MIN(1.5,1.5-0.625*(BS43/BY43-0.2))),0))</f>
        <v/>
      </c>
      <c r="DB43" s="44" t="str">
        <f>IF(BI43&lt;&gt;"SÍ","",IF(BZ43&gt;0,MAX(1,MIN(1.5,1.5-0.625*(BS43/BZ43-0.2))),0))</f>
        <v/>
      </c>
      <c r="DC43" s="44" t="str">
        <f>IF(BI43&lt;&gt;"SÍ","",IF(CA43&gt;0,MAX(1,MIN(1.5,1.5-0.625*(BS43/CA43-0.2))),0))</f>
        <v/>
      </c>
      <c r="DD43" s="44" t="str">
        <f>IF(BI43&lt;&gt;"SÍ","",IF(OR(BW43&lt;DATOS!$C$72-0.0001,BM43&lt;0,CB43&lt;=0),0,MIN(DATOS!$C$86*(0.5*DATOS!$C$41*BT43*BW43*100+0.3*BM43*BW43/CB43*1000)*CY43,1.5*DATOS!$C$86*DATOS!$C$41*BT43*BW43*100*CY43)/1000))</f>
        <v/>
      </c>
      <c r="DE43" s="44" t="str">
        <f>IF(BI43&lt;&gt;"SÍ","",IF(OR(BX43&lt;DATOS!$C$72-0.0001,BM43&lt;0,CB43&lt;=0),0,MIN(DATOS!$C$86*(0.5*DATOS!$C$41*BT43*BX43*100+0.3*BM43*BX43/CB43*1000)*CZ43,1.5*DATOS!$C$86*DATOS!$C$41*BT43*BX43*100*CZ43)/1000))</f>
        <v/>
      </c>
      <c r="DF43" s="44" t="str">
        <f>IF(BI43&lt;&gt;"SÍ","",IF(OR(BY43&lt;DATOS!$C$72-0.0001,BM43&lt;0,CB43&lt;=0),0,MIN(DATOS!$C$86*(0.5*DATOS!$C$41*BT43*BY43*100+0.3*BM43*BY43/CB43*1000)*DA43,1.5*DATOS!$C$86*DATOS!$C$41*BT43*BY43*100*DA43)/1000))</f>
        <v/>
      </c>
      <c r="DG43" s="44" t="str">
        <f>IF(BI43&lt;&gt;"SÍ","",IF(OR(BZ43&lt;DATOS!$C$72-0.0001,BM43&lt;0,CB43&lt;=0),0,MIN(DATOS!$C$86*(0.5*DATOS!$C$41*BT43*BZ43*100+0.3*BM43*BZ43/CB43*1000)*DB43,1.5*DATOS!$C$86*DATOS!$C$41*BT43*BZ43*100*DB43)/1000))</f>
        <v/>
      </c>
      <c r="DH43" s="44" t="str">
        <f>IF(BI43&lt;&gt;"SÍ","",IF(OR(CA43&lt;DATOS!$C$72-0.0001,BM43&lt;0,CB43&lt;=0),0,MIN(DATOS!$C$86*(0.5*DATOS!$C$41*BT43*CA43*100+0.3*BM43*CA43/CB43*1000)*DC43,1.5*DATOS!$C$86*DATOS!$C$41*BT43*CA43*100*DC43)/1000))</f>
        <v/>
      </c>
      <c r="DI43" s="46" t="str">
        <f>IF(BI43&lt;&gt;"SÍ","",SUM(DD43:DH43))</f>
        <v/>
      </c>
      <c r="DJ43" s="48" t="str">
        <f>IF(BI43&lt;&gt;"SÍ","",IF(AE43="VARILLA EN JUNTAS",IF(ISNUMBER(AF43),AF43,2)*INDEX(TABLAS!$D$6:$D$14,MATCH(IF(AG43&lt;&gt;"",AG43,DATOS!$C$73),TABLAS!$B$6:$B$14,0)),IF(AE43="MALLA",IF(ISNUMBER(AF43),AF43,1)*INDEX(TABLAS!$D$19:$D$22,MATCH(IF(AG43&lt;&gt;"",AG43,DATOS!$C$74),TABLAS!$B$19:$B$22,0))/100,IF(AE43="ESCALERILLA",IF(ISNUMBER(AF43),AF43,2)*INDEX(TABLAS!$D$6:$D$14,MATCH(IF(AG43&lt;&gt;"",AG43,DATOS!$C$73),TABLAS!$B$6:$B$14,0)),0))))</f>
        <v/>
      </c>
      <c r="DK43" s="47" t="str">
        <f>IF(BI43&lt;&gt;"SÍ","",IF(OR(AE43="VARILLA EN JUNTAS",AE43="ESCALERILLA"),IF(ISNUMBER(AH43),AH43,2)*DATOS!$C$26,IF(AE43="MALLA",1,0)))</f>
        <v/>
      </c>
      <c r="DL43" s="44" t="str">
        <f>IF(BI43&lt;&gt;"SÍ","",IF(DK43&gt;0,DJ43/(DK43*BT43)*MIN(DATOS!$C$50,IF(AE43="MALLA",5000,6000)),0))</f>
        <v/>
      </c>
      <c r="DM43" s="44" t="str">
        <f>IF(BI43&lt;&gt;"SÍ","",IF(AE43="ESCALERILLA",0,MIN(DL43,0.1*DATOS!$C$33*DATOS!$C$24)))</f>
        <v/>
      </c>
      <c r="DN43" s="48" t="str">
        <f>IF(BI43&lt;&gt;"SÍ","",IF(AE43="MALLA",0.5,IF(DATOS!$C$33&lt;=60,0.55,IF(DATOS!$C$33&gt;=90,0.75,0.55+0.2*(DATOS!$C$33-60)/30))))</f>
        <v/>
      </c>
      <c r="DO43" s="48" t="str">
        <f>IF(BI43&lt;&gt;"SÍ","",1-DATOS!$C$91*DM43)</f>
        <v/>
      </c>
      <c r="DP43" s="44" t="str">
        <f>IF(BI43&lt;&gt;"SÍ","",IF(BW43&gt;0,IF(BS43/BW43&lt;=1,1.3,IF(BS43/BW43&gt;=1.5,1,1.3-0.6*(BS43/BW43-1))),0))</f>
        <v/>
      </c>
      <c r="DQ43" s="44" t="str">
        <f>IF(BI43&lt;&gt;"SÍ","",IF(BX43&gt;0,IF(BS43/BX43&lt;=1,1.3,IF(BS43/BX43&gt;=1.5,1,1.3-0.6*(BS43/BX43-1))),0))</f>
        <v/>
      </c>
      <c r="DR43" s="44" t="str">
        <f>IF(BI43&lt;&gt;"SÍ","",IF(BY43&gt;0,IF(BS43/BY43&lt;=1,1.3,IF(BS43/BY43&gt;=1.5,1,1.3-0.6*(BS43/BY43-1))),0))</f>
        <v/>
      </c>
      <c r="DS43" s="44" t="str">
        <f>IF(BI43&lt;&gt;"SÍ","",IF(BZ43&gt;0,IF(BS43/BZ43&lt;=1,1.3,IF(BS43/BZ43&gt;=1.5,1,1.3-0.6*(BS43/BZ43-1))),0))</f>
        <v/>
      </c>
      <c r="DT43" s="44" t="str">
        <f>IF(BI43&lt;&gt;"SÍ","",IF(CA43&gt;0,IF(BS43/CA43&lt;=1,1.3,IF(BS43/CA43&gt;=1.5,1,1.3-0.6*(BS43/CA43-1))),0))</f>
        <v/>
      </c>
      <c r="DU43" s="44" t="str">
        <f>IF(BI43&lt;&gt;"SÍ","",IF(OR(DM43&lt;=0,BW43&lt;DATOS!$C$72-0.0001),0,DATOS!$C$86*MAX(0,IF(BM43&gt;=0,DD43/(DATOS!$C$86*DM43*BT43*BW43*100/1000)*(DP43*DO43-1)+DN43,DO43*DN43))*DM43*BT43*BW43*100/1000))</f>
        <v/>
      </c>
      <c r="DV43" s="44" t="str">
        <f>IF(BI43&lt;&gt;"SÍ","",IF(OR(DM43&lt;=0,BX43&lt;DATOS!$C$72-0.0001),0,DATOS!$C$86*MAX(0,IF(BM43&gt;=0,DE43/(DATOS!$C$86*DM43*BT43*BX43*100/1000)*(DQ43*DO43-1)+DN43,DO43*DN43))*DM43*BT43*BX43*100/1000))</f>
        <v/>
      </c>
      <c r="DW43" s="44" t="str">
        <f>IF(BI43&lt;&gt;"SÍ","",IF(OR(DM43&lt;=0,BY43&lt;DATOS!$C$72-0.0001),0,DATOS!$C$86*MAX(0,IF(BM43&gt;=0,DF43/(DATOS!$C$86*DM43*BT43*BY43*100/1000)*(DR43*DO43-1)+DN43,DO43*DN43))*DM43*BT43*BY43*100/1000))</f>
        <v/>
      </c>
      <c r="DX43" s="44" t="str">
        <f>IF(BI43&lt;&gt;"SÍ","",IF(OR(DM43&lt;=0,BZ43&lt;DATOS!$C$72-0.0001),0,DATOS!$C$86*MAX(0,IF(BM43&gt;=0,DG43/(DATOS!$C$86*DM43*BT43*BZ43*100/1000)*(DS43*DO43-1)+DN43,DO43*DN43))*DM43*BT43*BZ43*100/1000))</f>
        <v/>
      </c>
      <c r="DY43" s="44" t="str">
        <f>IF(BI43&lt;&gt;"SÍ","",IF(OR(DM43&lt;=0,CA43&lt;DATOS!$C$72-0.0001),0,DATOS!$C$86*MAX(0,IF(BM43&gt;=0,DH43/(DATOS!$C$86*DM43*BT43*CA43*100/1000)*(DT43*DO43-1)+DN43,DO43*DN43))*DM43*BT43*CA43*100/1000))</f>
        <v/>
      </c>
      <c r="DZ43" s="46" t="str">
        <f>IF(BI43&lt;&gt;"SÍ","",SUM(DU43:DY43))</f>
        <v/>
      </c>
      <c r="EA43" s="45" t="str">
        <f>IF(BI43&lt;&gt;"SÍ","",IF(OR(AE43="",AE43="NINGUNO"),IF(DATOS!$C$41&gt;=10,"FALTA refuerzo horizontal: v'm ≥ 10 kg/cm² (6.5.2.2)",IF(AND(BM43&lt;0,BK43&gt;0),"FALTA: P en tensión, el refuerzo debe tomar todo el cortante (6.5.1.3)","—")),IF(AE43="ESCALERILLA","NO CUENTA: la escalerilla no se permite para cortante por sismo (6.5.3.1.2)",IF(AE43="MALLA",IF(AND(DL43&gt;=2.5,DL43&lt;=MAX(0.15*DATOS!$C$33*DATOS!$C$24,2.5)),"CUMPLE","NO CUMPLE: "&amp;IF(DL43&lt;2.5,"p_h·f_yh &lt; 2.5 (6.5.4.2.4)","p_h·f_yh &gt; 0.15·f'm·f_an (6.5.4.2.4)")),IF(AND(DK43&lt;=MIN(6*DATOS!$C$26,45),DL43&gt;=3,DL43&lt;=MIN(MAX(0.15*DATOS!$C$33*DATOS!$C$24,3),0.05*DATOS!$C$25/10*MIN(DATOS!$C$50,6000)/DK43),INDEX(TABLAS!$C$6:$C$14,MATCH(IF(AG43&lt;&gt;"",AG43,DATOS!$C$73),TABLAS!$B$6:$B$14,0))&gt;=0.35,INDEX(TABLAS!$C$6:$C$14,MATCH(IF(AG43&lt;&gt;"",AG43,DATOS!$C$73),TABLAS!$B$6:$B$14,0))&lt;=0.75*DATOS!$C$25/10),"CUMPLE","NO CUMPLE: "&amp;IF(DK43&gt;MIN(6*DATOS!$C$26,45),"s_h &gt; 6 hiladas o 45 cm (6.5.3.2.1) ","")&amp;IF(DL43&lt;3,"p_h·f_yh &lt; 3 (6.5.3.3.1) ","")&amp;IF(DL43&gt;MIN(MAX(0.15*DATOS!$C$33*DATOS!$C$24,3),0.05*DATOS!$C$25/10*MIN(DATOS!$C$50,6000)/DK43),"p_h·f_yh &gt; máximo (6.5.3.3.2) ","")&amp;IF(OR(INDEX(TABLAS!$C$6:$C$14,MATCH(IF(AG43&lt;&gt;"",AG43,DATOS!$C$73),TABLAS!$B$6:$B$14,0))&lt;0.35,INDEX(TABLAS!$C$6:$C$14,MATCH(IF(AG43&lt;&gt;"",AG43,DATOS!$C$73),TABLAS!$B$6:$B$14,0))&gt;0.75*DATOS!$C$25/10),"diámetro fuera de 3.5 mm a 0.75·h_j (4.2.2.2.1)",""))))))</f>
        <v/>
      </c>
      <c r="EB43" s="46" t="str">
        <f>IF(BI43&lt;&gt;"SÍ","",DI43+DZ43)</f>
        <v/>
      </c>
      <c r="EC43" s="50" t="str">
        <f>IF(BI43&lt;&gt;"SÍ","",IF(EB43&gt;0,BK43/EB43,IF(BK43&gt;0,99,0)))</f>
        <v/>
      </c>
      <c r="ED43" s="47" t="str">
        <f>IF(BI43&lt;&gt;"SÍ","",IF(CE43&lt;=0,-1,IF(BK43&lt;=DI43,0,IF(IF(BM43&gt;=0,IF((DATOS!$C$86*IF(AE43="MALLA",0.5,IF(DATOS!$C$33&lt;=60,0.55,IF(DATOS!$C$33&gt;=90,0.75,0.55+0.2*(DATOS!$C$33-60)/30)))*CE43/1000-DATOS!$C$91*SUMPRODUCT(DP43:DT43,DD43:DH43))&lt;=0,1E9,(BK43-SUMPRODUCT(DP43:DT43,DD43:DH43))/(DATOS!$C$86*IF(AE43="MALLA",0.5,IF(DATOS!$C$33&lt;=60,0.55,IF(DATOS!$C$33&gt;=90,0.75,0.55+0.2*(DATOS!$C$33-60)/30)))*CE43/1000-DATOS!$C$91*SUMPRODUCT(DP43:DT43,DD43:DH43))),IF((1-4*DATOS!$C$91*BK43*1000/(DATOS!$C$86*IF(AE43="MALLA",0.5,IF(DATOS!$C$33&lt;=60,0.55,IF(DATOS!$C$33&gt;=90,0.75,0.55+0.2*(DATOS!$C$33-60)/30)))*MAX(CE43,1)))&lt;0,1E9,(1-SQRT((1-4*DATOS!$C$91*BK43*1000/(DATOS!$C$86*IF(AE43="MALLA",0.5,IF(DATOS!$C$33&lt;=60,0.55,IF(DATOS!$C$33&gt;=90,0.75,0.55+0.2*(DATOS!$C$33-60)/30)))*MAX(CE43,1)))))/(2*DATOS!$C$91)))&gt;0.1*DATOS!$C$33*DATOS!$C$24+0.000001,-1,MAX(IF(AE43="MALLA",2.5,3),IF(BM43&gt;=0,IF((DATOS!$C$86*IF(AE43="MALLA",0.5,IF(DATOS!$C$33&lt;=60,0.55,IF(DATOS!$C$33&gt;=90,0.75,0.55+0.2*(DATOS!$C$33-60)/30)))*CE43/1000-DATOS!$C$91*SUMPRODUCT(DP43:DT43,DD43:DH43))&lt;=0,1E9,(BK43-SUMPRODUCT(DP43:DT43,DD43:DH43))/(DATOS!$C$86*IF(AE43="MALLA",0.5,IF(DATOS!$C$33&lt;=60,0.55,IF(DATOS!$C$33&gt;=90,0.75,0.55+0.2*(DATOS!$C$33-60)/30)))*CE43/1000-DATOS!$C$91*SUMPRODUCT(DP43:DT43,DD43:DH43))),IF((1-4*DATOS!$C$91*BK43*1000/(DATOS!$C$86*IF(AE43="MALLA",0.5,IF(DATOS!$C$33&lt;=60,0.55,IF(DATOS!$C$33&gt;=90,0.75,0.55+0.2*(DATOS!$C$33-60)/30)))*MAX(CE43,1)))&lt;0,1E9,(1-SQRT((1-4*DATOS!$C$91*BK43*1000/(DATOS!$C$86*IF(AE43="MALLA",0.5,IF(DATOS!$C$33&lt;=60,0.55,IF(DATOS!$C$33&gt;=90,0.75,0.55+0.2*(DATOS!$C$33-60)/30)))*MAX(CE43,1)))))/(2*DATOS!$C$91))))))))</f>
        <v/>
      </c>
      <c r="EE43" s="45" t="str">
        <f>IF(BI43&lt;&gt;"SÍ","",IF(ED43=0,"NO REQUIERE: V_mR ≥ V_u",IF(ED43&lt;0,"NO ALCANZA con refuerzo horizontal (haría falta más de 0.1·f'm·f_an efectivo): sube v'm con ensayes, el espesor o la longitud del muro",IF(AND(OR(AE43="VARILLA EN JUNTAS",AE43="MALLA"),LEFT(EA43,6)="CUMPLE",EC43&lt;=1),"YA LO TIENE (pide p_h·f_yh ≥ "&amp;TEXT(ED43,"0.0")&amp;" kg/cm²)","p_h·f_yh ≥ "&amp;TEXT(ED43,"0.0")&amp;" kg/cm² → "&amp;IF(AND(MIN(6,FLOOR(45/DATOS!$C$26,1),FLOOR((2*INDEX(TABLAS!$D$6:$D$14,MATCH("3/16 in",TABLAS!$B$6:$B$14,0)))*MIN(DATOS!$C$50,6000)/(BT43*DATOS!$C$26*MAX(ED43,0.001)),1))&gt;=1,((2*INDEX(TABLAS!$D$6:$D$14,MATCH("3/16 in",TABLAS!$B$6:$B$14,0)))*MIN(DATOS!$C$50,6000)/(MAX(MIN(6,FLOOR(45/DATOS!$C$26,1),FLOOR((2*INDEX(TABLAS!$D$6:$D$14,MATCH("3/16 in",TABLAS!$B$6:$B$14,0)))*MIN(DATOS!$C$50,6000)/(BT43*DATOS!$C$26*MAX(ED43,0.001)),1)),1)*DATOS!$C$26*BT43))&lt;=MIN(MAX(0.15*DATOS!$C$33*DATOS!$C$24,3),0.05*DATOS!$C$25/10*MIN(DATOS!$C$50,6000)/(MIN(6,FLOOR(45/DATOS!$C$26,1),FLOOR((2*INDEX(TABLAS!$D$6:$D$14,MATCH("3/16 in",TABLAS!$B$6:$B$14,0)))*MIN(DATOS!$C$50,6000)/(BT43*DATOS!$C$26*MAX(ED43,0.001)),1))*DATOS!$C$26))),"2 alambres de 3/16"" por junta cada "&amp;MIN(6,FLOOR(45/DATOS!$C$26,1),FLOOR((2*INDEX(TABLAS!$D$6:$D$14,MATCH("3/16 in",TABLAS!$B$6:$B$14,0)))*MIN(DATOS!$C$50,6000)/(BT43*DATOS!$C$26*MAX(ED43,0.001)),1))&amp;" hilada(s) (p_h·f_yh = "&amp;TEXT(((2*INDEX(TABLAS!$D$6:$D$14,MATCH("3/16 in",TABLAS!$B$6:$B$14,0)))*MIN(DATOS!$C$50,6000)/(MAX(MIN(6,FLOOR(45/DATOS!$C$26,1),FLOOR((2*INDEX(TABLAS!$D$6:$D$14,MATCH("3/16 in",TABLAS!$B$6:$B$14,0)))*MIN(DATOS!$C$50,6000)/(BT43*DATOS!$C$26*MAX(ED43,0.001)),1)),1)*DATOS!$C$26*BT43)),"0.00")&amp;")",IF(AND(MIN(6,FLOOR(45/DATOS!$C$26,1),FLOOR((2*INDEX(TABLAS!$D$6:$D$14,MATCH("5/32 in",TABLAS!$B$6:$B$14,0)))*MIN(DATOS!$C$50,6000)/(BT43*DATOS!$C$26*MAX(ED43,0.001)),1))&gt;=1,((2*INDEX(TABLAS!$D$6:$D$14,MATCH("5/32 in",TABLAS!$B$6:$B$14,0)))*MIN(DATOS!$C$50,6000)/(MAX(MIN(6,FLOOR(45/DATOS!$C$26,1),FLOOR((2*INDEX(TABLAS!$D$6:$D$14,MATCH("5/32 in",TABLAS!$B$6:$B$14,0)))*MIN(DATOS!$C$50,6000)/(BT43*DATOS!$C$26*MAX(ED43,0.001)),1)),1)*DATOS!$C$26*BT43))&lt;=MIN(MAX(0.15*DATOS!$C$33*DATOS!$C$24,3),0.05*DATOS!$C$25/10*MIN(DATOS!$C$50,6000)/(MIN(6,FLOOR(45/DATOS!$C$26,1),FLOOR((2*INDEX(TABLAS!$D$6:$D$14,MATCH("5/32 in",TABLAS!$B$6:$B$14,0)))*MIN(DATOS!$C$50,6000)/(BT43*DATOS!$C$26*MAX(ED43,0.001)),1))*DATOS!$C$26))),"2 alambres de 5/32"" por junta cada "&amp;MIN(6,FLOOR(45/DATOS!$C$26,1),FLOOR((2*INDEX(TABLAS!$D$6:$D$14,MATCH("5/32 in",TABLAS!$B$6:$B$14,0)))*MIN(DATOS!$C$50,6000)/(BT43*DATOS!$C$26*MAX(ED43,0.001)),1))&amp;" hilada(s) (p_h·f_yh = "&amp;TEXT(((2*INDEX(TABLAS!$D$6:$D$14,MATCH("5/32 in",TABLAS!$B$6:$B$14,0)))*MIN(DATOS!$C$50,6000)/(MAX(MIN(6,FLOOR(45/DATOS!$C$26,1),FLOOR((2*INDEX(TABLAS!$D$6:$D$14,MATCH("5/32 in",TABLAS!$B$6:$B$14,0)))*MIN(DATOS!$C$50,6000)/(BT43*DATOS!$C$26*MAX(ED43,0.001)),1)),1)*DATOS!$C$26*BT43)),"0.00")&amp;")",IF(AND(MIN(6,FLOOR(45/DATOS!$C$26,1),FLOOR((1*INDEX(TABLAS!$D$6:$D$14,MATCH("3/16 in",TABLAS!$B$6:$B$14,0)))*MIN(DATOS!$C$50,6000)/(BT43*DATOS!$C$26*MAX(ED43,0.001)),1))&gt;=1,((1*INDEX(TABLAS!$D$6:$D$14,MATCH("3/16 in",TABLAS!$B$6:$B$14,0)))*MIN(DATOS!$C$50,6000)/(MAX(MIN(6,FLOOR(45/DATOS!$C$26,1),FLOOR((1*INDEX(TABLAS!$D$6:$D$14,MATCH("3/16 in",TABLAS!$B$6:$B$14,0)))*MIN(DATOS!$C$50,6000)/(BT43*DATOS!$C$26*MAX(ED43,0.001)),1)),1)*DATOS!$C$26*BT43))&lt;=MIN(MAX(0.15*DATOS!$C$33*DATOS!$C$24,3),0.05*DATOS!$C$25/10*MIN(DATOS!$C$50,6000)/(MIN(6,FLOOR(45/DATOS!$C$26,1),FLOOR((1*INDEX(TABLAS!$D$6:$D$14,MATCH("3/16 in",TABLAS!$B$6:$B$14,0)))*MIN(DATOS!$C$50,6000)/(BT43*DATOS!$C$26*MAX(ED43,0.001)),1))*DATOS!$C$26))),"1 alambre de 3/16"" por junta cada "&amp;MIN(6,FLOOR(45/DATOS!$C$26,1),FLOOR((1*INDEX(TABLAS!$D$6:$D$14,MATCH("3/16 in",TABLAS!$B$6:$B$14,0)))*MIN(DATOS!$C$50,6000)/(BT43*DATOS!$C$26*MAX(ED43,0.001)),1))&amp;" hilada(s) (p_h·f_yh = "&amp;TEXT(((1*INDEX(TABLAS!$D$6:$D$14,MATCH("3/16 in",TABLAS!$B$6:$B$14,0)))*MIN(DATOS!$C$50,6000)/(MAX(MIN(6,FLOOR(45/DATOS!$C$26,1),FLOOR((1*INDEX(TABLAS!$D$6:$D$14,MATCH("3/16 in",TABLAS!$B$6:$B$14,0)))*MIN(DATOS!$C$50,6000)/(BT43*DATOS!$C$26*MAX(ED43,0.001)),1)),1)*DATOS!$C$26*BT43)),"0.00")&amp;")",IF(AND(MIN(6,FLOOR(45/DATOS!$C$26,1),FLOOR((1*INDEX(TABLAS!$D$6:$D$14,MATCH("5/32 in",TABLAS!$B$6:$B$14,0)))*MIN(DATOS!$C$50,6000)/(BT43*DATOS!$C$26*MAX(ED43,0.001)),1))&gt;=1,((1*INDEX(TABLAS!$D$6:$D$14,MATCH("5/32 in",TABLAS!$B$6:$B$14,0)))*MIN(DATOS!$C$50,6000)/(MAX(MIN(6,FLOOR(45/DATOS!$C$26,1),FLOOR((1*INDEX(TABLAS!$D$6:$D$14,MATCH("5/32 in",TABLAS!$B$6:$B$14,0)))*MIN(DATOS!$C$50,6000)/(BT43*DATOS!$C$26*MAX(ED43,0.001)),1)),1)*DATOS!$C$26*BT43))&lt;=MIN(MAX(0.15*DATOS!$C$33*DATOS!$C$24,3),0.05*DATOS!$C$25/10*MIN(DATOS!$C$50,6000)/(MIN(6,FLOOR(45/DATOS!$C$26,1),FLOOR((1*INDEX(TABLAS!$D$6:$D$14,MATCH("5/32 in",TABLAS!$B$6:$B$14,0)))*MIN(DATOS!$C$50,6000)/(BT43*DATOS!$C$26*MAX(ED43,0.001)),1))*DATOS!$C$26))),"1 alambre de 5/32"" por junta cada "&amp;MIN(6,FLOOR(45/DATOS!$C$26,1),FLOOR((1*INDEX(TABLAS!$D$6:$D$14,MATCH("5/32 in",TABLAS!$B$6:$B$14,0)))*MIN(DATOS!$C$50,6000)/(BT43*DATOS!$C$26*MAX(ED43,0.001)),1))&amp;" hilada(s) (p_h·f_yh = "&amp;TEXT(((1*INDEX(TABLAS!$D$6:$D$14,MATCH("5/32 in",TABLAS!$B$6:$B$14,0)))*MIN(DATOS!$C$50,6000)/(MAX(MIN(6,FLOOR(45/DATOS!$C$26,1),FLOOR((1*INDEX(TABLAS!$D$6:$D$14,MATCH("5/32 in",TABLAS!$B$6:$B$14,0)))*MIN(DATOS!$C$50,6000)/(BT43*DATOS!$C$26*MAX(ED43,0.001)),1)),1)*DATOS!$C$26*BT43)),"0.00")&amp;")","ninguna combinación de 1 o 2 alambres por junta queda entre el mínimo y el máximo: revisa con malla (6.5.4)"))))))))</f>
        <v/>
      </c>
      <c r="EF43" s="43" t="str">
        <f>IF(BI43&lt;&gt;"SÍ","",IF(AI43="SÍ",N(AK43)*N(AL43)^3/12,0))</f>
        <v/>
      </c>
      <c r="EG43" s="48" t="str">
        <f>IF(BI43&lt;&gt;"SÍ","",IF(AND(AI43="SÍ",N(AM43)&gt;0),MIN(1,F43/AM43),0))</f>
        <v/>
      </c>
      <c r="EH43" s="47" t="str">
        <f>IF(BI43&lt;&gt;"SÍ","",IF(AI43="SÍ",BP43*1000/(BT43*F43*100)*BT43*(EG43^4-4*EG43^3+8*EG43),0))</f>
        <v/>
      </c>
      <c r="EI43" s="48" t="str">
        <f>IF(BI43&lt;&gt;"SÍ","",IF(AND(AI43="SÍ",EH43&gt;0),EH43/(EH43+5*N(AN43)*10),0))</f>
        <v/>
      </c>
      <c r="EJ43" s="44" t="str">
        <f>IF(BI43&lt;&gt;"SÍ","",IF(AND(AI43="SÍ",EI43&gt;0,EF43&gt;0),(DATOS!$C$43*BT43*(AM43*100)^3/(DATOS!$C$53*EF43*EI43))^0.25,0))</f>
        <v/>
      </c>
      <c r="EK43" s="44" t="str">
        <f>IF(BI43&lt;&gt;"SÍ","",IF(AI43&lt;&gt;"SÍ",0,IF(N(AM43)&lt;=F43,1,IF(MIN(1,N(AO43)/((AM43-F43)/2))&lt;=0.5,0.7+0.6*MIN(1,N(AO43)/((AM43-F43)/2)),1.5-MIN(1,N(AO43)/((AM43-F43)/2))))))</f>
        <v/>
      </c>
      <c r="EL43" s="44" t="str">
        <f>IF(BI43&lt;&gt;"SÍ","",IF(AI43&lt;&gt;"SÍ",0,MAX(1,IF(EG43&gt;=1,(1.6*EJ43-3.9),IF(EG43&lt;0.9,((3.2*EJ43-7.8)*EK43),((3.2*EJ43-7.8)*EK43)+((1.6*EJ43-3.9)-((3.2*EJ43-7.8)*EK43))*(EG43-0.9)/0.1)))))</f>
        <v/>
      </c>
      <c r="EM43" s="47" t="str">
        <f>IF(BI43&lt;&gt;"SÍ","",IF(AI43="SÍ",EL43*BP43*1000/(BT43*F43*100),0))</f>
        <v/>
      </c>
      <c r="EN43" s="47" t="str">
        <f>IF(BI43&lt;&gt;"SÍ","",IF(AND(AI43="SÍ",N(AL43)&gt;0),AM43*100/AL43,0))</f>
        <v/>
      </c>
      <c r="EO43" s="47" t="str">
        <f>IF(BI43&lt;&gt;"SÍ","",IF(AI43="SÍ",(1/15*DATOS!$C$53*N(AK43)/MAX((IF(ISNUMBER(AP43),AP43,BP43/DATOS!$C$90)*1000/(BT43*F43*100)*BT43*(EG43^4-4*EG43^3+8*EG43))+5*N(AN43)/DATOS!$C$90*10,0.001))^(1/3),0))</f>
        <v/>
      </c>
      <c r="EP43" s="45" t="str">
        <f>IF(BI43&lt;&gt;"SÍ","",IF(AI43&lt;&gt;"SÍ","—",IF(OR(N(AK43)&lt;=0,N(AL43)&lt;=0,N(AM43)&lt;=0),"REVISAR: faltan b, h o L_v de la viga",IF(AND(EM43&lt;=DATOS!$C$87*DATOS!$C$33,EN43&lt;=14,N(AL43)&gt;=25,EN43&lt;=EO43),IF(BS43/F43&lt;0.6,"PENDIENTE: H/L &lt; 0.6, falta el análisis de interacción muro–viga (4.1.18.2.1); f_CM es estimado","CUMPLE"),"NO CUMPLE: "&amp;IF(EM43&gt;DATOS!$C$87*DATOS!$C$33,"f_CM &gt; F_R·f'm ","")&amp;IF(EN43&gt;14,"L_v/h_v &gt; 14 ","")&amp;IF(N(AL43)&lt;25,"h_v &lt; 25 cm ","")&amp;IF(EN43&gt;EO43,"flecha (4.1.18.3)","")))))</f>
        <v/>
      </c>
      <c r="EQ43" s="44" t="str">
        <f>IF(BI43&lt;&gt;"SÍ","",MAX(0,F43*BS43-(N(K43)*N(M43)+N(P43)*N(R43)+N(U43)*N(W43)+N(Z43)*N(AB43))-CK43*DATOS!$C$59/100*BS43))</f>
        <v/>
      </c>
      <c r="ER43" s="48" t="str">
        <f>IF(BI43&lt;&gt;"SÍ","",CK43*DATOS!$C$59*DATOS!$C$60/10000*BS43)</f>
        <v/>
      </c>
      <c r="ES43" s="47" t="str">
        <f>IF(BI43&lt;&gt;"SÍ","",CK43*(DATOS!$C$61*(BS43+0.6)*INDEX(TABLAS!$E$6:$E$14,MATCH(DATOS!$C$62,TABLAS!$B$6:$B$14,0))+(2*ROUNDUP(CN43/DATOS!$C$65,0)+ROUNDUP(MAX(0,BS43*100-2*CN43)/DATOS!$C$64,0))*((2*(DATOS!$C$60+DATOS!$C$59-4*(DATOS!$C$66-INDEX(TABLAS!$C$6:$C$14,MATCH(DATOS!$C$63,TABLAS!$B$6:$B$14,0))))+15)/100)*INDEX(TABLAS!$E$6:$E$14,MATCH(DATOS!$C$63,TABLAS!$B$6:$B$14,0))))</f>
        <v/>
      </c>
      <c r="ET43" s="47" t="str">
        <f>IF(BI43&lt;&gt;"SÍ","",IF(OR(AE43="VARILLA EN JUNTAS",AE43="ESCALERILLA"),INT(BS43*100/MAX(DK43,1))*IF(ISNUMBER(AF43),AF43,2)*CB43*INDEX(TABLAS!$E$6:$E$14,MATCH(IF(AG43&lt;&gt;"",AG43,DATOS!$C$73),TABLAS!$B$6:$B$14,0)),IF(AE43="MALLA",IF(ISNUMBER(AF43),AF43,1)*CB43*BS43*INDEX(TABLAS!$E$19:$E$22,MATCH(IF(AG43&lt;&gt;"",AG43,DATOS!$C$74),TABLAS!$B$19:$B$22,0)),0)))</f>
        <v/>
      </c>
      <c r="EU43" s="45" t="str">
        <f>IF(BI43&lt;&gt;"SÍ","",""&amp;IF(BJ43="NO ESTÁ EN PIER_FORCES","sin fuerzas en PIER_FORCES; ","")&amp;IF(BV43&lt;&gt;"CUMPLE","vanos; ","")&amp;IF(LEFT(CH43,2)="NO","espesor o esbeltez; ","")&amp;IF(CQ43&gt;1,"compresión; ","")&amp;IF(CX43&gt;1,"flexión; ","")&amp;IF(CB43&lt;=0,"sin tramos de muro (todos son machones menores que L mín.: diséñalos como columnas o baja L mín.); ",IF(EC43&gt;1,"cortante; ",""))&amp;IF(OR(LEFT(EA43,2)="NO",LEFT(EA43,5)="FALTA"),"refuerzo horizontal; ","")&amp;IF(OR(LEFT(EP43,2)="NO",LEFT(EP43,7)="REVISAR"),"muro sobre viga; ","")&amp;IF(LEFT(DATOS!$C$81,2)="NO","castillo típico; ","")&amp;IF(LEFT(DATOS!$C$82,2)="NO","dala típica; ","")&amp;IF(AND(BT43&lt;&gt;DATOS!$C$58,DATOS!$C$60&lt;BT43),"castillo más angosto que el muro; ",""))</f>
        <v/>
      </c>
      <c r="EV43" s="45" t="str">
        <f>IF(BI43&lt;&gt;"SÍ","",""&amp;IF(LEFT(EP43,9)="PENDIENTE","análisis muro–viga (H/L &lt; 0.6); ","")&amp;IF(BR43&gt;50,"V_u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3" s="51" t="str">
        <f>IF(BI43&lt;&gt;"SÍ","",IF(EU43&lt;&gt;"","NO CUMPLE: "&amp;LEFT(EU43,LEN(EU43)-2),IF(EV43&lt;&gt;"","CUMPLE — PENDIENTE: "&amp;LEFT(EV43,LEN(EV43)-2),"CUMPLE")))</f>
        <v/>
      </c>
      <c r="EX43" s="52" t="n"/>
    </row>
    <row r="44" ht="30" customHeight="1">
      <c r="A44" s="38" t="str">
        <f>IF(B44="","",ROW()-10)</f>
        <v/>
      </c>
      <c r="B44" s="28" t="n"/>
      <c r="C44" s="39" t="n"/>
      <c r="D44" s="39" t="n"/>
      <c r="E44" s="39" t="n"/>
      <c r="F44" s="40" t="n"/>
      <c r="G44" s="40" t="n"/>
      <c r="H44" s="41" t="n"/>
      <c r="I44" s="39" t="n"/>
      <c r="J44" s="40" t="n"/>
      <c r="K44" s="40" t="n"/>
      <c r="L44" s="40" t="n"/>
      <c r="M44" s="40" t="n"/>
      <c r="N44" s="39" t="n"/>
      <c r="O44" s="40" t="n"/>
      <c r="P44" s="40" t="n"/>
      <c r="Q44" s="40" t="n"/>
      <c r="R44" s="40" t="n"/>
      <c r="S44" s="39" t="n"/>
      <c r="T44" s="40" t="n"/>
      <c r="U44" s="40" t="n"/>
      <c r="V44" s="40" t="n"/>
      <c r="W44" s="40" t="n"/>
      <c r="X44" s="39" t="n"/>
      <c r="Y44" s="40" t="n"/>
      <c r="Z44" s="40" t="n"/>
      <c r="AA44" s="40" t="n"/>
      <c r="AB44" s="40" t="n"/>
      <c r="AC44" s="41" t="n"/>
      <c r="AD44" s="41" t="n"/>
      <c r="AE44" s="39" t="n"/>
      <c r="AF44" s="41" t="n"/>
      <c r="AG44" s="41" t="n"/>
      <c r="AH44" s="41" t="n"/>
      <c r="AI44" s="39" t="n"/>
      <c r="AJ44" s="39" t="n"/>
      <c r="AK44" s="41" t="n"/>
      <c r="AL44" s="41" t="n"/>
      <c r="AM44" s="40" t="n"/>
      <c r="AN44" s="40" t="n"/>
      <c r="AO44" s="40" t="n"/>
      <c r="AP44" s="40" t="n"/>
      <c r="AQ44" s="40" t="n"/>
      <c r="AR44" s="40" t="n"/>
      <c r="AS44" s="40" t="n"/>
      <c r="AT44" s="40" t="n"/>
      <c r="AU44" s="40" t="n"/>
      <c r="AV44" s="40" t="n"/>
      <c r="AW44" s="40" t="n"/>
      <c r="AX44" s="42" t="str">
        <f>IF(B44="","",C44&amp;"|"&amp;B44)</f>
        <v/>
      </c>
      <c r="AY44" s="43" t="str">
        <f>IF(B44="","",COUNTIFS(PIER_FORCES!$O$9:$O$3008,34,PIER_FORCES!$P$9:$P$3008,1))</f>
        <v/>
      </c>
      <c r="AZ44" s="43" t="str">
        <f>IF(B44="","",COUNTIFS(PIER_FORCES!$O$9:$O$3008,34,PIER_FORCES!$P$9:$P$3008,2))</f>
        <v/>
      </c>
      <c r="BA44" s="44">
        <f>IF(N(AY44)=0,0,SUMPRODUCT(MAX((PIER_FORCES!$O$9:$O$3008=34)*(PIER_FORCES!$P$9:$P$3008=1)*PIER_FORCES!$R$9:$R$3008)))</f>
        <v>0</v>
      </c>
      <c r="BB44" s="44">
        <f>IF(N(AY44)=0,0,SUMPRODUCT(MAX((PIER_FORCES!$O$9:$O$3008=34)*(PIER_FORCES!$P$9:$P$3008=1)*PIER_FORCES!$S$9:$S$3008)))</f>
        <v>0</v>
      </c>
      <c r="BC44" s="44">
        <f>IF(N(AY44)=0,0,-SUMPRODUCT(MAX((PIER_FORCES!$O$9:$O$3008=34)*(PIER_FORCES!$P$9:$P$3008=1)*(-PIER_FORCES!$Q$9:$Q$3008)+(1-(PIER_FORCES!$O$9:$O$3008=34)*(PIER_FORCES!$P$9:$P$3008=1))*(-1E9))))</f>
        <v>0</v>
      </c>
      <c r="BD44" s="44">
        <f>IF(N(AY44)=0,0,SUMPRODUCT(MAX((PIER_FORCES!$O$9:$O$3008=34)*(PIER_FORCES!$P$9:$P$3008=1)*PIER_FORCES!$Q$9:$Q$3008+(1-(PIER_FORCES!$O$9:$O$3008=34)*(PIER_FORCES!$P$9:$P$3008=1))*(-1E9))))</f>
        <v>0</v>
      </c>
      <c r="BE44" s="44">
        <f>IF(N(AZ44)=0,BD44,SUMPRODUCT(MAX((PIER_FORCES!$O$9:$O$3008=34)*(PIER_FORCES!$P$9:$P$3008=2)*PIER_FORCES!$Q$9:$Q$3008+(1-(PIER_FORCES!$O$9:$O$3008=34)*(PIER_FORCES!$P$9:$P$3008=2))*(-1E9))))</f>
        <v>0</v>
      </c>
      <c r="BF44" s="44">
        <f>IF(N(AZ44)=0,0,SUMPRODUCT(MAX((PIER_FORCES!$O$9:$O$3008=34)*(PIER_FORCES!$P$9:$P$3008=2)*PIER_FORCES!$R$9:$R$3008)))</f>
        <v>0</v>
      </c>
      <c r="BG44" s="43">
        <f>IF(N(AY44)=0,0,SUMPRODUCT(MAX((PIER_FORCES!$O$9:$O$3008=34)*(PIER_FORCES!$P$9:$P$3008=1)*(ABS(PIER_FORCES!$R$9:$R$3008-BA44)&lt;0.000001)*PIER_FORCES!$T$9:$T$3008)))</f>
        <v>0</v>
      </c>
      <c r="BH44" s="45" t="str">
        <f>IF(N(BG44)=0,"",INDEX(PIER_FORCES!$D$9:$D$3008,BG44)&amp;" "&amp;INDEX(PIER_FORCES!$F$9:$F$3008,BG44)&amp;" / "&amp;INDEX(PIER_FORCES!$G$9:$G$3008,BG44))</f>
        <v/>
      </c>
      <c r="BI44" s="42" t="str">
        <f>IF(B44="","",IF(AND(C44&lt;&gt;"",OR(D44="X",D44="Y"),ISNUMBER(F44),N(F44)&gt;0),"SÍ","NO"))</f>
        <v/>
      </c>
      <c r="BJ44" s="42" t="str">
        <f>IF(BI44&lt;&gt;"SÍ","",IF(DATOS!$C$108="ETABS (PIER_FORCES)",IF(N(AY44)&gt;0,"ETABS","NO ESTÁ EN PIER_FORCES"),"CAPTURA"))</f>
        <v/>
      </c>
      <c r="BK44" s="46" t="str">
        <f>IF(BI44&lt;&gt;"SÍ","",IF(BJ44="ETABS",BA44,IF(BJ44="CAPTURA",N(AQ44),0)))</f>
        <v/>
      </c>
      <c r="BL44" s="46" t="str">
        <f>IF(BI44&lt;&gt;"SÍ","",IF(BJ44="ETABS",BB44,IF(BJ44="CAPTURA",N(AR44),0)))</f>
        <v/>
      </c>
      <c r="BM44" s="46" t="str">
        <f>IF(BI44&lt;&gt;"SÍ","",IF(BJ44="ETABS",BC44/DATOS!$C$89,IF(BJ44="CAPTURA",N(AS44),0)))</f>
        <v/>
      </c>
      <c r="BN44" s="44" t="str">
        <f>IF(BI44&lt;&gt;"SÍ","",IF(BJ44="ETABS",BC44,IF(BJ44="CAPTURA",IF(ISNUMBER(AU44),AU44,N(AS44)*DATOS!$C$89),0)))</f>
        <v/>
      </c>
      <c r="BO44" s="44" t="str">
        <f>IF(BI44&lt;&gt;"SÍ","",IF(BJ44="ETABS",MAX(BD44,BE44),IF(BJ44="CAPTURA",N(AT44),0)))</f>
        <v/>
      </c>
      <c r="BP44" s="44" t="str">
        <f>IF(BI44&lt;&gt;"SÍ","",IF(BJ44="ETABS",BE44,IF(BJ44="CAPTURA",IF(ISNUMBER(AV44),AV44,N(AT44)),0)))</f>
        <v/>
      </c>
      <c r="BQ44" s="44" t="str">
        <f>IF(BI44&lt;&gt;"SÍ","",IF(BJ44="ETABS",BF44,IF(BJ44="CAPTURA",N(AW44),0)))</f>
        <v/>
      </c>
      <c r="BR44" s="43" t="str">
        <f>IF(BI44&lt;&gt;"SÍ","",IF(BK44&gt;0,100*BQ44/BK44,0))</f>
        <v/>
      </c>
      <c r="BS44" s="44" t="str">
        <f>IF(BI44&lt;&gt;"SÍ","",IF(ISNUMBER(G44),G44,DATOS!$C$57))</f>
        <v/>
      </c>
      <c r="BT44" s="47" t="str">
        <f>IF(BI44&lt;&gt;"SÍ","",IF(ISNUMBER(H44),H44,DATOS!$C$58))</f>
        <v/>
      </c>
      <c r="BU44" s="43" t="str">
        <f>IF(BI44&lt;&gt;"SÍ","",IF(N(K44)&gt;0,1+IF(N(P44)&gt;0,1+IF(N(U44)&gt;0,1+IF(N(Z44)&gt;0,1,0),0),0),0))</f>
        <v/>
      </c>
      <c r="BV44" s="45" t="str">
        <f>IF(BI44&lt;&gt;"SÍ","",IF(AND(OR(BU44&lt;1,AND(N(J44)&gt;=0-0.001,J44+K44&lt;=F44+0.001,N(L44)&gt;=0,N(L44)+N(M44)&lt;=BS44+0.001,N(M44)&gt;0,OR(I44="PUERTA",I44="VENTANA"))),OR(BU44&lt;2,AND(N(O44)&gt;=(J44+K44)-0.001,O44+P44&lt;=F44+0.001,N(Q44)&gt;=0,N(Q44)+N(R44)&lt;=BS44+0.001,N(R44)&gt;0,OR(N44="PUERTA",N44="VENTANA"))),OR(BU44&lt;3,AND(N(T44)&gt;=(O44+P44)-0.001,T44+U44&lt;=F44+0.001,N(V44)&gt;=0,N(V44)+N(W44)&lt;=BS44+0.001,N(W44)&gt;0,OR(S44="PUERTA",S44="VENTANA"))),OR(BU44&lt;4,AND(N(Y44)&gt;=(T44+U44)-0.001,Y44+Z44&lt;=F44+0.001,N(AA44)&gt;=0,N(AA44)+N(AB44)&lt;=BS44+0.001,N(AB44)&gt;0,OR(X44="PUERTA",X44="VENTANA"))),(N(K44)&gt;0)+(N(P44)&gt;0)+(N(U44)&gt;0)+(N(Z44)&gt;0)=BU44),"CUMPLE","REVISAR VANOS: tipo, orden de izquierda a derecha, que quepan en L y en H"))</f>
        <v/>
      </c>
      <c r="BW44" s="44" t="str">
        <f>IF(BI44&lt;&gt;"SÍ","",MAX(0,IF(BU44&gt;=1,N(J44),F44)))</f>
        <v/>
      </c>
      <c r="BX44" s="44" t="str">
        <f>IF(BI44&lt;&gt;"SÍ","",MAX(0,IF(BU44&gt;=2,N(O44)-(N(J44)+N(K44)),IF(BU44=1,F44-(N(J44)+N(K44)),0))))</f>
        <v/>
      </c>
      <c r="BY44" s="44" t="str">
        <f>IF(BI44&lt;&gt;"SÍ","",MAX(0,IF(BU44&gt;=3,N(T44)-(N(O44)+N(P44)),IF(BU44=2,F44-(N(O44)+N(P44)),0))))</f>
        <v/>
      </c>
      <c r="BZ44" s="44" t="str">
        <f>IF(BI44&lt;&gt;"SÍ","",MAX(0,IF(BU44&gt;=4,N(Y44)-(N(T44)+N(U44)),IF(BU44=3,F44-(N(T44)+N(U44)),0))))</f>
        <v/>
      </c>
      <c r="CA44" s="44" t="str">
        <f>IF(BI44&lt;&gt;"SÍ","",MAX(0,IF(BU44=4,F44-(N(Y44)+N(Z44)),0)))</f>
        <v/>
      </c>
      <c r="CB44" s="46" t="str">
        <f>IF(BI44&lt;&gt;"SÍ","",SUMPRODUCT((BW44:CA44&gt;=DATOS!$C$72-0.0001)*BW44:CA44))</f>
        <v/>
      </c>
      <c r="CC44" s="43" t="str">
        <f>IF(BI44&lt;&gt;"SÍ","",SUMPRODUCT(--(BW44:CA44&gt;=DATOS!$C$72-0.0001)))</f>
        <v/>
      </c>
      <c r="CD44" s="44" t="str">
        <f>IF(BI44&lt;&gt;"SÍ","",SUM(BW44:CA44))</f>
        <v/>
      </c>
      <c r="CE44" s="43" t="str">
        <f>IF(BI44&lt;&gt;"SÍ","",BT44*CB44*100)</f>
        <v/>
      </c>
      <c r="CF44" s="43" t="str">
        <f>IF(BI44&lt;&gt;"SÍ","",BT44*CD44*100)</f>
        <v/>
      </c>
      <c r="CG44" s="47" t="str">
        <f>IF(BI44&lt;&gt;"SÍ","",BS44*100/BT44)</f>
        <v/>
      </c>
      <c r="CH44" s="45" t="str">
        <f>IF(BI44&lt;&gt;"SÍ","",IF(AND(OR(DATOS!$C$14="TIPO II",BT44&gt;=12),CG44&lt;=25),"CUMPLE","NO CUMPLE: "&amp;IF(AND(DATOS!$C$14="TIPO I",BT44&lt;12),"t &lt; 12 cm ","")&amp;IF(CG44&gt;25,"H/t &gt; 25","")))</f>
        <v/>
      </c>
      <c r="CI44" s="44" t="str">
        <f>IF(BI44&lt;&gt;"SÍ","",MIN(1.5*BS44,4))</f>
        <v/>
      </c>
      <c r="CJ44" s="43" t="str">
        <f>IF(BI44&lt;&gt;"SÍ","",SUMPRODUCT((BW44:CA44&gt;=2*DATOS!$C$59/100)*INT((BW44:CA44-DATOS!$C$59/100)/CI44-0.000001)*((BW44:CA44-DATOS!$C$59/100)&gt;0)))</f>
        <v/>
      </c>
      <c r="CK44" s="43" t="str">
        <f>IF(BI44&lt;&gt;"SÍ","",SUMPRODUCT((BW44:CA44&gt;0.0001)*1+(BW44:CA44&gt;=2*DATOS!$C$59/100)*1)+CJ44)</f>
        <v/>
      </c>
      <c r="CL44" s="44" t="str">
        <f>IF(BI44&lt;&gt;"SÍ","",IF(ISNUMBER(AC44),AC44,DATOS!$C$61)*INDEX(TABLAS!$D$6:$D$14,MATCH(IF(AD44&lt;&gt;"",AD44,DATOS!$C$62),TABLAS!$B$6:$B$14,0)))</f>
        <v/>
      </c>
      <c r="CM44" s="44" t="str">
        <f>IF(BI44&lt;&gt;"SÍ","",CK44*DATOS!$C$78+IF(CK44&gt;=2,2,CK44)*(CL44-DATOS!$C$78))</f>
        <v/>
      </c>
      <c r="CN44" s="47" t="str">
        <f>IF(BI44&lt;&gt;"SÍ","",MAX(BS44*100/6,40))</f>
        <v/>
      </c>
      <c r="CO44" s="48" t="str">
        <f>IF(BI44&lt;&gt;"SÍ","",IF(CG44&lt;=20,IF(E44="INTERIOR",0.7,0.6),MIN(IF(E44="INTERIOR",0.7,0.6),(1-2/24)*(1-(IF(E44="INTERIOR",0.8,1)*CG44/30)^2))))</f>
        <v/>
      </c>
      <c r="CP44" s="47" t="str">
        <f>IF(BI44&lt;&gt;"SÍ","",DATOS!$C$87*CO44*(DATOS!$C$33*CF44+CM44*DATOS!$C$48)/1000)</f>
        <v/>
      </c>
      <c r="CQ44" s="46" t="str">
        <f>IF(BI44&lt;&gt;"SÍ","",IF(CP44&gt;0,BO44/CP44,99))</f>
        <v/>
      </c>
      <c r="CR44" s="47" t="str">
        <f>IF(BI44&lt;&gt;"SÍ","",MAX(0,F44*100-DATOS!$C$59))</f>
        <v/>
      </c>
      <c r="CS44" s="47" t="str">
        <f>IF(BI44&lt;&gt;"SÍ","",MAX(0,F44*100-DATOS!$C$59/2))</f>
        <v/>
      </c>
      <c r="CT44" s="44" t="str">
        <f>IF(BI44&lt;&gt;"SÍ","",CL44*DATOS!$C$48*CR44/100000)</f>
        <v/>
      </c>
      <c r="CU44" s="44" t="str">
        <f>IF(BI44&lt;&gt;"SÍ","",IF(BN44&lt;0,0.8*CT44*MAX(0,1+BN44/(0.8*CM44*DATOS!$C$48/1000)),IF(BN44&lt;=CP44/3,0.8*CT44+0.3*BN44*CS44/100,(1.5*0.6*CT44+0.15*CP44*CS44/100)*MAX(0,1-BN44/CP44))))</f>
        <v/>
      </c>
      <c r="CV44" s="44" t="str">
        <f>IF(BI44&lt;&gt;"SÍ","",IF(BO44&lt;0,0.8*CT44*MAX(0,1+BO44/(0.8*CM44*DATOS!$C$48/1000)),IF(BO44&lt;=CP44/3,0.8*CT44+0.3*BO44*CS44/100,(1.5*0.6*CT44+0.15*CP44*CS44/100)*MAX(0,1-BO44/CP44))))</f>
        <v/>
      </c>
      <c r="CW44" s="46" t="str">
        <f>IF(BI44&lt;&gt;"SÍ","",MAX(0,MIN(CU44,CV44)))</f>
        <v/>
      </c>
      <c r="CX44" s="49" t="str">
        <f>IF(BI44&lt;&gt;"SÍ","",IF(CW44&gt;0,BL44/CW44,IF(BL44&gt;0,99,0)))</f>
        <v/>
      </c>
      <c r="CY44" s="44" t="str">
        <f>IF(BI44&lt;&gt;"SÍ","",IF(BW44&gt;0,MAX(1,MIN(1.5,1.5-0.625*(BS44/BW44-0.2))),0))</f>
        <v/>
      </c>
      <c r="CZ44" s="44" t="str">
        <f>IF(BI44&lt;&gt;"SÍ","",IF(BX44&gt;0,MAX(1,MIN(1.5,1.5-0.625*(BS44/BX44-0.2))),0))</f>
        <v/>
      </c>
      <c r="DA44" s="44" t="str">
        <f>IF(BI44&lt;&gt;"SÍ","",IF(BY44&gt;0,MAX(1,MIN(1.5,1.5-0.625*(BS44/BY44-0.2))),0))</f>
        <v/>
      </c>
      <c r="DB44" s="44" t="str">
        <f>IF(BI44&lt;&gt;"SÍ","",IF(BZ44&gt;0,MAX(1,MIN(1.5,1.5-0.625*(BS44/BZ44-0.2))),0))</f>
        <v/>
      </c>
      <c r="DC44" s="44" t="str">
        <f>IF(BI44&lt;&gt;"SÍ","",IF(CA44&gt;0,MAX(1,MIN(1.5,1.5-0.625*(BS44/CA44-0.2))),0))</f>
        <v/>
      </c>
      <c r="DD44" s="44" t="str">
        <f>IF(BI44&lt;&gt;"SÍ","",IF(OR(BW44&lt;DATOS!$C$72-0.0001,BM44&lt;0,CB44&lt;=0),0,MIN(DATOS!$C$86*(0.5*DATOS!$C$41*BT44*BW44*100+0.3*BM44*BW44/CB44*1000)*CY44,1.5*DATOS!$C$86*DATOS!$C$41*BT44*BW44*100*CY44)/1000))</f>
        <v/>
      </c>
      <c r="DE44" s="44" t="str">
        <f>IF(BI44&lt;&gt;"SÍ","",IF(OR(BX44&lt;DATOS!$C$72-0.0001,BM44&lt;0,CB44&lt;=0),0,MIN(DATOS!$C$86*(0.5*DATOS!$C$41*BT44*BX44*100+0.3*BM44*BX44/CB44*1000)*CZ44,1.5*DATOS!$C$86*DATOS!$C$41*BT44*BX44*100*CZ44)/1000))</f>
        <v/>
      </c>
      <c r="DF44" s="44" t="str">
        <f>IF(BI44&lt;&gt;"SÍ","",IF(OR(BY44&lt;DATOS!$C$72-0.0001,BM44&lt;0,CB44&lt;=0),0,MIN(DATOS!$C$86*(0.5*DATOS!$C$41*BT44*BY44*100+0.3*BM44*BY44/CB44*1000)*DA44,1.5*DATOS!$C$86*DATOS!$C$41*BT44*BY44*100*DA44)/1000))</f>
        <v/>
      </c>
      <c r="DG44" s="44" t="str">
        <f>IF(BI44&lt;&gt;"SÍ","",IF(OR(BZ44&lt;DATOS!$C$72-0.0001,BM44&lt;0,CB44&lt;=0),0,MIN(DATOS!$C$86*(0.5*DATOS!$C$41*BT44*BZ44*100+0.3*BM44*BZ44/CB44*1000)*DB44,1.5*DATOS!$C$86*DATOS!$C$41*BT44*BZ44*100*DB44)/1000))</f>
        <v/>
      </c>
      <c r="DH44" s="44" t="str">
        <f>IF(BI44&lt;&gt;"SÍ","",IF(OR(CA44&lt;DATOS!$C$72-0.0001,BM44&lt;0,CB44&lt;=0),0,MIN(DATOS!$C$86*(0.5*DATOS!$C$41*BT44*CA44*100+0.3*BM44*CA44/CB44*1000)*DC44,1.5*DATOS!$C$86*DATOS!$C$41*BT44*CA44*100*DC44)/1000))</f>
        <v/>
      </c>
      <c r="DI44" s="46" t="str">
        <f>IF(BI44&lt;&gt;"SÍ","",SUM(DD44:DH44))</f>
        <v/>
      </c>
      <c r="DJ44" s="48" t="str">
        <f>IF(BI44&lt;&gt;"SÍ","",IF(AE44="VARILLA EN JUNTAS",IF(ISNUMBER(AF44),AF44,2)*INDEX(TABLAS!$D$6:$D$14,MATCH(IF(AG44&lt;&gt;"",AG44,DATOS!$C$73),TABLAS!$B$6:$B$14,0)),IF(AE44="MALLA",IF(ISNUMBER(AF44),AF44,1)*INDEX(TABLAS!$D$19:$D$22,MATCH(IF(AG44&lt;&gt;"",AG44,DATOS!$C$74),TABLAS!$B$19:$B$22,0))/100,IF(AE44="ESCALERILLA",IF(ISNUMBER(AF44),AF44,2)*INDEX(TABLAS!$D$6:$D$14,MATCH(IF(AG44&lt;&gt;"",AG44,DATOS!$C$73),TABLAS!$B$6:$B$14,0)),0))))</f>
        <v/>
      </c>
      <c r="DK44" s="47" t="str">
        <f>IF(BI44&lt;&gt;"SÍ","",IF(OR(AE44="VARILLA EN JUNTAS",AE44="ESCALERILLA"),IF(ISNUMBER(AH44),AH44,2)*DATOS!$C$26,IF(AE44="MALLA",1,0)))</f>
        <v/>
      </c>
      <c r="DL44" s="44" t="str">
        <f>IF(BI44&lt;&gt;"SÍ","",IF(DK44&gt;0,DJ44/(DK44*BT44)*MIN(DATOS!$C$50,IF(AE44="MALLA",5000,6000)),0))</f>
        <v/>
      </c>
      <c r="DM44" s="44" t="str">
        <f>IF(BI44&lt;&gt;"SÍ","",IF(AE44="ESCALERILLA",0,MIN(DL44,0.1*DATOS!$C$33*DATOS!$C$24)))</f>
        <v/>
      </c>
      <c r="DN44" s="48" t="str">
        <f>IF(BI44&lt;&gt;"SÍ","",IF(AE44="MALLA",0.5,IF(DATOS!$C$33&lt;=60,0.55,IF(DATOS!$C$33&gt;=90,0.75,0.55+0.2*(DATOS!$C$33-60)/30))))</f>
        <v/>
      </c>
      <c r="DO44" s="48" t="str">
        <f>IF(BI44&lt;&gt;"SÍ","",1-DATOS!$C$91*DM44)</f>
        <v/>
      </c>
      <c r="DP44" s="44" t="str">
        <f>IF(BI44&lt;&gt;"SÍ","",IF(BW44&gt;0,IF(BS44/BW44&lt;=1,1.3,IF(BS44/BW44&gt;=1.5,1,1.3-0.6*(BS44/BW44-1))),0))</f>
        <v/>
      </c>
      <c r="DQ44" s="44" t="str">
        <f>IF(BI44&lt;&gt;"SÍ","",IF(BX44&gt;0,IF(BS44/BX44&lt;=1,1.3,IF(BS44/BX44&gt;=1.5,1,1.3-0.6*(BS44/BX44-1))),0))</f>
        <v/>
      </c>
      <c r="DR44" s="44" t="str">
        <f>IF(BI44&lt;&gt;"SÍ","",IF(BY44&gt;0,IF(BS44/BY44&lt;=1,1.3,IF(BS44/BY44&gt;=1.5,1,1.3-0.6*(BS44/BY44-1))),0))</f>
        <v/>
      </c>
      <c r="DS44" s="44" t="str">
        <f>IF(BI44&lt;&gt;"SÍ","",IF(BZ44&gt;0,IF(BS44/BZ44&lt;=1,1.3,IF(BS44/BZ44&gt;=1.5,1,1.3-0.6*(BS44/BZ44-1))),0))</f>
        <v/>
      </c>
      <c r="DT44" s="44" t="str">
        <f>IF(BI44&lt;&gt;"SÍ","",IF(CA44&gt;0,IF(BS44/CA44&lt;=1,1.3,IF(BS44/CA44&gt;=1.5,1,1.3-0.6*(BS44/CA44-1))),0))</f>
        <v/>
      </c>
      <c r="DU44" s="44" t="str">
        <f>IF(BI44&lt;&gt;"SÍ","",IF(OR(DM44&lt;=0,BW44&lt;DATOS!$C$72-0.0001),0,DATOS!$C$86*MAX(0,IF(BM44&gt;=0,DD44/(DATOS!$C$86*DM44*BT44*BW44*100/1000)*(DP44*DO44-1)+DN44,DO44*DN44))*DM44*BT44*BW44*100/1000))</f>
        <v/>
      </c>
      <c r="DV44" s="44" t="str">
        <f>IF(BI44&lt;&gt;"SÍ","",IF(OR(DM44&lt;=0,BX44&lt;DATOS!$C$72-0.0001),0,DATOS!$C$86*MAX(0,IF(BM44&gt;=0,DE44/(DATOS!$C$86*DM44*BT44*BX44*100/1000)*(DQ44*DO44-1)+DN44,DO44*DN44))*DM44*BT44*BX44*100/1000))</f>
        <v/>
      </c>
      <c r="DW44" s="44" t="str">
        <f>IF(BI44&lt;&gt;"SÍ","",IF(OR(DM44&lt;=0,BY44&lt;DATOS!$C$72-0.0001),0,DATOS!$C$86*MAX(0,IF(BM44&gt;=0,DF44/(DATOS!$C$86*DM44*BT44*BY44*100/1000)*(DR44*DO44-1)+DN44,DO44*DN44))*DM44*BT44*BY44*100/1000))</f>
        <v/>
      </c>
      <c r="DX44" s="44" t="str">
        <f>IF(BI44&lt;&gt;"SÍ","",IF(OR(DM44&lt;=0,BZ44&lt;DATOS!$C$72-0.0001),0,DATOS!$C$86*MAX(0,IF(BM44&gt;=0,DG44/(DATOS!$C$86*DM44*BT44*BZ44*100/1000)*(DS44*DO44-1)+DN44,DO44*DN44))*DM44*BT44*BZ44*100/1000))</f>
        <v/>
      </c>
      <c r="DY44" s="44" t="str">
        <f>IF(BI44&lt;&gt;"SÍ","",IF(OR(DM44&lt;=0,CA44&lt;DATOS!$C$72-0.0001),0,DATOS!$C$86*MAX(0,IF(BM44&gt;=0,DH44/(DATOS!$C$86*DM44*BT44*CA44*100/1000)*(DT44*DO44-1)+DN44,DO44*DN44))*DM44*BT44*CA44*100/1000))</f>
        <v/>
      </c>
      <c r="DZ44" s="46" t="str">
        <f>IF(BI44&lt;&gt;"SÍ","",SUM(DU44:DY44))</f>
        <v/>
      </c>
      <c r="EA44" s="45" t="str">
        <f>IF(BI44&lt;&gt;"SÍ","",IF(OR(AE44="",AE44="NINGUNO"),IF(DATOS!$C$41&gt;=10,"FALTA refuerzo horizontal: v'm ≥ 10 kg/cm² (6.5.2.2)",IF(AND(BM44&lt;0,BK44&gt;0),"FALTA: P en tensión, el refuerzo debe tomar todo el cortante (6.5.1.3)","—")),IF(AE44="ESCALERILLA","NO CUENTA: la escalerilla no se permite para cortante por sismo (6.5.3.1.2)",IF(AE44="MALLA",IF(AND(DL44&gt;=2.5,DL44&lt;=MAX(0.15*DATOS!$C$33*DATOS!$C$24,2.5)),"CUMPLE","NO CUMPLE: "&amp;IF(DL44&lt;2.5,"p_h·f_yh &lt; 2.5 (6.5.4.2.4)","p_h·f_yh &gt; 0.15·f'm·f_an (6.5.4.2.4)")),IF(AND(DK44&lt;=MIN(6*DATOS!$C$26,45),DL44&gt;=3,DL44&lt;=MIN(MAX(0.15*DATOS!$C$33*DATOS!$C$24,3),0.05*DATOS!$C$25/10*MIN(DATOS!$C$50,6000)/DK44),INDEX(TABLAS!$C$6:$C$14,MATCH(IF(AG44&lt;&gt;"",AG44,DATOS!$C$73),TABLAS!$B$6:$B$14,0))&gt;=0.35,INDEX(TABLAS!$C$6:$C$14,MATCH(IF(AG44&lt;&gt;"",AG44,DATOS!$C$73),TABLAS!$B$6:$B$14,0))&lt;=0.75*DATOS!$C$25/10),"CUMPLE","NO CUMPLE: "&amp;IF(DK44&gt;MIN(6*DATOS!$C$26,45),"s_h &gt; 6 hiladas o 45 cm (6.5.3.2.1) ","")&amp;IF(DL44&lt;3,"p_h·f_yh &lt; 3 (6.5.3.3.1) ","")&amp;IF(DL44&gt;MIN(MAX(0.15*DATOS!$C$33*DATOS!$C$24,3),0.05*DATOS!$C$25/10*MIN(DATOS!$C$50,6000)/DK44),"p_h·f_yh &gt; máximo (6.5.3.3.2) ","")&amp;IF(OR(INDEX(TABLAS!$C$6:$C$14,MATCH(IF(AG44&lt;&gt;"",AG44,DATOS!$C$73),TABLAS!$B$6:$B$14,0))&lt;0.35,INDEX(TABLAS!$C$6:$C$14,MATCH(IF(AG44&lt;&gt;"",AG44,DATOS!$C$73),TABLAS!$B$6:$B$14,0))&gt;0.75*DATOS!$C$25/10),"diámetro fuera de 3.5 mm a 0.75·h_j (4.2.2.2.1)",""))))))</f>
        <v/>
      </c>
      <c r="EB44" s="46" t="str">
        <f>IF(BI44&lt;&gt;"SÍ","",DI44+DZ44)</f>
        <v/>
      </c>
      <c r="EC44" s="50" t="str">
        <f>IF(BI44&lt;&gt;"SÍ","",IF(EB44&gt;0,BK44/EB44,IF(BK44&gt;0,99,0)))</f>
        <v/>
      </c>
      <c r="ED44" s="47" t="str">
        <f>IF(BI44&lt;&gt;"SÍ","",IF(CE44&lt;=0,-1,IF(BK44&lt;=DI44,0,IF(IF(BM44&gt;=0,IF((DATOS!$C$86*IF(AE44="MALLA",0.5,IF(DATOS!$C$33&lt;=60,0.55,IF(DATOS!$C$33&gt;=90,0.75,0.55+0.2*(DATOS!$C$33-60)/30)))*CE44/1000-DATOS!$C$91*SUMPRODUCT(DP44:DT44,DD44:DH44))&lt;=0,1E9,(BK44-SUMPRODUCT(DP44:DT44,DD44:DH44))/(DATOS!$C$86*IF(AE44="MALLA",0.5,IF(DATOS!$C$33&lt;=60,0.55,IF(DATOS!$C$33&gt;=90,0.75,0.55+0.2*(DATOS!$C$33-60)/30)))*CE44/1000-DATOS!$C$91*SUMPRODUCT(DP44:DT44,DD44:DH44))),IF((1-4*DATOS!$C$91*BK44*1000/(DATOS!$C$86*IF(AE44="MALLA",0.5,IF(DATOS!$C$33&lt;=60,0.55,IF(DATOS!$C$33&gt;=90,0.75,0.55+0.2*(DATOS!$C$33-60)/30)))*MAX(CE44,1)))&lt;0,1E9,(1-SQRT((1-4*DATOS!$C$91*BK44*1000/(DATOS!$C$86*IF(AE44="MALLA",0.5,IF(DATOS!$C$33&lt;=60,0.55,IF(DATOS!$C$33&gt;=90,0.75,0.55+0.2*(DATOS!$C$33-60)/30)))*MAX(CE44,1)))))/(2*DATOS!$C$91)))&gt;0.1*DATOS!$C$33*DATOS!$C$24+0.000001,-1,MAX(IF(AE44="MALLA",2.5,3),IF(BM44&gt;=0,IF((DATOS!$C$86*IF(AE44="MALLA",0.5,IF(DATOS!$C$33&lt;=60,0.55,IF(DATOS!$C$33&gt;=90,0.75,0.55+0.2*(DATOS!$C$33-60)/30)))*CE44/1000-DATOS!$C$91*SUMPRODUCT(DP44:DT44,DD44:DH44))&lt;=0,1E9,(BK44-SUMPRODUCT(DP44:DT44,DD44:DH44))/(DATOS!$C$86*IF(AE44="MALLA",0.5,IF(DATOS!$C$33&lt;=60,0.55,IF(DATOS!$C$33&gt;=90,0.75,0.55+0.2*(DATOS!$C$33-60)/30)))*CE44/1000-DATOS!$C$91*SUMPRODUCT(DP44:DT44,DD44:DH44))),IF((1-4*DATOS!$C$91*BK44*1000/(DATOS!$C$86*IF(AE44="MALLA",0.5,IF(DATOS!$C$33&lt;=60,0.55,IF(DATOS!$C$33&gt;=90,0.75,0.55+0.2*(DATOS!$C$33-60)/30)))*MAX(CE44,1)))&lt;0,1E9,(1-SQRT((1-4*DATOS!$C$91*BK44*1000/(DATOS!$C$86*IF(AE44="MALLA",0.5,IF(DATOS!$C$33&lt;=60,0.55,IF(DATOS!$C$33&gt;=90,0.75,0.55+0.2*(DATOS!$C$33-60)/30)))*MAX(CE44,1)))))/(2*DATOS!$C$91))))))))</f>
        <v/>
      </c>
      <c r="EE44" s="45" t="str">
        <f>IF(BI44&lt;&gt;"SÍ","",IF(ED44=0,"NO REQUIERE: V_mR ≥ V_u",IF(ED44&lt;0,"NO ALCANZA con refuerzo horizontal (haría falta más de 0.1·f'm·f_an efectivo): sube v'm con ensayes, el espesor o la longitud del muro",IF(AND(OR(AE44="VARILLA EN JUNTAS",AE44="MALLA"),LEFT(EA44,6)="CUMPLE",EC44&lt;=1),"YA LO TIENE (pide p_h·f_yh ≥ "&amp;TEXT(ED44,"0.0")&amp;" kg/cm²)","p_h·f_yh ≥ "&amp;TEXT(ED44,"0.0")&amp;" kg/cm² → "&amp;IF(AND(MIN(6,FLOOR(45/DATOS!$C$26,1),FLOOR((2*INDEX(TABLAS!$D$6:$D$14,MATCH("3/16 in",TABLAS!$B$6:$B$14,0)))*MIN(DATOS!$C$50,6000)/(BT44*DATOS!$C$26*MAX(ED44,0.001)),1))&gt;=1,((2*INDEX(TABLAS!$D$6:$D$14,MATCH("3/16 in",TABLAS!$B$6:$B$14,0)))*MIN(DATOS!$C$50,6000)/(MAX(MIN(6,FLOOR(45/DATOS!$C$26,1),FLOOR((2*INDEX(TABLAS!$D$6:$D$14,MATCH("3/16 in",TABLAS!$B$6:$B$14,0)))*MIN(DATOS!$C$50,6000)/(BT44*DATOS!$C$26*MAX(ED44,0.001)),1)),1)*DATOS!$C$26*BT44))&lt;=MIN(MAX(0.15*DATOS!$C$33*DATOS!$C$24,3),0.05*DATOS!$C$25/10*MIN(DATOS!$C$50,6000)/(MIN(6,FLOOR(45/DATOS!$C$26,1),FLOOR((2*INDEX(TABLAS!$D$6:$D$14,MATCH("3/16 in",TABLAS!$B$6:$B$14,0)))*MIN(DATOS!$C$50,6000)/(BT44*DATOS!$C$26*MAX(ED44,0.001)),1))*DATOS!$C$26))),"2 alambres de 3/16"" por junta cada "&amp;MIN(6,FLOOR(45/DATOS!$C$26,1),FLOOR((2*INDEX(TABLAS!$D$6:$D$14,MATCH("3/16 in",TABLAS!$B$6:$B$14,0)))*MIN(DATOS!$C$50,6000)/(BT44*DATOS!$C$26*MAX(ED44,0.001)),1))&amp;" hilada(s) (p_h·f_yh = "&amp;TEXT(((2*INDEX(TABLAS!$D$6:$D$14,MATCH("3/16 in",TABLAS!$B$6:$B$14,0)))*MIN(DATOS!$C$50,6000)/(MAX(MIN(6,FLOOR(45/DATOS!$C$26,1),FLOOR((2*INDEX(TABLAS!$D$6:$D$14,MATCH("3/16 in",TABLAS!$B$6:$B$14,0)))*MIN(DATOS!$C$50,6000)/(BT44*DATOS!$C$26*MAX(ED44,0.001)),1)),1)*DATOS!$C$26*BT44)),"0.00")&amp;")",IF(AND(MIN(6,FLOOR(45/DATOS!$C$26,1),FLOOR((2*INDEX(TABLAS!$D$6:$D$14,MATCH("5/32 in",TABLAS!$B$6:$B$14,0)))*MIN(DATOS!$C$50,6000)/(BT44*DATOS!$C$26*MAX(ED44,0.001)),1))&gt;=1,((2*INDEX(TABLAS!$D$6:$D$14,MATCH("5/32 in",TABLAS!$B$6:$B$14,0)))*MIN(DATOS!$C$50,6000)/(MAX(MIN(6,FLOOR(45/DATOS!$C$26,1),FLOOR((2*INDEX(TABLAS!$D$6:$D$14,MATCH("5/32 in",TABLAS!$B$6:$B$14,0)))*MIN(DATOS!$C$50,6000)/(BT44*DATOS!$C$26*MAX(ED44,0.001)),1)),1)*DATOS!$C$26*BT44))&lt;=MIN(MAX(0.15*DATOS!$C$33*DATOS!$C$24,3),0.05*DATOS!$C$25/10*MIN(DATOS!$C$50,6000)/(MIN(6,FLOOR(45/DATOS!$C$26,1),FLOOR((2*INDEX(TABLAS!$D$6:$D$14,MATCH("5/32 in",TABLAS!$B$6:$B$14,0)))*MIN(DATOS!$C$50,6000)/(BT44*DATOS!$C$26*MAX(ED44,0.001)),1))*DATOS!$C$26))),"2 alambres de 5/32"" por junta cada "&amp;MIN(6,FLOOR(45/DATOS!$C$26,1),FLOOR((2*INDEX(TABLAS!$D$6:$D$14,MATCH("5/32 in",TABLAS!$B$6:$B$14,0)))*MIN(DATOS!$C$50,6000)/(BT44*DATOS!$C$26*MAX(ED44,0.001)),1))&amp;" hilada(s) (p_h·f_yh = "&amp;TEXT(((2*INDEX(TABLAS!$D$6:$D$14,MATCH("5/32 in",TABLAS!$B$6:$B$14,0)))*MIN(DATOS!$C$50,6000)/(MAX(MIN(6,FLOOR(45/DATOS!$C$26,1),FLOOR((2*INDEX(TABLAS!$D$6:$D$14,MATCH("5/32 in",TABLAS!$B$6:$B$14,0)))*MIN(DATOS!$C$50,6000)/(BT44*DATOS!$C$26*MAX(ED44,0.001)),1)),1)*DATOS!$C$26*BT44)),"0.00")&amp;")",IF(AND(MIN(6,FLOOR(45/DATOS!$C$26,1),FLOOR((1*INDEX(TABLAS!$D$6:$D$14,MATCH("3/16 in",TABLAS!$B$6:$B$14,0)))*MIN(DATOS!$C$50,6000)/(BT44*DATOS!$C$26*MAX(ED44,0.001)),1))&gt;=1,((1*INDEX(TABLAS!$D$6:$D$14,MATCH("3/16 in",TABLAS!$B$6:$B$14,0)))*MIN(DATOS!$C$50,6000)/(MAX(MIN(6,FLOOR(45/DATOS!$C$26,1),FLOOR((1*INDEX(TABLAS!$D$6:$D$14,MATCH("3/16 in",TABLAS!$B$6:$B$14,0)))*MIN(DATOS!$C$50,6000)/(BT44*DATOS!$C$26*MAX(ED44,0.001)),1)),1)*DATOS!$C$26*BT44))&lt;=MIN(MAX(0.15*DATOS!$C$33*DATOS!$C$24,3),0.05*DATOS!$C$25/10*MIN(DATOS!$C$50,6000)/(MIN(6,FLOOR(45/DATOS!$C$26,1),FLOOR((1*INDEX(TABLAS!$D$6:$D$14,MATCH("3/16 in",TABLAS!$B$6:$B$14,0)))*MIN(DATOS!$C$50,6000)/(BT44*DATOS!$C$26*MAX(ED44,0.001)),1))*DATOS!$C$26))),"1 alambre de 3/16"" por junta cada "&amp;MIN(6,FLOOR(45/DATOS!$C$26,1),FLOOR((1*INDEX(TABLAS!$D$6:$D$14,MATCH("3/16 in",TABLAS!$B$6:$B$14,0)))*MIN(DATOS!$C$50,6000)/(BT44*DATOS!$C$26*MAX(ED44,0.001)),1))&amp;" hilada(s) (p_h·f_yh = "&amp;TEXT(((1*INDEX(TABLAS!$D$6:$D$14,MATCH("3/16 in",TABLAS!$B$6:$B$14,0)))*MIN(DATOS!$C$50,6000)/(MAX(MIN(6,FLOOR(45/DATOS!$C$26,1),FLOOR((1*INDEX(TABLAS!$D$6:$D$14,MATCH("3/16 in",TABLAS!$B$6:$B$14,0)))*MIN(DATOS!$C$50,6000)/(BT44*DATOS!$C$26*MAX(ED44,0.001)),1)),1)*DATOS!$C$26*BT44)),"0.00")&amp;")",IF(AND(MIN(6,FLOOR(45/DATOS!$C$26,1),FLOOR((1*INDEX(TABLAS!$D$6:$D$14,MATCH("5/32 in",TABLAS!$B$6:$B$14,0)))*MIN(DATOS!$C$50,6000)/(BT44*DATOS!$C$26*MAX(ED44,0.001)),1))&gt;=1,((1*INDEX(TABLAS!$D$6:$D$14,MATCH("5/32 in",TABLAS!$B$6:$B$14,0)))*MIN(DATOS!$C$50,6000)/(MAX(MIN(6,FLOOR(45/DATOS!$C$26,1),FLOOR((1*INDEX(TABLAS!$D$6:$D$14,MATCH("5/32 in",TABLAS!$B$6:$B$14,0)))*MIN(DATOS!$C$50,6000)/(BT44*DATOS!$C$26*MAX(ED44,0.001)),1)),1)*DATOS!$C$26*BT44))&lt;=MIN(MAX(0.15*DATOS!$C$33*DATOS!$C$24,3),0.05*DATOS!$C$25/10*MIN(DATOS!$C$50,6000)/(MIN(6,FLOOR(45/DATOS!$C$26,1),FLOOR((1*INDEX(TABLAS!$D$6:$D$14,MATCH("5/32 in",TABLAS!$B$6:$B$14,0)))*MIN(DATOS!$C$50,6000)/(BT44*DATOS!$C$26*MAX(ED44,0.001)),1))*DATOS!$C$26))),"1 alambre de 5/32"" por junta cada "&amp;MIN(6,FLOOR(45/DATOS!$C$26,1),FLOOR((1*INDEX(TABLAS!$D$6:$D$14,MATCH("5/32 in",TABLAS!$B$6:$B$14,0)))*MIN(DATOS!$C$50,6000)/(BT44*DATOS!$C$26*MAX(ED44,0.001)),1))&amp;" hilada(s) (p_h·f_yh = "&amp;TEXT(((1*INDEX(TABLAS!$D$6:$D$14,MATCH("5/32 in",TABLAS!$B$6:$B$14,0)))*MIN(DATOS!$C$50,6000)/(MAX(MIN(6,FLOOR(45/DATOS!$C$26,1),FLOOR((1*INDEX(TABLAS!$D$6:$D$14,MATCH("5/32 in",TABLAS!$B$6:$B$14,0)))*MIN(DATOS!$C$50,6000)/(BT44*DATOS!$C$26*MAX(ED44,0.001)),1)),1)*DATOS!$C$26*BT44)),"0.00")&amp;")","ninguna combinación de 1 o 2 alambres por junta queda entre el mínimo y el máximo: revisa con malla (6.5.4)"))))))))</f>
        <v/>
      </c>
      <c r="EF44" s="43" t="str">
        <f>IF(BI44&lt;&gt;"SÍ","",IF(AI44="SÍ",N(AK44)*N(AL44)^3/12,0))</f>
        <v/>
      </c>
      <c r="EG44" s="48" t="str">
        <f>IF(BI44&lt;&gt;"SÍ","",IF(AND(AI44="SÍ",N(AM44)&gt;0),MIN(1,F44/AM44),0))</f>
        <v/>
      </c>
      <c r="EH44" s="47" t="str">
        <f>IF(BI44&lt;&gt;"SÍ","",IF(AI44="SÍ",BP44*1000/(BT44*F44*100)*BT44*(EG44^4-4*EG44^3+8*EG44),0))</f>
        <v/>
      </c>
      <c r="EI44" s="48" t="str">
        <f>IF(BI44&lt;&gt;"SÍ","",IF(AND(AI44="SÍ",EH44&gt;0),EH44/(EH44+5*N(AN44)*10),0))</f>
        <v/>
      </c>
      <c r="EJ44" s="44" t="str">
        <f>IF(BI44&lt;&gt;"SÍ","",IF(AND(AI44="SÍ",EI44&gt;0,EF44&gt;0),(DATOS!$C$43*BT44*(AM44*100)^3/(DATOS!$C$53*EF44*EI44))^0.25,0))</f>
        <v/>
      </c>
      <c r="EK44" s="44" t="str">
        <f>IF(BI44&lt;&gt;"SÍ","",IF(AI44&lt;&gt;"SÍ",0,IF(N(AM44)&lt;=F44,1,IF(MIN(1,N(AO44)/((AM44-F44)/2))&lt;=0.5,0.7+0.6*MIN(1,N(AO44)/((AM44-F44)/2)),1.5-MIN(1,N(AO44)/((AM44-F44)/2))))))</f>
        <v/>
      </c>
      <c r="EL44" s="44" t="str">
        <f>IF(BI44&lt;&gt;"SÍ","",IF(AI44&lt;&gt;"SÍ",0,MAX(1,IF(EG44&gt;=1,(1.6*EJ44-3.9),IF(EG44&lt;0.9,((3.2*EJ44-7.8)*EK44),((3.2*EJ44-7.8)*EK44)+((1.6*EJ44-3.9)-((3.2*EJ44-7.8)*EK44))*(EG44-0.9)/0.1)))))</f>
        <v/>
      </c>
      <c r="EM44" s="47" t="str">
        <f>IF(BI44&lt;&gt;"SÍ","",IF(AI44="SÍ",EL44*BP44*1000/(BT44*F44*100),0))</f>
        <v/>
      </c>
      <c r="EN44" s="47" t="str">
        <f>IF(BI44&lt;&gt;"SÍ","",IF(AND(AI44="SÍ",N(AL44)&gt;0),AM44*100/AL44,0))</f>
        <v/>
      </c>
      <c r="EO44" s="47" t="str">
        <f>IF(BI44&lt;&gt;"SÍ","",IF(AI44="SÍ",(1/15*DATOS!$C$53*N(AK44)/MAX((IF(ISNUMBER(AP44),AP44,BP44/DATOS!$C$90)*1000/(BT44*F44*100)*BT44*(EG44^4-4*EG44^3+8*EG44))+5*N(AN44)/DATOS!$C$90*10,0.001))^(1/3),0))</f>
        <v/>
      </c>
      <c r="EP44" s="45" t="str">
        <f>IF(BI44&lt;&gt;"SÍ","",IF(AI44&lt;&gt;"SÍ","—",IF(OR(N(AK44)&lt;=0,N(AL44)&lt;=0,N(AM44)&lt;=0),"REVISAR: faltan b, h o L_v de la viga",IF(AND(EM44&lt;=DATOS!$C$87*DATOS!$C$33,EN44&lt;=14,N(AL44)&gt;=25,EN44&lt;=EO44),IF(BS44/F44&lt;0.6,"PENDIENTE: H/L &lt; 0.6, falta el análisis de interacción muro–viga (4.1.18.2.1); f_CM es estimado","CUMPLE"),"NO CUMPLE: "&amp;IF(EM44&gt;DATOS!$C$87*DATOS!$C$33,"f_CM &gt; F_R·f'm ","")&amp;IF(EN44&gt;14,"L_v/h_v &gt; 14 ","")&amp;IF(N(AL44)&lt;25,"h_v &lt; 25 cm ","")&amp;IF(EN44&gt;EO44,"flecha (4.1.18.3)","")))))</f>
        <v/>
      </c>
      <c r="EQ44" s="44" t="str">
        <f>IF(BI44&lt;&gt;"SÍ","",MAX(0,F44*BS44-(N(K44)*N(M44)+N(P44)*N(R44)+N(U44)*N(W44)+N(Z44)*N(AB44))-CK44*DATOS!$C$59/100*BS44))</f>
        <v/>
      </c>
      <c r="ER44" s="48" t="str">
        <f>IF(BI44&lt;&gt;"SÍ","",CK44*DATOS!$C$59*DATOS!$C$60/10000*BS44)</f>
        <v/>
      </c>
      <c r="ES44" s="47" t="str">
        <f>IF(BI44&lt;&gt;"SÍ","",CK44*(DATOS!$C$61*(BS44+0.6)*INDEX(TABLAS!$E$6:$E$14,MATCH(DATOS!$C$62,TABLAS!$B$6:$B$14,0))+(2*ROUNDUP(CN44/DATOS!$C$65,0)+ROUNDUP(MAX(0,BS44*100-2*CN44)/DATOS!$C$64,0))*((2*(DATOS!$C$60+DATOS!$C$59-4*(DATOS!$C$66-INDEX(TABLAS!$C$6:$C$14,MATCH(DATOS!$C$63,TABLAS!$B$6:$B$14,0))))+15)/100)*INDEX(TABLAS!$E$6:$E$14,MATCH(DATOS!$C$63,TABLAS!$B$6:$B$14,0))))</f>
        <v/>
      </c>
      <c r="ET44" s="47" t="str">
        <f>IF(BI44&lt;&gt;"SÍ","",IF(OR(AE44="VARILLA EN JUNTAS",AE44="ESCALERILLA"),INT(BS44*100/MAX(DK44,1))*IF(ISNUMBER(AF44),AF44,2)*CB44*INDEX(TABLAS!$E$6:$E$14,MATCH(IF(AG44&lt;&gt;"",AG44,DATOS!$C$73),TABLAS!$B$6:$B$14,0)),IF(AE44="MALLA",IF(ISNUMBER(AF44),AF44,1)*CB44*BS44*INDEX(TABLAS!$E$19:$E$22,MATCH(IF(AG44&lt;&gt;"",AG44,DATOS!$C$74),TABLAS!$B$19:$B$22,0)),0)))</f>
        <v/>
      </c>
      <c r="EU44" s="45" t="str">
        <f>IF(BI44&lt;&gt;"SÍ","",""&amp;IF(BJ44="NO ESTÁ EN PIER_FORCES","sin fuerzas en PIER_FORCES; ","")&amp;IF(BV44&lt;&gt;"CUMPLE","vanos; ","")&amp;IF(LEFT(CH44,2)="NO","espesor o esbeltez; ","")&amp;IF(CQ44&gt;1,"compresión; ","")&amp;IF(CX44&gt;1,"flexión; ","")&amp;IF(CB44&lt;=0,"sin tramos de muro (todos son machones menores que L mín.: diséñalos como columnas o baja L mín.); ",IF(EC44&gt;1,"cortante; ",""))&amp;IF(OR(LEFT(EA44,2)="NO",LEFT(EA44,5)="FALTA"),"refuerzo horizontal; ","")&amp;IF(OR(LEFT(EP44,2)="NO",LEFT(EP44,7)="REVISAR"),"muro sobre viga; ","")&amp;IF(LEFT(DATOS!$C$81,2)="NO","castillo típico; ","")&amp;IF(LEFT(DATOS!$C$82,2)="NO","dala típica; ","")&amp;IF(AND(BT44&lt;&gt;DATOS!$C$58,DATOS!$C$60&lt;BT44),"castillo más angosto que el muro; ",""))</f>
        <v/>
      </c>
      <c r="EV44" s="45" t="str">
        <f>IF(BI44&lt;&gt;"SÍ","",""&amp;IF(LEFT(EP44,9)="PENDIENTE","análisis muro–viga (H/L &lt; 0.6); ","")&amp;IF(BR44&gt;50,"V_u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4" s="51" t="str">
        <f>IF(BI44&lt;&gt;"SÍ","",IF(EU44&lt;&gt;"","NO CUMPLE: "&amp;LEFT(EU44,LEN(EU44)-2),IF(EV44&lt;&gt;"","CUMPLE — PENDIENTE: "&amp;LEFT(EV44,LEN(EV44)-2),"CUMPLE")))</f>
        <v/>
      </c>
      <c r="EX44" s="52" t="n"/>
    </row>
    <row r="45" ht="30" customHeight="1">
      <c r="A45" s="38" t="str">
        <f>IF(B45="","",ROW()-10)</f>
        <v/>
      </c>
      <c r="B45" s="28" t="n"/>
      <c r="C45" s="39" t="n"/>
      <c r="D45" s="39" t="n"/>
      <c r="E45" s="39" t="n"/>
      <c r="F45" s="40" t="n"/>
      <c r="G45" s="40" t="n"/>
      <c r="H45" s="41" t="n"/>
      <c r="I45" s="39" t="n"/>
      <c r="J45" s="40" t="n"/>
      <c r="K45" s="40" t="n"/>
      <c r="L45" s="40" t="n"/>
      <c r="M45" s="40" t="n"/>
      <c r="N45" s="39" t="n"/>
      <c r="O45" s="40" t="n"/>
      <c r="P45" s="40" t="n"/>
      <c r="Q45" s="40" t="n"/>
      <c r="R45" s="40" t="n"/>
      <c r="S45" s="39" t="n"/>
      <c r="T45" s="40" t="n"/>
      <c r="U45" s="40" t="n"/>
      <c r="V45" s="40" t="n"/>
      <c r="W45" s="40" t="n"/>
      <c r="X45" s="39" t="n"/>
      <c r="Y45" s="40" t="n"/>
      <c r="Z45" s="40" t="n"/>
      <c r="AA45" s="40" t="n"/>
      <c r="AB45" s="40" t="n"/>
      <c r="AC45" s="41" t="n"/>
      <c r="AD45" s="41" t="n"/>
      <c r="AE45" s="39" t="n"/>
      <c r="AF45" s="41" t="n"/>
      <c r="AG45" s="41" t="n"/>
      <c r="AH45" s="41" t="n"/>
      <c r="AI45" s="39" t="n"/>
      <c r="AJ45" s="39" t="n"/>
      <c r="AK45" s="41" t="n"/>
      <c r="AL45" s="41" t="n"/>
      <c r="AM45" s="40" t="n"/>
      <c r="AN45" s="40" t="n"/>
      <c r="AO45" s="40" t="n"/>
      <c r="AP45" s="40" t="n"/>
      <c r="AQ45" s="40" t="n"/>
      <c r="AR45" s="40" t="n"/>
      <c r="AS45" s="40" t="n"/>
      <c r="AT45" s="40" t="n"/>
      <c r="AU45" s="40" t="n"/>
      <c r="AV45" s="40" t="n"/>
      <c r="AW45" s="40" t="n"/>
      <c r="AX45" s="42" t="str">
        <f>IF(B45="","",C45&amp;"|"&amp;B45)</f>
        <v/>
      </c>
      <c r="AY45" s="43" t="str">
        <f>IF(B45="","",COUNTIFS(PIER_FORCES!$O$9:$O$3008,35,PIER_FORCES!$P$9:$P$3008,1))</f>
        <v/>
      </c>
      <c r="AZ45" s="43" t="str">
        <f>IF(B45="","",COUNTIFS(PIER_FORCES!$O$9:$O$3008,35,PIER_FORCES!$P$9:$P$3008,2))</f>
        <v/>
      </c>
      <c r="BA45" s="44">
        <f>IF(N(AY45)=0,0,SUMPRODUCT(MAX((PIER_FORCES!$O$9:$O$3008=35)*(PIER_FORCES!$P$9:$P$3008=1)*PIER_FORCES!$R$9:$R$3008)))</f>
        <v>0</v>
      </c>
      <c r="BB45" s="44">
        <f>IF(N(AY45)=0,0,SUMPRODUCT(MAX((PIER_FORCES!$O$9:$O$3008=35)*(PIER_FORCES!$P$9:$P$3008=1)*PIER_FORCES!$S$9:$S$3008)))</f>
        <v>0</v>
      </c>
      <c r="BC45" s="44">
        <f>IF(N(AY45)=0,0,-SUMPRODUCT(MAX((PIER_FORCES!$O$9:$O$3008=35)*(PIER_FORCES!$P$9:$P$3008=1)*(-PIER_FORCES!$Q$9:$Q$3008)+(1-(PIER_FORCES!$O$9:$O$3008=35)*(PIER_FORCES!$P$9:$P$3008=1))*(-1E9))))</f>
        <v>0</v>
      </c>
      <c r="BD45" s="44">
        <f>IF(N(AY45)=0,0,SUMPRODUCT(MAX((PIER_FORCES!$O$9:$O$3008=35)*(PIER_FORCES!$P$9:$P$3008=1)*PIER_FORCES!$Q$9:$Q$3008+(1-(PIER_FORCES!$O$9:$O$3008=35)*(PIER_FORCES!$P$9:$P$3008=1))*(-1E9))))</f>
        <v>0</v>
      </c>
      <c r="BE45" s="44">
        <f>IF(N(AZ45)=0,BD45,SUMPRODUCT(MAX((PIER_FORCES!$O$9:$O$3008=35)*(PIER_FORCES!$P$9:$P$3008=2)*PIER_FORCES!$Q$9:$Q$3008+(1-(PIER_FORCES!$O$9:$O$3008=35)*(PIER_FORCES!$P$9:$P$3008=2))*(-1E9))))</f>
        <v>0</v>
      </c>
      <c r="BF45" s="44">
        <f>IF(N(AZ45)=0,0,SUMPRODUCT(MAX((PIER_FORCES!$O$9:$O$3008=35)*(PIER_FORCES!$P$9:$P$3008=2)*PIER_FORCES!$R$9:$R$3008)))</f>
        <v>0</v>
      </c>
      <c r="BG45" s="43">
        <f>IF(N(AY45)=0,0,SUMPRODUCT(MAX((PIER_FORCES!$O$9:$O$3008=35)*(PIER_FORCES!$P$9:$P$3008=1)*(ABS(PIER_FORCES!$R$9:$R$3008-BA45)&lt;0.000001)*PIER_FORCES!$T$9:$T$3008)))</f>
        <v>0</v>
      </c>
      <c r="BH45" s="45" t="str">
        <f>IF(N(BG45)=0,"",INDEX(PIER_FORCES!$D$9:$D$3008,BG45)&amp;" "&amp;INDEX(PIER_FORCES!$F$9:$F$3008,BG45)&amp;" / "&amp;INDEX(PIER_FORCES!$G$9:$G$3008,BG45))</f>
        <v/>
      </c>
      <c r="BI45" s="42" t="str">
        <f>IF(B45="","",IF(AND(C45&lt;&gt;"",OR(D45="X",D45="Y"),ISNUMBER(F45),N(F45)&gt;0),"SÍ","NO"))</f>
        <v/>
      </c>
      <c r="BJ45" s="42" t="str">
        <f>IF(BI45&lt;&gt;"SÍ","",IF(DATOS!$C$108="ETABS (PIER_FORCES)",IF(N(AY45)&gt;0,"ETABS","NO ESTÁ EN PIER_FORCES"),"CAPTURA"))</f>
        <v/>
      </c>
      <c r="BK45" s="46" t="str">
        <f>IF(BI45&lt;&gt;"SÍ","",IF(BJ45="ETABS",BA45,IF(BJ45="CAPTURA",N(AQ45),0)))</f>
        <v/>
      </c>
      <c r="BL45" s="46" t="str">
        <f>IF(BI45&lt;&gt;"SÍ","",IF(BJ45="ETABS",BB45,IF(BJ45="CAPTURA",N(AR45),0)))</f>
        <v/>
      </c>
      <c r="BM45" s="46" t="str">
        <f>IF(BI45&lt;&gt;"SÍ","",IF(BJ45="ETABS",BC45/DATOS!$C$89,IF(BJ45="CAPTURA",N(AS45),0)))</f>
        <v/>
      </c>
      <c r="BN45" s="44" t="str">
        <f>IF(BI45&lt;&gt;"SÍ","",IF(BJ45="ETABS",BC45,IF(BJ45="CAPTURA",IF(ISNUMBER(AU45),AU45,N(AS45)*DATOS!$C$89),0)))</f>
        <v/>
      </c>
      <c r="BO45" s="44" t="str">
        <f>IF(BI45&lt;&gt;"SÍ","",IF(BJ45="ETABS",MAX(BD45,BE45),IF(BJ45="CAPTURA",N(AT45),0)))</f>
        <v/>
      </c>
      <c r="BP45" s="44" t="str">
        <f>IF(BI45&lt;&gt;"SÍ","",IF(BJ45="ETABS",BE45,IF(BJ45="CAPTURA",IF(ISNUMBER(AV45),AV45,N(AT45)),0)))</f>
        <v/>
      </c>
      <c r="BQ45" s="44" t="str">
        <f>IF(BI45&lt;&gt;"SÍ","",IF(BJ45="ETABS",BF45,IF(BJ45="CAPTURA",N(AW45),0)))</f>
        <v/>
      </c>
      <c r="BR45" s="43" t="str">
        <f>IF(BI45&lt;&gt;"SÍ","",IF(BK45&gt;0,100*BQ45/BK45,0))</f>
        <v/>
      </c>
      <c r="BS45" s="44" t="str">
        <f>IF(BI45&lt;&gt;"SÍ","",IF(ISNUMBER(G45),G45,DATOS!$C$57))</f>
        <v/>
      </c>
      <c r="BT45" s="47" t="str">
        <f>IF(BI45&lt;&gt;"SÍ","",IF(ISNUMBER(H45),H45,DATOS!$C$58))</f>
        <v/>
      </c>
      <c r="BU45" s="43" t="str">
        <f>IF(BI45&lt;&gt;"SÍ","",IF(N(K45)&gt;0,1+IF(N(P45)&gt;0,1+IF(N(U45)&gt;0,1+IF(N(Z45)&gt;0,1,0),0),0),0))</f>
        <v/>
      </c>
      <c r="BV45" s="45" t="str">
        <f>IF(BI45&lt;&gt;"SÍ","",IF(AND(OR(BU45&lt;1,AND(N(J45)&gt;=0-0.001,J45+K45&lt;=F45+0.001,N(L45)&gt;=0,N(L45)+N(M45)&lt;=BS45+0.001,N(M45)&gt;0,OR(I45="PUERTA",I45="VENTANA"))),OR(BU45&lt;2,AND(N(O45)&gt;=(J45+K45)-0.001,O45+P45&lt;=F45+0.001,N(Q45)&gt;=0,N(Q45)+N(R45)&lt;=BS45+0.001,N(R45)&gt;0,OR(N45="PUERTA",N45="VENTANA"))),OR(BU45&lt;3,AND(N(T45)&gt;=(O45+P45)-0.001,T45+U45&lt;=F45+0.001,N(V45)&gt;=0,N(V45)+N(W45)&lt;=BS45+0.001,N(W45)&gt;0,OR(S45="PUERTA",S45="VENTANA"))),OR(BU45&lt;4,AND(N(Y45)&gt;=(T45+U45)-0.001,Y45+Z45&lt;=F45+0.001,N(AA45)&gt;=0,N(AA45)+N(AB45)&lt;=BS45+0.001,N(AB45)&gt;0,OR(X45="PUERTA",X45="VENTANA"))),(N(K45)&gt;0)+(N(P45)&gt;0)+(N(U45)&gt;0)+(N(Z45)&gt;0)=BU45),"CUMPLE","REVISAR VANOS: tipo, orden de izquierda a derecha, que quepan en L y en H"))</f>
        <v/>
      </c>
      <c r="BW45" s="44" t="str">
        <f>IF(BI45&lt;&gt;"SÍ","",MAX(0,IF(BU45&gt;=1,N(J45),F45)))</f>
        <v/>
      </c>
      <c r="BX45" s="44" t="str">
        <f>IF(BI45&lt;&gt;"SÍ","",MAX(0,IF(BU45&gt;=2,N(O45)-(N(J45)+N(K45)),IF(BU45=1,F45-(N(J45)+N(K45)),0))))</f>
        <v/>
      </c>
      <c r="BY45" s="44" t="str">
        <f>IF(BI45&lt;&gt;"SÍ","",MAX(0,IF(BU45&gt;=3,N(T45)-(N(O45)+N(P45)),IF(BU45=2,F45-(N(O45)+N(P45)),0))))</f>
        <v/>
      </c>
      <c r="BZ45" s="44" t="str">
        <f>IF(BI45&lt;&gt;"SÍ","",MAX(0,IF(BU45&gt;=4,N(Y45)-(N(T45)+N(U45)),IF(BU45=3,F45-(N(T45)+N(U45)),0))))</f>
        <v/>
      </c>
      <c r="CA45" s="44" t="str">
        <f>IF(BI45&lt;&gt;"SÍ","",MAX(0,IF(BU45=4,F45-(N(Y45)+N(Z45)),0)))</f>
        <v/>
      </c>
      <c r="CB45" s="46" t="str">
        <f>IF(BI45&lt;&gt;"SÍ","",SUMPRODUCT((BW45:CA45&gt;=DATOS!$C$72-0.0001)*BW45:CA45))</f>
        <v/>
      </c>
      <c r="CC45" s="43" t="str">
        <f>IF(BI45&lt;&gt;"SÍ","",SUMPRODUCT(--(BW45:CA45&gt;=DATOS!$C$72-0.0001)))</f>
        <v/>
      </c>
      <c r="CD45" s="44" t="str">
        <f>IF(BI45&lt;&gt;"SÍ","",SUM(BW45:CA45))</f>
        <v/>
      </c>
      <c r="CE45" s="43" t="str">
        <f>IF(BI45&lt;&gt;"SÍ","",BT45*CB45*100)</f>
        <v/>
      </c>
      <c r="CF45" s="43" t="str">
        <f>IF(BI45&lt;&gt;"SÍ","",BT45*CD45*100)</f>
        <v/>
      </c>
      <c r="CG45" s="47" t="str">
        <f>IF(BI45&lt;&gt;"SÍ","",BS45*100/BT45)</f>
        <v/>
      </c>
      <c r="CH45" s="45" t="str">
        <f>IF(BI45&lt;&gt;"SÍ","",IF(AND(OR(DATOS!$C$14="TIPO II",BT45&gt;=12),CG45&lt;=25),"CUMPLE","NO CUMPLE: "&amp;IF(AND(DATOS!$C$14="TIPO I",BT45&lt;12),"t &lt; 12 cm ","")&amp;IF(CG45&gt;25,"H/t &gt; 25","")))</f>
        <v/>
      </c>
      <c r="CI45" s="44" t="str">
        <f>IF(BI45&lt;&gt;"SÍ","",MIN(1.5*BS45,4))</f>
        <v/>
      </c>
      <c r="CJ45" s="43" t="str">
        <f>IF(BI45&lt;&gt;"SÍ","",SUMPRODUCT((BW45:CA45&gt;=2*DATOS!$C$59/100)*INT((BW45:CA45-DATOS!$C$59/100)/CI45-0.000001)*((BW45:CA45-DATOS!$C$59/100)&gt;0)))</f>
        <v/>
      </c>
      <c r="CK45" s="43" t="str">
        <f>IF(BI45&lt;&gt;"SÍ","",SUMPRODUCT((BW45:CA45&gt;0.0001)*1+(BW45:CA45&gt;=2*DATOS!$C$59/100)*1)+CJ45)</f>
        <v/>
      </c>
      <c r="CL45" s="44" t="str">
        <f>IF(BI45&lt;&gt;"SÍ","",IF(ISNUMBER(AC45),AC45,DATOS!$C$61)*INDEX(TABLAS!$D$6:$D$14,MATCH(IF(AD45&lt;&gt;"",AD45,DATOS!$C$62),TABLAS!$B$6:$B$14,0)))</f>
        <v/>
      </c>
      <c r="CM45" s="44" t="str">
        <f>IF(BI45&lt;&gt;"SÍ","",CK45*DATOS!$C$78+IF(CK45&gt;=2,2,CK45)*(CL45-DATOS!$C$78))</f>
        <v/>
      </c>
      <c r="CN45" s="47" t="str">
        <f>IF(BI45&lt;&gt;"SÍ","",MAX(BS45*100/6,40))</f>
        <v/>
      </c>
      <c r="CO45" s="48" t="str">
        <f>IF(BI45&lt;&gt;"SÍ","",IF(CG45&lt;=20,IF(E45="INTERIOR",0.7,0.6),MIN(IF(E45="INTERIOR",0.7,0.6),(1-2/24)*(1-(IF(E45="INTERIOR",0.8,1)*CG45/30)^2))))</f>
        <v/>
      </c>
      <c r="CP45" s="47" t="str">
        <f>IF(BI45&lt;&gt;"SÍ","",DATOS!$C$87*CO45*(DATOS!$C$33*CF45+CM45*DATOS!$C$48)/1000)</f>
        <v/>
      </c>
      <c r="CQ45" s="46" t="str">
        <f>IF(BI45&lt;&gt;"SÍ","",IF(CP45&gt;0,BO45/CP45,99))</f>
        <v/>
      </c>
      <c r="CR45" s="47" t="str">
        <f>IF(BI45&lt;&gt;"SÍ","",MAX(0,F45*100-DATOS!$C$59))</f>
        <v/>
      </c>
      <c r="CS45" s="47" t="str">
        <f>IF(BI45&lt;&gt;"SÍ","",MAX(0,F45*100-DATOS!$C$59/2))</f>
        <v/>
      </c>
      <c r="CT45" s="44" t="str">
        <f>IF(BI45&lt;&gt;"SÍ","",CL45*DATOS!$C$48*CR45/100000)</f>
        <v/>
      </c>
      <c r="CU45" s="44" t="str">
        <f>IF(BI45&lt;&gt;"SÍ","",IF(BN45&lt;0,0.8*CT45*MAX(0,1+BN45/(0.8*CM45*DATOS!$C$48/1000)),IF(BN45&lt;=CP45/3,0.8*CT45+0.3*BN45*CS45/100,(1.5*0.6*CT45+0.15*CP45*CS45/100)*MAX(0,1-BN45/CP45))))</f>
        <v/>
      </c>
      <c r="CV45" s="44" t="str">
        <f>IF(BI45&lt;&gt;"SÍ","",IF(BO45&lt;0,0.8*CT45*MAX(0,1+BO45/(0.8*CM45*DATOS!$C$48/1000)),IF(BO45&lt;=CP45/3,0.8*CT45+0.3*BO45*CS45/100,(1.5*0.6*CT45+0.15*CP45*CS45/100)*MAX(0,1-BO45/CP45))))</f>
        <v/>
      </c>
      <c r="CW45" s="46" t="str">
        <f>IF(BI45&lt;&gt;"SÍ","",MAX(0,MIN(CU45,CV45)))</f>
        <v/>
      </c>
      <c r="CX45" s="49" t="str">
        <f>IF(BI45&lt;&gt;"SÍ","",IF(CW45&gt;0,BL45/CW45,IF(BL45&gt;0,99,0)))</f>
        <v/>
      </c>
      <c r="CY45" s="44" t="str">
        <f>IF(BI45&lt;&gt;"SÍ","",IF(BW45&gt;0,MAX(1,MIN(1.5,1.5-0.625*(BS45/BW45-0.2))),0))</f>
        <v/>
      </c>
      <c r="CZ45" s="44" t="str">
        <f>IF(BI45&lt;&gt;"SÍ","",IF(BX45&gt;0,MAX(1,MIN(1.5,1.5-0.625*(BS45/BX45-0.2))),0))</f>
        <v/>
      </c>
      <c r="DA45" s="44" t="str">
        <f>IF(BI45&lt;&gt;"SÍ","",IF(BY45&gt;0,MAX(1,MIN(1.5,1.5-0.625*(BS45/BY45-0.2))),0))</f>
        <v/>
      </c>
      <c r="DB45" s="44" t="str">
        <f>IF(BI45&lt;&gt;"SÍ","",IF(BZ45&gt;0,MAX(1,MIN(1.5,1.5-0.625*(BS45/BZ45-0.2))),0))</f>
        <v/>
      </c>
      <c r="DC45" s="44" t="str">
        <f>IF(BI45&lt;&gt;"SÍ","",IF(CA45&gt;0,MAX(1,MIN(1.5,1.5-0.625*(BS45/CA45-0.2))),0))</f>
        <v/>
      </c>
      <c r="DD45" s="44" t="str">
        <f>IF(BI45&lt;&gt;"SÍ","",IF(OR(BW45&lt;DATOS!$C$72-0.0001,BM45&lt;0,CB45&lt;=0),0,MIN(DATOS!$C$86*(0.5*DATOS!$C$41*BT45*BW45*100+0.3*BM45*BW45/CB45*1000)*CY45,1.5*DATOS!$C$86*DATOS!$C$41*BT45*BW45*100*CY45)/1000))</f>
        <v/>
      </c>
      <c r="DE45" s="44" t="str">
        <f>IF(BI45&lt;&gt;"SÍ","",IF(OR(BX45&lt;DATOS!$C$72-0.0001,BM45&lt;0,CB45&lt;=0),0,MIN(DATOS!$C$86*(0.5*DATOS!$C$41*BT45*BX45*100+0.3*BM45*BX45/CB45*1000)*CZ45,1.5*DATOS!$C$86*DATOS!$C$41*BT45*BX45*100*CZ45)/1000))</f>
        <v/>
      </c>
      <c r="DF45" s="44" t="str">
        <f>IF(BI45&lt;&gt;"SÍ","",IF(OR(BY45&lt;DATOS!$C$72-0.0001,BM45&lt;0,CB45&lt;=0),0,MIN(DATOS!$C$86*(0.5*DATOS!$C$41*BT45*BY45*100+0.3*BM45*BY45/CB45*1000)*DA45,1.5*DATOS!$C$86*DATOS!$C$41*BT45*BY45*100*DA45)/1000))</f>
        <v/>
      </c>
      <c r="DG45" s="44" t="str">
        <f>IF(BI45&lt;&gt;"SÍ","",IF(OR(BZ45&lt;DATOS!$C$72-0.0001,BM45&lt;0,CB45&lt;=0),0,MIN(DATOS!$C$86*(0.5*DATOS!$C$41*BT45*BZ45*100+0.3*BM45*BZ45/CB45*1000)*DB45,1.5*DATOS!$C$86*DATOS!$C$41*BT45*BZ45*100*DB45)/1000))</f>
        <v/>
      </c>
      <c r="DH45" s="44" t="str">
        <f>IF(BI45&lt;&gt;"SÍ","",IF(OR(CA45&lt;DATOS!$C$72-0.0001,BM45&lt;0,CB45&lt;=0),0,MIN(DATOS!$C$86*(0.5*DATOS!$C$41*BT45*CA45*100+0.3*BM45*CA45/CB45*1000)*DC45,1.5*DATOS!$C$86*DATOS!$C$41*BT45*CA45*100*DC45)/1000))</f>
        <v/>
      </c>
      <c r="DI45" s="46" t="str">
        <f>IF(BI45&lt;&gt;"SÍ","",SUM(DD45:DH45))</f>
        <v/>
      </c>
      <c r="DJ45" s="48" t="str">
        <f>IF(BI45&lt;&gt;"SÍ","",IF(AE45="VARILLA EN JUNTAS",IF(ISNUMBER(AF45),AF45,2)*INDEX(TABLAS!$D$6:$D$14,MATCH(IF(AG45&lt;&gt;"",AG45,DATOS!$C$73),TABLAS!$B$6:$B$14,0)),IF(AE45="MALLA",IF(ISNUMBER(AF45),AF45,1)*INDEX(TABLAS!$D$19:$D$22,MATCH(IF(AG45&lt;&gt;"",AG45,DATOS!$C$74),TABLAS!$B$19:$B$22,0))/100,IF(AE45="ESCALERILLA",IF(ISNUMBER(AF45),AF45,2)*INDEX(TABLAS!$D$6:$D$14,MATCH(IF(AG45&lt;&gt;"",AG45,DATOS!$C$73),TABLAS!$B$6:$B$14,0)),0))))</f>
        <v/>
      </c>
      <c r="DK45" s="47" t="str">
        <f>IF(BI45&lt;&gt;"SÍ","",IF(OR(AE45="VARILLA EN JUNTAS",AE45="ESCALERILLA"),IF(ISNUMBER(AH45),AH45,2)*DATOS!$C$26,IF(AE45="MALLA",1,0)))</f>
        <v/>
      </c>
      <c r="DL45" s="44" t="str">
        <f>IF(BI45&lt;&gt;"SÍ","",IF(DK45&gt;0,DJ45/(DK45*BT45)*MIN(DATOS!$C$50,IF(AE45="MALLA",5000,6000)),0))</f>
        <v/>
      </c>
      <c r="DM45" s="44" t="str">
        <f>IF(BI45&lt;&gt;"SÍ","",IF(AE45="ESCALERILLA",0,MIN(DL45,0.1*DATOS!$C$33*DATOS!$C$24)))</f>
        <v/>
      </c>
      <c r="DN45" s="48" t="str">
        <f>IF(BI45&lt;&gt;"SÍ","",IF(AE45="MALLA",0.5,IF(DATOS!$C$33&lt;=60,0.55,IF(DATOS!$C$33&gt;=90,0.75,0.55+0.2*(DATOS!$C$33-60)/30))))</f>
        <v/>
      </c>
      <c r="DO45" s="48" t="str">
        <f>IF(BI45&lt;&gt;"SÍ","",1-DATOS!$C$91*DM45)</f>
        <v/>
      </c>
      <c r="DP45" s="44" t="str">
        <f>IF(BI45&lt;&gt;"SÍ","",IF(BW45&gt;0,IF(BS45/BW45&lt;=1,1.3,IF(BS45/BW45&gt;=1.5,1,1.3-0.6*(BS45/BW45-1))),0))</f>
        <v/>
      </c>
      <c r="DQ45" s="44" t="str">
        <f>IF(BI45&lt;&gt;"SÍ","",IF(BX45&gt;0,IF(BS45/BX45&lt;=1,1.3,IF(BS45/BX45&gt;=1.5,1,1.3-0.6*(BS45/BX45-1))),0))</f>
        <v/>
      </c>
      <c r="DR45" s="44" t="str">
        <f>IF(BI45&lt;&gt;"SÍ","",IF(BY45&gt;0,IF(BS45/BY45&lt;=1,1.3,IF(BS45/BY45&gt;=1.5,1,1.3-0.6*(BS45/BY45-1))),0))</f>
        <v/>
      </c>
      <c r="DS45" s="44" t="str">
        <f>IF(BI45&lt;&gt;"SÍ","",IF(BZ45&gt;0,IF(BS45/BZ45&lt;=1,1.3,IF(BS45/BZ45&gt;=1.5,1,1.3-0.6*(BS45/BZ45-1))),0))</f>
        <v/>
      </c>
      <c r="DT45" s="44" t="str">
        <f>IF(BI45&lt;&gt;"SÍ","",IF(CA45&gt;0,IF(BS45/CA45&lt;=1,1.3,IF(BS45/CA45&gt;=1.5,1,1.3-0.6*(BS45/CA45-1))),0))</f>
        <v/>
      </c>
      <c r="DU45" s="44" t="str">
        <f>IF(BI45&lt;&gt;"SÍ","",IF(OR(DM45&lt;=0,BW45&lt;DATOS!$C$72-0.0001),0,DATOS!$C$86*MAX(0,IF(BM45&gt;=0,DD45/(DATOS!$C$86*DM45*BT45*BW45*100/1000)*(DP45*DO45-1)+DN45,DO45*DN45))*DM45*BT45*BW45*100/1000))</f>
        <v/>
      </c>
      <c r="DV45" s="44" t="str">
        <f>IF(BI45&lt;&gt;"SÍ","",IF(OR(DM45&lt;=0,BX45&lt;DATOS!$C$72-0.0001),0,DATOS!$C$86*MAX(0,IF(BM45&gt;=0,DE45/(DATOS!$C$86*DM45*BT45*BX45*100/1000)*(DQ45*DO45-1)+DN45,DO45*DN45))*DM45*BT45*BX45*100/1000))</f>
        <v/>
      </c>
      <c r="DW45" s="44" t="str">
        <f>IF(BI45&lt;&gt;"SÍ","",IF(OR(DM45&lt;=0,BY45&lt;DATOS!$C$72-0.0001),0,DATOS!$C$86*MAX(0,IF(BM45&gt;=0,DF45/(DATOS!$C$86*DM45*BT45*BY45*100/1000)*(DR45*DO45-1)+DN45,DO45*DN45))*DM45*BT45*BY45*100/1000))</f>
        <v/>
      </c>
      <c r="DX45" s="44" t="str">
        <f>IF(BI45&lt;&gt;"SÍ","",IF(OR(DM45&lt;=0,BZ45&lt;DATOS!$C$72-0.0001),0,DATOS!$C$86*MAX(0,IF(BM45&gt;=0,DG45/(DATOS!$C$86*DM45*BT45*BZ45*100/1000)*(DS45*DO45-1)+DN45,DO45*DN45))*DM45*BT45*BZ45*100/1000))</f>
        <v/>
      </c>
      <c r="DY45" s="44" t="str">
        <f>IF(BI45&lt;&gt;"SÍ","",IF(OR(DM45&lt;=0,CA45&lt;DATOS!$C$72-0.0001),0,DATOS!$C$86*MAX(0,IF(BM45&gt;=0,DH45/(DATOS!$C$86*DM45*BT45*CA45*100/1000)*(DT45*DO45-1)+DN45,DO45*DN45))*DM45*BT45*CA45*100/1000))</f>
        <v/>
      </c>
      <c r="DZ45" s="46" t="str">
        <f>IF(BI45&lt;&gt;"SÍ","",SUM(DU45:DY45))</f>
        <v/>
      </c>
      <c r="EA45" s="45" t="str">
        <f>IF(BI45&lt;&gt;"SÍ","",IF(OR(AE45="",AE45="NINGUNO"),IF(DATOS!$C$41&gt;=10,"FALTA refuerzo horizontal: v'm ≥ 10 kg/cm² (6.5.2.2)",IF(AND(BM45&lt;0,BK45&gt;0),"FALTA: P en tensión, el refuerzo debe tomar todo el cortante (6.5.1.3)","—")),IF(AE45="ESCALERILLA","NO CUENTA: la escalerilla no se permite para cortante por sismo (6.5.3.1.2)",IF(AE45="MALLA",IF(AND(DL45&gt;=2.5,DL45&lt;=MAX(0.15*DATOS!$C$33*DATOS!$C$24,2.5)),"CUMPLE","NO CUMPLE: "&amp;IF(DL45&lt;2.5,"p_h·f_yh &lt; 2.5 (6.5.4.2.4)","p_h·f_yh &gt; 0.15·f'm·f_an (6.5.4.2.4)")),IF(AND(DK45&lt;=MIN(6*DATOS!$C$26,45),DL45&gt;=3,DL45&lt;=MIN(MAX(0.15*DATOS!$C$33*DATOS!$C$24,3),0.05*DATOS!$C$25/10*MIN(DATOS!$C$50,6000)/DK45),INDEX(TABLAS!$C$6:$C$14,MATCH(IF(AG45&lt;&gt;"",AG45,DATOS!$C$73),TABLAS!$B$6:$B$14,0))&gt;=0.35,INDEX(TABLAS!$C$6:$C$14,MATCH(IF(AG45&lt;&gt;"",AG45,DATOS!$C$73),TABLAS!$B$6:$B$14,0))&lt;=0.75*DATOS!$C$25/10),"CUMPLE","NO CUMPLE: "&amp;IF(DK45&gt;MIN(6*DATOS!$C$26,45),"s_h &gt; 6 hiladas o 45 cm (6.5.3.2.1) ","")&amp;IF(DL45&lt;3,"p_h·f_yh &lt; 3 (6.5.3.3.1) ","")&amp;IF(DL45&gt;MIN(MAX(0.15*DATOS!$C$33*DATOS!$C$24,3),0.05*DATOS!$C$25/10*MIN(DATOS!$C$50,6000)/DK45),"p_h·f_yh &gt; máximo (6.5.3.3.2) ","")&amp;IF(OR(INDEX(TABLAS!$C$6:$C$14,MATCH(IF(AG45&lt;&gt;"",AG45,DATOS!$C$73),TABLAS!$B$6:$B$14,0))&lt;0.35,INDEX(TABLAS!$C$6:$C$14,MATCH(IF(AG45&lt;&gt;"",AG45,DATOS!$C$73),TABLAS!$B$6:$B$14,0))&gt;0.75*DATOS!$C$25/10),"diámetro fuera de 3.5 mm a 0.75·h_j (4.2.2.2.1)",""))))))</f>
        <v/>
      </c>
      <c r="EB45" s="46" t="str">
        <f>IF(BI45&lt;&gt;"SÍ","",DI45+DZ45)</f>
        <v/>
      </c>
      <c r="EC45" s="50" t="str">
        <f>IF(BI45&lt;&gt;"SÍ","",IF(EB45&gt;0,BK45/EB45,IF(BK45&gt;0,99,0)))</f>
        <v/>
      </c>
      <c r="ED45" s="47" t="str">
        <f>IF(BI45&lt;&gt;"SÍ","",IF(CE45&lt;=0,-1,IF(BK45&lt;=DI45,0,IF(IF(BM45&gt;=0,IF((DATOS!$C$86*IF(AE45="MALLA",0.5,IF(DATOS!$C$33&lt;=60,0.55,IF(DATOS!$C$33&gt;=90,0.75,0.55+0.2*(DATOS!$C$33-60)/30)))*CE45/1000-DATOS!$C$91*SUMPRODUCT(DP45:DT45,DD45:DH45))&lt;=0,1E9,(BK45-SUMPRODUCT(DP45:DT45,DD45:DH45))/(DATOS!$C$86*IF(AE45="MALLA",0.5,IF(DATOS!$C$33&lt;=60,0.55,IF(DATOS!$C$33&gt;=90,0.75,0.55+0.2*(DATOS!$C$33-60)/30)))*CE45/1000-DATOS!$C$91*SUMPRODUCT(DP45:DT45,DD45:DH45))),IF((1-4*DATOS!$C$91*BK45*1000/(DATOS!$C$86*IF(AE45="MALLA",0.5,IF(DATOS!$C$33&lt;=60,0.55,IF(DATOS!$C$33&gt;=90,0.75,0.55+0.2*(DATOS!$C$33-60)/30)))*MAX(CE45,1)))&lt;0,1E9,(1-SQRT((1-4*DATOS!$C$91*BK45*1000/(DATOS!$C$86*IF(AE45="MALLA",0.5,IF(DATOS!$C$33&lt;=60,0.55,IF(DATOS!$C$33&gt;=90,0.75,0.55+0.2*(DATOS!$C$33-60)/30)))*MAX(CE45,1)))))/(2*DATOS!$C$91)))&gt;0.1*DATOS!$C$33*DATOS!$C$24+0.000001,-1,MAX(IF(AE45="MALLA",2.5,3),IF(BM45&gt;=0,IF((DATOS!$C$86*IF(AE45="MALLA",0.5,IF(DATOS!$C$33&lt;=60,0.55,IF(DATOS!$C$33&gt;=90,0.75,0.55+0.2*(DATOS!$C$33-60)/30)))*CE45/1000-DATOS!$C$91*SUMPRODUCT(DP45:DT45,DD45:DH45))&lt;=0,1E9,(BK45-SUMPRODUCT(DP45:DT45,DD45:DH45))/(DATOS!$C$86*IF(AE45="MALLA",0.5,IF(DATOS!$C$33&lt;=60,0.55,IF(DATOS!$C$33&gt;=90,0.75,0.55+0.2*(DATOS!$C$33-60)/30)))*CE45/1000-DATOS!$C$91*SUMPRODUCT(DP45:DT45,DD45:DH45))),IF((1-4*DATOS!$C$91*BK45*1000/(DATOS!$C$86*IF(AE45="MALLA",0.5,IF(DATOS!$C$33&lt;=60,0.55,IF(DATOS!$C$33&gt;=90,0.75,0.55+0.2*(DATOS!$C$33-60)/30)))*MAX(CE45,1)))&lt;0,1E9,(1-SQRT((1-4*DATOS!$C$91*BK45*1000/(DATOS!$C$86*IF(AE45="MALLA",0.5,IF(DATOS!$C$33&lt;=60,0.55,IF(DATOS!$C$33&gt;=90,0.75,0.55+0.2*(DATOS!$C$33-60)/30)))*MAX(CE45,1)))))/(2*DATOS!$C$91))))))))</f>
        <v/>
      </c>
      <c r="EE45" s="45" t="str">
        <f>IF(BI45&lt;&gt;"SÍ","",IF(ED45=0,"NO REQUIERE: V_mR ≥ V_u",IF(ED45&lt;0,"NO ALCANZA con refuerzo horizontal (haría falta más de 0.1·f'm·f_an efectivo): sube v'm con ensayes, el espesor o la longitud del muro",IF(AND(OR(AE45="VARILLA EN JUNTAS",AE45="MALLA"),LEFT(EA45,6)="CUMPLE",EC45&lt;=1),"YA LO TIENE (pide p_h·f_yh ≥ "&amp;TEXT(ED45,"0.0")&amp;" kg/cm²)","p_h·f_yh ≥ "&amp;TEXT(ED45,"0.0")&amp;" kg/cm² → "&amp;IF(AND(MIN(6,FLOOR(45/DATOS!$C$26,1),FLOOR((2*INDEX(TABLAS!$D$6:$D$14,MATCH("3/16 in",TABLAS!$B$6:$B$14,0)))*MIN(DATOS!$C$50,6000)/(BT45*DATOS!$C$26*MAX(ED45,0.001)),1))&gt;=1,((2*INDEX(TABLAS!$D$6:$D$14,MATCH("3/16 in",TABLAS!$B$6:$B$14,0)))*MIN(DATOS!$C$50,6000)/(MAX(MIN(6,FLOOR(45/DATOS!$C$26,1),FLOOR((2*INDEX(TABLAS!$D$6:$D$14,MATCH("3/16 in",TABLAS!$B$6:$B$14,0)))*MIN(DATOS!$C$50,6000)/(BT45*DATOS!$C$26*MAX(ED45,0.001)),1)),1)*DATOS!$C$26*BT45))&lt;=MIN(MAX(0.15*DATOS!$C$33*DATOS!$C$24,3),0.05*DATOS!$C$25/10*MIN(DATOS!$C$50,6000)/(MIN(6,FLOOR(45/DATOS!$C$26,1),FLOOR((2*INDEX(TABLAS!$D$6:$D$14,MATCH("3/16 in",TABLAS!$B$6:$B$14,0)))*MIN(DATOS!$C$50,6000)/(BT45*DATOS!$C$26*MAX(ED45,0.001)),1))*DATOS!$C$26))),"2 alambres de 3/16"" por junta cada "&amp;MIN(6,FLOOR(45/DATOS!$C$26,1),FLOOR((2*INDEX(TABLAS!$D$6:$D$14,MATCH("3/16 in",TABLAS!$B$6:$B$14,0)))*MIN(DATOS!$C$50,6000)/(BT45*DATOS!$C$26*MAX(ED45,0.001)),1))&amp;" hilada(s) (p_h·f_yh = "&amp;TEXT(((2*INDEX(TABLAS!$D$6:$D$14,MATCH("3/16 in",TABLAS!$B$6:$B$14,0)))*MIN(DATOS!$C$50,6000)/(MAX(MIN(6,FLOOR(45/DATOS!$C$26,1),FLOOR((2*INDEX(TABLAS!$D$6:$D$14,MATCH("3/16 in",TABLAS!$B$6:$B$14,0)))*MIN(DATOS!$C$50,6000)/(BT45*DATOS!$C$26*MAX(ED45,0.001)),1)),1)*DATOS!$C$26*BT45)),"0.00")&amp;")",IF(AND(MIN(6,FLOOR(45/DATOS!$C$26,1),FLOOR((2*INDEX(TABLAS!$D$6:$D$14,MATCH("5/32 in",TABLAS!$B$6:$B$14,0)))*MIN(DATOS!$C$50,6000)/(BT45*DATOS!$C$26*MAX(ED45,0.001)),1))&gt;=1,((2*INDEX(TABLAS!$D$6:$D$14,MATCH("5/32 in",TABLAS!$B$6:$B$14,0)))*MIN(DATOS!$C$50,6000)/(MAX(MIN(6,FLOOR(45/DATOS!$C$26,1),FLOOR((2*INDEX(TABLAS!$D$6:$D$14,MATCH("5/32 in",TABLAS!$B$6:$B$14,0)))*MIN(DATOS!$C$50,6000)/(BT45*DATOS!$C$26*MAX(ED45,0.001)),1)),1)*DATOS!$C$26*BT45))&lt;=MIN(MAX(0.15*DATOS!$C$33*DATOS!$C$24,3),0.05*DATOS!$C$25/10*MIN(DATOS!$C$50,6000)/(MIN(6,FLOOR(45/DATOS!$C$26,1),FLOOR((2*INDEX(TABLAS!$D$6:$D$14,MATCH("5/32 in",TABLAS!$B$6:$B$14,0)))*MIN(DATOS!$C$50,6000)/(BT45*DATOS!$C$26*MAX(ED45,0.001)),1))*DATOS!$C$26))),"2 alambres de 5/32"" por junta cada "&amp;MIN(6,FLOOR(45/DATOS!$C$26,1),FLOOR((2*INDEX(TABLAS!$D$6:$D$14,MATCH("5/32 in",TABLAS!$B$6:$B$14,0)))*MIN(DATOS!$C$50,6000)/(BT45*DATOS!$C$26*MAX(ED45,0.001)),1))&amp;" hilada(s) (p_h·f_yh = "&amp;TEXT(((2*INDEX(TABLAS!$D$6:$D$14,MATCH("5/32 in",TABLAS!$B$6:$B$14,0)))*MIN(DATOS!$C$50,6000)/(MAX(MIN(6,FLOOR(45/DATOS!$C$26,1),FLOOR((2*INDEX(TABLAS!$D$6:$D$14,MATCH("5/32 in",TABLAS!$B$6:$B$14,0)))*MIN(DATOS!$C$50,6000)/(BT45*DATOS!$C$26*MAX(ED45,0.001)),1)),1)*DATOS!$C$26*BT45)),"0.00")&amp;")",IF(AND(MIN(6,FLOOR(45/DATOS!$C$26,1),FLOOR((1*INDEX(TABLAS!$D$6:$D$14,MATCH("3/16 in",TABLAS!$B$6:$B$14,0)))*MIN(DATOS!$C$50,6000)/(BT45*DATOS!$C$26*MAX(ED45,0.001)),1))&gt;=1,((1*INDEX(TABLAS!$D$6:$D$14,MATCH("3/16 in",TABLAS!$B$6:$B$14,0)))*MIN(DATOS!$C$50,6000)/(MAX(MIN(6,FLOOR(45/DATOS!$C$26,1),FLOOR((1*INDEX(TABLAS!$D$6:$D$14,MATCH("3/16 in",TABLAS!$B$6:$B$14,0)))*MIN(DATOS!$C$50,6000)/(BT45*DATOS!$C$26*MAX(ED45,0.001)),1)),1)*DATOS!$C$26*BT45))&lt;=MIN(MAX(0.15*DATOS!$C$33*DATOS!$C$24,3),0.05*DATOS!$C$25/10*MIN(DATOS!$C$50,6000)/(MIN(6,FLOOR(45/DATOS!$C$26,1),FLOOR((1*INDEX(TABLAS!$D$6:$D$14,MATCH("3/16 in",TABLAS!$B$6:$B$14,0)))*MIN(DATOS!$C$50,6000)/(BT45*DATOS!$C$26*MAX(ED45,0.001)),1))*DATOS!$C$26))),"1 alambre de 3/16"" por junta cada "&amp;MIN(6,FLOOR(45/DATOS!$C$26,1),FLOOR((1*INDEX(TABLAS!$D$6:$D$14,MATCH("3/16 in",TABLAS!$B$6:$B$14,0)))*MIN(DATOS!$C$50,6000)/(BT45*DATOS!$C$26*MAX(ED45,0.001)),1))&amp;" hilada(s) (p_h·f_yh = "&amp;TEXT(((1*INDEX(TABLAS!$D$6:$D$14,MATCH("3/16 in",TABLAS!$B$6:$B$14,0)))*MIN(DATOS!$C$50,6000)/(MAX(MIN(6,FLOOR(45/DATOS!$C$26,1),FLOOR((1*INDEX(TABLAS!$D$6:$D$14,MATCH("3/16 in",TABLAS!$B$6:$B$14,0)))*MIN(DATOS!$C$50,6000)/(BT45*DATOS!$C$26*MAX(ED45,0.001)),1)),1)*DATOS!$C$26*BT45)),"0.00")&amp;")",IF(AND(MIN(6,FLOOR(45/DATOS!$C$26,1),FLOOR((1*INDEX(TABLAS!$D$6:$D$14,MATCH("5/32 in",TABLAS!$B$6:$B$14,0)))*MIN(DATOS!$C$50,6000)/(BT45*DATOS!$C$26*MAX(ED45,0.001)),1))&gt;=1,((1*INDEX(TABLAS!$D$6:$D$14,MATCH("5/32 in",TABLAS!$B$6:$B$14,0)))*MIN(DATOS!$C$50,6000)/(MAX(MIN(6,FLOOR(45/DATOS!$C$26,1),FLOOR((1*INDEX(TABLAS!$D$6:$D$14,MATCH("5/32 in",TABLAS!$B$6:$B$14,0)))*MIN(DATOS!$C$50,6000)/(BT45*DATOS!$C$26*MAX(ED45,0.001)),1)),1)*DATOS!$C$26*BT45))&lt;=MIN(MAX(0.15*DATOS!$C$33*DATOS!$C$24,3),0.05*DATOS!$C$25/10*MIN(DATOS!$C$50,6000)/(MIN(6,FLOOR(45/DATOS!$C$26,1),FLOOR((1*INDEX(TABLAS!$D$6:$D$14,MATCH("5/32 in",TABLAS!$B$6:$B$14,0)))*MIN(DATOS!$C$50,6000)/(BT45*DATOS!$C$26*MAX(ED45,0.001)),1))*DATOS!$C$26))),"1 alambre de 5/32"" por junta cada "&amp;MIN(6,FLOOR(45/DATOS!$C$26,1),FLOOR((1*INDEX(TABLAS!$D$6:$D$14,MATCH("5/32 in",TABLAS!$B$6:$B$14,0)))*MIN(DATOS!$C$50,6000)/(BT45*DATOS!$C$26*MAX(ED45,0.001)),1))&amp;" hilada(s) (p_h·f_yh = "&amp;TEXT(((1*INDEX(TABLAS!$D$6:$D$14,MATCH("5/32 in",TABLAS!$B$6:$B$14,0)))*MIN(DATOS!$C$50,6000)/(MAX(MIN(6,FLOOR(45/DATOS!$C$26,1),FLOOR((1*INDEX(TABLAS!$D$6:$D$14,MATCH("5/32 in",TABLAS!$B$6:$B$14,0)))*MIN(DATOS!$C$50,6000)/(BT45*DATOS!$C$26*MAX(ED45,0.001)),1)),1)*DATOS!$C$26*BT45)),"0.00")&amp;")","ninguna combinación de 1 o 2 alambres por junta queda entre el mínimo y el máximo: revisa con malla (6.5.4)"))))))))</f>
        <v/>
      </c>
      <c r="EF45" s="43" t="str">
        <f>IF(BI45&lt;&gt;"SÍ","",IF(AI45="SÍ",N(AK45)*N(AL45)^3/12,0))</f>
        <v/>
      </c>
      <c r="EG45" s="48" t="str">
        <f>IF(BI45&lt;&gt;"SÍ","",IF(AND(AI45="SÍ",N(AM45)&gt;0),MIN(1,F45/AM45),0))</f>
        <v/>
      </c>
      <c r="EH45" s="47" t="str">
        <f>IF(BI45&lt;&gt;"SÍ","",IF(AI45="SÍ",BP45*1000/(BT45*F45*100)*BT45*(EG45^4-4*EG45^3+8*EG45),0))</f>
        <v/>
      </c>
      <c r="EI45" s="48" t="str">
        <f>IF(BI45&lt;&gt;"SÍ","",IF(AND(AI45="SÍ",EH45&gt;0),EH45/(EH45+5*N(AN45)*10),0))</f>
        <v/>
      </c>
      <c r="EJ45" s="44" t="str">
        <f>IF(BI45&lt;&gt;"SÍ","",IF(AND(AI45="SÍ",EI45&gt;0,EF45&gt;0),(DATOS!$C$43*BT45*(AM45*100)^3/(DATOS!$C$53*EF45*EI45))^0.25,0))</f>
        <v/>
      </c>
      <c r="EK45" s="44" t="str">
        <f>IF(BI45&lt;&gt;"SÍ","",IF(AI45&lt;&gt;"SÍ",0,IF(N(AM45)&lt;=F45,1,IF(MIN(1,N(AO45)/((AM45-F45)/2))&lt;=0.5,0.7+0.6*MIN(1,N(AO45)/((AM45-F45)/2)),1.5-MIN(1,N(AO45)/((AM45-F45)/2))))))</f>
        <v/>
      </c>
      <c r="EL45" s="44" t="str">
        <f>IF(BI45&lt;&gt;"SÍ","",IF(AI45&lt;&gt;"SÍ",0,MAX(1,IF(EG45&gt;=1,(1.6*EJ45-3.9),IF(EG45&lt;0.9,((3.2*EJ45-7.8)*EK45),((3.2*EJ45-7.8)*EK45)+((1.6*EJ45-3.9)-((3.2*EJ45-7.8)*EK45))*(EG45-0.9)/0.1)))))</f>
        <v/>
      </c>
      <c r="EM45" s="47" t="str">
        <f>IF(BI45&lt;&gt;"SÍ","",IF(AI45="SÍ",EL45*BP45*1000/(BT45*F45*100),0))</f>
        <v/>
      </c>
      <c r="EN45" s="47" t="str">
        <f>IF(BI45&lt;&gt;"SÍ","",IF(AND(AI45="SÍ",N(AL45)&gt;0),AM45*100/AL45,0))</f>
        <v/>
      </c>
      <c r="EO45" s="47" t="str">
        <f>IF(BI45&lt;&gt;"SÍ","",IF(AI45="SÍ",(1/15*DATOS!$C$53*N(AK45)/MAX((IF(ISNUMBER(AP45),AP45,BP45/DATOS!$C$90)*1000/(BT45*F45*100)*BT45*(EG45^4-4*EG45^3+8*EG45))+5*N(AN45)/DATOS!$C$90*10,0.001))^(1/3),0))</f>
        <v/>
      </c>
      <c r="EP45" s="45" t="str">
        <f>IF(BI45&lt;&gt;"SÍ","",IF(AI45&lt;&gt;"SÍ","—",IF(OR(N(AK45)&lt;=0,N(AL45)&lt;=0,N(AM45)&lt;=0),"REVISAR: faltan b, h o L_v de la viga",IF(AND(EM45&lt;=DATOS!$C$87*DATOS!$C$33,EN45&lt;=14,N(AL45)&gt;=25,EN45&lt;=EO45),IF(BS45/F45&lt;0.6,"PENDIENTE: H/L &lt; 0.6, falta el análisis de interacción muro–viga (4.1.18.2.1); f_CM es estimado","CUMPLE"),"NO CUMPLE: "&amp;IF(EM45&gt;DATOS!$C$87*DATOS!$C$33,"f_CM &gt; F_R·f'm ","")&amp;IF(EN45&gt;14,"L_v/h_v &gt; 14 ","")&amp;IF(N(AL45)&lt;25,"h_v &lt; 25 cm ","")&amp;IF(EN45&gt;EO45,"flecha (4.1.18.3)","")))))</f>
        <v/>
      </c>
      <c r="EQ45" s="44" t="str">
        <f>IF(BI45&lt;&gt;"SÍ","",MAX(0,F45*BS45-(N(K45)*N(M45)+N(P45)*N(R45)+N(U45)*N(W45)+N(Z45)*N(AB45))-CK45*DATOS!$C$59/100*BS45))</f>
        <v/>
      </c>
      <c r="ER45" s="48" t="str">
        <f>IF(BI45&lt;&gt;"SÍ","",CK45*DATOS!$C$59*DATOS!$C$60/10000*BS45)</f>
        <v/>
      </c>
      <c r="ES45" s="47" t="str">
        <f>IF(BI45&lt;&gt;"SÍ","",CK45*(DATOS!$C$61*(BS45+0.6)*INDEX(TABLAS!$E$6:$E$14,MATCH(DATOS!$C$62,TABLAS!$B$6:$B$14,0))+(2*ROUNDUP(CN45/DATOS!$C$65,0)+ROUNDUP(MAX(0,BS45*100-2*CN45)/DATOS!$C$64,0))*((2*(DATOS!$C$60+DATOS!$C$59-4*(DATOS!$C$66-INDEX(TABLAS!$C$6:$C$14,MATCH(DATOS!$C$63,TABLAS!$B$6:$B$14,0))))+15)/100)*INDEX(TABLAS!$E$6:$E$14,MATCH(DATOS!$C$63,TABLAS!$B$6:$B$14,0))))</f>
        <v/>
      </c>
      <c r="ET45" s="47" t="str">
        <f>IF(BI45&lt;&gt;"SÍ","",IF(OR(AE45="VARILLA EN JUNTAS",AE45="ESCALERILLA"),INT(BS45*100/MAX(DK45,1))*IF(ISNUMBER(AF45),AF45,2)*CB45*INDEX(TABLAS!$E$6:$E$14,MATCH(IF(AG45&lt;&gt;"",AG45,DATOS!$C$73),TABLAS!$B$6:$B$14,0)),IF(AE45="MALLA",IF(ISNUMBER(AF45),AF45,1)*CB45*BS45*INDEX(TABLAS!$E$19:$E$22,MATCH(IF(AG45&lt;&gt;"",AG45,DATOS!$C$74),TABLAS!$B$19:$B$22,0)),0)))</f>
        <v/>
      </c>
      <c r="EU45" s="45" t="str">
        <f>IF(BI45&lt;&gt;"SÍ","",""&amp;IF(BJ45="NO ESTÁ EN PIER_FORCES","sin fuerzas en PIER_FORCES; ","")&amp;IF(BV45&lt;&gt;"CUMPLE","vanos; ","")&amp;IF(LEFT(CH45,2)="NO","espesor o esbeltez; ","")&amp;IF(CQ45&gt;1,"compresión; ","")&amp;IF(CX45&gt;1,"flexión; ","")&amp;IF(CB45&lt;=0,"sin tramos de muro (todos son machones menores que L mín.: diséñalos como columnas o baja L mín.); ",IF(EC45&gt;1,"cortante; ",""))&amp;IF(OR(LEFT(EA45,2)="NO",LEFT(EA45,5)="FALTA"),"refuerzo horizontal; ","")&amp;IF(OR(LEFT(EP45,2)="NO",LEFT(EP45,7)="REVISAR"),"muro sobre viga; ","")&amp;IF(LEFT(DATOS!$C$81,2)="NO","castillo típico; ","")&amp;IF(LEFT(DATOS!$C$82,2)="NO","dala típica; ","")&amp;IF(AND(BT45&lt;&gt;DATOS!$C$58,DATOS!$C$60&lt;BT45),"castillo más angosto que el muro; ",""))</f>
        <v/>
      </c>
      <c r="EV45" s="45" t="str">
        <f>IF(BI45&lt;&gt;"SÍ","",""&amp;IF(LEFT(EP45,9)="PENDIENTE","análisis muro–viga (H/L &lt; 0.6); ","")&amp;IF(BR45&gt;50,"V_u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5" s="51" t="str">
        <f>IF(BI45&lt;&gt;"SÍ","",IF(EU45&lt;&gt;"","NO CUMPLE: "&amp;LEFT(EU45,LEN(EU45)-2),IF(EV45&lt;&gt;"","CUMPLE — PENDIENTE: "&amp;LEFT(EV45,LEN(EV45)-2),"CUMPLE")))</f>
        <v/>
      </c>
      <c r="EX45" s="52" t="n"/>
    </row>
    <row r="46" ht="30" customHeight="1">
      <c r="A46" s="38" t="str">
        <f>IF(B46="","",ROW()-10)</f>
        <v/>
      </c>
      <c r="B46" s="28" t="n"/>
      <c r="C46" s="39" t="n"/>
      <c r="D46" s="39" t="n"/>
      <c r="E46" s="39" t="n"/>
      <c r="F46" s="40" t="n"/>
      <c r="G46" s="40" t="n"/>
      <c r="H46" s="41" t="n"/>
      <c r="I46" s="39" t="n"/>
      <c r="J46" s="40" t="n"/>
      <c r="K46" s="40" t="n"/>
      <c r="L46" s="40" t="n"/>
      <c r="M46" s="40" t="n"/>
      <c r="N46" s="39" t="n"/>
      <c r="O46" s="40" t="n"/>
      <c r="P46" s="40" t="n"/>
      <c r="Q46" s="40" t="n"/>
      <c r="R46" s="40" t="n"/>
      <c r="S46" s="39" t="n"/>
      <c r="T46" s="40" t="n"/>
      <c r="U46" s="40" t="n"/>
      <c r="V46" s="40" t="n"/>
      <c r="W46" s="40" t="n"/>
      <c r="X46" s="39" t="n"/>
      <c r="Y46" s="40" t="n"/>
      <c r="Z46" s="40" t="n"/>
      <c r="AA46" s="40" t="n"/>
      <c r="AB46" s="40" t="n"/>
      <c r="AC46" s="41" t="n"/>
      <c r="AD46" s="41" t="n"/>
      <c r="AE46" s="39" t="n"/>
      <c r="AF46" s="41" t="n"/>
      <c r="AG46" s="41" t="n"/>
      <c r="AH46" s="41" t="n"/>
      <c r="AI46" s="39" t="n"/>
      <c r="AJ46" s="39" t="n"/>
      <c r="AK46" s="41" t="n"/>
      <c r="AL46" s="41" t="n"/>
      <c r="AM46" s="40" t="n"/>
      <c r="AN46" s="40" t="n"/>
      <c r="AO46" s="40" t="n"/>
      <c r="AP46" s="40" t="n"/>
      <c r="AQ46" s="40" t="n"/>
      <c r="AR46" s="40" t="n"/>
      <c r="AS46" s="40" t="n"/>
      <c r="AT46" s="40" t="n"/>
      <c r="AU46" s="40" t="n"/>
      <c r="AV46" s="40" t="n"/>
      <c r="AW46" s="40" t="n"/>
      <c r="AX46" s="42" t="str">
        <f>IF(B46="","",C46&amp;"|"&amp;B46)</f>
        <v/>
      </c>
      <c r="AY46" s="43" t="str">
        <f>IF(B46="","",COUNTIFS(PIER_FORCES!$O$9:$O$3008,36,PIER_FORCES!$P$9:$P$3008,1))</f>
        <v/>
      </c>
      <c r="AZ46" s="43" t="str">
        <f>IF(B46="","",COUNTIFS(PIER_FORCES!$O$9:$O$3008,36,PIER_FORCES!$P$9:$P$3008,2))</f>
        <v/>
      </c>
      <c r="BA46" s="44">
        <f>IF(N(AY46)=0,0,SUMPRODUCT(MAX((PIER_FORCES!$O$9:$O$3008=36)*(PIER_FORCES!$P$9:$P$3008=1)*PIER_FORCES!$R$9:$R$3008)))</f>
        <v>0</v>
      </c>
      <c r="BB46" s="44">
        <f>IF(N(AY46)=0,0,SUMPRODUCT(MAX((PIER_FORCES!$O$9:$O$3008=36)*(PIER_FORCES!$P$9:$P$3008=1)*PIER_FORCES!$S$9:$S$3008)))</f>
        <v>0</v>
      </c>
      <c r="BC46" s="44">
        <f>IF(N(AY46)=0,0,-SUMPRODUCT(MAX((PIER_FORCES!$O$9:$O$3008=36)*(PIER_FORCES!$P$9:$P$3008=1)*(-PIER_FORCES!$Q$9:$Q$3008)+(1-(PIER_FORCES!$O$9:$O$3008=36)*(PIER_FORCES!$P$9:$P$3008=1))*(-1E9))))</f>
        <v>0</v>
      </c>
      <c r="BD46" s="44">
        <f>IF(N(AY46)=0,0,SUMPRODUCT(MAX((PIER_FORCES!$O$9:$O$3008=36)*(PIER_FORCES!$P$9:$P$3008=1)*PIER_FORCES!$Q$9:$Q$3008+(1-(PIER_FORCES!$O$9:$O$3008=36)*(PIER_FORCES!$P$9:$P$3008=1))*(-1E9))))</f>
        <v>0</v>
      </c>
      <c r="BE46" s="44">
        <f>IF(N(AZ46)=0,BD46,SUMPRODUCT(MAX((PIER_FORCES!$O$9:$O$3008=36)*(PIER_FORCES!$P$9:$P$3008=2)*PIER_FORCES!$Q$9:$Q$3008+(1-(PIER_FORCES!$O$9:$O$3008=36)*(PIER_FORCES!$P$9:$P$3008=2))*(-1E9))))</f>
        <v>0</v>
      </c>
      <c r="BF46" s="44">
        <f>IF(N(AZ46)=0,0,SUMPRODUCT(MAX((PIER_FORCES!$O$9:$O$3008=36)*(PIER_FORCES!$P$9:$P$3008=2)*PIER_FORCES!$R$9:$R$3008)))</f>
        <v>0</v>
      </c>
      <c r="BG46" s="43">
        <f>IF(N(AY46)=0,0,SUMPRODUCT(MAX((PIER_FORCES!$O$9:$O$3008=36)*(PIER_FORCES!$P$9:$P$3008=1)*(ABS(PIER_FORCES!$R$9:$R$3008-BA46)&lt;0.000001)*PIER_FORCES!$T$9:$T$3008)))</f>
        <v>0</v>
      </c>
      <c r="BH46" s="45" t="str">
        <f>IF(N(BG46)=0,"",INDEX(PIER_FORCES!$D$9:$D$3008,BG46)&amp;" "&amp;INDEX(PIER_FORCES!$F$9:$F$3008,BG46)&amp;" / "&amp;INDEX(PIER_FORCES!$G$9:$G$3008,BG46))</f>
        <v/>
      </c>
      <c r="BI46" s="42" t="str">
        <f>IF(B46="","",IF(AND(C46&lt;&gt;"",OR(D46="X",D46="Y"),ISNUMBER(F46),N(F46)&gt;0),"SÍ","NO"))</f>
        <v/>
      </c>
      <c r="BJ46" s="42" t="str">
        <f>IF(BI46&lt;&gt;"SÍ","",IF(DATOS!$C$108="ETABS (PIER_FORCES)",IF(N(AY46)&gt;0,"ETABS","NO ESTÁ EN PIER_FORCES"),"CAPTURA"))</f>
        <v/>
      </c>
      <c r="BK46" s="46" t="str">
        <f>IF(BI46&lt;&gt;"SÍ","",IF(BJ46="ETABS",BA46,IF(BJ46="CAPTURA",N(AQ46),0)))</f>
        <v/>
      </c>
      <c r="BL46" s="46" t="str">
        <f>IF(BI46&lt;&gt;"SÍ","",IF(BJ46="ETABS",BB46,IF(BJ46="CAPTURA",N(AR46),0)))</f>
        <v/>
      </c>
      <c r="BM46" s="46" t="str">
        <f>IF(BI46&lt;&gt;"SÍ","",IF(BJ46="ETABS",BC46/DATOS!$C$89,IF(BJ46="CAPTURA",N(AS46),0)))</f>
        <v/>
      </c>
      <c r="BN46" s="44" t="str">
        <f>IF(BI46&lt;&gt;"SÍ","",IF(BJ46="ETABS",BC46,IF(BJ46="CAPTURA",IF(ISNUMBER(AU46),AU46,N(AS46)*DATOS!$C$89),0)))</f>
        <v/>
      </c>
      <c r="BO46" s="44" t="str">
        <f>IF(BI46&lt;&gt;"SÍ","",IF(BJ46="ETABS",MAX(BD46,BE46),IF(BJ46="CAPTURA",N(AT46),0)))</f>
        <v/>
      </c>
      <c r="BP46" s="44" t="str">
        <f>IF(BI46&lt;&gt;"SÍ","",IF(BJ46="ETABS",BE46,IF(BJ46="CAPTURA",IF(ISNUMBER(AV46),AV46,N(AT46)),0)))</f>
        <v/>
      </c>
      <c r="BQ46" s="44" t="str">
        <f>IF(BI46&lt;&gt;"SÍ","",IF(BJ46="ETABS",BF46,IF(BJ46="CAPTURA",N(AW46),0)))</f>
        <v/>
      </c>
      <c r="BR46" s="43" t="str">
        <f>IF(BI46&lt;&gt;"SÍ","",IF(BK46&gt;0,100*BQ46/BK46,0))</f>
        <v/>
      </c>
      <c r="BS46" s="44" t="str">
        <f>IF(BI46&lt;&gt;"SÍ","",IF(ISNUMBER(G46),G46,DATOS!$C$57))</f>
        <v/>
      </c>
      <c r="BT46" s="47" t="str">
        <f>IF(BI46&lt;&gt;"SÍ","",IF(ISNUMBER(H46),H46,DATOS!$C$58))</f>
        <v/>
      </c>
      <c r="BU46" s="43" t="str">
        <f>IF(BI46&lt;&gt;"SÍ","",IF(N(K46)&gt;0,1+IF(N(P46)&gt;0,1+IF(N(U46)&gt;0,1+IF(N(Z46)&gt;0,1,0),0),0),0))</f>
        <v/>
      </c>
      <c r="BV46" s="45" t="str">
        <f>IF(BI46&lt;&gt;"SÍ","",IF(AND(OR(BU46&lt;1,AND(N(J46)&gt;=0-0.001,J46+K46&lt;=F46+0.001,N(L46)&gt;=0,N(L46)+N(M46)&lt;=BS46+0.001,N(M46)&gt;0,OR(I46="PUERTA",I46="VENTANA"))),OR(BU46&lt;2,AND(N(O46)&gt;=(J46+K46)-0.001,O46+P46&lt;=F46+0.001,N(Q46)&gt;=0,N(Q46)+N(R46)&lt;=BS46+0.001,N(R46)&gt;0,OR(N46="PUERTA",N46="VENTANA"))),OR(BU46&lt;3,AND(N(T46)&gt;=(O46+P46)-0.001,T46+U46&lt;=F46+0.001,N(V46)&gt;=0,N(V46)+N(W46)&lt;=BS46+0.001,N(W46)&gt;0,OR(S46="PUERTA",S46="VENTANA"))),OR(BU46&lt;4,AND(N(Y46)&gt;=(T46+U46)-0.001,Y46+Z46&lt;=F46+0.001,N(AA46)&gt;=0,N(AA46)+N(AB46)&lt;=BS46+0.001,N(AB46)&gt;0,OR(X46="PUERTA",X46="VENTANA"))),(N(K46)&gt;0)+(N(P46)&gt;0)+(N(U46)&gt;0)+(N(Z46)&gt;0)=BU46),"CUMPLE","REVISAR VANOS: tipo, orden de izquierda a derecha, que quepan en L y en H"))</f>
        <v/>
      </c>
      <c r="BW46" s="44" t="str">
        <f>IF(BI46&lt;&gt;"SÍ","",MAX(0,IF(BU46&gt;=1,N(J46),F46)))</f>
        <v/>
      </c>
      <c r="BX46" s="44" t="str">
        <f>IF(BI46&lt;&gt;"SÍ","",MAX(0,IF(BU46&gt;=2,N(O46)-(N(J46)+N(K46)),IF(BU46=1,F46-(N(J46)+N(K46)),0))))</f>
        <v/>
      </c>
      <c r="BY46" s="44" t="str">
        <f>IF(BI46&lt;&gt;"SÍ","",MAX(0,IF(BU46&gt;=3,N(T46)-(N(O46)+N(P46)),IF(BU46=2,F46-(N(O46)+N(P46)),0))))</f>
        <v/>
      </c>
      <c r="BZ46" s="44" t="str">
        <f>IF(BI46&lt;&gt;"SÍ","",MAX(0,IF(BU46&gt;=4,N(Y46)-(N(T46)+N(U46)),IF(BU46=3,F46-(N(T46)+N(U46)),0))))</f>
        <v/>
      </c>
      <c r="CA46" s="44" t="str">
        <f>IF(BI46&lt;&gt;"SÍ","",MAX(0,IF(BU46=4,F46-(N(Y46)+N(Z46)),0)))</f>
        <v/>
      </c>
      <c r="CB46" s="46" t="str">
        <f>IF(BI46&lt;&gt;"SÍ","",SUMPRODUCT((BW46:CA46&gt;=DATOS!$C$72-0.0001)*BW46:CA46))</f>
        <v/>
      </c>
      <c r="CC46" s="43" t="str">
        <f>IF(BI46&lt;&gt;"SÍ","",SUMPRODUCT(--(BW46:CA46&gt;=DATOS!$C$72-0.0001)))</f>
        <v/>
      </c>
      <c r="CD46" s="44" t="str">
        <f>IF(BI46&lt;&gt;"SÍ","",SUM(BW46:CA46))</f>
        <v/>
      </c>
      <c r="CE46" s="43" t="str">
        <f>IF(BI46&lt;&gt;"SÍ","",BT46*CB46*100)</f>
        <v/>
      </c>
      <c r="CF46" s="43" t="str">
        <f>IF(BI46&lt;&gt;"SÍ","",BT46*CD46*100)</f>
        <v/>
      </c>
      <c r="CG46" s="47" t="str">
        <f>IF(BI46&lt;&gt;"SÍ","",BS46*100/BT46)</f>
        <v/>
      </c>
      <c r="CH46" s="45" t="str">
        <f>IF(BI46&lt;&gt;"SÍ","",IF(AND(OR(DATOS!$C$14="TIPO II",BT46&gt;=12),CG46&lt;=25),"CUMPLE","NO CUMPLE: "&amp;IF(AND(DATOS!$C$14="TIPO I",BT46&lt;12),"t &lt; 12 cm ","")&amp;IF(CG46&gt;25,"H/t &gt; 25","")))</f>
        <v/>
      </c>
      <c r="CI46" s="44" t="str">
        <f>IF(BI46&lt;&gt;"SÍ","",MIN(1.5*BS46,4))</f>
        <v/>
      </c>
      <c r="CJ46" s="43" t="str">
        <f>IF(BI46&lt;&gt;"SÍ","",SUMPRODUCT((BW46:CA46&gt;=2*DATOS!$C$59/100)*INT((BW46:CA46-DATOS!$C$59/100)/CI46-0.000001)*((BW46:CA46-DATOS!$C$59/100)&gt;0)))</f>
        <v/>
      </c>
      <c r="CK46" s="43" t="str">
        <f>IF(BI46&lt;&gt;"SÍ","",SUMPRODUCT((BW46:CA46&gt;0.0001)*1+(BW46:CA46&gt;=2*DATOS!$C$59/100)*1)+CJ46)</f>
        <v/>
      </c>
      <c r="CL46" s="44" t="str">
        <f>IF(BI46&lt;&gt;"SÍ","",IF(ISNUMBER(AC46),AC46,DATOS!$C$61)*INDEX(TABLAS!$D$6:$D$14,MATCH(IF(AD46&lt;&gt;"",AD46,DATOS!$C$62),TABLAS!$B$6:$B$14,0)))</f>
        <v/>
      </c>
      <c r="CM46" s="44" t="str">
        <f>IF(BI46&lt;&gt;"SÍ","",CK46*DATOS!$C$78+IF(CK46&gt;=2,2,CK46)*(CL46-DATOS!$C$78))</f>
        <v/>
      </c>
      <c r="CN46" s="47" t="str">
        <f>IF(BI46&lt;&gt;"SÍ","",MAX(BS46*100/6,40))</f>
        <v/>
      </c>
      <c r="CO46" s="48" t="str">
        <f>IF(BI46&lt;&gt;"SÍ","",IF(CG46&lt;=20,IF(E46="INTERIOR",0.7,0.6),MIN(IF(E46="INTERIOR",0.7,0.6),(1-2/24)*(1-(IF(E46="INTERIOR",0.8,1)*CG46/30)^2))))</f>
        <v/>
      </c>
      <c r="CP46" s="47" t="str">
        <f>IF(BI46&lt;&gt;"SÍ","",DATOS!$C$87*CO46*(DATOS!$C$33*CF46+CM46*DATOS!$C$48)/1000)</f>
        <v/>
      </c>
      <c r="CQ46" s="46" t="str">
        <f>IF(BI46&lt;&gt;"SÍ","",IF(CP46&gt;0,BO46/CP46,99))</f>
        <v/>
      </c>
      <c r="CR46" s="47" t="str">
        <f>IF(BI46&lt;&gt;"SÍ","",MAX(0,F46*100-DATOS!$C$59))</f>
        <v/>
      </c>
      <c r="CS46" s="47" t="str">
        <f>IF(BI46&lt;&gt;"SÍ","",MAX(0,F46*100-DATOS!$C$59/2))</f>
        <v/>
      </c>
      <c r="CT46" s="44" t="str">
        <f>IF(BI46&lt;&gt;"SÍ","",CL46*DATOS!$C$48*CR46/100000)</f>
        <v/>
      </c>
      <c r="CU46" s="44" t="str">
        <f>IF(BI46&lt;&gt;"SÍ","",IF(BN46&lt;0,0.8*CT46*MAX(0,1+BN46/(0.8*CM46*DATOS!$C$48/1000)),IF(BN46&lt;=CP46/3,0.8*CT46+0.3*BN46*CS46/100,(1.5*0.6*CT46+0.15*CP46*CS46/100)*MAX(0,1-BN46/CP46))))</f>
        <v/>
      </c>
      <c r="CV46" s="44" t="str">
        <f>IF(BI46&lt;&gt;"SÍ","",IF(BO46&lt;0,0.8*CT46*MAX(0,1+BO46/(0.8*CM46*DATOS!$C$48/1000)),IF(BO46&lt;=CP46/3,0.8*CT46+0.3*BO46*CS46/100,(1.5*0.6*CT46+0.15*CP46*CS46/100)*MAX(0,1-BO46/CP46))))</f>
        <v/>
      </c>
      <c r="CW46" s="46" t="str">
        <f>IF(BI46&lt;&gt;"SÍ","",MAX(0,MIN(CU46,CV46)))</f>
        <v/>
      </c>
      <c r="CX46" s="49" t="str">
        <f>IF(BI46&lt;&gt;"SÍ","",IF(CW46&gt;0,BL46/CW46,IF(BL46&gt;0,99,0)))</f>
        <v/>
      </c>
      <c r="CY46" s="44" t="str">
        <f>IF(BI46&lt;&gt;"SÍ","",IF(BW46&gt;0,MAX(1,MIN(1.5,1.5-0.625*(BS46/BW46-0.2))),0))</f>
        <v/>
      </c>
      <c r="CZ46" s="44" t="str">
        <f>IF(BI46&lt;&gt;"SÍ","",IF(BX46&gt;0,MAX(1,MIN(1.5,1.5-0.625*(BS46/BX46-0.2))),0))</f>
        <v/>
      </c>
      <c r="DA46" s="44" t="str">
        <f>IF(BI46&lt;&gt;"SÍ","",IF(BY46&gt;0,MAX(1,MIN(1.5,1.5-0.625*(BS46/BY46-0.2))),0))</f>
        <v/>
      </c>
      <c r="DB46" s="44" t="str">
        <f>IF(BI46&lt;&gt;"SÍ","",IF(BZ46&gt;0,MAX(1,MIN(1.5,1.5-0.625*(BS46/BZ46-0.2))),0))</f>
        <v/>
      </c>
      <c r="DC46" s="44" t="str">
        <f>IF(BI46&lt;&gt;"SÍ","",IF(CA46&gt;0,MAX(1,MIN(1.5,1.5-0.625*(BS46/CA46-0.2))),0))</f>
        <v/>
      </c>
      <c r="DD46" s="44" t="str">
        <f>IF(BI46&lt;&gt;"SÍ","",IF(OR(BW46&lt;DATOS!$C$72-0.0001,BM46&lt;0,CB46&lt;=0),0,MIN(DATOS!$C$86*(0.5*DATOS!$C$41*BT46*BW46*100+0.3*BM46*BW46/CB46*1000)*CY46,1.5*DATOS!$C$86*DATOS!$C$41*BT46*BW46*100*CY46)/1000))</f>
        <v/>
      </c>
      <c r="DE46" s="44" t="str">
        <f>IF(BI46&lt;&gt;"SÍ","",IF(OR(BX46&lt;DATOS!$C$72-0.0001,BM46&lt;0,CB46&lt;=0),0,MIN(DATOS!$C$86*(0.5*DATOS!$C$41*BT46*BX46*100+0.3*BM46*BX46/CB46*1000)*CZ46,1.5*DATOS!$C$86*DATOS!$C$41*BT46*BX46*100*CZ46)/1000))</f>
        <v/>
      </c>
      <c r="DF46" s="44" t="str">
        <f>IF(BI46&lt;&gt;"SÍ","",IF(OR(BY46&lt;DATOS!$C$72-0.0001,BM46&lt;0,CB46&lt;=0),0,MIN(DATOS!$C$86*(0.5*DATOS!$C$41*BT46*BY46*100+0.3*BM46*BY46/CB46*1000)*DA46,1.5*DATOS!$C$86*DATOS!$C$41*BT46*BY46*100*DA46)/1000))</f>
        <v/>
      </c>
      <c r="DG46" s="44" t="str">
        <f>IF(BI46&lt;&gt;"SÍ","",IF(OR(BZ46&lt;DATOS!$C$72-0.0001,BM46&lt;0,CB46&lt;=0),0,MIN(DATOS!$C$86*(0.5*DATOS!$C$41*BT46*BZ46*100+0.3*BM46*BZ46/CB46*1000)*DB46,1.5*DATOS!$C$86*DATOS!$C$41*BT46*BZ46*100*DB46)/1000))</f>
        <v/>
      </c>
      <c r="DH46" s="44" t="str">
        <f>IF(BI46&lt;&gt;"SÍ","",IF(OR(CA46&lt;DATOS!$C$72-0.0001,BM46&lt;0,CB46&lt;=0),0,MIN(DATOS!$C$86*(0.5*DATOS!$C$41*BT46*CA46*100+0.3*BM46*CA46/CB46*1000)*DC46,1.5*DATOS!$C$86*DATOS!$C$41*BT46*CA46*100*DC46)/1000))</f>
        <v/>
      </c>
      <c r="DI46" s="46" t="str">
        <f>IF(BI46&lt;&gt;"SÍ","",SUM(DD46:DH46))</f>
        <v/>
      </c>
      <c r="DJ46" s="48" t="str">
        <f>IF(BI46&lt;&gt;"SÍ","",IF(AE46="VARILLA EN JUNTAS",IF(ISNUMBER(AF46),AF46,2)*INDEX(TABLAS!$D$6:$D$14,MATCH(IF(AG46&lt;&gt;"",AG46,DATOS!$C$73),TABLAS!$B$6:$B$14,0)),IF(AE46="MALLA",IF(ISNUMBER(AF46),AF46,1)*INDEX(TABLAS!$D$19:$D$22,MATCH(IF(AG46&lt;&gt;"",AG46,DATOS!$C$74),TABLAS!$B$19:$B$22,0))/100,IF(AE46="ESCALERILLA",IF(ISNUMBER(AF46),AF46,2)*INDEX(TABLAS!$D$6:$D$14,MATCH(IF(AG46&lt;&gt;"",AG46,DATOS!$C$73),TABLAS!$B$6:$B$14,0)),0))))</f>
        <v/>
      </c>
      <c r="DK46" s="47" t="str">
        <f>IF(BI46&lt;&gt;"SÍ","",IF(OR(AE46="VARILLA EN JUNTAS",AE46="ESCALERILLA"),IF(ISNUMBER(AH46),AH46,2)*DATOS!$C$26,IF(AE46="MALLA",1,0)))</f>
        <v/>
      </c>
      <c r="DL46" s="44" t="str">
        <f>IF(BI46&lt;&gt;"SÍ","",IF(DK46&gt;0,DJ46/(DK46*BT46)*MIN(DATOS!$C$50,IF(AE46="MALLA",5000,6000)),0))</f>
        <v/>
      </c>
      <c r="DM46" s="44" t="str">
        <f>IF(BI46&lt;&gt;"SÍ","",IF(AE46="ESCALERILLA",0,MIN(DL46,0.1*DATOS!$C$33*DATOS!$C$24)))</f>
        <v/>
      </c>
      <c r="DN46" s="48" t="str">
        <f>IF(BI46&lt;&gt;"SÍ","",IF(AE46="MALLA",0.5,IF(DATOS!$C$33&lt;=60,0.55,IF(DATOS!$C$33&gt;=90,0.75,0.55+0.2*(DATOS!$C$33-60)/30))))</f>
        <v/>
      </c>
      <c r="DO46" s="48" t="str">
        <f>IF(BI46&lt;&gt;"SÍ","",1-DATOS!$C$91*DM46)</f>
        <v/>
      </c>
      <c r="DP46" s="44" t="str">
        <f>IF(BI46&lt;&gt;"SÍ","",IF(BW46&gt;0,IF(BS46/BW46&lt;=1,1.3,IF(BS46/BW46&gt;=1.5,1,1.3-0.6*(BS46/BW46-1))),0))</f>
        <v/>
      </c>
      <c r="DQ46" s="44" t="str">
        <f>IF(BI46&lt;&gt;"SÍ","",IF(BX46&gt;0,IF(BS46/BX46&lt;=1,1.3,IF(BS46/BX46&gt;=1.5,1,1.3-0.6*(BS46/BX46-1))),0))</f>
        <v/>
      </c>
      <c r="DR46" s="44" t="str">
        <f>IF(BI46&lt;&gt;"SÍ","",IF(BY46&gt;0,IF(BS46/BY46&lt;=1,1.3,IF(BS46/BY46&gt;=1.5,1,1.3-0.6*(BS46/BY46-1))),0))</f>
        <v/>
      </c>
      <c r="DS46" s="44" t="str">
        <f>IF(BI46&lt;&gt;"SÍ","",IF(BZ46&gt;0,IF(BS46/BZ46&lt;=1,1.3,IF(BS46/BZ46&gt;=1.5,1,1.3-0.6*(BS46/BZ46-1))),0))</f>
        <v/>
      </c>
      <c r="DT46" s="44" t="str">
        <f>IF(BI46&lt;&gt;"SÍ","",IF(CA46&gt;0,IF(BS46/CA46&lt;=1,1.3,IF(BS46/CA46&gt;=1.5,1,1.3-0.6*(BS46/CA46-1))),0))</f>
        <v/>
      </c>
      <c r="DU46" s="44" t="str">
        <f>IF(BI46&lt;&gt;"SÍ","",IF(OR(DM46&lt;=0,BW46&lt;DATOS!$C$72-0.0001),0,DATOS!$C$86*MAX(0,IF(BM46&gt;=0,DD46/(DATOS!$C$86*DM46*BT46*BW46*100/1000)*(DP46*DO46-1)+DN46,DO46*DN46))*DM46*BT46*BW46*100/1000))</f>
        <v/>
      </c>
      <c r="DV46" s="44" t="str">
        <f>IF(BI46&lt;&gt;"SÍ","",IF(OR(DM46&lt;=0,BX46&lt;DATOS!$C$72-0.0001),0,DATOS!$C$86*MAX(0,IF(BM46&gt;=0,DE46/(DATOS!$C$86*DM46*BT46*BX46*100/1000)*(DQ46*DO46-1)+DN46,DO46*DN46))*DM46*BT46*BX46*100/1000))</f>
        <v/>
      </c>
      <c r="DW46" s="44" t="str">
        <f>IF(BI46&lt;&gt;"SÍ","",IF(OR(DM46&lt;=0,BY46&lt;DATOS!$C$72-0.0001),0,DATOS!$C$86*MAX(0,IF(BM46&gt;=0,DF46/(DATOS!$C$86*DM46*BT46*BY46*100/1000)*(DR46*DO46-1)+DN46,DO46*DN46))*DM46*BT46*BY46*100/1000))</f>
        <v/>
      </c>
      <c r="DX46" s="44" t="str">
        <f>IF(BI46&lt;&gt;"SÍ","",IF(OR(DM46&lt;=0,BZ46&lt;DATOS!$C$72-0.0001),0,DATOS!$C$86*MAX(0,IF(BM46&gt;=0,DG46/(DATOS!$C$86*DM46*BT46*BZ46*100/1000)*(DS46*DO46-1)+DN46,DO46*DN46))*DM46*BT46*BZ46*100/1000))</f>
        <v/>
      </c>
      <c r="DY46" s="44" t="str">
        <f>IF(BI46&lt;&gt;"SÍ","",IF(OR(DM46&lt;=0,CA46&lt;DATOS!$C$72-0.0001),0,DATOS!$C$86*MAX(0,IF(BM46&gt;=0,DH46/(DATOS!$C$86*DM46*BT46*CA46*100/1000)*(DT46*DO46-1)+DN46,DO46*DN46))*DM46*BT46*CA46*100/1000))</f>
        <v/>
      </c>
      <c r="DZ46" s="46" t="str">
        <f>IF(BI46&lt;&gt;"SÍ","",SUM(DU46:DY46))</f>
        <v/>
      </c>
      <c r="EA46" s="45" t="str">
        <f>IF(BI46&lt;&gt;"SÍ","",IF(OR(AE46="",AE46="NINGUNO"),IF(DATOS!$C$41&gt;=10,"FALTA refuerzo horizontal: v'm ≥ 10 kg/cm² (6.5.2.2)",IF(AND(BM46&lt;0,BK46&gt;0),"FALTA: P en tensión, el refuerzo debe tomar todo el cortante (6.5.1.3)","—")),IF(AE46="ESCALERILLA","NO CUENTA: la escalerilla no se permite para cortante por sismo (6.5.3.1.2)",IF(AE46="MALLA",IF(AND(DL46&gt;=2.5,DL46&lt;=MAX(0.15*DATOS!$C$33*DATOS!$C$24,2.5)),"CUMPLE","NO CUMPLE: "&amp;IF(DL46&lt;2.5,"p_h·f_yh &lt; 2.5 (6.5.4.2.4)","p_h·f_yh &gt; 0.15·f'm·f_an (6.5.4.2.4)")),IF(AND(DK46&lt;=MIN(6*DATOS!$C$26,45),DL46&gt;=3,DL46&lt;=MIN(MAX(0.15*DATOS!$C$33*DATOS!$C$24,3),0.05*DATOS!$C$25/10*MIN(DATOS!$C$50,6000)/DK46),INDEX(TABLAS!$C$6:$C$14,MATCH(IF(AG46&lt;&gt;"",AG46,DATOS!$C$73),TABLAS!$B$6:$B$14,0))&gt;=0.35,INDEX(TABLAS!$C$6:$C$14,MATCH(IF(AG46&lt;&gt;"",AG46,DATOS!$C$73),TABLAS!$B$6:$B$14,0))&lt;=0.75*DATOS!$C$25/10),"CUMPLE","NO CUMPLE: "&amp;IF(DK46&gt;MIN(6*DATOS!$C$26,45),"s_h &gt; 6 hiladas o 45 cm (6.5.3.2.1) ","")&amp;IF(DL46&lt;3,"p_h·f_yh &lt; 3 (6.5.3.3.1) ","")&amp;IF(DL46&gt;MIN(MAX(0.15*DATOS!$C$33*DATOS!$C$24,3),0.05*DATOS!$C$25/10*MIN(DATOS!$C$50,6000)/DK46),"p_h·f_yh &gt; máximo (6.5.3.3.2) ","")&amp;IF(OR(INDEX(TABLAS!$C$6:$C$14,MATCH(IF(AG46&lt;&gt;"",AG46,DATOS!$C$73),TABLAS!$B$6:$B$14,0))&lt;0.35,INDEX(TABLAS!$C$6:$C$14,MATCH(IF(AG46&lt;&gt;"",AG46,DATOS!$C$73),TABLAS!$B$6:$B$14,0))&gt;0.75*DATOS!$C$25/10),"diámetro fuera de 3.5 mm a 0.75·h_j (4.2.2.2.1)",""))))))</f>
        <v/>
      </c>
      <c r="EB46" s="46" t="str">
        <f>IF(BI46&lt;&gt;"SÍ","",DI46+DZ46)</f>
        <v/>
      </c>
      <c r="EC46" s="50" t="str">
        <f>IF(BI46&lt;&gt;"SÍ","",IF(EB46&gt;0,BK46/EB46,IF(BK46&gt;0,99,0)))</f>
        <v/>
      </c>
      <c r="ED46" s="47" t="str">
        <f>IF(BI46&lt;&gt;"SÍ","",IF(CE46&lt;=0,-1,IF(BK46&lt;=DI46,0,IF(IF(BM46&gt;=0,IF((DATOS!$C$86*IF(AE46="MALLA",0.5,IF(DATOS!$C$33&lt;=60,0.55,IF(DATOS!$C$33&gt;=90,0.75,0.55+0.2*(DATOS!$C$33-60)/30)))*CE46/1000-DATOS!$C$91*SUMPRODUCT(DP46:DT46,DD46:DH46))&lt;=0,1E9,(BK46-SUMPRODUCT(DP46:DT46,DD46:DH46))/(DATOS!$C$86*IF(AE46="MALLA",0.5,IF(DATOS!$C$33&lt;=60,0.55,IF(DATOS!$C$33&gt;=90,0.75,0.55+0.2*(DATOS!$C$33-60)/30)))*CE46/1000-DATOS!$C$91*SUMPRODUCT(DP46:DT46,DD46:DH46))),IF((1-4*DATOS!$C$91*BK46*1000/(DATOS!$C$86*IF(AE46="MALLA",0.5,IF(DATOS!$C$33&lt;=60,0.55,IF(DATOS!$C$33&gt;=90,0.75,0.55+0.2*(DATOS!$C$33-60)/30)))*MAX(CE46,1)))&lt;0,1E9,(1-SQRT((1-4*DATOS!$C$91*BK46*1000/(DATOS!$C$86*IF(AE46="MALLA",0.5,IF(DATOS!$C$33&lt;=60,0.55,IF(DATOS!$C$33&gt;=90,0.75,0.55+0.2*(DATOS!$C$33-60)/30)))*MAX(CE46,1)))))/(2*DATOS!$C$91)))&gt;0.1*DATOS!$C$33*DATOS!$C$24+0.000001,-1,MAX(IF(AE46="MALLA",2.5,3),IF(BM46&gt;=0,IF((DATOS!$C$86*IF(AE46="MALLA",0.5,IF(DATOS!$C$33&lt;=60,0.55,IF(DATOS!$C$33&gt;=90,0.75,0.55+0.2*(DATOS!$C$33-60)/30)))*CE46/1000-DATOS!$C$91*SUMPRODUCT(DP46:DT46,DD46:DH46))&lt;=0,1E9,(BK46-SUMPRODUCT(DP46:DT46,DD46:DH46))/(DATOS!$C$86*IF(AE46="MALLA",0.5,IF(DATOS!$C$33&lt;=60,0.55,IF(DATOS!$C$33&gt;=90,0.75,0.55+0.2*(DATOS!$C$33-60)/30)))*CE46/1000-DATOS!$C$91*SUMPRODUCT(DP46:DT46,DD46:DH46))),IF((1-4*DATOS!$C$91*BK46*1000/(DATOS!$C$86*IF(AE46="MALLA",0.5,IF(DATOS!$C$33&lt;=60,0.55,IF(DATOS!$C$33&gt;=90,0.75,0.55+0.2*(DATOS!$C$33-60)/30)))*MAX(CE46,1)))&lt;0,1E9,(1-SQRT((1-4*DATOS!$C$91*BK46*1000/(DATOS!$C$86*IF(AE46="MALLA",0.5,IF(DATOS!$C$33&lt;=60,0.55,IF(DATOS!$C$33&gt;=90,0.75,0.55+0.2*(DATOS!$C$33-60)/30)))*MAX(CE46,1)))))/(2*DATOS!$C$91))))))))</f>
        <v/>
      </c>
      <c r="EE46" s="45" t="str">
        <f>IF(BI46&lt;&gt;"SÍ","",IF(ED46=0,"NO REQUIERE: V_mR ≥ V_u",IF(ED46&lt;0,"NO ALCANZA con refuerzo horizontal (haría falta más de 0.1·f'm·f_an efectivo): sube v'm con ensayes, el espesor o la longitud del muro",IF(AND(OR(AE46="VARILLA EN JUNTAS",AE46="MALLA"),LEFT(EA46,6)="CUMPLE",EC46&lt;=1),"YA LO TIENE (pide p_h·f_yh ≥ "&amp;TEXT(ED46,"0.0")&amp;" kg/cm²)","p_h·f_yh ≥ "&amp;TEXT(ED46,"0.0")&amp;" kg/cm² → "&amp;IF(AND(MIN(6,FLOOR(45/DATOS!$C$26,1),FLOOR((2*INDEX(TABLAS!$D$6:$D$14,MATCH("3/16 in",TABLAS!$B$6:$B$14,0)))*MIN(DATOS!$C$50,6000)/(BT46*DATOS!$C$26*MAX(ED46,0.001)),1))&gt;=1,((2*INDEX(TABLAS!$D$6:$D$14,MATCH("3/16 in",TABLAS!$B$6:$B$14,0)))*MIN(DATOS!$C$50,6000)/(MAX(MIN(6,FLOOR(45/DATOS!$C$26,1),FLOOR((2*INDEX(TABLAS!$D$6:$D$14,MATCH("3/16 in",TABLAS!$B$6:$B$14,0)))*MIN(DATOS!$C$50,6000)/(BT46*DATOS!$C$26*MAX(ED46,0.001)),1)),1)*DATOS!$C$26*BT46))&lt;=MIN(MAX(0.15*DATOS!$C$33*DATOS!$C$24,3),0.05*DATOS!$C$25/10*MIN(DATOS!$C$50,6000)/(MIN(6,FLOOR(45/DATOS!$C$26,1),FLOOR((2*INDEX(TABLAS!$D$6:$D$14,MATCH("3/16 in",TABLAS!$B$6:$B$14,0)))*MIN(DATOS!$C$50,6000)/(BT46*DATOS!$C$26*MAX(ED46,0.001)),1))*DATOS!$C$26))),"2 alambres de 3/16"" por junta cada "&amp;MIN(6,FLOOR(45/DATOS!$C$26,1),FLOOR((2*INDEX(TABLAS!$D$6:$D$14,MATCH("3/16 in",TABLAS!$B$6:$B$14,0)))*MIN(DATOS!$C$50,6000)/(BT46*DATOS!$C$26*MAX(ED46,0.001)),1))&amp;" hilada(s) (p_h·f_yh = "&amp;TEXT(((2*INDEX(TABLAS!$D$6:$D$14,MATCH("3/16 in",TABLAS!$B$6:$B$14,0)))*MIN(DATOS!$C$50,6000)/(MAX(MIN(6,FLOOR(45/DATOS!$C$26,1),FLOOR((2*INDEX(TABLAS!$D$6:$D$14,MATCH("3/16 in",TABLAS!$B$6:$B$14,0)))*MIN(DATOS!$C$50,6000)/(BT46*DATOS!$C$26*MAX(ED46,0.001)),1)),1)*DATOS!$C$26*BT46)),"0.00")&amp;")",IF(AND(MIN(6,FLOOR(45/DATOS!$C$26,1),FLOOR((2*INDEX(TABLAS!$D$6:$D$14,MATCH("5/32 in",TABLAS!$B$6:$B$14,0)))*MIN(DATOS!$C$50,6000)/(BT46*DATOS!$C$26*MAX(ED46,0.001)),1))&gt;=1,((2*INDEX(TABLAS!$D$6:$D$14,MATCH("5/32 in",TABLAS!$B$6:$B$14,0)))*MIN(DATOS!$C$50,6000)/(MAX(MIN(6,FLOOR(45/DATOS!$C$26,1),FLOOR((2*INDEX(TABLAS!$D$6:$D$14,MATCH("5/32 in",TABLAS!$B$6:$B$14,0)))*MIN(DATOS!$C$50,6000)/(BT46*DATOS!$C$26*MAX(ED46,0.001)),1)),1)*DATOS!$C$26*BT46))&lt;=MIN(MAX(0.15*DATOS!$C$33*DATOS!$C$24,3),0.05*DATOS!$C$25/10*MIN(DATOS!$C$50,6000)/(MIN(6,FLOOR(45/DATOS!$C$26,1),FLOOR((2*INDEX(TABLAS!$D$6:$D$14,MATCH("5/32 in",TABLAS!$B$6:$B$14,0)))*MIN(DATOS!$C$50,6000)/(BT46*DATOS!$C$26*MAX(ED46,0.001)),1))*DATOS!$C$26))),"2 alambres de 5/32"" por junta cada "&amp;MIN(6,FLOOR(45/DATOS!$C$26,1),FLOOR((2*INDEX(TABLAS!$D$6:$D$14,MATCH("5/32 in",TABLAS!$B$6:$B$14,0)))*MIN(DATOS!$C$50,6000)/(BT46*DATOS!$C$26*MAX(ED46,0.001)),1))&amp;" hilada(s) (p_h·f_yh = "&amp;TEXT(((2*INDEX(TABLAS!$D$6:$D$14,MATCH("5/32 in",TABLAS!$B$6:$B$14,0)))*MIN(DATOS!$C$50,6000)/(MAX(MIN(6,FLOOR(45/DATOS!$C$26,1),FLOOR((2*INDEX(TABLAS!$D$6:$D$14,MATCH("5/32 in",TABLAS!$B$6:$B$14,0)))*MIN(DATOS!$C$50,6000)/(BT46*DATOS!$C$26*MAX(ED46,0.001)),1)),1)*DATOS!$C$26*BT46)),"0.00")&amp;")",IF(AND(MIN(6,FLOOR(45/DATOS!$C$26,1),FLOOR((1*INDEX(TABLAS!$D$6:$D$14,MATCH("3/16 in",TABLAS!$B$6:$B$14,0)))*MIN(DATOS!$C$50,6000)/(BT46*DATOS!$C$26*MAX(ED46,0.001)),1))&gt;=1,((1*INDEX(TABLAS!$D$6:$D$14,MATCH("3/16 in",TABLAS!$B$6:$B$14,0)))*MIN(DATOS!$C$50,6000)/(MAX(MIN(6,FLOOR(45/DATOS!$C$26,1),FLOOR((1*INDEX(TABLAS!$D$6:$D$14,MATCH("3/16 in",TABLAS!$B$6:$B$14,0)))*MIN(DATOS!$C$50,6000)/(BT46*DATOS!$C$26*MAX(ED46,0.001)),1)),1)*DATOS!$C$26*BT46))&lt;=MIN(MAX(0.15*DATOS!$C$33*DATOS!$C$24,3),0.05*DATOS!$C$25/10*MIN(DATOS!$C$50,6000)/(MIN(6,FLOOR(45/DATOS!$C$26,1),FLOOR((1*INDEX(TABLAS!$D$6:$D$14,MATCH("3/16 in",TABLAS!$B$6:$B$14,0)))*MIN(DATOS!$C$50,6000)/(BT46*DATOS!$C$26*MAX(ED46,0.001)),1))*DATOS!$C$26))),"1 alambre de 3/16"" por junta cada "&amp;MIN(6,FLOOR(45/DATOS!$C$26,1),FLOOR((1*INDEX(TABLAS!$D$6:$D$14,MATCH("3/16 in",TABLAS!$B$6:$B$14,0)))*MIN(DATOS!$C$50,6000)/(BT46*DATOS!$C$26*MAX(ED46,0.001)),1))&amp;" hilada(s) (p_h·f_yh = "&amp;TEXT(((1*INDEX(TABLAS!$D$6:$D$14,MATCH("3/16 in",TABLAS!$B$6:$B$14,0)))*MIN(DATOS!$C$50,6000)/(MAX(MIN(6,FLOOR(45/DATOS!$C$26,1),FLOOR((1*INDEX(TABLAS!$D$6:$D$14,MATCH("3/16 in",TABLAS!$B$6:$B$14,0)))*MIN(DATOS!$C$50,6000)/(BT46*DATOS!$C$26*MAX(ED46,0.001)),1)),1)*DATOS!$C$26*BT46)),"0.00")&amp;")",IF(AND(MIN(6,FLOOR(45/DATOS!$C$26,1),FLOOR((1*INDEX(TABLAS!$D$6:$D$14,MATCH("5/32 in",TABLAS!$B$6:$B$14,0)))*MIN(DATOS!$C$50,6000)/(BT46*DATOS!$C$26*MAX(ED46,0.001)),1))&gt;=1,((1*INDEX(TABLAS!$D$6:$D$14,MATCH("5/32 in",TABLAS!$B$6:$B$14,0)))*MIN(DATOS!$C$50,6000)/(MAX(MIN(6,FLOOR(45/DATOS!$C$26,1),FLOOR((1*INDEX(TABLAS!$D$6:$D$14,MATCH("5/32 in",TABLAS!$B$6:$B$14,0)))*MIN(DATOS!$C$50,6000)/(BT46*DATOS!$C$26*MAX(ED46,0.001)),1)),1)*DATOS!$C$26*BT46))&lt;=MIN(MAX(0.15*DATOS!$C$33*DATOS!$C$24,3),0.05*DATOS!$C$25/10*MIN(DATOS!$C$50,6000)/(MIN(6,FLOOR(45/DATOS!$C$26,1),FLOOR((1*INDEX(TABLAS!$D$6:$D$14,MATCH("5/32 in",TABLAS!$B$6:$B$14,0)))*MIN(DATOS!$C$50,6000)/(BT46*DATOS!$C$26*MAX(ED46,0.001)),1))*DATOS!$C$26))),"1 alambre de 5/32"" por junta cada "&amp;MIN(6,FLOOR(45/DATOS!$C$26,1),FLOOR((1*INDEX(TABLAS!$D$6:$D$14,MATCH("5/32 in",TABLAS!$B$6:$B$14,0)))*MIN(DATOS!$C$50,6000)/(BT46*DATOS!$C$26*MAX(ED46,0.001)),1))&amp;" hilada(s) (p_h·f_yh = "&amp;TEXT(((1*INDEX(TABLAS!$D$6:$D$14,MATCH("5/32 in",TABLAS!$B$6:$B$14,0)))*MIN(DATOS!$C$50,6000)/(MAX(MIN(6,FLOOR(45/DATOS!$C$26,1),FLOOR((1*INDEX(TABLAS!$D$6:$D$14,MATCH("5/32 in",TABLAS!$B$6:$B$14,0)))*MIN(DATOS!$C$50,6000)/(BT46*DATOS!$C$26*MAX(ED46,0.001)),1)),1)*DATOS!$C$26*BT46)),"0.00")&amp;")","ninguna combinación de 1 o 2 alambres por junta queda entre el mínimo y el máximo: revisa con malla (6.5.4)"))))))))</f>
        <v/>
      </c>
      <c r="EF46" s="43" t="str">
        <f>IF(BI46&lt;&gt;"SÍ","",IF(AI46="SÍ",N(AK46)*N(AL46)^3/12,0))</f>
        <v/>
      </c>
      <c r="EG46" s="48" t="str">
        <f>IF(BI46&lt;&gt;"SÍ","",IF(AND(AI46="SÍ",N(AM46)&gt;0),MIN(1,F46/AM46),0))</f>
        <v/>
      </c>
      <c r="EH46" s="47" t="str">
        <f>IF(BI46&lt;&gt;"SÍ","",IF(AI46="SÍ",BP46*1000/(BT46*F46*100)*BT46*(EG46^4-4*EG46^3+8*EG46),0))</f>
        <v/>
      </c>
      <c r="EI46" s="48" t="str">
        <f>IF(BI46&lt;&gt;"SÍ","",IF(AND(AI46="SÍ",EH46&gt;0),EH46/(EH46+5*N(AN46)*10),0))</f>
        <v/>
      </c>
      <c r="EJ46" s="44" t="str">
        <f>IF(BI46&lt;&gt;"SÍ","",IF(AND(AI46="SÍ",EI46&gt;0,EF46&gt;0),(DATOS!$C$43*BT46*(AM46*100)^3/(DATOS!$C$53*EF46*EI46))^0.25,0))</f>
        <v/>
      </c>
      <c r="EK46" s="44" t="str">
        <f>IF(BI46&lt;&gt;"SÍ","",IF(AI46&lt;&gt;"SÍ",0,IF(N(AM46)&lt;=F46,1,IF(MIN(1,N(AO46)/((AM46-F46)/2))&lt;=0.5,0.7+0.6*MIN(1,N(AO46)/((AM46-F46)/2)),1.5-MIN(1,N(AO46)/((AM46-F46)/2))))))</f>
        <v/>
      </c>
      <c r="EL46" s="44" t="str">
        <f>IF(BI46&lt;&gt;"SÍ","",IF(AI46&lt;&gt;"SÍ",0,MAX(1,IF(EG46&gt;=1,(1.6*EJ46-3.9),IF(EG46&lt;0.9,((3.2*EJ46-7.8)*EK46),((3.2*EJ46-7.8)*EK46)+((1.6*EJ46-3.9)-((3.2*EJ46-7.8)*EK46))*(EG46-0.9)/0.1)))))</f>
        <v/>
      </c>
      <c r="EM46" s="47" t="str">
        <f>IF(BI46&lt;&gt;"SÍ","",IF(AI46="SÍ",EL46*BP46*1000/(BT46*F46*100),0))</f>
        <v/>
      </c>
      <c r="EN46" s="47" t="str">
        <f>IF(BI46&lt;&gt;"SÍ","",IF(AND(AI46="SÍ",N(AL46)&gt;0),AM46*100/AL46,0))</f>
        <v/>
      </c>
      <c r="EO46" s="47" t="str">
        <f>IF(BI46&lt;&gt;"SÍ","",IF(AI46="SÍ",(1/15*DATOS!$C$53*N(AK46)/MAX((IF(ISNUMBER(AP46),AP46,BP46/DATOS!$C$90)*1000/(BT46*F46*100)*BT46*(EG46^4-4*EG46^3+8*EG46))+5*N(AN46)/DATOS!$C$90*10,0.001))^(1/3),0))</f>
        <v/>
      </c>
      <c r="EP46" s="45" t="str">
        <f>IF(BI46&lt;&gt;"SÍ","",IF(AI46&lt;&gt;"SÍ","—",IF(OR(N(AK46)&lt;=0,N(AL46)&lt;=0,N(AM46)&lt;=0),"REVISAR: faltan b, h o L_v de la viga",IF(AND(EM46&lt;=DATOS!$C$87*DATOS!$C$33,EN46&lt;=14,N(AL46)&gt;=25,EN46&lt;=EO46),IF(BS46/F46&lt;0.6,"PENDIENTE: H/L &lt; 0.6, falta el análisis de interacción muro–viga (4.1.18.2.1); f_CM es estimado","CUMPLE"),"NO CUMPLE: "&amp;IF(EM46&gt;DATOS!$C$87*DATOS!$C$33,"f_CM &gt; F_R·f'm ","")&amp;IF(EN46&gt;14,"L_v/h_v &gt; 14 ","")&amp;IF(N(AL46)&lt;25,"h_v &lt; 25 cm ","")&amp;IF(EN46&gt;EO46,"flecha (4.1.18.3)","")))))</f>
        <v/>
      </c>
      <c r="EQ46" s="44" t="str">
        <f>IF(BI46&lt;&gt;"SÍ","",MAX(0,F46*BS46-(N(K46)*N(M46)+N(P46)*N(R46)+N(U46)*N(W46)+N(Z46)*N(AB46))-CK46*DATOS!$C$59/100*BS46))</f>
        <v/>
      </c>
      <c r="ER46" s="48" t="str">
        <f>IF(BI46&lt;&gt;"SÍ","",CK46*DATOS!$C$59*DATOS!$C$60/10000*BS46)</f>
        <v/>
      </c>
      <c r="ES46" s="47" t="str">
        <f>IF(BI46&lt;&gt;"SÍ","",CK46*(DATOS!$C$61*(BS46+0.6)*INDEX(TABLAS!$E$6:$E$14,MATCH(DATOS!$C$62,TABLAS!$B$6:$B$14,0))+(2*ROUNDUP(CN46/DATOS!$C$65,0)+ROUNDUP(MAX(0,BS46*100-2*CN46)/DATOS!$C$64,0))*((2*(DATOS!$C$60+DATOS!$C$59-4*(DATOS!$C$66-INDEX(TABLAS!$C$6:$C$14,MATCH(DATOS!$C$63,TABLAS!$B$6:$B$14,0))))+15)/100)*INDEX(TABLAS!$E$6:$E$14,MATCH(DATOS!$C$63,TABLAS!$B$6:$B$14,0))))</f>
        <v/>
      </c>
      <c r="ET46" s="47" t="str">
        <f>IF(BI46&lt;&gt;"SÍ","",IF(OR(AE46="VARILLA EN JUNTAS",AE46="ESCALERILLA"),INT(BS46*100/MAX(DK46,1))*IF(ISNUMBER(AF46),AF46,2)*CB46*INDEX(TABLAS!$E$6:$E$14,MATCH(IF(AG46&lt;&gt;"",AG46,DATOS!$C$73),TABLAS!$B$6:$B$14,0)),IF(AE46="MALLA",IF(ISNUMBER(AF46),AF46,1)*CB46*BS46*INDEX(TABLAS!$E$19:$E$22,MATCH(IF(AG46&lt;&gt;"",AG46,DATOS!$C$74),TABLAS!$B$19:$B$22,0)),0)))</f>
        <v/>
      </c>
      <c r="EU46" s="45" t="str">
        <f>IF(BI46&lt;&gt;"SÍ","",""&amp;IF(BJ46="NO ESTÁ EN PIER_FORCES","sin fuerzas en PIER_FORCES; ","")&amp;IF(BV46&lt;&gt;"CUMPLE","vanos; ","")&amp;IF(LEFT(CH46,2)="NO","espesor o esbeltez; ","")&amp;IF(CQ46&gt;1,"compresión; ","")&amp;IF(CX46&gt;1,"flexión; ","")&amp;IF(CB46&lt;=0,"sin tramos de muro (todos son machones menores que L mín.: diséñalos como columnas o baja L mín.); ",IF(EC46&gt;1,"cortante; ",""))&amp;IF(OR(LEFT(EA46,2)="NO",LEFT(EA46,5)="FALTA"),"refuerzo horizontal; ","")&amp;IF(OR(LEFT(EP46,2)="NO",LEFT(EP46,7)="REVISAR"),"muro sobre viga; ","")&amp;IF(LEFT(DATOS!$C$81,2)="NO","castillo típico; ","")&amp;IF(LEFT(DATOS!$C$82,2)="NO","dala típica; ","")&amp;IF(AND(BT46&lt;&gt;DATOS!$C$58,DATOS!$C$60&lt;BT46),"castillo más angosto que el muro; ",""))</f>
        <v/>
      </c>
      <c r="EV46" s="45" t="str">
        <f>IF(BI46&lt;&gt;"SÍ","",""&amp;IF(LEFT(EP46,9)="PENDIENTE","análisis muro–viga (H/L &lt; 0.6); ","")&amp;IF(BR46&gt;50,"V_u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6" s="51" t="str">
        <f>IF(BI46&lt;&gt;"SÍ","",IF(EU46&lt;&gt;"","NO CUMPLE: "&amp;LEFT(EU46,LEN(EU46)-2),IF(EV46&lt;&gt;"","CUMPLE — PENDIENTE: "&amp;LEFT(EV46,LEN(EV46)-2),"CUMPLE")))</f>
        <v/>
      </c>
      <c r="EX46" s="52" t="n"/>
    </row>
    <row r="47" ht="30" customHeight="1">
      <c r="A47" s="38" t="str">
        <f>IF(B47="","",ROW()-10)</f>
        <v/>
      </c>
      <c r="B47" s="28" t="n"/>
      <c r="C47" s="39" t="n"/>
      <c r="D47" s="39" t="n"/>
      <c r="E47" s="39" t="n"/>
      <c r="F47" s="40" t="n"/>
      <c r="G47" s="40" t="n"/>
      <c r="H47" s="41" t="n"/>
      <c r="I47" s="39" t="n"/>
      <c r="J47" s="40" t="n"/>
      <c r="K47" s="40" t="n"/>
      <c r="L47" s="40" t="n"/>
      <c r="M47" s="40" t="n"/>
      <c r="N47" s="39" t="n"/>
      <c r="O47" s="40" t="n"/>
      <c r="P47" s="40" t="n"/>
      <c r="Q47" s="40" t="n"/>
      <c r="R47" s="40" t="n"/>
      <c r="S47" s="39" t="n"/>
      <c r="T47" s="40" t="n"/>
      <c r="U47" s="40" t="n"/>
      <c r="V47" s="40" t="n"/>
      <c r="W47" s="40" t="n"/>
      <c r="X47" s="39" t="n"/>
      <c r="Y47" s="40" t="n"/>
      <c r="Z47" s="40" t="n"/>
      <c r="AA47" s="40" t="n"/>
      <c r="AB47" s="40" t="n"/>
      <c r="AC47" s="41" t="n"/>
      <c r="AD47" s="41" t="n"/>
      <c r="AE47" s="39" t="n"/>
      <c r="AF47" s="41" t="n"/>
      <c r="AG47" s="41" t="n"/>
      <c r="AH47" s="41" t="n"/>
      <c r="AI47" s="39" t="n"/>
      <c r="AJ47" s="39" t="n"/>
      <c r="AK47" s="41" t="n"/>
      <c r="AL47" s="41" t="n"/>
      <c r="AM47" s="40" t="n"/>
      <c r="AN47" s="40" t="n"/>
      <c r="AO47" s="40" t="n"/>
      <c r="AP47" s="40" t="n"/>
      <c r="AQ47" s="40" t="n"/>
      <c r="AR47" s="40" t="n"/>
      <c r="AS47" s="40" t="n"/>
      <c r="AT47" s="40" t="n"/>
      <c r="AU47" s="40" t="n"/>
      <c r="AV47" s="40" t="n"/>
      <c r="AW47" s="40" t="n"/>
      <c r="AX47" s="42" t="str">
        <f>IF(B47="","",C47&amp;"|"&amp;B47)</f>
        <v/>
      </c>
      <c r="AY47" s="43" t="str">
        <f>IF(B47="","",COUNTIFS(PIER_FORCES!$O$9:$O$3008,37,PIER_FORCES!$P$9:$P$3008,1))</f>
        <v/>
      </c>
      <c r="AZ47" s="43" t="str">
        <f>IF(B47="","",COUNTIFS(PIER_FORCES!$O$9:$O$3008,37,PIER_FORCES!$P$9:$P$3008,2))</f>
        <v/>
      </c>
      <c r="BA47" s="44">
        <f>IF(N(AY47)=0,0,SUMPRODUCT(MAX((PIER_FORCES!$O$9:$O$3008=37)*(PIER_FORCES!$P$9:$P$3008=1)*PIER_FORCES!$R$9:$R$3008)))</f>
        <v>0</v>
      </c>
      <c r="BB47" s="44">
        <f>IF(N(AY47)=0,0,SUMPRODUCT(MAX((PIER_FORCES!$O$9:$O$3008=37)*(PIER_FORCES!$P$9:$P$3008=1)*PIER_FORCES!$S$9:$S$3008)))</f>
        <v>0</v>
      </c>
      <c r="BC47" s="44">
        <f>IF(N(AY47)=0,0,-SUMPRODUCT(MAX((PIER_FORCES!$O$9:$O$3008=37)*(PIER_FORCES!$P$9:$P$3008=1)*(-PIER_FORCES!$Q$9:$Q$3008)+(1-(PIER_FORCES!$O$9:$O$3008=37)*(PIER_FORCES!$P$9:$P$3008=1))*(-1E9))))</f>
        <v>0</v>
      </c>
      <c r="BD47" s="44">
        <f>IF(N(AY47)=0,0,SUMPRODUCT(MAX((PIER_FORCES!$O$9:$O$3008=37)*(PIER_FORCES!$P$9:$P$3008=1)*PIER_FORCES!$Q$9:$Q$3008+(1-(PIER_FORCES!$O$9:$O$3008=37)*(PIER_FORCES!$P$9:$P$3008=1))*(-1E9))))</f>
        <v>0</v>
      </c>
      <c r="BE47" s="44">
        <f>IF(N(AZ47)=0,BD47,SUMPRODUCT(MAX((PIER_FORCES!$O$9:$O$3008=37)*(PIER_FORCES!$P$9:$P$3008=2)*PIER_FORCES!$Q$9:$Q$3008+(1-(PIER_FORCES!$O$9:$O$3008=37)*(PIER_FORCES!$P$9:$P$3008=2))*(-1E9))))</f>
        <v>0</v>
      </c>
      <c r="BF47" s="44">
        <f>IF(N(AZ47)=0,0,SUMPRODUCT(MAX((PIER_FORCES!$O$9:$O$3008=37)*(PIER_FORCES!$P$9:$P$3008=2)*PIER_FORCES!$R$9:$R$3008)))</f>
        <v>0</v>
      </c>
      <c r="BG47" s="43">
        <f>IF(N(AY47)=0,0,SUMPRODUCT(MAX((PIER_FORCES!$O$9:$O$3008=37)*(PIER_FORCES!$P$9:$P$3008=1)*(ABS(PIER_FORCES!$R$9:$R$3008-BA47)&lt;0.000001)*PIER_FORCES!$T$9:$T$3008)))</f>
        <v>0</v>
      </c>
      <c r="BH47" s="45" t="str">
        <f>IF(N(BG47)=0,"",INDEX(PIER_FORCES!$D$9:$D$3008,BG47)&amp;" "&amp;INDEX(PIER_FORCES!$F$9:$F$3008,BG47)&amp;" / "&amp;INDEX(PIER_FORCES!$G$9:$G$3008,BG47))</f>
        <v/>
      </c>
      <c r="BI47" s="42" t="str">
        <f>IF(B47="","",IF(AND(C47&lt;&gt;"",OR(D47="X",D47="Y"),ISNUMBER(F47),N(F47)&gt;0),"SÍ","NO"))</f>
        <v/>
      </c>
      <c r="BJ47" s="42" t="str">
        <f>IF(BI47&lt;&gt;"SÍ","",IF(DATOS!$C$108="ETABS (PIER_FORCES)",IF(N(AY47)&gt;0,"ETABS","NO ESTÁ EN PIER_FORCES"),"CAPTURA"))</f>
        <v/>
      </c>
      <c r="BK47" s="46" t="str">
        <f>IF(BI47&lt;&gt;"SÍ","",IF(BJ47="ETABS",BA47,IF(BJ47="CAPTURA",N(AQ47),0)))</f>
        <v/>
      </c>
      <c r="BL47" s="46" t="str">
        <f>IF(BI47&lt;&gt;"SÍ","",IF(BJ47="ETABS",BB47,IF(BJ47="CAPTURA",N(AR47),0)))</f>
        <v/>
      </c>
      <c r="BM47" s="46" t="str">
        <f>IF(BI47&lt;&gt;"SÍ","",IF(BJ47="ETABS",BC47/DATOS!$C$89,IF(BJ47="CAPTURA",N(AS47),0)))</f>
        <v/>
      </c>
      <c r="BN47" s="44" t="str">
        <f>IF(BI47&lt;&gt;"SÍ","",IF(BJ47="ETABS",BC47,IF(BJ47="CAPTURA",IF(ISNUMBER(AU47),AU47,N(AS47)*DATOS!$C$89),0)))</f>
        <v/>
      </c>
      <c r="BO47" s="44" t="str">
        <f>IF(BI47&lt;&gt;"SÍ","",IF(BJ47="ETABS",MAX(BD47,BE47),IF(BJ47="CAPTURA",N(AT47),0)))</f>
        <v/>
      </c>
      <c r="BP47" s="44" t="str">
        <f>IF(BI47&lt;&gt;"SÍ","",IF(BJ47="ETABS",BE47,IF(BJ47="CAPTURA",IF(ISNUMBER(AV47),AV47,N(AT47)),0)))</f>
        <v/>
      </c>
      <c r="BQ47" s="44" t="str">
        <f>IF(BI47&lt;&gt;"SÍ","",IF(BJ47="ETABS",BF47,IF(BJ47="CAPTURA",N(AW47),0)))</f>
        <v/>
      </c>
      <c r="BR47" s="43" t="str">
        <f>IF(BI47&lt;&gt;"SÍ","",IF(BK47&gt;0,100*BQ47/BK47,0))</f>
        <v/>
      </c>
      <c r="BS47" s="44" t="str">
        <f>IF(BI47&lt;&gt;"SÍ","",IF(ISNUMBER(G47),G47,DATOS!$C$57))</f>
        <v/>
      </c>
      <c r="BT47" s="47" t="str">
        <f>IF(BI47&lt;&gt;"SÍ","",IF(ISNUMBER(H47),H47,DATOS!$C$58))</f>
        <v/>
      </c>
      <c r="BU47" s="43" t="str">
        <f>IF(BI47&lt;&gt;"SÍ","",IF(N(K47)&gt;0,1+IF(N(P47)&gt;0,1+IF(N(U47)&gt;0,1+IF(N(Z47)&gt;0,1,0),0),0),0))</f>
        <v/>
      </c>
      <c r="BV47" s="45" t="str">
        <f>IF(BI47&lt;&gt;"SÍ","",IF(AND(OR(BU47&lt;1,AND(N(J47)&gt;=0-0.001,J47+K47&lt;=F47+0.001,N(L47)&gt;=0,N(L47)+N(M47)&lt;=BS47+0.001,N(M47)&gt;0,OR(I47="PUERTA",I47="VENTANA"))),OR(BU47&lt;2,AND(N(O47)&gt;=(J47+K47)-0.001,O47+P47&lt;=F47+0.001,N(Q47)&gt;=0,N(Q47)+N(R47)&lt;=BS47+0.001,N(R47)&gt;0,OR(N47="PUERTA",N47="VENTANA"))),OR(BU47&lt;3,AND(N(T47)&gt;=(O47+P47)-0.001,T47+U47&lt;=F47+0.001,N(V47)&gt;=0,N(V47)+N(W47)&lt;=BS47+0.001,N(W47)&gt;0,OR(S47="PUERTA",S47="VENTANA"))),OR(BU47&lt;4,AND(N(Y47)&gt;=(T47+U47)-0.001,Y47+Z47&lt;=F47+0.001,N(AA47)&gt;=0,N(AA47)+N(AB47)&lt;=BS47+0.001,N(AB47)&gt;0,OR(X47="PUERTA",X47="VENTANA"))),(N(K47)&gt;0)+(N(P47)&gt;0)+(N(U47)&gt;0)+(N(Z47)&gt;0)=BU47),"CUMPLE","REVISAR VANOS: tipo, orden de izquierda a derecha, que quepan en L y en H"))</f>
        <v/>
      </c>
      <c r="BW47" s="44" t="str">
        <f>IF(BI47&lt;&gt;"SÍ","",MAX(0,IF(BU47&gt;=1,N(J47),F47)))</f>
        <v/>
      </c>
      <c r="BX47" s="44" t="str">
        <f>IF(BI47&lt;&gt;"SÍ","",MAX(0,IF(BU47&gt;=2,N(O47)-(N(J47)+N(K47)),IF(BU47=1,F47-(N(J47)+N(K47)),0))))</f>
        <v/>
      </c>
      <c r="BY47" s="44" t="str">
        <f>IF(BI47&lt;&gt;"SÍ","",MAX(0,IF(BU47&gt;=3,N(T47)-(N(O47)+N(P47)),IF(BU47=2,F47-(N(O47)+N(P47)),0))))</f>
        <v/>
      </c>
      <c r="BZ47" s="44" t="str">
        <f>IF(BI47&lt;&gt;"SÍ","",MAX(0,IF(BU47&gt;=4,N(Y47)-(N(T47)+N(U47)),IF(BU47=3,F47-(N(T47)+N(U47)),0))))</f>
        <v/>
      </c>
      <c r="CA47" s="44" t="str">
        <f>IF(BI47&lt;&gt;"SÍ","",MAX(0,IF(BU47=4,F47-(N(Y47)+N(Z47)),0)))</f>
        <v/>
      </c>
      <c r="CB47" s="46" t="str">
        <f>IF(BI47&lt;&gt;"SÍ","",SUMPRODUCT((BW47:CA47&gt;=DATOS!$C$72-0.0001)*BW47:CA47))</f>
        <v/>
      </c>
      <c r="CC47" s="43" t="str">
        <f>IF(BI47&lt;&gt;"SÍ","",SUMPRODUCT(--(BW47:CA47&gt;=DATOS!$C$72-0.0001)))</f>
        <v/>
      </c>
      <c r="CD47" s="44" t="str">
        <f>IF(BI47&lt;&gt;"SÍ","",SUM(BW47:CA47))</f>
        <v/>
      </c>
      <c r="CE47" s="43" t="str">
        <f>IF(BI47&lt;&gt;"SÍ","",BT47*CB47*100)</f>
        <v/>
      </c>
      <c r="CF47" s="43" t="str">
        <f>IF(BI47&lt;&gt;"SÍ","",BT47*CD47*100)</f>
        <v/>
      </c>
      <c r="CG47" s="47" t="str">
        <f>IF(BI47&lt;&gt;"SÍ","",BS47*100/BT47)</f>
        <v/>
      </c>
      <c r="CH47" s="45" t="str">
        <f>IF(BI47&lt;&gt;"SÍ","",IF(AND(OR(DATOS!$C$14="TIPO II",BT47&gt;=12),CG47&lt;=25),"CUMPLE","NO CUMPLE: "&amp;IF(AND(DATOS!$C$14="TIPO I",BT47&lt;12),"t &lt; 12 cm ","")&amp;IF(CG47&gt;25,"H/t &gt; 25","")))</f>
        <v/>
      </c>
      <c r="CI47" s="44" t="str">
        <f>IF(BI47&lt;&gt;"SÍ","",MIN(1.5*BS47,4))</f>
        <v/>
      </c>
      <c r="CJ47" s="43" t="str">
        <f>IF(BI47&lt;&gt;"SÍ","",SUMPRODUCT((BW47:CA47&gt;=2*DATOS!$C$59/100)*INT((BW47:CA47-DATOS!$C$59/100)/CI47-0.000001)*((BW47:CA47-DATOS!$C$59/100)&gt;0)))</f>
        <v/>
      </c>
      <c r="CK47" s="43" t="str">
        <f>IF(BI47&lt;&gt;"SÍ","",SUMPRODUCT((BW47:CA47&gt;0.0001)*1+(BW47:CA47&gt;=2*DATOS!$C$59/100)*1)+CJ47)</f>
        <v/>
      </c>
      <c r="CL47" s="44" t="str">
        <f>IF(BI47&lt;&gt;"SÍ","",IF(ISNUMBER(AC47),AC47,DATOS!$C$61)*INDEX(TABLAS!$D$6:$D$14,MATCH(IF(AD47&lt;&gt;"",AD47,DATOS!$C$62),TABLAS!$B$6:$B$14,0)))</f>
        <v/>
      </c>
      <c r="CM47" s="44" t="str">
        <f>IF(BI47&lt;&gt;"SÍ","",CK47*DATOS!$C$78+IF(CK47&gt;=2,2,CK47)*(CL47-DATOS!$C$78))</f>
        <v/>
      </c>
      <c r="CN47" s="47" t="str">
        <f>IF(BI47&lt;&gt;"SÍ","",MAX(BS47*100/6,40))</f>
        <v/>
      </c>
      <c r="CO47" s="48" t="str">
        <f>IF(BI47&lt;&gt;"SÍ","",IF(CG47&lt;=20,IF(E47="INTERIOR",0.7,0.6),MIN(IF(E47="INTERIOR",0.7,0.6),(1-2/24)*(1-(IF(E47="INTERIOR",0.8,1)*CG47/30)^2))))</f>
        <v/>
      </c>
      <c r="CP47" s="47" t="str">
        <f>IF(BI47&lt;&gt;"SÍ","",DATOS!$C$87*CO47*(DATOS!$C$33*CF47+CM47*DATOS!$C$48)/1000)</f>
        <v/>
      </c>
      <c r="CQ47" s="46" t="str">
        <f>IF(BI47&lt;&gt;"SÍ","",IF(CP47&gt;0,BO47/CP47,99))</f>
        <v/>
      </c>
      <c r="CR47" s="47" t="str">
        <f>IF(BI47&lt;&gt;"SÍ","",MAX(0,F47*100-DATOS!$C$59))</f>
        <v/>
      </c>
      <c r="CS47" s="47" t="str">
        <f>IF(BI47&lt;&gt;"SÍ","",MAX(0,F47*100-DATOS!$C$59/2))</f>
        <v/>
      </c>
      <c r="CT47" s="44" t="str">
        <f>IF(BI47&lt;&gt;"SÍ","",CL47*DATOS!$C$48*CR47/100000)</f>
        <v/>
      </c>
      <c r="CU47" s="44" t="str">
        <f>IF(BI47&lt;&gt;"SÍ","",IF(BN47&lt;0,0.8*CT47*MAX(0,1+BN47/(0.8*CM47*DATOS!$C$48/1000)),IF(BN47&lt;=CP47/3,0.8*CT47+0.3*BN47*CS47/100,(1.5*0.6*CT47+0.15*CP47*CS47/100)*MAX(0,1-BN47/CP47))))</f>
        <v/>
      </c>
      <c r="CV47" s="44" t="str">
        <f>IF(BI47&lt;&gt;"SÍ","",IF(BO47&lt;0,0.8*CT47*MAX(0,1+BO47/(0.8*CM47*DATOS!$C$48/1000)),IF(BO47&lt;=CP47/3,0.8*CT47+0.3*BO47*CS47/100,(1.5*0.6*CT47+0.15*CP47*CS47/100)*MAX(0,1-BO47/CP47))))</f>
        <v/>
      </c>
      <c r="CW47" s="46" t="str">
        <f>IF(BI47&lt;&gt;"SÍ","",MAX(0,MIN(CU47,CV47)))</f>
        <v/>
      </c>
      <c r="CX47" s="49" t="str">
        <f>IF(BI47&lt;&gt;"SÍ","",IF(CW47&gt;0,BL47/CW47,IF(BL47&gt;0,99,0)))</f>
        <v/>
      </c>
      <c r="CY47" s="44" t="str">
        <f>IF(BI47&lt;&gt;"SÍ","",IF(BW47&gt;0,MAX(1,MIN(1.5,1.5-0.625*(BS47/BW47-0.2))),0))</f>
        <v/>
      </c>
      <c r="CZ47" s="44" t="str">
        <f>IF(BI47&lt;&gt;"SÍ","",IF(BX47&gt;0,MAX(1,MIN(1.5,1.5-0.625*(BS47/BX47-0.2))),0))</f>
        <v/>
      </c>
      <c r="DA47" s="44" t="str">
        <f>IF(BI47&lt;&gt;"SÍ","",IF(BY47&gt;0,MAX(1,MIN(1.5,1.5-0.625*(BS47/BY47-0.2))),0))</f>
        <v/>
      </c>
      <c r="DB47" s="44" t="str">
        <f>IF(BI47&lt;&gt;"SÍ","",IF(BZ47&gt;0,MAX(1,MIN(1.5,1.5-0.625*(BS47/BZ47-0.2))),0))</f>
        <v/>
      </c>
      <c r="DC47" s="44" t="str">
        <f>IF(BI47&lt;&gt;"SÍ","",IF(CA47&gt;0,MAX(1,MIN(1.5,1.5-0.625*(BS47/CA47-0.2))),0))</f>
        <v/>
      </c>
      <c r="DD47" s="44" t="str">
        <f>IF(BI47&lt;&gt;"SÍ","",IF(OR(BW47&lt;DATOS!$C$72-0.0001,BM47&lt;0,CB47&lt;=0),0,MIN(DATOS!$C$86*(0.5*DATOS!$C$41*BT47*BW47*100+0.3*BM47*BW47/CB47*1000)*CY47,1.5*DATOS!$C$86*DATOS!$C$41*BT47*BW47*100*CY47)/1000))</f>
        <v/>
      </c>
      <c r="DE47" s="44" t="str">
        <f>IF(BI47&lt;&gt;"SÍ","",IF(OR(BX47&lt;DATOS!$C$72-0.0001,BM47&lt;0,CB47&lt;=0),0,MIN(DATOS!$C$86*(0.5*DATOS!$C$41*BT47*BX47*100+0.3*BM47*BX47/CB47*1000)*CZ47,1.5*DATOS!$C$86*DATOS!$C$41*BT47*BX47*100*CZ47)/1000))</f>
        <v/>
      </c>
      <c r="DF47" s="44" t="str">
        <f>IF(BI47&lt;&gt;"SÍ","",IF(OR(BY47&lt;DATOS!$C$72-0.0001,BM47&lt;0,CB47&lt;=0),0,MIN(DATOS!$C$86*(0.5*DATOS!$C$41*BT47*BY47*100+0.3*BM47*BY47/CB47*1000)*DA47,1.5*DATOS!$C$86*DATOS!$C$41*BT47*BY47*100*DA47)/1000))</f>
        <v/>
      </c>
      <c r="DG47" s="44" t="str">
        <f>IF(BI47&lt;&gt;"SÍ","",IF(OR(BZ47&lt;DATOS!$C$72-0.0001,BM47&lt;0,CB47&lt;=0),0,MIN(DATOS!$C$86*(0.5*DATOS!$C$41*BT47*BZ47*100+0.3*BM47*BZ47/CB47*1000)*DB47,1.5*DATOS!$C$86*DATOS!$C$41*BT47*BZ47*100*DB47)/1000))</f>
        <v/>
      </c>
      <c r="DH47" s="44" t="str">
        <f>IF(BI47&lt;&gt;"SÍ","",IF(OR(CA47&lt;DATOS!$C$72-0.0001,BM47&lt;0,CB47&lt;=0),0,MIN(DATOS!$C$86*(0.5*DATOS!$C$41*BT47*CA47*100+0.3*BM47*CA47/CB47*1000)*DC47,1.5*DATOS!$C$86*DATOS!$C$41*BT47*CA47*100*DC47)/1000))</f>
        <v/>
      </c>
      <c r="DI47" s="46" t="str">
        <f>IF(BI47&lt;&gt;"SÍ","",SUM(DD47:DH47))</f>
        <v/>
      </c>
      <c r="DJ47" s="48" t="str">
        <f>IF(BI47&lt;&gt;"SÍ","",IF(AE47="VARILLA EN JUNTAS",IF(ISNUMBER(AF47),AF47,2)*INDEX(TABLAS!$D$6:$D$14,MATCH(IF(AG47&lt;&gt;"",AG47,DATOS!$C$73),TABLAS!$B$6:$B$14,0)),IF(AE47="MALLA",IF(ISNUMBER(AF47),AF47,1)*INDEX(TABLAS!$D$19:$D$22,MATCH(IF(AG47&lt;&gt;"",AG47,DATOS!$C$74),TABLAS!$B$19:$B$22,0))/100,IF(AE47="ESCALERILLA",IF(ISNUMBER(AF47),AF47,2)*INDEX(TABLAS!$D$6:$D$14,MATCH(IF(AG47&lt;&gt;"",AG47,DATOS!$C$73),TABLAS!$B$6:$B$14,0)),0))))</f>
        <v/>
      </c>
      <c r="DK47" s="47" t="str">
        <f>IF(BI47&lt;&gt;"SÍ","",IF(OR(AE47="VARILLA EN JUNTAS",AE47="ESCALERILLA"),IF(ISNUMBER(AH47),AH47,2)*DATOS!$C$26,IF(AE47="MALLA",1,0)))</f>
        <v/>
      </c>
      <c r="DL47" s="44" t="str">
        <f>IF(BI47&lt;&gt;"SÍ","",IF(DK47&gt;0,DJ47/(DK47*BT47)*MIN(DATOS!$C$50,IF(AE47="MALLA",5000,6000)),0))</f>
        <v/>
      </c>
      <c r="DM47" s="44" t="str">
        <f>IF(BI47&lt;&gt;"SÍ","",IF(AE47="ESCALERILLA",0,MIN(DL47,0.1*DATOS!$C$33*DATOS!$C$24)))</f>
        <v/>
      </c>
      <c r="DN47" s="48" t="str">
        <f>IF(BI47&lt;&gt;"SÍ","",IF(AE47="MALLA",0.5,IF(DATOS!$C$33&lt;=60,0.55,IF(DATOS!$C$33&gt;=90,0.75,0.55+0.2*(DATOS!$C$33-60)/30))))</f>
        <v/>
      </c>
      <c r="DO47" s="48" t="str">
        <f>IF(BI47&lt;&gt;"SÍ","",1-DATOS!$C$91*DM47)</f>
        <v/>
      </c>
      <c r="DP47" s="44" t="str">
        <f>IF(BI47&lt;&gt;"SÍ","",IF(BW47&gt;0,IF(BS47/BW47&lt;=1,1.3,IF(BS47/BW47&gt;=1.5,1,1.3-0.6*(BS47/BW47-1))),0))</f>
        <v/>
      </c>
      <c r="DQ47" s="44" t="str">
        <f>IF(BI47&lt;&gt;"SÍ","",IF(BX47&gt;0,IF(BS47/BX47&lt;=1,1.3,IF(BS47/BX47&gt;=1.5,1,1.3-0.6*(BS47/BX47-1))),0))</f>
        <v/>
      </c>
      <c r="DR47" s="44" t="str">
        <f>IF(BI47&lt;&gt;"SÍ","",IF(BY47&gt;0,IF(BS47/BY47&lt;=1,1.3,IF(BS47/BY47&gt;=1.5,1,1.3-0.6*(BS47/BY47-1))),0))</f>
        <v/>
      </c>
      <c r="DS47" s="44" t="str">
        <f>IF(BI47&lt;&gt;"SÍ","",IF(BZ47&gt;0,IF(BS47/BZ47&lt;=1,1.3,IF(BS47/BZ47&gt;=1.5,1,1.3-0.6*(BS47/BZ47-1))),0))</f>
        <v/>
      </c>
      <c r="DT47" s="44" t="str">
        <f>IF(BI47&lt;&gt;"SÍ","",IF(CA47&gt;0,IF(BS47/CA47&lt;=1,1.3,IF(BS47/CA47&gt;=1.5,1,1.3-0.6*(BS47/CA47-1))),0))</f>
        <v/>
      </c>
      <c r="DU47" s="44" t="str">
        <f>IF(BI47&lt;&gt;"SÍ","",IF(OR(DM47&lt;=0,BW47&lt;DATOS!$C$72-0.0001),0,DATOS!$C$86*MAX(0,IF(BM47&gt;=0,DD47/(DATOS!$C$86*DM47*BT47*BW47*100/1000)*(DP47*DO47-1)+DN47,DO47*DN47))*DM47*BT47*BW47*100/1000))</f>
        <v/>
      </c>
      <c r="DV47" s="44" t="str">
        <f>IF(BI47&lt;&gt;"SÍ","",IF(OR(DM47&lt;=0,BX47&lt;DATOS!$C$72-0.0001),0,DATOS!$C$86*MAX(0,IF(BM47&gt;=0,DE47/(DATOS!$C$86*DM47*BT47*BX47*100/1000)*(DQ47*DO47-1)+DN47,DO47*DN47))*DM47*BT47*BX47*100/1000))</f>
        <v/>
      </c>
      <c r="DW47" s="44" t="str">
        <f>IF(BI47&lt;&gt;"SÍ","",IF(OR(DM47&lt;=0,BY47&lt;DATOS!$C$72-0.0001),0,DATOS!$C$86*MAX(0,IF(BM47&gt;=0,DF47/(DATOS!$C$86*DM47*BT47*BY47*100/1000)*(DR47*DO47-1)+DN47,DO47*DN47))*DM47*BT47*BY47*100/1000))</f>
        <v/>
      </c>
      <c r="DX47" s="44" t="str">
        <f>IF(BI47&lt;&gt;"SÍ","",IF(OR(DM47&lt;=0,BZ47&lt;DATOS!$C$72-0.0001),0,DATOS!$C$86*MAX(0,IF(BM47&gt;=0,DG47/(DATOS!$C$86*DM47*BT47*BZ47*100/1000)*(DS47*DO47-1)+DN47,DO47*DN47))*DM47*BT47*BZ47*100/1000))</f>
        <v/>
      </c>
      <c r="DY47" s="44" t="str">
        <f>IF(BI47&lt;&gt;"SÍ","",IF(OR(DM47&lt;=0,CA47&lt;DATOS!$C$72-0.0001),0,DATOS!$C$86*MAX(0,IF(BM47&gt;=0,DH47/(DATOS!$C$86*DM47*BT47*CA47*100/1000)*(DT47*DO47-1)+DN47,DO47*DN47))*DM47*BT47*CA47*100/1000))</f>
        <v/>
      </c>
      <c r="DZ47" s="46" t="str">
        <f>IF(BI47&lt;&gt;"SÍ","",SUM(DU47:DY47))</f>
        <v/>
      </c>
      <c r="EA47" s="45" t="str">
        <f>IF(BI47&lt;&gt;"SÍ","",IF(OR(AE47="",AE47="NINGUNO"),IF(DATOS!$C$41&gt;=10,"FALTA refuerzo horizontal: v'm ≥ 10 kg/cm² (6.5.2.2)",IF(AND(BM47&lt;0,BK47&gt;0),"FALTA: P en tensión, el refuerzo debe tomar todo el cortante (6.5.1.3)","—")),IF(AE47="ESCALERILLA","NO CUENTA: la escalerilla no se permite para cortante por sismo (6.5.3.1.2)",IF(AE47="MALLA",IF(AND(DL47&gt;=2.5,DL47&lt;=MAX(0.15*DATOS!$C$33*DATOS!$C$24,2.5)),"CUMPLE","NO CUMPLE: "&amp;IF(DL47&lt;2.5,"p_h·f_yh &lt; 2.5 (6.5.4.2.4)","p_h·f_yh &gt; 0.15·f'm·f_an (6.5.4.2.4)")),IF(AND(DK47&lt;=MIN(6*DATOS!$C$26,45),DL47&gt;=3,DL47&lt;=MIN(MAX(0.15*DATOS!$C$33*DATOS!$C$24,3),0.05*DATOS!$C$25/10*MIN(DATOS!$C$50,6000)/DK47),INDEX(TABLAS!$C$6:$C$14,MATCH(IF(AG47&lt;&gt;"",AG47,DATOS!$C$73),TABLAS!$B$6:$B$14,0))&gt;=0.35,INDEX(TABLAS!$C$6:$C$14,MATCH(IF(AG47&lt;&gt;"",AG47,DATOS!$C$73),TABLAS!$B$6:$B$14,0))&lt;=0.75*DATOS!$C$25/10),"CUMPLE","NO CUMPLE: "&amp;IF(DK47&gt;MIN(6*DATOS!$C$26,45),"s_h &gt; 6 hiladas o 45 cm (6.5.3.2.1) ","")&amp;IF(DL47&lt;3,"p_h·f_yh &lt; 3 (6.5.3.3.1) ","")&amp;IF(DL47&gt;MIN(MAX(0.15*DATOS!$C$33*DATOS!$C$24,3),0.05*DATOS!$C$25/10*MIN(DATOS!$C$50,6000)/DK47),"p_h·f_yh &gt; máximo (6.5.3.3.2) ","")&amp;IF(OR(INDEX(TABLAS!$C$6:$C$14,MATCH(IF(AG47&lt;&gt;"",AG47,DATOS!$C$73),TABLAS!$B$6:$B$14,0))&lt;0.35,INDEX(TABLAS!$C$6:$C$14,MATCH(IF(AG47&lt;&gt;"",AG47,DATOS!$C$73),TABLAS!$B$6:$B$14,0))&gt;0.75*DATOS!$C$25/10),"diámetro fuera de 3.5 mm a 0.75·h_j (4.2.2.2.1)",""))))))</f>
        <v/>
      </c>
      <c r="EB47" s="46" t="str">
        <f>IF(BI47&lt;&gt;"SÍ","",DI47+DZ47)</f>
        <v/>
      </c>
      <c r="EC47" s="50" t="str">
        <f>IF(BI47&lt;&gt;"SÍ","",IF(EB47&gt;0,BK47/EB47,IF(BK47&gt;0,99,0)))</f>
        <v/>
      </c>
      <c r="ED47" s="47" t="str">
        <f>IF(BI47&lt;&gt;"SÍ","",IF(CE47&lt;=0,-1,IF(BK47&lt;=DI47,0,IF(IF(BM47&gt;=0,IF((DATOS!$C$86*IF(AE47="MALLA",0.5,IF(DATOS!$C$33&lt;=60,0.55,IF(DATOS!$C$33&gt;=90,0.75,0.55+0.2*(DATOS!$C$33-60)/30)))*CE47/1000-DATOS!$C$91*SUMPRODUCT(DP47:DT47,DD47:DH47))&lt;=0,1E9,(BK47-SUMPRODUCT(DP47:DT47,DD47:DH47))/(DATOS!$C$86*IF(AE47="MALLA",0.5,IF(DATOS!$C$33&lt;=60,0.55,IF(DATOS!$C$33&gt;=90,0.75,0.55+0.2*(DATOS!$C$33-60)/30)))*CE47/1000-DATOS!$C$91*SUMPRODUCT(DP47:DT47,DD47:DH47))),IF((1-4*DATOS!$C$91*BK47*1000/(DATOS!$C$86*IF(AE47="MALLA",0.5,IF(DATOS!$C$33&lt;=60,0.55,IF(DATOS!$C$33&gt;=90,0.75,0.55+0.2*(DATOS!$C$33-60)/30)))*MAX(CE47,1)))&lt;0,1E9,(1-SQRT((1-4*DATOS!$C$91*BK47*1000/(DATOS!$C$86*IF(AE47="MALLA",0.5,IF(DATOS!$C$33&lt;=60,0.55,IF(DATOS!$C$33&gt;=90,0.75,0.55+0.2*(DATOS!$C$33-60)/30)))*MAX(CE47,1)))))/(2*DATOS!$C$91)))&gt;0.1*DATOS!$C$33*DATOS!$C$24+0.000001,-1,MAX(IF(AE47="MALLA",2.5,3),IF(BM47&gt;=0,IF((DATOS!$C$86*IF(AE47="MALLA",0.5,IF(DATOS!$C$33&lt;=60,0.55,IF(DATOS!$C$33&gt;=90,0.75,0.55+0.2*(DATOS!$C$33-60)/30)))*CE47/1000-DATOS!$C$91*SUMPRODUCT(DP47:DT47,DD47:DH47))&lt;=0,1E9,(BK47-SUMPRODUCT(DP47:DT47,DD47:DH47))/(DATOS!$C$86*IF(AE47="MALLA",0.5,IF(DATOS!$C$33&lt;=60,0.55,IF(DATOS!$C$33&gt;=90,0.75,0.55+0.2*(DATOS!$C$33-60)/30)))*CE47/1000-DATOS!$C$91*SUMPRODUCT(DP47:DT47,DD47:DH47))),IF((1-4*DATOS!$C$91*BK47*1000/(DATOS!$C$86*IF(AE47="MALLA",0.5,IF(DATOS!$C$33&lt;=60,0.55,IF(DATOS!$C$33&gt;=90,0.75,0.55+0.2*(DATOS!$C$33-60)/30)))*MAX(CE47,1)))&lt;0,1E9,(1-SQRT((1-4*DATOS!$C$91*BK47*1000/(DATOS!$C$86*IF(AE47="MALLA",0.5,IF(DATOS!$C$33&lt;=60,0.55,IF(DATOS!$C$33&gt;=90,0.75,0.55+0.2*(DATOS!$C$33-60)/30)))*MAX(CE47,1)))))/(2*DATOS!$C$91))))))))</f>
        <v/>
      </c>
      <c r="EE47" s="45" t="str">
        <f>IF(BI47&lt;&gt;"SÍ","",IF(ED47=0,"NO REQUIERE: V_mR ≥ V_u",IF(ED47&lt;0,"NO ALCANZA con refuerzo horizontal (haría falta más de 0.1·f'm·f_an efectivo): sube v'm con ensayes, el espesor o la longitud del muro",IF(AND(OR(AE47="VARILLA EN JUNTAS",AE47="MALLA"),LEFT(EA47,6)="CUMPLE",EC47&lt;=1),"YA LO TIENE (pide p_h·f_yh ≥ "&amp;TEXT(ED47,"0.0")&amp;" kg/cm²)","p_h·f_yh ≥ "&amp;TEXT(ED47,"0.0")&amp;" kg/cm² → "&amp;IF(AND(MIN(6,FLOOR(45/DATOS!$C$26,1),FLOOR((2*INDEX(TABLAS!$D$6:$D$14,MATCH("3/16 in",TABLAS!$B$6:$B$14,0)))*MIN(DATOS!$C$50,6000)/(BT47*DATOS!$C$26*MAX(ED47,0.001)),1))&gt;=1,((2*INDEX(TABLAS!$D$6:$D$14,MATCH("3/16 in",TABLAS!$B$6:$B$14,0)))*MIN(DATOS!$C$50,6000)/(MAX(MIN(6,FLOOR(45/DATOS!$C$26,1),FLOOR((2*INDEX(TABLAS!$D$6:$D$14,MATCH("3/16 in",TABLAS!$B$6:$B$14,0)))*MIN(DATOS!$C$50,6000)/(BT47*DATOS!$C$26*MAX(ED47,0.001)),1)),1)*DATOS!$C$26*BT47))&lt;=MIN(MAX(0.15*DATOS!$C$33*DATOS!$C$24,3),0.05*DATOS!$C$25/10*MIN(DATOS!$C$50,6000)/(MIN(6,FLOOR(45/DATOS!$C$26,1),FLOOR((2*INDEX(TABLAS!$D$6:$D$14,MATCH("3/16 in",TABLAS!$B$6:$B$14,0)))*MIN(DATOS!$C$50,6000)/(BT47*DATOS!$C$26*MAX(ED47,0.001)),1))*DATOS!$C$26))),"2 alambres de 3/16"" por junta cada "&amp;MIN(6,FLOOR(45/DATOS!$C$26,1),FLOOR((2*INDEX(TABLAS!$D$6:$D$14,MATCH("3/16 in",TABLAS!$B$6:$B$14,0)))*MIN(DATOS!$C$50,6000)/(BT47*DATOS!$C$26*MAX(ED47,0.001)),1))&amp;" hilada(s) (p_h·f_yh = "&amp;TEXT(((2*INDEX(TABLAS!$D$6:$D$14,MATCH("3/16 in",TABLAS!$B$6:$B$14,0)))*MIN(DATOS!$C$50,6000)/(MAX(MIN(6,FLOOR(45/DATOS!$C$26,1),FLOOR((2*INDEX(TABLAS!$D$6:$D$14,MATCH("3/16 in",TABLAS!$B$6:$B$14,0)))*MIN(DATOS!$C$50,6000)/(BT47*DATOS!$C$26*MAX(ED47,0.001)),1)),1)*DATOS!$C$26*BT47)),"0.00")&amp;")",IF(AND(MIN(6,FLOOR(45/DATOS!$C$26,1),FLOOR((2*INDEX(TABLAS!$D$6:$D$14,MATCH("5/32 in",TABLAS!$B$6:$B$14,0)))*MIN(DATOS!$C$50,6000)/(BT47*DATOS!$C$26*MAX(ED47,0.001)),1))&gt;=1,((2*INDEX(TABLAS!$D$6:$D$14,MATCH("5/32 in",TABLAS!$B$6:$B$14,0)))*MIN(DATOS!$C$50,6000)/(MAX(MIN(6,FLOOR(45/DATOS!$C$26,1),FLOOR((2*INDEX(TABLAS!$D$6:$D$14,MATCH("5/32 in",TABLAS!$B$6:$B$14,0)))*MIN(DATOS!$C$50,6000)/(BT47*DATOS!$C$26*MAX(ED47,0.001)),1)),1)*DATOS!$C$26*BT47))&lt;=MIN(MAX(0.15*DATOS!$C$33*DATOS!$C$24,3),0.05*DATOS!$C$25/10*MIN(DATOS!$C$50,6000)/(MIN(6,FLOOR(45/DATOS!$C$26,1),FLOOR((2*INDEX(TABLAS!$D$6:$D$14,MATCH("5/32 in",TABLAS!$B$6:$B$14,0)))*MIN(DATOS!$C$50,6000)/(BT47*DATOS!$C$26*MAX(ED47,0.001)),1))*DATOS!$C$26))),"2 alambres de 5/32"" por junta cada "&amp;MIN(6,FLOOR(45/DATOS!$C$26,1),FLOOR((2*INDEX(TABLAS!$D$6:$D$14,MATCH("5/32 in",TABLAS!$B$6:$B$14,0)))*MIN(DATOS!$C$50,6000)/(BT47*DATOS!$C$26*MAX(ED47,0.001)),1))&amp;" hilada(s) (p_h·f_yh = "&amp;TEXT(((2*INDEX(TABLAS!$D$6:$D$14,MATCH("5/32 in",TABLAS!$B$6:$B$14,0)))*MIN(DATOS!$C$50,6000)/(MAX(MIN(6,FLOOR(45/DATOS!$C$26,1),FLOOR((2*INDEX(TABLAS!$D$6:$D$14,MATCH("5/32 in",TABLAS!$B$6:$B$14,0)))*MIN(DATOS!$C$50,6000)/(BT47*DATOS!$C$26*MAX(ED47,0.001)),1)),1)*DATOS!$C$26*BT47)),"0.00")&amp;")",IF(AND(MIN(6,FLOOR(45/DATOS!$C$26,1),FLOOR((1*INDEX(TABLAS!$D$6:$D$14,MATCH("3/16 in",TABLAS!$B$6:$B$14,0)))*MIN(DATOS!$C$50,6000)/(BT47*DATOS!$C$26*MAX(ED47,0.001)),1))&gt;=1,((1*INDEX(TABLAS!$D$6:$D$14,MATCH("3/16 in",TABLAS!$B$6:$B$14,0)))*MIN(DATOS!$C$50,6000)/(MAX(MIN(6,FLOOR(45/DATOS!$C$26,1),FLOOR((1*INDEX(TABLAS!$D$6:$D$14,MATCH("3/16 in",TABLAS!$B$6:$B$14,0)))*MIN(DATOS!$C$50,6000)/(BT47*DATOS!$C$26*MAX(ED47,0.001)),1)),1)*DATOS!$C$26*BT47))&lt;=MIN(MAX(0.15*DATOS!$C$33*DATOS!$C$24,3),0.05*DATOS!$C$25/10*MIN(DATOS!$C$50,6000)/(MIN(6,FLOOR(45/DATOS!$C$26,1),FLOOR((1*INDEX(TABLAS!$D$6:$D$14,MATCH("3/16 in",TABLAS!$B$6:$B$14,0)))*MIN(DATOS!$C$50,6000)/(BT47*DATOS!$C$26*MAX(ED47,0.001)),1))*DATOS!$C$26))),"1 alambre de 3/16"" por junta cada "&amp;MIN(6,FLOOR(45/DATOS!$C$26,1),FLOOR((1*INDEX(TABLAS!$D$6:$D$14,MATCH("3/16 in",TABLAS!$B$6:$B$14,0)))*MIN(DATOS!$C$50,6000)/(BT47*DATOS!$C$26*MAX(ED47,0.001)),1))&amp;" hilada(s) (p_h·f_yh = "&amp;TEXT(((1*INDEX(TABLAS!$D$6:$D$14,MATCH("3/16 in",TABLAS!$B$6:$B$14,0)))*MIN(DATOS!$C$50,6000)/(MAX(MIN(6,FLOOR(45/DATOS!$C$26,1),FLOOR((1*INDEX(TABLAS!$D$6:$D$14,MATCH("3/16 in",TABLAS!$B$6:$B$14,0)))*MIN(DATOS!$C$50,6000)/(BT47*DATOS!$C$26*MAX(ED47,0.001)),1)),1)*DATOS!$C$26*BT47)),"0.00")&amp;")",IF(AND(MIN(6,FLOOR(45/DATOS!$C$26,1),FLOOR((1*INDEX(TABLAS!$D$6:$D$14,MATCH("5/32 in",TABLAS!$B$6:$B$14,0)))*MIN(DATOS!$C$50,6000)/(BT47*DATOS!$C$26*MAX(ED47,0.001)),1))&gt;=1,((1*INDEX(TABLAS!$D$6:$D$14,MATCH("5/32 in",TABLAS!$B$6:$B$14,0)))*MIN(DATOS!$C$50,6000)/(MAX(MIN(6,FLOOR(45/DATOS!$C$26,1),FLOOR((1*INDEX(TABLAS!$D$6:$D$14,MATCH("5/32 in",TABLAS!$B$6:$B$14,0)))*MIN(DATOS!$C$50,6000)/(BT47*DATOS!$C$26*MAX(ED47,0.001)),1)),1)*DATOS!$C$26*BT47))&lt;=MIN(MAX(0.15*DATOS!$C$33*DATOS!$C$24,3),0.05*DATOS!$C$25/10*MIN(DATOS!$C$50,6000)/(MIN(6,FLOOR(45/DATOS!$C$26,1),FLOOR((1*INDEX(TABLAS!$D$6:$D$14,MATCH("5/32 in",TABLAS!$B$6:$B$14,0)))*MIN(DATOS!$C$50,6000)/(BT47*DATOS!$C$26*MAX(ED47,0.001)),1))*DATOS!$C$26))),"1 alambre de 5/32"" por junta cada "&amp;MIN(6,FLOOR(45/DATOS!$C$26,1),FLOOR((1*INDEX(TABLAS!$D$6:$D$14,MATCH("5/32 in",TABLAS!$B$6:$B$14,0)))*MIN(DATOS!$C$50,6000)/(BT47*DATOS!$C$26*MAX(ED47,0.001)),1))&amp;" hilada(s) (p_h·f_yh = "&amp;TEXT(((1*INDEX(TABLAS!$D$6:$D$14,MATCH("5/32 in",TABLAS!$B$6:$B$14,0)))*MIN(DATOS!$C$50,6000)/(MAX(MIN(6,FLOOR(45/DATOS!$C$26,1),FLOOR((1*INDEX(TABLAS!$D$6:$D$14,MATCH("5/32 in",TABLAS!$B$6:$B$14,0)))*MIN(DATOS!$C$50,6000)/(BT47*DATOS!$C$26*MAX(ED47,0.001)),1)),1)*DATOS!$C$26*BT47)),"0.00")&amp;")","ninguna combinación de 1 o 2 alambres por junta queda entre el mínimo y el máximo: revisa con malla (6.5.4)"))))))))</f>
        <v/>
      </c>
      <c r="EF47" s="43" t="str">
        <f>IF(BI47&lt;&gt;"SÍ","",IF(AI47="SÍ",N(AK47)*N(AL47)^3/12,0))</f>
        <v/>
      </c>
      <c r="EG47" s="48" t="str">
        <f>IF(BI47&lt;&gt;"SÍ","",IF(AND(AI47="SÍ",N(AM47)&gt;0),MIN(1,F47/AM47),0))</f>
        <v/>
      </c>
      <c r="EH47" s="47" t="str">
        <f>IF(BI47&lt;&gt;"SÍ","",IF(AI47="SÍ",BP47*1000/(BT47*F47*100)*BT47*(EG47^4-4*EG47^3+8*EG47),0))</f>
        <v/>
      </c>
      <c r="EI47" s="48" t="str">
        <f>IF(BI47&lt;&gt;"SÍ","",IF(AND(AI47="SÍ",EH47&gt;0),EH47/(EH47+5*N(AN47)*10),0))</f>
        <v/>
      </c>
      <c r="EJ47" s="44" t="str">
        <f>IF(BI47&lt;&gt;"SÍ","",IF(AND(AI47="SÍ",EI47&gt;0,EF47&gt;0),(DATOS!$C$43*BT47*(AM47*100)^3/(DATOS!$C$53*EF47*EI47))^0.25,0))</f>
        <v/>
      </c>
      <c r="EK47" s="44" t="str">
        <f>IF(BI47&lt;&gt;"SÍ","",IF(AI47&lt;&gt;"SÍ",0,IF(N(AM47)&lt;=F47,1,IF(MIN(1,N(AO47)/((AM47-F47)/2))&lt;=0.5,0.7+0.6*MIN(1,N(AO47)/((AM47-F47)/2)),1.5-MIN(1,N(AO47)/((AM47-F47)/2))))))</f>
        <v/>
      </c>
      <c r="EL47" s="44" t="str">
        <f>IF(BI47&lt;&gt;"SÍ","",IF(AI47&lt;&gt;"SÍ",0,MAX(1,IF(EG47&gt;=1,(1.6*EJ47-3.9),IF(EG47&lt;0.9,((3.2*EJ47-7.8)*EK47),((3.2*EJ47-7.8)*EK47)+((1.6*EJ47-3.9)-((3.2*EJ47-7.8)*EK47))*(EG47-0.9)/0.1)))))</f>
        <v/>
      </c>
      <c r="EM47" s="47" t="str">
        <f>IF(BI47&lt;&gt;"SÍ","",IF(AI47="SÍ",EL47*BP47*1000/(BT47*F47*100),0))</f>
        <v/>
      </c>
      <c r="EN47" s="47" t="str">
        <f>IF(BI47&lt;&gt;"SÍ","",IF(AND(AI47="SÍ",N(AL47)&gt;0),AM47*100/AL47,0))</f>
        <v/>
      </c>
      <c r="EO47" s="47" t="str">
        <f>IF(BI47&lt;&gt;"SÍ","",IF(AI47="SÍ",(1/15*DATOS!$C$53*N(AK47)/MAX((IF(ISNUMBER(AP47),AP47,BP47/DATOS!$C$90)*1000/(BT47*F47*100)*BT47*(EG47^4-4*EG47^3+8*EG47))+5*N(AN47)/DATOS!$C$90*10,0.001))^(1/3),0))</f>
        <v/>
      </c>
      <c r="EP47" s="45" t="str">
        <f>IF(BI47&lt;&gt;"SÍ","",IF(AI47&lt;&gt;"SÍ","—",IF(OR(N(AK47)&lt;=0,N(AL47)&lt;=0,N(AM47)&lt;=0),"REVISAR: faltan b, h o L_v de la viga",IF(AND(EM47&lt;=DATOS!$C$87*DATOS!$C$33,EN47&lt;=14,N(AL47)&gt;=25,EN47&lt;=EO47),IF(BS47/F47&lt;0.6,"PENDIENTE: H/L &lt; 0.6, falta el análisis de interacción muro–viga (4.1.18.2.1); f_CM es estimado","CUMPLE"),"NO CUMPLE: "&amp;IF(EM47&gt;DATOS!$C$87*DATOS!$C$33,"f_CM &gt; F_R·f'm ","")&amp;IF(EN47&gt;14,"L_v/h_v &gt; 14 ","")&amp;IF(N(AL47)&lt;25,"h_v &lt; 25 cm ","")&amp;IF(EN47&gt;EO47,"flecha (4.1.18.3)","")))))</f>
        <v/>
      </c>
      <c r="EQ47" s="44" t="str">
        <f>IF(BI47&lt;&gt;"SÍ","",MAX(0,F47*BS47-(N(K47)*N(M47)+N(P47)*N(R47)+N(U47)*N(W47)+N(Z47)*N(AB47))-CK47*DATOS!$C$59/100*BS47))</f>
        <v/>
      </c>
      <c r="ER47" s="48" t="str">
        <f>IF(BI47&lt;&gt;"SÍ","",CK47*DATOS!$C$59*DATOS!$C$60/10000*BS47)</f>
        <v/>
      </c>
      <c r="ES47" s="47" t="str">
        <f>IF(BI47&lt;&gt;"SÍ","",CK47*(DATOS!$C$61*(BS47+0.6)*INDEX(TABLAS!$E$6:$E$14,MATCH(DATOS!$C$62,TABLAS!$B$6:$B$14,0))+(2*ROUNDUP(CN47/DATOS!$C$65,0)+ROUNDUP(MAX(0,BS47*100-2*CN47)/DATOS!$C$64,0))*((2*(DATOS!$C$60+DATOS!$C$59-4*(DATOS!$C$66-INDEX(TABLAS!$C$6:$C$14,MATCH(DATOS!$C$63,TABLAS!$B$6:$B$14,0))))+15)/100)*INDEX(TABLAS!$E$6:$E$14,MATCH(DATOS!$C$63,TABLAS!$B$6:$B$14,0))))</f>
        <v/>
      </c>
      <c r="ET47" s="47" t="str">
        <f>IF(BI47&lt;&gt;"SÍ","",IF(OR(AE47="VARILLA EN JUNTAS",AE47="ESCALERILLA"),INT(BS47*100/MAX(DK47,1))*IF(ISNUMBER(AF47),AF47,2)*CB47*INDEX(TABLAS!$E$6:$E$14,MATCH(IF(AG47&lt;&gt;"",AG47,DATOS!$C$73),TABLAS!$B$6:$B$14,0)),IF(AE47="MALLA",IF(ISNUMBER(AF47),AF47,1)*CB47*BS47*INDEX(TABLAS!$E$19:$E$22,MATCH(IF(AG47&lt;&gt;"",AG47,DATOS!$C$74),TABLAS!$B$19:$B$22,0)),0)))</f>
        <v/>
      </c>
      <c r="EU47" s="45" t="str">
        <f>IF(BI47&lt;&gt;"SÍ","",""&amp;IF(BJ47="NO ESTÁ EN PIER_FORCES","sin fuerzas en PIER_FORCES; ","")&amp;IF(BV47&lt;&gt;"CUMPLE","vanos; ","")&amp;IF(LEFT(CH47,2)="NO","espesor o esbeltez; ","")&amp;IF(CQ47&gt;1,"compresión; ","")&amp;IF(CX47&gt;1,"flexión; ","")&amp;IF(CB47&lt;=0,"sin tramos de muro (todos son machones menores que L mín.: diséñalos como columnas o baja L mín.); ",IF(EC47&gt;1,"cortante; ",""))&amp;IF(OR(LEFT(EA47,2)="NO",LEFT(EA47,5)="FALTA"),"refuerzo horizontal; ","")&amp;IF(OR(LEFT(EP47,2)="NO",LEFT(EP47,7)="REVISAR"),"muro sobre viga; ","")&amp;IF(LEFT(DATOS!$C$81,2)="NO","castillo típico; ","")&amp;IF(LEFT(DATOS!$C$82,2)="NO","dala típica; ","")&amp;IF(AND(BT47&lt;&gt;DATOS!$C$58,DATOS!$C$60&lt;BT47),"castillo más angosto que el muro; ",""))</f>
        <v/>
      </c>
      <c r="EV47" s="45" t="str">
        <f>IF(BI47&lt;&gt;"SÍ","",""&amp;IF(LEFT(EP47,9)="PENDIENTE","análisis muro–viga (H/L &lt; 0.6); ","")&amp;IF(BR47&gt;50,"V_u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7" s="51" t="str">
        <f>IF(BI47&lt;&gt;"SÍ","",IF(EU47&lt;&gt;"","NO CUMPLE: "&amp;LEFT(EU47,LEN(EU47)-2),IF(EV47&lt;&gt;"","CUMPLE — PENDIENTE: "&amp;LEFT(EV47,LEN(EV47)-2),"CUMPLE")))</f>
        <v/>
      </c>
      <c r="EX47" s="52" t="n"/>
    </row>
    <row r="48" ht="30" customHeight="1">
      <c r="A48" s="38" t="str">
        <f>IF(B48="","",ROW()-10)</f>
        <v/>
      </c>
      <c r="B48" s="28" t="n"/>
      <c r="C48" s="39" t="n"/>
      <c r="D48" s="39" t="n"/>
      <c r="E48" s="39" t="n"/>
      <c r="F48" s="40" t="n"/>
      <c r="G48" s="40" t="n"/>
      <c r="H48" s="41" t="n"/>
      <c r="I48" s="39" t="n"/>
      <c r="J48" s="40" t="n"/>
      <c r="K48" s="40" t="n"/>
      <c r="L48" s="40" t="n"/>
      <c r="M48" s="40" t="n"/>
      <c r="N48" s="39" t="n"/>
      <c r="O48" s="40" t="n"/>
      <c r="P48" s="40" t="n"/>
      <c r="Q48" s="40" t="n"/>
      <c r="R48" s="40" t="n"/>
      <c r="S48" s="39" t="n"/>
      <c r="T48" s="40" t="n"/>
      <c r="U48" s="40" t="n"/>
      <c r="V48" s="40" t="n"/>
      <c r="W48" s="40" t="n"/>
      <c r="X48" s="39" t="n"/>
      <c r="Y48" s="40" t="n"/>
      <c r="Z48" s="40" t="n"/>
      <c r="AA48" s="40" t="n"/>
      <c r="AB48" s="40" t="n"/>
      <c r="AC48" s="41" t="n"/>
      <c r="AD48" s="41" t="n"/>
      <c r="AE48" s="39" t="n"/>
      <c r="AF48" s="41" t="n"/>
      <c r="AG48" s="41" t="n"/>
      <c r="AH48" s="41" t="n"/>
      <c r="AI48" s="39" t="n"/>
      <c r="AJ48" s="39" t="n"/>
      <c r="AK48" s="41" t="n"/>
      <c r="AL48" s="41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2" t="str">
        <f>IF(B48="","",C48&amp;"|"&amp;B48)</f>
        <v/>
      </c>
      <c r="AY48" s="43" t="str">
        <f>IF(B48="","",COUNTIFS(PIER_FORCES!$O$9:$O$3008,38,PIER_FORCES!$P$9:$P$3008,1))</f>
        <v/>
      </c>
      <c r="AZ48" s="43" t="str">
        <f>IF(B48="","",COUNTIFS(PIER_FORCES!$O$9:$O$3008,38,PIER_FORCES!$P$9:$P$3008,2))</f>
        <v/>
      </c>
      <c r="BA48" s="44">
        <f>IF(N(AY48)=0,0,SUMPRODUCT(MAX((PIER_FORCES!$O$9:$O$3008=38)*(PIER_FORCES!$P$9:$P$3008=1)*PIER_FORCES!$R$9:$R$3008)))</f>
        <v>0</v>
      </c>
      <c r="BB48" s="44">
        <f>IF(N(AY48)=0,0,SUMPRODUCT(MAX((PIER_FORCES!$O$9:$O$3008=38)*(PIER_FORCES!$P$9:$P$3008=1)*PIER_FORCES!$S$9:$S$3008)))</f>
        <v>0</v>
      </c>
      <c r="BC48" s="44">
        <f>IF(N(AY48)=0,0,-SUMPRODUCT(MAX((PIER_FORCES!$O$9:$O$3008=38)*(PIER_FORCES!$P$9:$P$3008=1)*(-PIER_FORCES!$Q$9:$Q$3008)+(1-(PIER_FORCES!$O$9:$O$3008=38)*(PIER_FORCES!$P$9:$P$3008=1))*(-1E9))))</f>
        <v>0</v>
      </c>
      <c r="BD48" s="44">
        <f>IF(N(AY48)=0,0,SUMPRODUCT(MAX((PIER_FORCES!$O$9:$O$3008=38)*(PIER_FORCES!$P$9:$P$3008=1)*PIER_FORCES!$Q$9:$Q$3008+(1-(PIER_FORCES!$O$9:$O$3008=38)*(PIER_FORCES!$P$9:$P$3008=1))*(-1E9))))</f>
        <v>0</v>
      </c>
      <c r="BE48" s="44">
        <f>IF(N(AZ48)=0,BD48,SUMPRODUCT(MAX((PIER_FORCES!$O$9:$O$3008=38)*(PIER_FORCES!$P$9:$P$3008=2)*PIER_FORCES!$Q$9:$Q$3008+(1-(PIER_FORCES!$O$9:$O$3008=38)*(PIER_FORCES!$P$9:$P$3008=2))*(-1E9))))</f>
        <v>0</v>
      </c>
      <c r="BF48" s="44">
        <f>IF(N(AZ48)=0,0,SUMPRODUCT(MAX((PIER_FORCES!$O$9:$O$3008=38)*(PIER_FORCES!$P$9:$P$3008=2)*PIER_FORCES!$R$9:$R$3008)))</f>
        <v>0</v>
      </c>
      <c r="BG48" s="43">
        <f>IF(N(AY48)=0,0,SUMPRODUCT(MAX((PIER_FORCES!$O$9:$O$3008=38)*(PIER_FORCES!$P$9:$P$3008=1)*(ABS(PIER_FORCES!$R$9:$R$3008-BA48)&lt;0.000001)*PIER_FORCES!$T$9:$T$3008)))</f>
        <v>0</v>
      </c>
      <c r="BH48" s="45" t="str">
        <f>IF(N(BG48)=0,"",INDEX(PIER_FORCES!$D$9:$D$3008,BG48)&amp;" "&amp;INDEX(PIER_FORCES!$F$9:$F$3008,BG48)&amp;" / "&amp;INDEX(PIER_FORCES!$G$9:$G$3008,BG48))</f>
        <v/>
      </c>
      <c r="BI48" s="42" t="str">
        <f>IF(B48="","",IF(AND(C48&lt;&gt;"",OR(D48="X",D48="Y"),ISNUMBER(F48),N(F48)&gt;0),"SÍ","NO"))</f>
        <v/>
      </c>
      <c r="BJ48" s="42" t="str">
        <f>IF(BI48&lt;&gt;"SÍ","",IF(DATOS!$C$108="ETABS (PIER_FORCES)",IF(N(AY48)&gt;0,"ETABS","NO ESTÁ EN PIER_FORCES"),"CAPTURA"))</f>
        <v/>
      </c>
      <c r="BK48" s="46" t="str">
        <f>IF(BI48&lt;&gt;"SÍ","",IF(BJ48="ETABS",BA48,IF(BJ48="CAPTURA",N(AQ48),0)))</f>
        <v/>
      </c>
      <c r="BL48" s="46" t="str">
        <f>IF(BI48&lt;&gt;"SÍ","",IF(BJ48="ETABS",BB48,IF(BJ48="CAPTURA",N(AR48),0)))</f>
        <v/>
      </c>
      <c r="BM48" s="46" t="str">
        <f>IF(BI48&lt;&gt;"SÍ","",IF(BJ48="ETABS",BC48/DATOS!$C$89,IF(BJ48="CAPTURA",N(AS48),0)))</f>
        <v/>
      </c>
      <c r="BN48" s="44" t="str">
        <f>IF(BI48&lt;&gt;"SÍ","",IF(BJ48="ETABS",BC48,IF(BJ48="CAPTURA",IF(ISNUMBER(AU48),AU48,N(AS48)*DATOS!$C$89),0)))</f>
        <v/>
      </c>
      <c r="BO48" s="44" t="str">
        <f>IF(BI48&lt;&gt;"SÍ","",IF(BJ48="ETABS",MAX(BD48,BE48),IF(BJ48="CAPTURA",N(AT48),0)))</f>
        <v/>
      </c>
      <c r="BP48" s="44" t="str">
        <f>IF(BI48&lt;&gt;"SÍ","",IF(BJ48="ETABS",BE48,IF(BJ48="CAPTURA",IF(ISNUMBER(AV48),AV48,N(AT48)),0)))</f>
        <v/>
      </c>
      <c r="BQ48" s="44" t="str">
        <f>IF(BI48&lt;&gt;"SÍ","",IF(BJ48="ETABS",BF48,IF(BJ48="CAPTURA",N(AW48),0)))</f>
        <v/>
      </c>
      <c r="BR48" s="43" t="str">
        <f>IF(BI48&lt;&gt;"SÍ","",IF(BK48&gt;0,100*BQ48/BK48,0))</f>
        <v/>
      </c>
      <c r="BS48" s="44" t="str">
        <f>IF(BI48&lt;&gt;"SÍ","",IF(ISNUMBER(G48),G48,DATOS!$C$57))</f>
        <v/>
      </c>
      <c r="BT48" s="47" t="str">
        <f>IF(BI48&lt;&gt;"SÍ","",IF(ISNUMBER(H48),H48,DATOS!$C$58))</f>
        <v/>
      </c>
      <c r="BU48" s="43" t="str">
        <f>IF(BI48&lt;&gt;"SÍ","",IF(N(K48)&gt;0,1+IF(N(P48)&gt;0,1+IF(N(U48)&gt;0,1+IF(N(Z48)&gt;0,1,0),0),0),0))</f>
        <v/>
      </c>
      <c r="BV48" s="45" t="str">
        <f>IF(BI48&lt;&gt;"SÍ","",IF(AND(OR(BU48&lt;1,AND(N(J48)&gt;=0-0.001,J48+K48&lt;=F48+0.001,N(L48)&gt;=0,N(L48)+N(M48)&lt;=BS48+0.001,N(M48)&gt;0,OR(I48="PUERTA",I48="VENTANA"))),OR(BU48&lt;2,AND(N(O48)&gt;=(J48+K48)-0.001,O48+P48&lt;=F48+0.001,N(Q48)&gt;=0,N(Q48)+N(R48)&lt;=BS48+0.001,N(R48)&gt;0,OR(N48="PUERTA",N48="VENTANA"))),OR(BU48&lt;3,AND(N(T48)&gt;=(O48+P48)-0.001,T48+U48&lt;=F48+0.001,N(V48)&gt;=0,N(V48)+N(W48)&lt;=BS48+0.001,N(W48)&gt;0,OR(S48="PUERTA",S48="VENTANA"))),OR(BU48&lt;4,AND(N(Y48)&gt;=(T48+U48)-0.001,Y48+Z48&lt;=F48+0.001,N(AA48)&gt;=0,N(AA48)+N(AB48)&lt;=BS48+0.001,N(AB48)&gt;0,OR(X48="PUERTA",X48="VENTANA"))),(N(K48)&gt;0)+(N(P48)&gt;0)+(N(U48)&gt;0)+(N(Z48)&gt;0)=BU48),"CUMPLE","REVISAR VANOS: tipo, orden de izquierda a derecha, que quepan en L y en H"))</f>
        <v/>
      </c>
      <c r="BW48" s="44" t="str">
        <f>IF(BI48&lt;&gt;"SÍ","",MAX(0,IF(BU48&gt;=1,N(J48),F48)))</f>
        <v/>
      </c>
      <c r="BX48" s="44" t="str">
        <f>IF(BI48&lt;&gt;"SÍ","",MAX(0,IF(BU48&gt;=2,N(O48)-(N(J48)+N(K48)),IF(BU48=1,F48-(N(J48)+N(K48)),0))))</f>
        <v/>
      </c>
      <c r="BY48" s="44" t="str">
        <f>IF(BI48&lt;&gt;"SÍ","",MAX(0,IF(BU48&gt;=3,N(T48)-(N(O48)+N(P48)),IF(BU48=2,F48-(N(O48)+N(P48)),0))))</f>
        <v/>
      </c>
      <c r="BZ48" s="44" t="str">
        <f>IF(BI48&lt;&gt;"SÍ","",MAX(0,IF(BU48&gt;=4,N(Y48)-(N(T48)+N(U48)),IF(BU48=3,F48-(N(T48)+N(U48)),0))))</f>
        <v/>
      </c>
      <c r="CA48" s="44" t="str">
        <f>IF(BI48&lt;&gt;"SÍ","",MAX(0,IF(BU48=4,F48-(N(Y48)+N(Z48)),0)))</f>
        <v/>
      </c>
      <c r="CB48" s="46" t="str">
        <f>IF(BI48&lt;&gt;"SÍ","",SUMPRODUCT((BW48:CA48&gt;=DATOS!$C$72-0.0001)*BW48:CA48))</f>
        <v/>
      </c>
      <c r="CC48" s="43" t="str">
        <f>IF(BI48&lt;&gt;"SÍ","",SUMPRODUCT(--(BW48:CA48&gt;=DATOS!$C$72-0.0001)))</f>
        <v/>
      </c>
      <c r="CD48" s="44" t="str">
        <f>IF(BI48&lt;&gt;"SÍ","",SUM(BW48:CA48))</f>
        <v/>
      </c>
      <c r="CE48" s="43" t="str">
        <f>IF(BI48&lt;&gt;"SÍ","",BT48*CB48*100)</f>
        <v/>
      </c>
      <c r="CF48" s="43" t="str">
        <f>IF(BI48&lt;&gt;"SÍ","",BT48*CD48*100)</f>
        <v/>
      </c>
      <c r="CG48" s="47" t="str">
        <f>IF(BI48&lt;&gt;"SÍ","",BS48*100/BT48)</f>
        <v/>
      </c>
      <c r="CH48" s="45" t="str">
        <f>IF(BI48&lt;&gt;"SÍ","",IF(AND(OR(DATOS!$C$14="TIPO II",BT48&gt;=12),CG48&lt;=25),"CUMPLE","NO CUMPLE: "&amp;IF(AND(DATOS!$C$14="TIPO I",BT48&lt;12),"t &lt; 12 cm ","")&amp;IF(CG48&gt;25,"H/t &gt; 25","")))</f>
        <v/>
      </c>
      <c r="CI48" s="44" t="str">
        <f>IF(BI48&lt;&gt;"SÍ","",MIN(1.5*BS48,4))</f>
        <v/>
      </c>
      <c r="CJ48" s="43" t="str">
        <f>IF(BI48&lt;&gt;"SÍ","",SUMPRODUCT((BW48:CA48&gt;=2*DATOS!$C$59/100)*INT((BW48:CA48-DATOS!$C$59/100)/CI48-0.000001)*((BW48:CA48-DATOS!$C$59/100)&gt;0)))</f>
        <v/>
      </c>
      <c r="CK48" s="43" t="str">
        <f>IF(BI48&lt;&gt;"SÍ","",SUMPRODUCT((BW48:CA48&gt;0.0001)*1+(BW48:CA48&gt;=2*DATOS!$C$59/100)*1)+CJ48)</f>
        <v/>
      </c>
      <c r="CL48" s="44" t="str">
        <f>IF(BI48&lt;&gt;"SÍ","",IF(ISNUMBER(AC48),AC48,DATOS!$C$61)*INDEX(TABLAS!$D$6:$D$14,MATCH(IF(AD48&lt;&gt;"",AD48,DATOS!$C$62),TABLAS!$B$6:$B$14,0)))</f>
        <v/>
      </c>
      <c r="CM48" s="44" t="str">
        <f>IF(BI48&lt;&gt;"SÍ","",CK48*DATOS!$C$78+IF(CK48&gt;=2,2,CK48)*(CL48-DATOS!$C$78))</f>
        <v/>
      </c>
      <c r="CN48" s="47" t="str">
        <f>IF(BI48&lt;&gt;"SÍ","",MAX(BS48*100/6,40))</f>
        <v/>
      </c>
      <c r="CO48" s="48" t="str">
        <f>IF(BI48&lt;&gt;"SÍ","",IF(CG48&lt;=20,IF(E48="INTERIOR",0.7,0.6),MIN(IF(E48="INTERIOR",0.7,0.6),(1-2/24)*(1-(IF(E48="INTERIOR",0.8,1)*CG48/30)^2))))</f>
        <v/>
      </c>
      <c r="CP48" s="47" t="str">
        <f>IF(BI48&lt;&gt;"SÍ","",DATOS!$C$87*CO48*(DATOS!$C$33*CF48+CM48*DATOS!$C$48)/1000)</f>
        <v/>
      </c>
      <c r="CQ48" s="46" t="str">
        <f>IF(BI48&lt;&gt;"SÍ","",IF(CP48&gt;0,BO48/CP48,99))</f>
        <v/>
      </c>
      <c r="CR48" s="47" t="str">
        <f>IF(BI48&lt;&gt;"SÍ","",MAX(0,F48*100-DATOS!$C$59))</f>
        <v/>
      </c>
      <c r="CS48" s="47" t="str">
        <f>IF(BI48&lt;&gt;"SÍ","",MAX(0,F48*100-DATOS!$C$59/2))</f>
        <v/>
      </c>
      <c r="CT48" s="44" t="str">
        <f>IF(BI48&lt;&gt;"SÍ","",CL48*DATOS!$C$48*CR48/100000)</f>
        <v/>
      </c>
      <c r="CU48" s="44" t="str">
        <f>IF(BI48&lt;&gt;"SÍ","",IF(BN48&lt;0,0.8*CT48*MAX(0,1+BN48/(0.8*CM48*DATOS!$C$48/1000)),IF(BN48&lt;=CP48/3,0.8*CT48+0.3*BN48*CS48/100,(1.5*0.6*CT48+0.15*CP48*CS48/100)*MAX(0,1-BN48/CP48))))</f>
        <v/>
      </c>
      <c r="CV48" s="44" t="str">
        <f>IF(BI48&lt;&gt;"SÍ","",IF(BO48&lt;0,0.8*CT48*MAX(0,1+BO48/(0.8*CM48*DATOS!$C$48/1000)),IF(BO48&lt;=CP48/3,0.8*CT48+0.3*BO48*CS48/100,(1.5*0.6*CT48+0.15*CP48*CS48/100)*MAX(0,1-BO48/CP48))))</f>
        <v/>
      </c>
      <c r="CW48" s="46" t="str">
        <f>IF(BI48&lt;&gt;"SÍ","",MAX(0,MIN(CU48,CV48)))</f>
        <v/>
      </c>
      <c r="CX48" s="49" t="str">
        <f>IF(BI48&lt;&gt;"SÍ","",IF(CW48&gt;0,BL48/CW48,IF(BL48&gt;0,99,0)))</f>
        <v/>
      </c>
      <c r="CY48" s="44" t="str">
        <f>IF(BI48&lt;&gt;"SÍ","",IF(BW48&gt;0,MAX(1,MIN(1.5,1.5-0.625*(BS48/BW48-0.2))),0))</f>
        <v/>
      </c>
      <c r="CZ48" s="44" t="str">
        <f>IF(BI48&lt;&gt;"SÍ","",IF(BX48&gt;0,MAX(1,MIN(1.5,1.5-0.625*(BS48/BX48-0.2))),0))</f>
        <v/>
      </c>
      <c r="DA48" s="44" t="str">
        <f>IF(BI48&lt;&gt;"SÍ","",IF(BY48&gt;0,MAX(1,MIN(1.5,1.5-0.625*(BS48/BY48-0.2))),0))</f>
        <v/>
      </c>
      <c r="DB48" s="44" t="str">
        <f>IF(BI48&lt;&gt;"SÍ","",IF(BZ48&gt;0,MAX(1,MIN(1.5,1.5-0.625*(BS48/BZ48-0.2))),0))</f>
        <v/>
      </c>
      <c r="DC48" s="44" t="str">
        <f>IF(BI48&lt;&gt;"SÍ","",IF(CA48&gt;0,MAX(1,MIN(1.5,1.5-0.625*(BS48/CA48-0.2))),0))</f>
        <v/>
      </c>
      <c r="DD48" s="44" t="str">
        <f>IF(BI48&lt;&gt;"SÍ","",IF(OR(BW48&lt;DATOS!$C$72-0.0001,BM48&lt;0,CB48&lt;=0),0,MIN(DATOS!$C$86*(0.5*DATOS!$C$41*BT48*BW48*100+0.3*BM48*BW48/CB48*1000)*CY48,1.5*DATOS!$C$86*DATOS!$C$41*BT48*BW48*100*CY48)/1000))</f>
        <v/>
      </c>
      <c r="DE48" s="44" t="str">
        <f>IF(BI48&lt;&gt;"SÍ","",IF(OR(BX48&lt;DATOS!$C$72-0.0001,BM48&lt;0,CB48&lt;=0),0,MIN(DATOS!$C$86*(0.5*DATOS!$C$41*BT48*BX48*100+0.3*BM48*BX48/CB48*1000)*CZ48,1.5*DATOS!$C$86*DATOS!$C$41*BT48*BX48*100*CZ48)/1000))</f>
        <v/>
      </c>
      <c r="DF48" s="44" t="str">
        <f>IF(BI48&lt;&gt;"SÍ","",IF(OR(BY48&lt;DATOS!$C$72-0.0001,BM48&lt;0,CB48&lt;=0),0,MIN(DATOS!$C$86*(0.5*DATOS!$C$41*BT48*BY48*100+0.3*BM48*BY48/CB48*1000)*DA48,1.5*DATOS!$C$86*DATOS!$C$41*BT48*BY48*100*DA48)/1000))</f>
        <v/>
      </c>
      <c r="DG48" s="44" t="str">
        <f>IF(BI48&lt;&gt;"SÍ","",IF(OR(BZ48&lt;DATOS!$C$72-0.0001,BM48&lt;0,CB48&lt;=0),0,MIN(DATOS!$C$86*(0.5*DATOS!$C$41*BT48*BZ48*100+0.3*BM48*BZ48/CB48*1000)*DB48,1.5*DATOS!$C$86*DATOS!$C$41*BT48*BZ48*100*DB48)/1000))</f>
        <v/>
      </c>
      <c r="DH48" s="44" t="str">
        <f>IF(BI48&lt;&gt;"SÍ","",IF(OR(CA48&lt;DATOS!$C$72-0.0001,BM48&lt;0,CB48&lt;=0),0,MIN(DATOS!$C$86*(0.5*DATOS!$C$41*BT48*CA48*100+0.3*BM48*CA48/CB48*1000)*DC48,1.5*DATOS!$C$86*DATOS!$C$41*BT48*CA48*100*DC48)/1000))</f>
        <v/>
      </c>
      <c r="DI48" s="46" t="str">
        <f>IF(BI48&lt;&gt;"SÍ","",SUM(DD48:DH48))</f>
        <v/>
      </c>
      <c r="DJ48" s="48" t="str">
        <f>IF(BI48&lt;&gt;"SÍ","",IF(AE48="VARILLA EN JUNTAS",IF(ISNUMBER(AF48),AF48,2)*INDEX(TABLAS!$D$6:$D$14,MATCH(IF(AG48&lt;&gt;"",AG48,DATOS!$C$73),TABLAS!$B$6:$B$14,0)),IF(AE48="MALLA",IF(ISNUMBER(AF48),AF48,1)*INDEX(TABLAS!$D$19:$D$22,MATCH(IF(AG48&lt;&gt;"",AG48,DATOS!$C$74),TABLAS!$B$19:$B$22,0))/100,IF(AE48="ESCALERILLA",IF(ISNUMBER(AF48),AF48,2)*INDEX(TABLAS!$D$6:$D$14,MATCH(IF(AG48&lt;&gt;"",AG48,DATOS!$C$73),TABLAS!$B$6:$B$14,0)),0))))</f>
        <v/>
      </c>
      <c r="DK48" s="47" t="str">
        <f>IF(BI48&lt;&gt;"SÍ","",IF(OR(AE48="VARILLA EN JUNTAS",AE48="ESCALERILLA"),IF(ISNUMBER(AH48),AH48,2)*DATOS!$C$26,IF(AE48="MALLA",1,0)))</f>
        <v/>
      </c>
      <c r="DL48" s="44" t="str">
        <f>IF(BI48&lt;&gt;"SÍ","",IF(DK48&gt;0,DJ48/(DK48*BT48)*MIN(DATOS!$C$50,IF(AE48="MALLA",5000,6000)),0))</f>
        <v/>
      </c>
      <c r="DM48" s="44" t="str">
        <f>IF(BI48&lt;&gt;"SÍ","",IF(AE48="ESCALERILLA",0,MIN(DL48,0.1*DATOS!$C$33*DATOS!$C$24)))</f>
        <v/>
      </c>
      <c r="DN48" s="48" t="str">
        <f>IF(BI48&lt;&gt;"SÍ","",IF(AE48="MALLA",0.5,IF(DATOS!$C$33&lt;=60,0.55,IF(DATOS!$C$33&gt;=90,0.75,0.55+0.2*(DATOS!$C$33-60)/30))))</f>
        <v/>
      </c>
      <c r="DO48" s="48" t="str">
        <f>IF(BI48&lt;&gt;"SÍ","",1-DATOS!$C$91*DM48)</f>
        <v/>
      </c>
      <c r="DP48" s="44" t="str">
        <f>IF(BI48&lt;&gt;"SÍ","",IF(BW48&gt;0,IF(BS48/BW48&lt;=1,1.3,IF(BS48/BW48&gt;=1.5,1,1.3-0.6*(BS48/BW48-1))),0))</f>
        <v/>
      </c>
      <c r="DQ48" s="44" t="str">
        <f>IF(BI48&lt;&gt;"SÍ","",IF(BX48&gt;0,IF(BS48/BX48&lt;=1,1.3,IF(BS48/BX48&gt;=1.5,1,1.3-0.6*(BS48/BX48-1))),0))</f>
        <v/>
      </c>
      <c r="DR48" s="44" t="str">
        <f>IF(BI48&lt;&gt;"SÍ","",IF(BY48&gt;0,IF(BS48/BY48&lt;=1,1.3,IF(BS48/BY48&gt;=1.5,1,1.3-0.6*(BS48/BY48-1))),0))</f>
        <v/>
      </c>
      <c r="DS48" s="44" t="str">
        <f>IF(BI48&lt;&gt;"SÍ","",IF(BZ48&gt;0,IF(BS48/BZ48&lt;=1,1.3,IF(BS48/BZ48&gt;=1.5,1,1.3-0.6*(BS48/BZ48-1))),0))</f>
        <v/>
      </c>
      <c r="DT48" s="44" t="str">
        <f>IF(BI48&lt;&gt;"SÍ","",IF(CA48&gt;0,IF(BS48/CA48&lt;=1,1.3,IF(BS48/CA48&gt;=1.5,1,1.3-0.6*(BS48/CA48-1))),0))</f>
        <v/>
      </c>
      <c r="DU48" s="44" t="str">
        <f>IF(BI48&lt;&gt;"SÍ","",IF(OR(DM48&lt;=0,BW48&lt;DATOS!$C$72-0.0001),0,DATOS!$C$86*MAX(0,IF(BM48&gt;=0,DD48/(DATOS!$C$86*DM48*BT48*BW48*100/1000)*(DP48*DO48-1)+DN48,DO48*DN48))*DM48*BT48*BW48*100/1000))</f>
        <v/>
      </c>
      <c r="DV48" s="44" t="str">
        <f>IF(BI48&lt;&gt;"SÍ","",IF(OR(DM48&lt;=0,BX48&lt;DATOS!$C$72-0.0001),0,DATOS!$C$86*MAX(0,IF(BM48&gt;=0,DE48/(DATOS!$C$86*DM48*BT48*BX48*100/1000)*(DQ48*DO48-1)+DN48,DO48*DN48))*DM48*BT48*BX48*100/1000))</f>
        <v/>
      </c>
      <c r="DW48" s="44" t="str">
        <f>IF(BI48&lt;&gt;"SÍ","",IF(OR(DM48&lt;=0,BY48&lt;DATOS!$C$72-0.0001),0,DATOS!$C$86*MAX(0,IF(BM48&gt;=0,DF48/(DATOS!$C$86*DM48*BT48*BY48*100/1000)*(DR48*DO48-1)+DN48,DO48*DN48))*DM48*BT48*BY48*100/1000))</f>
        <v/>
      </c>
      <c r="DX48" s="44" t="str">
        <f>IF(BI48&lt;&gt;"SÍ","",IF(OR(DM48&lt;=0,BZ48&lt;DATOS!$C$72-0.0001),0,DATOS!$C$86*MAX(0,IF(BM48&gt;=0,DG48/(DATOS!$C$86*DM48*BT48*BZ48*100/1000)*(DS48*DO48-1)+DN48,DO48*DN48))*DM48*BT48*BZ48*100/1000))</f>
        <v/>
      </c>
      <c r="DY48" s="44" t="str">
        <f>IF(BI48&lt;&gt;"SÍ","",IF(OR(DM48&lt;=0,CA48&lt;DATOS!$C$72-0.0001),0,DATOS!$C$86*MAX(0,IF(BM48&gt;=0,DH48/(DATOS!$C$86*DM48*BT48*CA48*100/1000)*(DT48*DO48-1)+DN48,DO48*DN48))*DM48*BT48*CA48*100/1000))</f>
        <v/>
      </c>
      <c r="DZ48" s="46" t="str">
        <f>IF(BI48&lt;&gt;"SÍ","",SUM(DU48:DY48))</f>
        <v/>
      </c>
      <c r="EA48" s="45" t="str">
        <f>IF(BI48&lt;&gt;"SÍ","",IF(OR(AE48="",AE48="NINGUNO"),IF(DATOS!$C$41&gt;=10,"FALTA refuerzo horizontal: v'm ≥ 10 kg/cm² (6.5.2.2)",IF(AND(BM48&lt;0,BK48&gt;0),"FALTA: P en tensión, el refuerzo debe tomar todo el cortante (6.5.1.3)","—")),IF(AE48="ESCALERILLA","NO CUENTA: la escalerilla no se permite para cortante por sismo (6.5.3.1.2)",IF(AE48="MALLA",IF(AND(DL48&gt;=2.5,DL48&lt;=MAX(0.15*DATOS!$C$33*DATOS!$C$24,2.5)),"CUMPLE","NO CUMPLE: "&amp;IF(DL48&lt;2.5,"p_h·f_yh &lt; 2.5 (6.5.4.2.4)","p_h·f_yh &gt; 0.15·f'm·f_an (6.5.4.2.4)")),IF(AND(DK48&lt;=MIN(6*DATOS!$C$26,45),DL48&gt;=3,DL48&lt;=MIN(MAX(0.15*DATOS!$C$33*DATOS!$C$24,3),0.05*DATOS!$C$25/10*MIN(DATOS!$C$50,6000)/DK48),INDEX(TABLAS!$C$6:$C$14,MATCH(IF(AG48&lt;&gt;"",AG48,DATOS!$C$73),TABLAS!$B$6:$B$14,0))&gt;=0.35,INDEX(TABLAS!$C$6:$C$14,MATCH(IF(AG48&lt;&gt;"",AG48,DATOS!$C$73),TABLAS!$B$6:$B$14,0))&lt;=0.75*DATOS!$C$25/10),"CUMPLE","NO CUMPLE: "&amp;IF(DK48&gt;MIN(6*DATOS!$C$26,45),"s_h &gt; 6 hiladas o 45 cm (6.5.3.2.1) ","")&amp;IF(DL48&lt;3,"p_h·f_yh &lt; 3 (6.5.3.3.1) ","")&amp;IF(DL48&gt;MIN(MAX(0.15*DATOS!$C$33*DATOS!$C$24,3),0.05*DATOS!$C$25/10*MIN(DATOS!$C$50,6000)/DK48),"p_h·f_yh &gt; máximo (6.5.3.3.2) ","")&amp;IF(OR(INDEX(TABLAS!$C$6:$C$14,MATCH(IF(AG48&lt;&gt;"",AG48,DATOS!$C$73),TABLAS!$B$6:$B$14,0))&lt;0.35,INDEX(TABLAS!$C$6:$C$14,MATCH(IF(AG48&lt;&gt;"",AG48,DATOS!$C$73),TABLAS!$B$6:$B$14,0))&gt;0.75*DATOS!$C$25/10),"diámetro fuera de 3.5 mm a 0.75·h_j (4.2.2.2.1)",""))))))</f>
        <v/>
      </c>
      <c r="EB48" s="46" t="str">
        <f>IF(BI48&lt;&gt;"SÍ","",DI48+DZ48)</f>
        <v/>
      </c>
      <c r="EC48" s="50" t="str">
        <f>IF(BI48&lt;&gt;"SÍ","",IF(EB48&gt;0,BK48/EB48,IF(BK48&gt;0,99,0)))</f>
        <v/>
      </c>
      <c r="ED48" s="47" t="str">
        <f>IF(BI48&lt;&gt;"SÍ","",IF(CE48&lt;=0,-1,IF(BK48&lt;=DI48,0,IF(IF(BM48&gt;=0,IF((DATOS!$C$86*IF(AE48="MALLA",0.5,IF(DATOS!$C$33&lt;=60,0.55,IF(DATOS!$C$33&gt;=90,0.75,0.55+0.2*(DATOS!$C$33-60)/30)))*CE48/1000-DATOS!$C$91*SUMPRODUCT(DP48:DT48,DD48:DH48))&lt;=0,1E9,(BK48-SUMPRODUCT(DP48:DT48,DD48:DH48))/(DATOS!$C$86*IF(AE48="MALLA",0.5,IF(DATOS!$C$33&lt;=60,0.55,IF(DATOS!$C$33&gt;=90,0.75,0.55+0.2*(DATOS!$C$33-60)/30)))*CE48/1000-DATOS!$C$91*SUMPRODUCT(DP48:DT48,DD48:DH48))),IF((1-4*DATOS!$C$91*BK48*1000/(DATOS!$C$86*IF(AE48="MALLA",0.5,IF(DATOS!$C$33&lt;=60,0.55,IF(DATOS!$C$33&gt;=90,0.75,0.55+0.2*(DATOS!$C$33-60)/30)))*MAX(CE48,1)))&lt;0,1E9,(1-SQRT((1-4*DATOS!$C$91*BK48*1000/(DATOS!$C$86*IF(AE48="MALLA",0.5,IF(DATOS!$C$33&lt;=60,0.55,IF(DATOS!$C$33&gt;=90,0.75,0.55+0.2*(DATOS!$C$33-60)/30)))*MAX(CE48,1)))))/(2*DATOS!$C$91)))&gt;0.1*DATOS!$C$33*DATOS!$C$24+0.000001,-1,MAX(IF(AE48="MALLA",2.5,3),IF(BM48&gt;=0,IF((DATOS!$C$86*IF(AE48="MALLA",0.5,IF(DATOS!$C$33&lt;=60,0.55,IF(DATOS!$C$33&gt;=90,0.75,0.55+0.2*(DATOS!$C$33-60)/30)))*CE48/1000-DATOS!$C$91*SUMPRODUCT(DP48:DT48,DD48:DH48))&lt;=0,1E9,(BK48-SUMPRODUCT(DP48:DT48,DD48:DH48))/(DATOS!$C$86*IF(AE48="MALLA",0.5,IF(DATOS!$C$33&lt;=60,0.55,IF(DATOS!$C$33&gt;=90,0.75,0.55+0.2*(DATOS!$C$33-60)/30)))*CE48/1000-DATOS!$C$91*SUMPRODUCT(DP48:DT48,DD48:DH48))),IF((1-4*DATOS!$C$91*BK48*1000/(DATOS!$C$86*IF(AE48="MALLA",0.5,IF(DATOS!$C$33&lt;=60,0.55,IF(DATOS!$C$33&gt;=90,0.75,0.55+0.2*(DATOS!$C$33-60)/30)))*MAX(CE48,1)))&lt;0,1E9,(1-SQRT((1-4*DATOS!$C$91*BK48*1000/(DATOS!$C$86*IF(AE48="MALLA",0.5,IF(DATOS!$C$33&lt;=60,0.55,IF(DATOS!$C$33&gt;=90,0.75,0.55+0.2*(DATOS!$C$33-60)/30)))*MAX(CE48,1)))))/(2*DATOS!$C$91))))))))</f>
        <v/>
      </c>
      <c r="EE48" s="45" t="str">
        <f>IF(BI48&lt;&gt;"SÍ","",IF(ED48=0,"NO REQUIERE: V_mR ≥ V_u",IF(ED48&lt;0,"NO ALCANZA con refuerzo horizontal (haría falta más de 0.1·f'm·f_an efectivo): sube v'm con ensayes, el espesor o la longitud del muro",IF(AND(OR(AE48="VARILLA EN JUNTAS",AE48="MALLA"),LEFT(EA48,6)="CUMPLE",EC48&lt;=1),"YA LO TIENE (pide p_h·f_yh ≥ "&amp;TEXT(ED48,"0.0")&amp;" kg/cm²)","p_h·f_yh ≥ "&amp;TEXT(ED48,"0.0")&amp;" kg/cm² → "&amp;IF(AND(MIN(6,FLOOR(45/DATOS!$C$26,1),FLOOR((2*INDEX(TABLAS!$D$6:$D$14,MATCH("3/16 in",TABLAS!$B$6:$B$14,0)))*MIN(DATOS!$C$50,6000)/(BT48*DATOS!$C$26*MAX(ED48,0.001)),1))&gt;=1,((2*INDEX(TABLAS!$D$6:$D$14,MATCH("3/16 in",TABLAS!$B$6:$B$14,0)))*MIN(DATOS!$C$50,6000)/(MAX(MIN(6,FLOOR(45/DATOS!$C$26,1),FLOOR((2*INDEX(TABLAS!$D$6:$D$14,MATCH("3/16 in",TABLAS!$B$6:$B$14,0)))*MIN(DATOS!$C$50,6000)/(BT48*DATOS!$C$26*MAX(ED48,0.001)),1)),1)*DATOS!$C$26*BT48))&lt;=MIN(MAX(0.15*DATOS!$C$33*DATOS!$C$24,3),0.05*DATOS!$C$25/10*MIN(DATOS!$C$50,6000)/(MIN(6,FLOOR(45/DATOS!$C$26,1),FLOOR((2*INDEX(TABLAS!$D$6:$D$14,MATCH("3/16 in",TABLAS!$B$6:$B$14,0)))*MIN(DATOS!$C$50,6000)/(BT48*DATOS!$C$26*MAX(ED48,0.001)),1))*DATOS!$C$26))),"2 alambres de 3/16"" por junta cada "&amp;MIN(6,FLOOR(45/DATOS!$C$26,1),FLOOR((2*INDEX(TABLAS!$D$6:$D$14,MATCH("3/16 in",TABLAS!$B$6:$B$14,0)))*MIN(DATOS!$C$50,6000)/(BT48*DATOS!$C$26*MAX(ED48,0.001)),1))&amp;" hilada(s) (p_h·f_yh = "&amp;TEXT(((2*INDEX(TABLAS!$D$6:$D$14,MATCH("3/16 in",TABLAS!$B$6:$B$14,0)))*MIN(DATOS!$C$50,6000)/(MAX(MIN(6,FLOOR(45/DATOS!$C$26,1),FLOOR((2*INDEX(TABLAS!$D$6:$D$14,MATCH("3/16 in",TABLAS!$B$6:$B$14,0)))*MIN(DATOS!$C$50,6000)/(BT48*DATOS!$C$26*MAX(ED48,0.001)),1)),1)*DATOS!$C$26*BT48)),"0.00")&amp;")",IF(AND(MIN(6,FLOOR(45/DATOS!$C$26,1),FLOOR((2*INDEX(TABLAS!$D$6:$D$14,MATCH("5/32 in",TABLAS!$B$6:$B$14,0)))*MIN(DATOS!$C$50,6000)/(BT48*DATOS!$C$26*MAX(ED48,0.001)),1))&gt;=1,((2*INDEX(TABLAS!$D$6:$D$14,MATCH("5/32 in",TABLAS!$B$6:$B$14,0)))*MIN(DATOS!$C$50,6000)/(MAX(MIN(6,FLOOR(45/DATOS!$C$26,1),FLOOR((2*INDEX(TABLAS!$D$6:$D$14,MATCH("5/32 in",TABLAS!$B$6:$B$14,0)))*MIN(DATOS!$C$50,6000)/(BT48*DATOS!$C$26*MAX(ED48,0.001)),1)),1)*DATOS!$C$26*BT48))&lt;=MIN(MAX(0.15*DATOS!$C$33*DATOS!$C$24,3),0.05*DATOS!$C$25/10*MIN(DATOS!$C$50,6000)/(MIN(6,FLOOR(45/DATOS!$C$26,1),FLOOR((2*INDEX(TABLAS!$D$6:$D$14,MATCH("5/32 in",TABLAS!$B$6:$B$14,0)))*MIN(DATOS!$C$50,6000)/(BT48*DATOS!$C$26*MAX(ED48,0.001)),1))*DATOS!$C$26))),"2 alambres de 5/32"" por junta cada "&amp;MIN(6,FLOOR(45/DATOS!$C$26,1),FLOOR((2*INDEX(TABLAS!$D$6:$D$14,MATCH("5/32 in",TABLAS!$B$6:$B$14,0)))*MIN(DATOS!$C$50,6000)/(BT48*DATOS!$C$26*MAX(ED48,0.001)),1))&amp;" hilada(s) (p_h·f_yh = "&amp;TEXT(((2*INDEX(TABLAS!$D$6:$D$14,MATCH("5/32 in",TABLAS!$B$6:$B$14,0)))*MIN(DATOS!$C$50,6000)/(MAX(MIN(6,FLOOR(45/DATOS!$C$26,1),FLOOR((2*INDEX(TABLAS!$D$6:$D$14,MATCH("5/32 in",TABLAS!$B$6:$B$14,0)))*MIN(DATOS!$C$50,6000)/(BT48*DATOS!$C$26*MAX(ED48,0.001)),1)),1)*DATOS!$C$26*BT48)),"0.00")&amp;")",IF(AND(MIN(6,FLOOR(45/DATOS!$C$26,1),FLOOR((1*INDEX(TABLAS!$D$6:$D$14,MATCH("3/16 in",TABLAS!$B$6:$B$14,0)))*MIN(DATOS!$C$50,6000)/(BT48*DATOS!$C$26*MAX(ED48,0.001)),1))&gt;=1,((1*INDEX(TABLAS!$D$6:$D$14,MATCH("3/16 in",TABLAS!$B$6:$B$14,0)))*MIN(DATOS!$C$50,6000)/(MAX(MIN(6,FLOOR(45/DATOS!$C$26,1),FLOOR((1*INDEX(TABLAS!$D$6:$D$14,MATCH("3/16 in",TABLAS!$B$6:$B$14,0)))*MIN(DATOS!$C$50,6000)/(BT48*DATOS!$C$26*MAX(ED48,0.001)),1)),1)*DATOS!$C$26*BT48))&lt;=MIN(MAX(0.15*DATOS!$C$33*DATOS!$C$24,3),0.05*DATOS!$C$25/10*MIN(DATOS!$C$50,6000)/(MIN(6,FLOOR(45/DATOS!$C$26,1),FLOOR((1*INDEX(TABLAS!$D$6:$D$14,MATCH("3/16 in",TABLAS!$B$6:$B$14,0)))*MIN(DATOS!$C$50,6000)/(BT48*DATOS!$C$26*MAX(ED48,0.001)),1))*DATOS!$C$26))),"1 alambre de 3/16"" por junta cada "&amp;MIN(6,FLOOR(45/DATOS!$C$26,1),FLOOR((1*INDEX(TABLAS!$D$6:$D$14,MATCH("3/16 in",TABLAS!$B$6:$B$14,0)))*MIN(DATOS!$C$50,6000)/(BT48*DATOS!$C$26*MAX(ED48,0.001)),1))&amp;" hilada(s) (p_h·f_yh = "&amp;TEXT(((1*INDEX(TABLAS!$D$6:$D$14,MATCH("3/16 in",TABLAS!$B$6:$B$14,0)))*MIN(DATOS!$C$50,6000)/(MAX(MIN(6,FLOOR(45/DATOS!$C$26,1),FLOOR((1*INDEX(TABLAS!$D$6:$D$14,MATCH("3/16 in",TABLAS!$B$6:$B$14,0)))*MIN(DATOS!$C$50,6000)/(BT48*DATOS!$C$26*MAX(ED48,0.001)),1)),1)*DATOS!$C$26*BT48)),"0.00")&amp;")",IF(AND(MIN(6,FLOOR(45/DATOS!$C$26,1),FLOOR((1*INDEX(TABLAS!$D$6:$D$14,MATCH("5/32 in",TABLAS!$B$6:$B$14,0)))*MIN(DATOS!$C$50,6000)/(BT48*DATOS!$C$26*MAX(ED48,0.001)),1))&gt;=1,((1*INDEX(TABLAS!$D$6:$D$14,MATCH("5/32 in",TABLAS!$B$6:$B$14,0)))*MIN(DATOS!$C$50,6000)/(MAX(MIN(6,FLOOR(45/DATOS!$C$26,1),FLOOR((1*INDEX(TABLAS!$D$6:$D$14,MATCH("5/32 in",TABLAS!$B$6:$B$14,0)))*MIN(DATOS!$C$50,6000)/(BT48*DATOS!$C$26*MAX(ED48,0.001)),1)),1)*DATOS!$C$26*BT48))&lt;=MIN(MAX(0.15*DATOS!$C$33*DATOS!$C$24,3),0.05*DATOS!$C$25/10*MIN(DATOS!$C$50,6000)/(MIN(6,FLOOR(45/DATOS!$C$26,1),FLOOR((1*INDEX(TABLAS!$D$6:$D$14,MATCH("5/32 in",TABLAS!$B$6:$B$14,0)))*MIN(DATOS!$C$50,6000)/(BT48*DATOS!$C$26*MAX(ED48,0.001)),1))*DATOS!$C$26))),"1 alambre de 5/32"" por junta cada "&amp;MIN(6,FLOOR(45/DATOS!$C$26,1),FLOOR((1*INDEX(TABLAS!$D$6:$D$14,MATCH("5/32 in",TABLAS!$B$6:$B$14,0)))*MIN(DATOS!$C$50,6000)/(BT48*DATOS!$C$26*MAX(ED48,0.001)),1))&amp;" hilada(s) (p_h·f_yh = "&amp;TEXT(((1*INDEX(TABLAS!$D$6:$D$14,MATCH("5/32 in",TABLAS!$B$6:$B$14,0)))*MIN(DATOS!$C$50,6000)/(MAX(MIN(6,FLOOR(45/DATOS!$C$26,1),FLOOR((1*INDEX(TABLAS!$D$6:$D$14,MATCH("5/32 in",TABLAS!$B$6:$B$14,0)))*MIN(DATOS!$C$50,6000)/(BT48*DATOS!$C$26*MAX(ED48,0.001)),1)),1)*DATOS!$C$26*BT48)),"0.00")&amp;")","ninguna combinación de 1 o 2 alambres por junta queda entre el mínimo y el máximo: revisa con malla (6.5.4)"))))))))</f>
        <v/>
      </c>
      <c r="EF48" s="43" t="str">
        <f>IF(BI48&lt;&gt;"SÍ","",IF(AI48="SÍ",N(AK48)*N(AL48)^3/12,0))</f>
        <v/>
      </c>
      <c r="EG48" s="48" t="str">
        <f>IF(BI48&lt;&gt;"SÍ","",IF(AND(AI48="SÍ",N(AM48)&gt;0),MIN(1,F48/AM48),0))</f>
        <v/>
      </c>
      <c r="EH48" s="47" t="str">
        <f>IF(BI48&lt;&gt;"SÍ","",IF(AI48="SÍ",BP48*1000/(BT48*F48*100)*BT48*(EG48^4-4*EG48^3+8*EG48),0))</f>
        <v/>
      </c>
      <c r="EI48" s="48" t="str">
        <f>IF(BI48&lt;&gt;"SÍ","",IF(AND(AI48="SÍ",EH48&gt;0),EH48/(EH48+5*N(AN48)*10),0))</f>
        <v/>
      </c>
      <c r="EJ48" s="44" t="str">
        <f>IF(BI48&lt;&gt;"SÍ","",IF(AND(AI48="SÍ",EI48&gt;0,EF48&gt;0),(DATOS!$C$43*BT48*(AM48*100)^3/(DATOS!$C$53*EF48*EI48))^0.25,0))</f>
        <v/>
      </c>
      <c r="EK48" s="44" t="str">
        <f>IF(BI48&lt;&gt;"SÍ","",IF(AI48&lt;&gt;"SÍ",0,IF(N(AM48)&lt;=F48,1,IF(MIN(1,N(AO48)/((AM48-F48)/2))&lt;=0.5,0.7+0.6*MIN(1,N(AO48)/((AM48-F48)/2)),1.5-MIN(1,N(AO48)/((AM48-F48)/2))))))</f>
        <v/>
      </c>
      <c r="EL48" s="44" t="str">
        <f>IF(BI48&lt;&gt;"SÍ","",IF(AI48&lt;&gt;"SÍ",0,MAX(1,IF(EG48&gt;=1,(1.6*EJ48-3.9),IF(EG48&lt;0.9,((3.2*EJ48-7.8)*EK48),((3.2*EJ48-7.8)*EK48)+((1.6*EJ48-3.9)-((3.2*EJ48-7.8)*EK48))*(EG48-0.9)/0.1)))))</f>
        <v/>
      </c>
      <c r="EM48" s="47" t="str">
        <f>IF(BI48&lt;&gt;"SÍ","",IF(AI48="SÍ",EL48*BP48*1000/(BT48*F48*100),0))</f>
        <v/>
      </c>
      <c r="EN48" s="47" t="str">
        <f>IF(BI48&lt;&gt;"SÍ","",IF(AND(AI48="SÍ",N(AL48)&gt;0),AM48*100/AL48,0))</f>
        <v/>
      </c>
      <c r="EO48" s="47" t="str">
        <f>IF(BI48&lt;&gt;"SÍ","",IF(AI48="SÍ",(1/15*DATOS!$C$53*N(AK48)/MAX((IF(ISNUMBER(AP48),AP48,BP48/DATOS!$C$90)*1000/(BT48*F48*100)*BT48*(EG48^4-4*EG48^3+8*EG48))+5*N(AN48)/DATOS!$C$90*10,0.001))^(1/3),0))</f>
        <v/>
      </c>
      <c r="EP48" s="45" t="str">
        <f>IF(BI48&lt;&gt;"SÍ","",IF(AI48&lt;&gt;"SÍ","—",IF(OR(N(AK48)&lt;=0,N(AL48)&lt;=0,N(AM48)&lt;=0),"REVISAR: faltan b, h o L_v de la viga",IF(AND(EM48&lt;=DATOS!$C$87*DATOS!$C$33,EN48&lt;=14,N(AL48)&gt;=25,EN48&lt;=EO48),IF(BS48/F48&lt;0.6,"PENDIENTE: H/L &lt; 0.6, falta el análisis de interacción muro–viga (4.1.18.2.1); f_CM es estimado","CUMPLE"),"NO CUMPLE: "&amp;IF(EM48&gt;DATOS!$C$87*DATOS!$C$33,"f_CM &gt; F_R·f'm ","")&amp;IF(EN48&gt;14,"L_v/h_v &gt; 14 ","")&amp;IF(N(AL48)&lt;25,"h_v &lt; 25 cm ","")&amp;IF(EN48&gt;EO48,"flecha (4.1.18.3)","")))))</f>
        <v/>
      </c>
      <c r="EQ48" s="44" t="str">
        <f>IF(BI48&lt;&gt;"SÍ","",MAX(0,F48*BS48-(N(K48)*N(M48)+N(P48)*N(R48)+N(U48)*N(W48)+N(Z48)*N(AB48))-CK48*DATOS!$C$59/100*BS48))</f>
        <v/>
      </c>
      <c r="ER48" s="48" t="str">
        <f>IF(BI48&lt;&gt;"SÍ","",CK48*DATOS!$C$59*DATOS!$C$60/10000*BS48)</f>
        <v/>
      </c>
      <c r="ES48" s="47" t="str">
        <f>IF(BI48&lt;&gt;"SÍ","",CK48*(DATOS!$C$61*(BS48+0.6)*INDEX(TABLAS!$E$6:$E$14,MATCH(DATOS!$C$62,TABLAS!$B$6:$B$14,0))+(2*ROUNDUP(CN48/DATOS!$C$65,0)+ROUNDUP(MAX(0,BS48*100-2*CN48)/DATOS!$C$64,0))*((2*(DATOS!$C$60+DATOS!$C$59-4*(DATOS!$C$66-INDEX(TABLAS!$C$6:$C$14,MATCH(DATOS!$C$63,TABLAS!$B$6:$B$14,0))))+15)/100)*INDEX(TABLAS!$E$6:$E$14,MATCH(DATOS!$C$63,TABLAS!$B$6:$B$14,0))))</f>
        <v/>
      </c>
      <c r="ET48" s="47" t="str">
        <f>IF(BI48&lt;&gt;"SÍ","",IF(OR(AE48="VARILLA EN JUNTAS",AE48="ESCALERILLA"),INT(BS48*100/MAX(DK48,1))*IF(ISNUMBER(AF48),AF48,2)*CB48*INDEX(TABLAS!$E$6:$E$14,MATCH(IF(AG48&lt;&gt;"",AG48,DATOS!$C$73),TABLAS!$B$6:$B$14,0)),IF(AE48="MALLA",IF(ISNUMBER(AF48),AF48,1)*CB48*BS48*INDEX(TABLAS!$E$19:$E$22,MATCH(IF(AG48&lt;&gt;"",AG48,DATOS!$C$74),TABLAS!$B$19:$B$22,0)),0)))</f>
        <v/>
      </c>
      <c r="EU48" s="45" t="str">
        <f>IF(BI48&lt;&gt;"SÍ","",""&amp;IF(BJ48="NO ESTÁ EN PIER_FORCES","sin fuerzas en PIER_FORCES; ","")&amp;IF(BV48&lt;&gt;"CUMPLE","vanos; ","")&amp;IF(LEFT(CH48,2)="NO","espesor o esbeltez; ","")&amp;IF(CQ48&gt;1,"compresión; ","")&amp;IF(CX48&gt;1,"flexión; ","")&amp;IF(CB48&lt;=0,"sin tramos de muro (todos son machones menores que L mín.: diséñalos como columnas o baja L mín.); ",IF(EC48&gt;1,"cortante; ",""))&amp;IF(OR(LEFT(EA48,2)="NO",LEFT(EA48,5)="FALTA"),"refuerzo horizontal; ","")&amp;IF(OR(LEFT(EP48,2)="NO",LEFT(EP48,7)="REVISAR"),"muro sobre viga; ","")&amp;IF(LEFT(DATOS!$C$81,2)="NO","castillo típico; ","")&amp;IF(LEFT(DATOS!$C$82,2)="NO","dala típica; ","")&amp;IF(AND(BT48&lt;&gt;DATOS!$C$58,DATOS!$C$60&lt;BT48),"castillo más angosto que el muro; ",""))</f>
        <v/>
      </c>
      <c r="EV48" s="45" t="str">
        <f>IF(BI48&lt;&gt;"SÍ","",""&amp;IF(LEFT(EP48,9)="PENDIENTE","análisis muro–viga (H/L &lt; 0.6); ","")&amp;IF(BR48&gt;50,"V_u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8" s="51" t="str">
        <f>IF(BI48&lt;&gt;"SÍ","",IF(EU48&lt;&gt;"","NO CUMPLE: "&amp;LEFT(EU48,LEN(EU48)-2),IF(EV48&lt;&gt;"","CUMPLE — PENDIENTE: "&amp;LEFT(EV48,LEN(EV48)-2),"CUMPLE")))</f>
        <v/>
      </c>
      <c r="EX48" s="52" t="n"/>
    </row>
    <row r="49" ht="30" customHeight="1">
      <c r="A49" s="38" t="str">
        <f>IF(B49="","",ROW()-10)</f>
        <v/>
      </c>
      <c r="B49" s="28" t="n"/>
      <c r="C49" s="39" t="n"/>
      <c r="D49" s="39" t="n"/>
      <c r="E49" s="39" t="n"/>
      <c r="F49" s="40" t="n"/>
      <c r="G49" s="40" t="n"/>
      <c r="H49" s="41" t="n"/>
      <c r="I49" s="39" t="n"/>
      <c r="J49" s="40" t="n"/>
      <c r="K49" s="40" t="n"/>
      <c r="L49" s="40" t="n"/>
      <c r="M49" s="40" t="n"/>
      <c r="N49" s="39" t="n"/>
      <c r="O49" s="40" t="n"/>
      <c r="P49" s="40" t="n"/>
      <c r="Q49" s="40" t="n"/>
      <c r="R49" s="40" t="n"/>
      <c r="S49" s="39" t="n"/>
      <c r="T49" s="40" t="n"/>
      <c r="U49" s="40" t="n"/>
      <c r="V49" s="40" t="n"/>
      <c r="W49" s="40" t="n"/>
      <c r="X49" s="39" t="n"/>
      <c r="Y49" s="40" t="n"/>
      <c r="Z49" s="40" t="n"/>
      <c r="AA49" s="40" t="n"/>
      <c r="AB49" s="40" t="n"/>
      <c r="AC49" s="41" t="n"/>
      <c r="AD49" s="41" t="n"/>
      <c r="AE49" s="39" t="n"/>
      <c r="AF49" s="41" t="n"/>
      <c r="AG49" s="41" t="n"/>
      <c r="AH49" s="41" t="n"/>
      <c r="AI49" s="39" t="n"/>
      <c r="AJ49" s="39" t="n"/>
      <c r="AK49" s="41" t="n"/>
      <c r="AL49" s="41" t="n"/>
      <c r="AM49" s="40" t="n"/>
      <c r="AN49" s="40" t="n"/>
      <c r="AO49" s="40" t="n"/>
      <c r="AP49" s="40" t="n"/>
      <c r="AQ49" s="40" t="n"/>
      <c r="AR49" s="40" t="n"/>
      <c r="AS49" s="40" t="n"/>
      <c r="AT49" s="40" t="n"/>
      <c r="AU49" s="40" t="n"/>
      <c r="AV49" s="40" t="n"/>
      <c r="AW49" s="40" t="n"/>
      <c r="AX49" s="42" t="str">
        <f>IF(B49="","",C49&amp;"|"&amp;B49)</f>
        <v/>
      </c>
      <c r="AY49" s="43" t="str">
        <f>IF(B49="","",COUNTIFS(PIER_FORCES!$O$9:$O$3008,39,PIER_FORCES!$P$9:$P$3008,1))</f>
        <v/>
      </c>
      <c r="AZ49" s="43" t="str">
        <f>IF(B49="","",COUNTIFS(PIER_FORCES!$O$9:$O$3008,39,PIER_FORCES!$P$9:$P$3008,2))</f>
        <v/>
      </c>
      <c r="BA49" s="44">
        <f>IF(N(AY49)=0,0,SUMPRODUCT(MAX((PIER_FORCES!$O$9:$O$3008=39)*(PIER_FORCES!$P$9:$P$3008=1)*PIER_FORCES!$R$9:$R$3008)))</f>
        <v>0</v>
      </c>
      <c r="BB49" s="44">
        <f>IF(N(AY49)=0,0,SUMPRODUCT(MAX((PIER_FORCES!$O$9:$O$3008=39)*(PIER_FORCES!$P$9:$P$3008=1)*PIER_FORCES!$S$9:$S$3008)))</f>
        <v>0</v>
      </c>
      <c r="BC49" s="44">
        <f>IF(N(AY49)=0,0,-SUMPRODUCT(MAX((PIER_FORCES!$O$9:$O$3008=39)*(PIER_FORCES!$P$9:$P$3008=1)*(-PIER_FORCES!$Q$9:$Q$3008)+(1-(PIER_FORCES!$O$9:$O$3008=39)*(PIER_FORCES!$P$9:$P$3008=1))*(-1E9))))</f>
        <v>0</v>
      </c>
      <c r="BD49" s="44">
        <f>IF(N(AY49)=0,0,SUMPRODUCT(MAX((PIER_FORCES!$O$9:$O$3008=39)*(PIER_FORCES!$P$9:$P$3008=1)*PIER_FORCES!$Q$9:$Q$3008+(1-(PIER_FORCES!$O$9:$O$3008=39)*(PIER_FORCES!$P$9:$P$3008=1))*(-1E9))))</f>
        <v>0</v>
      </c>
      <c r="BE49" s="44">
        <f>IF(N(AZ49)=0,BD49,SUMPRODUCT(MAX((PIER_FORCES!$O$9:$O$3008=39)*(PIER_FORCES!$P$9:$P$3008=2)*PIER_FORCES!$Q$9:$Q$3008+(1-(PIER_FORCES!$O$9:$O$3008=39)*(PIER_FORCES!$P$9:$P$3008=2))*(-1E9))))</f>
        <v>0</v>
      </c>
      <c r="BF49" s="44">
        <f>IF(N(AZ49)=0,0,SUMPRODUCT(MAX((PIER_FORCES!$O$9:$O$3008=39)*(PIER_FORCES!$P$9:$P$3008=2)*PIER_FORCES!$R$9:$R$3008)))</f>
        <v>0</v>
      </c>
      <c r="BG49" s="43">
        <f>IF(N(AY49)=0,0,SUMPRODUCT(MAX((PIER_FORCES!$O$9:$O$3008=39)*(PIER_FORCES!$P$9:$P$3008=1)*(ABS(PIER_FORCES!$R$9:$R$3008-BA49)&lt;0.000001)*PIER_FORCES!$T$9:$T$3008)))</f>
        <v>0</v>
      </c>
      <c r="BH49" s="45" t="str">
        <f>IF(N(BG49)=0,"",INDEX(PIER_FORCES!$D$9:$D$3008,BG49)&amp;" "&amp;INDEX(PIER_FORCES!$F$9:$F$3008,BG49)&amp;" / "&amp;INDEX(PIER_FORCES!$G$9:$G$3008,BG49))</f>
        <v/>
      </c>
      <c r="BI49" s="42" t="str">
        <f>IF(B49="","",IF(AND(C49&lt;&gt;"",OR(D49="X",D49="Y"),ISNUMBER(F49),N(F49)&gt;0),"SÍ","NO"))</f>
        <v/>
      </c>
      <c r="BJ49" s="42" t="str">
        <f>IF(BI49&lt;&gt;"SÍ","",IF(DATOS!$C$108="ETABS (PIER_FORCES)",IF(N(AY49)&gt;0,"ETABS","NO ESTÁ EN PIER_FORCES"),"CAPTURA"))</f>
        <v/>
      </c>
      <c r="BK49" s="46" t="str">
        <f>IF(BI49&lt;&gt;"SÍ","",IF(BJ49="ETABS",BA49,IF(BJ49="CAPTURA",N(AQ49),0)))</f>
        <v/>
      </c>
      <c r="BL49" s="46" t="str">
        <f>IF(BI49&lt;&gt;"SÍ","",IF(BJ49="ETABS",BB49,IF(BJ49="CAPTURA",N(AR49),0)))</f>
        <v/>
      </c>
      <c r="BM49" s="46" t="str">
        <f>IF(BI49&lt;&gt;"SÍ","",IF(BJ49="ETABS",BC49/DATOS!$C$89,IF(BJ49="CAPTURA",N(AS49),0)))</f>
        <v/>
      </c>
      <c r="BN49" s="44" t="str">
        <f>IF(BI49&lt;&gt;"SÍ","",IF(BJ49="ETABS",BC49,IF(BJ49="CAPTURA",IF(ISNUMBER(AU49),AU49,N(AS49)*DATOS!$C$89),0)))</f>
        <v/>
      </c>
      <c r="BO49" s="44" t="str">
        <f>IF(BI49&lt;&gt;"SÍ","",IF(BJ49="ETABS",MAX(BD49,BE49),IF(BJ49="CAPTURA",N(AT49),0)))</f>
        <v/>
      </c>
      <c r="BP49" s="44" t="str">
        <f>IF(BI49&lt;&gt;"SÍ","",IF(BJ49="ETABS",BE49,IF(BJ49="CAPTURA",IF(ISNUMBER(AV49),AV49,N(AT49)),0)))</f>
        <v/>
      </c>
      <c r="BQ49" s="44" t="str">
        <f>IF(BI49&lt;&gt;"SÍ","",IF(BJ49="ETABS",BF49,IF(BJ49="CAPTURA",N(AW49),0)))</f>
        <v/>
      </c>
      <c r="BR49" s="43" t="str">
        <f>IF(BI49&lt;&gt;"SÍ","",IF(BK49&gt;0,100*BQ49/BK49,0))</f>
        <v/>
      </c>
      <c r="BS49" s="44" t="str">
        <f>IF(BI49&lt;&gt;"SÍ","",IF(ISNUMBER(G49),G49,DATOS!$C$57))</f>
        <v/>
      </c>
      <c r="BT49" s="47" t="str">
        <f>IF(BI49&lt;&gt;"SÍ","",IF(ISNUMBER(H49),H49,DATOS!$C$58))</f>
        <v/>
      </c>
      <c r="BU49" s="43" t="str">
        <f>IF(BI49&lt;&gt;"SÍ","",IF(N(K49)&gt;0,1+IF(N(P49)&gt;0,1+IF(N(U49)&gt;0,1+IF(N(Z49)&gt;0,1,0),0),0),0))</f>
        <v/>
      </c>
      <c r="BV49" s="45" t="str">
        <f>IF(BI49&lt;&gt;"SÍ","",IF(AND(OR(BU49&lt;1,AND(N(J49)&gt;=0-0.001,J49+K49&lt;=F49+0.001,N(L49)&gt;=0,N(L49)+N(M49)&lt;=BS49+0.001,N(M49)&gt;0,OR(I49="PUERTA",I49="VENTANA"))),OR(BU49&lt;2,AND(N(O49)&gt;=(J49+K49)-0.001,O49+P49&lt;=F49+0.001,N(Q49)&gt;=0,N(Q49)+N(R49)&lt;=BS49+0.001,N(R49)&gt;0,OR(N49="PUERTA",N49="VENTANA"))),OR(BU49&lt;3,AND(N(T49)&gt;=(O49+P49)-0.001,T49+U49&lt;=F49+0.001,N(V49)&gt;=0,N(V49)+N(W49)&lt;=BS49+0.001,N(W49)&gt;0,OR(S49="PUERTA",S49="VENTANA"))),OR(BU49&lt;4,AND(N(Y49)&gt;=(T49+U49)-0.001,Y49+Z49&lt;=F49+0.001,N(AA49)&gt;=0,N(AA49)+N(AB49)&lt;=BS49+0.001,N(AB49)&gt;0,OR(X49="PUERTA",X49="VENTANA"))),(N(K49)&gt;0)+(N(P49)&gt;0)+(N(U49)&gt;0)+(N(Z49)&gt;0)=BU49),"CUMPLE","REVISAR VANOS: tipo, orden de izquierda a derecha, que quepan en L y en H"))</f>
        <v/>
      </c>
      <c r="BW49" s="44" t="str">
        <f>IF(BI49&lt;&gt;"SÍ","",MAX(0,IF(BU49&gt;=1,N(J49),F49)))</f>
        <v/>
      </c>
      <c r="BX49" s="44" t="str">
        <f>IF(BI49&lt;&gt;"SÍ","",MAX(0,IF(BU49&gt;=2,N(O49)-(N(J49)+N(K49)),IF(BU49=1,F49-(N(J49)+N(K49)),0))))</f>
        <v/>
      </c>
      <c r="BY49" s="44" t="str">
        <f>IF(BI49&lt;&gt;"SÍ","",MAX(0,IF(BU49&gt;=3,N(T49)-(N(O49)+N(P49)),IF(BU49=2,F49-(N(O49)+N(P49)),0))))</f>
        <v/>
      </c>
      <c r="BZ49" s="44" t="str">
        <f>IF(BI49&lt;&gt;"SÍ","",MAX(0,IF(BU49&gt;=4,N(Y49)-(N(T49)+N(U49)),IF(BU49=3,F49-(N(T49)+N(U49)),0))))</f>
        <v/>
      </c>
      <c r="CA49" s="44" t="str">
        <f>IF(BI49&lt;&gt;"SÍ","",MAX(0,IF(BU49=4,F49-(N(Y49)+N(Z49)),0)))</f>
        <v/>
      </c>
      <c r="CB49" s="46" t="str">
        <f>IF(BI49&lt;&gt;"SÍ","",SUMPRODUCT((BW49:CA49&gt;=DATOS!$C$72-0.0001)*BW49:CA49))</f>
        <v/>
      </c>
      <c r="CC49" s="43" t="str">
        <f>IF(BI49&lt;&gt;"SÍ","",SUMPRODUCT(--(BW49:CA49&gt;=DATOS!$C$72-0.0001)))</f>
        <v/>
      </c>
      <c r="CD49" s="44" t="str">
        <f>IF(BI49&lt;&gt;"SÍ","",SUM(BW49:CA49))</f>
        <v/>
      </c>
      <c r="CE49" s="43" t="str">
        <f>IF(BI49&lt;&gt;"SÍ","",BT49*CB49*100)</f>
        <v/>
      </c>
      <c r="CF49" s="43" t="str">
        <f>IF(BI49&lt;&gt;"SÍ","",BT49*CD49*100)</f>
        <v/>
      </c>
      <c r="CG49" s="47" t="str">
        <f>IF(BI49&lt;&gt;"SÍ","",BS49*100/BT49)</f>
        <v/>
      </c>
      <c r="CH49" s="45" t="str">
        <f>IF(BI49&lt;&gt;"SÍ","",IF(AND(OR(DATOS!$C$14="TIPO II",BT49&gt;=12),CG49&lt;=25),"CUMPLE","NO CUMPLE: "&amp;IF(AND(DATOS!$C$14="TIPO I",BT49&lt;12),"t &lt; 12 cm ","")&amp;IF(CG49&gt;25,"H/t &gt; 25","")))</f>
        <v/>
      </c>
      <c r="CI49" s="44" t="str">
        <f>IF(BI49&lt;&gt;"SÍ","",MIN(1.5*BS49,4))</f>
        <v/>
      </c>
      <c r="CJ49" s="43" t="str">
        <f>IF(BI49&lt;&gt;"SÍ","",SUMPRODUCT((BW49:CA49&gt;=2*DATOS!$C$59/100)*INT((BW49:CA49-DATOS!$C$59/100)/CI49-0.000001)*((BW49:CA49-DATOS!$C$59/100)&gt;0)))</f>
        <v/>
      </c>
      <c r="CK49" s="43" t="str">
        <f>IF(BI49&lt;&gt;"SÍ","",SUMPRODUCT((BW49:CA49&gt;0.0001)*1+(BW49:CA49&gt;=2*DATOS!$C$59/100)*1)+CJ49)</f>
        <v/>
      </c>
      <c r="CL49" s="44" t="str">
        <f>IF(BI49&lt;&gt;"SÍ","",IF(ISNUMBER(AC49),AC49,DATOS!$C$61)*INDEX(TABLAS!$D$6:$D$14,MATCH(IF(AD49&lt;&gt;"",AD49,DATOS!$C$62),TABLAS!$B$6:$B$14,0)))</f>
        <v/>
      </c>
      <c r="CM49" s="44" t="str">
        <f>IF(BI49&lt;&gt;"SÍ","",CK49*DATOS!$C$78+IF(CK49&gt;=2,2,CK49)*(CL49-DATOS!$C$78))</f>
        <v/>
      </c>
      <c r="CN49" s="47" t="str">
        <f>IF(BI49&lt;&gt;"SÍ","",MAX(BS49*100/6,40))</f>
        <v/>
      </c>
      <c r="CO49" s="48" t="str">
        <f>IF(BI49&lt;&gt;"SÍ","",IF(CG49&lt;=20,IF(E49="INTERIOR",0.7,0.6),MIN(IF(E49="INTERIOR",0.7,0.6),(1-2/24)*(1-(IF(E49="INTERIOR",0.8,1)*CG49/30)^2))))</f>
        <v/>
      </c>
      <c r="CP49" s="47" t="str">
        <f>IF(BI49&lt;&gt;"SÍ","",DATOS!$C$87*CO49*(DATOS!$C$33*CF49+CM49*DATOS!$C$48)/1000)</f>
        <v/>
      </c>
      <c r="CQ49" s="46" t="str">
        <f>IF(BI49&lt;&gt;"SÍ","",IF(CP49&gt;0,BO49/CP49,99))</f>
        <v/>
      </c>
      <c r="CR49" s="47" t="str">
        <f>IF(BI49&lt;&gt;"SÍ","",MAX(0,F49*100-DATOS!$C$59))</f>
        <v/>
      </c>
      <c r="CS49" s="47" t="str">
        <f>IF(BI49&lt;&gt;"SÍ","",MAX(0,F49*100-DATOS!$C$59/2))</f>
        <v/>
      </c>
      <c r="CT49" s="44" t="str">
        <f>IF(BI49&lt;&gt;"SÍ","",CL49*DATOS!$C$48*CR49/100000)</f>
        <v/>
      </c>
      <c r="CU49" s="44" t="str">
        <f>IF(BI49&lt;&gt;"SÍ","",IF(BN49&lt;0,0.8*CT49*MAX(0,1+BN49/(0.8*CM49*DATOS!$C$48/1000)),IF(BN49&lt;=CP49/3,0.8*CT49+0.3*BN49*CS49/100,(1.5*0.6*CT49+0.15*CP49*CS49/100)*MAX(0,1-BN49/CP49))))</f>
        <v/>
      </c>
      <c r="CV49" s="44" t="str">
        <f>IF(BI49&lt;&gt;"SÍ","",IF(BO49&lt;0,0.8*CT49*MAX(0,1+BO49/(0.8*CM49*DATOS!$C$48/1000)),IF(BO49&lt;=CP49/3,0.8*CT49+0.3*BO49*CS49/100,(1.5*0.6*CT49+0.15*CP49*CS49/100)*MAX(0,1-BO49/CP49))))</f>
        <v/>
      </c>
      <c r="CW49" s="46" t="str">
        <f>IF(BI49&lt;&gt;"SÍ","",MAX(0,MIN(CU49,CV49)))</f>
        <v/>
      </c>
      <c r="CX49" s="49" t="str">
        <f>IF(BI49&lt;&gt;"SÍ","",IF(CW49&gt;0,BL49/CW49,IF(BL49&gt;0,99,0)))</f>
        <v/>
      </c>
      <c r="CY49" s="44" t="str">
        <f>IF(BI49&lt;&gt;"SÍ","",IF(BW49&gt;0,MAX(1,MIN(1.5,1.5-0.625*(BS49/BW49-0.2))),0))</f>
        <v/>
      </c>
      <c r="CZ49" s="44" t="str">
        <f>IF(BI49&lt;&gt;"SÍ","",IF(BX49&gt;0,MAX(1,MIN(1.5,1.5-0.625*(BS49/BX49-0.2))),0))</f>
        <v/>
      </c>
      <c r="DA49" s="44" t="str">
        <f>IF(BI49&lt;&gt;"SÍ","",IF(BY49&gt;0,MAX(1,MIN(1.5,1.5-0.625*(BS49/BY49-0.2))),0))</f>
        <v/>
      </c>
      <c r="DB49" s="44" t="str">
        <f>IF(BI49&lt;&gt;"SÍ","",IF(BZ49&gt;0,MAX(1,MIN(1.5,1.5-0.625*(BS49/BZ49-0.2))),0))</f>
        <v/>
      </c>
      <c r="DC49" s="44" t="str">
        <f>IF(BI49&lt;&gt;"SÍ","",IF(CA49&gt;0,MAX(1,MIN(1.5,1.5-0.625*(BS49/CA49-0.2))),0))</f>
        <v/>
      </c>
      <c r="DD49" s="44" t="str">
        <f>IF(BI49&lt;&gt;"SÍ","",IF(OR(BW49&lt;DATOS!$C$72-0.0001,BM49&lt;0,CB49&lt;=0),0,MIN(DATOS!$C$86*(0.5*DATOS!$C$41*BT49*BW49*100+0.3*BM49*BW49/CB49*1000)*CY49,1.5*DATOS!$C$86*DATOS!$C$41*BT49*BW49*100*CY49)/1000))</f>
        <v/>
      </c>
      <c r="DE49" s="44" t="str">
        <f>IF(BI49&lt;&gt;"SÍ","",IF(OR(BX49&lt;DATOS!$C$72-0.0001,BM49&lt;0,CB49&lt;=0),0,MIN(DATOS!$C$86*(0.5*DATOS!$C$41*BT49*BX49*100+0.3*BM49*BX49/CB49*1000)*CZ49,1.5*DATOS!$C$86*DATOS!$C$41*BT49*BX49*100*CZ49)/1000))</f>
        <v/>
      </c>
      <c r="DF49" s="44" t="str">
        <f>IF(BI49&lt;&gt;"SÍ","",IF(OR(BY49&lt;DATOS!$C$72-0.0001,BM49&lt;0,CB49&lt;=0),0,MIN(DATOS!$C$86*(0.5*DATOS!$C$41*BT49*BY49*100+0.3*BM49*BY49/CB49*1000)*DA49,1.5*DATOS!$C$86*DATOS!$C$41*BT49*BY49*100*DA49)/1000))</f>
        <v/>
      </c>
      <c r="DG49" s="44" t="str">
        <f>IF(BI49&lt;&gt;"SÍ","",IF(OR(BZ49&lt;DATOS!$C$72-0.0001,BM49&lt;0,CB49&lt;=0),0,MIN(DATOS!$C$86*(0.5*DATOS!$C$41*BT49*BZ49*100+0.3*BM49*BZ49/CB49*1000)*DB49,1.5*DATOS!$C$86*DATOS!$C$41*BT49*BZ49*100*DB49)/1000))</f>
        <v/>
      </c>
      <c r="DH49" s="44" t="str">
        <f>IF(BI49&lt;&gt;"SÍ","",IF(OR(CA49&lt;DATOS!$C$72-0.0001,BM49&lt;0,CB49&lt;=0),0,MIN(DATOS!$C$86*(0.5*DATOS!$C$41*BT49*CA49*100+0.3*BM49*CA49/CB49*1000)*DC49,1.5*DATOS!$C$86*DATOS!$C$41*BT49*CA49*100*DC49)/1000))</f>
        <v/>
      </c>
      <c r="DI49" s="46" t="str">
        <f>IF(BI49&lt;&gt;"SÍ","",SUM(DD49:DH49))</f>
        <v/>
      </c>
      <c r="DJ49" s="48" t="str">
        <f>IF(BI49&lt;&gt;"SÍ","",IF(AE49="VARILLA EN JUNTAS",IF(ISNUMBER(AF49),AF49,2)*INDEX(TABLAS!$D$6:$D$14,MATCH(IF(AG49&lt;&gt;"",AG49,DATOS!$C$73),TABLAS!$B$6:$B$14,0)),IF(AE49="MALLA",IF(ISNUMBER(AF49),AF49,1)*INDEX(TABLAS!$D$19:$D$22,MATCH(IF(AG49&lt;&gt;"",AG49,DATOS!$C$74),TABLAS!$B$19:$B$22,0))/100,IF(AE49="ESCALERILLA",IF(ISNUMBER(AF49),AF49,2)*INDEX(TABLAS!$D$6:$D$14,MATCH(IF(AG49&lt;&gt;"",AG49,DATOS!$C$73),TABLAS!$B$6:$B$14,0)),0))))</f>
        <v/>
      </c>
      <c r="DK49" s="47" t="str">
        <f>IF(BI49&lt;&gt;"SÍ","",IF(OR(AE49="VARILLA EN JUNTAS",AE49="ESCALERILLA"),IF(ISNUMBER(AH49),AH49,2)*DATOS!$C$26,IF(AE49="MALLA",1,0)))</f>
        <v/>
      </c>
      <c r="DL49" s="44" t="str">
        <f>IF(BI49&lt;&gt;"SÍ","",IF(DK49&gt;0,DJ49/(DK49*BT49)*MIN(DATOS!$C$50,IF(AE49="MALLA",5000,6000)),0))</f>
        <v/>
      </c>
      <c r="DM49" s="44" t="str">
        <f>IF(BI49&lt;&gt;"SÍ","",IF(AE49="ESCALERILLA",0,MIN(DL49,0.1*DATOS!$C$33*DATOS!$C$24)))</f>
        <v/>
      </c>
      <c r="DN49" s="48" t="str">
        <f>IF(BI49&lt;&gt;"SÍ","",IF(AE49="MALLA",0.5,IF(DATOS!$C$33&lt;=60,0.55,IF(DATOS!$C$33&gt;=90,0.75,0.55+0.2*(DATOS!$C$33-60)/30))))</f>
        <v/>
      </c>
      <c r="DO49" s="48" t="str">
        <f>IF(BI49&lt;&gt;"SÍ","",1-DATOS!$C$91*DM49)</f>
        <v/>
      </c>
      <c r="DP49" s="44" t="str">
        <f>IF(BI49&lt;&gt;"SÍ","",IF(BW49&gt;0,IF(BS49/BW49&lt;=1,1.3,IF(BS49/BW49&gt;=1.5,1,1.3-0.6*(BS49/BW49-1))),0))</f>
        <v/>
      </c>
      <c r="DQ49" s="44" t="str">
        <f>IF(BI49&lt;&gt;"SÍ","",IF(BX49&gt;0,IF(BS49/BX49&lt;=1,1.3,IF(BS49/BX49&gt;=1.5,1,1.3-0.6*(BS49/BX49-1))),0))</f>
        <v/>
      </c>
      <c r="DR49" s="44" t="str">
        <f>IF(BI49&lt;&gt;"SÍ","",IF(BY49&gt;0,IF(BS49/BY49&lt;=1,1.3,IF(BS49/BY49&gt;=1.5,1,1.3-0.6*(BS49/BY49-1))),0))</f>
        <v/>
      </c>
      <c r="DS49" s="44" t="str">
        <f>IF(BI49&lt;&gt;"SÍ","",IF(BZ49&gt;0,IF(BS49/BZ49&lt;=1,1.3,IF(BS49/BZ49&gt;=1.5,1,1.3-0.6*(BS49/BZ49-1))),0))</f>
        <v/>
      </c>
      <c r="DT49" s="44" t="str">
        <f>IF(BI49&lt;&gt;"SÍ","",IF(CA49&gt;0,IF(BS49/CA49&lt;=1,1.3,IF(BS49/CA49&gt;=1.5,1,1.3-0.6*(BS49/CA49-1))),0))</f>
        <v/>
      </c>
      <c r="DU49" s="44" t="str">
        <f>IF(BI49&lt;&gt;"SÍ","",IF(OR(DM49&lt;=0,BW49&lt;DATOS!$C$72-0.0001),0,DATOS!$C$86*MAX(0,IF(BM49&gt;=0,DD49/(DATOS!$C$86*DM49*BT49*BW49*100/1000)*(DP49*DO49-1)+DN49,DO49*DN49))*DM49*BT49*BW49*100/1000))</f>
        <v/>
      </c>
      <c r="DV49" s="44" t="str">
        <f>IF(BI49&lt;&gt;"SÍ","",IF(OR(DM49&lt;=0,BX49&lt;DATOS!$C$72-0.0001),0,DATOS!$C$86*MAX(0,IF(BM49&gt;=0,DE49/(DATOS!$C$86*DM49*BT49*BX49*100/1000)*(DQ49*DO49-1)+DN49,DO49*DN49))*DM49*BT49*BX49*100/1000))</f>
        <v/>
      </c>
      <c r="DW49" s="44" t="str">
        <f>IF(BI49&lt;&gt;"SÍ","",IF(OR(DM49&lt;=0,BY49&lt;DATOS!$C$72-0.0001),0,DATOS!$C$86*MAX(0,IF(BM49&gt;=0,DF49/(DATOS!$C$86*DM49*BT49*BY49*100/1000)*(DR49*DO49-1)+DN49,DO49*DN49))*DM49*BT49*BY49*100/1000))</f>
        <v/>
      </c>
      <c r="DX49" s="44" t="str">
        <f>IF(BI49&lt;&gt;"SÍ","",IF(OR(DM49&lt;=0,BZ49&lt;DATOS!$C$72-0.0001),0,DATOS!$C$86*MAX(0,IF(BM49&gt;=0,DG49/(DATOS!$C$86*DM49*BT49*BZ49*100/1000)*(DS49*DO49-1)+DN49,DO49*DN49))*DM49*BT49*BZ49*100/1000))</f>
        <v/>
      </c>
      <c r="DY49" s="44" t="str">
        <f>IF(BI49&lt;&gt;"SÍ","",IF(OR(DM49&lt;=0,CA49&lt;DATOS!$C$72-0.0001),0,DATOS!$C$86*MAX(0,IF(BM49&gt;=0,DH49/(DATOS!$C$86*DM49*BT49*CA49*100/1000)*(DT49*DO49-1)+DN49,DO49*DN49))*DM49*BT49*CA49*100/1000))</f>
        <v/>
      </c>
      <c r="DZ49" s="46" t="str">
        <f>IF(BI49&lt;&gt;"SÍ","",SUM(DU49:DY49))</f>
        <v/>
      </c>
      <c r="EA49" s="45" t="str">
        <f>IF(BI49&lt;&gt;"SÍ","",IF(OR(AE49="",AE49="NINGUNO"),IF(DATOS!$C$41&gt;=10,"FALTA refuerzo horizontal: v'm ≥ 10 kg/cm² (6.5.2.2)",IF(AND(BM49&lt;0,BK49&gt;0),"FALTA: P en tensión, el refuerzo debe tomar todo el cortante (6.5.1.3)","—")),IF(AE49="ESCALERILLA","NO CUENTA: la escalerilla no se permite para cortante por sismo (6.5.3.1.2)",IF(AE49="MALLA",IF(AND(DL49&gt;=2.5,DL49&lt;=MAX(0.15*DATOS!$C$33*DATOS!$C$24,2.5)),"CUMPLE","NO CUMPLE: "&amp;IF(DL49&lt;2.5,"p_h·f_yh &lt; 2.5 (6.5.4.2.4)","p_h·f_yh &gt; 0.15·f'm·f_an (6.5.4.2.4)")),IF(AND(DK49&lt;=MIN(6*DATOS!$C$26,45),DL49&gt;=3,DL49&lt;=MIN(MAX(0.15*DATOS!$C$33*DATOS!$C$24,3),0.05*DATOS!$C$25/10*MIN(DATOS!$C$50,6000)/DK49),INDEX(TABLAS!$C$6:$C$14,MATCH(IF(AG49&lt;&gt;"",AG49,DATOS!$C$73),TABLAS!$B$6:$B$14,0))&gt;=0.35,INDEX(TABLAS!$C$6:$C$14,MATCH(IF(AG49&lt;&gt;"",AG49,DATOS!$C$73),TABLAS!$B$6:$B$14,0))&lt;=0.75*DATOS!$C$25/10),"CUMPLE","NO CUMPLE: "&amp;IF(DK49&gt;MIN(6*DATOS!$C$26,45),"s_h &gt; 6 hiladas o 45 cm (6.5.3.2.1) ","")&amp;IF(DL49&lt;3,"p_h·f_yh &lt; 3 (6.5.3.3.1) ","")&amp;IF(DL49&gt;MIN(MAX(0.15*DATOS!$C$33*DATOS!$C$24,3),0.05*DATOS!$C$25/10*MIN(DATOS!$C$50,6000)/DK49),"p_h·f_yh &gt; máximo (6.5.3.3.2) ","")&amp;IF(OR(INDEX(TABLAS!$C$6:$C$14,MATCH(IF(AG49&lt;&gt;"",AG49,DATOS!$C$73),TABLAS!$B$6:$B$14,0))&lt;0.35,INDEX(TABLAS!$C$6:$C$14,MATCH(IF(AG49&lt;&gt;"",AG49,DATOS!$C$73),TABLAS!$B$6:$B$14,0))&gt;0.75*DATOS!$C$25/10),"diámetro fuera de 3.5 mm a 0.75·h_j (4.2.2.2.1)",""))))))</f>
        <v/>
      </c>
      <c r="EB49" s="46" t="str">
        <f>IF(BI49&lt;&gt;"SÍ","",DI49+DZ49)</f>
        <v/>
      </c>
      <c r="EC49" s="50" t="str">
        <f>IF(BI49&lt;&gt;"SÍ","",IF(EB49&gt;0,BK49/EB49,IF(BK49&gt;0,99,0)))</f>
        <v/>
      </c>
      <c r="ED49" s="47" t="str">
        <f>IF(BI49&lt;&gt;"SÍ","",IF(CE49&lt;=0,-1,IF(BK49&lt;=DI49,0,IF(IF(BM49&gt;=0,IF((DATOS!$C$86*IF(AE49="MALLA",0.5,IF(DATOS!$C$33&lt;=60,0.55,IF(DATOS!$C$33&gt;=90,0.75,0.55+0.2*(DATOS!$C$33-60)/30)))*CE49/1000-DATOS!$C$91*SUMPRODUCT(DP49:DT49,DD49:DH49))&lt;=0,1E9,(BK49-SUMPRODUCT(DP49:DT49,DD49:DH49))/(DATOS!$C$86*IF(AE49="MALLA",0.5,IF(DATOS!$C$33&lt;=60,0.55,IF(DATOS!$C$33&gt;=90,0.75,0.55+0.2*(DATOS!$C$33-60)/30)))*CE49/1000-DATOS!$C$91*SUMPRODUCT(DP49:DT49,DD49:DH49))),IF((1-4*DATOS!$C$91*BK49*1000/(DATOS!$C$86*IF(AE49="MALLA",0.5,IF(DATOS!$C$33&lt;=60,0.55,IF(DATOS!$C$33&gt;=90,0.75,0.55+0.2*(DATOS!$C$33-60)/30)))*MAX(CE49,1)))&lt;0,1E9,(1-SQRT((1-4*DATOS!$C$91*BK49*1000/(DATOS!$C$86*IF(AE49="MALLA",0.5,IF(DATOS!$C$33&lt;=60,0.55,IF(DATOS!$C$33&gt;=90,0.75,0.55+0.2*(DATOS!$C$33-60)/30)))*MAX(CE49,1)))))/(2*DATOS!$C$91)))&gt;0.1*DATOS!$C$33*DATOS!$C$24+0.000001,-1,MAX(IF(AE49="MALLA",2.5,3),IF(BM49&gt;=0,IF((DATOS!$C$86*IF(AE49="MALLA",0.5,IF(DATOS!$C$33&lt;=60,0.55,IF(DATOS!$C$33&gt;=90,0.75,0.55+0.2*(DATOS!$C$33-60)/30)))*CE49/1000-DATOS!$C$91*SUMPRODUCT(DP49:DT49,DD49:DH49))&lt;=0,1E9,(BK49-SUMPRODUCT(DP49:DT49,DD49:DH49))/(DATOS!$C$86*IF(AE49="MALLA",0.5,IF(DATOS!$C$33&lt;=60,0.55,IF(DATOS!$C$33&gt;=90,0.75,0.55+0.2*(DATOS!$C$33-60)/30)))*CE49/1000-DATOS!$C$91*SUMPRODUCT(DP49:DT49,DD49:DH49))),IF((1-4*DATOS!$C$91*BK49*1000/(DATOS!$C$86*IF(AE49="MALLA",0.5,IF(DATOS!$C$33&lt;=60,0.55,IF(DATOS!$C$33&gt;=90,0.75,0.55+0.2*(DATOS!$C$33-60)/30)))*MAX(CE49,1)))&lt;0,1E9,(1-SQRT((1-4*DATOS!$C$91*BK49*1000/(DATOS!$C$86*IF(AE49="MALLA",0.5,IF(DATOS!$C$33&lt;=60,0.55,IF(DATOS!$C$33&gt;=90,0.75,0.55+0.2*(DATOS!$C$33-60)/30)))*MAX(CE49,1)))))/(2*DATOS!$C$91))))))))</f>
        <v/>
      </c>
      <c r="EE49" s="45" t="str">
        <f>IF(BI49&lt;&gt;"SÍ","",IF(ED49=0,"NO REQUIERE: V_mR ≥ V_u",IF(ED49&lt;0,"NO ALCANZA con refuerzo horizontal (haría falta más de 0.1·f'm·f_an efectivo): sube v'm con ensayes, el espesor o la longitud del muro",IF(AND(OR(AE49="VARILLA EN JUNTAS",AE49="MALLA"),LEFT(EA49,6)="CUMPLE",EC49&lt;=1),"YA LO TIENE (pide p_h·f_yh ≥ "&amp;TEXT(ED49,"0.0")&amp;" kg/cm²)","p_h·f_yh ≥ "&amp;TEXT(ED49,"0.0")&amp;" kg/cm² → "&amp;IF(AND(MIN(6,FLOOR(45/DATOS!$C$26,1),FLOOR((2*INDEX(TABLAS!$D$6:$D$14,MATCH("3/16 in",TABLAS!$B$6:$B$14,0)))*MIN(DATOS!$C$50,6000)/(BT49*DATOS!$C$26*MAX(ED49,0.001)),1))&gt;=1,((2*INDEX(TABLAS!$D$6:$D$14,MATCH("3/16 in",TABLAS!$B$6:$B$14,0)))*MIN(DATOS!$C$50,6000)/(MAX(MIN(6,FLOOR(45/DATOS!$C$26,1),FLOOR((2*INDEX(TABLAS!$D$6:$D$14,MATCH("3/16 in",TABLAS!$B$6:$B$14,0)))*MIN(DATOS!$C$50,6000)/(BT49*DATOS!$C$26*MAX(ED49,0.001)),1)),1)*DATOS!$C$26*BT49))&lt;=MIN(MAX(0.15*DATOS!$C$33*DATOS!$C$24,3),0.05*DATOS!$C$25/10*MIN(DATOS!$C$50,6000)/(MIN(6,FLOOR(45/DATOS!$C$26,1),FLOOR((2*INDEX(TABLAS!$D$6:$D$14,MATCH("3/16 in",TABLAS!$B$6:$B$14,0)))*MIN(DATOS!$C$50,6000)/(BT49*DATOS!$C$26*MAX(ED49,0.001)),1))*DATOS!$C$26))),"2 alambres de 3/16"" por junta cada "&amp;MIN(6,FLOOR(45/DATOS!$C$26,1),FLOOR((2*INDEX(TABLAS!$D$6:$D$14,MATCH("3/16 in",TABLAS!$B$6:$B$14,0)))*MIN(DATOS!$C$50,6000)/(BT49*DATOS!$C$26*MAX(ED49,0.001)),1))&amp;" hilada(s) (p_h·f_yh = "&amp;TEXT(((2*INDEX(TABLAS!$D$6:$D$14,MATCH("3/16 in",TABLAS!$B$6:$B$14,0)))*MIN(DATOS!$C$50,6000)/(MAX(MIN(6,FLOOR(45/DATOS!$C$26,1),FLOOR((2*INDEX(TABLAS!$D$6:$D$14,MATCH("3/16 in",TABLAS!$B$6:$B$14,0)))*MIN(DATOS!$C$50,6000)/(BT49*DATOS!$C$26*MAX(ED49,0.001)),1)),1)*DATOS!$C$26*BT49)),"0.00")&amp;")",IF(AND(MIN(6,FLOOR(45/DATOS!$C$26,1),FLOOR((2*INDEX(TABLAS!$D$6:$D$14,MATCH("5/32 in",TABLAS!$B$6:$B$14,0)))*MIN(DATOS!$C$50,6000)/(BT49*DATOS!$C$26*MAX(ED49,0.001)),1))&gt;=1,((2*INDEX(TABLAS!$D$6:$D$14,MATCH("5/32 in",TABLAS!$B$6:$B$14,0)))*MIN(DATOS!$C$50,6000)/(MAX(MIN(6,FLOOR(45/DATOS!$C$26,1),FLOOR((2*INDEX(TABLAS!$D$6:$D$14,MATCH("5/32 in",TABLAS!$B$6:$B$14,0)))*MIN(DATOS!$C$50,6000)/(BT49*DATOS!$C$26*MAX(ED49,0.001)),1)),1)*DATOS!$C$26*BT49))&lt;=MIN(MAX(0.15*DATOS!$C$33*DATOS!$C$24,3),0.05*DATOS!$C$25/10*MIN(DATOS!$C$50,6000)/(MIN(6,FLOOR(45/DATOS!$C$26,1),FLOOR((2*INDEX(TABLAS!$D$6:$D$14,MATCH("5/32 in",TABLAS!$B$6:$B$14,0)))*MIN(DATOS!$C$50,6000)/(BT49*DATOS!$C$26*MAX(ED49,0.001)),1))*DATOS!$C$26))),"2 alambres de 5/32"" por junta cada "&amp;MIN(6,FLOOR(45/DATOS!$C$26,1),FLOOR((2*INDEX(TABLAS!$D$6:$D$14,MATCH("5/32 in",TABLAS!$B$6:$B$14,0)))*MIN(DATOS!$C$50,6000)/(BT49*DATOS!$C$26*MAX(ED49,0.001)),1))&amp;" hilada(s) (p_h·f_yh = "&amp;TEXT(((2*INDEX(TABLAS!$D$6:$D$14,MATCH("5/32 in",TABLAS!$B$6:$B$14,0)))*MIN(DATOS!$C$50,6000)/(MAX(MIN(6,FLOOR(45/DATOS!$C$26,1),FLOOR((2*INDEX(TABLAS!$D$6:$D$14,MATCH("5/32 in",TABLAS!$B$6:$B$14,0)))*MIN(DATOS!$C$50,6000)/(BT49*DATOS!$C$26*MAX(ED49,0.001)),1)),1)*DATOS!$C$26*BT49)),"0.00")&amp;")",IF(AND(MIN(6,FLOOR(45/DATOS!$C$26,1),FLOOR((1*INDEX(TABLAS!$D$6:$D$14,MATCH("3/16 in",TABLAS!$B$6:$B$14,0)))*MIN(DATOS!$C$50,6000)/(BT49*DATOS!$C$26*MAX(ED49,0.001)),1))&gt;=1,((1*INDEX(TABLAS!$D$6:$D$14,MATCH("3/16 in",TABLAS!$B$6:$B$14,0)))*MIN(DATOS!$C$50,6000)/(MAX(MIN(6,FLOOR(45/DATOS!$C$26,1),FLOOR((1*INDEX(TABLAS!$D$6:$D$14,MATCH("3/16 in",TABLAS!$B$6:$B$14,0)))*MIN(DATOS!$C$50,6000)/(BT49*DATOS!$C$26*MAX(ED49,0.001)),1)),1)*DATOS!$C$26*BT49))&lt;=MIN(MAX(0.15*DATOS!$C$33*DATOS!$C$24,3),0.05*DATOS!$C$25/10*MIN(DATOS!$C$50,6000)/(MIN(6,FLOOR(45/DATOS!$C$26,1),FLOOR((1*INDEX(TABLAS!$D$6:$D$14,MATCH("3/16 in",TABLAS!$B$6:$B$14,0)))*MIN(DATOS!$C$50,6000)/(BT49*DATOS!$C$26*MAX(ED49,0.001)),1))*DATOS!$C$26))),"1 alambre de 3/16"" por junta cada "&amp;MIN(6,FLOOR(45/DATOS!$C$26,1),FLOOR((1*INDEX(TABLAS!$D$6:$D$14,MATCH("3/16 in",TABLAS!$B$6:$B$14,0)))*MIN(DATOS!$C$50,6000)/(BT49*DATOS!$C$26*MAX(ED49,0.001)),1))&amp;" hilada(s) (p_h·f_yh = "&amp;TEXT(((1*INDEX(TABLAS!$D$6:$D$14,MATCH("3/16 in",TABLAS!$B$6:$B$14,0)))*MIN(DATOS!$C$50,6000)/(MAX(MIN(6,FLOOR(45/DATOS!$C$26,1),FLOOR((1*INDEX(TABLAS!$D$6:$D$14,MATCH("3/16 in",TABLAS!$B$6:$B$14,0)))*MIN(DATOS!$C$50,6000)/(BT49*DATOS!$C$26*MAX(ED49,0.001)),1)),1)*DATOS!$C$26*BT49)),"0.00")&amp;")",IF(AND(MIN(6,FLOOR(45/DATOS!$C$26,1),FLOOR((1*INDEX(TABLAS!$D$6:$D$14,MATCH("5/32 in",TABLAS!$B$6:$B$14,0)))*MIN(DATOS!$C$50,6000)/(BT49*DATOS!$C$26*MAX(ED49,0.001)),1))&gt;=1,((1*INDEX(TABLAS!$D$6:$D$14,MATCH("5/32 in",TABLAS!$B$6:$B$14,0)))*MIN(DATOS!$C$50,6000)/(MAX(MIN(6,FLOOR(45/DATOS!$C$26,1),FLOOR((1*INDEX(TABLAS!$D$6:$D$14,MATCH("5/32 in",TABLAS!$B$6:$B$14,0)))*MIN(DATOS!$C$50,6000)/(BT49*DATOS!$C$26*MAX(ED49,0.001)),1)),1)*DATOS!$C$26*BT49))&lt;=MIN(MAX(0.15*DATOS!$C$33*DATOS!$C$24,3),0.05*DATOS!$C$25/10*MIN(DATOS!$C$50,6000)/(MIN(6,FLOOR(45/DATOS!$C$26,1),FLOOR((1*INDEX(TABLAS!$D$6:$D$14,MATCH("5/32 in",TABLAS!$B$6:$B$14,0)))*MIN(DATOS!$C$50,6000)/(BT49*DATOS!$C$26*MAX(ED49,0.001)),1))*DATOS!$C$26))),"1 alambre de 5/32"" por junta cada "&amp;MIN(6,FLOOR(45/DATOS!$C$26,1),FLOOR((1*INDEX(TABLAS!$D$6:$D$14,MATCH("5/32 in",TABLAS!$B$6:$B$14,0)))*MIN(DATOS!$C$50,6000)/(BT49*DATOS!$C$26*MAX(ED49,0.001)),1))&amp;" hilada(s) (p_h·f_yh = "&amp;TEXT(((1*INDEX(TABLAS!$D$6:$D$14,MATCH("5/32 in",TABLAS!$B$6:$B$14,0)))*MIN(DATOS!$C$50,6000)/(MAX(MIN(6,FLOOR(45/DATOS!$C$26,1),FLOOR((1*INDEX(TABLAS!$D$6:$D$14,MATCH("5/32 in",TABLAS!$B$6:$B$14,0)))*MIN(DATOS!$C$50,6000)/(BT49*DATOS!$C$26*MAX(ED49,0.001)),1)),1)*DATOS!$C$26*BT49)),"0.00")&amp;")","ninguna combinación de 1 o 2 alambres por junta queda entre el mínimo y el máximo: revisa con malla (6.5.4)"))))))))</f>
        <v/>
      </c>
      <c r="EF49" s="43" t="str">
        <f>IF(BI49&lt;&gt;"SÍ","",IF(AI49="SÍ",N(AK49)*N(AL49)^3/12,0))</f>
        <v/>
      </c>
      <c r="EG49" s="48" t="str">
        <f>IF(BI49&lt;&gt;"SÍ","",IF(AND(AI49="SÍ",N(AM49)&gt;0),MIN(1,F49/AM49),0))</f>
        <v/>
      </c>
      <c r="EH49" s="47" t="str">
        <f>IF(BI49&lt;&gt;"SÍ","",IF(AI49="SÍ",BP49*1000/(BT49*F49*100)*BT49*(EG49^4-4*EG49^3+8*EG49),0))</f>
        <v/>
      </c>
      <c r="EI49" s="48" t="str">
        <f>IF(BI49&lt;&gt;"SÍ","",IF(AND(AI49="SÍ",EH49&gt;0),EH49/(EH49+5*N(AN49)*10),0))</f>
        <v/>
      </c>
      <c r="EJ49" s="44" t="str">
        <f>IF(BI49&lt;&gt;"SÍ","",IF(AND(AI49="SÍ",EI49&gt;0,EF49&gt;0),(DATOS!$C$43*BT49*(AM49*100)^3/(DATOS!$C$53*EF49*EI49))^0.25,0))</f>
        <v/>
      </c>
      <c r="EK49" s="44" t="str">
        <f>IF(BI49&lt;&gt;"SÍ","",IF(AI49&lt;&gt;"SÍ",0,IF(N(AM49)&lt;=F49,1,IF(MIN(1,N(AO49)/((AM49-F49)/2))&lt;=0.5,0.7+0.6*MIN(1,N(AO49)/((AM49-F49)/2)),1.5-MIN(1,N(AO49)/((AM49-F49)/2))))))</f>
        <v/>
      </c>
      <c r="EL49" s="44" t="str">
        <f>IF(BI49&lt;&gt;"SÍ","",IF(AI49&lt;&gt;"SÍ",0,MAX(1,IF(EG49&gt;=1,(1.6*EJ49-3.9),IF(EG49&lt;0.9,((3.2*EJ49-7.8)*EK49),((3.2*EJ49-7.8)*EK49)+((1.6*EJ49-3.9)-((3.2*EJ49-7.8)*EK49))*(EG49-0.9)/0.1)))))</f>
        <v/>
      </c>
      <c r="EM49" s="47" t="str">
        <f>IF(BI49&lt;&gt;"SÍ","",IF(AI49="SÍ",EL49*BP49*1000/(BT49*F49*100),0))</f>
        <v/>
      </c>
      <c r="EN49" s="47" t="str">
        <f>IF(BI49&lt;&gt;"SÍ","",IF(AND(AI49="SÍ",N(AL49)&gt;0),AM49*100/AL49,0))</f>
        <v/>
      </c>
      <c r="EO49" s="47" t="str">
        <f>IF(BI49&lt;&gt;"SÍ","",IF(AI49="SÍ",(1/15*DATOS!$C$53*N(AK49)/MAX((IF(ISNUMBER(AP49),AP49,BP49/DATOS!$C$90)*1000/(BT49*F49*100)*BT49*(EG49^4-4*EG49^3+8*EG49))+5*N(AN49)/DATOS!$C$90*10,0.001))^(1/3),0))</f>
        <v/>
      </c>
      <c r="EP49" s="45" t="str">
        <f>IF(BI49&lt;&gt;"SÍ","",IF(AI49&lt;&gt;"SÍ","—",IF(OR(N(AK49)&lt;=0,N(AL49)&lt;=0,N(AM49)&lt;=0),"REVISAR: faltan b, h o L_v de la viga",IF(AND(EM49&lt;=DATOS!$C$87*DATOS!$C$33,EN49&lt;=14,N(AL49)&gt;=25,EN49&lt;=EO49),IF(BS49/F49&lt;0.6,"PENDIENTE: H/L &lt; 0.6, falta el análisis de interacción muro–viga (4.1.18.2.1); f_CM es estimado","CUMPLE"),"NO CUMPLE: "&amp;IF(EM49&gt;DATOS!$C$87*DATOS!$C$33,"f_CM &gt; F_R·f'm ","")&amp;IF(EN49&gt;14,"L_v/h_v &gt; 14 ","")&amp;IF(N(AL49)&lt;25,"h_v &lt; 25 cm ","")&amp;IF(EN49&gt;EO49,"flecha (4.1.18.3)","")))))</f>
        <v/>
      </c>
      <c r="EQ49" s="44" t="str">
        <f>IF(BI49&lt;&gt;"SÍ","",MAX(0,F49*BS49-(N(K49)*N(M49)+N(P49)*N(R49)+N(U49)*N(W49)+N(Z49)*N(AB49))-CK49*DATOS!$C$59/100*BS49))</f>
        <v/>
      </c>
      <c r="ER49" s="48" t="str">
        <f>IF(BI49&lt;&gt;"SÍ","",CK49*DATOS!$C$59*DATOS!$C$60/10000*BS49)</f>
        <v/>
      </c>
      <c r="ES49" s="47" t="str">
        <f>IF(BI49&lt;&gt;"SÍ","",CK49*(DATOS!$C$61*(BS49+0.6)*INDEX(TABLAS!$E$6:$E$14,MATCH(DATOS!$C$62,TABLAS!$B$6:$B$14,0))+(2*ROUNDUP(CN49/DATOS!$C$65,0)+ROUNDUP(MAX(0,BS49*100-2*CN49)/DATOS!$C$64,0))*((2*(DATOS!$C$60+DATOS!$C$59-4*(DATOS!$C$66-INDEX(TABLAS!$C$6:$C$14,MATCH(DATOS!$C$63,TABLAS!$B$6:$B$14,0))))+15)/100)*INDEX(TABLAS!$E$6:$E$14,MATCH(DATOS!$C$63,TABLAS!$B$6:$B$14,0))))</f>
        <v/>
      </c>
      <c r="ET49" s="47" t="str">
        <f>IF(BI49&lt;&gt;"SÍ","",IF(OR(AE49="VARILLA EN JUNTAS",AE49="ESCALERILLA"),INT(BS49*100/MAX(DK49,1))*IF(ISNUMBER(AF49),AF49,2)*CB49*INDEX(TABLAS!$E$6:$E$14,MATCH(IF(AG49&lt;&gt;"",AG49,DATOS!$C$73),TABLAS!$B$6:$B$14,0)),IF(AE49="MALLA",IF(ISNUMBER(AF49),AF49,1)*CB49*BS49*INDEX(TABLAS!$E$19:$E$22,MATCH(IF(AG49&lt;&gt;"",AG49,DATOS!$C$74),TABLAS!$B$19:$B$22,0)),0)))</f>
        <v/>
      </c>
      <c r="EU49" s="45" t="str">
        <f>IF(BI49&lt;&gt;"SÍ","",""&amp;IF(BJ49="NO ESTÁ EN PIER_FORCES","sin fuerzas en PIER_FORCES; ","")&amp;IF(BV49&lt;&gt;"CUMPLE","vanos; ","")&amp;IF(LEFT(CH49,2)="NO","espesor o esbeltez; ","")&amp;IF(CQ49&gt;1,"compresión; ","")&amp;IF(CX49&gt;1,"flexión; ","")&amp;IF(CB49&lt;=0,"sin tramos de muro (todos son machones menores que L mín.: diséñalos como columnas o baja L mín.); ",IF(EC49&gt;1,"cortante; ",""))&amp;IF(OR(LEFT(EA49,2)="NO",LEFT(EA49,5)="FALTA"),"refuerzo horizontal; ","")&amp;IF(OR(LEFT(EP49,2)="NO",LEFT(EP49,7)="REVISAR"),"muro sobre viga; ","")&amp;IF(LEFT(DATOS!$C$81,2)="NO","castillo típico; ","")&amp;IF(LEFT(DATOS!$C$82,2)="NO","dala típica; ","")&amp;IF(AND(BT49&lt;&gt;DATOS!$C$58,DATOS!$C$60&lt;BT49),"castillo más angosto que el muro; ",""))</f>
        <v/>
      </c>
      <c r="EV49" s="45" t="str">
        <f>IF(BI49&lt;&gt;"SÍ","",""&amp;IF(LEFT(EP49,9)="PENDIENTE","análisis muro–viga (H/L &lt; 0.6); ","")&amp;IF(BR49&gt;50,"V_u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49" s="51" t="str">
        <f>IF(BI49&lt;&gt;"SÍ","",IF(EU49&lt;&gt;"","NO CUMPLE: "&amp;LEFT(EU49,LEN(EU49)-2),IF(EV49&lt;&gt;"","CUMPLE — PENDIENTE: "&amp;LEFT(EV49,LEN(EV49)-2),"CUMPLE")))</f>
        <v/>
      </c>
      <c r="EX49" s="52" t="n"/>
    </row>
    <row r="50" ht="30" customHeight="1">
      <c r="A50" s="38" t="str">
        <f>IF(B50="","",ROW()-10)</f>
        <v/>
      </c>
      <c r="B50" s="28" t="n"/>
      <c r="C50" s="39" t="n"/>
      <c r="D50" s="39" t="n"/>
      <c r="E50" s="39" t="n"/>
      <c r="F50" s="40" t="n"/>
      <c r="G50" s="40" t="n"/>
      <c r="H50" s="41" t="n"/>
      <c r="I50" s="39" t="n"/>
      <c r="J50" s="40" t="n"/>
      <c r="K50" s="40" t="n"/>
      <c r="L50" s="40" t="n"/>
      <c r="M50" s="40" t="n"/>
      <c r="N50" s="39" t="n"/>
      <c r="O50" s="40" t="n"/>
      <c r="P50" s="40" t="n"/>
      <c r="Q50" s="40" t="n"/>
      <c r="R50" s="40" t="n"/>
      <c r="S50" s="39" t="n"/>
      <c r="T50" s="40" t="n"/>
      <c r="U50" s="40" t="n"/>
      <c r="V50" s="40" t="n"/>
      <c r="W50" s="40" t="n"/>
      <c r="X50" s="39" t="n"/>
      <c r="Y50" s="40" t="n"/>
      <c r="Z50" s="40" t="n"/>
      <c r="AA50" s="40" t="n"/>
      <c r="AB50" s="40" t="n"/>
      <c r="AC50" s="41" t="n"/>
      <c r="AD50" s="41" t="n"/>
      <c r="AE50" s="39" t="n"/>
      <c r="AF50" s="41" t="n"/>
      <c r="AG50" s="41" t="n"/>
      <c r="AH50" s="41" t="n"/>
      <c r="AI50" s="39" t="n"/>
      <c r="AJ50" s="39" t="n"/>
      <c r="AK50" s="41" t="n"/>
      <c r="AL50" s="41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2" t="str">
        <f>IF(B50="","",C50&amp;"|"&amp;B50)</f>
        <v/>
      </c>
      <c r="AY50" s="43" t="str">
        <f>IF(B50="","",COUNTIFS(PIER_FORCES!$O$9:$O$3008,40,PIER_FORCES!$P$9:$P$3008,1))</f>
        <v/>
      </c>
      <c r="AZ50" s="43" t="str">
        <f>IF(B50="","",COUNTIFS(PIER_FORCES!$O$9:$O$3008,40,PIER_FORCES!$P$9:$P$3008,2))</f>
        <v/>
      </c>
      <c r="BA50" s="44">
        <f>IF(N(AY50)=0,0,SUMPRODUCT(MAX((PIER_FORCES!$O$9:$O$3008=40)*(PIER_FORCES!$P$9:$P$3008=1)*PIER_FORCES!$R$9:$R$3008)))</f>
        <v>0</v>
      </c>
      <c r="BB50" s="44">
        <f>IF(N(AY50)=0,0,SUMPRODUCT(MAX((PIER_FORCES!$O$9:$O$3008=40)*(PIER_FORCES!$P$9:$P$3008=1)*PIER_FORCES!$S$9:$S$3008)))</f>
        <v>0</v>
      </c>
      <c r="BC50" s="44">
        <f>IF(N(AY50)=0,0,-SUMPRODUCT(MAX((PIER_FORCES!$O$9:$O$3008=40)*(PIER_FORCES!$P$9:$P$3008=1)*(-PIER_FORCES!$Q$9:$Q$3008)+(1-(PIER_FORCES!$O$9:$O$3008=40)*(PIER_FORCES!$P$9:$P$3008=1))*(-1E9))))</f>
        <v>0</v>
      </c>
      <c r="BD50" s="44">
        <f>IF(N(AY50)=0,0,SUMPRODUCT(MAX((PIER_FORCES!$O$9:$O$3008=40)*(PIER_FORCES!$P$9:$P$3008=1)*PIER_FORCES!$Q$9:$Q$3008+(1-(PIER_FORCES!$O$9:$O$3008=40)*(PIER_FORCES!$P$9:$P$3008=1))*(-1E9))))</f>
        <v>0</v>
      </c>
      <c r="BE50" s="44">
        <f>IF(N(AZ50)=0,BD50,SUMPRODUCT(MAX((PIER_FORCES!$O$9:$O$3008=40)*(PIER_FORCES!$P$9:$P$3008=2)*PIER_FORCES!$Q$9:$Q$3008+(1-(PIER_FORCES!$O$9:$O$3008=40)*(PIER_FORCES!$P$9:$P$3008=2))*(-1E9))))</f>
        <v>0</v>
      </c>
      <c r="BF50" s="44">
        <f>IF(N(AZ50)=0,0,SUMPRODUCT(MAX((PIER_FORCES!$O$9:$O$3008=40)*(PIER_FORCES!$P$9:$P$3008=2)*PIER_FORCES!$R$9:$R$3008)))</f>
        <v>0</v>
      </c>
      <c r="BG50" s="43">
        <f>IF(N(AY50)=0,0,SUMPRODUCT(MAX((PIER_FORCES!$O$9:$O$3008=40)*(PIER_FORCES!$P$9:$P$3008=1)*(ABS(PIER_FORCES!$R$9:$R$3008-BA50)&lt;0.000001)*PIER_FORCES!$T$9:$T$3008)))</f>
        <v>0</v>
      </c>
      <c r="BH50" s="45" t="str">
        <f>IF(N(BG50)=0,"",INDEX(PIER_FORCES!$D$9:$D$3008,BG50)&amp;" "&amp;INDEX(PIER_FORCES!$F$9:$F$3008,BG50)&amp;" / "&amp;INDEX(PIER_FORCES!$G$9:$G$3008,BG50))</f>
        <v/>
      </c>
      <c r="BI50" s="42" t="str">
        <f>IF(B50="","",IF(AND(C50&lt;&gt;"",OR(D50="X",D50="Y"),ISNUMBER(F50),N(F50)&gt;0),"SÍ","NO"))</f>
        <v/>
      </c>
      <c r="BJ50" s="42" t="str">
        <f>IF(BI50&lt;&gt;"SÍ","",IF(DATOS!$C$108="ETABS (PIER_FORCES)",IF(N(AY50)&gt;0,"ETABS","NO ESTÁ EN PIER_FORCES"),"CAPTURA"))</f>
        <v/>
      </c>
      <c r="BK50" s="46" t="str">
        <f>IF(BI50&lt;&gt;"SÍ","",IF(BJ50="ETABS",BA50,IF(BJ50="CAPTURA",N(AQ50),0)))</f>
        <v/>
      </c>
      <c r="BL50" s="46" t="str">
        <f>IF(BI50&lt;&gt;"SÍ","",IF(BJ50="ETABS",BB50,IF(BJ50="CAPTURA",N(AR50),0)))</f>
        <v/>
      </c>
      <c r="BM50" s="46" t="str">
        <f>IF(BI50&lt;&gt;"SÍ","",IF(BJ50="ETABS",BC50/DATOS!$C$89,IF(BJ50="CAPTURA",N(AS50),0)))</f>
        <v/>
      </c>
      <c r="BN50" s="44" t="str">
        <f>IF(BI50&lt;&gt;"SÍ","",IF(BJ50="ETABS",BC50,IF(BJ50="CAPTURA",IF(ISNUMBER(AU50),AU50,N(AS50)*DATOS!$C$89),0)))</f>
        <v/>
      </c>
      <c r="BO50" s="44" t="str">
        <f>IF(BI50&lt;&gt;"SÍ","",IF(BJ50="ETABS",MAX(BD50,BE50),IF(BJ50="CAPTURA",N(AT50),0)))</f>
        <v/>
      </c>
      <c r="BP50" s="44" t="str">
        <f>IF(BI50&lt;&gt;"SÍ","",IF(BJ50="ETABS",BE50,IF(BJ50="CAPTURA",IF(ISNUMBER(AV50),AV50,N(AT50)),0)))</f>
        <v/>
      </c>
      <c r="BQ50" s="44" t="str">
        <f>IF(BI50&lt;&gt;"SÍ","",IF(BJ50="ETABS",BF50,IF(BJ50="CAPTURA",N(AW50),0)))</f>
        <v/>
      </c>
      <c r="BR50" s="43" t="str">
        <f>IF(BI50&lt;&gt;"SÍ","",IF(BK50&gt;0,100*BQ50/BK50,0))</f>
        <v/>
      </c>
      <c r="BS50" s="44" t="str">
        <f>IF(BI50&lt;&gt;"SÍ","",IF(ISNUMBER(G50),G50,DATOS!$C$57))</f>
        <v/>
      </c>
      <c r="BT50" s="47" t="str">
        <f>IF(BI50&lt;&gt;"SÍ","",IF(ISNUMBER(H50),H50,DATOS!$C$58))</f>
        <v/>
      </c>
      <c r="BU50" s="43" t="str">
        <f>IF(BI50&lt;&gt;"SÍ","",IF(N(K50)&gt;0,1+IF(N(P50)&gt;0,1+IF(N(U50)&gt;0,1+IF(N(Z50)&gt;0,1,0),0),0),0))</f>
        <v/>
      </c>
      <c r="BV50" s="45" t="str">
        <f>IF(BI50&lt;&gt;"SÍ","",IF(AND(OR(BU50&lt;1,AND(N(J50)&gt;=0-0.001,J50+K50&lt;=F50+0.001,N(L50)&gt;=0,N(L50)+N(M50)&lt;=BS50+0.001,N(M50)&gt;0,OR(I50="PUERTA",I50="VENTANA"))),OR(BU50&lt;2,AND(N(O50)&gt;=(J50+K50)-0.001,O50+P50&lt;=F50+0.001,N(Q50)&gt;=0,N(Q50)+N(R50)&lt;=BS50+0.001,N(R50)&gt;0,OR(N50="PUERTA",N50="VENTANA"))),OR(BU50&lt;3,AND(N(T50)&gt;=(O50+P50)-0.001,T50+U50&lt;=F50+0.001,N(V50)&gt;=0,N(V50)+N(W50)&lt;=BS50+0.001,N(W50)&gt;0,OR(S50="PUERTA",S50="VENTANA"))),OR(BU50&lt;4,AND(N(Y50)&gt;=(T50+U50)-0.001,Y50+Z50&lt;=F50+0.001,N(AA50)&gt;=0,N(AA50)+N(AB50)&lt;=BS50+0.001,N(AB50)&gt;0,OR(X50="PUERTA",X50="VENTANA"))),(N(K50)&gt;0)+(N(P50)&gt;0)+(N(U50)&gt;0)+(N(Z50)&gt;0)=BU50),"CUMPLE","REVISAR VANOS: tipo, orden de izquierda a derecha, que quepan en L y en H"))</f>
        <v/>
      </c>
      <c r="BW50" s="44" t="str">
        <f>IF(BI50&lt;&gt;"SÍ","",MAX(0,IF(BU50&gt;=1,N(J50),F50)))</f>
        <v/>
      </c>
      <c r="BX50" s="44" t="str">
        <f>IF(BI50&lt;&gt;"SÍ","",MAX(0,IF(BU50&gt;=2,N(O50)-(N(J50)+N(K50)),IF(BU50=1,F50-(N(J50)+N(K50)),0))))</f>
        <v/>
      </c>
      <c r="BY50" s="44" t="str">
        <f>IF(BI50&lt;&gt;"SÍ","",MAX(0,IF(BU50&gt;=3,N(T50)-(N(O50)+N(P50)),IF(BU50=2,F50-(N(O50)+N(P50)),0))))</f>
        <v/>
      </c>
      <c r="BZ50" s="44" t="str">
        <f>IF(BI50&lt;&gt;"SÍ","",MAX(0,IF(BU50&gt;=4,N(Y50)-(N(T50)+N(U50)),IF(BU50=3,F50-(N(T50)+N(U50)),0))))</f>
        <v/>
      </c>
      <c r="CA50" s="44" t="str">
        <f>IF(BI50&lt;&gt;"SÍ","",MAX(0,IF(BU50=4,F50-(N(Y50)+N(Z50)),0)))</f>
        <v/>
      </c>
      <c r="CB50" s="46" t="str">
        <f>IF(BI50&lt;&gt;"SÍ","",SUMPRODUCT((BW50:CA50&gt;=DATOS!$C$72-0.0001)*BW50:CA50))</f>
        <v/>
      </c>
      <c r="CC50" s="43" t="str">
        <f>IF(BI50&lt;&gt;"SÍ","",SUMPRODUCT(--(BW50:CA50&gt;=DATOS!$C$72-0.0001)))</f>
        <v/>
      </c>
      <c r="CD50" s="44" t="str">
        <f>IF(BI50&lt;&gt;"SÍ","",SUM(BW50:CA50))</f>
        <v/>
      </c>
      <c r="CE50" s="43" t="str">
        <f>IF(BI50&lt;&gt;"SÍ","",BT50*CB50*100)</f>
        <v/>
      </c>
      <c r="CF50" s="43" t="str">
        <f>IF(BI50&lt;&gt;"SÍ","",BT50*CD50*100)</f>
        <v/>
      </c>
      <c r="CG50" s="47" t="str">
        <f>IF(BI50&lt;&gt;"SÍ","",BS50*100/BT50)</f>
        <v/>
      </c>
      <c r="CH50" s="45" t="str">
        <f>IF(BI50&lt;&gt;"SÍ","",IF(AND(OR(DATOS!$C$14="TIPO II",BT50&gt;=12),CG50&lt;=25),"CUMPLE","NO CUMPLE: "&amp;IF(AND(DATOS!$C$14="TIPO I",BT50&lt;12),"t &lt; 12 cm ","")&amp;IF(CG50&gt;25,"H/t &gt; 25","")))</f>
        <v/>
      </c>
      <c r="CI50" s="44" t="str">
        <f>IF(BI50&lt;&gt;"SÍ","",MIN(1.5*BS50,4))</f>
        <v/>
      </c>
      <c r="CJ50" s="43" t="str">
        <f>IF(BI50&lt;&gt;"SÍ","",SUMPRODUCT((BW50:CA50&gt;=2*DATOS!$C$59/100)*INT((BW50:CA50-DATOS!$C$59/100)/CI50-0.000001)*((BW50:CA50-DATOS!$C$59/100)&gt;0)))</f>
        <v/>
      </c>
      <c r="CK50" s="43" t="str">
        <f>IF(BI50&lt;&gt;"SÍ","",SUMPRODUCT((BW50:CA50&gt;0.0001)*1+(BW50:CA50&gt;=2*DATOS!$C$59/100)*1)+CJ50)</f>
        <v/>
      </c>
      <c r="CL50" s="44" t="str">
        <f>IF(BI50&lt;&gt;"SÍ","",IF(ISNUMBER(AC50),AC50,DATOS!$C$61)*INDEX(TABLAS!$D$6:$D$14,MATCH(IF(AD50&lt;&gt;"",AD50,DATOS!$C$62),TABLAS!$B$6:$B$14,0)))</f>
        <v/>
      </c>
      <c r="CM50" s="44" t="str">
        <f>IF(BI50&lt;&gt;"SÍ","",CK50*DATOS!$C$78+IF(CK50&gt;=2,2,CK50)*(CL50-DATOS!$C$78))</f>
        <v/>
      </c>
      <c r="CN50" s="47" t="str">
        <f>IF(BI50&lt;&gt;"SÍ","",MAX(BS50*100/6,40))</f>
        <v/>
      </c>
      <c r="CO50" s="48" t="str">
        <f>IF(BI50&lt;&gt;"SÍ","",IF(CG50&lt;=20,IF(E50="INTERIOR",0.7,0.6),MIN(IF(E50="INTERIOR",0.7,0.6),(1-2/24)*(1-(IF(E50="INTERIOR",0.8,1)*CG50/30)^2))))</f>
        <v/>
      </c>
      <c r="CP50" s="47" t="str">
        <f>IF(BI50&lt;&gt;"SÍ","",DATOS!$C$87*CO50*(DATOS!$C$33*CF50+CM50*DATOS!$C$48)/1000)</f>
        <v/>
      </c>
      <c r="CQ50" s="46" t="str">
        <f>IF(BI50&lt;&gt;"SÍ","",IF(CP50&gt;0,BO50/CP50,99))</f>
        <v/>
      </c>
      <c r="CR50" s="47" t="str">
        <f>IF(BI50&lt;&gt;"SÍ","",MAX(0,F50*100-DATOS!$C$59))</f>
        <v/>
      </c>
      <c r="CS50" s="47" t="str">
        <f>IF(BI50&lt;&gt;"SÍ","",MAX(0,F50*100-DATOS!$C$59/2))</f>
        <v/>
      </c>
      <c r="CT50" s="44" t="str">
        <f>IF(BI50&lt;&gt;"SÍ","",CL50*DATOS!$C$48*CR50/100000)</f>
        <v/>
      </c>
      <c r="CU50" s="44" t="str">
        <f>IF(BI50&lt;&gt;"SÍ","",IF(BN50&lt;0,0.8*CT50*MAX(0,1+BN50/(0.8*CM50*DATOS!$C$48/1000)),IF(BN50&lt;=CP50/3,0.8*CT50+0.3*BN50*CS50/100,(1.5*0.6*CT50+0.15*CP50*CS50/100)*MAX(0,1-BN50/CP50))))</f>
        <v/>
      </c>
      <c r="CV50" s="44" t="str">
        <f>IF(BI50&lt;&gt;"SÍ","",IF(BO50&lt;0,0.8*CT50*MAX(0,1+BO50/(0.8*CM50*DATOS!$C$48/1000)),IF(BO50&lt;=CP50/3,0.8*CT50+0.3*BO50*CS50/100,(1.5*0.6*CT50+0.15*CP50*CS50/100)*MAX(0,1-BO50/CP50))))</f>
        <v/>
      </c>
      <c r="CW50" s="46" t="str">
        <f>IF(BI50&lt;&gt;"SÍ","",MAX(0,MIN(CU50,CV50)))</f>
        <v/>
      </c>
      <c r="CX50" s="49" t="str">
        <f>IF(BI50&lt;&gt;"SÍ","",IF(CW50&gt;0,BL50/CW50,IF(BL50&gt;0,99,0)))</f>
        <v/>
      </c>
      <c r="CY50" s="44" t="str">
        <f>IF(BI50&lt;&gt;"SÍ","",IF(BW50&gt;0,MAX(1,MIN(1.5,1.5-0.625*(BS50/BW50-0.2))),0))</f>
        <v/>
      </c>
      <c r="CZ50" s="44" t="str">
        <f>IF(BI50&lt;&gt;"SÍ","",IF(BX50&gt;0,MAX(1,MIN(1.5,1.5-0.625*(BS50/BX50-0.2))),0))</f>
        <v/>
      </c>
      <c r="DA50" s="44" t="str">
        <f>IF(BI50&lt;&gt;"SÍ","",IF(BY50&gt;0,MAX(1,MIN(1.5,1.5-0.625*(BS50/BY50-0.2))),0))</f>
        <v/>
      </c>
      <c r="DB50" s="44" t="str">
        <f>IF(BI50&lt;&gt;"SÍ","",IF(BZ50&gt;0,MAX(1,MIN(1.5,1.5-0.625*(BS50/BZ50-0.2))),0))</f>
        <v/>
      </c>
      <c r="DC50" s="44" t="str">
        <f>IF(BI50&lt;&gt;"SÍ","",IF(CA50&gt;0,MAX(1,MIN(1.5,1.5-0.625*(BS50/CA50-0.2))),0))</f>
        <v/>
      </c>
      <c r="DD50" s="44" t="str">
        <f>IF(BI50&lt;&gt;"SÍ","",IF(OR(BW50&lt;DATOS!$C$72-0.0001,BM50&lt;0,CB50&lt;=0),0,MIN(DATOS!$C$86*(0.5*DATOS!$C$41*BT50*BW50*100+0.3*BM50*BW50/CB50*1000)*CY50,1.5*DATOS!$C$86*DATOS!$C$41*BT50*BW50*100*CY50)/1000))</f>
        <v/>
      </c>
      <c r="DE50" s="44" t="str">
        <f>IF(BI50&lt;&gt;"SÍ","",IF(OR(BX50&lt;DATOS!$C$72-0.0001,BM50&lt;0,CB50&lt;=0),0,MIN(DATOS!$C$86*(0.5*DATOS!$C$41*BT50*BX50*100+0.3*BM50*BX50/CB50*1000)*CZ50,1.5*DATOS!$C$86*DATOS!$C$41*BT50*BX50*100*CZ50)/1000))</f>
        <v/>
      </c>
      <c r="DF50" s="44" t="str">
        <f>IF(BI50&lt;&gt;"SÍ","",IF(OR(BY50&lt;DATOS!$C$72-0.0001,BM50&lt;0,CB50&lt;=0),0,MIN(DATOS!$C$86*(0.5*DATOS!$C$41*BT50*BY50*100+0.3*BM50*BY50/CB50*1000)*DA50,1.5*DATOS!$C$86*DATOS!$C$41*BT50*BY50*100*DA50)/1000))</f>
        <v/>
      </c>
      <c r="DG50" s="44" t="str">
        <f>IF(BI50&lt;&gt;"SÍ","",IF(OR(BZ50&lt;DATOS!$C$72-0.0001,BM50&lt;0,CB50&lt;=0),0,MIN(DATOS!$C$86*(0.5*DATOS!$C$41*BT50*BZ50*100+0.3*BM50*BZ50/CB50*1000)*DB50,1.5*DATOS!$C$86*DATOS!$C$41*BT50*BZ50*100*DB50)/1000))</f>
        <v/>
      </c>
      <c r="DH50" s="44" t="str">
        <f>IF(BI50&lt;&gt;"SÍ","",IF(OR(CA50&lt;DATOS!$C$72-0.0001,BM50&lt;0,CB50&lt;=0),0,MIN(DATOS!$C$86*(0.5*DATOS!$C$41*BT50*CA50*100+0.3*BM50*CA50/CB50*1000)*DC50,1.5*DATOS!$C$86*DATOS!$C$41*BT50*CA50*100*DC50)/1000))</f>
        <v/>
      </c>
      <c r="DI50" s="46" t="str">
        <f>IF(BI50&lt;&gt;"SÍ","",SUM(DD50:DH50))</f>
        <v/>
      </c>
      <c r="DJ50" s="48" t="str">
        <f>IF(BI50&lt;&gt;"SÍ","",IF(AE50="VARILLA EN JUNTAS",IF(ISNUMBER(AF50),AF50,2)*INDEX(TABLAS!$D$6:$D$14,MATCH(IF(AG50&lt;&gt;"",AG50,DATOS!$C$73),TABLAS!$B$6:$B$14,0)),IF(AE50="MALLA",IF(ISNUMBER(AF50),AF50,1)*INDEX(TABLAS!$D$19:$D$22,MATCH(IF(AG50&lt;&gt;"",AG50,DATOS!$C$74),TABLAS!$B$19:$B$22,0))/100,IF(AE50="ESCALERILLA",IF(ISNUMBER(AF50),AF50,2)*INDEX(TABLAS!$D$6:$D$14,MATCH(IF(AG50&lt;&gt;"",AG50,DATOS!$C$73),TABLAS!$B$6:$B$14,0)),0))))</f>
        <v/>
      </c>
      <c r="DK50" s="47" t="str">
        <f>IF(BI50&lt;&gt;"SÍ","",IF(OR(AE50="VARILLA EN JUNTAS",AE50="ESCALERILLA"),IF(ISNUMBER(AH50),AH50,2)*DATOS!$C$26,IF(AE50="MALLA",1,0)))</f>
        <v/>
      </c>
      <c r="DL50" s="44" t="str">
        <f>IF(BI50&lt;&gt;"SÍ","",IF(DK50&gt;0,DJ50/(DK50*BT50)*MIN(DATOS!$C$50,IF(AE50="MALLA",5000,6000)),0))</f>
        <v/>
      </c>
      <c r="DM50" s="44" t="str">
        <f>IF(BI50&lt;&gt;"SÍ","",IF(AE50="ESCALERILLA",0,MIN(DL50,0.1*DATOS!$C$33*DATOS!$C$24)))</f>
        <v/>
      </c>
      <c r="DN50" s="48" t="str">
        <f>IF(BI50&lt;&gt;"SÍ","",IF(AE50="MALLA",0.5,IF(DATOS!$C$33&lt;=60,0.55,IF(DATOS!$C$33&gt;=90,0.75,0.55+0.2*(DATOS!$C$33-60)/30))))</f>
        <v/>
      </c>
      <c r="DO50" s="48" t="str">
        <f>IF(BI50&lt;&gt;"SÍ","",1-DATOS!$C$91*DM50)</f>
        <v/>
      </c>
      <c r="DP50" s="44" t="str">
        <f>IF(BI50&lt;&gt;"SÍ","",IF(BW50&gt;0,IF(BS50/BW50&lt;=1,1.3,IF(BS50/BW50&gt;=1.5,1,1.3-0.6*(BS50/BW50-1))),0))</f>
        <v/>
      </c>
      <c r="DQ50" s="44" t="str">
        <f>IF(BI50&lt;&gt;"SÍ","",IF(BX50&gt;0,IF(BS50/BX50&lt;=1,1.3,IF(BS50/BX50&gt;=1.5,1,1.3-0.6*(BS50/BX50-1))),0))</f>
        <v/>
      </c>
      <c r="DR50" s="44" t="str">
        <f>IF(BI50&lt;&gt;"SÍ","",IF(BY50&gt;0,IF(BS50/BY50&lt;=1,1.3,IF(BS50/BY50&gt;=1.5,1,1.3-0.6*(BS50/BY50-1))),0))</f>
        <v/>
      </c>
      <c r="DS50" s="44" t="str">
        <f>IF(BI50&lt;&gt;"SÍ","",IF(BZ50&gt;0,IF(BS50/BZ50&lt;=1,1.3,IF(BS50/BZ50&gt;=1.5,1,1.3-0.6*(BS50/BZ50-1))),0))</f>
        <v/>
      </c>
      <c r="DT50" s="44" t="str">
        <f>IF(BI50&lt;&gt;"SÍ","",IF(CA50&gt;0,IF(BS50/CA50&lt;=1,1.3,IF(BS50/CA50&gt;=1.5,1,1.3-0.6*(BS50/CA50-1))),0))</f>
        <v/>
      </c>
      <c r="DU50" s="44" t="str">
        <f>IF(BI50&lt;&gt;"SÍ","",IF(OR(DM50&lt;=0,BW50&lt;DATOS!$C$72-0.0001),0,DATOS!$C$86*MAX(0,IF(BM50&gt;=0,DD50/(DATOS!$C$86*DM50*BT50*BW50*100/1000)*(DP50*DO50-1)+DN50,DO50*DN50))*DM50*BT50*BW50*100/1000))</f>
        <v/>
      </c>
      <c r="DV50" s="44" t="str">
        <f>IF(BI50&lt;&gt;"SÍ","",IF(OR(DM50&lt;=0,BX50&lt;DATOS!$C$72-0.0001),0,DATOS!$C$86*MAX(0,IF(BM50&gt;=0,DE50/(DATOS!$C$86*DM50*BT50*BX50*100/1000)*(DQ50*DO50-1)+DN50,DO50*DN50))*DM50*BT50*BX50*100/1000))</f>
        <v/>
      </c>
      <c r="DW50" s="44" t="str">
        <f>IF(BI50&lt;&gt;"SÍ","",IF(OR(DM50&lt;=0,BY50&lt;DATOS!$C$72-0.0001),0,DATOS!$C$86*MAX(0,IF(BM50&gt;=0,DF50/(DATOS!$C$86*DM50*BT50*BY50*100/1000)*(DR50*DO50-1)+DN50,DO50*DN50))*DM50*BT50*BY50*100/1000))</f>
        <v/>
      </c>
      <c r="DX50" s="44" t="str">
        <f>IF(BI50&lt;&gt;"SÍ","",IF(OR(DM50&lt;=0,BZ50&lt;DATOS!$C$72-0.0001),0,DATOS!$C$86*MAX(0,IF(BM50&gt;=0,DG50/(DATOS!$C$86*DM50*BT50*BZ50*100/1000)*(DS50*DO50-1)+DN50,DO50*DN50))*DM50*BT50*BZ50*100/1000))</f>
        <v/>
      </c>
      <c r="DY50" s="44" t="str">
        <f>IF(BI50&lt;&gt;"SÍ","",IF(OR(DM50&lt;=0,CA50&lt;DATOS!$C$72-0.0001),0,DATOS!$C$86*MAX(0,IF(BM50&gt;=0,DH50/(DATOS!$C$86*DM50*BT50*CA50*100/1000)*(DT50*DO50-1)+DN50,DO50*DN50))*DM50*BT50*CA50*100/1000))</f>
        <v/>
      </c>
      <c r="DZ50" s="46" t="str">
        <f>IF(BI50&lt;&gt;"SÍ","",SUM(DU50:DY50))</f>
        <v/>
      </c>
      <c r="EA50" s="45" t="str">
        <f>IF(BI50&lt;&gt;"SÍ","",IF(OR(AE50="",AE50="NINGUNO"),IF(DATOS!$C$41&gt;=10,"FALTA refuerzo horizontal: v'm ≥ 10 kg/cm² (6.5.2.2)",IF(AND(BM50&lt;0,BK50&gt;0),"FALTA: P en tensión, el refuerzo debe tomar todo el cortante (6.5.1.3)","—")),IF(AE50="ESCALERILLA","NO CUENTA: la escalerilla no se permite para cortante por sismo (6.5.3.1.2)",IF(AE50="MALLA",IF(AND(DL50&gt;=2.5,DL50&lt;=MAX(0.15*DATOS!$C$33*DATOS!$C$24,2.5)),"CUMPLE","NO CUMPLE: "&amp;IF(DL50&lt;2.5,"p_h·f_yh &lt; 2.5 (6.5.4.2.4)","p_h·f_yh &gt; 0.15·f'm·f_an (6.5.4.2.4)")),IF(AND(DK50&lt;=MIN(6*DATOS!$C$26,45),DL50&gt;=3,DL50&lt;=MIN(MAX(0.15*DATOS!$C$33*DATOS!$C$24,3),0.05*DATOS!$C$25/10*MIN(DATOS!$C$50,6000)/DK50),INDEX(TABLAS!$C$6:$C$14,MATCH(IF(AG50&lt;&gt;"",AG50,DATOS!$C$73),TABLAS!$B$6:$B$14,0))&gt;=0.35,INDEX(TABLAS!$C$6:$C$14,MATCH(IF(AG50&lt;&gt;"",AG50,DATOS!$C$73),TABLAS!$B$6:$B$14,0))&lt;=0.75*DATOS!$C$25/10),"CUMPLE","NO CUMPLE: "&amp;IF(DK50&gt;MIN(6*DATOS!$C$26,45),"s_h &gt; 6 hiladas o 45 cm (6.5.3.2.1) ","")&amp;IF(DL50&lt;3,"p_h·f_yh &lt; 3 (6.5.3.3.1) ","")&amp;IF(DL50&gt;MIN(MAX(0.15*DATOS!$C$33*DATOS!$C$24,3),0.05*DATOS!$C$25/10*MIN(DATOS!$C$50,6000)/DK50),"p_h·f_yh &gt; máximo (6.5.3.3.2) ","")&amp;IF(OR(INDEX(TABLAS!$C$6:$C$14,MATCH(IF(AG50&lt;&gt;"",AG50,DATOS!$C$73),TABLAS!$B$6:$B$14,0))&lt;0.35,INDEX(TABLAS!$C$6:$C$14,MATCH(IF(AG50&lt;&gt;"",AG50,DATOS!$C$73),TABLAS!$B$6:$B$14,0))&gt;0.75*DATOS!$C$25/10),"diámetro fuera de 3.5 mm a 0.75·h_j (4.2.2.2.1)",""))))))</f>
        <v/>
      </c>
      <c r="EB50" s="46" t="str">
        <f>IF(BI50&lt;&gt;"SÍ","",DI50+DZ50)</f>
        <v/>
      </c>
      <c r="EC50" s="50" t="str">
        <f>IF(BI50&lt;&gt;"SÍ","",IF(EB50&gt;0,BK50/EB50,IF(BK50&gt;0,99,0)))</f>
        <v/>
      </c>
      <c r="ED50" s="47" t="str">
        <f>IF(BI50&lt;&gt;"SÍ","",IF(CE50&lt;=0,-1,IF(BK50&lt;=DI50,0,IF(IF(BM50&gt;=0,IF((DATOS!$C$86*IF(AE50="MALLA",0.5,IF(DATOS!$C$33&lt;=60,0.55,IF(DATOS!$C$33&gt;=90,0.75,0.55+0.2*(DATOS!$C$33-60)/30)))*CE50/1000-DATOS!$C$91*SUMPRODUCT(DP50:DT50,DD50:DH50))&lt;=0,1E9,(BK50-SUMPRODUCT(DP50:DT50,DD50:DH50))/(DATOS!$C$86*IF(AE50="MALLA",0.5,IF(DATOS!$C$33&lt;=60,0.55,IF(DATOS!$C$33&gt;=90,0.75,0.55+0.2*(DATOS!$C$33-60)/30)))*CE50/1000-DATOS!$C$91*SUMPRODUCT(DP50:DT50,DD50:DH50))),IF((1-4*DATOS!$C$91*BK50*1000/(DATOS!$C$86*IF(AE50="MALLA",0.5,IF(DATOS!$C$33&lt;=60,0.55,IF(DATOS!$C$33&gt;=90,0.75,0.55+0.2*(DATOS!$C$33-60)/30)))*MAX(CE50,1)))&lt;0,1E9,(1-SQRT((1-4*DATOS!$C$91*BK50*1000/(DATOS!$C$86*IF(AE50="MALLA",0.5,IF(DATOS!$C$33&lt;=60,0.55,IF(DATOS!$C$33&gt;=90,0.75,0.55+0.2*(DATOS!$C$33-60)/30)))*MAX(CE50,1)))))/(2*DATOS!$C$91)))&gt;0.1*DATOS!$C$33*DATOS!$C$24+0.000001,-1,MAX(IF(AE50="MALLA",2.5,3),IF(BM50&gt;=0,IF((DATOS!$C$86*IF(AE50="MALLA",0.5,IF(DATOS!$C$33&lt;=60,0.55,IF(DATOS!$C$33&gt;=90,0.75,0.55+0.2*(DATOS!$C$33-60)/30)))*CE50/1000-DATOS!$C$91*SUMPRODUCT(DP50:DT50,DD50:DH50))&lt;=0,1E9,(BK50-SUMPRODUCT(DP50:DT50,DD50:DH50))/(DATOS!$C$86*IF(AE50="MALLA",0.5,IF(DATOS!$C$33&lt;=60,0.55,IF(DATOS!$C$33&gt;=90,0.75,0.55+0.2*(DATOS!$C$33-60)/30)))*CE50/1000-DATOS!$C$91*SUMPRODUCT(DP50:DT50,DD50:DH50))),IF((1-4*DATOS!$C$91*BK50*1000/(DATOS!$C$86*IF(AE50="MALLA",0.5,IF(DATOS!$C$33&lt;=60,0.55,IF(DATOS!$C$33&gt;=90,0.75,0.55+0.2*(DATOS!$C$33-60)/30)))*MAX(CE50,1)))&lt;0,1E9,(1-SQRT((1-4*DATOS!$C$91*BK50*1000/(DATOS!$C$86*IF(AE50="MALLA",0.5,IF(DATOS!$C$33&lt;=60,0.55,IF(DATOS!$C$33&gt;=90,0.75,0.55+0.2*(DATOS!$C$33-60)/30)))*MAX(CE50,1)))))/(2*DATOS!$C$91))))))))</f>
        <v/>
      </c>
      <c r="EE50" s="45" t="str">
        <f>IF(BI50&lt;&gt;"SÍ","",IF(ED50=0,"NO REQUIERE: V_mR ≥ V_u",IF(ED50&lt;0,"NO ALCANZA con refuerzo horizontal (haría falta más de 0.1·f'm·f_an efectivo): sube v'm con ensayes, el espesor o la longitud del muro",IF(AND(OR(AE50="VARILLA EN JUNTAS",AE50="MALLA"),LEFT(EA50,6)="CUMPLE",EC50&lt;=1),"YA LO TIENE (pide p_h·f_yh ≥ "&amp;TEXT(ED50,"0.0")&amp;" kg/cm²)","p_h·f_yh ≥ "&amp;TEXT(ED50,"0.0")&amp;" kg/cm² → "&amp;IF(AND(MIN(6,FLOOR(45/DATOS!$C$26,1),FLOOR((2*INDEX(TABLAS!$D$6:$D$14,MATCH("3/16 in",TABLAS!$B$6:$B$14,0)))*MIN(DATOS!$C$50,6000)/(BT50*DATOS!$C$26*MAX(ED50,0.001)),1))&gt;=1,((2*INDEX(TABLAS!$D$6:$D$14,MATCH("3/16 in",TABLAS!$B$6:$B$14,0)))*MIN(DATOS!$C$50,6000)/(MAX(MIN(6,FLOOR(45/DATOS!$C$26,1),FLOOR((2*INDEX(TABLAS!$D$6:$D$14,MATCH("3/16 in",TABLAS!$B$6:$B$14,0)))*MIN(DATOS!$C$50,6000)/(BT50*DATOS!$C$26*MAX(ED50,0.001)),1)),1)*DATOS!$C$26*BT50))&lt;=MIN(MAX(0.15*DATOS!$C$33*DATOS!$C$24,3),0.05*DATOS!$C$25/10*MIN(DATOS!$C$50,6000)/(MIN(6,FLOOR(45/DATOS!$C$26,1),FLOOR((2*INDEX(TABLAS!$D$6:$D$14,MATCH("3/16 in",TABLAS!$B$6:$B$14,0)))*MIN(DATOS!$C$50,6000)/(BT50*DATOS!$C$26*MAX(ED50,0.001)),1))*DATOS!$C$26))),"2 alambres de 3/16"" por junta cada "&amp;MIN(6,FLOOR(45/DATOS!$C$26,1),FLOOR((2*INDEX(TABLAS!$D$6:$D$14,MATCH("3/16 in",TABLAS!$B$6:$B$14,0)))*MIN(DATOS!$C$50,6000)/(BT50*DATOS!$C$26*MAX(ED50,0.001)),1))&amp;" hilada(s) (p_h·f_yh = "&amp;TEXT(((2*INDEX(TABLAS!$D$6:$D$14,MATCH("3/16 in",TABLAS!$B$6:$B$14,0)))*MIN(DATOS!$C$50,6000)/(MAX(MIN(6,FLOOR(45/DATOS!$C$26,1),FLOOR((2*INDEX(TABLAS!$D$6:$D$14,MATCH("3/16 in",TABLAS!$B$6:$B$14,0)))*MIN(DATOS!$C$50,6000)/(BT50*DATOS!$C$26*MAX(ED50,0.001)),1)),1)*DATOS!$C$26*BT50)),"0.00")&amp;")",IF(AND(MIN(6,FLOOR(45/DATOS!$C$26,1),FLOOR((2*INDEX(TABLAS!$D$6:$D$14,MATCH("5/32 in",TABLAS!$B$6:$B$14,0)))*MIN(DATOS!$C$50,6000)/(BT50*DATOS!$C$26*MAX(ED50,0.001)),1))&gt;=1,((2*INDEX(TABLAS!$D$6:$D$14,MATCH("5/32 in",TABLAS!$B$6:$B$14,0)))*MIN(DATOS!$C$50,6000)/(MAX(MIN(6,FLOOR(45/DATOS!$C$26,1),FLOOR((2*INDEX(TABLAS!$D$6:$D$14,MATCH("5/32 in",TABLAS!$B$6:$B$14,0)))*MIN(DATOS!$C$50,6000)/(BT50*DATOS!$C$26*MAX(ED50,0.001)),1)),1)*DATOS!$C$26*BT50))&lt;=MIN(MAX(0.15*DATOS!$C$33*DATOS!$C$24,3),0.05*DATOS!$C$25/10*MIN(DATOS!$C$50,6000)/(MIN(6,FLOOR(45/DATOS!$C$26,1),FLOOR((2*INDEX(TABLAS!$D$6:$D$14,MATCH("5/32 in",TABLAS!$B$6:$B$14,0)))*MIN(DATOS!$C$50,6000)/(BT50*DATOS!$C$26*MAX(ED50,0.001)),1))*DATOS!$C$26))),"2 alambres de 5/32"" por junta cada "&amp;MIN(6,FLOOR(45/DATOS!$C$26,1),FLOOR((2*INDEX(TABLAS!$D$6:$D$14,MATCH("5/32 in",TABLAS!$B$6:$B$14,0)))*MIN(DATOS!$C$50,6000)/(BT50*DATOS!$C$26*MAX(ED50,0.001)),1))&amp;" hilada(s) (p_h·f_yh = "&amp;TEXT(((2*INDEX(TABLAS!$D$6:$D$14,MATCH("5/32 in",TABLAS!$B$6:$B$14,0)))*MIN(DATOS!$C$50,6000)/(MAX(MIN(6,FLOOR(45/DATOS!$C$26,1),FLOOR((2*INDEX(TABLAS!$D$6:$D$14,MATCH("5/32 in",TABLAS!$B$6:$B$14,0)))*MIN(DATOS!$C$50,6000)/(BT50*DATOS!$C$26*MAX(ED50,0.001)),1)),1)*DATOS!$C$26*BT50)),"0.00")&amp;")",IF(AND(MIN(6,FLOOR(45/DATOS!$C$26,1),FLOOR((1*INDEX(TABLAS!$D$6:$D$14,MATCH("3/16 in",TABLAS!$B$6:$B$14,0)))*MIN(DATOS!$C$50,6000)/(BT50*DATOS!$C$26*MAX(ED50,0.001)),1))&gt;=1,((1*INDEX(TABLAS!$D$6:$D$14,MATCH("3/16 in",TABLAS!$B$6:$B$14,0)))*MIN(DATOS!$C$50,6000)/(MAX(MIN(6,FLOOR(45/DATOS!$C$26,1),FLOOR((1*INDEX(TABLAS!$D$6:$D$14,MATCH("3/16 in",TABLAS!$B$6:$B$14,0)))*MIN(DATOS!$C$50,6000)/(BT50*DATOS!$C$26*MAX(ED50,0.001)),1)),1)*DATOS!$C$26*BT50))&lt;=MIN(MAX(0.15*DATOS!$C$33*DATOS!$C$24,3),0.05*DATOS!$C$25/10*MIN(DATOS!$C$50,6000)/(MIN(6,FLOOR(45/DATOS!$C$26,1),FLOOR((1*INDEX(TABLAS!$D$6:$D$14,MATCH("3/16 in",TABLAS!$B$6:$B$14,0)))*MIN(DATOS!$C$50,6000)/(BT50*DATOS!$C$26*MAX(ED50,0.001)),1))*DATOS!$C$26))),"1 alambre de 3/16"" por junta cada "&amp;MIN(6,FLOOR(45/DATOS!$C$26,1),FLOOR((1*INDEX(TABLAS!$D$6:$D$14,MATCH("3/16 in",TABLAS!$B$6:$B$14,0)))*MIN(DATOS!$C$50,6000)/(BT50*DATOS!$C$26*MAX(ED50,0.001)),1))&amp;" hilada(s) (p_h·f_yh = "&amp;TEXT(((1*INDEX(TABLAS!$D$6:$D$14,MATCH("3/16 in",TABLAS!$B$6:$B$14,0)))*MIN(DATOS!$C$50,6000)/(MAX(MIN(6,FLOOR(45/DATOS!$C$26,1),FLOOR((1*INDEX(TABLAS!$D$6:$D$14,MATCH("3/16 in",TABLAS!$B$6:$B$14,0)))*MIN(DATOS!$C$50,6000)/(BT50*DATOS!$C$26*MAX(ED50,0.001)),1)),1)*DATOS!$C$26*BT50)),"0.00")&amp;")",IF(AND(MIN(6,FLOOR(45/DATOS!$C$26,1),FLOOR((1*INDEX(TABLAS!$D$6:$D$14,MATCH("5/32 in",TABLAS!$B$6:$B$14,0)))*MIN(DATOS!$C$50,6000)/(BT50*DATOS!$C$26*MAX(ED50,0.001)),1))&gt;=1,((1*INDEX(TABLAS!$D$6:$D$14,MATCH("5/32 in",TABLAS!$B$6:$B$14,0)))*MIN(DATOS!$C$50,6000)/(MAX(MIN(6,FLOOR(45/DATOS!$C$26,1),FLOOR((1*INDEX(TABLAS!$D$6:$D$14,MATCH("5/32 in",TABLAS!$B$6:$B$14,0)))*MIN(DATOS!$C$50,6000)/(BT50*DATOS!$C$26*MAX(ED50,0.001)),1)),1)*DATOS!$C$26*BT50))&lt;=MIN(MAX(0.15*DATOS!$C$33*DATOS!$C$24,3),0.05*DATOS!$C$25/10*MIN(DATOS!$C$50,6000)/(MIN(6,FLOOR(45/DATOS!$C$26,1),FLOOR((1*INDEX(TABLAS!$D$6:$D$14,MATCH("5/32 in",TABLAS!$B$6:$B$14,0)))*MIN(DATOS!$C$50,6000)/(BT50*DATOS!$C$26*MAX(ED50,0.001)),1))*DATOS!$C$26))),"1 alambre de 5/32"" por junta cada "&amp;MIN(6,FLOOR(45/DATOS!$C$26,1),FLOOR((1*INDEX(TABLAS!$D$6:$D$14,MATCH("5/32 in",TABLAS!$B$6:$B$14,0)))*MIN(DATOS!$C$50,6000)/(BT50*DATOS!$C$26*MAX(ED50,0.001)),1))&amp;" hilada(s) (p_h·f_yh = "&amp;TEXT(((1*INDEX(TABLAS!$D$6:$D$14,MATCH("5/32 in",TABLAS!$B$6:$B$14,0)))*MIN(DATOS!$C$50,6000)/(MAX(MIN(6,FLOOR(45/DATOS!$C$26,1),FLOOR((1*INDEX(TABLAS!$D$6:$D$14,MATCH("5/32 in",TABLAS!$B$6:$B$14,0)))*MIN(DATOS!$C$50,6000)/(BT50*DATOS!$C$26*MAX(ED50,0.001)),1)),1)*DATOS!$C$26*BT50)),"0.00")&amp;")","ninguna combinación de 1 o 2 alambres por junta queda entre el mínimo y el máximo: revisa con malla (6.5.4)"))))))))</f>
        <v/>
      </c>
      <c r="EF50" s="43" t="str">
        <f>IF(BI50&lt;&gt;"SÍ","",IF(AI50="SÍ",N(AK50)*N(AL50)^3/12,0))</f>
        <v/>
      </c>
      <c r="EG50" s="48" t="str">
        <f>IF(BI50&lt;&gt;"SÍ","",IF(AND(AI50="SÍ",N(AM50)&gt;0),MIN(1,F50/AM50),0))</f>
        <v/>
      </c>
      <c r="EH50" s="47" t="str">
        <f>IF(BI50&lt;&gt;"SÍ","",IF(AI50="SÍ",BP50*1000/(BT50*F50*100)*BT50*(EG50^4-4*EG50^3+8*EG50),0))</f>
        <v/>
      </c>
      <c r="EI50" s="48" t="str">
        <f>IF(BI50&lt;&gt;"SÍ","",IF(AND(AI50="SÍ",EH50&gt;0),EH50/(EH50+5*N(AN50)*10),0))</f>
        <v/>
      </c>
      <c r="EJ50" s="44" t="str">
        <f>IF(BI50&lt;&gt;"SÍ","",IF(AND(AI50="SÍ",EI50&gt;0,EF50&gt;0),(DATOS!$C$43*BT50*(AM50*100)^3/(DATOS!$C$53*EF50*EI50))^0.25,0))</f>
        <v/>
      </c>
      <c r="EK50" s="44" t="str">
        <f>IF(BI50&lt;&gt;"SÍ","",IF(AI50&lt;&gt;"SÍ",0,IF(N(AM50)&lt;=F50,1,IF(MIN(1,N(AO50)/((AM50-F50)/2))&lt;=0.5,0.7+0.6*MIN(1,N(AO50)/((AM50-F50)/2)),1.5-MIN(1,N(AO50)/((AM50-F50)/2))))))</f>
        <v/>
      </c>
      <c r="EL50" s="44" t="str">
        <f>IF(BI50&lt;&gt;"SÍ","",IF(AI50&lt;&gt;"SÍ",0,MAX(1,IF(EG50&gt;=1,(1.6*EJ50-3.9),IF(EG50&lt;0.9,((3.2*EJ50-7.8)*EK50),((3.2*EJ50-7.8)*EK50)+((1.6*EJ50-3.9)-((3.2*EJ50-7.8)*EK50))*(EG50-0.9)/0.1)))))</f>
        <v/>
      </c>
      <c r="EM50" s="47" t="str">
        <f>IF(BI50&lt;&gt;"SÍ","",IF(AI50="SÍ",EL50*BP50*1000/(BT50*F50*100),0))</f>
        <v/>
      </c>
      <c r="EN50" s="47" t="str">
        <f>IF(BI50&lt;&gt;"SÍ","",IF(AND(AI50="SÍ",N(AL50)&gt;0),AM50*100/AL50,0))</f>
        <v/>
      </c>
      <c r="EO50" s="47" t="str">
        <f>IF(BI50&lt;&gt;"SÍ","",IF(AI50="SÍ",(1/15*DATOS!$C$53*N(AK50)/MAX((IF(ISNUMBER(AP50),AP50,BP50/DATOS!$C$90)*1000/(BT50*F50*100)*BT50*(EG50^4-4*EG50^3+8*EG50))+5*N(AN50)/DATOS!$C$90*10,0.001))^(1/3),0))</f>
        <v/>
      </c>
      <c r="EP50" s="45" t="str">
        <f>IF(BI50&lt;&gt;"SÍ","",IF(AI50&lt;&gt;"SÍ","—",IF(OR(N(AK50)&lt;=0,N(AL50)&lt;=0,N(AM50)&lt;=0),"REVISAR: faltan b, h o L_v de la viga",IF(AND(EM50&lt;=DATOS!$C$87*DATOS!$C$33,EN50&lt;=14,N(AL50)&gt;=25,EN50&lt;=EO50),IF(BS50/F50&lt;0.6,"PENDIENTE: H/L &lt; 0.6, falta el análisis de interacción muro–viga (4.1.18.2.1); f_CM es estimado","CUMPLE"),"NO CUMPLE: "&amp;IF(EM50&gt;DATOS!$C$87*DATOS!$C$33,"f_CM &gt; F_R·f'm ","")&amp;IF(EN50&gt;14,"L_v/h_v &gt; 14 ","")&amp;IF(N(AL50)&lt;25,"h_v &lt; 25 cm ","")&amp;IF(EN50&gt;EO50,"flecha (4.1.18.3)","")))))</f>
        <v/>
      </c>
      <c r="EQ50" s="44" t="str">
        <f>IF(BI50&lt;&gt;"SÍ","",MAX(0,F50*BS50-(N(K50)*N(M50)+N(P50)*N(R50)+N(U50)*N(W50)+N(Z50)*N(AB50))-CK50*DATOS!$C$59/100*BS50))</f>
        <v/>
      </c>
      <c r="ER50" s="48" t="str">
        <f>IF(BI50&lt;&gt;"SÍ","",CK50*DATOS!$C$59*DATOS!$C$60/10000*BS50)</f>
        <v/>
      </c>
      <c r="ES50" s="47" t="str">
        <f>IF(BI50&lt;&gt;"SÍ","",CK50*(DATOS!$C$61*(BS50+0.6)*INDEX(TABLAS!$E$6:$E$14,MATCH(DATOS!$C$62,TABLAS!$B$6:$B$14,0))+(2*ROUNDUP(CN50/DATOS!$C$65,0)+ROUNDUP(MAX(0,BS50*100-2*CN50)/DATOS!$C$64,0))*((2*(DATOS!$C$60+DATOS!$C$59-4*(DATOS!$C$66-INDEX(TABLAS!$C$6:$C$14,MATCH(DATOS!$C$63,TABLAS!$B$6:$B$14,0))))+15)/100)*INDEX(TABLAS!$E$6:$E$14,MATCH(DATOS!$C$63,TABLAS!$B$6:$B$14,0))))</f>
        <v/>
      </c>
      <c r="ET50" s="47" t="str">
        <f>IF(BI50&lt;&gt;"SÍ","",IF(OR(AE50="VARILLA EN JUNTAS",AE50="ESCALERILLA"),INT(BS50*100/MAX(DK50,1))*IF(ISNUMBER(AF50),AF50,2)*CB50*INDEX(TABLAS!$E$6:$E$14,MATCH(IF(AG50&lt;&gt;"",AG50,DATOS!$C$73),TABLAS!$B$6:$B$14,0)),IF(AE50="MALLA",IF(ISNUMBER(AF50),AF50,1)*CB50*BS50*INDEX(TABLAS!$E$19:$E$22,MATCH(IF(AG50&lt;&gt;"",AG50,DATOS!$C$74),TABLAS!$B$19:$B$22,0)),0)))</f>
        <v/>
      </c>
      <c r="EU50" s="45" t="str">
        <f>IF(BI50&lt;&gt;"SÍ","",""&amp;IF(BJ50="NO ESTÁ EN PIER_FORCES","sin fuerzas en PIER_FORCES; ","")&amp;IF(BV50&lt;&gt;"CUMPLE","vanos; ","")&amp;IF(LEFT(CH50,2)="NO","espesor o esbeltez; ","")&amp;IF(CQ50&gt;1,"compresión; ","")&amp;IF(CX50&gt;1,"flexión; ","")&amp;IF(CB50&lt;=0,"sin tramos de muro (todos son machones menores que L mín.: diséñalos como columnas o baja L mín.); ",IF(EC50&gt;1,"cortante; ",""))&amp;IF(OR(LEFT(EA50,2)="NO",LEFT(EA50,5)="FALTA"),"refuerzo horizontal; ","")&amp;IF(OR(LEFT(EP50,2)="NO",LEFT(EP50,7)="REVISAR"),"muro sobre viga; ","")&amp;IF(LEFT(DATOS!$C$81,2)="NO","castillo típico; ","")&amp;IF(LEFT(DATOS!$C$82,2)="NO","dala típica; ","")&amp;IF(AND(BT50&lt;&gt;DATOS!$C$58,DATOS!$C$60&lt;BT50),"castillo más angosto que el muro; ",""))</f>
        <v/>
      </c>
      <c r="EV50" s="45" t="str">
        <f>IF(BI50&lt;&gt;"SÍ","",""&amp;IF(LEFT(EP50,9)="PENDIENTE","análisis muro–viga (H/L &lt; 0.6); ","")&amp;IF(BR50&gt;50,"V_u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0" s="51" t="str">
        <f>IF(BI50&lt;&gt;"SÍ","",IF(EU50&lt;&gt;"","NO CUMPLE: "&amp;LEFT(EU50,LEN(EU50)-2),IF(EV50&lt;&gt;"","CUMPLE — PENDIENTE: "&amp;LEFT(EV50,LEN(EV50)-2),"CUMPLE")))</f>
        <v/>
      </c>
      <c r="EX50" s="52" t="n"/>
    </row>
    <row r="51" ht="30" customHeight="1">
      <c r="A51" s="38" t="str">
        <f>IF(B51="","",ROW()-10)</f>
        <v/>
      </c>
      <c r="B51" s="28" t="n"/>
      <c r="C51" s="39" t="n"/>
      <c r="D51" s="39" t="n"/>
      <c r="E51" s="39" t="n"/>
      <c r="F51" s="40" t="n"/>
      <c r="G51" s="40" t="n"/>
      <c r="H51" s="41" t="n"/>
      <c r="I51" s="39" t="n"/>
      <c r="J51" s="40" t="n"/>
      <c r="K51" s="40" t="n"/>
      <c r="L51" s="40" t="n"/>
      <c r="M51" s="40" t="n"/>
      <c r="N51" s="39" t="n"/>
      <c r="O51" s="40" t="n"/>
      <c r="P51" s="40" t="n"/>
      <c r="Q51" s="40" t="n"/>
      <c r="R51" s="40" t="n"/>
      <c r="S51" s="39" t="n"/>
      <c r="T51" s="40" t="n"/>
      <c r="U51" s="40" t="n"/>
      <c r="V51" s="40" t="n"/>
      <c r="W51" s="40" t="n"/>
      <c r="X51" s="39" t="n"/>
      <c r="Y51" s="40" t="n"/>
      <c r="Z51" s="40" t="n"/>
      <c r="AA51" s="40" t="n"/>
      <c r="AB51" s="40" t="n"/>
      <c r="AC51" s="41" t="n"/>
      <c r="AD51" s="41" t="n"/>
      <c r="AE51" s="39" t="n"/>
      <c r="AF51" s="41" t="n"/>
      <c r="AG51" s="41" t="n"/>
      <c r="AH51" s="41" t="n"/>
      <c r="AI51" s="39" t="n"/>
      <c r="AJ51" s="39" t="n"/>
      <c r="AK51" s="41" t="n"/>
      <c r="AL51" s="41" t="n"/>
      <c r="AM51" s="40" t="n"/>
      <c r="AN51" s="40" t="n"/>
      <c r="AO51" s="40" t="n"/>
      <c r="AP51" s="40" t="n"/>
      <c r="AQ51" s="40" t="n"/>
      <c r="AR51" s="40" t="n"/>
      <c r="AS51" s="40" t="n"/>
      <c r="AT51" s="40" t="n"/>
      <c r="AU51" s="40" t="n"/>
      <c r="AV51" s="40" t="n"/>
      <c r="AW51" s="40" t="n"/>
      <c r="AX51" s="42" t="str">
        <f>IF(B51="","",C51&amp;"|"&amp;B51)</f>
        <v/>
      </c>
      <c r="AY51" s="43" t="str">
        <f>IF(B51="","",COUNTIFS(PIER_FORCES!$O$9:$O$3008,41,PIER_FORCES!$P$9:$P$3008,1))</f>
        <v/>
      </c>
      <c r="AZ51" s="43" t="str">
        <f>IF(B51="","",COUNTIFS(PIER_FORCES!$O$9:$O$3008,41,PIER_FORCES!$P$9:$P$3008,2))</f>
        <v/>
      </c>
      <c r="BA51" s="44">
        <f>IF(N(AY51)=0,0,SUMPRODUCT(MAX((PIER_FORCES!$O$9:$O$3008=41)*(PIER_FORCES!$P$9:$P$3008=1)*PIER_FORCES!$R$9:$R$3008)))</f>
        <v>0</v>
      </c>
      <c r="BB51" s="44">
        <f>IF(N(AY51)=0,0,SUMPRODUCT(MAX((PIER_FORCES!$O$9:$O$3008=41)*(PIER_FORCES!$P$9:$P$3008=1)*PIER_FORCES!$S$9:$S$3008)))</f>
        <v>0</v>
      </c>
      <c r="BC51" s="44">
        <f>IF(N(AY51)=0,0,-SUMPRODUCT(MAX((PIER_FORCES!$O$9:$O$3008=41)*(PIER_FORCES!$P$9:$P$3008=1)*(-PIER_FORCES!$Q$9:$Q$3008)+(1-(PIER_FORCES!$O$9:$O$3008=41)*(PIER_FORCES!$P$9:$P$3008=1))*(-1E9))))</f>
        <v>0</v>
      </c>
      <c r="BD51" s="44">
        <f>IF(N(AY51)=0,0,SUMPRODUCT(MAX((PIER_FORCES!$O$9:$O$3008=41)*(PIER_FORCES!$P$9:$P$3008=1)*PIER_FORCES!$Q$9:$Q$3008+(1-(PIER_FORCES!$O$9:$O$3008=41)*(PIER_FORCES!$P$9:$P$3008=1))*(-1E9))))</f>
        <v>0</v>
      </c>
      <c r="BE51" s="44">
        <f>IF(N(AZ51)=0,BD51,SUMPRODUCT(MAX((PIER_FORCES!$O$9:$O$3008=41)*(PIER_FORCES!$P$9:$P$3008=2)*PIER_FORCES!$Q$9:$Q$3008+(1-(PIER_FORCES!$O$9:$O$3008=41)*(PIER_FORCES!$P$9:$P$3008=2))*(-1E9))))</f>
        <v>0</v>
      </c>
      <c r="BF51" s="44">
        <f>IF(N(AZ51)=0,0,SUMPRODUCT(MAX((PIER_FORCES!$O$9:$O$3008=41)*(PIER_FORCES!$P$9:$P$3008=2)*PIER_FORCES!$R$9:$R$3008)))</f>
        <v>0</v>
      </c>
      <c r="BG51" s="43">
        <f>IF(N(AY51)=0,0,SUMPRODUCT(MAX((PIER_FORCES!$O$9:$O$3008=41)*(PIER_FORCES!$P$9:$P$3008=1)*(ABS(PIER_FORCES!$R$9:$R$3008-BA51)&lt;0.000001)*PIER_FORCES!$T$9:$T$3008)))</f>
        <v>0</v>
      </c>
      <c r="BH51" s="45" t="str">
        <f>IF(N(BG51)=0,"",INDEX(PIER_FORCES!$D$9:$D$3008,BG51)&amp;" "&amp;INDEX(PIER_FORCES!$F$9:$F$3008,BG51)&amp;" / "&amp;INDEX(PIER_FORCES!$G$9:$G$3008,BG51))</f>
        <v/>
      </c>
      <c r="BI51" s="42" t="str">
        <f>IF(B51="","",IF(AND(C51&lt;&gt;"",OR(D51="X",D51="Y"),ISNUMBER(F51),N(F51)&gt;0),"SÍ","NO"))</f>
        <v/>
      </c>
      <c r="BJ51" s="42" t="str">
        <f>IF(BI51&lt;&gt;"SÍ","",IF(DATOS!$C$108="ETABS (PIER_FORCES)",IF(N(AY51)&gt;0,"ETABS","NO ESTÁ EN PIER_FORCES"),"CAPTURA"))</f>
        <v/>
      </c>
      <c r="BK51" s="46" t="str">
        <f>IF(BI51&lt;&gt;"SÍ","",IF(BJ51="ETABS",BA51,IF(BJ51="CAPTURA",N(AQ51),0)))</f>
        <v/>
      </c>
      <c r="BL51" s="46" t="str">
        <f>IF(BI51&lt;&gt;"SÍ","",IF(BJ51="ETABS",BB51,IF(BJ51="CAPTURA",N(AR51),0)))</f>
        <v/>
      </c>
      <c r="BM51" s="46" t="str">
        <f>IF(BI51&lt;&gt;"SÍ","",IF(BJ51="ETABS",BC51/DATOS!$C$89,IF(BJ51="CAPTURA",N(AS51),0)))</f>
        <v/>
      </c>
      <c r="BN51" s="44" t="str">
        <f>IF(BI51&lt;&gt;"SÍ","",IF(BJ51="ETABS",BC51,IF(BJ51="CAPTURA",IF(ISNUMBER(AU51),AU51,N(AS51)*DATOS!$C$89),0)))</f>
        <v/>
      </c>
      <c r="BO51" s="44" t="str">
        <f>IF(BI51&lt;&gt;"SÍ","",IF(BJ51="ETABS",MAX(BD51,BE51),IF(BJ51="CAPTURA",N(AT51),0)))</f>
        <v/>
      </c>
      <c r="BP51" s="44" t="str">
        <f>IF(BI51&lt;&gt;"SÍ","",IF(BJ51="ETABS",BE51,IF(BJ51="CAPTURA",IF(ISNUMBER(AV51),AV51,N(AT51)),0)))</f>
        <v/>
      </c>
      <c r="BQ51" s="44" t="str">
        <f>IF(BI51&lt;&gt;"SÍ","",IF(BJ51="ETABS",BF51,IF(BJ51="CAPTURA",N(AW51),0)))</f>
        <v/>
      </c>
      <c r="BR51" s="43" t="str">
        <f>IF(BI51&lt;&gt;"SÍ","",IF(BK51&gt;0,100*BQ51/BK51,0))</f>
        <v/>
      </c>
      <c r="BS51" s="44" t="str">
        <f>IF(BI51&lt;&gt;"SÍ","",IF(ISNUMBER(G51),G51,DATOS!$C$57))</f>
        <v/>
      </c>
      <c r="BT51" s="47" t="str">
        <f>IF(BI51&lt;&gt;"SÍ","",IF(ISNUMBER(H51),H51,DATOS!$C$58))</f>
        <v/>
      </c>
      <c r="BU51" s="43" t="str">
        <f>IF(BI51&lt;&gt;"SÍ","",IF(N(K51)&gt;0,1+IF(N(P51)&gt;0,1+IF(N(U51)&gt;0,1+IF(N(Z51)&gt;0,1,0),0),0),0))</f>
        <v/>
      </c>
      <c r="BV51" s="45" t="str">
        <f>IF(BI51&lt;&gt;"SÍ","",IF(AND(OR(BU51&lt;1,AND(N(J51)&gt;=0-0.001,J51+K51&lt;=F51+0.001,N(L51)&gt;=0,N(L51)+N(M51)&lt;=BS51+0.001,N(M51)&gt;0,OR(I51="PUERTA",I51="VENTANA"))),OR(BU51&lt;2,AND(N(O51)&gt;=(J51+K51)-0.001,O51+P51&lt;=F51+0.001,N(Q51)&gt;=0,N(Q51)+N(R51)&lt;=BS51+0.001,N(R51)&gt;0,OR(N51="PUERTA",N51="VENTANA"))),OR(BU51&lt;3,AND(N(T51)&gt;=(O51+P51)-0.001,T51+U51&lt;=F51+0.001,N(V51)&gt;=0,N(V51)+N(W51)&lt;=BS51+0.001,N(W51)&gt;0,OR(S51="PUERTA",S51="VENTANA"))),OR(BU51&lt;4,AND(N(Y51)&gt;=(T51+U51)-0.001,Y51+Z51&lt;=F51+0.001,N(AA51)&gt;=0,N(AA51)+N(AB51)&lt;=BS51+0.001,N(AB51)&gt;0,OR(X51="PUERTA",X51="VENTANA"))),(N(K51)&gt;0)+(N(P51)&gt;0)+(N(U51)&gt;0)+(N(Z51)&gt;0)=BU51),"CUMPLE","REVISAR VANOS: tipo, orden de izquierda a derecha, que quepan en L y en H"))</f>
        <v/>
      </c>
      <c r="BW51" s="44" t="str">
        <f>IF(BI51&lt;&gt;"SÍ","",MAX(0,IF(BU51&gt;=1,N(J51),F51)))</f>
        <v/>
      </c>
      <c r="BX51" s="44" t="str">
        <f>IF(BI51&lt;&gt;"SÍ","",MAX(0,IF(BU51&gt;=2,N(O51)-(N(J51)+N(K51)),IF(BU51=1,F51-(N(J51)+N(K51)),0))))</f>
        <v/>
      </c>
      <c r="BY51" s="44" t="str">
        <f>IF(BI51&lt;&gt;"SÍ","",MAX(0,IF(BU51&gt;=3,N(T51)-(N(O51)+N(P51)),IF(BU51=2,F51-(N(O51)+N(P51)),0))))</f>
        <v/>
      </c>
      <c r="BZ51" s="44" t="str">
        <f>IF(BI51&lt;&gt;"SÍ","",MAX(0,IF(BU51&gt;=4,N(Y51)-(N(T51)+N(U51)),IF(BU51=3,F51-(N(T51)+N(U51)),0))))</f>
        <v/>
      </c>
      <c r="CA51" s="44" t="str">
        <f>IF(BI51&lt;&gt;"SÍ","",MAX(0,IF(BU51=4,F51-(N(Y51)+N(Z51)),0)))</f>
        <v/>
      </c>
      <c r="CB51" s="46" t="str">
        <f>IF(BI51&lt;&gt;"SÍ","",SUMPRODUCT((BW51:CA51&gt;=DATOS!$C$72-0.0001)*BW51:CA51))</f>
        <v/>
      </c>
      <c r="CC51" s="43" t="str">
        <f>IF(BI51&lt;&gt;"SÍ","",SUMPRODUCT(--(BW51:CA51&gt;=DATOS!$C$72-0.0001)))</f>
        <v/>
      </c>
      <c r="CD51" s="44" t="str">
        <f>IF(BI51&lt;&gt;"SÍ","",SUM(BW51:CA51))</f>
        <v/>
      </c>
      <c r="CE51" s="43" t="str">
        <f>IF(BI51&lt;&gt;"SÍ","",BT51*CB51*100)</f>
        <v/>
      </c>
      <c r="CF51" s="43" t="str">
        <f>IF(BI51&lt;&gt;"SÍ","",BT51*CD51*100)</f>
        <v/>
      </c>
      <c r="CG51" s="47" t="str">
        <f>IF(BI51&lt;&gt;"SÍ","",BS51*100/BT51)</f>
        <v/>
      </c>
      <c r="CH51" s="45" t="str">
        <f>IF(BI51&lt;&gt;"SÍ","",IF(AND(OR(DATOS!$C$14="TIPO II",BT51&gt;=12),CG51&lt;=25),"CUMPLE","NO CUMPLE: "&amp;IF(AND(DATOS!$C$14="TIPO I",BT51&lt;12),"t &lt; 12 cm ","")&amp;IF(CG51&gt;25,"H/t &gt; 25","")))</f>
        <v/>
      </c>
      <c r="CI51" s="44" t="str">
        <f>IF(BI51&lt;&gt;"SÍ","",MIN(1.5*BS51,4))</f>
        <v/>
      </c>
      <c r="CJ51" s="43" t="str">
        <f>IF(BI51&lt;&gt;"SÍ","",SUMPRODUCT((BW51:CA51&gt;=2*DATOS!$C$59/100)*INT((BW51:CA51-DATOS!$C$59/100)/CI51-0.000001)*((BW51:CA51-DATOS!$C$59/100)&gt;0)))</f>
        <v/>
      </c>
      <c r="CK51" s="43" t="str">
        <f>IF(BI51&lt;&gt;"SÍ","",SUMPRODUCT((BW51:CA51&gt;0.0001)*1+(BW51:CA51&gt;=2*DATOS!$C$59/100)*1)+CJ51)</f>
        <v/>
      </c>
      <c r="CL51" s="44" t="str">
        <f>IF(BI51&lt;&gt;"SÍ","",IF(ISNUMBER(AC51),AC51,DATOS!$C$61)*INDEX(TABLAS!$D$6:$D$14,MATCH(IF(AD51&lt;&gt;"",AD51,DATOS!$C$62),TABLAS!$B$6:$B$14,0)))</f>
        <v/>
      </c>
      <c r="CM51" s="44" t="str">
        <f>IF(BI51&lt;&gt;"SÍ","",CK51*DATOS!$C$78+IF(CK51&gt;=2,2,CK51)*(CL51-DATOS!$C$78))</f>
        <v/>
      </c>
      <c r="CN51" s="47" t="str">
        <f>IF(BI51&lt;&gt;"SÍ","",MAX(BS51*100/6,40))</f>
        <v/>
      </c>
      <c r="CO51" s="48" t="str">
        <f>IF(BI51&lt;&gt;"SÍ","",IF(CG51&lt;=20,IF(E51="INTERIOR",0.7,0.6),MIN(IF(E51="INTERIOR",0.7,0.6),(1-2/24)*(1-(IF(E51="INTERIOR",0.8,1)*CG51/30)^2))))</f>
        <v/>
      </c>
      <c r="CP51" s="47" t="str">
        <f>IF(BI51&lt;&gt;"SÍ","",DATOS!$C$87*CO51*(DATOS!$C$33*CF51+CM51*DATOS!$C$48)/1000)</f>
        <v/>
      </c>
      <c r="CQ51" s="46" t="str">
        <f>IF(BI51&lt;&gt;"SÍ","",IF(CP51&gt;0,BO51/CP51,99))</f>
        <v/>
      </c>
      <c r="CR51" s="47" t="str">
        <f>IF(BI51&lt;&gt;"SÍ","",MAX(0,F51*100-DATOS!$C$59))</f>
        <v/>
      </c>
      <c r="CS51" s="47" t="str">
        <f>IF(BI51&lt;&gt;"SÍ","",MAX(0,F51*100-DATOS!$C$59/2))</f>
        <v/>
      </c>
      <c r="CT51" s="44" t="str">
        <f>IF(BI51&lt;&gt;"SÍ","",CL51*DATOS!$C$48*CR51/100000)</f>
        <v/>
      </c>
      <c r="CU51" s="44" t="str">
        <f>IF(BI51&lt;&gt;"SÍ","",IF(BN51&lt;0,0.8*CT51*MAX(0,1+BN51/(0.8*CM51*DATOS!$C$48/1000)),IF(BN51&lt;=CP51/3,0.8*CT51+0.3*BN51*CS51/100,(1.5*0.6*CT51+0.15*CP51*CS51/100)*MAX(0,1-BN51/CP51))))</f>
        <v/>
      </c>
      <c r="CV51" s="44" t="str">
        <f>IF(BI51&lt;&gt;"SÍ","",IF(BO51&lt;0,0.8*CT51*MAX(0,1+BO51/(0.8*CM51*DATOS!$C$48/1000)),IF(BO51&lt;=CP51/3,0.8*CT51+0.3*BO51*CS51/100,(1.5*0.6*CT51+0.15*CP51*CS51/100)*MAX(0,1-BO51/CP51))))</f>
        <v/>
      </c>
      <c r="CW51" s="46" t="str">
        <f>IF(BI51&lt;&gt;"SÍ","",MAX(0,MIN(CU51,CV51)))</f>
        <v/>
      </c>
      <c r="CX51" s="49" t="str">
        <f>IF(BI51&lt;&gt;"SÍ","",IF(CW51&gt;0,BL51/CW51,IF(BL51&gt;0,99,0)))</f>
        <v/>
      </c>
      <c r="CY51" s="44" t="str">
        <f>IF(BI51&lt;&gt;"SÍ","",IF(BW51&gt;0,MAX(1,MIN(1.5,1.5-0.625*(BS51/BW51-0.2))),0))</f>
        <v/>
      </c>
      <c r="CZ51" s="44" t="str">
        <f>IF(BI51&lt;&gt;"SÍ","",IF(BX51&gt;0,MAX(1,MIN(1.5,1.5-0.625*(BS51/BX51-0.2))),0))</f>
        <v/>
      </c>
      <c r="DA51" s="44" t="str">
        <f>IF(BI51&lt;&gt;"SÍ","",IF(BY51&gt;0,MAX(1,MIN(1.5,1.5-0.625*(BS51/BY51-0.2))),0))</f>
        <v/>
      </c>
      <c r="DB51" s="44" t="str">
        <f>IF(BI51&lt;&gt;"SÍ","",IF(BZ51&gt;0,MAX(1,MIN(1.5,1.5-0.625*(BS51/BZ51-0.2))),0))</f>
        <v/>
      </c>
      <c r="DC51" s="44" t="str">
        <f>IF(BI51&lt;&gt;"SÍ","",IF(CA51&gt;0,MAX(1,MIN(1.5,1.5-0.625*(BS51/CA51-0.2))),0))</f>
        <v/>
      </c>
      <c r="DD51" s="44" t="str">
        <f>IF(BI51&lt;&gt;"SÍ","",IF(OR(BW51&lt;DATOS!$C$72-0.0001,BM51&lt;0,CB51&lt;=0),0,MIN(DATOS!$C$86*(0.5*DATOS!$C$41*BT51*BW51*100+0.3*BM51*BW51/CB51*1000)*CY51,1.5*DATOS!$C$86*DATOS!$C$41*BT51*BW51*100*CY51)/1000))</f>
        <v/>
      </c>
      <c r="DE51" s="44" t="str">
        <f>IF(BI51&lt;&gt;"SÍ","",IF(OR(BX51&lt;DATOS!$C$72-0.0001,BM51&lt;0,CB51&lt;=0),0,MIN(DATOS!$C$86*(0.5*DATOS!$C$41*BT51*BX51*100+0.3*BM51*BX51/CB51*1000)*CZ51,1.5*DATOS!$C$86*DATOS!$C$41*BT51*BX51*100*CZ51)/1000))</f>
        <v/>
      </c>
      <c r="DF51" s="44" t="str">
        <f>IF(BI51&lt;&gt;"SÍ","",IF(OR(BY51&lt;DATOS!$C$72-0.0001,BM51&lt;0,CB51&lt;=0),0,MIN(DATOS!$C$86*(0.5*DATOS!$C$41*BT51*BY51*100+0.3*BM51*BY51/CB51*1000)*DA51,1.5*DATOS!$C$86*DATOS!$C$41*BT51*BY51*100*DA51)/1000))</f>
        <v/>
      </c>
      <c r="DG51" s="44" t="str">
        <f>IF(BI51&lt;&gt;"SÍ","",IF(OR(BZ51&lt;DATOS!$C$72-0.0001,BM51&lt;0,CB51&lt;=0),0,MIN(DATOS!$C$86*(0.5*DATOS!$C$41*BT51*BZ51*100+0.3*BM51*BZ51/CB51*1000)*DB51,1.5*DATOS!$C$86*DATOS!$C$41*BT51*BZ51*100*DB51)/1000))</f>
        <v/>
      </c>
      <c r="DH51" s="44" t="str">
        <f>IF(BI51&lt;&gt;"SÍ","",IF(OR(CA51&lt;DATOS!$C$72-0.0001,BM51&lt;0,CB51&lt;=0),0,MIN(DATOS!$C$86*(0.5*DATOS!$C$41*BT51*CA51*100+0.3*BM51*CA51/CB51*1000)*DC51,1.5*DATOS!$C$86*DATOS!$C$41*BT51*CA51*100*DC51)/1000))</f>
        <v/>
      </c>
      <c r="DI51" s="46" t="str">
        <f>IF(BI51&lt;&gt;"SÍ","",SUM(DD51:DH51))</f>
        <v/>
      </c>
      <c r="DJ51" s="48" t="str">
        <f>IF(BI51&lt;&gt;"SÍ","",IF(AE51="VARILLA EN JUNTAS",IF(ISNUMBER(AF51),AF51,2)*INDEX(TABLAS!$D$6:$D$14,MATCH(IF(AG51&lt;&gt;"",AG51,DATOS!$C$73),TABLAS!$B$6:$B$14,0)),IF(AE51="MALLA",IF(ISNUMBER(AF51),AF51,1)*INDEX(TABLAS!$D$19:$D$22,MATCH(IF(AG51&lt;&gt;"",AG51,DATOS!$C$74),TABLAS!$B$19:$B$22,0))/100,IF(AE51="ESCALERILLA",IF(ISNUMBER(AF51),AF51,2)*INDEX(TABLAS!$D$6:$D$14,MATCH(IF(AG51&lt;&gt;"",AG51,DATOS!$C$73),TABLAS!$B$6:$B$14,0)),0))))</f>
        <v/>
      </c>
      <c r="DK51" s="47" t="str">
        <f>IF(BI51&lt;&gt;"SÍ","",IF(OR(AE51="VARILLA EN JUNTAS",AE51="ESCALERILLA"),IF(ISNUMBER(AH51),AH51,2)*DATOS!$C$26,IF(AE51="MALLA",1,0)))</f>
        <v/>
      </c>
      <c r="DL51" s="44" t="str">
        <f>IF(BI51&lt;&gt;"SÍ","",IF(DK51&gt;0,DJ51/(DK51*BT51)*MIN(DATOS!$C$50,IF(AE51="MALLA",5000,6000)),0))</f>
        <v/>
      </c>
      <c r="DM51" s="44" t="str">
        <f>IF(BI51&lt;&gt;"SÍ","",IF(AE51="ESCALERILLA",0,MIN(DL51,0.1*DATOS!$C$33*DATOS!$C$24)))</f>
        <v/>
      </c>
      <c r="DN51" s="48" t="str">
        <f>IF(BI51&lt;&gt;"SÍ","",IF(AE51="MALLA",0.5,IF(DATOS!$C$33&lt;=60,0.55,IF(DATOS!$C$33&gt;=90,0.75,0.55+0.2*(DATOS!$C$33-60)/30))))</f>
        <v/>
      </c>
      <c r="DO51" s="48" t="str">
        <f>IF(BI51&lt;&gt;"SÍ","",1-DATOS!$C$91*DM51)</f>
        <v/>
      </c>
      <c r="DP51" s="44" t="str">
        <f>IF(BI51&lt;&gt;"SÍ","",IF(BW51&gt;0,IF(BS51/BW51&lt;=1,1.3,IF(BS51/BW51&gt;=1.5,1,1.3-0.6*(BS51/BW51-1))),0))</f>
        <v/>
      </c>
      <c r="DQ51" s="44" t="str">
        <f>IF(BI51&lt;&gt;"SÍ","",IF(BX51&gt;0,IF(BS51/BX51&lt;=1,1.3,IF(BS51/BX51&gt;=1.5,1,1.3-0.6*(BS51/BX51-1))),0))</f>
        <v/>
      </c>
      <c r="DR51" s="44" t="str">
        <f>IF(BI51&lt;&gt;"SÍ","",IF(BY51&gt;0,IF(BS51/BY51&lt;=1,1.3,IF(BS51/BY51&gt;=1.5,1,1.3-0.6*(BS51/BY51-1))),0))</f>
        <v/>
      </c>
      <c r="DS51" s="44" t="str">
        <f>IF(BI51&lt;&gt;"SÍ","",IF(BZ51&gt;0,IF(BS51/BZ51&lt;=1,1.3,IF(BS51/BZ51&gt;=1.5,1,1.3-0.6*(BS51/BZ51-1))),0))</f>
        <v/>
      </c>
      <c r="DT51" s="44" t="str">
        <f>IF(BI51&lt;&gt;"SÍ","",IF(CA51&gt;0,IF(BS51/CA51&lt;=1,1.3,IF(BS51/CA51&gt;=1.5,1,1.3-0.6*(BS51/CA51-1))),0))</f>
        <v/>
      </c>
      <c r="DU51" s="44" t="str">
        <f>IF(BI51&lt;&gt;"SÍ","",IF(OR(DM51&lt;=0,BW51&lt;DATOS!$C$72-0.0001),0,DATOS!$C$86*MAX(0,IF(BM51&gt;=0,DD51/(DATOS!$C$86*DM51*BT51*BW51*100/1000)*(DP51*DO51-1)+DN51,DO51*DN51))*DM51*BT51*BW51*100/1000))</f>
        <v/>
      </c>
      <c r="DV51" s="44" t="str">
        <f>IF(BI51&lt;&gt;"SÍ","",IF(OR(DM51&lt;=0,BX51&lt;DATOS!$C$72-0.0001),0,DATOS!$C$86*MAX(0,IF(BM51&gt;=0,DE51/(DATOS!$C$86*DM51*BT51*BX51*100/1000)*(DQ51*DO51-1)+DN51,DO51*DN51))*DM51*BT51*BX51*100/1000))</f>
        <v/>
      </c>
      <c r="DW51" s="44" t="str">
        <f>IF(BI51&lt;&gt;"SÍ","",IF(OR(DM51&lt;=0,BY51&lt;DATOS!$C$72-0.0001),0,DATOS!$C$86*MAX(0,IF(BM51&gt;=0,DF51/(DATOS!$C$86*DM51*BT51*BY51*100/1000)*(DR51*DO51-1)+DN51,DO51*DN51))*DM51*BT51*BY51*100/1000))</f>
        <v/>
      </c>
      <c r="DX51" s="44" t="str">
        <f>IF(BI51&lt;&gt;"SÍ","",IF(OR(DM51&lt;=0,BZ51&lt;DATOS!$C$72-0.0001),0,DATOS!$C$86*MAX(0,IF(BM51&gt;=0,DG51/(DATOS!$C$86*DM51*BT51*BZ51*100/1000)*(DS51*DO51-1)+DN51,DO51*DN51))*DM51*BT51*BZ51*100/1000))</f>
        <v/>
      </c>
      <c r="DY51" s="44" t="str">
        <f>IF(BI51&lt;&gt;"SÍ","",IF(OR(DM51&lt;=0,CA51&lt;DATOS!$C$72-0.0001),0,DATOS!$C$86*MAX(0,IF(BM51&gt;=0,DH51/(DATOS!$C$86*DM51*BT51*CA51*100/1000)*(DT51*DO51-1)+DN51,DO51*DN51))*DM51*BT51*CA51*100/1000))</f>
        <v/>
      </c>
      <c r="DZ51" s="46" t="str">
        <f>IF(BI51&lt;&gt;"SÍ","",SUM(DU51:DY51))</f>
        <v/>
      </c>
      <c r="EA51" s="45" t="str">
        <f>IF(BI51&lt;&gt;"SÍ","",IF(OR(AE51="",AE51="NINGUNO"),IF(DATOS!$C$41&gt;=10,"FALTA refuerzo horizontal: v'm ≥ 10 kg/cm² (6.5.2.2)",IF(AND(BM51&lt;0,BK51&gt;0),"FALTA: P en tensión, el refuerzo debe tomar todo el cortante (6.5.1.3)","—")),IF(AE51="ESCALERILLA","NO CUENTA: la escalerilla no se permite para cortante por sismo (6.5.3.1.2)",IF(AE51="MALLA",IF(AND(DL51&gt;=2.5,DL51&lt;=MAX(0.15*DATOS!$C$33*DATOS!$C$24,2.5)),"CUMPLE","NO CUMPLE: "&amp;IF(DL51&lt;2.5,"p_h·f_yh &lt; 2.5 (6.5.4.2.4)","p_h·f_yh &gt; 0.15·f'm·f_an (6.5.4.2.4)")),IF(AND(DK51&lt;=MIN(6*DATOS!$C$26,45),DL51&gt;=3,DL51&lt;=MIN(MAX(0.15*DATOS!$C$33*DATOS!$C$24,3),0.05*DATOS!$C$25/10*MIN(DATOS!$C$50,6000)/DK51),INDEX(TABLAS!$C$6:$C$14,MATCH(IF(AG51&lt;&gt;"",AG51,DATOS!$C$73),TABLAS!$B$6:$B$14,0))&gt;=0.35,INDEX(TABLAS!$C$6:$C$14,MATCH(IF(AG51&lt;&gt;"",AG51,DATOS!$C$73),TABLAS!$B$6:$B$14,0))&lt;=0.75*DATOS!$C$25/10),"CUMPLE","NO CUMPLE: "&amp;IF(DK51&gt;MIN(6*DATOS!$C$26,45),"s_h &gt; 6 hiladas o 45 cm (6.5.3.2.1) ","")&amp;IF(DL51&lt;3,"p_h·f_yh &lt; 3 (6.5.3.3.1) ","")&amp;IF(DL51&gt;MIN(MAX(0.15*DATOS!$C$33*DATOS!$C$24,3),0.05*DATOS!$C$25/10*MIN(DATOS!$C$50,6000)/DK51),"p_h·f_yh &gt; máximo (6.5.3.3.2) ","")&amp;IF(OR(INDEX(TABLAS!$C$6:$C$14,MATCH(IF(AG51&lt;&gt;"",AG51,DATOS!$C$73),TABLAS!$B$6:$B$14,0))&lt;0.35,INDEX(TABLAS!$C$6:$C$14,MATCH(IF(AG51&lt;&gt;"",AG51,DATOS!$C$73),TABLAS!$B$6:$B$14,0))&gt;0.75*DATOS!$C$25/10),"diámetro fuera de 3.5 mm a 0.75·h_j (4.2.2.2.1)",""))))))</f>
        <v/>
      </c>
      <c r="EB51" s="46" t="str">
        <f>IF(BI51&lt;&gt;"SÍ","",DI51+DZ51)</f>
        <v/>
      </c>
      <c r="EC51" s="50" t="str">
        <f>IF(BI51&lt;&gt;"SÍ","",IF(EB51&gt;0,BK51/EB51,IF(BK51&gt;0,99,0)))</f>
        <v/>
      </c>
      <c r="ED51" s="47" t="str">
        <f>IF(BI51&lt;&gt;"SÍ","",IF(CE51&lt;=0,-1,IF(BK51&lt;=DI51,0,IF(IF(BM51&gt;=0,IF((DATOS!$C$86*IF(AE51="MALLA",0.5,IF(DATOS!$C$33&lt;=60,0.55,IF(DATOS!$C$33&gt;=90,0.75,0.55+0.2*(DATOS!$C$33-60)/30)))*CE51/1000-DATOS!$C$91*SUMPRODUCT(DP51:DT51,DD51:DH51))&lt;=0,1E9,(BK51-SUMPRODUCT(DP51:DT51,DD51:DH51))/(DATOS!$C$86*IF(AE51="MALLA",0.5,IF(DATOS!$C$33&lt;=60,0.55,IF(DATOS!$C$33&gt;=90,0.75,0.55+0.2*(DATOS!$C$33-60)/30)))*CE51/1000-DATOS!$C$91*SUMPRODUCT(DP51:DT51,DD51:DH51))),IF((1-4*DATOS!$C$91*BK51*1000/(DATOS!$C$86*IF(AE51="MALLA",0.5,IF(DATOS!$C$33&lt;=60,0.55,IF(DATOS!$C$33&gt;=90,0.75,0.55+0.2*(DATOS!$C$33-60)/30)))*MAX(CE51,1)))&lt;0,1E9,(1-SQRT((1-4*DATOS!$C$91*BK51*1000/(DATOS!$C$86*IF(AE51="MALLA",0.5,IF(DATOS!$C$33&lt;=60,0.55,IF(DATOS!$C$33&gt;=90,0.75,0.55+0.2*(DATOS!$C$33-60)/30)))*MAX(CE51,1)))))/(2*DATOS!$C$91)))&gt;0.1*DATOS!$C$33*DATOS!$C$24+0.000001,-1,MAX(IF(AE51="MALLA",2.5,3),IF(BM51&gt;=0,IF((DATOS!$C$86*IF(AE51="MALLA",0.5,IF(DATOS!$C$33&lt;=60,0.55,IF(DATOS!$C$33&gt;=90,0.75,0.55+0.2*(DATOS!$C$33-60)/30)))*CE51/1000-DATOS!$C$91*SUMPRODUCT(DP51:DT51,DD51:DH51))&lt;=0,1E9,(BK51-SUMPRODUCT(DP51:DT51,DD51:DH51))/(DATOS!$C$86*IF(AE51="MALLA",0.5,IF(DATOS!$C$33&lt;=60,0.55,IF(DATOS!$C$33&gt;=90,0.75,0.55+0.2*(DATOS!$C$33-60)/30)))*CE51/1000-DATOS!$C$91*SUMPRODUCT(DP51:DT51,DD51:DH51))),IF((1-4*DATOS!$C$91*BK51*1000/(DATOS!$C$86*IF(AE51="MALLA",0.5,IF(DATOS!$C$33&lt;=60,0.55,IF(DATOS!$C$33&gt;=90,0.75,0.55+0.2*(DATOS!$C$33-60)/30)))*MAX(CE51,1)))&lt;0,1E9,(1-SQRT((1-4*DATOS!$C$91*BK51*1000/(DATOS!$C$86*IF(AE51="MALLA",0.5,IF(DATOS!$C$33&lt;=60,0.55,IF(DATOS!$C$33&gt;=90,0.75,0.55+0.2*(DATOS!$C$33-60)/30)))*MAX(CE51,1)))))/(2*DATOS!$C$91))))))))</f>
        <v/>
      </c>
      <c r="EE51" s="45" t="str">
        <f>IF(BI51&lt;&gt;"SÍ","",IF(ED51=0,"NO REQUIERE: V_mR ≥ V_u",IF(ED51&lt;0,"NO ALCANZA con refuerzo horizontal (haría falta más de 0.1·f'm·f_an efectivo): sube v'm con ensayes, el espesor o la longitud del muro",IF(AND(OR(AE51="VARILLA EN JUNTAS",AE51="MALLA"),LEFT(EA51,6)="CUMPLE",EC51&lt;=1),"YA LO TIENE (pide p_h·f_yh ≥ "&amp;TEXT(ED51,"0.0")&amp;" kg/cm²)","p_h·f_yh ≥ "&amp;TEXT(ED51,"0.0")&amp;" kg/cm² → "&amp;IF(AND(MIN(6,FLOOR(45/DATOS!$C$26,1),FLOOR((2*INDEX(TABLAS!$D$6:$D$14,MATCH("3/16 in",TABLAS!$B$6:$B$14,0)))*MIN(DATOS!$C$50,6000)/(BT51*DATOS!$C$26*MAX(ED51,0.001)),1))&gt;=1,((2*INDEX(TABLAS!$D$6:$D$14,MATCH("3/16 in",TABLAS!$B$6:$B$14,0)))*MIN(DATOS!$C$50,6000)/(MAX(MIN(6,FLOOR(45/DATOS!$C$26,1),FLOOR((2*INDEX(TABLAS!$D$6:$D$14,MATCH("3/16 in",TABLAS!$B$6:$B$14,0)))*MIN(DATOS!$C$50,6000)/(BT51*DATOS!$C$26*MAX(ED51,0.001)),1)),1)*DATOS!$C$26*BT51))&lt;=MIN(MAX(0.15*DATOS!$C$33*DATOS!$C$24,3),0.05*DATOS!$C$25/10*MIN(DATOS!$C$50,6000)/(MIN(6,FLOOR(45/DATOS!$C$26,1),FLOOR((2*INDEX(TABLAS!$D$6:$D$14,MATCH("3/16 in",TABLAS!$B$6:$B$14,0)))*MIN(DATOS!$C$50,6000)/(BT51*DATOS!$C$26*MAX(ED51,0.001)),1))*DATOS!$C$26))),"2 alambres de 3/16"" por junta cada "&amp;MIN(6,FLOOR(45/DATOS!$C$26,1),FLOOR((2*INDEX(TABLAS!$D$6:$D$14,MATCH("3/16 in",TABLAS!$B$6:$B$14,0)))*MIN(DATOS!$C$50,6000)/(BT51*DATOS!$C$26*MAX(ED51,0.001)),1))&amp;" hilada(s) (p_h·f_yh = "&amp;TEXT(((2*INDEX(TABLAS!$D$6:$D$14,MATCH("3/16 in",TABLAS!$B$6:$B$14,0)))*MIN(DATOS!$C$50,6000)/(MAX(MIN(6,FLOOR(45/DATOS!$C$26,1),FLOOR((2*INDEX(TABLAS!$D$6:$D$14,MATCH("3/16 in",TABLAS!$B$6:$B$14,0)))*MIN(DATOS!$C$50,6000)/(BT51*DATOS!$C$26*MAX(ED51,0.001)),1)),1)*DATOS!$C$26*BT51)),"0.00")&amp;")",IF(AND(MIN(6,FLOOR(45/DATOS!$C$26,1),FLOOR((2*INDEX(TABLAS!$D$6:$D$14,MATCH("5/32 in",TABLAS!$B$6:$B$14,0)))*MIN(DATOS!$C$50,6000)/(BT51*DATOS!$C$26*MAX(ED51,0.001)),1))&gt;=1,((2*INDEX(TABLAS!$D$6:$D$14,MATCH("5/32 in",TABLAS!$B$6:$B$14,0)))*MIN(DATOS!$C$50,6000)/(MAX(MIN(6,FLOOR(45/DATOS!$C$26,1),FLOOR((2*INDEX(TABLAS!$D$6:$D$14,MATCH("5/32 in",TABLAS!$B$6:$B$14,0)))*MIN(DATOS!$C$50,6000)/(BT51*DATOS!$C$26*MAX(ED51,0.001)),1)),1)*DATOS!$C$26*BT51))&lt;=MIN(MAX(0.15*DATOS!$C$33*DATOS!$C$24,3),0.05*DATOS!$C$25/10*MIN(DATOS!$C$50,6000)/(MIN(6,FLOOR(45/DATOS!$C$26,1),FLOOR((2*INDEX(TABLAS!$D$6:$D$14,MATCH("5/32 in",TABLAS!$B$6:$B$14,0)))*MIN(DATOS!$C$50,6000)/(BT51*DATOS!$C$26*MAX(ED51,0.001)),1))*DATOS!$C$26))),"2 alambres de 5/32"" por junta cada "&amp;MIN(6,FLOOR(45/DATOS!$C$26,1),FLOOR((2*INDEX(TABLAS!$D$6:$D$14,MATCH("5/32 in",TABLAS!$B$6:$B$14,0)))*MIN(DATOS!$C$50,6000)/(BT51*DATOS!$C$26*MAX(ED51,0.001)),1))&amp;" hilada(s) (p_h·f_yh = "&amp;TEXT(((2*INDEX(TABLAS!$D$6:$D$14,MATCH("5/32 in",TABLAS!$B$6:$B$14,0)))*MIN(DATOS!$C$50,6000)/(MAX(MIN(6,FLOOR(45/DATOS!$C$26,1),FLOOR((2*INDEX(TABLAS!$D$6:$D$14,MATCH("5/32 in",TABLAS!$B$6:$B$14,0)))*MIN(DATOS!$C$50,6000)/(BT51*DATOS!$C$26*MAX(ED51,0.001)),1)),1)*DATOS!$C$26*BT51)),"0.00")&amp;")",IF(AND(MIN(6,FLOOR(45/DATOS!$C$26,1),FLOOR((1*INDEX(TABLAS!$D$6:$D$14,MATCH("3/16 in",TABLAS!$B$6:$B$14,0)))*MIN(DATOS!$C$50,6000)/(BT51*DATOS!$C$26*MAX(ED51,0.001)),1))&gt;=1,((1*INDEX(TABLAS!$D$6:$D$14,MATCH("3/16 in",TABLAS!$B$6:$B$14,0)))*MIN(DATOS!$C$50,6000)/(MAX(MIN(6,FLOOR(45/DATOS!$C$26,1),FLOOR((1*INDEX(TABLAS!$D$6:$D$14,MATCH("3/16 in",TABLAS!$B$6:$B$14,0)))*MIN(DATOS!$C$50,6000)/(BT51*DATOS!$C$26*MAX(ED51,0.001)),1)),1)*DATOS!$C$26*BT51))&lt;=MIN(MAX(0.15*DATOS!$C$33*DATOS!$C$24,3),0.05*DATOS!$C$25/10*MIN(DATOS!$C$50,6000)/(MIN(6,FLOOR(45/DATOS!$C$26,1),FLOOR((1*INDEX(TABLAS!$D$6:$D$14,MATCH("3/16 in",TABLAS!$B$6:$B$14,0)))*MIN(DATOS!$C$50,6000)/(BT51*DATOS!$C$26*MAX(ED51,0.001)),1))*DATOS!$C$26))),"1 alambre de 3/16"" por junta cada "&amp;MIN(6,FLOOR(45/DATOS!$C$26,1),FLOOR((1*INDEX(TABLAS!$D$6:$D$14,MATCH("3/16 in",TABLAS!$B$6:$B$14,0)))*MIN(DATOS!$C$50,6000)/(BT51*DATOS!$C$26*MAX(ED51,0.001)),1))&amp;" hilada(s) (p_h·f_yh = "&amp;TEXT(((1*INDEX(TABLAS!$D$6:$D$14,MATCH("3/16 in",TABLAS!$B$6:$B$14,0)))*MIN(DATOS!$C$50,6000)/(MAX(MIN(6,FLOOR(45/DATOS!$C$26,1),FLOOR((1*INDEX(TABLAS!$D$6:$D$14,MATCH("3/16 in",TABLAS!$B$6:$B$14,0)))*MIN(DATOS!$C$50,6000)/(BT51*DATOS!$C$26*MAX(ED51,0.001)),1)),1)*DATOS!$C$26*BT51)),"0.00")&amp;")",IF(AND(MIN(6,FLOOR(45/DATOS!$C$26,1),FLOOR((1*INDEX(TABLAS!$D$6:$D$14,MATCH("5/32 in",TABLAS!$B$6:$B$14,0)))*MIN(DATOS!$C$50,6000)/(BT51*DATOS!$C$26*MAX(ED51,0.001)),1))&gt;=1,((1*INDEX(TABLAS!$D$6:$D$14,MATCH("5/32 in",TABLAS!$B$6:$B$14,0)))*MIN(DATOS!$C$50,6000)/(MAX(MIN(6,FLOOR(45/DATOS!$C$26,1),FLOOR((1*INDEX(TABLAS!$D$6:$D$14,MATCH("5/32 in",TABLAS!$B$6:$B$14,0)))*MIN(DATOS!$C$50,6000)/(BT51*DATOS!$C$26*MAX(ED51,0.001)),1)),1)*DATOS!$C$26*BT51))&lt;=MIN(MAX(0.15*DATOS!$C$33*DATOS!$C$24,3),0.05*DATOS!$C$25/10*MIN(DATOS!$C$50,6000)/(MIN(6,FLOOR(45/DATOS!$C$26,1),FLOOR((1*INDEX(TABLAS!$D$6:$D$14,MATCH("5/32 in",TABLAS!$B$6:$B$14,0)))*MIN(DATOS!$C$50,6000)/(BT51*DATOS!$C$26*MAX(ED51,0.001)),1))*DATOS!$C$26))),"1 alambre de 5/32"" por junta cada "&amp;MIN(6,FLOOR(45/DATOS!$C$26,1),FLOOR((1*INDEX(TABLAS!$D$6:$D$14,MATCH("5/32 in",TABLAS!$B$6:$B$14,0)))*MIN(DATOS!$C$50,6000)/(BT51*DATOS!$C$26*MAX(ED51,0.001)),1))&amp;" hilada(s) (p_h·f_yh = "&amp;TEXT(((1*INDEX(TABLAS!$D$6:$D$14,MATCH("5/32 in",TABLAS!$B$6:$B$14,0)))*MIN(DATOS!$C$50,6000)/(MAX(MIN(6,FLOOR(45/DATOS!$C$26,1),FLOOR((1*INDEX(TABLAS!$D$6:$D$14,MATCH("5/32 in",TABLAS!$B$6:$B$14,0)))*MIN(DATOS!$C$50,6000)/(BT51*DATOS!$C$26*MAX(ED51,0.001)),1)),1)*DATOS!$C$26*BT51)),"0.00")&amp;")","ninguna combinación de 1 o 2 alambres por junta queda entre el mínimo y el máximo: revisa con malla (6.5.4)"))))))))</f>
        <v/>
      </c>
      <c r="EF51" s="43" t="str">
        <f>IF(BI51&lt;&gt;"SÍ","",IF(AI51="SÍ",N(AK51)*N(AL51)^3/12,0))</f>
        <v/>
      </c>
      <c r="EG51" s="48" t="str">
        <f>IF(BI51&lt;&gt;"SÍ","",IF(AND(AI51="SÍ",N(AM51)&gt;0),MIN(1,F51/AM51),0))</f>
        <v/>
      </c>
      <c r="EH51" s="47" t="str">
        <f>IF(BI51&lt;&gt;"SÍ","",IF(AI51="SÍ",BP51*1000/(BT51*F51*100)*BT51*(EG51^4-4*EG51^3+8*EG51),0))</f>
        <v/>
      </c>
      <c r="EI51" s="48" t="str">
        <f>IF(BI51&lt;&gt;"SÍ","",IF(AND(AI51="SÍ",EH51&gt;0),EH51/(EH51+5*N(AN51)*10),0))</f>
        <v/>
      </c>
      <c r="EJ51" s="44" t="str">
        <f>IF(BI51&lt;&gt;"SÍ","",IF(AND(AI51="SÍ",EI51&gt;0,EF51&gt;0),(DATOS!$C$43*BT51*(AM51*100)^3/(DATOS!$C$53*EF51*EI51))^0.25,0))</f>
        <v/>
      </c>
      <c r="EK51" s="44" t="str">
        <f>IF(BI51&lt;&gt;"SÍ","",IF(AI51&lt;&gt;"SÍ",0,IF(N(AM51)&lt;=F51,1,IF(MIN(1,N(AO51)/((AM51-F51)/2))&lt;=0.5,0.7+0.6*MIN(1,N(AO51)/((AM51-F51)/2)),1.5-MIN(1,N(AO51)/((AM51-F51)/2))))))</f>
        <v/>
      </c>
      <c r="EL51" s="44" t="str">
        <f>IF(BI51&lt;&gt;"SÍ","",IF(AI51&lt;&gt;"SÍ",0,MAX(1,IF(EG51&gt;=1,(1.6*EJ51-3.9),IF(EG51&lt;0.9,((3.2*EJ51-7.8)*EK51),((3.2*EJ51-7.8)*EK51)+((1.6*EJ51-3.9)-((3.2*EJ51-7.8)*EK51))*(EG51-0.9)/0.1)))))</f>
        <v/>
      </c>
      <c r="EM51" s="47" t="str">
        <f>IF(BI51&lt;&gt;"SÍ","",IF(AI51="SÍ",EL51*BP51*1000/(BT51*F51*100),0))</f>
        <v/>
      </c>
      <c r="EN51" s="47" t="str">
        <f>IF(BI51&lt;&gt;"SÍ","",IF(AND(AI51="SÍ",N(AL51)&gt;0),AM51*100/AL51,0))</f>
        <v/>
      </c>
      <c r="EO51" s="47" t="str">
        <f>IF(BI51&lt;&gt;"SÍ","",IF(AI51="SÍ",(1/15*DATOS!$C$53*N(AK51)/MAX((IF(ISNUMBER(AP51),AP51,BP51/DATOS!$C$90)*1000/(BT51*F51*100)*BT51*(EG51^4-4*EG51^3+8*EG51))+5*N(AN51)/DATOS!$C$90*10,0.001))^(1/3),0))</f>
        <v/>
      </c>
      <c r="EP51" s="45" t="str">
        <f>IF(BI51&lt;&gt;"SÍ","",IF(AI51&lt;&gt;"SÍ","—",IF(OR(N(AK51)&lt;=0,N(AL51)&lt;=0,N(AM51)&lt;=0),"REVISAR: faltan b, h o L_v de la viga",IF(AND(EM51&lt;=DATOS!$C$87*DATOS!$C$33,EN51&lt;=14,N(AL51)&gt;=25,EN51&lt;=EO51),IF(BS51/F51&lt;0.6,"PENDIENTE: H/L &lt; 0.6, falta el análisis de interacción muro–viga (4.1.18.2.1); f_CM es estimado","CUMPLE"),"NO CUMPLE: "&amp;IF(EM51&gt;DATOS!$C$87*DATOS!$C$33,"f_CM &gt; F_R·f'm ","")&amp;IF(EN51&gt;14,"L_v/h_v &gt; 14 ","")&amp;IF(N(AL51)&lt;25,"h_v &lt; 25 cm ","")&amp;IF(EN51&gt;EO51,"flecha (4.1.18.3)","")))))</f>
        <v/>
      </c>
      <c r="EQ51" s="44" t="str">
        <f>IF(BI51&lt;&gt;"SÍ","",MAX(0,F51*BS51-(N(K51)*N(M51)+N(P51)*N(R51)+N(U51)*N(W51)+N(Z51)*N(AB51))-CK51*DATOS!$C$59/100*BS51))</f>
        <v/>
      </c>
      <c r="ER51" s="48" t="str">
        <f>IF(BI51&lt;&gt;"SÍ","",CK51*DATOS!$C$59*DATOS!$C$60/10000*BS51)</f>
        <v/>
      </c>
      <c r="ES51" s="47" t="str">
        <f>IF(BI51&lt;&gt;"SÍ","",CK51*(DATOS!$C$61*(BS51+0.6)*INDEX(TABLAS!$E$6:$E$14,MATCH(DATOS!$C$62,TABLAS!$B$6:$B$14,0))+(2*ROUNDUP(CN51/DATOS!$C$65,0)+ROUNDUP(MAX(0,BS51*100-2*CN51)/DATOS!$C$64,0))*((2*(DATOS!$C$60+DATOS!$C$59-4*(DATOS!$C$66-INDEX(TABLAS!$C$6:$C$14,MATCH(DATOS!$C$63,TABLAS!$B$6:$B$14,0))))+15)/100)*INDEX(TABLAS!$E$6:$E$14,MATCH(DATOS!$C$63,TABLAS!$B$6:$B$14,0))))</f>
        <v/>
      </c>
      <c r="ET51" s="47" t="str">
        <f>IF(BI51&lt;&gt;"SÍ","",IF(OR(AE51="VARILLA EN JUNTAS",AE51="ESCALERILLA"),INT(BS51*100/MAX(DK51,1))*IF(ISNUMBER(AF51),AF51,2)*CB51*INDEX(TABLAS!$E$6:$E$14,MATCH(IF(AG51&lt;&gt;"",AG51,DATOS!$C$73),TABLAS!$B$6:$B$14,0)),IF(AE51="MALLA",IF(ISNUMBER(AF51),AF51,1)*CB51*BS51*INDEX(TABLAS!$E$19:$E$22,MATCH(IF(AG51&lt;&gt;"",AG51,DATOS!$C$74),TABLAS!$B$19:$B$22,0)),0)))</f>
        <v/>
      </c>
      <c r="EU51" s="45" t="str">
        <f>IF(BI51&lt;&gt;"SÍ","",""&amp;IF(BJ51="NO ESTÁ EN PIER_FORCES","sin fuerzas en PIER_FORCES; ","")&amp;IF(BV51&lt;&gt;"CUMPLE","vanos; ","")&amp;IF(LEFT(CH51,2)="NO","espesor o esbeltez; ","")&amp;IF(CQ51&gt;1,"compresión; ","")&amp;IF(CX51&gt;1,"flexión; ","")&amp;IF(CB51&lt;=0,"sin tramos de muro (todos son machones menores que L mín.: diséñalos como columnas o baja L mín.); ",IF(EC51&gt;1,"cortante; ",""))&amp;IF(OR(LEFT(EA51,2)="NO",LEFT(EA51,5)="FALTA"),"refuerzo horizontal; ","")&amp;IF(OR(LEFT(EP51,2)="NO",LEFT(EP51,7)="REVISAR"),"muro sobre viga; ","")&amp;IF(LEFT(DATOS!$C$81,2)="NO","castillo típico; ","")&amp;IF(LEFT(DATOS!$C$82,2)="NO","dala típica; ","")&amp;IF(AND(BT51&lt;&gt;DATOS!$C$58,DATOS!$C$60&lt;BT51),"castillo más angosto que el muro; ",""))</f>
        <v/>
      </c>
      <c r="EV51" s="45" t="str">
        <f>IF(BI51&lt;&gt;"SÍ","",""&amp;IF(LEFT(EP51,9)="PENDIENTE","análisis muro–viga (H/L &lt; 0.6); ","")&amp;IF(BR51&gt;50,"V_u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1" s="51" t="str">
        <f>IF(BI51&lt;&gt;"SÍ","",IF(EU51&lt;&gt;"","NO CUMPLE: "&amp;LEFT(EU51,LEN(EU51)-2),IF(EV51&lt;&gt;"","CUMPLE — PENDIENTE: "&amp;LEFT(EV51,LEN(EV51)-2),"CUMPLE")))</f>
        <v/>
      </c>
      <c r="EX51" s="52" t="n"/>
    </row>
    <row r="52" ht="30" customHeight="1">
      <c r="A52" s="38" t="str">
        <f>IF(B52="","",ROW()-10)</f>
        <v/>
      </c>
      <c r="B52" s="28" t="n"/>
      <c r="C52" s="39" t="n"/>
      <c r="D52" s="39" t="n"/>
      <c r="E52" s="39" t="n"/>
      <c r="F52" s="40" t="n"/>
      <c r="G52" s="40" t="n"/>
      <c r="H52" s="41" t="n"/>
      <c r="I52" s="39" t="n"/>
      <c r="J52" s="40" t="n"/>
      <c r="K52" s="40" t="n"/>
      <c r="L52" s="40" t="n"/>
      <c r="M52" s="40" t="n"/>
      <c r="N52" s="39" t="n"/>
      <c r="O52" s="40" t="n"/>
      <c r="P52" s="40" t="n"/>
      <c r="Q52" s="40" t="n"/>
      <c r="R52" s="40" t="n"/>
      <c r="S52" s="39" t="n"/>
      <c r="T52" s="40" t="n"/>
      <c r="U52" s="40" t="n"/>
      <c r="V52" s="40" t="n"/>
      <c r="W52" s="40" t="n"/>
      <c r="X52" s="39" t="n"/>
      <c r="Y52" s="40" t="n"/>
      <c r="Z52" s="40" t="n"/>
      <c r="AA52" s="40" t="n"/>
      <c r="AB52" s="40" t="n"/>
      <c r="AC52" s="41" t="n"/>
      <c r="AD52" s="41" t="n"/>
      <c r="AE52" s="39" t="n"/>
      <c r="AF52" s="41" t="n"/>
      <c r="AG52" s="41" t="n"/>
      <c r="AH52" s="41" t="n"/>
      <c r="AI52" s="39" t="n"/>
      <c r="AJ52" s="39" t="n"/>
      <c r="AK52" s="41" t="n"/>
      <c r="AL52" s="41" t="n"/>
      <c r="AM52" s="40" t="n"/>
      <c r="AN52" s="40" t="n"/>
      <c r="AO52" s="40" t="n"/>
      <c r="AP52" s="40" t="n"/>
      <c r="AQ52" s="40" t="n"/>
      <c r="AR52" s="40" t="n"/>
      <c r="AS52" s="40" t="n"/>
      <c r="AT52" s="40" t="n"/>
      <c r="AU52" s="40" t="n"/>
      <c r="AV52" s="40" t="n"/>
      <c r="AW52" s="40" t="n"/>
      <c r="AX52" s="42" t="str">
        <f>IF(B52="","",C52&amp;"|"&amp;B52)</f>
        <v/>
      </c>
      <c r="AY52" s="43" t="str">
        <f>IF(B52="","",COUNTIFS(PIER_FORCES!$O$9:$O$3008,42,PIER_FORCES!$P$9:$P$3008,1))</f>
        <v/>
      </c>
      <c r="AZ52" s="43" t="str">
        <f>IF(B52="","",COUNTIFS(PIER_FORCES!$O$9:$O$3008,42,PIER_FORCES!$P$9:$P$3008,2))</f>
        <v/>
      </c>
      <c r="BA52" s="44">
        <f>IF(N(AY52)=0,0,SUMPRODUCT(MAX((PIER_FORCES!$O$9:$O$3008=42)*(PIER_FORCES!$P$9:$P$3008=1)*PIER_FORCES!$R$9:$R$3008)))</f>
        <v>0</v>
      </c>
      <c r="BB52" s="44">
        <f>IF(N(AY52)=0,0,SUMPRODUCT(MAX((PIER_FORCES!$O$9:$O$3008=42)*(PIER_FORCES!$P$9:$P$3008=1)*PIER_FORCES!$S$9:$S$3008)))</f>
        <v>0</v>
      </c>
      <c r="BC52" s="44">
        <f>IF(N(AY52)=0,0,-SUMPRODUCT(MAX((PIER_FORCES!$O$9:$O$3008=42)*(PIER_FORCES!$P$9:$P$3008=1)*(-PIER_FORCES!$Q$9:$Q$3008)+(1-(PIER_FORCES!$O$9:$O$3008=42)*(PIER_FORCES!$P$9:$P$3008=1))*(-1E9))))</f>
        <v>0</v>
      </c>
      <c r="BD52" s="44">
        <f>IF(N(AY52)=0,0,SUMPRODUCT(MAX((PIER_FORCES!$O$9:$O$3008=42)*(PIER_FORCES!$P$9:$P$3008=1)*PIER_FORCES!$Q$9:$Q$3008+(1-(PIER_FORCES!$O$9:$O$3008=42)*(PIER_FORCES!$P$9:$P$3008=1))*(-1E9))))</f>
        <v>0</v>
      </c>
      <c r="BE52" s="44">
        <f>IF(N(AZ52)=0,BD52,SUMPRODUCT(MAX((PIER_FORCES!$O$9:$O$3008=42)*(PIER_FORCES!$P$9:$P$3008=2)*PIER_FORCES!$Q$9:$Q$3008+(1-(PIER_FORCES!$O$9:$O$3008=42)*(PIER_FORCES!$P$9:$P$3008=2))*(-1E9))))</f>
        <v>0</v>
      </c>
      <c r="BF52" s="44">
        <f>IF(N(AZ52)=0,0,SUMPRODUCT(MAX((PIER_FORCES!$O$9:$O$3008=42)*(PIER_FORCES!$P$9:$P$3008=2)*PIER_FORCES!$R$9:$R$3008)))</f>
        <v>0</v>
      </c>
      <c r="BG52" s="43">
        <f>IF(N(AY52)=0,0,SUMPRODUCT(MAX((PIER_FORCES!$O$9:$O$3008=42)*(PIER_FORCES!$P$9:$P$3008=1)*(ABS(PIER_FORCES!$R$9:$R$3008-BA52)&lt;0.000001)*PIER_FORCES!$T$9:$T$3008)))</f>
        <v>0</v>
      </c>
      <c r="BH52" s="45" t="str">
        <f>IF(N(BG52)=0,"",INDEX(PIER_FORCES!$D$9:$D$3008,BG52)&amp;" "&amp;INDEX(PIER_FORCES!$F$9:$F$3008,BG52)&amp;" / "&amp;INDEX(PIER_FORCES!$G$9:$G$3008,BG52))</f>
        <v/>
      </c>
      <c r="BI52" s="42" t="str">
        <f>IF(B52="","",IF(AND(C52&lt;&gt;"",OR(D52="X",D52="Y"),ISNUMBER(F52),N(F52)&gt;0),"SÍ","NO"))</f>
        <v/>
      </c>
      <c r="BJ52" s="42" t="str">
        <f>IF(BI52&lt;&gt;"SÍ","",IF(DATOS!$C$108="ETABS (PIER_FORCES)",IF(N(AY52)&gt;0,"ETABS","NO ESTÁ EN PIER_FORCES"),"CAPTURA"))</f>
        <v/>
      </c>
      <c r="BK52" s="46" t="str">
        <f>IF(BI52&lt;&gt;"SÍ","",IF(BJ52="ETABS",BA52,IF(BJ52="CAPTURA",N(AQ52),0)))</f>
        <v/>
      </c>
      <c r="BL52" s="46" t="str">
        <f>IF(BI52&lt;&gt;"SÍ","",IF(BJ52="ETABS",BB52,IF(BJ52="CAPTURA",N(AR52),0)))</f>
        <v/>
      </c>
      <c r="BM52" s="46" t="str">
        <f>IF(BI52&lt;&gt;"SÍ","",IF(BJ52="ETABS",BC52/DATOS!$C$89,IF(BJ52="CAPTURA",N(AS52),0)))</f>
        <v/>
      </c>
      <c r="BN52" s="44" t="str">
        <f>IF(BI52&lt;&gt;"SÍ","",IF(BJ52="ETABS",BC52,IF(BJ52="CAPTURA",IF(ISNUMBER(AU52),AU52,N(AS52)*DATOS!$C$89),0)))</f>
        <v/>
      </c>
      <c r="BO52" s="44" t="str">
        <f>IF(BI52&lt;&gt;"SÍ","",IF(BJ52="ETABS",MAX(BD52,BE52),IF(BJ52="CAPTURA",N(AT52),0)))</f>
        <v/>
      </c>
      <c r="BP52" s="44" t="str">
        <f>IF(BI52&lt;&gt;"SÍ","",IF(BJ52="ETABS",BE52,IF(BJ52="CAPTURA",IF(ISNUMBER(AV52),AV52,N(AT52)),0)))</f>
        <v/>
      </c>
      <c r="BQ52" s="44" t="str">
        <f>IF(BI52&lt;&gt;"SÍ","",IF(BJ52="ETABS",BF52,IF(BJ52="CAPTURA",N(AW52),0)))</f>
        <v/>
      </c>
      <c r="BR52" s="43" t="str">
        <f>IF(BI52&lt;&gt;"SÍ","",IF(BK52&gt;0,100*BQ52/BK52,0))</f>
        <v/>
      </c>
      <c r="BS52" s="44" t="str">
        <f>IF(BI52&lt;&gt;"SÍ","",IF(ISNUMBER(G52),G52,DATOS!$C$57))</f>
        <v/>
      </c>
      <c r="BT52" s="47" t="str">
        <f>IF(BI52&lt;&gt;"SÍ","",IF(ISNUMBER(H52),H52,DATOS!$C$58))</f>
        <v/>
      </c>
      <c r="BU52" s="43" t="str">
        <f>IF(BI52&lt;&gt;"SÍ","",IF(N(K52)&gt;0,1+IF(N(P52)&gt;0,1+IF(N(U52)&gt;0,1+IF(N(Z52)&gt;0,1,0),0),0),0))</f>
        <v/>
      </c>
      <c r="BV52" s="45" t="str">
        <f>IF(BI52&lt;&gt;"SÍ","",IF(AND(OR(BU52&lt;1,AND(N(J52)&gt;=0-0.001,J52+K52&lt;=F52+0.001,N(L52)&gt;=0,N(L52)+N(M52)&lt;=BS52+0.001,N(M52)&gt;0,OR(I52="PUERTA",I52="VENTANA"))),OR(BU52&lt;2,AND(N(O52)&gt;=(J52+K52)-0.001,O52+P52&lt;=F52+0.001,N(Q52)&gt;=0,N(Q52)+N(R52)&lt;=BS52+0.001,N(R52)&gt;0,OR(N52="PUERTA",N52="VENTANA"))),OR(BU52&lt;3,AND(N(T52)&gt;=(O52+P52)-0.001,T52+U52&lt;=F52+0.001,N(V52)&gt;=0,N(V52)+N(W52)&lt;=BS52+0.001,N(W52)&gt;0,OR(S52="PUERTA",S52="VENTANA"))),OR(BU52&lt;4,AND(N(Y52)&gt;=(T52+U52)-0.001,Y52+Z52&lt;=F52+0.001,N(AA52)&gt;=0,N(AA52)+N(AB52)&lt;=BS52+0.001,N(AB52)&gt;0,OR(X52="PUERTA",X52="VENTANA"))),(N(K52)&gt;0)+(N(P52)&gt;0)+(N(U52)&gt;0)+(N(Z52)&gt;0)=BU52),"CUMPLE","REVISAR VANOS: tipo, orden de izquierda a derecha, que quepan en L y en H"))</f>
        <v/>
      </c>
      <c r="BW52" s="44" t="str">
        <f>IF(BI52&lt;&gt;"SÍ","",MAX(0,IF(BU52&gt;=1,N(J52),F52)))</f>
        <v/>
      </c>
      <c r="BX52" s="44" t="str">
        <f>IF(BI52&lt;&gt;"SÍ","",MAX(0,IF(BU52&gt;=2,N(O52)-(N(J52)+N(K52)),IF(BU52=1,F52-(N(J52)+N(K52)),0))))</f>
        <v/>
      </c>
      <c r="BY52" s="44" t="str">
        <f>IF(BI52&lt;&gt;"SÍ","",MAX(0,IF(BU52&gt;=3,N(T52)-(N(O52)+N(P52)),IF(BU52=2,F52-(N(O52)+N(P52)),0))))</f>
        <v/>
      </c>
      <c r="BZ52" s="44" t="str">
        <f>IF(BI52&lt;&gt;"SÍ","",MAX(0,IF(BU52&gt;=4,N(Y52)-(N(T52)+N(U52)),IF(BU52=3,F52-(N(T52)+N(U52)),0))))</f>
        <v/>
      </c>
      <c r="CA52" s="44" t="str">
        <f>IF(BI52&lt;&gt;"SÍ","",MAX(0,IF(BU52=4,F52-(N(Y52)+N(Z52)),0)))</f>
        <v/>
      </c>
      <c r="CB52" s="46" t="str">
        <f>IF(BI52&lt;&gt;"SÍ","",SUMPRODUCT((BW52:CA52&gt;=DATOS!$C$72-0.0001)*BW52:CA52))</f>
        <v/>
      </c>
      <c r="CC52" s="43" t="str">
        <f>IF(BI52&lt;&gt;"SÍ","",SUMPRODUCT(--(BW52:CA52&gt;=DATOS!$C$72-0.0001)))</f>
        <v/>
      </c>
      <c r="CD52" s="44" t="str">
        <f>IF(BI52&lt;&gt;"SÍ","",SUM(BW52:CA52))</f>
        <v/>
      </c>
      <c r="CE52" s="43" t="str">
        <f>IF(BI52&lt;&gt;"SÍ","",BT52*CB52*100)</f>
        <v/>
      </c>
      <c r="CF52" s="43" t="str">
        <f>IF(BI52&lt;&gt;"SÍ","",BT52*CD52*100)</f>
        <v/>
      </c>
      <c r="CG52" s="47" t="str">
        <f>IF(BI52&lt;&gt;"SÍ","",BS52*100/BT52)</f>
        <v/>
      </c>
      <c r="CH52" s="45" t="str">
        <f>IF(BI52&lt;&gt;"SÍ","",IF(AND(OR(DATOS!$C$14="TIPO II",BT52&gt;=12),CG52&lt;=25),"CUMPLE","NO CUMPLE: "&amp;IF(AND(DATOS!$C$14="TIPO I",BT52&lt;12),"t &lt; 12 cm ","")&amp;IF(CG52&gt;25,"H/t &gt; 25","")))</f>
        <v/>
      </c>
      <c r="CI52" s="44" t="str">
        <f>IF(BI52&lt;&gt;"SÍ","",MIN(1.5*BS52,4))</f>
        <v/>
      </c>
      <c r="CJ52" s="43" t="str">
        <f>IF(BI52&lt;&gt;"SÍ","",SUMPRODUCT((BW52:CA52&gt;=2*DATOS!$C$59/100)*INT((BW52:CA52-DATOS!$C$59/100)/CI52-0.000001)*((BW52:CA52-DATOS!$C$59/100)&gt;0)))</f>
        <v/>
      </c>
      <c r="CK52" s="43" t="str">
        <f>IF(BI52&lt;&gt;"SÍ","",SUMPRODUCT((BW52:CA52&gt;0.0001)*1+(BW52:CA52&gt;=2*DATOS!$C$59/100)*1)+CJ52)</f>
        <v/>
      </c>
      <c r="CL52" s="44" t="str">
        <f>IF(BI52&lt;&gt;"SÍ","",IF(ISNUMBER(AC52),AC52,DATOS!$C$61)*INDEX(TABLAS!$D$6:$D$14,MATCH(IF(AD52&lt;&gt;"",AD52,DATOS!$C$62),TABLAS!$B$6:$B$14,0)))</f>
        <v/>
      </c>
      <c r="CM52" s="44" t="str">
        <f>IF(BI52&lt;&gt;"SÍ","",CK52*DATOS!$C$78+IF(CK52&gt;=2,2,CK52)*(CL52-DATOS!$C$78))</f>
        <v/>
      </c>
      <c r="CN52" s="47" t="str">
        <f>IF(BI52&lt;&gt;"SÍ","",MAX(BS52*100/6,40))</f>
        <v/>
      </c>
      <c r="CO52" s="48" t="str">
        <f>IF(BI52&lt;&gt;"SÍ","",IF(CG52&lt;=20,IF(E52="INTERIOR",0.7,0.6),MIN(IF(E52="INTERIOR",0.7,0.6),(1-2/24)*(1-(IF(E52="INTERIOR",0.8,1)*CG52/30)^2))))</f>
        <v/>
      </c>
      <c r="CP52" s="47" t="str">
        <f>IF(BI52&lt;&gt;"SÍ","",DATOS!$C$87*CO52*(DATOS!$C$33*CF52+CM52*DATOS!$C$48)/1000)</f>
        <v/>
      </c>
      <c r="CQ52" s="46" t="str">
        <f>IF(BI52&lt;&gt;"SÍ","",IF(CP52&gt;0,BO52/CP52,99))</f>
        <v/>
      </c>
      <c r="CR52" s="47" t="str">
        <f>IF(BI52&lt;&gt;"SÍ","",MAX(0,F52*100-DATOS!$C$59))</f>
        <v/>
      </c>
      <c r="CS52" s="47" t="str">
        <f>IF(BI52&lt;&gt;"SÍ","",MAX(0,F52*100-DATOS!$C$59/2))</f>
        <v/>
      </c>
      <c r="CT52" s="44" t="str">
        <f>IF(BI52&lt;&gt;"SÍ","",CL52*DATOS!$C$48*CR52/100000)</f>
        <v/>
      </c>
      <c r="CU52" s="44" t="str">
        <f>IF(BI52&lt;&gt;"SÍ","",IF(BN52&lt;0,0.8*CT52*MAX(0,1+BN52/(0.8*CM52*DATOS!$C$48/1000)),IF(BN52&lt;=CP52/3,0.8*CT52+0.3*BN52*CS52/100,(1.5*0.6*CT52+0.15*CP52*CS52/100)*MAX(0,1-BN52/CP52))))</f>
        <v/>
      </c>
      <c r="CV52" s="44" t="str">
        <f>IF(BI52&lt;&gt;"SÍ","",IF(BO52&lt;0,0.8*CT52*MAX(0,1+BO52/(0.8*CM52*DATOS!$C$48/1000)),IF(BO52&lt;=CP52/3,0.8*CT52+0.3*BO52*CS52/100,(1.5*0.6*CT52+0.15*CP52*CS52/100)*MAX(0,1-BO52/CP52))))</f>
        <v/>
      </c>
      <c r="CW52" s="46" t="str">
        <f>IF(BI52&lt;&gt;"SÍ","",MAX(0,MIN(CU52,CV52)))</f>
        <v/>
      </c>
      <c r="CX52" s="49" t="str">
        <f>IF(BI52&lt;&gt;"SÍ","",IF(CW52&gt;0,BL52/CW52,IF(BL52&gt;0,99,0)))</f>
        <v/>
      </c>
      <c r="CY52" s="44" t="str">
        <f>IF(BI52&lt;&gt;"SÍ","",IF(BW52&gt;0,MAX(1,MIN(1.5,1.5-0.625*(BS52/BW52-0.2))),0))</f>
        <v/>
      </c>
      <c r="CZ52" s="44" t="str">
        <f>IF(BI52&lt;&gt;"SÍ","",IF(BX52&gt;0,MAX(1,MIN(1.5,1.5-0.625*(BS52/BX52-0.2))),0))</f>
        <v/>
      </c>
      <c r="DA52" s="44" t="str">
        <f>IF(BI52&lt;&gt;"SÍ","",IF(BY52&gt;0,MAX(1,MIN(1.5,1.5-0.625*(BS52/BY52-0.2))),0))</f>
        <v/>
      </c>
      <c r="DB52" s="44" t="str">
        <f>IF(BI52&lt;&gt;"SÍ","",IF(BZ52&gt;0,MAX(1,MIN(1.5,1.5-0.625*(BS52/BZ52-0.2))),0))</f>
        <v/>
      </c>
      <c r="DC52" s="44" t="str">
        <f>IF(BI52&lt;&gt;"SÍ","",IF(CA52&gt;0,MAX(1,MIN(1.5,1.5-0.625*(BS52/CA52-0.2))),0))</f>
        <v/>
      </c>
      <c r="DD52" s="44" t="str">
        <f>IF(BI52&lt;&gt;"SÍ","",IF(OR(BW52&lt;DATOS!$C$72-0.0001,BM52&lt;0,CB52&lt;=0),0,MIN(DATOS!$C$86*(0.5*DATOS!$C$41*BT52*BW52*100+0.3*BM52*BW52/CB52*1000)*CY52,1.5*DATOS!$C$86*DATOS!$C$41*BT52*BW52*100*CY52)/1000))</f>
        <v/>
      </c>
      <c r="DE52" s="44" t="str">
        <f>IF(BI52&lt;&gt;"SÍ","",IF(OR(BX52&lt;DATOS!$C$72-0.0001,BM52&lt;0,CB52&lt;=0),0,MIN(DATOS!$C$86*(0.5*DATOS!$C$41*BT52*BX52*100+0.3*BM52*BX52/CB52*1000)*CZ52,1.5*DATOS!$C$86*DATOS!$C$41*BT52*BX52*100*CZ52)/1000))</f>
        <v/>
      </c>
      <c r="DF52" s="44" t="str">
        <f>IF(BI52&lt;&gt;"SÍ","",IF(OR(BY52&lt;DATOS!$C$72-0.0001,BM52&lt;0,CB52&lt;=0),0,MIN(DATOS!$C$86*(0.5*DATOS!$C$41*BT52*BY52*100+0.3*BM52*BY52/CB52*1000)*DA52,1.5*DATOS!$C$86*DATOS!$C$41*BT52*BY52*100*DA52)/1000))</f>
        <v/>
      </c>
      <c r="DG52" s="44" t="str">
        <f>IF(BI52&lt;&gt;"SÍ","",IF(OR(BZ52&lt;DATOS!$C$72-0.0001,BM52&lt;0,CB52&lt;=0),0,MIN(DATOS!$C$86*(0.5*DATOS!$C$41*BT52*BZ52*100+0.3*BM52*BZ52/CB52*1000)*DB52,1.5*DATOS!$C$86*DATOS!$C$41*BT52*BZ52*100*DB52)/1000))</f>
        <v/>
      </c>
      <c r="DH52" s="44" t="str">
        <f>IF(BI52&lt;&gt;"SÍ","",IF(OR(CA52&lt;DATOS!$C$72-0.0001,BM52&lt;0,CB52&lt;=0),0,MIN(DATOS!$C$86*(0.5*DATOS!$C$41*BT52*CA52*100+0.3*BM52*CA52/CB52*1000)*DC52,1.5*DATOS!$C$86*DATOS!$C$41*BT52*CA52*100*DC52)/1000))</f>
        <v/>
      </c>
      <c r="DI52" s="46" t="str">
        <f>IF(BI52&lt;&gt;"SÍ","",SUM(DD52:DH52))</f>
        <v/>
      </c>
      <c r="DJ52" s="48" t="str">
        <f>IF(BI52&lt;&gt;"SÍ","",IF(AE52="VARILLA EN JUNTAS",IF(ISNUMBER(AF52),AF52,2)*INDEX(TABLAS!$D$6:$D$14,MATCH(IF(AG52&lt;&gt;"",AG52,DATOS!$C$73),TABLAS!$B$6:$B$14,0)),IF(AE52="MALLA",IF(ISNUMBER(AF52),AF52,1)*INDEX(TABLAS!$D$19:$D$22,MATCH(IF(AG52&lt;&gt;"",AG52,DATOS!$C$74),TABLAS!$B$19:$B$22,0))/100,IF(AE52="ESCALERILLA",IF(ISNUMBER(AF52),AF52,2)*INDEX(TABLAS!$D$6:$D$14,MATCH(IF(AG52&lt;&gt;"",AG52,DATOS!$C$73),TABLAS!$B$6:$B$14,0)),0))))</f>
        <v/>
      </c>
      <c r="DK52" s="47" t="str">
        <f>IF(BI52&lt;&gt;"SÍ","",IF(OR(AE52="VARILLA EN JUNTAS",AE52="ESCALERILLA"),IF(ISNUMBER(AH52),AH52,2)*DATOS!$C$26,IF(AE52="MALLA",1,0)))</f>
        <v/>
      </c>
      <c r="DL52" s="44" t="str">
        <f>IF(BI52&lt;&gt;"SÍ","",IF(DK52&gt;0,DJ52/(DK52*BT52)*MIN(DATOS!$C$50,IF(AE52="MALLA",5000,6000)),0))</f>
        <v/>
      </c>
      <c r="DM52" s="44" t="str">
        <f>IF(BI52&lt;&gt;"SÍ","",IF(AE52="ESCALERILLA",0,MIN(DL52,0.1*DATOS!$C$33*DATOS!$C$24)))</f>
        <v/>
      </c>
      <c r="DN52" s="48" t="str">
        <f>IF(BI52&lt;&gt;"SÍ","",IF(AE52="MALLA",0.5,IF(DATOS!$C$33&lt;=60,0.55,IF(DATOS!$C$33&gt;=90,0.75,0.55+0.2*(DATOS!$C$33-60)/30))))</f>
        <v/>
      </c>
      <c r="DO52" s="48" t="str">
        <f>IF(BI52&lt;&gt;"SÍ","",1-DATOS!$C$91*DM52)</f>
        <v/>
      </c>
      <c r="DP52" s="44" t="str">
        <f>IF(BI52&lt;&gt;"SÍ","",IF(BW52&gt;0,IF(BS52/BW52&lt;=1,1.3,IF(BS52/BW52&gt;=1.5,1,1.3-0.6*(BS52/BW52-1))),0))</f>
        <v/>
      </c>
      <c r="DQ52" s="44" t="str">
        <f>IF(BI52&lt;&gt;"SÍ","",IF(BX52&gt;0,IF(BS52/BX52&lt;=1,1.3,IF(BS52/BX52&gt;=1.5,1,1.3-0.6*(BS52/BX52-1))),0))</f>
        <v/>
      </c>
      <c r="DR52" s="44" t="str">
        <f>IF(BI52&lt;&gt;"SÍ","",IF(BY52&gt;0,IF(BS52/BY52&lt;=1,1.3,IF(BS52/BY52&gt;=1.5,1,1.3-0.6*(BS52/BY52-1))),0))</f>
        <v/>
      </c>
      <c r="DS52" s="44" t="str">
        <f>IF(BI52&lt;&gt;"SÍ","",IF(BZ52&gt;0,IF(BS52/BZ52&lt;=1,1.3,IF(BS52/BZ52&gt;=1.5,1,1.3-0.6*(BS52/BZ52-1))),0))</f>
        <v/>
      </c>
      <c r="DT52" s="44" t="str">
        <f>IF(BI52&lt;&gt;"SÍ","",IF(CA52&gt;0,IF(BS52/CA52&lt;=1,1.3,IF(BS52/CA52&gt;=1.5,1,1.3-0.6*(BS52/CA52-1))),0))</f>
        <v/>
      </c>
      <c r="DU52" s="44" t="str">
        <f>IF(BI52&lt;&gt;"SÍ","",IF(OR(DM52&lt;=0,BW52&lt;DATOS!$C$72-0.0001),0,DATOS!$C$86*MAX(0,IF(BM52&gt;=0,DD52/(DATOS!$C$86*DM52*BT52*BW52*100/1000)*(DP52*DO52-1)+DN52,DO52*DN52))*DM52*BT52*BW52*100/1000))</f>
        <v/>
      </c>
      <c r="DV52" s="44" t="str">
        <f>IF(BI52&lt;&gt;"SÍ","",IF(OR(DM52&lt;=0,BX52&lt;DATOS!$C$72-0.0001),0,DATOS!$C$86*MAX(0,IF(BM52&gt;=0,DE52/(DATOS!$C$86*DM52*BT52*BX52*100/1000)*(DQ52*DO52-1)+DN52,DO52*DN52))*DM52*BT52*BX52*100/1000))</f>
        <v/>
      </c>
      <c r="DW52" s="44" t="str">
        <f>IF(BI52&lt;&gt;"SÍ","",IF(OR(DM52&lt;=0,BY52&lt;DATOS!$C$72-0.0001),0,DATOS!$C$86*MAX(0,IF(BM52&gt;=0,DF52/(DATOS!$C$86*DM52*BT52*BY52*100/1000)*(DR52*DO52-1)+DN52,DO52*DN52))*DM52*BT52*BY52*100/1000))</f>
        <v/>
      </c>
      <c r="DX52" s="44" t="str">
        <f>IF(BI52&lt;&gt;"SÍ","",IF(OR(DM52&lt;=0,BZ52&lt;DATOS!$C$72-0.0001),0,DATOS!$C$86*MAX(0,IF(BM52&gt;=0,DG52/(DATOS!$C$86*DM52*BT52*BZ52*100/1000)*(DS52*DO52-1)+DN52,DO52*DN52))*DM52*BT52*BZ52*100/1000))</f>
        <v/>
      </c>
      <c r="DY52" s="44" t="str">
        <f>IF(BI52&lt;&gt;"SÍ","",IF(OR(DM52&lt;=0,CA52&lt;DATOS!$C$72-0.0001),0,DATOS!$C$86*MAX(0,IF(BM52&gt;=0,DH52/(DATOS!$C$86*DM52*BT52*CA52*100/1000)*(DT52*DO52-1)+DN52,DO52*DN52))*DM52*BT52*CA52*100/1000))</f>
        <v/>
      </c>
      <c r="DZ52" s="46" t="str">
        <f>IF(BI52&lt;&gt;"SÍ","",SUM(DU52:DY52))</f>
        <v/>
      </c>
      <c r="EA52" s="45" t="str">
        <f>IF(BI52&lt;&gt;"SÍ","",IF(OR(AE52="",AE52="NINGUNO"),IF(DATOS!$C$41&gt;=10,"FALTA refuerzo horizontal: v'm ≥ 10 kg/cm² (6.5.2.2)",IF(AND(BM52&lt;0,BK52&gt;0),"FALTA: P en tensión, el refuerzo debe tomar todo el cortante (6.5.1.3)","—")),IF(AE52="ESCALERILLA","NO CUENTA: la escalerilla no se permite para cortante por sismo (6.5.3.1.2)",IF(AE52="MALLA",IF(AND(DL52&gt;=2.5,DL52&lt;=MAX(0.15*DATOS!$C$33*DATOS!$C$24,2.5)),"CUMPLE","NO CUMPLE: "&amp;IF(DL52&lt;2.5,"p_h·f_yh &lt; 2.5 (6.5.4.2.4)","p_h·f_yh &gt; 0.15·f'm·f_an (6.5.4.2.4)")),IF(AND(DK52&lt;=MIN(6*DATOS!$C$26,45),DL52&gt;=3,DL52&lt;=MIN(MAX(0.15*DATOS!$C$33*DATOS!$C$24,3),0.05*DATOS!$C$25/10*MIN(DATOS!$C$50,6000)/DK52),INDEX(TABLAS!$C$6:$C$14,MATCH(IF(AG52&lt;&gt;"",AG52,DATOS!$C$73),TABLAS!$B$6:$B$14,0))&gt;=0.35,INDEX(TABLAS!$C$6:$C$14,MATCH(IF(AG52&lt;&gt;"",AG52,DATOS!$C$73),TABLAS!$B$6:$B$14,0))&lt;=0.75*DATOS!$C$25/10),"CUMPLE","NO CUMPLE: "&amp;IF(DK52&gt;MIN(6*DATOS!$C$26,45),"s_h &gt; 6 hiladas o 45 cm (6.5.3.2.1) ","")&amp;IF(DL52&lt;3,"p_h·f_yh &lt; 3 (6.5.3.3.1) ","")&amp;IF(DL52&gt;MIN(MAX(0.15*DATOS!$C$33*DATOS!$C$24,3),0.05*DATOS!$C$25/10*MIN(DATOS!$C$50,6000)/DK52),"p_h·f_yh &gt; máximo (6.5.3.3.2) ","")&amp;IF(OR(INDEX(TABLAS!$C$6:$C$14,MATCH(IF(AG52&lt;&gt;"",AG52,DATOS!$C$73),TABLAS!$B$6:$B$14,0))&lt;0.35,INDEX(TABLAS!$C$6:$C$14,MATCH(IF(AG52&lt;&gt;"",AG52,DATOS!$C$73),TABLAS!$B$6:$B$14,0))&gt;0.75*DATOS!$C$25/10),"diámetro fuera de 3.5 mm a 0.75·h_j (4.2.2.2.1)",""))))))</f>
        <v/>
      </c>
      <c r="EB52" s="46" t="str">
        <f>IF(BI52&lt;&gt;"SÍ","",DI52+DZ52)</f>
        <v/>
      </c>
      <c r="EC52" s="50" t="str">
        <f>IF(BI52&lt;&gt;"SÍ","",IF(EB52&gt;0,BK52/EB52,IF(BK52&gt;0,99,0)))</f>
        <v/>
      </c>
      <c r="ED52" s="47" t="str">
        <f>IF(BI52&lt;&gt;"SÍ","",IF(CE52&lt;=0,-1,IF(BK52&lt;=DI52,0,IF(IF(BM52&gt;=0,IF((DATOS!$C$86*IF(AE52="MALLA",0.5,IF(DATOS!$C$33&lt;=60,0.55,IF(DATOS!$C$33&gt;=90,0.75,0.55+0.2*(DATOS!$C$33-60)/30)))*CE52/1000-DATOS!$C$91*SUMPRODUCT(DP52:DT52,DD52:DH52))&lt;=0,1E9,(BK52-SUMPRODUCT(DP52:DT52,DD52:DH52))/(DATOS!$C$86*IF(AE52="MALLA",0.5,IF(DATOS!$C$33&lt;=60,0.55,IF(DATOS!$C$33&gt;=90,0.75,0.55+0.2*(DATOS!$C$33-60)/30)))*CE52/1000-DATOS!$C$91*SUMPRODUCT(DP52:DT52,DD52:DH52))),IF((1-4*DATOS!$C$91*BK52*1000/(DATOS!$C$86*IF(AE52="MALLA",0.5,IF(DATOS!$C$33&lt;=60,0.55,IF(DATOS!$C$33&gt;=90,0.75,0.55+0.2*(DATOS!$C$33-60)/30)))*MAX(CE52,1)))&lt;0,1E9,(1-SQRT((1-4*DATOS!$C$91*BK52*1000/(DATOS!$C$86*IF(AE52="MALLA",0.5,IF(DATOS!$C$33&lt;=60,0.55,IF(DATOS!$C$33&gt;=90,0.75,0.55+0.2*(DATOS!$C$33-60)/30)))*MAX(CE52,1)))))/(2*DATOS!$C$91)))&gt;0.1*DATOS!$C$33*DATOS!$C$24+0.000001,-1,MAX(IF(AE52="MALLA",2.5,3),IF(BM52&gt;=0,IF((DATOS!$C$86*IF(AE52="MALLA",0.5,IF(DATOS!$C$33&lt;=60,0.55,IF(DATOS!$C$33&gt;=90,0.75,0.55+0.2*(DATOS!$C$33-60)/30)))*CE52/1000-DATOS!$C$91*SUMPRODUCT(DP52:DT52,DD52:DH52))&lt;=0,1E9,(BK52-SUMPRODUCT(DP52:DT52,DD52:DH52))/(DATOS!$C$86*IF(AE52="MALLA",0.5,IF(DATOS!$C$33&lt;=60,0.55,IF(DATOS!$C$33&gt;=90,0.75,0.55+0.2*(DATOS!$C$33-60)/30)))*CE52/1000-DATOS!$C$91*SUMPRODUCT(DP52:DT52,DD52:DH52))),IF((1-4*DATOS!$C$91*BK52*1000/(DATOS!$C$86*IF(AE52="MALLA",0.5,IF(DATOS!$C$33&lt;=60,0.55,IF(DATOS!$C$33&gt;=90,0.75,0.55+0.2*(DATOS!$C$33-60)/30)))*MAX(CE52,1)))&lt;0,1E9,(1-SQRT((1-4*DATOS!$C$91*BK52*1000/(DATOS!$C$86*IF(AE52="MALLA",0.5,IF(DATOS!$C$33&lt;=60,0.55,IF(DATOS!$C$33&gt;=90,0.75,0.55+0.2*(DATOS!$C$33-60)/30)))*MAX(CE52,1)))))/(2*DATOS!$C$91))))))))</f>
        <v/>
      </c>
      <c r="EE52" s="45" t="str">
        <f>IF(BI52&lt;&gt;"SÍ","",IF(ED52=0,"NO REQUIERE: V_mR ≥ V_u",IF(ED52&lt;0,"NO ALCANZA con refuerzo horizontal (haría falta más de 0.1·f'm·f_an efectivo): sube v'm con ensayes, el espesor o la longitud del muro",IF(AND(OR(AE52="VARILLA EN JUNTAS",AE52="MALLA"),LEFT(EA52,6)="CUMPLE",EC52&lt;=1),"YA LO TIENE (pide p_h·f_yh ≥ "&amp;TEXT(ED52,"0.0")&amp;" kg/cm²)","p_h·f_yh ≥ "&amp;TEXT(ED52,"0.0")&amp;" kg/cm² → "&amp;IF(AND(MIN(6,FLOOR(45/DATOS!$C$26,1),FLOOR((2*INDEX(TABLAS!$D$6:$D$14,MATCH("3/16 in",TABLAS!$B$6:$B$14,0)))*MIN(DATOS!$C$50,6000)/(BT52*DATOS!$C$26*MAX(ED52,0.001)),1))&gt;=1,((2*INDEX(TABLAS!$D$6:$D$14,MATCH("3/16 in",TABLAS!$B$6:$B$14,0)))*MIN(DATOS!$C$50,6000)/(MAX(MIN(6,FLOOR(45/DATOS!$C$26,1),FLOOR((2*INDEX(TABLAS!$D$6:$D$14,MATCH("3/16 in",TABLAS!$B$6:$B$14,0)))*MIN(DATOS!$C$50,6000)/(BT52*DATOS!$C$26*MAX(ED52,0.001)),1)),1)*DATOS!$C$26*BT52))&lt;=MIN(MAX(0.15*DATOS!$C$33*DATOS!$C$24,3),0.05*DATOS!$C$25/10*MIN(DATOS!$C$50,6000)/(MIN(6,FLOOR(45/DATOS!$C$26,1),FLOOR((2*INDEX(TABLAS!$D$6:$D$14,MATCH("3/16 in",TABLAS!$B$6:$B$14,0)))*MIN(DATOS!$C$50,6000)/(BT52*DATOS!$C$26*MAX(ED52,0.001)),1))*DATOS!$C$26))),"2 alambres de 3/16"" por junta cada "&amp;MIN(6,FLOOR(45/DATOS!$C$26,1),FLOOR((2*INDEX(TABLAS!$D$6:$D$14,MATCH("3/16 in",TABLAS!$B$6:$B$14,0)))*MIN(DATOS!$C$50,6000)/(BT52*DATOS!$C$26*MAX(ED52,0.001)),1))&amp;" hilada(s) (p_h·f_yh = "&amp;TEXT(((2*INDEX(TABLAS!$D$6:$D$14,MATCH("3/16 in",TABLAS!$B$6:$B$14,0)))*MIN(DATOS!$C$50,6000)/(MAX(MIN(6,FLOOR(45/DATOS!$C$26,1),FLOOR((2*INDEX(TABLAS!$D$6:$D$14,MATCH("3/16 in",TABLAS!$B$6:$B$14,0)))*MIN(DATOS!$C$50,6000)/(BT52*DATOS!$C$26*MAX(ED52,0.001)),1)),1)*DATOS!$C$26*BT52)),"0.00")&amp;")",IF(AND(MIN(6,FLOOR(45/DATOS!$C$26,1),FLOOR((2*INDEX(TABLAS!$D$6:$D$14,MATCH("5/32 in",TABLAS!$B$6:$B$14,0)))*MIN(DATOS!$C$50,6000)/(BT52*DATOS!$C$26*MAX(ED52,0.001)),1))&gt;=1,((2*INDEX(TABLAS!$D$6:$D$14,MATCH("5/32 in",TABLAS!$B$6:$B$14,0)))*MIN(DATOS!$C$50,6000)/(MAX(MIN(6,FLOOR(45/DATOS!$C$26,1),FLOOR((2*INDEX(TABLAS!$D$6:$D$14,MATCH("5/32 in",TABLAS!$B$6:$B$14,0)))*MIN(DATOS!$C$50,6000)/(BT52*DATOS!$C$26*MAX(ED52,0.001)),1)),1)*DATOS!$C$26*BT52))&lt;=MIN(MAX(0.15*DATOS!$C$33*DATOS!$C$24,3),0.05*DATOS!$C$25/10*MIN(DATOS!$C$50,6000)/(MIN(6,FLOOR(45/DATOS!$C$26,1),FLOOR((2*INDEX(TABLAS!$D$6:$D$14,MATCH("5/32 in",TABLAS!$B$6:$B$14,0)))*MIN(DATOS!$C$50,6000)/(BT52*DATOS!$C$26*MAX(ED52,0.001)),1))*DATOS!$C$26))),"2 alambres de 5/32"" por junta cada "&amp;MIN(6,FLOOR(45/DATOS!$C$26,1),FLOOR((2*INDEX(TABLAS!$D$6:$D$14,MATCH("5/32 in",TABLAS!$B$6:$B$14,0)))*MIN(DATOS!$C$50,6000)/(BT52*DATOS!$C$26*MAX(ED52,0.001)),1))&amp;" hilada(s) (p_h·f_yh = "&amp;TEXT(((2*INDEX(TABLAS!$D$6:$D$14,MATCH("5/32 in",TABLAS!$B$6:$B$14,0)))*MIN(DATOS!$C$50,6000)/(MAX(MIN(6,FLOOR(45/DATOS!$C$26,1),FLOOR((2*INDEX(TABLAS!$D$6:$D$14,MATCH("5/32 in",TABLAS!$B$6:$B$14,0)))*MIN(DATOS!$C$50,6000)/(BT52*DATOS!$C$26*MAX(ED52,0.001)),1)),1)*DATOS!$C$26*BT52)),"0.00")&amp;")",IF(AND(MIN(6,FLOOR(45/DATOS!$C$26,1),FLOOR((1*INDEX(TABLAS!$D$6:$D$14,MATCH("3/16 in",TABLAS!$B$6:$B$14,0)))*MIN(DATOS!$C$50,6000)/(BT52*DATOS!$C$26*MAX(ED52,0.001)),1))&gt;=1,((1*INDEX(TABLAS!$D$6:$D$14,MATCH("3/16 in",TABLAS!$B$6:$B$14,0)))*MIN(DATOS!$C$50,6000)/(MAX(MIN(6,FLOOR(45/DATOS!$C$26,1),FLOOR((1*INDEX(TABLAS!$D$6:$D$14,MATCH("3/16 in",TABLAS!$B$6:$B$14,0)))*MIN(DATOS!$C$50,6000)/(BT52*DATOS!$C$26*MAX(ED52,0.001)),1)),1)*DATOS!$C$26*BT52))&lt;=MIN(MAX(0.15*DATOS!$C$33*DATOS!$C$24,3),0.05*DATOS!$C$25/10*MIN(DATOS!$C$50,6000)/(MIN(6,FLOOR(45/DATOS!$C$26,1),FLOOR((1*INDEX(TABLAS!$D$6:$D$14,MATCH("3/16 in",TABLAS!$B$6:$B$14,0)))*MIN(DATOS!$C$50,6000)/(BT52*DATOS!$C$26*MAX(ED52,0.001)),1))*DATOS!$C$26))),"1 alambre de 3/16"" por junta cada "&amp;MIN(6,FLOOR(45/DATOS!$C$26,1),FLOOR((1*INDEX(TABLAS!$D$6:$D$14,MATCH("3/16 in",TABLAS!$B$6:$B$14,0)))*MIN(DATOS!$C$50,6000)/(BT52*DATOS!$C$26*MAX(ED52,0.001)),1))&amp;" hilada(s) (p_h·f_yh = "&amp;TEXT(((1*INDEX(TABLAS!$D$6:$D$14,MATCH("3/16 in",TABLAS!$B$6:$B$14,0)))*MIN(DATOS!$C$50,6000)/(MAX(MIN(6,FLOOR(45/DATOS!$C$26,1),FLOOR((1*INDEX(TABLAS!$D$6:$D$14,MATCH("3/16 in",TABLAS!$B$6:$B$14,0)))*MIN(DATOS!$C$50,6000)/(BT52*DATOS!$C$26*MAX(ED52,0.001)),1)),1)*DATOS!$C$26*BT52)),"0.00")&amp;")",IF(AND(MIN(6,FLOOR(45/DATOS!$C$26,1),FLOOR((1*INDEX(TABLAS!$D$6:$D$14,MATCH("5/32 in",TABLAS!$B$6:$B$14,0)))*MIN(DATOS!$C$50,6000)/(BT52*DATOS!$C$26*MAX(ED52,0.001)),1))&gt;=1,((1*INDEX(TABLAS!$D$6:$D$14,MATCH("5/32 in",TABLAS!$B$6:$B$14,0)))*MIN(DATOS!$C$50,6000)/(MAX(MIN(6,FLOOR(45/DATOS!$C$26,1),FLOOR((1*INDEX(TABLAS!$D$6:$D$14,MATCH("5/32 in",TABLAS!$B$6:$B$14,0)))*MIN(DATOS!$C$50,6000)/(BT52*DATOS!$C$26*MAX(ED52,0.001)),1)),1)*DATOS!$C$26*BT52))&lt;=MIN(MAX(0.15*DATOS!$C$33*DATOS!$C$24,3),0.05*DATOS!$C$25/10*MIN(DATOS!$C$50,6000)/(MIN(6,FLOOR(45/DATOS!$C$26,1),FLOOR((1*INDEX(TABLAS!$D$6:$D$14,MATCH("5/32 in",TABLAS!$B$6:$B$14,0)))*MIN(DATOS!$C$50,6000)/(BT52*DATOS!$C$26*MAX(ED52,0.001)),1))*DATOS!$C$26))),"1 alambre de 5/32"" por junta cada "&amp;MIN(6,FLOOR(45/DATOS!$C$26,1),FLOOR((1*INDEX(TABLAS!$D$6:$D$14,MATCH("5/32 in",TABLAS!$B$6:$B$14,0)))*MIN(DATOS!$C$50,6000)/(BT52*DATOS!$C$26*MAX(ED52,0.001)),1))&amp;" hilada(s) (p_h·f_yh = "&amp;TEXT(((1*INDEX(TABLAS!$D$6:$D$14,MATCH("5/32 in",TABLAS!$B$6:$B$14,0)))*MIN(DATOS!$C$50,6000)/(MAX(MIN(6,FLOOR(45/DATOS!$C$26,1),FLOOR((1*INDEX(TABLAS!$D$6:$D$14,MATCH("5/32 in",TABLAS!$B$6:$B$14,0)))*MIN(DATOS!$C$50,6000)/(BT52*DATOS!$C$26*MAX(ED52,0.001)),1)),1)*DATOS!$C$26*BT52)),"0.00")&amp;")","ninguna combinación de 1 o 2 alambres por junta queda entre el mínimo y el máximo: revisa con malla (6.5.4)"))))))))</f>
        <v/>
      </c>
      <c r="EF52" s="43" t="str">
        <f>IF(BI52&lt;&gt;"SÍ","",IF(AI52="SÍ",N(AK52)*N(AL52)^3/12,0))</f>
        <v/>
      </c>
      <c r="EG52" s="48" t="str">
        <f>IF(BI52&lt;&gt;"SÍ","",IF(AND(AI52="SÍ",N(AM52)&gt;0),MIN(1,F52/AM52),0))</f>
        <v/>
      </c>
      <c r="EH52" s="47" t="str">
        <f>IF(BI52&lt;&gt;"SÍ","",IF(AI52="SÍ",BP52*1000/(BT52*F52*100)*BT52*(EG52^4-4*EG52^3+8*EG52),0))</f>
        <v/>
      </c>
      <c r="EI52" s="48" t="str">
        <f>IF(BI52&lt;&gt;"SÍ","",IF(AND(AI52="SÍ",EH52&gt;0),EH52/(EH52+5*N(AN52)*10),0))</f>
        <v/>
      </c>
      <c r="EJ52" s="44" t="str">
        <f>IF(BI52&lt;&gt;"SÍ","",IF(AND(AI52="SÍ",EI52&gt;0,EF52&gt;0),(DATOS!$C$43*BT52*(AM52*100)^3/(DATOS!$C$53*EF52*EI52))^0.25,0))</f>
        <v/>
      </c>
      <c r="EK52" s="44" t="str">
        <f>IF(BI52&lt;&gt;"SÍ","",IF(AI52&lt;&gt;"SÍ",0,IF(N(AM52)&lt;=F52,1,IF(MIN(1,N(AO52)/((AM52-F52)/2))&lt;=0.5,0.7+0.6*MIN(1,N(AO52)/((AM52-F52)/2)),1.5-MIN(1,N(AO52)/((AM52-F52)/2))))))</f>
        <v/>
      </c>
      <c r="EL52" s="44" t="str">
        <f>IF(BI52&lt;&gt;"SÍ","",IF(AI52&lt;&gt;"SÍ",0,MAX(1,IF(EG52&gt;=1,(1.6*EJ52-3.9),IF(EG52&lt;0.9,((3.2*EJ52-7.8)*EK52),((3.2*EJ52-7.8)*EK52)+((1.6*EJ52-3.9)-((3.2*EJ52-7.8)*EK52))*(EG52-0.9)/0.1)))))</f>
        <v/>
      </c>
      <c r="EM52" s="47" t="str">
        <f>IF(BI52&lt;&gt;"SÍ","",IF(AI52="SÍ",EL52*BP52*1000/(BT52*F52*100),0))</f>
        <v/>
      </c>
      <c r="EN52" s="47" t="str">
        <f>IF(BI52&lt;&gt;"SÍ","",IF(AND(AI52="SÍ",N(AL52)&gt;0),AM52*100/AL52,0))</f>
        <v/>
      </c>
      <c r="EO52" s="47" t="str">
        <f>IF(BI52&lt;&gt;"SÍ","",IF(AI52="SÍ",(1/15*DATOS!$C$53*N(AK52)/MAX((IF(ISNUMBER(AP52),AP52,BP52/DATOS!$C$90)*1000/(BT52*F52*100)*BT52*(EG52^4-4*EG52^3+8*EG52))+5*N(AN52)/DATOS!$C$90*10,0.001))^(1/3),0))</f>
        <v/>
      </c>
      <c r="EP52" s="45" t="str">
        <f>IF(BI52&lt;&gt;"SÍ","",IF(AI52&lt;&gt;"SÍ","—",IF(OR(N(AK52)&lt;=0,N(AL52)&lt;=0,N(AM52)&lt;=0),"REVISAR: faltan b, h o L_v de la viga",IF(AND(EM52&lt;=DATOS!$C$87*DATOS!$C$33,EN52&lt;=14,N(AL52)&gt;=25,EN52&lt;=EO52),IF(BS52/F52&lt;0.6,"PENDIENTE: H/L &lt; 0.6, falta el análisis de interacción muro–viga (4.1.18.2.1); f_CM es estimado","CUMPLE"),"NO CUMPLE: "&amp;IF(EM52&gt;DATOS!$C$87*DATOS!$C$33,"f_CM &gt; F_R·f'm ","")&amp;IF(EN52&gt;14,"L_v/h_v &gt; 14 ","")&amp;IF(N(AL52)&lt;25,"h_v &lt; 25 cm ","")&amp;IF(EN52&gt;EO52,"flecha (4.1.18.3)","")))))</f>
        <v/>
      </c>
      <c r="EQ52" s="44" t="str">
        <f>IF(BI52&lt;&gt;"SÍ","",MAX(0,F52*BS52-(N(K52)*N(M52)+N(P52)*N(R52)+N(U52)*N(W52)+N(Z52)*N(AB52))-CK52*DATOS!$C$59/100*BS52))</f>
        <v/>
      </c>
      <c r="ER52" s="48" t="str">
        <f>IF(BI52&lt;&gt;"SÍ","",CK52*DATOS!$C$59*DATOS!$C$60/10000*BS52)</f>
        <v/>
      </c>
      <c r="ES52" s="47" t="str">
        <f>IF(BI52&lt;&gt;"SÍ","",CK52*(DATOS!$C$61*(BS52+0.6)*INDEX(TABLAS!$E$6:$E$14,MATCH(DATOS!$C$62,TABLAS!$B$6:$B$14,0))+(2*ROUNDUP(CN52/DATOS!$C$65,0)+ROUNDUP(MAX(0,BS52*100-2*CN52)/DATOS!$C$64,0))*((2*(DATOS!$C$60+DATOS!$C$59-4*(DATOS!$C$66-INDEX(TABLAS!$C$6:$C$14,MATCH(DATOS!$C$63,TABLAS!$B$6:$B$14,0))))+15)/100)*INDEX(TABLAS!$E$6:$E$14,MATCH(DATOS!$C$63,TABLAS!$B$6:$B$14,0))))</f>
        <v/>
      </c>
      <c r="ET52" s="47" t="str">
        <f>IF(BI52&lt;&gt;"SÍ","",IF(OR(AE52="VARILLA EN JUNTAS",AE52="ESCALERILLA"),INT(BS52*100/MAX(DK52,1))*IF(ISNUMBER(AF52),AF52,2)*CB52*INDEX(TABLAS!$E$6:$E$14,MATCH(IF(AG52&lt;&gt;"",AG52,DATOS!$C$73),TABLAS!$B$6:$B$14,0)),IF(AE52="MALLA",IF(ISNUMBER(AF52),AF52,1)*CB52*BS52*INDEX(TABLAS!$E$19:$E$22,MATCH(IF(AG52&lt;&gt;"",AG52,DATOS!$C$74),TABLAS!$B$19:$B$22,0)),0)))</f>
        <v/>
      </c>
      <c r="EU52" s="45" t="str">
        <f>IF(BI52&lt;&gt;"SÍ","",""&amp;IF(BJ52="NO ESTÁ EN PIER_FORCES","sin fuerzas en PIER_FORCES; ","")&amp;IF(BV52&lt;&gt;"CUMPLE","vanos; ","")&amp;IF(LEFT(CH52,2)="NO","espesor o esbeltez; ","")&amp;IF(CQ52&gt;1,"compresión; ","")&amp;IF(CX52&gt;1,"flexión; ","")&amp;IF(CB52&lt;=0,"sin tramos de muro (todos son machones menores que L mín.: diséñalos como columnas o baja L mín.); ",IF(EC52&gt;1,"cortante; ",""))&amp;IF(OR(LEFT(EA52,2)="NO",LEFT(EA52,5)="FALTA"),"refuerzo horizontal; ","")&amp;IF(OR(LEFT(EP52,2)="NO",LEFT(EP52,7)="REVISAR"),"muro sobre viga; ","")&amp;IF(LEFT(DATOS!$C$81,2)="NO","castillo típico; ","")&amp;IF(LEFT(DATOS!$C$82,2)="NO","dala típica; ","")&amp;IF(AND(BT52&lt;&gt;DATOS!$C$58,DATOS!$C$60&lt;BT52),"castillo más angosto que el muro; ",""))</f>
        <v/>
      </c>
      <c r="EV52" s="45" t="str">
        <f>IF(BI52&lt;&gt;"SÍ","",""&amp;IF(LEFT(EP52,9)="PENDIENTE","análisis muro–viga (H/L &lt; 0.6); ","")&amp;IF(BR52&gt;50,"V_u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2" s="51" t="str">
        <f>IF(BI52&lt;&gt;"SÍ","",IF(EU52&lt;&gt;"","NO CUMPLE: "&amp;LEFT(EU52,LEN(EU52)-2),IF(EV52&lt;&gt;"","CUMPLE — PENDIENTE: "&amp;LEFT(EV52,LEN(EV52)-2),"CUMPLE")))</f>
        <v/>
      </c>
      <c r="EX52" s="52" t="n"/>
    </row>
    <row r="53" ht="30" customHeight="1">
      <c r="A53" s="38" t="str">
        <f>IF(B53="","",ROW()-10)</f>
        <v/>
      </c>
      <c r="B53" s="28" t="n"/>
      <c r="C53" s="39" t="n"/>
      <c r="D53" s="39" t="n"/>
      <c r="E53" s="39" t="n"/>
      <c r="F53" s="40" t="n"/>
      <c r="G53" s="40" t="n"/>
      <c r="H53" s="41" t="n"/>
      <c r="I53" s="39" t="n"/>
      <c r="J53" s="40" t="n"/>
      <c r="K53" s="40" t="n"/>
      <c r="L53" s="40" t="n"/>
      <c r="M53" s="40" t="n"/>
      <c r="N53" s="39" t="n"/>
      <c r="O53" s="40" t="n"/>
      <c r="P53" s="40" t="n"/>
      <c r="Q53" s="40" t="n"/>
      <c r="R53" s="40" t="n"/>
      <c r="S53" s="39" t="n"/>
      <c r="T53" s="40" t="n"/>
      <c r="U53" s="40" t="n"/>
      <c r="V53" s="40" t="n"/>
      <c r="W53" s="40" t="n"/>
      <c r="X53" s="39" t="n"/>
      <c r="Y53" s="40" t="n"/>
      <c r="Z53" s="40" t="n"/>
      <c r="AA53" s="40" t="n"/>
      <c r="AB53" s="40" t="n"/>
      <c r="AC53" s="41" t="n"/>
      <c r="AD53" s="41" t="n"/>
      <c r="AE53" s="39" t="n"/>
      <c r="AF53" s="41" t="n"/>
      <c r="AG53" s="41" t="n"/>
      <c r="AH53" s="41" t="n"/>
      <c r="AI53" s="39" t="n"/>
      <c r="AJ53" s="39" t="n"/>
      <c r="AK53" s="41" t="n"/>
      <c r="AL53" s="41" t="n"/>
      <c r="AM53" s="40" t="n"/>
      <c r="AN53" s="40" t="n"/>
      <c r="AO53" s="40" t="n"/>
      <c r="AP53" s="40" t="n"/>
      <c r="AQ53" s="40" t="n"/>
      <c r="AR53" s="40" t="n"/>
      <c r="AS53" s="40" t="n"/>
      <c r="AT53" s="40" t="n"/>
      <c r="AU53" s="40" t="n"/>
      <c r="AV53" s="40" t="n"/>
      <c r="AW53" s="40" t="n"/>
      <c r="AX53" s="42" t="str">
        <f>IF(B53="","",C53&amp;"|"&amp;B53)</f>
        <v/>
      </c>
      <c r="AY53" s="43" t="str">
        <f>IF(B53="","",COUNTIFS(PIER_FORCES!$O$9:$O$3008,43,PIER_FORCES!$P$9:$P$3008,1))</f>
        <v/>
      </c>
      <c r="AZ53" s="43" t="str">
        <f>IF(B53="","",COUNTIFS(PIER_FORCES!$O$9:$O$3008,43,PIER_FORCES!$P$9:$P$3008,2))</f>
        <v/>
      </c>
      <c r="BA53" s="44">
        <f>IF(N(AY53)=0,0,SUMPRODUCT(MAX((PIER_FORCES!$O$9:$O$3008=43)*(PIER_FORCES!$P$9:$P$3008=1)*PIER_FORCES!$R$9:$R$3008)))</f>
        <v>0</v>
      </c>
      <c r="BB53" s="44">
        <f>IF(N(AY53)=0,0,SUMPRODUCT(MAX((PIER_FORCES!$O$9:$O$3008=43)*(PIER_FORCES!$P$9:$P$3008=1)*PIER_FORCES!$S$9:$S$3008)))</f>
        <v>0</v>
      </c>
      <c r="BC53" s="44">
        <f>IF(N(AY53)=0,0,-SUMPRODUCT(MAX((PIER_FORCES!$O$9:$O$3008=43)*(PIER_FORCES!$P$9:$P$3008=1)*(-PIER_FORCES!$Q$9:$Q$3008)+(1-(PIER_FORCES!$O$9:$O$3008=43)*(PIER_FORCES!$P$9:$P$3008=1))*(-1E9))))</f>
        <v>0</v>
      </c>
      <c r="BD53" s="44">
        <f>IF(N(AY53)=0,0,SUMPRODUCT(MAX((PIER_FORCES!$O$9:$O$3008=43)*(PIER_FORCES!$P$9:$P$3008=1)*PIER_FORCES!$Q$9:$Q$3008+(1-(PIER_FORCES!$O$9:$O$3008=43)*(PIER_FORCES!$P$9:$P$3008=1))*(-1E9))))</f>
        <v>0</v>
      </c>
      <c r="BE53" s="44">
        <f>IF(N(AZ53)=0,BD53,SUMPRODUCT(MAX((PIER_FORCES!$O$9:$O$3008=43)*(PIER_FORCES!$P$9:$P$3008=2)*PIER_FORCES!$Q$9:$Q$3008+(1-(PIER_FORCES!$O$9:$O$3008=43)*(PIER_FORCES!$P$9:$P$3008=2))*(-1E9))))</f>
        <v>0</v>
      </c>
      <c r="BF53" s="44">
        <f>IF(N(AZ53)=0,0,SUMPRODUCT(MAX((PIER_FORCES!$O$9:$O$3008=43)*(PIER_FORCES!$P$9:$P$3008=2)*PIER_FORCES!$R$9:$R$3008)))</f>
        <v>0</v>
      </c>
      <c r="BG53" s="43">
        <f>IF(N(AY53)=0,0,SUMPRODUCT(MAX((PIER_FORCES!$O$9:$O$3008=43)*(PIER_FORCES!$P$9:$P$3008=1)*(ABS(PIER_FORCES!$R$9:$R$3008-BA53)&lt;0.000001)*PIER_FORCES!$T$9:$T$3008)))</f>
        <v>0</v>
      </c>
      <c r="BH53" s="45" t="str">
        <f>IF(N(BG53)=0,"",INDEX(PIER_FORCES!$D$9:$D$3008,BG53)&amp;" "&amp;INDEX(PIER_FORCES!$F$9:$F$3008,BG53)&amp;" / "&amp;INDEX(PIER_FORCES!$G$9:$G$3008,BG53))</f>
        <v/>
      </c>
      <c r="BI53" s="42" t="str">
        <f>IF(B53="","",IF(AND(C53&lt;&gt;"",OR(D53="X",D53="Y"),ISNUMBER(F53),N(F53)&gt;0),"SÍ","NO"))</f>
        <v/>
      </c>
      <c r="BJ53" s="42" t="str">
        <f>IF(BI53&lt;&gt;"SÍ","",IF(DATOS!$C$108="ETABS (PIER_FORCES)",IF(N(AY53)&gt;0,"ETABS","NO ESTÁ EN PIER_FORCES"),"CAPTURA"))</f>
        <v/>
      </c>
      <c r="BK53" s="46" t="str">
        <f>IF(BI53&lt;&gt;"SÍ","",IF(BJ53="ETABS",BA53,IF(BJ53="CAPTURA",N(AQ53),0)))</f>
        <v/>
      </c>
      <c r="BL53" s="46" t="str">
        <f>IF(BI53&lt;&gt;"SÍ","",IF(BJ53="ETABS",BB53,IF(BJ53="CAPTURA",N(AR53),0)))</f>
        <v/>
      </c>
      <c r="BM53" s="46" t="str">
        <f>IF(BI53&lt;&gt;"SÍ","",IF(BJ53="ETABS",BC53/DATOS!$C$89,IF(BJ53="CAPTURA",N(AS53),0)))</f>
        <v/>
      </c>
      <c r="BN53" s="44" t="str">
        <f>IF(BI53&lt;&gt;"SÍ","",IF(BJ53="ETABS",BC53,IF(BJ53="CAPTURA",IF(ISNUMBER(AU53),AU53,N(AS53)*DATOS!$C$89),0)))</f>
        <v/>
      </c>
      <c r="BO53" s="44" t="str">
        <f>IF(BI53&lt;&gt;"SÍ","",IF(BJ53="ETABS",MAX(BD53,BE53),IF(BJ53="CAPTURA",N(AT53),0)))</f>
        <v/>
      </c>
      <c r="BP53" s="44" t="str">
        <f>IF(BI53&lt;&gt;"SÍ","",IF(BJ53="ETABS",BE53,IF(BJ53="CAPTURA",IF(ISNUMBER(AV53),AV53,N(AT53)),0)))</f>
        <v/>
      </c>
      <c r="BQ53" s="44" t="str">
        <f>IF(BI53&lt;&gt;"SÍ","",IF(BJ53="ETABS",BF53,IF(BJ53="CAPTURA",N(AW53),0)))</f>
        <v/>
      </c>
      <c r="BR53" s="43" t="str">
        <f>IF(BI53&lt;&gt;"SÍ","",IF(BK53&gt;0,100*BQ53/BK53,0))</f>
        <v/>
      </c>
      <c r="BS53" s="44" t="str">
        <f>IF(BI53&lt;&gt;"SÍ","",IF(ISNUMBER(G53),G53,DATOS!$C$57))</f>
        <v/>
      </c>
      <c r="BT53" s="47" t="str">
        <f>IF(BI53&lt;&gt;"SÍ","",IF(ISNUMBER(H53),H53,DATOS!$C$58))</f>
        <v/>
      </c>
      <c r="BU53" s="43" t="str">
        <f>IF(BI53&lt;&gt;"SÍ","",IF(N(K53)&gt;0,1+IF(N(P53)&gt;0,1+IF(N(U53)&gt;0,1+IF(N(Z53)&gt;0,1,0),0),0),0))</f>
        <v/>
      </c>
      <c r="BV53" s="45" t="str">
        <f>IF(BI53&lt;&gt;"SÍ","",IF(AND(OR(BU53&lt;1,AND(N(J53)&gt;=0-0.001,J53+K53&lt;=F53+0.001,N(L53)&gt;=0,N(L53)+N(M53)&lt;=BS53+0.001,N(M53)&gt;0,OR(I53="PUERTA",I53="VENTANA"))),OR(BU53&lt;2,AND(N(O53)&gt;=(J53+K53)-0.001,O53+P53&lt;=F53+0.001,N(Q53)&gt;=0,N(Q53)+N(R53)&lt;=BS53+0.001,N(R53)&gt;0,OR(N53="PUERTA",N53="VENTANA"))),OR(BU53&lt;3,AND(N(T53)&gt;=(O53+P53)-0.001,T53+U53&lt;=F53+0.001,N(V53)&gt;=0,N(V53)+N(W53)&lt;=BS53+0.001,N(W53)&gt;0,OR(S53="PUERTA",S53="VENTANA"))),OR(BU53&lt;4,AND(N(Y53)&gt;=(T53+U53)-0.001,Y53+Z53&lt;=F53+0.001,N(AA53)&gt;=0,N(AA53)+N(AB53)&lt;=BS53+0.001,N(AB53)&gt;0,OR(X53="PUERTA",X53="VENTANA"))),(N(K53)&gt;0)+(N(P53)&gt;0)+(N(U53)&gt;0)+(N(Z53)&gt;0)=BU53),"CUMPLE","REVISAR VANOS: tipo, orden de izquierda a derecha, que quepan en L y en H"))</f>
        <v/>
      </c>
      <c r="BW53" s="44" t="str">
        <f>IF(BI53&lt;&gt;"SÍ","",MAX(0,IF(BU53&gt;=1,N(J53),F53)))</f>
        <v/>
      </c>
      <c r="BX53" s="44" t="str">
        <f>IF(BI53&lt;&gt;"SÍ","",MAX(0,IF(BU53&gt;=2,N(O53)-(N(J53)+N(K53)),IF(BU53=1,F53-(N(J53)+N(K53)),0))))</f>
        <v/>
      </c>
      <c r="BY53" s="44" t="str">
        <f>IF(BI53&lt;&gt;"SÍ","",MAX(0,IF(BU53&gt;=3,N(T53)-(N(O53)+N(P53)),IF(BU53=2,F53-(N(O53)+N(P53)),0))))</f>
        <v/>
      </c>
      <c r="BZ53" s="44" t="str">
        <f>IF(BI53&lt;&gt;"SÍ","",MAX(0,IF(BU53&gt;=4,N(Y53)-(N(T53)+N(U53)),IF(BU53=3,F53-(N(T53)+N(U53)),0))))</f>
        <v/>
      </c>
      <c r="CA53" s="44" t="str">
        <f>IF(BI53&lt;&gt;"SÍ","",MAX(0,IF(BU53=4,F53-(N(Y53)+N(Z53)),0)))</f>
        <v/>
      </c>
      <c r="CB53" s="46" t="str">
        <f>IF(BI53&lt;&gt;"SÍ","",SUMPRODUCT((BW53:CA53&gt;=DATOS!$C$72-0.0001)*BW53:CA53))</f>
        <v/>
      </c>
      <c r="CC53" s="43" t="str">
        <f>IF(BI53&lt;&gt;"SÍ","",SUMPRODUCT(--(BW53:CA53&gt;=DATOS!$C$72-0.0001)))</f>
        <v/>
      </c>
      <c r="CD53" s="44" t="str">
        <f>IF(BI53&lt;&gt;"SÍ","",SUM(BW53:CA53))</f>
        <v/>
      </c>
      <c r="CE53" s="43" t="str">
        <f>IF(BI53&lt;&gt;"SÍ","",BT53*CB53*100)</f>
        <v/>
      </c>
      <c r="CF53" s="43" t="str">
        <f>IF(BI53&lt;&gt;"SÍ","",BT53*CD53*100)</f>
        <v/>
      </c>
      <c r="CG53" s="47" t="str">
        <f>IF(BI53&lt;&gt;"SÍ","",BS53*100/BT53)</f>
        <v/>
      </c>
      <c r="CH53" s="45" t="str">
        <f>IF(BI53&lt;&gt;"SÍ","",IF(AND(OR(DATOS!$C$14="TIPO II",BT53&gt;=12),CG53&lt;=25),"CUMPLE","NO CUMPLE: "&amp;IF(AND(DATOS!$C$14="TIPO I",BT53&lt;12),"t &lt; 12 cm ","")&amp;IF(CG53&gt;25,"H/t &gt; 25","")))</f>
        <v/>
      </c>
      <c r="CI53" s="44" t="str">
        <f>IF(BI53&lt;&gt;"SÍ","",MIN(1.5*BS53,4))</f>
        <v/>
      </c>
      <c r="CJ53" s="43" t="str">
        <f>IF(BI53&lt;&gt;"SÍ","",SUMPRODUCT((BW53:CA53&gt;=2*DATOS!$C$59/100)*INT((BW53:CA53-DATOS!$C$59/100)/CI53-0.000001)*((BW53:CA53-DATOS!$C$59/100)&gt;0)))</f>
        <v/>
      </c>
      <c r="CK53" s="43" t="str">
        <f>IF(BI53&lt;&gt;"SÍ","",SUMPRODUCT((BW53:CA53&gt;0.0001)*1+(BW53:CA53&gt;=2*DATOS!$C$59/100)*1)+CJ53)</f>
        <v/>
      </c>
      <c r="CL53" s="44" t="str">
        <f>IF(BI53&lt;&gt;"SÍ","",IF(ISNUMBER(AC53),AC53,DATOS!$C$61)*INDEX(TABLAS!$D$6:$D$14,MATCH(IF(AD53&lt;&gt;"",AD53,DATOS!$C$62),TABLAS!$B$6:$B$14,0)))</f>
        <v/>
      </c>
      <c r="CM53" s="44" t="str">
        <f>IF(BI53&lt;&gt;"SÍ","",CK53*DATOS!$C$78+IF(CK53&gt;=2,2,CK53)*(CL53-DATOS!$C$78))</f>
        <v/>
      </c>
      <c r="CN53" s="47" t="str">
        <f>IF(BI53&lt;&gt;"SÍ","",MAX(BS53*100/6,40))</f>
        <v/>
      </c>
      <c r="CO53" s="48" t="str">
        <f>IF(BI53&lt;&gt;"SÍ","",IF(CG53&lt;=20,IF(E53="INTERIOR",0.7,0.6),MIN(IF(E53="INTERIOR",0.7,0.6),(1-2/24)*(1-(IF(E53="INTERIOR",0.8,1)*CG53/30)^2))))</f>
        <v/>
      </c>
      <c r="CP53" s="47" t="str">
        <f>IF(BI53&lt;&gt;"SÍ","",DATOS!$C$87*CO53*(DATOS!$C$33*CF53+CM53*DATOS!$C$48)/1000)</f>
        <v/>
      </c>
      <c r="CQ53" s="46" t="str">
        <f>IF(BI53&lt;&gt;"SÍ","",IF(CP53&gt;0,BO53/CP53,99))</f>
        <v/>
      </c>
      <c r="CR53" s="47" t="str">
        <f>IF(BI53&lt;&gt;"SÍ","",MAX(0,F53*100-DATOS!$C$59))</f>
        <v/>
      </c>
      <c r="CS53" s="47" t="str">
        <f>IF(BI53&lt;&gt;"SÍ","",MAX(0,F53*100-DATOS!$C$59/2))</f>
        <v/>
      </c>
      <c r="CT53" s="44" t="str">
        <f>IF(BI53&lt;&gt;"SÍ","",CL53*DATOS!$C$48*CR53/100000)</f>
        <v/>
      </c>
      <c r="CU53" s="44" t="str">
        <f>IF(BI53&lt;&gt;"SÍ","",IF(BN53&lt;0,0.8*CT53*MAX(0,1+BN53/(0.8*CM53*DATOS!$C$48/1000)),IF(BN53&lt;=CP53/3,0.8*CT53+0.3*BN53*CS53/100,(1.5*0.6*CT53+0.15*CP53*CS53/100)*MAX(0,1-BN53/CP53))))</f>
        <v/>
      </c>
      <c r="CV53" s="44" t="str">
        <f>IF(BI53&lt;&gt;"SÍ","",IF(BO53&lt;0,0.8*CT53*MAX(0,1+BO53/(0.8*CM53*DATOS!$C$48/1000)),IF(BO53&lt;=CP53/3,0.8*CT53+0.3*BO53*CS53/100,(1.5*0.6*CT53+0.15*CP53*CS53/100)*MAX(0,1-BO53/CP53))))</f>
        <v/>
      </c>
      <c r="CW53" s="46" t="str">
        <f>IF(BI53&lt;&gt;"SÍ","",MAX(0,MIN(CU53,CV53)))</f>
        <v/>
      </c>
      <c r="CX53" s="49" t="str">
        <f>IF(BI53&lt;&gt;"SÍ","",IF(CW53&gt;0,BL53/CW53,IF(BL53&gt;0,99,0)))</f>
        <v/>
      </c>
      <c r="CY53" s="44" t="str">
        <f>IF(BI53&lt;&gt;"SÍ","",IF(BW53&gt;0,MAX(1,MIN(1.5,1.5-0.625*(BS53/BW53-0.2))),0))</f>
        <v/>
      </c>
      <c r="CZ53" s="44" t="str">
        <f>IF(BI53&lt;&gt;"SÍ","",IF(BX53&gt;0,MAX(1,MIN(1.5,1.5-0.625*(BS53/BX53-0.2))),0))</f>
        <v/>
      </c>
      <c r="DA53" s="44" t="str">
        <f>IF(BI53&lt;&gt;"SÍ","",IF(BY53&gt;0,MAX(1,MIN(1.5,1.5-0.625*(BS53/BY53-0.2))),0))</f>
        <v/>
      </c>
      <c r="DB53" s="44" t="str">
        <f>IF(BI53&lt;&gt;"SÍ","",IF(BZ53&gt;0,MAX(1,MIN(1.5,1.5-0.625*(BS53/BZ53-0.2))),0))</f>
        <v/>
      </c>
      <c r="DC53" s="44" t="str">
        <f>IF(BI53&lt;&gt;"SÍ","",IF(CA53&gt;0,MAX(1,MIN(1.5,1.5-0.625*(BS53/CA53-0.2))),0))</f>
        <v/>
      </c>
      <c r="DD53" s="44" t="str">
        <f>IF(BI53&lt;&gt;"SÍ","",IF(OR(BW53&lt;DATOS!$C$72-0.0001,BM53&lt;0,CB53&lt;=0),0,MIN(DATOS!$C$86*(0.5*DATOS!$C$41*BT53*BW53*100+0.3*BM53*BW53/CB53*1000)*CY53,1.5*DATOS!$C$86*DATOS!$C$41*BT53*BW53*100*CY53)/1000))</f>
        <v/>
      </c>
      <c r="DE53" s="44" t="str">
        <f>IF(BI53&lt;&gt;"SÍ","",IF(OR(BX53&lt;DATOS!$C$72-0.0001,BM53&lt;0,CB53&lt;=0),0,MIN(DATOS!$C$86*(0.5*DATOS!$C$41*BT53*BX53*100+0.3*BM53*BX53/CB53*1000)*CZ53,1.5*DATOS!$C$86*DATOS!$C$41*BT53*BX53*100*CZ53)/1000))</f>
        <v/>
      </c>
      <c r="DF53" s="44" t="str">
        <f>IF(BI53&lt;&gt;"SÍ","",IF(OR(BY53&lt;DATOS!$C$72-0.0001,BM53&lt;0,CB53&lt;=0),0,MIN(DATOS!$C$86*(0.5*DATOS!$C$41*BT53*BY53*100+0.3*BM53*BY53/CB53*1000)*DA53,1.5*DATOS!$C$86*DATOS!$C$41*BT53*BY53*100*DA53)/1000))</f>
        <v/>
      </c>
      <c r="DG53" s="44" t="str">
        <f>IF(BI53&lt;&gt;"SÍ","",IF(OR(BZ53&lt;DATOS!$C$72-0.0001,BM53&lt;0,CB53&lt;=0),0,MIN(DATOS!$C$86*(0.5*DATOS!$C$41*BT53*BZ53*100+0.3*BM53*BZ53/CB53*1000)*DB53,1.5*DATOS!$C$86*DATOS!$C$41*BT53*BZ53*100*DB53)/1000))</f>
        <v/>
      </c>
      <c r="DH53" s="44" t="str">
        <f>IF(BI53&lt;&gt;"SÍ","",IF(OR(CA53&lt;DATOS!$C$72-0.0001,BM53&lt;0,CB53&lt;=0),0,MIN(DATOS!$C$86*(0.5*DATOS!$C$41*BT53*CA53*100+0.3*BM53*CA53/CB53*1000)*DC53,1.5*DATOS!$C$86*DATOS!$C$41*BT53*CA53*100*DC53)/1000))</f>
        <v/>
      </c>
      <c r="DI53" s="46" t="str">
        <f>IF(BI53&lt;&gt;"SÍ","",SUM(DD53:DH53))</f>
        <v/>
      </c>
      <c r="DJ53" s="48" t="str">
        <f>IF(BI53&lt;&gt;"SÍ","",IF(AE53="VARILLA EN JUNTAS",IF(ISNUMBER(AF53),AF53,2)*INDEX(TABLAS!$D$6:$D$14,MATCH(IF(AG53&lt;&gt;"",AG53,DATOS!$C$73),TABLAS!$B$6:$B$14,0)),IF(AE53="MALLA",IF(ISNUMBER(AF53),AF53,1)*INDEX(TABLAS!$D$19:$D$22,MATCH(IF(AG53&lt;&gt;"",AG53,DATOS!$C$74),TABLAS!$B$19:$B$22,0))/100,IF(AE53="ESCALERILLA",IF(ISNUMBER(AF53),AF53,2)*INDEX(TABLAS!$D$6:$D$14,MATCH(IF(AG53&lt;&gt;"",AG53,DATOS!$C$73),TABLAS!$B$6:$B$14,0)),0))))</f>
        <v/>
      </c>
      <c r="DK53" s="47" t="str">
        <f>IF(BI53&lt;&gt;"SÍ","",IF(OR(AE53="VARILLA EN JUNTAS",AE53="ESCALERILLA"),IF(ISNUMBER(AH53),AH53,2)*DATOS!$C$26,IF(AE53="MALLA",1,0)))</f>
        <v/>
      </c>
      <c r="DL53" s="44" t="str">
        <f>IF(BI53&lt;&gt;"SÍ","",IF(DK53&gt;0,DJ53/(DK53*BT53)*MIN(DATOS!$C$50,IF(AE53="MALLA",5000,6000)),0))</f>
        <v/>
      </c>
      <c r="DM53" s="44" t="str">
        <f>IF(BI53&lt;&gt;"SÍ","",IF(AE53="ESCALERILLA",0,MIN(DL53,0.1*DATOS!$C$33*DATOS!$C$24)))</f>
        <v/>
      </c>
      <c r="DN53" s="48" t="str">
        <f>IF(BI53&lt;&gt;"SÍ","",IF(AE53="MALLA",0.5,IF(DATOS!$C$33&lt;=60,0.55,IF(DATOS!$C$33&gt;=90,0.75,0.55+0.2*(DATOS!$C$33-60)/30))))</f>
        <v/>
      </c>
      <c r="DO53" s="48" t="str">
        <f>IF(BI53&lt;&gt;"SÍ","",1-DATOS!$C$91*DM53)</f>
        <v/>
      </c>
      <c r="DP53" s="44" t="str">
        <f>IF(BI53&lt;&gt;"SÍ","",IF(BW53&gt;0,IF(BS53/BW53&lt;=1,1.3,IF(BS53/BW53&gt;=1.5,1,1.3-0.6*(BS53/BW53-1))),0))</f>
        <v/>
      </c>
      <c r="DQ53" s="44" t="str">
        <f>IF(BI53&lt;&gt;"SÍ","",IF(BX53&gt;0,IF(BS53/BX53&lt;=1,1.3,IF(BS53/BX53&gt;=1.5,1,1.3-0.6*(BS53/BX53-1))),0))</f>
        <v/>
      </c>
      <c r="DR53" s="44" t="str">
        <f>IF(BI53&lt;&gt;"SÍ","",IF(BY53&gt;0,IF(BS53/BY53&lt;=1,1.3,IF(BS53/BY53&gt;=1.5,1,1.3-0.6*(BS53/BY53-1))),0))</f>
        <v/>
      </c>
      <c r="DS53" s="44" t="str">
        <f>IF(BI53&lt;&gt;"SÍ","",IF(BZ53&gt;0,IF(BS53/BZ53&lt;=1,1.3,IF(BS53/BZ53&gt;=1.5,1,1.3-0.6*(BS53/BZ53-1))),0))</f>
        <v/>
      </c>
      <c r="DT53" s="44" t="str">
        <f>IF(BI53&lt;&gt;"SÍ","",IF(CA53&gt;0,IF(BS53/CA53&lt;=1,1.3,IF(BS53/CA53&gt;=1.5,1,1.3-0.6*(BS53/CA53-1))),0))</f>
        <v/>
      </c>
      <c r="DU53" s="44" t="str">
        <f>IF(BI53&lt;&gt;"SÍ","",IF(OR(DM53&lt;=0,BW53&lt;DATOS!$C$72-0.0001),0,DATOS!$C$86*MAX(0,IF(BM53&gt;=0,DD53/(DATOS!$C$86*DM53*BT53*BW53*100/1000)*(DP53*DO53-1)+DN53,DO53*DN53))*DM53*BT53*BW53*100/1000))</f>
        <v/>
      </c>
      <c r="DV53" s="44" t="str">
        <f>IF(BI53&lt;&gt;"SÍ","",IF(OR(DM53&lt;=0,BX53&lt;DATOS!$C$72-0.0001),0,DATOS!$C$86*MAX(0,IF(BM53&gt;=0,DE53/(DATOS!$C$86*DM53*BT53*BX53*100/1000)*(DQ53*DO53-1)+DN53,DO53*DN53))*DM53*BT53*BX53*100/1000))</f>
        <v/>
      </c>
      <c r="DW53" s="44" t="str">
        <f>IF(BI53&lt;&gt;"SÍ","",IF(OR(DM53&lt;=0,BY53&lt;DATOS!$C$72-0.0001),0,DATOS!$C$86*MAX(0,IF(BM53&gt;=0,DF53/(DATOS!$C$86*DM53*BT53*BY53*100/1000)*(DR53*DO53-1)+DN53,DO53*DN53))*DM53*BT53*BY53*100/1000))</f>
        <v/>
      </c>
      <c r="DX53" s="44" t="str">
        <f>IF(BI53&lt;&gt;"SÍ","",IF(OR(DM53&lt;=0,BZ53&lt;DATOS!$C$72-0.0001),0,DATOS!$C$86*MAX(0,IF(BM53&gt;=0,DG53/(DATOS!$C$86*DM53*BT53*BZ53*100/1000)*(DS53*DO53-1)+DN53,DO53*DN53))*DM53*BT53*BZ53*100/1000))</f>
        <v/>
      </c>
      <c r="DY53" s="44" t="str">
        <f>IF(BI53&lt;&gt;"SÍ","",IF(OR(DM53&lt;=0,CA53&lt;DATOS!$C$72-0.0001),0,DATOS!$C$86*MAX(0,IF(BM53&gt;=0,DH53/(DATOS!$C$86*DM53*BT53*CA53*100/1000)*(DT53*DO53-1)+DN53,DO53*DN53))*DM53*BT53*CA53*100/1000))</f>
        <v/>
      </c>
      <c r="DZ53" s="46" t="str">
        <f>IF(BI53&lt;&gt;"SÍ","",SUM(DU53:DY53))</f>
        <v/>
      </c>
      <c r="EA53" s="45" t="str">
        <f>IF(BI53&lt;&gt;"SÍ","",IF(OR(AE53="",AE53="NINGUNO"),IF(DATOS!$C$41&gt;=10,"FALTA refuerzo horizontal: v'm ≥ 10 kg/cm² (6.5.2.2)",IF(AND(BM53&lt;0,BK53&gt;0),"FALTA: P en tensión, el refuerzo debe tomar todo el cortante (6.5.1.3)","—")),IF(AE53="ESCALERILLA","NO CUENTA: la escalerilla no se permite para cortante por sismo (6.5.3.1.2)",IF(AE53="MALLA",IF(AND(DL53&gt;=2.5,DL53&lt;=MAX(0.15*DATOS!$C$33*DATOS!$C$24,2.5)),"CUMPLE","NO CUMPLE: "&amp;IF(DL53&lt;2.5,"p_h·f_yh &lt; 2.5 (6.5.4.2.4)","p_h·f_yh &gt; 0.15·f'm·f_an (6.5.4.2.4)")),IF(AND(DK53&lt;=MIN(6*DATOS!$C$26,45),DL53&gt;=3,DL53&lt;=MIN(MAX(0.15*DATOS!$C$33*DATOS!$C$24,3),0.05*DATOS!$C$25/10*MIN(DATOS!$C$50,6000)/DK53),INDEX(TABLAS!$C$6:$C$14,MATCH(IF(AG53&lt;&gt;"",AG53,DATOS!$C$73),TABLAS!$B$6:$B$14,0))&gt;=0.35,INDEX(TABLAS!$C$6:$C$14,MATCH(IF(AG53&lt;&gt;"",AG53,DATOS!$C$73),TABLAS!$B$6:$B$14,0))&lt;=0.75*DATOS!$C$25/10),"CUMPLE","NO CUMPLE: "&amp;IF(DK53&gt;MIN(6*DATOS!$C$26,45),"s_h &gt; 6 hiladas o 45 cm (6.5.3.2.1) ","")&amp;IF(DL53&lt;3,"p_h·f_yh &lt; 3 (6.5.3.3.1) ","")&amp;IF(DL53&gt;MIN(MAX(0.15*DATOS!$C$33*DATOS!$C$24,3),0.05*DATOS!$C$25/10*MIN(DATOS!$C$50,6000)/DK53),"p_h·f_yh &gt; máximo (6.5.3.3.2) ","")&amp;IF(OR(INDEX(TABLAS!$C$6:$C$14,MATCH(IF(AG53&lt;&gt;"",AG53,DATOS!$C$73),TABLAS!$B$6:$B$14,0))&lt;0.35,INDEX(TABLAS!$C$6:$C$14,MATCH(IF(AG53&lt;&gt;"",AG53,DATOS!$C$73),TABLAS!$B$6:$B$14,0))&gt;0.75*DATOS!$C$25/10),"diámetro fuera de 3.5 mm a 0.75·h_j (4.2.2.2.1)",""))))))</f>
        <v/>
      </c>
      <c r="EB53" s="46" t="str">
        <f>IF(BI53&lt;&gt;"SÍ","",DI53+DZ53)</f>
        <v/>
      </c>
      <c r="EC53" s="50" t="str">
        <f>IF(BI53&lt;&gt;"SÍ","",IF(EB53&gt;0,BK53/EB53,IF(BK53&gt;0,99,0)))</f>
        <v/>
      </c>
      <c r="ED53" s="47" t="str">
        <f>IF(BI53&lt;&gt;"SÍ","",IF(CE53&lt;=0,-1,IF(BK53&lt;=DI53,0,IF(IF(BM53&gt;=0,IF((DATOS!$C$86*IF(AE53="MALLA",0.5,IF(DATOS!$C$33&lt;=60,0.55,IF(DATOS!$C$33&gt;=90,0.75,0.55+0.2*(DATOS!$C$33-60)/30)))*CE53/1000-DATOS!$C$91*SUMPRODUCT(DP53:DT53,DD53:DH53))&lt;=0,1E9,(BK53-SUMPRODUCT(DP53:DT53,DD53:DH53))/(DATOS!$C$86*IF(AE53="MALLA",0.5,IF(DATOS!$C$33&lt;=60,0.55,IF(DATOS!$C$33&gt;=90,0.75,0.55+0.2*(DATOS!$C$33-60)/30)))*CE53/1000-DATOS!$C$91*SUMPRODUCT(DP53:DT53,DD53:DH53))),IF((1-4*DATOS!$C$91*BK53*1000/(DATOS!$C$86*IF(AE53="MALLA",0.5,IF(DATOS!$C$33&lt;=60,0.55,IF(DATOS!$C$33&gt;=90,0.75,0.55+0.2*(DATOS!$C$33-60)/30)))*MAX(CE53,1)))&lt;0,1E9,(1-SQRT((1-4*DATOS!$C$91*BK53*1000/(DATOS!$C$86*IF(AE53="MALLA",0.5,IF(DATOS!$C$33&lt;=60,0.55,IF(DATOS!$C$33&gt;=90,0.75,0.55+0.2*(DATOS!$C$33-60)/30)))*MAX(CE53,1)))))/(2*DATOS!$C$91)))&gt;0.1*DATOS!$C$33*DATOS!$C$24+0.000001,-1,MAX(IF(AE53="MALLA",2.5,3),IF(BM53&gt;=0,IF((DATOS!$C$86*IF(AE53="MALLA",0.5,IF(DATOS!$C$33&lt;=60,0.55,IF(DATOS!$C$33&gt;=90,0.75,0.55+0.2*(DATOS!$C$33-60)/30)))*CE53/1000-DATOS!$C$91*SUMPRODUCT(DP53:DT53,DD53:DH53))&lt;=0,1E9,(BK53-SUMPRODUCT(DP53:DT53,DD53:DH53))/(DATOS!$C$86*IF(AE53="MALLA",0.5,IF(DATOS!$C$33&lt;=60,0.55,IF(DATOS!$C$33&gt;=90,0.75,0.55+0.2*(DATOS!$C$33-60)/30)))*CE53/1000-DATOS!$C$91*SUMPRODUCT(DP53:DT53,DD53:DH53))),IF((1-4*DATOS!$C$91*BK53*1000/(DATOS!$C$86*IF(AE53="MALLA",0.5,IF(DATOS!$C$33&lt;=60,0.55,IF(DATOS!$C$33&gt;=90,0.75,0.55+0.2*(DATOS!$C$33-60)/30)))*MAX(CE53,1)))&lt;0,1E9,(1-SQRT((1-4*DATOS!$C$91*BK53*1000/(DATOS!$C$86*IF(AE53="MALLA",0.5,IF(DATOS!$C$33&lt;=60,0.55,IF(DATOS!$C$33&gt;=90,0.75,0.55+0.2*(DATOS!$C$33-60)/30)))*MAX(CE53,1)))))/(2*DATOS!$C$91))))))))</f>
        <v/>
      </c>
      <c r="EE53" s="45" t="str">
        <f>IF(BI53&lt;&gt;"SÍ","",IF(ED53=0,"NO REQUIERE: V_mR ≥ V_u",IF(ED53&lt;0,"NO ALCANZA con refuerzo horizontal (haría falta más de 0.1·f'm·f_an efectivo): sube v'm con ensayes, el espesor o la longitud del muro",IF(AND(OR(AE53="VARILLA EN JUNTAS",AE53="MALLA"),LEFT(EA53,6)="CUMPLE",EC53&lt;=1),"YA LO TIENE (pide p_h·f_yh ≥ "&amp;TEXT(ED53,"0.0")&amp;" kg/cm²)","p_h·f_yh ≥ "&amp;TEXT(ED53,"0.0")&amp;" kg/cm² → "&amp;IF(AND(MIN(6,FLOOR(45/DATOS!$C$26,1),FLOOR((2*INDEX(TABLAS!$D$6:$D$14,MATCH("3/16 in",TABLAS!$B$6:$B$14,0)))*MIN(DATOS!$C$50,6000)/(BT53*DATOS!$C$26*MAX(ED53,0.001)),1))&gt;=1,((2*INDEX(TABLAS!$D$6:$D$14,MATCH("3/16 in",TABLAS!$B$6:$B$14,0)))*MIN(DATOS!$C$50,6000)/(MAX(MIN(6,FLOOR(45/DATOS!$C$26,1),FLOOR((2*INDEX(TABLAS!$D$6:$D$14,MATCH("3/16 in",TABLAS!$B$6:$B$14,0)))*MIN(DATOS!$C$50,6000)/(BT53*DATOS!$C$26*MAX(ED53,0.001)),1)),1)*DATOS!$C$26*BT53))&lt;=MIN(MAX(0.15*DATOS!$C$33*DATOS!$C$24,3),0.05*DATOS!$C$25/10*MIN(DATOS!$C$50,6000)/(MIN(6,FLOOR(45/DATOS!$C$26,1),FLOOR((2*INDEX(TABLAS!$D$6:$D$14,MATCH("3/16 in",TABLAS!$B$6:$B$14,0)))*MIN(DATOS!$C$50,6000)/(BT53*DATOS!$C$26*MAX(ED53,0.001)),1))*DATOS!$C$26))),"2 alambres de 3/16"" por junta cada "&amp;MIN(6,FLOOR(45/DATOS!$C$26,1),FLOOR((2*INDEX(TABLAS!$D$6:$D$14,MATCH("3/16 in",TABLAS!$B$6:$B$14,0)))*MIN(DATOS!$C$50,6000)/(BT53*DATOS!$C$26*MAX(ED53,0.001)),1))&amp;" hilada(s) (p_h·f_yh = "&amp;TEXT(((2*INDEX(TABLAS!$D$6:$D$14,MATCH("3/16 in",TABLAS!$B$6:$B$14,0)))*MIN(DATOS!$C$50,6000)/(MAX(MIN(6,FLOOR(45/DATOS!$C$26,1),FLOOR((2*INDEX(TABLAS!$D$6:$D$14,MATCH("3/16 in",TABLAS!$B$6:$B$14,0)))*MIN(DATOS!$C$50,6000)/(BT53*DATOS!$C$26*MAX(ED53,0.001)),1)),1)*DATOS!$C$26*BT53)),"0.00")&amp;")",IF(AND(MIN(6,FLOOR(45/DATOS!$C$26,1),FLOOR((2*INDEX(TABLAS!$D$6:$D$14,MATCH("5/32 in",TABLAS!$B$6:$B$14,0)))*MIN(DATOS!$C$50,6000)/(BT53*DATOS!$C$26*MAX(ED53,0.001)),1))&gt;=1,((2*INDEX(TABLAS!$D$6:$D$14,MATCH("5/32 in",TABLAS!$B$6:$B$14,0)))*MIN(DATOS!$C$50,6000)/(MAX(MIN(6,FLOOR(45/DATOS!$C$26,1),FLOOR((2*INDEX(TABLAS!$D$6:$D$14,MATCH("5/32 in",TABLAS!$B$6:$B$14,0)))*MIN(DATOS!$C$50,6000)/(BT53*DATOS!$C$26*MAX(ED53,0.001)),1)),1)*DATOS!$C$26*BT53))&lt;=MIN(MAX(0.15*DATOS!$C$33*DATOS!$C$24,3),0.05*DATOS!$C$25/10*MIN(DATOS!$C$50,6000)/(MIN(6,FLOOR(45/DATOS!$C$26,1),FLOOR((2*INDEX(TABLAS!$D$6:$D$14,MATCH("5/32 in",TABLAS!$B$6:$B$14,0)))*MIN(DATOS!$C$50,6000)/(BT53*DATOS!$C$26*MAX(ED53,0.001)),1))*DATOS!$C$26))),"2 alambres de 5/32"" por junta cada "&amp;MIN(6,FLOOR(45/DATOS!$C$26,1),FLOOR((2*INDEX(TABLAS!$D$6:$D$14,MATCH("5/32 in",TABLAS!$B$6:$B$14,0)))*MIN(DATOS!$C$50,6000)/(BT53*DATOS!$C$26*MAX(ED53,0.001)),1))&amp;" hilada(s) (p_h·f_yh = "&amp;TEXT(((2*INDEX(TABLAS!$D$6:$D$14,MATCH("5/32 in",TABLAS!$B$6:$B$14,0)))*MIN(DATOS!$C$50,6000)/(MAX(MIN(6,FLOOR(45/DATOS!$C$26,1),FLOOR((2*INDEX(TABLAS!$D$6:$D$14,MATCH("5/32 in",TABLAS!$B$6:$B$14,0)))*MIN(DATOS!$C$50,6000)/(BT53*DATOS!$C$26*MAX(ED53,0.001)),1)),1)*DATOS!$C$26*BT53)),"0.00")&amp;")",IF(AND(MIN(6,FLOOR(45/DATOS!$C$26,1),FLOOR((1*INDEX(TABLAS!$D$6:$D$14,MATCH("3/16 in",TABLAS!$B$6:$B$14,0)))*MIN(DATOS!$C$50,6000)/(BT53*DATOS!$C$26*MAX(ED53,0.001)),1))&gt;=1,((1*INDEX(TABLAS!$D$6:$D$14,MATCH("3/16 in",TABLAS!$B$6:$B$14,0)))*MIN(DATOS!$C$50,6000)/(MAX(MIN(6,FLOOR(45/DATOS!$C$26,1),FLOOR((1*INDEX(TABLAS!$D$6:$D$14,MATCH("3/16 in",TABLAS!$B$6:$B$14,0)))*MIN(DATOS!$C$50,6000)/(BT53*DATOS!$C$26*MAX(ED53,0.001)),1)),1)*DATOS!$C$26*BT53))&lt;=MIN(MAX(0.15*DATOS!$C$33*DATOS!$C$24,3),0.05*DATOS!$C$25/10*MIN(DATOS!$C$50,6000)/(MIN(6,FLOOR(45/DATOS!$C$26,1),FLOOR((1*INDEX(TABLAS!$D$6:$D$14,MATCH("3/16 in",TABLAS!$B$6:$B$14,0)))*MIN(DATOS!$C$50,6000)/(BT53*DATOS!$C$26*MAX(ED53,0.001)),1))*DATOS!$C$26))),"1 alambre de 3/16"" por junta cada "&amp;MIN(6,FLOOR(45/DATOS!$C$26,1),FLOOR((1*INDEX(TABLAS!$D$6:$D$14,MATCH("3/16 in",TABLAS!$B$6:$B$14,0)))*MIN(DATOS!$C$50,6000)/(BT53*DATOS!$C$26*MAX(ED53,0.001)),1))&amp;" hilada(s) (p_h·f_yh = "&amp;TEXT(((1*INDEX(TABLAS!$D$6:$D$14,MATCH("3/16 in",TABLAS!$B$6:$B$14,0)))*MIN(DATOS!$C$50,6000)/(MAX(MIN(6,FLOOR(45/DATOS!$C$26,1),FLOOR((1*INDEX(TABLAS!$D$6:$D$14,MATCH("3/16 in",TABLAS!$B$6:$B$14,0)))*MIN(DATOS!$C$50,6000)/(BT53*DATOS!$C$26*MAX(ED53,0.001)),1)),1)*DATOS!$C$26*BT53)),"0.00")&amp;")",IF(AND(MIN(6,FLOOR(45/DATOS!$C$26,1),FLOOR((1*INDEX(TABLAS!$D$6:$D$14,MATCH("5/32 in",TABLAS!$B$6:$B$14,0)))*MIN(DATOS!$C$50,6000)/(BT53*DATOS!$C$26*MAX(ED53,0.001)),1))&gt;=1,((1*INDEX(TABLAS!$D$6:$D$14,MATCH("5/32 in",TABLAS!$B$6:$B$14,0)))*MIN(DATOS!$C$50,6000)/(MAX(MIN(6,FLOOR(45/DATOS!$C$26,1),FLOOR((1*INDEX(TABLAS!$D$6:$D$14,MATCH("5/32 in",TABLAS!$B$6:$B$14,0)))*MIN(DATOS!$C$50,6000)/(BT53*DATOS!$C$26*MAX(ED53,0.001)),1)),1)*DATOS!$C$26*BT53))&lt;=MIN(MAX(0.15*DATOS!$C$33*DATOS!$C$24,3),0.05*DATOS!$C$25/10*MIN(DATOS!$C$50,6000)/(MIN(6,FLOOR(45/DATOS!$C$26,1),FLOOR((1*INDEX(TABLAS!$D$6:$D$14,MATCH("5/32 in",TABLAS!$B$6:$B$14,0)))*MIN(DATOS!$C$50,6000)/(BT53*DATOS!$C$26*MAX(ED53,0.001)),1))*DATOS!$C$26))),"1 alambre de 5/32"" por junta cada "&amp;MIN(6,FLOOR(45/DATOS!$C$26,1),FLOOR((1*INDEX(TABLAS!$D$6:$D$14,MATCH("5/32 in",TABLAS!$B$6:$B$14,0)))*MIN(DATOS!$C$50,6000)/(BT53*DATOS!$C$26*MAX(ED53,0.001)),1))&amp;" hilada(s) (p_h·f_yh = "&amp;TEXT(((1*INDEX(TABLAS!$D$6:$D$14,MATCH("5/32 in",TABLAS!$B$6:$B$14,0)))*MIN(DATOS!$C$50,6000)/(MAX(MIN(6,FLOOR(45/DATOS!$C$26,1),FLOOR((1*INDEX(TABLAS!$D$6:$D$14,MATCH("5/32 in",TABLAS!$B$6:$B$14,0)))*MIN(DATOS!$C$50,6000)/(BT53*DATOS!$C$26*MAX(ED53,0.001)),1)),1)*DATOS!$C$26*BT53)),"0.00")&amp;")","ninguna combinación de 1 o 2 alambres por junta queda entre el mínimo y el máximo: revisa con malla (6.5.4)"))))))))</f>
        <v/>
      </c>
      <c r="EF53" s="43" t="str">
        <f>IF(BI53&lt;&gt;"SÍ","",IF(AI53="SÍ",N(AK53)*N(AL53)^3/12,0))</f>
        <v/>
      </c>
      <c r="EG53" s="48" t="str">
        <f>IF(BI53&lt;&gt;"SÍ","",IF(AND(AI53="SÍ",N(AM53)&gt;0),MIN(1,F53/AM53),0))</f>
        <v/>
      </c>
      <c r="EH53" s="47" t="str">
        <f>IF(BI53&lt;&gt;"SÍ","",IF(AI53="SÍ",BP53*1000/(BT53*F53*100)*BT53*(EG53^4-4*EG53^3+8*EG53),0))</f>
        <v/>
      </c>
      <c r="EI53" s="48" t="str">
        <f>IF(BI53&lt;&gt;"SÍ","",IF(AND(AI53="SÍ",EH53&gt;0),EH53/(EH53+5*N(AN53)*10),0))</f>
        <v/>
      </c>
      <c r="EJ53" s="44" t="str">
        <f>IF(BI53&lt;&gt;"SÍ","",IF(AND(AI53="SÍ",EI53&gt;0,EF53&gt;0),(DATOS!$C$43*BT53*(AM53*100)^3/(DATOS!$C$53*EF53*EI53))^0.25,0))</f>
        <v/>
      </c>
      <c r="EK53" s="44" t="str">
        <f>IF(BI53&lt;&gt;"SÍ","",IF(AI53&lt;&gt;"SÍ",0,IF(N(AM53)&lt;=F53,1,IF(MIN(1,N(AO53)/((AM53-F53)/2))&lt;=0.5,0.7+0.6*MIN(1,N(AO53)/((AM53-F53)/2)),1.5-MIN(1,N(AO53)/((AM53-F53)/2))))))</f>
        <v/>
      </c>
      <c r="EL53" s="44" t="str">
        <f>IF(BI53&lt;&gt;"SÍ","",IF(AI53&lt;&gt;"SÍ",0,MAX(1,IF(EG53&gt;=1,(1.6*EJ53-3.9),IF(EG53&lt;0.9,((3.2*EJ53-7.8)*EK53),((3.2*EJ53-7.8)*EK53)+((1.6*EJ53-3.9)-((3.2*EJ53-7.8)*EK53))*(EG53-0.9)/0.1)))))</f>
        <v/>
      </c>
      <c r="EM53" s="47" t="str">
        <f>IF(BI53&lt;&gt;"SÍ","",IF(AI53="SÍ",EL53*BP53*1000/(BT53*F53*100),0))</f>
        <v/>
      </c>
      <c r="EN53" s="47" t="str">
        <f>IF(BI53&lt;&gt;"SÍ","",IF(AND(AI53="SÍ",N(AL53)&gt;0),AM53*100/AL53,0))</f>
        <v/>
      </c>
      <c r="EO53" s="47" t="str">
        <f>IF(BI53&lt;&gt;"SÍ","",IF(AI53="SÍ",(1/15*DATOS!$C$53*N(AK53)/MAX((IF(ISNUMBER(AP53),AP53,BP53/DATOS!$C$90)*1000/(BT53*F53*100)*BT53*(EG53^4-4*EG53^3+8*EG53))+5*N(AN53)/DATOS!$C$90*10,0.001))^(1/3),0))</f>
        <v/>
      </c>
      <c r="EP53" s="45" t="str">
        <f>IF(BI53&lt;&gt;"SÍ","",IF(AI53&lt;&gt;"SÍ","—",IF(OR(N(AK53)&lt;=0,N(AL53)&lt;=0,N(AM53)&lt;=0),"REVISAR: faltan b, h o L_v de la viga",IF(AND(EM53&lt;=DATOS!$C$87*DATOS!$C$33,EN53&lt;=14,N(AL53)&gt;=25,EN53&lt;=EO53),IF(BS53/F53&lt;0.6,"PENDIENTE: H/L &lt; 0.6, falta el análisis de interacción muro–viga (4.1.18.2.1); f_CM es estimado","CUMPLE"),"NO CUMPLE: "&amp;IF(EM53&gt;DATOS!$C$87*DATOS!$C$33,"f_CM &gt; F_R·f'm ","")&amp;IF(EN53&gt;14,"L_v/h_v &gt; 14 ","")&amp;IF(N(AL53)&lt;25,"h_v &lt; 25 cm ","")&amp;IF(EN53&gt;EO53,"flecha (4.1.18.3)","")))))</f>
        <v/>
      </c>
      <c r="EQ53" s="44" t="str">
        <f>IF(BI53&lt;&gt;"SÍ","",MAX(0,F53*BS53-(N(K53)*N(M53)+N(P53)*N(R53)+N(U53)*N(W53)+N(Z53)*N(AB53))-CK53*DATOS!$C$59/100*BS53))</f>
        <v/>
      </c>
      <c r="ER53" s="48" t="str">
        <f>IF(BI53&lt;&gt;"SÍ","",CK53*DATOS!$C$59*DATOS!$C$60/10000*BS53)</f>
        <v/>
      </c>
      <c r="ES53" s="47" t="str">
        <f>IF(BI53&lt;&gt;"SÍ","",CK53*(DATOS!$C$61*(BS53+0.6)*INDEX(TABLAS!$E$6:$E$14,MATCH(DATOS!$C$62,TABLAS!$B$6:$B$14,0))+(2*ROUNDUP(CN53/DATOS!$C$65,0)+ROUNDUP(MAX(0,BS53*100-2*CN53)/DATOS!$C$64,0))*((2*(DATOS!$C$60+DATOS!$C$59-4*(DATOS!$C$66-INDEX(TABLAS!$C$6:$C$14,MATCH(DATOS!$C$63,TABLAS!$B$6:$B$14,0))))+15)/100)*INDEX(TABLAS!$E$6:$E$14,MATCH(DATOS!$C$63,TABLAS!$B$6:$B$14,0))))</f>
        <v/>
      </c>
      <c r="ET53" s="47" t="str">
        <f>IF(BI53&lt;&gt;"SÍ","",IF(OR(AE53="VARILLA EN JUNTAS",AE53="ESCALERILLA"),INT(BS53*100/MAX(DK53,1))*IF(ISNUMBER(AF53),AF53,2)*CB53*INDEX(TABLAS!$E$6:$E$14,MATCH(IF(AG53&lt;&gt;"",AG53,DATOS!$C$73),TABLAS!$B$6:$B$14,0)),IF(AE53="MALLA",IF(ISNUMBER(AF53),AF53,1)*CB53*BS53*INDEX(TABLAS!$E$19:$E$22,MATCH(IF(AG53&lt;&gt;"",AG53,DATOS!$C$74),TABLAS!$B$19:$B$22,0)),0)))</f>
        <v/>
      </c>
      <c r="EU53" s="45" t="str">
        <f>IF(BI53&lt;&gt;"SÍ","",""&amp;IF(BJ53="NO ESTÁ EN PIER_FORCES","sin fuerzas en PIER_FORCES; ","")&amp;IF(BV53&lt;&gt;"CUMPLE","vanos; ","")&amp;IF(LEFT(CH53,2)="NO","espesor o esbeltez; ","")&amp;IF(CQ53&gt;1,"compresión; ","")&amp;IF(CX53&gt;1,"flexión; ","")&amp;IF(CB53&lt;=0,"sin tramos de muro (todos son machones menores que L mín.: diséñalos como columnas o baja L mín.); ",IF(EC53&gt;1,"cortante; ",""))&amp;IF(OR(LEFT(EA53,2)="NO",LEFT(EA53,5)="FALTA"),"refuerzo horizontal; ","")&amp;IF(OR(LEFT(EP53,2)="NO",LEFT(EP53,7)="REVISAR"),"muro sobre viga; ","")&amp;IF(LEFT(DATOS!$C$81,2)="NO","castillo típico; ","")&amp;IF(LEFT(DATOS!$C$82,2)="NO","dala típica; ","")&amp;IF(AND(BT53&lt;&gt;DATOS!$C$58,DATOS!$C$60&lt;BT53),"castillo más angosto que el muro; ",""))</f>
        <v/>
      </c>
      <c r="EV53" s="45" t="str">
        <f>IF(BI53&lt;&gt;"SÍ","",""&amp;IF(LEFT(EP53,9)="PENDIENTE","análisis muro–viga (H/L &lt; 0.6); ","")&amp;IF(BR53&gt;50,"V_u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3" s="51" t="str">
        <f>IF(BI53&lt;&gt;"SÍ","",IF(EU53&lt;&gt;"","NO CUMPLE: "&amp;LEFT(EU53,LEN(EU53)-2),IF(EV53&lt;&gt;"","CUMPLE — PENDIENTE: "&amp;LEFT(EV53,LEN(EV53)-2),"CUMPLE")))</f>
        <v/>
      </c>
      <c r="EX53" s="52" t="n"/>
    </row>
    <row r="54" ht="30" customHeight="1">
      <c r="A54" s="38" t="str">
        <f>IF(B54="","",ROW()-10)</f>
        <v/>
      </c>
      <c r="B54" s="28" t="n"/>
      <c r="C54" s="39" t="n"/>
      <c r="D54" s="39" t="n"/>
      <c r="E54" s="39" t="n"/>
      <c r="F54" s="40" t="n"/>
      <c r="G54" s="40" t="n"/>
      <c r="H54" s="41" t="n"/>
      <c r="I54" s="39" t="n"/>
      <c r="J54" s="40" t="n"/>
      <c r="K54" s="40" t="n"/>
      <c r="L54" s="40" t="n"/>
      <c r="M54" s="40" t="n"/>
      <c r="N54" s="39" t="n"/>
      <c r="O54" s="40" t="n"/>
      <c r="P54" s="40" t="n"/>
      <c r="Q54" s="40" t="n"/>
      <c r="R54" s="40" t="n"/>
      <c r="S54" s="39" t="n"/>
      <c r="T54" s="40" t="n"/>
      <c r="U54" s="40" t="n"/>
      <c r="V54" s="40" t="n"/>
      <c r="W54" s="40" t="n"/>
      <c r="X54" s="39" t="n"/>
      <c r="Y54" s="40" t="n"/>
      <c r="Z54" s="40" t="n"/>
      <c r="AA54" s="40" t="n"/>
      <c r="AB54" s="40" t="n"/>
      <c r="AC54" s="41" t="n"/>
      <c r="AD54" s="41" t="n"/>
      <c r="AE54" s="39" t="n"/>
      <c r="AF54" s="41" t="n"/>
      <c r="AG54" s="41" t="n"/>
      <c r="AH54" s="41" t="n"/>
      <c r="AI54" s="39" t="n"/>
      <c r="AJ54" s="39" t="n"/>
      <c r="AK54" s="41" t="n"/>
      <c r="AL54" s="41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2" t="str">
        <f>IF(B54="","",C54&amp;"|"&amp;B54)</f>
        <v/>
      </c>
      <c r="AY54" s="43" t="str">
        <f>IF(B54="","",COUNTIFS(PIER_FORCES!$O$9:$O$3008,44,PIER_FORCES!$P$9:$P$3008,1))</f>
        <v/>
      </c>
      <c r="AZ54" s="43" t="str">
        <f>IF(B54="","",COUNTIFS(PIER_FORCES!$O$9:$O$3008,44,PIER_FORCES!$P$9:$P$3008,2))</f>
        <v/>
      </c>
      <c r="BA54" s="44">
        <f>IF(N(AY54)=0,0,SUMPRODUCT(MAX((PIER_FORCES!$O$9:$O$3008=44)*(PIER_FORCES!$P$9:$P$3008=1)*PIER_FORCES!$R$9:$R$3008)))</f>
        <v>0</v>
      </c>
      <c r="BB54" s="44">
        <f>IF(N(AY54)=0,0,SUMPRODUCT(MAX((PIER_FORCES!$O$9:$O$3008=44)*(PIER_FORCES!$P$9:$P$3008=1)*PIER_FORCES!$S$9:$S$3008)))</f>
        <v>0</v>
      </c>
      <c r="BC54" s="44">
        <f>IF(N(AY54)=0,0,-SUMPRODUCT(MAX((PIER_FORCES!$O$9:$O$3008=44)*(PIER_FORCES!$P$9:$P$3008=1)*(-PIER_FORCES!$Q$9:$Q$3008)+(1-(PIER_FORCES!$O$9:$O$3008=44)*(PIER_FORCES!$P$9:$P$3008=1))*(-1E9))))</f>
        <v>0</v>
      </c>
      <c r="BD54" s="44">
        <f>IF(N(AY54)=0,0,SUMPRODUCT(MAX((PIER_FORCES!$O$9:$O$3008=44)*(PIER_FORCES!$P$9:$P$3008=1)*PIER_FORCES!$Q$9:$Q$3008+(1-(PIER_FORCES!$O$9:$O$3008=44)*(PIER_FORCES!$P$9:$P$3008=1))*(-1E9))))</f>
        <v>0</v>
      </c>
      <c r="BE54" s="44">
        <f>IF(N(AZ54)=0,BD54,SUMPRODUCT(MAX((PIER_FORCES!$O$9:$O$3008=44)*(PIER_FORCES!$P$9:$P$3008=2)*PIER_FORCES!$Q$9:$Q$3008+(1-(PIER_FORCES!$O$9:$O$3008=44)*(PIER_FORCES!$P$9:$P$3008=2))*(-1E9))))</f>
        <v>0</v>
      </c>
      <c r="BF54" s="44">
        <f>IF(N(AZ54)=0,0,SUMPRODUCT(MAX((PIER_FORCES!$O$9:$O$3008=44)*(PIER_FORCES!$P$9:$P$3008=2)*PIER_FORCES!$R$9:$R$3008)))</f>
        <v>0</v>
      </c>
      <c r="BG54" s="43">
        <f>IF(N(AY54)=0,0,SUMPRODUCT(MAX((PIER_FORCES!$O$9:$O$3008=44)*(PIER_FORCES!$P$9:$P$3008=1)*(ABS(PIER_FORCES!$R$9:$R$3008-BA54)&lt;0.000001)*PIER_FORCES!$T$9:$T$3008)))</f>
        <v>0</v>
      </c>
      <c r="BH54" s="45" t="str">
        <f>IF(N(BG54)=0,"",INDEX(PIER_FORCES!$D$9:$D$3008,BG54)&amp;" "&amp;INDEX(PIER_FORCES!$F$9:$F$3008,BG54)&amp;" / "&amp;INDEX(PIER_FORCES!$G$9:$G$3008,BG54))</f>
        <v/>
      </c>
      <c r="BI54" s="42" t="str">
        <f>IF(B54="","",IF(AND(C54&lt;&gt;"",OR(D54="X",D54="Y"),ISNUMBER(F54),N(F54)&gt;0),"SÍ","NO"))</f>
        <v/>
      </c>
      <c r="BJ54" s="42" t="str">
        <f>IF(BI54&lt;&gt;"SÍ","",IF(DATOS!$C$108="ETABS (PIER_FORCES)",IF(N(AY54)&gt;0,"ETABS","NO ESTÁ EN PIER_FORCES"),"CAPTURA"))</f>
        <v/>
      </c>
      <c r="BK54" s="46" t="str">
        <f>IF(BI54&lt;&gt;"SÍ","",IF(BJ54="ETABS",BA54,IF(BJ54="CAPTURA",N(AQ54),0)))</f>
        <v/>
      </c>
      <c r="BL54" s="46" t="str">
        <f>IF(BI54&lt;&gt;"SÍ","",IF(BJ54="ETABS",BB54,IF(BJ54="CAPTURA",N(AR54),0)))</f>
        <v/>
      </c>
      <c r="BM54" s="46" t="str">
        <f>IF(BI54&lt;&gt;"SÍ","",IF(BJ54="ETABS",BC54/DATOS!$C$89,IF(BJ54="CAPTURA",N(AS54),0)))</f>
        <v/>
      </c>
      <c r="BN54" s="44" t="str">
        <f>IF(BI54&lt;&gt;"SÍ","",IF(BJ54="ETABS",BC54,IF(BJ54="CAPTURA",IF(ISNUMBER(AU54),AU54,N(AS54)*DATOS!$C$89),0)))</f>
        <v/>
      </c>
      <c r="BO54" s="44" t="str">
        <f>IF(BI54&lt;&gt;"SÍ","",IF(BJ54="ETABS",MAX(BD54,BE54),IF(BJ54="CAPTURA",N(AT54),0)))</f>
        <v/>
      </c>
      <c r="BP54" s="44" t="str">
        <f>IF(BI54&lt;&gt;"SÍ","",IF(BJ54="ETABS",BE54,IF(BJ54="CAPTURA",IF(ISNUMBER(AV54),AV54,N(AT54)),0)))</f>
        <v/>
      </c>
      <c r="BQ54" s="44" t="str">
        <f>IF(BI54&lt;&gt;"SÍ","",IF(BJ54="ETABS",BF54,IF(BJ54="CAPTURA",N(AW54),0)))</f>
        <v/>
      </c>
      <c r="BR54" s="43" t="str">
        <f>IF(BI54&lt;&gt;"SÍ","",IF(BK54&gt;0,100*BQ54/BK54,0))</f>
        <v/>
      </c>
      <c r="BS54" s="44" t="str">
        <f>IF(BI54&lt;&gt;"SÍ","",IF(ISNUMBER(G54),G54,DATOS!$C$57))</f>
        <v/>
      </c>
      <c r="BT54" s="47" t="str">
        <f>IF(BI54&lt;&gt;"SÍ","",IF(ISNUMBER(H54),H54,DATOS!$C$58))</f>
        <v/>
      </c>
      <c r="BU54" s="43" t="str">
        <f>IF(BI54&lt;&gt;"SÍ","",IF(N(K54)&gt;0,1+IF(N(P54)&gt;0,1+IF(N(U54)&gt;0,1+IF(N(Z54)&gt;0,1,0),0),0),0))</f>
        <v/>
      </c>
      <c r="BV54" s="45" t="str">
        <f>IF(BI54&lt;&gt;"SÍ","",IF(AND(OR(BU54&lt;1,AND(N(J54)&gt;=0-0.001,J54+K54&lt;=F54+0.001,N(L54)&gt;=0,N(L54)+N(M54)&lt;=BS54+0.001,N(M54)&gt;0,OR(I54="PUERTA",I54="VENTANA"))),OR(BU54&lt;2,AND(N(O54)&gt;=(J54+K54)-0.001,O54+P54&lt;=F54+0.001,N(Q54)&gt;=0,N(Q54)+N(R54)&lt;=BS54+0.001,N(R54)&gt;0,OR(N54="PUERTA",N54="VENTANA"))),OR(BU54&lt;3,AND(N(T54)&gt;=(O54+P54)-0.001,T54+U54&lt;=F54+0.001,N(V54)&gt;=0,N(V54)+N(W54)&lt;=BS54+0.001,N(W54)&gt;0,OR(S54="PUERTA",S54="VENTANA"))),OR(BU54&lt;4,AND(N(Y54)&gt;=(T54+U54)-0.001,Y54+Z54&lt;=F54+0.001,N(AA54)&gt;=0,N(AA54)+N(AB54)&lt;=BS54+0.001,N(AB54)&gt;0,OR(X54="PUERTA",X54="VENTANA"))),(N(K54)&gt;0)+(N(P54)&gt;0)+(N(U54)&gt;0)+(N(Z54)&gt;0)=BU54),"CUMPLE","REVISAR VANOS: tipo, orden de izquierda a derecha, que quepan en L y en H"))</f>
        <v/>
      </c>
      <c r="BW54" s="44" t="str">
        <f>IF(BI54&lt;&gt;"SÍ","",MAX(0,IF(BU54&gt;=1,N(J54),F54)))</f>
        <v/>
      </c>
      <c r="BX54" s="44" t="str">
        <f>IF(BI54&lt;&gt;"SÍ","",MAX(0,IF(BU54&gt;=2,N(O54)-(N(J54)+N(K54)),IF(BU54=1,F54-(N(J54)+N(K54)),0))))</f>
        <v/>
      </c>
      <c r="BY54" s="44" t="str">
        <f>IF(BI54&lt;&gt;"SÍ","",MAX(0,IF(BU54&gt;=3,N(T54)-(N(O54)+N(P54)),IF(BU54=2,F54-(N(O54)+N(P54)),0))))</f>
        <v/>
      </c>
      <c r="BZ54" s="44" t="str">
        <f>IF(BI54&lt;&gt;"SÍ","",MAX(0,IF(BU54&gt;=4,N(Y54)-(N(T54)+N(U54)),IF(BU54=3,F54-(N(T54)+N(U54)),0))))</f>
        <v/>
      </c>
      <c r="CA54" s="44" t="str">
        <f>IF(BI54&lt;&gt;"SÍ","",MAX(0,IF(BU54=4,F54-(N(Y54)+N(Z54)),0)))</f>
        <v/>
      </c>
      <c r="CB54" s="46" t="str">
        <f>IF(BI54&lt;&gt;"SÍ","",SUMPRODUCT((BW54:CA54&gt;=DATOS!$C$72-0.0001)*BW54:CA54))</f>
        <v/>
      </c>
      <c r="CC54" s="43" t="str">
        <f>IF(BI54&lt;&gt;"SÍ","",SUMPRODUCT(--(BW54:CA54&gt;=DATOS!$C$72-0.0001)))</f>
        <v/>
      </c>
      <c r="CD54" s="44" t="str">
        <f>IF(BI54&lt;&gt;"SÍ","",SUM(BW54:CA54))</f>
        <v/>
      </c>
      <c r="CE54" s="43" t="str">
        <f>IF(BI54&lt;&gt;"SÍ","",BT54*CB54*100)</f>
        <v/>
      </c>
      <c r="CF54" s="43" t="str">
        <f>IF(BI54&lt;&gt;"SÍ","",BT54*CD54*100)</f>
        <v/>
      </c>
      <c r="CG54" s="47" t="str">
        <f>IF(BI54&lt;&gt;"SÍ","",BS54*100/BT54)</f>
        <v/>
      </c>
      <c r="CH54" s="45" t="str">
        <f>IF(BI54&lt;&gt;"SÍ","",IF(AND(OR(DATOS!$C$14="TIPO II",BT54&gt;=12),CG54&lt;=25),"CUMPLE","NO CUMPLE: "&amp;IF(AND(DATOS!$C$14="TIPO I",BT54&lt;12),"t &lt; 12 cm ","")&amp;IF(CG54&gt;25,"H/t &gt; 25","")))</f>
        <v/>
      </c>
      <c r="CI54" s="44" t="str">
        <f>IF(BI54&lt;&gt;"SÍ","",MIN(1.5*BS54,4))</f>
        <v/>
      </c>
      <c r="CJ54" s="43" t="str">
        <f>IF(BI54&lt;&gt;"SÍ","",SUMPRODUCT((BW54:CA54&gt;=2*DATOS!$C$59/100)*INT((BW54:CA54-DATOS!$C$59/100)/CI54-0.000001)*((BW54:CA54-DATOS!$C$59/100)&gt;0)))</f>
        <v/>
      </c>
      <c r="CK54" s="43" t="str">
        <f>IF(BI54&lt;&gt;"SÍ","",SUMPRODUCT((BW54:CA54&gt;0.0001)*1+(BW54:CA54&gt;=2*DATOS!$C$59/100)*1)+CJ54)</f>
        <v/>
      </c>
      <c r="CL54" s="44" t="str">
        <f>IF(BI54&lt;&gt;"SÍ","",IF(ISNUMBER(AC54),AC54,DATOS!$C$61)*INDEX(TABLAS!$D$6:$D$14,MATCH(IF(AD54&lt;&gt;"",AD54,DATOS!$C$62),TABLAS!$B$6:$B$14,0)))</f>
        <v/>
      </c>
      <c r="CM54" s="44" t="str">
        <f>IF(BI54&lt;&gt;"SÍ","",CK54*DATOS!$C$78+IF(CK54&gt;=2,2,CK54)*(CL54-DATOS!$C$78))</f>
        <v/>
      </c>
      <c r="CN54" s="47" t="str">
        <f>IF(BI54&lt;&gt;"SÍ","",MAX(BS54*100/6,40))</f>
        <v/>
      </c>
      <c r="CO54" s="48" t="str">
        <f>IF(BI54&lt;&gt;"SÍ","",IF(CG54&lt;=20,IF(E54="INTERIOR",0.7,0.6),MIN(IF(E54="INTERIOR",0.7,0.6),(1-2/24)*(1-(IF(E54="INTERIOR",0.8,1)*CG54/30)^2))))</f>
        <v/>
      </c>
      <c r="CP54" s="47" t="str">
        <f>IF(BI54&lt;&gt;"SÍ","",DATOS!$C$87*CO54*(DATOS!$C$33*CF54+CM54*DATOS!$C$48)/1000)</f>
        <v/>
      </c>
      <c r="CQ54" s="46" t="str">
        <f>IF(BI54&lt;&gt;"SÍ","",IF(CP54&gt;0,BO54/CP54,99))</f>
        <v/>
      </c>
      <c r="CR54" s="47" t="str">
        <f>IF(BI54&lt;&gt;"SÍ","",MAX(0,F54*100-DATOS!$C$59))</f>
        <v/>
      </c>
      <c r="CS54" s="47" t="str">
        <f>IF(BI54&lt;&gt;"SÍ","",MAX(0,F54*100-DATOS!$C$59/2))</f>
        <v/>
      </c>
      <c r="CT54" s="44" t="str">
        <f>IF(BI54&lt;&gt;"SÍ","",CL54*DATOS!$C$48*CR54/100000)</f>
        <v/>
      </c>
      <c r="CU54" s="44" t="str">
        <f>IF(BI54&lt;&gt;"SÍ","",IF(BN54&lt;0,0.8*CT54*MAX(0,1+BN54/(0.8*CM54*DATOS!$C$48/1000)),IF(BN54&lt;=CP54/3,0.8*CT54+0.3*BN54*CS54/100,(1.5*0.6*CT54+0.15*CP54*CS54/100)*MAX(0,1-BN54/CP54))))</f>
        <v/>
      </c>
      <c r="CV54" s="44" t="str">
        <f>IF(BI54&lt;&gt;"SÍ","",IF(BO54&lt;0,0.8*CT54*MAX(0,1+BO54/(0.8*CM54*DATOS!$C$48/1000)),IF(BO54&lt;=CP54/3,0.8*CT54+0.3*BO54*CS54/100,(1.5*0.6*CT54+0.15*CP54*CS54/100)*MAX(0,1-BO54/CP54))))</f>
        <v/>
      </c>
      <c r="CW54" s="46" t="str">
        <f>IF(BI54&lt;&gt;"SÍ","",MAX(0,MIN(CU54,CV54)))</f>
        <v/>
      </c>
      <c r="CX54" s="49" t="str">
        <f>IF(BI54&lt;&gt;"SÍ","",IF(CW54&gt;0,BL54/CW54,IF(BL54&gt;0,99,0)))</f>
        <v/>
      </c>
      <c r="CY54" s="44" t="str">
        <f>IF(BI54&lt;&gt;"SÍ","",IF(BW54&gt;0,MAX(1,MIN(1.5,1.5-0.625*(BS54/BW54-0.2))),0))</f>
        <v/>
      </c>
      <c r="CZ54" s="44" t="str">
        <f>IF(BI54&lt;&gt;"SÍ","",IF(BX54&gt;0,MAX(1,MIN(1.5,1.5-0.625*(BS54/BX54-0.2))),0))</f>
        <v/>
      </c>
      <c r="DA54" s="44" t="str">
        <f>IF(BI54&lt;&gt;"SÍ","",IF(BY54&gt;0,MAX(1,MIN(1.5,1.5-0.625*(BS54/BY54-0.2))),0))</f>
        <v/>
      </c>
      <c r="DB54" s="44" t="str">
        <f>IF(BI54&lt;&gt;"SÍ","",IF(BZ54&gt;0,MAX(1,MIN(1.5,1.5-0.625*(BS54/BZ54-0.2))),0))</f>
        <v/>
      </c>
      <c r="DC54" s="44" t="str">
        <f>IF(BI54&lt;&gt;"SÍ","",IF(CA54&gt;0,MAX(1,MIN(1.5,1.5-0.625*(BS54/CA54-0.2))),0))</f>
        <v/>
      </c>
      <c r="DD54" s="44" t="str">
        <f>IF(BI54&lt;&gt;"SÍ","",IF(OR(BW54&lt;DATOS!$C$72-0.0001,BM54&lt;0,CB54&lt;=0),0,MIN(DATOS!$C$86*(0.5*DATOS!$C$41*BT54*BW54*100+0.3*BM54*BW54/CB54*1000)*CY54,1.5*DATOS!$C$86*DATOS!$C$41*BT54*BW54*100*CY54)/1000))</f>
        <v/>
      </c>
      <c r="DE54" s="44" t="str">
        <f>IF(BI54&lt;&gt;"SÍ","",IF(OR(BX54&lt;DATOS!$C$72-0.0001,BM54&lt;0,CB54&lt;=0),0,MIN(DATOS!$C$86*(0.5*DATOS!$C$41*BT54*BX54*100+0.3*BM54*BX54/CB54*1000)*CZ54,1.5*DATOS!$C$86*DATOS!$C$41*BT54*BX54*100*CZ54)/1000))</f>
        <v/>
      </c>
      <c r="DF54" s="44" t="str">
        <f>IF(BI54&lt;&gt;"SÍ","",IF(OR(BY54&lt;DATOS!$C$72-0.0001,BM54&lt;0,CB54&lt;=0),0,MIN(DATOS!$C$86*(0.5*DATOS!$C$41*BT54*BY54*100+0.3*BM54*BY54/CB54*1000)*DA54,1.5*DATOS!$C$86*DATOS!$C$41*BT54*BY54*100*DA54)/1000))</f>
        <v/>
      </c>
      <c r="DG54" s="44" t="str">
        <f>IF(BI54&lt;&gt;"SÍ","",IF(OR(BZ54&lt;DATOS!$C$72-0.0001,BM54&lt;0,CB54&lt;=0),0,MIN(DATOS!$C$86*(0.5*DATOS!$C$41*BT54*BZ54*100+0.3*BM54*BZ54/CB54*1000)*DB54,1.5*DATOS!$C$86*DATOS!$C$41*BT54*BZ54*100*DB54)/1000))</f>
        <v/>
      </c>
      <c r="DH54" s="44" t="str">
        <f>IF(BI54&lt;&gt;"SÍ","",IF(OR(CA54&lt;DATOS!$C$72-0.0001,BM54&lt;0,CB54&lt;=0),0,MIN(DATOS!$C$86*(0.5*DATOS!$C$41*BT54*CA54*100+0.3*BM54*CA54/CB54*1000)*DC54,1.5*DATOS!$C$86*DATOS!$C$41*BT54*CA54*100*DC54)/1000))</f>
        <v/>
      </c>
      <c r="DI54" s="46" t="str">
        <f>IF(BI54&lt;&gt;"SÍ","",SUM(DD54:DH54))</f>
        <v/>
      </c>
      <c r="DJ54" s="48" t="str">
        <f>IF(BI54&lt;&gt;"SÍ","",IF(AE54="VARILLA EN JUNTAS",IF(ISNUMBER(AF54),AF54,2)*INDEX(TABLAS!$D$6:$D$14,MATCH(IF(AG54&lt;&gt;"",AG54,DATOS!$C$73),TABLAS!$B$6:$B$14,0)),IF(AE54="MALLA",IF(ISNUMBER(AF54),AF54,1)*INDEX(TABLAS!$D$19:$D$22,MATCH(IF(AG54&lt;&gt;"",AG54,DATOS!$C$74),TABLAS!$B$19:$B$22,0))/100,IF(AE54="ESCALERILLA",IF(ISNUMBER(AF54),AF54,2)*INDEX(TABLAS!$D$6:$D$14,MATCH(IF(AG54&lt;&gt;"",AG54,DATOS!$C$73),TABLAS!$B$6:$B$14,0)),0))))</f>
        <v/>
      </c>
      <c r="DK54" s="47" t="str">
        <f>IF(BI54&lt;&gt;"SÍ","",IF(OR(AE54="VARILLA EN JUNTAS",AE54="ESCALERILLA"),IF(ISNUMBER(AH54),AH54,2)*DATOS!$C$26,IF(AE54="MALLA",1,0)))</f>
        <v/>
      </c>
      <c r="DL54" s="44" t="str">
        <f>IF(BI54&lt;&gt;"SÍ","",IF(DK54&gt;0,DJ54/(DK54*BT54)*MIN(DATOS!$C$50,IF(AE54="MALLA",5000,6000)),0))</f>
        <v/>
      </c>
      <c r="DM54" s="44" t="str">
        <f>IF(BI54&lt;&gt;"SÍ","",IF(AE54="ESCALERILLA",0,MIN(DL54,0.1*DATOS!$C$33*DATOS!$C$24)))</f>
        <v/>
      </c>
      <c r="DN54" s="48" t="str">
        <f>IF(BI54&lt;&gt;"SÍ","",IF(AE54="MALLA",0.5,IF(DATOS!$C$33&lt;=60,0.55,IF(DATOS!$C$33&gt;=90,0.75,0.55+0.2*(DATOS!$C$33-60)/30))))</f>
        <v/>
      </c>
      <c r="DO54" s="48" t="str">
        <f>IF(BI54&lt;&gt;"SÍ","",1-DATOS!$C$91*DM54)</f>
        <v/>
      </c>
      <c r="DP54" s="44" t="str">
        <f>IF(BI54&lt;&gt;"SÍ","",IF(BW54&gt;0,IF(BS54/BW54&lt;=1,1.3,IF(BS54/BW54&gt;=1.5,1,1.3-0.6*(BS54/BW54-1))),0))</f>
        <v/>
      </c>
      <c r="DQ54" s="44" t="str">
        <f>IF(BI54&lt;&gt;"SÍ","",IF(BX54&gt;0,IF(BS54/BX54&lt;=1,1.3,IF(BS54/BX54&gt;=1.5,1,1.3-0.6*(BS54/BX54-1))),0))</f>
        <v/>
      </c>
      <c r="DR54" s="44" t="str">
        <f>IF(BI54&lt;&gt;"SÍ","",IF(BY54&gt;0,IF(BS54/BY54&lt;=1,1.3,IF(BS54/BY54&gt;=1.5,1,1.3-0.6*(BS54/BY54-1))),0))</f>
        <v/>
      </c>
      <c r="DS54" s="44" t="str">
        <f>IF(BI54&lt;&gt;"SÍ","",IF(BZ54&gt;0,IF(BS54/BZ54&lt;=1,1.3,IF(BS54/BZ54&gt;=1.5,1,1.3-0.6*(BS54/BZ54-1))),0))</f>
        <v/>
      </c>
      <c r="DT54" s="44" t="str">
        <f>IF(BI54&lt;&gt;"SÍ","",IF(CA54&gt;0,IF(BS54/CA54&lt;=1,1.3,IF(BS54/CA54&gt;=1.5,1,1.3-0.6*(BS54/CA54-1))),0))</f>
        <v/>
      </c>
      <c r="DU54" s="44" t="str">
        <f>IF(BI54&lt;&gt;"SÍ","",IF(OR(DM54&lt;=0,BW54&lt;DATOS!$C$72-0.0001),0,DATOS!$C$86*MAX(0,IF(BM54&gt;=0,DD54/(DATOS!$C$86*DM54*BT54*BW54*100/1000)*(DP54*DO54-1)+DN54,DO54*DN54))*DM54*BT54*BW54*100/1000))</f>
        <v/>
      </c>
      <c r="DV54" s="44" t="str">
        <f>IF(BI54&lt;&gt;"SÍ","",IF(OR(DM54&lt;=0,BX54&lt;DATOS!$C$72-0.0001),0,DATOS!$C$86*MAX(0,IF(BM54&gt;=0,DE54/(DATOS!$C$86*DM54*BT54*BX54*100/1000)*(DQ54*DO54-1)+DN54,DO54*DN54))*DM54*BT54*BX54*100/1000))</f>
        <v/>
      </c>
      <c r="DW54" s="44" t="str">
        <f>IF(BI54&lt;&gt;"SÍ","",IF(OR(DM54&lt;=0,BY54&lt;DATOS!$C$72-0.0001),0,DATOS!$C$86*MAX(0,IF(BM54&gt;=0,DF54/(DATOS!$C$86*DM54*BT54*BY54*100/1000)*(DR54*DO54-1)+DN54,DO54*DN54))*DM54*BT54*BY54*100/1000))</f>
        <v/>
      </c>
      <c r="DX54" s="44" t="str">
        <f>IF(BI54&lt;&gt;"SÍ","",IF(OR(DM54&lt;=0,BZ54&lt;DATOS!$C$72-0.0001),0,DATOS!$C$86*MAX(0,IF(BM54&gt;=0,DG54/(DATOS!$C$86*DM54*BT54*BZ54*100/1000)*(DS54*DO54-1)+DN54,DO54*DN54))*DM54*BT54*BZ54*100/1000))</f>
        <v/>
      </c>
      <c r="DY54" s="44" t="str">
        <f>IF(BI54&lt;&gt;"SÍ","",IF(OR(DM54&lt;=0,CA54&lt;DATOS!$C$72-0.0001),0,DATOS!$C$86*MAX(0,IF(BM54&gt;=0,DH54/(DATOS!$C$86*DM54*BT54*CA54*100/1000)*(DT54*DO54-1)+DN54,DO54*DN54))*DM54*BT54*CA54*100/1000))</f>
        <v/>
      </c>
      <c r="DZ54" s="46" t="str">
        <f>IF(BI54&lt;&gt;"SÍ","",SUM(DU54:DY54))</f>
        <v/>
      </c>
      <c r="EA54" s="45" t="str">
        <f>IF(BI54&lt;&gt;"SÍ","",IF(OR(AE54="",AE54="NINGUNO"),IF(DATOS!$C$41&gt;=10,"FALTA refuerzo horizontal: v'm ≥ 10 kg/cm² (6.5.2.2)",IF(AND(BM54&lt;0,BK54&gt;0),"FALTA: P en tensión, el refuerzo debe tomar todo el cortante (6.5.1.3)","—")),IF(AE54="ESCALERILLA","NO CUENTA: la escalerilla no se permite para cortante por sismo (6.5.3.1.2)",IF(AE54="MALLA",IF(AND(DL54&gt;=2.5,DL54&lt;=MAX(0.15*DATOS!$C$33*DATOS!$C$24,2.5)),"CUMPLE","NO CUMPLE: "&amp;IF(DL54&lt;2.5,"p_h·f_yh &lt; 2.5 (6.5.4.2.4)","p_h·f_yh &gt; 0.15·f'm·f_an (6.5.4.2.4)")),IF(AND(DK54&lt;=MIN(6*DATOS!$C$26,45),DL54&gt;=3,DL54&lt;=MIN(MAX(0.15*DATOS!$C$33*DATOS!$C$24,3),0.05*DATOS!$C$25/10*MIN(DATOS!$C$50,6000)/DK54),INDEX(TABLAS!$C$6:$C$14,MATCH(IF(AG54&lt;&gt;"",AG54,DATOS!$C$73),TABLAS!$B$6:$B$14,0))&gt;=0.35,INDEX(TABLAS!$C$6:$C$14,MATCH(IF(AG54&lt;&gt;"",AG54,DATOS!$C$73),TABLAS!$B$6:$B$14,0))&lt;=0.75*DATOS!$C$25/10),"CUMPLE","NO CUMPLE: "&amp;IF(DK54&gt;MIN(6*DATOS!$C$26,45),"s_h &gt; 6 hiladas o 45 cm (6.5.3.2.1) ","")&amp;IF(DL54&lt;3,"p_h·f_yh &lt; 3 (6.5.3.3.1) ","")&amp;IF(DL54&gt;MIN(MAX(0.15*DATOS!$C$33*DATOS!$C$24,3),0.05*DATOS!$C$25/10*MIN(DATOS!$C$50,6000)/DK54),"p_h·f_yh &gt; máximo (6.5.3.3.2) ","")&amp;IF(OR(INDEX(TABLAS!$C$6:$C$14,MATCH(IF(AG54&lt;&gt;"",AG54,DATOS!$C$73),TABLAS!$B$6:$B$14,0))&lt;0.35,INDEX(TABLAS!$C$6:$C$14,MATCH(IF(AG54&lt;&gt;"",AG54,DATOS!$C$73),TABLAS!$B$6:$B$14,0))&gt;0.75*DATOS!$C$25/10),"diámetro fuera de 3.5 mm a 0.75·h_j (4.2.2.2.1)",""))))))</f>
        <v/>
      </c>
      <c r="EB54" s="46" t="str">
        <f>IF(BI54&lt;&gt;"SÍ","",DI54+DZ54)</f>
        <v/>
      </c>
      <c r="EC54" s="50" t="str">
        <f>IF(BI54&lt;&gt;"SÍ","",IF(EB54&gt;0,BK54/EB54,IF(BK54&gt;0,99,0)))</f>
        <v/>
      </c>
      <c r="ED54" s="47" t="str">
        <f>IF(BI54&lt;&gt;"SÍ","",IF(CE54&lt;=0,-1,IF(BK54&lt;=DI54,0,IF(IF(BM54&gt;=0,IF((DATOS!$C$86*IF(AE54="MALLA",0.5,IF(DATOS!$C$33&lt;=60,0.55,IF(DATOS!$C$33&gt;=90,0.75,0.55+0.2*(DATOS!$C$33-60)/30)))*CE54/1000-DATOS!$C$91*SUMPRODUCT(DP54:DT54,DD54:DH54))&lt;=0,1E9,(BK54-SUMPRODUCT(DP54:DT54,DD54:DH54))/(DATOS!$C$86*IF(AE54="MALLA",0.5,IF(DATOS!$C$33&lt;=60,0.55,IF(DATOS!$C$33&gt;=90,0.75,0.55+0.2*(DATOS!$C$33-60)/30)))*CE54/1000-DATOS!$C$91*SUMPRODUCT(DP54:DT54,DD54:DH54))),IF((1-4*DATOS!$C$91*BK54*1000/(DATOS!$C$86*IF(AE54="MALLA",0.5,IF(DATOS!$C$33&lt;=60,0.55,IF(DATOS!$C$33&gt;=90,0.75,0.55+0.2*(DATOS!$C$33-60)/30)))*MAX(CE54,1)))&lt;0,1E9,(1-SQRT((1-4*DATOS!$C$91*BK54*1000/(DATOS!$C$86*IF(AE54="MALLA",0.5,IF(DATOS!$C$33&lt;=60,0.55,IF(DATOS!$C$33&gt;=90,0.75,0.55+0.2*(DATOS!$C$33-60)/30)))*MAX(CE54,1)))))/(2*DATOS!$C$91)))&gt;0.1*DATOS!$C$33*DATOS!$C$24+0.000001,-1,MAX(IF(AE54="MALLA",2.5,3),IF(BM54&gt;=0,IF((DATOS!$C$86*IF(AE54="MALLA",0.5,IF(DATOS!$C$33&lt;=60,0.55,IF(DATOS!$C$33&gt;=90,0.75,0.55+0.2*(DATOS!$C$33-60)/30)))*CE54/1000-DATOS!$C$91*SUMPRODUCT(DP54:DT54,DD54:DH54))&lt;=0,1E9,(BK54-SUMPRODUCT(DP54:DT54,DD54:DH54))/(DATOS!$C$86*IF(AE54="MALLA",0.5,IF(DATOS!$C$33&lt;=60,0.55,IF(DATOS!$C$33&gt;=90,0.75,0.55+0.2*(DATOS!$C$33-60)/30)))*CE54/1000-DATOS!$C$91*SUMPRODUCT(DP54:DT54,DD54:DH54))),IF((1-4*DATOS!$C$91*BK54*1000/(DATOS!$C$86*IF(AE54="MALLA",0.5,IF(DATOS!$C$33&lt;=60,0.55,IF(DATOS!$C$33&gt;=90,0.75,0.55+0.2*(DATOS!$C$33-60)/30)))*MAX(CE54,1)))&lt;0,1E9,(1-SQRT((1-4*DATOS!$C$91*BK54*1000/(DATOS!$C$86*IF(AE54="MALLA",0.5,IF(DATOS!$C$33&lt;=60,0.55,IF(DATOS!$C$33&gt;=90,0.75,0.55+0.2*(DATOS!$C$33-60)/30)))*MAX(CE54,1)))))/(2*DATOS!$C$91))))))))</f>
        <v/>
      </c>
      <c r="EE54" s="45" t="str">
        <f>IF(BI54&lt;&gt;"SÍ","",IF(ED54=0,"NO REQUIERE: V_mR ≥ V_u",IF(ED54&lt;0,"NO ALCANZA con refuerzo horizontal (haría falta más de 0.1·f'm·f_an efectivo): sube v'm con ensayes, el espesor o la longitud del muro",IF(AND(OR(AE54="VARILLA EN JUNTAS",AE54="MALLA"),LEFT(EA54,6)="CUMPLE",EC54&lt;=1),"YA LO TIENE (pide p_h·f_yh ≥ "&amp;TEXT(ED54,"0.0")&amp;" kg/cm²)","p_h·f_yh ≥ "&amp;TEXT(ED54,"0.0")&amp;" kg/cm² → "&amp;IF(AND(MIN(6,FLOOR(45/DATOS!$C$26,1),FLOOR((2*INDEX(TABLAS!$D$6:$D$14,MATCH("3/16 in",TABLAS!$B$6:$B$14,0)))*MIN(DATOS!$C$50,6000)/(BT54*DATOS!$C$26*MAX(ED54,0.001)),1))&gt;=1,((2*INDEX(TABLAS!$D$6:$D$14,MATCH("3/16 in",TABLAS!$B$6:$B$14,0)))*MIN(DATOS!$C$50,6000)/(MAX(MIN(6,FLOOR(45/DATOS!$C$26,1),FLOOR((2*INDEX(TABLAS!$D$6:$D$14,MATCH("3/16 in",TABLAS!$B$6:$B$14,0)))*MIN(DATOS!$C$50,6000)/(BT54*DATOS!$C$26*MAX(ED54,0.001)),1)),1)*DATOS!$C$26*BT54))&lt;=MIN(MAX(0.15*DATOS!$C$33*DATOS!$C$24,3),0.05*DATOS!$C$25/10*MIN(DATOS!$C$50,6000)/(MIN(6,FLOOR(45/DATOS!$C$26,1),FLOOR((2*INDEX(TABLAS!$D$6:$D$14,MATCH("3/16 in",TABLAS!$B$6:$B$14,0)))*MIN(DATOS!$C$50,6000)/(BT54*DATOS!$C$26*MAX(ED54,0.001)),1))*DATOS!$C$26))),"2 alambres de 3/16"" por junta cada "&amp;MIN(6,FLOOR(45/DATOS!$C$26,1),FLOOR((2*INDEX(TABLAS!$D$6:$D$14,MATCH("3/16 in",TABLAS!$B$6:$B$14,0)))*MIN(DATOS!$C$50,6000)/(BT54*DATOS!$C$26*MAX(ED54,0.001)),1))&amp;" hilada(s) (p_h·f_yh = "&amp;TEXT(((2*INDEX(TABLAS!$D$6:$D$14,MATCH("3/16 in",TABLAS!$B$6:$B$14,0)))*MIN(DATOS!$C$50,6000)/(MAX(MIN(6,FLOOR(45/DATOS!$C$26,1),FLOOR((2*INDEX(TABLAS!$D$6:$D$14,MATCH("3/16 in",TABLAS!$B$6:$B$14,0)))*MIN(DATOS!$C$50,6000)/(BT54*DATOS!$C$26*MAX(ED54,0.001)),1)),1)*DATOS!$C$26*BT54)),"0.00")&amp;")",IF(AND(MIN(6,FLOOR(45/DATOS!$C$26,1),FLOOR((2*INDEX(TABLAS!$D$6:$D$14,MATCH("5/32 in",TABLAS!$B$6:$B$14,0)))*MIN(DATOS!$C$50,6000)/(BT54*DATOS!$C$26*MAX(ED54,0.001)),1))&gt;=1,((2*INDEX(TABLAS!$D$6:$D$14,MATCH("5/32 in",TABLAS!$B$6:$B$14,0)))*MIN(DATOS!$C$50,6000)/(MAX(MIN(6,FLOOR(45/DATOS!$C$26,1),FLOOR((2*INDEX(TABLAS!$D$6:$D$14,MATCH("5/32 in",TABLAS!$B$6:$B$14,0)))*MIN(DATOS!$C$50,6000)/(BT54*DATOS!$C$26*MAX(ED54,0.001)),1)),1)*DATOS!$C$26*BT54))&lt;=MIN(MAX(0.15*DATOS!$C$33*DATOS!$C$24,3),0.05*DATOS!$C$25/10*MIN(DATOS!$C$50,6000)/(MIN(6,FLOOR(45/DATOS!$C$26,1),FLOOR((2*INDEX(TABLAS!$D$6:$D$14,MATCH("5/32 in",TABLAS!$B$6:$B$14,0)))*MIN(DATOS!$C$50,6000)/(BT54*DATOS!$C$26*MAX(ED54,0.001)),1))*DATOS!$C$26))),"2 alambres de 5/32"" por junta cada "&amp;MIN(6,FLOOR(45/DATOS!$C$26,1),FLOOR((2*INDEX(TABLAS!$D$6:$D$14,MATCH("5/32 in",TABLAS!$B$6:$B$14,0)))*MIN(DATOS!$C$50,6000)/(BT54*DATOS!$C$26*MAX(ED54,0.001)),1))&amp;" hilada(s) (p_h·f_yh = "&amp;TEXT(((2*INDEX(TABLAS!$D$6:$D$14,MATCH("5/32 in",TABLAS!$B$6:$B$14,0)))*MIN(DATOS!$C$50,6000)/(MAX(MIN(6,FLOOR(45/DATOS!$C$26,1),FLOOR((2*INDEX(TABLAS!$D$6:$D$14,MATCH("5/32 in",TABLAS!$B$6:$B$14,0)))*MIN(DATOS!$C$50,6000)/(BT54*DATOS!$C$26*MAX(ED54,0.001)),1)),1)*DATOS!$C$26*BT54)),"0.00")&amp;")",IF(AND(MIN(6,FLOOR(45/DATOS!$C$26,1),FLOOR((1*INDEX(TABLAS!$D$6:$D$14,MATCH("3/16 in",TABLAS!$B$6:$B$14,0)))*MIN(DATOS!$C$50,6000)/(BT54*DATOS!$C$26*MAX(ED54,0.001)),1))&gt;=1,((1*INDEX(TABLAS!$D$6:$D$14,MATCH("3/16 in",TABLAS!$B$6:$B$14,0)))*MIN(DATOS!$C$50,6000)/(MAX(MIN(6,FLOOR(45/DATOS!$C$26,1),FLOOR((1*INDEX(TABLAS!$D$6:$D$14,MATCH("3/16 in",TABLAS!$B$6:$B$14,0)))*MIN(DATOS!$C$50,6000)/(BT54*DATOS!$C$26*MAX(ED54,0.001)),1)),1)*DATOS!$C$26*BT54))&lt;=MIN(MAX(0.15*DATOS!$C$33*DATOS!$C$24,3),0.05*DATOS!$C$25/10*MIN(DATOS!$C$50,6000)/(MIN(6,FLOOR(45/DATOS!$C$26,1),FLOOR((1*INDEX(TABLAS!$D$6:$D$14,MATCH("3/16 in",TABLAS!$B$6:$B$14,0)))*MIN(DATOS!$C$50,6000)/(BT54*DATOS!$C$26*MAX(ED54,0.001)),1))*DATOS!$C$26))),"1 alambre de 3/16"" por junta cada "&amp;MIN(6,FLOOR(45/DATOS!$C$26,1),FLOOR((1*INDEX(TABLAS!$D$6:$D$14,MATCH("3/16 in",TABLAS!$B$6:$B$14,0)))*MIN(DATOS!$C$50,6000)/(BT54*DATOS!$C$26*MAX(ED54,0.001)),1))&amp;" hilada(s) (p_h·f_yh = "&amp;TEXT(((1*INDEX(TABLAS!$D$6:$D$14,MATCH("3/16 in",TABLAS!$B$6:$B$14,0)))*MIN(DATOS!$C$50,6000)/(MAX(MIN(6,FLOOR(45/DATOS!$C$26,1),FLOOR((1*INDEX(TABLAS!$D$6:$D$14,MATCH("3/16 in",TABLAS!$B$6:$B$14,0)))*MIN(DATOS!$C$50,6000)/(BT54*DATOS!$C$26*MAX(ED54,0.001)),1)),1)*DATOS!$C$26*BT54)),"0.00")&amp;")",IF(AND(MIN(6,FLOOR(45/DATOS!$C$26,1),FLOOR((1*INDEX(TABLAS!$D$6:$D$14,MATCH("5/32 in",TABLAS!$B$6:$B$14,0)))*MIN(DATOS!$C$50,6000)/(BT54*DATOS!$C$26*MAX(ED54,0.001)),1))&gt;=1,((1*INDEX(TABLAS!$D$6:$D$14,MATCH("5/32 in",TABLAS!$B$6:$B$14,0)))*MIN(DATOS!$C$50,6000)/(MAX(MIN(6,FLOOR(45/DATOS!$C$26,1),FLOOR((1*INDEX(TABLAS!$D$6:$D$14,MATCH("5/32 in",TABLAS!$B$6:$B$14,0)))*MIN(DATOS!$C$50,6000)/(BT54*DATOS!$C$26*MAX(ED54,0.001)),1)),1)*DATOS!$C$26*BT54))&lt;=MIN(MAX(0.15*DATOS!$C$33*DATOS!$C$24,3),0.05*DATOS!$C$25/10*MIN(DATOS!$C$50,6000)/(MIN(6,FLOOR(45/DATOS!$C$26,1),FLOOR((1*INDEX(TABLAS!$D$6:$D$14,MATCH("5/32 in",TABLAS!$B$6:$B$14,0)))*MIN(DATOS!$C$50,6000)/(BT54*DATOS!$C$26*MAX(ED54,0.001)),1))*DATOS!$C$26))),"1 alambre de 5/32"" por junta cada "&amp;MIN(6,FLOOR(45/DATOS!$C$26,1),FLOOR((1*INDEX(TABLAS!$D$6:$D$14,MATCH("5/32 in",TABLAS!$B$6:$B$14,0)))*MIN(DATOS!$C$50,6000)/(BT54*DATOS!$C$26*MAX(ED54,0.001)),1))&amp;" hilada(s) (p_h·f_yh = "&amp;TEXT(((1*INDEX(TABLAS!$D$6:$D$14,MATCH("5/32 in",TABLAS!$B$6:$B$14,0)))*MIN(DATOS!$C$50,6000)/(MAX(MIN(6,FLOOR(45/DATOS!$C$26,1),FLOOR((1*INDEX(TABLAS!$D$6:$D$14,MATCH("5/32 in",TABLAS!$B$6:$B$14,0)))*MIN(DATOS!$C$50,6000)/(BT54*DATOS!$C$26*MAX(ED54,0.001)),1)),1)*DATOS!$C$26*BT54)),"0.00")&amp;")","ninguna combinación de 1 o 2 alambres por junta queda entre el mínimo y el máximo: revisa con malla (6.5.4)"))))))))</f>
        <v/>
      </c>
      <c r="EF54" s="43" t="str">
        <f>IF(BI54&lt;&gt;"SÍ","",IF(AI54="SÍ",N(AK54)*N(AL54)^3/12,0))</f>
        <v/>
      </c>
      <c r="EG54" s="48" t="str">
        <f>IF(BI54&lt;&gt;"SÍ","",IF(AND(AI54="SÍ",N(AM54)&gt;0),MIN(1,F54/AM54),0))</f>
        <v/>
      </c>
      <c r="EH54" s="47" t="str">
        <f>IF(BI54&lt;&gt;"SÍ","",IF(AI54="SÍ",BP54*1000/(BT54*F54*100)*BT54*(EG54^4-4*EG54^3+8*EG54),0))</f>
        <v/>
      </c>
      <c r="EI54" s="48" t="str">
        <f>IF(BI54&lt;&gt;"SÍ","",IF(AND(AI54="SÍ",EH54&gt;0),EH54/(EH54+5*N(AN54)*10),0))</f>
        <v/>
      </c>
      <c r="EJ54" s="44" t="str">
        <f>IF(BI54&lt;&gt;"SÍ","",IF(AND(AI54="SÍ",EI54&gt;0,EF54&gt;0),(DATOS!$C$43*BT54*(AM54*100)^3/(DATOS!$C$53*EF54*EI54))^0.25,0))</f>
        <v/>
      </c>
      <c r="EK54" s="44" t="str">
        <f>IF(BI54&lt;&gt;"SÍ","",IF(AI54&lt;&gt;"SÍ",0,IF(N(AM54)&lt;=F54,1,IF(MIN(1,N(AO54)/((AM54-F54)/2))&lt;=0.5,0.7+0.6*MIN(1,N(AO54)/((AM54-F54)/2)),1.5-MIN(1,N(AO54)/((AM54-F54)/2))))))</f>
        <v/>
      </c>
      <c r="EL54" s="44" t="str">
        <f>IF(BI54&lt;&gt;"SÍ","",IF(AI54&lt;&gt;"SÍ",0,MAX(1,IF(EG54&gt;=1,(1.6*EJ54-3.9),IF(EG54&lt;0.9,((3.2*EJ54-7.8)*EK54),((3.2*EJ54-7.8)*EK54)+((1.6*EJ54-3.9)-((3.2*EJ54-7.8)*EK54))*(EG54-0.9)/0.1)))))</f>
        <v/>
      </c>
      <c r="EM54" s="47" t="str">
        <f>IF(BI54&lt;&gt;"SÍ","",IF(AI54="SÍ",EL54*BP54*1000/(BT54*F54*100),0))</f>
        <v/>
      </c>
      <c r="EN54" s="47" t="str">
        <f>IF(BI54&lt;&gt;"SÍ","",IF(AND(AI54="SÍ",N(AL54)&gt;0),AM54*100/AL54,0))</f>
        <v/>
      </c>
      <c r="EO54" s="47" t="str">
        <f>IF(BI54&lt;&gt;"SÍ","",IF(AI54="SÍ",(1/15*DATOS!$C$53*N(AK54)/MAX((IF(ISNUMBER(AP54),AP54,BP54/DATOS!$C$90)*1000/(BT54*F54*100)*BT54*(EG54^4-4*EG54^3+8*EG54))+5*N(AN54)/DATOS!$C$90*10,0.001))^(1/3),0))</f>
        <v/>
      </c>
      <c r="EP54" s="45" t="str">
        <f>IF(BI54&lt;&gt;"SÍ","",IF(AI54&lt;&gt;"SÍ","—",IF(OR(N(AK54)&lt;=0,N(AL54)&lt;=0,N(AM54)&lt;=0),"REVISAR: faltan b, h o L_v de la viga",IF(AND(EM54&lt;=DATOS!$C$87*DATOS!$C$33,EN54&lt;=14,N(AL54)&gt;=25,EN54&lt;=EO54),IF(BS54/F54&lt;0.6,"PENDIENTE: H/L &lt; 0.6, falta el análisis de interacción muro–viga (4.1.18.2.1); f_CM es estimado","CUMPLE"),"NO CUMPLE: "&amp;IF(EM54&gt;DATOS!$C$87*DATOS!$C$33,"f_CM &gt; F_R·f'm ","")&amp;IF(EN54&gt;14,"L_v/h_v &gt; 14 ","")&amp;IF(N(AL54)&lt;25,"h_v &lt; 25 cm ","")&amp;IF(EN54&gt;EO54,"flecha (4.1.18.3)","")))))</f>
        <v/>
      </c>
      <c r="EQ54" s="44" t="str">
        <f>IF(BI54&lt;&gt;"SÍ","",MAX(0,F54*BS54-(N(K54)*N(M54)+N(P54)*N(R54)+N(U54)*N(W54)+N(Z54)*N(AB54))-CK54*DATOS!$C$59/100*BS54))</f>
        <v/>
      </c>
      <c r="ER54" s="48" t="str">
        <f>IF(BI54&lt;&gt;"SÍ","",CK54*DATOS!$C$59*DATOS!$C$60/10000*BS54)</f>
        <v/>
      </c>
      <c r="ES54" s="47" t="str">
        <f>IF(BI54&lt;&gt;"SÍ","",CK54*(DATOS!$C$61*(BS54+0.6)*INDEX(TABLAS!$E$6:$E$14,MATCH(DATOS!$C$62,TABLAS!$B$6:$B$14,0))+(2*ROUNDUP(CN54/DATOS!$C$65,0)+ROUNDUP(MAX(0,BS54*100-2*CN54)/DATOS!$C$64,0))*((2*(DATOS!$C$60+DATOS!$C$59-4*(DATOS!$C$66-INDEX(TABLAS!$C$6:$C$14,MATCH(DATOS!$C$63,TABLAS!$B$6:$B$14,0))))+15)/100)*INDEX(TABLAS!$E$6:$E$14,MATCH(DATOS!$C$63,TABLAS!$B$6:$B$14,0))))</f>
        <v/>
      </c>
      <c r="ET54" s="47" t="str">
        <f>IF(BI54&lt;&gt;"SÍ","",IF(OR(AE54="VARILLA EN JUNTAS",AE54="ESCALERILLA"),INT(BS54*100/MAX(DK54,1))*IF(ISNUMBER(AF54),AF54,2)*CB54*INDEX(TABLAS!$E$6:$E$14,MATCH(IF(AG54&lt;&gt;"",AG54,DATOS!$C$73),TABLAS!$B$6:$B$14,0)),IF(AE54="MALLA",IF(ISNUMBER(AF54),AF54,1)*CB54*BS54*INDEX(TABLAS!$E$19:$E$22,MATCH(IF(AG54&lt;&gt;"",AG54,DATOS!$C$74),TABLAS!$B$19:$B$22,0)),0)))</f>
        <v/>
      </c>
      <c r="EU54" s="45" t="str">
        <f>IF(BI54&lt;&gt;"SÍ","",""&amp;IF(BJ54="NO ESTÁ EN PIER_FORCES","sin fuerzas en PIER_FORCES; ","")&amp;IF(BV54&lt;&gt;"CUMPLE","vanos; ","")&amp;IF(LEFT(CH54,2)="NO","espesor o esbeltez; ","")&amp;IF(CQ54&gt;1,"compresión; ","")&amp;IF(CX54&gt;1,"flexión; ","")&amp;IF(CB54&lt;=0,"sin tramos de muro (todos son machones menores que L mín.: diséñalos como columnas o baja L mín.); ",IF(EC54&gt;1,"cortante; ",""))&amp;IF(OR(LEFT(EA54,2)="NO",LEFT(EA54,5)="FALTA"),"refuerzo horizontal; ","")&amp;IF(OR(LEFT(EP54,2)="NO",LEFT(EP54,7)="REVISAR"),"muro sobre viga; ","")&amp;IF(LEFT(DATOS!$C$81,2)="NO","castillo típico; ","")&amp;IF(LEFT(DATOS!$C$82,2)="NO","dala típica; ","")&amp;IF(AND(BT54&lt;&gt;DATOS!$C$58,DATOS!$C$60&lt;BT54),"castillo más angosto que el muro; ",""))</f>
        <v/>
      </c>
      <c r="EV54" s="45" t="str">
        <f>IF(BI54&lt;&gt;"SÍ","",""&amp;IF(LEFT(EP54,9)="PENDIENTE","análisis muro–viga (H/L &lt; 0.6); ","")&amp;IF(BR54&gt;50,"V_u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4" s="51" t="str">
        <f>IF(BI54&lt;&gt;"SÍ","",IF(EU54&lt;&gt;"","NO CUMPLE: "&amp;LEFT(EU54,LEN(EU54)-2),IF(EV54&lt;&gt;"","CUMPLE — PENDIENTE: "&amp;LEFT(EV54,LEN(EV54)-2),"CUMPLE")))</f>
        <v/>
      </c>
      <c r="EX54" s="52" t="n"/>
    </row>
    <row r="55" ht="30" customHeight="1">
      <c r="A55" s="38" t="str">
        <f>IF(B55="","",ROW()-10)</f>
        <v/>
      </c>
      <c r="B55" s="28" t="n"/>
      <c r="C55" s="39" t="n"/>
      <c r="D55" s="39" t="n"/>
      <c r="E55" s="39" t="n"/>
      <c r="F55" s="40" t="n"/>
      <c r="G55" s="40" t="n"/>
      <c r="H55" s="41" t="n"/>
      <c r="I55" s="39" t="n"/>
      <c r="J55" s="40" t="n"/>
      <c r="K55" s="40" t="n"/>
      <c r="L55" s="40" t="n"/>
      <c r="M55" s="40" t="n"/>
      <c r="N55" s="39" t="n"/>
      <c r="O55" s="40" t="n"/>
      <c r="P55" s="40" t="n"/>
      <c r="Q55" s="40" t="n"/>
      <c r="R55" s="40" t="n"/>
      <c r="S55" s="39" t="n"/>
      <c r="T55" s="40" t="n"/>
      <c r="U55" s="40" t="n"/>
      <c r="V55" s="40" t="n"/>
      <c r="W55" s="40" t="n"/>
      <c r="X55" s="39" t="n"/>
      <c r="Y55" s="40" t="n"/>
      <c r="Z55" s="40" t="n"/>
      <c r="AA55" s="40" t="n"/>
      <c r="AB55" s="40" t="n"/>
      <c r="AC55" s="41" t="n"/>
      <c r="AD55" s="41" t="n"/>
      <c r="AE55" s="39" t="n"/>
      <c r="AF55" s="41" t="n"/>
      <c r="AG55" s="41" t="n"/>
      <c r="AH55" s="41" t="n"/>
      <c r="AI55" s="39" t="n"/>
      <c r="AJ55" s="39" t="n"/>
      <c r="AK55" s="41" t="n"/>
      <c r="AL55" s="41" t="n"/>
      <c r="AM55" s="40" t="n"/>
      <c r="AN55" s="40" t="n"/>
      <c r="AO55" s="40" t="n"/>
      <c r="AP55" s="40" t="n"/>
      <c r="AQ55" s="40" t="n"/>
      <c r="AR55" s="40" t="n"/>
      <c r="AS55" s="40" t="n"/>
      <c r="AT55" s="40" t="n"/>
      <c r="AU55" s="40" t="n"/>
      <c r="AV55" s="40" t="n"/>
      <c r="AW55" s="40" t="n"/>
      <c r="AX55" s="42" t="str">
        <f>IF(B55="","",C55&amp;"|"&amp;B55)</f>
        <v/>
      </c>
      <c r="AY55" s="43" t="str">
        <f>IF(B55="","",COUNTIFS(PIER_FORCES!$O$9:$O$3008,45,PIER_FORCES!$P$9:$P$3008,1))</f>
        <v/>
      </c>
      <c r="AZ55" s="43" t="str">
        <f>IF(B55="","",COUNTIFS(PIER_FORCES!$O$9:$O$3008,45,PIER_FORCES!$P$9:$P$3008,2))</f>
        <v/>
      </c>
      <c r="BA55" s="44">
        <f>IF(N(AY55)=0,0,SUMPRODUCT(MAX((PIER_FORCES!$O$9:$O$3008=45)*(PIER_FORCES!$P$9:$P$3008=1)*PIER_FORCES!$R$9:$R$3008)))</f>
        <v>0</v>
      </c>
      <c r="BB55" s="44">
        <f>IF(N(AY55)=0,0,SUMPRODUCT(MAX((PIER_FORCES!$O$9:$O$3008=45)*(PIER_FORCES!$P$9:$P$3008=1)*PIER_FORCES!$S$9:$S$3008)))</f>
        <v>0</v>
      </c>
      <c r="BC55" s="44">
        <f>IF(N(AY55)=0,0,-SUMPRODUCT(MAX((PIER_FORCES!$O$9:$O$3008=45)*(PIER_FORCES!$P$9:$P$3008=1)*(-PIER_FORCES!$Q$9:$Q$3008)+(1-(PIER_FORCES!$O$9:$O$3008=45)*(PIER_FORCES!$P$9:$P$3008=1))*(-1E9))))</f>
        <v>0</v>
      </c>
      <c r="BD55" s="44">
        <f>IF(N(AY55)=0,0,SUMPRODUCT(MAX((PIER_FORCES!$O$9:$O$3008=45)*(PIER_FORCES!$P$9:$P$3008=1)*PIER_FORCES!$Q$9:$Q$3008+(1-(PIER_FORCES!$O$9:$O$3008=45)*(PIER_FORCES!$P$9:$P$3008=1))*(-1E9))))</f>
        <v>0</v>
      </c>
      <c r="BE55" s="44">
        <f>IF(N(AZ55)=0,BD55,SUMPRODUCT(MAX((PIER_FORCES!$O$9:$O$3008=45)*(PIER_FORCES!$P$9:$P$3008=2)*PIER_FORCES!$Q$9:$Q$3008+(1-(PIER_FORCES!$O$9:$O$3008=45)*(PIER_FORCES!$P$9:$P$3008=2))*(-1E9))))</f>
        <v>0</v>
      </c>
      <c r="BF55" s="44">
        <f>IF(N(AZ55)=0,0,SUMPRODUCT(MAX((PIER_FORCES!$O$9:$O$3008=45)*(PIER_FORCES!$P$9:$P$3008=2)*PIER_FORCES!$R$9:$R$3008)))</f>
        <v>0</v>
      </c>
      <c r="BG55" s="43">
        <f>IF(N(AY55)=0,0,SUMPRODUCT(MAX((PIER_FORCES!$O$9:$O$3008=45)*(PIER_FORCES!$P$9:$P$3008=1)*(ABS(PIER_FORCES!$R$9:$R$3008-BA55)&lt;0.000001)*PIER_FORCES!$T$9:$T$3008)))</f>
        <v>0</v>
      </c>
      <c r="BH55" s="45" t="str">
        <f>IF(N(BG55)=0,"",INDEX(PIER_FORCES!$D$9:$D$3008,BG55)&amp;" "&amp;INDEX(PIER_FORCES!$F$9:$F$3008,BG55)&amp;" / "&amp;INDEX(PIER_FORCES!$G$9:$G$3008,BG55))</f>
        <v/>
      </c>
      <c r="BI55" s="42" t="str">
        <f>IF(B55="","",IF(AND(C55&lt;&gt;"",OR(D55="X",D55="Y"),ISNUMBER(F55),N(F55)&gt;0),"SÍ","NO"))</f>
        <v/>
      </c>
      <c r="BJ55" s="42" t="str">
        <f>IF(BI55&lt;&gt;"SÍ","",IF(DATOS!$C$108="ETABS (PIER_FORCES)",IF(N(AY55)&gt;0,"ETABS","NO ESTÁ EN PIER_FORCES"),"CAPTURA"))</f>
        <v/>
      </c>
      <c r="BK55" s="46" t="str">
        <f>IF(BI55&lt;&gt;"SÍ","",IF(BJ55="ETABS",BA55,IF(BJ55="CAPTURA",N(AQ55),0)))</f>
        <v/>
      </c>
      <c r="BL55" s="46" t="str">
        <f>IF(BI55&lt;&gt;"SÍ","",IF(BJ55="ETABS",BB55,IF(BJ55="CAPTURA",N(AR55),0)))</f>
        <v/>
      </c>
      <c r="BM55" s="46" t="str">
        <f>IF(BI55&lt;&gt;"SÍ","",IF(BJ55="ETABS",BC55/DATOS!$C$89,IF(BJ55="CAPTURA",N(AS55),0)))</f>
        <v/>
      </c>
      <c r="BN55" s="44" t="str">
        <f>IF(BI55&lt;&gt;"SÍ","",IF(BJ55="ETABS",BC55,IF(BJ55="CAPTURA",IF(ISNUMBER(AU55),AU55,N(AS55)*DATOS!$C$89),0)))</f>
        <v/>
      </c>
      <c r="BO55" s="44" t="str">
        <f>IF(BI55&lt;&gt;"SÍ","",IF(BJ55="ETABS",MAX(BD55,BE55),IF(BJ55="CAPTURA",N(AT55),0)))</f>
        <v/>
      </c>
      <c r="BP55" s="44" t="str">
        <f>IF(BI55&lt;&gt;"SÍ","",IF(BJ55="ETABS",BE55,IF(BJ55="CAPTURA",IF(ISNUMBER(AV55),AV55,N(AT55)),0)))</f>
        <v/>
      </c>
      <c r="BQ55" s="44" t="str">
        <f>IF(BI55&lt;&gt;"SÍ","",IF(BJ55="ETABS",BF55,IF(BJ55="CAPTURA",N(AW55),0)))</f>
        <v/>
      </c>
      <c r="BR55" s="43" t="str">
        <f>IF(BI55&lt;&gt;"SÍ","",IF(BK55&gt;0,100*BQ55/BK55,0))</f>
        <v/>
      </c>
      <c r="BS55" s="44" t="str">
        <f>IF(BI55&lt;&gt;"SÍ","",IF(ISNUMBER(G55),G55,DATOS!$C$57))</f>
        <v/>
      </c>
      <c r="BT55" s="47" t="str">
        <f>IF(BI55&lt;&gt;"SÍ","",IF(ISNUMBER(H55),H55,DATOS!$C$58))</f>
        <v/>
      </c>
      <c r="BU55" s="43" t="str">
        <f>IF(BI55&lt;&gt;"SÍ","",IF(N(K55)&gt;0,1+IF(N(P55)&gt;0,1+IF(N(U55)&gt;0,1+IF(N(Z55)&gt;0,1,0),0),0),0))</f>
        <v/>
      </c>
      <c r="BV55" s="45" t="str">
        <f>IF(BI55&lt;&gt;"SÍ","",IF(AND(OR(BU55&lt;1,AND(N(J55)&gt;=0-0.001,J55+K55&lt;=F55+0.001,N(L55)&gt;=0,N(L55)+N(M55)&lt;=BS55+0.001,N(M55)&gt;0,OR(I55="PUERTA",I55="VENTANA"))),OR(BU55&lt;2,AND(N(O55)&gt;=(J55+K55)-0.001,O55+P55&lt;=F55+0.001,N(Q55)&gt;=0,N(Q55)+N(R55)&lt;=BS55+0.001,N(R55)&gt;0,OR(N55="PUERTA",N55="VENTANA"))),OR(BU55&lt;3,AND(N(T55)&gt;=(O55+P55)-0.001,T55+U55&lt;=F55+0.001,N(V55)&gt;=0,N(V55)+N(W55)&lt;=BS55+0.001,N(W55)&gt;0,OR(S55="PUERTA",S55="VENTANA"))),OR(BU55&lt;4,AND(N(Y55)&gt;=(T55+U55)-0.001,Y55+Z55&lt;=F55+0.001,N(AA55)&gt;=0,N(AA55)+N(AB55)&lt;=BS55+0.001,N(AB55)&gt;0,OR(X55="PUERTA",X55="VENTANA"))),(N(K55)&gt;0)+(N(P55)&gt;0)+(N(U55)&gt;0)+(N(Z55)&gt;0)=BU55),"CUMPLE","REVISAR VANOS: tipo, orden de izquierda a derecha, que quepan en L y en H"))</f>
        <v/>
      </c>
      <c r="BW55" s="44" t="str">
        <f>IF(BI55&lt;&gt;"SÍ","",MAX(0,IF(BU55&gt;=1,N(J55),F55)))</f>
        <v/>
      </c>
      <c r="BX55" s="44" t="str">
        <f>IF(BI55&lt;&gt;"SÍ","",MAX(0,IF(BU55&gt;=2,N(O55)-(N(J55)+N(K55)),IF(BU55=1,F55-(N(J55)+N(K55)),0))))</f>
        <v/>
      </c>
      <c r="BY55" s="44" t="str">
        <f>IF(BI55&lt;&gt;"SÍ","",MAX(0,IF(BU55&gt;=3,N(T55)-(N(O55)+N(P55)),IF(BU55=2,F55-(N(O55)+N(P55)),0))))</f>
        <v/>
      </c>
      <c r="BZ55" s="44" t="str">
        <f>IF(BI55&lt;&gt;"SÍ","",MAX(0,IF(BU55&gt;=4,N(Y55)-(N(T55)+N(U55)),IF(BU55=3,F55-(N(T55)+N(U55)),0))))</f>
        <v/>
      </c>
      <c r="CA55" s="44" t="str">
        <f>IF(BI55&lt;&gt;"SÍ","",MAX(0,IF(BU55=4,F55-(N(Y55)+N(Z55)),0)))</f>
        <v/>
      </c>
      <c r="CB55" s="46" t="str">
        <f>IF(BI55&lt;&gt;"SÍ","",SUMPRODUCT((BW55:CA55&gt;=DATOS!$C$72-0.0001)*BW55:CA55))</f>
        <v/>
      </c>
      <c r="CC55" s="43" t="str">
        <f>IF(BI55&lt;&gt;"SÍ","",SUMPRODUCT(--(BW55:CA55&gt;=DATOS!$C$72-0.0001)))</f>
        <v/>
      </c>
      <c r="CD55" s="44" t="str">
        <f>IF(BI55&lt;&gt;"SÍ","",SUM(BW55:CA55))</f>
        <v/>
      </c>
      <c r="CE55" s="43" t="str">
        <f>IF(BI55&lt;&gt;"SÍ","",BT55*CB55*100)</f>
        <v/>
      </c>
      <c r="CF55" s="43" t="str">
        <f>IF(BI55&lt;&gt;"SÍ","",BT55*CD55*100)</f>
        <v/>
      </c>
      <c r="CG55" s="47" t="str">
        <f>IF(BI55&lt;&gt;"SÍ","",BS55*100/BT55)</f>
        <v/>
      </c>
      <c r="CH55" s="45" t="str">
        <f>IF(BI55&lt;&gt;"SÍ","",IF(AND(OR(DATOS!$C$14="TIPO II",BT55&gt;=12),CG55&lt;=25),"CUMPLE","NO CUMPLE: "&amp;IF(AND(DATOS!$C$14="TIPO I",BT55&lt;12),"t &lt; 12 cm ","")&amp;IF(CG55&gt;25,"H/t &gt; 25","")))</f>
        <v/>
      </c>
      <c r="CI55" s="44" t="str">
        <f>IF(BI55&lt;&gt;"SÍ","",MIN(1.5*BS55,4))</f>
        <v/>
      </c>
      <c r="CJ55" s="43" t="str">
        <f>IF(BI55&lt;&gt;"SÍ","",SUMPRODUCT((BW55:CA55&gt;=2*DATOS!$C$59/100)*INT((BW55:CA55-DATOS!$C$59/100)/CI55-0.000001)*((BW55:CA55-DATOS!$C$59/100)&gt;0)))</f>
        <v/>
      </c>
      <c r="CK55" s="43" t="str">
        <f>IF(BI55&lt;&gt;"SÍ","",SUMPRODUCT((BW55:CA55&gt;0.0001)*1+(BW55:CA55&gt;=2*DATOS!$C$59/100)*1)+CJ55)</f>
        <v/>
      </c>
      <c r="CL55" s="44" t="str">
        <f>IF(BI55&lt;&gt;"SÍ","",IF(ISNUMBER(AC55),AC55,DATOS!$C$61)*INDEX(TABLAS!$D$6:$D$14,MATCH(IF(AD55&lt;&gt;"",AD55,DATOS!$C$62),TABLAS!$B$6:$B$14,0)))</f>
        <v/>
      </c>
      <c r="CM55" s="44" t="str">
        <f>IF(BI55&lt;&gt;"SÍ","",CK55*DATOS!$C$78+IF(CK55&gt;=2,2,CK55)*(CL55-DATOS!$C$78))</f>
        <v/>
      </c>
      <c r="CN55" s="47" t="str">
        <f>IF(BI55&lt;&gt;"SÍ","",MAX(BS55*100/6,40))</f>
        <v/>
      </c>
      <c r="CO55" s="48" t="str">
        <f>IF(BI55&lt;&gt;"SÍ","",IF(CG55&lt;=20,IF(E55="INTERIOR",0.7,0.6),MIN(IF(E55="INTERIOR",0.7,0.6),(1-2/24)*(1-(IF(E55="INTERIOR",0.8,1)*CG55/30)^2))))</f>
        <v/>
      </c>
      <c r="CP55" s="47" t="str">
        <f>IF(BI55&lt;&gt;"SÍ","",DATOS!$C$87*CO55*(DATOS!$C$33*CF55+CM55*DATOS!$C$48)/1000)</f>
        <v/>
      </c>
      <c r="CQ55" s="46" t="str">
        <f>IF(BI55&lt;&gt;"SÍ","",IF(CP55&gt;0,BO55/CP55,99))</f>
        <v/>
      </c>
      <c r="CR55" s="47" t="str">
        <f>IF(BI55&lt;&gt;"SÍ","",MAX(0,F55*100-DATOS!$C$59))</f>
        <v/>
      </c>
      <c r="CS55" s="47" t="str">
        <f>IF(BI55&lt;&gt;"SÍ","",MAX(0,F55*100-DATOS!$C$59/2))</f>
        <v/>
      </c>
      <c r="CT55" s="44" t="str">
        <f>IF(BI55&lt;&gt;"SÍ","",CL55*DATOS!$C$48*CR55/100000)</f>
        <v/>
      </c>
      <c r="CU55" s="44" t="str">
        <f>IF(BI55&lt;&gt;"SÍ","",IF(BN55&lt;0,0.8*CT55*MAX(0,1+BN55/(0.8*CM55*DATOS!$C$48/1000)),IF(BN55&lt;=CP55/3,0.8*CT55+0.3*BN55*CS55/100,(1.5*0.6*CT55+0.15*CP55*CS55/100)*MAX(0,1-BN55/CP55))))</f>
        <v/>
      </c>
      <c r="CV55" s="44" t="str">
        <f>IF(BI55&lt;&gt;"SÍ","",IF(BO55&lt;0,0.8*CT55*MAX(0,1+BO55/(0.8*CM55*DATOS!$C$48/1000)),IF(BO55&lt;=CP55/3,0.8*CT55+0.3*BO55*CS55/100,(1.5*0.6*CT55+0.15*CP55*CS55/100)*MAX(0,1-BO55/CP55))))</f>
        <v/>
      </c>
      <c r="CW55" s="46" t="str">
        <f>IF(BI55&lt;&gt;"SÍ","",MAX(0,MIN(CU55,CV55)))</f>
        <v/>
      </c>
      <c r="CX55" s="49" t="str">
        <f>IF(BI55&lt;&gt;"SÍ","",IF(CW55&gt;0,BL55/CW55,IF(BL55&gt;0,99,0)))</f>
        <v/>
      </c>
      <c r="CY55" s="44" t="str">
        <f>IF(BI55&lt;&gt;"SÍ","",IF(BW55&gt;0,MAX(1,MIN(1.5,1.5-0.625*(BS55/BW55-0.2))),0))</f>
        <v/>
      </c>
      <c r="CZ55" s="44" t="str">
        <f>IF(BI55&lt;&gt;"SÍ","",IF(BX55&gt;0,MAX(1,MIN(1.5,1.5-0.625*(BS55/BX55-0.2))),0))</f>
        <v/>
      </c>
      <c r="DA55" s="44" t="str">
        <f>IF(BI55&lt;&gt;"SÍ","",IF(BY55&gt;0,MAX(1,MIN(1.5,1.5-0.625*(BS55/BY55-0.2))),0))</f>
        <v/>
      </c>
      <c r="DB55" s="44" t="str">
        <f>IF(BI55&lt;&gt;"SÍ","",IF(BZ55&gt;0,MAX(1,MIN(1.5,1.5-0.625*(BS55/BZ55-0.2))),0))</f>
        <v/>
      </c>
      <c r="DC55" s="44" t="str">
        <f>IF(BI55&lt;&gt;"SÍ","",IF(CA55&gt;0,MAX(1,MIN(1.5,1.5-0.625*(BS55/CA55-0.2))),0))</f>
        <v/>
      </c>
      <c r="DD55" s="44" t="str">
        <f>IF(BI55&lt;&gt;"SÍ","",IF(OR(BW55&lt;DATOS!$C$72-0.0001,BM55&lt;0,CB55&lt;=0),0,MIN(DATOS!$C$86*(0.5*DATOS!$C$41*BT55*BW55*100+0.3*BM55*BW55/CB55*1000)*CY55,1.5*DATOS!$C$86*DATOS!$C$41*BT55*BW55*100*CY55)/1000))</f>
        <v/>
      </c>
      <c r="DE55" s="44" t="str">
        <f>IF(BI55&lt;&gt;"SÍ","",IF(OR(BX55&lt;DATOS!$C$72-0.0001,BM55&lt;0,CB55&lt;=0),0,MIN(DATOS!$C$86*(0.5*DATOS!$C$41*BT55*BX55*100+0.3*BM55*BX55/CB55*1000)*CZ55,1.5*DATOS!$C$86*DATOS!$C$41*BT55*BX55*100*CZ55)/1000))</f>
        <v/>
      </c>
      <c r="DF55" s="44" t="str">
        <f>IF(BI55&lt;&gt;"SÍ","",IF(OR(BY55&lt;DATOS!$C$72-0.0001,BM55&lt;0,CB55&lt;=0),0,MIN(DATOS!$C$86*(0.5*DATOS!$C$41*BT55*BY55*100+0.3*BM55*BY55/CB55*1000)*DA55,1.5*DATOS!$C$86*DATOS!$C$41*BT55*BY55*100*DA55)/1000))</f>
        <v/>
      </c>
      <c r="DG55" s="44" t="str">
        <f>IF(BI55&lt;&gt;"SÍ","",IF(OR(BZ55&lt;DATOS!$C$72-0.0001,BM55&lt;0,CB55&lt;=0),0,MIN(DATOS!$C$86*(0.5*DATOS!$C$41*BT55*BZ55*100+0.3*BM55*BZ55/CB55*1000)*DB55,1.5*DATOS!$C$86*DATOS!$C$41*BT55*BZ55*100*DB55)/1000))</f>
        <v/>
      </c>
      <c r="DH55" s="44" t="str">
        <f>IF(BI55&lt;&gt;"SÍ","",IF(OR(CA55&lt;DATOS!$C$72-0.0001,BM55&lt;0,CB55&lt;=0),0,MIN(DATOS!$C$86*(0.5*DATOS!$C$41*BT55*CA55*100+0.3*BM55*CA55/CB55*1000)*DC55,1.5*DATOS!$C$86*DATOS!$C$41*BT55*CA55*100*DC55)/1000))</f>
        <v/>
      </c>
      <c r="DI55" s="46" t="str">
        <f>IF(BI55&lt;&gt;"SÍ","",SUM(DD55:DH55))</f>
        <v/>
      </c>
      <c r="DJ55" s="48" t="str">
        <f>IF(BI55&lt;&gt;"SÍ","",IF(AE55="VARILLA EN JUNTAS",IF(ISNUMBER(AF55),AF55,2)*INDEX(TABLAS!$D$6:$D$14,MATCH(IF(AG55&lt;&gt;"",AG55,DATOS!$C$73),TABLAS!$B$6:$B$14,0)),IF(AE55="MALLA",IF(ISNUMBER(AF55),AF55,1)*INDEX(TABLAS!$D$19:$D$22,MATCH(IF(AG55&lt;&gt;"",AG55,DATOS!$C$74),TABLAS!$B$19:$B$22,0))/100,IF(AE55="ESCALERILLA",IF(ISNUMBER(AF55),AF55,2)*INDEX(TABLAS!$D$6:$D$14,MATCH(IF(AG55&lt;&gt;"",AG55,DATOS!$C$73),TABLAS!$B$6:$B$14,0)),0))))</f>
        <v/>
      </c>
      <c r="DK55" s="47" t="str">
        <f>IF(BI55&lt;&gt;"SÍ","",IF(OR(AE55="VARILLA EN JUNTAS",AE55="ESCALERILLA"),IF(ISNUMBER(AH55),AH55,2)*DATOS!$C$26,IF(AE55="MALLA",1,0)))</f>
        <v/>
      </c>
      <c r="DL55" s="44" t="str">
        <f>IF(BI55&lt;&gt;"SÍ","",IF(DK55&gt;0,DJ55/(DK55*BT55)*MIN(DATOS!$C$50,IF(AE55="MALLA",5000,6000)),0))</f>
        <v/>
      </c>
      <c r="DM55" s="44" t="str">
        <f>IF(BI55&lt;&gt;"SÍ","",IF(AE55="ESCALERILLA",0,MIN(DL55,0.1*DATOS!$C$33*DATOS!$C$24)))</f>
        <v/>
      </c>
      <c r="DN55" s="48" t="str">
        <f>IF(BI55&lt;&gt;"SÍ","",IF(AE55="MALLA",0.5,IF(DATOS!$C$33&lt;=60,0.55,IF(DATOS!$C$33&gt;=90,0.75,0.55+0.2*(DATOS!$C$33-60)/30))))</f>
        <v/>
      </c>
      <c r="DO55" s="48" t="str">
        <f>IF(BI55&lt;&gt;"SÍ","",1-DATOS!$C$91*DM55)</f>
        <v/>
      </c>
      <c r="DP55" s="44" t="str">
        <f>IF(BI55&lt;&gt;"SÍ","",IF(BW55&gt;0,IF(BS55/BW55&lt;=1,1.3,IF(BS55/BW55&gt;=1.5,1,1.3-0.6*(BS55/BW55-1))),0))</f>
        <v/>
      </c>
      <c r="DQ55" s="44" t="str">
        <f>IF(BI55&lt;&gt;"SÍ","",IF(BX55&gt;0,IF(BS55/BX55&lt;=1,1.3,IF(BS55/BX55&gt;=1.5,1,1.3-0.6*(BS55/BX55-1))),0))</f>
        <v/>
      </c>
      <c r="DR55" s="44" t="str">
        <f>IF(BI55&lt;&gt;"SÍ","",IF(BY55&gt;0,IF(BS55/BY55&lt;=1,1.3,IF(BS55/BY55&gt;=1.5,1,1.3-0.6*(BS55/BY55-1))),0))</f>
        <v/>
      </c>
      <c r="DS55" s="44" t="str">
        <f>IF(BI55&lt;&gt;"SÍ","",IF(BZ55&gt;0,IF(BS55/BZ55&lt;=1,1.3,IF(BS55/BZ55&gt;=1.5,1,1.3-0.6*(BS55/BZ55-1))),0))</f>
        <v/>
      </c>
      <c r="DT55" s="44" t="str">
        <f>IF(BI55&lt;&gt;"SÍ","",IF(CA55&gt;0,IF(BS55/CA55&lt;=1,1.3,IF(BS55/CA55&gt;=1.5,1,1.3-0.6*(BS55/CA55-1))),0))</f>
        <v/>
      </c>
      <c r="DU55" s="44" t="str">
        <f>IF(BI55&lt;&gt;"SÍ","",IF(OR(DM55&lt;=0,BW55&lt;DATOS!$C$72-0.0001),0,DATOS!$C$86*MAX(0,IF(BM55&gt;=0,DD55/(DATOS!$C$86*DM55*BT55*BW55*100/1000)*(DP55*DO55-1)+DN55,DO55*DN55))*DM55*BT55*BW55*100/1000))</f>
        <v/>
      </c>
      <c r="DV55" s="44" t="str">
        <f>IF(BI55&lt;&gt;"SÍ","",IF(OR(DM55&lt;=0,BX55&lt;DATOS!$C$72-0.0001),0,DATOS!$C$86*MAX(0,IF(BM55&gt;=0,DE55/(DATOS!$C$86*DM55*BT55*BX55*100/1000)*(DQ55*DO55-1)+DN55,DO55*DN55))*DM55*BT55*BX55*100/1000))</f>
        <v/>
      </c>
      <c r="DW55" s="44" t="str">
        <f>IF(BI55&lt;&gt;"SÍ","",IF(OR(DM55&lt;=0,BY55&lt;DATOS!$C$72-0.0001),0,DATOS!$C$86*MAX(0,IF(BM55&gt;=0,DF55/(DATOS!$C$86*DM55*BT55*BY55*100/1000)*(DR55*DO55-1)+DN55,DO55*DN55))*DM55*BT55*BY55*100/1000))</f>
        <v/>
      </c>
      <c r="DX55" s="44" t="str">
        <f>IF(BI55&lt;&gt;"SÍ","",IF(OR(DM55&lt;=0,BZ55&lt;DATOS!$C$72-0.0001),0,DATOS!$C$86*MAX(0,IF(BM55&gt;=0,DG55/(DATOS!$C$86*DM55*BT55*BZ55*100/1000)*(DS55*DO55-1)+DN55,DO55*DN55))*DM55*BT55*BZ55*100/1000))</f>
        <v/>
      </c>
      <c r="DY55" s="44" t="str">
        <f>IF(BI55&lt;&gt;"SÍ","",IF(OR(DM55&lt;=0,CA55&lt;DATOS!$C$72-0.0001),0,DATOS!$C$86*MAX(0,IF(BM55&gt;=0,DH55/(DATOS!$C$86*DM55*BT55*CA55*100/1000)*(DT55*DO55-1)+DN55,DO55*DN55))*DM55*BT55*CA55*100/1000))</f>
        <v/>
      </c>
      <c r="DZ55" s="46" t="str">
        <f>IF(BI55&lt;&gt;"SÍ","",SUM(DU55:DY55))</f>
        <v/>
      </c>
      <c r="EA55" s="45" t="str">
        <f>IF(BI55&lt;&gt;"SÍ","",IF(OR(AE55="",AE55="NINGUNO"),IF(DATOS!$C$41&gt;=10,"FALTA refuerzo horizontal: v'm ≥ 10 kg/cm² (6.5.2.2)",IF(AND(BM55&lt;0,BK55&gt;0),"FALTA: P en tensión, el refuerzo debe tomar todo el cortante (6.5.1.3)","—")),IF(AE55="ESCALERILLA","NO CUENTA: la escalerilla no se permite para cortante por sismo (6.5.3.1.2)",IF(AE55="MALLA",IF(AND(DL55&gt;=2.5,DL55&lt;=MAX(0.15*DATOS!$C$33*DATOS!$C$24,2.5)),"CUMPLE","NO CUMPLE: "&amp;IF(DL55&lt;2.5,"p_h·f_yh &lt; 2.5 (6.5.4.2.4)","p_h·f_yh &gt; 0.15·f'm·f_an (6.5.4.2.4)")),IF(AND(DK55&lt;=MIN(6*DATOS!$C$26,45),DL55&gt;=3,DL55&lt;=MIN(MAX(0.15*DATOS!$C$33*DATOS!$C$24,3),0.05*DATOS!$C$25/10*MIN(DATOS!$C$50,6000)/DK55),INDEX(TABLAS!$C$6:$C$14,MATCH(IF(AG55&lt;&gt;"",AG55,DATOS!$C$73),TABLAS!$B$6:$B$14,0))&gt;=0.35,INDEX(TABLAS!$C$6:$C$14,MATCH(IF(AG55&lt;&gt;"",AG55,DATOS!$C$73),TABLAS!$B$6:$B$14,0))&lt;=0.75*DATOS!$C$25/10),"CUMPLE","NO CUMPLE: "&amp;IF(DK55&gt;MIN(6*DATOS!$C$26,45),"s_h &gt; 6 hiladas o 45 cm (6.5.3.2.1) ","")&amp;IF(DL55&lt;3,"p_h·f_yh &lt; 3 (6.5.3.3.1) ","")&amp;IF(DL55&gt;MIN(MAX(0.15*DATOS!$C$33*DATOS!$C$24,3),0.05*DATOS!$C$25/10*MIN(DATOS!$C$50,6000)/DK55),"p_h·f_yh &gt; máximo (6.5.3.3.2) ","")&amp;IF(OR(INDEX(TABLAS!$C$6:$C$14,MATCH(IF(AG55&lt;&gt;"",AG55,DATOS!$C$73),TABLAS!$B$6:$B$14,0))&lt;0.35,INDEX(TABLAS!$C$6:$C$14,MATCH(IF(AG55&lt;&gt;"",AG55,DATOS!$C$73),TABLAS!$B$6:$B$14,0))&gt;0.75*DATOS!$C$25/10),"diámetro fuera de 3.5 mm a 0.75·h_j (4.2.2.2.1)",""))))))</f>
        <v/>
      </c>
      <c r="EB55" s="46" t="str">
        <f>IF(BI55&lt;&gt;"SÍ","",DI55+DZ55)</f>
        <v/>
      </c>
      <c r="EC55" s="50" t="str">
        <f>IF(BI55&lt;&gt;"SÍ","",IF(EB55&gt;0,BK55/EB55,IF(BK55&gt;0,99,0)))</f>
        <v/>
      </c>
      <c r="ED55" s="47" t="str">
        <f>IF(BI55&lt;&gt;"SÍ","",IF(CE55&lt;=0,-1,IF(BK55&lt;=DI55,0,IF(IF(BM55&gt;=0,IF((DATOS!$C$86*IF(AE55="MALLA",0.5,IF(DATOS!$C$33&lt;=60,0.55,IF(DATOS!$C$33&gt;=90,0.75,0.55+0.2*(DATOS!$C$33-60)/30)))*CE55/1000-DATOS!$C$91*SUMPRODUCT(DP55:DT55,DD55:DH55))&lt;=0,1E9,(BK55-SUMPRODUCT(DP55:DT55,DD55:DH55))/(DATOS!$C$86*IF(AE55="MALLA",0.5,IF(DATOS!$C$33&lt;=60,0.55,IF(DATOS!$C$33&gt;=90,0.75,0.55+0.2*(DATOS!$C$33-60)/30)))*CE55/1000-DATOS!$C$91*SUMPRODUCT(DP55:DT55,DD55:DH55))),IF((1-4*DATOS!$C$91*BK55*1000/(DATOS!$C$86*IF(AE55="MALLA",0.5,IF(DATOS!$C$33&lt;=60,0.55,IF(DATOS!$C$33&gt;=90,0.75,0.55+0.2*(DATOS!$C$33-60)/30)))*MAX(CE55,1)))&lt;0,1E9,(1-SQRT((1-4*DATOS!$C$91*BK55*1000/(DATOS!$C$86*IF(AE55="MALLA",0.5,IF(DATOS!$C$33&lt;=60,0.55,IF(DATOS!$C$33&gt;=90,0.75,0.55+0.2*(DATOS!$C$33-60)/30)))*MAX(CE55,1)))))/(2*DATOS!$C$91)))&gt;0.1*DATOS!$C$33*DATOS!$C$24+0.000001,-1,MAX(IF(AE55="MALLA",2.5,3),IF(BM55&gt;=0,IF((DATOS!$C$86*IF(AE55="MALLA",0.5,IF(DATOS!$C$33&lt;=60,0.55,IF(DATOS!$C$33&gt;=90,0.75,0.55+0.2*(DATOS!$C$33-60)/30)))*CE55/1000-DATOS!$C$91*SUMPRODUCT(DP55:DT55,DD55:DH55))&lt;=0,1E9,(BK55-SUMPRODUCT(DP55:DT55,DD55:DH55))/(DATOS!$C$86*IF(AE55="MALLA",0.5,IF(DATOS!$C$33&lt;=60,0.55,IF(DATOS!$C$33&gt;=90,0.75,0.55+0.2*(DATOS!$C$33-60)/30)))*CE55/1000-DATOS!$C$91*SUMPRODUCT(DP55:DT55,DD55:DH55))),IF((1-4*DATOS!$C$91*BK55*1000/(DATOS!$C$86*IF(AE55="MALLA",0.5,IF(DATOS!$C$33&lt;=60,0.55,IF(DATOS!$C$33&gt;=90,0.75,0.55+0.2*(DATOS!$C$33-60)/30)))*MAX(CE55,1)))&lt;0,1E9,(1-SQRT((1-4*DATOS!$C$91*BK55*1000/(DATOS!$C$86*IF(AE55="MALLA",0.5,IF(DATOS!$C$33&lt;=60,0.55,IF(DATOS!$C$33&gt;=90,0.75,0.55+0.2*(DATOS!$C$33-60)/30)))*MAX(CE55,1)))))/(2*DATOS!$C$91))))))))</f>
        <v/>
      </c>
      <c r="EE55" s="45" t="str">
        <f>IF(BI55&lt;&gt;"SÍ","",IF(ED55=0,"NO REQUIERE: V_mR ≥ V_u",IF(ED55&lt;0,"NO ALCANZA con refuerzo horizontal (haría falta más de 0.1·f'm·f_an efectivo): sube v'm con ensayes, el espesor o la longitud del muro",IF(AND(OR(AE55="VARILLA EN JUNTAS",AE55="MALLA"),LEFT(EA55,6)="CUMPLE",EC55&lt;=1),"YA LO TIENE (pide p_h·f_yh ≥ "&amp;TEXT(ED55,"0.0")&amp;" kg/cm²)","p_h·f_yh ≥ "&amp;TEXT(ED55,"0.0")&amp;" kg/cm² → "&amp;IF(AND(MIN(6,FLOOR(45/DATOS!$C$26,1),FLOOR((2*INDEX(TABLAS!$D$6:$D$14,MATCH("3/16 in",TABLAS!$B$6:$B$14,0)))*MIN(DATOS!$C$50,6000)/(BT55*DATOS!$C$26*MAX(ED55,0.001)),1))&gt;=1,((2*INDEX(TABLAS!$D$6:$D$14,MATCH("3/16 in",TABLAS!$B$6:$B$14,0)))*MIN(DATOS!$C$50,6000)/(MAX(MIN(6,FLOOR(45/DATOS!$C$26,1),FLOOR((2*INDEX(TABLAS!$D$6:$D$14,MATCH("3/16 in",TABLAS!$B$6:$B$14,0)))*MIN(DATOS!$C$50,6000)/(BT55*DATOS!$C$26*MAX(ED55,0.001)),1)),1)*DATOS!$C$26*BT55))&lt;=MIN(MAX(0.15*DATOS!$C$33*DATOS!$C$24,3),0.05*DATOS!$C$25/10*MIN(DATOS!$C$50,6000)/(MIN(6,FLOOR(45/DATOS!$C$26,1),FLOOR((2*INDEX(TABLAS!$D$6:$D$14,MATCH("3/16 in",TABLAS!$B$6:$B$14,0)))*MIN(DATOS!$C$50,6000)/(BT55*DATOS!$C$26*MAX(ED55,0.001)),1))*DATOS!$C$26))),"2 alambres de 3/16"" por junta cada "&amp;MIN(6,FLOOR(45/DATOS!$C$26,1),FLOOR((2*INDEX(TABLAS!$D$6:$D$14,MATCH("3/16 in",TABLAS!$B$6:$B$14,0)))*MIN(DATOS!$C$50,6000)/(BT55*DATOS!$C$26*MAX(ED55,0.001)),1))&amp;" hilada(s) (p_h·f_yh = "&amp;TEXT(((2*INDEX(TABLAS!$D$6:$D$14,MATCH("3/16 in",TABLAS!$B$6:$B$14,0)))*MIN(DATOS!$C$50,6000)/(MAX(MIN(6,FLOOR(45/DATOS!$C$26,1),FLOOR((2*INDEX(TABLAS!$D$6:$D$14,MATCH("3/16 in",TABLAS!$B$6:$B$14,0)))*MIN(DATOS!$C$50,6000)/(BT55*DATOS!$C$26*MAX(ED55,0.001)),1)),1)*DATOS!$C$26*BT55)),"0.00")&amp;")",IF(AND(MIN(6,FLOOR(45/DATOS!$C$26,1),FLOOR((2*INDEX(TABLAS!$D$6:$D$14,MATCH("5/32 in",TABLAS!$B$6:$B$14,0)))*MIN(DATOS!$C$50,6000)/(BT55*DATOS!$C$26*MAX(ED55,0.001)),1))&gt;=1,((2*INDEX(TABLAS!$D$6:$D$14,MATCH("5/32 in",TABLAS!$B$6:$B$14,0)))*MIN(DATOS!$C$50,6000)/(MAX(MIN(6,FLOOR(45/DATOS!$C$26,1),FLOOR((2*INDEX(TABLAS!$D$6:$D$14,MATCH("5/32 in",TABLAS!$B$6:$B$14,0)))*MIN(DATOS!$C$50,6000)/(BT55*DATOS!$C$26*MAX(ED55,0.001)),1)),1)*DATOS!$C$26*BT55))&lt;=MIN(MAX(0.15*DATOS!$C$33*DATOS!$C$24,3),0.05*DATOS!$C$25/10*MIN(DATOS!$C$50,6000)/(MIN(6,FLOOR(45/DATOS!$C$26,1),FLOOR((2*INDEX(TABLAS!$D$6:$D$14,MATCH("5/32 in",TABLAS!$B$6:$B$14,0)))*MIN(DATOS!$C$50,6000)/(BT55*DATOS!$C$26*MAX(ED55,0.001)),1))*DATOS!$C$26))),"2 alambres de 5/32"" por junta cada "&amp;MIN(6,FLOOR(45/DATOS!$C$26,1),FLOOR((2*INDEX(TABLAS!$D$6:$D$14,MATCH("5/32 in",TABLAS!$B$6:$B$14,0)))*MIN(DATOS!$C$50,6000)/(BT55*DATOS!$C$26*MAX(ED55,0.001)),1))&amp;" hilada(s) (p_h·f_yh = "&amp;TEXT(((2*INDEX(TABLAS!$D$6:$D$14,MATCH("5/32 in",TABLAS!$B$6:$B$14,0)))*MIN(DATOS!$C$50,6000)/(MAX(MIN(6,FLOOR(45/DATOS!$C$26,1),FLOOR((2*INDEX(TABLAS!$D$6:$D$14,MATCH("5/32 in",TABLAS!$B$6:$B$14,0)))*MIN(DATOS!$C$50,6000)/(BT55*DATOS!$C$26*MAX(ED55,0.001)),1)),1)*DATOS!$C$26*BT55)),"0.00")&amp;")",IF(AND(MIN(6,FLOOR(45/DATOS!$C$26,1),FLOOR((1*INDEX(TABLAS!$D$6:$D$14,MATCH("3/16 in",TABLAS!$B$6:$B$14,0)))*MIN(DATOS!$C$50,6000)/(BT55*DATOS!$C$26*MAX(ED55,0.001)),1))&gt;=1,((1*INDEX(TABLAS!$D$6:$D$14,MATCH("3/16 in",TABLAS!$B$6:$B$14,0)))*MIN(DATOS!$C$50,6000)/(MAX(MIN(6,FLOOR(45/DATOS!$C$26,1),FLOOR((1*INDEX(TABLAS!$D$6:$D$14,MATCH("3/16 in",TABLAS!$B$6:$B$14,0)))*MIN(DATOS!$C$50,6000)/(BT55*DATOS!$C$26*MAX(ED55,0.001)),1)),1)*DATOS!$C$26*BT55))&lt;=MIN(MAX(0.15*DATOS!$C$33*DATOS!$C$24,3),0.05*DATOS!$C$25/10*MIN(DATOS!$C$50,6000)/(MIN(6,FLOOR(45/DATOS!$C$26,1),FLOOR((1*INDEX(TABLAS!$D$6:$D$14,MATCH("3/16 in",TABLAS!$B$6:$B$14,0)))*MIN(DATOS!$C$50,6000)/(BT55*DATOS!$C$26*MAX(ED55,0.001)),1))*DATOS!$C$26))),"1 alambre de 3/16"" por junta cada "&amp;MIN(6,FLOOR(45/DATOS!$C$26,1),FLOOR((1*INDEX(TABLAS!$D$6:$D$14,MATCH("3/16 in",TABLAS!$B$6:$B$14,0)))*MIN(DATOS!$C$50,6000)/(BT55*DATOS!$C$26*MAX(ED55,0.001)),1))&amp;" hilada(s) (p_h·f_yh = "&amp;TEXT(((1*INDEX(TABLAS!$D$6:$D$14,MATCH("3/16 in",TABLAS!$B$6:$B$14,0)))*MIN(DATOS!$C$50,6000)/(MAX(MIN(6,FLOOR(45/DATOS!$C$26,1),FLOOR((1*INDEX(TABLAS!$D$6:$D$14,MATCH("3/16 in",TABLAS!$B$6:$B$14,0)))*MIN(DATOS!$C$50,6000)/(BT55*DATOS!$C$26*MAX(ED55,0.001)),1)),1)*DATOS!$C$26*BT55)),"0.00")&amp;")",IF(AND(MIN(6,FLOOR(45/DATOS!$C$26,1),FLOOR((1*INDEX(TABLAS!$D$6:$D$14,MATCH("5/32 in",TABLAS!$B$6:$B$14,0)))*MIN(DATOS!$C$50,6000)/(BT55*DATOS!$C$26*MAX(ED55,0.001)),1))&gt;=1,((1*INDEX(TABLAS!$D$6:$D$14,MATCH("5/32 in",TABLAS!$B$6:$B$14,0)))*MIN(DATOS!$C$50,6000)/(MAX(MIN(6,FLOOR(45/DATOS!$C$26,1),FLOOR((1*INDEX(TABLAS!$D$6:$D$14,MATCH("5/32 in",TABLAS!$B$6:$B$14,0)))*MIN(DATOS!$C$50,6000)/(BT55*DATOS!$C$26*MAX(ED55,0.001)),1)),1)*DATOS!$C$26*BT55))&lt;=MIN(MAX(0.15*DATOS!$C$33*DATOS!$C$24,3),0.05*DATOS!$C$25/10*MIN(DATOS!$C$50,6000)/(MIN(6,FLOOR(45/DATOS!$C$26,1),FLOOR((1*INDEX(TABLAS!$D$6:$D$14,MATCH("5/32 in",TABLAS!$B$6:$B$14,0)))*MIN(DATOS!$C$50,6000)/(BT55*DATOS!$C$26*MAX(ED55,0.001)),1))*DATOS!$C$26))),"1 alambre de 5/32"" por junta cada "&amp;MIN(6,FLOOR(45/DATOS!$C$26,1),FLOOR((1*INDEX(TABLAS!$D$6:$D$14,MATCH("5/32 in",TABLAS!$B$6:$B$14,0)))*MIN(DATOS!$C$50,6000)/(BT55*DATOS!$C$26*MAX(ED55,0.001)),1))&amp;" hilada(s) (p_h·f_yh = "&amp;TEXT(((1*INDEX(TABLAS!$D$6:$D$14,MATCH("5/32 in",TABLAS!$B$6:$B$14,0)))*MIN(DATOS!$C$50,6000)/(MAX(MIN(6,FLOOR(45/DATOS!$C$26,1),FLOOR((1*INDEX(TABLAS!$D$6:$D$14,MATCH("5/32 in",TABLAS!$B$6:$B$14,0)))*MIN(DATOS!$C$50,6000)/(BT55*DATOS!$C$26*MAX(ED55,0.001)),1)),1)*DATOS!$C$26*BT55)),"0.00")&amp;")","ninguna combinación de 1 o 2 alambres por junta queda entre el mínimo y el máximo: revisa con malla (6.5.4)"))))))))</f>
        <v/>
      </c>
      <c r="EF55" s="43" t="str">
        <f>IF(BI55&lt;&gt;"SÍ","",IF(AI55="SÍ",N(AK55)*N(AL55)^3/12,0))</f>
        <v/>
      </c>
      <c r="EG55" s="48" t="str">
        <f>IF(BI55&lt;&gt;"SÍ","",IF(AND(AI55="SÍ",N(AM55)&gt;0),MIN(1,F55/AM55),0))</f>
        <v/>
      </c>
      <c r="EH55" s="47" t="str">
        <f>IF(BI55&lt;&gt;"SÍ","",IF(AI55="SÍ",BP55*1000/(BT55*F55*100)*BT55*(EG55^4-4*EG55^3+8*EG55),0))</f>
        <v/>
      </c>
      <c r="EI55" s="48" t="str">
        <f>IF(BI55&lt;&gt;"SÍ","",IF(AND(AI55="SÍ",EH55&gt;0),EH55/(EH55+5*N(AN55)*10),0))</f>
        <v/>
      </c>
      <c r="EJ55" s="44" t="str">
        <f>IF(BI55&lt;&gt;"SÍ","",IF(AND(AI55="SÍ",EI55&gt;0,EF55&gt;0),(DATOS!$C$43*BT55*(AM55*100)^3/(DATOS!$C$53*EF55*EI55))^0.25,0))</f>
        <v/>
      </c>
      <c r="EK55" s="44" t="str">
        <f>IF(BI55&lt;&gt;"SÍ","",IF(AI55&lt;&gt;"SÍ",0,IF(N(AM55)&lt;=F55,1,IF(MIN(1,N(AO55)/((AM55-F55)/2))&lt;=0.5,0.7+0.6*MIN(1,N(AO55)/((AM55-F55)/2)),1.5-MIN(1,N(AO55)/((AM55-F55)/2))))))</f>
        <v/>
      </c>
      <c r="EL55" s="44" t="str">
        <f>IF(BI55&lt;&gt;"SÍ","",IF(AI55&lt;&gt;"SÍ",0,MAX(1,IF(EG55&gt;=1,(1.6*EJ55-3.9),IF(EG55&lt;0.9,((3.2*EJ55-7.8)*EK55),((3.2*EJ55-7.8)*EK55)+((1.6*EJ55-3.9)-((3.2*EJ55-7.8)*EK55))*(EG55-0.9)/0.1)))))</f>
        <v/>
      </c>
      <c r="EM55" s="47" t="str">
        <f>IF(BI55&lt;&gt;"SÍ","",IF(AI55="SÍ",EL55*BP55*1000/(BT55*F55*100),0))</f>
        <v/>
      </c>
      <c r="EN55" s="47" t="str">
        <f>IF(BI55&lt;&gt;"SÍ","",IF(AND(AI55="SÍ",N(AL55)&gt;0),AM55*100/AL55,0))</f>
        <v/>
      </c>
      <c r="EO55" s="47" t="str">
        <f>IF(BI55&lt;&gt;"SÍ","",IF(AI55="SÍ",(1/15*DATOS!$C$53*N(AK55)/MAX((IF(ISNUMBER(AP55),AP55,BP55/DATOS!$C$90)*1000/(BT55*F55*100)*BT55*(EG55^4-4*EG55^3+8*EG55))+5*N(AN55)/DATOS!$C$90*10,0.001))^(1/3),0))</f>
        <v/>
      </c>
      <c r="EP55" s="45" t="str">
        <f>IF(BI55&lt;&gt;"SÍ","",IF(AI55&lt;&gt;"SÍ","—",IF(OR(N(AK55)&lt;=0,N(AL55)&lt;=0,N(AM55)&lt;=0),"REVISAR: faltan b, h o L_v de la viga",IF(AND(EM55&lt;=DATOS!$C$87*DATOS!$C$33,EN55&lt;=14,N(AL55)&gt;=25,EN55&lt;=EO55),IF(BS55/F55&lt;0.6,"PENDIENTE: H/L &lt; 0.6, falta el análisis de interacción muro–viga (4.1.18.2.1); f_CM es estimado","CUMPLE"),"NO CUMPLE: "&amp;IF(EM55&gt;DATOS!$C$87*DATOS!$C$33,"f_CM &gt; F_R·f'm ","")&amp;IF(EN55&gt;14,"L_v/h_v &gt; 14 ","")&amp;IF(N(AL55)&lt;25,"h_v &lt; 25 cm ","")&amp;IF(EN55&gt;EO55,"flecha (4.1.18.3)","")))))</f>
        <v/>
      </c>
      <c r="EQ55" s="44" t="str">
        <f>IF(BI55&lt;&gt;"SÍ","",MAX(0,F55*BS55-(N(K55)*N(M55)+N(P55)*N(R55)+N(U55)*N(W55)+N(Z55)*N(AB55))-CK55*DATOS!$C$59/100*BS55))</f>
        <v/>
      </c>
      <c r="ER55" s="48" t="str">
        <f>IF(BI55&lt;&gt;"SÍ","",CK55*DATOS!$C$59*DATOS!$C$60/10000*BS55)</f>
        <v/>
      </c>
      <c r="ES55" s="47" t="str">
        <f>IF(BI55&lt;&gt;"SÍ","",CK55*(DATOS!$C$61*(BS55+0.6)*INDEX(TABLAS!$E$6:$E$14,MATCH(DATOS!$C$62,TABLAS!$B$6:$B$14,0))+(2*ROUNDUP(CN55/DATOS!$C$65,0)+ROUNDUP(MAX(0,BS55*100-2*CN55)/DATOS!$C$64,0))*((2*(DATOS!$C$60+DATOS!$C$59-4*(DATOS!$C$66-INDEX(TABLAS!$C$6:$C$14,MATCH(DATOS!$C$63,TABLAS!$B$6:$B$14,0))))+15)/100)*INDEX(TABLAS!$E$6:$E$14,MATCH(DATOS!$C$63,TABLAS!$B$6:$B$14,0))))</f>
        <v/>
      </c>
      <c r="ET55" s="47" t="str">
        <f>IF(BI55&lt;&gt;"SÍ","",IF(OR(AE55="VARILLA EN JUNTAS",AE55="ESCALERILLA"),INT(BS55*100/MAX(DK55,1))*IF(ISNUMBER(AF55),AF55,2)*CB55*INDEX(TABLAS!$E$6:$E$14,MATCH(IF(AG55&lt;&gt;"",AG55,DATOS!$C$73),TABLAS!$B$6:$B$14,0)),IF(AE55="MALLA",IF(ISNUMBER(AF55),AF55,1)*CB55*BS55*INDEX(TABLAS!$E$19:$E$22,MATCH(IF(AG55&lt;&gt;"",AG55,DATOS!$C$74),TABLAS!$B$19:$B$22,0)),0)))</f>
        <v/>
      </c>
      <c r="EU55" s="45" t="str">
        <f>IF(BI55&lt;&gt;"SÍ","",""&amp;IF(BJ55="NO ESTÁ EN PIER_FORCES","sin fuerzas en PIER_FORCES; ","")&amp;IF(BV55&lt;&gt;"CUMPLE","vanos; ","")&amp;IF(LEFT(CH55,2)="NO","espesor o esbeltez; ","")&amp;IF(CQ55&gt;1,"compresión; ","")&amp;IF(CX55&gt;1,"flexión; ","")&amp;IF(CB55&lt;=0,"sin tramos de muro (todos son machones menores que L mín.: diséñalos como columnas o baja L mín.); ",IF(EC55&gt;1,"cortante; ",""))&amp;IF(OR(LEFT(EA55,2)="NO",LEFT(EA55,5)="FALTA"),"refuerzo horizontal; ","")&amp;IF(OR(LEFT(EP55,2)="NO",LEFT(EP55,7)="REVISAR"),"muro sobre viga; ","")&amp;IF(LEFT(DATOS!$C$81,2)="NO","castillo típico; ","")&amp;IF(LEFT(DATOS!$C$82,2)="NO","dala típica; ","")&amp;IF(AND(BT55&lt;&gt;DATOS!$C$58,DATOS!$C$60&lt;BT55),"castillo más angosto que el muro; ",""))</f>
        <v/>
      </c>
      <c r="EV55" s="45" t="str">
        <f>IF(BI55&lt;&gt;"SÍ","",""&amp;IF(LEFT(EP55,9)="PENDIENTE","análisis muro–viga (H/L &lt; 0.6); ","")&amp;IF(BR55&gt;50,"V_u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5" s="51" t="str">
        <f>IF(BI55&lt;&gt;"SÍ","",IF(EU55&lt;&gt;"","NO CUMPLE: "&amp;LEFT(EU55,LEN(EU55)-2),IF(EV55&lt;&gt;"","CUMPLE — PENDIENTE: "&amp;LEFT(EV55,LEN(EV55)-2),"CUMPLE")))</f>
        <v/>
      </c>
      <c r="EX55" s="52" t="n"/>
    </row>
    <row r="56" ht="30" customHeight="1">
      <c r="A56" s="38" t="str">
        <f>IF(B56="","",ROW()-10)</f>
        <v/>
      </c>
      <c r="B56" s="28" t="n"/>
      <c r="C56" s="39" t="n"/>
      <c r="D56" s="39" t="n"/>
      <c r="E56" s="39" t="n"/>
      <c r="F56" s="40" t="n"/>
      <c r="G56" s="40" t="n"/>
      <c r="H56" s="41" t="n"/>
      <c r="I56" s="39" t="n"/>
      <c r="J56" s="40" t="n"/>
      <c r="K56" s="40" t="n"/>
      <c r="L56" s="40" t="n"/>
      <c r="M56" s="40" t="n"/>
      <c r="N56" s="39" t="n"/>
      <c r="O56" s="40" t="n"/>
      <c r="P56" s="40" t="n"/>
      <c r="Q56" s="40" t="n"/>
      <c r="R56" s="40" t="n"/>
      <c r="S56" s="39" t="n"/>
      <c r="T56" s="40" t="n"/>
      <c r="U56" s="40" t="n"/>
      <c r="V56" s="40" t="n"/>
      <c r="W56" s="40" t="n"/>
      <c r="X56" s="39" t="n"/>
      <c r="Y56" s="40" t="n"/>
      <c r="Z56" s="40" t="n"/>
      <c r="AA56" s="40" t="n"/>
      <c r="AB56" s="40" t="n"/>
      <c r="AC56" s="41" t="n"/>
      <c r="AD56" s="41" t="n"/>
      <c r="AE56" s="39" t="n"/>
      <c r="AF56" s="41" t="n"/>
      <c r="AG56" s="41" t="n"/>
      <c r="AH56" s="41" t="n"/>
      <c r="AI56" s="39" t="n"/>
      <c r="AJ56" s="39" t="n"/>
      <c r="AK56" s="41" t="n"/>
      <c r="AL56" s="41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2" t="str">
        <f>IF(B56="","",C56&amp;"|"&amp;B56)</f>
        <v/>
      </c>
      <c r="AY56" s="43" t="str">
        <f>IF(B56="","",COUNTIFS(PIER_FORCES!$O$9:$O$3008,46,PIER_FORCES!$P$9:$P$3008,1))</f>
        <v/>
      </c>
      <c r="AZ56" s="43" t="str">
        <f>IF(B56="","",COUNTIFS(PIER_FORCES!$O$9:$O$3008,46,PIER_FORCES!$P$9:$P$3008,2))</f>
        <v/>
      </c>
      <c r="BA56" s="44">
        <f>IF(N(AY56)=0,0,SUMPRODUCT(MAX((PIER_FORCES!$O$9:$O$3008=46)*(PIER_FORCES!$P$9:$P$3008=1)*PIER_FORCES!$R$9:$R$3008)))</f>
        <v>0</v>
      </c>
      <c r="BB56" s="44">
        <f>IF(N(AY56)=0,0,SUMPRODUCT(MAX((PIER_FORCES!$O$9:$O$3008=46)*(PIER_FORCES!$P$9:$P$3008=1)*PIER_FORCES!$S$9:$S$3008)))</f>
        <v>0</v>
      </c>
      <c r="BC56" s="44">
        <f>IF(N(AY56)=0,0,-SUMPRODUCT(MAX((PIER_FORCES!$O$9:$O$3008=46)*(PIER_FORCES!$P$9:$P$3008=1)*(-PIER_FORCES!$Q$9:$Q$3008)+(1-(PIER_FORCES!$O$9:$O$3008=46)*(PIER_FORCES!$P$9:$P$3008=1))*(-1E9))))</f>
        <v>0</v>
      </c>
      <c r="BD56" s="44">
        <f>IF(N(AY56)=0,0,SUMPRODUCT(MAX((PIER_FORCES!$O$9:$O$3008=46)*(PIER_FORCES!$P$9:$P$3008=1)*PIER_FORCES!$Q$9:$Q$3008+(1-(PIER_FORCES!$O$9:$O$3008=46)*(PIER_FORCES!$P$9:$P$3008=1))*(-1E9))))</f>
        <v>0</v>
      </c>
      <c r="BE56" s="44">
        <f>IF(N(AZ56)=0,BD56,SUMPRODUCT(MAX((PIER_FORCES!$O$9:$O$3008=46)*(PIER_FORCES!$P$9:$P$3008=2)*PIER_FORCES!$Q$9:$Q$3008+(1-(PIER_FORCES!$O$9:$O$3008=46)*(PIER_FORCES!$P$9:$P$3008=2))*(-1E9))))</f>
        <v>0</v>
      </c>
      <c r="BF56" s="44">
        <f>IF(N(AZ56)=0,0,SUMPRODUCT(MAX((PIER_FORCES!$O$9:$O$3008=46)*(PIER_FORCES!$P$9:$P$3008=2)*PIER_FORCES!$R$9:$R$3008)))</f>
        <v>0</v>
      </c>
      <c r="BG56" s="43">
        <f>IF(N(AY56)=0,0,SUMPRODUCT(MAX((PIER_FORCES!$O$9:$O$3008=46)*(PIER_FORCES!$P$9:$P$3008=1)*(ABS(PIER_FORCES!$R$9:$R$3008-BA56)&lt;0.000001)*PIER_FORCES!$T$9:$T$3008)))</f>
        <v>0</v>
      </c>
      <c r="BH56" s="45" t="str">
        <f>IF(N(BG56)=0,"",INDEX(PIER_FORCES!$D$9:$D$3008,BG56)&amp;" "&amp;INDEX(PIER_FORCES!$F$9:$F$3008,BG56)&amp;" / "&amp;INDEX(PIER_FORCES!$G$9:$G$3008,BG56))</f>
        <v/>
      </c>
      <c r="BI56" s="42" t="str">
        <f>IF(B56="","",IF(AND(C56&lt;&gt;"",OR(D56="X",D56="Y"),ISNUMBER(F56),N(F56)&gt;0),"SÍ","NO"))</f>
        <v/>
      </c>
      <c r="BJ56" s="42" t="str">
        <f>IF(BI56&lt;&gt;"SÍ","",IF(DATOS!$C$108="ETABS (PIER_FORCES)",IF(N(AY56)&gt;0,"ETABS","NO ESTÁ EN PIER_FORCES"),"CAPTURA"))</f>
        <v/>
      </c>
      <c r="BK56" s="46" t="str">
        <f>IF(BI56&lt;&gt;"SÍ","",IF(BJ56="ETABS",BA56,IF(BJ56="CAPTURA",N(AQ56),0)))</f>
        <v/>
      </c>
      <c r="BL56" s="46" t="str">
        <f>IF(BI56&lt;&gt;"SÍ","",IF(BJ56="ETABS",BB56,IF(BJ56="CAPTURA",N(AR56),0)))</f>
        <v/>
      </c>
      <c r="BM56" s="46" t="str">
        <f>IF(BI56&lt;&gt;"SÍ","",IF(BJ56="ETABS",BC56/DATOS!$C$89,IF(BJ56="CAPTURA",N(AS56),0)))</f>
        <v/>
      </c>
      <c r="BN56" s="44" t="str">
        <f>IF(BI56&lt;&gt;"SÍ","",IF(BJ56="ETABS",BC56,IF(BJ56="CAPTURA",IF(ISNUMBER(AU56),AU56,N(AS56)*DATOS!$C$89),0)))</f>
        <v/>
      </c>
      <c r="BO56" s="44" t="str">
        <f>IF(BI56&lt;&gt;"SÍ","",IF(BJ56="ETABS",MAX(BD56,BE56),IF(BJ56="CAPTURA",N(AT56),0)))</f>
        <v/>
      </c>
      <c r="BP56" s="44" t="str">
        <f>IF(BI56&lt;&gt;"SÍ","",IF(BJ56="ETABS",BE56,IF(BJ56="CAPTURA",IF(ISNUMBER(AV56),AV56,N(AT56)),0)))</f>
        <v/>
      </c>
      <c r="BQ56" s="44" t="str">
        <f>IF(BI56&lt;&gt;"SÍ","",IF(BJ56="ETABS",BF56,IF(BJ56="CAPTURA",N(AW56),0)))</f>
        <v/>
      </c>
      <c r="BR56" s="43" t="str">
        <f>IF(BI56&lt;&gt;"SÍ","",IF(BK56&gt;0,100*BQ56/BK56,0))</f>
        <v/>
      </c>
      <c r="BS56" s="44" t="str">
        <f>IF(BI56&lt;&gt;"SÍ","",IF(ISNUMBER(G56),G56,DATOS!$C$57))</f>
        <v/>
      </c>
      <c r="BT56" s="47" t="str">
        <f>IF(BI56&lt;&gt;"SÍ","",IF(ISNUMBER(H56),H56,DATOS!$C$58))</f>
        <v/>
      </c>
      <c r="BU56" s="43" t="str">
        <f>IF(BI56&lt;&gt;"SÍ","",IF(N(K56)&gt;0,1+IF(N(P56)&gt;0,1+IF(N(U56)&gt;0,1+IF(N(Z56)&gt;0,1,0),0),0),0))</f>
        <v/>
      </c>
      <c r="BV56" s="45" t="str">
        <f>IF(BI56&lt;&gt;"SÍ","",IF(AND(OR(BU56&lt;1,AND(N(J56)&gt;=0-0.001,J56+K56&lt;=F56+0.001,N(L56)&gt;=0,N(L56)+N(M56)&lt;=BS56+0.001,N(M56)&gt;0,OR(I56="PUERTA",I56="VENTANA"))),OR(BU56&lt;2,AND(N(O56)&gt;=(J56+K56)-0.001,O56+P56&lt;=F56+0.001,N(Q56)&gt;=0,N(Q56)+N(R56)&lt;=BS56+0.001,N(R56)&gt;0,OR(N56="PUERTA",N56="VENTANA"))),OR(BU56&lt;3,AND(N(T56)&gt;=(O56+P56)-0.001,T56+U56&lt;=F56+0.001,N(V56)&gt;=0,N(V56)+N(W56)&lt;=BS56+0.001,N(W56)&gt;0,OR(S56="PUERTA",S56="VENTANA"))),OR(BU56&lt;4,AND(N(Y56)&gt;=(T56+U56)-0.001,Y56+Z56&lt;=F56+0.001,N(AA56)&gt;=0,N(AA56)+N(AB56)&lt;=BS56+0.001,N(AB56)&gt;0,OR(X56="PUERTA",X56="VENTANA"))),(N(K56)&gt;0)+(N(P56)&gt;0)+(N(U56)&gt;0)+(N(Z56)&gt;0)=BU56),"CUMPLE","REVISAR VANOS: tipo, orden de izquierda a derecha, que quepan en L y en H"))</f>
        <v/>
      </c>
      <c r="BW56" s="44" t="str">
        <f>IF(BI56&lt;&gt;"SÍ","",MAX(0,IF(BU56&gt;=1,N(J56),F56)))</f>
        <v/>
      </c>
      <c r="BX56" s="44" t="str">
        <f>IF(BI56&lt;&gt;"SÍ","",MAX(0,IF(BU56&gt;=2,N(O56)-(N(J56)+N(K56)),IF(BU56=1,F56-(N(J56)+N(K56)),0))))</f>
        <v/>
      </c>
      <c r="BY56" s="44" t="str">
        <f>IF(BI56&lt;&gt;"SÍ","",MAX(0,IF(BU56&gt;=3,N(T56)-(N(O56)+N(P56)),IF(BU56=2,F56-(N(O56)+N(P56)),0))))</f>
        <v/>
      </c>
      <c r="BZ56" s="44" t="str">
        <f>IF(BI56&lt;&gt;"SÍ","",MAX(0,IF(BU56&gt;=4,N(Y56)-(N(T56)+N(U56)),IF(BU56=3,F56-(N(T56)+N(U56)),0))))</f>
        <v/>
      </c>
      <c r="CA56" s="44" t="str">
        <f>IF(BI56&lt;&gt;"SÍ","",MAX(0,IF(BU56=4,F56-(N(Y56)+N(Z56)),0)))</f>
        <v/>
      </c>
      <c r="CB56" s="46" t="str">
        <f>IF(BI56&lt;&gt;"SÍ","",SUMPRODUCT((BW56:CA56&gt;=DATOS!$C$72-0.0001)*BW56:CA56))</f>
        <v/>
      </c>
      <c r="CC56" s="43" t="str">
        <f>IF(BI56&lt;&gt;"SÍ","",SUMPRODUCT(--(BW56:CA56&gt;=DATOS!$C$72-0.0001)))</f>
        <v/>
      </c>
      <c r="CD56" s="44" t="str">
        <f>IF(BI56&lt;&gt;"SÍ","",SUM(BW56:CA56))</f>
        <v/>
      </c>
      <c r="CE56" s="43" t="str">
        <f>IF(BI56&lt;&gt;"SÍ","",BT56*CB56*100)</f>
        <v/>
      </c>
      <c r="CF56" s="43" t="str">
        <f>IF(BI56&lt;&gt;"SÍ","",BT56*CD56*100)</f>
        <v/>
      </c>
      <c r="CG56" s="47" t="str">
        <f>IF(BI56&lt;&gt;"SÍ","",BS56*100/BT56)</f>
        <v/>
      </c>
      <c r="CH56" s="45" t="str">
        <f>IF(BI56&lt;&gt;"SÍ","",IF(AND(OR(DATOS!$C$14="TIPO II",BT56&gt;=12),CG56&lt;=25),"CUMPLE","NO CUMPLE: "&amp;IF(AND(DATOS!$C$14="TIPO I",BT56&lt;12),"t &lt; 12 cm ","")&amp;IF(CG56&gt;25,"H/t &gt; 25","")))</f>
        <v/>
      </c>
      <c r="CI56" s="44" t="str">
        <f>IF(BI56&lt;&gt;"SÍ","",MIN(1.5*BS56,4))</f>
        <v/>
      </c>
      <c r="CJ56" s="43" t="str">
        <f>IF(BI56&lt;&gt;"SÍ","",SUMPRODUCT((BW56:CA56&gt;=2*DATOS!$C$59/100)*INT((BW56:CA56-DATOS!$C$59/100)/CI56-0.000001)*((BW56:CA56-DATOS!$C$59/100)&gt;0)))</f>
        <v/>
      </c>
      <c r="CK56" s="43" t="str">
        <f>IF(BI56&lt;&gt;"SÍ","",SUMPRODUCT((BW56:CA56&gt;0.0001)*1+(BW56:CA56&gt;=2*DATOS!$C$59/100)*1)+CJ56)</f>
        <v/>
      </c>
      <c r="CL56" s="44" t="str">
        <f>IF(BI56&lt;&gt;"SÍ","",IF(ISNUMBER(AC56),AC56,DATOS!$C$61)*INDEX(TABLAS!$D$6:$D$14,MATCH(IF(AD56&lt;&gt;"",AD56,DATOS!$C$62),TABLAS!$B$6:$B$14,0)))</f>
        <v/>
      </c>
      <c r="CM56" s="44" t="str">
        <f>IF(BI56&lt;&gt;"SÍ","",CK56*DATOS!$C$78+IF(CK56&gt;=2,2,CK56)*(CL56-DATOS!$C$78))</f>
        <v/>
      </c>
      <c r="CN56" s="47" t="str">
        <f>IF(BI56&lt;&gt;"SÍ","",MAX(BS56*100/6,40))</f>
        <v/>
      </c>
      <c r="CO56" s="48" t="str">
        <f>IF(BI56&lt;&gt;"SÍ","",IF(CG56&lt;=20,IF(E56="INTERIOR",0.7,0.6),MIN(IF(E56="INTERIOR",0.7,0.6),(1-2/24)*(1-(IF(E56="INTERIOR",0.8,1)*CG56/30)^2))))</f>
        <v/>
      </c>
      <c r="CP56" s="47" t="str">
        <f>IF(BI56&lt;&gt;"SÍ","",DATOS!$C$87*CO56*(DATOS!$C$33*CF56+CM56*DATOS!$C$48)/1000)</f>
        <v/>
      </c>
      <c r="CQ56" s="46" t="str">
        <f>IF(BI56&lt;&gt;"SÍ","",IF(CP56&gt;0,BO56/CP56,99))</f>
        <v/>
      </c>
      <c r="CR56" s="47" t="str">
        <f>IF(BI56&lt;&gt;"SÍ","",MAX(0,F56*100-DATOS!$C$59))</f>
        <v/>
      </c>
      <c r="CS56" s="47" t="str">
        <f>IF(BI56&lt;&gt;"SÍ","",MAX(0,F56*100-DATOS!$C$59/2))</f>
        <v/>
      </c>
      <c r="CT56" s="44" t="str">
        <f>IF(BI56&lt;&gt;"SÍ","",CL56*DATOS!$C$48*CR56/100000)</f>
        <v/>
      </c>
      <c r="CU56" s="44" t="str">
        <f>IF(BI56&lt;&gt;"SÍ","",IF(BN56&lt;0,0.8*CT56*MAX(0,1+BN56/(0.8*CM56*DATOS!$C$48/1000)),IF(BN56&lt;=CP56/3,0.8*CT56+0.3*BN56*CS56/100,(1.5*0.6*CT56+0.15*CP56*CS56/100)*MAX(0,1-BN56/CP56))))</f>
        <v/>
      </c>
      <c r="CV56" s="44" t="str">
        <f>IF(BI56&lt;&gt;"SÍ","",IF(BO56&lt;0,0.8*CT56*MAX(0,1+BO56/(0.8*CM56*DATOS!$C$48/1000)),IF(BO56&lt;=CP56/3,0.8*CT56+0.3*BO56*CS56/100,(1.5*0.6*CT56+0.15*CP56*CS56/100)*MAX(0,1-BO56/CP56))))</f>
        <v/>
      </c>
      <c r="CW56" s="46" t="str">
        <f>IF(BI56&lt;&gt;"SÍ","",MAX(0,MIN(CU56,CV56)))</f>
        <v/>
      </c>
      <c r="CX56" s="49" t="str">
        <f>IF(BI56&lt;&gt;"SÍ","",IF(CW56&gt;0,BL56/CW56,IF(BL56&gt;0,99,0)))</f>
        <v/>
      </c>
      <c r="CY56" s="44" t="str">
        <f>IF(BI56&lt;&gt;"SÍ","",IF(BW56&gt;0,MAX(1,MIN(1.5,1.5-0.625*(BS56/BW56-0.2))),0))</f>
        <v/>
      </c>
      <c r="CZ56" s="44" t="str">
        <f>IF(BI56&lt;&gt;"SÍ","",IF(BX56&gt;0,MAX(1,MIN(1.5,1.5-0.625*(BS56/BX56-0.2))),0))</f>
        <v/>
      </c>
      <c r="DA56" s="44" t="str">
        <f>IF(BI56&lt;&gt;"SÍ","",IF(BY56&gt;0,MAX(1,MIN(1.5,1.5-0.625*(BS56/BY56-0.2))),0))</f>
        <v/>
      </c>
      <c r="DB56" s="44" t="str">
        <f>IF(BI56&lt;&gt;"SÍ","",IF(BZ56&gt;0,MAX(1,MIN(1.5,1.5-0.625*(BS56/BZ56-0.2))),0))</f>
        <v/>
      </c>
      <c r="DC56" s="44" t="str">
        <f>IF(BI56&lt;&gt;"SÍ","",IF(CA56&gt;0,MAX(1,MIN(1.5,1.5-0.625*(BS56/CA56-0.2))),0))</f>
        <v/>
      </c>
      <c r="DD56" s="44" t="str">
        <f>IF(BI56&lt;&gt;"SÍ","",IF(OR(BW56&lt;DATOS!$C$72-0.0001,BM56&lt;0,CB56&lt;=0),0,MIN(DATOS!$C$86*(0.5*DATOS!$C$41*BT56*BW56*100+0.3*BM56*BW56/CB56*1000)*CY56,1.5*DATOS!$C$86*DATOS!$C$41*BT56*BW56*100*CY56)/1000))</f>
        <v/>
      </c>
      <c r="DE56" s="44" t="str">
        <f>IF(BI56&lt;&gt;"SÍ","",IF(OR(BX56&lt;DATOS!$C$72-0.0001,BM56&lt;0,CB56&lt;=0),0,MIN(DATOS!$C$86*(0.5*DATOS!$C$41*BT56*BX56*100+0.3*BM56*BX56/CB56*1000)*CZ56,1.5*DATOS!$C$86*DATOS!$C$41*BT56*BX56*100*CZ56)/1000))</f>
        <v/>
      </c>
      <c r="DF56" s="44" t="str">
        <f>IF(BI56&lt;&gt;"SÍ","",IF(OR(BY56&lt;DATOS!$C$72-0.0001,BM56&lt;0,CB56&lt;=0),0,MIN(DATOS!$C$86*(0.5*DATOS!$C$41*BT56*BY56*100+0.3*BM56*BY56/CB56*1000)*DA56,1.5*DATOS!$C$86*DATOS!$C$41*BT56*BY56*100*DA56)/1000))</f>
        <v/>
      </c>
      <c r="DG56" s="44" t="str">
        <f>IF(BI56&lt;&gt;"SÍ","",IF(OR(BZ56&lt;DATOS!$C$72-0.0001,BM56&lt;0,CB56&lt;=0),0,MIN(DATOS!$C$86*(0.5*DATOS!$C$41*BT56*BZ56*100+0.3*BM56*BZ56/CB56*1000)*DB56,1.5*DATOS!$C$86*DATOS!$C$41*BT56*BZ56*100*DB56)/1000))</f>
        <v/>
      </c>
      <c r="DH56" s="44" t="str">
        <f>IF(BI56&lt;&gt;"SÍ","",IF(OR(CA56&lt;DATOS!$C$72-0.0001,BM56&lt;0,CB56&lt;=0),0,MIN(DATOS!$C$86*(0.5*DATOS!$C$41*BT56*CA56*100+0.3*BM56*CA56/CB56*1000)*DC56,1.5*DATOS!$C$86*DATOS!$C$41*BT56*CA56*100*DC56)/1000))</f>
        <v/>
      </c>
      <c r="DI56" s="46" t="str">
        <f>IF(BI56&lt;&gt;"SÍ","",SUM(DD56:DH56))</f>
        <v/>
      </c>
      <c r="DJ56" s="48" t="str">
        <f>IF(BI56&lt;&gt;"SÍ","",IF(AE56="VARILLA EN JUNTAS",IF(ISNUMBER(AF56),AF56,2)*INDEX(TABLAS!$D$6:$D$14,MATCH(IF(AG56&lt;&gt;"",AG56,DATOS!$C$73),TABLAS!$B$6:$B$14,0)),IF(AE56="MALLA",IF(ISNUMBER(AF56),AF56,1)*INDEX(TABLAS!$D$19:$D$22,MATCH(IF(AG56&lt;&gt;"",AG56,DATOS!$C$74),TABLAS!$B$19:$B$22,0))/100,IF(AE56="ESCALERILLA",IF(ISNUMBER(AF56),AF56,2)*INDEX(TABLAS!$D$6:$D$14,MATCH(IF(AG56&lt;&gt;"",AG56,DATOS!$C$73),TABLAS!$B$6:$B$14,0)),0))))</f>
        <v/>
      </c>
      <c r="DK56" s="47" t="str">
        <f>IF(BI56&lt;&gt;"SÍ","",IF(OR(AE56="VARILLA EN JUNTAS",AE56="ESCALERILLA"),IF(ISNUMBER(AH56),AH56,2)*DATOS!$C$26,IF(AE56="MALLA",1,0)))</f>
        <v/>
      </c>
      <c r="DL56" s="44" t="str">
        <f>IF(BI56&lt;&gt;"SÍ","",IF(DK56&gt;0,DJ56/(DK56*BT56)*MIN(DATOS!$C$50,IF(AE56="MALLA",5000,6000)),0))</f>
        <v/>
      </c>
      <c r="DM56" s="44" t="str">
        <f>IF(BI56&lt;&gt;"SÍ","",IF(AE56="ESCALERILLA",0,MIN(DL56,0.1*DATOS!$C$33*DATOS!$C$24)))</f>
        <v/>
      </c>
      <c r="DN56" s="48" t="str">
        <f>IF(BI56&lt;&gt;"SÍ","",IF(AE56="MALLA",0.5,IF(DATOS!$C$33&lt;=60,0.55,IF(DATOS!$C$33&gt;=90,0.75,0.55+0.2*(DATOS!$C$33-60)/30))))</f>
        <v/>
      </c>
      <c r="DO56" s="48" t="str">
        <f>IF(BI56&lt;&gt;"SÍ","",1-DATOS!$C$91*DM56)</f>
        <v/>
      </c>
      <c r="DP56" s="44" t="str">
        <f>IF(BI56&lt;&gt;"SÍ","",IF(BW56&gt;0,IF(BS56/BW56&lt;=1,1.3,IF(BS56/BW56&gt;=1.5,1,1.3-0.6*(BS56/BW56-1))),0))</f>
        <v/>
      </c>
      <c r="DQ56" s="44" t="str">
        <f>IF(BI56&lt;&gt;"SÍ","",IF(BX56&gt;0,IF(BS56/BX56&lt;=1,1.3,IF(BS56/BX56&gt;=1.5,1,1.3-0.6*(BS56/BX56-1))),0))</f>
        <v/>
      </c>
      <c r="DR56" s="44" t="str">
        <f>IF(BI56&lt;&gt;"SÍ","",IF(BY56&gt;0,IF(BS56/BY56&lt;=1,1.3,IF(BS56/BY56&gt;=1.5,1,1.3-0.6*(BS56/BY56-1))),0))</f>
        <v/>
      </c>
      <c r="DS56" s="44" t="str">
        <f>IF(BI56&lt;&gt;"SÍ","",IF(BZ56&gt;0,IF(BS56/BZ56&lt;=1,1.3,IF(BS56/BZ56&gt;=1.5,1,1.3-0.6*(BS56/BZ56-1))),0))</f>
        <v/>
      </c>
      <c r="DT56" s="44" t="str">
        <f>IF(BI56&lt;&gt;"SÍ","",IF(CA56&gt;0,IF(BS56/CA56&lt;=1,1.3,IF(BS56/CA56&gt;=1.5,1,1.3-0.6*(BS56/CA56-1))),0))</f>
        <v/>
      </c>
      <c r="DU56" s="44" t="str">
        <f>IF(BI56&lt;&gt;"SÍ","",IF(OR(DM56&lt;=0,BW56&lt;DATOS!$C$72-0.0001),0,DATOS!$C$86*MAX(0,IF(BM56&gt;=0,DD56/(DATOS!$C$86*DM56*BT56*BW56*100/1000)*(DP56*DO56-1)+DN56,DO56*DN56))*DM56*BT56*BW56*100/1000))</f>
        <v/>
      </c>
      <c r="DV56" s="44" t="str">
        <f>IF(BI56&lt;&gt;"SÍ","",IF(OR(DM56&lt;=0,BX56&lt;DATOS!$C$72-0.0001),0,DATOS!$C$86*MAX(0,IF(BM56&gt;=0,DE56/(DATOS!$C$86*DM56*BT56*BX56*100/1000)*(DQ56*DO56-1)+DN56,DO56*DN56))*DM56*BT56*BX56*100/1000))</f>
        <v/>
      </c>
      <c r="DW56" s="44" t="str">
        <f>IF(BI56&lt;&gt;"SÍ","",IF(OR(DM56&lt;=0,BY56&lt;DATOS!$C$72-0.0001),0,DATOS!$C$86*MAX(0,IF(BM56&gt;=0,DF56/(DATOS!$C$86*DM56*BT56*BY56*100/1000)*(DR56*DO56-1)+DN56,DO56*DN56))*DM56*BT56*BY56*100/1000))</f>
        <v/>
      </c>
      <c r="DX56" s="44" t="str">
        <f>IF(BI56&lt;&gt;"SÍ","",IF(OR(DM56&lt;=0,BZ56&lt;DATOS!$C$72-0.0001),0,DATOS!$C$86*MAX(0,IF(BM56&gt;=0,DG56/(DATOS!$C$86*DM56*BT56*BZ56*100/1000)*(DS56*DO56-1)+DN56,DO56*DN56))*DM56*BT56*BZ56*100/1000))</f>
        <v/>
      </c>
      <c r="DY56" s="44" t="str">
        <f>IF(BI56&lt;&gt;"SÍ","",IF(OR(DM56&lt;=0,CA56&lt;DATOS!$C$72-0.0001),0,DATOS!$C$86*MAX(0,IF(BM56&gt;=0,DH56/(DATOS!$C$86*DM56*BT56*CA56*100/1000)*(DT56*DO56-1)+DN56,DO56*DN56))*DM56*BT56*CA56*100/1000))</f>
        <v/>
      </c>
      <c r="DZ56" s="46" t="str">
        <f>IF(BI56&lt;&gt;"SÍ","",SUM(DU56:DY56))</f>
        <v/>
      </c>
      <c r="EA56" s="45" t="str">
        <f>IF(BI56&lt;&gt;"SÍ","",IF(OR(AE56="",AE56="NINGUNO"),IF(DATOS!$C$41&gt;=10,"FALTA refuerzo horizontal: v'm ≥ 10 kg/cm² (6.5.2.2)",IF(AND(BM56&lt;0,BK56&gt;0),"FALTA: P en tensión, el refuerzo debe tomar todo el cortante (6.5.1.3)","—")),IF(AE56="ESCALERILLA","NO CUENTA: la escalerilla no se permite para cortante por sismo (6.5.3.1.2)",IF(AE56="MALLA",IF(AND(DL56&gt;=2.5,DL56&lt;=MAX(0.15*DATOS!$C$33*DATOS!$C$24,2.5)),"CUMPLE","NO CUMPLE: "&amp;IF(DL56&lt;2.5,"p_h·f_yh &lt; 2.5 (6.5.4.2.4)","p_h·f_yh &gt; 0.15·f'm·f_an (6.5.4.2.4)")),IF(AND(DK56&lt;=MIN(6*DATOS!$C$26,45),DL56&gt;=3,DL56&lt;=MIN(MAX(0.15*DATOS!$C$33*DATOS!$C$24,3),0.05*DATOS!$C$25/10*MIN(DATOS!$C$50,6000)/DK56),INDEX(TABLAS!$C$6:$C$14,MATCH(IF(AG56&lt;&gt;"",AG56,DATOS!$C$73),TABLAS!$B$6:$B$14,0))&gt;=0.35,INDEX(TABLAS!$C$6:$C$14,MATCH(IF(AG56&lt;&gt;"",AG56,DATOS!$C$73),TABLAS!$B$6:$B$14,0))&lt;=0.75*DATOS!$C$25/10),"CUMPLE","NO CUMPLE: "&amp;IF(DK56&gt;MIN(6*DATOS!$C$26,45),"s_h &gt; 6 hiladas o 45 cm (6.5.3.2.1) ","")&amp;IF(DL56&lt;3,"p_h·f_yh &lt; 3 (6.5.3.3.1) ","")&amp;IF(DL56&gt;MIN(MAX(0.15*DATOS!$C$33*DATOS!$C$24,3),0.05*DATOS!$C$25/10*MIN(DATOS!$C$50,6000)/DK56),"p_h·f_yh &gt; máximo (6.5.3.3.2) ","")&amp;IF(OR(INDEX(TABLAS!$C$6:$C$14,MATCH(IF(AG56&lt;&gt;"",AG56,DATOS!$C$73),TABLAS!$B$6:$B$14,0))&lt;0.35,INDEX(TABLAS!$C$6:$C$14,MATCH(IF(AG56&lt;&gt;"",AG56,DATOS!$C$73),TABLAS!$B$6:$B$14,0))&gt;0.75*DATOS!$C$25/10),"diámetro fuera de 3.5 mm a 0.75·h_j (4.2.2.2.1)",""))))))</f>
        <v/>
      </c>
      <c r="EB56" s="46" t="str">
        <f>IF(BI56&lt;&gt;"SÍ","",DI56+DZ56)</f>
        <v/>
      </c>
      <c r="EC56" s="50" t="str">
        <f>IF(BI56&lt;&gt;"SÍ","",IF(EB56&gt;0,BK56/EB56,IF(BK56&gt;0,99,0)))</f>
        <v/>
      </c>
      <c r="ED56" s="47" t="str">
        <f>IF(BI56&lt;&gt;"SÍ","",IF(CE56&lt;=0,-1,IF(BK56&lt;=DI56,0,IF(IF(BM56&gt;=0,IF((DATOS!$C$86*IF(AE56="MALLA",0.5,IF(DATOS!$C$33&lt;=60,0.55,IF(DATOS!$C$33&gt;=90,0.75,0.55+0.2*(DATOS!$C$33-60)/30)))*CE56/1000-DATOS!$C$91*SUMPRODUCT(DP56:DT56,DD56:DH56))&lt;=0,1E9,(BK56-SUMPRODUCT(DP56:DT56,DD56:DH56))/(DATOS!$C$86*IF(AE56="MALLA",0.5,IF(DATOS!$C$33&lt;=60,0.55,IF(DATOS!$C$33&gt;=90,0.75,0.55+0.2*(DATOS!$C$33-60)/30)))*CE56/1000-DATOS!$C$91*SUMPRODUCT(DP56:DT56,DD56:DH56))),IF((1-4*DATOS!$C$91*BK56*1000/(DATOS!$C$86*IF(AE56="MALLA",0.5,IF(DATOS!$C$33&lt;=60,0.55,IF(DATOS!$C$33&gt;=90,0.75,0.55+0.2*(DATOS!$C$33-60)/30)))*MAX(CE56,1)))&lt;0,1E9,(1-SQRT((1-4*DATOS!$C$91*BK56*1000/(DATOS!$C$86*IF(AE56="MALLA",0.5,IF(DATOS!$C$33&lt;=60,0.55,IF(DATOS!$C$33&gt;=90,0.75,0.55+0.2*(DATOS!$C$33-60)/30)))*MAX(CE56,1)))))/(2*DATOS!$C$91)))&gt;0.1*DATOS!$C$33*DATOS!$C$24+0.000001,-1,MAX(IF(AE56="MALLA",2.5,3),IF(BM56&gt;=0,IF((DATOS!$C$86*IF(AE56="MALLA",0.5,IF(DATOS!$C$33&lt;=60,0.55,IF(DATOS!$C$33&gt;=90,0.75,0.55+0.2*(DATOS!$C$33-60)/30)))*CE56/1000-DATOS!$C$91*SUMPRODUCT(DP56:DT56,DD56:DH56))&lt;=0,1E9,(BK56-SUMPRODUCT(DP56:DT56,DD56:DH56))/(DATOS!$C$86*IF(AE56="MALLA",0.5,IF(DATOS!$C$33&lt;=60,0.55,IF(DATOS!$C$33&gt;=90,0.75,0.55+0.2*(DATOS!$C$33-60)/30)))*CE56/1000-DATOS!$C$91*SUMPRODUCT(DP56:DT56,DD56:DH56))),IF((1-4*DATOS!$C$91*BK56*1000/(DATOS!$C$86*IF(AE56="MALLA",0.5,IF(DATOS!$C$33&lt;=60,0.55,IF(DATOS!$C$33&gt;=90,0.75,0.55+0.2*(DATOS!$C$33-60)/30)))*MAX(CE56,1)))&lt;0,1E9,(1-SQRT((1-4*DATOS!$C$91*BK56*1000/(DATOS!$C$86*IF(AE56="MALLA",0.5,IF(DATOS!$C$33&lt;=60,0.55,IF(DATOS!$C$33&gt;=90,0.75,0.55+0.2*(DATOS!$C$33-60)/30)))*MAX(CE56,1)))))/(2*DATOS!$C$91))))))))</f>
        <v/>
      </c>
      <c r="EE56" s="45" t="str">
        <f>IF(BI56&lt;&gt;"SÍ","",IF(ED56=0,"NO REQUIERE: V_mR ≥ V_u",IF(ED56&lt;0,"NO ALCANZA con refuerzo horizontal (haría falta más de 0.1·f'm·f_an efectivo): sube v'm con ensayes, el espesor o la longitud del muro",IF(AND(OR(AE56="VARILLA EN JUNTAS",AE56="MALLA"),LEFT(EA56,6)="CUMPLE",EC56&lt;=1),"YA LO TIENE (pide p_h·f_yh ≥ "&amp;TEXT(ED56,"0.0")&amp;" kg/cm²)","p_h·f_yh ≥ "&amp;TEXT(ED56,"0.0")&amp;" kg/cm² → "&amp;IF(AND(MIN(6,FLOOR(45/DATOS!$C$26,1),FLOOR((2*INDEX(TABLAS!$D$6:$D$14,MATCH("3/16 in",TABLAS!$B$6:$B$14,0)))*MIN(DATOS!$C$50,6000)/(BT56*DATOS!$C$26*MAX(ED56,0.001)),1))&gt;=1,((2*INDEX(TABLAS!$D$6:$D$14,MATCH("3/16 in",TABLAS!$B$6:$B$14,0)))*MIN(DATOS!$C$50,6000)/(MAX(MIN(6,FLOOR(45/DATOS!$C$26,1),FLOOR((2*INDEX(TABLAS!$D$6:$D$14,MATCH("3/16 in",TABLAS!$B$6:$B$14,0)))*MIN(DATOS!$C$50,6000)/(BT56*DATOS!$C$26*MAX(ED56,0.001)),1)),1)*DATOS!$C$26*BT56))&lt;=MIN(MAX(0.15*DATOS!$C$33*DATOS!$C$24,3),0.05*DATOS!$C$25/10*MIN(DATOS!$C$50,6000)/(MIN(6,FLOOR(45/DATOS!$C$26,1),FLOOR((2*INDEX(TABLAS!$D$6:$D$14,MATCH("3/16 in",TABLAS!$B$6:$B$14,0)))*MIN(DATOS!$C$50,6000)/(BT56*DATOS!$C$26*MAX(ED56,0.001)),1))*DATOS!$C$26))),"2 alambres de 3/16"" por junta cada "&amp;MIN(6,FLOOR(45/DATOS!$C$26,1),FLOOR((2*INDEX(TABLAS!$D$6:$D$14,MATCH("3/16 in",TABLAS!$B$6:$B$14,0)))*MIN(DATOS!$C$50,6000)/(BT56*DATOS!$C$26*MAX(ED56,0.001)),1))&amp;" hilada(s) (p_h·f_yh = "&amp;TEXT(((2*INDEX(TABLAS!$D$6:$D$14,MATCH("3/16 in",TABLAS!$B$6:$B$14,0)))*MIN(DATOS!$C$50,6000)/(MAX(MIN(6,FLOOR(45/DATOS!$C$26,1),FLOOR((2*INDEX(TABLAS!$D$6:$D$14,MATCH("3/16 in",TABLAS!$B$6:$B$14,0)))*MIN(DATOS!$C$50,6000)/(BT56*DATOS!$C$26*MAX(ED56,0.001)),1)),1)*DATOS!$C$26*BT56)),"0.00")&amp;")",IF(AND(MIN(6,FLOOR(45/DATOS!$C$26,1),FLOOR((2*INDEX(TABLAS!$D$6:$D$14,MATCH("5/32 in",TABLAS!$B$6:$B$14,0)))*MIN(DATOS!$C$50,6000)/(BT56*DATOS!$C$26*MAX(ED56,0.001)),1))&gt;=1,((2*INDEX(TABLAS!$D$6:$D$14,MATCH("5/32 in",TABLAS!$B$6:$B$14,0)))*MIN(DATOS!$C$50,6000)/(MAX(MIN(6,FLOOR(45/DATOS!$C$26,1),FLOOR((2*INDEX(TABLAS!$D$6:$D$14,MATCH("5/32 in",TABLAS!$B$6:$B$14,0)))*MIN(DATOS!$C$50,6000)/(BT56*DATOS!$C$26*MAX(ED56,0.001)),1)),1)*DATOS!$C$26*BT56))&lt;=MIN(MAX(0.15*DATOS!$C$33*DATOS!$C$24,3),0.05*DATOS!$C$25/10*MIN(DATOS!$C$50,6000)/(MIN(6,FLOOR(45/DATOS!$C$26,1),FLOOR((2*INDEX(TABLAS!$D$6:$D$14,MATCH("5/32 in",TABLAS!$B$6:$B$14,0)))*MIN(DATOS!$C$50,6000)/(BT56*DATOS!$C$26*MAX(ED56,0.001)),1))*DATOS!$C$26))),"2 alambres de 5/32"" por junta cada "&amp;MIN(6,FLOOR(45/DATOS!$C$26,1),FLOOR((2*INDEX(TABLAS!$D$6:$D$14,MATCH("5/32 in",TABLAS!$B$6:$B$14,0)))*MIN(DATOS!$C$50,6000)/(BT56*DATOS!$C$26*MAX(ED56,0.001)),1))&amp;" hilada(s) (p_h·f_yh = "&amp;TEXT(((2*INDEX(TABLAS!$D$6:$D$14,MATCH("5/32 in",TABLAS!$B$6:$B$14,0)))*MIN(DATOS!$C$50,6000)/(MAX(MIN(6,FLOOR(45/DATOS!$C$26,1),FLOOR((2*INDEX(TABLAS!$D$6:$D$14,MATCH("5/32 in",TABLAS!$B$6:$B$14,0)))*MIN(DATOS!$C$50,6000)/(BT56*DATOS!$C$26*MAX(ED56,0.001)),1)),1)*DATOS!$C$26*BT56)),"0.00")&amp;")",IF(AND(MIN(6,FLOOR(45/DATOS!$C$26,1),FLOOR((1*INDEX(TABLAS!$D$6:$D$14,MATCH("3/16 in",TABLAS!$B$6:$B$14,0)))*MIN(DATOS!$C$50,6000)/(BT56*DATOS!$C$26*MAX(ED56,0.001)),1))&gt;=1,((1*INDEX(TABLAS!$D$6:$D$14,MATCH("3/16 in",TABLAS!$B$6:$B$14,0)))*MIN(DATOS!$C$50,6000)/(MAX(MIN(6,FLOOR(45/DATOS!$C$26,1),FLOOR((1*INDEX(TABLAS!$D$6:$D$14,MATCH("3/16 in",TABLAS!$B$6:$B$14,0)))*MIN(DATOS!$C$50,6000)/(BT56*DATOS!$C$26*MAX(ED56,0.001)),1)),1)*DATOS!$C$26*BT56))&lt;=MIN(MAX(0.15*DATOS!$C$33*DATOS!$C$24,3),0.05*DATOS!$C$25/10*MIN(DATOS!$C$50,6000)/(MIN(6,FLOOR(45/DATOS!$C$26,1),FLOOR((1*INDEX(TABLAS!$D$6:$D$14,MATCH("3/16 in",TABLAS!$B$6:$B$14,0)))*MIN(DATOS!$C$50,6000)/(BT56*DATOS!$C$26*MAX(ED56,0.001)),1))*DATOS!$C$26))),"1 alambre de 3/16"" por junta cada "&amp;MIN(6,FLOOR(45/DATOS!$C$26,1),FLOOR((1*INDEX(TABLAS!$D$6:$D$14,MATCH("3/16 in",TABLAS!$B$6:$B$14,0)))*MIN(DATOS!$C$50,6000)/(BT56*DATOS!$C$26*MAX(ED56,0.001)),1))&amp;" hilada(s) (p_h·f_yh = "&amp;TEXT(((1*INDEX(TABLAS!$D$6:$D$14,MATCH("3/16 in",TABLAS!$B$6:$B$14,0)))*MIN(DATOS!$C$50,6000)/(MAX(MIN(6,FLOOR(45/DATOS!$C$26,1),FLOOR((1*INDEX(TABLAS!$D$6:$D$14,MATCH("3/16 in",TABLAS!$B$6:$B$14,0)))*MIN(DATOS!$C$50,6000)/(BT56*DATOS!$C$26*MAX(ED56,0.001)),1)),1)*DATOS!$C$26*BT56)),"0.00")&amp;")",IF(AND(MIN(6,FLOOR(45/DATOS!$C$26,1),FLOOR((1*INDEX(TABLAS!$D$6:$D$14,MATCH("5/32 in",TABLAS!$B$6:$B$14,0)))*MIN(DATOS!$C$50,6000)/(BT56*DATOS!$C$26*MAX(ED56,0.001)),1))&gt;=1,((1*INDEX(TABLAS!$D$6:$D$14,MATCH("5/32 in",TABLAS!$B$6:$B$14,0)))*MIN(DATOS!$C$50,6000)/(MAX(MIN(6,FLOOR(45/DATOS!$C$26,1),FLOOR((1*INDEX(TABLAS!$D$6:$D$14,MATCH("5/32 in",TABLAS!$B$6:$B$14,0)))*MIN(DATOS!$C$50,6000)/(BT56*DATOS!$C$26*MAX(ED56,0.001)),1)),1)*DATOS!$C$26*BT56))&lt;=MIN(MAX(0.15*DATOS!$C$33*DATOS!$C$24,3),0.05*DATOS!$C$25/10*MIN(DATOS!$C$50,6000)/(MIN(6,FLOOR(45/DATOS!$C$26,1),FLOOR((1*INDEX(TABLAS!$D$6:$D$14,MATCH("5/32 in",TABLAS!$B$6:$B$14,0)))*MIN(DATOS!$C$50,6000)/(BT56*DATOS!$C$26*MAX(ED56,0.001)),1))*DATOS!$C$26))),"1 alambre de 5/32"" por junta cada "&amp;MIN(6,FLOOR(45/DATOS!$C$26,1),FLOOR((1*INDEX(TABLAS!$D$6:$D$14,MATCH("5/32 in",TABLAS!$B$6:$B$14,0)))*MIN(DATOS!$C$50,6000)/(BT56*DATOS!$C$26*MAX(ED56,0.001)),1))&amp;" hilada(s) (p_h·f_yh = "&amp;TEXT(((1*INDEX(TABLAS!$D$6:$D$14,MATCH("5/32 in",TABLAS!$B$6:$B$14,0)))*MIN(DATOS!$C$50,6000)/(MAX(MIN(6,FLOOR(45/DATOS!$C$26,1),FLOOR((1*INDEX(TABLAS!$D$6:$D$14,MATCH("5/32 in",TABLAS!$B$6:$B$14,0)))*MIN(DATOS!$C$50,6000)/(BT56*DATOS!$C$26*MAX(ED56,0.001)),1)),1)*DATOS!$C$26*BT56)),"0.00")&amp;")","ninguna combinación de 1 o 2 alambres por junta queda entre el mínimo y el máximo: revisa con malla (6.5.4)"))))))))</f>
        <v/>
      </c>
      <c r="EF56" s="43" t="str">
        <f>IF(BI56&lt;&gt;"SÍ","",IF(AI56="SÍ",N(AK56)*N(AL56)^3/12,0))</f>
        <v/>
      </c>
      <c r="EG56" s="48" t="str">
        <f>IF(BI56&lt;&gt;"SÍ","",IF(AND(AI56="SÍ",N(AM56)&gt;0),MIN(1,F56/AM56),0))</f>
        <v/>
      </c>
      <c r="EH56" s="47" t="str">
        <f>IF(BI56&lt;&gt;"SÍ","",IF(AI56="SÍ",BP56*1000/(BT56*F56*100)*BT56*(EG56^4-4*EG56^3+8*EG56),0))</f>
        <v/>
      </c>
      <c r="EI56" s="48" t="str">
        <f>IF(BI56&lt;&gt;"SÍ","",IF(AND(AI56="SÍ",EH56&gt;0),EH56/(EH56+5*N(AN56)*10),0))</f>
        <v/>
      </c>
      <c r="EJ56" s="44" t="str">
        <f>IF(BI56&lt;&gt;"SÍ","",IF(AND(AI56="SÍ",EI56&gt;0,EF56&gt;0),(DATOS!$C$43*BT56*(AM56*100)^3/(DATOS!$C$53*EF56*EI56))^0.25,0))</f>
        <v/>
      </c>
      <c r="EK56" s="44" t="str">
        <f>IF(BI56&lt;&gt;"SÍ","",IF(AI56&lt;&gt;"SÍ",0,IF(N(AM56)&lt;=F56,1,IF(MIN(1,N(AO56)/((AM56-F56)/2))&lt;=0.5,0.7+0.6*MIN(1,N(AO56)/((AM56-F56)/2)),1.5-MIN(1,N(AO56)/((AM56-F56)/2))))))</f>
        <v/>
      </c>
      <c r="EL56" s="44" t="str">
        <f>IF(BI56&lt;&gt;"SÍ","",IF(AI56&lt;&gt;"SÍ",0,MAX(1,IF(EG56&gt;=1,(1.6*EJ56-3.9),IF(EG56&lt;0.9,((3.2*EJ56-7.8)*EK56),((3.2*EJ56-7.8)*EK56)+((1.6*EJ56-3.9)-((3.2*EJ56-7.8)*EK56))*(EG56-0.9)/0.1)))))</f>
        <v/>
      </c>
      <c r="EM56" s="47" t="str">
        <f>IF(BI56&lt;&gt;"SÍ","",IF(AI56="SÍ",EL56*BP56*1000/(BT56*F56*100),0))</f>
        <v/>
      </c>
      <c r="EN56" s="47" t="str">
        <f>IF(BI56&lt;&gt;"SÍ","",IF(AND(AI56="SÍ",N(AL56)&gt;0),AM56*100/AL56,0))</f>
        <v/>
      </c>
      <c r="EO56" s="47" t="str">
        <f>IF(BI56&lt;&gt;"SÍ","",IF(AI56="SÍ",(1/15*DATOS!$C$53*N(AK56)/MAX((IF(ISNUMBER(AP56),AP56,BP56/DATOS!$C$90)*1000/(BT56*F56*100)*BT56*(EG56^4-4*EG56^3+8*EG56))+5*N(AN56)/DATOS!$C$90*10,0.001))^(1/3),0))</f>
        <v/>
      </c>
      <c r="EP56" s="45" t="str">
        <f>IF(BI56&lt;&gt;"SÍ","",IF(AI56&lt;&gt;"SÍ","—",IF(OR(N(AK56)&lt;=0,N(AL56)&lt;=0,N(AM56)&lt;=0),"REVISAR: faltan b, h o L_v de la viga",IF(AND(EM56&lt;=DATOS!$C$87*DATOS!$C$33,EN56&lt;=14,N(AL56)&gt;=25,EN56&lt;=EO56),IF(BS56/F56&lt;0.6,"PENDIENTE: H/L &lt; 0.6, falta el análisis de interacción muro–viga (4.1.18.2.1); f_CM es estimado","CUMPLE"),"NO CUMPLE: "&amp;IF(EM56&gt;DATOS!$C$87*DATOS!$C$33,"f_CM &gt; F_R·f'm ","")&amp;IF(EN56&gt;14,"L_v/h_v &gt; 14 ","")&amp;IF(N(AL56)&lt;25,"h_v &lt; 25 cm ","")&amp;IF(EN56&gt;EO56,"flecha (4.1.18.3)","")))))</f>
        <v/>
      </c>
      <c r="EQ56" s="44" t="str">
        <f>IF(BI56&lt;&gt;"SÍ","",MAX(0,F56*BS56-(N(K56)*N(M56)+N(P56)*N(R56)+N(U56)*N(W56)+N(Z56)*N(AB56))-CK56*DATOS!$C$59/100*BS56))</f>
        <v/>
      </c>
      <c r="ER56" s="48" t="str">
        <f>IF(BI56&lt;&gt;"SÍ","",CK56*DATOS!$C$59*DATOS!$C$60/10000*BS56)</f>
        <v/>
      </c>
      <c r="ES56" s="47" t="str">
        <f>IF(BI56&lt;&gt;"SÍ","",CK56*(DATOS!$C$61*(BS56+0.6)*INDEX(TABLAS!$E$6:$E$14,MATCH(DATOS!$C$62,TABLAS!$B$6:$B$14,0))+(2*ROUNDUP(CN56/DATOS!$C$65,0)+ROUNDUP(MAX(0,BS56*100-2*CN56)/DATOS!$C$64,0))*((2*(DATOS!$C$60+DATOS!$C$59-4*(DATOS!$C$66-INDEX(TABLAS!$C$6:$C$14,MATCH(DATOS!$C$63,TABLAS!$B$6:$B$14,0))))+15)/100)*INDEX(TABLAS!$E$6:$E$14,MATCH(DATOS!$C$63,TABLAS!$B$6:$B$14,0))))</f>
        <v/>
      </c>
      <c r="ET56" s="47" t="str">
        <f>IF(BI56&lt;&gt;"SÍ","",IF(OR(AE56="VARILLA EN JUNTAS",AE56="ESCALERILLA"),INT(BS56*100/MAX(DK56,1))*IF(ISNUMBER(AF56),AF56,2)*CB56*INDEX(TABLAS!$E$6:$E$14,MATCH(IF(AG56&lt;&gt;"",AG56,DATOS!$C$73),TABLAS!$B$6:$B$14,0)),IF(AE56="MALLA",IF(ISNUMBER(AF56),AF56,1)*CB56*BS56*INDEX(TABLAS!$E$19:$E$22,MATCH(IF(AG56&lt;&gt;"",AG56,DATOS!$C$74),TABLAS!$B$19:$B$22,0)),0)))</f>
        <v/>
      </c>
      <c r="EU56" s="45" t="str">
        <f>IF(BI56&lt;&gt;"SÍ","",""&amp;IF(BJ56="NO ESTÁ EN PIER_FORCES","sin fuerzas en PIER_FORCES; ","")&amp;IF(BV56&lt;&gt;"CUMPLE","vanos; ","")&amp;IF(LEFT(CH56,2)="NO","espesor o esbeltez; ","")&amp;IF(CQ56&gt;1,"compresión; ","")&amp;IF(CX56&gt;1,"flexión; ","")&amp;IF(CB56&lt;=0,"sin tramos de muro (todos son machones menores que L mín.: diséñalos como columnas o baja L mín.); ",IF(EC56&gt;1,"cortante; ",""))&amp;IF(OR(LEFT(EA56,2)="NO",LEFT(EA56,5)="FALTA"),"refuerzo horizontal; ","")&amp;IF(OR(LEFT(EP56,2)="NO",LEFT(EP56,7)="REVISAR"),"muro sobre viga; ","")&amp;IF(LEFT(DATOS!$C$81,2)="NO","castillo típico; ","")&amp;IF(LEFT(DATOS!$C$82,2)="NO","dala típica; ","")&amp;IF(AND(BT56&lt;&gt;DATOS!$C$58,DATOS!$C$60&lt;BT56),"castillo más angosto que el muro; ",""))</f>
        <v/>
      </c>
      <c r="EV56" s="45" t="str">
        <f>IF(BI56&lt;&gt;"SÍ","",""&amp;IF(LEFT(EP56,9)="PENDIENTE","análisis muro–viga (H/L &lt; 0.6); ","")&amp;IF(BR56&gt;50,"V_u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6" s="51" t="str">
        <f>IF(BI56&lt;&gt;"SÍ","",IF(EU56&lt;&gt;"","NO CUMPLE: "&amp;LEFT(EU56,LEN(EU56)-2),IF(EV56&lt;&gt;"","CUMPLE — PENDIENTE: "&amp;LEFT(EV56,LEN(EV56)-2),"CUMPLE")))</f>
        <v/>
      </c>
      <c r="EX56" s="52" t="n"/>
    </row>
    <row r="57" ht="30" customHeight="1">
      <c r="A57" s="38" t="str">
        <f>IF(B57="","",ROW()-10)</f>
        <v/>
      </c>
      <c r="B57" s="28" t="n"/>
      <c r="C57" s="39" t="n"/>
      <c r="D57" s="39" t="n"/>
      <c r="E57" s="39" t="n"/>
      <c r="F57" s="40" t="n"/>
      <c r="G57" s="40" t="n"/>
      <c r="H57" s="41" t="n"/>
      <c r="I57" s="39" t="n"/>
      <c r="J57" s="40" t="n"/>
      <c r="K57" s="40" t="n"/>
      <c r="L57" s="40" t="n"/>
      <c r="M57" s="40" t="n"/>
      <c r="N57" s="39" t="n"/>
      <c r="O57" s="40" t="n"/>
      <c r="P57" s="40" t="n"/>
      <c r="Q57" s="40" t="n"/>
      <c r="R57" s="40" t="n"/>
      <c r="S57" s="39" t="n"/>
      <c r="T57" s="40" t="n"/>
      <c r="U57" s="40" t="n"/>
      <c r="V57" s="40" t="n"/>
      <c r="W57" s="40" t="n"/>
      <c r="X57" s="39" t="n"/>
      <c r="Y57" s="40" t="n"/>
      <c r="Z57" s="40" t="n"/>
      <c r="AA57" s="40" t="n"/>
      <c r="AB57" s="40" t="n"/>
      <c r="AC57" s="41" t="n"/>
      <c r="AD57" s="41" t="n"/>
      <c r="AE57" s="39" t="n"/>
      <c r="AF57" s="41" t="n"/>
      <c r="AG57" s="41" t="n"/>
      <c r="AH57" s="41" t="n"/>
      <c r="AI57" s="39" t="n"/>
      <c r="AJ57" s="39" t="n"/>
      <c r="AK57" s="41" t="n"/>
      <c r="AL57" s="41" t="n"/>
      <c r="AM57" s="40" t="n"/>
      <c r="AN57" s="40" t="n"/>
      <c r="AO57" s="40" t="n"/>
      <c r="AP57" s="40" t="n"/>
      <c r="AQ57" s="40" t="n"/>
      <c r="AR57" s="40" t="n"/>
      <c r="AS57" s="40" t="n"/>
      <c r="AT57" s="40" t="n"/>
      <c r="AU57" s="40" t="n"/>
      <c r="AV57" s="40" t="n"/>
      <c r="AW57" s="40" t="n"/>
      <c r="AX57" s="42" t="str">
        <f>IF(B57="","",C57&amp;"|"&amp;B57)</f>
        <v/>
      </c>
      <c r="AY57" s="43" t="str">
        <f>IF(B57="","",COUNTIFS(PIER_FORCES!$O$9:$O$3008,47,PIER_FORCES!$P$9:$P$3008,1))</f>
        <v/>
      </c>
      <c r="AZ57" s="43" t="str">
        <f>IF(B57="","",COUNTIFS(PIER_FORCES!$O$9:$O$3008,47,PIER_FORCES!$P$9:$P$3008,2))</f>
        <v/>
      </c>
      <c r="BA57" s="44">
        <f>IF(N(AY57)=0,0,SUMPRODUCT(MAX((PIER_FORCES!$O$9:$O$3008=47)*(PIER_FORCES!$P$9:$P$3008=1)*PIER_FORCES!$R$9:$R$3008)))</f>
        <v>0</v>
      </c>
      <c r="BB57" s="44">
        <f>IF(N(AY57)=0,0,SUMPRODUCT(MAX((PIER_FORCES!$O$9:$O$3008=47)*(PIER_FORCES!$P$9:$P$3008=1)*PIER_FORCES!$S$9:$S$3008)))</f>
        <v>0</v>
      </c>
      <c r="BC57" s="44">
        <f>IF(N(AY57)=0,0,-SUMPRODUCT(MAX((PIER_FORCES!$O$9:$O$3008=47)*(PIER_FORCES!$P$9:$P$3008=1)*(-PIER_FORCES!$Q$9:$Q$3008)+(1-(PIER_FORCES!$O$9:$O$3008=47)*(PIER_FORCES!$P$9:$P$3008=1))*(-1E9))))</f>
        <v>0</v>
      </c>
      <c r="BD57" s="44">
        <f>IF(N(AY57)=0,0,SUMPRODUCT(MAX((PIER_FORCES!$O$9:$O$3008=47)*(PIER_FORCES!$P$9:$P$3008=1)*PIER_FORCES!$Q$9:$Q$3008+(1-(PIER_FORCES!$O$9:$O$3008=47)*(PIER_FORCES!$P$9:$P$3008=1))*(-1E9))))</f>
        <v>0</v>
      </c>
      <c r="BE57" s="44">
        <f>IF(N(AZ57)=0,BD57,SUMPRODUCT(MAX((PIER_FORCES!$O$9:$O$3008=47)*(PIER_FORCES!$P$9:$P$3008=2)*PIER_FORCES!$Q$9:$Q$3008+(1-(PIER_FORCES!$O$9:$O$3008=47)*(PIER_FORCES!$P$9:$P$3008=2))*(-1E9))))</f>
        <v>0</v>
      </c>
      <c r="BF57" s="44">
        <f>IF(N(AZ57)=0,0,SUMPRODUCT(MAX((PIER_FORCES!$O$9:$O$3008=47)*(PIER_FORCES!$P$9:$P$3008=2)*PIER_FORCES!$R$9:$R$3008)))</f>
        <v>0</v>
      </c>
      <c r="BG57" s="43">
        <f>IF(N(AY57)=0,0,SUMPRODUCT(MAX((PIER_FORCES!$O$9:$O$3008=47)*(PIER_FORCES!$P$9:$P$3008=1)*(ABS(PIER_FORCES!$R$9:$R$3008-BA57)&lt;0.000001)*PIER_FORCES!$T$9:$T$3008)))</f>
        <v>0</v>
      </c>
      <c r="BH57" s="45" t="str">
        <f>IF(N(BG57)=0,"",INDEX(PIER_FORCES!$D$9:$D$3008,BG57)&amp;" "&amp;INDEX(PIER_FORCES!$F$9:$F$3008,BG57)&amp;" / "&amp;INDEX(PIER_FORCES!$G$9:$G$3008,BG57))</f>
        <v/>
      </c>
      <c r="BI57" s="42" t="str">
        <f>IF(B57="","",IF(AND(C57&lt;&gt;"",OR(D57="X",D57="Y"),ISNUMBER(F57),N(F57)&gt;0),"SÍ","NO"))</f>
        <v/>
      </c>
      <c r="BJ57" s="42" t="str">
        <f>IF(BI57&lt;&gt;"SÍ","",IF(DATOS!$C$108="ETABS (PIER_FORCES)",IF(N(AY57)&gt;0,"ETABS","NO ESTÁ EN PIER_FORCES"),"CAPTURA"))</f>
        <v/>
      </c>
      <c r="BK57" s="46" t="str">
        <f>IF(BI57&lt;&gt;"SÍ","",IF(BJ57="ETABS",BA57,IF(BJ57="CAPTURA",N(AQ57),0)))</f>
        <v/>
      </c>
      <c r="BL57" s="46" t="str">
        <f>IF(BI57&lt;&gt;"SÍ","",IF(BJ57="ETABS",BB57,IF(BJ57="CAPTURA",N(AR57),0)))</f>
        <v/>
      </c>
      <c r="BM57" s="46" t="str">
        <f>IF(BI57&lt;&gt;"SÍ","",IF(BJ57="ETABS",BC57/DATOS!$C$89,IF(BJ57="CAPTURA",N(AS57),0)))</f>
        <v/>
      </c>
      <c r="BN57" s="44" t="str">
        <f>IF(BI57&lt;&gt;"SÍ","",IF(BJ57="ETABS",BC57,IF(BJ57="CAPTURA",IF(ISNUMBER(AU57),AU57,N(AS57)*DATOS!$C$89),0)))</f>
        <v/>
      </c>
      <c r="BO57" s="44" t="str">
        <f>IF(BI57&lt;&gt;"SÍ","",IF(BJ57="ETABS",MAX(BD57,BE57),IF(BJ57="CAPTURA",N(AT57),0)))</f>
        <v/>
      </c>
      <c r="BP57" s="44" t="str">
        <f>IF(BI57&lt;&gt;"SÍ","",IF(BJ57="ETABS",BE57,IF(BJ57="CAPTURA",IF(ISNUMBER(AV57),AV57,N(AT57)),0)))</f>
        <v/>
      </c>
      <c r="BQ57" s="44" t="str">
        <f>IF(BI57&lt;&gt;"SÍ","",IF(BJ57="ETABS",BF57,IF(BJ57="CAPTURA",N(AW57),0)))</f>
        <v/>
      </c>
      <c r="BR57" s="43" t="str">
        <f>IF(BI57&lt;&gt;"SÍ","",IF(BK57&gt;0,100*BQ57/BK57,0))</f>
        <v/>
      </c>
      <c r="BS57" s="44" t="str">
        <f>IF(BI57&lt;&gt;"SÍ","",IF(ISNUMBER(G57),G57,DATOS!$C$57))</f>
        <v/>
      </c>
      <c r="BT57" s="47" t="str">
        <f>IF(BI57&lt;&gt;"SÍ","",IF(ISNUMBER(H57),H57,DATOS!$C$58))</f>
        <v/>
      </c>
      <c r="BU57" s="43" t="str">
        <f>IF(BI57&lt;&gt;"SÍ","",IF(N(K57)&gt;0,1+IF(N(P57)&gt;0,1+IF(N(U57)&gt;0,1+IF(N(Z57)&gt;0,1,0),0),0),0))</f>
        <v/>
      </c>
      <c r="BV57" s="45" t="str">
        <f>IF(BI57&lt;&gt;"SÍ","",IF(AND(OR(BU57&lt;1,AND(N(J57)&gt;=0-0.001,J57+K57&lt;=F57+0.001,N(L57)&gt;=0,N(L57)+N(M57)&lt;=BS57+0.001,N(M57)&gt;0,OR(I57="PUERTA",I57="VENTANA"))),OR(BU57&lt;2,AND(N(O57)&gt;=(J57+K57)-0.001,O57+P57&lt;=F57+0.001,N(Q57)&gt;=0,N(Q57)+N(R57)&lt;=BS57+0.001,N(R57)&gt;0,OR(N57="PUERTA",N57="VENTANA"))),OR(BU57&lt;3,AND(N(T57)&gt;=(O57+P57)-0.001,T57+U57&lt;=F57+0.001,N(V57)&gt;=0,N(V57)+N(W57)&lt;=BS57+0.001,N(W57)&gt;0,OR(S57="PUERTA",S57="VENTANA"))),OR(BU57&lt;4,AND(N(Y57)&gt;=(T57+U57)-0.001,Y57+Z57&lt;=F57+0.001,N(AA57)&gt;=0,N(AA57)+N(AB57)&lt;=BS57+0.001,N(AB57)&gt;0,OR(X57="PUERTA",X57="VENTANA"))),(N(K57)&gt;0)+(N(P57)&gt;0)+(N(U57)&gt;0)+(N(Z57)&gt;0)=BU57),"CUMPLE","REVISAR VANOS: tipo, orden de izquierda a derecha, que quepan en L y en H"))</f>
        <v/>
      </c>
      <c r="BW57" s="44" t="str">
        <f>IF(BI57&lt;&gt;"SÍ","",MAX(0,IF(BU57&gt;=1,N(J57),F57)))</f>
        <v/>
      </c>
      <c r="BX57" s="44" t="str">
        <f>IF(BI57&lt;&gt;"SÍ","",MAX(0,IF(BU57&gt;=2,N(O57)-(N(J57)+N(K57)),IF(BU57=1,F57-(N(J57)+N(K57)),0))))</f>
        <v/>
      </c>
      <c r="BY57" s="44" t="str">
        <f>IF(BI57&lt;&gt;"SÍ","",MAX(0,IF(BU57&gt;=3,N(T57)-(N(O57)+N(P57)),IF(BU57=2,F57-(N(O57)+N(P57)),0))))</f>
        <v/>
      </c>
      <c r="BZ57" s="44" t="str">
        <f>IF(BI57&lt;&gt;"SÍ","",MAX(0,IF(BU57&gt;=4,N(Y57)-(N(T57)+N(U57)),IF(BU57=3,F57-(N(T57)+N(U57)),0))))</f>
        <v/>
      </c>
      <c r="CA57" s="44" t="str">
        <f>IF(BI57&lt;&gt;"SÍ","",MAX(0,IF(BU57=4,F57-(N(Y57)+N(Z57)),0)))</f>
        <v/>
      </c>
      <c r="CB57" s="46" t="str">
        <f>IF(BI57&lt;&gt;"SÍ","",SUMPRODUCT((BW57:CA57&gt;=DATOS!$C$72-0.0001)*BW57:CA57))</f>
        <v/>
      </c>
      <c r="CC57" s="43" t="str">
        <f>IF(BI57&lt;&gt;"SÍ","",SUMPRODUCT(--(BW57:CA57&gt;=DATOS!$C$72-0.0001)))</f>
        <v/>
      </c>
      <c r="CD57" s="44" t="str">
        <f>IF(BI57&lt;&gt;"SÍ","",SUM(BW57:CA57))</f>
        <v/>
      </c>
      <c r="CE57" s="43" t="str">
        <f>IF(BI57&lt;&gt;"SÍ","",BT57*CB57*100)</f>
        <v/>
      </c>
      <c r="CF57" s="43" t="str">
        <f>IF(BI57&lt;&gt;"SÍ","",BT57*CD57*100)</f>
        <v/>
      </c>
      <c r="CG57" s="47" t="str">
        <f>IF(BI57&lt;&gt;"SÍ","",BS57*100/BT57)</f>
        <v/>
      </c>
      <c r="CH57" s="45" t="str">
        <f>IF(BI57&lt;&gt;"SÍ","",IF(AND(OR(DATOS!$C$14="TIPO II",BT57&gt;=12),CG57&lt;=25),"CUMPLE","NO CUMPLE: "&amp;IF(AND(DATOS!$C$14="TIPO I",BT57&lt;12),"t &lt; 12 cm ","")&amp;IF(CG57&gt;25,"H/t &gt; 25","")))</f>
        <v/>
      </c>
      <c r="CI57" s="44" t="str">
        <f>IF(BI57&lt;&gt;"SÍ","",MIN(1.5*BS57,4))</f>
        <v/>
      </c>
      <c r="CJ57" s="43" t="str">
        <f>IF(BI57&lt;&gt;"SÍ","",SUMPRODUCT((BW57:CA57&gt;=2*DATOS!$C$59/100)*INT((BW57:CA57-DATOS!$C$59/100)/CI57-0.000001)*((BW57:CA57-DATOS!$C$59/100)&gt;0)))</f>
        <v/>
      </c>
      <c r="CK57" s="43" t="str">
        <f>IF(BI57&lt;&gt;"SÍ","",SUMPRODUCT((BW57:CA57&gt;0.0001)*1+(BW57:CA57&gt;=2*DATOS!$C$59/100)*1)+CJ57)</f>
        <v/>
      </c>
      <c r="CL57" s="44" t="str">
        <f>IF(BI57&lt;&gt;"SÍ","",IF(ISNUMBER(AC57),AC57,DATOS!$C$61)*INDEX(TABLAS!$D$6:$D$14,MATCH(IF(AD57&lt;&gt;"",AD57,DATOS!$C$62),TABLAS!$B$6:$B$14,0)))</f>
        <v/>
      </c>
      <c r="CM57" s="44" t="str">
        <f>IF(BI57&lt;&gt;"SÍ","",CK57*DATOS!$C$78+IF(CK57&gt;=2,2,CK57)*(CL57-DATOS!$C$78))</f>
        <v/>
      </c>
      <c r="CN57" s="47" t="str">
        <f>IF(BI57&lt;&gt;"SÍ","",MAX(BS57*100/6,40))</f>
        <v/>
      </c>
      <c r="CO57" s="48" t="str">
        <f>IF(BI57&lt;&gt;"SÍ","",IF(CG57&lt;=20,IF(E57="INTERIOR",0.7,0.6),MIN(IF(E57="INTERIOR",0.7,0.6),(1-2/24)*(1-(IF(E57="INTERIOR",0.8,1)*CG57/30)^2))))</f>
        <v/>
      </c>
      <c r="CP57" s="47" t="str">
        <f>IF(BI57&lt;&gt;"SÍ","",DATOS!$C$87*CO57*(DATOS!$C$33*CF57+CM57*DATOS!$C$48)/1000)</f>
        <v/>
      </c>
      <c r="CQ57" s="46" t="str">
        <f>IF(BI57&lt;&gt;"SÍ","",IF(CP57&gt;0,BO57/CP57,99))</f>
        <v/>
      </c>
      <c r="CR57" s="47" t="str">
        <f>IF(BI57&lt;&gt;"SÍ","",MAX(0,F57*100-DATOS!$C$59))</f>
        <v/>
      </c>
      <c r="CS57" s="47" t="str">
        <f>IF(BI57&lt;&gt;"SÍ","",MAX(0,F57*100-DATOS!$C$59/2))</f>
        <v/>
      </c>
      <c r="CT57" s="44" t="str">
        <f>IF(BI57&lt;&gt;"SÍ","",CL57*DATOS!$C$48*CR57/100000)</f>
        <v/>
      </c>
      <c r="CU57" s="44" t="str">
        <f>IF(BI57&lt;&gt;"SÍ","",IF(BN57&lt;0,0.8*CT57*MAX(0,1+BN57/(0.8*CM57*DATOS!$C$48/1000)),IF(BN57&lt;=CP57/3,0.8*CT57+0.3*BN57*CS57/100,(1.5*0.6*CT57+0.15*CP57*CS57/100)*MAX(0,1-BN57/CP57))))</f>
        <v/>
      </c>
      <c r="CV57" s="44" t="str">
        <f>IF(BI57&lt;&gt;"SÍ","",IF(BO57&lt;0,0.8*CT57*MAX(0,1+BO57/(0.8*CM57*DATOS!$C$48/1000)),IF(BO57&lt;=CP57/3,0.8*CT57+0.3*BO57*CS57/100,(1.5*0.6*CT57+0.15*CP57*CS57/100)*MAX(0,1-BO57/CP57))))</f>
        <v/>
      </c>
      <c r="CW57" s="46" t="str">
        <f>IF(BI57&lt;&gt;"SÍ","",MAX(0,MIN(CU57,CV57)))</f>
        <v/>
      </c>
      <c r="CX57" s="49" t="str">
        <f>IF(BI57&lt;&gt;"SÍ","",IF(CW57&gt;0,BL57/CW57,IF(BL57&gt;0,99,0)))</f>
        <v/>
      </c>
      <c r="CY57" s="44" t="str">
        <f>IF(BI57&lt;&gt;"SÍ","",IF(BW57&gt;0,MAX(1,MIN(1.5,1.5-0.625*(BS57/BW57-0.2))),0))</f>
        <v/>
      </c>
      <c r="CZ57" s="44" t="str">
        <f>IF(BI57&lt;&gt;"SÍ","",IF(BX57&gt;0,MAX(1,MIN(1.5,1.5-0.625*(BS57/BX57-0.2))),0))</f>
        <v/>
      </c>
      <c r="DA57" s="44" t="str">
        <f>IF(BI57&lt;&gt;"SÍ","",IF(BY57&gt;0,MAX(1,MIN(1.5,1.5-0.625*(BS57/BY57-0.2))),0))</f>
        <v/>
      </c>
      <c r="DB57" s="44" t="str">
        <f>IF(BI57&lt;&gt;"SÍ","",IF(BZ57&gt;0,MAX(1,MIN(1.5,1.5-0.625*(BS57/BZ57-0.2))),0))</f>
        <v/>
      </c>
      <c r="DC57" s="44" t="str">
        <f>IF(BI57&lt;&gt;"SÍ","",IF(CA57&gt;0,MAX(1,MIN(1.5,1.5-0.625*(BS57/CA57-0.2))),0))</f>
        <v/>
      </c>
      <c r="DD57" s="44" t="str">
        <f>IF(BI57&lt;&gt;"SÍ","",IF(OR(BW57&lt;DATOS!$C$72-0.0001,BM57&lt;0,CB57&lt;=0),0,MIN(DATOS!$C$86*(0.5*DATOS!$C$41*BT57*BW57*100+0.3*BM57*BW57/CB57*1000)*CY57,1.5*DATOS!$C$86*DATOS!$C$41*BT57*BW57*100*CY57)/1000))</f>
        <v/>
      </c>
      <c r="DE57" s="44" t="str">
        <f>IF(BI57&lt;&gt;"SÍ","",IF(OR(BX57&lt;DATOS!$C$72-0.0001,BM57&lt;0,CB57&lt;=0),0,MIN(DATOS!$C$86*(0.5*DATOS!$C$41*BT57*BX57*100+0.3*BM57*BX57/CB57*1000)*CZ57,1.5*DATOS!$C$86*DATOS!$C$41*BT57*BX57*100*CZ57)/1000))</f>
        <v/>
      </c>
      <c r="DF57" s="44" t="str">
        <f>IF(BI57&lt;&gt;"SÍ","",IF(OR(BY57&lt;DATOS!$C$72-0.0001,BM57&lt;0,CB57&lt;=0),0,MIN(DATOS!$C$86*(0.5*DATOS!$C$41*BT57*BY57*100+0.3*BM57*BY57/CB57*1000)*DA57,1.5*DATOS!$C$86*DATOS!$C$41*BT57*BY57*100*DA57)/1000))</f>
        <v/>
      </c>
      <c r="DG57" s="44" t="str">
        <f>IF(BI57&lt;&gt;"SÍ","",IF(OR(BZ57&lt;DATOS!$C$72-0.0001,BM57&lt;0,CB57&lt;=0),0,MIN(DATOS!$C$86*(0.5*DATOS!$C$41*BT57*BZ57*100+0.3*BM57*BZ57/CB57*1000)*DB57,1.5*DATOS!$C$86*DATOS!$C$41*BT57*BZ57*100*DB57)/1000))</f>
        <v/>
      </c>
      <c r="DH57" s="44" t="str">
        <f>IF(BI57&lt;&gt;"SÍ","",IF(OR(CA57&lt;DATOS!$C$72-0.0001,BM57&lt;0,CB57&lt;=0),0,MIN(DATOS!$C$86*(0.5*DATOS!$C$41*BT57*CA57*100+0.3*BM57*CA57/CB57*1000)*DC57,1.5*DATOS!$C$86*DATOS!$C$41*BT57*CA57*100*DC57)/1000))</f>
        <v/>
      </c>
      <c r="DI57" s="46" t="str">
        <f>IF(BI57&lt;&gt;"SÍ","",SUM(DD57:DH57))</f>
        <v/>
      </c>
      <c r="DJ57" s="48" t="str">
        <f>IF(BI57&lt;&gt;"SÍ","",IF(AE57="VARILLA EN JUNTAS",IF(ISNUMBER(AF57),AF57,2)*INDEX(TABLAS!$D$6:$D$14,MATCH(IF(AG57&lt;&gt;"",AG57,DATOS!$C$73),TABLAS!$B$6:$B$14,0)),IF(AE57="MALLA",IF(ISNUMBER(AF57),AF57,1)*INDEX(TABLAS!$D$19:$D$22,MATCH(IF(AG57&lt;&gt;"",AG57,DATOS!$C$74),TABLAS!$B$19:$B$22,0))/100,IF(AE57="ESCALERILLA",IF(ISNUMBER(AF57),AF57,2)*INDEX(TABLAS!$D$6:$D$14,MATCH(IF(AG57&lt;&gt;"",AG57,DATOS!$C$73),TABLAS!$B$6:$B$14,0)),0))))</f>
        <v/>
      </c>
      <c r="DK57" s="47" t="str">
        <f>IF(BI57&lt;&gt;"SÍ","",IF(OR(AE57="VARILLA EN JUNTAS",AE57="ESCALERILLA"),IF(ISNUMBER(AH57),AH57,2)*DATOS!$C$26,IF(AE57="MALLA",1,0)))</f>
        <v/>
      </c>
      <c r="DL57" s="44" t="str">
        <f>IF(BI57&lt;&gt;"SÍ","",IF(DK57&gt;0,DJ57/(DK57*BT57)*MIN(DATOS!$C$50,IF(AE57="MALLA",5000,6000)),0))</f>
        <v/>
      </c>
      <c r="DM57" s="44" t="str">
        <f>IF(BI57&lt;&gt;"SÍ","",IF(AE57="ESCALERILLA",0,MIN(DL57,0.1*DATOS!$C$33*DATOS!$C$24)))</f>
        <v/>
      </c>
      <c r="DN57" s="48" t="str">
        <f>IF(BI57&lt;&gt;"SÍ","",IF(AE57="MALLA",0.5,IF(DATOS!$C$33&lt;=60,0.55,IF(DATOS!$C$33&gt;=90,0.75,0.55+0.2*(DATOS!$C$33-60)/30))))</f>
        <v/>
      </c>
      <c r="DO57" s="48" t="str">
        <f>IF(BI57&lt;&gt;"SÍ","",1-DATOS!$C$91*DM57)</f>
        <v/>
      </c>
      <c r="DP57" s="44" t="str">
        <f>IF(BI57&lt;&gt;"SÍ","",IF(BW57&gt;0,IF(BS57/BW57&lt;=1,1.3,IF(BS57/BW57&gt;=1.5,1,1.3-0.6*(BS57/BW57-1))),0))</f>
        <v/>
      </c>
      <c r="DQ57" s="44" t="str">
        <f>IF(BI57&lt;&gt;"SÍ","",IF(BX57&gt;0,IF(BS57/BX57&lt;=1,1.3,IF(BS57/BX57&gt;=1.5,1,1.3-0.6*(BS57/BX57-1))),0))</f>
        <v/>
      </c>
      <c r="DR57" s="44" t="str">
        <f>IF(BI57&lt;&gt;"SÍ","",IF(BY57&gt;0,IF(BS57/BY57&lt;=1,1.3,IF(BS57/BY57&gt;=1.5,1,1.3-0.6*(BS57/BY57-1))),0))</f>
        <v/>
      </c>
      <c r="DS57" s="44" t="str">
        <f>IF(BI57&lt;&gt;"SÍ","",IF(BZ57&gt;0,IF(BS57/BZ57&lt;=1,1.3,IF(BS57/BZ57&gt;=1.5,1,1.3-0.6*(BS57/BZ57-1))),0))</f>
        <v/>
      </c>
      <c r="DT57" s="44" t="str">
        <f>IF(BI57&lt;&gt;"SÍ","",IF(CA57&gt;0,IF(BS57/CA57&lt;=1,1.3,IF(BS57/CA57&gt;=1.5,1,1.3-0.6*(BS57/CA57-1))),0))</f>
        <v/>
      </c>
      <c r="DU57" s="44" t="str">
        <f>IF(BI57&lt;&gt;"SÍ","",IF(OR(DM57&lt;=0,BW57&lt;DATOS!$C$72-0.0001),0,DATOS!$C$86*MAX(0,IF(BM57&gt;=0,DD57/(DATOS!$C$86*DM57*BT57*BW57*100/1000)*(DP57*DO57-1)+DN57,DO57*DN57))*DM57*BT57*BW57*100/1000))</f>
        <v/>
      </c>
      <c r="DV57" s="44" t="str">
        <f>IF(BI57&lt;&gt;"SÍ","",IF(OR(DM57&lt;=0,BX57&lt;DATOS!$C$72-0.0001),0,DATOS!$C$86*MAX(0,IF(BM57&gt;=0,DE57/(DATOS!$C$86*DM57*BT57*BX57*100/1000)*(DQ57*DO57-1)+DN57,DO57*DN57))*DM57*BT57*BX57*100/1000))</f>
        <v/>
      </c>
      <c r="DW57" s="44" t="str">
        <f>IF(BI57&lt;&gt;"SÍ","",IF(OR(DM57&lt;=0,BY57&lt;DATOS!$C$72-0.0001),0,DATOS!$C$86*MAX(0,IF(BM57&gt;=0,DF57/(DATOS!$C$86*DM57*BT57*BY57*100/1000)*(DR57*DO57-1)+DN57,DO57*DN57))*DM57*BT57*BY57*100/1000))</f>
        <v/>
      </c>
      <c r="DX57" s="44" t="str">
        <f>IF(BI57&lt;&gt;"SÍ","",IF(OR(DM57&lt;=0,BZ57&lt;DATOS!$C$72-0.0001),0,DATOS!$C$86*MAX(0,IF(BM57&gt;=0,DG57/(DATOS!$C$86*DM57*BT57*BZ57*100/1000)*(DS57*DO57-1)+DN57,DO57*DN57))*DM57*BT57*BZ57*100/1000))</f>
        <v/>
      </c>
      <c r="DY57" s="44" t="str">
        <f>IF(BI57&lt;&gt;"SÍ","",IF(OR(DM57&lt;=0,CA57&lt;DATOS!$C$72-0.0001),0,DATOS!$C$86*MAX(0,IF(BM57&gt;=0,DH57/(DATOS!$C$86*DM57*BT57*CA57*100/1000)*(DT57*DO57-1)+DN57,DO57*DN57))*DM57*BT57*CA57*100/1000))</f>
        <v/>
      </c>
      <c r="DZ57" s="46" t="str">
        <f>IF(BI57&lt;&gt;"SÍ","",SUM(DU57:DY57))</f>
        <v/>
      </c>
      <c r="EA57" s="45" t="str">
        <f>IF(BI57&lt;&gt;"SÍ","",IF(OR(AE57="",AE57="NINGUNO"),IF(DATOS!$C$41&gt;=10,"FALTA refuerzo horizontal: v'm ≥ 10 kg/cm² (6.5.2.2)",IF(AND(BM57&lt;0,BK57&gt;0),"FALTA: P en tensión, el refuerzo debe tomar todo el cortante (6.5.1.3)","—")),IF(AE57="ESCALERILLA","NO CUENTA: la escalerilla no se permite para cortante por sismo (6.5.3.1.2)",IF(AE57="MALLA",IF(AND(DL57&gt;=2.5,DL57&lt;=MAX(0.15*DATOS!$C$33*DATOS!$C$24,2.5)),"CUMPLE","NO CUMPLE: "&amp;IF(DL57&lt;2.5,"p_h·f_yh &lt; 2.5 (6.5.4.2.4)","p_h·f_yh &gt; 0.15·f'm·f_an (6.5.4.2.4)")),IF(AND(DK57&lt;=MIN(6*DATOS!$C$26,45),DL57&gt;=3,DL57&lt;=MIN(MAX(0.15*DATOS!$C$33*DATOS!$C$24,3),0.05*DATOS!$C$25/10*MIN(DATOS!$C$50,6000)/DK57),INDEX(TABLAS!$C$6:$C$14,MATCH(IF(AG57&lt;&gt;"",AG57,DATOS!$C$73),TABLAS!$B$6:$B$14,0))&gt;=0.35,INDEX(TABLAS!$C$6:$C$14,MATCH(IF(AG57&lt;&gt;"",AG57,DATOS!$C$73),TABLAS!$B$6:$B$14,0))&lt;=0.75*DATOS!$C$25/10),"CUMPLE","NO CUMPLE: "&amp;IF(DK57&gt;MIN(6*DATOS!$C$26,45),"s_h &gt; 6 hiladas o 45 cm (6.5.3.2.1) ","")&amp;IF(DL57&lt;3,"p_h·f_yh &lt; 3 (6.5.3.3.1) ","")&amp;IF(DL57&gt;MIN(MAX(0.15*DATOS!$C$33*DATOS!$C$24,3),0.05*DATOS!$C$25/10*MIN(DATOS!$C$50,6000)/DK57),"p_h·f_yh &gt; máximo (6.5.3.3.2) ","")&amp;IF(OR(INDEX(TABLAS!$C$6:$C$14,MATCH(IF(AG57&lt;&gt;"",AG57,DATOS!$C$73),TABLAS!$B$6:$B$14,0))&lt;0.35,INDEX(TABLAS!$C$6:$C$14,MATCH(IF(AG57&lt;&gt;"",AG57,DATOS!$C$73),TABLAS!$B$6:$B$14,0))&gt;0.75*DATOS!$C$25/10),"diámetro fuera de 3.5 mm a 0.75·h_j (4.2.2.2.1)",""))))))</f>
        <v/>
      </c>
      <c r="EB57" s="46" t="str">
        <f>IF(BI57&lt;&gt;"SÍ","",DI57+DZ57)</f>
        <v/>
      </c>
      <c r="EC57" s="50" t="str">
        <f>IF(BI57&lt;&gt;"SÍ","",IF(EB57&gt;0,BK57/EB57,IF(BK57&gt;0,99,0)))</f>
        <v/>
      </c>
      <c r="ED57" s="47" t="str">
        <f>IF(BI57&lt;&gt;"SÍ","",IF(CE57&lt;=0,-1,IF(BK57&lt;=DI57,0,IF(IF(BM57&gt;=0,IF((DATOS!$C$86*IF(AE57="MALLA",0.5,IF(DATOS!$C$33&lt;=60,0.55,IF(DATOS!$C$33&gt;=90,0.75,0.55+0.2*(DATOS!$C$33-60)/30)))*CE57/1000-DATOS!$C$91*SUMPRODUCT(DP57:DT57,DD57:DH57))&lt;=0,1E9,(BK57-SUMPRODUCT(DP57:DT57,DD57:DH57))/(DATOS!$C$86*IF(AE57="MALLA",0.5,IF(DATOS!$C$33&lt;=60,0.55,IF(DATOS!$C$33&gt;=90,0.75,0.55+0.2*(DATOS!$C$33-60)/30)))*CE57/1000-DATOS!$C$91*SUMPRODUCT(DP57:DT57,DD57:DH57))),IF((1-4*DATOS!$C$91*BK57*1000/(DATOS!$C$86*IF(AE57="MALLA",0.5,IF(DATOS!$C$33&lt;=60,0.55,IF(DATOS!$C$33&gt;=90,0.75,0.55+0.2*(DATOS!$C$33-60)/30)))*MAX(CE57,1)))&lt;0,1E9,(1-SQRT((1-4*DATOS!$C$91*BK57*1000/(DATOS!$C$86*IF(AE57="MALLA",0.5,IF(DATOS!$C$33&lt;=60,0.55,IF(DATOS!$C$33&gt;=90,0.75,0.55+0.2*(DATOS!$C$33-60)/30)))*MAX(CE57,1)))))/(2*DATOS!$C$91)))&gt;0.1*DATOS!$C$33*DATOS!$C$24+0.000001,-1,MAX(IF(AE57="MALLA",2.5,3),IF(BM57&gt;=0,IF((DATOS!$C$86*IF(AE57="MALLA",0.5,IF(DATOS!$C$33&lt;=60,0.55,IF(DATOS!$C$33&gt;=90,0.75,0.55+0.2*(DATOS!$C$33-60)/30)))*CE57/1000-DATOS!$C$91*SUMPRODUCT(DP57:DT57,DD57:DH57))&lt;=0,1E9,(BK57-SUMPRODUCT(DP57:DT57,DD57:DH57))/(DATOS!$C$86*IF(AE57="MALLA",0.5,IF(DATOS!$C$33&lt;=60,0.55,IF(DATOS!$C$33&gt;=90,0.75,0.55+0.2*(DATOS!$C$33-60)/30)))*CE57/1000-DATOS!$C$91*SUMPRODUCT(DP57:DT57,DD57:DH57))),IF((1-4*DATOS!$C$91*BK57*1000/(DATOS!$C$86*IF(AE57="MALLA",0.5,IF(DATOS!$C$33&lt;=60,0.55,IF(DATOS!$C$33&gt;=90,0.75,0.55+0.2*(DATOS!$C$33-60)/30)))*MAX(CE57,1)))&lt;0,1E9,(1-SQRT((1-4*DATOS!$C$91*BK57*1000/(DATOS!$C$86*IF(AE57="MALLA",0.5,IF(DATOS!$C$33&lt;=60,0.55,IF(DATOS!$C$33&gt;=90,0.75,0.55+0.2*(DATOS!$C$33-60)/30)))*MAX(CE57,1)))))/(2*DATOS!$C$91))))))))</f>
        <v/>
      </c>
      <c r="EE57" s="45" t="str">
        <f>IF(BI57&lt;&gt;"SÍ","",IF(ED57=0,"NO REQUIERE: V_mR ≥ V_u",IF(ED57&lt;0,"NO ALCANZA con refuerzo horizontal (haría falta más de 0.1·f'm·f_an efectivo): sube v'm con ensayes, el espesor o la longitud del muro",IF(AND(OR(AE57="VARILLA EN JUNTAS",AE57="MALLA"),LEFT(EA57,6)="CUMPLE",EC57&lt;=1),"YA LO TIENE (pide p_h·f_yh ≥ "&amp;TEXT(ED57,"0.0")&amp;" kg/cm²)","p_h·f_yh ≥ "&amp;TEXT(ED57,"0.0")&amp;" kg/cm² → "&amp;IF(AND(MIN(6,FLOOR(45/DATOS!$C$26,1),FLOOR((2*INDEX(TABLAS!$D$6:$D$14,MATCH("3/16 in",TABLAS!$B$6:$B$14,0)))*MIN(DATOS!$C$50,6000)/(BT57*DATOS!$C$26*MAX(ED57,0.001)),1))&gt;=1,((2*INDEX(TABLAS!$D$6:$D$14,MATCH("3/16 in",TABLAS!$B$6:$B$14,0)))*MIN(DATOS!$C$50,6000)/(MAX(MIN(6,FLOOR(45/DATOS!$C$26,1),FLOOR((2*INDEX(TABLAS!$D$6:$D$14,MATCH("3/16 in",TABLAS!$B$6:$B$14,0)))*MIN(DATOS!$C$50,6000)/(BT57*DATOS!$C$26*MAX(ED57,0.001)),1)),1)*DATOS!$C$26*BT57))&lt;=MIN(MAX(0.15*DATOS!$C$33*DATOS!$C$24,3),0.05*DATOS!$C$25/10*MIN(DATOS!$C$50,6000)/(MIN(6,FLOOR(45/DATOS!$C$26,1),FLOOR((2*INDEX(TABLAS!$D$6:$D$14,MATCH("3/16 in",TABLAS!$B$6:$B$14,0)))*MIN(DATOS!$C$50,6000)/(BT57*DATOS!$C$26*MAX(ED57,0.001)),1))*DATOS!$C$26))),"2 alambres de 3/16"" por junta cada "&amp;MIN(6,FLOOR(45/DATOS!$C$26,1),FLOOR((2*INDEX(TABLAS!$D$6:$D$14,MATCH("3/16 in",TABLAS!$B$6:$B$14,0)))*MIN(DATOS!$C$50,6000)/(BT57*DATOS!$C$26*MAX(ED57,0.001)),1))&amp;" hilada(s) (p_h·f_yh = "&amp;TEXT(((2*INDEX(TABLAS!$D$6:$D$14,MATCH("3/16 in",TABLAS!$B$6:$B$14,0)))*MIN(DATOS!$C$50,6000)/(MAX(MIN(6,FLOOR(45/DATOS!$C$26,1),FLOOR((2*INDEX(TABLAS!$D$6:$D$14,MATCH("3/16 in",TABLAS!$B$6:$B$14,0)))*MIN(DATOS!$C$50,6000)/(BT57*DATOS!$C$26*MAX(ED57,0.001)),1)),1)*DATOS!$C$26*BT57)),"0.00")&amp;")",IF(AND(MIN(6,FLOOR(45/DATOS!$C$26,1),FLOOR((2*INDEX(TABLAS!$D$6:$D$14,MATCH("5/32 in",TABLAS!$B$6:$B$14,0)))*MIN(DATOS!$C$50,6000)/(BT57*DATOS!$C$26*MAX(ED57,0.001)),1))&gt;=1,((2*INDEX(TABLAS!$D$6:$D$14,MATCH("5/32 in",TABLAS!$B$6:$B$14,0)))*MIN(DATOS!$C$50,6000)/(MAX(MIN(6,FLOOR(45/DATOS!$C$26,1),FLOOR((2*INDEX(TABLAS!$D$6:$D$14,MATCH("5/32 in",TABLAS!$B$6:$B$14,0)))*MIN(DATOS!$C$50,6000)/(BT57*DATOS!$C$26*MAX(ED57,0.001)),1)),1)*DATOS!$C$26*BT57))&lt;=MIN(MAX(0.15*DATOS!$C$33*DATOS!$C$24,3),0.05*DATOS!$C$25/10*MIN(DATOS!$C$50,6000)/(MIN(6,FLOOR(45/DATOS!$C$26,1),FLOOR((2*INDEX(TABLAS!$D$6:$D$14,MATCH("5/32 in",TABLAS!$B$6:$B$14,0)))*MIN(DATOS!$C$50,6000)/(BT57*DATOS!$C$26*MAX(ED57,0.001)),1))*DATOS!$C$26))),"2 alambres de 5/32"" por junta cada "&amp;MIN(6,FLOOR(45/DATOS!$C$26,1),FLOOR((2*INDEX(TABLAS!$D$6:$D$14,MATCH("5/32 in",TABLAS!$B$6:$B$14,0)))*MIN(DATOS!$C$50,6000)/(BT57*DATOS!$C$26*MAX(ED57,0.001)),1))&amp;" hilada(s) (p_h·f_yh = "&amp;TEXT(((2*INDEX(TABLAS!$D$6:$D$14,MATCH("5/32 in",TABLAS!$B$6:$B$14,0)))*MIN(DATOS!$C$50,6000)/(MAX(MIN(6,FLOOR(45/DATOS!$C$26,1),FLOOR((2*INDEX(TABLAS!$D$6:$D$14,MATCH("5/32 in",TABLAS!$B$6:$B$14,0)))*MIN(DATOS!$C$50,6000)/(BT57*DATOS!$C$26*MAX(ED57,0.001)),1)),1)*DATOS!$C$26*BT57)),"0.00")&amp;")",IF(AND(MIN(6,FLOOR(45/DATOS!$C$26,1),FLOOR((1*INDEX(TABLAS!$D$6:$D$14,MATCH("3/16 in",TABLAS!$B$6:$B$14,0)))*MIN(DATOS!$C$50,6000)/(BT57*DATOS!$C$26*MAX(ED57,0.001)),1))&gt;=1,((1*INDEX(TABLAS!$D$6:$D$14,MATCH("3/16 in",TABLAS!$B$6:$B$14,0)))*MIN(DATOS!$C$50,6000)/(MAX(MIN(6,FLOOR(45/DATOS!$C$26,1),FLOOR((1*INDEX(TABLAS!$D$6:$D$14,MATCH("3/16 in",TABLAS!$B$6:$B$14,0)))*MIN(DATOS!$C$50,6000)/(BT57*DATOS!$C$26*MAX(ED57,0.001)),1)),1)*DATOS!$C$26*BT57))&lt;=MIN(MAX(0.15*DATOS!$C$33*DATOS!$C$24,3),0.05*DATOS!$C$25/10*MIN(DATOS!$C$50,6000)/(MIN(6,FLOOR(45/DATOS!$C$26,1),FLOOR((1*INDEX(TABLAS!$D$6:$D$14,MATCH("3/16 in",TABLAS!$B$6:$B$14,0)))*MIN(DATOS!$C$50,6000)/(BT57*DATOS!$C$26*MAX(ED57,0.001)),1))*DATOS!$C$26))),"1 alambre de 3/16"" por junta cada "&amp;MIN(6,FLOOR(45/DATOS!$C$26,1),FLOOR((1*INDEX(TABLAS!$D$6:$D$14,MATCH("3/16 in",TABLAS!$B$6:$B$14,0)))*MIN(DATOS!$C$50,6000)/(BT57*DATOS!$C$26*MAX(ED57,0.001)),1))&amp;" hilada(s) (p_h·f_yh = "&amp;TEXT(((1*INDEX(TABLAS!$D$6:$D$14,MATCH("3/16 in",TABLAS!$B$6:$B$14,0)))*MIN(DATOS!$C$50,6000)/(MAX(MIN(6,FLOOR(45/DATOS!$C$26,1),FLOOR((1*INDEX(TABLAS!$D$6:$D$14,MATCH("3/16 in",TABLAS!$B$6:$B$14,0)))*MIN(DATOS!$C$50,6000)/(BT57*DATOS!$C$26*MAX(ED57,0.001)),1)),1)*DATOS!$C$26*BT57)),"0.00")&amp;")",IF(AND(MIN(6,FLOOR(45/DATOS!$C$26,1),FLOOR((1*INDEX(TABLAS!$D$6:$D$14,MATCH("5/32 in",TABLAS!$B$6:$B$14,0)))*MIN(DATOS!$C$50,6000)/(BT57*DATOS!$C$26*MAX(ED57,0.001)),1))&gt;=1,((1*INDEX(TABLAS!$D$6:$D$14,MATCH("5/32 in",TABLAS!$B$6:$B$14,0)))*MIN(DATOS!$C$50,6000)/(MAX(MIN(6,FLOOR(45/DATOS!$C$26,1),FLOOR((1*INDEX(TABLAS!$D$6:$D$14,MATCH("5/32 in",TABLAS!$B$6:$B$14,0)))*MIN(DATOS!$C$50,6000)/(BT57*DATOS!$C$26*MAX(ED57,0.001)),1)),1)*DATOS!$C$26*BT57))&lt;=MIN(MAX(0.15*DATOS!$C$33*DATOS!$C$24,3),0.05*DATOS!$C$25/10*MIN(DATOS!$C$50,6000)/(MIN(6,FLOOR(45/DATOS!$C$26,1),FLOOR((1*INDEX(TABLAS!$D$6:$D$14,MATCH("5/32 in",TABLAS!$B$6:$B$14,0)))*MIN(DATOS!$C$50,6000)/(BT57*DATOS!$C$26*MAX(ED57,0.001)),1))*DATOS!$C$26))),"1 alambre de 5/32"" por junta cada "&amp;MIN(6,FLOOR(45/DATOS!$C$26,1),FLOOR((1*INDEX(TABLAS!$D$6:$D$14,MATCH("5/32 in",TABLAS!$B$6:$B$14,0)))*MIN(DATOS!$C$50,6000)/(BT57*DATOS!$C$26*MAX(ED57,0.001)),1))&amp;" hilada(s) (p_h·f_yh = "&amp;TEXT(((1*INDEX(TABLAS!$D$6:$D$14,MATCH("5/32 in",TABLAS!$B$6:$B$14,0)))*MIN(DATOS!$C$50,6000)/(MAX(MIN(6,FLOOR(45/DATOS!$C$26,1),FLOOR((1*INDEX(TABLAS!$D$6:$D$14,MATCH("5/32 in",TABLAS!$B$6:$B$14,0)))*MIN(DATOS!$C$50,6000)/(BT57*DATOS!$C$26*MAX(ED57,0.001)),1)),1)*DATOS!$C$26*BT57)),"0.00")&amp;")","ninguna combinación de 1 o 2 alambres por junta queda entre el mínimo y el máximo: revisa con malla (6.5.4)"))))))))</f>
        <v/>
      </c>
      <c r="EF57" s="43" t="str">
        <f>IF(BI57&lt;&gt;"SÍ","",IF(AI57="SÍ",N(AK57)*N(AL57)^3/12,0))</f>
        <v/>
      </c>
      <c r="EG57" s="48" t="str">
        <f>IF(BI57&lt;&gt;"SÍ","",IF(AND(AI57="SÍ",N(AM57)&gt;0),MIN(1,F57/AM57),0))</f>
        <v/>
      </c>
      <c r="EH57" s="47" t="str">
        <f>IF(BI57&lt;&gt;"SÍ","",IF(AI57="SÍ",BP57*1000/(BT57*F57*100)*BT57*(EG57^4-4*EG57^3+8*EG57),0))</f>
        <v/>
      </c>
      <c r="EI57" s="48" t="str">
        <f>IF(BI57&lt;&gt;"SÍ","",IF(AND(AI57="SÍ",EH57&gt;0),EH57/(EH57+5*N(AN57)*10),0))</f>
        <v/>
      </c>
      <c r="EJ57" s="44" t="str">
        <f>IF(BI57&lt;&gt;"SÍ","",IF(AND(AI57="SÍ",EI57&gt;0,EF57&gt;0),(DATOS!$C$43*BT57*(AM57*100)^3/(DATOS!$C$53*EF57*EI57))^0.25,0))</f>
        <v/>
      </c>
      <c r="EK57" s="44" t="str">
        <f>IF(BI57&lt;&gt;"SÍ","",IF(AI57&lt;&gt;"SÍ",0,IF(N(AM57)&lt;=F57,1,IF(MIN(1,N(AO57)/((AM57-F57)/2))&lt;=0.5,0.7+0.6*MIN(1,N(AO57)/((AM57-F57)/2)),1.5-MIN(1,N(AO57)/((AM57-F57)/2))))))</f>
        <v/>
      </c>
      <c r="EL57" s="44" t="str">
        <f>IF(BI57&lt;&gt;"SÍ","",IF(AI57&lt;&gt;"SÍ",0,MAX(1,IF(EG57&gt;=1,(1.6*EJ57-3.9),IF(EG57&lt;0.9,((3.2*EJ57-7.8)*EK57),((3.2*EJ57-7.8)*EK57)+((1.6*EJ57-3.9)-((3.2*EJ57-7.8)*EK57))*(EG57-0.9)/0.1)))))</f>
        <v/>
      </c>
      <c r="EM57" s="47" t="str">
        <f>IF(BI57&lt;&gt;"SÍ","",IF(AI57="SÍ",EL57*BP57*1000/(BT57*F57*100),0))</f>
        <v/>
      </c>
      <c r="EN57" s="47" t="str">
        <f>IF(BI57&lt;&gt;"SÍ","",IF(AND(AI57="SÍ",N(AL57)&gt;0),AM57*100/AL57,0))</f>
        <v/>
      </c>
      <c r="EO57" s="47" t="str">
        <f>IF(BI57&lt;&gt;"SÍ","",IF(AI57="SÍ",(1/15*DATOS!$C$53*N(AK57)/MAX((IF(ISNUMBER(AP57),AP57,BP57/DATOS!$C$90)*1000/(BT57*F57*100)*BT57*(EG57^4-4*EG57^3+8*EG57))+5*N(AN57)/DATOS!$C$90*10,0.001))^(1/3),0))</f>
        <v/>
      </c>
      <c r="EP57" s="45" t="str">
        <f>IF(BI57&lt;&gt;"SÍ","",IF(AI57&lt;&gt;"SÍ","—",IF(OR(N(AK57)&lt;=0,N(AL57)&lt;=0,N(AM57)&lt;=0),"REVISAR: faltan b, h o L_v de la viga",IF(AND(EM57&lt;=DATOS!$C$87*DATOS!$C$33,EN57&lt;=14,N(AL57)&gt;=25,EN57&lt;=EO57),IF(BS57/F57&lt;0.6,"PENDIENTE: H/L &lt; 0.6, falta el análisis de interacción muro–viga (4.1.18.2.1); f_CM es estimado","CUMPLE"),"NO CUMPLE: "&amp;IF(EM57&gt;DATOS!$C$87*DATOS!$C$33,"f_CM &gt; F_R·f'm ","")&amp;IF(EN57&gt;14,"L_v/h_v &gt; 14 ","")&amp;IF(N(AL57)&lt;25,"h_v &lt; 25 cm ","")&amp;IF(EN57&gt;EO57,"flecha (4.1.18.3)","")))))</f>
        <v/>
      </c>
      <c r="EQ57" s="44" t="str">
        <f>IF(BI57&lt;&gt;"SÍ","",MAX(0,F57*BS57-(N(K57)*N(M57)+N(P57)*N(R57)+N(U57)*N(W57)+N(Z57)*N(AB57))-CK57*DATOS!$C$59/100*BS57))</f>
        <v/>
      </c>
      <c r="ER57" s="48" t="str">
        <f>IF(BI57&lt;&gt;"SÍ","",CK57*DATOS!$C$59*DATOS!$C$60/10000*BS57)</f>
        <v/>
      </c>
      <c r="ES57" s="47" t="str">
        <f>IF(BI57&lt;&gt;"SÍ","",CK57*(DATOS!$C$61*(BS57+0.6)*INDEX(TABLAS!$E$6:$E$14,MATCH(DATOS!$C$62,TABLAS!$B$6:$B$14,0))+(2*ROUNDUP(CN57/DATOS!$C$65,0)+ROUNDUP(MAX(0,BS57*100-2*CN57)/DATOS!$C$64,0))*((2*(DATOS!$C$60+DATOS!$C$59-4*(DATOS!$C$66-INDEX(TABLAS!$C$6:$C$14,MATCH(DATOS!$C$63,TABLAS!$B$6:$B$14,0))))+15)/100)*INDEX(TABLAS!$E$6:$E$14,MATCH(DATOS!$C$63,TABLAS!$B$6:$B$14,0))))</f>
        <v/>
      </c>
      <c r="ET57" s="47" t="str">
        <f>IF(BI57&lt;&gt;"SÍ","",IF(OR(AE57="VARILLA EN JUNTAS",AE57="ESCALERILLA"),INT(BS57*100/MAX(DK57,1))*IF(ISNUMBER(AF57),AF57,2)*CB57*INDEX(TABLAS!$E$6:$E$14,MATCH(IF(AG57&lt;&gt;"",AG57,DATOS!$C$73),TABLAS!$B$6:$B$14,0)),IF(AE57="MALLA",IF(ISNUMBER(AF57),AF57,1)*CB57*BS57*INDEX(TABLAS!$E$19:$E$22,MATCH(IF(AG57&lt;&gt;"",AG57,DATOS!$C$74),TABLAS!$B$19:$B$22,0)),0)))</f>
        <v/>
      </c>
      <c r="EU57" s="45" t="str">
        <f>IF(BI57&lt;&gt;"SÍ","",""&amp;IF(BJ57="NO ESTÁ EN PIER_FORCES","sin fuerzas en PIER_FORCES; ","")&amp;IF(BV57&lt;&gt;"CUMPLE","vanos; ","")&amp;IF(LEFT(CH57,2)="NO","espesor o esbeltez; ","")&amp;IF(CQ57&gt;1,"compresión; ","")&amp;IF(CX57&gt;1,"flexión; ","")&amp;IF(CB57&lt;=0,"sin tramos de muro (todos son machones menores que L mín.: diséñalos como columnas o baja L mín.); ",IF(EC57&gt;1,"cortante; ",""))&amp;IF(OR(LEFT(EA57,2)="NO",LEFT(EA57,5)="FALTA"),"refuerzo horizontal; ","")&amp;IF(OR(LEFT(EP57,2)="NO",LEFT(EP57,7)="REVISAR"),"muro sobre viga; ","")&amp;IF(LEFT(DATOS!$C$81,2)="NO","castillo típico; ","")&amp;IF(LEFT(DATOS!$C$82,2)="NO","dala típica; ","")&amp;IF(AND(BT57&lt;&gt;DATOS!$C$58,DATOS!$C$60&lt;BT57),"castillo más angosto que el muro; ",""))</f>
        <v/>
      </c>
      <c r="EV57" s="45" t="str">
        <f>IF(BI57&lt;&gt;"SÍ","",""&amp;IF(LEFT(EP57,9)="PENDIENTE","análisis muro–viga (H/L &lt; 0.6); ","")&amp;IF(BR57&gt;50,"V_u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7" s="51" t="str">
        <f>IF(BI57&lt;&gt;"SÍ","",IF(EU57&lt;&gt;"","NO CUMPLE: "&amp;LEFT(EU57,LEN(EU57)-2),IF(EV57&lt;&gt;"","CUMPLE — PENDIENTE: "&amp;LEFT(EV57,LEN(EV57)-2),"CUMPLE")))</f>
        <v/>
      </c>
      <c r="EX57" s="52" t="n"/>
    </row>
    <row r="58" ht="30" customHeight="1">
      <c r="A58" s="38" t="str">
        <f>IF(B58="","",ROW()-10)</f>
        <v/>
      </c>
      <c r="B58" s="28" t="n"/>
      <c r="C58" s="39" t="n"/>
      <c r="D58" s="39" t="n"/>
      <c r="E58" s="39" t="n"/>
      <c r="F58" s="40" t="n"/>
      <c r="G58" s="40" t="n"/>
      <c r="H58" s="41" t="n"/>
      <c r="I58" s="39" t="n"/>
      <c r="J58" s="40" t="n"/>
      <c r="K58" s="40" t="n"/>
      <c r="L58" s="40" t="n"/>
      <c r="M58" s="40" t="n"/>
      <c r="N58" s="39" t="n"/>
      <c r="O58" s="40" t="n"/>
      <c r="P58" s="40" t="n"/>
      <c r="Q58" s="40" t="n"/>
      <c r="R58" s="40" t="n"/>
      <c r="S58" s="39" t="n"/>
      <c r="T58" s="40" t="n"/>
      <c r="U58" s="40" t="n"/>
      <c r="V58" s="40" t="n"/>
      <c r="W58" s="40" t="n"/>
      <c r="X58" s="39" t="n"/>
      <c r="Y58" s="40" t="n"/>
      <c r="Z58" s="40" t="n"/>
      <c r="AA58" s="40" t="n"/>
      <c r="AB58" s="40" t="n"/>
      <c r="AC58" s="41" t="n"/>
      <c r="AD58" s="41" t="n"/>
      <c r="AE58" s="39" t="n"/>
      <c r="AF58" s="41" t="n"/>
      <c r="AG58" s="41" t="n"/>
      <c r="AH58" s="41" t="n"/>
      <c r="AI58" s="39" t="n"/>
      <c r="AJ58" s="39" t="n"/>
      <c r="AK58" s="41" t="n"/>
      <c r="AL58" s="41" t="n"/>
      <c r="AM58" s="40" t="n"/>
      <c r="AN58" s="40" t="n"/>
      <c r="AO58" s="40" t="n"/>
      <c r="AP58" s="40" t="n"/>
      <c r="AQ58" s="40" t="n"/>
      <c r="AR58" s="40" t="n"/>
      <c r="AS58" s="40" t="n"/>
      <c r="AT58" s="40" t="n"/>
      <c r="AU58" s="40" t="n"/>
      <c r="AV58" s="40" t="n"/>
      <c r="AW58" s="40" t="n"/>
      <c r="AX58" s="42" t="str">
        <f>IF(B58="","",C58&amp;"|"&amp;B58)</f>
        <v/>
      </c>
      <c r="AY58" s="43" t="str">
        <f>IF(B58="","",COUNTIFS(PIER_FORCES!$O$9:$O$3008,48,PIER_FORCES!$P$9:$P$3008,1))</f>
        <v/>
      </c>
      <c r="AZ58" s="43" t="str">
        <f>IF(B58="","",COUNTIFS(PIER_FORCES!$O$9:$O$3008,48,PIER_FORCES!$P$9:$P$3008,2))</f>
        <v/>
      </c>
      <c r="BA58" s="44">
        <f>IF(N(AY58)=0,0,SUMPRODUCT(MAX((PIER_FORCES!$O$9:$O$3008=48)*(PIER_FORCES!$P$9:$P$3008=1)*PIER_FORCES!$R$9:$R$3008)))</f>
        <v>0</v>
      </c>
      <c r="BB58" s="44">
        <f>IF(N(AY58)=0,0,SUMPRODUCT(MAX((PIER_FORCES!$O$9:$O$3008=48)*(PIER_FORCES!$P$9:$P$3008=1)*PIER_FORCES!$S$9:$S$3008)))</f>
        <v>0</v>
      </c>
      <c r="BC58" s="44">
        <f>IF(N(AY58)=0,0,-SUMPRODUCT(MAX((PIER_FORCES!$O$9:$O$3008=48)*(PIER_FORCES!$P$9:$P$3008=1)*(-PIER_FORCES!$Q$9:$Q$3008)+(1-(PIER_FORCES!$O$9:$O$3008=48)*(PIER_FORCES!$P$9:$P$3008=1))*(-1E9))))</f>
        <v>0</v>
      </c>
      <c r="BD58" s="44">
        <f>IF(N(AY58)=0,0,SUMPRODUCT(MAX((PIER_FORCES!$O$9:$O$3008=48)*(PIER_FORCES!$P$9:$P$3008=1)*PIER_FORCES!$Q$9:$Q$3008+(1-(PIER_FORCES!$O$9:$O$3008=48)*(PIER_FORCES!$P$9:$P$3008=1))*(-1E9))))</f>
        <v>0</v>
      </c>
      <c r="BE58" s="44">
        <f>IF(N(AZ58)=0,BD58,SUMPRODUCT(MAX((PIER_FORCES!$O$9:$O$3008=48)*(PIER_FORCES!$P$9:$P$3008=2)*PIER_FORCES!$Q$9:$Q$3008+(1-(PIER_FORCES!$O$9:$O$3008=48)*(PIER_FORCES!$P$9:$P$3008=2))*(-1E9))))</f>
        <v>0</v>
      </c>
      <c r="BF58" s="44">
        <f>IF(N(AZ58)=0,0,SUMPRODUCT(MAX((PIER_FORCES!$O$9:$O$3008=48)*(PIER_FORCES!$P$9:$P$3008=2)*PIER_FORCES!$R$9:$R$3008)))</f>
        <v>0</v>
      </c>
      <c r="BG58" s="43">
        <f>IF(N(AY58)=0,0,SUMPRODUCT(MAX((PIER_FORCES!$O$9:$O$3008=48)*(PIER_FORCES!$P$9:$P$3008=1)*(ABS(PIER_FORCES!$R$9:$R$3008-BA58)&lt;0.000001)*PIER_FORCES!$T$9:$T$3008)))</f>
        <v>0</v>
      </c>
      <c r="BH58" s="45" t="str">
        <f>IF(N(BG58)=0,"",INDEX(PIER_FORCES!$D$9:$D$3008,BG58)&amp;" "&amp;INDEX(PIER_FORCES!$F$9:$F$3008,BG58)&amp;" / "&amp;INDEX(PIER_FORCES!$G$9:$G$3008,BG58))</f>
        <v/>
      </c>
      <c r="BI58" s="42" t="str">
        <f>IF(B58="","",IF(AND(C58&lt;&gt;"",OR(D58="X",D58="Y"),ISNUMBER(F58),N(F58)&gt;0),"SÍ","NO"))</f>
        <v/>
      </c>
      <c r="BJ58" s="42" t="str">
        <f>IF(BI58&lt;&gt;"SÍ","",IF(DATOS!$C$108="ETABS (PIER_FORCES)",IF(N(AY58)&gt;0,"ETABS","NO ESTÁ EN PIER_FORCES"),"CAPTURA"))</f>
        <v/>
      </c>
      <c r="BK58" s="46" t="str">
        <f>IF(BI58&lt;&gt;"SÍ","",IF(BJ58="ETABS",BA58,IF(BJ58="CAPTURA",N(AQ58),0)))</f>
        <v/>
      </c>
      <c r="BL58" s="46" t="str">
        <f>IF(BI58&lt;&gt;"SÍ","",IF(BJ58="ETABS",BB58,IF(BJ58="CAPTURA",N(AR58),0)))</f>
        <v/>
      </c>
      <c r="BM58" s="46" t="str">
        <f>IF(BI58&lt;&gt;"SÍ","",IF(BJ58="ETABS",BC58/DATOS!$C$89,IF(BJ58="CAPTURA",N(AS58),0)))</f>
        <v/>
      </c>
      <c r="BN58" s="44" t="str">
        <f>IF(BI58&lt;&gt;"SÍ","",IF(BJ58="ETABS",BC58,IF(BJ58="CAPTURA",IF(ISNUMBER(AU58),AU58,N(AS58)*DATOS!$C$89),0)))</f>
        <v/>
      </c>
      <c r="BO58" s="44" t="str">
        <f>IF(BI58&lt;&gt;"SÍ","",IF(BJ58="ETABS",MAX(BD58,BE58),IF(BJ58="CAPTURA",N(AT58),0)))</f>
        <v/>
      </c>
      <c r="BP58" s="44" t="str">
        <f>IF(BI58&lt;&gt;"SÍ","",IF(BJ58="ETABS",BE58,IF(BJ58="CAPTURA",IF(ISNUMBER(AV58),AV58,N(AT58)),0)))</f>
        <v/>
      </c>
      <c r="BQ58" s="44" t="str">
        <f>IF(BI58&lt;&gt;"SÍ","",IF(BJ58="ETABS",BF58,IF(BJ58="CAPTURA",N(AW58),0)))</f>
        <v/>
      </c>
      <c r="BR58" s="43" t="str">
        <f>IF(BI58&lt;&gt;"SÍ","",IF(BK58&gt;0,100*BQ58/BK58,0))</f>
        <v/>
      </c>
      <c r="BS58" s="44" t="str">
        <f>IF(BI58&lt;&gt;"SÍ","",IF(ISNUMBER(G58),G58,DATOS!$C$57))</f>
        <v/>
      </c>
      <c r="BT58" s="47" t="str">
        <f>IF(BI58&lt;&gt;"SÍ","",IF(ISNUMBER(H58),H58,DATOS!$C$58))</f>
        <v/>
      </c>
      <c r="BU58" s="43" t="str">
        <f>IF(BI58&lt;&gt;"SÍ","",IF(N(K58)&gt;0,1+IF(N(P58)&gt;0,1+IF(N(U58)&gt;0,1+IF(N(Z58)&gt;0,1,0),0),0),0))</f>
        <v/>
      </c>
      <c r="BV58" s="45" t="str">
        <f>IF(BI58&lt;&gt;"SÍ","",IF(AND(OR(BU58&lt;1,AND(N(J58)&gt;=0-0.001,J58+K58&lt;=F58+0.001,N(L58)&gt;=0,N(L58)+N(M58)&lt;=BS58+0.001,N(M58)&gt;0,OR(I58="PUERTA",I58="VENTANA"))),OR(BU58&lt;2,AND(N(O58)&gt;=(J58+K58)-0.001,O58+P58&lt;=F58+0.001,N(Q58)&gt;=0,N(Q58)+N(R58)&lt;=BS58+0.001,N(R58)&gt;0,OR(N58="PUERTA",N58="VENTANA"))),OR(BU58&lt;3,AND(N(T58)&gt;=(O58+P58)-0.001,T58+U58&lt;=F58+0.001,N(V58)&gt;=0,N(V58)+N(W58)&lt;=BS58+0.001,N(W58)&gt;0,OR(S58="PUERTA",S58="VENTANA"))),OR(BU58&lt;4,AND(N(Y58)&gt;=(T58+U58)-0.001,Y58+Z58&lt;=F58+0.001,N(AA58)&gt;=0,N(AA58)+N(AB58)&lt;=BS58+0.001,N(AB58)&gt;0,OR(X58="PUERTA",X58="VENTANA"))),(N(K58)&gt;0)+(N(P58)&gt;0)+(N(U58)&gt;0)+(N(Z58)&gt;0)=BU58),"CUMPLE","REVISAR VANOS: tipo, orden de izquierda a derecha, que quepan en L y en H"))</f>
        <v/>
      </c>
      <c r="BW58" s="44" t="str">
        <f>IF(BI58&lt;&gt;"SÍ","",MAX(0,IF(BU58&gt;=1,N(J58),F58)))</f>
        <v/>
      </c>
      <c r="BX58" s="44" t="str">
        <f>IF(BI58&lt;&gt;"SÍ","",MAX(0,IF(BU58&gt;=2,N(O58)-(N(J58)+N(K58)),IF(BU58=1,F58-(N(J58)+N(K58)),0))))</f>
        <v/>
      </c>
      <c r="BY58" s="44" t="str">
        <f>IF(BI58&lt;&gt;"SÍ","",MAX(0,IF(BU58&gt;=3,N(T58)-(N(O58)+N(P58)),IF(BU58=2,F58-(N(O58)+N(P58)),0))))</f>
        <v/>
      </c>
      <c r="BZ58" s="44" t="str">
        <f>IF(BI58&lt;&gt;"SÍ","",MAX(0,IF(BU58&gt;=4,N(Y58)-(N(T58)+N(U58)),IF(BU58=3,F58-(N(T58)+N(U58)),0))))</f>
        <v/>
      </c>
      <c r="CA58" s="44" t="str">
        <f>IF(BI58&lt;&gt;"SÍ","",MAX(0,IF(BU58=4,F58-(N(Y58)+N(Z58)),0)))</f>
        <v/>
      </c>
      <c r="CB58" s="46" t="str">
        <f>IF(BI58&lt;&gt;"SÍ","",SUMPRODUCT((BW58:CA58&gt;=DATOS!$C$72-0.0001)*BW58:CA58))</f>
        <v/>
      </c>
      <c r="CC58" s="43" t="str">
        <f>IF(BI58&lt;&gt;"SÍ","",SUMPRODUCT(--(BW58:CA58&gt;=DATOS!$C$72-0.0001)))</f>
        <v/>
      </c>
      <c r="CD58" s="44" t="str">
        <f>IF(BI58&lt;&gt;"SÍ","",SUM(BW58:CA58))</f>
        <v/>
      </c>
      <c r="CE58" s="43" t="str">
        <f>IF(BI58&lt;&gt;"SÍ","",BT58*CB58*100)</f>
        <v/>
      </c>
      <c r="CF58" s="43" t="str">
        <f>IF(BI58&lt;&gt;"SÍ","",BT58*CD58*100)</f>
        <v/>
      </c>
      <c r="CG58" s="47" t="str">
        <f>IF(BI58&lt;&gt;"SÍ","",BS58*100/BT58)</f>
        <v/>
      </c>
      <c r="CH58" s="45" t="str">
        <f>IF(BI58&lt;&gt;"SÍ","",IF(AND(OR(DATOS!$C$14="TIPO II",BT58&gt;=12),CG58&lt;=25),"CUMPLE","NO CUMPLE: "&amp;IF(AND(DATOS!$C$14="TIPO I",BT58&lt;12),"t &lt; 12 cm ","")&amp;IF(CG58&gt;25,"H/t &gt; 25","")))</f>
        <v/>
      </c>
      <c r="CI58" s="44" t="str">
        <f>IF(BI58&lt;&gt;"SÍ","",MIN(1.5*BS58,4))</f>
        <v/>
      </c>
      <c r="CJ58" s="43" t="str">
        <f>IF(BI58&lt;&gt;"SÍ","",SUMPRODUCT((BW58:CA58&gt;=2*DATOS!$C$59/100)*INT((BW58:CA58-DATOS!$C$59/100)/CI58-0.000001)*((BW58:CA58-DATOS!$C$59/100)&gt;0)))</f>
        <v/>
      </c>
      <c r="CK58" s="43" t="str">
        <f>IF(BI58&lt;&gt;"SÍ","",SUMPRODUCT((BW58:CA58&gt;0.0001)*1+(BW58:CA58&gt;=2*DATOS!$C$59/100)*1)+CJ58)</f>
        <v/>
      </c>
      <c r="CL58" s="44" t="str">
        <f>IF(BI58&lt;&gt;"SÍ","",IF(ISNUMBER(AC58),AC58,DATOS!$C$61)*INDEX(TABLAS!$D$6:$D$14,MATCH(IF(AD58&lt;&gt;"",AD58,DATOS!$C$62),TABLAS!$B$6:$B$14,0)))</f>
        <v/>
      </c>
      <c r="CM58" s="44" t="str">
        <f>IF(BI58&lt;&gt;"SÍ","",CK58*DATOS!$C$78+IF(CK58&gt;=2,2,CK58)*(CL58-DATOS!$C$78))</f>
        <v/>
      </c>
      <c r="CN58" s="47" t="str">
        <f>IF(BI58&lt;&gt;"SÍ","",MAX(BS58*100/6,40))</f>
        <v/>
      </c>
      <c r="CO58" s="48" t="str">
        <f>IF(BI58&lt;&gt;"SÍ","",IF(CG58&lt;=20,IF(E58="INTERIOR",0.7,0.6),MIN(IF(E58="INTERIOR",0.7,0.6),(1-2/24)*(1-(IF(E58="INTERIOR",0.8,1)*CG58/30)^2))))</f>
        <v/>
      </c>
      <c r="CP58" s="47" t="str">
        <f>IF(BI58&lt;&gt;"SÍ","",DATOS!$C$87*CO58*(DATOS!$C$33*CF58+CM58*DATOS!$C$48)/1000)</f>
        <v/>
      </c>
      <c r="CQ58" s="46" t="str">
        <f>IF(BI58&lt;&gt;"SÍ","",IF(CP58&gt;0,BO58/CP58,99))</f>
        <v/>
      </c>
      <c r="CR58" s="47" t="str">
        <f>IF(BI58&lt;&gt;"SÍ","",MAX(0,F58*100-DATOS!$C$59))</f>
        <v/>
      </c>
      <c r="CS58" s="47" t="str">
        <f>IF(BI58&lt;&gt;"SÍ","",MAX(0,F58*100-DATOS!$C$59/2))</f>
        <v/>
      </c>
      <c r="CT58" s="44" t="str">
        <f>IF(BI58&lt;&gt;"SÍ","",CL58*DATOS!$C$48*CR58/100000)</f>
        <v/>
      </c>
      <c r="CU58" s="44" t="str">
        <f>IF(BI58&lt;&gt;"SÍ","",IF(BN58&lt;0,0.8*CT58*MAX(0,1+BN58/(0.8*CM58*DATOS!$C$48/1000)),IF(BN58&lt;=CP58/3,0.8*CT58+0.3*BN58*CS58/100,(1.5*0.6*CT58+0.15*CP58*CS58/100)*MAX(0,1-BN58/CP58))))</f>
        <v/>
      </c>
      <c r="CV58" s="44" t="str">
        <f>IF(BI58&lt;&gt;"SÍ","",IF(BO58&lt;0,0.8*CT58*MAX(0,1+BO58/(0.8*CM58*DATOS!$C$48/1000)),IF(BO58&lt;=CP58/3,0.8*CT58+0.3*BO58*CS58/100,(1.5*0.6*CT58+0.15*CP58*CS58/100)*MAX(0,1-BO58/CP58))))</f>
        <v/>
      </c>
      <c r="CW58" s="46" t="str">
        <f>IF(BI58&lt;&gt;"SÍ","",MAX(0,MIN(CU58,CV58)))</f>
        <v/>
      </c>
      <c r="CX58" s="49" t="str">
        <f>IF(BI58&lt;&gt;"SÍ","",IF(CW58&gt;0,BL58/CW58,IF(BL58&gt;0,99,0)))</f>
        <v/>
      </c>
      <c r="CY58" s="44" t="str">
        <f>IF(BI58&lt;&gt;"SÍ","",IF(BW58&gt;0,MAX(1,MIN(1.5,1.5-0.625*(BS58/BW58-0.2))),0))</f>
        <v/>
      </c>
      <c r="CZ58" s="44" t="str">
        <f>IF(BI58&lt;&gt;"SÍ","",IF(BX58&gt;0,MAX(1,MIN(1.5,1.5-0.625*(BS58/BX58-0.2))),0))</f>
        <v/>
      </c>
      <c r="DA58" s="44" t="str">
        <f>IF(BI58&lt;&gt;"SÍ","",IF(BY58&gt;0,MAX(1,MIN(1.5,1.5-0.625*(BS58/BY58-0.2))),0))</f>
        <v/>
      </c>
      <c r="DB58" s="44" t="str">
        <f>IF(BI58&lt;&gt;"SÍ","",IF(BZ58&gt;0,MAX(1,MIN(1.5,1.5-0.625*(BS58/BZ58-0.2))),0))</f>
        <v/>
      </c>
      <c r="DC58" s="44" t="str">
        <f>IF(BI58&lt;&gt;"SÍ","",IF(CA58&gt;0,MAX(1,MIN(1.5,1.5-0.625*(BS58/CA58-0.2))),0))</f>
        <v/>
      </c>
      <c r="DD58" s="44" t="str">
        <f>IF(BI58&lt;&gt;"SÍ","",IF(OR(BW58&lt;DATOS!$C$72-0.0001,BM58&lt;0,CB58&lt;=0),0,MIN(DATOS!$C$86*(0.5*DATOS!$C$41*BT58*BW58*100+0.3*BM58*BW58/CB58*1000)*CY58,1.5*DATOS!$C$86*DATOS!$C$41*BT58*BW58*100*CY58)/1000))</f>
        <v/>
      </c>
      <c r="DE58" s="44" t="str">
        <f>IF(BI58&lt;&gt;"SÍ","",IF(OR(BX58&lt;DATOS!$C$72-0.0001,BM58&lt;0,CB58&lt;=0),0,MIN(DATOS!$C$86*(0.5*DATOS!$C$41*BT58*BX58*100+0.3*BM58*BX58/CB58*1000)*CZ58,1.5*DATOS!$C$86*DATOS!$C$41*BT58*BX58*100*CZ58)/1000))</f>
        <v/>
      </c>
      <c r="DF58" s="44" t="str">
        <f>IF(BI58&lt;&gt;"SÍ","",IF(OR(BY58&lt;DATOS!$C$72-0.0001,BM58&lt;0,CB58&lt;=0),0,MIN(DATOS!$C$86*(0.5*DATOS!$C$41*BT58*BY58*100+0.3*BM58*BY58/CB58*1000)*DA58,1.5*DATOS!$C$86*DATOS!$C$41*BT58*BY58*100*DA58)/1000))</f>
        <v/>
      </c>
      <c r="DG58" s="44" t="str">
        <f>IF(BI58&lt;&gt;"SÍ","",IF(OR(BZ58&lt;DATOS!$C$72-0.0001,BM58&lt;0,CB58&lt;=0),0,MIN(DATOS!$C$86*(0.5*DATOS!$C$41*BT58*BZ58*100+0.3*BM58*BZ58/CB58*1000)*DB58,1.5*DATOS!$C$86*DATOS!$C$41*BT58*BZ58*100*DB58)/1000))</f>
        <v/>
      </c>
      <c r="DH58" s="44" t="str">
        <f>IF(BI58&lt;&gt;"SÍ","",IF(OR(CA58&lt;DATOS!$C$72-0.0001,BM58&lt;0,CB58&lt;=0),0,MIN(DATOS!$C$86*(0.5*DATOS!$C$41*BT58*CA58*100+0.3*BM58*CA58/CB58*1000)*DC58,1.5*DATOS!$C$86*DATOS!$C$41*BT58*CA58*100*DC58)/1000))</f>
        <v/>
      </c>
      <c r="DI58" s="46" t="str">
        <f>IF(BI58&lt;&gt;"SÍ","",SUM(DD58:DH58))</f>
        <v/>
      </c>
      <c r="DJ58" s="48" t="str">
        <f>IF(BI58&lt;&gt;"SÍ","",IF(AE58="VARILLA EN JUNTAS",IF(ISNUMBER(AF58),AF58,2)*INDEX(TABLAS!$D$6:$D$14,MATCH(IF(AG58&lt;&gt;"",AG58,DATOS!$C$73),TABLAS!$B$6:$B$14,0)),IF(AE58="MALLA",IF(ISNUMBER(AF58),AF58,1)*INDEX(TABLAS!$D$19:$D$22,MATCH(IF(AG58&lt;&gt;"",AG58,DATOS!$C$74),TABLAS!$B$19:$B$22,0))/100,IF(AE58="ESCALERILLA",IF(ISNUMBER(AF58),AF58,2)*INDEX(TABLAS!$D$6:$D$14,MATCH(IF(AG58&lt;&gt;"",AG58,DATOS!$C$73),TABLAS!$B$6:$B$14,0)),0))))</f>
        <v/>
      </c>
      <c r="DK58" s="47" t="str">
        <f>IF(BI58&lt;&gt;"SÍ","",IF(OR(AE58="VARILLA EN JUNTAS",AE58="ESCALERILLA"),IF(ISNUMBER(AH58),AH58,2)*DATOS!$C$26,IF(AE58="MALLA",1,0)))</f>
        <v/>
      </c>
      <c r="DL58" s="44" t="str">
        <f>IF(BI58&lt;&gt;"SÍ","",IF(DK58&gt;0,DJ58/(DK58*BT58)*MIN(DATOS!$C$50,IF(AE58="MALLA",5000,6000)),0))</f>
        <v/>
      </c>
      <c r="DM58" s="44" t="str">
        <f>IF(BI58&lt;&gt;"SÍ","",IF(AE58="ESCALERILLA",0,MIN(DL58,0.1*DATOS!$C$33*DATOS!$C$24)))</f>
        <v/>
      </c>
      <c r="DN58" s="48" t="str">
        <f>IF(BI58&lt;&gt;"SÍ","",IF(AE58="MALLA",0.5,IF(DATOS!$C$33&lt;=60,0.55,IF(DATOS!$C$33&gt;=90,0.75,0.55+0.2*(DATOS!$C$33-60)/30))))</f>
        <v/>
      </c>
      <c r="DO58" s="48" t="str">
        <f>IF(BI58&lt;&gt;"SÍ","",1-DATOS!$C$91*DM58)</f>
        <v/>
      </c>
      <c r="DP58" s="44" t="str">
        <f>IF(BI58&lt;&gt;"SÍ","",IF(BW58&gt;0,IF(BS58/BW58&lt;=1,1.3,IF(BS58/BW58&gt;=1.5,1,1.3-0.6*(BS58/BW58-1))),0))</f>
        <v/>
      </c>
      <c r="DQ58" s="44" t="str">
        <f>IF(BI58&lt;&gt;"SÍ","",IF(BX58&gt;0,IF(BS58/BX58&lt;=1,1.3,IF(BS58/BX58&gt;=1.5,1,1.3-0.6*(BS58/BX58-1))),0))</f>
        <v/>
      </c>
      <c r="DR58" s="44" t="str">
        <f>IF(BI58&lt;&gt;"SÍ","",IF(BY58&gt;0,IF(BS58/BY58&lt;=1,1.3,IF(BS58/BY58&gt;=1.5,1,1.3-0.6*(BS58/BY58-1))),0))</f>
        <v/>
      </c>
      <c r="DS58" s="44" t="str">
        <f>IF(BI58&lt;&gt;"SÍ","",IF(BZ58&gt;0,IF(BS58/BZ58&lt;=1,1.3,IF(BS58/BZ58&gt;=1.5,1,1.3-0.6*(BS58/BZ58-1))),0))</f>
        <v/>
      </c>
      <c r="DT58" s="44" t="str">
        <f>IF(BI58&lt;&gt;"SÍ","",IF(CA58&gt;0,IF(BS58/CA58&lt;=1,1.3,IF(BS58/CA58&gt;=1.5,1,1.3-0.6*(BS58/CA58-1))),0))</f>
        <v/>
      </c>
      <c r="DU58" s="44" t="str">
        <f>IF(BI58&lt;&gt;"SÍ","",IF(OR(DM58&lt;=0,BW58&lt;DATOS!$C$72-0.0001),0,DATOS!$C$86*MAX(0,IF(BM58&gt;=0,DD58/(DATOS!$C$86*DM58*BT58*BW58*100/1000)*(DP58*DO58-1)+DN58,DO58*DN58))*DM58*BT58*BW58*100/1000))</f>
        <v/>
      </c>
      <c r="DV58" s="44" t="str">
        <f>IF(BI58&lt;&gt;"SÍ","",IF(OR(DM58&lt;=0,BX58&lt;DATOS!$C$72-0.0001),0,DATOS!$C$86*MAX(0,IF(BM58&gt;=0,DE58/(DATOS!$C$86*DM58*BT58*BX58*100/1000)*(DQ58*DO58-1)+DN58,DO58*DN58))*DM58*BT58*BX58*100/1000))</f>
        <v/>
      </c>
      <c r="DW58" s="44" t="str">
        <f>IF(BI58&lt;&gt;"SÍ","",IF(OR(DM58&lt;=0,BY58&lt;DATOS!$C$72-0.0001),0,DATOS!$C$86*MAX(0,IF(BM58&gt;=0,DF58/(DATOS!$C$86*DM58*BT58*BY58*100/1000)*(DR58*DO58-1)+DN58,DO58*DN58))*DM58*BT58*BY58*100/1000))</f>
        <v/>
      </c>
      <c r="DX58" s="44" t="str">
        <f>IF(BI58&lt;&gt;"SÍ","",IF(OR(DM58&lt;=0,BZ58&lt;DATOS!$C$72-0.0001),0,DATOS!$C$86*MAX(0,IF(BM58&gt;=0,DG58/(DATOS!$C$86*DM58*BT58*BZ58*100/1000)*(DS58*DO58-1)+DN58,DO58*DN58))*DM58*BT58*BZ58*100/1000))</f>
        <v/>
      </c>
      <c r="DY58" s="44" t="str">
        <f>IF(BI58&lt;&gt;"SÍ","",IF(OR(DM58&lt;=0,CA58&lt;DATOS!$C$72-0.0001),0,DATOS!$C$86*MAX(0,IF(BM58&gt;=0,DH58/(DATOS!$C$86*DM58*BT58*CA58*100/1000)*(DT58*DO58-1)+DN58,DO58*DN58))*DM58*BT58*CA58*100/1000))</f>
        <v/>
      </c>
      <c r="DZ58" s="46" t="str">
        <f>IF(BI58&lt;&gt;"SÍ","",SUM(DU58:DY58))</f>
        <v/>
      </c>
      <c r="EA58" s="45" t="str">
        <f>IF(BI58&lt;&gt;"SÍ","",IF(OR(AE58="",AE58="NINGUNO"),IF(DATOS!$C$41&gt;=10,"FALTA refuerzo horizontal: v'm ≥ 10 kg/cm² (6.5.2.2)",IF(AND(BM58&lt;0,BK58&gt;0),"FALTA: P en tensión, el refuerzo debe tomar todo el cortante (6.5.1.3)","—")),IF(AE58="ESCALERILLA","NO CUENTA: la escalerilla no se permite para cortante por sismo (6.5.3.1.2)",IF(AE58="MALLA",IF(AND(DL58&gt;=2.5,DL58&lt;=MAX(0.15*DATOS!$C$33*DATOS!$C$24,2.5)),"CUMPLE","NO CUMPLE: "&amp;IF(DL58&lt;2.5,"p_h·f_yh &lt; 2.5 (6.5.4.2.4)","p_h·f_yh &gt; 0.15·f'm·f_an (6.5.4.2.4)")),IF(AND(DK58&lt;=MIN(6*DATOS!$C$26,45),DL58&gt;=3,DL58&lt;=MIN(MAX(0.15*DATOS!$C$33*DATOS!$C$24,3),0.05*DATOS!$C$25/10*MIN(DATOS!$C$50,6000)/DK58),INDEX(TABLAS!$C$6:$C$14,MATCH(IF(AG58&lt;&gt;"",AG58,DATOS!$C$73),TABLAS!$B$6:$B$14,0))&gt;=0.35,INDEX(TABLAS!$C$6:$C$14,MATCH(IF(AG58&lt;&gt;"",AG58,DATOS!$C$73),TABLAS!$B$6:$B$14,0))&lt;=0.75*DATOS!$C$25/10),"CUMPLE","NO CUMPLE: "&amp;IF(DK58&gt;MIN(6*DATOS!$C$26,45),"s_h &gt; 6 hiladas o 45 cm (6.5.3.2.1) ","")&amp;IF(DL58&lt;3,"p_h·f_yh &lt; 3 (6.5.3.3.1) ","")&amp;IF(DL58&gt;MIN(MAX(0.15*DATOS!$C$33*DATOS!$C$24,3),0.05*DATOS!$C$25/10*MIN(DATOS!$C$50,6000)/DK58),"p_h·f_yh &gt; máximo (6.5.3.3.2) ","")&amp;IF(OR(INDEX(TABLAS!$C$6:$C$14,MATCH(IF(AG58&lt;&gt;"",AG58,DATOS!$C$73),TABLAS!$B$6:$B$14,0))&lt;0.35,INDEX(TABLAS!$C$6:$C$14,MATCH(IF(AG58&lt;&gt;"",AG58,DATOS!$C$73),TABLAS!$B$6:$B$14,0))&gt;0.75*DATOS!$C$25/10),"diámetro fuera de 3.5 mm a 0.75·h_j (4.2.2.2.1)",""))))))</f>
        <v/>
      </c>
      <c r="EB58" s="46" t="str">
        <f>IF(BI58&lt;&gt;"SÍ","",DI58+DZ58)</f>
        <v/>
      </c>
      <c r="EC58" s="50" t="str">
        <f>IF(BI58&lt;&gt;"SÍ","",IF(EB58&gt;0,BK58/EB58,IF(BK58&gt;0,99,0)))</f>
        <v/>
      </c>
      <c r="ED58" s="47" t="str">
        <f>IF(BI58&lt;&gt;"SÍ","",IF(CE58&lt;=0,-1,IF(BK58&lt;=DI58,0,IF(IF(BM58&gt;=0,IF((DATOS!$C$86*IF(AE58="MALLA",0.5,IF(DATOS!$C$33&lt;=60,0.55,IF(DATOS!$C$33&gt;=90,0.75,0.55+0.2*(DATOS!$C$33-60)/30)))*CE58/1000-DATOS!$C$91*SUMPRODUCT(DP58:DT58,DD58:DH58))&lt;=0,1E9,(BK58-SUMPRODUCT(DP58:DT58,DD58:DH58))/(DATOS!$C$86*IF(AE58="MALLA",0.5,IF(DATOS!$C$33&lt;=60,0.55,IF(DATOS!$C$33&gt;=90,0.75,0.55+0.2*(DATOS!$C$33-60)/30)))*CE58/1000-DATOS!$C$91*SUMPRODUCT(DP58:DT58,DD58:DH58))),IF((1-4*DATOS!$C$91*BK58*1000/(DATOS!$C$86*IF(AE58="MALLA",0.5,IF(DATOS!$C$33&lt;=60,0.55,IF(DATOS!$C$33&gt;=90,0.75,0.55+0.2*(DATOS!$C$33-60)/30)))*MAX(CE58,1)))&lt;0,1E9,(1-SQRT((1-4*DATOS!$C$91*BK58*1000/(DATOS!$C$86*IF(AE58="MALLA",0.5,IF(DATOS!$C$33&lt;=60,0.55,IF(DATOS!$C$33&gt;=90,0.75,0.55+0.2*(DATOS!$C$33-60)/30)))*MAX(CE58,1)))))/(2*DATOS!$C$91)))&gt;0.1*DATOS!$C$33*DATOS!$C$24+0.000001,-1,MAX(IF(AE58="MALLA",2.5,3),IF(BM58&gt;=0,IF((DATOS!$C$86*IF(AE58="MALLA",0.5,IF(DATOS!$C$33&lt;=60,0.55,IF(DATOS!$C$33&gt;=90,0.75,0.55+0.2*(DATOS!$C$33-60)/30)))*CE58/1000-DATOS!$C$91*SUMPRODUCT(DP58:DT58,DD58:DH58))&lt;=0,1E9,(BK58-SUMPRODUCT(DP58:DT58,DD58:DH58))/(DATOS!$C$86*IF(AE58="MALLA",0.5,IF(DATOS!$C$33&lt;=60,0.55,IF(DATOS!$C$33&gt;=90,0.75,0.55+0.2*(DATOS!$C$33-60)/30)))*CE58/1000-DATOS!$C$91*SUMPRODUCT(DP58:DT58,DD58:DH58))),IF((1-4*DATOS!$C$91*BK58*1000/(DATOS!$C$86*IF(AE58="MALLA",0.5,IF(DATOS!$C$33&lt;=60,0.55,IF(DATOS!$C$33&gt;=90,0.75,0.55+0.2*(DATOS!$C$33-60)/30)))*MAX(CE58,1)))&lt;0,1E9,(1-SQRT((1-4*DATOS!$C$91*BK58*1000/(DATOS!$C$86*IF(AE58="MALLA",0.5,IF(DATOS!$C$33&lt;=60,0.55,IF(DATOS!$C$33&gt;=90,0.75,0.55+0.2*(DATOS!$C$33-60)/30)))*MAX(CE58,1)))))/(2*DATOS!$C$91))))))))</f>
        <v/>
      </c>
      <c r="EE58" s="45" t="str">
        <f>IF(BI58&lt;&gt;"SÍ","",IF(ED58=0,"NO REQUIERE: V_mR ≥ V_u",IF(ED58&lt;0,"NO ALCANZA con refuerzo horizontal (haría falta más de 0.1·f'm·f_an efectivo): sube v'm con ensayes, el espesor o la longitud del muro",IF(AND(OR(AE58="VARILLA EN JUNTAS",AE58="MALLA"),LEFT(EA58,6)="CUMPLE",EC58&lt;=1),"YA LO TIENE (pide p_h·f_yh ≥ "&amp;TEXT(ED58,"0.0")&amp;" kg/cm²)","p_h·f_yh ≥ "&amp;TEXT(ED58,"0.0")&amp;" kg/cm² → "&amp;IF(AND(MIN(6,FLOOR(45/DATOS!$C$26,1),FLOOR((2*INDEX(TABLAS!$D$6:$D$14,MATCH("3/16 in",TABLAS!$B$6:$B$14,0)))*MIN(DATOS!$C$50,6000)/(BT58*DATOS!$C$26*MAX(ED58,0.001)),1))&gt;=1,((2*INDEX(TABLAS!$D$6:$D$14,MATCH("3/16 in",TABLAS!$B$6:$B$14,0)))*MIN(DATOS!$C$50,6000)/(MAX(MIN(6,FLOOR(45/DATOS!$C$26,1),FLOOR((2*INDEX(TABLAS!$D$6:$D$14,MATCH("3/16 in",TABLAS!$B$6:$B$14,0)))*MIN(DATOS!$C$50,6000)/(BT58*DATOS!$C$26*MAX(ED58,0.001)),1)),1)*DATOS!$C$26*BT58))&lt;=MIN(MAX(0.15*DATOS!$C$33*DATOS!$C$24,3),0.05*DATOS!$C$25/10*MIN(DATOS!$C$50,6000)/(MIN(6,FLOOR(45/DATOS!$C$26,1),FLOOR((2*INDEX(TABLAS!$D$6:$D$14,MATCH("3/16 in",TABLAS!$B$6:$B$14,0)))*MIN(DATOS!$C$50,6000)/(BT58*DATOS!$C$26*MAX(ED58,0.001)),1))*DATOS!$C$26))),"2 alambres de 3/16"" por junta cada "&amp;MIN(6,FLOOR(45/DATOS!$C$26,1),FLOOR((2*INDEX(TABLAS!$D$6:$D$14,MATCH("3/16 in",TABLAS!$B$6:$B$14,0)))*MIN(DATOS!$C$50,6000)/(BT58*DATOS!$C$26*MAX(ED58,0.001)),1))&amp;" hilada(s) (p_h·f_yh = "&amp;TEXT(((2*INDEX(TABLAS!$D$6:$D$14,MATCH("3/16 in",TABLAS!$B$6:$B$14,0)))*MIN(DATOS!$C$50,6000)/(MAX(MIN(6,FLOOR(45/DATOS!$C$26,1),FLOOR((2*INDEX(TABLAS!$D$6:$D$14,MATCH("3/16 in",TABLAS!$B$6:$B$14,0)))*MIN(DATOS!$C$50,6000)/(BT58*DATOS!$C$26*MAX(ED58,0.001)),1)),1)*DATOS!$C$26*BT58)),"0.00")&amp;")",IF(AND(MIN(6,FLOOR(45/DATOS!$C$26,1),FLOOR((2*INDEX(TABLAS!$D$6:$D$14,MATCH("5/32 in",TABLAS!$B$6:$B$14,0)))*MIN(DATOS!$C$50,6000)/(BT58*DATOS!$C$26*MAX(ED58,0.001)),1))&gt;=1,((2*INDEX(TABLAS!$D$6:$D$14,MATCH("5/32 in",TABLAS!$B$6:$B$14,0)))*MIN(DATOS!$C$50,6000)/(MAX(MIN(6,FLOOR(45/DATOS!$C$26,1),FLOOR((2*INDEX(TABLAS!$D$6:$D$14,MATCH("5/32 in",TABLAS!$B$6:$B$14,0)))*MIN(DATOS!$C$50,6000)/(BT58*DATOS!$C$26*MAX(ED58,0.001)),1)),1)*DATOS!$C$26*BT58))&lt;=MIN(MAX(0.15*DATOS!$C$33*DATOS!$C$24,3),0.05*DATOS!$C$25/10*MIN(DATOS!$C$50,6000)/(MIN(6,FLOOR(45/DATOS!$C$26,1),FLOOR((2*INDEX(TABLAS!$D$6:$D$14,MATCH("5/32 in",TABLAS!$B$6:$B$14,0)))*MIN(DATOS!$C$50,6000)/(BT58*DATOS!$C$26*MAX(ED58,0.001)),1))*DATOS!$C$26))),"2 alambres de 5/32"" por junta cada "&amp;MIN(6,FLOOR(45/DATOS!$C$26,1),FLOOR((2*INDEX(TABLAS!$D$6:$D$14,MATCH("5/32 in",TABLAS!$B$6:$B$14,0)))*MIN(DATOS!$C$50,6000)/(BT58*DATOS!$C$26*MAX(ED58,0.001)),1))&amp;" hilada(s) (p_h·f_yh = "&amp;TEXT(((2*INDEX(TABLAS!$D$6:$D$14,MATCH("5/32 in",TABLAS!$B$6:$B$14,0)))*MIN(DATOS!$C$50,6000)/(MAX(MIN(6,FLOOR(45/DATOS!$C$26,1),FLOOR((2*INDEX(TABLAS!$D$6:$D$14,MATCH("5/32 in",TABLAS!$B$6:$B$14,0)))*MIN(DATOS!$C$50,6000)/(BT58*DATOS!$C$26*MAX(ED58,0.001)),1)),1)*DATOS!$C$26*BT58)),"0.00")&amp;")",IF(AND(MIN(6,FLOOR(45/DATOS!$C$26,1),FLOOR((1*INDEX(TABLAS!$D$6:$D$14,MATCH("3/16 in",TABLAS!$B$6:$B$14,0)))*MIN(DATOS!$C$50,6000)/(BT58*DATOS!$C$26*MAX(ED58,0.001)),1))&gt;=1,((1*INDEX(TABLAS!$D$6:$D$14,MATCH("3/16 in",TABLAS!$B$6:$B$14,0)))*MIN(DATOS!$C$50,6000)/(MAX(MIN(6,FLOOR(45/DATOS!$C$26,1),FLOOR((1*INDEX(TABLAS!$D$6:$D$14,MATCH("3/16 in",TABLAS!$B$6:$B$14,0)))*MIN(DATOS!$C$50,6000)/(BT58*DATOS!$C$26*MAX(ED58,0.001)),1)),1)*DATOS!$C$26*BT58))&lt;=MIN(MAX(0.15*DATOS!$C$33*DATOS!$C$24,3),0.05*DATOS!$C$25/10*MIN(DATOS!$C$50,6000)/(MIN(6,FLOOR(45/DATOS!$C$26,1),FLOOR((1*INDEX(TABLAS!$D$6:$D$14,MATCH("3/16 in",TABLAS!$B$6:$B$14,0)))*MIN(DATOS!$C$50,6000)/(BT58*DATOS!$C$26*MAX(ED58,0.001)),1))*DATOS!$C$26))),"1 alambre de 3/16"" por junta cada "&amp;MIN(6,FLOOR(45/DATOS!$C$26,1),FLOOR((1*INDEX(TABLAS!$D$6:$D$14,MATCH("3/16 in",TABLAS!$B$6:$B$14,0)))*MIN(DATOS!$C$50,6000)/(BT58*DATOS!$C$26*MAX(ED58,0.001)),1))&amp;" hilada(s) (p_h·f_yh = "&amp;TEXT(((1*INDEX(TABLAS!$D$6:$D$14,MATCH("3/16 in",TABLAS!$B$6:$B$14,0)))*MIN(DATOS!$C$50,6000)/(MAX(MIN(6,FLOOR(45/DATOS!$C$26,1),FLOOR((1*INDEX(TABLAS!$D$6:$D$14,MATCH("3/16 in",TABLAS!$B$6:$B$14,0)))*MIN(DATOS!$C$50,6000)/(BT58*DATOS!$C$26*MAX(ED58,0.001)),1)),1)*DATOS!$C$26*BT58)),"0.00")&amp;")",IF(AND(MIN(6,FLOOR(45/DATOS!$C$26,1),FLOOR((1*INDEX(TABLAS!$D$6:$D$14,MATCH("5/32 in",TABLAS!$B$6:$B$14,0)))*MIN(DATOS!$C$50,6000)/(BT58*DATOS!$C$26*MAX(ED58,0.001)),1))&gt;=1,((1*INDEX(TABLAS!$D$6:$D$14,MATCH("5/32 in",TABLAS!$B$6:$B$14,0)))*MIN(DATOS!$C$50,6000)/(MAX(MIN(6,FLOOR(45/DATOS!$C$26,1),FLOOR((1*INDEX(TABLAS!$D$6:$D$14,MATCH("5/32 in",TABLAS!$B$6:$B$14,0)))*MIN(DATOS!$C$50,6000)/(BT58*DATOS!$C$26*MAX(ED58,0.001)),1)),1)*DATOS!$C$26*BT58))&lt;=MIN(MAX(0.15*DATOS!$C$33*DATOS!$C$24,3),0.05*DATOS!$C$25/10*MIN(DATOS!$C$50,6000)/(MIN(6,FLOOR(45/DATOS!$C$26,1),FLOOR((1*INDEX(TABLAS!$D$6:$D$14,MATCH("5/32 in",TABLAS!$B$6:$B$14,0)))*MIN(DATOS!$C$50,6000)/(BT58*DATOS!$C$26*MAX(ED58,0.001)),1))*DATOS!$C$26))),"1 alambre de 5/32"" por junta cada "&amp;MIN(6,FLOOR(45/DATOS!$C$26,1),FLOOR((1*INDEX(TABLAS!$D$6:$D$14,MATCH("5/32 in",TABLAS!$B$6:$B$14,0)))*MIN(DATOS!$C$50,6000)/(BT58*DATOS!$C$26*MAX(ED58,0.001)),1))&amp;" hilada(s) (p_h·f_yh = "&amp;TEXT(((1*INDEX(TABLAS!$D$6:$D$14,MATCH("5/32 in",TABLAS!$B$6:$B$14,0)))*MIN(DATOS!$C$50,6000)/(MAX(MIN(6,FLOOR(45/DATOS!$C$26,1),FLOOR((1*INDEX(TABLAS!$D$6:$D$14,MATCH("5/32 in",TABLAS!$B$6:$B$14,0)))*MIN(DATOS!$C$50,6000)/(BT58*DATOS!$C$26*MAX(ED58,0.001)),1)),1)*DATOS!$C$26*BT58)),"0.00")&amp;")","ninguna combinación de 1 o 2 alambres por junta queda entre el mínimo y el máximo: revisa con malla (6.5.4)"))))))))</f>
        <v/>
      </c>
      <c r="EF58" s="43" t="str">
        <f>IF(BI58&lt;&gt;"SÍ","",IF(AI58="SÍ",N(AK58)*N(AL58)^3/12,0))</f>
        <v/>
      </c>
      <c r="EG58" s="48" t="str">
        <f>IF(BI58&lt;&gt;"SÍ","",IF(AND(AI58="SÍ",N(AM58)&gt;0),MIN(1,F58/AM58),0))</f>
        <v/>
      </c>
      <c r="EH58" s="47" t="str">
        <f>IF(BI58&lt;&gt;"SÍ","",IF(AI58="SÍ",BP58*1000/(BT58*F58*100)*BT58*(EG58^4-4*EG58^3+8*EG58),0))</f>
        <v/>
      </c>
      <c r="EI58" s="48" t="str">
        <f>IF(BI58&lt;&gt;"SÍ","",IF(AND(AI58="SÍ",EH58&gt;0),EH58/(EH58+5*N(AN58)*10),0))</f>
        <v/>
      </c>
      <c r="EJ58" s="44" t="str">
        <f>IF(BI58&lt;&gt;"SÍ","",IF(AND(AI58="SÍ",EI58&gt;0,EF58&gt;0),(DATOS!$C$43*BT58*(AM58*100)^3/(DATOS!$C$53*EF58*EI58))^0.25,0))</f>
        <v/>
      </c>
      <c r="EK58" s="44" t="str">
        <f>IF(BI58&lt;&gt;"SÍ","",IF(AI58&lt;&gt;"SÍ",0,IF(N(AM58)&lt;=F58,1,IF(MIN(1,N(AO58)/((AM58-F58)/2))&lt;=0.5,0.7+0.6*MIN(1,N(AO58)/((AM58-F58)/2)),1.5-MIN(1,N(AO58)/((AM58-F58)/2))))))</f>
        <v/>
      </c>
      <c r="EL58" s="44" t="str">
        <f>IF(BI58&lt;&gt;"SÍ","",IF(AI58&lt;&gt;"SÍ",0,MAX(1,IF(EG58&gt;=1,(1.6*EJ58-3.9),IF(EG58&lt;0.9,((3.2*EJ58-7.8)*EK58),((3.2*EJ58-7.8)*EK58)+((1.6*EJ58-3.9)-((3.2*EJ58-7.8)*EK58))*(EG58-0.9)/0.1)))))</f>
        <v/>
      </c>
      <c r="EM58" s="47" t="str">
        <f>IF(BI58&lt;&gt;"SÍ","",IF(AI58="SÍ",EL58*BP58*1000/(BT58*F58*100),0))</f>
        <v/>
      </c>
      <c r="EN58" s="47" t="str">
        <f>IF(BI58&lt;&gt;"SÍ","",IF(AND(AI58="SÍ",N(AL58)&gt;0),AM58*100/AL58,0))</f>
        <v/>
      </c>
      <c r="EO58" s="47" t="str">
        <f>IF(BI58&lt;&gt;"SÍ","",IF(AI58="SÍ",(1/15*DATOS!$C$53*N(AK58)/MAX((IF(ISNUMBER(AP58),AP58,BP58/DATOS!$C$90)*1000/(BT58*F58*100)*BT58*(EG58^4-4*EG58^3+8*EG58))+5*N(AN58)/DATOS!$C$90*10,0.001))^(1/3),0))</f>
        <v/>
      </c>
      <c r="EP58" s="45" t="str">
        <f>IF(BI58&lt;&gt;"SÍ","",IF(AI58&lt;&gt;"SÍ","—",IF(OR(N(AK58)&lt;=0,N(AL58)&lt;=0,N(AM58)&lt;=0),"REVISAR: faltan b, h o L_v de la viga",IF(AND(EM58&lt;=DATOS!$C$87*DATOS!$C$33,EN58&lt;=14,N(AL58)&gt;=25,EN58&lt;=EO58),IF(BS58/F58&lt;0.6,"PENDIENTE: H/L &lt; 0.6, falta el análisis de interacción muro–viga (4.1.18.2.1); f_CM es estimado","CUMPLE"),"NO CUMPLE: "&amp;IF(EM58&gt;DATOS!$C$87*DATOS!$C$33,"f_CM &gt; F_R·f'm ","")&amp;IF(EN58&gt;14,"L_v/h_v &gt; 14 ","")&amp;IF(N(AL58)&lt;25,"h_v &lt; 25 cm ","")&amp;IF(EN58&gt;EO58,"flecha (4.1.18.3)","")))))</f>
        <v/>
      </c>
      <c r="EQ58" s="44" t="str">
        <f>IF(BI58&lt;&gt;"SÍ","",MAX(0,F58*BS58-(N(K58)*N(M58)+N(P58)*N(R58)+N(U58)*N(W58)+N(Z58)*N(AB58))-CK58*DATOS!$C$59/100*BS58))</f>
        <v/>
      </c>
      <c r="ER58" s="48" t="str">
        <f>IF(BI58&lt;&gt;"SÍ","",CK58*DATOS!$C$59*DATOS!$C$60/10000*BS58)</f>
        <v/>
      </c>
      <c r="ES58" s="47" t="str">
        <f>IF(BI58&lt;&gt;"SÍ","",CK58*(DATOS!$C$61*(BS58+0.6)*INDEX(TABLAS!$E$6:$E$14,MATCH(DATOS!$C$62,TABLAS!$B$6:$B$14,0))+(2*ROUNDUP(CN58/DATOS!$C$65,0)+ROUNDUP(MAX(0,BS58*100-2*CN58)/DATOS!$C$64,0))*((2*(DATOS!$C$60+DATOS!$C$59-4*(DATOS!$C$66-INDEX(TABLAS!$C$6:$C$14,MATCH(DATOS!$C$63,TABLAS!$B$6:$B$14,0))))+15)/100)*INDEX(TABLAS!$E$6:$E$14,MATCH(DATOS!$C$63,TABLAS!$B$6:$B$14,0))))</f>
        <v/>
      </c>
      <c r="ET58" s="47" t="str">
        <f>IF(BI58&lt;&gt;"SÍ","",IF(OR(AE58="VARILLA EN JUNTAS",AE58="ESCALERILLA"),INT(BS58*100/MAX(DK58,1))*IF(ISNUMBER(AF58),AF58,2)*CB58*INDEX(TABLAS!$E$6:$E$14,MATCH(IF(AG58&lt;&gt;"",AG58,DATOS!$C$73),TABLAS!$B$6:$B$14,0)),IF(AE58="MALLA",IF(ISNUMBER(AF58),AF58,1)*CB58*BS58*INDEX(TABLAS!$E$19:$E$22,MATCH(IF(AG58&lt;&gt;"",AG58,DATOS!$C$74),TABLAS!$B$19:$B$22,0)),0)))</f>
        <v/>
      </c>
      <c r="EU58" s="45" t="str">
        <f>IF(BI58&lt;&gt;"SÍ","",""&amp;IF(BJ58="NO ESTÁ EN PIER_FORCES","sin fuerzas en PIER_FORCES; ","")&amp;IF(BV58&lt;&gt;"CUMPLE","vanos; ","")&amp;IF(LEFT(CH58,2)="NO","espesor o esbeltez; ","")&amp;IF(CQ58&gt;1,"compresión; ","")&amp;IF(CX58&gt;1,"flexión; ","")&amp;IF(CB58&lt;=0,"sin tramos de muro (todos son machones menores que L mín.: diséñalos como columnas o baja L mín.); ",IF(EC58&gt;1,"cortante; ",""))&amp;IF(OR(LEFT(EA58,2)="NO",LEFT(EA58,5)="FALTA"),"refuerzo horizontal; ","")&amp;IF(OR(LEFT(EP58,2)="NO",LEFT(EP58,7)="REVISAR"),"muro sobre viga; ","")&amp;IF(LEFT(DATOS!$C$81,2)="NO","castillo típico; ","")&amp;IF(LEFT(DATOS!$C$82,2)="NO","dala típica; ","")&amp;IF(AND(BT58&lt;&gt;DATOS!$C$58,DATOS!$C$60&lt;BT58),"castillo más angosto que el muro; ",""))</f>
        <v/>
      </c>
      <c r="EV58" s="45" t="str">
        <f>IF(BI58&lt;&gt;"SÍ","",""&amp;IF(LEFT(EP58,9)="PENDIENTE","análisis muro–viga (H/L &lt; 0.6); ","")&amp;IF(BR58&gt;50,"V_u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8" s="51" t="str">
        <f>IF(BI58&lt;&gt;"SÍ","",IF(EU58&lt;&gt;"","NO CUMPLE: "&amp;LEFT(EU58,LEN(EU58)-2),IF(EV58&lt;&gt;"","CUMPLE — PENDIENTE: "&amp;LEFT(EV58,LEN(EV58)-2),"CUMPLE")))</f>
        <v/>
      </c>
      <c r="EX58" s="52" t="n"/>
    </row>
    <row r="59" ht="30" customHeight="1">
      <c r="A59" s="38" t="str">
        <f>IF(B59="","",ROW()-10)</f>
        <v/>
      </c>
      <c r="B59" s="28" t="n"/>
      <c r="C59" s="39" t="n"/>
      <c r="D59" s="39" t="n"/>
      <c r="E59" s="39" t="n"/>
      <c r="F59" s="40" t="n"/>
      <c r="G59" s="40" t="n"/>
      <c r="H59" s="41" t="n"/>
      <c r="I59" s="39" t="n"/>
      <c r="J59" s="40" t="n"/>
      <c r="K59" s="40" t="n"/>
      <c r="L59" s="40" t="n"/>
      <c r="M59" s="40" t="n"/>
      <c r="N59" s="39" t="n"/>
      <c r="O59" s="40" t="n"/>
      <c r="P59" s="40" t="n"/>
      <c r="Q59" s="40" t="n"/>
      <c r="R59" s="40" t="n"/>
      <c r="S59" s="39" t="n"/>
      <c r="T59" s="40" t="n"/>
      <c r="U59" s="40" t="n"/>
      <c r="V59" s="40" t="n"/>
      <c r="W59" s="40" t="n"/>
      <c r="X59" s="39" t="n"/>
      <c r="Y59" s="40" t="n"/>
      <c r="Z59" s="40" t="n"/>
      <c r="AA59" s="40" t="n"/>
      <c r="AB59" s="40" t="n"/>
      <c r="AC59" s="41" t="n"/>
      <c r="AD59" s="41" t="n"/>
      <c r="AE59" s="39" t="n"/>
      <c r="AF59" s="41" t="n"/>
      <c r="AG59" s="41" t="n"/>
      <c r="AH59" s="41" t="n"/>
      <c r="AI59" s="39" t="n"/>
      <c r="AJ59" s="39" t="n"/>
      <c r="AK59" s="41" t="n"/>
      <c r="AL59" s="41" t="n"/>
      <c r="AM59" s="40" t="n"/>
      <c r="AN59" s="40" t="n"/>
      <c r="AO59" s="40" t="n"/>
      <c r="AP59" s="40" t="n"/>
      <c r="AQ59" s="40" t="n"/>
      <c r="AR59" s="40" t="n"/>
      <c r="AS59" s="40" t="n"/>
      <c r="AT59" s="40" t="n"/>
      <c r="AU59" s="40" t="n"/>
      <c r="AV59" s="40" t="n"/>
      <c r="AW59" s="40" t="n"/>
      <c r="AX59" s="42" t="str">
        <f>IF(B59="","",C59&amp;"|"&amp;B59)</f>
        <v/>
      </c>
      <c r="AY59" s="43" t="str">
        <f>IF(B59="","",COUNTIFS(PIER_FORCES!$O$9:$O$3008,49,PIER_FORCES!$P$9:$P$3008,1))</f>
        <v/>
      </c>
      <c r="AZ59" s="43" t="str">
        <f>IF(B59="","",COUNTIFS(PIER_FORCES!$O$9:$O$3008,49,PIER_FORCES!$P$9:$P$3008,2))</f>
        <v/>
      </c>
      <c r="BA59" s="44">
        <f>IF(N(AY59)=0,0,SUMPRODUCT(MAX((PIER_FORCES!$O$9:$O$3008=49)*(PIER_FORCES!$P$9:$P$3008=1)*PIER_FORCES!$R$9:$R$3008)))</f>
        <v>0</v>
      </c>
      <c r="BB59" s="44">
        <f>IF(N(AY59)=0,0,SUMPRODUCT(MAX((PIER_FORCES!$O$9:$O$3008=49)*(PIER_FORCES!$P$9:$P$3008=1)*PIER_FORCES!$S$9:$S$3008)))</f>
        <v>0</v>
      </c>
      <c r="BC59" s="44">
        <f>IF(N(AY59)=0,0,-SUMPRODUCT(MAX((PIER_FORCES!$O$9:$O$3008=49)*(PIER_FORCES!$P$9:$P$3008=1)*(-PIER_FORCES!$Q$9:$Q$3008)+(1-(PIER_FORCES!$O$9:$O$3008=49)*(PIER_FORCES!$P$9:$P$3008=1))*(-1E9))))</f>
        <v>0</v>
      </c>
      <c r="BD59" s="44">
        <f>IF(N(AY59)=0,0,SUMPRODUCT(MAX((PIER_FORCES!$O$9:$O$3008=49)*(PIER_FORCES!$P$9:$P$3008=1)*PIER_FORCES!$Q$9:$Q$3008+(1-(PIER_FORCES!$O$9:$O$3008=49)*(PIER_FORCES!$P$9:$P$3008=1))*(-1E9))))</f>
        <v>0</v>
      </c>
      <c r="BE59" s="44">
        <f>IF(N(AZ59)=0,BD59,SUMPRODUCT(MAX((PIER_FORCES!$O$9:$O$3008=49)*(PIER_FORCES!$P$9:$P$3008=2)*PIER_FORCES!$Q$9:$Q$3008+(1-(PIER_FORCES!$O$9:$O$3008=49)*(PIER_FORCES!$P$9:$P$3008=2))*(-1E9))))</f>
        <v>0</v>
      </c>
      <c r="BF59" s="44">
        <f>IF(N(AZ59)=0,0,SUMPRODUCT(MAX((PIER_FORCES!$O$9:$O$3008=49)*(PIER_FORCES!$P$9:$P$3008=2)*PIER_FORCES!$R$9:$R$3008)))</f>
        <v>0</v>
      </c>
      <c r="BG59" s="43">
        <f>IF(N(AY59)=0,0,SUMPRODUCT(MAX((PIER_FORCES!$O$9:$O$3008=49)*(PIER_FORCES!$P$9:$P$3008=1)*(ABS(PIER_FORCES!$R$9:$R$3008-BA59)&lt;0.000001)*PIER_FORCES!$T$9:$T$3008)))</f>
        <v>0</v>
      </c>
      <c r="BH59" s="45" t="str">
        <f>IF(N(BG59)=0,"",INDEX(PIER_FORCES!$D$9:$D$3008,BG59)&amp;" "&amp;INDEX(PIER_FORCES!$F$9:$F$3008,BG59)&amp;" / "&amp;INDEX(PIER_FORCES!$G$9:$G$3008,BG59))</f>
        <v/>
      </c>
      <c r="BI59" s="42" t="str">
        <f>IF(B59="","",IF(AND(C59&lt;&gt;"",OR(D59="X",D59="Y"),ISNUMBER(F59),N(F59)&gt;0),"SÍ","NO"))</f>
        <v/>
      </c>
      <c r="BJ59" s="42" t="str">
        <f>IF(BI59&lt;&gt;"SÍ","",IF(DATOS!$C$108="ETABS (PIER_FORCES)",IF(N(AY59)&gt;0,"ETABS","NO ESTÁ EN PIER_FORCES"),"CAPTURA"))</f>
        <v/>
      </c>
      <c r="BK59" s="46" t="str">
        <f>IF(BI59&lt;&gt;"SÍ","",IF(BJ59="ETABS",BA59,IF(BJ59="CAPTURA",N(AQ59),0)))</f>
        <v/>
      </c>
      <c r="BL59" s="46" t="str">
        <f>IF(BI59&lt;&gt;"SÍ","",IF(BJ59="ETABS",BB59,IF(BJ59="CAPTURA",N(AR59),0)))</f>
        <v/>
      </c>
      <c r="BM59" s="46" t="str">
        <f>IF(BI59&lt;&gt;"SÍ","",IF(BJ59="ETABS",BC59/DATOS!$C$89,IF(BJ59="CAPTURA",N(AS59),0)))</f>
        <v/>
      </c>
      <c r="BN59" s="44" t="str">
        <f>IF(BI59&lt;&gt;"SÍ","",IF(BJ59="ETABS",BC59,IF(BJ59="CAPTURA",IF(ISNUMBER(AU59),AU59,N(AS59)*DATOS!$C$89),0)))</f>
        <v/>
      </c>
      <c r="BO59" s="44" t="str">
        <f>IF(BI59&lt;&gt;"SÍ","",IF(BJ59="ETABS",MAX(BD59,BE59),IF(BJ59="CAPTURA",N(AT59),0)))</f>
        <v/>
      </c>
      <c r="BP59" s="44" t="str">
        <f>IF(BI59&lt;&gt;"SÍ","",IF(BJ59="ETABS",BE59,IF(BJ59="CAPTURA",IF(ISNUMBER(AV59),AV59,N(AT59)),0)))</f>
        <v/>
      </c>
      <c r="BQ59" s="44" t="str">
        <f>IF(BI59&lt;&gt;"SÍ","",IF(BJ59="ETABS",BF59,IF(BJ59="CAPTURA",N(AW59),0)))</f>
        <v/>
      </c>
      <c r="BR59" s="43" t="str">
        <f>IF(BI59&lt;&gt;"SÍ","",IF(BK59&gt;0,100*BQ59/BK59,0))</f>
        <v/>
      </c>
      <c r="BS59" s="44" t="str">
        <f>IF(BI59&lt;&gt;"SÍ","",IF(ISNUMBER(G59),G59,DATOS!$C$57))</f>
        <v/>
      </c>
      <c r="BT59" s="47" t="str">
        <f>IF(BI59&lt;&gt;"SÍ","",IF(ISNUMBER(H59),H59,DATOS!$C$58))</f>
        <v/>
      </c>
      <c r="BU59" s="43" t="str">
        <f>IF(BI59&lt;&gt;"SÍ","",IF(N(K59)&gt;0,1+IF(N(P59)&gt;0,1+IF(N(U59)&gt;0,1+IF(N(Z59)&gt;0,1,0),0),0),0))</f>
        <v/>
      </c>
      <c r="BV59" s="45" t="str">
        <f>IF(BI59&lt;&gt;"SÍ","",IF(AND(OR(BU59&lt;1,AND(N(J59)&gt;=0-0.001,J59+K59&lt;=F59+0.001,N(L59)&gt;=0,N(L59)+N(M59)&lt;=BS59+0.001,N(M59)&gt;0,OR(I59="PUERTA",I59="VENTANA"))),OR(BU59&lt;2,AND(N(O59)&gt;=(J59+K59)-0.001,O59+P59&lt;=F59+0.001,N(Q59)&gt;=0,N(Q59)+N(R59)&lt;=BS59+0.001,N(R59)&gt;0,OR(N59="PUERTA",N59="VENTANA"))),OR(BU59&lt;3,AND(N(T59)&gt;=(O59+P59)-0.001,T59+U59&lt;=F59+0.001,N(V59)&gt;=0,N(V59)+N(W59)&lt;=BS59+0.001,N(W59)&gt;0,OR(S59="PUERTA",S59="VENTANA"))),OR(BU59&lt;4,AND(N(Y59)&gt;=(T59+U59)-0.001,Y59+Z59&lt;=F59+0.001,N(AA59)&gt;=0,N(AA59)+N(AB59)&lt;=BS59+0.001,N(AB59)&gt;0,OR(X59="PUERTA",X59="VENTANA"))),(N(K59)&gt;0)+(N(P59)&gt;0)+(N(U59)&gt;0)+(N(Z59)&gt;0)=BU59),"CUMPLE","REVISAR VANOS: tipo, orden de izquierda a derecha, que quepan en L y en H"))</f>
        <v/>
      </c>
      <c r="BW59" s="44" t="str">
        <f>IF(BI59&lt;&gt;"SÍ","",MAX(0,IF(BU59&gt;=1,N(J59),F59)))</f>
        <v/>
      </c>
      <c r="BX59" s="44" t="str">
        <f>IF(BI59&lt;&gt;"SÍ","",MAX(0,IF(BU59&gt;=2,N(O59)-(N(J59)+N(K59)),IF(BU59=1,F59-(N(J59)+N(K59)),0))))</f>
        <v/>
      </c>
      <c r="BY59" s="44" t="str">
        <f>IF(BI59&lt;&gt;"SÍ","",MAX(0,IF(BU59&gt;=3,N(T59)-(N(O59)+N(P59)),IF(BU59=2,F59-(N(O59)+N(P59)),0))))</f>
        <v/>
      </c>
      <c r="BZ59" s="44" t="str">
        <f>IF(BI59&lt;&gt;"SÍ","",MAX(0,IF(BU59&gt;=4,N(Y59)-(N(T59)+N(U59)),IF(BU59=3,F59-(N(T59)+N(U59)),0))))</f>
        <v/>
      </c>
      <c r="CA59" s="44" t="str">
        <f>IF(BI59&lt;&gt;"SÍ","",MAX(0,IF(BU59=4,F59-(N(Y59)+N(Z59)),0)))</f>
        <v/>
      </c>
      <c r="CB59" s="46" t="str">
        <f>IF(BI59&lt;&gt;"SÍ","",SUMPRODUCT((BW59:CA59&gt;=DATOS!$C$72-0.0001)*BW59:CA59))</f>
        <v/>
      </c>
      <c r="CC59" s="43" t="str">
        <f>IF(BI59&lt;&gt;"SÍ","",SUMPRODUCT(--(BW59:CA59&gt;=DATOS!$C$72-0.0001)))</f>
        <v/>
      </c>
      <c r="CD59" s="44" t="str">
        <f>IF(BI59&lt;&gt;"SÍ","",SUM(BW59:CA59))</f>
        <v/>
      </c>
      <c r="CE59" s="43" t="str">
        <f>IF(BI59&lt;&gt;"SÍ","",BT59*CB59*100)</f>
        <v/>
      </c>
      <c r="CF59" s="43" t="str">
        <f>IF(BI59&lt;&gt;"SÍ","",BT59*CD59*100)</f>
        <v/>
      </c>
      <c r="CG59" s="47" t="str">
        <f>IF(BI59&lt;&gt;"SÍ","",BS59*100/BT59)</f>
        <v/>
      </c>
      <c r="CH59" s="45" t="str">
        <f>IF(BI59&lt;&gt;"SÍ","",IF(AND(OR(DATOS!$C$14="TIPO II",BT59&gt;=12),CG59&lt;=25),"CUMPLE","NO CUMPLE: "&amp;IF(AND(DATOS!$C$14="TIPO I",BT59&lt;12),"t &lt; 12 cm ","")&amp;IF(CG59&gt;25,"H/t &gt; 25","")))</f>
        <v/>
      </c>
      <c r="CI59" s="44" t="str">
        <f>IF(BI59&lt;&gt;"SÍ","",MIN(1.5*BS59,4))</f>
        <v/>
      </c>
      <c r="CJ59" s="43" t="str">
        <f>IF(BI59&lt;&gt;"SÍ","",SUMPRODUCT((BW59:CA59&gt;=2*DATOS!$C$59/100)*INT((BW59:CA59-DATOS!$C$59/100)/CI59-0.000001)*((BW59:CA59-DATOS!$C$59/100)&gt;0)))</f>
        <v/>
      </c>
      <c r="CK59" s="43" t="str">
        <f>IF(BI59&lt;&gt;"SÍ","",SUMPRODUCT((BW59:CA59&gt;0.0001)*1+(BW59:CA59&gt;=2*DATOS!$C$59/100)*1)+CJ59)</f>
        <v/>
      </c>
      <c r="CL59" s="44" t="str">
        <f>IF(BI59&lt;&gt;"SÍ","",IF(ISNUMBER(AC59),AC59,DATOS!$C$61)*INDEX(TABLAS!$D$6:$D$14,MATCH(IF(AD59&lt;&gt;"",AD59,DATOS!$C$62),TABLAS!$B$6:$B$14,0)))</f>
        <v/>
      </c>
      <c r="CM59" s="44" t="str">
        <f>IF(BI59&lt;&gt;"SÍ","",CK59*DATOS!$C$78+IF(CK59&gt;=2,2,CK59)*(CL59-DATOS!$C$78))</f>
        <v/>
      </c>
      <c r="CN59" s="47" t="str">
        <f>IF(BI59&lt;&gt;"SÍ","",MAX(BS59*100/6,40))</f>
        <v/>
      </c>
      <c r="CO59" s="48" t="str">
        <f>IF(BI59&lt;&gt;"SÍ","",IF(CG59&lt;=20,IF(E59="INTERIOR",0.7,0.6),MIN(IF(E59="INTERIOR",0.7,0.6),(1-2/24)*(1-(IF(E59="INTERIOR",0.8,1)*CG59/30)^2))))</f>
        <v/>
      </c>
      <c r="CP59" s="47" t="str">
        <f>IF(BI59&lt;&gt;"SÍ","",DATOS!$C$87*CO59*(DATOS!$C$33*CF59+CM59*DATOS!$C$48)/1000)</f>
        <v/>
      </c>
      <c r="CQ59" s="46" t="str">
        <f>IF(BI59&lt;&gt;"SÍ","",IF(CP59&gt;0,BO59/CP59,99))</f>
        <v/>
      </c>
      <c r="CR59" s="47" t="str">
        <f>IF(BI59&lt;&gt;"SÍ","",MAX(0,F59*100-DATOS!$C$59))</f>
        <v/>
      </c>
      <c r="CS59" s="47" t="str">
        <f>IF(BI59&lt;&gt;"SÍ","",MAX(0,F59*100-DATOS!$C$59/2))</f>
        <v/>
      </c>
      <c r="CT59" s="44" t="str">
        <f>IF(BI59&lt;&gt;"SÍ","",CL59*DATOS!$C$48*CR59/100000)</f>
        <v/>
      </c>
      <c r="CU59" s="44" t="str">
        <f>IF(BI59&lt;&gt;"SÍ","",IF(BN59&lt;0,0.8*CT59*MAX(0,1+BN59/(0.8*CM59*DATOS!$C$48/1000)),IF(BN59&lt;=CP59/3,0.8*CT59+0.3*BN59*CS59/100,(1.5*0.6*CT59+0.15*CP59*CS59/100)*MAX(0,1-BN59/CP59))))</f>
        <v/>
      </c>
      <c r="CV59" s="44" t="str">
        <f>IF(BI59&lt;&gt;"SÍ","",IF(BO59&lt;0,0.8*CT59*MAX(0,1+BO59/(0.8*CM59*DATOS!$C$48/1000)),IF(BO59&lt;=CP59/3,0.8*CT59+0.3*BO59*CS59/100,(1.5*0.6*CT59+0.15*CP59*CS59/100)*MAX(0,1-BO59/CP59))))</f>
        <v/>
      </c>
      <c r="CW59" s="46" t="str">
        <f>IF(BI59&lt;&gt;"SÍ","",MAX(0,MIN(CU59,CV59)))</f>
        <v/>
      </c>
      <c r="CX59" s="49" t="str">
        <f>IF(BI59&lt;&gt;"SÍ","",IF(CW59&gt;0,BL59/CW59,IF(BL59&gt;0,99,0)))</f>
        <v/>
      </c>
      <c r="CY59" s="44" t="str">
        <f>IF(BI59&lt;&gt;"SÍ","",IF(BW59&gt;0,MAX(1,MIN(1.5,1.5-0.625*(BS59/BW59-0.2))),0))</f>
        <v/>
      </c>
      <c r="CZ59" s="44" t="str">
        <f>IF(BI59&lt;&gt;"SÍ","",IF(BX59&gt;0,MAX(1,MIN(1.5,1.5-0.625*(BS59/BX59-0.2))),0))</f>
        <v/>
      </c>
      <c r="DA59" s="44" t="str">
        <f>IF(BI59&lt;&gt;"SÍ","",IF(BY59&gt;0,MAX(1,MIN(1.5,1.5-0.625*(BS59/BY59-0.2))),0))</f>
        <v/>
      </c>
      <c r="DB59" s="44" t="str">
        <f>IF(BI59&lt;&gt;"SÍ","",IF(BZ59&gt;0,MAX(1,MIN(1.5,1.5-0.625*(BS59/BZ59-0.2))),0))</f>
        <v/>
      </c>
      <c r="DC59" s="44" t="str">
        <f>IF(BI59&lt;&gt;"SÍ","",IF(CA59&gt;0,MAX(1,MIN(1.5,1.5-0.625*(BS59/CA59-0.2))),0))</f>
        <v/>
      </c>
      <c r="DD59" s="44" t="str">
        <f>IF(BI59&lt;&gt;"SÍ","",IF(OR(BW59&lt;DATOS!$C$72-0.0001,BM59&lt;0,CB59&lt;=0),0,MIN(DATOS!$C$86*(0.5*DATOS!$C$41*BT59*BW59*100+0.3*BM59*BW59/CB59*1000)*CY59,1.5*DATOS!$C$86*DATOS!$C$41*BT59*BW59*100*CY59)/1000))</f>
        <v/>
      </c>
      <c r="DE59" s="44" t="str">
        <f>IF(BI59&lt;&gt;"SÍ","",IF(OR(BX59&lt;DATOS!$C$72-0.0001,BM59&lt;0,CB59&lt;=0),0,MIN(DATOS!$C$86*(0.5*DATOS!$C$41*BT59*BX59*100+0.3*BM59*BX59/CB59*1000)*CZ59,1.5*DATOS!$C$86*DATOS!$C$41*BT59*BX59*100*CZ59)/1000))</f>
        <v/>
      </c>
      <c r="DF59" s="44" t="str">
        <f>IF(BI59&lt;&gt;"SÍ","",IF(OR(BY59&lt;DATOS!$C$72-0.0001,BM59&lt;0,CB59&lt;=0),0,MIN(DATOS!$C$86*(0.5*DATOS!$C$41*BT59*BY59*100+0.3*BM59*BY59/CB59*1000)*DA59,1.5*DATOS!$C$86*DATOS!$C$41*BT59*BY59*100*DA59)/1000))</f>
        <v/>
      </c>
      <c r="DG59" s="44" t="str">
        <f>IF(BI59&lt;&gt;"SÍ","",IF(OR(BZ59&lt;DATOS!$C$72-0.0001,BM59&lt;0,CB59&lt;=0),0,MIN(DATOS!$C$86*(0.5*DATOS!$C$41*BT59*BZ59*100+0.3*BM59*BZ59/CB59*1000)*DB59,1.5*DATOS!$C$86*DATOS!$C$41*BT59*BZ59*100*DB59)/1000))</f>
        <v/>
      </c>
      <c r="DH59" s="44" t="str">
        <f>IF(BI59&lt;&gt;"SÍ","",IF(OR(CA59&lt;DATOS!$C$72-0.0001,BM59&lt;0,CB59&lt;=0),0,MIN(DATOS!$C$86*(0.5*DATOS!$C$41*BT59*CA59*100+0.3*BM59*CA59/CB59*1000)*DC59,1.5*DATOS!$C$86*DATOS!$C$41*BT59*CA59*100*DC59)/1000))</f>
        <v/>
      </c>
      <c r="DI59" s="46" t="str">
        <f>IF(BI59&lt;&gt;"SÍ","",SUM(DD59:DH59))</f>
        <v/>
      </c>
      <c r="DJ59" s="48" t="str">
        <f>IF(BI59&lt;&gt;"SÍ","",IF(AE59="VARILLA EN JUNTAS",IF(ISNUMBER(AF59),AF59,2)*INDEX(TABLAS!$D$6:$D$14,MATCH(IF(AG59&lt;&gt;"",AG59,DATOS!$C$73),TABLAS!$B$6:$B$14,0)),IF(AE59="MALLA",IF(ISNUMBER(AF59),AF59,1)*INDEX(TABLAS!$D$19:$D$22,MATCH(IF(AG59&lt;&gt;"",AG59,DATOS!$C$74),TABLAS!$B$19:$B$22,0))/100,IF(AE59="ESCALERILLA",IF(ISNUMBER(AF59),AF59,2)*INDEX(TABLAS!$D$6:$D$14,MATCH(IF(AG59&lt;&gt;"",AG59,DATOS!$C$73),TABLAS!$B$6:$B$14,0)),0))))</f>
        <v/>
      </c>
      <c r="DK59" s="47" t="str">
        <f>IF(BI59&lt;&gt;"SÍ","",IF(OR(AE59="VARILLA EN JUNTAS",AE59="ESCALERILLA"),IF(ISNUMBER(AH59),AH59,2)*DATOS!$C$26,IF(AE59="MALLA",1,0)))</f>
        <v/>
      </c>
      <c r="DL59" s="44" t="str">
        <f>IF(BI59&lt;&gt;"SÍ","",IF(DK59&gt;0,DJ59/(DK59*BT59)*MIN(DATOS!$C$50,IF(AE59="MALLA",5000,6000)),0))</f>
        <v/>
      </c>
      <c r="DM59" s="44" t="str">
        <f>IF(BI59&lt;&gt;"SÍ","",IF(AE59="ESCALERILLA",0,MIN(DL59,0.1*DATOS!$C$33*DATOS!$C$24)))</f>
        <v/>
      </c>
      <c r="DN59" s="48" t="str">
        <f>IF(BI59&lt;&gt;"SÍ","",IF(AE59="MALLA",0.5,IF(DATOS!$C$33&lt;=60,0.55,IF(DATOS!$C$33&gt;=90,0.75,0.55+0.2*(DATOS!$C$33-60)/30))))</f>
        <v/>
      </c>
      <c r="DO59" s="48" t="str">
        <f>IF(BI59&lt;&gt;"SÍ","",1-DATOS!$C$91*DM59)</f>
        <v/>
      </c>
      <c r="DP59" s="44" t="str">
        <f>IF(BI59&lt;&gt;"SÍ","",IF(BW59&gt;0,IF(BS59/BW59&lt;=1,1.3,IF(BS59/BW59&gt;=1.5,1,1.3-0.6*(BS59/BW59-1))),0))</f>
        <v/>
      </c>
      <c r="DQ59" s="44" t="str">
        <f>IF(BI59&lt;&gt;"SÍ","",IF(BX59&gt;0,IF(BS59/BX59&lt;=1,1.3,IF(BS59/BX59&gt;=1.5,1,1.3-0.6*(BS59/BX59-1))),0))</f>
        <v/>
      </c>
      <c r="DR59" s="44" t="str">
        <f>IF(BI59&lt;&gt;"SÍ","",IF(BY59&gt;0,IF(BS59/BY59&lt;=1,1.3,IF(BS59/BY59&gt;=1.5,1,1.3-0.6*(BS59/BY59-1))),0))</f>
        <v/>
      </c>
      <c r="DS59" s="44" t="str">
        <f>IF(BI59&lt;&gt;"SÍ","",IF(BZ59&gt;0,IF(BS59/BZ59&lt;=1,1.3,IF(BS59/BZ59&gt;=1.5,1,1.3-0.6*(BS59/BZ59-1))),0))</f>
        <v/>
      </c>
      <c r="DT59" s="44" t="str">
        <f>IF(BI59&lt;&gt;"SÍ","",IF(CA59&gt;0,IF(BS59/CA59&lt;=1,1.3,IF(BS59/CA59&gt;=1.5,1,1.3-0.6*(BS59/CA59-1))),0))</f>
        <v/>
      </c>
      <c r="DU59" s="44" t="str">
        <f>IF(BI59&lt;&gt;"SÍ","",IF(OR(DM59&lt;=0,BW59&lt;DATOS!$C$72-0.0001),0,DATOS!$C$86*MAX(0,IF(BM59&gt;=0,DD59/(DATOS!$C$86*DM59*BT59*BW59*100/1000)*(DP59*DO59-1)+DN59,DO59*DN59))*DM59*BT59*BW59*100/1000))</f>
        <v/>
      </c>
      <c r="DV59" s="44" t="str">
        <f>IF(BI59&lt;&gt;"SÍ","",IF(OR(DM59&lt;=0,BX59&lt;DATOS!$C$72-0.0001),0,DATOS!$C$86*MAX(0,IF(BM59&gt;=0,DE59/(DATOS!$C$86*DM59*BT59*BX59*100/1000)*(DQ59*DO59-1)+DN59,DO59*DN59))*DM59*BT59*BX59*100/1000))</f>
        <v/>
      </c>
      <c r="DW59" s="44" t="str">
        <f>IF(BI59&lt;&gt;"SÍ","",IF(OR(DM59&lt;=0,BY59&lt;DATOS!$C$72-0.0001),0,DATOS!$C$86*MAX(0,IF(BM59&gt;=0,DF59/(DATOS!$C$86*DM59*BT59*BY59*100/1000)*(DR59*DO59-1)+DN59,DO59*DN59))*DM59*BT59*BY59*100/1000))</f>
        <v/>
      </c>
      <c r="DX59" s="44" t="str">
        <f>IF(BI59&lt;&gt;"SÍ","",IF(OR(DM59&lt;=0,BZ59&lt;DATOS!$C$72-0.0001),0,DATOS!$C$86*MAX(0,IF(BM59&gt;=0,DG59/(DATOS!$C$86*DM59*BT59*BZ59*100/1000)*(DS59*DO59-1)+DN59,DO59*DN59))*DM59*BT59*BZ59*100/1000))</f>
        <v/>
      </c>
      <c r="DY59" s="44" t="str">
        <f>IF(BI59&lt;&gt;"SÍ","",IF(OR(DM59&lt;=0,CA59&lt;DATOS!$C$72-0.0001),0,DATOS!$C$86*MAX(0,IF(BM59&gt;=0,DH59/(DATOS!$C$86*DM59*BT59*CA59*100/1000)*(DT59*DO59-1)+DN59,DO59*DN59))*DM59*BT59*CA59*100/1000))</f>
        <v/>
      </c>
      <c r="DZ59" s="46" t="str">
        <f>IF(BI59&lt;&gt;"SÍ","",SUM(DU59:DY59))</f>
        <v/>
      </c>
      <c r="EA59" s="45" t="str">
        <f>IF(BI59&lt;&gt;"SÍ","",IF(OR(AE59="",AE59="NINGUNO"),IF(DATOS!$C$41&gt;=10,"FALTA refuerzo horizontal: v'm ≥ 10 kg/cm² (6.5.2.2)",IF(AND(BM59&lt;0,BK59&gt;0),"FALTA: P en tensión, el refuerzo debe tomar todo el cortante (6.5.1.3)","—")),IF(AE59="ESCALERILLA","NO CUENTA: la escalerilla no se permite para cortante por sismo (6.5.3.1.2)",IF(AE59="MALLA",IF(AND(DL59&gt;=2.5,DL59&lt;=MAX(0.15*DATOS!$C$33*DATOS!$C$24,2.5)),"CUMPLE","NO CUMPLE: "&amp;IF(DL59&lt;2.5,"p_h·f_yh &lt; 2.5 (6.5.4.2.4)","p_h·f_yh &gt; 0.15·f'm·f_an (6.5.4.2.4)")),IF(AND(DK59&lt;=MIN(6*DATOS!$C$26,45),DL59&gt;=3,DL59&lt;=MIN(MAX(0.15*DATOS!$C$33*DATOS!$C$24,3),0.05*DATOS!$C$25/10*MIN(DATOS!$C$50,6000)/DK59),INDEX(TABLAS!$C$6:$C$14,MATCH(IF(AG59&lt;&gt;"",AG59,DATOS!$C$73),TABLAS!$B$6:$B$14,0))&gt;=0.35,INDEX(TABLAS!$C$6:$C$14,MATCH(IF(AG59&lt;&gt;"",AG59,DATOS!$C$73),TABLAS!$B$6:$B$14,0))&lt;=0.75*DATOS!$C$25/10),"CUMPLE","NO CUMPLE: "&amp;IF(DK59&gt;MIN(6*DATOS!$C$26,45),"s_h &gt; 6 hiladas o 45 cm (6.5.3.2.1) ","")&amp;IF(DL59&lt;3,"p_h·f_yh &lt; 3 (6.5.3.3.1) ","")&amp;IF(DL59&gt;MIN(MAX(0.15*DATOS!$C$33*DATOS!$C$24,3),0.05*DATOS!$C$25/10*MIN(DATOS!$C$50,6000)/DK59),"p_h·f_yh &gt; máximo (6.5.3.3.2) ","")&amp;IF(OR(INDEX(TABLAS!$C$6:$C$14,MATCH(IF(AG59&lt;&gt;"",AG59,DATOS!$C$73),TABLAS!$B$6:$B$14,0))&lt;0.35,INDEX(TABLAS!$C$6:$C$14,MATCH(IF(AG59&lt;&gt;"",AG59,DATOS!$C$73),TABLAS!$B$6:$B$14,0))&gt;0.75*DATOS!$C$25/10),"diámetro fuera de 3.5 mm a 0.75·h_j (4.2.2.2.1)",""))))))</f>
        <v/>
      </c>
      <c r="EB59" s="46" t="str">
        <f>IF(BI59&lt;&gt;"SÍ","",DI59+DZ59)</f>
        <v/>
      </c>
      <c r="EC59" s="50" t="str">
        <f>IF(BI59&lt;&gt;"SÍ","",IF(EB59&gt;0,BK59/EB59,IF(BK59&gt;0,99,0)))</f>
        <v/>
      </c>
      <c r="ED59" s="47" t="str">
        <f>IF(BI59&lt;&gt;"SÍ","",IF(CE59&lt;=0,-1,IF(BK59&lt;=DI59,0,IF(IF(BM59&gt;=0,IF((DATOS!$C$86*IF(AE59="MALLA",0.5,IF(DATOS!$C$33&lt;=60,0.55,IF(DATOS!$C$33&gt;=90,0.75,0.55+0.2*(DATOS!$C$33-60)/30)))*CE59/1000-DATOS!$C$91*SUMPRODUCT(DP59:DT59,DD59:DH59))&lt;=0,1E9,(BK59-SUMPRODUCT(DP59:DT59,DD59:DH59))/(DATOS!$C$86*IF(AE59="MALLA",0.5,IF(DATOS!$C$33&lt;=60,0.55,IF(DATOS!$C$33&gt;=90,0.75,0.55+0.2*(DATOS!$C$33-60)/30)))*CE59/1000-DATOS!$C$91*SUMPRODUCT(DP59:DT59,DD59:DH59))),IF((1-4*DATOS!$C$91*BK59*1000/(DATOS!$C$86*IF(AE59="MALLA",0.5,IF(DATOS!$C$33&lt;=60,0.55,IF(DATOS!$C$33&gt;=90,0.75,0.55+0.2*(DATOS!$C$33-60)/30)))*MAX(CE59,1)))&lt;0,1E9,(1-SQRT((1-4*DATOS!$C$91*BK59*1000/(DATOS!$C$86*IF(AE59="MALLA",0.5,IF(DATOS!$C$33&lt;=60,0.55,IF(DATOS!$C$33&gt;=90,0.75,0.55+0.2*(DATOS!$C$33-60)/30)))*MAX(CE59,1)))))/(2*DATOS!$C$91)))&gt;0.1*DATOS!$C$33*DATOS!$C$24+0.000001,-1,MAX(IF(AE59="MALLA",2.5,3),IF(BM59&gt;=0,IF((DATOS!$C$86*IF(AE59="MALLA",0.5,IF(DATOS!$C$33&lt;=60,0.55,IF(DATOS!$C$33&gt;=90,0.75,0.55+0.2*(DATOS!$C$33-60)/30)))*CE59/1000-DATOS!$C$91*SUMPRODUCT(DP59:DT59,DD59:DH59))&lt;=0,1E9,(BK59-SUMPRODUCT(DP59:DT59,DD59:DH59))/(DATOS!$C$86*IF(AE59="MALLA",0.5,IF(DATOS!$C$33&lt;=60,0.55,IF(DATOS!$C$33&gt;=90,0.75,0.55+0.2*(DATOS!$C$33-60)/30)))*CE59/1000-DATOS!$C$91*SUMPRODUCT(DP59:DT59,DD59:DH59))),IF((1-4*DATOS!$C$91*BK59*1000/(DATOS!$C$86*IF(AE59="MALLA",0.5,IF(DATOS!$C$33&lt;=60,0.55,IF(DATOS!$C$33&gt;=90,0.75,0.55+0.2*(DATOS!$C$33-60)/30)))*MAX(CE59,1)))&lt;0,1E9,(1-SQRT((1-4*DATOS!$C$91*BK59*1000/(DATOS!$C$86*IF(AE59="MALLA",0.5,IF(DATOS!$C$33&lt;=60,0.55,IF(DATOS!$C$33&gt;=90,0.75,0.55+0.2*(DATOS!$C$33-60)/30)))*MAX(CE59,1)))))/(2*DATOS!$C$91))))))))</f>
        <v/>
      </c>
      <c r="EE59" s="45" t="str">
        <f>IF(BI59&lt;&gt;"SÍ","",IF(ED59=0,"NO REQUIERE: V_mR ≥ V_u",IF(ED59&lt;0,"NO ALCANZA con refuerzo horizontal (haría falta más de 0.1·f'm·f_an efectivo): sube v'm con ensayes, el espesor o la longitud del muro",IF(AND(OR(AE59="VARILLA EN JUNTAS",AE59="MALLA"),LEFT(EA59,6)="CUMPLE",EC59&lt;=1),"YA LO TIENE (pide p_h·f_yh ≥ "&amp;TEXT(ED59,"0.0")&amp;" kg/cm²)","p_h·f_yh ≥ "&amp;TEXT(ED59,"0.0")&amp;" kg/cm² → "&amp;IF(AND(MIN(6,FLOOR(45/DATOS!$C$26,1),FLOOR((2*INDEX(TABLAS!$D$6:$D$14,MATCH("3/16 in",TABLAS!$B$6:$B$14,0)))*MIN(DATOS!$C$50,6000)/(BT59*DATOS!$C$26*MAX(ED59,0.001)),1))&gt;=1,((2*INDEX(TABLAS!$D$6:$D$14,MATCH("3/16 in",TABLAS!$B$6:$B$14,0)))*MIN(DATOS!$C$50,6000)/(MAX(MIN(6,FLOOR(45/DATOS!$C$26,1),FLOOR((2*INDEX(TABLAS!$D$6:$D$14,MATCH("3/16 in",TABLAS!$B$6:$B$14,0)))*MIN(DATOS!$C$50,6000)/(BT59*DATOS!$C$26*MAX(ED59,0.001)),1)),1)*DATOS!$C$26*BT59))&lt;=MIN(MAX(0.15*DATOS!$C$33*DATOS!$C$24,3),0.05*DATOS!$C$25/10*MIN(DATOS!$C$50,6000)/(MIN(6,FLOOR(45/DATOS!$C$26,1),FLOOR((2*INDEX(TABLAS!$D$6:$D$14,MATCH("3/16 in",TABLAS!$B$6:$B$14,0)))*MIN(DATOS!$C$50,6000)/(BT59*DATOS!$C$26*MAX(ED59,0.001)),1))*DATOS!$C$26))),"2 alambres de 3/16"" por junta cada "&amp;MIN(6,FLOOR(45/DATOS!$C$26,1),FLOOR((2*INDEX(TABLAS!$D$6:$D$14,MATCH("3/16 in",TABLAS!$B$6:$B$14,0)))*MIN(DATOS!$C$50,6000)/(BT59*DATOS!$C$26*MAX(ED59,0.001)),1))&amp;" hilada(s) (p_h·f_yh = "&amp;TEXT(((2*INDEX(TABLAS!$D$6:$D$14,MATCH("3/16 in",TABLAS!$B$6:$B$14,0)))*MIN(DATOS!$C$50,6000)/(MAX(MIN(6,FLOOR(45/DATOS!$C$26,1),FLOOR((2*INDEX(TABLAS!$D$6:$D$14,MATCH("3/16 in",TABLAS!$B$6:$B$14,0)))*MIN(DATOS!$C$50,6000)/(BT59*DATOS!$C$26*MAX(ED59,0.001)),1)),1)*DATOS!$C$26*BT59)),"0.00")&amp;")",IF(AND(MIN(6,FLOOR(45/DATOS!$C$26,1),FLOOR((2*INDEX(TABLAS!$D$6:$D$14,MATCH("5/32 in",TABLAS!$B$6:$B$14,0)))*MIN(DATOS!$C$50,6000)/(BT59*DATOS!$C$26*MAX(ED59,0.001)),1))&gt;=1,((2*INDEX(TABLAS!$D$6:$D$14,MATCH("5/32 in",TABLAS!$B$6:$B$14,0)))*MIN(DATOS!$C$50,6000)/(MAX(MIN(6,FLOOR(45/DATOS!$C$26,1),FLOOR((2*INDEX(TABLAS!$D$6:$D$14,MATCH("5/32 in",TABLAS!$B$6:$B$14,0)))*MIN(DATOS!$C$50,6000)/(BT59*DATOS!$C$26*MAX(ED59,0.001)),1)),1)*DATOS!$C$26*BT59))&lt;=MIN(MAX(0.15*DATOS!$C$33*DATOS!$C$24,3),0.05*DATOS!$C$25/10*MIN(DATOS!$C$50,6000)/(MIN(6,FLOOR(45/DATOS!$C$26,1),FLOOR((2*INDEX(TABLAS!$D$6:$D$14,MATCH("5/32 in",TABLAS!$B$6:$B$14,0)))*MIN(DATOS!$C$50,6000)/(BT59*DATOS!$C$26*MAX(ED59,0.001)),1))*DATOS!$C$26))),"2 alambres de 5/32"" por junta cada "&amp;MIN(6,FLOOR(45/DATOS!$C$26,1),FLOOR((2*INDEX(TABLAS!$D$6:$D$14,MATCH("5/32 in",TABLAS!$B$6:$B$14,0)))*MIN(DATOS!$C$50,6000)/(BT59*DATOS!$C$26*MAX(ED59,0.001)),1))&amp;" hilada(s) (p_h·f_yh = "&amp;TEXT(((2*INDEX(TABLAS!$D$6:$D$14,MATCH("5/32 in",TABLAS!$B$6:$B$14,0)))*MIN(DATOS!$C$50,6000)/(MAX(MIN(6,FLOOR(45/DATOS!$C$26,1),FLOOR((2*INDEX(TABLAS!$D$6:$D$14,MATCH("5/32 in",TABLAS!$B$6:$B$14,0)))*MIN(DATOS!$C$50,6000)/(BT59*DATOS!$C$26*MAX(ED59,0.001)),1)),1)*DATOS!$C$26*BT59)),"0.00")&amp;")",IF(AND(MIN(6,FLOOR(45/DATOS!$C$26,1),FLOOR((1*INDEX(TABLAS!$D$6:$D$14,MATCH("3/16 in",TABLAS!$B$6:$B$14,0)))*MIN(DATOS!$C$50,6000)/(BT59*DATOS!$C$26*MAX(ED59,0.001)),1))&gt;=1,((1*INDEX(TABLAS!$D$6:$D$14,MATCH("3/16 in",TABLAS!$B$6:$B$14,0)))*MIN(DATOS!$C$50,6000)/(MAX(MIN(6,FLOOR(45/DATOS!$C$26,1),FLOOR((1*INDEX(TABLAS!$D$6:$D$14,MATCH("3/16 in",TABLAS!$B$6:$B$14,0)))*MIN(DATOS!$C$50,6000)/(BT59*DATOS!$C$26*MAX(ED59,0.001)),1)),1)*DATOS!$C$26*BT59))&lt;=MIN(MAX(0.15*DATOS!$C$33*DATOS!$C$24,3),0.05*DATOS!$C$25/10*MIN(DATOS!$C$50,6000)/(MIN(6,FLOOR(45/DATOS!$C$26,1),FLOOR((1*INDEX(TABLAS!$D$6:$D$14,MATCH("3/16 in",TABLAS!$B$6:$B$14,0)))*MIN(DATOS!$C$50,6000)/(BT59*DATOS!$C$26*MAX(ED59,0.001)),1))*DATOS!$C$26))),"1 alambre de 3/16"" por junta cada "&amp;MIN(6,FLOOR(45/DATOS!$C$26,1),FLOOR((1*INDEX(TABLAS!$D$6:$D$14,MATCH("3/16 in",TABLAS!$B$6:$B$14,0)))*MIN(DATOS!$C$50,6000)/(BT59*DATOS!$C$26*MAX(ED59,0.001)),1))&amp;" hilada(s) (p_h·f_yh = "&amp;TEXT(((1*INDEX(TABLAS!$D$6:$D$14,MATCH("3/16 in",TABLAS!$B$6:$B$14,0)))*MIN(DATOS!$C$50,6000)/(MAX(MIN(6,FLOOR(45/DATOS!$C$26,1),FLOOR((1*INDEX(TABLAS!$D$6:$D$14,MATCH("3/16 in",TABLAS!$B$6:$B$14,0)))*MIN(DATOS!$C$50,6000)/(BT59*DATOS!$C$26*MAX(ED59,0.001)),1)),1)*DATOS!$C$26*BT59)),"0.00")&amp;")",IF(AND(MIN(6,FLOOR(45/DATOS!$C$26,1),FLOOR((1*INDEX(TABLAS!$D$6:$D$14,MATCH("5/32 in",TABLAS!$B$6:$B$14,0)))*MIN(DATOS!$C$50,6000)/(BT59*DATOS!$C$26*MAX(ED59,0.001)),1))&gt;=1,((1*INDEX(TABLAS!$D$6:$D$14,MATCH("5/32 in",TABLAS!$B$6:$B$14,0)))*MIN(DATOS!$C$50,6000)/(MAX(MIN(6,FLOOR(45/DATOS!$C$26,1),FLOOR((1*INDEX(TABLAS!$D$6:$D$14,MATCH("5/32 in",TABLAS!$B$6:$B$14,0)))*MIN(DATOS!$C$50,6000)/(BT59*DATOS!$C$26*MAX(ED59,0.001)),1)),1)*DATOS!$C$26*BT59))&lt;=MIN(MAX(0.15*DATOS!$C$33*DATOS!$C$24,3),0.05*DATOS!$C$25/10*MIN(DATOS!$C$50,6000)/(MIN(6,FLOOR(45/DATOS!$C$26,1),FLOOR((1*INDEX(TABLAS!$D$6:$D$14,MATCH("5/32 in",TABLAS!$B$6:$B$14,0)))*MIN(DATOS!$C$50,6000)/(BT59*DATOS!$C$26*MAX(ED59,0.001)),1))*DATOS!$C$26))),"1 alambre de 5/32"" por junta cada "&amp;MIN(6,FLOOR(45/DATOS!$C$26,1),FLOOR((1*INDEX(TABLAS!$D$6:$D$14,MATCH("5/32 in",TABLAS!$B$6:$B$14,0)))*MIN(DATOS!$C$50,6000)/(BT59*DATOS!$C$26*MAX(ED59,0.001)),1))&amp;" hilada(s) (p_h·f_yh = "&amp;TEXT(((1*INDEX(TABLAS!$D$6:$D$14,MATCH("5/32 in",TABLAS!$B$6:$B$14,0)))*MIN(DATOS!$C$50,6000)/(MAX(MIN(6,FLOOR(45/DATOS!$C$26,1),FLOOR((1*INDEX(TABLAS!$D$6:$D$14,MATCH("5/32 in",TABLAS!$B$6:$B$14,0)))*MIN(DATOS!$C$50,6000)/(BT59*DATOS!$C$26*MAX(ED59,0.001)),1)),1)*DATOS!$C$26*BT59)),"0.00")&amp;")","ninguna combinación de 1 o 2 alambres por junta queda entre el mínimo y el máximo: revisa con malla (6.5.4)"))))))))</f>
        <v/>
      </c>
      <c r="EF59" s="43" t="str">
        <f>IF(BI59&lt;&gt;"SÍ","",IF(AI59="SÍ",N(AK59)*N(AL59)^3/12,0))</f>
        <v/>
      </c>
      <c r="EG59" s="48" t="str">
        <f>IF(BI59&lt;&gt;"SÍ","",IF(AND(AI59="SÍ",N(AM59)&gt;0),MIN(1,F59/AM59),0))</f>
        <v/>
      </c>
      <c r="EH59" s="47" t="str">
        <f>IF(BI59&lt;&gt;"SÍ","",IF(AI59="SÍ",BP59*1000/(BT59*F59*100)*BT59*(EG59^4-4*EG59^3+8*EG59),0))</f>
        <v/>
      </c>
      <c r="EI59" s="48" t="str">
        <f>IF(BI59&lt;&gt;"SÍ","",IF(AND(AI59="SÍ",EH59&gt;0),EH59/(EH59+5*N(AN59)*10),0))</f>
        <v/>
      </c>
      <c r="EJ59" s="44" t="str">
        <f>IF(BI59&lt;&gt;"SÍ","",IF(AND(AI59="SÍ",EI59&gt;0,EF59&gt;0),(DATOS!$C$43*BT59*(AM59*100)^3/(DATOS!$C$53*EF59*EI59))^0.25,0))</f>
        <v/>
      </c>
      <c r="EK59" s="44" t="str">
        <f>IF(BI59&lt;&gt;"SÍ","",IF(AI59&lt;&gt;"SÍ",0,IF(N(AM59)&lt;=F59,1,IF(MIN(1,N(AO59)/((AM59-F59)/2))&lt;=0.5,0.7+0.6*MIN(1,N(AO59)/((AM59-F59)/2)),1.5-MIN(1,N(AO59)/((AM59-F59)/2))))))</f>
        <v/>
      </c>
      <c r="EL59" s="44" t="str">
        <f>IF(BI59&lt;&gt;"SÍ","",IF(AI59&lt;&gt;"SÍ",0,MAX(1,IF(EG59&gt;=1,(1.6*EJ59-3.9),IF(EG59&lt;0.9,((3.2*EJ59-7.8)*EK59),((3.2*EJ59-7.8)*EK59)+((1.6*EJ59-3.9)-((3.2*EJ59-7.8)*EK59))*(EG59-0.9)/0.1)))))</f>
        <v/>
      </c>
      <c r="EM59" s="47" t="str">
        <f>IF(BI59&lt;&gt;"SÍ","",IF(AI59="SÍ",EL59*BP59*1000/(BT59*F59*100),0))</f>
        <v/>
      </c>
      <c r="EN59" s="47" t="str">
        <f>IF(BI59&lt;&gt;"SÍ","",IF(AND(AI59="SÍ",N(AL59)&gt;0),AM59*100/AL59,0))</f>
        <v/>
      </c>
      <c r="EO59" s="47" t="str">
        <f>IF(BI59&lt;&gt;"SÍ","",IF(AI59="SÍ",(1/15*DATOS!$C$53*N(AK59)/MAX((IF(ISNUMBER(AP59),AP59,BP59/DATOS!$C$90)*1000/(BT59*F59*100)*BT59*(EG59^4-4*EG59^3+8*EG59))+5*N(AN59)/DATOS!$C$90*10,0.001))^(1/3),0))</f>
        <v/>
      </c>
      <c r="EP59" s="45" t="str">
        <f>IF(BI59&lt;&gt;"SÍ","",IF(AI59&lt;&gt;"SÍ","—",IF(OR(N(AK59)&lt;=0,N(AL59)&lt;=0,N(AM59)&lt;=0),"REVISAR: faltan b, h o L_v de la viga",IF(AND(EM59&lt;=DATOS!$C$87*DATOS!$C$33,EN59&lt;=14,N(AL59)&gt;=25,EN59&lt;=EO59),IF(BS59/F59&lt;0.6,"PENDIENTE: H/L &lt; 0.6, falta el análisis de interacción muro–viga (4.1.18.2.1); f_CM es estimado","CUMPLE"),"NO CUMPLE: "&amp;IF(EM59&gt;DATOS!$C$87*DATOS!$C$33,"f_CM &gt; F_R·f'm ","")&amp;IF(EN59&gt;14,"L_v/h_v &gt; 14 ","")&amp;IF(N(AL59)&lt;25,"h_v &lt; 25 cm ","")&amp;IF(EN59&gt;EO59,"flecha (4.1.18.3)","")))))</f>
        <v/>
      </c>
      <c r="EQ59" s="44" t="str">
        <f>IF(BI59&lt;&gt;"SÍ","",MAX(0,F59*BS59-(N(K59)*N(M59)+N(P59)*N(R59)+N(U59)*N(W59)+N(Z59)*N(AB59))-CK59*DATOS!$C$59/100*BS59))</f>
        <v/>
      </c>
      <c r="ER59" s="48" t="str">
        <f>IF(BI59&lt;&gt;"SÍ","",CK59*DATOS!$C$59*DATOS!$C$60/10000*BS59)</f>
        <v/>
      </c>
      <c r="ES59" s="47" t="str">
        <f>IF(BI59&lt;&gt;"SÍ","",CK59*(DATOS!$C$61*(BS59+0.6)*INDEX(TABLAS!$E$6:$E$14,MATCH(DATOS!$C$62,TABLAS!$B$6:$B$14,0))+(2*ROUNDUP(CN59/DATOS!$C$65,0)+ROUNDUP(MAX(0,BS59*100-2*CN59)/DATOS!$C$64,0))*((2*(DATOS!$C$60+DATOS!$C$59-4*(DATOS!$C$66-INDEX(TABLAS!$C$6:$C$14,MATCH(DATOS!$C$63,TABLAS!$B$6:$B$14,0))))+15)/100)*INDEX(TABLAS!$E$6:$E$14,MATCH(DATOS!$C$63,TABLAS!$B$6:$B$14,0))))</f>
        <v/>
      </c>
      <c r="ET59" s="47" t="str">
        <f>IF(BI59&lt;&gt;"SÍ","",IF(OR(AE59="VARILLA EN JUNTAS",AE59="ESCALERILLA"),INT(BS59*100/MAX(DK59,1))*IF(ISNUMBER(AF59),AF59,2)*CB59*INDEX(TABLAS!$E$6:$E$14,MATCH(IF(AG59&lt;&gt;"",AG59,DATOS!$C$73),TABLAS!$B$6:$B$14,0)),IF(AE59="MALLA",IF(ISNUMBER(AF59),AF59,1)*CB59*BS59*INDEX(TABLAS!$E$19:$E$22,MATCH(IF(AG59&lt;&gt;"",AG59,DATOS!$C$74),TABLAS!$B$19:$B$22,0)),0)))</f>
        <v/>
      </c>
      <c r="EU59" s="45" t="str">
        <f>IF(BI59&lt;&gt;"SÍ","",""&amp;IF(BJ59="NO ESTÁ EN PIER_FORCES","sin fuerzas en PIER_FORCES; ","")&amp;IF(BV59&lt;&gt;"CUMPLE","vanos; ","")&amp;IF(LEFT(CH59,2)="NO","espesor o esbeltez; ","")&amp;IF(CQ59&gt;1,"compresión; ","")&amp;IF(CX59&gt;1,"flexión; ","")&amp;IF(CB59&lt;=0,"sin tramos de muro (todos son machones menores que L mín.: diséñalos como columnas o baja L mín.); ",IF(EC59&gt;1,"cortante; ",""))&amp;IF(OR(LEFT(EA59,2)="NO",LEFT(EA59,5)="FALTA"),"refuerzo horizontal; ","")&amp;IF(OR(LEFT(EP59,2)="NO",LEFT(EP59,7)="REVISAR"),"muro sobre viga; ","")&amp;IF(LEFT(DATOS!$C$81,2)="NO","castillo típico; ","")&amp;IF(LEFT(DATOS!$C$82,2)="NO","dala típica; ","")&amp;IF(AND(BT59&lt;&gt;DATOS!$C$58,DATOS!$C$60&lt;BT59),"castillo más angosto que el muro; ",""))</f>
        <v/>
      </c>
      <c r="EV59" s="45" t="str">
        <f>IF(BI59&lt;&gt;"SÍ","",""&amp;IF(LEFT(EP59,9)="PENDIENTE","análisis muro–viga (H/L &lt; 0.6); ","")&amp;IF(BR59&gt;50,"V_u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59" s="51" t="str">
        <f>IF(BI59&lt;&gt;"SÍ","",IF(EU59&lt;&gt;"","NO CUMPLE: "&amp;LEFT(EU59,LEN(EU59)-2),IF(EV59&lt;&gt;"","CUMPLE — PENDIENTE: "&amp;LEFT(EV59,LEN(EV59)-2),"CUMPLE")))</f>
        <v/>
      </c>
      <c r="EX59" s="52" t="n"/>
    </row>
    <row r="60" ht="30" customHeight="1">
      <c r="A60" s="38" t="str">
        <f>IF(B60="","",ROW()-10)</f>
        <v/>
      </c>
      <c r="B60" s="28" t="n"/>
      <c r="C60" s="39" t="n"/>
      <c r="D60" s="39" t="n"/>
      <c r="E60" s="39" t="n"/>
      <c r="F60" s="40" t="n"/>
      <c r="G60" s="40" t="n"/>
      <c r="H60" s="41" t="n"/>
      <c r="I60" s="39" t="n"/>
      <c r="J60" s="40" t="n"/>
      <c r="K60" s="40" t="n"/>
      <c r="L60" s="40" t="n"/>
      <c r="M60" s="40" t="n"/>
      <c r="N60" s="39" t="n"/>
      <c r="O60" s="40" t="n"/>
      <c r="P60" s="40" t="n"/>
      <c r="Q60" s="40" t="n"/>
      <c r="R60" s="40" t="n"/>
      <c r="S60" s="39" t="n"/>
      <c r="T60" s="40" t="n"/>
      <c r="U60" s="40" t="n"/>
      <c r="V60" s="40" t="n"/>
      <c r="W60" s="40" t="n"/>
      <c r="X60" s="39" t="n"/>
      <c r="Y60" s="40" t="n"/>
      <c r="Z60" s="40" t="n"/>
      <c r="AA60" s="40" t="n"/>
      <c r="AB60" s="40" t="n"/>
      <c r="AC60" s="41" t="n"/>
      <c r="AD60" s="41" t="n"/>
      <c r="AE60" s="39" t="n"/>
      <c r="AF60" s="41" t="n"/>
      <c r="AG60" s="41" t="n"/>
      <c r="AH60" s="41" t="n"/>
      <c r="AI60" s="39" t="n"/>
      <c r="AJ60" s="39" t="n"/>
      <c r="AK60" s="41" t="n"/>
      <c r="AL60" s="41" t="n"/>
      <c r="AM60" s="40" t="n"/>
      <c r="AN60" s="40" t="n"/>
      <c r="AO60" s="40" t="n"/>
      <c r="AP60" s="40" t="n"/>
      <c r="AQ60" s="40" t="n"/>
      <c r="AR60" s="40" t="n"/>
      <c r="AS60" s="40" t="n"/>
      <c r="AT60" s="40" t="n"/>
      <c r="AU60" s="40" t="n"/>
      <c r="AV60" s="40" t="n"/>
      <c r="AW60" s="40" t="n"/>
      <c r="AX60" s="42" t="str">
        <f>IF(B60="","",C60&amp;"|"&amp;B60)</f>
        <v/>
      </c>
      <c r="AY60" s="43" t="str">
        <f>IF(B60="","",COUNTIFS(PIER_FORCES!$O$9:$O$3008,50,PIER_FORCES!$P$9:$P$3008,1))</f>
        <v/>
      </c>
      <c r="AZ60" s="43" t="str">
        <f>IF(B60="","",COUNTIFS(PIER_FORCES!$O$9:$O$3008,50,PIER_FORCES!$P$9:$P$3008,2))</f>
        <v/>
      </c>
      <c r="BA60" s="44">
        <f>IF(N(AY60)=0,0,SUMPRODUCT(MAX((PIER_FORCES!$O$9:$O$3008=50)*(PIER_FORCES!$P$9:$P$3008=1)*PIER_FORCES!$R$9:$R$3008)))</f>
        <v>0</v>
      </c>
      <c r="BB60" s="44">
        <f>IF(N(AY60)=0,0,SUMPRODUCT(MAX((PIER_FORCES!$O$9:$O$3008=50)*(PIER_FORCES!$P$9:$P$3008=1)*PIER_FORCES!$S$9:$S$3008)))</f>
        <v>0</v>
      </c>
      <c r="BC60" s="44">
        <f>IF(N(AY60)=0,0,-SUMPRODUCT(MAX((PIER_FORCES!$O$9:$O$3008=50)*(PIER_FORCES!$P$9:$P$3008=1)*(-PIER_FORCES!$Q$9:$Q$3008)+(1-(PIER_FORCES!$O$9:$O$3008=50)*(PIER_FORCES!$P$9:$P$3008=1))*(-1E9))))</f>
        <v>0</v>
      </c>
      <c r="BD60" s="44">
        <f>IF(N(AY60)=0,0,SUMPRODUCT(MAX((PIER_FORCES!$O$9:$O$3008=50)*(PIER_FORCES!$P$9:$P$3008=1)*PIER_FORCES!$Q$9:$Q$3008+(1-(PIER_FORCES!$O$9:$O$3008=50)*(PIER_FORCES!$P$9:$P$3008=1))*(-1E9))))</f>
        <v>0</v>
      </c>
      <c r="BE60" s="44">
        <f>IF(N(AZ60)=0,BD60,SUMPRODUCT(MAX((PIER_FORCES!$O$9:$O$3008=50)*(PIER_FORCES!$P$9:$P$3008=2)*PIER_FORCES!$Q$9:$Q$3008+(1-(PIER_FORCES!$O$9:$O$3008=50)*(PIER_FORCES!$P$9:$P$3008=2))*(-1E9))))</f>
        <v>0</v>
      </c>
      <c r="BF60" s="44">
        <f>IF(N(AZ60)=0,0,SUMPRODUCT(MAX((PIER_FORCES!$O$9:$O$3008=50)*(PIER_FORCES!$P$9:$P$3008=2)*PIER_FORCES!$R$9:$R$3008)))</f>
        <v>0</v>
      </c>
      <c r="BG60" s="43">
        <f>IF(N(AY60)=0,0,SUMPRODUCT(MAX((PIER_FORCES!$O$9:$O$3008=50)*(PIER_FORCES!$P$9:$P$3008=1)*(ABS(PIER_FORCES!$R$9:$R$3008-BA60)&lt;0.000001)*PIER_FORCES!$T$9:$T$3008)))</f>
        <v>0</v>
      </c>
      <c r="BH60" s="45" t="str">
        <f>IF(N(BG60)=0,"",INDEX(PIER_FORCES!$D$9:$D$3008,BG60)&amp;" "&amp;INDEX(PIER_FORCES!$F$9:$F$3008,BG60)&amp;" / "&amp;INDEX(PIER_FORCES!$G$9:$G$3008,BG60))</f>
        <v/>
      </c>
      <c r="BI60" s="42" t="str">
        <f>IF(B60="","",IF(AND(C60&lt;&gt;"",OR(D60="X",D60="Y"),ISNUMBER(F60),N(F60)&gt;0),"SÍ","NO"))</f>
        <v/>
      </c>
      <c r="BJ60" s="42" t="str">
        <f>IF(BI60&lt;&gt;"SÍ","",IF(DATOS!$C$108="ETABS (PIER_FORCES)",IF(N(AY60)&gt;0,"ETABS","NO ESTÁ EN PIER_FORCES"),"CAPTURA"))</f>
        <v/>
      </c>
      <c r="BK60" s="46" t="str">
        <f>IF(BI60&lt;&gt;"SÍ","",IF(BJ60="ETABS",BA60,IF(BJ60="CAPTURA",N(AQ60),0)))</f>
        <v/>
      </c>
      <c r="BL60" s="46" t="str">
        <f>IF(BI60&lt;&gt;"SÍ","",IF(BJ60="ETABS",BB60,IF(BJ60="CAPTURA",N(AR60),0)))</f>
        <v/>
      </c>
      <c r="BM60" s="46" t="str">
        <f>IF(BI60&lt;&gt;"SÍ","",IF(BJ60="ETABS",BC60/DATOS!$C$89,IF(BJ60="CAPTURA",N(AS60),0)))</f>
        <v/>
      </c>
      <c r="BN60" s="44" t="str">
        <f>IF(BI60&lt;&gt;"SÍ","",IF(BJ60="ETABS",BC60,IF(BJ60="CAPTURA",IF(ISNUMBER(AU60),AU60,N(AS60)*DATOS!$C$89),0)))</f>
        <v/>
      </c>
      <c r="BO60" s="44" t="str">
        <f>IF(BI60&lt;&gt;"SÍ","",IF(BJ60="ETABS",MAX(BD60,BE60),IF(BJ60="CAPTURA",N(AT60),0)))</f>
        <v/>
      </c>
      <c r="BP60" s="44" t="str">
        <f>IF(BI60&lt;&gt;"SÍ","",IF(BJ60="ETABS",BE60,IF(BJ60="CAPTURA",IF(ISNUMBER(AV60),AV60,N(AT60)),0)))</f>
        <v/>
      </c>
      <c r="BQ60" s="44" t="str">
        <f>IF(BI60&lt;&gt;"SÍ","",IF(BJ60="ETABS",BF60,IF(BJ60="CAPTURA",N(AW60),0)))</f>
        <v/>
      </c>
      <c r="BR60" s="43" t="str">
        <f>IF(BI60&lt;&gt;"SÍ","",IF(BK60&gt;0,100*BQ60/BK60,0))</f>
        <v/>
      </c>
      <c r="BS60" s="44" t="str">
        <f>IF(BI60&lt;&gt;"SÍ","",IF(ISNUMBER(G60),G60,DATOS!$C$57))</f>
        <v/>
      </c>
      <c r="BT60" s="47" t="str">
        <f>IF(BI60&lt;&gt;"SÍ","",IF(ISNUMBER(H60),H60,DATOS!$C$58))</f>
        <v/>
      </c>
      <c r="BU60" s="43" t="str">
        <f>IF(BI60&lt;&gt;"SÍ","",IF(N(K60)&gt;0,1+IF(N(P60)&gt;0,1+IF(N(U60)&gt;0,1+IF(N(Z60)&gt;0,1,0),0),0),0))</f>
        <v/>
      </c>
      <c r="BV60" s="45" t="str">
        <f>IF(BI60&lt;&gt;"SÍ","",IF(AND(OR(BU60&lt;1,AND(N(J60)&gt;=0-0.001,J60+K60&lt;=F60+0.001,N(L60)&gt;=0,N(L60)+N(M60)&lt;=BS60+0.001,N(M60)&gt;0,OR(I60="PUERTA",I60="VENTANA"))),OR(BU60&lt;2,AND(N(O60)&gt;=(J60+K60)-0.001,O60+P60&lt;=F60+0.001,N(Q60)&gt;=0,N(Q60)+N(R60)&lt;=BS60+0.001,N(R60)&gt;0,OR(N60="PUERTA",N60="VENTANA"))),OR(BU60&lt;3,AND(N(T60)&gt;=(O60+P60)-0.001,T60+U60&lt;=F60+0.001,N(V60)&gt;=0,N(V60)+N(W60)&lt;=BS60+0.001,N(W60)&gt;0,OR(S60="PUERTA",S60="VENTANA"))),OR(BU60&lt;4,AND(N(Y60)&gt;=(T60+U60)-0.001,Y60+Z60&lt;=F60+0.001,N(AA60)&gt;=0,N(AA60)+N(AB60)&lt;=BS60+0.001,N(AB60)&gt;0,OR(X60="PUERTA",X60="VENTANA"))),(N(K60)&gt;0)+(N(P60)&gt;0)+(N(U60)&gt;0)+(N(Z60)&gt;0)=BU60),"CUMPLE","REVISAR VANOS: tipo, orden de izquierda a derecha, que quepan en L y en H"))</f>
        <v/>
      </c>
      <c r="BW60" s="44" t="str">
        <f>IF(BI60&lt;&gt;"SÍ","",MAX(0,IF(BU60&gt;=1,N(J60),F60)))</f>
        <v/>
      </c>
      <c r="BX60" s="44" t="str">
        <f>IF(BI60&lt;&gt;"SÍ","",MAX(0,IF(BU60&gt;=2,N(O60)-(N(J60)+N(K60)),IF(BU60=1,F60-(N(J60)+N(K60)),0))))</f>
        <v/>
      </c>
      <c r="BY60" s="44" t="str">
        <f>IF(BI60&lt;&gt;"SÍ","",MAX(0,IF(BU60&gt;=3,N(T60)-(N(O60)+N(P60)),IF(BU60=2,F60-(N(O60)+N(P60)),0))))</f>
        <v/>
      </c>
      <c r="BZ60" s="44" t="str">
        <f>IF(BI60&lt;&gt;"SÍ","",MAX(0,IF(BU60&gt;=4,N(Y60)-(N(T60)+N(U60)),IF(BU60=3,F60-(N(T60)+N(U60)),0))))</f>
        <v/>
      </c>
      <c r="CA60" s="44" t="str">
        <f>IF(BI60&lt;&gt;"SÍ","",MAX(0,IF(BU60=4,F60-(N(Y60)+N(Z60)),0)))</f>
        <v/>
      </c>
      <c r="CB60" s="46" t="str">
        <f>IF(BI60&lt;&gt;"SÍ","",SUMPRODUCT((BW60:CA60&gt;=DATOS!$C$72-0.0001)*BW60:CA60))</f>
        <v/>
      </c>
      <c r="CC60" s="43" t="str">
        <f>IF(BI60&lt;&gt;"SÍ","",SUMPRODUCT(--(BW60:CA60&gt;=DATOS!$C$72-0.0001)))</f>
        <v/>
      </c>
      <c r="CD60" s="44" t="str">
        <f>IF(BI60&lt;&gt;"SÍ","",SUM(BW60:CA60))</f>
        <v/>
      </c>
      <c r="CE60" s="43" t="str">
        <f>IF(BI60&lt;&gt;"SÍ","",BT60*CB60*100)</f>
        <v/>
      </c>
      <c r="CF60" s="43" t="str">
        <f>IF(BI60&lt;&gt;"SÍ","",BT60*CD60*100)</f>
        <v/>
      </c>
      <c r="CG60" s="47" t="str">
        <f>IF(BI60&lt;&gt;"SÍ","",BS60*100/BT60)</f>
        <v/>
      </c>
      <c r="CH60" s="45" t="str">
        <f>IF(BI60&lt;&gt;"SÍ","",IF(AND(OR(DATOS!$C$14="TIPO II",BT60&gt;=12),CG60&lt;=25),"CUMPLE","NO CUMPLE: "&amp;IF(AND(DATOS!$C$14="TIPO I",BT60&lt;12),"t &lt; 12 cm ","")&amp;IF(CG60&gt;25,"H/t &gt; 25","")))</f>
        <v/>
      </c>
      <c r="CI60" s="44" t="str">
        <f>IF(BI60&lt;&gt;"SÍ","",MIN(1.5*BS60,4))</f>
        <v/>
      </c>
      <c r="CJ60" s="43" t="str">
        <f>IF(BI60&lt;&gt;"SÍ","",SUMPRODUCT((BW60:CA60&gt;=2*DATOS!$C$59/100)*INT((BW60:CA60-DATOS!$C$59/100)/CI60-0.000001)*((BW60:CA60-DATOS!$C$59/100)&gt;0)))</f>
        <v/>
      </c>
      <c r="CK60" s="43" t="str">
        <f>IF(BI60&lt;&gt;"SÍ","",SUMPRODUCT((BW60:CA60&gt;0.0001)*1+(BW60:CA60&gt;=2*DATOS!$C$59/100)*1)+CJ60)</f>
        <v/>
      </c>
      <c r="CL60" s="44" t="str">
        <f>IF(BI60&lt;&gt;"SÍ","",IF(ISNUMBER(AC60),AC60,DATOS!$C$61)*INDEX(TABLAS!$D$6:$D$14,MATCH(IF(AD60&lt;&gt;"",AD60,DATOS!$C$62),TABLAS!$B$6:$B$14,0)))</f>
        <v/>
      </c>
      <c r="CM60" s="44" t="str">
        <f>IF(BI60&lt;&gt;"SÍ","",CK60*DATOS!$C$78+IF(CK60&gt;=2,2,CK60)*(CL60-DATOS!$C$78))</f>
        <v/>
      </c>
      <c r="CN60" s="47" t="str">
        <f>IF(BI60&lt;&gt;"SÍ","",MAX(BS60*100/6,40))</f>
        <v/>
      </c>
      <c r="CO60" s="48" t="str">
        <f>IF(BI60&lt;&gt;"SÍ","",IF(CG60&lt;=20,IF(E60="INTERIOR",0.7,0.6),MIN(IF(E60="INTERIOR",0.7,0.6),(1-2/24)*(1-(IF(E60="INTERIOR",0.8,1)*CG60/30)^2))))</f>
        <v/>
      </c>
      <c r="CP60" s="47" t="str">
        <f>IF(BI60&lt;&gt;"SÍ","",DATOS!$C$87*CO60*(DATOS!$C$33*CF60+CM60*DATOS!$C$48)/1000)</f>
        <v/>
      </c>
      <c r="CQ60" s="46" t="str">
        <f>IF(BI60&lt;&gt;"SÍ","",IF(CP60&gt;0,BO60/CP60,99))</f>
        <v/>
      </c>
      <c r="CR60" s="47" t="str">
        <f>IF(BI60&lt;&gt;"SÍ","",MAX(0,F60*100-DATOS!$C$59))</f>
        <v/>
      </c>
      <c r="CS60" s="47" t="str">
        <f>IF(BI60&lt;&gt;"SÍ","",MAX(0,F60*100-DATOS!$C$59/2))</f>
        <v/>
      </c>
      <c r="CT60" s="44" t="str">
        <f>IF(BI60&lt;&gt;"SÍ","",CL60*DATOS!$C$48*CR60/100000)</f>
        <v/>
      </c>
      <c r="CU60" s="44" t="str">
        <f>IF(BI60&lt;&gt;"SÍ","",IF(BN60&lt;0,0.8*CT60*MAX(0,1+BN60/(0.8*CM60*DATOS!$C$48/1000)),IF(BN60&lt;=CP60/3,0.8*CT60+0.3*BN60*CS60/100,(1.5*0.6*CT60+0.15*CP60*CS60/100)*MAX(0,1-BN60/CP60))))</f>
        <v/>
      </c>
      <c r="CV60" s="44" t="str">
        <f>IF(BI60&lt;&gt;"SÍ","",IF(BO60&lt;0,0.8*CT60*MAX(0,1+BO60/(0.8*CM60*DATOS!$C$48/1000)),IF(BO60&lt;=CP60/3,0.8*CT60+0.3*BO60*CS60/100,(1.5*0.6*CT60+0.15*CP60*CS60/100)*MAX(0,1-BO60/CP60))))</f>
        <v/>
      </c>
      <c r="CW60" s="46" t="str">
        <f>IF(BI60&lt;&gt;"SÍ","",MAX(0,MIN(CU60,CV60)))</f>
        <v/>
      </c>
      <c r="CX60" s="49" t="str">
        <f>IF(BI60&lt;&gt;"SÍ","",IF(CW60&gt;0,BL60/CW60,IF(BL60&gt;0,99,0)))</f>
        <v/>
      </c>
      <c r="CY60" s="44" t="str">
        <f>IF(BI60&lt;&gt;"SÍ","",IF(BW60&gt;0,MAX(1,MIN(1.5,1.5-0.625*(BS60/BW60-0.2))),0))</f>
        <v/>
      </c>
      <c r="CZ60" s="44" t="str">
        <f>IF(BI60&lt;&gt;"SÍ","",IF(BX60&gt;0,MAX(1,MIN(1.5,1.5-0.625*(BS60/BX60-0.2))),0))</f>
        <v/>
      </c>
      <c r="DA60" s="44" t="str">
        <f>IF(BI60&lt;&gt;"SÍ","",IF(BY60&gt;0,MAX(1,MIN(1.5,1.5-0.625*(BS60/BY60-0.2))),0))</f>
        <v/>
      </c>
      <c r="DB60" s="44" t="str">
        <f>IF(BI60&lt;&gt;"SÍ","",IF(BZ60&gt;0,MAX(1,MIN(1.5,1.5-0.625*(BS60/BZ60-0.2))),0))</f>
        <v/>
      </c>
      <c r="DC60" s="44" t="str">
        <f>IF(BI60&lt;&gt;"SÍ","",IF(CA60&gt;0,MAX(1,MIN(1.5,1.5-0.625*(BS60/CA60-0.2))),0))</f>
        <v/>
      </c>
      <c r="DD60" s="44" t="str">
        <f>IF(BI60&lt;&gt;"SÍ","",IF(OR(BW60&lt;DATOS!$C$72-0.0001,BM60&lt;0,CB60&lt;=0),0,MIN(DATOS!$C$86*(0.5*DATOS!$C$41*BT60*BW60*100+0.3*BM60*BW60/CB60*1000)*CY60,1.5*DATOS!$C$86*DATOS!$C$41*BT60*BW60*100*CY60)/1000))</f>
        <v/>
      </c>
      <c r="DE60" s="44" t="str">
        <f>IF(BI60&lt;&gt;"SÍ","",IF(OR(BX60&lt;DATOS!$C$72-0.0001,BM60&lt;0,CB60&lt;=0),0,MIN(DATOS!$C$86*(0.5*DATOS!$C$41*BT60*BX60*100+0.3*BM60*BX60/CB60*1000)*CZ60,1.5*DATOS!$C$86*DATOS!$C$41*BT60*BX60*100*CZ60)/1000))</f>
        <v/>
      </c>
      <c r="DF60" s="44" t="str">
        <f>IF(BI60&lt;&gt;"SÍ","",IF(OR(BY60&lt;DATOS!$C$72-0.0001,BM60&lt;0,CB60&lt;=0),0,MIN(DATOS!$C$86*(0.5*DATOS!$C$41*BT60*BY60*100+0.3*BM60*BY60/CB60*1000)*DA60,1.5*DATOS!$C$86*DATOS!$C$41*BT60*BY60*100*DA60)/1000))</f>
        <v/>
      </c>
      <c r="DG60" s="44" t="str">
        <f>IF(BI60&lt;&gt;"SÍ","",IF(OR(BZ60&lt;DATOS!$C$72-0.0001,BM60&lt;0,CB60&lt;=0),0,MIN(DATOS!$C$86*(0.5*DATOS!$C$41*BT60*BZ60*100+0.3*BM60*BZ60/CB60*1000)*DB60,1.5*DATOS!$C$86*DATOS!$C$41*BT60*BZ60*100*DB60)/1000))</f>
        <v/>
      </c>
      <c r="DH60" s="44" t="str">
        <f>IF(BI60&lt;&gt;"SÍ","",IF(OR(CA60&lt;DATOS!$C$72-0.0001,BM60&lt;0,CB60&lt;=0),0,MIN(DATOS!$C$86*(0.5*DATOS!$C$41*BT60*CA60*100+0.3*BM60*CA60/CB60*1000)*DC60,1.5*DATOS!$C$86*DATOS!$C$41*BT60*CA60*100*DC60)/1000))</f>
        <v/>
      </c>
      <c r="DI60" s="46" t="str">
        <f>IF(BI60&lt;&gt;"SÍ","",SUM(DD60:DH60))</f>
        <v/>
      </c>
      <c r="DJ60" s="48" t="str">
        <f>IF(BI60&lt;&gt;"SÍ","",IF(AE60="VARILLA EN JUNTAS",IF(ISNUMBER(AF60),AF60,2)*INDEX(TABLAS!$D$6:$D$14,MATCH(IF(AG60&lt;&gt;"",AG60,DATOS!$C$73),TABLAS!$B$6:$B$14,0)),IF(AE60="MALLA",IF(ISNUMBER(AF60),AF60,1)*INDEX(TABLAS!$D$19:$D$22,MATCH(IF(AG60&lt;&gt;"",AG60,DATOS!$C$74),TABLAS!$B$19:$B$22,0))/100,IF(AE60="ESCALERILLA",IF(ISNUMBER(AF60),AF60,2)*INDEX(TABLAS!$D$6:$D$14,MATCH(IF(AG60&lt;&gt;"",AG60,DATOS!$C$73),TABLAS!$B$6:$B$14,0)),0))))</f>
        <v/>
      </c>
      <c r="DK60" s="47" t="str">
        <f>IF(BI60&lt;&gt;"SÍ","",IF(OR(AE60="VARILLA EN JUNTAS",AE60="ESCALERILLA"),IF(ISNUMBER(AH60),AH60,2)*DATOS!$C$26,IF(AE60="MALLA",1,0)))</f>
        <v/>
      </c>
      <c r="DL60" s="44" t="str">
        <f>IF(BI60&lt;&gt;"SÍ","",IF(DK60&gt;0,DJ60/(DK60*BT60)*MIN(DATOS!$C$50,IF(AE60="MALLA",5000,6000)),0))</f>
        <v/>
      </c>
      <c r="DM60" s="44" t="str">
        <f>IF(BI60&lt;&gt;"SÍ","",IF(AE60="ESCALERILLA",0,MIN(DL60,0.1*DATOS!$C$33*DATOS!$C$24)))</f>
        <v/>
      </c>
      <c r="DN60" s="48" t="str">
        <f>IF(BI60&lt;&gt;"SÍ","",IF(AE60="MALLA",0.5,IF(DATOS!$C$33&lt;=60,0.55,IF(DATOS!$C$33&gt;=90,0.75,0.55+0.2*(DATOS!$C$33-60)/30))))</f>
        <v/>
      </c>
      <c r="DO60" s="48" t="str">
        <f>IF(BI60&lt;&gt;"SÍ","",1-DATOS!$C$91*DM60)</f>
        <v/>
      </c>
      <c r="DP60" s="44" t="str">
        <f>IF(BI60&lt;&gt;"SÍ","",IF(BW60&gt;0,IF(BS60/BW60&lt;=1,1.3,IF(BS60/BW60&gt;=1.5,1,1.3-0.6*(BS60/BW60-1))),0))</f>
        <v/>
      </c>
      <c r="DQ60" s="44" t="str">
        <f>IF(BI60&lt;&gt;"SÍ","",IF(BX60&gt;0,IF(BS60/BX60&lt;=1,1.3,IF(BS60/BX60&gt;=1.5,1,1.3-0.6*(BS60/BX60-1))),0))</f>
        <v/>
      </c>
      <c r="DR60" s="44" t="str">
        <f>IF(BI60&lt;&gt;"SÍ","",IF(BY60&gt;0,IF(BS60/BY60&lt;=1,1.3,IF(BS60/BY60&gt;=1.5,1,1.3-0.6*(BS60/BY60-1))),0))</f>
        <v/>
      </c>
      <c r="DS60" s="44" t="str">
        <f>IF(BI60&lt;&gt;"SÍ","",IF(BZ60&gt;0,IF(BS60/BZ60&lt;=1,1.3,IF(BS60/BZ60&gt;=1.5,1,1.3-0.6*(BS60/BZ60-1))),0))</f>
        <v/>
      </c>
      <c r="DT60" s="44" t="str">
        <f>IF(BI60&lt;&gt;"SÍ","",IF(CA60&gt;0,IF(BS60/CA60&lt;=1,1.3,IF(BS60/CA60&gt;=1.5,1,1.3-0.6*(BS60/CA60-1))),0))</f>
        <v/>
      </c>
      <c r="DU60" s="44" t="str">
        <f>IF(BI60&lt;&gt;"SÍ","",IF(OR(DM60&lt;=0,BW60&lt;DATOS!$C$72-0.0001),0,DATOS!$C$86*MAX(0,IF(BM60&gt;=0,DD60/(DATOS!$C$86*DM60*BT60*BW60*100/1000)*(DP60*DO60-1)+DN60,DO60*DN60))*DM60*BT60*BW60*100/1000))</f>
        <v/>
      </c>
      <c r="DV60" s="44" t="str">
        <f>IF(BI60&lt;&gt;"SÍ","",IF(OR(DM60&lt;=0,BX60&lt;DATOS!$C$72-0.0001),0,DATOS!$C$86*MAX(0,IF(BM60&gt;=0,DE60/(DATOS!$C$86*DM60*BT60*BX60*100/1000)*(DQ60*DO60-1)+DN60,DO60*DN60))*DM60*BT60*BX60*100/1000))</f>
        <v/>
      </c>
      <c r="DW60" s="44" t="str">
        <f>IF(BI60&lt;&gt;"SÍ","",IF(OR(DM60&lt;=0,BY60&lt;DATOS!$C$72-0.0001),0,DATOS!$C$86*MAX(0,IF(BM60&gt;=0,DF60/(DATOS!$C$86*DM60*BT60*BY60*100/1000)*(DR60*DO60-1)+DN60,DO60*DN60))*DM60*BT60*BY60*100/1000))</f>
        <v/>
      </c>
      <c r="DX60" s="44" t="str">
        <f>IF(BI60&lt;&gt;"SÍ","",IF(OR(DM60&lt;=0,BZ60&lt;DATOS!$C$72-0.0001),0,DATOS!$C$86*MAX(0,IF(BM60&gt;=0,DG60/(DATOS!$C$86*DM60*BT60*BZ60*100/1000)*(DS60*DO60-1)+DN60,DO60*DN60))*DM60*BT60*BZ60*100/1000))</f>
        <v/>
      </c>
      <c r="DY60" s="44" t="str">
        <f>IF(BI60&lt;&gt;"SÍ","",IF(OR(DM60&lt;=0,CA60&lt;DATOS!$C$72-0.0001),0,DATOS!$C$86*MAX(0,IF(BM60&gt;=0,DH60/(DATOS!$C$86*DM60*BT60*CA60*100/1000)*(DT60*DO60-1)+DN60,DO60*DN60))*DM60*BT60*CA60*100/1000))</f>
        <v/>
      </c>
      <c r="DZ60" s="46" t="str">
        <f>IF(BI60&lt;&gt;"SÍ","",SUM(DU60:DY60))</f>
        <v/>
      </c>
      <c r="EA60" s="45" t="str">
        <f>IF(BI60&lt;&gt;"SÍ","",IF(OR(AE60="",AE60="NINGUNO"),IF(DATOS!$C$41&gt;=10,"FALTA refuerzo horizontal: v'm ≥ 10 kg/cm² (6.5.2.2)",IF(AND(BM60&lt;0,BK60&gt;0),"FALTA: P en tensión, el refuerzo debe tomar todo el cortante (6.5.1.3)","—")),IF(AE60="ESCALERILLA","NO CUENTA: la escalerilla no se permite para cortante por sismo (6.5.3.1.2)",IF(AE60="MALLA",IF(AND(DL60&gt;=2.5,DL60&lt;=MAX(0.15*DATOS!$C$33*DATOS!$C$24,2.5)),"CUMPLE","NO CUMPLE: "&amp;IF(DL60&lt;2.5,"p_h·f_yh &lt; 2.5 (6.5.4.2.4)","p_h·f_yh &gt; 0.15·f'm·f_an (6.5.4.2.4)")),IF(AND(DK60&lt;=MIN(6*DATOS!$C$26,45),DL60&gt;=3,DL60&lt;=MIN(MAX(0.15*DATOS!$C$33*DATOS!$C$24,3),0.05*DATOS!$C$25/10*MIN(DATOS!$C$50,6000)/DK60),INDEX(TABLAS!$C$6:$C$14,MATCH(IF(AG60&lt;&gt;"",AG60,DATOS!$C$73),TABLAS!$B$6:$B$14,0))&gt;=0.35,INDEX(TABLAS!$C$6:$C$14,MATCH(IF(AG60&lt;&gt;"",AG60,DATOS!$C$73),TABLAS!$B$6:$B$14,0))&lt;=0.75*DATOS!$C$25/10),"CUMPLE","NO CUMPLE: "&amp;IF(DK60&gt;MIN(6*DATOS!$C$26,45),"s_h &gt; 6 hiladas o 45 cm (6.5.3.2.1) ","")&amp;IF(DL60&lt;3,"p_h·f_yh &lt; 3 (6.5.3.3.1) ","")&amp;IF(DL60&gt;MIN(MAX(0.15*DATOS!$C$33*DATOS!$C$24,3),0.05*DATOS!$C$25/10*MIN(DATOS!$C$50,6000)/DK60),"p_h·f_yh &gt; máximo (6.5.3.3.2) ","")&amp;IF(OR(INDEX(TABLAS!$C$6:$C$14,MATCH(IF(AG60&lt;&gt;"",AG60,DATOS!$C$73),TABLAS!$B$6:$B$14,0))&lt;0.35,INDEX(TABLAS!$C$6:$C$14,MATCH(IF(AG60&lt;&gt;"",AG60,DATOS!$C$73),TABLAS!$B$6:$B$14,0))&gt;0.75*DATOS!$C$25/10),"diámetro fuera de 3.5 mm a 0.75·h_j (4.2.2.2.1)",""))))))</f>
        <v/>
      </c>
      <c r="EB60" s="46" t="str">
        <f>IF(BI60&lt;&gt;"SÍ","",DI60+DZ60)</f>
        <v/>
      </c>
      <c r="EC60" s="50" t="str">
        <f>IF(BI60&lt;&gt;"SÍ","",IF(EB60&gt;0,BK60/EB60,IF(BK60&gt;0,99,0)))</f>
        <v/>
      </c>
      <c r="ED60" s="47" t="str">
        <f>IF(BI60&lt;&gt;"SÍ","",IF(CE60&lt;=0,-1,IF(BK60&lt;=DI60,0,IF(IF(BM60&gt;=0,IF((DATOS!$C$86*IF(AE60="MALLA",0.5,IF(DATOS!$C$33&lt;=60,0.55,IF(DATOS!$C$33&gt;=90,0.75,0.55+0.2*(DATOS!$C$33-60)/30)))*CE60/1000-DATOS!$C$91*SUMPRODUCT(DP60:DT60,DD60:DH60))&lt;=0,1E9,(BK60-SUMPRODUCT(DP60:DT60,DD60:DH60))/(DATOS!$C$86*IF(AE60="MALLA",0.5,IF(DATOS!$C$33&lt;=60,0.55,IF(DATOS!$C$33&gt;=90,0.75,0.55+0.2*(DATOS!$C$33-60)/30)))*CE60/1000-DATOS!$C$91*SUMPRODUCT(DP60:DT60,DD60:DH60))),IF((1-4*DATOS!$C$91*BK60*1000/(DATOS!$C$86*IF(AE60="MALLA",0.5,IF(DATOS!$C$33&lt;=60,0.55,IF(DATOS!$C$33&gt;=90,0.75,0.55+0.2*(DATOS!$C$33-60)/30)))*MAX(CE60,1)))&lt;0,1E9,(1-SQRT((1-4*DATOS!$C$91*BK60*1000/(DATOS!$C$86*IF(AE60="MALLA",0.5,IF(DATOS!$C$33&lt;=60,0.55,IF(DATOS!$C$33&gt;=90,0.75,0.55+0.2*(DATOS!$C$33-60)/30)))*MAX(CE60,1)))))/(2*DATOS!$C$91)))&gt;0.1*DATOS!$C$33*DATOS!$C$24+0.000001,-1,MAX(IF(AE60="MALLA",2.5,3),IF(BM60&gt;=0,IF((DATOS!$C$86*IF(AE60="MALLA",0.5,IF(DATOS!$C$33&lt;=60,0.55,IF(DATOS!$C$33&gt;=90,0.75,0.55+0.2*(DATOS!$C$33-60)/30)))*CE60/1000-DATOS!$C$91*SUMPRODUCT(DP60:DT60,DD60:DH60))&lt;=0,1E9,(BK60-SUMPRODUCT(DP60:DT60,DD60:DH60))/(DATOS!$C$86*IF(AE60="MALLA",0.5,IF(DATOS!$C$33&lt;=60,0.55,IF(DATOS!$C$33&gt;=90,0.75,0.55+0.2*(DATOS!$C$33-60)/30)))*CE60/1000-DATOS!$C$91*SUMPRODUCT(DP60:DT60,DD60:DH60))),IF((1-4*DATOS!$C$91*BK60*1000/(DATOS!$C$86*IF(AE60="MALLA",0.5,IF(DATOS!$C$33&lt;=60,0.55,IF(DATOS!$C$33&gt;=90,0.75,0.55+0.2*(DATOS!$C$33-60)/30)))*MAX(CE60,1)))&lt;0,1E9,(1-SQRT((1-4*DATOS!$C$91*BK60*1000/(DATOS!$C$86*IF(AE60="MALLA",0.5,IF(DATOS!$C$33&lt;=60,0.55,IF(DATOS!$C$33&gt;=90,0.75,0.55+0.2*(DATOS!$C$33-60)/30)))*MAX(CE60,1)))))/(2*DATOS!$C$91))))))))</f>
        <v/>
      </c>
      <c r="EE60" s="45" t="str">
        <f>IF(BI60&lt;&gt;"SÍ","",IF(ED60=0,"NO REQUIERE: V_mR ≥ V_u",IF(ED60&lt;0,"NO ALCANZA con refuerzo horizontal (haría falta más de 0.1·f'm·f_an efectivo): sube v'm con ensayes, el espesor o la longitud del muro",IF(AND(OR(AE60="VARILLA EN JUNTAS",AE60="MALLA"),LEFT(EA60,6)="CUMPLE",EC60&lt;=1),"YA LO TIENE (pide p_h·f_yh ≥ "&amp;TEXT(ED60,"0.0")&amp;" kg/cm²)","p_h·f_yh ≥ "&amp;TEXT(ED60,"0.0")&amp;" kg/cm² → "&amp;IF(AND(MIN(6,FLOOR(45/DATOS!$C$26,1),FLOOR((2*INDEX(TABLAS!$D$6:$D$14,MATCH("3/16 in",TABLAS!$B$6:$B$14,0)))*MIN(DATOS!$C$50,6000)/(BT60*DATOS!$C$26*MAX(ED60,0.001)),1))&gt;=1,((2*INDEX(TABLAS!$D$6:$D$14,MATCH("3/16 in",TABLAS!$B$6:$B$14,0)))*MIN(DATOS!$C$50,6000)/(MAX(MIN(6,FLOOR(45/DATOS!$C$26,1),FLOOR((2*INDEX(TABLAS!$D$6:$D$14,MATCH("3/16 in",TABLAS!$B$6:$B$14,0)))*MIN(DATOS!$C$50,6000)/(BT60*DATOS!$C$26*MAX(ED60,0.001)),1)),1)*DATOS!$C$26*BT60))&lt;=MIN(MAX(0.15*DATOS!$C$33*DATOS!$C$24,3),0.05*DATOS!$C$25/10*MIN(DATOS!$C$50,6000)/(MIN(6,FLOOR(45/DATOS!$C$26,1),FLOOR((2*INDEX(TABLAS!$D$6:$D$14,MATCH("3/16 in",TABLAS!$B$6:$B$14,0)))*MIN(DATOS!$C$50,6000)/(BT60*DATOS!$C$26*MAX(ED60,0.001)),1))*DATOS!$C$26))),"2 alambres de 3/16"" por junta cada "&amp;MIN(6,FLOOR(45/DATOS!$C$26,1),FLOOR((2*INDEX(TABLAS!$D$6:$D$14,MATCH("3/16 in",TABLAS!$B$6:$B$14,0)))*MIN(DATOS!$C$50,6000)/(BT60*DATOS!$C$26*MAX(ED60,0.001)),1))&amp;" hilada(s) (p_h·f_yh = "&amp;TEXT(((2*INDEX(TABLAS!$D$6:$D$14,MATCH("3/16 in",TABLAS!$B$6:$B$14,0)))*MIN(DATOS!$C$50,6000)/(MAX(MIN(6,FLOOR(45/DATOS!$C$26,1),FLOOR((2*INDEX(TABLAS!$D$6:$D$14,MATCH("3/16 in",TABLAS!$B$6:$B$14,0)))*MIN(DATOS!$C$50,6000)/(BT60*DATOS!$C$26*MAX(ED60,0.001)),1)),1)*DATOS!$C$26*BT60)),"0.00")&amp;")",IF(AND(MIN(6,FLOOR(45/DATOS!$C$26,1),FLOOR((2*INDEX(TABLAS!$D$6:$D$14,MATCH("5/32 in",TABLAS!$B$6:$B$14,0)))*MIN(DATOS!$C$50,6000)/(BT60*DATOS!$C$26*MAX(ED60,0.001)),1))&gt;=1,((2*INDEX(TABLAS!$D$6:$D$14,MATCH("5/32 in",TABLAS!$B$6:$B$14,0)))*MIN(DATOS!$C$50,6000)/(MAX(MIN(6,FLOOR(45/DATOS!$C$26,1),FLOOR((2*INDEX(TABLAS!$D$6:$D$14,MATCH("5/32 in",TABLAS!$B$6:$B$14,0)))*MIN(DATOS!$C$50,6000)/(BT60*DATOS!$C$26*MAX(ED60,0.001)),1)),1)*DATOS!$C$26*BT60))&lt;=MIN(MAX(0.15*DATOS!$C$33*DATOS!$C$24,3),0.05*DATOS!$C$25/10*MIN(DATOS!$C$50,6000)/(MIN(6,FLOOR(45/DATOS!$C$26,1),FLOOR((2*INDEX(TABLAS!$D$6:$D$14,MATCH("5/32 in",TABLAS!$B$6:$B$14,0)))*MIN(DATOS!$C$50,6000)/(BT60*DATOS!$C$26*MAX(ED60,0.001)),1))*DATOS!$C$26))),"2 alambres de 5/32"" por junta cada "&amp;MIN(6,FLOOR(45/DATOS!$C$26,1),FLOOR((2*INDEX(TABLAS!$D$6:$D$14,MATCH("5/32 in",TABLAS!$B$6:$B$14,0)))*MIN(DATOS!$C$50,6000)/(BT60*DATOS!$C$26*MAX(ED60,0.001)),1))&amp;" hilada(s) (p_h·f_yh = "&amp;TEXT(((2*INDEX(TABLAS!$D$6:$D$14,MATCH("5/32 in",TABLAS!$B$6:$B$14,0)))*MIN(DATOS!$C$50,6000)/(MAX(MIN(6,FLOOR(45/DATOS!$C$26,1),FLOOR((2*INDEX(TABLAS!$D$6:$D$14,MATCH("5/32 in",TABLAS!$B$6:$B$14,0)))*MIN(DATOS!$C$50,6000)/(BT60*DATOS!$C$26*MAX(ED60,0.001)),1)),1)*DATOS!$C$26*BT60)),"0.00")&amp;")",IF(AND(MIN(6,FLOOR(45/DATOS!$C$26,1),FLOOR((1*INDEX(TABLAS!$D$6:$D$14,MATCH("3/16 in",TABLAS!$B$6:$B$14,0)))*MIN(DATOS!$C$50,6000)/(BT60*DATOS!$C$26*MAX(ED60,0.001)),1))&gt;=1,((1*INDEX(TABLAS!$D$6:$D$14,MATCH("3/16 in",TABLAS!$B$6:$B$14,0)))*MIN(DATOS!$C$50,6000)/(MAX(MIN(6,FLOOR(45/DATOS!$C$26,1),FLOOR((1*INDEX(TABLAS!$D$6:$D$14,MATCH("3/16 in",TABLAS!$B$6:$B$14,0)))*MIN(DATOS!$C$50,6000)/(BT60*DATOS!$C$26*MAX(ED60,0.001)),1)),1)*DATOS!$C$26*BT60))&lt;=MIN(MAX(0.15*DATOS!$C$33*DATOS!$C$24,3),0.05*DATOS!$C$25/10*MIN(DATOS!$C$50,6000)/(MIN(6,FLOOR(45/DATOS!$C$26,1),FLOOR((1*INDEX(TABLAS!$D$6:$D$14,MATCH("3/16 in",TABLAS!$B$6:$B$14,0)))*MIN(DATOS!$C$50,6000)/(BT60*DATOS!$C$26*MAX(ED60,0.001)),1))*DATOS!$C$26))),"1 alambre de 3/16"" por junta cada "&amp;MIN(6,FLOOR(45/DATOS!$C$26,1),FLOOR((1*INDEX(TABLAS!$D$6:$D$14,MATCH("3/16 in",TABLAS!$B$6:$B$14,0)))*MIN(DATOS!$C$50,6000)/(BT60*DATOS!$C$26*MAX(ED60,0.001)),1))&amp;" hilada(s) (p_h·f_yh = "&amp;TEXT(((1*INDEX(TABLAS!$D$6:$D$14,MATCH("3/16 in",TABLAS!$B$6:$B$14,0)))*MIN(DATOS!$C$50,6000)/(MAX(MIN(6,FLOOR(45/DATOS!$C$26,1),FLOOR((1*INDEX(TABLAS!$D$6:$D$14,MATCH("3/16 in",TABLAS!$B$6:$B$14,0)))*MIN(DATOS!$C$50,6000)/(BT60*DATOS!$C$26*MAX(ED60,0.001)),1)),1)*DATOS!$C$26*BT60)),"0.00")&amp;")",IF(AND(MIN(6,FLOOR(45/DATOS!$C$26,1),FLOOR((1*INDEX(TABLAS!$D$6:$D$14,MATCH("5/32 in",TABLAS!$B$6:$B$14,0)))*MIN(DATOS!$C$50,6000)/(BT60*DATOS!$C$26*MAX(ED60,0.001)),1))&gt;=1,((1*INDEX(TABLAS!$D$6:$D$14,MATCH("5/32 in",TABLAS!$B$6:$B$14,0)))*MIN(DATOS!$C$50,6000)/(MAX(MIN(6,FLOOR(45/DATOS!$C$26,1),FLOOR((1*INDEX(TABLAS!$D$6:$D$14,MATCH("5/32 in",TABLAS!$B$6:$B$14,0)))*MIN(DATOS!$C$50,6000)/(BT60*DATOS!$C$26*MAX(ED60,0.001)),1)),1)*DATOS!$C$26*BT60))&lt;=MIN(MAX(0.15*DATOS!$C$33*DATOS!$C$24,3),0.05*DATOS!$C$25/10*MIN(DATOS!$C$50,6000)/(MIN(6,FLOOR(45/DATOS!$C$26,1),FLOOR((1*INDEX(TABLAS!$D$6:$D$14,MATCH("5/32 in",TABLAS!$B$6:$B$14,0)))*MIN(DATOS!$C$50,6000)/(BT60*DATOS!$C$26*MAX(ED60,0.001)),1))*DATOS!$C$26))),"1 alambre de 5/32"" por junta cada "&amp;MIN(6,FLOOR(45/DATOS!$C$26,1),FLOOR((1*INDEX(TABLAS!$D$6:$D$14,MATCH("5/32 in",TABLAS!$B$6:$B$14,0)))*MIN(DATOS!$C$50,6000)/(BT60*DATOS!$C$26*MAX(ED60,0.001)),1))&amp;" hilada(s) (p_h·f_yh = "&amp;TEXT(((1*INDEX(TABLAS!$D$6:$D$14,MATCH("5/32 in",TABLAS!$B$6:$B$14,0)))*MIN(DATOS!$C$50,6000)/(MAX(MIN(6,FLOOR(45/DATOS!$C$26,1),FLOOR((1*INDEX(TABLAS!$D$6:$D$14,MATCH("5/32 in",TABLAS!$B$6:$B$14,0)))*MIN(DATOS!$C$50,6000)/(BT60*DATOS!$C$26*MAX(ED60,0.001)),1)),1)*DATOS!$C$26*BT60)),"0.00")&amp;")","ninguna combinación de 1 o 2 alambres por junta queda entre el mínimo y el máximo: revisa con malla (6.5.4)"))))))))</f>
        <v/>
      </c>
      <c r="EF60" s="43" t="str">
        <f>IF(BI60&lt;&gt;"SÍ","",IF(AI60="SÍ",N(AK60)*N(AL60)^3/12,0))</f>
        <v/>
      </c>
      <c r="EG60" s="48" t="str">
        <f>IF(BI60&lt;&gt;"SÍ","",IF(AND(AI60="SÍ",N(AM60)&gt;0),MIN(1,F60/AM60),0))</f>
        <v/>
      </c>
      <c r="EH60" s="47" t="str">
        <f>IF(BI60&lt;&gt;"SÍ","",IF(AI60="SÍ",BP60*1000/(BT60*F60*100)*BT60*(EG60^4-4*EG60^3+8*EG60),0))</f>
        <v/>
      </c>
      <c r="EI60" s="48" t="str">
        <f>IF(BI60&lt;&gt;"SÍ","",IF(AND(AI60="SÍ",EH60&gt;0),EH60/(EH60+5*N(AN60)*10),0))</f>
        <v/>
      </c>
      <c r="EJ60" s="44" t="str">
        <f>IF(BI60&lt;&gt;"SÍ","",IF(AND(AI60="SÍ",EI60&gt;0,EF60&gt;0),(DATOS!$C$43*BT60*(AM60*100)^3/(DATOS!$C$53*EF60*EI60))^0.25,0))</f>
        <v/>
      </c>
      <c r="EK60" s="44" t="str">
        <f>IF(BI60&lt;&gt;"SÍ","",IF(AI60&lt;&gt;"SÍ",0,IF(N(AM60)&lt;=F60,1,IF(MIN(1,N(AO60)/((AM60-F60)/2))&lt;=0.5,0.7+0.6*MIN(1,N(AO60)/((AM60-F60)/2)),1.5-MIN(1,N(AO60)/((AM60-F60)/2))))))</f>
        <v/>
      </c>
      <c r="EL60" s="44" t="str">
        <f>IF(BI60&lt;&gt;"SÍ","",IF(AI60&lt;&gt;"SÍ",0,MAX(1,IF(EG60&gt;=1,(1.6*EJ60-3.9),IF(EG60&lt;0.9,((3.2*EJ60-7.8)*EK60),((3.2*EJ60-7.8)*EK60)+((1.6*EJ60-3.9)-((3.2*EJ60-7.8)*EK60))*(EG60-0.9)/0.1)))))</f>
        <v/>
      </c>
      <c r="EM60" s="47" t="str">
        <f>IF(BI60&lt;&gt;"SÍ","",IF(AI60="SÍ",EL60*BP60*1000/(BT60*F60*100),0))</f>
        <v/>
      </c>
      <c r="EN60" s="47" t="str">
        <f>IF(BI60&lt;&gt;"SÍ","",IF(AND(AI60="SÍ",N(AL60)&gt;0),AM60*100/AL60,0))</f>
        <v/>
      </c>
      <c r="EO60" s="47" t="str">
        <f>IF(BI60&lt;&gt;"SÍ","",IF(AI60="SÍ",(1/15*DATOS!$C$53*N(AK60)/MAX((IF(ISNUMBER(AP60),AP60,BP60/DATOS!$C$90)*1000/(BT60*F60*100)*BT60*(EG60^4-4*EG60^3+8*EG60))+5*N(AN60)/DATOS!$C$90*10,0.001))^(1/3),0))</f>
        <v/>
      </c>
      <c r="EP60" s="45" t="str">
        <f>IF(BI60&lt;&gt;"SÍ","",IF(AI60&lt;&gt;"SÍ","—",IF(OR(N(AK60)&lt;=0,N(AL60)&lt;=0,N(AM60)&lt;=0),"REVISAR: faltan b, h o L_v de la viga",IF(AND(EM60&lt;=DATOS!$C$87*DATOS!$C$33,EN60&lt;=14,N(AL60)&gt;=25,EN60&lt;=EO60),IF(BS60/F60&lt;0.6,"PENDIENTE: H/L &lt; 0.6, falta el análisis de interacción muro–viga (4.1.18.2.1); f_CM es estimado","CUMPLE"),"NO CUMPLE: "&amp;IF(EM60&gt;DATOS!$C$87*DATOS!$C$33,"f_CM &gt; F_R·f'm ","")&amp;IF(EN60&gt;14,"L_v/h_v &gt; 14 ","")&amp;IF(N(AL60)&lt;25,"h_v &lt; 25 cm ","")&amp;IF(EN60&gt;EO60,"flecha (4.1.18.3)","")))))</f>
        <v/>
      </c>
      <c r="EQ60" s="44" t="str">
        <f>IF(BI60&lt;&gt;"SÍ","",MAX(0,F60*BS60-(N(K60)*N(M60)+N(P60)*N(R60)+N(U60)*N(W60)+N(Z60)*N(AB60))-CK60*DATOS!$C$59/100*BS60))</f>
        <v/>
      </c>
      <c r="ER60" s="48" t="str">
        <f>IF(BI60&lt;&gt;"SÍ","",CK60*DATOS!$C$59*DATOS!$C$60/10000*BS60)</f>
        <v/>
      </c>
      <c r="ES60" s="47" t="str">
        <f>IF(BI60&lt;&gt;"SÍ","",CK60*(DATOS!$C$61*(BS60+0.6)*INDEX(TABLAS!$E$6:$E$14,MATCH(DATOS!$C$62,TABLAS!$B$6:$B$14,0))+(2*ROUNDUP(CN60/DATOS!$C$65,0)+ROUNDUP(MAX(0,BS60*100-2*CN60)/DATOS!$C$64,0))*((2*(DATOS!$C$60+DATOS!$C$59-4*(DATOS!$C$66-INDEX(TABLAS!$C$6:$C$14,MATCH(DATOS!$C$63,TABLAS!$B$6:$B$14,0))))+15)/100)*INDEX(TABLAS!$E$6:$E$14,MATCH(DATOS!$C$63,TABLAS!$B$6:$B$14,0))))</f>
        <v/>
      </c>
      <c r="ET60" s="47" t="str">
        <f>IF(BI60&lt;&gt;"SÍ","",IF(OR(AE60="VARILLA EN JUNTAS",AE60="ESCALERILLA"),INT(BS60*100/MAX(DK60,1))*IF(ISNUMBER(AF60),AF60,2)*CB60*INDEX(TABLAS!$E$6:$E$14,MATCH(IF(AG60&lt;&gt;"",AG60,DATOS!$C$73),TABLAS!$B$6:$B$14,0)),IF(AE60="MALLA",IF(ISNUMBER(AF60),AF60,1)*CB60*BS60*INDEX(TABLAS!$E$19:$E$22,MATCH(IF(AG60&lt;&gt;"",AG60,DATOS!$C$74),TABLAS!$B$19:$B$22,0)),0)))</f>
        <v/>
      </c>
      <c r="EU60" s="45" t="str">
        <f>IF(BI60&lt;&gt;"SÍ","",""&amp;IF(BJ60="NO ESTÁ EN PIER_FORCES","sin fuerzas en PIER_FORCES; ","")&amp;IF(BV60&lt;&gt;"CUMPLE","vanos; ","")&amp;IF(LEFT(CH60,2)="NO","espesor o esbeltez; ","")&amp;IF(CQ60&gt;1,"compresión; ","")&amp;IF(CX60&gt;1,"flexión; ","")&amp;IF(CB60&lt;=0,"sin tramos de muro (todos son machones menores que L mín.: diséñalos como columnas o baja L mín.); ",IF(EC60&gt;1,"cortante; ",""))&amp;IF(OR(LEFT(EA60,2)="NO",LEFT(EA60,5)="FALTA"),"refuerzo horizontal; ","")&amp;IF(OR(LEFT(EP60,2)="NO",LEFT(EP60,7)="REVISAR"),"muro sobre viga; ","")&amp;IF(LEFT(DATOS!$C$81,2)="NO","castillo típico; ","")&amp;IF(LEFT(DATOS!$C$82,2)="NO","dala típica; ","")&amp;IF(AND(BT60&lt;&gt;DATOS!$C$58,DATOS!$C$60&lt;BT60),"castillo más angosto que el muro; ",""))</f>
        <v/>
      </c>
      <c r="EV60" s="45" t="str">
        <f>IF(BI60&lt;&gt;"SÍ","",""&amp;IF(LEFT(EP60,9)="PENDIENTE","análisis muro–viga (H/L &lt; 0.6); ","")&amp;IF(BR60&gt;50,"V_u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0" s="51" t="str">
        <f>IF(BI60&lt;&gt;"SÍ","",IF(EU60&lt;&gt;"","NO CUMPLE: "&amp;LEFT(EU60,LEN(EU60)-2),IF(EV60&lt;&gt;"","CUMPLE — PENDIENTE: "&amp;LEFT(EV60,LEN(EV60)-2),"CUMPLE")))</f>
        <v/>
      </c>
      <c r="EX60" s="52" t="n"/>
    </row>
    <row r="61" ht="30" customHeight="1">
      <c r="A61" s="38" t="str">
        <f>IF(B61="","",ROW()-10)</f>
        <v/>
      </c>
      <c r="B61" s="28" t="n"/>
      <c r="C61" s="39" t="n"/>
      <c r="D61" s="39" t="n"/>
      <c r="E61" s="39" t="n"/>
      <c r="F61" s="40" t="n"/>
      <c r="G61" s="40" t="n"/>
      <c r="H61" s="41" t="n"/>
      <c r="I61" s="39" t="n"/>
      <c r="J61" s="40" t="n"/>
      <c r="K61" s="40" t="n"/>
      <c r="L61" s="40" t="n"/>
      <c r="M61" s="40" t="n"/>
      <c r="N61" s="39" t="n"/>
      <c r="O61" s="40" t="n"/>
      <c r="P61" s="40" t="n"/>
      <c r="Q61" s="40" t="n"/>
      <c r="R61" s="40" t="n"/>
      <c r="S61" s="39" t="n"/>
      <c r="T61" s="40" t="n"/>
      <c r="U61" s="40" t="n"/>
      <c r="V61" s="40" t="n"/>
      <c r="W61" s="40" t="n"/>
      <c r="X61" s="39" t="n"/>
      <c r="Y61" s="40" t="n"/>
      <c r="Z61" s="40" t="n"/>
      <c r="AA61" s="40" t="n"/>
      <c r="AB61" s="40" t="n"/>
      <c r="AC61" s="41" t="n"/>
      <c r="AD61" s="41" t="n"/>
      <c r="AE61" s="39" t="n"/>
      <c r="AF61" s="41" t="n"/>
      <c r="AG61" s="41" t="n"/>
      <c r="AH61" s="41" t="n"/>
      <c r="AI61" s="39" t="n"/>
      <c r="AJ61" s="39" t="n"/>
      <c r="AK61" s="41" t="n"/>
      <c r="AL61" s="41" t="n"/>
      <c r="AM61" s="40" t="n"/>
      <c r="AN61" s="40" t="n"/>
      <c r="AO61" s="40" t="n"/>
      <c r="AP61" s="40" t="n"/>
      <c r="AQ61" s="40" t="n"/>
      <c r="AR61" s="40" t="n"/>
      <c r="AS61" s="40" t="n"/>
      <c r="AT61" s="40" t="n"/>
      <c r="AU61" s="40" t="n"/>
      <c r="AV61" s="40" t="n"/>
      <c r="AW61" s="40" t="n"/>
      <c r="AX61" s="42" t="str">
        <f>IF(B61="","",C61&amp;"|"&amp;B61)</f>
        <v/>
      </c>
      <c r="AY61" s="43" t="str">
        <f>IF(B61="","",COUNTIFS(PIER_FORCES!$O$9:$O$3008,51,PIER_FORCES!$P$9:$P$3008,1))</f>
        <v/>
      </c>
      <c r="AZ61" s="43" t="str">
        <f>IF(B61="","",COUNTIFS(PIER_FORCES!$O$9:$O$3008,51,PIER_FORCES!$P$9:$P$3008,2))</f>
        <v/>
      </c>
      <c r="BA61" s="44">
        <f>IF(N(AY61)=0,0,SUMPRODUCT(MAX((PIER_FORCES!$O$9:$O$3008=51)*(PIER_FORCES!$P$9:$P$3008=1)*PIER_FORCES!$R$9:$R$3008)))</f>
        <v>0</v>
      </c>
      <c r="BB61" s="44">
        <f>IF(N(AY61)=0,0,SUMPRODUCT(MAX((PIER_FORCES!$O$9:$O$3008=51)*(PIER_FORCES!$P$9:$P$3008=1)*PIER_FORCES!$S$9:$S$3008)))</f>
        <v>0</v>
      </c>
      <c r="BC61" s="44">
        <f>IF(N(AY61)=0,0,-SUMPRODUCT(MAX((PIER_FORCES!$O$9:$O$3008=51)*(PIER_FORCES!$P$9:$P$3008=1)*(-PIER_FORCES!$Q$9:$Q$3008)+(1-(PIER_FORCES!$O$9:$O$3008=51)*(PIER_FORCES!$P$9:$P$3008=1))*(-1E9))))</f>
        <v>0</v>
      </c>
      <c r="BD61" s="44">
        <f>IF(N(AY61)=0,0,SUMPRODUCT(MAX((PIER_FORCES!$O$9:$O$3008=51)*(PIER_FORCES!$P$9:$P$3008=1)*PIER_FORCES!$Q$9:$Q$3008+(1-(PIER_FORCES!$O$9:$O$3008=51)*(PIER_FORCES!$P$9:$P$3008=1))*(-1E9))))</f>
        <v>0</v>
      </c>
      <c r="BE61" s="44">
        <f>IF(N(AZ61)=0,BD61,SUMPRODUCT(MAX((PIER_FORCES!$O$9:$O$3008=51)*(PIER_FORCES!$P$9:$P$3008=2)*PIER_FORCES!$Q$9:$Q$3008+(1-(PIER_FORCES!$O$9:$O$3008=51)*(PIER_FORCES!$P$9:$P$3008=2))*(-1E9))))</f>
        <v>0</v>
      </c>
      <c r="BF61" s="44">
        <f>IF(N(AZ61)=0,0,SUMPRODUCT(MAX((PIER_FORCES!$O$9:$O$3008=51)*(PIER_FORCES!$P$9:$P$3008=2)*PIER_FORCES!$R$9:$R$3008)))</f>
        <v>0</v>
      </c>
      <c r="BG61" s="43">
        <f>IF(N(AY61)=0,0,SUMPRODUCT(MAX((PIER_FORCES!$O$9:$O$3008=51)*(PIER_FORCES!$P$9:$P$3008=1)*(ABS(PIER_FORCES!$R$9:$R$3008-BA61)&lt;0.000001)*PIER_FORCES!$T$9:$T$3008)))</f>
        <v>0</v>
      </c>
      <c r="BH61" s="45" t="str">
        <f>IF(N(BG61)=0,"",INDEX(PIER_FORCES!$D$9:$D$3008,BG61)&amp;" "&amp;INDEX(PIER_FORCES!$F$9:$F$3008,BG61)&amp;" / "&amp;INDEX(PIER_FORCES!$G$9:$G$3008,BG61))</f>
        <v/>
      </c>
      <c r="BI61" s="42" t="str">
        <f>IF(B61="","",IF(AND(C61&lt;&gt;"",OR(D61="X",D61="Y"),ISNUMBER(F61),N(F61)&gt;0),"SÍ","NO"))</f>
        <v/>
      </c>
      <c r="BJ61" s="42" t="str">
        <f>IF(BI61&lt;&gt;"SÍ","",IF(DATOS!$C$108="ETABS (PIER_FORCES)",IF(N(AY61)&gt;0,"ETABS","NO ESTÁ EN PIER_FORCES"),"CAPTURA"))</f>
        <v/>
      </c>
      <c r="BK61" s="46" t="str">
        <f>IF(BI61&lt;&gt;"SÍ","",IF(BJ61="ETABS",BA61,IF(BJ61="CAPTURA",N(AQ61),0)))</f>
        <v/>
      </c>
      <c r="BL61" s="46" t="str">
        <f>IF(BI61&lt;&gt;"SÍ","",IF(BJ61="ETABS",BB61,IF(BJ61="CAPTURA",N(AR61),0)))</f>
        <v/>
      </c>
      <c r="BM61" s="46" t="str">
        <f>IF(BI61&lt;&gt;"SÍ","",IF(BJ61="ETABS",BC61/DATOS!$C$89,IF(BJ61="CAPTURA",N(AS61),0)))</f>
        <v/>
      </c>
      <c r="BN61" s="44" t="str">
        <f>IF(BI61&lt;&gt;"SÍ","",IF(BJ61="ETABS",BC61,IF(BJ61="CAPTURA",IF(ISNUMBER(AU61),AU61,N(AS61)*DATOS!$C$89),0)))</f>
        <v/>
      </c>
      <c r="BO61" s="44" t="str">
        <f>IF(BI61&lt;&gt;"SÍ","",IF(BJ61="ETABS",MAX(BD61,BE61),IF(BJ61="CAPTURA",N(AT61),0)))</f>
        <v/>
      </c>
      <c r="BP61" s="44" t="str">
        <f>IF(BI61&lt;&gt;"SÍ","",IF(BJ61="ETABS",BE61,IF(BJ61="CAPTURA",IF(ISNUMBER(AV61),AV61,N(AT61)),0)))</f>
        <v/>
      </c>
      <c r="BQ61" s="44" t="str">
        <f>IF(BI61&lt;&gt;"SÍ","",IF(BJ61="ETABS",BF61,IF(BJ61="CAPTURA",N(AW61),0)))</f>
        <v/>
      </c>
      <c r="BR61" s="43" t="str">
        <f>IF(BI61&lt;&gt;"SÍ","",IF(BK61&gt;0,100*BQ61/BK61,0))</f>
        <v/>
      </c>
      <c r="BS61" s="44" t="str">
        <f>IF(BI61&lt;&gt;"SÍ","",IF(ISNUMBER(G61),G61,DATOS!$C$57))</f>
        <v/>
      </c>
      <c r="BT61" s="47" t="str">
        <f>IF(BI61&lt;&gt;"SÍ","",IF(ISNUMBER(H61),H61,DATOS!$C$58))</f>
        <v/>
      </c>
      <c r="BU61" s="43" t="str">
        <f>IF(BI61&lt;&gt;"SÍ","",IF(N(K61)&gt;0,1+IF(N(P61)&gt;0,1+IF(N(U61)&gt;0,1+IF(N(Z61)&gt;0,1,0),0),0),0))</f>
        <v/>
      </c>
      <c r="BV61" s="45" t="str">
        <f>IF(BI61&lt;&gt;"SÍ","",IF(AND(OR(BU61&lt;1,AND(N(J61)&gt;=0-0.001,J61+K61&lt;=F61+0.001,N(L61)&gt;=0,N(L61)+N(M61)&lt;=BS61+0.001,N(M61)&gt;0,OR(I61="PUERTA",I61="VENTANA"))),OR(BU61&lt;2,AND(N(O61)&gt;=(J61+K61)-0.001,O61+P61&lt;=F61+0.001,N(Q61)&gt;=0,N(Q61)+N(R61)&lt;=BS61+0.001,N(R61)&gt;0,OR(N61="PUERTA",N61="VENTANA"))),OR(BU61&lt;3,AND(N(T61)&gt;=(O61+P61)-0.001,T61+U61&lt;=F61+0.001,N(V61)&gt;=0,N(V61)+N(W61)&lt;=BS61+0.001,N(W61)&gt;0,OR(S61="PUERTA",S61="VENTANA"))),OR(BU61&lt;4,AND(N(Y61)&gt;=(T61+U61)-0.001,Y61+Z61&lt;=F61+0.001,N(AA61)&gt;=0,N(AA61)+N(AB61)&lt;=BS61+0.001,N(AB61)&gt;0,OR(X61="PUERTA",X61="VENTANA"))),(N(K61)&gt;0)+(N(P61)&gt;0)+(N(U61)&gt;0)+(N(Z61)&gt;0)=BU61),"CUMPLE","REVISAR VANOS: tipo, orden de izquierda a derecha, que quepan en L y en H"))</f>
        <v/>
      </c>
      <c r="BW61" s="44" t="str">
        <f>IF(BI61&lt;&gt;"SÍ","",MAX(0,IF(BU61&gt;=1,N(J61),F61)))</f>
        <v/>
      </c>
      <c r="BX61" s="44" t="str">
        <f>IF(BI61&lt;&gt;"SÍ","",MAX(0,IF(BU61&gt;=2,N(O61)-(N(J61)+N(K61)),IF(BU61=1,F61-(N(J61)+N(K61)),0))))</f>
        <v/>
      </c>
      <c r="BY61" s="44" t="str">
        <f>IF(BI61&lt;&gt;"SÍ","",MAX(0,IF(BU61&gt;=3,N(T61)-(N(O61)+N(P61)),IF(BU61=2,F61-(N(O61)+N(P61)),0))))</f>
        <v/>
      </c>
      <c r="BZ61" s="44" t="str">
        <f>IF(BI61&lt;&gt;"SÍ","",MAX(0,IF(BU61&gt;=4,N(Y61)-(N(T61)+N(U61)),IF(BU61=3,F61-(N(T61)+N(U61)),0))))</f>
        <v/>
      </c>
      <c r="CA61" s="44" t="str">
        <f>IF(BI61&lt;&gt;"SÍ","",MAX(0,IF(BU61=4,F61-(N(Y61)+N(Z61)),0)))</f>
        <v/>
      </c>
      <c r="CB61" s="46" t="str">
        <f>IF(BI61&lt;&gt;"SÍ","",SUMPRODUCT((BW61:CA61&gt;=DATOS!$C$72-0.0001)*BW61:CA61))</f>
        <v/>
      </c>
      <c r="CC61" s="43" t="str">
        <f>IF(BI61&lt;&gt;"SÍ","",SUMPRODUCT(--(BW61:CA61&gt;=DATOS!$C$72-0.0001)))</f>
        <v/>
      </c>
      <c r="CD61" s="44" t="str">
        <f>IF(BI61&lt;&gt;"SÍ","",SUM(BW61:CA61))</f>
        <v/>
      </c>
      <c r="CE61" s="43" t="str">
        <f>IF(BI61&lt;&gt;"SÍ","",BT61*CB61*100)</f>
        <v/>
      </c>
      <c r="CF61" s="43" t="str">
        <f>IF(BI61&lt;&gt;"SÍ","",BT61*CD61*100)</f>
        <v/>
      </c>
      <c r="CG61" s="47" t="str">
        <f>IF(BI61&lt;&gt;"SÍ","",BS61*100/BT61)</f>
        <v/>
      </c>
      <c r="CH61" s="45" t="str">
        <f>IF(BI61&lt;&gt;"SÍ","",IF(AND(OR(DATOS!$C$14="TIPO II",BT61&gt;=12),CG61&lt;=25),"CUMPLE","NO CUMPLE: "&amp;IF(AND(DATOS!$C$14="TIPO I",BT61&lt;12),"t &lt; 12 cm ","")&amp;IF(CG61&gt;25,"H/t &gt; 25","")))</f>
        <v/>
      </c>
      <c r="CI61" s="44" t="str">
        <f>IF(BI61&lt;&gt;"SÍ","",MIN(1.5*BS61,4))</f>
        <v/>
      </c>
      <c r="CJ61" s="43" t="str">
        <f>IF(BI61&lt;&gt;"SÍ","",SUMPRODUCT((BW61:CA61&gt;=2*DATOS!$C$59/100)*INT((BW61:CA61-DATOS!$C$59/100)/CI61-0.000001)*((BW61:CA61-DATOS!$C$59/100)&gt;0)))</f>
        <v/>
      </c>
      <c r="CK61" s="43" t="str">
        <f>IF(BI61&lt;&gt;"SÍ","",SUMPRODUCT((BW61:CA61&gt;0.0001)*1+(BW61:CA61&gt;=2*DATOS!$C$59/100)*1)+CJ61)</f>
        <v/>
      </c>
      <c r="CL61" s="44" t="str">
        <f>IF(BI61&lt;&gt;"SÍ","",IF(ISNUMBER(AC61),AC61,DATOS!$C$61)*INDEX(TABLAS!$D$6:$D$14,MATCH(IF(AD61&lt;&gt;"",AD61,DATOS!$C$62),TABLAS!$B$6:$B$14,0)))</f>
        <v/>
      </c>
      <c r="CM61" s="44" t="str">
        <f>IF(BI61&lt;&gt;"SÍ","",CK61*DATOS!$C$78+IF(CK61&gt;=2,2,CK61)*(CL61-DATOS!$C$78))</f>
        <v/>
      </c>
      <c r="CN61" s="47" t="str">
        <f>IF(BI61&lt;&gt;"SÍ","",MAX(BS61*100/6,40))</f>
        <v/>
      </c>
      <c r="CO61" s="48" t="str">
        <f>IF(BI61&lt;&gt;"SÍ","",IF(CG61&lt;=20,IF(E61="INTERIOR",0.7,0.6),MIN(IF(E61="INTERIOR",0.7,0.6),(1-2/24)*(1-(IF(E61="INTERIOR",0.8,1)*CG61/30)^2))))</f>
        <v/>
      </c>
      <c r="CP61" s="47" t="str">
        <f>IF(BI61&lt;&gt;"SÍ","",DATOS!$C$87*CO61*(DATOS!$C$33*CF61+CM61*DATOS!$C$48)/1000)</f>
        <v/>
      </c>
      <c r="CQ61" s="46" t="str">
        <f>IF(BI61&lt;&gt;"SÍ","",IF(CP61&gt;0,BO61/CP61,99))</f>
        <v/>
      </c>
      <c r="CR61" s="47" t="str">
        <f>IF(BI61&lt;&gt;"SÍ","",MAX(0,F61*100-DATOS!$C$59))</f>
        <v/>
      </c>
      <c r="CS61" s="47" t="str">
        <f>IF(BI61&lt;&gt;"SÍ","",MAX(0,F61*100-DATOS!$C$59/2))</f>
        <v/>
      </c>
      <c r="CT61" s="44" t="str">
        <f>IF(BI61&lt;&gt;"SÍ","",CL61*DATOS!$C$48*CR61/100000)</f>
        <v/>
      </c>
      <c r="CU61" s="44" t="str">
        <f>IF(BI61&lt;&gt;"SÍ","",IF(BN61&lt;0,0.8*CT61*MAX(0,1+BN61/(0.8*CM61*DATOS!$C$48/1000)),IF(BN61&lt;=CP61/3,0.8*CT61+0.3*BN61*CS61/100,(1.5*0.6*CT61+0.15*CP61*CS61/100)*MAX(0,1-BN61/CP61))))</f>
        <v/>
      </c>
      <c r="CV61" s="44" t="str">
        <f>IF(BI61&lt;&gt;"SÍ","",IF(BO61&lt;0,0.8*CT61*MAX(0,1+BO61/(0.8*CM61*DATOS!$C$48/1000)),IF(BO61&lt;=CP61/3,0.8*CT61+0.3*BO61*CS61/100,(1.5*0.6*CT61+0.15*CP61*CS61/100)*MAX(0,1-BO61/CP61))))</f>
        <v/>
      </c>
      <c r="CW61" s="46" t="str">
        <f>IF(BI61&lt;&gt;"SÍ","",MAX(0,MIN(CU61,CV61)))</f>
        <v/>
      </c>
      <c r="CX61" s="49" t="str">
        <f>IF(BI61&lt;&gt;"SÍ","",IF(CW61&gt;0,BL61/CW61,IF(BL61&gt;0,99,0)))</f>
        <v/>
      </c>
      <c r="CY61" s="44" t="str">
        <f>IF(BI61&lt;&gt;"SÍ","",IF(BW61&gt;0,MAX(1,MIN(1.5,1.5-0.625*(BS61/BW61-0.2))),0))</f>
        <v/>
      </c>
      <c r="CZ61" s="44" t="str">
        <f>IF(BI61&lt;&gt;"SÍ","",IF(BX61&gt;0,MAX(1,MIN(1.5,1.5-0.625*(BS61/BX61-0.2))),0))</f>
        <v/>
      </c>
      <c r="DA61" s="44" t="str">
        <f>IF(BI61&lt;&gt;"SÍ","",IF(BY61&gt;0,MAX(1,MIN(1.5,1.5-0.625*(BS61/BY61-0.2))),0))</f>
        <v/>
      </c>
      <c r="DB61" s="44" t="str">
        <f>IF(BI61&lt;&gt;"SÍ","",IF(BZ61&gt;0,MAX(1,MIN(1.5,1.5-0.625*(BS61/BZ61-0.2))),0))</f>
        <v/>
      </c>
      <c r="DC61" s="44" t="str">
        <f>IF(BI61&lt;&gt;"SÍ","",IF(CA61&gt;0,MAX(1,MIN(1.5,1.5-0.625*(BS61/CA61-0.2))),0))</f>
        <v/>
      </c>
      <c r="DD61" s="44" t="str">
        <f>IF(BI61&lt;&gt;"SÍ","",IF(OR(BW61&lt;DATOS!$C$72-0.0001,BM61&lt;0,CB61&lt;=0),0,MIN(DATOS!$C$86*(0.5*DATOS!$C$41*BT61*BW61*100+0.3*BM61*BW61/CB61*1000)*CY61,1.5*DATOS!$C$86*DATOS!$C$41*BT61*BW61*100*CY61)/1000))</f>
        <v/>
      </c>
      <c r="DE61" s="44" t="str">
        <f>IF(BI61&lt;&gt;"SÍ","",IF(OR(BX61&lt;DATOS!$C$72-0.0001,BM61&lt;0,CB61&lt;=0),0,MIN(DATOS!$C$86*(0.5*DATOS!$C$41*BT61*BX61*100+0.3*BM61*BX61/CB61*1000)*CZ61,1.5*DATOS!$C$86*DATOS!$C$41*BT61*BX61*100*CZ61)/1000))</f>
        <v/>
      </c>
      <c r="DF61" s="44" t="str">
        <f>IF(BI61&lt;&gt;"SÍ","",IF(OR(BY61&lt;DATOS!$C$72-0.0001,BM61&lt;0,CB61&lt;=0),0,MIN(DATOS!$C$86*(0.5*DATOS!$C$41*BT61*BY61*100+0.3*BM61*BY61/CB61*1000)*DA61,1.5*DATOS!$C$86*DATOS!$C$41*BT61*BY61*100*DA61)/1000))</f>
        <v/>
      </c>
      <c r="DG61" s="44" t="str">
        <f>IF(BI61&lt;&gt;"SÍ","",IF(OR(BZ61&lt;DATOS!$C$72-0.0001,BM61&lt;0,CB61&lt;=0),0,MIN(DATOS!$C$86*(0.5*DATOS!$C$41*BT61*BZ61*100+0.3*BM61*BZ61/CB61*1000)*DB61,1.5*DATOS!$C$86*DATOS!$C$41*BT61*BZ61*100*DB61)/1000))</f>
        <v/>
      </c>
      <c r="DH61" s="44" t="str">
        <f>IF(BI61&lt;&gt;"SÍ","",IF(OR(CA61&lt;DATOS!$C$72-0.0001,BM61&lt;0,CB61&lt;=0),0,MIN(DATOS!$C$86*(0.5*DATOS!$C$41*BT61*CA61*100+0.3*BM61*CA61/CB61*1000)*DC61,1.5*DATOS!$C$86*DATOS!$C$41*BT61*CA61*100*DC61)/1000))</f>
        <v/>
      </c>
      <c r="DI61" s="46" t="str">
        <f>IF(BI61&lt;&gt;"SÍ","",SUM(DD61:DH61))</f>
        <v/>
      </c>
      <c r="DJ61" s="48" t="str">
        <f>IF(BI61&lt;&gt;"SÍ","",IF(AE61="VARILLA EN JUNTAS",IF(ISNUMBER(AF61),AF61,2)*INDEX(TABLAS!$D$6:$D$14,MATCH(IF(AG61&lt;&gt;"",AG61,DATOS!$C$73),TABLAS!$B$6:$B$14,0)),IF(AE61="MALLA",IF(ISNUMBER(AF61),AF61,1)*INDEX(TABLAS!$D$19:$D$22,MATCH(IF(AG61&lt;&gt;"",AG61,DATOS!$C$74),TABLAS!$B$19:$B$22,0))/100,IF(AE61="ESCALERILLA",IF(ISNUMBER(AF61),AF61,2)*INDEX(TABLAS!$D$6:$D$14,MATCH(IF(AG61&lt;&gt;"",AG61,DATOS!$C$73),TABLAS!$B$6:$B$14,0)),0))))</f>
        <v/>
      </c>
      <c r="DK61" s="47" t="str">
        <f>IF(BI61&lt;&gt;"SÍ","",IF(OR(AE61="VARILLA EN JUNTAS",AE61="ESCALERILLA"),IF(ISNUMBER(AH61),AH61,2)*DATOS!$C$26,IF(AE61="MALLA",1,0)))</f>
        <v/>
      </c>
      <c r="DL61" s="44" t="str">
        <f>IF(BI61&lt;&gt;"SÍ","",IF(DK61&gt;0,DJ61/(DK61*BT61)*MIN(DATOS!$C$50,IF(AE61="MALLA",5000,6000)),0))</f>
        <v/>
      </c>
      <c r="DM61" s="44" t="str">
        <f>IF(BI61&lt;&gt;"SÍ","",IF(AE61="ESCALERILLA",0,MIN(DL61,0.1*DATOS!$C$33*DATOS!$C$24)))</f>
        <v/>
      </c>
      <c r="DN61" s="48" t="str">
        <f>IF(BI61&lt;&gt;"SÍ","",IF(AE61="MALLA",0.5,IF(DATOS!$C$33&lt;=60,0.55,IF(DATOS!$C$33&gt;=90,0.75,0.55+0.2*(DATOS!$C$33-60)/30))))</f>
        <v/>
      </c>
      <c r="DO61" s="48" t="str">
        <f>IF(BI61&lt;&gt;"SÍ","",1-DATOS!$C$91*DM61)</f>
        <v/>
      </c>
      <c r="DP61" s="44" t="str">
        <f>IF(BI61&lt;&gt;"SÍ","",IF(BW61&gt;0,IF(BS61/BW61&lt;=1,1.3,IF(BS61/BW61&gt;=1.5,1,1.3-0.6*(BS61/BW61-1))),0))</f>
        <v/>
      </c>
      <c r="DQ61" s="44" t="str">
        <f>IF(BI61&lt;&gt;"SÍ","",IF(BX61&gt;0,IF(BS61/BX61&lt;=1,1.3,IF(BS61/BX61&gt;=1.5,1,1.3-0.6*(BS61/BX61-1))),0))</f>
        <v/>
      </c>
      <c r="DR61" s="44" t="str">
        <f>IF(BI61&lt;&gt;"SÍ","",IF(BY61&gt;0,IF(BS61/BY61&lt;=1,1.3,IF(BS61/BY61&gt;=1.5,1,1.3-0.6*(BS61/BY61-1))),0))</f>
        <v/>
      </c>
      <c r="DS61" s="44" t="str">
        <f>IF(BI61&lt;&gt;"SÍ","",IF(BZ61&gt;0,IF(BS61/BZ61&lt;=1,1.3,IF(BS61/BZ61&gt;=1.5,1,1.3-0.6*(BS61/BZ61-1))),0))</f>
        <v/>
      </c>
      <c r="DT61" s="44" t="str">
        <f>IF(BI61&lt;&gt;"SÍ","",IF(CA61&gt;0,IF(BS61/CA61&lt;=1,1.3,IF(BS61/CA61&gt;=1.5,1,1.3-0.6*(BS61/CA61-1))),0))</f>
        <v/>
      </c>
      <c r="DU61" s="44" t="str">
        <f>IF(BI61&lt;&gt;"SÍ","",IF(OR(DM61&lt;=0,BW61&lt;DATOS!$C$72-0.0001),0,DATOS!$C$86*MAX(0,IF(BM61&gt;=0,DD61/(DATOS!$C$86*DM61*BT61*BW61*100/1000)*(DP61*DO61-1)+DN61,DO61*DN61))*DM61*BT61*BW61*100/1000))</f>
        <v/>
      </c>
      <c r="DV61" s="44" t="str">
        <f>IF(BI61&lt;&gt;"SÍ","",IF(OR(DM61&lt;=0,BX61&lt;DATOS!$C$72-0.0001),0,DATOS!$C$86*MAX(0,IF(BM61&gt;=0,DE61/(DATOS!$C$86*DM61*BT61*BX61*100/1000)*(DQ61*DO61-1)+DN61,DO61*DN61))*DM61*BT61*BX61*100/1000))</f>
        <v/>
      </c>
      <c r="DW61" s="44" t="str">
        <f>IF(BI61&lt;&gt;"SÍ","",IF(OR(DM61&lt;=0,BY61&lt;DATOS!$C$72-0.0001),0,DATOS!$C$86*MAX(0,IF(BM61&gt;=0,DF61/(DATOS!$C$86*DM61*BT61*BY61*100/1000)*(DR61*DO61-1)+DN61,DO61*DN61))*DM61*BT61*BY61*100/1000))</f>
        <v/>
      </c>
      <c r="DX61" s="44" t="str">
        <f>IF(BI61&lt;&gt;"SÍ","",IF(OR(DM61&lt;=0,BZ61&lt;DATOS!$C$72-0.0001),0,DATOS!$C$86*MAX(0,IF(BM61&gt;=0,DG61/(DATOS!$C$86*DM61*BT61*BZ61*100/1000)*(DS61*DO61-1)+DN61,DO61*DN61))*DM61*BT61*BZ61*100/1000))</f>
        <v/>
      </c>
      <c r="DY61" s="44" t="str">
        <f>IF(BI61&lt;&gt;"SÍ","",IF(OR(DM61&lt;=0,CA61&lt;DATOS!$C$72-0.0001),0,DATOS!$C$86*MAX(0,IF(BM61&gt;=0,DH61/(DATOS!$C$86*DM61*BT61*CA61*100/1000)*(DT61*DO61-1)+DN61,DO61*DN61))*DM61*BT61*CA61*100/1000))</f>
        <v/>
      </c>
      <c r="DZ61" s="46" t="str">
        <f>IF(BI61&lt;&gt;"SÍ","",SUM(DU61:DY61))</f>
        <v/>
      </c>
      <c r="EA61" s="45" t="str">
        <f>IF(BI61&lt;&gt;"SÍ","",IF(OR(AE61="",AE61="NINGUNO"),IF(DATOS!$C$41&gt;=10,"FALTA refuerzo horizontal: v'm ≥ 10 kg/cm² (6.5.2.2)",IF(AND(BM61&lt;0,BK61&gt;0),"FALTA: P en tensión, el refuerzo debe tomar todo el cortante (6.5.1.3)","—")),IF(AE61="ESCALERILLA","NO CUENTA: la escalerilla no se permite para cortante por sismo (6.5.3.1.2)",IF(AE61="MALLA",IF(AND(DL61&gt;=2.5,DL61&lt;=MAX(0.15*DATOS!$C$33*DATOS!$C$24,2.5)),"CUMPLE","NO CUMPLE: "&amp;IF(DL61&lt;2.5,"p_h·f_yh &lt; 2.5 (6.5.4.2.4)","p_h·f_yh &gt; 0.15·f'm·f_an (6.5.4.2.4)")),IF(AND(DK61&lt;=MIN(6*DATOS!$C$26,45),DL61&gt;=3,DL61&lt;=MIN(MAX(0.15*DATOS!$C$33*DATOS!$C$24,3),0.05*DATOS!$C$25/10*MIN(DATOS!$C$50,6000)/DK61),INDEX(TABLAS!$C$6:$C$14,MATCH(IF(AG61&lt;&gt;"",AG61,DATOS!$C$73),TABLAS!$B$6:$B$14,0))&gt;=0.35,INDEX(TABLAS!$C$6:$C$14,MATCH(IF(AG61&lt;&gt;"",AG61,DATOS!$C$73),TABLAS!$B$6:$B$14,0))&lt;=0.75*DATOS!$C$25/10),"CUMPLE","NO CUMPLE: "&amp;IF(DK61&gt;MIN(6*DATOS!$C$26,45),"s_h &gt; 6 hiladas o 45 cm (6.5.3.2.1) ","")&amp;IF(DL61&lt;3,"p_h·f_yh &lt; 3 (6.5.3.3.1) ","")&amp;IF(DL61&gt;MIN(MAX(0.15*DATOS!$C$33*DATOS!$C$24,3),0.05*DATOS!$C$25/10*MIN(DATOS!$C$50,6000)/DK61),"p_h·f_yh &gt; máximo (6.5.3.3.2) ","")&amp;IF(OR(INDEX(TABLAS!$C$6:$C$14,MATCH(IF(AG61&lt;&gt;"",AG61,DATOS!$C$73),TABLAS!$B$6:$B$14,0))&lt;0.35,INDEX(TABLAS!$C$6:$C$14,MATCH(IF(AG61&lt;&gt;"",AG61,DATOS!$C$73),TABLAS!$B$6:$B$14,0))&gt;0.75*DATOS!$C$25/10),"diámetro fuera de 3.5 mm a 0.75·h_j (4.2.2.2.1)",""))))))</f>
        <v/>
      </c>
      <c r="EB61" s="46" t="str">
        <f>IF(BI61&lt;&gt;"SÍ","",DI61+DZ61)</f>
        <v/>
      </c>
      <c r="EC61" s="50" t="str">
        <f>IF(BI61&lt;&gt;"SÍ","",IF(EB61&gt;0,BK61/EB61,IF(BK61&gt;0,99,0)))</f>
        <v/>
      </c>
      <c r="ED61" s="47" t="str">
        <f>IF(BI61&lt;&gt;"SÍ","",IF(CE61&lt;=0,-1,IF(BK61&lt;=DI61,0,IF(IF(BM61&gt;=0,IF((DATOS!$C$86*IF(AE61="MALLA",0.5,IF(DATOS!$C$33&lt;=60,0.55,IF(DATOS!$C$33&gt;=90,0.75,0.55+0.2*(DATOS!$C$33-60)/30)))*CE61/1000-DATOS!$C$91*SUMPRODUCT(DP61:DT61,DD61:DH61))&lt;=0,1E9,(BK61-SUMPRODUCT(DP61:DT61,DD61:DH61))/(DATOS!$C$86*IF(AE61="MALLA",0.5,IF(DATOS!$C$33&lt;=60,0.55,IF(DATOS!$C$33&gt;=90,0.75,0.55+0.2*(DATOS!$C$33-60)/30)))*CE61/1000-DATOS!$C$91*SUMPRODUCT(DP61:DT61,DD61:DH61))),IF((1-4*DATOS!$C$91*BK61*1000/(DATOS!$C$86*IF(AE61="MALLA",0.5,IF(DATOS!$C$33&lt;=60,0.55,IF(DATOS!$C$33&gt;=90,0.75,0.55+0.2*(DATOS!$C$33-60)/30)))*MAX(CE61,1)))&lt;0,1E9,(1-SQRT((1-4*DATOS!$C$91*BK61*1000/(DATOS!$C$86*IF(AE61="MALLA",0.5,IF(DATOS!$C$33&lt;=60,0.55,IF(DATOS!$C$33&gt;=90,0.75,0.55+0.2*(DATOS!$C$33-60)/30)))*MAX(CE61,1)))))/(2*DATOS!$C$91)))&gt;0.1*DATOS!$C$33*DATOS!$C$24+0.000001,-1,MAX(IF(AE61="MALLA",2.5,3),IF(BM61&gt;=0,IF((DATOS!$C$86*IF(AE61="MALLA",0.5,IF(DATOS!$C$33&lt;=60,0.55,IF(DATOS!$C$33&gt;=90,0.75,0.55+0.2*(DATOS!$C$33-60)/30)))*CE61/1000-DATOS!$C$91*SUMPRODUCT(DP61:DT61,DD61:DH61))&lt;=0,1E9,(BK61-SUMPRODUCT(DP61:DT61,DD61:DH61))/(DATOS!$C$86*IF(AE61="MALLA",0.5,IF(DATOS!$C$33&lt;=60,0.55,IF(DATOS!$C$33&gt;=90,0.75,0.55+0.2*(DATOS!$C$33-60)/30)))*CE61/1000-DATOS!$C$91*SUMPRODUCT(DP61:DT61,DD61:DH61))),IF((1-4*DATOS!$C$91*BK61*1000/(DATOS!$C$86*IF(AE61="MALLA",0.5,IF(DATOS!$C$33&lt;=60,0.55,IF(DATOS!$C$33&gt;=90,0.75,0.55+0.2*(DATOS!$C$33-60)/30)))*MAX(CE61,1)))&lt;0,1E9,(1-SQRT((1-4*DATOS!$C$91*BK61*1000/(DATOS!$C$86*IF(AE61="MALLA",0.5,IF(DATOS!$C$33&lt;=60,0.55,IF(DATOS!$C$33&gt;=90,0.75,0.55+0.2*(DATOS!$C$33-60)/30)))*MAX(CE61,1)))))/(2*DATOS!$C$91))))))))</f>
        <v/>
      </c>
      <c r="EE61" s="45" t="str">
        <f>IF(BI61&lt;&gt;"SÍ","",IF(ED61=0,"NO REQUIERE: V_mR ≥ V_u",IF(ED61&lt;0,"NO ALCANZA con refuerzo horizontal (haría falta más de 0.1·f'm·f_an efectivo): sube v'm con ensayes, el espesor o la longitud del muro",IF(AND(OR(AE61="VARILLA EN JUNTAS",AE61="MALLA"),LEFT(EA61,6)="CUMPLE",EC61&lt;=1),"YA LO TIENE (pide p_h·f_yh ≥ "&amp;TEXT(ED61,"0.0")&amp;" kg/cm²)","p_h·f_yh ≥ "&amp;TEXT(ED61,"0.0")&amp;" kg/cm² → "&amp;IF(AND(MIN(6,FLOOR(45/DATOS!$C$26,1),FLOOR((2*INDEX(TABLAS!$D$6:$D$14,MATCH("3/16 in",TABLAS!$B$6:$B$14,0)))*MIN(DATOS!$C$50,6000)/(BT61*DATOS!$C$26*MAX(ED61,0.001)),1))&gt;=1,((2*INDEX(TABLAS!$D$6:$D$14,MATCH("3/16 in",TABLAS!$B$6:$B$14,0)))*MIN(DATOS!$C$50,6000)/(MAX(MIN(6,FLOOR(45/DATOS!$C$26,1),FLOOR((2*INDEX(TABLAS!$D$6:$D$14,MATCH("3/16 in",TABLAS!$B$6:$B$14,0)))*MIN(DATOS!$C$50,6000)/(BT61*DATOS!$C$26*MAX(ED61,0.001)),1)),1)*DATOS!$C$26*BT61))&lt;=MIN(MAX(0.15*DATOS!$C$33*DATOS!$C$24,3),0.05*DATOS!$C$25/10*MIN(DATOS!$C$50,6000)/(MIN(6,FLOOR(45/DATOS!$C$26,1),FLOOR((2*INDEX(TABLAS!$D$6:$D$14,MATCH("3/16 in",TABLAS!$B$6:$B$14,0)))*MIN(DATOS!$C$50,6000)/(BT61*DATOS!$C$26*MAX(ED61,0.001)),1))*DATOS!$C$26))),"2 alambres de 3/16"" por junta cada "&amp;MIN(6,FLOOR(45/DATOS!$C$26,1),FLOOR((2*INDEX(TABLAS!$D$6:$D$14,MATCH("3/16 in",TABLAS!$B$6:$B$14,0)))*MIN(DATOS!$C$50,6000)/(BT61*DATOS!$C$26*MAX(ED61,0.001)),1))&amp;" hilada(s) (p_h·f_yh = "&amp;TEXT(((2*INDEX(TABLAS!$D$6:$D$14,MATCH("3/16 in",TABLAS!$B$6:$B$14,0)))*MIN(DATOS!$C$50,6000)/(MAX(MIN(6,FLOOR(45/DATOS!$C$26,1),FLOOR((2*INDEX(TABLAS!$D$6:$D$14,MATCH("3/16 in",TABLAS!$B$6:$B$14,0)))*MIN(DATOS!$C$50,6000)/(BT61*DATOS!$C$26*MAX(ED61,0.001)),1)),1)*DATOS!$C$26*BT61)),"0.00")&amp;")",IF(AND(MIN(6,FLOOR(45/DATOS!$C$26,1),FLOOR((2*INDEX(TABLAS!$D$6:$D$14,MATCH("5/32 in",TABLAS!$B$6:$B$14,0)))*MIN(DATOS!$C$50,6000)/(BT61*DATOS!$C$26*MAX(ED61,0.001)),1))&gt;=1,((2*INDEX(TABLAS!$D$6:$D$14,MATCH("5/32 in",TABLAS!$B$6:$B$14,0)))*MIN(DATOS!$C$50,6000)/(MAX(MIN(6,FLOOR(45/DATOS!$C$26,1),FLOOR((2*INDEX(TABLAS!$D$6:$D$14,MATCH("5/32 in",TABLAS!$B$6:$B$14,0)))*MIN(DATOS!$C$50,6000)/(BT61*DATOS!$C$26*MAX(ED61,0.001)),1)),1)*DATOS!$C$26*BT61))&lt;=MIN(MAX(0.15*DATOS!$C$33*DATOS!$C$24,3),0.05*DATOS!$C$25/10*MIN(DATOS!$C$50,6000)/(MIN(6,FLOOR(45/DATOS!$C$26,1),FLOOR((2*INDEX(TABLAS!$D$6:$D$14,MATCH("5/32 in",TABLAS!$B$6:$B$14,0)))*MIN(DATOS!$C$50,6000)/(BT61*DATOS!$C$26*MAX(ED61,0.001)),1))*DATOS!$C$26))),"2 alambres de 5/32"" por junta cada "&amp;MIN(6,FLOOR(45/DATOS!$C$26,1),FLOOR((2*INDEX(TABLAS!$D$6:$D$14,MATCH("5/32 in",TABLAS!$B$6:$B$14,0)))*MIN(DATOS!$C$50,6000)/(BT61*DATOS!$C$26*MAX(ED61,0.001)),1))&amp;" hilada(s) (p_h·f_yh = "&amp;TEXT(((2*INDEX(TABLAS!$D$6:$D$14,MATCH("5/32 in",TABLAS!$B$6:$B$14,0)))*MIN(DATOS!$C$50,6000)/(MAX(MIN(6,FLOOR(45/DATOS!$C$26,1),FLOOR((2*INDEX(TABLAS!$D$6:$D$14,MATCH("5/32 in",TABLAS!$B$6:$B$14,0)))*MIN(DATOS!$C$50,6000)/(BT61*DATOS!$C$26*MAX(ED61,0.001)),1)),1)*DATOS!$C$26*BT61)),"0.00")&amp;")",IF(AND(MIN(6,FLOOR(45/DATOS!$C$26,1),FLOOR((1*INDEX(TABLAS!$D$6:$D$14,MATCH("3/16 in",TABLAS!$B$6:$B$14,0)))*MIN(DATOS!$C$50,6000)/(BT61*DATOS!$C$26*MAX(ED61,0.001)),1))&gt;=1,((1*INDEX(TABLAS!$D$6:$D$14,MATCH("3/16 in",TABLAS!$B$6:$B$14,0)))*MIN(DATOS!$C$50,6000)/(MAX(MIN(6,FLOOR(45/DATOS!$C$26,1),FLOOR((1*INDEX(TABLAS!$D$6:$D$14,MATCH("3/16 in",TABLAS!$B$6:$B$14,0)))*MIN(DATOS!$C$50,6000)/(BT61*DATOS!$C$26*MAX(ED61,0.001)),1)),1)*DATOS!$C$26*BT61))&lt;=MIN(MAX(0.15*DATOS!$C$33*DATOS!$C$24,3),0.05*DATOS!$C$25/10*MIN(DATOS!$C$50,6000)/(MIN(6,FLOOR(45/DATOS!$C$26,1),FLOOR((1*INDEX(TABLAS!$D$6:$D$14,MATCH("3/16 in",TABLAS!$B$6:$B$14,0)))*MIN(DATOS!$C$50,6000)/(BT61*DATOS!$C$26*MAX(ED61,0.001)),1))*DATOS!$C$26))),"1 alambre de 3/16"" por junta cada "&amp;MIN(6,FLOOR(45/DATOS!$C$26,1),FLOOR((1*INDEX(TABLAS!$D$6:$D$14,MATCH("3/16 in",TABLAS!$B$6:$B$14,0)))*MIN(DATOS!$C$50,6000)/(BT61*DATOS!$C$26*MAX(ED61,0.001)),1))&amp;" hilada(s) (p_h·f_yh = "&amp;TEXT(((1*INDEX(TABLAS!$D$6:$D$14,MATCH("3/16 in",TABLAS!$B$6:$B$14,0)))*MIN(DATOS!$C$50,6000)/(MAX(MIN(6,FLOOR(45/DATOS!$C$26,1),FLOOR((1*INDEX(TABLAS!$D$6:$D$14,MATCH("3/16 in",TABLAS!$B$6:$B$14,0)))*MIN(DATOS!$C$50,6000)/(BT61*DATOS!$C$26*MAX(ED61,0.001)),1)),1)*DATOS!$C$26*BT61)),"0.00")&amp;")",IF(AND(MIN(6,FLOOR(45/DATOS!$C$26,1),FLOOR((1*INDEX(TABLAS!$D$6:$D$14,MATCH("5/32 in",TABLAS!$B$6:$B$14,0)))*MIN(DATOS!$C$50,6000)/(BT61*DATOS!$C$26*MAX(ED61,0.001)),1))&gt;=1,((1*INDEX(TABLAS!$D$6:$D$14,MATCH("5/32 in",TABLAS!$B$6:$B$14,0)))*MIN(DATOS!$C$50,6000)/(MAX(MIN(6,FLOOR(45/DATOS!$C$26,1),FLOOR((1*INDEX(TABLAS!$D$6:$D$14,MATCH("5/32 in",TABLAS!$B$6:$B$14,0)))*MIN(DATOS!$C$50,6000)/(BT61*DATOS!$C$26*MAX(ED61,0.001)),1)),1)*DATOS!$C$26*BT61))&lt;=MIN(MAX(0.15*DATOS!$C$33*DATOS!$C$24,3),0.05*DATOS!$C$25/10*MIN(DATOS!$C$50,6000)/(MIN(6,FLOOR(45/DATOS!$C$26,1),FLOOR((1*INDEX(TABLAS!$D$6:$D$14,MATCH("5/32 in",TABLAS!$B$6:$B$14,0)))*MIN(DATOS!$C$50,6000)/(BT61*DATOS!$C$26*MAX(ED61,0.001)),1))*DATOS!$C$26))),"1 alambre de 5/32"" por junta cada "&amp;MIN(6,FLOOR(45/DATOS!$C$26,1),FLOOR((1*INDEX(TABLAS!$D$6:$D$14,MATCH("5/32 in",TABLAS!$B$6:$B$14,0)))*MIN(DATOS!$C$50,6000)/(BT61*DATOS!$C$26*MAX(ED61,0.001)),1))&amp;" hilada(s) (p_h·f_yh = "&amp;TEXT(((1*INDEX(TABLAS!$D$6:$D$14,MATCH("5/32 in",TABLAS!$B$6:$B$14,0)))*MIN(DATOS!$C$50,6000)/(MAX(MIN(6,FLOOR(45/DATOS!$C$26,1),FLOOR((1*INDEX(TABLAS!$D$6:$D$14,MATCH("5/32 in",TABLAS!$B$6:$B$14,0)))*MIN(DATOS!$C$50,6000)/(BT61*DATOS!$C$26*MAX(ED61,0.001)),1)),1)*DATOS!$C$26*BT61)),"0.00")&amp;")","ninguna combinación de 1 o 2 alambres por junta queda entre el mínimo y el máximo: revisa con malla (6.5.4)"))))))))</f>
        <v/>
      </c>
      <c r="EF61" s="43" t="str">
        <f>IF(BI61&lt;&gt;"SÍ","",IF(AI61="SÍ",N(AK61)*N(AL61)^3/12,0))</f>
        <v/>
      </c>
      <c r="EG61" s="48" t="str">
        <f>IF(BI61&lt;&gt;"SÍ","",IF(AND(AI61="SÍ",N(AM61)&gt;0),MIN(1,F61/AM61),0))</f>
        <v/>
      </c>
      <c r="EH61" s="47" t="str">
        <f>IF(BI61&lt;&gt;"SÍ","",IF(AI61="SÍ",BP61*1000/(BT61*F61*100)*BT61*(EG61^4-4*EG61^3+8*EG61),0))</f>
        <v/>
      </c>
      <c r="EI61" s="48" t="str">
        <f>IF(BI61&lt;&gt;"SÍ","",IF(AND(AI61="SÍ",EH61&gt;0),EH61/(EH61+5*N(AN61)*10),0))</f>
        <v/>
      </c>
      <c r="EJ61" s="44" t="str">
        <f>IF(BI61&lt;&gt;"SÍ","",IF(AND(AI61="SÍ",EI61&gt;0,EF61&gt;0),(DATOS!$C$43*BT61*(AM61*100)^3/(DATOS!$C$53*EF61*EI61))^0.25,0))</f>
        <v/>
      </c>
      <c r="EK61" s="44" t="str">
        <f>IF(BI61&lt;&gt;"SÍ","",IF(AI61&lt;&gt;"SÍ",0,IF(N(AM61)&lt;=F61,1,IF(MIN(1,N(AO61)/((AM61-F61)/2))&lt;=0.5,0.7+0.6*MIN(1,N(AO61)/((AM61-F61)/2)),1.5-MIN(1,N(AO61)/((AM61-F61)/2))))))</f>
        <v/>
      </c>
      <c r="EL61" s="44" t="str">
        <f>IF(BI61&lt;&gt;"SÍ","",IF(AI61&lt;&gt;"SÍ",0,MAX(1,IF(EG61&gt;=1,(1.6*EJ61-3.9),IF(EG61&lt;0.9,((3.2*EJ61-7.8)*EK61),((3.2*EJ61-7.8)*EK61)+((1.6*EJ61-3.9)-((3.2*EJ61-7.8)*EK61))*(EG61-0.9)/0.1)))))</f>
        <v/>
      </c>
      <c r="EM61" s="47" t="str">
        <f>IF(BI61&lt;&gt;"SÍ","",IF(AI61="SÍ",EL61*BP61*1000/(BT61*F61*100),0))</f>
        <v/>
      </c>
      <c r="EN61" s="47" t="str">
        <f>IF(BI61&lt;&gt;"SÍ","",IF(AND(AI61="SÍ",N(AL61)&gt;0),AM61*100/AL61,0))</f>
        <v/>
      </c>
      <c r="EO61" s="47" t="str">
        <f>IF(BI61&lt;&gt;"SÍ","",IF(AI61="SÍ",(1/15*DATOS!$C$53*N(AK61)/MAX((IF(ISNUMBER(AP61),AP61,BP61/DATOS!$C$90)*1000/(BT61*F61*100)*BT61*(EG61^4-4*EG61^3+8*EG61))+5*N(AN61)/DATOS!$C$90*10,0.001))^(1/3),0))</f>
        <v/>
      </c>
      <c r="EP61" s="45" t="str">
        <f>IF(BI61&lt;&gt;"SÍ","",IF(AI61&lt;&gt;"SÍ","—",IF(OR(N(AK61)&lt;=0,N(AL61)&lt;=0,N(AM61)&lt;=0),"REVISAR: faltan b, h o L_v de la viga",IF(AND(EM61&lt;=DATOS!$C$87*DATOS!$C$33,EN61&lt;=14,N(AL61)&gt;=25,EN61&lt;=EO61),IF(BS61/F61&lt;0.6,"PENDIENTE: H/L &lt; 0.6, falta el análisis de interacción muro–viga (4.1.18.2.1); f_CM es estimado","CUMPLE"),"NO CUMPLE: "&amp;IF(EM61&gt;DATOS!$C$87*DATOS!$C$33,"f_CM &gt; F_R·f'm ","")&amp;IF(EN61&gt;14,"L_v/h_v &gt; 14 ","")&amp;IF(N(AL61)&lt;25,"h_v &lt; 25 cm ","")&amp;IF(EN61&gt;EO61,"flecha (4.1.18.3)","")))))</f>
        <v/>
      </c>
      <c r="EQ61" s="44" t="str">
        <f>IF(BI61&lt;&gt;"SÍ","",MAX(0,F61*BS61-(N(K61)*N(M61)+N(P61)*N(R61)+N(U61)*N(W61)+N(Z61)*N(AB61))-CK61*DATOS!$C$59/100*BS61))</f>
        <v/>
      </c>
      <c r="ER61" s="48" t="str">
        <f>IF(BI61&lt;&gt;"SÍ","",CK61*DATOS!$C$59*DATOS!$C$60/10000*BS61)</f>
        <v/>
      </c>
      <c r="ES61" s="47" t="str">
        <f>IF(BI61&lt;&gt;"SÍ","",CK61*(DATOS!$C$61*(BS61+0.6)*INDEX(TABLAS!$E$6:$E$14,MATCH(DATOS!$C$62,TABLAS!$B$6:$B$14,0))+(2*ROUNDUP(CN61/DATOS!$C$65,0)+ROUNDUP(MAX(0,BS61*100-2*CN61)/DATOS!$C$64,0))*((2*(DATOS!$C$60+DATOS!$C$59-4*(DATOS!$C$66-INDEX(TABLAS!$C$6:$C$14,MATCH(DATOS!$C$63,TABLAS!$B$6:$B$14,0))))+15)/100)*INDEX(TABLAS!$E$6:$E$14,MATCH(DATOS!$C$63,TABLAS!$B$6:$B$14,0))))</f>
        <v/>
      </c>
      <c r="ET61" s="47" t="str">
        <f>IF(BI61&lt;&gt;"SÍ","",IF(OR(AE61="VARILLA EN JUNTAS",AE61="ESCALERILLA"),INT(BS61*100/MAX(DK61,1))*IF(ISNUMBER(AF61),AF61,2)*CB61*INDEX(TABLAS!$E$6:$E$14,MATCH(IF(AG61&lt;&gt;"",AG61,DATOS!$C$73),TABLAS!$B$6:$B$14,0)),IF(AE61="MALLA",IF(ISNUMBER(AF61),AF61,1)*CB61*BS61*INDEX(TABLAS!$E$19:$E$22,MATCH(IF(AG61&lt;&gt;"",AG61,DATOS!$C$74),TABLAS!$B$19:$B$22,0)),0)))</f>
        <v/>
      </c>
      <c r="EU61" s="45" t="str">
        <f>IF(BI61&lt;&gt;"SÍ","",""&amp;IF(BJ61="NO ESTÁ EN PIER_FORCES","sin fuerzas en PIER_FORCES; ","")&amp;IF(BV61&lt;&gt;"CUMPLE","vanos; ","")&amp;IF(LEFT(CH61,2)="NO","espesor o esbeltez; ","")&amp;IF(CQ61&gt;1,"compresión; ","")&amp;IF(CX61&gt;1,"flexión; ","")&amp;IF(CB61&lt;=0,"sin tramos de muro (todos son machones menores que L mín.: diséñalos como columnas o baja L mín.); ",IF(EC61&gt;1,"cortante; ",""))&amp;IF(OR(LEFT(EA61,2)="NO",LEFT(EA61,5)="FALTA"),"refuerzo horizontal; ","")&amp;IF(OR(LEFT(EP61,2)="NO",LEFT(EP61,7)="REVISAR"),"muro sobre viga; ","")&amp;IF(LEFT(DATOS!$C$81,2)="NO","castillo típico; ","")&amp;IF(LEFT(DATOS!$C$82,2)="NO","dala típica; ","")&amp;IF(AND(BT61&lt;&gt;DATOS!$C$58,DATOS!$C$60&lt;BT61),"castillo más angosto que el muro; ",""))</f>
        <v/>
      </c>
      <c r="EV61" s="45" t="str">
        <f>IF(BI61&lt;&gt;"SÍ","",""&amp;IF(LEFT(EP61,9)="PENDIENTE","análisis muro–viga (H/L &lt; 0.6); ","")&amp;IF(BR61&gt;50,"V_u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1" s="51" t="str">
        <f>IF(BI61&lt;&gt;"SÍ","",IF(EU61&lt;&gt;"","NO CUMPLE: "&amp;LEFT(EU61,LEN(EU61)-2),IF(EV61&lt;&gt;"","CUMPLE — PENDIENTE: "&amp;LEFT(EV61,LEN(EV61)-2),"CUMPLE")))</f>
        <v/>
      </c>
      <c r="EX61" s="52" t="n"/>
    </row>
    <row r="62" ht="30" customHeight="1">
      <c r="A62" s="38" t="str">
        <f>IF(B62="","",ROW()-10)</f>
        <v/>
      </c>
      <c r="B62" s="28" t="n"/>
      <c r="C62" s="39" t="n"/>
      <c r="D62" s="39" t="n"/>
      <c r="E62" s="39" t="n"/>
      <c r="F62" s="40" t="n"/>
      <c r="G62" s="40" t="n"/>
      <c r="H62" s="41" t="n"/>
      <c r="I62" s="39" t="n"/>
      <c r="J62" s="40" t="n"/>
      <c r="K62" s="40" t="n"/>
      <c r="L62" s="40" t="n"/>
      <c r="M62" s="40" t="n"/>
      <c r="N62" s="39" t="n"/>
      <c r="O62" s="40" t="n"/>
      <c r="P62" s="40" t="n"/>
      <c r="Q62" s="40" t="n"/>
      <c r="R62" s="40" t="n"/>
      <c r="S62" s="39" t="n"/>
      <c r="T62" s="40" t="n"/>
      <c r="U62" s="40" t="n"/>
      <c r="V62" s="40" t="n"/>
      <c r="W62" s="40" t="n"/>
      <c r="X62" s="39" t="n"/>
      <c r="Y62" s="40" t="n"/>
      <c r="Z62" s="40" t="n"/>
      <c r="AA62" s="40" t="n"/>
      <c r="AB62" s="40" t="n"/>
      <c r="AC62" s="41" t="n"/>
      <c r="AD62" s="41" t="n"/>
      <c r="AE62" s="39" t="n"/>
      <c r="AF62" s="41" t="n"/>
      <c r="AG62" s="41" t="n"/>
      <c r="AH62" s="41" t="n"/>
      <c r="AI62" s="39" t="n"/>
      <c r="AJ62" s="39" t="n"/>
      <c r="AK62" s="41" t="n"/>
      <c r="AL62" s="41" t="n"/>
      <c r="AM62" s="40" t="n"/>
      <c r="AN62" s="40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2" t="str">
        <f>IF(B62="","",C62&amp;"|"&amp;B62)</f>
        <v/>
      </c>
      <c r="AY62" s="43" t="str">
        <f>IF(B62="","",COUNTIFS(PIER_FORCES!$O$9:$O$3008,52,PIER_FORCES!$P$9:$P$3008,1))</f>
        <v/>
      </c>
      <c r="AZ62" s="43" t="str">
        <f>IF(B62="","",COUNTIFS(PIER_FORCES!$O$9:$O$3008,52,PIER_FORCES!$P$9:$P$3008,2))</f>
        <v/>
      </c>
      <c r="BA62" s="44">
        <f>IF(N(AY62)=0,0,SUMPRODUCT(MAX((PIER_FORCES!$O$9:$O$3008=52)*(PIER_FORCES!$P$9:$P$3008=1)*PIER_FORCES!$R$9:$R$3008)))</f>
        <v>0</v>
      </c>
      <c r="BB62" s="44">
        <f>IF(N(AY62)=0,0,SUMPRODUCT(MAX((PIER_FORCES!$O$9:$O$3008=52)*(PIER_FORCES!$P$9:$P$3008=1)*PIER_FORCES!$S$9:$S$3008)))</f>
        <v>0</v>
      </c>
      <c r="BC62" s="44">
        <f>IF(N(AY62)=0,0,-SUMPRODUCT(MAX((PIER_FORCES!$O$9:$O$3008=52)*(PIER_FORCES!$P$9:$P$3008=1)*(-PIER_FORCES!$Q$9:$Q$3008)+(1-(PIER_FORCES!$O$9:$O$3008=52)*(PIER_FORCES!$P$9:$P$3008=1))*(-1E9))))</f>
        <v>0</v>
      </c>
      <c r="BD62" s="44">
        <f>IF(N(AY62)=0,0,SUMPRODUCT(MAX((PIER_FORCES!$O$9:$O$3008=52)*(PIER_FORCES!$P$9:$P$3008=1)*PIER_FORCES!$Q$9:$Q$3008+(1-(PIER_FORCES!$O$9:$O$3008=52)*(PIER_FORCES!$P$9:$P$3008=1))*(-1E9))))</f>
        <v>0</v>
      </c>
      <c r="BE62" s="44">
        <f>IF(N(AZ62)=0,BD62,SUMPRODUCT(MAX((PIER_FORCES!$O$9:$O$3008=52)*(PIER_FORCES!$P$9:$P$3008=2)*PIER_FORCES!$Q$9:$Q$3008+(1-(PIER_FORCES!$O$9:$O$3008=52)*(PIER_FORCES!$P$9:$P$3008=2))*(-1E9))))</f>
        <v>0</v>
      </c>
      <c r="BF62" s="44">
        <f>IF(N(AZ62)=0,0,SUMPRODUCT(MAX((PIER_FORCES!$O$9:$O$3008=52)*(PIER_FORCES!$P$9:$P$3008=2)*PIER_FORCES!$R$9:$R$3008)))</f>
        <v>0</v>
      </c>
      <c r="BG62" s="43">
        <f>IF(N(AY62)=0,0,SUMPRODUCT(MAX((PIER_FORCES!$O$9:$O$3008=52)*(PIER_FORCES!$P$9:$P$3008=1)*(ABS(PIER_FORCES!$R$9:$R$3008-BA62)&lt;0.000001)*PIER_FORCES!$T$9:$T$3008)))</f>
        <v>0</v>
      </c>
      <c r="BH62" s="45" t="str">
        <f>IF(N(BG62)=0,"",INDEX(PIER_FORCES!$D$9:$D$3008,BG62)&amp;" "&amp;INDEX(PIER_FORCES!$F$9:$F$3008,BG62)&amp;" / "&amp;INDEX(PIER_FORCES!$G$9:$G$3008,BG62))</f>
        <v/>
      </c>
      <c r="BI62" s="42" t="str">
        <f>IF(B62="","",IF(AND(C62&lt;&gt;"",OR(D62="X",D62="Y"),ISNUMBER(F62),N(F62)&gt;0),"SÍ","NO"))</f>
        <v/>
      </c>
      <c r="BJ62" s="42" t="str">
        <f>IF(BI62&lt;&gt;"SÍ","",IF(DATOS!$C$108="ETABS (PIER_FORCES)",IF(N(AY62)&gt;0,"ETABS","NO ESTÁ EN PIER_FORCES"),"CAPTURA"))</f>
        <v/>
      </c>
      <c r="BK62" s="46" t="str">
        <f>IF(BI62&lt;&gt;"SÍ","",IF(BJ62="ETABS",BA62,IF(BJ62="CAPTURA",N(AQ62),0)))</f>
        <v/>
      </c>
      <c r="BL62" s="46" t="str">
        <f>IF(BI62&lt;&gt;"SÍ","",IF(BJ62="ETABS",BB62,IF(BJ62="CAPTURA",N(AR62),0)))</f>
        <v/>
      </c>
      <c r="BM62" s="46" t="str">
        <f>IF(BI62&lt;&gt;"SÍ","",IF(BJ62="ETABS",BC62/DATOS!$C$89,IF(BJ62="CAPTURA",N(AS62),0)))</f>
        <v/>
      </c>
      <c r="BN62" s="44" t="str">
        <f>IF(BI62&lt;&gt;"SÍ","",IF(BJ62="ETABS",BC62,IF(BJ62="CAPTURA",IF(ISNUMBER(AU62),AU62,N(AS62)*DATOS!$C$89),0)))</f>
        <v/>
      </c>
      <c r="BO62" s="44" t="str">
        <f>IF(BI62&lt;&gt;"SÍ","",IF(BJ62="ETABS",MAX(BD62,BE62),IF(BJ62="CAPTURA",N(AT62),0)))</f>
        <v/>
      </c>
      <c r="BP62" s="44" t="str">
        <f>IF(BI62&lt;&gt;"SÍ","",IF(BJ62="ETABS",BE62,IF(BJ62="CAPTURA",IF(ISNUMBER(AV62),AV62,N(AT62)),0)))</f>
        <v/>
      </c>
      <c r="BQ62" s="44" t="str">
        <f>IF(BI62&lt;&gt;"SÍ","",IF(BJ62="ETABS",BF62,IF(BJ62="CAPTURA",N(AW62),0)))</f>
        <v/>
      </c>
      <c r="BR62" s="43" t="str">
        <f>IF(BI62&lt;&gt;"SÍ","",IF(BK62&gt;0,100*BQ62/BK62,0))</f>
        <v/>
      </c>
      <c r="BS62" s="44" t="str">
        <f>IF(BI62&lt;&gt;"SÍ","",IF(ISNUMBER(G62),G62,DATOS!$C$57))</f>
        <v/>
      </c>
      <c r="BT62" s="47" t="str">
        <f>IF(BI62&lt;&gt;"SÍ","",IF(ISNUMBER(H62),H62,DATOS!$C$58))</f>
        <v/>
      </c>
      <c r="BU62" s="43" t="str">
        <f>IF(BI62&lt;&gt;"SÍ","",IF(N(K62)&gt;0,1+IF(N(P62)&gt;0,1+IF(N(U62)&gt;0,1+IF(N(Z62)&gt;0,1,0),0),0),0))</f>
        <v/>
      </c>
      <c r="BV62" s="45" t="str">
        <f>IF(BI62&lt;&gt;"SÍ","",IF(AND(OR(BU62&lt;1,AND(N(J62)&gt;=0-0.001,J62+K62&lt;=F62+0.001,N(L62)&gt;=0,N(L62)+N(M62)&lt;=BS62+0.001,N(M62)&gt;0,OR(I62="PUERTA",I62="VENTANA"))),OR(BU62&lt;2,AND(N(O62)&gt;=(J62+K62)-0.001,O62+P62&lt;=F62+0.001,N(Q62)&gt;=0,N(Q62)+N(R62)&lt;=BS62+0.001,N(R62)&gt;0,OR(N62="PUERTA",N62="VENTANA"))),OR(BU62&lt;3,AND(N(T62)&gt;=(O62+P62)-0.001,T62+U62&lt;=F62+0.001,N(V62)&gt;=0,N(V62)+N(W62)&lt;=BS62+0.001,N(W62)&gt;0,OR(S62="PUERTA",S62="VENTANA"))),OR(BU62&lt;4,AND(N(Y62)&gt;=(T62+U62)-0.001,Y62+Z62&lt;=F62+0.001,N(AA62)&gt;=0,N(AA62)+N(AB62)&lt;=BS62+0.001,N(AB62)&gt;0,OR(X62="PUERTA",X62="VENTANA"))),(N(K62)&gt;0)+(N(P62)&gt;0)+(N(U62)&gt;0)+(N(Z62)&gt;0)=BU62),"CUMPLE","REVISAR VANOS: tipo, orden de izquierda a derecha, que quepan en L y en H"))</f>
        <v/>
      </c>
      <c r="BW62" s="44" t="str">
        <f>IF(BI62&lt;&gt;"SÍ","",MAX(0,IF(BU62&gt;=1,N(J62),F62)))</f>
        <v/>
      </c>
      <c r="BX62" s="44" t="str">
        <f>IF(BI62&lt;&gt;"SÍ","",MAX(0,IF(BU62&gt;=2,N(O62)-(N(J62)+N(K62)),IF(BU62=1,F62-(N(J62)+N(K62)),0))))</f>
        <v/>
      </c>
      <c r="BY62" s="44" t="str">
        <f>IF(BI62&lt;&gt;"SÍ","",MAX(0,IF(BU62&gt;=3,N(T62)-(N(O62)+N(P62)),IF(BU62=2,F62-(N(O62)+N(P62)),0))))</f>
        <v/>
      </c>
      <c r="BZ62" s="44" t="str">
        <f>IF(BI62&lt;&gt;"SÍ","",MAX(0,IF(BU62&gt;=4,N(Y62)-(N(T62)+N(U62)),IF(BU62=3,F62-(N(T62)+N(U62)),0))))</f>
        <v/>
      </c>
      <c r="CA62" s="44" t="str">
        <f>IF(BI62&lt;&gt;"SÍ","",MAX(0,IF(BU62=4,F62-(N(Y62)+N(Z62)),0)))</f>
        <v/>
      </c>
      <c r="CB62" s="46" t="str">
        <f>IF(BI62&lt;&gt;"SÍ","",SUMPRODUCT((BW62:CA62&gt;=DATOS!$C$72-0.0001)*BW62:CA62))</f>
        <v/>
      </c>
      <c r="CC62" s="43" t="str">
        <f>IF(BI62&lt;&gt;"SÍ","",SUMPRODUCT(--(BW62:CA62&gt;=DATOS!$C$72-0.0001)))</f>
        <v/>
      </c>
      <c r="CD62" s="44" t="str">
        <f>IF(BI62&lt;&gt;"SÍ","",SUM(BW62:CA62))</f>
        <v/>
      </c>
      <c r="CE62" s="43" t="str">
        <f>IF(BI62&lt;&gt;"SÍ","",BT62*CB62*100)</f>
        <v/>
      </c>
      <c r="CF62" s="43" t="str">
        <f>IF(BI62&lt;&gt;"SÍ","",BT62*CD62*100)</f>
        <v/>
      </c>
      <c r="CG62" s="47" t="str">
        <f>IF(BI62&lt;&gt;"SÍ","",BS62*100/BT62)</f>
        <v/>
      </c>
      <c r="CH62" s="45" t="str">
        <f>IF(BI62&lt;&gt;"SÍ","",IF(AND(OR(DATOS!$C$14="TIPO II",BT62&gt;=12),CG62&lt;=25),"CUMPLE","NO CUMPLE: "&amp;IF(AND(DATOS!$C$14="TIPO I",BT62&lt;12),"t &lt; 12 cm ","")&amp;IF(CG62&gt;25,"H/t &gt; 25","")))</f>
        <v/>
      </c>
      <c r="CI62" s="44" t="str">
        <f>IF(BI62&lt;&gt;"SÍ","",MIN(1.5*BS62,4))</f>
        <v/>
      </c>
      <c r="CJ62" s="43" t="str">
        <f>IF(BI62&lt;&gt;"SÍ","",SUMPRODUCT((BW62:CA62&gt;=2*DATOS!$C$59/100)*INT((BW62:CA62-DATOS!$C$59/100)/CI62-0.000001)*((BW62:CA62-DATOS!$C$59/100)&gt;0)))</f>
        <v/>
      </c>
      <c r="CK62" s="43" t="str">
        <f>IF(BI62&lt;&gt;"SÍ","",SUMPRODUCT((BW62:CA62&gt;0.0001)*1+(BW62:CA62&gt;=2*DATOS!$C$59/100)*1)+CJ62)</f>
        <v/>
      </c>
      <c r="CL62" s="44" t="str">
        <f>IF(BI62&lt;&gt;"SÍ","",IF(ISNUMBER(AC62),AC62,DATOS!$C$61)*INDEX(TABLAS!$D$6:$D$14,MATCH(IF(AD62&lt;&gt;"",AD62,DATOS!$C$62),TABLAS!$B$6:$B$14,0)))</f>
        <v/>
      </c>
      <c r="CM62" s="44" t="str">
        <f>IF(BI62&lt;&gt;"SÍ","",CK62*DATOS!$C$78+IF(CK62&gt;=2,2,CK62)*(CL62-DATOS!$C$78))</f>
        <v/>
      </c>
      <c r="CN62" s="47" t="str">
        <f>IF(BI62&lt;&gt;"SÍ","",MAX(BS62*100/6,40))</f>
        <v/>
      </c>
      <c r="CO62" s="48" t="str">
        <f>IF(BI62&lt;&gt;"SÍ","",IF(CG62&lt;=20,IF(E62="INTERIOR",0.7,0.6),MIN(IF(E62="INTERIOR",0.7,0.6),(1-2/24)*(1-(IF(E62="INTERIOR",0.8,1)*CG62/30)^2))))</f>
        <v/>
      </c>
      <c r="CP62" s="47" t="str">
        <f>IF(BI62&lt;&gt;"SÍ","",DATOS!$C$87*CO62*(DATOS!$C$33*CF62+CM62*DATOS!$C$48)/1000)</f>
        <v/>
      </c>
      <c r="CQ62" s="46" t="str">
        <f>IF(BI62&lt;&gt;"SÍ","",IF(CP62&gt;0,BO62/CP62,99))</f>
        <v/>
      </c>
      <c r="CR62" s="47" t="str">
        <f>IF(BI62&lt;&gt;"SÍ","",MAX(0,F62*100-DATOS!$C$59))</f>
        <v/>
      </c>
      <c r="CS62" s="47" t="str">
        <f>IF(BI62&lt;&gt;"SÍ","",MAX(0,F62*100-DATOS!$C$59/2))</f>
        <v/>
      </c>
      <c r="CT62" s="44" t="str">
        <f>IF(BI62&lt;&gt;"SÍ","",CL62*DATOS!$C$48*CR62/100000)</f>
        <v/>
      </c>
      <c r="CU62" s="44" t="str">
        <f>IF(BI62&lt;&gt;"SÍ","",IF(BN62&lt;0,0.8*CT62*MAX(0,1+BN62/(0.8*CM62*DATOS!$C$48/1000)),IF(BN62&lt;=CP62/3,0.8*CT62+0.3*BN62*CS62/100,(1.5*0.6*CT62+0.15*CP62*CS62/100)*MAX(0,1-BN62/CP62))))</f>
        <v/>
      </c>
      <c r="CV62" s="44" t="str">
        <f>IF(BI62&lt;&gt;"SÍ","",IF(BO62&lt;0,0.8*CT62*MAX(0,1+BO62/(0.8*CM62*DATOS!$C$48/1000)),IF(BO62&lt;=CP62/3,0.8*CT62+0.3*BO62*CS62/100,(1.5*0.6*CT62+0.15*CP62*CS62/100)*MAX(0,1-BO62/CP62))))</f>
        <v/>
      </c>
      <c r="CW62" s="46" t="str">
        <f>IF(BI62&lt;&gt;"SÍ","",MAX(0,MIN(CU62,CV62)))</f>
        <v/>
      </c>
      <c r="CX62" s="49" t="str">
        <f>IF(BI62&lt;&gt;"SÍ","",IF(CW62&gt;0,BL62/CW62,IF(BL62&gt;0,99,0)))</f>
        <v/>
      </c>
      <c r="CY62" s="44" t="str">
        <f>IF(BI62&lt;&gt;"SÍ","",IF(BW62&gt;0,MAX(1,MIN(1.5,1.5-0.625*(BS62/BW62-0.2))),0))</f>
        <v/>
      </c>
      <c r="CZ62" s="44" t="str">
        <f>IF(BI62&lt;&gt;"SÍ","",IF(BX62&gt;0,MAX(1,MIN(1.5,1.5-0.625*(BS62/BX62-0.2))),0))</f>
        <v/>
      </c>
      <c r="DA62" s="44" t="str">
        <f>IF(BI62&lt;&gt;"SÍ","",IF(BY62&gt;0,MAX(1,MIN(1.5,1.5-0.625*(BS62/BY62-0.2))),0))</f>
        <v/>
      </c>
      <c r="DB62" s="44" t="str">
        <f>IF(BI62&lt;&gt;"SÍ","",IF(BZ62&gt;0,MAX(1,MIN(1.5,1.5-0.625*(BS62/BZ62-0.2))),0))</f>
        <v/>
      </c>
      <c r="DC62" s="44" t="str">
        <f>IF(BI62&lt;&gt;"SÍ","",IF(CA62&gt;0,MAX(1,MIN(1.5,1.5-0.625*(BS62/CA62-0.2))),0))</f>
        <v/>
      </c>
      <c r="DD62" s="44" t="str">
        <f>IF(BI62&lt;&gt;"SÍ","",IF(OR(BW62&lt;DATOS!$C$72-0.0001,BM62&lt;0,CB62&lt;=0),0,MIN(DATOS!$C$86*(0.5*DATOS!$C$41*BT62*BW62*100+0.3*BM62*BW62/CB62*1000)*CY62,1.5*DATOS!$C$86*DATOS!$C$41*BT62*BW62*100*CY62)/1000))</f>
        <v/>
      </c>
      <c r="DE62" s="44" t="str">
        <f>IF(BI62&lt;&gt;"SÍ","",IF(OR(BX62&lt;DATOS!$C$72-0.0001,BM62&lt;0,CB62&lt;=0),0,MIN(DATOS!$C$86*(0.5*DATOS!$C$41*BT62*BX62*100+0.3*BM62*BX62/CB62*1000)*CZ62,1.5*DATOS!$C$86*DATOS!$C$41*BT62*BX62*100*CZ62)/1000))</f>
        <v/>
      </c>
      <c r="DF62" s="44" t="str">
        <f>IF(BI62&lt;&gt;"SÍ","",IF(OR(BY62&lt;DATOS!$C$72-0.0001,BM62&lt;0,CB62&lt;=0),0,MIN(DATOS!$C$86*(0.5*DATOS!$C$41*BT62*BY62*100+0.3*BM62*BY62/CB62*1000)*DA62,1.5*DATOS!$C$86*DATOS!$C$41*BT62*BY62*100*DA62)/1000))</f>
        <v/>
      </c>
      <c r="DG62" s="44" t="str">
        <f>IF(BI62&lt;&gt;"SÍ","",IF(OR(BZ62&lt;DATOS!$C$72-0.0001,BM62&lt;0,CB62&lt;=0),0,MIN(DATOS!$C$86*(0.5*DATOS!$C$41*BT62*BZ62*100+0.3*BM62*BZ62/CB62*1000)*DB62,1.5*DATOS!$C$86*DATOS!$C$41*BT62*BZ62*100*DB62)/1000))</f>
        <v/>
      </c>
      <c r="DH62" s="44" t="str">
        <f>IF(BI62&lt;&gt;"SÍ","",IF(OR(CA62&lt;DATOS!$C$72-0.0001,BM62&lt;0,CB62&lt;=0),0,MIN(DATOS!$C$86*(0.5*DATOS!$C$41*BT62*CA62*100+0.3*BM62*CA62/CB62*1000)*DC62,1.5*DATOS!$C$86*DATOS!$C$41*BT62*CA62*100*DC62)/1000))</f>
        <v/>
      </c>
      <c r="DI62" s="46" t="str">
        <f>IF(BI62&lt;&gt;"SÍ","",SUM(DD62:DH62))</f>
        <v/>
      </c>
      <c r="DJ62" s="48" t="str">
        <f>IF(BI62&lt;&gt;"SÍ","",IF(AE62="VARILLA EN JUNTAS",IF(ISNUMBER(AF62),AF62,2)*INDEX(TABLAS!$D$6:$D$14,MATCH(IF(AG62&lt;&gt;"",AG62,DATOS!$C$73),TABLAS!$B$6:$B$14,0)),IF(AE62="MALLA",IF(ISNUMBER(AF62),AF62,1)*INDEX(TABLAS!$D$19:$D$22,MATCH(IF(AG62&lt;&gt;"",AG62,DATOS!$C$74),TABLAS!$B$19:$B$22,0))/100,IF(AE62="ESCALERILLA",IF(ISNUMBER(AF62),AF62,2)*INDEX(TABLAS!$D$6:$D$14,MATCH(IF(AG62&lt;&gt;"",AG62,DATOS!$C$73),TABLAS!$B$6:$B$14,0)),0))))</f>
        <v/>
      </c>
      <c r="DK62" s="47" t="str">
        <f>IF(BI62&lt;&gt;"SÍ","",IF(OR(AE62="VARILLA EN JUNTAS",AE62="ESCALERILLA"),IF(ISNUMBER(AH62),AH62,2)*DATOS!$C$26,IF(AE62="MALLA",1,0)))</f>
        <v/>
      </c>
      <c r="DL62" s="44" t="str">
        <f>IF(BI62&lt;&gt;"SÍ","",IF(DK62&gt;0,DJ62/(DK62*BT62)*MIN(DATOS!$C$50,IF(AE62="MALLA",5000,6000)),0))</f>
        <v/>
      </c>
      <c r="DM62" s="44" t="str">
        <f>IF(BI62&lt;&gt;"SÍ","",IF(AE62="ESCALERILLA",0,MIN(DL62,0.1*DATOS!$C$33*DATOS!$C$24)))</f>
        <v/>
      </c>
      <c r="DN62" s="48" t="str">
        <f>IF(BI62&lt;&gt;"SÍ","",IF(AE62="MALLA",0.5,IF(DATOS!$C$33&lt;=60,0.55,IF(DATOS!$C$33&gt;=90,0.75,0.55+0.2*(DATOS!$C$33-60)/30))))</f>
        <v/>
      </c>
      <c r="DO62" s="48" t="str">
        <f>IF(BI62&lt;&gt;"SÍ","",1-DATOS!$C$91*DM62)</f>
        <v/>
      </c>
      <c r="DP62" s="44" t="str">
        <f>IF(BI62&lt;&gt;"SÍ","",IF(BW62&gt;0,IF(BS62/BW62&lt;=1,1.3,IF(BS62/BW62&gt;=1.5,1,1.3-0.6*(BS62/BW62-1))),0))</f>
        <v/>
      </c>
      <c r="DQ62" s="44" t="str">
        <f>IF(BI62&lt;&gt;"SÍ","",IF(BX62&gt;0,IF(BS62/BX62&lt;=1,1.3,IF(BS62/BX62&gt;=1.5,1,1.3-0.6*(BS62/BX62-1))),0))</f>
        <v/>
      </c>
      <c r="DR62" s="44" t="str">
        <f>IF(BI62&lt;&gt;"SÍ","",IF(BY62&gt;0,IF(BS62/BY62&lt;=1,1.3,IF(BS62/BY62&gt;=1.5,1,1.3-0.6*(BS62/BY62-1))),0))</f>
        <v/>
      </c>
      <c r="DS62" s="44" t="str">
        <f>IF(BI62&lt;&gt;"SÍ","",IF(BZ62&gt;0,IF(BS62/BZ62&lt;=1,1.3,IF(BS62/BZ62&gt;=1.5,1,1.3-0.6*(BS62/BZ62-1))),0))</f>
        <v/>
      </c>
      <c r="DT62" s="44" t="str">
        <f>IF(BI62&lt;&gt;"SÍ","",IF(CA62&gt;0,IF(BS62/CA62&lt;=1,1.3,IF(BS62/CA62&gt;=1.5,1,1.3-0.6*(BS62/CA62-1))),0))</f>
        <v/>
      </c>
      <c r="DU62" s="44" t="str">
        <f>IF(BI62&lt;&gt;"SÍ","",IF(OR(DM62&lt;=0,BW62&lt;DATOS!$C$72-0.0001),0,DATOS!$C$86*MAX(0,IF(BM62&gt;=0,DD62/(DATOS!$C$86*DM62*BT62*BW62*100/1000)*(DP62*DO62-1)+DN62,DO62*DN62))*DM62*BT62*BW62*100/1000))</f>
        <v/>
      </c>
      <c r="DV62" s="44" t="str">
        <f>IF(BI62&lt;&gt;"SÍ","",IF(OR(DM62&lt;=0,BX62&lt;DATOS!$C$72-0.0001),0,DATOS!$C$86*MAX(0,IF(BM62&gt;=0,DE62/(DATOS!$C$86*DM62*BT62*BX62*100/1000)*(DQ62*DO62-1)+DN62,DO62*DN62))*DM62*BT62*BX62*100/1000))</f>
        <v/>
      </c>
      <c r="DW62" s="44" t="str">
        <f>IF(BI62&lt;&gt;"SÍ","",IF(OR(DM62&lt;=0,BY62&lt;DATOS!$C$72-0.0001),0,DATOS!$C$86*MAX(0,IF(BM62&gt;=0,DF62/(DATOS!$C$86*DM62*BT62*BY62*100/1000)*(DR62*DO62-1)+DN62,DO62*DN62))*DM62*BT62*BY62*100/1000))</f>
        <v/>
      </c>
      <c r="DX62" s="44" t="str">
        <f>IF(BI62&lt;&gt;"SÍ","",IF(OR(DM62&lt;=0,BZ62&lt;DATOS!$C$72-0.0001),0,DATOS!$C$86*MAX(0,IF(BM62&gt;=0,DG62/(DATOS!$C$86*DM62*BT62*BZ62*100/1000)*(DS62*DO62-1)+DN62,DO62*DN62))*DM62*BT62*BZ62*100/1000))</f>
        <v/>
      </c>
      <c r="DY62" s="44" t="str">
        <f>IF(BI62&lt;&gt;"SÍ","",IF(OR(DM62&lt;=0,CA62&lt;DATOS!$C$72-0.0001),0,DATOS!$C$86*MAX(0,IF(BM62&gt;=0,DH62/(DATOS!$C$86*DM62*BT62*CA62*100/1000)*(DT62*DO62-1)+DN62,DO62*DN62))*DM62*BT62*CA62*100/1000))</f>
        <v/>
      </c>
      <c r="DZ62" s="46" t="str">
        <f>IF(BI62&lt;&gt;"SÍ","",SUM(DU62:DY62))</f>
        <v/>
      </c>
      <c r="EA62" s="45" t="str">
        <f>IF(BI62&lt;&gt;"SÍ","",IF(OR(AE62="",AE62="NINGUNO"),IF(DATOS!$C$41&gt;=10,"FALTA refuerzo horizontal: v'm ≥ 10 kg/cm² (6.5.2.2)",IF(AND(BM62&lt;0,BK62&gt;0),"FALTA: P en tensión, el refuerzo debe tomar todo el cortante (6.5.1.3)","—")),IF(AE62="ESCALERILLA","NO CUENTA: la escalerilla no se permite para cortante por sismo (6.5.3.1.2)",IF(AE62="MALLA",IF(AND(DL62&gt;=2.5,DL62&lt;=MAX(0.15*DATOS!$C$33*DATOS!$C$24,2.5)),"CUMPLE","NO CUMPLE: "&amp;IF(DL62&lt;2.5,"p_h·f_yh &lt; 2.5 (6.5.4.2.4)","p_h·f_yh &gt; 0.15·f'm·f_an (6.5.4.2.4)")),IF(AND(DK62&lt;=MIN(6*DATOS!$C$26,45),DL62&gt;=3,DL62&lt;=MIN(MAX(0.15*DATOS!$C$33*DATOS!$C$24,3),0.05*DATOS!$C$25/10*MIN(DATOS!$C$50,6000)/DK62),INDEX(TABLAS!$C$6:$C$14,MATCH(IF(AG62&lt;&gt;"",AG62,DATOS!$C$73),TABLAS!$B$6:$B$14,0))&gt;=0.35,INDEX(TABLAS!$C$6:$C$14,MATCH(IF(AG62&lt;&gt;"",AG62,DATOS!$C$73),TABLAS!$B$6:$B$14,0))&lt;=0.75*DATOS!$C$25/10),"CUMPLE","NO CUMPLE: "&amp;IF(DK62&gt;MIN(6*DATOS!$C$26,45),"s_h &gt; 6 hiladas o 45 cm (6.5.3.2.1) ","")&amp;IF(DL62&lt;3,"p_h·f_yh &lt; 3 (6.5.3.3.1) ","")&amp;IF(DL62&gt;MIN(MAX(0.15*DATOS!$C$33*DATOS!$C$24,3),0.05*DATOS!$C$25/10*MIN(DATOS!$C$50,6000)/DK62),"p_h·f_yh &gt; máximo (6.5.3.3.2) ","")&amp;IF(OR(INDEX(TABLAS!$C$6:$C$14,MATCH(IF(AG62&lt;&gt;"",AG62,DATOS!$C$73),TABLAS!$B$6:$B$14,0))&lt;0.35,INDEX(TABLAS!$C$6:$C$14,MATCH(IF(AG62&lt;&gt;"",AG62,DATOS!$C$73),TABLAS!$B$6:$B$14,0))&gt;0.75*DATOS!$C$25/10),"diámetro fuera de 3.5 mm a 0.75·h_j (4.2.2.2.1)",""))))))</f>
        <v/>
      </c>
      <c r="EB62" s="46" t="str">
        <f>IF(BI62&lt;&gt;"SÍ","",DI62+DZ62)</f>
        <v/>
      </c>
      <c r="EC62" s="50" t="str">
        <f>IF(BI62&lt;&gt;"SÍ","",IF(EB62&gt;0,BK62/EB62,IF(BK62&gt;0,99,0)))</f>
        <v/>
      </c>
      <c r="ED62" s="47" t="str">
        <f>IF(BI62&lt;&gt;"SÍ","",IF(CE62&lt;=0,-1,IF(BK62&lt;=DI62,0,IF(IF(BM62&gt;=0,IF((DATOS!$C$86*IF(AE62="MALLA",0.5,IF(DATOS!$C$33&lt;=60,0.55,IF(DATOS!$C$33&gt;=90,0.75,0.55+0.2*(DATOS!$C$33-60)/30)))*CE62/1000-DATOS!$C$91*SUMPRODUCT(DP62:DT62,DD62:DH62))&lt;=0,1E9,(BK62-SUMPRODUCT(DP62:DT62,DD62:DH62))/(DATOS!$C$86*IF(AE62="MALLA",0.5,IF(DATOS!$C$33&lt;=60,0.55,IF(DATOS!$C$33&gt;=90,0.75,0.55+0.2*(DATOS!$C$33-60)/30)))*CE62/1000-DATOS!$C$91*SUMPRODUCT(DP62:DT62,DD62:DH62))),IF((1-4*DATOS!$C$91*BK62*1000/(DATOS!$C$86*IF(AE62="MALLA",0.5,IF(DATOS!$C$33&lt;=60,0.55,IF(DATOS!$C$33&gt;=90,0.75,0.55+0.2*(DATOS!$C$33-60)/30)))*MAX(CE62,1)))&lt;0,1E9,(1-SQRT((1-4*DATOS!$C$91*BK62*1000/(DATOS!$C$86*IF(AE62="MALLA",0.5,IF(DATOS!$C$33&lt;=60,0.55,IF(DATOS!$C$33&gt;=90,0.75,0.55+0.2*(DATOS!$C$33-60)/30)))*MAX(CE62,1)))))/(2*DATOS!$C$91)))&gt;0.1*DATOS!$C$33*DATOS!$C$24+0.000001,-1,MAX(IF(AE62="MALLA",2.5,3),IF(BM62&gt;=0,IF((DATOS!$C$86*IF(AE62="MALLA",0.5,IF(DATOS!$C$33&lt;=60,0.55,IF(DATOS!$C$33&gt;=90,0.75,0.55+0.2*(DATOS!$C$33-60)/30)))*CE62/1000-DATOS!$C$91*SUMPRODUCT(DP62:DT62,DD62:DH62))&lt;=0,1E9,(BK62-SUMPRODUCT(DP62:DT62,DD62:DH62))/(DATOS!$C$86*IF(AE62="MALLA",0.5,IF(DATOS!$C$33&lt;=60,0.55,IF(DATOS!$C$33&gt;=90,0.75,0.55+0.2*(DATOS!$C$33-60)/30)))*CE62/1000-DATOS!$C$91*SUMPRODUCT(DP62:DT62,DD62:DH62))),IF((1-4*DATOS!$C$91*BK62*1000/(DATOS!$C$86*IF(AE62="MALLA",0.5,IF(DATOS!$C$33&lt;=60,0.55,IF(DATOS!$C$33&gt;=90,0.75,0.55+0.2*(DATOS!$C$33-60)/30)))*MAX(CE62,1)))&lt;0,1E9,(1-SQRT((1-4*DATOS!$C$91*BK62*1000/(DATOS!$C$86*IF(AE62="MALLA",0.5,IF(DATOS!$C$33&lt;=60,0.55,IF(DATOS!$C$33&gt;=90,0.75,0.55+0.2*(DATOS!$C$33-60)/30)))*MAX(CE62,1)))))/(2*DATOS!$C$91))))))))</f>
        <v/>
      </c>
      <c r="EE62" s="45" t="str">
        <f>IF(BI62&lt;&gt;"SÍ","",IF(ED62=0,"NO REQUIERE: V_mR ≥ V_u",IF(ED62&lt;0,"NO ALCANZA con refuerzo horizontal (haría falta más de 0.1·f'm·f_an efectivo): sube v'm con ensayes, el espesor o la longitud del muro",IF(AND(OR(AE62="VARILLA EN JUNTAS",AE62="MALLA"),LEFT(EA62,6)="CUMPLE",EC62&lt;=1),"YA LO TIENE (pide p_h·f_yh ≥ "&amp;TEXT(ED62,"0.0")&amp;" kg/cm²)","p_h·f_yh ≥ "&amp;TEXT(ED62,"0.0")&amp;" kg/cm² → "&amp;IF(AND(MIN(6,FLOOR(45/DATOS!$C$26,1),FLOOR((2*INDEX(TABLAS!$D$6:$D$14,MATCH("3/16 in",TABLAS!$B$6:$B$14,0)))*MIN(DATOS!$C$50,6000)/(BT62*DATOS!$C$26*MAX(ED62,0.001)),1))&gt;=1,((2*INDEX(TABLAS!$D$6:$D$14,MATCH("3/16 in",TABLAS!$B$6:$B$14,0)))*MIN(DATOS!$C$50,6000)/(MAX(MIN(6,FLOOR(45/DATOS!$C$26,1),FLOOR((2*INDEX(TABLAS!$D$6:$D$14,MATCH("3/16 in",TABLAS!$B$6:$B$14,0)))*MIN(DATOS!$C$50,6000)/(BT62*DATOS!$C$26*MAX(ED62,0.001)),1)),1)*DATOS!$C$26*BT62))&lt;=MIN(MAX(0.15*DATOS!$C$33*DATOS!$C$24,3),0.05*DATOS!$C$25/10*MIN(DATOS!$C$50,6000)/(MIN(6,FLOOR(45/DATOS!$C$26,1),FLOOR((2*INDEX(TABLAS!$D$6:$D$14,MATCH("3/16 in",TABLAS!$B$6:$B$14,0)))*MIN(DATOS!$C$50,6000)/(BT62*DATOS!$C$26*MAX(ED62,0.001)),1))*DATOS!$C$26))),"2 alambres de 3/16"" por junta cada "&amp;MIN(6,FLOOR(45/DATOS!$C$26,1),FLOOR((2*INDEX(TABLAS!$D$6:$D$14,MATCH("3/16 in",TABLAS!$B$6:$B$14,0)))*MIN(DATOS!$C$50,6000)/(BT62*DATOS!$C$26*MAX(ED62,0.001)),1))&amp;" hilada(s) (p_h·f_yh = "&amp;TEXT(((2*INDEX(TABLAS!$D$6:$D$14,MATCH("3/16 in",TABLAS!$B$6:$B$14,0)))*MIN(DATOS!$C$50,6000)/(MAX(MIN(6,FLOOR(45/DATOS!$C$26,1),FLOOR((2*INDEX(TABLAS!$D$6:$D$14,MATCH("3/16 in",TABLAS!$B$6:$B$14,0)))*MIN(DATOS!$C$50,6000)/(BT62*DATOS!$C$26*MAX(ED62,0.001)),1)),1)*DATOS!$C$26*BT62)),"0.00")&amp;")",IF(AND(MIN(6,FLOOR(45/DATOS!$C$26,1),FLOOR((2*INDEX(TABLAS!$D$6:$D$14,MATCH("5/32 in",TABLAS!$B$6:$B$14,0)))*MIN(DATOS!$C$50,6000)/(BT62*DATOS!$C$26*MAX(ED62,0.001)),1))&gt;=1,((2*INDEX(TABLAS!$D$6:$D$14,MATCH("5/32 in",TABLAS!$B$6:$B$14,0)))*MIN(DATOS!$C$50,6000)/(MAX(MIN(6,FLOOR(45/DATOS!$C$26,1),FLOOR((2*INDEX(TABLAS!$D$6:$D$14,MATCH("5/32 in",TABLAS!$B$6:$B$14,0)))*MIN(DATOS!$C$50,6000)/(BT62*DATOS!$C$26*MAX(ED62,0.001)),1)),1)*DATOS!$C$26*BT62))&lt;=MIN(MAX(0.15*DATOS!$C$33*DATOS!$C$24,3),0.05*DATOS!$C$25/10*MIN(DATOS!$C$50,6000)/(MIN(6,FLOOR(45/DATOS!$C$26,1),FLOOR((2*INDEX(TABLAS!$D$6:$D$14,MATCH("5/32 in",TABLAS!$B$6:$B$14,0)))*MIN(DATOS!$C$50,6000)/(BT62*DATOS!$C$26*MAX(ED62,0.001)),1))*DATOS!$C$26))),"2 alambres de 5/32"" por junta cada "&amp;MIN(6,FLOOR(45/DATOS!$C$26,1),FLOOR((2*INDEX(TABLAS!$D$6:$D$14,MATCH("5/32 in",TABLAS!$B$6:$B$14,0)))*MIN(DATOS!$C$50,6000)/(BT62*DATOS!$C$26*MAX(ED62,0.001)),1))&amp;" hilada(s) (p_h·f_yh = "&amp;TEXT(((2*INDEX(TABLAS!$D$6:$D$14,MATCH("5/32 in",TABLAS!$B$6:$B$14,0)))*MIN(DATOS!$C$50,6000)/(MAX(MIN(6,FLOOR(45/DATOS!$C$26,1),FLOOR((2*INDEX(TABLAS!$D$6:$D$14,MATCH("5/32 in",TABLAS!$B$6:$B$14,0)))*MIN(DATOS!$C$50,6000)/(BT62*DATOS!$C$26*MAX(ED62,0.001)),1)),1)*DATOS!$C$26*BT62)),"0.00")&amp;")",IF(AND(MIN(6,FLOOR(45/DATOS!$C$26,1),FLOOR((1*INDEX(TABLAS!$D$6:$D$14,MATCH("3/16 in",TABLAS!$B$6:$B$14,0)))*MIN(DATOS!$C$50,6000)/(BT62*DATOS!$C$26*MAX(ED62,0.001)),1))&gt;=1,((1*INDEX(TABLAS!$D$6:$D$14,MATCH("3/16 in",TABLAS!$B$6:$B$14,0)))*MIN(DATOS!$C$50,6000)/(MAX(MIN(6,FLOOR(45/DATOS!$C$26,1),FLOOR((1*INDEX(TABLAS!$D$6:$D$14,MATCH("3/16 in",TABLAS!$B$6:$B$14,0)))*MIN(DATOS!$C$50,6000)/(BT62*DATOS!$C$26*MAX(ED62,0.001)),1)),1)*DATOS!$C$26*BT62))&lt;=MIN(MAX(0.15*DATOS!$C$33*DATOS!$C$24,3),0.05*DATOS!$C$25/10*MIN(DATOS!$C$50,6000)/(MIN(6,FLOOR(45/DATOS!$C$26,1),FLOOR((1*INDEX(TABLAS!$D$6:$D$14,MATCH("3/16 in",TABLAS!$B$6:$B$14,0)))*MIN(DATOS!$C$50,6000)/(BT62*DATOS!$C$26*MAX(ED62,0.001)),1))*DATOS!$C$26))),"1 alambre de 3/16"" por junta cada "&amp;MIN(6,FLOOR(45/DATOS!$C$26,1),FLOOR((1*INDEX(TABLAS!$D$6:$D$14,MATCH("3/16 in",TABLAS!$B$6:$B$14,0)))*MIN(DATOS!$C$50,6000)/(BT62*DATOS!$C$26*MAX(ED62,0.001)),1))&amp;" hilada(s) (p_h·f_yh = "&amp;TEXT(((1*INDEX(TABLAS!$D$6:$D$14,MATCH("3/16 in",TABLAS!$B$6:$B$14,0)))*MIN(DATOS!$C$50,6000)/(MAX(MIN(6,FLOOR(45/DATOS!$C$26,1),FLOOR((1*INDEX(TABLAS!$D$6:$D$14,MATCH("3/16 in",TABLAS!$B$6:$B$14,0)))*MIN(DATOS!$C$50,6000)/(BT62*DATOS!$C$26*MAX(ED62,0.001)),1)),1)*DATOS!$C$26*BT62)),"0.00")&amp;")",IF(AND(MIN(6,FLOOR(45/DATOS!$C$26,1),FLOOR((1*INDEX(TABLAS!$D$6:$D$14,MATCH("5/32 in",TABLAS!$B$6:$B$14,0)))*MIN(DATOS!$C$50,6000)/(BT62*DATOS!$C$26*MAX(ED62,0.001)),1))&gt;=1,((1*INDEX(TABLAS!$D$6:$D$14,MATCH("5/32 in",TABLAS!$B$6:$B$14,0)))*MIN(DATOS!$C$50,6000)/(MAX(MIN(6,FLOOR(45/DATOS!$C$26,1),FLOOR((1*INDEX(TABLAS!$D$6:$D$14,MATCH("5/32 in",TABLAS!$B$6:$B$14,0)))*MIN(DATOS!$C$50,6000)/(BT62*DATOS!$C$26*MAX(ED62,0.001)),1)),1)*DATOS!$C$26*BT62))&lt;=MIN(MAX(0.15*DATOS!$C$33*DATOS!$C$24,3),0.05*DATOS!$C$25/10*MIN(DATOS!$C$50,6000)/(MIN(6,FLOOR(45/DATOS!$C$26,1),FLOOR((1*INDEX(TABLAS!$D$6:$D$14,MATCH("5/32 in",TABLAS!$B$6:$B$14,0)))*MIN(DATOS!$C$50,6000)/(BT62*DATOS!$C$26*MAX(ED62,0.001)),1))*DATOS!$C$26))),"1 alambre de 5/32"" por junta cada "&amp;MIN(6,FLOOR(45/DATOS!$C$26,1),FLOOR((1*INDEX(TABLAS!$D$6:$D$14,MATCH("5/32 in",TABLAS!$B$6:$B$14,0)))*MIN(DATOS!$C$50,6000)/(BT62*DATOS!$C$26*MAX(ED62,0.001)),1))&amp;" hilada(s) (p_h·f_yh = "&amp;TEXT(((1*INDEX(TABLAS!$D$6:$D$14,MATCH("5/32 in",TABLAS!$B$6:$B$14,0)))*MIN(DATOS!$C$50,6000)/(MAX(MIN(6,FLOOR(45/DATOS!$C$26,1),FLOOR((1*INDEX(TABLAS!$D$6:$D$14,MATCH("5/32 in",TABLAS!$B$6:$B$14,0)))*MIN(DATOS!$C$50,6000)/(BT62*DATOS!$C$26*MAX(ED62,0.001)),1)),1)*DATOS!$C$26*BT62)),"0.00")&amp;")","ninguna combinación de 1 o 2 alambres por junta queda entre el mínimo y el máximo: revisa con malla (6.5.4)"))))))))</f>
        <v/>
      </c>
      <c r="EF62" s="43" t="str">
        <f>IF(BI62&lt;&gt;"SÍ","",IF(AI62="SÍ",N(AK62)*N(AL62)^3/12,0))</f>
        <v/>
      </c>
      <c r="EG62" s="48" t="str">
        <f>IF(BI62&lt;&gt;"SÍ","",IF(AND(AI62="SÍ",N(AM62)&gt;0),MIN(1,F62/AM62),0))</f>
        <v/>
      </c>
      <c r="EH62" s="47" t="str">
        <f>IF(BI62&lt;&gt;"SÍ","",IF(AI62="SÍ",BP62*1000/(BT62*F62*100)*BT62*(EG62^4-4*EG62^3+8*EG62),0))</f>
        <v/>
      </c>
      <c r="EI62" s="48" t="str">
        <f>IF(BI62&lt;&gt;"SÍ","",IF(AND(AI62="SÍ",EH62&gt;0),EH62/(EH62+5*N(AN62)*10),0))</f>
        <v/>
      </c>
      <c r="EJ62" s="44" t="str">
        <f>IF(BI62&lt;&gt;"SÍ","",IF(AND(AI62="SÍ",EI62&gt;0,EF62&gt;0),(DATOS!$C$43*BT62*(AM62*100)^3/(DATOS!$C$53*EF62*EI62))^0.25,0))</f>
        <v/>
      </c>
      <c r="EK62" s="44" t="str">
        <f>IF(BI62&lt;&gt;"SÍ","",IF(AI62&lt;&gt;"SÍ",0,IF(N(AM62)&lt;=F62,1,IF(MIN(1,N(AO62)/((AM62-F62)/2))&lt;=0.5,0.7+0.6*MIN(1,N(AO62)/((AM62-F62)/2)),1.5-MIN(1,N(AO62)/((AM62-F62)/2))))))</f>
        <v/>
      </c>
      <c r="EL62" s="44" t="str">
        <f>IF(BI62&lt;&gt;"SÍ","",IF(AI62&lt;&gt;"SÍ",0,MAX(1,IF(EG62&gt;=1,(1.6*EJ62-3.9),IF(EG62&lt;0.9,((3.2*EJ62-7.8)*EK62),((3.2*EJ62-7.8)*EK62)+((1.6*EJ62-3.9)-((3.2*EJ62-7.8)*EK62))*(EG62-0.9)/0.1)))))</f>
        <v/>
      </c>
      <c r="EM62" s="47" t="str">
        <f>IF(BI62&lt;&gt;"SÍ","",IF(AI62="SÍ",EL62*BP62*1000/(BT62*F62*100),0))</f>
        <v/>
      </c>
      <c r="EN62" s="47" t="str">
        <f>IF(BI62&lt;&gt;"SÍ","",IF(AND(AI62="SÍ",N(AL62)&gt;0),AM62*100/AL62,0))</f>
        <v/>
      </c>
      <c r="EO62" s="47" t="str">
        <f>IF(BI62&lt;&gt;"SÍ","",IF(AI62="SÍ",(1/15*DATOS!$C$53*N(AK62)/MAX((IF(ISNUMBER(AP62),AP62,BP62/DATOS!$C$90)*1000/(BT62*F62*100)*BT62*(EG62^4-4*EG62^3+8*EG62))+5*N(AN62)/DATOS!$C$90*10,0.001))^(1/3),0))</f>
        <v/>
      </c>
      <c r="EP62" s="45" t="str">
        <f>IF(BI62&lt;&gt;"SÍ","",IF(AI62&lt;&gt;"SÍ","—",IF(OR(N(AK62)&lt;=0,N(AL62)&lt;=0,N(AM62)&lt;=0),"REVISAR: faltan b, h o L_v de la viga",IF(AND(EM62&lt;=DATOS!$C$87*DATOS!$C$33,EN62&lt;=14,N(AL62)&gt;=25,EN62&lt;=EO62),IF(BS62/F62&lt;0.6,"PENDIENTE: H/L &lt; 0.6, falta el análisis de interacción muro–viga (4.1.18.2.1); f_CM es estimado","CUMPLE"),"NO CUMPLE: "&amp;IF(EM62&gt;DATOS!$C$87*DATOS!$C$33,"f_CM &gt; F_R·f'm ","")&amp;IF(EN62&gt;14,"L_v/h_v &gt; 14 ","")&amp;IF(N(AL62)&lt;25,"h_v &lt; 25 cm ","")&amp;IF(EN62&gt;EO62,"flecha (4.1.18.3)","")))))</f>
        <v/>
      </c>
      <c r="EQ62" s="44" t="str">
        <f>IF(BI62&lt;&gt;"SÍ","",MAX(0,F62*BS62-(N(K62)*N(M62)+N(P62)*N(R62)+N(U62)*N(W62)+N(Z62)*N(AB62))-CK62*DATOS!$C$59/100*BS62))</f>
        <v/>
      </c>
      <c r="ER62" s="48" t="str">
        <f>IF(BI62&lt;&gt;"SÍ","",CK62*DATOS!$C$59*DATOS!$C$60/10000*BS62)</f>
        <v/>
      </c>
      <c r="ES62" s="47" t="str">
        <f>IF(BI62&lt;&gt;"SÍ","",CK62*(DATOS!$C$61*(BS62+0.6)*INDEX(TABLAS!$E$6:$E$14,MATCH(DATOS!$C$62,TABLAS!$B$6:$B$14,0))+(2*ROUNDUP(CN62/DATOS!$C$65,0)+ROUNDUP(MAX(0,BS62*100-2*CN62)/DATOS!$C$64,0))*((2*(DATOS!$C$60+DATOS!$C$59-4*(DATOS!$C$66-INDEX(TABLAS!$C$6:$C$14,MATCH(DATOS!$C$63,TABLAS!$B$6:$B$14,0))))+15)/100)*INDEX(TABLAS!$E$6:$E$14,MATCH(DATOS!$C$63,TABLAS!$B$6:$B$14,0))))</f>
        <v/>
      </c>
      <c r="ET62" s="47" t="str">
        <f>IF(BI62&lt;&gt;"SÍ","",IF(OR(AE62="VARILLA EN JUNTAS",AE62="ESCALERILLA"),INT(BS62*100/MAX(DK62,1))*IF(ISNUMBER(AF62),AF62,2)*CB62*INDEX(TABLAS!$E$6:$E$14,MATCH(IF(AG62&lt;&gt;"",AG62,DATOS!$C$73),TABLAS!$B$6:$B$14,0)),IF(AE62="MALLA",IF(ISNUMBER(AF62),AF62,1)*CB62*BS62*INDEX(TABLAS!$E$19:$E$22,MATCH(IF(AG62&lt;&gt;"",AG62,DATOS!$C$74),TABLAS!$B$19:$B$22,0)),0)))</f>
        <v/>
      </c>
      <c r="EU62" s="45" t="str">
        <f>IF(BI62&lt;&gt;"SÍ","",""&amp;IF(BJ62="NO ESTÁ EN PIER_FORCES","sin fuerzas en PIER_FORCES; ","")&amp;IF(BV62&lt;&gt;"CUMPLE","vanos; ","")&amp;IF(LEFT(CH62,2)="NO","espesor o esbeltez; ","")&amp;IF(CQ62&gt;1,"compresión; ","")&amp;IF(CX62&gt;1,"flexión; ","")&amp;IF(CB62&lt;=0,"sin tramos de muro (todos son machones menores que L mín.: diséñalos como columnas o baja L mín.); ",IF(EC62&gt;1,"cortante; ",""))&amp;IF(OR(LEFT(EA62,2)="NO",LEFT(EA62,5)="FALTA"),"refuerzo horizontal; ","")&amp;IF(OR(LEFT(EP62,2)="NO",LEFT(EP62,7)="REVISAR"),"muro sobre viga; ","")&amp;IF(LEFT(DATOS!$C$81,2)="NO","castillo típico; ","")&amp;IF(LEFT(DATOS!$C$82,2)="NO","dala típica; ","")&amp;IF(AND(BT62&lt;&gt;DATOS!$C$58,DATOS!$C$60&lt;BT62),"castillo más angosto que el muro; ",""))</f>
        <v/>
      </c>
      <c r="EV62" s="45" t="str">
        <f>IF(BI62&lt;&gt;"SÍ","",""&amp;IF(LEFT(EP62,9)="PENDIENTE","análisis muro–viga (H/L &lt; 0.6); ","")&amp;IF(BR62&gt;50,"V_u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2" s="51" t="str">
        <f>IF(BI62&lt;&gt;"SÍ","",IF(EU62&lt;&gt;"","NO CUMPLE: "&amp;LEFT(EU62,LEN(EU62)-2),IF(EV62&lt;&gt;"","CUMPLE — PENDIENTE: "&amp;LEFT(EV62,LEN(EV62)-2),"CUMPLE")))</f>
        <v/>
      </c>
      <c r="EX62" s="52" t="n"/>
    </row>
    <row r="63" ht="30" customHeight="1">
      <c r="A63" s="38" t="str">
        <f>IF(B63="","",ROW()-10)</f>
        <v/>
      </c>
      <c r="B63" s="28" t="n"/>
      <c r="C63" s="39" t="n"/>
      <c r="D63" s="39" t="n"/>
      <c r="E63" s="39" t="n"/>
      <c r="F63" s="40" t="n"/>
      <c r="G63" s="40" t="n"/>
      <c r="H63" s="41" t="n"/>
      <c r="I63" s="39" t="n"/>
      <c r="J63" s="40" t="n"/>
      <c r="K63" s="40" t="n"/>
      <c r="L63" s="40" t="n"/>
      <c r="M63" s="40" t="n"/>
      <c r="N63" s="39" t="n"/>
      <c r="O63" s="40" t="n"/>
      <c r="P63" s="40" t="n"/>
      <c r="Q63" s="40" t="n"/>
      <c r="R63" s="40" t="n"/>
      <c r="S63" s="39" t="n"/>
      <c r="T63" s="40" t="n"/>
      <c r="U63" s="40" t="n"/>
      <c r="V63" s="40" t="n"/>
      <c r="W63" s="40" t="n"/>
      <c r="X63" s="39" t="n"/>
      <c r="Y63" s="40" t="n"/>
      <c r="Z63" s="40" t="n"/>
      <c r="AA63" s="40" t="n"/>
      <c r="AB63" s="40" t="n"/>
      <c r="AC63" s="41" t="n"/>
      <c r="AD63" s="41" t="n"/>
      <c r="AE63" s="39" t="n"/>
      <c r="AF63" s="41" t="n"/>
      <c r="AG63" s="41" t="n"/>
      <c r="AH63" s="41" t="n"/>
      <c r="AI63" s="39" t="n"/>
      <c r="AJ63" s="39" t="n"/>
      <c r="AK63" s="41" t="n"/>
      <c r="AL63" s="41" t="n"/>
      <c r="AM63" s="40" t="n"/>
      <c r="AN63" s="40" t="n"/>
      <c r="AO63" s="40" t="n"/>
      <c r="AP63" s="40" t="n"/>
      <c r="AQ63" s="40" t="n"/>
      <c r="AR63" s="40" t="n"/>
      <c r="AS63" s="40" t="n"/>
      <c r="AT63" s="40" t="n"/>
      <c r="AU63" s="40" t="n"/>
      <c r="AV63" s="40" t="n"/>
      <c r="AW63" s="40" t="n"/>
      <c r="AX63" s="42" t="str">
        <f>IF(B63="","",C63&amp;"|"&amp;B63)</f>
        <v/>
      </c>
      <c r="AY63" s="43" t="str">
        <f>IF(B63="","",COUNTIFS(PIER_FORCES!$O$9:$O$3008,53,PIER_FORCES!$P$9:$P$3008,1))</f>
        <v/>
      </c>
      <c r="AZ63" s="43" t="str">
        <f>IF(B63="","",COUNTIFS(PIER_FORCES!$O$9:$O$3008,53,PIER_FORCES!$P$9:$P$3008,2))</f>
        <v/>
      </c>
      <c r="BA63" s="44">
        <f>IF(N(AY63)=0,0,SUMPRODUCT(MAX((PIER_FORCES!$O$9:$O$3008=53)*(PIER_FORCES!$P$9:$P$3008=1)*PIER_FORCES!$R$9:$R$3008)))</f>
        <v>0</v>
      </c>
      <c r="BB63" s="44">
        <f>IF(N(AY63)=0,0,SUMPRODUCT(MAX((PIER_FORCES!$O$9:$O$3008=53)*(PIER_FORCES!$P$9:$P$3008=1)*PIER_FORCES!$S$9:$S$3008)))</f>
        <v>0</v>
      </c>
      <c r="BC63" s="44">
        <f>IF(N(AY63)=0,0,-SUMPRODUCT(MAX((PIER_FORCES!$O$9:$O$3008=53)*(PIER_FORCES!$P$9:$P$3008=1)*(-PIER_FORCES!$Q$9:$Q$3008)+(1-(PIER_FORCES!$O$9:$O$3008=53)*(PIER_FORCES!$P$9:$P$3008=1))*(-1E9))))</f>
        <v>0</v>
      </c>
      <c r="BD63" s="44">
        <f>IF(N(AY63)=0,0,SUMPRODUCT(MAX((PIER_FORCES!$O$9:$O$3008=53)*(PIER_FORCES!$P$9:$P$3008=1)*PIER_FORCES!$Q$9:$Q$3008+(1-(PIER_FORCES!$O$9:$O$3008=53)*(PIER_FORCES!$P$9:$P$3008=1))*(-1E9))))</f>
        <v>0</v>
      </c>
      <c r="BE63" s="44">
        <f>IF(N(AZ63)=0,BD63,SUMPRODUCT(MAX((PIER_FORCES!$O$9:$O$3008=53)*(PIER_FORCES!$P$9:$P$3008=2)*PIER_FORCES!$Q$9:$Q$3008+(1-(PIER_FORCES!$O$9:$O$3008=53)*(PIER_FORCES!$P$9:$P$3008=2))*(-1E9))))</f>
        <v>0</v>
      </c>
      <c r="BF63" s="44">
        <f>IF(N(AZ63)=0,0,SUMPRODUCT(MAX((PIER_FORCES!$O$9:$O$3008=53)*(PIER_FORCES!$P$9:$P$3008=2)*PIER_FORCES!$R$9:$R$3008)))</f>
        <v>0</v>
      </c>
      <c r="BG63" s="43">
        <f>IF(N(AY63)=0,0,SUMPRODUCT(MAX((PIER_FORCES!$O$9:$O$3008=53)*(PIER_FORCES!$P$9:$P$3008=1)*(ABS(PIER_FORCES!$R$9:$R$3008-BA63)&lt;0.000001)*PIER_FORCES!$T$9:$T$3008)))</f>
        <v>0</v>
      </c>
      <c r="BH63" s="45" t="str">
        <f>IF(N(BG63)=0,"",INDEX(PIER_FORCES!$D$9:$D$3008,BG63)&amp;" "&amp;INDEX(PIER_FORCES!$F$9:$F$3008,BG63)&amp;" / "&amp;INDEX(PIER_FORCES!$G$9:$G$3008,BG63))</f>
        <v/>
      </c>
      <c r="BI63" s="42" t="str">
        <f>IF(B63="","",IF(AND(C63&lt;&gt;"",OR(D63="X",D63="Y"),ISNUMBER(F63),N(F63)&gt;0),"SÍ","NO"))</f>
        <v/>
      </c>
      <c r="BJ63" s="42" t="str">
        <f>IF(BI63&lt;&gt;"SÍ","",IF(DATOS!$C$108="ETABS (PIER_FORCES)",IF(N(AY63)&gt;0,"ETABS","NO ESTÁ EN PIER_FORCES"),"CAPTURA"))</f>
        <v/>
      </c>
      <c r="BK63" s="46" t="str">
        <f>IF(BI63&lt;&gt;"SÍ","",IF(BJ63="ETABS",BA63,IF(BJ63="CAPTURA",N(AQ63),0)))</f>
        <v/>
      </c>
      <c r="BL63" s="46" t="str">
        <f>IF(BI63&lt;&gt;"SÍ","",IF(BJ63="ETABS",BB63,IF(BJ63="CAPTURA",N(AR63),0)))</f>
        <v/>
      </c>
      <c r="BM63" s="46" t="str">
        <f>IF(BI63&lt;&gt;"SÍ","",IF(BJ63="ETABS",BC63/DATOS!$C$89,IF(BJ63="CAPTURA",N(AS63),0)))</f>
        <v/>
      </c>
      <c r="BN63" s="44" t="str">
        <f>IF(BI63&lt;&gt;"SÍ","",IF(BJ63="ETABS",BC63,IF(BJ63="CAPTURA",IF(ISNUMBER(AU63),AU63,N(AS63)*DATOS!$C$89),0)))</f>
        <v/>
      </c>
      <c r="BO63" s="44" t="str">
        <f>IF(BI63&lt;&gt;"SÍ","",IF(BJ63="ETABS",MAX(BD63,BE63),IF(BJ63="CAPTURA",N(AT63),0)))</f>
        <v/>
      </c>
      <c r="BP63" s="44" t="str">
        <f>IF(BI63&lt;&gt;"SÍ","",IF(BJ63="ETABS",BE63,IF(BJ63="CAPTURA",IF(ISNUMBER(AV63),AV63,N(AT63)),0)))</f>
        <v/>
      </c>
      <c r="BQ63" s="44" t="str">
        <f>IF(BI63&lt;&gt;"SÍ","",IF(BJ63="ETABS",BF63,IF(BJ63="CAPTURA",N(AW63),0)))</f>
        <v/>
      </c>
      <c r="BR63" s="43" t="str">
        <f>IF(BI63&lt;&gt;"SÍ","",IF(BK63&gt;0,100*BQ63/BK63,0))</f>
        <v/>
      </c>
      <c r="BS63" s="44" t="str">
        <f>IF(BI63&lt;&gt;"SÍ","",IF(ISNUMBER(G63),G63,DATOS!$C$57))</f>
        <v/>
      </c>
      <c r="BT63" s="47" t="str">
        <f>IF(BI63&lt;&gt;"SÍ","",IF(ISNUMBER(H63),H63,DATOS!$C$58))</f>
        <v/>
      </c>
      <c r="BU63" s="43" t="str">
        <f>IF(BI63&lt;&gt;"SÍ","",IF(N(K63)&gt;0,1+IF(N(P63)&gt;0,1+IF(N(U63)&gt;0,1+IF(N(Z63)&gt;0,1,0),0),0),0))</f>
        <v/>
      </c>
      <c r="BV63" s="45" t="str">
        <f>IF(BI63&lt;&gt;"SÍ","",IF(AND(OR(BU63&lt;1,AND(N(J63)&gt;=0-0.001,J63+K63&lt;=F63+0.001,N(L63)&gt;=0,N(L63)+N(M63)&lt;=BS63+0.001,N(M63)&gt;0,OR(I63="PUERTA",I63="VENTANA"))),OR(BU63&lt;2,AND(N(O63)&gt;=(J63+K63)-0.001,O63+P63&lt;=F63+0.001,N(Q63)&gt;=0,N(Q63)+N(R63)&lt;=BS63+0.001,N(R63)&gt;0,OR(N63="PUERTA",N63="VENTANA"))),OR(BU63&lt;3,AND(N(T63)&gt;=(O63+P63)-0.001,T63+U63&lt;=F63+0.001,N(V63)&gt;=0,N(V63)+N(W63)&lt;=BS63+0.001,N(W63)&gt;0,OR(S63="PUERTA",S63="VENTANA"))),OR(BU63&lt;4,AND(N(Y63)&gt;=(T63+U63)-0.001,Y63+Z63&lt;=F63+0.001,N(AA63)&gt;=0,N(AA63)+N(AB63)&lt;=BS63+0.001,N(AB63)&gt;0,OR(X63="PUERTA",X63="VENTANA"))),(N(K63)&gt;0)+(N(P63)&gt;0)+(N(U63)&gt;0)+(N(Z63)&gt;0)=BU63),"CUMPLE","REVISAR VANOS: tipo, orden de izquierda a derecha, que quepan en L y en H"))</f>
        <v/>
      </c>
      <c r="BW63" s="44" t="str">
        <f>IF(BI63&lt;&gt;"SÍ","",MAX(0,IF(BU63&gt;=1,N(J63),F63)))</f>
        <v/>
      </c>
      <c r="BX63" s="44" t="str">
        <f>IF(BI63&lt;&gt;"SÍ","",MAX(0,IF(BU63&gt;=2,N(O63)-(N(J63)+N(K63)),IF(BU63=1,F63-(N(J63)+N(K63)),0))))</f>
        <v/>
      </c>
      <c r="BY63" s="44" t="str">
        <f>IF(BI63&lt;&gt;"SÍ","",MAX(0,IF(BU63&gt;=3,N(T63)-(N(O63)+N(P63)),IF(BU63=2,F63-(N(O63)+N(P63)),0))))</f>
        <v/>
      </c>
      <c r="BZ63" s="44" t="str">
        <f>IF(BI63&lt;&gt;"SÍ","",MAX(0,IF(BU63&gt;=4,N(Y63)-(N(T63)+N(U63)),IF(BU63=3,F63-(N(T63)+N(U63)),0))))</f>
        <v/>
      </c>
      <c r="CA63" s="44" t="str">
        <f>IF(BI63&lt;&gt;"SÍ","",MAX(0,IF(BU63=4,F63-(N(Y63)+N(Z63)),0)))</f>
        <v/>
      </c>
      <c r="CB63" s="46" t="str">
        <f>IF(BI63&lt;&gt;"SÍ","",SUMPRODUCT((BW63:CA63&gt;=DATOS!$C$72-0.0001)*BW63:CA63))</f>
        <v/>
      </c>
      <c r="CC63" s="43" t="str">
        <f>IF(BI63&lt;&gt;"SÍ","",SUMPRODUCT(--(BW63:CA63&gt;=DATOS!$C$72-0.0001)))</f>
        <v/>
      </c>
      <c r="CD63" s="44" t="str">
        <f>IF(BI63&lt;&gt;"SÍ","",SUM(BW63:CA63))</f>
        <v/>
      </c>
      <c r="CE63" s="43" t="str">
        <f>IF(BI63&lt;&gt;"SÍ","",BT63*CB63*100)</f>
        <v/>
      </c>
      <c r="CF63" s="43" t="str">
        <f>IF(BI63&lt;&gt;"SÍ","",BT63*CD63*100)</f>
        <v/>
      </c>
      <c r="CG63" s="47" t="str">
        <f>IF(BI63&lt;&gt;"SÍ","",BS63*100/BT63)</f>
        <v/>
      </c>
      <c r="CH63" s="45" t="str">
        <f>IF(BI63&lt;&gt;"SÍ","",IF(AND(OR(DATOS!$C$14="TIPO II",BT63&gt;=12),CG63&lt;=25),"CUMPLE","NO CUMPLE: "&amp;IF(AND(DATOS!$C$14="TIPO I",BT63&lt;12),"t &lt; 12 cm ","")&amp;IF(CG63&gt;25,"H/t &gt; 25","")))</f>
        <v/>
      </c>
      <c r="CI63" s="44" t="str">
        <f>IF(BI63&lt;&gt;"SÍ","",MIN(1.5*BS63,4))</f>
        <v/>
      </c>
      <c r="CJ63" s="43" t="str">
        <f>IF(BI63&lt;&gt;"SÍ","",SUMPRODUCT((BW63:CA63&gt;=2*DATOS!$C$59/100)*INT((BW63:CA63-DATOS!$C$59/100)/CI63-0.000001)*((BW63:CA63-DATOS!$C$59/100)&gt;0)))</f>
        <v/>
      </c>
      <c r="CK63" s="43" t="str">
        <f>IF(BI63&lt;&gt;"SÍ","",SUMPRODUCT((BW63:CA63&gt;0.0001)*1+(BW63:CA63&gt;=2*DATOS!$C$59/100)*1)+CJ63)</f>
        <v/>
      </c>
      <c r="CL63" s="44" t="str">
        <f>IF(BI63&lt;&gt;"SÍ","",IF(ISNUMBER(AC63),AC63,DATOS!$C$61)*INDEX(TABLAS!$D$6:$D$14,MATCH(IF(AD63&lt;&gt;"",AD63,DATOS!$C$62),TABLAS!$B$6:$B$14,0)))</f>
        <v/>
      </c>
      <c r="CM63" s="44" t="str">
        <f>IF(BI63&lt;&gt;"SÍ","",CK63*DATOS!$C$78+IF(CK63&gt;=2,2,CK63)*(CL63-DATOS!$C$78))</f>
        <v/>
      </c>
      <c r="CN63" s="47" t="str">
        <f>IF(BI63&lt;&gt;"SÍ","",MAX(BS63*100/6,40))</f>
        <v/>
      </c>
      <c r="CO63" s="48" t="str">
        <f>IF(BI63&lt;&gt;"SÍ","",IF(CG63&lt;=20,IF(E63="INTERIOR",0.7,0.6),MIN(IF(E63="INTERIOR",0.7,0.6),(1-2/24)*(1-(IF(E63="INTERIOR",0.8,1)*CG63/30)^2))))</f>
        <v/>
      </c>
      <c r="CP63" s="47" t="str">
        <f>IF(BI63&lt;&gt;"SÍ","",DATOS!$C$87*CO63*(DATOS!$C$33*CF63+CM63*DATOS!$C$48)/1000)</f>
        <v/>
      </c>
      <c r="CQ63" s="46" t="str">
        <f>IF(BI63&lt;&gt;"SÍ","",IF(CP63&gt;0,BO63/CP63,99))</f>
        <v/>
      </c>
      <c r="CR63" s="47" t="str">
        <f>IF(BI63&lt;&gt;"SÍ","",MAX(0,F63*100-DATOS!$C$59))</f>
        <v/>
      </c>
      <c r="CS63" s="47" t="str">
        <f>IF(BI63&lt;&gt;"SÍ","",MAX(0,F63*100-DATOS!$C$59/2))</f>
        <v/>
      </c>
      <c r="CT63" s="44" t="str">
        <f>IF(BI63&lt;&gt;"SÍ","",CL63*DATOS!$C$48*CR63/100000)</f>
        <v/>
      </c>
      <c r="CU63" s="44" t="str">
        <f>IF(BI63&lt;&gt;"SÍ","",IF(BN63&lt;0,0.8*CT63*MAX(0,1+BN63/(0.8*CM63*DATOS!$C$48/1000)),IF(BN63&lt;=CP63/3,0.8*CT63+0.3*BN63*CS63/100,(1.5*0.6*CT63+0.15*CP63*CS63/100)*MAX(0,1-BN63/CP63))))</f>
        <v/>
      </c>
      <c r="CV63" s="44" t="str">
        <f>IF(BI63&lt;&gt;"SÍ","",IF(BO63&lt;0,0.8*CT63*MAX(0,1+BO63/(0.8*CM63*DATOS!$C$48/1000)),IF(BO63&lt;=CP63/3,0.8*CT63+0.3*BO63*CS63/100,(1.5*0.6*CT63+0.15*CP63*CS63/100)*MAX(0,1-BO63/CP63))))</f>
        <v/>
      </c>
      <c r="CW63" s="46" t="str">
        <f>IF(BI63&lt;&gt;"SÍ","",MAX(0,MIN(CU63,CV63)))</f>
        <v/>
      </c>
      <c r="CX63" s="49" t="str">
        <f>IF(BI63&lt;&gt;"SÍ","",IF(CW63&gt;0,BL63/CW63,IF(BL63&gt;0,99,0)))</f>
        <v/>
      </c>
      <c r="CY63" s="44" t="str">
        <f>IF(BI63&lt;&gt;"SÍ","",IF(BW63&gt;0,MAX(1,MIN(1.5,1.5-0.625*(BS63/BW63-0.2))),0))</f>
        <v/>
      </c>
      <c r="CZ63" s="44" t="str">
        <f>IF(BI63&lt;&gt;"SÍ","",IF(BX63&gt;0,MAX(1,MIN(1.5,1.5-0.625*(BS63/BX63-0.2))),0))</f>
        <v/>
      </c>
      <c r="DA63" s="44" t="str">
        <f>IF(BI63&lt;&gt;"SÍ","",IF(BY63&gt;0,MAX(1,MIN(1.5,1.5-0.625*(BS63/BY63-0.2))),0))</f>
        <v/>
      </c>
      <c r="DB63" s="44" t="str">
        <f>IF(BI63&lt;&gt;"SÍ","",IF(BZ63&gt;0,MAX(1,MIN(1.5,1.5-0.625*(BS63/BZ63-0.2))),0))</f>
        <v/>
      </c>
      <c r="DC63" s="44" t="str">
        <f>IF(BI63&lt;&gt;"SÍ","",IF(CA63&gt;0,MAX(1,MIN(1.5,1.5-0.625*(BS63/CA63-0.2))),0))</f>
        <v/>
      </c>
      <c r="DD63" s="44" t="str">
        <f>IF(BI63&lt;&gt;"SÍ","",IF(OR(BW63&lt;DATOS!$C$72-0.0001,BM63&lt;0,CB63&lt;=0),0,MIN(DATOS!$C$86*(0.5*DATOS!$C$41*BT63*BW63*100+0.3*BM63*BW63/CB63*1000)*CY63,1.5*DATOS!$C$86*DATOS!$C$41*BT63*BW63*100*CY63)/1000))</f>
        <v/>
      </c>
      <c r="DE63" s="44" t="str">
        <f>IF(BI63&lt;&gt;"SÍ","",IF(OR(BX63&lt;DATOS!$C$72-0.0001,BM63&lt;0,CB63&lt;=0),0,MIN(DATOS!$C$86*(0.5*DATOS!$C$41*BT63*BX63*100+0.3*BM63*BX63/CB63*1000)*CZ63,1.5*DATOS!$C$86*DATOS!$C$41*BT63*BX63*100*CZ63)/1000))</f>
        <v/>
      </c>
      <c r="DF63" s="44" t="str">
        <f>IF(BI63&lt;&gt;"SÍ","",IF(OR(BY63&lt;DATOS!$C$72-0.0001,BM63&lt;0,CB63&lt;=0),0,MIN(DATOS!$C$86*(0.5*DATOS!$C$41*BT63*BY63*100+0.3*BM63*BY63/CB63*1000)*DA63,1.5*DATOS!$C$86*DATOS!$C$41*BT63*BY63*100*DA63)/1000))</f>
        <v/>
      </c>
      <c r="DG63" s="44" t="str">
        <f>IF(BI63&lt;&gt;"SÍ","",IF(OR(BZ63&lt;DATOS!$C$72-0.0001,BM63&lt;0,CB63&lt;=0),0,MIN(DATOS!$C$86*(0.5*DATOS!$C$41*BT63*BZ63*100+0.3*BM63*BZ63/CB63*1000)*DB63,1.5*DATOS!$C$86*DATOS!$C$41*BT63*BZ63*100*DB63)/1000))</f>
        <v/>
      </c>
      <c r="DH63" s="44" t="str">
        <f>IF(BI63&lt;&gt;"SÍ","",IF(OR(CA63&lt;DATOS!$C$72-0.0001,BM63&lt;0,CB63&lt;=0),0,MIN(DATOS!$C$86*(0.5*DATOS!$C$41*BT63*CA63*100+0.3*BM63*CA63/CB63*1000)*DC63,1.5*DATOS!$C$86*DATOS!$C$41*BT63*CA63*100*DC63)/1000))</f>
        <v/>
      </c>
      <c r="DI63" s="46" t="str">
        <f>IF(BI63&lt;&gt;"SÍ","",SUM(DD63:DH63))</f>
        <v/>
      </c>
      <c r="DJ63" s="48" t="str">
        <f>IF(BI63&lt;&gt;"SÍ","",IF(AE63="VARILLA EN JUNTAS",IF(ISNUMBER(AF63),AF63,2)*INDEX(TABLAS!$D$6:$D$14,MATCH(IF(AG63&lt;&gt;"",AG63,DATOS!$C$73),TABLAS!$B$6:$B$14,0)),IF(AE63="MALLA",IF(ISNUMBER(AF63),AF63,1)*INDEX(TABLAS!$D$19:$D$22,MATCH(IF(AG63&lt;&gt;"",AG63,DATOS!$C$74),TABLAS!$B$19:$B$22,0))/100,IF(AE63="ESCALERILLA",IF(ISNUMBER(AF63),AF63,2)*INDEX(TABLAS!$D$6:$D$14,MATCH(IF(AG63&lt;&gt;"",AG63,DATOS!$C$73),TABLAS!$B$6:$B$14,0)),0))))</f>
        <v/>
      </c>
      <c r="DK63" s="47" t="str">
        <f>IF(BI63&lt;&gt;"SÍ","",IF(OR(AE63="VARILLA EN JUNTAS",AE63="ESCALERILLA"),IF(ISNUMBER(AH63),AH63,2)*DATOS!$C$26,IF(AE63="MALLA",1,0)))</f>
        <v/>
      </c>
      <c r="DL63" s="44" t="str">
        <f>IF(BI63&lt;&gt;"SÍ","",IF(DK63&gt;0,DJ63/(DK63*BT63)*MIN(DATOS!$C$50,IF(AE63="MALLA",5000,6000)),0))</f>
        <v/>
      </c>
      <c r="DM63" s="44" t="str">
        <f>IF(BI63&lt;&gt;"SÍ","",IF(AE63="ESCALERILLA",0,MIN(DL63,0.1*DATOS!$C$33*DATOS!$C$24)))</f>
        <v/>
      </c>
      <c r="DN63" s="48" t="str">
        <f>IF(BI63&lt;&gt;"SÍ","",IF(AE63="MALLA",0.5,IF(DATOS!$C$33&lt;=60,0.55,IF(DATOS!$C$33&gt;=90,0.75,0.55+0.2*(DATOS!$C$33-60)/30))))</f>
        <v/>
      </c>
      <c r="DO63" s="48" t="str">
        <f>IF(BI63&lt;&gt;"SÍ","",1-DATOS!$C$91*DM63)</f>
        <v/>
      </c>
      <c r="DP63" s="44" t="str">
        <f>IF(BI63&lt;&gt;"SÍ","",IF(BW63&gt;0,IF(BS63/BW63&lt;=1,1.3,IF(BS63/BW63&gt;=1.5,1,1.3-0.6*(BS63/BW63-1))),0))</f>
        <v/>
      </c>
      <c r="DQ63" s="44" t="str">
        <f>IF(BI63&lt;&gt;"SÍ","",IF(BX63&gt;0,IF(BS63/BX63&lt;=1,1.3,IF(BS63/BX63&gt;=1.5,1,1.3-0.6*(BS63/BX63-1))),0))</f>
        <v/>
      </c>
      <c r="DR63" s="44" t="str">
        <f>IF(BI63&lt;&gt;"SÍ","",IF(BY63&gt;0,IF(BS63/BY63&lt;=1,1.3,IF(BS63/BY63&gt;=1.5,1,1.3-0.6*(BS63/BY63-1))),0))</f>
        <v/>
      </c>
      <c r="DS63" s="44" t="str">
        <f>IF(BI63&lt;&gt;"SÍ","",IF(BZ63&gt;0,IF(BS63/BZ63&lt;=1,1.3,IF(BS63/BZ63&gt;=1.5,1,1.3-0.6*(BS63/BZ63-1))),0))</f>
        <v/>
      </c>
      <c r="DT63" s="44" t="str">
        <f>IF(BI63&lt;&gt;"SÍ","",IF(CA63&gt;0,IF(BS63/CA63&lt;=1,1.3,IF(BS63/CA63&gt;=1.5,1,1.3-0.6*(BS63/CA63-1))),0))</f>
        <v/>
      </c>
      <c r="DU63" s="44" t="str">
        <f>IF(BI63&lt;&gt;"SÍ","",IF(OR(DM63&lt;=0,BW63&lt;DATOS!$C$72-0.0001),0,DATOS!$C$86*MAX(0,IF(BM63&gt;=0,DD63/(DATOS!$C$86*DM63*BT63*BW63*100/1000)*(DP63*DO63-1)+DN63,DO63*DN63))*DM63*BT63*BW63*100/1000))</f>
        <v/>
      </c>
      <c r="DV63" s="44" t="str">
        <f>IF(BI63&lt;&gt;"SÍ","",IF(OR(DM63&lt;=0,BX63&lt;DATOS!$C$72-0.0001),0,DATOS!$C$86*MAX(0,IF(BM63&gt;=0,DE63/(DATOS!$C$86*DM63*BT63*BX63*100/1000)*(DQ63*DO63-1)+DN63,DO63*DN63))*DM63*BT63*BX63*100/1000))</f>
        <v/>
      </c>
      <c r="DW63" s="44" t="str">
        <f>IF(BI63&lt;&gt;"SÍ","",IF(OR(DM63&lt;=0,BY63&lt;DATOS!$C$72-0.0001),0,DATOS!$C$86*MAX(0,IF(BM63&gt;=0,DF63/(DATOS!$C$86*DM63*BT63*BY63*100/1000)*(DR63*DO63-1)+DN63,DO63*DN63))*DM63*BT63*BY63*100/1000))</f>
        <v/>
      </c>
      <c r="DX63" s="44" t="str">
        <f>IF(BI63&lt;&gt;"SÍ","",IF(OR(DM63&lt;=0,BZ63&lt;DATOS!$C$72-0.0001),0,DATOS!$C$86*MAX(0,IF(BM63&gt;=0,DG63/(DATOS!$C$86*DM63*BT63*BZ63*100/1000)*(DS63*DO63-1)+DN63,DO63*DN63))*DM63*BT63*BZ63*100/1000))</f>
        <v/>
      </c>
      <c r="DY63" s="44" t="str">
        <f>IF(BI63&lt;&gt;"SÍ","",IF(OR(DM63&lt;=0,CA63&lt;DATOS!$C$72-0.0001),0,DATOS!$C$86*MAX(0,IF(BM63&gt;=0,DH63/(DATOS!$C$86*DM63*BT63*CA63*100/1000)*(DT63*DO63-1)+DN63,DO63*DN63))*DM63*BT63*CA63*100/1000))</f>
        <v/>
      </c>
      <c r="DZ63" s="46" t="str">
        <f>IF(BI63&lt;&gt;"SÍ","",SUM(DU63:DY63))</f>
        <v/>
      </c>
      <c r="EA63" s="45" t="str">
        <f>IF(BI63&lt;&gt;"SÍ","",IF(OR(AE63="",AE63="NINGUNO"),IF(DATOS!$C$41&gt;=10,"FALTA refuerzo horizontal: v'm ≥ 10 kg/cm² (6.5.2.2)",IF(AND(BM63&lt;0,BK63&gt;0),"FALTA: P en tensión, el refuerzo debe tomar todo el cortante (6.5.1.3)","—")),IF(AE63="ESCALERILLA","NO CUENTA: la escalerilla no se permite para cortante por sismo (6.5.3.1.2)",IF(AE63="MALLA",IF(AND(DL63&gt;=2.5,DL63&lt;=MAX(0.15*DATOS!$C$33*DATOS!$C$24,2.5)),"CUMPLE","NO CUMPLE: "&amp;IF(DL63&lt;2.5,"p_h·f_yh &lt; 2.5 (6.5.4.2.4)","p_h·f_yh &gt; 0.15·f'm·f_an (6.5.4.2.4)")),IF(AND(DK63&lt;=MIN(6*DATOS!$C$26,45),DL63&gt;=3,DL63&lt;=MIN(MAX(0.15*DATOS!$C$33*DATOS!$C$24,3),0.05*DATOS!$C$25/10*MIN(DATOS!$C$50,6000)/DK63),INDEX(TABLAS!$C$6:$C$14,MATCH(IF(AG63&lt;&gt;"",AG63,DATOS!$C$73),TABLAS!$B$6:$B$14,0))&gt;=0.35,INDEX(TABLAS!$C$6:$C$14,MATCH(IF(AG63&lt;&gt;"",AG63,DATOS!$C$73),TABLAS!$B$6:$B$14,0))&lt;=0.75*DATOS!$C$25/10),"CUMPLE","NO CUMPLE: "&amp;IF(DK63&gt;MIN(6*DATOS!$C$26,45),"s_h &gt; 6 hiladas o 45 cm (6.5.3.2.1) ","")&amp;IF(DL63&lt;3,"p_h·f_yh &lt; 3 (6.5.3.3.1) ","")&amp;IF(DL63&gt;MIN(MAX(0.15*DATOS!$C$33*DATOS!$C$24,3),0.05*DATOS!$C$25/10*MIN(DATOS!$C$50,6000)/DK63),"p_h·f_yh &gt; máximo (6.5.3.3.2) ","")&amp;IF(OR(INDEX(TABLAS!$C$6:$C$14,MATCH(IF(AG63&lt;&gt;"",AG63,DATOS!$C$73),TABLAS!$B$6:$B$14,0))&lt;0.35,INDEX(TABLAS!$C$6:$C$14,MATCH(IF(AG63&lt;&gt;"",AG63,DATOS!$C$73),TABLAS!$B$6:$B$14,0))&gt;0.75*DATOS!$C$25/10),"diámetro fuera de 3.5 mm a 0.75·h_j (4.2.2.2.1)",""))))))</f>
        <v/>
      </c>
      <c r="EB63" s="46" t="str">
        <f>IF(BI63&lt;&gt;"SÍ","",DI63+DZ63)</f>
        <v/>
      </c>
      <c r="EC63" s="50" t="str">
        <f>IF(BI63&lt;&gt;"SÍ","",IF(EB63&gt;0,BK63/EB63,IF(BK63&gt;0,99,0)))</f>
        <v/>
      </c>
      <c r="ED63" s="47" t="str">
        <f>IF(BI63&lt;&gt;"SÍ","",IF(CE63&lt;=0,-1,IF(BK63&lt;=DI63,0,IF(IF(BM63&gt;=0,IF((DATOS!$C$86*IF(AE63="MALLA",0.5,IF(DATOS!$C$33&lt;=60,0.55,IF(DATOS!$C$33&gt;=90,0.75,0.55+0.2*(DATOS!$C$33-60)/30)))*CE63/1000-DATOS!$C$91*SUMPRODUCT(DP63:DT63,DD63:DH63))&lt;=0,1E9,(BK63-SUMPRODUCT(DP63:DT63,DD63:DH63))/(DATOS!$C$86*IF(AE63="MALLA",0.5,IF(DATOS!$C$33&lt;=60,0.55,IF(DATOS!$C$33&gt;=90,0.75,0.55+0.2*(DATOS!$C$33-60)/30)))*CE63/1000-DATOS!$C$91*SUMPRODUCT(DP63:DT63,DD63:DH63))),IF((1-4*DATOS!$C$91*BK63*1000/(DATOS!$C$86*IF(AE63="MALLA",0.5,IF(DATOS!$C$33&lt;=60,0.55,IF(DATOS!$C$33&gt;=90,0.75,0.55+0.2*(DATOS!$C$33-60)/30)))*MAX(CE63,1)))&lt;0,1E9,(1-SQRT((1-4*DATOS!$C$91*BK63*1000/(DATOS!$C$86*IF(AE63="MALLA",0.5,IF(DATOS!$C$33&lt;=60,0.55,IF(DATOS!$C$33&gt;=90,0.75,0.55+0.2*(DATOS!$C$33-60)/30)))*MAX(CE63,1)))))/(2*DATOS!$C$91)))&gt;0.1*DATOS!$C$33*DATOS!$C$24+0.000001,-1,MAX(IF(AE63="MALLA",2.5,3),IF(BM63&gt;=0,IF((DATOS!$C$86*IF(AE63="MALLA",0.5,IF(DATOS!$C$33&lt;=60,0.55,IF(DATOS!$C$33&gt;=90,0.75,0.55+0.2*(DATOS!$C$33-60)/30)))*CE63/1000-DATOS!$C$91*SUMPRODUCT(DP63:DT63,DD63:DH63))&lt;=0,1E9,(BK63-SUMPRODUCT(DP63:DT63,DD63:DH63))/(DATOS!$C$86*IF(AE63="MALLA",0.5,IF(DATOS!$C$33&lt;=60,0.55,IF(DATOS!$C$33&gt;=90,0.75,0.55+0.2*(DATOS!$C$33-60)/30)))*CE63/1000-DATOS!$C$91*SUMPRODUCT(DP63:DT63,DD63:DH63))),IF((1-4*DATOS!$C$91*BK63*1000/(DATOS!$C$86*IF(AE63="MALLA",0.5,IF(DATOS!$C$33&lt;=60,0.55,IF(DATOS!$C$33&gt;=90,0.75,0.55+0.2*(DATOS!$C$33-60)/30)))*MAX(CE63,1)))&lt;0,1E9,(1-SQRT((1-4*DATOS!$C$91*BK63*1000/(DATOS!$C$86*IF(AE63="MALLA",0.5,IF(DATOS!$C$33&lt;=60,0.55,IF(DATOS!$C$33&gt;=90,0.75,0.55+0.2*(DATOS!$C$33-60)/30)))*MAX(CE63,1)))))/(2*DATOS!$C$91))))))))</f>
        <v/>
      </c>
      <c r="EE63" s="45" t="str">
        <f>IF(BI63&lt;&gt;"SÍ","",IF(ED63=0,"NO REQUIERE: V_mR ≥ V_u",IF(ED63&lt;0,"NO ALCANZA con refuerzo horizontal (haría falta más de 0.1·f'm·f_an efectivo): sube v'm con ensayes, el espesor o la longitud del muro",IF(AND(OR(AE63="VARILLA EN JUNTAS",AE63="MALLA"),LEFT(EA63,6)="CUMPLE",EC63&lt;=1),"YA LO TIENE (pide p_h·f_yh ≥ "&amp;TEXT(ED63,"0.0")&amp;" kg/cm²)","p_h·f_yh ≥ "&amp;TEXT(ED63,"0.0")&amp;" kg/cm² → "&amp;IF(AND(MIN(6,FLOOR(45/DATOS!$C$26,1),FLOOR((2*INDEX(TABLAS!$D$6:$D$14,MATCH("3/16 in",TABLAS!$B$6:$B$14,0)))*MIN(DATOS!$C$50,6000)/(BT63*DATOS!$C$26*MAX(ED63,0.001)),1))&gt;=1,((2*INDEX(TABLAS!$D$6:$D$14,MATCH("3/16 in",TABLAS!$B$6:$B$14,0)))*MIN(DATOS!$C$50,6000)/(MAX(MIN(6,FLOOR(45/DATOS!$C$26,1),FLOOR((2*INDEX(TABLAS!$D$6:$D$14,MATCH("3/16 in",TABLAS!$B$6:$B$14,0)))*MIN(DATOS!$C$50,6000)/(BT63*DATOS!$C$26*MAX(ED63,0.001)),1)),1)*DATOS!$C$26*BT63))&lt;=MIN(MAX(0.15*DATOS!$C$33*DATOS!$C$24,3),0.05*DATOS!$C$25/10*MIN(DATOS!$C$50,6000)/(MIN(6,FLOOR(45/DATOS!$C$26,1),FLOOR((2*INDEX(TABLAS!$D$6:$D$14,MATCH("3/16 in",TABLAS!$B$6:$B$14,0)))*MIN(DATOS!$C$50,6000)/(BT63*DATOS!$C$26*MAX(ED63,0.001)),1))*DATOS!$C$26))),"2 alambres de 3/16"" por junta cada "&amp;MIN(6,FLOOR(45/DATOS!$C$26,1),FLOOR((2*INDEX(TABLAS!$D$6:$D$14,MATCH("3/16 in",TABLAS!$B$6:$B$14,0)))*MIN(DATOS!$C$50,6000)/(BT63*DATOS!$C$26*MAX(ED63,0.001)),1))&amp;" hilada(s) (p_h·f_yh = "&amp;TEXT(((2*INDEX(TABLAS!$D$6:$D$14,MATCH("3/16 in",TABLAS!$B$6:$B$14,0)))*MIN(DATOS!$C$50,6000)/(MAX(MIN(6,FLOOR(45/DATOS!$C$26,1),FLOOR((2*INDEX(TABLAS!$D$6:$D$14,MATCH("3/16 in",TABLAS!$B$6:$B$14,0)))*MIN(DATOS!$C$50,6000)/(BT63*DATOS!$C$26*MAX(ED63,0.001)),1)),1)*DATOS!$C$26*BT63)),"0.00")&amp;")",IF(AND(MIN(6,FLOOR(45/DATOS!$C$26,1),FLOOR((2*INDEX(TABLAS!$D$6:$D$14,MATCH("5/32 in",TABLAS!$B$6:$B$14,0)))*MIN(DATOS!$C$50,6000)/(BT63*DATOS!$C$26*MAX(ED63,0.001)),1))&gt;=1,((2*INDEX(TABLAS!$D$6:$D$14,MATCH("5/32 in",TABLAS!$B$6:$B$14,0)))*MIN(DATOS!$C$50,6000)/(MAX(MIN(6,FLOOR(45/DATOS!$C$26,1),FLOOR((2*INDEX(TABLAS!$D$6:$D$14,MATCH("5/32 in",TABLAS!$B$6:$B$14,0)))*MIN(DATOS!$C$50,6000)/(BT63*DATOS!$C$26*MAX(ED63,0.001)),1)),1)*DATOS!$C$26*BT63))&lt;=MIN(MAX(0.15*DATOS!$C$33*DATOS!$C$24,3),0.05*DATOS!$C$25/10*MIN(DATOS!$C$50,6000)/(MIN(6,FLOOR(45/DATOS!$C$26,1),FLOOR((2*INDEX(TABLAS!$D$6:$D$14,MATCH("5/32 in",TABLAS!$B$6:$B$14,0)))*MIN(DATOS!$C$50,6000)/(BT63*DATOS!$C$26*MAX(ED63,0.001)),1))*DATOS!$C$26))),"2 alambres de 5/32"" por junta cada "&amp;MIN(6,FLOOR(45/DATOS!$C$26,1),FLOOR((2*INDEX(TABLAS!$D$6:$D$14,MATCH("5/32 in",TABLAS!$B$6:$B$14,0)))*MIN(DATOS!$C$50,6000)/(BT63*DATOS!$C$26*MAX(ED63,0.001)),1))&amp;" hilada(s) (p_h·f_yh = "&amp;TEXT(((2*INDEX(TABLAS!$D$6:$D$14,MATCH("5/32 in",TABLAS!$B$6:$B$14,0)))*MIN(DATOS!$C$50,6000)/(MAX(MIN(6,FLOOR(45/DATOS!$C$26,1),FLOOR((2*INDEX(TABLAS!$D$6:$D$14,MATCH("5/32 in",TABLAS!$B$6:$B$14,0)))*MIN(DATOS!$C$50,6000)/(BT63*DATOS!$C$26*MAX(ED63,0.001)),1)),1)*DATOS!$C$26*BT63)),"0.00")&amp;")",IF(AND(MIN(6,FLOOR(45/DATOS!$C$26,1),FLOOR((1*INDEX(TABLAS!$D$6:$D$14,MATCH("3/16 in",TABLAS!$B$6:$B$14,0)))*MIN(DATOS!$C$50,6000)/(BT63*DATOS!$C$26*MAX(ED63,0.001)),1))&gt;=1,((1*INDEX(TABLAS!$D$6:$D$14,MATCH("3/16 in",TABLAS!$B$6:$B$14,0)))*MIN(DATOS!$C$50,6000)/(MAX(MIN(6,FLOOR(45/DATOS!$C$26,1),FLOOR((1*INDEX(TABLAS!$D$6:$D$14,MATCH("3/16 in",TABLAS!$B$6:$B$14,0)))*MIN(DATOS!$C$50,6000)/(BT63*DATOS!$C$26*MAX(ED63,0.001)),1)),1)*DATOS!$C$26*BT63))&lt;=MIN(MAX(0.15*DATOS!$C$33*DATOS!$C$24,3),0.05*DATOS!$C$25/10*MIN(DATOS!$C$50,6000)/(MIN(6,FLOOR(45/DATOS!$C$26,1),FLOOR((1*INDEX(TABLAS!$D$6:$D$14,MATCH("3/16 in",TABLAS!$B$6:$B$14,0)))*MIN(DATOS!$C$50,6000)/(BT63*DATOS!$C$26*MAX(ED63,0.001)),1))*DATOS!$C$26))),"1 alambre de 3/16"" por junta cada "&amp;MIN(6,FLOOR(45/DATOS!$C$26,1),FLOOR((1*INDEX(TABLAS!$D$6:$D$14,MATCH("3/16 in",TABLAS!$B$6:$B$14,0)))*MIN(DATOS!$C$50,6000)/(BT63*DATOS!$C$26*MAX(ED63,0.001)),1))&amp;" hilada(s) (p_h·f_yh = "&amp;TEXT(((1*INDEX(TABLAS!$D$6:$D$14,MATCH("3/16 in",TABLAS!$B$6:$B$14,0)))*MIN(DATOS!$C$50,6000)/(MAX(MIN(6,FLOOR(45/DATOS!$C$26,1),FLOOR((1*INDEX(TABLAS!$D$6:$D$14,MATCH("3/16 in",TABLAS!$B$6:$B$14,0)))*MIN(DATOS!$C$50,6000)/(BT63*DATOS!$C$26*MAX(ED63,0.001)),1)),1)*DATOS!$C$26*BT63)),"0.00")&amp;")",IF(AND(MIN(6,FLOOR(45/DATOS!$C$26,1),FLOOR((1*INDEX(TABLAS!$D$6:$D$14,MATCH("5/32 in",TABLAS!$B$6:$B$14,0)))*MIN(DATOS!$C$50,6000)/(BT63*DATOS!$C$26*MAX(ED63,0.001)),1))&gt;=1,((1*INDEX(TABLAS!$D$6:$D$14,MATCH("5/32 in",TABLAS!$B$6:$B$14,0)))*MIN(DATOS!$C$50,6000)/(MAX(MIN(6,FLOOR(45/DATOS!$C$26,1),FLOOR((1*INDEX(TABLAS!$D$6:$D$14,MATCH("5/32 in",TABLAS!$B$6:$B$14,0)))*MIN(DATOS!$C$50,6000)/(BT63*DATOS!$C$26*MAX(ED63,0.001)),1)),1)*DATOS!$C$26*BT63))&lt;=MIN(MAX(0.15*DATOS!$C$33*DATOS!$C$24,3),0.05*DATOS!$C$25/10*MIN(DATOS!$C$50,6000)/(MIN(6,FLOOR(45/DATOS!$C$26,1),FLOOR((1*INDEX(TABLAS!$D$6:$D$14,MATCH("5/32 in",TABLAS!$B$6:$B$14,0)))*MIN(DATOS!$C$50,6000)/(BT63*DATOS!$C$26*MAX(ED63,0.001)),1))*DATOS!$C$26))),"1 alambre de 5/32"" por junta cada "&amp;MIN(6,FLOOR(45/DATOS!$C$26,1),FLOOR((1*INDEX(TABLAS!$D$6:$D$14,MATCH("5/32 in",TABLAS!$B$6:$B$14,0)))*MIN(DATOS!$C$50,6000)/(BT63*DATOS!$C$26*MAX(ED63,0.001)),1))&amp;" hilada(s) (p_h·f_yh = "&amp;TEXT(((1*INDEX(TABLAS!$D$6:$D$14,MATCH("5/32 in",TABLAS!$B$6:$B$14,0)))*MIN(DATOS!$C$50,6000)/(MAX(MIN(6,FLOOR(45/DATOS!$C$26,1),FLOOR((1*INDEX(TABLAS!$D$6:$D$14,MATCH("5/32 in",TABLAS!$B$6:$B$14,0)))*MIN(DATOS!$C$50,6000)/(BT63*DATOS!$C$26*MAX(ED63,0.001)),1)),1)*DATOS!$C$26*BT63)),"0.00")&amp;")","ninguna combinación de 1 o 2 alambres por junta queda entre el mínimo y el máximo: revisa con malla (6.5.4)"))))))))</f>
        <v/>
      </c>
      <c r="EF63" s="43" t="str">
        <f>IF(BI63&lt;&gt;"SÍ","",IF(AI63="SÍ",N(AK63)*N(AL63)^3/12,0))</f>
        <v/>
      </c>
      <c r="EG63" s="48" t="str">
        <f>IF(BI63&lt;&gt;"SÍ","",IF(AND(AI63="SÍ",N(AM63)&gt;0),MIN(1,F63/AM63),0))</f>
        <v/>
      </c>
      <c r="EH63" s="47" t="str">
        <f>IF(BI63&lt;&gt;"SÍ","",IF(AI63="SÍ",BP63*1000/(BT63*F63*100)*BT63*(EG63^4-4*EG63^3+8*EG63),0))</f>
        <v/>
      </c>
      <c r="EI63" s="48" t="str">
        <f>IF(BI63&lt;&gt;"SÍ","",IF(AND(AI63="SÍ",EH63&gt;0),EH63/(EH63+5*N(AN63)*10),0))</f>
        <v/>
      </c>
      <c r="EJ63" s="44" t="str">
        <f>IF(BI63&lt;&gt;"SÍ","",IF(AND(AI63="SÍ",EI63&gt;0,EF63&gt;0),(DATOS!$C$43*BT63*(AM63*100)^3/(DATOS!$C$53*EF63*EI63))^0.25,0))</f>
        <v/>
      </c>
      <c r="EK63" s="44" t="str">
        <f>IF(BI63&lt;&gt;"SÍ","",IF(AI63&lt;&gt;"SÍ",0,IF(N(AM63)&lt;=F63,1,IF(MIN(1,N(AO63)/((AM63-F63)/2))&lt;=0.5,0.7+0.6*MIN(1,N(AO63)/((AM63-F63)/2)),1.5-MIN(1,N(AO63)/((AM63-F63)/2))))))</f>
        <v/>
      </c>
      <c r="EL63" s="44" t="str">
        <f>IF(BI63&lt;&gt;"SÍ","",IF(AI63&lt;&gt;"SÍ",0,MAX(1,IF(EG63&gt;=1,(1.6*EJ63-3.9),IF(EG63&lt;0.9,((3.2*EJ63-7.8)*EK63),((3.2*EJ63-7.8)*EK63)+((1.6*EJ63-3.9)-((3.2*EJ63-7.8)*EK63))*(EG63-0.9)/0.1)))))</f>
        <v/>
      </c>
      <c r="EM63" s="47" t="str">
        <f>IF(BI63&lt;&gt;"SÍ","",IF(AI63="SÍ",EL63*BP63*1000/(BT63*F63*100),0))</f>
        <v/>
      </c>
      <c r="EN63" s="47" t="str">
        <f>IF(BI63&lt;&gt;"SÍ","",IF(AND(AI63="SÍ",N(AL63)&gt;0),AM63*100/AL63,0))</f>
        <v/>
      </c>
      <c r="EO63" s="47" t="str">
        <f>IF(BI63&lt;&gt;"SÍ","",IF(AI63="SÍ",(1/15*DATOS!$C$53*N(AK63)/MAX((IF(ISNUMBER(AP63),AP63,BP63/DATOS!$C$90)*1000/(BT63*F63*100)*BT63*(EG63^4-4*EG63^3+8*EG63))+5*N(AN63)/DATOS!$C$90*10,0.001))^(1/3),0))</f>
        <v/>
      </c>
      <c r="EP63" s="45" t="str">
        <f>IF(BI63&lt;&gt;"SÍ","",IF(AI63&lt;&gt;"SÍ","—",IF(OR(N(AK63)&lt;=0,N(AL63)&lt;=0,N(AM63)&lt;=0),"REVISAR: faltan b, h o L_v de la viga",IF(AND(EM63&lt;=DATOS!$C$87*DATOS!$C$33,EN63&lt;=14,N(AL63)&gt;=25,EN63&lt;=EO63),IF(BS63/F63&lt;0.6,"PENDIENTE: H/L &lt; 0.6, falta el análisis de interacción muro–viga (4.1.18.2.1); f_CM es estimado","CUMPLE"),"NO CUMPLE: "&amp;IF(EM63&gt;DATOS!$C$87*DATOS!$C$33,"f_CM &gt; F_R·f'm ","")&amp;IF(EN63&gt;14,"L_v/h_v &gt; 14 ","")&amp;IF(N(AL63)&lt;25,"h_v &lt; 25 cm ","")&amp;IF(EN63&gt;EO63,"flecha (4.1.18.3)","")))))</f>
        <v/>
      </c>
      <c r="EQ63" s="44" t="str">
        <f>IF(BI63&lt;&gt;"SÍ","",MAX(0,F63*BS63-(N(K63)*N(M63)+N(P63)*N(R63)+N(U63)*N(W63)+N(Z63)*N(AB63))-CK63*DATOS!$C$59/100*BS63))</f>
        <v/>
      </c>
      <c r="ER63" s="48" t="str">
        <f>IF(BI63&lt;&gt;"SÍ","",CK63*DATOS!$C$59*DATOS!$C$60/10000*BS63)</f>
        <v/>
      </c>
      <c r="ES63" s="47" t="str">
        <f>IF(BI63&lt;&gt;"SÍ","",CK63*(DATOS!$C$61*(BS63+0.6)*INDEX(TABLAS!$E$6:$E$14,MATCH(DATOS!$C$62,TABLAS!$B$6:$B$14,0))+(2*ROUNDUP(CN63/DATOS!$C$65,0)+ROUNDUP(MAX(0,BS63*100-2*CN63)/DATOS!$C$64,0))*((2*(DATOS!$C$60+DATOS!$C$59-4*(DATOS!$C$66-INDEX(TABLAS!$C$6:$C$14,MATCH(DATOS!$C$63,TABLAS!$B$6:$B$14,0))))+15)/100)*INDEX(TABLAS!$E$6:$E$14,MATCH(DATOS!$C$63,TABLAS!$B$6:$B$14,0))))</f>
        <v/>
      </c>
      <c r="ET63" s="47" t="str">
        <f>IF(BI63&lt;&gt;"SÍ","",IF(OR(AE63="VARILLA EN JUNTAS",AE63="ESCALERILLA"),INT(BS63*100/MAX(DK63,1))*IF(ISNUMBER(AF63),AF63,2)*CB63*INDEX(TABLAS!$E$6:$E$14,MATCH(IF(AG63&lt;&gt;"",AG63,DATOS!$C$73),TABLAS!$B$6:$B$14,0)),IF(AE63="MALLA",IF(ISNUMBER(AF63),AF63,1)*CB63*BS63*INDEX(TABLAS!$E$19:$E$22,MATCH(IF(AG63&lt;&gt;"",AG63,DATOS!$C$74),TABLAS!$B$19:$B$22,0)),0)))</f>
        <v/>
      </c>
      <c r="EU63" s="45" t="str">
        <f>IF(BI63&lt;&gt;"SÍ","",""&amp;IF(BJ63="NO ESTÁ EN PIER_FORCES","sin fuerzas en PIER_FORCES; ","")&amp;IF(BV63&lt;&gt;"CUMPLE","vanos; ","")&amp;IF(LEFT(CH63,2)="NO","espesor o esbeltez; ","")&amp;IF(CQ63&gt;1,"compresión; ","")&amp;IF(CX63&gt;1,"flexión; ","")&amp;IF(CB63&lt;=0,"sin tramos de muro (todos son machones menores que L mín.: diséñalos como columnas o baja L mín.); ",IF(EC63&gt;1,"cortante; ",""))&amp;IF(OR(LEFT(EA63,2)="NO",LEFT(EA63,5)="FALTA"),"refuerzo horizontal; ","")&amp;IF(OR(LEFT(EP63,2)="NO",LEFT(EP63,7)="REVISAR"),"muro sobre viga; ","")&amp;IF(LEFT(DATOS!$C$81,2)="NO","castillo típico; ","")&amp;IF(LEFT(DATOS!$C$82,2)="NO","dala típica; ","")&amp;IF(AND(BT63&lt;&gt;DATOS!$C$58,DATOS!$C$60&lt;BT63),"castillo más angosto que el muro; ",""))</f>
        <v/>
      </c>
      <c r="EV63" s="45" t="str">
        <f>IF(BI63&lt;&gt;"SÍ","",""&amp;IF(LEFT(EP63,9)="PENDIENTE","análisis muro–viga (H/L &lt; 0.6); ","")&amp;IF(BR63&gt;50,"V_u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3" s="51" t="str">
        <f>IF(BI63&lt;&gt;"SÍ","",IF(EU63&lt;&gt;"","NO CUMPLE: "&amp;LEFT(EU63,LEN(EU63)-2),IF(EV63&lt;&gt;"","CUMPLE — PENDIENTE: "&amp;LEFT(EV63,LEN(EV63)-2),"CUMPLE")))</f>
        <v/>
      </c>
      <c r="EX63" s="52" t="n"/>
    </row>
    <row r="64" ht="30" customHeight="1">
      <c r="A64" s="38" t="str">
        <f>IF(B64="","",ROW()-10)</f>
        <v/>
      </c>
      <c r="B64" s="28" t="n"/>
      <c r="C64" s="39" t="n"/>
      <c r="D64" s="39" t="n"/>
      <c r="E64" s="39" t="n"/>
      <c r="F64" s="40" t="n"/>
      <c r="G64" s="40" t="n"/>
      <c r="H64" s="41" t="n"/>
      <c r="I64" s="39" t="n"/>
      <c r="J64" s="40" t="n"/>
      <c r="K64" s="40" t="n"/>
      <c r="L64" s="40" t="n"/>
      <c r="M64" s="40" t="n"/>
      <c r="N64" s="39" t="n"/>
      <c r="O64" s="40" t="n"/>
      <c r="P64" s="40" t="n"/>
      <c r="Q64" s="40" t="n"/>
      <c r="R64" s="40" t="n"/>
      <c r="S64" s="39" t="n"/>
      <c r="T64" s="40" t="n"/>
      <c r="U64" s="40" t="n"/>
      <c r="V64" s="40" t="n"/>
      <c r="W64" s="40" t="n"/>
      <c r="X64" s="39" t="n"/>
      <c r="Y64" s="40" t="n"/>
      <c r="Z64" s="40" t="n"/>
      <c r="AA64" s="40" t="n"/>
      <c r="AB64" s="40" t="n"/>
      <c r="AC64" s="41" t="n"/>
      <c r="AD64" s="41" t="n"/>
      <c r="AE64" s="39" t="n"/>
      <c r="AF64" s="41" t="n"/>
      <c r="AG64" s="41" t="n"/>
      <c r="AH64" s="41" t="n"/>
      <c r="AI64" s="39" t="n"/>
      <c r="AJ64" s="39" t="n"/>
      <c r="AK64" s="41" t="n"/>
      <c r="AL64" s="41" t="n"/>
      <c r="AM64" s="40" t="n"/>
      <c r="AN64" s="40" t="n"/>
      <c r="AO64" s="40" t="n"/>
      <c r="AP64" s="40" t="n"/>
      <c r="AQ64" s="40" t="n"/>
      <c r="AR64" s="40" t="n"/>
      <c r="AS64" s="40" t="n"/>
      <c r="AT64" s="40" t="n"/>
      <c r="AU64" s="40" t="n"/>
      <c r="AV64" s="40" t="n"/>
      <c r="AW64" s="40" t="n"/>
      <c r="AX64" s="42" t="str">
        <f>IF(B64="","",C64&amp;"|"&amp;B64)</f>
        <v/>
      </c>
      <c r="AY64" s="43" t="str">
        <f>IF(B64="","",COUNTIFS(PIER_FORCES!$O$9:$O$3008,54,PIER_FORCES!$P$9:$P$3008,1))</f>
        <v/>
      </c>
      <c r="AZ64" s="43" t="str">
        <f>IF(B64="","",COUNTIFS(PIER_FORCES!$O$9:$O$3008,54,PIER_FORCES!$P$9:$P$3008,2))</f>
        <v/>
      </c>
      <c r="BA64" s="44">
        <f>IF(N(AY64)=0,0,SUMPRODUCT(MAX((PIER_FORCES!$O$9:$O$3008=54)*(PIER_FORCES!$P$9:$P$3008=1)*PIER_FORCES!$R$9:$R$3008)))</f>
        <v>0</v>
      </c>
      <c r="BB64" s="44">
        <f>IF(N(AY64)=0,0,SUMPRODUCT(MAX((PIER_FORCES!$O$9:$O$3008=54)*(PIER_FORCES!$P$9:$P$3008=1)*PIER_FORCES!$S$9:$S$3008)))</f>
        <v>0</v>
      </c>
      <c r="BC64" s="44">
        <f>IF(N(AY64)=0,0,-SUMPRODUCT(MAX((PIER_FORCES!$O$9:$O$3008=54)*(PIER_FORCES!$P$9:$P$3008=1)*(-PIER_FORCES!$Q$9:$Q$3008)+(1-(PIER_FORCES!$O$9:$O$3008=54)*(PIER_FORCES!$P$9:$P$3008=1))*(-1E9))))</f>
        <v>0</v>
      </c>
      <c r="BD64" s="44">
        <f>IF(N(AY64)=0,0,SUMPRODUCT(MAX((PIER_FORCES!$O$9:$O$3008=54)*(PIER_FORCES!$P$9:$P$3008=1)*PIER_FORCES!$Q$9:$Q$3008+(1-(PIER_FORCES!$O$9:$O$3008=54)*(PIER_FORCES!$P$9:$P$3008=1))*(-1E9))))</f>
        <v>0</v>
      </c>
      <c r="BE64" s="44">
        <f>IF(N(AZ64)=0,BD64,SUMPRODUCT(MAX((PIER_FORCES!$O$9:$O$3008=54)*(PIER_FORCES!$P$9:$P$3008=2)*PIER_FORCES!$Q$9:$Q$3008+(1-(PIER_FORCES!$O$9:$O$3008=54)*(PIER_FORCES!$P$9:$P$3008=2))*(-1E9))))</f>
        <v>0</v>
      </c>
      <c r="BF64" s="44">
        <f>IF(N(AZ64)=0,0,SUMPRODUCT(MAX((PIER_FORCES!$O$9:$O$3008=54)*(PIER_FORCES!$P$9:$P$3008=2)*PIER_FORCES!$R$9:$R$3008)))</f>
        <v>0</v>
      </c>
      <c r="BG64" s="43">
        <f>IF(N(AY64)=0,0,SUMPRODUCT(MAX((PIER_FORCES!$O$9:$O$3008=54)*(PIER_FORCES!$P$9:$P$3008=1)*(ABS(PIER_FORCES!$R$9:$R$3008-BA64)&lt;0.000001)*PIER_FORCES!$T$9:$T$3008)))</f>
        <v>0</v>
      </c>
      <c r="BH64" s="45" t="str">
        <f>IF(N(BG64)=0,"",INDEX(PIER_FORCES!$D$9:$D$3008,BG64)&amp;" "&amp;INDEX(PIER_FORCES!$F$9:$F$3008,BG64)&amp;" / "&amp;INDEX(PIER_FORCES!$G$9:$G$3008,BG64))</f>
        <v/>
      </c>
      <c r="BI64" s="42" t="str">
        <f>IF(B64="","",IF(AND(C64&lt;&gt;"",OR(D64="X",D64="Y"),ISNUMBER(F64),N(F64)&gt;0),"SÍ","NO"))</f>
        <v/>
      </c>
      <c r="BJ64" s="42" t="str">
        <f>IF(BI64&lt;&gt;"SÍ","",IF(DATOS!$C$108="ETABS (PIER_FORCES)",IF(N(AY64)&gt;0,"ETABS","NO ESTÁ EN PIER_FORCES"),"CAPTURA"))</f>
        <v/>
      </c>
      <c r="BK64" s="46" t="str">
        <f>IF(BI64&lt;&gt;"SÍ","",IF(BJ64="ETABS",BA64,IF(BJ64="CAPTURA",N(AQ64),0)))</f>
        <v/>
      </c>
      <c r="BL64" s="46" t="str">
        <f>IF(BI64&lt;&gt;"SÍ","",IF(BJ64="ETABS",BB64,IF(BJ64="CAPTURA",N(AR64),0)))</f>
        <v/>
      </c>
      <c r="BM64" s="46" t="str">
        <f>IF(BI64&lt;&gt;"SÍ","",IF(BJ64="ETABS",BC64/DATOS!$C$89,IF(BJ64="CAPTURA",N(AS64),0)))</f>
        <v/>
      </c>
      <c r="BN64" s="44" t="str">
        <f>IF(BI64&lt;&gt;"SÍ","",IF(BJ64="ETABS",BC64,IF(BJ64="CAPTURA",IF(ISNUMBER(AU64),AU64,N(AS64)*DATOS!$C$89),0)))</f>
        <v/>
      </c>
      <c r="BO64" s="44" t="str">
        <f>IF(BI64&lt;&gt;"SÍ","",IF(BJ64="ETABS",MAX(BD64,BE64),IF(BJ64="CAPTURA",N(AT64),0)))</f>
        <v/>
      </c>
      <c r="BP64" s="44" t="str">
        <f>IF(BI64&lt;&gt;"SÍ","",IF(BJ64="ETABS",BE64,IF(BJ64="CAPTURA",IF(ISNUMBER(AV64),AV64,N(AT64)),0)))</f>
        <v/>
      </c>
      <c r="BQ64" s="44" t="str">
        <f>IF(BI64&lt;&gt;"SÍ","",IF(BJ64="ETABS",BF64,IF(BJ64="CAPTURA",N(AW64),0)))</f>
        <v/>
      </c>
      <c r="BR64" s="43" t="str">
        <f>IF(BI64&lt;&gt;"SÍ","",IF(BK64&gt;0,100*BQ64/BK64,0))</f>
        <v/>
      </c>
      <c r="BS64" s="44" t="str">
        <f>IF(BI64&lt;&gt;"SÍ","",IF(ISNUMBER(G64),G64,DATOS!$C$57))</f>
        <v/>
      </c>
      <c r="BT64" s="47" t="str">
        <f>IF(BI64&lt;&gt;"SÍ","",IF(ISNUMBER(H64),H64,DATOS!$C$58))</f>
        <v/>
      </c>
      <c r="BU64" s="43" t="str">
        <f>IF(BI64&lt;&gt;"SÍ","",IF(N(K64)&gt;0,1+IF(N(P64)&gt;0,1+IF(N(U64)&gt;0,1+IF(N(Z64)&gt;0,1,0),0),0),0))</f>
        <v/>
      </c>
      <c r="BV64" s="45" t="str">
        <f>IF(BI64&lt;&gt;"SÍ","",IF(AND(OR(BU64&lt;1,AND(N(J64)&gt;=0-0.001,J64+K64&lt;=F64+0.001,N(L64)&gt;=0,N(L64)+N(M64)&lt;=BS64+0.001,N(M64)&gt;0,OR(I64="PUERTA",I64="VENTANA"))),OR(BU64&lt;2,AND(N(O64)&gt;=(J64+K64)-0.001,O64+P64&lt;=F64+0.001,N(Q64)&gt;=0,N(Q64)+N(R64)&lt;=BS64+0.001,N(R64)&gt;0,OR(N64="PUERTA",N64="VENTANA"))),OR(BU64&lt;3,AND(N(T64)&gt;=(O64+P64)-0.001,T64+U64&lt;=F64+0.001,N(V64)&gt;=0,N(V64)+N(W64)&lt;=BS64+0.001,N(W64)&gt;0,OR(S64="PUERTA",S64="VENTANA"))),OR(BU64&lt;4,AND(N(Y64)&gt;=(T64+U64)-0.001,Y64+Z64&lt;=F64+0.001,N(AA64)&gt;=0,N(AA64)+N(AB64)&lt;=BS64+0.001,N(AB64)&gt;0,OR(X64="PUERTA",X64="VENTANA"))),(N(K64)&gt;0)+(N(P64)&gt;0)+(N(U64)&gt;0)+(N(Z64)&gt;0)=BU64),"CUMPLE","REVISAR VANOS: tipo, orden de izquierda a derecha, que quepan en L y en H"))</f>
        <v/>
      </c>
      <c r="BW64" s="44" t="str">
        <f>IF(BI64&lt;&gt;"SÍ","",MAX(0,IF(BU64&gt;=1,N(J64),F64)))</f>
        <v/>
      </c>
      <c r="BX64" s="44" t="str">
        <f>IF(BI64&lt;&gt;"SÍ","",MAX(0,IF(BU64&gt;=2,N(O64)-(N(J64)+N(K64)),IF(BU64=1,F64-(N(J64)+N(K64)),0))))</f>
        <v/>
      </c>
      <c r="BY64" s="44" t="str">
        <f>IF(BI64&lt;&gt;"SÍ","",MAX(0,IF(BU64&gt;=3,N(T64)-(N(O64)+N(P64)),IF(BU64=2,F64-(N(O64)+N(P64)),0))))</f>
        <v/>
      </c>
      <c r="BZ64" s="44" t="str">
        <f>IF(BI64&lt;&gt;"SÍ","",MAX(0,IF(BU64&gt;=4,N(Y64)-(N(T64)+N(U64)),IF(BU64=3,F64-(N(T64)+N(U64)),0))))</f>
        <v/>
      </c>
      <c r="CA64" s="44" t="str">
        <f>IF(BI64&lt;&gt;"SÍ","",MAX(0,IF(BU64=4,F64-(N(Y64)+N(Z64)),0)))</f>
        <v/>
      </c>
      <c r="CB64" s="46" t="str">
        <f>IF(BI64&lt;&gt;"SÍ","",SUMPRODUCT((BW64:CA64&gt;=DATOS!$C$72-0.0001)*BW64:CA64))</f>
        <v/>
      </c>
      <c r="CC64" s="43" t="str">
        <f>IF(BI64&lt;&gt;"SÍ","",SUMPRODUCT(--(BW64:CA64&gt;=DATOS!$C$72-0.0001)))</f>
        <v/>
      </c>
      <c r="CD64" s="44" t="str">
        <f>IF(BI64&lt;&gt;"SÍ","",SUM(BW64:CA64))</f>
        <v/>
      </c>
      <c r="CE64" s="43" t="str">
        <f>IF(BI64&lt;&gt;"SÍ","",BT64*CB64*100)</f>
        <v/>
      </c>
      <c r="CF64" s="43" t="str">
        <f>IF(BI64&lt;&gt;"SÍ","",BT64*CD64*100)</f>
        <v/>
      </c>
      <c r="CG64" s="47" t="str">
        <f>IF(BI64&lt;&gt;"SÍ","",BS64*100/BT64)</f>
        <v/>
      </c>
      <c r="CH64" s="45" t="str">
        <f>IF(BI64&lt;&gt;"SÍ","",IF(AND(OR(DATOS!$C$14="TIPO II",BT64&gt;=12),CG64&lt;=25),"CUMPLE","NO CUMPLE: "&amp;IF(AND(DATOS!$C$14="TIPO I",BT64&lt;12),"t &lt; 12 cm ","")&amp;IF(CG64&gt;25,"H/t &gt; 25","")))</f>
        <v/>
      </c>
      <c r="CI64" s="44" t="str">
        <f>IF(BI64&lt;&gt;"SÍ","",MIN(1.5*BS64,4))</f>
        <v/>
      </c>
      <c r="CJ64" s="43" t="str">
        <f>IF(BI64&lt;&gt;"SÍ","",SUMPRODUCT((BW64:CA64&gt;=2*DATOS!$C$59/100)*INT((BW64:CA64-DATOS!$C$59/100)/CI64-0.000001)*((BW64:CA64-DATOS!$C$59/100)&gt;0)))</f>
        <v/>
      </c>
      <c r="CK64" s="43" t="str">
        <f>IF(BI64&lt;&gt;"SÍ","",SUMPRODUCT((BW64:CA64&gt;0.0001)*1+(BW64:CA64&gt;=2*DATOS!$C$59/100)*1)+CJ64)</f>
        <v/>
      </c>
      <c r="CL64" s="44" t="str">
        <f>IF(BI64&lt;&gt;"SÍ","",IF(ISNUMBER(AC64),AC64,DATOS!$C$61)*INDEX(TABLAS!$D$6:$D$14,MATCH(IF(AD64&lt;&gt;"",AD64,DATOS!$C$62),TABLAS!$B$6:$B$14,0)))</f>
        <v/>
      </c>
      <c r="CM64" s="44" t="str">
        <f>IF(BI64&lt;&gt;"SÍ","",CK64*DATOS!$C$78+IF(CK64&gt;=2,2,CK64)*(CL64-DATOS!$C$78))</f>
        <v/>
      </c>
      <c r="CN64" s="47" t="str">
        <f>IF(BI64&lt;&gt;"SÍ","",MAX(BS64*100/6,40))</f>
        <v/>
      </c>
      <c r="CO64" s="48" t="str">
        <f>IF(BI64&lt;&gt;"SÍ","",IF(CG64&lt;=20,IF(E64="INTERIOR",0.7,0.6),MIN(IF(E64="INTERIOR",0.7,0.6),(1-2/24)*(1-(IF(E64="INTERIOR",0.8,1)*CG64/30)^2))))</f>
        <v/>
      </c>
      <c r="CP64" s="47" t="str">
        <f>IF(BI64&lt;&gt;"SÍ","",DATOS!$C$87*CO64*(DATOS!$C$33*CF64+CM64*DATOS!$C$48)/1000)</f>
        <v/>
      </c>
      <c r="CQ64" s="46" t="str">
        <f>IF(BI64&lt;&gt;"SÍ","",IF(CP64&gt;0,BO64/CP64,99))</f>
        <v/>
      </c>
      <c r="CR64" s="47" t="str">
        <f>IF(BI64&lt;&gt;"SÍ","",MAX(0,F64*100-DATOS!$C$59))</f>
        <v/>
      </c>
      <c r="CS64" s="47" t="str">
        <f>IF(BI64&lt;&gt;"SÍ","",MAX(0,F64*100-DATOS!$C$59/2))</f>
        <v/>
      </c>
      <c r="CT64" s="44" t="str">
        <f>IF(BI64&lt;&gt;"SÍ","",CL64*DATOS!$C$48*CR64/100000)</f>
        <v/>
      </c>
      <c r="CU64" s="44" t="str">
        <f>IF(BI64&lt;&gt;"SÍ","",IF(BN64&lt;0,0.8*CT64*MAX(0,1+BN64/(0.8*CM64*DATOS!$C$48/1000)),IF(BN64&lt;=CP64/3,0.8*CT64+0.3*BN64*CS64/100,(1.5*0.6*CT64+0.15*CP64*CS64/100)*MAX(0,1-BN64/CP64))))</f>
        <v/>
      </c>
      <c r="CV64" s="44" t="str">
        <f>IF(BI64&lt;&gt;"SÍ","",IF(BO64&lt;0,0.8*CT64*MAX(0,1+BO64/(0.8*CM64*DATOS!$C$48/1000)),IF(BO64&lt;=CP64/3,0.8*CT64+0.3*BO64*CS64/100,(1.5*0.6*CT64+0.15*CP64*CS64/100)*MAX(0,1-BO64/CP64))))</f>
        <v/>
      </c>
      <c r="CW64" s="46" t="str">
        <f>IF(BI64&lt;&gt;"SÍ","",MAX(0,MIN(CU64,CV64)))</f>
        <v/>
      </c>
      <c r="CX64" s="49" t="str">
        <f>IF(BI64&lt;&gt;"SÍ","",IF(CW64&gt;0,BL64/CW64,IF(BL64&gt;0,99,0)))</f>
        <v/>
      </c>
      <c r="CY64" s="44" t="str">
        <f>IF(BI64&lt;&gt;"SÍ","",IF(BW64&gt;0,MAX(1,MIN(1.5,1.5-0.625*(BS64/BW64-0.2))),0))</f>
        <v/>
      </c>
      <c r="CZ64" s="44" t="str">
        <f>IF(BI64&lt;&gt;"SÍ","",IF(BX64&gt;0,MAX(1,MIN(1.5,1.5-0.625*(BS64/BX64-0.2))),0))</f>
        <v/>
      </c>
      <c r="DA64" s="44" t="str">
        <f>IF(BI64&lt;&gt;"SÍ","",IF(BY64&gt;0,MAX(1,MIN(1.5,1.5-0.625*(BS64/BY64-0.2))),0))</f>
        <v/>
      </c>
      <c r="DB64" s="44" t="str">
        <f>IF(BI64&lt;&gt;"SÍ","",IF(BZ64&gt;0,MAX(1,MIN(1.5,1.5-0.625*(BS64/BZ64-0.2))),0))</f>
        <v/>
      </c>
      <c r="DC64" s="44" t="str">
        <f>IF(BI64&lt;&gt;"SÍ","",IF(CA64&gt;0,MAX(1,MIN(1.5,1.5-0.625*(BS64/CA64-0.2))),0))</f>
        <v/>
      </c>
      <c r="DD64" s="44" t="str">
        <f>IF(BI64&lt;&gt;"SÍ","",IF(OR(BW64&lt;DATOS!$C$72-0.0001,BM64&lt;0,CB64&lt;=0),0,MIN(DATOS!$C$86*(0.5*DATOS!$C$41*BT64*BW64*100+0.3*BM64*BW64/CB64*1000)*CY64,1.5*DATOS!$C$86*DATOS!$C$41*BT64*BW64*100*CY64)/1000))</f>
        <v/>
      </c>
      <c r="DE64" s="44" t="str">
        <f>IF(BI64&lt;&gt;"SÍ","",IF(OR(BX64&lt;DATOS!$C$72-0.0001,BM64&lt;0,CB64&lt;=0),0,MIN(DATOS!$C$86*(0.5*DATOS!$C$41*BT64*BX64*100+0.3*BM64*BX64/CB64*1000)*CZ64,1.5*DATOS!$C$86*DATOS!$C$41*BT64*BX64*100*CZ64)/1000))</f>
        <v/>
      </c>
      <c r="DF64" s="44" t="str">
        <f>IF(BI64&lt;&gt;"SÍ","",IF(OR(BY64&lt;DATOS!$C$72-0.0001,BM64&lt;0,CB64&lt;=0),0,MIN(DATOS!$C$86*(0.5*DATOS!$C$41*BT64*BY64*100+0.3*BM64*BY64/CB64*1000)*DA64,1.5*DATOS!$C$86*DATOS!$C$41*BT64*BY64*100*DA64)/1000))</f>
        <v/>
      </c>
      <c r="DG64" s="44" t="str">
        <f>IF(BI64&lt;&gt;"SÍ","",IF(OR(BZ64&lt;DATOS!$C$72-0.0001,BM64&lt;0,CB64&lt;=0),0,MIN(DATOS!$C$86*(0.5*DATOS!$C$41*BT64*BZ64*100+0.3*BM64*BZ64/CB64*1000)*DB64,1.5*DATOS!$C$86*DATOS!$C$41*BT64*BZ64*100*DB64)/1000))</f>
        <v/>
      </c>
      <c r="DH64" s="44" t="str">
        <f>IF(BI64&lt;&gt;"SÍ","",IF(OR(CA64&lt;DATOS!$C$72-0.0001,BM64&lt;0,CB64&lt;=0),0,MIN(DATOS!$C$86*(0.5*DATOS!$C$41*BT64*CA64*100+0.3*BM64*CA64/CB64*1000)*DC64,1.5*DATOS!$C$86*DATOS!$C$41*BT64*CA64*100*DC64)/1000))</f>
        <v/>
      </c>
      <c r="DI64" s="46" t="str">
        <f>IF(BI64&lt;&gt;"SÍ","",SUM(DD64:DH64))</f>
        <v/>
      </c>
      <c r="DJ64" s="48" t="str">
        <f>IF(BI64&lt;&gt;"SÍ","",IF(AE64="VARILLA EN JUNTAS",IF(ISNUMBER(AF64),AF64,2)*INDEX(TABLAS!$D$6:$D$14,MATCH(IF(AG64&lt;&gt;"",AG64,DATOS!$C$73),TABLAS!$B$6:$B$14,0)),IF(AE64="MALLA",IF(ISNUMBER(AF64),AF64,1)*INDEX(TABLAS!$D$19:$D$22,MATCH(IF(AG64&lt;&gt;"",AG64,DATOS!$C$74),TABLAS!$B$19:$B$22,0))/100,IF(AE64="ESCALERILLA",IF(ISNUMBER(AF64),AF64,2)*INDEX(TABLAS!$D$6:$D$14,MATCH(IF(AG64&lt;&gt;"",AG64,DATOS!$C$73),TABLAS!$B$6:$B$14,0)),0))))</f>
        <v/>
      </c>
      <c r="DK64" s="47" t="str">
        <f>IF(BI64&lt;&gt;"SÍ","",IF(OR(AE64="VARILLA EN JUNTAS",AE64="ESCALERILLA"),IF(ISNUMBER(AH64),AH64,2)*DATOS!$C$26,IF(AE64="MALLA",1,0)))</f>
        <v/>
      </c>
      <c r="DL64" s="44" t="str">
        <f>IF(BI64&lt;&gt;"SÍ","",IF(DK64&gt;0,DJ64/(DK64*BT64)*MIN(DATOS!$C$50,IF(AE64="MALLA",5000,6000)),0))</f>
        <v/>
      </c>
      <c r="DM64" s="44" t="str">
        <f>IF(BI64&lt;&gt;"SÍ","",IF(AE64="ESCALERILLA",0,MIN(DL64,0.1*DATOS!$C$33*DATOS!$C$24)))</f>
        <v/>
      </c>
      <c r="DN64" s="48" t="str">
        <f>IF(BI64&lt;&gt;"SÍ","",IF(AE64="MALLA",0.5,IF(DATOS!$C$33&lt;=60,0.55,IF(DATOS!$C$33&gt;=90,0.75,0.55+0.2*(DATOS!$C$33-60)/30))))</f>
        <v/>
      </c>
      <c r="DO64" s="48" t="str">
        <f>IF(BI64&lt;&gt;"SÍ","",1-DATOS!$C$91*DM64)</f>
        <v/>
      </c>
      <c r="DP64" s="44" t="str">
        <f>IF(BI64&lt;&gt;"SÍ","",IF(BW64&gt;0,IF(BS64/BW64&lt;=1,1.3,IF(BS64/BW64&gt;=1.5,1,1.3-0.6*(BS64/BW64-1))),0))</f>
        <v/>
      </c>
      <c r="DQ64" s="44" t="str">
        <f>IF(BI64&lt;&gt;"SÍ","",IF(BX64&gt;0,IF(BS64/BX64&lt;=1,1.3,IF(BS64/BX64&gt;=1.5,1,1.3-0.6*(BS64/BX64-1))),0))</f>
        <v/>
      </c>
      <c r="DR64" s="44" t="str">
        <f>IF(BI64&lt;&gt;"SÍ","",IF(BY64&gt;0,IF(BS64/BY64&lt;=1,1.3,IF(BS64/BY64&gt;=1.5,1,1.3-0.6*(BS64/BY64-1))),0))</f>
        <v/>
      </c>
      <c r="DS64" s="44" t="str">
        <f>IF(BI64&lt;&gt;"SÍ","",IF(BZ64&gt;0,IF(BS64/BZ64&lt;=1,1.3,IF(BS64/BZ64&gt;=1.5,1,1.3-0.6*(BS64/BZ64-1))),0))</f>
        <v/>
      </c>
      <c r="DT64" s="44" t="str">
        <f>IF(BI64&lt;&gt;"SÍ","",IF(CA64&gt;0,IF(BS64/CA64&lt;=1,1.3,IF(BS64/CA64&gt;=1.5,1,1.3-0.6*(BS64/CA64-1))),0))</f>
        <v/>
      </c>
      <c r="DU64" s="44" t="str">
        <f>IF(BI64&lt;&gt;"SÍ","",IF(OR(DM64&lt;=0,BW64&lt;DATOS!$C$72-0.0001),0,DATOS!$C$86*MAX(0,IF(BM64&gt;=0,DD64/(DATOS!$C$86*DM64*BT64*BW64*100/1000)*(DP64*DO64-1)+DN64,DO64*DN64))*DM64*BT64*BW64*100/1000))</f>
        <v/>
      </c>
      <c r="DV64" s="44" t="str">
        <f>IF(BI64&lt;&gt;"SÍ","",IF(OR(DM64&lt;=0,BX64&lt;DATOS!$C$72-0.0001),0,DATOS!$C$86*MAX(0,IF(BM64&gt;=0,DE64/(DATOS!$C$86*DM64*BT64*BX64*100/1000)*(DQ64*DO64-1)+DN64,DO64*DN64))*DM64*BT64*BX64*100/1000))</f>
        <v/>
      </c>
      <c r="DW64" s="44" t="str">
        <f>IF(BI64&lt;&gt;"SÍ","",IF(OR(DM64&lt;=0,BY64&lt;DATOS!$C$72-0.0001),0,DATOS!$C$86*MAX(0,IF(BM64&gt;=0,DF64/(DATOS!$C$86*DM64*BT64*BY64*100/1000)*(DR64*DO64-1)+DN64,DO64*DN64))*DM64*BT64*BY64*100/1000))</f>
        <v/>
      </c>
      <c r="DX64" s="44" t="str">
        <f>IF(BI64&lt;&gt;"SÍ","",IF(OR(DM64&lt;=0,BZ64&lt;DATOS!$C$72-0.0001),0,DATOS!$C$86*MAX(0,IF(BM64&gt;=0,DG64/(DATOS!$C$86*DM64*BT64*BZ64*100/1000)*(DS64*DO64-1)+DN64,DO64*DN64))*DM64*BT64*BZ64*100/1000))</f>
        <v/>
      </c>
      <c r="DY64" s="44" t="str">
        <f>IF(BI64&lt;&gt;"SÍ","",IF(OR(DM64&lt;=0,CA64&lt;DATOS!$C$72-0.0001),0,DATOS!$C$86*MAX(0,IF(BM64&gt;=0,DH64/(DATOS!$C$86*DM64*BT64*CA64*100/1000)*(DT64*DO64-1)+DN64,DO64*DN64))*DM64*BT64*CA64*100/1000))</f>
        <v/>
      </c>
      <c r="DZ64" s="46" t="str">
        <f>IF(BI64&lt;&gt;"SÍ","",SUM(DU64:DY64))</f>
        <v/>
      </c>
      <c r="EA64" s="45" t="str">
        <f>IF(BI64&lt;&gt;"SÍ","",IF(OR(AE64="",AE64="NINGUNO"),IF(DATOS!$C$41&gt;=10,"FALTA refuerzo horizontal: v'm ≥ 10 kg/cm² (6.5.2.2)",IF(AND(BM64&lt;0,BK64&gt;0),"FALTA: P en tensión, el refuerzo debe tomar todo el cortante (6.5.1.3)","—")),IF(AE64="ESCALERILLA","NO CUENTA: la escalerilla no se permite para cortante por sismo (6.5.3.1.2)",IF(AE64="MALLA",IF(AND(DL64&gt;=2.5,DL64&lt;=MAX(0.15*DATOS!$C$33*DATOS!$C$24,2.5)),"CUMPLE","NO CUMPLE: "&amp;IF(DL64&lt;2.5,"p_h·f_yh &lt; 2.5 (6.5.4.2.4)","p_h·f_yh &gt; 0.15·f'm·f_an (6.5.4.2.4)")),IF(AND(DK64&lt;=MIN(6*DATOS!$C$26,45),DL64&gt;=3,DL64&lt;=MIN(MAX(0.15*DATOS!$C$33*DATOS!$C$24,3),0.05*DATOS!$C$25/10*MIN(DATOS!$C$50,6000)/DK64),INDEX(TABLAS!$C$6:$C$14,MATCH(IF(AG64&lt;&gt;"",AG64,DATOS!$C$73),TABLAS!$B$6:$B$14,0))&gt;=0.35,INDEX(TABLAS!$C$6:$C$14,MATCH(IF(AG64&lt;&gt;"",AG64,DATOS!$C$73),TABLAS!$B$6:$B$14,0))&lt;=0.75*DATOS!$C$25/10),"CUMPLE","NO CUMPLE: "&amp;IF(DK64&gt;MIN(6*DATOS!$C$26,45),"s_h &gt; 6 hiladas o 45 cm (6.5.3.2.1) ","")&amp;IF(DL64&lt;3,"p_h·f_yh &lt; 3 (6.5.3.3.1) ","")&amp;IF(DL64&gt;MIN(MAX(0.15*DATOS!$C$33*DATOS!$C$24,3),0.05*DATOS!$C$25/10*MIN(DATOS!$C$50,6000)/DK64),"p_h·f_yh &gt; máximo (6.5.3.3.2) ","")&amp;IF(OR(INDEX(TABLAS!$C$6:$C$14,MATCH(IF(AG64&lt;&gt;"",AG64,DATOS!$C$73),TABLAS!$B$6:$B$14,0))&lt;0.35,INDEX(TABLAS!$C$6:$C$14,MATCH(IF(AG64&lt;&gt;"",AG64,DATOS!$C$73),TABLAS!$B$6:$B$14,0))&gt;0.75*DATOS!$C$25/10),"diámetro fuera de 3.5 mm a 0.75·h_j (4.2.2.2.1)",""))))))</f>
        <v/>
      </c>
      <c r="EB64" s="46" t="str">
        <f>IF(BI64&lt;&gt;"SÍ","",DI64+DZ64)</f>
        <v/>
      </c>
      <c r="EC64" s="50" t="str">
        <f>IF(BI64&lt;&gt;"SÍ","",IF(EB64&gt;0,BK64/EB64,IF(BK64&gt;0,99,0)))</f>
        <v/>
      </c>
      <c r="ED64" s="47" t="str">
        <f>IF(BI64&lt;&gt;"SÍ","",IF(CE64&lt;=0,-1,IF(BK64&lt;=DI64,0,IF(IF(BM64&gt;=0,IF((DATOS!$C$86*IF(AE64="MALLA",0.5,IF(DATOS!$C$33&lt;=60,0.55,IF(DATOS!$C$33&gt;=90,0.75,0.55+0.2*(DATOS!$C$33-60)/30)))*CE64/1000-DATOS!$C$91*SUMPRODUCT(DP64:DT64,DD64:DH64))&lt;=0,1E9,(BK64-SUMPRODUCT(DP64:DT64,DD64:DH64))/(DATOS!$C$86*IF(AE64="MALLA",0.5,IF(DATOS!$C$33&lt;=60,0.55,IF(DATOS!$C$33&gt;=90,0.75,0.55+0.2*(DATOS!$C$33-60)/30)))*CE64/1000-DATOS!$C$91*SUMPRODUCT(DP64:DT64,DD64:DH64))),IF((1-4*DATOS!$C$91*BK64*1000/(DATOS!$C$86*IF(AE64="MALLA",0.5,IF(DATOS!$C$33&lt;=60,0.55,IF(DATOS!$C$33&gt;=90,0.75,0.55+0.2*(DATOS!$C$33-60)/30)))*MAX(CE64,1)))&lt;0,1E9,(1-SQRT((1-4*DATOS!$C$91*BK64*1000/(DATOS!$C$86*IF(AE64="MALLA",0.5,IF(DATOS!$C$33&lt;=60,0.55,IF(DATOS!$C$33&gt;=90,0.75,0.55+0.2*(DATOS!$C$33-60)/30)))*MAX(CE64,1)))))/(2*DATOS!$C$91)))&gt;0.1*DATOS!$C$33*DATOS!$C$24+0.000001,-1,MAX(IF(AE64="MALLA",2.5,3),IF(BM64&gt;=0,IF((DATOS!$C$86*IF(AE64="MALLA",0.5,IF(DATOS!$C$33&lt;=60,0.55,IF(DATOS!$C$33&gt;=90,0.75,0.55+0.2*(DATOS!$C$33-60)/30)))*CE64/1000-DATOS!$C$91*SUMPRODUCT(DP64:DT64,DD64:DH64))&lt;=0,1E9,(BK64-SUMPRODUCT(DP64:DT64,DD64:DH64))/(DATOS!$C$86*IF(AE64="MALLA",0.5,IF(DATOS!$C$33&lt;=60,0.55,IF(DATOS!$C$33&gt;=90,0.75,0.55+0.2*(DATOS!$C$33-60)/30)))*CE64/1000-DATOS!$C$91*SUMPRODUCT(DP64:DT64,DD64:DH64))),IF((1-4*DATOS!$C$91*BK64*1000/(DATOS!$C$86*IF(AE64="MALLA",0.5,IF(DATOS!$C$33&lt;=60,0.55,IF(DATOS!$C$33&gt;=90,0.75,0.55+0.2*(DATOS!$C$33-60)/30)))*MAX(CE64,1)))&lt;0,1E9,(1-SQRT((1-4*DATOS!$C$91*BK64*1000/(DATOS!$C$86*IF(AE64="MALLA",0.5,IF(DATOS!$C$33&lt;=60,0.55,IF(DATOS!$C$33&gt;=90,0.75,0.55+0.2*(DATOS!$C$33-60)/30)))*MAX(CE64,1)))))/(2*DATOS!$C$91))))))))</f>
        <v/>
      </c>
      <c r="EE64" s="45" t="str">
        <f>IF(BI64&lt;&gt;"SÍ","",IF(ED64=0,"NO REQUIERE: V_mR ≥ V_u",IF(ED64&lt;0,"NO ALCANZA con refuerzo horizontal (haría falta más de 0.1·f'm·f_an efectivo): sube v'm con ensayes, el espesor o la longitud del muro",IF(AND(OR(AE64="VARILLA EN JUNTAS",AE64="MALLA"),LEFT(EA64,6)="CUMPLE",EC64&lt;=1),"YA LO TIENE (pide p_h·f_yh ≥ "&amp;TEXT(ED64,"0.0")&amp;" kg/cm²)","p_h·f_yh ≥ "&amp;TEXT(ED64,"0.0")&amp;" kg/cm² → "&amp;IF(AND(MIN(6,FLOOR(45/DATOS!$C$26,1),FLOOR((2*INDEX(TABLAS!$D$6:$D$14,MATCH("3/16 in",TABLAS!$B$6:$B$14,0)))*MIN(DATOS!$C$50,6000)/(BT64*DATOS!$C$26*MAX(ED64,0.001)),1))&gt;=1,((2*INDEX(TABLAS!$D$6:$D$14,MATCH("3/16 in",TABLAS!$B$6:$B$14,0)))*MIN(DATOS!$C$50,6000)/(MAX(MIN(6,FLOOR(45/DATOS!$C$26,1),FLOOR((2*INDEX(TABLAS!$D$6:$D$14,MATCH("3/16 in",TABLAS!$B$6:$B$14,0)))*MIN(DATOS!$C$50,6000)/(BT64*DATOS!$C$26*MAX(ED64,0.001)),1)),1)*DATOS!$C$26*BT64))&lt;=MIN(MAX(0.15*DATOS!$C$33*DATOS!$C$24,3),0.05*DATOS!$C$25/10*MIN(DATOS!$C$50,6000)/(MIN(6,FLOOR(45/DATOS!$C$26,1),FLOOR((2*INDEX(TABLAS!$D$6:$D$14,MATCH("3/16 in",TABLAS!$B$6:$B$14,0)))*MIN(DATOS!$C$50,6000)/(BT64*DATOS!$C$26*MAX(ED64,0.001)),1))*DATOS!$C$26))),"2 alambres de 3/16"" por junta cada "&amp;MIN(6,FLOOR(45/DATOS!$C$26,1),FLOOR((2*INDEX(TABLAS!$D$6:$D$14,MATCH("3/16 in",TABLAS!$B$6:$B$14,0)))*MIN(DATOS!$C$50,6000)/(BT64*DATOS!$C$26*MAX(ED64,0.001)),1))&amp;" hilada(s) (p_h·f_yh = "&amp;TEXT(((2*INDEX(TABLAS!$D$6:$D$14,MATCH("3/16 in",TABLAS!$B$6:$B$14,0)))*MIN(DATOS!$C$50,6000)/(MAX(MIN(6,FLOOR(45/DATOS!$C$26,1),FLOOR((2*INDEX(TABLAS!$D$6:$D$14,MATCH("3/16 in",TABLAS!$B$6:$B$14,0)))*MIN(DATOS!$C$50,6000)/(BT64*DATOS!$C$26*MAX(ED64,0.001)),1)),1)*DATOS!$C$26*BT64)),"0.00")&amp;")",IF(AND(MIN(6,FLOOR(45/DATOS!$C$26,1),FLOOR((2*INDEX(TABLAS!$D$6:$D$14,MATCH("5/32 in",TABLAS!$B$6:$B$14,0)))*MIN(DATOS!$C$50,6000)/(BT64*DATOS!$C$26*MAX(ED64,0.001)),1))&gt;=1,((2*INDEX(TABLAS!$D$6:$D$14,MATCH("5/32 in",TABLAS!$B$6:$B$14,0)))*MIN(DATOS!$C$50,6000)/(MAX(MIN(6,FLOOR(45/DATOS!$C$26,1),FLOOR((2*INDEX(TABLAS!$D$6:$D$14,MATCH("5/32 in",TABLAS!$B$6:$B$14,0)))*MIN(DATOS!$C$50,6000)/(BT64*DATOS!$C$26*MAX(ED64,0.001)),1)),1)*DATOS!$C$26*BT64))&lt;=MIN(MAX(0.15*DATOS!$C$33*DATOS!$C$24,3),0.05*DATOS!$C$25/10*MIN(DATOS!$C$50,6000)/(MIN(6,FLOOR(45/DATOS!$C$26,1),FLOOR((2*INDEX(TABLAS!$D$6:$D$14,MATCH("5/32 in",TABLAS!$B$6:$B$14,0)))*MIN(DATOS!$C$50,6000)/(BT64*DATOS!$C$26*MAX(ED64,0.001)),1))*DATOS!$C$26))),"2 alambres de 5/32"" por junta cada "&amp;MIN(6,FLOOR(45/DATOS!$C$26,1),FLOOR((2*INDEX(TABLAS!$D$6:$D$14,MATCH("5/32 in",TABLAS!$B$6:$B$14,0)))*MIN(DATOS!$C$50,6000)/(BT64*DATOS!$C$26*MAX(ED64,0.001)),1))&amp;" hilada(s) (p_h·f_yh = "&amp;TEXT(((2*INDEX(TABLAS!$D$6:$D$14,MATCH("5/32 in",TABLAS!$B$6:$B$14,0)))*MIN(DATOS!$C$50,6000)/(MAX(MIN(6,FLOOR(45/DATOS!$C$26,1),FLOOR((2*INDEX(TABLAS!$D$6:$D$14,MATCH("5/32 in",TABLAS!$B$6:$B$14,0)))*MIN(DATOS!$C$50,6000)/(BT64*DATOS!$C$26*MAX(ED64,0.001)),1)),1)*DATOS!$C$26*BT64)),"0.00")&amp;")",IF(AND(MIN(6,FLOOR(45/DATOS!$C$26,1),FLOOR((1*INDEX(TABLAS!$D$6:$D$14,MATCH("3/16 in",TABLAS!$B$6:$B$14,0)))*MIN(DATOS!$C$50,6000)/(BT64*DATOS!$C$26*MAX(ED64,0.001)),1))&gt;=1,((1*INDEX(TABLAS!$D$6:$D$14,MATCH("3/16 in",TABLAS!$B$6:$B$14,0)))*MIN(DATOS!$C$50,6000)/(MAX(MIN(6,FLOOR(45/DATOS!$C$26,1),FLOOR((1*INDEX(TABLAS!$D$6:$D$14,MATCH("3/16 in",TABLAS!$B$6:$B$14,0)))*MIN(DATOS!$C$50,6000)/(BT64*DATOS!$C$26*MAX(ED64,0.001)),1)),1)*DATOS!$C$26*BT64))&lt;=MIN(MAX(0.15*DATOS!$C$33*DATOS!$C$24,3),0.05*DATOS!$C$25/10*MIN(DATOS!$C$50,6000)/(MIN(6,FLOOR(45/DATOS!$C$26,1),FLOOR((1*INDEX(TABLAS!$D$6:$D$14,MATCH("3/16 in",TABLAS!$B$6:$B$14,0)))*MIN(DATOS!$C$50,6000)/(BT64*DATOS!$C$26*MAX(ED64,0.001)),1))*DATOS!$C$26))),"1 alambre de 3/16"" por junta cada "&amp;MIN(6,FLOOR(45/DATOS!$C$26,1),FLOOR((1*INDEX(TABLAS!$D$6:$D$14,MATCH("3/16 in",TABLAS!$B$6:$B$14,0)))*MIN(DATOS!$C$50,6000)/(BT64*DATOS!$C$26*MAX(ED64,0.001)),1))&amp;" hilada(s) (p_h·f_yh = "&amp;TEXT(((1*INDEX(TABLAS!$D$6:$D$14,MATCH("3/16 in",TABLAS!$B$6:$B$14,0)))*MIN(DATOS!$C$50,6000)/(MAX(MIN(6,FLOOR(45/DATOS!$C$26,1),FLOOR((1*INDEX(TABLAS!$D$6:$D$14,MATCH("3/16 in",TABLAS!$B$6:$B$14,0)))*MIN(DATOS!$C$50,6000)/(BT64*DATOS!$C$26*MAX(ED64,0.001)),1)),1)*DATOS!$C$26*BT64)),"0.00")&amp;")",IF(AND(MIN(6,FLOOR(45/DATOS!$C$26,1),FLOOR((1*INDEX(TABLAS!$D$6:$D$14,MATCH("5/32 in",TABLAS!$B$6:$B$14,0)))*MIN(DATOS!$C$50,6000)/(BT64*DATOS!$C$26*MAX(ED64,0.001)),1))&gt;=1,((1*INDEX(TABLAS!$D$6:$D$14,MATCH("5/32 in",TABLAS!$B$6:$B$14,0)))*MIN(DATOS!$C$50,6000)/(MAX(MIN(6,FLOOR(45/DATOS!$C$26,1),FLOOR((1*INDEX(TABLAS!$D$6:$D$14,MATCH("5/32 in",TABLAS!$B$6:$B$14,0)))*MIN(DATOS!$C$50,6000)/(BT64*DATOS!$C$26*MAX(ED64,0.001)),1)),1)*DATOS!$C$26*BT64))&lt;=MIN(MAX(0.15*DATOS!$C$33*DATOS!$C$24,3),0.05*DATOS!$C$25/10*MIN(DATOS!$C$50,6000)/(MIN(6,FLOOR(45/DATOS!$C$26,1),FLOOR((1*INDEX(TABLAS!$D$6:$D$14,MATCH("5/32 in",TABLAS!$B$6:$B$14,0)))*MIN(DATOS!$C$50,6000)/(BT64*DATOS!$C$26*MAX(ED64,0.001)),1))*DATOS!$C$26))),"1 alambre de 5/32"" por junta cada "&amp;MIN(6,FLOOR(45/DATOS!$C$26,1),FLOOR((1*INDEX(TABLAS!$D$6:$D$14,MATCH("5/32 in",TABLAS!$B$6:$B$14,0)))*MIN(DATOS!$C$50,6000)/(BT64*DATOS!$C$26*MAX(ED64,0.001)),1))&amp;" hilada(s) (p_h·f_yh = "&amp;TEXT(((1*INDEX(TABLAS!$D$6:$D$14,MATCH("5/32 in",TABLAS!$B$6:$B$14,0)))*MIN(DATOS!$C$50,6000)/(MAX(MIN(6,FLOOR(45/DATOS!$C$26,1),FLOOR((1*INDEX(TABLAS!$D$6:$D$14,MATCH("5/32 in",TABLAS!$B$6:$B$14,0)))*MIN(DATOS!$C$50,6000)/(BT64*DATOS!$C$26*MAX(ED64,0.001)),1)),1)*DATOS!$C$26*BT64)),"0.00")&amp;")","ninguna combinación de 1 o 2 alambres por junta queda entre el mínimo y el máximo: revisa con malla (6.5.4)"))))))))</f>
        <v/>
      </c>
      <c r="EF64" s="43" t="str">
        <f>IF(BI64&lt;&gt;"SÍ","",IF(AI64="SÍ",N(AK64)*N(AL64)^3/12,0))</f>
        <v/>
      </c>
      <c r="EG64" s="48" t="str">
        <f>IF(BI64&lt;&gt;"SÍ","",IF(AND(AI64="SÍ",N(AM64)&gt;0),MIN(1,F64/AM64),0))</f>
        <v/>
      </c>
      <c r="EH64" s="47" t="str">
        <f>IF(BI64&lt;&gt;"SÍ","",IF(AI64="SÍ",BP64*1000/(BT64*F64*100)*BT64*(EG64^4-4*EG64^3+8*EG64),0))</f>
        <v/>
      </c>
      <c r="EI64" s="48" t="str">
        <f>IF(BI64&lt;&gt;"SÍ","",IF(AND(AI64="SÍ",EH64&gt;0),EH64/(EH64+5*N(AN64)*10),0))</f>
        <v/>
      </c>
      <c r="EJ64" s="44" t="str">
        <f>IF(BI64&lt;&gt;"SÍ","",IF(AND(AI64="SÍ",EI64&gt;0,EF64&gt;0),(DATOS!$C$43*BT64*(AM64*100)^3/(DATOS!$C$53*EF64*EI64))^0.25,0))</f>
        <v/>
      </c>
      <c r="EK64" s="44" t="str">
        <f>IF(BI64&lt;&gt;"SÍ","",IF(AI64&lt;&gt;"SÍ",0,IF(N(AM64)&lt;=F64,1,IF(MIN(1,N(AO64)/((AM64-F64)/2))&lt;=0.5,0.7+0.6*MIN(1,N(AO64)/((AM64-F64)/2)),1.5-MIN(1,N(AO64)/((AM64-F64)/2))))))</f>
        <v/>
      </c>
      <c r="EL64" s="44" t="str">
        <f>IF(BI64&lt;&gt;"SÍ","",IF(AI64&lt;&gt;"SÍ",0,MAX(1,IF(EG64&gt;=1,(1.6*EJ64-3.9),IF(EG64&lt;0.9,((3.2*EJ64-7.8)*EK64),((3.2*EJ64-7.8)*EK64)+((1.6*EJ64-3.9)-((3.2*EJ64-7.8)*EK64))*(EG64-0.9)/0.1)))))</f>
        <v/>
      </c>
      <c r="EM64" s="47" t="str">
        <f>IF(BI64&lt;&gt;"SÍ","",IF(AI64="SÍ",EL64*BP64*1000/(BT64*F64*100),0))</f>
        <v/>
      </c>
      <c r="EN64" s="47" t="str">
        <f>IF(BI64&lt;&gt;"SÍ","",IF(AND(AI64="SÍ",N(AL64)&gt;0),AM64*100/AL64,0))</f>
        <v/>
      </c>
      <c r="EO64" s="47" t="str">
        <f>IF(BI64&lt;&gt;"SÍ","",IF(AI64="SÍ",(1/15*DATOS!$C$53*N(AK64)/MAX((IF(ISNUMBER(AP64),AP64,BP64/DATOS!$C$90)*1000/(BT64*F64*100)*BT64*(EG64^4-4*EG64^3+8*EG64))+5*N(AN64)/DATOS!$C$90*10,0.001))^(1/3),0))</f>
        <v/>
      </c>
      <c r="EP64" s="45" t="str">
        <f>IF(BI64&lt;&gt;"SÍ","",IF(AI64&lt;&gt;"SÍ","—",IF(OR(N(AK64)&lt;=0,N(AL64)&lt;=0,N(AM64)&lt;=0),"REVISAR: faltan b, h o L_v de la viga",IF(AND(EM64&lt;=DATOS!$C$87*DATOS!$C$33,EN64&lt;=14,N(AL64)&gt;=25,EN64&lt;=EO64),IF(BS64/F64&lt;0.6,"PENDIENTE: H/L &lt; 0.6, falta el análisis de interacción muro–viga (4.1.18.2.1); f_CM es estimado","CUMPLE"),"NO CUMPLE: "&amp;IF(EM64&gt;DATOS!$C$87*DATOS!$C$33,"f_CM &gt; F_R·f'm ","")&amp;IF(EN64&gt;14,"L_v/h_v &gt; 14 ","")&amp;IF(N(AL64)&lt;25,"h_v &lt; 25 cm ","")&amp;IF(EN64&gt;EO64,"flecha (4.1.18.3)","")))))</f>
        <v/>
      </c>
      <c r="EQ64" s="44" t="str">
        <f>IF(BI64&lt;&gt;"SÍ","",MAX(0,F64*BS64-(N(K64)*N(M64)+N(P64)*N(R64)+N(U64)*N(W64)+N(Z64)*N(AB64))-CK64*DATOS!$C$59/100*BS64))</f>
        <v/>
      </c>
      <c r="ER64" s="48" t="str">
        <f>IF(BI64&lt;&gt;"SÍ","",CK64*DATOS!$C$59*DATOS!$C$60/10000*BS64)</f>
        <v/>
      </c>
      <c r="ES64" s="47" t="str">
        <f>IF(BI64&lt;&gt;"SÍ","",CK64*(DATOS!$C$61*(BS64+0.6)*INDEX(TABLAS!$E$6:$E$14,MATCH(DATOS!$C$62,TABLAS!$B$6:$B$14,0))+(2*ROUNDUP(CN64/DATOS!$C$65,0)+ROUNDUP(MAX(0,BS64*100-2*CN64)/DATOS!$C$64,0))*((2*(DATOS!$C$60+DATOS!$C$59-4*(DATOS!$C$66-INDEX(TABLAS!$C$6:$C$14,MATCH(DATOS!$C$63,TABLAS!$B$6:$B$14,0))))+15)/100)*INDEX(TABLAS!$E$6:$E$14,MATCH(DATOS!$C$63,TABLAS!$B$6:$B$14,0))))</f>
        <v/>
      </c>
      <c r="ET64" s="47" t="str">
        <f>IF(BI64&lt;&gt;"SÍ","",IF(OR(AE64="VARILLA EN JUNTAS",AE64="ESCALERILLA"),INT(BS64*100/MAX(DK64,1))*IF(ISNUMBER(AF64),AF64,2)*CB64*INDEX(TABLAS!$E$6:$E$14,MATCH(IF(AG64&lt;&gt;"",AG64,DATOS!$C$73),TABLAS!$B$6:$B$14,0)),IF(AE64="MALLA",IF(ISNUMBER(AF64),AF64,1)*CB64*BS64*INDEX(TABLAS!$E$19:$E$22,MATCH(IF(AG64&lt;&gt;"",AG64,DATOS!$C$74),TABLAS!$B$19:$B$22,0)),0)))</f>
        <v/>
      </c>
      <c r="EU64" s="45" t="str">
        <f>IF(BI64&lt;&gt;"SÍ","",""&amp;IF(BJ64="NO ESTÁ EN PIER_FORCES","sin fuerzas en PIER_FORCES; ","")&amp;IF(BV64&lt;&gt;"CUMPLE","vanos; ","")&amp;IF(LEFT(CH64,2)="NO","espesor o esbeltez; ","")&amp;IF(CQ64&gt;1,"compresión; ","")&amp;IF(CX64&gt;1,"flexión; ","")&amp;IF(CB64&lt;=0,"sin tramos de muro (todos son machones menores que L mín.: diséñalos como columnas o baja L mín.); ",IF(EC64&gt;1,"cortante; ",""))&amp;IF(OR(LEFT(EA64,2)="NO",LEFT(EA64,5)="FALTA"),"refuerzo horizontal; ","")&amp;IF(OR(LEFT(EP64,2)="NO",LEFT(EP64,7)="REVISAR"),"muro sobre viga; ","")&amp;IF(LEFT(DATOS!$C$81,2)="NO","castillo típico; ","")&amp;IF(LEFT(DATOS!$C$82,2)="NO","dala típica; ","")&amp;IF(AND(BT64&lt;&gt;DATOS!$C$58,DATOS!$C$60&lt;BT64),"castillo más angosto que el muro; ",""))</f>
        <v/>
      </c>
      <c r="EV64" s="45" t="str">
        <f>IF(BI64&lt;&gt;"SÍ","",""&amp;IF(LEFT(EP64,9)="PENDIENTE","análisis muro–viga (H/L &lt; 0.6); ","")&amp;IF(BR64&gt;50,"V_u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4" s="51" t="str">
        <f>IF(BI64&lt;&gt;"SÍ","",IF(EU64&lt;&gt;"","NO CUMPLE: "&amp;LEFT(EU64,LEN(EU64)-2),IF(EV64&lt;&gt;"","CUMPLE — PENDIENTE: "&amp;LEFT(EV64,LEN(EV64)-2),"CUMPLE")))</f>
        <v/>
      </c>
      <c r="EX64" s="52" t="n"/>
    </row>
    <row r="65" ht="30" customHeight="1">
      <c r="A65" s="38" t="str">
        <f>IF(B65="","",ROW()-10)</f>
        <v/>
      </c>
      <c r="B65" s="28" t="n"/>
      <c r="C65" s="39" t="n"/>
      <c r="D65" s="39" t="n"/>
      <c r="E65" s="39" t="n"/>
      <c r="F65" s="40" t="n"/>
      <c r="G65" s="40" t="n"/>
      <c r="H65" s="41" t="n"/>
      <c r="I65" s="39" t="n"/>
      <c r="J65" s="40" t="n"/>
      <c r="K65" s="40" t="n"/>
      <c r="L65" s="40" t="n"/>
      <c r="M65" s="40" t="n"/>
      <c r="N65" s="39" t="n"/>
      <c r="O65" s="40" t="n"/>
      <c r="P65" s="40" t="n"/>
      <c r="Q65" s="40" t="n"/>
      <c r="R65" s="40" t="n"/>
      <c r="S65" s="39" t="n"/>
      <c r="T65" s="40" t="n"/>
      <c r="U65" s="40" t="n"/>
      <c r="V65" s="40" t="n"/>
      <c r="W65" s="40" t="n"/>
      <c r="X65" s="39" t="n"/>
      <c r="Y65" s="40" t="n"/>
      <c r="Z65" s="40" t="n"/>
      <c r="AA65" s="40" t="n"/>
      <c r="AB65" s="40" t="n"/>
      <c r="AC65" s="41" t="n"/>
      <c r="AD65" s="41" t="n"/>
      <c r="AE65" s="39" t="n"/>
      <c r="AF65" s="41" t="n"/>
      <c r="AG65" s="41" t="n"/>
      <c r="AH65" s="41" t="n"/>
      <c r="AI65" s="39" t="n"/>
      <c r="AJ65" s="39" t="n"/>
      <c r="AK65" s="41" t="n"/>
      <c r="AL65" s="41" t="n"/>
      <c r="AM65" s="40" t="n"/>
      <c r="AN65" s="40" t="n"/>
      <c r="AO65" s="40" t="n"/>
      <c r="AP65" s="40" t="n"/>
      <c r="AQ65" s="40" t="n"/>
      <c r="AR65" s="40" t="n"/>
      <c r="AS65" s="40" t="n"/>
      <c r="AT65" s="40" t="n"/>
      <c r="AU65" s="40" t="n"/>
      <c r="AV65" s="40" t="n"/>
      <c r="AW65" s="40" t="n"/>
      <c r="AX65" s="42" t="str">
        <f>IF(B65="","",C65&amp;"|"&amp;B65)</f>
        <v/>
      </c>
      <c r="AY65" s="43" t="str">
        <f>IF(B65="","",COUNTIFS(PIER_FORCES!$O$9:$O$3008,55,PIER_FORCES!$P$9:$P$3008,1))</f>
        <v/>
      </c>
      <c r="AZ65" s="43" t="str">
        <f>IF(B65="","",COUNTIFS(PIER_FORCES!$O$9:$O$3008,55,PIER_FORCES!$P$9:$P$3008,2))</f>
        <v/>
      </c>
      <c r="BA65" s="44">
        <f>IF(N(AY65)=0,0,SUMPRODUCT(MAX((PIER_FORCES!$O$9:$O$3008=55)*(PIER_FORCES!$P$9:$P$3008=1)*PIER_FORCES!$R$9:$R$3008)))</f>
        <v>0</v>
      </c>
      <c r="BB65" s="44">
        <f>IF(N(AY65)=0,0,SUMPRODUCT(MAX((PIER_FORCES!$O$9:$O$3008=55)*(PIER_FORCES!$P$9:$P$3008=1)*PIER_FORCES!$S$9:$S$3008)))</f>
        <v>0</v>
      </c>
      <c r="BC65" s="44">
        <f>IF(N(AY65)=0,0,-SUMPRODUCT(MAX((PIER_FORCES!$O$9:$O$3008=55)*(PIER_FORCES!$P$9:$P$3008=1)*(-PIER_FORCES!$Q$9:$Q$3008)+(1-(PIER_FORCES!$O$9:$O$3008=55)*(PIER_FORCES!$P$9:$P$3008=1))*(-1E9))))</f>
        <v>0</v>
      </c>
      <c r="BD65" s="44">
        <f>IF(N(AY65)=0,0,SUMPRODUCT(MAX((PIER_FORCES!$O$9:$O$3008=55)*(PIER_FORCES!$P$9:$P$3008=1)*PIER_FORCES!$Q$9:$Q$3008+(1-(PIER_FORCES!$O$9:$O$3008=55)*(PIER_FORCES!$P$9:$P$3008=1))*(-1E9))))</f>
        <v>0</v>
      </c>
      <c r="BE65" s="44">
        <f>IF(N(AZ65)=0,BD65,SUMPRODUCT(MAX((PIER_FORCES!$O$9:$O$3008=55)*(PIER_FORCES!$P$9:$P$3008=2)*PIER_FORCES!$Q$9:$Q$3008+(1-(PIER_FORCES!$O$9:$O$3008=55)*(PIER_FORCES!$P$9:$P$3008=2))*(-1E9))))</f>
        <v>0</v>
      </c>
      <c r="BF65" s="44">
        <f>IF(N(AZ65)=0,0,SUMPRODUCT(MAX((PIER_FORCES!$O$9:$O$3008=55)*(PIER_FORCES!$P$9:$P$3008=2)*PIER_FORCES!$R$9:$R$3008)))</f>
        <v>0</v>
      </c>
      <c r="BG65" s="43">
        <f>IF(N(AY65)=0,0,SUMPRODUCT(MAX((PIER_FORCES!$O$9:$O$3008=55)*(PIER_FORCES!$P$9:$P$3008=1)*(ABS(PIER_FORCES!$R$9:$R$3008-BA65)&lt;0.000001)*PIER_FORCES!$T$9:$T$3008)))</f>
        <v>0</v>
      </c>
      <c r="BH65" s="45" t="str">
        <f>IF(N(BG65)=0,"",INDEX(PIER_FORCES!$D$9:$D$3008,BG65)&amp;" "&amp;INDEX(PIER_FORCES!$F$9:$F$3008,BG65)&amp;" / "&amp;INDEX(PIER_FORCES!$G$9:$G$3008,BG65))</f>
        <v/>
      </c>
      <c r="BI65" s="42" t="str">
        <f>IF(B65="","",IF(AND(C65&lt;&gt;"",OR(D65="X",D65="Y"),ISNUMBER(F65),N(F65)&gt;0),"SÍ","NO"))</f>
        <v/>
      </c>
      <c r="BJ65" s="42" t="str">
        <f>IF(BI65&lt;&gt;"SÍ","",IF(DATOS!$C$108="ETABS (PIER_FORCES)",IF(N(AY65)&gt;0,"ETABS","NO ESTÁ EN PIER_FORCES"),"CAPTURA"))</f>
        <v/>
      </c>
      <c r="BK65" s="46" t="str">
        <f>IF(BI65&lt;&gt;"SÍ","",IF(BJ65="ETABS",BA65,IF(BJ65="CAPTURA",N(AQ65),0)))</f>
        <v/>
      </c>
      <c r="BL65" s="46" t="str">
        <f>IF(BI65&lt;&gt;"SÍ","",IF(BJ65="ETABS",BB65,IF(BJ65="CAPTURA",N(AR65),0)))</f>
        <v/>
      </c>
      <c r="BM65" s="46" t="str">
        <f>IF(BI65&lt;&gt;"SÍ","",IF(BJ65="ETABS",BC65/DATOS!$C$89,IF(BJ65="CAPTURA",N(AS65),0)))</f>
        <v/>
      </c>
      <c r="BN65" s="44" t="str">
        <f>IF(BI65&lt;&gt;"SÍ","",IF(BJ65="ETABS",BC65,IF(BJ65="CAPTURA",IF(ISNUMBER(AU65),AU65,N(AS65)*DATOS!$C$89),0)))</f>
        <v/>
      </c>
      <c r="BO65" s="44" t="str">
        <f>IF(BI65&lt;&gt;"SÍ","",IF(BJ65="ETABS",MAX(BD65,BE65),IF(BJ65="CAPTURA",N(AT65),0)))</f>
        <v/>
      </c>
      <c r="BP65" s="44" t="str">
        <f>IF(BI65&lt;&gt;"SÍ","",IF(BJ65="ETABS",BE65,IF(BJ65="CAPTURA",IF(ISNUMBER(AV65),AV65,N(AT65)),0)))</f>
        <v/>
      </c>
      <c r="BQ65" s="44" t="str">
        <f>IF(BI65&lt;&gt;"SÍ","",IF(BJ65="ETABS",BF65,IF(BJ65="CAPTURA",N(AW65),0)))</f>
        <v/>
      </c>
      <c r="BR65" s="43" t="str">
        <f>IF(BI65&lt;&gt;"SÍ","",IF(BK65&gt;0,100*BQ65/BK65,0))</f>
        <v/>
      </c>
      <c r="BS65" s="44" t="str">
        <f>IF(BI65&lt;&gt;"SÍ","",IF(ISNUMBER(G65),G65,DATOS!$C$57))</f>
        <v/>
      </c>
      <c r="BT65" s="47" t="str">
        <f>IF(BI65&lt;&gt;"SÍ","",IF(ISNUMBER(H65),H65,DATOS!$C$58))</f>
        <v/>
      </c>
      <c r="BU65" s="43" t="str">
        <f>IF(BI65&lt;&gt;"SÍ","",IF(N(K65)&gt;0,1+IF(N(P65)&gt;0,1+IF(N(U65)&gt;0,1+IF(N(Z65)&gt;0,1,0),0),0),0))</f>
        <v/>
      </c>
      <c r="BV65" s="45" t="str">
        <f>IF(BI65&lt;&gt;"SÍ","",IF(AND(OR(BU65&lt;1,AND(N(J65)&gt;=0-0.001,J65+K65&lt;=F65+0.001,N(L65)&gt;=0,N(L65)+N(M65)&lt;=BS65+0.001,N(M65)&gt;0,OR(I65="PUERTA",I65="VENTANA"))),OR(BU65&lt;2,AND(N(O65)&gt;=(J65+K65)-0.001,O65+P65&lt;=F65+0.001,N(Q65)&gt;=0,N(Q65)+N(R65)&lt;=BS65+0.001,N(R65)&gt;0,OR(N65="PUERTA",N65="VENTANA"))),OR(BU65&lt;3,AND(N(T65)&gt;=(O65+P65)-0.001,T65+U65&lt;=F65+0.001,N(V65)&gt;=0,N(V65)+N(W65)&lt;=BS65+0.001,N(W65)&gt;0,OR(S65="PUERTA",S65="VENTANA"))),OR(BU65&lt;4,AND(N(Y65)&gt;=(T65+U65)-0.001,Y65+Z65&lt;=F65+0.001,N(AA65)&gt;=0,N(AA65)+N(AB65)&lt;=BS65+0.001,N(AB65)&gt;0,OR(X65="PUERTA",X65="VENTANA"))),(N(K65)&gt;0)+(N(P65)&gt;0)+(N(U65)&gt;0)+(N(Z65)&gt;0)=BU65),"CUMPLE","REVISAR VANOS: tipo, orden de izquierda a derecha, que quepan en L y en H"))</f>
        <v/>
      </c>
      <c r="BW65" s="44" t="str">
        <f>IF(BI65&lt;&gt;"SÍ","",MAX(0,IF(BU65&gt;=1,N(J65),F65)))</f>
        <v/>
      </c>
      <c r="BX65" s="44" t="str">
        <f>IF(BI65&lt;&gt;"SÍ","",MAX(0,IF(BU65&gt;=2,N(O65)-(N(J65)+N(K65)),IF(BU65=1,F65-(N(J65)+N(K65)),0))))</f>
        <v/>
      </c>
      <c r="BY65" s="44" t="str">
        <f>IF(BI65&lt;&gt;"SÍ","",MAX(0,IF(BU65&gt;=3,N(T65)-(N(O65)+N(P65)),IF(BU65=2,F65-(N(O65)+N(P65)),0))))</f>
        <v/>
      </c>
      <c r="BZ65" s="44" t="str">
        <f>IF(BI65&lt;&gt;"SÍ","",MAX(0,IF(BU65&gt;=4,N(Y65)-(N(T65)+N(U65)),IF(BU65=3,F65-(N(T65)+N(U65)),0))))</f>
        <v/>
      </c>
      <c r="CA65" s="44" t="str">
        <f>IF(BI65&lt;&gt;"SÍ","",MAX(0,IF(BU65=4,F65-(N(Y65)+N(Z65)),0)))</f>
        <v/>
      </c>
      <c r="CB65" s="46" t="str">
        <f>IF(BI65&lt;&gt;"SÍ","",SUMPRODUCT((BW65:CA65&gt;=DATOS!$C$72-0.0001)*BW65:CA65))</f>
        <v/>
      </c>
      <c r="CC65" s="43" t="str">
        <f>IF(BI65&lt;&gt;"SÍ","",SUMPRODUCT(--(BW65:CA65&gt;=DATOS!$C$72-0.0001)))</f>
        <v/>
      </c>
      <c r="CD65" s="44" t="str">
        <f>IF(BI65&lt;&gt;"SÍ","",SUM(BW65:CA65))</f>
        <v/>
      </c>
      <c r="CE65" s="43" t="str">
        <f>IF(BI65&lt;&gt;"SÍ","",BT65*CB65*100)</f>
        <v/>
      </c>
      <c r="CF65" s="43" t="str">
        <f>IF(BI65&lt;&gt;"SÍ","",BT65*CD65*100)</f>
        <v/>
      </c>
      <c r="CG65" s="47" t="str">
        <f>IF(BI65&lt;&gt;"SÍ","",BS65*100/BT65)</f>
        <v/>
      </c>
      <c r="CH65" s="45" t="str">
        <f>IF(BI65&lt;&gt;"SÍ","",IF(AND(OR(DATOS!$C$14="TIPO II",BT65&gt;=12),CG65&lt;=25),"CUMPLE","NO CUMPLE: "&amp;IF(AND(DATOS!$C$14="TIPO I",BT65&lt;12),"t &lt; 12 cm ","")&amp;IF(CG65&gt;25,"H/t &gt; 25","")))</f>
        <v/>
      </c>
      <c r="CI65" s="44" t="str">
        <f>IF(BI65&lt;&gt;"SÍ","",MIN(1.5*BS65,4))</f>
        <v/>
      </c>
      <c r="CJ65" s="43" t="str">
        <f>IF(BI65&lt;&gt;"SÍ","",SUMPRODUCT((BW65:CA65&gt;=2*DATOS!$C$59/100)*INT((BW65:CA65-DATOS!$C$59/100)/CI65-0.000001)*((BW65:CA65-DATOS!$C$59/100)&gt;0)))</f>
        <v/>
      </c>
      <c r="CK65" s="43" t="str">
        <f>IF(BI65&lt;&gt;"SÍ","",SUMPRODUCT((BW65:CA65&gt;0.0001)*1+(BW65:CA65&gt;=2*DATOS!$C$59/100)*1)+CJ65)</f>
        <v/>
      </c>
      <c r="CL65" s="44" t="str">
        <f>IF(BI65&lt;&gt;"SÍ","",IF(ISNUMBER(AC65),AC65,DATOS!$C$61)*INDEX(TABLAS!$D$6:$D$14,MATCH(IF(AD65&lt;&gt;"",AD65,DATOS!$C$62),TABLAS!$B$6:$B$14,0)))</f>
        <v/>
      </c>
      <c r="CM65" s="44" t="str">
        <f>IF(BI65&lt;&gt;"SÍ","",CK65*DATOS!$C$78+IF(CK65&gt;=2,2,CK65)*(CL65-DATOS!$C$78))</f>
        <v/>
      </c>
      <c r="CN65" s="47" t="str">
        <f>IF(BI65&lt;&gt;"SÍ","",MAX(BS65*100/6,40))</f>
        <v/>
      </c>
      <c r="CO65" s="48" t="str">
        <f>IF(BI65&lt;&gt;"SÍ","",IF(CG65&lt;=20,IF(E65="INTERIOR",0.7,0.6),MIN(IF(E65="INTERIOR",0.7,0.6),(1-2/24)*(1-(IF(E65="INTERIOR",0.8,1)*CG65/30)^2))))</f>
        <v/>
      </c>
      <c r="CP65" s="47" t="str">
        <f>IF(BI65&lt;&gt;"SÍ","",DATOS!$C$87*CO65*(DATOS!$C$33*CF65+CM65*DATOS!$C$48)/1000)</f>
        <v/>
      </c>
      <c r="CQ65" s="46" t="str">
        <f>IF(BI65&lt;&gt;"SÍ","",IF(CP65&gt;0,BO65/CP65,99))</f>
        <v/>
      </c>
      <c r="CR65" s="47" t="str">
        <f>IF(BI65&lt;&gt;"SÍ","",MAX(0,F65*100-DATOS!$C$59))</f>
        <v/>
      </c>
      <c r="CS65" s="47" t="str">
        <f>IF(BI65&lt;&gt;"SÍ","",MAX(0,F65*100-DATOS!$C$59/2))</f>
        <v/>
      </c>
      <c r="CT65" s="44" t="str">
        <f>IF(BI65&lt;&gt;"SÍ","",CL65*DATOS!$C$48*CR65/100000)</f>
        <v/>
      </c>
      <c r="CU65" s="44" t="str">
        <f>IF(BI65&lt;&gt;"SÍ","",IF(BN65&lt;0,0.8*CT65*MAX(0,1+BN65/(0.8*CM65*DATOS!$C$48/1000)),IF(BN65&lt;=CP65/3,0.8*CT65+0.3*BN65*CS65/100,(1.5*0.6*CT65+0.15*CP65*CS65/100)*MAX(0,1-BN65/CP65))))</f>
        <v/>
      </c>
      <c r="CV65" s="44" t="str">
        <f>IF(BI65&lt;&gt;"SÍ","",IF(BO65&lt;0,0.8*CT65*MAX(0,1+BO65/(0.8*CM65*DATOS!$C$48/1000)),IF(BO65&lt;=CP65/3,0.8*CT65+0.3*BO65*CS65/100,(1.5*0.6*CT65+0.15*CP65*CS65/100)*MAX(0,1-BO65/CP65))))</f>
        <v/>
      </c>
      <c r="CW65" s="46" t="str">
        <f>IF(BI65&lt;&gt;"SÍ","",MAX(0,MIN(CU65,CV65)))</f>
        <v/>
      </c>
      <c r="CX65" s="49" t="str">
        <f>IF(BI65&lt;&gt;"SÍ","",IF(CW65&gt;0,BL65/CW65,IF(BL65&gt;0,99,0)))</f>
        <v/>
      </c>
      <c r="CY65" s="44" t="str">
        <f>IF(BI65&lt;&gt;"SÍ","",IF(BW65&gt;0,MAX(1,MIN(1.5,1.5-0.625*(BS65/BW65-0.2))),0))</f>
        <v/>
      </c>
      <c r="CZ65" s="44" t="str">
        <f>IF(BI65&lt;&gt;"SÍ","",IF(BX65&gt;0,MAX(1,MIN(1.5,1.5-0.625*(BS65/BX65-0.2))),0))</f>
        <v/>
      </c>
      <c r="DA65" s="44" t="str">
        <f>IF(BI65&lt;&gt;"SÍ","",IF(BY65&gt;0,MAX(1,MIN(1.5,1.5-0.625*(BS65/BY65-0.2))),0))</f>
        <v/>
      </c>
      <c r="DB65" s="44" t="str">
        <f>IF(BI65&lt;&gt;"SÍ","",IF(BZ65&gt;0,MAX(1,MIN(1.5,1.5-0.625*(BS65/BZ65-0.2))),0))</f>
        <v/>
      </c>
      <c r="DC65" s="44" t="str">
        <f>IF(BI65&lt;&gt;"SÍ","",IF(CA65&gt;0,MAX(1,MIN(1.5,1.5-0.625*(BS65/CA65-0.2))),0))</f>
        <v/>
      </c>
      <c r="DD65" s="44" t="str">
        <f>IF(BI65&lt;&gt;"SÍ","",IF(OR(BW65&lt;DATOS!$C$72-0.0001,BM65&lt;0,CB65&lt;=0),0,MIN(DATOS!$C$86*(0.5*DATOS!$C$41*BT65*BW65*100+0.3*BM65*BW65/CB65*1000)*CY65,1.5*DATOS!$C$86*DATOS!$C$41*BT65*BW65*100*CY65)/1000))</f>
        <v/>
      </c>
      <c r="DE65" s="44" t="str">
        <f>IF(BI65&lt;&gt;"SÍ","",IF(OR(BX65&lt;DATOS!$C$72-0.0001,BM65&lt;0,CB65&lt;=0),0,MIN(DATOS!$C$86*(0.5*DATOS!$C$41*BT65*BX65*100+0.3*BM65*BX65/CB65*1000)*CZ65,1.5*DATOS!$C$86*DATOS!$C$41*BT65*BX65*100*CZ65)/1000))</f>
        <v/>
      </c>
      <c r="DF65" s="44" t="str">
        <f>IF(BI65&lt;&gt;"SÍ","",IF(OR(BY65&lt;DATOS!$C$72-0.0001,BM65&lt;0,CB65&lt;=0),0,MIN(DATOS!$C$86*(0.5*DATOS!$C$41*BT65*BY65*100+0.3*BM65*BY65/CB65*1000)*DA65,1.5*DATOS!$C$86*DATOS!$C$41*BT65*BY65*100*DA65)/1000))</f>
        <v/>
      </c>
      <c r="DG65" s="44" t="str">
        <f>IF(BI65&lt;&gt;"SÍ","",IF(OR(BZ65&lt;DATOS!$C$72-0.0001,BM65&lt;0,CB65&lt;=0),0,MIN(DATOS!$C$86*(0.5*DATOS!$C$41*BT65*BZ65*100+0.3*BM65*BZ65/CB65*1000)*DB65,1.5*DATOS!$C$86*DATOS!$C$41*BT65*BZ65*100*DB65)/1000))</f>
        <v/>
      </c>
      <c r="DH65" s="44" t="str">
        <f>IF(BI65&lt;&gt;"SÍ","",IF(OR(CA65&lt;DATOS!$C$72-0.0001,BM65&lt;0,CB65&lt;=0),0,MIN(DATOS!$C$86*(0.5*DATOS!$C$41*BT65*CA65*100+0.3*BM65*CA65/CB65*1000)*DC65,1.5*DATOS!$C$86*DATOS!$C$41*BT65*CA65*100*DC65)/1000))</f>
        <v/>
      </c>
      <c r="DI65" s="46" t="str">
        <f>IF(BI65&lt;&gt;"SÍ","",SUM(DD65:DH65))</f>
        <v/>
      </c>
      <c r="DJ65" s="48" t="str">
        <f>IF(BI65&lt;&gt;"SÍ","",IF(AE65="VARILLA EN JUNTAS",IF(ISNUMBER(AF65),AF65,2)*INDEX(TABLAS!$D$6:$D$14,MATCH(IF(AG65&lt;&gt;"",AG65,DATOS!$C$73),TABLAS!$B$6:$B$14,0)),IF(AE65="MALLA",IF(ISNUMBER(AF65),AF65,1)*INDEX(TABLAS!$D$19:$D$22,MATCH(IF(AG65&lt;&gt;"",AG65,DATOS!$C$74),TABLAS!$B$19:$B$22,0))/100,IF(AE65="ESCALERILLA",IF(ISNUMBER(AF65),AF65,2)*INDEX(TABLAS!$D$6:$D$14,MATCH(IF(AG65&lt;&gt;"",AG65,DATOS!$C$73),TABLAS!$B$6:$B$14,0)),0))))</f>
        <v/>
      </c>
      <c r="DK65" s="47" t="str">
        <f>IF(BI65&lt;&gt;"SÍ","",IF(OR(AE65="VARILLA EN JUNTAS",AE65="ESCALERILLA"),IF(ISNUMBER(AH65),AH65,2)*DATOS!$C$26,IF(AE65="MALLA",1,0)))</f>
        <v/>
      </c>
      <c r="DL65" s="44" t="str">
        <f>IF(BI65&lt;&gt;"SÍ","",IF(DK65&gt;0,DJ65/(DK65*BT65)*MIN(DATOS!$C$50,IF(AE65="MALLA",5000,6000)),0))</f>
        <v/>
      </c>
      <c r="DM65" s="44" t="str">
        <f>IF(BI65&lt;&gt;"SÍ","",IF(AE65="ESCALERILLA",0,MIN(DL65,0.1*DATOS!$C$33*DATOS!$C$24)))</f>
        <v/>
      </c>
      <c r="DN65" s="48" t="str">
        <f>IF(BI65&lt;&gt;"SÍ","",IF(AE65="MALLA",0.5,IF(DATOS!$C$33&lt;=60,0.55,IF(DATOS!$C$33&gt;=90,0.75,0.55+0.2*(DATOS!$C$33-60)/30))))</f>
        <v/>
      </c>
      <c r="DO65" s="48" t="str">
        <f>IF(BI65&lt;&gt;"SÍ","",1-DATOS!$C$91*DM65)</f>
        <v/>
      </c>
      <c r="DP65" s="44" t="str">
        <f>IF(BI65&lt;&gt;"SÍ","",IF(BW65&gt;0,IF(BS65/BW65&lt;=1,1.3,IF(BS65/BW65&gt;=1.5,1,1.3-0.6*(BS65/BW65-1))),0))</f>
        <v/>
      </c>
      <c r="DQ65" s="44" t="str">
        <f>IF(BI65&lt;&gt;"SÍ","",IF(BX65&gt;0,IF(BS65/BX65&lt;=1,1.3,IF(BS65/BX65&gt;=1.5,1,1.3-0.6*(BS65/BX65-1))),0))</f>
        <v/>
      </c>
      <c r="DR65" s="44" t="str">
        <f>IF(BI65&lt;&gt;"SÍ","",IF(BY65&gt;0,IF(BS65/BY65&lt;=1,1.3,IF(BS65/BY65&gt;=1.5,1,1.3-0.6*(BS65/BY65-1))),0))</f>
        <v/>
      </c>
      <c r="DS65" s="44" t="str">
        <f>IF(BI65&lt;&gt;"SÍ","",IF(BZ65&gt;0,IF(BS65/BZ65&lt;=1,1.3,IF(BS65/BZ65&gt;=1.5,1,1.3-0.6*(BS65/BZ65-1))),0))</f>
        <v/>
      </c>
      <c r="DT65" s="44" t="str">
        <f>IF(BI65&lt;&gt;"SÍ","",IF(CA65&gt;0,IF(BS65/CA65&lt;=1,1.3,IF(BS65/CA65&gt;=1.5,1,1.3-0.6*(BS65/CA65-1))),0))</f>
        <v/>
      </c>
      <c r="DU65" s="44" t="str">
        <f>IF(BI65&lt;&gt;"SÍ","",IF(OR(DM65&lt;=0,BW65&lt;DATOS!$C$72-0.0001),0,DATOS!$C$86*MAX(0,IF(BM65&gt;=0,DD65/(DATOS!$C$86*DM65*BT65*BW65*100/1000)*(DP65*DO65-1)+DN65,DO65*DN65))*DM65*BT65*BW65*100/1000))</f>
        <v/>
      </c>
      <c r="DV65" s="44" t="str">
        <f>IF(BI65&lt;&gt;"SÍ","",IF(OR(DM65&lt;=0,BX65&lt;DATOS!$C$72-0.0001),0,DATOS!$C$86*MAX(0,IF(BM65&gt;=0,DE65/(DATOS!$C$86*DM65*BT65*BX65*100/1000)*(DQ65*DO65-1)+DN65,DO65*DN65))*DM65*BT65*BX65*100/1000))</f>
        <v/>
      </c>
      <c r="DW65" s="44" t="str">
        <f>IF(BI65&lt;&gt;"SÍ","",IF(OR(DM65&lt;=0,BY65&lt;DATOS!$C$72-0.0001),0,DATOS!$C$86*MAX(0,IF(BM65&gt;=0,DF65/(DATOS!$C$86*DM65*BT65*BY65*100/1000)*(DR65*DO65-1)+DN65,DO65*DN65))*DM65*BT65*BY65*100/1000))</f>
        <v/>
      </c>
      <c r="DX65" s="44" t="str">
        <f>IF(BI65&lt;&gt;"SÍ","",IF(OR(DM65&lt;=0,BZ65&lt;DATOS!$C$72-0.0001),0,DATOS!$C$86*MAX(0,IF(BM65&gt;=0,DG65/(DATOS!$C$86*DM65*BT65*BZ65*100/1000)*(DS65*DO65-1)+DN65,DO65*DN65))*DM65*BT65*BZ65*100/1000))</f>
        <v/>
      </c>
      <c r="DY65" s="44" t="str">
        <f>IF(BI65&lt;&gt;"SÍ","",IF(OR(DM65&lt;=0,CA65&lt;DATOS!$C$72-0.0001),0,DATOS!$C$86*MAX(0,IF(BM65&gt;=0,DH65/(DATOS!$C$86*DM65*BT65*CA65*100/1000)*(DT65*DO65-1)+DN65,DO65*DN65))*DM65*BT65*CA65*100/1000))</f>
        <v/>
      </c>
      <c r="DZ65" s="46" t="str">
        <f>IF(BI65&lt;&gt;"SÍ","",SUM(DU65:DY65))</f>
        <v/>
      </c>
      <c r="EA65" s="45" t="str">
        <f>IF(BI65&lt;&gt;"SÍ","",IF(OR(AE65="",AE65="NINGUNO"),IF(DATOS!$C$41&gt;=10,"FALTA refuerzo horizontal: v'm ≥ 10 kg/cm² (6.5.2.2)",IF(AND(BM65&lt;0,BK65&gt;0),"FALTA: P en tensión, el refuerzo debe tomar todo el cortante (6.5.1.3)","—")),IF(AE65="ESCALERILLA","NO CUENTA: la escalerilla no se permite para cortante por sismo (6.5.3.1.2)",IF(AE65="MALLA",IF(AND(DL65&gt;=2.5,DL65&lt;=MAX(0.15*DATOS!$C$33*DATOS!$C$24,2.5)),"CUMPLE","NO CUMPLE: "&amp;IF(DL65&lt;2.5,"p_h·f_yh &lt; 2.5 (6.5.4.2.4)","p_h·f_yh &gt; 0.15·f'm·f_an (6.5.4.2.4)")),IF(AND(DK65&lt;=MIN(6*DATOS!$C$26,45),DL65&gt;=3,DL65&lt;=MIN(MAX(0.15*DATOS!$C$33*DATOS!$C$24,3),0.05*DATOS!$C$25/10*MIN(DATOS!$C$50,6000)/DK65),INDEX(TABLAS!$C$6:$C$14,MATCH(IF(AG65&lt;&gt;"",AG65,DATOS!$C$73),TABLAS!$B$6:$B$14,0))&gt;=0.35,INDEX(TABLAS!$C$6:$C$14,MATCH(IF(AG65&lt;&gt;"",AG65,DATOS!$C$73),TABLAS!$B$6:$B$14,0))&lt;=0.75*DATOS!$C$25/10),"CUMPLE","NO CUMPLE: "&amp;IF(DK65&gt;MIN(6*DATOS!$C$26,45),"s_h &gt; 6 hiladas o 45 cm (6.5.3.2.1) ","")&amp;IF(DL65&lt;3,"p_h·f_yh &lt; 3 (6.5.3.3.1) ","")&amp;IF(DL65&gt;MIN(MAX(0.15*DATOS!$C$33*DATOS!$C$24,3),0.05*DATOS!$C$25/10*MIN(DATOS!$C$50,6000)/DK65),"p_h·f_yh &gt; máximo (6.5.3.3.2) ","")&amp;IF(OR(INDEX(TABLAS!$C$6:$C$14,MATCH(IF(AG65&lt;&gt;"",AG65,DATOS!$C$73),TABLAS!$B$6:$B$14,0))&lt;0.35,INDEX(TABLAS!$C$6:$C$14,MATCH(IF(AG65&lt;&gt;"",AG65,DATOS!$C$73),TABLAS!$B$6:$B$14,0))&gt;0.75*DATOS!$C$25/10),"diámetro fuera de 3.5 mm a 0.75·h_j (4.2.2.2.1)",""))))))</f>
        <v/>
      </c>
      <c r="EB65" s="46" t="str">
        <f>IF(BI65&lt;&gt;"SÍ","",DI65+DZ65)</f>
        <v/>
      </c>
      <c r="EC65" s="50" t="str">
        <f>IF(BI65&lt;&gt;"SÍ","",IF(EB65&gt;0,BK65/EB65,IF(BK65&gt;0,99,0)))</f>
        <v/>
      </c>
      <c r="ED65" s="47" t="str">
        <f>IF(BI65&lt;&gt;"SÍ","",IF(CE65&lt;=0,-1,IF(BK65&lt;=DI65,0,IF(IF(BM65&gt;=0,IF((DATOS!$C$86*IF(AE65="MALLA",0.5,IF(DATOS!$C$33&lt;=60,0.55,IF(DATOS!$C$33&gt;=90,0.75,0.55+0.2*(DATOS!$C$33-60)/30)))*CE65/1000-DATOS!$C$91*SUMPRODUCT(DP65:DT65,DD65:DH65))&lt;=0,1E9,(BK65-SUMPRODUCT(DP65:DT65,DD65:DH65))/(DATOS!$C$86*IF(AE65="MALLA",0.5,IF(DATOS!$C$33&lt;=60,0.55,IF(DATOS!$C$33&gt;=90,0.75,0.55+0.2*(DATOS!$C$33-60)/30)))*CE65/1000-DATOS!$C$91*SUMPRODUCT(DP65:DT65,DD65:DH65))),IF((1-4*DATOS!$C$91*BK65*1000/(DATOS!$C$86*IF(AE65="MALLA",0.5,IF(DATOS!$C$33&lt;=60,0.55,IF(DATOS!$C$33&gt;=90,0.75,0.55+0.2*(DATOS!$C$33-60)/30)))*MAX(CE65,1)))&lt;0,1E9,(1-SQRT((1-4*DATOS!$C$91*BK65*1000/(DATOS!$C$86*IF(AE65="MALLA",0.5,IF(DATOS!$C$33&lt;=60,0.55,IF(DATOS!$C$33&gt;=90,0.75,0.55+0.2*(DATOS!$C$33-60)/30)))*MAX(CE65,1)))))/(2*DATOS!$C$91)))&gt;0.1*DATOS!$C$33*DATOS!$C$24+0.000001,-1,MAX(IF(AE65="MALLA",2.5,3),IF(BM65&gt;=0,IF((DATOS!$C$86*IF(AE65="MALLA",0.5,IF(DATOS!$C$33&lt;=60,0.55,IF(DATOS!$C$33&gt;=90,0.75,0.55+0.2*(DATOS!$C$33-60)/30)))*CE65/1000-DATOS!$C$91*SUMPRODUCT(DP65:DT65,DD65:DH65))&lt;=0,1E9,(BK65-SUMPRODUCT(DP65:DT65,DD65:DH65))/(DATOS!$C$86*IF(AE65="MALLA",0.5,IF(DATOS!$C$33&lt;=60,0.55,IF(DATOS!$C$33&gt;=90,0.75,0.55+0.2*(DATOS!$C$33-60)/30)))*CE65/1000-DATOS!$C$91*SUMPRODUCT(DP65:DT65,DD65:DH65))),IF((1-4*DATOS!$C$91*BK65*1000/(DATOS!$C$86*IF(AE65="MALLA",0.5,IF(DATOS!$C$33&lt;=60,0.55,IF(DATOS!$C$33&gt;=90,0.75,0.55+0.2*(DATOS!$C$33-60)/30)))*MAX(CE65,1)))&lt;0,1E9,(1-SQRT((1-4*DATOS!$C$91*BK65*1000/(DATOS!$C$86*IF(AE65="MALLA",0.5,IF(DATOS!$C$33&lt;=60,0.55,IF(DATOS!$C$33&gt;=90,0.75,0.55+0.2*(DATOS!$C$33-60)/30)))*MAX(CE65,1)))))/(2*DATOS!$C$91))))))))</f>
        <v/>
      </c>
      <c r="EE65" s="45" t="str">
        <f>IF(BI65&lt;&gt;"SÍ","",IF(ED65=0,"NO REQUIERE: V_mR ≥ V_u",IF(ED65&lt;0,"NO ALCANZA con refuerzo horizontal (haría falta más de 0.1·f'm·f_an efectivo): sube v'm con ensayes, el espesor o la longitud del muro",IF(AND(OR(AE65="VARILLA EN JUNTAS",AE65="MALLA"),LEFT(EA65,6)="CUMPLE",EC65&lt;=1),"YA LO TIENE (pide p_h·f_yh ≥ "&amp;TEXT(ED65,"0.0")&amp;" kg/cm²)","p_h·f_yh ≥ "&amp;TEXT(ED65,"0.0")&amp;" kg/cm² → "&amp;IF(AND(MIN(6,FLOOR(45/DATOS!$C$26,1),FLOOR((2*INDEX(TABLAS!$D$6:$D$14,MATCH("3/16 in",TABLAS!$B$6:$B$14,0)))*MIN(DATOS!$C$50,6000)/(BT65*DATOS!$C$26*MAX(ED65,0.001)),1))&gt;=1,((2*INDEX(TABLAS!$D$6:$D$14,MATCH("3/16 in",TABLAS!$B$6:$B$14,0)))*MIN(DATOS!$C$50,6000)/(MAX(MIN(6,FLOOR(45/DATOS!$C$26,1),FLOOR((2*INDEX(TABLAS!$D$6:$D$14,MATCH("3/16 in",TABLAS!$B$6:$B$14,0)))*MIN(DATOS!$C$50,6000)/(BT65*DATOS!$C$26*MAX(ED65,0.001)),1)),1)*DATOS!$C$26*BT65))&lt;=MIN(MAX(0.15*DATOS!$C$33*DATOS!$C$24,3),0.05*DATOS!$C$25/10*MIN(DATOS!$C$50,6000)/(MIN(6,FLOOR(45/DATOS!$C$26,1),FLOOR((2*INDEX(TABLAS!$D$6:$D$14,MATCH("3/16 in",TABLAS!$B$6:$B$14,0)))*MIN(DATOS!$C$50,6000)/(BT65*DATOS!$C$26*MAX(ED65,0.001)),1))*DATOS!$C$26))),"2 alambres de 3/16"" por junta cada "&amp;MIN(6,FLOOR(45/DATOS!$C$26,1),FLOOR((2*INDEX(TABLAS!$D$6:$D$14,MATCH("3/16 in",TABLAS!$B$6:$B$14,0)))*MIN(DATOS!$C$50,6000)/(BT65*DATOS!$C$26*MAX(ED65,0.001)),1))&amp;" hilada(s) (p_h·f_yh = "&amp;TEXT(((2*INDEX(TABLAS!$D$6:$D$14,MATCH("3/16 in",TABLAS!$B$6:$B$14,0)))*MIN(DATOS!$C$50,6000)/(MAX(MIN(6,FLOOR(45/DATOS!$C$26,1),FLOOR((2*INDEX(TABLAS!$D$6:$D$14,MATCH("3/16 in",TABLAS!$B$6:$B$14,0)))*MIN(DATOS!$C$50,6000)/(BT65*DATOS!$C$26*MAX(ED65,0.001)),1)),1)*DATOS!$C$26*BT65)),"0.00")&amp;")",IF(AND(MIN(6,FLOOR(45/DATOS!$C$26,1),FLOOR((2*INDEX(TABLAS!$D$6:$D$14,MATCH("5/32 in",TABLAS!$B$6:$B$14,0)))*MIN(DATOS!$C$50,6000)/(BT65*DATOS!$C$26*MAX(ED65,0.001)),1))&gt;=1,((2*INDEX(TABLAS!$D$6:$D$14,MATCH("5/32 in",TABLAS!$B$6:$B$14,0)))*MIN(DATOS!$C$50,6000)/(MAX(MIN(6,FLOOR(45/DATOS!$C$26,1),FLOOR((2*INDEX(TABLAS!$D$6:$D$14,MATCH("5/32 in",TABLAS!$B$6:$B$14,0)))*MIN(DATOS!$C$50,6000)/(BT65*DATOS!$C$26*MAX(ED65,0.001)),1)),1)*DATOS!$C$26*BT65))&lt;=MIN(MAX(0.15*DATOS!$C$33*DATOS!$C$24,3),0.05*DATOS!$C$25/10*MIN(DATOS!$C$50,6000)/(MIN(6,FLOOR(45/DATOS!$C$26,1),FLOOR((2*INDEX(TABLAS!$D$6:$D$14,MATCH("5/32 in",TABLAS!$B$6:$B$14,0)))*MIN(DATOS!$C$50,6000)/(BT65*DATOS!$C$26*MAX(ED65,0.001)),1))*DATOS!$C$26))),"2 alambres de 5/32"" por junta cada "&amp;MIN(6,FLOOR(45/DATOS!$C$26,1),FLOOR((2*INDEX(TABLAS!$D$6:$D$14,MATCH("5/32 in",TABLAS!$B$6:$B$14,0)))*MIN(DATOS!$C$50,6000)/(BT65*DATOS!$C$26*MAX(ED65,0.001)),1))&amp;" hilada(s) (p_h·f_yh = "&amp;TEXT(((2*INDEX(TABLAS!$D$6:$D$14,MATCH("5/32 in",TABLAS!$B$6:$B$14,0)))*MIN(DATOS!$C$50,6000)/(MAX(MIN(6,FLOOR(45/DATOS!$C$26,1),FLOOR((2*INDEX(TABLAS!$D$6:$D$14,MATCH("5/32 in",TABLAS!$B$6:$B$14,0)))*MIN(DATOS!$C$50,6000)/(BT65*DATOS!$C$26*MAX(ED65,0.001)),1)),1)*DATOS!$C$26*BT65)),"0.00")&amp;")",IF(AND(MIN(6,FLOOR(45/DATOS!$C$26,1),FLOOR((1*INDEX(TABLAS!$D$6:$D$14,MATCH("3/16 in",TABLAS!$B$6:$B$14,0)))*MIN(DATOS!$C$50,6000)/(BT65*DATOS!$C$26*MAX(ED65,0.001)),1))&gt;=1,((1*INDEX(TABLAS!$D$6:$D$14,MATCH("3/16 in",TABLAS!$B$6:$B$14,0)))*MIN(DATOS!$C$50,6000)/(MAX(MIN(6,FLOOR(45/DATOS!$C$26,1),FLOOR((1*INDEX(TABLAS!$D$6:$D$14,MATCH("3/16 in",TABLAS!$B$6:$B$14,0)))*MIN(DATOS!$C$50,6000)/(BT65*DATOS!$C$26*MAX(ED65,0.001)),1)),1)*DATOS!$C$26*BT65))&lt;=MIN(MAX(0.15*DATOS!$C$33*DATOS!$C$24,3),0.05*DATOS!$C$25/10*MIN(DATOS!$C$50,6000)/(MIN(6,FLOOR(45/DATOS!$C$26,1),FLOOR((1*INDEX(TABLAS!$D$6:$D$14,MATCH("3/16 in",TABLAS!$B$6:$B$14,0)))*MIN(DATOS!$C$50,6000)/(BT65*DATOS!$C$26*MAX(ED65,0.001)),1))*DATOS!$C$26))),"1 alambre de 3/16"" por junta cada "&amp;MIN(6,FLOOR(45/DATOS!$C$26,1),FLOOR((1*INDEX(TABLAS!$D$6:$D$14,MATCH("3/16 in",TABLAS!$B$6:$B$14,0)))*MIN(DATOS!$C$50,6000)/(BT65*DATOS!$C$26*MAX(ED65,0.001)),1))&amp;" hilada(s) (p_h·f_yh = "&amp;TEXT(((1*INDEX(TABLAS!$D$6:$D$14,MATCH("3/16 in",TABLAS!$B$6:$B$14,0)))*MIN(DATOS!$C$50,6000)/(MAX(MIN(6,FLOOR(45/DATOS!$C$26,1),FLOOR((1*INDEX(TABLAS!$D$6:$D$14,MATCH("3/16 in",TABLAS!$B$6:$B$14,0)))*MIN(DATOS!$C$50,6000)/(BT65*DATOS!$C$26*MAX(ED65,0.001)),1)),1)*DATOS!$C$26*BT65)),"0.00")&amp;")",IF(AND(MIN(6,FLOOR(45/DATOS!$C$26,1),FLOOR((1*INDEX(TABLAS!$D$6:$D$14,MATCH("5/32 in",TABLAS!$B$6:$B$14,0)))*MIN(DATOS!$C$50,6000)/(BT65*DATOS!$C$26*MAX(ED65,0.001)),1))&gt;=1,((1*INDEX(TABLAS!$D$6:$D$14,MATCH("5/32 in",TABLAS!$B$6:$B$14,0)))*MIN(DATOS!$C$50,6000)/(MAX(MIN(6,FLOOR(45/DATOS!$C$26,1),FLOOR((1*INDEX(TABLAS!$D$6:$D$14,MATCH("5/32 in",TABLAS!$B$6:$B$14,0)))*MIN(DATOS!$C$50,6000)/(BT65*DATOS!$C$26*MAX(ED65,0.001)),1)),1)*DATOS!$C$26*BT65))&lt;=MIN(MAX(0.15*DATOS!$C$33*DATOS!$C$24,3),0.05*DATOS!$C$25/10*MIN(DATOS!$C$50,6000)/(MIN(6,FLOOR(45/DATOS!$C$26,1),FLOOR((1*INDEX(TABLAS!$D$6:$D$14,MATCH("5/32 in",TABLAS!$B$6:$B$14,0)))*MIN(DATOS!$C$50,6000)/(BT65*DATOS!$C$26*MAX(ED65,0.001)),1))*DATOS!$C$26))),"1 alambre de 5/32"" por junta cada "&amp;MIN(6,FLOOR(45/DATOS!$C$26,1),FLOOR((1*INDEX(TABLAS!$D$6:$D$14,MATCH("5/32 in",TABLAS!$B$6:$B$14,0)))*MIN(DATOS!$C$50,6000)/(BT65*DATOS!$C$26*MAX(ED65,0.001)),1))&amp;" hilada(s) (p_h·f_yh = "&amp;TEXT(((1*INDEX(TABLAS!$D$6:$D$14,MATCH("5/32 in",TABLAS!$B$6:$B$14,0)))*MIN(DATOS!$C$50,6000)/(MAX(MIN(6,FLOOR(45/DATOS!$C$26,1),FLOOR((1*INDEX(TABLAS!$D$6:$D$14,MATCH("5/32 in",TABLAS!$B$6:$B$14,0)))*MIN(DATOS!$C$50,6000)/(BT65*DATOS!$C$26*MAX(ED65,0.001)),1)),1)*DATOS!$C$26*BT65)),"0.00")&amp;")","ninguna combinación de 1 o 2 alambres por junta queda entre el mínimo y el máximo: revisa con malla (6.5.4)"))))))))</f>
        <v/>
      </c>
      <c r="EF65" s="43" t="str">
        <f>IF(BI65&lt;&gt;"SÍ","",IF(AI65="SÍ",N(AK65)*N(AL65)^3/12,0))</f>
        <v/>
      </c>
      <c r="EG65" s="48" t="str">
        <f>IF(BI65&lt;&gt;"SÍ","",IF(AND(AI65="SÍ",N(AM65)&gt;0),MIN(1,F65/AM65),0))</f>
        <v/>
      </c>
      <c r="EH65" s="47" t="str">
        <f>IF(BI65&lt;&gt;"SÍ","",IF(AI65="SÍ",BP65*1000/(BT65*F65*100)*BT65*(EG65^4-4*EG65^3+8*EG65),0))</f>
        <v/>
      </c>
      <c r="EI65" s="48" t="str">
        <f>IF(BI65&lt;&gt;"SÍ","",IF(AND(AI65="SÍ",EH65&gt;0),EH65/(EH65+5*N(AN65)*10),0))</f>
        <v/>
      </c>
      <c r="EJ65" s="44" t="str">
        <f>IF(BI65&lt;&gt;"SÍ","",IF(AND(AI65="SÍ",EI65&gt;0,EF65&gt;0),(DATOS!$C$43*BT65*(AM65*100)^3/(DATOS!$C$53*EF65*EI65))^0.25,0))</f>
        <v/>
      </c>
      <c r="EK65" s="44" t="str">
        <f>IF(BI65&lt;&gt;"SÍ","",IF(AI65&lt;&gt;"SÍ",0,IF(N(AM65)&lt;=F65,1,IF(MIN(1,N(AO65)/((AM65-F65)/2))&lt;=0.5,0.7+0.6*MIN(1,N(AO65)/((AM65-F65)/2)),1.5-MIN(1,N(AO65)/((AM65-F65)/2))))))</f>
        <v/>
      </c>
      <c r="EL65" s="44" t="str">
        <f>IF(BI65&lt;&gt;"SÍ","",IF(AI65&lt;&gt;"SÍ",0,MAX(1,IF(EG65&gt;=1,(1.6*EJ65-3.9),IF(EG65&lt;0.9,((3.2*EJ65-7.8)*EK65),((3.2*EJ65-7.8)*EK65)+((1.6*EJ65-3.9)-((3.2*EJ65-7.8)*EK65))*(EG65-0.9)/0.1)))))</f>
        <v/>
      </c>
      <c r="EM65" s="47" t="str">
        <f>IF(BI65&lt;&gt;"SÍ","",IF(AI65="SÍ",EL65*BP65*1000/(BT65*F65*100),0))</f>
        <v/>
      </c>
      <c r="EN65" s="47" t="str">
        <f>IF(BI65&lt;&gt;"SÍ","",IF(AND(AI65="SÍ",N(AL65)&gt;0),AM65*100/AL65,0))</f>
        <v/>
      </c>
      <c r="EO65" s="47" t="str">
        <f>IF(BI65&lt;&gt;"SÍ","",IF(AI65="SÍ",(1/15*DATOS!$C$53*N(AK65)/MAX((IF(ISNUMBER(AP65),AP65,BP65/DATOS!$C$90)*1000/(BT65*F65*100)*BT65*(EG65^4-4*EG65^3+8*EG65))+5*N(AN65)/DATOS!$C$90*10,0.001))^(1/3),0))</f>
        <v/>
      </c>
      <c r="EP65" s="45" t="str">
        <f>IF(BI65&lt;&gt;"SÍ","",IF(AI65&lt;&gt;"SÍ","—",IF(OR(N(AK65)&lt;=0,N(AL65)&lt;=0,N(AM65)&lt;=0),"REVISAR: faltan b, h o L_v de la viga",IF(AND(EM65&lt;=DATOS!$C$87*DATOS!$C$33,EN65&lt;=14,N(AL65)&gt;=25,EN65&lt;=EO65),IF(BS65/F65&lt;0.6,"PENDIENTE: H/L &lt; 0.6, falta el análisis de interacción muro–viga (4.1.18.2.1); f_CM es estimado","CUMPLE"),"NO CUMPLE: "&amp;IF(EM65&gt;DATOS!$C$87*DATOS!$C$33,"f_CM &gt; F_R·f'm ","")&amp;IF(EN65&gt;14,"L_v/h_v &gt; 14 ","")&amp;IF(N(AL65)&lt;25,"h_v &lt; 25 cm ","")&amp;IF(EN65&gt;EO65,"flecha (4.1.18.3)","")))))</f>
        <v/>
      </c>
      <c r="EQ65" s="44" t="str">
        <f>IF(BI65&lt;&gt;"SÍ","",MAX(0,F65*BS65-(N(K65)*N(M65)+N(P65)*N(R65)+N(U65)*N(W65)+N(Z65)*N(AB65))-CK65*DATOS!$C$59/100*BS65))</f>
        <v/>
      </c>
      <c r="ER65" s="48" t="str">
        <f>IF(BI65&lt;&gt;"SÍ","",CK65*DATOS!$C$59*DATOS!$C$60/10000*BS65)</f>
        <v/>
      </c>
      <c r="ES65" s="47" t="str">
        <f>IF(BI65&lt;&gt;"SÍ","",CK65*(DATOS!$C$61*(BS65+0.6)*INDEX(TABLAS!$E$6:$E$14,MATCH(DATOS!$C$62,TABLAS!$B$6:$B$14,0))+(2*ROUNDUP(CN65/DATOS!$C$65,0)+ROUNDUP(MAX(0,BS65*100-2*CN65)/DATOS!$C$64,0))*((2*(DATOS!$C$60+DATOS!$C$59-4*(DATOS!$C$66-INDEX(TABLAS!$C$6:$C$14,MATCH(DATOS!$C$63,TABLAS!$B$6:$B$14,0))))+15)/100)*INDEX(TABLAS!$E$6:$E$14,MATCH(DATOS!$C$63,TABLAS!$B$6:$B$14,0))))</f>
        <v/>
      </c>
      <c r="ET65" s="47" t="str">
        <f>IF(BI65&lt;&gt;"SÍ","",IF(OR(AE65="VARILLA EN JUNTAS",AE65="ESCALERILLA"),INT(BS65*100/MAX(DK65,1))*IF(ISNUMBER(AF65),AF65,2)*CB65*INDEX(TABLAS!$E$6:$E$14,MATCH(IF(AG65&lt;&gt;"",AG65,DATOS!$C$73),TABLAS!$B$6:$B$14,0)),IF(AE65="MALLA",IF(ISNUMBER(AF65),AF65,1)*CB65*BS65*INDEX(TABLAS!$E$19:$E$22,MATCH(IF(AG65&lt;&gt;"",AG65,DATOS!$C$74),TABLAS!$B$19:$B$22,0)),0)))</f>
        <v/>
      </c>
      <c r="EU65" s="45" t="str">
        <f>IF(BI65&lt;&gt;"SÍ","",""&amp;IF(BJ65="NO ESTÁ EN PIER_FORCES","sin fuerzas en PIER_FORCES; ","")&amp;IF(BV65&lt;&gt;"CUMPLE","vanos; ","")&amp;IF(LEFT(CH65,2)="NO","espesor o esbeltez; ","")&amp;IF(CQ65&gt;1,"compresión; ","")&amp;IF(CX65&gt;1,"flexión; ","")&amp;IF(CB65&lt;=0,"sin tramos de muro (todos son machones menores que L mín.: diséñalos como columnas o baja L mín.); ",IF(EC65&gt;1,"cortante; ",""))&amp;IF(OR(LEFT(EA65,2)="NO",LEFT(EA65,5)="FALTA"),"refuerzo horizontal; ","")&amp;IF(OR(LEFT(EP65,2)="NO",LEFT(EP65,7)="REVISAR"),"muro sobre viga; ","")&amp;IF(LEFT(DATOS!$C$81,2)="NO","castillo típico; ","")&amp;IF(LEFT(DATOS!$C$82,2)="NO","dala típica; ","")&amp;IF(AND(BT65&lt;&gt;DATOS!$C$58,DATOS!$C$60&lt;BT65),"castillo más angosto que el muro; ",""))</f>
        <v/>
      </c>
      <c r="EV65" s="45" t="str">
        <f>IF(BI65&lt;&gt;"SÍ","",""&amp;IF(LEFT(EP65,9)="PENDIENTE","análisis muro–viga (H/L &lt; 0.6); ","")&amp;IF(BR65&gt;50,"V_u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5" s="51" t="str">
        <f>IF(BI65&lt;&gt;"SÍ","",IF(EU65&lt;&gt;"","NO CUMPLE: "&amp;LEFT(EU65,LEN(EU65)-2),IF(EV65&lt;&gt;"","CUMPLE — PENDIENTE: "&amp;LEFT(EV65,LEN(EV65)-2),"CUMPLE")))</f>
        <v/>
      </c>
      <c r="EX65" s="52" t="n"/>
    </row>
    <row r="66" ht="30" customHeight="1">
      <c r="A66" s="38" t="str">
        <f>IF(B66="","",ROW()-10)</f>
        <v/>
      </c>
      <c r="B66" s="28" t="n"/>
      <c r="C66" s="39" t="n"/>
      <c r="D66" s="39" t="n"/>
      <c r="E66" s="39" t="n"/>
      <c r="F66" s="40" t="n"/>
      <c r="G66" s="40" t="n"/>
      <c r="H66" s="41" t="n"/>
      <c r="I66" s="39" t="n"/>
      <c r="J66" s="40" t="n"/>
      <c r="K66" s="40" t="n"/>
      <c r="L66" s="40" t="n"/>
      <c r="M66" s="40" t="n"/>
      <c r="N66" s="39" t="n"/>
      <c r="O66" s="40" t="n"/>
      <c r="P66" s="40" t="n"/>
      <c r="Q66" s="40" t="n"/>
      <c r="R66" s="40" t="n"/>
      <c r="S66" s="39" t="n"/>
      <c r="T66" s="40" t="n"/>
      <c r="U66" s="40" t="n"/>
      <c r="V66" s="40" t="n"/>
      <c r="W66" s="40" t="n"/>
      <c r="X66" s="39" t="n"/>
      <c r="Y66" s="40" t="n"/>
      <c r="Z66" s="40" t="n"/>
      <c r="AA66" s="40" t="n"/>
      <c r="AB66" s="40" t="n"/>
      <c r="AC66" s="41" t="n"/>
      <c r="AD66" s="41" t="n"/>
      <c r="AE66" s="39" t="n"/>
      <c r="AF66" s="41" t="n"/>
      <c r="AG66" s="41" t="n"/>
      <c r="AH66" s="41" t="n"/>
      <c r="AI66" s="39" t="n"/>
      <c r="AJ66" s="39" t="n"/>
      <c r="AK66" s="41" t="n"/>
      <c r="AL66" s="41" t="n"/>
      <c r="AM66" s="40" t="n"/>
      <c r="AN66" s="40" t="n"/>
      <c r="AO66" s="40" t="n"/>
      <c r="AP66" s="40" t="n"/>
      <c r="AQ66" s="40" t="n"/>
      <c r="AR66" s="40" t="n"/>
      <c r="AS66" s="40" t="n"/>
      <c r="AT66" s="40" t="n"/>
      <c r="AU66" s="40" t="n"/>
      <c r="AV66" s="40" t="n"/>
      <c r="AW66" s="40" t="n"/>
      <c r="AX66" s="42" t="str">
        <f>IF(B66="","",C66&amp;"|"&amp;B66)</f>
        <v/>
      </c>
      <c r="AY66" s="43" t="str">
        <f>IF(B66="","",COUNTIFS(PIER_FORCES!$O$9:$O$3008,56,PIER_FORCES!$P$9:$P$3008,1))</f>
        <v/>
      </c>
      <c r="AZ66" s="43" t="str">
        <f>IF(B66="","",COUNTIFS(PIER_FORCES!$O$9:$O$3008,56,PIER_FORCES!$P$9:$P$3008,2))</f>
        <v/>
      </c>
      <c r="BA66" s="44">
        <f>IF(N(AY66)=0,0,SUMPRODUCT(MAX((PIER_FORCES!$O$9:$O$3008=56)*(PIER_FORCES!$P$9:$P$3008=1)*PIER_FORCES!$R$9:$R$3008)))</f>
        <v>0</v>
      </c>
      <c r="BB66" s="44">
        <f>IF(N(AY66)=0,0,SUMPRODUCT(MAX((PIER_FORCES!$O$9:$O$3008=56)*(PIER_FORCES!$P$9:$P$3008=1)*PIER_FORCES!$S$9:$S$3008)))</f>
        <v>0</v>
      </c>
      <c r="BC66" s="44">
        <f>IF(N(AY66)=0,0,-SUMPRODUCT(MAX((PIER_FORCES!$O$9:$O$3008=56)*(PIER_FORCES!$P$9:$P$3008=1)*(-PIER_FORCES!$Q$9:$Q$3008)+(1-(PIER_FORCES!$O$9:$O$3008=56)*(PIER_FORCES!$P$9:$P$3008=1))*(-1E9))))</f>
        <v>0</v>
      </c>
      <c r="BD66" s="44">
        <f>IF(N(AY66)=0,0,SUMPRODUCT(MAX((PIER_FORCES!$O$9:$O$3008=56)*(PIER_FORCES!$P$9:$P$3008=1)*PIER_FORCES!$Q$9:$Q$3008+(1-(PIER_FORCES!$O$9:$O$3008=56)*(PIER_FORCES!$P$9:$P$3008=1))*(-1E9))))</f>
        <v>0</v>
      </c>
      <c r="BE66" s="44">
        <f>IF(N(AZ66)=0,BD66,SUMPRODUCT(MAX((PIER_FORCES!$O$9:$O$3008=56)*(PIER_FORCES!$P$9:$P$3008=2)*PIER_FORCES!$Q$9:$Q$3008+(1-(PIER_FORCES!$O$9:$O$3008=56)*(PIER_FORCES!$P$9:$P$3008=2))*(-1E9))))</f>
        <v>0</v>
      </c>
      <c r="BF66" s="44">
        <f>IF(N(AZ66)=0,0,SUMPRODUCT(MAX((PIER_FORCES!$O$9:$O$3008=56)*(PIER_FORCES!$P$9:$P$3008=2)*PIER_FORCES!$R$9:$R$3008)))</f>
        <v>0</v>
      </c>
      <c r="BG66" s="43">
        <f>IF(N(AY66)=0,0,SUMPRODUCT(MAX((PIER_FORCES!$O$9:$O$3008=56)*(PIER_FORCES!$P$9:$P$3008=1)*(ABS(PIER_FORCES!$R$9:$R$3008-BA66)&lt;0.000001)*PIER_FORCES!$T$9:$T$3008)))</f>
        <v>0</v>
      </c>
      <c r="BH66" s="45" t="str">
        <f>IF(N(BG66)=0,"",INDEX(PIER_FORCES!$D$9:$D$3008,BG66)&amp;" "&amp;INDEX(PIER_FORCES!$F$9:$F$3008,BG66)&amp;" / "&amp;INDEX(PIER_FORCES!$G$9:$G$3008,BG66))</f>
        <v/>
      </c>
      <c r="BI66" s="42" t="str">
        <f>IF(B66="","",IF(AND(C66&lt;&gt;"",OR(D66="X",D66="Y"),ISNUMBER(F66),N(F66)&gt;0),"SÍ","NO"))</f>
        <v/>
      </c>
      <c r="BJ66" s="42" t="str">
        <f>IF(BI66&lt;&gt;"SÍ","",IF(DATOS!$C$108="ETABS (PIER_FORCES)",IF(N(AY66)&gt;0,"ETABS","NO ESTÁ EN PIER_FORCES"),"CAPTURA"))</f>
        <v/>
      </c>
      <c r="BK66" s="46" t="str">
        <f>IF(BI66&lt;&gt;"SÍ","",IF(BJ66="ETABS",BA66,IF(BJ66="CAPTURA",N(AQ66),0)))</f>
        <v/>
      </c>
      <c r="BL66" s="46" t="str">
        <f>IF(BI66&lt;&gt;"SÍ","",IF(BJ66="ETABS",BB66,IF(BJ66="CAPTURA",N(AR66),0)))</f>
        <v/>
      </c>
      <c r="BM66" s="46" t="str">
        <f>IF(BI66&lt;&gt;"SÍ","",IF(BJ66="ETABS",BC66/DATOS!$C$89,IF(BJ66="CAPTURA",N(AS66),0)))</f>
        <v/>
      </c>
      <c r="BN66" s="44" t="str">
        <f>IF(BI66&lt;&gt;"SÍ","",IF(BJ66="ETABS",BC66,IF(BJ66="CAPTURA",IF(ISNUMBER(AU66),AU66,N(AS66)*DATOS!$C$89),0)))</f>
        <v/>
      </c>
      <c r="BO66" s="44" t="str">
        <f>IF(BI66&lt;&gt;"SÍ","",IF(BJ66="ETABS",MAX(BD66,BE66),IF(BJ66="CAPTURA",N(AT66),0)))</f>
        <v/>
      </c>
      <c r="BP66" s="44" t="str">
        <f>IF(BI66&lt;&gt;"SÍ","",IF(BJ66="ETABS",BE66,IF(BJ66="CAPTURA",IF(ISNUMBER(AV66),AV66,N(AT66)),0)))</f>
        <v/>
      </c>
      <c r="BQ66" s="44" t="str">
        <f>IF(BI66&lt;&gt;"SÍ","",IF(BJ66="ETABS",BF66,IF(BJ66="CAPTURA",N(AW66),0)))</f>
        <v/>
      </c>
      <c r="BR66" s="43" t="str">
        <f>IF(BI66&lt;&gt;"SÍ","",IF(BK66&gt;0,100*BQ66/BK66,0))</f>
        <v/>
      </c>
      <c r="BS66" s="44" t="str">
        <f>IF(BI66&lt;&gt;"SÍ","",IF(ISNUMBER(G66),G66,DATOS!$C$57))</f>
        <v/>
      </c>
      <c r="BT66" s="47" t="str">
        <f>IF(BI66&lt;&gt;"SÍ","",IF(ISNUMBER(H66),H66,DATOS!$C$58))</f>
        <v/>
      </c>
      <c r="BU66" s="43" t="str">
        <f>IF(BI66&lt;&gt;"SÍ","",IF(N(K66)&gt;0,1+IF(N(P66)&gt;0,1+IF(N(U66)&gt;0,1+IF(N(Z66)&gt;0,1,0),0),0),0))</f>
        <v/>
      </c>
      <c r="BV66" s="45" t="str">
        <f>IF(BI66&lt;&gt;"SÍ","",IF(AND(OR(BU66&lt;1,AND(N(J66)&gt;=0-0.001,J66+K66&lt;=F66+0.001,N(L66)&gt;=0,N(L66)+N(M66)&lt;=BS66+0.001,N(M66)&gt;0,OR(I66="PUERTA",I66="VENTANA"))),OR(BU66&lt;2,AND(N(O66)&gt;=(J66+K66)-0.001,O66+P66&lt;=F66+0.001,N(Q66)&gt;=0,N(Q66)+N(R66)&lt;=BS66+0.001,N(R66)&gt;0,OR(N66="PUERTA",N66="VENTANA"))),OR(BU66&lt;3,AND(N(T66)&gt;=(O66+P66)-0.001,T66+U66&lt;=F66+0.001,N(V66)&gt;=0,N(V66)+N(W66)&lt;=BS66+0.001,N(W66)&gt;0,OR(S66="PUERTA",S66="VENTANA"))),OR(BU66&lt;4,AND(N(Y66)&gt;=(T66+U66)-0.001,Y66+Z66&lt;=F66+0.001,N(AA66)&gt;=0,N(AA66)+N(AB66)&lt;=BS66+0.001,N(AB66)&gt;0,OR(X66="PUERTA",X66="VENTANA"))),(N(K66)&gt;0)+(N(P66)&gt;0)+(N(U66)&gt;0)+(N(Z66)&gt;0)=BU66),"CUMPLE","REVISAR VANOS: tipo, orden de izquierda a derecha, que quepan en L y en H"))</f>
        <v/>
      </c>
      <c r="BW66" s="44" t="str">
        <f>IF(BI66&lt;&gt;"SÍ","",MAX(0,IF(BU66&gt;=1,N(J66),F66)))</f>
        <v/>
      </c>
      <c r="BX66" s="44" t="str">
        <f>IF(BI66&lt;&gt;"SÍ","",MAX(0,IF(BU66&gt;=2,N(O66)-(N(J66)+N(K66)),IF(BU66=1,F66-(N(J66)+N(K66)),0))))</f>
        <v/>
      </c>
      <c r="BY66" s="44" t="str">
        <f>IF(BI66&lt;&gt;"SÍ","",MAX(0,IF(BU66&gt;=3,N(T66)-(N(O66)+N(P66)),IF(BU66=2,F66-(N(O66)+N(P66)),0))))</f>
        <v/>
      </c>
      <c r="BZ66" s="44" t="str">
        <f>IF(BI66&lt;&gt;"SÍ","",MAX(0,IF(BU66&gt;=4,N(Y66)-(N(T66)+N(U66)),IF(BU66=3,F66-(N(T66)+N(U66)),0))))</f>
        <v/>
      </c>
      <c r="CA66" s="44" t="str">
        <f>IF(BI66&lt;&gt;"SÍ","",MAX(0,IF(BU66=4,F66-(N(Y66)+N(Z66)),0)))</f>
        <v/>
      </c>
      <c r="CB66" s="46" t="str">
        <f>IF(BI66&lt;&gt;"SÍ","",SUMPRODUCT((BW66:CA66&gt;=DATOS!$C$72-0.0001)*BW66:CA66))</f>
        <v/>
      </c>
      <c r="CC66" s="43" t="str">
        <f>IF(BI66&lt;&gt;"SÍ","",SUMPRODUCT(--(BW66:CA66&gt;=DATOS!$C$72-0.0001)))</f>
        <v/>
      </c>
      <c r="CD66" s="44" t="str">
        <f>IF(BI66&lt;&gt;"SÍ","",SUM(BW66:CA66))</f>
        <v/>
      </c>
      <c r="CE66" s="43" t="str">
        <f>IF(BI66&lt;&gt;"SÍ","",BT66*CB66*100)</f>
        <v/>
      </c>
      <c r="CF66" s="43" t="str">
        <f>IF(BI66&lt;&gt;"SÍ","",BT66*CD66*100)</f>
        <v/>
      </c>
      <c r="CG66" s="47" t="str">
        <f>IF(BI66&lt;&gt;"SÍ","",BS66*100/BT66)</f>
        <v/>
      </c>
      <c r="CH66" s="45" t="str">
        <f>IF(BI66&lt;&gt;"SÍ","",IF(AND(OR(DATOS!$C$14="TIPO II",BT66&gt;=12),CG66&lt;=25),"CUMPLE","NO CUMPLE: "&amp;IF(AND(DATOS!$C$14="TIPO I",BT66&lt;12),"t &lt; 12 cm ","")&amp;IF(CG66&gt;25,"H/t &gt; 25","")))</f>
        <v/>
      </c>
      <c r="CI66" s="44" t="str">
        <f>IF(BI66&lt;&gt;"SÍ","",MIN(1.5*BS66,4))</f>
        <v/>
      </c>
      <c r="CJ66" s="43" t="str">
        <f>IF(BI66&lt;&gt;"SÍ","",SUMPRODUCT((BW66:CA66&gt;=2*DATOS!$C$59/100)*INT((BW66:CA66-DATOS!$C$59/100)/CI66-0.000001)*((BW66:CA66-DATOS!$C$59/100)&gt;0)))</f>
        <v/>
      </c>
      <c r="CK66" s="43" t="str">
        <f>IF(BI66&lt;&gt;"SÍ","",SUMPRODUCT((BW66:CA66&gt;0.0001)*1+(BW66:CA66&gt;=2*DATOS!$C$59/100)*1)+CJ66)</f>
        <v/>
      </c>
      <c r="CL66" s="44" t="str">
        <f>IF(BI66&lt;&gt;"SÍ","",IF(ISNUMBER(AC66),AC66,DATOS!$C$61)*INDEX(TABLAS!$D$6:$D$14,MATCH(IF(AD66&lt;&gt;"",AD66,DATOS!$C$62),TABLAS!$B$6:$B$14,0)))</f>
        <v/>
      </c>
      <c r="CM66" s="44" t="str">
        <f>IF(BI66&lt;&gt;"SÍ","",CK66*DATOS!$C$78+IF(CK66&gt;=2,2,CK66)*(CL66-DATOS!$C$78))</f>
        <v/>
      </c>
      <c r="CN66" s="47" t="str">
        <f>IF(BI66&lt;&gt;"SÍ","",MAX(BS66*100/6,40))</f>
        <v/>
      </c>
      <c r="CO66" s="48" t="str">
        <f>IF(BI66&lt;&gt;"SÍ","",IF(CG66&lt;=20,IF(E66="INTERIOR",0.7,0.6),MIN(IF(E66="INTERIOR",0.7,0.6),(1-2/24)*(1-(IF(E66="INTERIOR",0.8,1)*CG66/30)^2))))</f>
        <v/>
      </c>
      <c r="CP66" s="47" t="str">
        <f>IF(BI66&lt;&gt;"SÍ","",DATOS!$C$87*CO66*(DATOS!$C$33*CF66+CM66*DATOS!$C$48)/1000)</f>
        <v/>
      </c>
      <c r="CQ66" s="46" t="str">
        <f>IF(BI66&lt;&gt;"SÍ","",IF(CP66&gt;0,BO66/CP66,99))</f>
        <v/>
      </c>
      <c r="CR66" s="47" t="str">
        <f>IF(BI66&lt;&gt;"SÍ","",MAX(0,F66*100-DATOS!$C$59))</f>
        <v/>
      </c>
      <c r="CS66" s="47" t="str">
        <f>IF(BI66&lt;&gt;"SÍ","",MAX(0,F66*100-DATOS!$C$59/2))</f>
        <v/>
      </c>
      <c r="CT66" s="44" t="str">
        <f>IF(BI66&lt;&gt;"SÍ","",CL66*DATOS!$C$48*CR66/100000)</f>
        <v/>
      </c>
      <c r="CU66" s="44" t="str">
        <f>IF(BI66&lt;&gt;"SÍ","",IF(BN66&lt;0,0.8*CT66*MAX(0,1+BN66/(0.8*CM66*DATOS!$C$48/1000)),IF(BN66&lt;=CP66/3,0.8*CT66+0.3*BN66*CS66/100,(1.5*0.6*CT66+0.15*CP66*CS66/100)*MAX(0,1-BN66/CP66))))</f>
        <v/>
      </c>
      <c r="CV66" s="44" t="str">
        <f>IF(BI66&lt;&gt;"SÍ","",IF(BO66&lt;0,0.8*CT66*MAX(0,1+BO66/(0.8*CM66*DATOS!$C$48/1000)),IF(BO66&lt;=CP66/3,0.8*CT66+0.3*BO66*CS66/100,(1.5*0.6*CT66+0.15*CP66*CS66/100)*MAX(0,1-BO66/CP66))))</f>
        <v/>
      </c>
      <c r="CW66" s="46" t="str">
        <f>IF(BI66&lt;&gt;"SÍ","",MAX(0,MIN(CU66,CV66)))</f>
        <v/>
      </c>
      <c r="CX66" s="49" t="str">
        <f>IF(BI66&lt;&gt;"SÍ","",IF(CW66&gt;0,BL66/CW66,IF(BL66&gt;0,99,0)))</f>
        <v/>
      </c>
      <c r="CY66" s="44" t="str">
        <f>IF(BI66&lt;&gt;"SÍ","",IF(BW66&gt;0,MAX(1,MIN(1.5,1.5-0.625*(BS66/BW66-0.2))),0))</f>
        <v/>
      </c>
      <c r="CZ66" s="44" t="str">
        <f>IF(BI66&lt;&gt;"SÍ","",IF(BX66&gt;0,MAX(1,MIN(1.5,1.5-0.625*(BS66/BX66-0.2))),0))</f>
        <v/>
      </c>
      <c r="DA66" s="44" t="str">
        <f>IF(BI66&lt;&gt;"SÍ","",IF(BY66&gt;0,MAX(1,MIN(1.5,1.5-0.625*(BS66/BY66-0.2))),0))</f>
        <v/>
      </c>
      <c r="DB66" s="44" t="str">
        <f>IF(BI66&lt;&gt;"SÍ","",IF(BZ66&gt;0,MAX(1,MIN(1.5,1.5-0.625*(BS66/BZ66-0.2))),0))</f>
        <v/>
      </c>
      <c r="DC66" s="44" t="str">
        <f>IF(BI66&lt;&gt;"SÍ","",IF(CA66&gt;0,MAX(1,MIN(1.5,1.5-0.625*(BS66/CA66-0.2))),0))</f>
        <v/>
      </c>
      <c r="DD66" s="44" t="str">
        <f>IF(BI66&lt;&gt;"SÍ","",IF(OR(BW66&lt;DATOS!$C$72-0.0001,BM66&lt;0,CB66&lt;=0),0,MIN(DATOS!$C$86*(0.5*DATOS!$C$41*BT66*BW66*100+0.3*BM66*BW66/CB66*1000)*CY66,1.5*DATOS!$C$86*DATOS!$C$41*BT66*BW66*100*CY66)/1000))</f>
        <v/>
      </c>
      <c r="DE66" s="44" t="str">
        <f>IF(BI66&lt;&gt;"SÍ","",IF(OR(BX66&lt;DATOS!$C$72-0.0001,BM66&lt;0,CB66&lt;=0),0,MIN(DATOS!$C$86*(0.5*DATOS!$C$41*BT66*BX66*100+0.3*BM66*BX66/CB66*1000)*CZ66,1.5*DATOS!$C$86*DATOS!$C$41*BT66*BX66*100*CZ66)/1000))</f>
        <v/>
      </c>
      <c r="DF66" s="44" t="str">
        <f>IF(BI66&lt;&gt;"SÍ","",IF(OR(BY66&lt;DATOS!$C$72-0.0001,BM66&lt;0,CB66&lt;=0),0,MIN(DATOS!$C$86*(0.5*DATOS!$C$41*BT66*BY66*100+0.3*BM66*BY66/CB66*1000)*DA66,1.5*DATOS!$C$86*DATOS!$C$41*BT66*BY66*100*DA66)/1000))</f>
        <v/>
      </c>
      <c r="DG66" s="44" t="str">
        <f>IF(BI66&lt;&gt;"SÍ","",IF(OR(BZ66&lt;DATOS!$C$72-0.0001,BM66&lt;0,CB66&lt;=0),0,MIN(DATOS!$C$86*(0.5*DATOS!$C$41*BT66*BZ66*100+0.3*BM66*BZ66/CB66*1000)*DB66,1.5*DATOS!$C$86*DATOS!$C$41*BT66*BZ66*100*DB66)/1000))</f>
        <v/>
      </c>
      <c r="DH66" s="44" t="str">
        <f>IF(BI66&lt;&gt;"SÍ","",IF(OR(CA66&lt;DATOS!$C$72-0.0001,BM66&lt;0,CB66&lt;=0),0,MIN(DATOS!$C$86*(0.5*DATOS!$C$41*BT66*CA66*100+0.3*BM66*CA66/CB66*1000)*DC66,1.5*DATOS!$C$86*DATOS!$C$41*BT66*CA66*100*DC66)/1000))</f>
        <v/>
      </c>
      <c r="DI66" s="46" t="str">
        <f>IF(BI66&lt;&gt;"SÍ","",SUM(DD66:DH66))</f>
        <v/>
      </c>
      <c r="DJ66" s="48" t="str">
        <f>IF(BI66&lt;&gt;"SÍ","",IF(AE66="VARILLA EN JUNTAS",IF(ISNUMBER(AF66),AF66,2)*INDEX(TABLAS!$D$6:$D$14,MATCH(IF(AG66&lt;&gt;"",AG66,DATOS!$C$73),TABLAS!$B$6:$B$14,0)),IF(AE66="MALLA",IF(ISNUMBER(AF66),AF66,1)*INDEX(TABLAS!$D$19:$D$22,MATCH(IF(AG66&lt;&gt;"",AG66,DATOS!$C$74),TABLAS!$B$19:$B$22,0))/100,IF(AE66="ESCALERILLA",IF(ISNUMBER(AF66),AF66,2)*INDEX(TABLAS!$D$6:$D$14,MATCH(IF(AG66&lt;&gt;"",AG66,DATOS!$C$73),TABLAS!$B$6:$B$14,0)),0))))</f>
        <v/>
      </c>
      <c r="DK66" s="47" t="str">
        <f>IF(BI66&lt;&gt;"SÍ","",IF(OR(AE66="VARILLA EN JUNTAS",AE66="ESCALERILLA"),IF(ISNUMBER(AH66),AH66,2)*DATOS!$C$26,IF(AE66="MALLA",1,0)))</f>
        <v/>
      </c>
      <c r="DL66" s="44" t="str">
        <f>IF(BI66&lt;&gt;"SÍ","",IF(DK66&gt;0,DJ66/(DK66*BT66)*MIN(DATOS!$C$50,IF(AE66="MALLA",5000,6000)),0))</f>
        <v/>
      </c>
      <c r="DM66" s="44" t="str">
        <f>IF(BI66&lt;&gt;"SÍ","",IF(AE66="ESCALERILLA",0,MIN(DL66,0.1*DATOS!$C$33*DATOS!$C$24)))</f>
        <v/>
      </c>
      <c r="DN66" s="48" t="str">
        <f>IF(BI66&lt;&gt;"SÍ","",IF(AE66="MALLA",0.5,IF(DATOS!$C$33&lt;=60,0.55,IF(DATOS!$C$33&gt;=90,0.75,0.55+0.2*(DATOS!$C$33-60)/30))))</f>
        <v/>
      </c>
      <c r="DO66" s="48" t="str">
        <f>IF(BI66&lt;&gt;"SÍ","",1-DATOS!$C$91*DM66)</f>
        <v/>
      </c>
      <c r="DP66" s="44" t="str">
        <f>IF(BI66&lt;&gt;"SÍ","",IF(BW66&gt;0,IF(BS66/BW66&lt;=1,1.3,IF(BS66/BW66&gt;=1.5,1,1.3-0.6*(BS66/BW66-1))),0))</f>
        <v/>
      </c>
      <c r="DQ66" s="44" t="str">
        <f>IF(BI66&lt;&gt;"SÍ","",IF(BX66&gt;0,IF(BS66/BX66&lt;=1,1.3,IF(BS66/BX66&gt;=1.5,1,1.3-0.6*(BS66/BX66-1))),0))</f>
        <v/>
      </c>
      <c r="DR66" s="44" t="str">
        <f>IF(BI66&lt;&gt;"SÍ","",IF(BY66&gt;0,IF(BS66/BY66&lt;=1,1.3,IF(BS66/BY66&gt;=1.5,1,1.3-0.6*(BS66/BY66-1))),0))</f>
        <v/>
      </c>
      <c r="DS66" s="44" t="str">
        <f>IF(BI66&lt;&gt;"SÍ","",IF(BZ66&gt;0,IF(BS66/BZ66&lt;=1,1.3,IF(BS66/BZ66&gt;=1.5,1,1.3-0.6*(BS66/BZ66-1))),0))</f>
        <v/>
      </c>
      <c r="DT66" s="44" t="str">
        <f>IF(BI66&lt;&gt;"SÍ","",IF(CA66&gt;0,IF(BS66/CA66&lt;=1,1.3,IF(BS66/CA66&gt;=1.5,1,1.3-0.6*(BS66/CA66-1))),0))</f>
        <v/>
      </c>
      <c r="DU66" s="44" t="str">
        <f>IF(BI66&lt;&gt;"SÍ","",IF(OR(DM66&lt;=0,BW66&lt;DATOS!$C$72-0.0001),0,DATOS!$C$86*MAX(0,IF(BM66&gt;=0,DD66/(DATOS!$C$86*DM66*BT66*BW66*100/1000)*(DP66*DO66-1)+DN66,DO66*DN66))*DM66*BT66*BW66*100/1000))</f>
        <v/>
      </c>
      <c r="DV66" s="44" t="str">
        <f>IF(BI66&lt;&gt;"SÍ","",IF(OR(DM66&lt;=0,BX66&lt;DATOS!$C$72-0.0001),0,DATOS!$C$86*MAX(0,IF(BM66&gt;=0,DE66/(DATOS!$C$86*DM66*BT66*BX66*100/1000)*(DQ66*DO66-1)+DN66,DO66*DN66))*DM66*BT66*BX66*100/1000))</f>
        <v/>
      </c>
      <c r="DW66" s="44" t="str">
        <f>IF(BI66&lt;&gt;"SÍ","",IF(OR(DM66&lt;=0,BY66&lt;DATOS!$C$72-0.0001),0,DATOS!$C$86*MAX(0,IF(BM66&gt;=0,DF66/(DATOS!$C$86*DM66*BT66*BY66*100/1000)*(DR66*DO66-1)+DN66,DO66*DN66))*DM66*BT66*BY66*100/1000))</f>
        <v/>
      </c>
      <c r="DX66" s="44" t="str">
        <f>IF(BI66&lt;&gt;"SÍ","",IF(OR(DM66&lt;=0,BZ66&lt;DATOS!$C$72-0.0001),0,DATOS!$C$86*MAX(0,IF(BM66&gt;=0,DG66/(DATOS!$C$86*DM66*BT66*BZ66*100/1000)*(DS66*DO66-1)+DN66,DO66*DN66))*DM66*BT66*BZ66*100/1000))</f>
        <v/>
      </c>
      <c r="DY66" s="44" t="str">
        <f>IF(BI66&lt;&gt;"SÍ","",IF(OR(DM66&lt;=0,CA66&lt;DATOS!$C$72-0.0001),0,DATOS!$C$86*MAX(0,IF(BM66&gt;=0,DH66/(DATOS!$C$86*DM66*BT66*CA66*100/1000)*(DT66*DO66-1)+DN66,DO66*DN66))*DM66*BT66*CA66*100/1000))</f>
        <v/>
      </c>
      <c r="DZ66" s="46" t="str">
        <f>IF(BI66&lt;&gt;"SÍ","",SUM(DU66:DY66))</f>
        <v/>
      </c>
      <c r="EA66" s="45" t="str">
        <f>IF(BI66&lt;&gt;"SÍ","",IF(OR(AE66="",AE66="NINGUNO"),IF(DATOS!$C$41&gt;=10,"FALTA refuerzo horizontal: v'm ≥ 10 kg/cm² (6.5.2.2)",IF(AND(BM66&lt;0,BK66&gt;0),"FALTA: P en tensión, el refuerzo debe tomar todo el cortante (6.5.1.3)","—")),IF(AE66="ESCALERILLA","NO CUENTA: la escalerilla no se permite para cortante por sismo (6.5.3.1.2)",IF(AE66="MALLA",IF(AND(DL66&gt;=2.5,DL66&lt;=MAX(0.15*DATOS!$C$33*DATOS!$C$24,2.5)),"CUMPLE","NO CUMPLE: "&amp;IF(DL66&lt;2.5,"p_h·f_yh &lt; 2.5 (6.5.4.2.4)","p_h·f_yh &gt; 0.15·f'm·f_an (6.5.4.2.4)")),IF(AND(DK66&lt;=MIN(6*DATOS!$C$26,45),DL66&gt;=3,DL66&lt;=MIN(MAX(0.15*DATOS!$C$33*DATOS!$C$24,3),0.05*DATOS!$C$25/10*MIN(DATOS!$C$50,6000)/DK66),INDEX(TABLAS!$C$6:$C$14,MATCH(IF(AG66&lt;&gt;"",AG66,DATOS!$C$73),TABLAS!$B$6:$B$14,0))&gt;=0.35,INDEX(TABLAS!$C$6:$C$14,MATCH(IF(AG66&lt;&gt;"",AG66,DATOS!$C$73),TABLAS!$B$6:$B$14,0))&lt;=0.75*DATOS!$C$25/10),"CUMPLE","NO CUMPLE: "&amp;IF(DK66&gt;MIN(6*DATOS!$C$26,45),"s_h &gt; 6 hiladas o 45 cm (6.5.3.2.1) ","")&amp;IF(DL66&lt;3,"p_h·f_yh &lt; 3 (6.5.3.3.1) ","")&amp;IF(DL66&gt;MIN(MAX(0.15*DATOS!$C$33*DATOS!$C$24,3),0.05*DATOS!$C$25/10*MIN(DATOS!$C$50,6000)/DK66),"p_h·f_yh &gt; máximo (6.5.3.3.2) ","")&amp;IF(OR(INDEX(TABLAS!$C$6:$C$14,MATCH(IF(AG66&lt;&gt;"",AG66,DATOS!$C$73),TABLAS!$B$6:$B$14,0))&lt;0.35,INDEX(TABLAS!$C$6:$C$14,MATCH(IF(AG66&lt;&gt;"",AG66,DATOS!$C$73),TABLAS!$B$6:$B$14,0))&gt;0.75*DATOS!$C$25/10),"diámetro fuera de 3.5 mm a 0.75·h_j (4.2.2.2.1)",""))))))</f>
        <v/>
      </c>
      <c r="EB66" s="46" t="str">
        <f>IF(BI66&lt;&gt;"SÍ","",DI66+DZ66)</f>
        <v/>
      </c>
      <c r="EC66" s="50" t="str">
        <f>IF(BI66&lt;&gt;"SÍ","",IF(EB66&gt;0,BK66/EB66,IF(BK66&gt;0,99,0)))</f>
        <v/>
      </c>
      <c r="ED66" s="47" t="str">
        <f>IF(BI66&lt;&gt;"SÍ","",IF(CE66&lt;=0,-1,IF(BK66&lt;=DI66,0,IF(IF(BM66&gt;=0,IF((DATOS!$C$86*IF(AE66="MALLA",0.5,IF(DATOS!$C$33&lt;=60,0.55,IF(DATOS!$C$33&gt;=90,0.75,0.55+0.2*(DATOS!$C$33-60)/30)))*CE66/1000-DATOS!$C$91*SUMPRODUCT(DP66:DT66,DD66:DH66))&lt;=0,1E9,(BK66-SUMPRODUCT(DP66:DT66,DD66:DH66))/(DATOS!$C$86*IF(AE66="MALLA",0.5,IF(DATOS!$C$33&lt;=60,0.55,IF(DATOS!$C$33&gt;=90,0.75,0.55+0.2*(DATOS!$C$33-60)/30)))*CE66/1000-DATOS!$C$91*SUMPRODUCT(DP66:DT66,DD66:DH66))),IF((1-4*DATOS!$C$91*BK66*1000/(DATOS!$C$86*IF(AE66="MALLA",0.5,IF(DATOS!$C$33&lt;=60,0.55,IF(DATOS!$C$33&gt;=90,0.75,0.55+0.2*(DATOS!$C$33-60)/30)))*MAX(CE66,1)))&lt;0,1E9,(1-SQRT((1-4*DATOS!$C$91*BK66*1000/(DATOS!$C$86*IF(AE66="MALLA",0.5,IF(DATOS!$C$33&lt;=60,0.55,IF(DATOS!$C$33&gt;=90,0.75,0.55+0.2*(DATOS!$C$33-60)/30)))*MAX(CE66,1)))))/(2*DATOS!$C$91)))&gt;0.1*DATOS!$C$33*DATOS!$C$24+0.000001,-1,MAX(IF(AE66="MALLA",2.5,3),IF(BM66&gt;=0,IF((DATOS!$C$86*IF(AE66="MALLA",0.5,IF(DATOS!$C$33&lt;=60,0.55,IF(DATOS!$C$33&gt;=90,0.75,0.55+0.2*(DATOS!$C$33-60)/30)))*CE66/1000-DATOS!$C$91*SUMPRODUCT(DP66:DT66,DD66:DH66))&lt;=0,1E9,(BK66-SUMPRODUCT(DP66:DT66,DD66:DH66))/(DATOS!$C$86*IF(AE66="MALLA",0.5,IF(DATOS!$C$33&lt;=60,0.55,IF(DATOS!$C$33&gt;=90,0.75,0.55+0.2*(DATOS!$C$33-60)/30)))*CE66/1000-DATOS!$C$91*SUMPRODUCT(DP66:DT66,DD66:DH66))),IF((1-4*DATOS!$C$91*BK66*1000/(DATOS!$C$86*IF(AE66="MALLA",0.5,IF(DATOS!$C$33&lt;=60,0.55,IF(DATOS!$C$33&gt;=90,0.75,0.55+0.2*(DATOS!$C$33-60)/30)))*MAX(CE66,1)))&lt;0,1E9,(1-SQRT((1-4*DATOS!$C$91*BK66*1000/(DATOS!$C$86*IF(AE66="MALLA",0.5,IF(DATOS!$C$33&lt;=60,0.55,IF(DATOS!$C$33&gt;=90,0.75,0.55+0.2*(DATOS!$C$33-60)/30)))*MAX(CE66,1)))))/(2*DATOS!$C$91))))))))</f>
        <v/>
      </c>
      <c r="EE66" s="45" t="str">
        <f>IF(BI66&lt;&gt;"SÍ","",IF(ED66=0,"NO REQUIERE: V_mR ≥ V_u",IF(ED66&lt;0,"NO ALCANZA con refuerzo horizontal (haría falta más de 0.1·f'm·f_an efectivo): sube v'm con ensayes, el espesor o la longitud del muro",IF(AND(OR(AE66="VARILLA EN JUNTAS",AE66="MALLA"),LEFT(EA66,6)="CUMPLE",EC66&lt;=1),"YA LO TIENE (pide p_h·f_yh ≥ "&amp;TEXT(ED66,"0.0")&amp;" kg/cm²)","p_h·f_yh ≥ "&amp;TEXT(ED66,"0.0")&amp;" kg/cm² → "&amp;IF(AND(MIN(6,FLOOR(45/DATOS!$C$26,1),FLOOR((2*INDEX(TABLAS!$D$6:$D$14,MATCH("3/16 in",TABLAS!$B$6:$B$14,0)))*MIN(DATOS!$C$50,6000)/(BT66*DATOS!$C$26*MAX(ED66,0.001)),1))&gt;=1,((2*INDEX(TABLAS!$D$6:$D$14,MATCH("3/16 in",TABLAS!$B$6:$B$14,0)))*MIN(DATOS!$C$50,6000)/(MAX(MIN(6,FLOOR(45/DATOS!$C$26,1),FLOOR((2*INDEX(TABLAS!$D$6:$D$14,MATCH("3/16 in",TABLAS!$B$6:$B$14,0)))*MIN(DATOS!$C$50,6000)/(BT66*DATOS!$C$26*MAX(ED66,0.001)),1)),1)*DATOS!$C$26*BT66))&lt;=MIN(MAX(0.15*DATOS!$C$33*DATOS!$C$24,3),0.05*DATOS!$C$25/10*MIN(DATOS!$C$50,6000)/(MIN(6,FLOOR(45/DATOS!$C$26,1),FLOOR((2*INDEX(TABLAS!$D$6:$D$14,MATCH("3/16 in",TABLAS!$B$6:$B$14,0)))*MIN(DATOS!$C$50,6000)/(BT66*DATOS!$C$26*MAX(ED66,0.001)),1))*DATOS!$C$26))),"2 alambres de 3/16"" por junta cada "&amp;MIN(6,FLOOR(45/DATOS!$C$26,1),FLOOR((2*INDEX(TABLAS!$D$6:$D$14,MATCH("3/16 in",TABLAS!$B$6:$B$14,0)))*MIN(DATOS!$C$50,6000)/(BT66*DATOS!$C$26*MAX(ED66,0.001)),1))&amp;" hilada(s) (p_h·f_yh = "&amp;TEXT(((2*INDEX(TABLAS!$D$6:$D$14,MATCH("3/16 in",TABLAS!$B$6:$B$14,0)))*MIN(DATOS!$C$50,6000)/(MAX(MIN(6,FLOOR(45/DATOS!$C$26,1),FLOOR((2*INDEX(TABLAS!$D$6:$D$14,MATCH("3/16 in",TABLAS!$B$6:$B$14,0)))*MIN(DATOS!$C$50,6000)/(BT66*DATOS!$C$26*MAX(ED66,0.001)),1)),1)*DATOS!$C$26*BT66)),"0.00")&amp;")",IF(AND(MIN(6,FLOOR(45/DATOS!$C$26,1),FLOOR((2*INDEX(TABLAS!$D$6:$D$14,MATCH("5/32 in",TABLAS!$B$6:$B$14,0)))*MIN(DATOS!$C$50,6000)/(BT66*DATOS!$C$26*MAX(ED66,0.001)),1))&gt;=1,((2*INDEX(TABLAS!$D$6:$D$14,MATCH("5/32 in",TABLAS!$B$6:$B$14,0)))*MIN(DATOS!$C$50,6000)/(MAX(MIN(6,FLOOR(45/DATOS!$C$26,1),FLOOR((2*INDEX(TABLAS!$D$6:$D$14,MATCH("5/32 in",TABLAS!$B$6:$B$14,0)))*MIN(DATOS!$C$50,6000)/(BT66*DATOS!$C$26*MAX(ED66,0.001)),1)),1)*DATOS!$C$26*BT66))&lt;=MIN(MAX(0.15*DATOS!$C$33*DATOS!$C$24,3),0.05*DATOS!$C$25/10*MIN(DATOS!$C$50,6000)/(MIN(6,FLOOR(45/DATOS!$C$26,1),FLOOR((2*INDEX(TABLAS!$D$6:$D$14,MATCH("5/32 in",TABLAS!$B$6:$B$14,0)))*MIN(DATOS!$C$50,6000)/(BT66*DATOS!$C$26*MAX(ED66,0.001)),1))*DATOS!$C$26))),"2 alambres de 5/32"" por junta cada "&amp;MIN(6,FLOOR(45/DATOS!$C$26,1),FLOOR((2*INDEX(TABLAS!$D$6:$D$14,MATCH("5/32 in",TABLAS!$B$6:$B$14,0)))*MIN(DATOS!$C$50,6000)/(BT66*DATOS!$C$26*MAX(ED66,0.001)),1))&amp;" hilada(s) (p_h·f_yh = "&amp;TEXT(((2*INDEX(TABLAS!$D$6:$D$14,MATCH("5/32 in",TABLAS!$B$6:$B$14,0)))*MIN(DATOS!$C$50,6000)/(MAX(MIN(6,FLOOR(45/DATOS!$C$26,1),FLOOR((2*INDEX(TABLAS!$D$6:$D$14,MATCH("5/32 in",TABLAS!$B$6:$B$14,0)))*MIN(DATOS!$C$50,6000)/(BT66*DATOS!$C$26*MAX(ED66,0.001)),1)),1)*DATOS!$C$26*BT66)),"0.00")&amp;")",IF(AND(MIN(6,FLOOR(45/DATOS!$C$26,1),FLOOR((1*INDEX(TABLAS!$D$6:$D$14,MATCH("3/16 in",TABLAS!$B$6:$B$14,0)))*MIN(DATOS!$C$50,6000)/(BT66*DATOS!$C$26*MAX(ED66,0.001)),1))&gt;=1,((1*INDEX(TABLAS!$D$6:$D$14,MATCH("3/16 in",TABLAS!$B$6:$B$14,0)))*MIN(DATOS!$C$50,6000)/(MAX(MIN(6,FLOOR(45/DATOS!$C$26,1),FLOOR((1*INDEX(TABLAS!$D$6:$D$14,MATCH("3/16 in",TABLAS!$B$6:$B$14,0)))*MIN(DATOS!$C$50,6000)/(BT66*DATOS!$C$26*MAX(ED66,0.001)),1)),1)*DATOS!$C$26*BT66))&lt;=MIN(MAX(0.15*DATOS!$C$33*DATOS!$C$24,3),0.05*DATOS!$C$25/10*MIN(DATOS!$C$50,6000)/(MIN(6,FLOOR(45/DATOS!$C$26,1),FLOOR((1*INDEX(TABLAS!$D$6:$D$14,MATCH("3/16 in",TABLAS!$B$6:$B$14,0)))*MIN(DATOS!$C$50,6000)/(BT66*DATOS!$C$26*MAX(ED66,0.001)),1))*DATOS!$C$26))),"1 alambre de 3/16"" por junta cada "&amp;MIN(6,FLOOR(45/DATOS!$C$26,1),FLOOR((1*INDEX(TABLAS!$D$6:$D$14,MATCH("3/16 in",TABLAS!$B$6:$B$14,0)))*MIN(DATOS!$C$50,6000)/(BT66*DATOS!$C$26*MAX(ED66,0.001)),1))&amp;" hilada(s) (p_h·f_yh = "&amp;TEXT(((1*INDEX(TABLAS!$D$6:$D$14,MATCH("3/16 in",TABLAS!$B$6:$B$14,0)))*MIN(DATOS!$C$50,6000)/(MAX(MIN(6,FLOOR(45/DATOS!$C$26,1),FLOOR((1*INDEX(TABLAS!$D$6:$D$14,MATCH("3/16 in",TABLAS!$B$6:$B$14,0)))*MIN(DATOS!$C$50,6000)/(BT66*DATOS!$C$26*MAX(ED66,0.001)),1)),1)*DATOS!$C$26*BT66)),"0.00")&amp;")",IF(AND(MIN(6,FLOOR(45/DATOS!$C$26,1),FLOOR((1*INDEX(TABLAS!$D$6:$D$14,MATCH("5/32 in",TABLAS!$B$6:$B$14,0)))*MIN(DATOS!$C$50,6000)/(BT66*DATOS!$C$26*MAX(ED66,0.001)),1))&gt;=1,((1*INDEX(TABLAS!$D$6:$D$14,MATCH("5/32 in",TABLAS!$B$6:$B$14,0)))*MIN(DATOS!$C$50,6000)/(MAX(MIN(6,FLOOR(45/DATOS!$C$26,1),FLOOR((1*INDEX(TABLAS!$D$6:$D$14,MATCH("5/32 in",TABLAS!$B$6:$B$14,0)))*MIN(DATOS!$C$50,6000)/(BT66*DATOS!$C$26*MAX(ED66,0.001)),1)),1)*DATOS!$C$26*BT66))&lt;=MIN(MAX(0.15*DATOS!$C$33*DATOS!$C$24,3),0.05*DATOS!$C$25/10*MIN(DATOS!$C$50,6000)/(MIN(6,FLOOR(45/DATOS!$C$26,1),FLOOR((1*INDEX(TABLAS!$D$6:$D$14,MATCH("5/32 in",TABLAS!$B$6:$B$14,0)))*MIN(DATOS!$C$50,6000)/(BT66*DATOS!$C$26*MAX(ED66,0.001)),1))*DATOS!$C$26))),"1 alambre de 5/32"" por junta cada "&amp;MIN(6,FLOOR(45/DATOS!$C$26,1),FLOOR((1*INDEX(TABLAS!$D$6:$D$14,MATCH("5/32 in",TABLAS!$B$6:$B$14,0)))*MIN(DATOS!$C$50,6000)/(BT66*DATOS!$C$26*MAX(ED66,0.001)),1))&amp;" hilada(s) (p_h·f_yh = "&amp;TEXT(((1*INDEX(TABLAS!$D$6:$D$14,MATCH("5/32 in",TABLAS!$B$6:$B$14,0)))*MIN(DATOS!$C$50,6000)/(MAX(MIN(6,FLOOR(45/DATOS!$C$26,1),FLOOR((1*INDEX(TABLAS!$D$6:$D$14,MATCH("5/32 in",TABLAS!$B$6:$B$14,0)))*MIN(DATOS!$C$50,6000)/(BT66*DATOS!$C$26*MAX(ED66,0.001)),1)),1)*DATOS!$C$26*BT66)),"0.00")&amp;")","ninguna combinación de 1 o 2 alambres por junta queda entre el mínimo y el máximo: revisa con malla (6.5.4)"))))))))</f>
        <v/>
      </c>
      <c r="EF66" s="43" t="str">
        <f>IF(BI66&lt;&gt;"SÍ","",IF(AI66="SÍ",N(AK66)*N(AL66)^3/12,0))</f>
        <v/>
      </c>
      <c r="EG66" s="48" t="str">
        <f>IF(BI66&lt;&gt;"SÍ","",IF(AND(AI66="SÍ",N(AM66)&gt;0),MIN(1,F66/AM66),0))</f>
        <v/>
      </c>
      <c r="EH66" s="47" t="str">
        <f>IF(BI66&lt;&gt;"SÍ","",IF(AI66="SÍ",BP66*1000/(BT66*F66*100)*BT66*(EG66^4-4*EG66^3+8*EG66),0))</f>
        <v/>
      </c>
      <c r="EI66" s="48" t="str">
        <f>IF(BI66&lt;&gt;"SÍ","",IF(AND(AI66="SÍ",EH66&gt;0),EH66/(EH66+5*N(AN66)*10),0))</f>
        <v/>
      </c>
      <c r="EJ66" s="44" t="str">
        <f>IF(BI66&lt;&gt;"SÍ","",IF(AND(AI66="SÍ",EI66&gt;0,EF66&gt;0),(DATOS!$C$43*BT66*(AM66*100)^3/(DATOS!$C$53*EF66*EI66))^0.25,0))</f>
        <v/>
      </c>
      <c r="EK66" s="44" t="str">
        <f>IF(BI66&lt;&gt;"SÍ","",IF(AI66&lt;&gt;"SÍ",0,IF(N(AM66)&lt;=F66,1,IF(MIN(1,N(AO66)/((AM66-F66)/2))&lt;=0.5,0.7+0.6*MIN(1,N(AO66)/((AM66-F66)/2)),1.5-MIN(1,N(AO66)/((AM66-F66)/2))))))</f>
        <v/>
      </c>
      <c r="EL66" s="44" t="str">
        <f>IF(BI66&lt;&gt;"SÍ","",IF(AI66&lt;&gt;"SÍ",0,MAX(1,IF(EG66&gt;=1,(1.6*EJ66-3.9),IF(EG66&lt;0.9,((3.2*EJ66-7.8)*EK66),((3.2*EJ66-7.8)*EK66)+((1.6*EJ66-3.9)-((3.2*EJ66-7.8)*EK66))*(EG66-0.9)/0.1)))))</f>
        <v/>
      </c>
      <c r="EM66" s="47" t="str">
        <f>IF(BI66&lt;&gt;"SÍ","",IF(AI66="SÍ",EL66*BP66*1000/(BT66*F66*100),0))</f>
        <v/>
      </c>
      <c r="EN66" s="47" t="str">
        <f>IF(BI66&lt;&gt;"SÍ","",IF(AND(AI66="SÍ",N(AL66)&gt;0),AM66*100/AL66,0))</f>
        <v/>
      </c>
      <c r="EO66" s="47" t="str">
        <f>IF(BI66&lt;&gt;"SÍ","",IF(AI66="SÍ",(1/15*DATOS!$C$53*N(AK66)/MAX((IF(ISNUMBER(AP66),AP66,BP66/DATOS!$C$90)*1000/(BT66*F66*100)*BT66*(EG66^4-4*EG66^3+8*EG66))+5*N(AN66)/DATOS!$C$90*10,0.001))^(1/3),0))</f>
        <v/>
      </c>
      <c r="EP66" s="45" t="str">
        <f>IF(BI66&lt;&gt;"SÍ","",IF(AI66&lt;&gt;"SÍ","—",IF(OR(N(AK66)&lt;=0,N(AL66)&lt;=0,N(AM66)&lt;=0),"REVISAR: faltan b, h o L_v de la viga",IF(AND(EM66&lt;=DATOS!$C$87*DATOS!$C$33,EN66&lt;=14,N(AL66)&gt;=25,EN66&lt;=EO66),IF(BS66/F66&lt;0.6,"PENDIENTE: H/L &lt; 0.6, falta el análisis de interacción muro–viga (4.1.18.2.1); f_CM es estimado","CUMPLE"),"NO CUMPLE: "&amp;IF(EM66&gt;DATOS!$C$87*DATOS!$C$33,"f_CM &gt; F_R·f'm ","")&amp;IF(EN66&gt;14,"L_v/h_v &gt; 14 ","")&amp;IF(N(AL66)&lt;25,"h_v &lt; 25 cm ","")&amp;IF(EN66&gt;EO66,"flecha (4.1.18.3)","")))))</f>
        <v/>
      </c>
      <c r="EQ66" s="44" t="str">
        <f>IF(BI66&lt;&gt;"SÍ","",MAX(0,F66*BS66-(N(K66)*N(M66)+N(P66)*N(R66)+N(U66)*N(W66)+N(Z66)*N(AB66))-CK66*DATOS!$C$59/100*BS66))</f>
        <v/>
      </c>
      <c r="ER66" s="48" t="str">
        <f>IF(BI66&lt;&gt;"SÍ","",CK66*DATOS!$C$59*DATOS!$C$60/10000*BS66)</f>
        <v/>
      </c>
      <c r="ES66" s="47" t="str">
        <f>IF(BI66&lt;&gt;"SÍ","",CK66*(DATOS!$C$61*(BS66+0.6)*INDEX(TABLAS!$E$6:$E$14,MATCH(DATOS!$C$62,TABLAS!$B$6:$B$14,0))+(2*ROUNDUP(CN66/DATOS!$C$65,0)+ROUNDUP(MAX(0,BS66*100-2*CN66)/DATOS!$C$64,0))*((2*(DATOS!$C$60+DATOS!$C$59-4*(DATOS!$C$66-INDEX(TABLAS!$C$6:$C$14,MATCH(DATOS!$C$63,TABLAS!$B$6:$B$14,0))))+15)/100)*INDEX(TABLAS!$E$6:$E$14,MATCH(DATOS!$C$63,TABLAS!$B$6:$B$14,0))))</f>
        <v/>
      </c>
      <c r="ET66" s="47" t="str">
        <f>IF(BI66&lt;&gt;"SÍ","",IF(OR(AE66="VARILLA EN JUNTAS",AE66="ESCALERILLA"),INT(BS66*100/MAX(DK66,1))*IF(ISNUMBER(AF66),AF66,2)*CB66*INDEX(TABLAS!$E$6:$E$14,MATCH(IF(AG66&lt;&gt;"",AG66,DATOS!$C$73),TABLAS!$B$6:$B$14,0)),IF(AE66="MALLA",IF(ISNUMBER(AF66),AF66,1)*CB66*BS66*INDEX(TABLAS!$E$19:$E$22,MATCH(IF(AG66&lt;&gt;"",AG66,DATOS!$C$74),TABLAS!$B$19:$B$22,0)),0)))</f>
        <v/>
      </c>
      <c r="EU66" s="45" t="str">
        <f>IF(BI66&lt;&gt;"SÍ","",""&amp;IF(BJ66="NO ESTÁ EN PIER_FORCES","sin fuerzas en PIER_FORCES; ","")&amp;IF(BV66&lt;&gt;"CUMPLE","vanos; ","")&amp;IF(LEFT(CH66,2)="NO","espesor o esbeltez; ","")&amp;IF(CQ66&gt;1,"compresión; ","")&amp;IF(CX66&gt;1,"flexión; ","")&amp;IF(CB66&lt;=0,"sin tramos de muro (todos son machones menores que L mín.: diséñalos como columnas o baja L mín.); ",IF(EC66&gt;1,"cortante; ",""))&amp;IF(OR(LEFT(EA66,2)="NO",LEFT(EA66,5)="FALTA"),"refuerzo horizontal; ","")&amp;IF(OR(LEFT(EP66,2)="NO",LEFT(EP66,7)="REVISAR"),"muro sobre viga; ","")&amp;IF(LEFT(DATOS!$C$81,2)="NO","castillo típico; ","")&amp;IF(LEFT(DATOS!$C$82,2)="NO","dala típica; ","")&amp;IF(AND(BT66&lt;&gt;DATOS!$C$58,DATOS!$C$60&lt;BT66),"castillo más angosto que el muro; ",""))</f>
        <v/>
      </c>
      <c r="EV66" s="45" t="str">
        <f>IF(BI66&lt;&gt;"SÍ","",""&amp;IF(LEFT(EP66,9)="PENDIENTE","análisis muro–viga (H/L &lt; 0.6); ","")&amp;IF(BR66&gt;50,"V_u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6" s="51" t="str">
        <f>IF(BI66&lt;&gt;"SÍ","",IF(EU66&lt;&gt;"","NO CUMPLE: "&amp;LEFT(EU66,LEN(EU66)-2),IF(EV66&lt;&gt;"","CUMPLE — PENDIENTE: "&amp;LEFT(EV66,LEN(EV66)-2),"CUMPLE")))</f>
        <v/>
      </c>
      <c r="EX66" s="52" t="n"/>
    </row>
    <row r="67" ht="30" customHeight="1">
      <c r="A67" s="38" t="str">
        <f>IF(B67="","",ROW()-10)</f>
        <v/>
      </c>
      <c r="B67" s="28" t="n"/>
      <c r="C67" s="39" t="n"/>
      <c r="D67" s="39" t="n"/>
      <c r="E67" s="39" t="n"/>
      <c r="F67" s="40" t="n"/>
      <c r="G67" s="40" t="n"/>
      <c r="H67" s="41" t="n"/>
      <c r="I67" s="39" t="n"/>
      <c r="J67" s="40" t="n"/>
      <c r="K67" s="40" t="n"/>
      <c r="L67" s="40" t="n"/>
      <c r="M67" s="40" t="n"/>
      <c r="N67" s="39" t="n"/>
      <c r="O67" s="40" t="n"/>
      <c r="P67" s="40" t="n"/>
      <c r="Q67" s="40" t="n"/>
      <c r="R67" s="40" t="n"/>
      <c r="S67" s="39" t="n"/>
      <c r="T67" s="40" t="n"/>
      <c r="U67" s="40" t="n"/>
      <c r="V67" s="40" t="n"/>
      <c r="W67" s="40" t="n"/>
      <c r="X67" s="39" t="n"/>
      <c r="Y67" s="40" t="n"/>
      <c r="Z67" s="40" t="n"/>
      <c r="AA67" s="40" t="n"/>
      <c r="AB67" s="40" t="n"/>
      <c r="AC67" s="41" t="n"/>
      <c r="AD67" s="41" t="n"/>
      <c r="AE67" s="39" t="n"/>
      <c r="AF67" s="41" t="n"/>
      <c r="AG67" s="41" t="n"/>
      <c r="AH67" s="41" t="n"/>
      <c r="AI67" s="39" t="n"/>
      <c r="AJ67" s="39" t="n"/>
      <c r="AK67" s="41" t="n"/>
      <c r="AL67" s="41" t="n"/>
      <c r="AM67" s="40" t="n"/>
      <c r="AN67" s="40" t="n"/>
      <c r="AO67" s="40" t="n"/>
      <c r="AP67" s="40" t="n"/>
      <c r="AQ67" s="40" t="n"/>
      <c r="AR67" s="40" t="n"/>
      <c r="AS67" s="40" t="n"/>
      <c r="AT67" s="40" t="n"/>
      <c r="AU67" s="40" t="n"/>
      <c r="AV67" s="40" t="n"/>
      <c r="AW67" s="40" t="n"/>
      <c r="AX67" s="42" t="str">
        <f>IF(B67="","",C67&amp;"|"&amp;B67)</f>
        <v/>
      </c>
      <c r="AY67" s="43" t="str">
        <f>IF(B67="","",COUNTIFS(PIER_FORCES!$O$9:$O$3008,57,PIER_FORCES!$P$9:$P$3008,1))</f>
        <v/>
      </c>
      <c r="AZ67" s="43" t="str">
        <f>IF(B67="","",COUNTIFS(PIER_FORCES!$O$9:$O$3008,57,PIER_FORCES!$P$9:$P$3008,2))</f>
        <v/>
      </c>
      <c r="BA67" s="44">
        <f>IF(N(AY67)=0,0,SUMPRODUCT(MAX((PIER_FORCES!$O$9:$O$3008=57)*(PIER_FORCES!$P$9:$P$3008=1)*PIER_FORCES!$R$9:$R$3008)))</f>
        <v>0</v>
      </c>
      <c r="BB67" s="44">
        <f>IF(N(AY67)=0,0,SUMPRODUCT(MAX((PIER_FORCES!$O$9:$O$3008=57)*(PIER_FORCES!$P$9:$P$3008=1)*PIER_FORCES!$S$9:$S$3008)))</f>
        <v>0</v>
      </c>
      <c r="BC67" s="44">
        <f>IF(N(AY67)=0,0,-SUMPRODUCT(MAX((PIER_FORCES!$O$9:$O$3008=57)*(PIER_FORCES!$P$9:$P$3008=1)*(-PIER_FORCES!$Q$9:$Q$3008)+(1-(PIER_FORCES!$O$9:$O$3008=57)*(PIER_FORCES!$P$9:$P$3008=1))*(-1E9))))</f>
        <v>0</v>
      </c>
      <c r="BD67" s="44">
        <f>IF(N(AY67)=0,0,SUMPRODUCT(MAX((PIER_FORCES!$O$9:$O$3008=57)*(PIER_FORCES!$P$9:$P$3008=1)*PIER_FORCES!$Q$9:$Q$3008+(1-(PIER_FORCES!$O$9:$O$3008=57)*(PIER_FORCES!$P$9:$P$3008=1))*(-1E9))))</f>
        <v>0</v>
      </c>
      <c r="BE67" s="44">
        <f>IF(N(AZ67)=0,BD67,SUMPRODUCT(MAX((PIER_FORCES!$O$9:$O$3008=57)*(PIER_FORCES!$P$9:$P$3008=2)*PIER_FORCES!$Q$9:$Q$3008+(1-(PIER_FORCES!$O$9:$O$3008=57)*(PIER_FORCES!$P$9:$P$3008=2))*(-1E9))))</f>
        <v>0</v>
      </c>
      <c r="BF67" s="44">
        <f>IF(N(AZ67)=0,0,SUMPRODUCT(MAX((PIER_FORCES!$O$9:$O$3008=57)*(PIER_FORCES!$P$9:$P$3008=2)*PIER_FORCES!$R$9:$R$3008)))</f>
        <v>0</v>
      </c>
      <c r="BG67" s="43">
        <f>IF(N(AY67)=0,0,SUMPRODUCT(MAX((PIER_FORCES!$O$9:$O$3008=57)*(PIER_FORCES!$P$9:$P$3008=1)*(ABS(PIER_FORCES!$R$9:$R$3008-BA67)&lt;0.000001)*PIER_FORCES!$T$9:$T$3008)))</f>
        <v>0</v>
      </c>
      <c r="BH67" s="45" t="str">
        <f>IF(N(BG67)=0,"",INDEX(PIER_FORCES!$D$9:$D$3008,BG67)&amp;" "&amp;INDEX(PIER_FORCES!$F$9:$F$3008,BG67)&amp;" / "&amp;INDEX(PIER_FORCES!$G$9:$G$3008,BG67))</f>
        <v/>
      </c>
      <c r="BI67" s="42" t="str">
        <f>IF(B67="","",IF(AND(C67&lt;&gt;"",OR(D67="X",D67="Y"),ISNUMBER(F67),N(F67)&gt;0),"SÍ","NO"))</f>
        <v/>
      </c>
      <c r="BJ67" s="42" t="str">
        <f>IF(BI67&lt;&gt;"SÍ","",IF(DATOS!$C$108="ETABS (PIER_FORCES)",IF(N(AY67)&gt;0,"ETABS","NO ESTÁ EN PIER_FORCES"),"CAPTURA"))</f>
        <v/>
      </c>
      <c r="BK67" s="46" t="str">
        <f>IF(BI67&lt;&gt;"SÍ","",IF(BJ67="ETABS",BA67,IF(BJ67="CAPTURA",N(AQ67),0)))</f>
        <v/>
      </c>
      <c r="BL67" s="46" t="str">
        <f>IF(BI67&lt;&gt;"SÍ","",IF(BJ67="ETABS",BB67,IF(BJ67="CAPTURA",N(AR67),0)))</f>
        <v/>
      </c>
      <c r="BM67" s="46" t="str">
        <f>IF(BI67&lt;&gt;"SÍ","",IF(BJ67="ETABS",BC67/DATOS!$C$89,IF(BJ67="CAPTURA",N(AS67),0)))</f>
        <v/>
      </c>
      <c r="BN67" s="44" t="str">
        <f>IF(BI67&lt;&gt;"SÍ","",IF(BJ67="ETABS",BC67,IF(BJ67="CAPTURA",IF(ISNUMBER(AU67),AU67,N(AS67)*DATOS!$C$89),0)))</f>
        <v/>
      </c>
      <c r="BO67" s="44" t="str">
        <f>IF(BI67&lt;&gt;"SÍ","",IF(BJ67="ETABS",MAX(BD67,BE67),IF(BJ67="CAPTURA",N(AT67),0)))</f>
        <v/>
      </c>
      <c r="BP67" s="44" t="str">
        <f>IF(BI67&lt;&gt;"SÍ","",IF(BJ67="ETABS",BE67,IF(BJ67="CAPTURA",IF(ISNUMBER(AV67),AV67,N(AT67)),0)))</f>
        <v/>
      </c>
      <c r="BQ67" s="44" t="str">
        <f>IF(BI67&lt;&gt;"SÍ","",IF(BJ67="ETABS",BF67,IF(BJ67="CAPTURA",N(AW67),0)))</f>
        <v/>
      </c>
      <c r="BR67" s="43" t="str">
        <f>IF(BI67&lt;&gt;"SÍ","",IF(BK67&gt;0,100*BQ67/BK67,0))</f>
        <v/>
      </c>
      <c r="BS67" s="44" t="str">
        <f>IF(BI67&lt;&gt;"SÍ","",IF(ISNUMBER(G67),G67,DATOS!$C$57))</f>
        <v/>
      </c>
      <c r="BT67" s="47" t="str">
        <f>IF(BI67&lt;&gt;"SÍ","",IF(ISNUMBER(H67),H67,DATOS!$C$58))</f>
        <v/>
      </c>
      <c r="BU67" s="43" t="str">
        <f>IF(BI67&lt;&gt;"SÍ","",IF(N(K67)&gt;0,1+IF(N(P67)&gt;0,1+IF(N(U67)&gt;0,1+IF(N(Z67)&gt;0,1,0),0),0),0))</f>
        <v/>
      </c>
      <c r="BV67" s="45" t="str">
        <f>IF(BI67&lt;&gt;"SÍ","",IF(AND(OR(BU67&lt;1,AND(N(J67)&gt;=0-0.001,J67+K67&lt;=F67+0.001,N(L67)&gt;=0,N(L67)+N(M67)&lt;=BS67+0.001,N(M67)&gt;0,OR(I67="PUERTA",I67="VENTANA"))),OR(BU67&lt;2,AND(N(O67)&gt;=(J67+K67)-0.001,O67+P67&lt;=F67+0.001,N(Q67)&gt;=0,N(Q67)+N(R67)&lt;=BS67+0.001,N(R67)&gt;0,OR(N67="PUERTA",N67="VENTANA"))),OR(BU67&lt;3,AND(N(T67)&gt;=(O67+P67)-0.001,T67+U67&lt;=F67+0.001,N(V67)&gt;=0,N(V67)+N(W67)&lt;=BS67+0.001,N(W67)&gt;0,OR(S67="PUERTA",S67="VENTANA"))),OR(BU67&lt;4,AND(N(Y67)&gt;=(T67+U67)-0.001,Y67+Z67&lt;=F67+0.001,N(AA67)&gt;=0,N(AA67)+N(AB67)&lt;=BS67+0.001,N(AB67)&gt;0,OR(X67="PUERTA",X67="VENTANA"))),(N(K67)&gt;0)+(N(P67)&gt;0)+(N(U67)&gt;0)+(N(Z67)&gt;0)=BU67),"CUMPLE","REVISAR VANOS: tipo, orden de izquierda a derecha, que quepan en L y en H"))</f>
        <v/>
      </c>
      <c r="BW67" s="44" t="str">
        <f>IF(BI67&lt;&gt;"SÍ","",MAX(0,IF(BU67&gt;=1,N(J67),F67)))</f>
        <v/>
      </c>
      <c r="BX67" s="44" t="str">
        <f>IF(BI67&lt;&gt;"SÍ","",MAX(0,IF(BU67&gt;=2,N(O67)-(N(J67)+N(K67)),IF(BU67=1,F67-(N(J67)+N(K67)),0))))</f>
        <v/>
      </c>
      <c r="BY67" s="44" t="str">
        <f>IF(BI67&lt;&gt;"SÍ","",MAX(0,IF(BU67&gt;=3,N(T67)-(N(O67)+N(P67)),IF(BU67=2,F67-(N(O67)+N(P67)),0))))</f>
        <v/>
      </c>
      <c r="BZ67" s="44" t="str">
        <f>IF(BI67&lt;&gt;"SÍ","",MAX(0,IF(BU67&gt;=4,N(Y67)-(N(T67)+N(U67)),IF(BU67=3,F67-(N(T67)+N(U67)),0))))</f>
        <v/>
      </c>
      <c r="CA67" s="44" t="str">
        <f>IF(BI67&lt;&gt;"SÍ","",MAX(0,IF(BU67=4,F67-(N(Y67)+N(Z67)),0)))</f>
        <v/>
      </c>
      <c r="CB67" s="46" t="str">
        <f>IF(BI67&lt;&gt;"SÍ","",SUMPRODUCT((BW67:CA67&gt;=DATOS!$C$72-0.0001)*BW67:CA67))</f>
        <v/>
      </c>
      <c r="CC67" s="43" t="str">
        <f>IF(BI67&lt;&gt;"SÍ","",SUMPRODUCT(--(BW67:CA67&gt;=DATOS!$C$72-0.0001)))</f>
        <v/>
      </c>
      <c r="CD67" s="44" t="str">
        <f>IF(BI67&lt;&gt;"SÍ","",SUM(BW67:CA67))</f>
        <v/>
      </c>
      <c r="CE67" s="43" t="str">
        <f>IF(BI67&lt;&gt;"SÍ","",BT67*CB67*100)</f>
        <v/>
      </c>
      <c r="CF67" s="43" t="str">
        <f>IF(BI67&lt;&gt;"SÍ","",BT67*CD67*100)</f>
        <v/>
      </c>
      <c r="CG67" s="47" t="str">
        <f>IF(BI67&lt;&gt;"SÍ","",BS67*100/BT67)</f>
        <v/>
      </c>
      <c r="CH67" s="45" t="str">
        <f>IF(BI67&lt;&gt;"SÍ","",IF(AND(OR(DATOS!$C$14="TIPO II",BT67&gt;=12),CG67&lt;=25),"CUMPLE","NO CUMPLE: "&amp;IF(AND(DATOS!$C$14="TIPO I",BT67&lt;12),"t &lt; 12 cm ","")&amp;IF(CG67&gt;25,"H/t &gt; 25","")))</f>
        <v/>
      </c>
      <c r="CI67" s="44" t="str">
        <f>IF(BI67&lt;&gt;"SÍ","",MIN(1.5*BS67,4))</f>
        <v/>
      </c>
      <c r="CJ67" s="43" t="str">
        <f>IF(BI67&lt;&gt;"SÍ","",SUMPRODUCT((BW67:CA67&gt;=2*DATOS!$C$59/100)*INT((BW67:CA67-DATOS!$C$59/100)/CI67-0.000001)*((BW67:CA67-DATOS!$C$59/100)&gt;0)))</f>
        <v/>
      </c>
      <c r="CK67" s="43" t="str">
        <f>IF(BI67&lt;&gt;"SÍ","",SUMPRODUCT((BW67:CA67&gt;0.0001)*1+(BW67:CA67&gt;=2*DATOS!$C$59/100)*1)+CJ67)</f>
        <v/>
      </c>
      <c r="CL67" s="44" t="str">
        <f>IF(BI67&lt;&gt;"SÍ","",IF(ISNUMBER(AC67),AC67,DATOS!$C$61)*INDEX(TABLAS!$D$6:$D$14,MATCH(IF(AD67&lt;&gt;"",AD67,DATOS!$C$62),TABLAS!$B$6:$B$14,0)))</f>
        <v/>
      </c>
      <c r="CM67" s="44" t="str">
        <f>IF(BI67&lt;&gt;"SÍ","",CK67*DATOS!$C$78+IF(CK67&gt;=2,2,CK67)*(CL67-DATOS!$C$78))</f>
        <v/>
      </c>
      <c r="CN67" s="47" t="str">
        <f>IF(BI67&lt;&gt;"SÍ","",MAX(BS67*100/6,40))</f>
        <v/>
      </c>
      <c r="CO67" s="48" t="str">
        <f>IF(BI67&lt;&gt;"SÍ","",IF(CG67&lt;=20,IF(E67="INTERIOR",0.7,0.6),MIN(IF(E67="INTERIOR",0.7,0.6),(1-2/24)*(1-(IF(E67="INTERIOR",0.8,1)*CG67/30)^2))))</f>
        <v/>
      </c>
      <c r="CP67" s="47" t="str">
        <f>IF(BI67&lt;&gt;"SÍ","",DATOS!$C$87*CO67*(DATOS!$C$33*CF67+CM67*DATOS!$C$48)/1000)</f>
        <v/>
      </c>
      <c r="CQ67" s="46" t="str">
        <f>IF(BI67&lt;&gt;"SÍ","",IF(CP67&gt;0,BO67/CP67,99))</f>
        <v/>
      </c>
      <c r="CR67" s="47" t="str">
        <f>IF(BI67&lt;&gt;"SÍ","",MAX(0,F67*100-DATOS!$C$59))</f>
        <v/>
      </c>
      <c r="CS67" s="47" t="str">
        <f>IF(BI67&lt;&gt;"SÍ","",MAX(0,F67*100-DATOS!$C$59/2))</f>
        <v/>
      </c>
      <c r="CT67" s="44" t="str">
        <f>IF(BI67&lt;&gt;"SÍ","",CL67*DATOS!$C$48*CR67/100000)</f>
        <v/>
      </c>
      <c r="CU67" s="44" t="str">
        <f>IF(BI67&lt;&gt;"SÍ","",IF(BN67&lt;0,0.8*CT67*MAX(0,1+BN67/(0.8*CM67*DATOS!$C$48/1000)),IF(BN67&lt;=CP67/3,0.8*CT67+0.3*BN67*CS67/100,(1.5*0.6*CT67+0.15*CP67*CS67/100)*MAX(0,1-BN67/CP67))))</f>
        <v/>
      </c>
      <c r="CV67" s="44" t="str">
        <f>IF(BI67&lt;&gt;"SÍ","",IF(BO67&lt;0,0.8*CT67*MAX(0,1+BO67/(0.8*CM67*DATOS!$C$48/1000)),IF(BO67&lt;=CP67/3,0.8*CT67+0.3*BO67*CS67/100,(1.5*0.6*CT67+0.15*CP67*CS67/100)*MAX(0,1-BO67/CP67))))</f>
        <v/>
      </c>
      <c r="CW67" s="46" t="str">
        <f>IF(BI67&lt;&gt;"SÍ","",MAX(0,MIN(CU67,CV67)))</f>
        <v/>
      </c>
      <c r="CX67" s="49" t="str">
        <f>IF(BI67&lt;&gt;"SÍ","",IF(CW67&gt;0,BL67/CW67,IF(BL67&gt;0,99,0)))</f>
        <v/>
      </c>
      <c r="CY67" s="44" t="str">
        <f>IF(BI67&lt;&gt;"SÍ","",IF(BW67&gt;0,MAX(1,MIN(1.5,1.5-0.625*(BS67/BW67-0.2))),0))</f>
        <v/>
      </c>
      <c r="CZ67" s="44" t="str">
        <f>IF(BI67&lt;&gt;"SÍ","",IF(BX67&gt;0,MAX(1,MIN(1.5,1.5-0.625*(BS67/BX67-0.2))),0))</f>
        <v/>
      </c>
      <c r="DA67" s="44" t="str">
        <f>IF(BI67&lt;&gt;"SÍ","",IF(BY67&gt;0,MAX(1,MIN(1.5,1.5-0.625*(BS67/BY67-0.2))),0))</f>
        <v/>
      </c>
      <c r="DB67" s="44" t="str">
        <f>IF(BI67&lt;&gt;"SÍ","",IF(BZ67&gt;0,MAX(1,MIN(1.5,1.5-0.625*(BS67/BZ67-0.2))),0))</f>
        <v/>
      </c>
      <c r="DC67" s="44" t="str">
        <f>IF(BI67&lt;&gt;"SÍ","",IF(CA67&gt;0,MAX(1,MIN(1.5,1.5-0.625*(BS67/CA67-0.2))),0))</f>
        <v/>
      </c>
      <c r="DD67" s="44" t="str">
        <f>IF(BI67&lt;&gt;"SÍ","",IF(OR(BW67&lt;DATOS!$C$72-0.0001,BM67&lt;0,CB67&lt;=0),0,MIN(DATOS!$C$86*(0.5*DATOS!$C$41*BT67*BW67*100+0.3*BM67*BW67/CB67*1000)*CY67,1.5*DATOS!$C$86*DATOS!$C$41*BT67*BW67*100*CY67)/1000))</f>
        <v/>
      </c>
      <c r="DE67" s="44" t="str">
        <f>IF(BI67&lt;&gt;"SÍ","",IF(OR(BX67&lt;DATOS!$C$72-0.0001,BM67&lt;0,CB67&lt;=0),0,MIN(DATOS!$C$86*(0.5*DATOS!$C$41*BT67*BX67*100+0.3*BM67*BX67/CB67*1000)*CZ67,1.5*DATOS!$C$86*DATOS!$C$41*BT67*BX67*100*CZ67)/1000))</f>
        <v/>
      </c>
      <c r="DF67" s="44" t="str">
        <f>IF(BI67&lt;&gt;"SÍ","",IF(OR(BY67&lt;DATOS!$C$72-0.0001,BM67&lt;0,CB67&lt;=0),0,MIN(DATOS!$C$86*(0.5*DATOS!$C$41*BT67*BY67*100+0.3*BM67*BY67/CB67*1000)*DA67,1.5*DATOS!$C$86*DATOS!$C$41*BT67*BY67*100*DA67)/1000))</f>
        <v/>
      </c>
      <c r="DG67" s="44" t="str">
        <f>IF(BI67&lt;&gt;"SÍ","",IF(OR(BZ67&lt;DATOS!$C$72-0.0001,BM67&lt;0,CB67&lt;=0),0,MIN(DATOS!$C$86*(0.5*DATOS!$C$41*BT67*BZ67*100+0.3*BM67*BZ67/CB67*1000)*DB67,1.5*DATOS!$C$86*DATOS!$C$41*BT67*BZ67*100*DB67)/1000))</f>
        <v/>
      </c>
      <c r="DH67" s="44" t="str">
        <f>IF(BI67&lt;&gt;"SÍ","",IF(OR(CA67&lt;DATOS!$C$72-0.0001,BM67&lt;0,CB67&lt;=0),0,MIN(DATOS!$C$86*(0.5*DATOS!$C$41*BT67*CA67*100+0.3*BM67*CA67/CB67*1000)*DC67,1.5*DATOS!$C$86*DATOS!$C$41*BT67*CA67*100*DC67)/1000))</f>
        <v/>
      </c>
      <c r="DI67" s="46" t="str">
        <f>IF(BI67&lt;&gt;"SÍ","",SUM(DD67:DH67))</f>
        <v/>
      </c>
      <c r="DJ67" s="48" t="str">
        <f>IF(BI67&lt;&gt;"SÍ","",IF(AE67="VARILLA EN JUNTAS",IF(ISNUMBER(AF67),AF67,2)*INDEX(TABLAS!$D$6:$D$14,MATCH(IF(AG67&lt;&gt;"",AG67,DATOS!$C$73),TABLAS!$B$6:$B$14,0)),IF(AE67="MALLA",IF(ISNUMBER(AF67),AF67,1)*INDEX(TABLAS!$D$19:$D$22,MATCH(IF(AG67&lt;&gt;"",AG67,DATOS!$C$74),TABLAS!$B$19:$B$22,0))/100,IF(AE67="ESCALERILLA",IF(ISNUMBER(AF67),AF67,2)*INDEX(TABLAS!$D$6:$D$14,MATCH(IF(AG67&lt;&gt;"",AG67,DATOS!$C$73),TABLAS!$B$6:$B$14,0)),0))))</f>
        <v/>
      </c>
      <c r="DK67" s="47" t="str">
        <f>IF(BI67&lt;&gt;"SÍ","",IF(OR(AE67="VARILLA EN JUNTAS",AE67="ESCALERILLA"),IF(ISNUMBER(AH67),AH67,2)*DATOS!$C$26,IF(AE67="MALLA",1,0)))</f>
        <v/>
      </c>
      <c r="DL67" s="44" t="str">
        <f>IF(BI67&lt;&gt;"SÍ","",IF(DK67&gt;0,DJ67/(DK67*BT67)*MIN(DATOS!$C$50,IF(AE67="MALLA",5000,6000)),0))</f>
        <v/>
      </c>
      <c r="DM67" s="44" t="str">
        <f>IF(BI67&lt;&gt;"SÍ","",IF(AE67="ESCALERILLA",0,MIN(DL67,0.1*DATOS!$C$33*DATOS!$C$24)))</f>
        <v/>
      </c>
      <c r="DN67" s="48" t="str">
        <f>IF(BI67&lt;&gt;"SÍ","",IF(AE67="MALLA",0.5,IF(DATOS!$C$33&lt;=60,0.55,IF(DATOS!$C$33&gt;=90,0.75,0.55+0.2*(DATOS!$C$33-60)/30))))</f>
        <v/>
      </c>
      <c r="DO67" s="48" t="str">
        <f>IF(BI67&lt;&gt;"SÍ","",1-DATOS!$C$91*DM67)</f>
        <v/>
      </c>
      <c r="DP67" s="44" t="str">
        <f>IF(BI67&lt;&gt;"SÍ","",IF(BW67&gt;0,IF(BS67/BW67&lt;=1,1.3,IF(BS67/BW67&gt;=1.5,1,1.3-0.6*(BS67/BW67-1))),0))</f>
        <v/>
      </c>
      <c r="DQ67" s="44" t="str">
        <f>IF(BI67&lt;&gt;"SÍ","",IF(BX67&gt;0,IF(BS67/BX67&lt;=1,1.3,IF(BS67/BX67&gt;=1.5,1,1.3-0.6*(BS67/BX67-1))),0))</f>
        <v/>
      </c>
      <c r="DR67" s="44" t="str">
        <f>IF(BI67&lt;&gt;"SÍ","",IF(BY67&gt;0,IF(BS67/BY67&lt;=1,1.3,IF(BS67/BY67&gt;=1.5,1,1.3-0.6*(BS67/BY67-1))),0))</f>
        <v/>
      </c>
      <c r="DS67" s="44" t="str">
        <f>IF(BI67&lt;&gt;"SÍ","",IF(BZ67&gt;0,IF(BS67/BZ67&lt;=1,1.3,IF(BS67/BZ67&gt;=1.5,1,1.3-0.6*(BS67/BZ67-1))),0))</f>
        <v/>
      </c>
      <c r="DT67" s="44" t="str">
        <f>IF(BI67&lt;&gt;"SÍ","",IF(CA67&gt;0,IF(BS67/CA67&lt;=1,1.3,IF(BS67/CA67&gt;=1.5,1,1.3-0.6*(BS67/CA67-1))),0))</f>
        <v/>
      </c>
      <c r="DU67" s="44" t="str">
        <f>IF(BI67&lt;&gt;"SÍ","",IF(OR(DM67&lt;=0,BW67&lt;DATOS!$C$72-0.0001),0,DATOS!$C$86*MAX(0,IF(BM67&gt;=0,DD67/(DATOS!$C$86*DM67*BT67*BW67*100/1000)*(DP67*DO67-1)+DN67,DO67*DN67))*DM67*BT67*BW67*100/1000))</f>
        <v/>
      </c>
      <c r="DV67" s="44" t="str">
        <f>IF(BI67&lt;&gt;"SÍ","",IF(OR(DM67&lt;=0,BX67&lt;DATOS!$C$72-0.0001),0,DATOS!$C$86*MAX(0,IF(BM67&gt;=0,DE67/(DATOS!$C$86*DM67*BT67*BX67*100/1000)*(DQ67*DO67-1)+DN67,DO67*DN67))*DM67*BT67*BX67*100/1000))</f>
        <v/>
      </c>
      <c r="DW67" s="44" t="str">
        <f>IF(BI67&lt;&gt;"SÍ","",IF(OR(DM67&lt;=0,BY67&lt;DATOS!$C$72-0.0001),0,DATOS!$C$86*MAX(0,IF(BM67&gt;=0,DF67/(DATOS!$C$86*DM67*BT67*BY67*100/1000)*(DR67*DO67-1)+DN67,DO67*DN67))*DM67*BT67*BY67*100/1000))</f>
        <v/>
      </c>
      <c r="DX67" s="44" t="str">
        <f>IF(BI67&lt;&gt;"SÍ","",IF(OR(DM67&lt;=0,BZ67&lt;DATOS!$C$72-0.0001),0,DATOS!$C$86*MAX(0,IF(BM67&gt;=0,DG67/(DATOS!$C$86*DM67*BT67*BZ67*100/1000)*(DS67*DO67-1)+DN67,DO67*DN67))*DM67*BT67*BZ67*100/1000))</f>
        <v/>
      </c>
      <c r="DY67" s="44" t="str">
        <f>IF(BI67&lt;&gt;"SÍ","",IF(OR(DM67&lt;=0,CA67&lt;DATOS!$C$72-0.0001),0,DATOS!$C$86*MAX(0,IF(BM67&gt;=0,DH67/(DATOS!$C$86*DM67*BT67*CA67*100/1000)*(DT67*DO67-1)+DN67,DO67*DN67))*DM67*BT67*CA67*100/1000))</f>
        <v/>
      </c>
      <c r="DZ67" s="46" t="str">
        <f>IF(BI67&lt;&gt;"SÍ","",SUM(DU67:DY67))</f>
        <v/>
      </c>
      <c r="EA67" s="45" t="str">
        <f>IF(BI67&lt;&gt;"SÍ","",IF(OR(AE67="",AE67="NINGUNO"),IF(DATOS!$C$41&gt;=10,"FALTA refuerzo horizontal: v'm ≥ 10 kg/cm² (6.5.2.2)",IF(AND(BM67&lt;0,BK67&gt;0),"FALTA: P en tensión, el refuerzo debe tomar todo el cortante (6.5.1.3)","—")),IF(AE67="ESCALERILLA","NO CUENTA: la escalerilla no se permite para cortante por sismo (6.5.3.1.2)",IF(AE67="MALLA",IF(AND(DL67&gt;=2.5,DL67&lt;=MAX(0.15*DATOS!$C$33*DATOS!$C$24,2.5)),"CUMPLE","NO CUMPLE: "&amp;IF(DL67&lt;2.5,"p_h·f_yh &lt; 2.5 (6.5.4.2.4)","p_h·f_yh &gt; 0.15·f'm·f_an (6.5.4.2.4)")),IF(AND(DK67&lt;=MIN(6*DATOS!$C$26,45),DL67&gt;=3,DL67&lt;=MIN(MAX(0.15*DATOS!$C$33*DATOS!$C$24,3),0.05*DATOS!$C$25/10*MIN(DATOS!$C$50,6000)/DK67),INDEX(TABLAS!$C$6:$C$14,MATCH(IF(AG67&lt;&gt;"",AG67,DATOS!$C$73),TABLAS!$B$6:$B$14,0))&gt;=0.35,INDEX(TABLAS!$C$6:$C$14,MATCH(IF(AG67&lt;&gt;"",AG67,DATOS!$C$73),TABLAS!$B$6:$B$14,0))&lt;=0.75*DATOS!$C$25/10),"CUMPLE","NO CUMPLE: "&amp;IF(DK67&gt;MIN(6*DATOS!$C$26,45),"s_h &gt; 6 hiladas o 45 cm (6.5.3.2.1) ","")&amp;IF(DL67&lt;3,"p_h·f_yh &lt; 3 (6.5.3.3.1) ","")&amp;IF(DL67&gt;MIN(MAX(0.15*DATOS!$C$33*DATOS!$C$24,3),0.05*DATOS!$C$25/10*MIN(DATOS!$C$50,6000)/DK67),"p_h·f_yh &gt; máximo (6.5.3.3.2) ","")&amp;IF(OR(INDEX(TABLAS!$C$6:$C$14,MATCH(IF(AG67&lt;&gt;"",AG67,DATOS!$C$73),TABLAS!$B$6:$B$14,0))&lt;0.35,INDEX(TABLAS!$C$6:$C$14,MATCH(IF(AG67&lt;&gt;"",AG67,DATOS!$C$73),TABLAS!$B$6:$B$14,0))&gt;0.75*DATOS!$C$25/10),"diámetro fuera de 3.5 mm a 0.75·h_j (4.2.2.2.1)",""))))))</f>
        <v/>
      </c>
      <c r="EB67" s="46" t="str">
        <f>IF(BI67&lt;&gt;"SÍ","",DI67+DZ67)</f>
        <v/>
      </c>
      <c r="EC67" s="50" t="str">
        <f>IF(BI67&lt;&gt;"SÍ","",IF(EB67&gt;0,BK67/EB67,IF(BK67&gt;0,99,0)))</f>
        <v/>
      </c>
      <c r="ED67" s="47" t="str">
        <f>IF(BI67&lt;&gt;"SÍ","",IF(CE67&lt;=0,-1,IF(BK67&lt;=DI67,0,IF(IF(BM67&gt;=0,IF((DATOS!$C$86*IF(AE67="MALLA",0.5,IF(DATOS!$C$33&lt;=60,0.55,IF(DATOS!$C$33&gt;=90,0.75,0.55+0.2*(DATOS!$C$33-60)/30)))*CE67/1000-DATOS!$C$91*SUMPRODUCT(DP67:DT67,DD67:DH67))&lt;=0,1E9,(BK67-SUMPRODUCT(DP67:DT67,DD67:DH67))/(DATOS!$C$86*IF(AE67="MALLA",0.5,IF(DATOS!$C$33&lt;=60,0.55,IF(DATOS!$C$33&gt;=90,0.75,0.55+0.2*(DATOS!$C$33-60)/30)))*CE67/1000-DATOS!$C$91*SUMPRODUCT(DP67:DT67,DD67:DH67))),IF((1-4*DATOS!$C$91*BK67*1000/(DATOS!$C$86*IF(AE67="MALLA",0.5,IF(DATOS!$C$33&lt;=60,0.55,IF(DATOS!$C$33&gt;=90,0.75,0.55+0.2*(DATOS!$C$33-60)/30)))*MAX(CE67,1)))&lt;0,1E9,(1-SQRT((1-4*DATOS!$C$91*BK67*1000/(DATOS!$C$86*IF(AE67="MALLA",0.5,IF(DATOS!$C$33&lt;=60,0.55,IF(DATOS!$C$33&gt;=90,0.75,0.55+0.2*(DATOS!$C$33-60)/30)))*MAX(CE67,1)))))/(2*DATOS!$C$91)))&gt;0.1*DATOS!$C$33*DATOS!$C$24+0.000001,-1,MAX(IF(AE67="MALLA",2.5,3),IF(BM67&gt;=0,IF((DATOS!$C$86*IF(AE67="MALLA",0.5,IF(DATOS!$C$33&lt;=60,0.55,IF(DATOS!$C$33&gt;=90,0.75,0.55+0.2*(DATOS!$C$33-60)/30)))*CE67/1000-DATOS!$C$91*SUMPRODUCT(DP67:DT67,DD67:DH67))&lt;=0,1E9,(BK67-SUMPRODUCT(DP67:DT67,DD67:DH67))/(DATOS!$C$86*IF(AE67="MALLA",0.5,IF(DATOS!$C$33&lt;=60,0.55,IF(DATOS!$C$33&gt;=90,0.75,0.55+0.2*(DATOS!$C$33-60)/30)))*CE67/1000-DATOS!$C$91*SUMPRODUCT(DP67:DT67,DD67:DH67))),IF((1-4*DATOS!$C$91*BK67*1000/(DATOS!$C$86*IF(AE67="MALLA",0.5,IF(DATOS!$C$33&lt;=60,0.55,IF(DATOS!$C$33&gt;=90,0.75,0.55+0.2*(DATOS!$C$33-60)/30)))*MAX(CE67,1)))&lt;0,1E9,(1-SQRT((1-4*DATOS!$C$91*BK67*1000/(DATOS!$C$86*IF(AE67="MALLA",0.5,IF(DATOS!$C$33&lt;=60,0.55,IF(DATOS!$C$33&gt;=90,0.75,0.55+0.2*(DATOS!$C$33-60)/30)))*MAX(CE67,1)))))/(2*DATOS!$C$91))))))))</f>
        <v/>
      </c>
      <c r="EE67" s="45" t="str">
        <f>IF(BI67&lt;&gt;"SÍ","",IF(ED67=0,"NO REQUIERE: V_mR ≥ V_u",IF(ED67&lt;0,"NO ALCANZA con refuerzo horizontal (haría falta más de 0.1·f'm·f_an efectivo): sube v'm con ensayes, el espesor o la longitud del muro",IF(AND(OR(AE67="VARILLA EN JUNTAS",AE67="MALLA"),LEFT(EA67,6)="CUMPLE",EC67&lt;=1),"YA LO TIENE (pide p_h·f_yh ≥ "&amp;TEXT(ED67,"0.0")&amp;" kg/cm²)","p_h·f_yh ≥ "&amp;TEXT(ED67,"0.0")&amp;" kg/cm² → "&amp;IF(AND(MIN(6,FLOOR(45/DATOS!$C$26,1),FLOOR((2*INDEX(TABLAS!$D$6:$D$14,MATCH("3/16 in",TABLAS!$B$6:$B$14,0)))*MIN(DATOS!$C$50,6000)/(BT67*DATOS!$C$26*MAX(ED67,0.001)),1))&gt;=1,((2*INDEX(TABLAS!$D$6:$D$14,MATCH("3/16 in",TABLAS!$B$6:$B$14,0)))*MIN(DATOS!$C$50,6000)/(MAX(MIN(6,FLOOR(45/DATOS!$C$26,1),FLOOR((2*INDEX(TABLAS!$D$6:$D$14,MATCH("3/16 in",TABLAS!$B$6:$B$14,0)))*MIN(DATOS!$C$50,6000)/(BT67*DATOS!$C$26*MAX(ED67,0.001)),1)),1)*DATOS!$C$26*BT67))&lt;=MIN(MAX(0.15*DATOS!$C$33*DATOS!$C$24,3),0.05*DATOS!$C$25/10*MIN(DATOS!$C$50,6000)/(MIN(6,FLOOR(45/DATOS!$C$26,1),FLOOR((2*INDEX(TABLAS!$D$6:$D$14,MATCH("3/16 in",TABLAS!$B$6:$B$14,0)))*MIN(DATOS!$C$50,6000)/(BT67*DATOS!$C$26*MAX(ED67,0.001)),1))*DATOS!$C$26))),"2 alambres de 3/16"" por junta cada "&amp;MIN(6,FLOOR(45/DATOS!$C$26,1),FLOOR((2*INDEX(TABLAS!$D$6:$D$14,MATCH("3/16 in",TABLAS!$B$6:$B$14,0)))*MIN(DATOS!$C$50,6000)/(BT67*DATOS!$C$26*MAX(ED67,0.001)),1))&amp;" hilada(s) (p_h·f_yh = "&amp;TEXT(((2*INDEX(TABLAS!$D$6:$D$14,MATCH("3/16 in",TABLAS!$B$6:$B$14,0)))*MIN(DATOS!$C$50,6000)/(MAX(MIN(6,FLOOR(45/DATOS!$C$26,1),FLOOR((2*INDEX(TABLAS!$D$6:$D$14,MATCH("3/16 in",TABLAS!$B$6:$B$14,0)))*MIN(DATOS!$C$50,6000)/(BT67*DATOS!$C$26*MAX(ED67,0.001)),1)),1)*DATOS!$C$26*BT67)),"0.00")&amp;")",IF(AND(MIN(6,FLOOR(45/DATOS!$C$26,1),FLOOR((2*INDEX(TABLAS!$D$6:$D$14,MATCH("5/32 in",TABLAS!$B$6:$B$14,0)))*MIN(DATOS!$C$50,6000)/(BT67*DATOS!$C$26*MAX(ED67,0.001)),1))&gt;=1,((2*INDEX(TABLAS!$D$6:$D$14,MATCH("5/32 in",TABLAS!$B$6:$B$14,0)))*MIN(DATOS!$C$50,6000)/(MAX(MIN(6,FLOOR(45/DATOS!$C$26,1),FLOOR((2*INDEX(TABLAS!$D$6:$D$14,MATCH("5/32 in",TABLAS!$B$6:$B$14,0)))*MIN(DATOS!$C$50,6000)/(BT67*DATOS!$C$26*MAX(ED67,0.001)),1)),1)*DATOS!$C$26*BT67))&lt;=MIN(MAX(0.15*DATOS!$C$33*DATOS!$C$24,3),0.05*DATOS!$C$25/10*MIN(DATOS!$C$50,6000)/(MIN(6,FLOOR(45/DATOS!$C$26,1),FLOOR((2*INDEX(TABLAS!$D$6:$D$14,MATCH("5/32 in",TABLAS!$B$6:$B$14,0)))*MIN(DATOS!$C$50,6000)/(BT67*DATOS!$C$26*MAX(ED67,0.001)),1))*DATOS!$C$26))),"2 alambres de 5/32"" por junta cada "&amp;MIN(6,FLOOR(45/DATOS!$C$26,1),FLOOR((2*INDEX(TABLAS!$D$6:$D$14,MATCH("5/32 in",TABLAS!$B$6:$B$14,0)))*MIN(DATOS!$C$50,6000)/(BT67*DATOS!$C$26*MAX(ED67,0.001)),1))&amp;" hilada(s) (p_h·f_yh = "&amp;TEXT(((2*INDEX(TABLAS!$D$6:$D$14,MATCH("5/32 in",TABLAS!$B$6:$B$14,0)))*MIN(DATOS!$C$50,6000)/(MAX(MIN(6,FLOOR(45/DATOS!$C$26,1),FLOOR((2*INDEX(TABLAS!$D$6:$D$14,MATCH("5/32 in",TABLAS!$B$6:$B$14,0)))*MIN(DATOS!$C$50,6000)/(BT67*DATOS!$C$26*MAX(ED67,0.001)),1)),1)*DATOS!$C$26*BT67)),"0.00")&amp;")",IF(AND(MIN(6,FLOOR(45/DATOS!$C$26,1),FLOOR((1*INDEX(TABLAS!$D$6:$D$14,MATCH("3/16 in",TABLAS!$B$6:$B$14,0)))*MIN(DATOS!$C$50,6000)/(BT67*DATOS!$C$26*MAX(ED67,0.001)),1))&gt;=1,((1*INDEX(TABLAS!$D$6:$D$14,MATCH("3/16 in",TABLAS!$B$6:$B$14,0)))*MIN(DATOS!$C$50,6000)/(MAX(MIN(6,FLOOR(45/DATOS!$C$26,1),FLOOR((1*INDEX(TABLAS!$D$6:$D$14,MATCH("3/16 in",TABLAS!$B$6:$B$14,0)))*MIN(DATOS!$C$50,6000)/(BT67*DATOS!$C$26*MAX(ED67,0.001)),1)),1)*DATOS!$C$26*BT67))&lt;=MIN(MAX(0.15*DATOS!$C$33*DATOS!$C$24,3),0.05*DATOS!$C$25/10*MIN(DATOS!$C$50,6000)/(MIN(6,FLOOR(45/DATOS!$C$26,1),FLOOR((1*INDEX(TABLAS!$D$6:$D$14,MATCH("3/16 in",TABLAS!$B$6:$B$14,0)))*MIN(DATOS!$C$50,6000)/(BT67*DATOS!$C$26*MAX(ED67,0.001)),1))*DATOS!$C$26))),"1 alambre de 3/16"" por junta cada "&amp;MIN(6,FLOOR(45/DATOS!$C$26,1),FLOOR((1*INDEX(TABLAS!$D$6:$D$14,MATCH("3/16 in",TABLAS!$B$6:$B$14,0)))*MIN(DATOS!$C$50,6000)/(BT67*DATOS!$C$26*MAX(ED67,0.001)),1))&amp;" hilada(s) (p_h·f_yh = "&amp;TEXT(((1*INDEX(TABLAS!$D$6:$D$14,MATCH("3/16 in",TABLAS!$B$6:$B$14,0)))*MIN(DATOS!$C$50,6000)/(MAX(MIN(6,FLOOR(45/DATOS!$C$26,1),FLOOR((1*INDEX(TABLAS!$D$6:$D$14,MATCH("3/16 in",TABLAS!$B$6:$B$14,0)))*MIN(DATOS!$C$50,6000)/(BT67*DATOS!$C$26*MAX(ED67,0.001)),1)),1)*DATOS!$C$26*BT67)),"0.00")&amp;")",IF(AND(MIN(6,FLOOR(45/DATOS!$C$26,1),FLOOR((1*INDEX(TABLAS!$D$6:$D$14,MATCH("5/32 in",TABLAS!$B$6:$B$14,0)))*MIN(DATOS!$C$50,6000)/(BT67*DATOS!$C$26*MAX(ED67,0.001)),1))&gt;=1,((1*INDEX(TABLAS!$D$6:$D$14,MATCH("5/32 in",TABLAS!$B$6:$B$14,0)))*MIN(DATOS!$C$50,6000)/(MAX(MIN(6,FLOOR(45/DATOS!$C$26,1),FLOOR((1*INDEX(TABLAS!$D$6:$D$14,MATCH("5/32 in",TABLAS!$B$6:$B$14,0)))*MIN(DATOS!$C$50,6000)/(BT67*DATOS!$C$26*MAX(ED67,0.001)),1)),1)*DATOS!$C$26*BT67))&lt;=MIN(MAX(0.15*DATOS!$C$33*DATOS!$C$24,3),0.05*DATOS!$C$25/10*MIN(DATOS!$C$50,6000)/(MIN(6,FLOOR(45/DATOS!$C$26,1),FLOOR((1*INDEX(TABLAS!$D$6:$D$14,MATCH("5/32 in",TABLAS!$B$6:$B$14,0)))*MIN(DATOS!$C$50,6000)/(BT67*DATOS!$C$26*MAX(ED67,0.001)),1))*DATOS!$C$26))),"1 alambre de 5/32"" por junta cada "&amp;MIN(6,FLOOR(45/DATOS!$C$26,1),FLOOR((1*INDEX(TABLAS!$D$6:$D$14,MATCH("5/32 in",TABLAS!$B$6:$B$14,0)))*MIN(DATOS!$C$50,6000)/(BT67*DATOS!$C$26*MAX(ED67,0.001)),1))&amp;" hilada(s) (p_h·f_yh = "&amp;TEXT(((1*INDEX(TABLAS!$D$6:$D$14,MATCH("5/32 in",TABLAS!$B$6:$B$14,0)))*MIN(DATOS!$C$50,6000)/(MAX(MIN(6,FLOOR(45/DATOS!$C$26,1),FLOOR((1*INDEX(TABLAS!$D$6:$D$14,MATCH("5/32 in",TABLAS!$B$6:$B$14,0)))*MIN(DATOS!$C$50,6000)/(BT67*DATOS!$C$26*MAX(ED67,0.001)),1)),1)*DATOS!$C$26*BT67)),"0.00")&amp;")","ninguna combinación de 1 o 2 alambres por junta queda entre el mínimo y el máximo: revisa con malla (6.5.4)"))))))))</f>
        <v/>
      </c>
      <c r="EF67" s="43" t="str">
        <f>IF(BI67&lt;&gt;"SÍ","",IF(AI67="SÍ",N(AK67)*N(AL67)^3/12,0))</f>
        <v/>
      </c>
      <c r="EG67" s="48" t="str">
        <f>IF(BI67&lt;&gt;"SÍ","",IF(AND(AI67="SÍ",N(AM67)&gt;0),MIN(1,F67/AM67),0))</f>
        <v/>
      </c>
      <c r="EH67" s="47" t="str">
        <f>IF(BI67&lt;&gt;"SÍ","",IF(AI67="SÍ",BP67*1000/(BT67*F67*100)*BT67*(EG67^4-4*EG67^3+8*EG67),0))</f>
        <v/>
      </c>
      <c r="EI67" s="48" t="str">
        <f>IF(BI67&lt;&gt;"SÍ","",IF(AND(AI67="SÍ",EH67&gt;0),EH67/(EH67+5*N(AN67)*10),0))</f>
        <v/>
      </c>
      <c r="EJ67" s="44" t="str">
        <f>IF(BI67&lt;&gt;"SÍ","",IF(AND(AI67="SÍ",EI67&gt;0,EF67&gt;0),(DATOS!$C$43*BT67*(AM67*100)^3/(DATOS!$C$53*EF67*EI67))^0.25,0))</f>
        <v/>
      </c>
      <c r="EK67" s="44" t="str">
        <f>IF(BI67&lt;&gt;"SÍ","",IF(AI67&lt;&gt;"SÍ",0,IF(N(AM67)&lt;=F67,1,IF(MIN(1,N(AO67)/((AM67-F67)/2))&lt;=0.5,0.7+0.6*MIN(1,N(AO67)/((AM67-F67)/2)),1.5-MIN(1,N(AO67)/((AM67-F67)/2))))))</f>
        <v/>
      </c>
      <c r="EL67" s="44" t="str">
        <f>IF(BI67&lt;&gt;"SÍ","",IF(AI67&lt;&gt;"SÍ",0,MAX(1,IF(EG67&gt;=1,(1.6*EJ67-3.9),IF(EG67&lt;0.9,((3.2*EJ67-7.8)*EK67),((3.2*EJ67-7.8)*EK67)+((1.6*EJ67-3.9)-((3.2*EJ67-7.8)*EK67))*(EG67-0.9)/0.1)))))</f>
        <v/>
      </c>
      <c r="EM67" s="47" t="str">
        <f>IF(BI67&lt;&gt;"SÍ","",IF(AI67="SÍ",EL67*BP67*1000/(BT67*F67*100),0))</f>
        <v/>
      </c>
      <c r="EN67" s="47" t="str">
        <f>IF(BI67&lt;&gt;"SÍ","",IF(AND(AI67="SÍ",N(AL67)&gt;0),AM67*100/AL67,0))</f>
        <v/>
      </c>
      <c r="EO67" s="47" t="str">
        <f>IF(BI67&lt;&gt;"SÍ","",IF(AI67="SÍ",(1/15*DATOS!$C$53*N(AK67)/MAX((IF(ISNUMBER(AP67),AP67,BP67/DATOS!$C$90)*1000/(BT67*F67*100)*BT67*(EG67^4-4*EG67^3+8*EG67))+5*N(AN67)/DATOS!$C$90*10,0.001))^(1/3),0))</f>
        <v/>
      </c>
      <c r="EP67" s="45" t="str">
        <f>IF(BI67&lt;&gt;"SÍ","",IF(AI67&lt;&gt;"SÍ","—",IF(OR(N(AK67)&lt;=0,N(AL67)&lt;=0,N(AM67)&lt;=0),"REVISAR: faltan b, h o L_v de la viga",IF(AND(EM67&lt;=DATOS!$C$87*DATOS!$C$33,EN67&lt;=14,N(AL67)&gt;=25,EN67&lt;=EO67),IF(BS67/F67&lt;0.6,"PENDIENTE: H/L &lt; 0.6, falta el análisis de interacción muro–viga (4.1.18.2.1); f_CM es estimado","CUMPLE"),"NO CUMPLE: "&amp;IF(EM67&gt;DATOS!$C$87*DATOS!$C$33,"f_CM &gt; F_R·f'm ","")&amp;IF(EN67&gt;14,"L_v/h_v &gt; 14 ","")&amp;IF(N(AL67)&lt;25,"h_v &lt; 25 cm ","")&amp;IF(EN67&gt;EO67,"flecha (4.1.18.3)","")))))</f>
        <v/>
      </c>
      <c r="EQ67" s="44" t="str">
        <f>IF(BI67&lt;&gt;"SÍ","",MAX(0,F67*BS67-(N(K67)*N(M67)+N(P67)*N(R67)+N(U67)*N(W67)+N(Z67)*N(AB67))-CK67*DATOS!$C$59/100*BS67))</f>
        <v/>
      </c>
      <c r="ER67" s="48" t="str">
        <f>IF(BI67&lt;&gt;"SÍ","",CK67*DATOS!$C$59*DATOS!$C$60/10000*BS67)</f>
        <v/>
      </c>
      <c r="ES67" s="47" t="str">
        <f>IF(BI67&lt;&gt;"SÍ","",CK67*(DATOS!$C$61*(BS67+0.6)*INDEX(TABLAS!$E$6:$E$14,MATCH(DATOS!$C$62,TABLAS!$B$6:$B$14,0))+(2*ROUNDUP(CN67/DATOS!$C$65,0)+ROUNDUP(MAX(0,BS67*100-2*CN67)/DATOS!$C$64,0))*((2*(DATOS!$C$60+DATOS!$C$59-4*(DATOS!$C$66-INDEX(TABLAS!$C$6:$C$14,MATCH(DATOS!$C$63,TABLAS!$B$6:$B$14,0))))+15)/100)*INDEX(TABLAS!$E$6:$E$14,MATCH(DATOS!$C$63,TABLAS!$B$6:$B$14,0))))</f>
        <v/>
      </c>
      <c r="ET67" s="47" t="str">
        <f>IF(BI67&lt;&gt;"SÍ","",IF(OR(AE67="VARILLA EN JUNTAS",AE67="ESCALERILLA"),INT(BS67*100/MAX(DK67,1))*IF(ISNUMBER(AF67),AF67,2)*CB67*INDEX(TABLAS!$E$6:$E$14,MATCH(IF(AG67&lt;&gt;"",AG67,DATOS!$C$73),TABLAS!$B$6:$B$14,0)),IF(AE67="MALLA",IF(ISNUMBER(AF67),AF67,1)*CB67*BS67*INDEX(TABLAS!$E$19:$E$22,MATCH(IF(AG67&lt;&gt;"",AG67,DATOS!$C$74),TABLAS!$B$19:$B$22,0)),0)))</f>
        <v/>
      </c>
      <c r="EU67" s="45" t="str">
        <f>IF(BI67&lt;&gt;"SÍ","",""&amp;IF(BJ67="NO ESTÁ EN PIER_FORCES","sin fuerzas en PIER_FORCES; ","")&amp;IF(BV67&lt;&gt;"CUMPLE","vanos; ","")&amp;IF(LEFT(CH67,2)="NO","espesor o esbeltez; ","")&amp;IF(CQ67&gt;1,"compresión; ","")&amp;IF(CX67&gt;1,"flexión; ","")&amp;IF(CB67&lt;=0,"sin tramos de muro (todos son machones menores que L mín.: diséñalos como columnas o baja L mín.); ",IF(EC67&gt;1,"cortante; ",""))&amp;IF(OR(LEFT(EA67,2)="NO",LEFT(EA67,5)="FALTA"),"refuerzo horizontal; ","")&amp;IF(OR(LEFT(EP67,2)="NO",LEFT(EP67,7)="REVISAR"),"muro sobre viga; ","")&amp;IF(LEFT(DATOS!$C$81,2)="NO","castillo típico; ","")&amp;IF(LEFT(DATOS!$C$82,2)="NO","dala típica; ","")&amp;IF(AND(BT67&lt;&gt;DATOS!$C$58,DATOS!$C$60&lt;BT67),"castillo más angosto que el muro; ",""))</f>
        <v/>
      </c>
      <c r="EV67" s="45" t="str">
        <f>IF(BI67&lt;&gt;"SÍ","",""&amp;IF(LEFT(EP67,9)="PENDIENTE","análisis muro–viga (H/L &lt; 0.6); ","")&amp;IF(BR67&gt;50,"V_u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7" s="51" t="str">
        <f>IF(BI67&lt;&gt;"SÍ","",IF(EU67&lt;&gt;"","NO CUMPLE: "&amp;LEFT(EU67,LEN(EU67)-2),IF(EV67&lt;&gt;"","CUMPLE — PENDIENTE: "&amp;LEFT(EV67,LEN(EV67)-2),"CUMPLE")))</f>
        <v/>
      </c>
      <c r="EX67" s="52" t="n"/>
    </row>
    <row r="68" ht="30" customHeight="1">
      <c r="A68" s="38" t="str">
        <f>IF(B68="","",ROW()-10)</f>
        <v/>
      </c>
      <c r="B68" s="28" t="n"/>
      <c r="C68" s="39" t="n"/>
      <c r="D68" s="39" t="n"/>
      <c r="E68" s="39" t="n"/>
      <c r="F68" s="40" t="n"/>
      <c r="G68" s="40" t="n"/>
      <c r="H68" s="41" t="n"/>
      <c r="I68" s="39" t="n"/>
      <c r="J68" s="40" t="n"/>
      <c r="K68" s="40" t="n"/>
      <c r="L68" s="40" t="n"/>
      <c r="M68" s="40" t="n"/>
      <c r="N68" s="39" t="n"/>
      <c r="O68" s="40" t="n"/>
      <c r="P68" s="40" t="n"/>
      <c r="Q68" s="40" t="n"/>
      <c r="R68" s="40" t="n"/>
      <c r="S68" s="39" t="n"/>
      <c r="T68" s="40" t="n"/>
      <c r="U68" s="40" t="n"/>
      <c r="V68" s="40" t="n"/>
      <c r="W68" s="40" t="n"/>
      <c r="X68" s="39" t="n"/>
      <c r="Y68" s="40" t="n"/>
      <c r="Z68" s="40" t="n"/>
      <c r="AA68" s="40" t="n"/>
      <c r="AB68" s="40" t="n"/>
      <c r="AC68" s="41" t="n"/>
      <c r="AD68" s="41" t="n"/>
      <c r="AE68" s="39" t="n"/>
      <c r="AF68" s="41" t="n"/>
      <c r="AG68" s="41" t="n"/>
      <c r="AH68" s="41" t="n"/>
      <c r="AI68" s="39" t="n"/>
      <c r="AJ68" s="39" t="n"/>
      <c r="AK68" s="41" t="n"/>
      <c r="AL68" s="41" t="n"/>
      <c r="AM68" s="40" t="n"/>
      <c r="AN68" s="40" t="n"/>
      <c r="AO68" s="40" t="n"/>
      <c r="AP68" s="40" t="n"/>
      <c r="AQ68" s="40" t="n"/>
      <c r="AR68" s="40" t="n"/>
      <c r="AS68" s="40" t="n"/>
      <c r="AT68" s="40" t="n"/>
      <c r="AU68" s="40" t="n"/>
      <c r="AV68" s="40" t="n"/>
      <c r="AW68" s="40" t="n"/>
      <c r="AX68" s="42" t="str">
        <f>IF(B68="","",C68&amp;"|"&amp;B68)</f>
        <v/>
      </c>
      <c r="AY68" s="43" t="str">
        <f>IF(B68="","",COUNTIFS(PIER_FORCES!$O$9:$O$3008,58,PIER_FORCES!$P$9:$P$3008,1))</f>
        <v/>
      </c>
      <c r="AZ68" s="43" t="str">
        <f>IF(B68="","",COUNTIFS(PIER_FORCES!$O$9:$O$3008,58,PIER_FORCES!$P$9:$P$3008,2))</f>
        <v/>
      </c>
      <c r="BA68" s="44">
        <f>IF(N(AY68)=0,0,SUMPRODUCT(MAX((PIER_FORCES!$O$9:$O$3008=58)*(PIER_FORCES!$P$9:$P$3008=1)*PIER_FORCES!$R$9:$R$3008)))</f>
        <v>0</v>
      </c>
      <c r="BB68" s="44">
        <f>IF(N(AY68)=0,0,SUMPRODUCT(MAX((PIER_FORCES!$O$9:$O$3008=58)*(PIER_FORCES!$P$9:$P$3008=1)*PIER_FORCES!$S$9:$S$3008)))</f>
        <v>0</v>
      </c>
      <c r="BC68" s="44">
        <f>IF(N(AY68)=0,0,-SUMPRODUCT(MAX((PIER_FORCES!$O$9:$O$3008=58)*(PIER_FORCES!$P$9:$P$3008=1)*(-PIER_FORCES!$Q$9:$Q$3008)+(1-(PIER_FORCES!$O$9:$O$3008=58)*(PIER_FORCES!$P$9:$P$3008=1))*(-1E9))))</f>
        <v>0</v>
      </c>
      <c r="BD68" s="44">
        <f>IF(N(AY68)=0,0,SUMPRODUCT(MAX((PIER_FORCES!$O$9:$O$3008=58)*(PIER_FORCES!$P$9:$P$3008=1)*PIER_FORCES!$Q$9:$Q$3008+(1-(PIER_FORCES!$O$9:$O$3008=58)*(PIER_FORCES!$P$9:$P$3008=1))*(-1E9))))</f>
        <v>0</v>
      </c>
      <c r="BE68" s="44">
        <f>IF(N(AZ68)=0,BD68,SUMPRODUCT(MAX((PIER_FORCES!$O$9:$O$3008=58)*(PIER_FORCES!$P$9:$P$3008=2)*PIER_FORCES!$Q$9:$Q$3008+(1-(PIER_FORCES!$O$9:$O$3008=58)*(PIER_FORCES!$P$9:$P$3008=2))*(-1E9))))</f>
        <v>0</v>
      </c>
      <c r="BF68" s="44">
        <f>IF(N(AZ68)=0,0,SUMPRODUCT(MAX((PIER_FORCES!$O$9:$O$3008=58)*(PIER_FORCES!$P$9:$P$3008=2)*PIER_FORCES!$R$9:$R$3008)))</f>
        <v>0</v>
      </c>
      <c r="BG68" s="43">
        <f>IF(N(AY68)=0,0,SUMPRODUCT(MAX((PIER_FORCES!$O$9:$O$3008=58)*(PIER_FORCES!$P$9:$P$3008=1)*(ABS(PIER_FORCES!$R$9:$R$3008-BA68)&lt;0.000001)*PIER_FORCES!$T$9:$T$3008)))</f>
        <v>0</v>
      </c>
      <c r="BH68" s="45" t="str">
        <f>IF(N(BG68)=0,"",INDEX(PIER_FORCES!$D$9:$D$3008,BG68)&amp;" "&amp;INDEX(PIER_FORCES!$F$9:$F$3008,BG68)&amp;" / "&amp;INDEX(PIER_FORCES!$G$9:$G$3008,BG68))</f>
        <v/>
      </c>
      <c r="BI68" s="42" t="str">
        <f>IF(B68="","",IF(AND(C68&lt;&gt;"",OR(D68="X",D68="Y"),ISNUMBER(F68),N(F68)&gt;0),"SÍ","NO"))</f>
        <v/>
      </c>
      <c r="BJ68" s="42" t="str">
        <f>IF(BI68&lt;&gt;"SÍ","",IF(DATOS!$C$108="ETABS (PIER_FORCES)",IF(N(AY68)&gt;0,"ETABS","NO ESTÁ EN PIER_FORCES"),"CAPTURA"))</f>
        <v/>
      </c>
      <c r="BK68" s="46" t="str">
        <f>IF(BI68&lt;&gt;"SÍ","",IF(BJ68="ETABS",BA68,IF(BJ68="CAPTURA",N(AQ68),0)))</f>
        <v/>
      </c>
      <c r="BL68" s="46" t="str">
        <f>IF(BI68&lt;&gt;"SÍ","",IF(BJ68="ETABS",BB68,IF(BJ68="CAPTURA",N(AR68),0)))</f>
        <v/>
      </c>
      <c r="BM68" s="46" t="str">
        <f>IF(BI68&lt;&gt;"SÍ","",IF(BJ68="ETABS",BC68/DATOS!$C$89,IF(BJ68="CAPTURA",N(AS68),0)))</f>
        <v/>
      </c>
      <c r="BN68" s="44" t="str">
        <f>IF(BI68&lt;&gt;"SÍ","",IF(BJ68="ETABS",BC68,IF(BJ68="CAPTURA",IF(ISNUMBER(AU68),AU68,N(AS68)*DATOS!$C$89),0)))</f>
        <v/>
      </c>
      <c r="BO68" s="44" t="str">
        <f>IF(BI68&lt;&gt;"SÍ","",IF(BJ68="ETABS",MAX(BD68,BE68),IF(BJ68="CAPTURA",N(AT68),0)))</f>
        <v/>
      </c>
      <c r="BP68" s="44" t="str">
        <f>IF(BI68&lt;&gt;"SÍ","",IF(BJ68="ETABS",BE68,IF(BJ68="CAPTURA",IF(ISNUMBER(AV68),AV68,N(AT68)),0)))</f>
        <v/>
      </c>
      <c r="BQ68" s="44" t="str">
        <f>IF(BI68&lt;&gt;"SÍ","",IF(BJ68="ETABS",BF68,IF(BJ68="CAPTURA",N(AW68),0)))</f>
        <v/>
      </c>
      <c r="BR68" s="43" t="str">
        <f>IF(BI68&lt;&gt;"SÍ","",IF(BK68&gt;0,100*BQ68/BK68,0))</f>
        <v/>
      </c>
      <c r="BS68" s="44" t="str">
        <f>IF(BI68&lt;&gt;"SÍ","",IF(ISNUMBER(G68),G68,DATOS!$C$57))</f>
        <v/>
      </c>
      <c r="BT68" s="47" t="str">
        <f>IF(BI68&lt;&gt;"SÍ","",IF(ISNUMBER(H68),H68,DATOS!$C$58))</f>
        <v/>
      </c>
      <c r="BU68" s="43" t="str">
        <f>IF(BI68&lt;&gt;"SÍ","",IF(N(K68)&gt;0,1+IF(N(P68)&gt;0,1+IF(N(U68)&gt;0,1+IF(N(Z68)&gt;0,1,0),0),0),0))</f>
        <v/>
      </c>
      <c r="BV68" s="45" t="str">
        <f>IF(BI68&lt;&gt;"SÍ","",IF(AND(OR(BU68&lt;1,AND(N(J68)&gt;=0-0.001,J68+K68&lt;=F68+0.001,N(L68)&gt;=0,N(L68)+N(M68)&lt;=BS68+0.001,N(M68)&gt;0,OR(I68="PUERTA",I68="VENTANA"))),OR(BU68&lt;2,AND(N(O68)&gt;=(J68+K68)-0.001,O68+P68&lt;=F68+0.001,N(Q68)&gt;=0,N(Q68)+N(R68)&lt;=BS68+0.001,N(R68)&gt;0,OR(N68="PUERTA",N68="VENTANA"))),OR(BU68&lt;3,AND(N(T68)&gt;=(O68+P68)-0.001,T68+U68&lt;=F68+0.001,N(V68)&gt;=0,N(V68)+N(W68)&lt;=BS68+0.001,N(W68)&gt;0,OR(S68="PUERTA",S68="VENTANA"))),OR(BU68&lt;4,AND(N(Y68)&gt;=(T68+U68)-0.001,Y68+Z68&lt;=F68+0.001,N(AA68)&gt;=0,N(AA68)+N(AB68)&lt;=BS68+0.001,N(AB68)&gt;0,OR(X68="PUERTA",X68="VENTANA"))),(N(K68)&gt;0)+(N(P68)&gt;0)+(N(U68)&gt;0)+(N(Z68)&gt;0)=BU68),"CUMPLE","REVISAR VANOS: tipo, orden de izquierda a derecha, que quepan en L y en H"))</f>
        <v/>
      </c>
      <c r="BW68" s="44" t="str">
        <f>IF(BI68&lt;&gt;"SÍ","",MAX(0,IF(BU68&gt;=1,N(J68),F68)))</f>
        <v/>
      </c>
      <c r="BX68" s="44" t="str">
        <f>IF(BI68&lt;&gt;"SÍ","",MAX(0,IF(BU68&gt;=2,N(O68)-(N(J68)+N(K68)),IF(BU68=1,F68-(N(J68)+N(K68)),0))))</f>
        <v/>
      </c>
      <c r="BY68" s="44" t="str">
        <f>IF(BI68&lt;&gt;"SÍ","",MAX(0,IF(BU68&gt;=3,N(T68)-(N(O68)+N(P68)),IF(BU68=2,F68-(N(O68)+N(P68)),0))))</f>
        <v/>
      </c>
      <c r="BZ68" s="44" t="str">
        <f>IF(BI68&lt;&gt;"SÍ","",MAX(0,IF(BU68&gt;=4,N(Y68)-(N(T68)+N(U68)),IF(BU68=3,F68-(N(T68)+N(U68)),0))))</f>
        <v/>
      </c>
      <c r="CA68" s="44" t="str">
        <f>IF(BI68&lt;&gt;"SÍ","",MAX(0,IF(BU68=4,F68-(N(Y68)+N(Z68)),0)))</f>
        <v/>
      </c>
      <c r="CB68" s="46" t="str">
        <f>IF(BI68&lt;&gt;"SÍ","",SUMPRODUCT((BW68:CA68&gt;=DATOS!$C$72-0.0001)*BW68:CA68))</f>
        <v/>
      </c>
      <c r="CC68" s="43" t="str">
        <f>IF(BI68&lt;&gt;"SÍ","",SUMPRODUCT(--(BW68:CA68&gt;=DATOS!$C$72-0.0001)))</f>
        <v/>
      </c>
      <c r="CD68" s="44" t="str">
        <f>IF(BI68&lt;&gt;"SÍ","",SUM(BW68:CA68))</f>
        <v/>
      </c>
      <c r="CE68" s="43" t="str">
        <f>IF(BI68&lt;&gt;"SÍ","",BT68*CB68*100)</f>
        <v/>
      </c>
      <c r="CF68" s="43" t="str">
        <f>IF(BI68&lt;&gt;"SÍ","",BT68*CD68*100)</f>
        <v/>
      </c>
      <c r="CG68" s="47" t="str">
        <f>IF(BI68&lt;&gt;"SÍ","",BS68*100/BT68)</f>
        <v/>
      </c>
      <c r="CH68" s="45" t="str">
        <f>IF(BI68&lt;&gt;"SÍ","",IF(AND(OR(DATOS!$C$14="TIPO II",BT68&gt;=12),CG68&lt;=25),"CUMPLE","NO CUMPLE: "&amp;IF(AND(DATOS!$C$14="TIPO I",BT68&lt;12),"t &lt; 12 cm ","")&amp;IF(CG68&gt;25,"H/t &gt; 25","")))</f>
        <v/>
      </c>
      <c r="CI68" s="44" t="str">
        <f>IF(BI68&lt;&gt;"SÍ","",MIN(1.5*BS68,4))</f>
        <v/>
      </c>
      <c r="CJ68" s="43" t="str">
        <f>IF(BI68&lt;&gt;"SÍ","",SUMPRODUCT((BW68:CA68&gt;=2*DATOS!$C$59/100)*INT((BW68:CA68-DATOS!$C$59/100)/CI68-0.000001)*((BW68:CA68-DATOS!$C$59/100)&gt;0)))</f>
        <v/>
      </c>
      <c r="CK68" s="43" t="str">
        <f>IF(BI68&lt;&gt;"SÍ","",SUMPRODUCT((BW68:CA68&gt;0.0001)*1+(BW68:CA68&gt;=2*DATOS!$C$59/100)*1)+CJ68)</f>
        <v/>
      </c>
      <c r="CL68" s="44" t="str">
        <f>IF(BI68&lt;&gt;"SÍ","",IF(ISNUMBER(AC68),AC68,DATOS!$C$61)*INDEX(TABLAS!$D$6:$D$14,MATCH(IF(AD68&lt;&gt;"",AD68,DATOS!$C$62),TABLAS!$B$6:$B$14,0)))</f>
        <v/>
      </c>
      <c r="CM68" s="44" t="str">
        <f>IF(BI68&lt;&gt;"SÍ","",CK68*DATOS!$C$78+IF(CK68&gt;=2,2,CK68)*(CL68-DATOS!$C$78))</f>
        <v/>
      </c>
      <c r="CN68" s="47" t="str">
        <f>IF(BI68&lt;&gt;"SÍ","",MAX(BS68*100/6,40))</f>
        <v/>
      </c>
      <c r="CO68" s="48" t="str">
        <f>IF(BI68&lt;&gt;"SÍ","",IF(CG68&lt;=20,IF(E68="INTERIOR",0.7,0.6),MIN(IF(E68="INTERIOR",0.7,0.6),(1-2/24)*(1-(IF(E68="INTERIOR",0.8,1)*CG68/30)^2))))</f>
        <v/>
      </c>
      <c r="CP68" s="47" t="str">
        <f>IF(BI68&lt;&gt;"SÍ","",DATOS!$C$87*CO68*(DATOS!$C$33*CF68+CM68*DATOS!$C$48)/1000)</f>
        <v/>
      </c>
      <c r="CQ68" s="46" t="str">
        <f>IF(BI68&lt;&gt;"SÍ","",IF(CP68&gt;0,BO68/CP68,99))</f>
        <v/>
      </c>
      <c r="CR68" s="47" t="str">
        <f>IF(BI68&lt;&gt;"SÍ","",MAX(0,F68*100-DATOS!$C$59))</f>
        <v/>
      </c>
      <c r="CS68" s="47" t="str">
        <f>IF(BI68&lt;&gt;"SÍ","",MAX(0,F68*100-DATOS!$C$59/2))</f>
        <v/>
      </c>
      <c r="CT68" s="44" t="str">
        <f>IF(BI68&lt;&gt;"SÍ","",CL68*DATOS!$C$48*CR68/100000)</f>
        <v/>
      </c>
      <c r="CU68" s="44" t="str">
        <f>IF(BI68&lt;&gt;"SÍ","",IF(BN68&lt;0,0.8*CT68*MAX(0,1+BN68/(0.8*CM68*DATOS!$C$48/1000)),IF(BN68&lt;=CP68/3,0.8*CT68+0.3*BN68*CS68/100,(1.5*0.6*CT68+0.15*CP68*CS68/100)*MAX(0,1-BN68/CP68))))</f>
        <v/>
      </c>
      <c r="CV68" s="44" t="str">
        <f>IF(BI68&lt;&gt;"SÍ","",IF(BO68&lt;0,0.8*CT68*MAX(0,1+BO68/(0.8*CM68*DATOS!$C$48/1000)),IF(BO68&lt;=CP68/3,0.8*CT68+0.3*BO68*CS68/100,(1.5*0.6*CT68+0.15*CP68*CS68/100)*MAX(0,1-BO68/CP68))))</f>
        <v/>
      </c>
      <c r="CW68" s="46" t="str">
        <f>IF(BI68&lt;&gt;"SÍ","",MAX(0,MIN(CU68,CV68)))</f>
        <v/>
      </c>
      <c r="CX68" s="49" t="str">
        <f>IF(BI68&lt;&gt;"SÍ","",IF(CW68&gt;0,BL68/CW68,IF(BL68&gt;0,99,0)))</f>
        <v/>
      </c>
      <c r="CY68" s="44" t="str">
        <f>IF(BI68&lt;&gt;"SÍ","",IF(BW68&gt;0,MAX(1,MIN(1.5,1.5-0.625*(BS68/BW68-0.2))),0))</f>
        <v/>
      </c>
      <c r="CZ68" s="44" t="str">
        <f>IF(BI68&lt;&gt;"SÍ","",IF(BX68&gt;0,MAX(1,MIN(1.5,1.5-0.625*(BS68/BX68-0.2))),0))</f>
        <v/>
      </c>
      <c r="DA68" s="44" t="str">
        <f>IF(BI68&lt;&gt;"SÍ","",IF(BY68&gt;0,MAX(1,MIN(1.5,1.5-0.625*(BS68/BY68-0.2))),0))</f>
        <v/>
      </c>
      <c r="DB68" s="44" t="str">
        <f>IF(BI68&lt;&gt;"SÍ","",IF(BZ68&gt;0,MAX(1,MIN(1.5,1.5-0.625*(BS68/BZ68-0.2))),0))</f>
        <v/>
      </c>
      <c r="DC68" s="44" t="str">
        <f>IF(BI68&lt;&gt;"SÍ","",IF(CA68&gt;0,MAX(1,MIN(1.5,1.5-0.625*(BS68/CA68-0.2))),0))</f>
        <v/>
      </c>
      <c r="DD68" s="44" t="str">
        <f>IF(BI68&lt;&gt;"SÍ","",IF(OR(BW68&lt;DATOS!$C$72-0.0001,BM68&lt;0,CB68&lt;=0),0,MIN(DATOS!$C$86*(0.5*DATOS!$C$41*BT68*BW68*100+0.3*BM68*BW68/CB68*1000)*CY68,1.5*DATOS!$C$86*DATOS!$C$41*BT68*BW68*100*CY68)/1000))</f>
        <v/>
      </c>
      <c r="DE68" s="44" t="str">
        <f>IF(BI68&lt;&gt;"SÍ","",IF(OR(BX68&lt;DATOS!$C$72-0.0001,BM68&lt;0,CB68&lt;=0),0,MIN(DATOS!$C$86*(0.5*DATOS!$C$41*BT68*BX68*100+0.3*BM68*BX68/CB68*1000)*CZ68,1.5*DATOS!$C$86*DATOS!$C$41*BT68*BX68*100*CZ68)/1000))</f>
        <v/>
      </c>
      <c r="DF68" s="44" t="str">
        <f>IF(BI68&lt;&gt;"SÍ","",IF(OR(BY68&lt;DATOS!$C$72-0.0001,BM68&lt;0,CB68&lt;=0),0,MIN(DATOS!$C$86*(0.5*DATOS!$C$41*BT68*BY68*100+0.3*BM68*BY68/CB68*1000)*DA68,1.5*DATOS!$C$86*DATOS!$C$41*BT68*BY68*100*DA68)/1000))</f>
        <v/>
      </c>
      <c r="DG68" s="44" t="str">
        <f>IF(BI68&lt;&gt;"SÍ","",IF(OR(BZ68&lt;DATOS!$C$72-0.0001,BM68&lt;0,CB68&lt;=0),0,MIN(DATOS!$C$86*(0.5*DATOS!$C$41*BT68*BZ68*100+0.3*BM68*BZ68/CB68*1000)*DB68,1.5*DATOS!$C$86*DATOS!$C$41*BT68*BZ68*100*DB68)/1000))</f>
        <v/>
      </c>
      <c r="DH68" s="44" t="str">
        <f>IF(BI68&lt;&gt;"SÍ","",IF(OR(CA68&lt;DATOS!$C$72-0.0001,BM68&lt;0,CB68&lt;=0),0,MIN(DATOS!$C$86*(0.5*DATOS!$C$41*BT68*CA68*100+0.3*BM68*CA68/CB68*1000)*DC68,1.5*DATOS!$C$86*DATOS!$C$41*BT68*CA68*100*DC68)/1000))</f>
        <v/>
      </c>
      <c r="DI68" s="46" t="str">
        <f>IF(BI68&lt;&gt;"SÍ","",SUM(DD68:DH68))</f>
        <v/>
      </c>
      <c r="DJ68" s="48" t="str">
        <f>IF(BI68&lt;&gt;"SÍ","",IF(AE68="VARILLA EN JUNTAS",IF(ISNUMBER(AF68),AF68,2)*INDEX(TABLAS!$D$6:$D$14,MATCH(IF(AG68&lt;&gt;"",AG68,DATOS!$C$73),TABLAS!$B$6:$B$14,0)),IF(AE68="MALLA",IF(ISNUMBER(AF68),AF68,1)*INDEX(TABLAS!$D$19:$D$22,MATCH(IF(AG68&lt;&gt;"",AG68,DATOS!$C$74),TABLAS!$B$19:$B$22,0))/100,IF(AE68="ESCALERILLA",IF(ISNUMBER(AF68),AF68,2)*INDEX(TABLAS!$D$6:$D$14,MATCH(IF(AG68&lt;&gt;"",AG68,DATOS!$C$73),TABLAS!$B$6:$B$14,0)),0))))</f>
        <v/>
      </c>
      <c r="DK68" s="47" t="str">
        <f>IF(BI68&lt;&gt;"SÍ","",IF(OR(AE68="VARILLA EN JUNTAS",AE68="ESCALERILLA"),IF(ISNUMBER(AH68),AH68,2)*DATOS!$C$26,IF(AE68="MALLA",1,0)))</f>
        <v/>
      </c>
      <c r="DL68" s="44" t="str">
        <f>IF(BI68&lt;&gt;"SÍ","",IF(DK68&gt;0,DJ68/(DK68*BT68)*MIN(DATOS!$C$50,IF(AE68="MALLA",5000,6000)),0))</f>
        <v/>
      </c>
      <c r="DM68" s="44" t="str">
        <f>IF(BI68&lt;&gt;"SÍ","",IF(AE68="ESCALERILLA",0,MIN(DL68,0.1*DATOS!$C$33*DATOS!$C$24)))</f>
        <v/>
      </c>
      <c r="DN68" s="48" t="str">
        <f>IF(BI68&lt;&gt;"SÍ","",IF(AE68="MALLA",0.5,IF(DATOS!$C$33&lt;=60,0.55,IF(DATOS!$C$33&gt;=90,0.75,0.55+0.2*(DATOS!$C$33-60)/30))))</f>
        <v/>
      </c>
      <c r="DO68" s="48" t="str">
        <f>IF(BI68&lt;&gt;"SÍ","",1-DATOS!$C$91*DM68)</f>
        <v/>
      </c>
      <c r="DP68" s="44" t="str">
        <f>IF(BI68&lt;&gt;"SÍ","",IF(BW68&gt;0,IF(BS68/BW68&lt;=1,1.3,IF(BS68/BW68&gt;=1.5,1,1.3-0.6*(BS68/BW68-1))),0))</f>
        <v/>
      </c>
      <c r="DQ68" s="44" t="str">
        <f>IF(BI68&lt;&gt;"SÍ","",IF(BX68&gt;0,IF(BS68/BX68&lt;=1,1.3,IF(BS68/BX68&gt;=1.5,1,1.3-0.6*(BS68/BX68-1))),0))</f>
        <v/>
      </c>
      <c r="DR68" s="44" t="str">
        <f>IF(BI68&lt;&gt;"SÍ","",IF(BY68&gt;0,IF(BS68/BY68&lt;=1,1.3,IF(BS68/BY68&gt;=1.5,1,1.3-0.6*(BS68/BY68-1))),0))</f>
        <v/>
      </c>
      <c r="DS68" s="44" t="str">
        <f>IF(BI68&lt;&gt;"SÍ","",IF(BZ68&gt;0,IF(BS68/BZ68&lt;=1,1.3,IF(BS68/BZ68&gt;=1.5,1,1.3-0.6*(BS68/BZ68-1))),0))</f>
        <v/>
      </c>
      <c r="DT68" s="44" t="str">
        <f>IF(BI68&lt;&gt;"SÍ","",IF(CA68&gt;0,IF(BS68/CA68&lt;=1,1.3,IF(BS68/CA68&gt;=1.5,1,1.3-0.6*(BS68/CA68-1))),0))</f>
        <v/>
      </c>
      <c r="DU68" s="44" t="str">
        <f>IF(BI68&lt;&gt;"SÍ","",IF(OR(DM68&lt;=0,BW68&lt;DATOS!$C$72-0.0001),0,DATOS!$C$86*MAX(0,IF(BM68&gt;=0,DD68/(DATOS!$C$86*DM68*BT68*BW68*100/1000)*(DP68*DO68-1)+DN68,DO68*DN68))*DM68*BT68*BW68*100/1000))</f>
        <v/>
      </c>
      <c r="DV68" s="44" t="str">
        <f>IF(BI68&lt;&gt;"SÍ","",IF(OR(DM68&lt;=0,BX68&lt;DATOS!$C$72-0.0001),0,DATOS!$C$86*MAX(0,IF(BM68&gt;=0,DE68/(DATOS!$C$86*DM68*BT68*BX68*100/1000)*(DQ68*DO68-1)+DN68,DO68*DN68))*DM68*BT68*BX68*100/1000))</f>
        <v/>
      </c>
      <c r="DW68" s="44" t="str">
        <f>IF(BI68&lt;&gt;"SÍ","",IF(OR(DM68&lt;=0,BY68&lt;DATOS!$C$72-0.0001),0,DATOS!$C$86*MAX(0,IF(BM68&gt;=0,DF68/(DATOS!$C$86*DM68*BT68*BY68*100/1000)*(DR68*DO68-1)+DN68,DO68*DN68))*DM68*BT68*BY68*100/1000))</f>
        <v/>
      </c>
      <c r="DX68" s="44" t="str">
        <f>IF(BI68&lt;&gt;"SÍ","",IF(OR(DM68&lt;=0,BZ68&lt;DATOS!$C$72-0.0001),0,DATOS!$C$86*MAX(0,IF(BM68&gt;=0,DG68/(DATOS!$C$86*DM68*BT68*BZ68*100/1000)*(DS68*DO68-1)+DN68,DO68*DN68))*DM68*BT68*BZ68*100/1000))</f>
        <v/>
      </c>
      <c r="DY68" s="44" t="str">
        <f>IF(BI68&lt;&gt;"SÍ","",IF(OR(DM68&lt;=0,CA68&lt;DATOS!$C$72-0.0001),0,DATOS!$C$86*MAX(0,IF(BM68&gt;=0,DH68/(DATOS!$C$86*DM68*BT68*CA68*100/1000)*(DT68*DO68-1)+DN68,DO68*DN68))*DM68*BT68*CA68*100/1000))</f>
        <v/>
      </c>
      <c r="DZ68" s="46" t="str">
        <f>IF(BI68&lt;&gt;"SÍ","",SUM(DU68:DY68))</f>
        <v/>
      </c>
      <c r="EA68" s="45" t="str">
        <f>IF(BI68&lt;&gt;"SÍ","",IF(OR(AE68="",AE68="NINGUNO"),IF(DATOS!$C$41&gt;=10,"FALTA refuerzo horizontal: v'm ≥ 10 kg/cm² (6.5.2.2)",IF(AND(BM68&lt;0,BK68&gt;0),"FALTA: P en tensión, el refuerzo debe tomar todo el cortante (6.5.1.3)","—")),IF(AE68="ESCALERILLA","NO CUENTA: la escalerilla no se permite para cortante por sismo (6.5.3.1.2)",IF(AE68="MALLA",IF(AND(DL68&gt;=2.5,DL68&lt;=MAX(0.15*DATOS!$C$33*DATOS!$C$24,2.5)),"CUMPLE","NO CUMPLE: "&amp;IF(DL68&lt;2.5,"p_h·f_yh &lt; 2.5 (6.5.4.2.4)","p_h·f_yh &gt; 0.15·f'm·f_an (6.5.4.2.4)")),IF(AND(DK68&lt;=MIN(6*DATOS!$C$26,45),DL68&gt;=3,DL68&lt;=MIN(MAX(0.15*DATOS!$C$33*DATOS!$C$24,3),0.05*DATOS!$C$25/10*MIN(DATOS!$C$50,6000)/DK68),INDEX(TABLAS!$C$6:$C$14,MATCH(IF(AG68&lt;&gt;"",AG68,DATOS!$C$73),TABLAS!$B$6:$B$14,0))&gt;=0.35,INDEX(TABLAS!$C$6:$C$14,MATCH(IF(AG68&lt;&gt;"",AG68,DATOS!$C$73),TABLAS!$B$6:$B$14,0))&lt;=0.75*DATOS!$C$25/10),"CUMPLE","NO CUMPLE: "&amp;IF(DK68&gt;MIN(6*DATOS!$C$26,45),"s_h &gt; 6 hiladas o 45 cm (6.5.3.2.1) ","")&amp;IF(DL68&lt;3,"p_h·f_yh &lt; 3 (6.5.3.3.1) ","")&amp;IF(DL68&gt;MIN(MAX(0.15*DATOS!$C$33*DATOS!$C$24,3),0.05*DATOS!$C$25/10*MIN(DATOS!$C$50,6000)/DK68),"p_h·f_yh &gt; máximo (6.5.3.3.2) ","")&amp;IF(OR(INDEX(TABLAS!$C$6:$C$14,MATCH(IF(AG68&lt;&gt;"",AG68,DATOS!$C$73),TABLAS!$B$6:$B$14,0))&lt;0.35,INDEX(TABLAS!$C$6:$C$14,MATCH(IF(AG68&lt;&gt;"",AG68,DATOS!$C$73),TABLAS!$B$6:$B$14,0))&gt;0.75*DATOS!$C$25/10),"diámetro fuera de 3.5 mm a 0.75·h_j (4.2.2.2.1)",""))))))</f>
        <v/>
      </c>
      <c r="EB68" s="46" t="str">
        <f>IF(BI68&lt;&gt;"SÍ","",DI68+DZ68)</f>
        <v/>
      </c>
      <c r="EC68" s="50" t="str">
        <f>IF(BI68&lt;&gt;"SÍ","",IF(EB68&gt;0,BK68/EB68,IF(BK68&gt;0,99,0)))</f>
        <v/>
      </c>
      <c r="ED68" s="47" t="str">
        <f>IF(BI68&lt;&gt;"SÍ","",IF(CE68&lt;=0,-1,IF(BK68&lt;=DI68,0,IF(IF(BM68&gt;=0,IF((DATOS!$C$86*IF(AE68="MALLA",0.5,IF(DATOS!$C$33&lt;=60,0.55,IF(DATOS!$C$33&gt;=90,0.75,0.55+0.2*(DATOS!$C$33-60)/30)))*CE68/1000-DATOS!$C$91*SUMPRODUCT(DP68:DT68,DD68:DH68))&lt;=0,1E9,(BK68-SUMPRODUCT(DP68:DT68,DD68:DH68))/(DATOS!$C$86*IF(AE68="MALLA",0.5,IF(DATOS!$C$33&lt;=60,0.55,IF(DATOS!$C$33&gt;=90,0.75,0.55+0.2*(DATOS!$C$33-60)/30)))*CE68/1000-DATOS!$C$91*SUMPRODUCT(DP68:DT68,DD68:DH68))),IF((1-4*DATOS!$C$91*BK68*1000/(DATOS!$C$86*IF(AE68="MALLA",0.5,IF(DATOS!$C$33&lt;=60,0.55,IF(DATOS!$C$33&gt;=90,0.75,0.55+0.2*(DATOS!$C$33-60)/30)))*MAX(CE68,1)))&lt;0,1E9,(1-SQRT((1-4*DATOS!$C$91*BK68*1000/(DATOS!$C$86*IF(AE68="MALLA",0.5,IF(DATOS!$C$33&lt;=60,0.55,IF(DATOS!$C$33&gt;=90,0.75,0.55+0.2*(DATOS!$C$33-60)/30)))*MAX(CE68,1)))))/(2*DATOS!$C$91)))&gt;0.1*DATOS!$C$33*DATOS!$C$24+0.000001,-1,MAX(IF(AE68="MALLA",2.5,3),IF(BM68&gt;=0,IF((DATOS!$C$86*IF(AE68="MALLA",0.5,IF(DATOS!$C$33&lt;=60,0.55,IF(DATOS!$C$33&gt;=90,0.75,0.55+0.2*(DATOS!$C$33-60)/30)))*CE68/1000-DATOS!$C$91*SUMPRODUCT(DP68:DT68,DD68:DH68))&lt;=0,1E9,(BK68-SUMPRODUCT(DP68:DT68,DD68:DH68))/(DATOS!$C$86*IF(AE68="MALLA",0.5,IF(DATOS!$C$33&lt;=60,0.55,IF(DATOS!$C$33&gt;=90,0.75,0.55+0.2*(DATOS!$C$33-60)/30)))*CE68/1000-DATOS!$C$91*SUMPRODUCT(DP68:DT68,DD68:DH68))),IF((1-4*DATOS!$C$91*BK68*1000/(DATOS!$C$86*IF(AE68="MALLA",0.5,IF(DATOS!$C$33&lt;=60,0.55,IF(DATOS!$C$33&gt;=90,0.75,0.55+0.2*(DATOS!$C$33-60)/30)))*MAX(CE68,1)))&lt;0,1E9,(1-SQRT((1-4*DATOS!$C$91*BK68*1000/(DATOS!$C$86*IF(AE68="MALLA",0.5,IF(DATOS!$C$33&lt;=60,0.55,IF(DATOS!$C$33&gt;=90,0.75,0.55+0.2*(DATOS!$C$33-60)/30)))*MAX(CE68,1)))))/(2*DATOS!$C$91))))))))</f>
        <v/>
      </c>
      <c r="EE68" s="45" t="str">
        <f>IF(BI68&lt;&gt;"SÍ","",IF(ED68=0,"NO REQUIERE: V_mR ≥ V_u",IF(ED68&lt;0,"NO ALCANZA con refuerzo horizontal (haría falta más de 0.1·f'm·f_an efectivo): sube v'm con ensayes, el espesor o la longitud del muro",IF(AND(OR(AE68="VARILLA EN JUNTAS",AE68="MALLA"),LEFT(EA68,6)="CUMPLE",EC68&lt;=1),"YA LO TIENE (pide p_h·f_yh ≥ "&amp;TEXT(ED68,"0.0")&amp;" kg/cm²)","p_h·f_yh ≥ "&amp;TEXT(ED68,"0.0")&amp;" kg/cm² → "&amp;IF(AND(MIN(6,FLOOR(45/DATOS!$C$26,1),FLOOR((2*INDEX(TABLAS!$D$6:$D$14,MATCH("3/16 in",TABLAS!$B$6:$B$14,0)))*MIN(DATOS!$C$50,6000)/(BT68*DATOS!$C$26*MAX(ED68,0.001)),1))&gt;=1,((2*INDEX(TABLAS!$D$6:$D$14,MATCH("3/16 in",TABLAS!$B$6:$B$14,0)))*MIN(DATOS!$C$50,6000)/(MAX(MIN(6,FLOOR(45/DATOS!$C$26,1),FLOOR((2*INDEX(TABLAS!$D$6:$D$14,MATCH("3/16 in",TABLAS!$B$6:$B$14,0)))*MIN(DATOS!$C$50,6000)/(BT68*DATOS!$C$26*MAX(ED68,0.001)),1)),1)*DATOS!$C$26*BT68))&lt;=MIN(MAX(0.15*DATOS!$C$33*DATOS!$C$24,3),0.05*DATOS!$C$25/10*MIN(DATOS!$C$50,6000)/(MIN(6,FLOOR(45/DATOS!$C$26,1),FLOOR((2*INDEX(TABLAS!$D$6:$D$14,MATCH("3/16 in",TABLAS!$B$6:$B$14,0)))*MIN(DATOS!$C$50,6000)/(BT68*DATOS!$C$26*MAX(ED68,0.001)),1))*DATOS!$C$26))),"2 alambres de 3/16"" por junta cada "&amp;MIN(6,FLOOR(45/DATOS!$C$26,1),FLOOR((2*INDEX(TABLAS!$D$6:$D$14,MATCH("3/16 in",TABLAS!$B$6:$B$14,0)))*MIN(DATOS!$C$50,6000)/(BT68*DATOS!$C$26*MAX(ED68,0.001)),1))&amp;" hilada(s) (p_h·f_yh = "&amp;TEXT(((2*INDEX(TABLAS!$D$6:$D$14,MATCH("3/16 in",TABLAS!$B$6:$B$14,0)))*MIN(DATOS!$C$50,6000)/(MAX(MIN(6,FLOOR(45/DATOS!$C$26,1),FLOOR((2*INDEX(TABLAS!$D$6:$D$14,MATCH("3/16 in",TABLAS!$B$6:$B$14,0)))*MIN(DATOS!$C$50,6000)/(BT68*DATOS!$C$26*MAX(ED68,0.001)),1)),1)*DATOS!$C$26*BT68)),"0.00")&amp;")",IF(AND(MIN(6,FLOOR(45/DATOS!$C$26,1),FLOOR((2*INDEX(TABLAS!$D$6:$D$14,MATCH("5/32 in",TABLAS!$B$6:$B$14,0)))*MIN(DATOS!$C$50,6000)/(BT68*DATOS!$C$26*MAX(ED68,0.001)),1))&gt;=1,((2*INDEX(TABLAS!$D$6:$D$14,MATCH("5/32 in",TABLAS!$B$6:$B$14,0)))*MIN(DATOS!$C$50,6000)/(MAX(MIN(6,FLOOR(45/DATOS!$C$26,1),FLOOR((2*INDEX(TABLAS!$D$6:$D$14,MATCH("5/32 in",TABLAS!$B$6:$B$14,0)))*MIN(DATOS!$C$50,6000)/(BT68*DATOS!$C$26*MAX(ED68,0.001)),1)),1)*DATOS!$C$26*BT68))&lt;=MIN(MAX(0.15*DATOS!$C$33*DATOS!$C$24,3),0.05*DATOS!$C$25/10*MIN(DATOS!$C$50,6000)/(MIN(6,FLOOR(45/DATOS!$C$26,1),FLOOR((2*INDEX(TABLAS!$D$6:$D$14,MATCH("5/32 in",TABLAS!$B$6:$B$14,0)))*MIN(DATOS!$C$50,6000)/(BT68*DATOS!$C$26*MAX(ED68,0.001)),1))*DATOS!$C$26))),"2 alambres de 5/32"" por junta cada "&amp;MIN(6,FLOOR(45/DATOS!$C$26,1),FLOOR((2*INDEX(TABLAS!$D$6:$D$14,MATCH("5/32 in",TABLAS!$B$6:$B$14,0)))*MIN(DATOS!$C$50,6000)/(BT68*DATOS!$C$26*MAX(ED68,0.001)),1))&amp;" hilada(s) (p_h·f_yh = "&amp;TEXT(((2*INDEX(TABLAS!$D$6:$D$14,MATCH("5/32 in",TABLAS!$B$6:$B$14,0)))*MIN(DATOS!$C$50,6000)/(MAX(MIN(6,FLOOR(45/DATOS!$C$26,1),FLOOR((2*INDEX(TABLAS!$D$6:$D$14,MATCH("5/32 in",TABLAS!$B$6:$B$14,0)))*MIN(DATOS!$C$50,6000)/(BT68*DATOS!$C$26*MAX(ED68,0.001)),1)),1)*DATOS!$C$26*BT68)),"0.00")&amp;")",IF(AND(MIN(6,FLOOR(45/DATOS!$C$26,1),FLOOR((1*INDEX(TABLAS!$D$6:$D$14,MATCH("3/16 in",TABLAS!$B$6:$B$14,0)))*MIN(DATOS!$C$50,6000)/(BT68*DATOS!$C$26*MAX(ED68,0.001)),1))&gt;=1,((1*INDEX(TABLAS!$D$6:$D$14,MATCH("3/16 in",TABLAS!$B$6:$B$14,0)))*MIN(DATOS!$C$50,6000)/(MAX(MIN(6,FLOOR(45/DATOS!$C$26,1),FLOOR((1*INDEX(TABLAS!$D$6:$D$14,MATCH("3/16 in",TABLAS!$B$6:$B$14,0)))*MIN(DATOS!$C$50,6000)/(BT68*DATOS!$C$26*MAX(ED68,0.001)),1)),1)*DATOS!$C$26*BT68))&lt;=MIN(MAX(0.15*DATOS!$C$33*DATOS!$C$24,3),0.05*DATOS!$C$25/10*MIN(DATOS!$C$50,6000)/(MIN(6,FLOOR(45/DATOS!$C$26,1),FLOOR((1*INDEX(TABLAS!$D$6:$D$14,MATCH("3/16 in",TABLAS!$B$6:$B$14,0)))*MIN(DATOS!$C$50,6000)/(BT68*DATOS!$C$26*MAX(ED68,0.001)),1))*DATOS!$C$26))),"1 alambre de 3/16"" por junta cada "&amp;MIN(6,FLOOR(45/DATOS!$C$26,1),FLOOR((1*INDEX(TABLAS!$D$6:$D$14,MATCH("3/16 in",TABLAS!$B$6:$B$14,0)))*MIN(DATOS!$C$50,6000)/(BT68*DATOS!$C$26*MAX(ED68,0.001)),1))&amp;" hilada(s) (p_h·f_yh = "&amp;TEXT(((1*INDEX(TABLAS!$D$6:$D$14,MATCH("3/16 in",TABLAS!$B$6:$B$14,0)))*MIN(DATOS!$C$50,6000)/(MAX(MIN(6,FLOOR(45/DATOS!$C$26,1),FLOOR((1*INDEX(TABLAS!$D$6:$D$14,MATCH("3/16 in",TABLAS!$B$6:$B$14,0)))*MIN(DATOS!$C$50,6000)/(BT68*DATOS!$C$26*MAX(ED68,0.001)),1)),1)*DATOS!$C$26*BT68)),"0.00")&amp;")",IF(AND(MIN(6,FLOOR(45/DATOS!$C$26,1),FLOOR((1*INDEX(TABLAS!$D$6:$D$14,MATCH("5/32 in",TABLAS!$B$6:$B$14,0)))*MIN(DATOS!$C$50,6000)/(BT68*DATOS!$C$26*MAX(ED68,0.001)),1))&gt;=1,((1*INDEX(TABLAS!$D$6:$D$14,MATCH("5/32 in",TABLAS!$B$6:$B$14,0)))*MIN(DATOS!$C$50,6000)/(MAX(MIN(6,FLOOR(45/DATOS!$C$26,1),FLOOR((1*INDEX(TABLAS!$D$6:$D$14,MATCH("5/32 in",TABLAS!$B$6:$B$14,0)))*MIN(DATOS!$C$50,6000)/(BT68*DATOS!$C$26*MAX(ED68,0.001)),1)),1)*DATOS!$C$26*BT68))&lt;=MIN(MAX(0.15*DATOS!$C$33*DATOS!$C$24,3),0.05*DATOS!$C$25/10*MIN(DATOS!$C$50,6000)/(MIN(6,FLOOR(45/DATOS!$C$26,1),FLOOR((1*INDEX(TABLAS!$D$6:$D$14,MATCH("5/32 in",TABLAS!$B$6:$B$14,0)))*MIN(DATOS!$C$50,6000)/(BT68*DATOS!$C$26*MAX(ED68,0.001)),1))*DATOS!$C$26))),"1 alambre de 5/32"" por junta cada "&amp;MIN(6,FLOOR(45/DATOS!$C$26,1),FLOOR((1*INDEX(TABLAS!$D$6:$D$14,MATCH("5/32 in",TABLAS!$B$6:$B$14,0)))*MIN(DATOS!$C$50,6000)/(BT68*DATOS!$C$26*MAX(ED68,0.001)),1))&amp;" hilada(s) (p_h·f_yh = "&amp;TEXT(((1*INDEX(TABLAS!$D$6:$D$14,MATCH("5/32 in",TABLAS!$B$6:$B$14,0)))*MIN(DATOS!$C$50,6000)/(MAX(MIN(6,FLOOR(45/DATOS!$C$26,1),FLOOR((1*INDEX(TABLAS!$D$6:$D$14,MATCH("5/32 in",TABLAS!$B$6:$B$14,0)))*MIN(DATOS!$C$50,6000)/(BT68*DATOS!$C$26*MAX(ED68,0.001)),1)),1)*DATOS!$C$26*BT68)),"0.00")&amp;")","ninguna combinación de 1 o 2 alambres por junta queda entre el mínimo y el máximo: revisa con malla (6.5.4)"))))))))</f>
        <v/>
      </c>
      <c r="EF68" s="43" t="str">
        <f>IF(BI68&lt;&gt;"SÍ","",IF(AI68="SÍ",N(AK68)*N(AL68)^3/12,0))</f>
        <v/>
      </c>
      <c r="EG68" s="48" t="str">
        <f>IF(BI68&lt;&gt;"SÍ","",IF(AND(AI68="SÍ",N(AM68)&gt;0),MIN(1,F68/AM68),0))</f>
        <v/>
      </c>
      <c r="EH68" s="47" t="str">
        <f>IF(BI68&lt;&gt;"SÍ","",IF(AI68="SÍ",BP68*1000/(BT68*F68*100)*BT68*(EG68^4-4*EG68^3+8*EG68),0))</f>
        <v/>
      </c>
      <c r="EI68" s="48" t="str">
        <f>IF(BI68&lt;&gt;"SÍ","",IF(AND(AI68="SÍ",EH68&gt;0),EH68/(EH68+5*N(AN68)*10),0))</f>
        <v/>
      </c>
      <c r="EJ68" s="44" t="str">
        <f>IF(BI68&lt;&gt;"SÍ","",IF(AND(AI68="SÍ",EI68&gt;0,EF68&gt;0),(DATOS!$C$43*BT68*(AM68*100)^3/(DATOS!$C$53*EF68*EI68))^0.25,0))</f>
        <v/>
      </c>
      <c r="EK68" s="44" t="str">
        <f>IF(BI68&lt;&gt;"SÍ","",IF(AI68&lt;&gt;"SÍ",0,IF(N(AM68)&lt;=F68,1,IF(MIN(1,N(AO68)/((AM68-F68)/2))&lt;=0.5,0.7+0.6*MIN(1,N(AO68)/((AM68-F68)/2)),1.5-MIN(1,N(AO68)/((AM68-F68)/2))))))</f>
        <v/>
      </c>
      <c r="EL68" s="44" t="str">
        <f>IF(BI68&lt;&gt;"SÍ","",IF(AI68&lt;&gt;"SÍ",0,MAX(1,IF(EG68&gt;=1,(1.6*EJ68-3.9),IF(EG68&lt;0.9,((3.2*EJ68-7.8)*EK68),((3.2*EJ68-7.8)*EK68)+((1.6*EJ68-3.9)-((3.2*EJ68-7.8)*EK68))*(EG68-0.9)/0.1)))))</f>
        <v/>
      </c>
      <c r="EM68" s="47" t="str">
        <f>IF(BI68&lt;&gt;"SÍ","",IF(AI68="SÍ",EL68*BP68*1000/(BT68*F68*100),0))</f>
        <v/>
      </c>
      <c r="EN68" s="47" t="str">
        <f>IF(BI68&lt;&gt;"SÍ","",IF(AND(AI68="SÍ",N(AL68)&gt;0),AM68*100/AL68,0))</f>
        <v/>
      </c>
      <c r="EO68" s="47" t="str">
        <f>IF(BI68&lt;&gt;"SÍ","",IF(AI68="SÍ",(1/15*DATOS!$C$53*N(AK68)/MAX((IF(ISNUMBER(AP68),AP68,BP68/DATOS!$C$90)*1000/(BT68*F68*100)*BT68*(EG68^4-4*EG68^3+8*EG68))+5*N(AN68)/DATOS!$C$90*10,0.001))^(1/3),0))</f>
        <v/>
      </c>
      <c r="EP68" s="45" t="str">
        <f>IF(BI68&lt;&gt;"SÍ","",IF(AI68&lt;&gt;"SÍ","—",IF(OR(N(AK68)&lt;=0,N(AL68)&lt;=0,N(AM68)&lt;=0),"REVISAR: faltan b, h o L_v de la viga",IF(AND(EM68&lt;=DATOS!$C$87*DATOS!$C$33,EN68&lt;=14,N(AL68)&gt;=25,EN68&lt;=EO68),IF(BS68/F68&lt;0.6,"PENDIENTE: H/L &lt; 0.6, falta el análisis de interacción muro–viga (4.1.18.2.1); f_CM es estimado","CUMPLE"),"NO CUMPLE: "&amp;IF(EM68&gt;DATOS!$C$87*DATOS!$C$33,"f_CM &gt; F_R·f'm ","")&amp;IF(EN68&gt;14,"L_v/h_v &gt; 14 ","")&amp;IF(N(AL68)&lt;25,"h_v &lt; 25 cm ","")&amp;IF(EN68&gt;EO68,"flecha (4.1.18.3)","")))))</f>
        <v/>
      </c>
      <c r="EQ68" s="44" t="str">
        <f>IF(BI68&lt;&gt;"SÍ","",MAX(0,F68*BS68-(N(K68)*N(M68)+N(P68)*N(R68)+N(U68)*N(W68)+N(Z68)*N(AB68))-CK68*DATOS!$C$59/100*BS68))</f>
        <v/>
      </c>
      <c r="ER68" s="48" t="str">
        <f>IF(BI68&lt;&gt;"SÍ","",CK68*DATOS!$C$59*DATOS!$C$60/10000*BS68)</f>
        <v/>
      </c>
      <c r="ES68" s="47" t="str">
        <f>IF(BI68&lt;&gt;"SÍ","",CK68*(DATOS!$C$61*(BS68+0.6)*INDEX(TABLAS!$E$6:$E$14,MATCH(DATOS!$C$62,TABLAS!$B$6:$B$14,0))+(2*ROUNDUP(CN68/DATOS!$C$65,0)+ROUNDUP(MAX(0,BS68*100-2*CN68)/DATOS!$C$64,0))*((2*(DATOS!$C$60+DATOS!$C$59-4*(DATOS!$C$66-INDEX(TABLAS!$C$6:$C$14,MATCH(DATOS!$C$63,TABLAS!$B$6:$B$14,0))))+15)/100)*INDEX(TABLAS!$E$6:$E$14,MATCH(DATOS!$C$63,TABLAS!$B$6:$B$14,0))))</f>
        <v/>
      </c>
      <c r="ET68" s="47" t="str">
        <f>IF(BI68&lt;&gt;"SÍ","",IF(OR(AE68="VARILLA EN JUNTAS",AE68="ESCALERILLA"),INT(BS68*100/MAX(DK68,1))*IF(ISNUMBER(AF68),AF68,2)*CB68*INDEX(TABLAS!$E$6:$E$14,MATCH(IF(AG68&lt;&gt;"",AG68,DATOS!$C$73),TABLAS!$B$6:$B$14,0)),IF(AE68="MALLA",IF(ISNUMBER(AF68),AF68,1)*CB68*BS68*INDEX(TABLAS!$E$19:$E$22,MATCH(IF(AG68&lt;&gt;"",AG68,DATOS!$C$74),TABLAS!$B$19:$B$22,0)),0)))</f>
        <v/>
      </c>
      <c r="EU68" s="45" t="str">
        <f>IF(BI68&lt;&gt;"SÍ","",""&amp;IF(BJ68="NO ESTÁ EN PIER_FORCES","sin fuerzas en PIER_FORCES; ","")&amp;IF(BV68&lt;&gt;"CUMPLE","vanos; ","")&amp;IF(LEFT(CH68,2)="NO","espesor o esbeltez; ","")&amp;IF(CQ68&gt;1,"compresión; ","")&amp;IF(CX68&gt;1,"flexión; ","")&amp;IF(CB68&lt;=0,"sin tramos de muro (todos son machones menores que L mín.: diséñalos como columnas o baja L mín.); ",IF(EC68&gt;1,"cortante; ",""))&amp;IF(OR(LEFT(EA68,2)="NO",LEFT(EA68,5)="FALTA"),"refuerzo horizontal; ","")&amp;IF(OR(LEFT(EP68,2)="NO",LEFT(EP68,7)="REVISAR"),"muro sobre viga; ","")&amp;IF(LEFT(DATOS!$C$81,2)="NO","castillo típico; ","")&amp;IF(LEFT(DATOS!$C$82,2)="NO","dala típica; ","")&amp;IF(AND(BT68&lt;&gt;DATOS!$C$58,DATOS!$C$60&lt;BT68),"castillo más angosto que el muro; ",""))</f>
        <v/>
      </c>
      <c r="EV68" s="45" t="str">
        <f>IF(BI68&lt;&gt;"SÍ","",""&amp;IF(LEFT(EP68,9)="PENDIENTE","análisis muro–viga (H/L &lt; 0.6); ","")&amp;IF(BR68&gt;50,"V_u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8" s="51" t="str">
        <f>IF(BI68&lt;&gt;"SÍ","",IF(EU68&lt;&gt;"","NO CUMPLE: "&amp;LEFT(EU68,LEN(EU68)-2),IF(EV68&lt;&gt;"","CUMPLE — PENDIENTE: "&amp;LEFT(EV68,LEN(EV68)-2),"CUMPLE")))</f>
        <v/>
      </c>
      <c r="EX68" s="52" t="n"/>
    </row>
    <row r="69" ht="30" customHeight="1">
      <c r="A69" s="38" t="str">
        <f>IF(B69="","",ROW()-10)</f>
        <v/>
      </c>
      <c r="B69" s="28" t="n"/>
      <c r="C69" s="39" t="n"/>
      <c r="D69" s="39" t="n"/>
      <c r="E69" s="39" t="n"/>
      <c r="F69" s="40" t="n"/>
      <c r="G69" s="40" t="n"/>
      <c r="H69" s="41" t="n"/>
      <c r="I69" s="39" t="n"/>
      <c r="J69" s="40" t="n"/>
      <c r="K69" s="40" t="n"/>
      <c r="L69" s="40" t="n"/>
      <c r="M69" s="40" t="n"/>
      <c r="N69" s="39" t="n"/>
      <c r="O69" s="40" t="n"/>
      <c r="P69" s="40" t="n"/>
      <c r="Q69" s="40" t="n"/>
      <c r="R69" s="40" t="n"/>
      <c r="S69" s="39" t="n"/>
      <c r="T69" s="40" t="n"/>
      <c r="U69" s="40" t="n"/>
      <c r="V69" s="40" t="n"/>
      <c r="W69" s="40" t="n"/>
      <c r="X69" s="39" t="n"/>
      <c r="Y69" s="40" t="n"/>
      <c r="Z69" s="40" t="n"/>
      <c r="AA69" s="40" t="n"/>
      <c r="AB69" s="40" t="n"/>
      <c r="AC69" s="41" t="n"/>
      <c r="AD69" s="41" t="n"/>
      <c r="AE69" s="39" t="n"/>
      <c r="AF69" s="41" t="n"/>
      <c r="AG69" s="41" t="n"/>
      <c r="AH69" s="41" t="n"/>
      <c r="AI69" s="39" t="n"/>
      <c r="AJ69" s="39" t="n"/>
      <c r="AK69" s="41" t="n"/>
      <c r="AL69" s="41" t="n"/>
      <c r="AM69" s="40" t="n"/>
      <c r="AN69" s="40" t="n"/>
      <c r="AO69" s="40" t="n"/>
      <c r="AP69" s="40" t="n"/>
      <c r="AQ69" s="40" t="n"/>
      <c r="AR69" s="40" t="n"/>
      <c r="AS69" s="40" t="n"/>
      <c r="AT69" s="40" t="n"/>
      <c r="AU69" s="40" t="n"/>
      <c r="AV69" s="40" t="n"/>
      <c r="AW69" s="40" t="n"/>
      <c r="AX69" s="42" t="str">
        <f>IF(B69="","",C69&amp;"|"&amp;B69)</f>
        <v/>
      </c>
      <c r="AY69" s="43" t="str">
        <f>IF(B69="","",COUNTIFS(PIER_FORCES!$O$9:$O$3008,59,PIER_FORCES!$P$9:$P$3008,1))</f>
        <v/>
      </c>
      <c r="AZ69" s="43" t="str">
        <f>IF(B69="","",COUNTIFS(PIER_FORCES!$O$9:$O$3008,59,PIER_FORCES!$P$9:$P$3008,2))</f>
        <v/>
      </c>
      <c r="BA69" s="44">
        <f>IF(N(AY69)=0,0,SUMPRODUCT(MAX((PIER_FORCES!$O$9:$O$3008=59)*(PIER_FORCES!$P$9:$P$3008=1)*PIER_FORCES!$R$9:$R$3008)))</f>
        <v>0</v>
      </c>
      <c r="BB69" s="44">
        <f>IF(N(AY69)=0,0,SUMPRODUCT(MAX((PIER_FORCES!$O$9:$O$3008=59)*(PIER_FORCES!$P$9:$P$3008=1)*PIER_FORCES!$S$9:$S$3008)))</f>
        <v>0</v>
      </c>
      <c r="BC69" s="44">
        <f>IF(N(AY69)=0,0,-SUMPRODUCT(MAX((PIER_FORCES!$O$9:$O$3008=59)*(PIER_FORCES!$P$9:$P$3008=1)*(-PIER_FORCES!$Q$9:$Q$3008)+(1-(PIER_FORCES!$O$9:$O$3008=59)*(PIER_FORCES!$P$9:$P$3008=1))*(-1E9))))</f>
        <v>0</v>
      </c>
      <c r="BD69" s="44">
        <f>IF(N(AY69)=0,0,SUMPRODUCT(MAX((PIER_FORCES!$O$9:$O$3008=59)*(PIER_FORCES!$P$9:$P$3008=1)*PIER_FORCES!$Q$9:$Q$3008+(1-(PIER_FORCES!$O$9:$O$3008=59)*(PIER_FORCES!$P$9:$P$3008=1))*(-1E9))))</f>
        <v>0</v>
      </c>
      <c r="BE69" s="44">
        <f>IF(N(AZ69)=0,BD69,SUMPRODUCT(MAX((PIER_FORCES!$O$9:$O$3008=59)*(PIER_FORCES!$P$9:$P$3008=2)*PIER_FORCES!$Q$9:$Q$3008+(1-(PIER_FORCES!$O$9:$O$3008=59)*(PIER_FORCES!$P$9:$P$3008=2))*(-1E9))))</f>
        <v>0</v>
      </c>
      <c r="BF69" s="44">
        <f>IF(N(AZ69)=0,0,SUMPRODUCT(MAX((PIER_FORCES!$O$9:$O$3008=59)*(PIER_FORCES!$P$9:$P$3008=2)*PIER_FORCES!$R$9:$R$3008)))</f>
        <v>0</v>
      </c>
      <c r="BG69" s="43">
        <f>IF(N(AY69)=0,0,SUMPRODUCT(MAX((PIER_FORCES!$O$9:$O$3008=59)*(PIER_FORCES!$P$9:$P$3008=1)*(ABS(PIER_FORCES!$R$9:$R$3008-BA69)&lt;0.000001)*PIER_FORCES!$T$9:$T$3008)))</f>
        <v>0</v>
      </c>
      <c r="BH69" s="45" t="str">
        <f>IF(N(BG69)=0,"",INDEX(PIER_FORCES!$D$9:$D$3008,BG69)&amp;" "&amp;INDEX(PIER_FORCES!$F$9:$F$3008,BG69)&amp;" / "&amp;INDEX(PIER_FORCES!$G$9:$G$3008,BG69))</f>
        <v/>
      </c>
      <c r="BI69" s="42" t="str">
        <f>IF(B69="","",IF(AND(C69&lt;&gt;"",OR(D69="X",D69="Y"),ISNUMBER(F69),N(F69)&gt;0),"SÍ","NO"))</f>
        <v/>
      </c>
      <c r="BJ69" s="42" t="str">
        <f>IF(BI69&lt;&gt;"SÍ","",IF(DATOS!$C$108="ETABS (PIER_FORCES)",IF(N(AY69)&gt;0,"ETABS","NO ESTÁ EN PIER_FORCES"),"CAPTURA"))</f>
        <v/>
      </c>
      <c r="BK69" s="46" t="str">
        <f>IF(BI69&lt;&gt;"SÍ","",IF(BJ69="ETABS",BA69,IF(BJ69="CAPTURA",N(AQ69),0)))</f>
        <v/>
      </c>
      <c r="BL69" s="46" t="str">
        <f>IF(BI69&lt;&gt;"SÍ","",IF(BJ69="ETABS",BB69,IF(BJ69="CAPTURA",N(AR69),0)))</f>
        <v/>
      </c>
      <c r="BM69" s="46" t="str">
        <f>IF(BI69&lt;&gt;"SÍ","",IF(BJ69="ETABS",BC69/DATOS!$C$89,IF(BJ69="CAPTURA",N(AS69),0)))</f>
        <v/>
      </c>
      <c r="BN69" s="44" t="str">
        <f>IF(BI69&lt;&gt;"SÍ","",IF(BJ69="ETABS",BC69,IF(BJ69="CAPTURA",IF(ISNUMBER(AU69),AU69,N(AS69)*DATOS!$C$89),0)))</f>
        <v/>
      </c>
      <c r="BO69" s="44" t="str">
        <f>IF(BI69&lt;&gt;"SÍ","",IF(BJ69="ETABS",MAX(BD69,BE69),IF(BJ69="CAPTURA",N(AT69),0)))</f>
        <v/>
      </c>
      <c r="BP69" s="44" t="str">
        <f>IF(BI69&lt;&gt;"SÍ","",IF(BJ69="ETABS",BE69,IF(BJ69="CAPTURA",IF(ISNUMBER(AV69),AV69,N(AT69)),0)))</f>
        <v/>
      </c>
      <c r="BQ69" s="44" t="str">
        <f>IF(BI69&lt;&gt;"SÍ","",IF(BJ69="ETABS",BF69,IF(BJ69="CAPTURA",N(AW69),0)))</f>
        <v/>
      </c>
      <c r="BR69" s="43" t="str">
        <f>IF(BI69&lt;&gt;"SÍ","",IF(BK69&gt;0,100*BQ69/BK69,0))</f>
        <v/>
      </c>
      <c r="BS69" s="44" t="str">
        <f>IF(BI69&lt;&gt;"SÍ","",IF(ISNUMBER(G69),G69,DATOS!$C$57))</f>
        <v/>
      </c>
      <c r="BT69" s="47" t="str">
        <f>IF(BI69&lt;&gt;"SÍ","",IF(ISNUMBER(H69),H69,DATOS!$C$58))</f>
        <v/>
      </c>
      <c r="BU69" s="43" t="str">
        <f>IF(BI69&lt;&gt;"SÍ","",IF(N(K69)&gt;0,1+IF(N(P69)&gt;0,1+IF(N(U69)&gt;0,1+IF(N(Z69)&gt;0,1,0),0),0),0))</f>
        <v/>
      </c>
      <c r="BV69" s="45" t="str">
        <f>IF(BI69&lt;&gt;"SÍ","",IF(AND(OR(BU69&lt;1,AND(N(J69)&gt;=0-0.001,J69+K69&lt;=F69+0.001,N(L69)&gt;=0,N(L69)+N(M69)&lt;=BS69+0.001,N(M69)&gt;0,OR(I69="PUERTA",I69="VENTANA"))),OR(BU69&lt;2,AND(N(O69)&gt;=(J69+K69)-0.001,O69+P69&lt;=F69+0.001,N(Q69)&gt;=0,N(Q69)+N(R69)&lt;=BS69+0.001,N(R69)&gt;0,OR(N69="PUERTA",N69="VENTANA"))),OR(BU69&lt;3,AND(N(T69)&gt;=(O69+P69)-0.001,T69+U69&lt;=F69+0.001,N(V69)&gt;=0,N(V69)+N(W69)&lt;=BS69+0.001,N(W69)&gt;0,OR(S69="PUERTA",S69="VENTANA"))),OR(BU69&lt;4,AND(N(Y69)&gt;=(T69+U69)-0.001,Y69+Z69&lt;=F69+0.001,N(AA69)&gt;=0,N(AA69)+N(AB69)&lt;=BS69+0.001,N(AB69)&gt;0,OR(X69="PUERTA",X69="VENTANA"))),(N(K69)&gt;0)+(N(P69)&gt;0)+(N(U69)&gt;0)+(N(Z69)&gt;0)=BU69),"CUMPLE","REVISAR VANOS: tipo, orden de izquierda a derecha, que quepan en L y en H"))</f>
        <v/>
      </c>
      <c r="BW69" s="44" t="str">
        <f>IF(BI69&lt;&gt;"SÍ","",MAX(0,IF(BU69&gt;=1,N(J69),F69)))</f>
        <v/>
      </c>
      <c r="BX69" s="44" t="str">
        <f>IF(BI69&lt;&gt;"SÍ","",MAX(0,IF(BU69&gt;=2,N(O69)-(N(J69)+N(K69)),IF(BU69=1,F69-(N(J69)+N(K69)),0))))</f>
        <v/>
      </c>
      <c r="BY69" s="44" t="str">
        <f>IF(BI69&lt;&gt;"SÍ","",MAX(0,IF(BU69&gt;=3,N(T69)-(N(O69)+N(P69)),IF(BU69=2,F69-(N(O69)+N(P69)),0))))</f>
        <v/>
      </c>
      <c r="BZ69" s="44" t="str">
        <f>IF(BI69&lt;&gt;"SÍ","",MAX(0,IF(BU69&gt;=4,N(Y69)-(N(T69)+N(U69)),IF(BU69=3,F69-(N(T69)+N(U69)),0))))</f>
        <v/>
      </c>
      <c r="CA69" s="44" t="str">
        <f>IF(BI69&lt;&gt;"SÍ","",MAX(0,IF(BU69=4,F69-(N(Y69)+N(Z69)),0)))</f>
        <v/>
      </c>
      <c r="CB69" s="46" t="str">
        <f>IF(BI69&lt;&gt;"SÍ","",SUMPRODUCT((BW69:CA69&gt;=DATOS!$C$72-0.0001)*BW69:CA69))</f>
        <v/>
      </c>
      <c r="CC69" s="43" t="str">
        <f>IF(BI69&lt;&gt;"SÍ","",SUMPRODUCT(--(BW69:CA69&gt;=DATOS!$C$72-0.0001)))</f>
        <v/>
      </c>
      <c r="CD69" s="44" t="str">
        <f>IF(BI69&lt;&gt;"SÍ","",SUM(BW69:CA69))</f>
        <v/>
      </c>
      <c r="CE69" s="43" t="str">
        <f>IF(BI69&lt;&gt;"SÍ","",BT69*CB69*100)</f>
        <v/>
      </c>
      <c r="CF69" s="43" t="str">
        <f>IF(BI69&lt;&gt;"SÍ","",BT69*CD69*100)</f>
        <v/>
      </c>
      <c r="CG69" s="47" t="str">
        <f>IF(BI69&lt;&gt;"SÍ","",BS69*100/BT69)</f>
        <v/>
      </c>
      <c r="CH69" s="45" t="str">
        <f>IF(BI69&lt;&gt;"SÍ","",IF(AND(OR(DATOS!$C$14="TIPO II",BT69&gt;=12),CG69&lt;=25),"CUMPLE","NO CUMPLE: "&amp;IF(AND(DATOS!$C$14="TIPO I",BT69&lt;12),"t &lt; 12 cm ","")&amp;IF(CG69&gt;25,"H/t &gt; 25","")))</f>
        <v/>
      </c>
      <c r="CI69" s="44" t="str">
        <f>IF(BI69&lt;&gt;"SÍ","",MIN(1.5*BS69,4))</f>
        <v/>
      </c>
      <c r="CJ69" s="43" t="str">
        <f>IF(BI69&lt;&gt;"SÍ","",SUMPRODUCT((BW69:CA69&gt;=2*DATOS!$C$59/100)*INT((BW69:CA69-DATOS!$C$59/100)/CI69-0.000001)*((BW69:CA69-DATOS!$C$59/100)&gt;0)))</f>
        <v/>
      </c>
      <c r="CK69" s="43" t="str">
        <f>IF(BI69&lt;&gt;"SÍ","",SUMPRODUCT((BW69:CA69&gt;0.0001)*1+(BW69:CA69&gt;=2*DATOS!$C$59/100)*1)+CJ69)</f>
        <v/>
      </c>
      <c r="CL69" s="44" t="str">
        <f>IF(BI69&lt;&gt;"SÍ","",IF(ISNUMBER(AC69),AC69,DATOS!$C$61)*INDEX(TABLAS!$D$6:$D$14,MATCH(IF(AD69&lt;&gt;"",AD69,DATOS!$C$62),TABLAS!$B$6:$B$14,0)))</f>
        <v/>
      </c>
      <c r="CM69" s="44" t="str">
        <f>IF(BI69&lt;&gt;"SÍ","",CK69*DATOS!$C$78+IF(CK69&gt;=2,2,CK69)*(CL69-DATOS!$C$78))</f>
        <v/>
      </c>
      <c r="CN69" s="47" t="str">
        <f>IF(BI69&lt;&gt;"SÍ","",MAX(BS69*100/6,40))</f>
        <v/>
      </c>
      <c r="CO69" s="48" t="str">
        <f>IF(BI69&lt;&gt;"SÍ","",IF(CG69&lt;=20,IF(E69="INTERIOR",0.7,0.6),MIN(IF(E69="INTERIOR",0.7,0.6),(1-2/24)*(1-(IF(E69="INTERIOR",0.8,1)*CG69/30)^2))))</f>
        <v/>
      </c>
      <c r="CP69" s="47" t="str">
        <f>IF(BI69&lt;&gt;"SÍ","",DATOS!$C$87*CO69*(DATOS!$C$33*CF69+CM69*DATOS!$C$48)/1000)</f>
        <v/>
      </c>
      <c r="CQ69" s="46" t="str">
        <f>IF(BI69&lt;&gt;"SÍ","",IF(CP69&gt;0,BO69/CP69,99))</f>
        <v/>
      </c>
      <c r="CR69" s="47" t="str">
        <f>IF(BI69&lt;&gt;"SÍ","",MAX(0,F69*100-DATOS!$C$59))</f>
        <v/>
      </c>
      <c r="CS69" s="47" t="str">
        <f>IF(BI69&lt;&gt;"SÍ","",MAX(0,F69*100-DATOS!$C$59/2))</f>
        <v/>
      </c>
      <c r="CT69" s="44" t="str">
        <f>IF(BI69&lt;&gt;"SÍ","",CL69*DATOS!$C$48*CR69/100000)</f>
        <v/>
      </c>
      <c r="CU69" s="44" t="str">
        <f>IF(BI69&lt;&gt;"SÍ","",IF(BN69&lt;0,0.8*CT69*MAX(0,1+BN69/(0.8*CM69*DATOS!$C$48/1000)),IF(BN69&lt;=CP69/3,0.8*CT69+0.3*BN69*CS69/100,(1.5*0.6*CT69+0.15*CP69*CS69/100)*MAX(0,1-BN69/CP69))))</f>
        <v/>
      </c>
      <c r="CV69" s="44" t="str">
        <f>IF(BI69&lt;&gt;"SÍ","",IF(BO69&lt;0,0.8*CT69*MAX(0,1+BO69/(0.8*CM69*DATOS!$C$48/1000)),IF(BO69&lt;=CP69/3,0.8*CT69+0.3*BO69*CS69/100,(1.5*0.6*CT69+0.15*CP69*CS69/100)*MAX(0,1-BO69/CP69))))</f>
        <v/>
      </c>
      <c r="CW69" s="46" t="str">
        <f>IF(BI69&lt;&gt;"SÍ","",MAX(0,MIN(CU69,CV69)))</f>
        <v/>
      </c>
      <c r="CX69" s="49" t="str">
        <f>IF(BI69&lt;&gt;"SÍ","",IF(CW69&gt;0,BL69/CW69,IF(BL69&gt;0,99,0)))</f>
        <v/>
      </c>
      <c r="CY69" s="44" t="str">
        <f>IF(BI69&lt;&gt;"SÍ","",IF(BW69&gt;0,MAX(1,MIN(1.5,1.5-0.625*(BS69/BW69-0.2))),0))</f>
        <v/>
      </c>
      <c r="CZ69" s="44" t="str">
        <f>IF(BI69&lt;&gt;"SÍ","",IF(BX69&gt;0,MAX(1,MIN(1.5,1.5-0.625*(BS69/BX69-0.2))),0))</f>
        <v/>
      </c>
      <c r="DA69" s="44" t="str">
        <f>IF(BI69&lt;&gt;"SÍ","",IF(BY69&gt;0,MAX(1,MIN(1.5,1.5-0.625*(BS69/BY69-0.2))),0))</f>
        <v/>
      </c>
      <c r="DB69" s="44" t="str">
        <f>IF(BI69&lt;&gt;"SÍ","",IF(BZ69&gt;0,MAX(1,MIN(1.5,1.5-0.625*(BS69/BZ69-0.2))),0))</f>
        <v/>
      </c>
      <c r="DC69" s="44" t="str">
        <f>IF(BI69&lt;&gt;"SÍ","",IF(CA69&gt;0,MAX(1,MIN(1.5,1.5-0.625*(BS69/CA69-0.2))),0))</f>
        <v/>
      </c>
      <c r="DD69" s="44" t="str">
        <f>IF(BI69&lt;&gt;"SÍ","",IF(OR(BW69&lt;DATOS!$C$72-0.0001,BM69&lt;0,CB69&lt;=0),0,MIN(DATOS!$C$86*(0.5*DATOS!$C$41*BT69*BW69*100+0.3*BM69*BW69/CB69*1000)*CY69,1.5*DATOS!$C$86*DATOS!$C$41*BT69*BW69*100*CY69)/1000))</f>
        <v/>
      </c>
      <c r="DE69" s="44" t="str">
        <f>IF(BI69&lt;&gt;"SÍ","",IF(OR(BX69&lt;DATOS!$C$72-0.0001,BM69&lt;0,CB69&lt;=0),0,MIN(DATOS!$C$86*(0.5*DATOS!$C$41*BT69*BX69*100+0.3*BM69*BX69/CB69*1000)*CZ69,1.5*DATOS!$C$86*DATOS!$C$41*BT69*BX69*100*CZ69)/1000))</f>
        <v/>
      </c>
      <c r="DF69" s="44" t="str">
        <f>IF(BI69&lt;&gt;"SÍ","",IF(OR(BY69&lt;DATOS!$C$72-0.0001,BM69&lt;0,CB69&lt;=0),0,MIN(DATOS!$C$86*(0.5*DATOS!$C$41*BT69*BY69*100+0.3*BM69*BY69/CB69*1000)*DA69,1.5*DATOS!$C$86*DATOS!$C$41*BT69*BY69*100*DA69)/1000))</f>
        <v/>
      </c>
      <c r="DG69" s="44" t="str">
        <f>IF(BI69&lt;&gt;"SÍ","",IF(OR(BZ69&lt;DATOS!$C$72-0.0001,BM69&lt;0,CB69&lt;=0),0,MIN(DATOS!$C$86*(0.5*DATOS!$C$41*BT69*BZ69*100+0.3*BM69*BZ69/CB69*1000)*DB69,1.5*DATOS!$C$86*DATOS!$C$41*BT69*BZ69*100*DB69)/1000))</f>
        <v/>
      </c>
      <c r="DH69" s="44" t="str">
        <f>IF(BI69&lt;&gt;"SÍ","",IF(OR(CA69&lt;DATOS!$C$72-0.0001,BM69&lt;0,CB69&lt;=0),0,MIN(DATOS!$C$86*(0.5*DATOS!$C$41*BT69*CA69*100+0.3*BM69*CA69/CB69*1000)*DC69,1.5*DATOS!$C$86*DATOS!$C$41*BT69*CA69*100*DC69)/1000))</f>
        <v/>
      </c>
      <c r="DI69" s="46" t="str">
        <f>IF(BI69&lt;&gt;"SÍ","",SUM(DD69:DH69))</f>
        <v/>
      </c>
      <c r="DJ69" s="48" t="str">
        <f>IF(BI69&lt;&gt;"SÍ","",IF(AE69="VARILLA EN JUNTAS",IF(ISNUMBER(AF69),AF69,2)*INDEX(TABLAS!$D$6:$D$14,MATCH(IF(AG69&lt;&gt;"",AG69,DATOS!$C$73),TABLAS!$B$6:$B$14,0)),IF(AE69="MALLA",IF(ISNUMBER(AF69),AF69,1)*INDEX(TABLAS!$D$19:$D$22,MATCH(IF(AG69&lt;&gt;"",AG69,DATOS!$C$74),TABLAS!$B$19:$B$22,0))/100,IF(AE69="ESCALERILLA",IF(ISNUMBER(AF69),AF69,2)*INDEX(TABLAS!$D$6:$D$14,MATCH(IF(AG69&lt;&gt;"",AG69,DATOS!$C$73),TABLAS!$B$6:$B$14,0)),0))))</f>
        <v/>
      </c>
      <c r="DK69" s="47" t="str">
        <f>IF(BI69&lt;&gt;"SÍ","",IF(OR(AE69="VARILLA EN JUNTAS",AE69="ESCALERILLA"),IF(ISNUMBER(AH69),AH69,2)*DATOS!$C$26,IF(AE69="MALLA",1,0)))</f>
        <v/>
      </c>
      <c r="DL69" s="44" t="str">
        <f>IF(BI69&lt;&gt;"SÍ","",IF(DK69&gt;0,DJ69/(DK69*BT69)*MIN(DATOS!$C$50,IF(AE69="MALLA",5000,6000)),0))</f>
        <v/>
      </c>
      <c r="DM69" s="44" t="str">
        <f>IF(BI69&lt;&gt;"SÍ","",IF(AE69="ESCALERILLA",0,MIN(DL69,0.1*DATOS!$C$33*DATOS!$C$24)))</f>
        <v/>
      </c>
      <c r="DN69" s="48" t="str">
        <f>IF(BI69&lt;&gt;"SÍ","",IF(AE69="MALLA",0.5,IF(DATOS!$C$33&lt;=60,0.55,IF(DATOS!$C$33&gt;=90,0.75,0.55+0.2*(DATOS!$C$33-60)/30))))</f>
        <v/>
      </c>
      <c r="DO69" s="48" t="str">
        <f>IF(BI69&lt;&gt;"SÍ","",1-DATOS!$C$91*DM69)</f>
        <v/>
      </c>
      <c r="DP69" s="44" t="str">
        <f>IF(BI69&lt;&gt;"SÍ","",IF(BW69&gt;0,IF(BS69/BW69&lt;=1,1.3,IF(BS69/BW69&gt;=1.5,1,1.3-0.6*(BS69/BW69-1))),0))</f>
        <v/>
      </c>
      <c r="DQ69" s="44" t="str">
        <f>IF(BI69&lt;&gt;"SÍ","",IF(BX69&gt;0,IF(BS69/BX69&lt;=1,1.3,IF(BS69/BX69&gt;=1.5,1,1.3-0.6*(BS69/BX69-1))),0))</f>
        <v/>
      </c>
      <c r="DR69" s="44" t="str">
        <f>IF(BI69&lt;&gt;"SÍ","",IF(BY69&gt;0,IF(BS69/BY69&lt;=1,1.3,IF(BS69/BY69&gt;=1.5,1,1.3-0.6*(BS69/BY69-1))),0))</f>
        <v/>
      </c>
      <c r="DS69" s="44" t="str">
        <f>IF(BI69&lt;&gt;"SÍ","",IF(BZ69&gt;0,IF(BS69/BZ69&lt;=1,1.3,IF(BS69/BZ69&gt;=1.5,1,1.3-0.6*(BS69/BZ69-1))),0))</f>
        <v/>
      </c>
      <c r="DT69" s="44" t="str">
        <f>IF(BI69&lt;&gt;"SÍ","",IF(CA69&gt;0,IF(BS69/CA69&lt;=1,1.3,IF(BS69/CA69&gt;=1.5,1,1.3-0.6*(BS69/CA69-1))),0))</f>
        <v/>
      </c>
      <c r="DU69" s="44" t="str">
        <f>IF(BI69&lt;&gt;"SÍ","",IF(OR(DM69&lt;=0,BW69&lt;DATOS!$C$72-0.0001),0,DATOS!$C$86*MAX(0,IF(BM69&gt;=0,DD69/(DATOS!$C$86*DM69*BT69*BW69*100/1000)*(DP69*DO69-1)+DN69,DO69*DN69))*DM69*BT69*BW69*100/1000))</f>
        <v/>
      </c>
      <c r="DV69" s="44" t="str">
        <f>IF(BI69&lt;&gt;"SÍ","",IF(OR(DM69&lt;=0,BX69&lt;DATOS!$C$72-0.0001),0,DATOS!$C$86*MAX(0,IF(BM69&gt;=0,DE69/(DATOS!$C$86*DM69*BT69*BX69*100/1000)*(DQ69*DO69-1)+DN69,DO69*DN69))*DM69*BT69*BX69*100/1000))</f>
        <v/>
      </c>
      <c r="DW69" s="44" t="str">
        <f>IF(BI69&lt;&gt;"SÍ","",IF(OR(DM69&lt;=0,BY69&lt;DATOS!$C$72-0.0001),0,DATOS!$C$86*MAX(0,IF(BM69&gt;=0,DF69/(DATOS!$C$86*DM69*BT69*BY69*100/1000)*(DR69*DO69-1)+DN69,DO69*DN69))*DM69*BT69*BY69*100/1000))</f>
        <v/>
      </c>
      <c r="DX69" s="44" t="str">
        <f>IF(BI69&lt;&gt;"SÍ","",IF(OR(DM69&lt;=0,BZ69&lt;DATOS!$C$72-0.0001),0,DATOS!$C$86*MAX(0,IF(BM69&gt;=0,DG69/(DATOS!$C$86*DM69*BT69*BZ69*100/1000)*(DS69*DO69-1)+DN69,DO69*DN69))*DM69*BT69*BZ69*100/1000))</f>
        <v/>
      </c>
      <c r="DY69" s="44" t="str">
        <f>IF(BI69&lt;&gt;"SÍ","",IF(OR(DM69&lt;=0,CA69&lt;DATOS!$C$72-0.0001),0,DATOS!$C$86*MAX(0,IF(BM69&gt;=0,DH69/(DATOS!$C$86*DM69*BT69*CA69*100/1000)*(DT69*DO69-1)+DN69,DO69*DN69))*DM69*BT69*CA69*100/1000))</f>
        <v/>
      </c>
      <c r="DZ69" s="46" t="str">
        <f>IF(BI69&lt;&gt;"SÍ","",SUM(DU69:DY69))</f>
        <v/>
      </c>
      <c r="EA69" s="45" t="str">
        <f>IF(BI69&lt;&gt;"SÍ","",IF(OR(AE69="",AE69="NINGUNO"),IF(DATOS!$C$41&gt;=10,"FALTA refuerzo horizontal: v'm ≥ 10 kg/cm² (6.5.2.2)",IF(AND(BM69&lt;0,BK69&gt;0),"FALTA: P en tensión, el refuerzo debe tomar todo el cortante (6.5.1.3)","—")),IF(AE69="ESCALERILLA","NO CUENTA: la escalerilla no se permite para cortante por sismo (6.5.3.1.2)",IF(AE69="MALLA",IF(AND(DL69&gt;=2.5,DL69&lt;=MAX(0.15*DATOS!$C$33*DATOS!$C$24,2.5)),"CUMPLE","NO CUMPLE: "&amp;IF(DL69&lt;2.5,"p_h·f_yh &lt; 2.5 (6.5.4.2.4)","p_h·f_yh &gt; 0.15·f'm·f_an (6.5.4.2.4)")),IF(AND(DK69&lt;=MIN(6*DATOS!$C$26,45),DL69&gt;=3,DL69&lt;=MIN(MAX(0.15*DATOS!$C$33*DATOS!$C$24,3),0.05*DATOS!$C$25/10*MIN(DATOS!$C$50,6000)/DK69),INDEX(TABLAS!$C$6:$C$14,MATCH(IF(AG69&lt;&gt;"",AG69,DATOS!$C$73),TABLAS!$B$6:$B$14,0))&gt;=0.35,INDEX(TABLAS!$C$6:$C$14,MATCH(IF(AG69&lt;&gt;"",AG69,DATOS!$C$73),TABLAS!$B$6:$B$14,0))&lt;=0.75*DATOS!$C$25/10),"CUMPLE","NO CUMPLE: "&amp;IF(DK69&gt;MIN(6*DATOS!$C$26,45),"s_h &gt; 6 hiladas o 45 cm (6.5.3.2.1) ","")&amp;IF(DL69&lt;3,"p_h·f_yh &lt; 3 (6.5.3.3.1) ","")&amp;IF(DL69&gt;MIN(MAX(0.15*DATOS!$C$33*DATOS!$C$24,3),0.05*DATOS!$C$25/10*MIN(DATOS!$C$50,6000)/DK69),"p_h·f_yh &gt; máximo (6.5.3.3.2) ","")&amp;IF(OR(INDEX(TABLAS!$C$6:$C$14,MATCH(IF(AG69&lt;&gt;"",AG69,DATOS!$C$73),TABLAS!$B$6:$B$14,0))&lt;0.35,INDEX(TABLAS!$C$6:$C$14,MATCH(IF(AG69&lt;&gt;"",AG69,DATOS!$C$73),TABLAS!$B$6:$B$14,0))&gt;0.75*DATOS!$C$25/10),"diámetro fuera de 3.5 mm a 0.75·h_j (4.2.2.2.1)",""))))))</f>
        <v/>
      </c>
      <c r="EB69" s="46" t="str">
        <f>IF(BI69&lt;&gt;"SÍ","",DI69+DZ69)</f>
        <v/>
      </c>
      <c r="EC69" s="50" t="str">
        <f>IF(BI69&lt;&gt;"SÍ","",IF(EB69&gt;0,BK69/EB69,IF(BK69&gt;0,99,0)))</f>
        <v/>
      </c>
      <c r="ED69" s="47" t="str">
        <f>IF(BI69&lt;&gt;"SÍ","",IF(CE69&lt;=0,-1,IF(BK69&lt;=DI69,0,IF(IF(BM69&gt;=0,IF((DATOS!$C$86*IF(AE69="MALLA",0.5,IF(DATOS!$C$33&lt;=60,0.55,IF(DATOS!$C$33&gt;=90,0.75,0.55+0.2*(DATOS!$C$33-60)/30)))*CE69/1000-DATOS!$C$91*SUMPRODUCT(DP69:DT69,DD69:DH69))&lt;=0,1E9,(BK69-SUMPRODUCT(DP69:DT69,DD69:DH69))/(DATOS!$C$86*IF(AE69="MALLA",0.5,IF(DATOS!$C$33&lt;=60,0.55,IF(DATOS!$C$33&gt;=90,0.75,0.55+0.2*(DATOS!$C$33-60)/30)))*CE69/1000-DATOS!$C$91*SUMPRODUCT(DP69:DT69,DD69:DH69))),IF((1-4*DATOS!$C$91*BK69*1000/(DATOS!$C$86*IF(AE69="MALLA",0.5,IF(DATOS!$C$33&lt;=60,0.55,IF(DATOS!$C$33&gt;=90,0.75,0.55+0.2*(DATOS!$C$33-60)/30)))*MAX(CE69,1)))&lt;0,1E9,(1-SQRT((1-4*DATOS!$C$91*BK69*1000/(DATOS!$C$86*IF(AE69="MALLA",0.5,IF(DATOS!$C$33&lt;=60,0.55,IF(DATOS!$C$33&gt;=90,0.75,0.55+0.2*(DATOS!$C$33-60)/30)))*MAX(CE69,1)))))/(2*DATOS!$C$91)))&gt;0.1*DATOS!$C$33*DATOS!$C$24+0.000001,-1,MAX(IF(AE69="MALLA",2.5,3),IF(BM69&gt;=0,IF((DATOS!$C$86*IF(AE69="MALLA",0.5,IF(DATOS!$C$33&lt;=60,0.55,IF(DATOS!$C$33&gt;=90,0.75,0.55+0.2*(DATOS!$C$33-60)/30)))*CE69/1000-DATOS!$C$91*SUMPRODUCT(DP69:DT69,DD69:DH69))&lt;=0,1E9,(BK69-SUMPRODUCT(DP69:DT69,DD69:DH69))/(DATOS!$C$86*IF(AE69="MALLA",0.5,IF(DATOS!$C$33&lt;=60,0.55,IF(DATOS!$C$33&gt;=90,0.75,0.55+0.2*(DATOS!$C$33-60)/30)))*CE69/1000-DATOS!$C$91*SUMPRODUCT(DP69:DT69,DD69:DH69))),IF((1-4*DATOS!$C$91*BK69*1000/(DATOS!$C$86*IF(AE69="MALLA",0.5,IF(DATOS!$C$33&lt;=60,0.55,IF(DATOS!$C$33&gt;=90,0.75,0.55+0.2*(DATOS!$C$33-60)/30)))*MAX(CE69,1)))&lt;0,1E9,(1-SQRT((1-4*DATOS!$C$91*BK69*1000/(DATOS!$C$86*IF(AE69="MALLA",0.5,IF(DATOS!$C$33&lt;=60,0.55,IF(DATOS!$C$33&gt;=90,0.75,0.55+0.2*(DATOS!$C$33-60)/30)))*MAX(CE69,1)))))/(2*DATOS!$C$91))))))))</f>
        <v/>
      </c>
      <c r="EE69" s="45" t="str">
        <f>IF(BI69&lt;&gt;"SÍ","",IF(ED69=0,"NO REQUIERE: V_mR ≥ V_u",IF(ED69&lt;0,"NO ALCANZA con refuerzo horizontal (haría falta más de 0.1·f'm·f_an efectivo): sube v'm con ensayes, el espesor o la longitud del muro",IF(AND(OR(AE69="VARILLA EN JUNTAS",AE69="MALLA"),LEFT(EA69,6)="CUMPLE",EC69&lt;=1),"YA LO TIENE (pide p_h·f_yh ≥ "&amp;TEXT(ED69,"0.0")&amp;" kg/cm²)","p_h·f_yh ≥ "&amp;TEXT(ED69,"0.0")&amp;" kg/cm² → "&amp;IF(AND(MIN(6,FLOOR(45/DATOS!$C$26,1),FLOOR((2*INDEX(TABLAS!$D$6:$D$14,MATCH("3/16 in",TABLAS!$B$6:$B$14,0)))*MIN(DATOS!$C$50,6000)/(BT69*DATOS!$C$26*MAX(ED69,0.001)),1))&gt;=1,((2*INDEX(TABLAS!$D$6:$D$14,MATCH("3/16 in",TABLAS!$B$6:$B$14,0)))*MIN(DATOS!$C$50,6000)/(MAX(MIN(6,FLOOR(45/DATOS!$C$26,1),FLOOR((2*INDEX(TABLAS!$D$6:$D$14,MATCH("3/16 in",TABLAS!$B$6:$B$14,0)))*MIN(DATOS!$C$50,6000)/(BT69*DATOS!$C$26*MAX(ED69,0.001)),1)),1)*DATOS!$C$26*BT69))&lt;=MIN(MAX(0.15*DATOS!$C$33*DATOS!$C$24,3),0.05*DATOS!$C$25/10*MIN(DATOS!$C$50,6000)/(MIN(6,FLOOR(45/DATOS!$C$26,1),FLOOR((2*INDEX(TABLAS!$D$6:$D$14,MATCH("3/16 in",TABLAS!$B$6:$B$14,0)))*MIN(DATOS!$C$50,6000)/(BT69*DATOS!$C$26*MAX(ED69,0.001)),1))*DATOS!$C$26))),"2 alambres de 3/16"" por junta cada "&amp;MIN(6,FLOOR(45/DATOS!$C$26,1),FLOOR((2*INDEX(TABLAS!$D$6:$D$14,MATCH("3/16 in",TABLAS!$B$6:$B$14,0)))*MIN(DATOS!$C$50,6000)/(BT69*DATOS!$C$26*MAX(ED69,0.001)),1))&amp;" hilada(s) (p_h·f_yh = "&amp;TEXT(((2*INDEX(TABLAS!$D$6:$D$14,MATCH("3/16 in",TABLAS!$B$6:$B$14,0)))*MIN(DATOS!$C$50,6000)/(MAX(MIN(6,FLOOR(45/DATOS!$C$26,1),FLOOR((2*INDEX(TABLAS!$D$6:$D$14,MATCH("3/16 in",TABLAS!$B$6:$B$14,0)))*MIN(DATOS!$C$50,6000)/(BT69*DATOS!$C$26*MAX(ED69,0.001)),1)),1)*DATOS!$C$26*BT69)),"0.00")&amp;")",IF(AND(MIN(6,FLOOR(45/DATOS!$C$26,1),FLOOR((2*INDEX(TABLAS!$D$6:$D$14,MATCH("5/32 in",TABLAS!$B$6:$B$14,0)))*MIN(DATOS!$C$50,6000)/(BT69*DATOS!$C$26*MAX(ED69,0.001)),1))&gt;=1,((2*INDEX(TABLAS!$D$6:$D$14,MATCH("5/32 in",TABLAS!$B$6:$B$14,0)))*MIN(DATOS!$C$50,6000)/(MAX(MIN(6,FLOOR(45/DATOS!$C$26,1),FLOOR((2*INDEX(TABLAS!$D$6:$D$14,MATCH("5/32 in",TABLAS!$B$6:$B$14,0)))*MIN(DATOS!$C$50,6000)/(BT69*DATOS!$C$26*MAX(ED69,0.001)),1)),1)*DATOS!$C$26*BT69))&lt;=MIN(MAX(0.15*DATOS!$C$33*DATOS!$C$24,3),0.05*DATOS!$C$25/10*MIN(DATOS!$C$50,6000)/(MIN(6,FLOOR(45/DATOS!$C$26,1),FLOOR((2*INDEX(TABLAS!$D$6:$D$14,MATCH("5/32 in",TABLAS!$B$6:$B$14,0)))*MIN(DATOS!$C$50,6000)/(BT69*DATOS!$C$26*MAX(ED69,0.001)),1))*DATOS!$C$26))),"2 alambres de 5/32"" por junta cada "&amp;MIN(6,FLOOR(45/DATOS!$C$26,1),FLOOR((2*INDEX(TABLAS!$D$6:$D$14,MATCH("5/32 in",TABLAS!$B$6:$B$14,0)))*MIN(DATOS!$C$50,6000)/(BT69*DATOS!$C$26*MAX(ED69,0.001)),1))&amp;" hilada(s) (p_h·f_yh = "&amp;TEXT(((2*INDEX(TABLAS!$D$6:$D$14,MATCH("5/32 in",TABLAS!$B$6:$B$14,0)))*MIN(DATOS!$C$50,6000)/(MAX(MIN(6,FLOOR(45/DATOS!$C$26,1),FLOOR((2*INDEX(TABLAS!$D$6:$D$14,MATCH("5/32 in",TABLAS!$B$6:$B$14,0)))*MIN(DATOS!$C$50,6000)/(BT69*DATOS!$C$26*MAX(ED69,0.001)),1)),1)*DATOS!$C$26*BT69)),"0.00")&amp;")",IF(AND(MIN(6,FLOOR(45/DATOS!$C$26,1),FLOOR((1*INDEX(TABLAS!$D$6:$D$14,MATCH("3/16 in",TABLAS!$B$6:$B$14,0)))*MIN(DATOS!$C$50,6000)/(BT69*DATOS!$C$26*MAX(ED69,0.001)),1))&gt;=1,((1*INDEX(TABLAS!$D$6:$D$14,MATCH("3/16 in",TABLAS!$B$6:$B$14,0)))*MIN(DATOS!$C$50,6000)/(MAX(MIN(6,FLOOR(45/DATOS!$C$26,1),FLOOR((1*INDEX(TABLAS!$D$6:$D$14,MATCH("3/16 in",TABLAS!$B$6:$B$14,0)))*MIN(DATOS!$C$50,6000)/(BT69*DATOS!$C$26*MAX(ED69,0.001)),1)),1)*DATOS!$C$26*BT69))&lt;=MIN(MAX(0.15*DATOS!$C$33*DATOS!$C$24,3),0.05*DATOS!$C$25/10*MIN(DATOS!$C$50,6000)/(MIN(6,FLOOR(45/DATOS!$C$26,1),FLOOR((1*INDEX(TABLAS!$D$6:$D$14,MATCH("3/16 in",TABLAS!$B$6:$B$14,0)))*MIN(DATOS!$C$50,6000)/(BT69*DATOS!$C$26*MAX(ED69,0.001)),1))*DATOS!$C$26))),"1 alambre de 3/16"" por junta cada "&amp;MIN(6,FLOOR(45/DATOS!$C$26,1),FLOOR((1*INDEX(TABLAS!$D$6:$D$14,MATCH("3/16 in",TABLAS!$B$6:$B$14,0)))*MIN(DATOS!$C$50,6000)/(BT69*DATOS!$C$26*MAX(ED69,0.001)),1))&amp;" hilada(s) (p_h·f_yh = "&amp;TEXT(((1*INDEX(TABLAS!$D$6:$D$14,MATCH("3/16 in",TABLAS!$B$6:$B$14,0)))*MIN(DATOS!$C$50,6000)/(MAX(MIN(6,FLOOR(45/DATOS!$C$26,1),FLOOR((1*INDEX(TABLAS!$D$6:$D$14,MATCH("3/16 in",TABLAS!$B$6:$B$14,0)))*MIN(DATOS!$C$50,6000)/(BT69*DATOS!$C$26*MAX(ED69,0.001)),1)),1)*DATOS!$C$26*BT69)),"0.00")&amp;")",IF(AND(MIN(6,FLOOR(45/DATOS!$C$26,1),FLOOR((1*INDEX(TABLAS!$D$6:$D$14,MATCH("5/32 in",TABLAS!$B$6:$B$14,0)))*MIN(DATOS!$C$50,6000)/(BT69*DATOS!$C$26*MAX(ED69,0.001)),1))&gt;=1,((1*INDEX(TABLAS!$D$6:$D$14,MATCH("5/32 in",TABLAS!$B$6:$B$14,0)))*MIN(DATOS!$C$50,6000)/(MAX(MIN(6,FLOOR(45/DATOS!$C$26,1),FLOOR((1*INDEX(TABLAS!$D$6:$D$14,MATCH("5/32 in",TABLAS!$B$6:$B$14,0)))*MIN(DATOS!$C$50,6000)/(BT69*DATOS!$C$26*MAX(ED69,0.001)),1)),1)*DATOS!$C$26*BT69))&lt;=MIN(MAX(0.15*DATOS!$C$33*DATOS!$C$24,3),0.05*DATOS!$C$25/10*MIN(DATOS!$C$50,6000)/(MIN(6,FLOOR(45/DATOS!$C$26,1),FLOOR((1*INDEX(TABLAS!$D$6:$D$14,MATCH("5/32 in",TABLAS!$B$6:$B$14,0)))*MIN(DATOS!$C$50,6000)/(BT69*DATOS!$C$26*MAX(ED69,0.001)),1))*DATOS!$C$26))),"1 alambre de 5/32"" por junta cada "&amp;MIN(6,FLOOR(45/DATOS!$C$26,1),FLOOR((1*INDEX(TABLAS!$D$6:$D$14,MATCH("5/32 in",TABLAS!$B$6:$B$14,0)))*MIN(DATOS!$C$50,6000)/(BT69*DATOS!$C$26*MAX(ED69,0.001)),1))&amp;" hilada(s) (p_h·f_yh = "&amp;TEXT(((1*INDEX(TABLAS!$D$6:$D$14,MATCH("5/32 in",TABLAS!$B$6:$B$14,0)))*MIN(DATOS!$C$50,6000)/(MAX(MIN(6,FLOOR(45/DATOS!$C$26,1),FLOOR((1*INDEX(TABLAS!$D$6:$D$14,MATCH("5/32 in",TABLAS!$B$6:$B$14,0)))*MIN(DATOS!$C$50,6000)/(BT69*DATOS!$C$26*MAX(ED69,0.001)),1)),1)*DATOS!$C$26*BT69)),"0.00")&amp;")","ninguna combinación de 1 o 2 alambres por junta queda entre el mínimo y el máximo: revisa con malla (6.5.4)"))))))))</f>
        <v/>
      </c>
      <c r="EF69" s="43" t="str">
        <f>IF(BI69&lt;&gt;"SÍ","",IF(AI69="SÍ",N(AK69)*N(AL69)^3/12,0))</f>
        <v/>
      </c>
      <c r="EG69" s="48" t="str">
        <f>IF(BI69&lt;&gt;"SÍ","",IF(AND(AI69="SÍ",N(AM69)&gt;0),MIN(1,F69/AM69),0))</f>
        <v/>
      </c>
      <c r="EH69" s="47" t="str">
        <f>IF(BI69&lt;&gt;"SÍ","",IF(AI69="SÍ",BP69*1000/(BT69*F69*100)*BT69*(EG69^4-4*EG69^3+8*EG69),0))</f>
        <v/>
      </c>
      <c r="EI69" s="48" t="str">
        <f>IF(BI69&lt;&gt;"SÍ","",IF(AND(AI69="SÍ",EH69&gt;0),EH69/(EH69+5*N(AN69)*10),0))</f>
        <v/>
      </c>
      <c r="EJ69" s="44" t="str">
        <f>IF(BI69&lt;&gt;"SÍ","",IF(AND(AI69="SÍ",EI69&gt;0,EF69&gt;0),(DATOS!$C$43*BT69*(AM69*100)^3/(DATOS!$C$53*EF69*EI69))^0.25,0))</f>
        <v/>
      </c>
      <c r="EK69" s="44" t="str">
        <f>IF(BI69&lt;&gt;"SÍ","",IF(AI69&lt;&gt;"SÍ",0,IF(N(AM69)&lt;=F69,1,IF(MIN(1,N(AO69)/((AM69-F69)/2))&lt;=0.5,0.7+0.6*MIN(1,N(AO69)/((AM69-F69)/2)),1.5-MIN(1,N(AO69)/((AM69-F69)/2))))))</f>
        <v/>
      </c>
      <c r="EL69" s="44" t="str">
        <f>IF(BI69&lt;&gt;"SÍ","",IF(AI69&lt;&gt;"SÍ",0,MAX(1,IF(EG69&gt;=1,(1.6*EJ69-3.9),IF(EG69&lt;0.9,((3.2*EJ69-7.8)*EK69),((3.2*EJ69-7.8)*EK69)+((1.6*EJ69-3.9)-((3.2*EJ69-7.8)*EK69))*(EG69-0.9)/0.1)))))</f>
        <v/>
      </c>
      <c r="EM69" s="47" t="str">
        <f>IF(BI69&lt;&gt;"SÍ","",IF(AI69="SÍ",EL69*BP69*1000/(BT69*F69*100),0))</f>
        <v/>
      </c>
      <c r="EN69" s="47" t="str">
        <f>IF(BI69&lt;&gt;"SÍ","",IF(AND(AI69="SÍ",N(AL69)&gt;0),AM69*100/AL69,0))</f>
        <v/>
      </c>
      <c r="EO69" s="47" t="str">
        <f>IF(BI69&lt;&gt;"SÍ","",IF(AI69="SÍ",(1/15*DATOS!$C$53*N(AK69)/MAX((IF(ISNUMBER(AP69),AP69,BP69/DATOS!$C$90)*1000/(BT69*F69*100)*BT69*(EG69^4-4*EG69^3+8*EG69))+5*N(AN69)/DATOS!$C$90*10,0.001))^(1/3),0))</f>
        <v/>
      </c>
      <c r="EP69" s="45" t="str">
        <f>IF(BI69&lt;&gt;"SÍ","",IF(AI69&lt;&gt;"SÍ","—",IF(OR(N(AK69)&lt;=0,N(AL69)&lt;=0,N(AM69)&lt;=0),"REVISAR: faltan b, h o L_v de la viga",IF(AND(EM69&lt;=DATOS!$C$87*DATOS!$C$33,EN69&lt;=14,N(AL69)&gt;=25,EN69&lt;=EO69),IF(BS69/F69&lt;0.6,"PENDIENTE: H/L &lt; 0.6, falta el análisis de interacción muro–viga (4.1.18.2.1); f_CM es estimado","CUMPLE"),"NO CUMPLE: "&amp;IF(EM69&gt;DATOS!$C$87*DATOS!$C$33,"f_CM &gt; F_R·f'm ","")&amp;IF(EN69&gt;14,"L_v/h_v &gt; 14 ","")&amp;IF(N(AL69)&lt;25,"h_v &lt; 25 cm ","")&amp;IF(EN69&gt;EO69,"flecha (4.1.18.3)","")))))</f>
        <v/>
      </c>
      <c r="EQ69" s="44" t="str">
        <f>IF(BI69&lt;&gt;"SÍ","",MAX(0,F69*BS69-(N(K69)*N(M69)+N(P69)*N(R69)+N(U69)*N(W69)+N(Z69)*N(AB69))-CK69*DATOS!$C$59/100*BS69))</f>
        <v/>
      </c>
      <c r="ER69" s="48" t="str">
        <f>IF(BI69&lt;&gt;"SÍ","",CK69*DATOS!$C$59*DATOS!$C$60/10000*BS69)</f>
        <v/>
      </c>
      <c r="ES69" s="47" t="str">
        <f>IF(BI69&lt;&gt;"SÍ","",CK69*(DATOS!$C$61*(BS69+0.6)*INDEX(TABLAS!$E$6:$E$14,MATCH(DATOS!$C$62,TABLAS!$B$6:$B$14,0))+(2*ROUNDUP(CN69/DATOS!$C$65,0)+ROUNDUP(MAX(0,BS69*100-2*CN69)/DATOS!$C$64,0))*((2*(DATOS!$C$60+DATOS!$C$59-4*(DATOS!$C$66-INDEX(TABLAS!$C$6:$C$14,MATCH(DATOS!$C$63,TABLAS!$B$6:$B$14,0))))+15)/100)*INDEX(TABLAS!$E$6:$E$14,MATCH(DATOS!$C$63,TABLAS!$B$6:$B$14,0))))</f>
        <v/>
      </c>
      <c r="ET69" s="47" t="str">
        <f>IF(BI69&lt;&gt;"SÍ","",IF(OR(AE69="VARILLA EN JUNTAS",AE69="ESCALERILLA"),INT(BS69*100/MAX(DK69,1))*IF(ISNUMBER(AF69),AF69,2)*CB69*INDEX(TABLAS!$E$6:$E$14,MATCH(IF(AG69&lt;&gt;"",AG69,DATOS!$C$73),TABLAS!$B$6:$B$14,0)),IF(AE69="MALLA",IF(ISNUMBER(AF69),AF69,1)*CB69*BS69*INDEX(TABLAS!$E$19:$E$22,MATCH(IF(AG69&lt;&gt;"",AG69,DATOS!$C$74),TABLAS!$B$19:$B$22,0)),0)))</f>
        <v/>
      </c>
      <c r="EU69" s="45" t="str">
        <f>IF(BI69&lt;&gt;"SÍ","",""&amp;IF(BJ69="NO ESTÁ EN PIER_FORCES","sin fuerzas en PIER_FORCES; ","")&amp;IF(BV69&lt;&gt;"CUMPLE","vanos; ","")&amp;IF(LEFT(CH69,2)="NO","espesor o esbeltez; ","")&amp;IF(CQ69&gt;1,"compresión; ","")&amp;IF(CX69&gt;1,"flexión; ","")&amp;IF(CB69&lt;=0,"sin tramos de muro (todos son machones menores que L mín.: diséñalos como columnas o baja L mín.); ",IF(EC69&gt;1,"cortante; ",""))&amp;IF(OR(LEFT(EA69,2)="NO",LEFT(EA69,5)="FALTA"),"refuerzo horizontal; ","")&amp;IF(OR(LEFT(EP69,2)="NO",LEFT(EP69,7)="REVISAR"),"muro sobre viga; ","")&amp;IF(LEFT(DATOS!$C$81,2)="NO","castillo típico; ","")&amp;IF(LEFT(DATOS!$C$82,2)="NO","dala típica; ","")&amp;IF(AND(BT69&lt;&gt;DATOS!$C$58,DATOS!$C$60&lt;BT69),"castillo más angosto que el muro; ",""))</f>
        <v/>
      </c>
      <c r="EV69" s="45" t="str">
        <f>IF(BI69&lt;&gt;"SÍ","",""&amp;IF(LEFT(EP69,9)="PENDIENTE","análisis muro–viga (H/L &lt; 0.6); ","")&amp;IF(BR69&gt;50,"V_u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69" s="51" t="str">
        <f>IF(BI69&lt;&gt;"SÍ","",IF(EU69&lt;&gt;"","NO CUMPLE: "&amp;LEFT(EU69,LEN(EU69)-2),IF(EV69&lt;&gt;"","CUMPLE — PENDIENTE: "&amp;LEFT(EV69,LEN(EV69)-2),"CUMPLE")))</f>
        <v/>
      </c>
      <c r="EX69" s="52" t="n"/>
    </row>
    <row r="70" ht="30" customHeight="1">
      <c r="A70" s="38" t="str">
        <f>IF(B70="","",ROW()-10)</f>
        <v/>
      </c>
      <c r="B70" s="28" t="n"/>
      <c r="C70" s="39" t="n"/>
      <c r="D70" s="39" t="n"/>
      <c r="E70" s="39" t="n"/>
      <c r="F70" s="40" t="n"/>
      <c r="G70" s="40" t="n"/>
      <c r="H70" s="41" t="n"/>
      <c r="I70" s="39" t="n"/>
      <c r="J70" s="40" t="n"/>
      <c r="K70" s="40" t="n"/>
      <c r="L70" s="40" t="n"/>
      <c r="M70" s="40" t="n"/>
      <c r="N70" s="39" t="n"/>
      <c r="O70" s="40" t="n"/>
      <c r="P70" s="40" t="n"/>
      <c r="Q70" s="40" t="n"/>
      <c r="R70" s="40" t="n"/>
      <c r="S70" s="39" t="n"/>
      <c r="T70" s="40" t="n"/>
      <c r="U70" s="40" t="n"/>
      <c r="V70" s="40" t="n"/>
      <c r="W70" s="40" t="n"/>
      <c r="X70" s="39" t="n"/>
      <c r="Y70" s="40" t="n"/>
      <c r="Z70" s="40" t="n"/>
      <c r="AA70" s="40" t="n"/>
      <c r="AB70" s="40" t="n"/>
      <c r="AC70" s="41" t="n"/>
      <c r="AD70" s="41" t="n"/>
      <c r="AE70" s="39" t="n"/>
      <c r="AF70" s="41" t="n"/>
      <c r="AG70" s="41" t="n"/>
      <c r="AH70" s="41" t="n"/>
      <c r="AI70" s="39" t="n"/>
      <c r="AJ70" s="39" t="n"/>
      <c r="AK70" s="41" t="n"/>
      <c r="AL70" s="41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2" t="str">
        <f>IF(B70="","",C70&amp;"|"&amp;B70)</f>
        <v/>
      </c>
      <c r="AY70" s="43" t="str">
        <f>IF(B70="","",COUNTIFS(PIER_FORCES!$O$9:$O$3008,60,PIER_FORCES!$P$9:$P$3008,1))</f>
        <v/>
      </c>
      <c r="AZ70" s="43" t="str">
        <f>IF(B70="","",COUNTIFS(PIER_FORCES!$O$9:$O$3008,60,PIER_FORCES!$P$9:$P$3008,2))</f>
        <v/>
      </c>
      <c r="BA70" s="44">
        <f>IF(N(AY70)=0,0,SUMPRODUCT(MAX((PIER_FORCES!$O$9:$O$3008=60)*(PIER_FORCES!$P$9:$P$3008=1)*PIER_FORCES!$R$9:$R$3008)))</f>
        <v>0</v>
      </c>
      <c r="BB70" s="44">
        <f>IF(N(AY70)=0,0,SUMPRODUCT(MAX((PIER_FORCES!$O$9:$O$3008=60)*(PIER_FORCES!$P$9:$P$3008=1)*PIER_FORCES!$S$9:$S$3008)))</f>
        <v>0</v>
      </c>
      <c r="BC70" s="44">
        <f>IF(N(AY70)=0,0,-SUMPRODUCT(MAX((PIER_FORCES!$O$9:$O$3008=60)*(PIER_FORCES!$P$9:$P$3008=1)*(-PIER_FORCES!$Q$9:$Q$3008)+(1-(PIER_FORCES!$O$9:$O$3008=60)*(PIER_FORCES!$P$9:$P$3008=1))*(-1E9))))</f>
        <v>0</v>
      </c>
      <c r="BD70" s="44">
        <f>IF(N(AY70)=0,0,SUMPRODUCT(MAX((PIER_FORCES!$O$9:$O$3008=60)*(PIER_FORCES!$P$9:$P$3008=1)*PIER_FORCES!$Q$9:$Q$3008+(1-(PIER_FORCES!$O$9:$O$3008=60)*(PIER_FORCES!$P$9:$P$3008=1))*(-1E9))))</f>
        <v>0</v>
      </c>
      <c r="BE70" s="44">
        <f>IF(N(AZ70)=0,BD70,SUMPRODUCT(MAX((PIER_FORCES!$O$9:$O$3008=60)*(PIER_FORCES!$P$9:$P$3008=2)*PIER_FORCES!$Q$9:$Q$3008+(1-(PIER_FORCES!$O$9:$O$3008=60)*(PIER_FORCES!$P$9:$P$3008=2))*(-1E9))))</f>
        <v>0</v>
      </c>
      <c r="BF70" s="44">
        <f>IF(N(AZ70)=0,0,SUMPRODUCT(MAX((PIER_FORCES!$O$9:$O$3008=60)*(PIER_FORCES!$P$9:$P$3008=2)*PIER_FORCES!$R$9:$R$3008)))</f>
        <v>0</v>
      </c>
      <c r="BG70" s="43">
        <f>IF(N(AY70)=0,0,SUMPRODUCT(MAX((PIER_FORCES!$O$9:$O$3008=60)*(PIER_FORCES!$P$9:$P$3008=1)*(ABS(PIER_FORCES!$R$9:$R$3008-BA70)&lt;0.000001)*PIER_FORCES!$T$9:$T$3008)))</f>
        <v>0</v>
      </c>
      <c r="BH70" s="45" t="str">
        <f>IF(N(BG70)=0,"",INDEX(PIER_FORCES!$D$9:$D$3008,BG70)&amp;" "&amp;INDEX(PIER_FORCES!$F$9:$F$3008,BG70)&amp;" / "&amp;INDEX(PIER_FORCES!$G$9:$G$3008,BG70))</f>
        <v/>
      </c>
      <c r="BI70" s="42" t="str">
        <f>IF(B70="","",IF(AND(C70&lt;&gt;"",OR(D70="X",D70="Y"),ISNUMBER(F70),N(F70)&gt;0),"SÍ","NO"))</f>
        <v/>
      </c>
      <c r="BJ70" s="42" t="str">
        <f>IF(BI70&lt;&gt;"SÍ","",IF(DATOS!$C$108="ETABS (PIER_FORCES)",IF(N(AY70)&gt;0,"ETABS","NO ESTÁ EN PIER_FORCES"),"CAPTURA"))</f>
        <v/>
      </c>
      <c r="BK70" s="46" t="str">
        <f>IF(BI70&lt;&gt;"SÍ","",IF(BJ70="ETABS",BA70,IF(BJ70="CAPTURA",N(AQ70),0)))</f>
        <v/>
      </c>
      <c r="BL70" s="46" t="str">
        <f>IF(BI70&lt;&gt;"SÍ","",IF(BJ70="ETABS",BB70,IF(BJ70="CAPTURA",N(AR70),0)))</f>
        <v/>
      </c>
      <c r="BM70" s="46" t="str">
        <f>IF(BI70&lt;&gt;"SÍ","",IF(BJ70="ETABS",BC70/DATOS!$C$89,IF(BJ70="CAPTURA",N(AS70),0)))</f>
        <v/>
      </c>
      <c r="BN70" s="44" t="str">
        <f>IF(BI70&lt;&gt;"SÍ","",IF(BJ70="ETABS",BC70,IF(BJ70="CAPTURA",IF(ISNUMBER(AU70),AU70,N(AS70)*DATOS!$C$89),0)))</f>
        <v/>
      </c>
      <c r="BO70" s="44" t="str">
        <f>IF(BI70&lt;&gt;"SÍ","",IF(BJ70="ETABS",MAX(BD70,BE70),IF(BJ70="CAPTURA",N(AT70),0)))</f>
        <v/>
      </c>
      <c r="BP70" s="44" t="str">
        <f>IF(BI70&lt;&gt;"SÍ","",IF(BJ70="ETABS",BE70,IF(BJ70="CAPTURA",IF(ISNUMBER(AV70),AV70,N(AT70)),0)))</f>
        <v/>
      </c>
      <c r="BQ70" s="44" t="str">
        <f>IF(BI70&lt;&gt;"SÍ","",IF(BJ70="ETABS",BF70,IF(BJ70="CAPTURA",N(AW70),0)))</f>
        <v/>
      </c>
      <c r="BR70" s="43" t="str">
        <f>IF(BI70&lt;&gt;"SÍ","",IF(BK70&gt;0,100*BQ70/BK70,0))</f>
        <v/>
      </c>
      <c r="BS70" s="44" t="str">
        <f>IF(BI70&lt;&gt;"SÍ","",IF(ISNUMBER(G70),G70,DATOS!$C$57))</f>
        <v/>
      </c>
      <c r="BT70" s="47" t="str">
        <f>IF(BI70&lt;&gt;"SÍ","",IF(ISNUMBER(H70),H70,DATOS!$C$58))</f>
        <v/>
      </c>
      <c r="BU70" s="43" t="str">
        <f>IF(BI70&lt;&gt;"SÍ","",IF(N(K70)&gt;0,1+IF(N(P70)&gt;0,1+IF(N(U70)&gt;0,1+IF(N(Z70)&gt;0,1,0),0),0),0))</f>
        <v/>
      </c>
      <c r="BV70" s="45" t="str">
        <f>IF(BI70&lt;&gt;"SÍ","",IF(AND(OR(BU70&lt;1,AND(N(J70)&gt;=0-0.001,J70+K70&lt;=F70+0.001,N(L70)&gt;=0,N(L70)+N(M70)&lt;=BS70+0.001,N(M70)&gt;0,OR(I70="PUERTA",I70="VENTANA"))),OR(BU70&lt;2,AND(N(O70)&gt;=(J70+K70)-0.001,O70+P70&lt;=F70+0.001,N(Q70)&gt;=0,N(Q70)+N(R70)&lt;=BS70+0.001,N(R70)&gt;0,OR(N70="PUERTA",N70="VENTANA"))),OR(BU70&lt;3,AND(N(T70)&gt;=(O70+P70)-0.001,T70+U70&lt;=F70+0.001,N(V70)&gt;=0,N(V70)+N(W70)&lt;=BS70+0.001,N(W70)&gt;0,OR(S70="PUERTA",S70="VENTANA"))),OR(BU70&lt;4,AND(N(Y70)&gt;=(T70+U70)-0.001,Y70+Z70&lt;=F70+0.001,N(AA70)&gt;=0,N(AA70)+N(AB70)&lt;=BS70+0.001,N(AB70)&gt;0,OR(X70="PUERTA",X70="VENTANA"))),(N(K70)&gt;0)+(N(P70)&gt;0)+(N(U70)&gt;0)+(N(Z70)&gt;0)=BU70),"CUMPLE","REVISAR VANOS: tipo, orden de izquierda a derecha, que quepan en L y en H"))</f>
        <v/>
      </c>
      <c r="BW70" s="44" t="str">
        <f>IF(BI70&lt;&gt;"SÍ","",MAX(0,IF(BU70&gt;=1,N(J70),F70)))</f>
        <v/>
      </c>
      <c r="BX70" s="44" t="str">
        <f>IF(BI70&lt;&gt;"SÍ","",MAX(0,IF(BU70&gt;=2,N(O70)-(N(J70)+N(K70)),IF(BU70=1,F70-(N(J70)+N(K70)),0))))</f>
        <v/>
      </c>
      <c r="BY70" s="44" t="str">
        <f>IF(BI70&lt;&gt;"SÍ","",MAX(0,IF(BU70&gt;=3,N(T70)-(N(O70)+N(P70)),IF(BU70=2,F70-(N(O70)+N(P70)),0))))</f>
        <v/>
      </c>
      <c r="BZ70" s="44" t="str">
        <f>IF(BI70&lt;&gt;"SÍ","",MAX(0,IF(BU70&gt;=4,N(Y70)-(N(T70)+N(U70)),IF(BU70=3,F70-(N(T70)+N(U70)),0))))</f>
        <v/>
      </c>
      <c r="CA70" s="44" t="str">
        <f>IF(BI70&lt;&gt;"SÍ","",MAX(0,IF(BU70=4,F70-(N(Y70)+N(Z70)),0)))</f>
        <v/>
      </c>
      <c r="CB70" s="46" t="str">
        <f>IF(BI70&lt;&gt;"SÍ","",SUMPRODUCT((BW70:CA70&gt;=DATOS!$C$72-0.0001)*BW70:CA70))</f>
        <v/>
      </c>
      <c r="CC70" s="43" t="str">
        <f>IF(BI70&lt;&gt;"SÍ","",SUMPRODUCT(--(BW70:CA70&gt;=DATOS!$C$72-0.0001)))</f>
        <v/>
      </c>
      <c r="CD70" s="44" t="str">
        <f>IF(BI70&lt;&gt;"SÍ","",SUM(BW70:CA70))</f>
        <v/>
      </c>
      <c r="CE70" s="43" t="str">
        <f>IF(BI70&lt;&gt;"SÍ","",BT70*CB70*100)</f>
        <v/>
      </c>
      <c r="CF70" s="43" t="str">
        <f>IF(BI70&lt;&gt;"SÍ","",BT70*CD70*100)</f>
        <v/>
      </c>
      <c r="CG70" s="47" t="str">
        <f>IF(BI70&lt;&gt;"SÍ","",BS70*100/BT70)</f>
        <v/>
      </c>
      <c r="CH70" s="45" t="str">
        <f>IF(BI70&lt;&gt;"SÍ","",IF(AND(OR(DATOS!$C$14="TIPO II",BT70&gt;=12),CG70&lt;=25),"CUMPLE","NO CUMPLE: "&amp;IF(AND(DATOS!$C$14="TIPO I",BT70&lt;12),"t &lt; 12 cm ","")&amp;IF(CG70&gt;25,"H/t &gt; 25","")))</f>
        <v/>
      </c>
      <c r="CI70" s="44" t="str">
        <f>IF(BI70&lt;&gt;"SÍ","",MIN(1.5*BS70,4))</f>
        <v/>
      </c>
      <c r="CJ70" s="43" t="str">
        <f>IF(BI70&lt;&gt;"SÍ","",SUMPRODUCT((BW70:CA70&gt;=2*DATOS!$C$59/100)*INT((BW70:CA70-DATOS!$C$59/100)/CI70-0.000001)*((BW70:CA70-DATOS!$C$59/100)&gt;0)))</f>
        <v/>
      </c>
      <c r="CK70" s="43" t="str">
        <f>IF(BI70&lt;&gt;"SÍ","",SUMPRODUCT((BW70:CA70&gt;0.0001)*1+(BW70:CA70&gt;=2*DATOS!$C$59/100)*1)+CJ70)</f>
        <v/>
      </c>
      <c r="CL70" s="44" t="str">
        <f>IF(BI70&lt;&gt;"SÍ","",IF(ISNUMBER(AC70),AC70,DATOS!$C$61)*INDEX(TABLAS!$D$6:$D$14,MATCH(IF(AD70&lt;&gt;"",AD70,DATOS!$C$62),TABLAS!$B$6:$B$14,0)))</f>
        <v/>
      </c>
      <c r="CM70" s="44" t="str">
        <f>IF(BI70&lt;&gt;"SÍ","",CK70*DATOS!$C$78+IF(CK70&gt;=2,2,CK70)*(CL70-DATOS!$C$78))</f>
        <v/>
      </c>
      <c r="CN70" s="47" t="str">
        <f>IF(BI70&lt;&gt;"SÍ","",MAX(BS70*100/6,40))</f>
        <v/>
      </c>
      <c r="CO70" s="48" t="str">
        <f>IF(BI70&lt;&gt;"SÍ","",IF(CG70&lt;=20,IF(E70="INTERIOR",0.7,0.6),MIN(IF(E70="INTERIOR",0.7,0.6),(1-2/24)*(1-(IF(E70="INTERIOR",0.8,1)*CG70/30)^2))))</f>
        <v/>
      </c>
      <c r="CP70" s="47" t="str">
        <f>IF(BI70&lt;&gt;"SÍ","",DATOS!$C$87*CO70*(DATOS!$C$33*CF70+CM70*DATOS!$C$48)/1000)</f>
        <v/>
      </c>
      <c r="CQ70" s="46" t="str">
        <f>IF(BI70&lt;&gt;"SÍ","",IF(CP70&gt;0,BO70/CP70,99))</f>
        <v/>
      </c>
      <c r="CR70" s="47" t="str">
        <f>IF(BI70&lt;&gt;"SÍ","",MAX(0,F70*100-DATOS!$C$59))</f>
        <v/>
      </c>
      <c r="CS70" s="47" t="str">
        <f>IF(BI70&lt;&gt;"SÍ","",MAX(0,F70*100-DATOS!$C$59/2))</f>
        <v/>
      </c>
      <c r="CT70" s="44" t="str">
        <f>IF(BI70&lt;&gt;"SÍ","",CL70*DATOS!$C$48*CR70/100000)</f>
        <v/>
      </c>
      <c r="CU70" s="44" t="str">
        <f>IF(BI70&lt;&gt;"SÍ","",IF(BN70&lt;0,0.8*CT70*MAX(0,1+BN70/(0.8*CM70*DATOS!$C$48/1000)),IF(BN70&lt;=CP70/3,0.8*CT70+0.3*BN70*CS70/100,(1.5*0.6*CT70+0.15*CP70*CS70/100)*MAX(0,1-BN70/CP70))))</f>
        <v/>
      </c>
      <c r="CV70" s="44" t="str">
        <f>IF(BI70&lt;&gt;"SÍ","",IF(BO70&lt;0,0.8*CT70*MAX(0,1+BO70/(0.8*CM70*DATOS!$C$48/1000)),IF(BO70&lt;=CP70/3,0.8*CT70+0.3*BO70*CS70/100,(1.5*0.6*CT70+0.15*CP70*CS70/100)*MAX(0,1-BO70/CP70))))</f>
        <v/>
      </c>
      <c r="CW70" s="46" t="str">
        <f>IF(BI70&lt;&gt;"SÍ","",MAX(0,MIN(CU70,CV70)))</f>
        <v/>
      </c>
      <c r="CX70" s="49" t="str">
        <f>IF(BI70&lt;&gt;"SÍ","",IF(CW70&gt;0,BL70/CW70,IF(BL70&gt;0,99,0)))</f>
        <v/>
      </c>
      <c r="CY70" s="44" t="str">
        <f>IF(BI70&lt;&gt;"SÍ","",IF(BW70&gt;0,MAX(1,MIN(1.5,1.5-0.625*(BS70/BW70-0.2))),0))</f>
        <v/>
      </c>
      <c r="CZ70" s="44" t="str">
        <f>IF(BI70&lt;&gt;"SÍ","",IF(BX70&gt;0,MAX(1,MIN(1.5,1.5-0.625*(BS70/BX70-0.2))),0))</f>
        <v/>
      </c>
      <c r="DA70" s="44" t="str">
        <f>IF(BI70&lt;&gt;"SÍ","",IF(BY70&gt;0,MAX(1,MIN(1.5,1.5-0.625*(BS70/BY70-0.2))),0))</f>
        <v/>
      </c>
      <c r="DB70" s="44" t="str">
        <f>IF(BI70&lt;&gt;"SÍ","",IF(BZ70&gt;0,MAX(1,MIN(1.5,1.5-0.625*(BS70/BZ70-0.2))),0))</f>
        <v/>
      </c>
      <c r="DC70" s="44" t="str">
        <f>IF(BI70&lt;&gt;"SÍ","",IF(CA70&gt;0,MAX(1,MIN(1.5,1.5-0.625*(BS70/CA70-0.2))),0))</f>
        <v/>
      </c>
      <c r="DD70" s="44" t="str">
        <f>IF(BI70&lt;&gt;"SÍ","",IF(OR(BW70&lt;DATOS!$C$72-0.0001,BM70&lt;0,CB70&lt;=0),0,MIN(DATOS!$C$86*(0.5*DATOS!$C$41*BT70*BW70*100+0.3*BM70*BW70/CB70*1000)*CY70,1.5*DATOS!$C$86*DATOS!$C$41*BT70*BW70*100*CY70)/1000))</f>
        <v/>
      </c>
      <c r="DE70" s="44" t="str">
        <f>IF(BI70&lt;&gt;"SÍ","",IF(OR(BX70&lt;DATOS!$C$72-0.0001,BM70&lt;0,CB70&lt;=0),0,MIN(DATOS!$C$86*(0.5*DATOS!$C$41*BT70*BX70*100+0.3*BM70*BX70/CB70*1000)*CZ70,1.5*DATOS!$C$86*DATOS!$C$41*BT70*BX70*100*CZ70)/1000))</f>
        <v/>
      </c>
      <c r="DF70" s="44" t="str">
        <f>IF(BI70&lt;&gt;"SÍ","",IF(OR(BY70&lt;DATOS!$C$72-0.0001,BM70&lt;0,CB70&lt;=0),0,MIN(DATOS!$C$86*(0.5*DATOS!$C$41*BT70*BY70*100+0.3*BM70*BY70/CB70*1000)*DA70,1.5*DATOS!$C$86*DATOS!$C$41*BT70*BY70*100*DA70)/1000))</f>
        <v/>
      </c>
      <c r="DG70" s="44" t="str">
        <f>IF(BI70&lt;&gt;"SÍ","",IF(OR(BZ70&lt;DATOS!$C$72-0.0001,BM70&lt;0,CB70&lt;=0),0,MIN(DATOS!$C$86*(0.5*DATOS!$C$41*BT70*BZ70*100+0.3*BM70*BZ70/CB70*1000)*DB70,1.5*DATOS!$C$86*DATOS!$C$41*BT70*BZ70*100*DB70)/1000))</f>
        <v/>
      </c>
      <c r="DH70" s="44" t="str">
        <f>IF(BI70&lt;&gt;"SÍ","",IF(OR(CA70&lt;DATOS!$C$72-0.0001,BM70&lt;0,CB70&lt;=0),0,MIN(DATOS!$C$86*(0.5*DATOS!$C$41*BT70*CA70*100+0.3*BM70*CA70/CB70*1000)*DC70,1.5*DATOS!$C$86*DATOS!$C$41*BT70*CA70*100*DC70)/1000))</f>
        <v/>
      </c>
      <c r="DI70" s="46" t="str">
        <f>IF(BI70&lt;&gt;"SÍ","",SUM(DD70:DH70))</f>
        <v/>
      </c>
      <c r="DJ70" s="48" t="str">
        <f>IF(BI70&lt;&gt;"SÍ","",IF(AE70="VARILLA EN JUNTAS",IF(ISNUMBER(AF70),AF70,2)*INDEX(TABLAS!$D$6:$D$14,MATCH(IF(AG70&lt;&gt;"",AG70,DATOS!$C$73),TABLAS!$B$6:$B$14,0)),IF(AE70="MALLA",IF(ISNUMBER(AF70),AF70,1)*INDEX(TABLAS!$D$19:$D$22,MATCH(IF(AG70&lt;&gt;"",AG70,DATOS!$C$74),TABLAS!$B$19:$B$22,0))/100,IF(AE70="ESCALERILLA",IF(ISNUMBER(AF70),AF70,2)*INDEX(TABLAS!$D$6:$D$14,MATCH(IF(AG70&lt;&gt;"",AG70,DATOS!$C$73),TABLAS!$B$6:$B$14,0)),0))))</f>
        <v/>
      </c>
      <c r="DK70" s="47" t="str">
        <f>IF(BI70&lt;&gt;"SÍ","",IF(OR(AE70="VARILLA EN JUNTAS",AE70="ESCALERILLA"),IF(ISNUMBER(AH70),AH70,2)*DATOS!$C$26,IF(AE70="MALLA",1,0)))</f>
        <v/>
      </c>
      <c r="DL70" s="44" t="str">
        <f>IF(BI70&lt;&gt;"SÍ","",IF(DK70&gt;0,DJ70/(DK70*BT70)*MIN(DATOS!$C$50,IF(AE70="MALLA",5000,6000)),0))</f>
        <v/>
      </c>
      <c r="DM70" s="44" t="str">
        <f>IF(BI70&lt;&gt;"SÍ","",IF(AE70="ESCALERILLA",0,MIN(DL70,0.1*DATOS!$C$33*DATOS!$C$24)))</f>
        <v/>
      </c>
      <c r="DN70" s="48" t="str">
        <f>IF(BI70&lt;&gt;"SÍ","",IF(AE70="MALLA",0.5,IF(DATOS!$C$33&lt;=60,0.55,IF(DATOS!$C$33&gt;=90,0.75,0.55+0.2*(DATOS!$C$33-60)/30))))</f>
        <v/>
      </c>
      <c r="DO70" s="48" t="str">
        <f>IF(BI70&lt;&gt;"SÍ","",1-DATOS!$C$91*DM70)</f>
        <v/>
      </c>
      <c r="DP70" s="44" t="str">
        <f>IF(BI70&lt;&gt;"SÍ","",IF(BW70&gt;0,IF(BS70/BW70&lt;=1,1.3,IF(BS70/BW70&gt;=1.5,1,1.3-0.6*(BS70/BW70-1))),0))</f>
        <v/>
      </c>
      <c r="DQ70" s="44" t="str">
        <f>IF(BI70&lt;&gt;"SÍ","",IF(BX70&gt;0,IF(BS70/BX70&lt;=1,1.3,IF(BS70/BX70&gt;=1.5,1,1.3-0.6*(BS70/BX70-1))),0))</f>
        <v/>
      </c>
      <c r="DR70" s="44" t="str">
        <f>IF(BI70&lt;&gt;"SÍ","",IF(BY70&gt;0,IF(BS70/BY70&lt;=1,1.3,IF(BS70/BY70&gt;=1.5,1,1.3-0.6*(BS70/BY70-1))),0))</f>
        <v/>
      </c>
      <c r="DS70" s="44" t="str">
        <f>IF(BI70&lt;&gt;"SÍ","",IF(BZ70&gt;0,IF(BS70/BZ70&lt;=1,1.3,IF(BS70/BZ70&gt;=1.5,1,1.3-0.6*(BS70/BZ70-1))),0))</f>
        <v/>
      </c>
      <c r="DT70" s="44" t="str">
        <f>IF(BI70&lt;&gt;"SÍ","",IF(CA70&gt;0,IF(BS70/CA70&lt;=1,1.3,IF(BS70/CA70&gt;=1.5,1,1.3-0.6*(BS70/CA70-1))),0))</f>
        <v/>
      </c>
      <c r="DU70" s="44" t="str">
        <f>IF(BI70&lt;&gt;"SÍ","",IF(OR(DM70&lt;=0,BW70&lt;DATOS!$C$72-0.0001),0,DATOS!$C$86*MAX(0,IF(BM70&gt;=0,DD70/(DATOS!$C$86*DM70*BT70*BW70*100/1000)*(DP70*DO70-1)+DN70,DO70*DN70))*DM70*BT70*BW70*100/1000))</f>
        <v/>
      </c>
      <c r="DV70" s="44" t="str">
        <f>IF(BI70&lt;&gt;"SÍ","",IF(OR(DM70&lt;=0,BX70&lt;DATOS!$C$72-0.0001),0,DATOS!$C$86*MAX(0,IF(BM70&gt;=0,DE70/(DATOS!$C$86*DM70*BT70*BX70*100/1000)*(DQ70*DO70-1)+DN70,DO70*DN70))*DM70*BT70*BX70*100/1000))</f>
        <v/>
      </c>
      <c r="DW70" s="44" t="str">
        <f>IF(BI70&lt;&gt;"SÍ","",IF(OR(DM70&lt;=0,BY70&lt;DATOS!$C$72-0.0001),0,DATOS!$C$86*MAX(0,IF(BM70&gt;=0,DF70/(DATOS!$C$86*DM70*BT70*BY70*100/1000)*(DR70*DO70-1)+DN70,DO70*DN70))*DM70*BT70*BY70*100/1000))</f>
        <v/>
      </c>
      <c r="DX70" s="44" t="str">
        <f>IF(BI70&lt;&gt;"SÍ","",IF(OR(DM70&lt;=0,BZ70&lt;DATOS!$C$72-0.0001),0,DATOS!$C$86*MAX(0,IF(BM70&gt;=0,DG70/(DATOS!$C$86*DM70*BT70*BZ70*100/1000)*(DS70*DO70-1)+DN70,DO70*DN70))*DM70*BT70*BZ70*100/1000))</f>
        <v/>
      </c>
      <c r="DY70" s="44" t="str">
        <f>IF(BI70&lt;&gt;"SÍ","",IF(OR(DM70&lt;=0,CA70&lt;DATOS!$C$72-0.0001),0,DATOS!$C$86*MAX(0,IF(BM70&gt;=0,DH70/(DATOS!$C$86*DM70*BT70*CA70*100/1000)*(DT70*DO70-1)+DN70,DO70*DN70))*DM70*BT70*CA70*100/1000))</f>
        <v/>
      </c>
      <c r="DZ70" s="46" t="str">
        <f>IF(BI70&lt;&gt;"SÍ","",SUM(DU70:DY70))</f>
        <v/>
      </c>
      <c r="EA70" s="45" t="str">
        <f>IF(BI70&lt;&gt;"SÍ","",IF(OR(AE70="",AE70="NINGUNO"),IF(DATOS!$C$41&gt;=10,"FALTA refuerzo horizontal: v'm ≥ 10 kg/cm² (6.5.2.2)",IF(AND(BM70&lt;0,BK70&gt;0),"FALTA: P en tensión, el refuerzo debe tomar todo el cortante (6.5.1.3)","—")),IF(AE70="ESCALERILLA","NO CUENTA: la escalerilla no se permite para cortante por sismo (6.5.3.1.2)",IF(AE70="MALLA",IF(AND(DL70&gt;=2.5,DL70&lt;=MAX(0.15*DATOS!$C$33*DATOS!$C$24,2.5)),"CUMPLE","NO CUMPLE: "&amp;IF(DL70&lt;2.5,"p_h·f_yh &lt; 2.5 (6.5.4.2.4)","p_h·f_yh &gt; 0.15·f'm·f_an (6.5.4.2.4)")),IF(AND(DK70&lt;=MIN(6*DATOS!$C$26,45),DL70&gt;=3,DL70&lt;=MIN(MAX(0.15*DATOS!$C$33*DATOS!$C$24,3),0.05*DATOS!$C$25/10*MIN(DATOS!$C$50,6000)/DK70),INDEX(TABLAS!$C$6:$C$14,MATCH(IF(AG70&lt;&gt;"",AG70,DATOS!$C$73),TABLAS!$B$6:$B$14,0))&gt;=0.35,INDEX(TABLAS!$C$6:$C$14,MATCH(IF(AG70&lt;&gt;"",AG70,DATOS!$C$73),TABLAS!$B$6:$B$14,0))&lt;=0.75*DATOS!$C$25/10),"CUMPLE","NO CUMPLE: "&amp;IF(DK70&gt;MIN(6*DATOS!$C$26,45),"s_h &gt; 6 hiladas o 45 cm (6.5.3.2.1) ","")&amp;IF(DL70&lt;3,"p_h·f_yh &lt; 3 (6.5.3.3.1) ","")&amp;IF(DL70&gt;MIN(MAX(0.15*DATOS!$C$33*DATOS!$C$24,3),0.05*DATOS!$C$25/10*MIN(DATOS!$C$50,6000)/DK70),"p_h·f_yh &gt; máximo (6.5.3.3.2) ","")&amp;IF(OR(INDEX(TABLAS!$C$6:$C$14,MATCH(IF(AG70&lt;&gt;"",AG70,DATOS!$C$73),TABLAS!$B$6:$B$14,0))&lt;0.35,INDEX(TABLAS!$C$6:$C$14,MATCH(IF(AG70&lt;&gt;"",AG70,DATOS!$C$73),TABLAS!$B$6:$B$14,0))&gt;0.75*DATOS!$C$25/10),"diámetro fuera de 3.5 mm a 0.75·h_j (4.2.2.2.1)",""))))))</f>
        <v/>
      </c>
      <c r="EB70" s="46" t="str">
        <f>IF(BI70&lt;&gt;"SÍ","",DI70+DZ70)</f>
        <v/>
      </c>
      <c r="EC70" s="50" t="str">
        <f>IF(BI70&lt;&gt;"SÍ","",IF(EB70&gt;0,BK70/EB70,IF(BK70&gt;0,99,0)))</f>
        <v/>
      </c>
      <c r="ED70" s="47" t="str">
        <f>IF(BI70&lt;&gt;"SÍ","",IF(CE70&lt;=0,-1,IF(BK70&lt;=DI70,0,IF(IF(BM70&gt;=0,IF((DATOS!$C$86*IF(AE70="MALLA",0.5,IF(DATOS!$C$33&lt;=60,0.55,IF(DATOS!$C$33&gt;=90,0.75,0.55+0.2*(DATOS!$C$33-60)/30)))*CE70/1000-DATOS!$C$91*SUMPRODUCT(DP70:DT70,DD70:DH70))&lt;=0,1E9,(BK70-SUMPRODUCT(DP70:DT70,DD70:DH70))/(DATOS!$C$86*IF(AE70="MALLA",0.5,IF(DATOS!$C$33&lt;=60,0.55,IF(DATOS!$C$33&gt;=90,0.75,0.55+0.2*(DATOS!$C$33-60)/30)))*CE70/1000-DATOS!$C$91*SUMPRODUCT(DP70:DT70,DD70:DH70))),IF((1-4*DATOS!$C$91*BK70*1000/(DATOS!$C$86*IF(AE70="MALLA",0.5,IF(DATOS!$C$33&lt;=60,0.55,IF(DATOS!$C$33&gt;=90,0.75,0.55+0.2*(DATOS!$C$33-60)/30)))*MAX(CE70,1)))&lt;0,1E9,(1-SQRT((1-4*DATOS!$C$91*BK70*1000/(DATOS!$C$86*IF(AE70="MALLA",0.5,IF(DATOS!$C$33&lt;=60,0.55,IF(DATOS!$C$33&gt;=90,0.75,0.55+0.2*(DATOS!$C$33-60)/30)))*MAX(CE70,1)))))/(2*DATOS!$C$91)))&gt;0.1*DATOS!$C$33*DATOS!$C$24+0.000001,-1,MAX(IF(AE70="MALLA",2.5,3),IF(BM70&gt;=0,IF((DATOS!$C$86*IF(AE70="MALLA",0.5,IF(DATOS!$C$33&lt;=60,0.55,IF(DATOS!$C$33&gt;=90,0.75,0.55+0.2*(DATOS!$C$33-60)/30)))*CE70/1000-DATOS!$C$91*SUMPRODUCT(DP70:DT70,DD70:DH70))&lt;=0,1E9,(BK70-SUMPRODUCT(DP70:DT70,DD70:DH70))/(DATOS!$C$86*IF(AE70="MALLA",0.5,IF(DATOS!$C$33&lt;=60,0.55,IF(DATOS!$C$33&gt;=90,0.75,0.55+0.2*(DATOS!$C$33-60)/30)))*CE70/1000-DATOS!$C$91*SUMPRODUCT(DP70:DT70,DD70:DH70))),IF((1-4*DATOS!$C$91*BK70*1000/(DATOS!$C$86*IF(AE70="MALLA",0.5,IF(DATOS!$C$33&lt;=60,0.55,IF(DATOS!$C$33&gt;=90,0.75,0.55+0.2*(DATOS!$C$33-60)/30)))*MAX(CE70,1)))&lt;0,1E9,(1-SQRT((1-4*DATOS!$C$91*BK70*1000/(DATOS!$C$86*IF(AE70="MALLA",0.5,IF(DATOS!$C$33&lt;=60,0.55,IF(DATOS!$C$33&gt;=90,0.75,0.55+0.2*(DATOS!$C$33-60)/30)))*MAX(CE70,1)))))/(2*DATOS!$C$91))))))))</f>
        <v/>
      </c>
      <c r="EE70" s="45" t="str">
        <f>IF(BI70&lt;&gt;"SÍ","",IF(ED70=0,"NO REQUIERE: V_mR ≥ V_u",IF(ED70&lt;0,"NO ALCANZA con refuerzo horizontal (haría falta más de 0.1·f'm·f_an efectivo): sube v'm con ensayes, el espesor o la longitud del muro",IF(AND(OR(AE70="VARILLA EN JUNTAS",AE70="MALLA"),LEFT(EA70,6)="CUMPLE",EC70&lt;=1),"YA LO TIENE (pide p_h·f_yh ≥ "&amp;TEXT(ED70,"0.0")&amp;" kg/cm²)","p_h·f_yh ≥ "&amp;TEXT(ED70,"0.0")&amp;" kg/cm² → "&amp;IF(AND(MIN(6,FLOOR(45/DATOS!$C$26,1),FLOOR((2*INDEX(TABLAS!$D$6:$D$14,MATCH("3/16 in",TABLAS!$B$6:$B$14,0)))*MIN(DATOS!$C$50,6000)/(BT70*DATOS!$C$26*MAX(ED70,0.001)),1))&gt;=1,((2*INDEX(TABLAS!$D$6:$D$14,MATCH("3/16 in",TABLAS!$B$6:$B$14,0)))*MIN(DATOS!$C$50,6000)/(MAX(MIN(6,FLOOR(45/DATOS!$C$26,1),FLOOR((2*INDEX(TABLAS!$D$6:$D$14,MATCH("3/16 in",TABLAS!$B$6:$B$14,0)))*MIN(DATOS!$C$50,6000)/(BT70*DATOS!$C$26*MAX(ED70,0.001)),1)),1)*DATOS!$C$26*BT70))&lt;=MIN(MAX(0.15*DATOS!$C$33*DATOS!$C$24,3),0.05*DATOS!$C$25/10*MIN(DATOS!$C$50,6000)/(MIN(6,FLOOR(45/DATOS!$C$26,1),FLOOR((2*INDEX(TABLAS!$D$6:$D$14,MATCH("3/16 in",TABLAS!$B$6:$B$14,0)))*MIN(DATOS!$C$50,6000)/(BT70*DATOS!$C$26*MAX(ED70,0.001)),1))*DATOS!$C$26))),"2 alambres de 3/16"" por junta cada "&amp;MIN(6,FLOOR(45/DATOS!$C$26,1),FLOOR((2*INDEX(TABLAS!$D$6:$D$14,MATCH("3/16 in",TABLAS!$B$6:$B$14,0)))*MIN(DATOS!$C$50,6000)/(BT70*DATOS!$C$26*MAX(ED70,0.001)),1))&amp;" hilada(s) (p_h·f_yh = "&amp;TEXT(((2*INDEX(TABLAS!$D$6:$D$14,MATCH("3/16 in",TABLAS!$B$6:$B$14,0)))*MIN(DATOS!$C$50,6000)/(MAX(MIN(6,FLOOR(45/DATOS!$C$26,1),FLOOR((2*INDEX(TABLAS!$D$6:$D$14,MATCH("3/16 in",TABLAS!$B$6:$B$14,0)))*MIN(DATOS!$C$50,6000)/(BT70*DATOS!$C$26*MAX(ED70,0.001)),1)),1)*DATOS!$C$26*BT70)),"0.00")&amp;")",IF(AND(MIN(6,FLOOR(45/DATOS!$C$26,1),FLOOR((2*INDEX(TABLAS!$D$6:$D$14,MATCH("5/32 in",TABLAS!$B$6:$B$14,0)))*MIN(DATOS!$C$50,6000)/(BT70*DATOS!$C$26*MAX(ED70,0.001)),1))&gt;=1,((2*INDEX(TABLAS!$D$6:$D$14,MATCH("5/32 in",TABLAS!$B$6:$B$14,0)))*MIN(DATOS!$C$50,6000)/(MAX(MIN(6,FLOOR(45/DATOS!$C$26,1),FLOOR((2*INDEX(TABLAS!$D$6:$D$14,MATCH("5/32 in",TABLAS!$B$6:$B$14,0)))*MIN(DATOS!$C$50,6000)/(BT70*DATOS!$C$26*MAX(ED70,0.001)),1)),1)*DATOS!$C$26*BT70))&lt;=MIN(MAX(0.15*DATOS!$C$33*DATOS!$C$24,3),0.05*DATOS!$C$25/10*MIN(DATOS!$C$50,6000)/(MIN(6,FLOOR(45/DATOS!$C$26,1),FLOOR((2*INDEX(TABLAS!$D$6:$D$14,MATCH("5/32 in",TABLAS!$B$6:$B$14,0)))*MIN(DATOS!$C$50,6000)/(BT70*DATOS!$C$26*MAX(ED70,0.001)),1))*DATOS!$C$26))),"2 alambres de 5/32"" por junta cada "&amp;MIN(6,FLOOR(45/DATOS!$C$26,1),FLOOR((2*INDEX(TABLAS!$D$6:$D$14,MATCH("5/32 in",TABLAS!$B$6:$B$14,0)))*MIN(DATOS!$C$50,6000)/(BT70*DATOS!$C$26*MAX(ED70,0.001)),1))&amp;" hilada(s) (p_h·f_yh = "&amp;TEXT(((2*INDEX(TABLAS!$D$6:$D$14,MATCH("5/32 in",TABLAS!$B$6:$B$14,0)))*MIN(DATOS!$C$50,6000)/(MAX(MIN(6,FLOOR(45/DATOS!$C$26,1),FLOOR((2*INDEX(TABLAS!$D$6:$D$14,MATCH("5/32 in",TABLAS!$B$6:$B$14,0)))*MIN(DATOS!$C$50,6000)/(BT70*DATOS!$C$26*MAX(ED70,0.001)),1)),1)*DATOS!$C$26*BT70)),"0.00")&amp;")",IF(AND(MIN(6,FLOOR(45/DATOS!$C$26,1),FLOOR((1*INDEX(TABLAS!$D$6:$D$14,MATCH("3/16 in",TABLAS!$B$6:$B$14,0)))*MIN(DATOS!$C$50,6000)/(BT70*DATOS!$C$26*MAX(ED70,0.001)),1))&gt;=1,((1*INDEX(TABLAS!$D$6:$D$14,MATCH("3/16 in",TABLAS!$B$6:$B$14,0)))*MIN(DATOS!$C$50,6000)/(MAX(MIN(6,FLOOR(45/DATOS!$C$26,1),FLOOR((1*INDEX(TABLAS!$D$6:$D$14,MATCH("3/16 in",TABLAS!$B$6:$B$14,0)))*MIN(DATOS!$C$50,6000)/(BT70*DATOS!$C$26*MAX(ED70,0.001)),1)),1)*DATOS!$C$26*BT70))&lt;=MIN(MAX(0.15*DATOS!$C$33*DATOS!$C$24,3),0.05*DATOS!$C$25/10*MIN(DATOS!$C$50,6000)/(MIN(6,FLOOR(45/DATOS!$C$26,1),FLOOR((1*INDEX(TABLAS!$D$6:$D$14,MATCH("3/16 in",TABLAS!$B$6:$B$14,0)))*MIN(DATOS!$C$50,6000)/(BT70*DATOS!$C$26*MAX(ED70,0.001)),1))*DATOS!$C$26))),"1 alambre de 3/16"" por junta cada "&amp;MIN(6,FLOOR(45/DATOS!$C$26,1),FLOOR((1*INDEX(TABLAS!$D$6:$D$14,MATCH("3/16 in",TABLAS!$B$6:$B$14,0)))*MIN(DATOS!$C$50,6000)/(BT70*DATOS!$C$26*MAX(ED70,0.001)),1))&amp;" hilada(s) (p_h·f_yh = "&amp;TEXT(((1*INDEX(TABLAS!$D$6:$D$14,MATCH("3/16 in",TABLAS!$B$6:$B$14,0)))*MIN(DATOS!$C$50,6000)/(MAX(MIN(6,FLOOR(45/DATOS!$C$26,1),FLOOR((1*INDEX(TABLAS!$D$6:$D$14,MATCH("3/16 in",TABLAS!$B$6:$B$14,0)))*MIN(DATOS!$C$50,6000)/(BT70*DATOS!$C$26*MAX(ED70,0.001)),1)),1)*DATOS!$C$26*BT70)),"0.00")&amp;")",IF(AND(MIN(6,FLOOR(45/DATOS!$C$26,1),FLOOR((1*INDEX(TABLAS!$D$6:$D$14,MATCH("5/32 in",TABLAS!$B$6:$B$14,0)))*MIN(DATOS!$C$50,6000)/(BT70*DATOS!$C$26*MAX(ED70,0.001)),1))&gt;=1,((1*INDEX(TABLAS!$D$6:$D$14,MATCH("5/32 in",TABLAS!$B$6:$B$14,0)))*MIN(DATOS!$C$50,6000)/(MAX(MIN(6,FLOOR(45/DATOS!$C$26,1),FLOOR((1*INDEX(TABLAS!$D$6:$D$14,MATCH("5/32 in",TABLAS!$B$6:$B$14,0)))*MIN(DATOS!$C$50,6000)/(BT70*DATOS!$C$26*MAX(ED70,0.001)),1)),1)*DATOS!$C$26*BT70))&lt;=MIN(MAX(0.15*DATOS!$C$33*DATOS!$C$24,3),0.05*DATOS!$C$25/10*MIN(DATOS!$C$50,6000)/(MIN(6,FLOOR(45/DATOS!$C$26,1),FLOOR((1*INDEX(TABLAS!$D$6:$D$14,MATCH("5/32 in",TABLAS!$B$6:$B$14,0)))*MIN(DATOS!$C$50,6000)/(BT70*DATOS!$C$26*MAX(ED70,0.001)),1))*DATOS!$C$26))),"1 alambre de 5/32"" por junta cada "&amp;MIN(6,FLOOR(45/DATOS!$C$26,1),FLOOR((1*INDEX(TABLAS!$D$6:$D$14,MATCH("5/32 in",TABLAS!$B$6:$B$14,0)))*MIN(DATOS!$C$50,6000)/(BT70*DATOS!$C$26*MAX(ED70,0.001)),1))&amp;" hilada(s) (p_h·f_yh = "&amp;TEXT(((1*INDEX(TABLAS!$D$6:$D$14,MATCH("5/32 in",TABLAS!$B$6:$B$14,0)))*MIN(DATOS!$C$50,6000)/(MAX(MIN(6,FLOOR(45/DATOS!$C$26,1),FLOOR((1*INDEX(TABLAS!$D$6:$D$14,MATCH("5/32 in",TABLAS!$B$6:$B$14,0)))*MIN(DATOS!$C$50,6000)/(BT70*DATOS!$C$26*MAX(ED70,0.001)),1)),1)*DATOS!$C$26*BT70)),"0.00")&amp;")","ninguna combinación de 1 o 2 alambres por junta queda entre el mínimo y el máximo: revisa con malla (6.5.4)"))))))))</f>
        <v/>
      </c>
      <c r="EF70" s="43" t="str">
        <f>IF(BI70&lt;&gt;"SÍ","",IF(AI70="SÍ",N(AK70)*N(AL70)^3/12,0))</f>
        <v/>
      </c>
      <c r="EG70" s="48" t="str">
        <f>IF(BI70&lt;&gt;"SÍ","",IF(AND(AI70="SÍ",N(AM70)&gt;0),MIN(1,F70/AM70),0))</f>
        <v/>
      </c>
      <c r="EH70" s="47" t="str">
        <f>IF(BI70&lt;&gt;"SÍ","",IF(AI70="SÍ",BP70*1000/(BT70*F70*100)*BT70*(EG70^4-4*EG70^3+8*EG70),0))</f>
        <v/>
      </c>
      <c r="EI70" s="48" t="str">
        <f>IF(BI70&lt;&gt;"SÍ","",IF(AND(AI70="SÍ",EH70&gt;0),EH70/(EH70+5*N(AN70)*10),0))</f>
        <v/>
      </c>
      <c r="EJ70" s="44" t="str">
        <f>IF(BI70&lt;&gt;"SÍ","",IF(AND(AI70="SÍ",EI70&gt;0,EF70&gt;0),(DATOS!$C$43*BT70*(AM70*100)^3/(DATOS!$C$53*EF70*EI70))^0.25,0))</f>
        <v/>
      </c>
      <c r="EK70" s="44" t="str">
        <f>IF(BI70&lt;&gt;"SÍ","",IF(AI70&lt;&gt;"SÍ",0,IF(N(AM70)&lt;=F70,1,IF(MIN(1,N(AO70)/((AM70-F70)/2))&lt;=0.5,0.7+0.6*MIN(1,N(AO70)/((AM70-F70)/2)),1.5-MIN(1,N(AO70)/((AM70-F70)/2))))))</f>
        <v/>
      </c>
      <c r="EL70" s="44" t="str">
        <f>IF(BI70&lt;&gt;"SÍ","",IF(AI70&lt;&gt;"SÍ",0,MAX(1,IF(EG70&gt;=1,(1.6*EJ70-3.9),IF(EG70&lt;0.9,((3.2*EJ70-7.8)*EK70),((3.2*EJ70-7.8)*EK70)+((1.6*EJ70-3.9)-((3.2*EJ70-7.8)*EK70))*(EG70-0.9)/0.1)))))</f>
        <v/>
      </c>
      <c r="EM70" s="47" t="str">
        <f>IF(BI70&lt;&gt;"SÍ","",IF(AI70="SÍ",EL70*BP70*1000/(BT70*F70*100),0))</f>
        <v/>
      </c>
      <c r="EN70" s="47" t="str">
        <f>IF(BI70&lt;&gt;"SÍ","",IF(AND(AI70="SÍ",N(AL70)&gt;0),AM70*100/AL70,0))</f>
        <v/>
      </c>
      <c r="EO70" s="47" t="str">
        <f>IF(BI70&lt;&gt;"SÍ","",IF(AI70="SÍ",(1/15*DATOS!$C$53*N(AK70)/MAX((IF(ISNUMBER(AP70),AP70,BP70/DATOS!$C$90)*1000/(BT70*F70*100)*BT70*(EG70^4-4*EG70^3+8*EG70))+5*N(AN70)/DATOS!$C$90*10,0.001))^(1/3),0))</f>
        <v/>
      </c>
      <c r="EP70" s="45" t="str">
        <f>IF(BI70&lt;&gt;"SÍ","",IF(AI70&lt;&gt;"SÍ","—",IF(OR(N(AK70)&lt;=0,N(AL70)&lt;=0,N(AM70)&lt;=0),"REVISAR: faltan b, h o L_v de la viga",IF(AND(EM70&lt;=DATOS!$C$87*DATOS!$C$33,EN70&lt;=14,N(AL70)&gt;=25,EN70&lt;=EO70),IF(BS70/F70&lt;0.6,"PENDIENTE: H/L &lt; 0.6, falta el análisis de interacción muro–viga (4.1.18.2.1); f_CM es estimado","CUMPLE"),"NO CUMPLE: "&amp;IF(EM70&gt;DATOS!$C$87*DATOS!$C$33,"f_CM &gt; F_R·f'm ","")&amp;IF(EN70&gt;14,"L_v/h_v &gt; 14 ","")&amp;IF(N(AL70)&lt;25,"h_v &lt; 25 cm ","")&amp;IF(EN70&gt;EO70,"flecha (4.1.18.3)","")))))</f>
        <v/>
      </c>
      <c r="EQ70" s="44" t="str">
        <f>IF(BI70&lt;&gt;"SÍ","",MAX(0,F70*BS70-(N(K70)*N(M70)+N(P70)*N(R70)+N(U70)*N(W70)+N(Z70)*N(AB70))-CK70*DATOS!$C$59/100*BS70))</f>
        <v/>
      </c>
      <c r="ER70" s="48" t="str">
        <f>IF(BI70&lt;&gt;"SÍ","",CK70*DATOS!$C$59*DATOS!$C$60/10000*BS70)</f>
        <v/>
      </c>
      <c r="ES70" s="47" t="str">
        <f>IF(BI70&lt;&gt;"SÍ","",CK70*(DATOS!$C$61*(BS70+0.6)*INDEX(TABLAS!$E$6:$E$14,MATCH(DATOS!$C$62,TABLAS!$B$6:$B$14,0))+(2*ROUNDUP(CN70/DATOS!$C$65,0)+ROUNDUP(MAX(0,BS70*100-2*CN70)/DATOS!$C$64,0))*((2*(DATOS!$C$60+DATOS!$C$59-4*(DATOS!$C$66-INDEX(TABLAS!$C$6:$C$14,MATCH(DATOS!$C$63,TABLAS!$B$6:$B$14,0))))+15)/100)*INDEX(TABLAS!$E$6:$E$14,MATCH(DATOS!$C$63,TABLAS!$B$6:$B$14,0))))</f>
        <v/>
      </c>
      <c r="ET70" s="47" t="str">
        <f>IF(BI70&lt;&gt;"SÍ","",IF(OR(AE70="VARILLA EN JUNTAS",AE70="ESCALERILLA"),INT(BS70*100/MAX(DK70,1))*IF(ISNUMBER(AF70),AF70,2)*CB70*INDEX(TABLAS!$E$6:$E$14,MATCH(IF(AG70&lt;&gt;"",AG70,DATOS!$C$73),TABLAS!$B$6:$B$14,0)),IF(AE70="MALLA",IF(ISNUMBER(AF70),AF70,1)*CB70*BS70*INDEX(TABLAS!$E$19:$E$22,MATCH(IF(AG70&lt;&gt;"",AG70,DATOS!$C$74),TABLAS!$B$19:$B$22,0)),0)))</f>
        <v/>
      </c>
      <c r="EU70" s="45" t="str">
        <f>IF(BI70&lt;&gt;"SÍ","",""&amp;IF(BJ70="NO ESTÁ EN PIER_FORCES","sin fuerzas en PIER_FORCES; ","")&amp;IF(BV70&lt;&gt;"CUMPLE","vanos; ","")&amp;IF(LEFT(CH70,2)="NO","espesor o esbeltez; ","")&amp;IF(CQ70&gt;1,"compresión; ","")&amp;IF(CX70&gt;1,"flexión; ","")&amp;IF(CB70&lt;=0,"sin tramos de muro (todos son machones menores que L mín.: diséñalos como columnas o baja L mín.); ",IF(EC70&gt;1,"cortante; ",""))&amp;IF(OR(LEFT(EA70,2)="NO",LEFT(EA70,5)="FALTA"),"refuerzo horizontal; ","")&amp;IF(OR(LEFT(EP70,2)="NO",LEFT(EP70,7)="REVISAR"),"muro sobre viga; ","")&amp;IF(LEFT(DATOS!$C$81,2)="NO","castillo típico; ","")&amp;IF(LEFT(DATOS!$C$82,2)="NO","dala típica; ","")&amp;IF(AND(BT70&lt;&gt;DATOS!$C$58,DATOS!$C$60&lt;BT70),"castillo más angosto que el muro; ",""))</f>
        <v/>
      </c>
      <c r="EV70" s="45" t="str">
        <f>IF(BI70&lt;&gt;"SÍ","",""&amp;IF(LEFT(EP70,9)="PENDIENTE","análisis muro–viga (H/L &lt; 0.6); ","")&amp;IF(BR70&gt;50,"V_u casi todo por carga vertical; ","")&amp;IF(OR(LEFT(DATOS!$C$42,9)="PENDIENTE",LEFT(DATOS!$C$34,9)="PENDIENTE"),"v'm provisional; ","")&amp;IF(OR(LEFT(DATOS!$C$42,2)="NO",LEFT(DATOS!$C$34,2)="NO"),"f'm o v'm no válido; ",""))</f>
        <v/>
      </c>
      <c r="EW70" s="51" t="str">
        <f>IF(BI70&lt;&gt;"SÍ","",IF(EU70&lt;&gt;"","NO CUMPLE: "&amp;LEFT(EU70,LEN(EU70)-2),IF(EV70&lt;&gt;"","CUMPLE — PENDIENTE: "&amp;LEFT(EV70,LEN(EV70)-2),"CUMPLE")))</f>
        <v/>
      </c>
      <c r="EX70" s="52" t="n"/>
    </row>
  </sheetData>
  <mergeCells count="38">
    <mergeCell ref="BI6:BR6"/>
    <mergeCell ref="AQ5:AW5"/>
    <mergeCell ref="BS6:CH6"/>
    <mergeCell ref="EF6:EP6"/>
    <mergeCell ref="BI5:BR5"/>
    <mergeCell ref="CO6:CQ6"/>
    <mergeCell ref="AC5:AH5"/>
    <mergeCell ref="I6:AB6"/>
    <mergeCell ref="B6:H6"/>
    <mergeCell ref="EU5:EX5"/>
    <mergeCell ref="AX6:BH6"/>
    <mergeCell ref="B9:EX9"/>
    <mergeCell ref="B5:H5"/>
    <mergeCell ref="AQ6:AW6"/>
    <mergeCell ref="DJ5:EA5"/>
    <mergeCell ref="EU6:EX6"/>
    <mergeCell ref="AI6:AP6"/>
    <mergeCell ref="EQ5:ET5"/>
    <mergeCell ref="AC6:AH6"/>
    <mergeCell ref="CY6:DI6"/>
    <mergeCell ref="B3:EX3"/>
    <mergeCell ref="CR5:CX5"/>
    <mergeCell ref="CY5:DI5"/>
    <mergeCell ref="CI5:CN5"/>
    <mergeCell ref="BS5:CH5"/>
    <mergeCell ref="CO5:CQ5"/>
    <mergeCell ref="DJ6:EA6"/>
    <mergeCell ref="I5:AB5"/>
    <mergeCell ref="EF5:EP5"/>
    <mergeCell ref="EQ6:ET6"/>
    <mergeCell ref="B2:EX2"/>
    <mergeCell ref="EB6:EE6"/>
    <mergeCell ref="CI6:CN6"/>
    <mergeCell ref="EB5:EE5"/>
    <mergeCell ref="B1:EX1"/>
    <mergeCell ref="AI5:AP5"/>
    <mergeCell ref="AX5:BH5"/>
    <mergeCell ref="CR6:CX6"/>
  </mergeCells>
  <conditionalFormatting sqref="EW11:EW70">
    <cfRule type="expression" priority="1" dxfId="0" stopIfTrue="1">
      <formula>OR(ISNUMBER(FIND("NO CUMPLE",EW11)),ISNUMBER(FIND("REVISAR",EW11)),ISNUMBER(FIND("FALTA",EW11)),ISNUMBER(FIND("NO ALCANZA",EW11)),ISNUMBER(FIND("FUERA",EW11)),ISNUMBER(FIND("NO CUENTA",EW11)),ISNUMBER(FIND("NO ESTÁ",EW11)),ISNUMBER(FIND("NO VÁLIDO",EW11)))</formula>
    </cfRule>
    <cfRule type="expression" priority="2" dxfId="1" stopIfTrue="1">
      <formula>OR(ISNUMBER(FIND("PENDIENTE",EW11)),ISNUMBER(FIND("PROVISIONAL",EW11)),ISNUMBER(FIND("ESTIMADO",EW11)),ISNUMBER(FIND("VER ",EW11)),AND(ISNUMBER(FIND("REQUIERE",EW11)),NOT(ISNUMBER(FIND("NO REQUIERE",EW11)))),ISNUMBER(FIND("AVISO",EW11)))</formula>
    </cfRule>
    <cfRule type="expression" priority="3" dxfId="2" stopIfTrue="1">
      <formula>OR(ISNUMBER(FIND("CUMPLE",EW11)),ISNUMBER(FIND("VÁLIDO",EW11)),ISNUMBER(FIND("NO REQUIERE",EW11)),ISNUMBER(FIND("YA LO TIENE",EW11)))</formula>
    </cfRule>
  </conditionalFormatting>
  <conditionalFormatting sqref="EU11:EU70">
    <cfRule type="expression" priority="4" dxfId="0" stopIfTrue="1">
      <formula>OR(ISNUMBER(FIND("NO CUMPLE",EU11)),ISNUMBER(FIND("REVISAR",EU11)),ISNUMBER(FIND("FALTA",EU11)),ISNUMBER(FIND("NO ALCANZA",EU11)),ISNUMBER(FIND("FUERA",EU11)),ISNUMBER(FIND("NO CUENTA",EU11)),ISNUMBER(FIND("NO ESTÁ",EU11)),ISNUMBER(FIND("NO VÁLIDO",EU11)))</formula>
    </cfRule>
    <cfRule type="expression" priority="5" dxfId="1" stopIfTrue="1">
      <formula>OR(ISNUMBER(FIND("PENDIENTE",EU11)),ISNUMBER(FIND("PROVISIONAL",EU11)),ISNUMBER(FIND("ESTIMADO",EU11)),ISNUMBER(FIND("VER ",EU11)),AND(ISNUMBER(FIND("REQUIERE",EU11)),NOT(ISNUMBER(FIND("NO REQUIERE",EU11)))),ISNUMBER(FIND("AVISO",EU11)))</formula>
    </cfRule>
    <cfRule type="expression" priority="6" dxfId="2" stopIfTrue="1">
      <formula>OR(ISNUMBER(FIND("CUMPLE",EU11)),ISNUMBER(FIND("VÁLIDO",EU11)),ISNUMBER(FIND("NO REQUIERE",EU11)),ISNUMBER(FIND("YA LO TIENE",EU11)))</formula>
    </cfRule>
  </conditionalFormatting>
  <conditionalFormatting sqref="EV11:EV70">
    <cfRule type="expression" priority="7" dxfId="0" stopIfTrue="1">
      <formula>OR(ISNUMBER(FIND("NO CUMPLE",EV11)),ISNUMBER(FIND("REVISAR",EV11)),ISNUMBER(FIND("FALTA",EV11)),ISNUMBER(FIND("NO ALCANZA",EV11)),ISNUMBER(FIND("FUERA",EV11)),ISNUMBER(FIND("NO CUENTA",EV11)),ISNUMBER(FIND("NO ESTÁ",EV11)),ISNUMBER(FIND("NO VÁLIDO",EV11)))</formula>
    </cfRule>
    <cfRule type="expression" priority="8" dxfId="1" stopIfTrue="1">
      <formula>OR(ISNUMBER(FIND("PENDIENTE",EV11)),ISNUMBER(FIND("PROVISIONAL",EV11)),ISNUMBER(FIND("ESTIMADO",EV11)),ISNUMBER(FIND("VER ",EV11)),AND(ISNUMBER(FIND("REQUIERE",EV11)),NOT(ISNUMBER(FIND("NO REQUIERE",EV11)))),ISNUMBER(FIND("AVISO",EV11)))</formula>
    </cfRule>
    <cfRule type="expression" priority="9" dxfId="2" stopIfTrue="1">
      <formula>OR(ISNUMBER(FIND("CUMPLE",EV11)),ISNUMBER(FIND("VÁLIDO",EV11)),ISNUMBER(FIND("NO REQUIERE",EV11)),ISNUMBER(FIND("YA LO TIENE",EV11)))</formula>
    </cfRule>
  </conditionalFormatting>
  <conditionalFormatting sqref="EA11:EA70">
    <cfRule type="expression" priority="10" dxfId="0" stopIfTrue="1">
      <formula>OR(ISNUMBER(FIND("NO CUMPLE",EA11)),ISNUMBER(FIND("REVISAR",EA11)),ISNUMBER(FIND("FALTA",EA11)),ISNUMBER(FIND("NO ALCANZA",EA11)),ISNUMBER(FIND("FUERA",EA11)),ISNUMBER(FIND("NO CUENTA",EA11)),ISNUMBER(FIND("NO ESTÁ",EA11)),ISNUMBER(FIND("NO VÁLIDO",EA11)))</formula>
    </cfRule>
    <cfRule type="expression" priority="11" dxfId="1" stopIfTrue="1">
      <formula>OR(ISNUMBER(FIND("PENDIENTE",EA11)),ISNUMBER(FIND("PROVISIONAL",EA11)),ISNUMBER(FIND("ESTIMADO",EA11)),ISNUMBER(FIND("VER ",EA11)),AND(ISNUMBER(FIND("REQUIERE",EA11)),NOT(ISNUMBER(FIND("NO REQUIERE",EA11)))),ISNUMBER(FIND("AVISO",EA11)))</formula>
    </cfRule>
    <cfRule type="expression" priority="12" dxfId="2" stopIfTrue="1">
      <formula>OR(ISNUMBER(FIND("CUMPLE",EA11)),ISNUMBER(FIND("VÁLIDO",EA11)),ISNUMBER(FIND("NO REQUIERE",EA11)),ISNUMBER(FIND("YA LO TIENE",EA11)))</formula>
    </cfRule>
  </conditionalFormatting>
  <conditionalFormatting sqref="EE11:EE70">
    <cfRule type="expression" priority="13" dxfId="0" stopIfTrue="1">
      <formula>OR(ISNUMBER(FIND("NO CUMPLE",EE11)),ISNUMBER(FIND("REVISAR",EE11)),ISNUMBER(FIND("FALTA",EE11)),ISNUMBER(FIND("NO ALCANZA",EE11)),ISNUMBER(FIND("FUERA",EE11)),ISNUMBER(FIND("NO CUENTA",EE11)),ISNUMBER(FIND("NO ESTÁ",EE11)),ISNUMBER(FIND("NO VÁLIDO",EE11)))</formula>
    </cfRule>
    <cfRule type="expression" priority="14" dxfId="1" stopIfTrue="1">
      <formula>OR(ISNUMBER(FIND("PENDIENTE",EE11)),ISNUMBER(FIND("PROVISIONAL",EE11)),ISNUMBER(FIND("ESTIMADO",EE11)),ISNUMBER(FIND("VER ",EE11)),AND(ISNUMBER(FIND("REQUIERE",EE11)),NOT(ISNUMBER(FIND("NO REQUIERE",EE11)))),ISNUMBER(FIND("AVISO",EE11)))</formula>
    </cfRule>
    <cfRule type="expression" priority="15" dxfId="2" stopIfTrue="1">
      <formula>OR(ISNUMBER(FIND("CUMPLE",EE11)),ISNUMBER(FIND("VÁLIDO",EE11)),ISNUMBER(FIND("NO REQUIERE",EE11)),ISNUMBER(FIND("YA LO TIENE",EE11)))</formula>
    </cfRule>
  </conditionalFormatting>
  <conditionalFormatting sqref="EP11:EP70">
    <cfRule type="expression" priority="16" dxfId="0" stopIfTrue="1">
      <formula>OR(ISNUMBER(FIND("NO CUMPLE",EP11)),ISNUMBER(FIND("REVISAR",EP11)),ISNUMBER(FIND("FALTA",EP11)),ISNUMBER(FIND("NO ALCANZA",EP11)),ISNUMBER(FIND("FUERA",EP11)),ISNUMBER(FIND("NO CUENTA",EP11)),ISNUMBER(FIND("NO ESTÁ",EP11)),ISNUMBER(FIND("NO VÁLIDO",EP11)))</formula>
    </cfRule>
    <cfRule type="expression" priority="17" dxfId="1" stopIfTrue="1">
      <formula>OR(ISNUMBER(FIND("PENDIENTE",EP11)),ISNUMBER(FIND("PROVISIONAL",EP11)),ISNUMBER(FIND("ESTIMADO",EP11)),ISNUMBER(FIND("VER ",EP11)),AND(ISNUMBER(FIND("REQUIERE",EP11)),NOT(ISNUMBER(FIND("NO REQUIERE",EP11)))),ISNUMBER(FIND("AVISO",EP11)))</formula>
    </cfRule>
    <cfRule type="expression" priority="18" dxfId="2" stopIfTrue="1">
      <formula>OR(ISNUMBER(FIND("CUMPLE",EP11)),ISNUMBER(FIND("VÁLIDO",EP11)),ISNUMBER(FIND("NO REQUIERE",EP11)),ISNUMBER(FIND("YA LO TIENE",EP11)))</formula>
    </cfRule>
  </conditionalFormatting>
  <conditionalFormatting sqref="BV11:BV70">
    <cfRule type="expression" priority="19" dxfId="0" stopIfTrue="1">
      <formula>OR(ISNUMBER(FIND("NO CUMPLE",BV11)),ISNUMBER(FIND("REVISAR",BV11)),ISNUMBER(FIND("FALTA",BV11)),ISNUMBER(FIND("NO ALCANZA",BV11)),ISNUMBER(FIND("FUERA",BV11)),ISNUMBER(FIND("NO CUENTA",BV11)),ISNUMBER(FIND("NO ESTÁ",BV11)),ISNUMBER(FIND("NO VÁLIDO",BV11)))</formula>
    </cfRule>
    <cfRule type="expression" priority="20" dxfId="1" stopIfTrue="1">
      <formula>OR(ISNUMBER(FIND("PENDIENTE",BV11)),ISNUMBER(FIND("PROVISIONAL",BV11)),ISNUMBER(FIND("ESTIMADO",BV11)),ISNUMBER(FIND("VER ",BV11)),AND(ISNUMBER(FIND("REQUIERE",BV11)),NOT(ISNUMBER(FIND("NO REQUIERE",BV11)))),ISNUMBER(FIND("AVISO",BV11)))</formula>
    </cfRule>
    <cfRule type="expression" priority="21" dxfId="2" stopIfTrue="1">
      <formula>OR(ISNUMBER(FIND("CUMPLE",BV11)),ISNUMBER(FIND("VÁLIDO",BV11)),ISNUMBER(FIND("NO REQUIERE",BV11)),ISNUMBER(FIND("YA LO TIENE",BV11)))</formula>
    </cfRule>
  </conditionalFormatting>
  <conditionalFormatting sqref="CH11:CH70">
    <cfRule type="expression" priority="22" dxfId="0" stopIfTrue="1">
      <formula>OR(ISNUMBER(FIND("NO CUMPLE",CH11)),ISNUMBER(FIND("REVISAR",CH11)),ISNUMBER(FIND("FALTA",CH11)),ISNUMBER(FIND("NO ALCANZA",CH11)),ISNUMBER(FIND("FUERA",CH11)),ISNUMBER(FIND("NO CUENTA",CH11)),ISNUMBER(FIND("NO ESTÁ",CH11)),ISNUMBER(FIND("NO VÁLIDO",CH11)))</formula>
    </cfRule>
    <cfRule type="expression" priority="23" dxfId="1" stopIfTrue="1">
      <formula>OR(ISNUMBER(FIND("PENDIENTE",CH11)),ISNUMBER(FIND("PROVISIONAL",CH11)),ISNUMBER(FIND("ESTIMADO",CH11)),ISNUMBER(FIND("VER ",CH11)),AND(ISNUMBER(FIND("REQUIERE",CH11)),NOT(ISNUMBER(FIND("NO REQUIERE",CH11)))),ISNUMBER(FIND("AVISO",CH11)))</formula>
    </cfRule>
    <cfRule type="expression" priority="24" dxfId="2" stopIfTrue="1">
      <formula>OR(ISNUMBER(FIND("CUMPLE",CH11)),ISNUMBER(FIND("VÁLIDO",CH11)),ISNUMBER(FIND("NO REQUIERE",CH11)),ISNUMBER(FIND("YA LO TIENE",CH11)))</formula>
    </cfRule>
  </conditionalFormatting>
  <conditionalFormatting sqref="BJ11:BJ70">
    <cfRule type="expression" priority="25" dxfId="0" stopIfTrue="1">
      <formula>OR(ISNUMBER(FIND("NO CUMPLE",BJ11)),ISNUMBER(FIND("REVISAR",BJ11)),ISNUMBER(FIND("FALTA",BJ11)),ISNUMBER(FIND("NO ALCANZA",BJ11)),ISNUMBER(FIND("FUERA",BJ11)),ISNUMBER(FIND("NO CUENTA",BJ11)),ISNUMBER(FIND("NO ESTÁ",BJ11)),ISNUMBER(FIND("NO VÁLIDO",BJ11)))</formula>
    </cfRule>
    <cfRule type="expression" priority="26" dxfId="1" stopIfTrue="1">
      <formula>OR(ISNUMBER(FIND("PENDIENTE",BJ11)),ISNUMBER(FIND("PROVISIONAL",BJ11)),ISNUMBER(FIND("ESTIMADO",BJ11)),ISNUMBER(FIND("VER ",BJ11)),AND(ISNUMBER(FIND("REQUIERE",BJ11)),NOT(ISNUMBER(FIND("NO REQUIERE",BJ11)))),ISNUMBER(FIND("AVISO",BJ11)))</formula>
    </cfRule>
    <cfRule type="expression" priority="27" dxfId="2" stopIfTrue="1">
      <formula>OR(ISNUMBER(FIND("CUMPLE",BJ11)),ISNUMBER(FIND("VÁLIDO",BJ11)),ISNUMBER(FIND("NO REQUIERE",BJ11)),ISNUMBER(FIND("YA LO TIENE",BJ11)))</formula>
    </cfRule>
  </conditionalFormatting>
  <conditionalFormatting sqref="BI11:BI70">
    <cfRule type="expression" priority="28" dxfId="0" stopIfTrue="1">
      <formula>OR(ISNUMBER(FIND("NO CUMPLE",BI11)),ISNUMBER(FIND("REVISAR",BI11)),ISNUMBER(FIND("FALTA",BI11)),ISNUMBER(FIND("NO ALCANZA",BI11)),ISNUMBER(FIND("FUERA",BI11)),ISNUMBER(FIND("NO CUENTA",BI11)),ISNUMBER(FIND("NO ESTÁ",BI11)),ISNUMBER(FIND("NO VÁLIDO",BI11)))</formula>
    </cfRule>
    <cfRule type="expression" priority="29" dxfId="1" stopIfTrue="1">
      <formula>OR(ISNUMBER(FIND("PENDIENTE",BI11)),ISNUMBER(FIND("PROVISIONAL",BI11)),ISNUMBER(FIND("ESTIMADO",BI11)),ISNUMBER(FIND("VER ",BI11)),AND(ISNUMBER(FIND("REQUIERE",BI11)),NOT(ISNUMBER(FIND("NO REQUIERE",BI11)))),ISNUMBER(FIND("AVISO",BI11)))</formula>
    </cfRule>
    <cfRule type="expression" priority="30" dxfId="2" stopIfTrue="1">
      <formula>OR(ISNUMBER(FIND("CUMPLE",BI11)),ISNUMBER(FIND("VÁLIDO",BI11)),ISNUMBER(FIND("NO REQUIERE",BI11)),ISNUMBER(FIND("YA LO TIENE",BI11)))</formula>
    </cfRule>
  </conditionalFormatting>
  <conditionalFormatting sqref="EC11:EC70">
    <cfRule type="cellIs" priority="31" operator="greaterThan" dxfId="3">
      <formula>1</formula>
    </cfRule>
  </conditionalFormatting>
  <conditionalFormatting sqref="CX11:CX70">
    <cfRule type="cellIs" priority="32" operator="greaterThan" dxfId="3">
      <formula>1</formula>
    </cfRule>
  </conditionalFormatting>
  <conditionalFormatting sqref="CQ11:CQ70">
    <cfRule type="cellIs" priority="33" operator="greaterThan" dxfId="3">
      <formula>1</formula>
    </cfRule>
  </conditionalFormatting>
  <dataValidations count="9">
    <dataValidation sqref="D11:D70" showDropDown="0" showInputMessage="0" showErrorMessage="1" allowBlank="1" errorTitle="Valor no válido" error="Escoge un valor de la lista" type="list">
      <formula1>LST_DIR</formula1>
    </dataValidation>
    <dataValidation sqref="E11:E70" showDropDown="0" showInputMessage="0" showErrorMessage="1" allowBlank="1" errorTitle="Valor no válido" error="Escoge un valor de la lista" type="list">
      <formula1>LST_POS</formula1>
    </dataValidation>
    <dataValidation sqref="AE11:AE70" showDropDown="0" showInputMessage="0" showErrorMessage="1" allowBlank="1" errorTitle="Valor no válido" error="Escoge un valor de la lista" type="list">
      <formula1>LST_RH</formula1>
    </dataValidation>
    <dataValidation sqref="AI11:AI70" showDropDown="0" showInputMessage="0" showErrorMessage="1" allowBlank="1" errorTitle="Valor no válido" error="Escoge un valor de la lista" type="list">
      <formula1>LST_SINO</formula1>
    </dataValidation>
    <dataValidation sqref="I11:I70" showDropDown="0" showInputMessage="0" showErrorMessage="1" allowBlank="1" errorTitle="Valor no válido" error="Escoge un valor de la lista" type="list">
      <formula1>LST_VANO</formula1>
    </dataValidation>
    <dataValidation sqref="N11:N70" showDropDown="0" showInputMessage="0" showErrorMessage="1" allowBlank="1" errorTitle="Valor no válido" error="Escoge un valor de la lista" type="list">
      <formula1>LST_VANO</formula1>
    </dataValidation>
    <dataValidation sqref="S11:S70" showDropDown="0" showInputMessage="0" showErrorMessage="1" allowBlank="1" errorTitle="Valor no válido" error="Escoge un valor de la lista" type="list">
      <formula1>LST_VANO</formula1>
    </dataValidation>
    <dataValidation sqref="X11:X70" showDropDown="0" showInputMessage="0" showErrorMessage="1" allowBlank="1" errorTitle="Valor no válido" error="Escoge un valor de la lista" type="list">
      <formula1>LST_VANO</formula1>
    </dataValidation>
    <dataValidation sqref="AD11:AD70" showDropDown="0" showInputMessage="0" showErrorMessage="1" allowBlank="1" errorTitle="Valor no válido" error="Escoge un valor de la lista" type="list">
      <formula1>TABLAS!$B$6:$B$14</formula1>
    </dataValidation>
  </dataValidations>
  <printOptions horizontalCentered="1"/>
  <pageMargins left="0.4" right="0.4" top="0.5" bottom="0.5" header="0.5" footer="0.5"/>
  <pageSetup orientation="landscape" paperSize="3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9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.78" customWidth="1" min="1" max="1"/>
    <col width="36" customWidth="1" min="2" max="2"/>
    <col width="46" customWidth="1" min="3" max="3"/>
    <col width="7" customWidth="1" min="4" max="4"/>
    <col width="36" customWidth="1" min="5" max="5"/>
    <col width="28" customWidth="1" min="6" max="6"/>
  </cols>
  <sheetData>
    <row r="1" ht="26" customHeight="1">
      <c r="B1" s="1" t="inlineStr">
        <is>
          <t>DETALLE — MEMORIA DE CÁLCULO PASO A PASO DEL MURO ESCOGIDO</t>
        </is>
      </c>
    </row>
    <row r="2" ht="16" customHeight="1">
      <c r="B2" s="4" t="inlineStr">
        <is>
          <t>Escoge el muro en la celda amarilla. CROQUIS dibuja este mismo muro.</t>
        </is>
      </c>
    </row>
    <row r="3" ht="6" customHeight="1"/>
    <row r="4" ht="21" customHeight="1">
      <c r="B4" s="2" t="inlineStr">
        <is>
          <t>0. MURO</t>
        </is>
      </c>
    </row>
    <row r="5" ht="30" customHeight="1">
      <c r="B5" s="5" t="inlineStr">
        <is>
          <t>Concepto</t>
        </is>
      </c>
      <c r="C5" s="5" t="inlineStr">
        <is>
          <t>Valor</t>
        </is>
      </c>
      <c r="D5" s="5" t="inlineStr">
        <is>
          <t>Unidad</t>
        </is>
      </c>
      <c r="E5" s="5" t="inlineStr">
        <is>
          <t>Cómo se calcula / de dónde sale</t>
        </is>
      </c>
      <c r="F5" s="5" t="inlineStr">
        <is>
          <t>Referencia</t>
        </is>
      </c>
    </row>
    <row r="6" ht="19.5" customHeight="1">
      <c r="B6" s="6" t="inlineStr">
        <is>
          <t>Muro que se revisa y se dibuja</t>
        </is>
      </c>
      <c r="C6" s="7" t="inlineStr">
        <is>
          <t>M-2</t>
        </is>
      </c>
      <c r="D6" s="8" t="inlineStr">
        <is>
          <t>—</t>
        </is>
      </c>
      <c r="E6" s="9" t="inlineStr">
        <is>
          <t>SELECTOR. La lista son los muros capturados en MUROS.</t>
        </is>
      </c>
      <c r="F6" s="10" t="inlineStr">
        <is>
          <t>MUROS</t>
        </is>
      </c>
    </row>
    <row r="7" ht="19.5" customHeight="1">
      <c r="B7" s="6" t="inlineStr">
        <is>
          <t>Renglón en MUROS</t>
        </is>
      </c>
      <c r="C7" s="20">
        <f>IFERROR(MATCH(DETALLE!$C$6,MUROS!$B$11:$B$70,0),0)</f>
        <v>2</v>
      </c>
      <c r="D7" s="8" t="inlineStr">
        <is>
          <t>—</t>
        </is>
      </c>
      <c r="E7" s="9" t="inlineStr">
        <is>
          <t>Auxiliar. 0 = no está en MUROS.</t>
        </is>
      </c>
      <c r="F7" s="10" t="inlineStr">
        <is>
          <t>—</t>
        </is>
      </c>
    </row>
    <row r="8" ht="19.5" customHeight="1">
      <c r="B8" s="6" t="inlineStr">
        <is>
          <t>¿Datos completos?</t>
        </is>
      </c>
      <c r="C8" s="13" t="str">
        <f>IF(DETALLE!$C$7=0,"NO",INDEX(MUROS!$BI$11:$BI$70,DETALLE!$C$7))</f>
        <v>SÍ</v>
      </c>
      <c r="D8" s="8" t="inlineStr">
        <is>
          <t>—</t>
        </is>
      </c>
      <c r="E8" s="9" t="inlineStr">
        <is>
          <t>Story, dirección y L capturados.</t>
        </is>
      </c>
      <c r="F8" s="10" t="inlineStr">
        <is>
          <t>MUROS</t>
        </is>
      </c>
    </row>
    <row r="9" ht="30" customHeight="1">
      <c r="B9" s="6" t="inlineStr">
        <is>
          <t>ESTADO DEL MURO</t>
        </is>
      </c>
      <c r="C9" s="12" t="str">
        <f>IF(DETALLE!$C$8&lt;&gt;"SÍ","— (escoge un muro con datos completos)",INDEX(MUROS!$EW$11:$EW$70,DETALLE!$C$7))</f>
        <v>NO CUMPLE: cortante</v>
      </c>
      <c r="D9" s="8" t="inlineStr">
        <is>
          <t>—</t>
        </is>
      </c>
      <c r="E9" s="9" t="inlineStr">
        <is>
          <t>Junta todas las revisiones (sección 10).</t>
        </is>
      </c>
      <c r="F9" s="10" t="inlineStr">
        <is>
          <t>MUROS</t>
        </is>
      </c>
    </row>
    <row r="10" ht="6" customHeight="1"/>
    <row r="11" ht="21" customHeight="1">
      <c r="B11" s="2" t="inlineStr">
        <is>
          <t>1. DATOS DEL MURO</t>
        </is>
      </c>
    </row>
    <row r="12" ht="30" customHeight="1">
      <c r="B12" s="5" t="inlineStr">
        <is>
          <t>Concepto</t>
        </is>
      </c>
      <c r="C12" s="5" t="inlineStr">
        <is>
          <t>Valor</t>
        </is>
      </c>
      <c r="D12" s="5" t="inlineStr">
        <is>
          <t>Unidad</t>
        </is>
      </c>
      <c r="E12" s="5" t="inlineStr">
        <is>
          <t>Cómo se calcula / de dónde sale</t>
        </is>
      </c>
      <c r="F12" s="5" t="inlineStr">
        <is>
          <t>Referencia</t>
        </is>
      </c>
    </row>
    <row r="13" ht="30" customHeight="1">
      <c r="B13" s="6" t="inlineStr">
        <is>
          <t>Story de ETABS / dirección / posición</t>
        </is>
      </c>
      <c r="C13" s="13" t="str">
        <f>INDEX(MUROS!$C$11:$C$70,DETALLE!$C$7)&amp;" · "&amp;INDEX(MUROS!$D$11:$D$70,DETALLE!$C$7)&amp;" · "&amp;INDEX(MUROS!$E$11:$E$70,DETALLE!$C$7)</f>
        <v>N1 · Y · EXTREMO</v>
      </c>
      <c r="D13" s="8" t="inlineStr">
        <is>
          <t>—</t>
        </is>
      </c>
      <c r="E13" s="9" t="inlineStr">
        <is>
          <t>Capturados en MUROS.</t>
        </is>
      </c>
      <c r="F13" s="10" t="inlineStr">
        <is>
          <t>MUROS</t>
        </is>
      </c>
    </row>
    <row r="14" ht="19.5" customHeight="1">
      <c r="B14" s="6" t="inlineStr">
        <is>
          <t>L — longitud total</t>
        </is>
      </c>
      <c r="C14" s="18">
        <f>INDEX(MUROS!$F$11:$F$70,DETALLE!$C$7)</f>
        <v>5</v>
      </c>
      <c r="D14" s="8" t="inlineStr">
        <is>
          <t>m</t>
        </is>
      </c>
      <c r="E14" s="9" t="inlineStr">
        <is>
          <t>De extremo a extremo, con los castillos.</t>
        </is>
      </c>
      <c r="F14" s="10" t="inlineStr">
        <is>
          <t>NTC-M 6.5.2.1, p. 67</t>
        </is>
      </c>
    </row>
    <row r="15" ht="19.5" customHeight="1">
      <c r="B15" s="6" t="inlineStr">
        <is>
          <t>H — altura libre</t>
        </is>
      </c>
      <c r="C15" s="18">
        <f>INDEX(MUROS!$BS$11:$BS$70,DETALLE!$C$7)</f>
        <v>2.5</v>
      </c>
      <c r="D15" s="8" t="inlineStr">
        <is>
          <t>m</t>
        </is>
      </c>
      <c r="E15" s="9" t="inlineStr">
        <is>
          <t>Entre losas. Vacío en MUROS = la de DATOS.</t>
        </is>
      </c>
      <c r="F15" s="10" t="inlineStr">
        <is>
          <t>NTC-M 6.1.3, p. 60</t>
        </is>
      </c>
    </row>
    <row r="16" ht="19.5" customHeight="1">
      <c r="B16" s="6" t="inlineStr">
        <is>
          <t>t — espesor de la mampostería</t>
        </is>
      </c>
      <c r="C16" s="16">
        <f>INDEX(MUROS!$BT$11:$BT$70,DETALLE!$C$7)</f>
        <v>15</v>
      </c>
      <c r="D16" s="8" t="inlineStr">
        <is>
          <t>cm</t>
        </is>
      </c>
      <c r="E16" s="9" t="inlineStr">
        <is>
          <t>Vacío en MUROS = el de DATOS.</t>
        </is>
      </c>
      <c r="F16" s="10" t="inlineStr">
        <is>
          <t>NTC-M 6.1.3, p. 60</t>
        </is>
      </c>
    </row>
    <row r="17" ht="30" customHeight="1">
      <c r="B17" s="6" t="inlineStr">
        <is>
          <t>Vanos (ancho × alto)</t>
        </is>
      </c>
      <c r="C17" s="13" t="str">
        <f>IF(INDEX(MUROS!$BU$11:$BU$70,DETALLE!$C$7)=0,"Sin vanos",IF(N(INDEX(MUROS!$K$11:$K$70,DETALLE!$C$7))&gt;0,INDEX(MUROS!$I$11:$I$70,DETALLE!$C$7)&amp;" en x = "&amp;TEXT(INDEX(MUROS!$J$11:$J$70,DETALLE!$C$7),"0.00")&amp;": "&amp;TEXT(INDEX(MUROS!$K$11:$K$70,DETALLE!$C$7),"0.00")&amp;" × "&amp;TEXT(INDEX(MUROS!$M$11:$M$70,DETALLE!$C$7),"0.00")&amp;" m"&amp;IF(N(INDEX(MUROS!$L$11:$L$70,DETALLE!$C$7))&gt;0," sobre antepecho de "&amp;TEXT(INDEX(MUROS!$L$11:$L$70,DETALLE!$C$7),"0.00"),"")&amp;"; ","")&amp;IF(N(INDEX(MUROS!$P$11:$P$70,DETALLE!$C$7))&gt;0,INDEX(MUROS!$N$11:$N$70,DETALLE!$C$7)&amp;" en x = "&amp;TEXT(INDEX(MUROS!$O$11:$O$70,DETALLE!$C$7),"0.00")&amp;": "&amp;TEXT(INDEX(MUROS!$P$11:$P$70,DETALLE!$C$7),"0.00")&amp;" × "&amp;TEXT(INDEX(MUROS!$R$11:$R$70,DETALLE!$C$7),"0.00")&amp;" m"&amp;IF(N(INDEX(MUROS!$Q$11:$Q$70,DETALLE!$C$7))&gt;0," sobre antepecho de "&amp;TEXT(INDEX(MUROS!$Q$11:$Q$70,DETALLE!$C$7),"0.00"),"")&amp;"; ","")&amp;IF(N(INDEX(MUROS!$U$11:$U$70,DETALLE!$C$7))&gt;0,INDEX(MUROS!$S$11:$S$70,DETALLE!$C$7)&amp;" en x = "&amp;TEXT(INDEX(MUROS!$T$11:$T$70,DETALLE!$C$7),"0.00")&amp;": "&amp;TEXT(INDEX(MUROS!$U$11:$U$70,DETALLE!$C$7),"0.00")&amp;" × "&amp;TEXT(INDEX(MUROS!$W$11:$W$70,DETALLE!$C$7),"0.00")&amp;" m"&amp;IF(N(INDEX(MUROS!$V$11:$V$70,DETALLE!$C$7))&gt;0," sobre antepecho de "&amp;TEXT(INDEX(MUROS!$V$11:$V$70,DETALLE!$C$7),"0.00"),"")&amp;"; ","")&amp;IF(N(INDEX(MUROS!$Z$11:$Z$70,DETALLE!$C$7))&gt;0,INDEX(MUROS!$X$11:$X$70,DETALLE!$C$7)&amp;" en x = "&amp;TEXT(INDEX(MUROS!$Y$11:$Y$70,DETALLE!$C$7),"0.00")&amp;": "&amp;TEXT(INDEX(MUROS!$Z$11:$Z$70,DETALLE!$C$7),"0.00")&amp;" × "&amp;TEXT(INDEX(MUROS!$AB$11:$AB$70,DETALLE!$C$7),"0.00")&amp;" m"&amp;IF(N(INDEX(MUROS!$AA$11:$AA$70,DETALLE!$C$7))&gt;0," sobre antepecho de "&amp;TEXT(INDEX(MUROS!$AA$11:$AA$70,DETALLE!$C$7),"0.00"),"")&amp;"; ",""))</f>
        <v>PUERTA en x = 0.40: 0.90 × 2.10 m; VENTANA en x = 2.30: 1.50 × 1.20 m sobre antepecho de 0.90; </v>
      </c>
      <c r="D17" s="8" t="inlineStr">
        <is>
          <t>—</t>
        </is>
      </c>
      <c r="E17" s="9" t="inlineStr">
        <is>
          <t>Con castillos a los lados</t>
        </is>
      </c>
      <c r="F17" s="10" t="inlineStr">
        <is>
          <t>NTC-M 6.2.5.1, p. 64</t>
        </is>
      </c>
    </row>
    <row r="18" ht="30" customHeight="1">
      <c r="B18" s="6" t="inlineStr">
        <is>
          <t>Vanos bien capturados</t>
        </is>
      </c>
      <c r="C18" s="13" t="str">
        <f>INDEX(MUROS!$BV$11:$BV$70,DETALLE!$C$7)</f>
        <v>CUMPLE</v>
      </c>
      <c r="D18" s="8" t="inlineStr">
        <is>
          <t>—</t>
        </is>
      </c>
      <c r="E18" s="9" t="inlineStr">
        <is>
          <t>Orden, que quepan en L y en H, tipo PUERTA o VENTANA.</t>
        </is>
      </c>
      <c r="F18" s="10" t="inlineStr">
        <is>
          <t>MUROS</t>
        </is>
      </c>
    </row>
    <row r="19" ht="30" customHeight="1">
      <c r="B19" s="6" t="inlineStr">
        <is>
          <t>Refuerzo horizontal</t>
        </is>
      </c>
      <c r="C19" s="13" t="str">
        <f>IF(OR(INDEX(MUROS!$AE$11:$AE$70,DETALLE!$C$7)="",INDEX(MUROS!$AE$11:$AE$70,DETALLE!$C$7)="NINGUNO"),"NINGUNO",INDEX(MUROS!$AE$11:$AE$70,DETALLE!$C$7)&amp;": "&amp;IF(INDEX(MUROS!$AE$11:$AE$70,DETALLE!$C$7)="MALLA",IF(ISNUMBER(INDEX(MUROS!$AF$11:$AF$70,DETALLE!$C$7)),INDEX(MUROS!$AF$11:$AF$70,DETALLE!$C$7),1)&amp;" cara(s) de malla "&amp;IF(INDEX(MUROS!$AG$11:$AG$70,DETALLE!$C$7)&lt;&gt;"",INDEX(MUROS!$AG$11:$AG$70,DETALLE!$C$7),DATOS!$C$74),IF(ISNUMBER(INDEX(MUROS!$AF$11:$AF$70,DETALLE!$C$7)),INDEX(MUROS!$AF$11:$AF$70,DETALLE!$C$7),2)&amp;" × "&amp;IF(INDEX(MUROS!$AG$11:$AG$70,DETALLE!$C$7)&lt;&gt;"",INDEX(MUROS!$AG$11:$AG$70,DETALLE!$C$7),DATOS!$C$73)&amp;" cada "&amp;IF(ISNUMBER(INDEX(MUROS!$AH$11:$AH$70,DETALLE!$C$7)),INDEX(MUROS!$AH$11:$AH$70,DETALLE!$C$7),2)&amp;" hiladas (s_h = "&amp;TEXT(INDEX(MUROS!$DK$11:$DK$70,DETALLE!$C$7),"0")&amp;" cm)"))</f>
        <v>NINGUNO</v>
      </c>
      <c r="D19" s="8" t="inlineStr">
        <is>
          <t>—</t>
        </is>
      </c>
      <c r="E19" s="9" t="inlineStr">
        <is>
          <t>Capturado en MUROS.</t>
        </is>
      </c>
      <c r="F19" s="10" t="inlineStr">
        <is>
          <t>NTC-M 6.5.3 / 6.5.4</t>
        </is>
      </c>
    </row>
    <row r="20" ht="30" customHeight="1">
      <c r="B20" s="6" t="inlineStr">
        <is>
          <t>Viga de apoyo</t>
        </is>
      </c>
      <c r="C20" s="13" t="str">
        <f>IF(INDEX(MUROS!$AI$11:$AI$70,DETALLE!$C$7)="SÍ",IF(INDEX(MUROS!$AJ$11:$AJ$70,DETALLE!$C$7)&lt;&gt;"",INDEX(MUROS!$AJ$11:$AJ$70,DETALLE!$C$7)&amp;" ","")&amp;INDEX(MUROS!$AK$11:$AK$70,DETALLE!$C$7)&amp;" × "&amp;INDEX(MUROS!$AL$11:$AL$70,DETALLE!$C$7)&amp;" cm, L_v = "&amp;TEXT(INDEX(MUROS!$AM$11:$AM$70,DETALLE!$C$7),"0.00")&amp;" m, c = "&amp;TEXT(N(INDEX(MUROS!$AO$11:$AO$70,DETALLE!$C$7)),"0.00")&amp;" m","No desplanta sobre viga")</f>
        <v>No desplanta sobre viga</v>
      </c>
      <c r="D20" s="8" t="inlineStr">
        <is>
          <t>—</t>
        </is>
      </c>
      <c r="E20" s="9" t="inlineStr">
        <is>
          <t>Capturada en MUROS.</t>
        </is>
      </c>
      <c r="F20" s="10" t="inlineStr">
        <is>
          <t>NTC-M 4.1.18, p. 44</t>
        </is>
      </c>
    </row>
    <row r="21" ht="6" customHeight="1"/>
    <row r="22" ht="21" customHeight="1">
      <c r="B22" s="2" t="inlineStr">
        <is>
          <t>2. MATERIALES (de DATOS)</t>
        </is>
      </c>
    </row>
    <row r="23" ht="30" customHeight="1">
      <c r="B23" s="5" t="inlineStr">
        <is>
          <t>Concepto</t>
        </is>
      </c>
      <c r="C23" s="5" t="inlineStr">
        <is>
          <t>Valor</t>
        </is>
      </c>
      <c r="D23" s="5" t="inlineStr">
        <is>
          <t>Unidad</t>
        </is>
      </c>
      <c r="E23" s="5" t="inlineStr">
        <is>
          <t>Cómo se calcula / de dónde sale</t>
        </is>
      </c>
      <c r="F23" s="5" t="inlineStr">
        <is>
          <t>Referencia</t>
        </is>
      </c>
    </row>
    <row r="24" ht="30" customHeight="1">
      <c r="B24" s="6" t="inlineStr">
        <is>
          <t>Tipo de estructura</t>
        </is>
      </c>
      <c r="C24" s="13" t="str">
        <f>DATOS!$C$14&amp;" — "&amp;DATOS!$C$15</f>
        <v>TIPO I — faltan superficie o niveles; muros sobre vigas o losa; </v>
      </c>
      <c r="D24" s="8" t="inlineStr">
        <is>
          <t>—</t>
        </is>
      </c>
      <c r="E24" s="9" t="inlineStr">
        <is>
          <t>Con Tipo I, f'm y v'm salen de ensayes.</t>
        </is>
      </c>
      <c r="F24" s="10" t="inlineStr">
        <is>
          <t>NTC-M 1.6.1, p. 15</t>
        </is>
      </c>
    </row>
    <row r="25" ht="19.5" customHeight="1">
      <c r="B25" s="6" t="inlineStr">
        <is>
          <t>f'm</t>
        </is>
      </c>
      <c r="C25" s="16">
        <f>DATOS!$C$33</f>
        <v>50</v>
      </c>
      <c r="D25" s="8" t="inlineStr">
        <is>
          <t>kg/cm²</t>
        </is>
      </c>
      <c r="E25" s="9" t="str">
        <f>DATOS!$C$32&amp;" · "&amp;DATOS!$C$34</f>
        <v>TABLA (2.8.1.4) · PENDIENTE: confirmar f'p con ensayes de piezas (2.8.1.4.3 d)</v>
      </c>
      <c r="F25" s="10" t="inlineStr">
        <is>
          <t>NTC-M 2.8.1</t>
        </is>
      </c>
    </row>
    <row r="26" ht="19.5" customHeight="1">
      <c r="B26" s="6" t="inlineStr">
        <is>
          <t>v'm</t>
        </is>
      </c>
      <c r="C26" s="19">
        <f>DATOS!$C$41</f>
        <v>2</v>
      </c>
      <c r="D26" s="8" t="inlineStr">
        <is>
          <t>kg/cm²</t>
        </is>
      </c>
      <c r="E26" s="9" t="str">
        <f>DATOS!$C$40&amp;" · "&amp;DATOS!$C$42</f>
        <v>PROVISIONAL (CAPTURA) · PENDIENTE: v'm provisional; estructura TIPO I, hacen falta los ensayes de muretes (2.8.2.4)</v>
      </c>
      <c r="F26" s="10" t="inlineStr">
        <is>
          <t>NTC-M 2.8.2</t>
        </is>
      </c>
    </row>
    <row r="27" ht="30" customHeight="1">
      <c r="B27" s="6" t="inlineStr">
        <is>
          <t>f'c / f_y / f_yh</t>
        </is>
      </c>
      <c r="C27" s="13" t="str">
        <f>DATOS!$C$47&amp;" / "&amp;DATOS!$C$48&amp;" / "&amp;DATOS!$C$50</f>
        <v>200 / 4200 / 6000</v>
      </c>
      <c r="D27" s="8" t="inlineStr">
        <is>
          <t>kg/cm²</t>
        </is>
      </c>
      <c r="E27" s="9" t="inlineStr">
        <is>
          <t>Castillos y dalas / varillas / refuerzo horizontal.</t>
        </is>
      </c>
      <c r="F27" s="10" t="inlineStr">
        <is>
          <t>DATOS</t>
        </is>
      </c>
    </row>
    <row r="28" ht="6" customHeight="1"/>
    <row r="29" ht="21" customHeight="1">
      <c r="B29" s="2" t="inlineStr">
        <is>
          <t>3. FUERZAS DE DISEÑO</t>
        </is>
      </c>
    </row>
    <row r="30" ht="30" customHeight="1">
      <c r="B30" s="5" t="inlineStr">
        <is>
          <t>Concepto</t>
        </is>
      </c>
      <c r="C30" s="5" t="inlineStr">
        <is>
          <t>Valor</t>
        </is>
      </c>
      <c r="D30" s="5" t="inlineStr">
        <is>
          <t>Unidad</t>
        </is>
      </c>
      <c r="E30" s="5" t="inlineStr">
        <is>
          <t>Cómo se calcula / de dónde sale</t>
        </is>
      </c>
      <c r="F30" s="5" t="inlineStr">
        <is>
          <t>Referencia</t>
        </is>
      </c>
    </row>
    <row r="31" ht="30" customHeight="1">
      <c r="B31" s="6" t="inlineStr">
        <is>
          <t>Fuerzas de</t>
        </is>
      </c>
      <c r="C31" s="13" t="str">
        <f>INDEX(MUROS!$BJ$11:$BJ$70,DETALLE!$C$7)</f>
        <v>CAPTURA</v>
      </c>
      <c r="D31" s="8" t="inlineStr">
        <is>
          <t>—</t>
        </is>
      </c>
      <c r="E31" s="9" t="inlineStr">
        <is>
          <t>Según DATOS</t>
        </is>
      </c>
      <c r="F31" s="10" t="inlineStr">
        <is>
          <t>DATOS sección 8</t>
        </is>
      </c>
    </row>
    <row r="32" ht="43.5" customHeight="1">
      <c r="B32" s="6" t="inlineStr">
        <is>
          <t>V_u — cortante de diseño</t>
        </is>
      </c>
      <c r="C32" s="19">
        <f>INDEX(MUROS!$BK$11:$BK$70,DETALLE!$C$7)</f>
        <v>5.5</v>
      </c>
      <c r="D32" s="8" t="inlineStr">
        <is>
          <t>t</t>
        </is>
      </c>
      <c r="E32" s="9" t="str">
        <f>IF(INDEX(MUROS!$BJ$11:$BJ$70,DETALLE!$C$7)="ETABS","Máximo |V2| de las combinaciones con sismo: "&amp;INDEX(MUROS!$BH$11:$BH$70,DETALLE!$C$7),"Capturado.")</f>
        <v>Capturado.</v>
      </c>
      <c r="F32" s="10" t="inlineStr">
        <is>
          <t>NTC-M 6.3.1, p. 65</t>
        </is>
      </c>
    </row>
    <row r="33" ht="19.5" customHeight="1">
      <c r="B33" s="6" t="inlineStr">
        <is>
          <t>M_u — momento en el plano</t>
        </is>
      </c>
      <c r="C33" s="18">
        <f>INDEX(MUROS!$BL$11:$BL$70,DETALLE!$C$7)</f>
        <v>12</v>
      </c>
      <c r="D33" s="8" t="inlineStr">
        <is>
          <t>t·m</t>
        </is>
      </c>
      <c r="E33" s="9" t="inlineStr">
        <is>
          <t>Máximo |M3| de las combinaciones con sismo (o capturado).</t>
        </is>
      </c>
      <c r="F33" s="10" t="inlineStr">
        <is>
          <t>NTC-M 6.3.1, p. 65</t>
        </is>
      </c>
    </row>
    <row r="34" ht="19.5" customHeight="1">
      <c r="B34" s="6" t="inlineStr">
        <is>
          <t>P — carga axial mínima SIN factor</t>
        </is>
      </c>
      <c r="C34" s="19">
        <f>INDEX(MUROS!$BM$11:$BM$70,DETALLE!$C$7)</f>
        <v>9</v>
      </c>
      <c r="D34" s="8" t="inlineStr">
        <is>
          <t>t</t>
        </is>
      </c>
      <c r="E34" s="9" t="inlineStr">
        <is>
          <t>P_u mínima / FC</t>
        </is>
      </c>
      <c r="F34" s="10" t="inlineStr">
        <is>
          <t>NTC-M 6.5.2.3, p. 68</t>
        </is>
      </c>
    </row>
    <row r="35" ht="30" customHeight="1">
      <c r="B35" s="6" t="inlineStr">
        <is>
          <t>P_u mínima / máxima (factorizadas)</t>
        </is>
      </c>
      <c r="C35" s="13" t="str">
        <f>TEXT(INDEX(MUROS!$BN$11:$BN$70,DETALLE!$C$7),"0.00")&amp;" / "&amp;TEXT(INDEX(MUROS!$BO$11:$BO$70,DETALLE!$C$7),"0.00")</f>
        <v>9.90 / 22.00</v>
      </c>
      <c r="D35" s="8" t="inlineStr">
        <is>
          <t>t</t>
        </is>
      </c>
      <c r="E35" s="9" t="inlineStr">
        <is>
          <t>La mínima y la máxima entran en M_R; la máxima en P_R.</t>
        </is>
      </c>
      <c r="F35" s="10" t="inlineStr">
        <is>
          <t>NTC-M 6.4</t>
        </is>
      </c>
    </row>
    <row r="36" ht="19.5" customHeight="1">
      <c r="B36" s="6" t="inlineStr">
        <is>
          <t>P_u de gravedad</t>
        </is>
      </c>
      <c r="C36" s="18">
        <f>INDEX(MUROS!$BP$11:$BP$70,DETALLE!$C$7)</f>
        <v>22</v>
      </c>
      <c r="D36" s="8" t="inlineStr">
        <is>
          <t>t</t>
        </is>
      </c>
      <c r="E36" s="9" t="inlineStr">
        <is>
          <t>Combinación de carga vertical; entra en 4.1.18.</t>
        </is>
      </c>
      <c r="F36" s="10" t="inlineStr">
        <is>
          <t>NTC-M 4.1.18.2.2, p. 44</t>
        </is>
      </c>
    </row>
    <row r="37" ht="30" customHeight="1">
      <c r="B37" s="6" t="inlineStr">
        <is>
          <t>V_u por carga vertical</t>
        </is>
      </c>
      <c r="C37" s="13" t="str">
        <f>TEXT(INDEX(MUROS!$BQ$11:$BQ$70,DETALLE!$C$7),"0.00")&amp;" t ("&amp;TEXT(INDEX(MUROS!$BR$11:$BR$70,DETALLE!$C$7),"0")&amp;" % del V_u)"</f>
        <v>0.00 t (0 % del V_u)</v>
      </c>
      <c r="D37" s="8" t="inlineStr">
        <is>
          <t>—</t>
        </is>
      </c>
      <c r="E37" s="9" t="inlineStr">
        <is>
          <t>&gt; 50 %: muro colgado de una viga flexible</t>
        </is>
      </c>
      <c r="F37" s="10" t="inlineStr">
        <is>
          <t>Aviso de esta hoja</t>
        </is>
      </c>
    </row>
    <row r="38" ht="6" customHeight="1"/>
    <row r="39" ht="21" customHeight="1">
      <c r="B39" s="2" t="inlineStr">
        <is>
          <t>4. SECCIÓN CRÍTICA — TRAMOS (6.5.2)</t>
        </is>
      </c>
    </row>
    <row r="40" ht="30" customHeight="1">
      <c r="B40" s="5" t="inlineStr">
        <is>
          <t>Concepto</t>
        </is>
      </c>
      <c r="C40" s="5" t="inlineStr">
        <is>
          <t>Valor</t>
        </is>
      </c>
      <c r="D40" s="5" t="inlineStr">
        <is>
          <t>Unidad</t>
        </is>
      </c>
      <c r="E40" s="5" t="inlineStr">
        <is>
          <t>Cómo se calcula / de dónde sale</t>
        </is>
      </c>
      <c r="F40" s="5" t="inlineStr">
        <is>
          <t>Referencia</t>
        </is>
      </c>
    </row>
    <row r="41" ht="30" customHeight="1">
      <c r="B41" s="6" t="inlineStr">
        <is>
          <t>Tramos que cuentan / ΣL / A_T</t>
        </is>
      </c>
      <c r="C41" s="13" t="str">
        <f>INDEX(MUROS!$CC$11:$CC$70,DETALLE!$C$7)&amp;" de "&amp;(INDEX(MUROS!$BU$11:$BU$70,DETALLE!$C$7)+1)&amp;" · ΣL = "&amp;TEXT(INDEX(MUROS!$CB$11:$CB$70,DETALLE!$C$7),"0.00")&amp;" m · A_T = "&amp;TEXT(INDEX(MUROS!$CE$11:$CE$70,DETALLE!$C$7),"#,##0")&amp;" cm²"</f>
        <v>3 de 3 · ΣL = 2.60 m · A_T = 3,900 cm²</v>
      </c>
      <c r="D41" s="8" t="inlineStr">
        <is>
          <t>—</t>
        </is>
      </c>
      <c r="E41" s="9" t="str">
        <f>" Un tramo menor que L mín. = "&amp;TEXT(DATOS!$C$72,"0.00")&amp;" m es un machón: no cuenta."</f>
        <v> Un tramo menor que L mín. = 0.30 m es un machón: no cuenta.</v>
      </c>
      <c r="F41" s="10" t="inlineStr">
        <is>
          <t>NTC-M 6.5.2.1, p. 67</t>
        </is>
      </c>
    </row>
    <row r="42" ht="30" customHeight="1">
      <c r="B42" s="6" t="inlineStr">
        <is>
          <t>Tramo 1</t>
        </is>
      </c>
      <c r="C42" s="13" t="str">
        <f>IF(INDEX(MUROS!$BW$11:$BW$70,DETALLE!$C$7)&lt;=0,"—",IF(INDEX(MUROS!$BW$11:$BW$70,DETALLE!$C$7)&lt;DATOS!$C$72-0.0001,TEXT(INDEX(MUROS!$BW$11:$BW$70,DETALLE!$C$7),"0.00")&amp;" m: machón, no cuenta",TEXT(INDEX(MUROS!$BW$11:$BW$70,DETALLE!$C$7),"0.00")&amp;" m · f = "&amp;TEXT(INDEX(MUROS!$CY$11:$CY$70,DETALLE!$C$7),"0.00")&amp;" · V_mR = "&amp;TEXT(INDEX(MUROS!$DD$11:$DD$70,DETALLE!$C$7),"0.00")&amp;" t"&amp;IF(INDEX(MUROS!$DU$11:$DU$70,DETALLE!$C$7)&gt;0," · V_sR = "&amp;TEXT(INDEX(MUROS!$DU$11:$DU$70,DETALLE!$C$7),"0.00")&amp;" t","")))</f>
        <v>0.40 m · f = 1.00 · V_mR = 0.71 t</v>
      </c>
      <c r="D42" s="8" t="inlineStr">
        <is>
          <t>—</t>
        </is>
      </c>
      <c r="E42" s="9" t="inlineStr">
        <is>
          <t>F_R(0.5·v'm·A_T + 0.3·P)·f</t>
        </is>
      </c>
      <c r="F42" s="10" t="inlineStr">
        <is>
          <t>NTC-M 6.5.2.1 y 6.5.2.4, p. 67–68</t>
        </is>
      </c>
    </row>
    <row r="43" ht="30" customHeight="1">
      <c r="B43" s="6" t="inlineStr">
        <is>
          <t>Tramo 2</t>
        </is>
      </c>
      <c r="C43" s="13" t="str">
        <f>IF(INDEX(MUROS!$BX$11:$BX$70,DETALLE!$C$7)&lt;=0,"—",IF(INDEX(MUROS!$BX$11:$BX$70,DETALLE!$C$7)&lt;DATOS!$C$72-0.0001,TEXT(INDEX(MUROS!$BX$11:$BX$70,DETALLE!$C$7),"0.00")&amp;" m: machón, no cuenta",TEXT(INDEX(MUROS!$BX$11:$BX$70,DETALLE!$C$7),"0.00")&amp;" m · f = "&amp;TEXT(INDEX(MUROS!$CZ$11:$CZ$70,DETALLE!$C$7),"0.00")&amp;" · V_mR = "&amp;TEXT(INDEX(MUROS!$DE$11:$DE$70,DETALLE!$C$7),"0.00")&amp;" t"&amp;IF(INDEX(MUROS!$DV$11:$DV$70,DETALLE!$C$7)&gt;0," · V_sR = "&amp;TEXT(INDEX(MUROS!$DV$11:$DV$70,DETALLE!$C$7),"0.00")&amp;" t","")))</f>
        <v>1.00 m · f = 1.00 · V_mR = 1.78 t</v>
      </c>
      <c r="D43" s="8" t="inlineStr">
        <is>
          <t>—</t>
        </is>
      </c>
      <c r="E43" s="9" t="inlineStr"/>
      <c r="F43" s="10" t="inlineStr"/>
    </row>
    <row r="44" ht="30" customHeight="1">
      <c r="B44" s="6" t="inlineStr">
        <is>
          <t>Tramo 3</t>
        </is>
      </c>
      <c r="C44" s="13" t="str">
        <f>IF(INDEX(MUROS!$BY$11:$BY$70,DETALLE!$C$7)&lt;=0,"—",IF(INDEX(MUROS!$BY$11:$BY$70,DETALLE!$C$7)&lt;DATOS!$C$72-0.0001,TEXT(INDEX(MUROS!$BY$11:$BY$70,DETALLE!$C$7),"0.00")&amp;" m: machón, no cuenta",TEXT(INDEX(MUROS!$BY$11:$BY$70,DETALLE!$C$7),"0.00")&amp;" m · f = "&amp;TEXT(INDEX(MUROS!$DA$11:$DA$70,DETALLE!$C$7),"0.00")&amp;" · V_mR = "&amp;TEXT(INDEX(MUROS!$DF$11:$DF$70,DETALLE!$C$7),"0.00")&amp;" t"&amp;IF(INDEX(MUROS!$DW$11:$DW$70,DETALLE!$C$7)&gt;0," · V_sR = "&amp;TEXT(INDEX(MUROS!$DW$11:$DW$70,DETALLE!$C$7),"0.00")&amp;" t","")))</f>
        <v>1.20 m · f = 1.00 · V_mR = 2.13 t</v>
      </c>
      <c r="D44" s="8" t="inlineStr">
        <is>
          <t>—</t>
        </is>
      </c>
      <c r="E44" s="9" t="inlineStr"/>
      <c r="F44" s="10" t="inlineStr"/>
    </row>
    <row r="45" ht="30" customHeight="1">
      <c r="B45" s="6" t="inlineStr">
        <is>
          <t>Tramo 4</t>
        </is>
      </c>
      <c r="C45" s="13" t="str">
        <f>IF(INDEX(MUROS!$BZ$11:$BZ$70,DETALLE!$C$7)&lt;=0,"—",IF(INDEX(MUROS!$BZ$11:$BZ$70,DETALLE!$C$7)&lt;DATOS!$C$72-0.0001,TEXT(INDEX(MUROS!$BZ$11:$BZ$70,DETALLE!$C$7),"0.00")&amp;" m: machón, no cuenta",TEXT(INDEX(MUROS!$BZ$11:$BZ$70,DETALLE!$C$7),"0.00")&amp;" m · f = "&amp;TEXT(INDEX(MUROS!$DB$11:$DB$70,DETALLE!$C$7),"0.00")&amp;" · V_mR = "&amp;TEXT(INDEX(MUROS!$DG$11:$DG$70,DETALLE!$C$7),"0.00")&amp;" t"&amp;IF(INDEX(MUROS!$DX$11:$DX$70,DETALLE!$C$7)&gt;0," · V_sR = "&amp;TEXT(INDEX(MUROS!$DX$11:$DX$70,DETALLE!$C$7),"0.00")&amp;" t","")))</f>
        <v>—</v>
      </c>
      <c r="D45" s="8" t="inlineStr">
        <is>
          <t>—</t>
        </is>
      </c>
      <c r="E45" s="9" t="inlineStr"/>
      <c r="F45" s="10" t="inlineStr"/>
    </row>
    <row r="46" ht="30" customHeight="1">
      <c r="B46" s="6" t="inlineStr">
        <is>
          <t>Tramo 5</t>
        </is>
      </c>
      <c r="C46" s="13" t="str">
        <f>IF(INDEX(MUROS!$CA$11:$CA$70,DETALLE!$C$7)&lt;=0,"—",IF(INDEX(MUROS!$CA$11:$CA$70,DETALLE!$C$7)&lt;DATOS!$C$72-0.0001,TEXT(INDEX(MUROS!$CA$11:$CA$70,DETALLE!$C$7),"0.00")&amp;" m: machón, no cuenta",TEXT(INDEX(MUROS!$CA$11:$CA$70,DETALLE!$C$7),"0.00")&amp;" m · f = "&amp;TEXT(INDEX(MUROS!$DC$11:$DC$70,DETALLE!$C$7),"0.00")&amp;" · V_mR = "&amp;TEXT(INDEX(MUROS!$DH$11:$DH$70,DETALLE!$C$7),"0.00")&amp;" t"&amp;IF(INDEX(MUROS!$DY$11:$DY$70,DETALLE!$C$7)&gt;0," · V_sR = "&amp;TEXT(INDEX(MUROS!$DY$11:$DY$70,DETALLE!$C$7),"0.00")&amp;" t","")))</f>
        <v>—</v>
      </c>
      <c r="D46" s="8" t="inlineStr">
        <is>
          <t>—</t>
        </is>
      </c>
      <c r="E46" s="9" t="inlineStr"/>
      <c r="F46" s="10" t="inlineStr"/>
    </row>
    <row r="47" ht="6" customHeight="1"/>
    <row r="48" ht="21" customHeight="1">
      <c r="B48" s="2" t="inlineStr">
        <is>
          <t>5. REQUISITOS GENERALES (6.1 y 6.2)</t>
        </is>
      </c>
    </row>
    <row r="49" ht="30" customHeight="1">
      <c r="B49" s="5" t="inlineStr">
        <is>
          <t>Concepto</t>
        </is>
      </c>
      <c r="C49" s="5" t="inlineStr">
        <is>
          <t>Valor</t>
        </is>
      </c>
      <c r="D49" s="5" t="inlineStr">
        <is>
          <t>Unidad</t>
        </is>
      </c>
      <c r="E49" s="5" t="inlineStr">
        <is>
          <t>Cómo se calcula / de dónde sale</t>
        </is>
      </c>
      <c r="F49" s="5" t="inlineStr">
        <is>
          <t>Referencia</t>
        </is>
      </c>
    </row>
    <row r="50" ht="30" customHeight="1">
      <c r="B50" s="6" t="inlineStr">
        <is>
          <t>Espesor y esbeltez</t>
        </is>
      </c>
      <c r="C50" s="13" t="str">
        <f>"t = "&amp;TEXT(DETALLE!$C$16,"0")&amp;" cm · H/t = "&amp;TEXT(INDEX(MUROS!$CG$11:$CG$70,DETALLE!$C$7),"0.0")&amp;" → "&amp;INDEX(MUROS!$CH$11:$CH$70,DETALLE!$C$7)</f>
        <v>t = 15 cm · H/t = 16.7 → CUMPLE</v>
      </c>
      <c r="D50" s="8" t="inlineStr">
        <is>
          <t>—</t>
        </is>
      </c>
      <c r="E50" s="9" t="inlineStr">
        <is>
          <t>t ≥ 12 cm en Tipo I y H/t ≤ 25.</t>
        </is>
      </c>
      <c r="F50" s="10" t="inlineStr">
        <is>
          <t>NTC-M 6.1.3, p. 60</t>
        </is>
      </c>
    </row>
    <row r="51" ht="30" customHeight="1">
      <c r="B51" s="6" t="inlineStr">
        <is>
          <t>Castillos</t>
        </is>
      </c>
      <c r="C51" s="13" t="str">
        <f>INDEX(MUROS!$CK$11:$CK$70,DETALLE!$C$7)&amp;" castillos ("&amp;INDEX(MUROS!$CJ$11:$CJ$70,DETALLE!$C$7)&amp;" intermedios) · separación máx. = mín(1.5H, 4 m) = "&amp;TEXT(INDEX(MUROS!$CI$11:$CI$70,DETALLE!$C$7),"0.00")&amp;" m"</f>
        <v>6 castillos (0 intermedios) · separación máx. = mín(1.5H, 4 m) = 3.75 m</v>
      </c>
      <c r="D51" s="8" t="inlineStr">
        <is>
          <t>—</t>
        </is>
      </c>
      <c r="E51" s="9" t="inlineStr">
        <is>
          <t>En los extremos de cada tramo y a ≤ 1.5H y ≤ 4 m</t>
        </is>
      </c>
      <c r="F51" s="10" t="inlineStr">
        <is>
          <t>NTC-M 6.2.1.1 a) y 6.2.5, p. 60–64</t>
        </is>
      </c>
    </row>
    <row r="52" ht="43.5" customHeight="1">
      <c r="B52" s="6" t="inlineStr">
        <is>
          <t>Castillo típico</t>
        </is>
      </c>
      <c r="C52" s="13" t="str">
        <f>DATOS!$C$81</f>
        <v>CUMPLE</v>
      </c>
      <c r="D52" s="8" t="inlineStr">
        <is>
          <t>—</t>
        </is>
      </c>
      <c r="E52" s="9" t="str">
        <f>DATOS!$C$59&amp;"×"&amp;DATOS!$C$60&amp;" cm, "&amp;DATOS!$C$61&amp;" No. "&amp;DATOS!$C$62&amp;", E No. "&amp;DATOS!$C$63&amp;" @ "&amp;DATOS!$C$64&amp;" cm (@ "&amp;DATOS!$C$65&amp;" cm en H₀ = "&amp;TEXT(INDEX(MUROS!$CN$11:$CN$70,DETALLE!$C$7),"0")&amp;" cm)"</f>
        <v>15×15 cm, 4 No. 3, E No. 2 @ 20 cm (@ 7.5 cm en H₀ = 42 cm)</v>
      </c>
      <c r="F52" s="10" t="inlineStr">
        <is>
          <t>NTC-M 6.2.2 y 6.2.3, p. 62</t>
        </is>
      </c>
    </row>
    <row r="53" ht="30" customHeight="1">
      <c r="B53" s="6" t="inlineStr">
        <is>
          <t>Dala típica</t>
        </is>
      </c>
      <c r="C53" s="13" t="str">
        <f>DATOS!$C$82</f>
        <v>CUMPLE</v>
      </c>
      <c r="D53" s="8" t="inlineStr">
        <is>
          <t>—</t>
        </is>
      </c>
      <c r="E53" s="9" t="str">
        <f>DATOS!$C$68&amp;"×"&amp;DATOS!$C$67&amp;" cm, "&amp;DATOS!$C$69&amp;" No. "&amp;DATOS!$C$70&amp;", E No. "&amp;DATOS!$C$63&amp;" @ "&amp;DATOS!$C$71&amp;" cm"</f>
        <v>15×20 cm, 4 No. 3, E No. 2 @ 20 cm</v>
      </c>
      <c r="F53" s="10" t="inlineStr">
        <is>
          <t>NTC-M 6.2.1.2, p. 60</t>
        </is>
      </c>
    </row>
    <row r="54" ht="30" customHeight="1">
      <c r="B54" s="6" t="inlineStr">
        <is>
          <t>Dalas intermedias</t>
        </is>
      </c>
      <c r="C54" s="13" t="str">
        <f>IF(DETALLE!$C$15&gt;3,"FALTA una dala intermedia: H &gt; 3 m (6.2.1.2 a)","CUMPLE: H ≤ 3 m, basta la dala superior")</f>
        <v>CUMPLE: H ≤ 3 m, basta la dala superior</v>
      </c>
      <c r="D54" s="8" t="inlineStr">
        <is>
          <t>—</t>
        </is>
      </c>
      <c r="E54" s="9" t="inlineStr">
        <is>
          <t>Dala en todo extremo horizontal y a no más de 3 m.</t>
        </is>
      </c>
      <c r="F54" s="10" t="inlineStr">
        <is>
          <t>NTC-M 6.2.1.2 a), p. 60</t>
        </is>
      </c>
    </row>
    <row r="55" ht="6" customHeight="1"/>
    <row r="56" ht="21" customHeight="1">
      <c r="B56" s="2" t="inlineStr">
        <is>
          <t>6. COMPRESIÓN (6.4.1)</t>
        </is>
      </c>
    </row>
    <row r="57" ht="30" customHeight="1">
      <c r="B57" s="5" t="inlineStr">
        <is>
          <t>Concepto</t>
        </is>
      </c>
      <c r="C57" s="5" t="inlineStr">
        <is>
          <t>Valor</t>
        </is>
      </c>
      <c r="D57" s="5" t="inlineStr">
        <is>
          <t>Unidad</t>
        </is>
      </c>
      <c r="E57" s="5" t="inlineStr">
        <is>
          <t>Cómo se calcula / de dónde sale</t>
        </is>
      </c>
      <c r="F57" s="5" t="inlineStr">
        <is>
          <t>Referencia</t>
        </is>
      </c>
    </row>
    <row r="58" ht="19.5" customHeight="1">
      <c r="B58" s="6" t="inlineStr">
        <is>
          <t>F_E — excentricidad y esbeltez</t>
        </is>
      </c>
      <c r="C58" s="22">
        <f>INDEX(MUROS!$CO$11:$CO$70,DETALLE!$C$7)</f>
        <v>0.6</v>
      </c>
      <c r="D58" s="8" t="inlineStr">
        <is>
          <t>—</t>
        </is>
      </c>
      <c r="E58" s="9" t="inlineStr">
        <is>
          <t>0.6 extremo · 0.7 interior</t>
        </is>
      </c>
      <c r="F58" s="10" t="inlineStr">
        <is>
          <t>NTC-M 3.1.2.3.1, p. 32</t>
        </is>
      </c>
    </row>
    <row r="59" ht="30" customHeight="1">
      <c r="B59" s="6" t="inlineStr">
        <is>
          <t>ΣA_s de los castillos</t>
        </is>
      </c>
      <c r="C59" s="18">
        <f>INDEX(MUROS!$CM$11:$CM$70,DETALLE!$C$7)</f>
        <v>17.04</v>
      </c>
      <c r="D59" s="8" t="inlineStr">
        <is>
          <t>cm²</t>
        </is>
      </c>
      <c r="E59" s="9" t="inlineStr">
        <is>
          <t>Todos los castillos de la sección, con los extremos de MUROS.</t>
        </is>
      </c>
      <c r="F59" s="10" t="inlineStr">
        <is>
          <t>NTC-M 6.4.1.1, p. 65</t>
        </is>
      </c>
    </row>
    <row r="60" ht="19.5" customHeight="1">
      <c r="B60" s="6" t="inlineStr">
        <is>
          <t>P_R = F_R·F_E·(f'm·A_T + ΣA_s·f_y)</t>
        </is>
      </c>
      <c r="C60" s="16">
        <f>INDEX(MUROS!$CP$11:$CP$70,DETALLE!$C$7)</f>
        <v>95.96448</v>
      </c>
      <c r="D60" s="8" t="inlineStr">
        <is>
          <t>t</t>
        </is>
      </c>
      <c r="E60" s="9" t="inlineStr">
        <is>
          <t>F_R = 0.6; A_T de todos los tramos.</t>
        </is>
      </c>
      <c r="F60" s="10" t="inlineStr">
        <is>
          <t>NTC-M ec. 6.4.1.1, p. 65</t>
        </is>
      </c>
    </row>
    <row r="61" ht="19.5" customHeight="1">
      <c r="B61" s="6" t="inlineStr">
        <is>
          <t>P_u / P_R</t>
        </is>
      </c>
      <c r="C61" s="19">
        <f>INDEX(MUROS!$CQ$11:$CQ$70,DETALLE!$C$7)</f>
        <v>0.229251489717862</v>
      </c>
      <c r="D61" s="8" t="inlineStr">
        <is>
          <t>≤ 1</t>
        </is>
      </c>
      <c r="E61" s="9" t="inlineStr">
        <is>
          <t>P_u máxima.</t>
        </is>
      </c>
      <c r="F61" s="10" t="inlineStr">
        <is>
          <t>NTC-M 6.4.1.1, p. 65</t>
        </is>
      </c>
    </row>
    <row r="62" ht="6" customHeight="1"/>
    <row r="63" ht="21" customHeight="1">
      <c r="B63" s="2" t="inlineStr">
        <is>
          <t>7. FLEXOCOMPRESIÓN EN EL PLANO — MÉTODO OPTATIVO (6.4.2.2)</t>
        </is>
      </c>
    </row>
    <row r="64" ht="30" customHeight="1">
      <c r="B64" s="5" t="inlineStr">
        <is>
          <t>Concepto</t>
        </is>
      </c>
      <c r="C64" s="5" t="inlineStr">
        <is>
          <t>Valor</t>
        </is>
      </c>
      <c r="D64" s="5" t="inlineStr">
        <is>
          <t>Unidad</t>
        </is>
      </c>
      <c r="E64" s="5" t="inlineStr">
        <is>
          <t>Cómo se calcula / de dónde sale</t>
        </is>
      </c>
      <c r="F64" s="5" t="inlineStr">
        <is>
          <t>Referencia</t>
        </is>
      </c>
    </row>
    <row r="65" ht="19.5" customHeight="1">
      <c r="B65" s="6" t="inlineStr">
        <is>
          <t>A_s de un castillo extremo</t>
        </is>
      </c>
      <c r="C65" s="18">
        <f>INDEX(MUROS!$CL$11:$CL$70,DETALLE!$C$7)</f>
        <v>2.84</v>
      </c>
      <c r="D65" s="8" t="inlineStr">
        <is>
          <t>cm²</t>
        </is>
      </c>
      <c r="E65" s="9" t="inlineStr">
        <is>
          <t>Del castillo típico o de lo capturado en MUROS.</t>
        </is>
      </c>
      <c r="F65" s="10" t="inlineStr">
        <is>
          <t>NTC-M 6.4.2.2.1, p. 66</t>
        </is>
      </c>
    </row>
    <row r="66" ht="30" customHeight="1">
      <c r="B66" s="6" t="inlineStr">
        <is>
          <t>d' / d</t>
        </is>
      </c>
      <c r="C66" s="13" t="str">
        <f>TEXT(INDEX(MUROS!$CR$11:$CR$70,DETALLE!$C$7),"0")&amp;" / "&amp;TEXT(INDEX(MUROS!$CS$11:$CS$70,DETALLE!$C$7),"0")</f>
        <v>485 / 493</v>
      </c>
      <c r="D66" s="8" t="inlineStr">
        <is>
          <t>cm</t>
        </is>
      </c>
      <c r="E66" s="9" t="inlineStr">
        <is>
          <t>d' entre centroides de los castillos extremos; d al acero de tensión.</t>
        </is>
      </c>
      <c r="F66" s="10" t="inlineStr">
        <is>
          <t>NTC-M fig. 6.4.2.2.1, p. 66</t>
        </is>
      </c>
    </row>
    <row r="67" ht="19.5" customHeight="1">
      <c r="B67" s="6" t="inlineStr">
        <is>
          <t>M₀ = A_s·f_y·d'</t>
        </is>
      </c>
      <c r="C67" s="18">
        <f>INDEX(MUROS!$CT$11:$CT$70,DETALLE!$C$7)</f>
        <v>57.8508</v>
      </c>
      <c r="D67" s="8" t="inlineStr">
        <is>
          <t>t·m</t>
        </is>
      </c>
      <c r="E67" s="9" t="inlineStr">
        <is>
          <t>Resistencia a flexión pura.</t>
        </is>
      </c>
      <c r="F67" s="10" t="inlineStr">
        <is>
          <t>NTC-M 6.4.2.2.1, p. 66</t>
        </is>
      </c>
    </row>
    <row r="68" ht="30" customHeight="1">
      <c r="B68" s="6" t="inlineStr">
        <is>
          <t>M_R con P_u mínima / máxima</t>
        </is>
      </c>
      <c r="C68" s="13" t="str">
        <f>TEXT(INDEX(MUROS!$CU$11:$CU$70,DETALLE!$C$7),"0.00")&amp;" / "&amp;TEXT(INDEX(MUROS!$CV$11:$CV$70,DETALLE!$C$7),"0.00")</f>
        <v>60.91 / 78.79</v>
      </c>
      <c r="D68" s="8" t="inlineStr">
        <is>
          <t>t·m</t>
        </is>
      </c>
      <c r="E68" s="9" t="inlineStr">
        <is>
          <t>F_R·M₀ + 0.3·P_u·d (si P_u ≤ P_R/3)</t>
        </is>
      </c>
      <c r="F68" s="10" t="inlineStr">
        <is>
          <t>NTC-M ecs. 6.4.2.2.1.a y b, p. 66</t>
        </is>
      </c>
    </row>
    <row r="69" ht="19.5" customHeight="1">
      <c r="B69" s="6" t="inlineStr">
        <is>
          <t>M_u / M_R</t>
        </is>
      </c>
      <c r="C69" s="19">
        <f>INDEX(MUROS!$CX$11:$CX$70,DETALLE!$C$7)</f>
        <v>0.197018809878326</v>
      </c>
      <c r="D69" s="8" t="inlineStr">
        <is>
          <t>≤ 1</t>
        </is>
      </c>
      <c r="E69" s="9" t="inlineStr">
        <is>
          <t>Con el menor de los dos M_R.</t>
        </is>
      </c>
      <c r="F69" s="10" t="inlineStr">
        <is>
          <t>NTC-M 6.4.2.2, p. 66</t>
        </is>
      </c>
    </row>
    <row r="70" ht="6" customHeight="1"/>
    <row r="71" ht="21" customHeight="1">
      <c r="B71" s="2" t="inlineStr">
        <is>
          <t>8. CORTANTE (6.5)</t>
        </is>
      </c>
    </row>
    <row r="72" ht="30" customHeight="1">
      <c r="B72" s="5" t="inlineStr">
        <is>
          <t>Concepto</t>
        </is>
      </c>
      <c r="C72" s="5" t="inlineStr">
        <is>
          <t>Valor</t>
        </is>
      </c>
      <c r="D72" s="5" t="inlineStr">
        <is>
          <t>Unidad</t>
        </is>
      </c>
      <c r="E72" s="5" t="inlineStr">
        <is>
          <t>Cómo se calcula / de dónde sale</t>
        </is>
      </c>
      <c r="F72" s="5" t="inlineStr">
        <is>
          <t>Referencia</t>
        </is>
      </c>
    </row>
    <row r="73" ht="30" customHeight="1">
      <c r="B73" s="6" t="inlineStr">
        <is>
          <t>V_mR — mampostería</t>
        </is>
      </c>
      <c r="C73" s="18">
        <f>INDEX(MUROS!$DI$11:$DI$70,DETALLE!$C$7)</f>
        <v>4.62</v>
      </c>
      <c r="D73" s="8" t="inlineStr">
        <is>
          <t>t</t>
        </is>
      </c>
      <c r="E73" s="9" t="inlineStr">
        <is>
          <t>Suma de los tramos (sección 4). P en tensión → 0 (6.5.2.3).</t>
        </is>
      </c>
      <c r="F73" s="10" t="inlineStr">
        <is>
          <t>NTC-M 6.5.2, p. 67</t>
        </is>
      </c>
    </row>
    <row r="74" ht="30" customHeight="1">
      <c r="B74" s="6" t="inlineStr">
        <is>
          <t>(p_h·f_yh)e · η_s · k₁</t>
        </is>
      </c>
      <c r="C74" s="13" t="str">
        <f>TEXT(INDEX(MUROS!$DM$11:$DM$70,DETALLE!$C$7),"0.00")&amp;" kg/cm² · "&amp;TEXT(INDEX(MUROS!$DN$11:$DN$70,DETALLE!$C$7),"0.000")&amp;" · "&amp;TEXT(INDEX(MUROS!$DO$11:$DO$70,DETALLE!$C$7),"0.000")</f>
        <v>0.00 kg/cm² · 0.550 · 1.000</v>
      </c>
      <c r="D74" s="8" t="inlineStr">
        <is>
          <t>—</t>
        </is>
      </c>
      <c r="E74" s="9" t="inlineStr">
        <is>
          <t>(p_h·f_yh)e ≤ 0.1·f'm·f_an</t>
        </is>
      </c>
      <c r="F74" s="10" t="inlineStr">
        <is>
          <t>NTC-M 6.5.3.4.1, p. 70</t>
        </is>
      </c>
    </row>
    <row r="75" ht="19.5" customHeight="1">
      <c r="B75" s="6" t="inlineStr">
        <is>
          <t>V_sR — refuerzo horizontal</t>
        </is>
      </c>
      <c r="C75" s="18">
        <f>INDEX(MUROS!$DZ$11:$DZ$70,DETALLE!$C$7)</f>
        <v>0</v>
      </c>
      <c r="D75" s="8" t="inlineStr">
        <is>
          <t>t</t>
        </is>
      </c>
      <c r="E75" s="9" t="inlineStr">
        <is>
          <t>Suma de los tramos: F_R·η·(p_h·f_yh)e·A_T.</t>
        </is>
      </c>
      <c r="F75" s="10" t="inlineStr">
        <is>
          <t>NTC-M ec. 6.5.3.4.1.a, p. 70</t>
        </is>
      </c>
    </row>
    <row r="76" ht="30" customHeight="1">
      <c r="B76" s="6" t="inlineStr">
        <is>
          <t>Refuerzo horizontal (requisitos)</t>
        </is>
      </c>
      <c r="C76" s="13" t="str">
        <f>INDEX(MUROS!$EA$11:$EA$70,DETALLE!$C$7)</f>
        <v>—</v>
      </c>
      <c r="D76" s="8" t="inlineStr">
        <is>
          <t>—</t>
        </is>
      </c>
      <c r="E76" s="9" t="inlineStr">
        <is>
          <t>Separación, mínimo, máximo y diámetro</t>
        </is>
      </c>
      <c r="F76" s="10" t="inlineStr">
        <is>
          <t>NTC-M 6.5.3.1 a 6.5.3.3, p. 69</t>
        </is>
      </c>
    </row>
    <row r="77" ht="19.5" customHeight="1">
      <c r="B77" s="6" t="inlineStr">
        <is>
          <t>V_R = V_mR + V_sR</t>
        </is>
      </c>
      <c r="C77" s="18">
        <f>INDEX(MUROS!$EB$11:$EB$70,DETALLE!$C$7)</f>
        <v>4.62</v>
      </c>
      <c r="D77" s="8" t="inlineStr">
        <is>
          <t>t</t>
        </is>
      </c>
      <c r="E77" s="9" t="inlineStr">
        <is>
          <t>—</t>
        </is>
      </c>
      <c r="F77" s="10" t="inlineStr">
        <is>
          <t>NTC-M ec. 6.5.1.1, p. 66</t>
        </is>
      </c>
    </row>
    <row r="78" ht="19.5" customHeight="1">
      <c r="B78" s="6" t="inlineStr">
        <is>
          <t>V_u / V_R</t>
        </is>
      </c>
      <c r="C78" s="19">
        <f>INDEX(MUROS!$EC$11:$EC$70,DETALLE!$C$7)</f>
        <v>1.19047619047619</v>
      </c>
      <c r="D78" s="8" t="inlineStr">
        <is>
          <t>≤ 1</t>
        </is>
      </c>
      <c r="E78" s="9" t="inlineStr">
        <is>
          <t>—</t>
        </is>
      </c>
      <c r="F78" s="10" t="inlineStr">
        <is>
          <t>NTC-M 6.5, p. 66</t>
        </is>
      </c>
    </row>
    <row r="79" ht="30" customHeight="1">
      <c r="B79" s="6" t="inlineStr">
        <is>
          <t>Qué refuerzo horizontal le falta</t>
        </is>
      </c>
      <c r="C79" s="13" t="str">
        <f>INDEX(MUROS!$EE$11:$EE$70,DETALLE!$C$7)</f>
        <v>p_h·f_yh ≥ 3.0 kg/cm² → 2 alambres de 3/16" por junta cada 2 hilada(s) (p_h·f_yh = 3.56)</v>
      </c>
      <c r="D79" s="8" t="inlineStr">
        <is>
          <t>—</t>
        </is>
      </c>
      <c r="E79" s="9" t="inlineStr">
        <is>
          <t>El p_h·f_yh que hace V_R = V_u con las mismas ecuaciones de 6.5.3.4.</t>
        </is>
      </c>
      <c r="F79" s="10" t="inlineStr">
        <is>
          <t>NTC-M 6.5.3.4.1, p. 70</t>
        </is>
      </c>
    </row>
    <row r="80" ht="6" customHeight="1"/>
    <row r="81" ht="21" customHeight="1">
      <c r="B81" s="2" t="inlineStr">
        <is>
          <t>9. MURO SOBRE VIGA (4.1.18)</t>
        </is>
      </c>
    </row>
    <row r="82" ht="30" customHeight="1">
      <c r="B82" s="5" t="inlineStr">
        <is>
          <t>Concepto</t>
        </is>
      </c>
      <c r="C82" s="5" t="inlineStr">
        <is>
          <t>Valor</t>
        </is>
      </c>
      <c r="D82" s="5" t="inlineStr">
        <is>
          <t>Unidad</t>
        </is>
      </c>
      <c r="E82" s="5" t="inlineStr">
        <is>
          <t>Cómo se calcula / de dónde sale</t>
        </is>
      </c>
      <c r="F82" s="5" t="inlineStr">
        <is>
          <t>Referencia</t>
        </is>
      </c>
    </row>
    <row r="83" ht="30" customHeight="1">
      <c r="B83" s="6" t="inlineStr">
        <is>
          <t>¿Desplanta sobre viga?</t>
        </is>
      </c>
      <c r="C83" s="13" t="str">
        <f>IF(INDEX(MUROS!$AI$11:$AI$70,DETALLE!$C$7)="SÍ","SÍ — "&amp;IF(INDEX(MUROS!$AJ$11:$AJ$70,DETALLE!$C$7)&lt;&gt;"",INDEX(MUROS!$AJ$11:$AJ$70,DETALLE!$C$7)&amp;" ","")&amp;INDEX(MUROS!$AK$11:$AK$70,DETALLE!$C$7)&amp;" × "&amp;INDEX(MUROS!$AL$11:$AL$70,DETALLE!$C$7)&amp;" cm, L_v = "&amp;TEXT(INDEX(MUROS!$AM$11:$AM$70,DETALLE!$C$7),"0.00")&amp;" m","NO")</f>
        <v>NO</v>
      </c>
      <c r="D83" s="8" t="inlineStr">
        <is>
          <t>—</t>
        </is>
      </c>
      <c r="E83" s="9" t="inlineStr">
        <is>
          <t>Viga que no es de cimentación.</t>
        </is>
      </c>
      <c r="F83" s="10" t="inlineStr">
        <is>
          <t>NTC-M 4.1.18.1, p. 44</t>
        </is>
      </c>
    </row>
    <row r="84" ht="19.5" customHeight="1">
      <c r="B84" s="6" t="inlineStr">
        <is>
          <t>H/L</t>
        </is>
      </c>
      <c r="C84" s="18">
        <f>DETALLE!$C$15/DETALLE!$C$14</f>
        <v>0.5</v>
      </c>
      <c r="D84" s="8" t="inlineStr">
        <is>
          <t>—</t>
        </is>
      </c>
      <c r="E84" s="9" t="inlineStr">
        <is>
          <t>&lt; 0.6: falta análisis muro–viga</t>
        </is>
      </c>
      <c r="F84" s="10" t="inlineStr">
        <is>
          <t>NTC-M 4.1.18.2.1, p. 44</t>
        </is>
      </c>
    </row>
    <row r="85" ht="30" customHeight="1">
      <c r="B85" s="6" t="inlineStr">
        <is>
          <t>a = L/L_v · W_p · f_I</t>
        </is>
      </c>
      <c r="C85" s="13" t="str">
        <f>TEXT(INDEX(MUROS!$EG$11:$EG$70,DETALLE!$C$7),"0.000")&amp;" · "&amp;TEXT(INDEX(MUROS!$EH$11:$EH$70,DETALLE!$C$7),"0.0")&amp;" kg/cm · "&amp;TEXT(INDEX(MUROS!$EI$11:$EI$70,DETALLE!$C$7),"0.000")</f>
        <v>0.000 · 0.0 kg/cm · 0.000</v>
      </c>
      <c r="D85" s="8" t="inlineStr">
        <is>
          <t>—</t>
        </is>
      </c>
      <c r="E85" s="9" t="inlineStr">
        <is>
          <t>W_p = P_u/A_T·t·(a⁴ − 4a³ + 8a); f_I = W_p/(W_p + 5w_u).</t>
        </is>
      </c>
      <c r="F85" s="10" t="inlineStr">
        <is>
          <t>NTC-M ecs. 4.1.18.2.2.g y h, p. 45</t>
        </is>
      </c>
    </row>
    <row r="86" ht="30" customHeight="1">
      <c r="B86" s="6" t="inlineStr">
        <is>
          <t>K · k_c · F_CE</t>
        </is>
      </c>
      <c r="C86" s="13" t="str">
        <f>TEXT(INDEX(MUROS!$EJ$11:$EJ$70,DETALLE!$C$7),"0.00")&amp;" · "&amp;TEXT(INDEX(MUROS!$EK$11:$EK$70,DETALLE!$C$7),"0.00")&amp;" · "&amp;TEXT(INDEX(MUROS!$EL$11:$EL$70,DETALLE!$C$7),"0.00")</f>
        <v>0.00 · 0.00 · 0.00</v>
      </c>
      <c r="D86" s="8" t="inlineStr">
        <is>
          <t>—</t>
        </is>
      </c>
      <c r="E86" s="9" t="inlineStr">
        <is>
          <t>K = [E_m·t·L_v³/(E_f·I·f_I)]^¼; F_CE = 1.6K − 3.9 o (3.2K − 7.8)·k_c.</t>
        </is>
      </c>
      <c r="F86" s="10" t="inlineStr">
        <is>
          <t>NTC-M ecs. 4.1.18.2.2.c a f, p. 44–45</t>
        </is>
      </c>
    </row>
    <row r="87" ht="30" customHeight="1">
      <c r="B87" s="6" t="inlineStr">
        <is>
          <t>f_CM = F_CE·P_u/A_T  vs  F_R·f'm</t>
        </is>
      </c>
      <c r="C87" s="13" t="str">
        <f>TEXT(INDEX(MUROS!$EM$11:$EM$70,DETALLE!$C$7),"0.0")&amp;" vs "&amp;TEXT(DATOS!$C$87*DATOS!$C$33,"0.0")</f>
        <v>0.0 vs 30.0</v>
      </c>
      <c r="D87" s="8" t="inlineStr">
        <is>
          <t>kg/cm²</t>
        </is>
      </c>
      <c r="E87" s="9" t="inlineStr">
        <is>
          <t>Esfuerzo en los extremos del muro.</t>
        </is>
      </c>
      <c r="F87" s="10" t="inlineStr">
        <is>
          <t>NTC-M ec. 4.1.18.2.2.a, p. 44</t>
        </is>
      </c>
    </row>
    <row r="88" ht="30" customHeight="1">
      <c r="B88" s="6" t="inlineStr">
        <is>
          <t>L_v/h_v  vs  14 y vs límite por flecha</t>
        </is>
      </c>
      <c r="C88" s="13" t="str">
        <f>TEXT(INDEX(MUROS!$EN$11:$EN$70,DETALLE!$C$7),"0.0")&amp;" vs 14 · "&amp;TEXT(INDEX(MUROS!$EO$11:$EO$70,DETALLE!$C$7),"0.0")</f>
        <v>0.0 vs 14 · 0.0</v>
      </c>
      <c r="D88" s="8" t="inlineStr">
        <is>
          <t>—</t>
        </is>
      </c>
      <c r="E88" s="9" t="inlineStr">
        <is>
          <t>Peralte mínimo (h_v ≥ 25 cm) y flecha con cargas permanentes.</t>
        </is>
      </c>
      <c r="F88" s="10" t="inlineStr">
        <is>
          <t>NTC-M 4.1.18.3 y 4.1.18.4, p. 46</t>
        </is>
      </c>
    </row>
    <row r="89" ht="30" customHeight="1">
      <c r="B89" s="6" t="inlineStr">
        <is>
          <t>MURO SOBRE VIGA</t>
        </is>
      </c>
      <c r="C89" s="12" t="str">
        <f>INDEX(MUROS!$EP$11:$EP$70,DETALLE!$C$7)</f>
        <v>—</v>
      </c>
      <c r="D89" s="8" t="inlineStr">
        <is>
          <t>—</t>
        </is>
      </c>
      <c r="E89" s="9" t="inlineStr">
        <is>
          <t>—</t>
        </is>
      </c>
      <c r="F89" s="10" t="inlineStr">
        <is>
          <t>NTC-M 4.1.18</t>
        </is>
      </c>
    </row>
    <row r="90" ht="6" customHeight="1"/>
    <row r="91" ht="21" customHeight="1">
      <c r="B91" s="2" t="inlineStr">
        <is>
          <t>10. RESULTADO</t>
        </is>
      </c>
    </row>
    <row r="92" ht="30" customHeight="1">
      <c r="B92" s="5" t="inlineStr">
        <is>
          <t>Concepto</t>
        </is>
      </c>
      <c r="C92" s="5" t="inlineStr">
        <is>
          <t>Valor</t>
        </is>
      </c>
      <c r="D92" s="5" t="inlineStr">
        <is>
          <t>Unidad</t>
        </is>
      </c>
      <c r="E92" s="5" t="inlineStr">
        <is>
          <t>Cómo se calcula / de dónde sale</t>
        </is>
      </c>
      <c r="F92" s="5" t="inlineStr">
        <is>
          <t>Referencia</t>
        </is>
      </c>
    </row>
    <row r="93" ht="30" customHeight="1">
      <c r="B93" s="6" t="inlineStr">
        <is>
          <t>Lo que no cumple</t>
        </is>
      </c>
      <c r="C93" s="13" t="str">
        <f>INDEX(MUROS!$EU$11:$EU$70,DETALLE!$C$7)</f>
        <v>cortante; </v>
      </c>
      <c r="D93" s="8" t="inlineStr">
        <is>
          <t>—</t>
        </is>
      </c>
      <c r="E93" s="9" t="inlineStr">
        <is>
          <t>—</t>
        </is>
      </c>
      <c r="F93" s="10" t="inlineStr">
        <is>
          <t>MUROS</t>
        </is>
      </c>
    </row>
    <row r="94" ht="30" customHeight="1">
      <c r="B94" s="6" t="inlineStr">
        <is>
          <t>Pendiente o aviso</t>
        </is>
      </c>
      <c r="C94" s="13" t="str">
        <f>INDEX(MUROS!$EV$11:$EV$70,DETALLE!$C$7)</f>
        <v>v'm provisional; </v>
      </c>
      <c r="D94" s="8" t="inlineStr">
        <is>
          <t>—</t>
        </is>
      </c>
      <c r="E94" s="9" t="inlineStr">
        <is>
          <t>—</t>
        </is>
      </c>
      <c r="F94" s="10" t="inlineStr">
        <is>
          <t>MUROS</t>
        </is>
      </c>
    </row>
    <row r="95" ht="30" customHeight="1">
      <c r="B95" s="6" t="inlineStr">
        <is>
          <t>ESTADO</t>
        </is>
      </c>
      <c r="C95" s="12" t="str">
        <f>DETALLE!$C$9</f>
        <v>NO CUMPLE: cortante</v>
      </c>
      <c r="D95" s="8" t="inlineStr">
        <is>
          <t>—</t>
        </is>
      </c>
      <c r="E95" s="9" t="inlineStr">
        <is>
          <t>—</t>
        </is>
      </c>
      <c r="F95" s="10" t="inlineStr">
        <is>
          <t>MUROS</t>
        </is>
      </c>
    </row>
    <row r="96" ht="30" customHeight="1">
      <c r="B96" s="6" t="inlineStr">
        <is>
          <t>Cantidades</t>
        </is>
      </c>
      <c r="C96" s="13" t="str">
        <f>"Mampostería "&amp;TEXT(INDEX(MUROS!$EQ$11:$EQ$70,DETALLE!$C$7),"0.00")&amp;" m² · concreto de castillos "&amp;TEXT(INDEX(MUROS!$ER$11:$ER$70,DETALLE!$C$7),"0.000")&amp;" m³ · acero de castillos "&amp;TEXT(INDEX(MUROS!$ES$11:$ES$70,DETALLE!$C$7),"0.0")&amp;" kg · refuerzo horizontal "&amp;TEXT(INDEX(MUROS!$ET$11:$ET$70,DETALLE!$C$7),"0.0")&amp;" kg"</f>
        <v>Mampostería 6.56 m² · concreto de castillos 0.338 m³ · acero de castillos 61.8 kg · refuerzo horizontal 0.0 kg</v>
      </c>
      <c r="D96" s="8" t="inlineStr">
        <is>
          <t>—</t>
        </is>
      </c>
      <c r="E96" s="9" t="inlineStr">
        <is>
          <t>Estimación para presupuesto.</t>
        </is>
      </c>
      <c r="F96" s="10" t="inlineStr">
        <is>
          <t>MUROS</t>
        </is>
      </c>
    </row>
    <row r="97"/>
  </sheetData>
  <mergeCells count="13">
    <mergeCell ref="B4:F4"/>
    <mergeCell ref="B29:F29"/>
    <mergeCell ref="B39:F39"/>
    <mergeCell ref="B91:F91"/>
    <mergeCell ref="B2:F2"/>
    <mergeCell ref="B48:F48"/>
    <mergeCell ref="B81:F81"/>
    <mergeCell ref="B11:F11"/>
    <mergeCell ref="B63:F63"/>
    <mergeCell ref="B22:F22"/>
    <mergeCell ref="B1:F1"/>
    <mergeCell ref="B71:F71"/>
    <mergeCell ref="B56:F56"/>
  </mergeCells>
  <conditionalFormatting sqref="C1:C97">
    <cfRule type="expression" priority="1" dxfId="0" stopIfTrue="1">
      <formula>OR(ISNUMBER(FIND("NO CUMPLE",C1)),ISNUMBER(FIND("REVISAR",C1)),ISNUMBER(FIND("FALTA",C1)),ISNUMBER(FIND("NO ALCANZA",C1)),ISNUMBER(FIND("FUERA",C1)),ISNUMBER(FIND("NO CUENTA",C1)),ISNUMBER(FIND("NO ESTÁ",C1)),ISNUMBER(FIND("NO VÁLIDO",C1)))</formula>
    </cfRule>
    <cfRule type="expression" priority="2" dxfId="1" stopIfTrue="1">
      <formula>OR(ISNUMBER(FIND("PENDIENTE",C1)),ISNUMBER(FIND("PROVISIONAL",C1)),ISNUMBER(FIND("ESTIMADO",C1)),ISNUMBER(FIND("VER ",C1)),AND(ISNUMBER(FIND("REQUIERE",C1)),NOT(ISNUMBER(FIND("NO REQUIERE",C1)))),ISNUMBER(FIND("AVISO",C1)))</formula>
    </cfRule>
    <cfRule type="expression" priority="3" dxfId="2" stopIfTrue="1">
      <formula>OR(ISNUMBER(FIND("CUMPLE",C1)),ISNUMBER(FIND("VÁLIDO",C1)),ISNUMBER(FIND("NO REQUIERE",C1)),ISNUMBER(FIND("YA LO TIENE",C1)))</formula>
    </cfRule>
  </conditionalFormatting>
  <dataValidations count="1">
    <dataValidation sqref="C6" showDropDown="0" showInputMessage="0" showErrorMessage="1" allowBlank="1" errorTitle="Valor no válido" error="Escoge un valor de la lista" type="list">
      <formula1>LST_MUROS</formula1>
    </dataValidation>
  </dataValidation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F96"/>
  <sheetViews>
    <sheetView showGridLines="0" zoomScale="75" workbookViewId="0">
      <selection activeCell="A1" sqref="A1"/>
    </sheetView>
  </sheetViews>
  <sheetFormatPr baseColWidth="8" defaultRowHeight="15"/>
  <cols>
    <col width="1.78" customWidth="1" min="1" max="1"/>
    <col width="46" customWidth="1" min="2" max="2"/>
    <col width="17" customWidth="1" min="3" max="3"/>
    <col width="9" customWidth="1" min="4" max="4"/>
    <col width="54" customWidth="1" min="5" max="5"/>
    <col width="44" customWidth="1" min="6" max="6"/>
  </cols>
  <sheetData>
    <row r="1" ht="26" customHeight="1">
      <c r="B1" s="1" t="inlineStr">
        <is>
          <t>CROQUIS DEL MURO</t>
        </is>
      </c>
    </row>
    <row r="2" ht="16" customHeight="1">
      <c r="B2" s="4" t="inlineStr">
        <is>
          <t>Dibuja el muro escogido en DETALLE, a escala. Se redibuja solo.</t>
        </is>
      </c>
    </row>
    <row r="3">
      <c r="B3" s="53" t="str">
        <f>HYPERLINK("#DETALLE!C6","▶ Cambiar de muro (DETALLE)")</f>
        <v>▶ Cambiar de muro (DETALLE)</v>
      </c>
    </row>
    <row r="4" ht="34" customHeight="1">
      <c r="B4" s="54" t="str">
        <f>"Muro: "&amp;CROQUIS_DATOS!$C$1473&amp;"   ·   L = "&amp;TEXT(CROQUIS_DATOS!$C$1475/100,"0.00")&amp;" m   ·   H = "&amp;TEXT(CROQUIS_DATOS!$C$1476/100,"0.00")&amp;" m   ·   t = "&amp;CROQUIS_DATOS!$C$1477&amp;" cm   ·   "&amp;CROQUIS_DATOS!$C$1474</f>
        <v>Muro: M-2   ·   L = 5.00 m   ·   H = 2.50 m   ·   t = 15 cm   ·   NO CUMPLE: cortante</v>
      </c>
    </row>
    <row r="87">
      <c r="E87" s="5" t="inlineStr">
        <is>
          <t>Resultado del muro</t>
        </is>
      </c>
      <c r="F87" s="5" t="inlineStr">
        <is>
          <t>Valor</t>
        </is>
      </c>
    </row>
    <row r="88" ht="30" customHeight="1">
      <c r="E88" s="55" t="inlineStr">
        <is>
          <t>V_u / V_R (cortante)</t>
        </is>
      </c>
      <c r="F88" s="45" t="str">
        <f>IF(CROQUIS_DATOS!$C$1472=1,TEXT(INDEX(MUROS!$BK$11:$BK$70,DETALLE!$C$7),"0.00")&amp;" / "&amp;TEXT(INDEX(MUROS!$EB$11:$EB$70,DETALLE!$C$7),"0.00")&amp;" t = "&amp;TEXT(INDEX(MUROS!$EC$11:$EC$70,DETALLE!$C$7),"0.00"),"—")</f>
        <v>5.50 / 4.62 t = 1.19</v>
      </c>
    </row>
    <row r="89" ht="30" customHeight="1">
      <c r="E89" s="55" t="inlineStr">
        <is>
          <t>M_u / M_R (flexocompresión)</t>
        </is>
      </c>
      <c r="F89" s="45" t="str">
        <f>IF(CROQUIS_DATOS!$C$1472=1,TEXT(INDEX(MUROS!$BL$11:$BL$70,DETALLE!$C$7),"0.00")&amp;" / "&amp;TEXT(INDEX(MUROS!$CW$11:$CW$70,DETALLE!$C$7),"0.00")&amp;" t·m = "&amp;TEXT(INDEX(MUROS!$CX$11:$CX$70,DETALLE!$C$7),"0.00"),"—")</f>
        <v>12.00 / 60.91 t·m = 0.20</v>
      </c>
    </row>
    <row r="90" ht="30" customHeight="1">
      <c r="E90" s="55" t="inlineStr">
        <is>
          <t>P_u / P_R (compresión)</t>
        </is>
      </c>
      <c r="F90" s="45" t="str">
        <f>IF(CROQUIS_DATOS!$C$1472=1,TEXT(INDEX(MUROS!$BO$11:$BO$70,DETALLE!$C$7),"0.0")&amp;" / "&amp;TEXT(INDEX(MUROS!$CP$11:$CP$70,DETALLE!$C$7),"0.0")&amp;" t = "&amp;TEXT(INDEX(MUROS!$CQ$11:$CQ$70,DETALLE!$C$7),"0.00"),"—")</f>
        <v>22.0 / 96.0 t = 0.23</v>
      </c>
    </row>
    <row r="91" ht="30" customHeight="1">
      <c r="E91" s="55" t="inlineStr">
        <is>
          <t>Tramos que cuentan</t>
        </is>
      </c>
      <c r="F91" s="45" t="str">
        <f>IF(CROQUIS_DATOS!$C$1472=1,INDEX(MUROS!$CC$11:$CC$70,DETALLE!$C$7)&amp;" · ΣL = "&amp;TEXT(INDEX(MUROS!$CB$11:$CB$70,DETALLE!$C$7),"0.00")&amp;" m","—")</f>
        <v>3 · ΣL = 2.60 m</v>
      </c>
    </row>
    <row r="92" ht="30" customHeight="1">
      <c r="E92" s="55" t="inlineStr">
        <is>
          <t>Castillos</t>
        </is>
      </c>
      <c r="F92" s="45" t="str">
        <f>IF(CROQUIS_DATOS!$C$1472=1,INDEX(MUROS!$CK$11:$CK$70,DETALLE!$C$7)&amp;" pzas ("&amp;INDEX(MUROS!$CJ$11:$CJ$70,DETALLE!$C$7)&amp;" intermedios)","—")</f>
        <v>6 pzas (0 intermedios)</v>
      </c>
    </row>
    <row r="93" ht="30" customHeight="1">
      <c r="E93" s="55" t="inlineStr">
        <is>
          <t>Refuerzo horizontal</t>
        </is>
      </c>
      <c r="F93" s="45" t="str">
        <f>IF(CROQUIS_DATOS!$C$1472=1,INDEX(MUROS!$EA$11:$EA$70,DETALLE!$C$7),"—")</f>
        <v>—</v>
      </c>
    </row>
    <row r="94" ht="30" customHeight="1">
      <c r="E94" s="55" t="inlineStr">
        <is>
          <t>Qué refuerzo horizontal le falta</t>
        </is>
      </c>
      <c r="F94" s="45" t="str">
        <f>IF(CROQUIS_DATOS!$C$1472=1,INDEX(MUROS!$EE$11:$EE$70,DETALLE!$C$7),"—")</f>
        <v>p_h·f_yh ≥ 3.0 kg/cm² → 2 alambres de 3/16" por junta cada 2 hilada(s) (p_h·f_yh = 3.56)</v>
      </c>
    </row>
    <row r="95" ht="30" customHeight="1">
      <c r="E95" s="55" t="inlineStr">
        <is>
          <t>Muro sobre viga (4.1.18)</t>
        </is>
      </c>
      <c r="F95" s="45" t="str">
        <f>IF(CROQUIS_DATOS!$C$1472=1,INDEX(MUROS!$EP$11:$EP$70,DETALLE!$C$7),"—")</f>
        <v>—</v>
      </c>
    </row>
    <row r="96" ht="30" customHeight="1">
      <c r="E96" s="55" t="inlineStr">
        <is>
          <t>ESTADO</t>
        </is>
      </c>
      <c r="F96" s="51" t="str">
        <f>CROQUIS_DATOS!$C$1474</f>
        <v>NO CUMPLE: cortante</v>
      </c>
    </row>
  </sheetData>
  <mergeCells count="4">
    <mergeCell ref="B2:F2"/>
    <mergeCell ref="B4:F4"/>
    <mergeCell ref="B1:F1"/>
    <mergeCell ref="B3:F3"/>
  </mergeCells>
  <conditionalFormatting sqref="F88:F96">
    <cfRule type="expression" priority="1" dxfId="0" stopIfTrue="1">
      <formula>OR(ISNUMBER(FIND("NO CUMPLE",F88)),ISNUMBER(FIND("REVISAR",F88)),ISNUMBER(FIND("FALTA",F88)),ISNUMBER(FIND("NO ALCANZA",F88)),ISNUMBER(FIND("FUERA",F88)),ISNUMBER(FIND("NO CUENTA",F88)),ISNUMBER(FIND("NO ESTÁ",F88)),ISNUMBER(FIND("NO VÁLIDO",F88)))</formula>
    </cfRule>
    <cfRule type="expression" priority="2" dxfId="1" stopIfTrue="1">
      <formula>OR(ISNUMBER(FIND("PENDIENTE",F88)),ISNUMBER(FIND("PROVISIONAL",F88)),ISNUMBER(FIND("ESTIMADO",F88)),ISNUMBER(FIND("VER ",F88)),AND(ISNUMBER(FIND("REQUIERE",F88)),NOT(ISNUMBER(FIND("NO REQUIERE",F88)))),ISNUMBER(FIND("AVISO",F88)))</formula>
    </cfRule>
    <cfRule type="expression" priority="3" dxfId="2" stopIfTrue="1">
      <formula>OR(ISNUMBER(FIND("CUMPLE",F88)),ISNUMBER(FIND("VÁLIDO",F88)),ISNUMBER(FIND("NO REQUIERE",F88)),ISNUMBER(FIND("YA LO TIENE",F88)))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  <rowBreaks count="3" manualBreakCount="3">
    <brk id="36" min="0" max="16383" man="1"/>
    <brk id="67" min="0" max="16383" man="1"/>
    <brk id="108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M103"/>
  <sheetViews>
    <sheetView showGridLines="0" zoomScale="90" workbookViewId="0">
      <selection activeCell="A1" sqref="A1"/>
    </sheetView>
  </sheetViews>
  <sheetFormatPr baseColWidth="8" defaultRowHeight="15"/>
  <cols>
    <col width="1.78" customWidth="1" min="1" max="1"/>
    <col width="14" customWidth="1" min="2" max="2"/>
    <col width="9" customWidth="1" min="3" max="3"/>
    <col width="5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2" customWidth="1" min="11" max="11"/>
    <col width="40" customWidth="1" min="12" max="12"/>
    <col width="36" customWidth="1" min="13" max="13"/>
  </cols>
  <sheetData>
    <row r="1" ht="26" customHeight="1">
      <c r="B1" s="1" t="inlineStr">
        <is>
          <t>RESUMEN — QUÉ MUROS CUMPLEN, CUÁLES NO Y POR QUÉ</t>
        </is>
      </c>
    </row>
    <row r="2" ht="16" customHeight="1">
      <c r="B2" s="4" t="inlineStr">
        <is>
          <t>Sale solo de MUROS, ENTREPISO y DISTORSIONES.</t>
        </is>
      </c>
    </row>
    <row r="3" ht="21" customHeight="1">
      <c r="B3" s="2" t="inlineStr">
        <is>
          <t>1. DATOS QUE MANDAN</t>
        </is>
      </c>
    </row>
    <row r="4" ht="30" customHeight="1">
      <c r="B4" s="5" t="inlineStr">
        <is>
          <t>Concepto</t>
        </is>
      </c>
      <c r="C4" s="5" t="inlineStr">
        <is>
          <t>Valor</t>
        </is>
      </c>
      <c r="D4" s="56" t="n"/>
      <c r="E4" s="56" t="n"/>
      <c r="F4" s="27" t="n"/>
      <c r="G4" s="5" t="inlineStr"/>
    </row>
    <row r="5">
      <c r="B5" s="55" t="inlineStr">
        <is>
          <t>Proyecto</t>
        </is>
      </c>
      <c r="C5" s="42" t="str">
        <f>DATOS!$C$6&amp;" · "&amp;DATOS!$C$14&amp;" · Grupo "&amp;DATOS!$C$7</f>
        <v>(nombre del proyecto) · TIPO I · Grupo B</v>
      </c>
    </row>
    <row r="6">
      <c r="B6" s="55" t="inlineStr">
        <is>
          <t>f'm</t>
        </is>
      </c>
      <c r="C6" s="42" t="str">
        <f>TEXT(DATOS!$C$33,"0.0")&amp;" kg/cm² — "&amp;DATOS!$C$34</f>
        <v>50.0 kg/cm² — PENDIENTE: confirmar f'p con ensayes de piezas (2.8.1.4.3 d)</v>
      </c>
    </row>
    <row r="7">
      <c r="B7" s="55" t="inlineStr">
        <is>
          <t>v'm</t>
        </is>
      </c>
      <c r="C7" s="42" t="str">
        <f>TEXT(DATOS!$C$41,"0.00")&amp;" kg/cm² — "&amp;DATOS!$C$42</f>
        <v>2.00 kg/cm² — PENDIENTE: v'm provisional; estructura TIPO I, hacen falta los ensayes de muretes (2.8.2.4)</v>
      </c>
    </row>
    <row r="8">
      <c r="B8" s="55" t="inlineStr">
        <is>
          <t>Fuerzas</t>
        </is>
      </c>
      <c r="C8" s="42" t="str">
        <f>DATOS!$C$108</f>
        <v>CAPTURA EN MUROS</v>
      </c>
    </row>
    <row r="9">
      <c r="B9" s="55" t="inlineStr">
        <is>
          <t>Sistema (Tabla 4.3.3)</t>
        </is>
      </c>
      <c r="C9" s="42" t="str">
        <f>DATOS!$C$96&amp;": Q = "&amp;DATOS!$C$97&amp;", γ_SV = "&amp;DATOS!$C$98</f>
        <v>CONFINADA DE PIEZAS HUECAS: Q = 1.5, γ_SV = 0.004</v>
      </c>
    </row>
    <row r="10" ht="6" customHeight="1"/>
    <row r="11" ht="21" customHeight="1">
      <c r="B11" s="2" t="inlineStr">
        <is>
          <t>2. CONTEO</t>
        </is>
      </c>
    </row>
    <row r="12">
      <c r="B12" s="55" t="inlineStr">
        <is>
          <t>Muros capturados</t>
        </is>
      </c>
      <c r="C12" s="57" t="n"/>
      <c r="D12" s="29" t="n"/>
      <c r="E12" s="58">
        <f>COUNTIF(MUROS!$BI$11:$BI$70,"SÍ")</f>
        <v>3</v>
      </c>
    </row>
    <row r="13">
      <c r="B13" s="55" t="inlineStr">
        <is>
          <t>CUMPLE</t>
        </is>
      </c>
      <c r="C13" s="57" t="n"/>
      <c r="D13" s="29" t="n"/>
      <c r="E13" s="58">
        <f>COUNTIF(MUROS!$EW$11:$EW$70,"CUMPLE")</f>
        <v>0</v>
      </c>
    </row>
    <row r="14">
      <c r="B14" s="55" t="inlineStr">
        <is>
          <t>CUMPLE — PENDIENTE</t>
        </is>
      </c>
      <c r="C14" s="57" t="n"/>
      <c r="D14" s="29" t="n"/>
      <c r="E14" s="58">
        <f>COUNTIF(MUROS!$EW$11:$EW$70,"CUMPLE — PENDIENTE*")</f>
        <v>2</v>
      </c>
    </row>
    <row r="15">
      <c r="B15" s="55" t="inlineStr">
        <is>
          <t>NO CUMPLE</t>
        </is>
      </c>
      <c r="C15" s="57" t="n"/>
      <c r="D15" s="29" t="n"/>
      <c r="E15" s="58">
        <f>COUNTIF(MUROS!$EW$11:$EW$70,"NO CUMPLE*")</f>
        <v>1</v>
      </c>
    </row>
    <row r="16">
      <c r="B16" s="55" t="inlineStr">
        <is>
          <t>Peor V_u/V_R</t>
        </is>
      </c>
      <c r="C16" s="57" t="n"/>
      <c r="D16" s="29" t="n"/>
      <c r="E16" s="59">
        <f>MAX(MUROS!$EC$11:$EC$70)</f>
        <v>1.19047619047619</v>
      </c>
      <c r="F16" s="42" t="str">
        <f>IFERROR(INDEX(MUROS!$B$11:$B$70,MATCH(E16,MUROS!$EC$11:$EC$70,0)),"")</f>
        <v>M-2</v>
      </c>
    </row>
    <row r="17">
      <c r="B17" s="55" t="inlineStr">
        <is>
          <t>Peor M_u/M_R</t>
        </is>
      </c>
      <c r="C17" s="57" t="n"/>
      <c r="D17" s="29" t="n"/>
      <c r="E17" s="59">
        <f>MAX(MUROS!$CX$11:$CX$70)</f>
        <v>0.197018809878326</v>
      </c>
      <c r="F17" s="42" t="str">
        <f>IFERROR(INDEX(MUROS!$B$11:$B$70,MATCH(E17,MUROS!$CX$11:$CX$70,0)),"")</f>
        <v>M-2</v>
      </c>
    </row>
    <row r="18">
      <c r="B18" s="55" t="inlineStr">
        <is>
          <t>Peor P_u/P_R</t>
        </is>
      </c>
      <c r="C18" s="57" t="n"/>
      <c r="D18" s="29" t="n"/>
      <c r="E18" s="59">
        <f>MAX(MUROS!$CQ$11:$CQ$70)</f>
        <v>0.229251489717862</v>
      </c>
      <c r="F18" s="42" t="str">
        <f>IFERROR(INDEX(MUROS!$B$11:$B$70,MATCH(E18,MUROS!$CQ$11:$CQ$70,0)),"")</f>
        <v>M-2</v>
      </c>
    </row>
    <row r="19" ht="6" customHeight="1"/>
    <row r="20" ht="21" customHeight="1">
      <c r="B20" s="2" t="inlineStr">
        <is>
          <t>3. MUROS</t>
        </is>
      </c>
    </row>
    <row r="21" ht="30" customHeight="1">
      <c r="B21" s="5" t="inlineStr">
        <is>
          <t>Muro</t>
        </is>
      </c>
      <c r="C21" s="5" t="inlineStr">
        <is>
          <t>Story</t>
        </is>
      </c>
      <c r="D21" s="5" t="inlineStr">
        <is>
          <t>Dir.</t>
        </is>
      </c>
      <c r="E21" s="5" t="inlineStr">
        <is>
          <t>L (m)</t>
        </is>
      </c>
      <c r="F21" s="5" t="inlineStr">
        <is>
          <t>V_u (t)</t>
        </is>
      </c>
      <c r="G21" s="5" t="inlineStr">
        <is>
          <t>V_R (t)</t>
        </is>
      </c>
      <c r="H21" s="5" t="inlineStr">
        <is>
          <t>V_u/V_R</t>
        </is>
      </c>
      <c r="I21" s="5" t="inlineStr">
        <is>
          <t>M_u/M_R</t>
        </is>
      </c>
      <c r="J21" s="5" t="inlineStr">
        <is>
          <t>P_u/P_R</t>
        </is>
      </c>
      <c r="K21" s="5" t="inlineStr">
        <is>
          <t>Muro sobre viga</t>
        </is>
      </c>
      <c r="L21" s="5" t="inlineStr">
        <is>
          <t>ESTADO</t>
        </is>
      </c>
      <c r="M21" s="5" t="inlineStr">
        <is>
          <t>Qué refuerzo horizontal le falta</t>
        </is>
      </c>
    </row>
    <row r="22" ht="24" customHeight="1">
      <c r="B22" s="60" t="str">
        <f>IF(MUROS!$BI$11&lt;&gt;"SÍ","",MUROS!$B$11)</f>
        <v>M-1</v>
      </c>
      <c r="C22" s="60" t="str">
        <f>IF(MUROS!$BI$11&lt;&gt;"SÍ","",MUROS!$C$11)</f>
        <v>N1</v>
      </c>
      <c r="D22" s="60" t="str">
        <f>IF(MUROS!$BI$11&lt;&gt;"SÍ","",MUROS!$D$11)</f>
        <v>X</v>
      </c>
      <c r="E22" s="61">
        <f>IF(MUROS!$BI$11&lt;&gt;"SÍ","",MUROS!$F$11)</f>
        <v>4</v>
      </c>
      <c r="F22" s="61">
        <f>IF(MUROS!$BI$11&lt;&gt;"SÍ","",MUROS!$BK$11)</f>
        <v>6</v>
      </c>
      <c r="G22" s="61">
        <f>IF(MUROS!$BI$11&lt;&gt;"SÍ","",MUROS!$EB$11)</f>
        <v>6.99890625</v>
      </c>
      <c r="H22" s="62">
        <f>IF(MUROS!$BI$11&lt;&gt;"SÍ","",MUROS!$EC$11)</f>
        <v>0.857276806643895</v>
      </c>
      <c r="I22" s="63">
        <f>IF(MUROS!$BI$11&lt;&gt;"SÍ","",MUROS!$CX$11)</f>
        <v>0.196485142775929</v>
      </c>
      <c r="J22" s="64">
        <f>IF(MUROS!$BI$11&lt;&gt;"SÍ","",MUROS!$CQ$11)</f>
        <v>0.148905248612203</v>
      </c>
      <c r="K22" s="65" t="str">
        <f>IF(MUROS!$BI$11&lt;&gt;"SÍ","",MUROS!$EP$11)</f>
        <v>—</v>
      </c>
      <c r="L22" s="65" t="str">
        <f>IF(MUROS!$BI$11&lt;&gt;"SÍ","",MUROS!$EW$11)</f>
        <v>CUMPLE — PENDIENTE: v'm provisional</v>
      </c>
      <c r="M22" s="65" t="str">
        <f>IF(MUROS!$BI$11&lt;&gt;"SÍ","",MUROS!$EE$11)</f>
        <v>NO REQUIERE: V_mR ≥ V_u</v>
      </c>
    </row>
    <row r="23" ht="24" customHeight="1">
      <c r="B23" s="60" t="str">
        <f>IF(MUROS!$BI$12&lt;&gt;"SÍ","",MUROS!$B$12)</f>
        <v>M-2</v>
      </c>
      <c r="C23" s="60" t="str">
        <f>IF(MUROS!$BI$12&lt;&gt;"SÍ","",MUROS!$C$12)</f>
        <v>N1</v>
      </c>
      <c r="D23" s="60" t="str">
        <f>IF(MUROS!$BI$12&lt;&gt;"SÍ","",MUROS!$D$12)</f>
        <v>Y</v>
      </c>
      <c r="E23" s="61">
        <f>IF(MUROS!$BI$12&lt;&gt;"SÍ","",MUROS!$F$12)</f>
        <v>5</v>
      </c>
      <c r="F23" s="61">
        <f>IF(MUROS!$BI$12&lt;&gt;"SÍ","",MUROS!$BK$12)</f>
        <v>5.5</v>
      </c>
      <c r="G23" s="61">
        <f>IF(MUROS!$BI$12&lt;&gt;"SÍ","",MUROS!$EB$12)</f>
        <v>4.62</v>
      </c>
      <c r="H23" s="62">
        <f>IF(MUROS!$BI$12&lt;&gt;"SÍ","",MUROS!$EC$12)</f>
        <v>1.19047619047619</v>
      </c>
      <c r="I23" s="63">
        <f>IF(MUROS!$BI$12&lt;&gt;"SÍ","",MUROS!$CX$12)</f>
        <v>0.197018809878326</v>
      </c>
      <c r="J23" s="64">
        <f>IF(MUROS!$BI$12&lt;&gt;"SÍ","",MUROS!$CQ$12)</f>
        <v>0.229251489717862</v>
      </c>
      <c r="K23" s="65" t="str">
        <f>IF(MUROS!$BI$12&lt;&gt;"SÍ","",MUROS!$EP$12)</f>
        <v>—</v>
      </c>
      <c r="L23" s="65" t="str">
        <f>IF(MUROS!$BI$12&lt;&gt;"SÍ","",MUROS!$EW$12)</f>
        <v>NO CUMPLE: cortante</v>
      </c>
      <c r="M23" s="65" t="str">
        <f>IF(MUROS!$BI$12&lt;&gt;"SÍ","",MUROS!$EE$12)</f>
        <v>p_h·f_yh ≥ 3.0 kg/cm² → 2 alambres de 3/16" por junta cada 2 hilada(s) (p_h·f_yh = 3.56)</v>
      </c>
    </row>
    <row r="24" ht="24" customHeight="1">
      <c r="B24" s="60" t="str">
        <f>IF(MUROS!$BI$13&lt;&gt;"SÍ","",MUROS!$B$13)</f>
        <v>M-3</v>
      </c>
      <c r="C24" s="60" t="str">
        <f>IF(MUROS!$BI$13&lt;&gt;"SÍ","",MUROS!$C$13)</f>
        <v>N2</v>
      </c>
      <c r="D24" s="60" t="str">
        <f>IF(MUROS!$BI$13&lt;&gt;"SÍ","",MUROS!$D$13)</f>
        <v>X</v>
      </c>
      <c r="E24" s="61">
        <f>IF(MUROS!$BI$13&lt;&gt;"SÍ","",MUROS!$F$13)</f>
        <v>3.6</v>
      </c>
      <c r="F24" s="61">
        <f>IF(MUROS!$BI$13&lt;&gt;"SÍ","",MUROS!$BK$13)</f>
        <v>3</v>
      </c>
      <c r="G24" s="61">
        <f>IF(MUROS!$BI$13&lt;&gt;"SÍ","",MUROS!$EB$13)</f>
        <v>5.50229166666667</v>
      </c>
      <c r="H24" s="62">
        <f>IF(MUROS!$BI$13&lt;&gt;"SÍ","",MUROS!$EC$13)</f>
        <v>0.545227367384802</v>
      </c>
      <c r="I24" s="63">
        <f>IF(MUROS!$BI$13&lt;&gt;"SÍ","",MUROS!$CX$13)</f>
        <v>0.159683698529952</v>
      </c>
      <c r="J24" s="64">
        <f>IF(MUROS!$BI$13&lt;&gt;"SÍ","",MUROS!$CQ$13)</f>
        <v>0.0850756833278885</v>
      </c>
      <c r="K24" s="65" t="str">
        <f>IF(MUROS!$BI$13&lt;&gt;"SÍ","",MUROS!$EP$13)</f>
        <v>CUMPLE</v>
      </c>
      <c r="L24" s="65" t="str">
        <f>IF(MUROS!$BI$13&lt;&gt;"SÍ","",MUROS!$EW$13)</f>
        <v>CUMPLE — PENDIENTE: v'm provisional</v>
      </c>
      <c r="M24" s="65" t="str">
        <f>IF(MUROS!$BI$13&lt;&gt;"SÍ","",MUROS!$EE$13)</f>
        <v>NO REQUIERE: V_mR ≥ V_u</v>
      </c>
    </row>
    <row r="25" ht="24" customHeight="1">
      <c r="B25" s="60" t="str">
        <f>IF(MUROS!$BI$14&lt;&gt;"SÍ","",MUROS!$B$14)</f>
        <v/>
      </c>
      <c r="C25" s="60" t="str">
        <f>IF(MUROS!$BI$14&lt;&gt;"SÍ","",MUROS!$C$14)</f>
        <v/>
      </c>
      <c r="D25" s="60" t="str">
        <f>IF(MUROS!$BI$14&lt;&gt;"SÍ","",MUROS!$D$14)</f>
        <v/>
      </c>
      <c r="E25" s="61" t="str">
        <f>IF(MUROS!$BI$14&lt;&gt;"SÍ","",MUROS!$F$14)</f>
        <v/>
      </c>
      <c r="F25" s="61" t="str">
        <f>IF(MUROS!$BI$14&lt;&gt;"SÍ","",MUROS!$BK$14)</f>
        <v/>
      </c>
      <c r="G25" s="61" t="str">
        <f>IF(MUROS!$BI$14&lt;&gt;"SÍ","",MUROS!$EB$14)</f>
        <v/>
      </c>
      <c r="H25" s="62" t="str">
        <f>IF(MUROS!$BI$14&lt;&gt;"SÍ","",MUROS!$EC$14)</f>
        <v/>
      </c>
      <c r="I25" s="63" t="str">
        <f>IF(MUROS!$BI$14&lt;&gt;"SÍ","",MUROS!$CX$14)</f>
        <v/>
      </c>
      <c r="J25" s="64" t="str">
        <f>IF(MUROS!$BI$14&lt;&gt;"SÍ","",MUROS!$CQ$14)</f>
        <v/>
      </c>
      <c r="K25" s="65" t="str">
        <f>IF(MUROS!$BI$14&lt;&gt;"SÍ","",MUROS!$EP$14)</f>
        <v/>
      </c>
      <c r="L25" s="65" t="str">
        <f>IF(MUROS!$BI$14&lt;&gt;"SÍ","",MUROS!$EW$14)</f>
        <v/>
      </c>
      <c r="M25" s="65" t="str">
        <f>IF(MUROS!$BI$14&lt;&gt;"SÍ","",MUROS!$EE$14)</f>
        <v/>
      </c>
    </row>
    <row r="26" ht="24" customHeight="1">
      <c r="B26" s="60" t="str">
        <f>IF(MUROS!$BI$15&lt;&gt;"SÍ","",MUROS!$B$15)</f>
        <v/>
      </c>
      <c r="C26" s="60" t="str">
        <f>IF(MUROS!$BI$15&lt;&gt;"SÍ","",MUROS!$C$15)</f>
        <v/>
      </c>
      <c r="D26" s="60" t="str">
        <f>IF(MUROS!$BI$15&lt;&gt;"SÍ","",MUROS!$D$15)</f>
        <v/>
      </c>
      <c r="E26" s="61" t="str">
        <f>IF(MUROS!$BI$15&lt;&gt;"SÍ","",MUROS!$F$15)</f>
        <v/>
      </c>
      <c r="F26" s="61" t="str">
        <f>IF(MUROS!$BI$15&lt;&gt;"SÍ","",MUROS!$BK$15)</f>
        <v/>
      </c>
      <c r="G26" s="61" t="str">
        <f>IF(MUROS!$BI$15&lt;&gt;"SÍ","",MUROS!$EB$15)</f>
        <v/>
      </c>
      <c r="H26" s="62" t="str">
        <f>IF(MUROS!$BI$15&lt;&gt;"SÍ","",MUROS!$EC$15)</f>
        <v/>
      </c>
      <c r="I26" s="63" t="str">
        <f>IF(MUROS!$BI$15&lt;&gt;"SÍ","",MUROS!$CX$15)</f>
        <v/>
      </c>
      <c r="J26" s="64" t="str">
        <f>IF(MUROS!$BI$15&lt;&gt;"SÍ","",MUROS!$CQ$15)</f>
        <v/>
      </c>
      <c r="K26" s="65" t="str">
        <f>IF(MUROS!$BI$15&lt;&gt;"SÍ","",MUROS!$EP$15)</f>
        <v/>
      </c>
      <c r="L26" s="65" t="str">
        <f>IF(MUROS!$BI$15&lt;&gt;"SÍ","",MUROS!$EW$15)</f>
        <v/>
      </c>
      <c r="M26" s="65" t="str">
        <f>IF(MUROS!$BI$15&lt;&gt;"SÍ","",MUROS!$EE$15)</f>
        <v/>
      </c>
    </row>
    <row r="27" ht="24" customHeight="1">
      <c r="B27" s="60" t="str">
        <f>IF(MUROS!$BI$16&lt;&gt;"SÍ","",MUROS!$B$16)</f>
        <v/>
      </c>
      <c r="C27" s="60" t="str">
        <f>IF(MUROS!$BI$16&lt;&gt;"SÍ","",MUROS!$C$16)</f>
        <v/>
      </c>
      <c r="D27" s="60" t="str">
        <f>IF(MUROS!$BI$16&lt;&gt;"SÍ","",MUROS!$D$16)</f>
        <v/>
      </c>
      <c r="E27" s="61" t="str">
        <f>IF(MUROS!$BI$16&lt;&gt;"SÍ","",MUROS!$F$16)</f>
        <v/>
      </c>
      <c r="F27" s="61" t="str">
        <f>IF(MUROS!$BI$16&lt;&gt;"SÍ","",MUROS!$BK$16)</f>
        <v/>
      </c>
      <c r="G27" s="61" t="str">
        <f>IF(MUROS!$BI$16&lt;&gt;"SÍ","",MUROS!$EB$16)</f>
        <v/>
      </c>
      <c r="H27" s="62" t="str">
        <f>IF(MUROS!$BI$16&lt;&gt;"SÍ","",MUROS!$EC$16)</f>
        <v/>
      </c>
      <c r="I27" s="63" t="str">
        <f>IF(MUROS!$BI$16&lt;&gt;"SÍ","",MUROS!$CX$16)</f>
        <v/>
      </c>
      <c r="J27" s="64" t="str">
        <f>IF(MUROS!$BI$16&lt;&gt;"SÍ","",MUROS!$CQ$16)</f>
        <v/>
      </c>
      <c r="K27" s="65" t="str">
        <f>IF(MUROS!$BI$16&lt;&gt;"SÍ","",MUROS!$EP$16)</f>
        <v/>
      </c>
      <c r="L27" s="65" t="str">
        <f>IF(MUROS!$BI$16&lt;&gt;"SÍ","",MUROS!$EW$16)</f>
        <v/>
      </c>
      <c r="M27" s="65" t="str">
        <f>IF(MUROS!$BI$16&lt;&gt;"SÍ","",MUROS!$EE$16)</f>
        <v/>
      </c>
    </row>
    <row r="28" ht="24" customHeight="1">
      <c r="B28" s="60" t="str">
        <f>IF(MUROS!$BI$17&lt;&gt;"SÍ","",MUROS!$B$17)</f>
        <v/>
      </c>
      <c r="C28" s="60" t="str">
        <f>IF(MUROS!$BI$17&lt;&gt;"SÍ","",MUROS!$C$17)</f>
        <v/>
      </c>
      <c r="D28" s="60" t="str">
        <f>IF(MUROS!$BI$17&lt;&gt;"SÍ","",MUROS!$D$17)</f>
        <v/>
      </c>
      <c r="E28" s="61" t="str">
        <f>IF(MUROS!$BI$17&lt;&gt;"SÍ","",MUROS!$F$17)</f>
        <v/>
      </c>
      <c r="F28" s="61" t="str">
        <f>IF(MUROS!$BI$17&lt;&gt;"SÍ","",MUROS!$BK$17)</f>
        <v/>
      </c>
      <c r="G28" s="61" t="str">
        <f>IF(MUROS!$BI$17&lt;&gt;"SÍ","",MUROS!$EB$17)</f>
        <v/>
      </c>
      <c r="H28" s="62" t="str">
        <f>IF(MUROS!$BI$17&lt;&gt;"SÍ","",MUROS!$EC$17)</f>
        <v/>
      </c>
      <c r="I28" s="63" t="str">
        <f>IF(MUROS!$BI$17&lt;&gt;"SÍ","",MUROS!$CX$17)</f>
        <v/>
      </c>
      <c r="J28" s="64" t="str">
        <f>IF(MUROS!$BI$17&lt;&gt;"SÍ","",MUROS!$CQ$17)</f>
        <v/>
      </c>
      <c r="K28" s="65" t="str">
        <f>IF(MUROS!$BI$17&lt;&gt;"SÍ","",MUROS!$EP$17)</f>
        <v/>
      </c>
      <c r="L28" s="65" t="str">
        <f>IF(MUROS!$BI$17&lt;&gt;"SÍ","",MUROS!$EW$17)</f>
        <v/>
      </c>
      <c r="M28" s="65" t="str">
        <f>IF(MUROS!$BI$17&lt;&gt;"SÍ","",MUROS!$EE$17)</f>
        <v/>
      </c>
    </row>
    <row r="29" ht="24" customHeight="1">
      <c r="B29" s="60" t="str">
        <f>IF(MUROS!$BI$18&lt;&gt;"SÍ","",MUROS!$B$18)</f>
        <v/>
      </c>
      <c r="C29" s="60" t="str">
        <f>IF(MUROS!$BI$18&lt;&gt;"SÍ","",MUROS!$C$18)</f>
        <v/>
      </c>
      <c r="D29" s="60" t="str">
        <f>IF(MUROS!$BI$18&lt;&gt;"SÍ","",MUROS!$D$18)</f>
        <v/>
      </c>
      <c r="E29" s="61" t="str">
        <f>IF(MUROS!$BI$18&lt;&gt;"SÍ","",MUROS!$F$18)</f>
        <v/>
      </c>
      <c r="F29" s="61" t="str">
        <f>IF(MUROS!$BI$18&lt;&gt;"SÍ","",MUROS!$BK$18)</f>
        <v/>
      </c>
      <c r="G29" s="61" t="str">
        <f>IF(MUROS!$BI$18&lt;&gt;"SÍ","",MUROS!$EB$18)</f>
        <v/>
      </c>
      <c r="H29" s="62" t="str">
        <f>IF(MUROS!$BI$18&lt;&gt;"SÍ","",MUROS!$EC$18)</f>
        <v/>
      </c>
      <c r="I29" s="63" t="str">
        <f>IF(MUROS!$BI$18&lt;&gt;"SÍ","",MUROS!$CX$18)</f>
        <v/>
      </c>
      <c r="J29" s="64" t="str">
        <f>IF(MUROS!$BI$18&lt;&gt;"SÍ","",MUROS!$CQ$18)</f>
        <v/>
      </c>
      <c r="K29" s="65" t="str">
        <f>IF(MUROS!$BI$18&lt;&gt;"SÍ","",MUROS!$EP$18)</f>
        <v/>
      </c>
      <c r="L29" s="65" t="str">
        <f>IF(MUROS!$BI$18&lt;&gt;"SÍ","",MUROS!$EW$18)</f>
        <v/>
      </c>
      <c r="M29" s="65" t="str">
        <f>IF(MUROS!$BI$18&lt;&gt;"SÍ","",MUROS!$EE$18)</f>
        <v/>
      </c>
    </row>
    <row r="30" ht="24" customHeight="1">
      <c r="B30" s="60" t="str">
        <f>IF(MUROS!$BI$19&lt;&gt;"SÍ","",MUROS!$B$19)</f>
        <v/>
      </c>
      <c r="C30" s="60" t="str">
        <f>IF(MUROS!$BI$19&lt;&gt;"SÍ","",MUROS!$C$19)</f>
        <v/>
      </c>
      <c r="D30" s="60" t="str">
        <f>IF(MUROS!$BI$19&lt;&gt;"SÍ","",MUROS!$D$19)</f>
        <v/>
      </c>
      <c r="E30" s="61" t="str">
        <f>IF(MUROS!$BI$19&lt;&gt;"SÍ","",MUROS!$F$19)</f>
        <v/>
      </c>
      <c r="F30" s="61" t="str">
        <f>IF(MUROS!$BI$19&lt;&gt;"SÍ","",MUROS!$BK$19)</f>
        <v/>
      </c>
      <c r="G30" s="61" t="str">
        <f>IF(MUROS!$BI$19&lt;&gt;"SÍ","",MUROS!$EB$19)</f>
        <v/>
      </c>
      <c r="H30" s="62" t="str">
        <f>IF(MUROS!$BI$19&lt;&gt;"SÍ","",MUROS!$EC$19)</f>
        <v/>
      </c>
      <c r="I30" s="63" t="str">
        <f>IF(MUROS!$BI$19&lt;&gt;"SÍ","",MUROS!$CX$19)</f>
        <v/>
      </c>
      <c r="J30" s="64" t="str">
        <f>IF(MUROS!$BI$19&lt;&gt;"SÍ","",MUROS!$CQ$19)</f>
        <v/>
      </c>
      <c r="K30" s="65" t="str">
        <f>IF(MUROS!$BI$19&lt;&gt;"SÍ","",MUROS!$EP$19)</f>
        <v/>
      </c>
      <c r="L30" s="65" t="str">
        <f>IF(MUROS!$BI$19&lt;&gt;"SÍ","",MUROS!$EW$19)</f>
        <v/>
      </c>
      <c r="M30" s="65" t="str">
        <f>IF(MUROS!$BI$19&lt;&gt;"SÍ","",MUROS!$EE$19)</f>
        <v/>
      </c>
    </row>
    <row r="31" ht="24" customHeight="1">
      <c r="B31" s="60" t="str">
        <f>IF(MUROS!$BI$20&lt;&gt;"SÍ","",MUROS!$B$20)</f>
        <v/>
      </c>
      <c r="C31" s="60" t="str">
        <f>IF(MUROS!$BI$20&lt;&gt;"SÍ","",MUROS!$C$20)</f>
        <v/>
      </c>
      <c r="D31" s="60" t="str">
        <f>IF(MUROS!$BI$20&lt;&gt;"SÍ","",MUROS!$D$20)</f>
        <v/>
      </c>
      <c r="E31" s="61" t="str">
        <f>IF(MUROS!$BI$20&lt;&gt;"SÍ","",MUROS!$F$20)</f>
        <v/>
      </c>
      <c r="F31" s="61" t="str">
        <f>IF(MUROS!$BI$20&lt;&gt;"SÍ","",MUROS!$BK$20)</f>
        <v/>
      </c>
      <c r="G31" s="61" t="str">
        <f>IF(MUROS!$BI$20&lt;&gt;"SÍ","",MUROS!$EB$20)</f>
        <v/>
      </c>
      <c r="H31" s="62" t="str">
        <f>IF(MUROS!$BI$20&lt;&gt;"SÍ","",MUROS!$EC$20)</f>
        <v/>
      </c>
      <c r="I31" s="63" t="str">
        <f>IF(MUROS!$BI$20&lt;&gt;"SÍ","",MUROS!$CX$20)</f>
        <v/>
      </c>
      <c r="J31" s="64" t="str">
        <f>IF(MUROS!$BI$20&lt;&gt;"SÍ","",MUROS!$CQ$20)</f>
        <v/>
      </c>
      <c r="K31" s="65" t="str">
        <f>IF(MUROS!$BI$20&lt;&gt;"SÍ","",MUROS!$EP$20)</f>
        <v/>
      </c>
      <c r="L31" s="65" t="str">
        <f>IF(MUROS!$BI$20&lt;&gt;"SÍ","",MUROS!$EW$20)</f>
        <v/>
      </c>
      <c r="M31" s="65" t="str">
        <f>IF(MUROS!$BI$20&lt;&gt;"SÍ","",MUROS!$EE$20)</f>
        <v/>
      </c>
    </row>
    <row r="32" ht="24" customHeight="1">
      <c r="B32" s="60" t="str">
        <f>IF(MUROS!$BI$21&lt;&gt;"SÍ","",MUROS!$B$21)</f>
        <v/>
      </c>
      <c r="C32" s="60" t="str">
        <f>IF(MUROS!$BI$21&lt;&gt;"SÍ","",MUROS!$C$21)</f>
        <v/>
      </c>
      <c r="D32" s="60" t="str">
        <f>IF(MUROS!$BI$21&lt;&gt;"SÍ","",MUROS!$D$21)</f>
        <v/>
      </c>
      <c r="E32" s="61" t="str">
        <f>IF(MUROS!$BI$21&lt;&gt;"SÍ","",MUROS!$F$21)</f>
        <v/>
      </c>
      <c r="F32" s="61" t="str">
        <f>IF(MUROS!$BI$21&lt;&gt;"SÍ","",MUROS!$BK$21)</f>
        <v/>
      </c>
      <c r="G32" s="61" t="str">
        <f>IF(MUROS!$BI$21&lt;&gt;"SÍ","",MUROS!$EB$21)</f>
        <v/>
      </c>
      <c r="H32" s="62" t="str">
        <f>IF(MUROS!$BI$21&lt;&gt;"SÍ","",MUROS!$EC$21)</f>
        <v/>
      </c>
      <c r="I32" s="63" t="str">
        <f>IF(MUROS!$BI$21&lt;&gt;"SÍ","",MUROS!$CX$21)</f>
        <v/>
      </c>
      <c r="J32" s="64" t="str">
        <f>IF(MUROS!$BI$21&lt;&gt;"SÍ","",MUROS!$CQ$21)</f>
        <v/>
      </c>
      <c r="K32" s="65" t="str">
        <f>IF(MUROS!$BI$21&lt;&gt;"SÍ","",MUROS!$EP$21)</f>
        <v/>
      </c>
      <c r="L32" s="65" t="str">
        <f>IF(MUROS!$BI$21&lt;&gt;"SÍ","",MUROS!$EW$21)</f>
        <v/>
      </c>
      <c r="M32" s="65" t="str">
        <f>IF(MUROS!$BI$21&lt;&gt;"SÍ","",MUROS!$EE$21)</f>
        <v/>
      </c>
    </row>
    <row r="33" ht="24" customHeight="1">
      <c r="B33" s="60" t="str">
        <f>IF(MUROS!$BI$22&lt;&gt;"SÍ","",MUROS!$B$22)</f>
        <v/>
      </c>
      <c r="C33" s="60" t="str">
        <f>IF(MUROS!$BI$22&lt;&gt;"SÍ","",MUROS!$C$22)</f>
        <v/>
      </c>
      <c r="D33" s="60" t="str">
        <f>IF(MUROS!$BI$22&lt;&gt;"SÍ","",MUROS!$D$22)</f>
        <v/>
      </c>
      <c r="E33" s="61" t="str">
        <f>IF(MUROS!$BI$22&lt;&gt;"SÍ","",MUROS!$F$22)</f>
        <v/>
      </c>
      <c r="F33" s="61" t="str">
        <f>IF(MUROS!$BI$22&lt;&gt;"SÍ","",MUROS!$BK$22)</f>
        <v/>
      </c>
      <c r="G33" s="61" t="str">
        <f>IF(MUROS!$BI$22&lt;&gt;"SÍ","",MUROS!$EB$22)</f>
        <v/>
      </c>
      <c r="H33" s="62" t="str">
        <f>IF(MUROS!$BI$22&lt;&gt;"SÍ","",MUROS!$EC$22)</f>
        <v/>
      </c>
      <c r="I33" s="63" t="str">
        <f>IF(MUROS!$BI$22&lt;&gt;"SÍ","",MUROS!$CX$22)</f>
        <v/>
      </c>
      <c r="J33" s="64" t="str">
        <f>IF(MUROS!$BI$22&lt;&gt;"SÍ","",MUROS!$CQ$22)</f>
        <v/>
      </c>
      <c r="K33" s="65" t="str">
        <f>IF(MUROS!$BI$22&lt;&gt;"SÍ","",MUROS!$EP$22)</f>
        <v/>
      </c>
      <c r="L33" s="65" t="str">
        <f>IF(MUROS!$BI$22&lt;&gt;"SÍ","",MUROS!$EW$22)</f>
        <v/>
      </c>
      <c r="M33" s="65" t="str">
        <f>IF(MUROS!$BI$22&lt;&gt;"SÍ","",MUROS!$EE$22)</f>
        <v/>
      </c>
    </row>
    <row r="34" ht="24" customHeight="1">
      <c r="B34" s="60" t="str">
        <f>IF(MUROS!$BI$23&lt;&gt;"SÍ","",MUROS!$B$23)</f>
        <v/>
      </c>
      <c r="C34" s="60" t="str">
        <f>IF(MUROS!$BI$23&lt;&gt;"SÍ","",MUROS!$C$23)</f>
        <v/>
      </c>
      <c r="D34" s="60" t="str">
        <f>IF(MUROS!$BI$23&lt;&gt;"SÍ","",MUROS!$D$23)</f>
        <v/>
      </c>
      <c r="E34" s="61" t="str">
        <f>IF(MUROS!$BI$23&lt;&gt;"SÍ","",MUROS!$F$23)</f>
        <v/>
      </c>
      <c r="F34" s="61" t="str">
        <f>IF(MUROS!$BI$23&lt;&gt;"SÍ","",MUROS!$BK$23)</f>
        <v/>
      </c>
      <c r="G34" s="61" t="str">
        <f>IF(MUROS!$BI$23&lt;&gt;"SÍ","",MUROS!$EB$23)</f>
        <v/>
      </c>
      <c r="H34" s="62" t="str">
        <f>IF(MUROS!$BI$23&lt;&gt;"SÍ","",MUROS!$EC$23)</f>
        <v/>
      </c>
      <c r="I34" s="63" t="str">
        <f>IF(MUROS!$BI$23&lt;&gt;"SÍ","",MUROS!$CX$23)</f>
        <v/>
      </c>
      <c r="J34" s="64" t="str">
        <f>IF(MUROS!$BI$23&lt;&gt;"SÍ","",MUROS!$CQ$23)</f>
        <v/>
      </c>
      <c r="K34" s="65" t="str">
        <f>IF(MUROS!$BI$23&lt;&gt;"SÍ","",MUROS!$EP$23)</f>
        <v/>
      </c>
      <c r="L34" s="65" t="str">
        <f>IF(MUROS!$BI$23&lt;&gt;"SÍ","",MUROS!$EW$23)</f>
        <v/>
      </c>
      <c r="M34" s="65" t="str">
        <f>IF(MUROS!$BI$23&lt;&gt;"SÍ","",MUROS!$EE$23)</f>
        <v/>
      </c>
    </row>
    <row r="35" ht="24" customHeight="1">
      <c r="B35" s="60" t="str">
        <f>IF(MUROS!$BI$24&lt;&gt;"SÍ","",MUROS!$B$24)</f>
        <v/>
      </c>
      <c r="C35" s="60" t="str">
        <f>IF(MUROS!$BI$24&lt;&gt;"SÍ","",MUROS!$C$24)</f>
        <v/>
      </c>
      <c r="D35" s="60" t="str">
        <f>IF(MUROS!$BI$24&lt;&gt;"SÍ","",MUROS!$D$24)</f>
        <v/>
      </c>
      <c r="E35" s="61" t="str">
        <f>IF(MUROS!$BI$24&lt;&gt;"SÍ","",MUROS!$F$24)</f>
        <v/>
      </c>
      <c r="F35" s="61" t="str">
        <f>IF(MUROS!$BI$24&lt;&gt;"SÍ","",MUROS!$BK$24)</f>
        <v/>
      </c>
      <c r="G35" s="61" t="str">
        <f>IF(MUROS!$BI$24&lt;&gt;"SÍ","",MUROS!$EB$24)</f>
        <v/>
      </c>
      <c r="H35" s="62" t="str">
        <f>IF(MUROS!$BI$24&lt;&gt;"SÍ","",MUROS!$EC$24)</f>
        <v/>
      </c>
      <c r="I35" s="63" t="str">
        <f>IF(MUROS!$BI$24&lt;&gt;"SÍ","",MUROS!$CX$24)</f>
        <v/>
      </c>
      <c r="J35" s="64" t="str">
        <f>IF(MUROS!$BI$24&lt;&gt;"SÍ","",MUROS!$CQ$24)</f>
        <v/>
      </c>
      <c r="K35" s="65" t="str">
        <f>IF(MUROS!$BI$24&lt;&gt;"SÍ","",MUROS!$EP$24)</f>
        <v/>
      </c>
      <c r="L35" s="65" t="str">
        <f>IF(MUROS!$BI$24&lt;&gt;"SÍ","",MUROS!$EW$24)</f>
        <v/>
      </c>
      <c r="M35" s="65" t="str">
        <f>IF(MUROS!$BI$24&lt;&gt;"SÍ","",MUROS!$EE$24)</f>
        <v/>
      </c>
    </row>
    <row r="36" ht="24" customHeight="1">
      <c r="B36" s="60" t="str">
        <f>IF(MUROS!$BI$25&lt;&gt;"SÍ","",MUROS!$B$25)</f>
        <v/>
      </c>
      <c r="C36" s="60" t="str">
        <f>IF(MUROS!$BI$25&lt;&gt;"SÍ","",MUROS!$C$25)</f>
        <v/>
      </c>
      <c r="D36" s="60" t="str">
        <f>IF(MUROS!$BI$25&lt;&gt;"SÍ","",MUROS!$D$25)</f>
        <v/>
      </c>
      <c r="E36" s="61" t="str">
        <f>IF(MUROS!$BI$25&lt;&gt;"SÍ","",MUROS!$F$25)</f>
        <v/>
      </c>
      <c r="F36" s="61" t="str">
        <f>IF(MUROS!$BI$25&lt;&gt;"SÍ","",MUROS!$BK$25)</f>
        <v/>
      </c>
      <c r="G36" s="61" t="str">
        <f>IF(MUROS!$BI$25&lt;&gt;"SÍ","",MUROS!$EB$25)</f>
        <v/>
      </c>
      <c r="H36" s="62" t="str">
        <f>IF(MUROS!$BI$25&lt;&gt;"SÍ","",MUROS!$EC$25)</f>
        <v/>
      </c>
      <c r="I36" s="63" t="str">
        <f>IF(MUROS!$BI$25&lt;&gt;"SÍ","",MUROS!$CX$25)</f>
        <v/>
      </c>
      <c r="J36" s="64" t="str">
        <f>IF(MUROS!$BI$25&lt;&gt;"SÍ","",MUROS!$CQ$25)</f>
        <v/>
      </c>
      <c r="K36" s="65" t="str">
        <f>IF(MUROS!$BI$25&lt;&gt;"SÍ","",MUROS!$EP$25)</f>
        <v/>
      </c>
      <c r="L36" s="65" t="str">
        <f>IF(MUROS!$BI$25&lt;&gt;"SÍ","",MUROS!$EW$25)</f>
        <v/>
      </c>
      <c r="M36" s="65" t="str">
        <f>IF(MUROS!$BI$25&lt;&gt;"SÍ","",MUROS!$EE$25)</f>
        <v/>
      </c>
    </row>
    <row r="37" ht="24" customHeight="1">
      <c r="B37" s="60" t="str">
        <f>IF(MUROS!$BI$26&lt;&gt;"SÍ","",MUROS!$B$26)</f>
        <v/>
      </c>
      <c r="C37" s="60" t="str">
        <f>IF(MUROS!$BI$26&lt;&gt;"SÍ","",MUROS!$C$26)</f>
        <v/>
      </c>
      <c r="D37" s="60" t="str">
        <f>IF(MUROS!$BI$26&lt;&gt;"SÍ","",MUROS!$D$26)</f>
        <v/>
      </c>
      <c r="E37" s="61" t="str">
        <f>IF(MUROS!$BI$26&lt;&gt;"SÍ","",MUROS!$F$26)</f>
        <v/>
      </c>
      <c r="F37" s="61" t="str">
        <f>IF(MUROS!$BI$26&lt;&gt;"SÍ","",MUROS!$BK$26)</f>
        <v/>
      </c>
      <c r="G37" s="61" t="str">
        <f>IF(MUROS!$BI$26&lt;&gt;"SÍ","",MUROS!$EB$26)</f>
        <v/>
      </c>
      <c r="H37" s="62" t="str">
        <f>IF(MUROS!$BI$26&lt;&gt;"SÍ","",MUROS!$EC$26)</f>
        <v/>
      </c>
      <c r="I37" s="63" t="str">
        <f>IF(MUROS!$BI$26&lt;&gt;"SÍ","",MUROS!$CX$26)</f>
        <v/>
      </c>
      <c r="J37" s="64" t="str">
        <f>IF(MUROS!$BI$26&lt;&gt;"SÍ","",MUROS!$CQ$26)</f>
        <v/>
      </c>
      <c r="K37" s="65" t="str">
        <f>IF(MUROS!$BI$26&lt;&gt;"SÍ","",MUROS!$EP$26)</f>
        <v/>
      </c>
      <c r="L37" s="65" t="str">
        <f>IF(MUROS!$BI$26&lt;&gt;"SÍ","",MUROS!$EW$26)</f>
        <v/>
      </c>
      <c r="M37" s="65" t="str">
        <f>IF(MUROS!$BI$26&lt;&gt;"SÍ","",MUROS!$EE$26)</f>
        <v/>
      </c>
    </row>
    <row r="38" ht="24" customHeight="1">
      <c r="B38" s="60" t="str">
        <f>IF(MUROS!$BI$27&lt;&gt;"SÍ","",MUROS!$B$27)</f>
        <v/>
      </c>
      <c r="C38" s="60" t="str">
        <f>IF(MUROS!$BI$27&lt;&gt;"SÍ","",MUROS!$C$27)</f>
        <v/>
      </c>
      <c r="D38" s="60" t="str">
        <f>IF(MUROS!$BI$27&lt;&gt;"SÍ","",MUROS!$D$27)</f>
        <v/>
      </c>
      <c r="E38" s="61" t="str">
        <f>IF(MUROS!$BI$27&lt;&gt;"SÍ","",MUROS!$F$27)</f>
        <v/>
      </c>
      <c r="F38" s="61" t="str">
        <f>IF(MUROS!$BI$27&lt;&gt;"SÍ","",MUROS!$BK$27)</f>
        <v/>
      </c>
      <c r="G38" s="61" t="str">
        <f>IF(MUROS!$BI$27&lt;&gt;"SÍ","",MUROS!$EB$27)</f>
        <v/>
      </c>
      <c r="H38" s="62" t="str">
        <f>IF(MUROS!$BI$27&lt;&gt;"SÍ","",MUROS!$EC$27)</f>
        <v/>
      </c>
      <c r="I38" s="63" t="str">
        <f>IF(MUROS!$BI$27&lt;&gt;"SÍ","",MUROS!$CX$27)</f>
        <v/>
      </c>
      <c r="J38" s="64" t="str">
        <f>IF(MUROS!$BI$27&lt;&gt;"SÍ","",MUROS!$CQ$27)</f>
        <v/>
      </c>
      <c r="K38" s="65" t="str">
        <f>IF(MUROS!$BI$27&lt;&gt;"SÍ","",MUROS!$EP$27)</f>
        <v/>
      </c>
      <c r="L38" s="65" t="str">
        <f>IF(MUROS!$BI$27&lt;&gt;"SÍ","",MUROS!$EW$27)</f>
        <v/>
      </c>
      <c r="M38" s="65" t="str">
        <f>IF(MUROS!$BI$27&lt;&gt;"SÍ","",MUROS!$EE$27)</f>
        <v/>
      </c>
    </row>
    <row r="39" ht="24" customHeight="1">
      <c r="B39" s="60" t="str">
        <f>IF(MUROS!$BI$28&lt;&gt;"SÍ","",MUROS!$B$28)</f>
        <v/>
      </c>
      <c r="C39" s="60" t="str">
        <f>IF(MUROS!$BI$28&lt;&gt;"SÍ","",MUROS!$C$28)</f>
        <v/>
      </c>
      <c r="D39" s="60" t="str">
        <f>IF(MUROS!$BI$28&lt;&gt;"SÍ","",MUROS!$D$28)</f>
        <v/>
      </c>
      <c r="E39" s="61" t="str">
        <f>IF(MUROS!$BI$28&lt;&gt;"SÍ","",MUROS!$F$28)</f>
        <v/>
      </c>
      <c r="F39" s="61" t="str">
        <f>IF(MUROS!$BI$28&lt;&gt;"SÍ","",MUROS!$BK$28)</f>
        <v/>
      </c>
      <c r="G39" s="61" t="str">
        <f>IF(MUROS!$BI$28&lt;&gt;"SÍ","",MUROS!$EB$28)</f>
        <v/>
      </c>
      <c r="H39" s="62" t="str">
        <f>IF(MUROS!$BI$28&lt;&gt;"SÍ","",MUROS!$EC$28)</f>
        <v/>
      </c>
      <c r="I39" s="63" t="str">
        <f>IF(MUROS!$BI$28&lt;&gt;"SÍ","",MUROS!$CX$28)</f>
        <v/>
      </c>
      <c r="J39" s="64" t="str">
        <f>IF(MUROS!$BI$28&lt;&gt;"SÍ","",MUROS!$CQ$28)</f>
        <v/>
      </c>
      <c r="K39" s="65" t="str">
        <f>IF(MUROS!$BI$28&lt;&gt;"SÍ","",MUROS!$EP$28)</f>
        <v/>
      </c>
      <c r="L39" s="65" t="str">
        <f>IF(MUROS!$BI$28&lt;&gt;"SÍ","",MUROS!$EW$28)</f>
        <v/>
      </c>
      <c r="M39" s="65" t="str">
        <f>IF(MUROS!$BI$28&lt;&gt;"SÍ","",MUROS!$EE$28)</f>
        <v/>
      </c>
    </row>
    <row r="40" ht="24" customHeight="1">
      <c r="B40" s="60" t="str">
        <f>IF(MUROS!$BI$29&lt;&gt;"SÍ","",MUROS!$B$29)</f>
        <v/>
      </c>
      <c r="C40" s="60" t="str">
        <f>IF(MUROS!$BI$29&lt;&gt;"SÍ","",MUROS!$C$29)</f>
        <v/>
      </c>
      <c r="D40" s="60" t="str">
        <f>IF(MUROS!$BI$29&lt;&gt;"SÍ","",MUROS!$D$29)</f>
        <v/>
      </c>
      <c r="E40" s="61" t="str">
        <f>IF(MUROS!$BI$29&lt;&gt;"SÍ","",MUROS!$F$29)</f>
        <v/>
      </c>
      <c r="F40" s="61" t="str">
        <f>IF(MUROS!$BI$29&lt;&gt;"SÍ","",MUROS!$BK$29)</f>
        <v/>
      </c>
      <c r="G40" s="61" t="str">
        <f>IF(MUROS!$BI$29&lt;&gt;"SÍ","",MUROS!$EB$29)</f>
        <v/>
      </c>
      <c r="H40" s="62" t="str">
        <f>IF(MUROS!$BI$29&lt;&gt;"SÍ","",MUROS!$EC$29)</f>
        <v/>
      </c>
      <c r="I40" s="63" t="str">
        <f>IF(MUROS!$BI$29&lt;&gt;"SÍ","",MUROS!$CX$29)</f>
        <v/>
      </c>
      <c r="J40" s="64" t="str">
        <f>IF(MUROS!$BI$29&lt;&gt;"SÍ","",MUROS!$CQ$29)</f>
        <v/>
      </c>
      <c r="K40" s="65" t="str">
        <f>IF(MUROS!$BI$29&lt;&gt;"SÍ","",MUROS!$EP$29)</f>
        <v/>
      </c>
      <c r="L40" s="65" t="str">
        <f>IF(MUROS!$BI$29&lt;&gt;"SÍ","",MUROS!$EW$29)</f>
        <v/>
      </c>
      <c r="M40" s="65" t="str">
        <f>IF(MUROS!$BI$29&lt;&gt;"SÍ","",MUROS!$EE$29)</f>
        <v/>
      </c>
    </row>
    <row r="41" ht="24" customHeight="1">
      <c r="B41" s="60" t="str">
        <f>IF(MUROS!$BI$30&lt;&gt;"SÍ","",MUROS!$B$30)</f>
        <v/>
      </c>
      <c r="C41" s="60" t="str">
        <f>IF(MUROS!$BI$30&lt;&gt;"SÍ","",MUROS!$C$30)</f>
        <v/>
      </c>
      <c r="D41" s="60" t="str">
        <f>IF(MUROS!$BI$30&lt;&gt;"SÍ","",MUROS!$D$30)</f>
        <v/>
      </c>
      <c r="E41" s="61" t="str">
        <f>IF(MUROS!$BI$30&lt;&gt;"SÍ","",MUROS!$F$30)</f>
        <v/>
      </c>
      <c r="F41" s="61" t="str">
        <f>IF(MUROS!$BI$30&lt;&gt;"SÍ","",MUROS!$BK$30)</f>
        <v/>
      </c>
      <c r="G41" s="61" t="str">
        <f>IF(MUROS!$BI$30&lt;&gt;"SÍ","",MUROS!$EB$30)</f>
        <v/>
      </c>
      <c r="H41" s="62" t="str">
        <f>IF(MUROS!$BI$30&lt;&gt;"SÍ","",MUROS!$EC$30)</f>
        <v/>
      </c>
      <c r="I41" s="63" t="str">
        <f>IF(MUROS!$BI$30&lt;&gt;"SÍ","",MUROS!$CX$30)</f>
        <v/>
      </c>
      <c r="J41" s="64" t="str">
        <f>IF(MUROS!$BI$30&lt;&gt;"SÍ","",MUROS!$CQ$30)</f>
        <v/>
      </c>
      <c r="K41" s="65" t="str">
        <f>IF(MUROS!$BI$30&lt;&gt;"SÍ","",MUROS!$EP$30)</f>
        <v/>
      </c>
      <c r="L41" s="65" t="str">
        <f>IF(MUROS!$BI$30&lt;&gt;"SÍ","",MUROS!$EW$30)</f>
        <v/>
      </c>
      <c r="M41" s="65" t="str">
        <f>IF(MUROS!$BI$30&lt;&gt;"SÍ","",MUROS!$EE$30)</f>
        <v/>
      </c>
    </row>
    <row r="42" ht="24" customHeight="1">
      <c r="B42" s="60" t="str">
        <f>IF(MUROS!$BI$31&lt;&gt;"SÍ","",MUROS!$B$31)</f>
        <v/>
      </c>
      <c r="C42" s="60" t="str">
        <f>IF(MUROS!$BI$31&lt;&gt;"SÍ","",MUROS!$C$31)</f>
        <v/>
      </c>
      <c r="D42" s="60" t="str">
        <f>IF(MUROS!$BI$31&lt;&gt;"SÍ","",MUROS!$D$31)</f>
        <v/>
      </c>
      <c r="E42" s="61" t="str">
        <f>IF(MUROS!$BI$31&lt;&gt;"SÍ","",MUROS!$F$31)</f>
        <v/>
      </c>
      <c r="F42" s="61" t="str">
        <f>IF(MUROS!$BI$31&lt;&gt;"SÍ","",MUROS!$BK$31)</f>
        <v/>
      </c>
      <c r="G42" s="61" t="str">
        <f>IF(MUROS!$BI$31&lt;&gt;"SÍ","",MUROS!$EB$31)</f>
        <v/>
      </c>
      <c r="H42" s="62" t="str">
        <f>IF(MUROS!$BI$31&lt;&gt;"SÍ","",MUROS!$EC$31)</f>
        <v/>
      </c>
      <c r="I42" s="63" t="str">
        <f>IF(MUROS!$BI$31&lt;&gt;"SÍ","",MUROS!$CX$31)</f>
        <v/>
      </c>
      <c r="J42" s="64" t="str">
        <f>IF(MUROS!$BI$31&lt;&gt;"SÍ","",MUROS!$CQ$31)</f>
        <v/>
      </c>
      <c r="K42" s="65" t="str">
        <f>IF(MUROS!$BI$31&lt;&gt;"SÍ","",MUROS!$EP$31)</f>
        <v/>
      </c>
      <c r="L42" s="65" t="str">
        <f>IF(MUROS!$BI$31&lt;&gt;"SÍ","",MUROS!$EW$31)</f>
        <v/>
      </c>
      <c r="M42" s="65" t="str">
        <f>IF(MUROS!$BI$31&lt;&gt;"SÍ","",MUROS!$EE$31)</f>
        <v/>
      </c>
    </row>
    <row r="43" ht="24" customHeight="1">
      <c r="B43" s="60" t="str">
        <f>IF(MUROS!$BI$32&lt;&gt;"SÍ","",MUROS!$B$32)</f>
        <v/>
      </c>
      <c r="C43" s="60" t="str">
        <f>IF(MUROS!$BI$32&lt;&gt;"SÍ","",MUROS!$C$32)</f>
        <v/>
      </c>
      <c r="D43" s="60" t="str">
        <f>IF(MUROS!$BI$32&lt;&gt;"SÍ","",MUROS!$D$32)</f>
        <v/>
      </c>
      <c r="E43" s="61" t="str">
        <f>IF(MUROS!$BI$32&lt;&gt;"SÍ","",MUROS!$F$32)</f>
        <v/>
      </c>
      <c r="F43" s="61" t="str">
        <f>IF(MUROS!$BI$32&lt;&gt;"SÍ","",MUROS!$BK$32)</f>
        <v/>
      </c>
      <c r="G43" s="61" t="str">
        <f>IF(MUROS!$BI$32&lt;&gt;"SÍ","",MUROS!$EB$32)</f>
        <v/>
      </c>
      <c r="H43" s="62" t="str">
        <f>IF(MUROS!$BI$32&lt;&gt;"SÍ","",MUROS!$EC$32)</f>
        <v/>
      </c>
      <c r="I43" s="63" t="str">
        <f>IF(MUROS!$BI$32&lt;&gt;"SÍ","",MUROS!$CX$32)</f>
        <v/>
      </c>
      <c r="J43" s="64" t="str">
        <f>IF(MUROS!$BI$32&lt;&gt;"SÍ","",MUROS!$CQ$32)</f>
        <v/>
      </c>
      <c r="K43" s="65" t="str">
        <f>IF(MUROS!$BI$32&lt;&gt;"SÍ","",MUROS!$EP$32)</f>
        <v/>
      </c>
      <c r="L43" s="65" t="str">
        <f>IF(MUROS!$BI$32&lt;&gt;"SÍ","",MUROS!$EW$32)</f>
        <v/>
      </c>
      <c r="M43" s="65" t="str">
        <f>IF(MUROS!$BI$32&lt;&gt;"SÍ","",MUROS!$EE$32)</f>
        <v/>
      </c>
    </row>
    <row r="44" ht="24" customHeight="1">
      <c r="B44" s="60" t="str">
        <f>IF(MUROS!$BI$33&lt;&gt;"SÍ","",MUROS!$B$33)</f>
        <v/>
      </c>
      <c r="C44" s="60" t="str">
        <f>IF(MUROS!$BI$33&lt;&gt;"SÍ","",MUROS!$C$33)</f>
        <v/>
      </c>
      <c r="D44" s="60" t="str">
        <f>IF(MUROS!$BI$33&lt;&gt;"SÍ","",MUROS!$D$33)</f>
        <v/>
      </c>
      <c r="E44" s="61" t="str">
        <f>IF(MUROS!$BI$33&lt;&gt;"SÍ","",MUROS!$F$33)</f>
        <v/>
      </c>
      <c r="F44" s="61" t="str">
        <f>IF(MUROS!$BI$33&lt;&gt;"SÍ","",MUROS!$BK$33)</f>
        <v/>
      </c>
      <c r="G44" s="61" t="str">
        <f>IF(MUROS!$BI$33&lt;&gt;"SÍ","",MUROS!$EB$33)</f>
        <v/>
      </c>
      <c r="H44" s="62" t="str">
        <f>IF(MUROS!$BI$33&lt;&gt;"SÍ","",MUROS!$EC$33)</f>
        <v/>
      </c>
      <c r="I44" s="63" t="str">
        <f>IF(MUROS!$BI$33&lt;&gt;"SÍ","",MUROS!$CX$33)</f>
        <v/>
      </c>
      <c r="J44" s="64" t="str">
        <f>IF(MUROS!$BI$33&lt;&gt;"SÍ","",MUROS!$CQ$33)</f>
        <v/>
      </c>
      <c r="K44" s="65" t="str">
        <f>IF(MUROS!$BI$33&lt;&gt;"SÍ","",MUROS!$EP$33)</f>
        <v/>
      </c>
      <c r="L44" s="65" t="str">
        <f>IF(MUROS!$BI$33&lt;&gt;"SÍ","",MUROS!$EW$33)</f>
        <v/>
      </c>
      <c r="M44" s="65" t="str">
        <f>IF(MUROS!$BI$33&lt;&gt;"SÍ","",MUROS!$EE$33)</f>
        <v/>
      </c>
    </row>
    <row r="45" ht="24" customHeight="1">
      <c r="B45" s="60" t="str">
        <f>IF(MUROS!$BI$34&lt;&gt;"SÍ","",MUROS!$B$34)</f>
        <v/>
      </c>
      <c r="C45" s="60" t="str">
        <f>IF(MUROS!$BI$34&lt;&gt;"SÍ","",MUROS!$C$34)</f>
        <v/>
      </c>
      <c r="D45" s="60" t="str">
        <f>IF(MUROS!$BI$34&lt;&gt;"SÍ","",MUROS!$D$34)</f>
        <v/>
      </c>
      <c r="E45" s="61" t="str">
        <f>IF(MUROS!$BI$34&lt;&gt;"SÍ","",MUROS!$F$34)</f>
        <v/>
      </c>
      <c r="F45" s="61" t="str">
        <f>IF(MUROS!$BI$34&lt;&gt;"SÍ","",MUROS!$BK$34)</f>
        <v/>
      </c>
      <c r="G45" s="61" t="str">
        <f>IF(MUROS!$BI$34&lt;&gt;"SÍ","",MUROS!$EB$34)</f>
        <v/>
      </c>
      <c r="H45" s="62" t="str">
        <f>IF(MUROS!$BI$34&lt;&gt;"SÍ","",MUROS!$EC$34)</f>
        <v/>
      </c>
      <c r="I45" s="63" t="str">
        <f>IF(MUROS!$BI$34&lt;&gt;"SÍ","",MUROS!$CX$34)</f>
        <v/>
      </c>
      <c r="J45" s="64" t="str">
        <f>IF(MUROS!$BI$34&lt;&gt;"SÍ","",MUROS!$CQ$34)</f>
        <v/>
      </c>
      <c r="K45" s="65" t="str">
        <f>IF(MUROS!$BI$34&lt;&gt;"SÍ","",MUROS!$EP$34)</f>
        <v/>
      </c>
      <c r="L45" s="65" t="str">
        <f>IF(MUROS!$BI$34&lt;&gt;"SÍ","",MUROS!$EW$34)</f>
        <v/>
      </c>
      <c r="M45" s="65" t="str">
        <f>IF(MUROS!$BI$34&lt;&gt;"SÍ","",MUROS!$EE$34)</f>
        <v/>
      </c>
    </row>
    <row r="46" ht="24" customHeight="1">
      <c r="B46" s="60" t="str">
        <f>IF(MUROS!$BI$35&lt;&gt;"SÍ","",MUROS!$B$35)</f>
        <v/>
      </c>
      <c r="C46" s="60" t="str">
        <f>IF(MUROS!$BI$35&lt;&gt;"SÍ","",MUROS!$C$35)</f>
        <v/>
      </c>
      <c r="D46" s="60" t="str">
        <f>IF(MUROS!$BI$35&lt;&gt;"SÍ","",MUROS!$D$35)</f>
        <v/>
      </c>
      <c r="E46" s="61" t="str">
        <f>IF(MUROS!$BI$35&lt;&gt;"SÍ","",MUROS!$F$35)</f>
        <v/>
      </c>
      <c r="F46" s="61" t="str">
        <f>IF(MUROS!$BI$35&lt;&gt;"SÍ","",MUROS!$BK$35)</f>
        <v/>
      </c>
      <c r="G46" s="61" t="str">
        <f>IF(MUROS!$BI$35&lt;&gt;"SÍ","",MUROS!$EB$35)</f>
        <v/>
      </c>
      <c r="H46" s="62" t="str">
        <f>IF(MUROS!$BI$35&lt;&gt;"SÍ","",MUROS!$EC$35)</f>
        <v/>
      </c>
      <c r="I46" s="63" t="str">
        <f>IF(MUROS!$BI$35&lt;&gt;"SÍ","",MUROS!$CX$35)</f>
        <v/>
      </c>
      <c r="J46" s="64" t="str">
        <f>IF(MUROS!$BI$35&lt;&gt;"SÍ","",MUROS!$CQ$35)</f>
        <v/>
      </c>
      <c r="K46" s="65" t="str">
        <f>IF(MUROS!$BI$35&lt;&gt;"SÍ","",MUROS!$EP$35)</f>
        <v/>
      </c>
      <c r="L46" s="65" t="str">
        <f>IF(MUROS!$BI$35&lt;&gt;"SÍ","",MUROS!$EW$35)</f>
        <v/>
      </c>
      <c r="M46" s="65" t="str">
        <f>IF(MUROS!$BI$35&lt;&gt;"SÍ","",MUROS!$EE$35)</f>
        <v/>
      </c>
    </row>
    <row r="47" ht="24" customHeight="1">
      <c r="B47" s="60" t="str">
        <f>IF(MUROS!$BI$36&lt;&gt;"SÍ","",MUROS!$B$36)</f>
        <v/>
      </c>
      <c r="C47" s="60" t="str">
        <f>IF(MUROS!$BI$36&lt;&gt;"SÍ","",MUROS!$C$36)</f>
        <v/>
      </c>
      <c r="D47" s="60" t="str">
        <f>IF(MUROS!$BI$36&lt;&gt;"SÍ","",MUROS!$D$36)</f>
        <v/>
      </c>
      <c r="E47" s="61" t="str">
        <f>IF(MUROS!$BI$36&lt;&gt;"SÍ","",MUROS!$F$36)</f>
        <v/>
      </c>
      <c r="F47" s="61" t="str">
        <f>IF(MUROS!$BI$36&lt;&gt;"SÍ","",MUROS!$BK$36)</f>
        <v/>
      </c>
      <c r="G47" s="61" t="str">
        <f>IF(MUROS!$BI$36&lt;&gt;"SÍ","",MUROS!$EB$36)</f>
        <v/>
      </c>
      <c r="H47" s="62" t="str">
        <f>IF(MUROS!$BI$36&lt;&gt;"SÍ","",MUROS!$EC$36)</f>
        <v/>
      </c>
      <c r="I47" s="63" t="str">
        <f>IF(MUROS!$BI$36&lt;&gt;"SÍ","",MUROS!$CX$36)</f>
        <v/>
      </c>
      <c r="J47" s="64" t="str">
        <f>IF(MUROS!$BI$36&lt;&gt;"SÍ","",MUROS!$CQ$36)</f>
        <v/>
      </c>
      <c r="K47" s="65" t="str">
        <f>IF(MUROS!$BI$36&lt;&gt;"SÍ","",MUROS!$EP$36)</f>
        <v/>
      </c>
      <c r="L47" s="65" t="str">
        <f>IF(MUROS!$BI$36&lt;&gt;"SÍ","",MUROS!$EW$36)</f>
        <v/>
      </c>
      <c r="M47" s="65" t="str">
        <f>IF(MUROS!$BI$36&lt;&gt;"SÍ","",MUROS!$EE$36)</f>
        <v/>
      </c>
    </row>
    <row r="48" ht="24" customHeight="1">
      <c r="B48" s="60" t="str">
        <f>IF(MUROS!$BI$37&lt;&gt;"SÍ","",MUROS!$B$37)</f>
        <v/>
      </c>
      <c r="C48" s="60" t="str">
        <f>IF(MUROS!$BI$37&lt;&gt;"SÍ","",MUROS!$C$37)</f>
        <v/>
      </c>
      <c r="D48" s="60" t="str">
        <f>IF(MUROS!$BI$37&lt;&gt;"SÍ","",MUROS!$D$37)</f>
        <v/>
      </c>
      <c r="E48" s="61" t="str">
        <f>IF(MUROS!$BI$37&lt;&gt;"SÍ","",MUROS!$F$37)</f>
        <v/>
      </c>
      <c r="F48" s="61" t="str">
        <f>IF(MUROS!$BI$37&lt;&gt;"SÍ","",MUROS!$BK$37)</f>
        <v/>
      </c>
      <c r="G48" s="61" t="str">
        <f>IF(MUROS!$BI$37&lt;&gt;"SÍ","",MUROS!$EB$37)</f>
        <v/>
      </c>
      <c r="H48" s="62" t="str">
        <f>IF(MUROS!$BI$37&lt;&gt;"SÍ","",MUROS!$EC$37)</f>
        <v/>
      </c>
      <c r="I48" s="63" t="str">
        <f>IF(MUROS!$BI$37&lt;&gt;"SÍ","",MUROS!$CX$37)</f>
        <v/>
      </c>
      <c r="J48" s="64" t="str">
        <f>IF(MUROS!$BI$37&lt;&gt;"SÍ","",MUROS!$CQ$37)</f>
        <v/>
      </c>
      <c r="K48" s="65" t="str">
        <f>IF(MUROS!$BI$37&lt;&gt;"SÍ","",MUROS!$EP$37)</f>
        <v/>
      </c>
      <c r="L48" s="65" t="str">
        <f>IF(MUROS!$BI$37&lt;&gt;"SÍ","",MUROS!$EW$37)</f>
        <v/>
      </c>
      <c r="M48" s="65" t="str">
        <f>IF(MUROS!$BI$37&lt;&gt;"SÍ","",MUROS!$EE$37)</f>
        <v/>
      </c>
    </row>
    <row r="49" ht="24" customHeight="1">
      <c r="B49" s="60" t="str">
        <f>IF(MUROS!$BI$38&lt;&gt;"SÍ","",MUROS!$B$38)</f>
        <v/>
      </c>
      <c r="C49" s="60" t="str">
        <f>IF(MUROS!$BI$38&lt;&gt;"SÍ","",MUROS!$C$38)</f>
        <v/>
      </c>
      <c r="D49" s="60" t="str">
        <f>IF(MUROS!$BI$38&lt;&gt;"SÍ","",MUROS!$D$38)</f>
        <v/>
      </c>
      <c r="E49" s="61" t="str">
        <f>IF(MUROS!$BI$38&lt;&gt;"SÍ","",MUROS!$F$38)</f>
        <v/>
      </c>
      <c r="F49" s="61" t="str">
        <f>IF(MUROS!$BI$38&lt;&gt;"SÍ","",MUROS!$BK$38)</f>
        <v/>
      </c>
      <c r="G49" s="61" t="str">
        <f>IF(MUROS!$BI$38&lt;&gt;"SÍ","",MUROS!$EB$38)</f>
        <v/>
      </c>
      <c r="H49" s="62" t="str">
        <f>IF(MUROS!$BI$38&lt;&gt;"SÍ","",MUROS!$EC$38)</f>
        <v/>
      </c>
      <c r="I49" s="63" t="str">
        <f>IF(MUROS!$BI$38&lt;&gt;"SÍ","",MUROS!$CX$38)</f>
        <v/>
      </c>
      <c r="J49" s="64" t="str">
        <f>IF(MUROS!$BI$38&lt;&gt;"SÍ","",MUROS!$CQ$38)</f>
        <v/>
      </c>
      <c r="K49" s="65" t="str">
        <f>IF(MUROS!$BI$38&lt;&gt;"SÍ","",MUROS!$EP$38)</f>
        <v/>
      </c>
      <c r="L49" s="65" t="str">
        <f>IF(MUROS!$BI$38&lt;&gt;"SÍ","",MUROS!$EW$38)</f>
        <v/>
      </c>
      <c r="M49" s="65" t="str">
        <f>IF(MUROS!$BI$38&lt;&gt;"SÍ","",MUROS!$EE$38)</f>
        <v/>
      </c>
    </row>
    <row r="50" ht="24" customHeight="1">
      <c r="B50" s="60" t="str">
        <f>IF(MUROS!$BI$39&lt;&gt;"SÍ","",MUROS!$B$39)</f>
        <v/>
      </c>
      <c r="C50" s="60" t="str">
        <f>IF(MUROS!$BI$39&lt;&gt;"SÍ","",MUROS!$C$39)</f>
        <v/>
      </c>
      <c r="D50" s="60" t="str">
        <f>IF(MUROS!$BI$39&lt;&gt;"SÍ","",MUROS!$D$39)</f>
        <v/>
      </c>
      <c r="E50" s="61" t="str">
        <f>IF(MUROS!$BI$39&lt;&gt;"SÍ","",MUROS!$F$39)</f>
        <v/>
      </c>
      <c r="F50" s="61" t="str">
        <f>IF(MUROS!$BI$39&lt;&gt;"SÍ","",MUROS!$BK$39)</f>
        <v/>
      </c>
      <c r="G50" s="61" t="str">
        <f>IF(MUROS!$BI$39&lt;&gt;"SÍ","",MUROS!$EB$39)</f>
        <v/>
      </c>
      <c r="H50" s="62" t="str">
        <f>IF(MUROS!$BI$39&lt;&gt;"SÍ","",MUROS!$EC$39)</f>
        <v/>
      </c>
      <c r="I50" s="63" t="str">
        <f>IF(MUROS!$BI$39&lt;&gt;"SÍ","",MUROS!$CX$39)</f>
        <v/>
      </c>
      <c r="J50" s="64" t="str">
        <f>IF(MUROS!$BI$39&lt;&gt;"SÍ","",MUROS!$CQ$39)</f>
        <v/>
      </c>
      <c r="K50" s="65" t="str">
        <f>IF(MUROS!$BI$39&lt;&gt;"SÍ","",MUROS!$EP$39)</f>
        <v/>
      </c>
      <c r="L50" s="65" t="str">
        <f>IF(MUROS!$BI$39&lt;&gt;"SÍ","",MUROS!$EW$39)</f>
        <v/>
      </c>
      <c r="M50" s="65" t="str">
        <f>IF(MUROS!$BI$39&lt;&gt;"SÍ","",MUROS!$EE$39)</f>
        <v/>
      </c>
    </row>
    <row r="51" ht="24" customHeight="1">
      <c r="B51" s="60" t="str">
        <f>IF(MUROS!$BI$40&lt;&gt;"SÍ","",MUROS!$B$40)</f>
        <v/>
      </c>
      <c r="C51" s="60" t="str">
        <f>IF(MUROS!$BI$40&lt;&gt;"SÍ","",MUROS!$C$40)</f>
        <v/>
      </c>
      <c r="D51" s="60" t="str">
        <f>IF(MUROS!$BI$40&lt;&gt;"SÍ","",MUROS!$D$40)</f>
        <v/>
      </c>
      <c r="E51" s="61" t="str">
        <f>IF(MUROS!$BI$40&lt;&gt;"SÍ","",MUROS!$F$40)</f>
        <v/>
      </c>
      <c r="F51" s="61" t="str">
        <f>IF(MUROS!$BI$40&lt;&gt;"SÍ","",MUROS!$BK$40)</f>
        <v/>
      </c>
      <c r="G51" s="61" t="str">
        <f>IF(MUROS!$BI$40&lt;&gt;"SÍ","",MUROS!$EB$40)</f>
        <v/>
      </c>
      <c r="H51" s="62" t="str">
        <f>IF(MUROS!$BI$40&lt;&gt;"SÍ","",MUROS!$EC$40)</f>
        <v/>
      </c>
      <c r="I51" s="63" t="str">
        <f>IF(MUROS!$BI$40&lt;&gt;"SÍ","",MUROS!$CX$40)</f>
        <v/>
      </c>
      <c r="J51" s="64" t="str">
        <f>IF(MUROS!$BI$40&lt;&gt;"SÍ","",MUROS!$CQ$40)</f>
        <v/>
      </c>
      <c r="K51" s="65" t="str">
        <f>IF(MUROS!$BI$40&lt;&gt;"SÍ","",MUROS!$EP$40)</f>
        <v/>
      </c>
      <c r="L51" s="65" t="str">
        <f>IF(MUROS!$BI$40&lt;&gt;"SÍ","",MUROS!$EW$40)</f>
        <v/>
      </c>
      <c r="M51" s="65" t="str">
        <f>IF(MUROS!$BI$40&lt;&gt;"SÍ","",MUROS!$EE$40)</f>
        <v/>
      </c>
    </row>
    <row r="52" ht="24" customHeight="1">
      <c r="B52" s="60" t="str">
        <f>IF(MUROS!$BI$41&lt;&gt;"SÍ","",MUROS!$B$41)</f>
        <v/>
      </c>
      <c r="C52" s="60" t="str">
        <f>IF(MUROS!$BI$41&lt;&gt;"SÍ","",MUROS!$C$41)</f>
        <v/>
      </c>
      <c r="D52" s="60" t="str">
        <f>IF(MUROS!$BI$41&lt;&gt;"SÍ","",MUROS!$D$41)</f>
        <v/>
      </c>
      <c r="E52" s="61" t="str">
        <f>IF(MUROS!$BI$41&lt;&gt;"SÍ","",MUROS!$F$41)</f>
        <v/>
      </c>
      <c r="F52" s="61" t="str">
        <f>IF(MUROS!$BI$41&lt;&gt;"SÍ","",MUROS!$BK$41)</f>
        <v/>
      </c>
      <c r="G52" s="61" t="str">
        <f>IF(MUROS!$BI$41&lt;&gt;"SÍ","",MUROS!$EB$41)</f>
        <v/>
      </c>
      <c r="H52" s="62" t="str">
        <f>IF(MUROS!$BI$41&lt;&gt;"SÍ","",MUROS!$EC$41)</f>
        <v/>
      </c>
      <c r="I52" s="63" t="str">
        <f>IF(MUROS!$BI$41&lt;&gt;"SÍ","",MUROS!$CX$41)</f>
        <v/>
      </c>
      <c r="J52" s="64" t="str">
        <f>IF(MUROS!$BI$41&lt;&gt;"SÍ","",MUROS!$CQ$41)</f>
        <v/>
      </c>
      <c r="K52" s="65" t="str">
        <f>IF(MUROS!$BI$41&lt;&gt;"SÍ","",MUROS!$EP$41)</f>
        <v/>
      </c>
      <c r="L52" s="65" t="str">
        <f>IF(MUROS!$BI$41&lt;&gt;"SÍ","",MUROS!$EW$41)</f>
        <v/>
      </c>
      <c r="M52" s="65" t="str">
        <f>IF(MUROS!$BI$41&lt;&gt;"SÍ","",MUROS!$EE$41)</f>
        <v/>
      </c>
    </row>
    <row r="53" ht="24" customHeight="1">
      <c r="B53" s="60" t="str">
        <f>IF(MUROS!$BI$42&lt;&gt;"SÍ","",MUROS!$B$42)</f>
        <v/>
      </c>
      <c r="C53" s="60" t="str">
        <f>IF(MUROS!$BI$42&lt;&gt;"SÍ","",MUROS!$C$42)</f>
        <v/>
      </c>
      <c r="D53" s="60" t="str">
        <f>IF(MUROS!$BI$42&lt;&gt;"SÍ","",MUROS!$D$42)</f>
        <v/>
      </c>
      <c r="E53" s="61" t="str">
        <f>IF(MUROS!$BI$42&lt;&gt;"SÍ","",MUROS!$F$42)</f>
        <v/>
      </c>
      <c r="F53" s="61" t="str">
        <f>IF(MUROS!$BI$42&lt;&gt;"SÍ","",MUROS!$BK$42)</f>
        <v/>
      </c>
      <c r="G53" s="61" t="str">
        <f>IF(MUROS!$BI$42&lt;&gt;"SÍ","",MUROS!$EB$42)</f>
        <v/>
      </c>
      <c r="H53" s="62" t="str">
        <f>IF(MUROS!$BI$42&lt;&gt;"SÍ","",MUROS!$EC$42)</f>
        <v/>
      </c>
      <c r="I53" s="63" t="str">
        <f>IF(MUROS!$BI$42&lt;&gt;"SÍ","",MUROS!$CX$42)</f>
        <v/>
      </c>
      <c r="J53" s="64" t="str">
        <f>IF(MUROS!$BI$42&lt;&gt;"SÍ","",MUROS!$CQ$42)</f>
        <v/>
      </c>
      <c r="K53" s="65" t="str">
        <f>IF(MUROS!$BI$42&lt;&gt;"SÍ","",MUROS!$EP$42)</f>
        <v/>
      </c>
      <c r="L53" s="65" t="str">
        <f>IF(MUROS!$BI$42&lt;&gt;"SÍ","",MUROS!$EW$42)</f>
        <v/>
      </c>
      <c r="M53" s="65" t="str">
        <f>IF(MUROS!$BI$42&lt;&gt;"SÍ","",MUROS!$EE$42)</f>
        <v/>
      </c>
    </row>
    <row r="54" ht="24" customHeight="1">
      <c r="B54" s="60" t="str">
        <f>IF(MUROS!$BI$43&lt;&gt;"SÍ","",MUROS!$B$43)</f>
        <v/>
      </c>
      <c r="C54" s="60" t="str">
        <f>IF(MUROS!$BI$43&lt;&gt;"SÍ","",MUROS!$C$43)</f>
        <v/>
      </c>
      <c r="D54" s="60" t="str">
        <f>IF(MUROS!$BI$43&lt;&gt;"SÍ","",MUROS!$D$43)</f>
        <v/>
      </c>
      <c r="E54" s="61" t="str">
        <f>IF(MUROS!$BI$43&lt;&gt;"SÍ","",MUROS!$F$43)</f>
        <v/>
      </c>
      <c r="F54" s="61" t="str">
        <f>IF(MUROS!$BI$43&lt;&gt;"SÍ","",MUROS!$BK$43)</f>
        <v/>
      </c>
      <c r="G54" s="61" t="str">
        <f>IF(MUROS!$BI$43&lt;&gt;"SÍ","",MUROS!$EB$43)</f>
        <v/>
      </c>
      <c r="H54" s="62" t="str">
        <f>IF(MUROS!$BI$43&lt;&gt;"SÍ","",MUROS!$EC$43)</f>
        <v/>
      </c>
      <c r="I54" s="63" t="str">
        <f>IF(MUROS!$BI$43&lt;&gt;"SÍ","",MUROS!$CX$43)</f>
        <v/>
      </c>
      <c r="J54" s="64" t="str">
        <f>IF(MUROS!$BI$43&lt;&gt;"SÍ","",MUROS!$CQ$43)</f>
        <v/>
      </c>
      <c r="K54" s="65" t="str">
        <f>IF(MUROS!$BI$43&lt;&gt;"SÍ","",MUROS!$EP$43)</f>
        <v/>
      </c>
      <c r="L54" s="65" t="str">
        <f>IF(MUROS!$BI$43&lt;&gt;"SÍ","",MUROS!$EW$43)</f>
        <v/>
      </c>
      <c r="M54" s="65" t="str">
        <f>IF(MUROS!$BI$43&lt;&gt;"SÍ","",MUROS!$EE$43)</f>
        <v/>
      </c>
    </row>
    <row r="55" ht="24" customHeight="1">
      <c r="B55" s="60" t="str">
        <f>IF(MUROS!$BI$44&lt;&gt;"SÍ","",MUROS!$B$44)</f>
        <v/>
      </c>
      <c r="C55" s="60" t="str">
        <f>IF(MUROS!$BI$44&lt;&gt;"SÍ","",MUROS!$C$44)</f>
        <v/>
      </c>
      <c r="D55" s="60" t="str">
        <f>IF(MUROS!$BI$44&lt;&gt;"SÍ","",MUROS!$D$44)</f>
        <v/>
      </c>
      <c r="E55" s="61" t="str">
        <f>IF(MUROS!$BI$44&lt;&gt;"SÍ","",MUROS!$F$44)</f>
        <v/>
      </c>
      <c r="F55" s="61" t="str">
        <f>IF(MUROS!$BI$44&lt;&gt;"SÍ","",MUROS!$BK$44)</f>
        <v/>
      </c>
      <c r="G55" s="61" t="str">
        <f>IF(MUROS!$BI$44&lt;&gt;"SÍ","",MUROS!$EB$44)</f>
        <v/>
      </c>
      <c r="H55" s="62" t="str">
        <f>IF(MUROS!$BI$44&lt;&gt;"SÍ","",MUROS!$EC$44)</f>
        <v/>
      </c>
      <c r="I55" s="63" t="str">
        <f>IF(MUROS!$BI$44&lt;&gt;"SÍ","",MUROS!$CX$44)</f>
        <v/>
      </c>
      <c r="J55" s="64" t="str">
        <f>IF(MUROS!$BI$44&lt;&gt;"SÍ","",MUROS!$CQ$44)</f>
        <v/>
      </c>
      <c r="K55" s="65" t="str">
        <f>IF(MUROS!$BI$44&lt;&gt;"SÍ","",MUROS!$EP$44)</f>
        <v/>
      </c>
      <c r="L55" s="65" t="str">
        <f>IF(MUROS!$BI$44&lt;&gt;"SÍ","",MUROS!$EW$44)</f>
        <v/>
      </c>
      <c r="M55" s="65" t="str">
        <f>IF(MUROS!$BI$44&lt;&gt;"SÍ","",MUROS!$EE$44)</f>
        <v/>
      </c>
    </row>
    <row r="56" ht="24" customHeight="1">
      <c r="B56" s="60" t="str">
        <f>IF(MUROS!$BI$45&lt;&gt;"SÍ","",MUROS!$B$45)</f>
        <v/>
      </c>
      <c r="C56" s="60" t="str">
        <f>IF(MUROS!$BI$45&lt;&gt;"SÍ","",MUROS!$C$45)</f>
        <v/>
      </c>
      <c r="D56" s="60" t="str">
        <f>IF(MUROS!$BI$45&lt;&gt;"SÍ","",MUROS!$D$45)</f>
        <v/>
      </c>
      <c r="E56" s="61" t="str">
        <f>IF(MUROS!$BI$45&lt;&gt;"SÍ","",MUROS!$F$45)</f>
        <v/>
      </c>
      <c r="F56" s="61" t="str">
        <f>IF(MUROS!$BI$45&lt;&gt;"SÍ","",MUROS!$BK$45)</f>
        <v/>
      </c>
      <c r="G56" s="61" t="str">
        <f>IF(MUROS!$BI$45&lt;&gt;"SÍ","",MUROS!$EB$45)</f>
        <v/>
      </c>
      <c r="H56" s="62" t="str">
        <f>IF(MUROS!$BI$45&lt;&gt;"SÍ","",MUROS!$EC$45)</f>
        <v/>
      </c>
      <c r="I56" s="63" t="str">
        <f>IF(MUROS!$BI$45&lt;&gt;"SÍ","",MUROS!$CX$45)</f>
        <v/>
      </c>
      <c r="J56" s="64" t="str">
        <f>IF(MUROS!$BI$45&lt;&gt;"SÍ","",MUROS!$CQ$45)</f>
        <v/>
      </c>
      <c r="K56" s="65" t="str">
        <f>IF(MUROS!$BI$45&lt;&gt;"SÍ","",MUROS!$EP$45)</f>
        <v/>
      </c>
      <c r="L56" s="65" t="str">
        <f>IF(MUROS!$BI$45&lt;&gt;"SÍ","",MUROS!$EW$45)</f>
        <v/>
      </c>
      <c r="M56" s="65" t="str">
        <f>IF(MUROS!$BI$45&lt;&gt;"SÍ","",MUROS!$EE$45)</f>
        <v/>
      </c>
    </row>
    <row r="57" ht="24" customHeight="1">
      <c r="B57" s="60" t="str">
        <f>IF(MUROS!$BI$46&lt;&gt;"SÍ","",MUROS!$B$46)</f>
        <v/>
      </c>
      <c r="C57" s="60" t="str">
        <f>IF(MUROS!$BI$46&lt;&gt;"SÍ","",MUROS!$C$46)</f>
        <v/>
      </c>
      <c r="D57" s="60" t="str">
        <f>IF(MUROS!$BI$46&lt;&gt;"SÍ","",MUROS!$D$46)</f>
        <v/>
      </c>
      <c r="E57" s="61" t="str">
        <f>IF(MUROS!$BI$46&lt;&gt;"SÍ","",MUROS!$F$46)</f>
        <v/>
      </c>
      <c r="F57" s="61" t="str">
        <f>IF(MUROS!$BI$46&lt;&gt;"SÍ","",MUROS!$BK$46)</f>
        <v/>
      </c>
      <c r="G57" s="61" t="str">
        <f>IF(MUROS!$BI$46&lt;&gt;"SÍ","",MUROS!$EB$46)</f>
        <v/>
      </c>
      <c r="H57" s="62" t="str">
        <f>IF(MUROS!$BI$46&lt;&gt;"SÍ","",MUROS!$EC$46)</f>
        <v/>
      </c>
      <c r="I57" s="63" t="str">
        <f>IF(MUROS!$BI$46&lt;&gt;"SÍ","",MUROS!$CX$46)</f>
        <v/>
      </c>
      <c r="J57" s="64" t="str">
        <f>IF(MUROS!$BI$46&lt;&gt;"SÍ","",MUROS!$CQ$46)</f>
        <v/>
      </c>
      <c r="K57" s="65" t="str">
        <f>IF(MUROS!$BI$46&lt;&gt;"SÍ","",MUROS!$EP$46)</f>
        <v/>
      </c>
      <c r="L57" s="65" t="str">
        <f>IF(MUROS!$BI$46&lt;&gt;"SÍ","",MUROS!$EW$46)</f>
        <v/>
      </c>
      <c r="M57" s="65" t="str">
        <f>IF(MUROS!$BI$46&lt;&gt;"SÍ","",MUROS!$EE$46)</f>
        <v/>
      </c>
    </row>
    <row r="58" ht="24" customHeight="1">
      <c r="B58" s="60" t="str">
        <f>IF(MUROS!$BI$47&lt;&gt;"SÍ","",MUROS!$B$47)</f>
        <v/>
      </c>
      <c r="C58" s="60" t="str">
        <f>IF(MUROS!$BI$47&lt;&gt;"SÍ","",MUROS!$C$47)</f>
        <v/>
      </c>
      <c r="D58" s="60" t="str">
        <f>IF(MUROS!$BI$47&lt;&gt;"SÍ","",MUROS!$D$47)</f>
        <v/>
      </c>
      <c r="E58" s="61" t="str">
        <f>IF(MUROS!$BI$47&lt;&gt;"SÍ","",MUROS!$F$47)</f>
        <v/>
      </c>
      <c r="F58" s="61" t="str">
        <f>IF(MUROS!$BI$47&lt;&gt;"SÍ","",MUROS!$BK$47)</f>
        <v/>
      </c>
      <c r="G58" s="61" t="str">
        <f>IF(MUROS!$BI$47&lt;&gt;"SÍ","",MUROS!$EB$47)</f>
        <v/>
      </c>
      <c r="H58" s="62" t="str">
        <f>IF(MUROS!$BI$47&lt;&gt;"SÍ","",MUROS!$EC$47)</f>
        <v/>
      </c>
      <c r="I58" s="63" t="str">
        <f>IF(MUROS!$BI$47&lt;&gt;"SÍ","",MUROS!$CX$47)</f>
        <v/>
      </c>
      <c r="J58" s="64" t="str">
        <f>IF(MUROS!$BI$47&lt;&gt;"SÍ","",MUROS!$CQ$47)</f>
        <v/>
      </c>
      <c r="K58" s="65" t="str">
        <f>IF(MUROS!$BI$47&lt;&gt;"SÍ","",MUROS!$EP$47)</f>
        <v/>
      </c>
      <c r="L58" s="65" t="str">
        <f>IF(MUROS!$BI$47&lt;&gt;"SÍ","",MUROS!$EW$47)</f>
        <v/>
      </c>
      <c r="M58" s="65" t="str">
        <f>IF(MUROS!$BI$47&lt;&gt;"SÍ","",MUROS!$EE$47)</f>
        <v/>
      </c>
    </row>
    <row r="59" ht="24" customHeight="1">
      <c r="B59" s="60" t="str">
        <f>IF(MUROS!$BI$48&lt;&gt;"SÍ","",MUROS!$B$48)</f>
        <v/>
      </c>
      <c r="C59" s="60" t="str">
        <f>IF(MUROS!$BI$48&lt;&gt;"SÍ","",MUROS!$C$48)</f>
        <v/>
      </c>
      <c r="D59" s="60" t="str">
        <f>IF(MUROS!$BI$48&lt;&gt;"SÍ","",MUROS!$D$48)</f>
        <v/>
      </c>
      <c r="E59" s="61" t="str">
        <f>IF(MUROS!$BI$48&lt;&gt;"SÍ","",MUROS!$F$48)</f>
        <v/>
      </c>
      <c r="F59" s="61" t="str">
        <f>IF(MUROS!$BI$48&lt;&gt;"SÍ","",MUROS!$BK$48)</f>
        <v/>
      </c>
      <c r="G59" s="61" t="str">
        <f>IF(MUROS!$BI$48&lt;&gt;"SÍ","",MUROS!$EB$48)</f>
        <v/>
      </c>
      <c r="H59" s="62" t="str">
        <f>IF(MUROS!$BI$48&lt;&gt;"SÍ","",MUROS!$EC$48)</f>
        <v/>
      </c>
      <c r="I59" s="63" t="str">
        <f>IF(MUROS!$BI$48&lt;&gt;"SÍ","",MUROS!$CX$48)</f>
        <v/>
      </c>
      <c r="J59" s="64" t="str">
        <f>IF(MUROS!$BI$48&lt;&gt;"SÍ","",MUROS!$CQ$48)</f>
        <v/>
      </c>
      <c r="K59" s="65" t="str">
        <f>IF(MUROS!$BI$48&lt;&gt;"SÍ","",MUROS!$EP$48)</f>
        <v/>
      </c>
      <c r="L59" s="65" t="str">
        <f>IF(MUROS!$BI$48&lt;&gt;"SÍ","",MUROS!$EW$48)</f>
        <v/>
      </c>
      <c r="M59" s="65" t="str">
        <f>IF(MUROS!$BI$48&lt;&gt;"SÍ","",MUROS!$EE$48)</f>
        <v/>
      </c>
    </row>
    <row r="60" ht="24" customHeight="1">
      <c r="B60" s="60" t="str">
        <f>IF(MUROS!$BI$49&lt;&gt;"SÍ","",MUROS!$B$49)</f>
        <v/>
      </c>
      <c r="C60" s="60" t="str">
        <f>IF(MUROS!$BI$49&lt;&gt;"SÍ","",MUROS!$C$49)</f>
        <v/>
      </c>
      <c r="D60" s="60" t="str">
        <f>IF(MUROS!$BI$49&lt;&gt;"SÍ","",MUROS!$D$49)</f>
        <v/>
      </c>
      <c r="E60" s="61" t="str">
        <f>IF(MUROS!$BI$49&lt;&gt;"SÍ","",MUROS!$F$49)</f>
        <v/>
      </c>
      <c r="F60" s="61" t="str">
        <f>IF(MUROS!$BI$49&lt;&gt;"SÍ","",MUROS!$BK$49)</f>
        <v/>
      </c>
      <c r="G60" s="61" t="str">
        <f>IF(MUROS!$BI$49&lt;&gt;"SÍ","",MUROS!$EB$49)</f>
        <v/>
      </c>
      <c r="H60" s="62" t="str">
        <f>IF(MUROS!$BI$49&lt;&gt;"SÍ","",MUROS!$EC$49)</f>
        <v/>
      </c>
      <c r="I60" s="63" t="str">
        <f>IF(MUROS!$BI$49&lt;&gt;"SÍ","",MUROS!$CX$49)</f>
        <v/>
      </c>
      <c r="J60" s="64" t="str">
        <f>IF(MUROS!$BI$49&lt;&gt;"SÍ","",MUROS!$CQ$49)</f>
        <v/>
      </c>
      <c r="K60" s="65" t="str">
        <f>IF(MUROS!$BI$49&lt;&gt;"SÍ","",MUROS!$EP$49)</f>
        <v/>
      </c>
      <c r="L60" s="65" t="str">
        <f>IF(MUROS!$BI$49&lt;&gt;"SÍ","",MUROS!$EW$49)</f>
        <v/>
      </c>
      <c r="M60" s="65" t="str">
        <f>IF(MUROS!$BI$49&lt;&gt;"SÍ","",MUROS!$EE$49)</f>
        <v/>
      </c>
    </row>
    <row r="61" ht="24" customHeight="1">
      <c r="B61" s="60" t="str">
        <f>IF(MUROS!$BI$50&lt;&gt;"SÍ","",MUROS!$B$50)</f>
        <v/>
      </c>
      <c r="C61" s="60" t="str">
        <f>IF(MUROS!$BI$50&lt;&gt;"SÍ","",MUROS!$C$50)</f>
        <v/>
      </c>
      <c r="D61" s="60" t="str">
        <f>IF(MUROS!$BI$50&lt;&gt;"SÍ","",MUROS!$D$50)</f>
        <v/>
      </c>
      <c r="E61" s="61" t="str">
        <f>IF(MUROS!$BI$50&lt;&gt;"SÍ","",MUROS!$F$50)</f>
        <v/>
      </c>
      <c r="F61" s="61" t="str">
        <f>IF(MUROS!$BI$50&lt;&gt;"SÍ","",MUROS!$BK$50)</f>
        <v/>
      </c>
      <c r="G61" s="61" t="str">
        <f>IF(MUROS!$BI$50&lt;&gt;"SÍ","",MUROS!$EB$50)</f>
        <v/>
      </c>
      <c r="H61" s="62" t="str">
        <f>IF(MUROS!$BI$50&lt;&gt;"SÍ","",MUROS!$EC$50)</f>
        <v/>
      </c>
      <c r="I61" s="63" t="str">
        <f>IF(MUROS!$BI$50&lt;&gt;"SÍ","",MUROS!$CX$50)</f>
        <v/>
      </c>
      <c r="J61" s="64" t="str">
        <f>IF(MUROS!$BI$50&lt;&gt;"SÍ","",MUROS!$CQ$50)</f>
        <v/>
      </c>
      <c r="K61" s="65" t="str">
        <f>IF(MUROS!$BI$50&lt;&gt;"SÍ","",MUROS!$EP$50)</f>
        <v/>
      </c>
      <c r="L61" s="65" t="str">
        <f>IF(MUROS!$BI$50&lt;&gt;"SÍ","",MUROS!$EW$50)</f>
        <v/>
      </c>
      <c r="M61" s="65" t="str">
        <f>IF(MUROS!$BI$50&lt;&gt;"SÍ","",MUROS!$EE$50)</f>
        <v/>
      </c>
    </row>
    <row r="62" ht="24" customHeight="1">
      <c r="B62" s="60" t="str">
        <f>IF(MUROS!$BI$51&lt;&gt;"SÍ","",MUROS!$B$51)</f>
        <v/>
      </c>
      <c r="C62" s="60" t="str">
        <f>IF(MUROS!$BI$51&lt;&gt;"SÍ","",MUROS!$C$51)</f>
        <v/>
      </c>
      <c r="D62" s="60" t="str">
        <f>IF(MUROS!$BI$51&lt;&gt;"SÍ","",MUROS!$D$51)</f>
        <v/>
      </c>
      <c r="E62" s="61" t="str">
        <f>IF(MUROS!$BI$51&lt;&gt;"SÍ","",MUROS!$F$51)</f>
        <v/>
      </c>
      <c r="F62" s="61" t="str">
        <f>IF(MUROS!$BI$51&lt;&gt;"SÍ","",MUROS!$BK$51)</f>
        <v/>
      </c>
      <c r="G62" s="61" t="str">
        <f>IF(MUROS!$BI$51&lt;&gt;"SÍ","",MUROS!$EB$51)</f>
        <v/>
      </c>
      <c r="H62" s="62" t="str">
        <f>IF(MUROS!$BI$51&lt;&gt;"SÍ","",MUROS!$EC$51)</f>
        <v/>
      </c>
      <c r="I62" s="63" t="str">
        <f>IF(MUROS!$BI$51&lt;&gt;"SÍ","",MUROS!$CX$51)</f>
        <v/>
      </c>
      <c r="J62" s="64" t="str">
        <f>IF(MUROS!$BI$51&lt;&gt;"SÍ","",MUROS!$CQ$51)</f>
        <v/>
      </c>
      <c r="K62" s="65" t="str">
        <f>IF(MUROS!$BI$51&lt;&gt;"SÍ","",MUROS!$EP$51)</f>
        <v/>
      </c>
      <c r="L62" s="65" t="str">
        <f>IF(MUROS!$BI$51&lt;&gt;"SÍ","",MUROS!$EW$51)</f>
        <v/>
      </c>
      <c r="M62" s="65" t="str">
        <f>IF(MUROS!$BI$51&lt;&gt;"SÍ","",MUROS!$EE$51)</f>
        <v/>
      </c>
    </row>
    <row r="63" ht="24" customHeight="1">
      <c r="B63" s="60" t="str">
        <f>IF(MUROS!$BI$52&lt;&gt;"SÍ","",MUROS!$B$52)</f>
        <v/>
      </c>
      <c r="C63" s="60" t="str">
        <f>IF(MUROS!$BI$52&lt;&gt;"SÍ","",MUROS!$C$52)</f>
        <v/>
      </c>
      <c r="D63" s="60" t="str">
        <f>IF(MUROS!$BI$52&lt;&gt;"SÍ","",MUROS!$D$52)</f>
        <v/>
      </c>
      <c r="E63" s="61" t="str">
        <f>IF(MUROS!$BI$52&lt;&gt;"SÍ","",MUROS!$F$52)</f>
        <v/>
      </c>
      <c r="F63" s="61" t="str">
        <f>IF(MUROS!$BI$52&lt;&gt;"SÍ","",MUROS!$BK$52)</f>
        <v/>
      </c>
      <c r="G63" s="61" t="str">
        <f>IF(MUROS!$BI$52&lt;&gt;"SÍ","",MUROS!$EB$52)</f>
        <v/>
      </c>
      <c r="H63" s="62" t="str">
        <f>IF(MUROS!$BI$52&lt;&gt;"SÍ","",MUROS!$EC$52)</f>
        <v/>
      </c>
      <c r="I63" s="63" t="str">
        <f>IF(MUROS!$BI$52&lt;&gt;"SÍ","",MUROS!$CX$52)</f>
        <v/>
      </c>
      <c r="J63" s="64" t="str">
        <f>IF(MUROS!$BI$52&lt;&gt;"SÍ","",MUROS!$CQ$52)</f>
        <v/>
      </c>
      <c r="K63" s="65" t="str">
        <f>IF(MUROS!$BI$52&lt;&gt;"SÍ","",MUROS!$EP$52)</f>
        <v/>
      </c>
      <c r="L63" s="65" t="str">
        <f>IF(MUROS!$BI$52&lt;&gt;"SÍ","",MUROS!$EW$52)</f>
        <v/>
      </c>
      <c r="M63" s="65" t="str">
        <f>IF(MUROS!$BI$52&lt;&gt;"SÍ","",MUROS!$EE$52)</f>
        <v/>
      </c>
    </row>
    <row r="64" ht="24" customHeight="1">
      <c r="B64" s="60" t="str">
        <f>IF(MUROS!$BI$53&lt;&gt;"SÍ","",MUROS!$B$53)</f>
        <v/>
      </c>
      <c r="C64" s="60" t="str">
        <f>IF(MUROS!$BI$53&lt;&gt;"SÍ","",MUROS!$C$53)</f>
        <v/>
      </c>
      <c r="D64" s="60" t="str">
        <f>IF(MUROS!$BI$53&lt;&gt;"SÍ","",MUROS!$D$53)</f>
        <v/>
      </c>
      <c r="E64" s="61" t="str">
        <f>IF(MUROS!$BI$53&lt;&gt;"SÍ","",MUROS!$F$53)</f>
        <v/>
      </c>
      <c r="F64" s="61" t="str">
        <f>IF(MUROS!$BI$53&lt;&gt;"SÍ","",MUROS!$BK$53)</f>
        <v/>
      </c>
      <c r="G64" s="61" t="str">
        <f>IF(MUROS!$BI$53&lt;&gt;"SÍ","",MUROS!$EB$53)</f>
        <v/>
      </c>
      <c r="H64" s="62" t="str">
        <f>IF(MUROS!$BI$53&lt;&gt;"SÍ","",MUROS!$EC$53)</f>
        <v/>
      </c>
      <c r="I64" s="63" t="str">
        <f>IF(MUROS!$BI$53&lt;&gt;"SÍ","",MUROS!$CX$53)</f>
        <v/>
      </c>
      <c r="J64" s="64" t="str">
        <f>IF(MUROS!$BI$53&lt;&gt;"SÍ","",MUROS!$CQ$53)</f>
        <v/>
      </c>
      <c r="K64" s="65" t="str">
        <f>IF(MUROS!$BI$53&lt;&gt;"SÍ","",MUROS!$EP$53)</f>
        <v/>
      </c>
      <c r="L64" s="65" t="str">
        <f>IF(MUROS!$BI$53&lt;&gt;"SÍ","",MUROS!$EW$53)</f>
        <v/>
      </c>
      <c r="M64" s="65" t="str">
        <f>IF(MUROS!$BI$53&lt;&gt;"SÍ","",MUROS!$EE$53)</f>
        <v/>
      </c>
    </row>
    <row r="65" ht="24" customHeight="1">
      <c r="B65" s="60" t="str">
        <f>IF(MUROS!$BI$54&lt;&gt;"SÍ","",MUROS!$B$54)</f>
        <v/>
      </c>
      <c r="C65" s="60" t="str">
        <f>IF(MUROS!$BI$54&lt;&gt;"SÍ","",MUROS!$C$54)</f>
        <v/>
      </c>
      <c r="D65" s="60" t="str">
        <f>IF(MUROS!$BI$54&lt;&gt;"SÍ","",MUROS!$D$54)</f>
        <v/>
      </c>
      <c r="E65" s="61" t="str">
        <f>IF(MUROS!$BI$54&lt;&gt;"SÍ","",MUROS!$F$54)</f>
        <v/>
      </c>
      <c r="F65" s="61" t="str">
        <f>IF(MUROS!$BI$54&lt;&gt;"SÍ","",MUROS!$BK$54)</f>
        <v/>
      </c>
      <c r="G65" s="61" t="str">
        <f>IF(MUROS!$BI$54&lt;&gt;"SÍ","",MUROS!$EB$54)</f>
        <v/>
      </c>
      <c r="H65" s="62" t="str">
        <f>IF(MUROS!$BI$54&lt;&gt;"SÍ","",MUROS!$EC$54)</f>
        <v/>
      </c>
      <c r="I65" s="63" t="str">
        <f>IF(MUROS!$BI$54&lt;&gt;"SÍ","",MUROS!$CX$54)</f>
        <v/>
      </c>
      <c r="J65" s="64" t="str">
        <f>IF(MUROS!$BI$54&lt;&gt;"SÍ","",MUROS!$CQ$54)</f>
        <v/>
      </c>
      <c r="K65" s="65" t="str">
        <f>IF(MUROS!$BI$54&lt;&gt;"SÍ","",MUROS!$EP$54)</f>
        <v/>
      </c>
      <c r="L65" s="65" t="str">
        <f>IF(MUROS!$BI$54&lt;&gt;"SÍ","",MUROS!$EW$54)</f>
        <v/>
      </c>
      <c r="M65" s="65" t="str">
        <f>IF(MUROS!$BI$54&lt;&gt;"SÍ","",MUROS!$EE$54)</f>
        <v/>
      </c>
    </row>
    <row r="66" ht="24" customHeight="1">
      <c r="B66" s="60" t="str">
        <f>IF(MUROS!$BI$55&lt;&gt;"SÍ","",MUROS!$B$55)</f>
        <v/>
      </c>
      <c r="C66" s="60" t="str">
        <f>IF(MUROS!$BI$55&lt;&gt;"SÍ","",MUROS!$C$55)</f>
        <v/>
      </c>
      <c r="D66" s="60" t="str">
        <f>IF(MUROS!$BI$55&lt;&gt;"SÍ","",MUROS!$D$55)</f>
        <v/>
      </c>
      <c r="E66" s="61" t="str">
        <f>IF(MUROS!$BI$55&lt;&gt;"SÍ","",MUROS!$F$55)</f>
        <v/>
      </c>
      <c r="F66" s="61" t="str">
        <f>IF(MUROS!$BI$55&lt;&gt;"SÍ","",MUROS!$BK$55)</f>
        <v/>
      </c>
      <c r="G66" s="61" t="str">
        <f>IF(MUROS!$BI$55&lt;&gt;"SÍ","",MUROS!$EB$55)</f>
        <v/>
      </c>
      <c r="H66" s="62" t="str">
        <f>IF(MUROS!$BI$55&lt;&gt;"SÍ","",MUROS!$EC$55)</f>
        <v/>
      </c>
      <c r="I66" s="63" t="str">
        <f>IF(MUROS!$BI$55&lt;&gt;"SÍ","",MUROS!$CX$55)</f>
        <v/>
      </c>
      <c r="J66" s="64" t="str">
        <f>IF(MUROS!$BI$55&lt;&gt;"SÍ","",MUROS!$CQ$55)</f>
        <v/>
      </c>
      <c r="K66" s="65" t="str">
        <f>IF(MUROS!$BI$55&lt;&gt;"SÍ","",MUROS!$EP$55)</f>
        <v/>
      </c>
      <c r="L66" s="65" t="str">
        <f>IF(MUROS!$BI$55&lt;&gt;"SÍ","",MUROS!$EW$55)</f>
        <v/>
      </c>
      <c r="M66" s="65" t="str">
        <f>IF(MUROS!$BI$55&lt;&gt;"SÍ","",MUROS!$EE$55)</f>
        <v/>
      </c>
    </row>
    <row r="67" ht="24" customHeight="1">
      <c r="B67" s="60" t="str">
        <f>IF(MUROS!$BI$56&lt;&gt;"SÍ","",MUROS!$B$56)</f>
        <v/>
      </c>
      <c r="C67" s="60" t="str">
        <f>IF(MUROS!$BI$56&lt;&gt;"SÍ","",MUROS!$C$56)</f>
        <v/>
      </c>
      <c r="D67" s="60" t="str">
        <f>IF(MUROS!$BI$56&lt;&gt;"SÍ","",MUROS!$D$56)</f>
        <v/>
      </c>
      <c r="E67" s="61" t="str">
        <f>IF(MUROS!$BI$56&lt;&gt;"SÍ","",MUROS!$F$56)</f>
        <v/>
      </c>
      <c r="F67" s="61" t="str">
        <f>IF(MUROS!$BI$56&lt;&gt;"SÍ","",MUROS!$BK$56)</f>
        <v/>
      </c>
      <c r="G67" s="61" t="str">
        <f>IF(MUROS!$BI$56&lt;&gt;"SÍ","",MUROS!$EB$56)</f>
        <v/>
      </c>
      <c r="H67" s="62" t="str">
        <f>IF(MUROS!$BI$56&lt;&gt;"SÍ","",MUROS!$EC$56)</f>
        <v/>
      </c>
      <c r="I67" s="63" t="str">
        <f>IF(MUROS!$BI$56&lt;&gt;"SÍ","",MUROS!$CX$56)</f>
        <v/>
      </c>
      <c r="J67" s="64" t="str">
        <f>IF(MUROS!$BI$56&lt;&gt;"SÍ","",MUROS!$CQ$56)</f>
        <v/>
      </c>
      <c r="K67" s="65" t="str">
        <f>IF(MUROS!$BI$56&lt;&gt;"SÍ","",MUROS!$EP$56)</f>
        <v/>
      </c>
      <c r="L67" s="65" t="str">
        <f>IF(MUROS!$BI$56&lt;&gt;"SÍ","",MUROS!$EW$56)</f>
        <v/>
      </c>
      <c r="M67" s="65" t="str">
        <f>IF(MUROS!$BI$56&lt;&gt;"SÍ","",MUROS!$EE$56)</f>
        <v/>
      </c>
    </row>
    <row r="68" ht="24" customHeight="1">
      <c r="B68" s="60" t="str">
        <f>IF(MUROS!$BI$57&lt;&gt;"SÍ","",MUROS!$B$57)</f>
        <v/>
      </c>
      <c r="C68" s="60" t="str">
        <f>IF(MUROS!$BI$57&lt;&gt;"SÍ","",MUROS!$C$57)</f>
        <v/>
      </c>
      <c r="D68" s="60" t="str">
        <f>IF(MUROS!$BI$57&lt;&gt;"SÍ","",MUROS!$D$57)</f>
        <v/>
      </c>
      <c r="E68" s="61" t="str">
        <f>IF(MUROS!$BI$57&lt;&gt;"SÍ","",MUROS!$F$57)</f>
        <v/>
      </c>
      <c r="F68" s="61" t="str">
        <f>IF(MUROS!$BI$57&lt;&gt;"SÍ","",MUROS!$BK$57)</f>
        <v/>
      </c>
      <c r="G68" s="61" t="str">
        <f>IF(MUROS!$BI$57&lt;&gt;"SÍ","",MUROS!$EB$57)</f>
        <v/>
      </c>
      <c r="H68" s="62" t="str">
        <f>IF(MUROS!$BI$57&lt;&gt;"SÍ","",MUROS!$EC$57)</f>
        <v/>
      </c>
      <c r="I68" s="63" t="str">
        <f>IF(MUROS!$BI$57&lt;&gt;"SÍ","",MUROS!$CX$57)</f>
        <v/>
      </c>
      <c r="J68" s="64" t="str">
        <f>IF(MUROS!$BI$57&lt;&gt;"SÍ","",MUROS!$CQ$57)</f>
        <v/>
      </c>
      <c r="K68" s="65" t="str">
        <f>IF(MUROS!$BI$57&lt;&gt;"SÍ","",MUROS!$EP$57)</f>
        <v/>
      </c>
      <c r="L68" s="65" t="str">
        <f>IF(MUROS!$BI$57&lt;&gt;"SÍ","",MUROS!$EW$57)</f>
        <v/>
      </c>
      <c r="M68" s="65" t="str">
        <f>IF(MUROS!$BI$57&lt;&gt;"SÍ","",MUROS!$EE$57)</f>
        <v/>
      </c>
    </row>
    <row r="69" ht="24" customHeight="1">
      <c r="B69" s="60" t="str">
        <f>IF(MUROS!$BI$58&lt;&gt;"SÍ","",MUROS!$B$58)</f>
        <v/>
      </c>
      <c r="C69" s="60" t="str">
        <f>IF(MUROS!$BI$58&lt;&gt;"SÍ","",MUROS!$C$58)</f>
        <v/>
      </c>
      <c r="D69" s="60" t="str">
        <f>IF(MUROS!$BI$58&lt;&gt;"SÍ","",MUROS!$D$58)</f>
        <v/>
      </c>
      <c r="E69" s="61" t="str">
        <f>IF(MUROS!$BI$58&lt;&gt;"SÍ","",MUROS!$F$58)</f>
        <v/>
      </c>
      <c r="F69" s="61" t="str">
        <f>IF(MUROS!$BI$58&lt;&gt;"SÍ","",MUROS!$BK$58)</f>
        <v/>
      </c>
      <c r="G69" s="61" t="str">
        <f>IF(MUROS!$BI$58&lt;&gt;"SÍ","",MUROS!$EB$58)</f>
        <v/>
      </c>
      <c r="H69" s="62" t="str">
        <f>IF(MUROS!$BI$58&lt;&gt;"SÍ","",MUROS!$EC$58)</f>
        <v/>
      </c>
      <c r="I69" s="63" t="str">
        <f>IF(MUROS!$BI$58&lt;&gt;"SÍ","",MUROS!$CX$58)</f>
        <v/>
      </c>
      <c r="J69" s="64" t="str">
        <f>IF(MUROS!$BI$58&lt;&gt;"SÍ","",MUROS!$CQ$58)</f>
        <v/>
      </c>
      <c r="K69" s="65" t="str">
        <f>IF(MUROS!$BI$58&lt;&gt;"SÍ","",MUROS!$EP$58)</f>
        <v/>
      </c>
      <c r="L69" s="65" t="str">
        <f>IF(MUROS!$BI$58&lt;&gt;"SÍ","",MUROS!$EW$58)</f>
        <v/>
      </c>
      <c r="M69" s="65" t="str">
        <f>IF(MUROS!$BI$58&lt;&gt;"SÍ","",MUROS!$EE$58)</f>
        <v/>
      </c>
    </row>
    <row r="70" ht="24" customHeight="1">
      <c r="B70" s="60" t="str">
        <f>IF(MUROS!$BI$59&lt;&gt;"SÍ","",MUROS!$B$59)</f>
        <v/>
      </c>
      <c r="C70" s="60" t="str">
        <f>IF(MUROS!$BI$59&lt;&gt;"SÍ","",MUROS!$C$59)</f>
        <v/>
      </c>
      <c r="D70" s="60" t="str">
        <f>IF(MUROS!$BI$59&lt;&gt;"SÍ","",MUROS!$D$59)</f>
        <v/>
      </c>
      <c r="E70" s="61" t="str">
        <f>IF(MUROS!$BI$59&lt;&gt;"SÍ","",MUROS!$F$59)</f>
        <v/>
      </c>
      <c r="F70" s="61" t="str">
        <f>IF(MUROS!$BI$59&lt;&gt;"SÍ","",MUROS!$BK$59)</f>
        <v/>
      </c>
      <c r="G70" s="61" t="str">
        <f>IF(MUROS!$BI$59&lt;&gt;"SÍ","",MUROS!$EB$59)</f>
        <v/>
      </c>
      <c r="H70" s="62" t="str">
        <f>IF(MUROS!$BI$59&lt;&gt;"SÍ","",MUROS!$EC$59)</f>
        <v/>
      </c>
      <c r="I70" s="63" t="str">
        <f>IF(MUROS!$BI$59&lt;&gt;"SÍ","",MUROS!$CX$59)</f>
        <v/>
      </c>
      <c r="J70" s="64" t="str">
        <f>IF(MUROS!$BI$59&lt;&gt;"SÍ","",MUROS!$CQ$59)</f>
        <v/>
      </c>
      <c r="K70" s="65" t="str">
        <f>IF(MUROS!$BI$59&lt;&gt;"SÍ","",MUROS!$EP$59)</f>
        <v/>
      </c>
      <c r="L70" s="65" t="str">
        <f>IF(MUROS!$BI$59&lt;&gt;"SÍ","",MUROS!$EW$59)</f>
        <v/>
      </c>
      <c r="M70" s="65" t="str">
        <f>IF(MUROS!$BI$59&lt;&gt;"SÍ","",MUROS!$EE$59)</f>
        <v/>
      </c>
    </row>
    <row r="71" ht="24" customHeight="1">
      <c r="B71" s="60" t="str">
        <f>IF(MUROS!$BI$60&lt;&gt;"SÍ","",MUROS!$B$60)</f>
        <v/>
      </c>
      <c r="C71" s="60" t="str">
        <f>IF(MUROS!$BI$60&lt;&gt;"SÍ","",MUROS!$C$60)</f>
        <v/>
      </c>
      <c r="D71" s="60" t="str">
        <f>IF(MUROS!$BI$60&lt;&gt;"SÍ","",MUROS!$D$60)</f>
        <v/>
      </c>
      <c r="E71" s="61" t="str">
        <f>IF(MUROS!$BI$60&lt;&gt;"SÍ","",MUROS!$F$60)</f>
        <v/>
      </c>
      <c r="F71" s="61" t="str">
        <f>IF(MUROS!$BI$60&lt;&gt;"SÍ","",MUROS!$BK$60)</f>
        <v/>
      </c>
      <c r="G71" s="61" t="str">
        <f>IF(MUROS!$BI$60&lt;&gt;"SÍ","",MUROS!$EB$60)</f>
        <v/>
      </c>
      <c r="H71" s="62" t="str">
        <f>IF(MUROS!$BI$60&lt;&gt;"SÍ","",MUROS!$EC$60)</f>
        <v/>
      </c>
      <c r="I71" s="63" t="str">
        <f>IF(MUROS!$BI$60&lt;&gt;"SÍ","",MUROS!$CX$60)</f>
        <v/>
      </c>
      <c r="J71" s="64" t="str">
        <f>IF(MUROS!$BI$60&lt;&gt;"SÍ","",MUROS!$CQ$60)</f>
        <v/>
      </c>
      <c r="K71" s="65" t="str">
        <f>IF(MUROS!$BI$60&lt;&gt;"SÍ","",MUROS!$EP$60)</f>
        <v/>
      </c>
      <c r="L71" s="65" t="str">
        <f>IF(MUROS!$BI$60&lt;&gt;"SÍ","",MUROS!$EW$60)</f>
        <v/>
      </c>
      <c r="M71" s="65" t="str">
        <f>IF(MUROS!$BI$60&lt;&gt;"SÍ","",MUROS!$EE$60)</f>
        <v/>
      </c>
    </row>
    <row r="72" ht="24" customHeight="1">
      <c r="B72" s="60" t="str">
        <f>IF(MUROS!$BI$61&lt;&gt;"SÍ","",MUROS!$B$61)</f>
        <v/>
      </c>
      <c r="C72" s="60" t="str">
        <f>IF(MUROS!$BI$61&lt;&gt;"SÍ","",MUROS!$C$61)</f>
        <v/>
      </c>
      <c r="D72" s="60" t="str">
        <f>IF(MUROS!$BI$61&lt;&gt;"SÍ","",MUROS!$D$61)</f>
        <v/>
      </c>
      <c r="E72" s="61" t="str">
        <f>IF(MUROS!$BI$61&lt;&gt;"SÍ","",MUROS!$F$61)</f>
        <v/>
      </c>
      <c r="F72" s="61" t="str">
        <f>IF(MUROS!$BI$61&lt;&gt;"SÍ","",MUROS!$BK$61)</f>
        <v/>
      </c>
      <c r="G72" s="61" t="str">
        <f>IF(MUROS!$BI$61&lt;&gt;"SÍ","",MUROS!$EB$61)</f>
        <v/>
      </c>
      <c r="H72" s="62" t="str">
        <f>IF(MUROS!$BI$61&lt;&gt;"SÍ","",MUROS!$EC$61)</f>
        <v/>
      </c>
      <c r="I72" s="63" t="str">
        <f>IF(MUROS!$BI$61&lt;&gt;"SÍ","",MUROS!$CX$61)</f>
        <v/>
      </c>
      <c r="J72" s="64" t="str">
        <f>IF(MUROS!$BI$61&lt;&gt;"SÍ","",MUROS!$CQ$61)</f>
        <v/>
      </c>
      <c r="K72" s="65" t="str">
        <f>IF(MUROS!$BI$61&lt;&gt;"SÍ","",MUROS!$EP$61)</f>
        <v/>
      </c>
      <c r="L72" s="65" t="str">
        <f>IF(MUROS!$BI$61&lt;&gt;"SÍ","",MUROS!$EW$61)</f>
        <v/>
      </c>
      <c r="M72" s="65" t="str">
        <f>IF(MUROS!$BI$61&lt;&gt;"SÍ","",MUROS!$EE$61)</f>
        <v/>
      </c>
    </row>
    <row r="73" ht="24" customHeight="1">
      <c r="B73" s="60" t="str">
        <f>IF(MUROS!$BI$62&lt;&gt;"SÍ","",MUROS!$B$62)</f>
        <v/>
      </c>
      <c r="C73" s="60" t="str">
        <f>IF(MUROS!$BI$62&lt;&gt;"SÍ","",MUROS!$C$62)</f>
        <v/>
      </c>
      <c r="D73" s="60" t="str">
        <f>IF(MUROS!$BI$62&lt;&gt;"SÍ","",MUROS!$D$62)</f>
        <v/>
      </c>
      <c r="E73" s="61" t="str">
        <f>IF(MUROS!$BI$62&lt;&gt;"SÍ","",MUROS!$F$62)</f>
        <v/>
      </c>
      <c r="F73" s="61" t="str">
        <f>IF(MUROS!$BI$62&lt;&gt;"SÍ","",MUROS!$BK$62)</f>
        <v/>
      </c>
      <c r="G73" s="61" t="str">
        <f>IF(MUROS!$BI$62&lt;&gt;"SÍ","",MUROS!$EB$62)</f>
        <v/>
      </c>
      <c r="H73" s="62" t="str">
        <f>IF(MUROS!$BI$62&lt;&gt;"SÍ","",MUROS!$EC$62)</f>
        <v/>
      </c>
      <c r="I73" s="63" t="str">
        <f>IF(MUROS!$BI$62&lt;&gt;"SÍ","",MUROS!$CX$62)</f>
        <v/>
      </c>
      <c r="J73" s="64" t="str">
        <f>IF(MUROS!$BI$62&lt;&gt;"SÍ","",MUROS!$CQ$62)</f>
        <v/>
      </c>
      <c r="K73" s="65" t="str">
        <f>IF(MUROS!$BI$62&lt;&gt;"SÍ","",MUROS!$EP$62)</f>
        <v/>
      </c>
      <c r="L73" s="65" t="str">
        <f>IF(MUROS!$BI$62&lt;&gt;"SÍ","",MUROS!$EW$62)</f>
        <v/>
      </c>
      <c r="M73" s="65" t="str">
        <f>IF(MUROS!$BI$62&lt;&gt;"SÍ","",MUROS!$EE$62)</f>
        <v/>
      </c>
    </row>
    <row r="74" ht="24" customHeight="1">
      <c r="B74" s="60" t="str">
        <f>IF(MUROS!$BI$63&lt;&gt;"SÍ","",MUROS!$B$63)</f>
        <v/>
      </c>
      <c r="C74" s="60" t="str">
        <f>IF(MUROS!$BI$63&lt;&gt;"SÍ","",MUROS!$C$63)</f>
        <v/>
      </c>
      <c r="D74" s="60" t="str">
        <f>IF(MUROS!$BI$63&lt;&gt;"SÍ","",MUROS!$D$63)</f>
        <v/>
      </c>
      <c r="E74" s="61" t="str">
        <f>IF(MUROS!$BI$63&lt;&gt;"SÍ","",MUROS!$F$63)</f>
        <v/>
      </c>
      <c r="F74" s="61" t="str">
        <f>IF(MUROS!$BI$63&lt;&gt;"SÍ","",MUROS!$BK$63)</f>
        <v/>
      </c>
      <c r="G74" s="61" t="str">
        <f>IF(MUROS!$BI$63&lt;&gt;"SÍ","",MUROS!$EB$63)</f>
        <v/>
      </c>
      <c r="H74" s="62" t="str">
        <f>IF(MUROS!$BI$63&lt;&gt;"SÍ","",MUROS!$EC$63)</f>
        <v/>
      </c>
      <c r="I74" s="63" t="str">
        <f>IF(MUROS!$BI$63&lt;&gt;"SÍ","",MUROS!$CX$63)</f>
        <v/>
      </c>
      <c r="J74" s="64" t="str">
        <f>IF(MUROS!$BI$63&lt;&gt;"SÍ","",MUROS!$CQ$63)</f>
        <v/>
      </c>
      <c r="K74" s="65" t="str">
        <f>IF(MUROS!$BI$63&lt;&gt;"SÍ","",MUROS!$EP$63)</f>
        <v/>
      </c>
      <c r="L74" s="65" t="str">
        <f>IF(MUROS!$BI$63&lt;&gt;"SÍ","",MUROS!$EW$63)</f>
        <v/>
      </c>
      <c r="M74" s="65" t="str">
        <f>IF(MUROS!$BI$63&lt;&gt;"SÍ","",MUROS!$EE$63)</f>
        <v/>
      </c>
    </row>
    <row r="75" ht="24" customHeight="1">
      <c r="B75" s="60" t="str">
        <f>IF(MUROS!$BI$64&lt;&gt;"SÍ","",MUROS!$B$64)</f>
        <v/>
      </c>
      <c r="C75" s="60" t="str">
        <f>IF(MUROS!$BI$64&lt;&gt;"SÍ","",MUROS!$C$64)</f>
        <v/>
      </c>
      <c r="D75" s="60" t="str">
        <f>IF(MUROS!$BI$64&lt;&gt;"SÍ","",MUROS!$D$64)</f>
        <v/>
      </c>
      <c r="E75" s="61" t="str">
        <f>IF(MUROS!$BI$64&lt;&gt;"SÍ","",MUROS!$F$64)</f>
        <v/>
      </c>
      <c r="F75" s="61" t="str">
        <f>IF(MUROS!$BI$64&lt;&gt;"SÍ","",MUROS!$BK$64)</f>
        <v/>
      </c>
      <c r="G75" s="61" t="str">
        <f>IF(MUROS!$BI$64&lt;&gt;"SÍ","",MUROS!$EB$64)</f>
        <v/>
      </c>
      <c r="H75" s="62" t="str">
        <f>IF(MUROS!$BI$64&lt;&gt;"SÍ","",MUROS!$EC$64)</f>
        <v/>
      </c>
      <c r="I75" s="63" t="str">
        <f>IF(MUROS!$BI$64&lt;&gt;"SÍ","",MUROS!$CX$64)</f>
        <v/>
      </c>
      <c r="J75" s="64" t="str">
        <f>IF(MUROS!$BI$64&lt;&gt;"SÍ","",MUROS!$CQ$64)</f>
        <v/>
      </c>
      <c r="K75" s="65" t="str">
        <f>IF(MUROS!$BI$64&lt;&gt;"SÍ","",MUROS!$EP$64)</f>
        <v/>
      </c>
      <c r="L75" s="65" t="str">
        <f>IF(MUROS!$BI$64&lt;&gt;"SÍ","",MUROS!$EW$64)</f>
        <v/>
      </c>
      <c r="M75" s="65" t="str">
        <f>IF(MUROS!$BI$64&lt;&gt;"SÍ","",MUROS!$EE$64)</f>
        <v/>
      </c>
    </row>
    <row r="76" ht="24" customHeight="1">
      <c r="B76" s="60" t="str">
        <f>IF(MUROS!$BI$65&lt;&gt;"SÍ","",MUROS!$B$65)</f>
        <v/>
      </c>
      <c r="C76" s="60" t="str">
        <f>IF(MUROS!$BI$65&lt;&gt;"SÍ","",MUROS!$C$65)</f>
        <v/>
      </c>
      <c r="D76" s="60" t="str">
        <f>IF(MUROS!$BI$65&lt;&gt;"SÍ","",MUROS!$D$65)</f>
        <v/>
      </c>
      <c r="E76" s="61" t="str">
        <f>IF(MUROS!$BI$65&lt;&gt;"SÍ","",MUROS!$F$65)</f>
        <v/>
      </c>
      <c r="F76" s="61" t="str">
        <f>IF(MUROS!$BI$65&lt;&gt;"SÍ","",MUROS!$BK$65)</f>
        <v/>
      </c>
      <c r="G76" s="61" t="str">
        <f>IF(MUROS!$BI$65&lt;&gt;"SÍ","",MUROS!$EB$65)</f>
        <v/>
      </c>
      <c r="H76" s="62" t="str">
        <f>IF(MUROS!$BI$65&lt;&gt;"SÍ","",MUROS!$EC$65)</f>
        <v/>
      </c>
      <c r="I76" s="63" t="str">
        <f>IF(MUROS!$BI$65&lt;&gt;"SÍ","",MUROS!$CX$65)</f>
        <v/>
      </c>
      <c r="J76" s="64" t="str">
        <f>IF(MUROS!$BI$65&lt;&gt;"SÍ","",MUROS!$CQ$65)</f>
        <v/>
      </c>
      <c r="K76" s="65" t="str">
        <f>IF(MUROS!$BI$65&lt;&gt;"SÍ","",MUROS!$EP$65)</f>
        <v/>
      </c>
      <c r="L76" s="65" t="str">
        <f>IF(MUROS!$BI$65&lt;&gt;"SÍ","",MUROS!$EW$65)</f>
        <v/>
      </c>
      <c r="M76" s="65" t="str">
        <f>IF(MUROS!$BI$65&lt;&gt;"SÍ","",MUROS!$EE$65)</f>
        <v/>
      </c>
    </row>
    <row r="77" ht="24" customHeight="1">
      <c r="B77" s="60" t="str">
        <f>IF(MUROS!$BI$66&lt;&gt;"SÍ","",MUROS!$B$66)</f>
        <v/>
      </c>
      <c r="C77" s="60" t="str">
        <f>IF(MUROS!$BI$66&lt;&gt;"SÍ","",MUROS!$C$66)</f>
        <v/>
      </c>
      <c r="D77" s="60" t="str">
        <f>IF(MUROS!$BI$66&lt;&gt;"SÍ","",MUROS!$D$66)</f>
        <v/>
      </c>
      <c r="E77" s="61" t="str">
        <f>IF(MUROS!$BI$66&lt;&gt;"SÍ","",MUROS!$F$66)</f>
        <v/>
      </c>
      <c r="F77" s="61" t="str">
        <f>IF(MUROS!$BI$66&lt;&gt;"SÍ","",MUROS!$BK$66)</f>
        <v/>
      </c>
      <c r="G77" s="61" t="str">
        <f>IF(MUROS!$BI$66&lt;&gt;"SÍ","",MUROS!$EB$66)</f>
        <v/>
      </c>
      <c r="H77" s="62" t="str">
        <f>IF(MUROS!$BI$66&lt;&gt;"SÍ","",MUROS!$EC$66)</f>
        <v/>
      </c>
      <c r="I77" s="63" t="str">
        <f>IF(MUROS!$BI$66&lt;&gt;"SÍ","",MUROS!$CX$66)</f>
        <v/>
      </c>
      <c r="J77" s="64" t="str">
        <f>IF(MUROS!$BI$66&lt;&gt;"SÍ","",MUROS!$CQ$66)</f>
        <v/>
      </c>
      <c r="K77" s="65" t="str">
        <f>IF(MUROS!$BI$66&lt;&gt;"SÍ","",MUROS!$EP$66)</f>
        <v/>
      </c>
      <c r="L77" s="65" t="str">
        <f>IF(MUROS!$BI$66&lt;&gt;"SÍ","",MUROS!$EW$66)</f>
        <v/>
      </c>
      <c r="M77" s="65" t="str">
        <f>IF(MUROS!$BI$66&lt;&gt;"SÍ","",MUROS!$EE$66)</f>
        <v/>
      </c>
    </row>
    <row r="78" ht="24" customHeight="1">
      <c r="B78" s="60" t="str">
        <f>IF(MUROS!$BI$67&lt;&gt;"SÍ","",MUROS!$B$67)</f>
        <v/>
      </c>
      <c r="C78" s="60" t="str">
        <f>IF(MUROS!$BI$67&lt;&gt;"SÍ","",MUROS!$C$67)</f>
        <v/>
      </c>
      <c r="D78" s="60" t="str">
        <f>IF(MUROS!$BI$67&lt;&gt;"SÍ","",MUROS!$D$67)</f>
        <v/>
      </c>
      <c r="E78" s="61" t="str">
        <f>IF(MUROS!$BI$67&lt;&gt;"SÍ","",MUROS!$F$67)</f>
        <v/>
      </c>
      <c r="F78" s="61" t="str">
        <f>IF(MUROS!$BI$67&lt;&gt;"SÍ","",MUROS!$BK$67)</f>
        <v/>
      </c>
      <c r="G78" s="61" t="str">
        <f>IF(MUROS!$BI$67&lt;&gt;"SÍ","",MUROS!$EB$67)</f>
        <v/>
      </c>
      <c r="H78" s="62" t="str">
        <f>IF(MUROS!$BI$67&lt;&gt;"SÍ","",MUROS!$EC$67)</f>
        <v/>
      </c>
      <c r="I78" s="63" t="str">
        <f>IF(MUROS!$BI$67&lt;&gt;"SÍ","",MUROS!$CX$67)</f>
        <v/>
      </c>
      <c r="J78" s="64" t="str">
        <f>IF(MUROS!$BI$67&lt;&gt;"SÍ","",MUROS!$CQ$67)</f>
        <v/>
      </c>
      <c r="K78" s="65" t="str">
        <f>IF(MUROS!$BI$67&lt;&gt;"SÍ","",MUROS!$EP$67)</f>
        <v/>
      </c>
      <c r="L78" s="65" t="str">
        <f>IF(MUROS!$BI$67&lt;&gt;"SÍ","",MUROS!$EW$67)</f>
        <v/>
      </c>
      <c r="M78" s="65" t="str">
        <f>IF(MUROS!$BI$67&lt;&gt;"SÍ","",MUROS!$EE$67)</f>
        <v/>
      </c>
    </row>
    <row r="79" ht="24" customHeight="1">
      <c r="B79" s="60" t="str">
        <f>IF(MUROS!$BI$68&lt;&gt;"SÍ","",MUROS!$B$68)</f>
        <v/>
      </c>
      <c r="C79" s="60" t="str">
        <f>IF(MUROS!$BI$68&lt;&gt;"SÍ","",MUROS!$C$68)</f>
        <v/>
      </c>
      <c r="D79" s="60" t="str">
        <f>IF(MUROS!$BI$68&lt;&gt;"SÍ","",MUROS!$D$68)</f>
        <v/>
      </c>
      <c r="E79" s="61" t="str">
        <f>IF(MUROS!$BI$68&lt;&gt;"SÍ","",MUROS!$F$68)</f>
        <v/>
      </c>
      <c r="F79" s="61" t="str">
        <f>IF(MUROS!$BI$68&lt;&gt;"SÍ","",MUROS!$BK$68)</f>
        <v/>
      </c>
      <c r="G79" s="61" t="str">
        <f>IF(MUROS!$BI$68&lt;&gt;"SÍ","",MUROS!$EB$68)</f>
        <v/>
      </c>
      <c r="H79" s="62" t="str">
        <f>IF(MUROS!$BI$68&lt;&gt;"SÍ","",MUROS!$EC$68)</f>
        <v/>
      </c>
      <c r="I79" s="63" t="str">
        <f>IF(MUROS!$BI$68&lt;&gt;"SÍ","",MUROS!$CX$68)</f>
        <v/>
      </c>
      <c r="J79" s="64" t="str">
        <f>IF(MUROS!$BI$68&lt;&gt;"SÍ","",MUROS!$CQ$68)</f>
        <v/>
      </c>
      <c r="K79" s="65" t="str">
        <f>IF(MUROS!$BI$68&lt;&gt;"SÍ","",MUROS!$EP$68)</f>
        <v/>
      </c>
      <c r="L79" s="65" t="str">
        <f>IF(MUROS!$BI$68&lt;&gt;"SÍ","",MUROS!$EW$68)</f>
        <v/>
      </c>
      <c r="M79" s="65" t="str">
        <f>IF(MUROS!$BI$68&lt;&gt;"SÍ","",MUROS!$EE$68)</f>
        <v/>
      </c>
    </row>
    <row r="80" ht="24" customHeight="1">
      <c r="B80" s="60" t="str">
        <f>IF(MUROS!$BI$69&lt;&gt;"SÍ","",MUROS!$B$69)</f>
        <v/>
      </c>
      <c r="C80" s="60" t="str">
        <f>IF(MUROS!$BI$69&lt;&gt;"SÍ","",MUROS!$C$69)</f>
        <v/>
      </c>
      <c r="D80" s="60" t="str">
        <f>IF(MUROS!$BI$69&lt;&gt;"SÍ","",MUROS!$D$69)</f>
        <v/>
      </c>
      <c r="E80" s="61" t="str">
        <f>IF(MUROS!$BI$69&lt;&gt;"SÍ","",MUROS!$F$69)</f>
        <v/>
      </c>
      <c r="F80" s="61" t="str">
        <f>IF(MUROS!$BI$69&lt;&gt;"SÍ","",MUROS!$BK$69)</f>
        <v/>
      </c>
      <c r="G80" s="61" t="str">
        <f>IF(MUROS!$BI$69&lt;&gt;"SÍ","",MUROS!$EB$69)</f>
        <v/>
      </c>
      <c r="H80" s="62" t="str">
        <f>IF(MUROS!$BI$69&lt;&gt;"SÍ","",MUROS!$EC$69)</f>
        <v/>
      </c>
      <c r="I80" s="63" t="str">
        <f>IF(MUROS!$BI$69&lt;&gt;"SÍ","",MUROS!$CX$69)</f>
        <v/>
      </c>
      <c r="J80" s="64" t="str">
        <f>IF(MUROS!$BI$69&lt;&gt;"SÍ","",MUROS!$CQ$69)</f>
        <v/>
      </c>
      <c r="K80" s="65" t="str">
        <f>IF(MUROS!$BI$69&lt;&gt;"SÍ","",MUROS!$EP$69)</f>
        <v/>
      </c>
      <c r="L80" s="65" t="str">
        <f>IF(MUROS!$BI$69&lt;&gt;"SÍ","",MUROS!$EW$69)</f>
        <v/>
      </c>
      <c r="M80" s="65" t="str">
        <f>IF(MUROS!$BI$69&lt;&gt;"SÍ","",MUROS!$EE$69)</f>
        <v/>
      </c>
    </row>
    <row r="81" ht="24" customHeight="1">
      <c r="B81" s="60" t="str">
        <f>IF(MUROS!$BI$70&lt;&gt;"SÍ","",MUROS!$B$70)</f>
        <v/>
      </c>
      <c r="C81" s="60" t="str">
        <f>IF(MUROS!$BI$70&lt;&gt;"SÍ","",MUROS!$C$70)</f>
        <v/>
      </c>
      <c r="D81" s="60" t="str">
        <f>IF(MUROS!$BI$70&lt;&gt;"SÍ","",MUROS!$D$70)</f>
        <v/>
      </c>
      <c r="E81" s="61" t="str">
        <f>IF(MUROS!$BI$70&lt;&gt;"SÍ","",MUROS!$F$70)</f>
        <v/>
      </c>
      <c r="F81" s="61" t="str">
        <f>IF(MUROS!$BI$70&lt;&gt;"SÍ","",MUROS!$BK$70)</f>
        <v/>
      </c>
      <c r="G81" s="61" t="str">
        <f>IF(MUROS!$BI$70&lt;&gt;"SÍ","",MUROS!$EB$70)</f>
        <v/>
      </c>
      <c r="H81" s="62" t="str">
        <f>IF(MUROS!$BI$70&lt;&gt;"SÍ","",MUROS!$EC$70)</f>
        <v/>
      </c>
      <c r="I81" s="63" t="str">
        <f>IF(MUROS!$BI$70&lt;&gt;"SÍ","",MUROS!$CX$70)</f>
        <v/>
      </c>
      <c r="J81" s="64" t="str">
        <f>IF(MUROS!$BI$70&lt;&gt;"SÍ","",MUROS!$CQ$70)</f>
        <v/>
      </c>
      <c r="K81" s="65" t="str">
        <f>IF(MUROS!$BI$70&lt;&gt;"SÍ","",MUROS!$EP$70)</f>
        <v/>
      </c>
      <c r="L81" s="65" t="str">
        <f>IF(MUROS!$BI$70&lt;&gt;"SÍ","",MUROS!$EW$70)</f>
        <v/>
      </c>
      <c r="M81" s="65" t="str">
        <f>IF(MUROS!$BI$70&lt;&gt;"SÍ","",MUROS!$EE$70)</f>
        <v/>
      </c>
    </row>
    <row r="82" ht="6" customHeight="1"/>
    <row r="83" ht="21" customHeight="1">
      <c r="B83" s="2" t="inlineStr">
        <is>
          <t>4. ENTREPISO Y DISTORSIONES</t>
        </is>
      </c>
    </row>
    <row r="84">
      <c r="B84" s="42" t="str">
        <f>IF(ENTREPISO!$B$15="","",ENTREPISO!$B$15&amp;" "&amp;ENTREPISO!$C$15)</f>
        <v>N1 X</v>
      </c>
      <c r="C84" s="42" t="str">
        <f>IF(ENTREPISO!$K$15="","","0.8·V_u/V_R = "&amp;TEXT(ENTREPISO!$K$15,"0.00"))</f>
        <v>0.8·V_u/V_R = 0.64</v>
      </c>
      <c r="E84" s="42" t="str">
        <f>ENTREPISO!$L$15</f>
        <v>CUMPLE — PENDIENTE: v'm provisional</v>
      </c>
    </row>
    <row r="85">
      <c r="B85" s="42" t="str">
        <f>IF(ENTREPISO!$B$16="","",ENTREPISO!$B$16&amp;" "&amp;ENTREPISO!$C$16)</f>
        <v>N1 Y</v>
      </c>
      <c r="C85" s="42" t="str">
        <f>IF(ENTREPISO!$K$16="","","0.8·V_u/V_R = "&amp;TEXT(ENTREPISO!$K$16,"0.00"))</f>
        <v>0.8·V_u/V_R = 0.74</v>
      </c>
      <c r="E85" s="42" t="str">
        <f>ENTREPISO!$L$16</f>
        <v>CUMPLE — PENDIENTE: v'm provisional</v>
      </c>
    </row>
    <row r="86">
      <c r="B86" s="42" t="str">
        <f>IF(ENTREPISO!$B$17="","",ENTREPISO!$B$17&amp;" "&amp;ENTREPISO!$C$17)</f>
        <v/>
      </c>
      <c r="C86" s="42" t="str">
        <f>IF(ENTREPISO!$K$17="","","0.8·V_u/V_R = "&amp;TEXT(ENTREPISO!$K$17,"0.00"))</f>
        <v/>
      </c>
      <c r="E86" s="42" t="str">
        <f>ENTREPISO!$L$17</f>
        <v/>
      </c>
    </row>
    <row r="87">
      <c r="B87" s="42" t="str">
        <f>IF(ENTREPISO!$B$18="","",ENTREPISO!$B$18&amp;" "&amp;ENTREPISO!$C$18)</f>
        <v/>
      </c>
      <c r="C87" s="42" t="str">
        <f>IF(ENTREPISO!$K$18="","","0.8·V_u/V_R = "&amp;TEXT(ENTREPISO!$K$18,"0.00"))</f>
        <v/>
      </c>
      <c r="E87" s="42" t="str">
        <f>ENTREPISO!$L$18</f>
        <v/>
      </c>
    </row>
    <row r="88">
      <c r="B88" s="42" t="str">
        <f>IF(ENTREPISO!$B$19="","",ENTREPISO!$B$19&amp;" "&amp;ENTREPISO!$C$19)</f>
        <v/>
      </c>
      <c r="C88" s="42" t="str">
        <f>IF(ENTREPISO!$K$19="","","0.8·V_u/V_R = "&amp;TEXT(ENTREPISO!$K$19,"0.00"))</f>
        <v/>
      </c>
      <c r="E88" s="42" t="str">
        <f>ENTREPISO!$L$19</f>
        <v/>
      </c>
    </row>
    <row r="89">
      <c r="B89" s="42" t="str">
        <f>IF(ENTREPISO!$B$20="","",ENTREPISO!$B$20&amp;" "&amp;ENTREPISO!$C$20)</f>
        <v/>
      </c>
      <c r="C89" s="42" t="str">
        <f>IF(ENTREPISO!$K$20="","","0.8·V_u/V_R = "&amp;TEXT(ENTREPISO!$K$20,"0.00"))</f>
        <v/>
      </c>
      <c r="E89" s="42" t="str">
        <f>ENTREPISO!$L$20</f>
        <v/>
      </c>
    </row>
    <row r="90">
      <c r="B90" s="42" t="str">
        <f>IF(ENTREPISO!$B$21="","",ENTREPISO!$B$21&amp;" "&amp;ENTREPISO!$C$21)</f>
        <v/>
      </c>
      <c r="C90" s="42" t="str">
        <f>IF(ENTREPISO!$K$21="","","0.8·V_u/V_R = "&amp;TEXT(ENTREPISO!$K$21,"0.00"))</f>
        <v/>
      </c>
      <c r="E90" s="42" t="str">
        <f>ENTREPISO!$L$21</f>
        <v/>
      </c>
    </row>
    <row r="91">
      <c r="B91" s="42" t="str">
        <f>IF(ENTREPISO!$B$22="","",ENTREPISO!$B$22&amp;" "&amp;ENTREPISO!$C$22)</f>
        <v/>
      </c>
      <c r="C91" s="42" t="str">
        <f>IF(ENTREPISO!$K$22="","","0.8·V_u/V_R = "&amp;TEXT(ENTREPISO!$K$22,"0.00"))</f>
        <v/>
      </c>
      <c r="E91" s="42" t="str">
        <f>ENTREPISO!$L$22</f>
        <v/>
      </c>
    </row>
    <row r="92">
      <c r="B92" s="42" t="str">
        <f>"Distorsión "&amp;DISTORSIONES!$B$5&amp;" "&amp;DISTORSIONES!$C$5</f>
        <v>Distorsión SV X</v>
      </c>
      <c r="C92" s="42" t="str">
        <f>IF(DISTORSIONES!$F$5=0,"","relación "&amp;TEXT(DISTORSIONES!$F$5,"0.00"))</f>
        <v/>
      </c>
      <c r="E92" s="42" t="str">
        <f>DISTORSIONES!$G$5</f>
        <v>PENDIENTE: no hay renglones de este caso</v>
      </c>
    </row>
    <row r="93">
      <c r="B93" s="42" t="str">
        <f>"Distorsión "&amp;DISTORSIONES!$B$6&amp;" "&amp;DISTORSIONES!$C$6</f>
        <v>Distorsión SV Y</v>
      </c>
      <c r="C93" s="42" t="str">
        <f>IF(DISTORSIONES!$F$6=0,"","relación "&amp;TEXT(DISTORSIONES!$F$6,"0.00"))</f>
        <v/>
      </c>
      <c r="E93" s="42" t="str">
        <f>DISTORSIONES!$G$6</f>
        <v>PENDIENTE: no hay renglones de este caso</v>
      </c>
    </row>
    <row r="94">
      <c r="B94" s="42" t="str">
        <f>"Distorsión "&amp;DISTORSIONES!$B$7&amp;" "&amp;DISTORSIONES!$C$7</f>
        <v>Distorsión LD X</v>
      </c>
      <c r="C94" s="42" t="str">
        <f>IF(DISTORSIONES!$F$7=0,"","relación "&amp;TEXT(DISTORSIONES!$F$7,"0.00"))</f>
        <v/>
      </c>
      <c r="E94" s="42" t="str">
        <f>DISTORSIONES!$G$7</f>
        <v>PENDIENTE: no hay renglones de este caso</v>
      </c>
    </row>
    <row r="95">
      <c r="B95" s="42" t="str">
        <f>"Distorsión "&amp;DISTORSIONES!$B$8&amp;" "&amp;DISTORSIONES!$C$8</f>
        <v>Distorsión LD Y</v>
      </c>
      <c r="C95" s="42" t="str">
        <f>IF(DISTORSIONES!$F$8=0,"","relación "&amp;TEXT(DISTORSIONES!$F$8,"0.00"))</f>
        <v/>
      </c>
      <c r="E95" s="42" t="str">
        <f>DISTORSIONES!$G$8</f>
        <v>PENDIENTE: no hay renglones de este caso</v>
      </c>
    </row>
    <row r="96">
      <c r="B96" s="42" t="str">
        <f>"Distorsión "&amp;DISTORSIONES!$B$9&amp;" "&amp;DISTORSIONES!$C$9</f>
        <v>Distorsión OI X</v>
      </c>
      <c r="C96" s="42" t="str">
        <f>IF(DISTORSIONES!$F$9=0,"","relación "&amp;TEXT(DISTORSIONES!$F$9,"0.00"))</f>
        <v/>
      </c>
      <c r="E96" s="42" t="str">
        <f>DISTORSIONES!$G$9</f>
        <v>— (sólo Grupo A)</v>
      </c>
    </row>
    <row r="97">
      <c r="B97" s="42" t="str">
        <f>"Distorsión "&amp;DISTORSIONES!$B$10&amp;" "&amp;DISTORSIONES!$C$10</f>
        <v>Distorsión OI Y</v>
      </c>
      <c r="C97" s="42" t="str">
        <f>IF(DISTORSIONES!$F$10=0,"","relación "&amp;TEXT(DISTORSIONES!$F$10,"0.00"))</f>
        <v/>
      </c>
      <c r="E97" s="42" t="str">
        <f>DISTORSIONES!$G$10</f>
        <v>— (sólo Grupo A)</v>
      </c>
    </row>
    <row r="98" ht="6" customHeight="1"/>
    <row r="99" ht="21" customHeight="1">
      <c r="B99" s="2" t="inlineStr">
        <is>
          <t>5. CANTIDADES (todos los muros capturados)</t>
        </is>
      </c>
    </row>
    <row r="100">
      <c r="B100" s="55" t="inlineStr">
        <is>
          <t>Mampostería neta</t>
        </is>
      </c>
      <c r="C100" s="57" t="n"/>
      <c r="D100" s="29" t="n"/>
      <c r="E100" s="46">
        <f>SUM(MUROS!$EQ$11:$EQ$70)</f>
        <v>23.685</v>
      </c>
      <c r="F100" s="66" t="inlineStr">
        <is>
          <t>m²</t>
        </is>
      </c>
    </row>
    <row r="101">
      <c r="B101" s="55" t="inlineStr">
        <is>
          <t>Concreto de castillos</t>
        </is>
      </c>
      <c r="C101" s="57" t="n"/>
      <c r="D101" s="29" t="n"/>
      <c r="E101" s="46">
        <f>SUM(MUROS!$ER$11:$ER$70)</f>
        <v>0.61875</v>
      </c>
      <c r="F101" s="66" t="inlineStr">
        <is>
          <t>m³</t>
        </is>
      </c>
    </row>
    <row r="102">
      <c r="B102" s="55" t="inlineStr">
        <is>
          <t>Acero de castillos</t>
        </is>
      </c>
      <c r="C102" s="57" t="n"/>
      <c r="D102" s="29" t="n"/>
      <c r="E102" s="46">
        <f>SUM(MUROS!$ES$11:$ES$70)</f>
        <v>113.2421752</v>
      </c>
      <c r="F102" s="66" t="inlineStr">
        <is>
          <t>kg</t>
        </is>
      </c>
    </row>
    <row r="103">
      <c r="B103" s="55" t="inlineStr">
        <is>
          <t>Refuerzo horizontal</t>
        </is>
      </c>
      <c r="C103" s="57" t="n"/>
      <c r="D103" s="29" t="n"/>
      <c r="E103" s="46">
        <f>SUM(MUROS!$ET$11:$ET$70)</f>
        <v>0</v>
      </c>
      <c r="F103" s="66" t="inlineStr">
        <is>
          <t>kg</t>
        </is>
      </c>
    </row>
  </sheetData>
  <mergeCells count="55">
    <mergeCell ref="B2:M2"/>
    <mergeCell ref="C86:D86"/>
    <mergeCell ref="B14:D14"/>
    <mergeCell ref="B11:M11"/>
    <mergeCell ref="C92:D92"/>
    <mergeCell ref="F18:H18"/>
    <mergeCell ref="E94:M94"/>
    <mergeCell ref="C6:M6"/>
    <mergeCell ref="B101:D101"/>
    <mergeCell ref="B17:D17"/>
    <mergeCell ref="E84:M84"/>
    <mergeCell ref="B13:D13"/>
    <mergeCell ref="C5:M5"/>
    <mergeCell ref="C89:D89"/>
    <mergeCell ref="F17:H17"/>
    <mergeCell ref="C97:D97"/>
    <mergeCell ref="B1:M1"/>
    <mergeCell ref="C88:D88"/>
    <mergeCell ref="B103:D103"/>
    <mergeCell ref="E90:M90"/>
    <mergeCell ref="E86:M86"/>
    <mergeCell ref="C85:D85"/>
    <mergeCell ref="E95:M95"/>
    <mergeCell ref="C94:D94"/>
    <mergeCell ref="E89:M89"/>
    <mergeCell ref="B99:M99"/>
    <mergeCell ref="C93:D93"/>
    <mergeCell ref="C84:D84"/>
    <mergeCell ref="B15:D15"/>
    <mergeCell ref="C96:D96"/>
    <mergeCell ref="B83:M83"/>
    <mergeCell ref="C9:M9"/>
    <mergeCell ref="E91:M91"/>
    <mergeCell ref="E85:M85"/>
    <mergeCell ref="C90:D90"/>
    <mergeCell ref="E87:M87"/>
    <mergeCell ref="C4:F4"/>
    <mergeCell ref="B20:M20"/>
    <mergeCell ref="C95:D95"/>
    <mergeCell ref="E97:M97"/>
    <mergeCell ref="E93:M93"/>
    <mergeCell ref="E96:M96"/>
    <mergeCell ref="B100:D100"/>
    <mergeCell ref="B16:D16"/>
    <mergeCell ref="C91:D91"/>
    <mergeCell ref="C8:M8"/>
    <mergeCell ref="F16:H16"/>
    <mergeCell ref="B3:M3"/>
    <mergeCell ref="B102:D102"/>
    <mergeCell ref="C7:M7"/>
    <mergeCell ref="B18:D18"/>
    <mergeCell ref="E92:M92"/>
    <mergeCell ref="E88:M88"/>
    <mergeCell ref="B12:D12"/>
    <mergeCell ref="C87:D87"/>
  </mergeCells>
  <conditionalFormatting sqref="C5">
    <cfRule type="expression" priority="1" dxfId="0" stopIfTrue="1">
      <formula>OR(ISNUMBER(FIND("NO CUMPLE",C5)),ISNUMBER(FIND("REVISAR",C5)),ISNUMBER(FIND("FALTA",C5)),ISNUMBER(FIND("NO ALCANZA",C5)),ISNUMBER(FIND("FUERA",C5)),ISNUMBER(FIND("NO CUENTA",C5)),ISNUMBER(FIND("NO ESTÁ",C5)),ISNUMBER(FIND("NO VÁLIDO",C5)))</formula>
    </cfRule>
    <cfRule type="expression" priority="2" dxfId="1" stopIfTrue="1">
      <formula>OR(ISNUMBER(FIND("PENDIENTE",C5)),ISNUMBER(FIND("PROVISIONAL",C5)),ISNUMBER(FIND("ESTIMADO",C5)),ISNUMBER(FIND("VER ",C5)),AND(ISNUMBER(FIND("REQUIERE",C5)),NOT(ISNUMBER(FIND("NO REQUIERE",C5)))),ISNUMBER(FIND("AVISO",C5)))</formula>
    </cfRule>
    <cfRule type="expression" priority="3" dxfId="2" stopIfTrue="1">
      <formula>OR(ISNUMBER(FIND("CUMPLE",C5)),ISNUMBER(FIND("VÁLIDO",C5)),ISNUMBER(FIND("NO REQUIERE",C5)),ISNUMBER(FIND("YA LO TIENE",C5)))</formula>
    </cfRule>
  </conditionalFormatting>
  <conditionalFormatting sqref="C6">
    <cfRule type="expression" priority="4" dxfId="0" stopIfTrue="1">
      <formula>OR(ISNUMBER(FIND("NO CUMPLE",C6)),ISNUMBER(FIND("REVISAR",C6)),ISNUMBER(FIND("FALTA",C6)),ISNUMBER(FIND("NO ALCANZA",C6)),ISNUMBER(FIND("FUERA",C6)),ISNUMBER(FIND("NO CUENTA",C6)),ISNUMBER(FIND("NO ESTÁ",C6)),ISNUMBER(FIND("NO VÁLIDO",C6)))</formula>
    </cfRule>
    <cfRule type="expression" priority="5" dxfId="1" stopIfTrue="1">
      <formula>OR(ISNUMBER(FIND("PENDIENTE",C6)),ISNUMBER(FIND("PROVISIONAL",C6)),ISNUMBER(FIND("ESTIMADO",C6)),ISNUMBER(FIND("VER ",C6)),AND(ISNUMBER(FIND("REQUIERE",C6)),NOT(ISNUMBER(FIND("NO REQUIERE",C6)))),ISNUMBER(FIND("AVISO",C6)))</formula>
    </cfRule>
    <cfRule type="expression" priority="6" dxfId="2" stopIfTrue="1">
      <formula>OR(ISNUMBER(FIND("CUMPLE",C6)),ISNUMBER(FIND("VÁLIDO",C6)),ISNUMBER(FIND("NO REQUIERE",C6)),ISNUMBER(FIND("YA LO TIENE",C6)))</formula>
    </cfRule>
  </conditionalFormatting>
  <conditionalFormatting sqref="C7">
    <cfRule type="expression" priority="7" dxfId="0" stopIfTrue="1">
      <formula>OR(ISNUMBER(FIND("NO CUMPLE",C7)),ISNUMBER(FIND("REVISAR",C7)),ISNUMBER(FIND("FALTA",C7)),ISNUMBER(FIND("NO ALCANZA",C7)),ISNUMBER(FIND("FUERA",C7)),ISNUMBER(FIND("NO CUENTA",C7)),ISNUMBER(FIND("NO ESTÁ",C7)),ISNUMBER(FIND("NO VÁLIDO",C7)))</formula>
    </cfRule>
    <cfRule type="expression" priority="8" dxfId="1" stopIfTrue="1">
      <formula>OR(ISNUMBER(FIND("PENDIENTE",C7)),ISNUMBER(FIND("PROVISIONAL",C7)),ISNUMBER(FIND("ESTIMADO",C7)),ISNUMBER(FIND("VER ",C7)),AND(ISNUMBER(FIND("REQUIERE",C7)),NOT(ISNUMBER(FIND("NO REQUIERE",C7)))),ISNUMBER(FIND("AVISO",C7)))</formula>
    </cfRule>
    <cfRule type="expression" priority="9" dxfId="2" stopIfTrue="1">
      <formula>OR(ISNUMBER(FIND("CUMPLE",C7)),ISNUMBER(FIND("VÁLIDO",C7)),ISNUMBER(FIND("NO REQUIERE",C7)),ISNUMBER(FIND("YA LO TIENE",C7)))</formula>
    </cfRule>
  </conditionalFormatting>
  <conditionalFormatting sqref="C8">
    <cfRule type="expression" priority="10" dxfId="0" stopIfTrue="1">
      <formula>OR(ISNUMBER(FIND("NO CUMPLE",C8)),ISNUMBER(FIND("REVISAR",C8)),ISNUMBER(FIND("FALTA",C8)),ISNUMBER(FIND("NO ALCANZA",C8)),ISNUMBER(FIND("FUERA",C8)),ISNUMBER(FIND("NO CUENTA",C8)),ISNUMBER(FIND("NO ESTÁ",C8)),ISNUMBER(FIND("NO VÁLIDO",C8)))</formula>
    </cfRule>
    <cfRule type="expression" priority="11" dxfId="1" stopIfTrue="1">
      <formula>OR(ISNUMBER(FIND("PENDIENTE",C8)),ISNUMBER(FIND("PROVISIONAL",C8)),ISNUMBER(FIND("ESTIMADO",C8)),ISNUMBER(FIND("VER ",C8)),AND(ISNUMBER(FIND("REQUIERE",C8)),NOT(ISNUMBER(FIND("NO REQUIERE",C8)))),ISNUMBER(FIND("AVISO",C8)))</formula>
    </cfRule>
    <cfRule type="expression" priority="12" dxfId="2" stopIfTrue="1">
      <formula>OR(ISNUMBER(FIND("CUMPLE",C8)),ISNUMBER(FIND("VÁLIDO",C8)),ISNUMBER(FIND("NO REQUIERE",C8)),ISNUMBER(FIND("YA LO TIENE",C8)))</formula>
    </cfRule>
  </conditionalFormatting>
  <conditionalFormatting sqref="C9">
    <cfRule type="expression" priority="13" dxfId="0" stopIfTrue="1">
      <formula>OR(ISNUMBER(FIND("NO CUMPLE",C9)),ISNUMBER(FIND("REVISAR",C9)),ISNUMBER(FIND("FALTA",C9)),ISNUMBER(FIND("NO ALCANZA",C9)),ISNUMBER(FIND("FUERA",C9)),ISNUMBER(FIND("NO CUENTA",C9)),ISNUMBER(FIND("NO ESTÁ",C9)),ISNUMBER(FIND("NO VÁLIDO",C9)))</formula>
    </cfRule>
    <cfRule type="expression" priority="14" dxfId="1" stopIfTrue="1">
      <formula>OR(ISNUMBER(FIND("PENDIENTE",C9)),ISNUMBER(FIND("PROVISIONAL",C9)),ISNUMBER(FIND("ESTIMADO",C9)),ISNUMBER(FIND("VER ",C9)),AND(ISNUMBER(FIND("REQUIERE",C9)),NOT(ISNUMBER(FIND("NO REQUIERE",C9)))),ISNUMBER(FIND("AVISO",C9)))</formula>
    </cfRule>
    <cfRule type="expression" priority="15" dxfId="2" stopIfTrue="1">
      <formula>OR(ISNUMBER(FIND("CUMPLE",C9)),ISNUMBER(FIND("VÁLIDO",C9)),ISNUMBER(FIND("NO REQUIERE",C9)),ISNUMBER(FIND("YA LO TIENE",C9)))</formula>
    </cfRule>
  </conditionalFormatting>
  <conditionalFormatting sqref="H22:H81">
    <cfRule type="cellIs" priority="16" operator="greaterThan" dxfId="4">
      <formula>1</formula>
    </cfRule>
  </conditionalFormatting>
  <conditionalFormatting sqref="I22:I81">
    <cfRule type="cellIs" priority="17" operator="greaterThan" dxfId="4">
      <formula>1</formula>
    </cfRule>
  </conditionalFormatting>
  <conditionalFormatting sqref="J22:J81">
    <cfRule type="cellIs" priority="18" operator="greaterThan" dxfId="4">
      <formula>1</formula>
    </cfRule>
  </conditionalFormatting>
  <conditionalFormatting sqref="K22:K81">
    <cfRule type="expression" priority="19" dxfId="0" stopIfTrue="1">
      <formula>OR(ISNUMBER(FIND("NO CUMPLE",K22)),ISNUMBER(FIND("REVISAR",K22)),ISNUMBER(FIND("FALTA",K22)),ISNUMBER(FIND("NO ALCANZA",K22)),ISNUMBER(FIND("FUERA",K22)),ISNUMBER(FIND("NO CUENTA",K22)),ISNUMBER(FIND("NO ESTÁ",K22)),ISNUMBER(FIND("NO VÁLIDO",K22)))</formula>
    </cfRule>
    <cfRule type="expression" priority="20" dxfId="1" stopIfTrue="1">
      <formula>OR(ISNUMBER(FIND("PENDIENTE",K22)),ISNUMBER(FIND("PROVISIONAL",K22)),ISNUMBER(FIND("ESTIMADO",K22)),ISNUMBER(FIND("VER ",K22)),AND(ISNUMBER(FIND("REQUIERE",K22)),NOT(ISNUMBER(FIND("NO REQUIERE",K22)))),ISNUMBER(FIND("AVISO",K22)))</formula>
    </cfRule>
    <cfRule type="expression" priority="21" dxfId="2" stopIfTrue="1">
      <formula>OR(ISNUMBER(FIND("CUMPLE",K22)),ISNUMBER(FIND("VÁLIDO",K22)),ISNUMBER(FIND("NO REQUIERE",K22)),ISNUMBER(FIND("YA LO TIENE",K22)))</formula>
    </cfRule>
  </conditionalFormatting>
  <conditionalFormatting sqref="L22:L81">
    <cfRule type="expression" priority="22" dxfId="0" stopIfTrue="1">
      <formula>OR(ISNUMBER(FIND("NO CUMPLE",L22)),ISNUMBER(FIND("REVISAR",L22)),ISNUMBER(FIND("FALTA",L22)),ISNUMBER(FIND("NO ALCANZA",L22)),ISNUMBER(FIND("FUERA",L22)),ISNUMBER(FIND("NO CUENTA",L22)),ISNUMBER(FIND("NO ESTÁ",L22)),ISNUMBER(FIND("NO VÁLIDO",L22)))</formula>
    </cfRule>
    <cfRule type="expression" priority="23" dxfId="1" stopIfTrue="1">
      <formula>OR(ISNUMBER(FIND("PENDIENTE",L22)),ISNUMBER(FIND("PROVISIONAL",L22)),ISNUMBER(FIND("ESTIMADO",L22)),ISNUMBER(FIND("VER ",L22)),AND(ISNUMBER(FIND("REQUIERE",L22)),NOT(ISNUMBER(FIND("NO REQUIERE",L22)))),ISNUMBER(FIND("AVISO",L22)))</formula>
    </cfRule>
    <cfRule type="expression" priority="24" dxfId="2" stopIfTrue="1">
      <formula>OR(ISNUMBER(FIND("CUMPLE",L22)),ISNUMBER(FIND("VÁLIDO",L22)),ISNUMBER(FIND("NO REQUIERE",L22)),ISNUMBER(FIND("YA LO TIENE",L22)))</formula>
    </cfRule>
  </conditionalFormatting>
  <conditionalFormatting sqref="M22:M81">
    <cfRule type="expression" priority="25" dxfId="0" stopIfTrue="1">
      <formula>OR(ISNUMBER(FIND("NO CUMPLE",M22)),ISNUMBER(FIND("REVISAR",M22)),ISNUMBER(FIND("FALTA",M22)),ISNUMBER(FIND("NO ALCANZA",M22)),ISNUMBER(FIND("FUERA",M22)),ISNUMBER(FIND("NO CUENTA",M22)),ISNUMBER(FIND("NO ESTÁ",M22)),ISNUMBER(FIND("NO VÁLIDO",M22)))</formula>
    </cfRule>
    <cfRule type="expression" priority="26" dxfId="1" stopIfTrue="1">
      <formula>OR(ISNUMBER(FIND("PENDIENTE",M22)),ISNUMBER(FIND("PROVISIONAL",M22)),ISNUMBER(FIND("ESTIMADO",M22)),ISNUMBER(FIND("VER ",M22)),AND(ISNUMBER(FIND("REQUIERE",M22)),NOT(ISNUMBER(FIND("NO REQUIERE",M22)))),ISNUMBER(FIND("AVISO",M22)))</formula>
    </cfRule>
    <cfRule type="expression" priority="27" dxfId="2" stopIfTrue="1">
      <formula>OR(ISNUMBER(FIND("CUMPLE",M22)),ISNUMBER(FIND("VÁLIDO",M22)),ISNUMBER(FIND("NO REQUIERE",M22)),ISNUMBER(FIND("YA LO TIENE",M22)))</formula>
    </cfRule>
  </conditionalFormatting>
  <conditionalFormatting sqref="E84">
    <cfRule type="expression" priority="28" dxfId="0" stopIfTrue="1">
      <formula>OR(ISNUMBER(FIND("NO CUMPLE",E84)),ISNUMBER(FIND("REVISAR",E84)),ISNUMBER(FIND("FALTA",E84)),ISNUMBER(FIND("NO ALCANZA",E84)),ISNUMBER(FIND("FUERA",E84)),ISNUMBER(FIND("NO CUENTA",E84)),ISNUMBER(FIND("NO ESTÁ",E84)),ISNUMBER(FIND("NO VÁLIDO",E84)))</formula>
    </cfRule>
    <cfRule type="expression" priority="29" dxfId="1" stopIfTrue="1">
      <formula>OR(ISNUMBER(FIND("PENDIENTE",E84)),ISNUMBER(FIND("PROVISIONAL",E84)),ISNUMBER(FIND("ESTIMADO",E84)),ISNUMBER(FIND("VER ",E84)),AND(ISNUMBER(FIND("REQUIERE",E84)),NOT(ISNUMBER(FIND("NO REQUIERE",E84)))),ISNUMBER(FIND("AVISO",E84)))</formula>
    </cfRule>
    <cfRule type="expression" priority="30" dxfId="2" stopIfTrue="1">
      <formula>OR(ISNUMBER(FIND("CUMPLE",E84)),ISNUMBER(FIND("VÁLIDO",E84)),ISNUMBER(FIND("NO REQUIERE",E84)),ISNUMBER(FIND("YA LO TIENE",E84)))</formula>
    </cfRule>
  </conditionalFormatting>
  <conditionalFormatting sqref="E85">
    <cfRule type="expression" priority="31" dxfId="0" stopIfTrue="1">
      <formula>OR(ISNUMBER(FIND("NO CUMPLE",E85)),ISNUMBER(FIND("REVISAR",E85)),ISNUMBER(FIND("FALTA",E85)),ISNUMBER(FIND("NO ALCANZA",E85)),ISNUMBER(FIND("FUERA",E85)),ISNUMBER(FIND("NO CUENTA",E85)),ISNUMBER(FIND("NO ESTÁ",E85)),ISNUMBER(FIND("NO VÁLIDO",E85)))</formula>
    </cfRule>
    <cfRule type="expression" priority="32" dxfId="1" stopIfTrue="1">
      <formula>OR(ISNUMBER(FIND("PENDIENTE",E85)),ISNUMBER(FIND("PROVISIONAL",E85)),ISNUMBER(FIND("ESTIMADO",E85)),ISNUMBER(FIND("VER ",E85)),AND(ISNUMBER(FIND("REQUIERE",E85)),NOT(ISNUMBER(FIND("NO REQUIERE",E85)))),ISNUMBER(FIND("AVISO",E85)))</formula>
    </cfRule>
    <cfRule type="expression" priority="33" dxfId="2" stopIfTrue="1">
      <formula>OR(ISNUMBER(FIND("CUMPLE",E85)),ISNUMBER(FIND("VÁLIDO",E85)),ISNUMBER(FIND("NO REQUIERE",E85)),ISNUMBER(FIND("YA LO TIENE",E85)))</formula>
    </cfRule>
  </conditionalFormatting>
  <conditionalFormatting sqref="E86">
    <cfRule type="expression" priority="34" dxfId="0" stopIfTrue="1">
      <formula>OR(ISNUMBER(FIND("NO CUMPLE",E86)),ISNUMBER(FIND("REVISAR",E86)),ISNUMBER(FIND("FALTA",E86)),ISNUMBER(FIND("NO ALCANZA",E86)),ISNUMBER(FIND("FUERA",E86)),ISNUMBER(FIND("NO CUENTA",E86)),ISNUMBER(FIND("NO ESTÁ",E86)),ISNUMBER(FIND("NO VÁLIDO",E86)))</formula>
    </cfRule>
    <cfRule type="expression" priority="35" dxfId="1" stopIfTrue="1">
      <formula>OR(ISNUMBER(FIND("PENDIENTE",E86)),ISNUMBER(FIND("PROVISIONAL",E86)),ISNUMBER(FIND("ESTIMADO",E86)),ISNUMBER(FIND("VER ",E86)),AND(ISNUMBER(FIND("REQUIERE",E86)),NOT(ISNUMBER(FIND("NO REQUIERE",E86)))),ISNUMBER(FIND("AVISO",E86)))</formula>
    </cfRule>
    <cfRule type="expression" priority="36" dxfId="2" stopIfTrue="1">
      <formula>OR(ISNUMBER(FIND("CUMPLE",E86)),ISNUMBER(FIND("VÁLIDO",E86)),ISNUMBER(FIND("NO REQUIERE",E86)),ISNUMBER(FIND("YA LO TIENE",E86)))</formula>
    </cfRule>
  </conditionalFormatting>
  <conditionalFormatting sqref="E87">
    <cfRule type="expression" priority="37" dxfId="0" stopIfTrue="1">
      <formula>OR(ISNUMBER(FIND("NO CUMPLE",E87)),ISNUMBER(FIND("REVISAR",E87)),ISNUMBER(FIND("FALTA",E87)),ISNUMBER(FIND("NO ALCANZA",E87)),ISNUMBER(FIND("FUERA",E87)),ISNUMBER(FIND("NO CUENTA",E87)),ISNUMBER(FIND("NO ESTÁ",E87)),ISNUMBER(FIND("NO VÁLIDO",E87)))</formula>
    </cfRule>
    <cfRule type="expression" priority="38" dxfId="1" stopIfTrue="1">
      <formula>OR(ISNUMBER(FIND("PENDIENTE",E87)),ISNUMBER(FIND("PROVISIONAL",E87)),ISNUMBER(FIND("ESTIMADO",E87)),ISNUMBER(FIND("VER ",E87)),AND(ISNUMBER(FIND("REQUIERE",E87)),NOT(ISNUMBER(FIND("NO REQUIERE",E87)))),ISNUMBER(FIND("AVISO",E87)))</formula>
    </cfRule>
    <cfRule type="expression" priority="39" dxfId="2" stopIfTrue="1">
      <formula>OR(ISNUMBER(FIND("CUMPLE",E87)),ISNUMBER(FIND("VÁLIDO",E87)),ISNUMBER(FIND("NO REQUIERE",E87)),ISNUMBER(FIND("YA LO TIENE",E87)))</formula>
    </cfRule>
  </conditionalFormatting>
  <conditionalFormatting sqref="E88">
    <cfRule type="expression" priority="40" dxfId="0" stopIfTrue="1">
      <formula>OR(ISNUMBER(FIND("NO CUMPLE",E88)),ISNUMBER(FIND("REVISAR",E88)),ISNUMBER(FIND("FALTA",E88)),ISNUMBER(FIND("NO ALCANZA",E88)),ISNUMBER(FIND("FUERA",E88)),ISNUMBER(FIND("NO CUENTA",E88)),ISNUMBER(FIND("NO ESTÁ",E88)),ISNUMBER(FIND("NO VÁLIDO",E88)))</formula>
    </cfRule>
    <cfRule type="expression" priority="41" dxfId="1" stopIfTrue="1">
      <formula>OR(ISNUMBER(FIND("PENDIENTE",E88)),ISNUMBER(FIND("PROVISIONAL",E88)),ISNUMBER(FIND("ESTIMADO",E88)),ISNUMBER(FIND("VER ",E88)),AND(ISNUMBER(FIND("REQUIERE",E88)),NOT(ISNUMBER(FIND("NO REQUIERE",E88)))),ISNUMBER(FIND("AVISO",E88)))</formula>
    </cfRule>
    <cfRule type="expression" priority="42" dxfId="2" stopIfTrue="1">
      <formula>OR(ISNUMBER(FIND("CUMPLE",E88)),ISNUMBER(FIND("VÁLIDO",E88)),ISNUMBER(FIND("NO REQUIERE",E88)),ISNUMBER(FIND("YA LO TIENE",E88)))</formula>
    </cfRule>
  </conditionalFormatting>
  <conditionalFormatting sqref="E89">
    <cfRule type="expression" priority="43" dxfId="0" stopIfTrue="1">
      <formula>OR(ISNUMBER(FIND("NO CUMPLE",E89)),ISNUMBER(FIND("REVISAR",E89)),ISNUMBER(FIND("FALTA",E89)),ISNUMBER(FIND("NO ALCANZA",E89)),ISNUMBER(FIND("FUERA",E89)),ISNUMBER(FIND("NO CUENTA",E89)),ISNUMBER(FIND("NO ESTÁ",E89)),ISNUMBER(FIND("NO VÁLIDO",E89)))</formula>
    </cfRule>
    <cfRule type="expression" priority="44" dxfId="1" stopIfTrue="1">
      <formula>OR(ISNUMBER(FIND("PENDIENTE",E89)),ISNUMBER(FIND("PROVISIONAL",E89)),ISNUMBER(FIND("ESTIMADO",E89)),ISNUMBER(FIND("VER ",E89)),AND(ISNUMBER(FIND("REQUIERE",E89)),NOT(ISNUMBER(FIND("NO REQUIERE",E89)))),ISNUMBER(FIND("AVISO",E89)))</formula>
    </cfRule>
    <cfRule type="expression" priority="45" dxfId="2" stopIfTrue="1">
      <formula>OR(ISNUMBER(FIND("CUMPLE",E89)),ISNUMBER(FIND("VÁLIDO",E89)),ISNUMBER(FIND("NO REQUIERE",E89)),ISNUMBER(FIND("YA LO TIENE",E89)))</formula>
    </cfRule>
  </conditionalFormatting>
  <conditionalFormatting sqref="E90">
    <cfRule type="expression" priority="46" dxfId="0" stopIfTrue="1">
      <formula>OR(ISNUMBER(FIND("NO CUMPLE",E90)),ISNUMBER(FIND("REVISAR",E90)),ISNUMBER(FIND("FALTA",E90)),ISNUMBER(FIND("NO ALCANZA",E90)),ISNUMBER(FIND("FUERA",E90)),ISNUMBER(FIND("NO CUENTA",E90)),ISNUMBER(FIND("NO ESTÁ",E90)),ISNUMBER(FIND("NO VÁLIDO",E90)))</formula>
    </cfRule>
    <cfRule type="expression" priority="47" dxfId="1" stopIfTrue="1">
      <formula>OR(ISNUMBER(FIND("PENDIENTE",E90)),ISNUMBER(FIND("PROVISIONAL",E90)),ISNUMBER(FIND("ESTIMADO",E90)),ISNUMBER(FIND("VER ",E90)),AND(ISNUMBER(FIND("REQUIERE",E90)),NOT(ISNUMBER(FIND("NO REQUIERE",E90)))),ISNUMBER(FIND("AVISO",E90)))</formula>
    </cfRule>
    <cfRule type="expression" priority="48" dxfId="2" stopIfTrue="1">
      <formula>OR(ISNUMBER(FIND("CUMPLE",E90)),ISNUMBER(FIND("VÁLIDO",E90)),ISNUMBER(FIND("NO REQUIERE",E90)),ISNUMBER(FIND("YA LO TIENE",E90)))</formula>
    </cfRule>
  </conditionalFormatting>
  <conditionalFormatting sqref="E91">
    <cfRule type="expression" priority="49" dxfId="0" stopIfTrue="1">
      <formula>OR(ISNUMBER(FIND("NO CUMPLE",E91)),ISNUMBER(FIND("REVISAR",E91)),ISNUMBER(FIND("FALTA",E91)),ISNUMBER(FIND("NO ALCANZA",E91)),ISNUMBER(FIND("FUERA",E91)),ISNUMBER(FIND("NO CUENTA",E91)),ISNUMBER(FIND("NO ESTÁ",E91)),ISNUMBER(FIND("NO VÁLIDO",E91)))</formula>
    </cfRule>
    <cfRule type="expression" priority="50" dxfId="1" stopIfTrue="1">
      <formula>OR(ISNUMBER(FIND("PENDIENTE",E91)),ISNUMBER(FIND("PROVISIONAL",E91)),ISNUMBER(FIND("ESTIMADO",E91)),ISNUMBER(FIND("VER ",E91)),AND(ISNUMBER(FIND("REQUIERE",E91)),NOT(ISNUMBER(FIND("NO REQUIERE",E91)))),ISNUMBER(FIND("AVISO",E91)))</formula>
    </cfRule>
    <cfRule type="expression" priority="51" dxfId="2" stopIfTrue="1">
      <formula>OR(ISNUMBER(FIND("CUMPLE",E91)),ISNUMBER(FIND("VÁLIDO",E91)),ISNUMBER(FIND("NO REQUIERE",E91)),ISNUMBER(FIND("YA LO TIENE",E91)))</formula>
    </cfRule>
  </conditionalFormatting>
  <conditionalFormatting sqref="E92">
    <cfRule type="expression" priority="52" dxfId="0" stopIfTrue="1">
      <formula>OR(ISNUMBER(FIND("NO CUMPLE",E92)),ISNUMBER(FIND("REVISAR",E92)),ISNUMBER(FIND("FALTA",E92)),ISNUMBER(FIND("NO ALCANZA",E92)),ISNUMBER(FIND("FUERA",E92)),ISNUMBER(FIND("NO CUENTA",E92)),ISNUMBER(FIND("NO ESTÁ",E92)),ISNUMBER(FIND("NO VÁLIDO",E92)))</formula>
    </cfRule>
    <cfRule type="expression" priority="53" dxfId="1" stopIfTrue="1">
      <formula>OR(ISNUMBER(FIND("PENDIENTE",E92)),ISNUMBER(FIND("PROVISIONAL",E92)),ISNUMBER(FIND("ESTIMADO",E92)),ISNUMBER(FIND("VER ",E92)),AND(ISNUMBER(FIND("REQUIERE",E92)),NOT(ISNUMBER(FIND("NO REQUIERE",E92)))),ISNUMBER(FIND("AVISO",E92)))</formula>
    </cfRule>
    <cfRule type="expression" priority="54" dxfId="2" stopIfTrue="1">
      <formula>OR(ISNUMBER(FIND("CUMPLE",E92)),ISNUMBER(FIND("VÁLIDO",E92)),ISNUMBER(FIND("NO REQUIERE",E92)),ISNUMBER(FIND("YA LO TIENE",E92)))</formula>
    </cfRule>
  </conditionalFormatting>
  <conditionalFormatting sqref="E93">
    <cfRule type="expression" priority="55" dxfId="0" stopIfTrue="1">
      <formula>OR(ISNUMBER(FIND("NO CUMPLE",E93)),ISNUMBER(FIND("REVISAR",E93)),ISNUMBER(FIND("FALTA",E93)),ISNUMBER(FIND("NO ALCANZA",E93)),ISNUMBER(FIND("FUERA",E93)),ISNUMBER(FIND("NO CUENTA",E93)),ISNUMBER(FIND("NO ESTÁ",E93)),ISNUMBER(FIND("NO VÁLIDO",E93)))</formula>
    </cfRule>
    <cfRule type="expression" priority="56" dxfId="1" stopIfTrue="1">
      <formula>OR(ISNUMBER(FIND("PENDIENTE",E93)),ISNUMBER(FIND("PROVISIONAL",E93)),ISNUMBER(FIND("ESTIMADO",E93)),ISNUMBER(FIND("VER ",E93)),AND(ISNUMBER(FIND("REQUIERE",E93)),NOT(ISNUMBER(FIND("NO REQUIERE",E93)))),ISNUMBER(FIND("AVISO",E93)))</formula>
    </cfRule>
    <cfRule type="expression" priority="57" dxfId="2" stopIfTrue="1">
      <formula>OR(ISNUMBER(FIND("CUMPLE",E93)),ISNUMBER(FIND("VÁLIDO",E93)),ISNUMBER(FIND("NO REQUIERE",E93)),ISNUMBER(FIND("YA LO TIENE",E93)))</formula>
    </cfRule>
  </conditionalFormatting>
  <conditionalFormatting sqref="E94">
    <cfRule type="expression" priority="58" dxfId="0" stopIfTrue="1">
      <formula>OR(ISNUMBER(FIND("NO CUMPLE",E94)),ISNUMBER(FIND("REVISAR",E94)),ISNUMBER(FIND("FALTA",E94)),ISNUMBER(FIND("NO ALCANZA",E94)),ISNUMBER(FIND("FUERA",E94)),ISNUMBER(FIND("NO CUENTA",E94)),ISNUMBER(FIND("NO ESTÁ",E94)),ISNUMBER(FIND("NO VÁLIDO",E94)))</formula>
    </cfRule>
    <cfRule type="expression" priority="59" dxfId="1" stopIfTrue="1">
      <formula>OR(ISNUMBER(FIND("PENDIENTE",E94)),ISNUMBER(FIND("PROVISIONAL",E94)),ISNUMBER(FIND("ESTIMADO",E94)),ISNUMBER(FIND("VER ",E94)),AND(ISNUMBER(FIND("REQUIERE",E94)),NOT(ISNUMBER(FIND("NO REQUIERE",E94)))),ISNUMBER(FIND("AVISO",E94)))</formula>
    </cfRule>
    <cfRule type="expression" priority="60" dxfId="2" stopIfTrue="1">
      <formula>OR(ISNUMBER(FIND("CUMPLE",E94)),ISNUMBER(FIND("VÁLIDO",E94)),ISNUMBER(FIND("NO REQUIERE",E94)),ISNUMBER(FIND("YA LO TIENE",E94)))</formula>
    </cfRule>
  </conditionalFormatting>
  <conditionalFormatting sqref="E95">
    <cfRule type="expression" priority="61" dxfId="0" stopIfTrue="1">
      <formula>OR(ISNUMBER(FIND("NO CUMPLE",E95)),ISNUMBER(FIND("REVISAR",E95)),ISNUMBER(FIND("FALTA",E95)),ISNUMBER(FIND("NO ALCANZA",E95)),ISNUMBER(FIND("FUERA",E95)),ISNUMBER(FIND("NO CUENTA",E95)),ISNUMBER(FIND("NO ESTÁ",E95)),ISNUMBER(FIND("NO VÁLIDO",E95)))</formula>
    </cfRule>
    <cfRule type="expression" priority="62" dxfId="1" stopIfTrue="1">
      <formula>OR(ISNUMBER(FIND("PENDIENTE",E95)),ISNUMBER(FIND("PROVISIONAL",E95)),ISNUMBER(FIND("ESTIMADO",E95)),ISNUMBER(FIND("VER ",E95)),AND(ISNUMBER(FIND("REQUIERE",E95)),NOT(ISNUMBER(FIND("NO REQUIERE",E95)))),ISNUMBER(FIND("AVISO",E95)))</formula>
    </cfRule>
    <cfRule type="expression" priority="63" dxfId="2" stopIfTrue="1">
      <formula>OR(ISNUMBER(FIND("CUMPLE",E95)),ISNUMBER(FIND("VÁLIDO",E95)),ISNUMBER(FIND("NO REQUIERE",E95)),ISNUMBER(FIND("YA LO TIENE",E95)))</formula>
    </cfRule>
  </conditionalFormatting>
  <conditionalFormatting sqref="E96">
    <cfRule type="expression" priority="64" dxfId="0" stopIfTrue="1">
      <formula>OR(ISNUMBER(FIND("NO CUMPLE",E96)),ISNUMBER(FIND("REVISAR",E96)),ISNUMBER(FIND("FALTA",E96)),ISNUMBER(FIND("NO ALCANZA",E96)),ISNUMBER(FIND("FUERA",E96)),ISNUMBER(FIND("NO CUENTA",E96)),ISNUMBER(FIND("NO ESTÁ",E96)),ISNUMBER(FIND("NO VÁLIDO",E96)))</formula>
    </cfRule>
    <cfRule type="expression" priority="65" dxfId="1" stopIfTrue="1">
      <formula>OR(ISNUMBER(FIND("PENDIENTE",E96)),ISNUMBER(FIND("PROVISIONAL",E96)),ISNUMBER(FIND("ESTIMADO",E96)),ISNUMBER(FIND("VER ",E96)),AND(ISNUMBER(FIND("REQUIERE",E96)),NOT(ISNUMBER(FIND("NO REQUIERE",E96)))),ISNUMBER(FIND("AVISO",E96)))</formula>
    </cfRule>
    <cfRule type="expression" priority="66" dxfId="2" stopIfTrue="1">
      <formula>OR(ISNUMBER(FIND("CUMPLE",E96)),ISNUMBER(FIND("VÁLIDO",E96)),ISNUMBER(FIND("NO REQUIERE",E96)),ISNUMBER(FIND("YA LO TIENE",E96)))</formula>
    </cfRule>
  </conditionalFormatting>
  <conditionalFormatting sqref="E97">
    <cfRule type="expression" priority="67" dxfId="0" stopIfTrue="1">
      <formula>OR(ISNUMBER(FIND("NO CUMPLE",E97)),ISNUMBER(FIND("REVISAR",E97)),ISNUMBER(FIND("FALTA",E97)),ISNUMBER(FIND("NO ALCANZA",E97)),ISNUMBER(FIND("FUERA",E97)),ISNUMBER(FIND("NO CUENTA",E97)),ISNUMBER(FIND("NO ESTÁ",E97)),ISNUMBER(FIND("NO VÁLIDO",E97)))</formula>
    </cfRule>
    <cfRule type="expression" priority="68" dxfId="1" stopIfTrue="1">
      <formula>OR(ISNUMBER(FIND("PENDIENTE",E97)),ISNUMBER(FIND("PROVISIONAL",E97)),ISNUMBER(FIND("ESTIMADO",E97)),ISNUMBER(FIND("VER ",E97)),AND(ISNUMBER(FIND("REQUIERE",E97)),NOT(ISNUMBER(FIND("NO REQUIERE",E97)))),ISNUMBER(FIND("AVISO",E97)))</formula>
    </cfRule>
    <cfRule type="expression" priority="69" dxfId="2" stopIfTrue="1">
      <formula>OR(ISNUMBER(FIND("CUMPLE",E97)),ISNUMBER(FIND("VÁLIDO",E97)),ISNUMBER(FIND("NO REQUIERE",E97)),ISNUMBER(FIND("YA LO TIENE",E97)))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L22"/>
  <sheetViews>
    <sheetView showGridLines="0" workbookViewId="0">
      <selection activeCell="A1" sqref="A1"/>
    </sheetView>
  </sheetViews>
  <sheetFormatPr baseColWidth="8" defaultRowHeight="15"/>
  <cols>
    <col width="1.78" customWidth="1" min="1" max="1"/>
    <col width="1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 ht="26" customHeight="1">
      <c r="B1" s="1" t="inlineStr">
        <is>
          <t>ENTREPISO — CORTANTE DE CADA ENTREPISO (4.1.10)</t>
        </is>
      </c>
    </row>
    <row r="2" ht="16" customHeight="1">
      <c r="B2" s="4" t="inlineStr">
        <is>
          <t>V_R = F_R·(0.5·v'm + 0.3·σ)·ΣA_T + ΣV_sR ≥ 0.8·V_u en cada dirección (ec. 4.1.12.1). ΣA_T sale de MUROS.</t>
        </is>
      </c>
    </row>
    <row r="3" ht="6" customHeight="1"/>
    <row r="4" ht="21" customHeight="1">
      <c r="B4" s="2" t="inlineStr">
        <is>
          <t>1. DATOS DE CADA ENTREPISO (de ETABS, V_u con factor de carga)</t>
        </is>
      </c>
    </row>
    <row r="5" ht="30" customHeight="1">
      <c r="B5" s="5" t="inlineStr">
        <is>
          <t>Story de ETABS</t>
        </is>
      </c>
      <c r="C5" s="5" t="inlineStr">
        <is>
          <t>Nombre</t>
        </is>
      </c>
      <c r="D5" s="5" t="inlineStr">
        <is>
          <t>W — peso arriba (t)</t>
        </is>
      </c>
      <c r="E5" s="5" t="inlineStr">
        <is>
          <t>V_u X (t)</t>
        </is>
      </c>
      <c r="F5" s="5" t="inlineStr">
        <is>
          <t>V_u Y (t)</t>
        </is>
      </c>
    </row>
    <row r="6">
      <c r="B6" s="39" t="inlineStr">
        <is>
          <t>N1</t>
        </is>
      </c>
      <c r="C6" s="39" t="inlineStr">
        <is>
          <t>Ejemplo</t>
        </is>
      </c>
      <c r="D6" s="67" t="n">
        <v>45</v>
      </c>
      <c r="E6" s="67" t="n">
        <v>8</v>
      </c>
      <c r="F6" s="67" t="n">
        <v>6</v>
      </c>
    </row>
    <row r="7">
      <c r="B7" s="39" t="n"/>
      <c r="C7" s="39" t="n"/>
      <c r="D7" s="67" t="n"/>
      <c r="E7" s="67" t="n"/>
      <c r="F7" s="67" t="n"/>
    </row>
    <row r="8">
      <c r="B8" s="39" t="n"/>
      <c r="C8" s="39" t="n"/>
      <c r="D8" s="67" t="n"/>
      <c r="E8" s="67" t="n"/>
      <c r="F8" s="67" t="n"/>
    </row>
    <row r="9">
      <c r="B9" s="39" t="n"/>
      <c r="C9" s="39" t="n"/>
      <c r="D9" s="67" t="n"/>
      <c r="E9" s="67" t="n"/>
      <c r="F9" s="67" t="n"/>
    </row>
    <row r="10" ht="6" customHeight="1"/>
    <row r="11" ht="19.5" customHeight="1">
      <c r="B11" s="6" t="inlineStr">
        <is>
          <t>¿Despreciar los muros de menos de 1 m?</t>
        </is>
      </c>
      <c r="C11" s="7" t="inlineStr">
        <is>
          <t>NO</t>
        </is>
      </c>
      <c r="D11" s="8" t="inlineStr">
        <is>
          <t>—</t>
        </is>
      </c>
      <c r="E11" s="9" t="inlineStr">
        <is>
          <t>Lo recomienda el comentario de 4.1.12</t>
        </is>
      </c>
      <c r="F11" s="10" t="inlineStr">
        <is>
          <t>NTC-M 4.1.12, comentario, p. 41</t>
        </is>
      </c>
    </row>
    <row r="12" ht="6" customHeight="1"/>
    <row r="13" ht="21" customHeight="1">
      <c r="B13" s="2" t="inlineStr">
        <is>
          <t>2. REVISIÓN</t>
        </is>
      </c>
    </row>
    <row r="14" ht="30" customHeight="1">
      <c r="B14" s="5" t="inlineStr">
        <is>
          <t>Story</t>
        </is>
      </c>
      <c r="C14" s="5" t="inlineStr">
        <is>
          <t>Dirección</t>
        </is>
      </c>
      <c r="D14" s="5" t="inlineStr">
        <is>
          <t>ΣA_T dir. (m²)</t>
        </is>
      </c>
      <c r="E14" s="5" t="inlineStr">
        <is>
          <t>ΣA_T total (m²)</t>
        </is>
      </c>
      <c r="F14" s="5" t="inlineStr">
        <is>
          <t>σ (kg/cm²)</t>
        </is>
      </c>
      <c r="G14" s="5" t="inlineStr">
        <is>
          <t>σ usado ≤ 3.33·v'm</t>
        </is>
      </c>
      <c r="H14" s="5" t="inlineStr">
        <is>
          <t>ΣV_sR (t)</t>
        </is>
      </c>
      <c r="I14" s="5" t="inlineStr">
        <is>
          <t>V_R (t)</t>
        </is>
      </c>
      <c r="J14" s="5" t="inlineStr">
        <is>
          <t>V_u (t)</t>
        </is>
      </c>
      <c r="K14" s="5" t="inlineStr">
        <is>
          <t>0.8·V_u / V_R</t>
        </is>
      </c>
      <c r="L14" s="5" t="inlineStr">
        <is>
          <t>ESTADO</t>
        </is>
      </c>
    </row>
    <row r="15">
      <c r="B15" s="66" t="str">
        <f>IF($B$6="","",$B$6)</f>
        <v>N1</v>
      </c>
      <c r="C15" s="66" t="inlineStr">
        <is>
          <t>X</t>
        </is>
      </c>
      <c r="D15" s="48">
        <f>IF($B$6="","",SUMIFS(MUROS!$CE$11:$CE$70,MUROS!$C$11:$C$70,$B$6,MUROS!$D$11:$D$70,"X",MUROS!$BI$11:$BI$70,"SÍ",MUROS!$F$11:$F$70,IF(ENTREPISO!$C$11="SÍ","&gt;=1","&gt;=0"))/10000)</f>
        <v>0.6</v>
      </c>
      <c r="E15" s="48">
        <f>IF($B$6="","",SUMIFS(MUROS!$CE$11:$CE$70,MUROS!$C$11:$C$70,$B$6,MUROS!$BI$11:$BI$70,"SÍ",MUROS!$F$11:$F$70,IF(ENTREPISO!$C$11="SÍ","&gt;=1","&gt;=0"))/10000)</f>
        <v>0.99</v>
      </c>
      <c r="F15" s="44">
        <f>IF(OR($B$6="",N(E15)=0),"",N($D$6)/E15/10)</f>
        <v>4.54545454545455</v>
      </c>
      <c r="G15" s="44">
        <f>IF(F15="","",MIN(F15,3.33*DATOS!$C$41))</f>
        <v>4.54545454545455</v>
      </c>
      <c r="H15" s="44">
        <f>IF($B$6="","",SUMIFS(MUROS!$DZ$11:$DZ$70,MUROS!$C$11:$C$70,$B$6,MUROS!$D$11:$D$70,"X",MUROS!$BI$11:$BI$70,"SÍ",MUROS!$F$11:$F$70,IF(ENTREPISO!$C$11="SÍ","&gt;=1","&gt;=0")))</f>
        <v>0</v>
      </c>
      <c r="I15" s="68">
        <f>IF(G15="","",DATOS!$C$86*(0.5*DATOS!$C$41+0.3*G15)*D15*10000/1000+H15)</f>
        <v>9.92727272727273</v>
      </c>
      <c r="J15" s="47">
        <f>IF($B$6="","",N($E$6))</f>
        <v>8</v>
      </c>
      <c r="K15" s="46">
        <f>IF(OR(I15="",N(I15)=0),"",0.8*J15/I15)</f>
        <v>0.644688644688645</v>
      </c>
      <c r="L15" s="42" t="str">
        <f>IF($B$6="","",IF(N(E15)=0,"PENDIENTE: ningún muro de MUROS es de este story",IF(K15="",IF(N(J15)&gt;0,"NO CUMPLE: no hay muros en esta dirección",""),IF(K15&lt;=1,IF(LEFT(DATOS!$C$42,9)="PENDIENTE","CUMPLE — PENDIENTE: v'm provisional","CUMPLE"),"NO CUMPLE: V_R &lt; 0.8·V_u (4.1.10.1)"))))</f>
        <v>CUMPLE — PENDIENTE: v'm provisional</v>
      </c>
    </row>
    <row r="16">
      <c r="B16" s="66" t="str">
        <f>IF($B$6="","",$B$6)</f>
        <v>N1</v>
      </c>
      <c r="C16" s="66" t="inlineStr">
        <is>
          <t>Y</t>
        </is>
      </c>
      <c r="D16" s="48">
        <f>IF($B$6="","",SUMIFS(MUROS!$CE$11:$CE$70,MUROS!$C$11:$C$70,$B$6,MUROS!$D$11:$D$70,"Y",MUROS!$BI$11:$BI$70,"SÍ",MUROS!$F$11:$F$70,IF(ENTREPISO!$C$11="SÍ","&gt;=1","&gt;=0"))/10000)</f>
        <v>0.39</v>
      </c>
      <c r="E16" s="48">
        <f>IF($B$6="","",SUMIFS(MUROS!$CE$11:$CE$70,MUROS!$C$11:$C$70,$B$6,MUROS!$BI$11:$BI$70,"SÍ",MUROS!$F$11:$F$70,IF(ENTREPISO!$C$11="SÍ","&gt;=1","&gt;=0"))/10000)</f>
        <v>0.99</v>
      </c>
      <c r="F16" s="44">
        <f>IF(OR($B$6="",N(E16)=0),"",N($D$6)/E16/10)</f>
        <v>4.54545454545455</v>
      </c>
      <c r="G16" s="44">
        <f>IF(F16="","",MIN(F16,3.33*DATOS!$C$41))</f>
        <v>4.54545454545455</v>
      </c>
      <c r="H16" s="44">
        <f>IF($B$6="","",SUMIFS(MUROS!$DZ$11:$DZ$70,MUROS!$C$11:$C$70,$B$6,MUROS!$D$11:$D$70,"Y",MUROS!$BI$11:$BI$70,"SÍ",MUROS!$F$11:$F$70,IF(ENTREPISO!$C$11="SÍ","&gt;=1","&gt;=0")))</f>
        <v>0</v>
      </c>
      <c r="I16" s="68">
        <f>IF(G16="","",DATOS!$C$86*(0.5*DATOS!$C$41+0.3*G16)*D16*10000/1000+H16)</f>
        <v>6.45272727272727</v>
      </c>
      <c r="J16" s="47">
        <f>IF($B$6="","",N($F$6))</f>
        <v>6</v>
      </c>
      <c r="K16" s="46">
        <f>IF(OR(I16="",N(I16)=0),"",0.8*J16/I16)</f>
        <v>0.743871513102283</v>
      </c>
      <c r="L16" s="42" t="str">
        <f>IF($B$6="","",IF(N(E16)=0,"PENDIENTE: ningún muro de MUROS es de este story",IF(K16="",IF(N(J16)&gt;0,"NO CUMPLE: no hay muros en esta dirección",""),IF(K16&lt;=1,IF(LEFT(DATOS!$C$42,9)="PENDIENTE","CUMPLE — PENDIENTE: v'm provisional","CUMPLE"),"NO CUMPLE: V_R &lt; 0.8·V_u (4.1.10.1)"))))</f>
        <v>CUMPLE — PENDIENTE: v'm provisional</v>
      </c>
    </row>
    <row r="17">
      <c r="B17" s="66" t="str">
        <f>IF($B$7="","",$B$7)</f>
        <v/>
      </c>
      <c r="C17" s="66" t="inlineStr">
        <is>
          <t>X</t>
        </is>
      </c>
      <c r="D17" s="48" t="str">
        <f>IF($B$7="","",SUMIFS(MUROS!$CE$11:$CE$70,MUROS!$C$11:$C$70,$B$7,MUROS!$D$11:$D$70,"X",MUROS!$BI$11:$BI$70,"SÍ",MUROS!$F$11:$F$70,IF(ENTREPISO!$C$11="SÍ","&gt;=1","&gt;=0"))/10000)</f>
        <v/>
      </c>
      <c r="E17" s="48" t="str">
        <f>IF($B$7="","",SUMIFS(MUROS!$CE$11:$CE$70,MUROS!$C$11:$C$70,$B$7,MUROS!$BI$11:$BI$70,"SÍ",MUROS!$F$11:$F$70,IF(ENTREPISO!$C$11="SÍ","&gt;=1","&gt;=0"))/10000)</f>
        <v/>
      </c>
      <c r="F17" s="44" t="str">
        <f>IF(OR($B$7="",N(E17)=0),"",N($D$7)/E17/10)</f>
        <v/>
      </c>
      <c r="G17" s="44" t="str">
        <f>IF(F17="","",MIN(F17,3.33*DATOS!$C$41))</f>
        <v/>
      </c>
      <c r="H17" s="44" t="str">
        <f>IF($B$7="","",SUMIFS(MUROS!$DZ$11:$DZ$70,MUROS!$C$11:$C$70,$B$7,MUROS!$D$11:$D$70,"X",MUROS!$BI$11:$BI$70,"SÍ",MUROS!$F$11:$F$70,IF(ENTREPISO!$C$11="SÍ","&gt;=1","&gt;=0")))</f>
        <v/>
      </c>
      <c r="I17" s="68" t="str">
        <f>IF(G17="","",DATOS!$C$86*(0.5*DATOS!$C$41+0.3*G17)*D17*10000/1000+H17)</f>
        <v/>
      </c>
      <c r="J17" s="47" t="str">
        <f>IF($B$7="","",N($E$7))</f>
        <v/>
      </c>
      <c r="K17" s="46" t="str">
        <f>IF(OR(I17="",N(I17)=0),"",0.8*J17/I17)</f>
        <v/>
      </c>
      <c r="L17" s="42" t="str">
        <f>IF($B$7="","",IF(N(E17)=0,"PENDIENTE: ningún muro de MUROS es de este story",IF(K17="",IF(N(J17)&gt;0,"NO CUMPLE: no hay muros en esta dirección",""),IF(K17&lt;=1,IF(LEFT(DATOS!$C$42,9)="PENDIENTE","CUMPLE — PENDIENTE: v'm provisional","CUMPLE"),"NO CUMPLE: V_R &lt; 0.8·V_u (4.1.10.1)"))))</f>
        <v/>
      </c>
    </row>
    <row r="18">
      <c r="B18" s="66" t="str">
        <f>IF($B$7="","",$B$7)</f>
        <v/>
      </c>
      <c r="C18" s="66" t="inlineStr">
        <is>
          <t>Y</t>
        </is>
      </c>
      <c r="D18" s="48" t="str">
        <f>IF($B$7="","",SUMIFS(MUROS!$CE$11:$CE$70,MUROS!$C$11:$C$70,$B$7,MUROS!$D$11:$D$70,"Y",MUROS!$BI$11:$BI$70,"SÍ",MUROS!$F$11:$F$70,IF(ENTREPISO!$C$11="SÍ","&gt;=1","&gt;=0"))/10000)</f>
        <v/>
      </c>
      <c r="E18" s="48" t="str">
        <f>IF($B$7="","",SUMIFS(MUROS!$CE$11:$CE$70,MUROS!$C$11:$C$70,$B$7,MUROS!$BI$11:$BI$70,"SÍ",MUROS!$F$11:$F$70,IF(ENTREPISO!$C$11="SÍ","&gt;=1","&gt;=0"))/10000)</f>
        <v/>
      </c>
      <c r="F18" s="44" t="str">
        <f>IF(OR($B$7="",N(E18)=0),"",N($D$7)/E18/10)</f>
        <v/>
      </c>
      <c r="G18" s="44" t="str">
        <f>IF(F18="","",MIN(F18,3.33*DATOS!$C$41))</f>
        <v/>
      </c>
      <c r="H18" s="44" t="str">
        <f>IF($B$7="","",SUMIFS(MUROS!$DZ$11:$DZ$70,MUROS!$C$11:$C$70,$B$7,MUROS!$D$11:$D$70,"Y",MUROS!$BI$11:$BI$70,"SÍ",MUROS!$F$11:$F$70,IF(ENTREPISO!$C$11="SÍ","&gt;=1","&gt;=0")))</f>
        <v/>
      </c>
      <c r="I18" s="68" t="str">
        <f>IF(G18="","",DATOS!$C$86*(0.5*DATOS!$C$41+0.3*G18)*D18*10000/1000+H18)</f>
        <v/>
      </c>
      <c r="J18" s="47" t="str">
        <f>IF($B$7="","",N($F$7))</f>
        <v/>
      </c>
      <c r="K18" s="46" t="str">
        <f>IF(OR(I18="",N(I18)=0),"",0.8*J18/I18)</f>
        <v/>
      </c>
      <c r="L18" s="42" t="str">
        <f>IF($B$7="","",IF(N(E18)=0,"PENDIENTE: ningún muro de MUROS es de este story",IF(K18="",IF(N(J18)&gt;0,"NO CUMPLE: no hay muros en esta dirección",""),IF(K18&lt;=1,IF(LEFT(DATOS!$C$42,9)="PENDIENTE","CUMPLE — PENDIENTE: v'm provisional","CUMPLE"),"NO CUMPLE: V_R &lt; 0.8·V_u (4.1.10.1)"))))</f>
        <v/>
      </c>
    </row>
    <row r="19">
      <c r="B19" s="66" t="str">
        <f>IF($B$8="","",$B$8)</f>
        <v/>
      </c>
      <c r="C19" s="66" t="inlineStr">
        <is>
          <t>X</t>
        </is>
      </c>
      <c r="D19" s="48" t="str">
        <f>IF($B$8="","",SUMIFS(MUROS!$CE$11:$CE$70,MUROS!$C$11:$C$70,$B$8,MUROS!$D$11:$D$70,"X",MUROS!$BI$11:$BI$70,"SÍ",MUROS!$F$11:$F$70,IF(ENTREPISO!$C$11="SÍ","&gt;=1","&gt;=0"))/10000)</f>
        <v/>
      </c>
      <c r="E19" s="48" t="str">
        <f>IF($B$8="","",SUMIFS(MUROS!$CE$11:$CE$70,MUROS!$C$11:$C$70,$B$8,MUROS!$BI$11:$BI$70,"SÍ",MUROS!$F$11:$F$70,IF(ENTREPISO!$C$11="SÍ","&gt;=1","&gt;=0"))/10000)</f>
        <v/>
      </c>
      <c r="F19" s="44" t="str">
        <f>IF(OR($B$8="",N(E19)=0),"",N($D$8)/E19/10)</f>
        <v/>
      </c>
      <c r="G19" s="44" t="str">
        <f>IF(F19="","",MIN(F19,3.33*DATOS!$C$41))</f>
        <v/>
      </c>
      <c r="H19" s="44" t="str">
        <f>IF($B$8="","",SUMIFS(MUROS!$DZ$11:$DZ$70,MUROS!$C$11:$C$70,$B$8,MUROS!$D$11:$D$70,"X",MUROS!$BI$11:$BI$70,"SÍ",MUROS!$F$11:$F$70,IF(ENTREPISO!$C$11="SÍ","&gt;=1","&gt;=0")))</f>
        <v/>
      </c>
      <c r="I19" s="68" t="str">
        <f>IF(G19="","",DATOS!$C$86*(0.5*DATOS!$C$41+0.3*G19)*D19*10000/1000+H19)</f>
        <v/>
      </c>
      <c r="J19" s="47" t="str">
        <f>IF($B$8="","",N($E$8))</f>
        <v/>
      </c>
      <c r="K19" s="46" t="str">
        <f>IF(OR(I19="",N(I19)=0),"",0.8*J19/I19)</f>
        <v/>
      </c>
      <c r="L19" s="42" t="str">
        <f>IF($B$8="","",IF(N(E19)=0,"PENDIENTE: ningún muro de MUROS es de este story",IF(K19="",IF(N(J19)&gt;0,"NO CUMPLE: no hay muros en esta dirección",""),IF(K19&lt;=1,IF(LEFT(DATOS!$C$42,9)="PENDIENTE","CUMPLE — PENDIENTE: v'm provisional","CUMPLE"),"NO CUMPLE: V_R &lt; 0.8·V_u (4.1.10.1)"))))</f>
        <v/>
      </c>
    </row>
    <row r="20">
      <c r="B20" s="66" t="str">
        <f>IF($B$8="","",$B$8)</f>
        <v/>
      </c>
      <c r="C20" s="66" t="inlineStr">
        <is>
          <t>Y</t>
        </is>
      </c>
      <c r="D20" s="48" t="str">
        <f>IF($B$8="","",SUMIFS(MUROS!$CE$11:$CE$70,MUROS!$C$11:$C$70,$B$8,MUROS!$D$11:$D$70,"Y",MUROS!$BI$11:$BI$70,"SÍ",MUROS!$F$11:$F$70,IF(ENTREPISO!$C$11="SÍ","&gt;=1","&gt;=0"))/10000)</f>
        <v/>
      </c>
      <c r="E20" s="48" t="str">
        <f>IF($B$8="","",SUMIFS(MUROS!$CE$11:$CE$70,MUROS!$C$11:$C$70,$B$8,MUROS!$BI$11:$BI$70,"SÍ",MUROS!$F$11:$F$70,IF(ENTREPISO!$C$11="SÍ","&gt;=1","&gt;=0"))/10000)</f>
        <v/>
      </c>
      <c r="F20" s="44" t="str">
        <f>IF(OR($B$8="",N(E20)=0),"",N($D$8)/E20/10)</f>
        <v/>
      </c>
      <c r="G20" s="44" t="str">
        <f>IF(F20="","",MIN(F20,3.33*DATOS!$C$41))</f>
        <v/>
      </c>
      <c r="H20" s="44" t="str">
        <f>IF($B$8="","",SUMIFS(MUROS!$DZ$11:$DZ$70,MUROS!$C$11:$C$70,$B$8,MUROS!$D$11:$D$70,"Y",MUROS!$BI$11:$BI$70,"SÍ",MUROS!$F$11:$F$70,IF(ENTREPISO!$C$11="SÍ","&gt;=1","&gt;=0")))</f>
        <v/>
      </c>
      <c r="I20" s="68" t="str">
        <f>IF(G20="","",DATOS!$C$86*(0.5*DATOS!$C$41+0.3*G20)*D20*10000/1000+H20)</f>
        <v/>
      </c>
      <c r="J20" s="47" t="str">
        <f>IF($B$8="","",N($F$8))</f>
        <v/>
      </c>
      <c r="K20" s="46" t="str">
        <f>IF(OR(I20="",N(I20)=0),"",0.8*J20/I20)</f>
        <v/>
      </c>
      <c r="L20" s="42" t="str">
        <f>IF($B$8="","",IF(N(E20)=0,"PENDIENTE: ningún muro de MUROS es de este story",IF(K20="",IF(N(J20)&gt;0,"NO CUMPLE: no hay muros en esta dirección",""),IF(K20&lt;=1,IF(LEFT(DATOS!$C$42,9)="PENDIENTE","CUMPLE — PENDIENTE: v'm provisional","CUMPLE"),"NO CUMPLE: V_R &lt; 0.8·V_u (4.1.10.1)"))))</f>
        <v/>
      </c>
    </row>
    <row r="21">
      <c r="B21" s="66" t="str">
        <f>IF($B$9="","",$B$9)</f>
        <v/>
      </c>
      <c r="C21" s="66" t="inlineStr">
        <is>
          <t>X</t>
        </is>
      </c>
      <c r="D21" s="48" t="str">
        <f>IF($B$9="","",SUMIFS(MUROS!$CE$11:$CE$70,MUROS!$C$11:$C$70,$B$9,MUROS!$D$11:$D$70,"X",MUROS!$BI$11:$BI$70,"SÍ",MUROS!$F$11:$F$70,IF(ENTREPISO!$C$11="SÍ","&gt;=1","&gt;=0"))/10000)</f>
        <v/>
      </c>
      <c r="E21" s="48" t="str">
        <f>IF($B$9="","",SUMIFS(MUROS!$CE$11:$CE$70,MUROS!$C$11:$C$70,$B$9,MUROS!$BI$11:$BI$70,"SÍ",MUROS!$F$11:$F$70,IF(ENTREPISO!$C$11="SÍ","&gt;=1","&gt;=0"))/10000)</f>
        <v/>
      </c>
      <c r="F21" s="44" t="str">
        <f>IF(OR($B$9="",N(E21)=0),"",N($D$9)/E21/10)</f>
        <v/>
      </c>
      <c r="G21" s="44" t="str">
        <f>IF(F21="","",MIN(F21,3.33*DATOS!$C$41))</f>
        <v/>
      </c>
      <c r="H21" s="44" t="str">
        <f>IF($B$9="","",SUMIFS(MUROS!$DZ$11:$DZ$70,MUROS!$C$11:$C$70,$B$9,MUROS!$D$11:$D$70,"X",MUROS!$BI$11:$BI$70,"SÍ",MUROS!$F$11:$F$70,IF(ENTREPISO!$C$11="SÍ","&gt;=1","&gt;=0")))</f>
        <v/>
      </c>
      <c r="I21" s="68" t="str">
        <f>IF(G21="","",DATOS!$C$86*(0.5*DATOS!$C$41+0.3*G21)*D21*10000/1000+H21)</f>
        <v/>
      </c>
      <c r="J21" s="47" t="str">
        <f>IF($B$9="","",N($E$9))</f>
        <v/>
      </c>
      <c r="K21" s="46" t="str">
        <f>IF(OR(I21="",N(I21)=0),"",0.8*J21/I21)</f>
        <v/>
      </c>
      <c r="L21" s="42" t="str">
        <f>IF($B$9="","",IF(N(E21)=0,"PENDIENTE: ningún muro de MUROS es de este story",IF(K21="",IF(N(J21)&gt;0,"NO CUMPLE: no hay muros en esta dirección",""),IF(K21&lt;=1,IF(LEFT(DATOS!$C$42,9)="PENDIENTE","CUMPLE — PENDIENTE: v'm provisional","CUMPLE"),"NO CUMPLE: V_R &lt; 0.8·V_u (4.1.10.1)"))))</f>
        <v/>
      </c>
    </row>
    <row r="22">
      <c r="B22" s="66" t="str">
        <f>IF($B$9="","",$B$9)</f>
        <v/>
      </c>
      <c r="C22" s="66" t="inlineStr">
        <is>
          <t>Y</t>
        </is>
      </c>
      <c r="D22" s="48" t="str">
        <f>IF($B$9="","",SUMIFS(MUROS!$CE$11:$CE$70,MUROS!$C$11:$C$70,$B$9,MUROS!$D$11:$D$70,"Y",MUROS!$BI$11:$BI$70,"SÍ",MUROS!$F$11:$F$70,IF(ENTREPISO!$C$11="SÍ","&gt;=1","&gt;=0"))/10000)</f>
        <v/>
      </c>
      <c r="E22" s="48" t="str">
        <f>IF($B$9="","",SUMIFS(MUROS!$CE$11:$CE$70,MUROS!$C$11:$C$70,$B$9,MUROS!$BI$11:$BI$70,"SÍ",MUROS!$F$11:$F$70,IF(ENTREPISO!$C$11="SÍ","&gt;=1","&gt;=0"))/10000)</f>
        <v/>
      </c>
      <c r="F22" s="44" t="str">
        <f>IF(OR($B$9="",N(E22)=0),"",N($D$9)/E22/10)</f>
        <v/>
      </c>
      <c r="G22" s="44" t="str">
        <f>IF(F22="","",MIN(F22,3.33*DATOS!$C$41))</f>
        <v/>
      </c>
      <c r="H22" s="44" t="str">
        <f>IF($B$9="","",SUMIFS(MUROS!$DZ$11:$DZ$70,MUROS!$C$11:$C$70,$B$9,MUROS!$D$11:$D$70,"Y",MUROS!$BI$11:$BI$70,"SÍ",MUROS!$F$11:$F$70,IF(ENTREPISO!$C$11="SÍ","&gt;=1","&gt;=0")))</f>
        <v/>
      </c>
      <c r="I22" s="68" t="str">
        <f>IF(G22="","",DATOS!$C$86*(0.5*DATOS!$C$41+0.3*G22)*D22*10000/1000+H22)</f>
        <v/>
      </c>
      <c r="J22" s="47" t="str">
        <f>IF($B$9="","",N($F$9))</f>
        <v/>
      </c>
      <c r="K22" s="46" t="str">
        <f>IF(OR(I22="",N(I22)=0),"",0.8*J22/I22)</f>
        <v/>
      </c>
      <c r="L22" s="42" t="str">
        <f>IF($B$9="","",IF(N(E22)=0,"PENDIENTE: ningún muro de MUROS es de este story",IF(K22="",IF(N(J22)&gt;0,"NO CUMPLE: no hay muros en esta dirección",""),IF(K22&lt;=1,IF(LEFT(DATOS!$C$42,9)="PENDIENTE","CUMPLE — PENDIENTE: v'm provisional","CUMPLE"),"NO CUMPLE: V_R &lt; 0.8·V_u (4.1.10.1)"))))</f>
        <v/>
      </c>
    </row>
  </sheetData>
  <mergeCells count="4">
    <mergeCell ref="B2:L2"/>
    <mergeCell ref="B4:L4"/>
    <mergeCell ref="B13:L13"/>
    <mergeCell ref="B1:L1"/>
  </mergeCells>
  <conditionalFormatting sqref="L15:L22">
    <cfRule type="expression" priority="1" dxfId="0" stopIfTrue="1">
      <formula>OR(ISNUMBER(FIND("NO CUMPLE",L15)),ISNUMBER(FIND("REVISAR",L15)),ISNUMBER(FIND("FALTA",L15)),ISNUMBER(FIND("NO ALCANZA",L15)),ISNUMBER(FIND("FUERA",L15)),ISNUMBER(FIND("NO CUENTA",L15)),ISNUMBER(FIND("NO ESTÁ",L15)),ISNUMBER(FIND("NO VÁLIDO",L15)))</formula>
    </cfRule>
    <cfRule type="expression" priority="2" dxfId="1" stopIfTrue="1">
      <formula>OR(ISNUMBER(FIND("PENDIENTE",L15)),ISNUMBER(FIND("PROVISIONAL",L15)),ISNUMBER(FIND("ESTIMADO",L15)),ISNUMBER(FIND("VER ",L15)),AND(ISNUMBER(FIND("REQUIERE",L15)),NOT(ISNUMBER(FIND("NO REQUIERE",L15)))),ISNUMBER(FIND("AVISO",L15)))</formula>
    </cfRule>
    <cfRule type="expression" priority="3" dxfId="2" stopIfTrue="1">
      <formula>OR(ISNUMBER(FIND("CUMPLE",L15)),ISNUMBER(FIND("VÁLIDO",L15)),ISNUMBER(FIND("NO REQUIERE",L15)),ISNUMBER(FIND("YA LO TIENE",L15)))</formula>
    </cfRule>
  </conditionalFormatting>
  <conditionalFormatting sqref="C1:C23">
    <cfRule type="expression" priority="4" dxfId="0" stopIfTrue="1">
      <formula>OR(ISNUMBER(FIND("NO CUMPLE",C1)),ISNUMBER(FIND("REVISAR",C1)),ISNUMBER(FIND("FALTA",C1)),ISNUMBER(FIND("NO ALCANZA",C1)),ISNUMBER(FIND("FUERA",C1)),ISNUMBER(FIND("NO CUENTA",C1)),ISNUMBER(FIND("NO ESTÁ",C1)),ISNUMBER(FIND("NO VÁLIDO",C1)))</formula>
    </cfRule>
    <cfRule type="expression" priority="5" dxfId="1" stopIfTrue="1">
      <formula>OR(ISNUMBER(FIND("PENDIENTE",C1)),ISNUMBER(FIND("PROVISIONAL",C1)),ISNUMBER(FIND("ESTIMADO",C1)),ISNUMBER(FIND("VER ",C1)),AND(ISNUMBER(FIND("REQUIERE",C1)),NOT(ISNUMBER(FIND("NO REQUIERE",C1)))),ISNUMBER(FIND("AVISO",C1)))</formula>
    </cfRule>
    <cfRule type="expression" priority="6" dxfId="2" stopIfTrue="1">
      <formula>OR(ISNUMBER(FIND("CUMPLE",C1)),ISNUMBER(FIND("VÁLIDO",C1)),ISNUMBER(FIND("NO REQUIERE",C1)),ISNUMBER(FIND("YA LO TIENE",C1)))</formula>
    </cfRule>
  </conditionalFormatting>
  <dataValidations count="1">
    <dataValidation sqref="C11" showDropDown="0" showInputMessage="0" showErrorMessage="1" allowBlank="1" errorTitle="Valor no válido" error="Escoge un valor de la lista" type="list">
      <formula1>LST_SINO</formula1>
    </dataValidation>
  </dataValidations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R315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78" customWidth="1" min="1" max="1"/>
    <col width="10" customWidth="1" min="2" max="2"/>
    <col width="30" customWidth="1" min="3" max="3"/>
    <col width="12" customWidth="1" min="4" max="4"/>
    <col width="8" customWidth="1" min="5" max="5"/>
    <col width="9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2" customWidth="1" min="12" max="12"/>
    <col width="7" customWidth="1" min="13" max="13"/>
    <col width="9" customWidth="1" min="14" max="14"/>
    <col width="11" customWidth="1" min="15" max="15"/>
    <col width="9" customWidth="1" min="16" max="16"/>
    <col width="8" customWidth="1" min="17" max="17"/>
    <col width="18" customWidth="1" min="18" max="18"/>
  </cols>
  <sheetData>
    <row r="1" ht="26" customHeight="1">
      <c r="B1" s="1" t="inlineStr">
        <is>
          <t>DISTORSIONES DE ENTREPISO — NTC-SISMO 1.7 Y TABLA 4.3.3</t>
        </is>
      </c>
    </row>
    <row r="2" ht="16" customHeight="1">
      <c r="B2" s="4" t="inlineStr">
        <is>
          <t>Pega la tabla «Story Drifts» de ETABS desde el renglón 16. Seguridad de vida: × Q·R'·FC ≤ γ_SV. Daño: ≤ γ_LD.</t>
        </is>
      </c>
    </row>
    <row r="4" ht="30" customHeight="1">
      <c r="B4" s="5" t="inlineStr">
        <is>
          <t>Revisión</t>
        </is>
      </c>
      <c r="C4" s="5" t="inlineStr">
        <is>
          <t>Dirección</t>
        </is>
      </c>
      <c r="D4" s="5" t="inlineStr">
        <is>
          <t>Distorsión revisada máx.</t>
        </is>
      </c>
      <c r="E4" s="5" t="inlineStr">
        <is>
          <t>Límite</t>
        </is>
      </c>
      <c r="F4" s="5" t="inlineStr">
        <is>
          <t>Relación</t>
        </is>
      </c>
      <c r="G4" s="5" t="inlineStr">
        <is>
          <t>ESTADO</t>
        </is>
      </c>
    </row>
    <row r="5">
      <c r="B5" s="66" t="inlineStr">
        <is>
          <t>SV</t>
        </is>
      </c>
      <c r="C5" s="66" t="inlineStr">
        <is>
          <t>X</t>
        </is>
      </c>
      <c r="D5" s="69">
        <f>SUMPRODUCT(MAX(($M$16:$M$315="SV")*($F$16:$F$315="X")*$O$16:$O$315))</f>
        <v>0</v>
      </c>
      <c r="E5" s="70">
        <f>DATOS!$C$98</f>
        <v>0.004</v>
      </c>
      <c r="F5" s="71">
        <f>IF(E5&gt;0,D5/E5,0)</f>
        <v>0</v>
      </c>
      <c r="G5" s="42" t="str">
        <f>IF(COUNTIFS($M$16:$M$315,"SV",$F$16:$F$315,"X")=0,IF(AND("SV"="OI",DATOS!$C$7&lt;&gt;"A"),"— (sólo Grupo A)","PENDIENTE: no hay renglones de este caso"),IF(AND("SV"&lt;&gt;"LD",N(DATOS!$C$100)&lt;=0),"PENDIENTE: falta R' en DATOS",IF(F5&lt;=1,"CUMPLE","NO CUMPLE")))</f>
        <v>PENDIENTE: no hay renglones de este caso</v>
      </c>
    </row>
    <row r="6">
      <c r="B6" s="66" t="inlineStr">
        <is>
          <t>SV</t>
        </is>
      </c>
      <c r="C6" s="66" t="inlineStr">
        <is>
          <t>Y</t>
        </is>
      </c>
      <c r="D6" s="69">
        <f>SUMPRODUCT(MAX(($M$16:$M$315="SV")*($F$16:$F$315="Y")*$O$16:$O$315))</f>
        <v>0</v>
      </c>
      <c r="E6" s="70">
        <f>DATOS!$C$98</f>
        <v>0.004</v>
      </c>
      <c r="F6" s="71">
        <f>IF(E6&gt;0,D6/E6,0)</f>
        <v>0</v>
      </c>
      <c r="G6" s="42" t="str">
        <f>IF(COUNTIFS($M$16:$M$315,"SV",$F$16:$F$315,"Y")=0,IF(AND("SV"="OI",DATOS!$C$7&lt;&gt;"A"),"— (sólo Grupo A)","PENDIENTE: no hay renglones de este caso"),IF(AND("SV"&lt;&gt;"LD",N(DATOS!$C$100)&lt;=0),"PENDIENTE: falta R' en DATOS",IF(F6&lt;=1,"CUMPLE","NO CUMPLE")))</f>
        <v>PENDIENTE: no hay renglones de este caso</v>
      </c>
    </row>
    <row r="7">
      <c r="B7" s="66" t="inlineStr">
        <is>
          <t>LD</t>
        </is>
      </c>
      <c r="C7" s="66" t="inlineStr">
        <is>
          <t>X</t>
        </is>
      </c>
      <c r="D7" s="69">
        <f>SUMPRODUCT(MAX(($M$16:$M$315="LD")*($F$16:$F$315="X")*$O$16:$O$315))</f>
        <v>0</v>
      </c>
      <c r="E7" s="70">
        <f>DATOS!$C$103</f>
        <v>0.002</v>
      </c>
      <c r="F7" s="71">
        <f>IF(E7&gt;0,D7/E7,0)</f>
        <v>0</v>
      </c>
      <c r="G7" s="42" t="str">
        <f>IF(COUNTIFS($M$16:$M$315,"LD",$F$16:$F$315,"X")=0,IF(AND("LD"="OI",DATOS!$C$7&lt;&gt;"A"),"— (sólo Grupo A)","PENDIENTE: no hay renglones de este caso"),IF(AND("LD"&lt;&gt;"LD",N(DATOS!$C$100)&lt;=0),"PENDIENTE: falta R' en DATOS",IF(F7&lt;=1,"CUMPLE","NO CUMPLE")))</f>
        <v>PENDIENTE: no hay renglones de este caso</v>
      </c>
    </row>
    <row r="8">
      <c r="B8" s="66" t="inlineStr">
        <is>
          <t>LD</t>
        </is>
      </c>
      <c r="C8" s="66" t="inlineStr">
        <is>
          <t>Y</t>
        </is>
      </c>
      <c r="D8" s="69">
        <f>SUMPRODUCT(MAX(($M$16:$M$315="LD")*($F$16:$F$315="Y")*$O$16:$O$315))</f>
        <v>0</v>
      </c>
      <c r="E8" s="70">
        <f>DATOS!$C$103</f>
        <v>0.002</v>
      </c>
      <c r="F8" s="71">
        <f>IF(E8&gt;0,D8/E8,0)</f>
        <v>0</v>
      </c>
      <c r="G8" s="42" t="str">
        <f>IF(COUNTIFS($M$16:$M$315,"LD",$F$16:$F$315,"Y")=0,IF(AND("LD"="OI",DATOS!$C$7&lt;&gt;"A"),"— (sólo Grupo A)","PENDIENTE: no hay renglones de este caso"),IF(AND("LD"&lt;&gt;"LD",N(DATOS!$C$100)&lt;=0),"PENDIENTE: falta R' en DATOS",IF(F8&lt;=1,"CUMPLE","NO CUMPLE")))</f>
        <v>PENDIENTE: no hay renglones de este caso</v>
      </c>
    </row>
    <row r="9">
      <c r="B9" s="66" t="inlineStr">
        <is>
          <t>OI</t>
        </is>
      </c>
      <c r="C9" s="66" t="inlineStr">
        <is>
          <t>X</t>
        </is>
      </c>
      <c r="D9" s="69">
        <f>SUMPRODUCT(MAX(($M$16:$M$315="OI")*($F$16:$F$315="X")*$O$16:$O$315))</f>
        <v>0</v>
      </c>
      <c r="E9" s="70">
        <f>DATOS!$C$99</f>
        <v>0.0015</v>
      </c>
      <c r="F9" s="71">
        <f>IF(E9&gt;0,D9/E9,0)</f>
        <v>0</v>
      </c>
      <c r="G9" s="42" t="str">
        <f>IF(COUNTIFS($M$16:$M$315,"OI",$F$16:$F$315,"X")=0,IF(AND("OI"="OI",DATOS!$C$7&lt;&gt;"A"),"— (sólo Grupo A)","PENDIENTE: no hay renglones de este caso"),IF(AND("OI"&lt;&gt;"LD",N(DATOS!$C$100)&lt;=0),"PENDIENTE: falta R' en DATOS",IF(F9&lt;=1,"CUMPLE","NO CUMPLE")))</f>
        <v>— (sólo Grupo A)</v>
      </c>
    </row>
    <row r="10">
      <c r="B10" s="66" t="inlineStr">
        <is>
          <t>OI</t>
        </is>
      </c>
      <c r="C10" s="66" t="inlineStr">
        <is>
          <t>Y</t>
        </is>
      </c>
      <c r="D10" s="69">
        <f>SUMPRODUCT(MAX(($M$16:$M$315="OI")*($F$16:$F$315="Y")*$O$16:$O$315))</f>
        <v>0</v>
      </c>
      <c r="E10" s="70">
        <f>DATOS!$C$99</f>
        <v>0.0015</v>
      </c>
      <c r="F10" s="71">
        <f>IF(E10&gt;0,D10/E10,0)</f>
        <v>0</v>
      </c>
      <c r="G10" s="42" t="str">
        <f>IF(COUNTIFS($M$16:$M$315,"OI",$F$16:$F$315,"Y")=0,IF(AND("OI"="OI",DATOS!$C$7&lt;&gt;"A"),"— (sólo Grupo A)","PENDIENTE: no hay renglones de este caso"),IF(AND("OI"&lt;&gt;"LD",N(DATOS!$C$100)&lt;=0),"PENDIENTE: falta R' en DATOS",IF(F10&lt;=1,"CUMPLE","NO CUMPLE")))</f>
        <v>— (sólo Grupo A)</v>
      </c>
    </row>
    <row r="13">
      <c r="B13" s="72" t="inlineStr">
        <is>
          <t>TABLA «STORY DRIFTS» DE ETABS — CAPTURA (pegar valores)</t>
        </is>
      </c>
      <c r="M13" s="73" t="inlineStr">
        <is>
          <t>REVISIÓN DE CADA RENGLÓN</t>
        </is>
      </c>
    </row>
    <row r="14" ht="30" customHeight="1">
      <c r="B14" s="5" t="inlineStr">
        <is>
          <t>Story</t>
        </is>
      </c>
      <c r="C14" s="5" t="inlineStr">
        <is>
          <t>Output Case</t>
        </is>
      </c>
      <c r="D14" s="5" t="inlineStr">
        <is>
          <t>Case Type</t>
        </is>
      </c>
      <c r="E14" s="5" t="inlineStr">
        <is>
          <t>Step Type</t>
        </is>
      </c>
      <c r="F14" s="5" t="inlineStr">
        <is>
          <t>Direction</t>
        </is>
      </c>
      <c r="G14" s="5" t="inlineStr">
        <is>
          <t>Drift</t>
        </is>
      </c>
      <c r="H14" s="5" t="inlineStr">
        <is>
          <t>Label</t>
        </is>
      </c>
      <c r="I14" s="5" t="inlineStr">
        <is>
          <t>X</t>
        </is>
      </c>
      <c r="J14" s="5" t="inlineStr">
        <is>
          <t>Y</t>
        </is>
      </c>
      <c r="K14" s="5" t="inlineStr">
        <is>
          <t>Z</t>
        </is>
      </c>
      <c r="M14" s="5" t="inlineStr">
        <is>
          <t>Caso</t>
        </is>
      </c>
      <c r="N14" s="5" t="inlineStr">
        <is>
          <t>Factor</t>
        </is>
      </c>
      <c r="O14" s="5" t="inlineStr">
        <is>
          <t>Distorsión revisada</t>
        </is>
      </c>
      <c r="P14" s="5" t="inlineStr">
        <is>
          <t>Límite</t>
        </is>
      </c>
      <c r="Q14" s="5" t="inlineStr">
        <is>
          <t>Relación</t>
        </is>
      </c>
      <c r="R14" s="5" t="inlineStr">
        <is>
          <t>Estado</t>
        </is>
      </c>
    </row>
    <row r="16">
      <c r="B16" s="74" t="n"/>
      <c r="C16" s="74" t="n"/>
      <c r="D16" s="74" t="n"/>
      <c r="E16" s="74" t="n"/>
      <c r="F16" s="74" t="n"/>
      <c r="G16" s="75" t="n"/>
      <c r="H16" s="76" t="n"/>
      <c r="I16" s="77" t="n"/>
      <c r="J16" s="77" t="n"/>
      <c r="K16" s="77" t="n"/>
      <c r="M16" s="78" t="str">
        <f>IF($C16="","",IF(ISNUMBER(SEARCH(DATOS!$C$126,$C16)),"SV",IF(ISNUMBER(SEARCH(DATOS!$C$127,$C16)),"LD",IF(ISNUMBER(SEARCH(DATOS!$C$128,$C16)),"OI",""))))</f>
        <v/>
      </c>
      <c r="N16" s="78">
        <f>IF($M16="SV",DATOS!$C$101,IF($M16="LD",1,IF($M16="OI",DATOS!$C$100*DATOS!$C$89,0)))</f>
        <v>0</v>
      </c>
      <c r="O16" s="79">
        <f>IF($M16="",0,N($G16)*$N16)</f>
        <v>0</v>
      </c>
      <c r="P16" s="78" t="str">
        <f>IF($M16="SV",DATOS!$C$98,IF($M16="LD",DATOS!$C$103,IF($M16="OI",DATOS!$C$99,"")))</f>
        <v/>
      </c>
      <c r="Q16" s="80" t="str">
        <f>IF(OR($M16="",N($P16)=0),"",$O16/$P16)</f>
        <v/>
      </c>
      <c r="R16" s="78" t="str">
        <f>IF($M16="","",IF(AND($M16&lt;&gt;"LD",N(DATOS!$C$100)&lt;=0),"PENDIENTE: falta R'",IF($Q16&lt;=1,"CUMPLE","NO CUMPLE")))</f>
        <v/>
      </c>
    </row>
    <row r="17">
      <c r="B17" s="74" t="n"/>
      <c r="C17" s="74" t="n"/>
      <c r="D17" s="74" t="n"/>
      <c r="E17" s="74" t="n"/>
      <c r="F17" s="74" t="n"/>
      <c r="G17" s="75" t="n"/>
      <c r="H17" s="76" t="n"/>
      <c r="I17" s="77" t="n"/>
      <c r="J17" s="77" t="n"/>
      <c r="K17" s="77" t="n"/>
      <c r="M17" s="78" t="str">
        <f>IF($C17="","",IF(ISNUMBER(SEARCH(DATOS!$C$126,$C17)),"SV",IF(ISNUMBER(SEARCH(DATOS!$C$127,$C17)),"LD",IF(ISNUMBER(SEARCH(DATOS!$C$128,$C17)),"OI",""))))</f>
        <v/>
      </c>
      <c r="N17" s="78">
        <f>IF($M17="SV",DATOS!$C$101,IF($M17="LD",1,IF($M17="OI",DATOS!$C$100*DATOS!$C$89,0)))</f>
        <v>0</v>
      </c>
      <c r="O17" s="79">
        <f>IF($M17="",0,N($G17)*$N17)</f>
        <v>0</v>
      </c>
      <c r="P17" s="78" t="str">
        <f>IF($M17="SV",DATOS!$C$98,IF($M17="LD",DATOS!$C$103,IF($M17="OI",DATOS!$C$99,"")))</f>
        <v/>
      </c>
      <c r="Q17" s="80" t="str">
        <f>IF(OR($M17="",N($P17)=0),"",$O17/$P17)</f>
        <v/>
      </c>
      <c r="R17" s="78" t="str">
        <f>IF($M17="","",IF(AND($M17&lt;&gt;"LD",N(DATOS!$C$100)&lt;=0),"PENDIENTE: falta R'",IF($Q17&lt;=1,"CUMPLE","NO CUMPLE")))</f>
        <v/>
      </c>
    </row>
    <row r="18">
      <c r="B18" s="74" t="n"/>
      <c r="C18" s="74" t="n"/>
      <c r="D18" s="74" t="n"/>
      <c r="E18" s="74" t="n"/>
      <c r="F18" s="74" t="n"/>
      <c r="G18" s="75" t="n"/>
      <c r="H18" s="76" t="n"/>
      <c r="I18" s="77" t="n"/>
      <c r="J18" s="77" t="n"/>
      <c r="K18" s="77" t="n"/>
      <c r="M18" s="78" t="str">
        <f>IF($C18="","",IF(ISNUMBER(SEARCH(DATOS!$C$126,$C18)),"SV",IF(ISNUMBER(SEARCH(DATOS!$C$127,$C18)),"LD",IF(ISNUMBER(SEARCH(DATOS!$C$128,$C18)),"OI",""))))</f>
        <v/>
      </c>
      <c r="N18" s="78">
        <f>IF($M18="SV",DATOS!$C$101,IF($M18="LD",1,IF($M18="OI",DATOS!$C$100*DATOS!$C$89,0)))</f>
        <v>0</v>
      </c>
      <c r="O18" s="79">
        <f>IF($M18="",0,N($G18)*$N18)</f>
        <v>0</v>
      </c>
      <c r="P18" s="78" t="str">
        <f>IF($M18="SV",DATOS!$C$98,IF($M18="LD",DATOS!$C$103,IF($M18="OI",DATOS!$C$99,"")))</f>
        <v/>
      </c>
      <c r="Q18" s="80" t="str">
        <f>IF(OR($M18="",N($P18)=0),"",$O18/$P18)</f>
        <v/>
      </c>
      <c r="R18" s="78" t="str">
        <f>IF($M18="","",IF(AND($M18&lt;&gt;"LD",N(DATOS!$C$100)&lt;=0),"PENDIENTE: falta R'",IF($Q18&lt;=1,"CUMPLE","NO CUMPLE")))</f>
        <v/>
      </c>
    </row>
    <row r="19">
      <c r="B19" s="74" t="n"/>
      <c r="C19" s="74" t="n"/>
      <c r="D19" s="74" t="n"/>
      <c r="E19" s="74" t="n"/>
      <c r="F19" s="74" t="n"/>
      <c r="G19" s="75" t="n"/>
      <c r="H19" s="76" t="n"/>
      <c r="I19" s="77" t="n"/>
      <c r="J19" s="77" t="n"/>
      <c r="K19" s="77" t="n"/>
      <c r="M19" s="78" t="str">
        <f>IF($C19="","",IF(ISNUMBER(SEARCH(DATOS!$C$126,$C19)),"SV",IF(ISNUMBER(SEARCH(DATOS!$C$127,$C19)),"LD",IF(ISNUMBER(SEARCH(DATOS!$C$128,$C19)),"OI",""))))</f>
        <v/>
      </c>
      <c r="N19" s="78">
        <f>IF($M19="SV",DATOS!$C$101,IF($M19="LD",1,IF($M19="OI",DATOS!$C$100*DATOS!$C$89,0)))</f>
        <v>0</v>
      </c>
      <c r="O19" s="79">
        <f>IF($M19="",0,N($G19)*$N19)</f>
        <v>0</v>
      </c>
      <c r="P19" s="78" t="str">
        <f>IF($M19="SV",DATOS!$C$98,IF($M19="LD",DATOS!$C$103,IF($M19="OI",DATOS!$C$99,"")))</f>
        <v/>
      </c>
      <c r="Q19" s="80" t="str">
        <f>IF(OR($M19="",N($P19)=0),"",$O19/$P19)</f>
        <v/>
      </c>
      <c r="R19" s="78" t="str">
        <f>IF($M19="","",IF(AND($M19&lt;&gt;"LD",N(DATOS!$C$100)&lt;=0),"PENDIENTE: falta R'",IF($Q19&lt;=1,"CUMPLE","NO CUMPLE")))</f>
        <v/>
      </c>
    </row>
    <row r="20">
      <c r="B20" s="74" t="n"/>
      <c r="C20" s="74" t="n"/>
      <c r="D20" s="74" t="n"/>
      <c r="E20" s="74" t="n"/>
      <c r="F20" s="74" t="n"/>
      <c r="G20" s="75" t="n"/>
      <c r="H20" s="76" t="n"/>
      <c r="I20" s="77" t="n"/>
      <c r="J20" s="77" t="n"/>
      <c r="K20" s="77" t="n"/>
      <c r="M20" s="78" t="str">
        <f>IF($C20="","",IF(ISNUMBER(SEARCH(DATOS!$C$126,$C20)),"SV",IF(ISNUMBER(SEARCH(DATOS!$C$127,$C20)),"LD",IF(ISNUMBER(SEARCH(DATOS!$C$128,$C20)),"OI",""))))</f>
        <v/>
      </c>
      <c r="N20" s="78">
        <f>IF($M20="SV",DATOS!$C$101,IF($M20="LD",1,IF($M20="OI",DATOS!$C$100*DATOS!$C$89,0)))</f>
        <v>0</v>
      </c>
      <c r="O20" s="79">
        <f>IF($M20="",0,N($G20)*$N20)</f>
        <v>0</v>
      </c>
      <c r="P20" s="78" t="str">
        <f>IF($M20="SV",DATOS!$C$98,IF($M20="LD",DATOS!$C$103,IF($M20="OI",DATOS!$C$99,"")))</f>
        <v/>
      </c>
      <c r="Q20" s="80" t="str">
        <f>IF(OR($M20="",N($P20)=0),"",$O20/$P20)</f>
        <v/>
      </c>
      <c r="R20" s="78" t="str">
        <f>IF($M20="","",IF(AND($M20&lt;&gt;"LD",N(DATOS!$C$100)&lt;=0),"PENDIENTE: falta R'",IF($Q20&lt;=1,"CUMPLE","NO CUMPLE")))</f>
        <v/>
      </c>
    </row>
    <row r="21">
      <c r="B21" s="74" t="n"/>
      <c r="C21" s="74" t="n"/>
      <c r="D21" s="74" t="n"/>
      <c r="E21" s="74" t="n"/>
      <c r="F21" s="74" t="n"/>
      <c r="G21" s="75" t="n"/>
      <c r="H21" s="76" t="n"/>
      <c r="I21" s="77" t="n"/>
      <c r="J21" s="77" t="n"/>
      <c r="K21" s="77" t="n"/>
      <c r="M21" s="78" t="str">
        <f>IF($C21="","",IF(ISNUMBER(SEARCH(DATOS!$C$126,$C21)),"SV",IF(ISNUMBER(SEARCH(DATOS!$C$127,$C21)),"LD",IF(ISNUMBER(SEARCH(DATOS!$C$128,$C21)),"OI",""))))</f>
        <v/>
      </c>
      <c r="N21" s="78">
        <f>IF($M21="SV",DATOS!$C$101,IF($M21="LD",1,IF($M21="OI",DATOS!$C$100*DATOS!$C$89,0)))</f>
        <v>0</v>
      </c>
      <c r="O21" s="79">
        <f>IF($M21="",0,N($G21)*$N21)</f>
        <v>0</v>
      </c>
      <c r="P21" s="78" t="str">
        <f>IF($M21="SV",DATOS!$C$98,IF($M21="LD",DATOS!$C$103,IF($M21="OI",DATOS!$C$99,"")))</f>
        <v/>
      </c>
      <c r="Q21" s="80" t="str">
        <f>IF(OR($M21="",N($P21)=0),"",$O21/$P21)</f>
        <v/>
      </c>
      <c r="R21" s="78" t="str">
        <f>IF($M21="","",IF(AND($M21&lt;&gt;"LD",N(DATOS!$C$100)&lt;=0),"PENDIENTE: falta R'",IF($Q21&lt;=1,"CUMPLE","NO CUMPLE")))</f>
        <v/>
      </c>
    </row>
    <row r="22">
      <c r="B22" s="74" t="n"/>
      <c r="C22" s="74" t="n"/>
      <c r="D22" s="74" t="n"/>
      <c r="E22" s="74" t="n"/>
      <c r="F22" s="74" t="n"/>
      <c r="G22" s="75" t="n"/>
      <c r="H22" s="76" t="n"/>
      <c r="I22" s="77" t="n"/>
      <c r="J22" s="77" t="n"/>
      <c r="K22" s="77" t="n"/>
      <c r="M22" s="78" t="str">
        <f>IF($C22="","",IF(ISNUMBER(SEARCH(DATOS!$C$126,$C22)),"SV",IF(ISNUMBER(SEARCH(DATOS!$C$127,$C22)),"LD",IF(ISNUMBER(SEARCH(DATOS!$C$128,$C22)),"OI",""))))</f>
        <v/>
      </c>
      <c r="N22" s="78">
        <f>IF($M22="SV",DATOS!$C$101,IF($M22="LD",1,IF($M22="OI",DATOS!$C$100*DATOS!$C$89,0)))</f>
        <v>0</v>
      </c>
      <c r="O22" s="79">
        <f>IF($M22="",0,N($G22)*$N22)</f>
        <v>0</v>
      </c>
      <c r="P22" s="78" t="str">
        <f>IF($M22="SV",DATOS!$C$98,IF($M22="LD",DATOS!$C$103,IF($M22="OI",DATOS!$C$99,"")))</f>
        <v/>
      </c>
      <c r="Q22" s="80" t="str">
        <f>IF(OR($M22="",N($P22)=0),"",$O22/$P22)</f>
        <v/>
      </c>
      <c r="R22" s="78" t="str">
        <f>IF($M22="","",IF(AND($M22&lt;&gt;"LD",N(DATOS!$C$100)&lt;=0),"PENDIENTE: falta R'",IF($Q22&lt;=1,"CUMPLE","NO CUMPLE")))</f>
        <v/>
      </c>
    </row>
    <row r="23">
      <c r="B23" s="74" t="n"/>
      <c r="C23" s="74" t="n"/>
      <c r="D23" s="74" t="n"/>
      <c r="E23" s="74" t="n"/>
      <c r="F23" s="74" t="n"/>
      <c r="G23" s="75" t="n"/>
      <c r="H23" s="76" t="n"/>
      <c r="I23" s="77" t="n"/>
      <c r="J23" s="77" t="n"/>
      <c r="K23" s="77" t="n"/>
      <c r="M23" s="78" t="str">
        <f>IF($C23="","",IF(ISNUMBER(SEARCH(DATOS!$C$126,$C23)),"SV",IF(ISNUMBER(SEARCH(DATOS!$C$127,$C23)),"LD",IF(ISNUMBER(SEARCH(DATOS!$C$128,$C23)),"OI",""))))</f>
        <v/>
      </c>
      <c r="N23" s="78">
        <f>IF($M23="SV",DATOS!$C$101,IF($M23="LD",1,IF($M23="OI",DATOS!$C$100*DATOS!$C$89,0)))</f>
        <v>0</v>
      </c>
      <c r="O23" s="79">
        <f>IF($M23="",0,N($G23)*$N23)</f>
        <v>0</v>
      </c>
      <c r="P23" s="78" t="str">
        <f>IF($M23="SV",DATOS!$C$98,IF($M23="LD",DATOS!$C$103,IF($M23="OI",DATOS!$C$99,"")))</f>
        <v/>
      </c>
      <c r="Q23" s="80" t="str">
        <f>IF(OR($M23="",N($P23)=0),"",$O23/$P23)</f>
        <v/>
      </c>
      <c r="R23" s="78" t="str">
        <f>IF($M23="","",IF(AND($M23&lt;&gt;"LD",N(DATOS!$C$100)&lt;=0),"PENDIENTE: falta R'",IF($Q23&lt;=1,"CUMPLE","NO CUMPLE")))</f>
        <v/>
      </c>
    </row>
    <row r="24">
      <c r="B24" s="74" t="n"/>
      <c r="C24" s="74" t="n"/>
      <c r="D24" s="74" t="n"/>
      <c r="E24" s="74" t="n"/>
      <c r="F24" s="74" t="n"/>
      <c r="G24" s="75" t="n"/>
      <c r="H24" s="76" t="n"/>
      <c r="I24" s="77" t="n"/>
      <c r="J24" s="77" t="n"/>
      <c r="K24" s="77" t="n"/>
      <c r="M24" s="78" t="str">
        <f>IF($C24="","",IF(ISNUMBER(SEARCH(DATOS!$C$126,$C24)),"SV",IF(ISNUMBER(SEARCH(DATOS!$C$127,$C24)),"LD",IF(ISNUMBER(SEARCH(DATOS!$C$128,$C24)),"OI",""))))</f>
        <v/>
      </c>
      <c r="N24" s="78">
        <f>IF($M24="SV",DATOS!$C$101,IF($M24="LD",1,IF($M24="OI",DATOS!$C$100*DATOS!$C$89,0)))</f>
        <v>0</v>
      </c>
      <c r="O24" s="79">
        <f>IF($M24="",0,N($G24)*$N24)</f>
        <v>0</v>
      </c>
      <c r="P24" s="78" t="str">
        <f>IF($M24="SV",DATOS!$C$98,IF($M24="LD",DATOS!$C$103,IF($M24="OI",DATOS!$C$99,"")))</f>
        <v/>
      </c>
      <c r="Q24" s="80" t="str">
        <f>IF(OR($M24="",N($P24)=0),"",$O24/$P24)</f>
        <v/>
      </c>
      <c r="R24" s="78" t="str">
        <f>IF($M24="","",IF(AND($M24&lt;&gt;"LD",N(DATOS!$C$100)&lt;=0),"PENDIENTE: falta R'",IF($Q24&lt;=1,"CUMPLE","NO CUMPLE")))</f>
        <v/>
      </c>
    </row>
    <row r="25">
      <c r="B25" s="74" t="n"/>
      <c r="C25" s="74" t="n"/>
      <c r="D25" s="74" t="n"/>
      <c r="E25" s="74" t="n"/>
      <c r="F25" s="74" t="n"/>
      <c r="G25" s="75" t="n"/>
      <c r="H25" s="76" t="n"/>
      <c r="I25" s="77" t="n"/>
      <c r="J25" s="77" t="n"/>
      <c r="K25" s="77" t="n"/>
      <c r="M25" s="78" t="str">
        <f>IF($C25="","",IF(ISNUMBER(SEARCH(DATOS!$C$126,$C25)),"SV",IF(ISNUMBER(SEARCH(DATOS!$C$127,$C25)),"LD",IF(ISNUMBER(SEARCH(DATOS!$C$128,$C25)),"OI",""))))</f>
        <v/>
      </c>
      <c r="N25" s="78">
        <f>IF($M25="SV",DATOS!$C$101,IF($M25="LD",1,IF($M25="OI",DATOS!$C$100*DATOS!$C$89,0)))</f>
        <v>0</v>
      </c>
      <c r="O25" s="79">
        <f>IF($M25="",0,N($G25)*$N25)</f>
        <v>0</v>
      </c>
      <c r="P25" s="78" t="str">
        <f>IF($M25="SV",DATOS!$C$98,IF($M25="LD",DATOS!$C$103,IF($M25="OI",DATOS!$C$99,"")))</f>
        <v/>
      </c>
      <c r="Q25" s="80" t="str">
        <f>IF(OR($M25="",N($P25)=0),"",$O25/$P25)</f>
        <v/>
      </c>
      <c r="R25" s="78" t="str">
        <f>IF($M25="","",IF(AND($M25&lt;&gt;"LD",N(DATOS!$C$100)&lt;=0),"PENDIENTE: falta R'",IF($Q25&lt;=1,"CUMPLE","NO CUMPLE")))</f>
        <v/>
      </c>
    </row>
    <row r="26">
      <c r="B26" s="74" t="n"/>
      <c r="C26" s="74" t="n"/>
      <c r="D26" s="74" t="n"/>
      <c r="E26" s="74" t="n"/>
      <c r="F26" s="74" t="n"/>
      <c r="G26" s="75" t="n"/>
      <c r="H26" s="76" t="n"/>
      <c r="I26" s="77" t="n"/>
      <c r="J26" s="77" t="n"/>
      <c r="K26" s="77" t="n"/>
      <c r="M26" s="78" t="str">
        <f>IF($C26="","",IF(ISNUMBER(SEARCH(DATOS!$C$126,$C26)),"SV",IF(ISNUMBER(SEARCH(DATOS!$C$127,$C26)),"LD",IF(ISNUMBER(SEARCH(DATOS!$C$128,$C26)),"OI",""))))</f>
        <v/>
      </c>
      <c r="N26" s="78">
        <f>IF($M26="SV",DATOS!$C$101,IF($M26="LD",1,IF($M26="OI",DATOS!$C$100*DATOS!$C$89,0)))</f>
        <v>0</v>
      </c>
      <c r="O26" s="79">
        <f>IF($M26="",0,N($G26)*$N26)</f>
        <v>0</v>
      </c>
      <c r="P26" s="78" t="str">
        <f>IF($M26="SV",DATOS!$C$98,IF($M26="LD",DATOS!$C$103,IF($M26="OI",DATOS!$C$99,"")))</f>
        <v/>
      </c>
      <c r="Q26" s="80" t="str">
        <f>IF(OR($M26="",N($P26)=0),"",$O26/$P26)</f>
        <v/>
      </c>
      <c r="R26" s="78" t="str">
        <f>IF($M26="","",IF(AND($M26&lt;&gt;"LD",N(DATOS!$C$100)&lt;=0),"PENDIENTE: falta R'",IF($Q26&lt;=1,"CUMPLE","NO CUMPLE")))</f>
        <v/>
      </c>
    </row>
    <row r="27">
      <c r="B27" s="74" t="n"/>
      <c r="C27" s="74" t="n"/>
      <c r="D27" s="74" t="n"/>
      <c r="E27" s="74" t="n"/>
      <c r="F27" s="74" t="n"/>
      <c r="G27" s="75" t="n"/>
      <c r="H27" s="76" t="n"/>
      <c r="I27" s="77" t="n"/>
      <c r="J27" s="77" t="n"/>
      <c r="K27" s="77" t="n"/>
      <c r="M27" s="78" t="str">
        <f>IF($C27="","",IF(ISNUMBER(SEARCH(DATOS!$C$126,$C27)),"SV",IF(ISNUMBER(SEARCH(DATOS!$C$127,$C27)),"LD",IF(ISNUMBER(SEARCH(DATOS!$C$128,$C27)),"OI",""))))</f>
        <v/>
      </c>
      <c r="N27" s="78">
        <f>IF($M27="SV",DATOS!$C$101,IF($M27="LD",1,IF($M27="OI",DATOS!$C$100*DATOS!$C$89,0)))</f>
        <v>0</v>
      </c>
      <c r="O27" s="79">
        <f>IF($M27="",0,N($G27)*$N27)</f>
        <v>0</v>
      </c>
      <c r="P27" s="78" t="str">
        <f>IF($M27="SV",DATOS!$C$98,IF($M27="LD",DATOS!$C$103,IF($M27="OI",DATOS!$C$99,"")))</f>
        <v/>
      </c>
      <c r="Q27" s="80" t="str">
        <f>IF(OR($M27="",N($P27)=0),"",$O27/$P27)</f>
        <v/>
      </c>
      <c r="R27" s="78" t="str">
        <f>IF($M27="","",IF(AND($M27&lt;&gt;"LD",N(DATOS!$C$100)&lt;=0),"PENDIENTE: falta R'",IF($Q27&lt;=1,"CUMPLE","NO CUMPLE")))</f>
        <v/>
      </c>
    </row>
    <row r="28">
      <c r="B28" s="74" t="n"/>
      <c r="C28" s="74" t="n"/>
      <c r="D28" s="74" t="n"/>
      <c r="E28" s="74" t="n"/>
      <c r="F28" s="74" t="n"/>
      <c r="G28" s="75" t="n"/>
      <c r="H28" s="76" t="n"/>
      <c r="I28" s="77" t="n"/>
      <c r="J28" s="77" t="n"/>
      <c r="K28" s="77" t="n"/>
      <c r="M28" s="78" t="str">
        <f>IF($C28="","",IF(ISNUMBER(SEARCH(DATOS!$C$126,$C28)),"SV",IF(ISNUMBER(SEARCH(DATOS!$C$127,$C28)),"LD",IF(ISNUMBER(SEARCH(DATOS!$C$128,$C28)),"OI",""))))</f>
        <v/>
      </c>
      <c r="N28" s="78">
        <f>IF($M28="SV",DATOS!$C$101,IF($M28="LD",1,IF($M28="OI",DATOS!$C$100*DATOS!$C$89,0)))</f>
        <v>0</v>
      </c>
      <c r="O28" s="79">
        <f>IF($M28="",0,N($G28)*$N28)</f>
        <v>0</v>
      </c>
      <c r="P28" s="78" t="str">
        <f>IF($M28="SV",DATOS!$C$98,IF($M28="LD",DATOS!$C$103,IF($M28="OI",DATOS!$C$99,"")))</f>
        <v/>
      </c>
      <c r="Q28" s="80" t="str">
        <f>IF(OR($M28="",N($P28)=0),"",$O28/$P28)</f>
        <v/>
      </c>
      <c r="R28" s="78" t="str">
        <f>IF($M28="","",IF(AND($M28&lt;&gt;"LD",N(DATOS!$C$100)&lt;=0),"PENDIENTE: falta R'",IF($Q28&lt;=1,"CUMPLE","NO CUMPLE")))</f>
        <v/>
      </c>
    </row>
    <row r="29">
      <c r="B29" s="74" t="n"/>
      <c r="C29" s="74" t="n"/>
      <c r="D29" s="74" t="n"/>
      <c r="E29" s="74" t="n"/>
      <c r="F29" s="74" t="n"/>
      <c r="G29" s="75" t="n"/>
      <c r="H29" s="76" t="n"/>
      <c r="I29" s="77" t="n"/>
      <c r="J29" s="77" t="n"/>
      <c r="K29" s="77" t="n"/>
      <c r="M29" s="78" t="str">
        <f>IF($C29="","",IF(ISNUMBER(SEARCH(DATOS!$C$126,$C29)),"SV",IF(ISNUMBER(SEARCH(DATOS!$C$127,$C29)),"LD",IF(ISNUMBER(SEARCH(DATOS!$C$128,$C29)),"OI",""))))</f>
        <v/>
      </c>
      <c r="N29" s="78">
        <f>IF($M29="SV",DATOS!$C$101,IF($M29="LD",1,IF($M29="OI",DATOS!$C$100*DATOS!$C$89,0)))</f>
        <v>0</v>
      </c>
      <c r="O29" s="79">
        <f>IF($M29="",0,N($G29)*$N29)</f>
        <v>0</v>
      </c>
      <c r="P29" s="78" t="str">
        <f>IF($M29="SV",DATOS!$C$98,IF($M29="LD",DATOS!$C$103,IF($M29="OI",DATOS!$C$99,"")))</f>
        <v/>
      </c>
      <c r="Q29" s="80" t="str">
        <f>IF(OR($M29="",N($P29)=0),"",$O29/$P29)</f>
        <v/>
      </c>
      <c r="R29" s="78" t="str">
        <f>IF($M29="","",IF(AND($M29&lt;&gt;"LD",N(DATOS!$C$100)&lt;=0),"PENDIENTE: falta R'",IF($Q29&lt;=1,"CUMPLE","NO CUMPLE")))</f>
        <v/>
      </c>
    </row>
    <row r="30">
      <c r="B30" s="74" t="n"/>
      <c r="C30" s="74" t="n"/>
      <c r="D30" s="74" t="n"/>
      <c r="E30" s="74" t="n"/>
      <c r="F30" s="74" t="n"/>
      <c r="G30" s="75" t="n"/>
      <c r="H30" s="76" t="n"/>
      <c r="I30" s="77" t="n"/>
      <c r="J30" s="77" t="n"/>
      <c r="K30" s="77" t="n"/>
      <c r="M30" s="78" t="str">
        <f>IF($C30="","",IF(ISNUMBER(SEARCH(DATOS!$C$126,$C30)),"SV",IF(ISNUMBER(SEARCH(DATOS!$C$127,$C30)),"LD",IF(ISNUMBER(SEARCH(DATOS!$C$128,$C30)),"OI",""))))</f>
        <v/>
      </c>
      <c r="N30" s="78">
        <f>IF($M30="SV",DATOS!$C$101,IF($M30="LD",1,IF($M30="OI",DATOS!$C$100*DATOS!$C$89,0)))</f>
        <v>0</v>
      </c>
      <c r="O30" s="79">
        <f>IF($M30="",0,N($G30)*$N30)</f>
        <v>0</v>
      </c>
      <c r="P30" s="78" t="str">
        <f>IF($M30="SV",DATOS!$C$98,IF($M30="LD",DATOS!$C$103,IF($M30="OI",DATOS!$C$99,"")))</f>
        <v/>
      </c>
      <c r="Q30" s="80" t="str">
        <f>IF(OR($M30="",N($P30)=0),"",$O30/$P30)</f>
        <v/>
      </c>
      <c r="R30" s="78" t="str">
        <f>IF($M30="","",IF(AND($M30&lt;&gt;"LD",N(DATOS!$C$100)&lt;=0),"PENDIENTE: falta R'",IF($Q30&lt;=1,"CUMPLE","NO CUMPLE")))</f>
        <v/>
      </c>
    </row>
    <row r="31">
      <c r="B31" s="74" t="n"/>
      <c r="C31" s="74" t="n"/>
      <c r="D31" s="74" t="n"/>
      <c r="E31" s="74" t="n"/>
      <c r="F31" s="74" t="n"/>
      <c r="G31" s="75" t="n"/>
      <c r="H31" s="76" t="n"/>
      <c r="I31" s="77" t="n"/>
      <c r="J31" s="77" t="n"/>
      <c r="K31" s="77" t="n"/>
      <c r="M31" s="78" t="str">
        <f>IF($C31="","",IF(ISNUMBER(SEARCH(DATOS!$C$126,$C31)),"SV",IF(ISNUMBER(SEARCH(DATOS!$C$127,$C31)),"LD",IF(ISNUMBER(SEARCH(DATOS!$C$128,$C31)),"OI",""))))</f>
        <v/>
      </c>
      <c r="N31" s="78">
        <f>IF($M31="SV",DATOS!$C$101,IF($M31="LD",1,IF($M31="OI",DATOS!$C$100*DATOS!$C$89,0)))</f>
        <v>0</v>
      </c>
      <c r="O31" s="79">
        <f>IF($M31="",0,N($G31)*$N31)</f>
        <v>0</v>
      </c>
      <c r="P31" s="78" t="str">
        <f>IF($M31="SV",DATOS!$C$98,IF($M31="LD",DATOS!$C$103,IF($M31="OI",DATOS!$C$99,"")))</f>
        <v/>
      </c>
      <c r="Q31" s="80" t="str">
        <f>IF(OR($M31="",N($P31)=0),"",$O31/$P31)</f>
        <v/>
      </c>
      <c r="R31" s="78" t="str">
        <f>IF($M31="","",IF(AND($M31&lt;&gt;"LD",N(DATOS!$C$100)&lt;=0),"PENDIENTE: falta R'",IF($Q31&lt;=1,"CUMPLE","NO CUMPLE")))</f>
        <v/>
      </c>
    </row>
    <row r="32">
      <c r="B32" s="74" t="n"/>
      <c r="C32" s="74" t="n"/>
      <c r="D32" s="74" t="n"/>
      <c r="E32" s="74" t="n"/>
      <c r="F32" s="74" t="n"/>
      <c r="G32" s="75" t="n"/>
      <c r="H32" s="76" t="n"/>
      <c r="I32" s="77" t="n"/>
      <c r="J32" s="77" t="n"/>
      <c r="K32" s="77" t="n"/>
      <c r="M32" s="78" t="str">
        <f>IF($C32="","",IF(ISNUMBER(SEARCH(DATOS!$C$126,$C32)),"SV",IF(ISNUMBER(SEARCH(DATOS!$C$127,$C32)),"LD",IF(ISNUMBER(SEARCH(DATOS!$C$128,$C32)),"OI",""))))</f>
        <v/>
      </c>
      <c r="N32" s="78">
        <f>IF($M32="SV",DATOS!$C$101,IF($M32="LD",1,IF($M32="OI",DATOS!$C$100*DATOS!$C$89,0)))</f>
        <v>0</v>
      </c>
      <c r="O32" s="79">
        <f>IF($M32="",0,N($G32)*$N32)</f>
        <v>0</v>
      </c>
      <c r="P32" s="78" t="str">
        <f>IF($M32="SV",DATOS!$C$98,IF($M32="LD",DATOS!$C$103,IF($M32="OI",DATOS!$C$99,"")))</f>
        <v/>
      </c>
      <c r="Q32" s="80" t="str">
        <f>IF(OR($M32="",N($P32)=0),"",$O32/$P32)</f>
        <v/>
      </c>
      <c r="R32" s="78" t="str">
        <f>IF($M32="","",IF(AND($M32&lt;&gt;"LD",N(DATOS!$C$100)&lt;=0),"PENDIENTE: falta R'",IF($Q32&lt;=1,"CUMPLE","NO CUMPLE")))</f>
        <v/>
      </c>
    </row>
    <row r="33">
      <c r="B33" s="74" t="n"/>
      <c r="C33" s="74" t="n"/>
      <c r="D33" s="74" t="n"/>
      <c r="E33" s="74" t="n"/>
      <c r="F33" s="74" t="n"/>
      <c r="G33" s="75" t="n"/>
      <c r="H33" s="76" t="n"/>
      <c r="I33" s="77" t="n"/>
      <c r="J33" s="77" t="n"/>
      <c r="K33" s="77" t="n"/>
      <c r="M33" s="78" t="str">
        <f>IF($C33="","",IF(ISNUMBER(SEARCH(DATOS!$C$126,$C33)),"SV",IF(ISNUMBER(SEARCH(DATOS!$C$127,$C33)),"LD",IF(ISNUMBER(SEARCH(DATOS!$C$128,$C33)),"OI",""))))</f>
        <v/>
      </c>
      <c r="N33" s="78">
        <f>IF($M33="SV",DATOS!$C$101,IF($M33="LD",1,IF($M33="OI",DATOS!$C$100*DATOS!$C$89,0)))</f>
        <v>0</v>
      </c>
      <c r="O33" s="79">
        <f>IF($M33="",0,N($G33)*$N33)</f>
        <v>0</v>
      </c>
      <c r="P33" s="78" t="str">
        <f>IF($M33="SV",DATOS!$C$98,IF($M33="LD",DATOS!$C$103,IF($M33="OI",DATOS!$C$99,"")))</f>
        <v/>
      </c>
      <c r="Q33" s="80" t="str">
        <f>IF(OR($M33="",N($P33)=0),"",$O33/$P33)</f>
        <v/>
      </c>
      <c r="R33" s="78" t="str">
        <f>IF($M33="","",IF(AND($M33&lt;&gt;"LD",N(DATOS!$C$100)&lt;=0),"PENDIENTE: falta R'",IF($Q33&lt;=1,"CUMPLE","NO CUMPLE")))</f>
        <v/>
      </c>
    </row>
    <row r="34">
      <c r="B34" s="74" t="n"/>
      <c r="C34" s="74" t="n"/>
      <c r="D34" s="74" t="n"/>
      <c r="E34" s="74" t="n"/>
      <c r="F34" s="74" t="n"/>
      <c r="G34" s="75" t="n"/>
      <c r="H34" s="76" t="n"/>
      <c r="I34" s="77" t="n"/>
      <c r="J34" s="77" t="n"/>
      <c r="K34" s="77" t="n"/>
      <c r="M34" s="78" t="str">
        <f>IF($C34="","",IF(ISNUMBER(SEARCH(DATOS!$C$126,$C34)),"SV",IF(ISNUMBER(SEARCH(DATOS!$C$127,$C34)),"LD",IF(ISNUMBER(SEARCH(DATOS!$C$128,$C34)),"OI",""))))</f>
        <v/>
      </c>
      <c r="N34" s="78">
        <f>IF($M34="SV",DATOS!$C$101,IF($M34="LD",1,IF($M34="OI",DATOS!$C$100*DATOS!$C$89,0)))</f>
        <v>0</v>
      </c>
      <c r="O34" s="79">
        <f>IF($M34="",0,N($G34)*$N34)</f>
        <v>0</v>
      </c>
      <c r="P34" s="78" t="str">
        <f>IF($M34="SV",DATOS!$C$98,IF($M34="LD",DATOS!$C$103,IF($M34="OI",DATOS!$C$99,"")))</f>
        <v/>
      </c>
      <c r="Q34" s="80" t="str">
        <f>IF(OR($M34="",N($P34)=0),"",$O34/$P34)</f>
        <v/>
      </c>
      <c r="R34" s="78" t="str">
        <f>IF($M34="","",IF(AND($M34&lt;&gt;"LD",N(DATOS!$C$100)&lt;=0),"PENDIENTE: falta R'",IF($Q34&lt;=1,"CUMPLE","NO CUMPLE")))</f>
        <v/>
      </c>
    </row>
    <row r="35">
      <c r="B35" s="74" t="n"/>
      <c r="C35" s="74" t="n"/>
      <c r="D35" s="74" t="n"/>
      <c r="E35" s="74" t="n"/>
      <c r="F35" s="74" t="n"/>
      <c r="G35" s="75" t="n"/>
      <c r="H35" s="76" t="n"/>
      <c r="I35" s="77" t="n"/>
      <c r="J35" s="77" t="n"/>
      <c r="K35" s="77" t="n"/>
      <c r="M35" s="78" t="str">
        <f>IF($C35="","",IF(ISNUMBER(SEARCH(DATOS!$C$126,$C35)),"SV",IF(ISNUMBER(SEARCH(DATOS!$C$127,$C35)),"LD",IF(ISNUMBER(SEARCH(DATOS!$C$128,$C35)),"OI",""))))</f>
        <v/>
      </c>
      <c r="N35" s="78">
        <f>IF($M35="SV",DATOS!$C$101,IF($M35="LD",1,IF($M35="OI",DATOS!$C$100*DATOS!$C$89,0)))</f>
        <v>0</v>
      </c>
      <c r="O35" s="79">
        <f>IF($M35="",0,N($G35)*$N35)</f>
        <v>0</v>
      </c>
      <c r="P35" s="78" t="str">
        <f>IF($M35="SV",DATOS!$C$98,IF($M35="LD",DATOS!$C$103,IF($M35="OI",DATOS!$C$99,"")))</f>
        <v/>
      </c>
      <c r="Q35" s="80" t="str">
        <f>IF(OR($M35="",N($P35)=0),"",$O35/$P35)</f>
        <v/>
      </c>
      <c r="R35" s="78" t="str">
        <f>IF($M35="","",IF(AND($M35&lt;&gt;"LD",N(DATOS!$C$100)&lt;=0),"PENDIENTE: falta R'",IF($Q35&lt;=1,"CUMPLE","NO CUMPLE")))</f>
        <v/>
      </c>
    </row>
    <row r="36">
      <c r="B36" s="74" t="n"/>
      <c r="C36" s="74" t="n"/>
      <c r="D36" s="74" t="n"/>
      <c r="E36" s="74" t="n"/>
      <c r="F36" s="74" t="n"/>
      <c r="G36" s="75" t="n"/>
      <c r="H36" s="76" t="n"/>
      <c r="I36" s="77" t="n"/>
      <c r="J36" s="77" t="n"/>
      <c r="K36" s="77" t="n"/>
      <c r="M36" s="78" t="str">
        <f>IF($C36="","",IF(ISNUMBER(SEARCH(DATOS!$C$126,$C36)),"SV",IF(ISNUMBER(SEARCH(DATOS!$C$127,$C36)),"LD",IF(ISNUMBER(SEARCH(DATOS!$C$128,$C36)),"OI",""))))</f>
        <v/>
      </c>
      <c r="N36" s="78">
        <f>IF($M36="SV",DATOS!$C$101,IF($M36="LD",1,IF($M36="OI",DATOS!$C$100*DATOS!$C$89,0)))</f>
        <v>0</v>
      </c>
      <c r="O36" s="79">
        <f>IF($M36="",0,N($G36)*$N36)</f>
        <v>0</v>
      </c>
      <c r="P36" s="78" t="str">
        <f>IF($M36="SV",DATOS!$C$98,IF($M36="LD",DATOS!$C$103,IF($M36="OI",DATOS!$C$99,"")))</f>
        <v/>
      </c>
      <c r="Q36" s="80" t="str">
        <f>IF(OR($M36="",N($P36)=0),"",$O36/$P36)</f>
        <v/>
      </c>
      <c r="R36" s="78" t="str">
        <f>IF($M36="","",IF(AND($M36&lt;&gt;"LD",N(DATOS!$C$100)&lt;=0),"PENDIENTE: falta R'",IF($Q36&lt;=1,"CUMPLE","NO CUMPLE")))</f>
        <v/>
      </c>
    </row>
    <row r="37">
      <c r="B37" s="74" t="n"/>
      <c r="C37" s="74" t="n"/>
      <c r="D37" s="74" t="n"/>
      <c r="E37" s="74" t="n"/>
      <c r="F37" s="74" t="n"/>
      <c r="G37" s="75" t="n"/>
      <c r="H37" s="76" t="n"/>
      <c r="I37" s="77" t="n"/>
      <c r="J37" s="77" t="n"/>
      <c r="K37" s="77" t="n"/>
      <c r="M37" s="78" t="str">
        <f>IF($C37="","",IF(ISNUMBER(SEARCH(DATOS!$C$126,$C37)),"SV",IF(ISNUMBER(SEARCH(DATOS!$C$127,$C37)),"LD",IF(ISNUMBER(SEARCH(DATOS!$C$128,$C37)),"OI",""))))</f>
        <v/>
      </c>
      <c r="N37" s="78">
        <f>IF($M37="SV",DATOS!$C$101,IF($M37="LD",1,IF($M37="OI",DATOS!$C$100*DATOS!$C$89,0)))</f>
        <v>0</v>
      </c>
      <c r="O37" s="79">
        <f>IF($M37="",0,N($G37)*$N37)</f>
        <v>0</v>
      </c>
      <c r="P37" s="78" t="str">
        <f>IF($M37="SV",DATOS!$C$98,IF($M37="LD",DATOS!$C$103,IF($M37="OI",DATOS!$C$99,"")))</f>
        <v/>
      </c>
      <c r="Q37" s="80" t="str">
        <f>IF(OR($M37="",N($P37)=0),"",$O37/$P37)</f>
        <v/>
      </c>
      <c r="R37" s="78" t="str">
        <f>IF($M37="","",IF(AND($M37&lt;&gt;"LD",N(DATOS!$C$100)&lt;=0),"PENDIENTE: falta R'",IF($Q37&lt;=1,"CUMPLE","NO CUMPLE")))</f>
        <v/>
      </c>
    </row>
    <row r="38">
      <c r="B38" s="74" t="n"/>
      <c r="C38" s="74" t="n"/>
      <c r="D38" s="74" t="n"/>
      <c r="E38" s="74" t="n"/>
      <c r="F38" s="74" t="n"/>
      <c r="G38" s="75" t="n"/>
      <c r="H38" s="76" t="n"/>
      <c r="I38" s="77" t="n"/>
      <c r="J38" s="77" t="n"/>
      <c r="K38" s="77" t="n"/>
      <c r="M38" s="78" t="str">
        <f>IF($C38="","",IF(ISNUMBER(SEARCH(DATOS!$C$126,$C38)),"SV",IF(ISNUMBER(SEARCH(DATOS!$C$127,$C38)),"LD",IF(ISNUMBER(SEARCH(DATOS!$C$128,$C38)),"OI",""))))</f>
        <v/>
      </c>
      <c r="N38" s="78">
        <f>IF($M38="SV",DATOS!$C$101,IF($M38="LD",1,IF($M38="OI",DATOS!$C$100*DATOS!$C$89,0)))</f>
        <v>0</v>
      </c>
      <c r="O38" s="79">
        <f>IF($M38="",0,N($G38)*$N38)</f>
        <v>0</v>
      </c>
      <c r="P38" s="78" t="str">
        <f>IF($M38="SV",DATOS!$C$98,IF($M38="LD",DATOS!$C$103,IF($M38="OI",DATOS!$C$99,"")))</f>
        <v/>
      </c>
      <c r="Q38" s="80" t="str">
        <f>IF(OR($M38="",N($P38)=0),"",$O38/$P38)</f>
        <v/>
      </c>
      <c r="R38" s="78" t="str">
        <f>IF($M38="","",IF(AND($M38&lt;&gt;"LD",N(DATOS!$C$100)&lt;=0),"PENDIENTE: falta R'",IF($Q38&lt;=1,"CUMPLE","NO CUMPLE")))</f>
        <v/>
      </c>
    </row>
    <row r="39">
      <c r="B39" s="74" t="n"/>
      <c r="C39" s="74" t="n"/>
      <c r="D39" s="74" t="n"/>
      <c r="E39" s="74" t="n"/>
      <c r="F39" s="74" t="n"/>
      <c r="G39" s="75" t="n"/>
      <c r="H39" s="76" t="n"/>
      <c r="I39" s="77" t="n"/>
      <c r="J39" s="77" t="n"/>
      <c r="K39" s="77" t="n"/>
      <c r="M39" s="78" t="str">
        <f>IF($C39="","",IF(ISNUMBER(SEARCH(DATOS!$C$126,$C39)),"SV",IF(ISNUMBER(SEARCH(DATOS!$C$127,$C39)),"LD",IF(ISNUMBER(SEARCH(DATOS!$C$128,$C39)),"OI",""))))</f>
        <v/>
      </c>
      <c r="N39" s="78">
        <f>IF($M39="SV",DATOS!$C$101,IF($M39="LD",1,IF($M39="OI",DATOS!$C$100*DATOS!$C$89,0)))</f>
        <v>0</v>
      </c>
      <c r="O39" s="79">
        <f>IF($M39="",0,N($G39)*$N39)</f>
        <v>0</v>
      </c>
      <c r="P39" s="78" t="str">
        <f>IF($M39="SV",DATOS!$C$98,IF($M39="LD",DATOS!$C$103,IF($M39="OI",DATOS!$C$99,"")))</f>
        <v/>
      </c>
      <c r="Q39" s="80" t="str">
        <f>IF(OR($M39="",N($P39)=0),"",$O39/$P39)</f>
        <v/>
      </c>
      <c r="R39" s="78" t="str">
        <f>IF($M39="","",IF(AND($M39&lt;&gt;"LD",N(DATOS!$C$100)&lt;=0),"PENDIENTE: falta R'",IF($Q39&lt;=1,"CUMPLE","NO CUMPLE")))</f>
        <v/>
      </c>
    </row>
    <row r="40">
      <c r="B40" s="74" t="n"/>
      <c r="C40" s="74" t="n"/>
      <c r="D40" s="74" t="n"/>
      <c r="E40" s="74" t="n"/>
      <c r="F40" s="74" t="n"/>
      <c r="G40" s="75" t="n"/>
      <c r="H40" s="76" t="n"/>
      <c r="I40" s="77" t="n"/>
      <c r="J40" s="77" t="n"/>
      <c r="K40" s="77" t="n"/>
      <c r="M40" s="78" t="str">
        <f>IF($C40="","",IF(ISNUMBER(SEARCH(DATOS!$C$126,$C40)),"SV",IF(ISNUMBER(SEARCH(DATOS!$C$127,$C40)),"LD",IF(ISNUMBER(SEARCH(DATOS!$C$128,$C40)),"OI",""))))</f>
        <v/>
      </c>
      <c r="N40" s="78">
        <f>IF($M40="SV",DATOS!$C$101,IF($M40="LD",1,IF($M40="OI",DATOS!$C$100*DATOS!$C$89,0)))</f>
        <v>0</v>
      </c>
      <c r="O40" s="79">
        <f>IF($M40="",0,N($G40)*$N40)</f>
        <v>0</v>
      </c>
      <c r="P40" s="78" t="str">
        <f>IF($M40="SV",DATOS!$C$98,IF($M40="LD",DATOS!$C$103,IF($M40="OI",DATOS!$C$99,"")))</f>
        <v/>
      </c>
      <c r="Q40" s="80" t="str">
        <f>IF(OR($M40="",N($P40)=0),"",$O40/$P40)</f>
        <v/>
      </c>
      <c r="R40" s="78" t="str">
        <f>IF($M40="","",IF(AND($M40&lt;&gt;"LD",N(DATOS!$C$100)&lt;=0),"PENDIENTE: falta R'",IF($Q40&lt;=1,"CUMPLE","NO CUMPLE")))</f>
        <v/>
      </c>
    </row>
    <row r="41">
      <c r="B41" s="74" t="n"/>
      <c r="C41" s="74" t="n"/>
      <c r="D41" s="74" t="n"/>
      <c r="E41" s="74" t="n"/>
      <c r="F41" s="74" t="n"/>
      <c r="G41" s="75" t="n"/>
      <c r="H41" s="76" t="n"/>
      <c r="I41" s="77" t="n"/>
      <c r="J41" s="77" t="n"/>
      <c r="K41" s="77" t="n"/>
      <c r="M41" s="78" t="str">
        <f>IF($C41="","",IF(ISNUMBER(SEARCH(DATOS!$C$126,$C41)),"SV",IF(ISNUMBER(SEARCH(DATOS!$C$127,$C41)),"LD",IF(ISNUMBER(SEARCH(DATOS!$C$128,$C41)),"OI",""))))</f>
        <v/>
      </c>
      <c r="N41" s="78">
        <f>IF($M41="SV",DATOS!$C$101,IF($M41="LD",1,IF($M41="OI",DATOS!$C$100*DATOS!$C$89,0)))</f>
        <v>0</v>
      </c>
      <c r="O41" s="79">
        <f>IF($M41="",0,N($G41)*$N41)</f>
        <v>0</v>
      </c>
      <c r="P41" s="78" t="str">
        <f>IF($M41="SV",DATOS!$C$98,IF($M41="LD",DATOS!$C$103,IF($M41="OI",DATOS!$C$99,"")))</f>
        <v/>
      </c>
      <c r="Q41" s="80" t="str">
        <f>IF(OR($M41="",N($P41)=0),"",$O41/$P41)</f>
        <v/>
      </c>
      <c r="R41" s="78" t="str">
        <f>IF($M41="","",IF(AND($M41&lt;&gt;"LD",N(DATOS!$C$100)&lt;=0),"PENDIENTE: falta R'",IF($Q41&lt;=1,"CUMPLE","NO CUMPLE")))</f>
        <v/>
      </c>
    </row>
    <row r="42">
      <c r="B42" s="74" t="n"/>
      <c r="C42" s="74" t="n"/>
      <c r="D42" s="74" t="n"/>
      <c r="E42" s="74" t="n"/>
      <c r="F42" s="74" t="n"/>
      <c r="G42" s="75" t="n"/>
      <c r="H42" s="76" t="n"/>
      <c r="I42" s="77" t="n"/>
      <c r="J42" s="77" t="n"/>
      <c r="K42" s="77" t="n"/>
      <c r="M42" s="78" t="str">
        <f>IF($C42="","",IF(ISNUMBER(SEARCH(DATOS!$C$126,$C42)),"SV",IF(ISNUMBER(SEARCH(DATOS!$C$127,$C42)),"LD",IF(ISNUMBER(SEARCH(DATOS!$C$128,$C42)),"OI",""))))</f>
        <v/>
      </c>
      <c r="N42" s="78">
        <f>IF($M42="SV",DATOS!$C$101,IF($M42="LD",1,IF($M42="OI",DATOS!$C$100*DATOS!$C$89,0)))</f>
        <v>0</v>
      </c>
      <c r="O42" s="79">
        <f>IF($M42="",0,N($G42)*$N42)</f>
        <v>0</v>
      </c>
      <c r="P42" s="78" t="str">
        <f>IF($M42="SV",DATOS!$C$98,IF($M42="LD",DATOS!$C$103,IF($M42="OI",DATOS!$C$99,"")))</f>
        <v/>
      </c>
      <c r="Q42" s="80" t="str">
        <f>IF(OR($M42="",N($P42)=0),"",$O42/$P42)</f>
        <v/>
      </c>
      <c r="R42" s="78" t="str">
        <f>IF($M42="","",IF(AND($M42&lt;&gt;"LD",N(DATOS!$C$100)&lt;=0),"PENDIENTE: falta R'",IF($Q42&lt;=1,"CUMPLE","NO CUMPLE")))</f>
        <v/>
      </c>
    </row>
    <row r="43">
      <c r="B43" s="74" t="n"/>
      <c r="C43" s="74" t="n"/>
      <c r="D43" s="74" t="n"/>
      <c r="E43" s="74" t="n"/>
      <c r="F43" s="74" t="n"/>
      <c r="G43" s="75" t="n"/>
      <c r="H43" s="76" t="n"/>
      <c r="I43" s="77" t="n"/>
      <c r="J43" s="77" t="n"/>
      <c r="K43" s="77" t="n"/>
      <c r="M43" s="78" t="str">
        <f>IF($C43="","",IF(ISNUMBER(SEARCH(DATOS!$C$126,$C43)),"SV",IF(ISNUMBER(SEARCH(DATOS!$C$127,$C43)),"LD",IF(ISNUMBER(SEARCH(DATOS!$C$128,$C43)),"OI",""))))</f>
        <v/>
      </c>
      <c r="N43" s="78">
        <f>IF($M43="SV",DATOS!$C$101,IF($M43="LD",1,IF($M43="OI",DATOS!$C$100*DATOS!$C$89,0)))</f>
        <v>0</v>
      </c>
      <c r="O43" s="79">
        <f>IF($M43="",0,N($G43)*$N43)</f>
        <v>0</v>
      </c>
      <c r="P43" s="78" t="str">
        <f>IF($M43="SV",DATOS!$C$98,IF($M43="LD",DATOS!$C$103,IF($M43="OI",DATOS!$C$99,"")))</f>
        <v/>
      </c>
      <c r="Q43" s="80" t="str">
        <f>IF(OR($M43="",N($P43)=0),"",$O43/$P43)</f>
        <v/>
      </c>
      <c r="R43" s="78" t="str">
        <f>IF($M43="","",IF(AND($M43&lt;&gt;"LD",N(DATOS!$C$100)&lt;=0),"PENDIENTE: falta R'",IF($Q43&lt;=1,"CUMPLE","NO CUMPLE")))</f>
        <v/>
      </c>
    </row>
    <row r="44">
      <c r="B44" s="74" t="n"/>
      <c r="C44" s="74" t="n"/>
      <c r="D44" s="74" t="n"/>
      <c r="E44" s="74" t="n"/>
      <c r="F44" s="74" t="n"/>
      <c r="G44" s="75" t="n"/>
      <c r="H44" s="76" t="n"/>
      <c r="I44" s="77" t="n"/>
      <c r="J44" s="77" t="n"/>
      <c r="K44" s="77" t="n"/>
      <c r="M44" s="78" t="str">
        <f>IF($C44="","",IF(ISNUMBER(SEARCH(DATOS!$C$126,$C44)),"SV",IF(ISNUMBER(SEARCH(DATOS!$C$127,$C44)),"LD",IF(ISNUMBER(SEARCH(DATOS!$C$128,$C44)),"OI",""))))</f>
        <v/>
      </c>
      <c r="N44" s="78">
        <f>IF($M44="SV",DATOS!$C$101,IF($M44="LD",1,IF($M44="OI",DATOS!$C$100*DATOS!$C$89,0)))</f>
        <v>0</v>
      </c>
      <c r="O44" s="79">
        <f>IF($M44="",0,N($G44)*$N44)</f>
        <v>0</v>
      </c>
      <c r="P44" s="78" t="str">
        <f>IF($M44="SV",DATOS!$C$98,IF($M44="LD",DATOS!$C$103,IF($M44="OI",DATOS!$C$99,"")))</f>
        <v/>
      </c>
      <c r="Q44" s="80" t="str">
        <f>IF(OR($M44="",N($P44)=0),"",$O44/$P44)</f>
        <v/>
      </c>
      <c r="R44" s="78" t="str">
        <f>IF($M44="","",IF(AND($M44&lt;&gt;"LD",N(DATOS!$C$100)&lt;=0),"PENDIENTE: falta R'",IF($Q44&lt;=1,"CUMPLE","NO CUMPLE")))</f>
        <v/>
      </c>
    </row>
    <row r="45">
      <c r="B45" s="74" t="n"/>
      <c r="C45" s="74" t="n"/>
      <c r="D45" s="74" t="n"/>
      <c r="E45" s="74" t="n"/>
      <c r="F45" s="74" t="n"/>
      <c r="G45" s="75" t="n"/>
      <c r="H45" s="76" t="n"/>
      <c r="I45" s="77" t="n"/>
      <c r="J45" s="77" t="n"/>
      <c r="K45" s="77" t="n"/>
      <c r="M45" s="78" t="str">
        <f>IF($C45="","",IF(ISNUMBER(SEARCH(DATOS!$C$126,$C45)),"SV",IF(ISNUMBER(SEARCH(DATOS!$C$127,$C45)),"LD",IF(ISNUMBER(SEARCH(DATOS!$C$128,$C45)),"OI",""))))</f>
        <v/>
      </c>
      <c r="N45" s="78">
        <f>IF($M45="SV",DATOS!$C$101,IF($M45="LD",1,IF($M45="OI",DATOS!$C$100*DATOS!$C$89,0)))</f>
        <v>0</v>
      </c>
      <c r="O45" s="79">
        <f>IF($M45="",0,N($G45)*$N45)</f>
        <v>0</v>
      </c>
      <c r="P45" s="78" t="str">
        <f>IF($M45="SV",DATOS!$C$98,IF($M45="LD",DATOS!$C$103,IF($M45="OI",DATOS!$C$99,"")))</f>
        <v/>
      </c>
      <c r="Q45" s="80" t="str">
        <f>IF(OR($M45="",N($P45)=0),"",$O45/$P45)</f>
        <v/>
      </c>
      <c r="R45" s="78" t="str">
        <f>IF($M45="","",IF(AND($M45&lt;&gt;"LD",N(DATOS!$C$100)&lt;=0),"PENDIENTE: falta R'",IF($Q45&lt;=1,"CUMPLE","NO CUMPLE")))</f>
        <v/>
      </c>
    </row>
    <row r="46">
      <c r="B46" s="74" t="n"/>
      <c r="C46" s="74" t="n"/>
      <c r="D46" s="74" t="n"/>
      <c r="E46" s="74" t="n"/>
      <c r="F46" s="74" t="n"/>
      <c r="G46" s="75" t="n"/>
      <c r="H46" s="76" t="n"/>
      <c r="I46" s="77" t="n"/>
      <c r="J46" s="77" t="n"/>
      <c r="K46" s="77" t="n"/>
      <c r="M46" s="78" t="str">
        <f>IF($C46="","",IF(ISNUMBER(SEARCH(DATOS!$C$126,$C46)),"SV",IF(ISNUMBER(SEARCH(DATOS!$C$127,$C46)),"LD",IF(ISNUMBER(SEARCH(DATOS!$C$128,$C46)),"OI",""))))</f>
        <v/>
      </c>
      <c r="N46" s="78">
        <f>IF($M46="SV",DATOS!$C$101,IF($M46="LD",1,IF($M46="OI",DATOS!$C$100*DATOS!$C$89,0)))</f>
        <v>0</v>
      </c>
      <c r="O46" s="79">
        <f>IF($M46="",0,N($G46)*$N46)</f>
        <v>0</v>
      </c>
      <c r="P46" s="78" t="str">
        <f>IF($M46="SV",DATOS!$C$98,IF($M46="LD",DATOS!$C$103,IF($M46="OI",DATOS!$C$99,"")))</f>
        <v/>
      </c>
      <c r="Q46" s="80" t="str">
        <f>IF(OR($M46="",N($P46)=0),"",$O46/$P46)</f>
        <v/>
      </c>
      <c r="R46" s="78" t="str">
        <f>IF($M46="","",IF(AND($M46&lt;&gt;"LD",N(DATOS!$C$100)&lt;=0),"PENDIENTE: falta R'",IF($Q46&lt;=1,"CUMPLE","NO CUMPLE")))</f>
        <v/>
      </c>
    </row>
    <row r="47">
      <c r="B47" s="74" t="n"/>
      <c r="C47" s="74" t="n"/>
      <c r="D47" s="74" t="n"/>
      <c r="E47" s="74" t="n"/>
      <c r="F47" s="74" t="n"/>
      <c r="G47" s="75" t="n"/>
      <c r="H47" s="76" t="n"/>
      <c r="I47" s="77" t="n"/>
      <c r="J47" s="77" t="n"/>
      <c r="K47" s="77" t="n"/>
      <c r="M47" s="78" t="str">
        <f>IF($C47="","",IF(ISNUMBER(SEARCH(DATOS!$C$126,$C47)),"SV",IF(ISNUMBER(SEARCH(DATOS!$C$127,$C47)),"LD",IF(ISNUMBER(SEARCH(DATOS!$C$128,$C47)),"OI",""))))</f>
        <v/>
      </c>
      <c r="N47" s="78">
        <f>IF($M47="SV",DATOS!$C$101,IF($M47="LD",1,IF($M47="OI",DATOS!$C$100*DATOS!$C$89,0)))</f>
        <v>0</v>
      </c>
      <c r="O47" s="79">
        <f>IF($M47="",0,N($G47)*$N47)</f>
        <v>0</v>
      </c>
      <c r="P47" s="78" t="str">
        <f>IF($M47="SV",DATOS!$C$98,IF($M47="LD",DATOS!$C$103,IF($M47="OI",DATOS!$C$99,"")))</f>
        <v/>
      </c>
      <c r="Q47" s="80" t="str">
        <f>IF(OR($M47="",N($P47)=0),"",$O47/$P47)</f>
        <v/>
      </c>
      <c r="R47" s="78" t="str">
        <f>IF($M47="","",IF(AND($M47&lt;&gt;"LD",N(DATOS!$C$100)&lt;=0),"PENDIENTE: falta R'",IF($Q47&lt;=1,"CUMPLE","NO CUMPLE")))</f>
        <v/>
      </c>
    </row>
    <row r="48">
      <c r="B48" s="74" t="n"/>
      <c r="C48" s="74" t="n"/>
      <c r="D48" s="74" t="n"/>
      <c r="E48" s="74" t="n"/>
      <c r="F48" s="74" t="n"/>
      <c r="G48" s="75" t="n"/>
      <c r="H48" s="76" t="n"/>
      <c r="I48" s="77" t="n"/>
      <c r="J48" s="77" t="n"/>
      <c r="K48" s="77" t="n"/>
      <c r="M48" s="78" t="str">
        <f>IF($C48="","",IF(ISNUMBER(SEARCH(DATOS!$C$126,$C48)),"SV",IF(ISNUMBER(SEARCH(DATOS!$C$127,$C48)),"LD",IF(ISNUMBER(SEARCH(DATOS!$C$128,$C48)),"OI",""))))</f>
        <v/>
      </c>
      <c r="N48" s="78">
        <f>IF($M48="SV",DATOS!$C$101,IF($M48="LD",1,IF($M48="OI",DATOS!$C$100*DATOS!$C$89,0)))</f>
        <v>0</v>
      </c>
      <c r="O48" s="79">
        <f>IF($M48="",0,N($G48)*$N48)</f>
        <v>0</v>
      </c>
      <c r="P48" s="78" t="str">
        <f>IF($M48="SV",DATOS!$C$98,IF($M48="LD",DATOS!$C$103,IF($M48="OI",DATOS!$C$99,"")))</f>
        <v/>
      </c>
      <c r="Q48" s="80" t="str">
        <f>IF(OR($M48="",N($P48)=0),"",$O48/$P48)</f>
        <v/>
      </c>
      <c r="R48" s="78" t="str">
        <f>IF($M48="","",IF(AND($M48&lt;&gt;"LD",N(DATOS!$C$100)&lt;=0),"PENDIENTE: falta R'",IF($Q48&lt;=1,"CUMPLE","NO CUMPLE")))</f>
        <v/>
      </c>
    </row>
    <row r="49">
      <c r="B49" s="74" t="n"/>
      <c r="C49" s="74" t="n"/>
      <c r="D49" s="74" t="n"/>
      <c r="E49" s="74" t="n"/>
      <c r="F49" s="74" t="n"/>
      <c r="G49" s="75" t="n"/>
      <c r="H49" s="76" t="n"/>
      <c r="I49" s="77" t="n"/>
      <c r="J49" s="77" t="n"/>
      <c r="K49" s="77" t="n"/>
      <c r="M49" s="78" t="str">
        <f>IF($C49="","",IF(ISNUMBER(SEARCH(DATOS!$C$126,$C49)),"SV",IF(ISNUMBER(SEARCH(DATOS!$C$127,$C49)),"LD",IF(ISNUMBER(SEARCH(DATOS!$C$128,$C49)),"OI",""))))</f>
        <v/>
      </c>
      <c r="N49" s="78">
        <f>IF($M49="SV",DATOS!$C$101,IF($M49="LD",1,IF($M49="OI",DATOS!$C$100*DATOS!$C$89,0)))</f>
        <v>0</v>
      </c>
      <c r="O49" s="79">
        <f>IF($M49="",0,N($G49)*$N49)</f>
        <v>0</v>
      </c>
      <c r="P49" s="78" t="str">
        <f>IF($M49="SV",DATOS!$C$98,IF($M49="LD",DATOS!$C$103,IF($M49="OI",DATOS!$C$99,"")))</f>
        <v/>
      </c>
      <c r="Q49" s="80" t="str">
        <f>IF(OR($M49="",N($P49)=0),"",$O49/$P49)</f>
        <v/>
      </c>
      <c r="R49" s="78" t="str">
        <f>IF($M49="","",IF(AND($M49&lt;&gt;"LD",N(DATOS!$C$100)&lt;=0),"PENDIENTE: falta R'",IF($Q49&lt;=1,"CUMPLE","NO CUMPLE")))</f>
        <v/>
      </c>
    </row>
    <row r="50">
      <c r="B50" s="74" t="n"/>
      <c r="C50" s="74" t="n"/>
      <c r="D50" s="74" t="n"/>
      <c r="E50" s="74" t="n"/>
      <c r="F50" s="74" t="n"/>
      <c r="G50" s="75" t="n"/>
      <c r="H50" s="76" t="n"/>
      <c r="I50" s="77" t="n"/>
      <c r="J50" s="77" t="n"/>
      <c r="K50" s="77" t="n"/>
      <c r="M50" s="78" t="str">
        <f>IF($C50="","",IF(ISNUMBER(SEARCH(DATOS!$C$126,$C50)),"SV",IF(ISNUMBER(SEARCH(DATOS!$C$127,$C50)),"LD",IF(ISNUMBER(SEARCH(DATOS!$C$128,$C50)),"OI",""))))</f>
        <v/>
      </c>
      <c r="N50" s="78">
        <f>IF($M50="SV",DATOS!$C$101,IF($M50="LD",1,IF($M50="OI",DATOS!$C$100*DATOS!$C$89,0)))</f>
        <v>0</v>
      </c>
      <c r="O50" s="79">
        <f>IF($M50="",0,N($G50)*$N50)</f>
        <v>0</v>
      </c>
      <c r="P50" s="78" t="str">
        <f>IF($M50="SV",DATOS!$C$98,IF($M50="LD",DATOS!$C$103,IF($M50="OI",DATOS!$C$99,"")))</f>
        <v/>
      </c>
      <c r="Q50" s="80" t="str">
        <f>IF(OR($M50="",N($P50)=0),"",$O50/$P50)</f>
        <v/>
      </c>
      <c r="R50" s="78" t="str">
        <f>IF($M50="","",IF(AND($M50&lt;&gt;"LD",N(DATOS!$C$100)&lt;=0),"PENDIENTE: falta R'",IF($Q50&lt;=1,"CUMPLE","NO CUMPLE")))</f>
        <v/>
      </c>
    </row>
    <row r="51">
      <c r="B51" s="74" t="n"/>
      <c r="C51" s="74" t="n"/>
      <c r="D51" s="74" t="n"/>
      <c r="E51" s="74" t="n"/>
      <c r="F51" s="74" t="n"/>
      <c r="G51" s="75" t="n"/>
      <c r="H51" s="76" t="n"/>
      <c r="I51" s="77" t="n"/>
      <c r="J51" s="77" t="n"/>
      <c r="K51" s="77" t="n"/>
      <c r="M51" s="78" t="str">
        <f>IF($C51="","",IF(ISNUMBER(SEARCH(DATOS!$C$126,$C51)),"SV",IF(ISNUMBER(SEARCH(DATOS!$C$127,$C51)),"LD",IF(ISNUMBER(SEARCH(DATOS!$C$128,$C51)),"OI",""))))</f>
        <v/>
      </c>
      <c r="N51" s="78">
        <f>IF($M51="SV",DATOS!$C$101,IF($M51="LD",1,IF($M51="OI",DATOS!$C$100*DATOS!$C$89,0)))</f>
        <v>0</v>
      </c>
      <c r="O51" s="79">
        <f>IF($M51="",0,N($G51)*$N51)</f>
        <v>0</v>
      </c>
      <c r="P51" s="78" t="str">
        <f>IF($M51="SV",DATOS!$C$98,IF($M51="LD",DATOS!$C$103,IF($M51="OI",DATOS!$C$99,"")))</f>
        <v/>
      </c>
      <c r="Q51" s="80" t="str">
        <f>IF(OR($M51="",N($P51)=0),"",$O51/$P51)</f>
        <v/>
      </c>
      <c r="R51" s="78" t="str">
        <f>IF($M51="","",IF(AND($M51&lt;&gt;"LD",N(DATOS!$C$100)&lt;=0),"PENDIENTE: falta R'",IF($Q51&lt;=1,"CUMPLE","NO CUMPLE")))</f>
        <v/>
      </c>
    </row>
    <row r="52">
      <c r="B52" s="74" t="n"/>
      <c r="C52" s="74" t="n"/>
      <c r="D52" s="74" t="n"/>
      <c r="E52" s="74" t="n"/>
      <c r="F52" s="74" t="n"/>
      <c r="G52" s="75" t="n"/>
      <c r="H52" s="76" t="n"/>
      <c r="I52" s="77" t="n"/>
      <c r="J52" s="77" t="n"/>
      <c r="K52" s="77" t="n"/>
      <c r="M52" s="78" t="str">
        <f>IF($C52="","",IF(ISNUMBER(SEARCH(DATOS!$C$126,$C52)),"SV",IF(ISNUMBER(SEARCH(DATOS!$C$127,$C52)),"LD",IF(ISNUMBER(SEARCH(DATOS!$C$128,$C52)),"OI",""))))</f>
        <v/>
      </c>
      <c r="N52" s="78">
        <f>IF($M52="SV",DATOS!$C$101,IF($M52="LD",1,IF($M52="OI",DATOS!$C$100*DATOS!$C$89,0)))</f>
        <v>0</v>
      </c>
      <c r="O52" s="79">
        <f>IF($M52="",0,N($G52)*$N52)</f>
        <v>0</v>
      </c>
      <c r="P52" s="78" t="str">
        <f>IF($M52="SV",DATOS!$C$98,IF($M52="LD",DATOS!$C$103,IF($M52="OI",DATOS!$C$99,"")))</f>
        <v/>
      </c>
      <c r="Q52" s="80" t="str">
        <f>IF(OR($M52="",N($P52)=0),"",$O52/$P52)</f>
        <v/>
      </c>
      <c r="R52" s="78" t="str">
        <f>IF($M52="","",IF(AND($M52&lt;&gt;"LD",N(DATOS!$C$100)&lt;=0),"PENDIENTE: falta R'",IF($Q52&lt;=1,"CUMPLE","NO CUMPLE")))</f>
        <v/>
      </c>
    </row>
    <row r="53">
      <c r="B53" s="74" t="n"/>
      <c r="C53" s="74" t="n"/>
      <c r="D53" s="74" t="n"/>
      <c r="E53" s="74" t="n"/>
      <c r="F53" s="74" t="n"/>
      <c r="G53" s="75" t="n"/>
      <c r="H53" s="76" t="n"/>
      <c r="I53" s="77" t="n"/>
      <c r="J53" s="77" t="n"/>
      <c r="K53" s="77" t="n"/>
      <c r="M53" s="78" t="str">
        <f>IF($C53="","",IF(ISNUMBER(SEARCH(DATOS!$C$126,$C53)),"SV",IF(ISNUMBER(SEARCH(DATOS!$C$127,$C53)),"LD",IF(ISNUMBER(SEARCH(DATOS!$C$128,$C53)),"OI",""))))</f>
        <v/>
      </c>
      <c r="N53" s="78">
        <f>IF($M53="SV",DATOS!$C$101,IF($M53="LD",1,IF($M53="OI",DATOS!$C$100*DATOS!$C$89,0)))</f>
        <v>0</v>
      </c>
      <c r="O53" s="79">
        <f>IF($M53="",0,N($G53)*$N53)</f>
        <v>0</v>
      </c>
      <c r="P53" s="78" t="str">
        <f>IF($M53="SV",DATOS!$C$98,IF($M53="LD",DATOS!$C$103,IF($M53="OI",DATOS!$C$99,"")))</f>
        <v/>
      </c>
      <c r="Q53" s="80" t="str">
        <f>IF(OR($M53="",N($P53)=0),"",$O53/$P53)</f>
        <v/>
      </c>
      <c r="R53" s="78" t="str">
        <f>IF($M53="","",IF(AND($M53&lt;&gt;"LD",N(DATOS!$C$100)&lt;=0),"PENDIENTE: falta R'",IF($Q53&lt;=1,"CUMPLE","NO CUMPLE")))</f>
        <v/>
      </c>
    </row>
    <row r="54">
      <c r="B54" s="74" t="n"/>
      <c r="C54" s="74" t="n"/>
      <c r="D54" s="74" t="n"/>
      <c r="E54" s="74" t="n"/>
      <c r="F54" s="74" t="n"/>
      <c r="G54" s="75" t="n"/>
      <c r="H54" s="76" t="n"/>
      <c r="I54" s="77" t="n"/>
      <c r="J54" s="77" t="n"/>
      <c r="K54" s="77" t="n"/>
      <c r="M54" s="78" t="str">
        <f>IF($C54="","",IF(ISNUMBER(SEARCH(DATOS!$C$126,$C54)),"SV",IF(ISNUMBER(SEARCH(DATOS!$C$127,$C54)),"LD",IF(ISNUMBER(SEARCH(DATOS!$C$128,$C54)),"OI",""))))</f>
        <v/>
      </c>
      <c r="N54" s="78">
        <f>IF($M54="SV",DATOS!$C$101,IF($M54="LD",1,IF($M54="OI",DATOS!$C$100*DATOS!$C$89,0)))</f>
        <v>0</v>
      </c>
      <c r="O54" s="79">
        <f>IF($M54="",0,N($G54)*$N54)</f>
        <v>0</v>
      </c>
      <c r="P54" s="78" t="str">
        <f>IF($M54="SV",DATOS!$C$98,IF($M54="LD",DATOS!$C$103,IF($M54="OI",DATOS!$C$99,"")))</f>
        <v/>
      </c>
      <c r="Q54" s="80" t="str">
        <f>IF(OR($M54="",N($P54)=0),"",$O54/$P54)</f>
        <v/>
      </c>
      <c r="R54" s="78" t="str">
        <f>IF($M54="","",IF(AND($M54&lt;&gt;"LD",N(DATOS!$C$100)&lt;=0),"PENDIENTE: falta R'",IF($Q54&lt;=1,"CUMPLE","NO CUMPLE")))</f>
        <v/>
      </c>
    </row>
    <row r="55">
      <c r="B55" s="74" t="n"/>
      <c r="C55" s="74" t="n"/>
      <c r="D55" s="74" t="n"/>
      <c r="E55" s="74" t="n"/>
      <c r="F55" s="74" t="n"/>
      <c r="G55" s="75" t="n"/>
      <c r="H55" s="76" t="n"/>
      <c r="I55" s="77" t="n"/>
      <c r="J55" s="77" t="n"/>
      <c r="K55" s="77" t="n"/>
      <c r="M55" s="78" t="str">
        <f>IF($C55="","",IF(ISNUMBER(SEARCH(DATOS!$C$126,$C55)),"SV",IF(ISNUMBER(SEARCH(DATOS!$C$127,$C55)),"LD",IF(ISNUMBER(SEARCH(DATOS!$C$128,$C55)),"OI",""))))</f>
        <v/>
      </c>
      <c r="N55" s="78">
        <f>IF($M55="SV",DATOS!$C$101,IF($M55="LD",1,IF($M55="OI",DATOS!$C$100*DATOS!$C$89,0)))</f>
        <v>0</v>
      </c>
      <c r="O55" s="79">
        <f>IF($M55="",0,N($G55)*$N55)</f>
        <v>0</v>
      </c>
      <c r="P55" s="78" t="str">
        <f>IF($M55="SV",DATOS!$C$98,IF($M55="LD",DATOS!$C$103,IF($M55="OI",DATOS!$C$99,"")))</f>
        <v/>
      </c>
      <c r="Q55" s="80" t="str">
        <f>IF(OR($M55="",N($P55)=0),"",$O55/$P55)</f>
        <v/>
      </c>
      <c r="R55" s="78" t="str">
        <f>IF($M55="","",IF(AND($M55&lt;&gt;"LD",N(DATOS!$C$100)&lt;=0),"PENDIENTE: falta R'",IF($Q55&lt;=1,"CUMPLE","NO CUMPLE")))</f>
        <v/>
      </c>
    </row>
    <row r="56">
      <c r="B56" s="74" t="n"/>
      <c r="C56" s="74" t="n"/>
      <c r="D56" s="74" t="n"/>
      <c r="E56" s="74" t="n"/>
      <c r="F56" s="74" t="n"/>
      <c r="G56" s="75" t="n"/>
      <c r="H56" s="76" t="n"/>
      <c r="I56" s="77" t="n"/>
      <c r="J56" s="77" t="n"/>
      <c r="K56" s="77" t="n"/>
      <c r="M56" s="78" t="str">
        <f>IF($C56="","",IF(ISNUMBER(SEARCH(DATOS!$C$126,$C56)),"SV",IF(ISNUMBER(SEARCH(DATOS!$C$127,$C56)),"LD",IF(ISNUMBER(SEARCH(DATOS!$C$128,$C56)),"OI",""))))</f>
        <v/>
      </c>
      <c r="N56" s="78">
        <f>IF($M56="SV",DATOS!$C$101,IF($M56="LD",1,IF($M56="OI",DATOS!$C$100*DATOS!$C$89,0)))</f>
        <v>0</v>
      </c>
      <c r="O56" s="79">
        <f>IF($M56="",0,N($G56)*$N56)</f>
        <v>0</v>
      </c>
      <c r="P56" s="78" t="str">
        <f>IF($M56="SV",DATOS!$C$98,IF($M56="LD",DATOS!$C$103,IF($M56="OI",DATOS!$C$99,"")))</f>
        <v/>
      </c>
      <c r="Q56" s="80" t="str">
        <f>IF(OR($M56="",N($P56)=0),"",$O56/$P56)</f>
        <v/>
      </c>
      <c r="R56" s="78" t="str">
        <f>IF($M56="","",IF(AND($M56&lt;&gt;"LD",N(DATOS!$C$100)&lt;=0),"PENDIENTE: falta R'",IF($Q56&lt;=1,"CUMPLE","NO CUMPLE")))</f>
        <v/>
      </c>
    </row>
    <row r="57">
      <c r="B57" s="74" t="n"/>
      <c r="C57" s="74" t="n"/>
      <c r="D57" s="74" t="n"/>
      <c r="E57" s="74" t="n"/>
      <c r="F57" s="74" t="n"/>
      <c r="G57" s="75" t="n"/>
      <c r="H57" s="76" t="n"/>
      <c r="I57" s="77" t="n"/>
      <c r="J57" s="77" t="n"/>
      <c r="K57" s="77" t="n"/>
      <c r="M57" s="78" t="str">
        <f>IF($C57="","",IF(ISNUMBER(SEARCH(DATOS!$C$126,$C57)),"SV",IF(ISNUMBER(SEARCH(DATOS!$C$127,$C57)),"LD",IF(ISNUMBER(SEARCH(DATOS!$C$128,$C57)),"OI",""))))</f>
        <v/>
      </c>
      <c r="N57" s="78">
        <f>IF($M57="SV",DATOS!$C$101,IF($M57="LD",1,IF($M57="OI",DATOS!$C$100*DATOS!$C$89,0)))</f>
        <v>0</v>
      </c>
      <c r="O57" s="79">
        <f>IF($M57="",0,N($G57)*$N57)</f>
        <v>0</v>
      </c>
      <c r="P57" s="78" t="str">
        <f>IF($M57="SV",DATOS!$C$98,IF($M57="LD",DATOS!$C$103,IF($M57="OI",DATOS!$C$99,"")))</f>
        <v/>
      </c>
      <c r="Q57" s="80" t="str">
        <f>IF(OR($M57="",N($P57)=0),"",$O57/$P57)</f>
        <v/>
      </c>
      <c r="R57" s="78" t="str">
        <f>IF($M57="","",IF(AND($M57&lt;&gt;"LD",N(DATOS!$C$100)&lt;=0),"PENDIENTE: falta R'",IF($Q57&lt;=1,"CUMPLE","NO CUMPLE")))</f>
        <v/>
      </c>
    </row>
    <row r="58">
      <c r="B58" s="74" t="n"/>
      <c r="C58" s="74" t="n"/>
      <c r="D58" s="74" t="n"/>
      <c r="E58" s="74" t="n"/>
      <c r="F58" s="74" t="n"/>
      <c r="G58" s="75" t="n"/>
      <c r="H58" s="76" t="n"/>
      <c r="I58" s="77" t="n"/>
      <c r="J58" s="77" t="n"/>
      <c r="K58" s="77" t="n"/>
      <c r="M58" s="78" t="str">
        <f>IF($C58="","",IF(ISNUMBER(SEARCH(DATOS!$C$126,$C58)),"SV",IF(ISNUMBER(SEARCH(DATOS!$C$127,$C58)),"LD",IF(ISNUMBER(SEARCH(DATOS!$C$128,$C58)),"OI",""))))</f>
        <v/>
      </c>
      <c r="N58" s="78">
        <f>IF($M58="SV",DATOS!$C$101,IF($M58="LD",1,IF($M58="OI",DATOS!$C$100*DATOS!$C$89,0)))</f>
        <v>0</v>
      </c>
      <c r="O58" s="79">
        <f>IF($M58="",0,N($G58)*$N58)</f>
        <v>0</v>
      </c>
      <c r="P58" s="78" t="str">
        <f>IF($M58="SV",DATOS!$C$98,IF($M58="LD",DATOS!$C$103,IF($M58="OI",DATOS!$C$99,"")))</f>
        <v/>
      </c>
      <c r="Q58" s="80" t="str">
        <f>IF(OR($M58="",N($P58)=0),"",$O58/$P58)</f>
        <v/>
      </c>
      <c r="R58" s="78" t="str">
        <f>IF($M58="","",IF(AND($M58&lt;&gt;"LD",N(DATOS!$C$100)&lt;=0),"PENDIENTE: falta R'",IF($Q58&lt;=1,"CUMPLE","NO CUMPLE")))</f>
        <v/>
      </c>
    </row>
    <row r="59">
      <c r="B59" s="74" t="n"/>
      <c r="C59" s="74" t="n"/>
      <c r="D59" s="74" t="n"/>
      <c r="E59" s="74" t="n"/>
      <c r="F59" s="74" t="n"/>
      <c r="G59" s="75" t="n"/>
      <c r="H59" s="76" t="n"/>
      <c r="I59" s="77" t="n"/>
      <c r="J59" s="77" t="n"/>
      <c r="K59" s="77" t="n"/>
      <c r="M59" s="78" t="str">
        <f>IF($C59="","",IF(ISNUMBER(SEARCH(DATOS!$C$126,$C59)),"SV",IF(ISNUMBER(SEARCH(DATOS!$C$127,$C59)),"LD",IF(ISNUMBER(SEARCH(DATOS!$C$128,$C59)),"OI",""))))</f>
        <v/>
      </c>
      <c r="N59" s="78">
        <f>IF($M59="SV",DATOS!$C$101,IF($M59="LD",1,IF($M59="OI",DATOS!$C$100*DATOS!$C$89,0)))</f>
        <v>0</v>
      </c>
      <c r="O59" s="79">
        <f>IF($M59="",0,N($G59)*$N59)</f>
        <v>0</v>
      </c>
      <c r="P59" s="78" t="str">
        <f>IF($M59="SV",DATOS!$C$98,IF($M59="LD",DATOS!$C$103,IF($M59="OI",DATOS!$C$99,"")))</f>
        <v/>
      </c>
      <c r="Q59" s="80" t="str">
        <f>IF(OR($M59="",N($P59)=0),"",$O59/$P59)</f>
        <v/>
      </c>
      <c r="R59" s="78" t="str">
        <f>IF($M59="","",IF(AND($M59&lt;&gt;"LD",N(DATOS!$C$100)&lt;=0),"PENDIENTE: falta R'",IF($Q59&lt;=1,"CUMPLE","NO CUMPLE")))</f>
        <v/>
      </c>
    </row>
    <row r="60">
      <c r="B60" s="74" t="n"/>
      <c r="C60" s="74" t="n"/>
      <c r="D60" s="74" t="n"/>
      <c r="E60" s="74" t="n"/>
      <c r="F60" s="74" t="n"/>
      <c r="G60" s="75" t="n"/>
      <c r="H60" s="76" t="n"/>
      <c r="I60" s="77" t="n"/>
      <c r="J60" s="77" t="n"/>
      <c r="K60" s="77" t="n"/>
      <c r="M60" s="78" t="str">
        <f>IF($C60="","",IF(ISNUMBER(SEARCH(DATOS!$C$126,$C60)),"SV",IF(ISNUMBER(SEARCH(DATOS!$C$127,$C60)),"LD",IF(ISNUMBER(SEARCH(DATOS!$C$128,$C60)),"OI",""))))</f>
        <v/>
      </c>
      <c r="N60" s="78">
        <f>IF($M60="SV",DATOS!$C$101,IF($M60="LD",1,IF($M60="OI",DATOS!$C$100*DATOS!$C$89,0)))</f>
        <v>0</v>
      </c>
      <c r="O60" s="79">
        <f>IF($M60="",0,N($G60)*$N60)</f>
        <v>0</v>
      </c>
      <c r="P60" s="78" t="str">
        <f>IF($M60="SV",DATOS!$C$98,IF($M60="LD",DATOS!$C$103,IF($M60="OI",DATOS!$C$99,"")))</f>
        <v/>
      </c>
      <c r="Q60" s="80" t="str">
        <f>IF(OR($M60="",N($P60)=0),"",$O60/$P60)</f>
        <v/>
      </c>
      <c r="R60" s="78" t="str">
        <f>IF($M60="","",IF(AND($M60&lt;&gt;"LD",N(DATOS!$C$100)&lt;=0),"PENDIENTE: falta R'",IF($Q60&lt;=1,"CUMPLE","NO CUMPLE")))</f>
        <v/>
      </c>
    </row>
    <row r="61">
      <c r="B61" s="74" t="n"/>
      <c r="C61" s="74" t="n"/>
      <c r="D61" s="74" t="n"/>
      <c r="E61" s="74" t="n"/>
      <c r="F61" s="74" t="n"/>
      <c r="G61" s="75" t="n"/>
      <c r="H61" s="76" t="n"/>
      <c r="I61" s="77" t="n"/>
      <c r="J61" s="77" t="n"/>
      <c r="K61" s="77" t="n"/>
      <c r="M61" s="78" t="str">
        <f>IF($C61="","",IF(ISNUMBER(SEARCH(DATOS!$C$126,$C61)),"SV",IF(ISNUMBER(SEARCH(DATOS!$C$127,$C61)),"LD",IF(ISNUMBER(SEARCH(DATOS!$C$128,$C61)),"OI",""))))</f>
        <v/>
      </c>
      <c r="N61" s="78">
        <f>IF($M61="SV",DATOS!$C$101,IF($M61="LD",1,IF($M61="OI",DATOS!$C$100*DATOS!$C$89,0)))</f>
        <v>0</v>
      </c>
      <c r="O61" s="79">
        <f>IF($M61="",0,N($G61)*$N61)</f>
        <v>0</v>
      </c>
      <c r="P61" s="78" t="str">
        <f>IF($M61="SV",DATOS!$C$98,IF($M61="LD",DATOS!$C$103,IF($M61="OI",DATOS!$C$99,"")))</f>
        <v/>
      </c>
      <c r="Q61" s="80" t="str">
        <f>IF(OR($M61="",N($P61)=0),"",$O61/$P61)</f>
        <v/>
      </c>
      <c r="R61" s="78" t="str">
        <f>IF($M61="","",IF(AND($M61&lt;&gt;"LD",N(DATOS!$C$100)&lt;=0),"PENDIENTE: falta R'",IF($Q61&lt;=1,"CUMPLE","NO CUMPLE")))</f>
        <v/>
      </c>
    </row>
    <row r="62">
      <c r="B62" s="74" t="n"/>
      <c r="C62" s="74" t="n"/>
      <c r="D62" s="74" t="n"/>
      <c r="E62" s="74" t="n"/>
      <c r="F62" s="74" t="n"/>
      <c r="G62" s="75" t="n"/>
      <c r="H62" s="76" t="n"/>
      <c r="I62" s="77" t="n"/>
      <c r="J62" s="77" t="n"/>
      <c r="K62" s="77" t="n"/>
      <c r="M62" s="78" t="str">
        <f>IF($C62="","",IF(ISNUMBER(SEARCH(DATOS!$C$126,$C62)),"SV",IF(ISNUMBER(SEARCH(DATOS!$C$127,$C62)),"LD",IF(ISNUMBER(SEARCH(DATOS!$C$128,$C62)),"OI",""))))</f>
        <v/>
      </c>
      <c r="N62" s="78">
        <f>IF($M62="SV",DATOS!$C$101,IF($M62="LD",1,IF($M62="OI",DATOS!$C$100*DATOS!$C$89,0)))</f>
        <v>0</v>
      </c>
      <c r="O62" s="79">
        <f>IF($M62="",0,N($G62)*$N62)</f>
        <v>0</v>
      </c>
      <c r="P62" s="78" t="str">
        <f>IF($M62="SV",DATOS!$C$98,IF($M62="LD",DATOS!$C$103,IF($M62="OI",DATOS!$C$99,"")))</f>
        <v/>
      </c>
      <c r="Q62" s="80" t="str">
        <f>IF(OR($M62="",N($P62)=0),"",$O62/$P62)</f>
        <v/>
      </c>
      <c r="R62" s="78" t="str">
        <f>IF($M62="","",IF(AND($M62&lt;&gt;"LD",N(DATOS!$C$100)&lt;=0),"PENDIENTE: falta R'",IF($Q62&lt;=1,"CUMPLE","NO CUMPLE")))</f>
        <v/>
      </c>
    </row>
    <row r="63">
      <c r="B63" s="74" t="n"/>
      <c r="C63" s="74" t="n"/>
      <c r="D63" s="74" t="n"/>
      <c r="E63" s="74" t="n"/>
      <c r="F63" s="74" t="n"/>
      <c r="G63" s="75" t="n"/>
      <c r="H63" s="76" t="n"/>
      <c r="I63" s="77" t="n"/>
      <c r="J63" s="77" t="n"/>
      <c r="K63" s="77" t="n"/>
      <c r="M63" s="78" t="str">
        <f>IF($C63="","",IF(ISNUMBER(SEARCH(DATOS!$C$126,$C63)),"SV",IF(ISNUMBER(SEARCH(DATOS!$C$127,$C63)),"LD",IF(ISNUMBER(SEARCH(DATOS!$C$128,$C63)),"OI",""))))</f>
        <v/>
      </c>
      <c r="N63" s="78">
        <f>IF($M63="SV",DATOS!$C$101,IF($M63="LD",1,IF($M63="OI",DATOS!$C$100*DATOS!$C$89,0)))</f>
        <v>0</v>
      </c>
      <c r="O63" s="79">
        <f>IF($M63="",0,N($G63)*$N63)</f>
        <v>0</v>
      </c>
      <c r="P63" s="78" t="str">
        <f>IF($M63="SV",DATOS!$C$98,IF($M63="LD",DATOS!$C$103,IF($M63="OI",DATOS!$C$99,"")))</f>
        <v/>
      </c>
      <c r="Q63" s="80" t="str">
        <f>IF(OR($M63="",N($P63)=0),"",$O63/$P63)</f>
        <v/>
      </c>
      <c r="R63" s="78" t="str">
        <f>IF($M63="","",IF(AND($M63&lt;&gt;"LD",N(DATOS!$C$100)&lt;=0),"PENDIENTE: falta R'",IF($Q63&lt;=1,"CUMPLE","NO CUMPLE")))</f>
        <v/>
      </c>
    </row>
    <row r="64">
      <c r="B64" s="74" t="n"/>
      <c r="C64" s="74" t="n"/>
      <c r="D64" s="74" t="n"/>
      <c r="E64" s="74" t="n"/>
      <c r="F64" s="74" t="n"/>
      <c r="G64" s="75" t="n"/>
      <c r="H64" s="76" t="n"/>
      <c r="I64" s="77" t="n"/>
      <c r="J64" s="77" t="n"/>
      <c r="K64" s="77" t="n"/>
      <c r="M64" s="78" t="str">
        <f>IF($C64="","",IF(ISNUMBER(SEARCH(DATOS!$C$126,$C64)),"SV",IF(ISNUMBER(SEARCH(DATOS!$C$127,$C64)),"LD",IF(ISNUMBER(SEARCH(DATOS!$C$128,$C64)),"OI",""))))</f>
        <v/>
      </c>
      <c r="N64" s="78">
        <f>IF($M64="SV",DATOS!$C$101,IF($M64="LD",1,IF($M64="OI",DATOS!$C$100*DATOS!$C$89,0)))</f>
        <v>0</v>
      </c>
      <c r="O64" s="79">
        <f>IF($M64="",0,N($G64)*$N64)</f>
        <v>0</v>
      </c>
      <c r="P64" s="78" t="str">
        <f>IF($M64="SV",DATOS!$C$98,IF($M64="LD",DATOS!$C$103,IF($M64="OI",DATOS!$C$99,"")))</f>
        <v/>
      </c>
      <c r="Q64" s="80" t="str">
        <f>IF(OR($M64="",N($P64)=0),"",$O64/$P64)</f>
        <v/>
      </c>
      <c r="R64" s="78" t="str">
        <f>IF($M64="","",IF(AND($M64&lt;&gt;"LD",N(DATOS!$C$100)&lt;=0),"PENDIENTE: falta R'",IF($Q64&lt;=1,"CUMPLE","NO CUMPLE")))</f>
        <v/>
      </c>
    </row>
    <row r="65">
      <c r="B65" s="74" t="n"/>
      <c r="C65" s="74" t="n"/>
      <c r="D65" s="74" t="n"/>
      <c r="E65" s="74" t="n"/>
      <c r="F65" s="74" t="n"/>
      <c r="G65" s="75" t="n"/>
      <c r="H65" s="76" t="n"/>
      <c r="I65" s="77" t="n"/>
      <c r="J65" s="77" t="n"/>
      <c r="K65" s="77" t="n"/>
      <c r="M65" s="78" t="str">
        <f>IF($C65="","",IF(ISNUMBER(SEARCH(DATOS!$C$126,$C65)),"SV",IF(ISNUMBER(SEARCH(DATOS!$C$127,$C65)),"LD",IF(ISNUMBER(SEARCH(DATOS!$C$128,$C65)),"OI",""))))</f>
        <v/>
      </c>
      <c r="N65" s="78">
        <f>IF($M65="SV",DATOS!$C$101,IF($M65="LD",1,IF($M65="OI",DATOS!$C$100*DATOS!$C$89,0)))</f>
        <v>0</v>
      </c>
      <c r="O65" s="79">
        <f>IF($M65="",0,N($G65)*$N65)</f>
        <v>0</v>
      </c>
      <c r="P65" s="78" t="str">
        <f>IF($M65="SV",DATOS!$C$98,IF($M65="LD",DATOS!$C$103,IF($M65="OI",DATOS!$C$99,"")))</f>
        <v/>
      </c>
      <c r="Q65" s="80" t="str">
        <f>IF(OR($M65="",N($P65)=0),"",$O65/$P65)</f>
        <v/>
      </c>
      <c r="R65" s="78" t="str">
        <f>IF($M65="","",IF(AND($M65&lt;&gt;"LD",N(DATOS!$C$100)&lt;=0),"PENDIENTE: falta R'",IF($Q65&lt;=1,"CUMPLE","NO CUMPLE")))</f>
        <v/>
      </c>
    </row>
    <row r="66">
      <c r="B66" s="74" t="n"/>
      <c r="C66" s="74" t="n"/>
      <c r="D66" s="74" t="n"/>
      <c r="E66" s="74" t="n"/>
      <c r="F66" s="74" t="n"/>
      <c r="G66" s="75" t="n"/>
      <c r="H66" s="76" t="n"/>
      <c r="I66" s="77" t="n"/>
      <c r="J66" s="77" t="n"/>
      <c r="K66" s="77" t="n"/>
      <c r="M66" s="78" t="str">
        <f>IF($C66="","",IF(ISNUMBER(SEARCH(DATOS!$C$126,$C66)),"SV",IF(ISNUMBER(SEARCH(DATOS!$C$127,$C66)),"LD",IF(ISNUMBER(SEARCH(DATOS!$C$128,$C66)),"OI",""))))</f>
        <v/>
      </c>
      <c r="N66" s="78">
        <f>IF($M66="SV",DATOS!$C$101,IF($M66="LD",1,IF($M66="OI",DATOS!$C$100*DATOS!$C$89,0)))</f>
        <v>0</v>
      </c>
      <c r="O66" s="79">
        <f>IF($M66="",0,N($G66)*$N66)</f>
        <v>0</v>
      </c>
      <c r="P66" s="78" t="str">
        <f>IF($M66="SV",DATOS!$C$98,IF($M66="LD",DATOS!$C$103,IF($M66="OI",DATOS!$C$99,"")))</f>
        <v/>
      </c>
      <c r="Q66" s="80" t="str">
        <f>IF(OR($M66="",N($P66)=0),"",$O66/$P66)</f>
        <v/>
      </c>
      <c r="R66" s="78" t="str">
        <f>IF($M66="","",IF(AND($M66&lt;&gt;"LD",N(DATOS!$C$100)&lt;=0),"PENDIENTE: falta R'",IF($Q66&lt;=1,"CUMPLE","NO CUMPLE")))</f>
        <v/>
      </c>
    </row>
    <row r="67">
      <c r="B67" s="74" t="n"/>
      <c r="C67" s="74" t="n"/>
      <c r="D67" s="74" t="n"/>
      <c r="E67" s="74" t="n"/>
      <c r="F67" s="74" t="n"/>
      <c r="G67" s="75" t="n"/>
      <c r="H67" s="76" t="n"/>
      <c r="I67" s="77" t="n"/>
      <c r="J67" s="77" t="n"/>
      <c r="K67" s="77" t="n"/>
      <c r="M67" s="78" t="str">
        <f>IF($C67="","",IF(ISNUMBER(SEARCH(DATOS!$C$126,$C67)),"SV",IF(ISNUMBER(SEARCH(DATOS!$C$127,$C67)),"LD",IF(ISNUMBER(SEARCH(DATOS!$C$128,$C67)),"OI",""))))</f>
        <v/>
      </c>
      <c r="N67" s="78">
        <f>IF($M67="SV",DATOS!$C$101,IF($M67="LD",1,IF($M67="OI",DATOS!$C$100*DATOS!$C$89,0)))</f>
        <v>0</v>
      </c>
      <c r="O67" s="79">
        <f>IF($M67="",0,N($G67)*$N67)</f>
        <v>0</v>
      </c>
      <c r="P67" s="78" t="str">
        <f>IF($M67="SV",DATOS!$C$98,IF($M67="LD",DATOS!$C$103,IF($M67="OI",DATOS!$C$99,"")))</f>
        <v/>
      </c>
      <c r="Q67" s="80" t="str">
        <f>IF(OR($M67="",N($P67)=0),"",$O67/$P67)</f>
        <v/>
      </c>
      <c r="R67" s="78" t="str">
        <f>IF($M67="","",IF(AND($M67&lt;&gt;"LD",N(DATOS!$C$100)&lt;=0),"PENDIENTE: falta R'",IF($Q67&lt;=1,"CUMPLE","NO CUMPLE")))</f>
        <v/>
      </c>
    </row>
    <row r="68">
      <c r="B68" s="74" t="n"/>
      <c r="C68" s="74" t="n"/>
      <c r="D68" s="74" t="n"/>
      <c r="E68" s="74" t="n"/>
      <c r="F68" s="74" t="n"/>
      <c r="G68" s="75" t="n"/>
      <c r="H68" s="76" t="n"/>
      <c r="I68" s="77" t="n"/>
      <c r="J68" s="77" t="n"/>
      <c r="K68" s="77" t="n"/>
      <c r="M68" s="78" t="str">
        <f>IF($C68="","",IF(ISNUMBER(SEARCH(DATOS!$C$126,$C68)),"SV",IF(ISNUMBER(SEARCH(DATOS!$C$127,$C68)),"LD",IF(ISNUMBER(SEARCH(DATOS!$C$128,$C68)),"OI",""))))</f>
        <v/>
      </c>
      <c r="N68" s="78">
        <f>IF($M68="SV",DATOS!$C$101,IF($M68="LD",1,IF($M68="OI",DATOS!$C$100*DATOS!$C$89,0)))</f>
        <v>0</v>
      </c>
      <c r="O68" s="79">
        <f>IF($M68="",0,N($G68)*$N68)</f>
        <v>0</v>
      </c>
      <c r="P68" s="78" t="str">
        <f>IF($M68="SV",DATOS!$C$98,IF($M68="LD",DATOS!$C$103,IF($M68="OI",DATOS!$C$99,"")))</f>
        <v/>
      </c>
      <c r="Q68" s="80" t="str">
        <f>IF(OR($M68="",N($P68)=0),"",$O68/$P68)</f>
        <v/>
      </c>
      <c r="R68" s="78" t="str">
        <f>IF($M68="","",IF(AND($M68&lt;&gt;"LD",N(DATOS!$C$100)&lt;=0),"PENDIENTE: falta R'",IF($Q68&lt;=1,"CUMPLE","NO CUMPLE")))</f>
        <v/>
      </c>
    </row>
    <row r="69">
      <c r="B69" s="74" t="n"/>
      <c r="C69" s="74" t="n"/>
      <c r="D69" s="74" t="n"/>
      <c r="E69" s="74" t="n"/>
      <c r="F69" s="74" t="n"/>
      <c r="G69" s="75" t="n"/>
      <c r="H69" s="76" t="n"/>
      <c r="I69" s="77" t="n"/>
      <c r="J69" s="77" t="n"/>
      <c r="K69" s="77" t="n"/>
      <c r="M69" s="78" t="str">
        <f>IF($C69="","",IF(ISNUMBER(SEARCH(DATOS!$C$126,$C69)),"SV",IF(ISNUMBER(SEARCH(DATOS!$C$127,$C69)),"LD",IF(ISNUMBER(SEARCH(DATOS!$C$128,$C69)),"OI",""))))</f>
        <v/>
      </c>
      <c r="N69" s="78">
        <f>IF($M69="SV",DATOS!$C$101,IF($M69="LD",1,IF($M69="OI",DATOS!$C$100*DATOS!$C$89,0)))</f>
        <v>0</v>
      </c>
      <c r="O69" s="79">
        <f>IF($M69="",0,N($G69)*$N69)</f>
        <v>0</v>
      </c>
      <c r="P69" s="78" t="str">
        <f>IF($M69="SV",DATOS!$C$98,IF($M69="LD",DATOS!$C$103,IF($M69="OI",DATOS!$C$99,"")))</f>
        <v/>
      </c>
      <c r="Q69" s="80" t="str">
        <f>IF(OR($M69="",N($P69)=0),"",$O69/$P69)</f>
        <v/>
      </c>
      <c r="R69" s="78" t="str">
        <f>IF($M69="","",IF(AND($M69&lt;&gt;"LD",N(DATOS!$C$100)&lt;=0),"PENDIENTE: falta R'",IF($Q69&lt;=1,"CUMPLE","NO CUMPLE")))</f>
        <v/>
      </c>
    </row>
    <row r="70">
      <c r="B70" s="74" t="n"/>
      <c r="C70" s="74" t="n"/>
      <c r="D70" s="74" t="n"/>
      <c r="E70" s="74" t="n"/>
      <c r="F70" s="74" t="n"/>
      <c r="G70" s="75" t="n"/>
      <c r="H70" s="76" t="n"/>
      <c r="I70" s="77" t="n"/>
      <c r="J70" s="77" t="n"/>
      <c r="K70" s="77" t="n"/>
      <c r="M70" s="78" t="str">
        <f>IF($C70="","",IF(ISNUMBER(SEARCH(DATOS!$C$126,$C70)),"SV",IF(ISNUMBER(SEARCH(DATOS!$C$127,$C70)),"LD",IF(ISNUMBER(SEARCH(DATOS!$C$128,$C70)),"OI",""))))</f>
        <v/>
      </c>
      <c r="N70" s="78">
        <f>IF($M70="SV",DATOS!$C$101,IF($M70="LD",1,IF($M70="OI",DATOS!$C$100*DATOS!$C$89,0)))</f>
        <v>0</v>
      </c>
      <c r="O70" s="79">
        <f>IF($M70="",0,N($G70)*$N70)</f>
        <v>0</v>
      </c>
      <c r="P70" s="78" t="str">
        <f>IF($M70="SV",DATOS!$C$98,IF($M70="LD",DATOS!$C$103,IF($M70="OI",DATOS!$C$99,"")))</f>
        <v/>
      </c>
      <c r="Q70" s="80" t="str">
        <f>IF(OR($M70="",N($P70)=0),"",$O70/$P70)</f>
        <v/>
      </c>
      <c r="R70" s="78" t="str">
        <f>IF($M70="","",IF(AND($M70&lt;&gt;"LD",N(DATOS!$C$100)&lt;=0),"PENDIENTE: falta R'",IF($Q70&lt;=1,"CUMPLE","NO CUMPLE")))</f>
        <v/>
      </c>
    </row>
    <row r="71">
      <c r="B71" s="74" t="n"/>
      <c r="C71" s="74" t="n"/>
      <c r="D71" s="74" t="n"/>
      <c r="E71" s="74" t="n"/>
      <c r="F71" s="74" t="n"/>
      <c r="G71" s="75" t="n"/>
      <c r="H71" s="76" t="n"/>
      <c r="I71" s="77" t="n"/>
      <c r="J71" s="77" t="n"/>
      <c r="K71" s="77" t="n"/>
      <c r="M71" s="78" t="str">
        <f>IF($C71="","",IF(ISNUMBER(SEARCH(DATOS!$C$126,$C71)),"SV",IF(ISNUMBER(SEARCH(DATOS!$C$127,$C71)),"LD",IF(ISNUMBER(SEARCH(DATOS!$C$128,$C71)),"OI",""))))</f>
        <v/>
      </c>
      <c r="N71" s="78">
        <f>IF($M71="SV",DATOS!$C$101,IF($M71="LD",1,IF($M71="OI",DATOS!$C$100*DATOS!$C$89,0)))</f>
        <v>0</v>
      </c>
      <c r="O71" s="79">
        <f>IF($M71="",0,N($G71)*$N71)</f>
        <v>0</v>
      </c>
      <c r="P71" s="78" t="str">
        <f>IF($M71="SV",DATOS!$C$98,IF($M71="LD",DATOS!$C$103,IF($M71="OI",DATOS!$C$99,"")))</f>
        <v/>
      </c>
      <c r="Q71" s="80" t="str">
        <f>IF(OR($M71="",N($P71)=0),"",$O71/$P71)</f>
        <v/>
      </c>
      <c r="R71" s="78" t="str">
        <f>IF($M71="","",IF(AND($M71&lt;&gt;"LD",N(DATOS!$C$100)&lt;=0),"PENDIENTE: falta R'",IF($Q71&lt;=1,"CUMPLE","NO CUMPLE")))</f>
        <v/>
      </c>
    </row>
    <row r="72">
      <c r="B72" s="74" t="n"/>
      <c r="C72" s="74" t="n"/>
      <c r="D72" s="74" t="n"/>
      <c r="E72" s="74" t="n"/>
      <c r="F72" s="74" t="n"/>
      <c r="G72" s="75" t="n"/>
      <c r="H72" s="76" t="n"/>
      <c r="I72" s="77" t="n"/>
      <c r="J72" s="77" t="n"/>
      <c r="K72" s="77" t="n"/>
      <c r="M72" s="78" t="str">
        <f>IF($C72="","",IF(ISNUMBER(SEARCH(DATOS!$C$126,$C72)),"SV",IF(ISNUMBER(SEARCH(DATOS!$C$127,$C72)),"LD",IF(ISNUMBER(SEARCH(DATOS!$C$128,$C72)),"OI",""))))</f>
        <v/>
      </c>
      <c r="N72" s="78">
        <f>IF($M72="SV",DATOS!$C$101,IF($M72="LD",1,IF($M72="OI",DATOS!$C$100*DATOS!$C$89,0)))</f>
        <v>0</v>
      </c>
      <c r="O72" s="79">
        <f>IF($M72="",0,N($G72)*$N72)</f>
        <v>0</v>
      </c>
      <c r="P72" s="78" t="str">
        <f>IF($M72="SV",DATOS!$C$98,IF($M72="LD",DATOS!$C$103,IF($M72="OI",DATOS!$C$99,"")))</f>
        <v/>
      </c>
      <c r="Q72" s="80" t="str">
        <f>IF(OR($M72="",N($P72)=0),"",$O72/$P72)</f>
        <v/>
      </c>
      <c r="R72" s="78" t="str">
        <f>IF($M72="","",IF(AND($M72&lt;&gt;"LD",N(DATOS!$C$100)&lt;=0),"PENDIENTE: falta R'",IF($Q72&lt;=1,"CUMPLE","NO CUMPLE")))</f>
        <v/>
      </c>
    </row>
    <row r="73">
      <c r="B73" s="74" t="n"/>
      <c r="C73" s="74" t="n"/>
      <c r="D73" s="74" t="n"/>
      <c r="E73" s="74" t="n"/>
      <c r="F73" s="74" t="n"/>
      <c r="G73" s="75" t="n"/>
      <c r="H73" s="76" t="n"/>
      <c r="I73" s="77" t="n"/>
      <c r="J73" s="77" t="n"/>
      <c r="K73" s="77" t="n"/>
      <c r="M73" s="78" t="str">
        <f>IF($C73="","",IF(ISNUMBER(SEARCH(DATOS!$C$126,$C73)),"SV",IF(ISNUMBER(SEARCH(DATOS!$C$127,$C73)),"LD",IF(ISNUMBER(SEARCH(DATOS!$C$128,$C73)),"OI",""))))</f>
        <v/>
      </c>
      <c r="N73" s="78">
        <f>IF($M73="SV",DATOS!$C$101,IF($M73="LD",1,IF($M73="OI",DATOS!$C$100*DATOS!$C$89,0)))</f>
        <v>0</v>
      </c>
      <c r="O73" s="79">
        <f>IF($M73="",0,N($G73)*$N73)</f>
        <v>0</v>
      </c>
      <c r="P73" s="78" t="str">
        <f>IF($M73="SV",DATOS!$C$98,IF($M73="LD",DATOS!$C$103,IF($M73="OI",DATOS!$C$99,"")))</f>
        <v/>
      </c>
      <c r="Q73" s="80" t="str">
        <f>IF(OR($M73="",N($P73)=0),"",$O73/$P73)</f>
        <v/>
      </c>
      <c r="R73" s="78" t="str">
        <f>IF($M73="","",IF(AND($M73&lt;&gt;"LD",N(DATOS!$C$100)&lt;=0),"PENDIENTE: falta R'",IF($Q73&lt;=1,"CUMPLE","NO CUMPLE")))</f>
        <v/>
      </c>
    </row>
    <row r="74">
      <c r="B74" s="74" t="n"/>
      <c r="C74" s="74" t="n"/>
      <c r="D74" s="74" t="n"/>
      <c r="E74" s="74" t="n"/>
      <c r="F74" s="74" t="n"/>
      <c r="G74" s="75" t="n"/>
      <c r="H74" s="76" t="n"/>
      <c r="I74" s="77" t="n"/>
      <c r="J74" s="77" t="n"/>
      <c r="K74" s="77" t="n"/>
      <c r="M74" s="78" t="str">
        <f>IF($C74="","",IF(ISNUMBER(SEARCH(DATOS!$C$126,$C74)),"SV",IF(ISNUMBER(SEARCH(DATOS!$C$127,$C74)),"LD",IF(ISNUMBER(SEARCH(DATOS!$C$128,$C74)),"OI",""))))</f>
        <v/>
      </c>
      <c r="N74" s="78">
        <f>IF($M74="SV",DATOS!$C$101,IF($M74="LD",1,IF($M74="OI",DATOS!$C$100*DATOS!$C$89,0)))</f>
        <v>0</v>
      </c>
      <c r="O74" s="79">
        <f>IF($M74="",0,N($G74)*$N74)</f>
        <v>0</v>
      </c>
      <c r="P74" s="78" t="str">
        <f>IF($M74="SV",DATOS!$C$98,IF($M74="LD",DATOS!$C$103,IF($M74="OI",DATOS!$C$99,"")))</f>
        <v/>
      </c>
      <c r="Q74" s="80" t="str">
        <f>IF(OR($M74="",N($P74)=0),"",$O74/$P74)</f>
        <v/>
      </c>
      <c r="R74" s="78" t="str">
        <f>IF($M74="","",IF(AND($M74&lt;&gt;"LD",N(DATOS!$C$100)&lt;=0),"PENDIENTE: falta R'",IF($Q74&lt;=1,"CUMPLE","NO CUMPLE")))</f>
        <v/>
      </c>
    </row>
    <row r="75">
      <c r="B75" s="74" t="n"/>
      <c r="C75" s="74" t="n"/>
      <c r="D75" s="74" t="n"/>
      <c r="E75" s="74" t="n"/>
      <c r="F75" s="74" t="n"/>
      <c r="G75" s="75" t="n"/>
      <c r="H75" s="76" t="n"/>
      <c r="I75" s="77" t="n"/>
      <c r="J75" s="77" t="n"/>
      <c r="K75" s="77" t="n"/>
      <c r="M75" s="78" t="str">
        <f>IF($C75="","",IF(ISNUMBER(SEARCH(DATOS!$C$126,$C75)),"SV",IF(ISNUMBER(SEARCH(DATOS!$C$127,$C75)),"LD",IF(ISNUMBER(SEARCH(DATOS!$C$128,$C75)),"OI",""))))</f>
        <v/>
      </c>
      <c r="N75" s="78">
        <f>IF($M75="SV",DATOS!$C$101,IF($M75="LD",1,IF($M75="OI",DATOS!$C$100*DATOS!$C$89,0)))</f>
        <v>0</v>
      </c>
      <c r="O75" s="79">
        <f>IF($M75="",0,N($G75)*$N75)</f>
        <v>0</v>
      </c>
      <c r="P75" s="78" t="str">
        <f>IF($M75="SV",DATOS!$C$98,IF($M75="LD",DATOS!$C$103,IF($M75="OI",DATOS!$C$99,"")))</f>
        <v/>
      </c>
      <c r="Q75" s="80" t="str">
        <f>IF(OR($M75="",N($P75)=0),"",$O75/$P75)</f>
        <v/>
      </c>
      <c r="R75" s="78" t="str">
        <f>IF($M75="","",IF(AND($M75&lt;&gt;"LD",N(DATOS!$C$100)&lt;=0),"PENDIENTE: falta R'",IF($Q75&lt;=1,"CUMPLE","NO CUMPLE")))</f>
        <v/>
      </c>
    </row>
    <row r="76">
      <c r="B76" s="74" t="n"/>
      <c r="C76" s="74" t="n"/>
      <c r="D76" s="74" t="n"/>
      <c r="E76" s="74" t="n"/>
      <c r="F76" s="74" t="n"/>
      <c r="G76" s="75" t="n"/>
      <c r="H76" s="76" t="n"/>
      <c r="I76" s="77" t="n"/>
      <c r="J76" s="77" t="n"/>
      <c r="K76" s="77" t="n"/>
      <c r="M76" s="78" t="str">
        <f>IF($C76="","",IF(ISNUMBER(SEARCH(DATOS!$C$126,$C76)),"SV",IF(ISNUMBER(SEARCH(DATOS!$C$127,$C76)),"LD",IF(ISNUMBER(SEARCH(DATOS!$C$128,$C76)),"OI",""))))</f>
        <v/>
      </c>
      <c r="N76" s="78">
        <f>IF($M76="SV",DATOS!$C$101,IF($M76="LD",1,IF($M76="OI",DATOS!$C$100*DATOS!$C$89,0)))</f>
        <v>0</v>
      </c>
      <c r="O76" s="79">
        <f>IF($M76="",0,N($G76)*$N76)</f>
        <v>0</v>
      </c>
      <c r="P76" s="78" t="str">
        <f>IF($M76="SV",DATOS!$C$98,IF($M76="LD",DATOS!$C$103,IF($M76="OI",DATOS!$C$99,"")))</f>
        <v/>
      </c>
      <c r="Q76" s="80" t="str">
        <f>IF(OR($M76="",N($P76)=0),"",$O76/$P76)</f>
        <v/>
      </c>
      <c r="R76" s="78" t="str">
        <f>IF($M76="","",IF(AND($M76&lt;&gt;"LD",N(DATOS!$C$100)&lt;=0),"PENDIENTE: falta R'",IF($Q76&lt;=1,"CUMPLE","NO CUMPLE")))</f>
        <v/>
      </c>
    </row>
    <row r="77">
      <c r="B77" s="74" t="n"/>
      <c r="C77" s="74" t="n"/>
      <c r="D77" s="74" t="n"/>
      <c r="E77" s="74" t="n"/>
      <c r="F77" s="74" t="n"/>
      <c r="G77" s="75" t="n"/>
      <c r="H77" s="76" t="n"/>
      <c r="I77" s="77" t="n"/>
      <c r="J77" s="77" t="n"/>
      <c r="K77" s="77" t="n"/>
      <c r="M77" s="78" t="str">
        <f>IF($C77="","",IF(ISNUMBER(SEARCH(DATOS!$C$126,$C77)),"SV",IF(ISNUMBER(SEARCH(DATOS!$C$127,$C77)),"LD",IF(ISNUMBER(SEARCH(DATOS!$C$128,$C77)),"OI",""))))</f>
        <v/>
      </c>
      <c r="N77" s="78">
        <f>IF($M77="SV",DATOS!$C$101,IF($M77="LD",1,IF($M77="OI",DATOS!$C$100*DATOS!$C$89,0)))</f>
        <v>0</v>
      </c>
      <c r="O77" s="79">
        <f>IF($M77="",0,N($G77)*$N77)</f>
        <v>0</v>
      </c>
      <c r="P77" s="78" t="str">
        <f>IF($M77="SV",DATOS!$C$98,IF($M77="LD",DATOS!$C$103,IF($M77="OI",DATOS!$C$99,"")))</f>
        <v/>
      </c>
      <c r="Q77" s="80" t="str">
        <f>IF(OR($M77="",N($P77)=0),"",$O77/$P77)</f>
        <v/>
      </c>
      <c r="R77" s="78" t="str">
        <f>IF($M77="","",IF(AND($M77&lt;&gt;"LD",N(DATOS!$C$100)&lt;=0),"PENDIENTE: falta R'",IF($Q77&lt;=1,"CUMPLE","NO CUMPLE")))</f>
        <v/>
      </c>
    </row>
    <row r="78">
      <c r="B78" s="74" t="n"/>
      <c r="C78" s="74" t="n"/>
      <c r="D78" s="74" t="n"/>
      <c r="E78" s="74" t="n"/>
      <c r="F78" s="74" t="n"/>
      <c r="G78" s="75" t="n"/>
      <c r="H78" s="76" t="n"/>
      <c r="I78" s="77" t="n"/>
      <c r="J78" s="77" t="n"/>
      <c r="K78" s="77" t="n"/>
      <c r="M78" s="78" t="str">
        <f>IF($C78="","",IF(ISNUMBER(SEARCH(DATOS!$C$126,$C78)),"SV",IF(ISNUMBER(SEARCH(DATOS!$C$127,$C78)),"LD",IF(ISNUMBER(SEARCH(DATOS!$C$128,$C78)),"OI",""))))</f>
        <v/>
      </c>
      <c r="N78" s="78">
        <f>IF($M78="SV",DATOS!$C$101,IF($M78="LD",1,IF($M78="OI",DATOS!$C$100*DATOS!$C$89,0)))</f>
        <v>0</v>
      </c>
      <c r="O78" s="79">
        <f>IF($M78="",0,N($G78)*$N78)</f>
        <v>0</v>
      </c>
      <c r="P78" s="78" t="str">
        <f>IF($M78="SV",DATOS!$C$98,IF($M78="LD",DATOS!$C$103,IF($M78="OI",DATOS!$C$99,"")))</f>
        <v/>
      </c>
      <c r="Q78" s="80" t="str">
        <f>IF(OR($M78="",N($P78)=0),"",$O78/$P78)</f>
        <v/>
      </c>
      <c r="R78" s="78" t="str">
        <f>IF($M78="","",IF(AND($M78&lt;&gt;"LD",N(DATOS!$C$100)&lt;=0),"PENDIENTE: falta R'",IF($Q78&lt;=1,"CUMPLE","NO CUMPLE")))</f>
        <v/>
      </c>
    </row>
    <row r="79">
      <c r="B79" s="74" t="n"/>
      <c r="C79" s="74" t="n"/>
      <c r="D79" s="74" t="n"/>
      <c r="E79" s="74" t="n"/>
      <c r="F79" s="74" t="n"/>
      <c r="G79" s="75" t="n"/>
      <c r="H79" s="76" t="n"/>
      <c r="I79" s="77" t="n"/>
      <c r="J79" s="77" t="n"/>
      <c r="K79" s="77" t="n"/>
      <c r="M79" s="78" t="str">
        <f>IF($C79="","",IF(ISNUMBER(SEARCH(DATOS!$C$126,$C79)),"SV",IF(ISNUMBER(SEARCH(DATOS!$C$127,$C79)),"LD",IF(ISNUMBER(SEARCH(DATOS!$C$128,$C79)),"OI",""))))</f>
        <v/>
      </c>
      <c r="N79" s="78">
        <f>IF($M79="SV",DATOS!$C$101,IF($M79="LD",1,IF($M79="OI",DATOS!$C$100*DATOS!$C$89,0)))</f>
        <v>0</v>
      </c>
      <c r="O79" s="79">
        <f>IF($M79="",0,N($G79)*$N79)</f>
        <v>0</v>
      </c>
      <c r="P79" s="78" t="str">
        <f>IF($M79="SV",DATOS!$C$98,IF($M79="LD",DATOS!$C$103,IF($M79="OI",DATOS!$C$99,"")))</f>
        <v/>
      </c>
      <c r="Q79" s="80" t="str">
        <f>IF(OR($M79="",N($P79)=0),"",$O79/$P79)</f>
        <v/>
      </c>
      <c r="R79" s="78" t="str">
        <f>IF($M79="","",IF(AND($M79&lt;&gt;"LD",N(DATOS!$C$100)&lt;=0),"PENDIENTE: falta R'",IF($Q79&lt;=1,"CUMPLE","NO CUMPLE")))</f>
        <v/>
      </c>
    </row>
    <row r="80">
      <c r="B80" s="74" t="n"/>
      <c r="C80" s="74" t="n"/>
      <c r="D80" s="74" t="n"/>
      <c r="E80" s="74" t="n"/>
      <c r="F80" s="74" t="n"/>
      <c r="G80" s="75" t="n"/>
      <c r="H80" s="76" t="n"/>
      <c r="I80" s="77" t="n"/>
      <c r="J80" s="77" t="n"/>
      <c r="K80" s="77" t="n"/>
      <c r="M80" s="78" t="str">
        <f>IF($C80="","",IF(ISNUMBER(SEARCH(DATOS!$C$126,$C80)),"SV",IF(ISNUMBER(SEARCH(DATOS!$C$127,$C80)),"LD",IF(ISNUMBER(SEARCH(DATOS!$C$128,$C80)),"OI",""))))</f>
        <v/>
      </c>
      <c r="N80" s="78">
        <f>IF($M80="SV",DATOS!$C$101,IF($M80="LD",1,IF($M80="OI",DATOS!$C$100*DATOS!$C$89,0)))</f>
        <v>0</v>
      </c>
      <c r="O80" s="79">
        <f>IF($M80="",0,N($G80)*$N80)</f>
        <v>0</v>
      </c>
      <c r="P80" s="78" t="str">
        <f>IF($M80="SV",DATOS!$C$98,IF($M80="LD",DATOS!$C$103,IF($M80="OI",DATOS!$C$99,"")))</f>
        <v/>
      </c>
      <c r="Q80" s="80" t="str">
        <f>IF(OR($M80="",N($P80)=0),"",$O80/$P80)</f>
        <v/>
      </c>
      <c r="R80" s="78" t="str">
        <f>IF($M80="","",IF(AND($M80&lt;&gt;"LD",N(DATOS!$C$100)&lt;=0),"PENDIENTE: falta R'",IF($Q80&lt;=1,"CUMPLE","NO CUMPLE")))</f>
        <v/>
      </c>
    </row>
    <row r="81">
      <c r="B81" s="74" t="n"/>
      <c r="C81" s="74" t="n"/>
      <c r="D81" s="74" t="n"/>
      <c r="E81" s="74" t="n"/>
      <c r="F81" s="74" t="n"/>
      <c r="G81" s="75" t="n"/>
      <c r="H81" s="76" t="n"/>
      <c r="I81" s="77" t="n"/>
      <c r="J81" s="77" t="n"/>
      <c r="K81" s="77" t="n"/>
      <c r="M81" s="78" t="str">
        <f>IF($C81="","",IF(ISNUMBER(SEARCH(DATOS!$C$126,$C81)),"SV",IF(ISNUMBER(SEARCH(DATOS!$C$127,$C81)),"LD",IF(ISNUMBER(SEARCH(DATOS!$C$128,$C81)),"OI",""))))</f>
        <v/>
      </c>
      <c r="N81" s="78">
        <f>IF($M81="SV",DATOS!$C$101,IF($M81="LD",1,IF($M81="OI",DATOS!$C$100*DATOS!$C$89,0)))</f>
        <v>0</v>
      </c>
      <c r="O81" s="79">
        <f>IF($M81="",0,N($G81)*$N81)</f>
        <v>0</v>
      </c>
      <c r="P81" s="78" t="str">
        <f>IF($M81="SV",DATOS!$C$98,IF($M81="LD",DATOS!$C$103,IF($M81="OI",DATOS!$C$99,"")))</f>
        <v/>
      </c>
      <c r="Q81" s="80" t="str">
        <f>IF(OR($M81="",N($P81)=0),"",$O81/$P81)</f>
        <v/>
      </c>
      <c r="R81" s="78" t="str">
        <f>IF($M81="","",IF(AND($M81&lt;&gt;"LD",N(DATOS!$C$100)&lt;=0),"PENDIENTE: falta R'",IF($Q81&lt;=1,"CUMPLE","NO CUMPLE")))</f>
        <v/>
      </c>
    </row>
    <row r="82">
      <c r="B82" s="74" t="n"/>
      <c r="C82" s="74" t="n"/>
      <c r="D82" s="74" t="n"/>
      <c r="E82" s="74" t="n"/>
      <c r="F82" s="74" t="n"/>
      <c r="G82" s="75" t="n"/>
      <c r="H82" s="76" t="n"/>
      <c r="I82" s="77" t="n"/>
      <c r="J82" s="77" t="n"/>
      <c r="K82" s="77" t="n"/>
      <c r="M82" s="78" t="str">
        <f>IF($C82="","",IF(ISNUMBER(SEARCH(DATOS!$C$126,$C82)),"SV",IF(ISNUMBER(SEARCH(DATOS!$C$127,$C82)),"LD",IF(ISNUMBER(SEARCH(DATOS!$C$128,$C82)),"OI",""))))</f>
        <v/>
      </c>
      <c r="N82" s="78">
        <f>IF($M82="SV",DATOS!$C$101,IF($M82="LD",1,IF($M82="OI",DATOS!$C$100*DATOS!$C$89,0)))</f>
        <v>0</v>
      </c>
      <c r="O82" s="79">
        <f>IF($M82="",0,N($G82)*$N82)</f>
        <v>0</v>
      </c>
      <c r="P82" s="78" t="str">
        <f>IF($M82="SV",DATOS!$C$98,IF($M82="LD",DATOS!$C$103,IF($M82="OI",DATOS!$C$99,"")))</f>
        <v/>
      </c>
      <c r="Q82" s="80" t="str">
        <f>IF(OR($M82="",N($P82)=0),"",$O82/$P82)</f>
        <v/>
      </c>
      <c r="R82" s="78" t="str">
        <f>IF($M82="","",IF(AND($M82&lt;&gt;"LD",N(DATOS!$C$100)&lt;=0),"PENDIENTE: falta R'",IF($Q82&lt;=1,"CUMPLE","NO CUMPLE")))</f>
        <v/>
      </c>
    </row>
    <row r="83">
      <c r="B83" s="74" t="n"/>
      <c r="C83" s="74" t="n"/>
      <c r="D83" s="74" t="n"/>
      <c r="E83" s="74" t="n"/>
      <c r="F83" s="74" t="n"/>
      <c r="G83" s="75" t="n"/>
      <c r="H83" s="76" t="n"/>
      <c r="I83" s="77" t="n"/>
      <c r="J83" s="77" t="n"/>
      <c r="K83" s="77" t="n"/>
      <c r="M83" s="78" t="str">
        <f>IF($C83="","",IF(ISNUMBER(SEARCH(DATOS!$C$126,$C83)),"SV",IF(ISNUMBER(SEARCH(DATOS!$C$127,$C83)),"LD",IF(ISNUMBER(SEARCH(DATOS!$C$128,$C83)),"OI",""))))</f>
        <v/>
      </c>
      <c r="N83" s="78">
        <f>IF($M83="SV",DATOS!$C$101,IF($M83="LD",1,IF($M83="OI",DATOS!$C$100*DATOS!$C$89,0)))</f>
        <v>0</v>
      </c>
      <c r="O83" s="79">
        <f>IF($M83="",0,N($G83)*$N83)</f>
        <v>0</v>
      </c>
      <c r="P83" s="78" t="str">
        <f>IF($M83="SV",DATOS!$C$98,IF($M83="LD",DATOS!$C$103,IF($M83="OI",DATOS!$C$99,"")))</f>
        <v/>
      </c>
      <c r="Q83" s="80" t="str">
        <f>IF(OR($M83="",N($P83)=0),"",$O83/$P83)</f>
        <v/>
      </c>
      <c r="R83" s="78" t="str">
        <f>IF($M83="","",IF(AND($M83&lt;&gt;"LD",N(DATOS!$C$100)&lt;=0),"PENDIENTE: falta R'",IF($Q83&lt;=1,"CUMPLE","NO CUMPLE")))</f>
        <v/>
      </c>
    </row>
    <row r="84">
      <c r="B84" s="74" t="n"/>
      <c r="C84" s="74" t="n"/>
      <c r="D84" s="74" t="n"/>
      <c r="E84" s="74" t="n"/>
      <c r="F84" s="74" t="n"/>
      <c r="G84" s="75" t="n"/>
      <c r="H84" s="76" t="n"/>
      <c r="I84" s="77" t="n"/>
      <c r="J84" s="77" t="n"/>
      <c r="K84" s="77" t="n"/>
      <c r="M84" s="78" t="str">
        <f>IF($C84="","",IF(ISNUMBER(SEARCH(DATOS!$C$126,$C84)),"SV",IF(ISNUMBER(SEARCH(DATOS!$C$127,$C84)),"LD",IF(ISNUMBER(SEARCH(DATOS!$C$128,$C84)),"OI",""))))</f>
        <v/>
      </c>
      <c r="N84" s="78">
        <f>IF($M84="SV",DATOS!$C$101,IF($M84="LD",1,IF($M84="OI",DATOS!$C$100*DATOS!$C$89,0)))</f>
        <v>0</v>
      </c>
      <c r="O84" s="79">
        <f>IF($M84="",0,N($G84)*$N84)</f>
        <v>0</v>
      </c>
      <c r="P84" s="78" t="str">
        <f>IF($M84="SV",DATOS!$C$98,IF($M84="LD",DATOS!$C$103,IF($M84="OI",DATOS!$C$99,"")))</f>
        <v/>
      </c>
      <c r="Q84" s="80" t="str">
        <f>IF(OR($M84="",N($P84)=0),"",$O84/$P84)</f>
        <v/>
      </c>
      <c r="R84" s="78" t="str">
        <f>IF($M84="","",IF(AND($M84&lt;&gt;"LD",N(DATOS!$C$100)&lt;=0),"PENDIENTE: falta R'",IF($Q84&lt;=1,"CUMPLE","NO CUMPLE")))</f>
        <v/>
      </c>
    </row>
    <row r="85">
      <c r="B85" s="74" t="n"/>
      <c r="C85" s="74" t="n"/>
      <c r="D85" s="74" t="n"/>
      <c r="E85" s="74" t="n"/>
      <c r="F85" s="74" t="n"/>
      <c r="G85" s="75" t="n"/>
      <c r="H85" s="76" t="n"/>
      <c r="I85" s="77" t="n"/>
      <c r="J85" s="77" t="n"/>
      <c r="K85" s="77" t="n"/>
      <c r="M85" s="78" t="str">
        <f>IF($C85="","",IF(ISNUMBER(SEARCH(DATOS!$C$126,$C85)),"SV",IF(ISNUMBER(SEARCH(DATOS!$C$127,$C85)),"LD",IF(ISNUMBER(SEARCH(DATOS!$C$128,$C85)),"OI",""))))</f>
        <v/>
      </c>
      <c r="N85" s="78">
        <f>IF($M85="SV",DATOS!$C$101,IF($M85="LD",1,IF($M85="OI",DATOS!$C$100*DATOS!$C$89,0)))</f>
        <v>0</v>
      </c>
      <c r="O85" s="79">
        <f>IF($M85="",0,N($G85)*$N85)</f>
        <v>0</v>
      </c>
      <c r="P85" s="78" t="str">
        <f>IF($M85="SV",DATOS!$C$98,IF($M85="LD",DATOS!$C$103,IF($M85="OI",DATOS!$C$99,"")))</f>
        <v/>
      </c>
      <c r="Q85" s="80" t="str">
        <f>IF(OR($M85="",N($P85)=0),"",$O85/$P85)</f>
        <v/>
      </c>
      <c r="R85" s="78" t="str">
        <f>IF($M85="","",IF(AND($M85&lt;&gt;"LD",N(DATOS!$C$100)&lt;=0),"PENDIENTE: falta R'",IF($Q85&lt;=1,"CUMPLE","NO CUMPLE")))</f>
        <v/>
      </c>
    </row>
    <row r="86">
      <c r="B86" s="74" t="n"/>
      <c r="C86" s="74" t="n"/>
      <c r="D86" s="74" t="n"/>
      <c r="E86" s="74" t="n"/>
      <c r="F86" s="74" t="n"/>
      <c r="G86" s="75" t="n"/>
      <c r="H86" s="76" t="n"/>
      <c r="I86" s="77" t="n"/>
      <c r="J86" s="77" t="n"/>
      <c r="K86" s="77" t="n"/>
      <c r="M86" s="78" t="str">
        <f>IF($C86="","",IF(ISNUMBER(SEARCH(DATOS!$C$126,$C86)),"SV",IF(ISNUMBER(SEARCH(DATOS!$C$127,$C86)),"LD",IF(ISNUMBER(SEARCH(DATOS!$C$128,$C86)),"OI",""))))</f>
        <v/>
      </c>
      <c r="N86" s="78">
        <f>IF($M86="SV",DATOS!$C$101,IF($M86="LD",1,IF($M86="OI",DATOS!$C$100*DATOS!$C$89,0)))</f>
        <v>0</v>
      </c>
      <c r="O86" s="79">
        <f>IF($M86="",0,N($G86)*$N86)</f>
        <v>0</v>
      </c>
      <c r="P86" s="78" t="str">
        <f>IF($M86="SV",DATOS!$C$98,IF($M86="LD",DATOS!$C$103,IF($M86="OI",DATOS!$C$99,"")))</f>
        <v/>
      </c>
      <c r="Q86" s="80" t="str">
        <f>IF(OR($M86="",N($P86)=0),"",$O86/$P86)</f>
        <v/>
      </c>
      <c r="R86" s="78" t="str">
        <f>IF($M86="","",IF(AND($M86&lt;&gt;"LD",N(DATOS!$C$100)&lt;=0),"PENDIENTE: falta R'",IF($Q86&lt;=1,"CUMPLE","NO CUMPLE")))</f>
        <v/>
      </c>
    </row>
    <row r="87">
      <c r="B87" s="74" t="n"/>
      <c r="C87" s="74" t="n"/>
      <c r="D87" s="74" t="n"/>
      <c r="E87" s="74" t="n"/>
      <c r="F87" s="74" t="n"/>
      <c r="G87" s="75" t="n"/>
      <c r="H87" s="76" t="n"/>
      <c r="I87" s="77" t="n"/>
      <c r="J87" s="77" t="n"/>
      <c r="K87" s="77" t="n"/>
      <c r="M87" s="78" t="str">
        <f>IF($C87="","",IF(ISNUMBER(SEARCH(DATOS!$C$126,$C87)),"SV",IF(ISNUMBER(SEARCH(DATOS!$C$127,$C87)),"LD",IF(ISNUMBER(SEARCH(DATOS!$C$128,$C87)),"OI",""))))</f>
        <v/>
      </c>
      <c r="N87" s="78">
        <f>IF($M87="SV",DATOS!$C$101,IF($M87="LD",1,IF($M87="OI",DATOS!$C$100*DATOS!$C$89,0)))</f>
        <v>0</v>
      </c>
      <c r="O87" s="79">
        <f>IF($M87="",0,N($G87)*$N87)</f>
        <v>0</v>
      </c>
      <c r="P87" s="78" t="str">
        <f>IF($M87="SV",DATOS!$C$98,IF($M87="LD",DATOS!$C$103,IF($M87="OI",DATOS!$C$99,"")))</f>
        <v/>
      </c>
      <c r="Q87" s="80" t="str">
        <f>IF(OR($M87="",N($P87)=0),"",$O87/$P87)</f>
        <v/>
      </c>
      <c r="R87" s="78" t="str">
        <f>IF($M87="","",IF(AND($M87&lt;&gt;"LD",N(DATOS!$C$100)&lt;=0),"PENDIENTE: falta R'",IF($Q87&lt;=1,"CUMPLE","NO CUMPLE")))</f>
        <v/>
      </c>
    </row>
    <row r="88">
      <c r="B88" s="74" t="n"/>
      <c r="C88" s="74" t="n"/>
      <c r="D88" s="74" t="n"/>
      <c r="E88" s="74" t="n"/>
      <c r="F88" s="74" t="n"/>
      <c r="G88" s="75" t="n"/>
      <c r="H88" s="76" t="n"/>
      <c r="I88" s="77" t="n"/>
      <c r="J88" s="77" t="n"/>
      <c r="K88" s="77" t="n"/>
      <c r="M88" s="78" t="str">
        <f>IF($C88="","",IF(ISNUMBER(SEARCH(DATOS!$C$126,$C88)),"SV",IF(ISNUMBER(SEARCH(DATOS!$C$127,$C88)),"LD",IF(ISNUMBER(SEARCH(DATOS!$C$128,$C88)),"OI",""))))</f>
        <v/>
      </c>
      <c r="N88" s="78">
        <f>IF($M88="SV",DATOS!$C$101,IF($M88="LD",1,IF($M88="OI",DATOS!$C$100*DATOS!$C$89,0)))</f>
        <v>0</v>
      </c>
      <c r="O88" s="79">
        <f>IF($M88="",0,N($G88)*$N88)</f>
        <v>0</v>
      </c>
      <c r="P88" s="78" t="str">
        <f>IF($M88="SV",DATOS!$C$98,IF($M88="LD",DATOS!$C$103,IF($M88="OI",DATOS!$C$99,"")))</f>
        <v/>
      </c>
      <c r="Q88" s="80" t="str">
        <f>IF(OR($M88="",N($P88)=0),"",$O88/$P88)</f>
        <v/>
      </c>
      <c r="R88" s="78" t="str">
        <f>IF($M88="","",IF(AND($M88&lt;&gt;"LD",N(DATOS!$C$100)&lt;=0),"PENDIENTE: falta R'",IF($Q88&lt;=1,"CUMPLE","NO CUMPLE")))</f>
        <v/>
      </c>
    </row>
    <row r="89">
      <c r="B89" s="74" t="n"/>
      <c r="C89" s="74" t="n"/>
      <c r="D89" s="74" t="n"/>
      <c r="E89" s="74" t="n"/>
      <c r="F89" s="74" t="n"/>
      <c r="G89" s="75" t="n"/>
      <c r="H89" s="76" t="n"/>
      <c r="I89" s="77" t="n"/>
      <c r="J89" s="77" t="n"/>
      <c r="K89" s="77" t="n"/>
      <c r="M89" s="78" t="str">
        <f>IF($C89="","",IF(ISNUMBER(SEARCH(DATOS!$C$126,$C89)),"SV",IF(ISNUMBER(SEARCH(DATOS!$C$127,$C89)),"LD",IF(ISNUMBER(SEARCH(DATOS!$C$128,$C89)),"OI",""))))</f>
        <v/>
      </c>
      <c r="N89" s="78">
        <f>IF($M89="SV",DATOS!$C$101,IF($M89="LD",1,IF($M89="OI",DATOS!$C$100*DATOS!$C$89,0)))</f>
        <v>0</v>
      </c>
      <c r="O89" s="79">
        <f>IF($M89="",0,N($G89)*$N89)</f>
        <v>0</v>
      </c>
      <c r="P89" s="78" t="str">
        <f>IF($M89="SV",DATOS!$C$98,IF($M89="LD",DATOS!$C$103,IF($M89="OI",DATOS!$C$99,"")))</f>
        <v/>
      </c>
      <c r="Q89" s="80" t="str">
        <f>IF(OR($M89="",N($P89)=0),"",$O89/$P89)</f>
        <v/>
      </c>
      <c r="R89" s="78" t="str">
        <f>IF($M89="","",IF(AND($M89&lt;&gt;"LD",N(DATOS!$C$100)&lt;=0),"PENDIENTE: falta R'",IF($Q89&lt;=1,"CUMPLE","NO CUMPLE")))</f>
        <v/>
      </c>
    </row>
    <row r="90">
      <c r="B90" s="74" t="n"/>
      <c r="C90" s="74" t="n"/>
      <c r="D90" s="74" t="n"/>
      <c r="E90" s="74" t="n"/>
      <c r="F90" s="74" t="n"/>
      <c r="G90" s="75" t="n"/>
      <c r="H90" s="76" t="n"/>
      <c r="I90" s="77" t="n"/>
      <c r="J90" s="77" t="n"/>
      <c r="K90" s="77" t="n"/>
      <c r="M90" s="78" t="str">
        <f>IF($C90="","",IF(ISNUMBER(SEARCH(DATOS!$C$126,$C90)),"SV",IF(ISNUMBER(SEARCH(DATOS!$C$127,$C90)),"LD",IF(ISNUMBER(SEARCH(DATOS!$C$128,$C90)),"OI",""))))</f>
        <v/>
      </c>
      <c r="N90" s="78">
        <f>IF($M90="SV",DATOS!$C$101,IF($M90="LD",1,IF($M90="OI",DATOS!$C$100*DATOS!$C$89,0)))</f>
        <v>0</v>
      </c>
      <c r="O90" s="79">
        <f>IF($M90="",0,N($G90)*$N90)</f>
        <v>0</v>
      </c>
      <c r="P90" s="78" t="str">
        <f>IF($M90="SV",DATOS!$C$98,IF($M90="LD",DATOS!$C$103,IF($M90="OI",DATOS!$C$99,"")))</f>
        <v/>
      </c>
      <c r="Q90" s="80" t="str">
        <f>IF(OR($M90="",N($P90)=0),"",$O90/$P90)</f>
        <v/>
      </c>
      <c r="R90" s="78" t="str">
        <f>IF($M90="","",IF(AND($M90&lt;&gt;"LD",N(DATOS!$C$100)&lt;=0),"PENDIENTE: falta R'",IF($Q90&lt;=1,"CUMPLE","NO CUMPLE")))</f>
        <v/>
      </c>
    </row>
    <row r="91">
      <c r="B91" s="74" t="n"/>
      <c r="C91" s="74" t="n"/>
      <c r="D91" s="74" t="n"/>
      <c r="E91" s="74" t="n"/>
      <c r="F91" s="74" t="n"/>
      <c r="G91" s="75" t="n"/>
      <c r="H91" s="76" t="n"/>
      <c r="I91" s="77" t="n"/>
      <c r="J91" s="77" t="n"/>
      <c r="K91" s="77" t="n"/>
      <c r="M91" s="78" t="str">
        <f>IF($C91="","",IF(ISNUMBER(SEARCH(DATOS!$C$126,$C91)),"SV",IF(ISNUMBER(SEARCH(DATOS!$C$127,$C91)),"LD",IF(ISNUMBER(SEARCH(DATOS!$C$128,$C91)),"OI",""))))</f>
        <v/>
      </c>
      <c r="N91" s="78">
        <f>IF($M91="SV",DATOS!$C$101,IF($M91="LD",1,IF($M91="OI",DATOS!$C$100*DATOS!$C$89,0)))</f>
        <v>0</v>
      </c>
      <c r="O91" s="79">
        <f>IF($M91="",0,N($G91)*$N91)</f>
        <v>0</v>
      </c>
      <c r="P91" s="78" t="str">
        <f>IF($M91="SV",DATOS!$C$98,IF($M91="LD",DATOS!$C$103,IF($M91="OI",DATOS!$C$99,"")))</f>
        <v/>
      </c>
      <c r="Q91" s="80" t="str">
        <f>IF(OR($M91="",N($P91)=0),"",$O91/$P91)</f>
        <v/>
      </c>
      <c r="R91" s="78" t="str">
        <f>IF($M91="","",IF(AND($M91&lt;&gt;"LD",N(DATOS!$C$100)&lt;=0),"PENDIENTE: falta R'",IF($Q91&lt;=1,"CUMPLE","NO CUMPLE")))</f>
        <v/>
      </c>
    </row>
    <row r="92">
      <c r="B92" s="74" t="n"/>
      <c r="C92" s="74" t="n"/>
      <c r="D92" s="74" t="n"/>
      <c r="E92" s="74" t="n"/>
      <c r="F92" s="74" t="n"/>
      <c r="G92" s="75" t="n"/>
      <c r="H92" s="76" t="n"/>
      <c r="I92" s="77" t="n"/>
      <c r="J92" s="77" t="n"/>
      <c r="K92" s="77" t="n"/>
      <c r="M92" s="78" t="str">
        <f>IF($C92="","",IF(ISNUMBER(SEARCH(DATOS!$C$126,$C92)),"SV",IF(ISNUMBER(SEARCH(DATOS!$C$127,$C92)),"LD",IF(ISNUMBER(SEARCH(DATOS!$C$128,$C92)),"OI",""))))</f>
        <v/>
      </c>
      <c r="N92" s="78">
        <f>IF($M92="SV",DATOS!$C$101,IF($M92="LD",1,IF($M92="OI",DATOS!$C$100*DATOS!$C$89,0)))</f>
        <v>0</v>
      </c>
      <c r="O92" s="79">
        <f>IF($M92="",0,N($G92)*$N92)</f>
        <v>0</v>
      </c>
      <c r="P92" s="78" t="str">
        <f>IF($M92="SV",DATOS!$C$98,IF($M92="LD",DATOS!$C$103,IF($M92="OI",DATOS!$C$99,"")))</f>
        <v/>
      </c>
      <c r="Q92" s="80" t="str">
        <f>IF(OR($M92="",N($P92)=0),"",$O92/$P92)</f>
        <v/>
      </c>
      <c r="R92" s="78" t="str">
        <f>IF($M92="","",IF(AND($M92&lt;&gt;"LD",N(DATOS!$C$100)&lt;=0),"PENDIENTE: falta R'",IF($Q92&lt;=1,"CUMPLE","NO CUMPLE")))</f>
        <v/>
      </c>
    </row>
    <row r="93">
      <c r="B93" s="74" t="n"/>
      <c r="C93" s="74" t="n"/>
      <c r="D93" s="74" t="n"/>
      <c r="E93" s="74" t="n"/>
      <c r="F93" s="74" t="n"/>
      <c r="G93" s="75" t="n"/>
      <c r="H93" s="76" t="n"/>
      <c r="I93" s="77" t="n"/>
      <c r="J93" s="77" t="n"/>
      <c r="K93" s="77" t="n"/>
      <c r="M93" s="78" t="str">
        <f>IF($C93="","",IF(ISNUMBER(SEARCH(DATOS!$C$126,$C93)),"SV",IF(ISNUMBER(SEARCH(DATOS!$C$127,$C93)),"LD",IF(ISNUMBER(SEARCH(DATOS!$C$128,$C93)),"OI",""))))</f>
        <v/>
      </c>
      <c r="N93" s="78">
        <f>IF($M93="SV",DATOS!$C$101,IF($M93="LD",1,IF($M93="OI",DATOS!$C$100*DATOS!$C$89,0)))</f>
        <v>0</v>
      </c>
      <c r="O93" s="79">
        <f>IF($M93="",0,N($G93)*$N93)</f>
        <v>0</v>
      </c>
      <c r="P93" s="78" t="str">
        <f>IF($M93="SV",DATOS!$C$98,IF($M93="LD",DATOS!$C$103,IF($M93="OI",DATOS!$C$99,"")))</f>
        <v/>
      </c>
      <c r="Q93" s="80" t="str">
        <f>IF(OR($M93="",N($P93)=0),"",$O93/$P93)</f>
        <v/>
      </c>
      <c r="R93" s="78" t="str">
        <f>IF($M93="","",IF(AND($M93&lt;&gt;"LD",N(DATOS!$C$100)&lt;=0),"PENDIENTE: falta R'",IF($Q93&lt;=1,"CUMPLE","NO CUMPLE")))</f>
        <v/>
      </c>
    </row>
    <row r="94">
      <c r="B94" s="74" t="n"/>
      <c r="C94" s="74" t="n"/>
      <c r="D94" s="74" t="n"/>
      <c r="E94" s="74" t="n"/>
      <c r="F94" s="74" t="n"/>
      <c r="G94" s="75" t="n"/>
      <c r="H94" s="76" t="n"/>
      <c r="I94" s="77" t="n"/>
      <c r="J94" s="77" t="n"/>
      <c r="K94" s="77" t="n"/>
      <c r="M94" s="78" t="str">
        <f>IF($C94="","",IF(ISNUMBER(SEARCH(DATOS!$C$126,$C94)),"SV",IF(ISNUMBER(SEARCH(DATOS!$C$127,$C94)),"LD",IF(ISNUMBER(SEARCH(DATOS!$C$128,$C94)),"OI",""))))</f>
        <v/>
      </c>
      <c r="N94" s="78">
        <f>IF($M94="SV",DATOS!$C$101,IF($M94="LD",1,IF($M94="OI",DATOS!$C$100*DATOS!$C$89,0)))</f>
        <v>0</v>
      </c>
      <c r="O94" s="79">
        <f>IF($M94="",0,N($G94)*$N94)</f>
        <v>0</v>
      </c>
      <c r="P94" s="78" t="str">
        <f>IF($M94="SV",DATOS!$C$98,IF($M94="LD",DATOS!$C$103,IF($M94="OI",DATOS!$C$99,"")))</f>
        <v/>
      </c>
      <c r="Q94" s="80" t="str">
        <f>IF(OR($M94="",N($P94)=0),"",$O94/$P94)</f>
        <v/>
      </c>
      <c r="R94" s="78" t="str">
        <f>IF($M94="","",IF(AND($M94&lt;&gt;"LD",N(DATOS!$C$100)&lt;=0),"PENDIENTE: falta R'",IF($Q94&lt;=1,"CUMPLE","NO CUMPLE")))</f>
        <v/>
      </c>
    </row>
    <row r="95">
      <c r="B95" s="74" t="n"/>
      <c r="C95" s="74" t="n"/>
      <c r="D95" s="74" t="n"/>
      <c r="E95" s="74" t="n"/>
      <c r="F95" s="74" t="n"/>
      <c r="G95" s="75" t="n"/>
      <c r="H95" s="76" t="n"/>
      <c r="I95" s="77" t="n"/>
      <c r="J95" s="77" t="n"/>
      <c r="K95" s="77" t="n"/>
      <c r="M95" s="78" t="str">
        <f>IF($C95="","",IF(ISNUMBER(SEARCH(DATOS!$C$126,$C95)),"SV",IF(ISNUMBER(SEARCH(DATOS!$C$127,$C95)),"LD",IF(ISNUMBER(SEARCH(DATOS!$C$128,$C95)),"OI",""))))</f>
        <v/>
      </c>
      <c r="N95" s="78">
        <f>IF($M95="SV",DATOS!$C$101,IF($M95="LD",1,IF($M95="OI",DATOS!$C$100*DATOS!$C$89,0)))</f>
        <v>0</v>
      </c>
      <c r="O95" s="79">
        <f>IF($M95="",0,N($G95)*$N95)</f>
        <v>0</v>
      </c>
      <c r="P95" s="78" t="str">
        <f>IF($M95="SV",DATOS!$C$98,IF($M95="LD",DATOS!$C$103,IF($M95="OI",DATOS!$C$99,"")))</f>
        <v/>
      </c>
      <c r="Q95" s="80" t="str">
        <f>IF(OR($M95="",N($P95)=0),"",$O95/$P95)</f>
        <v/>
      </c>
      <c r="R95" s="78" t="str">
        <f>IF($M95="","",IF(AND($M95&lt;&gt;"LD",N(DATOS!$C$100)&lt;=0),"PENDIENTE: falta R'",IF($Q95&lt;=1,"CUMPLE","NO CUMPLE")))</f>
        <v/>
      </c>
    </row>
    <row r="96">
      <c r="B96" s="74" t="n"/>
      <c r="C96" s="74" t="n"/>
      <c r="D96" s="74" t="n"/>
      <c r="E96" s="74" t="n"/>
      <c r="F96" s="74" t="n"/>
      <c r="G96" s="75" t="n"/>
      <c r="H96" s="76" t="n"/>
      <c r="I96" s="77" t="n"/>
      <c r="J96" s="77" t="n"/>
      <c r="K96" s="77" t="n"/>
      <c r="M96" s="78" t="str">
        <f>IF($C96="","",IF(ISNUMBER(SEARCH(DATOS!$C$126,$C96)),"SV",IF(ISNUMBER(SEARCH(DATOS!$C$127,$C96)),"LD",IF(ISNUMBER(SEARCH(DATOS!$C$128,$C96)),"OI",""))))</f>
        <v/>
      </c>
      <c r="N96" s="78">
        <f>IF($M96="SV",DATOS!$C$101,IF($M96="LD",1,IF($M96="OI",DATOS!$C$100*DATOS!$C$89,0)))</f>
        <v>0</v>
      </c>
      <c r="O96" s="79">
        <f>IF($M96="",0,N($G96)*$N96)</f>
        <v>0</v>
      </c>
      <c r="P96" s="78" t="str">
        <f>IF($M96="SV",DATOS!$C$98,IF($M96="LD",DATOS!$C$103,IF($M96="OI",DATOS!$C$99,"")))</f>
        <v/>
      </c>
      <c r="Q96" s="80" t="str">
        <f>IF(OR($M96="",N($P96)=0),"",$O96/$P96)</f>
        <v/>
      </c>
      <c r="R96" s="78" t="str">
        <f>IF($M96="","",IF(AND($M96&lt;&gt;"LD",N(DATOS!$C$100)&lt;=0),"PENDIENTE: falta R'",IF($Q96&lt;=1,"CUMPLE","NO CUMPLE")))</f>
        <v/>
      </c>
    </row>
    <row r="97">
      <c r="B97" s="74" t="n"/>
      <c r="C97" s="74" t="n"/>
      <c r="D97" s="74" t="n"/>
      <c r="E97" s="74" t="n"/>
      <c r="F97" s="74" t="n"/>
      <c r="G97" s="75" t="n"/>
      <c r="H97" s="76" t="n"/>
      <c r="I97" s="77" t="n"/>
      <c r="J97" s="77" t="n"/>
      <c r="K97" s="77" t="n"/>
      <c r="M97" s="78" t="str">
        <f>IF($C97="","",IF(ISNUMBER(SEARCH(DATOS!$C$126,$C97)),"SV",IF(ISNUMBER(SEARCH(DATOS!$C$127,$C97)),"LD",IF(ISNUMBER(SEARCH(DATOS!$C$128,$C97)),"OI",""))))</f>
        <v/>
      </c>
      <c r="N97" s="78">
        <f>IF($M97="SV",DATOS!$C$101,IF($M97="LD",1,IF($M97="OI",DATOS!$C$100*DATOS!$C$89,0)))</f>
        <v>0</v>
      </c>
      <c r="O97" s="79">
        <f>IF($M97="",0,N($G97)*$N97)</f>
        <v>0</v>
      </c>
      <c r="P97" s="78" t="str">
        <f>IF($M97="SV",DATOS!$C$98,IF($M97="LD",DATOS!$C$103,IF($M97="OI",DATOS!$C$99,"")))</f>
        <v/>
      </c>
      <c r="Q97" s="80" t="str">
        <f>IF(OR($M97="",N($P97)=0),"",$O97/$P97)</f>
        <v/>
      </c>
      <c r="R97" s="78" t="str">
        <f>IF($M97="","",IF(AND($M97&lt;&gt;"LD",N(DATOS!$C$100)&lt;=0),"PENDIENTE: falta R'",IF($Q97&lt;=1,"CUMPLE","NO CUMPLE")))</f>
        <v/>
      </c>
    </row>
    <row r="98">
      <c r="B98" s="74" t="n"/>
      <c r="C98" s="74" t="n"/>
      <c r="D98" s="74" t="n"/>
      <c r="E98" s="74" t="n"/>
      <c r="F98" s="74" t="n"/>
      <c r="G98" s="75" t="n"/>
      <c r="H98" s="76" t="n"/>
      <c r="I98" s="77" t="n"/>
      <c r="J98" s="77" t="n"/>
      <c r="K98" s="77" t="n"/>
      <c r="M98" s="78" t="str">
        <f>IF($C98="","",IF(ISNUMBER(SEARCH(DATOS!$C$126,$C98)),"SV",IF(ISNUMBER(SEARCH(DATOS!$C$127,$C98)),"LD",IF(ISNUMBER(SEARCH(DATOS!$C$128,$C98)),"OI",""))))</f>
        <v/>
      </c>
      <c r="N98" s="78">
        <f>IF($M98="SV",DATOS!$C$101,IF($M98="LD",1,IF($M98="OI",DATOS!$C$100*DATOS!$C$89,0)))</f>
        <v>0</v>
      </c>
      <c r="O98" s="79">
        <f>IF($M98="",0,N($G98)*$N98)</f>
        <v>0</v>
      </c>
      <c r="P98" s="78" t="str">
        <f>IF($M98="SV",DATOS!$C$98,IF($M98="LD",DATOS!$C$103,IF($M98="OI",DATOS!$C$99,"")))</f>
        <v/>
      </c>
      <c r="Q98" s="80" t="str">
        <f>IF(OR($M98="",N($P98)=0),"",$O98/$P98)</f>
        <v/>
      </c>
      <c r="R98" s="78" t="str">
        <f>IF($M98="","",IF(AND($M98&lt;&gt;"LD",N(DATOS!$C$100)&lt;=0),"PENDIENTE: falta R'",IF($Q98&lt;=1,"CUMPLE","NO CUMPLE")))</f>
        <v/>
      </c>
    </row>
    <row r="99">
      <c r="B99" s="74" t="n"/>
      <c r="C99" s="74" t="n"/>
      <c r="D99" s="74" t="n"/>
      <c r="E99" s="74" t="n"/>
      <c r="F99" s="74" t="n"/>
      <c r="G99" s="75" t="n"/>
      <c r="H99" s="76" t="n"/>
      <c r="I99" s="77" t="n"/>
      <c r="J99" s="77" t="n"/>
      <c r="K99" s="77" t="n"/>
      <c r="M99" s="78" t="str">
        <f>IF($C99="","",IF(ISNUMBER(SEARCH(DATOS!$C$126,$C99)),"SV",IF(ISNUMBER(SEARCH(DATOS!$C$127,$C99)),"LD",IF(ISNUMBER(SEARCH(DATOS!$C$128,$C99)),"OI",""))))</f>
        <v/>
      </c>
      <c r="N99" s="78">
        <f>IF($M99="SV",DATOS!$C$101,IF($M99="LD",1,IF($M99="OI",DATOS!$C$100*DATOS!$C$89,0)))</f>
        <v>0</v>
      </c>
      <c r="O99" s="79">
        <f>IF($M99="",0,N($G99)*$N99)</f>
        <v>0</v>
      </c>
      <c r="P99" s="78" t="str">
        <f>IF($M99="SV",DATOS!$C$98,IF($M99="LD",DATOS!$C$103,IF($M99="OI",DATOS!$C$99,"")))</f>
        <v/>
      </c>
      <c r="Q99" s="80" t="str">
        <f>IF(OR($M99="",N($P99)=0),"",$O99/$P99)</f>
        <v/>
      </c>
      <c r="R99" s="78" t="str">
        <f>IF($M99="","",IF(AND($M99&lt;&gt;"LD",N(DATOS!$C$100)&lt;=0),"PENDIENTE: falta R'",IF($Q99&lt;=1,"CUMPLE","NO CUMPLE")))</f>
        <v/>
      </c>
    </row>
    <row r="100">
      <c r="B100" s="74" t="n"/>
      <c r="C100" s="74" t="n"/>
      <c r="D100" s="74" t="n"/>
      <c r="E100" s="74" t="n"/>
      <c r="F100" s="74" t="n"/>
      <c r="G100" s="75" t="n"/>
      <c r="H100" s="76" t="n"/>
      <c r="I100" s="77" t="n"/>
      <c r="J100" s="77" t="n"/>
      <c r="K100" s="77" t="n"/>
      <c r="M100" s="78" t="str">
        <f>IF($C100="","",IF(ISNUMBER(SEARCH(DATOS!$C$126,$C100)),"SV",IF(ISNUMBER(SEARCH(DATOS!$C$127,$C100)),"LD",IF(ISNUMBER(SEARCH(DATOS!$C$128,$C100)),"OI",""))))</f>
        <v/>
      </c>
      <c r="N100" s="78">
        <f>IF($M100="SV",DATOS!$C$101,IF($M100="LD",1,IF($M100="OI",DATOS!$C$100*DATOS!$C$89,0)))</f>
        <v>0</v>
      </c>
      <c r="O100" s="79">
        <f>IF($M100="",0,N($G100)*$N100)</f>
        <v>0</v>
      </c>
      <c r="P100" s="78" t="str">
        <f>IF($M100="SV",DATOS!$C$98,IF($M100="LD",DATOS!$C$103,IF($M100="OI",DATOS!$C$99,"")))</f>
        <v/>
      </c>
      <c r="Q100" s="80" t="str">
        <f>IF(OR($M100="",N($P100)=0),"",$O100/$P100)</f>
        <v/>
      </c>
      <c r="R100" s="78" t="str">
        <f>IF($M100="","",IF(AND($M100&lt;&gt;"LD",N(DATOS!$C$100)&lt;=0),"PENDIENTE: falta R'",IF($Q100&lt;=1,"CUMPLE","NO CUMPLE")))</f>
        <v/>
      </c>
    </row>
    <row r="101">
      <c r="B101" s="74" t="n"/>
      <c r="C101" s="74" t="n"/>
      <c r="D101" s="74" t="n"/>
      <c r="E101" s="74" t="n"/>
      <c r="F101" s="74" t="n"/>
      <c r="G101" s="75" t="n"/>
      <c r="H101" s="76" t="n"/>
      <c r="I101" s="77" t="n"/>
      <c r="J101" s="77" t="n"/>
      <c r="K101" s="77" t="n"/>
      <c r="M101" s="78" t="str">
        <f>IF($C101="","",IF(ISNUMBER(SEARCH(DATOS!$C$126,$C101)),"SV",IF(ISNUMBER(SEARCH(DATOS!$C$127,$C101)),"LD",IF(ISNUMBER(SEARCH(DATOS!$C$128,$C101)),"OI",""))))</f>
        <v/>
      </c>
      <c r="N101" s="78">
        <f>IF($M101="SV",DATOS!$C$101,IF($M101="LD",1,IF($M101="OI",DATOS!$C$100*DATOS!$C$89,0)))</f>
        <v>0</v>
      </c>
      <c r="O101" s="79">
        <f>IF($M101="",0,N($G101)*$N101)</f>
        <v>0</v>
      </c>
      <c r="P101" s="78" t="str">
        <f>IF($M101="SV",DATOS!$C$98,IF($M101="LD",DATOS!$C$103,IF($M101="OI",DATOS!$C$99,"")))</f>
        <v/>
      </c>
      <c r="Q101" s="80" t="str">
        <f>IF(OR($M101="",N($P101)=0),"",$O101/$P101)</f>
        <v/>
      </c>
      <c r="R101" s="78" t="str">
        <f>IF($M101="","",IF(AND($M101&lt;&gt;"LD",N(DATOS!$C$100)&lt;=0),"PENDIENTE: falta R'",IF($Q101&lt;=1,"CUMPLE","NO CUMPLE")))</f>
        <v/>
      </c>
    </row>
    <row r="102">
      <c r="B102" s="74" t="n"/>
      <c r="C102" s="74" t="n"/>
      <c r="D102" s="74" t="n"/>
      <c r="E102" s="74" t="n"/>
      <c r="F102" s="74" t="n"/>
      <c r="G102" s="75" t="n"/>
      <c r="H102" s="76" t="n"/>
      <c r="I102" s="77" t="n"/>
      <c r="J102" s="77" t="n"/>
      <c r="K102" s="77" t="n"/>
      <c r="M102" s="78" t="str">
        <f>IF($C102="","",IF(ISNUMBER(SEARCH(DATOS!$C$126,$C102)),"SV",IF(ISNUMBER(SEARCH(DATOS!$C$127,$C102)),"LD",IF(ISNUMBER(SEARCH(DATOS!$C$128,$C102)),"OI",""))))</f>
        <v/>
      </c>
      <c r="N102" s="78">
        <f>IF($M102="SV",DATOS!$C$101,IF($M102="LD",1,IF($M102="OI",DATOS!$C$100*DATOS!$C$89,0)))</f>
        <v>0</v>
      </c>
      <c r="O102" s="79">
        <f>IF($M102="",0,N($G102)*$N102)</f>
        <v>0</v>
      </c>
      <c r="P102" s="78" t="str">
        <f>IF($M102="SV",DATOS!$C$98,IF($M102="LD",DATOS!$C$103,IF($M102="OI",DATOS!$C$99,"")))</f>
        <v/>
      </c>
      <c r="Q102" s="80" t="str">
        <f>IF(OR($M102="",N($P102)=0),"",$O102/$P102)</f>
        <v/>
      </c>
      <c r="R102" s="78" t="str">
        <f>IF($M102="","",IF(AND($M102&lt;&gt;"LD",N(DATOS!$C$100)&lt;=0),"PENDIENTE: falta R'",IF($Q102&lt;=1,"CUMPLE","NO CUMPLE")))</f>
        <v/>
      </c>
    </row>
    <row r="103">
      <c r="B103" s="74" t="n"/>
      <c r="C103" s="74" t="n"/>
      <c r="D103" s="74" t="n"/>
      <c r="E103" s="74" t="n"/>
      <c r="F103" s="74" t="n"/>
      <c r="G103" s="75" t="n"/>
      <c r="H103" s="76" t="n"/>
      <c r="I103" s="77" t="n"/>
      <c r="J103" s="77" t="n"/>
      <c r="K103" s="77" t="n"/>
      <c r="M103" s="78" t="str">
        <f>IF($C103="","",IF(ISNUMBER(SEARCH(DATOS!$C$126,$C103)),"SV",IF(ISNUMBER(SEARCH(DATOS!$C$127,$C103)),"LD",IF(ISNUMBER(SEARCH(DATOS!$C$128,$C103)),"OI",""))))</f>
        <v/>
      </c>
      <c r="N103" s="78">
        <f>IF($M103="SV",DATOS!$C$101,IF($M103="LD",1,IF($M103="OI",DATOS!$C$100*DATOS!$C$89,0)))</f>
        <v>0</v>
      </c>
      <c r="O103" s="79">
        <f>IF($M103="",0,N($G103)*$N103)</f>
        <v>0</v>
      </c>
      <c r="P103" s="78" t="str">
        <f>IF($M103="SV",DATOS!$C$98,IF($M103="LD",DATOS!$C$103,IF($M103="OI",DATOS!$C$99,"")))</f>
        <v/>
      </c>
      <c r="Q103" s="80" t="str">
        <f>IF(OR($M103="",N($P103)=0),"",$O103/$P103)</f>
        <v/>
      </c>
      <c r="R103" s="78" t="str">
        <f>IF($M103="","",IF(AND($M103&lt;&gt;"LD",N(DATOS!$C$100)&lt;=0),"PENDIENTE: falta R'",IF($Q103&lt;=1,"CUMPLE","NO CUMPLE")))</f>
        <v/>
      </c>
    </row>
    <row r="104">
      <c r="B104" s="74" t="n"/>
      <c r="C104" s="74" t="n"/>
      <c r="D104" s="74" t="n"/>
      <c r="E104" s="74" t="n"/>
      <c r="F104" s="74" t="n"/>
      <c r="G104" s="75" t="n"/>
      <c r="H104" s="76" t="n"/>
      <c r="I104" s="77" t="n"/>
      <c r="J104" s="77" t="n"/>
      <c r="K104" s="77" t="n"/>
      <c r="M104" s="78" t="str">
        <f>IF($C104="","",IF(ISNUMBER(SEARCH(DATOS!$C$126,$C104)),"SV",IF(ISNUMBER(SEARCH(DATOS!$C$127,$C104)),"LD",IF(ISNUMBER(SEARCH(DATOS!$C$128,$C104)),"OI",""))))</f>
        <v/>
      </c>
      <c r="N104" s="78">
        <f>IF($M104="SV",DATOS!$C$101,IF($M104="LD",1,IF($M104="OI",DATOS!$C$100*DATOS!$C$89,0)))</f>
        <v>0</v>
      </c>
      <c r="O104" s="79">
        <f>IF($M104="",0,N($G104)*$N104)</f>
        <v>0</v>
      </c>
      <c r="P104" s="78" t="str">
        <f>IF($M104="SV",DATOS!$C$98,IF($M104="LD",DATOS!$C$103,IF($M104="OI",DATOS!$C$99,"")))</f>
        <v/>
      </c>
      <c r="Q104" s="80" t="str">
        <f>IF(OR($M104="",N($P104)=0),"",$O104/$P104)</f>
        <v/>
      </c>
      <c r="R104" s="78" t="str">
        <f>IF($M104="","",IF(AND($M104&lt;&gt;"LD",N(DATOS!$C$100)&lt;=0),"PENDIENTE: falta R'",IF($Q104&lt;=1,"CUMPLE","NO CUMPLE")))</f>
        <v/>
      </c>
    </row>
    <row r="105">
      <c r="B105" s="74" t="n"/>
      <c r="C105" s="74" t="n"/>
      <c r="D105" s="74" t="n"/>
      <c r="E105" s="74" t="n"/>
      <c r="F105" s="74" t="n"/>
      <c r="G105" s="75" t="n"/>
      <c r="H105" s="76" t="n"/>
      <c r="I105" s="77" t="n"/>
      <c r="J105" s="77" t="n"/>
      <c r="K105" s="77" t="n"/>
      <c r="M105" s="78" t="str">
        <f>IF($C105="","",IF(ISNUMBER(SEARCH(DATOS!$C$126,$C105)),"SV",IF(ISNUMBER(SEARCH(DATOS!$C$127,$C105)),"LD",IF(ISNUMBER(SEARCH(DATOS!$C$128,$C105)),"OI",""))))</f>
        <v/>
      </c>
      <c r="N105" s="78">
        <f>IF($M105="SV",DATOS!$C$101,IF($M105="LD",1,IF($M105="OI",DATOS!$C$100*DATOS!$C$89,0)))</f>
        <v>0</v>
      </c>
      <c r="O105" s="79">
        <f>IF($M105="",0,N($G105)*$N105)</f>
        <v>0</v>
      </c>
      <c r="P105" s="78" t="str">
        <f>IF($M105="SV",DATOS!$C$98,IF($M105="LD",DATOS!$C$103,IF($M105="OI",DATOS!$C$99,"")))</f>
        <v/>
      </c>
      <c r="Q105" s="80" t="str">
        <f>IF(OR($M105="",N($P105)=0),"",$O105/$P105)</f>
        <v/>
      </c>
      <c r="R105" s="78" t="str">
        <f>IF($M105="","",IF(AND($M105&lt;&gt;"LD",N(DATOS!$C$100)&lt;=0),"PENDIENTE: falta R'",IF($Q105&lt;=1,"CUMPLE","NO CUMPLE")))</f>
        <v/>
      </c>
    </row>
    <row r="106">
      <c r="B106" s="74" t="n"/>
      <c r="C106" s="74" t="n"/>
      <c r="D106" s="74" t="n"/>
      <c r="E106" s="74" t="n"/>
      <c r="F106" s="74" t="n"/>
      <c r="G106" s="75" t="n"/>
      <c r="H106" s="76" t="n"/>
      <c r="I106" s="77" t="n"/>
      <c r="J106" s="77" t="n"/>
      <c r="K106" s="77" t="n"/>
      <c r="M106" s="78" t="str">
        <f>IF($C106="","",IF(ISNUMBER(SEARCH(DATOS!$C$126,$C106)),"SV",IF(ISNUMBER(SEARCH(DATOS!$C$127,$C106)),"LD",IF(ISNUMBER(SEARCH(DATOS!$C$128,$C106)),"OI",""))))</f>
        <v/>
      </c>
      <c r="N106" s="78">
        <f>IF($M106="SV",DATOS!$C$101,IF($M106="LD",1,IF($M106="OI",DATOS!$C$100*DATOS!$C$89,0)))</f>
        <v>0</v>
      </c>
      <c r="O106" s="79">
        <f>IF($M106="",0,N($G106)*$N106)</f>
        <v>0</v>
      </c>
      <c r="P106" s="78" t="str">
        <f>IF($M106="SV",DATOS!$C$98,IF($M106="LD",DATOS!$C$103,IF($M106="OI",DATOS!$C$99,"")))</f>
        <v/>
      </c>
      <c r="Q106" s="80" t="str">
        <f>IF(OR($M106="",N($P106)=0),"",$O106/$P106)</f>
        <v/>
      </c>
      <c r="R106" s="78" t="str">
        <f>IF($M106="","",IF(AND($M106&lt;&gt;"LD",N(DATOS!$C$100)&lt;=0),"PENDIENTE: falta R'",IF($Q106&lt;=1,"CUMPLE","NO CUMPLE")))</f>
        <v/>
      </c>
    </row>
    <row r="107">
      <c r="B107" s="74" t="n"/>
      <c r="C107" s="74" t="n"/>
      <c r="D107" s="74" t="n"/>
      <c r="E107" s="74" t="n"/>
      <c r="F107" s="74" t="n"/>
      <c r="G107" s="75" t="n"/>
      <c r="H107" s="76" t="n"/>
      <c r="I107" s="77" t="n"/>
      <c r="J107" s="77" t="n"/>
      <c r="K107" s="77" t="n"/>
      <c r="M107" s="78" t="str">
        <f>IF($C107="","",IF(ISNUMBER(SEARCH(DATOS!$C$126,$C107)),"SV",IF(ISNUMBER(SEARCH(DATOS!$C$127,$C107)),"LD",IF(ISNUMBER(SEARCH(DATOS!$C$128,$C107)),"OI",""))))</f>
        <v/>
      </c>
      <c r="N107" s="78">
        <f>IF($M107="SV",DATOS!$C$101,IF($M107="LD",1,IF($M107="OI",DATOS!$C$100*DATOS!$C$89,0)))</f>
        <v>0</v>
      </c>
      <c r="O107" s="79">
        <f>IF($M107="",0,N($G107)*$N107)</f>
        <v>0</v>
      </c>
      <c r="P107" s="78" t="str">
        <f>IF($M107="SV",DATOS!$C$98,IF($M107="LD",DATOS!$C$103,IF($M107="OI",DATOS!$C$99,"")))</f>
        <v/>
      </c>
      <c r="Q107" s="80" t="str">
        <f>IF(OR($M107="",N($P107)=0),"",$O107/$P107)</f>
        <v/>
      </c>
      <c r="R107" s="78" t="str">
        <f>IF($M107="","",IF(AND($M107&lt;&gt;"LD",N(DATOS!$C$100)&lt;=0),"PENDIENTE: falta R'",IF($Q107&lt;=1,"CUMPLE","NO CUMPLE")))</f>
        <v/>
      </c>
    </row>
    <row r="108">
      <c r="B108" s="74" t="n"/>
      <c r="C108" s="74" t="n"/>
      <c r="D108" s="74" t="n"/>
      <c r="E108" s="74" t="n"/>
      <c r="F108" s="74" t="n"/>
      <c r="G108" s="75" t="n"/>
      <c r="H108" s="76" t="n"/>
      <c r="I108" s="77" t="n"/>
      <c r="J108" s="77" t="n"/>
      <c r="K108" s="77" t="n"/>
      <c r="M108" s="78" t="str">
        <f>IF($C108="","",IF(ISNUMBER(SEARCH(DATOS!$C$126,$C108)),"SV",IF(ISNUMBER(SEARCH(DATOS!$C$127,$C108)),"LD",IF(ISNUMBER(SEARCH(DATOS!$C$128,$C108)),"OI",""))))</f>
        <v/>
      </c>
      <c r="N108" s="78">
        <f>IF($M108="SV",DATOS!$C$101,IF($M108="LD",1,IF($M108="OI",DATOS!$C$100*DATOS!$C$89,0)))</f>
        <v>0</v>
      </c>
      <c r="O108" s="79">
        <f>IF($M108="",0,N($G108)*$N108)</f>
        <v>0</v>
      </c>
      <c r="P108" s="78" t="str">
        <f>IF($M108="SV",DATOS!$C$98,IF($M108="LD",DATOS!$C$103,IF($M108="OI",DATOS!$C$99,"")))</f>
        <v/>
      </c>
      <c r="Q108" s="80" t="str">
        <f>IF(OR($M108="",N($P108)=0),"",$O108/$P108)</f>
        <v/>
      </c>
      <c r="R108" s="78" t="str">
        <f>IF($M108="","",IF(AND($M108&lt;&gt;"LD",N(DATOS!$C$100)&lt;=0),"PENDIENTE: falta R'",IF($Q108&lt;=1,"CUMPLE","NO CUMPLE")))</f>
        <v/>
      </c>
    </row>
    <row r="109">
      <c r="B109" s="74" t="n"/>
      <c r="C109" s="74" t="n"/>
      <c r="D109" s="74" t="n"/>
      <c r="E109" s="74" t="n"/>
      <c r="F109" s="74" t="n"/>
      <c r="G109" s="75" t="n"/>
      <c r="H109" s="76" t="n"/>
      <c r="I109" s="77" t="n"/>
      <c r="J109" s="77" t="n"/>
      <c r="K109" s="77" t="n"/>
      <c r="M109" s="78" t="str">
        <f>IF($C109="","",IF(ISNUMBER(SEARCH(DATOS!$C$126,$C109)),"SV",IF(ISNUMBER(SEARCH(DATOS!$C$127,$C109)),"LD",IF(ISNUMBER(SEARCH(DATOS!$C$128,$C109)),"OI",""))))</f>
        <v/>
      </c>
      <c r="N109" s="78">
        <f>IF($M109="SV",DATOS!$C$101,IF($M109="LD",1,IF($M109="OI",DATOS!$C$100*DATOS!$C$89,0)))</f>
        <v>0</v>
      </c>
      <c r="O109" s="79">
        <f>IF($M109="",0,N($G109)*$N109)</f>
        <v>0</v>
      </c>
      <c r="P109" s="78" t="str">
        <f>IF($M109="SV",DATOS!$C$98,IF($M109="LD",DATOS!$C$103,IF($M109="OI",DATOS!$C$99,"")))</f>
        <v/>
      </c>
      <c r="Q109" s="80" t="str">
        <f>IF(OR($M109="",N($P109)=0),"",$O109/$P109)</f>
        <v/>
      </c>
      <c r="R109" s="78" t="str">
        <f>IF($M109="","",IF(AND($M109&lt;&gt;"LD",N(DATOS!$C$100)&lt;=0),"PENDIENTE: falta R'",IF($Q109&lt;=1,"CUMPLE","NO CUMPLE")))</f>
        <v/>
      </c>
    </row>
    <row r="110">
      <c r="B110" s="74" t="n"/>
      <c r="C110" s="74" t="n"/>
      <c r="D110" s="74" t="n"/>
      <c r="E110" s="74" t="n"/>
      <c r="F110" s="74" t="n"/>
      <c r="G110" s="75" t="n"/>
      <c r="H110" s="76" t="n"/>
      <c r="I110" s="77" t="n"/>
      <c r="J110" s="77" t="n"/>
      <c r="K110" s="77" t="n"/>
      <c r="M110" s="78" t="str">
        <f>IF($C110="","",IF(ISNUMBER(SEARCH(DATOS!$C$126,$C110)),"SV",IF(ISNUMBER(SEARCH(DATOS!$C$127,$C110)),"LD",IF(ISNUMBER(SEARCH(DATOS!$C$128,$C110)),"OI",""))))</f>
        <v/>
      </c>
      <c r="N110" s="78">
        <f>IF($M110="SV",DATOS!$C$101,IF($M110="LD",1,IF($M110="OI",DATOS!$C$100*DATOS!$C$89,0)))</f>
        <v>0</v>
      </c>
      <c r="O110" s="79">
        <f>IF($M110="",0,N($G110)*$N110)</f>
        <v>0</v>
      </c>
      <c r="P110" s="78" t="str">
        <f>IF($M110="SV",DATOS!$C$98,IF($M110="LD",DATOS!$C$103,IF($M110="OI",DATOS!$C$99,"")))</f>
        <v/>
      </c>
      <c r="Q110" s="80" t="str">
        <f>IF(OR($M110="",N($P110)=0),"",$O110/$P110)</f>
        <v/>
      </c>
      <c r="R110" s="78" t="str">
        <f>IF($M110="","",IF(AND($M110&lt;&gt;"LD",N(DATOS!$C$100)&lt;=0),"PENDIENTE: falta R'",IF($Q110&lt;=1,"CUMPLE","NO CUMPLE")))</f>
        <v/>
      </c>
    </row>
    <row r="111">
      <c r="B111" s="74" t="n"/>
      <c r="C111" s="74" t="n"/>
      <c r="D111" s="74" t="n"/>
      <c r="E111" s="74" t="n"/>
      <c r="F111" s="74" t="n"/>
      <c r="G111" s="75" t="n"/>
      <c r="H111" s="76" t="n"/>
      <c r="I111" s="77" t="n"/>
      <c r="J111" s="77" t="n"/>
      <c r="K111" s="77" t="n"/>
      <c r="M111" s="78" t="str">
        <f>IF($C111="","",IF(ISNUMBER(SEARCH(DATOS!$C$126,$C111)),"SV",IF(ISNUMBER(SEARCH(DATOS!$C$127,$C111)),"LD",IF(ISNUMBER(SEARCH(DATOS!$C$128,$C111)),"OI",""))))</f>
        <v/>
      </c>
      <c r="N111" s="78">
        <f>IF($M111="SV",DATOS!$C$101,IF($M111="LD",1,IF($M111="OI",DATOS!$C$100*DATOS!$C$89,0)))</f>
        <v>0</v>
      </c>
      <c r="O111" s="79">
        <f>IF($M111="",0,N($G111)*$N111)</f>
        <v>0</v>
      </c>
      <c r="P111" s="78" t="str">
        <f>IF($M111="SV",DATOS!$C$98,IF($M111="LD",DATOS!$C$103,IF($M111="OI",DATOS!$C$99,"")))</f>
        <v/>
      </c>
      <c r="Q111" s="80" t="str">
        <f>IF(OR($M111="",N($P111)=0),"",$O111/$P111)</f>
        <v/>
      </c>
      <c r="R111" s="78" t="str">
        <f>IF($M111="","",IF(AND($M111&lt;&gt;"LD",N(DATOS!$C$100)&lt;=0),"PENDIENTE: falta R'",IF($Q111&lt;=1,"CUMPLE","NO CUMPLE")))</f>
        <v/>
      </c>
    </row>
    <row r="112">
      <c r="B112" s="74" t="n"/>
      <c r="C112" s="74" t="n"/>
      <c r="D112" s="74" t="n"/>
      <c r="E112" s="74" t="n"/>
      <c r="F112" s="74" t="n"/>
      <c r="G112" s="75" t="n"/>
      <c r="H112" s="76" t="n"/>
      <c r="I112" s="77" t="n"/>
      <c r="J112" s="77" t="n"/>
      <c r="K112" s="77" t="n"/>
      <c r="M112" s="78" t="str">
        <f>IF($C112="","",IF(ISNUMBER(SEARCH(DATOS!$C$126,$C112)),"SV",IF(ISNUMBER(SEARCH(DATOS!$C$127,$C112)),"LD",IF(ISNUMBER(SEARCH(DATOS!$C$128,$C112)),"OI",""))))</f>
        <v/>
      </c>
      <c r="N112" s="78">
        <f>IF($M112="SV",DATOS!$C$101,IF($M112="LD",1,IF($M112="OI",DATOS!$C$100*DATOS!$C$89,0)))</f>
        <v>0</v>
      </c>
      <c r="O112" s="79">
        <f>IF($M112="",0,N($G112)*$N112)</f>
        <v>0</v>
      </c>
      <c r="P112" s="78" t="str">
        <f>IF($M112="SV",DATOS!$C$98,IF($M112="LD",DATOS!$C$103,IF($M112="OI",DATOS!$C$99,"")))</f>
        <v/>
      </c>
      <c r="Q112" s="80" t="str">
        <f>IF(OR($M112="",N($P112)=0),"",$O112/$P112)</f>
        <v/>
      </c>
      <c r="R112" s="78" t="str">
        <f>IF($M112="","",IF(AND($M112&lt;&gt;"LD",N(DATOS!$C$100)&lt;=0),"PENDIENTE: falta R'",IF($Q112&lt;=1,"CUMPLE","NO CUMPLE")))</f>
        <v/>
      </c>
    </row>
    <row r="113">
      <c r="B113" s="74" t="n"/>
      <c r="C113" s="74" t="n"/>
      <c r="D113" s="74" t="n"/>
      <c r="E113" s="74" t="n"/>
      <c r="F113" s="74" t="n"/>
      <c r="G113" s="75" t="n"/>
      <c r="H113" s="76" t="n"/>
      <c r="I113" s="77" t="n"/>
      <c r="J113" s="77" t="n"/>
      <c r="K113" s="77" t="n"/>
      <c r="M113" s="78" t="str">
        <f>IF($C113="","",IF(ISNUMBER(SEARCH(DATOS!$C$126,$C113)),"SV",IF(ISNUMBER(SEARCH(DATOS!$C$127,$C113)),"LD",IF(ISNUMBER(SEARCH(DATOS!$C$128,$C113)),"OI",""))))</f>
        <v/>
      </c>
      <c r="N113" s="78">
        <f>IF($M113="SV",DATOS!$C$101,IF($M113="LD",1,IF($M113="OI",DATOS!$C$100*DATOS!$C$89,0)))</f>
        <v>0</v>
      </c>
      <c r="O113" s="79">
        <f>IF($M113="",0,N($G113)*$N113)</f>
        <v>0</v>
      </c>
      <c r="P113" s="78" t="str">
        <f>IF($M113="SV",DATOS!$C$98,IF($M113="LD",DATOS!$C$103,IF($M113="OI",DATOS!$C$99,"")))</f>
        <v/>
      </c>
      <c r="Q113" s="80" t="str">
        <f>IF(OR($M113="",N($P113)=0),"",$O113/$P113)</f>
        <v/>
      </c>
      <c r="R113" s="78" t="str">
        <f>IF($M113="","",IF(AND($M113&lt;&gt;"LD",N(DATOS!$C$100)&lt;=0),"PENDIENTE: falta R'",IF($Q113&lt;=1,"CUMPLE","NO CUMPLE")))</f>
        <v/>
      </c>
    </row>
    <row r="114">
      <c r="B114" s="74" t="n"/>
      <c r="C114" s="74" t="n"/>
      <c r="D114" s="74" t="n"/>
      <c r="E114" s="74" t="n"/>
      <c r="F114" s="74" t="n"/>
      <c r="G114" s="75" t="n"/>
      <c r="H114" s="76" t="n"/>
      <c r="I114" s="77" t="n"/>
      <c r="J114" s="77" t="n"/>
      <c r="K114" s="77" t="n"/>
      <c r="M114" s="78" t="str">
        <f>IF($C114="","",IF(ISNUMBER(SEARCH(DATOS!$C$126,$C114)),"SV",IF(ISNUMBER(SEARCH(DATOS!$C$127,$C114)),"LD",IF(ISNUMBER(SEARCH(DATOS!$C$128,$C114)),"OI",""))))</f>
        <v/>
      </c>
      <c r="N114" s="78">
        <f>IF($M114="SV",DATOS!$C$101,IF($M114="LD",1,IF($M114="OI",DATOS!$C$100*DATOS!$C$89,0)))</f>
        <v>0</v>
      </c>
      <c r="O114" s="79">
        <f>IF($M114="",0,N($G114)*$N114)</f>
        <v>0</v>
      </c>
      <c r="P114" s="78" t="str">
        <f>IF($M114="SV",DATOS!$C$98,IF($M114="LD",DATOS!$C$103,IF($M114="OI",DATOS!$C$99,"")))</f>
        <v/>
      </c>
      <c r="Q114" s="80" t="str">
        <f>IF(OR($M114="",N($P114)=0),"",$O114/$P114)</f>
        <v/>
      </c>
      <c r="R114" s="78" t="str">
        <f>IF($M114="","",IF(AND($M114&lt;&gt;"LD",N(DATOS!$C$100)&lt;=0),"PENDIENTE: falta R'",IF($Q114&lt;=1,"CUMPLE","NO CUMPLE")))</f>
        <v/>
      </c>
    </row>
    <row r="115">
      <c r="B115" s="74" t="n"/>
      <c r="C115" s="74" t="n"/>
      <c r="D115" s="74" t="n"/>
      <c r="E115" s="74" t="n"/>
      <c r="F115" s="74" t="n"/>
      <c r="G115" s="75" t="n"/>
      <c r="H115" s="76" t="n"/>
      <c r="I115" s="77" t="n"/>
      <c r="J115" s="77" t="n"/>
      <c r="K115" s="77" t="n"/>
      <c r="M115" s="78" t="str">
        <f>IF($C115="","",IF(ISNUMBER(SEARCH(DATOS!$C$126,$C115)),"SV",IF(ISNUMBER(SEARCH(DATOS!$C$127,$C115)),"LD",IF(ISNUMBER(SEARCH(DATOS!$C$128,$C115)),"OI",""))))</f>
        <v/>
      </c>
      <c r="N115" s="78">
        <f>IF($M115="SV",DATOS!$C$101,IF($M115="LD",1,IF($M115="OI",DATOS!$C$100*DATOS!$C$89,0)))</f>
        <v>0</v>
      </c>
      <c r="O115" s="79">
        <f>IF($M115="",0,N($G115)*$N115)</f>
        <v>0</v>
      </c>
      <c r="P115" s="78" t="str">
        <f>IF($M115="SV",DATOS!$C$98,IF($M115="LD",DATOS!$C$103,IF($M115="OI",DATOS!$C$99,"")))</f>
        <v/>
      </c>
      <c r="Q115" s="80" t="str">
        <f>IF(OR($M115="",N($P115)=0),"",$O115/$P115)</f>
        <v/>
      </c>
      <c r="R115" s="78" t="str">
        <f>IF($M115="","",IF(AND($M115&lt;&gt;"LD",N(DATOS!$C$100)&lt;=0),"PENDIENTE: falta R'",IF($Q115&lt;=1,"CUMPLE","NO CUMPLE")))</f>
        <v/>
      </c>
    </row>
    <row r="116">
      <c r="B116" s="74" t="n"/>
      <c r="C116" s="74" t="n"/>
      <c r="D116" s="74" t="n"/>
      <c r="E116" s="74" t="n"/>
      <c r="F116" s="74" t="n"/>
      <c r="G116" s="75" t="n"/>
      <c r="H116" s="76" t="n"/>
      <c r="I116" s="77" t="n"/>
      <c r="J116" s="77" t="n"/>
      <c r="K116" s="77" t="n"/>
      <c r="M116" s="78" t="str">
        <f>IF($C116="","",IF(ISNUMBER(SEARCH(DATOS!$C$126,$C116)),"SV",IF(ISNUMBER(SEARCH(DATOS!$C$127,$C116)),"LD",IF(ISNUMBER(SEARCH(DATOS!$C$128,$C116)),"OI",""))))</f>
        <v/>
      </c>
      <c r="N116" s="78">
        <f>IF($M116="SV",DATOS!$C$101,IF($M116="LD",1,IF($M116="OI",DATOS!$C$100*DATOS!$C$89,0)))</f>
        <v>0</v>
      </c>
      <c r="O116" s="79">
        <f>IF($M116="",0,N($G116)*$N116)</f>
        <v>0</v>
      </c>
      <c r="P116" s="78" t="str">
        <f>IF($M116="SV",DATOS!$C$98,IF($M116="LD",DATOS!$C$103,IF($M116="OI",DATOS!$C$99,"")))</f>
        <v/>
      </c>
      <c r="Q116" s="80" t="str">
        <f>IF(OR($M116="",N($P116)=0),"",$O116/$P116)</f>
        <v/>
      </c>
      <c r="R116" s="78" t="str">
        <f>IF($M116="","",IF(AND($M116&lt;&gt;"LD",N(DATOS!$C$100)&lt;=0),"PENDIENTE: falta R'",IF($Q116&lt;=1,"CUMPLE","NO CUMPLE")))</f>
        <v/>
      </c>
    </row>
    <row r="117">
      <c r="B117" s="74" t="n"/>
      <c r="C117" s="74" t="n"/>
      <c r="D117" s="74" t="n"/>
      <c r="E117" s="74" t="n"/>
      <c r="F117" s="74" t="n"/>
      <c r="G117" s="75" t="n"/>
      <c r="H117" s="76" t="n"/>
      <c r="I117" s="77" t="n"/>
      <c r="J117" s="77" t="n"/>
      <c r="K117" s="77" t="n"/>
      <c r="M117" s="78" t="str">
        <f>IF($C117="","",IF(ISNUMBER(SEARCH(DATOS!$C$126,$C117)),"SV",IF(ISNUMBER(SEARCH(DATOS!$C$127,$C117)),"LD",IF(ISNUMBER(SEARCH(DATOS!$C$128,$C117)),"OI",""))))</f>
        <v/>
      </c>
      <c r="N117" s="78">
        <f>IF($M117="SV",DATOS!$C$101,IF($M117="LD",1,IF($M117="OI",DATOS!$C$100*DATOS!$C$89,0)))</f>
        <v>0</v>
      </c>
      <c r="O117" s="79">
        <f>IF($M117="",0,N($G117)*$N117)</f>
        <v>0</v>
      </c>
      <c r="P117" s="78" t="str">
        <f>IF($M117="SV",DATOS!$C$98,IF($M117="LD",DATOS!$C$103,IF($M117="OI",DATOS!$C$99,"")))</f>
        <v/>
      </c>
      <c r="Q117" s="80" t="str">
        <f>IF(OR($M117="",N($P117)=0),"",$O117/$P117)</f>
        <v/>
      </c>
      <c r="R117" s="78" t="str">
        <f>IF($M117="","",IF(AND($M117&lt;&gt;"LD",N(DATOS!$C$100)&lt;=0),"PENDIENTE: falta R'",IF($Q117&lt;=1,"CUMPLE","NO CUMPLE")))</f>
        <v/>
      </c>
    </row>
    <row r="118">
      <c r="B118" s="74" t="n"/>
      <c r="C118" s="74" t="n"/>
      <c r="D118" s="74" t="n"/>
      <c r="E118" s="74" t="n"/>
      <c r="F118" s="74" t="n"/>
      <c r="G118" s="75" t="n"/>
      <c r="H118" s="76" t="n"/>
      <c r="I118" s="77" t="n"/>
      <c r="J118" s="77" t="n"/>
      <c r="K118" s="77" t="n"/>
      <c r="M118" s="78" t="str">
        <f>IF($C118="","",IF(ISNUMBER(SEARCH(DATOS!$C$126,$C118)),"SV",IF(ISNUMBER(SEARCH(DATOS!$C$127,$C118)),"LD",IF(ISNUMBER(SEARCH(DATOS!$C$128,$C118)),"OI",""))))</f>
        <v/>
      </c>
      <c r="N118" s="78">
        <f>IF($M118="SV",DATOS!$C$101,IF($M118="LD",1,IF($M118="OI",DATOS!$C$100*DATOS!$C$89,0)))</f>
        <v>0</v>
      </c>
      <c r="O118" s="79">
        <f>IF($M118="",0,N($G118)*$N118)</f>
        <v>0</v>
      </c>
      <c r="P118" s="78" t="str">
        <f>IF($M118="SV",DATOS!$C$98,IF($M118="LD",DATOS!$C$103,IF($M118="OI",DATOS!$C$99,"")))</f>
        <v/>
      </c>
      <c r="Q118" s="80" t="str">
        <f>IF(OR($M118="",N($P118)=0),"",$O118/$P118)</f>
        <v/>
      </c>
      <c r="R118" s="78" t="str">
        <f>IF($M118="","",IF(AND($M118&lt;&gt;"LD",N(DATOS!$C$100)&lt;=0),"PENDIENTE: falta R'",IF($Q118&lt;=1,"CUMPLE","NO CUMPLE")))</f>
        <v/>
      </c>
    </row>
    <row r="119">
      <c r="B119" s="74" t="n"/>
      <c r="C119" s="74" t="n"/>
      <c r="D119" s="74" t="n"/>
      <c r="E119" s="74" t="n"/>
      <c r="F119" s="74" t="n"/>
      <c r="G119" s="75" t="n"/>
      <c r="H119" s="76" t="n"/>
      <c r="I119" s="77" t="n"/>
      <c r="J119" s="77" t="n"/>
      <c r="K119" s="77" t="n"/>
      <c r="M119" s="78" t="str">
        <f>IF($C119="","",IF(ISNUMBER(SEARCH(DATOS!$C$126,$C119)),"SV",IF(ISNUMBER(SEARCH(DATOS!$C$127,$C119)),"LD",IF(ISNUMBER(SEARCH(DATOS!$C$128,$C119)),"OI",""))))</f>
        <v/>
      </c>
      <c r="N119" s="78">
        <f>IF($M119="SV",DATOS!$C$101,IF($M119="LD",1,IF($M119="OI",DATOS!$C$100*DATOS!$C$89,0)))</f>
        <v>0</v>
      </c>
      <c r="O119" s="79">
        <f>IF($M119="",0,N($G119)*$N119)</f>
        <v>0</v>
      </c>
      <c r="P119" s="78" t="str">
        <f>IF($M119="SV",DATOS!$C$98,IF($M119="LD",DATOS!$C$103,IF($M119="OI",DATOS!$C$99,"")))</f>
        <v/>
      </c>
      <c r="Q119" s="80" t="str">
        <f>IF(OR($M119="",N($P119)=0),"",$O119/$P119)</f>
        <v/>
      </c>
      <c r="R119" s="78" t="str">
        <f>IF($M119="","",IF(AND($M119&lt;&gt;"LD",N(DATOS!$C$100)&lt;=0),"PENDIENTE: falta R'",IF($Q119&lt;=1,"CUMPLE","NO CUMPLE")))</f>
        <v/>
      </c>
    </row>
    <row r="120">
      <c r="B120" s="74" t="n"/>
      <c r="C120" s="74" t="n"/>
      <c r="D120" s="74" t="n"/>
      <c r="E120" s="74" t="n"/>
      <c r="F120" s="74" t="n"/>
      <c r="G120" s="75" t="n"/>
      <c r="H120" s="76" t="n"/>
      <c r="I120" s="77" t="n"/>
      <c r="J120" s="77" t="n"/>
      <c r="K120" s="77" t="n"/>
      <c r="M120" s="78" t="str">
        <f>IF($C120="","",IF(ISNUMBER(SEARCH(DATOS!$C$126,$C120)),"SV",IF(ISNUMBER(SEARCH(DATOS!$C$127,$C120)),"LD",IF(ISNUMBER(SEARCH(DATOS!$C$128,$C120)),"OI",""))))</f>
        <v/>
      </c>
      <c r="N120" s="78">
        <f>IF($M120="SV",DATOS!$C$101,IF($M120="LD",1,IF($M120="OI",DATOS!$C$100*DATOS!$C$89,0)))</f>
        <v>0</v>
      </c>
      <c r="O120" s="79">
        <f>IF($M120="",0,N($G120)*$N120)</f>
        <v>0</v>
      </c>
      <c r="P120" s="78" t="str">
        <f>IF($M120="SV",DATOS!$C$98,IF($M120="LD",DATOS!$C$103,IF($M120="OI",DATOS!$C$99,"")))</f>
        <v/>
      </c>
      <c r="Q120" s="80" t="str">
        <f>IF(OR($M120="",N($P120)=0),"",$O120/$P120)</f>
        <v/>
      </c>
      <c r="R120" s="78" t="str">
        <f>IF($M120="","",IF(AND($M120&lt;&gt;"LD",N(DATOS!$C$100)&lt;=0),"PENDIENTE: falta R'",IF($Q120&lt;=1,"CUMPLE","NO CUMPLE")))</f>
        <v/>
      </c>
    </row>
    <row r="121">
      <c r="B121" s="74" t="n"/>
      <c r="C121" s="74" t="n"/>
      <c r="D121" s="74" t="n"/>
      <c r="E121" s="74" t="n"/>
      <c r="F121" s="74" t="n"/>
      <c r="G121" s="75" t="n"/>
      <c r="H121" s="76" t="n"/>
      <c r="I121" s="77" t="n"/>
      <c r="J121" s="77" t="n"/>
      <c r="K121" s="77" t="n"/>
      <c r="M121" s="78" t="str">
        <f>IF($C121="","",IF(ISNUMBER(SEARCH(DATOS!$C$126,$C121)),"SV",IF(ISNUMBER(SEARCH(DATOS!$C$127,$C121)),"LD",IF(ISNUMBER(SEARCH(DATOS!$C$128,$C121)),"OI",""))))</f>
        <v/>
      </c>
      <c r="N121" s="78">
        <f>IF($M121="SV",DATOS!$C$101,IF($M121="LD",1,IF($M121="OI",DATOS!$C$100*DATOS!$C$89,0)))</f>
        <v>0</v>
      </c>
      <c r="O121" s="79">
        <f>IF($M121="",0,N($G121)*$N121)</f>
        <v>0</v>
      </c>
      <c r="P121" s="78" t="str">
        <f>IF($M121="SV",DATOS!$C$98,IF($M121="LD",DATOS!$C$103,IF($M121="OI",DATOS!$C$99,"")))</f>
        <v/>
      </c>
      <c r="Q121" s="80" t="str">
        <f>IF(OR($M121="",N($P121)=0),"",$O121/$P121)</f>
        <v/>
      </c>
      <c r="R121" s="78" t="str">
        <f>IF($M121="","",IF(AND($M121&lt;&gt;"LD",N(DATOS!$C$100)&lt;=0),"PENDIENTE: falta R'",IF($Q121&lt;=1,"CUMPLE","NO CUMPLE")))</f>
        <v/>
      </c>
    </row>
    <row r="122">
      <c r="B122" s="74" t="n"/>
      <c r="C122" s="74" t="n"/>
      <c r="D122" s="74" t="n"/>
      <c r="E122" s="74" t="n"/>
      <c r="F122" s="74" t="n"/>
      <c r="G122" s="75" t="n"/>
      <c r="H122" s="76" t="n"/>
      <c r="I122" s="77" t="n"/>
      <c r="J122" s="77" t="n"/>
      <c r="K122" s="77" t="n"/>
      <c r="M122" s="78" t="str">
        <f>IF($C122="","",IF(ISNUMBER(SEARCH(DATOS!$C$126,$C122)),"SV",IF(ISNUMBER(SEARCH(DATOS!$C$127,$C122)),"LD",IF(ISNUMBER(SEARCH(DATOS!$C$128,$C122)),"OI",""))))</f>
        <v/>
      </c>
      <c r="N122" s="78">
        <f>IF($M122="SV",DATOS!$C$101,IF($M122="LD",1,IF($M122="OI",DATOS!$C$100*DATOS!$C$89,0)))</f>
        <v>0</v>
      </c>
      <c r="O122" s="79">
        <f>IF($M122="",0,N($G122)*$N122)</f>
        <v>0</v>
      </c>
      <c r="P122" s="78" t="str">
        <f>IF($M122="SV",DATOS!$C$98,IF($M122="LD",DATOS!$C$103,IF($M122="OI",DATOS!$C$99,"")))</f>
        <v/>
      </c>
      <c r="Q122" s="80" t="str">
        <f>IF(OR($M122="",N($P122)=0),"",$O122/$P122)</f>
        <v/>
      </c>
      <c r="R122" s="78" t="str">
        <f>IF($M122="","",IF(AND($M122&lt;&gt;"LD",N(DATOS!$C$100)&lt;=0),"PENDIENTE: falta R'",IF($Q122&lt;=1,"CUMPLE","NO CUMPLE")))</f>
        <v/>
      </c>
    </row>
    <row r="123">
      <c r="B123" s="74" t="n"/>
      <c r="C123" s="74" t="n"/>
      <c r="D123" s="74" t="n"/>
      <c r="E123" s="74" t="n"/>
      <c r="F123" s="74" t="n"/>
      <c r="G123" s="75" t="n"/>
      <c r="H123" s="76" t="n"/>
      <c r="I123" s="77" t="n"/>
      <c r="J123" s="77" t="n"/>
      <c r="K123" s="77" t="n"/>
      <c r="M123" s="78" t="str">
        <f>IF($C123="","",IF(ISNUMBER(SEARCH(DATOS!$C$126,$C123)),"SV",IF(ISNUMBER(SEARCH(DATOS!$C$127,$C123)),"LD",IF(ISNUMBER(SEARCH(DATOS!$C$128,$C123)),"OI",""))))</f>
        <v/>
      </c>
      <c r="N123" s="78">
        <f>IF($M123="SV",DATOS!$C$101,IF($M123="LD",1,IF($M123="OI",DATOS!$C$100*DATOS!$C$89,0)))</f>
        <v>0</v>
      </c>
      <c r="O123" s="79">
        <f>IF($M123="",0,N($G123)*$N123)</f>
        <v>0</v>
      </c>
      <c r="P123" s="78" t="str">
        <f>IF($M123="SV",DATOS!$C$98,IF($M123="LD",DATOS!$C$103,IF($M123="OI",DATOS!$C$99,"")))</f>
        <v/>
      </c>
      <c r="Q123" s="80" t="str">
        <f>IF(OR($M123="",N($P123)=0),"",$O123/$P123)</f>
        <v/>
      </c>
      <c r="R123" s="78" t="str">
        <f>IF($M123="","",IF(AND($M123&lt;&gt;"LD",N(DATOS!$C$100)&lt;=0),"PENDIENTE: falta R'",IF($Q123&lt;=1,"CUMPLE","NO CUMPLE")))</f>
        <v/>
      </c>
    </row>
    <row r="124">
      <c r="B124" s="74" t="n"/>
      <c r="C124" s="74" t="n"/>
      <c r="D124" s="74" t="n"/>
      <c r="E124" s="74" t="n"/>
      <c r="F124" s="74" t="n"/>
      <c r="G124" s="75" t="n"/>
      <c r="H124" s="76" t="n"/>
      <c r="I124" s="77" t="n"/>
      <c r="J124" s="77" t="n"/>
      <c r="K124" s="77" t="n"/>
      <c r="M124" s="78" t="str">
        <f>IF($C124="","",IF(ISNUMBER(SEARCH(DATOS!$C$126,$C124)),"SV",IF(ISNUMBER(SEARCH(DATOS!$C$127,$C124)),"LD",IF(ISNUMBER(SEARCH(DATOS!$C$128,$C124)),"OI",""))))</f>
        <v/>
      </c>
      <c r="N124" s="78">
        <f>IF($M124="SV",DATOS!$C$101,IF($M124="LD",1,IF($M124="OI",DATOS!$C$100*DATOS!$C$89,0)))</f>
        <v>0</v>
      </c>
      <c r="O124" s="79">
        <f>IF($M124="",0,N($G124)*$N124)</f>
        <v>0</v>
      </c>
      <c r="P124" s="78" t="str">
        <f>IF($M124="SV",DATOS!$C$98,IF($M124="LD",DATOS!$C$103,IF($M124="OI",DATOS!$C$99,"")))</f>
        <v/>
      </c>
      <c r="Q124" s="80" t="str">
        <f>IF(OR($M124="",N($P124)=0),"",$O124/$P124)</f>
        <v/>
      </c>
      <c r="R124" s="78" t="str">
        <f>IF($M124="","",IF(AND($M124&lt;&gt;"LD",N(DATOS!$C$100)&lt;=0),"PENDIENTE: falta R'",IF($Q124&lt;=1,"CUMPLE","NO CUMPLE")))</f>
        <v/>
      </c>
    </row>
    <row r="125">
      <c r="B125" s="74" t="n"/>
      <c r="C125" s="74" t="n"/>
      <c r="D125" s="74" t="n"/>
      <c r="E125" s="74" t="n"/>
      <c r="F125" s="74" t="n"/>
      <c r="G125" s="75" t="n"/>
      <c r="H125" s="76" t="n"/>
      <c r="I125" s="77" t="n"/>
      <c r="J125" s="77" t="n"/>
      <c r="K125" s="77" t="n"/>
      <c r="M125" s="78" t="str">
        <f>IF($C125="","",IF(ISNUMBER(SEARCH(DATOS!$C$126,$C125)),"SV",IF(ISNUMBER(SEARCH(DATOS!$C$127,$C125)),"LD",IF(ISNUMBER(SEARCH(DATOS!$C$128,$C125)),"OI",""))))</f>
        <v/>
      </c>
      <c r="N125" s="78">
        <f>IF($M125="SV",DATOS!$C$101,IF($M125="LD",1,IF($M125="OI",DATOS!$C$100*DATOS!$C$89,0)))</f>
        <v>0</v>
      </c>
      <c r="O125" s="79">
        <f>IF($M125="",0,N($G125)*$N125)</f>
        <v>0</v>
      </c>
      <c r="P125" s="78" t="str">
        <f>IF($M125="SV",DATOS!$C$98,IF($M125="LD",DATOS!$C$103,IF($M125="OI",DATOS!$C$99,"")))</f>
        <v/>
      </c>
      <c r="Q125" s="80" t="str">
        <f>IF(OR($M125="",N($P125)=0),"",$O125/$P125)</f>
        <v/>
      </c>
      <c r="R125" s="78" t="str">
        <f>IF($M125="","",IF(AND($M125&lt;&gt;"LD",N(DATOS!$C$100)&lt;=0),"PENDIENTE: falta R'",IF($Q125&lt;=1,"CUMPLE","NO CUMPLE")))</f>
        <v/>
      </c>
    </row>
    <row r="126">
      <c r="B126" s="74" t="n"/>
      <c r="C126" s="74" t="n"/>
      <c r="D126" s="74" t="n"/>
      <c r="E126" s="74" t="n"/>
      <c r="F126" s="74" t="n"/>
      <c r="G126" s="75" t="n"/>
      <c r="H126" s="76" t="n"/>
      <c r="I126" s="77" t="n"/>
      <c r="J126" s="77" t="n"/>
      <c r="K126" s="77" t="n"/>
      <c r="M126" s="78" t="str">
        <f>IF($C126="","",IF(ISNUMBER(SEARCH(DATOS!$C$126,$C126)),"SV",IF(ISNUMBER(SEARCH(DATOS!$C$127,$C126)),"LD",IF(ISNUMBER(SEARCH(DATOS!$C$128,$C126)),"OI",""))))</f>
        <v/>
      </c>
      <c r="N126" s="78">
        <f>IF($M126="SV",DATOS!$C$101,IF($M126="LD",1,IF($M126="OI",DATOS!$C$100*DATOS!$C$89,0)))</f>
        <v>0</v>
      </c>
      <c r="O126" s="79">
        <f>IF($M126="",0,N($G126)*$N126)</f>
        <v>0</v>
      </c>
      <c r="P126" s="78" t="str">
        <f>IF($M126="SV",DATOS!$C$98,IF($M126="LD",DATOS!$C$103,IF($M126="OI",DATOS!$C$99,"")))</f>
        <v/>
      </c>
      <c r="Q126" s="80" t="str">
        <f>IF(OR($M126="",N($P126)=0),"",$O126/$P126)</f>
        <v/>
      </c>
      <c r="R126" s="78" t="str">
        <f>IF($M126="","",IF(AND($M126&lt;&gt;"LD",N(DATOS!$C$100)&lt;=0),"PENDIENTE: falta R'",IF($Q126&lt;=1,"CUMPLE","NO CUMPLE")))</f>
        <v/>
      </c>
    </row>
    <row r="127">
      <c r="B127" s="74" t="n"/>
      <c r="C127" s="74" t="n"/>
      <c r="D127" s="74" t="n"/>
      <c r="E127" s="74" t="n"/>
      <c r="F127" s="74" t="n"/>
      <c r="G127" s="75" t="n"/>
      <c r="H127" s="76" t="n"/>
      <c r="I127" s="77" t="n"/>
      <c r="J127" s="77" t="n"/>
      <c r="K127" s="77" t="n"/>
      <c r="M127" s="78" t="str">
        <f>IF($C127="","",IF(ISNUMBER(SEARCH(DATOS!$C$126,$C127)),"SV",IF(ISNUMBER(SEARCH(DATOS!$C$127,$C127)),"LD",IF(ISNUMBER(SEARCH(DATOS!$C$128,$C127)),"OI",""))))</f>
        <v/>
      </c>
      <c r="N127" s="78">
        <f>IF($M127="SV",DATOS!$C$101,IF($M127="LD",1,IF($M127="OI",DATOS!$C$100*DATOS!$C$89,0)))</f>
        <v>0</v>
      </c>
      <c r="O127" s="79">
        <f>IF($M127="",0,N($G127)*$N127)</f>
        <v>0</v>
      </c>
      <c r="P127" s="78" t="str">
        <f>IF($M127="SV",DATOS!$C$98,IF($M127="LD",DATOS!$C$103,IF($M127="OI",DATOS!$C$99,"")))</f>
        <v/>
      </c>
      <c r="Q127" s="80" t="str">
        <f>IF(OR($M127="",N($P127)=0),"",$O127/$P127)</f>
        <v/>
      </c>
      <c r="R127" s="78" t="str">
        <f>IF($M127="","",IF(AND($M127&lt;&gt;"LD",N(DATOS!$C$100)&lt;=0),"PENDIENTE: falta R'",IF($Q127&lt;=1,"CUMPLE","NO CUMPLE")))</f>
        <v/>
      </c>
    </row>
    <row r="128">
      <c r="B128" s="74" t="n"/>
      <c r="C128" s="74" t="n"/>
      <c r="D128" s="74" t="n"/>
      <c r="E128" s="74" t="n"/>
      <c r="F128" s="74" t="n"/>
      <c r="G128" s="75" t="n"/>
      <c r="H128" s="76" t="n"/>
      <c r="I128" s="77" t="n"/>
      <c r="J128" s="77" t="n"/>
      <c r="K128" s="77" t="n"/>
      <c r="M128" s="78" t="str">
        <f>IF($C128="","",IF(ISNUMBER(SEARCH(DATOS!$C$126,$C128)),"SV",IF(ISNUMBER(SEARCH(DATOS!$C$127,$C128)),"LD",IF(ISNUMBER(SEARCH(DATOS!$C$128,$C128)),"OI",""))))</f>
        <v/>
      </c>
      <c r="N128" s="78">
        <f>IF($M128="SV",DATOS!$C$101,IF($M128="LD",1,IF($M128="OI",DATOS!$C$100*DATOS!$C$89,0)))</f>
        <v>0</v>
      </c>
      <c r="O128" s="79">
        <f>IF($M128="",0,N($G128)*$N128)</f>
        <v>0</v>
      </c>
      <c r="P128" s="78" t="str">
        <f>IF($M128="SV",DATOS!$C$98,IF($M128="LD",DATOS!$C$103,IF($M128="OI",DATOS!$C$99,"")))</f>
        <v/>
      </c>
      <c r="Q128" s="80" t="str">
        <f>IF(OR($M128="",N($P128)=0),"",$O128/$P128)</f>
        <v/>
      </c>
      <c r="R128" s="78" t="str">
        <f>IF($M128="","",IF(AND($M128&lt;&gt;"LD",N(DATOS!$C$100)&lt;=0),"PENDIENTE: falta R'",IF($Q128&lt;=1,"CUMPLE","NO CUMPLE")))</f>
        <v/>
      </c>
    </row>
    <row r="129">
      <c r="B129" s="74" t="n"/>
      <c r="C129" s="74" t="n"/>
      <c r="D129" s="74" t="n"/>
      <c r="E129" s="74" t="n"/>
      <c r="F129" s="74" t="n"/>
      <c r="G129" s="75" t="n"/>
      <c r="H129" s="76" t="n"/>
      <c r="I129" s="77" t="n"/>
      <c r="J129" s="77" t="n"/>
      <c r="K129" s="77" t="n"/>
      <c r="M129" s="78" t="str">
        <f>IF($C129="","",IF(ISNUMBER(SEARCH(DATOS!$C$126,$C129)),"SV",IF(ISNUMBER(SEARCH(DATOS!$C$127,$C129)),"LD",IF(ISNUMBER(SEARCH(DATOS!$C$128,$C129)),"OI",""))))</f>
        <v/>
      </c>
      <c r="N129" s="78">
        <f>IF($M129="SV",DATOS!$C$101,IF($M129="LD",1,IF($M129="OI",DATOS!$C$100*DATOS!$C$89,0)))</f>
        <v>0</v>
      </c>
      <c r="O129" s="79">
        <f>IF($M129="",0,N($G129)*$N129)</f>
        <v>0</v>
      </c>
      <c r="P129" s="78" t="str">
        <f>IF($M129="SV",DATOS!$C$98,IF($M129="LD",DATOS!$C$103,IF($M129="OI",DATOS!$C$99,"")))</f>
        <v/>
      </c>
      <c r="Q129" s="80" t="str">
        <f>IF(OR($M129="",N($P129)=0),"",$O129/$P129)</f>
        <v/>
      </c>
      <c r="R129" s="78" t="str">
        <f>IF($M129="","",IF(AND($M129&lt;&gt;"LD",N(DATOS!$C$100)&lt;=0),"PENDIENTE: falta R'",IF($Q129&lt;=1,"CUMPLE","NO CUMPLE")))</f>
        <v/>
      </c>
    </row>
    <row r="130">
      <c r="B130" s="74" t="n"/>
      <c r="C130" s="74" t="n"/>
      <c r="D130" s="74" t="n"/>
      <c r="E130" s="74" t="n"/>
      <c r="F130" s="74" t="n"/>
      <c r="G130" s="75" t="n"/>
      <c r="H130" s="76" t="n"/>
      <c r="I130" s="77" t="n"/>
      <c r="J130" s="77" t="n"/>
      <c r="K130" s="77" t="n"/>
      <c r="M130" s="78" t="str">
        <f>IF($C130="","",IF(ISNUMBER(SEARCH(DATOS!$C$126,$C130)),"SV",IF(ISNUMBER(SEARCH(DATOS!$C$127,$C130)),"LD",IF(ISNUMBER(SEARCH(DATOS!$C$128,$C130)),"OI",""))))</f>
        <v/>
      </c>
      <c r="N130" s="78">
        <f>IF($M130="SV",DATOS!$C$101,IF($M130="LD",1,IF($M130="OI",DATOS!$C$100*DATOS!$C$89,0)))</f>
        <v>0</v>
      </c>
      <c r="O130" s="79">
        <f>IF($M130="",0,N($G130)*$N130)</f>
        <v>0</v>
      </c>
      <c r="P130" s="78" t="str">
        <f>IF($M130="SV",DATOS!$C$98,IF($M130="LD",DATOS!$C$103,IF($M130="OI",DATOS!$C$99,"")))</f>
        <v/>
      </c>
      <c r="Q130" s="80" t="str">
        <f>IF(OR($M130="",N($P130)=0),"",$O130/$P130)</f>
        <v/>
      </c>
      <c r="R130" s="78" t="str">
        <f>IF($M130="","",IF(AND($M130&lt;&gt;"LD",N(DATOS!$C$100)&lt;=0),"PENDIENTE: falta R'",IF($Q130&lt;=1,"CUMPLE","NO CUMPLE")))</f>
        <v/>
      </c>
    </row>
    <row r="131">
      <c r="B131" s="74" t="n"/>
      <c r="C131" s="74" t="n"/>
      <c r="D131" s="74" t="n"/>
      <c r="E131" s="74" t="n"/>
      <c r="F131" s="74" t="n"/>
      <c r="G131" s="75" t="n"/>
      <c r="H131" s="76" t="n"/>
      <c r="I131" s="77" t="n"/>
      <c r="J131" s="77" t="n"/>
      <c r="K131" s="77" t="n"/>
      <c r="M131" s="78" t="str">
        <f>IF($C131="","",IF(ISNUMBER(SEARCH(DATOS!$C$126,$C131)),"SV",IF(ISNUMBER(SEARCH(DATOS!$C$127,$C131)),"LD",IF(ISNUMBER(SEARCH(DATOS!$C$128,$C131)),"OI",""))))</f>
        <v/>
      </c>
      <c r="N131" s="78">
        <f>IF($M131="SV",DATOS!$C$101,IF($M131="LD",1,IF($M131="OI",DATOS!$C$100*DATOS!$C$89,0)))</f>
        <v>0</v>
      </c>
      <c r="O131" s="79">
        <f>IF($M131="",0,N($G131)*$N131)</f>
        <v>0</v>
      </c>
      <c r="P131" s="78" t="str">
        <f>IF($M131="SV",DATOS!$C$98,IF($M131="LD",DATOS!$C$103,IF($M131="OI",DATOS!$C$99,"")))</f>
        <v/>
      </c>
      <c r="Q131" s="80" t="str">
        <f>IF(OR($M131="",N($P131)=0),"",$O131/$P131)</f>
        <v/>
      </c>
      <c r="R131" s="78" t="str">
        <f>IF($M131="","",IF(AND($M131&lt;&gt;"LD",N(DATOS!$C$100)&lt;=0),"PENDIENTE: falta R'",IF($Q131&lt;=1,"CUMPLE","NO CUMPLE")))</f>
        <v/>
      </c>
    </row>
    <row r="132">
      <c r="B132" s="74" t="n"/>
      <c r="C132" s="74" t="n"/>
      <c r="D132" s="74" t="n"/>
      <c r="E132" s="74" t="n"/>
      <c r="F132" s="74" t="n"/>
      <c r="G132" s="75" t="n"/>
      <c r="H132" s="76" t="n"/>
      <c r="I132" s="77" t="n"/>
      <c r="J132" s="77" t="n"/>
      <c r="K132" s="77" t="n"/>
      <c r="M132" s="78" t="str">
        <f>IF($C132="","",IF(ISNUMBER(SEARCH(DATOS!$C$126,$C132)),"SV",IF(ISNUMBER(SEARCH(DATOS!$C$127,$C132)),"LD",IF(ISNUMBER(SEARCH(DATOS!$C$128,$C132)),"OI",""))))</f>
        <v/>
      </c>
      <c r="N132" s="78">
        <f>IF($M132="SV",DATOS!$C$101,IF($M132="LD",1,IF($M132="OI",DATOS!$C$100*DATOS!$C$89,0)))</f>
        <v>0</v>
      </c>
      <c r="O132" s="79">
        <f>IF($M132="",0,N($G132)*$N132)</f>
        <v>0</v>
      </c>
      <c r="P132" s="78" t="str">
        <f>IF($M132="SV",DATOS!$C$98,IF($M132="LD",DATOS!$C$103,IF($M132="OI",DATOS!$C$99,"")))</f>
        <v/>
      </c>
      <c r="Q132" s="80" t="str">
        <f>IF(OR($M132="",N($P132)=0),"",$O132/$P132)</f>
        <v/>
      </c>
      <c r="R132" s="78" t="str">
        <f>IF($M132="","",IF(AND($M132&lt;&gt;"LD",N(DATOS!$C$100)&lt;=0),"PENDIENTE: falta R'",IF($Q132&lt;=1,"CUMPLE","NO CUMPLE")))</f>
        <v/>
      </c>
    </row>
    <row r="133">
      <c r="B133" s="74" t="n"/>
      <c r="C133" s="74" t="n"/>
      <c r="D133" s="74" t="n"/>
      <c r="E133" s="74" t="n"/>
      <c r="F133" s="74" t="n"/>
      <c r="G133" s="75" t="n"/>
      <c r="H133" s="76" t="n"/>
      <c r="I133" s="77" t="n"/>
      <c r="J133" s="77" t="n"/>
      <c r="K133" s="77" t="n"/>
      <c r="M133" s="78" t="str">
        <f>IF($C133="","",IF(ISNUMBER(SEARCH(DATOS!$C$126,$C133)),"SV",IF(ISNUMBER(SEARCH(DATOS!$C$127,$C133)),"LD",IF(ISNUMBER(SEARCH(DATOS!$C$128,$C133)),"OI",""))))</f>
        <v/>
      </c>
      <c r="N133" s="78">
        <f>IF($M133="SV",DATOS!$C$101,IF($M133="LD",1,IF($M133="OI",DATOS!$C$100*DATOS!$C$89,0)))</f>
        <v>0</v>
      </c>
      <c r="O133" s="79">
        <f>IF($M133="",0,N($G133)*$N133)</f>
        <v>0</v>
      </c>
      <c r="P133" s="78" t="str">
        <f>IF($M133="SV",DATOS!$C$98,IF($M133="LD",DATOS!$C$103,IF($M133="OI",DATOS!$C$99,"")))</f>
        <v/>
      </c>
      <c r="Q133" s="80" t="str">
        <f>IF(OR($M133="",N($P133)=0),"",$O133/$P133)</f>
        <v/>
      </c>
      <c r="R133" s="78" t="str">
        <f>IF($M133="","",IF(AND($M133&lt;&gt;"LD",N(DATOS!$C$100)&lt;=0),"PENDIENTE: falta R'",IF($Q133&lt;=1,"CUMPLE","NO CUMPLE")))</f>
        <v/>
      </c>
    </row>
    <row r="134">
      <c r="B134" s="74" t="n"/>
      <c r="C134" s="74" t="n"/>
      <c r="D134" s="74" t="n"/>
      <c r="E134" s="74" t="n"/>
      <c r="F134" s="74" t="n"/>
      <c r="G134" s="75" t="n"/>
      <c r="H134" s="76" t="n"/>
      <c r="I134" s="77" t="n"/>
      <c r="J134" s="77" t="n"/>
      <c r="K134" s="77" t="n"/>
      <c r="M134" s="78" t="str">
        <f>IF($C134="","",IF(ISNUMBER(SEARCH(DATOS!$C$126,$C134)),"SV",IF(ISNUMBER(SEARCH(DATOS!$C$127,$C134)),"LD",IF(ISNUMBER(SEARCH(DATOS!$C$128,$C134)),"OI",""))))</f>
        <v/>
      </c>
      <c r="N134" s="78">
        <f>IF($M134="SV",DATOS!$C$101,IF($M134="LD",1,IF($M134="OI",DATOS!$C$100*DATOS!$C$89,0)))</f>
        <v>0</v>
      </c>
      <c r="O134" s="79">
        <f>IF($M134="",0,N($G134)*$N134)</f>
        <v>0</v>
      </c>
      <c r="P134" s="78" t="str">
        <f>IF($M134="SV",DATOS!$C$98,IF($M134="LD",DATOS!$C$103,IF($M134="OI",DATOS!$C$99,"")))</f>
        <v/>
      </c>
      <c r="Q134" s="80" t="str">
        <f>IF(OR($M134="",N($P134)=0),"",$O134/$P134)</f>
        <v/>
      </c>
      <c r="R134" s="78" t="str">
        <f>IF($M134="","",IF(AND($M134&lt;&gt;"LD",N(DATOS!$C$100)&lt;=0),"PENDIENTE: falta R'",IF($Q134&lt;=1,"CUMPLE","NO CUMPLE")))</f>
        <v/>
      </c>
    </row>
    <row r="135">
      <c r="B135" s="74" t="n"/>
      <c r="C135" s="74" t="n"/>
      <c r="D135" s="74" t="n"/>
      <c r="E135" s="74" t="n"/>
      <c r="F135" s="74" t="n"/>
      <c r="G135" s="75" t="n"/>
      <c r="H135" s="76" t="n"/>
      <c r="I135" s="77" t="n"/>
      <c r="J135" s="77" t="n"/>
      <c r="K135" s="77" t="n"/>
      <c r="M135" s="78" t="str">
        <f>IF($C135="","",IF(ISNUMBER(SEARCH(DATOS!$C$126,$C135)),"SV",IF(ISNUMBER(SEARCH(DATOS!$C$127,$C135)),"LD",IF(ISNUMBER(SEARCH(DATOS!$C$128,$C135)),"OI",""))))</f>
        <v/>
      </c>
      <c r="N135" s="78">
        <f>IF($M135="SV",DATOS!$C$101,IF($M135="LD",1,IF($M135="OI",DATOS!$C$100*DATOS!$C$89,0)))</f>
        <v>0</v>
      </c>
      <c r="O135" s="79">
        <f>IF($M135="",0,N($G135)*$N135)</f>
        <v>0</v>
      </c>
      <c r="P135" s="78" t="str">
        <f>IF($M135="SV",DATOS!$C$98,IF($M135="LD",DATOS!$C$103,IF($M135="OI",DATOS!$C$99,"")))</f>
        <v/>
      </c>
      <c r="Q135" s="80" t="str">
        <f>IF(OR($M135="",N($P135)=0),"",$O135/$P135)</f>
        <v/>
      </c>
      <c r="R135" s="78" t="str">
        <f>IF($M135="","",IF(AND($M135&lt;&gt;"LD",N(DATOS!$C$100)&lt;=0),"PENDIENTE: falta R'",IF($Q135&lt;=1,"CUMPLE","NO CUMPLE")))</f>
        <v/>
      </c>
    </row>
    <row r="136">
      <c r="B136" s="74" t="n"/>
      <c r="C136" s="74" t="n"/>
      <c r="D136" s="74" t="n"/>
      <c r="E136" s="74" t="n"/>
      <c r="F136" s="74" t="n"/>
      <c r="G136" s="75" t="n"/>
      <c r="H136" s="76" t="n"/>
      <c r="I136" s="77" t="n"/>
      <c r="J136" s="77" t="n"/>
      <c r="K136" s="77" t="n"/>
      <c r="M136" s="78" t="str">
        <f>IF($C136="","",IF(ISNUMBER(SEARCH(DATOS!$C$126,$C136)),"SV",IF(ISNUMBER(SEARCH(DATOS!$C$127,$C136)),"LD",IF(ISNUMBER(SEARCH(DATOS!$C$128,$C136)),"OI",""))))</f>
        <v/>
      </c>
      <c r="N136" s="78">
        <f>IF($M136="SV",DATOS!$C$101,IF($M136="LD",1,IF($M136="OI",DATOS!$C$100*DATOS!$C$89,0)))</f>
        <v>0</v>
      </c>
      <c r="O136" s="79">
        <f>IF($M136="",0,N($G136)*$N136)</f>
        <v>0</v>
      </c>
      <c r="P136" s="78" t="str">
        <f>IF($M136="SV",DATOS!$C$98,IF($M136="LD",DATOS!$C$103,IF($M136="OI",DATOS!$C$99,"")))</f>
        <v/>
      </c>
      <c r="Q136" s="80" t="str">
        <f>IF(OR($M136="",N($P136)=0),"",$O136/$P136)</f>
        <v/>
      </c>
      <c r="R136" s="78" t="str">
        <f>IF($M136="","",IF(AND($M136&lt;&gt;"LD",N(DATOS!$C$100)&lt;=0),"PENDIENTE: falta R'",IF($Q136&lt;=1,"CUMPLE","NO CUMPLE")))</f>
        <v/>
      </c>
    </row>
    <row r="137">
      <c r="B137" s="74" t="n"/>
      <c r="C137" s="74" t="n"/>
      <c r="D137" s="74" t="n"/>
      <c r="E137" s="74" t="n"/>
      <c r="F137" s="74" t="n"/>
      <c r="G137" s="75" t="n"/>
      <c r="H137" s="76" t="n"/>
      <c r="I137" s="77" t="n"/>
      <c r="J137" s="77" t="n"/>
      <c r="K137" s="77" t="n"/>
      <c r="M137" s="78" t="str">
        <f>IF($C137="","",IF(ISNUMBER(SEARCH(DATOS!$C$126,$C137)),"SV",IF(ISNUMBER(SEARCH(DATOS!$C$127,$C137)),"LD",IF(ISNUMBER(SEARCH(DATOS!$C$128,$C137)),"OI",""))))</f>
        <v/>
      </c>
      <c r="N137" s="78">
        <f>IF($M137="SV",DATOS!$C$101,IF($M137="LD",1,IF($M137="OI",DATOS!$C$100*DATOS!$C$89,0)))</f>
        <v>0</v>
      </c>
      <c r="O137" s="79">
        <f>IF($M137="",0,N($G137)*$N137)</f>
        <v>0</v>
      </c>
      <c r="P137" s="78" t="str">
        <f>IF($M137="SV",DATOS!$C$98,IF($M137="LD",DATOS!$C$103,IF($M137="OI",DATOS!$C$99,"")))</f>
        <v/>
      </c>
      <c r="Q137" s="80" t="str">
        <f>IF(OR($M137="",N($P137)=0),"",$O137/$P137)</f>
        <v/>
      </c>
      <c r="R137" s="78" t="str">
        <f>IF($M137="","",IF(AND($M137&lt;&gt;"LD",N(DATOS!$C$100)&lt;=0),"PENDIENTE: falta R'",IF($Q137&lt;=1,"CUMPLE","NO CUMPLE")))</f>
        <v/>
      </c>
    </row>
    <row r="138">
      <c r="B138" s="74" t="n"/>
      <c r="C138" s="74" t="n"/>
      <c r="D138" s="74" t="n"/>
      <c r="E138" s="74" t="n"/>
      <c r="F138" s="74" t="n"/>
      <c r="G138" s="75" t="n"/>
      <c r="H138" s="76" t="n"/>
      <c r="I138" s="77" t="n"/>
      <c r="J138" s="77" t="n"/>
      <c r="K138" s="77" t="n"/>
      <c r="M138" s="78" t="str">
        <f>IF($C138="","",IF(ISNUMBER(SEARCH(DATOS!$C$126,$C138)),"SV",IF(ISNUMBER(SEARCH(DATOS!$C$127,$C138)),"LD",IF(ISNUMBER(SEARCH(DATOS!$C$128,$C138)),"OI",""))))</f>
        <v/>
      </c>
      <c r="N138" s="78">
        <f>IF($M138="SV",DATOS!$C$101,IF($M138="LD",1,IF($M138="OI",DATOS!$C$100*DATOS!$C$89,0)))</f>
        <v>0</v>
      </c>
      <c r="O138" s="79">
        <f>IF($M138="",0,N($G138)*$N138)</f>
        <v>0</v>
      </c>
      <c r="P138" s="78" t="str">
        <f>IF($M138="SV",DATOS!$C$98,IF($M138="LD",DATOS!$C$103,IF($M138="OI",DATOS!$C$99,"")))</f>
        <v/>
      </c>
      <c r="Q138" s="80" t="str">
        <f>IF(OR($M138="",N($P138)=0),"",$O138/$P138)</f>
        <v/>
      </c>
      <c r="R138" s="78" t="str">
        <f>IF($M138="","",IF(AND($M138&lt;&gt;"LD",N(DATOS!$C$100)&lt;=0),"PENDIENTE: falta R'",IF($Q138&lt;=1,"CUMPLE","NO CUMPLE")))</f>
        <v/>
      </c>
    </row>
    <row r="139">
      <c r="B139" s="74" t="n"/>
      <c r="C139" s="74" t="n"/>
      <c r="D139" s="74" t="n"/>
      <c r="E139" s="74" t="n"/>
      <c r="F139" s="74" t="n"/>
      <c r="G139" s="75" t="n"/>
      <c r="H139" s="76" t="n"/>
      <c r="I139" s="77" t="n"/>
      <c r="J139" s="77" t="n"/>
      <c r="K139" s="77" t="n"/>
      <c r="M139" s="78" t="str">
        <f>IF($C139="","",IF(ISNUMBER(SEARCH(DATOS!$C$126,$C139)),"SV",IF(ISNUMBER(SEARCH(DATOS!$C$127,$C139)),"LD",IF(ISNUMBER(SEARCH(DATOS!$C$128,$C139)),"OI",""))))</f>
        <v/>
      </c>
      <c r="N139" s="78">
        <f>IF($M139="SV",DATOS!$C$101,IF($M139="LD",1,IF($M139="OI",DATOS!$C$100*DATOS!$C$89,0)))</f>
        <v>0</v>
      </c>
      <c r="O139" s="79">
        <f>IF($M139="",0,N($G139)*$N139)</f>
        <v>0</v>
      </c>
      <c r="P139" s="78" t="str">
        <f>IF($M139="SV",DATOS!$C$98,IF($M139="LD",DATOS!$C$103,IF($M139="OI",DATOS!$C$99,"")))</f>
        <v/>
      </c>
      <c r="Q139" s="80" t="str">
        <f>IF(OR($M139="",N($P139)=0),"",$O139/$P139)</f>
        <v/>
      </c>
      <c r="R139" s="78" t="str">
        <f>IF($M139="","",IF(AND($M139&lt;&gt;"LD",N(DATOS!$C$100)&lt;=0),"PENDIENTE: falta R'",IF($Q139&lt;=1,"CUMPLE","NO CUMPLE")))</f>
        <v/>
      </c>
    </row>
    <row r="140">
      <c r="B140" s="74" t="n"/>
      <c r="C140" s="74" t="n"/>
      <c r="D140" s="74" t="n"/>
      <c r="E140" s="74" t="n"/>
      <c r="F140" s="74" t="n"/>
      <c r="G140" s="75" t="n"/>
      <c r="H140" s="76" t="n"/>
      <c r="I140" s="77" t="n"/>
      <c r="J140" s="77" t="n"/>
      <c r="K140" s="77" t="n"/>
      <c r="M140" s="78" t="str">
        <f>IF($C140="","",IF(ISNUMBER(SEARCH(DATOS!$C$126,$C140)),"SV",IF(ISNUMBER(SEARCH(DATOS!$C$127,$C140)),"LD",IF(ISNUMBER(SEARCH(DATOS!$C$128,$C140)),"OI",""))))</f>
        <v/>
      </c>
      <c r="N140" s="78">
        <f>IF($M140="SV",DATOS!$C$101,IF($M140="LD",1,IF($M140="OI",DATOS!$C$100*DATOS!$C$89,0)))</f>
        <v>0</v>
      </c>
      <c r="O140" s="79">
        <f>IF($M140="",0,N($G140)*$N140)</f>
        <v>0</v>
      </c>
      <c r="P140" s="78" t="str">
        <f>IF($M140="SV",DATOS!$C$98,IF($M140="LD",DATOS!$C$103,IF($M140="OI",DATOS!$C$99,"")))</f>
        <v/>
      </c>
      <c r="Q140" s="80" t="str">
        <f>IF(OR($M140="",N($P140)=0),"",$O140/$P140)</f>
        <v/>
      </c>
      <c r="R140" s="78" t="str">
        <f>IF($M140="","",IF(AND($M140&lt;&gt;"LD",N(DATOS!$C$100)&lt;=0),"PENDIENTE: falta R'",IF($Q140&lt;=1,"CUMPLE","NO CUMPLE")))</f>
        <v/>
      </c>
    </row>
    <row r="141">
      <c r="B141" s="74" t="n"/>
      <c r="C141" s="74" t="n"/>
      <c r="D141" s="74" t="n"/>
      <c r="E141" s="74" t="n"/>
      <c r="F141" s="74" t="n"/>
      <c r="G141" s="75" t="n"/>
      <c r="H141" s="76" t="n"/>
      <c r="I141" s="77" t="n"/>
      <c r="J141" s="77" t="n"/>
      <c r="K141" s="77" t="n"/>
      <c r="M141" s="78" t="str">
        <f>IF($C141="","",IF(ISNUMBER(SEARCH(DATOS!$C$126,$C141)),"SV",IF(ISNUMBER(SEARCH(DATOS!$C$127,$C141)),"LD",IF(ISNUMBER(SEARCH(DATOS!$C$128,$C141)),"OI",""))))</f>
        <v/>
      </c>
      <c r="N141" s="78">
        <f>IF($M141="SV",DATOS!$C$101,IF($M141="LD",1,IF($M141="OI",DATOS!$C$100*DATOS!$C$89,0)))</f>
        <v>0</v>
      </c>
      <c r="O141" s="79">
        <f>IF($M141="",0,N($G141)*$N141)</f>
        <v>0</v>
      </c>
      <c r="P141" s="78" t="str">
        <f>IF($M141="SV",DATOS!$C$98,IF($M141="LD",DATOS!$C$103,IF($M141="OI",DATOS!$C$99,"")))</f>
        <v/>
      </c>
      <c r="Q141" s="80" t="str">
        <f>IF(OR($M141="",N($P141)=0),"",$O141/$P141)</f>
        <v/>
      </c>
      <c r="R141" s="78" t="str">
        <f>IF($M141="","",IF(AND($M141&lt;&gt;"LD",N(DATOS!$C$100)&lt;=0),"PENDIENTE: falta R'",IF($Q141&lt;=1,"CUMPLE","NO CUMPLE")))</f>
        <v/>
      </c>
    </row>
    <row r="142">
      <c r="B142" s="74" t="n"/>
      <c r="C142" s="74" t="n"/>
      <c r="D142" s="74" t="n"/>
      <c r="E142" s="74" t="n"/>
      <c r="F142" s="74" t="n"/>
      <c r="G142" s="75" t="n"/>
      <c r="H142" s="76" t="n"/>
      <c r="I142" s="77" t="n"/>
      <c r="J142" s="77" t="n"/>
      <c r="K142" s="77" t="n"/>
      <c r="M142" s="78" t="str">
        <f>IF($C142="","",IF(ISNUMBER(SEARCH(DATOS!$C$126,$C142)),"SV",IF(ISNUMBER(SEARCH(DATOS!$C$127,$C142)),"LD",IF(ISNUMBER(SEARCH(DATOS!$C$128,$C142)),"OI",""))))</f>
        <v/>
      </c>
      <c r="N142" s="78">
        <f>IF($M142="SV",DATOS!$C$101,IF($M142="LD",1,IF($M142="OI",DATOS!$C$100*DATOS!$C$89,0)))</f>
        <v>0</v>
      </c>
      <c r="O142" s="79">
        <f>IF($M142="",0,N($G142)*$N142)</f>
        <v>0</v>
      </c>
      <c r="P142" s="78" t="str">
        <f>IF($M142="SV",DATOS!$C$98,IF($M142="LD",DATOS!$C$103,IF($M142="OI",DATOS!$C$99,"")))</f>
        <v/>
      </c>
      <c r="Q142" s="80" t="str">
        <f>IF(OR($M142="",N($P142)=0),"",$O142/$P142)</f>
        <v/>
      </c>
      <c r="R142" s="78" t="str">
        <f>IF($M142="","",IF(AND($M142&lt;&gt;"LD",N(DATOS!$C$100)&lt;=0),"PENDIENTE: falta R'",IF($Q142&lt;=1,"CUMPLE","NO CUMPLE")))</f>
        <v/>
      </c>
    </row>
    <row r="143">
      <c r="B143" s="74" t="n"/>
      <c r="C143" s="74" t="n"/>
      <c r="D143" s="74" t="n"/>
      <c r="E143" s="74" t="n"/>
      <c r="F143" s="74" t="n"/>
      <c r="G143" s="75" t="n"/>
      <c r="H143" s="76" t="n"/>
      <c r="I143" s="77" t="n"/>
      <c r="J143" s="77" t="n"/>
      <c r="K143" s="77" t="n"/>
      <c r="M143" s="78" t="str">
        <f>IF($C143="","",IF(ISNUMBER(SEARCH(DATOS!$C$126,$C143)),"SV",IF(ISNUMBER(SEARCH(DATOS!$C$127,$C143)),"LD",IF(ISNUMBER(SEARCH(DATOS!$C$128,$C143)),"OI",""))))</f>
        <v/>
      </c>
      <c r="N143" s="78">
        <f>IF($M143="SV",DATOS!$C$101,IF($M143="LD",1,IF($M143="OI",DATOS!$C$100*DATOS!$C$89,0)))</f>
        <v>0</v>
      </c>
      <c r="O143" s="79">
        <f>IF($M143="",0,N($G143)*$N143)</f>
        <v>0</v>
      </c>
      <c r="P143" s="78" t="str">
        <f>IF($M143="SV",DATOS!$C$98,IF($M143="LD",DATOS!$C$103,IF($M143="OI",DATOS!$C$99,"")))</f>
        <v/>
      </c>
      <c r="Q143" s="80" t="str">
        <f>IF(OR($M143="",N($P143)=0),"",$O143/$P143)</f>
        <v/>
      </c>
      <c r="R143" s="78" t="str">
        <f>IF($M143="","",IF(AND($M143&lt;&gt;"LD",N(DATOS!$C$100)&lt;=0),"PENDIENTE: falta R'",IF($Q143&lt;=1,"CUMPLE","NO CUMPLE")))</f>
        <v/>
      </c>
    </row>
    <row r="144">
      <c r="B144" s="74" t="n"/>
      <c r="C144" s="74" t="n"/>
      <c r="D144" s="74" t="n"/>
      <c r="E144" s="74" t="n"/>
      <c r="F144" s="74" t="n"/>
      <c r="G144" s="75" t="n"/>
      <c r="H144" s="76" t="n"/>
      <c r="I144" s="77" t="n"/>
      <c r="J144" s="77" t="n"/>
      <c r="K144" s="77" t="n"/>
      <c r="M144" s="78" t="str">
        <f>IF($C144="","",IF(ISNUMBER(SEARCH(DATOS!$C$126,$C144)),"SV",IF(ISNUMBER(SEARCH(DATOS!$C$127,$C144)),"LD",IF(ISNUMBER(SEARCH(DATOS!$C$128,$C144)),"OI",""))))</f>
        <v/>
      </c>
      <c r="N144" s="78">
        <f>IF($M144="SV",DATOS!$C$101,IF($M144="LD",1,IF($M144="OI",DATOS!$C$100*DATOS!$C$89,0)))</f>
        <v>0</v>
      </c>
      <c r="O144" s="79">
        <f>IF($M144="",0,N($G144)*$N144)</f>
        <v>0</v>
      </c>
      <c r="P144" s="78" t="str">
        <f>IF($M144="SV",DATOS!$C$98,IF($M144="LD",DATOS!$C$103,IF($M144="OI",DATOS!$C$99,"")))</f>
        <v/>
      </c>
      <c r="Q144" s="80" t="str">
        <f>IF(OR($M144="",N($P144)=0),"",$O144/$P144)</f>
        <v/>
      </c>
      <c r="R144" s="78" t="str">
        <f>IF($M144="","",IF(AND($M144&lt;&gt;"LD",N(DATOS!$C$100)&lt;=0),"PENDIENTE: falta R'",IF($Q144&lt;=1,"CUMPLE","NO CUMPLE")))</f>
        <v/>
      </c>
    </row>
    <row r="145">
      <c r="B145" s="74" t="n"/>
      <c r="C145" s="74" t="n"/>
      <c r="D145" s="74" t="n"/>
      <c r="E145" s="74" t="n"/>
      <c r="F145" s="74" t="n"/>
      <c r="G145" s="75" t="n"/>
      <c r="H145" s="76" t="n"/>
      <c r="I145" s="77" t="n"/>
      <c r="J145" s="77" t="n"/>
      <c r="K145" s="77" t="n"/>
      <c r="M145" s="78" t="str">
        <f>IF($C145="","",IF(ISNUMBER(SEARCH(DATOS!$C$126,$C145)),"SV",IF(ISNUMBER(SEARCH(DATOS!$C$127,$C145)),"LD",IF(ISNUMBER(SEARCH(DATOS!$C$128,$C145)),"OI",""))))</f>
        <v/>
      </c>
      <c r="N145" s="78">
        <f>IF($M145="SV",DATOS!$C$101,IF($M145="LD",1,IF($M145="OI",DATOS!$C$100*DATOS!$C$89,0)))</f>
        <v>0</v>
      </c>
      <c r="O145" s="79">
        <f>IF($M145="",0,N($G145)*$N145)</f>
        <v>0</v>
      </c>
      <c r="P145" s="78" t="str">
        <f>IF($M145="SV",DATOS!$C$98,IF($M145="LD",DATOS!$C$103,IF($M145="OI",DATOS!$C$99,"")))</f>
        <v/>
      </c>
      <c r="Q145" s="80" t="str">
        <f>IF(OR($M145="",N($P145)=0),"",$O145/$P145)</f>
        <v/>
      </c>
      <c r="R145" s="78" t="str">
        <f>IF($M145="","",IF(AND($M145&lt;&gt;"LD",N(DATOS!$C$100)&lt;=0),"PENDIENTE: falta R'",IF($Q145&lt;=1,"CUMPLE","NO CUMPLE")))</f>
        <v/>
      </c>
    </row>
    <row r="146">
      <c r="B146" s="74" t="n"/>
      <c r="C146" s="74" t="n"/>
      <c r="D146" s="74" t="n"/>
      <c r="E146" s="74" t="n"/>
      <c r="F146" s="74" t="n"/>
      <c r="G146" s="75" t="n"/>
      <c r="H146" s="76" t="n"/>
      <c r="I146" s="77" t="n"/>
      <c r="J146" s="77" t="n"/>
      <c r="K146" s="77" t="n"/>
      <c r="M146" s="78" t="str">
        <f>IF($C146="","",IF(ISNUMBER(SEARCH(DATOS!$C$126,$C146)),"SV",IF(ISNUMBER(SEARCH(DATOS!$C$127,$C146)),"LD",IF(ISNUMBER(SEARCH(DATOS!$C$128,$C146)),"OI",""))))</f>
        <v/>
      </c>
      <c r="N146" s="78">
        <f>IF($M146="SV",DATOS!$C$101,IF($M146="LD",1,IF($M146="OI",DATOS!$C$100*DATOS!$C$89,0)))</f>
        <v>0</v>
      </c>
      <c r="O146" s="79">
        <f>IF($M146="",0,N($G146)*$N146)</f>
        <v>0</v>
      </c>
      <c r="P146" s="78" t="str">
        <f>IF($M146="SV",DATOS!$C$98,IF($M146="LD",DATOS!$C$103,IF($M146="OI",DATOS!$C$99,"")))</f>
        <v/>
      </c>
      <c r="Q146" s="80" t="str">
        <f>IF(OR($M146="",N($P146)=0),"",$O146/$P146)</f>
        <v/>
      </c>
      <c r="R146" s="78" t="str">
        <f>IF($M146="","",IF(AND($M146&lt;&gt;"LD",N(DATOS!$C$100)&lt;=0),"PENDIENTE: falta R'",IF($Q146&lt;=1,"CUMPLE","NO CUMPLE")))</f>
        <v/>
      </c>
    </row>
    <row r="147">
      <c r="B147" s="74" t="n"/>
      <c r="C147" s="74" t="n"/>
      <c r="D147" s="74" t="n"/>
      <c r="E147" s="74" t="n"/>
      <c r="F147" s="74" t="n"/>
      <c r="G147" s="75" t="n"/>
      <c r="H147" s="76" t="n"/>
      <c r="I147" s="77" t="n"/>
      <c r="J147" s="77" t="n"/>
      <c r="K147" s="77" t="n"/>
      <c r="M147" s="78" t="str">
        <f>IF($C147="","",IF(ISNUMBER(SEARCH(DATOS!$C$126,$C147)),"SV",IF(ISNUMBER(SEARCH(DATOS!$C$127,$C147)),"LD",IF(ISNUMBER(SEARCH(DATOS!$C$128,$C147)),"OI",""))))</f>
        <v/>
      </c>
      <c r="N147" s="78">
        <f>IF($M147="SV",DATOS!$C$101,IF($M147="LD",1,IF($M147="OI",DATOS!$C$100*DATOS!$C$89,0)))</f>
        <v>0</v>
      </c>
      <c r="O147" s="79">
        <f>IF($M147="",0,N($G147)*$N147)</f>
        <v>0</v>
      </c>
      <c r="P147" s="78" t="str">
        <f>IF($M147="SV",DATOS!$C$98,IF($M147="LD",DATOS!$C$103,IF($M147="OI",DATOS!$C$99,"")))</f>
        <v/>
      </c>
      <c r="Q147" s="80" t="str">
        <f>IF(OR($M147="",N($P147)=0),"",$O147/$P147)</f>
        <v/>
      </c>
      <c r="R147" s="78" t="str">
        <f>IF($M147="","",IF(AND($M147&lt;&gt;"LD",N(DATOS!$C$100)&lt;=0),"PENDIENTE: falta R'",IF($Q147&lt;=1,"CUMPLE","NO CUMPLE")))</f>
        <v/>
      </c>
    </row>
    <row r="148">
      <c r="B148" s="74" t="n"/>
      <c r="C148" s="74" t="n"/>
      <c r="D148" s="74" t="n"/>
      <c r="E148" s="74" t="n"/>
      <c r="F148" s="74" t="n"/>
      <c r="G148" s="75" t="n"/>
      <c r="H148" s="76" t="n"/>
      <c r="I148" s="77" t="n"/>
      <c r="J148" s="77" t="n"/>
      <c r="K148" s="77" t="n"/>
      <c r="M148" s="78" t="str">
        <f>IF($C148="","",IF(ISNUMBER(SEARCH(DATOS!$C$126,$C148)),"SV",IF(ISNUMBER(SEARCH(DATOS!$C$127,$C148)),"LD",IF(ISNUMBER(SEARCH(DATOS!$C$128,$C148)),"OI",""))))</f>
        <v/>
      </c>
      <c r="N148" s="78">
        <f>IF($M148="SV",DATOS!$C$101,IF($M148="LD",1,IF($M148="OI",DATOS!$C$100*DATOS!$C$89,0)))</f>
        <v>0</v>
      </c>
      <c r="O148" s="79">
        <f>IF($M148="",0,N($G148)*$N148)</f>
        <v>0</v>
      </c>
      <c r="P148" s="78" t="str">
        <f>IF($M148="SV",DATOS!$C$98,IF($M148="LD",DATOS!$C$103,IF($M148="OI",DATOS!$C$99,"")))</f>
        <v/>
      </c>
      <c r="Q148" s="80" t="str">
        <f>IF(OR($M148="",N($P148)=0),"",$O148/$P148)</f>
        <v/>
      </c>
      <c r="R148" s="78" t="str">
        <f>IF($M148="","",IF(AND($M148&lt;&gt;"LD",N(DATOS!$C$100)&lt;=0),"PENDIENTE: falta R'",IF($Q148&lt;=1,"CUMPLE","NO CUMPLE")))</f>
        <v/>
      </c>
    </row>
    <row r="149">
      <c r="B149" s="74" t="n"/>
      <c r="C149" s="74" t="n"/>
      <c r="D149" s="74" t="n"/>
      <c r="E149" s="74" t="n"/>
      <c r="F149" s="74" t="n"/>
      <c r="G149" s="75" t="n"/>
      <c r="H149" s="76" t="n"/>
      <c r="I149" s="77" t="n"/>
      <c r="J149" s="77" t="n"/>
      <c r="K149" s="77" t="n"/>
      <c r="M149" s="78" t="str">
        <f>IF($C149="","",IF(ISNUMBER(SEARCH(DATOS!$C$126,$C149)),"SV",IF(ISNUMBER(SEARCH(DATOS!$C$127,$C149)),"LD",IF(ISNUMBER(SEARCH(DATOS!$C$128,$C149)),"OI",""))))</f>
        <v/>
      </c>
      <c r="N149" s="78">
        <f>IF($M149="SV",DATOS!$C$101,IF($M149="LD",1,IF($M149="OI",DATOS!$C$100*DATOS!$C$89,0)))</f>
        <v>0</v>
      </c>
      <c r="O149" s="79">
        <f>IF($M149="",0,N($G149)*$N149)</f>
        <v>0</v>
      </c>
      <c r="P149" s="78" t="str">
        <f>IF($M149="SV",DATOS!$C$98,IF($M149="LD",DATOS!$C$103,IF($M149="OI",DATOS!$C$99,"")))</f>
        <v/>
      </c>
      <c r="Q149" s="80" t="str">
        <f>IF(OR($M149="",N($P149)=0),"",$O149/$P149)</f>
        <v/>
      </c>
      <c r="R149" s="78" t="str">
        <f>IF($M149="","",IF(AND($M149&lt;&gt;"LD",N(DATOS!$C$100)&lt;=0),"PENDIENTE: falta R'",IF($Q149&lt;=1,"CUMPLE","NO CUMPLE")))</f>
        <v/>
      </c>
    </row>
    <row r="150">
      <c r="B150" s="74" t="n"/>
      <c r="C150" s="74" t="n"/>
      <c r="D150" s="74" t="n"/>
      <c r="E150" s="74" t="n"/>
      <c r="F150" s="74" t="n"/>
      <c r="G150" s="75" t="n"/>
      <c r="H150" s="76" t="n"/>
      <c r="I150" s="77" t="n"/>
      <c r="J150" s="77" t="n"/>
      <c r="K150" s="77" t="n"/>
      <c r="M150" s="78" t="str">
        <f>IF($C150="","",IF(ISNUMBER(SEARCH(DATOS!$C$126,$C150)),"SV",IF(ISNUMBER(SEARCH(DATOS!$C$127,$C150)),"LD",IF(ISNUMBER(SEARCH(DATOS!$C$128,$C150)),"OI",""))))</f>
        <v/>
      </c>
      <c r="N150" s="78">
        <f>IF($M150="SV",DATOS!$C$101,IF($M150="LD",1,IF($M150="OI",DATOS!$C$100*DATOS!$C$89,0)))</f>
        <v>0</v>
      </c>
      <c r="O150" s="79">
        <f>IF($M150="",0,N($G150)*$N150)</f>
        <v>0</v>
      </c>
      <c r="P150" s="78" t="str">
        <f>IF($M150="SV",DATOS!$C$98,IF($M150="LD",DATOS!$C$103,IF($M150="OI",DATOS!$C$99,"")))</f>
        <v/>
      </c>
      <c r="Q150" s="80" t="str">
        <f>IF(OR($M150="",N($P150)=0),"",$O150/$P150)</f>
        <v/>
      </c>
      <c r="R150" s="78" t="str">
        <f>IF($M150="","",IF(AND($M150&lt;&gt;"LD",N(DATOS!$C$100)&lt;=0),"PENDIENTE: falta R'",IF($Q150&lt;=1,"CUMPLE","NO CUMPLE")))</f>
        <v/>
      </c>
    </row>
    <row r="151">
      <c r="B151" s="74" t="n"/>
      <c r="C151" s="74" t="n"/>
      <c r="D151" s="74" t="n"/>
      <c r="E151" s="74" t="n"/>
      <c r="F151" s="74" t="n"/>
      <c r="G151" s="75" t="n"/>
      <c r="H151" s="76" t="n"/>
      <c r="I151" s="77" t="n"/>
      <c r="J151" s="77" t="n"/>
      <c r="K151" s="77" t="n"/>
      <c r="M151" s="78" t="str">
        <f>IF($C151="","",IF(ISNUMBER(SEARCH(DATOS!$C$126,$C151)),"SV",IF(ISNUMBER(SEARCH(DATOS!$C$127,$C151)),"LD",IF(ISNUMBER(SEARCH(DATOS!$C$128,$C151)),"OI",""))))</f>
        <v/>
      </c>
      <c r="N151" s="78">
        <f>IF($M151="SV",DATOS!$C$101,IF($M151="LD",1,IF($M151="OI",DATOS!$C$100*DATOS!$C$89,0)))</f>
        <v>0</v>
      </c>
      <c r="O151" s="79">
        <f>IF($M151="",0,N($G151)*$N151)</f>
        <v>0</v>
      </c>
      <c r="P151" s="78" t="str">
        <f>IF($M151="SV",DATOS!$C$98,IF($M151="LD",DATOS!$C$103,IF($M151="OI",DATOS!$C$99,"")))</f>
        <v/>
      </c>
      <c r="Q151" s="80" t="str">
        <f>IF(OR($M151="",N($P151)=0),"",$O151/$P151)</f>
        <v/>
      </c>
      <c r="R151" s="78" t="str">
        <f>IF($M151="","",IF(AND($M151&lt;&gt;"LD",N(DATOS!$C$100)&lt;=0),"PENDIENTE: falta R'",IF($Q151&lt;=1,"CUMPLE","NO CUMPLE")))</f>
        <v/>
      </c>
    </row>
    <row r="152">
      <c r="B152" s="74" t="n"/>
      <c r="C152" s="74" t="n"/>
      <c r="D152" s="74" t="n"/>
      <c r="E152" s="74" t="n"/>
      <c r="F152" s="74" t="n"/>
      <c r="G152" s="75" t="n"/>
      <c r="H152" s="76" t="n"/>
      <c r="I152" s="77" t="n"/>
      <c r="J152" s="77" t="n"/>
      <c r="K152" s="77" t="n"/>
      <c r="M152" s="78" t="str">
        <f>IF($C152="","",IF(ISNUMBER(SEARCH(DATOS!$C$126,$C152)),"SV",IF(ISNUMBER(SEARCH(DATOS!$C$127,$C152)),"LD",IF(ISNUMBER(SEARCH(DATOS!$C$128,$C152)),"OI",""))))</f>
        <v/>
      </c>
      <c r="N152" s="78">
        <f>IF($M152="SV",DATOS!$C$101,IF($M152="LD",1,IF($M152="OI",DATOS!$C$100*DATOS!$C$89,0)))</f>
        <v>0</v>
      </c>
      <c r="O152" s="79">
        <f>IF($M152="",0,N($G152)*$N152)</f>
        <v>0</v>
      </c>
      <c r="P152" s="78" t="str">
        <f>IF($M152="SV",DATOS!$C$98,IF($M152="LD",DATOS!$C$103,IF($M152="OI",DATOS!$C$99,"")))</f>
        <v/>
      </c>
      <c r="Q152" s="80" t="str">
        <f>IF(OR($M152="",N($P152)=0),"",$O152/$P152)</f>
        <v/>
      </c>
      <c r="R152" s="78" t="str">
        <f>IF($M152="","",IF(AND($M152&lt;&gt;"LD",N(DATOS!$C$100)&lt;=0),"PENDIENTE: falta R'",IF($Q152&lt;=1,"CUMPLE","NO CUMPLE")))</f>
        <v/>
      </c>
    </row>
    <row r="153">
      <c r="B153" s="74" t="n"/>
      <c r="C153" s="74" t="n"/>
      <c r="D153" s="74" t="n"/>
      <c r="E153" s="74" t="n"/>
      <c r="F153" s="74" t="n"/>
      <c r="G153" s="75" t="n"/>
      <c r="H153" s="76" t="n"/>
      <c r="I153" s="77" t="n"/>
      <c r="J153" s="77" t="n"/>
      <c r="K153" s="77" t="n"/>
      <c r="M153" s="78" t="str">
        <f>IF($C153="","",IF(ISNUMBER(SEARCH(DATOS!$C$126,$C153)),"SV",IF(ISNUMBER(SEARCH(DATOS!$C$127,$C153)),"LD",IF(ISNUMBER(SEARCH(DATOS!$C$128,$C153)),"OI",""))))</f>
        <v/>
      </c>
      <c r="N153" s="78">
        <f>IF($M153="SV",DATOS!$C$101,IF($M153="LD",1,IF($M153="OI",DATOS!$C$100*DATOS!$C$89,0)))</f>
        <v>0</v>
      </c>
      <c r="O153" s="79">
        <f>IF($M153="",0,N($G153)*$N153)</f>
        <v>0</v>
      </c>
      <c r="P153" s="78" t="str">
        <f>IF($M153="SV",DATOS!$C$98,IF($M153="LD",DATOS!$C$103,IF($M153="OI",DATOS!$C$99,"")))</f>
        <v/>
      </c>
      <c r="Q153" s="80" t="str">
        <f>IF(OR($M153="",N($P153)=0),"",$O153/$P153)</f>
        <v/>
      </c>
      <c r="R153" s="78" t="str">
        <f>IF($M153="","",IF(AND($M153&lt;&gt;"LD",N(DATOS!$C$100)&lt;=0),"PENDIENTE: falta R'",IF($Q153&lt;=1,"CUMPLE","NO CUMPLE")))</f>
        <v/>
      </c>
    </row>
    <row r="154">
      <c r="B154" s="74" t="n"/>
      <c r="C154" s="74" t="n"/>
      <c r="D154" s="74" t="n"/>
      <c r="E154" s="74" t="n"/>
      <c r="F154" s="74" t="n"/>
      <c r="G154" s="75" t="n"/>
      <c r="H154" s="76" t="n"/>
      <c r="I154" s="77" t="n"/>
      <c r="J154" s="77" t="n"/>
      <c r="K154" s="77" t="n"/>
      <c r="M154" s="78" t="str">
        <f>IF($C154="","",IF(ISNUMBER(SEARCH(DATOS!$C$126,$C154)),"SV",IF(ISNUMBER(SEARCH(DATOS!$C$127,$C154)),"LD",IF(ISNUMBER(SEARCH(DATOS!$C$128,$C154)),"OI",""))))</f>
        <v/>
      </c>
      <c r="N154" s="78">
        <f>IF($M154="SV",DATOS!$C$101,IF($M154="LD",1,IF($M154="OI",DATOS!$C$100*DATOS!$C$89,0)))</f>
        <v>0</v>
      </c>
      <c r="O154" s="79">
        <f>IF($M154="",0,N($G154)*$N154)</f>
        <v>0</v>
      </c>
      <c r="P154" s="78" t="str">
        <f>IF($M154="SV",DATOS!$C$98,IF($M154="LD",DATOS!$C$103,IF($M154="OI",DATOS!$C$99,"")))</f>
        <v/>
      </c>
      <c r="Q154" s="80" t="str">
        <f>IF(OR($M154="",N($P154)=0),"",$O154/$P154)</f>
        <v/>
      </c>
      <c r="R154" s="78" t="str">
        <f>IF($M154="","",IF(AND($M154&lt;&gt;"LD",N(DATOS!$C$100)&lt;=0),"PENDIENTE: falta R'",IF($Q154&lt;=1,"CUMPLE","NO CUMPLE")))</f>
        <v/>
      </c>
    </row>
    <row r="155">
      <c r="B155" s="74" t="n"/>
      <c r="C155" s="74" t="n"/>
      <c r="D155" s="74" t="n"/>
      <c r="E155" s="74" t="n"/>
      <c r="F155" s="74" t="n"/>
      <c r="G155" s="75" t="n"/>
      <c r="H155" s="76" t="n"/>
      <c r="I155" s="77" t="n"/>
      <c r="J155" s="77" t="n"/>
      <c r="K155" s="77" t="n"/>
      <c r="M155" s="78" t="str">
        <f>IF($C155="","",IF(ISNUMBER(SEARCH(DATOS!$C$126,$C155)),"SV",IF(ISNUMBER(SEARCH(DATOS!$C$127,$C155)),"LD",IF(ISNUMBER(SEARCH(DATOS!$C$128,$C155)),"OI",""))))</f>
        <v/>
      </c>
      <c r="N155" s="78">
        <f>IF($M155="SV",DATOS!$C$101,IF($M155="LD",1,IF($M155="OI",DATOS!$C$100*DATOS!$C$89,0)))</f>
        <v>0</v>
      </c>
      <c r="O155" s="79">
        <f>IF($M155="",0,N($G155)*$N155)</f>
        <v>0</v>
      </c>
      <c r="P155" s="78" t="str">
        <f>IF($M155="SV",DATOS!$C$98,IF($M155="LD",DATOS!$C$103,IF($M155="OI",DATOS!$C$99,"")))</f>
        <v/>
      </c>
      <c r="Q155" s="80" t="str">
        <f>IF(OR($M155="",N($P155)=0),"",$O155/$P155)</f>
        <v/>
      </c>
      <c r="R155" s="78" t="str">
        <f>IF($M155="","",IF(AND($M155&lt;&gt;"LD",N(DATOS!$C$100)&lt;=0),"PENDIENTE: falta R'",IF($Q155&lt;=1,"CUMPLE","NO CUMPLE")))</f>
        <v/>
      </c>
    </row>
    <row r="156">
      <c r="B156" s="74" t="n"/>
      <c r="C156" s="74" t="n"/>
      <c r="D156" s="74" t="n"/>
      <c r="E156" s="74" t="n"/>
      <c r="F156" s="74" t="n"/>
      <c r="G156" s="75" t="n"/>
      <c r="H156" s="76" t="n"/>
      <c r="I156" s="77" t="n"/>
      <c r="J156" s="77" t="n"/>
      <c r="K156" s="77" t="n"/>
      <c r="M156" s="78" t="str">
        <f>IF($C156="","",IF(ISNUMBER(SEARCH(DATOS!$C$126,$C156)),"SV",IF(ISNUMBER(SEARCH(DATOS!$C$127,$C156)),"LD",IF(ISNUMBER(SEARCH(DATOS!$C$128,$C156)),"OI",""))))</f>
        <v/>
      </c>
      <c r="N156" s="78">
        <f>IF($M156="SV",DATOS!$C$101,IF($M156="LD",1,IF($M156="OI",DATOS!$C$100*DATOS!$C$89,0)))</f>
        <v>0</v>
      </c>
      <c r="O156" s="79">
        <f>IF($M156="",0,N($G156)*$N156)</f>
        <v>0</v>
      </c>
      <c r="P156" s="78" t="str">
        <f>IF($M156="SV",DATOS!$C$98,IF($M156="LD",DATOS!$C$103,IF($M156="OI",DATOS!$C$99,"")))</f>
        <v/>
      </c>
      <c r="Q156" s="80" t="str">
        <f>IF(OR($M156="",N($P156)=0),"",$O156/$P156)</f>
        <v/>
      </c>
      <c r="R156" s="78" t="str">
        <f>IF($M156="","",IF(AND($M156&lt;&gt;"LD",N(DATOS!$C$100)&lt;=0),"PENDIENTE: falta R'",IF($Q156&lt;=1,"CUMPLE","NO CUMPLE")))</f>
        <v/>
      </c>
    </row>
    <row r="157">
      <c r="B157" s="74" t="n"/>
      <c r="C157" s="74" t="n"/>
      <c r="D157" s="74" t="n"/>
      <c r="E157" s="74" t="n"/>
      <c r="F157" s="74" t="n"/>
      <c r="G157" s="75" t="n"/>
      <c r="H157" s="76" t="n"/>
      <c r="I157" s="77" t="n"/>
      <c r="J157" s="77" t="n"/>
      <c r="K157" s="77" t="n"/>
      <c r="M157" s="78" t="str">
        <f>IF($C157="","",IF(ISNUMBER(SEARCH(DATOS!$C$126,$C157)),"SV",IF(ISNUMBER(SEARCH(DATOS!$C$127,$C157)),"LD",IF(ISNUMBER(SEARCH(DATOS!$C$128,$C157)),"OI",""))))</f>
        <v/>
      </c>
      <c r="N157" s="78">
        <f>IF($M157="SV",DATOS!$C$101,IF($M157="LD",1,IF($M157="OI",DATOS!$C$100*DATOS!$C$89,0)))</f>
        <v>0</v>
      </c>
      <c r="O157" s="79">
        <f>IF($M157="",0,N($G157)*$N157)</f>
        <v>0</v>
      </c>
      <c r="P157" s="78" t="str">
        <f>IF($M157="SV",DATOS!$C$98,IF($M157="LD",DATOS!$C$103,IF($M157="OI",DATOS!$C$99,"")))</f>
        <v/>
      </c>
      <c r="Q157" s="80" t="str">
        <f>IF(OR($M157="",N($P157)=0),"",$O157/$P157)</f>
        <v/>
      </c>
      <c r="R157" s="78" t="str">
        <f>IF($M157="","",IF(AND($M157&lt;&gt;"LD",N(DATOS!$C$100)&lt;=0),"PENDIENTE: falta R'",IF($Q157&lt;=1,"CUMPLE","NO CUMPLE")))</f>
        <v/>
      </c>
    </row>
    <row r="158">
      <c r="B158" s="74" t="n"/>
      <c r="C158" s="74" t="n"/>
      <c r="D158" s="74" t="n"/>
      <c r="E158" s="74" t="n"/>
      <c r="F158" s="74" t="n"/>
      <c r="G158" s="75" t="n"/>
      <c r="H158" s="76" t="n"/>
      <c r="I158" s="77" t="n"/>
      <c r="J158" s="77" t="n"/>
      <c r="K158" s="77" t="n"/>
      <c r="M158" s="78" t="str">
        <f>IF($C158="","",IF(ISNUMBER(SEARCH(DATOS!$C$126,$C158)),"SV",IF(ISNUMBER(SEARCH(DATOS!$C$127,$C158)),"LD",IF(ISNUMBER(SEARCH(DATOS!$C$128,$C158)),"OI",""))))</f>
        <v/>
      </c>
      <c r="N158" s="78">
        <f>IF($M158="SV",DATOS!$C$101,IF($M158="LD",1,IF($M158="OI",DATOS!$C$100*DATOS!$C$89,0)))</f>
        <v>0</v>
      </c>
      <c r="O158" s="79">
        <f>IF($M158="",0,N($G158)*$N158)</f>
        <v>0</v>
      </c>
      <c r="P158" s="78" t="str">
        <f>IF($M158="SV",DATOS!$C$98,IF($M158="LD",DATOS!$C$103,IF($M158="OI",DATOS!$C$99,"")))</f>
        <v/>
      </c>
      <c r="Q158" s="80" t="str">
        <f>IF(OR($M158="",N($P158)=0),"",$O158/$P158)</f>
        <v/>
      </c>
      <c r="R158" s="78" t="str">
        <f>IF($M158="","",IF(AND($M158&lt;&gt;"LD",N(DATOS!$C$100)&lt;=0),"PENDIENTE: falta R'",IF($Q158&lt;=1,"CUMPLE","NO CUMPLE")))</f>
        <v/>
      </c>
    </row>
    <row r="159">
      <c r="B159" s="74" t="n"/>
      <c r="C159" s="74" t="n"/>
      <c r="D159" s="74" t="n"/>
      <c r="E159" s="74" t="n"/>
      <c r="F159" s="74" t="n"/>
      <c r="G159" s="75" t="n"/>
      <c r="H159" s="76" t="n"/>
      <c r="I159" s="77" t="n"/>
      <c r="J159" s="77" t="n"/>
      <c r="K159" s="77" t="n"/>
      <c r="M159" s="78" t="str">
        <f>IF($C159="","",IF(ISNUMBER(SEARCH(DATOS!$C$126,$C159)),"SV",IF(ISNUMBER(SEARCH(DATOS!$C$127,$C159)),"LD",IF(ISNUMBER(SEARCH(DATOS!$C$128,$C159)),"OI",""))))</f>
        <v/>
      </c>
      <c r="N159" s="78">
        <f>IF($M159="SV",DATOS!$C$101,IF($M159="LD",1,IF($M159="OI",DATOS!$C$100*DATOS!$C$89,0)))</f>
        <v>0</v>
      </c>
      <c r="O159" s="79">
        <f>IF($M159="",0,N($G159)*$N159)</f>
        <v>0</v>
      </c>
      <c r="P159" s="78" t="str">
        <f>IF($M159="SV",DATOS!$C$98,IF($M159="LD",DATOS!$C$103,IF($M159="OI",DATOS!$C$99,"")))</f>
        <v/>
      </c>
      <c r="Q159" s="80" t="str">
        <f>IF(OR($M159="",N($P159)=0),"",$O159/$P159)</f>
        <v/>
      </c>
      <c r="R159" s="78" t="str">
        <f>IF($M159="","",IF(AND($M159&lt;&gt;"LD",N(DATOS!$C$100)&lt;=0),"PENDIENTE: falta R'",IF($Q159&lt;=1,"CUMPLE","NO CUMPLE")))</f>
        <v/>
      </c>
    </row>
    <row r="160">
      <c r="B160" s="74" t="n"/>
      <c r="C160" s="74" t="n"/>
      <c r="D160" s="74" t="n"/>
      <c r="E160" s="74" t="n"/>
      <c r="F160" s="74" t="n"/>
      <c r="G160" s="75" t="n"/>
      <c r="H160" s="76" t="n"/>
      <c r="I160" s="77" t="n"/>
      <c r="J160" s="77" t="n"/>
      <c r="K160" s="77" t="n"/>
      <c r="M160" s="78" t="str">
        <f>IF($C160="","",IF(ISNUMBER(SEARCH(DATOS!$C$126,$C160)),"SV",IF(ISNUMBER(SEARCH(DATOS!$C$127,$C160)),"LD",IF(ISNUMBER(SEARCH(DATOS!$C$128,$C160)),"OI",""))))</f>
        <v/>
      </c>
      <c r="N160" s="78">
        <f>IF($M160="SV",DATOS!$C$101,IF($M160="LD",1,IF($M160="OI",DATOS!$C$100*DATOS!$C$89,0)))</f>
        <v>0</v>
      </c>
      <c r="O160" s="79">
        <f>IF($M160="",0,N($G160)*$N160)</f>
        <v>0</v>
      </c>
      <c r="P160" s="78" t="str">
        <f>IF($M160="SV",DATOS!$C$98,IF($M160="LD",DATOS!$C$103,IF($M160="OI",DATOS!$C$99,"")))</f>
        <v/>
      </c>
      <c r="Q160" s="80" t="str">
        <f>IF(OR($M160="",N($P160)=0),"",$O160/$P160)</f>
        <v/>
      </c>
      <c r="R160" s="78" t="str">
        <f>IF($M160="","",IF(AND($M160&lt;&gt;"LD",N(DATOS!$C$100)&lt;=0),"PENDIENTE: falta R'",IF($Q160&lt;=1,"CUMPLE","NO CUMPLE")))</f>
        <v/>
      </c>
    </row>
    <row r="161">
      <c r="B161" s="74" t="n"/>
      <c r="C161" s="74" t="n"/>
      <c r="D161" s="74" t="n"/>
      <c r="E161" s="74" t="n"/>
      <c r="F161" s="74" t="n"/>
      <c r="G161" s="75" t="n"/>
      <c r="H161" s="76" t="n"/>
      <c r="I161" s="77" t="n"/>
      <c r="J161" s="77" t="n"/>
      <c r="K161" s="77" t="n"/>
      <c r="M161" s="78" t="str">
        <f>IF($C161="","",IF(ISNUMBER(SEARCH(DATOS!$C$126,$C161)),"SV",IF(ISNUMBER(SEARCH(DATOS!$C$127,$C161)),"LD",IF(ISNUMBER(SEARCH(DATOS!$C$128,$C161)),"OI",""))))</f>
        <v/>
      </c>
      <c r="N161" s="78">
        <f>IF($M161="SV",DATOS!$C$101,IF($M161="LD",1,IF($M161="OI",DATOS!$C$100*DATOS!$C$89,0)))</f>
        <v>0</v>
      </c>
      <c r="O161" s="79">
        <f>IF($M161="",0,N($G161)*$N161)</f>
        <v>0</v>
      </c>
      <c r="P161" s="78" t="str">
        <f>IF($M161="SV",DATOS!$C$98,IF($M161="LD",DATOS!$C$103,IF($M161="OI",DATOS!$C$99,"")))</f>
        <v/>
      </c>
      <c r="Q161" s="80" t="str">
        <f>IF(OR($M161="",N($P161)=0),"",$O161/$P161)</f>
        <v/>
      </c>
      <c r="R161" s="78" t="str">
        <f>IF($M161="","",IF(AND($M161&lt;&gt;"LD",N(DATOS!$C$100)&lt;=0),"PENDIENTE: falta R'",IF($Q161&lt;=1,"CUMPLE","NO CUMPLE")))</f>
        <v/>
      </c>
    </row>
    <row r="162">
      <c r="B162" s="74" t="n"/>
      <c r="C162" s="74" t="n"/>
      <c r="D162" s="74" t="n"/>
      <c r="E162" s="74" t="n"/>
      <c r="F162" s="74" t="n"/>
      <c r="G162" s="75" t="n"/>
      <c r="H162" s="76" t="n"/>
      <c r="I162" s="77" t="n"/>
      <c r="J162" s="77" t="n"/>
      <c r="K162" s="77" t="n"/>
      <c r="M162" s="78" t="str">
        <f>IF($C162="","",IF(ISNUMBER(SEARCH(DATOS!$C$126,$C162)),"SV",IF(ISNUMBER(SEARCH(DATOS!$C$127,$C162)),"LD",IF(ISNUMBER(SEARCH(DATOS!$C$128,$C162)),"OI",""))))</f>
        <v/>
      </c>
      <c r="N162" s="78">
        <f>IF($M162="SV",DATOS!$C$101,IF($M162="LD",1,IF($M162="OI",DATOS!$C$100*DATOS!$C$89,0)))</f>
        <v>0</v>
      </c>
      <c r="O162" s="79">
        <f>IF($M162="",0,N($G162)*$N162)</f>
        <v>0</v>
      </c>
      <c r="P162" s="78" t="str">
        <f>IF($M162="SV",DATOS!$C$98,IF($M162="LD",DATOS!$C$103,IF($M162="OI",DATOS!$C$99,"")))</f>
        <v/>
      </c>
      <c r="Q162" s="80" t="str">
        <f>IF(OR($M162="",N($P162)=0),"",$O162/$P162)</f>
        <v/>
      </c>
      <c r="R162" s="78" t="str">
        <f>IF($M162="","",IF(AND($M162&lt;&gt;"LD",N(DATOS!$C$100)&lt;=0),"PENDIENTE: falta R'",IF($Q162&lt;=1,"CUMPLE","NO CUMPLE")))</f>
        <v/>
      </c>
    </row>
    <row r="163">
      <c r="B163" s="74" t="n"/>
      <c r="C163" s="74" t="n"/>
      <c r="D163" s="74" t="n"/>
      <c r="E163" s="74" t="n"/>
      <c r="F163" s="74" t="n"/>
      <c r="G163" s="75" t="n"/>
      <c r="H163" s="76" t="n"/>
      <c r="I163" s="77" t="n"/>
      <c r="J163" s="77" t="n"/>
      <c r="K163" s="77" t="n"/>
      <c r="M163" s="78" t="str">
        <f>IF($C163="","",IF(ISNUMBER(SEARCH(DATOS!$C$126,$C163)),"SV",IF(ISNUMBER(SEARCH(DATOS!$C$127,$C163)),"LD",IF(ISNUMBER(SEARCH(DATOS!$C$128,$C163)),"OI",""))))</f>
        <v/>
      </c>
      <c r="N163" s="78">
        <f>IF($M163="SV",DATOS!$C$101,IF($M163="LD",1,IF($M163="OI",DATOS!$C$100*DATOS!$C$89,0)))</f>
        <v>0</v>
      </c>
      <c r="O163" s="79">
        <f>IF($M163="",0,N($G163)*$N163)</f>
        <v>0</v>
      </c>
      <c r="P163" s="78" t="str">
        <f>IF($M163="SV",DATOS!$C$98,IF($M163="LD",DATOS!$C$103,IF($M163="OI",DATOS!$C$99,"")))</f>
        <v/>
      </c>
      <c r="Q163" s="80" t="str">
        <f>IF(OR($M163="",N($P163)=0),"",$O163/$P163)</f>
        <v/>
      </c>
      <c r="R163" s="78" t="str">
        <f>IF($M163="","",IF(AND($M163&lt;&gt;"LD",N(DATOS!$C$100)&lt;=0),"PENDIENTE: falta R'",IF($Q163&lt;=1,"CUMPLE","NO CUMPLE")))</f>
        <v/>
      </c>
    </row>
    <row r="164">
      <c r="B164" s="74" t="n"/>
      <c r="C164" s="74" t="n"/>
      <c r="D164" s="74" t="n"/>
      <c r="E164" s="74" t="n"/>
      <c r="F164" s="74" t="n"/>
      <c r="G164" s="75" t="n"/>
      <c r="H164" s="76" t="n"/>
      <c r="I164" s="77" t="n"/>
      <c r="J164" s="77" t="n"/>
      <c r="K164" s="77" t="n"/>
      <c r="M164" s="78" t="str">
        <f>IF($C164="","",IF(ISNUMBER(SEARCH(DATOS!$C$126,$C164)),"SV",IF(ISNUMBER(SEARCH(DATOS!$C$127,$C164)),"LD",IF(ISNUMBER(SEARCH(DATOS!$C$128,$C164)),"OI",""))))</f>
        <v/>
      </c>
      <c r="N164" s="78">
        <f>IF($M164="SV",DATOS!$C$101,IF($M164="LD",1,IF($M164="OI",DATOS!$C$100*DATOS!$C$89,0)))</f>
        <v>0</v>
      </c>
      <c r="O164" s="79">
        <f>IF($M164="",0,N($G164)*$N164)</f>
        <v>0</v>
      </c>
      <c r="P164" s="78" t="str">
        <f>IF($M164="SV",DATOS!$C$98,IF($M164="LD",DATOS!$C$103,IF($M164="OI",DATOS!$C$99,"")))</f>
        <v/>
      </c>
      <c r="Q164" s="80" t="str">
        <f>IF(OR($M164="",N($P164)=0),"",$O164/$P164)</f>
        <v/>
      </c>
      <c r="R164" s="78" t="str">
        <f>IF($M164="","",IF(AND($M164&lt;&gt;"LD",N(DATOS!$C$100)&lt;=0),"PENDIENTE: falta R'",IF($Q164&lt;=1,"CUMPLE","NO CUMPLE")))</f>
        <v/>
      </c>
    </row>
    <row r="165">
      <c r="B165" s="74" t="n"/>
      <c r="C165" s="74" t="n"/>
      <c r="D165" s="74" t="n"/>
      <c r="E165" s="74" t="n"/>
      <c r="F165" s="74" t="n"/>
      <c r="G165" s="75" t="n"/>
      <c r="H165" s="76" t="n"/>
      <c r="I165" s="77" t="n"/>
      <c r="J165" s="77" t="n"/>
      <c r="K165" s="77" t="n"/>
      <c r="M165" s="78" t="str">
        <f>IF($C165="","",IF(ISNUMBER(SEARCH(DATOS!$C$126,$C165)),"SV",IF(ISNUMBER(SEARCH(DATOS!$C$127,$C165)),"LD",IF(ISNUMBER(SEARCH(DATOS!$C$128,$C165)),"OI",""))))</f>
        <v/>
      </c>
      <c r="N165" s="78">
        <f>IF($M165="SV",DATOS!$C$101,IF($M165="LD",1,IF($M165="OI",DATOS!$C$100*DATOS!$C$89,0)))</f>
        <v>0</v>
      </c>
      <c r="O165" s="79">
        <f>IF($M165="",0,N($G165)*$N165)</f>
        <v>0</v>
      </c>
      <c r="P165" s="78" t="str">
        <f>IF($M165="SV",DATOS!$C$98,IF($M165="LD",DATOS!$C$103,IF($M165="OI",DATOS!$C$99,"")))</f>
        <v/>
      </c>
      <c r="Q165" s="80" t="str">
        <f>IF(OR($M165="",N($P165)=0),"",$O165/$P165)</f>
        <v/>
      </c>
      <c r="R165" s="78" t="str">
        <f>IF($M165="","",IF(AND($M165&lt;&gt;"LD",N(DATOS!$C$100)&lt;=0),"PENDIENTE: falta R'",IF($Q165&lt;=1,"CUMPLE","NO CUMPLE")))</f>
        <v/>
      </c>
    </row>
    <row r="166">
      <c r="B166" s="74" t="n"/>
      <c r="C166" s="74" t="n"/>
      <c r="D166" s="74" t="n"/>
      <c r="E166" s="74" t="n"/>
      <c r="F166" s="74" t="n"/>
      <c r="G166" s="75" t="n"/>
      <c r="H166" s="76" t="n"/>
      <c r="I166" s="77" t="n"/>
      <c r="J166" s="77" t="n"/>
      <c r="K166" s="77" t="n"/>
      <c r="M166" s="78" t="str">
        <f>IF($C166="","",IF(ISNUMBER(SEARCH(DATOS!$C$126,$C166)),"SV",IF(ISNUMBER(SEARCH(DATOS!$C$127,$C166)),"LD",IF(ISNUMBER(SEARCH(DATOS!$C$128,$C166)),"OI",""))))</f>
        <v/>
      </c>
      <c r="N166" s="78">
        <f>IF($M166="SV",DATOS!$C$101,IF($M166="LD",1,IF($M166="OI",DATOS!$C$100*DATOS!$C$89,0)))</f>
        <v>0</v>
      </c>
      <c r="O166" s="79">
        <f>IF($M166="",0,N($G166)*$N166)</f>
        <v>0</v>
      </c>
      <c r="P166" s="78" t="str">
        <f>IF($M166="SV",DATOS!$C$98,IF($M166="LD",DATOS!$C$103,IF($M166="OI",DATOS!$C$99,"")))</f>
        <v/>
      </c>
      <c r="Q166" s="80" t="str">
        <f>IF(OR($M166="",N($P166)=0),"",$O166/$P166)</f>
        <v/>
      </c>
      <c r="R166" s="78" t="str">
        <f>IF($M166="","",IF(AND($M166&lt;&gt;"LD",N(DATOS!$C$100)&lt;=0),"PENDIENTE: falta R'",IF($Q166&lt;=1,"CUMPLE","NO CUMPLE")))</f>
        <v/>
      </c>
    </row>
    <row r="167">
      <c r="B167" s="74" t="n"/>
      <c r="C167" s="74" t="n"/>
      <c r="D167" s="74" t="n"/>
      <c r="E167" s="74" t="n"/>
      <c r="F167" s="74" t="n"/>
      <c r="G167" s="75" t="n"/>
      <c r="H167" s="76" t="n"/>
      <c r="I167" s="77" t="n"/>
      <c r="J167" s="77" t="n"/>
      <c r="K167" s="77" t="n"/>
      <c r="M167" s="78" t="str">
        <f>IF($C167="","",IF(ISNUMBER(SEARCH(DATOS!$C$126,$C167)),"SV",IF(ISNUMBER(SEARCH(DATOS!$C$127,$C167)),"LD",IF(ISNUMBER(SEARCH(DATOS!$C$128,$C167)),"OI",""))))</f>
        <v/>
      </c>
      <c r="N167" s="78">
        <f>IF($M167="SV",DATOS!$C$101,IF($M167="LD",1,IF($M167="OI",DATOS!$C$100*DATOS!$C$89,0)))</f>
        <v>0</v>
      </c>
      <c r="O167" s="79">
        <f>IF($M167="",0,N($G167)*$N167)</f>
        <v>0</v>
      </c>
      <c r="P167" s="78" t="str">
        <f>IF($M167="SV",DATOS!$C$98,IF($M167="LD",DATOS!$C$103,IF($M167="OI",DATOS!$C$99,"")))</f>
        <v/>
      </c>
      <c r="Q167" s="80" t="str">
        <f>IF(OR($M167="",N($P167)=0),"",$O167/$P167)</f>
        <v/>
      </c>
      <c r="R167" s="78" t="str">
        <f>IF($M167="","",IF(AND($M167&lt;&gt;"LD",N(DATOS!$C$100)&lt;=0),"PENDIENTE: falta R'",IF($Q167&lt;=1,"CUMPLE","NO CUMPLE")))</f>
        <v/>
      </c>
    </row>
    <row r="168">
      <c r="B168" s="74" t="n"/>
      <c r="C168" s="74" t="n"/>
      <c r="D168" s="74" t="n"/>
      <c r="E168" s="74" t="n"/>
      <c r="F168" s="74" t="n"/>
      <c r="G168" s="75" t="n"/>
      <c r="H168" s="76" t="n"/>
      <c r="I168" s="77" t="n"/>
      <c r="J168" s="77" t="n"/>
      <c r="K168" s="77" t="n"/>
      <c r="M168" s="78" t="str">
        <f>IF($C168="","",IF(ISNUMBER(SEARCH(DATOS!$C$126,$C168)),"SV",IF(ISNUMBER(SEARCH(DATOS!$C$127,$C168)),"LD",IF(ISNUMBER(SEARCH(DATOS!$C$128,$C168)),"OI",""))))</f>
        <v/>
      </c>
      <c r="N168" s="78">
        <f>IF($M168="SV",DATOS!$C$101,IF($M168="LD",1,IF($M168="OI",DATOS!$C$100*DATOS!$C$89,0)))</f>
        <v>0</v>
      </c>
      <c r="O168" s="79">
        <f>IF($M168="",0,N($G168)*$N168)</f>
        <v>0</v>
      </c>
      <c r="P168" s="78" t="str">
        <f>IF($M168="SV",DATOS!$C$98,IF($M168="LD",DATOS!$C$103,IF($M168="OI",DATOS!$C$99,"")))</f>
        <v/>
      </c>
      <c r="Q168" s="80" t="str">
        <f>IF(OR($M168="",N($P168)=0),"",$O168/$P168)</f>
        <v/>
      </c>
      <c r="R168" s="78" t="str">
        <f>IF($M168="","",IF(AND($M168&lt;&gt;"LD",N(DATOS!$C$100)&lt;=0),"PENDIENTE: falta R'",IF($Q168&lt;=1,"CUMPLE","NO CUMPLE")))</f>
        <v/>
      </c>
    </row>
    <row r="169">
      <c r="B169" s="74" t="n"/>
      <c r="C169" s="74" t="n"/>
      <c r="D169" s="74" t="n"/>
      <c r="E169" s="74" t="n"/>
      <c r="F169" s="74" t="n"/>
      <c r="G169" s="75" t="n"/>
      <c r="H169" s="76" t="n"/>
      <c r="I169" s="77" t="n"/>
      <c r="J169" s="77" t="n"/>
      <c r="K169" s="77" t="n"/>
      <c r="M169" s="78" t="str">
        <f>IF($C169="","",IF(ISNUMBER(SEARCH(DATOS!$C$126,$C169)),"SV",IF(ISNUMBER(SEARCH(DATOS!$C$127,$C169)),"LD",IF(ISNUMBER(SEARCH(DATOS!$C$128,$C169)),"OI",""))))</f>
        <v/>
      </c>
      <c r="N169" s="78">
        <f>IF($M169="SV",DATOS!$C$101,IF($M169="LD",1,IF($M169="OI",DATOS!$C$100*DATOS!$C$89,0)))</f>
        <v>0</v>
      </c>
      <c r="O169" s="79">
        <f>IF($M169="",0,N($G169)*$N169)</f>
        <v>0</v>
      </c>
      <c r="P169" s="78" t="str">
        <f>IF($M169="SV",DATOS!$C$98,IF($M169="LD",DATOS!$C$103,IF($M169="OI",DATOS!$C$99,"")))</f>
        <v/>
      </c>
      <c r="Q169" s="80" t="str">
        <f>IF(OR($M169="",N($P169)=0),"",$O169/$P169)</f>
        <v/>
      </c>
      <c r="R169" s="78" t="str">
        <f>IF($M169="","",IF(AND($M169&lt;&gt;"LD",N(DATOS!$C$100)&lt;=0),"PENDIENTE: falta R'",IF($Q169&lt;=1,"CUMPLE","NO CUMPLE")))</f>
        <v/>
      </c>
    </row>
    <row r="170">
      <c r="B170" s="74" t="n"/>
      <c r="C170" s="74" t="n"/>
      <c r="D170" s="74" t="n"/>
      <c r="E170" s="74" t="n"/>
      <c r="F170" s="74" t="n"/>
      <c r="G170" s="75" t="n"/>
      <c r="H170" s="76" t="n"/>
      <c r="I170" s="77" t="n"/>
      <c r="J170" s="77" t="n"/>
      <c r="K170" s="77" t="n"/>
      <c r="M170" s="78" t="str">
        <f>IF($C170="","",IF(ISNUMBER(SEARCH(DATOS!$C$126,$C170)),"SV",IF(ISNUMBER(SEARCH(DATOS!$C$127,$C170)),"LD",IF(ISNUMBER(SEARCH(DATOS!$C$128,$C170)),"OI",""))))</f>
        <v/>
      </c>
      <c r="N170" s="78">
        <f>IF($M170="SV",DATOS!$C$101,IF($M170="LD",1,IF($M170="OI",DATOS!$C$100*DATOS!$C$89,0)))</f>
        <v>0</v>
      </c>
      <c r="O170" s="79">
        <f>IF($M170="",0,N($G170)*$N170)</f>
        <v>0</v>
      </c>
      <c r="P170" s="78" t="str">
        <f>IF($M170="SV",DATOS!$C$98,IF($M170="LD",DATOS!$C$103,IF($M170="OI",DATOS!$C$99,"")))</f>
        <v/>
      </c>
      <c r="Q170" s="80" t="str">
        <f>IF(OR($M170="",N($P170)=0),"",$O170/$P170)</f>
        <v/>
      </c>
      <c r="R170" s="78" t="str">
        <f>IF($M170="","",IF(AND($M170&lt;&gt;"LD",N(DATOS!$C$100)&lt;=0),"PENDIENTE: falta R'",IF($Q170&lt;=1,"CUMPLE","NO CUMPLE")))</f>
        <v/>
      </c>
    </row>
    <row r="171">
      <c r="B171" s="74" t="n"/>
      <c r="C171" s="74" t="n"/>
      <c r="D171" s="74" t="n"/>
      <c r="E171" s="74" t="n"/>
      <c r="F171" s="74" t="n"/>
      <c r="G171" s="75" t="n"/>
      <c r="H171" s="76" t="n"/>
      <c r="I171" s="77" t="n"/>
      <c r="J171" s="77" t="n"/>
      <c r="K171" s="77" t="n"/>
      <c r="M171" s="78" t="str">
        <f>IF($C171="","",IF(ISNUMBER(SEARCH(DATOS!$C$126,$C171)),"SV",IF(ISNUMBER(SEARCH(DATOS!$C$127,$C171)),"LD",IF(ISNUMBER(SEARCH(DATOS!$C$128,$C171)),"OI",""))))</f>
        <v/>
      </c>
      <c r="N171" s="78">
        <f>IF($M171="SV",DATOS!$C$101,IF($M171="LD",1,IF($M171="OI",DATOS!$C$100*DATOS!$C$89,0)))</f>
        <v>0</v>
      </c>
      <c r="O171" s="79">
        <f>IF($M171="",0,N($G171)*$N171)</f>
        <v>0</v>
      </c>
      <c r="P171" s="78" t="str">
        <f>IF($M171="SV",DATOS!$C$98,IF($M171="LD",DATOS!$C$103,IF($M171="OI",DATOS!$C$99,"")))</f>
        <v/>
      </c>
      <c r="Q171" s="80" t="str">
        <f>IF(OR($M171="",N($P171)=0),"",$O171/$P171)</f>
        <v/>
      </c>
      <c r="R171" s="78" t="str">
        <f>IF($M171="","",IF(AND($M171&lt;&gt;"LD",N(DATOS!$C$100)&lt;=0),"PENDIENTE: falta R'",IF($Q171&lt;=1,"CUMPLE","NO CUMPLE")))</f>
        <v/>
      </c>
    </row>
    <row r="172">
      <c r="B172" s="74" t="n"/>
      <c r="C172" s="74" t="n"/>
      <c r="D172" s="74" t="n"/>
      <c r="E172" s="74" t="n"/>
      <c r="F172" s="74" t="n"/>
      <c r="G172" s="75" t="n"/>
      <c r="H172" s="76" t="n"/>
      <c r="I172" s="77" t="n"/>
      <c r="J172" s="77" t="n"/>
      <c r="K172" s="77" t="n"/>
      <c r="M172" s="78" t="str">
        <f>IF($C172="","",IF(ISNUMBER(SEARCH(DATOS!$C$126,$C172)),"SV",IF(ISNUMBER(SEARCH(DATOS!$C$127,$C172)),"LD",IF(ISNUMBER(SEARCH(DATOS!$C$128,$C172)),"OI",""))))</f>
        <v/>
      </c>
      <c r="N172" s="78">
        <f>IF($M172="SV",DATOS!$C$101,IF($M172="LD",1,IF($M172="OI",DATOS!$C$100*DATOS!$C$89,0)))</f>
        <v>0</v>
      </c>
      <c r="O172" s="79">
        <f>IF($M172="",0,N($G172)*$N172)</f>
        <v>0</v>
      </c>
      <c r="P172" s="78" t="str">
        <f>IF($M172="SV",DATOS!$C$98,IF($M172="LD",DATOS!$C$103,IF($M172="OI",DATOS!$C$99,"")))</f>
        <v/>
      </c>
      <c r="Q172" s="80" t="str">
        <f>IF(OR($M172="",N($P172)=0),"",$O172/$P172)</f>
        <v/>
      </c>
      <c r="R172" s="78" t="str">
        <f>IF($M172="","",IF(AND($M172&lt;&gt;"LD",N(DATOS!$C$100)&lt;=0),"PENDIENTE: falta R'",IF($Q172&lt;=1,"CUMPLE","NO CUMPLE")))</f>
        <v/>
      </c>
    </row>
    <row r="173">
      <c r="B173" s="74" t="n"/>
      <c r="C173" s="74" t="n"/>
      <c r="D173" s="74" t="n"/>
      <c r="E173" s="74" t="n"/>
      <c r="F173" s="74" t="n"/>
      <c r="G173" s="75" t="n"/>
      <c r="H173" s="76" t="n"/>
      <c r="I173" s="77" t="n"/>
      <c r="J173" s="77" t="n"/>
      <c r="K173" s="77" t="n"/>
      <c r="M173" s="78" t="str">
        <f>IF($C173="","",IF(ISNUMBER(SEARCH(DATOS!$C$126,$C173)),"SV",IF(ISNUMBER(SEARCH(DATOS!$C$127,$C173)),"LD",IF(ISNUMBER(SEARCH(DATOS!$C$128,$C173)),"OI",""))))</f>
        <v/>
      </c>
      <c r="N173" s="78">
        <f>IF($M173="SV",DATOS!$C$101,IF($M173="LD",1,IF($M173="OI",DATOS!$C$100*DATOS!$C$89,0)))</f>
        <v>0</v>
      </c>
      <c r="O173" s="79">
        <f>IF($M173="",0,N($G173)*$N173)</f>
        <v>0</v>
      </c>
      <c r="P173" s="78" t="str">
        <f>IF($M173="SV",DATOS!$C$98,IF($M173="LD",DATOS!$C$103,IF($M173="OI",DATOS!$C$99,"")))</f>
        <v/>
      </c>
      <c r="Q173" s="80" t="str">
        <f>IF(OR($M173="",N($P173)=0),"",$O173/$P173)</f>
        <v/>
      </c>
      <c r="R173" s="78" t="str">
        <f>IF($M173="","",IF(AND($M173&lt;&gt;"LD",N(DATOS!$C$100)&lt;=0),"PENDIENTE: falta R'",IF($Q173&lt;=1,"CUMPLE","NO CUMPLE")))</f>
        <v/>
      </c>
    </row>
    <row r="174">
      <c r="B174" s="74" t="n"/>
      <c r="C174" s="74" t="n"/>
      <c r="D174" s="74" t="n"/>
      <c r="E174" s="74" t="n"/>
      <c r="F174" s="74" t="n"/>
      <c r="G174" s="75" t="n"/>
      <c r="H174" s="76" t="n"/>
      <c r="I174" s="77" t="n"/>
      <c r="J174" s="77" t="n"/>
      <c r="K174" s="77" t="n"/>
      <c r="M174" s="78" t="str">
        <f>IF($C174="","",IF(ISNUMBER(SEARCH(DATOS!$C$126,$C174)),"SV",IF(ISNUMBER(SEARCH(DATOS!$C$127,$C174)),"LD",IF(ISNUMBER(SEARCH(DATOS!$C$128,$C174)),"OI",""))))</f>
        <v/>
      </c>
      <c r="N174" s="78">
        <f>IF($M174="SV",DATOS!$C$101,IF($M174="LD",1,IF($M174="OI",DATOS!$C$100*DATOS!$C$89,0)))</f>
        <v>0</v>
      </c>
      <c r="O174" s="79">
        <f>IF($M174="",0,N($G174)*$N174)</f>
        <v>0</v>
      </c>
      <c r="P174" s="78" t="str">
        <f>IF($M174="SV",DATOS!$C$98,IF($M174="LD",DATOS!$C$103,IF($M174="OI",DATOS!$C$99,"")))</f>
        <v/>
      </c>
      <c r="Q174" s="80" t="str">
        <f>IF(OR($M174="",N($P174)=0),"",$O174/$P174)</f>
        <v/>
      </c>
      <c r="R174" s="78" t="str">
        <f>IF($M174="","",IF(AND($M174&lt;&gt;"LD",N(DATOS!$C$100)&lt;=0),"PENDIENTE: falta R'",IF($Q174&lt;=1,"CUMPLE","NO CUMPLE")))</f>
        <v/>
      </c>
    </row>
    <row r="175">
      <c r="B175" s="74" t="n"/>
      <c r="C175" s="74" t="n"/>
      <c r="D175" s="74" t="n"/>
      <c r="E175" s="74" t="n"/>
      <c r="F175" s="74" t="n"/>
      <c r="G175" s="75" t="n"/>
      <c r="H175" s="76" t="n"/>
      <c r="I175" s="77" t="n"/>
      <c r="J175" s="77" t="n"/>
      <c r="K175" s="77" t="n"/>
      <c r="M175" s="78" t="str">
        <f>IF($C175="","",IF(ISNUMBER(SEARCH(DATOS!$C$126,$C175)),"SV",IF(ISNUMBER(SEARCH(DATOS!$C$127,$C175)),"LD",IF(ISNUMBER(SEARCH(DATOS!$C$128,$C175)),"OI",""))))</f>
        <v/>
      </c>
      <c r="N175" s="78">
        <f>IF($M175="SV",DATOS!$C$101,IF($M175="LD",1,IF($M175="OI",DATOS!$C$100*DATOS!$C$89,0)))</f>
        <v>0</v>
      </c>
      <c r="O175" s="79">
        <f>IF($M175="",0,N($G175)*$N175)</f>
        <v>0</v>
      </c>
      <c r="P175" s="78" t="str">
        <f>IF($M175="SV",DATOS!$C$98,IF($M175="LD",DATOS!$C$103,IF($M175="OI",DATOS!$C$99,"")))</f>
        <v/>
      </c>
      <c r="Q175" s="80" t="str">
        <f>IF(OR($M175="",N($P175)=0),"",$O175/$P175)</f>
        <v/>
      </c>
      <c r="R175" s="78" t="str">
        <f>IF($M175="","",IF(AND($M175&lt;&gt;"LD",N(DATOS!$C$100)&lt;=0),"PENDIENTE: falta R'",IF($Q175&lt;=1,"CUMPLE","NO CUMPLE")))</f>
        <v/>
      </c>
    </row>
    <row r="176">
      <c r="B176" s="74" t="n"/>
      <c r="C176" s="74" t="n"/>
      <c r="D176" s="74" t="n"/>
      <c r="E176" s="74" t="n"/>
      <c r="F176" s="74" t="n"/>
      <c r="G176" s="75" t="n"/>
      <c r="H176" s="76" t="n"/>
      <c r="I176" s="77" t="n"/>
      <c r="J176" s="77" t="n"/>
      <c r="K176" s="77" t="n"/>
      <c r="M176" s="78" t="str">
        <f>IF($C176="","",IF(ISNUMBER(SEARCH(DATOS!$C$126,$C176)),"SV",IF(ISNUMBER(SEARCH(DATOS!$C$127,$C176)),"LD",IF(ISNUMBER(SEARCH(DATOS!$C$128,$C176)),"OI",""))))</f>
        <v/>
      </c>
      <c r="N176" s="78">
        <f>IF($M176="SV",DATOS!$C$101,IF($M176="LD",1,IF($M176="OI",DATOS!$C$100*DATOS!$C$89,0)))</f>
        <v>0</v>
      </c>
      <c r="O176" s="79">
        <f>IF($M176="",0,N($G176)*$N176)</f>
        <v>0</v>
      </c>
      <c r="P176" s="78" t="str">
        <f>IF($M176="SV",DATOS!$C$98,IF($M176="LD",DATOS!$C$103,IF($M176="OI",DATOS!$C$99,"")))</f>
        <v/>
      </c>
      <c r="Q176" s="80" t="str">
        <f>IF(OR($M176="",N($P176)=0),"",$O176/$P176)</f>
        <v/>
      </c>
      <c r="R176" s="78" t="str">
        <f>IF($M176="","",IF(AND($M176&lt;&gt;"LD",N(DATOS!$C$100)&lt;=0),"PENDIENTE: falta R'",IF($Q176&lt;=1,"CUMPLE","NO CUMPLE")))</f>
        <v/>
      </c>
    </row>
    <row r="177">
      <c r="B177" s="74" t="n"/>
      <c r="C177" s="74" t="n"/>
      <c r="D177" s="74" t="n"/>
      <c r="E177" s="74" t="n"/>
      <c r="F177" s="74" t="n"/>
      <c r="G177" s="75" t="n"/>
      <c r="H177" s="76" t="n"/>
      <c r="I177" s="77" t="n"/>
      <c r="J177" s="77" t="n"/>
      <c r="K177" s="77" t="n"/>
      <c r="M177" s="78" t="str">
        <f>IF($C177="","",IF(ISNUMBER(SEARCH(DATOS!$C$126,$C177)),"SV",IF(ISNUMBER(SEARCH(DATOS!$C$127,$C177)),"LD",IF(ISNUMBER(SEARCH(DATOS!$C$128,$C177)),"OI",""))))</f>
        <v/>
      </c>
      <c r="N177" s="78">
        <f>IF($M177="SV",DATOS!$C$101,IF($M177="LD",1,IF($M177="OI",DATOS!$C$100*DATOS!$C$89,0)))</f>
        <v>0</v>
      </c>
      <c r="O177" s="79">
        <f>IF($M177="",0,N($G177)*$N177)</f>
        <v>0</v>
      </c>
      <c r="P177" s="78" t="str">
        <f>IF($M177="SV",DATOS!$C$98,IF($M177="LD",DATOS!$C$103,IF($M177="OI",DATOS!$C$99,"")))</f>
        <v/>
      </c>
      <c r="Q177" s="80" t="str">
        <f>IF(OR($M177="",N($P177)=0),"",$O177/$P177)</f>
        <v/>
      </c>
      <c r="R177" s="78" t="str">
        <f>IF($M177="","",IF(AND($M177&lt;&gt;"LD",N(DATOS!$C$100)&lt;=0),"PENDIENTE: falta R'",IF($Q177&lt;=1,"CUMPLE","NO CUMPLE")))</f>
        <v/>
      </c>
    </row>
    <row r="178">
      <c r="B178" s="74" t="n"/>
      <c r="C178" s="74" t="n"/>
      <c r="D178" s="74" t="n"/>
      <c r="E178" s="74" t="n"/>
      <c r="F178" s="74" t="n"/>
      <c r="G178" s="75" t="n"/>
      <c r="H178" s="76" t="n"/>
      <c r="I178" s="77" t="n"/>
      <c r="J178" s="77" t="n"/>
      <c r="K178" s="77" t="n"/>
      <c r="M178" s="78" t="str">
        <f>IF($C178="","",IF(ISNUMBER(SEARCH(DATOS!$C$126,$C178)),"SV",IF(ISNUMBER(SEARCH(DATOS!$C$127,$C178)),"LD",IF(ISNUMBER(SEARCH(DATOS!$C$128,$C178)),"OI",""))))</f>
        <v/>
      </c>
      <c r="N178" s="78">
        <f>IF($M178="SV",DATOS!$C$101,IF($M178="LD",1,IF($M178="OI",DATOS!$C$100*DATOS!$C$89,0)))</f>
        <v>0</v>
      </c>
      <c r="O178" s="79">
        <f>IF($M178="",0,N($G178)*$N178)</f>
        <v>0</v>
      </c>
      <c r="P178" s="78" t="str">
        <f>IF($M178="SV",DATOS!$C$98,IF($M178="LD",DATOS!$C$103,IF($M178="OI",DATOS!$C$99,"")))</f>
        <v/>
      </c>
      <c r="Q178" s="80" t="str">
        <f>IF(OR($M178="",N($P178)=0),"",$O178/$P178)</f>
        <v/>
      </c>
      <c r="R178" s="78" t="str">
        <f>IF($M178="","",IF(AND($M178&lt;&gt;"LD",N(DATOS!$C$100)&lt;=0),"PENDIENTE: falta R'",IF($Q178&lt;=1,"CUMPLE","NO CUMPLE")))</f>
        <v/>
      </c>
    </row>
    <row r="179">
      <c r="B179" s="74" t="n"/>
      <c r="C179" s="74" t="n"/>
      <c r="D179" s="74" t="n"/>
      <c r="E179" s="74" t="n"/>
      <c r="F179" s="74" t="n"/>
      <c r="G179" s="75" t="n"/>
      <c r="H179" s="76" t="n"/>
      <c r="I179" s="77" t="n"/>
      <c r="J179" s="77" t="n"/>
      <c r="K179" s="77" t="n"/>
      <c r="M179" s="78" t="str">
        <f>IF($C179="","",IF(ISNUMBER(SEARCH(DATOS!$C$126,$C179)),"SV",IF(ISNUMBER(SEARCH(DATOS!$C$127,$C179)),"LD",IF(ISNUMBER(SEARCH(DATOS!$C$128,$C179)),"OI",""))))</f>
        <v/>
      </c>
      <c r="N179" s="78">
        <f>IF($M179="SV",DATOS!$C$101,IF($M179="LD",1,IF($M179="OI",DATOS!$C$100*DATOS!$C$89,0)))</f>
        <v>0</v>
      </c>
      <c r="O179" s="79">
        <f>IF($M179="",0,N($G179)*$N179)</f>
        <v>0</v>
      </c>
      <c r="P179" s="78" t="str">
        <f>IF($M179="SV",DATOS!$C$98,IF($M179="LD",DATOS!$C$103,IF($M179="OI",DATOS!$C$99,"")))</f>
        <v/>
      </c>
      <c r="Q179" s="80" t="str">
        <f>IF(OR($M179="",N($P179)=0),"",$O179/$P179)</f>
        <v/>
      </c>
      <c r="R179" s="78" t="str">
        <f>IF($M179="","",IF(AND($M179&lt;&gt;"LD",N(DATOS!$C$100)&lt;=0),"PENDIENTE: falta R'",IF($Q179&lt;=1,"CUMPLE","NO CUMPLE")))</f>
        <v/>
      </c>
    </row>
    <row r="180">
      <c r="B180" s="74" t="n"/>
      <c r="C180" s="74" t="n"/>
      <c r="D180" s="74" t="n"/>
      <c r="E180" s="74" t="n"/>
      <c r="F180" s="74" t="n"/>
      <c r="G180" s="75" t="n"/>
      <c r="H180" s="76" t="n"/>
      <c r="I180" s="77" t="n"/>
      <c r="J180" s="77" t="n"/>
      <c r="K180" s="77" t="n"/>
      <c r="M180" s="78" t="str">
        <f>IF($C180="","",IF(ISNUMBER(SEARCH(DATOS!$C$126,$C180)),"SV",IF(ISNUMBER(SEARCH(DATOS!$C$127,$C180)),"LD",IF(ISNUMBER(SEARCH(DATOS!$C$128,$C180)),"OI",""))))</f>
        <v/>
      </c>
      <c r="N180" s="78">
        <f>IF($M180="SV",DATOS!$C$101,IF($M180="LD",1,IF($M180="OI",DATOS!$C$100*DATOS!$C$89,0)))</f>
        <v>0</v>
      </c>
      <c r="O180" s="79">
        <f>IF($M180="",0,N($G180)*$N180)</f>
        <v>0</v>
      </c>
      <c r="P180" s="78" t="str">
        <f>IF($M180="SV",DATOS!$C$98,IF($M180="LD",DATOS!$C$103,IF($M180="OI",DATOS!$C$99,"")))</f>
        <v/>
      </c>
      <c r="Q180" s="80" t="str">
        <f>IF(OR($M180="",N($P180)=0),"",$O180/$P180)</f>
        <v/>
      </c>
      <c r="R180" s="78" t="str">
        <f>IF($M180="","",IF(AND($M180&lt;&gt;"LD",N(DATOS!$C$100)&lt;=0),"PENDIENTE: falta R'",IF($Q180&lt;=1,"CUMPLE","NO CUMPLE")))</f>
        <v/>
      </c>
    </row>
    <row r="181">
      <c r="B181" s="74" t="n"/>
      <c r="C181" s="74" t="n"/>
      <c r="D181" s="74" t="n"/>
      <c r="E181" s="74" t="n"/>
      <c r="F181" s="74" t="n"/>
      <c r="G181" s="75" t="n"/>
      <c r="H181" s="76" t="n"/>
      <c r="I181" s="77" t="n"/>
      <c r="J181" s="77" t="n"/>
      <c r="K181" s="77" t="n"/>
      <c r="M181" s="78" t="str">
        <f>IF($C181="","",IF(ISNUMBER(SEARCH(DATOS!$C$126,$C181)),"SV",IF(ISNUMBER(SEARCH(DATOS!$C$127,$C181)),"LD",IF(ISNUMBER(SEARCH(DATOS!$C$128,$C181)),"OI",""))))</f>
        <v/>
      </c>
      <c r="N181" s="78">
        <f>IF($M181="SV",DATOS!$C$101,IF($M181="LD",1,IF($M181="OI",DATOS!$C$100*DATOS!$C$89,0)))</f>
        <v>0</v>
      </c>
      <c r="O181" s="79">
        <f>IF($M181="",0,N($G181)*$N181)</f>
        <v>0</v>
      </c>
      <c r="P181" s="78" t="str">
        <f>IF($M181="SV",DATOS!$C$98,IF($M181="LD",DATOS!$C$103,IF($M181="OI",DATOS!$C$99,"")))</f>
        <v/>
      </c>
      <c r="Q181" s="80" t="str">
        <f>IF(OR($M181="",N($P181)=0),"",$O181/$P181)</f>
        <v/>
      </c>
      <c r="R181" s="78" t="str">
        <f>IF($M181="","",IF(AND($M181&lt;&gt;"LD",N(DATOS!$C$100)&lt;=0),"PENDIENTE: falta R'",IF($Q181&lt;=1,"CUMPLE","NO CUMPLE")))</f>
        <v/>
      </c>
    </row>
    <row r="182">
      <c r="B182" s="74" t="n"/>
      <c r="C182" s="74" t="n"/>
      <c r="D182" s="74" t="n"/>
      <c r="E182" s="74" t="n"/>
      <c r="F182" s="74" t="n"/>
      <c r="G182" s="75" t="n"/>
      <c r="H182" s="76" t="n"/>
      <c r="I182" s="77" t="n"/>
      <c r="J182" s="77" t="n"/>
      <c r="K182" s="77" t="n"/>
      <c r="M182" s="78" t="str">
        <f>IF($C182="","",IF(ISNUMBER(SEARCH(DATOS!$C$126,$C182)),"SV",IF(ISNUMBER(SEARCH(DATOS!$C$127,$C182)),"LD",IF(ISNUMBER(SEARCH(DATOS!$C$128,$C182)),"OI",""))))</f>
        <v/>
      </c>
      <c r="N182" s="78">
        <f>IF($M182="SV",DATOS!$C$101,IF($M182="LD",1,IF($M182="OI",DATOS!$C$100*DATOS!$C$89,0)))</f>
        <v>0</v>
      </c>
      <c r="O182" s="79">
        <f>IF($M182="",0,N($G182)*$N182)</f>
        <v>0</v>
      </c>
      <c r="P182" s="78" t="str">
        <f>IF($M182="SV",DATOS!$C$98,IF($M182="LD",DATOS!$C$103,IF($M182="OI",DATOS!$C$99,"")))</f>
        <v/>
      </c>
      <c r="Q182" s="80" t="str">
        <f>IF(OR($M182="",N($P182)=0),"",$O182/$P182)</f>
        <v/>
      </c>
      <c r="R182" s="78" t="str">
        <f>IF($M182="","",IF(AND($M182&lt;&gt;"LD",N(DATOS!$C$100)&lt;=0),"PENDIENTE: falta R'",IF($Q182&lt;=1,"CUMPLE","NO CUMPLE")))</f>
        <v/>
      </c>
    </row>
    <row r="183">
      <c r="B183" s="74" t="n"/>
      <c r="C183" s="74" t="n"/>
      <c r="D183" s="74" t="n"/>
      <c r="E183" s="74" t="n"/>
      <c r="F183" s="74" t="n"/>
      <c r="G183" s="75" t="n"/>
      <c r="H183" s="76" t="n"/>
      <c r="I183" s="77" t="n"/>
      <c r="J183" s="77" t="n"/>
      <c r="K183" s="77" t="n"/>
      <c r="M183" s="78" t="str">
        <f>IF($C183="","",IF(ISNUMBER(SEARCH(DATOS!$C$126,$C183)),"SV",IF(ISNUMBER(SEARCH(DATOS!$C$127,$C183)),"LD",IF(ISNUMBER(SEARCH(DATOS!$C$128,$C183)),"OI",""))))</f>
        <v/>
      </c>
      <c r="N183" s="78">
        <f>IF($M183="SV",DATOS!$C$101,IF($M183="LD",1,IF($M183="OI",DATOS!$C$100*DATOS!$C$89,0)))</f>
        <v>0</v>
      </c>
      <c r="O183" s="79">
        <f>IF($M183="",0,N($G183)*$N183)</f>
        <v>0</v>
      </c>
      <c r="P183" s="78" t="str">
        <f>IF($M183="SV",DATOS!$C$98,IF($M183="LD",DATOS!$C$103,IF($M183="OI",DATOS!$C$99,"")))</f>
        <v/>
      </c>
      <c r="Q183" s="80" t="str">
        <f>IF(OR($M183="",N($P183)=0),"",$O183/$P183)</f>
        <v/>
      </c>
      <c r="R183" s="78" t="str">
        <f>IF($M183="","",IF(AND($M183&lt;&gt;"LD",N(DATOS!$C$100)&lt;=0),"PENDIENTE: falta R'",IF($Q183&lt;=1,"CUMPLE","NO CUMPLE")))</f>
        <v/>
      </c>
    </row>
    <row r="184">
      <c r="B184" s="74" t="n"/>
      <c r="C184" s="74" t="n"/>
      <c r="D184" s="74" t="n"/>
      <c r="E184" s="74" t="n"/>
      <c r="F184" s="74" t="n"/>
      <c r="G184" s="75" t="n"/>
      <c r="H184" s="76" t="n"/>
      <c r="I184" s="77" t="n"/>
      <c r="J184" s="77" t="n"/>
      <c r="K184" s="77" t="n"/>
      <c r="M184" s="78" t="str">
        <f>IF($C184="","",IF(ISNUMBER(SEARCH(DATOS!$C$126,$C184)),"SV",IF(ISNUMBER(SEARCH(DATOS!$C$127,$C184)),"LD",IF(ISNUMBER(SEARCH(DATOS!$C$128,$C184)),"OI",""))))</f>
        <v/>
      </c>
      <c r="N184" s="78">
        <f>IF($M184="SV",DATOS!$C$101,IF($M184="LD",1,IF($M184="OI",DATOS!$C$100*DATOS!$C$89,0)))</f>
        <v>0</v>
      </c>
      <c r="O184" s="79">
        <f>IF($M184="",0,N($G184)*$N184)</f>
        <v>0</v>
      </c>
      <c r="P184" s="78" t="str">
        <f>IF($M184="SV",DATOS!$C$98,IF($M184="LD",DATOS!$C$103,IF($M184="OI",DATOS!$C$99,"")))</f>
        <v/>
      </c>
      <c r="Q184" s="80" t="str">
        <f>IF(OR($M184="",N($P184)=0),"",$O184/$P184)</f>
        <v/>
      </c>
      <c r="R184" s="78" t="str">
        <f>IF($M184="","",IF(AND($M184&lt;&gt;"LD",N(DATOS!$C$100)&lt;=0),"PENDIENTE: falta R'",IF($Q184&lt;=1,"CUMPLE","NO CUMPLE")))</f>
        <v/>
      </c>
    </row>
    <row r="185">
      <c r="B185" s="74" t="n"/>
      <c r="C185" s="74" t="n"/>
      <c r="D185" s="74" t="n"/>
      <c r="E185" s="74" t="n"/>
      <c r="F185" s="74" t="n"/>
      <c r="G185" s="75" t="n"/>
      <c r="H185" s="76" t="n"/>
      <c r="I185" s="77" t="n"/>
      <c r="J185" s="77" t="n"/>
      <c r="K185" s="77" t="n"/>
      <c r="M185" s="78" t="str">
        <f>IF($C185="","",IF(ISNUMBER(SEARCH(DATOS!$C$126,$C185)),"SV",IF(ISNUMBER(SEARCH(DATOS!$C$127,$C185)),"LD",IF(ISNUMBER(SEARCH(DATOS!$C$128,$C185)),"OI",""))))</f>
        <v/>
      </c>
      <c r="N185" s="78">
        <f>IF($M185="SV",DATOS!$C$101,IF($M185="LD",1,IF($M185="OI",DATOS!$C$100*DATOS!$C$89,0)))</f>
        <v>0</v>
      </c>
      <c r="O185" s="79">
        <f>IF($M185="",0,N($G185)*$N185)</f>
        <v>0</v>
      </c>
      <c r="P185" s="78" t="str">
        <f>IF($M185="SV",DATOS!$C$98,IF($M185="LD",DATOS!$C$103,IF($M185="OI",DATOS!$C$99,"")))</f>
        <v/>
      </c>
      <c r="Q185" s="80" t="str">
        <f>IF(OR($M185="",N($P185)=0),"",$O185/$P185)</f>
        <v/>
      </c>
      <c r="R185" s="78" t="str">
        <f>IF($M185="","",IF(AND($M185&lt;&gt;"LD",N(DATOS!$C$100)&lt;=0),"PENDIENTE: falta R'",IF($Q185&lt;=1,"CUMPLE","NO CUMPLE")))</f>
        <v/>
      </c>
    </row>
    <row r="186">
      <c r="B186" s="74" t="n"/>
      <c r="C186" s="74" t="n"/>
      <c r="D186" s="74" t="n"/>
      <c r="E186" s="74" t="n"/>
      <c r="F186" s="74" t="n"/>
      <c r="G186" s="75" t="n"/>
      <c r="H186" s="76" t="n"/>
      <c r="I186" s="77" t="n"/>
      <c r="J186" s="77" t="n"/>
      <c r="K186" s="77" t="n"/>
      <c r="M186" s="78" t="str">
        <f>IF($C186="","",IF(ISNUMBER(SEARCH(DATOS!$C$126,$C186)),"SV",IF(ISNUMBER(SEARCH(DATOS!$C$127,$C186)),"LD",IF(ISNUMBER(SEARCH(DATOS!$C$128,$C186)),"OI",""))))</f>
        <v/>
      </c>
      <c r="N186" s="78">
        <f>IF($M186="SV",DATOS!$C$101,IF($M186="LD",1,IF($M186="OI",DATOS!$C$100*DATOS!$C$89,0)))</f>
        <v>0</v>
      </c>
      <c r="O186" s="79">
        <f>IF($M186="",0,N($G186)*$N186)</f>
        <v>0</v>
      </c>
      <c r="P186" s="78" t="str">
        <f>IF($M186="SV",DATOS!$C$98,IF($M186="LD",DATOS!$C$103,IF($M186="OI",DATOS!$C$99,"")))</f>
        <v/>
      </c>
      <c r="Q186" s="80" t="str">
        <f>IF(OR($M186="",N($P186)=0),"",$O186/$P186)</f>
        <v/>
      </c>
      <c r="R186" s="78" t="str">
        <f>IF($M186="","",IF(AND($M186&lt;&gt;"LD",N(DATOS!$C$100)&lt;=0),"PENDIENTE: falta R'",IF($Q186&lt;=1,"CUMPLE","NO CUMPLE")))</f>
        <v/>
      </c>
    </row>
    <row r="187">
      <c r="B187" s="74" t="n"/>
      <c r="C187" s="74" t="n"/>
      <c r="D187" s="74" t="n"/>
      <c r="E187" s="74" t="n"/>
      <c r="F187" s="74" t="n"/>
      <c r="G187" s="75" t="n"/>
      <c r="H187" s="76" t="n"/>
      <c r="I187" s="77" t="n"/>
      <c r="J187" s="77" t="n"/>
      <c r="K187" s="77" t="n"/>
      <c r="M187" s="78" t="str">
        <f>IF($C187="","",IF(ISNUMBER(SEARCH(DATOS!$C$126,$C187)),"SV",IF(ISNUMBER(SEARCH(DATOS!$C$127,$C187)),"LD",IF(ISNUMBER(SEARCH(DATOS!$C$128,$C187)),"OI",""))))</f>
        <v/>
      </c>
      <c r="N187" s="78">
        <f>IF($M187="SV",DATOS!$C$101,IF($M187="LD",1,IF($M187="OI",DATOS!$C$100*DATOS!$C$89,0)))</f>
        <v>0</v>
      </c>
      <c r="O187" s="79">
        <f>IF($M187="",0,N($G187)*$N187)</f>
        <v>0</v>
      </c>
      <c r="P187" s="78" t="str">
        <f>IF($M187="SV",DATOS!$C$98,IF($M187="LD",DATOS!$C$103,IF($M187="OI",DATOS!$C$99,"")))</f>
        <v/>
      </c>
      <c r="Q187" s="80" t="str">
        <f>IF(OR($M187="",N($P187)=0),"",$O187/$P187)</f>
        <v/>
      </c>
      <c r="R187" s="78" t="str">
        <f>IF($M187="","",IF(AND($M187&lt;&gt;"LD",N(DATOS!$C$100)&lt;=0),"PENDIENTE: falta R'",IF($Q187&lt;=1,"CUMPLE","NO CUMPLE")))</f>
        <v/>
      </c>
    </row>
    <row r="188">
      <c r="B188" s="74" t="n"/>
      <c r="C188" s="74" t="n"/>
      <c r="D188" s="74" t="n"/>
      <c r="E188" s="74" t="n"/>
      <c r="F188" s="74" t="n"/>
      <c r="G188" s="75" t="n"/>
      <c r="H188" s="76" t="n"/>
      <c r="I188" s="77" t="n"/>
      <c r="J188" s="77" t="n"/>
      <c r="K188" s="77" t="n"/>
      <c r="M188" s="78" t="str">
        <f>IF($C188="","",IF(ISNUMBER(SEARCH(DATOS!$C$126,$C188)),"SV",IF(ISNUMBER(SEARCH(DATOS!$C$127,$C188)),"LD",IF(ISNUMBER(SEARCH(DATOS!$C$128,$C188)),"OI",""))))</f>
        <v/>
      </c>
      <c r="N188" s="78">
        <f>IF($M188="SV",DATOS!$C$101,IF($M188="LD",1,IF($M188="OI",DATOS!$C$100*DATOS!$C$89,0)))</f>
        <v>0</v>
      </c>
      <c r="O188" s="79">
        <f>IF($M188="",0,N($G188)*$N188)</f>
        <v>0</v>
      </c>
      <c r="P188" s="78" t="str">
        <f>IF($M188="SV",DATOS!$C$98,IF($M188="LD",DATOS!$C$103,IF($M188="OI",DATOS!$C$99,"")))</f>
        <v/>
      </c>
      <c r="Q188" s="80" t="str">
        <f>IF(OR($M188="",N($P188)=0),"",$O188/$P188)</f>
        <v/>
      </c>
      <c r="R188" s="78" t="str">
        <f>IF($M188="","",IF(AND($M188&lt;&gt;"LD",N(DATOS!$C$100)&lt;=0),"PENDIENTE: falta R'",IF($Q188&lt;=1,"CUMPLE","NO CUMPLE")))</f>
        <v/>
      </c>
    </row>
    <row r="189">
      <c r="B189" s="74" t="n"/>
      <c r="C189" s="74" t="n"/>
      <c r="D189" s="74" t="n"/>
      <c r="E189" s="74" t="n"/>
      <c r="F189" s="74" t="n"/>
      <c r="G189" s="75" t="n"/>
      <c r="H189" s="76" t="n"/>
      <c r="I189" s="77" t="n"/>
      <c r="J189" s="77" t="n"/>
      <c r="K189" s="77" t="n"/>
      <c r="M189" s="78" t="str">
        <f>IF($C189="","",IF(ISNUMBER(SEARCH(DATOS!$C$126,$C189)),"SV",IF(ISNUMBER(SEARCH(DATOS!$C$127,$C189)),"LD",IF(ISNUMBER(SEARCH(DATOS!$C$128,$C189)),"OI",""))))</f>
        <v/>
      </c>
      <c r="N189" s="78">
        <f>IF($M189="SV",DATOS!$C$101,IF($M189="LD",1,IF($M189="OI",DATOS!$C$100*DATOS!$C$89,0)))</f>
        <v>0</v>
      </c>
      <c r="O189" s="79">
        <f>IF($M189="",0,N($G189)*$N189)</f>
        <v>0</v>
      </c>
      <c r="P189" s="78" t="str">
        <f>IF($M189="SV",DATOS!$C$98,IF($M189="LD",DATOS!$C$103,IF($M189="OI",DATOS!$C$99,"")))</f>
        <v/>
      </c>
      <c r="Q189" s="80" t="str">
        <f>IF(OR($M189="",N($P189)=0),"",$O189/$P189)</f>
        <v/>
      </c>
      <c r="R189" s="78" t="str">
        <f>IF($M189="","",IF(AND($M189&lt;&gt;"LD",N(DATOS!$C$100)&lt;=0),"PENDIENTE: falta R'",IF($Q189&lt;=1,"CUMPLE","NO CUMPLE")))</f>
        <v/>
      </c>
    </row>
    <row r="190">
      <c r="B190" s="74" t="n"/>
      <c r="C190" s="74" t="n"/>
      <c r="D190" s="74" t="n"/>
      <c r="E190" s="74" t="n"/>
      <c r="F190" s="74" t="n"/>
      <c r="G190" s="75" t="n"/>
      <c r="H190" s="76" t="n"/>
      <c r="I190" s="77" t="n"/>
      <c r="J190" s="77" t="n"/>
      <c r="K190" s="77" t="n"/>
      <c r="M190" s="78" t="str">
        <f>IF($C190="","",IF(ISNUMBER(SEARCH(DATOS!$C$126,$C190)),"SV",IF(ISNUMBER(SEARCH(DATOS!$C$127,$C190)),"LD",IF(ISNUMBER(SEARCH(DATOS!$C$128,$C190)),"OI",""))))</f>
        <v/>
      </c>
      <c r="N190" s="78">
        <f>IF($M190="SV",DATOS!$C$101,IF($M190="LD",1,IF($M190="OI",DATOS!$C$100*DATOS!$C$89,0)))</f>
        <v>0</v>
      </c>
      <c r="O190" s="79">
        <f>IF($M190="",0,N($G190)*$N190)</f>
        <v>0</v>
      </c>
      <c r="P190" s="78" t="str">
        <f>IF($M190="SV",DATOS!$C$98,IF($M190="LD",DATOS!$C$103,IF($M190="OI",DATOS!$C$99,"")))</f>
        <v/>
      </c>
      <c r="Q190" s="80" t="str">
        <f>IF(OR($M190="",N($P190)=0),"",$O190/$P190)</f>
        <v/>
      </c>
      <c r="R190" s="78" t="str">
        <f>IF($M190="","",IF(AND($M190&lt;&gt;"LD",N(DATOS!$C$100)&lt;=0),"PENDIENTE: falta R'",IF($Q190&lt;=1,"CUMPLE","NO CUMPLE")))</f>
        <v/>
      </c>
    </row>
    <row r="191">
      <c r="B191" s="74" t="n"/>
      <c r="C191" s="74" t="n"/>
      <c r="D191" s="74" t="n"/>
      <c r="E191" s="74" t="n"/>
      <c r="F191" s="74" t="n"/>
      <c r="G191" s="75" t="n"/>
      <c r="H191" s="76" t="n"/>
      <c r="I191" s="77" t="n"/>
      <c r="J191" s="77" t="n"/>
      <c r="K191" s="77" t="n"/>
      <c r="M191" s="78" t="str">
        <f>IF($C191="","",IF(ISNUMBER(SEARCH(DATOS!$C$126,$C191)),"SV",IF(ISNUMBER(SEARCH(DATOS!$C$127,$C191)),"LD",IF(ISNUMBER(SEARCH(DATOS!$C$128,$C191)),"OI",""))))</f>
        <v/>
      </c>
      <c r="N191" s="78">
        <f>IF($M191="SV",DATOS!$C$101,IF($M191="LD",1,IF($M191="OI",DATOS!$C$100*DATOS!$C$89,0)))</f>
        <v>0</v>
      </c>
      <c r="O191" s="79">
        <f>IF($M191="",0,N($G191)*$N191)</f>
        <v>0</v>
      </c>
      <c r="P191" s="78" t="str">
        <f>IF($M191="SV",DATOS!$C$98,IF($M191="LD",DATOS!$C$103,IF($M191="OI",DATOS!$C$99,"")))</f>
        <v/>
      </c>
      <c r="Q191" s="80" t="str">
        <f>IF(OR($M191="",N($P191)=0),"",$O191/$P191)</f>
        <v/>
      </c>
      <c r="R191" s="78" t="str">
        <f>IF($M191="","",IF(AND($M191&lt;&gt;"LD",N(DATOS!$C$100)&lt;=0),"PENDIENTE: falta R'",IF($Q191&lt;=1,"CUMPLE","NO CUMPLE")))</f>
        <v/>
      </c>
    </row>
    <row r="192">
      <c r="B192" s="74" t="n"/>
      <c r="C192" s="74" t="n"/>
      <c r="D192" s="74" t="n"/>
      <c r="E192" s="74" t="n"/>
      <c r="F192" s="74" t="n"/>
      <c r="G192" s="75" t="n"/>
      <c r="H192" s="76" t="n"/>
      <c r="I192" s="77" t="n"/>
      <c r="J192" s="77" t="n"/>
      <c r="K192" s="77" t="n"/>
      <c r="M192" s="78" t="str">
        <f>IF($C192="","",IF(ISNUMBER(SEARCH(DATOS!$C$126,$C192)),"SV",IF(ISNUMBER(SEARCH(DATOS!$C$127,$C192)),"LD",IF(ISNUMBER(SEARCH(DATOS!$C$128,$C192)),"OI",""))))</f>
        <v/>
      </c>
      <c r="N192" s="78">
        <f>IF($M192="SV",DATOS!$C$101,IF($M192="LD",1,IF($M192="OI",DATOS!$C$100*DATOS!$C$89,0)))</f>
        <v>0</v>
      </c>
      <c r="O192" s="79">
        <f>IF($M192="",0,N($G192)*$N192)</f>
        <v>0</v>
      </c>
      <c r="P192" s="78" t="str">
        <f>IF($M192="SV",DATOS!$C$98,IF($M192="LD",DATOS!$C$103,IF($M192="OI",DATOS!$C$99,"")))</f>
        <v/>
      </c>
      <c r="Q192" s="80" t="str">
        <f>IF(OR($M192="",N($P192)=0),"",$O192/$P192)</f>
        <v/>
      </c>
      <c r="R192" s="78" t="str">
        <f>IF($M192="","",IF(AND($M192&lt;&gt;"LD",N(DATOS!$C$100)&lt;=0),"PENDIENTE: falta R'",IF($Q192&lt;=1,"CUMPLE","NO CUMPLE")))</f>
        <v/>
      </c>
    </row>
    <row r="193">
      <c r="B193" s="74" t="n"/>
      <c r="C193" s="74" t="n"/>
      <c r="D193" s="74" t="n"/>
      <c r="E193" s="74" t="n"/>
      <c r="F193" s="74" t="n"/>
      <c r="G193" s="75" t="n"/>
      <c r="H193" s="76" t="n"/>
      <c r="I193" s="77" t="n"/>
      <c r="J193" s="77" t="n"/>
      <c r="K193" s="77" t="n"/>
      <c r="M193" s="78" t="str">
        <f>IF($C193="","",IF(ISNUMBER(SEARCH(DATOS!$C$126,$C193)),"SV",IF(ISNUMBER(SEARCH(DATOS!$C$127,$C193)),"LD",IF(ISNUMBER(SEARCH(DATOS!$C$128,$C193)),"OI",""))))</f>
        <v/>
      </c>
      <c r="N193" s="78">
        <f>IF($M193="SV",DATOS!$C$101,IF($M193="LD",1,IF($M193="OI",DATOS!$C$100*DATOS!$C$89,0)))</f>
        <v>0</v>
      </c>
      <c r="O193" s="79">
        <f>IF($M193="",0,N($G193)*$N193)</f>
        <v>0</v>
      </c>
      <c r="P193" s="78" t="str">
        <f>IF($M193="SV",DATOS!$C$98,IF($M193="LD",DATOS!$C$103,IF($M193="OI",DATOS!$C$99,"")))</f>
        <v/>
      </c>
      <c r="Q193" s="80" t="str">
        <f>IF(OR($M193="",N($P193)=0),"",$O193/$P193)</f>
        <v/>
      </c>
      <c r="R193" s="78" t="str">
        <f>IF($M193="","",IF(AND($M193&lt;&gt;"LD",N(DATOS!$C$100)&lt;=0),"PENDIENTE: falta R'",IF($Q193&lt;=1,"CUMPLE","NO CUMPLE")))</f>
        <v/>
      </c>
    </row>
    <row r="194">
      <c r="B194" s="74" t="n"/>
      <c r="C194" s="74" t="n"/>
      <c r="D194" s="74" t="n"/>
      <c r="E194" s="74" t="n"/>
      <c r="F194" s="74" t="n"/>
      <c r="G194" s="75" t="n"/>
      <c r="H194" s="76" t="n"/>
      <c r="I194" s="77" t="n"/>
      <c r="J194" s="77" t="n"/>
      <c r="K194" s="77" t="n"/>
      <c r="M194" s="78" t="str">
        <f>IF($C194="","",IF(ISNUMBER(SEARCH(DATOS!$C$126,$C194)),"SV",IF(ISNUMBER(SEARCH(DATOS!$C$127,$C194)),"LD",IF(ISNUMBER(SEARCH(DATOS!$C$128,$C194)),"OI",""))))</f>
        <v/>
      </c>
      <c r="N194" s="78">
        <f>IF($M194="SV",DATOS!$C$101,IF($M194="LD",1,IF($M194="OI",DATOS!$C$100*DATOS!$C$89,0)))</f>
        <v>0</v>
      </c>
      <c r="O194" s="79">
        <f>IF($M194="",0,N($G194)*$N194)</f>
        <v>0</v>
      </c>
      <c r="P194" s="78" t="str">
        <f>IF($M194="SV",DATOS!$C$98,IF($M194="LD",DATOS!$C$103,IF($M194="OI",DATOS!$C$99,"")))</f>
        <v/>
      </c>
      <c r="Q194" s="80" t="str">
        <f>IF(OR($M194="",N($P194)=0),"",$O194/$P194)</f>
        <v/>
      </c>
      <c r="R194" s="78" t="str">
        <f>IF($M194="","",IF(AND($M194&lt;&gt;"LD",N(DATOS!$C$100)&lt;=0),"PENDIENTE: falta R'",IF($Q194&lt;=1,"CUMPLE","NO CUMPLE")))</f>
        <v/>
      </c>
    </row>
    <row r="195">
      <c r="B195" s="74" t="n"/>
      <c r="C195" s="74" t="n"/>
      <c r="D195" s="74" t="n"/>
      <c r="E195" s="74" t="n"/>
      <c r="F195" s="74" t="n"/>
      <c r="G195" s="75" t="n"/>
      <c r="H195" s="76" t="n"/>
      <c r="I195" s="77" t="n"/>
      <c r="J195" s="77" t="n"/>
      <c r="K195" s="77" t="n"/>
      <c r="M195" s="78" t="str">
        <f>IF($C195="","",IF(ISNUMBER(SEARCH(DATOS!$C$126,$C195)),"SV",IF(ISNUMBER(SEARCH(DATOS!$C$127,$C195)),"LD",IF(ISNUMBER(SEARCH(DATOS!$C$128,$C195)),"OI",""))))</f>
        <v/>
      </c>
      <c r="N195" s="78">
        <f>IF($M195="SV",DATOS!$C$101,IF($M195="LD",1,IF($M195="OI",DATOS!$C$100*DATOS!$C$89,0)))</f>
        <v>0</v>
      </c>
      <c r="O195" s="79">
        <f>IF($M195="",0,N($G195)*$N195)</f>
        <v>0</v>
      </c>
      <c r="P195" s="78" t="str">
        <f>IF($M195="SV",DATOS!$C$98,IF($M195="LD",DATOS!$C$103,IF($M195="OI",DATOS!$C$99,"")))</f>
        <v/>
      </c>
      <c r="Q195" s="80" t="str">
        <f>IF(OR($M195="",N($P195)=0),"",$O195/$P195)</f>
        <v/>
      </c>
      <c r="R195" s="78" t="str">
        <f>IF($M195="","",IF(AND($M195&lt;&gt;"LD",N(DATOS!$C$100)&lt;=0),"PENDIENTE: falta R'",IF($Q195&lt;=1,"CUMPLE","NO CUMPLE")))</f>
        <v/>
      </c>
    </row>
    <row r="196">
      <c r="B196" s="74" t="n"/>
      <c r="C196" s="74" t="n"/>
      <c r="D196" s="74" t="n"/>
      <c r="E196" s="74" t="n"/>
      <c r="F196" s="74" t="n"/>
      <c r="G196" s="75" t="n"/>
      <c r="H196" s="76" t="n"/>
      <c r="I196" s="77" t="n"/>
      <c r="J196" s="77" t="n"/>
      <c r="K196" s="77" t="n"/>
      <c r="M196" s="78" t="str">
        <f>IF($C196="","",IF(ISNUMBER(SEARCH(DATOS!$C$126,$C196)),"SV",IF(ISNUMBER(SEARCH(DATOS!$C$127,$C196)),"LD",IF(ISNUMBER(SEARCH(DATOS!$C$128,$C196)),"OI",""))))</f>
        <v/>
      </c>
      <c r="N196" s="78">
        <f>IF($M196="SV",DATOS!$C$101,IF($M196="LD",1,IF($M196="OI",DATOS!$C$100*DATOS!$C$89,0)))</f>
        <v>0</v>
      </c>
      <c r="O196" s="79">
        <f>IF($M196="",0,N($G196)*$N196)</f>
        <v>0</v>
      </c>
      <c r="P196" s="78" t="str">
        <f>IF($M196="SV",DATOS!$C$98,IF($M196="LD",DATOS!$C$103,IF($M196="OI",DATOS!$C$99,"")))</f>
        <v/>
      </c>
      <c r="Q196" s="80" t="str">
        <f>IF(OR($M196="",N($P196)=0),"",$O196/$P196)</f>
        <v/>
      </c>
      <c r="R196" s="78" t="str">
        <f>IF($M196="","",IF(AND($M196&lt;&gt;"LD",N(DATOS!$C$100)&lt;=0),"PENDIENTE: falta R'",IF($Q196&lt;=1,"CUMPLE","NO CUMPLE")))</f>
        <v/>
      </c>
    </row>
    <row r="197">
      <c r="B197" s="74" t="n"/>
      <c r="C197" s="74" t="n"/>
      <c r="D197" s="74" t="n"/>
      <c r="E197" s="74" t="n"/>
      <c r="F197" s="74" t="n"/>
      <c r="G197" s="75" t="n"/>
      <c r="H197" s="76" t="n"/>
      <c r="I197" s="77" t="n"/>
      <c r="J197" s="77" t="n"/>
      <c r="K197" s="77" t="n"/>
      <c r="M197" s="78" t="str">
        <f>IF($C197="","",IF(ISNUMBER(SEARCH(DATOS!$C$126,$C197)),"SV",IF(ISNUMBER(SEARCH(DATOS!$C$127,$C197)),"LD",IF(ISNUMBER(SEARCH(DATOS!$C$128,$C197)),"OI",""))))</f>
        <v/>
      </c>
      <c r="N197" s="78">
        <f>IF($M197="SV",DATOS!$C$101,IF($M197="LD",1,IF($M197="OI",DATOS!$C$100*DATOS!$C$89,0)))</f>
        <v>0</v>
      </c>
      <c r="O197" s="79">
        <f>IF($M197="",0,N($G197)*$N197)</f>
        <v>0</v>
      </c>
      <c r="P197" s="78" t="str">
        <f>IF($M197="SV",DATOS!$C$98,IF($M197="LD",DATOS!$C$103,IF($M197="OI",DATOS!$C$99,"")))</f>
        <v/>
      </c>
      <c r="Q197" s="80" t="str">
        <f>IF(OR($M197="",N($P197)=0),"",$O197/$P197)</f>
        <v/>
      </c>
      <c r="R197" s="78" t="str">
        <f>IF($M197="","",IF(AND($M197&lt;&gt;"LD",N(DATOS!$C$100)&lt;=0),"PENDIENTE: falta R'",IF($Q197&lt;=1,"CUMPLE","NO CUMPLE")))</f>
        <v/>
      </c>
    </row>
    <row r="198">
      <c r="B198" s="74" t="n"/>
      <c r="C198" s="74" t="n"/>
      <c r="D198" s="74" t="n"/>
      <c r="E198" s="74" t="n"/>
      <c r="F198" s="74" t="n"/>
      <c r="G198" s="75" t="n"/>
      <c r="H198" s="76" t="n"/>
      <c r="I198" s="77" t="n"/>
      <c r="J198" s="77" t="n"/>
      <c r="K198" s="77" t="n"/>
      <c r="M198" s="78" t="str">
        <f>IF($C198="","",IF(ISNUMBER(SEARCH(DATOS!$C$126,$C198)),"SV",IF(ISNUMBER(SEARCH(DATOS!$C$127,$C198)),"LD",IF(ISNUMBER(SEARCH(DATOS!$C$128,$C198)),"OI",""))))</f>
        <v/>
      </c>
      <c r="N198" s="78">
        <f>IF($M198="SV",DATOS!$C$101,IF($M198="LD",1,IF($M198="OI",DATOS!$C$100*DATOS!$C$89,0)))</f>
        <v>0</v>
      </c>
      <c r="O198" s="79">
        <f>IF($M198="",0,N($G198)*$N198)</f>
        <v>0</v>
      </c>
      <c r="P198" s="78" t="str">
        <f>IF($M198="SV",DATOS!$C$98,IF($M198="LD",DATOS!$C$103,IF($M198="OI",DATOS!$C$99,"")))</f>
        <v/>
      </c>
      <c r="Q198" s="80" t="str">
        <f>IF(OR($M198="",N($P198)=0),"",$O198/$P198)</f>
        <v/>
      </c>
      <c r="R198" s="78" t="str">
        <f>IF($M198="","",IF(AND($M198&lt;&gt;"LD",N(DATOS!$C$100)&lt;=0),"PENDIENTE: falta R'",IF($Q198&lt;=1,"CUMPLE","NO CUMPLE")))</f>
        <v/>
      </c>
    </row>
    <row r="199">
      <c r="B199" s="74" t="n"/>
      <c r="C199" s="74" t="n"/>
      <c r="D199" s="74" t="n"/>
      <c r="E199" s="74" t="n"/>
      <c r="F199" s="74" t="n"/>
      <c r="G199" s="75" t="n"/>
      <c r="H199" s="76" t="n"/>
      <c r="I199" s="77" t="n"/>
      <c r="J199" s="77" t="n"/>
      <c r="K199" s="77" t="n"/>
      <c r="M199" s="78" t="str">
        <f>IF($C199="","",IF(ISNUMBER(SEARCH(DATOS!$C$126,$C199)),"SV",IF(ISNUMBER(SEARCH(DATOS!$C$127,$C199)),"LD",IF(ISNUMBER(SEARCH(DATOS!$C$128,$C199)),"OI",""))))</f>
        <v/>
      </c>
      <c r="N199" s="78">
        <f>IF($M199="SV",DATOS!$C$101,IF($M199="LD",1,IF($M199="OI",DATOS!$C$100*DATOS!$C$89,0)))</f>
        <v>0</v>
      </c>
      <c r="O199" s="79">
        <f>IF($M199="",0,N($G199)*$N199)</f>
        <v>0</v>
      </c>
      <c r="P199" s="78" t="str">
        <f>IF($M199="SV",DATOS!$C$98,IF($M199="LD",DATOS!$C$103,IF($M199="OI",DATOS!$C$99,"")))</f>
        <v/>
      </c>
      <c r="Q199" s="80" t="str">
        <f>IF(OR($M199="",N($P199)=0),"",$O199/$P199)</f>
        <v/>
      </c>
      <c r="R199" s="78" t="str">
        <f>IF($M199="","",IF(AND($M199&lt;&gt;"LD",N(DATOS!$C$100)&lt;=0),"PENDIENTE: falta R'",IF($Q199&lt;=1,"CUMPLE","NO CUMPLE")))</f>
        <v/>
      </c>
    </row>
    <row r="200">
      <c r="B200" s="74" t="n"/>
      <c r="C200" s="74" t="n"/>
      <c r="D200" s="74" t="n"/>
      <c r="E200" s="74" t="n"/>
      <c r="F200" s="74" t="n"/>
      <c r="G200" s="75" t="n"/>
      <c r="H200" s="76" t="n"/>
      <c r="I200" s="77" t="n"/>
      <c r="J200" s="77" t="n"/>
      <c r="K200" s="77" t="n"/>
      <c r="M200" s="78" t="str">
        <f>IF($C200="","",IF(ISNUMBER(SEARCH(DATOS!$C$126,$C200)),"SV",IF(ISNUMBER(SEARCH(DATOS!$C$127,$C200)),"LD",IF(ISNUMBER(SEARCH(DATOS!$C$128,$C200)),"OI",""))))</f>
        <v/>
      </c>
      <c r="N200" s="78">
        <f>IF($M200="SV",DATOS!$C$101,IF($M200="LD",1,IF($M200="OI",DATOS!$C$100*DATOS!$C$89,0)))</f>
        <v>0</v>
      </c>
      <c r="O200" s="79">
        <f>IF($M200="",0,N($G200)*$N200)</f>
        <v>0</v>
      </c>
      <c r="P200" s="78" t="str">
        <f>IF($M200="SV",DATOS!$C$98,IF($M200="LD",DATOS!$C$103,IF($M200="OI",DATOS!$C$99,"")))</f>
        <v/>
      </c>
      <c r="Q200" s="80" t="str">
        <f>IF(OR($M200="",N($P200)=0),"",$O200/$P200)</f>
        <v/>
      </c>
      <c r="R200" s="78" t="str">
        <f>IF($M200="","",IF(AND($M200&lt;&gt;"LD",N(DATOS!$C$100)&lt;=0),"PENDIENTE: falta R'",IF($Q200&lt;=1,"CUMPLE","NO CUMPLE")))</f>
        <v/>
      </c>
    </row>
    <row r="201">
      <c r="B201" s="74" t="n"/>
      <c r="C201" s="74" t="n"/>
      <c r="D201" s="74" t="n"/>
      <c r="E201" s="74" t="n"/>
      <c r="F201" s="74" t="n"/>
      <c r="G201" s="75" t="n"/>
      <c r="H201" s="76" t="n"/>
      <c r="I201" s="77" t="n"/>
      <c r="J201" s="77" t="n"/>
      <c r="K201" s="77" t="n"/>
      <c r="M201" s="78" t="str">
        <f>IF($C201="","",IF(ISNUMBER(SEARCH(DATOS!$C$126,$C201)),"SV",IF(ISNUMBER(SEARCH(DATOS!$C$127,$C201)),"LD",IF(ISNUMBER(SEARCH(DATOS!$C$128,$C201)),"OI",""))))</f>
        <v/>
      </c>
      <c r="N201" s="78">
        <f>IF($M201="SV",DATOS!$C$101,IF($M201="LD",1,IF($M201="OI",DATOS!$C$100*DATOS!$C$89,0)))</f>
        <v>0</v>
      </c>
      <c r="O201" s="79">
        <f>IF($M201="",0,N($G201)*$N201)</f>
        <v>0</v>
      </c>
      <c r="P201" s="78" t="str">
        <f>IF($M201="SV",DATOS!$C$98,IF($M201="LD",DATOS!$C$103,IF($M201="OI",DATOS!$C$99,"")))</f>
        <v/>
      </c>
      <c r="Q201" s="80" t="str">
        <f>IF(OR($M201="",N($P201)=0),"",$O201/$P201)</f>
        <v/>
      </c>
      <c r="R201" s="78" t="str">
        <f>IF($M201="","",IF(AND($M201&lt;&gt;"LD",N(DATOS!$C$100)&lt;=0),"PENDIENTE: falta R'",IF($Q201&lt;=1,"CUMPLE","NO CUMPLE")))</f>
        <v/>
      </c>
    </row>
    <row r="202">
      <c r="B202" s="74" t="n"/>
      <c r="C202" s="74" t="n"/>
      <c r="D202" s="74" t="n"/>
      <c r="E202" s="74" t="n"/>
      <c r="F202" s="74" t="n"/>
      <c r="G202" s="75" t="n"/>
      <c r="H202" s="76" t="n"/>
      <c r="I202" s="77" t="n"/>
      <c r="J202" s="77" t="n"/>
      <c r="K202" s="77" t="n"/>
      <c r="M202" s="78" t="str">
        <f>IF($C202="","",IF(ISNUMBER(SEARCH(DATOS!$C$126,$C202)),"SV",IF(ISNUMBER(SEARCH(DATOS!$C$127,$C202)),"LD",IF(ISNUMBER(SEARCH(DATOS!$C$128,$C202)),"OI",""))))</f>
        <v/>
      </c>
      <c r="N202" s="78">
        <f>IF($M202="SV",DATOS!$C$101,IF($M202="LD",1,IF($M202="OI",DATOS!$C$100*DATOS!$C$89,0)))</f>
        <v>0</v>
      </c>
      <c r="O202" s="79">
        <f>IF($M202="",0,N($G202)*$N202)</f>
        <v>0</v>
      </c>
      <c r="P202" s="78" t="str">
        <f>IF($M202="SV",DATOS!$C$98,IF($M202="LD",DATOS!$C$103,IF($M202="OI",DATOS!$C$99,"")))</f>
        <v/>
      </c>
      <c r="Q202" s="80" t="str">
        <f>IF(OR($M202="",N($P202)=0),"",$O202/$P202)</f>
        <v/>
      </c>
      <c r="R202" s="78" t="str">
        <f>IF($M202="","",IF(AND($M202&lt;&gt;"LD",N(DATOS!$C$100)&lt;=0),"PENDIENTE: falta R'",IF($Q202&lt;=1,"CUMPLE","NO CUMPLE")))</f>
        <v/>
      </c>
    </row>
    <row r="203">
      <c r="B203" s="74" t="n"/>
      <c r="C203" s="74" t="n"/>
      <c r="D203" s="74" t="n"/>
      <c r="E203" s="74" t="n"/>
      <c r="F203" s="74" t="n"/>
      <c r="G203" s="75" t="n"/>
      <c r="H203" s="76" t="n"/>
      <c r="I203" s="77" t="n"/>
      <c r="J203" s="77" t="n"/>
      <c r="K203" s="77" t="n"/>
      <c r="M203" s="78" t="str">
        <f>IF($C203="","",IF(ISNUMBER(SEARCH(DATOS!$C$126,$C203)),"SV",IF(ISNUMBER(SEARCH(DATOS!$C$127,$C203)),"LD",IF(ISNUMBER(SEARCH(DATOS!$C$128,$C203)),"OI",""))))</f>
        <v/>
      </c>
      <c r="N203" s="78">
        <f>IF($M203="SV",DATOS!$C$101,IF($M203="LD",1,IF($M203="OI",DATOS!$C$100*DATOS!$C$89,0)))</f>
        <v>0</v>
      </c>
      <c r="O203" s="79">
        <f>IF($M203="",0,N($G203)*$N203)</f>
        <v>0</v>
      </c>
      <c r="P203" s="78" t="str">
        <f>IF($M203="SV",DATOS!$C$98,IF($M203="LD",DATOS!$C$103,IF($M203="OI",DATOS!$C$99,"")))</f>
        <v/>
      </c>
      <c r="Q203" s="80" t="str">
        <f>IF(OR($M203="",N($P203)=0),"",$O203/$P203)</f>
        <v/>
      </c>
      <c r="R203" s="78" t="str">
        <f>IF($M203="","",IF(AND($M203&lt;&gt;"LD",N(DATOS!$C$100)&lt;=0),"PENDIENTE: falta R'",IF($Q203&lt;=1,"CUMPLE","NO CUMPLE")))</f>
        <v/>
      </c>
    </row>
    <row r="204">
      <c r="B204" s="74" t="n"/>
      <c r="C204" s="74" t="n"/>
      <c r="D204" s="74" t="n"/>
      <c r="E204" s="74" t="n"/>
      <c r="F204" s="74" t="n"/>
      <c r="G204" s="75" t="n"/>
      <c r="H204" s="76" t="n"/>
      <c r="I204" s="77" t="n"/>
      <c r="J204" s="77" t="n"/>
      <c r="K204" s="77" t="n"/>
      <c r="M204" s="78" t="str">
        <f>IF($C204="","",IF(ISNUMBER(SEARCH(DATOS!$C$126,$C204)),"SV",IF(ISNUMBER(SEARCH(DATOS!$C$127,$C204)),"LD",IF(ISNUMBER(SEARCH(DATOS!$C$128,$C204)),"OI",""))))</f>
        <v/>
      </c>
      <c r="N204" s="78">
        <f>IF($M204="SV",DATOS!$C$101,IF($M204="LD",1,IF($M204="OI",DATOS!$C$100*DATOS!$C$89,0)))</f>
        <v>0</v>
      </c>
      <c r="O204" s="79">
        <f>IF($M204="",0,N($G204)*$N204)</f>
        <v>0</v>
      </c>
      <c r="P204" s="78" t="str">
        <f>IF($M204="SV",DATOS!$C$98,IF($M204="LD",DATOS!$C$103,IF($M204="OI",DATOS!$C$99,"")))</f>
        <v/>
      </c>
      <c r="Q204" s="80" t="str">
        <f>IF(OR($M204="",N($P204)=0),"",$O204/$P204)</f>
        <v/>
      </c>
      <c r="R204" s="78" t="str">
        <f>IF($M204="","",IF(AND($M204&lt;&gt;"LD",N(DATOS!$C$100)&lt;=0),"PENDIENTE: falta R'",IF($Q204&lt;=1,"CUMPLE","NO CUMPLE")))</f>
        <v/>
      </c>
    </row>
    <row r="205">
      <c r="B205" s="74" t="n"/>
      <c r="C205" s="74" t="n"/>
      <c r="D205" s="74" t="n"/>
      <c r="E205" s="74" t="n"/>
      <c r="F205" s="74" t="n"/>
      <c r="G205" s="75" t="n"/>
      <c r="H205" s="76" t="n"/>
      <c r="I205" s="77" t="n"/>
      <c r="J205" s="77" t="n"/>
      <c r="K205" s="77" t="n"/>
      <c r="M205" s="78" t="str">
        <f>IF($C205="","",IF(ISNUMBER(SEARCH(DATOS!$C$126,$C205)),"SV",IF(ISNUMBER(SEARCH(DATOS!$C$127,$C205)),"LD",IF(ISNUMBER(SEARCH(DATOS!$C$128,$C205)),"OI",""))))</f>
        <v/>
      </c>
      <c r="N205" s="78">
        <f>IF($M205="SV",DATOS!$C$101,IF($M205="LD",1,IF($M205="OI",DATOS!$C$100*DATOS!$C$89,0)))</f>
        <v>0</v>
      </c>
      <c r="O205" s="79">
        <f>IF($M205="",0,N($G205)*$N205)</f>
        <v>0</v>
      </c>
      <c r="P205" s="78" t="str">
        <f>IF($M205="SV",DATOS!$C$98,IF($M205="LD",DATOS!$C$103,IF($M205="OI",DATOS!$C$99,"")))</f>
        <v/>
      </c>
      <c r="Q205" s="80" t="str">
        <f>IF(OR($M205="",N($P205)=0),"",$O205/$P205)</f>
        <v/>
      </c>
      <c r="R205" s="78" t="str">
        <f>IF($M205="","",IF(AND($M205&lt;&gt;"LD",N(DATOS!$C$100)&lt;=0),"PENDIENTE: falta R'",IF($Q205&lt;=1,"CUMPLE","NO CUMPLE")))</f>
        <v/>
      </c>
    </row>
    <row r="206">
      <c r="B206" s="74" t="n"/>
      <c r="C206" s="74" t="n"/>
      <c r="D206" s="74" t="n"/>
      <c r="E206" s="74" t="n"/>
      <c r="F206" s="74" t="n"/>
      <c r="G206" s="75" t="n"/>
      <c r="H206" s="76" t="n"/>
      <c r="I206" s="77" t="n"/>
      <c r="J206" s="77" t="n"/>
      <c r="K206" s="77" t="n"/>
      <c r="M206" s="78" t="str">
        <f>IF($C206="","",IF(ISNUMBER(SEARCH(DATOS!$C$126,$C206)),"SV",IF(ISNUMBER(SEARCH(DATOS!$C$127,$C206)),"LD",IF(ISNUMBER(SEARCH(DATOS!$C$128,$C206)),"OI",""))))</f>
        <v/>
      </c>
      <c r="N206" s="78">
        <f>IF($M206="SV",DATOS!$C$101,IF($M206="LD",1,IF($M206="OI",DATOS!$C$100*DATOS!$C$89,0)))</f>
        <v>0</v>
      </c>
      <c r="O206" s="79">
        <f>IF($M206="",0,N($G206)*$N206)</f>
        <v>0</v>
      </c>
      <c r="P206" s="78" t="str">
        <f>IF($M206="SV",DATOS!$C$98,IF($M206="LD",DATOS!$C$103,IF($M206="OI",DATOS!$C$99,"")))</f>
        <v/>
      </c>
      <c r="Q206" s="80" t="str">
        <f>IF(OR($M206="",N($P206)=0),"",$O206/$P206)</f>
        <v/>
      </c>
      <c r="R206" s="78" t="str">
        <f>IF($M206="","",IF(AND($M206&lt;&gt;"LD",N(DATOS!$C$100)&lt;=0),"PENDIENTE: falta R'",IF($Q206&lt;=1,"CUMPLE","NO CUMPLE")))</f>
        <v/>
      </c>
    </row>
    <row r="207">
      <c r="B207" s="74" t="n"/>
      <c r="C207" s="74" t="n"/>
      <c r="D207" s="74" t="n"/>
      <c r="E207" s="74" t="n"/>
      <c r="F207" s="74" t="n"/>
      <c r="G207" s="75" t="n"/>
      <c r="H207" s="76" t="n"/>
      <c r="I207" s="77" t="n"/>
      <c r="J207" s="77" t="n"/>
      <c r="K207" s="77" t="n"/>
      <c r="M207" s="78" t="str">
        <f>IF($C207="","",IF(ISNUMBER(SEARCH(DATOS!$C$126,$C207)),"SV",IF(ISNUMBER(SEARCH(DATOS!$C$127,$C207)),"LD",IF(ISNUMBER(SEARCH(DATOS!$C$128,$C207)),"OI",""))))</f>
        <v/>
      </c>
      <c r="N207" s="78">
        <f>IF($M207="SV",DATOS!$C$101,IF($M207="LD",1,IF($M207="OI",DATOS!$C$100*DATOS!$C$89,0)))</f>
        <v>0</v>
      </c>
      <c r="O207" s="79">
        <f>IF($M207="",0,N($G207)*$N207)</f>
        <v>0</v>
      </c>
      <c r="P207" s="78" t="str">
        <f>IF($M207="SV",DATOS!$C$98,IF($M207="LD",DATOS!$C$103,IF($M207="OI",DATOS!$C$99,"")))</f>
        <v/>
      </c>
      <c r="Q207" s="80" t="str">
        <f>IF(OR($M207="",N($P207)=0),"",$O207/$P207)</f>
        <v/>
      </c>
      <c r="R207" s="78" t="str">
        <f>IF($M207="","",IF(AND($M207&lt;&gt;"LD",N(DATOS!$C$100)&lt;=0),"PENDIENTE: falta R'",IF($Q207&lt;=1,"CUMPLE","NO CUMPLE")))</f>
        <v/>
      </c>
    </row>
    <row r="208">
      <c r="B208" s="74" t="n"/>
      <c r="C208" s="74" t="n"/>
      <c r="D208" s="74" t="n"/>
      <c r="E208" s="74" t="n"/>
      <c r="F208" s="74" t="n"/>
      <c r="G208" s="75" t="n"/>
      <c r="H208" s="76" t="n"/>
      <c r="I208" s="77" t="n"/>
      <c r="J208" s="77" t="n"/>
      <c r="K208" s="77" t="n"/>
      <c r="M208" s="78" t="str">
        <f>IF($C208="","",IF(ISNUMBER(SEARCH(DATOS!$C$126,$C208)),"SV",IF(ISNUMBER(SEARCH(DATOS!$C$127,$C208)),"LD",IF(ISNUMBER(SEARCH(DATOS!$C$128,$C208)),"OI",""))))</f>
        <v/>
      </c>
      <c r="N208" s="78">
        <f>IF($M208="SV",DATOS!$C$101,IF($M208="LD",1,IF($M208="OI",DATOS!$C$100*DATOS!$C$89,0)))</f>
        <v>0</v>
      </c>
      <c r="O208" s="79">
        <f>IF($M208="",0,N($G208)*$N208)</f>
        <v>0</v>
      </c>
      <c r="P208" s="78" t="str">
        <f>IF($M208="SV",DATOS!$C$98,IF($M208="LD",DATOS!$C$103,IF($M208="OI",DATOS!$C$99,"")))</f>
        <v/>
      </c>
      <c r="Q208" s="80" t="str">
        <f>IF(OR($M208="",N($P208)=0),"",$O208/$P208)</f>
        <v/>
      </c>
      <c r="R208" s="78" t="str">
        <f>IF($M208="","",IF(AND($M208&lt;&gt;"LD",N(DATOS!$C$100)&lt;=0),"PENDIENTE: falta R'",IF($Q208&lt;=1,"CUMPLE","NO CUMPLE")))</f>
        <v/>
      </c>
    </row>
    <row r="209">
      <c r="B209" s="74" t="n"/>
      <c r="C209" s="74" t="n"/>
      <c r="D209" s="74" t="n"/>
      <c r="E209" s="74" t="n"/>
      <c r="F209" s="74" t="n"/>
      <c r="G209" s="75" t="n"/>
      <c r="H209" s="76" t="n"/>
      <c r="I209" s="77" t="n"/>
      <c r="J209" s="77" t="n"/>
      <c r="K209" s="77" t="n"/>
      <c r="M209" s="78" t="str">
        <f>IF($C209="","",IF(ISNUMBER(SEARCH(DATOS!$C$126,$C209)),"SV",IF(ISNUMBER(SEARCH(DATOS!$C$127,$C209)),"LD",IF(ISNUMBER(SEARCH(DATOS!$C$128,$C209)),"OI",""))))</f>
        <v/>
      </c>
      <c r="N209" s="78">
        <f>IF($M209="SV",DATOS!$C$101,IF($M209="LD",1,IF($M209="OI",DATOS!$C$100*DATOS!$C$89,0)))</f>
        <v>0</v>
      </c>
      <c r="O209" s="79">
        <f>IF($M209="",0,N($G209)*$N209)</f>
        <v>0</v>
      </c>
      <c r="P209" s="78" t="str">
        <f>IF($M209="SV",DATOS!$C$98,IF($M209="LD",DATOS!$C$103,IF($M209="OI",DATOS!$C$99,"")))</f>
        <v/>
      </c>
      <c r="Q209" s="80" t="str">
        <f>IF(OR($M209="",N($P209)=0),"",$O209/$P209)</f>
        <v/>
      </c>
      <c r="R209" s="78" t="str">
        <f>IF($M209="","",IF(AND($M209&lt;&gt;"LD",N(DATOS!$C$100)&lt;=0),"PENDIENTE: falta R'",IF($Q209&lt;=1,"CUMPLE","NO CUMPLE")))</f>
        <v/>
      </c>
    </row>
    <row r="210">
      <c r="B210" s="74" t="n"/>
      <c r="C210" s="74" t="n"/>
      <c r="D210" s="74" t="n"/>
      <c r="E210" s="74" t="n"/>
      <c r="F210" s="74" t="n"/>
      <c r="G210" s="75" t="n"/>
      <c r="H210" s="76" t="n"/>
      <c r="I210" s="77" t="n"/>
      <c r="J210" s="77" t="n"/>
      <c r="K210" s="77" t="n"/>
      <c r="M210" s="78" t="str">
        <f>IF($C210="","",IF(ISNUMBER(SEARCH(DATOS!$C$126,$C210)),"SV",IF(ISNUMBER(SEARCH(DATOS!$C$127,$C210)),"LD",IF(ISNUMBER(SEARCH(DATOS!$C$128,$C210)),"OI",""))))</f>
        <v/>
      </c>
      <c r="N210" s="78">
        <f>IF($M210="SV",DATOS!$C$101,IF($M210="LD",1,IF($M210="OI",DATOS!$C$100*DATOS!$C$89,0)))</f>
        <v>0</v>
      </c>
      <c r="O210" s="79">
        <f>IF($M210="",0,N($G210)*$N210)</f>
        <v>0</v>
      </c>
      <c r="P210" s="78" t="str">
        <f>IF($M210="SV",DATOS!$C$98,IF($M210="LD",DATOS!$C$103,IF($M210="OI",DATOS!$C$99,"")))</f>
        <v/>
      </c>
      <c r="Q210" s="80" t="str">
        <f>IF(OR($M210="",N($P210)=0),"",$O210/$P210)</f>
        <v/>
      </c>
      <c r="R210" s="78" t="str">
        <f>IF($M210="","",IF(AND($M210&lt;&gt;"LD",N(DATOS!$C$100)&lt;=0),"PENDIENTE: falta R'",IF($Q210&lt;=1,"CUMPLE","NO CUMPLE")))</f>
        <v/>
      </c>
    </row>
    <row r="211">
      <c r="B211" s="74" t="n"/>
      <c r="C211" s="74" t="n"/>
      <c r="D211" s="74" t="n"/>
      <c r="E211" s="74" t="n"/>
      <c r="F211" s="74" t="n"/>
      <c r="G211" s="75" t="n"/>
      <c r="H211" s="76" t="n"/>
      <c r="I211" s="77" t="n"/>
      <c r="J211" s="77" t="n"/>
      <c r="K211" s="77" t="n"/>
      <c r="M211" s="78" t="str">
        <f>IF($C211="","",IF(ISNUMBER(SEARCH(DATOS!$C$126,$C211)),"SV",IF(ISNUMBER(SEARCH(DATOS!$C$127,$C211)),"LD",IF(ISNUMBER(SEARCH(DATOS!$C$128,$C211)),"OI",""))))</f>
        <v/>
      </c>
      <c r="N211" s="78">
        <f>IF($M211="SV",DATOS!$C$101,IF($M211="LD",1,IF($M211="OI",DATOS!$C$100*DATOS!$C$89,0)))</f>
        <v>0</v>
      </c>
      <c r="O211" s="79">
        <f>IF($M211="",0,N($G211)*$N211)</f>
        <v>0</v>
      </c>
      <c r="P211" s="78" t="str">
        <f>IF($M211="SV",DATOS!$C$98,IF($M211="LD",DATOS!$C$103,IF($M211="OI",DATOS!$C$99,"")))</f>
        <v/>
      </c>
      <c r="Q211" s="80" t="str">
        <f>IF(OR($M211="",N($P211)=0),"",$O211/$P211)</f>
        <v/>
      </c>
      <c r="R211" s="78" t="str">
        <f>IF($M211="","",IF(AND($M211&lt;&gt;"LD",N(DATOS!$C$100)&lt;=0),"PENDIENTE: falta R'",IF($Q211&lt;=1,"CUMPLE","NO CUMPLE")))</f>
        <v/>
      </c>
    </row>
    <row r="212">
      <c r="B212" s="74" t="n"/>
      <c r="C212" s="74" t="n"/>
      <c r="D212" s="74" t="n"/>
      <c r="E212" s="74" t="n"/>
      <c r="F212" s="74" t="n"/>
      <c r="G212" s="75" t="n"/>
      <c r="H212" s="76" t="n"/>
      <c r="I212" s="77" t="n"/>
      <c r="J212" s="77" t="n"/>
      <c r="K212" s="77" t="n"/>
      <c r="M212" s="78" t="str">
        <f>IF($C212="","",IF(ISNUMBER(SEARCH(DATOS!$C$126,$C212)),"SV",IF(ISNUMBER(SEARCH(DATOS!$C$127,$C212)),"LD",IF(ISNUMBER(SEARCH(DATOS!$C$128,$C212)),"OI",""))))</f>
        <v/>
      </c>
      <c r="N212" s="78">
        <f>IF($M212="SV",DATOS!$C$101,IF($M212="LD",1,IF($M212="OI",DATOS!$C$100*DATOS!$C$89,0)))</f>
        <v>0</v>
      </c>
      <c r="O212" s="79">
        <f>IF($M212="",0,N($G212)*$N212)</f>
        <v>0</v>
      </c>
      <c r="P212" s="78" t="str">
        <f>IF($M212="SV",DATOS!$C$98,IF($M212="LD",DATOS!$C$103,IF($M212="OI",DATOS!$C$99,"")))</f>
        <v/>
      </c>
      <c r="Q212" s="80" t="str">
        <f>IF(OR($M212="",N($P212)=0),"",$O212/$P212)</f>
        <v/>
      </c>
      <c r="R212" s="78" t="str">
        <f>IF($M212="","",IF(AND($M212&lt;&gt;"LD",N(DATOS!$C$100)&lt;=0),"PENDIENTE: falta R'",IF($Q212&lt;=1,"CUMPLE","NO CUMPLE")))</f>
        <v/>
      </c>
    </row>
    <row r="213">
      <c r="B213" s="74" t="n"/>
      <c r="C213" s="74" t="n"/>
      <c r="D213" s="74" t="n"/>
      <c r="E213" s="74" t="n"/>
      <c r="F213" s="74" t="n"/>
      <c r="G213" s="75" t="n"/>
      <c r="H213" s="76" t="n"/>
      <c r="I213" s="77" t="n"/>
      <c r="J213" s="77" t="n"/>
      <c r="K213" s="77" t="n"/>
      <c r="M213" s="78" t="str">
        <f>IF($C213="","",IF(ISNUMBER(SEARCH(DATOS!$C$126,$C213)),"SV",IF(ISNUMBER(SEARCH(DATOS!$C$127,$C213)),"LD",IF(ISNUMBER(SEARCH(DATOS!$C$128,$C213)),"OI",""))))</f>
        <v/>
      </c>
      <c r="N213" s="78">
        <f>IF($M213="SV",DATOS!$C$101,IF($M213="LD",1,IF($M213="OI",DATOS!$C$100*DATOS!$C$89,0)))</f>
        <v>0</v>
      </c>
      <c r="O213" s="79">
        <f>IF($M213="",0,N($G213)*$N213)</f>
        <v>0</v>
      </c>
      <c r="P213" s="78" t="str">
        <f>IF($M213="SV",DATOS!$C$98,IF($M213="LD",DATOS!$C$103,IF($M213="OI",DATOS!$C$99,"")))</f>
        <v/>
      </c>
      <c r="Q213" s="80" t="str">
        <f>IF(OR($M213="",N($P213)=0),"",$O213/$P213)</f>
        <v/>
      </c>
      <c r="R213" s="78" t="str">
        <f>IF($M213="","",IF(AND($M213&lt;&gt;"LD",N(DATOS!$C$100)&lt;=0),"PENDIENTE: falta R'",IF($Q213&lt;=1,"CUMPLE","NO CUMPLE")))</f>
        <v/>
      </c>
    </row>
    <row r="214">
      <c r="B214" s="74" t="n"/>
      <c r="C214" s="74" t="n"/>
      <c r="D214" s="74" t="n"/>
      <c r="E214" s="74" t="n"/>
      <c r="F214" s="74" t="n"/>
      <c r="G214" s="75" t="n"/>
      <c r="H214" s="76" t="n"/>
      <c r="I214" s="77" t="n"/>
      <c r="J214" s="77" t="n"/>
      <c r="K214" s="77" t="n"/>
      <c r="M214" s="78" t="str">
        <f>IF($C214="","",IF(ISNUMBER(SEARCH(DATOS!$C$126,$C214)),"SV",IF(ISNUMBER(SEARCH(DATOS!$C$127,$C214)),"LD",IF(ISNUMBER(SEARCH(DATOS!$C$128,$C214)),"OI",""))))</f>
        <v/>
      </c>
      <c r="N214" s="78">
        <f>IF($M214="SV",DATOS!$C$101,IF($M214="LD",1,IF($M214="OI",DATOS!$C$100*DATOS!$C$89,0)))</f>
        <v>0</v>
      </c>
      <c r="O214" s="79">
        <f>IF($M214="",0,N($G214)*$N214)</f>
        <v>0</v>
      </c>
      <c r="P214" s="78" t="str">
        <f>IF($M214="SV",DATOS!$C$98,IF($M214="LD",DATOS!$C$103,IF($M214="OI",DATOS!$C$99,"")))</f>
        <v/>
      </c>
      <c r="Q214" s="80" t="str">
        <f>IF(OR($M214="",N($P214)=0),"",$O214/$P214)</f>
        <v/>
      </c>
      <c r="R214" s="78" t="str">
        <f>IF($M214="","",IF(AND($M214&lt;&gt;"LD",N(DATOS!$C$100)&lt;=0),"PENDIENTE: falta R'",IF($Q214&lt;=1,"CUMPLE","NO CUMPLE")))</f>
        <v/>
      </c>
    </row>
    <row r="215">
      <c r="B215" s="74" t="n"/>
      <c r="C215" s="74" t="n"/>
      <c r="D215" s="74" t="n"/>
      <c r="E215" s="74" t="n"/>
      <c r="F215" s="74" t="n"/>
      <c r="G215" s="75" t="n"/>
      <c r="H215" s="76" t="n"/>
      <c r="I215" s="77" t="n"/>
      <c r="J215" s="77" t="n"/>
      <c r="K215" s="77" t="n"/>
      <c r="M215" s="78" t="str">
        <f>IF($C215="","",IF(ISNUMBER(SEARCH(DATOS!$C$126,$C215)),"SV",IF(ISNUMBER(SEARCH(DATOS!$C$127,$C215)),"LD",IF(ISNUMBER(SEARCH(DATOS!$C$128,$C215)),"OI",""))))</f>
        <v/>
      </c>
      <c r="N215" s="78">
        <f>IF($M215="SV",DATOS!$C$101,IF($M215="LD",1,IF($M215="OI",DATOS!$C$100*DATOS!$C$89,0)))</f>
        <v>0</v>
      </c>
      <c r="O215" s="79">
        <f>IF($M215="",0,N($G215)*$N215)</f>
        <v>0</v>
      </c>
      <c r="P215" s="78" t="str">
        <f>IF($M215="SV",DATOS!$C$98,IF($M215="LD",DATOS!$C$103,IF($M215="OI",DATOS!$C$99,"")))</f>
        <v/>
      </c>
      <c r="Q215" s="80" t="str">
        <f>IF(OR($M215="",N($P215)=0),"",$O215/$P215)</f>
        <v/>
      </c>
      <c r="R215" s="78" t="str">
        <f>IF($M215="","",IF(AND($M215&lt;&gt;"LD",N(DATOS!$C$100)&lt;=0),"PENDIENTE: falta R'",IF($Q215&lt;=1,"CUMPLE","NO CUMPLE")))</f>
        <v/>
      </c>
    </row>
    <row r="216">
      <c r="B216" s="74" t="n"/>
      <c r="C216" s="74" t="n"/>
      <c r="D216" s="74" t="n"/>
      <c r="E216" s="74" t="n"/>
      <c r="F216" s="74" t="n"/>
      <c r="G216" s="75" t="n"/>
      <c r="H216" s="76" t="n"/>
      <c r="I216" s="77" t="n"/>
      <c r="J216" s="77" t="n"/>
      <c r="K216" s="77" t="n"/>
      <c r="M216" s="78" t="str">
        <f>IF($C216="","",IF(ISNUMBER(SEARCH(DATOS!$C$126,$C216)),"SV",IF(ISNUMBER(SEARCH(DATOS!$C$127,$C216)),"LD",IF(ISNUMBER(SEARCH(DATOS!$C$128,$C216)),"OI",""))))</f>
        <v/>
      </c>
      <c r="N216" s="78">
        <f>IF($M216="SV",DATOS!$C$101,IF($M216="LD",1,IF($M216="OI",DATOS!$C$100*DATOS!$C$89,0)))</f>
        <v>0</v>
      </c>
      <c r="O216" s="79">
        <f>IF($M216="",0,N($G216)*$N216)</f>
        <v>0</v>
      </c>
      <c r="P216" s="78" t="str">
        <f>IF($M216="SV",DATOS!$C$98,IF($M216="LD",DATOS!$C$103,IF($M216="OI",DATOS!$C$99,"")))</f>
        <v/>
      </c>
      <c r="Q216" s="80" t="str">
        <f>IF(OR($M216="",N($P216)=0),"",$O216/$P216)</f>
        <v/>
      </c>
      <c r="R216" s="78" t="str">
        <f>IF($M216="","",IF(AND($M216&lt;&gt;"LD",N(DATOS!$C$100)&lt;=0),"PENDIENTE: falta R'",IF($Q216&lt;=1,"CUMPLE","NO CUMPLE")))</f>
        <v/>
      </c>
    </row>
    <row r="217">
      <c r="B217" s="74" t="n"/>
      <c r="C217" s="74" t="n"/>
      <c r="D217" s="74" t="n"/>
      <c r="E217" s="74" t="n"/>
      <c r="F217" s="74" t="n"/>
      <c r="G217" s="75" t="n"/>
      <c r="H217" s="76" t="n"/>
      <c r="I217" s="77" t="n"/>
      <c r="J217" s="77" t="n"/>
      <c r="K217" s="77" t="n"/>
      <c r="M217" s="78" t="str">
        <f>IF($C217="","",IF(ISNUMBER(SEARCH(DATOS!$C$126,$C217)),"SV",IF(ISNUMBER(SEARCH(DATOS!$C$127,$C217)),"LD",IF(ISNUMBER(SEARCH(DATOS!$C$128,$C217)),"OI",""))))</f>
        <v/>
      </c>
      <c r="N217" s="78">
        <f>IF($M217="SV",DATOS!$C$101,IF($M217="LD",1,IF($M217="OI",DATOS!$C$100*DATOS!$C$89,0)))</f>
        <v>0</v>
      </c>
      <c r="O217" s="79">
        <f>IF($M217="",0,N($G217)*$N217)</f>
        <v>0</v>
      </c>
      <c r="P217" s="78" t="str">
        <f>IF($M217="SV",DATOS!$C$98,IF($M217="LD",DATOS!$C$103,IF($M217="OI",DATOS!$C$99,"")))</f>
        <v/>
      </c>
      <c r="Q217" s="80" t="str">
        <f>IF(OR($M217="",N($P217)=0),"",$O217/$P217)</f>
        <v/>
      </c>
      <c r="R217" s="78" t="str">
        <f>IF($M217="","",IF(AND($M217&lt;&gt;"LD",N(DATOS!$C$100)&lt;=0),"PENDIENTE: falta R'",IF($Q217&lt;=1,"CUMPLE","NO CUMPLE")))</f>
        <v/>
      </c>
    </row>
    <row r="218">
      <c r="B218" s="74" t="n"/>
      <c r="C218" s="74" t="n"/>
      <c r="D218" s="74" t="n"/>
      <c r="E218" s="74" t="n"/>
      <c r="F218" s="74" t="n"/>
      <c r="G218" s="75" t="n"/>
      <c r="H218" s="76" t="n"/>
      <c r="I218" s="77" t="n"/>
      <c r="J218" s="77" t="n"/>
      <c r="K218" s="77" t="n"/>
      <c r="M218" s="78" t="str">
        <f>IF($C218="","",IF(ISNUMBER(SEARCH(DATOS!$C$126,$C218)),"SV",IF(ISNUMBER(SEARCH(DATOS!$C$127,$C218)),"LD",IF(ISNUMBER(SEARCH(DATOS!$C$128,$C218)),"OI",""))))</f>
        <v/>
      </c>
      <c r="N218" s="78">
        <f>IF($M218="SV",DATOS!$C$101,IF($M218="LD",1,IF($M218="OI",DATOS!$C$100*DATOS!$C$89,0)))</f>
        <v>0</v>
      </c>
      <c r="O218" s="79">
        <f>IF($M218="",0,N($G218)*$N218)</f>
        <v>0</v>
      </c>
      <c r="P218" s="78" t="str">
        <f>IF($M218="SV",DATOS!$C$98,IF($M218="LD",DATOS!$C$103,IF($M218="OI",DATOS!$C$99,"")))</f>
        <v/>
      </c>
      <c r="Q218" s="80" t="str">
        <f>IF(OR($M218="",N($P218)=0),"",$O218/$P218)</f>
        <v/>
      </c>
      <c r="R218" s="78" t="str">
        <f>IF($M218="","",IF(AND($M218&lt;&gt;"LD",N(DATOS!$C$100)&lt;=0),"PENDIENTE: falta R'",IF($Q218&lt;=1,"CUMPLE","NO CUMPLE")))</f>
        <v/>
      </c>
    </row>
    <row r="219">
      <c r="B219" s="74" t="n"/>
      <c r="C219" s="74" t="n"/>
      <c r="D219" s="74" t="n"/>
      <c r="E219" s="74" t="n"/>
      <c r="F219" s="74" t="n"/>
      <c r="G219" s="75" t="n"/>
      <c r="H219" s="76" t="n"/>
      <c r="I219" s="77" t="n"/>
      <c r="J219" s="77" t="n"/>
      <c r="K219" s="77" t="n"/>
      <c r="M219" s="78" t="str">
        <f>IF($C219="","",IF(ISNUMBER(SEARCH(DATOS!$C$126,$C219)),"SV",IF(ISNUMBER(SEARCH(DATOS!$C$127,$C219)),"LD",IF(ISNUMBER(SEARCH(DATOS!$C$128,$C219)),"OI",""))))</f>
        <v/>
      </c>
      <c r="N219" s="78">
        <f>IF($M219="SV",DATOS!$C$101,IF($M219="LD",1,IF($M219="OI",DATOS!$C$100*DATOS!$C$89,0)))</f>
        <v>0</v>
      </c>
      <c r="O219" s="79">
        <f>IF($M219="",0,N($G219)*$N219)</f>
        <v>0</v>
      </c>
      <c r="P219" s="78" t="str">
        <f>IF($M219="SV",DATOS!$C$98,IF($M219="LD",DATOS!$C$103,IF($M219="OI",DATOS!$C$99,"")))</f>
        <v/>
      </c>
      <c r="Q219" s="80" t="str">
        <f>IF(OR($M219="",N($P219)=0),"",$O219/$P219)</f>
        <v/>
      </c>
      <c r="R219" s="78" t="str">
        <f>IF($M219="","",IF(AND($M219&lt;&gt;"LD",N(DATOS!$C$100)&lt;=0),"PENDIENTE: falta R'",IF($Q219&lt;=1,"CUMPLE","NO CUMPLE")))</f>
        <v/>
      </c>
    </row>
    <row r="220">
      <c r="B220" s="74" t="n"/>
      <c r="C220" s="74" t="n"/>
      <c r="D220" s="74" t="n"/>
      <c r="E220" s="74" t="n"/>
      <c r="F220" s="74" t="n"/>
      <c r="G220" s="75" t="n"/>
      <c r="H220" s="76" t="n"/>
      <c r="I220" s="77" t="n"/>
      <c r="J220" s="77" t="n"/>
      <c r="K220" s="77" t="n"/>
      <c r="M220" s="78" t="str">
        <f>IF($C220="","",IF(ISNUMBER(SEARCH(DATOS!$C$126,$C220)),"SV",IF(ISNUMBER(SEARCH(DATOS!$C$127,$C220)),"LD",IF(ISNUMBER(SEARCH(DATOS!$C$128,$C220)),"OI",""))))</f>
        <v/>
      </c>
      <c r="N220" s="78">
        <f>IF($M220="SV",DATOS!$C$101,IF($M220="LD",1,IF($M220="OI",DATOS!$C$100*DATOS!$C$89,0)))</f>
        <v>0</v>
      </c>
      <c r="O220" s="79">
        <f>IF($M220="",0,N($G220)*$N220)</f>
        <v>0</v>
      </c>
      <c r="P220" s="78" t="str">
        <f>IF($M220="SV",DATOS!$C$98,IF($M220="LD",DATOS!$C$103,IF($M220="OI",DATOS!$C$99,"")))</f>
        <v/>
      </c>
      <c r="Q220" s="80" t="str">
        <f>IF(OR($M220="",N($P220)=0),"",$O220/$P220)</f>
        <v/>
      </c>
      <c r="R220" s="78" t="str">
        <f>IF($M220="","",IF(AND($M220&lt;&gt;"LD",N(DATOS!$C$100)&lt;=0),"PENDIENTE: falta R'",IF($Q220&lt;=1,"CUMPLE","NO CUMPLE")))</f>
        <v/>
      </c>
    </row>
    <row r="221">
      <c r="B221" s="74" t="n"/>
      <c r="C221" s="74" t="n"/>
      <c r="D221" s="74" t="n"/>
      <c r="E221" s="74" t="n"/>
      <c r="F221" s="74" t="n"/>
      <c r="G221" s="75" t="n"/>
      <c r="H221" s="76" t="n"/>
      <c r="I221" s="77" t="n"/>
      <c r="J221" s="77" t="n"/>
      <c r="K221" s="77" t="n"/>
      <c r="M221" s="78" t="str">
        <f>IF($C221="","",IF(ISNUMBER(SEARCH(DATOS!$C$126,$C221)),"SV",IF(ISNUMBER(SEARCH(DATOS!$C$127,$C221)),"LD",IF(ISNUMBER(SEARCH(DATOS!$C$128,$C221)),"OI",""))))</f>
        <v/>
      </c>
      <c r="N221" s="78">
        <f>IF($M221="SV",DATOS!$C$101,IF($M221="LD",1,IF($M221="OI",DATOS!$C$100*DATOS!$C$89,0)))</f>
        <v>0</v>
      </c>
      <c r="O221" s="79">
        <f>IF($M221="",0,N($G221)*$N221)</f>
        <v>0</v>
      </c>
      <c r="P221" s="78" t="str">
        <f>IF($M221="SV",DATOS!$C$98,IF($M221="LD",DATOS!$C$103,IF($M221="OI",DATOS!$C$99,"")))</f>
        <v/>
      </c>
      <c r="Q221" s="80" t="str">
        <f>IF(OR($M221="",N($P221)=0),"",$O221/$P221)</f>
        <v/>
      </c>
      <c r="R221" s="78" t="str">
        <f>IF($M221="","",IF(AND($M221&lt;&gt;"LD",N(DATOS!$C$100)&lt;=0),"PENDIENTE: falta R'",IF($Q221&lt;=1,"CUMPLE","NO CUMPLE")))</f>
        <v/>
      </c>
    </row>
    <row r="222">
      <c r="B222" s="74" t="n"/>
      <c r="C222" s="74" t="n"/>
      <c r="D222" s="74" t="n"/>
      <c r="E222" s="74" t="n"/>
      <c r="F222" s="74" t="n"/>
      <c r="G222" s="75" t="n"/>
      <c r="H222" s="76" t="n"/>
      <c r="I222" s="77" t="n"/>
      <c r="J222" s="77" t="n"/>
      <c r="K222" s="77" t="n"/>
      <c r="M222" s="78" t="str">
        <f>IF($C222="","",IF(ISNUMBER(SEARCH(DATOS!$C$126,$C222)),"SV",IF(ISNUMBER(SEARCH(DATOS!$C$127,$C222)),"LD",IF(ISNUMBER(SEARCH(DATOS!$C$128,$C222)),"OI",""))))</f>
        <v/>
      </c>
      <c r="N222" s="78">
        <f>IF($M222="SV",DATOS!$C$101,IF($M222="LD",1,IF($M222="OI",DATOS!$C$100*DATOS!$C$89,0)))</f>
        <v>0</v>
      </c>
      <c r="O222" s="79">
        <f>IF($M222="",0,N($G222)*$N222)</f>
        <v>0</v>
      </c>
      <c r="P222" s="78" t="str">
        <f>IF($M222="SV",DATOS!$C$98,IF($M222="LD",DATOS!$C$103,IF($M222="OI",DATOS!$C$99,"")))</f>
        <v/>
      </c>
      <c r="Q222" s="80" t="str">
        <f>IF(OR($M222="",N($P222)=0),"",$O222/$P222)</f>
        <v/>
      </c>
      <c r="R222" s="78" t="str">
        <f>IF($M222="","",IF(AND($M222&lt;&gt;"LD",N(DATOS!$C$100)&lt;=0),"PENDIENTE: falta R'",IF($Q222&lt;=1,"CUMPLE","NO CUMPLE")))</f>
        <v/>
      </c>
    </row>
    <row r="223">
      <c r="B223" s="74" t="n"/>
      <c r="C223" s="74" t="n"/>
      <c r="D223" s="74" t="n"/>
      <c r="E223" s="74" t="n"/>
      <c r="F223" s="74" t="n"/>
      <c r="G223" s="75" t="n"/>
      <c r="H223" s="76" t="n"/>
      <c r="I223" s="77" t="n"/>
      <c r="J223" s="77" t="n"/>
      <c r="K223" s="77" t="n"/>
      <c r="M223" s="78" t="str">
        <f>IF($C223="","",IF(ISNUMBER(SEARCH(DATOS!$C$126,$C223)),"SV",IF(ISNUMBER(SEARCH(DATOS!$C$127,$C223)),"LD",IF(ISNUMBER(SEARCH(DATOS!$C$128,$C223)),"OI",""))))</f>
        <v/>
      </c>
      <c r="N223" s="78">
        <f>IF($M223="SV",DATOS!$C$101,IF($M223="LD",1,IF($M223="OI",DATOS!$C$100*DATOS!$C$89,0)))</f>
        <v>0</v>
      </c>
      <c r="O223" s="79">
        <f>IF($M223="",0,N($G223)*$N223)</f>
        <v>0</v>
      </c>
      <c r="P223" s="78" t="str">
        <f>IF($M223="SV",DATOS!$C$98,IF($M223="LD",DATOS!$C$103,IF($M223="OI",DATOS!$C$99,"")))</f>
        <v/>
      </c>
      <c r="Q223" s="80" t="str">
        <f>IF(OR($M223="",N($P223)=0),"",$O223/$P223)</f>
        <v/>
      </c>
      <c r="R223" s="78" t="str">
        <f>IF($M223="","",IF(AND($M223&lt;&gt;"LD",N(DATOS!$C$100)&lt;=0),"PENDIENTE: falta R'",IF($Q223&lt;=1,"CUMPLE","NO CUMPLE")))</f>
        <v/>
      </c>
    </row>
    <row r="224">
      <c r="B224" s="74" t="n"/>
      <c r="C224" s="74" t="n"/>
      <c r="D224" s="74" t="n"/>
      <c r="E224" s="74" t="n"/>
      <c r="F224" s="74" t="n"/>
      <c r="G224" s="75" t="n"/>
      <c r="H224" s="76" t="n"/>
      <c r="I224" s="77" t="n"/>
      <c r="J224" s="77" t="n"/>
      <c r="K224" s="77" t="n"/>
      <c r="M224" s="78" t="str">
        <f>IF($C224="","",IF(ISNUMBER(SEARCH(DATOS!$C$126,$C224)),"SV",IF(ISNUMBER(SEARCH(DATOS!$C$127,$C224)),"LD",IF(ISNUMBER(SEARCH(DATOS!$C$128,$C224)),"OI",""))))</f>
        <v/>
      </c>
      <c r="N224" s="78">
        <f>IF($M224="SV",DATOS!$C$101,IF($M224="LD",1,IF($M224="OI",DATOS!$C$100*DATOS!$C$89,0)))</f>
        <v>0</v>
      </c>
      <c r="O224" s="79">
        <f>IF($M224="",0,N($G224)*$N224)</f>
        <v>0</v>
      </c>
      <c r="P224" s="78" t="str">
        <f>IF($M224="SV",DATOS!$C$98,IF($M224="LD",DATOS!$C$103,IF($M224="OI",DATOS!$C$99,"")))</f>
        <v/>
      </c>
      <c r="Q224" s="80" t="str">
        <f>IF(OR($M224="",N($P224)=0),"",$O224/$P224)</f>
        <v/>
      </c>
      <c r="R224" s="78" t="str">
        <f>IF($M224="","",IF(AND($M224&lt;&gt;"LD",N(DATOS!$C$100)&lt;=0),"PENDIENTE: falta R'",IF($Q224&lt;=1,"CUMPLE","NO CUMPLE")))</f>
        <v/>
      </c>
    </row>
    <row r="225">
      <c r="B225" s="74" t="n"/>
      <c r="C225" s="74" t="n"/>
      <c r="D225" s="74" t="n"/>
      <c r="E225" s="74" t="n"/>
      <c r="F225" s="74" t="n"/>
      <c r="G225" s="75" t="n"/>
      <c r="H225" s="76" t="n"/>
      <c r="I225" s="77" t="n"/>
      <c r="J225" s="77" t="n"/>
      <c r="K225" s="77" t="n"/>
      <c r="M225" s="78" t="str">
        <f>IF($C225="","",IF(ISNUMBER(SEARCH(DATOS!$C$126,$C225)),"SV",IF(ISNUMBER(SEARCH(DATOS!$C$127,$C225)),"LD",IF(ISNUMBER(SEARCH(DATOS!$C$128,$C225)),"OI",""))))</f>
        <v/>
      </c>
      <c r="N225" s="78">
        <f>IF($M225="SV",DATOS!$C$101,IF($M225="LD",1,IF($M225="OI",DATOS!$C$100*DATOS!$C$89,0)))</f>
        <v>0</v>
      </c>
      <c r="O225" s="79">
        <f>IF($M225="",0,N($G225)*$N225)</f>
        <v>0</v>
      </c>
      <c r="P225" s="78" t="str">
        <f>IF($M225="SV",DATOS!$C$98,IF($M225="LD",DATOS!$C$103,IF($M225="OI",DATOS!$C$99,"")))</f>
        <v/>
      </c>
      <c r="Q225" s="80" t="str">
        <f>IF(OR($M225="",N($P225)=0),"",$O225/$P225)</f>
        <v/>
      </c>
      <c r="R225" s="78" t="str">
        <f>IF($M225="","",IF(AND($M225&lt;&gt;"LD",N(DATOS!$C$100)&lt;=0),"PENDIENTE: falta R'",IF($Q225&lt;=1,"CUMPLE","NO CUMPLE")))</f>
        <v/>
      </c>
    </row>
    <row r="226">
      <c r="B226" s="74" t="n"/>
      <c r="C226" s="74" t="n"/>
      <c r="D226" s="74" t="n"/>
      <c r="E226" s="74" t="n"/>
      <c r="F226" s="74" t="n"/>
      <c r="G226" s="75" t="n"/>
      <c r="H226" s="76" t="n"/>
      <c r="I226" s="77" t="n"/>
      <c r="J226" s="77" t="n"/>
      <c r="K226" s="77" t="n"/>
      <c r="M226" s="78" t="str">
        <f>IF($C226="","",IF(ISNUMBER(SEARCH(DATOS!$C$126,$C226)),"SV",IF(ISNUMBER(SEARCH(DATOS!$C$127,$C226)),"LD",IF(ISNUMBER(SEARCH(DATOS!$C$128,$C226)),"OI",""))))</f>
        <v/>
      </c>
      <c r="N226" s="78">
        <f>IF($M226="SV",DATOS!$C$101,IF($M226="LD",1,IF($M226="OI",DATOS!$C$100*DATOS!$C$89,0)))</f>
        <v>0</v>
      </c>
      <c r="O226" s="79">
        <f>IF($M226="",0,N($G226)*$N226)</f>
        <v>0</v>
      </c>
      <c r="P226" s="78" t="str">
        <f>IF($M226="SV",DATOS!$C$98,IF($M226="LD",DATOS!$C$103,IF($M226="OI",DATOS!$C$99,"")))</f>
        <v/>
      </c>
      <c r="Q226" s="80" t="str">
        <f>IF(OR($M226="",N($P226)=0),"",$O226/$P226)</f>
        <v/>
      </c>
      <c r="R226" s="78" t="str">
        <f>IF($M226="","",IF(AND($M226&lt;&gt;"LD",N(DATOS!$C$100)&lt;=0),"PENDIENTE: falta R'",IF($Q226&lt;=1,"CUMPLE","NO CUMPLE")))</f>
        <v/>
      </c>
    </row>
    <row r="227">
      <c r="B227" s="74" t="n"/>
      <c r="C227" s="74" t="n"/>
      <c r="D227" s="74" t="n"/>
      <c r="E227" s="74" t="n"/>
      <c r="F227" s="74" t="n"/>
      <c r="G227" s="75" t="n"/>
      <c r="H227" s="76" t="n"/>
      <c r="I227" s="77" t="n"/>
      <c r="J227" s="77" t="n"/>
      <c r="K227" s="77" t="n"/>
      <c r="M227" s="78" t="str">
        <f>IF($C227="","",IF(ISNUMBER(SEARCH(DATOS!$C$126,$C227)),"SV",IF(ISNUMBER(SEARCH(DATOS!$C$127,$C227)),"LD",IF(ISNUMBER(SEARCH(DATOS!$C$128,$C227)),"OI",""))))</f>
        <v/>
      </c>
      <c r="N227" s="78">
        <f>IF($M227="SV",DATOS!$C$101,IF($M227="LD",1,IF($M227="OI",DATOS!$C$100*DATOS!$C$89,0)))</f>
        <v>0</v>
      </c>
      <c r="O227" s="79">
        <f>IF($M227="",0,N($G227)*$N227)</f>
        <v>0</v>
      </c>
      <c r="P227" s="78" t="str">
        <f>IF($M227="SV",DATOS!$C$98,IF($M227="LD",DATOS!$C$103,IF($M227="OI",DATOS!$C$99,"")))</f>
        <v/>
      </c>
      <c r="Q227" s="80" t="str">
        <f>IF(OR($M227="",N($P227)=0),"",$O227/$P227)</f>
        <v/>
      </c>
      <c r="R227" s="78" t="str">
        <f>IF($M227="","",IF(AND($M227&lt;&gt;"LD",N(DATOS!$C$100)&lt;=0),"PENDIENTE: falta R'",IF($Q227&lt;=1,"CUMPLE","NO CUMPLE")))</f>
        <v/>
      </c>
    </row>
    <row r="228">
      <c r="B228" s="74" t="n"/>
      <c r="C228" s="74" t="n"/>
      <c r="D228" s="74" t="n"/>
      <c r="E228" s="74" t="n"/>
      <c r="F228" s="74" t="n"/>
      <c r="G228" s="75" t="n"/>
      <c r="H228" s="76" t="n"/>
      <c r="I228" s="77" t="n"/>
      <c r="J228" s="77" t="n"/>
      <c r="K228" s="77" t="n"/>
      <c r="M228" s="78" t="str">
        <f>IF($C228="","",IF(ISNUMBER(SEARCH(DATOS!$C$126,$C228)),"SV",IF(ISNUMBER(SEARCH(DATOS!$C$127,$C228)),"LD",IF(ISNUMBER(SEARCH(DATOS!$C$128,$C228)),"OI",""))))</f>
        <v/>
      </c>
      <c r="N228" s="78">
        <f>IF($M228="SV",DATOS!$C$101,IF($M228="LD",1,IF($M228="OI",DATOS!$C$100*DATOS!$C$89,0)))</f>
        <v>0</v>
      </c>
      <c r="O228" s="79">
        <f>IF($M228="",0,N($G228)*$N228)</f>
        <v>0</v>
      </c>
      <c r="P228" s="78" t="str">
        <f>IF($M228="SV",DATOS!$C$98,IF($M228="LD",DATOS!$C$103,IF($M228="OI",DATOS!$C$99,"")))</f>
        <v/>
      </c>
      <c r="Q228" s="80" t="str">
        <f>IF(OR($M228="",N($P228)=0),"",$O228/$P228)</f>
        <v/>
      </c>
      <c r="R228" s="78" t="str">
        <f>IF($M228="","",IF(AND($M228&lt;&gt;"LD",N(DATOS!$C$100)&lt;=0),"PENDIENTE: falta R'",IF($Q228&lt;=1,"CUMPLE","NO CUMPLE")))</f>
        <v/>
      </c>
    </row>
    <row r="229">
      <c r="B229" s="74" t="n"/>
      <c r="C229" s="74" t="n"/>
      <c r="D229" s="74" t="n"/>
      <c r="E229" s="74" t="n"/>
      <c r="F229" s="74" t="n"/>
      <c r="G229" s="75" t="n"/>
      <c r="H229" s="76" t="n"/>
      <c r="I229" s="77" t="n"/>
      <c r="J229" s="77" t="n"/>
      <c r="K229" s="77" t="n"/>
      <c r="M229" s="78" t="str">
        <f>IF($C229="","",IF(ISNUMBER(SEARCH(DATOS!$C$126,$C229)),"SV",IF(ISNUMBER(SEARCH(DATOS!$C$127,$C229)),"LD",IF(ISNUMBER(SEARCH(DATOS!$C$128,$C229)),"OI",""))))</f>
        <v/>
      </c>
      <c r="N229" s="78">
        <f>IF($M229="SV",DATOS!$C$101,IF($M229="LD",1,IF($M229="OI",DATOS!$C$100*DATOS!$C$89,0)))</f>
        <v>0</v>
      </c>
      <c r="O229" s="79">
        <f>IF($M229="",0,N($G229)*$N229)</f>
        <v>0</v>
      </c>
      <c r="P229" s="78" t="str">
        <f>IF($M229="SV",DATOS!$C$98,IF($M229="LD",DATOS!$C$103,IF($M229="OI",DATOS!$C$99,"")))</f>
        <v/>
      </c>
      <c r="Q229" s="80" t="str">
        <f>IF(OR($M229="",N($P229)=0),"",$O229/$P229)</f>
        <v/>
      </c>
      <c r="R229" s="78" t="str">
        <f>IF($M229="","",IF(AND($M229&lt;&gt;"LD",N(DATOS!$C$100)&lt;=0),"PENDIENTE: falta R'",IF($Q229&lt;=1,"CUMPLE","NO CUMPLE")))</f>
        <v/>
      </c>
    </row>
    <row r="230">
      <c r="B230" s="74" t="n"/>
      <c r="C230" s="74" t="n"/>
      <c r="D230" s="74" t="n"/>
      <c r="E230" s="74" t="n"/>
      <c r="F230" s="74" t="n"/>
      <c r="G230" s="75" t="n"/>
      <c r="H230" s="76" t="n"/>
      <c r="I230" s="77" t="n"/>
      <c r="J230" s="77" t="n"/>
      <c r="K230" s="77" t="n"/>
      <c r="M230" s="78" t="str">
        <f>IF($C230="","",IF(ISNUMBER(SEARCH(DATOS!$C$126,$C230)),"SV",IF(ISNUMBER(SEARCH(DATOS!$C$127,$C230)),"LD",IF(ISNUMBER(SEARCH(DATOS!$C$128,$C230)),"OI",""))))</f>
        <v/>
      </c>
      <c r="N230" s="78">
        <f>IF($M230="SV",DATOS!$C$101,IF($M230="LD",1,IF($M230="OI",DATOS!$C$100*DATOS!$C$89,0)))</f>
        <v>0</v>
      </c>
      <c r="O230" s="79">
        <f>IF($M230="",0,N($G230)*$N230)</f>
        <v>0</v>
      </c>
      <c r="P230" s="78" t="str">
        <f>IF($M230="SV",DATOS!$C$98,IF($M230="LD",DATOS!$C$103,IF($M230="OI",DATOS!$C$99,"")))</f>
        <v/>
      </c>
      <c r="Q230" s="80" t="str">
        <f>IF(OR($M230="",N($P230)=0),"",$O230/$P230)</f>
        <v/>
      </c>
      <c r="R230" s="78" t="str">
        <f>IF($M230="","",IF(AND($M230&lt;&gt;"LD",N(DATOS!$C$100)&lt;=0),"PENDIENTE: falta R'",IF($Q230&lt;=1,"CUMPLE","NO CUMPLE")))</f>
        <v/>
      </c>
    </row>
    <row r="231">
      <c r="B231" s="74" t="n"/>
      <c r="C231" s="74" t="n"/>
      <c r="D231" s="74" t="n"/>
      <c r="E231" s="74" t="n"/>
      <c r="F231" s="74" t="n"/>
      <c r="G231" s="75" t="n"/>
      <c r="H231" s="76" t="n"/>
      <c r="I231" s="77" t="n"/>
      <c r="J231" s="77" t="n"/>
      <c r="K231" s="77" t="n"/>
      <c r="M231" s="78" t="str">
        <f>IF($C231="","",IF(ISNUMBER(SEARCH(DATOS!$C$126,$C231)),"SV",IF(ISNUMBER(SEARCH(DATOS!$C$127,$C231)),"LD",IF(ISNUMBER(SEARCH(DATOS!$C$128,$C231)),"OI",""))))</f>
        <v/>
      </c>
      <c r="N231" s="78">
        <f>IF($M231="SV",DATOS!$C$101,IF($M231="LD",1,IF($M231="OI",DATOS!$C$100*DATOS!$C$89,0)))</f>
        <v>0</v>
      </c>
      <c r="O231" s="79">
        <f>IF($M231="",0,N($G231)*$N231)</f>
        <v>0</v>
      </c>
      <c r="P231" s="78" t="str">
        <f>IF($M231="SV",DATOS!$C$98,IF($M231="LD",DATOS!$C$103,IF($M231="OI",DATOS!$C$99,"")))</f>
        <v/>
      </c>
      <c r="Q231" s="80" t="str">
        <f>IF(OR($M231="",N($P231)=0),"",$O231/$P231)</f>
        <v/>
      </c>
      <c r="R231" s="78" t="str">
        <f>IF($M231="","",IF(AND($M231&lt;&gt;"LD",N(DATOS!$C$100)&lt;=0),"PENDIENTE: falta R'",IF($Q231&lt;=1,"CUMPLE","NO CUMPLE")))</f>
        <v/>
      </c>
    </row>
    <row r="232">
      <c r="B232" s="74" t="n"/>
      <c r="C232" s="74" t="n"/>
      <c r="D232" s="74" t="n"/>
      <c r="E232" s="74" t="n"/>
      <c r="F232" s="74" t="n"/>
      <c r="G232" s="75" t="n"/>
      <c r="H232" s="76" t="n"/>
      <c r="I232" s="77" t="n"/>
      <c r="J232" s="77" t="n"/>
      <c r="K232" s="77" t="n"/>
      <c r="M232" s="78" t="str">
        <f>IF($C232="","",IF(ISNUMBER(SEARCH(DATOS!$C$126,$C232)),"SV",IF(ISNUMBER(SEARCH(DATOS!$C$127,$C232)),"LD",IF(ISNUMBER(SEARCH(DATOS!$C$128,$C232)),"OI",""))))</f>
        <v/>
      </c>
      <c r="N232" s="78">
        <f>IF($M232="SV",DATOS!$C$101,IF($M232="LD",1,IF($M232="OI",DATOS!$C$100*DATOS!$C$89,0)))</f>
        <v>0</v>
      </c>
      <c r="O232" s="79">
        <f>IF($M232="",0,N($G232)*$N232)</f>
        <v>0</v>
      </c>
      <c r="P232" s="78" t="str">
        <f>IF($M232="SV",DATOS!$C$98,IF($M232="LD",DATOS!$C$103,IF($M232="OI",DATOS!$C$99,"")))</f>
        <v/>
      </c>
      <c r="Q232" s="80" t="str">
        <f>IF(OR($M232="",N($P232)=0),"",$O232/$P232)</f>
        <v/>
      </c>
      <c r="R232" s="78" t="str">
        <f>IF($M232="","",IF(AND($M232&lt;&gt;"LD",N(DATOS!$C$100)&lt;=0),"PENDIENTE: falta R'",IF($Q232&lt;=1,"CUMPLE","NO CUMPLE")))</f>
        <v/>
      </c>
    </row>
    <row r="233">
      <c r="B233" s="74" t="n"/>
      <c r="C233" s="74" t="n"/>
      <c r="D233" s="74" t="n"/>
      <c r="E233" s="74" t="n"/>
      <c r="F233" s="74" t="n"/>
      <c r="G233" s="75" t="n"/>
      <c r="H233" s="76" t="n"/>
      <c r="I233" s="77" t="n"/>
      <c r="J233" s="77" t="n"/>
      <c r="K233" s="77" t="n"/>
      <c r="M233" s="78" t="str">
        <f>IF($C233="","",IF(ISNUMBER(SEARCH(DATOS!$C$126,$C233)),"SV",IF(ISNUMBER(SEARCH(DATOS!$C$127,$C233)),"LD",IF(ISNUMBER(SEARCH(DATOS!$C$128,$C233)),"OI",""))))</f>
        <v/>
      </c>
      <c r="N233" s="78">
        <f>IF($M233="SV",DATOS!$C$101,IF($M233="LD",1,IF($M233="OI",DATOS!$C$100*DATOS!$C$89,0)))</f>
        <v>0</v>
      </c>
      <c r="O233" s="79">
        <f>IF($M233="",0,N($G233)*$N233)</f>
        <v>0</v>
      </c>
      <c r="P233" s="78" t="str">
        <f>IF($M233="SV",DATOS!$C$98,IF($M233="LD",DATOS!$C$103,IF($M233="OI",DATOS!$C$99,"")))</f>
        <v/>
      </c>
      <c r="Q233" s="80" t="str">
        <f>IF(OR($M233="",N($P233)=0),"",$O233/$P233)</f>
        <v/>
      </c>
      <c r="R233" s="78" t="str">
        <f>IF($M233="","",IF(AND($M233&lt;&gt;"LD",N(DATOS!$C$100)&lt;=0),"PENDIENTE: falta R'",IF($Q233&lt;=1,"CUMPLE","NO CUMPLE")))</f>
        <v/>
      </c>
    </row>
    <row r="234">
      <c r="B234" s="74" t="n"/>
      <c r="C234" s="74" t="n"/>
      <c r="D234" s="74" t="n"/>
      <c r="E234" s="74" t="n"/>
      <c r="F234" s="74" t="n"/>
      <c r="G234" s="75" t="n"/>
      <c r="H234" s="76" t="n"/>
      <c r="I234" s="77" t="n"/>
      <c r="J234" s="77" t="n"/>
      <c r="K234" s="77" t="n"/>
      <c r="M234" s="78" t="str">
        <f>IF($C234="","",IF(ISNUMBER(SEARCH(DATOS!$C$126,$C234)),"SV",IF(ISNUMBER(SEARCH(DATOS!$C$127,$C234)),"LD",IF(ISNUMBER(SEARCH(DATOS!$C$128,$C234)),"OI",""))))</f>
        <v/>
      </c>
      <c r="N234" s="78">
        <f>IF($M234="SV",DATOS!$C$101,IF($M234="LD",1,IF($M234="OI",DATOS!$C$100*DATOS!$C$89,0)))</f>
        <v>0</v>
      </c>
      <c r="O234" s="79">
        <f>IF($M234="",0,N($G234)*$N234)</f>
        <v>0</v>
      </c>
      <c r="P234" s="78" t="str">
        <f>IF($M234="SV",DATOS!$C$98,IF($M234="LD",DATOS!$C$103,IF($M234="OI",DATOS!$C$99,"")))</f>
        <v/>
      </c>
      <c r="Q234" s="80" t="str">
        <f>IF(OR($M234="",N($P234)=0),"",$O234/$P234)</f>
        <v/>
      </c>
      <c r="R234" s="78" t="str">
        <f>IF($M234="","",IF(AND($M234&lt;&gt;"LD",N(DATOS!$C$100)&lt;=0),"PENDIENTE: falta R'",IF($Q234&lt;=1,"CUMPLE","NO CUMPLE")))</f>
        <v/>
      </c>
    </row>
    <row r="235">
      <c r="B235" s="74" t="n"/>
      <c r="C235" s="74" t="n"/>
      <c r="D235" s="74" t="n"/>
      <c r="E235" s="74" t="n"/>
      <c r="F235" s="74" t="n"/>
      <c r="G235" s="75" t="n"/>
      <c r="H235" s="76" t="n"/>
      <c r="I235" s="77" t="n"/>
      <c r="J235" s="77" t="n"/>
      <c r="K235" s="77" t="n"/>
      <c r="M235" s="78" t="str">
        <f>IF($C235="","",IF(ISNUMBER(SEARCH(DATOS!$C$126,$C235)),"SV",IF(ISNUMBER(SEARCH(DATOS!$C$127,$C235)),"LD",IF(ISNUMBER(SEARCH(DATOS!$C$128,$C235)),"OI",""))))</f>
        <v/>
      </c>
      <c r="N235" s="78">
        <f>IF($M235="SV",DATOS!$C$101,IF($M235="LD",1,IF($M235="OI",DATOS!$C$100*DATOS!$C$89,0)))</f>
        <v>0</v>
      </c>
      <c r="O235" s="79">
        <f>IF($M235="",0,N($G235)*$N235)</f>
        <v>0</v>
      </c>
      <c r="P235" s="78" t="str">
        <f>IF($M235="SV",DATOS!$C$98,IF($M235="LD",DATOS!$C$103,IF($M235="OI",DATOS!$C$99,"")))</f>
        <v/>
      </c>
      <c r="Q235" s="80" t="str">
        <f>IF(OR($M235="",N($P235)=0),"",$O235/$P235)</f>
        <v/>
      </c>
      <c r="R235" s="78" t="str">
        <f>IF($M235="","",IF(AND($M235&lt;&gt;"LD",N(DATOS!$C$100)&lt;=0),"PENDIENTE: falta R'",IF($Q235&lt;=1,"CUMPLE","NO CUMPLE")))</f>
        <v/>
      </c>
    </row>
    <row r="236">
      <c r="B236" s="74" t="n"/>
      <c r="C236" s="74" t="n"/>
      <c r="D236" s="74" t="n"/>
      <c r="E236" s="74" t="n"/>
      <c r="F236" s="74" t="n"/>
      <c r="G236" s="75" t="n"/>
      <c r="H236" s="76" t="n"/>
      <c r="I236" s="77" t="n"/>
      <c r="J236" s="77" t="n"/>
      <c r="K236" s="77" t="n"/>
      <c r="M236" s="78" t="str">
        <f>IF($C236="","",IF(ISNUMBER(SEARCH(DATOS!$C$126,$C236)),"SV",IF(ISNUMBER(SEARCH(DATOS!$C$127,$C236)),"LD",IF(ISNUMBER(SEARCH(DATOS!$C$128,$C236)),"OI",""))))</f>
        <v/>
      </c>
      <c r="N236" s="78">
        <f>IF($M236="SV",DATOS!$C$101,IF($M236="LD",1,IF($M236="OI",DATOS!$C$100*DATOS!$C$89,0)))</f>
        <v>0</v>
      </c>
      <c r="O236" s="79">
        <f>IF($M236="",0,N($G236)*$N236)</f>
        <v>0</v>
      </c>
      <c r="P236" s="78" t="str">
        <f>IF($M236="SV",DATOS!$C$98,IF($M236="LD",DATOS!$C$103,IF($M236="OI",DATOS!$C$99,"")))</f>
        <v/>
      </c>
      <c r="Q236" s="80" t="str">
        <f>IF(OR($M236="",N($P236)=0),"",$O236/$P236)</f>
        <v/>
      </c>
      <c r="R236" s="78" t="str">
        <f>IF($M236="","",IF(AND($M236&lt;&gt;"LD",N(DATOS!$C$100)&lt;=0),"PENDIENTE: falta R'",IF($Q236&lt;=1,"CUMPLE","NO CUMPLE")))</f>
        <v/>
      </c>
    </row>
    <row r="237">
      <c r="B237" s="74" t="n"/>
      <c r="C237" s="74" t="n"/>
      <c r="D237" s="74" t="n"/>
      <c r="E237" s="74" t="n"/>
      <c r="F237" s="74" t="n"/>
      <c r="G237" s="75" t="n"/>
      <c r="H237" s="76" t="n"/>
      <c r="I237" s="77" t="n"/>
      <c r="J237" s="77" t="n"/>
      <c r="K237" s="77" t="n"/>
      <c r="M237" s="78" t="str">
        <f>IF($C237="","",IF(ISNUMBER(SEARCH(DATOS!$C$126,$C237)),"SV",IF(ISNUMBER(SEARCH(DATOS!$C$127,$C237)),"LD",IF(ISNUMBER(SEARCH(DATOS!$C$128,$C237)),"OI",""))))</f>
        <v/>
      </c>
      <c r="N237" s="78">
        <f>IF($M237="SV",DATOS!$C$101,IF($M237="LD",1,IF($M237="OI",DATOS!$C$100*DATOS!$C$89,0)))</f>
        <v>0</v>
      </c>
      <c r="O237" s="79">
        <f>IF($M237="",0,N($G237)*$N237)</f>
        <v>0</v>
      </c>
      <c r="P237" s="78" t="str">
        <f>IF($M237="SV",DATOS!$C$98,IF($M237="LD",DATOS!$C$103,IF($M237="OI",DATOS!$C$99,"")))</f>
        <v/>
      </c>
      <c r="Q237" s="80" t="str">
        <f>IF(OR($M237="",N($P237)=0),"",$O237/$P237)</f>
        <v/>
      </c>
      <c r="R237" s="78" t="str">
        <f>IF($M237="","",IF(AND($M237&lt;&gt;"LD",N(DATOS!$C$100)&lt;=0),"PENDIENTE: falta R'",IF($Q237&lt;=1,"CUMPLE","NO CUMPLE")))</f>
        <v/>
      </c>
    </row>
    <row r="238">
      <c r="B238" s="74" t="n"/>
      <c r="C238" s="74" t="n"/>
      <c r="D238" s="74" t="n"/>
      <c r="E238" s="74" t="n"/>
      <c r="F238" s="74" t="n"/>
      <c r="G238" s="75" t="n"/>
      <c r="H238" s="76" t="n"/>
      <c r="I238" s="77" t="n"/>
      <c r="J238" s="77" t="n"/>
      <c r="K238" s="77" t="n"/>
      <c r="M238" s="78" t="str">
        <f>IF($C238="","",IF(ISNUMBER(SEARCH(DATOS!$C$126,$C238)),"SV",IF(ISNUMBER(SEARCH(DATOS!$C$127,$C238)),"LD",IF(ISNUMBER(SEARCH(DATOS!$C$128,$C238)),"OI",""))))</f>
        <v/>
      </c>
      <c r="N238" s="78">
        <f>IF($M238="SV",DATOS!$C$101,IF($M238="LD",1,IF($M238="OI",DATOS!$C$100*DATOS!$C$89,0)))</f>
        <v>0</v>
      </c>
      <c r="O238" s="79">
        <f>IF($M238="",0,N($G238)*$N238)</f>
        <v>0</v>
      </c>
      <c r="P238" s="78" t="str">
        <f>IF($M238="SV",DATOS!$C$98,IF($M238="LD",DATOS!$C$103,IF($M238="OI",DATOS!$C$99,"")))</f>
        <v/>
      </c>
      <c r="Q238" s="80" t="str">
        <f>IF(OR($M238="",N($P238)=0),"",$O238/$P238)</f>
        <v/>
      </c>
      <c r="R238" s="78" t="str">
        <f>IF($M238="","",IF(AND($M238&lt;&gt;"LD",N(DATOS!$C$100)&lt;=0),"PENDIENTE: falta R'",IF($Q238&lt;=1,"CUMPLE","NO CUMPLE")))</f>
        <v/>
      </c>
    </row>
    <row r="239">
      <c r="B239" s="74" t="n"/>
      <c r="C239" s="74" t="n"/>
      <c r="D239" s="74" t="n"/>
      <c r="E239" s="74" t="n"/>
      <c r="F239" s="74" t="n"/>
      <c r="G239" s="75" t="n"/>
      <c r="H239" s="76" t="n"/>
      <c r="I239" s="77" t="n"/>
      <c r="J239" s="77" t="n"/>
      <c r="K239" s="77" t="n"/>
      <c r="M239" s="78" t="str">
        <f>IF($C239="","",IF(ISNUMBER(SEARCH(DATOS!$C$126,$C239)),"SV",IF(ISNUMBER(SEARCH(DATOS!$C$127,$C239)),"LD",IF(ISNUMBER(SEARCH(DATOS!$C$128,$C239)),"OI",""))))</f>
        <v/>
      </c>
      <c r="N239" s="78">
        <f>IF($M239="SV",DATOS!$C$101,IF($M239="LD",1,IF($M239="OI",DATOS!$C$100*DATOS!$C$89,0)))</f>
        <v>0</v>
      </c>
      <c r="O239" s="79">
        <f>IF($M239="",0,N($G239)*$N239)</f>
        <v>0</v>
      </c>
      <c r="P239" s="78" t="str">
        <f>IF($M239="SV",DATOS!$C$98,IF($M239="LD",DATOS!$C$103,IF($M239="OI",DATOS!$C$99,"")))</f>
        <v/>
      </c>
      <c r="Q239" s="80" t="str">
        <f>IF(OR($M239="",N($P239)=0),"",$O239/$P239)</f>
        <v/>
      </c>
      <c r="R239" s="78" t="str">
        <f>IF($M239="","",IF(AND($M239&lt;&gt;"LD",N(DATOS!$C$100)&lt;=0),"PENDIENTE: falta R'",IF($Q239&lt;=1,"CUMPLE","NO CUMPLE")))</f>
        <v/>
      </c>
    </row>
    <row r="240">
      <c r="B240" s="74" t="n"/>
      <c r="C240" s="74" t="n"/>
      <c r="D240" s="74" t="n"/>
      <c r="E240" s="74" t="n"/>
      <c r="F240" s="74" t="n"/>
      <c r="G240" s="75" t="n"/>
      <c r="H240" s="76" t="n"/>
      <c r="I240" s="77" t="n"/>
      <c r="J240" s="77" t="n"/>
      <c r="K240" s="77" t="n"/>
      <c r="M240" s="78" t="str">
        <f>IF($C240="","",IF(ISNUMBER(SEARCH(DATOS!$C$126,$C240)),"SV",IF(ISNUMBER(SEARCH(DATOS!$C$127,$C240)),"LD",IF(ISNUMBER(SEARCH(DATOS!$C$128,$C240)),"OI",""))))</f>
        <v/>
      </c>
      <c r="N240" s="78">
        <f>IF($M240="SV",DATOS!$C$101,IF($M240="LD",1,IF($M240="OI",DATOS!$C$100*DATOS!$C$89,0)))</f>
        <v>0</v>
      </c>
      <c r="O240" s="79">
        <f>IF($M240="",0,N($G240)*$N240)</f>
        <v>0</v>
      </c>
      <c r="P240" s="78" t="str">
        <f>IF($M240="SV",DATOS!$C$98,IF($M240="LD",DATOS!$C$103,IF($M240="OI",DATOS!$C$99,"")))</f>
        <v/>
      </c>
      <c r="Q240" s="80" t="str">
        <f>IF(OR($M240="",N($P240)=0),"",$O240/$P240)</f>
        <v/>
      </c>
      <c r="R240" s="78" t="str">
        <f>IF($M240="","",IF(AND($M240&lt;&gt;"LD",N(DATOS!$C$100)&lt;=0),"PENDIENTE: falta R'",IF($Q240&lt;=1,"CUMPLE","NO CUMPLE")))</f>
        <v/>
      </c>
    </row>
    <row r="241">
      <c r="B241" s="74" t="n"/>
      <c r="C241" s="74" t="n"/>
      <c r="D241" s="74" t="n"/>
      <c r="E241" s="74" t="n"/>
      <c r="F241" s="74" t="n"/>
      <c r="G241" s="75" t="n"/>
      <c r="H241" s="76" t="n"/>
      <c r="I241" s="77" t="n"/>
      <c r="J241" s="77" t="n"/>
      <c r="K241" s="77" t="n"/>
      <c r="M241" s="78" t="str">
        <f>IF($C241="","",IF(ISNUMBER(SEARCH(DATOS!$C$126,$C241)),"SV",IF(ISNUMBER(SEARCH(DATOS!$C$127,$C241)),"LD",IF(ISNUMBER(SEARCH(DATOS!$C$128,$C241)),"OI",""))))</f>
        <v/>
      </c>
      <c r="N241" s="78">
        <f>IF($M241="SV",DATOS!$C$101,IF($M241="LD",1,IF($M241="OI",DATOS!$C$100*DATOS!$C$89,0)))</f>
        <v>0</v>
      </c>
      <c r="O241" s="79">
        <f>IF($M241="",0,N($G241)*$N241)</f>
        <v>0</v>
      </c>
      <c r="P241" s="78" t="str">
        <f>IF($M241="SV",DATOS!$C$98,IF($M241="LD",DATOS!$C$103,IF($M241="OI",DATOS!$C$99,"")))</f>
        <v/>
      </c>
      <c r="Q241" s="80" t="str">
        <f>IF(OR($M241="",N($P241)=0),"",$O241/$P241)</f>
        <v/>
      </c>
      <c r="R241" s="78" t="str">
        <f>IF($M241="","",IF(AND($M241&lt;&gt;"LD",N(DATOS!$C$100)&lt;=0),"PENDIENTE: falta R'",IF($Q241&lt;=1,"CUMPLE","NO CUMPLE")))</f>
        <v/>
      </c>
    </row>
    <row r="242">
      <c r="B242" s="74" t="n"/>
      <c r="C242" s="74" t="n"/>
      <c r="D242" s="74" t="n"/>
      <c r="E242" s="74" t="n"/>
      <c r="F242" s="74" t="n"/>
      <c r="G242" s="75" t="n"/>
      <c r="H242" s="76" t="n"/>
      <c r="I242" s="77" t="n"/>
      <c r="J242" s="77" t="n"/>
      <c r="K242" s="77" t="n"/>
      <c r="M242" s="78" t="str">
        <f>IF($C242="","",IF(ISNUMBER(SEARCH(DATOS!$C$126,$C242)),"SV",IF(ISNUMBER(SEARCH(DATOS!$C$127,$C242)),"LD",IF(ISNUMBER(SEARCH(DATOS!$C$128,$C242)),"OI",""))))</f>
        <v/>
      </c>
      <c r="N242" s="78">
        <f>IF($M242="SV",DATOS!$C$101,IF($M242="LD",1,IF($M242="OI",DATOS!$C$100*DATOS!$C$89,0)))</f>
        <v>0</v>
      </c>
      <c r="O242" s="79">
        <f>IF($M242="",0,N($G242)*$N242)</f>
        <v>0</v>
      </c>
      <c r="P242" s="78" t="str">
        <f>IF($M242="SV",DATOS!$C$98,IF($M242="LD",DATOS!$C$103,IF($M242="OI",DATOS!$C$99,"")))</f>
        <v/>
      </c>
      <c r="Q242" s="80" t="str">
        <f>IF(OR($M242="",N($P242)=0),"",$O242/$P242)</f>
        <v/>
      </c>
      <c r="R242" s="78" t="str">
        <f>IF($M242="","",IF(AND($M242&lt;&gt;"LD",N(DATOS!$C$100)&lt;=0),"PENDIENTE: falta R'",IF($Q242&lt;=1,"CUMPLE","NO CUMPLE")))</f>
        <v/>
      </c>
    </row>
    <row r="243">
      <c r="B243" s="74" t="n"/>
      <c r="C243" s="74" t="n"/>
      <c r="D243" s="74" t="n"/>
      <c r="E243" s="74" t="n"/>
      <c r="F243" s="74" t="n"/>
      <c r="G243" s="75" t="n"/>
      <c r="H243" s="76" t="n"/>
      <c r="I243" s="77" t="n"/>
      <c r="J243" s="77" t="n"/>
      <c r="K243" s="77" t="n"/>
      <c r="M243" s="78" t="str">
        <f>IF($C243="","",IF(ISNUMBER(SEARCH(DATOS!$C$126,$C243)),"SV",IF(ISNUMBER(SEARCH(DATOS!$C$127,$C243)),"LD",IF(ISNUMBER(SEARCH(DATOS!$C$128,$C243)),"OI",""))))</f>
        <v/>
      </c>
      <c r="N243" s="78">
        <f>IF($M243="SV",DATOS!$C$101,IF($M243="LD",1,IF($M243="OI",DATOS!$C$100*DATOS!$C$89,0)))</f>
        <v>0</v>
      </c>
      <c r="O243" s="79">
        <f>IF($M243="",0,N($G243)*$N243)</f>
        <v>0</v>
      </c>
      <c r="P243" s="78" t="str">
        <f>IF($M243="SV",DATOS!$C$98,IF($M243="LD",DATOS!$C$103,IF($M243="OI",DATOS!$C$99,"")))</f>
        <v/>
      </c>
      <c r="Q243" s="80" t="str">
        <f>IF(OR($M243="",N($P243)=0),"",$O243/$P243)</f>
        <v/>
      </c>
      <c r="R243" s="78" t="str">
        <f>IF($M243="","",IF(AND($M243&lt;&gt;"LD",N(DATOS!$C$100)&lt;=0),"PENDIENTE: falta R'",IF($Q243&lt;=1,"CUMPLE","NO CUMPLE")))</f>
        <v/>
      </c>
    </row>
    <row r="244">
      <c r="B244" s="74" t="n"/>
      <c r="C244" s="74" t="n"/>
      <c r="D244" s="74" t="n"/>
      <c r="E244" s="74" t="n"/>
      <c r="F244" s="74" t="n"/>
      <c r="G244" s="75" t="n"/>
      <c r="H244" s="76" t="n"/>
      <c r="I244" s="77" t="n"/>
      <c r="J244" s="77" t="n"/>
      <c r="K244" s="77" t="n"/>
      <c r="M244" s="78" t="str">
        <f>IF($C244="","",IF(ISNUMBER(SEARCH(DATOS!$C$126,$C244)),"SV",IF(ISNUMBER(SEARCH(DATOS!$C$127,$C244)),"LD",IF(ISNUMBER(SEARCH(DATOS!$C$128,$C244)),"OI",""))))</f>
        <v/>
      </c>
      <c r="N244" s="78">
        <f>IF($M244="SV",DATOS!$C$101,IF($M244="LD",1,IF($M244="OI",DATOS!$C$100*DATOS!$C$89,0)))</f>
        <v>0</v>
      </c>
      <c r="O244" s="79">
        <f>IF($M244="",0,N($G244)*$N244)</f>
        <v>0</v>
      </c>
      <c r="P244" s="78" t="str">
        <f>IF($M244="SV",DATOS!$C$98,IF($M244="LD",DATOS!$C$103,IF($M244="OI",DATOS!$C$99,"")))</f>
        <v/>
      </c>
      <c r="Q244" s="80" t="str">
        <f>IF(OR($M244="",N($P244)=0),"",$O244/$P244)</f>
        <v/>
      </c>
      <c r="R244" s="78" t="str">
        <f>IF($M244="","",IF(AND($M244&lt;&gt;"LD",N(DATOS!$C$100)&lt;=0),"PENDIENTE: falta R'",IF($Q244&lt;=1,"CUMPLE","NO CUMPLE")))</f>
        <v/>
      </c>
    </row>
    <row r="245">
      <c r="B245" s="74" t="n"/>
      <c r="C245" s="74" t="n"/>
      <c r="D245" s="74" t="n"/>
      <c r="E245" s="74" t="n"/>
      <c r="F245" s="74" t="n"/>
      <c r="G245" s="75" t="n"/>
      <c r="H245" s="76" t="n"/>
      <c r="I245" s="77" t="n"/>
      <c r="J245" s="77" t="n"/>
      <c r="K245" s="77" t="n"/>
      <c r="M245" s="78" t="str">
        <f>IF($C245="","",IF(ISNUMBER(SEARCH(DATOS!$C$126,$C245)),"SV",IF(ISNUMBER(SEARCH(DATOS!$C$127,$C245)),"LD",IF(ISNUMBER(SEARCH(DATOS!$C$128,$C245)),"OI",""))))</f>
        <v/>
      </c>
      <c r="N245" s="78">
        <f>IF($M245="SV",DATOS!$C$101,IF($M245="LD",1,IF($M245="OI",DATOS!$C$100*DATOS!$C$89,0)))</f>
        <v>0</v>
      </c>
      <c r="O245" s="79">
        <f>IF($M245="",0,N($G245)*$N245)</f>
        <v>0</v>
      </c>
      <c r="P245" s="78" t="str">
        <f>IF($M245="SV",DATOS!$C$98,IF($M245="LD",DATOS!$C$103,IF($M245="OI",DATOS!$C$99,"")))</f>
        <v/>
      </c>
      <c r="Q245" s="80" t="str">
        <f>IF(OR($M245="",N($P245)=0),"",$O245/$P245)</f>
        <v/>
      </c>
      <c r="R245" s="78" t="str">
        <f>IF($M245="","",IF(AND($M245&lt;&gt;"LD",N(DATOS!$C$100)&lt;=0),"PENDIENTE: falta R'",IF($Q245&lt;=1,"CUMPLE","NO CUMPLE")))</f>
        <v/>
      </c>
    </row>
    <row r="246">
      <c r="B246" s="74" t="n"/>
      <c r="C246" s="74" t="n"/>
      <c r="D246" s="74" t="n"/>
      <c r="E246" s="74" t="n"/>
      <c r="F246" s="74" t="n"/>
      <c r="G246" s="75" t="n"/>
      <c r="H246" s="76" t="n"/>
      <c r="I246" s="77" t="n"/>
      <c r="J246" s="77" t="n"/>
      <c r="K246" s="77" t="n"/>
      <c r="M246" s="78" t="str">
        <f>IF($C246="","",IF(ISNUMBER(SEARCH(DATOS!$C$126,$C246)),"SV",IF(ISNUMBER(SEARCH(DATOS!$C$127,$C246)),"LD",IF(ISNUMBER(SEARCH(DATOS!$C$128,$C246)),"OI",""))))</f>
        <v/>
      </c>
      <c r="N246" s="78">
        <f>IF($M246="SV",DATOS!$C$101,IF($M246="LD",1,IF($M246="OI",DATOS!$C$100*DATOS!$C$89,0)))</f>
        <v>0</v>
      </c>
      <c r="O246" s="79">
        <f>IF($M246="",0,N($G246)*$N246)</f>
        <v>0</v>
      </c>
      <c r="P246" s="78" t="str">
        <f>IF($M246="SV",DATOS!$C$98,IF($M246="LD",DATOS!$C$103,IF($M246="OI",DATOS!$C$99,"")))</f>
        <v/>
      </c>
      <c r="Q246" s="80" t="str">
        <f>IF(OR($M246="",N($P246)=0),"",$O246/$P246)</f>
        <v/>
      </c>
      <c r="R246" s="78" t="str">
        <f>IF($M246="","",IF(AND($M246&lt;&gt;"LD",N(DATOS!$C$100)&lt;=0),"PENDIENTE: falta R'",IF($Q246&lt;=1,"CUMPLE","NO CUMPLE")))</f>
        <v/>
      </c>
    </row>
    <row r="247">
      <c r="B247" s="74" t="n"/>
      <c r="C247" s="74" t="n"/>
      <c r="D247" s="74" t="n"/>
      <c r="E247" s="74" t="n"/>
      <c r="F247" s="74" t="n"/>
      <c r="G247" s="75" t="n"/>
      <c r="H247" s="76" t="n"/>
      <c r="I247" s="77" t="n"/>
      <c r="J247" s="77" t="n"/>
      <c r="K247" s="77" t="n"/>
      <c r="M247" s="78" t="str">
        <f>IF($C247="","",IF(ISNUMBER(SEARCH(DATOS!$C$126,$C247)),"SV",IF(ISNUMBER(SEARCH(DATOS!$C$127,$C247)),"LD",IF(ISNUMBER(SEARCH(DATOS!$C$128,$C247)),"OI",""))))</f>
        <v/>
      </c>
      <c r="N247" s="78">
        <f>IF($M247="SV",DATOS!$C$101,IF($M247="LD",1,IF($M247="OI",DATOS!$C$100*DATOS!$C$89,0)))</f>
        <v>0</v>
      </c>
      <c r="O247" s="79">
        <f>IF($M247="",0,N($G247)*$N247)</f>
        <v>0</v>
      </c>
      <c r="P247" s="78" t="str">
        <f>IF($M247="SV",DATOS!$C$98,IF($M247="LD",DATOS!$C$103,IF($M247="OI",DATOS!$C$99,"")))</f>
        <v/>
      </c>
      <c r="Q247" s="80" t="str">
        <f>IF(OR($M247="",N($P247)=0),"",$O247/$P247)</f>
        <v/>
      </c>
      <c r="R247" s="78" t="str">
        <f>IF($M247="","",IF(AND($M247&lt;&gt;"LD",N(DATOS!$C$100)&lt;=0),"PENDIENTE: falta R'",IF($Q247&lt;=1,"CUMPLE","NO CUMPLE")))</f>
        <v/>
      </c>
    </row>
    <row r="248">
      <c r="B248" s="74" t="n"/>
      <c r="C248" s="74" t="n"/>
      <c r="D248" s="74" t="n"/>
      <c r="E248" s="74" t="n"/>
      <c r="F248" s="74" t="n"/>
      <c r="G248" s="75" t="n"/>
      <c r="H248" s="76" t="n"/>
      <c r="I248" s="77" t="n"/>
      <c r="J248" s="77" t="n"/>
      <c r="K248" s="77" t="n"/>
      <c r="M248" s="78" t="str">
        <f>IF($C248="","",IF(ISNUMBER(SEARCH(DATOS!$C$126,$C248)),"SV",IF(ISNUMBER(SEARCH(DATOS!$C$127,$C248)),"LD",IF(ISNUMBER(SEARCH(DATOS!$C$128,$C248)),"OI",""))))</f>
        <v/>
      </c>
      <c r="N248" s="78">
        <f>IF($M248="SV",DATOS!$C$101,IF($M248="LD",1,IF($M248="OI",DATOS!$C$100*DATOS!$C$89,0)))</f>
        <v>0</v>
      </c>
      <c r="O248" s="79">
        <f>IF($M248="",0,N($G248)*$N248)</f>
        <v>0</v>
      </c>
      <c r="P248" s="78" t="str">
        <f>IF($M248="SV",DATOS!$C$98,IF($M248="LD",DATOS!$C$103,IF($M248="OI",DATOS!$C$99,"")))</f>
        <v/>
      </c>
      <c r="Q248" s="80" t="str">
        <f>IF(OR($M248="",N($P248)=0),"",$O248/$P248)</f>
        <v/>
      </c>
      <c r="R248" s="78" t="str">
        <f>IF($M248="","",IF(AND($M248&lt;&gt;"LD",N(DATOS!$C$100)&lt;=0),"PENDIENTE: falta R'",IF($Q248&lt;=1,"CUMPLE","NO CUMPLE")))</f>
        <v/>
      </c>
    </row>
    <row r="249">
      <c r="B249" s="74" t="n"/>
      <c r="C249" s="74" t="n"/>
      <c r="D249" s="74" t="n"/>
      <c r="E249" s="74" t="n"/>
      <c r="F249" s="74" t="n"/>
      <c r="G249" s="75" t="n"/>
      <c r="H249" s="76" t="n"/>
      <c r="I249" s="77" t="n"/>
      <c r="J249" s="77" t="n"/>
      <c r="K249" s="77" t="n"/>
      <c r="M249" s="78" t="str">
        <f>IF($C249="","",IF(ISNUMBER(SEARCH(DATOS!$C$126,$C249)),"SV",IF(ISNUMBER(SEARCH(DATOS!$C$127,$C249)),"LD",IF(ISNUMBER(SEARCH(DATOS!$C$128,$C249)),"OI",""))))</f>
        <v/>
      </c>
      <c r="N249" s="78">
        <f>IF($M249="SV",DATOS!$C$101,IF($M249="LD",1,IF($M249="OI",DATOS!$C$100*DATOS!$C$89,0)))</f>
        <v>0</v>
      </c>
      <c r="O249" s="79">
        <f>IF($M249="",0,N($G249)*$N249)</f>
        <v>0</v>
      </c>
      <c r="P249" s="78" t="str">
        <f>IF($M249="SV",DATOS!$C$98,IF($M249="LD",DATOS!$C$103,IF($M249="OI",DATOS!$C$99,"")))</f>
        <v/>
      </c>
      <c r="Q249" s="80" t="str">
        <f>IF(OR($M249="",N($P249)=0),"",$O249/$P249)</f>
        <v/>
      </c>
      <c r="R249" s="78" t="str">
        <f>IF($M249="","",IF(AND($M249&lt;&gt;"LD",N(DATOS!$C$100)&lt;=0),"PENDIENTE: falta R'",IF($Q249&lt;=1,"CUMPLE","NO CUMPLE")))</f>
        <v/>
      </c>
    </row>
    <row r="250">
      <c r="B250" s="74" t="n"/>
      <c r="C250" s="74" t="n"/>
      <c r="D250" s="74" t="n"/>
      <c r="E250" s="74" t="n"/>
      <c r="F250" s="74" t="n"/>
      <c r="G250" s="75" t="n"/>
      <c r="H250" s="76" t="n"/>
      <c r="I250" s="77" t="n"/>
      <c r="J250" s="77" t="n"/>
      <c r="K250" s="77" t="n"/>
      <c r="M250" s="78" t="str">
        <f>IF($C250="","",IF(ISNUMBER(SEARCH(DATOS!$C$126,$C250)),"SV",IF(ISNUMBER(SEARCH(DATOS!$C$127,$C250)),"LD",IF(ISNUMBER(SEARCH(DATOS!$C$128,$C250)),"OI",""))))</f>
        <v/>
      </c>
      <c r="N250" s="78">
        <f>IF($M250="SV",DATOS!$C$101,IF($M250="LD",1,IF($M250="OI",DATOS!$C$100*DATOS!$C$89,0)))</f>
        <v>0</v>
      </c>
      <c r="O250" s="79">
        <f>IF($M250="",0,N($G250)*$N250)</f>
        <v>0</v>
      </c>
      <c r="P250" s="78" t="str">
        <f>IF($M250="SV",DATOS!$C$98,IF($M250="LD",DATOS!$C$103,IF($M250="OI",DATOS!$C$99,"")))</f>
        <v/>
      </c>
      <c r="Q250" s="80" t="str">
        <f>IF(OR($M250="",N($P250)=0),"",$O250/$P250)</f>
        <v/>
      </c>
      <c r="R250" s="78" t="str">
        <f>IF($M250="","",IF(AND($M250&lt;&gt;"LD",N(DATOS!$C$100)&lt;=0),"PENDIENTE: falta R'",IF($Q250&lt;=1,"CUMPLE","NO CUMPLE")))</f>
        <v/>
      </c>
    </row>
    <row r="251">
      <c r="B251" s="74" t="n"/>
      <c r="C251" s="74" t="n"/>
      <c r="D251" s="74" t="n"/>
      <c r="E251" s="74" t="n"/>
      <c r="F251" s="74" t="n"/>
      <c r="G251" s="75" t="n"/>
      <c r="H251" s="76" t="n"/>
      <c r="I251" s="77" t="n"/>
      <c r="J251" s="77" t="n"/>
      <c r="K251" s="77" t="n"/>
      <c r="M251" s="78" t="str">
        <f>IF($C251="","",IF(ISNUMBER(SEARCH(DATOS!$C$126,$C251)),"SV",IF(ISNUMBER(SEARCH(DATOS!$C$127,$C251)),"LD",IF(ISNUMBER(SEARCH(DATOS!$C$128,$C251)),"OI",""))))</f>
        <v/>
      </c>
      <c r="N251" s="78">
        <f>IF($M251="SV",DATOS!$C$101,IF($M251="LD",1,IF($M251="OI",DATOS!$C$100*DATOS!$C$89,0)))</f>
        <v>0</v>
      </c>
      <c r="O251" s="79">
        <f>IF($M251="",0,N($G251)*$N251)</f>
        <v>0</v>
      </c>
      <c r="P251" s="78" t="str">
        <f>IF($M251="SV",DATOS!$C$98,IF($M251="LD",DATOS!$C$103,IF($M251="OI",DATOS!$C$99,"")))</f>
        <v/>
      </c>
      <c r="Q251" s="80" t="str">
        <f>IF(OR($M251="",N($P251)=0),"",$O251/$P251)</f>
        <v/>
      </c>
      <c r="R251" s="78" t="str">
        <f>IF($M251="","",IF(AND($M251&lt;&gt;"LD",N(DATOS!$C$100)&lt;=0),"PENDIENTE: falta R'",IF($Q251&lt;=1,"CUMPLE","NO CUMPLE")))</f>
        <v/>
      </c>
    </row>
    <row r="252">
      <c r="B252" s="74" t="n"/>
      <c r="C252" s="74" t="n"/>
      <c r="D252" s="74" t="n"/>
      <c r="E252" s="74" t="n"/>
      <c r="F252" s="74" t="n"/>
      <c r="G252" s="75" t="n"/>
      <c r="H252" s="76" t="n"/>
      <c r="I252" s="77" t="n"/>
      <c r="J252" s="77" t="n"/>
      <c r="K252" s="77" t="n"/>
      <c r="M252" s="78" t="str">
        <f>IF($C252="","",IF(ISNUMBER(SEARCH(DATOS!$C$126,$C252)),"SV",IF(ISNUMBER(SEARCH(DATOS!$C$127,$C252)),"LD",IF(ISNUMBER(SEARCH(DATOS!$C$128,$C252)),"OI",""))))</f>
        <v/>
      </c>
      <c r="N252" s="78">
        <f>IF($M252="SV",DATOS!$C$101,IF($M252="LD",1,IF($M252="OI",DATOS!$C$100*DATOS!$C$89,0)))</f>
        <v>0</v>
      </c>
      <c r="O252" s="79">
        <f>IF($M252="",0,N($G252)*$N252)</f>
        <v>0</v>
      </c>
      <c r="P252" s="78" t="str">
        <f>IF($M252="SV",DATOS!$C$98,IF($M252="LD",DATOS!$C$103,IF($M252="OI",DATOS!$C$99,"")))</f>
        <v/>
      </c>
      <c r="Q252" s="80" t="str">
        <f>IF(OR($M252="",N($P252)=0),"",$O252/$P252)</f>
        <v/>
      </c>
      <c r="R252" s="78" t="str">
        <f>IF($M252="","",IF(AND($M252&lt;&gt;"LD",N(DATOS!$C$100)&lt;=0),"PENDIENTE: falta R'",IF($Q252&lt;=1,"CUMPLE","NO CUMPLE")))</f>
        <v/>
      </c>
    </row>
    <row r="253">
      <c r="B253" s="74" t="n"/>
      <c r="C253" s="74" t="n"/>
      <c r="D253" s="74" t="n"/>
      <c r="E253" s="74" t="n"/>
      <c r="F253" s="74" t="n"/>
      <c r="G253" s="75" t="n"/>
      <c r="H253" s="76" t="n"/>
      <c r="I253" s="77" t="n"/>
      <c r="J253" s="77" t="n"/>
      <c r="K253" s="77" t="n"/>
      <c r="M253" s="78" t="str">
        <f>IF($C253="","",IF(ISNUMBER(SEARCH(DATOS!$C$126,$C253)),"SV",IF(ISNUMBER(SEARCH(DATOS!$C$127,$C253)),"LD",IF(ISNUMBER(SEARCH(DATOS!$C$128,$C253)),"OI",""))))</f>
        <v/>
      </c>
      <c r="N253" s="78">
        <f>IF($M253="SV",DATOS!$C$101,IF($M253="LD",1,IF($M253="OI",DATOS!$C$100*DATOS!$C$89,0)))</f>
        <v>0</v>
      </c>
      <c r="O253" s="79">
        <f>IF($M253="",0,N($G253)*$N253)</f>
        <v>0</v>
      </c>
      <c r="P253" s="78" t="str">
        <f>IF($M253="SV",DATOS!$C$98,IF($M253="LD",DATOS!$C$103,IF($M253="OI",DATOS!$C$99,"")))</f>
        <v/>
      </c>
      <c r="Q253" s="80" t="str">
        <f>IF(OR($M253="",N($P253)=0),"",$O253/$P253)</f>
        <v/>
      </c>
      <c r="R253" s="78" t="str">
        <f>IF($M253="","",IF(AND($M253&lt;&gt;"LD",N(DATOS!$C$100)&lt;=0),"PENDIENTE: falta R'",IF($Q253&lt;=1,"CUMPLE","NO CUMPLE")))</f>
        <v/>
      </c>
    </row>
    <row r="254">
      <c r="B254" s="74" t="n"/>
      <c r="C254" s="74" t="n"/>
      <c r="D254" s="74" t="n"/>
      <c r="E254" s="74" t="n"/>
      <c r="F254" s="74" t="n"/>
      <c r="G254" s="75" t="n"/>
      <c r="H254" s="76" t="n"/>
      <c r="I254" s="77" t="n"/>
      <c r="J254" s="77" t="n"/>
      <c r="K254" s="77" t="n"/>
      <c r="M254" s="78" t="str">
        <f>IF($C254="","",IF(ISNUMBER(SEARCH(DATOS!$C$126,$C254)),"SV",IF(ISNUMBER(SEARCH(DATOS!$C$127,$C254)),"LD",IF(ISNUMBER(SEARCH(DATOS!$C$128,$C254)),"OI",""))))</f>
        <v/>
      </c>
      <c r="N254" s="78">
        <f>IF($M254="SV",DATOS!$C$101,IF($M254="LD",1,IF($M254="OI",DATOS!$C$100*DATOS!$C$89,0)))</f>
        <v>0</v>
      </c>
      <c r="O254" s="79">
        <f>IF($M254="",0,N($G254)*$N254)</f>
        <v>0</v>
      </c>
      <c r="P254" s="78" t="str">
        <f>IF($M254="SV",DATOS!$C$98,IF($M254="LD",DATOS!$C$103,IF($M254="OI",DATOS!$C$99,"")))</f>
        <v/>
      </c>
      <c r="Q254" s="80" t="str">
        <f>IF(OR($M254="",N($P254)=0),"",$O254/$P254)</f>
        <v/>
      </c>
      <c r="R254" s="78" t="str">
        <f>IF($M254="","",IF(AND($M254&lt;&gt;"LD",N(DATOS!$C$100)&lt;=0),"PENDIENTE: falta R'",IF($Q254&lt;=1,"CUMPLE","NO CUMPLE")))</f>
        <v/>
      </c>
    </row>
    <row r="255">
      <c r="B255" s="74" t="n"/>
      <c r="C255" s="74" t="n"/>
      <c r="D255" s="74" t="n"/>
      <c r="E255" s="74" t="n"/>
      <c r="F255" s="74" t="n"/>
      <c r="G255" s="75" t="n"/>
      <c r="H255" s="76" t="n"/>
      <c r="I255" s="77" t="n"/>
      <c r="J255" s="77" t="n"/>
      <c r="K255" s="77" t="n"/>
      <c r="M255" s="78" t="str">
        <f>IF($C255="","",IF(ISNUMBER(SEARCH(DATOS!$C$126,$C255)),"SV",IF(ISNUMBER(SEARCH(DATOS!$C$127,$C255)),"LD",IF(ISNUMBER(SEARCH(DATOS!$C$128,$C255)),"OI",""))))</f>
        <v/>
      </c>
      <c r="N255" s="78">
        <f>IF($M255="SV",DATOS!$C$101,IF($M255="LD",1,IF($M255="OI",DATOS!$C$100*DATOS!$C$89,0)))</f>
        <v>0</v>
      </c>
      <c r="O255" s="79">
        <f>IF($M255="",0,N($G255)*$N255)</f>
        <v>0</v>
      </c>
      <c r="P255" s="78" t="str">
        <f>IF($M255="SV",DATOS!$C$98,IF($M255="LD",DATOS!$C$103,IF($M255="OI",DATOS!$C$99,"")))</f>
        <v/>
      </c>
      <c r="Q255" s="80" t="str">
        <f>IF(OR($M255="",N($P255)=0),"",$O255/$P255)</f>
        <v/>
      </c>
      <c r="R255" s="78" t="str">
        <f>IF($M255="","",IF(AND($M255&lt;&gt;"LD",N(DATOS!$C$100)&lt;=0),"PENDIENTE: falta R'",IF($Q255&lt;=1,"CUMPLE","NO CUMPLE")))</f>
        <v/>
      </c>
    </row>
    <row r="256">
      <c r="B256" s="74" t="n"/>
      <c r="C256" s="74" t="n"/>
      <c r="D256" s="74" t="n"/>
      <c r="E256" s="74" t="n"/>
      <c r="F256" s="74" t="n"/>
      <c r="G256" s="75" t="n"/>
      <c r="H256" s="76" t="n"/>
      <c r="I256" s="77" t="n"/>
      <c r="J256" s="77" t="n"/>
      <c r="K256" s="77" t="n"/>
      <c r="M256" s="78" t="str">
        <f>IF($C256="","",IF(ISNUMBER(SEARCH(DATOS!$C$126,$C256)),"SV",IF(ISNUMBER(SEARCH(DATOS!$C$127,$C256)),"LD",IF(ISNUMBER(SEARCH(DATOS!$C$128,$C256)),"OI",""))))</f>
        <v/>
      </c>
      <c r="N256" s="78">
        <f>IF($M256="SV",DATOS!$C$101,IF($M256="LD",1,IF($M256="OI",DATOS!$C$100*DATOS!$C$89,0)))</f>
        <v>0</v>
      </c>
      <c r="O256" s="79">
        <f>IF($M256="",0,N($G256)*$N256)</f>
        <v>0</v>
      </c>
      <c r="P256" s="78" t="str">
        <f>IF($M256="SV",DATOS!$C$98,IF($M256="LD",DATOS!$C$103,IF($M256="OI",DATOS!$C$99,"")))</f>
        <v/>
      </c>
      <c r="Q256" s="80" t="str">
        <f>IF(OR($M256="",N($P256)=0),"",$O256/$P256)</f>
        <v/>
      </c>
      <c r="R256" s="78" t="str">
        <f>IF($M256="","",IF(AND($M256&lt;&gt;"LD",N(DATOS!$C$100)&lt;=0),"PENDIENTE: falta R'",IF($Q256&lt;=1,"CUMPLE","NO CUMPLE")))</f>
        <v/>
      </c>
    </row>
    <row r="257">
      <c r="B257" s="74" t="n"/>
      <c r="C257" s="74" t="n"/>
      <c r="D257" s="74" t="n"/>
      <c r="E257" s="74" t="n"/>
      <c r="F257" s="74" t="n"/>
      <c r="G257" s="75" t="n"/>
      <c r="H257" s="76" t="n"/>
      <c r="I257" s="77" t="n"/>
      <c r="J257" s="77" t="n"/>
      <c r="K257" s="77" t="n"/>
      <c r="M257" s="78" t="str">
        <f>IF($C257="","",IF(ISNUMBER(SEARCH(DATOS!$C$126,$C257)),"SV",IF(ISNUMBER(SEARCH(DATOS!$C$127,$C257)),"LD",IF(ISNUMBER(SEARCH(DATOS!$C$128,$C257)),"OI",""))))</f>
        <v/>
      </c>
      <c r="N257" s="78">
        <f>IF($M257="SV",DATOS!$C$101,IF($M257="LD",1,IF($M257="OI",DATOS!$C$100*DATOS!$C$89,0)))</f>
        <v>0</v>
      </c>
      <c r="O257" s="79">
        <f>IF($M257="",0,N($G257)*$N257)</f>
        <v>0</v>
      </c>
      <c r="P257" s="78" t="str">
        <f>IF($M257="SV",DATOS!$C$98,IF($M257="LD",DATOS!$C$103,IF($M257="OI",DATOS!$C$99,"")))</f>
        <v/>
      </c>
      <c r="Q257" s="80" t="str">
        <f>IF(OR($M257="",N($P257)=0),"",$O257/$P257)</f>
        <v/>
      </c>
      <c r="R257" s="78" t="str">
        <f>IF($M257="","",IF(AND($M257&lt;&gt;"LD",N(DATOS!$C$100)&lt;=0),"PENDIENTE: falta R'",IF($Q257&lt;=1,"CUMPLE","NO CUMPLE")))</f>
        <v/>
      </c>
    </row>
    <row r="258">
      <c r="B258" s="74" t="n"/>
      <c r="C258" s="74" t="n"/>
      <c r="D258" s="74" t="n"/>
      <c r="E258" s="74" t="n"/>
      <c r="F258" s="74" t="n"/>
      <c r="G258" s="75" t="n"/>
      <c r="H258" s="76" t="n"/>
      <c r="I258" s="77" t="n"/>
      <c r="J258" s="77" t="n"/>
      <c r="K258" s="77" t="n"/>
      <c r="M258" s="78" t="str">
        <f>IF($C258="","",IF(ISNUMBER(SEARCH(DATOS!$C$126,$C258)),"SV",IF(ISNUMBER(SEARCH(DATOS!$C$127,$C258)),"LD",IF(ISNUMBER(SEARCH(DATOS!$C$128,$C258)),"OI",""))))</f>
        <v/>
      </c>
      <c r="N258" s="78">
        <f>IF($M258="SV",DATOS!$C$101,IF($M258="LD",1,IF($M258="OI",DATOS!$C$100*DATOS!$C$89,0)))</f>
        <v>0</v>
      </c>
      <c r="O258" s="79">
        <f>IF($M258="",0,N($G258)*$N258)</f>
        <v>0</v>
      </c>
      <c r="P258" s="78" t="str">
        <f>IF($M258="SV",DATOS!$C$98,IF($M258="LD",DATOS!$C$103,IF($M258="OI",DATOS!$C$99,"")))</f>
        <v/>
      </c>
      <c r="Q258" s="80" t="str">
        <f>IF(OR($M258="",N($P258)=0),"",$O258/$P258)</f>
        <v/>
      </c>
      <c r="R258" s="78" t="str">
        <f>IF($M258="","",IF(AND($M258&lt;&gt;"LD",N(DATOS!$C$100)&lt;=0),"PENDIENTE: falta R'",IF($Q258&lt;=1,"CUMPLE","NO CUMPLE")))</f>
        <v/>
      </c>
    </row>
    <row r="259">
      <c r="B259" s="74" t="n"/>
      <c r="C259" s="74" t="n"/>
      <c r="D259" s="74" t="n"/>
      <c r="E259" s="74" t="n"/>
      <c r="F259" s="74" t="n"/>
      <c r="G259" s="75" t="n"/>
      <c r="H259" s="76" t="n"/>
      <c r="I259" s="77" t="n"/>
      <c r="J259" s="77" t="n"/>
      <c r="K259" s="77" t="n"/>
      <c r="M259" s="78" t="str">
        <f>IF($C259="","",IF(ISNUMBER(SEARCH(DATOS!$C$126,$C259)),"SV",IF(ISNUMBER(SEARCH(DATOS!$C$127,$C259)),"LD",IF(ISNUMBER(SEARCH(DATOS!$C$128,$C259)),"OI",""))))</f>
        <v/>
      </c>
      <c r="N259" s="78">
        <f>IF($M259="SV",DATOS!$C$101,IF($M259="LD",1,IF($M259="OI",DATOS!$C$100*DATOS!$C$89,0)))</f>
        <v>0</v>
      </c>
      <c r="O259" s="79">
        <f>IF($M259="",0,N($G259)*$N259)</f>
        <v>0</v>
      </c>
      <c r="P259" s="78" t="str">
        <f>IF($M259="SV",DATOS!$C$98,IF($M259="LD",DATOS!$C$103,IF($M259="OI",DATOS!$C$99,"")))</f>
        <v/>
      </c>
      <c r="Q259" s="80" t="str">
        <f>IF(OR($M259="",N($P259)=0),"",$O259/$P259)</f>
        <v/>
      </c>
      <c r="R259" s="78" t="str">
        <f>IF($M259="","",IF(AND($M259&lt;&gt;"LD",N(DATOS!$C$100)&lt;=0),"PENDIENTE: falta R'",IF($Q259&lt;=1,"CUMPLE","NO CUMPLE")))</f>
        <v/>
      </c>
    </row>
    <row r="260">
      <c r="B260" s="74" t="n"/>
      <c r="C260" s="74" t="n"/>
      <c r="D260" s="74" t="n"/>
      <c r="E260" s="74" t="n"/>
      <c r="F260" s="74" t="n"/>
      <c r="G260" s="75" t="n"/>
      <c r="H260" s="76" t="n"/>
      <c r="I260" s="77" t="n"/>
      <c r="J260" s="77" t="n"/>
      <c r="K260" s="77" t="n"/>
      <c r="M260" s="78" t="str">
        <f>IF($C260="","",IF(ISNUMBER(SEARCH(DATOS!$C$126,$C260)),"SV",IF(ISNUMBER(SEARCH(DATOS!$C$127,$C260)),"LD",IF(ISNUMBER(SEARCH(DATOS!$C$128,$C260)),"OI",""))))</f>
        <v/>
      </c>
      <c r="N260" s="78">
        <f>IF($M260="SV",DATOS!$C$101,IF($M260="LD",1,IF($M260="OI",DATOS!$C$100*DATOS!$C$89,0)))</f>
        <v>0</v>
      </c>
      <c r="O260" s="79">
        <f>IF($M260="",0,N($G260)*$N260)</f>
        <v>0</v>
      </c>
      <c r="P260" s="78" t="str">
        <f>IF($M260="SV",DATOS!$C$98,IF($M260="LD",DATOS!$C$103,IF($M260="OI",DATOS!$C$99,"")))</f>
        <v/>
      </c>
      <c r="Q260" s="80" t="str">
        <f>IF(OR($M260="",N($P260)=0),"",$O260/$P260)</f>
        <v/>
      </c>
      <c r="R260" s="78" t="str">
        <f>IF($M260="","",IF(AND($M260&lt;&gt;"LD",N(DATOS!$C$100)&lt;=0),"PENDIENTE: falta R'",IF($Q260&lt;=1,"CUMPLE","NO CUMPLE")))</f>
        <v/>
      </c>
    </row>
    <row r="261">
      <c r="B261" s="74" t="n"/>
      <c r="C261" s="74" t="n"/>
      <c r="D261" s="74" t="n"/>
      <c r="E261" s="74" t="n"/>
      <c r="F261" s="74" t="n"/>
      <c r="G261" s="75" t="n"/>
      <c r="H261" s="76" t="n"/>
      <c r="I261" s="77" t="n"/>
      <c r="J261" s="77" t="n"/>
      <c r="K261" s="77" t="n"/>
      <c r="M261" s="78" t="str">
        <f>IF($C261="","",IF(ISNUMBER(SEARCH(DATOS!$C$126,$C261)),"SV",IF(ISNUMBER(SEARCH(DATOS!$C$127,$C261)),"LD",IF(ISNUMBER(SEARCH(DATOS!$C$128,$C261)),"OI",""))))</f>
        <v/>
      </c>
      <c r="N261" s="78">
        <f>IF($M261="SV",DATOS!$C$101,IF($M261="LD",1,IF($M261="OI",DATOS!$C$100*DATOS!$C$89,0)))</f>
        <v>0</v>
      </c>
      <c r="O261" s="79">
        <f>IF($M261="",0,N($G261)*$N261)</f>
        <v>0</v>
      </c>
      <c r="P261" s="78" t="str">
        <f>IF($M261="SV",DATOS!$C$98,IF($M261="LD",DATOS!$C$103,IF($M261="OI",DATOS!$C$99,"")))</f>
        <v/>
      </c>
      <c r="Q261" s="80" t="str">
        <f>IF(OR($M261="",N($P261)=0),"",$O261/$P261)</f>
        <v/>
      </c>
      <c r="R261" s="78" t="str">
        <f>IF($M261="","",IF(AND($M261&lt;&gt;"LD",N(DATOS!$C$100)&lt;=0),"PENDIENTE: falta R'",IF($Q261&lt;=1,"CUMPLE","NO CUMPLE")))</f>
        <v/>
      </c>
    </row>
    <row r="262">
      <c r="B262" s="74" t="n"/>
      <c r="C262" s="74" t="n"/>
      <c r="D262" s="74" t="n"/>
      <c r="E262" s="74" t="n"/>
      <c r="F262" s="74" t="n"/>
      <c r="G262" s="75" t="n"/>
      <c r="H262" s="76" t="n"/>
      <c r="I262" s="77" t="n"/>
      <c r="J262" s="77" t="n"/>
      <c r="K262" s="77" t="n"/>
      <c r="M262" s="78" t="str">
        <f>IF($C262="","",IF(ISNUMBER(SEARCH(DATOS!$C$126,$C262)),"SV",IF(ISNUMBER(SEARCH(DATOS!$C$127,$C262)),"LD",IF(ISNUMBER(SEARCH(DATOS!$C$128,$C262)),"OI",""))))</f>
        <v/>
      </c>
      <c r="N262" s="78">
        <f>IF($M262="SV",DATOS!$C$101,IF($M262="LD",1,IF($M262="OI",DATOS!$C$100*DATOS!$C$89,0)))</f>
        <v>0</v>
      </c>
      <c r="O262" s="79">
        <f>IF($M262="",0,N($G262)*$N262)</f>
        <v>0</v>
      </c>
      <c r="P262" s="78" t="str">
        <f>IF($M262="SV",DATOS!$C$98,IF($M262="LD",DATOS!$C$103,IF($M262="OI",DATOS!$C$99,"")))</f>
        <v/>
      </c>
      <c r="Q262" s="80" t="str">
        <f>IF(OR($M262="",N($P262)=0),"",$O262/$P262)</f>
        <v/>
      </c>
      <c r="R262" s="78" t="str">
        <f>IF($M262="","",IF(AND($M262&lt;&gt;"LD",N(DATOS!$C$100)&lt;=0),"PENDIENTE: falta R'",IF($Q262&lt;=1,"CUMPLE","NO CUMPLE")))</f>
        <v/>
      </c>
    </row>
    <row r="263">
      <c r="B263" s="74" t="n"/>
      <c r="C263" s="74" t="n"/>
      <c r="D263" s="74" t="n"/>
      <c r="E263" s="74" t="n"/>
      <c r="F263" s="74" t="n"/>
      <c r="G263" s="75" t="n"/>
      <c r="H263" s="76" t="n"/>
      <c r="I263" s="77" t="n"/>
      <c r="J263" s="77" t="n"/>
      <c r="K263" s="77" t="n"/>
      <c r="M263" s="78" t="str">
        <f>IF($C263="","",IF(ISNUMBER(SEARCH(DATOS!$C$126,$C263)),"SV",IF(ISNUMBER(SEARCH(DATOS!$C$127,$C263)),"LD",IF(ISNUMBER(SEARCH(DATOS!$C$128,$C263)),"OI",""))))</f>
        <v/>
      </c>
      <c r="N263" s="78">
        <f>IF($M263="SV",DATOS!$C$101,IF($M263="LD",1,IF($M263="OI",DATOS!$C$100*DATOS!$C$89,0)))</f>
        <v>0</v>
      </c>
      <c r="O263" s="79">
        <f>IF($M263="",0,N($G263)*$N263)</f>
        <v>0</v>
      </c>
      <c r="P263" s="78" t="str">
        <f>IF($M263="SV",DATOS!$C$98,IF($M263="LD",DATOS!$C$103,IF($M263="OI",DATOS!$C$99,"")))</f>
        <v/>
      </c>
      <c r="Q263" s="80" t="str">
        <f>IF(OR($M263="",N($P263)=0),"",$O263/$P263)</f>
        <v/>
      </c>
      <c r="R263" s="78" t="str">
        <f>IF($M263="","",IF(AND($M263&lt;&gt;"LD",N(DATOS!$C$100)&lt;=0),"PENDIENTE: falta R'",IF($Q263&lt;=1,"CUMPLE","NO CUMPLE")))</f>
        <v/>
      </c>
    </row>
    <row r="264">
      <c r="B264" s="74" t="n"/>
      <c r="C264" s="74" t="n"/>
      <c r="D264" s="74" t="n"/>
      <c r="E264" s="74" t="n"/>
      <c r="F264" s="74" t="n"/>
      <c r="G264" s="75" t="n"/>
      <c r="H264" s="76" t="n"/>
      <c r="I264" s="77" t="n"/>
      <c r="J264" s="77" t="n"/>
      <c r="K264" s="77" t="n"/>
      <c r="M264" s="78" t="str">
        <f>IF($C264="","",IF(ISNUMBER(SEARCH(DATOS!$C$126,$C264)),"SV",IF(ISNUMBER(SEARCH(DATOS!$C$127,$C264)),"LD",IF(ISNUMBER(SEARCH(DATOS!$C$128,$C264)),"OI",""))))</f>
        <v/>
      </c>
      <c r="N264" s="78">
        <f>IF($M264="SV",DATOS!$C$101,IF($M264="LD",1,IF($M264="OI",DATOS!$C$100*DATOS!$C$89,0)))</f>
        <v>0</v>
      </c>
      <c r="O264" s="79">
        <f>IF($M264="",0,N($G264)*$N264)</f>
        <v>0</v>
      </c>
      <c r="P264" s="78" t="str">
        <f>IF($M264="SV",DATOS!$C$98,IF($M264="LD",DATOS!$C$103,IF($M264="OI",DATOS!$C$99,"")))</f>
        <v/>
      </c>
      <c r="Q264" s="80" t="str">
        <f>IF(OR($M264="",N($P264)=0),"",$O264/$P264)</f>
        <v/>
      </c>
      <c r="R264" s="78" t="str">
        <f>IF($M264="","",IF(AND($M264&lt;&gt;"LD",N(DATOS!$C$100)&lt;=0),"PENDIENTE: falta R'",IF($Q264&lt;=1,"CUMPLE","NO CUMPLE")))</f>
        <v/>
      </c>
    </row>
    <row r="265">
      <c r="B265" s="74" t="n"/>
      <c r="C265" s="74" t="n"/>
      <c r="D265" s="74" t="n"/>
      <c r="E265" s="74" t="n"/>
      <c r="F265" s="74" t="n"/>
      <c r="G265" s="75" t="n"/>
      <c r="H265" s="76" t="n"/>
      <c r="I265" s="77" t="n"/>
      <c r="J265" s="77" t="n"/>
      <c r="K265" s="77" t="n"/>
      <c r="M265" s="78" t="str">
        <f>IF($C265="","",IF(ISNUMBER(SEARCH(DATOS!$C$126,$C265)),"SV",IF(ISNUMBER(SEARCH(DATOS!$C$127,$C265)),"LD",IF(ISNUMBER(SEARCH(DATOS!$C$128,$C265)),"OI",""))))</f>
        <v/>
      </c>
      <c r="N265" s="78">
        <f>IF($M265="SV",DATOS!$C$101,IF($M265="LD",1,IF($M265="OI",DATOS!$C$100*DATOS!$C$89,0)))</f>
        <v>0</v>
      </c>
      <c r="O265" s="79">
        <f>IF($M265="",0,N($G265)*$N265)</f>
        <v>0</v>
      </c>
      <c r="P265" s="78" t="str">
        <f>IF($M265="SV",DATOS!$C$98,IF($M265="LD",DATOS!$C$103,IF($M265="OI",DATOS!$C$99,"")))</f>
        <v/>
      </c>
      <c r="Q265" s="80" t="str">
        <f>IF(OR($M265="",N($P265)=0),"",$O265/$P265)</f>
        <v/>
      </c>
      <c r="R265" s="78" t="str">
        <f>IF($M265="","",IF(AND($M265&lt;&gt;"LD",N(DATOS!$C$100)&lt;=0),"PENDIENTE: falta R'",IF($Q265&lt;=1,"CUMPLE","NO CUMPLE")))</f>
        <v/>
      </c>
    </row>
    <row r="266">
      <c r="B266" s="74" t="n"/>
      <c r="C266" s="74" t="n"/>
      <c r="D266" s="74" t="n"/>
      <c r="E266" s="74" t="n"/>
      <c r="F266" s="74" t="n"/>
      <c r="G266" s="75" t="n"/>
      <c r="H266" s="76" t="n"/>
      <c r="I266" s="77" t="n"/>
      <c r="J266" s="77" t="n"/>
      <c r="K266" s="77" t="n"/>
      <c r="M266" s="78" t="str">
        <f>IF($C266="","",IF(ISNUMBER(SEARCH(DATOS!$C$126,$C266)),"SV",IF(ISNUMBER(SEARCH(DATOS!$C$127,$C266)),"LD",IF(ISNUMBER(SEARCH(DATOS!$C$128,$C266)),"OI",""))))</f>
        <v/>
      </c>
      <c r="N266" s="78">
        <f>IF($M266="SV",DATOS!$C$101,IF($M266="LD",1,IF($M266="OI",DATOS!$C$100*DATOS!$C$89,0)))</f>
        <v>0</v>
      </c>
      <c r="O266" s="79">
        <f>IF($M266="",0,N($G266)*$N266)</f>
        <v>0</v>
      </c>
      <c r="P266" s="78" t="str">
        <f>IF($M266="SV",DATOS!$C$98,IF($M266="LD",DATOS!$C$103,IF($M266="OI",DATOS!$C$99,"")))</f>
        <v/>
      </c>
      <c r="Q266" s="80" t="str">
        <f>IF(OR($M266="",N($P266)=0),"",$O266/$P266)</f>
        <v/>
      </c>
      <c r="R266" s="78" t="str">
        <f>IF($M266="","",IF(AND($M266&lt;&gt;"LD",N(DATOS!$C$100)&lt;=0),"PENDIENTE: falta R'",IF($Q266&lt;=1,"CUMPLE","NO CUMPLE")))</f>
        <v/>
      </c>
    </row>
    <row r="267">
      <c r="B267" s="74" t="n"/>
      <c r="C267" s="74" t="n"/>
      <c r="D267" s="74" t="n"/>
      <c r="E267" s="74" t="n"/>
      <c r="F267" s="74" t="n"/>
      <c r="G267" s="75" t="n"/>
      <c r="H267" s="76" t="n"/>
      <c r="I267" s="77" t="n"/>
      <c r="J267" s="77" t="n"/>
      <c r="K267" s="77" t="n"/>
      <c r="M267" s="78" t="str">
        <f>IF($C267="","",IF(ISNUMBER(SEARCH(DATOS!$C$126,$C267)),"SV",IF(ISNUMBER(SEARCH(DATOS!$C$127,$C267)),"LD",IF(ISNUMBER(SEARCH(DATOS!$C$128,$C267)),"OI",""))))</f>
        <v/>
      </c>
      <c r="N267" s="78">
        <f>IF($M267="SV",DATOS!$C$101,IF($M267="LD",1,IF($M267="OI",DATOS!$C$100*DATOS!$C$89,0)))</f>
        <v>0</v>
      </c>
      <c r="O267" s="79">
        <f>IF($M267="",0,N($G267)*$N267)</f>
        <v>0</v>
      </c>
      <c r="P267" s="78" t="str">
        <f>IF($M267="SV",DATOS!$C$98,IF($M267="LD",DATOS!$C$103,IF($M267="OI",DATOS!$C$99,"")))</f>
        <v/>
      </c>
      <c r="Q267" s="80" t="str">
        <f>IF(OR($M267="",N($P267)=0),"",$O267/$P267)</f>
        <v/>
      </c>
      <c r="R267" s="78" t="str">
        <f>IF($M267="","",IF(AND($M267&lt;&gt;"LD",N(DATOS!$C$100)&lt;=0),"PENDIENTE: falta R'",IF($Q267&lt;=1,"CUMPLE","NO CUMPLE")))</f>
        <v/>
      </c>
    </row>
    <row r="268">
      <c r="B268" s="74" t="n"/>
      <c r="C268" s="74" t="n"/>
      <c r="D268" s="74" t="n"/>
      <c r="E268" s="74" t="n"/>
      <c r="F268" s="74" t="n"/>
      <c r="G268" s="75" t="n"/>
      <c r="H268" s="76" t="n"/>
      <c r="I268" s="77" t="n"/>
      <c r="J268" s="77" t="n"/>
      <c r="K268" s="77" t="n"/>
      <c r="M268" s="78" t="str">
        <f>IF($C268="","",IF(ISNUMBER(SEARCH(DATOS!$C$126,$C268)),"SV",IF(ISNUMBER(SEARCH(DATOS!$C$127,$C268)),"LD",IF(ISNUMBER(SEARCH(DATOS!$C$128,$C268)),"OI",""))))</f>
        <v/>
      </c>
      <c r="N268" s="78">
        <f>IF($M268="SV",DATOS!$C$101,IF($M268="LD",1,IF($M268="OI",DATOS!$C$100*DATOS!$C$89,0)))</f>
        <v>0</v>
      </c>
      <c r="O268" s="79">
        <f>IF($M268="",0,N($G268)*$N268)</f>
        <v>0</v>
      </c>
      <c r="P268" s="78" t="str">
        <f>IF($M268="SV",DATOS!$C$98,IF($M268="LD",DATOS!$C$103,IF($M268="OI",DATOS!$C$99,"")))</f>
        <v/>
      </c>
      <c r="Q268" s="80" t="str">
        <f>IF(OR($M268="",N($P268)=0),"",$O268/$P268)</f>
        <v/>
      </c>
      <c r="R268" s="78" t="str">
        <f>IF($M268="","",IF(AND($M268&lt;&gt;"LD",N(DATOS!$C$100)&lt;=0),"PENDIENTE: falta R'",IF($Q268&lt;=1,"CUMPLE","NO CUMPLE")))</f>
        <v/>
      </c>
    </row>
    <row r="269">
      <c r="B269" s="74" t="n"/>
      <c r="C269" s="74" t="n"/>
      <c r="D269" s="74" t="n"/>
      <c r="E269" s="74" t="n"/>
      <c r="F269" s="74" t="n"/>
      <c r="G269" s="75" t="n"/>
      <c r="H269" s="76" t="n"/>
      <c r="I269" s="77" t="n"/>
      <c r="J269" s="77" t="n"/>
      <c r="K269" s="77" t="n"/>
      <c r="M269" s="78" t="str">
        <f>IF($C269="","",IF(ISNUMBER(SEARCH(DATOS!$C$126,$C269)),"SV",IF(ISNUMBER(SEARCH(DATOS!$C$127,$C269)),"LD",IF(ISNUMBER(SEARCH(DATOS!$C$128,$C269)),"OI",""))))</f>
        <v/>
      </c>
      <c r="N269" s="78">
        <f>IF($M269="SV",DATOS!$C$101,IF($M269="LD",1,IF($M269="OI",DATOS!$C$100*DATOS!$C$89,0)))</f>
        <v>0</v>
      </c>
      <c r="O269" s="79">
        <f>IF($M269="",0,N($G269)*$N269)</f>
        <v>0</v>
      </c>
      <c r="P269" s="78" t="str">
        <f>IF($M269="SV",DATOS!$C$98,IF($M269="LD",DATOS!$C$103,IF($M269="OI",DATOS!$C$99,"")))</f>
        <v/>
      </c>
      <c r="Q269" s="80" t="str">
        <f>IF(OR($M269="",N($P269)=0),"",$O269/$P269)</f>
        <v/>
      </c>
      <c r="R269" s="78" t="str">
        <f>IF($M269="","",IF(AND($M269&lt;&gt;"LD",N(DATOS!$C$100)&lt;=0),"PENDIENTE: falta R'",IF($Q269&lt;=1,"CUMPLE","NO CUMPLE")))</f>
        <v/>
      </c>
    </row>
    <row r="270">
      <c r="B270" s="74" t="n"/>
      <c r="C270" s="74" t="n"/>
      <c r="D270" s="74" t="n"/>
      <c r="E270" s="74" t="n"/>
      <c r="F270" s="74" t="n"/>
      <c r="G270" s="75" t="n"/>
      <c r="H270" s="76" t="n"/>
      <c r="I270" s="77" t="n"/>
      <c r="J270" s="77" t="n"/>
      <c r="K270" s="77" t="n"/>
      <c r="M270" s="78" t="str">
        <f>IF($C270="","",IF(ISNUMBER(SEARCH(DATOS!$C$126,$C270)),"SV",IF(ISNUMBER(SEARCH(DATOS!$C$127,$C270)),"LD",IF(ISNUMBER(SEARCH(DATOS!$C$128,$C270)),"OI",""))))</f>
        <v/>
      </c>
      <c r="N270" s="78">
        <f>IF($M270="SV",DATOS!$C$101,IF($M270="LD",1,IF($M270="OI",DATOS!$C$100*DATOS!$C$89,0)))</f>
        <v>0</v>
      </c>
      <c r="O270" s="79">
        <f>IF($M270="",0,N($G270)*$N270)</f>
        <v>0</v>
      </c>
      <c r="P270" s="78" t="str">
        <f>IF($M270="SV",DATOS!$C$98,IF($M270="LD",DATOS!$C$103,IF($M270="OI",DATOS!$C$99,"")))</f>
        <v/>
      </c>
      <c r="Q270" s="80" t="str">
        <f>IF(OR($M270="",N($P270)=0),"",$O270/$P270)</f>
        <v/>
      </c>
      <c r="R270" s="78" t="str">
        <f>IF($M270="","",IF(AND($M270&lt;&gt;"LD",N(DATOS!$C$100)&lt;=0),"PENDIENTE: falta R'",IF($Q270&lt;=1,"CUMPLE","NO CUMPLE")))</f>
        <v/>
      </c>
    </row>
    <row r="271">
      <c r="B271" s="74" t="n"/>
      <c r="C271" s="74" t="n"/>
      <c r="D271" s="74" t="n"/>
      <c r="E271" s="74" t="n"/>
      <c r="F271" s="74" t="n"/>
      <c r="G271" s="75" t="n"/>
      <c r="H271" s="76" t="n"/>
      <c r="I271" s="77" t="n"/>
      <c r="J271" s="77" t="n"/>
      <c r="K271" s="77" t="n"/>
      <c r="M271" s="78" t="str">
        <f>IF($C271="","",IF(ISNUMBER(SEARCH(DATOS!$C$126,$C271)),"SV",IF(ISNUMBER(SEARCH(DATOS!$C$127,$C271)),"LD",IF(ISNUMBER(SEARCH(DATOS!$C$128,$C271)),"OI",""))))</f>
        <v/>
      </c>
      <c r="N271" s="78">
        <f>IF($M271="SV",DATOS!$C$101,IF($M271="LD",1,IF($M271="OI",DATOS!$C$100*DATOS!$C$89,0)))</f>
        <v>0</v>
      </c>
      <c r="O271" s="79">
        <f>IF($M271="",0,N($G271)*$N271)</f>
        <v>0</v>
      </c>
      <c r="P271" s="78" t="str">
        <f>IF($M271="SV",DATOS!$C$98,IF($M271="LD",DATOS!$C$103,IF($M271="OI",DATOS!$C$99,"")))</f>
        <v/>
      </c>
      <c r="Q271" s="80" t="str">
        <f>IF(OR($M271="",N($P271)=0),"",$O271/$P271)</f>
        <v/>
      </c>
      <c r="R271" s="78" t="str">
        <f>IF($M271="","",IF(AND($M271&lt;&gt;"LD",N(DATOS!$C$100)&lt;=0),"PENDIENTE: falta R'",IF($Q271&lt;=1,"CUMPLE","NO CUMPLE")))</f>
        <v/>
      </c>
    </row>
    <row r="272">
      <c r="B272" s="74" t="n"/>
      <c r="C272" s="74" t="n"/>
      <c r="D272" s="74" t="n"/>
      <c r="E272" s="74" t="n"/>
      <c r="F272" s="74" t="n"/>
      <c r="G272" s="75" t="n"/>
      <c r="H272" s="76" t="n"/>
      <c r="I272" s="77" t="n"/>
      <c r="J272" s="77" t="n"/>
      <c r="K272" s="77" t="n"/>
      <c r="M272" s="78" t="str">
        <f>IF($C272="","",IF(ISNUMBER(SEARCH(DATOS!$C$126,$C272)),"SV",IF(ISNUMBER(SEARCH(DATOS!$C$127,$C272)),"LD",IF(ISNUMBER(SEARCH(DATOS!$C$128,$C272)),"OI",""))))</f>
        <v/>
      </c>
      <c r="N272" s="78">
        <f>IF($M272="SV",DATOS!$C$101,IF($M272="LD",1,IF($M272="OI",DATOS!$C$100*DATOS!$C$89,0)))</f>
        <v>0</v>
      </c>
      <c r="O272" s="79">
        <f>IF($M272="",0,N($G272)*$N272)</f>
        <v>0</v>
      </c>
      <c r="P272" s="78" t="str">
        <f>IF($M272="SV",DATOS!$C$98,IF($M272="LD",DATOS!$C$103,IF($M272="OI",DATOS!$C$99,"")))</f>
        <v/>
      </c>
      <c r="Q272" s="80" t="str">
        <f>IF(OR($M272="",N($P272)=0),"",$O272/$P272)</f>
        <v/>
      </c>
      <c r="R272" s="78" t="str">
        <f>IF($M272="","",IF(AND($M272&lt;&gt;"LD",N(DATOS!$C$100)&lt;=0),"PENDIENTE: falta R'",IF($Q272&lt;=1,"CUMPLE","NO CUMPLE")))</f>
        <v/>
      </c>
    </row>
    <row r="273">
      <c r="B273" s="74" t="n"/>
      <c r="C273" s="74" t="n"/>
      <c r="D273" s="74" t="n"/>
      <c r="E273" s="74" t="n"/>
      <c r="F273" s="74" t="n"/>
      <c r="G273" s="75" t="n"/>
      <c r="H273" s="76" t="n"/>
      <c r="I273" s="77" t="n"/>
      <c r="J273" s="77" t="n"/>
      <c r="K273" s="77" t="n"/>
      <c r="M273" s="78" t="str">
        <f>IF($C273="","",IF(ISNUMBER(SEARCH(DATOS!$C$126,$C273)),"SV",IF(ISNUMBER(SEARCH(DATOS!$C$127,$C273)),"LD",IF(ISNUMBER(SEARCH(DATOS!$C$128,$C273)),"OI",""))))</f>
        <v/>
      </c>
      <c r="N273" s="78">
        <f>IF($M273="SV",DATOS!$C$101,IF($M273="LD",1,IF($M273="OI",DATOS!$C$100*DATOS!$C$89,0)))</f>
        <v>0</v>
      </c>
      <c r="O273" s="79">
        <f>IF($M273="",0,N($G273)*$N273)</f>
        <v>0</v>
      </c>
      <c r="P273" s="78" t="str">
        <f>IF($M273="SV",DATOS!$C$98,IF($M273="LD",DATOS!$C$103,IF($M273="OI",DATOS!$C$99,"")))</f>
        <v/>
      </c>
      <c r="Q273" s="80" t="str">
        <f>IF(OR($M273="",N($P273)=0),"",$O273/$P273)</f>
        <v/>
      </c>
      <c r="R273" s="78" t="str">
        <f>IF($M273="","",IF(AND($M273&lt;&gt;"LD",N(DATOS!$C$100)&lt;=0),"PENDIENTE: falta R'",IF($Q273&lt;=1,"CUMPLE","NO CUMPLE")))</f>
        <v/>
      </c>
    </row>
    <row r="274">
      <c r="B274" s="74" t="n"/>
      <c r="C274" s="74" t="n"/>
      <c r="D274" s="74" t="n"/>
      <c r="E274" s="74" t="n"/>
      <c r="F274" s="74" t="n"/>
      <c r="G274" s="75" t="n"/>
      <c r="H274" s="76" t="n"/>
      <c r="I274" s="77" t="n"/>
      <c r="J274" s="77" t="n"/>
      <c r="K274" s="77" t="n"/>
      <c r="M274" s="78" t="str">
        <f>IF($C274="","",IF(ISNUMBER(SEARCH(DATOS!$C$126,$C274)),"SV",IF(ISNUMBER(SEARCH(DATOS!$C$127,$C274)),"LD",IF(ISNUMBER(SEARCH(DATOS!$C$128,$C274)),"OI",""))))</f>
        <v/>
      </c>
      <c r="N274" s="78">
        <f>IF($M274="SV",DATOS!$C$101,IF($M274="LD",1,IF($M274="OI",DATOS!$C$100*DATOS!$C$89,0)))</f>
        <v>0</v>
      </c>
      <c r="O274" s="79">
        <f>IF($M274="",0,N($G274)*$N274)</f>
        <v>0</v>
      </c>
      <c r="P274" s="78" t="str">
        <f>IF($M274="SV",DATOS!$C$98,IF($M274="LD",DATOS!$C$103,IF($M274="OI",DATOS!$C$99,"")))</f>
        <v/>
      </c>
      <c r="Q274" s="80" t="str">
        <f>IF(OR($M274="",N($P274)=0),"",$O274/$P274)</f>
        <v/>
      </c>
      <c r="R274" s="78" t="str">
        <f>IF($M274="","",IF(AND($M274&lt;&gt;"LD",N(DATOS!$C$100)&lt;=0),"PENDIENTE: falta R'",IF($Q274&lt;=1,"CUMPLE","NO CUMPLE")))</f>
        <v/>
      </c>
    </row>
    <row r="275">
      <c r="B275" s="74" t="n"/>
      <c r="C275" s="74" t="n"/>
      <c r="D275" s="74" t="n"/>
      <c r="E275" s="74" t="n"/>
      <c r="F275" s="74" t="n"/>
      <c r="G275" s="75" t="n"/>
      <c r="H275" s="76" t="n"/>
      <c r="I275" s="77" t="n"/>
      <c r="J275" s="77" t="n"/>
      <c r="K275" s="77" t="n"/>
      <c r="M275" s="78" t="str">
        <f>IF($C275="","",IF(ISNUMBER(SEARCH(DATOS!$C$126,$C275)),"SV",IF(ISNUMBER(SEARCH(DATOS!$C$127,$C275)),"LD",IF(ISNUMBER(SEARCH(DATOS!$C$128,$C275)),"OI",""))))</f>
        <v/>
      </c>
      <c r="N275" s="78">
        <f>IF($M275="SV",DATOS!$C$101,IF($M275="LD",1,IF($M275="OI",DATOS!$C$100*DATOS!$C$89,0)))</f>
        <v>0</v>
      </c>
      <c r="O275" s="79">
        <f>IF($M275="",0,N($G275)*$N275)</f>
        <v>0</v>
      </c>
      <c r="P275" s="78" t="str">
        <f>IF($M275="SV",DATOS!$C$98,IF($M275="LD",DATOS!$C$103,IF($M275="OI",DATOS!$C$99,"")))</f>
        <v/>
      </c>
      <c r="Q275" s="80" t="str">
        <f>IF(OR($M275="",N($P275)=0),"",$O275/$P275)</f>
        <v/>
      </c>
      <c r="R275" s="78" t="str">
        <f>IF($M275="","",IF(AND($M275&lt;&gt;"LD",N(DATOS!$C$100)&lt;=0),"PENDIENTE: falta R'",IF($Q275&lt;=1,"CUMPLE","NO CUMPLE")))</f>
        <v/>
      </c>
    </row>
    <row r="276">
      <c r="B276" s="74" t="n"/>
      <c r="C276" s="74" t="n"/>
      <c r="D276" s="74" t="n"/>
      <c r="E276" s="74" t="n"/>
      <c r="F276" s="74" t="n"/>
      <c r="G276" s="75" t="n"/>
      <c r="H276" s="76" t="n"/>
      <c r="I276" s="77" t="n"/>
      <c r="J276" s="77" t="n"/>
      <c r="K276" s="77" t="n"/>
      <c r="M276" s="78" t="str">
        <f>IF($C276="","",IF(ISNUMBER(SEARCH(DATOS!$C$126,$C276)),"SV",IF(ISNUMBER(SEARCH(DATOS!$C$127,$C276)),"LD",IF(ISNUMBER(SEARCH(DATOS!$C$128,$C276)),"OI",""))))</f>
        <v/>
      </c>
      <c r="N276" s="78">
        <f>IF($M276="SV",DATOS!$C$101,IF($M276="LD",1,IF($M276="OI",DATOS!$C$100*DATOS!$C$89,0)))</f>
        <v>0</v>
      </c>
      <c r="O276" s="79">
        <f>IF($M276="",0,N($G276)*$N276)</f>
        <v>0</v>
      </c>
      <c r="P276" s="78" t="str">
        <f>IF($M276="SV",DATOS!$C$98,IF($M276="LD",DATOS!$C$103,IF($M276="OI",DATOS!$C$99,"")))</f>
        <v/>
      </c>
      <c r="Q276" s="80" t="str">
        <f>IF(OR($M276="",N($P276)=0),"",$O276/$P276)</f>
        <v/>
      </c>
      <c r="R276" s="78" t="str">
        <f>IF($M276="","",IF(AND($M276&lt;&gt;"LD",N(DATOS!$C$100)&lt;=0),"PENDIENTE: falta R'",IF($Q276&lt;=1,"CUMPLE","NO CUMPLE")))</f>
        <v/>
      </c>
    </row>
    <row r="277">
      <c r="B277" s="74" t="n"/>
      <c r="C277" s="74" t="n"/>
      <c r="D277" s="74" t="n"/>
      <c r="E277" s="74" t="n"/>
      <c r="F277" s="74" t="n"/>
      <c r="G277" s="75" t="n"/>
      <c r="H277" s="76" t="n"/>
      <c r="I277" s="77" t="n"/>
      <c r="J277" s="77" t="n"/>
      <c r="K277" s="77" t="n"/>
      <c r="M277" s="78" t="str">
        <f>IF($C277="","",IF(ISNUMBER(SEARCH(DATOS!$C$126,$C277)),"SV",IF(ISNUMBER(SEARCH(DATOS!$C$127,$C277)),"LD",IF(ISNUMBER(SEARCH(DATOS!$C$128,$C277)),"OI",""))))</f>
        <v/>
      </c>
      <c r="N277" s="78">
        <f>IF($M277="SV",DATOS!$C$101,IF($M277="LD",1,IF($M277="OI",DATOS!$C$100*DATOS!$C$89,0)))</f>
        <v>0</v>
      </c>
      <c r="O277" s="79">
        <f>IF($M277="",0,N($G277)*$N277)</f>
        <v>0</v>
      </c>
      <c r="P277" s="78" t="str">
        <f>IF($M277="SV",DATOS!$C$98,IF($M277="LD",DATOS!$C$103,IF($M277="OI",DATOS!$C$99,"")))</f>
        <v/>
      </c>
      <c r="Q277" s="80" t="str">
        <f>IF(OR($M277="",N($P277)=0),"",$O277/$P277)</f>
        <v/>
      </c>
      <c r="R277" s="78" t="str">
        <f>IF($M277="","",IF(AND($M277&lt;&gt;"LD",N(DATOS!$C$100)&lt;=0),"PENDIENTE: falta R'",IF($Q277&lt;=1,"CUMPLE","NO CUMPLE")))</f>
        <v/>
      </c>
    </row>
    <row r="278">
      <c r="B278" s="74" t="n"/>
      <c r="C278" s="74" t="n"/>
      <c r="D278" s="74" t="n"/>
      <c r="E278" s="74" t="n"/>
      <c r="F278" s="74" t="n"/>
      <c r="G278" s="75" t="n"/>
      <c r="H278" s="76" t="n"/>
      <c r="I278" s="77" t="n"/>
      <c r="J278" s="77" t="n"/>
      <c r="K278" s="77" t="n"/>
      <c r="M278" s="78" t="str">
        <f>IF($C278="","",IF(ISNUMBER(SEARCH(DATOS!$C$126,$C278)),"SV",IF(ISNUMBER(SEARCH(DATOS!$C$127,$C278)),"LD",IF(ISNUMBER(SEARCH(DATOS!$C$128,$C278)),"OI",""))))</f>
        <v/>
      </c>
      <c r="N278" s="78">
        <f>IF($M278="SV",DATOS!$C$101,IF($M278="LD",1,IF($M278="OI",DATOS!$C$100*DATOS!$C$89,0)))</f>
        <v>0</v>
      </c>
      <c r="O278" s="79">
        <f>IF($M278="",0,N($G278)*$N278)</f>
        <v>0</v>
      </c>
      <c r="P278" s="78" t="str">
        <f>IF($M278="SV",DATOS!$C$98,IF($M278="LD",DATOS!$C$103,IF($M278="OI",DATOS!$C$99,"")))</f>
        <v/>
      </c>
      <c r="Q278" s="80" t="str">
        <f>IF(OR($M278="",N($P278)=0),"",$O278/$P278)</f>
        <v/>
      </c>
      <c r="R278" s="78" t="str">
        <f>IF($M278="","",IF(AND($M278&lt;&gt;"LD",N(DATOS!$C$100)&lt;=0),"PENDIENTE: falta R'",IF($Q278&lt;=1,"CUMPLE","NO CUMPLE")))</f>
        <v/>
      </c>
    </row>
    <row r="279">
      <c r="B279" s="74" t="n"/>
      <c r="C279" s="74" t="n"/>
      <c r="D279" s="74" t="n"/>
      <c r="E279" s="74" t="n"/>
      <c r="F279" s="74" t="n"/>
      <c r="G279" s="75" t="n"/>
      <c r="H279" s="76" t="n"/>
      <c r="I279" s="77" t="n"/>
      <c r="J279" s="77" t="n"/>
      <c r="K279" s="77" t="n"/>
      <c r="M279" s="78" t="str">
        <f>IF($C279="","",IF(ISNUMBER(SEARCH(DATOS!$C$126,$C279)),"SV",IF(ISNUMBER(SEARCH(DATOS!$C$127,$C279)),"LD",IF(ISNUMBER(SEARCH(DATOS!$C$128,$C279)),"OI",""))))</f>
        <v/>
      </c>
      <c r="N279" s="78">
        <f>IF($M279="SV",DATOS!$C$101,IF($M279="LD",1,IF($M279="OI",DATOS!$C$100*DATOS!$C$89,0)))</f>
        <v>0</v>
      </c>
      <c r="O279" s="79">
        <f>IF($M279="",0,N($G279)*$N279)</f>
        <v>0</v>
      </c>
      <c r="P279" s="78" t="str">
        <f>IF($M279="SV",DATOS!$C$98,IF($M279="LD",DATOS!$C$103,IF($M279="OI",DATOS!$C$99,"")))</f>
        <v/>
      </c>
      <c r="Q279" s="80" t="str">
        <f>IF(OR($M279="",N($P279)=0),"",$O279/$P279)</f>
        <v/>
      </c>
      <c r="R279" s="78" t="str">
        <f>IF($M279="","",IF(AND($M279&lt;&gt;"LD",N(DATOS!$C$100)&lt;=0),"PENDIENTE: falta R'",IF($Q279&lt;=1,"CUMPLE","NO CUMPLE")))</f>
        <v/>
      </c>
    </row>
    <row r="280">
      <c r="B280" s="74" t="n"/>
      <c r="C280" s="74" t="n"/>
      <c r="D280" s="74" t="n"/>
      <c r="E280" s="74" t="n"/>
      <c r="F280" s="74" t="n"/>
      <c r="G280" s="75" t="n"/>
      <c r="H280" s="76" t="n"/>
      <c r="I280" s="77" t="n"/>
      <c r="J280" s="77" t="n"/>
      <c r="K280" s="77" t="n"/>
      <c r="M280" s="78" t="str">
        <f>IF($C280="","",IF(ISNUMBER(SEARCH(DATOS!$C$126,$C280)),"SV",IF(ISNUMBER(SEARCH(DATOS!$C$127,$C280)),"LD",IF(ISNUMBER(SEARCH(DATOS!$C$128,$C280)),"OI",""))))</f>
        <v/>
      </c>
      <c r="N280" s="78">
        <f>IF($M280="SV",DATOS!$C$101,IF($M280="LD",1,IF($M280="OI",DATOS!$C$100*DATOS!$C$89,0)))</f>
        <v>0</v>
      </c>
      <c r="O280" s="79">
        <f>IF($M280="",0,N($G280)*$N280)</f>
        <v>0</v>
      </c>
      <c r="P280" s="78" t="str">
        <f>IF($M280="SV",DATOS!$C$98,IF($M280="LD",DATOS!$C$103,IF($M280="OI",DATOS!$C$99,"")))</f>
        <v/>
      </c>
      <c r="Q280" s="80" t="str">
        <f>IF(OR($M280="",N($P280)=0),"",$O280/$P280)</f>
        <v/>
      </c>
      <c r="R280" s="78" t="str">
        <f>IF($M280="","",IF(AND($M280&lt;&gt;"LD",N(DATOS!$C$100)&lt;=0),"PENDIENTE: falta R'",IF($Q280&lt;=1,"CUMPLE","NO CUMPLE")))</f>
        <v/>
      </c>
    </row>
    <row r="281">
      <c r="B281" s="74" t="n"/>
      <c r="C281" s="74" t="n"/>
      <c r="D281" s="74" t="n"/>
      <c r="E281" s="74" t="n"/>
      <c r="F281" s="74" t="n"/>
      <c r="G281" s="75" t="n"/>
      <c r="H281" s="76" t="n"/>
      <c r="I281" s="77" t="n"/>
      <c r="J281" s="77" t="n"/>
      <c r="K281" s="77" t="n"/>
      <c r="M281" s="78" t="str">
        <f>IF($C281="","",IF(ISNUMBER(SEARCH(DATOS!$C$126,$C281)),"SV",IF(ISNUMBER(SEARCH(DATOS!$C$127,$C281)),"LD",IF(ISNUMBER(SEARCH(DATOS!$C$128,$C281)),"OI",""))))</f>
        <v/>
      </c>
      <c r="N281" s="78">
        <f>IF($M281="SV",DATOS!$C$101,IF($M281="LD",1,IF($M281="OI",DATOS!$C$100*DATOS!$C$89,0)))</f>
        <v>0</v>
      </c>
      <c r="O281" s="79">
        <f>IF($M281="",0,N($G281)*$N281)</f>
        <v>0</v>
      </c>
      <c r="P281" s="78" t="str">
        <f>IF($M281="SV",DATOS!$C$98,IF($M281="LD",DATOS!$C$103,IF($M281="OI",DATOS!$C$99,"")))</f>
        <v/>
      </c>
      <c r="Q281" s="80" t="str">
        <f>IF(OR($M281="",N($P281)=0),"",$O281/$P281)</f>
        <v/>
      </c>
      <c r="R281" s="78" t="str">
        <f>IF($M281="","",IF(AND($M281&lt;&gt;"LD",N(DATOS!$C$100)&lt;=0),"PENDIENTE: falta R'",IF($Q281&lt;=1,"CUMPLE","NO CUMPLE")))</f>
        <v/>
      </c>
    </row>
    <row r="282">
      <c r="B282" s="74" t="n"/>
      <c r="C282" s="74" t="n"/>
      <c r="D282" s="74" t="n"/>
      <c r="E282" s="74" t="n"/>
      <c r="F282" s="74" t="n"/>
      <c r="G282" s="75" t="n"/>
      <c r="H282" s="76" t="n"/>
      <c r="I282" s="77" t="n"/>
      <c r="J282" s="77" t="n"/>
      <c r="K282" s="77" t="n"/>
      <c r="M282" s="78" t="str">
        <f>IF($C282="","",IF(ISNUMBER(SEARCH(DATOS!$C$126,$C282)),"SV",IF(ISNUMBER(SEARCH(DATOS!$C$127,$C282)),"LD",IF(ISNUMBER(SEARCH(DATOS!$C$128,$C282)),"OI",""))))</f>
        <v/>
      </c>
      <c r="N282" s="78">
        <f>IF($M282="SV",DATOS!$C$101,IF($M282="LD",1,IF($M282="OI",DATOS!$C$100*DATOS!$C$89,0)))</f>
        <v>0</v>
      </c>
      <c r="O282" s="79">
        <f>IF($M282="",0,N($G282)*$N282)</f>
        <v>0</v>
      </c>
      <c r="P282" s="78" t="str">
        <f>IF($M282="SV",DATOS!$C$98,IF($M282="LD",DATOS!$C$103,IF($M282="OI",DATOS!$C$99,"")))</f>
        <v/>
      </c>
      <c r="Q282" s="80" t="str">
        <f>IF(OR($M282="",N($P282)=0),"",$O282/$P282)</f>
        <v/>
      </c>
      <c r="R282" s="78" t="str">
        <f>IF($M282="","",IF(AND($M282&lt;&gt;"LD",N(DATOS!$C$100)&lt;=0),"PENDIENTE: falta R'",IF($Q282&lt;=1,"CUMPLE","NO CUMPLE")))</f>
        <v/>
      </c>
    </row>
    <row r="283">
      <c r="B283" s="74" t="n"/>
      <c r="C283" s="74" t="n"/>
      <c r="D283" s="74" t="n"/>
      <c r="E283" s="74" t="n"/>
      <c r="F283" s="74" t="n"/>
      <c r="G283" s="75" t="n"/>
      <c r="H283" s="76" t="n"/>
      <c r="I283" s="77" t="n"/>
      <c r="J283" s="77" t="n"/>
      <c r="K283" s="77" t="n"/>
      <c r="M283" s="78" t="str">
        <f>IF($C283="","",IF(ISNUMBER(SEARCH(DATOS!$C$126,$C283)),"SV",IF(ISNUMBER(SEARCH(DATOS!$C$127,$C283)),"LD",IF(ISNUMBER(SEARCH(DATOS!$C$128,$C283)),"OI",""))))</f>
        <v/>
      </c>
      <c r="N283" s="78">
        <f>IF($M283="SV",DATOS!$C$101,IF($M283="LD",1,IF($M283="OI",DATOS!$C$100*DATOS!$C$89,0)))</f>
        <v>0</v>
      </c>
      <c r="O283" s="79">
        <f>IF($M283="",0,N($G283)*$N283)</f>
        <v>0</v>
      </c>
      <c r="P283" s="78" t="str">
        <f>IF($M283="SV",DATOS!$C$98,IF($M283="LD",DATOS!$C$103,IF($M283="OI",DATOS!$C$99,"")))</f>
        <v/>
      </c>
      <c r="Q283" s="80" t="str">
        <f>IF(OR($M283="",N($P283)=0),"",$O283/$P283)</f>
        <v/>
      </c>
      <c r="R283" s="78" t="str">
        <f>IF($M283="","",IF(AND($M283&lt;&gt;"LD",N(DATOS!$C$100)&lt;=0),"PENDIENTE: falta R'",IF($Q283&lt;=1,"CUMPLE","NO CUMPLE")))</f>
        <v/>
      </c>
    </row>
    <row r="284">
      <c r="B284" s="74" t="n"/>
      <c r="C284" s="74" t="n"/>
      <c r="D284" s="74" t="n"/>
      <c r="E284" s="74" t="n"/>
      <c r="F284" s="74" t="n"/>
      <c r="G284" s="75" t="n"/>
      <c r="H284" s="76" t="n"/>
      <c r="I284" s="77" t="n"/>
      <c r="J284" s="77" t="n"/>
      <c r="K284" s="77" t="n"/>
      <c r="M284" s="78" t="str">
        <f>IF($C284="","",IF(ISNUMBER(SEARCH(DATOS!$C$126,$C284)),"SV",IF(ISNUMBER(SEARCH(DATOS!$C$127,$C284)),"LD",IF(ISNUMBER(SEARCH(DATOS!$C$128,$C284)),"OI",""))))</f>
        <v/>
      </c>
      <c r="N284" s="78">
        <f>IF($M284="SV",DATOS!$C$101,IF($M284="LD",1,IF($M284="OI",DATOS!$C$100*DATOS!$C$89,0)))</f>
        <v>0</v>
      </c>
      <c r="O284" s="79">
        <f>IF($M284="",0,N($G284)*$N284)</f>
        <v>0</v>
      </c>
      <c r="P284" s="78" t="str">
        <f>IF($M284="SV",DATOS!$C$98,IF($M284="LD",DATOS!$C$103,IF($M284="OI",DATOS!$C$99,"")))</f>
        <v/>
      </c>
      <c r="Q284" s="80" t="str">
        <f>IF(OR($M284="",N($P284)=0),"",$O284/$P284)</f>
        <v/>
      </c>
      <c r="R284" s="78" t="str">
        <f>IF($M284="","",IF(AND($M284&lt;&gt;"LD",N(DATOS!$C$100)&lt;=0),"PENDIENTE: falta R'",IF($Q284&lt;=1,"CUMPLE","NO CUMPLE")))</f>
        <v/>
      </c>
    </row>
    <row r="285">
      <c r="B285" s="74" t="n"/>
      <c r="C285" s="74" t="n"/>
      <c r="D285" s="74" t="n"/>
      <c r="E285" s="74" t="n"/>
      <c r="F285" s="74" t="n"/>
      <c r="G285" s="75" t="n"/>
      <c r="H285" s="76" t="n"/>
      <c r="I285" s="77" t="n"/>
      <c r="J285" s="77" t="n"/>
      <c r="K285" s="77" t="n"/>
      <c r="M285" s="78" t="str">
        <f>IF($C285="","",IF(ISNUMBER(SEARCH(DATOS!$C$126,$C285)),"SV",IF(ISNUMBER(SEARCH(DATOS!$C$127,$C285)),"LD",IF(ISNUMBER(SEARCH(DATOS!$C$128,$C285)),"OI",""))))</f>
        <v/>
      </c>
      <c r="N285" s="78">
        <f>IF($M285="SV",DATOS!$C$101,IF($M285="LD",1,IF($M285="OI",DATOS!$C$100*DATOS!$C$89,0)))</f>
        <v>0</v>
      </c>
      <c r="O285" s="79">
        <f>IF($M285="",0,N($G285)*$N285)</f>
        <v>0</v>
      </c>
      <c r="P285" s="78" t="str">
        <f>IF($M285="SV",DATOS!$C$98,IF($M285="LD",DATOS!$C$103,IF($M285="OI",DATOS!$C$99,"")))</f>
        <v/>
      </c>
      <c r="Q285" s="80" t="str">
        <f>IF(OR($M285="",N($P285)=0),"",$O285/$P285)</f>
        <v/>
      </c>
      <c r="R285" s="78" t="str">
        <f>IF($M285="","",IF(AND($M285&lt;&gt;"LD",N(DATOS!$C$100)&lt;=0),"PENDIENTE: falta R'",IF($Q285&lt;=1,"CUMPLE","NO CUMPLE")))</f>
        <v/>
      </c>
    </row>
    <row r="286">
      <c r="B286" s="74" t="n"/>
      <c r="C286" s="74" t="n"/>
      <c r="D286" s="74" t="n"/>
      <c r="E286" s="74" t="n"/>
      <c r="F286" s="74" t="n"/>
      <c r="G286" s="75" t="n"/>
      <c r="H286" s="76" t="n"/>
      <c r="I286" s="77" t="n"/>
      <c r="J286" s="77" t="n"/>
      <c r="K286" s="77" t="n"/>
      <c r="M286" s="78" t="str">
        <f>IF($C286="","",IF(ISNUMBER(SEARCH(DATOS!$C$126,$C286)),"SV",IF(ISNUMBER(SEARCH(DATOS!$C$127,$C286)),"LD",IF(ISNUMBER(SEARCH(DATOS!$C$128,$C286)),"OI",""))))</f>
        <v/>
      </c>
      <c r="N286" s="78">
        <f>IF($M286="SV",DATOS!$C$101,IF($M286="LD",1,IF($M286="OI",DATOS!$C$100*DATOS!$C$89,0)))</f>
        <v>0</v>
      </c>
      <c r="O286" s="79">
        <f>IF($M286="",0,N($G286)*$N286)</f>
        <v>0</v>
      </c>
      <c r="P286" s="78" t="str">
        <f>IF($M286="SV",DATOS!$C$98,IF($M286="LD",DATOS!$C$103,IF($M286="OI",DATOS!$C$99,"")))</f>
        <v/>
      </c>
      <c r="Q286" s="80" t="str">
        <f>IF(OR($M286="",N($P286)=0),"",$O286/$P286)</f>
        <v/>
      </c>
      <c r="R286" s="78" t="str">
        <f>IF($M286="","",IF(AND($M286&lt;&gt;"LD",N(DATOS!$C$100)&lt;=0),"PENDIENTE: falta R'",IF($Q286&lt;=1,"CUMPLE","NO CUMPLE")))</f>
        <v/>
      </c>
    </row>
    <row r="287">
      <c r="B287" s="74" t="n"/>
      <c r="C287" s="74" t="n"/>
      <c r="D287" s="74" t="n"/>
      <c r="E287" s="74" t="n"/>
      <c r="F287" s="74" t="n"/>
      <c r="G287" s="75" t="n"/>
      <c r="H287" s="76" t="n"/>
      <c r="I287" s="77" t="n"/>
      <c r="J287" s="77" t="n"/>
      <c r="K287" s="77" t="n"/>
      <c r="M287" s="78" t="str">
        <f>IF($C287="","",IF(ISNUMBER(SEARCH(DATOS!$C$126,$C287)),"SV",IF(ISNUMBER(SEARCH(DATOS!$C$127,$C287)),"LD",IF(ISNUMBER(SEARCH(DATOS!$C$128,$C287)),"OI",""))))</f>
        <v/>
      </c>
      <c r="N287" s="78">
        <f>IF($M287="SV",DATOS!$C$101,IF($M287="LD",1,IF($M287="OI",DATOS!$C$100*DATOS!$C$89,0)))</f>
        <v>0</v>
      </c>
      <c r="O287" s="79">
        <f>IF($M287="",0,N($G287)*$N287)</f>
        <v>0</v>
      </c>
      <c r="P287" s="78" t="str">
        <f>IF($M287="SV",DATOS!$C$98,IF($M287="LD",DATOS!$C$103,IF($M287="OI",DATOS!$C$99,"")))</f>
        <v/>
      </c>
      <c r="Q287" s="80" t="str">
        <f>IF(OR($M287="",N($P287)=0),"",$O287/$P287)</f>
        <v/>
      </c>
      <c r="R287" s="78" t="str">
        <f>IF($M287="","",IF(AND($M287&lt;&gt;"LD",N(DATOS!$C$100)&lt;=0),"PENDIENTE: falta R'",IF($Q287&lt;=1,"CUMPLE","NO CUMPLE")))</f>
        <v/>
      </c>
    </row>
    <row r="288">
      <c r="B288" s="74" t="n"/>
      <c r="C288" s="74" t="n"/>
      <c r="D288" s="74" t="n"/>
      <c r="E288" s="74" t="n"/>
      <c r="F288" s="74" t="n"/>
      <c r="G288" s="75" t="n"/>
      <c r="H288" s="76" t="n"/>
      <c r="I288" s="77" t="n"/>
      <c r="J288" s="77" t="n"/>
      <c r="K288" s="77" t="n"/>
      <c r="M288" s="78" t="str">
        <f>IF($C288="","",IF(ISNUMBER(SEARCH(DATOS!$C$126,$C288)),"SV",IF(ISNUMBER(SEARCH(DATOS!$C$127,$C288)),"LD",IF(ISNUMBER(SEARCH(DATOS!$C$128,$C288)),"OI",""))))</f>
        <v/>
      </c>
      <c r="N288" s="78">
        <f>IF($M288="SV",DATOS!$C$101,IF($M288="LD",1,IF($M288="OI",DATOS!$C$100*DATOS!$C$89,0)))</f>
        <v>0</v>
      </c>
      <c r="O288" s="79">
        <f>IF($M288="",0,N($G288)*$N288)</f>
        <v>0</v>
      </c>
      <c r="P288" s="78" t="str">
        <f>IF($M288="SV",DATOS!$C$98,IF($M288="LD",DATOS!$C$103,IF($M288="OI",DATOS!$C$99,"")))</f>
        <v/>
      </c>
      <c r="Q288" s="80" t="str">
        <f>IF(OR($M288="",N($P288)=0),"",$O288/$P288)</f>
        <v/>
      </c>
      <c r="R288" s="78" t="str">
        <f>IF($M288="","",IF(AND($M288&lt;&gt;"LD",N(DATOS!$C$100)&lt;=0),"PENDIENTE: falta R'",IF($Q288&lt;=1,"CUMPLE","NO CUMPLE")))</f>
        <v/>
      </c>
    </row>
    <row r="289">
      <c r="B289" s="74" t="n"/>
      <c r="C289" s="74" t="n"/>
      <c r="D289" s="74" t="n"/>
      <c r="E289" s="74" t="n"/>
      <c r="F289" s="74" t="n"/>
      <c r="G289" s="75" t="n"/>
      <c r="H289" s="76" t="n"/>
      <c r="I289" s="77" t="n"/>
      <c r="J289" s="77" t="n"/>
      <c r="K289" s="77" t="n"/>
      <c r="M289" s="78" t="str">
        <f>IF($C289="","",IF(ISNUMBER(SEARCH(DATOS!$C$126,$C289)),"SV",IF(ISNUMBER(SEARCH(DATOS!$C$127,$C289)),"LD",IF(ISNUMBER(SEARCH(DATOS!$C$128,$C289)),"OI",""))))</f>
        <v/>
      </c>
      <c r="N289" s="78">
        <f>IF($M289="SV",DATOS!$C$101,IF($M289="LD",1,IF($M289="OI",DATOS!$C$100*DATOS!$C$89,0)))</f>
        <v>0</v>
      </c>
      <c r="O289" s="79">
        <f>IF($M289="",0,N($G289)*$N289)</f>
        <v>0</v>
      </c>
      <c r="P289" s="78" t="str">
        <f>IF($M289="SV",DATOS!$C$98,IF($M289="LD",DATOS!$C$103,IF($M289="OI",DATOS!$C$99,"")))</f>
        <v/>
      </c>
      <c r="Q289" s="80" t="str">
        <f>IF(OR($M289="",N($P289)=0),"",$O289/$P289)</f>
        <v/>
      </c>
      <c r="R289" s="78" t="str">
        <f>IF($M289="","",IF(AND($M289&lt;&gt;"LD",N(DATOS!$C$100)&lt;=0),"PENDIENTE: falta R'",IF($Q289&lt;=1,"CUMPLE","NO CUMPLE")))</f>
        <v/>
      </c>
    </row>
    <row r="290">
      <c r="B290" s="74" t="n"/>
      <c r="C290" s="74" t="n"/>
      <c r="D290" s="74" t="n"/>
      <c r="E290" s="74" t="n"/>
      <c r="F290" s="74" t="n"/>
      <c r="G290" s="75" t="n"/>
      <c r="H290" s="76" t="n"/>
      <c r="I290" s="77" t="n"/>
      <c r="J290" s="77" t="n"/>
      <c r="K290" s="77" t="n"/>
      <c r="M290" s="78" t="str">
        <f>IF($C290="","",IF(ISNUMBER(SEARCH(DATOS!$C$126,$C290)),"SV",IF(ISNUMBER(SEARCH(DATOS!$C$127,$C290)),"LD",IF(ISNUMBER(SEARCH(DATOS!$C$128,$C290)),"OI",""))))</f>
        <v/>
      </c>
      <c r="N290" s="78">
        <f>IF($M290="SV",DATOS!$C$101,IF($M290="LD",1,IF($M290="OI",DATOS!$C$100*DATOS!$C$89,0)))</f>
        <v>0</v>
      </c>
      <c r="O290" s="79">
        <f>IF($M290="",0,N($G290)*$N290)</f>
        <v>0</v>
      </c>
      <c r="P290" s="78" t="str">
        <f>IF($M290="SV",DATOS!$C$98,IF($M290="LD",DATOS!$C$103,IF($M290="OI",DATOS!$C$99,"")))</f>
        <v/>
      </c>
      <c r="Q290" s="80" t="str">
        <f>IF(OR($M290="",N($P290)=0),"",$O290/$P290)</f>
        <v/>
      </c>
      <c r="R290" s="78" t="str">
        <f>IF($M290="","",IF(AND($M290&lt;&gt;"LD",N(DATOS!$C$100)&lt;=0),"PENDIENTE: falta R'",IF($Q290&lt;=1,"CUMPLE","NO CUMPLE")))</f>
        <v/>
      </c>
    </row>
    <row r="291">
      <c r="B291" s="74" t="n"/>
      <c r="C291" s="74" t="n"/>
      <c r="D291" s="74" t="n"/>
      <c r="E291" s="74" t="n"/>
      <c r="F291" s="74" t="n"/>
      <c r="G291" s="75" t="n"/>
      <c r="H291" s="76" t="n"/>
      <c r="I291" s="77" t="n"/>
      <c r="J291" s="77" t="n"/>
      <c r="K291" s="77" t="n"/>
      <c r="M291" s="78" t="str">
        <f>IF($C291="","",IF(ISNUMBER(SEARCH(DATOS!$C$126,$C291)),"SV",IF(ISNUMBER(SEARCH(DATOS!$C$127,$C291)),"LD",IF(ISNUMBER(SEARCH(DATOS!$C$128,$C291)),"OI",""))))</f>
        <v/>
      </c>
      <c r="N291" s="78">
        <f>IF($M291="SV",DATOS!$C$101,IF($M291="LD",1,IF($M291="OI",DATOS!$C$100*DATOS!$C$89,0)))</f>
        <v>0</v>
      </c>
      <c r="O291" s="79">
        <f>IF($M291="",0,N($G291)*$N291)</f>
        <v>0</v>
      </c>
      <c r="P291" s="78" t="str">
        <f>IF($M291="SV",DATOS!$C$98,IF($M291="LD",DATOS!$C$103,IF($M291="OI",DATOS!$C$99,"")))</f>
        <v/>
      </c>
      <c r="Q291" s="80" t="str">
        <f>IF(OR($M291="",N($P291)=0),"",$O291/$P291)</f>
        <v/>
      </c>
      <c r="R291" s="78" t="str">
        <f>IF($M291="","",IF(AND($M291&lt;&gt;"LD",N(DATOS!$C$100)&lt;=0),"PENDIENTE: falta R'",IF($Q291&lt;=1,"CUMPLE","NO CUMPLE")))</f>
        <v/>
      </c>
    </row>
    <row r="292">
      <c r="B292" s="74" t="n"/>
      <c r="C292" s="74" t="n"/>
      <c r="D292" s="74" t="n"/>
      <c r="E292" s="74" t="n"/>
      <c r="F292" s="74" t="n"/>
      <c r="G292" s="75" t="n"/>
      <c r="H292" s="76" t="n"/>
      <c r="I292" s="77" t="n"/>
      <c r="J292" s="77" t="n"/>
      <c r="K292" s="77" t="n"/>
      <c r="M292" s="78" t="str">
        <f>IF($C292="","",IF(ISNUMBER(SEARCH(DATOS!$C$126,$C292)),"SV",IF(ISNUMBER(SEARCH(DATOS!$C$127,$C292)),"LD",IF(ISNUMBER(SEARCH(DATOS!$C$128,$C292)),"OI",""))))</f>
        <v/>
      </c>
      <c r="N292" s="78">
        <f>IF($M292="SV",DATOS!$C$101,IF($M292="LD",1,IF($M292="OI",DATOS!$C$100*DATOS!$C$89,0)))</f>
        <v>0</v>
      </c>
      <c r="O292" s="79">
        <f>IF($M292="",0,N($G292)*$N292)</f>
        <v>0</v>
      </c>
      <c r="P292" s="78" t="str">
        <f>IF($M292="SV",DATOS!$C$98,IF($M292="LD",DATOS!$C$103,IF($M292="OI",DATOS!$C$99,"")))</f>
        <v/>
      </c>
      <c r="Q292" s="80" t="str">
        <f>IF(OR($M292="",N($P292)=0),"",$O292/$P292)</f>
        <v/>
      </c>
      <c r="R292" s="78" t="str">
        <f>IF($M292="","",IF(AND($M292&lt;&gt;"LD",N(DATOS!$C$100)&lt;=0),"PENDIENTE: falta R'",IF($Q292&lt;=1,"CUMPLE","NO CUMPLE")))</f>
        <v/>
      </c>
    </row>
    <row r="293">
      <c r="B293" s="74" t="n"/>
      <c r="C293" s="74" t="n"/>
      <c r="D293" s="74" t="n"/>
      <c r="E293" s="74" t="n"/>
      <c r="F293" s="74" t="n"/>
      <c r="G293" s="75" t="n"/>
      <c r="H293" s="76" t="n"/>
      <c r="I293" s="77" t="n"/>
      <c r="J293" s="77" t="n"/>
      <c r="K293" s="77" t="n"/>
      <c r="M293" s="78" t="str">
        <f>IF($C293="","",IF(ISNUMBER(SEARCH(DATOS!$C$126,$C293)),"SV",IF(ISNUMBER(SEARCH(DATOS!$C$127,$C293)),"LD",IF(ISNUMBER(SEARCH(DATOS!$C$128,$C293)),"OI",""))))</f>
        <v/>
      </c>
      <c r="N293" s="78">
        <f>IF($M293="SV",DATOS!$C$101,IF($M293="LD",1,IF($M293="OI",DATOS!$C$100*DATOS!$C$89,0)))</f>
        <v>0</v>
      </c>
      <c r="O293" s="79">
        <f>IF($M293="",0,N($G293)*$N293)</f>
        <v>0</v>
      </c>
      <c r="P293" s="78" t="str">
        <f>IF($M293="SV",DATOS!$C$98,IF($M293="LD",DATOS!$C$103,IF($M293="OI",DATOS!$C$99,"")))</f>
        <v/>
      </c>
      <c r="Q293" s="80" t="str">
        <f>IF(OR($M293="",N($P293)=0),"",$O293/$P293)</f>
        <v/>
      </c>
      <c r="R293" s="78" t="str">
        <f>IF($M293="","",IF(AND($M293&lt;&gt;"LD",N(DATOS!$C$100)&lt;=0),"PENDIENTE: falta R'",IF($Q293&lt;=1,"CUMPLE","NO CUMPLE")))</f>
        <v/>
      </c>
    </row>
    <row r="294">
      <c r="B294" s="74" t="n"/>
      <c r="C294" s="74" t="n"/>
      <c r="D294" s="74" t="n"/>
      <c r="E294" s="74" t="n"/>
      <c r="F294" s="74" t="n"/>
      <c r="G294" s="75" t="n"/>
      <c r="H294" s="76" t="n"/>
      <c r="I294" s="77" t="n"/>
      <c r="J294" s="77" t="n"/>
      <c r="K294" s="77" t="n"/>
      <c r="M294" s="78" t="str">
        <f>IF($C294="","",IF(ISNUMBER(SEARCH(DATOS!$C$126,$C294)),"SV",IF(ISNUMBER(SEARCH(DATOS!$C$127,$C294)),"LD",IF(ISNUMBER(SEARCH(DATOS!$C$128,$C294)),"OI",""))))</f>
        <v/>
      </c>
      <c r="N294" s="78">
        <f>IF($M294="SV",DATOS!$C$101,IF($M294="LD",1,IF($M294="OI",DATOS!$C$100*DATOS!$C$89,0)))</f>
        <v>0</v>
      </c>
      <c r="O294" s="79">
        <f>IF($M294="",0,N($G294)*$N294)</f>
        <v>0</v>
      </c>
      <c r="P294" s="78" t="str">
        <f>IF($M294="SV",DATOS!$C$98,IF($M294="LD",DATOS!$C$103,IF($M294="OI",DATOS!$C$99,"")))</f>
        <v/>
      </c>
      <c r="Q294" s="80" t="str">
        <f>IF(OR($M294="",N($P294)=0),"",$O294/$P294)</f>
        <v/>
      </c>
      <c r="R294" s="78" t="str">
        <f>IF($M294="","",IF(AND($M294&lt;&gt;"LD",N(DATOS!$C$100)&lt;=0),"PENDIENTE: falta R'",IF($Q294&lt;=1,"CUMPLE","NO CUMPLE")))</f>
        <v/>
      </c>
    </row>
    <row r="295">
      <c r="B295" s="74" t="n"/>
      <c r="C295" s="74" t="n"/>
      <c r="D295" s="74" t="n"/>
      <c r="E295" s="74" t="n"/>
      <c r="F295" s="74" t="n"/>
      <c r="G295" s="75" t="n"/>
      <c r="H295" s="76" t="n"/>
      <c r="I295" s="77" t="n"/>
      <c r="J295" s="77" t="n"/>
      <c r="K295" s="77" t="n"/>
      <c r="M295" s="78" t="str">
        <f>IF($C295="","",IF(ISNUMBER(SEARCH(DATOS!$C$126,$C295)),"SV",IF(ISNUMBER(SEARCH(DATOS!$C$127,$C295)),"LD",IF(ISNUMBER(SEARCH(DATOS!$C$128,$C295)),"OI",""))))</f>
        <v/>
      </c>
      <c r="N295" s="78">
        <f>IF($M295="SV",DATOS!$C$101,IF($M295="LD",1,IF($M295="OI",DATOS!$C$100*DATOS!$C$89,0)))</f>
        <v>0</v>
      </c>
      <c r="O295" s="79">
        <f>IF($M295="",0,N($G295)*$N295)</f>
        <v>0</v>
      </c>
      <c r="P295" s="78" t="str">
        <f>IF($M295="SV",DATOS!$C$98,IF($M295="LD",DATOS!$C$103,IF($M295="OI",DATOS!$C$99,"")))</f>
        <v/>
      </c>
      <c r="Q295" s="80" t="str">
        <f>IF(OR($M295="",N($P295)=0),"",$O295/$P295)</f>
        <v/>
      </c>
      <c r="R295" s="78" t="str">
        <f>IF($M295="","",IF(AND($M295&lt;&gt;"LD",N(DATOS!$C$100)&lt;=0),"PENDIENTE: falta R'",IF($Q295&lt;=1,"CUMPLE","NO CUMPLE")))</f>
        <v/>
      </c>
    </row>
    <row r="296">
      <c r="B296" s="74" t="n"/>
      <c r="C296" s="74" t="n"/>
      <c r="D296" s="74" t="n"/>
      <c r="E296" s="74" t="n"/>
      <c r="F296" s="74" t="n"/>
      <c r="G296" s="75" t="n"/>
      <c r="H296" s="76" t="n"/>
      <c r="I296" s="77" t="n"/>
      <c r="J296" s="77" t="n"/>
      <c r="K296" s="77" t="n"/>
      <c r="M296" s="78" t="str">
        <f>IF($C296="","",IF(ISNUMBER(SEARCH(DATOS!$C$126,$C296)),"SV",IF(ISNUMBER(SEARCH(DATOS!$C$127,$C296)),"LD",IF(ISNUMBER(SEARCH(DATOS!$C$128,$C296)),"OI",""))))</f>
        <v/>
      </c>
      <c r="N296" s="78">
        <f>IF($M296="SV",DATOS!$C$101,IF($M296="LD",1,IF($M296="OI",DATOS!$C$100*DATOS!$C$89,0)))</f>
        <v>0</v>
      </c>
      <c r="O296" s="79">
        <f>IF($M296="",0,N($G296)*$N296)</f>
        <v>0</v>
      </c>
      <c r="P296" s="78" t="str">
        <f>IF($M296="SV",DATOS!$C$98,IF($M296="LD",DATOS!$C$103,IF($M296="OI",DATOS!$C$99,"")))</f>
        <v/>
      </c>
      <c r="Q296" s="80" t="str">
        <f>IF(OR($M296="",N($P296)=0),"",$O296/$P296)</f>
        <v/>
      </c>
      <c r="R296" s="78" t="str">
        <f>IF($M296="","",IF(AND($M296&lt;&gt;"LD",N(DATOS!$C$100)&lt;=0),"PENDIENTE: falta R'",IF($Q296&lt;=1,"CUMPLE","NO CUMPLE")))</f>
        <v/>
      </c>
    </row>
    <row r="297">
      <c r="B297" s="74" t="n"/>
      <c r="C297" s="74" t="n"/>
      <c r="D297" s="74" t="n"/>
      <c r="E297" s="74" t="n"/>
      <c r="F297" s="74" t="n"/>
      <c r="G297" s="75" t="n"/>
      <c r="H297" s="76" t="n"/>
      <c r="I297" s="77" t="n"/>
      <c r="J297" s="77" t="n"/>
      <c r="K297" s="77" t="n"/>
      <c r="M297" s="78" t="str">
        <f>IF($C297="","",IF(ISNUMBER(SEARCH(DATOS!$C$126,$C297)),"SV",IF(ISNUMBER(SEARCH(DATOS!$C$127,$C297)),"LD",IF(ISNUMBER(SEARCH(DATOS!$C$128,$C297)),"OI",""))))</f>
        <v/>
      </c>
      <c r="N297" s="78">
        <f>IF($M297="SV",DATOS!$C$101,IF($M297="LD",1,IF($M297="OI",DATOS!$C$100*DATOS!$C$89,0)))</f>
        <v>0</v>
      </c>
      <c r="O297" s="79">
        <f>IF($M297="",0,N($G297)*$N297)</f>
        <v>0</v>
      </c>
      <c r="P297" s="78" t="str">
        <f>IF($M297="SV",DATOS!$C$98,IF($M297="LD",DATOS!$C$103,IF($M297="OI",DATOS!$C$99,"")))</f>
        <v/>
      </c>
      <c r="Q297" s="80" t="str">
        <f>IF(OR($M297="",N($P297)=0),"",$O297/$P297)</f>
        <v/>
      </c>
      <c r="R297" s="78" t="str">
        <f>IF($M297="","",IF(AND($M297&lt;&gt;"LD",N(DATOS!$C$100)&lt;=0),"PENDIENTE: falta R'",IF($Q297&lt;=1,"CUMPLE","NO CUMPLE")))</f>
        <v/>
      </c>
    </row>
    <row r="298">
      <c r="B298" s="74" t="n"/>
      <c r="C298" s="74" t="n"/>
      <c r="D298" s="74" t="n"/>
      <c r="E298" s="74" t="n"/>
      <c r="F298" s="74" t="n"/>
      <c r="G298" s="75" t="n"/>
      <c r="H298" s="76" t="n"/>
      <c r="I298" s="77" t="n"/>
      <c r="J298" s="77" t="n"/>
      <c r="K298" s="77" t="n"/>
      <c r="M298" s="78" t="str">
        <f>IF($C298="","",IF(ISNUMBER(SEARCH(DATOS!$C$126,$C298)),"SV",IF(ISNUMBER(SEARCH(DATOS!$C$127,$C298)),"LD",IF(ISNUMBER(SEARCH(DATOS!$C$128,$C298)),"OI",""))))</f>
        <v/>
      </c>
      <c r="N298" s="78">
        <f>IF($M298="SV",DATOS!$C$101,IF($M298="LD",1,IF($M298="OI",DATOS!$C$100*DATOS!$C$89,0)))</f>
        <v>0</v>
      </c>
      <c r="O298" s="79">
        <f>IF($M298="",0,N($G298)*$N298)</f>
        <v>0</v>
      </c>
      <c r="P298" s="78" t="str">
        <f>IF($M298="SV",DATOS!$C$98,IF($M298="LD",DATOS!$C$103,IF($M298="OI",DATOS!$C$99,"")))</f>
        <v/>
      </c>
      <c r="Q298" s="80" t="str">
        <f>IF(OR($M298="",N($P298)=0),"",$O298/$P298)</f>
        <v/>
      </c>
      <c r="R298" s="78" t="str">
        <f>IF($M298="","",IF(AND($M298&lt;&gt;"LD",N(DATOS!$C$100)&lt;=0),"PENDIENTE: falta R'",IF($Q298&lt;=1,"CUMPLE","NO CUMPLE")))</f>
        <v/>
      </c>
    </row>
    <row r="299">
      <c r="B299" s="74" t="n"/>
      <c r="C299" s="74" t="n"/>
      <c r="D299" s="74" t="n"/>
      <c r="E299" s="74" t="n"/>
      <c r="F299" s="74" t="n"/>
      <c r="G299" s="75" t="n"/>
      <c r="H299" s="76" t="n"/>
      <c r="I299" s="77" t="n"/>
      <c r="J299" s="77" t="n"/>
      <c r="K299" s="77" t="n"/>
      <c r="M299" s="78" t="str">
        <f>IF($C299="","",IF(ISNUMBER(SEARCH(DATOS!$C$126,$C299)),"SV",IF(ISNUMBER(SEARCH(DATOS!$C$127,$C299)),"LD",IF(ISNUMBER(SEARCH(DATOS!$C$128,$C299)),"OI",""))))</f>
        <v/>
      </c>
      <c r="N299" s="78">
        <f>IF($M299="SV",DATOS!$C$101,IF($M299="LD",1,IF($M299="OI",DATOS!$C$100*DATOS!$C$89,0)))</f>
        <v>0</v>
      </c>
      <c r="O299" s="79">
        <f>IF($M299="",0,N($G299)*$N299)</f>
        <v>0</v>
      </c>
      <c r="P299" s="78" t="str">
        <f>IF($M299="SV",DATOS!$C$98,IF($M299="LD",DATOS!$C$103,IF($M299="OI",DATOS!$C$99,"")))</f>
        <v/>
      </c>
      <c r="Q299" s="80" t="str">
        <f>IF(OR($M299="",N($P299)=0),"",$O299/$P299)</f>
        <v/>
      </c>
      <c r="R299" s="78" t="str">
        <f>IF($M299="","",IF(AND($M299&lt;&gt;"LD",N(DATOS!$C$100)&lt;=0),"PENDIENTE: falta R'",IF($Q299&lt;=1,"CUMPLE","NO CUMPLE")))</f>
        <v/>
      </c>
    </row>
    <row r="300">
      <c r="B300" s="74" t="n"/>
      <c r="C300" s="74" t="n"/>
      <c r="D300" s="74" t="n"/>
      <c r="E300" s="74" t="n"/>
      <c r="F300" s="74" t="n"/>
      <c r="G300" s="75" t="n"/>
      <c r="H300" s="76" t="n"/>
      <c r="I300" s="77" t="n"/>
      <c r="J300" s="77" t="n"/>
      <c r="K300" s="77" t="n"/>
      <c r="M300" s="78" t="str">
        <f>IF($C300="","",IF(ISNUMBER(SEARCH(DATOS!$C$126,$C300)),"SV",IF(ISNUMBER(SEARCH(DATOS!$C$127,$C300)),"LD",IF(ISNUMBER(SEARCH(DATOS!$C$128,$C300)),"OI",""))))</f>
        <v/>
      </c>
      <c r="N300" s="78">
        <f>IF($M300="SV",DATOS!$C$101,IF($M300="LD",1,IF($M300="OI",DATOS!$C$100*DATOS!$C$89,0)))</f>
        <v>0</v>
      </c>
      <c r="O300" s="79">
        <f>IF($M300="",0,N($G300)*$N300)</f>
        <v>0</v>
      </c>
      <c r="P300" s="78" t="str">
        <f>IF($M300="SV",DATOS!$C$98,IF($M300="LD",DATOS!$C$103,IF($M300="OI",DATOS!$C$99,"")))</f>
        <v/>
      </c>
      <c r="Q300" s="80" t="str">
        <f>IF(OR($M300="",N($P300)=0),"",$O300/$P300)</f>
        <v/>
      </c>
      <c r="R300" s="78" t="str">
        <f>IF($M300="","",IF(AND($M300&lt;&gt;"LD",N(DATOS!$C$100)&lt;=0),"PENDIENTE: falta R'",IF($Q300&lt;=1,"CUMPLE","NO CUMPLE")))</f>
        <v/>
      </c>
    </row>
    <row r="301">
      <c r="B301" s="74" t="n"/>
      <c r="C301" s="74" t="n"/>
      <c r="D301" s="74" t="n"/>
      <c r="E301" s="74" t="n"/>
      <c r="F301" s="74" t="n"/>
      <c r="G301" s="75" t="n"/>
      <c r="H301" s="76" t="n"/>
      <c r="I301" s="77" t="n"/>
      <c r="J301" s="77" t="n"/>
      <c r="K301" s="77" t="n"/>
      <c r="M301" s="78" t="str">
        <f>IF($C301="","",IF(ISNUMBER(SEARCH(DATOS!$C$126,$C301)),"SV",IF(ISNUMBER(SEARCH(DATOS!$C$127,$C301)),"LD",IF(ISNUMBER(SEARCH(DATOS!$C$128,$C301)),"OI",""))))</f>
        <v/>
      </c>
      <c r="N301" s="78">
        <f>IF($M301="SV",DATOS!$C$101,IF($M301="LD",1,IF($M301="OI",DATOS!$C$100*DATOS!$C$89,0)))</f>
        <v>0</v>
      </c>
      <c r="O301" s="79">
        <f>IF($M301="",0,N($G301)*$N301)</f>
        <v>0</v>
      </c>
      <c r="P301" s="78" t="str">
        <f>IF($M301="SV",DATOS!$C$98,IF($M301="LD",DATOS!$C$103,IF($M301="OI",DATOS!$C$99,"")))</f>
        <v/>
      </c>
      <c r="Q301" s="80" t="str">
        <f>IF(OR($M301="",N($P301)=0),"",$O301/$P301)</f>
        <v/>
      </c>
      <c r="R301" s="78" t="str">
        <f>IF($M301="","",IF(AND($M301&lt;&gt;"LD",N(DATOS!$C$100)&lt;=0),"PENDIENTE: falta R'",IF($Q301&lt;=1,"CUMPLE","NO CUMPLE")))</f>
        <v/>
      </c>
    </row>
    <row r="302">
      <c r="B302" s="74" t="n"/>
      <c r="C302" s="74" t="n"/>
      <c r="D302" s="74" t="n"/>
      <c r="E302" s="74" t="n"/>
      <c r="F302" s="74" t="n"/>
      <c r="G302" s="75" t="n"/>
      <c r="H302" s="76" t="n"/>
      <c r="I302" s="77" t="n"/>
      <c r="J302" s="77" t="n"/>
      <c r="K302" s="77" t="n"/>
      <c r="M302" s="78" t="str">
        <f>IF($C302="","",IF(ISNUMBER(SEARCH(DATOS!$C$126,$C302)),"SV",IF(ISNUMBER(SEARCH(DATOS!$C$127,$C302)),"LD",IF(ISNUMBER(SEARCH(DATOS!$C$128,$C302)),"OI",""))))</f>
        <v/>
      </c>
      <c r="N302" s="78">
        <f>IF($M302="SV",DATOS!$C$101,IF($M302="LD",1,IF($M302="OI",DATOS!$C$100*DATOS!$C$89,0)))</f>
        <v>0</v>
      </c>
      <c r="O302" s="79">
        <f>IF($M302="",0,N($G302)*$N302)</f>
        <v>0</v>
      </c>
      <c r="P302" s="78" t="str">
        <f>IF($M302="SV",DATOS!$C$98,IF($M302="LD",DATOS!$C$103,IF($M302="OI",DATOS!$C$99,"")))</f>
        <v/>
      </c>
      <c r="Q302" s="80" t="str">
        <f>IF(OR($M302="",N($P302)=0),"",$O302/$P302)</f>
        <v/>
      </c>
      <c r="R302" s="78" t="str">
        <f>IF($M302="","",IF(AND($M302&lt;&gt;"LD",N(DATOS!$C$100)&lt;=0),"PENDIENTE: falta R'",IF($Q302&lt;=1,"CUMPLE","NO CUMPLE")))</f>
        <v/>
      </c>
    </row>
    <row r="303">
      <c r="B303" s="74" t="n"/>
      <c r="C303" s="74" t="n"/>
      <c r="D303" s="74" t="n"/>
      <c r="E303" s="74" t="n"/>
      <c r="F303" s="74" t="n"/>
      <c r="G303" s="75" t="n"/>
      <c r="H303" s="76" t="n"/>
      <c r="I303" s="77" t="n"/>
      <c r="J303" s="77" t="n"/>
      <c r="K303" s="77" t="n"/>
      <c r="M303" s="78" t="str">
        <f>IF($C303="","",IF(ISNUMBER(SEARCH(DATOS!$C$126,$C303)),"SV",IF(ISNUMBER(SEARCH(DATOS!$C$127,$C303)),"LD",IF(ISNUMBER(SEARCH(DATOS!$C$128,$C303)),"OI",""))))</f>
        <v/>
      </c>
      <c r="N303" s="78">
        <f>IF($M303="SV",DATOS!$C$101,IF($M303="LD",1,IF($M303="OI",DATOS!$C$100*DATOS!$C$89,0)))</f>
        <v>0</v>
      </c>
      <c r="O303" s="79">
        <f>IF($M303="",0,N($G303)*$N303)</f>
        <v>0</v>
      </c>
      <c r="P303" s="78" t="str">
        <f>IF($M303="SV",DATOS!$C$98,IF($M303="LD",DATOS!$C$103,IF($M303="OI",DATOS!$C$99,"")))</f>
        <v/>
      </c>
      <c r="Q303" s="80" t="str">
        <f>IF(OR($M303="",N($P303)=0),"",$O303/$P303)</f>
        <v/>
      </c>
      <c r="R303" s="78" t="str">
        <f>IF($M303="","",IF(AND($M303&lt;&gt;"LD",N(DATOS!$C$100)&lt;=0),"PENDIENTE: falta R'",IF($Q303&lt;=1,"CUMPLE","NO CUMPLE")))</f>
        <v/>
      </c>
    </row>
    <row r="304">
      <c r="B304" s="74" t="n"/>
      <c r="C304" s="74" t="n"/>
      <c r="D304" s="74" t="n"/>
      <c r="E304" s="74" t="n"/>
      <c r="F304" s="74" t="n"/>
      <c r="G304" s="75" t="n"/>
      <c r="H304" s="76" t="n"/>
      <c r="I304" s="77" t="n"/>
      <c r="J304" s="77" t="n"/>
      <c r="K304" s="77" t="n"/>
      <c r="M304" s="78" t="str">
        <f>IF($C304="","",IF(ISNUMBER(SEARCH(DATOS!$C$126,$C304)),"SV",IF(ISNUMBER(SEARCH(DATOS!$C$127,$C304)),"LD",IF(ISNUMBER(SEARCH(DATOS!$C$128,$C304)),"OI",""))))</f>
        <v/>
      </c>
      <c r="N304" s="78">
        <f>IF($M304="SV",DATOS!$C$101,IF($M304="LD",1,IF($M304="OI",DATOS!$C$100*DATOS!$C$89,0)))</f>
        <v>0</v>
      </c>
      <c r="O304" s="79">
        <f>IF($M304="",0,N($G304)*$N304)</f>
        <v>0</v>
      </c>
      <c r="P304" s="78" t="str">
        <f>IF($M304="SV",DATOS!$C$98,IF($M304="LD",DATOS!$C$103,IF($M304="OI",DATOS!$C$99,"")))</f>
        <v/>
      </c>
      <c r="Q304" s="80" t="str">
        <f>IF(OR($M304="",N($P304)=0),"",$O304/$P304)</f>
        <v/>
      </c>
      <c r="R304" s="78" t="str">
        <f>IF($M304="","",IF(AND($M304&lt;&gt;"LD",N(DATOS!$C$100)&lt;=0),"PENDIENTE: falta R'",IF($Q304&lt;=1,"CUMPLE","NO CUMPLE")))</f>
        <v/>
      </c>
    </row>
    <row r="305">
      <c r="B305" s="74" t="n"/>
      <c r="C305" s="74" t="n"/>
      <c r="D305" s="74" t="n"/>
      <c r="E305" s="74" t="n"/>
      <c r="F305" s="74" t="n"/>
      <c r="G305" s="75" t="n"/>
      <c r="H305" s="76" t="n"/>
      <c r="I305" s="77" t="n"/>
      <c r="J305" s="77" t="n"/>
      <c r="K305" s="77" t="n"/>
      <c r="M305" s="78" t="str">
        <f>IF($C305="","",IF(ISNUMBER(SEARCH(DATOS!$C$126,$C305)),"SV",IF(ISNUMBER(SEARCH(DATOS!$C$127,$C305)),"LD",IF(ISNUMBER(SEARCH(DATOS!$C$128,$C305)),"OI",""))))</f>
        <v/>
      </c>
      <c r="N305" s="78">
        <f>IF($M305="SV",DATOS!$C$101,IF($M305="LD",1,IF($M305="OI",DATOS!$C$100*DATOS!$C$89,0)))</f>
        <v>0</v>
      </c>
      <c r="O305" s="79">
        <f>IF($M305="",0,N($G305)*$N305)</f>
        <v>0</v>
      </c>
      <c r="P305" s="78" t="str">
        <f>IF($M305="SV",DATOS!$C$98,IF($M305="LD",DATOS!$C$103,IF($M305="OI",DATOS!$C$99,"")))</f>
        <v/>
      </c>
      <c r="Q305" s="80" t="str">
        <f>IF(OR($M305="",N($P305)=0),"",$O305/$P305)</f>
        <v/>
      </c>
      <c r="R305" s="78" t="str">
        <f>IF($M305="","",IF(AND($M305&lt;&gt;"LD",N(DATOS!$C$100)&lt;=0),"PENDIENTE: falta R'",IF($Q305&lt;=1,"CUMPLE","NO CUMPLE")))</f>
        <v/>
      </c>
    </row>
    <row r="306">
      <c r="B306" s="74" t="n"/>
      <c r="C306" s="74" t="n"/>
      <c r="D306" s="74" t="n"/>
      <c r="E306" s="74" t="n"/>
      <c r="F306" s="74" t="n"/>
      <c r="G306" s="75" t="n"/>
      <c r="H306" s="76" t="n"/>
      <c r="I306" s="77" t="n"/>
      <c r="J306" s="77" t="n"/>
      <c r="K306" s="77" t="n"/>
      <c r="M306" s="78" t="str">
        <f>IF($C306="","",IF(ISNUMBER(SEARCH(DATOS!$C$126,$C306)),"SV",IF(ISNUMBER(SEARCH(DATOS!$C$127,$C306)),"LD",IF(ISNUMBER(SEARCH(DATOS!$C$128,$C306)),"OI",""))))</f>
        <v/>
      </c>
      <c r="N306" s="78">
        <f>IF($M306="SV",DATOS!$C$101,IF($M306="LD",1,IF($M306="OI",DATOS!$C$100*DATOS!$C$89,0)))</f>
        <v>0</v>
      </c>
      <c r="O306" s="79">
        <f>IF($M306="",0,N($G306)*$N306)</f>
        <v>0</v>
      </c>
      <c r="P306" s="78" t="str">
        <f>IF($M306="SV",DATOS!$C$98,IF($M306="LD",DATOS!$C$103,IF($M306="OI",DATOS!$C$99,"")))</f>
        <v/>
      </c>
      <c r="Q306" s="80" t="str">
        <f>IF(OR($M306="",N($P306)=0),"",$O306/$P306)</f>
        <v/>
      </c>
      <c r="R306" s="78" t="str">
        <f>IF($M306="","",IF(AND($M306&lt;&gt;"LD",N(DATOS!$C$100)&lt;=0),"PENDIENTE: falta R'",IF($Q306&lt;=1,"CUMPLE","NO CUMPLE")))</f>
        <v/>
      </c>
    </row>
    <row r="307">
      <c r="B307" s="74" t="n"/>
      <c r="C307" s="74" t="n"/>
      <c r="D307" s="74" t="n"/>
      <c r="E307" s="74" t="n"/>
      <c r="F307" s="74" t="n"/>
      <c r="G307" s="75" t="n"/>
      <c r="H307" s="76" t="n"/>
      <c r="I307" s="77" t="n"/>
      <c r="J307" s="77" t="n"/>
      <c r="K307" s="77" t="n"/>
      <c r="M307" s="78" t="str">
        <f>IF($C307="","",IF(ISNUMBER(SEARCH(DATOS!$C$126,$C307)),"SV",IF(ISNUMBER(SEARCH(DATOS!$C$127,$C307)),"LD",IF(ISNUMBER(SEARCH(DATOS!$C$128,$C307)),"OI",""))))</f>
        <v/>
      </c>
      <c r="N307" s="78">
        <f>IF($M307="SV",DATOS!$C$101,IF($M307="LD",1,IF($M307="OI",DATOS!$C$100*DATOS!$C$89,0)))</f>
        <v>0</v>
      </c>
      <c r="O307" s="79">
        <f>IF($M307="",0,N($G307)*$N307)</f>
        <v>0</v>
      </c>
      <c r="P307" s="78" t="str">
        <f>IF($M307="SV",DATOS!$C$98,IF($M307="LD",DATOS!$C$103,IF($M307="OI",DATOS!$C$99,"")))</f>
        <v/>
      </c>
      <c r="Q307" s="80" t="str">
        <f>IF(OR($M307="",N($P307)=0),"",$O307/$P307)</f>
        <v/>
      </c>
      <c r="R307" s="78" t="str">
        <f>IF($M307="","",IF(AND($M307&lt;&gt;"LD",N(DATOS!$C$100)&lt;=0),"PENDIENTE: falta R'",IF($Q307&lt;=1,"CUMPLE","NO CUMPLE")))</f>
        <v/>
      </c>
    </row>
    <row r="308">
      <c r="B308" s="74" t="n"/>
      <c r="C308" s="74" t="n"/>
      <c r="D308" s="74" t="n"/>
      <c r="E308" s="74" t="n"/>
      <c r="F308" s="74" t="n"/>
      <c r="G308" s="75" t="n"/>
      <c r="H308" s="76" t="n"/>
      <c r="I308" s="77" t="n"/>
      <c r="J308" s="77" t="n"/>
      <c r="K308" s="77" t="n"/>
      <c r="M308" s="78" t="str">
        <f>IF($C308="","",IF(ISNUMBER(SEARCH(DATOS!$C$126,$C308)),"SV",IF(ISNUMBER(SEARCH(DATOS!$C$127,$C308)),"LD",IF(ISNUMBER(SEARCH(DATOS!$C$128,$C308)),"OI",""))))</f>
        <v/>
      </c>
      <c r="N308" s="78">
        <f>IF($M308="SV",DATOS!$C$101,IF($M308="LD",1,IF($M308="OI",DATOS!$C$100*DATOS!$C$89,0)))</f>
        <v>0</v>
      </c>
      <c r="O308" s="79">
        <f>IF($M308="",0,N($G308)*$N308)</f>
        <v>0</v>
      </c>
      <c r="P308" s="78" t="str">
        <f>IF($M308="SV",DATOS!$C$98,IF($M308="LD",DATOS!$C$103,IF($M308="OI",DATOS!$C$99,"")))</f>
        <v/>
      </c>
      <c r="Q308" s="80" t="str">
        <f>IF(OR($M308="",N($P308)=0),"",$O308/$P308)</f>
        <v/>
      </c>
      <c r="R308" s="78" t="str">
        <f>IF($M308="","",IF(AND($M308&lt;&gt;"LD",N(DATOS!$C$100)&lt;=0),"PENDIENTE: falta R'",IF($Q308&lt;=1,"CUMPLE","NO CUMPLE")))</f>
        <v/>
      </c>
    </row>
    <row r="309">
      <c r="B309" s="74" t="n"/>
      <c r="C309" s="74" t="n"/>
      <c r="D309" s="74" t="n"/>
      <c r="E309" s="74" t="n"/>
      <c r="F309" s="74" t="n"/>
      <c r="G309" s="75" t="n"/>
      <c r="H309" s="76" t="n"/>
      <c r="I309" s="77" t="n"/>
      <c r="J309" s="77" t="n"/>
      <c r="K309" s="77" t="n"/>
      <c r="M309" s="78" t="str">
        <f>IF($C309="","",IF(ISNUMBER(SEARCH(DATOS!$C$126,$C309)),"SV",IF(ISNUMBER(SEARCH(DATOS!$C$127,$C309)),"LD",IF(ISNUMBER(SEARCH(DATOS!$C$128,$C309)),"OI",""))))</f>
        <v/>
      </c>
      <c r="N309" s="78">
        <f>IF($M309="SV",DATOS!$C$101,IF($M309="LD",1,IF($M309="OI",DATOS!$C$100*DATOS!$C$89,0)))</f>
        <v>0</v>
      </c>
      <c r="O309" s="79">
        <f>IF($M309="",0,N($G309)*$N309)</f>
        <v>0</v>
      </c>
      <c r="P309" s="78" t="str">
        <f>IF($M309="SV",DATOS!$C$98,IF($M309="LD",DATOS!$C$103,IF($M309="OI",DATOS!$C$99,"")))</f>
        <v/>
      </c>
      <c r="Q309" s="80" t="str">
        <f>IF(OR($M309="",N($P309)=0),"",$O309/$P309)</f>
        <v/>
      </c>
      <c r="R309" s="78" t="str">
        <f>IF($M309="","",IF(AND($M309&lt;&gt;"LD",N(DATOS!$C$100)&lt;=0),"PENDIENTE: falta R'",IF($Q309&lt;=1,"CUMPLE","NO CUMPLE")))</f>
        <v/>
      </c>
    </row>
    <row r="310">
      <c r="B310" s="74" t="n"/>
      <c r="C310" s="74" t="n"/>
      <c r="D310" s="74" t="n"/>
      <c r="E310" s="74" t="n"/>
      <c r="F310" s="74" t="n"/>
      <c r="G310" s="75" t="n"/>
      <c r="H310" s="76" t="n"/>
      <c r="I310" s="77" t="n"/>
      <c r="J310" s="77" t="n"/>
      <c r="K310" s="77" t="n"/>
      <c r="M310" s="78" t="str">
        <f>IF($C310="","",IF(ISNUMBER(SEARCH(DATOS!$C$126,$C310)),"SV",IF(ISNUMBER(SEARCH(DATOS!$C$127,$C310)),"LD",IF(ISNUMBER(SEARCH(DATOS!$C$128,$C310)),"OI",""))))</f>
        <v/>
      </c>
      <c r="N310" s="78">
        <f>IF($M310="SV",DATOS!$C$101,IF($M310="LD",1,IF($M310="OI",DATOS!$C$100*DATOS!$C$89,0)))</f>
        <v>0</v>
      </c>
      <c r="O310" s="79">
        <f>IF($M310="",0,N($G310)*$N310)</f>
        <v>0</v>
      </c>
      <c r="P310" s="78" t="str">
        <f>IF($M310="SV",DATOS!$C$98,IF($M310="LD",DATOS!$C$103,IF($M310="OI",DATOS!$C$99,"")))</f>
        <v/>
      </c>
      <c r="Q310" s="80" t="str">
        <f>IF(OR($M310="",N($P310)=0),"",$O310/$P310)</f>
        <v/>
      </c>
      <c r="R310" s="78" t="str">
        <f>IF($M310="","",IF(AND($M310&lt;&gt;"LD",N(DATOS!$C$100)&lt;=0),"PENDIENTE: falta R'",IF($Q310&lt;=1,"CUMPLE","NO CUMPLE")))</f>
        <v/>
      </c>
    </row>
    <row r="311">
      <c r="B311" s="74" t="n"/>
      <c r="C311" s="74" t="n"/>
      <c r="D311" s="74" t="n"/>
      <c r="E311" s="74" t="n"/>
      <c r="F311" s="74" t="n"/>
      <c r="G311" s="75" t="n"/>
      <c r="H311" s="76" t="n"/>
      <c r="I311" s="77" t="n"/>
      <c r="J311" s="77" t="n"/>
      <c r="K311" s="77" t="n"/>
      <c r="M311" s="78" t="str">
        <f>IF($C311="","",IF(ISNUMBER(SEARCH(DATOS!$C$126,$C311)),"SV",IF(ISNUMBER(SEARCH(DATOS!$C$127,$C311)),"LD",IF(ISNUMBER(SEARCH(DATOS!$C$128,$C311)),"OI",""))))</f>
        <v/>
      </c>
      <c r="N311" s="78">
        <f>IF($M311="SV",DATOS!$C$101,IF($M311="LD",1,IF($M311="OI",DATOS!$C$100*DATOS!$C$89,0)))</f>
        <v>0</v>
      </c>
      <c r="O311" s="79">
        <f>IF($M311="",0,N($G311)*$N311)</f>
        <v>0</v>
      </c>
      <c r="P311" s="78" t="str">
        <f>IF($M311="SV",DATOS!$C$98,IF($M311="LD",DATOS!$C$103,IF($M311="OI",DATOS!$C$99,"")))</f>
        <v/>
      </c>
      <c r="Q311" s="80" t="str">
        <f>IF(OR($M311="",N($P311)=0),"",$O311/$P311)</f>
        <v/>
      </c>
      <c r="R311" s="78" t="str">
        <f>IF($M311="","",IF(AND($M311&lt;&gt;"LD",N(DATOS!$C$100)&lt;=0),"PENDIENTE: falta R'",IF($Q311&lt;=1,"CUMPLE","NO CUMPLE")))</f>
        <v/>
      </c>
    </row>
    <row r="312">
      <c r="B312" s="74" t="n"/>
      <c r="C312" s="74" t="n"/>
      <c r="D312" s="74" t="n"/>
      <c r="E312" s="74" t="n"/>
      <c r="F312" s="74" t="n"/>
      <c r="G312" s="75" t="n"/>
      <c r="H312" s="76" t="n"/>
      <c r="I312" s="77" t="n"/>
      <c r="J312" s="77" t="n"/>
      <c r="K312" s="77" t="n"/>
      <c r="M312" s="78" t="str">
        <f>IF($C312="","",IF(ISNUMBER(SEARCH(DATOS!$C$126,$C312)),"SV",IF(ISNUMBER(SEARCH(DATOS!$C$127,$C312)),"LD",IF(ISNUMBER(SEARCH(DATOS!$C$128,$C312)),"OI",""))))</f>
        <v/>
      </c>
      <c r="N312" s="78">
        <f>IF($M312="SV",DATOS!$C$101,IF($M312="LD",1,IF($M312="OI",DATOS!$C$100*DATOS!$C$89,0)))</f>
        <v>0</v>
      </c>
      <c r="O312" s="79">
        <f>IF($M312="",0,N($G312)*$N312)</f>
        <v>0</v>
      </c>
      <c r="P312" s="78" t="str">
        <f>IF($M312="SV",DATOS!$C$98,IF($M312="LD",DATOS!$C$103,IF($M312="OI",DATOS!$C$99,"")))</f>
        <v/>
      </c>
      <c r="Q312" s="80" t="str">
        <f>IF(OR($M312="",N($P312)=0),"",$O312/$P312)</f>
        <v/>
      </c>
      <c r="R312" s="78" t="str">
        <f>IF($M312="","",IF(AND($M312&lt;&gt;"LD",N(DATOS!$C$100)&lt;=0),"PENDIENTE: falta R'",IF($Q312&lt;=1,"CUMPLE","NO CUMPLE")))</f>
        <v/>
      </c>
    </row>
    <row r="313">
      <c r="B313" s="74" t="n"/>
      <c r="C313" s="74" t="n"/>
      <c r="D313" s="74" t="n"/>
      <c r="E313" s="74" t="n"/>
      <c r="F313" s="74" t="n"/>
      <c r="G313" s="75" t="n"/>
      <c r="H313" s="76" t="n"/>
      <c r="I313" s="77" t="n"/>
      <c r="J313" s="77" t="n"/>
      <c r="K313" s="77" t="n"/>
      <c r="M313" s="78" t="str">
        <f>IF($C313="","",IF(ISNUMBER(SEARCH(DATOS!$C$126,$C313)),"SV",IF(ISNUMBER(SEARCH(DATOS!$C$127,$C313)),"LD",IF(ISNUMBER(SEARCH(DATOS!$C$128,$C313)),"OI",""))))</f>
        <v/>
      </c>
      <c r="N313" s="78">
        <f>IF($M313="SV",DATOS!$C$101,IF($M313="LD",1,IF($M313="OI",DATOS!$C$100*DATOS!$C$89,0)))</f>
        <v>0</v>
      </c>
      <c r="O313" s="79">
        <f>IF($M313="",0,N($G313)*$N313)</f>
        <v>0</v>
      </c>
      <c r="P313" s="78" t="str">
        <f>IF($M313="SV",DATOS!$C$98,IF($M313="LD",DATOS!$C$103,IF($M313="OI",DATOS!$C$99,"")))</f>
        <v/>
      </c>
      <c r="Q313" s="80" t="str">
        <f>IF(OR($M313="",N($P313)=0),"",$O313/$P313)</f>
        <v/>
      </c>
      <c r="R313" s="78" t="str">
        <f>IF($M313="","",IF(AND($M313&lt;&gt;"LD",N(DATOS!$C$100)&lt;=0),"PENDIENTE: falta R'",IF($Q313&lt;=1,"CUMPLE","NO CUMPLE")))</f>
        <v/>
      </c>
    </row>
    <row r="314">
      <c r="B314" s="74" t="n"/>
      <c r="C314" s="74" t="n"/>
      <c r="D314" s="74" t="n"/>
      <c r="E314" s="74" t="n"/>
      <c r="F314" s="74" t="n"/>
      <c r="G314" s="75" t="n"/>
      <c r="H314" s="76" t="n"/>
      <c r="I314" s="77" t="n"/>
      <c r="J314" s="77" t="n"/>
      <c r="K314" s="77" t="n"/>
      <c r="M314" s="78" t="str">
        <f>IF($C314="","",IF(ISNUMBER(SEARCH(DATOS!$C$126,$C314)),"SV",IF(ISNUMBER(SEARCH(DATOS!$C$127,$C314)),"LD",IF(ISNUMBER(SEARCH(DATOS!$C$128,$C314)),"OI",""))))</f>
        <v/>
      </c>
      <c r="N314" s="78">
        <f>IF($M314="SV",DATOS!$C$101,IF($M314="LD",1,IF($M314="OI",DATOS!$C$100*DATOS!$C$89,0)))</f>
        <v>0</v>
      </c>
      <c r="O314" s="79">
        <f>IF($M314="",0,N($G314)*$N314)</f>
        <v>0</v>
      </c>
      <c r="P314" s="78" t="str">
        <f>IF($M314="SV",DATOS!$C$98,IF($M314="LD",DATOS!$C$103,IF($M314="OI",DATOS!$C$99,"")))</f>
        <v/>
      </c>
      <c r="Q314" s="80" t="str">
        <f>IF(OR($M314="",N($P314)=0),"",$O314/$P314)</f>
        <v/>
      </c>
      <c r="R314" s="78" t="str">
        <f>IF($M314="","",IF(AND($M314&lt;&gt;"LD",N(DATOS!$C$100)&lt;=0),"PENDIENTE: falta R'",IF($Q314&lt;=1,"CUMPLE","NO CUMPLE")))</f>
        <v/>
      </c>
    </row>
    <row r="315">
      <c r="B315" s="74" t="n"/>
      <c r="C315" s="74" t="n"/>
      <c r="D315" s="74" t="n"/>
      <c r="E315" s="74" t="n"/>
      <c r="F315" s="74" t="n"/>
      <c r="G315" s="75" t="n"/>
      <c r="H315" s="76" t="n"/>
      <c r="I315" s="77" t="n"/>
      <c r="J315" s="77" t="n"/>
      <c r="K315" s="77" t="n"/>
      <c r="M315" s="78" t="str">
        <f>IF($C315="","",IF(ISNUMBER(SEARCH(DATOS!$C$126,$C315)),"SV",IF(ISNUMBER(SEARCH(DATOS!$C$127,$C315)),"LD",IF(ISNUMBER(SEARCH(DATOS!$C$128,$C315)),"OI",""))))</f>
        <v/>
      </c>
      <c r="N315" s="78">
        <f>IF($M315="SV",DATOS!$C$101,IF($M315="LD",1,IF($M315="OI",DATOS!$C$100*DATOS!$C$89,0)))</f>
        <v>0</v>
      </c>
      <c r="O315" s="79">
        <f>IF($M315="",0,N($G315)*$N315)</f>
        <v>0</v>
      </c>
      <c r="P315" s="78" t="str">
        <f>IF($M315="SV",DATOS!$C$98,IF($M315="LD",DATOS!$C$103,IF($M315="OI",DATOS!$C$99,"")))</f>
        <v/>
      </c>
      <c r="Q315" s="80" t="str">
        <f>IF(OR($M315="",N($P315)=0),"",$O315/$P315)</f>
        <v/>
      </c>
      <c r="R315" s="78" t="str">
        <f>IF($M315="","",IF(AND($M315&lt;&gt;"LD",N(DATOS!$C$100)&lt;=0),"PENDIENTE: falta R'",IF($Q315&lt;=1,"CUMPLE","NO CUMPLE")))</f>
        <v/>
      </c>
    </row>
  </sheetData>
  <mergeCells count="4">
    <mergeCell ref="B2:R2"/>
    <mergeCell ref="B13:K13"/>
    <mergeCell ref="M13:R13"/>
    <mergeCell ref="B1:R1"/>
  </mergeCells>
  <conditionalFormatting sqref="G5:G10">
    <cfRule type="expression" priority="1" dxfId="0" stopIfTrue="1">
      <formula>OR(ISNUMBER(FIND("NO CUMPLE",G5)),ISNUMBER(FIND("REVISAR",G5)),ISNUMBER(FIND("FALTA",G5)),ISNUMBER(FIND("NO ALCANZA",G5)),ISNUMBER(FIND("FUERA",G5)),ISNUMBER(FIND("NO CUENTA",G5)),ISNUMBER(FIND("NO ESTÁ",G5)),ISNUMBER(FIND("NO VÁLIDO",G5)))</formula>
    </cfRule>
    <cfRule type="expression" priority="2" dxfId="1" stopIfTrue="1">
      <formula>OR(ISNUMBER(FIND("PENDIENTE",G5)),ISNUMBER(FIND("PROVISIONAL",G5)),ISNUMBER(FIND("ESTIMADO",G5)),ISNUMBER(FIND("VER ",G5)),AND(ISNUMBER(FIND("REQUIERE",G5)),NOT(ISNUMBER(FIND("NO REQUIERE",G5)))),ISNUMBER(FIND("AVISO",G5)))</formula>
    </cfRule>
    <cfRule type="expression" priority="3" dxfId="2" stopIfTrue="1">
      <formula>OR(ISNUMBER(FIND("CUMPLE",G5)),ISNUMBER(FIND("VÁLIDO",G5)),ISNUMBER(FIND("NO REQUIERE",G5)),ISNUMBER(FIND("YA LO TIENE",G5)))</formula>
    </cfRule>
  </conditionalFormatting>
  <conditionalFormatting sqref="R16:R315">
    <cfRule type="expression" priority="4" dxfId="0" stopIfTrue="1">
      <formula>OR(ISNUMBER(FIND("NO CUMPLE",R16)),ISNUMBER(FIND("REVISAR",R16)),ISNUMBER(FIND("FALTA",R16)),ISNUMBER(FIND("NO ALCANZA",R16)),ISNUMBER(FIND("FUERA",R16)),ISNUMBER(FIND("NO CUENTA",R16)),ISNUMBER(FIND("NO ESTÁ",R16)),ISNUMBER(FIND("NO VÁLIDO",R16)))</formula>
    </cfRule>
    <cfRule type="expression" priority="5" dxfId="1" stopIfTrue="1">
      <formula>OR(ISNUMBER(FIND("PENDIENTE",R16)),ISNUMBER(FIND("PROVISIONAL",R16)),ISNUMBER(FIND("ESTIMADO",R16)),ISNUMBER(FIND("VER ",R16)),AND(ISNUMBER(FIND("REQUIERE",R16)),NOT(ISNUMBER(FIND("NO REQUIERE",R16)))),ISNUMBER(FIND("AVISO",R16)))</formula>
    </cfRule>
    <cfRule type="expression" priority="6" dxfId="2" stopIfTrue="1">
      <formula>OR(ISNUMBER(FIND("CUMPLE",R16)),ISNUMBER(FIND("VÁLIDO",R16)),ISNUMBER(FIND("NO REQUIERE",R16)),ISNUMBER(FIND("YA LO TIENE",R16)))</formula>
    </cfRule>
  </conditionalFormatting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3008"/>
  <sheetViews>
    <sheetView showGridLines="0" zoomScale="85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3" customWidth="1" min="3" max="3"/>
    <col width="16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" customWidth="1" min="14" max="14"/>
    <col width="8" customWidth="1" min="15" max="15"/>
    <col width="6" customWidth="1" min="16" max="16"/>
    <col width="9" customWidth="1" min="17" max="17"/>
    <col width="9" customWidth="1" min="18" max="18"/>
    <col width="9" customWidth="1" min="19" max="19"/>
    <col width="7" customWidth="1" min="20" max="20"/>
  </cols>
  <sheetData>
    <row r="1" ht="26" customHeight="1">
      <c r="B1" s="81" t="inlineStr">
        <is>
          <t>PIER_FORCES — TABLA «PIER FORCES» DE ETABS (SE PEGA AQUÍ)</t>
        </is>
      </c>
    </row>
    <row r="2" ht="30" customHeight="1">
      <c r="B2" s="82" t="inlineStr">
        <is>
          <t>En ETABS: Display → Show Tables → Analysis Results → Wall Results → Pier Forces, unidades tonf y m, con las combinaciones de diseño. Copia la tabla SIN encabezados y pégala como valores desde B9. Las columnas deben quedar como en el renglón 8 (si tu tabla trae «Step Number» u otra columna extra, bórrala antes de pegar). Luego, en DATOS sección 8, cambia «Fuerzas de los muros» a ETABS. Las columnas grises de la derecha se calculan solas: renglón del muro en MUROS (por Story|Pier), tipo de combinación (1 = sismo, 2 = gravedad), P a compresión positiva, |V2| y |M3|. Caben 3000 renglones.</t>
        </is>
      </c>
    </row>
    <row r="3" ht="30" customHeight="1"/>
    <row r="5">
      <c r="B5" s="72" t="inlineStr">
        <is>
          <t>TABLA DE ETABS — CAPTURA (pegar valores)</t>
        </is>
      </c>
      <c r="O5" s="73" t="inlineStr">
        <is>
          <t>AUXILIARES (no se tocan)</t>
        </is>
      </c>
    </row>
    <row r="7" ht="30" customHeight="1">
      <c r="B7" s="5" t="inlineStr">
        <is>
          <t>Story</t>
        </is>
      </c>
      <c r="C7" s="5" t="inlineStr">
        <is>
          <t>Pier</t>
        </is>
      </c>
      <c r="D7" s="5" t="inlineStr">
        <is>
          <t>Output Case</t>
        </is>
      </c>
      <c r="E7" s="5" t="inlineStr">
        <is>
          <t>Case Type</t>
        </is>
      </c>
      <c r="F7" s="5" t="inlineStr">
        <is>
          <t>Step Type</t>
        </is>
      </c>
      <c r="G7" s="5" t="inlineStr">
        <is>
          <t>Location</t>
        </is>
      </c>
      <c r="H7" s="5" t="inlineStr">
        <is>
          <t>P</t>
        </is>
      </c>
      <c r="I7" s="5" t="inlineStr">
        <is>
          <t>V2</t>
        </is>
      </c>
      <c r="J7" s="5" t="inlineStr">
        <is>
          <t>V3</t>
        </is>
      </c>
      <c r="K7" s="5" t="inlineStr">
        <is>
          <t>T</t>
        </is>
      </c>
      <c r="L7" s="5" t="inlineStr">
        <is>
          <t>M2</t>
        </is>
      </c>
      <c r="M7" s="5" t="inlineStr">
        <is>
          <t>M3</t>
        </is>
      </c>
      <c r="O7" s="5" t="inlineStr">
        <is>
          <t>Renglón en MUROS</t>
        </is>
      </c>
      <c r="P7" s="5" t="inlineStr">
        <is>
          <t>Tipo (1 sismo, 2 grav.)</t>
        </is>
      </c>
      <c r="Q7" s="5" t="inlineStr">
        <is>
          <t>P (compresión +)</t>
        </is>
      </c>
      <c r="R7" s="5" t="inlineStr">
        <is>
          <t>|V2|</t>
        </is>
      </c>
      <c r="S7" s="5" t="inlineStr">
        <is>
          <t>|M3|</t>
        </is>
      </c>
      <c r="T7" s="5" t="inlineStr">
        <is>
          <t>#</t>
        </is>
      </c>
    </row>
    <row r="8">
      <c r="B8" s="36" t="inlineStr"/>
      <c r="C8" s="36" t="inlineStr"/>
      <c r="D8" s="36" t="inlineStr"/>
      <c r="E8" s="36" t="inlineStr"/>
      <c r="F8" s="36" t="inlineStr"/>
      <c r="G8" s="36" t="inlineStr"/>
      <c r="H8" s="36" t="inlineStr">
        <is>
          <t>tonf</t>
        </is>
      </c>
      <c r="I8" s="36" t="inlineStr">
        <is>
          <t>tonf</t>
        </is>
      </c>
      <c r="J8" s="36" t="inlineStr">
        <is>
          <t>tonf</t>
        </is>
      </c>
      <c r="K8" s="36" t="inlineStr">
        <is>
          <t>tonf·m</t>
        </is>
      </c>
      <c r="L8" s="36" t="inlineStr">
        <is>
          <t>tonf·m</t>
        </is>
      </c>
      <c r="M8" s="36" t="inlineStr">
        <is>
          <t>tonf·m</t>
        </is>
      </c>
      <c r="O8" s="36" t="inlineStr"/>
      <c r="P8" s="36" t="inlineStr"/>
      <c r="Q8" s="36" t="inlineStr">
        <is>
          <t>tonf</t>
        </is>
      </c>
      <c r="R8" s="36" t="inlineStr">
        <is>
          <t>tonf</t>
        </is>
      </c>
      <c r="S8" s="36" t="inlineStr">
        <is>
          <t>tonf·m</t>
        </is>
      </c>
      <c r="T8" s="36" t="inlineStr"/>
    </row>
    <row r="9">
      <c r="B9" s="83" t="n"/>
      <c r="C9" s="83" t="n"/>
      <c r="D9" s="83" t="n"/>
      <c r="E9" s="83" t="n"/>
      <c r="F9" s="83" t="n"/>
      <c r="G9" s="83" t="n"/>
      <c r="H9" s="83" t="n"/>
      <c r="I9" s="83" t="n"/>
      <c r="J9" s="83" t="n"/>
      <c r="K9" s="83" t="n"/>
      <c r="L9" s="83" t="n"/>
      <c r="M9" s="83" t="n"/>
      <c r="O9" s="84" t="str">
        <f>IF($C9="","",IFERROR(MATCH($B9&amp;"|"&amp;$C9,MUROS!$AX$11:$AX$70,0),0))</f>
        <v/>
      </c>
      <c r="P9" s="84" t="str">
        <f>IF($D9="","",IF(ISNUMBER(MATCH($D9,CMB_S,0)),1,IF(ISNUMBER(MATCH($D9,CMB_G,0)),2,0)))</f>
        <v/>
      </c>
      <c r="Q9" s="84">
        <f>IF(ISNUMBER($H9),-$H9,0)</f>
        <v>0</v>
      </c>
      <c r="R9" s="84">
        <f>IF(ISNUMBER($I9),ABS($I9),0)</f>
        <v>0</v>
      </c>
      <c r="S9" s="84">
        <f>IF(ISNUMBER($M9),ABS($M9),0)</f>
        <v>0</v>
      </c>
      <c r="T9" s="85" t="n">
        <v>1</v>
      </c>
    </row>
    <row r="10">
      <c r="B10" s="83" t="n"/>
      <c r="C10" s="83" t="n"/>
      <c r="D10" s="83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O10" s="84" t="str">
        <f>IF($C10="","",IFERROR(MATCH($B10&amp;"|"&amp;$C10,MUROS!$AX$11:$AX$70,0),0))</f>
        <v/>
      </c>
      <c r="P10" s="84" t="str">
        <f>IF($D10="","",IF(ISNUMBER(MATCH($D10,CMB_S,0)),1,IF(ISNUMBER(MATCH($D10,CMB_G,0)),2,0)))</f>
        <v/>
      </c>
      <c r="Q10" s="84">
        <f>IF(ISNUMBER($H10),-$H10,0)</f>
        <v>0</v>
      </c>
      <c r="R10" s="84">
        <f>IF(ISNUMBER($I10),ABS($I10),0)</f>
        <v>0</v>
      </c>
      <c r="S10" s="84">
        <f>IF(ISNUMBER($M10),ABS($M10),0)</f>
        <v>0</v>
      </c>
      <c r="T10" s="85" t="n">
        <v>2</v>
      </c>
    </row>
    <row r="11"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O11" s="84" t="str">
        <f>IF($C11="","",IFERROR(MATCH($B11&amp;"|"&amp;$C11,MUROS!$AX$11:$AX$70,0),0))</f>
        <v/>
      </c>
      <c r="P11" s="84" t="str">
        <f>IF($D11="","",IF(ISNUMBER(MATCH($D11,CMB_S,0)),1,IF(ISNUMBER(MATCH($D11,CMB_G,0)),2,0)))</f>
        <v/>
      </c>
      <c r="Q11" s="84">
        <f>IF(ISNUMBER($H11),-$H11,0)</f>
        <v>0</v>
      </c>
      <c r="R11" s="84">
        <f>IF(ISNUMBER($I11),ABS($I11),0)</f>
        <v>0</v>
      </c>
      <c r="S11" s="84">
        <f>IF(ISNUMBER($M11),ABS($M11),0)</f>
        <v>0</v>
      </c>
      <c r="T11" s="85" t="n">
        <v>3</v>
      </c>
    </row>
    <row r="12">
      <c r="B12" s="83" t="n"/>
      <c r="C12" s="83" t="n"/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3" t="n"/>
      <c r="O12" s="84" t="str">
        <f>IF($C12="","",IFERROR(MATCH($B12&amp;"|"&amp;$C12,MUROS!$AX$11:$AX$70,0),0))</f>
        <v/>
      </c>
      <c r="P12" s="84" t="str">
        <f>IF($D12="","",IF(ISNUMBER(MATCH($D12,CMB_S,0)),1,IF(ISNUMBER(MATCH($D12,CMB_G,0)),2,0)))</f>
        <v/>
      </c>
      <c r="Q12" s="84">
        <f>IF(ISNUMBER($H12),-$H12,0)</f>
        <v>0</v>
      </c>
      <c r="R12" s="84">
        <f>IF(ISNUMBER($I12),ABS($I12),0)</f>
        <v>0</v>
      </c>
      <c r="S12" s="84">
        <f>IF(ISNUMBER($M12),ABS($M12),0)</f>
        <v>0</v>
      </c>
      <c r="T12" s="85" t="n">
        <v>4</v>
      </c>
    </row>
    <row r="13">
      <c r="B13" s="83" t="n"/>
      <c r="C13" s="83" t="n"/>
      <c r="D13" s="83" t="n"/>
      <c r="E13" s="83" t="n"/>
      <c r="F13" s="83" t="n"/>
      <c r="G13" s="83" t="n"/>
      <c r="H13" s="83" t="n"/>
      <c r="I13" s="83" t="n"/>
      <c r="J13" s="83" t="n"/>
      <c r="K13" s="83" t="n"/>
      <c r="L13" s="83" t="n"/>
      <c r="M13" s="83" t="n"/>
      <c r="O13" s="84" t="str">
        <f>IF($C13="","",IFERROR(MATCH($B13&amp;"|"&amp;$C13,MUROS!$AX$11:$AX$70,0),0))</f>
        <v/>
      </c>
      <c r="P13" s="84" t="str">
        <f>IF($D13="","",IF(ISNUMBER(MATCH($D13,CMB_S,0)),1,IF(ISNUMBER(MATCH($D13,CMB_G,0)),2,0)))</f>
        <v/>
      </c>
      <c r="Q13" s="84">
        <f>IF(ISNUMBER($H13),-$H13,0)</f>
        <v>0</v>
      </c>
      <c r="R13" s="84">
        <f>IF(ISNUMBER($I13),ABS($I13),0)</f>
        <v>0</v>
      </c>
      <c r="S13" s="84">
        <f>IF(ISNUMBER($M13),ABS($M13),0)</f>
        <v>0</v>
      </c>
      <c r="T13" s="85" t="n">
        <v>5</v>
      </c>
    </row>
    <row r="14">
      <c r="B14" s="83" t="n"/>
      <c r="C14" s="83" t="n"/>
      <c r="D14" s="83" t="n"/>
      <c r="E14" s="83" t="n"/>
      <c r="F14" s="83" t="n"/>
      <c r="G14" s="83" t="n"/>
      <c r="H14" s="83" t="n"/>
      <c r="I14" s="83" t="n"/>
      <c r="J14" s="83" t="n"/>
      <c r="K14" s="83" t="n"/>
      <c r="L14" s="83" t="n"/>
      <c r="M14" s="83" t="n"/>
      <c r="O14" s="84" t="str">
        <f>IF($C14="","",IFERROR(MATCH($B14&amp;"|"&amp;$C14,MUROS!$AX$11:$AX$70,0),0))</f>
        <v/>
      </c>
      <c r="P14" s="84" t="str">
        <f>IF($D14="","",IF(ISNUMBER(MATCH($D14,CMB_S,0)),1,IF(ISNUMBER(MATCH($D14,CMB_G,0)),2,0)))</f>
        <v/>
      </c>
      <c r="Q14" s="84">
        <f>IF(ISNUMBER($H14),-$H14,0)</f>
        <v>0</v>
      </c>
      <c r="R14" s="84">
        <f>IF(ISNUMBER($I14),ABS($I14),0)</f>
        <v>0</v>
      </c>
      <c r="S14" s="84">
        <f>IF(ISNUMBER($M14),ABS($M14),0)</f>
        <v>0</v>
      </c>
      <c r="T14" s="85" t="n">
        <v>6</v>
      </c>
    </row>
    <row r="15">
      <c r="B15" s="83" t="n"/>
      <c r="C15" s="83" t="n"/>
      <c r="D15" s="83" t="n"/>
      <c r="E15" s="83" t="n"/>
      <c r="F15" s="83" t="n"/>
      <c r="G15" s="83" t="n"/>
      <c r="H15" s="83" t="n"/>
      <c r="I15" s="83" t="n"/>
      <c r="J15" s="83" t="n"/>
      <c r="K15" s="83" t="n"/>
      <c r="L15" s="83" t="n"/>
      <c r="M15" s="83" t="n"/>
      <c r="O15" s="84" t="str">
        <f>IF($C15="","",IFERROR(MATCH($B15&amp;"|"&amp;$C15,MUROS!$AX$11:$AX$70,0),0))</f>
        <v/>
      </c>
      <c r="P15" s="84" t="str">
        <f>IF($D15="","",IF(ISNUMBER(MATCH($D15,CMB_S,0)),1,IF(ISNUMBER(MATCH($D15,CMB_G,0)),2,0)))</f>
        <v/>
      </c>
      <c r="Q15" s="84">
        <f>IF(ISNUMBER($H15),-$H15,0)</f>
        <v>0</v>
      </c>
      <c r="R15" s="84">
        <f>IF(ISNUMBER($I15),ABS($I15),0)</f>
        <v>0</v>
      </c>
      <c r="S15" s="84">
        <f>IF(ISNUMBER($M15),ABS($M15),0)</f>
        <v>0</v>
      </c>
      <c r="T15" s="85" t="n">
        <v>7</v>
      </c>
    </row>
    <row r="16">
      <c r="B16" s="83" t="n"/>
      <c r="C16" s="83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83" t="n"/>
      <c r="M16" s="83" t="n"/>
      <c r="O16" s="84" t="str">
        <f>IF($C16="","",IFERROR(MATCH($B16&amp;"|"&amp;$C16,MUROS!$AX$11:$AX$70,0),0))</f>
        <v/>
      </c>
      <c r="P16" s="84" t="str">
        <f>IF($D16="","",IF(ISNUMBER(MATCH($D16,CMB_S,0)),1,IF(ISNUMBER(MATCH($D16,CMB_G,0)),2,0)))</f>
        <v/>
      </c>
      <c r="Q16" s="84">
        <f>IF(ISNUMBER($H16),-$H16,0)</f>
        <v>0</v>
      </c>
      <c r="R16" s="84">
        <f>IF(ISNUMBER($I16),ABS($I16),0)</f>
        <v>0</v>
      </c>
      <c r="S16" s="84">
        <f>IF(ISNUMBER($M16),ABS($M16),0)</f>
        <v>0</v>
      </c>
      <c r="T16" s="85" t="n">
        <v>8</v>
      </c>
    </row>
    <row r="17">
      <c r="B17" s="83" t="n"/>
      <c r="C17" s="83" t="n"/>
      <c r="D17" s="83" t="n"/>
      <c r="E17" s="83" t="n"/>
      <c r="F17" s="83" t="n"/>
      <c r="G17" s="83" t="n"/>
      <c r="H17" s="83" t="n"/>
      <c r="I17" s="83" t="n"/>
      <c r="J17" s="83" t="n"/>
      <c r="K17" s="83" t="n"/>
      <c r="L17" s="83" t="n"/>
      <c r="M17" s="83" t="n"/>
      <c r="O17" s="84" t="str">
        <f>IF($C17="","",IFERROR(MATCH($B17&amp;"|"&amp;$C17,MUROS!$AX$11:$AX$70,0),0))</f>
        <v/>
      </c>
      <c r="P17" s="84" t="str">
        <f>IF($D17="","",IF(ISNUMBER(MATCH($D17,CMB_S,0)),1,IF(ISNUMBER(MATCH($D17,CMB_G,0)),2,0)))</f>
        <v/>
      </c>
      <c r="Q17" s="84">
        <f>IF(ISNUMBER($H17),-$H17,0)</f>
        <v>0</v>
      </c>
      <c r="R17" s="84">
        <f>IF(ISNUMBER($I17),ABS($I17),0)</f>
        <v>0</v>
      </c>
      <c r="S17" s="84">
        <f>IF(ISNUMBER($M17),ABS($M17),0)</f>
        <v>0</v>
      </c>
      <c r="T17" s="85" t="n">
        <v>9</v>
      </c>
    </row>
    <row r="18">
      <c r="B18" s="83" t="n"/>
      <c r="C18" s="83" t="n"/>
      <c r="D18" s="83" t="n"/>
      <c r="E18" s="83" t="n"/>
      <c r="F18" s="83" t="n"/>
      <c r="G18" s="83" t="n"/>
      <c r="H18" s="83" t="n"/>
      <c r="I18" s="83" t="n"/>
      <c r="J18" s="83" t="n"/>
      <c r="K18" s="83" t="n"/>
      <c r="L18" s="83" t="n"/>
      <c r="M18" s="83" t="n"/>
      <c r="O18" s="84" t="str">
        <f>IF($C18="","",IFERROR(MATCH($B18&amp;"|"&amp;$C18,MUROS!$AX$11:$AX$70,0),0))</f>
        <v/>
      </c>
      <c r="P18" s="84" t="str">
        <f>IF($D18="","",IF(ISNUMBER(MATCH($D18,CMB_S,0)),1,IF(ISNUMBER(MATCH($D18,CMB_G,0)),2,0)))</f>
        <v/>
      </c>
      <c r="Q18" s="84">
        <f>IF(ISNUMBER($H18),-$H18,0)</f>
        <v>0</v>
      </c>
      <c r="R18" s="84">
        <f>IF(ISNUMBER($I18),ABS($I18),0)</f>
        <v>0</v>
      </c>
      <c r="S18" s="84">
        <f>IF(ISNUMBER($M18),ABS($M18),0)</f>
        <v>0</v>
      </c>
      <c r="T18" s="85" t="n">
        <v>10</v>
      </c>
    </row>
    <row r="19">
      <c r="B19" s="83" t="n"/>
      <c r="C19" s="83" t="n"/>
      <c r="D19" s="83" t="n"/>
      <c r="E19" s="83" t="n"/>
      <c r="F19" s="83" t="n"/>
      <c r="G19" s="83" t="n"/>
      <c r="H19" s="83" t="n"/>
      <c r="I19" s="83" t="n"/>
      <c r="J19" s="83" t="n"/>
      <c r="K19" s="83" t="n"/>
      <c r="L19" s="83" t="n"/>
      <c r="M19" s="83" t="n"/>
      <c r="O19" s="84" t="str">
        <f>IF($C19="","",IFERROR(MATCH($B19&amp;"|"&amp;$C19,MUROS!$AX$11:$AX$70,0),0))</f>
        <v/>
      </c>
      <c r="P19" s="84" t="str">
        <f>IF($D19="","",IF(ISNUMBER(MATCH($D19,CMB_S,0)),1,IF(ISNUMBER(MATCH($D19,CMB_G,0)),2,0)))</f>
        <v/>
      </c>
      <c r="Q19" s="84">
        <f>IF(ISNUMBER($H19),-$H19,0)</f>
        <v>0</v>
      </c>
      <c r="R19" s="84">
        <f>IF(ISNUMBER($I19),ABS($I19),0)</f>
        <v>0</v>
      </c>
      <c r="S19" s="84">
        <f>IF(ISNUMBER($M19),ABS($M19),0)</f>
        <v>0</v>
      </c>
      <c r="T19" s="85" t="n">
        <v>11</v>
      </c>
    </row>
    <row r="20">
      <c r="B20" s="83" t="n"/>
      <c r="C20" s="83" t="n"/>
      <c r="D20" s="83" t="n"/>
      <c r="E20" s="83" t="n"/>
      <c r="F20" s="83" t="n"/>
      <c r="G20" s="83" t="n"/>
      <c r="H20" s="83" t="n"/>
      <c r="I20" s="83" t="n"/>
      <c r="J20" s="83" t="n"/>
      <c r="K20" s="83" t="n"/>
      <c r="L20" s="83" t="n"/>
      <c r="M20" s="83" t="n"/>
      <c r="O20" s="84" t="str">
        <f>IF($C20="","",IFERROR(MATCH($B20&amp;"|"&amp;$C20,MUROS!$AX$11:$AX$70,0),0))</f>
        <v/>
      </c>
      <c r="P20" s="84" t="str">
        <f>IF($D20="","",IF(ISNUMBER(MATCH($D20,CMB_S,0)),1,IF(ISNUMBER(MATCH($D20,CMB_G,0)),2,0)))</f>
        <v/>
      </c>
      <c r="Q20" s="84">
        <f>IF(ISNUMBER($H20),-$H20,0)</f>
        <v>0</v>
      </c>
      <c r="R20" s="84">
        <f>IF(ISNUMBER($I20),ABS($I20),0)</f>
        <v>0</v>
      </c>
      <c r="S20" s="84">
        <f>IF(ISNUMBER($M20),ABS($M20),0)</f>
        <v>0</v>
      </c>
      <c r="T20" s="85" t="n">
        <v>12</v>
      </c>
    </row>
    <row r="21">
      <c r="B21" s="83" t="n"/>
      <c r="C21" s="83" t="n"/>
      <c r="D21" s="83" t="n"/>
      <c r="E21" s="83" t="n"/>
      <c r="F21" s="83" t="n"/>
      <c r="G21" s="83" t="n"/>
      <c r="H21" s="83" t="n"/>
      <c r="I21" s="83" t="n"/>
      <c r="J21" s="83" t="n"/>
      <c r="K21" s="83" t="n"/>
      <c r="L21" s="83" t="n"/>
      <c r="M21" s="83" t="n"/>
      <c r="O21" s="84" t="str">
        <f>IF($C21="","",IFERROR(MATCH($B21&amp;"|"&amp;$C21,MUROS!$AX$11:$AX$70,0),0))</f>
        <v/>
      </c>
      <c r="P21" s="84" t="str">
        <f>IF($D21="","",IF(ISNUMBER(MATCH($D21,CMB_S,0)),1,IF(ISNUMBER(MATCH($D21,CMB_G,0)),2,0)))</f>
        <v/>
      </c>
      <c r="Q21" s="84">
        <f>IF(ISNUMBER($H21),-$H21,0)</f>
        <v>0</v>
      </c>
      <c r="R21" s="84">
        <f>IF(ISNUMBER($I21),ABS($I21),0)</f>
        <v>0</v>
      </c>
      <c r="S21" s="84">
        <f>IF(ISNUMBER($M21),ABS($M21),0)</f>
        <v>0</v>
      </c>
      <c r="T21" s="85" t="n">
        <v>13</v>
      </c>
    </row>
    <row r="22">
      <c r="B22" s="83" t="n"/>
      <c r="C22" s="83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83" t="n"/>
      <c r="O22" s="84" t="str">
        <f>IF($C22="","",IFERROR(MATCH($B22&amp;"|"&amp;$C22,MUROS!$AX$11:$AX$70,0),0))</f>
        <v/>
      </c>
      <c r="P22" s="84" t="str">
        <f>IF($D22="","",IF(ISNUMBER(MATCH($D22,CMB_S,0)),1,IF(ISNUMBER(MATCH($D22,CMB_G,0)),2,0)))</f>
        <v/>
      </c>
      <c r="Q22" s="84">
        <f>IF(ISNUMBER($H22),-$H22,0)</f>
        <v>0</v>
      </c>
      <c r="R22" s="84">
        <f>IF(ISNUMBER($I22),ABS($I22),0)</f>
        <v>0</v>
      </c>
      <c r="S22" s="84">
        <f>IF(ISNUMBER($M22),ABS($M22),0)</f>
        <v>0</v>
      </c>
      <c r="T22" s="85" t="n">
        <v>14</v>
      </c>
    </row>
    <row r="23">
      <c r="B23" s="83" t="n"/>
      <c r="C23" s="83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O23" s="84" t="str">
        <f>IF($C23="","",IFERROR(MATCH($B23&amp;"|"&amp;$C23,MUROS!$AX$11:$AX$70,0),0))</f>
        <v/>
      </c>
      <c r="P23" s="84" t="str">
        <f>IF($D23="","",IF(ISNUMBER(MATCH($D23,CMB_S,0)),1,IF(ISNUMBER(MATCH($D23,CMB_G,0)),2,0)))</f>
        <v/>
      </c>
      <c r="Q23" s="84">
        <f>IF(ISNUMBER($H23),-$H23,0)</f>
        <v>0</v>
      </c>
      <c r="R23" s="84">
        <f>IF(ISNUMBER($I23),ABS($I23),0)</f>
        <v>0</v>
      </c>
      <c r="S23" s="84">
        <f>IF(ISNUMBER($M23),ABS($M23),0)</f>
        <v>0</v>
      </c>
      <c r="T23" s="85" t="n">
        <v>15</v>
      </c>
    </row>
    <row r="24">
      <c r="B24" s="83" t="n"/>
      <c r="C24" s="83" t="n"/>
      <c r="D24" s="83" t="n"/>
      <c r="E24" s="83" t="n"/>
      <c r="F24" s="83" t="n"/>
      <c r="G24" s="83" t="n"/>
      <c r="H24" s="83" t="n"/>
      <c r="I24" s="83" t="n"/>
      <c r="J24" s="83" t="n"/>
      <c r="K24" s="83" t="n"/>
      <c r="L24" s="83" t="n"/>
      <c r="M24" s="83" t="n"/>
      <c r="O24" s="84" t="str">
        <f>IF($C24="","",IFERROR(MATCH($B24&amp;"|"&amp;$C24,MUROS!$AX$11:$AX$70,0),0))</f>
        <v/>
      </c>
      <c r="P24" s="84" t="str">
        <f>IF($D24="","",IF(ISNUMBER(MATCH($D24,CMB_S,0)),1,IF(ISNUMBER(MATCH($D24,CMB_G,0)),2,0)))</f>
        <v/>
      </c>
      <c r="Q24" s="84">
        <f>IF(ISNUMBER($H24),-$H24,0)</f>
        <v>0</v>
      </c>
      <c r="R24" s="84">
        <f>IF(ISNUMBER($I24),ABS($I24),0)</f>
        <v>0</v>
      </c>
      <c r="S24" s="84">
        <f>IF(ISNUMBER($M24),ABS($M24),0)</f>
        <v>0</v>
      </c>
      <c r="T24" s="85" t="n">
        <v>16</v>
      </c>
    </row>
    <row r="25"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O25" s="84" t="str">
        <f>IF($C25="","",IFERROR(MATCH($B25&amp;"|"&amp;$C25,MUROS!$AX$11:$AX$70,0),0))</f>
        <v/>
      </c>
      <c r="P25" s="84" t="str">
        <f>IF($D25="","",IF(ISNUMBER(MATCH($D25,CMB_S,0)),1,IF(ISNUMBER(MATCH($D25,CMB_G,0)),2,0)))</f>
        <v/>
      </c>
      <c r="Q25" s="84">
        <f>IF(ISNUMBER($H25),-$H25,0)</f>
        <v>0</v>
      </c>
      <c r="R25" s="84">
        <f>IF(ISNUMBER($I25),ABS($I25),0)</f>
        <v>0</v>
      </c>
      <c r="S25" s="84">
        <f>IF(ISNUMBER($M25),ABS($M25),0)</f>
        <v>0</v>
      </c>
      <c r="T25" s="85" t="n">
        <v>17</v>
      </c>
    </row>
    <row r="26"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O26" s="84" t="str">
        <f>IF($C26="","",IFERROR(MATCH($B26&amp;"|"&amp;$C26,MUROS!$AX$11:$AX$70,0),0))</f>
        <v/>
      </c>
      <c r="P26" s="84" t="str">
        <f>IF($D26="","",IF(ISNUMBER(MATCH($D26,CMB_S,0)),1,IF(ISNUMBER(MATCH($D26,CMB_G,0)),2,0)))</f>
        <v/>
      </c>
      <c r="Q26" s="84">
        <f>IF(ISNUMBER($H26),-$H26,0)</f>
        <v>0</v>
      </c>
      <c r="R26" s="84">
        <f>IF(ISNUMBER($I26),ABS($I26),0)</f>
        <v>0</v>
      </c>
      <c r="S26" s="84">
        <f>IF(ISNUMBER($M26),ABS($M26),0)</f>
        <v>0</v>
      </c>
      <c r="T26" s="85" t="n">
        <v>18</v>
      </c>
    </row>
    <row r="27">
      <c r="B27" s="83" t="n"/>
      <c r="C27" s="83" t="n"/>
      <c r="D27" s="83" t="n"/>
      <c r="E27" s="83" t="n"/>
      <c r="F27" s="83" t="n"/>
      <c r="G27" s="83" t="n"/>
      <c r="H27" s="83" t="n"/>
      <c r="I27" s="83" t="n"/>
      <c r="J27" s="83" t="n"/>
      <c r="K27" s="83" t="n"/>
      <c r="L27" s="83" t="n"/>
      <c r="M27" s="83" t="n"/>
      <c r="O27" s="84" t="str">
        <f>IF($C27="","",IFERROR(MATCH($B27&amp;"|"&amp;$C27,MUROS!$AX$11:$AX$70,0),0))</f>
        <v/>
      </c>
      <c r="P27" s="84" t="str">
        <f>IF($D27="","",IF(ISNUMBER(MATCH($D27,CMB_S,0)),1,IF(ISNUMBER(MATCH($D27,CMB_G,0)),2,0)))</f>
        <v/>
      </c>
      <c r="Q27" s="84">
        <f>IF(ISNUMBER($H27),-$H27,0)</f>
        <v>0</v>
      </c>
      <c r="R27" s="84">
        <f>IF(ISNUMBER($I27),ABS($I27),0)</f>
        <v>0</v>
      </c>
      <c r="S27" s="84">
        <f>IF(ISNUMBER($M27),ABS($M27),0)</f>
        <v>0</v>
      </c>
      <c r="T27" s="85" t="n">
        <v>19</v>
      </c>
    </row>
    <row r="28"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O28" s="84" t="str">
        <f>IF($C28="","",IFERROR(MATCH($B28&amp;"|"&amp;$C28,MUROS!$AX$11:$AX$70,0),0))</f>
        <v/>
      </c>
      <c r="P28" s="84" t="str">
        <f>IF($D28="","",IF(ISNUMBER(MATCH($D28,CMB_S,0)),1,IF(ISNUMBER(MATCH($D28,CMB_G,0)),2,0)))</f>
        <v/>
      </c>
      <c r="Q28" s="84">
        <f>IF(ISNUMBER($H28),-$H28,0)</f>
        <v>0</v>
      </c>
      <c r="R28" s="84">
        <f>IF(ISNUMBER($I28),ABS($I28),0)</f>
        <v>0</v>
      </c>
      <c r="S28" s="84">
        <f>IF(ISNUMBER($M28),ABS($M28),0)</f>
        <v>0</v>
      </c>
      <c r="T28" s="85" t="n">
        <v>20</v>
      </c>
    </row>
    <row r="29">
      <c r="B29" s="83" t="n"/>
      <c r="C29" s="83" t="n"/>
      <c r="D29" s="83" t="n"/>
      <c r="E29" s="83" t="n"/>
      <c r="F29" s="83" t="n"/>
      <c r="G29" s="83" t="n"/>
      <c r="H29" s="83" t="n"/>
      <c r="I29" s="83" t="n"/>
      <c r="J29" s="83" t="n"/>
      <c r="K29" s="83" t="n"/>
      <c r="L29" s="83" t="n"/>
      <c r="M29" s="83" t="n"/>
      <c r="O29" s="84" t="str">
        <f>IF($C29="","",IFERROR(MATCH($B29&amp;"|"&amp;$C29,MUROS!$AX$11:$AX$70,0),0))</f>
        <v/>
      </c>
      <c r="P29" s="84" t="str">
        <f>IF($D29="","",IF(ISNUMBER(MATCH($D29,CMB_S,0)),1,IF(ISNUMBER(MATCH($D29,CMB_G,0)),2,0)))</f>
        <v/>
      </c>
      <c r="Q29" s="84">
        <f>IF(ISNUMBER($H29),-$H29,0)</f>
        <v>0</v>
      </c>
      <c r="R29" s="84">
        <f>IF(ISNUMBER($I29),ABS($I29),0)</f>
        <v>0</v>
      </c>
      <c r="S29" s="84">
        <f>IF(ISNUMBER($M29),ABS($M29),0)</f>
        <v>0</v>
      </c>
      <c r="T29" s="85" t="n">
        <v>21</v>
      </c>
    </row>
    <row r="30"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O30" s="84" t="str">
        <f>IF($C30="","",IFERROR(MATCH($B30&amp;"|"&amp;$C30,MUROS!$AX$11:$AX$70,0),0))</f>
        <v/>
      </c>
      <c r="P30" s="84" t="str">
        <f>IF($D30="","",IF(ISNUMBER(MATCH($D30,CMB_S,0)),1,IF(ISNUMBER(MATCH($D30,CMB_G,0)),2,0)))</f>
        <v/>
      </c>
      <c r="Q30" s="84">
        <f>IF(ISNUMBER($H30),-$H30,0)</f>
        <v>0</v>
      </c>
      <c r="R30" s="84">
        <f>IF(ISNUMBER($I30),ABS($I30),0)</f>
        <v>0</v>
      </c>
      <c r="S30" s="84">
        <f>IF(ISNUMBER($M30),ABS($M30),0)</f>
        <v>0</v>
      </c>
      <c r="T30" s="85" t="n">
        <v>22</v>
      </c>
    </row>
    <row r="31">
      <c r="B31" s="83" t="n"/>
      <c r="C31" s="83" t="n"/>
      <c r="D31" s="83" t="n"/>
      <c r="E31" s="83" t="n"/>
      <c r="F31" s="83" t="n"/>
      <c r="G31" s="83" t="n"/>
      <c r="H31" s="83" t="n"/>
      <c r="I31" s="83" t="n"/>
      <c r="J31" s="83" t="n"/>
      <c r="K31" s="83" t="n"/>
      <c r="L31" s="83" t="n"/>
      <c r="M31" s="83" t="n"/>
      <c r="O31" s="84" t="str">
        <f>IF($C31="","",IFERROR(MATCH($B31&amp;"|"&amp;$C31,MUROS!$AX$11:$AX$70,0),0))</f>
        <v/>
      </c>
      <c r="P31" s="84" t="str">
        <f>IF($D31="","",IF(ISNUMBER(MATCH($D31,CMB_S,0)),1,IF(ISNUMBER(MATCH($D31,CMB_G,0)),2,0)))</f>
        <v/>
      </c>
      <c r="Q31" s="84">
        <f>IF(ISNUMBER($H31),-$H31,0)</f>
        <v>0</v>
      </c>
      <c r="R31" s="84">
        <f>IF(ISNUMBER($I31),ABS($I31),0)</f>
        <v>0</v>
      </c>
      <c r="S31" s="84">
        <f>IF(ISNUMBER($M31),ABS($M31),0)</f>
        <v>0</v>
      </c>
      <c r="T31" s="85" t="n">
        <v>23</v>
      </c>
    </row>
    <row r="32"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O32" s="84" t="str">
        <f>IF($C32="","",IFERROR(MATCH($B32&amp;"|"&amp;$C32,MUROS!$AX$11:$AX$70,0),0))</f>
        <v/>
      </c>
      <c r="P32" s="84" t="str">
        <f>IF($D32="","",IF(ISNUMBER(MATCH($D32,CMB_S,0)),1,IF(ISNUMBER(MATCH($D32,CMB_G,0)),2,0)))</f>
        <v/>
      </c>
      <c r="Q32" s="84">
        <f>IF(ISNUMBER($H32),-$H32,0)</f>
        <v>0</v>
      </c>
      <c r="R32" s="84">
        <f>IF(ISNUMBER($I32),ABS($I32),0)</f>
        <v>0</v>
      </c>
      <c r="S32" s="84">
        <f>IF(ISNUMBER($M32),ABS($M32),0)</f>
        <v>0</v>
      </c>
      <c r="T32" s="85" t="n">
        <v>24</v>
      </c>
    </row>
    <row r="33"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83" t="n"/>
      <c r="M33" s="83" t="n"/>
      <c r="O33" s="84" t="str">
        <f>IF($C33="","",IFERROR(MATCH($B33&amp;"|"&amp;$C33,MUROS!$AX$11:$AX$70,0),0))</f>
        <v/>
      </c>
      <c r="P33" s="84" t="str">
        <f>IF($D33="","",IF(ISNUMBER(MATCH($D33,CMB_S,0)),1,IF(ISNUMBER(MATCH($D33,CMB_G,0)),2,0)))</f>
        <v/>
      </c>
      <c r="Q33" s="84">
        <f>IF(ISNUMBER($H33),-$H33,0)</f>
        <v>0</v>
      </c>
      <c r="R33" s="84">
        <f>IF(ISNUMBER($I33),ABS($I33),0)</f>
        <v>0</v>
      </c>
      <c r="S33" s="84">
        <f>IF(ISNUMBER($M33),ABS($M33),0)</f>
        <v>0</v>
      </c>
      <c r="T33" s="85" t="n">
        <v>25</v>
      </c>
    </row>
    <row r="34">
      <c r="B34" s="83" t="n"/>
      <c r="C34" s="83" t="n"/>
      <c r="D34" s="83" t="n"/>
      <c r="E34" s="83" t="n"/>
      <c r="F34" s="83" t="n"/>
      <c r="G34" s="83" t="n"/>
      <c r="H34" s="83" t="n"/>
      <c r="I34" s="83" t="n"/>
      <c r="J34" s="83" t="n"/>
      <c r="K34" s="83" t="n"/>
      <c r="L34" s="83" t="n"/>
      <c r="M34" s="83" t="n"/>
      <c r="O34" s="84" t="str">
        <f>IF($C34="","",IFERROR(MATCH($B34&amp;"|"&amp;$C34,MUROS!$AX$11:$AX$70,0),0))</f>
        <v/>
      </c>
      <c r="P34" s="84" t="str">
        <f>IF($D34="","",IF(ISNUMBER(MATCH($D34,CMB_S,0)),1,IF(ISNUMBER(MATCH($D34,CMB_G,0)),2,0)))</f>
        <v/>
      </c>
      <c r="Q34" s="84">
        <f>IF(ISNUMBER($H34),-$H34,0)</f>
        <v>0</v>
      </c>
      <c r="R34" s="84">
        <f>IF(ISNUMBER($I34),ABS($I34),0)</f>
        <v>0</v>
      </c>
      <c r="S34" s="84">
        <f>IF(ISNUMBER($M34),ABS($M34),0)</f>
        <v>0</v>
      </c>
      <c r="T34" s="85" t="n">
        <v>26</v>
      </c>
    </row>
    <row r="35"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O35" s="84" t="str">
        <f>IF($C35="","",IFERROR(MATCH($B35&amp;"|"&amp;$C35,MUROS!$AX$11:$AX$70,0),0))</f>
        <v/>
      </c>
      <c r="P35" s="84" t="str">
        <f>IF($D35="","",IF(ISNUMBER(MATCH($D35,CMB_S,0)),1,IF(ISNUMBER(MATCH($D35,CMB_G,0)),2,0)))</f>
        <v/>
      </c>
      <c r="Q35" s="84">
        <f>IF(ISNUMBER($H35),-$H35,0)</f>
        <v>0</v>
      </c>
      <c r="R35" s="84">
        <f>IF(ISNUMBER($I35),ABS($I35),0)</f>
        <v>0</v>
      </c>
      <c r="S35" s="84">
        <f>IF(ISNUMBER($M35),ABS($M35),0)</f>
        <v>0</v>
      </c>
      <c r="T35" s="85" t="n">
        <v>27</v>
      </c>
    </row>
    <row r="36">
      <c r="B36" s="83" t="n"/>
      <c r="C36" s="83" t="n"/>
      <c r="D36" s="83" t="n"/>
      <c r="E36" s="83" t="n"/>
      <c r="F36" s="83" t="n"/>
      <c r="G36" s="83" t="n"/>
      <c r="H36" s="83" t="n"/>
      <c r="I36" s="83" t="n"/>
      <c r="J36" s="83" t="n"/>
      <c r="K36" s="83" t="n"/>
      <c r="L36" s="83" t="n"/>
      <c r="M36" s="83" t="n"/>
      <c r="O36" s="84" t="str">
        <f>IF($C36="","",IFERROR(MATCH($B36&amp;"|"&amp;$C36,MUROS!$AX$11:$AX$70,0),0))</f>
        <v/>
      </c>
      <c r="P36" s="84" t="str">
        <f>IF($D36="","",IF(ISNUMBER(MATCH($D36,CMB_S,0)),1,IF(ISNUMBER(MATCH($D36,CMB_G,0)),2,0)))</f>
        <v/>
      </c>
      <c r="Q36" s="84">
        <f>IF(ISNUMBER($H36),-$H36,0)</f>
        <v>0</v>
      </c>
      <c r="R36" s="84">
        <f>IF(ISNUMBER($I36),ABS($I36),0)</f>
        <v>0</v>
      </c>
      <c r="S36" s="84">
        <f>IF(ISNUMBER($M36),ABS($M36),0)</f>
        <v>0</v>
      </c>
      <c r="T36" s="85" t="n">
        <v>28</v>
      </c>
    </row>
    <row r="37"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O37" s="84" t="str">
        <f>IF($C37="","",IFERROR(MATCH($B37&amp;"|"&amp;$C37,MUROS!$AX$11:$AX$70,0),0))</f>
        <v/>
      </c>
      <c r="P37" s="84" t="str">
        <f>IF($D37="","",IF(ISNUMBER(MATCH($D37,CMB_S,0)),1,IF(ISNUMBER(MATCH($D37,CMB_G,0)),2,0)))</f>
        <v/>
      </c>
      <c r="Q37" s="84">
        <f>IF(ISNUMBER($H37),-$H37,0)</f>
        <v>0</v>
      </c>
      <c r="R37" s="84">
        <f>IF(ISNUMBER($I37),ABS($I37),0)</f>
        <v>0</v>
      </c>
      <c r="S37" s="84">
        <f>IF(ISNUMBER($M37),ABS($M37),0)</f>
        <v>0</v>
      </c>
      <c r="T37" s="85" t="n">
        <v>29</v>
      </c>
    </row>
    <row r="38">
      <c r="B38" s="83" t="n"/>
      <c r="C38" s="83" t="n"/>
      <c r="D38" s="83" t="n"/>
      <c r="E38" s="83" t="n"/>
      <c r="F38" s="83" t="n"/>
      <c r="G38" s="83" t="n"/>
      <c r="H38" s="83" t="n"/>
      <c r="I38" s="83" t="n"/>
      <c r="J38" s="83" t="n"/>
      <c r="K38" s="83" t="n"/>
      <c r="L38" s="83" t="n"/>
      <c r="M38" s="83" t="n"/>
      <c r="O38" s="84" t="str">
        <f>IF($C38="","",IFERROR(MATCH($B38&amp;"|"&amp;$C38,MUROS!$AX$11:$AX$70,0),0))</f>
        <v/>
      </c>
      <c r="P38" s="84" t="str">
        <f>IF($D38="","",IF(ISNUMBER(MATCH($D38,CMB_S,0)),1,IF(ISNUMBER(MATCH($D38,CMB_G,0)),2,0)))</f>
        <v/>
      </c>
      <c r="Q38" s="84">
        <f>IF(ISNUMBER($H38),-$H38,0)</f>
        <v>0</v>
      </c>
      <c r="R38" s="84">
        <f>IF(ISNUMBER($I38),ABS($I38),0)</f>
        <v>0</v>
      </c>
      <c r="S38" s="84">
        <f>IF(ISNUMBER($M38),ABS($M38),0)</f>
        <v>0</v>
      </c>
      <c r="T38" s="85" t="n">
        <v>30</v>
      </c>
    </row>
    <row r="39"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O39" s="84" t="str">
        <f>IF($C39="","",IFERROR(MATCH($B39&amp;"|"&amp;$C39,MUROS!$AX$11:$AX$70,0),0))</f>
        <v/>
      </c>
      <c r="P39" s="84" t="str">
        <f>IF($D39="","",IF(ISNUMBER(MATCH($D39,CMB_S,0)),1,IF(ISNUMBER(MATCH($D39,CMB_G,0)),2,0)))</f>
        <v/>
      </c>
      <c r="Q39" s="84">
        <f>IF(ISNUMBER($H39),-$H39,0)</f>
        <v>0</v>
      </c>
      <c r="R39" s="84">
        <f>IF(ISNUMBER($I39),ABS($I39),0)</f>
        <v>0</v>
      </c>
      <c r="S39" s="84">
        <f>IF(ISNUMBER($M39),ABS($M39),0)</f>
        <v>0</v>
      </c>
      <c r="T39" s="85" t="n">
        <v>31</v>
      </c>
    </row>
    <row r="40">
      <c r="B40" s="83" t="n"/>
      <c r="C40" s="83" t="n"/>
      <c r="D40" s="83" t="n"/>
      <c r="E40" s="83" t="n"/>
      <c r="F40" s="83" t="n"/>
      <c r="G40" s="83" t="n"/>
      <c r="H40" s="83" t="n"/>
      <c r="I40" s="83" t="n"/>
      <c r="J40" s="83" t="n"/>
      <c r="K40" s="83" t="n"/>
      <c r="L40" s="83" t="n"/>
      <c r="M40" s="83" t="n"/>
      <c r="O40" s="84" t="str">
        <f>IF($C40="","",IFERROR(MATCH($B40&amp;"|"&amp;$C40,MUROS!$AX$11:$AX$70,0),0))</f>
        <v/>
      </c>
      <c r="P40" s="84" t="str">
        <f>IF($D40="","",IF(ISNUMBER(MATCH($D40,CMB_S,0)),1,IF(ISNUMBER(MATCH($D40,CMB_G,0)),2,0)))</f>
        <v/>
      </c>
      <c r="Q40" s="84">
        <f>IF(ISNUMBER($H40),-$H40,0)</f>
        <v>0</v>
      </c>
      <c r="R40" s="84">
        <f>IF(ISNUMBER($I40),ABS($I40),0)</f>
        <v>0</v>
      </c>
      <c r="S40" s="84">
        <f>IF(ISNUMBER($M40),ABS($M40),0)</f>
        <v>0</v>
      </c>
      <c r="T40" s="85" t="n">
        <v>32</v>
      </c>
    </row>
    <row r="41">
      <c r="B41" s="83" t="n"/>
      <c r="C41" s="83" t="n"/>
      <c r="D41" s="83" t="n"/>
      <c r="E41" s="83" t="n"/>
      <c r="F41" s="83" t="n"/>
      <c r="G41" s="83" t="n"/>
      <c r="H41" s="83" t="n"/>
      <c r="I41" s="83" t="n"/>
      <c r="J41" s="83" t="n"/>
      <c r="K41" s="83" t="n"/>
      <c r="L41" s="83" t="n"/>
      <c r="M41" s="83" t="n"/>
      <c r="O41" s="84" t="str">
        <f>IF($C41="","",IFERROR(MATCH($B41&amp;"|"&amp;$C41,MUROS!$AX$11:$AX$70,0),0))</f>
        <v/>
      </c>
      <c r="P41" s="84" t="str">
        <f>IF($D41="","",IF(ISNUMBER(MATCH($D41,CMB_S,0)),1,IF(ISNUMBER(MATCH($D41,CMB_G,0)),2,0)))</f>
        <v/>
      </c>
      <c r="Q41" s="84">
        <f>IF(ISNUMBER($H41),-$H41,0)</f>
        <v>0</v>
      </c>
      <c r="R41" s="84">
        <f>IF(ISNUMBER($I41),ABS($I41),0)</f>
        <v>0</v>
      </c>
      <c r="S41" s="84">
        <f>IF(ISNUMBER($M41),ABS($M41),0)</f>
        <v>0</v>
      </c>
      <c r="T41" s="85" t="n">
        <v>33</v>
      </c>
    </row>
    <row r="42">
      <c r="B42" s="83" t="n"/>
      <c r="C42" s="83" t="n"/>
      <c r="D42" s="83" t="n"/>
      <c r="E42" s="83" t="n"/>
      <c r="F42" s="83" t="n"/>
      <c r="G42" s="83" t="n"/>
      <c r="H42" s="83" t="n"/>
      <c r="I42" s="83" t="n"/>
      <c r="J42" s="83" t="n"/>
      <c r="K42" s="83" t="n"/>
      <c r="L42" s="83" t="n"/>
      <c r="M42" s="83" t="n"/>
      <c r="O42" s="84" t="str">
        <f>IF($C42="","",IFERROR(MATCH($B42&amp;"|"&amp;$C42,MUROS!$AX$11:$AX$70,0),0))</f>
        <v/>
      </c>
      <c r="P42" s="84" t="str">
        <f>IF($D42="","",IF(ISNUMBER(MATCH($D42,CMB_S,0)),1,IF(ISNUMBER(MATCH($D42,CMB_G,0)),2,0)))</f>
        <v/>
      </c>
      <c r="Q42" s="84">
        <f>IF(ISNUMBER($H42),-$H42,0)</f>
        <v>0</v>
      </c>
      <c r="R42" s="84">
        <f>IF(ISNUMBER($I42),ABS($I42),0)</f>
        <v>0</v>
      </c>
      <c r="S42" s="84">
        <f>IF(ISNUMBER($M42),ABS($M42),0)</f>
        <v>0</v>
      </c>
      <c r="T42" s="85" t="n">
        <v>34</v>
      </c>
    </row>
    <row r="43">
      <c r="B43" s="83" t="n"/>
      <c r="C43" s="83" t="n"/>
      <c r="D43" s="83" t="n"/>
      <c r="E43" s="83" t="n"/>
      <c r="F43" s="83" t="n"/>
      <c r="G43" s="83" t="n"/>
      <c r="H43" s="83" t="n"/>
      <c r="I43" s="83" t="n"/>
      <c r="J43" s="83" t="n"/>
      <c r="K43" s="83" t="n"/>
      <c r="L43" s="83" t="n"/>
      <c r="M43" s="83" t="n"/>
      <c r="O43" s="84" t="str">
        <f>IF($C43="","",IFERROR(MATCH($B43&amp;"|"&amp;$C43,MUROS!$AX$11:$AX$70,0),0))</f>
        <v/>
      </c>
      <c r="P43" s="84" t="str">
        <f>IF($D43="","",IF(ISNUMBER(MATCH($D43,CMB_S,0)),1,IF(ISNUMBER(MATCH($D43,CMB_G,0)),2,0)))</f>
        <v/>
      </c>
      <c r="Q43" s="84">
        <f>IF(ISNUMBER($H43),-$H43,0)</f>
        <v>0</v>
      </c>
      <c r="R43" s="84">
        <f>IF(ISNUMBER($I43),ABS($I43),0)</f>
        <v>0</v>
      </c>
      <c r="S43" s="84">
        <f>IF(ISNUMBER($M43),ABS($M43),0)</f>
        <v>0</v>
      </c>
      <c r="T43" s="85" t="n">
        <v>35</v>
      </c>
    </row>
    <row r="44">
      <c r="B44" s="83" t="n"/>
      <c r="C44" s="83" t="n"/>
      <c r="D44" s="83" t="n"/>
      <c r="E44" s="83" t="n"/>
      <c r="F44" s="83" t="n"/>
      <c r="G44" s="83" t="n"/>
      <c r="H44" s="83" t="n"/>
      <c r="I44" s="83" t="n"/>
      <c r="J44" s="83" t="n"/>
      <c r="K44" s="83" t="n"/>
      <c r="L44" s="83" t="n"/>
      <c r="M44" s="83" t="n"/>
      <c r="O44" s="84" t="str">
        <f>IF($C44="","",IFERROR(MATCH($B44&amp;"|"&amp;$C44,MUROS!$AX$11:$AX$70,0),0))</f>
        <v/>
      </c>
      <c r="P44" s="84" t="str">
        <f>IF($D44="","",IF(ISNUMBER(MATCH($D44,CMB_S,0)),1,IF(ISNUMBER(MATCH($D44,CMB_G,0)),2,0)))</f>
        <v/>
      </c>
      <c r="Q44" s="84">
        <f>IF(ISNUMBER($H44),-$H44,0)</f>
        <v>0</v>
      </c>
      <c r="R44" s="84">
        <f>IF(ISNUMBER($I44),ABS($I44),0)</f>
        <v>0</v>
      </c>
      <c r="S44" s="84">
        <f>IF(ISNUMBER($M44),ABS($M44),0)</f>
        <v>0</v>
      </c>
      <c r="T44" s="85" t="n">
        <v>36</v>
      </c>
    </row>
    <row r="45">
      <c r="B45" s="83" t="n"/>
      <c r="C45" s="83" t="n"/>
      <c r="D45" s="83" t="n"/>
      <c r="E45" s="83" t="n"/>
      <c r="F45" s="83" t="n"/>
      <c r="G45" s="83" t="n"/>
      <c r="H45" s="83" t="n"/>
      <c r="I45" s="83" t="n"/>
      <c r="J45" s="83" t="n"/>
      <c r="K45" s="83" t="n"/>
      <c r="L45" s="83" t="n"/>
      <c r="M45" s="83" t="n"/>
      <c r="O45" s="84" t="str">
        <f>IF($C45="","",IFERROR(MATCH($B45&amp;"|"&amp;$C45,MUROS!$AX$11:$AX$70,0),0))</f>
        <v/>
      </c>
      <c r="P45" s="84" t="str">
        <f>IF($D45="","",IF(ISNUMBER(MATCH($D45,CMB_S,0)),1,IF(ISNUMBER(MATCH($D45,CMB_G,0)),2,0)))</f>
        <v/>
      </c>
      <c r="Q45" s="84">
        <f>IF(ISNUMBER($H45),-$H45,0)</f>
        <v>0</v>
      </c>
      <c r="R45" s="84">
        <f>IF(ISNUMBER($I45),ABS($I45),0)</f>
        <v>0</v>
      </c>
      <c r="S45" s="84">
        <f>IF(ISNUMBER($M45),ABS($M45),0)</f>
        <v>0</v>
      </c>
      <c r="T45" s="85" t="n">
        <v>37</v>
      </c>
    </row>
    <row r="46"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83" t="n"/>
      <c r="L46" s="83" t="n"/>
      <c r="M46" s="83" t="n"/>
      <c r="O46" s="84" t="str">
        <f>IF($C46="","",IFERROR(MATCH($B46&amp;"|"&amp;$C46,MUROS!$AX$11:$AX$70,0),0))</f>
        <v/>
      </c>
      <c r="P46" s="84" t="str">
        <f>IF($D46="","",IF(ISNUMBER(MATCH($D46,CMB_S,0)),1,IF(ISNUMBER(MATCH($D46,CMB_G,0)),2,0)))</f>
        <v/>
      </c>
      <c r="Q46" s="84">
        <f>IF(ISNUMBER($H46),-$H46,0)</f>
        <v>0</v>
      </c>
      <c r="R46" s="84">
        <f>IF(ISNUMBER($I46),ABS($I46),0)</f>
        <v>0</v>
      </c>
      <c r="S46" s="84">
        <f>IF(ISNUMBER($M46),ABS($M46),0)</f>
        <v>0</v>
      </c>
      <c r="T46" s="85" t="n">
        <v>38</v>
      </c>
    </row>
    <row r="47">
      <c r="B47" s="83" t="n"/>
      <c r="C47" s="83" t="n"/>
      <c r="D47" s="83" t="n"/>
      <c r="E47" s="83" t="n"/>
      <c r="F47" s="83" t="n"/>
      <c r="G47" s="83" t="n"/>
      <c r="H47" s="83" t="n"/>
      <c r="I47" s="83" t="n"/>
      <c r="J47" s="83" t="n"/>
      <c r="K47" s="83" t="n"/>
      <c r="L47" s="83" t="n"/>
      <c r="M47" s="83" t="n"/>
      <c r="O47" s="84" t="str">
        <f>IF($C47="","",IFERROR(MATCH($B47&amp;"|"&amp;$C47,MUROS!$AX$11:$AX$70,0),0))</f>
        <v/>
      </c>
      <c r="P47" s="84" t="str">
        <f>IF($D47="","",IF(ISNUMBER(MATCH($D47,CMB_S,0)),1,IF(ISNUMBER(MATCH($D47,CMB_G,0)),2,0)))</f>
        <v/>
      </c>
      <c r="Q47" s="84">
        <f>IF(ISNUMBER($H47),-$H47,0)</f>
        <v>0</v>
      </c>
      <c r="R47" s="84">
        <f>IF(ISNUMBER($I47),ABS($I47),0)</f>
        <v>0</v>
      </c>
      <c r="S47" s="84">
        <f>IF(ISNUMBER($M47),ABS($M47),0)</f>
        <v>0</v>
      </c>
      <c r="T47" s="85" t="n">
        <v>39</v>
      </c>
    </row>
    <row r="48">
      <c r="B48" s="83" t="n"/>
      <c r="C48" s="83" t="n"/>
      <c r="D48" s="83" t="n"/>
      <c r="E48" s="83" t="n"/>
      <c r="F48" s="83" t="n"/>
      <c r="G48" s="83" t="n"/>
      <c r="H48" s="83" t="n"/>
      <c r="I48" s="83" t="n"/>
      <c r="J48" s="83" t="n"/>
      <c r="K48" s="83" t="n"/>
      <c r="L48" s="83" t="n"/>
      <c r="M48" s="83" t="n"/>
      <c r="O48" s="84" t="str">
        <f>IF($C48="","",IFERROR(MATCH($B48&amp;"|"&amp;$C48,MUROS!$AX$11:$AX$70,0),0))</f>
        <v/>
      </c>
      <c r="P48" s="84" t="str">
        <f>IF($D48="","",IF(ISNUMBER(MATCH($D48,CMB_S,0)),1,IF(ISNUMBER(MATCH($D48,CMB_G,0)),2,0)))</f>
        <v/>
      </c>
      <c r="Q48" s="84">
        <f>IF(ISNUMBER($H48),-$H48,0)</f>
        <v>0</v>
      </c>
      <c r="R48" s="84">
        <f>IF(ISNUMBER($I48),ABS($I48),0)</f>
        <v>0</v>
      </c>
      <c r="S48" s="84">
        <f>IF(ISNUMBER($M48),ABS($M48),0)</f>
        <v>0</v>
      </c>
      <c r="T48" s="85" t="n">
        <v>40</v>
      </c>
    </row>
    <row r="49">
      <c r="B49" s="83" t="n"/>
      <c r="C49" s="83" t="n"/>
      <c r="D49" s="83" t="n"/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O49" s="84" t="str">
        <f>IF($C49="","",IFERROR(MATCH($B49&amp;"|"&amp;$C49,MUROS!$AX$11:$AX$70,0),0))</f>
        <v/>
      </c>
      <c r="P49" s="84" t="str">
        <f>IF($D49="","",IF(ISNUMBER(MATCH($D49,CMB_S,0)),1,IF(ISNUMBER(MATCH($D49,CMB_G,0)),2,0)))</f>
        <v/>
      </c>
      <c r="Q49" s="84">
        <f>IF(ISNUMBER($H49),-$H49,0)</f>
        <v>0</v>
      </c>
      <c r="R49" s="84">
        <f>IF(ISNUMBER($I49),ABS($I49),0)</f>
        <v>0</v>
      </c>
      <c r="S49" s="84">
        <f>IF(ISNUMBER($M49),ABS($M49),0)</f>
        <v>0</v>
      </c>
      <c r="T49" s="85" t="n">
        <v>41</v>
      </c>
    </row>
    <row r="50">
      <c r="B50" s="83" t="n"/>
      <c r="C50" s="83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O50" s="84" t="str">
        <f>IF($C50="","",IFERROR(MATCH($B50&amp;"|"&amp;$C50,MUROS!$AX$11:$AX$70,0),0))</f>
        <v/>
      </c>
      <c r="P50" s="84" t="str">
        <f>IF($D50="","",IF(ISNUMBER(MATCH($D50,CMB_S,0)),1,IF(ISNUMBER(MATCH($D50,CMB_G,0)),2,0)))</f>
        <v/>
      </c>
      <c r="Q50" s="84">
        <f>IF(ISNUMBER($H50),-$H50,0)</f>
        <v>0</v>
      </c>
      <c r="R50" s="84">
        <f>IF(ISNUMBER($I50),ABS($I50),0)</f>
        <v>0</v>
      </c>
      <c r="S50" s="84">
        <f>IF(ISNUMBER($M50),ABS($M50),0)</f>
        <v>0</v>
      </c>
      <c r="T50" s="85" t="n">
        <v>42</v>
      </c>
    </row>
    <row r="51">
      <c r="B51" s="83" t="n"/>
      <c r="C51" s="83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O51" s="84" t="str">
        <f>IF($C51="","",IFERROR(MATCH($B51&amp;"|"&amp;$C51,MUROS!$AX$11:$AX$70,0),0))</f>
        <v/>
      </c>
      <c r="P51" s="84" t="str">
        <f>IF($D51="","",IF(ISNUMBER(MATCH($D51,CMB_S,0)),1,IF(ISNUMBER(MATCH($D51,CMB_G,0)),2,0)))</f>
        <v/>
      </c>
      <c r="Q51" s="84">
        <f>IF(ISNUMBER($H51),-$H51,0)</f>
        <v>0</v>
      </c>
      <c r="R51" s="84">
        <f>IF(ISNUMBER($I51),ABS($I51),0)</f>
        <v>0</v>
      </c>
      <c r="S51" s="84">
        <f>IF(ISNUMBER($M51),ABS($M51),0)</f>
        <v>0</v>
      </c>
      <c r="T51" s="85" t="n">
        <v>43</v>
      </c>
    </row>
    <row r="52">
      <c r="B52" s="83" t="n"/>
      <c r="C52" s="83" t="n"/>
      <c r="D52" s="83" t="n"/>
      <c r="E52" s="83" t="n"/>
      <c r="F52" s="83" t="n"/>
      <c r="G52" s="83" t="n"/>
      <c r="H52" s="83" t="n"/>
      <c r="I52" s="83" t="n"/>
      <c r="J52" s="83" t="n"/>
      <c r="K52" s="83" t="n"/>
      <c r="L52" s="83" t="n"/>
      <c r="M52" s="83" t="n"/>
      <c r="O52" s="84" t="str">
        <f>IF($C52="","",IFERROR(MATCH($B52&amp;"|"&amp;$C52,MUROS!$AX$11:$AX$70,0),0))</f>
        <v/>
      </c>
      <c r="P52" s="84" t="str">
        <f>IF($D52="","",IF(ISNUMBER(MATCH($D52,CMB_S,0)),1,IF(ISNUMBER(MATCH($D52,CMB_G,0)),2,0)))</f>
        <v/>
      </c>
      <c r="Q52" s="84">
        <f>IF(ISNUMBER($H52),-$H52,0)</f>
        <v>0</v>
      </c>
      <c r="R52" s="84">
        <f>IF(ISNUMBER($I52),ABS($I52),0)</f>
        <v>0</v>
      </c>
      <c r="S52" s="84">
        <f>IF(ISNUMBER($M52),ABS($M52),0)</f>
        <v>0</v>
      </c>
      <c r="T52" s="85" t="n">
        <v>44</v>
      </c>
    </row>
    <row r="53">
      <c r="B53" s="83" t="n"/>
      <c r="C53" s="83" t="n"/>
      <c r="D53" s="83" t="n"/>
      <c r="E53" s="83" t="n"/>
      <c r="F53" s="83" t="n"/>
      <c r="G53" s="83" t="n"/>
      <c r="H53" s="83" t="n"/>
      <c r="I53" s="83" t="n"/>
      <c r="J53" s="83" t="n"/>
      <c r="K53" s="83" t="n"/>
      <c r="L53" s="83" t="n"/>
      <c r="M53" s="83" t="n"/>
      <c r="O53" s="84" t="str">
        <f>IF($C53="","",IFERROR(MATCH($B53&amp;"|"&amp;$C53,MUROS!$AX$11:$AX$70,0),0))</f>
        <v/>
      </c>
      <c r="P53" s="84" t="str">
        <f>IF($D53="","",IF(ISNUMBER(MATCH($D53,CMB_S,0)),1,IF(ISNUMBER(MATCH($D53,CMB_G,0)),2,0)))</f>
        <v/>
      </c>
      <c r="Q53" s="84">
        <f>IF(ISNUMBER($H53),-$H53,0)</f>
        <v>0</v>
      </c>
      <c r="R53" s="84">
        <f>IF(ISNUMBER($I53),ABS($I53),0)</f>
        <v>0</v>
      </c>
      <c r="S53" s="84">
        <f>IF(ISNUMBER($M53),ABS($M53),0)</f>
        <v>0</v>
      </c>
      <c r="T53" s="85" t="n">
        <v>45</v>
      </c>
    </row>
    <row r="54">
      <c r="B54" s="83" t="n"/>
      <c r="C54" s="83" t="n"/>
      <c r="D54" s="83" t="n"/>
      <c r="E54" s="83" t="n"/>
      <c r="F54" s="83" t="n"/>
      <c r="G54" s="83" t="n"/>
      <c r="H54" s="83" t="n"/>
      <c r="I54" s="83" t="n"/>
      <c r="J54" s="83" t="n"/>
      <c r="K54" s="83" t="n"/>
      <c r="L54" s="83" t="n"/>
      <c r="M54" s="83" t="n"/>
      <c r="O54" s="84" t="str">
        <f>IF($C54="","",IFERROR(MATCH($B54&amp;"|"&amp;$C54,MUROS!$AX$11:$AX$70,0),0))</f>
        <v/>
      </c>
      <c r="P54" s="84" t="str">
        <f>IF($D54="","",IF(ISNUMBER(MATCH($D54,CMB_S,0)),1,IF(ISNUMBER(MATCH($D54,CMB_G,0)),2,0)))</f>
        <v/>
      </c>
      <c r="Q54" s="84">
        <f>IF(ISNUMBER($H54),-$H54,0)</f>
        <v>0</v>
      </c>
      <c r="R54" s="84">
        <f>IF(ISNUMBER($I54),ABS($I54),0)</f>
        <v>0</v>
      </c>
      <c r="S54" s="84">
        <f>IF(ISNUMBER($M54),ABS($M54),0)</f>
        <v>0</v>
      </c>
      <c r="T54" s="85" t="n">
        <v>46</v>
      </c>
    </row>
    <row r="55">
      <c r="B55" s="83" t="n"/>
      <c r="C55" s="83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O55" s="84" t="str">
        <f>IF($C55="","",IFERROR(MATCH($B55&amp;"|"&amp;$C55,MUROS!$AX$11:$AX$70,0),0))</f>
        <v/>
      </c>
      <c r="P55" s="84" t="str">
        <f>IF($D55="","",IF(ISNUMBER(MATCH($D55,CMB_S,0)),1,IF(ISNUMBER(MATCH($D55,CMB_G,0)),2,0)))</f>
        <v/>
      </c>
      <c r="Q55" s="84">
        <f>IF(ISNUMBER($H55),-$H55,0)</f>
        <v>0</v>
      </c>
      <c r="R55" s="84">
        <f>IF(ISNUMBER($I55),ABS($I55),0)</f>
        <v>0</v>
      </c>
      <c r="S55" s="84">
        <f>IF(ISNUMBER($M55),ABS($M55),0)</f>
        <v>0</v>
      </c>
      <c r="T55" s="85" t="n">
        <v>47</v>
      </c>
    </row>
    <row r="56">
      <c r="B56" s="83" t="n"/>
      <c r="C56" s="83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O56" s="84" t="str">
        <f>IF($C56="","",IFERROR(MATCH($B56&amp;"|"&amp;$C56,MUROS!$AX$11:$AX$70,0),0))</f>
        <v/>
      </c>
      <c r="P56" s="84" t="str">
        <f>IF($D56="","",IF(ISNUMBER(MATCH($D56,CMB_S,0)),1,IF(ISNUMBER(MATCH($D56,CMB_G,0)),2,0)))</f>
        <v/>
      </c>
      <c r="Q56" s="84">
        <f>IF(ISNUMBER($H56),-$H56,0)</f>
        <v>0</v>
      </c>
      <c r="R56" s="84">
        <f>IF(ISNUMBER($I56),ABS($I56),0)</f>
        <v>0</v>
      </c>
      <c r="S56" s="84">
        <f>IF(ISNUMBER($M56),ABS($M56),0)</f>
        <v>0</v>
      </c>
      <c r="T56" s="85" t="n">
        <v>48</v>
      </c>
    </row>
    <row r="57"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O57" s="84" t="str">
        <f>IF($C57="","",IFERROR(MATCH($B57&amp;"|"&amp;$C57,MUROS!$AX$11:$AX$70,0),0))</f>
        <v/>
      </c>
      <c r="P57" s="84" t="str">
        <f>IF($D57="","",IF(ISNUMBER(MATCH($D57,CMB_S,0)),1,IF(ISNUMBER(MATCH($D57,CMB_G,0)),2,0)))</f>
        <v/>
      </c>
      <c r="Q57" s="84">
        <f>IF(ISNUMBER($H57),-$H57,0)</f>
        <v>0</v>
      </c>
      <c r="R57" s="84">
        <f>IF(ISNUMBER($I57),ABS($I57),0)</f>
        <v>0</v>
      </c>
      <c r="S57" s="84">
        <f>IF(ISNUMBER($M57),ABS($M57),0)</f>
        <v>0</v>
      </c>
      <c r="T57" s="85" t="n">
        <v>49</v>
      </c>
    </row>
    <row r="58"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O58" s="84" t="str">
        <f>IF($C58="","",IFERROR(MATCH($B58&amp;"|"&amp;$C58,MUROS!$AX$11:$AX$70,0),0))</f>
        <v/>
      </c>
      <c r="P58" s="84" t="str">
        <f>IF($D58="","",IF(ISNUMBER(MATCH($D58,CMB_S,0)),1,IF(ISNUMBER(MATCH($D58,CMB_G,0)),2,0)))</f>
        <v/>
      </c>
      <c r="Q58" s="84">
        <f>IF(ISNUMBER($H58),-$H58,0)</f>
        <v>0</v>
      </c>
      <c r="R58" s="84">
        <f>IF(ISNUMBER($I58),ABS($I58),0)</f>
        <v>0</v>
      </c>
      <c r="S58" s="84">
        <f>IF(ISNUMBER($M58),ABS($M58),0)</f>
        <v>0</v>
      </c>
      <c r="T58" s="85" t="n">
        <v>50</v>
      </c>
    </row>
    <row r="59"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O59" s="84" t="str">
        <f>IF($C59="","",IFERROR(MATCH($B59&amp;"|"&amp;$C59,MUROS!$AX$11:$AX$70,0),0))</f>
        <v/>
      </c>
      <c r="P59" s="84" t="str">
        <f>IF($D59="","",IF(ISNUMBER(MATCH($D59,CMB_S,0)),1,IF(ISNUMBER(MATCH($D59,CMB_G,0)),2,0)))</f>
        <v/>
      </c>
      <c r="Q59" s="84">
        <f>IF(ISNUMBER($H59),-$H59,0)</f>
        <v>0</v>
      </c>
      <c r="R59" s="84">
        <f>IF(ISNUMBER($I59),ABS($I59),0)</f>
        <v>0</v>
      </c>
      <c r="S59" s="84">
        <f>IF(ISNUMBER($M59),ABS($M59),0)</f>
        <v>0</v>
      </c>
      <c r="T59" s="85" t="n">
        <v>51</v>
      </c>
    </row>
    <row r="60">
      <c r="B60" s="83" t="n"/>
      <c r="C60" s="8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O60" s="84" t="str">
        <f>IF($C60="","",IFERROR(MATCH($B60&amp;"|"&amp;$C60,MUROS!$AX$11:$AX$70,0),0))</f>
        <v/>
      </c>
      <c r="P60" s="84" t="str">
        <f>IF($D60="","",IF(ISNUMBER(MATCH($D60,CMB_S,0)),1,IF(ISNUMBER(MATCH($D60,CMB_G,0)),2,0)))</f>
        <v/>
      </c>
      <c r="Q60" s="84">
        <f>IF(ISNUMBER($H60),-$H60,0)</f>
        <v>0</v>
      </c>
      <c r="R60" s="84">
        <f>IF(ISNUMBER($I60),ABS($I60),0)</f>
        <v>0</v>
      </c>
      <c r="S60" s="84">
        <f>IF(ISNUMBER($M60),ABS($M60),0)</f>
        <v>0</v>
      </c>
      <c r="T60" s="85" t="n">
        <v>52</v>
      </c>
    </row>
    <row r="61">
      <c r="B61" s="83" t="n"/>
      <c r="C61" s="83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O61" s="84" t="str">
        <f>IF($C61="","",IFERROR(MATCH($B61&amp;"|"&amp;$C61,MUROS!$AX$11:$AX$70,0),0))</f>
        <v/>
      </c>
      <c r="P61" s="84" t="str">
        <f>IF($D61="","",IF(ISNUMBER(MATCH($D61,CMB_S,0)),1,IF(ISNUMBER(MATCH($D61,CMB_G,0)),2,0)))</f>
        <v/>
      </c>
      <c r="Q61" s="84">
        <f>IF(ISNUMBER($H61),-$H61,0)</f>
        <v>0</v>
      </c>
      <c r="R61" s="84">
        <f>IF(ISNUMBER($I61),ABS($I61),0)</f>
        <v>0</v>
      </c>
      <c r="S61" s="84">
        <f>IF(ISNUMBER($M61),ABS($M61),0)</f>
        <v>0</v>
      </c>
      <c r="T61" s="85" t="n">
        <v>53</v>
      </c>
    </row>
    <row r="62">
      <c r="B62" s="83" t="n"/>
      <c r="C62" s="83" t="n"/>
      <c r="D62" s="83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O62" s="84" t="str">
        <f>IF($C62="","",IFERROR(MATCH($B62&amp;"|"&amp;$C62,MUROS!$AX$11:$AX$70,0),0))</f>
        <v/>
      </c>
      <c r="P62" s="84" t="str">
        <f>IF($D62="","",IF(ISNUMBER(MATCH($D62,CMB_S,0)),1,IF(ISNUMBER(MATCH($D62,CMB_G,0)),2,0)))</f>
        <v/>
      </c>
      <c r="Q62" s="84">
        <f>IF(ISNUMBER($H62),-$H62,0)</f>
        <v>0</v>
      </c>
      <c r="R62" s="84">
        <f>IF(ISNUMBER($I62),ABS($I62),0)</f>
        <v>0</v>
      </c>
      <c r="S62" s="84">
        <f>IF(ISNUMBER($M62),ABS($M62),0)</f>
        <v>0</v>
      </c>
      <c r="T62" s="85" t="n">
        <v>54</v>
      </c>
    </row>
    <row r="63">
      <c r="B63" s="83" t="n"/>
      <c r="C63" s="83" t="n"/>
      <c r="D63" s="83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O63" s="84" t="str">
        <f>IF($C63="","",IFERROR(MATCH($B63&amp;"|"&amp;$C63,MUROS!$AX$11:$AX$70,0),0))</f>
        <v/>
      </c>
      <c r="P63" s="84" t="str">
        <f>IF($D63="","",IF(ISNUMBER(MATCH($D63,CMB_S,0)),1,IF(ISNUMBER(MATCH($D63,CMB_G,0)),2,0)))</f>
        <v/>
      </c>
      <c r="Q63" s="84">
        <f>IF(ISNUMBER($H63),-$H63,0)</f>
        <v>0</v>
      </c>
      <c r="R63" s="84">
        <f>IF(ISNUMBER($I63),ABS($I63),0)</f>
        <v>0</v>
      </c>
      <c r="S63" s="84">
        <f>IF(ISNUMBER($M63),ABS($M63),0)</f>
        <v>0</v>
      </c>
      <c r="T63" s="85" t="n">
        <v>55</v>
      </c>
    </row>
    <row r="64">
      <c r="B64" s="83" t="n"/>
      <c r="C64" s="83" t="n"/>
      <c r="D64" s="83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O64" s="84" t="str">
        <f>IF($C64="","",IFERROR(MATCH($B64&amp;"|"&amp;$C64,MUROS!$AX$11:$AX$70,0),0))</f>
        <v/>
      </c>
      <c r="P64" s="84" t="str">
        <f>IF($D64="","",IF(ISNUMBER(MATCH($D64,CMB_S,0)),1,IF(ISNUMBER(MATCH($D64,CMB_G,0)),2,0)))</f>
        <v/>
      </c>
      <c r="Q64" s="84">
        <f>IF(ISNUMBER($H64),-$H64,0)</f>
        <v>0</v>
      </c>
      <c r="R64" s="84">
        <f>IF(ISNUMBER($I64),ABS($I64),0)</f>
        <v>0</v>
      </c>
      <c r="S64" s="84">
        <f>IF(ISNUMBER($M64),ABS($M64),0)</f>
        <v>0</v>
      </c>
      <c r="T64" s="85" t="n">
        <v>56</v>
      </c>
    </row>
    <row r="65">
      <c r="B65" s="83" t="n"/>
      <c r="C65" s="83" t="n"/>
      <c r="D65" s="83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O65" s="84" t="str">
        <f>IF($C65="","",IFERROR(MATCH($B65&amp;"|"&amp;$C65,MUROS!$AX$11:$AX$70,0),0))</f>
        <v/>
      </c>
      <c r="P65" s="84" t="str">
        <f>IF($D65="","",IF(ISNUMBER(MATCH($D65,CMB_S,0)),1,IF(ISNUMBER(MATCH($D65,CMB_G,0)),2,0)))</f>
        <v/>
      </c>
      <c r="Q65" s="84">
        <f>IF(ISNUMBER($H65),-$H65,0)</f>
        <v>0</v>
      </c>
      <c r="R65" s="84">
        <f>IF(ISNUMBER($I65),ABS($I65),0)</f>
        <v>0</v>
      </c>
      <c r="S65" s="84">
        <f>IF(ISNUMBER($M65),ABS($M65),0)</f>
        <v>0</v>
      </c>
      <c r="T65" s="85" t="n">
        <v>57</v>
      </c>
    </row>
    <row r="66">
      <c r="B66" s="83" t="n"/>
      <c r="C66" s="83" t="n"/>
      <c r="D66" s="83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O66" s="84" t="str">
        <f>IF($C66="","",IFERROR(MATCH($B66&amp;"|"&amp;$C66,MUROS!$AX$11:$AX$70,0),0))</f>
        <v/>
      </c>
      <c r="P66" s="84" t="str">
        <f>IF($D66="","",IF(ISNUMBER(MATCH($D66,CMB_S,0)),1,IF(ISNUMBER(MATCH($D66,CMB_G,0)),2,0)))</f>
        <v/>
      </c>
      <c r="Q66" s="84">
        <f>IF(ISNUMBER($H66),-$H66,0)</f>
        <v>0</v>
      </c>
      <c r="R66" s="84">
        <f>IF(ISNUMBER($I66),ABS($I66),0)</f>
        <v>0</v>
      </c>
      <c r="S66" s="84">
        <f>IF(ISNUMBER($M66),ABS($M66),0)</f>
        <v>0</v>
      </c>
      <c r="T66" s="85" t="n">
        <v>58</v>
      </c>
    </row>
    <row r="67">
      <c r="B67" s="83" t="n"/>
      <c r="C67" s="83" t="n"/>
      <c r="D67" s="83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O67" s="84" t="str">
        <f>IF($C67="","",IFERROR(MATCH($B67&amp;"|"&amp;$C67,MUROS!$AX$11:$AX$70,0),0))</f>
        <v/>
      </c>
      <c r="P67" s="84" t="str">
        <f>IF($D67="","",IF(ISNUMBER(MATCH($D67,CMB_S,0)),1,IF(ISNUMBER(MATCH($D67,CMB_G,0)),2,0)))</f>
        <v/>
      </c>
      <c r="Q67" s="84">
        <f>IF(ISNUMBER($H67),-$H67,0)</f>
        <v>0</v>
      </c>
      <c r="R67" s="84">
        <f>IF(ISNUMBER($I67),ABS($I67),0)</f>
        <v>0</v>
      </c>
      <c r="S67" s="84">
        <f>IF(ISNUMBER($M67),ABS($M67),0)</f>
        <v>0</v>
      </c>
      <c r="T67" s="85" t="n">
        <v>59</v>
      </c>
    </row>
    <row r="68">
      <c r="B68" s="83" t="n"/>
      <c r="C68" s="83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O68" s="84" t="str">
        <f>IF($C68="","",IFERROR(MATCH($B68&amp;"|"&amp;$C68,MUROS!$AX$11:$AX$70,0),0))</f>
        <v/>
      </c>
      <c r="P68" s="84" t="str">
        <f>IF($D68="","",IF(ISNUMBER(MATCH($D68,CMB_S,0)),1,IF(ISNUMBER(MATCH($D68,CMB_G,0)),2,0)))</f>
        <v/>
      </c>
      <c r="Q68" s="84">
        <f>IF(ISNUMBER($H68),-$H68,0)</f>
        <v>0</v>
      </c>
      <c r="R68" s="84">
        <f>IF(ISNUMBER($I68),ABS($I68),0)</f>
        <v>0</v>
      </c>
      <c r="S68" s="84">
        <f>IF(ISNUMBER($M68),ABS($M68),0)</f>
        <v>0</v>
      </c>
      <c r="T68" s="85" t="n">
        <v>60</v>
      </c>
    </row>
    <row r="69">
      <c r="B69" s="83" t="n"/>
      <c r="C69" s="83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O69" s="84" t="str">
        <f>IF($C69="","",IFERROR(MATCH($B69&amp;"|"&amp;$C69,MUROS!$AX$11:$AX$70,0),0))</f>
        <v/>
      </c>
      <c r="P69" s="84" t="str">
        <f>IF($D69="","",IF(ISNUMBER(MATCH($D69,CMB_S,0)),1,IF(ISNUMBER(MATCH($D69,CMB_G,0)),2,0)))</f>
        <v/>
      </c>
      <c r="Q69" s="84">
        <f>IF(ISNUMBER($H69),-$H69,0)</f>
        <v>0</v>
      </c>
      <c r="R69" s="84">
        <f>IF(ISNUMBER($I69),ABS($I69),0)</f>
        <v>0</v>
      </c>
      <c r="S69" s="84">
        <f>IF(ISNUMBER($M69),ABS($M69),0)</f>
        <v>0</v>
      </c>
      <c r="T69" s="85" t="n">
        <v>61</v>
      </c>
    </row>
    <row r="70">
      <c r="B70" s="83" t="n"/>
      <c r="C70" s="83" t="n"/>
      <c r="D70" s="83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O70" s="84" t="str">
        <f>IF($C70="","",IFERROR(MATCH($B70&amp;"|"&amp;$C70,MUROS!$AX$11:$AX$70,0),0))</f>
        <v/>
      </c>
      <c r="P70" s="84" t="str">
        <f>IF($D70="","",IF(ISNUMBER(MATCH($D70,CMB_S,0)),1,IF(ISNUMBER(MATCH($D70,CMB_G,0)),2,0)))</f>
        <v/>
      </c>
      <c r="Q70" s="84">
        <f>IF(ISNUMBER($H70),-$H70,0)</f>
        <v>0</v>
      </c>
      <c r="R70" s="84">
        <f>IF(ISNUMBER($I70),ABS($I70),0)</f>
        <v>0</v>
      </c>
      <c r="S70" s="84">
        <f>IF(ISNUMBER($M70),ABS($M70),0)</f>
        <v>0</v>
      </c>
      <c r="T70" s="85" t="n">
        <v>62</v>
      </c>
    </row>
    <row r="71">
      <c r="B71" s="83" t="n"/>
      <c r="C71" s="83" t="n"/>
      <c r="D71" s="83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O71" s="84" t="str">
        <f>IF($C71="","",IFERROR(MATCH($B71&amp;"|"&amp;$C71,MUROS!$AX$11:$AX$70,0),0))</f>
        <v/>
      </c>
      <c r="P71" s="84" t="str">
        <f>IF($D71="","",IF(ISNUMBER(MATCH($D71,CMB_S,0)),1,IF(ISNUMBER(MATCH($D71,CMB_G,0)),2,0)))</f>
        <v/>
      </c>
      <c r="Q71" s="84">
        <f>IF(ISNUMBER($H71),-$H71,0)</f>
        <v>0</v>
      </c>
      <c r="R71" s="84">
        <f>IF(ISNUMBER($I71),ABS($I71),0)</f>
        <v>0</v>
      </c>
      <c r="S71" s="84">
        <f>IF(ISNUMBER($M71),ABS($M71),0)</f>
        <v>0</v>
      </c>
      <c r="T71" s="85" t="n">
        <v>63</v>
      </c>
    </row>
    <row r="72">
      <c r="B72" s="83" t="n"/>
      <c r="C72" s="83" t="n"/>
      <c r="D72" s="83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O72" s="84" t="str">
        <f>IF($C72="","",IFERROR(MATCH($B72&amp;"|"&amp;$C72,MUROS!$AX$11:$AX$70,0),0))</f>
        <v/>
      </c>
      <c r="P72" s="84" t="str">
        <f>IF($D72="","",IF(ISNUMBER(MATCH($D72,CMB_S,0)),1,IF(ISNUMBER(MATCH($D72,CMB_G,0)),2,0)))</f>
        <v/>
      </c>
      <c r="Q72" s="84">
        <f>IF(ISNUMBER($H72),-$H72,0)</f>
        <v>0</v>
      </c>
      <c r="R72" s="84">
        <f>IF(ISNUMBER($I72),ABS($I72),0)</f>
        <v>0</v>
      </c>
      <c r="S72" s="84">
        <f>IF(ISNUMBER($M72),ABS($M72),0)</f>
        <v>0</v>
      </c>
      <c r="T72" s="85" t="n">
        <v>64</v>
      </c>
    </row>
    <row r="73">
      <c r="B73" s="83" t="n"/>
      <c r="C73" s="83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O73" s="84" t="str">
        <f>IF($C73="","",IFERROR(MATCH($B73&amp;"|"&amp;$C73,MUROS!$AX$11:$AX$70,0),0))</f>
        <v/>
      </c>
      <c r="P73" s="84" t="str">
        <f>IF($D73="","",IF(ISNUMBER(MATCH($D73,CMB_S,0)),1,IF(ISNUMBER(MATCH($D73,CMB_G,0)),2,0)))</f>
        <v/>
      </c>
      <c r="Q73" s="84">
        <f>IF(ISNUMBER($H73),-$H73,0)</f>
        <v>0</v>
      </c>
      <c r="R73" s="84">
        <f>IF(ISNUMBER($I73),ABS($I73),0)</f>
        <v>0</v>
      </c>
      <c r="S73" s="84">
        <f>IF(ISNUMBER($M73),ABS($M73),0)</f>
        <v>0</v>
      </c>
      <c r="T73" s="85" t="n">
        <v>65</v>
      </c>
    </row>
    <row r="74">
      <c r="B74" s="83" t="n"/>
      <c r="C74" s="83" t="n"/>
      <c r="D74" s="83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O74" s="84" t="str">
        <f>IF($C74="","",IFERROR(MATCH($B74&amp;"|"&amp;$C74,MUROS!$AX$11:$AX$70,0),0))</f>
        <v/>
      </c>
      <c r="P74" s="84" t="str">
        <f>IF($D74="","",IF(ISNUMBER(MATCH($D74,CMB_S,0)),1,IF(ISNUMBER(MATCH($D74,CMB_G,0)),2,0)))</f>
        <v/>
      </c>
      <c r="Q74" s="84">
        <f>IF(ISNUMBER($H74),-$H74,0)</f>
        <v>0</v>
      </c>
      <c r="R74" s="84">
        <f>IF(ISNUMBER($I74),ABS($I74),0)</f>
        <v>0</v>
      </c>
      <c r="S74" s="84">
        <f>IF(ISNUMBER($M74),ABS($M74),0)</f>
        <v>0</v>
      </c>
      <c r="T74" s="85" t="n">
        <v>66</v>
      </c>
    </row>
    <row r="75">
      <c r="B75" s="83" t="n"/>
      <c r="C75" s="83" t="n"/>
      <c r="D75" s="83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O75" s="84" t="str">
        <f>IF($C75="","",IFERROR(MATCH($B75&amp;"|"&amp;$C75,MUROS!$AX$11:$AX$70,0),0))</f>
        <v/>
      </c>
      <c r="P75" s="84" t="str">
        <f>IF($D75="","",IF(ISNUMBER(MATCH($D75,CMB_S,0)),1,IF(ISNUMBER(MATCH($D75,CMB_G,0)),2,0)))</f>
        <v/>
      </c>
      <c r="Q75" s="84">
        <f>IF(ISNUMBER($H75),-$H75,0)</f>
        <v>0</v>
      </c>
      <c r="R75" s="84">
        <f>IF(ISNUMBER($I75),ABS($I75),0)</f>
        <v>0</v>
      </c>
      <c r="S75" s="84">
        <f>IF(ISNUMBER($M75),ABS($M75),0)</f>
        <v>0</v>
      </c>
      <c r="T75" s="85" t="n">
        <v>67</v>
      </c>
    </row>
    <row r="76">
      <c r="B76" s="83" t="n"/>
      <c r="C76" s="83" t="n"/>
      <c r="D76" s="83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O76" s="84" t="str">
        <f>IF($C76="","",IFERROR(MATCH($B76&amp;"|"&amp;$C76,MUROS!$AX$11:$AX$70,0),0))</f>
        <v/>
      </c>
      <c r="P76" s="84" t="str">
        <f>IF($D76="","",IF(ISNUMBER(MATCH($D76,CMB_S,0)),1,IF(ISNUMBER(MATCH($D76,CMB_G,0)),2,0)))</f>
        <v/>
      </c>
      <c r="Q76" s="84">
        <f>IF(ISNUMBER($H76),-$H76,0)</f>
        <v>0</v>
      </c>
      <c r="R76" s="84">
        <f>IF(ISNUMBER($I76),ABS($I76),0)</f>
        <v>0</v>
      </c>
      <c r="S76" s="84">
        <f>IF(ISNUMBER($M76),ABS($M76),0)</f>
        <v>0</v>
      </c>
      <c r="T76" s="85" t="n">
        <v>68</v>
      </c>
    </row>
    <row r="77">
      <c r="B77" s="83" t="n"/>
      <c r="C77" s="83" t="n"/>
      <c r="D77" s="83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O77" s="84" t="str">
        <f>IF($C77="","",IFERROR(MATCH($B77&amp;"|"&amp;$C77,MUROS!$AX$11:$AX$70,0),0))</f>
        <v/>
      </c>
      <c r="P77" s="84" t="str">
        <f>IF($D77="","",IF(ISNUMBER(MATCH($D77,CMB_S,0)),1,IF(ISNUMBER(MATCH($D77,CMB_G,0)),2,0)))</f>
        <v/>
      </c>
      <c r="Q77" s="84">
        <f>IF(ISNUMBER($H77),-$H77,0)</f>
        <v>0</v>
      </c>
      <c r="R77" s="84">
        <f>IF(ISNUMBER($I77),ABS($I77),0)</f>
        <v>0</v>
      </c>
      <c r="S77" s="84">
        <f>IF(ISNUMBER($M77),ABS($M77),0)</f>
        <v>0</v>
      </c>
      <c r="T77" s="85" t="n">
        <v>69</v>
      </c>
    </row>
    <row r="78">
      <c r="B78" s="83" t="n"/>
      <c r="C78" s="83" t="n"/>
      <c r="D78" s="83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O78" s="84" t="str">
        <f>IF($C78="","",IFERROR(MATCH($B78&amp;"|"&amp;$C78,MUROS!$AX$11:$AX$70,0),0))</f>
        <v/>
      </c>
      <c r="P78" s="84" t="str">
        <f>IF($D78="","",IF(ISNUMBER(MATCH($D78,CMB_S,0)),1,IF(ISNUMBER(MATCH($D78,CMB_G,0)),2,0)))</f>
        <v/>
      </c>
      <c r="Q78" s="84">
        <f>IF(ISNUMBER($H78),-$H78,0)</f>
        <v>0</v>
      </c>
      <c r="R78" s="84">
        <f>IF(ISNUMBER($I78),ABS($I78),0)</f>
        <v>0</v>
      </c>
      <c r="S78" s="84">
        <f>IF(ISNUMBER($M78),ABS($M78),0)</f>
        <v>0</v>
      </c>
      <c r="T78" s="85" t="n">
        <v>70</v>
      </c>
    </row>
    <row r="79">
      <c r="B79" s="83" t="n"/>
      <c r="C79" s="83" t="n"/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O79" s="84" t="str">
        <f>IF($C79="","",IFERROR(MATCH($B79&amp;"|"&amp;$C79,MUROS!$AX$11:$AX$70,0),0))</f>
        <v/>
      </c>
      <c r="P79" s="84" t="str">
        <f>IF($D79="","",IF(ISNUMBER(MATCH($D79,CMB_S,0)),1,IF(ISNUMBER(MATCH($D79,CMB_G,0)),2,0)))</f>
        <v/>
      </c>
      <c r="Q79" s="84">
        <f>IF(ISNUMBER($H79),-$H79,0)</f>
        <v>0</v>
      </c>
      <c r="R79" s="84">
        <f>IF(ISNUMBER($I79),ABS($I79),0)</f>
        <v>0</v>
      </c>
      <c r="S79" s="84">
        <f>IF(ISNUMBER($M79),ABS($M79),0)</f>
        <v>0</v>
      </c>
      <c r="T79" s="85" t="n">
        <v>71</v>
      </c>
    </row>
    <row r="80">
      <c r="B80" s="83" t="n"/>
      <c r="C80" s="83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O80" s="84" t="str">
        <f>IF($C80="","",IFERROR(MATCH($B80&amp;"|"&amp;$C80,MUROS!$AX$11:$AX$70,0),0))</f>
        <v/>
      </c>
      <c r="P80" s="84" t="str">
        <f>IF($D80="","",IF(ISNUMBER(MATCH($D80,CMB_S,0)),1,IF(ISNUMBER(MATCH($D80,CMB_G,0)),2,0)))</f>
        <v/>
      </c>
      <c r="Q80" s="84">
        <f>IF(ISNUMBER($H80),-$H80,0)</f>
        <v>0</v>
      </c>
      <c r="R80" s="84">
        <f>IF(ISNUMBER($I80),ABS($I80),0)</f>
        <v>0</v>
      </c>
      <c r="S80" s="84">
        <f>IF(ISNUMBER($M80),ABS($M80),0)</f>
        <v>0</v>
      </c>
      <c r="T80" s="85" t="n">
        <v>72</v>
      </c>
    </row>
    <row r="81">
      <c r="B81" s="83" t="n"/>
      <c r="C81" s="83" t="n"/>
      <c r="D81" s="83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O81" s="84" t="str">
        <f>IF($C81="","",IFERROR(MATCH($B81&amp;"|"&amp;$C81,MUROS!$AX$11:$AX$70,0),0))</f>
        <v/>
      </c>
      <c r="P81" s="84" t="str">
        <f>IF($D81="","",IF(ISNUMBER(MATCH($D81,CMB_S,0)),1,IF(ISNUMBER(MATCH($D81,CMB_G,0)),2,0)))</f>
        <v/>
      </c>
      <c r="Q81" s="84">
        <f>IF(ISNUMBER($H81),-$H81,0)</f>
        <v>0</v>
      </c>
      <c r="R81" s="84">
        <f>IF(ISNUMBER($I81),ABS($I81),0)</f>
        <v>0</v>
      </c>
      <c r="S81" s="84">
        <f>IF(ISNUMBER($M81),ABS($M81),0)</f>
        <v>0</v>
      </c>
      <c r="T81" s="85" t="n">
        <v>73</v>
      </c>
    </row>
    <row r="82">
      <c r="B82" s="83" t="n"/>
      <c r="C82" s="83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O82" s="84" t="str">
        <f>IF($C82="","",IFERROR(MATCH($B82&amp;"|"&amp;$C82,MUROS!$AX$11:$AX$70,0),0))</f>
        <v/>
      </c>
      <c r="P82" s="84" t="str">
        <f>IF($D82="","",IF(ISNUMBER(MATCH($D82,CMB_S,0)),1,IF(ISNUMBER(MATCH($D82,CMB_G,0)),2,0)))</f>
        <v/>
      </c>
      <c r="Q82" s="84">
        <f>IF(ISNUMBER($H82),-$H82,0)</f>
        <v>0</v>
      </c>
      <c r="R82" s="84">
        <f>IF(ISNUMBER($I82),ABS($I82),0)</f>
        <v>0</v>
      </c>
      <c r="S82" s="84">
        <f>IF(ISNUMBER($M82),ABS($M82),0)</f>
        <v>0</v>
      </c>
      <c r="T82" s="85" t="n">
        <v>74</v>
      </c>
    </row>
    <row r="83">
      <c r="B83" s="83" t="n"/>
      <c r="C83" s="83" t="n"/>
      <c r="D83" s="83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O83" s="84" t="str">
        <f>IF($C83="","",IFERROR(MATCH($B83&amp;"|"&amp;$C83,MUROS!$AX$11:$AX$70,0),0))</f>
        <v/>
      </c>
      <c r="P83" s="84" t="str">
        <f>IF($D83="","",IF(ISNUMBER(MATCH($D83,CMB_S,0)),1,IF(ISNUMBER(MATCH($D83,CMB_G,0)),2,0)))</f>
        <v/>
      </c>
      <c r="Q83" s="84">
        <f>IF(ISNUMBER($H83),-$H83,0)</f>
        <v>0</v>
      </c>
      <c r="R83" s="84">
        <f>IF(ISNUMBER($I83),ABS($I83),0)</f>
        <v>0</v>
      </c>
      <c r="S83" s="84">
        <f>IF(ISNUMBER($M83),ABS($M83),0)</f>
        <v>0</v>
      </c>
      <c r="T83" s="85" t="n">
        <v>75</v>
      </c>
    </row>
    <row r="84">
      <c r="B84" s="83" t="n"/>
      <c r="C84" s="83" t="n"/>
      <c r="D84" s="83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O84" s="84" t="str">
        <f>IF($C84="","",IFERROR(MATCH($B84&amp;"|"&amp;$C84,MUROS!$AX$11:$AX$70,0),0))</f>
        <v/>
      </c>
      <c r="P84" s="84" t="str">
        <f>IF($D84="","",IF(ISNUMBER(MATCH($D84,CMB_S,0)),1,IF(ISNUMBER(MATCH($D84,CMB_G,0)),2,0)))</f>
        <v/>
      </c>
      <c r="Q84" s="84">
        <f>IF(ISNUMBER($H84),-$H84,0)</f>
        <v>0</v>
      </c>
      <c r="R84" s="84">
        <f>IF(ISNUMBER($I84),ABS($I84),0)</f>
        <v>0</v>
      </c>
      <c r="S84" s="84">
        <f>IF(ISNUMBER($M84),ABS($M84),0)</f>
        <v>0</v>
      </c>
      <c r="T84" s="85" t="n">
        <v>76</v>
      </c>
    </row>
    <row r="85">
      <c r="B85" s="83" t="n"/>
      <c r="C85" s="83" t="n"/>
      <c r="D85" s="83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O85" s="84" t="str">
        <f>IF($C85="","",IFERROR(MATCH($B85&amp;"|"&amp;$C85,MUROS!$AX$11:$AX$70,0),0))</f>
        <v/>
      </c>
      <c r="P85" s="84" t="str">
        <f>IF($D85="","",IF(ISNUMBER(MATCH($D85,CMB_S,0)),1,IF(ISNUMBER(MATCH($D85,CMB_G,0)),2,0)))</f>
        <v/>
      </c>
      <c r="Q85" s="84">
        <f>IF(ISNUMBER($H85),-$H85,0)</f>
        <v>0</v>
      </c>
      <c r="R85" s="84">
        <f>IF(ISNUMBER($I85),ABS($I85),0)</f>
        <v>0</v>
      </c>
      <c r="S85" s="84">
        <f>IF(ISNUMBER($M85),ABS($M85),0)</f>
        <v>0</v>
      </c>
      <c r="T85" s="85" t="n">
        <v>77</v>
      </c>
    </row>
    <row r="86">
      <c r="B86" s="83" t="n"/>
      <c r="C86" s="83" t="n"/>
      <c r="D86" s="83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O86" s="84" t="str">
        <f>IF($C86="","",IFERROR(MATCH($B86&amp;"|"&amp;$C86,MUROS!$AX$11:$AX$70,0),0))</f>
        <v/>
      </c>
      <c r="P86" s="84" t="str">
        <f>IF($D86="","",IF(ISNUMBER(MATCH($D86,CMB_S,0)),1,IF(ISNUMBER(MATCH($D86,CMB_G,0)),2,0)))</f>
        <v/>
      </c>
      <c r="Q86" s="84">
        <f>IF(ISNUMBER($H86),-$H86,0)</f>
        <v>0</v>
      </c>
      <c r="R86" s="84">
        <f>IF(ISNUMBER($I86),ABS($I86),0)</f>
        <v>0</v>
      </c>
      <c r="S86" s="84">
        <f>IF(ISNUMBER($M86),ABS($M86),0)</f>
        <v>0</v>
      </c>
      <c r="T86" s="85" t="n">
        <v>78</v>
      </c>
    </row>
    <row r="87">
      <c r="B87" s="83" t="n"/>
      <c r="C87" s="83" t="n"/>
      <c r="D87" s="83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O87" s="84" t="str">
        <f>IF($C87="","",IFERROR(MATCH($B87&amp;"|"&amp;$C87,MUROS!$AX$11:$AX$70,0),0))</f>
        <v/>
      </c>
      <c r="P87" s="84" t="str">
        <f>IF($D87="","",IF(ISNUMBER(MATCH($D87,CMB_S,0)),1,IF(ISNUMBER(MATCH($D87,CMB_G,0)),2,0)))</f>
        <v/>
      </c>
      <c r="Q87" s="84">
        <f>IF(ISNUMBER($H87),-$H87,0)</f>
        <v>0</v>
      </c>
      <c r="R87" s="84">
        <f>IF(ISNUMBER($I87),ABS($I87),0)</f>
        <v>0</v>
      </c>
      <c r="S87" s="84">
        <f>IF(ISNUMBER($M87),ABS($M87),0)</f>
        <v>0</v>
      </c>
      <c r="T87" s="85" t="n">
        <v>79</v>
      </c>
    </row>
    <row r="88">
      <c r="B88" s="83" t="n"/>
      <c r="C88" s="83" t="n"/>
      <c r="D88" s="83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O88" s="84" t="str">
        <f>IF($C88="","",IFERROR(MATCH($B88&amp;"|"&amp;$C88,MUROS!$AX$11:$AX$70,0),0))</f>
        <v/>
      </c>
      <c r="P88" s="84" t="str">
        <f>IF($D88="","",IF(ISNUMBER(MATCH($D88,CMB_S,0)),1,IF(ISNUMBER(MATCH($D88,CMB_G,0)),2,0)))</f>
        <v/>
      </c>
      <c r="Q88" s="84">
        <f>IF(ISNUMBER($H88),-$H88,0)</f>
        <v>0</v>
      </c>
      <c r="R88" s="84">
        <f>IF(ISNUMBER($I88),ABS($I88),0)</f>
        <v>0</v>
      </c>
      <c r="S88" s="84">
        <f>IF(ISNUMBER($M88),ABS($M88),0)</f>
        <v>0</v>
      </c>
      <c r="T88" s="85" t="n">
        <v>80</v>
      </c>
    </row>
    <row r="89">
      <c r="B89" s="83" t="n"/>
      <c r="C89" s="83" t="n"/>
      <c r="D89" s="83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O89" s="84" t="str">
        <f>IF($C89="","",IFERROR(MATCH($B89&amp;"|"&amp;$C89,MUROS!$AX$11:$AX$70,0),0))</f>
        <v/>
      </c>
      <c r="P89" s="84" t="str">
        <f>IF($D89="","",IF(ISNUMBER(MATCH($D89,CMB_S,0)),1,IF(ISNUMBER(MATCH($D89,CMB_G,0)),2,0)))</f>
        <v/>
      </c>
      <c r="Q89" s="84">
        <f>IF(ISNUMBER($H89),-$H89,0)</f>
        <v>0</v>
      </c>
      <c r="R89" s="84">
        <f>IF(ISNUMBER($I89),ABS($I89),0)</f>
        <v>0</v>
      </c>
      <c r="S89" s="84">
        <f>IF(ISNUMBER($M89),ABS($M89),0)</f>
        <v>0</v>
      </c>
      <c r="T89" s="85" t="n">
        <v>81</v>
      </c>
    </row>
    <row r="90">
      <c r="B90" s="83" t="n"/>
      <c r="C90" s="83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O90" s="84" t="str">
        <f>IF($C90="","",IFERROR(MATCH($B90&amp;"|"&amp;$C90,MUROS!$AX$11:$AX$70,0),0))</f>
        <v/>
      </c>
      <c r="P90" s="84" t="str">
        <f>IF($D90="","",IF(ISNUMBER(MATCH($D90,CMB_S,0)),1,IF(ISNUMBER(MATCH($D90,CMB_G,0)),2,0)))</f>
        <v/>
      </c>
      <c r="Q90" s="84">
        <f>IF(ISNUMBER($H90),-$H90,0)</f>
        <v>0</v>
      </c>
      <c r="R90" s="84">
        <f>IF(ISNUMBER($I90),ABS($I90),0)</f>
        <v>0</v>
      </c>
      <c r="S90" s="84">
        <f>IF(ISNUMBER($M90),ABS($M90),0)</f>
        <v>0</v>
      </c>
      <c r="T90" s="85" t="n">
        <v>82</v>
      </c>
    </row>
    <row r="91">
      <c r="B91" s="83" t="n"/>
      <c r="C91" s="83" t="n"/>
      <c r="D91" s="83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O91" s="84" t="str">
        <f>IF($C91="","",IFERROR(MATCH($B91&amp;"|"&amp;$C91,MUROS!$AX$11:$AX$70,0),0))</f>
        <v/>
      </c>
      <c r="P91" s="84" t="str">
        <f>IF($D91="","",IF(ISNUMBER(MATCH($D91,CMB_S,0)),1,IF(ISNUMBER(MATCH($D91,CMB_G,0)),2,0)))</f>
        <v/>
      </c>
      <c r="Q91" s="84">
        <f>IF(ISNUMBER($H91),-$H91,0)</f>
        <v>0</v>
      </c>
      <c r="R91" s="84">
        <f>IF(ISNUMBER($I91),ABS($I91),0)</f>
        <v>0</v>
      </c>
      <c r="S91" s="84">
        <f>IF(ISNUMBER($M91),ABS($M91),0)</f>
        <v>0</v>
      </c>
      <c r="T91" s="85" t="n">
        <v>83</v>
      </c>
    </row>
    <row r="92">
      <c r="B92" s="83" t="n"/>
      <c r="C92" s="83" t="n"/>
      <c r="D92" s="83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O92" s="84" t="str">
        <f>IF($C92="","",IFERROR(MATCH($B92&amp;"|"&amp;$C92,MUROS!$AX$11:$AX$70,0),0))</f>
        <v/>
      </c>
      <c r="P92" s="84" t="str">
        <f>IF($D92="","",IF(ISNUMBER(MATCH($D92,CMB_S,0)),1,IF(ISNUMBER(MATCH($D92,CMB_G,0)),2,0)))</f>
        <v/>
      </c>
      <c r="Q92" s="84">
        <f>IF(ISNUMBER($H92),-$H92,0)</f>
        <v>0</v>
      </c>
      <c r="R92" s="84">
        <f>IF(ISNUMBER($I92),ABS($I92),0)</f>
        <v>0</v>
      </c>
      <c r="S92" s="84">
        <f>IF(ISNUMBER($M92),ABS($M92),0)</f>
        <v>0</v>
      </c>
      <c r="T92" s="85" t="n">
        <v>84</v>
      </c>
    </row>
    <row r="93">
      <c r="B93" s="83" t="n"/>
      <c r="C93" s="83" t="n"/>
      <c r="D93" s="83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O93" s="84" t="str">
        <f>IF($C93="","",IFERROR(MATCH($B93&amp;"|"&amp;$C93,MUROS!$AX$11:$AX$70,0),0))</f>
        <v/>
      </c>
      <c r="P93" s="84" t="str">
        <f>IF($D93="","",IF(ISNUMBER(MATCH($D93,CMB_S,0)),1,IF(ISNUMBER(MATCH($D93,CMB_G,0)),2,0)))</f>
        <v/>
      </c>
      <c r="Q93" s="84">
        <f>IF(ISNUMBER($H93),-$H93,0)</f>
        <v>0</v>
      </c>
      <c r="R93" s="84">
        <f>IF(ISNUMBER($I93),ABS($I93),0)</f>
        <v>0</v>
      </c>
      <c r="S93" s="84">
        <f>IF(ISNUMBER($M93),ABS($M93),0)</f>
        <v>0</v>
      </c>
      <c r="T93" s="85" t="n">
        <v>85</v>
      </c>
    </row>
    <row r="94">
      <c r="B94" s="83" t="n"/>
      <c r="C94" s="83" t="n"/>
      <c r="D94" s="83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O94" s="84" t="str">
        <f>IF($C94="","",IFERROR(MATCH($B94&amp;"|"&amp;$C94,MUROS!$AX$11:$AX$70,0),0))</f>
        <v/>
      </c>
      <c r="P94" s="84" t="str">
        <f>IF($D94="","",IF(ISNUMBER(MATCH($D94,CMB_S,0)),1,IF(ISNUMBER(MATCH($D94,CMB_G,0)),2,0)))</f>
        <v/>
      </c>
      <c r="Q94" s="84">
        <f>IF(ISNUMBER($H94),-$H94,0)</f>
        <v>0</v>
      </c>
      <c r="R94" s="84">
        <f>IF(ISNUMBER($I94),ABS($I94),0)</f>
        <v>0</v>
      </c>
      <c r="S94" s="84">
        <f>IF(ISNUMBER($M94),ABS($M94),0)</f>
        <v>0</v>
      </c>
      <c r="T94" s="85" t="n">
        <v>86</v>
      </c>
    </row>
    <row r="95">
      <c r="B95" s="83" t="n"/>
      <c r="C95" s="83" t="n"/>
      <c r="D95" s="83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O95" s="84" t="str">
        <f>IF($C95="","",IFERROR(MATCH($B95&amp;"|"&amp;$C95,MUROS!$AX$11:$AX$70,0),0))</f>
        <v/>
      </c>
      <c r="P95" s="84" t="str">
        <f>IF($D95="","",IF(ISNUMBER(MATCH($D95,CMB_S,0)),1,IF(ISNUMBER(MATCH($D95,CMB_G,0)),2,0)))</f>
        <v/>
      </c>
      <c r="Q95" s="84">
        <f>IF(ISNUMBER($H95),-$H95,0)</f>
        <v>0</v>
      </c>
      <c r="R95" s="84">
        <f>IF(ISNUMBER($I95),ABS($I95),0)</f>
        <v>0</v>
      </c>
      <c r="S95" s="84">
        <f>IF(ISNUMBER($M95),ABS($M95),0)</f>
        <v>0</v>
      </c>
      <c r="T95" s="85" t="n">
        <v>87</v>
      </c>
    </row>
    <row r="96">
      <c r="B96" s="83" t="n"/>
      <c r="C96" s="83" t="n"/>
      <c r="D96" s="83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O96" s="84" t="str">
        <f>IF($C96="","",IFERROR(MATCH($B96&amp;"|"&amp;$C96,MUROS!$AX$11:$AX$70,0),0))</f>
        <v/>
      </c>
      <c r="P96" s="84" t="str">
        <f>IF($D96="","",IF(ISNUMBER(MATCH($D96,CMB_S,0)),1,IF(ISNUMBER(MATCH($D96,CMB_G,0)),2,0)))</f>
        <v/>
      </c>
      <c r="Q96" s="84">
        <f>IF(ISNUMBER($H96),-$H96,0)</f>
        <v>0</v>
      </c>
      <c r="R96" s="84">
        <f>IF(ISNUMBER($I96),ABS($I96),0)</f>
        <v>0</v>
      </c>
      <c r="S96" s="84">
        <f>IF(ISNUMBER($M96),ABS($M96),0)</f>
        <v>0</v>
      </c>
      <c r="T96" s="85" t="n">
        <v>88</v>
      </c>
    </row>
    <row r="97">
      <c r="B97" s="83" t="n"/>
      <c r="C97" s="83" t="n"/>
      <c r="D97" s="83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O97" s="84" t="str">
        <f>IF($C97="","",IFERROR(MATCH($B97&amp;"|"&amp;$C97,MUROS!$AX$11:$AX$70,0),0))</f>
        <v/>
      </c>
      <c r="P97" s="84" t="str">
        <f>IF($D97="","",IF(ISNUMBER(MATCH($D97,CMB_S,0)),1,IF(ISNUMBER(MATCH($D97,CMB_G,0)),2,0)))</f>
        <v/>
      </c>
      <c r="Q97" s="84">
        <f>IF(ISNUMBER($H97),-$H97,0)</f>
        <v>0</v>
      </c>
      <c r="R97" s="84">
        <f>IF(ISNUMBER($I97),ABS($I97),0)</f>
        <v>0</v>
      </c>
      <c r="S97" s="84">
        <f>IF(ISNUMBER($M97),ABS($M97),0)</f>
        <v>0</v>
      </c>
      <c r="T97" s="85" t="n">
        <v>89</v>
      </c>
    </row>
    <row r="98">
      <c r="B98" s="83" t="n"/>
      <c r="C98" s="83" t="n"/>
      <c r="D98" s="83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O98" s="84" t="str">
        <f>IF($C98="","",IFERROR(MATCH($B98&amp;"|"&amp;$C98,MUROS!$AX$11:$AX$70,0),0))</f>
        <v/>
      </c>
      <c r="P98" s="84" t="str">
        <f>IF($D98="","",IF(ISNUMBER(MATCH($D98,CMB_S,0)),1,IF(ISNUMBER(MATCH($D98,CMB_G,0)),2,0)))</f>
        <v/>
      </c>
      <c r="Q98" s="84">
        <f>IF(ISNUMBER($H98),-$H98,0)</f>
        <v>0</v>
      </c>
      <c r="R98" s="84">
        <f>IF(ISNUMBER($I98),ABS($I98),0)</f>
        <v>0</v>
      </c>
      <c r="S98" s="84">
        <f>IF(ISNUMBER($M98),ABS($M98),0)</f>
        <v>0</v>
      </c>
      <c r="T98" s="85" t="n">
        <v>90</v>
      </c>
    </row>
    <row r="99">
      <c r="B99" s="83" t="n"/>
      <c r="C99" s="83" t="n"/>
      <c r="D99" s="83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O99" s="84" t="str">
        <f>IF($C99="","",IFERROR(MATCH($B99&amp;"|"&amp;$C99,MUROS!$AX$11:$AX$70,0),0))</f>
        <v/>
      </c>
      <c r="P99" s="84" t="str">
        <f>IF($D99="","",IF(ISNUMBER(MATCH($D99,CMB_S,0)),1,IF(ISNUMBER(MATCH($D99,CMB_G,0)),2,0)))</f>
        <v/>
      </c>
      <c r="Q99" s="84">
        <f>IF(ISNUMBER($H99),-$H99,0)</f>
        <v>0</v>
      </c>
      <c r="R99" s="84">
        <f>IF(ISNUMBER($I99),ABS($I99),0)</f>
        <v>0</v>
      </c>
      <c r="S99" s="84">
        <f>IF(ISNUMBER($M99),ABS($M99),0)</f>
        <v>0</v>
      </c>
      <c r="T99" s="85" t="n">
        <v>91</v>
      </c>
    </row>
    <row r="100"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O100" s="84" t="str">
        <f>IF($C100="","",IFERROR(MATCH($B100&amp;"|"&amp;$C100,MUROS!$AX$11:$AX$70,0),0))</f>
        <v/>
      </c>
      <c r="P100" s="84" t="str">
        <f>IF($D100="","",IF(ISNUMBER(MATCH($D100,CMB_S,0)),1,IF(ISNUMBER(MATCH($D100,CMB_G,0)),2,0)))</f>
        <v/>
      </c>
      <c r="Q100" s="84">
        <f>IF(ISNUMBER($H100),-$H100,0)</f>
        <v>0</v>
      </c>
      <c r="R100" s="84">
        <f>IF(ISNUMBER($I100),ABS($I100),0)</f>
        <v>0</v>
      </c>
      <c r="S100" s="84">
        <f>IF(ISNUMBER($M100),ABS($M100),0)</f>
        <v>0</v>
      </c>
      <c r="T100" s="85" t="n">
        <v>92</v>
      </c>
    </row>
    <row r="101">
      <c r="B101" s="83" t="n"/>
      <c r="C101" s="83" t="n"/>
      <c r="D101" s="83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O101" s="84" t="str">
        <f>IF($C101="","",IFERROR(MATCH($B101&amp;"|"&amp;$C101,MUROS!$AX$11:$AX$70,0),0))</f>
        <v/>
      </c>
      <c r="P101" s="84" t="str">
        <f>IF($D101="","",IF(ISNUMBER(MATCH($D101,CMB_S,0)),1,IF(ISNUMBER(MATCH($D101,CMB_G,0)),2,0)))</f>
        <v/>
      </c>
      <c r="Q101" s="84">
        <f>IF(ISNUMBER($H101),-$H101,0)</f>
        <v>0</v>
      </c>
      <c r="R101" s="84">
        <f>IF(ISNUMBER($I101),ABS($I101),0)</f>
        <v>0</v>
      </c>
      <c r="S101" s="84">
        <f>IF(ISNUMBER($M101),ABS($M101),0)</f>
        <v>0</v>
      </c>
      <c r="T101" s="85" t="n">
        <v>93</v>
      </c>
    </row>
    <row r="102">
      <c r="B102" s="83" t="n"/>
      <c r="C102" s="83" t="n"/>
      <c r="D102" s="83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O102" s="84" t="str">
        <f>IF($C102="","",IFERROR(MATCH($B102&amp;"|"&amp;$C102,MUROS!$AX$11:$AX$70,0),0))</f>
        <v/>
      </c>
      <c r="P102" s="84" t="str">
        <f>IF($D102="","",IF(ISNUMBER(MATCH($D102,CMB_S,0)),1,IF(ISNUMBER(MATCH($D102,CMB_G,0)),2,0)))</f>
        <v/>
      </c>
      <c r="Q102" s="84">
        <f>IF(ISNUMBER($H102),-$H102,0)</f>
        <v>0</v>
      </c>
      <c r="R102" s="84">
        <f>IF(ISNUMBER($I102),ABS($I102),0)</f>
        <v>0</v>
      </c>
      <c r="S102" s="84">
        <f>IF(ISNUMBER($M102),ABS($M102),0)</f>
        <v>0</v>
      </c>
      <c r="T102" s="85" t="n">
        <v>94</v>
      </c>
    </row>
    <row r="103">
      <c r="B103" s="83" t="n"/>
      <c r="C103" s="83" t="n"/>
      <c r="D103" s="83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O103" s="84" t="str">
        <f>IF($C103="","",IFERROR(MATCH($B103&amp;"|"&amp;$C103,MUROS!$AX$11:$AX$70,0),0))</f>
        <v/>
      </c>
      <c r="P103" s="84" t="str">
        <f>IF($D103="","",IF(ISNUMBER(MATCH($D103,CMB_S,0)),1,IF(ISNUMBER(MATCH($D103,CMB_G,0)),2,0)))</f>
        <v/>
      </c>
      <c r="Q103" s="84">
        <f>IF(ISNUMBER($H103),-$H103,0)</f>
        <v>0</v>
      </c>
      <c r="R103" s="84">
        <f>IF(ISNUMBER($I103),ABS($I103),0)</f>
        <v>0</v>
      </c>
      <c r="S103" s="84">
        <f>IF(ISNUMBER($M103),ABS($M103),0)</f>
        <v>0</v>
      </c>
      <c r="T103" s="85" t="n">
        <v>95</v>
      </c>
    </row>
    <row r="104">
      <c r="B104" s="83" t="n"/>
      <c r="C104" s="83" t="n"/>
      <c r="D104" s="83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O104" s="84" t="str">
        <f>IF($C104="","",IFERROR(MATCH($B104&amp;"|"&amp;$C104,MUROS!$AX$11:$AX$70,0),0))</f>
        <v/>
      </c>
      <c r="P104" s="84" t="str">
        <f>IF($D104="","",IF(ISNUMBER(MATCH($D104,CMB_S,0)),1,IF(ISNUMBER(MATCH($D104,CMB_G,0)),2,0)))</f>
        <v/>
      </c>
      <c r="Q104" s="84">
        <f>IF(ISNUMBER($H104),-$H104,0)</f>
        <v>0</v>
      </c>
      <c r="R104" s="84">
        <f>IF(ISNUMBER($I104),ABS($I104),0)</f>
        <v>0</v>
      </c>
      <c r="S104" s="84">
        <f>IF(ISNUMBER($M104),ABS($M104),0)</f>
        <v>0</v>
      </c>
      <c r="T104" s="85" t="n">
        <v>96</v>
      </c>
    </row>
    <row r="105">
      <c r="B105" s="83" t="n"/>
      <c r="C105" s="83" t="n"/>
      <c r="D105" s="83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O105" s="84" t="str">
        <f>IF($C105="","",IFERROR(MATCH($B105&amp;"|"&amp;$C105,MUROS!$AX$11:$AX$70,0),0))</f>
        <v/>
      </c>
      <c r="P105" s="84" t="str">
        <f>IF($D105="","",IF(ISNUMBER(MATCH($D105,CMB_S,0)),1,IF(ISNUMBER(MATCH($D105,CMB_G,0)),2,0)))</f>
        <v/>
      </c>
      <c r="Q105" s="84">
        <f>IF(ISNUMBER($H105),-$H105,0)</f>
        <v>0</v>
      </c>
      <c r="R105" s="84">
        <f>IF(ISNUMBER($I105),ABS($I105),0)</f>
        <v>0</v>
      </c>
      <c r="S105" s="84">
        <f>IF(ISNUMBER($M105),ABS($M105),0)</f>
        <v>0</v>
      </c>
      <c r="T105" s="85" t="n">
        <v>97</v>
      </c>
    </row>
    <row r="106">
      <c r="B106" s="83" t="n"/>
      <c r="C106" s="83" t="n"/>
      <c r="D106" s="83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O106" s="84" t="str">
        <f>IF($C106="","",IFERROR(MATCH($B106&amp;"|"&amp;$C106,MUROS!$AX$11:$AX$70,0),0))</f>
        <v/>
      </c>
      <c r="P106" s="84" t="str">
        <f>IF($D106="","",IF(ISNUMBER(MATCH($D106,CMB_S,0)),1,IF(ISNUMBER(MATCH($D106,CMB_G,0)),2,0)))</f>
        <v/>
      </c>
      <c r="Q106" s="84">
        <f>IF(ISNUMBER($H106),-$H106,0)</f>
        <v>0</v>
      </c>
      <c r="R106" s="84">
        <f>IF(ISNUMBER($I106),ABS($I106),0)</f>
        <v>0</v>
      </c>
      <c r="S106" s="84">
        <f>IF(ISNUMBER($M106),ABS($M106),0)</f>
        <v>0</v>
      </c>
      <c r="T106" s="85" t="n">
        <v>98</v>
      </c>
    </row>
    <row r="107">
      <c r="B107" s="83" t="n"/>
      <c r="C107" s="83" t="n"/>
      <c r="D107" s="83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O107" s="84" t="str">
        <f>IF($C107="","",IFERROR(MATCH($B107&amp;"|"&amp;$C107,MUROS!$AX$11:$AX$70,0),0))</f>
        <v/>
      </c>
      <c r="P107" s="84" t="str">
        <f>IF($D107="","",IF(ISNUMBER(MATCH($D107,CMB_S,0)),1,IF(ISNUMBER(MATCH($D107,CMB_G,0)),2,0)))</f>
        <v/>
      </c>
      <c r="Q107" s="84">
        <f>IF(ISNUMBER($H107),-$H107,0)</f>
        <v>0</v>
      </c>
      <c r="R107" s="84">
        <f>IF(ISNUMBER($I107),ABS($I107),0)</f>
        <v>0</v>
      </c>
      <c r="S107" s="84">
        <f>IF(ISNUMBER($M107),ABS($M107),0)</f>
        <v>0</v>
      </c>
      <c r="T107" s="85" t="n">
        <v>99</v>
      </c>
    </row>
    <row r="108">
      <c r="B108" s="83" t="n"/>
      <c r="C108" s="83" t="n"/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O108" s="84" t="str">
        <f>IF($C108="","",IFERROR(MATCH($B108&amp;"|"&amp;$C108,MUROS!$AX$11:$AX$70,0),0))</f>
        <v/>
      </c>
      <c r="P108" s="84" t="str">
        <f>IF($D108="","",IF(ISNUMBER(MATCH($D108,CMB_S,0)),1,IF(ISNUMBER(MATCH($D108,CMB_G,0)),2,0)))</f>
        <v/>
      </c>
      <c r="Q108" s="84">
        <f>IF(ISNUMBER($H108),-$H108,0)</f>
        <v>0</v>
      </c>
      <c r="R108" s="84">
        <f>IF(ISNUMBER($I108),ABS($I108),0)</f>
        <v>0</v>
      </c>
      <c r="S108" s="84">
        <f>IF(ISNUMBER($M108),ABS($M108),0)</f>
        <v>0</v>
      </c>
      <c r="T108" s="85" t="n">
        <v>100</v>
      </c>
    </row>
    <row r="109">
      <c r="B109" s="83" t="n"/>
      <c r="C109" s="83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O109" s="84" t="str">
        <f>IF($C109="","",IFERROR(MATCH($B109&amp;"|"&amp;$C109,MUROS!$AX$11:$AX$70,0),0))</f>
        <v/>
      </c>
      <c r="P109" s="84" t="str">
        <f>IF($D109="","",IF(ISNUMBER(MATCH($D109,CMB_S,0)),1,IF(ISNUMBER(MATCH($D109,CMB_G,0)),2,0)))</f>
        <v/>
      </c>
      <c r="Q109" s="84">
        <f>IF(ISNUMBER($H109),-$H109,0)</f>
        <v>0</v>
      </c>
      <c r="R109" s="84">
        <f>IF(ISNUMBER($I109),ABS($I109),0)</f>
        <v>0</v>
      </c>
      <c r="S109" s="84">
        <f>IF(ISNUMBER($M109),ABS($M109),0)</f>
        <v>0</v>
      </c>
      <c r="T109" s="85" t="n">
        <v>101</v>
      </c>
    </row>
    <row r="110"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O110" s="84" t="str">
        <f>IF($C110="","",IFERROR(MATCH($B110&amp;"|"&amp;$C110,MUROS!$AX$11:$AX$70,0),0))</f>
        <v/>
      </c>
      <c r="P110" s="84" t="str">
        <f>IF($D110="","",IF(ISNUMBER(MATCH($D110,CMB_S,0)),1,IF(ISNUMBER(MATCH($D110,CMB_G,0)),2,0)))</f>
        <v/>
      </c>
      <c r="Q110" s="84">
        <f>IF(ISNUMBER($H110),-$H110,0)</f>
        <v>0</v>
      </c>
      <c r="R110" s="84">
        <f>IF(ISNUMBER($I110),ABS($I110),0)</f>
        <v>0</v>
      </c>
      <c r="S110" s="84">
        <f>IF(ISNUMBER($M110),ABS($M110),0)</f>
        <v>0</v>
      </c>
      <c r="T110" s="85" t="n">
        <v>102</v>
      </c>
    </row>
    <row r="111">
      <c r="B111" s="83" t="n"/>
      <c r="C111" s="83" t="n"/>
      <c r="D111" s="83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O111" s="84" t="str">
        <f>IF($C111="","",IFERROR(MATCH($B111&amp;"|"&amp;$C111,MUROS!$AX$11:$AX$70,0),0))</f>
        <v/>
      </c>
      <c r="P111" s="84" t="str">
        <f>IF($D111="","",IF(ISNUMBER(MATCH($D111,CMB_S,0)),1,IF(ISNUMBER(MATCH($D111,CMB_G,0)),2,0)))</f>
        <v/>
      </c>
      <c r="Q111" s="84">
        <f>IF(ISNUMBER($H111),-$H111,0)</f>
        <v>0</v>
      </c>
      <c r="R111" s="84">
        <f>IF(ISNUMBER($I111),ABS($I111),0)</f>
        <v>0</v>
      </c>
      <c r="S111" s="84">
        <f>IF(ISNUMBER($M111),ABS($M111),0)</f>
        <v>0</v>
      </c>
      <c r="T111" s="85" t="n">
        <v>103</v>
      </c>
    </row>
    <row r="112">
      <c r="B112" s="83" t="n"/>
      <c r="C112" s="83" t="n"/>
      <c r="D112" s="83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O112" s="84" t="str">
        <f>IF($C112="","",IFERROR(MATCH($B112&amp;"|"&amp;$C112,MUROS!$AX$11:$AX$70,0),0))</f>
        <v/>
      </c>
      <c r="P112" s="84" t="str">
        <f>IF($D112="","",IF(ISNUMBER(MATCH($D112,CMB_S,0)),1,IF(ISNUMBER(MATCH($D112,CMB_G,0)),2,0)))</f>
        <v/>
      </c>
      <c r="Q112" s="84">
        <f>IF(ISNUMBER($H112),-$H112,0)</f>
        <v>0</v>
      </c>
      <c r="R112" s="84">
        <f>IF(ISNUMBER($I112),ABS($I112),0)</f>
        <v>0</v>
      </c>
      <c r="S112" s="84">
        <f>IF(ISNUMBER($M112),ABS($M112),0)</f>
        <v>0</v>
      </c>
      <c r="T112" s="85" t="n">
        <v>104</v>
      </c>
    </row>
    <row r="113">
      <c r="B113" s="83" t="n"/>
      <c r="C113" s="83" t="n"/>
      <c r="D113" s="83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O113" s="84" t="str">
        <f>IF($C113="","",IFERROR(MATCH($B113&amp;"|"&amp;$C113,MUROS!$AX$11:$AX$70,0),0))</f>
        <v/>
      </c>
      <c r="P113" s="84" t="str">
        <f>IF($D113="","",IF(ISNUMBER(MATCH($D113,CMB_S,0)),1,IF(ISNUMBER(MATCH($D113,CMB_G,0)),2,0)))</f>
        <v/>
      </c>
      <c r="Q113" s="84">
        <f>IF(ISNUMBER($H113),-$H113,0)</f>
        <v>0</v>
      </c>
      <c r="R113" s="84">
        <f>IF(ISNUMBER($I113),ABS($I113),0)</f>
        <v>0</v>
      </c>
      <c r="S113" s="84">
        <f>IF(ISNUMBER($M113),ABS($M113),0)</f>
        <v>0</v>
      </c>
      <c r="T113" s="85" t="n">
        <v>105</v>
      </c>
    </row>
    <row r="114">
      <c r="B114" s="83" t="n"/>
      <c r="C114" s="83" t="n"/>
      <c r="D114" s="83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O114" s="84" t="str">
        <f>IF($C114="","",IFERROR(MATCH($B114&amp;"|"&amp;$C114,MUROS!$AX$11:$AX$70,0),0))</f>
        <v/>
      </c>
      <c r="P114" s="84" t="str">
        <f>IF($D114="","",IF(ISNUMBER(MATCH($D114,CMB_S,0)),1,IF(ISNUMBER(MATCH($D114,CMB_G,0)),2,0)))</f>
        <v/>
      </c>
      <c r="Q114" s="84">
        <f>IF(ISNUMBER($H114),-$H114,0)</f>
        <v>0</v>
      </c>
      <c r="R114" s="84">
        <f>IF(ISNUMBER($I114),ABS($I114),0)</f>
        <v>0</v>
      </c>
      <c r="S114" s="84">
        <f>IF(ISNUMBER($M114),ABS($M114),0)</f>
        <v>0</v>
      </c>
      <c r="T114" s="85" t="n">
        <v>106</v>
      </c>
    </row>
    <row r="115"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O115" s="84" t="str">
        <f>IF($C115="","",IFERROR(MATCH($B115&amp;"|"&amp;$C115,MUROS!$AX$11:$AX$70,0),0))</f>
        <v/>
      </c>
      <c r="P115" s="84" t="str">
        <f>IF($D115="","",IF(ISNUMBER(MATCH($D115,CMB_S,0)),1,IF(ISNUMBER(MATCH($D115,CMB_G,0)),2,0)))</f>
        <v/>
      </c>
      <c r="Q115" s="84">
        <f>IF(ISNUMBER($H115),-$H115,0)</f>
        <v>0</v>
      </c>
      <c r="R115" s="84">
        <f>IF(ISNUMBER($I115),ABS($I115),0)</f>
        <v>0</v>
      </c>
      <c r="S115" s="84">
        <f>IF(ISNUMBER($M115),ABS($M115),0)</f>
        <v>0</v>
      </c>
      <c r="T115" s="85" t="n">
        <v>107</v>
      </c>
    </row>
    <row r="116"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O116" s="84" t="str">
        <f>IF($C116="","",IFERROR(MATCH($B116&amp;"|"&amp;$C116,MUROS!$AX$11:$AX$70,0),0))</f>
        <v/>
      </c>
      <c r="P116" s="84" t="str">
        <f>IF($D116="","",IF(ISNUMBER(MATCH($D116,CMB_S,0)),1,IF(ISNUMBER(MATCH($D116,CMB_G,0)),2,0)))</f>
        <v/>
      </c>
      <c r="Q116" s="84">
        <f>IF(ISNUMBER($H116),-$H116,0)</f>
        <v>0</v>
      </c>
      <c r="R116" s="84">
        <f>IF(ISNUMBER($I116),ABS($I116),0)</f>
        <v>0</v>
      </c>
      <c r="S116" s="84">
        <f>IF(ISNUMBER($M116),ABS($M116),0)</f>
        <v>0</v>
      </c>
      <c r="T116" s="85" t="n">
        <v>108</v>
      </c>
    </row>
    <row r="117"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O117" s="84" t="str">
        <f>IF($C117="","",IFERROR(MATCH($B117&amp;"|"&amp;$C117,MUROS!$AX$11:$AX$70,0),0))</f>
        <v/>
      </c>
      <c r="P117" s="84" t="str">
        <f>IF($D117="","",IF(ISNUMBER(MATCH($D117,CMB_S,0)),1,IF(ISNUMBER(MATCH($D117,CMB_G,0)),2,0)))</f>
        <v/>
      </c>
      <c r="Q117" s="84">
        <f>IF(ISNUMBER($H117),-$H117,0)</f>
        <v>0</v>
      </c>
      <c r="R117" s="84">
        <f>IF(ISNUMBER($I117),ABS($I117),0)</f>
        <v>0</v>
      </c>
      <c r="S117" s="84">
        <f>IF(ISNUMBER($M117),ABS($M117),0)</f>
        <v>0</v>
      </c>
      <c r="T117" s="85" t="n">
        <v>109</v>
      </c>
    </row>
    <row r="118"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O118" s="84" t="str">
        <f>IF($C118="","",IFERROR(MATCH($B118&amp;"|"&amp;$C118,MUROS!$AX$11:$AX$70,0),0))</f>
        <v/>
      </c>
      <c r="P118" s="84" t="str">
        <f>IF($D118="","",IF(ISNUMBER(MATCH($D118,CMB_S,0)),1,IF(ISNUMBER(MATCH($D118,CMB_G,0)),2,0)))</f>
        <v/>
      </c>
      <c r="Q118" s="84">
        <f>IF(ISNUMBER($H118),-$H118,0)</f>
        <v>0</v>
      </c>
      <c r="R118" s="84">
        <f>IF(ISNUMBER($I118),ABS($I118),0)</f>
        <v>0</v>
      </c>
      <c r="S118" s="84">
        <f>IF(ISNUMBER($M118),ABS($M118),0)</f>
        <v>0</v>
      </c>
      <c r="T118" s="85" t="n">
        <v>110</v>
      </c>
    </row>
    <row r="119"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O119" s="84" t="str">
        <f>IF($C119="","",IFERROR(MATCH($B119&amp;"|"&amp;$C119,MUROS!$AX$11:$AX$70,0),0))</f>
        <v/>
      </c>
      <c r="P119" s="84" t="str">
        <f>IF($D119="","",IF(ISNUMBER(MATCH($D119,CMB_S,0)),1,IF(ISNUMBER(MATCH($D119,CMB_G,0)),2,0)))</f>
        <v/>
      </c>
      <c r="Q119" s="84">
        <f>IF(ISNUMBER($H119),-$H119,0)</f>
        <v>0</v>
      </c>
      <c r="R119" s="84">
        <f>IF(ISNUMBER($I119),ABS($I119),0)</f>
        <v>0</v>
      </c>
      <c r="S119" s="84">
        <f>IF(ISNUMBER($M119),ABS($M119),0)</f>
        <v>0</v>
      </c>
      <c r="T119" s="85" t="n">
        <v>111</v>
      </c>
    </row>
    <row r="120"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O120" s="84" t="str">
        <f>IF($C120="","",IFERROR(MATCH($B120&amp;"|"&amp;$C120,MUROS!$AX$11:$AX$70,0),0))</f>
        <v/>
      </c>
      <c r="P120" s="84" t="str">
        <f>IF($D120="","",IF(ISNUMBER(MATCH($D120,CMB_S,0)),1,IF(ISNUMBER(MATCH($D120,CMB_G,0)),2,0)))</f>
        <v/>
      </c>
      <c r="Q120" s="84">
        <f>IF(ISNUMBER($H120),-$H120,0)</f>
        <v>0</v>
      </c>
      <c r="R120" s="84">
        <f>IF(ISNUMBER($I120),ABS($I120),0)</f>
        <v>0</v>
      </c>
      <c r="S120" s="84">
        <f>IF(ISNUMBER($M120),ABS($M120),0)</f>
        <v>0</v>
      </c>
      <c r="T120" s="85" t="n">
        <v>112</v>
      </c>
    </row>
    <row r="121"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O121" s="84" t="str">
        <f>IF($C121="","",IFERROR(MATCH($B121&amp;"|"&amp;$C121,MUROS!$AX$11:$AX$70,0),0))</f>
        <v/>
      </c>
      <c r="P121" s="84" t="str">
        <f>IF($D121="","",IF(ISNUMBER(MATCH($D121,CMB_S,0)),1,IF(ISNUMBER(MATCH($D121,CMB_G,0)),2,0)))</f>
        <v/>
      </c>
      <c r="Q121" s="84">
        <f>IF(ISNUMBER($H121),-$H121,0)</f>
        <v>0</v>
      </c>
      <c r="R121" s="84">
        <f>IF(ISNUMBER($I121),ABS($I121),0)</f>
        <v>0</v>
      </c>
      <c r="S121" s="84">
        <f>IF(ISNUMBER($M121),ABS($M121),0)</f>
        <v>0</v>
      </c>
      <c r="T121" s="85" t="n">
        <v>113</v>
      </c>
    </row>
    <row r="122"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O122" s="84" t="str">
        <f>IF($C122="","",IFERROR(MATCH($B122&amp;"|"&amp;$C122,MUROS!$AX$11:$AX$70,0),0))</f>
        <v/>
      </c>
      <c r="P122" s="84" t="str">
        <f>IF($D122="","",IF(ISNUMBER(MATCH($D122,CMB_S,0)),1,IF(ISNUMBER(MATCH($D122,CMB_G,0)),2,0)))</f>
        <v/>
      </c>
      <c r="Q122" s="84">
        <f>IF(ISNUMBER($H122),-$H122,0)</f>
        <v>0</v>
      </c>
      <c r="R122" s="84">
        <f>IF(ISNUMBER($I122),ABS($I122),0)</f>
        <v>0</v>
      </c>
      <c r="S122" s="84">
        <f>IF(ISNUMBER($M122),ABS($M122),0)</f>
        <v>0</v>
      </c>
      <c r="T122" s="85" t="n">
        <v>114</v>
      </c>
    </row>
    <row r="123"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O123" s="84" t="str">
        <f>IF($C123="","",IFERROR(MATCH($B123&amp;"|"&amp;$C123,MUROS!$AX$11:$AX$70,0),0))</f>
        <v/>
      </c>
      <c r="P123" s="84" t="str">
        <f>IF($D123="","",IF(ISNUMBER(MATCH($D123,CMB_S,0)),1,IF(ISNUMBER(MATCH($D123,CMB_G,0)),2,0)))</f>
        <v/>
      </c>
      <c r="Q123" s="84">
        <f>IF(ISNUMBER($H123),-$H123,0)</f>
        <v>0</v>
      </c>
      <c r="R123" s="84">
        <f>IF(ISNUMBER($I123),ABS($I123),0)</f>
        <v>0</v>
      </c>
      <c r="S123" s="84">
        <f>IF(ISNUMBER($M123),ABS($M123),0)</f>
        <v>0</v>
      </c>
      <c r="T123" s="85" t="n">
        <v>115</v>
      </c>
    </row>
    <row r="124"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O124" s="84" t="str">
        <f>IF($C124="","",IFERROR(MATCH($B124&amp;"|"&amp;$C124,MUROS!$AX$11:$AX$70,0),0))</f>
        <v/>
      </c>
      <c r="P124" s="84" t="str">
        <f>IF($D124="","",IF(ISNUMBER(MATCH($D124,CMB_S,0)),1,IF(ISNUMBER(MATCH($D124,CMB_G,0)),2,0)))</f>
        <v/>
      </c>
      <c r="Q124" s="84">
        <f>IF(ISNUMBER($H124),-$H124,0)</f>
        <v>0</v>
      </c>
      <c r="R124" s="84">
        <f>IF(ISNUMBER($I124),ABS($I124),0)</f>
        <v>0</v>
      </c>
      <c r="S124" s="84">
        <f>IF(ISNUMBER($M124),ABS($M124),0)</f>
        <v>0</v>
      </c>
      <c r="T124" s="85" t="n">
        <v>116</v>
      </c>
    </row>
    <row r="125"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O125" s="84" t="str">
        <f>IF($C125="","",IFERROR(MATCH($B125&amp;"|"&amp;$C125,MUROS!$AX$11:$AX$70,0),0))</f>
        <v/>
      </c>
      <c r="P125" s="84" t="str">
        <f>IF($D125="","",IF(ISNUMBER(MATCH($D125,CMB_S,0)),1,IF(ISNUMBER(MATCH($D125,CMB_G,0)),2,0)))</f>
        <v/>
      </c>
      <c r="Q125" s="84">
        <f>IF(ISNUMBER($H125),-$H125,0)</f>
        <v>0</v>
      </c>
      <c r="R125" s="84">
        <f>IF(ISNUMBER($I125),ABS($I125),0)</f>
        <v>0</v>
      </c>
      <c r="S125" s="84">
        <f>IF(ISNUMBER($M125),ABS($M125),0)</f>
        <v>0</v>
      </c>
      <c r="T125" s="85" t="n">
        <v>117</v>
      </c>
    </row>
    <row r="126"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O126" s="84" t="str">
        <f>IF($C126="","",IFERROR(MATCH($B126&amp;"|"&amp;$C126,MUROS!$AX$11:$AX$70,0),0))</f>
        <v/>
      </c>
      <c r="P126" s="84" t="str">
        <f>IF($D126="","",IF(ISNUMBER(MATCH($D126,CMB_S,0)),1,IF(ISNUMBER(MATCH($D126,CMB_G,0)),2,0)))</f>
        <v/>
      </c>
      <c r="Q126" s="84">
        <f>IF(ISNUMBER($H126),-$H126,0)</f>
        <v>0</v>
      </c>
      <c r="R126" s="84">
        <f>IF(ISNUMBER($I126),ABS($I126),0)</f>
        <v>0</v>
      </c>
      <c r="S126" s="84">
        <f>IF(ISNUMBER($M126),ABS($M126),0)</f>
        <v>0</v>
      </c>
      <c r="T126" s="85" t="n">
        <v>118</v>
      </c>
    </row>
    <row r="127"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O127" s="84" t="str">
        <f>IF($C127="","",IFERROR(MATCH($B127&amp;"|"&amp;$C127,MUROS!$AX$11:$AX$70,0),0))</f>
        <v/>
      </c>
      <c r="P127" s="84" t="str">
        <f>IF($D127="","",IF(ISNUMBER(MATCH($D127,CMB_S,0)),1,IF(ISNUMBER(MATCH($D127,CMB_G,0)),2,0)))</f>
        <v/>
      </c>
      <c r="Q127" s="84">
        <f>IF(ISNUMBER($H127),-$H127,0)</f>
        <v>0</v>
      </c>
      <c r="R127" s="84">
        <f>IF(ISNUMBER($I127),ABS($I127),0)</f>
        <v>0</v>
      </c>
      <c r="S127" s="84">
        <f>IF(ISNUMBER($M127),ABS($M127),0)</f>
        <v>0</v>
      </c>
      <c r="T127" s="85" t="n">
        <v>119</v>
      </c>
    </row>
    <row r="128"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O128" s="84" t="str">
        <f>IF($C128="","",IFERROR(MATCH($B128&amp;"|"&amp;$C128,MUROS!$AX$11:$AX$70,0),0))</f>
        <v/>
      </c>
      <c r="P128" s="84" t="str">
        <f>IF($D128="","",IF(ISNUMBER(MATCH($D128,CMB_S,0)),1,IF(ISNUMBER(MATCH($D128,CMB_G,0)),2,0)))</f>
        <v/>
      </c>
      <c r="Q128" s="84">
        <f>IF(ISNUMBER($H128),-$H128,0)</f>
        <v>0</v>
      </c>
      <c r="R128" s="84">
        <f>IF(ISNUMBER($I128),ABS($I128),0)</f>
        <v>0</v>
      </c>
      <c r="S128" s="84">
        <f>IF(ISNUMBER($M128),ABS($M128),0)</f>
        <v>0</v>
      </c>
      <c r="T128" s="85" t="n">
        <v>120</v>
      </c>
    </row>
    <row r="129"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O129" s="84" t="str">
        <f>IF($C129="","",IFERROR(MATCH($B129&amp;"|"&amp;$C129,MUROS!$AX$11:$AX$70,0),0))</f>
        <v/>
      </c>
      <c r="P129" s="84" t="str">
        <f>IF($D129="","",IF(ISNUMBER(MATCH($D129,CMB_S,0)),1,IF(ISNUMBER(MATCH($D129,CMB_G,0)),2,0)))</f>
        <v/>
      </c>
      <c r="Q129" s="84">
        <f>IF(ISNUMBER($H129),-$H129,0)</f>
        <v>0</v>
      </c>
      <c r="R129" s="84">
        <f>IF(ISNUMBER($I129),ABS($I129),0)</f>
        <v>0</v>
      </c>
      <c r="S129" s="84">
        <f>IF(ISNUMBER($M129),ABS($M129),0)</f>
        <v>0</v>
      </c>
      <c r="T129" s="85" t="n">
        <v>121</v>
      </c>
    </row>
    <row r="130"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O130" s="84" t="str">
        <f>IF($C130="","",IFERROR(MATCH($B130&amp;"|"&amp;$C130,MUROS!$AX$11:$AX$70,0),0))</f>
        <v/>
      </c>
      <c r="P130" s="84" t="str">
        <f>IF($D130="","",IF(ISNUMBER(MATCH($D130,CMB_S,0)),1,IF(ISNUMBER(MATCH($D130,CMB_G,0)),2,0)))</f>
        <v/>
      </c>
      <c r="Q130" s="84">
        <f>IF(ISNUMBER($H130),-$H130,0)</f>
        <v>0</v>
      </c>
      <c r="R130" s="84">
        <f>IF(ISNUMBER($I130),ABS($I130),0)</f>
        <v>0</v>
      </c>
      <c r="S130" s="84">
        <f>IF(ISNUMBER($M130),ABS($M130),0)</f>
        <v>0</v>
      </c>
      <c r="T130" s="85" t="n">
        <v>122</v>
      </c>
    </row>
    <row r="131"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O131" s="84" t="str">
        <f>IF($C131="","",IFERROR(MATCH($B131&amp;"|"&amp;$C131,MUROS!$AX$11:$AX$70,0),0))</f>
        <v/>
      </c>
      <c r="P131" s="84" t="str">
        <f>IF($D131="","",IF(ISNUMBER(MATCH($D131,CMB_S,0)),1,IF(ISNUMBER(MATCH($D131,CMB_G,0)),2,0)))</f>
        <v/>
      </c>
      <c r="Q131" s="84">
        <f>IF(ISNUMBER($H131),-$H131,0)</f>
        <v>0</v>
      </c>
      <c r="R131" s="84">
        <f>IF(ISNUMBER($I131),ABS($I131),0)</f>
        <v>0</v>
      </c>
      <c r="S131" s="84">
        <f>IF(ISNUMBER($M131),ABS($M131),0)</f>
        <v>0</v>
      </c>
      <c r="T131" s="85" t="n">
        <v>123</v>
      </c>
    </row>
    <row r="132"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O132" s="84" t="str">
        <f>IF($C132="","",IFERROR(MATCH($B132&amp;"|"&amp;$C132,MUROS!$AX$11:$AX$70,0),0))</f>
        <v/>
      </c>
      <c r="P132" s="84" t="str">
        <f>IF($D132="","",IF(ISNUMBER(MATCH($D132,CMB_S,0)),1,IF(ISNUMBER(MATCH($D132,CMB_G,0)),2,0)))</f>
        <v/>
      </c>
      <c r="Q132" s="84">
        <f>IF(ISNUMBER($H132),-$H132,0)</f>
        <v>0</v>
      </c>
      <c r="R132" s="84">
        <f>IF(ISNUMBER($I132),ABS($I132),0)</f>
        <v>0</v>
      </c>
      <c r="S132" s="84">
        <f>IF(ISNUMBER($M132),ABS($M132),0)</f>
        <v>0</v>
      </c>
      <c r="T132" s="85" t="n">
        <v>124</v>
      </c>
    </row>
    <row r="133"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O133" s="84" t="str">
        <f>IF($C133="","",IFERROR(MATCH($B133&amp;"|"&amp;$C133,MUROS!$AX$11:$AX$70,0),0))</f>
        <v/>
      </c>
      <c r="P133" s="84" t="str">
        <f>IF($D133="","",IF(ISNUMBER(MATCH($D133,CMB_S,0)),1,IF(ISNUMBER(MATCH($D133,CMB_G,0)),2,0)))</f>
        <v/>
      </c>
      <c r="Q133" s="84">
        <f>IF(ISNUMBER($H133),-$H133,0)</f>
        <v>0</v>
      </c>
      <c r="R133" s="84">
        <f>IF(ISNUMBER($I133),ABS($I133),0)</f>
        <v>0</v>
      </c>
      <c r="S133" s="84">
        <f>IF(ISNUMBER($M133),ABS($M133),0)</f>
        <v>0</v>
      </c>
      <c r="T133" s="85" t="n">
        <v>125</v>
      </c>
    </row>
    <row r="134"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O134" s="84" t="str">
        <f>IF($C134="","",IFERROR(MATCH($B134&amp;"|"&amp;$C134,MUROS!$AX$11:$AX$70,0),0))</f>
        <v/>
      </c>
      <c r="P134" s="84" t="str">
        <f>IF($D134="","",IF(ISNUMBER(MATCH($D134,CMB_S,0)),1,IF(ISNUMBER(MATCH($D134,CMB_G,0)),2,0)))</f>
        <v/>
      </c>
      <c r="Q134" s="84">
        <f>IF(ISNUMBER($H134),-$H134,0)</f>
        <v>0</v>
      </c>
      <c r="R134" s="84">
        <f>IF(ISNUMBER($I134),ABS($I134),0)</f>
        <v>0</v>
      </c>
      <c r="S134" s="84">
        <f>IF(ISNUMBER($M134),ABS($M134),0)</f>
        <v>0</v>
      </c>
      <c r="T134" s="85" t="n">
        <v>126</v>
      </c>
    </row>
    <row r="135"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O135" s="84" t="str">
        <f>IF($C135="","",IFERROR(MATCH($B135&amp;"|"&amp;$C135,MUROS!$AX$11:$AX$70,0),0))</f>
        <v/>
      </c>
      <c r="P135" s="84" t="str">
        <f>IF($D135="","",IF(ISNUMBER(MATCH($D135,CMB_S,0)),1,IF(ISNUMBER(MATCH($D135,CMB_G,0)),2,0)))</f>
        <v/>
      </c>
      <c r="Q135" s="84">
        <f>IF(ISNUMBER($H135),-$H135,0)</f>
        <v>0</v>
      </c>
      <c r="R135" s="84">
        <f>IF(ISNUMBER($I135),ABS($I135),0)</f>
        <v>0</v>
      </c>
      <c r="S135" s="84">
        <f>IF(ISNUMBER($M135),ABS($M135),0)</f>
        <v>0</v>
      </c>
      <c r="T135" s="85" t="n">
        <v>127</v>
      </c>
    </row>
    <row r="136"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O136" s="84" t="str">
        <f>IF($C136="","",IFERROR(MATCH($B136&amp;"|"&amp;$C136,MUROS!$AX$11:$AX$70,0),0))</f>
        <v/>
      </c>
      <c r="P136" s="84" t="str">
        <f>IF($D136="","",IF(ISNUMBER(MATCH($D136,CMB_S,0)),1,IF(ISNUMBER(MATCH($D136,CMB_G,0)),2,0)))</f>
        <v/>
      </c>
      <c r="Q136" s="84">
        <f>IF(ISNUMBER($H136),-$H136,0)</f>
        <v>0</v>
      </c>
      <c r="R136" s="84">
        <f>IF(ISNUMBER($I136),ABS($I136),0)</f>
        <v>0</v>
      </c>
      <c r="S136" s="84">
        <f>IF(ISNUMBER($M136),ABS($M136),0)</f>
        <v>0</v>
      </c>
      <c r="T136" s="85" t="n">
        <v>128</v>
      </c>
    </row>
    <row r="137"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O137" s="84" t="str">
        <f>IF($C137="","",IFERROR(MATCH($B137&amp;"|"&amp;$C137,MUROS!$AX$11:$AX$70,0),0))</f>
        <v/>
      </c>
      <c r="P137" s="84" t="str">
        <f>IF($D137="","",IF(ISNUMBER(MATCH($D137,CMB_S,0)),1,IF(ISNUMBER(MATCH($D137,CMB_G,0)),2,0)))</f>
        <v/>
      </c>
      <c r="Q137" s="84">
        <f>IF(ISNUMBER($H137),-$H137,0)</f>
        <v>0</v>
      </c>
      <c r="R137" s="84">
        <f>IF(ISNUMBER($I137),ABS($I137),0)</f>
        <v>0</v>
      </c>
      <c r="S137" s="84">
        <f>IF(ISNUMBER($M137),ABS($M137),0)</f>
        <v>0</v>
      </c>
      <c r="T137" s="85" t="n">
        <v>129</v>
      </c>
    </row>
    <row r="138"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O138" s="84" t="str">
        <f>IF($C138="","",IFERROR(MATCH($B138&amp;"|"&amp;$C138,MUROS!$AX$11:$AX$70,0),0))</f>
        <v/>
      </c>
      <c r="P138" s="84" t="str">
        <f>IF($D138="","",IF(ISNUMBER(MATCH($D138,CMB_S,0)),1,IF(ISNUMBER(MATCH($D138,CMB_G,0)),2,0)))</f>
        <v/>
      </c>
      <c r="Q138" s="84">
        <f>IF(ISNUMBER($H138),-$H138,0)</f>
        <v>0</v>
      </c>
      <c r="R138" s="84">
        <f>IF(ISNUMBER($I138),ABS($I138),0)</f>
        <v>0</v>
      </c>
      <c r="S138" s="84">
        <f>IF(ISNUMBER($M138),ABS($M138),0)</f>
        <v>0</v>
      </c>
      <c r="T138" s="85" t="n">
        <v>130</v>
      </c>
    </row>
    <row r="139"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O139" s="84" t="str">
        <f>IF($C139="","",IFERROR(MATCH($B139&amp;"|"&amp;$C139,MUROS!$AX$11:$AX$70,0),0))</f>
        <v/>
      </c>
      <c r="P139" s="84" t="str">
        <f>IF($D139="","",IF(ISNUMBER(MATCH($D139,CMB_S,0)),1,IF(ISNUMBER(MATCH($D139,CMB_G,0)),2,0)))</f>
        <v/>
      </c>
      <c r="Q139" s="84">
        <f>IF(ISNUMBER($H139),-$H139,0)</f>
        <v>0</v>
      </c>
      <c r="R139" s="84">
        <f>IF(ISNUMBER($I139),ABS($I139),0)</f>
        <v>0</v>
      </c>
      <c r="S139" s="84">
        <f>IF(ISNUMBER($M139),ABS($M139),0)</f>
        <v>0</v>
      </c>
      <c r="T139" s="85" t="n">
        <v>131</v>
      </c>
    </row>
    <row r="140"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O140" s="84" t="str">
        <f>IF($C140="","",IFERROR(MATCH($B140&amp;"|"&amp;$C140,MUROS!$AX$11:$AX$70,0),0))</f>
        <v/>
      </c>
      <c r="P140" s="84" t="str">
        <f>IF($D140="","",IF(ISNUMBER(MATCH($D140,CMB_S,0)),1,IF(ISNUMBER(MATCH($D140,CMB_G,0)),2,0)))</f>
        <v/>
      </c>
      <c r="Q140" s="84">
        <f>IF(ISNUMBER($H140),-$H140,0)</f>
        <v>0</v>
      </c>
      <c r="R140" s="84">
        <f>IF(ISNUMBER($I140),ABS($I140),0)</f>
        <v>0</v>
      </c>
      <c r="S140" s="84">
        <f>IF(ISNUMBER($M140),ABS($M140),0)</f>
        <v>0</v>
      </c>
      <c r="T140" s="85" t="n">
        <v>132</v>
      </c>
    </row>
    <row r="141"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O141" s="84" t="str">
        <f>IF($C141="","",IFERROR(MATCH($B141&amp;"|"&amp;$C141,MUROS!$AX$11:$AX$70,0),0))</f>
        <v/>
      </c>
      <c r="P141" s="84" t="str">
        <f>IF($D141="","",IF(ISNUMBER(MATCH($D141,CMB_S,0)),1,IF(ISNUMBER(MATCH($D141,CMB_G,0)),2,0)))</f>
        <v/>
      </c>
      <c r="Q141" s="84">
        <f>IF(ISNUMBER($H141),-$H141,0)</f>
        <v>0</v>
      </c>
      <c r="R141" s="84">
        <f>IF(ISNUMBER($I141),ABS($I141),0)</f>
        <v>0</v>
      </c>
      <c r="S141" s="84">
        <f>IF(ISNUMBER($M141),ABS($M141),0)</f>
        <v>0</v>
      </c>
      <c r="T141" s="85" t="n">
        <v>133</v>
      </c>
    </row>
    <row r="142"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O142" s="84" t="str">
        <f>IF($C142="","",IFERROR(MATCH($B142&amp;"|"&amp;$C142,MUROS!$AX$11:$AX$70,0),0))</f>
        <v/>
      </c>
      <c r="P142" s="84" t="str">
        <f>IF($D142="","",IF(ISNUMBER(MATCH($D142,CMB_S,0)),1,IF(ISNUMBER(MATCH($D142,CMB_G,0)),2,0)))</f>
        <v/>
      </c>
      <c r="Q142" s="84">
        <f>IF(ISNUMBER($H142),-$H142,0)</f>
        <v>0</v>
      </c>
      <c r="R142" s="84">
        <f>IF(ISNUMBER($I142),ABS($I142),0)</f>
        <v>0</v>
      </c>
      <c r="S142" s="84">
        <f>IF(ISNUMBER($M142),ABS($M142),0)</f>
        <v>0</v>
      </c>
      <c r="T142" s="85" t="n">
        <v>134</v>
      </c>
    </row>
    <row r="143"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O143" s="84" t="str">
        <f>IF($C143="","",IFERROR(MATCH($B143&amp;"|"&amp;$C143,MUROS!$AX$11:$AX$70,0),0))</f>
        <v/>
      </c>
      <c r="P143" s="84" t="str">
        <f>IF($D143="","",IF(ISNUMBER(MATCH($D143,CMB_S,0)),1,IF(ISNUMBER(MATCH($D143,CMB_G,0)),2,0)))</f>
        <v/>
      </c>
      <c r="Q143" s="84">
        <f>IF(ISNUMBER($H143),-$H143,0)</f>
        <v>0</v>
      </c>
      <c r="R143" s="84">
        <f>IF(ISNUMBER($I143),ABS($I143),0)</f>
        <v>0</v>
      </c>
      <c r="S143" s="84">
        <f>IF(ISNUMBER($M143),ABS($M143),0)</f>
        <v>0</v>
      </c>
      <c r="T143" s="85" t="n">
        <v>135</v>
      </c>
    </row>
    <row r="144"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O144" s="84" t="str">
        <f>IF($C144="","",IFERROR(MATCH($B144&amp;"|"&amp;$C144,MUROS!$AX$11:$AX$70,0),0))</f>
        <v/>
      </c>
      <c r="P144" s="84" t="str">
        <f>IF($D144="","",IF(ISNUMBER(MATCH($D144,CMB_S,0)),1,IF(ISNUMBER(MATCH($D144,CMB_G,0)),2,0)))</f>
        <v/>
      </c>
      <c r="Q144" s="84">
        <f>IF(ISNUMBER($H144),-$H144,0)</f>
        <v>0</v>
      </c>
      <c r="R144" s="84">
        <f>IF(ISNUMBER($I144),ABS($I144),0)</f>
        <v>0</v>
      </c>
      <c r="S144" s="84">
        <f>IF(ISNUMBER($M144),ABS($M144),0)</f>
        <v>0</v>
      </c>
      <c r="T144" s="85" t="n">
        <v>136</v>
      </c>
    </row>
    <row r="145"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O145" s="84" t="str">
        <f>IF($C145="","",IFERROR(MATCH($B145&amp;"|"&amp;$C145,MUROS!$AX$11:$AX$70,0),0))</f>
        <v/>
      </c>
      <c r="P145" s="84" t="str">
        <f>IF($D145="","",IF(ISNUMBER(MATCH($D145,CMB_S,0)),1,IF(ISNUMBER(MATCH($D145,CMB_G,0)),2,0)))</f>
        <v/>
      </c>
      <c r="Q145" s="84">
        <f>IF(ISNUMBER($H145),-$H145,0)</f>
        <v>0</v>
      </c>
      <c r="R145" s="84">
        <f>IF(ISNUMBER($I145),ABS($I145),0)</f>
        <v>0</v>
      </c>
      <c r="S145" s="84">
        <f>IF(ISNUMBER($M145),ABS($M145),0)</f>
        <v>0</v>
      </c>
      <c r="T145" s="85" t="n">
        <v>137</v>
      </c>
    </row>
    <row r="146"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O146" s="84" t="str">
        <f>IF($C146="","",IFERROR(MATCH($B146&amp;"|"&amp;$C146,MUROS!$AX$11:$AX$70,0),0))</f>
        <v/>
      </c>
      <c r="P146" s="84" t="str">
        <f>IF($D146="","",IF(ISNUMBER(MATCH($D146,CMB_S,0)),1,IF(ISNUMBER(MATCH($D146,CMB_G,0)),2,0)))</f>
        <v/>
      </c>
      <c r="Q146" s="84">
        <f>IF(ISNUMBER($H146),-$H146,0)</f>
        <v>0</v>
      </c>
      <c r="R146" s="84">
        <f>IF(ISNUMBER($I146),ABS($I146),0)</f>
        <v>0</v>
      </c>
      <c r="S146" s="84">
        <f>IF(ISNUMBER($M146),ABS($M146),0)</f>
        <v>0</v>
      </c>
      <c r="T146" s="85" t="n">
        <v>138</v>
      </c>
    </row>
    <row r="147"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O147" s="84" t="str">
        <f>IF($C147="","",IFERROR(MATCH($B147&amp;"|"&amp;$C147,MUROS!$AX$11:$AX$70,0),0))</f>
        <v/>
      </c>
      <c r="P147" s="84" t="str">
        <f>IF($D147="","",IF(ISNUMBER(MATCH($D147,CMB_S,0)),1,IF(ISNUMBER(MATCH($D147,CMB_G,0)),2,0)))</f>
        <v/>
      </c>
      <c r="Q147" s="84">
        <f>IF(ISNUMBER($H147),-$H147,0)</f>
        <v>0</v>
      </c>
      <c r="R147" s="84">
        <f>IF(ISNUMBER($I147),ABS($I147),0)</f>
        <v>0</v>
      </c>
      <c r="S147" s="84">
        <f>IF(ISNUMBER($M147),ABS($M147),0)</f>
        <v>0</v>
      </c>
      <c r="T147" s="85" t="n">
        <v>139</v>
      </c>
    </row>
    <row r="148"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O148" s="84" t="str">
        <f>IF($C148="","",IFERROR(MATCH($B148&amp;"|"&amp;$C148,MUROS!$AX$11:$AX$70,0),0))</f>
        <v/>
      </c>
      <c r="P148" s="84" t="str">
        <f>IF($D148="","",IF(ISNUMBER(MATCH($D148,CMB_S,0)),1,IF(ISNUMBER(MATCH($D148,CMB_G,0)),2,0)))</f>
        <v/>
      </c>
      <c r="Q148" s="84">
        <f>IF(ISNUMBER($H148),-$H148,0)</f>
        <v>0</v>
      </c>
      <c r="R148" s="84">
        <f>IF(ISNUMBER($I148),ABS($I148),0)</f>
        <v>0</v>
      </c>
      <c r="S148" s="84">
        <f>IF(ISNUMBER($M148),ABS($M148),0)</f>
        <v>0</v>
      </c>
      <c r="T148" s="85" t="n">
        <v>140</v>
      </c>
    </row>
    <row r="149"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O149" s="84" t="str">
        <f>IF($C149="","",IFERROR(MATCH($B149&amp;"|"&amp;$C149,MUROS!$AX$11:$AX$70,0),0))</f>
        <v/>
      </c>
      <c r="P149" s="84" t="str">
        <f>IF($D149="","",IF(ISNUMBER(MATCH($D149,CMB_S,0)),1,IF(ISNUMBER(MATCH($D149,CMB_G,0)),2,0)))</f>
        <v/>
      </c>
      <c r="Q149" s="84">
        <f>IF(ISNUMBER($H149),-$H149,0)</f>
        <v>0</v>
      </c>
      <c r="R149" s="84">
        <f>IF(ISNUMBER($I149),ABS($I149),0)</f>
        <v>0</v>
      </c>
      <c r="S149" s="84">
        <f>IF(ISNUMBER($M149),ABS($M149),0)</f>
        <v>0</v>
      </c>
      <c r="T149" s="85" t="n">
        <v>141</v>
      </c>
    </row>
    <row r="150"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O150" s="84" t="str">
        <f>IF($C150="","",IFERROR(MATCH($B150&amp;"|"&amp;$C150,MUROS!$AX$11:$AX$70,0),0))</f>
        <v/>
      </c>
      <c r="P150" s="84" t="str">
        <f>IF($D150="","",IF(ISNUMBER(MATCH($D150,CMB_S,0)),1,IF(ISNUMBER(MATCH($D150,CMB_G,0)),2,0)))</f>
        <v/>
      </c>
      <c r="Q150" s="84">
        <f>IF(ISNUMBER($H150),-$H150,0)</f>
        <v>0</v>
      </c>
      <c r="R150" s="84">
        <f>IF(ISNUMBER($I150),ABS($I150),0)</f>
        <v>0</v>
      </c>
      <c r="S150" s="84">
        <f>IF(ISNUMBER($M150),ABS($M150),0)</f>
        <v>0</v>
      </c>
      <c r="T150" s="85" t="n">
        <v>142</v>
      </c>
    </row>
    <row r="151"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O151" s="84" t="str">
        <f>IF($C151="","",IFERROR(MATCH($B151&amp;"|"&amp;$C151,MUROS!$AX$11:$AX$70,0),0))</f>
        <v/>
      </c>
      <c r="P151" s="84" t="str">
        <f>IF($D151="","",IF(ISNUMBER(MATCH($D151,CMB_S,0)),1,IF(ISNUMBER(MATCH($D151,CMB_G,0)),2,0)))</f>
        <v/>
      </c>
      <c r="Q151" s="84">
        <f>IF(ISNUMBER($H151),-$H151,0)</f>
        <v>0</v>
      </c>
      <c r="R151" s="84">
        <f>IF(ISNUMBER($I151),ABS($I151),0)</f>
        <v>0</v>
      </c>
      <c r="S151" s="84">
        <f>IF(ISNUMBER($M151),ABS($M151),0)</f>
        <v>0</v>
      </c>
      <c r="T151" s="85" t="n">
        <v>143</v>
      </c>
    </row>
    <row r="152"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O152" s="84" t="str">
        <f>IF($C152="","",IFERROR(MATCH($B152&amp;"|"&amp;$C152,MUROS!$AX$11:$AX$70,0),0))</f>
        <v/>
      </c>
      <c r="P152" s="84" t="str">
        <f>IF($D152="","",IF(ISNUMBER(MATCH($D152,CMB_S,0)),1,IF(ISNUMBER(MATCH($D152,CMB_G,0)),2,0)))</f>
        <v/>
      </c>
      <c r="Q152" s="84">
        <f>IF(ISNUMBER($H152),-$H152,0)</f>
        <v>0</v>
      </c>
      <c r="R152" s="84">
        <f>IF(ISNUMBER($I152),ABS($I152),0)</f>
        <v>0</v>
      </c>
      <c r="S152" s="84">
        <f>IF(ISNUMBER($M152),ABS($M152),0)</f>
        <v>0</v>
      </c>
      <c r="T152" s="85" t="n">
        <v>144</v>
      </c>
    </row>
    <row r="153"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O153" s="84" t="str">
        <f>IF($C153="","",IFERROR(MATCH($B153&amp;"|"&amp;$C153,MUROS!$AX$11:$AX$70,0),0))</f>
        <v/>
      </c>
      <c r="P153" s="84" t="str">
        <f>IF($D153="","",IF(ISNUMBER(MATCH($D153,CMB_S,0)),1,IF(ISNUMBER(MATCH($D153,CMB_G,0)),2,0)))</f>
        <v/>
      </c>
      <c r="Q153" s="84">
        <f>IF(ISNUMBER($H153),-$H153,0)</f>
        <v>0</v>
      </c>
      <c r="R153" s="84">
        <f>IF(ISNUMBER($I153),ABS($I153),0)</f>
        <v>0</v>
      </c>
      <c r="S153" s="84">
        <f>IF(ISNUMBER($M153),ABS($M153),0)</f>
        <v>0</v>
      </c>
      <c r="T153" s="85" t="n">
        <v>145</v>
      </c>
    </row>
    <row r="154"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O154" s="84" t="str">
        <f>IF($C154="","",IFERROR(MATCH($B154&amp;"|"&amp;$C154,MUROS!$AX$11:$AX$70,0),0))</f>
        <v/>
      </c>
      <c r="P154" s="84" t="str">
        <f>IF($D154="","",IF(ISNUMBER(MATCH($D154,CMB_S,0)),1,IF(ISNUMBER(MATCH($D154,CMB_G,0)),2,0)))</f>
        <v/>
      </c>
      <c r="Q154" s="84">
        <f>IF(ISNUMBER($H154),-$H154,0)</f>
        <v>0</v>
      </c>
      <c r="R154" s="84">
        <f>IF(ISNUMBER($I154),ABS($I154),0)</f>
        <v>0</v>
      </c>
      <c r="S154" s="84">
        <f>IF(ISNUMBER($M154),ABS($M154),0)</f>
        <v>0</v>
      </c>
      <c r="T154" s="85" t="n">
        <v>146</v>
      </c>
    </row>
    <row r="155"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O155" s="84" t="str">
        <f>IF($C155="","",IFERROR(MATCH($B155&amp;"|"&amp;$C155,MUROS!$AX$11:$AX$70,0),0))</f>
        <v/>
      </c>
      <c r="P155" s="84" t="str">
        <f>IF($D155="","",IF(ISNUMBER(MATCH($D155,CMB_S,0)),1,IF(ISNUMBER(MATCH($D155,CMB_G,0)),2,0)))</f>
        <v/>
      </c>
      <c r="Q155" s="84">
        <f>IF(ISNUMBER($H155),-$H155,0)</f>
        <v>0</v>
      </c>
      <c r="R155" s="84">
        <f>IF(ISNUMBER($I155),ABS($I155),0)</f>
        <v>0</v>
      </c>
      <c r="S155" s="84">
        <f>IF(ISNUMBER($M155),ABS($M155),0)</f>
        <v>0</v>
      </c>
      <c r="T155" s="85" t="n">
        <v>147</v>
      </c>
    </row>
    <row r="156"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O156" s="84" t="str">
        <f>IF($C156="","",IFERROR(MATCH($B156&amp;"|"&amp;$C156,MUROS!$AX$11:$AX$70,0),0))</f>
        <v/>
      </c>
      <c r="P156" s="84" t="str">
        <f>IF($D156="","",IF(ISNUMBER(MATCH($D156,CMB_S,0)),1,IF(ISNUMBER(MATCH($D156,CMB_G,0)),2,0)))</f>
        <v/>
      </c>
      <c r="Q156" s="84">
        <f>IF(ISNUMBER($H156),-$H156,0)</f>
        <v>0</v>
      </c>
      <c r="R156" s="84">
        <f>IF(ISNUMBER($I156),ABS($I156),0)</f>
        <v>0</v>
      </c>
      <c r="S156" s="84">
        <f>IF(ISNUMBER($M156),ABS($M156),0)</f>
        <v>0</v>
      </c>
      <c r="T156" s="85" t="n">
        <v>148</v>
      </c>
    </row>
    <row r="157"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O157" s="84" t="str">
        <f>IF($C157="","",IFERROR(MATCH($B157&amp;"|"&amp;$C157,MUROS!$AX$11:$AX$70,0),0))</f>
        <v/>
      </c>
      <c r="P157" s="84" t="str">
        <f>IF($D157="","",IF(ISNUMBER(MATCH($D157,CMB_S,0)),1,IF(ISNUMBER(MATCH($D157,CMB_G,0)),2,0)))</f>
        <v/>
      </c>
      <c r="Q157" s="84">
        <f>IF(ISNUMBER($H157),-$H157,0)</f>
        <v>0</v>
      </c>
      <c r="R157" s="84">
        <f>IF(ISNUMBER($I157),ABS($I157),0)</f>
        <v>0</v>
      </c>
      <c r="S157" s="84">
        <f>IF(ISNUMBER($M157),ABS($M157),0)</f>
        <v>0</v>
      </c>
      <c r="T157" s="85" t="n">
        <v>149</v>
      </c>
    </row>
    <row r="158"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O158" s="84" t="str">
        <f>IF($C158="","",IFERROR(MATCH($B158&amp;"|"&amp;$C158,MUROS!$AX$11:$AX$70,0),0))</f>
        <v/>
      </c>
      <c r="P158" s="84" t="str">
        <f>IF($D158="","",IF(ISNUMBER(MATCH($D158,CMB_S,0)),1,IF(ISNUMBER(MATCH($D158,CMB_G,0)),2,0)))</f>
        <v/>
      </c>
      <c r="Q158" s="84">
        <f>IF(ISNUMBER($H158),-$H158,0)</f>
        <v>0</v>
      </c>
      <c r="R158" s="84">
        <f>IF(ISNUMBER($I158),ABS($I158),0)</f>
        <v>0</v>
      </c>
      <c r="S158" s="84">
        <f>IF(ISNUMBER($M158),ABS($M158),0)</f>
        <v>0</v>
      </c>
      <c r="T158" s="85" t="n">
        <v>150</v>
      </c>
    </row>
    <row r="159"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O159" s="84" t="str">
        <f>IF($C159="","",IFERROR(MATCH($B159&amp;"|"&amp;$C159,MUROS!$AX$11:$AX$70,0),0))</f>
        <v/>
      </c>
      <c r="P159" s="84" t="str">
        <f>IF($D159="","",IF(ISNUMBER(MATCH($D159,CMB_S,0)),1,IF(ISNUMBER(MATCH($D159,CMB_G,0)),2,0)))</f>
        <v/>
      </c>
      <c r="Q159" s="84">
        <f>IF(ISNUMBER($H159),-$H159,0)</f>
        <v>0</v>
      </c>
      <c r="R159" s="84">
        <f>IF(ISNUMBER($I159),ABS($I159),0)</f>
        <v>0</v>
      </c>
      <c r="S159" s="84">
        <f>IF(ISNUMBER($M159),ABS($M159),0)</f>
        <v>0</v>
      </c>
      <c r="T159" s="85" t="n">
        <v>151</v>
      </c>
    </row>
    <row r="160"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O160" s="84" t="str">
        <f>IF($C160="","",IFERROR(MATCH($B160&amp;"|"&amp;$C160,MUROS!$AX$11:$AX$70,0),0))</f>
        <v/>
      </c>
      <c r="P160" s="84" t="str">
        <f>IF($D160="","",IF(ISNUMBER(MATCH($D160,CMB_S,0)),1,IF(ISNUMBER(MATCH($D160,CMB_G,0)),2,0)))</f>
        <v/>
      </c>
      <c r="Q160" s="84">
        <f>IF(ISNUMBER($H160),-$H160,0)</f>
        <v>0</v>
      </c>
      <c r="R160" s="84">
        <f>IF(ISNUMBER($I160),ABS($I160),0)</f>
        <v>0</v>
      </c>
      <c r="S160" s="84">
        <f>IF(ISNUMBER($M160),ABS($M160),0)</f>
        <v>0</v>
      </c>
      <c r="T160" s="85" t="n">
        <v>152</v>
      </c>
    </row>
    <row r="161"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O161" s="84" t="str">
        <f>IF($C161="","",IFERROR(MATCH($B161&amp;"|"&amp;$C161,MUROS!$AX$11:$AX$70,0),0))</f>
        <v/>
      </c>
      <c r="P161" s="84" t="str">
        <f>IF($D161="","",IF(ISNUMBER(MATCH($D161,CMB_S,0)),1,IF(ISNUMBER(MATCH($D161,CMB_G,0)),2,0)))</f>
        <v/>
      </c>
      <c r="Q161" s="84">
        <f>IF(ISNUMBER($H161),-$H161,0)</f>
        <v>0</v>
      </c>
      <c r="R161" s="84">
        <f>IF(ISNUMBER($I161),ABS($I161),0)</f>
        <v>0</v>
      </c>
      <c r="S161" s="84">
        <f>IF(ISNUMBER($M161),ABS($M161),0)</f>
        <v>0</v>
      </c>
      <c r="T161" s="85" t="n">
        <v>153</v>
      </c>
    </row>
    <row r="162"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O162" s="84" t="str">
        <f>IF($C162="","",IFERROR(MATCH($B162&amp;"|"&amp;$C162,MUROS!$AX$11:$AX$70,0),0))</f>
        <v/>
      </c>
      <c r="P162" s="84" t="str">
        <f>IF($D162="","",IF(ISNUMBER(MATCH($D162,CMB_S,0)),1,IF(ISNUMBER(MATCH($D162,CMB_G,0)),2,0)))</f>
        <v/>
      </c>
      <c r="Q162" s="84">
        <f>IF(ISNUMBER($H162),-$H162,0)</f>
        <v>0</v>
      </c>
      <c r="R162" s="84">
        <f>IF(ISNUMBER($I162),ABS($I162),0)</f>
        <v>0</v>
      </c>
      <c r="S162" s="84">
        <f>IF(ISNUMBER($M162),ABS($M162),0)</f>
        <v>0</v>
      </c>
      <c r="T162" s="85" t="n">
        <v>154</v>
      </c>
    </row>
    <row r="163"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O163" s="84" t="str">
        <f>IF($C163="","",IFERROR(MATCH($B163&amp;"|"&amp;$C163,MUROS!$AX$11:$AX$70,0),0))</f>
        <v/>
      </c>
      <c r="P163" s="84" t="str">
        <f>IF($D163="","",IF(ISNUMBER(MATCH($D163,CMB_S,0)),1,IF(ISNUMBER(MATCH($D163,CMB_G,0)),2,0)))</f>
        <v/>
      </c>
      <c r="Q163" s="84">
        <f>IF(ISNUMBER($H163),-$H163,0)</f>
        <v>0</v>
      </c>
      <c r="R163" s="84">
        <f>IF(ISNUMBER($I163),ABS($I163),0)</f>
        <v>0</v>
      </c>
      <c r="S163" s="84">
        <f>IF(ISNUMBER($M163),ABS($M163),0)</f>
        <v>0</v>
      </c>
      <c r="T163" s="85" t="n">
        <v>155</v>
      </c>
    </row>
    <row r="164"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O164" s="84" t="str">
        <f>IF($C164="","",IFERROR(MATCH($B164&amp;"|"&amp;$C164,MUROS!$AX$11:$AX$70,0),0))</f>
        <v/>
      </c>
      <c r="P164" s="84" t="str">
        <f>IF($D164="","",IF(ISNUMBER(MATCH($D164,CMB_S,0)),1,IF(ISNUMBER(MATCH($D164,CMB_G,0)),2,0)))</f>
        <v/>
      </c>
      <c r="Q164" s="84">
        <f>IF(ISNUMBER($H164),-$H164,0)</f>
        <v>0</v>
      </c>
      <c r="R164" s="84">
        <f>IF(ISNUMBER($I164),ABS($I164),0)</f>
        <v>0</v>
      </c>
      <c r="S164" s="84">
        <f>IF(ISNUMBER($M164),ABS($M164),0)</f>
        <v>0</v>
      </c>
      <c r="T164" s="85" t="n">
        <v>156</v>
      </c>
    </row>
    <row r="165"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O165" s="84" t="str">
        <f>IF($C165="","",IFERROR(MATCH($B165&amp;"|"&amp;$C165,MUROS!$AX$11:$AX$70,0),0))</f>
        <v/>
      </c>
      <c r="P165" s="84" t="str">
        <f>IF($D165="","",IF(ISNUMBER(MATCH($D165,CMB_S,0)),1,IF(ISNUMBER(MATCH($D165,CMB_G,0)),2,0)))</f>
        <v/>
      </c>
      <c r="Q165" s="84">
        <f>IF(ISNUMBER($H165),-$H165,0)</f>
        <v>0</v>
      </c>
      <c r="R165" s="84">
        <f>IF(ISNUMBER($I165),ABS($I165),0)</f>
        <v>0</v>
      </c>
      <c r="S165" s="84">
        <f>IF(ISNUMBER($M165),ABS($M165),0)</f>
        <v>0</v>
      </c>
      <c r="T165" s="85" t="n">
        <v>157</v>
      </c>
    </row>
    <row r="166"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O166" s="84" t="str">
        <f>IF($C166="","",IFERROR(MATCH($B166&amp;"|"&amp;$C166,MUROS!$AX$11:$AX$70,0),0))</f>
        <v/>
      </c>
      <c r="P166" s="84" t="str">
        <f>IF($D166="","",IF(ISNUMBER(MATCH($D166,CMB_S,0)),1,IF(ISNUMBER(MATCH($D166,CMB_G,0)),2,0)))</f>
        <v/>
      </c>
      <c r="Q166" s="84">
        <f>IF(ISNUMBER($H166),-$H166,0)</f>
        <v>0</v>
      </c>
      <c r="R166" s="84">
        <f>IF(ISNUMBER($I166),ABS($I166),0)</f>
        <v>0</v>
      </c>
      <c r="S166" s="84">
        <f>IF(ISNUMBER($M166),ABS($M166),0)</f>
        <v>0</v>
      </c>
      <c r="T166" s="85" t="n">
        <v>158</v>
      </c>
    </row>
    <row r="167"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O167" s="84" t="str">
        <f>IF($C167="","",IFERROR(MATCH($B167&amp;"|"&amp;$C167,MUROS!$AX$11:$AX$70,0),0))</f>
        <v/>
      </c>
      <c r="P167" s="84" t="str">
        <f>IF($D167="","",IF(ISNUMBER(MATCH($D167,CMB_S,0)),1,IF(ISNUMBER(MATCH($D167,CMB_G,0)),2,0)))</f>
        <v/>
      </c>
      <c r="Q167" s="84">
        <f>IF(ISNUMBER($H167),-$H167,0)</f>
        <v>0</v>
      </c>
      <c r="R167" s="84">
        <f>IF(ISNUMBER($I167),ABS($I167),0)</f>
        <v>0</v>
      </c>
      <c r="S167" s="84">
        <f>IF(ISNUMBER($M167),ABS($M167),0)</f>
        <v>0</v>
      </c>
      <c r="T167" s="85" t="n">
        <v>159</v>
      </c>
    </row>
    <row r="168"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O168" s="84" t="str">
        <f>IF($C168="","",IFERROR(MATCH($B168&amp;"|"&amp;$C168,MUROS!$AX$11:$AX$70,0),0))</f>
        <v/>
      </c>
      <c r="P168" s="84" t="str">
        <f>IF($D168="","",IF(ISNUMBER(MATCH($D168,CMB_S,0)),1,IF(ISNUMBER(MATCH($D168,CMB_G,0)),2,0)))</f>
        <v/>
      </c>
      <c r="Q168" s="84">
        <f>IF(ISNUMBER($H168),-$H168,0)</f>
        <v>0</v>
      </c>
      <c r="R168" s="84">
        <f>IF(ISNUMBER($I168),ABS($I168),0)</f>
        <v>0</v>
      </c>
      <c r="S168" s="84">
        <f>IF(ISNUMBER($M168),ABS($M168),0)</f>
        <v>0</v>
      </c>
      <c r="T168" s="85" t="n">
        <v>160</v>
      </c>
    </row>
    <row r="169"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O169" s="84" t="str">
        <f>IF($C169="","",IFERROR(MATCH($B169&amp;"|"&amp;$C169,MUROS!$AX$11:$AX$70,0),0))</f>
        <v/>
      </c>
      <c r="P169" s="84" t="str">
        <f>IF($D169="","",IF(ISNUMBER(MATCH($D169,CMB_S,0)),1,IF(ISNUMBER(MATCH($D169,CMB_G,0)),2,0)))</f>
        <v/>
      </c>
      <c r="Q169" s="84">
        <f>IF(ISNUMBER($H169),-$H169,0)</f>
        <v>0</v>
      </c>
      <c r="R169" s="84">
        <f>IF(ISNUMBER($I169),ABS($I169),0)</f>
        <v>0</v>
      </c>
      <c r="S169" s="84">
        <f>IF(ISNUMBER($M169),ABS($M169),0)</f>
        <v>0</v>
      </c>
      <c r="T169" s="85" t="n">
        <v>161</v>
      </c>
    </row>
    <row r="170"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O170" s="84" t="str">
        <f>IF($C170="","",IFERROR(MATCH($B170&amp;"|"&amp;$C170,MUROS!$AX$11:$AX$70,0),0))</f>
        <v/>
      </c>
      <c r="P170" s="84" t="str">
        <f>IF($D170="","",IF(ISNUMBER(MATCH($D170,CMB_S,0)),1,IF(ISNUMBER(MATCH($D170,CMB_G,0)),2,0)))</f>
        <v/>
      </c>
      <c r="Q170" s="84">
        <f>IF(ISNUMBER($H170),-$H170,0)</f>
        <v>0</v>
      </c>
      <c r="R170" s="84">
        <f>IF(ISNUMBER($I170),ABS($I170),0)</f>
        <v>0</v>
      </c>
      <c r="S170" s="84">
        <f>IF(ISNUMBER($M170),ABS($M170),0)</f>
        <v>0</v>
      </c>
      <c r="T170" s="85" t="n">
        <v>162</v>
      </c>
    </row>
    <row r="171"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O171" s="84" t="str">
        <f>IF($C171="","",IFERROR(MATCH($B171&amp;"|"&amp;$C171,MUROS!$AX$11:$AX$70,0),0))</f>
        <v/>
      </c>
      <c r="P171" s="84" t="str">
        <f>IF($D171="","",IF(ISNUMBER(MATCH($D171,CMB_S,0)),1,IF(ISNUMBER(MATCH($D171,CMB_G,0)),2,0)))</f>
        <v/>
      </c>
      <c r="Q171" s="84">
        <f>IF(ISNUMBER($H171),-$H171,0)</f>
        <v>0</v>
      </c>
      <c r="R171" s="84">
        <f>IF(ISNUMBER($I171),ABS($I171),0)</f>
        <v>0</v>
      </c>
      <c r="S171" s="84">
        <f>IF(ISNUMBER($M171),ABS($M171),0)</f>
        <v>0</v>
      </c>
      <c r="T171" s="85" t="n">
        <v>163</v>
      </c>
    </row>
    <row r="172"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O172" s="84" t="str">
        <f>IF($C172="","",IFERROR(MATCH($B172&amp;"|"&amp;$C172,MUROS!$AX$11:$AX$70,0),0))</f>
        <v/>
      </c>
      <c r="P172" s="84" t="str">
        <f>IF($D172="","",IF(ISNUMBER(MATCH($D172,CMB_S,0)),1,IF(ISNUMBER(MATCH($D172,CMB_G,0)),2,0)))</f>
        <v/>
      </c>
      <c r="Q172" s="84">
        <f>IF(ISNUMBER($H172),-$H172,0)</f>
        <v>0</v>
      </c>
      <c r="R172" s="84">
        <f>IF(ISNUMBER($I172),ABS($I172),0)</f>
        <v>0</v>
      </c>
      <c r="S172" s="84">
        <f>IF(ISNUMBER($M172),ABS($M172),0)</f>
        <v>0</v>
      </c>
      <c r="T172" s="85" t="n">
        <v>164</v>
      </c>
    </row>
    <row r="173"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O173" s="84" t="str">
        <f>IF($C173="","",IFERROR(MATCH($B173&amp;"|"&amp;$C173,MUROS!$AX$11:$AX$70,0),0))</f>
        <v/>
      </c>
      <c r="P173" s="84" t="str">
        <f>IF($D173="","",IF(ISNUMBER(MATCH($D173,CMB_S,0)),1,IF(ISNUMBER(MATCH($D173,CMB_G,0)),2,0)))</f>
        <v/>
      </c>
      <c r="Q173" s="84">
        <f>IF(ISNUMBER($H173),-$H173,0)</f>
        <v>0</v>
      </c>
      <c r="R173" s="84">
        <f>IF(ISNUMBER($I173),ABS($I173),0)</f>
        <v>0</v>
      </c>
      <c r="S173" s="84">
        <f>IF(ISNUMBER($M173),ABS($M173),0)</f>
        <v>0</v>
      </c>
      <c r="T173" s="85" t="n">
        <v>165</v>
      </c>
    </row>
    <row r="174"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O174" s="84" t="str">
        <f>IF($C174="","",IFERROR(MATCH($B174&amp;"|"&amp;$C174,MUROS!$AX$11:$AX$70,0),0))</f>
        <v/>
      </c>
      <c r="P174" s="84" t="str">
        <f>IF($D174="","",IF(ISNUMBER(MATCH($D174,CMB_S,0)),1,IF(ISNUMBER(MATCH($D174,CMB_G,0)),2,0)))</f>
        <v/>
      </c>
      <c r="Q174" s="84">
        <f>IF(ISNUMBER($H174),-$H174,0)</f>
        <v>0</v>
      </c>
      <c r="R174" s="84">
        <f>IF(ISNUMBER($I174),ABS($I174),0)</f>
        <v>0</v>
      </c>
      <c r="S174" s="84">
        <f>IF(ISNUMBER($M174),ABS($M174),0)</f>
        <v>0</v>
      </c>
      <c r="T174" s="85" t="n">
        <v>166</v>
      </c>
    </row>
    <row r="175"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O175" s="84" t="str">
        <f>IF($C175="","",IFERROR(MATCH($B175&amp;"|"&amp;$C175,MUROS!$AX$11:$AX$70,0),0))</f>
        <v/>
      </c>
      <c r="P175" s="84" t="str">
        <f>IF($D175="","",IF(ISNUMBER(MATCH($D175,CMB_S,0)),1,IF(ISNUMBER(MATCH($D175,CMB_G,0)),2,0)))</f>
        <v/>
      </c>
      <c r="Q175" s="84">
        <f>IF(ISNUMBER($H175),-$H175,0)</f>
        <v>0</v>
      </c>
      <c r="R175" s="84">
        <f>IF(ISNUMBER($I175),ABS($I175),0)</f>
        <v>0</v>
      </c>
      <c r="S175" s="84">
        <f>IF(ISNUMBER($M175),ABS($M175),0)</f>
        <v>0</v>
      </c>
      <c r="T175" s="85" t="n">
        <v>167</v>
      </c>
    </row>
    <row r="176"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O176" s="84" t="str">
        <f>IF($C176="","",IFERROR(MATCH($B176&amp;"|"&amp;$C176,MUROS!$AX$11:$AX$70,0),0))</f>
        <v/>
      </c>
      <c r="P176" s="84" t="str">
        <f>IF($D176="","",IF(ISNUMBER(MATCH($D176,CMB_S,0)),1,IF(ISNUMBER(MATCH($D176,CMB_G,0)),2,0)))</f>
        <v/>
      </c>
      <c r="Q176" s="84">
        <f>IF(ISNUMBER($H176),-$H176,0)</f>
        <v>0</v>
      </c>
      <c r="R176" s="84">
        <f>IF(ISNUMBER($I176),ABS($I176),0)</f>
        <v>0</v>
      </c>
      <c r="S176" s="84">
        <f>IF(ISNUMBER($M176),ABS($M176),0)</f>
        <v>0</v>
      </c>
      <c r="T176" s="85" t="n">
        <v>168</v>
      </c>
    </row>
    <row r="177"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O177" s="84" t="str">
        <f>IF($C177="","",IFERROR(MATCH($B177&amp;"|"&amp;$C177,MUROS!$AX$11:$AX$70,0),0))</f>
        <v/>
      </c>
      <c r="P177" s="84" t="str">
        <f>IF($D177="","",IF(ISNUMBER(MATCH($D177,CMB_S,0)),1,IF(ISNUMBER(MATCH($D177,CMB_G,0)),2,0)))</f>
        <v/>
      </c>
      <c r="Q177" s="84">
        <f>IF(ISNUMBER($H177),-$H177,0)</f>
        <v>0</v>
      </c>
      <c r="R177" s="84">
        <f>IF(ISNUMBER($I177),ABS($I177),0)</f>
        <v>0</v>
      </c>
      <c r="S177" s="84">
        <f>IF(ISNUMBER($M177),ABS($M177),0)</f>
        <v>0</v>
      </c>
      <c r="T177" s="85" t="n">
        <v>169</v>
      </c>
    </row>
    <row r="178"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O178" s="84" t="str">
        <f>IF($C178="","",IFERROR(MATCH($B178&amp;"|"&amp;$C178,MUROS!$AX$11:$AX$70,0),0))</f>
        <v/>
      </c>
      <c r="P178" s="84" t="str">
        <f>IF($D178="","",IF(ISNUMBER(MATCH($D178,CMB_S,0)),1,IF(ISNUMBER(MATCH($D178,CMB_G,0)),2,0)))</f>
        <v/>
      </c>
      <c r="Q178" s="84">
        <f>IF(ISNUMBER($H178),-$H178,0)</f>
        <v>0</v>
      </c>
      <c r="R178" s="84">
        <f>IF(ISNUMBER($I178),ABS($I178),0)</f>
        <v>0</v>
      </c>
      <c r="S178" s="84">
        <f>IF(ISNUMBER($M178),ABS($M178),0)</f>
        <v>0</v>
      </c>
      <c r="T178" s="85" t="n">
        <v>170</v>
      </c>
    </row>
    <row r="179"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O179" s="84" t="str">
        <f>IF($C179="","",IFERROR(MATCH($B179&amp;"|"&amp;$C179,MUROS!$AX$11:$AX$70,0),0))</f>
        <v/>
      </c>
      <c r="P179" s="84" t="str">
        <f>IF($D179="","",IF(ISNUMBER(MATCH($D179,CMB_S,0)),1,IF(ISNUMBER(MATCH($D179,CMB_G,0)),2,0)))</f>
        <v/>
      </c>
      <c r="Q179" s="84">
        <f>IF(ISNUMBER($H179),-$H179,0)</f>
        <v>0</v>
      </c>
      <c r="R179" s="84">
        <f>IF(ISNUMBER($I179),ABS($I179),0)</f>
        <v>0</v>
      </c>
      <c r="S179" s="84">
        <f>IF(ISNUMBER($M179),ABS($M179),0)</f>
        <v>0</v>
      </c>
      <c r="T179" s="85" t="n">
        <v>171</v>
      </c>
    </row>
    <row r="180"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O180" s="84" t="str">
        <f>IF($C180="","",IFERROR(MATCH($B180&amp;"|"&amp;$C180,MUROS!$AX$11:$AX$70,0),0))</f>
        <v/>
      </c>
      <c r="P180" s="84" t="str">
        <f>IF($D180="","",IF(ISNUMBER(MATCH($D180,CMB_S,0)),1,IF(ISNUMBER(MATCH($D180,CMB_G,0)),2,0)))</f>
        <v/>
      </c>
      <c r="Q180" s="84">
        <f>IF(ISNUMBER($H180),-$H180,0)</f>
        <v>0</v>
      </c>
      <c r="R180" s="84">
        <f>IF(ISNUMBER($I180),ABS($I180),0)</f>
        <v>0</v>
      </c>
      <c r="S180" s="84">
        <f>IF(ISNUMBER($M180),ABS($M180),0)</f>
        <v>0</v>
      </c>
      <c r="T180" s="85" t="n">
        <v>172</v>
      </c>
    </row>
    <row r="181"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O181" s="84" t="str">
        <f>IF($C181="","",IFERROR(MATCH($B181&amp;"|"&amp;$C181,MUROS!$AX$11:$AX$70,0),0))</f>
        <v/>
      </c>
      <c r="P181" s="84" t="str">
        <f>IF($D181="","",IF(ISNUMBER(MATCH($D181,CMB_S,0)),1,IF(ISNUMBER(MATCH($D181,CMB_G,0)),2,0)))</f>
        <v/>
      </c>
      <c r="Q181" s="84">
        <f>IF(ISNUMBER($H181),-$H181,0)</f>
        <v>0</v>
      </c>
      <c r="R181" s="84">
        <f>IF(ISNUMBER($I181),ABS($I181),0)</f>
        <v>0</v>
      </c>
      <c r="S181" s="84">
        <f>IF(ISNUMBER($M181),ABS($M181),0)</f>
        <v>0</v>
      </c>
      <c r="T181" s="85" t="n">
        <v>173</v>
      </c>
    </row>
    <row r="182"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O182" s="84" t="str">
        <f>IF($C182="","",IFERROR(MATCH($B182&amp;"|"&amp;$C182,MUROS!$AX$11:$AX$70,0),0))</f>
        <v/>
      </c>
      <c r="P182" s="84" t="str">
        <f>IF($D182="","",IF(ISNUMBER(MATCH($D182,CMB_S,0)),1,IF(ISNUMBER(MATCH($D182,CMB_G,0)),2,0)))</f>
        <v/>
      </c>
      <c r="Q182" s="84">
        <f>IF(ISNUMBER($H182),-$H182,0)</f>
        <v>0</v>
      </c>
      <c r="R182" s="84">
        <f>IF(ISNUMBER($I182),ABS($I182),0)</f>
        <v>0</v>
      </c>
      <c r="S182" s="84">
        <f>IF(ISNUMBER($M182),ABS($M182),0)</f>
        <v>0</v>
      </c>
      <c r="T182" s="85" t="n">
        <v>174</v>
      </c>
    </row>
    <row r="183"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O183" s="84" t="str">
        <f>IF($C183="","",IFERROR(MATCH($B183&amp;"|"&amp;$C183,MUROS!$AX$11:$AX$70,0),0))</f>
        <v/>
      </c>
      <c r="P183" s="84" t="str">
        <f>IF($D183="","",IF(ISNUMBER(MATCH($D183,CMB_S,0)),1,IF(ISNUMBER(MATCH($D183,CMB_G,0)),2,0)))</f>
        <v/>
      </c>
      <c r="Q183" s="84">
        <f>IF(ISNUMBER($H183),-$H183,0)</f>
        <v>0</v>
      </c>
      <c r="R183" s="84">
        <f>IF(ISNUMBER($I183),ABS($I183),0)</f>
        <v>0</v>
      </c>
      <c r="S183" s="84">
        <f>IF(ISNUMBER($M183),ABS($M183),0)</f>
        <v>0</v>
      </c>
      <c r="T183" s="85" t="n">
        <v>175</v>
      </c>
    </row>
    <row r="184"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O184" s="84" t="str">
        <f>IF($C184="","",IFERROR(MATCH($B184&amp;"|"&amp;$C184,MUROS!$AX$11:$AX$70,0),0))</f>
        <v/>
      </c>
      <c r="P184" s="84" t="str">
        <f>IF($D184="","",IF(ISNUMBER(MATCH($D184,CMB_S,0)),1,IF(ISNUMBER(MATCH($D184,CMB_G,0)),2,0)))</f>
        <v/>
      </c>
      <c r="Q184" s="84">
        <f>IF(ISNUMBER($H184),-$H184,0)</f>
        <v>0</v>
      </c>
      <c r="R184" s="84">
        <f>IF(ISNUMBER($I184),ABS($I184),0)</f>
        <v>0</v>
      </c>
      <c r="S184" s="84">
        <f>IF(ISNUMBER($M184),ABS($M184),0)</f>
        <v>0</v>
      </c>
      <c r="T184" s="85" t="n">
        <v>176</v>
      </c>
    </row>
    <row r="185"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O185" s="84" t="str">
        <f>IF($C185="","",IFERROR(MATCH($B185&amp;"|"&amp;$C185,MUROS!$AX$11:$AX$70,0),0))</f>
        <v/>
      </c>
      <c r="P185" s="84" t="str">
        <f>IF($D185="","",IF(ISNUMBER(MATCH($D185,CMB_S,0)),1,IF(ISNUMBER(MATCH($D185,CMB_G,0)),2,0)))</f>
        <v/>
      </c>
      <c r="Q185" s="84">
        <f>IF(ISNUMBER($H185),-$H185,0)</f>
        <v>0</v>
      </c>
      <c r="R185" s="84">
        <f>IF(ISNUMBER($I185),ABS($I185),0)</f>
        <v>0</v>
      </c>
      <c r="S185" s="84">
        <f>IF(ISNUMBER($M185),ABS($M185),0)</f>
        <v>0</v>
      </c>
      <c r="T185" s="85" t="n">
        <v>177</v>
      </c>
    </row>
    <row r="186"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O186" s="84" t="str">
        <f>IF($C186="","",IFERROR(MATCH($B186&amp;"|"&amp;$C186,MUROS!$AX$11:$AX$70,0),0))</f>
        <v/>
      </c>
      <c r="P186" s="84" t="str">
        <f>IF($D186="","",IF(ISNUMBER(MATCH($D186,CMB_S,0)),1,IF(ISNUMBER(MATCH($D186,CMB_G,0)),2,0)))</f>
        <v/>
      </c>
      <c r="Q186" s="84">
        <f>IF(ISNUMBER($H186),-$H186,0)</f>
        <v>0</v>
      </c>
      <c r="R186" s="84">
        <f>IF(ISNUMBER($I186),ABS($I186),0)</f>
        <v>0</v>
      </c>
      <c r="S186" s="84">
        <f>IF(ISNUMBER($M186),ABS($M186),0)</f>
        <v>0</v>
      </c>
      <c r="T186" s="85" t="n">
        <v>178</v>
      </c>
    </row>
    <row r="187"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O187" s="84" t="str">
        <f>IF($C187="","",IFERROR(MATCH($B187&amp;"|"&amp;$C187,MUROS!$AX$11:$AX$70,0),0))</f>
        <v/>
      </c>
      <c r="P187" s="84" t="str">
        <f>IF($D187="","",IF(ISNUMBER(MATCH($D187,CMB_S,0)),1,IF(ISNUMBER(MATCH($D187,CMB_G,0)),2,0)))</f>
        <v/>
      </c>
      <c r="Q187" s="84">
        <f>IF(ISNUMBER($H187),-$H187,0)</f>
        <v>0</v>
      </c>
      <c r="R187" s="84">
        <f>IF(ISNUMBER($I187),ABS($I187),0)</f>
        <v>0</v>
      </c>
      <c r="S187" s="84">
        <f>IF(ISNUMBER($M187),ABS($M187),0)</f>
        <v>0</v>
      </c>
      <c r="T187" s="85" t="n">
        <v>179</v>
      </c>
    </row>
    <row r="188"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O188" s="84" t="str">
        <f>IF($C188="","",IFERROR(MATCH($B188&amp;"|"&amp;$C188,MUROS!$AX$11:$AX$70,0),0))</f>
        <v/>
      </c>
      <c r="P188" s="84" t="str">
        <f>IF($D188="","",IF(ISNUMBER(MATCH($D188,CMB_S,0)),1,IF(ISNUMBER(MATCH($D188,CMB_G,0)),2,0)))</f>
        <v/>
      </c>
      <c r="Q188" s="84">
        <f>IF(ISNUMBER($H188),-$H188,0)</f>
        <v>0</v>
      </c>
      <c r="R188" s="84">
        <f>IF(ISNUMBER($I188),ABS($I188),0)</f>
        <v>0</v>
      </c>
      <c r="S188" s="84">
        <f>IF(ISNUMBER($M188),ABS($M188),0)</f>
        <v>0</v>
      </c>
      <c r="T188" s="85" t="n">
        <v>180</v>
      </c>
    </row>
    <row r="189"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O189" s="84" t="str">
        <f>IF($C189="","",IFERROR(MATCH($B189&amp;"|"&amp;$C189,MUROS!$AX$11:$AX$70,0),0))</f>
        <v/>
      </c>
      <c r="P189" s="84" t="str">
        <f>IF($D189="","",IF(ISNUMBER(MATCH($D189,CMB_S,0)),1,IF(ISNUMBER(MATCH($D189,CMB_G,0)),2,0)))</f>
        <v/>
      </c>
      <c r="Q189" s="84">
        <f>IF(ISNUMBER($H189),-$H189,0)</f>
        <v>0</v>
      </c>
      <c r="R189" s="84">
        <f>IF(ISNUMBER($I189),ABS($I189),0)</f>
        <v>0</v>
      </c>
      <c r="S189" s="84">
        <f>IF(ISNUMBER($M189),ABS($M189),0)</f>
        <v>0</v>
      </c>
      <c r="T189" s="85" t="n">
        <v>181</v>
      </c>
    </row>
    <row r="190"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O190" s="84" t="str">
        <f>IF($C190="","",IFERROR(MATCH($B190&amp;"|"&amp;$C190,MUROS!$AX$11:$AX$70,0),0))</f>
        <v/>
      </c>
      <c r="P190" s="84" t="str">
        <f>IF($D190="","",IF(ISNUMBER(MATCH($D190,CMB_S,0)),1,IF(ISNUMBER(MATCH($D190,CMB_G,0)),2,0)))</f>
        <v/>
      </c>
      <c r="Q190" s="84">
        <f>IF(ISNUMBER($H190),-$H190,0)</f>
        <v>0</v>
      </c>
      <c r="R190" s="84">
        <f>IF(ISNUMBER($I190),ABS($I190),0)</f>
        <v>0</v>
      </c>
      <c r="S190" s="84">
        <f>IF(ISNUMBER($M190),ABS($M190),0)</f>
        <v>0</v>
      </c>
      <c r="T190" s="85" t="n">
        <v>182</v>
      </c>
    </row>
    <row r="191"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O191" s="84" t="str">
        <f>IF($C191="","",IFERROR(MATCH($B191&amp;"|"&amp;$C191,MUROS!$AX$11:$AX$70,0),0))</f>
        <v/>
      </c>
      <c r="P191" s="84" t="str">
        <f>IF($D191="","",IF(ISNUMBER(MATCH($D191,CMB_S,0)),1,IF(ISNUMBER(MATCH($D191,CMB_G,0)),2,0)))</f>
        <v/>
      </c>
      <c r="Q191" s="84">
        <f>IF(ISNUMBER($H191),-$H191,0)</f>
        <v>0</v>
      </c>
      <c r="R191" s="84">
        <f>IF(ISNUMBER($I191),ABS($I191),0)</f>
        <v>0</v>
      </c>
      <c r="S191" s="84">
        <f>IF(ISNUMBER($M191),ABS($M191),0)</f>
        <v>0</v>
      </c>
      <c r="T191" s="85" t="n">
        <v>183</v>
      </c>
    </row>
    <row r="192"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O192" s="84" t="str">
        <f>IF($C192="","",IFERROR(MATCH($B192&amp;"|"&amp;$C192,MUROS!$AX$11:$AX$70,0),0))</f>
        <v/>
      </c>
      <c r="P192" s="84" t="str">
        <f>IF($D192="","",IF(ISNUMBER(MATCH($D192,CMB_S,0)),1,IF(ISNUMBER(MATCH($D192,CMB_G,0)),2,0)))</f>
        <v/>
      </c>
      <c r="Q192" s="84">
        <f>IF(ISNUMBER($H192),-$H192,0)</f>
        <v>0</v>
      </c>
      <c r="R192" s="84">
        <f>IF(ISNUMBER($I192),ABS($I192),0)</f>
        <v>0</v>
      </c>
      <c r="S192" s="84">
        <f>IF(ISNUMBER($M192),ABS($M192),0)</f>
        <v>0</v>
      </c>
      <c r="T192" s="85" t="n">
        <v>184</v>
      </c>
    </row>
    <row r="193"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O193" s="84" t="str">
        <f>IF($C193="","",IFERROR(MATCH($B193&amp;"|"&amp;$C193,MUROS!$AX$11:$AX$70,0),0))</f>
        <v/>
      </c>
      <c r="P193" s="84" t="str">
        <f>IF($D193="","",IF(ISNUMBER(MATCH($D193,CMB_S,0)),1,IF(ISNUMBER(MATCH($D193,CMB_G,0)),2,0)))</f>
        <v/>
      </c>
      <c r="Q193" s="84">
        <f>IF(ISNUMBER($H193),-$H193,0)</f>
        <v>0</v>
      </c>
      <c r="R193" s="84">
        <f>IF(ISNUMBER($I193),ABS($I193),0)</f>
        <v>0</v>
      </c>
      <c r="S193" s="84">
        <f>IF(ISNUMBER($M193),ABS($M193),0)</f>
        <v>0</v>
      </c>
      <c r="T193" s="85" t="n">
        <v>185</v>
      </c>
    </row>
    <row r="194"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O194" s="84" t="str">
        <f>IF($C194="","",IFERROR(MATCH($B194&amp;"|"&amp;$C194,MUROS!$AX$11:$AX$70,0),0))</f>
        <v/>
      </c>
      <c r="P194" s="84" t="str">
        <f>IF($D194="","",IF(ISNUMBER(MATCH($D194,CMB_S,0)),1,IF(ISNUMBER(MATCH($D194,CMB_G,0)),2,0)))</f>
        <v/>
      </c>
      <c r="Q194" s="84">
        <f>IF(ISNUMBER($H194),-$H194,0)</f>
        <v>0</v>
      </c>
      <c r="R194" s="84">
        <f>IF(ISNUMBER($I194),ABS($I194),0)</f>
        <v>0</v>
      </c>
      <c r="S194" s="84">
        <f>IF(ISNUMBER($M194),ABS($M194),0)</f>
        <v>0</v>
      </c>
      <c r="T194" s="85" t="n">
        <v>186</v>
      </c>
    </row>
    <row r="195"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O195" s="84" t="str">
        <f>IF($C195="","",IFERROR(MATCH($B195&amp;"|"&amp;$C195,MUROS!$AX$11:$AX$70,0),0))</f>
        <v/>
      </c>
      <c r="P195" s="84" t="str">
        <f>IF($D195="","",IF(ISNUMBER(MATCH($D195,CMB_S,0)),1,IF(ISNUMBER(MATCH($D195,CMB_G,0)),2,0)))</f>
        <v/>
      </c>
      <c r="Q195" s="84">
        <f>IF(ISNUMBER($H195),-$H195,0)</f>
        <v>0</v>
      </c>
      <c r="R195" s="84">
        <f>IF(ISNUMBER($I195),ABS($I195),0)</f>
        <v>0</v>
      </c>
      <c r="S195" s="84">
        <f>IF(ISNUMBER($M195),ABS($M195),0)</f>
        <v>0</v>
      </c>
      <c r="T195" s="85" t="n">
        <v>187</v>
      </c>
    </row>
    <row r="196"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O196" s="84" t="str">
        <f>IF($C196="","",IFERROR(MATCH($B196&amp;"|"&amp;$C196,MUROS!$AX$11:$AX$70,0),0))</f>
        <v/>
      </c>
      <c r="P196" s="84" t="str">
        <f>IF($D196="","",IF(ISNUMBER(MATCH($D196,CMB_S,0)),1,IF(ISNUMBER(MATCH($D196,CMB_G,0)),2,0)))</f>
        <v/>
      </c>
      <c r="Q196" s="84">
        <f>IF(ISNUMBER($H196),-$H196,0)</f>
        <v>0</v>
      </c>
      <c r="R196" s="84">
        <f>IF(ISNUMBER($I196),ABS($I196),0)</f>
        <v>0</v>
      </c>
      <c r="S196" s="84">
        <f>IF(ISNUMBER($M196),ABS($M196),0)</f>
        <v>0</v>
      </c>
      <c r="T196" s="85" t="n">
        <v>188</v>
      </c>
    </row>
    <row r="197"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O197" s="84" t="str">
        <f>IF($C197="","",IFERROR(MATCH($B197&amp;"|"&amp;$C197,MUROS!$AX$11:$AX$70,0),0))</f>
        <v/>
      </c>
      <c r="P197" s="84" t="str">
        <f>IF($D197="","",IF(ISNUMBER(MATCH($D197,CMB_S,0)),1,IF(ISNUMBER(MATCH($D197,CMB_G,0)),2,0)))</f>
        <v/>
      </c>
      <c r="Q197" s="84">
        <f>IF(ISNUMBER($H197),-$H197,0)</f>
        <v>0</v>
      </c>
      <c r="R197" s="84">
        <f>IF(ISNUMBER($I197),ABS($I197),0)</f>
        <v>0</v>
      </c>
      <c r="S197" s="84">
        <f>IF(ISNUMBER($M197),ABS($M197),0)</f>
        <v>0</v>
      </c>
      <c r="T197" s="85" t="n">
        <v>189</v>
      </c>
    </row>
    <row r="198"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O198" s="84" t="str">
        <f>IF($C198="","",IFERROR(MATCH($B198&amp;"|"&amp;$C198,MUROS!$AX$11:$AX$70,0),0))</f>
        <v/>
      </c>
      <c r="P198" s="84" t="str">
        <f>IF($D198="","",IF(ISNUMBER(MATCH($D198,CMB_S,0)),1,IF(ISNUMBER(MATCH($D198,CMB_G,0)),2,0)))</f>
        <v/>
      </c>
      <c r="Q198" s="84">
        <f>IF(ISNUMBER($H198),-$H198,0)</f>
        <v>0</v>
      </c>
      <c r="R198" s="84">
        <f>IF(ISNUMBER($I198),ABS($I198),0)</f>
        <v>0</v>
      </c>
      <c r="S198" s="84">
        <f>IF(ISNUMBER($M198),ABS($M198),0)</f>
        <v>0</v>
      </c>
      <c r="T198" s="85" t="n">
        <v>190</v>
      </c>
    </row>
    <row r="199"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O199" s="84" t="str">
        <f>IF($C199="","",IFERROR(MATCH($B199&amp;"|"&amp;$C199,MUROS!$AX$11:$AX$70,0),0))</f>
        <v/>
      </c>
      <c r="P199" s="84" t="str">
        <f>IF($D199="","",IF(ISNUMBER(MATCH($D199,CMB_S,0)),1,IF(ISNUMBER(MATCH($D199,CMB_G,0)),2,0)))</f>
        <v/>
      </c>
      <c r="Q199" s="84">
        <f>IF(ISNUMBER($H199),-$H199,0)</f>
        <v>0</v>
      </c>
      <c r="R199" s="84">
        <f>IF(ISNUMBER($I199),ABS($I199),0)</f>
        <v>0</v>
      </c>
      <c r="S199" s="84">
        <f>IF(ISNUMBER($M199),ABS($M199),0)</f>
        <v>0</v>
      </c>
      <c r="T199" s="85" t="n">
        <v>191</v>
      </c>
    </row>
    <row r="200"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O200" s="84" t="str">
        <f>IF($C200="","",IFERROR(MATCH($B200&amp;"|"&amp;$C200,MUROS!$AX$11:$AX$70,0),0))</f>
        <v/>
      </c>
      <c r="P200" s="84" t="str">
        <f>IF($D200="","",IF(ISNUMBER(MATCH($D200,CMB_S,0)),1,IF(ISNUMBER(MATCH($D200,CMB_G,0)),2,0)))</f>
        <v/>
      </c>
      <c r="Q200" s="84">
        <f>IF(ISNUMBER($H200),-$H200,0)</f>
        <v>0</v>
      </c>
      <c r="R200" s="84">
        <f>IF(ISNUMBER($I200),ABS($I200),0)</f>
        <v>0</v>
      </c>
      <c r="S200" s="84">
        <f>IF(ISNUMBER($M200),ABS($M200),0)</f>
        <v>0</v>
      </c>
      <c r="T200" s="85" t="n">
        <v>192</v>
      </c>
    </row>
    <row r="201"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O201" s="84" t="str">
        <f>IF($C201="","",IFERROR(MATCH($B201&amp;"|"&amp;$C201,MUROS!$AX$11:$AX$70,0),0))</f>
        <v/>
      </c>
      <c r="P201" s="84" t="str">
        <f>IF($D201="","",IF(ISNUMBER(MATCH($D201,CMB_S,0)),1,IF(ISNUMBER(MATCH($D201,CMB_G,0)),2,0)))</f>
        <v/>
      </c>
      <c r="Q201" s="84">
        <f>IF(ISNUMBER($H201),-$H201,0)</f>
        <v>0</v>
      </c>
      <c r="R201" s="84">
        <f>IF(ISNUMBER($I201),ABS($I201),0)</f>
        <v>0</v>
      </c>
      <c r="S201" s="84">
        <f>IF(ISNUMBER($M201),ABS($M201),0)</f>
        <v>0</v>
      </c>
      <c r="T201" s="85" t="n">
        <v>193</v>
      </c>
    </row>
    <row r="202"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O202" s="84" t="str">
        <f>IF($C202="","",IFERROR(MATCH($B202&amp;"|"&amp;$C202,MUROS!$AX$11:$AX$70,0),0))</f>
        <v/>
      </c>
      <c r="P202" s="84" t="str">
        <f>IF($D202="","",IF(ISNUMBER(MATCH($D202,CMB_S,0)),1,IF(ISNUMBER(MATCH($D202,CMB_G,0)),2,0)))</f>
        <v/>
      </c>
      <c r="Q202" s="84">
        <f>IF(ISNUMBER($H202),-$H202,0)</f>
        <v>0</v>
      </c>
      <c r="R202" s="84">
        <f>IF(ISNUMBER($I202),ABS($I202),0)</f>
        <v>0</v>
      </c>
      <c r="S202" s="84">
        <f>IF(ISNUMBER($M202),ABS($M202),0)</f>
        <v>0</v>
      </c>
      <c r="T202" s="85" t="n">
        <v>194</v>
      </c>
    </row>
    <row r="203"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O203" s="84" t="str">
        <f>IF($C203="","",IFERROR(MATCH($B203&amp;"|"&amp;$C203,MUROS!$AX$11:$AX$70,0),0))</f>
        <v/>
      </c>
      <c r="P203" s="84" t="str">
        <f>IF($D203="","",IF(ISNUMBER(MATCH($D203,CMB_S,0)),1,IF(ISNUMBER(MATCH($D203,CMB_G,0)),2,0)))</f>
        <v/>
      </c>
      <c r="Q203" s="84">
        <f>IF(ISNUMBER($H203),-$H203,0)</f>
        <v>0</v>
      </c>
      <c r="R203" s="84">
        <f>IF(ISNUMBER($I203),ABS($I203),0)</f>
        <v>0</v>
      </c>
      <c r="S203" s="84">
        <f>IF(ISNUMBER($M203),ABS($M203),0)</f>
        <v>0</v>
      </c>
      <c r="T203" s="85" t="n">
        <v>195</v>
      </c>
    </row>
    <row r="204"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O204" s="84" t="str">
        <f>IF($C204="","",IFERROR(MATCH($B204&amp;"|"&amp;$C204,MUROS!$AX$11:$AX$70,0),0))</f>
        <v/>
      </c>
      <c r="P204" s="84" t="str">
        <f>IF($D204="","",IF(ISNUMBER(MATCH($D204,CMB_S,0)),1,IF(ISNUMBER(MATCH($D204,CMB_G,0)),2,0)))</f>
        <v/>
      </c>
      <c r="Q204" s="84">
        <f>IF(ISNUMBER($H204),-$H204,0)</f>
        <v>0</v>
      </c>
      <c r="R204" s="84">
        <f>IF(ISNUMBER($I204),ABS($I204),0)</f>
        <v>0</v>
      </c>
      <c r="S204" s="84">
        <f>IF(ISNUMBER($M204),ABS($M204),0)</f>
        <v>0</v>
      </c>
      <c r="T204" s="85" t="n">
        <v>196</v>
      </c>
    </row>
    <row r="205"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O205" s="84" t="str">
        <f>IF($C205="","",IFERROR(MATCH($B205&amp;"|"&amp;$C205,MUROS!$AX$11:$AX$70,0),0))</f>
        <v/>
      </c>
      <c r="P205" s="84" t="str">
        <f>IF($D205="","",IF(ISNUMBER(MATCH($D205,CMB_S,0)),1,IF(ISNUMBER(MATCH($D205,CMB_G,0)),2,0)))</f>
        <v/>
      </c>
      <c r="Q205" s="84">
        <f>IF(ISNUMBER($H205),-$H205,0)</f>
        <v>0</v>
      </c>
      <c r="R205" s="84">
        <f>IF(ISNUMBER($I205),ABS($I205),0)</f>
        <v>0</v>
      </c>
      <c r="S205" s="84">
        <f>IF(ISNUMBER($M205),ABS($M205),0)</f>
        <v>0</v>
      </c>
      <c r="T205" s="85" t="n">
        <v>197</v>
      </c>
    </row>
    <row r="206"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O206" s="84" t="str">
        <f>IF($C206="","",IFERROR(MATCH($B206&amp;"|"&amp;$C206,MUROS!$AX$11:$AX$70,0),0))</f>
        <v/>
      </c>
      <c r="P206" s="84" t="str">
        <f>IF($D206="","",IF(ISNUMBER(MATCH($D206,CMB_S,0)),1,IF(ISNUMBER(MATCH($D206,CMB_G,0)),2,0)))</f>
        <v/>
      </c>
      <c r="Q206" s="84">
        <f>IF(ISNUMBER($H206),-$H206,0)</f>
        <v>0</v>
      </c>
      <c r="R206" s="84">
        <f>IF(ISNUMBER($I206),ABS($I206),0)</f>
        <v>0</v>
      </c>
      <c r="S206" s="84">
        <f>IF(ISNUMBER($M206),ABS($M206),0)</f>
        <v>0</v>
      </c>
      <c r="T206" s="85" t="n">
        <v>198</v>
      </c>
    </row>
    <row r="207"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O207" s="84" t="str">
        <f>IF($C207="","",IFERROR(MATCH($B207&amp;"|"&amp;$C207,MUROS!$AX$11:$AX$70,0),0))</f>
        <v/>
      </c>
      <c r="P207" s="84" t="str">
        <f>IF($D207="","",IF(ISNUMBER(MATCH($D207,CMB_S,0)),1,IF(ISNUMBER(MATCH($D207,CMB_G,0)),2,0)))</f>
        <v/>
      </c>
      <c r="Q207" s="84">
        <f>IF(ISNUMBER($H207),-$H207,0)</f>
        <v>0</v>
      </c>
      <c r="R207" s="84">
        <f>IF(ISNUMBER($I207),ABS($I207),0)</f>
        <v>0</v>
      </c>
      <c r="S207" s="84">
        <f>IF(ISNUMBER($M207),ABS($M207),0)</f>
        <v>0</v>
      </c>
      <c r="T207" s="85" t="n">
        <v>199</v>
      </c>
    </row>
    <row r="208"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O208" s="84" t="str">
        <f>IF($C208="","",IFERROR(MATCH($B208&amp;"|"&amp;$C208,MUROS!$AX$11:$AX$70,0),0))</f>
        <v/>
      </c>
      <c r="P208" s="84" t="str">
        <f>IF($D208="","",IF(ISNUMBER(MATCH($D208,CMB_S,0)),1,IF(ISNUMBER(MATCH($D208,CMB_G,0)),2,0)))</f>
        <v/>
      </c>
      <c r="Q208" s="84">
        <f>IF(ISNUMBER($H208),-$H208,0)</f>
        <v>0</v>
      </c>
      <c r="R208" s="84">
        <f>IF(ISNUMBER($I208),ABS($I208),0)</f>
        <v>0</v>
      </c>
      <c r="S208" s="84">
        <f>IF(ISNUMBER($M208),ABS($M208),0)</f>
        <v>0</v>
      </c>
      <c r="T208" s="85" t="n">
        <v>200</v>
      </c>
    </row>
    <row r="209"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O209" s="84" t="str">
        <f>IF($C209="","",IFERROR(MATCH($B209&amp;"|"&amp;$C209,MUROS!$AX$11:$AX$70,0),0))</f>
        <v/>
      </c>
      <c r="P209" s="84" t="str">
        <f>IF($D209="","",IF(ISNUMBER(MATCH($D209,CMB_S,0)),1,IF(ISNUMBER(MATCH($D209,CMB_G,0)),2,0)))</f>
        <v/>
      </c>
      <c r="Q209" s="84">
        <f>IF(ISNUMBER($H209),-$H209,0)</f>
        <v>0</v>
      </c>
      <c r="R209" s="84">
        <f>IF(ISNUMBER($I209),ABS($I209),0)</f>
        <v>0</v>
      </c>
      <c r="S209" s="84">
        <f>IF(ISNUMBER($M209),ABS($M209),0)</f>
        <v>0</v>
      </c>
      <c r="T209" s="85" t="n">
        <v>201</v>
      </c>
    </row>
    <row r="210"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O210" s="84" t="str">
        <f>IF($C210="","",IFERROR(MATCH($B210&amp;"|"&amp;$C210,MUROS!$AX$11:$AX$70,0),0))</f>
        <v/>
      </c>
      <c r="P210" s="84" t="str">
        <f>IF($D210="","",IF(ISNUMBER(MATCH($D210,CMB_S,0)),1,IF(ISNUMBER(MATCH($D210,CMB_G,0)),2,0)))</f>
        <v/>
      </c>
      <c r="Q210" s="84">
        <f>IF(ISNUMBER($H210),-$H210,0)</f>
        <v>0</v>
      </c>
      <c r="R210" s="84">
        <f>IF(ISNUMBER($I210),ABS($I210),0)</f>
        <v>0</v>
      </c>
      <c r="S210" s="84">
        <f>IF(ISNUMBER($M210),ABS($M210),0)</f>
        <v>0</v>
      </c>
      <c r="T210" s="85" t="n">
        <v>202</v>
      </c>
    </row>
    <row r="211"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O211" s="84" t="str">
        <f>IF($C211="","",IFERROR(MATCH($B211&amp;"|"&amp;$C211,MUROS!$AX$11:$AX$70,0),0))</f>
        <v/>
      </c>
      <c r="P211" s="84" t="str">
        <f>IF($D211="","",IF(ISNUMBER(MATCH($D211,CMB_S,0)),1,IF(ISNUMBER(MATCH($D211,CMB_G,0)),2,0)))</f>
        <v/>
      </c>
      <c r="Q211" s="84">
        <f>IF(ISNUMBER($H211),-$H211,0)</f>
        <v>0</v>
      </c>
      <c r="R211" s="84">
        <f>IF(ISNUMBER($I211),ABS($I211),0)</f>
        <v>0</v>
      </c>
      <c r="S211" s="84">
        <f>IF(ISNUMBER($M211),ABS($M211),0)</f>
        <v>0</v>
      </c>
      <c r="T211" s="85" t="n">
        <v>203</v>
      </c>
    </row>
    <row r="212"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O212" s="84" t="str">
        <f>IF($C212="","",IFERROR(MATCH($B212&amp;"|"&amp;$C212,MUROS!$AX$11:$AX$70,0),0))</f>
        <v/>
      </c>
      <c r="P212" s="84" t="str">
        <f>IF($D212="","",IF(ISNUMBER(MATCH($D212,CMB_S,0)),1,IF(ISNUMBER(MATCH($D212,CMB_G,0)),2,0)))</f>
        <v/>
      </c>
      <c r="Q212" s="84">
        <f>IF(ISNUMBER($H212),-$H212,0)</f>
        <v>0</v>
      </c>
      <c r="R212" s="84">
        <f>IF(ISNUMBER($I212),ABS($I212),0)</f>
        <v>0</v>
      </c>
      <c r="S212" s="84">
        <f>IF(ISNUMBER($M212),ABS($M212),0)</f>
        <v>0</v>
      </c>
      <c r="T212" s="85" t="n">
        <v>204</v>
      </c>
    </row>
    <row r="213"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O213" s="84" t="str">
        <f>IF($C213="","",IFERROR(MATCH($B213&amp;"|"&amp;$C213,MUROS!$AX$11:$AX$70,0),0))</f>
        <v/>
      </c>
      <c r="P213" s="84" t="str">
        <f>IF($D213="","",IF(ISNUMBER(MATCH($D213,CMB_S,0)),1,IF(ISNUMBER(MATCH($D213,CMB_G,0)),2,0)))</f>
        <v/>
      </c>
      <c r="Q213" s="84">
        <f>IF(ISNUMBER($H213),-$H213,0)</f>
        <v>0</v>
      </c>
      <c r="R213" s="84">
        <f>IF(ISNUMBER($I213),ABS($I213),0)</f>
        <v>0</v>
      </c>
      <c r="S213" s="84">
        <f>IF(ISNUMBER($M213),ABS($M213),0)</f>
        <v>0</v>
      </c>
      <c r="T213" s="85" t="n">
        <v>205</v>
      </c>
    </row>
    <row r="214"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O214" s="84" t="str">
        <f>IF($C214="","",IFERROR(MATCH($B214&amp;"|"&amp;$C214,MUROS!$AX$11:$AX$70,0),0))</f>
        <v/>
      </c>
      <c r="P214" s="84" t="str">
        <f>IF($D214="","",IF(ISNUMBER(MATCH($D214,CMB_S,0)),1,IF(ISNUMBER(MATCH($D214,CMB_G,0)),2,0)))</f>
        <v/>
      </c>
      <c r="Q214" s="84">
        <f>IF(ISNUMBER($H214),-$H214,0)</f>
        <v>0</v>
      </c>
      <c r="R214" s="84">
        <f>IF(ISNUMBER($I214),ABS($I214),0)</f>
        <v>0</v>
      </c>
      <c r="S214" s="84">
        <f>IF(ISNUMBER($M214),ABS($M214),0)</f>
        <v>0</v>
      </c>
      <c r="T214" s="85" t="n">
        <v>206</v>
      </c>
    </row>
    <row r="215"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O215" s="84" t="str">
        <f>IF($C215="","",IFERROR(MATCH($B215&amp;"|"&amp;$C215,MUROS!$AX$11:$AX$70,0),0))</f>
        <v/>
      </c>
      <c r="P215" s="84" t="str">
        <f>IF($D215="","",IF(ISNUMBER(MATCH($D215,CMB_S,0)),1,IF(ISNUMBER(MATCH($D215,CMB_G,0)),2,0)))</f>
        <v/>
      </c>
      <c r="Q215" s="84">
        <f>IF(ISNUMBER($H215),-$H215,0)</f>
        <v>0</v>
      </c>
      <c r="R215" s="84">
        <f>IF(ISNUMBER($I215),ABS($I215),0)</f>
        <v>0</v>
      </c>
      <c r="S215" s="84">
        <f>IF(ISNUMBER($M215),ABS($M215),0)</f>
        <v>0</v>
      </c>
      <c r="T215" s="85" t="n">
        <v>207</v>
      </c>
    </row>
    <row r="216"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O216" s="84" t="str">
        <f>IF($C216="","",IFERROR(MATCH($B216&amp;"|"&amp;$C216,MUROS!$AX$11:$AX$70,0),0))</f>
        <v/>
      </c>
      <c r="P216" s="84" t="str">
        <f>IF($D216="","",IF(ISNUMBER(MATCH($D216,CMB_S,0)),1,IF(ISNUMBER(MATCH($D216,CMB_G,0)),2,0)))</f>
        <v/>
      </c>
      <c r="Q216" s="84">
        <f>IF(ISNUMBER($H216),-$H216,0)</f>
        <v>0</v>
      </c>
      <c r="R216" s="84">
        <f>IF(ISNUMBER($I216),ABS($I216),0)</f>
        <v>0</v>
      </c>
      <c r="S216" s="84">
        <f>IF(ISNUMBER($M216),ABS($M216),0)</f>
        <v>0</v>
      </c>
      <c r="T216" s="85" t="n">
        <v>208</v>
      </c>
    </row>
    <row r="217"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O217" s="84" t="str">
        <f>IF($C217="","",IFERROR(MATCH($B217&amp;"|"&amp;$C217,MUROS!$AX$11:$AX$70,0),0))</f>
        <v/>
      </c>
      <c r="P217" s="84" t="str">
        <f>IF($D217="","",IF(ISNUMBER(MATCH($D217,CMB_S,0)),1,IF(ISNUMBER(MATCH($D217,CMB_G,0)),2,0)))</f>
        <v/>
      </c>
      <c r="Q217" s="84">
        <f>IF(ISNUMBER($H217),-$H217,0)</f>
        <v>0</v>
      </c>
      <c r="R217" s="84">
        <f>IF(ISNUMBER($I217),ABS($I217),0)</f>
        <v>0</v>
      </c>
      <c r="S217" s="84">
        <f>IF(ISNUMBER($M217),ABS($M217),0)</f>
        <v>0</v>
      </c>
      <c r="T217" s="85" t="n">
        <v>209</v>
      </c>
    </row>
    <row r="218"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O218" s="84" t="str">
        <f>IF($C218="","",IFERROR(MATCH($B218&amp;"|"&amp;$C218,MUROS!$AX$11:$AX$70,0),0))</f>
        <v/>
      </c>
      <c r="P218" s="84" t="str">
        <f>IF($D218="","",IF(ISNUMBER(MATCH($D218,CMB_S,0)),1,IF(ISNUMBER(MATCH($D218,CMB_G,0)),2,0)))</f>
        <v/>
      </c>
      <c r="Q218" s="84">
        <f>IF(ISNUMBER($H218),-$H218,0)</f>
        <v>0</v>
      </c>
      <c r="R218" s="84">
        <f>IF(ISNUMBER($I218),ABS($I218),0)</f>
        <v>0</v>
      </c>
      <c r="S218" s="84">
        <f>IF(ISNUMBER($M218),ABS($M218),0)</f>
        <v>0</v>
      </c>
      <c r="T218" s="85" t="n">
        <v>210</v>
      </c>
    </row>
    <row r="219"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O219" s="84" t="str">
        <f>IF($C219="","",IFERROR(MATCH($B219&amp;"|"&amp;$C219,MUROS!$AX$11:$AX$70,0),0))</f>
        <v/>
      </c>
      <c r="P219" s="84" t="str">
        <f>IF($D219="","",IF(ISNUMBER(MATCH($D219,CMB_S,0)),1,IF(ISNUMBER(MATCH($D219,CMB_G,0)),2,0)))</f>
        <v/>
      </c>
      <c r="Q219" s="84">
        <f>IF(ISNUMBER($H219),-$H219,0)</f>
        <v>0</v>
      </c>
      <c r="R219" s="84">
        <f>IF(ISNUMBER($I219),ABS($I219),0)</f>
        <v>0</v>
      </c>
      <c r="S219" s="84">
        <f>IF(ISNUMBER($M219),ABS($M219),0)</f>
        <v>0</v>
      </c>
      <c r="T219" s="85" t="n">
        <v>211</v>
      </c>
    </row>
    <row r="220"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O220" s="84" t="str">
        <f>IF($C220="","",IFERROR(MATCH($B220&amp;"|"&amp;$C220,MUROS!$AX$11:$AX$70,0),0))</f>
        <v/>
      </c>
      <c r="P220" s="84" t="str">
        <f>IF($D220="","",IF(ISNUMBER(MATCH($D220,CMB_S,0)),1,IF(ISNUMBER(MATCH($D220,CMB_G,0)),2,0)))</f>
        <v/>
      </c>
      <c r="Q220" s="84">
        <f>IF(ISNUMBER($H220),-$H220,0)</f>
        <v>0</v>
      </c>
      <c r="R220" s="84">
        <f>IF(ISNUMBER($I220),ABS($I220),0)</f>
        <v>0</v>
      </c>
      <c r="S220" s="84">
        <f>IF(ISNUMBER($M220),ABS($M220),0)</f>
        <v>0</v>
      </c>
      <c r="T220" s="85" t="n">
        <v>212</v>
      </c>
    </row>
    <row r="221"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O221" s="84" t="str">
        <f>IF($C221="","",IFERROR(MATCH($B221&amp;"|"&amp;$C221,MUROS!$AX$11:$AX$70,0),0))</f>
        <v/>
      </c>
      <c r="P221" s="84" t="str">
        <f>IF($D221="","",IF(ISNUMBER(MATCH($D221,CMB_S,0)),1,IF(ISNUMBER(MATCH($D221,CMB_G,0)),2,0)))</f>
        <v/>
      </c>
      <c r="Q221" s="84">
        <f>IF(ISNUMBER($H221),-$H221,0)</f>
        <v>0</v>
      </c>
      <c r="R221" s="84">
        <f>IF(ISNUMBER($I221),ABS($I221),0)</f>
        <v>0</v>
      </c>
      <c r="S221" s="84">
        <f>IF(ISNUMBER($M221),ABS($M221),0)</f>
        <v>0</v>
      </c>
      <c r="T221" s="85" t="n">
        <v>213</v>
      </c>
    </row>
    <row r="222"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O222" s="84" t="str">
        <f>IF($C222="","",IFERROR(MATCH($B222&amp;"|"&amp;$C222,MUROS!$AX$11:$AX$70,0),0))</f>
        <v/>
      </c>
      <c r="P222" s="84" t="str">
        <f>IF($D222="","",IF(ISNUMBER(MATCH($D222,CMB_S,0)),1,IF(ISNUMBER(MATCH($D222,CMB_G,0)),2,0)))</f>
        <v/>
      </c>
      <c r="Q222" s="84">
        <f>IF(ISNUMBER($H222),-$H222,0)</f>
        <v>0</v>
      </c>
      <c r="R222" s="84">
        <f>IF(ISNUMBER($I222),ABS($I222),0)</f>
        <v>0</v>
      </c>
      <c r="S222" s="84">
        <f>IF(ISNUMBER($M222),ABS($M222),0)</f>
        <v>0</v>
      </c>
      <c r="T222" s="85" t="n">
        <v>214</v>
      </c>
    </row>
    <row r="223"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O223" s="84" t="str">
        <f>IF($C223="","",IFERROR(MATCH($B223&amp;"|"&amp;$C223,MUROS!$AX$11:$AX$70,0),0))</f>
        <v/>
      </c>
      <c r="P223" s="84" t="str">
        <f>IF($D223="","",IF(ISNUMBER(MATCH($D223,CMB_S,0)),1,IF(ISNUMBER(MATCH($D223,CMB_G,0)),2,0)))</f>
        <v/>
      </c>
      <c r="Q223" s="84">
        <f>IF(ISNUMBER($H223),-$H223,0)</f>
        <v>0</v>
      </c>
      <c r="R223" s="84">
        <f>IF(ISNUMBER($I223),ABS($I223),0)</f>
        <v>0</v>
      </c>
      <c r="S223" s="84">
        <f>IF(ISNUMBER($M223),ABS($M223),0)</f>
        <v>0</v>
      </c>
      <c r="T223" s="85" t="n">
        <v>215</v>
      </c>
    </row>
    <row r="224"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O224" s="84" t="str">
        <f>IF($C224="","",IFERROR(MATCH($B224&amp;"|"&amp;$C224,MUROS!$AX$11:$AX$70,0),0))</f>
        <v/>
      </c>
      <c r="P224" s="84" t="str">
        <f>IF($D224="","",IF(ISNUMBER(MATCH($D224,CMB_S,0)),1,IF(ISNUMBER(MATCH($D224,CMB_G,0)),2,0)))</f>
        <v/>
      </c>
      <c r="Q224" s="84">
        <f>IF(ISNUMBER($H224),-$H224,0)</f>
        <v>0</v>
      </c>
      <c r="R224" s="84">
        <f>IF(ISNUMBER($I224),ABS($I224),0)</f>
        <v>0</v>
      </c>
      <c r="S224" s="84">
        <f>IF(ISNUMBER($M224),ABS($M224),0)</f>
        <v>0</v>
      </c>
      <c r="T224" s="85" t="n">
        <v>216</v>
      </c>
    </row>
    <row r="225"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O225" s="84" t="str">
        <f>IF($C225="","",IFERROR(MATCH($B225&amp;"|"&amp;$C225,MUROS!$AX$11:$AX$70,0),0))</f>
        <v/>
      </c>
      <c r="P225" s="84" t="str">
        <f>IF($D225="","",IF(ISNUMBER(MATCH($D225,CMB_S,0)),1,IF(ISNUMBER(MATCH($D225,CMB_G,0)),2,0)))</f>
        <v/>
      </c>
      <c r="Q225" s="84">
        <f>IF(ISNUMBER($H225),-$H225,0)</f>
        <v>0</v>
      </c>
      <c r="R225" s="84">
        <f>IF(ISNUMBER($I225),ABS($I225),0)</f>
        <v>0</v>
      </c>
      <c r="S225" s="84">
        <f>IF(ISNUMBER($M225),ABS($M225),0)</f>
        <v>0</v>
      </c>
      <c r="T225" s="85" t="n">
        <v>217</v>
      </c>
    </row>
    <row r="226"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O226" s="84" t="str">
        <f>IF($C226="","",IFERROR(MATCH($B226&amp;"|"&amp;$C226,MUROS!$AX$11:$AX$70,0),0))</f>
        <v/>
      </c>
      <c r="P226" s="84" t="str">
        <f>IF($D226="","",IF(ISNUMBER(MATCH($D226,CMB_S,0)),1,IF(ISNUMBER(MATCH($D226,CMB_G,0)),2,0)))</f>
        <v/>
      </c>
      <c r="Q226" s="84">
        <f>IF(ISNUMBER($H226),-$H226,0)</f>
        <v>0</v>
      </c>
      <c r="R226" s="84">
        <f>IF(ISNUMBER($I226),ABS($I226),0)</f>
        <v>0</v>
      </c>
      <c r="S226" s="84">
        <f>IF(ISNUMBER($M226),ABS($M226),0)</f>
        <v>0</v>
      </c>
      <c r="T226" s="85" t="n">
        <v>218</v>
      </c>
    </row>
    <row r="227"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O227" s="84" t="str">
        <f>IF($C227="","",IFERROR(MATCH($B227&amp;"|"&amp;$C227,MUROS!$AX$11:$AX$70,0),0))</f>
        <v/>
      </c>
      <c r="P227" s="84" t="str">
        <f>IF($D227="","",IF(ISNUMBER(MATCH($D227,CMB_S,0)),1,IF(ISNUMBER(MATCH($D227,CMB_G,0)),2,0)))</f>
        <v/>
      </c>
      <c r="Q227" s="84">
        <f>IF(ISNUMBER($H227),-$H227,0)</f>
        <v>0</v>
      </c>
      <c r="R227" s="84">
        <f>IF(ISNUMBER($I227),ABS($I227),0)</f>
        <v>0</v>
      </c>
      <c r="S227" s="84">
        <f>IF(ISNUMBER($M227),ABS($M227),0)</f>
        <v>0</v>
      </c>
      <c r="T227" s="85" t="n">
        <v>219</v>
      </c>
    </row>
    <row r="228"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O228" s="84" t="str">
        <f>IF($C228="","",IFERROR(MATCH($B228&amp;"|"&amp;$C228,MUROS!$AX$11:$AX$70,0),0))</f>
        <v/>
      </c>
      <c r="P228" s="84" t="str">
        <f>IF($D228="","",IF(ISNUMBER(MATCH($D228,CMB_S,0)),1,IF(ISNUMBER(MATCH($D228,CMB_G,0)),2,0)))</f>
        <v/>
      </c>
      <c r="Q228" s="84">
        <f>IF(ISNUMBER($H228),-$H228,0)</f>
        <v>0</v>
      </c>
      <c r="R228" s="84">
        <f>IF(ISNUMBER($I228),ABS($I228),0)</f>
        <v>0</v>
      </c>
      <c r="S228" s="84">
        <f>IF(ISNUMBER($M228),ABS($M228),0)</f>
        <v>0</v>
      </c>
      <c r="T228" s="85" t="n">
        <v>220</v>
      </c>
    </row>
    <row r="229"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O229" s="84" t="str">
        <f>IF($C229="","",IFERROR(MATCH($B229&amp;"|"&amp;$C229,MUROS!$AX$11:$AX$70,0),0))</f>
        <v/>
      </c>
      <c r="P229" s="84" t="str">
        <f>IF($D229="","",IF(ISNUMBER(MATCH($D229,CMB_S,0)),1,IF(ISNUMBER(MATCH($D229,CMB_G,0)),2,0)))</f>
        <v/>
      </c>
      <c r="Q229" s="84">
        <f>IF(ISNUMBER($H229),-$H229,0)</f>
        <v>0</v>
      </c>
      <c r="R229" s="84">
        <f>IF(ISNUMBER($I229),ABS($I229),0)</f>
        <v>0</v>
      </c>
      <c r="S229" s="84">
        <f>IF(ISNUMBER($M229),ABS($M229),0)</f>
        <v>0</v>
      </c>
      <c r="T229" s="85" t="n">
        <v>221</v>
      </c>
    </row>
    <row r="230"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O230" s="84" t="str">
        <f>IF($C230="","",IFERROR(MATCH($B230&amp;"|"&amp;$C230,MUROS!$AX$11:$AX$70,0),0))</f>
        <v/>
      </c>
      <c r="P230" s="84" t="str">
        <f>IF($D230="","",IF(ISNUMBER(MATCH($D230,CMB_S,0)),1,IF(ISNUMBER(MATCH($D230,CMB_G,0)),2,0)))</f>
        <v/>
      </c>
      <c r="Q230" s="84">
        <f>IF(ISNUMBER($H230),-$H230,0)</f>
        <v>0</v>
      </c>
      <c r="R230" s="84">
        <f>IF(ISNUMBER($I230),ABS($I230),0)</f>
        <v>0</v>
      </c>
      <c r="S230" s="84">
        <f>IF(ISNUMBER($M230),ABS($M230),0)</f>
        <v>0</v>
      </c>
      <c r="T230" s="85" t="n">
        <v>222</v>
      </c>
    </row>
    <row r="231"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O231" s="84" t="str">
        <f>IF($C231="","",IFERROR(MATCH($B231&amp;"|"&amp;$C231,MUROS!$AX$11:$AX$70,0),0))</f>
        <v/>
      </c>
      <c r="P231" s="84" t="str">
        <f>IF($D231="","",IF(ISNUMBER(MATCH($D231,CMB_S,0)),1,IF(ISNUMBER(MATCH($D231,CMB_G,0)),2,0)))</f>
        <v/>
      </c>
      <c r="Q231" s="84">
        <f>IF(ISNUMBER($H231),-$H231,0)</f>
        <v>0</v>
      </c>
      <c r="R231" s="84">
        <f>IF(ISNUMBER($I231),ABS($I231),0)</f>
        <v>0</v>
      </c>
      <c r="S231" s="84">
        <f>IF(ISNUMBER($M231),ABS($M231),0)</f>
        <v>0</v>
      </c>
      <c r="T231" s="85" t="n">
        <v>223</v>
      </c>
    </row>
    <row r="232"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O232" s="84" t="str">
        <f>IF($C232="","",IFERROR(MATCH($B232&amp;"|"&amp;$C232,MUROS!$AX$11:$AX$70,0),0))</f>
        <v/>
      </c>
      <c r="P232" s="84" t="str">
        <f>IF($D232="","",IF(ISNUMBER(MATCH($D232,CMB_S,0)),1,IF(ISNUMBER(MATCH($D232,CMB_G,0)),2,0)))</f>
        <v/>
      </c>
      <c r="Q232" s="84">
        <f>IF(ISNUMBER($H232),-$H232,0)</f>
        <v>0</v>
      </c>
      <c r="R232" s="84">
        <f>IF(ISNUMBER($I232),ABS($I232),0)</f>
        <v>0</v>
      </c>
      <c r="S232" s="84">
        <f>IF(ISNUMBER($M232),ABS($M232),0)</f>
        <v>0</v>
      </c>
      <c r="T232" s="85" t="n">
        <v>224</v>
      </c>
    </row>
    <row r="233"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O233" s="84" t="str">
        <f>IF($C233="","",IFERROR(MATCH($B233&amp;"|"&amp;$C233,MUROS!$AX$11:$AX$70,0),0))</f>
        <v/>
      </c>
      <c r="P233" s="84" t="str">
        <f>IF($D233="","",IF(ISNUMBER(MATCH($D233,CMB_S,0)),1,IF(ISNUMBER(MATCH($D233,CMB_G,0)),2,0)))</f>
        <v/>
      </c>
      <c r="Q233" s="84">
        <f>IF(ISNUMBER($H233),-$H233,0)</f>
        <v>0</v>
      </c>
      <c r="R233" s="84">
        <f>IF(ISNUMBER($I233),ABS($I233),0)</f>
        <v>0</v>
      </c>
      <c r="S233" s="84">
        <f>IF(ISNUMBER($M233),ABS($M233),0)</f>
        <v>0</v>
      </c>
      <c r="T233" s="85" t="n">
        <v>225</v>
      </c>
    </row>
    <row r="234"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O234" s="84" t="str">
        <f>IF($C234="","",IFERROR(MATCH($B234&amp;"|"&amp;$C234,MUROS!$AX$11:$AX$70,0),0))</f>
        <v/>
      </c>
      <c r="P234" s="84" t="str">
        <f>IF($D234="","",IF(ISNUMBER(MATCH($D234,CMB_S,0)),1,IF(ISNUMBER(MATCH($D234,CMB_G,0)),2,0)))</f>
        <v/>
      </c>
      <c r="Q234" s="84">
        <f>IF(ISNUMBER($H234),-$H234,0)</f>
        <v>0</v>
      </c>
      <c r="R234" s="84">
        <f>IF(ISNUMBER($I234),ABS($I234),0)</f>
        <v>0</v>
      </c>
      <c r="S234" s="84">
        <f>IF(ISNUMBER($M234),ABS($M234),0)</f>
        <v>0</v>
      </c>
      <c r="T234" s="85" t="n">
        <v>226</v>
      </c>
    </row>
    <row r="235"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O235" s="84" t="str">
        <f>IF($C235="","",IFERROR(MATCH($B235&amp;"|"&amp;$C235,MUROS!$AX$11:$AX$70,0),0))</f>
        <v/>
      </c>
      <c r="P235" s="84" t="str">
        <f>IF($D235="","",IF(ISNUMBER(MATCH($D235,CMB_S,0)),1,IF(ISNUMBER(MATCH($D235,CMB_G,0)),2,0)))</f>
        <v/>
      </c>
      <c r="Q235" s="84">
        <f>IF(ISNUMBER($H235),-$H235,0)</f>
        <v>0</v>
      </c>
      <c r="R235" s="84">
        <f>IF(ISNUMBER($I235),ABS($I235),0)</f>
        <v>0</v>
      </c>
      <c r="S235" s="84">
        <f>IF(ISNUMBER($M235),ABS($M235),0)</f>
        <v>0</v>
      </c>
      <c r="T235" s="85" t="n">
        <v>227</v>
      </c>
    </row>
    <row r="236"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O236" s="84" t="str">
        <f>IF($C236="","",IFERROR(MATCH($B236&amp;"|"&amp;$C236,MUROS!$AX$11:$AX$70,0),0))</f>
        <v/>
      </c>
      <c r="P236" s="84" t="str">
        <f>IF($D236="","",IF(ISNUMBER(MATCH($D236,CMB_S,0)),1,IF(ISNUMBER(MATCH($D236,CMB_G,0)),2,0)))</f>
        <v/>
      </c>
      <c r="Q236" s="84">
        <f>IF(ISNUMBER($H236),-$H236,0)</f>
        <v>0</v>
      </c>
      <c r="R236" s="84">
        <f>IF(ISNUMBER($I236),ABS($I236),0)</f>
        <v>0</v>
      </c>
      <c r="S236" s="84">
        <f>IF(ISNUMBER($M236),ABS($M236),0)</f>
        <v>0</v>
      </c>
      <c r="T236" s="85" t="n">
        <v>228</v>
      </c>
    </row>
    <row r="237"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O237" s="84" t="str">
        <f>IF($C237="","",IFERROR(MATCH($B237&amp;"|"&amp;$C237,MUROS!$AX$11:$AX$70,0),0))</f>
        <v/>
      </c>
      <c r="P237" s="84" t="str">
        <f>IF($D237="","",IF(ISNUMBER(MATCH($D237,CMB_S,0)),1,IF(ISNUMBER(MATCH($D237,CMB_G,0)),2,0)))</f>
        <v/>
      </c>
      <c r="Q237" s="84">
        <f>IF(ISNUMBER($H237),-$H237,0)</f>
        <v>0</v>
      </c>
      <c r="R237" s="84">
        <f>IF(ISNUMBER($I237),ABS($I237),0)</f>
        <v>0</v>
      </c>
      <c r="S237" s="84">
        <f>IF(ISNUMBER($M237),ABS($M237),0)</f>
        <v>0</v>
      </c>
      <c r="T237" s="85" t="n">
        <v>229</v>
      </c>
    </row>
    <row r="238"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O238" s="84" t="str">
        <f>IF($C238="","",IFERROR(MATCH($B238&amp;"|"&amp;$C238,MUROS!$AX$11:$AX$70,0),0))</f>
        <v/>
      </c>
      <c r="P238" s="84" t="str">
        <f>IF($D238="","",IF(ISNUMBER(MATCH($D238,CMB_S,0)),1,IF(ISNUMBER(MATCH($D238,CMB_G,0)),2,0)))</f>
        <v/>
      </c>
      <c r="Q238" s="84">
        <f>IF(ISNUMBER($H238),-$H238,0)</f>
        <v>0</v>
      </c>
      <c r="R238" s="84">
        <f>IF(ISNUMBER($I238),ABS($I238),0)</f>
        <v>0</v>
      </c>
      <c r="S238" s="84">
        <f>IF(ISNUMBER($M238),ABS($M238),0)</f>
        <v>0</v>
      </c>
      <c r="T238" s="85" t="n">
        <v>230</v>
      </c>
    </row>
    <row r="239"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O239" s="84" t="str">
        <f>IF($C239="","",IFERROR(MATCH($B239&amp;"|"&amp;$C239,MUROS!$AX$11:$AX$70,0),0))</f>
        <v/>
      </c>
      <c r="P239" s="84" t="str">
        <f>IF($D239="","",IF(ISNUMBER(MATCH($D239,CMB_S,0)),1,IF(ISNUMBER(MATCH($D239,CMB_G,0)),2,0)))</f>
        <v/>
      </c>
      <c r="Q239" s="84">
        <f>IF(ISNUMBER($H239),-$H239,0)</f>
        <v>0</v>
      </c>
      <c r="R239" s="84">
        <f>IF(ISNUMBER($I239),ABS($I239),0)</f>
        <v>0</v>
      </c>
      <c r="S239" s="84">
        <f>IF(ISNUMBER($M239),ABS($M239),0)</f>
        <v>0</v>
      </c>
      <c r="T239" s="85" t="n">
        <v>231</v>
      </c>
    </row>
    <row r="240"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O240" s="84" t="str">
        <f>IF($C240="","",IFERROR(MATCH($B240&amp;"|"&amp;$C240,MUROS!$AX$11:$AX$70,0),0))</f>
        <v/>
      </c>
      <c r="P240" s="84" t="str">
        <f>IF($D240="","",IF(ISNUMBER(MATCH($D240,CMB_S,0)),1,IF(ISNUMBER(MATCH($D240,CMB_G,0)),2,0)))</f>
        <v/>
      </c>
      <c r="Q240" s="84">
        <f>IF(ISNUMBER($H240),-$H240,0)</f>
        <v>0</v>
      </c>
      <c r="R240" s="84">
        <f>IF(ISNUMBER($I240),ABS($I240),0)</f>
        <v>0</v>
      </c>
      <c r="S240" s="84">
        <f>IF(ISNUMBER($M240),ABS($M240),0)</f>
        <v>0</v>
      </c>
      <c r="T240" s="85" t="n">
        <v>232</v>
      </c>
    </row>
    <row r="241"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O241" s="84" t="str">
        <f>IF($C241="","",IFERROR(MATCH($B241&amp;"|"&amp;$C241,MUROS!$AX$11:$AX$70,0),0))</f>
        <v/>
      </c>
      <c r="P241" s="84" t="str">
        <f>IF($D241="","",IF(ISNUMBER(MATCH($D241,CMB_S,0)),1,IF(ISNUMBER(MATCH($D241,CMB_G,0)),2,0)))</f>
        <v/>
      </c>
      <c r="Q241" s="84">
        <f>IF(ISNUMBER($H241),-$H241,0)</f>
        <v>0</v>
      </c>
      <c r="R241" s="84">
        <f>IF(ISNUMBER($I241),ABS($I241),0)</f>
        <v>0</v>
      </c>
      <c r="S241" s="84">
        <f>IF(ISNUMBER($M241),ABS($M241),0)</f>
        <v>0</v>
      </c>
      <c r="T241" s="85" t="n">
        <v>233</v>
      </c>
    </row>
    <row r="242"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O242" s="84" t="str">
        <f>IF($C242="","",IFERROR(MATCH($B242&amp;"|"&amp;$C242,MUROS!$AX$11:$AX$70,0),0))</f>
        <v/>
      </c>
      <c r="P242" s="84" t="str">
        <f>IF($D242="","",IF(ISNUMBER(MATCH($D242,CMB_S,0)),1,IF(ISNUMBER(MATCH($D242,CMB_G,0)),2,0)))</f>
        <v/>
      </c>
      <c r="Q242" s="84">
        <f>IF(ISNUMBER($H242),-$H242,0)</f>
        <v>0</v>
      </c>
      <c r="R242" s="84">
        <f>IF(ISNUMBER($I242),ABS($I242),0)</f>
        <v>0</v>
      </c>
      <c r="S242" s="84">
        <f>IF(ISNUMBER($M242),ABS($M242),0)</f>
        <v>0</v>
      </c>
      <c r="T242" s="85" t="n">
        <v>234</v>
      </c>
    </row>
    <row r="243"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O243" s="84" t="str">
        <f>IF($C243="","",IFERROR(MATCH($B243&amp;"|"&amp;$C243,MUROS!$AX$11:$AX$70,0),0))</f>
        <v/>
      </c>
      <c r="P243" s="84" t="str">
        <f>IF($D243="","",IF(ISNUMBER(MATCH($D243,CMB_S,0)),1,IF(ISNUMBER(MATCH($D243,CMB_G,0)),2,0)))</f>
        <v/>
      </c>
      <c r="Q243" s="84">
        <f>IF(ISNUMBER($H243),-$H243,0)</f>
        <v>0</v>
      </c>
      <c r="R243" s="84">
        <f>IF(ISNUMBER($I243),ABS($I243),0)</f>
        <v>0</v>
      </c>
      <c r="S243" s="84">
        <f>IF(ISNUMBER($M243),ABS($M243),0)</f>
        <v>0</v>
      </c>
      <c r="T243" s="85" t="n">
        <v>235</v>
      </c>
    </row>
    <row r="244"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O244" s="84" t="str">
        <f>IF($C244="","",IFERROR(MATCH($B244&amp;"|"&amp;$C244,MUROS!$AX$11:$AX$70,0),0))</f>
        <v/>
      </c>
      <c r="P244" s="84" t="str">
        <f>IF($D244="","",IF(ISNUMBER(MATCH($D244,CMB_S,0)),1,IF(ISNUMBER(MATCH($D244,CMB_G,0)),2,0)))</f>
        <v/>
      </c>
      <c r="Q244" s="84">
        <f>IF(ISNUMBER($H244),-$H244,0)</f>
        <v>0</v>
      </c>
      <c r="R244" s="84">
        <f>IF(ISNUMBER($I244),ABS($I244),0)</f>
        <v>0</v>
      </c>
      <c r="S244" s="84">
        <f>IF(ISNUMBER($M244),ABS($M244),0)</f>
        <v>0</v>
      </c>
      <c r="T244" s="85" t="n">
        <v>236</v>
      </c>
    </row>
    <row r="245"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O245" s="84" t="str">
        <f>IF($C245="","",IFERROR(MATCH($B245&amp;"|"&amp;$C245,MUROS!$AX$11:$AX$70,0),0))</f>
        <v/>
      </c>
      <c r="P245" s="84" t="str">
        <f>IF($D245="","",IF(ISNUMBER(MATCH($D245,CMB_S,0)),1,IF(ISNUMBER(MATCH($D245,CMB_G,0)),2,0)))</f>
        <v/>
      </c>
      <c r="Q245" s="84">
        <f>IF(ISNUMBER($H245),-$H245,0)</f>
        <v>0</v>
      </c>
      <c r="R245" s="84">
        <f>IF(ISNUMBER($I245),ABS($I245),0)</f>
        <v>0</v>
      </c>
      <c r="S245" s="84">
        <f>IF(ISNUMBER($M245),ABS($M245),0)</f>
        <v>0</v>
      </c>
      <c r="T245" s="85" t="n">
        <v>237</v>
      </c>
    </row>
    <row r="246"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O246" s="84" t="str">
        <f>IF($C246="","",IFERROR(MATCH($B246&amp;"|"&amp;$C246,MUROS!$AX$11:$AX$70,0),0))</f>
        <v/>
      </c>
      <c r="P246" s="84" t="str">
        <f>IF($D246="","",IF(ISNUMBER(MATCH($D246,CMB_S,0)),1,IF(ISNUMBER(MATCH($D246,CMB_G,0)),2,0)))</f>
        <v/>
      </c>
      <c r="Q246" s="84">
        <f>IF(ISNUMBER($H246),-$H246,0)</f>
        <v>0</v>
      </c>
      <c r="R246" s="84">
        <f>IF(ISNUMBER($I246),ABS($I246),0)</f>
        <v>0</v>
      </c>
      <c r="S246" s="84">
        <f>IF(ISNUMBER($M246),ABS($M246),0)</f>
        <v>0</v>
      </c>
      <c r="T246" s="85" t="n">
        <v>238</v>
      </c>
    </row>
    <row r="247">
      <c r="B247" s="83" t="n"/>
      <c r="C247" s="83" t="n"/>
      <c r="D247" s="83" t="n"/>
      <c r="E247" s="83" t="n"/>
      <c r="F247" s="83" t="n"/>
      <c r="G247" s="83" t="n"/>
      <c r="H247" s="83" t="n"/>
      <c r="I247" s="83" t="n"/>
      <c r="J247" s="83" t="n"/>
      <c r="K247" s="83" t="n"/>
      <c r="L247" s="83" t="n"/>
      <c r="M247" s="83" t="n"/>
      <c r="O247" s="84" t="str">
        <f>IF($C247="","",IFERROR(MATCH($B247&amp;"|"&amp;$C247,MUROS!$AX$11:$AX$70,0),0))</f>
        <v/>
      </c>
      <c r="P247" s="84" t="str">
        <f>IF($D247="","",IF(ISNUMBER(MATCH($D247,CMB_S,0)),1,IF(ISNUMBER(MATCH($D247,CMB_G,0)),2,0)))</f>
        <v/>
      </c>
      <c r="Q247" s="84">
        <f>IF(ISNUMBER($H247),-$H247,0)</f>
        <v>0</v>
      </c>
      <c r="R247" s="84">
        <f>IF(ISNUMBER($I247),ABS($I247),0)</f>
        <v>0</v>
      </c>
      <c r="S247" s="84">
        <f>IF(ISNUMBER($M247),ABS($M247),0)</f>
        <v>0</v>
      </c>
      <c r="T247" s="85" t="n">
        <v>239</v>
      </c>
    </row>
    <row r="248">
      <c r="B248" s="83" t="n"/>
      <c r="C248" s="83" t="n"/>
      <c r="D248" s="83" t="n"/>
      <c r="E248" s="83" t="n"/>
      <c r="F248" s="83" t="n"/>
      <c r="G248" s="83" t="n"/>
      <c r="H248" s="83" t="n"/>
      <c r="I248" s="83" t="n"/>
      <c r="J248" s="83" t="n"/>
      <c r="K248" s="83" t="n"/>
      <c r="L248" s="83" t="n"/>
      <c r="M248" s="83" t="n"/>
      <c r="O248" s="84" t="str">
        <f>IF($C248="","",IFERROR(MATCH($B248&amp;"|"&amp;$C248,MUROS!$AX$11:$AX$70,0),0))</f>
        <v/>
      </c>
      <c r="P248" s="84" t="str">
        <f>IF($D248="","",IF(ISNUMBER(MATCH($D248,CMB_S,0)),1,IF(ISNUMBER(MATCH($D248,CMB_G,0)),2,0)))</f>
        <v/>
      </c>
      <c r="Q248" s="84">
        <f>IF(ISNUMBER($H248),-$H248,0)</f>
        <v>0</v>
      </c>
      <c r="R248" s="84">
        <f>IF(ISNUMBER($I248),ABS($I248),0)</f>
        <v>0</v>
      </c>
      <c r="S248" s="84">
        <f>IF(ISNUMBER($M248),ABS($M248),0)</f>
        <v>0</v>
      </c>
      <c r="T248" s="85" t="n">
        <v>240</v>
      </c>
    </row>
    <row r="249">
      <c r="B249" s="83" t="n"/>
      <c r="C249" s="83" t="n"/>
      <c r="D249" s="83" t="n"/>
      <c r="E249" s="83" t="n"/>
      <c r="F249" s="83" t="n"/>
      <c r="G249" s="83" t="n"/>
      <c r="H249" s="83" t="n"/>
      <c r="I249" s="83" t="n"/>
      <c r="J249" s="83" t="n"/>
      <c r="K249" s="83" t="n"/>
      <c r="L249" s="83" t="n"/>
      <c r="M249" s="83" t="n"/>
      <c r="O249" s="84" t="str">
        <f>IF($C249="","",IFERROR(MATCH($B249&amp;"|"&amp;$C249,MUROS!$AX$11:$AX$70,0),0))</f>
        <v/>
      </c>
      <c r="P249" s="84" t="str">
        <f>IF($D249="","",IF(ISNUMBER(MATCH($D249,CMB_S,0)),1,IF(ISNUMBER(MATCH($D249,CMB_G,0)),2,0)))</f>
        <v/>
      </c>
      <c r="Q249" s="84">
        <f>IF(ISNUMBER($H249),-$H249,0)</f>
        <v>0</v>
      </c>
      <c r="R249" s="84">
        <f>IF(ISNUMBER($I249),ABS($I249),0)</f>
        <v>0</v>
      </c>
      <c r="S249" s="84">
        <f>IF(ISNUMBER($M249),ABS($M249),0)</f>
        <v>0</v>
      </c>
      <c r="T249" s="85" t="n">
        <v>241</v>
      </c>
    </row>
    <row r="250">
      <c r="B250" s="83" t="n"/>
      <c r="C250" s="83" t="n"/>
      <c r="D250" s="83" t="n"/>
      <c r="E250" s="83" t="n"/>
      <c r="F250" s="83" t="n"/>
      <c r="G250" s="83" t="n"/>
      <c r="H250" s="83" t="n"/>
      <c r="I250" s="83" t="n"/>
      <c r="J250" s="83" t="n"/>
      <c r="K250" s="83" t="n"/>
      <c r="L250" s="83" t="n"/>
      <c r="M250" s="83" t="n"/>
      <c r="O250" s="84" t="str">
        <f>IF($C250="","",IFERROR(MATCH($B250&amp;"|"&amp;$C250,MUROS!$AX$11:$AX$70,0),0))</f>
        <v/>
      </c>
      <c r="P250" s="84" t="str">
        <f>IF($D250="","",IF(ISNUMBER(MATCH($D250,CMB_S,0)),1,IF(ISNUMBER(MATCH($D250,CMB_G,0)),2,0)))</f>
        <v/>
      </c>
      <c r="Q250" s="84">
        <f>IF(ISNUMBER($H250),-$H250,0)</f>
        <v>0</v>
      </c>
      <c r="R250" s="84">
        <f>IF(ISNUMBER($I250),ABS($I250),0)</f>
        <v>0</v>
      </c>
      <c r="S250" s="84">
        <f>IF(ISNUMBER($M250),ABS($M250),0)</f>
        <v>0</v>
      </c>
      <c r="T250" s="85" t="n">
        <v>242</v>
      </c>
    </row>
    <row r="251">
      <c r="B251" s="83" t="n"/>
      <c r="C251" s="83" t="n"/>
      <c r="D251" s="83" t="n"/>
      <c r="E251" s="83" t="n"/>
      <c r="F251" s="83" t="n"/>
      <c r="G251" s="83" t="n"/>
      <c r="H251" s="83" t="n"/>
      <c r="I251" s="83" t="n"/>
      <c r="J251" s="83" t="n"/>
      <c r="K251" s="83" t="n"/>
      <c r="L251" s="83" t="n"/>
      <c r="M251" s="83" t="n"/>
      <c r="O251" s="84" t="str">
        <f>IF($C251="","",IFERROR(MATCH($B251&amp;"|"&amp;$C251,MUROS!$AX$11:$AX$70,0),0))</f>
        <v/>
      </c>
      <c r="P251" s="84" t="str">
        <f>IF($D251="","",IF(ISNUMBER(MATCH($D251,CMB_S,0)),1,IF(ISNUMBER(MATCH($D251,CMB_G,0)),2,0)))</f>
        <v/>
      </c>
      <c r="Q251" s="84">
        <f>IF(ISNUMBER($H251),-$H251,0)</f>
        <v>0</v>
      </c>
      <c r="R251" s="84">
        <f>IF(ISNUMBER($I251),ABS($I251),0)</f>
        <v>0</v>
      </c>
      <c r="S251" s="84">
        <f>IF(ISNUMBER($M251),ABS($M251),0)</f>
        <v>0</v>
      </c>
      <c r="T251" s="85" t="n">
        <v>243</v>
      </c>
    </row>
    <row r="252">
      <c r="B252" s="83" t="n"/>
      <c r="C252" s="83" t="n"/>
      <c r="D252" s="83" t="n"/>
      <c r="E252" s="83" t="n"/>
      <c r="F252" s="83" t="n"/>
      <c r="G252" s="83" t="n"/>
      <c r="H252" s="83" t="n"/>
      <c r="I252" s="83" t="n"/>
      <c r="J252" s="83" t="n"/>
      <c r="K252" s="83" t="n"/>
      <c r="L252" s="83" t="n"/>
      <c r="M252" s="83" t="n"/>
      <c r="O252" s="84" t="str">
        <f>IF($C252="","",IFERROR(MATCH($B252&amp;"|"&amp;$C252,MUROS!$AX$11:$AX$70,0),0))</f>
        <v/>
      </c>
      <c r="P252" s="84" t="str">
        <f>IF($D252="","",IF(ISNUMBER(MATCH($D252,CMB_S,0)),1,IF(ISNUMBER(MATCH($D252,CMB_G,0)),2,0)))</f>
        <v/>
      </c>
      <c r="Q252" s="84">
        <f>IF(ISNUMBER($H252),-$H252,0)</f>
        <v>0</v>
      </c>
      <c r="R252" s="84">
        <f>IF(ISNUMBER($I252),ABS($I252),0)</f>
        <v>0</v>
      </c>
      <c r="S252" s="84">
        <f>IF(ISNUMBER($M252),ABS($M252),0)</f>
        <v>0</v>
      </c>
      <c r="T252" s="85" t="n">
        <v>244</v>
      </c>
    </row>
    <row r="253">
      <c r="B253" s="83" t="n"/>
      <c r="C253" s="83" t="n"/>
      <c r="D253" s="83" t="n"/>
      <c r="E253" s="83" t="n"/>
      <c r="F253" s="83" t="n"/>
      <c r="G253" s="83" t="n"/>
      <c r="H253" s="83" t="n"/>
      <c r="I253" s="83" t="n"/>
      <c r="J253" s="83" t="n"/>
      <c r="K253" s="83" t="n"/>
      <c r="L253" s="83" t="n"/>
      <c r="M253" s="83" t="n"/>
      <c r="O253" s="84" t="str">
        <f>IF($C253="","",IFERROR(MATCH($B253&amp;"|"&amp;$C253,MUROS!$AX$11:$AX$70,0),0))</f>
        <v/>
      </c>
      <c r="P253" s="84" t="str">
        <f>IF($D253="","",IF(ISNUMBER(MATCH($D253,CMB_S,0)),1,IF(ISNUMBER(MATCH($D253,CMB_G,0)),2,0)))</f>
        <v/>
      </c>
      <c r="Q253" s="84">
        <f>IF(ISNUMBER($H253),-$H253,0)</f>
        <v>0</v>
      </c>
      <c r="R253" s="84">
        <f>IF(ISNUMBER($I253),ABS($I253),0)</f>
        <v>0</v>
      </c>
      <c r="S253" s="84">
        <f>IF(ISNUMBER($M253),ABS($M253),0)</f>
        <v>0</v>
      </c>
      <c r="T253" s="85" t="n">
        <v>245</v>
      </c>
    </row>
    <row r="254"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83" t="n"/>
      <c r="K254" s="83" t="n"/>
      <c r="L254" s="83" t="n"/>
      <c r="M254" s="83" t="n"/>
      <c r="O254" s="84" t="str">
        <f>IF($C254="","",IFERROR(MATCH($B254&amp;"|"&amp;$C254,MUROS!$AX$11:$AX$70,0),0))</f>
        <v/>
      </c>
      <c r="P254" s="84" t="str">
        <f>IF($D254="","",IF(ISNUMBER(MATCH($D254,CMB_S,0)),1,IF(ISNUMBER(MATCH($D254,CMB_G,0)),2,0)))</f>
        <v/>
      </c>
      <c r="Q254" s="84">
        <f>IF(ISNUMBER($H254),-$H254,0)</f>
        <v>0</v>
      </c>
      <c r="R254" s="84">
        <f>IF(ISNUMBER($I254),ABS($I254),0)</f>
        <v>0</v>
      </c>
      <c r="S254" s="84">
        <f>IF(ISNUMBER($M254),ABS($M254),0)</f>
        <v>0</v>
      </c>
      <c r="T254" s="85" t="n">
        <v>246</v>
      </c>
    </row>
    <row r="255">
      <c r="B255" s="83" t="n"/>
      <c r="C255" s="83" t="n"/>
      <c r="D255" s="83" t="n"/>
      <c r="E255" s="83" t="n"/>
      <c r="F255" s="83" t="n"/>
      <c r="G255" s="83" t="n"/>
      <c r="H255" s="83" t="n"/>
      <c r="I255" s="83" t="n"/>
      <c r="J255" s="83" t="n"/>
      <c r="K255" s="83" t="n"/>
      <c r="L255" s="83" t="n"/>
      <c r="M255" s="83" t="n"/>
      <c r="O255" s="84" t="str">
        <f>IF($C255="","",IFERROR(MATCH($B255&amp;"|"&amp;$C255,MUROS!$AX$11:$AX$70,0),0))</f>
        <v/>
      </c>
      <c r="P255" s="84" t="str">
        <f>IF($D255="","",IF(ISNUMBER(MATCH($D255,CMB_S,0)),1,IF(ISNUMBER(MATCH($D255,CMB_G,0)),2,0)))</f>
        <v/>
      </c>
      <c r="Q255" s="84">
        <f>IF(ISNUMBER($H255),-$H255,0)</f>
        <v>0</v>
      </c>
      <c r="R255" s="84">
        <f>IF(ISNUMBER($I255),ABS($I255),0)</f>
        <v>0</v>
      </c>
      <c r="S255" s="84">
        <f>IF(ISNUMBER($M255),ABS($M255),0)</f>
        <v>0</v>
      </c>
      <c r="T255" s="85" t="n">
        <v>247</v>
      </c>
    </row>
    <row r="256">
      <c r="B256" s="83" t="n"/>
      <c r="C256" s="83" t="n"/>
      <c r="D256" s="83" t="n"/>
      <c r="E256" s="83" t="n"/>
      <c r="F256" s="83" t="n"/>
      <c r="G256" s="83" t="n"/>
      <c r="H256" s="83" t="n"/>
      <c r="I256" s="83" t="n"/>
      <c r="J256" s="83" t="n"/>
      <c r="K256" s="83" t="n"/>
      <c r="L256" s="83" t="n"/>
      <c r="M256" s="83" t="n"/>
      <c r="O256" s="84" t="str">
        <f>IF($C256="","",IFERROR(MATCH($B256&amp;"|"&amp;$C256,MUROS!$AX$11:$AX$70,0),0))</f>
        <v/>
      </c>
      <c r="P256" s="84" t="str">
        <f>IF($D256="","",IF(ISNUMBER(MATCH($D256,CMB_S,0)),1,IF(ISNUMBER(MATCH($D256,CMB_G,0)),2,0)))</f>
        <v/>
      </c>
      <c r="Q256" s="84">
        <f>IF(ISNUMBER($H256),-$H256,0)</f>
        <v>0</v>
      </c>
      <c r="R256" s="84">
        <f>IF(ISNUMBER($I256),ABS($I256),0)</f>
        <v>0</v>
      </c>
      <c r="S256" s="84">
        <f>IF(ISNUMBER($M256),ABS($M256),0)</f>
        <v>0</v>
      </c>
      <c r="T256" s="85" t="n">
        <v>248</v>
      </c>
    </row>
    <row r="257">
      <c r="B257" s="83" t="n"/>
      <c r="C257" s="83" t="n"/>
      <c r="D257" s="83" t="n"/>
      <c r="E257" s="83" t="n"/>
      <c r="F257" s="83" t="n"/>
      <c r="G257" s="83" t="n"/>
      <c r="H257" s="83" t="n"/>
      <c r="I257" s="83" t="n"/>
      <c r="J257" s="83" t="n"/>
      <c r="K257" s="83" t="n"/>
      <c r="L257" s="83" t="n"/>
      <c r="M257" s="83" t="n"/>
      <c r="O257" s="84" t="str">
        <f>IF($C257="","",IFERROR(MATCH($B257&amp;"|"&amp;$C257,MUROS!$AX$11:$AX$70,0),0))</f>
        <v/>
      </c>
      <c r="P257" s="84" t="str">
        <f>IF($D257="","",IF(ISNUMBER(MATCH($D257,CMB_S,0)),1,IF(ISNUMBER(MATCH($D257,CMB_G,0)),2,0)))</f>
        <v/>
      </c>
      <c r="Q257" s="84">
        <f>IF(ISNUMBER($H257),-$H257,0)</f>
        <v>0</v>
      </c>
      <c r="R257" s="84">
        <f>IF(ISNUMBER($I257),ABS($I257),0)</f>
        <v>0</v>
      </c>
      <c r="S257" s="84">
        <f>IF(ISNUMBER($M257),ABS($M257),0)</f>
        <v>0</v>
      </c>
      <c r="T257" s="85" t="n">
        <v>249</v>
      </c>
    </row>
    <row r="258">
      <c r="B258" s="83" t="n"/>
      <c r="C258" s="83" t="n"/>
      <c r="D258" s="83" t="n"/>
      <c r="E258" s="83" t="n"/>
      <c r="F258" s="83" t="n"/>
      <c r="G258" s="83" t="n"/>
      <c r="H258" s="83" t="n"/>
      <c r="I258" s="83" t="n"/>
      <c r="J258" s="83" t="n"/>
      <c r="K258" s="83" t="n"/>
      <c r="L258" s="83" t="n"/>
      <c r="M258" s="83" t="n"/>
      <c r="O258" s="84" t="str">
        <f>IF($C258="","",IFERROR(MATCH($B258&amp;"|"&amp;$C258,MUROS!$AX$11:$AX$70,0),0))</f>
        <v/>
      </c>
      <c r="P258" s="84" t="str">
        <f>IF($D258="","",IF(ISNUMBER(MATCH($D258,CMB_S,0)),1,IF(ISNUMBER(MATCH($D258,CMB_G,0)),2,0)))</f>
        <v/>
      </c>
      <c r="Q258" s="84">
        <f>IF(ISNUMBER($H258),-$H258,0)</f>
        <v>0</v>
      </c>
      <c r="R258" s="84">
        <f>IF(ISNUMBER($I258),ABS($I258),0)</f>
        <v>0</v>
      </c>
      <c r="S258" s="84">
        <f>IF(ISNUMBER($M258),ABS($M258),0)</f>
        <v>0</v>
      </c>
      <c r="T258" s="85" t="n">
        <v>250</v>
      </c>
    </row>
    <row r="259">
      <c r="B259" s="83" t="n"/>
      <c r="C259" s="83" t="n"/>
      <c r="D259" s="83" t="n"/>
      <c r="E259" s="83" t="n"/>
      <c r="F259" s="83" t="n"/>
      <c r="G259" s="83" t="n"/>
      <c r="H259" s="83" t="n"/>
      <c r="I259" s="83" t="n"/>
      <c r="J259" s="83" t="n"/>
      <c r="K259" s="83" t="n"/>
      <c r="L259" s="83" t="n"/>
      <c r="M259" s="83" t="n"/>
      <c r="O259" s="84" t="str">
        <f>IF($C259="","",IFERROR(MATCH($B259&amp;"|"&amp;$C259,MUROS!$AX$11:$AX$70,0),0))</f>
        <v/>
      </c>
      <c r="P259" s="84" t="str">
        <f>IF($D259="","",IF(ISNUMBER(MATCH($D259,CMB_S,0)),1,IF(ISNUMBER(MATCH($D259,CMB_G,0)),2,0)))</f>
        <v/>
      </c>
      <c r="Q259" s="84">
        <f>IF(ISNUMBER($H259),-$H259,0)</f>
        <v>0</v>
      </c>
      <c r="R259" s="84">
        <f>IF(ISNUMBER($I259),ABS($I259),0)</f>
        <v>0</v>
      </c>
      <c r="S259" s="84">
        <f>IF(ISNUMBER($M259),ABS($M259),0)</f>
        <v>0</v>
      </c>
      <c r="T259" s="85" t="n">
        <v>251</v>
      </c>
    </row>
    <row r="260">
      <c r="B260" s="83" t="n"/>
      <c r="C260" s="83" t="n"/>
      <c r="D260" s="83" t="n"/>
      <c r="E260" s="83" t="n"/>
      <c r="F260" s="83" t="n"/>
      <c r="G260" s="83" t="n"/>
      <c r="H260" s="83" t="n"/>
      <c r="I260" s="83" t="n"/>
      <c r="J260" s="83" t="n"/>
      <c r="K260" s="83" t="n"/>
      <c r="L260" s="83" t="n"/>
      <c r="M260" s="83" t="n"/>
      <c r="O260" s="84" t="str">
        <f>IF($C260="","",IFERROR(MATCH($B260&amp;"|"&amp;$C260,MUROS!$AX$11:$AX$70,0),0))</f>
        <v/>
      </c>
      <c r="P260" s="84" t="str">
        <f>IF($D260="","",IF(ISNUMBER(MATCH($D260,CMB_S,0)),1,IF(ISNUMBER(MATCH($D260,CMB_G,0)),2,0)))</f>
        <v/>
      </c>
      <c r="Q260" s="84">
        <f>IF(ISNUMBER($H260),-$H260,0)</f>
        <v>0</v>
      </c>
      <c r="R260" s="84">
        <f>IF(ISNUMBER($I260),ABS($I260),0)</f>
        <v>0</v>
      </c>
      <c r="S260" s="84">
        <f>IF(ISNUMBER($M260),ABS($M260),0)</f>
        <v>0</v>
      </c>
      <c r="T260" s="85" t="n">
        <v>252</v>
      </c>
    </row>
    <row r="261">
      <c r="B261" s="83" t="n"/>
      <c r="C261" s="83" t="n"/>
      <c r="D261" s="83" t="n"/>
      <c r="E261" s="83" t="n"/>
      <c r="F261" s="83" t="n"/>
      <c r="G261" s="83" t="n"/>
      <c r="H261" s="83" t="n"/>
      <c r="I261" s="83" t="n"/>
      <c r="J261" s="83" t="n"/>
      <c r="K261" s="83" t="n"/>
      <c r="L261" s="83" t="n"/>
      <c r="M261" s="83" t="n"/>
      <c r="O261" s="84" t="str">
        <f>IF($C261="","",IFERROR(MATCH($B261&amp;"|"&amp;$C261,MUROS!$AX$11:$AX$70,0),0))</f>
        <v/>
      </c>
      <c r="P261" s="84" t="str">
        <f>IF($D261="","",IF(ISNUMBER(MATCH($D261,CMB_S,0)),1,IF(ISNUMBER(MATCH($D261,CMB_G,0)),2,0)))</f>
        <v/>
      </c>
      <c r="Q261" s="84">
        <f>IF(ISNUMBER($H261),-$H261,0)</f>
        <v>0</v>
      </c>
      <c r="R261" s="84">
        <f>IF(ISNUMBER($I261),ABS($I261),0)</f>
        <v>0</v>
      </c>
      <c r="S261" s="84">
        <f>IF(ISNUMBER($M261),ABS($M261),0)</f>
        <v>0</v>
      </c>
      <c r="T261" s="85" t="n">
        <v>253</v>
      </c>
    </row>
    <row r="262">
      <c r="B262" s="83" t="n"/>
      <c r="C262" s="83" t="n"/>
      <c r="D262" s="83" t="n"/>
      <c r="E262" s="83" t="n"/>
      <c r="F262" s="83" t="n"/>
      <c r="G262" s="83" t="n"/>
      <c r="H262" s="83" t="n"/>
      <c r="I262" s="83" t="n"/>
      <c r="J262" s="83" t="n"/>
      <c r="K262" s="83" t="n"/>
      <c r="L262" s="83" t="n"/>
      <c r="M262" s="83" t="n"/>
      <c r="O262" s="84" t="str">
        <f>IF($C262="","",IFERROR(MATCH($B262&amp;"|"&amp;$C262,MUROS!$AX$11:$AX$70,0),0))</f>
        <v/>
      </c>
      <c r="P262" s="84" t="str">
        <f>IF($D262="","",IF(ISNUMBER(MATCH($D262,CMB_S,0)),1,IF(ISNUMBER(MATCH($D262,CMB_G,0)),2,0)))</f>
        <v/>
      </c>
      <c r="Q262" s="84">
        <f>IF(ISNUMBER($H262),-$H262,0)</f>
        <v>0</v>
      </c>
      <c r="R262" s="84">
        <f>IF(ISNUMBER($I262),ABS($I262),0)</f>
        <v>0</v>
      </c>
      <c r="S262" s="84">
        <f>IF(ISNUMBER($M262),ABS($M262),0)</f>
        <v>0</v>
      </c>
      <c r="T262" s="85" t="n">
        <v>254</v>
      </c>
    </row>
    <row r="263"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83" t="n"/>
      <c r="K263" s="83" t="n"/>
      <c r="L263" s="83" t="n"/>
      <c r="M263" s="83" t="n"/>
      <c r="O263" s="84" t="str">
        <f>IF($C263="","",IFERROR(MATCH($B263&amp;"|"&amp;$C263,MUROS!$AX$11:$AX$70,0),0))</f>
        <v/>
      </c>
      <c r="P263" s="84" t="str">
        <f>IF($D263="","",IF(ISNUMBER(MATCH($D263,CMB_S,0)),1,IF(ISNUMBER(MATCH($D263,CMB_G,0)),2,0)))</f>
        <v/>
      </c>
      <c r="Q263" s="84">
        <f>IF(ISNUMBER($H263),-$H263,0)</f>
        <v>0</v>
      </c>
      <c r="R263" s="84">
        <f>IF(ISNUMBER($I263),ABS($I263),0)</f>
        <v>0</v>
      </c>
      <c r="S263" s="84">
        <f>IF(ISNUMBER($M263),ABS($M263),0)</f>
        <v>0</v>
      </c>
      <c r="T263" s="85" t="n">
        <v>255</v>
      </c>
    </row>
    <row r="264">
      <c r="B264" s="83" t="n"/>
      <c r="C264" s="83" t="n"/>
      <c r="D264" s="83" t="n"/>
      <c r="E264" s="83" t="n"/>
      <c r="F264" s="83" t="n"/>
      <c r="G264" s="83" t="n"/>
      <c r="H264" s="83" t="n"/>
      <c r="I264" s="83" t="n"/>
      <c r="J264" s="83" t="n"/>
      <c r="K264" s="83" t="n"/>
      <c r="L264" s="83" t="n"/>
      <c r="M264" s="83" t="n"/>
      <c r="O264" s="84" t="str">
        <f>IF($C264="","",IFERROR(MATCH($B264&amp;"|"&amp;$C264,MUROS!$AX$11:$AX$70,0),0))</f>
        <v/>
      </c>
      <c r="P264" s="84" t="str">
        <f>IF($D264="","",IF(ISNUMBER(MATCH($D264,CMB_S,0)),1,IF(ISNUMBER(MATCH($D264,CMB_G,0)),2,0)))</f>
        <v/>
      </c>
      <c r="Q264" s="84">
        <f>IF(ISNUMBER($H264),-$H264,0)</f>
        <v>0</v>
      </c>
      <c r="R264" s="84">
        <f>IF(ISNUMBER($I264),ABS($I264),0)</f>
        <v>0</v>
      </c>
      <c r="S264" s="84">
        <f>IF(ISNUMBER($M264),ABS($M264),0)</f>
        <v>0</v>
      </c>
      <c r="T264" s="85" t="n">
        <v>256</v>
      </c>
    </row>
    <row r="265">
      <c r="B265" s="83" t="n"/>
      <c r="C265" s="83" t="n"/>
      <c r="D265" s="83" t="n"/>
      <c r="E265" s="83" t="n"/>
      <c r="F265" s="83" t="n"/>
      <c r="G265" s="83" t="n"/>
      <c r="H265" s="83" t="n"/>
      <c r="I265" s="83" t="n"/>
      <c r="J265" s="83" t="n"/>
      <c r="K265" s="83" t="n"/>
      <c r="L265" s="83" t="n"/>
      <c r="M265" s="83" t="n"/>
      <c r="O265" s="84" t="str">
        <f>IF($C265="","",IFERROR(MATCH($B265&amp;"|"&amp;$C265,MUROS!$AX$11:$AX$70,0),0))</f>
        <v/>
      </c>
      <c r="P265" s="84" t="str">
        <f>IF($D265="","",IF(ISNUMBER(MATCH($D265,CMB_S,0)),1,IF(ISNUMBER(MATCH($D265,CMB_G,0)),2,0)))</f>
        <v/>
      </c>
      <c r="Q265" s="84">
        <f>IF(ISNUMBER($H265),-$H265,0)</f>
        <v>0</v>
      </c>
      <c r="R265" s="84">
        <f>IF(ISNUMBER($I265),ABS($I265),0)</f>
        <v>0</v>
      </c>
      <c r="S265" s="84">
        <f>IF(ISNUMBER($M265),ABS($M265),0)</f>
        <v>0</v>
      </c>
      <c r="T265" s="85" t="n">
        <v>257</v>
      </c>
    </row>
    <row r="266">
      <c r="B266" s="83" t="n"/>
      <c r="C266" s="83" t="n"/>
      <c r="D266" s="83" t="n"/>
      <c r="E266" s="83" t="n"/>
      <c r="F266" s="83" t="n"/>
      <c r="G266" s="83" t="n"/>
      <c r="H266" s="83" t="n"/>
      <c r="I266" s="83" t="n"/>
      <c r="J266" s="83" t="n"/>
      <c r="K266" s="83" t="n"/>
      <c r="L266" s="83" t="n"/>
      <c r="M266" s="83" t="n"/>
      <c r="O266" s="84" t="str">
        <f>IF($C266="","",IFERROR(MATCH($B266&amp;"|"&amp;$C266,MUROS!$AX$11:$AX$70,0),0))</f>
        <v/>
      </c>
      <c r="P266" s="84" t="str">
        <f>IF($D266="","",IF(ISNUMBER(MATCH($D266,CMB_S,0)),1,IF(ISNUMBER(MATCH($D266,CMB_G,0)),2,0)))</f>
        <v/>
      </c>
      <c r="Q266" s="84">
        <f>IF(ISNUMBER($H266),-$H266,0)</f>
        <v>0</v>
      </c>
      <c r="R266" s="84">
        <f>IF(ISNUMBER($I266),ABS($I266),0)</f>
        <v>0</v>
      </c>
      <c r="S266" s="84">
        <f>IF(ISNUMBER($M266),ABS($M266),0)</f>
        <v>0</v>
      </c>
      <c r="T266" s="85" t="n">
        <v>258</v>
      </c>
    </row>
    <row r="267">
      <c r="B267" s="83" t="n"/>
      <c r="C267" s="83" t="n"/>
      <c r="D267" s="83" t="n"/>
      <c r="E267" s="83" t="n"/>
      <c r="F267" s="83" t="n"/>
      <c r="G267" s="83" t="n"/>
      <c r="H267" s="83" t="n"/>
      <c r="I267" s="83" t="n"/>
      <c r="J267" s="83" t="n"/>
      <c r="K267" s="83" t="n"/>
      <c r="L267" s="83" t="n"/>
      <c r="M267" s="83" t="n"/>
      <c r="O267" s="84" t="str">
        <f>IF($C267="","",IFERROR(MATCH($B267&amp;"|"&amp;$C267,MUROS!$AX$11:$AX$70,0),0))</f>
        <v/>
      </c>
      <c r="P267" s="84" t="str">
        <f>IF($D267="","",IF(ISNUMBER(MATCH($D267,CMB_S,0)),1,IF(ISNUMBER(MATCH($D267,CMB_G,0)),2,0)))</f>
        <v/>
      </c>
      <c r="Q267" s="84">
        <f>IF(ISNUMBER($H267),-$H267,0)</f>
        <v>0</v>
      </c>
      <c r="R267" s="84">
        <f>IF(ISNUMBER($I267),ABS($I267),0)</f>
        <v>0</v>
      </c>
      <c r="S267" s="84">
        <f>IF(ISNUMBER($M267),ABS($M267),0)</f>
        <v>0</v>
      </c>
      <c r="T267" s="85" t="n">
        <v>259</v>
      </c>
    </row>
    <row r="268">
      <c r="B268" s="83" t="n"/>
      <c r="C268" s="83" t="n"/>
      <c r="D268" s="83" t="n"/>
      <c r="E268" s="83" t="n"/>
      <c r="F268" s="83" t="n"/>
      <c r="G268" s="83" t="n"/>
      <c r="H268" s="83" t="n"/>
      <c r="I268" s="83" t="n"/>
      <c r="J268" s="83" t="n"/>
      <c r="K268" s="83" t="n"/>
      <c r="L268" s="83" t="n"/>
      <c r="M268" s="83" t="n"/>
      <c r="O268" s="84" t="str">
        <f>IF($C268="","",IFERROR(MATCH($B268&amp;"|"&amp;$C268,MUROS!$AX$11:$AX$70,0),0))</f>
        <v/>
      </c>
      <c r="P268" s="84" t="str">
        <f>IF($D268="","",IF(ISNUMBER(MATCH($D268,CMB_S,0)),1,IF(ISNUMBER(MATCH($D268,CMB_G,0)),2,0)))</f>
        <v/>
      </c>
      <c r="Q268" s="84">
        <f>IF(ISNUMBER($H268),-$H268,0)</f>
        <v>0</v>
      </c>
      <c r="R268" s="84">
        <f>IF(ISNUMBER($I268),ABS($I268),0)</f>
        <v>0</v>
      </c>
      <c r="S268" s="84">
        <f>IF(ISNUMBER($M268),ABS($M268),0)</f>
        <v>0</v>
      </c>
      <c r="T268" s="85" t="n">
        <v>260</v>
      </c>
    </row>
    <row r="269">
      <c r="B269" s="83" t="n"/>
      <c r="C269" s="83" t="n"/>
      <c r="D269" s="83" t="n"/>
      <c r="E269" s="83" t="n"/>
      <c r="F269" s="83" t="n"/>
      <c r="G269" s="83" t="n"/>
      <c r="H269" s="83" t="n"/>
      <c r="I269" s="83" t="n"/>
      <c r="J269" s="83" t="n"/>
      <c r="K269" s="83" t="n"/>
      <c r="L269" s="83" t="n"/>
      <c r="M269" s="83" t="n"/>
      <c r="O269" s="84" t="str">
        <f>IF($C269="","",IFERROR(MATCH($B269&amp;"|"&amp;$C269,MUROS!$AX$11:$AX$70,0),0))</f>
        <v/>
      </c>
      <c r="P269" s="84" t="str">
        <f>IF($D269="","",IF(ISNUMBER(MATCH($D269,CMB_S,0)),1,IF(ISNUMBER(MATCH($D269,CMB_G,0)),2,0)))</f>
        <v/>
      </c>
      <c r="Q269" s="84">
        <f>IF(ISNUMBER($H269),-$H269,0)</f>
        <v>0</v>
      </c>
      <c r="R269" s="84">
        <f>IF(ISNUMBER($I269),ABS($I269),0)</f>
        <v>0</v>
      </c>
      <c r="S269" s="84">
        <f>IF(ISNUMBER($M269),ABS($M269),0)</f>
        <v>0</v>
      </c>
      <c r="T269" s="85" t="n">
        <v>261</v>
      </c>
    </row>
    <row r="270">
      <c r="B270" s="83" t="n"/>
      <c r="C270" s="83" t="n"/>
      <c r="D270" s="83" t="n"/>
      <c r="E270" s="83" t="n"/>
      <c r="F270" s="83" t="n"/>
      <c r="G270" s="83" t="n"/>
      <c r="H270" s="83" t="n"/>
      <c r="I270" s="83" t="n"/>
      <c r="J270" s="83" t="n"/>
      <c r="K270" s="83" t="n"/>
      <c r="L270" s="83" t="n"/>
      <c r="M270" s="83" t="n"/>
      <c r="O270" s="84" t="str">
        <f>IF($C270="","",IFERROR(MATCH($B270&amp;"|"&amp;$C270,MUROS!$AX$11:$AX$70,0),0))</f>
        <v/>
      </c>
      <c r="P270" s="84" t="str">
        <f>IF($D270="","",IF(ISNUMBER(MATCH($D270,CMB_S,0)),1,IF(ISNUMBER(MATCH($D270,CMB_G,0)),2,0)))</f>
        <v/>
      </c>
      <c r="Q270" s="84">
        <f>IF(ISNUMBER($H270),-$H270,0)</f>
        <v>0</v>
      </c>
      <c r="R270" s="84">
        <f>IF(ISNUMBER($I270),ABS($I270),0)</f>
        <v>0</v>
      </c>
      <c r="S270" s="84">
        <f>IF(ISNUMBER($M270),ABS($M270),0)</f>
        <v>0</v>
      </c>
      <c r="T270" s="85" t="n">
        <v>262</v>
      </c>
    </row>
    <row r="271">
      <c r="B271" s="83" t="n"/>
      <c r="C271" s="83" t="n"/>
      <c r="D271" s="83" t="n"/>
      <c r="E271" s="83" t="n"/>
      <c r="F271" s="83" t="n"/>
      <c r="G271" s="83" t="n"/>
      <c r="H271" s="83" t="n"/>
      <c r="I271" s="83" t="n"/>
      <c r="J271" s="83" t="n"/>
      <c r="K271" s="83" t="n"/>
      <c r="L271" s="83" t="n"/>
      <c r="M271" s="83" t="n"/>
      <c r="O271" s="84" t="str">
        <f>IF($C271="","",IFERROR(MATCH($B271&amp;"|"&amp;$C271,MUROS!$AX$11:$AX$70,0),0))</f>
        <v/>
      </c>
      <c r="P271" s="84" t="str">
        <f>IF($D271="","",IF(ISNUMBER(MATCH($D271,CMB_S,0)),1,IF(ISNUMBER(MATCH($D271,CMB_G,0)),2,0)))</f>
        <v/>
      </c>
      <c r="Q271" s="84">
        <f>IF(ISNUMBER($H271),-$H271,0)</f>
        <v>0</v>
      </c>
      <c r="R271" s="84">
        <f>IF(ISNUMBER($I271),ABS($I271),0)</f>
        <v>0</v>
      </c>
      <c r="S271" s="84">
        <f>IF(ISNUMBER($M271),ABS($M271),0)</f>
        <v>0</v>
      </c>
      <c r="T271" s="85" t="n">
        <v>263</v>
      </c>
    </row>
    <row r="272"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83" t="n"/>
      <c r="K272" s="83" t="n"/>
      <c r="L272" s="83" t="n"/>
      <c r="M272" s="83" t="n"/>
      <c r="O272" s="84" t="str">
        <f>IF($C272="","",IFERROR(MATCH($B272&amp;"|"&amp;$C272,MUROS!$AX$11:$AX$70,0),0))</f>
        <v/>
      </c>
      <c r="P272" s="84" t="str">
        <f>IF($D272="","",IF(ISNUMBER(MATCH($D272,CMB_S,0)),1,IF(ISNUMBER(MATCH($D272,CMB_G,0)),2,0)))</f>
        <v/>
      </c>
      <c r="Q272" s="84">
        <f>IF(ISNUMBER($H272),-$H272,0)</f>
        <v>0</v>
      </c>
      <c r="R272" s="84">
        <f>IF(ISNUMBER($I272),ABS($I272),0)</f>
        <v>0</v>
      </c>
      <c r="S272" s="84">
        <f>IF(ISNUMBER($M272),ABS($M272),0)</f>
        <v>0</v>
      </c>
      <c r="T272" s="85" t="n">
        <v>264</v>
      </c>
    </row>
    <row r="273">
      <c r="B273" s="83" t="n"/>
      <c r="C273" s="83" t="n"/>
      <c r="D273" s="83" t="n"/>
      <c r="E273" s="83" t="n"/>
      <c r="F273" s="83" t="n"/>
      <c r="G273" s="83" t="n"/>
      <c r="H273" s="83" t="n"/>
      <c r="I273" s="83" t="n"/>
      <c r="J273" s="83" t="n"/>
      <c r="K273" s="83" t="n"/>
      <c r="L273" s="83" t="n"/>
      <c r="M273" s="83" t="n"/>
      <c r="O273" s="84" t="str">
        <f>IF($C273="","",IFERROR(MATCH($B273&amp;"|"&amp;$C273,MUROS!$AX$11:$AX$70,0),0))</f>
        <v/>
      </c>
      <c r="P273" s="84" t="str">
        <f>IF($D273="","",IF(ISNUMBER(MATCH($D273,CMB_S,0)),1,IF(ISNUMBER(MATCH($D273,CMB_G,0)),2,0)))</f>
        <v/>
      </c>
      <c r="Q273" s="84">
        <f>IF(ISNUMBER($H273),-$H273,0)</f>
        <v>0</v>
      </c>
      <c r="R273" s="84">
        <f>IF(ISNUMBER($I273),ABS($I273),0)</f>
        <v>0</v>
      </c>
      <c r="S273" s="84">
        <f>IF(ISNUMBER($M273),ABS($M273),0)</f>
        <v>0</v>
      </c>
      <c r="T273" s="85" t="n">
        <v>265</v>
      </c>
    </row>
    <row r="274">
      <c r="B274" s="83" t="n"/>
      <c r="C274" s="83" t="n"/>
      <c r="D274" s="83" t="n"/>
      <c r="E274" s="83" t="n"/>
      <c r="F274" s="83" t="n"/>
      <c r="G274" s="83" t="n"/>
      <c r="H274" s="83" t="n"/>
      <c r="I274" s="83" t="n"/>
      <c r="J274" s="83" t="n"/>
      <c r="K274" s="83" t="n"/>
      <c r="L274" s="83" t="n"/>
      <c r="M274" s="83" t="n"/>
      <c r="O274" s="84" t="str">
        <f>IF($C274="","",IFERROR(MATCH($B274&amp;"|"&amp;$C274,MUROS!$AX$11:$AX$70,0),0))</f>
        <v/>
      </c>
      <c r="P274" s="84" t="str">
        <f>IF($D274="","",IF(ISNUMBER(MATCH($D274,CMB_S,0)),1,IF(ISNUMBER(MATCH($D274,CMB_G,0)),2,0)))</f>
        <v/>
      </c>
      <c r="Q274" s="84">
        <f>IF(ISNUMBER($H274),-$H274,0)</f>
        <v>0</v>
      </c>
      <c r="R274" s="84">
        <f>IF(ISNUMBER($I274),ABS($I274),0)</f>
        <v>0</v>
      </c>
      <c r="S274" s="84">
        <f>IF(ISNUMBER($M274),ABS($M274),0)</f>
        <v>0</v>
      </c>
      <c r="T274" s="85" t="n">
        <v>266</v>
      </c>
    </row>
    <row r="275">
      <c r="B275" s="83" t="n"/>
      <c r="C275" s="83" t="n"/>
      <c r="D275" s="83" t="n"/>
      <c r="E275" s="83" t="n"/>
      <c r="F275" s="83" t="n"/>
      <c r="G275" s="83" t="n"/>
      <c r="H275" s="83" t="n"/>
      <c r="I275" s="83" t="n"/>
      <c r="J275" s="83" t="n"/>
      <c r="K275" s="83" t="n"/>
      <c r="L275" s="83" t="n"/>
      <c r="M275" s="83" t="n"/>
      <c r="O275" s="84" t="str">
        <f>IF($C275="","",IFERROR(MATCH($B275&amp;"|"&amp;$C275,MUROS!$AX$11:$AX$70,0),0))</f>
        <v/>
      </c>
      <c r="P275" s="84" t="str">
        <f>IF($D275="","",IF(ISNUMBER(MATCH($D275,CMB_S,0)),1,IF(ISNUMBER(MATCH($D275,CMB_G,0)),2,0)))</f>
        <v/>
      </c>
      <c r="Q275" s="84">
        <f>IF(ISNUMBER($H275),-$H275,0)</f>
        <v>0</v>
      </c>
      <c r="R275" s="84">
        <f>IF(ISNUMBER($I275),ABS($I275),0)</f>
        <v>0</v>
      </c>
      <c r="S275" s="84">
        <f>IF(ISNUMBER($M275),ABS($M275),0)</f>
        <v>0</v>
      </c>
      <c r="T275" s="85" t="n">
        <v>267</v>
      </c>
    </row>
    <row r="276">
      <c r="B276" s="83" t="n"/>
      <c r="C276" s="83" t="n"/>
      <c r="D276" s="83" t="n"/>
      <c r="E276" s="83" t="n"/>
      <c r="F276" s="83" t="n"/>
      <c r="G276" s="83" t="n"/>
      <c r="H276" s="83" t="n"/>
      <c r="I276" s="83" t="n"/>
      <c r="J276" s="83" t="n"/>
      <c r="K276" s="83" t="n"/>
      <c r="L276" s="83" t="n"/>
      <c r="M276" s="83" t="n"/>
      <c r="O276" s="84" t="str">
        <f>IF($C276="","",IFERROR(MATCH($B276&amp;"|"&amp;$C276,MUROS!$AX$11:$AX$70,0),0))</f>
        <v/>
      </c>
      <c r="P276" s="84" t="str">
        <f>IF($D276="","",IF(ISNUMBER(MATCH($D276,CMB_S,0)),1,IF(ISNUMBER(MATCH($D276,CMB_G,0)),2,0)))</f>
        <v/>
      </c>
      <c r="Q276" s="84">
        <f>IF(ISNUMBER($H276),-$H276,0)</f>
        <v>0</v>
      </c>
      <c r="R276" s="84">
        <f>IF(ISNUMBER($I276),ABS($I276),0)</f>
        <v>0</v>
      </c>
      <c r="S276" s="84">
        <f>IF(ISNUMBER($M276),ABS($M276),0)</f>
        <v>0</v>
      </c>
      <c r="T276" s="85" t="n">
        <v>268</v>
      </c>
    </row>
    <row r="277">
      <c r="B277" s="83" t="n"/>
      <c r="C277" s="83" t="n"/>
      <c r="D277" s="83" t="n"/>
      <c r="E277" s="83" t="n"/>
      <c r="F277" s="83" t="n"/>
      <c r="G277" s="83" t="n"/>
      <c r="H277" s="83" t="n"/>
      <c r="I277" s="83" t="n"/>
      <c r="J277" s="83" t="n"/>
      <c r="K277" s="83" t="n"/>
      <c r="L277" s="83" t="n"/>
      <c r="M277" s="83" t="n"/>
      <c r="O277" s="84" t="str">
        <f>IF($C277="","",IFERROR(MATCH($B277&amp;"|"&amp;$C277,MUROS!$AX$11:$AX$70,0),0))</f>
        <v/>
      </c>
      <c r="P277" s="84" t="str">
        <f>IF($D277="","",IF(ISNUMBER(MATCH($D277,CMB_S,0)),1,IF(ISNUMBER(MATCH($D277,CMB_G,0)),2,0)))</f>
        <v/>
      </c>
      <c r="Q277" s="84">
        <f>IF(ISNUMBER($H277),-$H277,0)</f>
        <v>0</v>
      </c>
      <c r="R277" s="84">
        <f>IF(ISNUMBER($I277),ABS($I277),0)</f>
        <v>0</v>
      </c>
      <c r="S277" s="84">
        <f>IF(ISNUMBER($M277),ABS($M277),0)</f>
        <v>0</v>
      </c>
      <c r="T277" s="85" t="n">
        <v>269</v>
      </c>
    </row>
    <row r="278">
      <c r="B278" s="83" t="n"/>
      <c r="C278" s="83" t="n"/>
      <c r="D278" s="83" t="n"/>
      <c r="E278" s="83" t="n"/>
      <c r="F278" s="83" t="n"/>
      <c r="G278" s="83" t="n"/>
      <c r="H278" s="83" t="n"/>
      <c r="I278" s="83" t="n"/>
      <c r="J278" s="83" t="n"/>
      <c r="K278" s="83" t="n"/>
      <c r="L278" s="83" t="n"/>
      <c r="M278" s="83" t="n"/>
      <c r="O278" s="84" t="str">
        <f>IF($C278="","",IFERROR(MATCH($B278&amp;"|"&amp;$C278,MUROS!$AX$11:$AX$70,0),0))</f>
        <v/>
      </c>
      <c r="P278" s="84" t="str">
        <f>IF($D278="","",IF(ISNUMBER(MATCH($D278,CMB_S,0)),1,IF(ISNUMBER(MATCH($D278,CMB_G,0)),2,0)))</f>
        <v/>
      </c>
      <c r="Q278" s="84">
        <f>IF(ISNUMBER($H278),-$H278,0)</f>
        <v>0</v>
      </c>
      <c r="R278" s="84">
        <f>IF(ISNUMBER($I278),ABS($I278),0)</f>
        <v>0</v>
      </c>
      <c r="S278" s="84">
        <f>IF(ISNUMBER($M278),ABS($M278),0)</f>
        <v>0</v>
      </c>
      <c r="T278" s="85" t="n">
        <v>270</v>
      </c>
    </row>
    <row r="279">
      <c r="B279" s="83" t="n"/>
      <c r="C279" s="83" t="n"/>
      <c r="D279" s="83" t="n"/>
      <c r="E279" s="83" t="n"/>
      <c r="F279" s="83" t="n"/>
      <c r="G279" s="83" t="n"/>
      <c r="H279" s="83" t="n"/>
      <c r="I279" s="83" t="n"/>
      <c r="J279" s="83" t="n"/>
      <c r="K279" s="83" t="n"/>
      <c r="L279" s="83" t="n"/>
      <c r="M279" s="83" t="n"/>
      <c r="O279" s="84" t="str">
        <f>IF($C279="","",IFERROR(MATCH($B279&amp;"|"&amp;$C279,MUROS!$AX$11:$AX$70,0),0))</f>
        <v/>
      </c>
      <c r="P279" s="84" t="str">
        <f>IF($D279="","",IF(ISNUMBER(MATCH($D279,CMB_S,0)),1,IF(ISNUMBER(MATCH($D279,CMB_G,0)),2,0)))</f>
        <v/>
      </c>
      <c r="Q279" s="84">
        <f>IF(ISNUMBER($H279),-$H279,0)</f>
        <v>0</v>
      </c>
      <c r="R279" s="84">
        <f>IF(ISNUMBER($I279),ABS($I279),0)</f>
        <v>0</v>
      </c>
      <c r="S279" s="84">
        <f>IF(ISNUMBER($M279),ABS($M279),0)</f>
        <v>0</v>
      </c>
      <c r="T279" s="85" t="n">
        <v>271</v>
      </c>
    </row>
    <row r="280">
      <c r="B280" s="83" t="n"/>
      <c r="C280" s="83" t="n"/>
      <c r="D280" s="83" t="n"/>
      <c r="E280" s="83" t="n"/>
      <c r="F280" s="83" t="n"/>
      <c r="G280" s="83" t="n"/>
      <c r="H280" s="83" t="n"/>
      <c r="I280" s="83" t="n"/>
      <c r="J280" s="83" t="n"/>
      <c r="K280" s="83" t="n"/>
      <c r="L280" s="83" t="n"/>
      <c r="M280" s="83" t="n"/>
      <c r="O280" s="84" t="str">
        <f>IF($C280="","",IFERROR(MATCH($B280&amp;"|"&amp;$C280,MUROS!$AX$11:$AX$70,0),0))</f>
        <v/>
      </c>
      <c r="P280" s="84" t="str">
        <f>IF($D280="","",IF(ISNUMBER(MATCH($D280,CMB_S,0)),1,IF(ISNUMBER(MATCH($D280,CMB_G,0)),2,0)))</f>
        <v/>
      </c>
      <c r="Q280" s="84">
        <f>IF(ISNUMBER($H280),-$H280,0)</f>
        <v>0</v>
      </c>
      <c r="R280" s="84">
        <f>IF(ISNUMBER($I280),ABS($I280),0)</f>
        <v>0</v>
      </c>
      <c r="S280" s="84">
        <f>IF(ISNUMBER($M280),ABS($M280),0)</f>
        <v>0</v>
      </c>
      <c r="T280" s="85" t="n">
        <v>272</v>
      </c>
    </row>
    <row r="281">
      <c r="B281" s="83" t="n"/>
      <c r="C281" s="83" t="n"/>
      <c r="D281" s="83" t="n"/>
      <c r="E281" s="83" t="n"/>
      <c r="F281" s="83" t="n"/>
      <c r="G281" s="83" t="n"/>
      <c r="H281" s="83" t="n"/>
      <c r="I281" s="83" t="n"/>
      <c r="J281" s="83" t="n"/>
      <c r="K281" s="83" t="n"/>
      <c r="L281" s="83" t="n"/>
      <c r="M281" s="83" t="n"/>
      <c r="O281" s="84" t="str">
        <f>IF($C281="","",IFERROR(MATCH($B281&amp;"|"&amp;$C281,MUROS!$AX$11:$AX$70,0),0))</f>
        <v/>
      </c>
      <c r="P281" s="84" t="str">
        <f>IF($D281="","",IF(ISNUMBER(MATCH($D281,CMB_S,0)),1,IF(ISNUMBER(MATCH($D281,CMB_G,0)),2,0)))</f>
        <v/>
      </c>
      <c r="Q281" s="84">
        <f>IF(ISNUMBER($H281),-$H281,0)</f>
        <v>0</v>
      </c>
      <c r="R281" s="84">
        <f>IF(ISNUMBER($I281),ABS($I281),0)</f>
        <v>0</v>
      </c>
      <c r="S281" s="84">
        <f>IF(ISNUMBER($M281),ABS($M281),0)</f>
        <v>0</v>
      </c>
      <c r="T281" s="85" t="n">
        <v>273</v>
      </c>
    </row>
    <row r="282"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83" t="n"/>
      <c r="K282" s="83" t="n"/>
      <c r="L282" s="83" t="n"/>
      <c r="M282" s="83" t="n"/>
      <c r="O282" s="84" t="str">
        <f>IF($C282="","",IFERROR(MATCH($B282&amp;"|"&amp;$C282,MUROS!$AX$11:$AX$70,0),0))</f>
        <v/>
      </c>
      <c r="P282" s="84" t="str">
        <f>IF($D282="","",IF(ISNUMBER(MATCH($D282,CMB_S,0)),1,IF(ISNUMBER(MATCH($D282,CMB_G,0)),2,0)))</f>
        <v/>
      </c>
      <c r="Q282" s="84">
        <f>IF(ISNUMBER($H282),-$H282,0)</f>
        <v>0</v>
      </c>
      <c r="R282" s="84">
        <f>IF(ISNUMBER($I282),ABS($I282),0)</f>
        <v>0</v>
      </c>
      <c r="S282" s="84">
        <f>IF(ISNUMBER($M282),ABS($M282),0)</f>
        <v>0</v>
      </c>
      <c r="T282" s="85" t="n">
        <v>274</v>
      </c>
    </row>
    <row r="283">
      <c r="B283" s="83" t="n"/>
      <c r="C283" s="83" t="n"/>
      <c r="D283" s="83" t="n"/>
      <c r="E283" s="83" t="n"/>
      <c r="F283" s="83" t="n"/>
      <c r="G283" s="83" t="n"/>
      <c r="H283" s="83" t="n"/>
      <c r="I283" s="83" t="n"/>
      <c r="J283" s="83" t="n"/>
      <c r="K283" s="83" t="n"/>
      <c r="L283" s="83" t="n"/>
      <c r="M283" s="83" t="n"/>
      <c r="O283" s="84" t="str">
        <f>IF($C283="","",IFERROR(MATCH($B283&amp;"|"&amp;$C283,MUROS!$AX$11:$AX$70,0),0))</f>
        <v/>
      </c>
      <c r="P283" s="84" t="str">
        <f>IF($D283="","",IF(ISNUMBER(MATCH($D283,CMB_S,0)),1,IF(ISNUMBER(MATCH($D283,CMB_G,0)),2,0)))</f>
        <v/>
      </c>
      <c r="Q283" s="84">
        <f>IF(ISNUMBER($H283),-$H283,0)</f>
        <v>0</v>
      </c>
      <c r="R283" s="84">
        <f>IF(ISNUMBER($I283),ABS($I283),0)</f>
        <v>0</v>
      </c>
      <c r="S283" s="84">
        <f>IF(ISNUMBER($M283),ABS($M283),0)</f>
        <v>0</v>
      </c>
      <c r="T283" s="85" t="n">
        <v>275</v>
      </c>
    </row>
    <row r="284">
      <c r="B284" s="83" t="n"/>
      <c r="C284" s="83" t="n"/>
      <c r="D284" s="83" t="n"/>
      <c r="E284" s="83" t="n"/>
      <c r="F284" s="83" t="n"/>
      <c r="G284" s="83" t="n"/>
      <c r="H284" s="83" t="n"/>
      <c r="I284" s="83" t="n"/>
      <c r="J284" s="83" t="n"/>
      <c r="K284" s="83" t="n"/>
      <c r="L284" s="83" t="n"/>
      <c r="M284" s="83" t="n"/>
      <c r="O284" s="84" t="str">
        <f>IF($C284="","",IFERROR(MATCH($B284&amp;"|"&amp;$C284,MUROS!$AX$11:$AX$70,0),0))</f>
        <v/>
      </c>
      <c r="P284" s="84" t="str">
        <f>IF($D284="","",IF(ISNUMBER(MATCH($D284,CMB_S,0)),1,IF(ISNUMBER(MATCH($D284,CMB_G,0)),2,0)))</f>
        <v/>
      </c>
      <c r="Q284" s="84">
        <f>IF(ISNUMBER($H284),-$H284,0)</f>
        <v>0</v>
      </c>
      <c r="R284" s="84">
        <f>IF(ISNUMBER($I284),ABS($I284),0)</f>
        <v>0</v>
      </c>
      <c r="S284" s="84">
        <f>IF(ISNUMBER($M284),ABS($M284),0)</f>
        <v>0</v>
      </c>
      <c r="T284" s="85" t="n">
        <v>276</v>
      </c>
    </row>
    <row r="285">
      <c r="B285" s="83" t="n"/>
      <c r="C285" s="83" t="n"/>
      <c r="D285" s="83" t="n"/>
      <c r="E285" s="83" t="n"/>
      <c r="F285" s="83" t="n"/>
      <c r="G285" s="83" t="n"/>
      <c r="H285" s="83" t="n"/>
      <c r="I285" s="83" t="n"/>
      <c r="J285" s="83" t="n"/>
      <c r="K285" s="83" t="n"/>
      <c r="L285" s="83" t="n"/>
      <c r="M285" s="83" t="n"/>
      <c r="O285" s="84" t="str">
        <f>IF($C285="","",IFERROR(MATCH($B285&amp;"|"&amp;$C285,MUROS!$AX$11:$AX$70,0),0))</f>
        <v/>
      </c>
      <c r="P285" s="84" t="str">
        <f>IF($D285="","",IF(ISNUMBER(MATCH($D285,CMB_S,0)),1,IF(ISNUMBER(MATCH($D285,CMB_G,0)),2,0)))</f>
        <v/>
      </c>
      <c r="Q285" s="84">
        <f>IF(ISNUMBER($H285),-$H285,0)</f>
        <v>0</v>
      </c>
      <c r="R285" s="84">
        <f>IF(ISNUMBER($I285),ABS($I285),0)</f>
        <v>0</v>
      </c>
      <c r="S285" s="84">
        <f>IF(ISNUMBER($M285),ABS($M285),0)</f>
        <v>0</v>
      </c>
      <c r="T285" s="85" t="n">
        <v>277</v>
      </c>
    </row>
    <row r="286">
      <c r="B286" s="83" t="n"/>
      <c r="C286" s="83" t="n"/>
      <c r="D286" s="83" t="n"/>
      <c r="E286" s="83" t="n"/>
      <c r="F286" s="83" t="n"/>
      <c r="G286" s="83" t="n"/>
      <c r="H286" s="83" t="n"/>
      <c r="I286" s="83" t="n"/>
      <c r="J286" s="83" t="n"/>
      <c r="K286" s="83" t="n"/>
      <c r="L286" s="83" t="n"/>
      <c r="M286" s="83" t="n"/>
      <c r="O286" s="84" t="str">
        <f>IF($C286="","",IFERROR(MATCH($B286&amp;"|"&amp;$C286,MUROS!$AX$11:$AX$70,0),0))</f>
        <v/>
      </c>
      <c r="P286" s="84" t="str">
        <f>IF($D286="","",IF(ISNUMBER(MATCH($D286,CMB_S,0)),1,IF(ISNUMBER(MATCH($D286,CMB_G,0)),2,0)))</f>
        <v/>
      </c>
      <c r="Q286" s="84">
        <f>IF(ISNUMBER($H286),-$H286,0)</f>
        <v>0</v>
      </c>
      <c r="R286" s="84">
        <f>IF(ISNUMBER($I286),ABS($I286),0)</f>
        <v>0</v>
      </c>
      <c r="S286" s="84">
        <f>IF(ISNUMBER($M286),ABS($M286),0)</f>
        <v>0</v>
      </c>
      <c r="T286" s="85" t="n">
        <v>278</v>
      </c>
    </row>
    <row r="287">
      <c r="B287" s="83" t="n"/>
      <c r="C287" s="83" t="n"/>
      <c r="D287" s="83" t="n"/>
      <c r="E287" s="83" t="n"/>
      <c r="F287" s="83" t="n"/>
      <c r="G287" s="83" t="n"/>
      <c r="H287" s="83" t="n"/>
      <c r="I287" s="83" t="n"/>
      <c r="J287" s="83" t="n"/>
      <c r="K287" s="83" t="n"/>
      <c r="L287" s="83" t="n"/>
      <c r="M287" s="83" t="n"/>
      <c r="O287" s="84" t="str">
        <f>IF($C287="","",IFERROR(MATCH($B287&amp;"|"&amp;$C287,MUROS!$AX$11:$AX$70,0),0))</f>
        <v/>
      </c>
      <c r="P287" s="84" t="str">
        <f>IF($D287="","",IF(ISNUMBER(MATCH($D287,CMB_S,0)),1,IF(ISNUMBER(MATCH($D287,CMB_G,0)),2,0)))</f>
        <v/>
      </c>
      <c r="Q287" s="84">
        <f>IF(ISNUMBER($H287),-$H287,0)</f>
        <v>0</v>
      </c>
      <c r="R287" s="84">
        <f>IF(ISNUMBER($I287),ABS($I287),0)</f>
        <v>0</v>
      </c>
      <c r="S287" s="84">
        <f>IF(ISNUMBER($M287),ABS($M287),0)</f>
        <v>0</v>
      </c>
      <c r="T287" s="85" t="n">
        <v>279</v>
      </c>
    </row>
    <row r="288">
      <c r="B288" s="83" t="n"/>
      <c r="C288" s="83" t="n"/>
      <c r="D288" s="83" t="n"/>
      <c r="E288" s="83" t="n"/>
      <c r="F288" s="83" t="n"/>
      <c r="G288" s="83" t="n"/>
      <c r="H288" s="83" t="n"/>
      <c r="I288" s="83" t="n"/>
      <c r="J288" s="83" t="n"/>
      <c r="K288" s="83" t="n"/>
      <c r="L288" s="83" t="n"/>
      <c r="M288" s="83" t="n"/>
      <c r="O288" s="84" t="str">
        <f>IF($C288="","",IFERROR(MATCH($B288&amp;"|"&amp;$C288,MUROS!$AX$11:$AX$70,0),0))</f>
        <v/>
      </c>
      <c r="P288" s="84" t="str">
        <f>IF($D288="","",IF(ISNUMBER(MATCH($D288,CMB_S,0)),1,IF(ISNUMBER(MATCH($D288,CMB_G,0)),2,0)))</f>
        <v/>
      </c>
      <c r="Q288" s="84">
        <f>IF(ISNUMBER($H288),-$H288,0)</f>
        <v>0</v>
      </c>
      <c r="R288" s="84">
        <f>IF(ISNUMBER($I288),ABS($I288),0)</f>
        <v>0</v>
      </c>
      <c r="S288" s="84">
        <f>IF(ISNUMBER($M288),ABS($M288),0)</f>
        <v>0</v>
      </c>
      <c r="T288" s="85" t="n">
        <v>280</v>
      </c>
    </row>
    <row r="289">
      <c r="B289" s="83" t="n"/>
      <c r="C289" s="83" t="n"/>
      <c r="D289" s="83" t="n"/>
      <c r="E289" s="83" t="n"/>
      <c r="F289" s="83" t="n"/>
      <c r="G289" s="83" t="n"/>
      <c r="H289" s="83" t="n"/>
      <c r="I289" s="83" t="n"/>
      <c r="J289" s="83" t="n"/>
      <c r="K289" s="83" t="n"/>
      <c r="L289" s="83" t="n"/>
      <c r="M289" s="83" t="n"/>
      <c r="O289" s="84" t="str">
        <f>IF($C289="","",IFERROR(MATCH($B289&amp;"|"&amp;$C289,MUROS!$AX$11:$AX$70,0),0))</f>
        <v/>
      </c>
      <c r="P289" s="84" t="str">
        <f>IF($D289="","",IF(ISNUMBER(MATCH($D289,CMB_S,0)),1,IF(ISNUMBER(MATCH($D289,CMB_G,0)),2,0)))</f>
        <v/>
      </c>
      <c r="Q289" s="84">
        <f>IF(ISNUMBER($H289),-$H289,0)</f>
        <v>0</v>
      </c>
      <c r="R289" s="84">
        <f>IF(ISNUMBER($I289),ABS($I289),0)</f>
        <v>0</v>
      </c>
      <c r="S289" s="84">
        <f>IF(ISNUMBER($M289),ABS($M289),0)</f>
        <v>0</v>
      </c>
      <c r="T289" s="85" t="n">
        <v>281</v>
      </c>
    </row>
    <row r="290">
      <c r="B290" s="83" t="n"/>
      <c r="C290" s="83" t="n"/>
      <c r="D290" s="83" t="n"/>
      <c r="E290" s="83" t="n"/>
      <c r="F290" s="83" t="n"/>
      <c r="G290" s="83" t="n"/>
      <c r="H290" s="83" t="n"/>
      <c r="I290" s="83" t="n"/>
      <c r="J290" s="83" t="n"/>
      <c r="K290" s="83" t="n"/>
      <c r="L290" s="83" t="n"/>
      <c r="M290" s="83" t="n"/>
      <c r="O290" s="84" t="str">
        <f>IF($C290="","",IFERROR(MATCH($B290&amp;"|"&amp;$C290,MUROS!$AX$11:$AX$70,0),0))</f>
        <v/>
      </c>
      <c r="P290" s="84" t="str">
        <f>IF($D290="","",IF(ISNUMBER(MATCH($D290,CMB_S,0)),1,IF(ISNUMBER(MATCH($D290,CMB_G,0)),2,0)))</f>
        <v/>
      </c>
      <c r="Q290" s="84">
        <f>IF(ISNUMBER($H290),-$H290,0)</f>
        <v>0</v>
      </c>
      <c r="R290" s="84">
        <f>IF(ISNUMBER($I290),ABS($I290),0)</f>
        <v>0</v>
      </c>
      <c r="S290" s="84">
        <f>IF(ISNUMBER($M290),ABS($M290),0)</f>
        <v>0</v>
      </c>
      <c r="T290" s="85" t="n">
        <v>282</v>
      </c>
    </row>
    <row r="291"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83" t="n"/>
      <c r="K291" s="83" t="n"/>
      <c r="L291" s="83" t="n"/>
      <c r="M291" s="83" t="n"/>
      <c r="O291" s="84" t="str">
        <f>IF($C291="","",IFERROR(MATCH($B291&amp;"|"&amp;$C291,MUROS!$AX$11:$AX$70,0),0))</f>
        <v/>
      </c>
      <c r="P291" s="84" t="str">
        <f>IF($D291="","",IF(ISNUMBER(MATCH($D291,CMB_S,0)),1,IF(ISNUMBER(MATCH($D291,CMB_G,0)),2,0)))</f>
        <v/>
      </c>
      <c r="Q291" s="84">
        <f>IF(ISNUMBER($H291),-$H291,0)</f>
        <v>0</v>
      </c>
      <c r="R291" s="84">
        <f>IF(ISNUMBER($I291),ABS($I291),0)</f>
        <v>0</v>
      </c>
      <c r="S291" s="84">
        <f>IF(ISNUMBER($M291),ABS($M291),0)</f>
        <v>0</v>
      </c>
      <c r="T291" s="85" t="n">
        <v>283</v>
      </c>
    </row>
    <row r="292">
      <c r="B292" s="83" t="n"/>
      <c r="C292" s="83" t="n"/>
      <c r="D292" s="83" t="n"/>
      <c r="E292" s="83" t="n"/>
      <c r="F292" s="83" t="n"/>
      <c r="G292" s="83" t="n"/>
      <c r="H292" s="83" t="n"/>
      <c r="I292" s="83" t="n"/>
      <c r="J292" s="83" t="n"/>
      <c r="K292" s="83" t="n"/>
      <c r="L292" s="83" t="n"/>
      <c r="M292" s="83" t="n"/>
      <c r="O292" s="84" t="str">
        <f>IF($C292="","",IFERROR(MATCH($B292&amp;"|"&amp;$C292,MUROS!$AX$11:$AX$70,0),0))</f>
        <v/>
      </c>
      <c r="P292" s="84" t="str">
        <f>IF($D292="","",IF(ISNUMBER(MATCH($D292,CMB_S,0)),1,IF(ISNUMBER(MATCH($D292,CMB_G,0)),2,0)))</f>
        <v/>
      </c>
      <c r="Q292" s="84">
        <f>IF(ISNUMBER($H292),-$H292,0)</f>
        <v>0</v>
      </c>
      <c r="R292" s="84">
        <f>IF(ISNUMBER($I292),ABS($I292),0)</f>
        <v>0</v>
      </c>
      <c r="S292" s="84">
        <f>IF(ISNUMBER($M292),ABS($M292),0)</f>
        <v>0</v>
      </c>
      <c r="T292" s="85" t="n">
        <v>284</v>
      </c>
    </row>
    <row r="293">
      <c r="B293" s="83" t="n"/>
      <c r="C293" s="83" t="n"/>
      <c r="D293" s="83" t="n"/>
      <c r="E293" s="83" t="n"/>
      <c r="F293" s="83" t="n"/>
      <c r="G293" s="83" t="n"/>
      <c r="H293" s="83" t="n"/>
      <c r="I293" s="83" t="n"/>
      <c r="J293" s="83" t="n"/>
      <c r="K293" s="83" t="n"/>
      <c r="L293" s="83" t="n"/>
      <c r="M293" s="83" t="n"/>
      <c r="O293" s="84" t="str">
        <f>IF($C293="","",IFERROR(MATCH($B293&amp;"|"&amp;$C293,MUROS!$AX$11:$AX$70,0),0))</f>
        <v/>
      </c>
      <c r="P293" s="84" t="str">
        <f>IF($D293="","",IF(ISNUMBER(MATCH($D293,CMB_S,0)),1,IF(ISNUMBER(MATCH($D293,CMB_G,0)),2,0)))</f>
        <v/>
      </c>
      <c r="Q293" s="84">
        <f>IF(ISNUMBER($H293),-$H293,0)</f>
        <v>0</v>
      </c>
      <c r="R293" s="84">
        <f>IF(ISNUMBER($I293),ABS($I293),0)</f>
        <v>0</v>
      </c>
      <c r="S293" s="84">
        <f>IF(ISNUMBER($M293),ABS($M293),0)</f>
        <v>0</v>
      </c>
      <c r="T293" s="85" t="n">
        <v>285</v>
      </c>
    </row>
    <row r="294">
      <c r="B294" s="83" t="n"/>
      <c r="C294" s="83" t="n"/>
      <c r="D294" s="83" t="n"/>
      <c r="E294" s="83" t="n"/>
      <c r="F294" s="83" t="n"/>
      <c r="G294" s="83" t="n"/>
      <c r="H294" s="83" t="n"/>
      <c r="I294" s="83" t="n"/>
      <c r="J294" s="83" t="n"/>
      <c r="K294" s="83" t="n"/>
      <c r="L294" s="83" t="n"/>
      <c r="M294" s="83" t="n"/>
      <c r="O294" s="84" t="str">
        <f>IF($C294="","",IFERROR(MATCH($B294&amp;"|"&amp;$C294,MUROS!$AX$11:$AX$70,0),0))</f>
        <v/>
      </c>
      <c r="P294" s="84" t="str">
        <f>IF($D294="","",IF(ISNUMBER(MATCH($D294,CMB_S,0)),1,IF(ISNUMBER(MATCH($D294,CMB_G,0)),2,0)))</f>
        <v/>
      </c>
      <c r="Q294" s="84">
        <f>IF(ISNUMBER($H294),-$H294,0)</f>
        <v>0</v>
      </c>
      <c r="R294" s="84">
        <f>IF(ISNUMBER($I294),ABS($I294),0)</f>
        <v>0</v>
      </c>
      <c r="S294" s="84">
        <f>IF(ISNUMBER($M294),ABS($M294),0)</f>
        <v>0</v>
      </c>
      <c r="T294" s="85" t="n">
        <v>286</v>
      </c>
    </row>
    <row r="295">
      <c r="B295" s="83" t="n"/>
      <c r="C295" s="83" t="n"/>
      <c r="D295" s="83" t="n"/>
      <c r="E295" s="83" t="n"/>
      <c r="F295" s="83" t="n"/>
      <c r="G295" s="83" t="n"/>
      <c r="H295" s="83" t="n"/>
      <c r="I295" s="83" t="n"/>
      <c r="J295" s="83" t="n"/>
      <c r="K295" s="83" t="n"/>
      <c r="L295" s="83" t="n"/>
      <c r="M295" s="83" t="n"/>
      <c r="O295" s="84" t="str">
        <f>IF($C295="","",IFERROR(MATCH($B295&amp;"|"&amp;$C295,MUROS!$AX$11:$AX$70,0),0))</f>
        <v/>
      </c>
      <c r="P295" s="84" t="str">
        <f>IF($D295="","",IF(ISNUMBER(MATCH($D295,CMB_S,0)),1,IF(ISNUMBER(MATCH($D295,CMB_G,0)),2,0)))</f>
        <v/>
      </c>
      <c r="Q295" s="84">
        <f>IF(ISNUMBER($H295),-$H295,0)</f>
        <v>0</v>
      </c>
      <c r="R295" s="84">
        <f>IF(ISNUMBER($I295),ABS($I295),0)</f>
        <v>0</v>
      </c>
      <c r="S295" s="84">
        <f>IF(ISNUMBER($M295),ABS($M295),0)</f>
        <v>0</v>
      </c>
      <c r="T295" s="85" t="n">
        <v>287</v>
      </c>
    </row>
    <row r="296">
      <c r="B296" s="83" t="n"/>
      <c r="C296" s="83" t="n"/>
      <c r="D296" s="83" t="n"/>
      <c r="E296" s="83" t="n"/>
      <c r="F296" s="83" t="n"/>
      <c r="G296" s="83" t="n"/>
      <c r="H296" s="83" t="n"/>
      <c r="I296" s="83" t="n"/>
      <c r="J296" s="83" t="n"/>
      <c r="K296" s="83" t="n"/>
      <c r="L296" s="83" t="n"/>
      <c r="M296" s="83" t="n"/>
      <c r="O296" s="84" t="str">
        <f>IF($C296="","",IFERROR(MATCH($B296&amp;"|"&amp;$C296,MUROS!$AX$11:$AX$70,0),0))</f>
        <v/>
      </c>
      <c r="P296" s="84" t="str">
        <f>IF($D296="","",IF(ISNUMBER(MATCH($D296,CMB_S,0)),1,IF(ISNUMBER(MATCH($D296,CMB_G,0)),2,0)))</f>
        <v/>
      </c>
      <c r="Q296" s="84">
        <f>IF(ISNUMBER($H296),-$H296,0)</f>
        <v>0</v>
      </c>
      <c r="R296" s="84">
        <f>IF(ISNUMBER($I296),ABS($I296),0)</f>
        <v>0</v>
      </c>
      <c r="S296" s="84">
        <f>IF(ISNUMBER($M296),ABS($M296),0)</f>
        <v>0</v>
      </c>
      <c r="T296" s="85" t="n">
        <v>288</v>
      </c>
    </row>
    <row r="297">
      <c r="B297" s="83" t="n"/>
      <c r="C297" s="83" t="n"/>
      <c r="D297" s="83" t="n"/>
      <c r="E297" s="83" t="n"/>
      <c r="F297" s="83" t="n"/>
      <c r="G297" s="83" t="n"/>
      <c r="H297" s="83" t="n"/>
      <c r="I297" s="83" t="n"/>
      <c r="J297" s="83" t="n"/>
      <c r="K297" s="83" t="n"/>
      <c r="L297" s="83" t="n"/>
      <c r="M297" s="83" t="n"/>
      <c r="O297" s="84" t="str">
        <f>IF($C297="","",IFERROR(MATCH($B297&amp;"|"&amp;$C297,MUROS!$AX$11:$AX$70,0),0))</f>
        <v/>
      </c>
      <c r="P297" s="84" t="str">
        <f>IF($D297="","",IF(ISNUMBER(MATCH($D297,CMB_S,0)),1,IF(ISNUMBER(MATCH($D297,CMB_G,0)),2,0)))</f>
        <v/>
      </c>
      <c r="Q297" s="84">
        <f>IF(ISNUMBER($H297),-$H297,0)</f>
        <v>0</v>
      </c>
      <c r="R297" s="84">
        <f>IF(ISNUMBER($I297),ABS($I297),0)</f>
        <v>0</v>
      </c>
      <c r="S297" s="84">
        <f>IF(ISNUMBER($M297),ABS($M297),0)</f>
        <v>0</v>
      </c>
      <c r="T297" s="85" t="n">
        <v>289</v>
      </c>
    </row>
    <row r="298">
      <c r="B298" s="83" t="n"/>
      <c r="C298" s="83" t="n"/>
      <c r="D298" s="83" t="n"/>
      <c r="E298" s="83" t="n"/>
      <c r="F298" s="83" t="n"/>
      <c r="G298" s="83" t="n"/>
      <c r="H298" s="83" t="n"/>
      <c r="I298" s="83" t="n"/>
      <c r="J298" s="83" t="n"/>
      <c r="K298" s="83" t="n"/>
      <c r="L298" s="83" t="n"/>
      <c r="M298" s="83" t="n"/>
      <c r="O298" s="84" t="str">
        <f>IF($C298="","",IFERROR(MATCH($B298&amp;"|"&amp;$C298,MUROS!$AX$11:$AX$70,0),0))</f>
        <v/>
      </c>
      <c r="P298" s="84" t="str">
        <f>IF($D298="","",IF(ISNUMBER(MATCH($D298,CMB_S,0)),1,IF(ISNUMBER(MATCH($D298,CMB_G,0)),2,0)))</f>
        <v/>
      </c>
      <c r="Q298" s="84">
        <f>IF(ISNUMBER($H298),-$H298,0)</f>
        <v>0</v>
      </c>
      <c r="R298" s="84">
        <f>IF(ISNUMBER($I298),ABS($I298),0)</f>
        <v>0</v>
      </c>
      <c r="S298" s="84">
        <f>IF(ISNUMBER($M298),ABS($M298),0)</f>
        <v>0</v>
      </c>
      <c r="T298" s="85" t="n">
        <v>290</v>
      </c>
    </row>
    <row r="299">
      <c r="B299" s="83" t="n"/>
      <c r="C299" s="83" t="n"/>
      <c r="D299" s="83" t="n"/>
      <c r="E299" s="83" t="n"/>
      <c r="F299" s="83" t="n"/>
      <c r="G299" s="83" t="n"/>
      <c r="H299" s="83" t="n"/>
      <c r="I299" s="83" t="n"/>
      <c r="J299" s="83" t="n"/>
      <c r="K299" s="83" t="n"/>
      <c r="L299" s="83" t="n"/>
      <c r="M299" s="83" t="n"/>
      <c r="O299" s="84" t="str">
        <f>IF($C299="","",IFERROR(MATCH($B299&amp;"|"&amp;$C299,MUROS!$AX$11:$AX$70,0),0))</f>
        <v/>
      </c>
      <c r="P299" s="84" t="str">
        <f>IF($D299="","",IF(ISNUMBER(MATCH($D299,CMB_S,0)),1,IF(ISNUMBER(MATCH($D299,CMB_G,0)),2,0)))</f>
        <v/>
      </c>
      <c r="Q299" s="84">
        <f>IF(ISNUMBER($H299),-$H299,0)</f>
        <v>0</v>
      </c>
      <c r="R299" s="84">
        <f>IF(ISNUMBER($I299),ABS($I299),0)</f>
        <v>0</v>
      </c>
      <c r="S299" s="84">
        <f>IF(ISNUMBER($M299),ABS($M299),0)</f>
        <v>0</v>
      </c>
      <c r="T299" s="85" t="n">
        <v>291</v>
      </c>
    </row>
    <row r="300"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83" t="n"/>
      <c r="K300" s="83" t="n"/>
      <c r="L300" s="83" t="n"/>
      <c r="M300" s="83" t="n"/>
      <c r="O300" s="84" t="str">
        <f>IF($C300="","",IFERROR(MATCH($B300&amp;"|"&amp;$C300,MUROS!$AX$11:$AX$70,0),0))</f>
        <v/>
      </c>
      <c r="P300" s="84" t="str">
        <f>IF($D300="","",IF(ISNUMBER(MATCH($D300,CMB_S,0)),1,IF(ISNUMBER(MATCH($D300,CMB_G,0)),2,0)))</f>
        <v/>
      </c>
      <c r="Q300" s="84">
        <f>IF(ISNUMBER($H300),-$H300,0)</f>
        <v>0</v>
      </c>
      <c r="R300" s="84">
        <f>IF(ISNUMBER($I300),ABS($I300),0)</f>
        <v>0</v>
      </c>
      <c r="S300" s="84">
        <f>IF(ISNUMBER($M300),ABS($M300),0)</f>
        <v>0</v>
      </c>
      <c r="T300" s="85" t="n">
        <v>292</v>
      </c>
    </row>
    <row r="301">
      <c r="B301" s="83" t="n"/>
      <c r="C301" s="83" t="n"/>
      <c r="D301" s="83" t="n"/>
      <c r="E301" s="83" t="n"/>
      <c r="F301" s="83" t="n"/>
      <c r="G301" s="83" t="n"/>
      <c r="H301" s="83" t="n"/>
      <c r="I301" s="83" t="n"/>
      <c r="J301" s="83" t="n"/>
      <c r="K301" s="83" t="n"/>
      <c r="L301" s="83" t="n"/>
      <c r="M301" s="83" t="n"/>
      <c r="O301" s="84" t="str">
        <f>IF($C301="","",IFERROR(MATCH($B301&amp;"|"&amp;$C301,MUROS!$AX$11:$AX$70,0),0))</f>
        <v/>
      </c>
      <c r="P301" s="84" t="str">
        <f>IF($D301="","",IF(ISNUMBER(MATCH($D301,CMB_S,0)),1,IF(ISNUMBER(MATCH($D301,CMB_G,0)),2,0)))</f>
        <v/>
      </c>
      <c r="Q301" s="84">
        <f>IF(ISNUMBER($H301),-$H301,0)</f>
        <v>0</v>
      </c>
      <c r="R301" s="84">
        <f>IF(ISNUMBER($I301),ABS($I301),0)</f>
        <v>0</v>
      </c>
      <c r="S301" s="84">
        <f>IF(ISNUMBER($M301),ABS($M301),0)</f>
        <v>0</v>
      </c>
      <c r="T301" s="85" t="n">
        <v>293</v>
      </c>
    </row>
    <row r="302">
      <c r="B302" s="83" t="n"/>
      <c r="C302" s="83" t="n"/>
      <c r="D302" s="83" t="n"/>
      <c r="E302" s="83" t="n"/>
      <c r="F302" s="83" t="n"/>
      <c r="G302" s="83" t="n"/>
      <c r="H302" s="83" t="n"/>
      <c r="I302" s="83" t="n"/>
      <c r="J302" s="83" t="n"/>
      <c r="K302" s="83" t="n"/>
      <c r="L302" s="83" t="n"/>
      <c r="M302" s="83" t="n"/>
      <c r="O302" s="84" t="str">
        <f>IF($C302="","",IFERROR(MATCH($B302&amp;"|"&amp;$C302,MUROS!$AX$11:$AX$70,0),0))</f>
        <v/>
      </c>
      <c r="P302" s="84" t="str">
        <f>IF($D302="","",IF(ISNUMBER(MATCH($D302,CMB_S,0)),1,IF(ISNUMBER(MATCH($D302,CMB_G,0)),2,0)))</f>
        <v/>
      </c>
      <c r="Q302" s="84">
        <f>IF(ISNUMBER($H302),-$H302,0)</f>
        <v>0</v>
      </c>
      <c r="R302" s="84">
        <f>IF(ISNUMBER($I302),ABS($I302),0)</f>
        <v>0</v>
      </c>
      <c r="S302" s="84">
        <f>IF(ISNUMBER($M302),ABS($M302),0)</f>
        <v>0</v>
      </c>
      <c r="T302" s="85" t="n">
        <v>294</v>
      </c>
    </row>
    <row r="303">
      <c r="B303" s="83" t="n"/>
      <c r="C303" s="83" t="n"/>
      <c r="D303" s="83" t="n"/>
      <c r="E303" s="83" t="n"/>
      <c r="F303" s="83" t="n"/>
      <c r="G303" s="83" t="n"/>
      <c r="H303" s="83" t="n"/>
      <c r="I303" s="83" t="n"/>
      <c r="J303" s="83" t="n"/>
      <c r="K303" s="83" t="n"/>
      <c r="L303" s="83" t="n"/>
      <c r="M303" s="83" t="n"/>
      <c r="O303" s="84" t="str">
        <f>IF($C303="","",IFERROR(MATCH($B303&amp;"|"&amp;$C303,MUROS!$AX$11:$AX$70,0),0))</f>
        <v/>
      </c>
      <c r="P303" s="84" t="str">
        <f>IF($D303="","",IF(ISNUMBER(MATCH($D303,CMB_S,0)),1,IF(ISNUMBER(MATCH($D303,CMB_G,0)),2,0)))</f>
        <v/>
      </c>
      <c r="Q303" s="84">
        <f>IF(ISNUMBER($H303),-$H303,0)</f>
        <v>0</v>
      </c>
      <c r="R303" s="84">
        <f>IF(ISNUMBER($I303),ABS($I303),0)</f>
        <v>0</v>
      </c>
      <c r="S303" s="84">
        <f>IF(ISNUMBER($M303),ABS($M303),0)</f>
        <v>0</v>
      </c>
      <c r="T303" s="85" t="n">
        <v>295</v>
      </c>
    </row>
    <row r="304">
      <c r="B304" s="83" t="n"/>
      <c r="C304" s="83" t="n"/>
      <c r="D304" s="83" t="n"/>
      <c r="E304" s="83" t="n"/>
      <c r="F304" s="83" t="n"/>
      <c r="G304" s="83" t="n"/>
      <c r="H304" s="83" t="n"/>
      <c r="I304" s="83" t="n"/>
      <c r="J304" s="83" t="n"/>
      <c r="K304" s="83" t="n"/>
      <c r="L304" s="83" t="n"/>
      <c r="M304" s="83" t="n"/>
      <c r="O304" s="84" t="str">
        <f>IF($C304="","",IFERROR(MATCH($B304&amp;"|"&amp;$C304,MUROS!$AX$11:$AX$70,0),0))</f>
        <v/>
      </c>
      <c r="P304" s="84" t="str">
        <f>IF($D304="","",IF(ISNUMBER(MATCH($D304,CMB_S,0)),1,IF(ISNUMBER(MATCH($D304,CMB_G,0)),2,0)))</f>
        <v/>
      </c>
      <c r="Q304" s="84">
        <f>IF(ISNUMBER($H304),-$H304,0)</f>
        <v>0</v>
      </c>
      <c r="R304" s="84">
        <f>IF(ISNUMBER($I304),ABS($I304),0)</f>
        <v>0</v>
      </c>
      <c r="S304" s="84">
        <f>IF(ISNUMBER($M304),ABS($M304),0)</f>
        <v>0</v>
      </c>
      <c r="T304" s="85" t="n">
        <v>296</v>
      </c>
    </row>
    <row r="305">
      <c r="B305" s="83" t="n"/>
      <c r="C305" s="83" t="n"/>
      <c r="D305" s="83" t="n"/>
      <c r="E305" s="83" t="n"/>
      <c r="F305" s="83" t="n"/>
      <c r="G305" s="83" t="n"/>
      <c r="H305" s="83" t="n"/>
      <c r="I305" s="83" t="n"/>
      <c r="J305" s="83" t="n"/>
      <c r="K305" s="83" t="n"/>
      <c r="L305" s="83" t="n"/>
      <c r="M305" s="83" t="n"/>
      <c r="O305" s="84" t="str">
        <f>IF($C305="","",IFERROR(MATCH($B305&amp;"|"&amp;$C305,MUROS!$AX$11:$AX$70,0),0))</f>
        <v/>
      </c>
      <c r="P305" s="84" t="str">
        <f>IF($D305="","",IF(ISNUMBER(MATCH($D305,CMB_S,0)),1,IF(ISNUMBER(MATCH($D305,CMB_G,0)),2,0)))</f>
        <v/>
      </c>
      <c r="Q305" s="84">
        <f>IF(ISNUMBER($H305),-$H305,0)</f>
        <v>0</v>
      </c>
      <c r="R305" s="84">
        <f>IF(ISNUMBER($I305),ABS($I305),0)</f>
        <v>0</v>
      </c>
      <c r="S305" s="84">
        <f>IF(ISNUMBER($M305),ABS($M305),0)</f>
        <v>0</v>
      </c>
      <c r="T305" s="85" t="n">
        <v>297</v>
      </c>
    </row>
    <row r="306">
      <c r="B306" s="83" t="n"/>
      <c r="C306" s="83" t="n"/>
      <c r="D306" s="83" t="n"/>
      <c r="E306" s="83" t="n"/>
      <c r="F306" s="83" t="n"/>
      <c r="G306" s="83" t="n"/>
      <c r="H306" s="83" t="n"/>
      <c r="I306" s="83" t="n"/>
      <c r="J306" s="83" t="n"/>
      <c r="K306" s="83" t="n"/>
      <c r="L306" s="83" t="n"/>
      <c r="M306" s="83" t="n"/>
      <c r="O306" s="84" t="str">
        <f>IF($C306="","",IFERROR(MATCH($B306&amp;"|"&amp;$C306,MUROS!$AX$11:$AX$70,0),0))</f>
        <v/>
      </c>
      <c r="P306" s="84" t="str">
        <f>IF($D306="","",IF(ISNUMBER(MATCH($D306,CMB_S,0)),1,IF(ISNUMBER(MATCH($D306,CMB_G,0)),2,0)))</f>
        <v/>
      </c>
      <c r="Q306" s="84">
        <f>IF(ISNUMBER($H306),-$H306,0)</f>
        <v>0</v>
      </c>
      <c r="R306" s="84">
        <f>IF(ISNUMBER($I306),ABS($I306),0)</f>
        <v>0</v>
      </c>
      <c r="S306" s="84">
        <f>IF(ISNUMBER($M306),ABS($M306),0)</f>
        <v>0</v>
      </c>
      <c r="T306" s="85" t="n">
        <v>298</v>
      </c>
    </row>
    <row r="307">
      <c r="B307" s="83" t="n"/>
      <c r="C307" s="83" t="n"/>
      <c r="D307" s="83" t="n"/>
      <c r="E307" s="83" t="n"/>
      <c r="F307" s="83" t="n"/>
      <c r="G307" s="83" t="n"/>
      <c r="H307" s="83" t="n"/>
      <c r="I307" s="83" t="n"/>
      <c r="J307" s="83" t="n"/>
      <c r="K307" s="83" t="n"/>
      <c r="L307" s="83" t="n"/>
      <c r="M307" s="83" t="n"/>
      <c r="O307" s="84" t="str">
        <f>IF($C307="","",IFERROR(MATCH($B307&amp;"|"&amp;$C307,MUROS!$AX$11:$AX$70,0),0))</f>
        <v/>
      </c>
      <c r="P307" s="84" t="str">
        <f>IF($D307="","",IF(ISNUMBER(MATCH($D307,CMB_S,0)),1,IF(ISNUMBER(MATCH($D307,CMB_G,0)),2,0)))</f>
        <v/>
      </c>
      <c r="Q307" s="84">
        <f>IF(ISNUMBER($H307),-$H307,0)</f>
        <v>0</v>
      </c>
      <c r="R307" s="84">
        <f>IF(ISNUMBER($I307),ABS($I307),0)</f>
        <v>0</v>
      </c>
      <c r="S307" s="84">
        <f>IF(ISNUMBER($M307),ABS($M307),0)</f>
        <v>0</v>
      </c>
      <c r="T307" s="85" t="n">
        <v>299</v>
      </c>
    </row>
    <row r="308">
      <c r="B308" s="83" t="n"/>
      <c r="C308" s="83" t="n"/>
      <c r="D308" s="83" t="n"/>
      <c r="E308" s="83" t="n"/>
      <c r="F308" s="83" t="n"/>
      <c r="G308" s="83" t="n"/>
      <c r="H308" s="83" t="n"/>
      <c r="I308" s="83" t="n"/>
      <c r="J308" s="83" t="n"/>
      <c r="K308" s="83" t="n"/>
      <c r="L308" s="83" t="n"/>
      <c r="M308" s="83" t="n"/>
      <c r="O308" s="84" t="str">
        <f>IF($C308="","",IFERROR(MATCH($B308&amp;"|"&amp;$C308,MUROS!$AX$11:$AX$70,0),0))</f>
        <v/>
      </c>
      <c r="P308" s="84" t="str">
        <f>IF($D308="","",IF(ISNUMBER(MATCH($D308,CMB_S,0)),1,IF(ISNUMBER(MATCH($D308,CMB_G,0)),2,0)))</f>
        <v/>
      </c>
      <c r="Q308" s="84">
        <f>IF(ISNUMBER($H308),-$H308,0)</f>
        <v>0</v>
      </c>
      <c r="R308" s="84">
        <f>IF(ISNUMBER($I308),ABS($I308),0)</f>
        <v>0</v>
      </c>
      <c r="S308" s="84">
        <f>IF(ISNUMBER($M308),ABS($M308),0)</f>
        <v>0</v>
      </c>
      <c r="T308" s="85" t="n">
        <v>300</v>
      </c>
    </row>
    <row r="309">
      <c r="B309" s="83" t="n"/>
      <c r="C309" s="83" t="n"/>
      <c r="D309" s="83" t="n"/>
      <c r="E309" s="83" t="n"/>
      <c r="F309" s="83" t="n"/>
      <c r="G309" s="83" t="n"/>
      <c r="H309" s="83" t="n"/>
      <c r="I309" s="83" t="n"/>
      <c r="J309" s="83" t="n"/>
      <c r="K309" s="83" t="n"/>
      <c r="L309" s="83" t="n"/>
      <c r="M309" s="83" t="n"/>
      <c r="O309" s="84" t="str">
        <f>IF($C309="","",IFERROR(MATCH($B309&amp;"|"&amp;$C309,MUROS!$AX$11:$AX$70,0),0))</f>
        <v/>
      </c>
      <c r="P309" s="84" t="str">
        <f>IF($D309="","",IF(ISNUMBER(MATCH($D309,CMB_S,0)),1,IF(ISNUMBER(MATCH($D309,CMB_G,0)),2,0)))</f>
        <v/>
      </c>
      <c r="Q309" s="84">
        <f>IF(ISNUMBER($H309),-$H309,0)</f>
        <v>0</v>
      </c>
      <c r="R309" s="84">
        <f>IF(ISNUMBER($I309),ABS($I309),0)</f>
        <v>0</v>
      </c>
      <c r="S309" s="84">
        <f>IF(ISNUMBER($M309),ABS($M309),0)</f>
        <v>0</v>
      </c>
      <c r="T309" s="85" t="n">
        <v>301</v>
      </c>
    </row>
    <row r="310"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3" t="n"/>
      <c r="K310" s="83" t="n"/>
      <c r="L310" s="83" t="n"/>
      <c r="M310" s="83" t="n"/>
      <c r="O310" s="84" t="str">
        <f>IF($C310="","",IFERROR(MATCH($B310&amp;"|"&amp;$C310,MUROS!$AX$11:$AX$70,0),0))</f>
        <v/>
      </c>
      <c r="P310" s="84" t="str">
        <f>IF($D310="","",IF(ISNUMBER(MATCH($D310,CMB_S,0)),1,IF(ISNUMBER(MATCH($D310,CMB_G,0)),2,0)))</f>
        <v/>
      </c>
      <c r="Q310" s="84">
        <f>IF(ISNUMBER($H310),-$H310,0)</f>
        <v>0</v>
      </c>
      <c r="R310" s="84">
        <f>IF(ISNUMBER($I310),ABS($I310),0)</f>
        <v>0</v>
      </c>
      <c r="S310" s="84">
        <f>IF(ISNUMBER($M310),ABS($M310),0)</f>
        <v>0</v>
      </c>
      <c r="T310" s="85" t="n">
        <v>302</v>
      </c>
    </row>
    <row r="311">
      <c r="B311" s="83" t="n"/>
      <c r="C311" s="83" t="n"/>
      <c r="D311" s="83" t="n"/>
      <c r="E311" s="83" t="n"/>
      <c r="F311" s="83" t="n"/>
      <c r="G311" s="83" t="n"/>
      <c r="H311" s="83" t="n"/>
      <c r="I311" s="83" t="n"/>
      <c r="J311" s="83" t="n"/>
      <c r="K311" s="83" t="n"/>
      <c r="L311" s="83" t="n"/>
      <c r="M311" s="83" t="n"/>
      <c r="O311" s="84" t="str">
        <f>IF($C311="","",IFERROR(MATCH($B311&amp;"|"&amp;$C311,MUROS!$AX$11:$AX$70,0),0))</f>
        <v/>
      </c>
      <c r="P311" s="84" t="str">
        <f>IF($D311="","",IF(ISNUMBER(MATCH($D311,CMB_S,0)),1,IF(ISNUMBER(MATCH($D311,CMB_G,0)),2,0)))</f>
        <v/>
      </c>
      <c r="Q311" s="84">
        <f>IF(ISNUMBER($H311),-$H311,0)</f>
        <v>0</v>
      </c>
      <c r="R311" s="84">
        <f>IF(ISNUMBER($I311),ABS($I311),0)</f>
        <v>0</v>
      </c>
      <c r="S311" s="84">
        <f>IF(ISNUMBER($M311),ABS($M311),0)</f>
        <v>0</v>
      </c>
      <c r="T311" s="85" t="n">
        <v>303</v>
      </c>
    </row>
    <row r="312">
      <c r="B312" s="83" t="n"/>
      <c r="C312" s="83" t="n"/>
      <c r="D312" s="83" t="n"/>
      <c r="E312" s="83" t="n"/>
      <c r="F312" s="83" t="n"/>
      <c r="G312" s="83" t="n"/>
      <c r="H312" s="83" t="n"/>
      <c r="I312" s="83" t="n"/>
      <c r="J312" s="83" t="n"/>
      <c r="K312" s="83" t="n"/>
      <c r="L312" s="83" t="n"/>
      <c r="M312" s="83" t="n"/>
      <c r="O312" s="84" t="str">
        <f>IF($C312="","",IFERROR(MATCH($B312&amp;"|"&amp;$C312,MUROS!$AX$11:$AX$70,0),0))</f>
        <v/>
      </c>
      <c r="P312" s="84" t="str">
        <f>IF($D312="","",IF(ISNUMBER(MATCH($D312,CMB_S,0)),1,IF(ISNUMBER(MATCH($D312,CMB_G,0)),2,0)))</f>
        <v/>
      </c>
      <c r="Q312" s="84">
        <f>IF(ISNUMBER($H312),-$H312,0)</f>
        <v>0</v>
      </c>
      <c r="R312" s="84">
        <f>IF(ISNUMBER($I312),ABS($I312),0)</f>
        <v>0</v>
      </c>
      <c r="S312" s="84">
        <f>IF(ISNUMBER($M312),ABS($M312),0)</f>
        <v>0</v>
      </c>
      <c r="T312" s="85" t="n">
        <v>304</v>
      </c>
    </row>
    <row r="313">
      <c r="B313" s="83" t="n"/>
      <c r="C313" s="83" t="n"/>
      <c r="D313" s="83" t="n"/>
      <c r="E313" s="83" t="n"/>
      <c r="F313" s="83" t="n"/>
      <c r="G313" s="83" t="n"/>
      <c r="H313" s="83" t="n"/>
      <c r="I313" s="83" t="n"/>
      <c r="J313" s="83" t="n"/>
      <c r="K313" s="83" t="n"/>
      <c r="L313" s="83" t="n"/>
      <c r="M313" s="83" t="n"/>
      <c r="O313" s="84" t="str">
        <f>IF($C313="","",IFERROR(MATCH($B313&amp;"|"&amp;$C313,MUROS!$AX$11:$AX$70,0),0))</f>
        <v/>
      </c>
      <c r="P313" s="84" t="str">
        <f>IF($D313="","",IF(ISNUMBER(MATCH($D313,CMB_S,0)),1,IF(ISNUMBER(MATCH($D313,CMB_G,0)),2,0)))</f>
        <v/>
      </c>
      <c r="Q313" s="84">
        <f>IF(ISNUMBER($H313),-$H313,0)</f>
        <v>0</v>
      </c>
      <c r="R313" s="84">
        <f>IF(ISNUMBER($I313),ABS($I313),0)</f>
        <v>0</v>
      </c>
      <c r="S313" s="84">
        <f>IF(ISNUMBER($M313),ABS($M313),0)</f>
        <v>0</v>
      </c>
      <c r="T313" s="85" t="n">
        <v>305</v>
      </c>
    </row>
    <row r="314">
      <c r="B314" s="83" t="n"/>
      <c r="C314" s="83" t="n"/>
      <c r="D314" s="83" t="n"/>
      <c r="E314" s="83" t="n"/>
      <c r="F314" s="83" t="n"/>
      <c r="G314" s="83" t="n"/>
      <c r="H314" s="83" t="n"/>
      <c r="I314" s="83" t="n"/>
      <c r="J314" s="83" t="n"/>
      <c r="K314" s="83" t="n"/>
      <c r="L314" s="83" t="n"/>
      <c r="M314" s="83" t="n"/>
      <c r="O314" s="84" t="str">
        <f>IF($C314="","",IFERROR(MATCH($B314&amp;"|"&amp;$C314,MUROS!$AX$11:$AX$70,0),0))</f>
        <v/>
      </c>
      <c r="P314" s="84" t="str">
        <f>IF($D314="","",IF(ISNUMBER(MATCH($D314,CMB_S,0)),1,IF(ISNUMBER(MATCH($D314,CMB_G,0)),2,0)))</f>
        <v/>
      </c>
      <c r="Q314" s="84">
        <f>IF(ISNUMBER($H314),-$H314,0)</f>
        <v>0</v>
      </c>
      <c r="R314" s="84">
        <f>IF(ISNUMBER($I314),ABS($I314),0)</f>
        <v>0</v>
      </c>
      <c r="S314" s="84">
        <f>IF(ISNUMBER($M314),ABS($M314),0)</f>
        <v>0</v>
      </c>
      <c r="T314" s="85" t="n">
        <v>306</v>
      </c>
    </row>
    <row r="315">
      <c r="B315" s="83" t="n"/>
      <c r="C315" s="83" t="n"/>
      <c r="D315" s="83" t="n"/>
      <c r="E315" s="83" t="n"/>
      <c r="F315" s="83" t="n"/>
      <c r="G315" s="83" t="n"/>
      <c r="H315" s="83" t="n"/>
      <c r="I315" s="83" t="n"/>
      <c r="J315" s="83" t="n"/>
      <c r="K315" s="83" t="n"/>
      <c r="L315" s="83" t="n"/>
      <c r="M315" s="83" t="n"/>
      <c r="O315" s="84" t="str">
        <f>IF($C315="","",IFERROR(MATCH($B315&amp;"|"&amp;$C315,MUROS!$AX$11:$AX$70,0),0))</f>
        <v/>
      </c>
      <c r="P315" s="84" t="str">
        <f>IF($D315="","",IF(ISNUMBER(MATCH($D315,CMB_S,0)),1,IF(ISNUMBER(MATCH($D315,CMB_G,0)),2,0)))</f>
        <v/>
      </c>
      <c r="Q315" s="84">
        <f>IF(ISNUMBER($H315),-$H315,0)</f>
        <v>0</v>
      </c>
      <c r="R315" s="84">
        <f>IF(ISNUMBER($I315),ABS($I315),0)</f>
        <v>0</v>
      </c>
      <c r="S315" s="84">
        <f>IF(ISNUMBER($M315),ABS($M315),0)</f>
        <v>0</v>
      </c>
      <c r="T315" s="85" t="n">
        <v>307</v>
      </c>
    </row>
    <row r="316">
      <c r="B316" s="83" t="n"/>
      <c r="C316" s="83" t="n"/>
      <c r="D316" s="83" t="n"/>
      <c r="E316" s="83" t="n"/>
      <c r="F316" s="83" t="n"/>
      <c r="G316" s="83" t="n"/>
      <c r="H316" s="83" t="n"/>
      <c r="I316" s="83" t="n"/>
      <c r="J316" s="83" t="n"/>
      <c r="K316" s="83" t="n"/>
      <c r="L316" s="83" t="n"/>
      <c r="M316" s="83" t="n"/>
      <c r="O316" s="84" t="str">
        <f>IF($C316="","",IFERROR(MATCH($B316&amp;"|"&amp;$C316,MUROS!$AX$11:$AX$70,0),0))</f>
        <v/>
      </c>
      <c r="P316" s="84" t="str">
        <f>IF($D316="","",IF(ISNUMBER(MATCH($D316,CMB_S,0)),1,IF(ISNUMBER(MATCH($D316,CMB_G,0)),2,0)))</f>
        <v/>
      </c>
      <c r="Q316" s="84">
        <f>IF(ISNUMBER($H316),-$H316,0)</f>
        <v>0</v>
      </c>
      <c r="R316" s="84">
        <f>IF(ISNUMBER($I316),ABS($I316),0)</f>
        <v>0</v>
      </c>
      <c r="S316" s="84">
        <f>IF(ISNUMBER($M316),ABS($M316),0)</f>
        <v>0</v>
      </c>
      <c r="T316" s="85" t="n">
        <v>308</v>
      </c>
    </row>
    <row r="317">
      <c r="B317" s="83" t="n"/>
      <c r="C317" s="83" t="n"/>
      <c r="D317" s="83" t="n"/>
      <c r="E317" s="83" t="n"/>
      <c r="F317" s="83" t="n"/>
      <c r="G317" s="83" t="n"/>
      <c r="H317" s="83" t="n"/>
      <c r="I317" s="83" t="n"/>
      <c r="J317" s="83" t="n"/>
      <c r="K317" s="83" t="n"/>
      <c r="L317" s="83" t="n"/>
      <c r="M317" s="83" t="n"/>
      <c r="O317" s="84" t="str">
        <f>IF($C317="","",IFERROR(MATCH($B317&amp;"|"&amp;$C317,MUROS!$AX$11:$AX$70,0),0))</f>
        <v/>
      </c>
      <c r="P317" s="84" t="str">
        <f>IF($D317="","",IF(ISNUMBER(MATCH($D317,CMB_S,0)),1,IF(ISNUMBER(MATCH($D317,CMB_G,0)),2,0)))</f>
        <v/>
      </c>
      <c r="Q317" s="84">
        <f>IF(ISNUMBER($H317),-$H317,0)</f>
        <v>0</v>
      </c>
      <c r="R317" s="84">
        <f>IF(ISNUMBER($I317),ABS($I317),0)</f>
        <v>0</v>
      </c>
      <c r="S317" s="84">
        <f>IF(ISNUMBER($M317),ABS($M317),0)</f>
        <v>0</v>
      </c>
      <c r="T317" s="85" t="n">
        <v>309</v>
      </c>
    </row>
    <row r="318">
      <c r="B318" s="83" t="n"/>
      <c r="C318" s="83" t="n"/>
      <c r="D318" s="83" t="n"/>
      <c r="E318" s="83" t="n"/>
      <c r="F318" s="83" t="n"/>
      <c r="G318" s="83" t="n"/>
      <c r="H318" s="83" t="n"/>
      <c r="I318" s="83" t="n"/>
      <c r="J318" s="83" t="n"/>
      <c r="K318" s="83" t="n"/>
      <c r="L318" s="83" t="n"/>
      <c r="M318" s="83" t="n"/>
      <c r="O318" s="84" t="str">
        <f>IF($C318="","",IFERROR(MATCH($B318&amp;"|"&amp;$C318,MUROS!$AX$11:$AX$70,0),0))</f>
        <v/>
      </c>
      <c r="P318" s="84" t="str">
        <f>IF($D318="","",IF(ISNUMBER(MATCH($D318,CMB_S,0)),1,IF(ISNUMBER(MATCH($D318,CMB_G,0)),2,0)))</f>
        <v/>
      </c>
      <c r="Q318" s="84">
        <f>IF(ISNUMBER($H318),-$H318,0)</f>
        <v>0</v>
      </c>
      <c r="R318" s="84">
        <f>IF(ISNUMBER($I318),ABS($I318),0)</f>
        <v>0</v>
      </c>
      <c r="S318" s="84">
        <f>IF(ISNUMBER($M318),ABS($M318),0)</f>
        <v>0</v>
      </c>
      <c r="T318" s="85" t="n">
        <v>310</v>
      </c>
    </row>
    <row r="319"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83" t="n"/>
      <c r="K319" s="83" t="n"/>
      <c r="L319" s="83" t="n"/>
      <c r="M319" s="83" t="n"/>
      <c r="O319" s="84" t="str">
        <f>IF($C319="","",IFERROR(MATCH($B319&amp;"|"&amp;$C319,MUROS!$AX$11:$AX$70,0),0))</f>
        <v/>
      </c>
      <c r="P319" s="84" t="str">
        <f>IF($D319="","",IF(ISNUMBER(MATCH($D319,CMB_S,0)),1,IF(ISNUMBER(MATCH($D319,CMB_G,0)),2,0)))</f>
        <v/>
      </c>
      <c r="Q319" s="84">
        <f>IF(ISNUMBER($H319),-$H319,0)</f>
        <v>0</v>
      </c>
      <c r="R319" s="84">
        <f>IF(ISNUMBER($I319),ABS($I319),0)</f>
        <v>0</v>
      </c>
      <c r="S319" s="84">
        <f>IF(ISNUMBER($M319),ABS($M319),0)</f>
        <v>0</v>
      </c>
      <c r="T319" s="85" t="n">
        <v>311</v>
      </c>
    </row>
    <row r="320">
      <c r="B320" s="83" t="n"/>
      <c r="C320" s="83" t="n"/>
      <c r="D320" s="83" t="n"/>
      <c r="E320" s="83" t="n"/>
      <c r="F320" s="83" t="n"/>
      <c r="G320" s="83" t="n"/>
      <c r="H320" s="83" t="n"/>
      <c r="I320" s="83" t="n"/>
      <c r="J320" s="83" t="n"/>
      <c r="K320" s="83" t="n"/>
      <c r="L320" s="83" t="n"/>
      <c r="M320" s="83" t="n"/>
      <c r="O320" s="84" t="str">
        <f>IF($C320="","",IFERROR(MATCH($B320&amp;"|"&amp;$C320,MUROS!$AX$11:$AX$70,0),0))</f>
        <v/>
      </c>
      <c r="P320" s="84" t="str">
        <f>IF($D320="","",IF(ISNUMBER(MATCH($D320,CMB_S,0)),1,IF(ISNUMBER(MATCH($D320,CMB_G,0)),2,0)))</f>
        <v/>
      </c>
      <c r="Q320" s="84">
        <f>IF(ISNUMBER($H320),-$H320,0)</f>
        <v>0</v>
      </c>
      <c r="R320" s="84">
        <f>IF(ISNUMBER($I320),ABS($I320),0)</f>
        <v>0</v>
      </c>
      <c r="S320" s="84">
        <f>IF(ISNUMBER($M320),ABS($M320),0)</f>
        <v>0</v>
      </c>
      <c r="T320" s="85" t="n">
        <v>312</v>
      </c>
    </row>
    <row r="321">
      <c r="B321" s="83" t="n"/>
      <c r="C321" s="83" t="n"/>
      <c r="D321" s="83" t="n"/>
      <c r="E321" s="83" t="n"/>
      <c r="F321" s="83" t="n"/>
      <c r="G321" s="83" t="n"/>
      <c r="H321" s="83" t="n"/>
      <c r="I321" s="83" t="n"/>
      <c r="J321" s="83" t="n"/>
      <c r="K321" s="83" t="n"/>
      <c r="L321" s="83" t="n"/>
      <c r="M321" s="83" t="n"/>
      <c r="O321" s="84" t="str">
        <f>IF($C321="","",IFERROR(MATCH($B321&amp;"|"&amp;$C321,MUROS!$AX$11:$AX$70,0),0))</f>
        <v/>
      </c>
      <c r="P321" s="84" t="str">
        <f>IF($D321="","",IF(ISNUMBER(MATCH($D321,CMB_S,0)),1,IF(ISNUMBER(MATCH($D321,CMB_G,0)),2,0)))</f>
        <v/>
      </c>
      <c r="Q321" s="84">
        <f>IF(ISNUMBER($H321),-$H321,0)</f>
        <v>0</v>
      </c>
      <c r="R321" s="84">
        <f>IF(ISNUMBER($I321),ABS($I321),0)</f>
        <v>0</v>
      </c>
      <c r="S321" s="84">
        <f>IF(ISNUMBER($M321),ABS($M321),0)</f>
        <v>0</v>
      </c>
      <c r="T321" s="85" t="n">
        <v>313</v>
      </c>
    </row>
    <row r="322">
      <c r="B322" s="83" t="n"/>
      <c r="C322" s="83" t="n"/>
      <c r="D322" s="83" t="n"/>
      <c r="E322" s="83" t="n"/>
      <c r="F322" s="83" t="n"/>
      <c r="G322" s="83" t="n"/>
      <c r="H322" s="83" t="n"/>
      <c r="I322" s="83" t="n"/>
      <c r="J322" s="83" t="n"/>
      <c r="K322" s="83" t="n"/>
      <c r="L322" s="83" t="n"/>
      <c r="M322" s="83" t="n"/>
      <c r="O322" s="84" t="str">
        <f>IF($C322="","",IFERROR(MATCH($B322&amp;"|"&amp;$C322,MUROS!$AX$11:$AX$70,0),0))</f>
        <v/>
      </c>
      <c r="P322" s="84" t="str">
        <f>IF($D322="","",IF(ISNUMBER(MATCH($D322,CMB_S,0)),1,IF(ISNUMBER(MATCH($D322,CMB_G,0)),2,0)))</f>
        <v/>
      </c>
      <c r="Q322" s="84">
        <f>IF(ISNUMBER($H322),-$H322,0)</f>
        <v>0</v>
      </c>
      <c r="R322" s="84">
        <f>IF(ISNUMBER($I322),ABS($I322),0)</f>
        <v>0</v>
      </c>
      <c r="S322" s="84">
        <f>IF(ISNUMBER($M322),ABS($M322),0)</f>
        <v>0</v>
      </c>
      <c r="T322" s="85" t="n">
        <v>314</v>
      </c>
    </row>
    <row r="323">
      <c r="B323" s="83" t="n"/>
      <c r="C323" s="83" t="n"/>
      <c r="D323" s="83" t="n"/>
      <c r="E323" s="83" t="n"/>
      <c r="F323" s="83" t="n"/>
      <c r="G323" s="83" t="n"/>
      <c r="H323" s="83" t="n"/>
      <c r="I323" s="83" t="n"/>
      <c r="J323" s="83" t="n"/>
      <c r="K323" s="83" t="n"/>
      <c r="L323" s="83" t="n"/>
      <c r="M323" s="83" t="n"/>
      <c r="O323" s="84" t="str">
        <f>IF($C323="","",IFERROR(MATCH($B323&amp;"|"&amp;$C323,MUROS!$AX$11:$AX$70,0),0))</f>
        <v/>
      </c>
      <c r="P323" s="84" t="str">
        <f>IF($D323="","",IF(ISNUMBER(MATCH($D323,CMB_S,0)),1,IF(ISNUMBER(MATCH($D323,CMB_G,0)),2,0)))</f>
        <v/>
      </c>
      <c r="Q323" s="84">
        <f>IF(ISNUMBER($H323),-$H323,0)</f>
        <v>0</v>
      </c>
      <c r="R323" s="84">
        <f>IF(ISNUMBER($I323),ABS($I323),0)</f>
        <v>0</v>
      </c>
      <c r="S323" s="84">
        <f>IF(ISNUMBER($M323),ABS($M323),0)</f>
        <v>0</v>
      </c>
      <c r="T323" s="85" t="n">
        <v>315</v>
      </c>
    </row>
    <row r="324">
      <c r="B324" s="83" t="n"/>
      <c r="C324" s="83" t="n"/>
      <c r="D324" s="83" t="n"/>
      <c r="E324" s="83" t="n"/>
      <c r="F324" s="83" t="n"/>
      <c r="G324" s="83" t="n"/>
      <c r="H324" s="83" t="n"/>
      <c r="I324" s="83" t="n"/>
      <c r="J324" s="83" t="n"/>
      <c r="K324" s="83" t="n"/>
      <c r="L324" s="83" t="n"/>
      <c r="M324" s="83" t="n"/>
      <c r="O324" s="84" t="str">
        <f>IF($C324="","",IFERROR(MATCH($B324&amp;"|"&amp;$C324,MUROS!$AX$11:$AX$70,0),0))</f>
        <v/>
      </c>
      <c r="P324" s="84" t="str">
        <f>IF($D324="","",IF(ISNUMBER(MATCH($D324,CMB_S,0)),1,IF(ISNUMBER(MATCH($D324,CMB_G,0)),2,0)))</f>
        <v/>
      </c>
      <c r="Q324" s="84">
        <f>IF(ISNUMBER($H324),-$H324,0)</f>
        <v>0</v>
      </c>
      <c r="R324" s="84">
        <f>IF(ISNUMBER($I324),ABS($I324),0)</f>
        <v>0</v>
      </c>
      <c r="S324" s="84">
        <f>IF(ISNUMBER($M324),ABS($M324),0)</f>
        <v>0</v>
      </c>
      <c r="T324" s="85" t="n">
        <v>316</v>
      </c>
    </row>
    <row r="325">
      <c r="B325" s="83" t="n"/>
      <c r="C325" s="83" t="n"/>
      <c r="D325" s="83" t="n"/>
      <c r="E325" s="83" t="n"/>
      <c r="F325" s="83" t="n"/>
      <c r="G325" s="83" t="n"/>
      <c r="H325" s="83" t="n"/>
      <c r="I325" s="83" t="n"/>
      <c r="J325" s="83" t="n"/>
      <c r="K325" s="83" t="n"/>
      <c r="L325" s="83" t="n"/>
      <c r="M325" s="83" t="n"/>
      <c r="O325" s="84" t="str">
        <f>IF($C325="","",IFERROR(MATCH($B325&amp;"|"&amp;$C325,MUROS!$AX$11:$AX$70,0),0))</f>
        <v/>
      </c>
      <c r="P325" s="84" t="str">
        <f>IF($D325="","",IF(ISNUMBER(MATCH($D325,CMB_S,0)),1,IF(ISNUMBER(MATCH($D325,CMB_G,0)),2,0)))</f>
        <v/>
      </c>
      <c r="Q325" s="84">
        <f>IF(ISNUMBER($H325),-$H325,0)</f>
        <v>0</v>
      </c>
      <c r="R325" s="84">
        <f>IF(ISNUMBER($I325),ABS($I325),0)</f>
        <v>0</v>
      </c>
      <c r="S325" s="84">
        <f>IF(ISNUMBER($M325),ABS($M325),0)</f>
        <v>0</v>
      </c>
      <c r="T325" s="85" t="n">
        <v>317</v>
      </c>
    </row>
    <row r="326">
      <c r="B326" s="83" t="n"/>
      <c r="C326" s="83" t="n"/>
      <c r="D326" s="83" t="n"/>
      <c r="E326" s="83" t="n"/>
      <c r="F326" s="83" t="n"/>
      <c r="G326" s="83" t="n"/>
      <c r="H326" s="83" t="n"/>
      <c r="I326" s="83" t="n"/>
      <c r="J326" s="83" t="n"/>
      <c r="K326" s="83" t="n"/>
      <c r="L326" s="83" t="n"/>
      <c r="M326" s="83" t="n"/>
      <c r="O326" s="84" t="str">
        <f>IF($C326="","",IFERROR(MATCH($B326&amp;"|"&amp;$C326,MUROS!$AX$11:$AX$70,0),0))</f>
        <v/>
      </c>
      <c r="P326" s="84" t="str">
        <f>IF($D326="","",IF(ISNUMBER(MATCH($D326,CMB_S,0)),1,IF(ISNUMBER(MATCH($D326,CMB_G,0)),2,0)))</f>
        <v/>
      </c>
      <c r="Q326" s="84">
        <f>IF(ISNUMBER($H326),-$H326,0)</f>
        <v>0</v>
      </c>
      <c r="R326" s="84">
        <f>IF(ISNUMBER($I326),ABS($I326),0)</f>
        <v>0</v>
      </c>
      <c r="S326" s="84">
        <f>IF(ISNUMBER($M326),ABS($M326),0)</f>
        <v>0</v>
      </c>
      <c r="T326" s="85" t="n">
        <v>318</v>
      </c>
    </row>
    <row r="327">
      <c r="B327" s="83" t="n"/>
      <c r="C327" s="83" t="n"/>
      <c r="D327" s="83" t="n"/>
      <c r="E327" s="83" t="n"/>
      <c r="F327" s="83" t="n"/>
      <c r="G327" s="83" t="n"/>
      <c r="H327" s="83" t="n"/>
      <c r="I327" s="83" t="n"/>
      <c r="J327" s="83" t="n"/>
      <c r="K327" s="83" t="n"/>
      <c r="L327" s="83" t="n"/>
      <c r="M327" s="83" t="n"/>
      <c r="O327" s="84" t="str">
        <f>IF($C327="","",IFERROR(MATCH($B327&amp;"|"&amp;$C327,MUROS!$AX$11:$AX$70,0),0))</f>
        <v/>
      </c>
      <c r="P327" s="84" t="str">
        <f>IF($D327="","",IF(ISNUMBER(MATCH($D327,CMB_S,0)),1,IF(ISNUMBER(MATCH($D327,CMB_G,0)),2,0)))</f>
        <v/>
      </c>
      <c r="Q327" s="84">
        <f>IF(ISNUMBER($H327),-$H327,0)</f>
        <v>0</v>
      </c>
      <c r="R327" s="84">
        <f>IF(ISNUMBER($I327),ABS($I327),0)</f>
        <v>0</v>
      </c>
      <c r="S327" s="84">
        <f>IF(ISNUMBER($M327),ABS($M327),0)</f>
        <v>0</v>
      </c>
      <c r="T327" s="85" t="n">
        <v>319</v>
      </c>
    </row>
    <row r="328"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83" t="n"/>
      <c r="K328" s="83" t="n"/>
      <c r="L328" s="83" t="n"/>
      <c r="M328" s="83" t="n"/>
      <c r="O328" s="84" t="str">
        <f>IF($C328="","",IFERROR(MATCH($B328&amp;"|"&amp;$C328,MUROS!$AX$11:$AX$70,0),0))</f>
        <v/>
      </c>
      <c r="P328" s="84" t="str">
        <f>IF($D328="","",IF(ISNUMBER(MATCH($D328,CMB_S,0)),1,IF(ISNUMBER(MATCH($D328,CMB_G,0)),2,0)))</f>
        <v/>
      </c>
      <c r="Q328" s="84">
        <f>IF(ISNUMBER($H328),-$H328,0)</f>
        <v>0</v>
      </c>
      <c r="R328" s="84">
        <f>IF(ISNUMBER($I328),ABS($I328),0)</f>
        <v>0</v>
      </c>
      <c r="S328" s="84">
        <f>IF(ISNUMBER($M328),ABS($M328),0)</f>
        <v>0</v>
      </c>
      <c r="T328" s="85" t="n">
        <v>320</v>
      </c>
    </row>
    <row r="329">
      <c r="B329" s="83" t="n"/>
      <c r="C329" s="83" t="n"/>
      <c r="D329" s="83" t="n"/>
      <c r="E329" s="83" t="n"/>
      <c r="F329" s="83" t="n"/>
      <c r="G329" s="83" t="n"/>
      <c r="H329" s="83" t="n"/>
      <c r="I329" s="83" t="n"/>
      <c r="J329" s="83" t="n"/>
      <c r="K329" s="83" t="n"/>
      <c r="L329" s="83" t="n"/>
      <c r="M329" s="83" t="n"/>
      <c r="O329" s="84" t="str">
        <f>IF($C329="","",IFERROR(MATCH($B329&amp;"|"&amp;$C329,MUROS!$AX$11:$AX$70,0),0))</f>
        <v/>
      </c>
      <c r="P329" s="84" t="str">
        <f>IF($D329="","",IF(ISNUMBER(MATCH($D329,CMB_S,0)),1,IF(ISNUMBER(MATCH($D329,CMB_G,0)),2,0)))</f>
        <v/>
      </c>
      <c r="Q329" s="84">
        <f>IF(ISNUMBER($H329),-$H329,0)</f>
        <v>0</v>
      </c>
      <c r="R329" s="84">
        <f>IF(ISNUMBER($I329),ABS($I329),0)</f>
        <v>0</v>
      </c>
      <c r="S329" s="84">
        <f>IF(ISNUMBER($M329),ABS($M329),0)</f>
        <v>0</v>
      </c>
      <c r="T329" s="85" t="n">
        <v>321</v>
      </c>
    </row>
    <row r="330">
      <c r="B330" s="83" t="n"/>
      <c r="C330" s="83" t="n"/>
      <c r="D330" s="83" t="n"/>
      <c r="E330" s="83" t="n"/>
      <c r="F330" s="83" t="n"/>
      <c r="G330" s="83" t="n"/>
      <c r="H330" s="83" t="n"/>
      <c r="I330" s="83" t="n"/>
      <c r="J330" s="83" t="n"/>
      <c r="K330" s="83" t="n"/>
      <c r="L330" s="83" t="n"/>
      <c r="M330" s="83" t="n"/>
      <c r="O330" s="84" t="str">
        <f>IF($C330="","",IFERROR(MATCH($B330&amp;"|"&amp;$C330,MUROS!$AX$11:$AX$70,0),0))</f>
        <v/>
      </c>
      <c r="P330" s="84" t="str">
        <f>IF($D330="","",IF(ISNUMBER(MATCH($D330,CMB_S,0)),1,IF(ISNUMBER(MATCH($D330,CMB_G,0)),2,0)))</f>
        <v/>
      </c>
      <c r="Q330" s="84">
        <f>IF(ISNUMBER($H330),-$H330,0)</f>
        <v>0</v>
      </c>
      <c r="R330" s="84">
        <f>IF(ISNUMBER($I330),ABS($I330),0)</f>
        <v>0</v>
      </c>
      <c r="S330" s="84">
        <f>IF(ISNUMBER($M330),ABS($M330),0)</f>
        <v>0</v>
      </c>
      <c r="T330" s="85" t="n">
        <v>322</v>
      </c>
    </row>
    <row r="331">
      <c r="B331" s="83" t="n"/>
      <c r="C331" s="83" t="n"/>
      <c r="D331" s="83" t="n"/>
      <c r="E331" s="83" t="n"/>
      <c r="F331" s="83" t="n"/>
      <c r="G331" s="83" t="n"/>
      <c r="H331" s="83" t="n"/>
      <c r="I331" s="83" t="n"/>
      <c r="J331" s="83" t="n"/>
      <c r="K331" s="83" t="n"/>
      <c r="L331" s="83" t="n"/>
      <c r="M331" s="83" t="n"/>
      <c r="O331" s="84" t="str">
        <f>IF($C331="","",IFERROR(MATCH($B331&amp;"|"&amp;$C331,MUROS!$AX$11:$AX$70,0),0))</f>
        <v/>
      </c>
      <c r="P331" s="84" t="str">
        <f>IF($D331="","",IF(ISNUMBER(MATCH($D331,CMB_S,0)),1,IF(ISNUMBER(MATCH($D331,CMB_G,0)),2,0)))</f>
        <v/>
      </c>
      <c r="Q331" s="84">
        <f>IF(ISNUMBER($H331),-$H331,0)</f>
        <v>0</v>
      </c>
      <c r="R331" s="84">
        <f>IF(ISNUMBER($I331),ABS($I331),0)</f>
        <v>0</v>
      </c>
      <c r="S331" s="84">
        <f>IF(ISNUMBER($M331),ABS($M331),0)</f>
        <v>0</v>
      </c>
      <c r="T331" s="85" t="n">
        <v>323</v>
      </c>
    </row>
    <row r="332">
      <c r="B332" s="83" t="n"/>
      <c r="C332" s="83" t="n"/>
      <c r="D332" s="83" t="n"/>
      <c r="E332" s="83" t="n"/>
      <c r="F332" s="83" t="n"/>
      <c r="G332" s="83" t="n"/>
      <c r="H332" s="83" t="n"/>
      <c r="I332" s="83" t="n"/>
      <c r="J332" s="83" t="n"/>
      <c r="K332" s="83" t="n"/>
      <c r="L332" s="83" t="n"/>
      <c r="M332" s="83" t="n"/>
      <c r="O332" s="84" t="str">
        <f>IF($C332="","",IFERROR(MATCH($B332&amp;"|"&amp;$C332,MUROS!$AX$11:$AX$70,0),0))</f>
        <v/>
      </c>
      <c r="P332" s="84" t="str">
        <f>IF($D332="","",IF(ISNUMBER(MATCH($D332,CMB_S,0)),1,IF(ISNUMBER(MATCH($D332,CMB_G,0)),2,0)))</f>
        <v/>
      </c>
      <c r="Q332" s="84">
        <f>IF(ISNUMBER($H332),-$H332,0)</f>
        <v>0</v>
      </c>
      <c r="R332" s="84">
        <f>IF(ISNUMBER($I332),ABS($I332),0)</f>
        <v>0</v>
      </c>
      <c r="S332" s="84">
        <f>IF(ISNUMBER($M332),ABS($M332),0)</f>
        <v>0</v>
      </c>
      <c r="T332" s="85" t="n">
        <v>324</v>
      </c>
    </row>
    <row r="333">
      <c r="B333" s="83" t="n"/>
      <c r="C333" s="83" t="n"/>
      <c r="D333" s="83" t="n"/>
      <c r="E333" s="83" t="n"/>
      <c r="F333" s="83" t="n"/>
      <c r="G333" s="83" t="n"/>
      <c r="H333" s="83" t="n"/>
      <c r="I333" s="83" t="n"/>
      <c r="J333" s="83" t="n"/>
      <c r="K333" s="83" t="n"/>
      <c r="L333" s="83" t="n"/>
      <c r="M333" s="83" t="n"/>
      <c r="O333" s="84" t="str">
        <f>IF($C333="","",IFERROR(MATCH($B333&amp;"|"&amp;$C333,MUROS!$AX$11:$AX$70,0),0))</f>
        <v/>
      </c>
      <c r="P333" s="84" t="str">
        <f>IF($D333="","",IF(ISNUMBER(MATCH($D333,CMB_S,0)),1,IF(ISNUMBER(MATCH($D333,CMB_G,0)),2,0)))</f>
        <v/>
      </c>
      <c r="Q333" s="84">
        <f>IF(ISNUMBER($H333),-$H333,0)</f>
        <v>0</v>
      </c>
      <c r="R333" s="84">
        <f>IF(ISNUMBER($I333),ABS($I333),0)</f>
        <v>0</v>
      </c>
      <c r="S333" s="84">
        <f>IF(ISNUMBER($M333),ABS($M333),0)</f>
        <v>0</v>
      </c>
      <c r="T333" s="85" t="n">
        <v>325</v>
      </c>
    </row>
    <row r="334">
      <c r="B334" s="83" t="n"/>
      <c r="C334" s="83" t="n"/>
      <c r="D334" s="83" t="n"/>
      <c r="E334" s="83" t="n"/>
      <c r="F334" s="83" t="n"/>
      <c r="G334" s="83" t="n"/>
      <c r="H334" s="83" t="n"/>
      <c r="I334" s="83" t="n"/>
      <c r="J334" s="83" t="n"/>
      <c r="K334" s="83" t="n"/>
      <c r="L334" s="83" t="n"/>
      <c r="M334" s="83" t="n"/>
      <c r="O334" s="84" t="str">
        <f>IF($C334="","",IFERROR(MATCH($B334&amp;"|"&amp;$C334,MUROS!$AX$11:$AX$70,0),0))</f>
        <v/>
      </c>
      <c r="P334" s="84" t="str">
        <f>IF($D334="","",IF(ISNUMBER(MATCH($D334,CMB_S,0)),1,IF(ISNUMBER(MATCH($D334,CMB_G,0)),2,0)))</f>
        <v/>
      </c>
      <c r="Q334" s="84">
        <f>IF(ISNUMBER($H334),-$H334,0)</f>
        <v>0</v>
      </c>
      <c r="R334" s="84">
        <f>IF(ISNUMBER($I334),ABS($I334),0)</f>
        <v>0</v>
      </c>
      <c r="S334" s="84">
        <f>IF(ISNUMBER($M334),ABS($M334),0)</f>
        <v>0</v>
      </c>
      <c r="T334" s="85" t="n">
        <v>326</v>
      </c>
    </row>
    <row r="335">
      <c r="B335" s="83" t="n"/>
      <c r="C335" s="83" t="n"/>
      <c r="D335" s="83" t="n"/>
      <c r="E335" s="83" t="n"/>
      <c r="F335" s="83" t="n"/>
      <c r="G335" s="83" t="n"/>
      <c r="H335" s="83" t="n"/>
      <c r="I335" s="83" t="n"/>
      <c r="J335" s="83" t="n"/>
      <c r="K335" s="83" t="n"/>
      <c r="L335" s="83" t="n"/>
      <c r="M335" s="83" t="n"/>
      <c r="O335" s="84" t="str">
        <f>IF($C335="","",IFERROR(MATCH($B335&amp;"|"&amp;$C335,MUROS!$AX$11:$AX$70,0),0))</f>
        <v/>
      </c>
      <c r="P335" s="84" t="str">
        <f>IF($D335="","",IF(ISNUMBER(MATCH($D335,CMB_S,0)),1,IF(ISNUMBER(MATCH($D335,CMB_G,0)),2,0)))</f>
        <v/>
      </c>
      <c r="Q335" s="84">
        <f>IF(ISNUMBER($H335),-$H335,0)</f>
        <v>0</v>
      </c>
      <c r="R335" s="84">
        <f>IF(ISNUMBER($I335),ABS($I335),0)</f>
        <v>0</v>
      </c>
      <c r="S335" s="84">
        <f>IF(ISNUMBER($M335),ABS($M335),0)</f>
        <v>0</v>
      </c>
      <c r="T335" s="85" t="n">
        <v>327</v>
      </c>
    </row>
    <row r="336">
      <c r="B336" s="83" t="n"/>
      <c r="C336" s="83" t="n"/>
      <c r="D336" s="83" t="n"/>
      <c r="E336" s="83" t="n"/>
      <c r="F336" s="83" t="n"/>
      <c r="G336" s="83" t="n"/>
      <c r="H336" s="83" t="n"/>
      <c r="I336" s="83" t="n"/>
      <c r="J336" s="83" t="n"/>
      <c r="K336" s="83" t="n"/>
      <c r="L336" s="83" t="n"/>
      <c r="M336" s="83" t="n"/>
      <c r="O336" s="84" t="str">
        <f>IF($C336="","",IFERROR(MATCH($B336&amp;"|"&amp;$C336,MUROS!$AX$11:$AX$70,0),0))</f>
        <v/>
      </c>
      <c r="P336" s="84" t="str">
        <f>IF($D336="","",IF(ISNUMBER(MATCH($D336,CMB_S,0)),1,IF(ISNUMBER(MATCH($D336,CMB_G,0)),2,0)))</f>
        <v/>
      </c>
      <c r="Q336" s="84">
        <f>IF(ISNUMBER($H336),-$H336,0)</f>
        <v>0</v>
      </c>
      <c r="R336" s="84">
        <f>IF(ISNUMBER($I336),ABS($I336),0)</f>
        <v>0</v>
      </c>
      <c r="S336" s="84">
        <f>IF(ISNUMBER($M336),ABS($M336),0)</f>
        <v>0</v>
      </c>
      <c r="T336" s="85" t="n">
        <v>328</v>
      </c>
    </row>
    <row r="337"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83" t="n"/>
      <c r="K337" s="83" t="n"/>
      <c r="L337" s="83" t="n"/>
      <c r="M337" s="83" t="n"/>
      <c r="O337" s="84" t="str">
        <f>IF($C337="","",IFERROR(MATCH($B337&amp;"|"&amp;$C337,MUROS!$AX$11:$AX$70,0),0))</f>
        <v/>
      </c>
      <c r="P337" s="84" t="str">
        <f>IF($D337="","",IF(ISNUMBER(MATCH($D337,CMB_S,0)),1,IF(ISNUMBER(MATCH($D337,CMB_G,0)),2,0)))</f>
        <v/>
      </c>
      <c r="Q337" s="84">
        <f>IF(ISNUMBER($H337),-$H337,0)</f>
        <v>0</v>
      </c>
      <c r="R337" s="84">
        <f>IF(ISNUMBER($I337),ABS($I337),0)</f>
        <v>0</v>
      </c>
      <c r="S337" s="84">
        <f>IF(ISNUMBER($M337),ABS($M337),0)</f>
        <v>0</v>
      </c>
      <c r="T337" s="85" t="n">
        <v>329</v>
      </c>
    </row>
    <row r="338">
      <c r="B338" s="83" t="n"/>
      <c r="C338" s="83" t="n"/>
      <c r="D338" s="83" t="n"/>
      <c r="E338" s="83" t="n"/>
      <c r="F338" s="83" t="n"/>
      <c r="G338" s="83" t="n"/>
      <c r="H338" s="83" t="n"/>
      <c r="I338" s="83" t="n"/>
      <c r="J338" s="83" t="n"/>
      <c r="K338" s="83" t="n"/>
      <c r="L338" s="83" t="n"/>
      <c r="M338" s="83" t="n"/>
      <c r="O338" s="84" t="str">
        <f>IF($C338="","",IFERROR(MATCH($B338&amp;"|"&amp;$C338,MUROS!$AX$11:$AX$70,0),0))</f>
        <v/>
      </c>
      <c r="P338" s="84" t="str">
        <f>IF($D338="","",IF(ISNUMBER(MATCH($D338,CMB_S,0)),1,IF(ISNUMBER(MATCH($D338,CMB_G,0)),2,0)))</f>
        <v/>
      </c>
      <c r="Q338" s="84">
        <f>IF(ISNUMBER($H338),-$H338,0)</f>
        <v>0</v>
      </c>
      <c r="R338" s="84">
        <f>IF(ISNUMBER($I338),ABS($I338),0)</f>
        <v>0</v>
      </c>
      <c r="S338" s="84">
        <f>IF(ISNUMBER($M338),ABS($M338),0)</f>
        <v>0</v>
      </c>
      <c r="T338" s="85" t="n">
        <v>330</v>
      </c>
    </row>
    <row r="339">
      <c r="B339" s="83" t="n"/>
      <c r="C339" s="83" t="n"/>
      <c r="D339" s="83" t="n"/>
      <c r="E339" s="83" t="n"/>
      <c r="F339" s="83" t="n"/>
      <c r="G339" s="83" t="n"/>
      <c r="H339" s="83" t="n"/>
      <c r="I339" s="83" t="n"/>
      <c r="J339" s="83" t="n"/>
      <c r="K339" s="83" t="n"/>
      <c r="L339" s="83" t="n"/>
      <c r="M339" s="83" t="n"/>
      <c r="O339" s="84" t="str">
        <f>IF($C339="","",IFERROR(MATCH($B339&amp;"|"&amp;$C339,MUROS!$AX$11:$AX$70,0),0))</f>
        <v/>
      </c>
      <c r="P339" s="84" t="str">
        <f>IF($D339="","",IF(ISNUMBER(MATCH($D339,CMB_S,0)),1,IF(ISNUMBER(MATCH($D339,CMB_G,0)),2,0)))</f>
        <v/>
      </c>
      <c r="Q339" s="84">
        <f>IF(ISNUMBER($H339),-$H339,0)</f>
        <v>0</v>
      </c>
      <c r="R339" s="84">
        <f>IF(ISNUMBER($I339),ABS($I339),0)</f>
        <v>0</v>
      </c>
      <c r="S339" s="84">
        <f>IF(ISNUMBER($M339),ABS($M339),0)</f>
        <v>0</v>
      </c>
      <c r="T339" s="85" t="n">
        <v>331</v>
      </c>
    </row>
    <row r="340">
      <c r="B340" s="83" t="n"/>
      <c r="C340" s="83" t="n"/>
      <c r="D340" s="83" t="n"/>
      <c r="E340" s="83" t="n"/>
      <c r="F340" s="83" t="n"/>
      <c r="G340" s="83" t="n"/>
      <c r="H340" s="83" t="n"/>
      <c r="I340" s="83" t="n"/>
      <c r="J340" s="83" t="n"/>
      <c r="K340" s="83" t="n"/>
      <c r="L340" s="83" t="n"/>
      <c r="M340" s="83" t="n"/>
      <c r="O340" s="84" t="str">
        <f>IF($C340="","",IFERROR(MATCH($B340&amp;"|"&amp;$C340,MUROS!$AX$11:$AX$70,0),0))</f>
        <v/>
      </c>
      <c r="P340" s="84" t="str">
        <f>IF($D340="","",IF(ISNUMBER(MATCH($D340,CMB_S,0)),1,IF(ISNUMBER(MATCH($D340,CMB_G,0)),2,0)))</f>
        <v/>
      </c>
      <c r="Q340" s="84">
        <f>IF(ISNUMBER($H340),-$H340,0)</f>
        <v>0</v>
      </c>
      <c r="R340" s="84">
        <f>IF(ISNUMBER($I340),ABS($I340),0)</f>
        <v>0</v>
      </c>
      <c r="S340" s="84">
        <f>IF(ISNUMBER($M340),ABS($M340),0)</f>
        <v>0</v>
      </c>
      <c r="T340" s="85" t="n">
        <v>332</v>
      </c>
    </row>
    <row r="341">
      <c r="B341" s="83" t="n"/>
      <c r="C341" s="83" t="n"/>
      <c r="D341" s="83" t="n"/>
      <c r="E341" s="83" t="n"/>
      <c r="F341" s="83" t="n"/>
      <c r="G341" s="83" t="n"/>
      <c r="H341" s="83" t="n"/>
      <c r="I341" s="83" t="n"/>
      <c r="J341" s="83" t="n"/>
      <c r="K341" s="83" t="n"/>
      <c r="L341" s="83" t="n"/>
      <c r="M341" s="83" t="n"/>
      <c r="O341" s="84" t="str">
        <f>IF($C341="","",IFERROR(MATCH($B341&amp;"|"&amp;$C341,MUROS!$AX$11:$AX$70,0),0))</f>
        <v/>
      </c>
      <c r="P341" s="84" t="str">
        <f>IF($D341="","",IF(ISNUMBER(MATCH($D341,CMB_S,0)),1,IF(ISNUMBER(MATCH($D341,CMB_G,0)),2,0)))</f>
        <v/>
      </c>
      <c r="Q341" s="84">
        <f>IF(ISNUMBER($H341),-$H341,0)</f>
        <v>0</v>
      </c>
      <c r="R341" s="84">
        <f>IF(ISNUMBER($I341),ABS($I341),0)</f>
        <v>0</v>
      </c>
      <c r="S341" s="84">
        <f>IF(ISNUMBER($M341),ABS($M341),0)</f>
        <v>0</v>
      </c>
      <c r="T341" s="85" t="n">
        <v>333</v>
      </c>
    </row>
    <row r="342">
      <c r="B342" s="83" t="n"/>
      <c r="C342" s="83" t="n"/>
      <c r="D342" s="83" t="n"/>
      <c r="E342" s="83" t="n"/>
      <c r="F342" s="83" t="n"/>
      <c r="G342" s="83" t="n"/>
      <c r="H342" s="83" t="n"/>
      <c r="I342" s="83" t="n"/>
      <c r="J342" s="83" t="n"/>
      <c r="K342" s="83" t="n"/>
      <c r="L342" s="83" t="n"/>
      <c r="M342" s="83" t="n"/>
      <c r="O342" s="84" t="str">
        <f>IF($C342="","",IFERROR(MATCH($B342&amp;"|"&amp;$C342,MUROS!$AX$11:$AX$70,0),0))</f>
        <v/>
      </c>
      <c r="P342" s="84" t="str">
        <f>IF($D342="","",IF(ISNUMBER(MATCH($D342,CMB_S,0)),1,IF(ISNUMBER(MATCH($D342,CMB_G,0)),2,0)))</f>
        <v/>
      </c>
      <c r="Q342" s="84">
        <f>IF(ISNUMBER($H342),-$H342,0)</f>
        <v>0</v>
      </c>
      <c r="R342" s="84">
        <f>IF(ISNUMBER($I342),ABS($I342),0)</f>
        <v>0</v>
      </c>
      <c r="S342" s="84">
        <f>IF(ISNUMBER($M342),ABS($M342),0)</f>
        <v>0</v>
      </c>
      <c r="T342" s="85" t="n">
        <v>334</v>
      </c>
    </row>
    <row r="343">
      <c r="B343" s="83" t="n"/>
      <c r="C343" s="83" t="n"/>
      <c r="D343" s="83" t="n"/>
      <c r="E343" s="83" t="n"/>
      <c r="F343" s="83" t="n"/>
      <c r="G343" s="83" t="n"/>
      <c r="H343" s="83" t="n"/>
      <c r="I343" s="83" t="n"/>
      <c r="J343" s="83" t="n"/>
      <c r="K343" s="83" t="n"/>
      <c r="L343" s="83" t="n"/>
      <c r="M343" s="83" t="n"/>
      <c r="O343" s="84" t="str">
        <f>IF($C343="","",IFERROR(MATCH($B343&amp;"|"&amp;$C343,MUROS!$AX$11:$AX$70,0),0))</f>
        <v/>
      </c>
      <c r="P343" s="84" t="str">
        <f>IF($D343="","",IF(ISNUMBER(MATCH($D343,CMB_S,0)),1,IF(ISNUMBER(MATCH($D343,CMB_G,0)),2,0)))</f>
        <v/>
      </c>
      <c r="Q343" s="84">
        <f>IF(ISNUMBER($H343),-$H343,0)</f>
        <v>0</v>
      </c>
      <c r="R343" s="84">
        <f>IF(ISNUMBER($I343),ABS($I343),0)</f>
        <v>0</v>
      </c>
      <c r="S343" s="84">
        <f>IF(ISNUMBER($M343),ABS($M343),0)</f>
        <v>0</v>
      </c>
      <c r="T343" s="85" t="n">
        <v>335</v>
      </c>
    </row>
    <row r="344">
      <c r="B344" s="83" t="n"/>
      <c r="C344" s="83" t="n"/>
      <c r="D344" s="83" t="n"/>
      <c r="E344" s="83" t="n"/>
      <c r="F344" s="83" t="n"/>
      <c r="G344" s="83" t="n"/>
      <c r="H344" s="83" t="n"/>
      <c r="I344" s="83" t="n"/>
      <c r="J344" s="83" t="n"/>
      <c r="K344" s="83" t="n"/>
      <c r="L344" s="83" t="n"/>
      <c r="M344" s="83" t="n"/>
      <c r="O344" s="84" t="str">
        <f>IF($C344="","",IFERROR(MATCH($B344&amp;"|"&amp;$C344,MUROS!$AX$11:$AX$70,0),0))</f>
        <v/>
      </c>
      <c r="P344" s="84" t="str">
        <f>IF($D344="","",IF(ISNUMBER(MATCH($D344,CMB_S,0)),1,IF(ISNUMBER(MATCH($D344,CMB_G,0)),2,0)))</f>
        <v/>
      </c>
      <c r="Q344" s="84">
        <f>IF(ISNUMBER($H344),-$H344,0)</f>
        <v>0</v>
      </c>
      <c r="R344" s="84">
        <f>IF(ISNUMBER($I344),ABS($I344),0)</f>
        <v>0</v>
      </c>
      <c r="S344" s="84">
        <f>IF(ISNUMBER($M344),ABS($M344),0)</f>
        <v>0</v>
      </c>
      <c r="T344" s="85" t="n">
        <v>336</v>
      </c>
    </row>
    <row r="345">
      <c r="B345" s="83" t="n"/>
      <c r="C345" s="83" t="n"/>
      <c r="D345" s="83" t="n"/>
      <c r="E345" s="83" t="n"/>
      <c r="F345" s="83" t="n"/>
      <c r="G345" s="83" t="n"/>
      <c r="H345" s="83" t="n"/>
      <c r="I345" s="83" t="n"/>
      <c r="J345" s="83" t="n"/>
      <c r="K345" s="83" t="n"/>
      <c r="L345" s="83" t="n"/>
      <c r="M345" s="83" t="n"/>
      <c r="O345" s="84" t="str">
        <f>IF($C345="","",IFERROR(MATCH($B345&amp;"|"&amp;$C345,MUROS!$AX$11:$AX$70,0),0))</f>
        <v/>
      </c>
      <c r="P345" s="84" t="str">
        <f>IF($D345="","",IF(ISNUMBER(MATCH($D345,CMB_S,0)),1,IF(ISNUMBER(MATCH($D345,CMB_G,0)),2,0)))</f>
        <v/>
      </c>
      <c r="Q345" s="84">
        <f>IF(ISNUMBER($H345),-$H345,0)</f>
        <v>0</v>
      </c>
      <c r="R345" s="84">
        <f>IF(ISNUMBER($I345),ABS($I345),0)</f>
        <v>0</v>
      </c>
      <c r="S345" s="84">
        <f>IF(ISNUMBER($M345),ABS($M345),0)</f>
        <v>0</v>
      </c>
      <c r="T345" s="85" t="n">
        <v>337</v>
      </c>
    </row>
    <row r="346"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83" t="n"/>
      <c r="K346" s="83" t="n"/>
      <c r="L346" s="83" t="n"/>
      <c r="M346" s="83" t="n"/>
      <c r="O346" s="84" t="str">
        <f>IF($C346="","",IFERROR(MATCH($B346&amp;"|"&amp;$C346,MUROS!$AX$11:$AX$70,0),0))</f>
        <v/>
      </c>
      <c r="P346" s="84" t="str">
        <f>IF($D346="","",IF(ISNUMBER(MATCH($D346,CMB_S,0)),1,IF(ISNUMBER(MATCH($D346,CMB_G,0)),2,0)))</f>
        <v/>
      </c>
      <c r="Q346" s="84">
        <f>IF(ISNUMBER($H346),-$H346,0)</f>
        <v>0</v>
      </c>
      <c r="R346" s="84">
        <f>IF(ISNUMBER($I346),ABS($I346),0)</f>
        <v>0</v>
      </c>
      <c r="S346" s="84">
        <f>IF(ISNUMBER($M346),ABS($M346),0)</f>
        <v>0</v>
      </c>
      <c r="T346" s="85" t="n">
        <v>338</v>
      </c>
    </row>
    <row r="347">
      <c r="B347" s="83" t="n"/>
      <c r="C347" s="83" t="n"/>
      <c r="D347" s="83" t="n"/>
      <c r="E347" s="83" t="n"/>
      <c r="F347" s="83" t="n"/>
      <c r="G347" s="83" t="n"/>
      <c r="H347" s="83" t="n"/>
      <c r="I347" s="83" t="n"/>
      <c r="J347" s="83" t="n"/>
      <c r="K347" s="83" t="n"/>
      <c r="L347" s="83" t="n"/>
      <c r="M347" s="83" t="n"/>
      <c r="O347" s="84" t="str">
        <f>IF($C347="","",IFERROR(MATCH($B347&amp;"|"&amp;$C347,MUROS!$AX$11:$AX$70,0),0))</f>
        <v/>
      </c>
      <c r="P347" s="84" t="str">
        <f>IF($D347="","",IF(ISNUMBER(MATCH($D347,CMB_S,0)),1,IF(ISNUMBER(MATCH($D347,CMB_G,0)),2,0)))</f>
        <v/>
      </c>
      <c r="Q347" s="84">
        <f>IF(ISNUMBER($H347),-$H347,0)</f>
        <v>0</v>
      </c>
      <c r="R347" s="84">
        <f>IF(ISNUMBER($I347),ABS($I347),0)</f>
        <v>0</v>
      </c>
      <c r="S347" s="84">
        <f>IF(ISNUMBER($M347),ABS($M347),0)</f>
        <v>0</v>
      </c>
      <c r="T347" s="85" t="n">
        <v>339</v>
      </c>
    </row>
    <row r="348">
      <c r="B348" s="83" t="n"/>
      <c r="C348" s="83" t="n"/>
      <c r="D348" s="83" t="n"/>
      <c r="E348" s="83" t="n"/>
      <c r="F348" s="83" t="n"/>
      <c r="G348" s="83" t="n"/>
      <c r="H348" s="83" t="n"/>
      <c r="I348" s="83" t="n"/>
      <c r="J348" s="83" t="n"/>
      <c r="K348" s="83" t="n"/>
      <c r="L348" s="83" t="n"/>
      <c r="M348" s="83" t="n"/>
      <c r="O348" s="84" t="str">
        <f>IF($C348="","",IFERROR(MATCH($B348&amp;"|"&amp;$C348,MUROS!$AX$11:$AX$70,0),0))</f>
        <v/>
      </c>
      <c r="P348" s="84" t="str">
        <f>IF($D348="","",IF(ISNUMBER(MATCH($D348,CMB_S,0)),1,IF(ISNUMBER(MATCH($D348,CMB_G,0)),2,0)))</f>
        <v/>
      </c>
      <c r="Q348" s="84">
        <f>IF(ISNUMBER($H348),-$H348,0)</f>
        <v>0</v>
      </c>
      <c r="R348" s="84">
        <f>IF(ISNUMBER($I348),ABS($I348),0)</f>
        <v>0</v>
      </c>
      <c r="S348" s="84">
        <f>IF(ISNUMBER($M348),ABS($M348),0)</f>
        <v>0</v>
      </c>
      <c r="T348" s="85" t="n">
        <v>340</v>
      </c>
    </row>
    <row r="349">
      <c r="B349" s="83" t="n"/>
      <c r="C349" s="83" t="n"/>
      <c r="D349" s="83" t="n"/>
      <c r="E349" s="83" t="n"/>
      <c r="F349" s="83" t="n"/>
      <c r="G349" s="83" t="n"/>
      <c r="H349" s="83" t="n"/>
      <c r="I349" s="83" t="n"/>
      <c r="J349" s="83" t="n"/>
      <c r="K349" s="83" t="n"/>
      <c r="L349" s="83" t="n"/>
      <c r="M349" s="83" t="n"/>
      <c r="O349" s="84" t="str">
        <f>IF($C349="","",IFERROR(MATCH($B349&amp;"|"&amp;$C349,MUROS!$AX$11:$AX$70,0),0))</f>
        <v/>
      </c>
      <c r="P349" s="84" t="str">
        <f>IF($D349="","",IF(ISNUMBER(MATCH($D349,CMB_S,0)),1,IF(ISNUMBER(MATCH($D349,CMB_G,0)),2,0)))</f>
        <v/>
      </c>
      <c r="Q349" s="84">
        <f>IF(ISNUMBER($H349),-$H349,0)</f>
        <v>0</v>
      </c>
      <c r="R349" s="84">
        <f>IF(ISNUMBER($I349),ABS($I349),0)</f>
        <v>0</v>
      </c>
      <c r="S349" s="84">
        <f>IF(ISNUMBER($M349),ABS($M349),0)</f>
        <v>0</v>
      </c>
      <c r="T349" s="85" t="n">
        <v>341</v>
      </c>
    </row>
    <row r="350">
      <c r="B350" s="83" t="n"/>
      <c r="C350" s="83" t="n"/>
      <c r="D350" s="83" t="n"/>
      <c r="E350" s="83" t="n"/>
      <c r="F350" s="83" t="n"/>
      <c r="G350" s="83" t="n"/>
      <c r="H350" s="83" t="n"/>
      <c r="I350" s="83" t="n"/>
      <c r="J350" s="83" t="n"/>
      <c r="K350" s="83" t="n"/>
      <c r="L350" s="83" t="n"/>
      <c r="M350" s="83" t="n"/>
      <c r="O350" s="84" t="str">
        <f>IF($C350="","",IFERROR(MATCH($B350&amp;"|"&amp;$C350,MUROS!$AX$11:$AX$70,0),0))</f>
        <v/>
      </c>
      <c r="P350" s="84" t="str">
        <f>IF($D350="","",IF(ISNUMBER(MATCH($D350,CMB_S,0)),1,IF(ISNUMBER(MATCH($D350,CMB_G,0)),2,0)))</f>
        <v/>
      </c>
      <c r="Q350" s="84">
        <f>IF(ISNUMBER($H350),-$H350,0)</f>
        <v>0</v>
      </c>
      <c r="R350" s="84">
        <f>IF(ISNUMBER($I350),ABS($I350),0)</f>
        <v>0</v>
      </c>
      <c r="S350" s="84">
        <f>IF(ISNUMBER($M350),ABS($M350),0)</f>
        <v>0</v>
      </c>
      <c r="T350" s="85" t="n">
        <v>342</v>
      </c>
    </row>
    <row r="351">
      <c r="B351" s="83" t="n"/>
      <c r="C351" s="83" t="n"/>
      <c r="D351" s="83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83" t="n"/>
      <c r="O351" s="84" t="str">
        <f>IF($C351="","",IFERROR(MATCH($B351&amp;"|"&amp;$C351,MUROS!$AX$11:$AX$70,0),0))</f>
        <v/>
      </c>
      <c r="P351" s="84" t="str">
        <f>IF($D351="","",IF(ISNUMBER(MATCH($D351,CMB_S,0)),1,IF(ISNUMBER(MATCH($D351,CMB_G,0)),2,0)))</f>
        <v/>
      </c>
      <c r="Q351" s="84">
        <f>IF(ISNUMBER($H351),-$H351,0)</f>
        <v>0</v>
      </c>
      <c r="R351" s="84">
        <f>IF(ISNUMBER($I351),ABS($I351),0)</f>
        <v>0</v>
      </c>
      <c r="S351" s="84">
        <f>IF(ISNUMBER($M351),ABS($M351),0)</f>
        <v>0</v>
      </c>
      <c r="T351" s="85" t="n">
        <v>343</v>
      </c>
    </row>
    <row r="352">
      <c r="B352" s="83" t="n"/>
      <c r="C352" s="83" t="n"/>
      <c r="D352" s="83" t="n"/>
      <c r="E352" s="83" t="n"/>
      <c r="F352" s="83" t="n"/>
      <c r="G352" s="83" t="n"/>
      <c r="H352" s="83" t="n"/>
      <c r="I352" s="83" t="n"/>
      <c r="J352" s="83" t="n"/>
      <c r="K352" s="83" t="n"/>
      <c r="L352" s="83" t="n"/>
      <c r="M352" s="83" t="n"/>
      <c r="O352" s="84" t="str">
        <f>IF($C352="","",IFERROR(MATCH($B352&amp;"|"&amp;$C352,MUROS!$AX$11:$AX$70,0),0))</f>
        <v/>
      </c>
      <c r="P352" s="84" t="str">
        <f>IF($D352="","",IF(ISNUMBER(MATCH($D352,CMB_S,0)),1,IF(ISNUMBER(MATCH($D352,CMB_G,0)),2,0)))</f>
        <v/>
      </c>
      <c r="Q352" s="84">
        <f>IF(ISNUMBER($H352),-$H352,0)</f>
        <v>0</v>
      </c>
      <c r="R352" s="84">
        <f>IF(ISNUMBER($I352),ABS($I352),0)</f>
        <v>0</v>
      </c>
      <c r="S352" s="84">
        <f>IF(ISNUMBER($M352),ABS($M352),0)</f>
        <v>0</v>
      </c>
      <c r="T352" s="85" t="n">
        <v>344</v>
      </c>
    </row>
    <row r="353">
      <c r="B353" s="83" t="n"/>
      <c r="C353" s="83" t="n"/>
      <c r="D353" s="83" t="n"/>
      <c r="E353" s="83" t="n"/>
      <c r="F353" s="83" t="n"/>
      <c r="G353" s="83" t="n"/>
      <c r="H353" s="83" t="n"/>
      <c r="I353" s="83" t="n"/>
      <c r="J353" s="83" t="n"/>
      <c r="K353" s="83" t="n"/>
      <c r="L353" s="83" t="n"/>
      <c r="M353" s="83" t="n"/>
      <c r="O353" s="84" t="str">
        <f>IF($C353="","",IFERROR(MATCH($B353&amp;"|"&amp;$C353,MUROS!$AX$11:$AX$70,0),0))</f>
        <v/>
      </c>
      <c r="P353" s="84" t="str">
        <f>IF($D353="","",IF(ISNUMBER(MATCH($D353,CMB_S,0)),1,IF(ISNUMBER(MATCH($D353,CMB_G,0)),2,0)))</f>
        <v/>
      </c>
      <c r="Q353" s="84">
        <f>IF(ISNUMBER($H353),-$H353,0)</f>
        <v>0</v>
      </c>
      <c r="R353" s="84">
        <f>IF(ISNUMBER($I353),ABS($I353),0)</f>
        <v>0</v>
      </c>
      <c r="S353" s="84">
        <f>IF(ISNUMBER($M353),ABS($M353),0)</f>
        <v>0</v>
      </c>
      <c r="T353" s="85" t="n">
        <v>345</v>
      </c>
    </row>
    <row r="354">
      <c r="B354" s="83" t="n"/>
      <c r="C354" s="83" t="n"/>
      <c r="D354" s="83" t="n"/>
      <c r="E354" s="83" t="n"/>
      <c r="F354" s="83" t="n"/>
      <c r="G354" s="83" t="n"/>
      <c r="H354" s="83" t="n"/>
      <c r="I354" s="83" t="n"/>
      <c r="J354" s="83" t="n"/>
      <c r="K354" s="83" t="n"/>
      <c r="L354" s="83" t="n"/>
      <c r="M354" s="83" t="n"/>
      <c r="O354" s="84" t="str">
        <f>IF($C354="","",IFERROR(MATCH($B354&amp;"|"&amp;$C354,MUROS!$AX$11:$AX$70,0),0))</f>
        <v/>
      </c>
      <c r="P354" s="84" t="str">
        <f>IF($D354="","",IF(ISNUMBER(MATCH($D354,CMB_S,0)),1,IF(ISNUMBER(MATCH($D354,CMB_G,0)),2,0)))</f>
        <v/>
      </c>
      <c r="Q354" s="84">
        <f>IF(ISNUMBER($H354),-$H354,0)</f>
        <v>0</v>
      </c>
      <c r="R354" s="84">
        <f>IF(ISNUMBER($I354),ABS($I354),0)</f>
        <v>0</v>
      </c>
      <c r="S354" s="84">
        <f>IF(ISNUMBER($M354),ABS($M354),0)</f>
        <v>0</v>
      </c>
      <c r="T354" s="85" t="n">
        <v>346</v>
      </c>
    </row>
    <row r="355"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83" t="n"/>
      <c r="K355" s="83" t="n"/>
      <c r="L355" s="83" t="n"/>
      <c r="M355" s="83" t="n"/>
      <c r="O355" s="84" t="str">
        <f>IF($C355="","",IFERROR(MATCH($B355&amp;"|"&amp;$C355,MUROS!$AX$11:$AX$70,0),0))</f>
        <v/>
      </c>
      <c r="P355" s="84" t="str">
        <f>IF($D355="","",IF(ISNUMBER(MATCH($D355,CMB_S,0)),1,IF(ISNUMBER(MATCH($D355,CMB_G,0)),2,0)))</f>
        <v/>
      </c>
      <c r="Q355" s="84">
        <f>IF(ISNUMBER($H355),-$H355,0)</f>
        <v>0</v>
      </c>
      <c r="R355" s="84">
        <f>IF(ISNUMBER($I355),ABS($I355),0)</f>
        <v>0</v>
      </c>
      <c r="S355" s="84">
        <f>IF(ISNUMBER($M355),ABS($M355),0)</f>
        <v>0</v>
      </c>
      <c r="T355" s="85" t="n">
        <v>347</v>
      </c>
    </row>
    <row r="356">
      <c r="B356" s="83" t="n"/>
      <c r="C356" s="83" t="n"/>
      <c r="D356" s="83" t="n"/>
      <c r="E356" s="83" t="n"/>
      <c r="F356" s="83" t="n"/>
      <c r="G356" s="83" t="n"/>
      <c r="H356" s="83" t="n"/>
      <c r="I356" s="83" t="n"/>
      <c r="J356" s="83" t="n"/>
      <c r="K356" s="83" t="n"/>
      <c r="L356" s="83" t="n"/>
      <c r="M356" s="83" t="n"/>
      <c r="O356" s="84" t="str">
        <f>IF($C356="","",IFERROR(MATCH($B356&amp;"|"&amp;$C356,MUROS!$AX$11:$AX$70,0),0))</f>
        <v/>
      </c>
      <c r="P356" s="84" t="str">
        <f>IF($D356="","",IF(ISNUMBER(MATCH($D356,CMB_S,0)),1,IF(ISNUMBER(MATCH($D356,CMB_G,0)),2,0)))</f>
        <v/>
      </c>
      <c r="Q356" s="84">
        <f>IF(ISNUMBER($H356),-$H356,0)</f>
        <v>0</v>
      </c>
      <c r="R356" s="84">
        <f>IF(ISNUMBER($I356),ABS($I356),0)</f>
        <v>0</v>
      </c>
      <c r="S356" s="84">
        <f>IF(ISNUMBER($M356),ABS($M356),0)</f>
        <v>0</v>
      </c>
      <c r="T356" s="85" t="n">
        <v>348</v>
      </c>
    </row>
    <row r="357">
      <c r="B357" s="83" t="n"/>
      <c r="C357" s="83" t="n"/>
      <c r="D357" s="83" t="n"/>
      <c r="E357" s="83" t="n"/>
      <c r="F357" s="83" t="n"/>
      <c r="G357" s="83" t="n"/>
      <c r="H357" s="83" t="n"/>
      <c r="I357" s="83" t="n"/>
      <c r="J357" s="83" t="n"/>
      <c r="K357" s="83" t="n"/>
      <c r="L357" s="83" t="n"/>
      <c r="M357" s="83" t="n"/>
      <c r="O357" s="84" t="str">
        <f>IF($C357="","",IFERROR(MATCH($B357&amp;"|"&amp;$C357,MUROS!$AX$11:$AX$70,0),0))</f>
        <v/>
      </c>
      <c r="P357" s="84" t="str">
        <f>IF($D357="","",IF(ISNUMBER(MATCH($D357,CMB_S,0)),1,IF(ISNUMBER(MATCH($D357,CMB_G,0)),2,0)))</f>
        <v/>
      </c>
      <c r="Q357" s="84">
        <f>IF(ISNUMBER($H357),-$H357,0)</f>
        <v>0</v>
      </c>
      <c r="R357" s="84">
        <f>IF(ISNUMBER($I357),ABS($I357),0)</f>
        <v>0</v>
      </c>
      <c r="S357" s="84">
        <f>IF(ISNUMBER($M357),ABS($M357),0)</f>
        <v>0</v>
      </c>
      <c r="T357" s="85" t="n">
        <v>349</v>
      </c>
    </row>
    <row r="358">
      <c r="B358" s="83" t="n"/>
      <c r="C358" s="83" t="n"/>
      <c r="D358" s="83" t="n"/>
      <c r="E358" s="83" t="n"/>
      <c r="F358" s="83" t="n"/>
      <c r="G358" s="83" t="n"/>
      <c r="H358" s="83" t="n"/>
      <c r="I358" s="83" t="n"/>
      <c r="J358" s="83" t="n"/>
      <c r="K358" s="83" t="n"/>
      <c r="L358" s="83" t="n"/>
      <c r="M358" s="83" t="n"/>
      <c r="O358" s="84" t="str">
        <f>IF($C358="","",IFERROR(MATCH($B358&amp;"|"&amp;$C358,MUROS!$AX$11:$AX$70,0),0))</f>
        <v/>
      </c>
      <c r="P358" s="84" t="str">
        <f>IF($D358="","",IF(ISNUMBER(MATCH($D358,CMB_S,0)),1,IF(ISNUMBER(MATCH($D358,CMB_G,0)),2,0)))</f>
        <v/>
      </c>
      <c r="Q358" s="84">
        <f>IF(ISNUMBER($H358),-$H358,0)</f>
        <v>0</v>
      </c>
      <c r="R358" s="84">
        <f>IF(ISNUMBER($I358),ABS($I358),0)</f>
        <v>0</v>
      </c>
      <c r="S358" s="84">
        <f>IF(ISNUMBER($M358),ABS($M358),0)</f>
        <v>0</v>
      </c>
      <c r="T358" s="85" t="n">
        <v>350</v>
      </c>
    </row>
    <row r="359">
      <c r="B359" s="83" t="n"/>
      <c r="C359" s="83" t="n"/>
      <c r="D359" s="83" t="n"/>
      <c r="E359" s="83" t="n"/>
      <c r="F359" s="83" t="n"/>
      <c r="G359" s="83" t="n"/>
      <c r="H359" s="83" t="n"/>
      <c r="I359" s="83" t="n"/>
      <c r="J359" s="83" t="n"/>
      <c r="K359" s="83" t="n"/>
      <c r="L359" s="83" t="n"/>
      <c r="M359" s="83" t="n"/>
      <c r="O359" s="84" t="str">
        <f>IF($C359="","",IFERROR(MATCH($B359&amp;"|"&amp;$C359,MUROS!$AX$11:$AX$70,0),0))</f>
        <v/>
      </c>
      <c r="P359" s="84" t="str">
        <f>IF($D359="","",IF(ISNUMBER(MATCH($D359,CMB_S,0)),1,IF(ISNUMBER(MATCH($D359,CMB_G,0)),2,0)))</f>
        <v/>
      </c>
      <c r="Q359" s="84">
        <f>IF(ISNUMBER($H359),-$H359,0)</f>
        <v>0</v>
      </c>
      <c r="R359" s="84">
        <f>IF(ISNUMBER($I359),ABS($I359),0)</f>
        <v>0</v>
      </c>
      <c r="S359" s="84">
        <f>IF(ISNUMBER($M359),ABS($M359),0)</f>
        <v>0</v>
      </c>
      <c r="T359" s="85" t="n">
        <v>351</v>
      </c>
    </row>
    <row r="360">
      <c r="B360" s="83" t="n"/>
      <c r="C360" s="83" t="n"/>
      <c r="D360" s="83" t="n"/>
      <c r="E360" s="83" t="n"/>
      <c r="F360" s="83" t="n"/>
      <c r="G360" s="83" t="n"/>
      <c r="H360" s="83" t="n"/>
      <c r="I360" s="83" t="n"/>
      <c r="J360" s="83" t="n"/>
      <c r="K360" s="83" t="n"/>
      <c r="L360" s="83" t="n"/>
      <c r="M360" s="83" t="n"/>
      <c r="O360" s="84" t="str">
        <f>IF($C360="","",IFERROR(MATCH($B360&amp;"|"&amp;$C360,MUROS!$AX$11:$AX$70,0),0))</f>
        <v/>
      </c>
      <c r="P360" s="84" t="str">
        <f>IF($D360="","",IF(ISNUMBER(MATCH($D360,CMB_S,0)),1,IF(ISNUMBER(MATCH($D360,CMB_G,0)),2,0)))</f>
        <v/>
      </c>
      <c r="Q360" s="84">
        <f>IF(ISNUMBER($H360),-$H360,0)</f>
        <v>0</v>
      </c>
      <c r="R360" s="84">
        <f>IF(ISNUMBER($I360),ABS($I360),0)</f>
        <v>0</v>
      </c>
      <c r="S360" s="84">
        <f>IF(ISNUMBER($M360),ABS($M360),0)</f>
        <v>0</v>
      </c>
      <c r="T360" s="85" t="n">
        <v>352</v>
      </c>
    </row>
    <row r="361">
      <c r="B361" s="83" t="n"/>
      <c r="C361" s="83" t="n"/>
      <c r="D361" s="83" t="n"/>
      <c r="E361" s="83" t="n"/>
      <c r="F361" s="83" t="n"/>
      <c r="G361" s="83" t="n"/>
      <c r="H361" s="83" t="n"/>
      <c r="I361" s="83" t="n"/>
      <c r="J361" s="83" t="n"/>
      <c r="K361" s="83" t="n"/>
      <c r="L361" s="83" t="n"/>
      <c r="M361" s="83" t="n"/>
      <c r="O361" s="84" t="str">
        <f>IF($C361="","",IFERROR(MATCH($B361&amp;"|"&amp;$C361,MUROS!$AX$11:$AX$70,0),0))</f>
        <v/>
      </c>
      <c r="P361" s="84" t="str">
        <f>IF($D361="","",IF(ISNUMBER(MATCH($D361,CMB_S,0)),1,IF(ISNUMBER(MATCH($D361,CMB_G,0)),2,0)))</f>
        <v/>
      </c>
      <c r="Q361" s="84">
        <f>IF(ISNUMBER($H361),-$H361,0)</f>
        <v>0</v>
      </c>
      <c r="R361" s="84">
        <f>IF(ISNUMBER($I361),ABS($I361),0)</f>
        <v>0</v>
      </c>
      <c r="S361" s="84">
        <f>IF(ISNUMBER($M361),ABS($M361),0)</f>
        <v>0</v>
      </c>
      <c r="T361" s="85" t="n">
        <v>353</v>
      </c>
    </row>
    <row r="362">
      <c r="B362" s="83" t="n"/>
      <c r="C362" s="83" t="n"/>
      <c r="D362" s="83" t="n"/>
      <c r="E362" s="83" t="n"/>
      <c r="F362" s="83" t="n"/>
      <c r="G362" s="83" t="n"/>
      <c r="H362" s="83" t="n"/>
      <c r="I362" s="83" t="n"/>
      <c r="J362" s="83" t="n"/>
      <c r="K362" s="83" t="n"/>
      <c r="L362" s="83" t="n"/>
      <c r="M362" s="83" t="n"/>
      <c r="O362" s="84" t="str">
        <f>IF($C362="","",IFERROR(MATCH($B362&amp;"|"&amp;$C362,MUROS!$AX$11:$AX$70,0),0))</f>
        <v/>
      </c>
      <c r="P362" s="84" t="str">
        <f>IF($D362="","",IF(ISNUMBER(MATCH($D362,CMB_S,0)),1,IF(ISNUMBER(MATCH($D362,CMB_G,0)),2,0)))</f>
        <v/>
      </c>
      <c r="Q362" s="84">
        <f>IF(ISNUMBER($H362),-$H362,0)</f>
        <v>0</v>
      </c>
      <c r="R362" s="84">
        <f>IF(ISNUMBER($I362),ABS($I362),0)</f>
        <v>0</v>
      </c>
      <c r="S362" s="84">
        <f>IF(ISNUMBER($M362),ABS($M362),0)</f>
        <v>0</v>
      </c>
      <c r="T362" s="85" t="n">
        <v>354</v>
      </c>
    </row>
    <row r="363">
      <c r="B363" s="83" t="n"/>
      <c r="C363" s="83" t="n"/>
      <c r="D363" s="83" t="n"/>
      <c r="E363" s="83" t="n"/>
      <c r="F363" s="83" t="n"/>
      <c r="G363" s="83" t="n"/>
      <c r="H363" s="83" t="n"/>
      <c r="I363" s="83" t="n"/>
      <c r="J363" s="83" t="n"/>
      <c r="K363" s="83" t="n"/>
      <c r="L363" s="83" t="n"/>
      <c r="M363" s="83" t="n"/>
      <c r="O363" s="84" t="str">
        <f>IF($C363="","",IFERROR(MATCH($B363&amp;"|"&amp;$C363,MUROS!$AX$11:$AX$70,0),0))</f>
        <v/>
      </c>
      <c r="P363" s="84" t="str">
        <f>IF($D363="","",IF(ISNUMBER(MATCH($D363,CMB_S,0)),1,IF(ISNUMBER(MATCH($D363,CMB_G,0)),2,0)))</f>
        <v/>
      </c>
      <c r="Q363" s="84">
        <f>IF(ISNUMBER($H363),-$H363,0)</f>
        <v>0</v>
      </c>
      <c r="R363" s="84">
        <f>IF(ISNUMBER($I363),ABS($I363),0)</f>
        <v>0</v>
      </c>
      <c r="S363" s="84">
        <f>IF(ISNUMBER($M363),ABS($M363),0)</f>
        <v>0</v>
      </c>
      <c r="T363" s="85" t="n">
        <v>355</v>
      </c>
    </row>
    <row r="364"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83" t="n"/>
      <c r="K364" s="83" t="n"/>
      <c r="L364" s="83" t="n"/>
      <c r="M364" s="83" t="n"/>
      <c r="O364" s="84" t="str">
        <f>IF($C364="","",IFERROR(MATCH($B364&amp;"|"&amp;$C364,MUROS!$AX$11:$AX$70,0),0))</f>
        <v/>
      </c>
      <c r="P364" s="84" t="str">
        <f>IF($D364="","",IF(ISNUMBER(MATCH($D364,CMB_S,0)),1,IF(ISNUMBER(MATCH($D364,CMB_G,0)),2,0)))</f>
        <v/>
      </c>
      <c r="Q364" s="84">
        <f>IF(ISNUMBER($H364),-$H364,0)</f>
        <v>0</v>
      </c>
      <c r="R364" s="84">
        <f>IF(ISNUMBER($I364),ABS($I364),0)</f>
        <v>0</v>
      </c>
      <c r="S364" s="84">
        <f>IF(ISNUMBER($M364),ABS($M364),0)</f>
        <v>0</v>
      </c>
      <c r="T364" s="85" t="n">
        <v>356</v>
      </c>
    </row>
    <row r="365">
      <c r="B365" s="83" t="n"/>
      <c r="C365" s="83" t="n"/>
      <c r="D365" s="83" t="n"/>
      <c r="E365" s="83" t="n"/>
      <c r="F365" s="83" t="n"/>
      <c r="G365" s="83" t="n"/>
      <c r="H365" s="83" t="n"/>
      <c r="I365" s="83" t="n"/>
      <c r="J365" s="83" t="n"/>
      <c r="K365" s="83" t="n"/>
      <c r="L365" s="83" t="n"/>
      <c r="M365" s="83" t="n"/>
      <c r="O365" s="84" t="str">
        <f>IF($C365="","",IFERROR(MATCH($B365&amp;"|"&amp;$C365,MUROS!$AX$11:$AX$70,0),0))</f>
        <v/>
      </c>
      <c r="P365" s="84" t="str">
        <f>IF($D365="","",IF(ISNUMBER(MATCH($D365,CMB_S,0)),1,IF(ISNUMBER(MATCH($D365,CMB_G,0)),2,0)))</f>
        <v/>
      </c>
      <c r="Q365" s="84">
        <f>IF(ISNUMBER($H365),-$H365,0)</f>
        <v>0</v>
      </c>
      <c r="R365" s="84">
        <f>IF(ISNUMBER($I365),ABS($I365),0)</f>
        <v>0</v>
      </c>
      <c r="S365" s="84">
        <f>IF(ISNUMBER($M365),ABS($M365),0)</f>
        <v>0</v>
      </c>
      <c r="T365" s="85" t="n">
        <v>357</v>
      </c>
    </row>
    <row r="366">
      <c r="B366" s="83" t="n"/>
      <c r="C366" s="83" t="n"/>
      <c r="D366" s="83" t="n"/>
      <c r="E366" s="83" t="n"/>
      <c r="F366" s="83" t="n"/>
      <c r="G366" s="83" t="n"/>
      <c r="H366" s="83" t="n"/>
      <c r="I366" s="83" t="n"/>
      <c r="J366" s="83" t="n"/>
      <c r="K366" s="83" t="n"/>
      <c r="L366" s="83" t="n"/>
      <c r="M366" s="83" t="n"/>
      <c r="O366" s="84" t="str">
        <f>IF($C366="","",IFERROR(MATCH($B366&amp;"|"&amp;$C366,MUROS!$AX$11:$AX$70,0),0))</f>
        <v/>
      </c>
      <c r="P366" s="84" t="str">
        <f>IF($D366="","",IF(ISNUMBER(MATCH($D366,CMB_S,0)),1,IF(ISNUMBER(MATCH($D366,CMB_G,0)),2,0)))</f>
        <v/>
      </c>
      <c r="Q366" s="84">
        <f>IF(ISNUMBER($H366),-$H366,0)</f>
        <v>0</v>
      </c>
      <c r="R366" s="84">
        <f>IF(ISNUMBER($I366),ABS($I366),0)</f>
        <v>0</v>
      </c>
      <c r="S366" s="84">
        <f>IF(ISNUMBER($M366),ABS($M366),0)</f>
        <v>0</v>
      </c>
      <c r="T366" s="85" t="n">
        <v>358</v>
      </c>
    </row>
    <row r="367">
      <c r="B367" s="83" t="n"/>
      <c r="C367" s="83" t="n"/>
      <c r="D367" s="83" t="n"/>
      <c r="E367" s="83" t="n"/>
      <c r="F367" s="83" t="n"/>
      <c r="G367" s="83" t="n"/>
      <c r="H367" s="83" t="n"/>
      <c r="I367" s="83" t="n"/>
      <c r="J367" s="83" t="n"/>
      <c r="K367" s="83" t="n"/>
      <c r="L367" s="83" t="n"/>
      <c r="M367" s="83" t="n"/>
      <c r="O367" s="84" t="str">
        <f>IF($C367="","",IFERROR(MATCH($B367&amp;"|"&amp;$C367,MUROS!$AX$11:$AX$70,0),0))</f>
        <v/>
      </c>
      <c r="P367" s="84" t="str">
        <f>IF($D367="","",IF(ISNUMBER(MATCH($D367,CMB_S,0)),1,IF(ISNUMBER(MATCH($D367,CMB_G,0)),2,0)))</f>
        <v/>
      </c>
      <c r="Q367" s="84">
        <f>IF(ISNUMBER($H367),-$H367,0)</f>
        <v>0</v>
      </c>
      <c r="R367" s="84">
        <f>IF(ISNUMBER($I367),ABS($I367),0)</f>
        <v>0</v>
      </c>
      <c r="S367" s="84">
        <f>IF(ISNUMBER($M367),ABS($M367),0)</f>
        <v>0</v>
      </c>
      <c r="T367" s="85" t="n">
        <v>359</v>
      </c>
    </row>
    <row r="368">
      <c r="B368" s="83" t="n"/>
      <c r="C368" s="83" t="n"/>
      <c r="D368" s="83" t="n"/>
      <c r="E368" s="83" t="n"/>
      <c r="F368" s="83" t="n"/>
      <c r="G368" s="83" t="n"/>
      <c r="H368" s="83" t="n"/>
      <c r="I368" s="83" t="n"/>
      <c r="J368" s="83" t="n"/>
      <c r="K368" s="83" t="n"/>
      <c r="L368" s="83" t="n"/>
      <c r="M368" s="83" t="n"/>
      <c r="O368" s="84" t="str">
        <f>IF($C368="","",IFERROR(MATCH($B368&amp;"|"&amp;$C368,MUROS!$AX$11:$AX$70,0),0))</f>
        <v/>
      </c>
      <c r="P368" s="84" t="str">
        <f>IF($D368="","",IF(ISNUMBER(MATCH($D368,CMB_S,0)),1,IF(ISNUMBER(MATCH($D368,CMB_G,0)),2,0)))</f>
        <v/>
      </c>
      <c r="Q368" s="84">
        <f>IF(ISNUMBER($H368),-$H368,0)</f>
        <v>0</v>
      </c>
      <c r="R368" s="84">
        <f>IF(ISNUMBER($I368),ABS($I368),0)</f>
        <v>0</v>
      </c>
      <c r="S368" s="84">
        <f>IF(ISNUMBER($M368),ABS($M368),0)</f>
        <v>0</v>
      </c>
      <c r="T368" s="85" t="n">
        <v>360</v>
      </c>
    </row>
    <row r="369">
      <c r="B369" s="83" t="n"/>
      <c r="C369" s="83" t="n"/>
      <c r="D369" s="83" t="n"/>
      <c r="E369" s="83" t="n"/>
      <c r="F369" s="83" t="n"/>
      <c r="G369" s="83" t="n"/>
      <c r="H369" s="83" t="n"/>
      <c r="I369" s="83" t="n"/>
      <c r="J369" s="83" t="n"/>
      <c r="K369" s="83" t="n"/>
      <c r="L369" s="83" t="n"/>
      <c r="M369" s="83" t="n"/>
      <c r="O369" s="84" t="str">
        <f>IF($C369="","",IFERROR(MATCH($B369&amp;"|"&amp;$C369,MUROS!$AX$11:$AX$70,0),0))</f>
        <v/>
      </c>
      <c r="P369" s="84" t="str">
        <f>IF($D369="","",IF(ISNUMBER(MATCH($D369,CMB_S,0)),1,IF(ISNUMBER(MATCH($D369,CMB_G,0)),2,0)))</f>
        <v/>
      </c>
      <c r="Q369" s="84">
        <f>IF(ISNUMBER($H369),-$H369,0)</f>
        <v>0</v>
      </c>
      <c r="R369" s="84">
        <f>IF(ISNUMBER($I369),ABS($I369),0)</f>
        <v>0</v>
      </c>
      <c r="S369" s="84">
        <f>IF(ISNUMBER($M369),ABS($M369),0)</f>
        <v>0</v>
      </c>
      <c r="T369" s="85" t="n">
        <v>361</v>
      </c>
    </row>
    <row r="370">
      <c r="B370" s="83" t="n"/>
      <c r="C370" s="83" t="n"/>
      <c r="D370" s="83" t="n"/>
      <c r="E370" s="83" t="n"/>
      <c r="F370" s="83" t="n"/>
      <c r="G370" s="83" t="n"/>
      <c r="H370" s="83" t="n"/>
      <c r="I370" s="83" t="n"/>
      <c r="J370" s="83" t="n"/>
      <c r="K370" s="83" t="n"/>
      <c r="L370" s="83" t="n"/>
      <c r="M370" s="83" t="n"/>
      <c r="O370" s="84" t="str">
        <f>IF($C370="","",IFERROR(MATCH($B370&amp;"|"&amp;$C370,MUROS!$AX$11:$AX$70,0),0))</f>
        <v/>
      </c>
      <c r="P370" s="84" t="str">
        <f>IF($D370="","",IF(ISNUMBER(MATCH($D370,CMB_S,0)),1,IF(ISNUMBER(MATCH($D370,CMB_G,0)),2,0)))</f>
        <v/>
      </c>
      <c r="Q370" s="84">
        <f>IF(ISNUMBER($H370),-$H370,0)</f>
        <v>0</v>
      </c>
      <c r="R370" s="84">
        <f>IF(ISNUMBER($I370),ABS($I370),0)</f>
        <v>0</v>
      </c>
      <c r="S370" s="84">
        <f>IF(ISNUMBER($M370),ABS($M370),0)</f>
        <v>0</v>
      </c>
      <c r="T370" s="85" t="n">
        <v>362</v>
      </c>
    </row>
    <row r="371">
      <c r="B371" s="83" t="n"/>
      <c r="C371" s="83" t="n"/>
      <c r="D371" s="83" t="n"/>
      <c r="E371" s="83" t="n"/>
      <c r="F371" s="83" t="n"/>
      <c r="G371" s="83" t="n"/>
      <c r="H371" s="83" t="n"/>
      <c r="I371" s="83" t="n"/>
      <c r="J371" s="83" t="n"/>
      <c r="K371" s="83" t="n"/>
      <c r="L371" s="83" t="n"/>
      <c r="M371" s="83" t="n"/>
      <c r="O371" s="84" t="str">
        <f>IF($C371="","",IFERROR(MATCH($B371&amp;"|"&amp;$C371,MUROS!$AX$11:$AX$70,0),0))</f>
        <v/>
      </c>
      <c r="P371" s="84" t="str">
        <f>IF($D371="","",IF(ISNUMBER(MATCH($D371,CMB_S,0)),1,IF(ISNUMBER(MATCH($D371,CMB_G,0)),2,0)))</f>
        <v/>
      </c>
      <c r="Q371" s="84">
        <f>IF(ISNUMBER($H371),-$H371,0)</f>
        <v>0</v>
      </c>
      <c r="R371" s="84">
        <f>IF(ISNUMBER($I371),ABS($I371),0)</f>
        <v>0</v>
      </c>
      <c r="S371" s="84">
        <f>IF(ISNUMBER($M371),ABS($M371),0)</f>
        <v>0</v>
      </c>
      <c r="T371" s="85" t="n">
        <v>363</v>
      </c>
    </row>
    <row r="372">
      <c r="B372" s="83" t="n"/>
      <c r="C372" s="83" t="n"/>
      <c r="D372" s="83" t="n"/>
      <c r="E372" s="83" t="n"/>
      <c r="F372" s="83" t="n"/>
      <c r="G372" s="83" t="n"/>
      <c r="H372" s="83" t="n"/>
      <c r="I372" s="83" t="n"/>
      <c r="J372" s="83" t="n"/>
      <c r="K372" s="83" t="n"/>
      <c r="L372" s="83" t="n"/>
      <c r="M372" s="83" t="n"/>
      <c r="O372" s="84" t="str">
        <f>IF($C372="","",IFERROR(MATCH($B372&amp;"|"&amp;$C372,MUROS!$AX$11:$AX$70,0),0))</f>
        <v/>
      </c>
      <c r="P372" s="84" t="str">
        <f>IF($D372="","",IF(ISNUMBER(MATCH($D372,CMB_S,0)),1,IF(ISNUMBER(MATCH($D372,CMB_G,0)),2,0)))</f>
        <v/>
      </c>
      <c r="Q372" s="84">
        <f>IF(ISNUMBER($H372),-$H372,0)</f>
        <v>0</v>
      </c>
      <c r="R372" s="84">
        <f>IF(ISNUMBER($I372),ABS($I372),0)</f>
        <v>0</v>
      </c>
      <c r="S372" s="84">
        <f>IF(ISNUMBER($M372),ABS($M372),0)</f>
        <v>0</v>
      </c>
      <c r="T372" s="85" t="n">
        <v>364</v>
      </c>
    </row>
    <row r="373"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83" t="n"/>
      <c r="K373" s="83" t="n"/>
      <c r="L373" s="83" t="n"/>
      <c r="M373" s="83" t="n"/>
      <c r="O373" s="84" t="str">
        <f>IF($C373="","",IFERROR(MATCH($B373&amp;"|"&amp;$C373,MUROS!$AX$11:$AX$70,0),0))</f>
        <v/>
      </c>
      <c r="P373" s="84" t="str">
        <f>IF($D373="","",IF(ISNUMBER(MATCH($D373,CMB_S,0)),1,IF(ISNUMBER(MATCH($D373,CMB_G,0)),2,0)))</f>
        <v/>
      </c>
      <c r="Q373" s="84">
        <f>IF(ISNUMBER($H373),-$H373,0)</f>
        <v>0</v>
      </c>
      <c r="R373" s="84">
        <f>IF(ISNUMBER($I373),ABS($I373),0)</f>
        <v>0</v>
      </c>
      <c r="S373" s="84">
        <f>IF(ISNUMBER($M373),ABS($M373),0)</f>
        <v>0</v>
      </c>
      <c r="T373" s="85" t="n">
        <v>365</v>
      </c>
    </row>
    <row r="374">
      <c r="B374" s="83" t="n"/>
      <c r="C374" s="83" t="n"/>
      <c r="D374" s="83" t="n"/>
      <c r="E374" s="83" t="n"/>
      <c r="F374" s="83" t="n"/>
      <c r="G374" s="83" t="n"/>
      <c r="H374" s="83" t="n"/>
      <c r="I374" s="83" t="n"/>
      <c r="J374" s="83" t="n"/>
      <c r="K374" s="83" t="n"/>
      <c r="L374" s="83" t="n"/>
      <c r="M374" s="83" t="n"/>
      <c r="O374" s="84" t="str">
        <f>IF($C374="","",IFERROR(MATCH($B374&amp;"|"&amp;$C374,MUROS!$AX$11:$AX$70,0),0))</f>
        <v/>
      </c>
      <c r="P374" s="84" t="str">
        <f>IF($D374="","",IF(ISNUMBER(MATCH($D374,CMB_S,0)),1,IF(ISNUMBER(MATCH($D374,CMB_G,0)),2,0)))</f>
        <v/>
      </c>
      <c r="Q374" s="84">
        <f>IF(ISNUMBER($H374),-$H374,0)</f>
        <v>0</v>
      </c>
      <c r="R374" s="84">
        <f>IF(ISNUMBER($I374),ABS($I374),0)</f>
        <v>0</v>
      </c>
      <c r="S374" s="84">
        <f>IF(ISNUMBER($M374),ABS($M374),0)</f>
        <v>0</v>
      </c>
      <c r="T374" s="85" t="n">
        <v>366</v>
      </c>
    </row>
    <row r="375">
      <c r="B375" s="83" t="n"/>
      <c r="C375" s="83" t="n"/>
      <c r="D375" s="83" t="n"/>
      <c r="E375" s="83" t="n"/>
      <c r="F375" s="83" t="n"/>
      <c r="G375" s="83" t="n"/>
      <c r="H375" s="83" t="n"/>
      <c r="I375" s="83" t="n"/>
      <c r="J375" s="83" t="n"/>
      <c r="K375" s="83" t="n"/>
      <c r="L375" s="83" t="n"/>
      <c r="M375" s="83" t="n"/>
      <c r="O375" s="84" t="str">
        <f>IF($C375="","",IFERROR(MATCH($B375&amp;"|"&amp;$C375,MUROS!$AX$11:$AX$70,0),0))</f>
        <v/>
      </c>
      <c r="P375" s="84" t="str">
        <f>IF($D375="","",IF(ISNUMBER(MATCH($D375,CMB_S,0)),1,IF(ISNUMBER(MATCH($D375,CMB_G,0)),2,0)))</f>
        <v/>
      </c>
      <c r="Q375" s="84">
        <f>IF(ISNUMBER($H375),-$H375,0)</f>
        <v>0</v>
      </c>
      <c r="R375" s="84">
        <f>IF(ISNUMBER($I375),ABS($I375),0)</f>
        <v>0</v>
      </c>
      <c r="S375" s="84">
        <f>IF(ISNUMBER($M375),ABS($M375),0)</f>
        <v>0</v>
      </c>
      <c r="T375" s="85" t="n">
        <v>367</v>
      </c>
    </row>
    <row r="376">
      <c r="B376" s="83" t="n"/>
      <c r="C376" s="83" t="n"/>
      <c r="D376" s="83" t="n"/>
      <c r="E376" s="83" t="n"/>
      <c r="F376" s="83" t="n"/>
      <c r="G376" s="83" t="n"/>
      <c r="H376" s="83" t="n"/>
      <c r="I376" s="83" t="n"/>
      <c r="J376" s="83" t="n"/>
      <c r="K376" s="83" t="n"/>
      <c r="L376" s="83" t="n"/>
      <c r="M376" s="83" t="n"/>
      <c r="O376" s="84" t="str">
        <f>IF($C376="","",IFERROR(MATCH($B376&amp;"|"&amp;$C376,MUROS!$AX$11:$AX$70,0),0))</f>
        <v/>
      </c>
      <c r="P376" s="84" t="str">
        <f>IF($D376="","",IF(ISNUMBER(MATCH($D376,CMB_S,0)),1,IF(ISNUMBER(MATCH($D376,CMB_G,0)),2,0)))</f>
        <v/>
      </c>
      <c r="Q376" s="84">
        <f>IF(ISNUMBER($H376),-$H376,0)</f>
        <v>0</v>
      </c>
      <c r="R376" s="84">
        <f>IF(ISNUMBER($I376),ABS($I376),0)</f>
        <v>0</v>
      </c>
      <c r="S376" s="84">
        <f>IF(ISNUMBER($M376),ABS($M376),0)</f>
        <v>0</v>
      </c>
      <c r="T376" s="85" t="n">
        <v>368</v>
      </c>
    </row>
    <row r="377">
      <c r="B377" s="83" t="n"/>
      <c r="C377" s="83" t="n"/>
      <c r="D377" s="83" t="n"/>
      <c r="E377" s="83" t="n"/>
      <c r="F377" s="83" t="n"/>
      <c r="G377" s="83" t="n"/>
      <c r="H377" s="83" t="n"/>
      <c r="I377" s="83" t="n"/>
      <c r="J377" s="83" t="n"/>
      <c r="K377" s="83" t="n"/>
      <c r="L377" s="83" t="n"/>
      <c r="M377" s="83" t="n"/>
      <c r="O377" s="84" t="str">
        <f>IF($C377="","",IFERROR(MATCH($B377&amp;"|"&amp;$C377,MUROS!$AX$11:$AX$70,0),0))</f>
        <v/>
      </c>
      <c r="P377" s="84" t="str">
        <f>IF($D377="","",IF(ISNUMBER(MATCH($D377,CMB_S,0)),1,IF(ISNUMBER(MATCH($D377,CMB_G,0)),2,0)))</f>
        <v/>
      </c>
      <c r="Q377" s="84">
        <f>IF(ISNUMBER($H377),-$H377,0)</f>
        <v>0</v>
      </c>
      <c r="R377" s="84">
        <f>IF(ISNUMBER($I377),ABS($I377),0)</f>
        <v>0</v>
      </c>
      <c r="S377" s="84">
        <f>IF(ISNUMBER($M377),ABS($M377),0)</f>
        <v>0</v>
      </c>
      <c r="T377" s="85" t="n">
        <v>369</v>
      </c>
    </row>
    <row r="378">
      <c r="B378" s="83" t="n"/>
      <c r="C378" s="83" t="n"/>
      <c r="D378" s="83" t="n"/>
      <c r="E378" s="83" t="n"/>
      <c r="F378" s="83" t="n"/>
      <c r="G378" s="83" t="n"/>
      <c r="H378" s="83" t="n"/>
      <c r="I378" s="83" t="n"/>
      <c r="J378" s="83" t="n"/>
      <c r="K378" s="83" t="n"/>
      <c r="L378" s="83" t="n"/>
      <c r="M378" s="83" t="n"/>
      <c r="O378" s="84" t="str">
        <f>IF($C378="","",IFERROR(MATCH($B378&amp;"|"&amp;$C378,MUROS!$AX$11:$AX$70,0),0))</f>
        <v/>
      </c>
      <c r="P378" s="84" t="str">
        <f>IF($D378="","",IF(ISNUMBER(MATCH($D378,CMB_S,0)),1,IF(ISNUMBER(MATCH($D378,CMB_G,0)),2,0)))</f>
        <v/>
      </c>
      <c r="Q378" s="84">
        <f>IF(ISNUMBER($H378),-$H378,0)</f>
        <v>0</v>
      </c>
      <c r="R378" s="84">
        <f>IF(ISNUMBER($I378),ABS($I378),0)</f>
        <v>0</v>
      </c>
      <c r="S378" s="84">
        <f>IF(ISNUMBER($M378),ABS($M378),0)</f>
        <v>0</v>
      </c>
      <c r="T378" s="85" t="n">
        <v>370</v>
      </c>
    </row>
    <row r="379">
      <c r="B379" s="83" t="n"/>
      <c r="C379" s="83" t="n"/>
      <c r="D379" s="83" t="n"/>
      <c r="E379" s="83" t="n"/>
      <c r="F379" s="83" t="n"/>
      <c r="G379" s="83" t="n"/>
      <c r="H379" s="83" t="n"/>
      <c r="I379" s="83" t="n"/>
      <c r="J379" s="83" t="n"/>
      <c r="K379" s="83" t="n"/>
      <c r="L379" s="83" t="n"/>
      <c r="M379" s="83" t="n"/>
      <c r="O379" s="84" t="str">
        <f>IF($C379="","",IFERROR(MATCH($B379&amp;"|"&amp;$C379,MUROS!$AX$11:$AX$70,0),0))</f>
        <v/>
      </c>
      <c r="P379" s="84" t="str">
        <f>IF($D379="","",IF(ISNUMBER(MATCH($D379,CMB_S,0)),1,IF(ISNUMBER(MATCH($D379,CMB_G,0)),2,0)))</f>
        <v/>
      </c>
      <c r="Q379" s="84">
        <f>IF(ISNUMBER($H379),-$H379,0)</f>
        <v>0</v>
      </c>
      <c r="R379" s="84">
        <f>IF(ISNUMBER($I379),ABS($I379),0)</f>
        <v>0</v>
      </c>
      <c r="S379" s="84">
        <f>IF(ISNUMBER($M379),ABS($M379),0)</f>
        <v>0</v>
      </c>
      <c r="T379" s="85" t="n">
        <v>371</v>
      </c>
    </row>
    <row r="380">
      <c r="B380" s="83" t="n"/>
      <c r="C380" s="83" t="n"/>
      <c r="D380" s="83" t="n"/>
      <c r="E380" s="83" t="n"/>
      <c r="F380" s="83" t="n"/>
      <c r="G380" s="83" t="n"/>
      <c r="H380" s="83" t="n"/>
      <c r="I380" s="83" t="n"/>
      <c r="J380" s="83" t="n"/>
      <c r="K380" s="83" t="n"/>
      <c r="L380" s="83" t="n"/>
      <c r="M380" s="83" t="n"/>
      <c r="O380" s="84" t="str">
        <f>IF($C380="","",IFERROR(MATCH($B380&amp;"|"&amp;$C380,MUROS!$AX$11:$AX$70,0),0))</f>
        <v/>
      </c>
      <c r="P380" s="84" t="str">
        <f>IF($D380="","",IF(ISNUMBER(MATCH($D380,CMB_S,0)),1,IF(ISNUMBER(MATCH($D380,CMB_G,0)),2,0)))</f>
        <v/>
      </c>
      <c r="Q380" s="84">
        <f>IF(ISNUMBER($H380),-$H380,0)</f>
        <v>0</v>
      </c>
      <c r="R380" s="84">
        <f>IF(ISNUMBER($I380),ABS($I380),0)</f>
        <v>0</v>
      </c>
      <c r="S380" s="84">
        <f>IF(ISNUMBER($M380),ABS($M380),0)</f>
        <v>0</v>
      </c>
      <c r="T380" s="85" t="n">
        <v>372</v>
      </c>
    </row>
    <row r="381">
      <c r="B381" s="83" t="n"/>
      <c r="C381" s="83" t="n"/>
      <c r="D381" s="83" t="n"/>
      <c r="E381" s="83" t="n"/>
      <c r="F381" s="83" t="n"/>
      <c r="G381" s="83" t="n"/>
      <c r="H381" s="83" t="n"/>
      <c r="I381" s="83" t="n"/>
      <c r="J381" s="83" t="n"/>
      <c r="K381" s="83" t="n"/>
      <c r="L381" s="83" t="n"/>
      <c r="M381" s="83" t="n"/>
      <c r="O381" s="84" t="str">
        <f>IF($C381="","",IFERROR(MATCH($B381&amp;"|"&amp;$C381,MUROS!$AX$11:$AX$70,0),0))</f>
        <v/>
      </c>
      <c r="P381" s="84" t="str">
        <f>IF($D381="","",IF(ISNUMBER(MATCH($D381,CMB_S,0)),1,IF(ISNUMBER(MATCH($D381,CMB_G,0)),2,0)))</f>
        <v/>
      </c>
      <c r="Q381" s="84">
        <f>IF(ISNUMBER($H381),-$H381,0)</f>
        <v>0</v>
      </c>
      <c r="R381" s="84">
        <f>IF(ISNUMBER($I381),ABS($I381),0)</f>
        <v>0</v>
      </c>
      <c r="S381" s="84">
        <f>IF(ISNUMBER($M381),ABS($M381),0)</f>
        <v>0</v>
      </c>
      <c r="T381" s="85" t="n">
        <v>373</v>
      </c>
    </row>
    <row r="382"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83" t="n"/>
      <c r="K382" s="83" t="n"/>
      <c r="L382" s="83" t="n"/>
      <c r="M382" s="83" t="n"/>
      <c r="O382" s="84" t="str">
        <f>IF($C382="","",IFERROR(MATCH($B382&amp;"|"&amp;$C382,MUROS!$AX$11:$AX$70,0),0))</f>
        <v/>
      </c>
      <c r="P382" s="84" t="str">
        <f>IF($D382="","",IF(ISNUMBER(MATCH($D382,CMB_S,0)),1,IF(ISNUMBER(MATCH($D382,CMB_G,0)),2,0)))</f>
        <v/>
      </c>
      <c r="Q382" s="84">
        <f>IF(ISNUMBER($H382),-$H382,0)</f>
        <v>0</v>
      </c>
      <c r="R382" s="84">
        <f>IF(ISNUMBER($I382),ABS($I382),0)</f>
        <v>0</v>
      </c>
      <c r="S382" s="84">
        <f>IF(ISNUMBER($M382),ABS($M382),0)</f>
        <v>0</v>
      </c>
      <c r="T382" s="85" t="n">
        <v>374</v>
      </c>
    </row>
    <row r="383">
      <c r="B383" s="83" t="n"/>
      <c r="C383" s="83" t="n"/>
      <c r="D383" s="83" t="n"/>
      <c r="E383" s="83" t="n"/>
      <c r="F383" s="83" t="n"/>
      <c r="G383" s="83" t="n"/>
      <c r="H383" s="83" t="n"/>
      <c r="I383" s="83" t="n"/>
      <c r="J383" s="83" t="n"/>
      <c r="K383" s="83" t="n"/>
      <c r="L383" s="83" t="n"/>
      <c r="M383" s="83" t="n"/>
      <c r="O383" s="84" t="str">
        <f>IF($C383="","",IFERROR(MATCH($B383&amp;"|"&amp;$C383,MUROS!$AX$11:$AX$70,0),0))</f>
        <v/>
      </c>
      <c r="P383" s="84" t="str">
        <f>IF($D383="","",IF(ISNUMBER(MATCH($D383,CMB_S,0)),1,IF(ISNUMBER(MATCH($D383,CMB_G,0)),2,0)))</f>
        <v/>
      </c>
      <c r="Q383" s="84">
        <f>IF(ISNUMBER($H383),-$H383,0)</f>
        <v>0</v>
      </c>
      <c r="R383" s="84">
        <f>IF(ISNUMBER($I383),ABS($I383),0)</f>
        <v>0</v>
      </c>
      <c r="S383" s="84">
        <f>IF(ISNUMBER($M383),ABS($M383),0)</f>
        <v>0</v>
      </c>
      <c r="T383" s="85" t="n">
        <v>375</v>
      </c>
    </row>
    <row r="384">
      <c r="B384" s="83" t="n"/>
      <c r="C384" s="83" t="n"/>
      <c r="D384" s="83" t="n"/>
      <c r="E384" s="83" t="n"/>
      <c r="F384" s="83" t="n"/>
      <c r="G384" s="83" t="n"/>
      <c r="H384" s="83" t="n"/>
      <c r="I384" s="83" t="n"/>
      <c r="J384" s="83" t="n"/>
      <c r="K384" s="83" t="n"/>
      <c r="L384" s="83" t="n"/>
      <c r="M384" s="83" t="n"/>
      <c r="O384" s="84" t="str">
        <f>IF($C384="","",IFERROR(MATCH($B384&amp;"|"&amp;$C384,MUROS!$AX$11:$AX$70,0),0))</f>
        <v/>
      </c>
      <c r="P384" s="84" t="str">
        <f>IF($D384="","",IF(ISNUMBER(MATCH($D384,CMB_S,0)),1,IF(ISNUMBER(MATCH($D384,CMB_G,0)),2,0)))</f>
        <v/>
      </c>
      <c r="Q384" s="84">
        <f>IF(ISNUMBER($H384),-$H384,0)</f>
        <v>0</v>
      </c>
      <c r="R384" s="84">
        <f>IF(ISNUMBER($I384),ABS($I384),0)</f>
        <v>0</v>
      </c>
      <c r="S384" s="84">
        <f>IF(ISNUMBER($M384),ABS($M384),0)</f>
        <v>0</v>
      </c>
      <c r="T384" s="85" t="n">
        <v>376</v>
      </c>
    </row>
    <row r="385">
      <c r="B385" s="83" t="n"/>
      <c r="C385" s="83" t="n"/>
      <c r="D385" s="83" t="n"/>
      <c r="E385" s="83" t="n"/>
      <c r="F385" s="83" t="n"/>
      <c r="G385" s="83" t="n"/>
      <c r="H385" s="83" t="n"/>
      <c r="I385" s="83" t="n"/>
      <c r="J385" s="83" t="n"/>
      <c r="K385" s="83" t="n"/>
      <c r="L385" s="83" t="n"/>
      <c r="M385" s="83" t="n"/>
      <c r="O385" s="84" t="str">
        <f>IF($C385="","",IFERROR(MATCH($B385&amp;"|"&amp;$C385,MUROS!$AX$11:$AX$70,0),0))</f>
        <v/>
      </c>
      <c r="P385" s="84" t="str">
        <f>IF($D385="","",IF(ISNUMBER(MATCH($D385,CMB_S,0)),1,IF(ISNUMBER(MATCH($D385,CMB_G,0)),2,0)))</f>
        <v/>
      </c>
      <c r="Q385" s="84">
        <f>IF(ISNUMBER($H385),-$H385,0)</f>
        <v>0</v>
      </c>
      <c r="R385" s="84">
        <f>IF(ISNUMBER($I385),ABS($I385),0)</f>
        <v>0</v>
      </c>
      <c r="S385" s="84">
        <f>IF(ISNUMBER($M385),ABS($M385),0)</f>
        <v>0</v>
      </c>
      <c r="T385" s="85" t="n">
        <v>377</v>
      </c>
    </row>
    <row r="386">
      <c r="B386" s="83" t="n"/>
      <c r="C386" s="83" t="n"/>
      <c r="D386" s="83" t="n"/>
      <c r="E386" s="83" t="n"/>
      <c r="F386" s="83" t="n"/>
      <c r="G386" s="83" t="n"/>
      <c r="H386" s="83" t="n"/>
      <c r="I386" s="83" t="n"/>
      <c r="J386" s="83" t="n"/>
      <c r="K386" s="83" t="n"/>
      <c r="L386" s="83" t="n"/>
      <c r="M386" s="83" t="n"/>
      <c r="O386" s="84" t="str">
        <f>IF($C386="","",IFERROR(MATCH($B386&amp;"|"&amp;$C386,MUROS!$AX$11:$AX$70,0),0))</f>
        <v/>
      </c>
      <c r="P386" s="84" t="str">
        <f>IF($D386="","",IF(ISNUMBER(MATCH($D386,CMB_S,0)),1,IF(ISNUMBER(MATCH($D386,CMB_G,0)),2,0)))</f>
        <v/>
      </c>
      <c r="Q386" s="84">
        <f>IF(ISNUMBER($H386),-$H386,0)</f>
        <v>0</v>
      </c>
      <c r="R386" s="84">
        <f>IF(ISNUMBER($I386),ABS($I386),0)</f>
        <v>0</v>
      </c>
      <c r="S386" s="84">
        <f>IF(ISNUMBER($M386),ABS($M386),0)</f>
        <v>0</v>
      </c>
      <c r="T386" s="85" t="n">
        <v>378</v>
      </c>
    </row>
    <row r="387">
      <c r="B387" s="83" t="n"/>
      <c r="C387" s="83" t="n"/>
      <c r="D387" s="83" t="n"/>
      <c r="E387" s="83" t="n"/>
      <c r="F387" s="83" t="n"/>
      <c r="G387" s="83" t="n"/>
      <c r="H387" s="83" t="n"/>
      <c r="I387" s="83" t="n"/>
      <c r="J387" s="83" t="n"/>
      <c r="K387" s="83" t="n"/>
      <c r="L387" s="83" t="n"/>
      <c r="M387" s="83" t="n"/>
      <c r="O387" s="84" t="str">
        <f>IF($C387="","",IFERROR(MATCH($B387&amp;"|"&amp;$C387,MUROS!$AX$11:$AX$70,0),0))</f>
        <v/>
      </c>
      <c r="P387" s="84" t="str">
        <f>IF($D387="","",IF(ISNUMBER(MATCH($D387,CMB_S,0)),1,IF(ISNUMBER(MATCH($D387,CMB_G,0)),2,0)))</f>
        <v/>
      </c>
      <c r="Q387" s="84">
        <f>IF(ISNUMBER($H387),-$H387,0)</f>
        <v>0</v>
      </c>
      <c r="R387" s="84">
        <f>IF(ISNUMBER($I387),ABS($I387),0)</f>
        <v>0</v>
      </c>
      <c r="S387" s="84">
        <f>IF(ISNUMBER($M387),ABS($M387),0)</f>
        <v>0</v>
      </c>
      <c r="T387" s="85" t="n">
        <v>379</v>
      </c>
    </row>
    <row r="388">
      <c r="B388" s="83" t="n"/>
      <c r="C388" s="83" t="n"/>
      <c r="D388" s="83" t="n"/>
      <c r="E388" s="83" t="n"/>
      <c r="F388" s="83" t="n"/>
      <c r="G388" s="83" t="n"/>
      <c r="H388" s="83" t="n"/>
      <c r="I388" s="83" t="n"/>
      <c r="J388" s="83" t="n"/>
      <c r="K388" s="83" t="n"/>
      <c r="L388" s="83" t="n"/>
      <c r="M388" s="83" t="n"/>
      <c r="O388" s="84" t="str">
        <f>IF($C388="","",IFERROR(MATCH($B388&amp;"|"&amp;$C388,MUROS!$AX$11:$AX$70,0),0))</f>
        <v/>
      </c>
      <c r="P388" s="84" t="str">
        <f>IF($D388="","",IF(ISNUMBER(MATCH($D388,CMB_S,0)),1,IF(ISNUMBER(MATCH($D388,CMB_G,0)),2,0)))</f>
        <v/>
      </c>
      <c r="Q388" s="84">
        <f>IF(ISNUMBER($H388),-$H388,0)</f>
        <v>0</v>
      </c>
      <c r="R388" s="84">
        <f>IF(ISNUMBER($I388),ABS($I388),0)</f>
        <v>0</v>
      </c>
      <c r="S388" s="84">
        <f>IF(ISNUMBER($M388),ABS($M388),0)</f>
        <v>0</v>
      </c>
      <c r="T388" s="85" t="n">
        <v>380</v>
      </c>
    </row>
    <row r="389">
      <c r="B389" s="83" t="n"/>
      <c r="C389" s="83" t="n"/>
      <c r="D389" s="83" t="n"/>
      <c r="E389" s="83" t="n"/>
      <c r="F389" s="83" t="n"/>
      <c r="G389" s="83" t="n"/>
      <c r="H389" s="83" t="n"/>
      <c r="I389" s="83" t="n"/>
      <c r="J389" s="83" t="n"/>
      <c r="K389" s="83" t="n"/>
      <c r="L389" s="83" t="n"/>
      <c r="M389" s="83" t="n"/>
      <c r="O389" s="84" t="str">
        <f>IF($C389="","",IFERROR(MATCH($B389&amp;"|"&amp;$C389,MUROS!$AX$11:$AX$70,0),0))</f>
        <v/>
      </c>
      <c r="P389" s="84" t="str">
        <f>IF($D389="","",IF(ISNUMBER(MATCH($D389,CMB_S,0)),1,IF(ISNUMBER(MATCH($D389,CMB_G,0)),2,0)))</f>
        <v/>
      </c>
      <c r="Q389" s="84">
        <f>IF(ISNUMBER($H389),-$H389,0)</f>
        <v>0</v>
      </c>
      <c r="R389" s="84">
        <f>IF(ISNUMBER($I389),ABS($I389),0)</f>
        <v>0</v>
      </c>
      <c r="S389" s="84">
        <f>IF(ISNUMBER($M389),ABS($M389),0)</f>
        <v>0</v>
      </c>
      <c r="T389" s="85" t="n">
        <v>381</v>
      </c>
    </row>
    <row r="390">
      <c r="B390" s="83" t="n"/>
      <c r="C390" s="83" t="n"/>
      <c r="D390" s="83" t="n"/>
      <c r="E390" s="83" t="n"/>
      <c r="F390" s="83" t="n"/>
      <c r="G390" s="83" t="n"/>
      <c r="H390" s="83" t="n"/>
      <c r="I390" s="83" t="n"/>
      <c r="J390" s="83" t="n"/>
      <c r="K390" s="83" t="n"/>
      <c r="L390" s="83" t="n"/>
      <c r="M390" s="83" t="n"/>
      <c r="O390" s="84" t="str">
        <f>IF($C390="","",IFERROR(MATCH($B390&amp;"|"&amp;$C390,MUROS!$AX$11:$AX$70,0),0))</f>
        <v/>
      </c>
      <c r="P390" s="84" t="str">
        <f>IF($D390="","",IF(ISNUMBER(MATCH($D390,CMB_S,0)),1,IF(ISNUMBER(MATCH($D390,CMB_G,0)),2,0)))</f>
        <v/>
      </c>
      <c r="Q390" s="84">
        <f>IF(ISNUMBER($H390),-$H390,0)</f>
        <v>0</v>
      </c>
      <c r="R390" s="84">
        <f>IF(ISNUMBER($I390),ABS($I390),0)</f>
        <v>0</v>
      </c>
      <c r="S390" s="84">
        <f>IF(ISNUMBER($M390),ABS($M390),0)</f>
        <v>0</v>
      </c>
      <c r="T390" s="85" t="n">
        <v>382</v>
      </c>
    </row>
    <row r="391"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83" t="n"/>
      <c r="K391" s="83" t="n"/>
      <c r="L391" s="83" t="n"/>
      <c r="M391" s="83" t="n"/>
      <c r="O391" s="84" t="str">
        <f>IF($C391="","",IFERROR(MATCH($B391&amp;"|"&amp;$C391,MUROS!$AX$11:$AX$70,0),0))</f>
        <v/>
      </c>
      <c r="P391" s="84" t="str">
        <f>IF($D391="","",IF(ISNUMBER(MATCH($D391,CMB_S,0)),1,IF(ISNUMBER(MATCH($D391,CMB_G,0)),2,0)))</f>
        <v/>
      </c>
      <c r="Q391" s="84">
        <f>IF(ISNUMBER($H391),-$H391,0)</f>
        <v>0</v>
      </c>
      <c r="R391" s="84">
        <f>IF(ISNUMBER($I391),ABS($I391),0)</f>
        <v>0</v>
      </c>
      <c r="S391" s="84">
        <f>IF(ISNUMBER($M391),ABS($M391),0)</f>
        <v>0</v>
      </c>
      <c r="T391" s="85" t="n">
        <v>383</v>
      </c>
    </row>
    <row r="392">
      <c r="B392" s="83" t="n"/>
      <c r="C392" s="83" t="n"/>
      <c r="D392" s="83" t="n"/>
      <c r="E392" s="83" t="n"/>
      <c r="F392" s="83" t="n"/>
      <c r="G392" s="83" t="n"/>
      <c r="H392" s="83" t="n"/>
      <c r="I392" s="83" t="n"/>
      <c r="J392" s="83" t="n"/>
      <c r="K392" s="83" t="n"/>
      <c r="L392" s="83" t="n"/>
      <c r="M392" s="83" t="n"/>
      <c r="O392" s="84" t="str">
        <f>IF($C392="","",IFERROR(MATCH($B392&amp;"|"&amp;$C392,MUROS!$AX$11:$AX$70,0),0))</f>
        <v/>
      </c>
      <c r="P392" s="84" t="str">
        <f>IF($D392="","",IF(ISNUMBER(MATCH($D392,CMB_S,0)),1,IF(ISNUMBER(MATCH($D392,CMB_G,0)),2,0)))</f>
        <v/>
      </c>
      <c r="Q392" s="84">
        <f>IF(ISNUMBER($H392),-$H392,0)</f>
        <v>0</v>
      </c>
      <c r="R392" s="84">
        <f>IF(ISNUMBER($I392),ABS($I392),0)</f>
        <v>0</v>
      </c>
      <c r="S392" s="84">
        <f>IF(ISNUMBER($M392),ABS($M392),0)</f>
        <v>0</v>
      </c>
      <c r="T392" s="85" t="n">
        <v>384</v>
      </c>
    </row>
    <row r="393">
      <c r="B393" s="83" t="n"/>
      <c r="C393" s="83" t="n"/>
      <c r="D393" s="83" t="n"/>
      <c r="E393" s="83" t="n"/>
      <c r="F393" s="83" t="n"/>
      <c r="G393" s="83" t="n"/>
      <c r="H393" s="83" t="n"/>
      <c r="I393" s="83" t="n"/>
      <c r="J393" s="83" t="n"/>
      <c r="K393" s="83" t="n"/>
      <c r="L393" s="83" t="n"/>
      <c r="M393" s="83" t="n"/>
      <c r="O393" s="84" t="str">
        <f>IF($C393="","",IFERROR(MATCH($B393&amp;"|"&amp;$C393,MUROS!$AX$11:$AX$70,0),0))</f>
        <v/>
      </c>
      <c r="P393" s="84" t="str">
        <f>IF($D393="","",IF(ISNUMBER(MATCH($D393,CMB_S,0)),1,IF(ISNUMBER(MATCH($D393,CMB_G,0)),2,0)))</f>
        <v/>
      </c>
      <c r="Q393" s="84">
        <f>IF(ISNUMBER($H393),-$H393,0)</f>
        <v>0</v>
      </c>
      <c r="R393" s="84">
        <f>IF(ISNUMBER($I393),ABS($I393),0)</f>
        <v>0</v>
      </c>
      <c r="S393" s="84">
        <f>IF(ISNUMBER($M393),ABS($M393),0)</f>
        <v>0</v>
      </c>
      <c r="T393" s="85" t="n">
        <v>385</v>
      </c>
    </row>
    <row r="394">
      <c r="B394" s="83" t="n"/>
      <c r="C394" s="83" t="n"/>
      <c r="D394" s="83" t="n"/>
      <c r="E394" s="83" t="n"/>
      <c r="F394" s="83" t="n"/>
      <c r="G394" s="83" t="n"/>
      <c r="H394" s="83" t="n"/>
      <c r="I394" s="83" t="n"/>
      <c r="J394" s="83" t="n"/>
      <c r="K394" s="83" t="n"/>
      <c r="L394" s="83" t="n"/>
      <c r="M394" s="83" t="n"/>
      <c r="O394" s="84" t="str">
        <f>IF($C394="","",IFERROR(MATCH($B394&amp;"|"&amp;$C394,MUROS!$AX$11:$AX$70,0),0))</f>
        <v/>
      </c>
      <c r="P394" s="84" t="str">
        <f>IF($D394="","",IF(ISNUMBER(MATCH($D394,CMB_S,0)),1,IF(ISNUMBER(MATCH($D394,CMB_G,0)),2,0)))</f>
        <v/>
      </c>
      <c r="Q394" s="84">
        <f>IF(ISNUMBER($H394),-$H394,0)</f>
        <v>0</v>
      </c>
      <c r="R394" s="84">
        <f>IF(ISNUMBER($I394),ABS($I394),0)</f>
        <v>0</v>
      </c>
      <c r="S394" s="84">
        <f>IF(ISNUMBER($M394),ABS($M394),0)</f>
        <v>0</v>
      </c>
      <c r="T394" s="85" t="n">
        <v>386</v>
      </c>
    </row>
    <row r="395">
      <c r="B395" s="83" t="n"/>
      <c r="C395" s="83" t="n"/>
      <c r="D395" s="83" t="n"/>
      <c r="E395" s="83" t="n"/>
      <c r="F395" s="83" t="n"/>
      <c r="G395" s="83" t="n"/>
      <c r="H395" s="83" t="n"/>
      <c r="I395" s="83" t="n"/>
      <c r="J395" s="83" t="n"/>
      <c r="K395" s="83" t="n"/>
      <c r="L395" s="83" t="n"/>
      <c r="M395" s="83" t="n"/>
      <c r="O395" s="84" t="str">
        <f>IF($C395="","",IFERROR(MATCH($B395&amp;"|"&amp;$C395,MUROS!$AX$11:$AX$70,0),0))</f>
        <v/>
      </c>
      <c r="P395" s="84" t="str">
        <f>IF($D395="","",IF(ISNUMBER(MATCH($D395,CMB_S,0)),1,IF(ISNUMBER(MATCH($D395,CMB_G,0)),2,0)))</f>
        <v/>
      </c>
      <c r="Q395" s="84">
        <f>IF(ISNUMBER($H395),-$H395,0)</f>
        <v>0</v>
      </c>
      <c r="R395" s="84">
        <f>IF(ISNUMBER($I395),ABS($I395),0)</f>
        <v>0</v>
      </c>
      <c r="S395" s="84">
        <f>IF(ISNUMBER($M395),ABS($M395),0)</f>
        <v>0</v>
      </c>
      <c r="T395" s="85" t="n">
        <v>387</v>
      </c>
    </row>
    <row r="396">
      <c r="B396" s="83" t="n"/>
      <c r="C396" s="83" t="n"/>
      <c r="D396" s="83" t="n"/>
      <c r="E396" s="83" t="n"/>
      <c r="F396" s="83" t="n"/>
      <c r="G396" s="83" t="n"/>
      <c r="H396" s="83" t="n"/>
      <c r="I396" s="83" t="n"/>
      <c r="J396" s="83" t="n"/>
      <c r="K396" s="83" t="n"/>
      <c r="L396" s="83" t="n"/>
      <c r="M396" s="83" t="n"/>
      <c r="O396" s="84" t="str">
        <f>IF($C396="","",IFERROR(MATCH($B396&amp;"|"&amp;$C396,MUROS!$AX$11:$AX$70,0),0))</f>
        <v/>
      </c>
      <c r="P396" s="84" t="str">
        <f>IF($D396="","",IF(ISNUMBER(MATCH($D396,CMB_S,0)),1,IF(ISNUMBER(MATCH($D396,CMB_G,0)),2,0)))</f>
        <v/>
      </c>
      <c r="Q396" s="84">
        <f>IF(ISNUMBER($H396),-$H396,0)</f>
        <v>0</v>
      </c>
      <c r="R396" s="84">
        <f>IF(ISNUMBER($I396),ABS($I396),0)</f>
        <v>0</v>
      </c>
      <c r="S396" s="84">
        <f>IF(ISNUMBER($M396),ABS($M396),0)</f>
        <v>0</v>
      </c>
      <c r="T396" s="85" t="n">
        <v>388</v>
      </c>
    </row>
    <row r="397">
      <c r="B397" s="83" t="n"/>
      <c r="C397" s="83" t="n"/>
      <c r="D397" s="83" t="n"/>
      <c r="E397" s="83" t="n"/>
      <c r="F397" s="83" t="n"/>
      <c r="G397" s="83" t="n"/>
      <c r="H397" s="83" t="n"/>
      <c r="I397" s="83" t="n"/>
      <c r="J397" s="83" t="n"/>
      <c r="K397" s="83" t="n"/>
      <c r="L397" s="83" t="n"/>
      <c r="M397" s="83" t="n"/>
      <c r="O397" s="84" t="str">
        <f>IF($C397="","",IFERROR(MATCH($B397&amp;"|"&amp;$C397,MUROS!$AX$11:$AX$70,0),0))</f>
        <v/>
      </c>
      <c r="P397" s="84" t="str">
        <f>IF($D397="","",IF(ISNUMBER(MATCH($D397,CMB_S,0)),1,IF(ISNUMBER(MATCH($D397,CMB_G,0)),2,0)))</f>
        <v/>
      </c>
      <c r="Q397" s="84">
        <f>IF(ISNUMBER($H397),-$H397,0)</f>
        <v>0</v>
      </c>
      <c r="R397" s="84">
        <f>IF(ISNUMBER($I397),ABS($I397),0)</f>
        <v>0</v>
      </c>
      <c r="S397" s="84">
        <f>IF(ISNUMBER($M397),ABS($M397),0)</f>
        <v>0</v>
      </c>
      <c r="T397" s="85" t="n">
        <v>389</v>
      </c>
    </row>
    <row r="398">
      <c r="B398" s="83" t="n"/>
      <c r="C398" s="83" t="n"/>
      <c r="D398" s="83" t="n"/>
      <c r="E398" s="83" t="n"/>
      <c r="F398" s="83" t="n"/>
      <c r="G398" s="83" t="n"/>
      <c r="H398" s="83" t="n"/>
      <c r="I398" s="83" t="n"/>
      <c r="J398" s="83" t="n"/>
      <c r="K398" s="83" t="n"/>
      <c r="L398" s="83" t="n"/>
      <c r="M398" s="83" t="n"/>
      <c r="O398" s="84" t="str">
        <f>IF($C398="","",IFERROR(MATCH($B398&amp;"|"&amp;$C398,MUROS!$AX$11:$AX$70,0),0))</f>
        <v/>
      </c>
      <c r="P398" s="84" t="str">
        <f>IF($D398="","",IF(ISNUMBER(MATCH($D398,CMB_S,0)),1,IF(ISNUMBER(MATCH($D398,CMB_G,0)),2,0)))</f>
        <v/>
      </c>
      <c r="Q398" s="84">
        <f>IF(ISNUMBER($H398),-$H398,0)</f>
        <v>0</v>
      </c>
      <c r="R398" s="84">
        <f>IF(ISNUMBER($I398),ABS($I398),0)</f>
        <v>0</v>
      </c>
      <c r="S398" s="84">
        <f>IF(ISNUMBER($M398),ABS($M398),0)</f>
        <v>0</v>
      </c>
      <c r="T398" s="85" t="n">
        <v>390</v>
      </c>
    </row>
    <row r="399">
      <c r="B399" s="83" t="n"/>
      <c r="C399" s="83" t="n"/>
      <c r="D399" s="83" t="n"/>
      <c r="E399" s="83" t="n"/>
      <c r="F399" s="83" t="n"/>
      <c r="G399" s="83" t="n"/>
      <c r="H399" s="83" t="n"/>
      <c r="I399" s="83" t="n"/>
      <c r="J399" s="83" t="n"/>
      <c r="K399" s="83" t="n"/>
      <c r="L399" s="83" t="n"/>
      <c r="M399" s="83" t="n"/>
      <c r="O399" s="84" t="str">
        <f>IF($C399="","",IFERROR(MATCH($B399&amp;"|"&amp;$C399,MUROS!$AX$11:$AX$70,0),0))</f>
        <v/>
      </c>
      <c r="P399" s="84" t="str">
        <f>IF($D399="","",IF(ISNUMBER(MATCH($D399,CMB_S,0)),1,IF(ISNUMBER(MATCH($D399,CMB_G,0)),2,0)))</f>
        <v/>
      </c>
      <c r="Q399" s="84">
        <f>IF(ISNUMBER($H399),-$H399,0)</f>
        <v>0</v>
      </c>
      <c r="R399" s="84">
        <f>IF(ISNUMBER($I399),ABS($I399),0)</f>
        <v>0</v>
      </c>
      <c r="S399" s="84">
        <f>IF(ISNUMBER($M399),ABS($M399),0)</f>
        <v>0</v>
      </c>
      <c r="T399" s="85" t="n">
        <v>391</v>
      </c>
    </row>
    <row r="400"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83" t="n"/>
      <c r="K400" s="83" t="n"/>
      <c r="L400" s="83" t="n"/>
      <c r="M400" s="83" t="n"/>
      <c r="O400" s="84" t="str">
        <f>IF($C400="","",IFERROR(MATCH($B400&amp;"|"&amp;$C400,MUROS!$AX$11:$AX$70,0),0))</f>
        <v/>
      </c>
      <c r="P400" s="84" t="str">
        <f>IF($D400="","",IF(ISNUMBER(MATCH($D400,CMB_S,0)),1,IF(ISNUMBER(MATCH($D400,CMB_G,0)),2,0)))</f>
        <v/>
      </c>
      <c r="Q400" s="84">
        <f>IF(ISNUMBER($H400),-$H400,0)</f>
        <v>0</v>
      </c>
      <c r="R400" s="84">
        <f>IF(ISNUMBER($I400),ABS($I400),0)</f>
        <v>0</v>
      </c>
      <c r="S400" s="84">
        <f>IF(ISNUMBER($M400),ABS($M400),0)</f>
        <v>0</v>
      </c>
      <c r="T400" s="85" t="n">
        <v>392</v>
      </c>
    </row>
    <row r="401">
      <c r="B401" s="83" t="n"/>
      <c r="C401" s="83" t="n"/>
      <c r="D401" s="83" t="n"/>
      <c r="E401" s="83" t="n"/>
      <c r="F401" s="83" t="n"/>
      <c r="G401" s="83" t="n"/>
      <c r="H401" s="83" t="n"/>
      <c r="I401" s="83" t="n"/>
      <c r="J401" s="83" t="n"/>
      <c r="K401" s="83" t="n"/>
      <c r="L401" s="83" t="n"/>
      <c r="M401" s="83" t="n"/>
      <c r="O401" s="84" t="str">
        <f>IF($C401="","",IFERROR(MATCH($B401&amp;"|"&amp;$C401,MUROS!$AX$11:$AX$70,0),0))</f>
        <v/>
      </c>
      <c r="P401" s="84" t="str">
        <f>IF($D401="","",IF(ISNUMBER(MATCH($D401,CMB_S,0)),1,IF(ISNUMBER(MATCH($D401,CMB_G,0)),2,0)))</f>
        <v/>
      </c>
      <c r="Q401" s="84">
        <f>IF(ISNUMBER($H401),-$H401,0)</f>
        <v>0</v>
      </c>
      <c r="R401" s="84">
        <f>IF(ISNUMBER($I401),ABS($I401),0)</f>
        <v>0</v>
      </c>
      <c r="S401" s="84">
        <f>IF(ISNUMBER($M401),ABS($M401),0)</f>
        <v>0</v>
      </c>
      <c r="T401" s="85" t="n">
        <v>393</v>
      </c>
    </row>
    <row r="402">
      <c r="B402" s="83" t="n"/>
      <c r="C402" s="83" t="n"/>
      <c r="D402" s="83" t="n"/>
      <c r="E402" s="83" t="n"/>
      <c r="F402" s="83" t="n"/>
      <c r="G402" s="83" t="n"/>
      <c r="H402" s="83" t="n"/>
      <c r="I402" s="83" t="n"/>
      <c r="J402" s="83" t="n"/>
      <c r="K402" s="83" t="n"/>
      <c r="L402" s="83" t="n"/>
      <c r="M402" s="83" t="n"/>
      <c r="O402" s="84" t="str">
        <f>IF($C402="","",IFERROR(MATCH($B402&amp;"|"&amp;$C402,MUROS!$AX$11:$AX$70,0),0))</f>
        <v/>
      </c>
      <c r="P402" s="84" t="str">
        <f>IF($D402="","",IF(ISNUMBER(MATCH($D402,CMB_S,0)),1,IF(ISNUMBER(MATCH($D402,CMB_G,0)),2,0)))</f>
        <v/>
      </c>
      <c r="Q402" s="84">
        <f>IF(ISNUMBER($H402),-$H402,0)</f>
        <v>0</v>
      </c>
      <c r="R402" s="84">
        <f>IF(ISNUMBER($I402),ABS($I402),0)</f>
        <v>0</v>
      </c>
      <c r="S402" s="84">
        <f>IF(ISNUMBER($M402),ABS($M402),0)</f>
        <v>0</v>
      </c>
      <c r="T402" s="85" t="n">
        <v>394</v>
      </c>
    </row>
    <row r="403">
      <c r="B403" s="83" t="n"/>
      <c r="C403" s="83" t="n"/>
      <c r="D403" s="83" t="n"/>
      <c r="E403" s="83" t="n"/>
      <c r="F403" s="83" t="n"/>
      <c r="G403" s="83" t="n"/>
      <c r="H403" s="83" t="n"/>
      <c r="I403" s="83" t="n"/>
      <c r="J403" s="83" t="n"/>
      <c r="K403" s="83" t="n"/>
      <c r="L403" s="83" t="n"/>
      <c r="M403" s="83" t="n"/>
      <c r="O403" s="84" t="str">
        <f>IF($C403="","",IFERROR(MATCH($B403&amp;"|"&amp;$C403,MUROS!$AX$11:$AX$70,0),0))</f>
        <v/>
      </c>
      <c r="P403" s="84" t="str">
        <f>IF($D403="","",IF(ISNUMBER(MATCH($D403,CMB_S,0)),1,IF(ISNUMBER(MATCH($D403,CMB_G,0)),2,0)))</f>
        <v/>
      </c>
      <c r="Q403" s="84">
        <f>IF(ISNUMBER($H403),-$H403,0)</f>
        <v>0</v>
      </c>
      <c r="R403" s="84">
        <f>IF(ISNUMBER($I403),ABS($I403),0)</f>
        <v>0</v>
      </c>
      <c r="S403" s="84">
        <f>IF(ISNUMBER($M403),ABS($M403),0)</f>
        <v>0</v>
      </c>
      <c r="T403" s="85" t="n">
        <v>395</v>
      </c>
    </row>
    <row r="404">
      <c r="B404" s="83" t="n"/>
      <c r="C404" s="83" t="n"/>
      <c r="D404" s="83" t="n"/>
      <c r="E404" s="83" t="n"/>
      <c r="F404" s="83" t="n"/>
      <c r="G404" s="83" t="n"/>
      <c r="H404" s="83" t="n"/>
      <c r="I404" s="83" t="n"/>
      <c r="J404" s="83" t="n"/>
      <c r="K404" s="83" t="n"/>
      <c r="L404" s="83" t="n"/>
      <c r="M404" s="83" t="n"/>
      <c r="O404" s="84" t="str">
        <f>IF($C404="","",IFERROR(MATCH($B404&amp;"|"&amp;$C404,MUROS!$AX$11:$AX$70,0),0))</f>
        <v/>
      </c>
      <c r="P404" s="84" t="str">
        <f>IF($D404="","",IF(ISNUMBER(MATCH($D404,CMB_S,0)),1,IF(ISNUMBER(MATCH($D404,CMB_G,0)),2,0)))</f>
        <v/>
      </c>
      <c r="Q404" s="84">
        <f>IF(ISNUMBER($H404),-$H404,0)</f>
        <v>0</v>
      </c>
      <c r="R404" s="84">
        <f>IF(ISNUMBER($I404),ABS($I404),0)</f>
        <v>0</v>
      </c>
      <c r="S404" s="84">
        <f>IF(ISNUMBER($M404),ABS($M404),0)</f>
        <v>0</v>
      </c>
      <c r="T404" s="85" t="n">
        <v>396</v>
      </c>
    </row>
    <row r="405">
      <c r="B405" s="83" t="n"/>
      <c r="C405" s="83" t="n"/>
      <c r="D405" s="83" t="n"/>
      <c r="E405" s="83" t="n"/>
      <c r="F405" s="83" t="n"/>
      <c r="G405" s="83" t="n"/>
      <c r="H405" s="83" t="n"/>
      <c r="I405" s="83" t="n"/>
      <c r="J405" s="83" t="n"/>
      <c r="K405" s="83" t="n"/>
      <c r="L405" s="83" t="n"/>
      <c r="M405" s="83" t="n"/>
      <c r="O405" s="84" t="str">
        <f>IF($C405="","",IFERROR(MATCH($B405&amp;"|"&amp;$C405,MUROS!$AX$11:$AX$70,0),0))</f>
        <v/>
      </c>
      <c r="P405" s="84" t="str">
        <f>IF($D405="","",IF(ISNUMBER(MATCH($D405,CMB_S,0)),1,IF(ISNUMBER(MATCH($D405,CMB_G,0)),2,0)))</f>
        <v/>
      </c>
      <c r="Q405" s="84">
        <f>IF(ISNUMBER($H405),-$H405,0)</f>
        <v>0</v>
      </c>
      <c r="R405" s="84">
        <f>IF(ISNUMBER($I405),ABS($I405),0)</f>
        <v>0</v>
      </c>
      <c r="S405" s="84">
        <f>IF(ISNUMBER($M405),ABS($M405),0)</f>
        <v>0</v>
      </c>
      <c r="T405" s="85" t="n">
        <v>397</v>
      </c>
    </row>
    <row r="406">
      <c r="B406" s="83" t="n"/>
      <c r="C406" s="83" t="n"/>
      <c r="D406" s="83" t="n"/>
      <c r="E406" s="83" t="n"/>
      <c r="F406" s="83" t="n"/>
      <c r="G406" s="83" t="n"/>
      <c r="H406" s="83" t="n"/>
      <c r="I406" s="83" t="n"/>
      <c r="J406" s="83" t="n"/>
      <c r="K406" s="83" t="n"/>
      <c r="L406" s="83" t="n"/>
      <c r="M406" s="83" t="n"/>
      <c r="O406" s="84" t="str">
        <f>IF($C406="","",IFERROR(MATCH($B406&amp;"|"&amp;$C406,MUROS!$AX$11:$AX$70,0),0))</f>
        <v/>
      </c>
      <c r="P406" s="84" t="str">
        <f>IF($D406="","",IF(ISNUMBER(MATCH($D406,CMB_S,0)),1,IF(ISNUMBER(MATCH($D406,CMB_G,0)),2,0)))</f>
        <v/>
      </c>
      <c r="Q406" s="84">
        <f>IF(ISNUMBER($H406),-$H406,0)</f>
        <v>0</v>
      </c>
      <c r="R406" s="84">
        <f>IF(ISNUMBER($I406),ABS($I406),0)</f>
        <v>0</v>
      </c>
      <c r="S406" s="84">
        <f>IF(ISNUMBER($M406),ABS($M406),0)</f>
        <v>0</v>
      </c>
      <c r="T406" s="85" t="n">
        <v>398</v>
      </c>
    </row>
    <row r="407">
      <c r="B407" s="83" t="n"/>
      <c r="C407" s="83" t="n"/>
      <c r="D407" s="83" t="n"/>
      <c r="E407" s="83" t="n"/>
      <c r="F407" s="83" t="n"/>
      <c r="G407" s="83" t="n"/>
      <c r="H407" s="83" t="n"/>
      <c r="I407" s="83" t="n"/>
      <c r="J407" s="83" t="n"/>
      <c r="K407" s="83" t="n"/>
      <c r="L407" s="83" t="n"/>
      <c r="M407" s="83" t="n"/>
      <c r="O407" s="84" t="str">
        <f>IF($C407="","",IFERROR(MATCH($B407&amp;"|"&amp;$C407,MUROS!$AX$11:$AX$70,0),0))</f>
        <v/>
      </c>
      <c r="P407" s="84" t="str">
        <f>IF($D407="","",IF(ISNUMBER(MATCH($D407,CMB_S,0)),1,IF(ISNUMBER(MATCH($D407,CMB_G,0)),2,0)))</f>
        <v/>
      </c>
      <c r="Q407" s="84">
        <f>IF(ISNUMBER($H407),-$H407,0)</f>
        <v>0</v>
      </c>
      <c r="R407" s="84">
        <f>IF(ISNUMBER($I407),ABS($I407),0)</f>
        <v>0</v>
      </c>
      <c r="S407" s="84">
        <f>IF(ISNUMBER($M407),ABS($M407),0)</f>
        <v>0</v>
      </c>
      <c r="T407" s="85" t="n">
        <v>399</v>
      </c>
    </row>
    <row r="408">
      <c r="B408" s="83" t="n"/>
      <c r="C408" s="83" t="n"/>
      <c r="D408" s="83" t="n"/>
      <c r="E408" s="83" t="n"/>
      <c r="F408" s="83" t="n"/>
      <c r="G408" s="83" t="n"/>
      <c r="H408" s="83" t="n"/>
      <c r="I408" s="83" t="n"/>
      <c r="J408" s="83" t="n"/>
      <c r="K408" s="83" t="n"/>
      <c r="L408" s="83" t="n"/>
      <c r="M408" s="83" t="n"/>
      <c r="O408" s="84" t="str">
        <f>IF($C408="","",IFERROR(MATCH($B408&amp;"|"&amp;$C408,MUROS!$AX$11:$AX$70,0),0))</f>
        <v/>
      </c>
      <c r="P408" s="84" t="str">
        <f>IF($D408="","",IF(ISNUMBER(MATCH($D408,CMB_S,0)),1,IF(ISNUMBER(MATCH($D408,CMB_G,0)),2,0)))</f>
        <v/>
      </c>
      <c r="Q408" s="84">
        <f>IF(ISNUMBER($H408),-$H408,0)</f>
        <v>0</v>
      </c>
      <c r="R408" s="84">
        <f>IF(ISNUMBER($I408),ABS($I408),0)</f>
        <v>0</v>
      </c>
      <c r="S408" s="84">
        <f>IF(ISNUMBER($M408),ABS($M408),0)</f>
        <v>0</v>
      </c>
      <c r="T408" s="85" t="n">
        <v>400</v>
      </c>
    </row>
    <row r="409"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83" t="n"/>
      <c r="K409" s="83" t="n"/>
      <c r="L409" s="83" t="n"/>
      <c r="M409" s="83" t="n"/>
      <c r="O409" s="84" t="str">
        <f>IF($C409="","",IFERROR(MATCH($B409&amp;"|"&amp;$C409,MUROS!$AX$11:$AX$70,0),0))</f>
        <v/>
      </c>
      <c r="P409" s="84" t="str">
        <f>IF($D409="","",IF(ISNUMBER(MATCH($D409,CMB_S,0)),1,IF(ISNUMBER(MATCH($D409,CMB_G,0)),2,0)))</f>
        <v/>
      </c>
      <c r="Q409" s="84">
        <f>IF(ISNUMBER($H409),-$H409,0)</f>
        <v>0</v>
      </c>
      <c r="R409" s="84">
        <f>IF(ISNUMBER($I409),ABS($I409),0)</f>
        <v>0</v>
      </c>
      <c r="S409" s="84">
        <f>IF(ISNUMBER($M409),ABS($M409),0)</f>
        <v>0</v>
      </c>
      <c r="T409" s="85" t="n">
        <v>401</v>
      </c>
    </row>
    <row r="410">
      <c r="B410" s="83" t="n"/>
      <c r="C410" s="83" t="n"/>
      <c r="D410" s="83" t="n"/>
      <c r="E410" s="83" t="n"/>
      <c r="F410" s="83" t="n"/>
      <c r="G410" s="83" t="n"/>
      <c r="H410" s="83" t="n"/>
      <c r="I410" s="83" t="n"/>
      <c r="J410" s="83" t="n"/>
      <c r="K410" s="83" t="n"/>
      <c r="L410" s="83" t="n"/>
      <c r="M410" s="83" t="n"/>
      <c r="O410" s="84" t="str">
        <f>IF($C410="","",IFERROR(MATCH($B410&amp;"|"&amp;$C410,MUROS!$AX$11:$AX$70,0),0))</f>
        <v/>
      </c>
      <c r="P410" s="84" t="str">
        <f>IF($D410="","",IF(ISNUMBER(MATCH($D410,CMB_S,0)),1,IF(ISNUMBER(MATCH($D410,CMB_G,0)),2,0)))</f>
        <v/>
      </c>
      <c r="Q410" s="84">
        <f>IF(ISNUMBER($H410),-$H410,0)</f>
        <v>0</v>
      </c>
      <c r="R410" s="84">
        <f>IF(ISNUMBER($I410),ABS($I410),0)</f>
        <v>0</v>
      </c>
      <c r="S410" s="84">
        <f>IF(ISNUMBER($M410),ABS($M410),0)</f>
        <v>0</v>
      </c>
      <c r="T410" s="85" t="n">
        <v>402</v>
      </c>
    </row>
    <row r="411">
      <c r="B411" s="83" t="n"/>
      <c r="C411" s="83" t="n"/>
      <c r="D411" s="83" t="n"/>
      <c r="E411" s="83" t="n"/>
      <c r="F411" s="83" t="n"/>
      <c r="G411" s="83" t="n"/>
      <c r="H411" s="83" t="n"/>
      <c r="I411" s="83" t="n"/>
      <c r="J411" s="83" t="n"/>
      <c r="K411" s="83" t="n"/>
      <c r="L411" s="83" t="n"/>
      <c r="M411" s="83" t="n"/>
      <c r="O411" s="84" t="str">
        <f>IF($C411="","",IFERROR(MATCH($B411&amp;"|"&amp;$C411,MUROS!$AX$11:$AX$70,0),0))</f>
        <v/>
      </c>
      <c r="P411" s="84" t="str">
        <f>IF($D411="","",IF(ISNUMBER(MATCH($D411,CMB_S,0)),1,IF(ISNUMBER(MATCH($D411,CMB_G,0)),2,0)))</f>
        <v/>
      </c>
      <c r="Q411" s="84">
        <f>IF(ISNUMBER($H411),-$H411,0)</f>
        <v>0</v>
      </c>
      <c r="R411" s="84">
        <f>IF(ISNUMBER($I411),ABS($I411),0)</f>
        <v>0</v>
      </c>
      <c r="S411" s="84">
        <f>IF(ISNUMBER($M411),ABS($M411),0)</f>
        <v>0</v>
      </c>
      <c r="T411" s="85" t="n">
        <v>403</v>
      </c>
    </row>
    <row r="412">
      <c r="B412" s="83" t="n"/>
      <c r="C412" s="83" t="n"/>
      <c r="D412" s="83" t="n"/>
      <c r="E412" s="83" t="n"/>
      <c r="F412" s="83" t="n"/>
      <c r="G412" s="83" t="n"/>
      <c r="H412" s="83" t="n"/>
      <c r="I412" s="83" t="n"/>
      <c r="J412" s="83" t="n"/>
      <c r="K412" s="83" t="n"/>
      <c r="L412" s="83" t="n"/>
      <c r="M412" s="83" t="n"/>
      <c r="O412" s="84" t="str">
        <f>IF($C412="","",IFERROR(MATCH($B412&amp;"|"&amp;$C412,MUROS!$AX$11:$AX$70,0),0))</f>
        <v/>
      </c>
      <c r="P412" s="84" t="str">
        <f>IF($D412="","",IF(ISNUMBER(MATCH($D412,CMB_S,0)),1,IF(ISNUMBER(MATCH($D412,CMB_G,0)),2,0)))</f>
        <v/>
      </c>
      <c r="Q412" s="84">
        <f>IF(ISNUMBER($H412),-$H412,0)</f>
        <v>0</v>
      </c>
      <c r="R412" s="84">
        <f>IF(ISNUMBER($I412),ABS($I412),0)</f>
        <v>0</v>
      </c>
      <c r="S412" s="84">
        <f>IF(ISNUMBER($M412),ABS($M412),0)</f>
        <v>0</v>
      </c>
      <c r="T412" s="85" t="n">
        <v>404</v>
      </c>
    </row>
    <row r="413">
      <c r="B413" s="83" t="n"/>
      <c r="C413" s="83" t="n"/>
      <c r="D413" s="83" t="n"/>
      <c r="E413" s="83" t="n"/>
      <c r="F413" s="83" t="n"/>
      <c r="G413" s="83" t="n"/>
      <c r="H413" s="83" t="n"/>
      <c r="I413" s="83" t="n"/>
      <c r="J413" s="83" t="n"/>
      <c r="K413" s="83" t="n"/>
      <c r="L413" s="83" t="n"/>
      <c r="M413" s="83" t="n"/>
      <c r="O413" s="84" t="str">
        <f>IF($C413="","",IFERROR(MATCH($B413&amp;"|"&amp;$C413,MUROS!$AX$11:$AX$70,0),0))</f>
        <v/>
      </c>
      <c r="P413" s="84" t="str">
        <f>IF($D413="","",IF(ISNUMBER(MATCH($D413,CMB_S,0)),1,IF(ISNUMBER(MATCH($D413,CMB_G,0)),2,0)))</f>
        <v/>
      </c>
      <c r="Q413" s="84">
        <f>IF(ISNUMBER($H413),-$H413,0)</f>
        <v>0</v>
      </c>
      <c r="R413" s="84">
        <f>IF(ISNUMBER($I413),ABS($I413),0)</f>
        <v>0</v>
      </c>
      <c r="S413" s="84">
        <f>IF(ISNUMBER($M413),ABS($M413),0)</f>
        <v>0</v>
      </c>
      <c r="T413" s="85" t="n">
        <v>405</v>
      </c>
    </row>
    <row r="414">
      <c r="B414" s="83" t="n"/>
      <c r="C414" s="83" t="n"/>
      <c r="D414" s="83" t="n"/>
      <c r="E414" s="83" t="n"/>
      <c r="F414" s="83" t="n"/>
      <c r="G414" s="83" t="n"/>
      <c r="H414" s="83" t="n"/>
      <c r="I414" s="83" t="n"/>
      <c r="J414" s="83" t="n"/>
      <c r="K414" s="83" t="n"/>
      <c r="L414" s="83" t="n"/>
      <c r="M414" s="83" t="n"/>
      <c r="O414" s="84" t="str">
        <f>IF($C414="","",IFERROR(MATCH($B414&amp;"|"&amp;$C414,MUROS!$AX$11:$AX$70,0),0))</f>
        <v/>
      </c>
      <c r="P414" s="84" t="str">
        <f>IF($D414="","",IF(ISNUMBER(MATCH($D414,CMB_S,0)),1,IF(ISNUMBER(MATCH($D414,CMB_G,0)),2,0)))</f>
        <v/>
      </c>
      <c r="Q414" s="84">
        <f>IF(ISNUMBER($H414),-$H414,0)</f>
        <v>0</v>
      </c>
      <c r="R414" s="84">
        <f>IF(ISNUMBER($I414),ABS($I414),0)</f>
        <v>0</v>
      </c>
      <c r="S414" s="84">
        <f>IF(ISNUMBER($M414),ABS($M414),0)</f>
        <v>0</v>
      </c>
      <c r="T414" s="85" t="n">
        <v>406</v>
      </c>
    </row>
    <row r="415">
      <c r="B415" s="83" t="n"/>
      <c r="C415" s="83" t="n"/>
      <c r="D415" s="83" t="n"/>
      <c r="E415" s="83" t="n"/>
      <c r="F415" s="83" t="n"/>
      <c r="G415" s="83" t="n"/>
      <c r="H415" s="83" t="n"/>
      <c r="I415" s="83" t="n"/>
      <c r="J415" s="83" t="n"/>
      <c r="K415" s="83" t="n"/>
      <c r="L415" s="83" t="n"/>
      <c r="M415" s="83" t="n"/>
      <c r="O415" s="84" t="str">
        <f>IF($C415="","",IFERROR(MATCH($B415&amp;"|"&amp;$C415,MUROS!$AX$11:$AX$70,0),0))</f>
        <v/>
      </c>
      <c r="P415" s="84" t="str">
        <f>IF($D415="","",IF(ISNUMBER(MATCH($D415,CMB_S,0)),1,IF(ISNUMBER(MATCH($D415,CMB_G,0)),2,0)))</f>
        <v/>
      </c>
      <c r="Q415" s="84">
        <f>IF(ISNUMBER($H415),-$H415,0)</f>
        <v>0</v>
      </c>
      <c r="R415" s="84">
        <f>IF(ISNUMBER($I415),ABS($I415),0)</f>
        <v>0</v>
      </c>
      <c r="S415" s="84">
        <f>IF(ISNUMBER($M415),ABS($M415),0)</f>
        <v>0</v>
      </c>
      <c r="T415" s="85" t="n">
        <v>407</v>
      </c>
    </row>
    <row r="416">
      <c r="B416" s="83" t="n"/>
      <c r="C416" s="83" t="n"/>
      <c r="D416" s="83" t="n"/>
      <c r="E416" s="83" t="n"/>
      <c r="F416" s="83" t="n"/>
      <c r="G416" s="83" t="n"/>
      <c r="H416" s="83" t="n"/>
      <c r="I416" s="83" t="n"/>
      <c r="J416" s="83" t="n"/>
      <c r="K416" s="83" t="n"/>
      <c r="L416" s="83" t="n"/>
      <c r="M416" s="83" t="n"/>
      <c r="O416" s="84" t="str">
        <f>IF($C416="","",IFERROR(MATCH($B416&amp;"|"&amp;$C416,MUROS!$AX$11:$AX$70,0),0))</f>
        <v/>
      </c>
      <c r="P416" s="84" t="str">
        <f>IF($D416="","",IF(ISNUMBER(MATCH($D416,CMB_S,0)),1,IF(ISNUMBER(MATCH($D416,CMB_G,0)),2,0)))</f>
        <v/>
      </c>
      <c r="Q416" s="84">
        <f>IF(ISNUMBER($H416),-$H416,0)</f>
        <v>0</v>
      </c>
      <c r="R416" s="84">
        <f>IF(ISNUMBER($I416),ABS($I416),0)</f>
        <v>0</v>
      </c>
      <c r="S416" s="84">
        <f>IF(ISNUMBER($M416),ABS($M416),0)</f>
        <v>0</v>
      </c>
      <c r="T416" s="85" t="n">
        <v>408</v>
      </c>
    </row>
    <row r="417">
      <c r="B417" s="83" t="n"/>
      <c r="C417" s="83" t="n"/>
      <c r="D417" s="83" t="n"/>
      <c r="E417" s="83" t="n"/>
      <c r="F417" s="83" t="n"/>
      <c r="G417" s="83" t="n"/>
      <c r="H417" s="83" t="n"/>
      <c r="I417" s="83" t="n"/>
      <c r="J417" s="83" t="n"/>
      <c r="K417" s="83" t="n"/>
      <c r="L417" s="83" t="n"/>
      <c r="M417" s="83" t="n"/>
      <c r="O417" s="84" t="str">
        <f>IF($C417="","",IFERROR(MATCH($B417&amp;"|"&amp;$C417,MUROS!$AX$11:$AX$70,0),0))</f>
        <v/>
      </c>
      <c r="P417" s="84" t="str">
        <f>IF($D417="","",IF(ISNUMBER(MATCH($D417,CMB_S,0)),1,IF(ISNUMBER(MATCH($D417,CMB_G,0)),2,0)))</f>
        <v/>
      </c>
      <c r="Q417" s="84">
        <f>IF(ISNUMBER($H417),-$H417,0)</f>
        <v>0</v>
      </c>
      <c r="R417" s="84">
        <f>IF(ISNUMBER($I417),ABS($I417),0)</f>
        <v>0</v>
      </c>
      <c r="S417" s="84">
        <f>IF(ISNUMBER($M417),ABS($M417),0)</f>
        <v>0</v>
      </c>
      <c r="T417" s="85" t="n">
        <v>409</v>
      </c>
    </row>
    <row r="418"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83" t="n"/>
      <c r="K418" s="83" t="n"/>
      <c r="L418" s="83" t="n"/>
      <c r="M418" s="83" t="n"/>
      <c r="O418" s="84" t="str">
        <f>IF($C418="","",IFERROR(MATCH($B418&amp;"|"&amp;$C418,MUROS!$AX$11:$AX$70,0),0))</f>
        <v/>
      </c>
      <c r="P418" s="84" t="str">
        <f>IF($D418="","",IF(ISNUMBER(MATCH($D418,CMB_S,0)),1,IF(ISNUMBER(MATCH($D418,CMB_G,0)),2,0)))</f>
        <v/>
      </c>
      <c r="Q418" s="84">
        <f>IF(ISNUMBER($H418),-$H418,0)</f>
        <v>0</v>
      </c>
      <c r="R418" s="84">
        <f>IF(ISNUMBER($I418),ABS($I418),0)</f>
        <v>0</v>
      </c>
      <c r="S418" s="84">
        <f>IF(ISNUMBER($M418),ABS($M418),0)</f>
        <v>0</v>
      </c>
      <c r="T418" s="85" t="n">
        <v>410</v>
      </c>
    </row>
    <row r="419">
      <c r="B419" s="83" t="n"/>
      <c r="C419" s="83" t="n"/>
      <c r="D419" s="83" t="n"/>
      <c r="E419" s="83" t="n"/>
      <c r="F419" s="83" t="n"/>
      <c r="G419" s="83" t="n"/>
      <c r="H419" s="83" t="n"/>
      <c r="I419" s="83" t="n"/>
      <c r="J419" s="83" t="n"/>
      <c r="K419" s="83" t="n"/>
      <c r="L419" s="83" t="n"/>
      <c r="M419" s="83" t="n"/>
      <c r="O419" s="84" t="str">
        <f>IF($C419="","",IFERROR(MATCH($B419&amp;"|"&amp;$C419,MUROS!$AX$11:$AX$70,0),0))</f>
        <v/>
      </c>
      <c r="P419" s="84" t="str">
        <f>IF($D419="","",IF(ISNUMBER(MATCH($D419,CMB_S,0)),1,IF(ISNUMBER(MATCH($D419,CMB_G,0)),2,0)))</f>
        <v/>
      </c>
      <c r="Q419" s="84">
        <f>IF(ISNUMBER($H419),-$H419,0)</f>
        <v>0</v>
      </c>
      <c r="R419" s="84">
        <f>IF(ISNUMBER($I419),ABS($I419),0)</f>
        <v>0</v>
      </c>
      <c r="S419" s="84">
        <f>IF(ISNUMBER($M419),ABS($M419),0)</f>
        <v>0</v>
      </c>
      <c r="T419" s="85" t="n">
        <v>411</v>
      </c>
    </row>
    <row r="420">
      <c r="B420" s="83" t="n"/>
      <c r="C420" s="83" t="n"/>
      <c r="D420" s="83" t="n"/>
      <c r="E420" s="83" t="n"/>
      <c r="F420" s="83" t="n"/>
      <c r="G420" s="83" t="n"/>
      <c r="H420" s="83" t="n"/>
      <c r="I420" s="83" t="n"/>
      <c r="J420" s="83" t="n"/>
      <c r="K420" s="83" t="n"/>
      <c r="L420" s="83" t="n"/>
      <c r="M420" s="83" t="n"/>
      <c r="O420" s="84" t="str">
        <f>IF($C420="","",IFERROR(MATCH($B420&amp;"|"&amp;$C420,MUROS!$AX$11:$AX$70,0),0))</f>
        <v/>
      </c>
      <c r="P420" s="84" t="str">
        <f>IF($D420="","",IF(ISNUMBER(MATCH($D420,CMB_S,0)),1,IF(ISNUMBER(MATCH($D420,CMB_G,0)),2,0)))</f>
        <v/>
      </c>
      <c r="Q420" s="84">
        <f>IF(ISNUMBER($H420),-$H420,0)</f>
        <v>0</v>
      </c>
      <c r="R420" s="84">
        <f>IF(ISNUMBER($I420),ABS($I420),0)</f>
        <v>0</v>
      </c>
      <c r="S420" s="84">
        <f>IF(ISNUMBER($M420),ABS($M420),0)</f>
        <v>0</v>
      </c>
      <c r="T420" s="85" t="n">
        <v>412</v>
      </c>
    </row>
    <row r="421">
      <c r="B421" s="83" t="n"/>
      <c r="C421" s="83" t="n"/>
      <c r="D421" s="83" t="n"/>
      <c r="E421" s="83" t="n"/>
      <c r="F421" s="83" t="n"/>
      <c r="G421" s="83" t="n"/>
      <c r="H421" s="83" t="n"/>
      <c r="I421" s="83" t="n"/>
      <c r="J421" s="83" t="n"/>
      <c r="K421" s="83" t="n"/>
      <c r="L421" s="83" t="n"/>
      <c r="M421" s="83" t="n"/>
      <c r="O421" s="84" t="str">
        <f>IF($C421="","",IFERROR(MATCH($B421&amp;"|"&amp;$C421,MUROS!$AX$11:$AX$70,0),0))</f>
        <v/>
      </c>
      <c r="P421" s="84" t="str">
        <f>IF($D421="","",IF(ISNUMBER(MATCH($D421,CMB_S,0)),1,IF(ISNUMBER(MATCH($D421,CMB_G,0)),2,0)))</f>
        <v/>
      </c>
      <c r="Q421" s="84">
        <f>IF(ISNUMBER($H421),-$H421,0)</f>
        <v>0</v>
      </c>
      <c r="R421" s="84">
        <f>IF(ISNUMBER($I421),ABS($I421),0)</f>
        <v>0</v>
      </c>
      <c r="S421" s="84">
        <f>IF(ISNUMBER($M421),ABS($M421),0)</f>
        <v>0</v>
      </c>
      <c r="T421" s="85" t="n">
        <v>413</v>
      </c>
    </row>
    <row r="422">
      <c r="B422" s="83" t="n"/>
      <c r="C422" s="83" t="n"/>
      <c r="D422" s="83" t="n"/>
      <c r="E422" s="83" t="n"/>
      <c r="F422" s="83" t="n"/>
      <c r="G422" s="83" t="n"/>
      <c r="H422" s="83" t="n"/>
      <c r="I422" s="83" t="n"/>
      <c r="J422" s="83" t="n"/>
      <c r="K422" s="83" t="n"/>
      <c r="L422" s="83" t="n"/>
      <c r="M422" s="83" t="n"/>
      <c r="O422" s="84" t="str">
        <f>IF($C422="","",IFERROR(MATCH($B422&amp;"|"&amp;$C422,MUROS!$AX$11:$AX$70,0),0))</f>
        <v/>
      </c>
      <c r="P422" s="84" t="str">
        <f>IF($D422="","",IF(ISNUMBER(MATCH($D422,CMB_S,0)),1,IF(ISNUMBER(MATCH($D422,CMB_G,0)),2,0)))</f>
        <v/>
      </c>
      <c r="Q422" s="84">
        <f>IF(ISNUMBER($H422),-$H422,0)</f>
        <v>0</v>
      </c>
      <c r="R422" s="84">
        <f>IF(ISNUMBER($I422),ABS($I422),0)</f>
        <v>0</v>
      </c>
      <c r="S422" s="84">
        <f>IF(ISNUMBER($M422),ABS($M422),0)</f>
        <v>0</v>
      </c>
      <c r="T422" s="85" t="n">
        <v>414</v>
      </c>
    </row>
    <row r="423">
      <c r="B423" s="83" t="n"/>
      <c r="C423" s="83" t="n"/>
      <c r="D423" s="83" t="n"/>
      <c r="E423" s="83" t="n"/>
      <c r="F423" s="83" t="n"/>
      <c r="G423" s="83" t="n"/>
      <c r="H423" s="83" t="n"/>
      <c r="I423" s="83" t="n"/>
      <c r="J423" s="83" t="n"/>
      <c r="K423" s="83" t="n"/>
      <c r="L423" s="83" t="n"/>
      <c r="M423" s="83" t="n"/>
      <c r="O423" s="84" t="str">
        <f>IF($C423="","",IFERROR(MATCH($B423&amp;"|"&amp;$C423,MUROS!$AX$11:$AX$70,0),0))</f>
        <v/>
      </c>
      <c r="P423" s="84" t="str">
        <f>IF($D423="","",IF(ISNUMBER(MATCH($D423,CMB_S,0)),1,IF(ISNUMBER(MATCH($D423,CMB_G,0)),2,0)))</f>
        <v/>
      </c>
      <c r="Q423" s="84">
        <f>IF(ISNUMBER($H423),-$H423,0)</f>
        <v>0</v>
      </c>
      <c r="R423" s="84">
        <f>IF(ISNUMBER($I423),ABS($I423),0)</f>
        <v>0</v>
      </c>
      <c r="S423" s="84">
        <f>IF(ISNUMBER($M423),ABS($M423),0)</f>
        <v>0</v>
      </c>
      <c r="T423" s="85" t="n">
        <v>415</v>
      </c>
    </row>
    <row r="424">
      <c r="B424" s="83" t="n"/>
      <c r="C424" s="83" t="n"/>
      <c r="D424" s="83" t="n"/>
      <c r="E424" s="83" t="n"/>
      <c r="F424" s="83" t="n"/>
      <c r="G424" s="83" t="n"/>
      <c r="H424" s="83" t="n"/>
      <c r="I424" s="83" t="n"/>
      <c r="J424" s="83" t="n"/>
      <c r="K424" s="83" t="n"/>
      <c r="L424" s="83" t="n"/>
      <c r="M424" s="83" t="n"/>
      <c r="O424" s="84" t="str">
        <f>IF($C424="","",IFERROR(MATCH($B424&amp;"|"&amp;$C424,MUROS!$AX$11:$AX$70,0),0))</f>
        <v/>
      </c>
      <c r="P424" s="84" t="str">
        <f>IF($D424="","",IF(ISNUMBER(MATCH($D424,CMB_S,0)),1,IF(ISNUMBER(MATCH($D424,CMB_G,0)),2,0)))</f>
        <v/>
      </c>
      <c r="Q424" s="84">
        <f>IF(ISNUMBER($H424),-$H424,0)</f>
        <v>0</v>
      </c>
      <c r="R424" s="84">
        <f>IF(ISNUMBER($I424),ABS($I424),0)</f>
        <v>0</v>
      </c>
      <c r="S424" s="84">
        <f>IF(ISNUMBER($M424),ABS($M424),0)</f>
        <v>0</v>
      </c>
      <c r="T424" s="85" t="n">
        <v>416</v>
      </c>
    </row>
    <row r="425">
      <c r="B425" s="83" t="n"/>
      <c r="C425" s="83" t="n"/>
      <c r="D425" s="83" t="n"/>
      <c r="E425" s="83" t="n"/>
      <c r="F425" s="83" t="n"/>
      <c r="G425" s="83" t="n"/>
      <c r="H425" s="83" t="n"/>
      <c r="I425" s="83" t="n"/>
      <c r="J425" s="83" t="n"/>
      <c r="K425" s="83" t="n"/>
      <c r="L425" s="83" t="n"/>
      <c r="M425" s="83" t="n"/>
      <c r="O425" s="84" t="str">
        <f>IF($C425="","",IFERROR(MATCH($B425&amp;"|"&amp;$C425,MUROS!$AX$11:$AX$70,0),0))</f>
        <v/>
      </c>
      <c r="P425" s="84" t="str">
        <f>IF($D425="","",IF(ISNUMBER(MATCH($D425,CMB_S,0)),1,IF(ISNUMBER(MATCH($D425,CMB_G,0)),2,0)))</f>
        <v/>
      </c>
      <c r="Q425" s="84">
        <f>IF(ISNUMBER($H425),-$H425,0)</f>
        <v>0</v>
      </c>
      <c r="R425" s="84">
        <f>IF(ISNUMBER($I425),ABS($I425),0)</f>
        <v>0</v>
      </c>
      <c r="S425" s="84">
        <f>IF(ISNUMBER($M425),ABS($M425),0)</f>
        <v>0</v>
      </c>
      <c r="T425" s="85" t="n">
        <v>417</v>
      </c>
    </row>
    <row r="426">
      <c r="B426" s="83" t="n"/>
      <c r="C426" s="83" t="n"/>
      <c r="D426" s="83" t="n"/>
      <c r="E426" s="83" t="n"/>
      <c r="F426" s="83" t="n"/>
      <c r="G426" s="83" t="n"/>
      <c r="H426" s="83" t="n"/>
      <c r="I426" s="83" t="n"/>
      <c r="J426" s="83" t="n"/>
      <c r="K426" s="83" t="n"/>
      <c r="L426" s="83" t="n"/>
      <c r="M426" s="83" t="n"/>
      <c r="O426" s="84" t="str">
        <f>IF($C426="","",IFERROR(MATCH($B426&amp;"|"&amp;$C426,MUROS!$AX$11:$AX$70,0),0))</f>
        <v/>
      </c>
      <c r="P426" s="84" t="str">
        <f>IF($D426="","",IF(ISNUMBER(MATCH($D426,CMB_S,0)),1,IF(ISNUMBER(MATCH($D426,CMB_G,0)),2,0)))</f>
        <v/>
      </c>
      <c r="Q426" s="84">
        <f>IF(ISNUMBER($H426),-$H426,0)</f>
        <v>0</v>
      </c>
      <c r="R426" s="84">
        <f>IF(ISNUMBER($I426),ABS($I426),0)</f>
        <v>0</v>
      </c>
      <c r="S426" s="84">
        <f>IF(ISNUMBER($M426),ABS($M426),0)</f>
        <v>0</v>
      </c>
      <c r="T426" s="85" t="n">
        <v>418</v>
      </c>
    </row>
    <row r="427">
      <c r="B427" s="83" t="n"/>
      <c r="C427" s="83" t="n"/>
      <c r="D427" s="83" t="n"/>
      <c r="E427" s="83" t="n"/>
      <c r="F427" s="83" t="n"/>
      <c r="G427" s="83" t="n"/>
      <c r="H427" s="83" t="n"/>
      <c r="I427" s="83" t="n"/>
      <c r="J427" s="83" t="n"/>
      <c r="K427" s="83" t="n"/>
      <c r="L427" s="83" t="n"/>
      <c r="M427" s="83" t="n"/>
      <c r="O427" s="84" t="str">
        <f>IF($C427="","",IFERROR(MATCH($B427&amp;"|"&amp;$C427,MUROS!$AX$11:$AX$70,0),0))</f>
        <v/>
      </c>
      <c r="P427" s="84" t="str">
        <f>IF($D427="","",IF(ISNUMBER(MATCH($D427,CMB_S,0)),1,IF(ISNUMBER(MATCH($D427,CMB_G,0)),2,0)))</f>
        <v/>
      </c>
      <c r="Q427" s="84">
        <f>IF(ISNUMBER($H427),-$H427,0)</f>
        <v>0</v>
      </c>
      <c r="R427" s="84">
        <f>IF(ISNUMBER($I427),ABS($I427),0)</f>
        <v>0</v>
      </c>
      <c r="S427" s="84">
        <f>IF(ISNUMBER($M427),ABS($M427),0)</f>
        <v>0</v>
      </c>
      <c r="T427" s="85" t="n">
        <v>419</v>
      </c>
    </row>
    <row r="428">
      <c r="B428" s="83" t="n"/>
      <c r="C428" s="83" t="n"/>
      <c r="D428" s="83" t="n"/>
      <c r="E428" s="83" t="n"/>
      <c r="F428" s="83" t="n"/>
      <c r="G428" s="83" t="n"/>
      <c r="H428" s="83" t="n"/>
      <c r="I428" s="83" t="n"/>
      <c r="J428" s="83" t="n"/>
      <c r="K428" s="83" t="n"/>
      <c r="L428" s="83" t="n"/>
      <c r="M428" s="83" t="n"/>
      <c r="O428" s="84" t="str">
        <f>IF($C428="","",IFERROR(MATCH($B428&amp;"|"&amp;$C428,MUROS!$AX$11:$AX$70,0),0))</f>
        <v/>
      </c>
      <c r="P428" s="84" t="str">
        <f>IF($D428="","",IF(ISNUMBER(MATCH($D428,CMB_S,0)),1,IF(ISNUMBER(MATCH($D428,CMB_G,0)),2,0)))</f>
        <v/>
      </c>
      <c r="Q428" s="84">
        <f>IF(ISNUMBER($H428),-$H428,0)</f>
        <v>0</v>
      </c>
      <c r="R428" s="84">
        <f>IF(ISNUMBER($I428),ABS($I428),0)</f>
        <v>0</v>
      </c>
      <c r="S428" s="84">
        <f>IF(ISNUMBER($M428),ABS($M428),0)</f>
        <v>0</v>
      </c>
      <c r="T428" s="85" t="n">
        <v>420</v>
      </c>
    </row>
    <row r="429">
      <c r="B429" s="83" t="n"/>
      <c r="C429" s="83" t="n"/>
      <c r="D429" s="83" t="n"/>
      <c r="E429" s="83" t="n"/>
      <c r="F429" s="83" t="n"/>
      <c r="G429" s="83" t="n"/>
      <c r="H429" s="83" t="n"/>
      <c r="I429" s="83" t="n"/>
      <c r="J429" s="83" t="n"/>
      <c r="K429" s="83" t="n"/>
      <c r="L429" s="83" t="n"/>
      <c r="M429" s="83" t="n"/>
      <c r="O429" s="84" t="str">
        <f>IF($C429="","",IFERROR(MATCH($B429&amp;"|"&amp;$C429,MUROS!$AX$11:$AX$70,0),0))</f>
        <v/>
      </c>
      <c r="P429" s="84" t="str">
        <f>IF($D429="","",IF(ISNUMBER(MATCH($D429,CMB_S,0)),1,IF(ISNUMBER(MATCH($D429,CMB_G,0)),2,0)))</f>
        <v/>
      </c>
      <c r="Q429" s="84">
        <f>IF(ISNUMBER($H429),-$H429,0)</f>
        <v>0</v>
      </c>
      <c r="R429" s="84">
        <f>IF(ISNUMBER($I429),ABS($I429),0)</f>
        <v>0</v>
      </c>
      <c r="S429" s="84">
        <f>IF(ISNUMBER($M429),ABS($M429),0)</f>
        <v>0</v>
      </c>
      <c r="T429" s="85" t="n">
        <v>421</v>
      </c>
    </row>
    <row r="430">
      <c r="B430" s="83" t="n"/>
      <c r="C430" s="83" t="n"/>
      <c r="D430" s="83" t="n"/>
      <c r="E430" s="83" t="n"/>
      <c r="F430" s="83" t="n"/>
      <c r="G430" s="83" t="n"/>
      <c r="H430" s="83" t="n"/>
      <c r="I430" s="83" t="n"/>
      <c r="J430" s="83" t="n"/>
      <c r="K430" s="83" t="n"/>
      <c r="L430" s="83" t="n"/>
      <c r="M430" s="83" t="n"/>
      <c r="O430" s="84" t="str">
        <f>IF($C430="","",IFERROR(MATCH($B430&amp;"|"&amp;$C430,MUROS!$AX$11:$AX$70,0),0))</f>
        <v/>
      </c>
      <c r="P430" s="84" t="str">
        <f>IF($D430="","",IF(ISNUMBER(MATCH($D430,CMB_S,0)),1,IF(ISNUMBER(MATCH($D430,CMB_G,0)),2,0)))</f>
        <v/>
      </c>
      <c r="Q430" s="84">
        <f>IF(ISNUMBER($H430),-$H430,0)</f>
        <v>0</v>
      </c>
      <c r="R430" s="84">
        <f>IF(ISNUMBER($I430),ABS($I430),0)</f>
        <v>0</v>
      </c>
      <c r="S430" s="84">
        <f>IF(ISNUMBER($M430),ABS($M430),0)</f>
        <v>0</v>
      </c>
      <c r="T430" s="85" t="n">
        <v>422</v>
      </c>
    </row>
    <row r="431">
      <c r="B431" s="83" t="n"/>
      <c r="C431" s="83" t="n"/>
      <c r="D431" s="83" t="n"/>
      <c r="E431" s="83" t="n"/>
      <c r="F431" s="83" t="n"/>
      <c r="G431" s="83" t="n"/>
      <c r="H431" s="83" t="n"/>
      <c r="I431" s="83" t="n"/>
      <c r="J431" s="83" t="n"/>
      <c r="K431" s="83" t="n"/>
      <c r="L431" s="83" t="n"/>
      <c r="M431" s="83" t="n"/>
      <c r="O431" s="84" t="str">
        <f>IF($C431="","",IFERROR(MATCH($B431&amp;"|"&amp;$C431,MUROS!$AX$11:$AX$70,0),0))</f>
        <v/>
      </c>
      <c r="P431" s="84" t="str">
        <f>IF($D431="","",IF(ISNUMBER(MATCH($D431,CMB_S,0)),1,IF(ISNUMBER(MATCH($D431,CMB_G,0)),2,0)))</f>
        <v/>
      </c>
      <c r="Q431" s="84">
        <f>IF(ISNUMBER($H431),-$H431,0)</f>
        <v>0</v>
      </c>
      <c r="R431" s="84">
        <f>IF(ISNUMBER($I431),ABS($I431),0)</f>
        <v>0</v>
      </c>
      <c r="S431" s="84">
        <f>IF(ISNUMBER($M431),ABS($M431),0)</f>
        <v>0</v>
      </c>
      <c r="T431" s="85" t="n">
        <v>423</v>
      </c>
    </row>
    <row r="432">
      <c r="B432" s="83" t="n"/>
      <c r="C432" s="83" t="n"/>
      <c r="D432" s="83" t="n"/>
      <c r="E432" s="83" t="n"/>
      <c r="F432" s="83" t="n"/>
      <c r="G432" s="83" t="n"/>
      <c r="H432" s="83" t="n"/>
      <c r="I432" s="83" t="n"/>
      <c r="J432" s="83" t="n"/>
      <c r="K432" s="83" t="n"/>
      <c r="L432" s="83" t="n"/>
      <c r="M432" s="83" t="n"/>
      <c r="O432" s="84" t="str">
        <f>IF($C432="","",IFERROR(MATCH($B432&amp;"|"&amp;$C432,MUROS!$AX$11:$AX$70,0),0))</f>
        <v/>
      </c>
      <c r="P432" s="84" t="str">
        <f>IF($D432="","",IF(ISNUMBER(MATCH($D432,CMB_S,0)),1,IF(ISNUMBER(MATCH($D432,CMB_G,0)),2,0)))</f>
        <v/>
      </c>
      <c r="Q432" s="84">
        <f>IF(ISNUMBER($H432),-$H432,0)</f>
        <v>0</v>
      </c>
      <c r="R432" s="84">
        <f>IF(ISNUMBER($I432),ABS($I432),0)</f>
        <v>0</v>
      </c>
      <c r="S432" s="84">
        <f>IF(ISNUMBER($M432),ABS($M432),0)</f>
        <v>0</v>
      </c>
      <c r="T432" s="85" t="n">
        <v>424</v>
      </c>
    </row>
    <row r="433">
      <c r="B433" s="83" t="n"/>
      <c r="C433" s="83" t="n"/>
      <c r="D433" s="83" t="n"/>
      <c r="E433" s="83" t="n"/>
      <c r="F433" s="83" t="n"/>
      <c r="G433" s="83" t="n"/>
      <c r="H433" s="83" t="n"/>
      <c r="I433" s="83" t="n"/>
      <c r="J433" s="83" t="n"/>
      <c r="K433" s="83" t="n"/>
      <c r="L433" s="83" t="n"/>
      <c r="M433" s="83" t="n"/>
      <c r="O433" s="84" t="str">
        <f>IF($C433="","",IFERROR(MATCH($B433&amp;"|"&amp;$C433,MUROS!$AX$11:$AX$70,0),0))</f>
        <v/>
      </c>
      <c r="P433" s="84" t="str">
        <f>IF($D433="","",IF(ISNUMBER(MATCH($D433,CMB_S,0)),1,IF(ISNUMBER(MATCH($D433,CMB_G,0)),2,0)))</f>
        <v/>
      </c>
      <c r="Q433" s="84">
        <f>IF(ISNUMBER($H433),-$H433,0)</f>
        <v>0</v>
      </c>
      <c r="R433" s="84">
        <f>IF(ISNUMBER($I433),ABS($I433),0)</f>
        <v>0</v>
      </c>
      <c r="S433" s="84">
        <f>IF(ISNUMBER($M433),ABS($M433),0)</f>
        <v>0</v>
      </c>
      <c r="T433" s="85" t="n">
        <v>425</v>
      </c>
    </row>
    <row r="434"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83" t="n"/>
      <c r="K434" s="83" t="n"/>
      <c r="L434" s="83" t="n"/>
      <c r="M434" s="83" t="n"/>
      <c r="O434" s="84" t="str">
        <f>IF($C434="","",IFERROR(MATCH($B434&amp;"|"&amp;$C434,MUROS!$AX$11:$AX$70,0),0))</f>
        <v/>
      </c>
      <c r="P434" s="84" t="str">
        <f>IF($D434="","",IF(ISNUMBER(MATCH($D434,CMB_S,0)),1,IF(ISNUMBER(MATCH($D434,CMB_G,0)),2,0)))</f>
        <v/>
      </c>
      <c r="Q434" s="84">
        <f>IF(ISNUMBER($H434),-$H434,0)</f>
        <v>0</v>
      </c>
      <c r="R434" s="84">
        <f>IF(ISNUMBER($I434),ABS($I434),0)</f>
        <v>0</v>
      </c>
      <c r="S434" s="84">
        <f>IF(ISNUMBER($M434),ABS($M434),0)</f>
        <v>0</v>
      </c>
      <c r="T434" s="85" t="n">
        <v>426</v>
      </c>
    </row>
    <row r="435">
      <c r="B435" s="83" t="n"/>
      <c r="C435" s="83" t="n"/>
      <c r="D435" s="83" t="n"/>
      <c r="E435" s="83" t="n"/>
      <c r="F435" s="83" t="n"/>
      <c r="G435" s="83" t="n"/>
      <c r="H435" s="83" t="n"/>
      <c r="I435" s="83" t="n"/>
      <c r="J435" s="83" t="n"/>
      <c r="K435" s="83" t="n"/>
      <c r="L435" s="83" t="n"/>
      <c r="M435" s="83" t="n"/>
      <c r="O435" s="84" t="str">
        <f>IF($C435="","",IFERROR(MATCH($B435&amp;"|"&amp;$C435,MUROS!$AX$11:$AX$70,0),0))</f>
        <v/>
      </c>
      <c r="P435" s="84" t="str">
        <f>IF($D435="","",IF(ISNUMBER(MATCH($D435,CMB_S,0)),1,IF(ISNUMBER(MATCH($D435,CMB_G,0)),2,0)))</f>
        <v/>
      </c>
      <c r="Q435" s="84">
        <f>IF(ISNUMBER($H435),-$H435,0)</f>
        <v>0</v>
      </c>
      <c r="R435" s="84">
        <f>IF(ISNUMBER($I435),ABS($I435),0)</f>
        <v>0</v>
      </c>
      <c r="S435" s="84">
        <f>IF(ISNUMBER($M435),ABS($M435),0)</f>
        <v>0</v>
      </c>
      <c r="T435" s="85" t="n">
        <v>427</v>
      </c>
    </row>
    <row r="436">
      <c r="B436" s="83" t="n"/>
      <c r="C436" s="83" t="n"/>
      <c r="D436" s="83" t="n"/>
      <c r="E436" s="83" t="n"/>
      <c r="F436" s="83" t="n"/>
      <c r="G436" s="83" t="n"/>
      <c r="H436" s="83" t="n"/>
      <c r="I436" s="83" t="n"/>
      <c r="J436" s="83" t="n"/>
      <c r="K436" s="83" t="n"/>
      <c r="L436" s="83" t="n"/>
      <c r="M436" s="83" t="n"/>
      <c r="O436" s="84" t="str">
        <f>IF($C436="","",IFERROR(MATCH($B436&amp;"|"&amp;$C436,MUROS!$AX$11:$AX$70,0),0))</f>
        <v/>
      </c>
      <c r="P436" s="84" t="str">
        <f>IF($D436="","",IF(ISNUMBER(MATCH($D436,CMB_S,0)),1,IF(ISNUMBER(MATCH($D436,CMB_G,0)),2,0)))</f>
        <v/>
      </c>
      <c r="Q436" s="84">
        <f>IF(ISNUMBER($H436),-$H436,0)</f>
        <v>0</v>
      </c>
      <c r="R436" s="84">
        <f>IF(ISNUMBER($I436),ABS($I436),0)</f>
        <v>0</v>
      </c>
      <c r="S436" s="84">
        <f>IF(ISNUMBER($M436),ABS($M436),0)</f>
        <v>0</v>
      </c>
      <c r="T436" s="85" t="n">
        <v>428</v>
      </c>
    </row>
    <row r="437">
      <c r="B437" s="83" t="n"/>
      <c r="C437" s="83" t="n"/>
      <c r="D437" s="83" t="n"/>
      <c r="E437" s="83" t="n"/>
      <c r="F437" s="83" t="n"/>
      <c r="G437" s="83" t="n"/>
      <c r="H437" s="83" t="n"/>
      <c r="I437" s="83" t="n"/>
      <c r="J437" s="83" t="n"/>
      <c r="K437" s="83" t="n"/>
      <c r="L437" s="83" t="n"/>
      <c r="M437" s="83" t="n"/>
      <c r="O437" s="84" t="str">
        <f>IF($C437="","",IFERROR(MATCH($B437&amp;"|"&amp;$C437,MUROS!$AX$11:$AX$70,0),0))</f>
        <v/>
      </c>
      <c r="P437" s="84" t="str">
        <f>IF($D437="","",IF(ISNUMBER(MATCH($D437,CMB_S,0)),1,IF(ISNUMBER(MATCH($D437,CMB_G,0)),2,0)))</f>
        <v/>
      </c>
      <c r="Q437" s="84">
        <f>IF(ISNUMBER($H437),-$H437,0)</f>
        <v>0</v>
      </c>
      <c r="R437" s="84">
        <f>IF(ISNUMBER($I437),ABS($I437),0)</f>
        <v>0</v>
      </c>
      <c r="S437" s="84">
        <f>IF(ISNUMBER($M437),ABS($M437),0)</f>
        <v>0</v>
      </c>
      <c r="T437" s="85" t="n">
        <v>429</v>
      </c>
    </row>
    <row r="438">
      <c r="B438" s="83" t="n"/>
      <c r="C438" s="83" t="n"/>
      <c r="D438" s="83" t="n"/>
      <c r="E438" s="83" t="n"/>
      <c r="F438" s="83" t="n"/>
      <c r="G438" s="83" t="n"/>
      <c r="H438" s="83" t="n"/>
      <c r="I438" s="83" t="n"/>
      <c r="J438" s="83" t="n"/>
      <c r="K438" s="83" t="n"/>
      <c r="L438" s="83" t="n"/>
      <c r="M438" s="83" t="n"/>
      <c r="O438" s="84" t="str">
        <f>IF($C438="","",IFERROR(MATCH($B438&amp;"|"&amp;$C438,MUROS!$AX$11:$AX$70,0),0))</f>
        <v/>
      </c>
      <c r="P438" s="84" t="str">
        <f>IF($D438="","",IF(ISNUMBER(MATCH($D438,CMB_S,0)),1,IF(ISNUMBER(MATCH($D438,CMB_G,0)),2,0)))</f>
        <v/>
      </c>
      <c r="Q438" s="84">
        <f>IF(ISNUMBER($H438),-$H438,0)</f>
        <v>0</v>
      </c>
      <c r="R438" s="84">
        <f>IF(ISNUMBER($I438),ABS($I438),0)</f>
        <v>0</v>
      </c>
      <c r="S438" s="84">
        <f>IF(ISNUMBER($M438),ABS($M438),0)</f>
        <v>0</v>
      </c>
      <c r="T438" s="85" t="n">
        <v>430</v>
      </c>
    </row>
    <row r="439">
      <c r="B439" s="83" t="n"/>
      <c r="C439" s="83" t="n"/>
      <c r="D439" s="83" t="n"/>
      <c r="E439" s="83" t="n"/>
      <c r="F439" s="83" t="n"/>
      <c r="G439" s="83" t="n"/>
      <c r="H439" s="83" t="n"/>
      <c r="I439" s="83" t="n"/>
      <c r="J439" s="83" t="n"/>
      <c r="K439" s="83" t="n"/>
      <c r="L439" s="83" t="n"/>
      <c r="M439" s="83" t="n"/>
      <c r="O439" s="84" t="str">
        <f>IF($C439="","",IFERROR(MATCH($B439&amp;"|"&amp;$C439,MUROS!$AX$11:$AX$70,0),0))</f>
        <v/>
      </c>
      <c r="P439" s="84" t="str">
        <f>IF($D439="","",IF(ISNUMBER(MATCH($D439,CMB_S,0)),1,IF(ISNUMBER(MATCH($D439,CMB_G,0)),2,0)))</f>
        <v/>
      </c>
      <c r="Q439" s="84">
        <f>IF(ISNUMBER($H439),-$H439,0)</f>
        <v>0</v>
      </c>
      <c r="R439" s="84">
        <f>IF(ISNUMBER($I439),ABS($I439),0)</f>
        <v>0</v>
      </c>
      <c r="S439" s="84">
        <f>IF(ISNUMBER($M439),ABS($M439),0)</f>
        <v>0</v>
      </c>
      <c r="T439" s="85" t="n">
        <v>431</v>
      </c>
    </row>
    <row r="440">
      <c r="B440" s="83" t="n"/>
      <c r="C440" s="83" t="n"/>
      <c r="D440" s="83" t="n"/>
      <c r="E440" s="83" t="n"/>
      <c r="F440" s="83" t="n"/>
      <c r="G440" s="83" t="n"/>
      <c r="H440" s="83" t="n"/>
      <c r="I440" s="83" t="n"/>
      <c r="J440" s="83" t="n"/>
      <c r="K440" s="83" t="n"/>
      <c r="L440" s="83" t="n"/>
      <c r="M440" s="83" t="n"/>
      <c r="O440" s="84" t="str">
        <f>IF($C440="","",IFERROR(MATCH($B440&amp;"|"&amp;$C440,MUROS!$AX$11:$AX$70,0),0))</f>
        <v/>
      </c>
      <c r="P440" s="84" t="str">
        <f>IF($D440="","",IF(ISNUMBER(MATCH($D440,CMB_S,0)),1,IF(ISNUMBER(MATCH($D440,CMB_G,0)),2,0)))</f>
        <v/>
      </c>
      <c r="Q440" s="84">
        <f>IF(ISNUMBER($H440),-$H440,0)</f>
        <v>0</v>
      </c>
      <c r="R440" s="84">
        <f>IF(ISNUMBER($I440),ABS($I440),0)</f>
        <v>0</v>
      </c>
      <c r="S440" s="84">
        <f>IF(ISNUMBER($M440),ABS($M440),0)</f>
        <v>0</v>
      </c>
      <c r="T440" s="85" t="n">
        <v>432</v>
      </c>
    </row>
    <row r="441">
      <c r="B441" s="83" t="n"/>
      <c r="C441" s="83" t="n"/>
      <c r="D441" s="83" t="n"/>
      <c r="E441" s="83" t="n"/>
      <c r="F441" s="83" t="n"/>
      <c r="G441" s="83" t="n"/>
      <c r="H441" s="83" t="n"/>
      <c r="I441" s="83" t="n"/>
      <c r="J441" s="83" t="n"/>
      <c r="K441" s="83" t="n"/>
      <c r="L441" s="83" t="n"/>
      <c r="M441" s="83" t="n"/>
      <c r="O441" s="84" t="str">
        <f>IF($C441="","",IFERROR(MATCH($B441&amp;"|"&amp;$C441,MUROS!$AX$11:$AX$70,0),0))</f>
        <v/>
      </c>
      <c r="P441" s="84" t="str">
        <f>IF($D441="","",IF(ISNUMBER(MATCH($D441,CMB_S,0)),1,IF(ISNUMBER(MATCH($D441,CMB_G,0)),2,0)))</f>
        <v/>
      </c>
      <c r="Q441" s="84">
        <f>IF(ISNUMBER($H441),-$H441,0)</f>
        <v>0</v>
      </c>
      <c r="R441" s="84">
        <f>IF(ISNUMBER($I441),ABS($I441),0)</f>
        <v>0</v>
      </c>
      <c r="S441" s="84">
        <f>IF(ISNUMBER($M441),ABS($M441),0)</f>
        <v>0</v>
      </c>
      <c r="T441" s="85" t="n">
        <v>433</v>
      </c>
    </row>
    <row r="442">
      <c r="B442" s="83" t="n"/>
      <c r="C442" s="83" t="n"/>
      <c r="D442" s="83" t="n"/>
      <c r="E442" s="83" t="n"/>
      <c r="F442" s="83" t="n"/>
      <c r="G442" s="83" t="n"/>
      <c r="H442" s="83" t="n"/>
      <c r="I442" s="83" t="n"/>
      <c r="J442" s="83" t="n"/>
      <c r="K442" s="83" t="n"/>
      <c r="L442" s="83" t="n"/>
      <c r="M442" s="83" t="n"/>
      <c r="O442" s="84" t="str">
        <f>IF($C442="","",IFERROR(MATCH($B442&amp;"|"&amp;$C442,MUROS!$AX$11:$AX$70,0),0))</f>
        <v/>
      </c>
      <c r="P442" s="84" t="str">
        <f>IF($D442="","",IF(ISNUMBER(MATCH($D442,CMB_S,0)),1,IF(ISNUMBER(MATCH($D442,CMB_G,0)),2,0)))</f>
        <v/>
      </c>
      <c r="Q442" s="84">
        <f>IF(ISNUMBER($H442),-$H442,0)</f>
        <v>0</v>
      </c>
      <c r="R442" s="84">
        <f>IF(ISNUMBER($I442),ABS($I442),0)</f>
        <v>0</v>
      </c>
      <c r="S442" s="84">
        <f>IF(ISNUMBER($M442),ABS($M442),0)</f>
        <v>0</v>
      </c>
      <c r="T442" s="85" t="n">
        <v>434</v>
      </c>
    </row>
    <row r="443"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83" t="n"/>
      <c r="K443" s="83" t="n"/>
      <c r="L443" s="83" t="n"/>
      <c r="M443" s="83" t="n"/>
      <c r="O443" s="84" t="str">
        <f>IF($C443="","",IFERROR(MATCH($B443&amp;"|"&amp;$C443,MUROS!$AX$11:$AX$70,0),0))</f>
        <v/>
      </c>
      <c r="P443" s="84" t="str">
        <f>IF($D443="","",IF(ISNUMBER(MATCH($D443,CMB_S,0)),1,IF(ISNUMBER(MATCH($D443,CMB_G,0)),2,0)))</f>
        <v/>
      </c>
      <c r="Q443" s="84">
        <f>IF(ISNUMBER($H443),-$H443,0)</f>
        <v>0</v>
      </c>
      <c r="R443" s="84">
        <f>IF(ISNUMBER($I443),ABS($I443),0)</f>
        <v>0</v>
      </c>
      <c r="S443" s="84">
        <f>IF(ISNUMBER($M443),ABS($M443),0)</f>
        <v>0</v>
      </c>
      <c r="T443" s="85" t="n">
        <v>435</v>
      </c>
    </row>
    <row r="444">
      <c r="B444" s="83" t="n"/>
      <c r="C444" s="83" t="n"/>
      <c r="D444" s="83" t="n"/>
      <c r="E444" s="83" t="n"/>
      <c r="F444" s="83" t="n"/>
      <c r="G444" s="83" t="n"/>
      <c r="H444" s="83" t="n"/>
      <c r="I444" s="83" t="n"/>
      <c r="J444" s="83" t="n"/>
      <c r="K444" s="83" t="n"/>
      <c r="L444" s="83" t="n"/>
      <c r="M444" s="83" t="n"/>
      <c r="O444" s="84" t="str">
        <f>IF($C444="","",IFERROR(MATCH($B444&amp;"|"&amp;$C444,MUROS!$AX$11:$AX$70,0),0))</f>
        <v/>
      </c>
      <c r="P444" s="84" t="str">
        <f>IF($D444="","",IF(ISNUMBER(MATCH($D444,CMB_S,0)),1,IF(ISNUMBER(MATCH($D444,CMB_G,0)),2,0)))</f>
        <v/>
      </c>
      <c r="Q444" s="84">
        <f>IF(ISNUMBER($H444),-$H444,0)</f>
        <v>0</v>
      </c>
      <c r="R444" s="84">
        <f>IF(ISNUMBER($I444),ABS($I444),0)</f>
        <v>0</v>
      </c>
      <c r="S444" s="84">
        <f>IF(ISNUMBER($M444),ABS($M444),0)</f>
        <v>0</v>
      </c>
      <c r="T444" s="85" t="n">
        <v>436</v>
      </c>
    </row>
    <row r="445">
      <c r="B445" s="83" t="n"/>
      <c r="C445" s="83" t="n"/>
      <c r="D445" s="83" t="n"/>
      <c r="E445" s="83" t="n"/>
      <c r="F445" s="83" t="n"/>
      <c r="G445" s="83" t="n"/>
      <c r="H445" s="83" t="n"/>
      <c r="I445" s="83" t="n"/>
      <c r="J445" s="83" t="n"/>
      <c r="K445" s="83" t="n"/>
      <c r="L445" s="83" t="n"/>
      <c r="M445" s="83" t="n"/>
      <c r="O445" s="84" t="str">
        <f>IF($C445="","",IFERROR(MATCH($B445&amp;"|"&amp;$C445,MUROS!$AX$11:$AX$70,0),0))</f>
        <v/>
      </c>
      <c r="P445" s="84" t="str">
        <f>IF($D445="","",IF(ISNUMBER(MATCH($D445,CMB_S,0)),1,IF(ISNUMBER(MATCH($D445,CMB_G,0)),2,0)))</f>
        <v/>
      </c>
      <c r="Q445" s="84">
        <f>IF(ISNUMBER($H445),-$H445,0)</f>
        <v>0</v>
      </c>
      <c r="R445" s="84">
        <f>IF(ISNUMBER($I445),ABS($I445),0)</f>
        <v>0</v>
      </c>
      <c r="S445" s="84">
        <f>IF(ISNUMBER($M445),ABS($M445),0)</f>
        <v>0</v>
      </c>
      <c r="T445" s="85" t="n">
        <v>437</v>
      </c>
    </row>
    <row r="446">
      <c r="B446" s="83" t="n"/>
      <c r="C446" s="83" t="n"/>
      <c r="D446" s="83" t="n"/>
      <c r="E446" s="83" t="n"/>
      <c r="F446" s="83" t="n"/>
      <c r="G446" s="83" t="n"/>
      <c r="H446" s="83" t="n"/>
      <c r="I446" s="83" t="n"/>
      <c r="J446" s="83" t="n"/>
      <c r="K446" s="83" t="n"/>
      <c r="L446" s="83" t="n"/>
      <c r="M446" s="83" t="n"/>
      <c r="O446" s="84" t="str">
        <f>IF($C446="","",IFERROR(MATCH($B446&amp;"|"&amp;$C446,MUROS!$AX$11:$AX$70,0),0))</f>
        <v/>
      </c>
      <c r="P446" s="84" t="str">
        <f>IF($D446="","",IF(ISNUMBER(MATCH($D446,CMB_S,0)),1,IF(ISNUMBER(MATCH($D446,CMB_G,0)),2,0)))</f>
        <v/>
      </c>
      <c r="Q446" s="84">
        <f>IF(ISNUMBER($H446),-$H446,0)</f>
        <v>0</v>
      </c>
      <c r="R446" s="84">
        <f>IF(ISNUMBER($I446),ABS($I446),0)</f>
        <v>0</v>
      </c>
      <c r="S446" s="84">
        <f>IF(ISNUMBER($M446),ABS($M446),0)</f>
        <v>0</v>
      </c>
      <c r="T446" s="85" t="n">
        <v>438</v>
      </c>
    </row>
    <row r="447">
      <c r="B447" s="83" t="n"/>
      <c r="C447" s="83" t="n"/>
      <c r="D447" s="83" t="n"/>
      <c r="E447" s="83" t="n"/>
      <c r="F447" s="83" t="n"/>
      <c r="G447" s="83" t="n"/>
      <c r="H447" s="83" t="n"/>
      <c r="I447" s="83" t="n"/>
      <c r="J447" s="83" t="n"/>
      <c r="K447" s="83" t="n"/>
      <c r="L447" s="83" t="n"/>
      <c r="M447" s="83" t="n"/>
      <c r="O447" s="84" t="str">
        <f>IF($C447="","",IFERROR(MATCH($B447&amp;"|"&amp;$C447,MUROS!$AX$11:$AX$70,0),0))</f>
        <v/>
      </c>
      <c r="P447" s="84" t="str">
        <f>IF($D447="","",IF(ISNUMBER(MATCH($D447,CMB_S,0)),1,IF(ISNUMBER(MATCH($D447,CMB_G,0)),2,0)))</f>
        <v/>
      </c>
      <c r="Q447" s="84">
        <f>IF(ISNUMBER($H447),-$H447,0)</f>
        <v>0</v>
      </c>
      <c r="R447" s="84">
        <f>IF(ISNUMBER($I447),ABS($I447),0)</f>
        <v>0</v>
      </c>
      <c r="S447" s="84">
        <f>IF(ISNUMBER($M447),ABS($M447),0)</f>
        <v>0</v>
      </c>
      <c r="T447" s="85" t="n">
        <v>439</v>
      </c>
    </row>
    <row r="448">
      <c r="B448" s="83" t="n"/>
      <c r="C448" s="83" t="n"/>
      <c r="D448" s="83" t="n"/>
      <c r="E448" s="83" t="n"/>
      <c r="F448" s="83" t="n"/>
      <c r="G448" s="83" t="n"/>
      <c r="H448" s="83" t="n"/>
      <c r="I448" s="83" t="n"/>
      <c r="J448" s="83" t="n"/>
      <c r="K448" s="83" t="n"/>
      <c r="L448" s="83" t="n"/>
      <c r="M448" s="83" t="n"/>
      <c r="O448" s="84" t="str">
        <f>IF($C448="","",IFERROR(MATCH($B448&amp;"|"&amp;$C448,MUROS!$AX$11:$AX$70,0),0))</f>
        <v/>
      </c>
      <c r="P448" s="84" t="str">
        <f>IF($D448="","",IF(ISNUMBER(MATCH($D448,CMB_S,0)),1,IF(ISNUMBER(MATCH($D448,CMB_G,0)),2,0)))</f>
        <v/>
      </c>
      <c r="Q448" s="84">
        <f>IF(ISNUMBER($H448),-$H448,0)</f>
        <v>0</v>
      </c>
      <c r="R448" s="84">
        <f>IF(ISNUMBER($I448),ABS($I448),0)</f>
        <v>0</v>
      </c>
      <c r="S448" s="84">
        <f>IF(ISNUMBER($M448),ABS($M448),0)</f>
        <v>0</v>
      </c>
      <c r="T448" s="85" t="n">
        <v>440</v>
      </c>
    </row>
    <row r="449">
      <c r="B449" s="83" t="n"/>
      <c r="C449" s="83" t="n"/>
      <c r="D449" s="83" t="n"/>
      <c r="E449" s="83" t="n"/>
      <c r="F449" s="83" t="n"/>
      <c r="G449" s="83" t="n"/>
      <c r="H449" s="83" t="n"/>
      <c r="I449" s="83" t="n"/>
      <c r="J449" s="83" t="n"/>
      <c r="K449" s="83" t="n"/>
      <c r="L449" s="83" t="n"/>
      <c r="M449" s="83" t="n"/>
      <c r="O449" s="84" t="str">
        <f>IF($C449="","",IFERROR(MATCH($B449&amp;"|"&amp;$C449,MUROS!$AX$11:$AX$70,0),0))</f>
        <v/>
      </c>
      <c r="P449" s="84" t="str">
        <f>IF($D449="","",IF(ISNUMBER(MATCH($D449,CMB_S,0)),1,IF(ISNUMBER(MATCH($D449,CMB_G,0)),2,0)))</f>
        <v/>
      </c>
      <c r="Q449" s="84">
        <f>IF(ISNUMBER($H449),-$H449,0)</f>
        <v>0</v>
      </c>
      <c r="R449" s="84">
        <f>IF(ISNUMBER($I449),ABS($I449),0)</f>
        <v>0</v>
      </c>
      <c r="S449" s="84">
        <f>IF(ISNUMBER($M449),ABS($M449),0)</f>
        <v>0</v>
      </c>
      <c r="T449" s="85" t="n">
        <v>441</v>
      </c>
    </row>
    <row r="450">
      <c r="B450" s="83" t="n"/>
      <c r="C450" s="83" t="n"/>
      <c r="D450" s="83" t="n"/>
      <c r="E450" s="83" t="n"/>
      <c r="F450" s="83" t="n"/>
      <c r="G450" s="83" t="n"/>
      <c r="H450" s="83" t="n"/>
      <c r="I450" s="83" t="n"/>
      <c r="J450" s="83" t="n"/>
      <c r="K450" s="83" t="n"/>
      <c r="L450" s="83" t="n"/>
      <c r="M450" s="83" t="n"/>
      <c r="O450" s="84" t="str">
        <f>IF($C450="","",IFERROR(MATCH($B450&amp;"|"&amp;$C450,MUROS!$AX$11:$AX$70,0),0))</f>
        <v/>
      </c>
      <c r="P450" s="84" t="str">
        <f>IF($D450="","",IF(ISNUMBER(MATCH($D450,CMB_S,0)),1,IF(ISNUMBER(MATCH($D450,CMB_G,0)),2,0)))</f>
        <v/>
      </c>
      <c r="Q450" s="84">
        <f>IF(ISNUMBER($H450),-$H450,0)</f>
        <v>0</v>
      </c>
      <c r="R450" s="84">
        <f>IF(ISNUMBER($I450),ABS($I450),0)</f>
        <v>0</v>
      </c>
      <c r="S450" s="84">
        <f>IF(ISNUMBER($M450),ABS($M450),0)</f>
        <v>0</v>
      </c>
      <c r="T450" s="85" t="n">
        <v>442</v>
      </c>
    </row>
    <row r="451">
      <c r="B451" s="83" t="n"/>
      <c r="C451" s="83" t="n"/>
      <c r="D451" s="83" t="n"/>
      <c r="E451" s="83" t="n"/>
      <c r="F451" s="83" t="n"/>
      <c r="G451" s="83" t="n"/>
      <c r="H451" s="83" t="n"/>
      <c r="I451" s="83" t="n"/>
      <c r="J451" s="83" t="n"/>
      <c r="K451" s="83" t="n"/>
      <c r="L451" s="83" t="n"/>
      <c r="M451" s="83" t="n"/>
      <c r="O451" s="84" t="str">
        <f>IF($C451="","",IFERROR(MATCH($B451&amp;"|"&amp;$C451,MUROS!$AX$11:$AX$70,0),0))</f>
        <v/>
      </c>
      <c r="P451" s="84" t="str">
        <f>IF($D451="","",IF(ISNUMBER(MATCH($D451,CMB_S,0)),1,IF(ISNUMBER(MATCH($D451,CMB_G,0)),2,0)))</f>
        <v/>
      </c>
      <c r="Q451" s="84">
        <f>IF(ISNUMBER($H451),-$H451,0)</f>
        <v>0</v>
      </c>
      <c r="R451" s="84">
        <f>IF(ISNUMBER($I451),ABS($I451),0)</f>
        <v>0</v>
      </c>
      <c r="S451" s="84">
        <f>IF(ISNUMBER($M451),ABS($M451),0)</f>
        <v>0</v>
      </c>
      <c r="T451" s="85" t="n">
        <v>443</v>
      </c>
    </row>
    <row r="452">
      <c r="B452" s="83" t="n"/>
      <c r="C452" s="83" t="n"/>
      <c r="D452" s="83" t="n"/>
      <c r="E452" s="83" t="n"/>
      <c r="F452" s="83" t="n"/>
      <c r="G452" s="83" t="n"/>
      <c r="H452" s="83" t="n"/>
      <c r="I452" s="83" t="n"/>
      <c r="J452" s="83" t="n"/>
      <c r="K452" s="83" t="n"/>
      <c r="L452" s="83" t="n"/>
      <c r="M452" s="83" t="n"/>
      <c r="O452" s="84" t="str">
        <f>IF($C452="","",IFERROR(MATCH($B452&amp;"|"&amp;$C452,MUROS!$AX$11:$AX$70,0),0))</f>
        <v/>
      </c>
      <c r="P452" s="84" t="str">
        <f>IF($D452="","",IF(ISNUMBER(MATCH($D452,CMB_S,0)),1,IF(ISNUMBER(MATCH($D452,CMB_G,0)),2,0)))</f>
        <v/>
      </c>
      <c r="Q452" s="84">
        <f>IF(ISNUMBER($H452),-$H452,0)</f>
        <v>0</v>
      </c>
      <c r="R452" s="84">
        <f>IF(ISNUMBER($I452),ABS($I452),0)</f>
        <v>0</v>
      </c>
      <c r="S452" s="84">
        <f>IF(ISNUMBER($M452),ABS($M452),0)</f>
        <v>0</v>
      </c>
      <c r="T452" s="85" t="n">
        <v>444</v>
      </c>
    </row>
    <row r="453">
      <c r="B453" s="83" t="n"/>
      <c r="C453" s="83" t="n"/>
      <c r="D453" s="83" t="n"/>
      <c r="E453" s="83" t="n"/>
      <c r="F453" s="83" t="n"/>
      <c r="G453" s="83" t="n"/>
      <c r="H453" s="83" t="n"/>
      <c r="I453" s="83" t="n"/>
      <c r="J453" s="83" t="n"/>
      <c r="K453" s="83" t="n"/>
      <c r="L453" s="83" t="n"/>
      <c r="M453" s="83" t="n"/>
      <c r="O453" s="84" t="str">
        <f>IF($C453="","",IFERROR(MATCH($B453&amp;"|"&amp;$C453,MUROS!$AX$11:$AX$70,0),0))</f>
        <v/>
      </c>
      <c r="P453" s="84" t="str">
        <f>IF($D453="","",IF(ISNUMBER(MATCH($D453,CMB_S,0)),1,IF(ISNUMBER(MATCH($D453,CMB_G,0)),2,0)))</f>
        <v/>
      </c>
      <c r="Q453" s="84">
        <f>IF(ISNUMBER($H453),-$H453,0)</f>
        <v>0</v>
      </c>
      <c r="R453" s="84">
        <f>IF(ISNUMBER($I453),ABS($I453),0)</f>
        <v>0</v>
      </c>
      <c r="S453" s="84">
        <f>IF(ISNUMBER($M453),ABS($M453),0)</f>
        <v>0</v>
      </c>
      <c r="T453" s="85" t="n">
        <v>445</v>
      </c>
    </row>
    <row r="454">
      <c r="B454" s="83" t="n"/>
      <c r="C454" s="83" t="n"/>
      <c r="D454" s="83" t="n"/>
      <c r="E454" s="83" t="n"/>
      <c r="F454" s="83" t="n"/>
      <c r="G454" s="83" t="n"/>
      <c r="H454" s="83" t="n"/>
      <c r="I454" s="83" t="n"/>
      <c r="J454" s="83" t="n"/>
      <c r="K454" s="83" t="n"/>
      <c r="L454" s="83" t="n"/>
      <c r="M454" s="83" t="n"/>
      <c r="O454" s="84" t="str">
        <f>IF($C454="","",IFERROR(MATCH($B454&amp;"|"&amp;$C454,MUROS!$AX$11:$AX$70,0),0))</f>
        <v/>
      </c>
      <c r="P454" s="84" t="str">
        <f>IF($D454="","",IF(ISNUMBER(MATCH($D454,CMB_S,0)),1,IF(ISNUMBER(MATCH($D454,CMB_G,0)),2,0)))</f>
        <v/>
      </c>
      <c r="Q454" s="84">
        <f>IF(ISNUMBER($H454),-$H454,0)</f>
        <v>0</v>
      </c>
      <c r="R454" s="84">
        <f>IF(ISNUMBER($I454),ABS($I454),0)</f>
        <v>0</v>
      </c>
      <c r="S454" s="84">
        <f>IF(ISNUMBER($M454),ABS($M454),0)</f>
        <v>0</v>
      </c>
      <c r="T454" s="85" t="n">
        <v>446</v>
      </c>
    </row>
    <row r="455">
      <c r="B455" s="83" t="n"/>
      <c r="C455" s="83" t="n"/>
      <c r="D455" s="83" t="n"/>
      <c r="E455" s="83" t="n"/>
      <c r="F455" s="83" t="n"/>
      <c r="G455" s="83" t="n"/>
      <c r="H455" s="83" t="n"/>
      <c r="I455" s="83" t="n"/>
      <c r="J455" s="83" t="n"/>
      <c r="K455" s="83" t="n"/>
      <c r="L455" s="83" t="n"/>
      <c r="M455" s="83" t="n"/>
      <c r="O455" s="84" t="str">
        <f>IF($C455="","",IFERROR(MATCH($B455&amp;"|"&amp;$C455,MUROS!$AX$11:$AX$70,0),0))</f>
        <v/>
      </c>
      <c r="P455" s="84" t="str">
        <f>IF($D455="","",IF(ISNUMBER(MATCH($D455,CMB_S,0)),1,IF(ISNUMBER(MATCH($D455,CMB_G,0)),2,0)))</f>
        <v/>
      </c>
      <c r="Q455" s="84">
        <f>IF(ISNUMBER($H455),-$H455,0)</f>
        <v>0</v>
      </c>
      <c r="R455" s="84">
        <f>IF(ISNUMBER($I455),ABS($I455),0)</f>
        <v>0</v>
      </c>
      <c r="S455" s="84">
        <f>IF(ISNUMBER($M455),ABS($M455),0)</f>
        <v>0</v>
      </c>
      <c r="T455" s="85" t="n">
        <v>447</v>
      </c>
    </row>
    <row r="456">
      <c r="B456" s="83" t="n"/>
      <c r="C456" s="83" t="n"/>
      <c r="D456" s="83" t="n"/>
      <c r="E456" s="83" t="n"/>
      <c r="F456" s="83" t="n"/>
      <c r="G456" s="83" t="n"/>
      <c r="H456" s="83" t="n"/>
      <c r="I456" s="83" t="n"/>
      <c r="J456" s="83" t="n"/>
      <c r="K456" s="83" t="n"/>
      <c r="L456" s="83" t="n"/>
      <c r="M456" s="83" t="n"/>
      <c r="O456" s="84" t="str">
        <f>IF($C456="","",IFERROR(MATCH($B456&amp;"|"&amp;$C456,MUROS!$AX$11:$AX$70,0),0))</f>
        <v/>
      </c>
      <c r="P456" s="84" t="str">
        <f>IF($D456="","",IF(ISNUMBER(MATCH($D456,CMB_S,0)),1,IF(ISNUMBER(MATCH($D456,CMB_G,0)),2,0)))</f>
        <v/>
      </c>
      <c r="Q456" s="84">
        <f>IF(ISNUMBER($H456),-$H456,0)</f>
        <v>0</v>
      </c>
      <c r="R456" s="84">
        <f>IF(ISNUMBER($I456),ABS($I456),0)</f>
        <v>0</v>
      </c>
      <c r="S456" s="84">
        <f>IF(ISNUMBER($M456),ABS($M456),0)</f>
        <v>0</v>
      </c>
      <c r="T456" s="85" t="n">
        <v>448</v>
      </c>
    </row>
    <row r="457">
      <c r="B457" s="83" t="n"/>
      <c r="C457" s="83" t="n"/>
      <c r="D457" s="83" t="n"/>
      <c r="E457" s="83" t="n"/>
      <c r="F457" s="83" t="n"/>
      <c r="G457" s="83" t="n"/>
      <c r="H457" s="83" t="n"/>
      <c r="I457" s="83" t="n"/>
      <c r="J457" s="83" t="n"/>
      <c r="K457" s="83" t="n"/>
      <c r="L457" s="83" t="n"/>
      <c r="M457" s="83" t="n"/>
      <c r="O457" s="84" t="str">
        <f>IF($C457="","",IFERROR(MATCH($B457&amp;"|"&amp;$C457,MUROS!$AX$11:$AX$70,0),0))</f>
        <v/>
      </c>
      <c r="P457" s="84" t="str">
        <f>IF($D457="","",IF(ISNUMBER(MATCH($D457,CMB_S,0)),1,IF(ISNUMBER(MATCH($D457,CMB_G,0)),2,0)))</f>
        <v/>
      </c>
      <c r="Q457" s="84">
        <f>IF(ISNUMBER($H457),-$H457,0)</f>
        <v>0</v>
      </c>
      <c r="R457" s="84">
        <f>IF(ISNUMBER($I457),ABS($I457),0)</f>
        <v>0</v>
      </c>
      <c r="S457" s="84">
        <f>IF(ISNUMBER($M457),ABS($M457),0)</f>
        <v>0</v>
      </c>
      <c r="T457" s="85" t="n">
        <v>449</v>
      </c>
    </row>
    <row r="458">
      <c r="B458" s="83" t="n"/>
      <c r="C458" s="83" t="n"/>
      <c r="D458" s="83" t="n"/>
      <c r="E458" s="83" t="n"/>
      <c r="F458" s="83" t="n"/>
      <c r="G458" s="83" t="n"/>
      <c r="H458" s="83" t="n"/>
      <c r="I458" s="83" t="n"/>
      <c r="J458" s="83" t="n"/>
      <c r="K458" s="83" t="n"/>
      <c r="L458" s="83" t="n"/>
      <c r="M458" s="83" t="n"/>
      <c r="O458" s="84" t="str">
        <f>IF($C458="","",IFERROR(MATCH($B458&amp;"|"&amp;$C458,MUROS!$AX$11:$AX$70,0),0))</f>
        <v/>
      </c>
      <c r="P458" s="84" t="str">
        <f>IF($D458="","",IF(ISNUMBER(MATCH($D458,CMB_S,0)),1,IF(ISNUMBER(MATCH($D458,CMB_G,0)),2,0)))</f>
        <v/>
      </c>
      <c r="Q458" s="84">
        <f>IF(ISNUMBER($H458),-$H458,0)</f>
        <v>0</v>
      </c>
      <c r="R458" s="84">
        <f>IF(ISNUMBER($I458),ABS($I458),0)</f>
        <v>0</v>
      </c>
      <c r="S458" s="84">
        <f>IF(ISNUMBER($M458),ABS($M458),0)</f>
        <v>0</v>
      </c>
      <c r="T458" s="85" t="n">
        <v>450</v>
      </c>
    </row>
    <row r="459"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83" t="n"/>
      <c r="K459" s="83" t="n"/>
      <c r="L459" s="83" t="n"/>
      <c r="M459" s="83" t="n"/>
      <c r="O459" s="84" t="str">
        <f>IF($C459="","",IFERROR(MATCH($B459&amp;"|"&amp;$C459,MUROS!$AX$11:$AX$70,0),0))</f>
        <v/>
      </c>
      <c r="P459" s="84" t="str">
        <f>IF($D459="","",IF(ISNUMBER(MATCH($D459,CMB_S,0)),1,IF(ISNUMBER(MATCH($D459,CMB_G,0)),2,0)))</f>
        <v/>
      </c>
      <c r="Q459" s="84">
        <f>IF(ISNUMBER($H459),-$H459,0)</f>
        <v>0</v>
      </c>
      <c r="R459" s="84">
        <f>IF(ISNUMBER($I459),ABS($I459),0)</f>
        <v>0</v>
      </c>
      <c r="S459" s="84">
        <f>IF(ISNUMBER($M459),ABS($M459),0)</f>
        <v>0</v>
      </c>
      <c r="T459" s="85" t="n">
        <v>451</v>
      </c>
    </row>
    <row r="460">
      <c r="B460" s="83" t="n"/>
      <c r="C460" s="83" t="n"/>
      <c r="D460" s="83" t="n"/>
      <c r="E460" s="83" t="n"/>
      <c r="F460" s="83" t="n"/>
      <c r="G460" s="83" t="n"/>
      <c r="H460" s="83" t="n"/>
      <c r="I460" s="83" t="n"/>
      <c r="J460" s="83" t="n"/>
      <c r="K460" s="83" t="n"/>
      <c r="L460" s="83" t="n"/>
      <c r="M460" s="83" t="n"/>
      <c r="O460" s="84" t="str">
        <f>IF($C460="","",IFERROR(MATCH($B460&amp;"|"&amp;$C460,MUROS!$AX$11:$AX$70,0),0))</f>
        <v/>
      </c>
      <c r="P460" s="84" t="str">
        <f>IF($D460="","",IF(ISNUMBER(MATCH($D460,CMB_S,0)),1,IF(ISNUMBER(MATCH($D460,CMB_G,0)),2,0)))</f>
        <v/>
      </c>
      <c r="Q460" s="84">
        <f>IF(ISNUMBER($H460),-$H460,0)</f>
        <v>0</v>
      </c>
      <c r="R460" s="84">
        <f>IF(ISNUMBER($I460),ABS($I460),0)</f>
        <v>0</v>
      </c>
      <c r="S460" s="84">
        <f>IF(ISNUMBER($M460),ABS($M460),0)</f>
        <v>0</v>
      </c>
      <c r="T460" s="85" t="n">
        <v>452</v>
      </c>
    </row>
    <row r="461">
      <c r="B461" s="83" t="n"/>
      <c r="C461" s="83" t="n"/>
      <c r="D461" s="83" t="n"/>
      <c r="E461" s="83" t="n"/>
      <c r="F461" s="83" t="n"/>
      <c r="G461" s="83" t="n"/>
      <c r="H461" s="83" t="n"/>
      <c r="I461" s="83" t="n"/>
      <c r="J461" s="83" t="n"/>
      <c r="K461" s="83" t="n"/>
      <c r="L461" s="83" t="n"/>
      <c r="M461" s="83" t="n"/>
      <c r="O461" s="84" t="str">
        <f>IF($C461="","",IFERROR(MATCH($B461&amp;"|"&amp;$C461,MUROS!$AX$11:$AX$70,0),0))</f>
        <v/>
      </c>
      <c r="P461" s="84" t="str">
        <f>IF($D461="","",IF(ISNUMBER(MATCH($D461,CMB_S,0)),1,IF(ISNUMBER(MATCH($D461,CMB_G,0)),2,0)))</f>
        <v/>
      </c>
      <c r="Q461" s="84">
        <f>IF(ISNUMBER($H461),-$H461,0)</f>
        <v>0</v>
      </c>
      <c r="R461" s="84">
        <f>IF(ISNUMBER($I461),ABS($I461),0)</f>
        <v>0</v>
      </c>
      <c r="S461" s="84">
        <f>IF(ISNUMBER($M461),ABS($M461),0)</f>
        <v>0</v>
      </c>
      <c r="T461" s="85" t="n">
        <v>453</v>
      </c>
    </row>
    <row r="462">
      <c r="B462" s="83" t="n"/>
      <c r="C462" s="83" t="n"/>
      <c r="D462" s="83" t="n"/>
      <c r="E462" s="83" t="n"/>
      <c r="F462" s="83" t="n"/>
      <c r="G462" s="83" t="n"/>
      <c r="H462" s="83" t="n"/>
      <c r="I462" s="83" t="n"/>
      <c r="J462" s="83" t="n"/>
      <c r="K462" s="83" t="n"/>
      <c r="L462" s="83" t="n"/>
      <c r="M462" s="83" t="n"/>
      <c r="O462" s="84" t="str">
        <f>IF($C462="","",IFERROR(MATCH($B462&amp;"|"&amp;$C462,MUROS!$AX$11:$AX$70,0),0))</f>
        <v/>
      </c>
      <c r="P462" s="84" t="str">
        <f>IF($D462="","",IF(ISNUMBER(MATCH($D462,CMB_S,0)),1,IF(ISNUMBER(MATCH($D462,CMB_G,0)),2,0)))</f>
        <v/>
      </c>
      <c r="Q462" s="84">
        <f>IF(ISNUMBER($H462),-$H462,0)</f>
        <v>0</v>
      </c>
      <c r="R462" s="84">
        <f>IF(ISNUMBER($I462),ABS($I462),0)</f>
        <v>0</v>
      </c>
      <c r="S462" s="84">
        <f>IF(ISNUMBER($M462),ABS($M462),0)</f>
        <v>0</v>
      </c>
      <c r="T462" s="85" t="n">
        <v>454</v>
      </c>
    </row>
    <row r="463">
      <c r="B463" s="83" t="n"/>
      <c r="C463" s="83" t="n"/>
      <c r="D463" s="83" t="n"/>
      <c r="E463" s="83" t="n"/>
      <c r="F463" s="83" t="n"/>
      <c r="G463" s="83" t="n"/>
      <c r="H463" s="83" t="n"/>
      <c r="I463" s="83" t="n"/>
      <c r="J463" s="83" t="n"/>
      <c r="K463" s="83" t="n"/>
      <c r="L463" s="83" t="n"/>
      <c r="M463" s="83" t="n"/>
      <c r="O463" s="84" t="str">
        <f>IF($C463="","",IFERROR(MATCH($B463&amp;"|"&amp;$C463,MUROS!$AX$11:$AX$70,0),0))</f>
        <v/>
      </c>
      <c r="P463" s="84" t="str">
        <f>IF($D463="","",IF(ISNUMBER(MATCH($D463,CMB_S,0)),1,IF(ISNUMBER(MATCH($D463,CMB_G,0)),2,0)))</f>
        <v/>
      </c>
      <c r="Q463" s="84">
        <f>IF(ISNUMBER($H463),-$H463,0)</f>
        <v>0</v>
      </c>
      <c r="R463" s="84">
        <f>IF(ISNUMBER($I463),ABS($I463),0)</f>
        <v>0</v>
      </c>
      <c r="S463" s="84">
        <f>IF(ISNUMBER($M463),ABS($M463),0)</f>
        <v>0</v>
      </c>
      <c r="T463" s="85" t="n">
        <v>455</v>
      </c>
    </row>
    <row r="464">
      <c r="B464" s="83" t="n"/>
      <c r="C464" s="83" t="n"/>
      <c r="D464" s="83" t="n"/>
      <c r="E464" s="83" t="n"/>
      <c r="F464" s="83" t="n"/>
      <c r="G464" s="83" t="n"/>
      <c r="H464" s="83" t="n"/>
      <c r="I464" s="83" t="n"/>
      <c r="J464" s="83" t="n"/>
      <c r="K464" s="83" t="n"/>
      <c r="L464" s="83" t="n"/>
      <c r="M464" s="83" t="n"/>
      <c r="O464" s="84" t="str">
        <f>IF($C464="","",IFERROR(MATCH($B464&amp;"|"&amp;$C464,MUROS!$AX$11:$AX$70,0),0))</f>
        <v/>
      </c>
      <c r="P464" s="84" t="str">
        <f>IF($D464="","",IF(ISNUMBER(MATCH($D464,CMB_S,0)),1,IF(ISNUMBER(MATCH($D464,CMB_G,0)),2,0)))</f>
        <v/>
      </c>
      <c r="Q464" s="84">
        <f>IF(ISNUMBER($H464),-$H464,0)</f>
        <v>0</v>
      </c>
      <c r="R464" s="84">
        <f>IF(ISNUMBER($I464),ABS($I464),0)</f>
        <v>0</v>
      </c>
      <c r="S464" s="84">
        <f>IF(ISNUMBER($M464),ABS($M464),0)</f>
        <v>0</v>
      </c>
      <c r="T464" s="85" t="n">
        <v>456</v>
      </c>
    </row>
    <row r="465">
      <c r="B465" s="83" t="n"/>
      <c r="C465" s="83" t="n"/>
      <c r="D465" s="83" t="n"/>
      <c r="E465" s="83" t="n"/>
      <c r="F465" s="83" t="n"/>
      <c r="G465" s="83" t="n"/>
      <c r="H465" s="83" t="n"/>
      <c r="I465" s="83" t="n"/>
      <c r="J465" s="83" t="n"/>
      <c r="K465" s="83" t="n"/>
      <c r="L465" s="83" t="n"/>
      <c r="M465" s="83" t="n"/>
      <c r="O465" s="84" t="str">
        <f>IF($C465="","",IFERROR(MATCH($B465&amp;"|"&amp;$C465,MUROS!$AX$11:$AX$70,0),0))</f>
        <v/>
      </c>
      <c r="P465" s="84" t="str">
        <f>IF($D465="","",IF(ISNUMBER(MATCH($D465,CMB_S,0)),1,IF(ISNUMBER(MATCH($D465,CMB_G,0)),2,0)))</f>
        <v/>
      </c>
      <c r="Q465" s="84">
        <f>IF(ISNUMBER($H465),-$H465,0)</f>
        <v>0</v>
      </c>
      <c r="R465" s="84">
        <f>IF(ISNUMBER($I465),ABS($I465),0)</f>
        <v>0</v>
      </c>
      <c r="S465" s="84">
        <f>IF(ISNUMBER($M465),ABS($M465),0)</f>
        <v>0</v>
      </c>
      <c r="T465" s="85" t="n">
        <v>457</v>
      </c>
    </row>
    <row r="466">
      <c r="B466" s="83" t="n"/>
      <c r="C466" s="83" t="n"/>
      <c r="D466" s="83" t="n"/>
      <c r="E466" s="83" t="n"/>
      <c r="F466" s="83" t="n"/>
      <c r="G466" s="83" t="n"/>
      <c r="H466" s="83" t="n"/>
      <c r="I466" s="83" t="n"/>
      <c r="J466" s="83" t="n"/>
      <c r="K466" s="83" t="n"/>
      <c r="L466" s="83" t="n"/>
      <c r="M466" s="83" t="n"/>
      <c r="O466" s="84" t="str">
        <f>IF($C466="","",IFERROR(MATCH($B466&amp;"|"&amp;$C466,MUROS!$AX$11:$AX$70,0),0))</f>
        <v/>
      </c>
      <c r="P466" s="84" t="str">
        <f>IF($D466="","",IF(ISNUMBER(MATCH($D466,CMB_S,0)),1,IF(ISNUMBER(MATCH($D466,CMB_G,0)),2,0)))</f>
        <v/>
      </c>
      <c r="Q466" s="84">
        <f>IF(ISNUMBER($H466),-$H466,0)</f>
        <v>0</v>
      </c>
      <c r="R466" s="84">
        <f>IF(ISNUMBER($I466),ABS($I466),0)</f>
        <v>0</v>
      </c>
      <c r="S466" s="84">
        <f>IF(ISNUMBER($M466),ABS($M466),0)</f>
        <v>0</v>
      </c>
      <c r="T466" s="85" t="n">
        <v>458</v>
      </c>
    </row>
    <row r="467">
      <c r="B467" s="83" t="n"/>
      <c r="C467" s="83" t="n"/>
      <c r="D467" s="83" t="n"/>
      <c r="E467" s="83" t="n"/>
      <c r="F467" s="83" t="n"/>
      <c r="G467" s="83" t="n"/>
      <c r="H467" s="83" t="n"/>
      <c r="I467" s="83" t="n"/>
      <c r="J467" s="83" t="n"/>
      <c r="K467" s="83" t="n"/>
      <c r="L467" s="83" t="n"/>
      <c r="M467" s="83" t="n"/>
      <c r="O467" s="84" t="str">
        <f>IF($C467="","",IFERROR(MATCH($B467&amp;"|"&amp;$C467,MUROS!$AX$11:$AX$70,0),0))</f>
        <v/>
      </c>
      <c r="P467" s="84" t="str">
        <f>IF($D467="","",IF(ISNUMBER(MATCH($D467,CMB_S,0)),1,IF(ISNUMBER(MATCH($D467,CMB_G,0)),2,0)))</f>
        <v/>
      </c>
      <c r="Q467" s="84">
        <f>IF(ISNUMBER($H467),-$H467,0)</f>
        <v>0</v>
      </c>
      <c r="R467" s="84">
        <f>IF(ISNUMBER($I467),ABS($I467),0)</f>
        <v>0</v>
      </c>
      <c r="S467" s="84">
        <f>IF(ISNUMBER($M467),ABS($M467),0)</f>
        <v>0</v>
      </c>
      <c r="T467" s="85" t="n">
        <v>459</v>
      </c>
    </row>
    <row r="468"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83" t="n"/>
      <c r="K468" s="83" t="n"/>
      <c r="L468" s="83" t="n"/>
      <c r="M468" s="83" t="n"/>
      <c r="O468" s="84" t="str">
        <f>IF($C468="","",IFERROR(MATCH($B468&amp;"|"&amp;$C468,MUROS!$AX$11:$AX$70,0),0))</f>
        <v/>
      </c>
      <c r="P468" s="84" t="str">
        <f>IF($D468="","",IF(ISNUMBER(MATCH($D468,CMB_S,0)),1,IF(ISNUMBER(MATCH($D468,CMB_G,0)),2,0)))</f>
        <v/>
      </c>
      <c r="Q468" s="84">
        <f>IF(ISNUMBER($H468),-$H468,0)</f>
        <v>0</v>
      </c>
      <c r="R468" s="84">
        <f>IF(ISNUMBER($I468),ABS($I468),0)</f>
        <v>0</v>
      </c>
      <c r="S468" s="84">
        <f>IF(ISNUMBER($M468),ABS($M468),0)</f>
        <v>0</v>
      </c>
      <c r="T468" s="85" t="n">
        <v>460</v>
      </c>
    </row>
    <row r="469">
      <c r="B469" s="83" t="n"/>
      <c r="C469" s="83" t="n"/>
      <c r="D469" s="83" t="n"/>
      <c r="E469" s="83" t="n"/>
      <c r="F469" s="83" t="n"/>
      <c r="G469" s="83" t="n"/>
      <c r="H469" s="83" t="n"/>
      <c r="I469" s="83" t="n"/>
      <c r="J469" s="83" t="n"/>
      <c r="K469" s="83" t="n"/>
      <c r="L469" s="83" t="n"/>
      <c r="M469" s="83" t="n"/>
      <c r="O469" s="84" t="str">
        <f>IF($C469="","",IFERROR(MATCH($B469&amp;"|"&amp;$C469,MUROS!$AX$11:$AX$70,0),0))</f>
        <v/>
      </c>
      <c r="P469" s="84" t="str">
        <f>IF($D469="","",IF(ISNUMBER(MATCH($D469,CMB_S,0)),1,IF(ISNUMBER(MATCH($D469,CMB_G,0)),2,0)))</f>
        <v/>
      </c>
      <c r="Q469" s="84">
        <f>IF(ISNUMBER($H469),-$H469,0)</f>
        <v>0</v>
      </c>
      <c r="R469" s="84">
        <f>IF(ISNUMBER($I469),ABS($I469),0)</f>
        <v>0</v>
      </c>
      <c r="S469" s="84">
        <f>IF(ISNUMBER($M469),ABS($M469),0)</f>
        <v>0</v>
      </c>
      <c r="T469" s="85" t="n">
        <v>461</v>
      </c>
    </row>
    <row r="470">
      <c r="B470" s="83" t="n"/>
      <c r="C470" s="83" t="n"/>
      <c r="D470" s="83" t="n"/>
      <c r="E470" s="83" t="n"/>
      <c r="F470" s="83" t="n"/>
      <c r="G470" s="83" t="n"/>
      <c r="H470" s="83" t="n"/>
      <c r="I470" s="83" t="n"/>
      <c r="J470" s="83" t="n"/>
      <c r="K470" s="83" t="n"/>
      <c r="L470" s="83" t="n"/>
      <c r="M470" s="83" t="n"/>
      <c r="O470" s="84" t="str">
        <f>IF($C470="","",IFERROR(MATCH($B470&amp;"|"&amp;$C470,MUROS!$AX$11:$AX$70,0),0))</f>
        <v/>
      </c>
      <c r="P470" s="84" t="str">
        <f>IF($D470="","",IF(ISNUMBER(MATCH($D470,CMB_S,0)),1,IF(ISNUMBER(MATCH($D470,CMB_G,0)),2,0)))</f>
        <v/>
      </c>
      <c r="Q470" s="84">
        <f>IF(ISNUMBER($H470),-$H470,0)</f>
        <v>0</v>
      </c>
      <c r="R470" s="84">
        <f>IF(ISNUMBER($I470),ABS($I470),0)</f>
        <v>0</v>
      </c>
      <c r="S470" s="84">
        <f>IF(ISNUMBER($M470),ABS($M470),0)</f>
        <v>0</v>
      </c>
      <c r="T470" s="85" t="n">
        <v>462</v>
      </c>
    </row>
    <row r="471">
      <c r="B471" s="83" t="n"/>
      <c r="C471" s="83" t="n"/>
      <c r="D471" s="83" t="n"/>
      <c r="E471" s="83" t="n"/>
      <c r="F471" s="83" t="n"/>
      <c r="G471" s="83" t="n"/>
      <c r="H471" s="83" t="n"/>
      <c r="I471" s="83" t="n"/>
      <c r="J471" s="83" t="n"/>
      <c r="K471" s="83" t="n"/>
      <c r="L471" s="83" t="n"/>
      <c r="M471" s="83" t="n"/>
      <c r="O471" s="84" t="str">
        <f>IF($C471="","",IFERROR(MATCH($B471&amp;"|"&amp;$C471,MUROS!$AX$11:$AX$70,0),0))</f>
        <v/>
      </c>
      <c r="P471" s="84" t="str">
        <f>IF($D471="","",IF(ISNUMBER(MATCH($D471,CMB_S,0)),1,IF(ISNUMBER(MATCH($D471,CMB_G,0)),2,0)))</f>
        <v/>
      </c>
      <c r="Q471" s="84">
        <f>IF(ISNUMBER($H471),-$H471,0)</f>
        <v>0</v>
      </c>
      <c r="R471" s="84">
        <f>IF(ISNUMBER($I471),ABS($I471),0)</f>
        <v>0</v>
      </c>
      <c r="S471" s="84">
        <f>IF(ISNUMBER($M471),ABS($M471),0)</f>
        <v>0</v>
      </c>
      <c r="T471" s="85" t="n">
        <v>463</v>
      </c>
    </row>
    <row r="472">
      <c r="B472" s="83" t="n"/>
      <c r="C472" s="83" t="n"/>
      <c r="D472" s="83" t="n"/>
      <c r="E472" s="83" t="n"/>
      <c r="F472" s="83" t="n"/>
      <c r="G472" s="83" t="n"/>
      <c r="H472" s="83" t="n"/>
      <c r="I472" s="83" t="n"/>
      <c r="J472" s="83" t="n"/>
      <c r="K472" s="83" t="n"/>
      <c r="L472" s="83" t="n"/>
      <c r="M472" s="83" t="n"/>
      <c r="O472" s="84" t="str">
        <f>IF($C472="","",IFERROR(MATCH($B472&amp;"|"&amp;$C472,MUROS!$AX$11:$AX$70,0),0))</f>
        <v/>
      </c>
      <c r="P472" s="84" t="str">
        <f>IF($D472="","",IF(ISNUMBER(MATCH($D472,CMB_S,0)),1,IF(ISNUMBER(MATCH($D472,CMB_G,0)),2,0)))</f>
        <v/>
      </c>
      <c r="Q472" s="84">
        <f>IF(ISNUMBER($H472),-$H472,0)</f>
        <v>0</v>
      </c>
      <c r="R472" s="84">
        <f>IF(ISNUMBER($I472),ABS($I472),0)</f>
        <v>0</v>
      </c>
      <c r="S472" s="84">
        <f>IF(ISNUMBER($M472),ABS($M472),0)</f>
        <v>0</v>
      </c>
      <c r="T472" s="85" t="n">
        <v>464</v>
      </c>
    </row>
    <row r="473">
      <c r="B473" s="83" t="n"/>
      <c r="C473" s="83" t="n"/>
      <c r="D473" s="83" t="n"/>
      <c r="E473" s="83" t="n"/>
      <c r="F473" s="83" t="n"/>
      <c r="G473" s="83" t="n"/>
      <c r="H473" s="83" t="n"/>
      <c r="I473" s="83" t="n"/>
      <c r="J473" s="83" t="n"/>
      <c r="K473" s="83" t="n"/>
      <c r="L473" s="83" t="n"/>
      <c r="M473" s="83" t="n"/>
      <c r="O473" s="84" t="str">
        <f>IF($C473="","",IFERROR(MATCH($B473&amp;"|"&amp;$C473,MUROS!$AX$11:$AX$70,0),0))</f>
        <v/>
      </c>
      <c r="P473" s="84" t="str">
        <f>IF($D473="","",IF(ISNUMBER(MATCH($D473,CMB_S,0)),1,IF(ISNUMBER(MATCH($D473,CMB_G,0)),2,0)))</f>
        <v/>
      </c>
      <c r="Q473" s="84">
        <f>IF(ISNUMBER($H473),-$H473,0)</f>
        <v>0</v>
      </c>
      <c r="R473" s="84">
        <f>IF(ISNUMBER($I473),ABS($I473),0)</f>
        <v>0</v>
      </c>
      <c r="S473" s="84">
        <f>IF(ISNUMBER($M473),ABS($M473),0)</f>
        <v>0</v>
      </c>
      <c r="T473" s="85" t="n">
        <v>465</v>
      </c>
    </row>
    <row r="474">
      <c r="B474" s="83" t="n"/>
      <c r="C474" s="83" t="n"/>
      <c r="D474" s="83" t="n"/>
      <c r="E474" s="83" t="n"/>
      <c r="F474" s="83" t="n"/>
      <c r="G474" s="83" t="n"/>
      <c r="H474" s="83" t="n"/>
      <c r="I474" s="83" t="n"/>
      <c r="J474" s="83" t="n"/>
      <c r="K474" s="83" t="n"/>
      <c r="L474" s="83" t="n"/>
      <c r="M474" s="83" t="n"/>
      <c r="O474" s="84" t="str">
        <f>IF($C474="","",IFERROR(MATCH($B474&amp;"|"&amp;$C474,MUROS!$AX$11:$AX$70,0),0))</f>
        <v/>
      </c>
      <c r="P474" s="84" t="str">
        <f>IF($D474="","",IF(ISNUMBER(MATCH($D474,CMB_S,0)),1,IF(ISNUMBER(MATCH($D474,CMB_G,0)),2,0)))</f>
        <v/>
      </c>
      <c r="Q474" s="84">
        <f>IF(ISNUMBER($H474),-$H474,0)</f>
        <v>0</v>
      </c>
      <c r="R474" s="84">
        <f>IF(ISNUMBER($I474),ABS($I474),0)</f>
        <v>0</v>
      </c>
      <c r="S474" s="84">
        <f>IF(ISNUMBER($M474),ABS($M474),0)</f>
        <v>0</v>
      </c>
      <c r="T474" s="85" t="n">
        <v>466</v>
      </c>
    </row>
    <row r="475">
      <c r="B475" s="83" t="n"/>
      <c r="C475" s="83" t="n"/>
      <c r="D475" s="83" t="n"/>
      <c r="E475" s="83" t="n"/>
      <c r="F475" s="83" t="n"/>
      <c r="G475" s="83" t="n"/>
      <c r="H475" s="83" t="n"/>
      <c r="I475" s="83" t="n"/>
      <c r="J475" s="83" t="n"/>
      <c r="K475" s="83" t="n"/>
      <c r="L475" s="83" t="n"/>
      <c r="M475" s="83" t="n"/>
      <c r="O475" s="84" t="str">
        <f>IF($C475="","",IFERROR(MATCH($B475&amp;"|"&amp;$C475,MUROS!$AX$11:$AX$70,0),0))</f>
        <v/>
      </c>
      <c r="P475" s="84" t="str">
        <f>IF($D475="","",IF(ISNUMBER(MATCH($D475,CMB_S,0)),1,IF(ISNUMBER(MATCH($D475,CMB_G,0)),2,0)))</f>
        <v/>
      </c>
      <c r="Q475" s="84">
        <f>IF(ISNUMBER($H475),-$H475,0)</f>
        <v>0</v>
      </c>
      <c r="R475" s="84">
        <f>IF(ISNUMBER($I475),ABS($I475),0)</f>
        <v>0</v>
      </c>
      <c r="S475" s="84">
        <f>IF(ISNUMBER($M475),ABS($M475),0)</f>
        <v>0</v>
      </c>
      <c r="T475" s="85" t="n">
        <v>467</v>
      </c>
    </row>
    <row r="476">
      <c r="B476" s="83" t="n"/>
      <c r="C476" s="83" t="n"/>
      <c r="D476" s="83" t="n"/>
      <c r="E476" s="83" t="n"/>
      <c r="F476" s="83" t="n"/>
      <c r="G476" s="83" t="n"/>
      <c r="H476" s="83" t="n"/>
      <c r="I476" s="83" t="n"/>
      <c r="J476" s="83" t="n"/>
      <c r="K476" s="83" t="n"/>
      <c r="L476" s="83" t="n"/>
      <c r="M476" s="83" t="n"/>
      <c r="O476" s="84" t="str">
        <f>IF($C476="","",IFERROR(MATCH($B476&amp;"|"&amp;$C476,MUROS!$AX$11:$AX$70,0),0))</f>
        <v/>
      </c>
      <c r="P476" s="84" t="str">
        <f>IF($D476="","",IF(ISNUMBER(MATCH($D476,CMB_S,0)),1,IF(ISNUMBER(MATCH($D476,CMB_G,0)),2,0)))</f>
        <v/>
      </c>
      <c r="Q476" s="84">
        <f>IF(ISNUMBER($H476),-$H476,0)</f>
        <v>0</v>
      </c>
      <c r="R476" s="84">
        <f>IF(ISNUMBER($I476),ABS($I476),0)</f>
        <v>0</v>
      </c>
      <c r="S476" s="84">
        <f>IF(ISNUMBER($M476),ABS($M476),0)</f>
        <v>0</v>
      </c>
      <c r="T476" s="85" t="n">
        <v>468</v>
      </c>
    </row>
    <row r="477">
      <c r="B477" s="83" t="n"/>
      <c r="C477" s="83" t="n"/>
      <c r="D477" s="83" t="n"/>
      <c r="E477" s="83" t="n"/>
      <c r="F477" s="83" t="n"/>
      <c r="G477" s="83" t="n"/>
      <c r="H477" s="83" t="n"/>
      <c r="I477" s="83" t="n"/>
      <c r="J477" s="83" t="n"/>
      <c r="K477" s="83" t="n"/>
      <c r="L477" s="83" t="n"/>
      <c r="M477" s="83" t="n"/>
      <c r="O477" s="84" t="str">
        <f>IF($C477="","",IFERROR(MATCH($B477&amp;"|"&amp;$C477,MUROS!$AX$11:$AX$70,0),0))</f>
        <v/>
      </c>
      <c r="P477" s="84" t="str">
        <f>IF($D477="","",IF(ISNUMBER(MATCH($D477,CMB_S,0)),1,IF(ISNUMBER(MATCH($D477,CMB_G,0)),2,0)))</f>
        <v/>
      </c>
      <c r="Q477" s="84">
        <f>IF(ISNUMBER($H477),-$H477,0)</f>
        <v>0</v>
      </c>
      <c r="R477" s="84">
        <f>IF(ISNUMBER($I477),ABS($I477),0)</f>
        <v>0</v>
      </c>
      <c r="S477" s="84">
        <f>IF(ISNUMBER($M477),ABS($M477),0)</f>
        <v>0</v>
      </c>
      <c r="T477" s="85" t="n">
        <v>469</v>
      </c>
    </row>
    <row r="478">
      <c r="B478" s="83" t="n"/>
      <c r="C478" s="83" t="n"/>
      <c r="D478" s="83" t="n"/>
      <c r="E478" s="83" t="n"/>
      <c r="F478" s="83" t="n"/>
      <c r="G478" s="83" t="n"/>
      <c r="H478" s="83" t="n"/>
      <c r="I478" s="83" t="n"/>
      <c r="J478" s="83" t="n"/>
      <c r="K478" s="83" t="n"/>
      <c r="L478" s="83" t="n"/>
      <c r="M478" s="83" t="n"/>
      <c r="O478" s="84" t="str">
        <f>IF($C478="","",IFERROR(MATCH($B478&amp;"|"&amp;$C478,MUROS!$AX$11:$AX$70,0),0))</f>
        <v/>
      </c>
      <c r="P478" s="84" t="str">
        <f>IF($D478="","",IF(ISNUMBER(MATCH($D478,CMB_S,0)),1,IF(ISNUMBER(MATCH($D478,CMB_G,0)),2,0)))</f>
        <v/>
      </c>
      <c r="Q478" s="84">
        <f>IF(ISNUMBER($H478),-$H478,0)</f>
        <v>0</v>
      </c>
      <c r="R478" s="84">
        <f>IF(ISNUMBER($I478),ABS($I478),0)</f>
        <v>0</v>
      </c>
      <c r="S478" s="84">
        <f>IF(ISNUMBER($M478),ABS($M478),0)</f>
        <v>0</v>
      </c>
      <c r="T478" s="85" t="n">
        <v>470</v>
      </c>
    </row>
    <row r="479">
      <c r="B479" s="83" t="n"/>
      <c r="C479" s="83" t="n"/>
      <c r="D479" s="83" t="n"/>
      <c r="E479" s="83" t="n"/>
      <c r="F479" s="83" t="n"/>
      <c r="G479" s="83" t="n"/>
      <c r="H479" s="83" t="n"/>
      <c r="I479" s="83" t="n"/>
      <c r="J479" s="83" t="n"/>
      <c r="K479" s="83" t="n"/>
      <c r="L479" s="83" t="n"/>
      <c r="M479" s="83" t="n"/>
      <c r="O479" s="84" t="str">
        <f>IF($C479="","",IFERROR(MATCH($B479&amp;"|"&amp;$C479,MUROS!$AX$11:$AX$70,0),0))</f>
        <v/>
      </c>
      <c r="P479" s="84" t="str">
        <f>IF($D479="","",IF(ISNUMBER(MATCH($D479,CMB_S,0)),1,IF(ISNUMBER(MATCH($D479,CMB_G,0)),2,0)))</f>
        <v/>
      </c>
      <c r="Q479" s="84">
        <f>IF(ISNUMBER($H479),-$H479,0)</f>
        <v>0</v>
      </c>
      <c r="R479" s="84">
        <f>IF(ISNUMBER($I479),ABS($I479),0)</f>
        <v>0</v>
      </c>
      <c r="S479" s="84">
        <f>IF(ISNUMBER($M479),ABS($M479),0)</f>
        <v>0</v>
      </c>
      <c r="T479" s="85" t="n">
        <v>471</v>
      </c>
    </row>
    <row r="480">
      <c r="B480" s="83" t="n"/>
      <c r="C480" s="83" t="n"/>
      <c r="D480" s="83" t="n"/>
      <c r="E480" s="83" t="n"/>
      <c r="F480" s="83" t="n"/>
      <c r="G480" s="83" t="n"/>
      <c r="H480" s="83" t="n"/>
      <c r="I480" s="83" t="n"/>
      <c r="J480" s="83" t="n"/>
      <c r="K480" s="83" t="n"/>
      <c r="L480" s="83" t="n"/>
      <c r="M480" s="83" t="n"/>
      <c r="O480" s="84" t="str">
        <f>IF($C480="","",IFERROR(MATCH($B480&amp;"|"&amp;$C480,MUROS!$AX$11:$AX$70,0),0))</f>
        <v/>
      </c>
      <c r="P480" s="84" t="str">
        <f>IF($D480="","",IF(ISNUMBER(MATCH($D480,CMB_S,0)),1,IF(ISNUMBER(MATCH($D480,CMB_G,0)),2,0)))</f>
        <v/>
      </c>
      <c r="Q480" s="84">
        <f>IF(ISNUMBER($H480),-$H480,0)</f>
        <v>0</v>
      </c>
      <c r="R480" s="84">
        <f>IF(ISNUMBER($I480),ABS($I480),0)</f>
        <v>0</v>
      </c>
      <c r="S480" s="84">
        <f>IF(ISNUMBER($M480),ABS($M480),0)</f>
        <v>0</v>
      </c>
      <c r="T480" s="85" t="n">
        <v>472</v>
      </c>
    </row>
    <row r="481">
      <c r="B481" s="83" t="n"/>
      <c r="C481" s="83" t="n"/>
      <c r="D481" s="83" t="n"/>
      <c r="E481" s="83" t="n"/>
      <c r="F481" s="83" t="n"/>
      <c r="G481" s="83" t="n"/>
      <c r="H481" s="83" t="n"/>
      <c r="I481" s="83" t="n"/>
      <c r="J481" s="83" t="n"/>
      <c r="K481" s="83" t="n"/>
      <c r="L481" s="83" t="n"/>
      <c r="M481" s="83" t="n"/>
      <c r="O481" s="84" t="str">
        <f>IF($C481="","",IFERROR(MATCH($B481&amp;"|"&amp;$C481,MUROS!$AX$11:$AX$70,0),0))</f>
        <v/>
      </c>
      <c r="P481" s="84" t="str">
        <f>IF($D481="","",IF(ISNUMBER(MATCH($D481,CMB_S,0)),1,IF(ISNUMBER(MATCH($D481,CMB_G,0)),2,0)))</f>
        <v/>
      </c>
      <c r="Q481" s="84">
        <f>IF(ISNUMBER($H481),-$H481,0)</f>
        <v>0</v>
      </c>
      <c r="R481" s="84">
        <f>IF(ISNUMBER($I481),ABS($I481),0)</f>
        <v>0</v>
      </c>
      <c r="S481" s="84">
        <f>IF(ISNUMBER($M481),ABS($M481),0)</f>
        <v>0</v>
      </c>
      <c r="T481" s="85" t="n">
        <v>473</v>
      </c>
    </row>
    <row r="482">
      <c r="B482" s="83" t="n"/>
      <c r="C482" s="83" t="n"/>
      <c r="D482" s="83" t="n"/>
      <c r="E482" s="83" t="n"/>
      <c r="F482" s="83" t="n"/>
      <c r="G482" s="83" t="n"/>
      <c r="H482" s="83" t="n"/>
      <c r="I482" s="83" t="n"/>
      <c r="J482" s="83" t="n"/>
      <c r="K482" s="83" t="n"/>
      <c r="L482" s="83" t="n"/>
      <c r="M482" s="83" t="n"/>
      <c r="O482" s="84" t="str">
        <f>IF($C482="","",IFERROR(MATCH($B482&amp;"|"&amp;$C482,MUROS!$AX$11:$AX$70,0),0))</f>
        <v/>
      </c>
      <c r="P482" s="84" t="str">
        <f>IF($D482="","",IF(ISNUMBER(MATCH($D482,CMB_S,0)),1,IF(ISNUMBER(MATCH($D482,CMB_G,0)),2,0)))</f>
        <v/>
      </c>
      <c r="Q482" s="84">
        <f>IF(ISNUMBER($H482),-$H482,0)</f>
        <v>0</v>
      </c>
      <c r="R482" s="84">
        <f>IF(ISNUMBER($I482),ABS($I482),0)</f>
        <v>0</v>
      </c>
      <c r="S482" s="84">
        <f>IF(ISNUMBER($M482),ABS($M482),0)</f>
        <v>0</v>
      </c>
      <c r="T482" s="85" t="n">
        <v>474</v>
      </c>
    </row>
    <row r="483">
      <c r="B483" s="83" t="n"/>
      <c r="C483" s="83" t="n"/>
      <c r="D483" s="83" t="n"/>
      <c r="E483" s="83" t="n"/>
      <c r="F483" s="83" t="n"/>
      <c r="G483" s="83" t="n"/>
      <c r="H483" s="83" t="n"/>
      <c r="I483" s="83" t="n"/>
      <c r="J483" s="83" t="n"/>
      <c r="K483" s="83" t="n"/>
      <c r="L483" s="83" t="n"/>
      <c r="M483" s="83" t="n"/>
      <c r="O483" s="84" t="str">
        <f>IF($C483="","",IFERROR(MATCH($B483&amp;"|"&amp;$C483,MUROS!$AX$11:$AX$70,0),0))</f>
        <v/>
      </c>
      <c r="P483" s="84" t="str">
        <f>IF($D483="","",IF(ISNUMBER(MATCH($D483,CMB_S,0)),1,IF(ISNUMBER(MATCH($D483,CMB_G,0)),2,0)))</f>
        <v/>
      </c>
      <c r="Q483" s="84">
        <f>IF(ISNUMBER($H483),-$H483,0)</f>
        <v>0</v>
      </c>
      <c r="R483" s="84">
        <f>IF(ISNUMBER($I483),ABS($I483),0)</f>
        <v>0</v>
      </c>
      <c r="S483" s="84">
        <f>IF(ISNUMBER($M483),ABS($M483),0)</f>
        <v>0</v>
      </c>
      <c r="T483" s="85" t="n">
        <v>475</v>
      </c>
    </row>
    <row r="484"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83" t="n"/>
      <c r="K484" s="83" t="n"/>
      <c r="L484" s="83" t="n"/>
      <c r="M484" s="83" t="n"/>
      <c r="O484" s="84" t="str">
        <f>IF($C484="","",IFERROR(MATCH($B484&amp;"|"&amp;$C484,MUROS!$AX$11:$AX$70,0),0))</f>
        <v/>
      </c>
      <c r="P484" s="84" t="str">
        <f>IF($D484="","",IF(ISNUMBER(MATCH($D484,CMB_S,0)),1,IF(ISNUMBER(MATCH($D484,CMB_G,0)),2,0)))</f>
        <v/>
      </c>
      <c r="Q484" s="84">
        <f>IF(ISNUMBER($H484),-$H484,0)</f>
        <v>0</v>
      </c>
      <c r="R484" s="84">
        <f>IF(ISNUMBER($I484),ABS($I484),0)</f>
        <v>0</v>
      </c>
      <c r="S484" s="84">
        <f>IF(ISNUMBER($M484),ABS($M484),0)</f>
        <v>0</v>
      </c>
      <c r="T484" s="85" t="n">
        <v>476</v>
      </c>
    </row>
    <row r="485">
      <c r="B485" s="83" t="n"/>
      <c r="C485" s="83" t="n"/>
      <c r="D485" s="83" t="n"/>
      <c r="E485" s="83" t="n"/>
      <c r="F485" s="83" t="n"/>
      <c r="G485" s="83" t="n"/>
      <c r="H485" s="83" t="n"/>
      <c r="I485" s="83" t="n"/>
      <c r="J485" s="83" t="n"/>
      <c r="K485" s="83" t="n"/>
      <c r="L485" s="83" t="n"/>
      <c r="M485" s="83" t="n"/>
      <c r="O485" s="84" t="str">
        <f>IF($C485="","",IFERROR(MATCH($B485&amp;"|"&amp;$C485,MUROS!$AX$11:$AX$70,0),0))</f>
        <v/>
      </c>
      <c r="P485" s="84" t="str">
        <f>IF($D485="","",IF(ISNUMBER(MATCH($D485,CMB_S,0)),1,IF(ISNUMBER(MATCH($D485,CMB_G,0)),2,0)))</f>
        <v/>
      </c>
      <c r="Q485" s="84">
        <f>IF(ISNUMBER($H485),-$H485,0)</f>
        <v>0</v>
      </c>
      <c r="R485" s="84">
        <f>IF(ISNUMBER($I485),ABS($I485),0)</f>
        <v>0</v>
      </c>
      <c r="S485" s="84">
        <f>IF(ISNUMBER($M485),ABS($M485),0)</f>
        <v>0</v>
      </c>
      <c r="T485" s="85" t="n">
        <v>477</v>
      </c>
    </row>
    <row r="486">
      <c r="B486" s="83" t="n"/>
      <c r="C486" s="83" t="n"/>
      <c r="D486" s="83" t="n"/>
      <c r="E486" s="83" t="n"/>
      <c r="F486" s="83" t="n"/>
      <c r="G486" s="83" t="n"/>
      <c r="H486" s="83" t="n"/>
      <c r="I486" s="83" t="n"/>
      <c r="J486" s="83" t="n"/>
      <c r="K486" s="83" t="n"/>
      <c r="L486" s="83" t="n"/>
      <c r="M486" s="83" t="n"/>
      <c r="O486" s="84" t="str">
        <f>IF($C486="","",IFERROR(MATCH($B486&amp;"|"&amp;$C486,MUROS!$AX$11:$AX$70,0),0))</f>
        <v/>
      </c>
      <c r="P486" s="84" t="str">
        <f>IF($D486="","",IF(ISNUMBER(MATCH($D486,CMB_S,0)),1,IF(ISNUMBER(MATCH($D486,CMB_G,0)),2,0)))</f>
        <v/>
      </c>
      <c r="Q486" s="84">
        <f>IF(ISNUMBER($H486),-$H486,0)</f>
        <v>0</v>
      </c>
      <c r="R486" s="84">
        <f>IF(ISNUMBER($I486),ABS($I486),0)</f>
        <v>0</v>
      </c>
      <c r="S486" s="84">
        <f>IF(ISNUMBER($M486),ABS($M486),0)</f>
        <v>0</v>
      </c>
      <c r="T486" s="85" t="n">
        <v>478</v>
      </c>
    </row>
    <row r="487">
      <c r="B487" s="83" t="n"/>
      <c r="C487" s="83" t="n"/>
      <c r="D487" s="83" t="n"/>
      <c r="E487" s="83" t="n"/>
      <c r="F487" s="83" t="n"/>
      <c r="G487" s="83" t="n"/>
      <c r="H487" s="83" t="n"/>
      <c r="I487" s="83" t="n"/>
      <c r="J487" s="83" t="n"/>
      <c r="K487" s="83" t="n"/>
      <c r="L487" s="83" t="n"/>
      <c r="M487" s="83" t="n"/>
      <c r="O487" s="84" t="str">
        <f>IF($C487="","",IFERROR(MATCH($B487&amp;"|"&amp;$C487,MUROS!$AX$11:$AX$70,0),0))</f>
        <v/>
      </c>
      <c r="P487" s="84" t="str">
        <f>IF($D487="","",IF(ISNUMBER(MATCH($D487,CMB_S,0)),1,IF(ISNUMBER(MATCH($D487,CMB_G,0)),2,0)))</f>
        <v/>
      </c>
      <c r="Q487" s="84">
        <f>IF(ISNUMBER($H487),-$H487,0)</f>
        <v>0</v>
      </c>
      <c r="R487" s="84">
        <f>IF(ISNUMBER($I487),ABS($I487),0)</f>
        <v>0</v>
      </c>
      <c r="S487" s="84">
        <f>IF(ISNUMBER($M487),ABS($M487),0)</f>
        <v>0</v>
      </c>
      <c r="T487" s="85" t="n">
        <v>479</v>
      </c>
    </row>
    <row r="488">
      <c r="B488" s="83" t="n"/>
      <c r="C488" s="83" t="n"/>
      <c r="D488" s="83" t="n"/>
      <c r="E488" s="83" t="n"/>
      <c r="F488" s="83" t="n"/>
      <c r="G488" s="83" t="n"/>
      <c r="H488" s="83" t="n"/>
      <c r="I488" s="83" t="n"/>
      <c r="J488" s="83" t="n"/>
      <c r="K488" s="83" t="n"/>
      <c r="L488" s="83" t="n"/>
      <c r="M488" s="83" t="n"/>
      <c r="O488" s="84" t="str">
        <f>IF($C488="","",IFERROR(MATCH($B488&amp;"|"&amp;$C488,MUROS!$AX$11:$AX$70,0),0))</f>
        <v/>
      </c>
      <c r="P488" s="84" t="str">
        <f>IF($D488="","",IF(ISNUMBER(MATCH($D488,CMB_S,0)),1,IF(ISNUMBER(MATCH($D488,CMB_G,0)),2,0)))</f>
        <v/>
      </c>
      <c r="Q488" s="84">
        <f>IF(ISNUMBER($H488),-$H488,0)</f>
        <v>0</v>
      </c>
      <c r="R488" s="84">
        <f>IF(ISNUMBER($I488),ABS($I488),0)</f>
        <v>0</v>
      </c>
      <c r="S488" s="84">
        <f>IF(ISNUMBER($M488),ABS($M488),0)</f>
        <v>0</v>
      </c>
      <c r="T488" s="85" t="n">
        <v>480</v>
      </c>
    </row>
    <row r="489">
      <c r="B489" s="83" t="n"/>
      <c r="C489" s="83" t="n"/>
      <c r="D489" s="83" t="n"/>
      <c r="E489" s="83" t="n"/>
      <c r="F489" s="83" t="n"/>
      <c r="G489" s="83" t="n"/>
      <c r="H489" s="83" t="n"/>
      <c r="I489" s="83" t="n"/>
      <c r="J489" s="83" t="n"/>
      <c r="K489" s="83" t="n"/>
      <c r="L489" s="83" t="n"/>
      <c r="M489" s="83" t="n"/>
      <c r="O489" s="84" t="str">
        <f>IF($C489="","",IFERROR(MATCH($B489&amp;"|"&amp;$C489,MUROS!$AX$11:$AX$70,0),0))</f>
        <v/>
      </c>
      <c r="P489" s="84" t="str">
        <f>IF($D489="","",IF(ISNUMBER(MATCH($D489,CMB_S,0)),1,IF(ISNUMBER(MATCH($D489,CMB_G,0)),2,0)))</f>
        <v/>
      </c>
      <c r="Q489" s="84">
        <f>IF(ISNUMBER($H489),-$H489,0)</f>
        <v>0</v>
      </c>
      <c r="R489" s="84">
        <f>IF(ISNUMBER($I489),ABS($I489),0)</f>
        <v>0</v>
      </c>
      <c r="S489" s="84">
        <f>IF(ISNUMBER($M489),ABS($M489),0)</f>
        <v>0</v>
      </c>
      <c r="T489" s="85" t="n">
        <v>481</v>
      </c>
    </row>
    <row r="490">
      <c r="B490" s="83" t="n"/>
      <c r="C490" s="83" t="n"/>
      <c r="D490" s="83" t="n"/>
      <c r="E490" s="83" t="n"/>
      <c r="F490" s="83" t="n"/>
      <c r="G490" s="83" t="n"/>
      <c r="H490" s="83" t="n"/>
      <c r="I490" s="83" t="n"/>
      <c r="J490" s="83" t="n"/>
      <c r="K490" s="83" t="n"/>
      <c r="L490" s="83" t="n"/>
      <c r="M490" s="83" t="n"/>
      <c r="O490" s="84" t="str">
        <f>IF($C490="","",IFERROR(MATCH($B490&amp;"|"&amp;$C490,MUROS!$AX$11:$AX$70,0),0))</f>
        <v/>
      </c>
      <c r="P490" s="84" t="str">
        <f>IF($D490="","",IF(ISNUMBER(MATCH($D490,CMB_S,0)),1,IF(ISNUMBER(MATCH($D490,CMB_G,0)),2,0)))</f>
        <v/>
      </c>
      <c r="Q490" s="84">
        <f>IF(ISNUMBER($H490),-$H490,0)</f>
        <v>0</v>
      </c>
      <c r="R490" s="84">
        <f>IF(ISNUMBER($I490),ABS($I490),0)</f>
        <v>0</v>
      </c>
      <c r="S490" s="84">
        <f>IF(ISNUMBER($M490),ABS($M490),0)</f>
        <v>0</v>
      </c>
      <c r="T490" s="85" t="n">
        <v>482</v>
      </c>
    </row>
    <row r="491">
      <c r="B491" s="83" t="n"/>
      <c r="C491" s="83" t="n"/>
      <c r="D491" s="83" t="n"/>
      <c r="E491" s="83" t="n"/>
      <c r="F491" s="83" t="n"/>
      <c r="G491" s="83" t="n"/>
      <c r="H491" s="83" t="n"/>
      <c r="I491" s="83" t="n"/>
      <c r="J491" s="83" t="n"/>
      <c r="K491" s="83" t="n"/>
      <c r="L491" s="83" t="n"/>
      <c r="M491" s="83" t="n"/>
      <c r="O491" s="84" t="str">
        <f>IF($C491="","",IFERROR(MATCH($B491&amp;"|"&amp;$C491,MUROS!$AX$11:$AX$70,0),0))</f>
        <v/>
      </c>
      <c r="P491" s="84" t="str">
        <f>IF($D491="","",IF(ISNUMBER(MATCH($D491,CMB_S,0)),1,IF(ISNUMBER(MATCH($D491,CMB_G,0)),2,0)))</f>
        <v/>
      </c>
      <c r="Q491" s="84">
        <f>IF(ISNUMBER($H491),-$H491,0)</f>
        <v>0</v>
      </c>
      <c r="R491" s="84">
        <f>IF(ISNUMBER($I491),ABS($I491),0)</f>
        <v>0</v>
      </c>
      <c r="S491" s="84">
        <f>IF(ISNUMBER($M491),ABS($M491),0)</f>
        <v>0</v>
      </c>
      <c r="T491" s="85" t="n">
        <v>483</v>
      </c>
    </row>
    <row r="492">
      <c r="B492" s="83" t="n"/>
      <c r="C492" s="83" t="n"/>
      <c r="D492" s="83" t="n"/>
      <c r="E492" s="83" t="n"/>
      <c r="F492" s="83" t="n"/>
      <c r="G492" s="83" t="n"/>
      <c r="H492" s="83" t="n"/>
      <c r="I492" s="83" t="n"/>
      <c r="J492" s="83" t="n"/>
      <c r="K492" s="83" t="n"/>
      <c r="L492" s="83" t="n"/>
      <c r="M492" s="83" t="n"/>
      <c r="O492" s="84" t="str">
        <f>IF($C492="","",IFERROR(MATCH($B492&amp;"|"&amp;$C492,MUROS!$AX$11:$AX$70,0),0))</f>
        <v/>
      </c>
      <c r="P492" s="84" t="str">
        <f>IF($D492="","",IF(ISNUMBER(MATCH($D492,CMB_S,0)),1,IF(ISNUMBER(MATCH($D492,CMB_G,0)),2,0)))</f>
        <v/>
      </c>
      <c r="Q492" s="84">
        <f>IF(ISNUMBER($H492),-$H492,0)</f>
        <v>0</v>
      </c>
      <c r="R492" s="84">
        <f>IF(ISNUMBER($I492),ABS($I492),0)</f>
        <v>0</v>
      </c>
      <c r="S492" s="84">
        <f>IF(ISNUMBER($M492),ABS($M492),0)</f>
        <v>0</v>
      </c>
      <c r="T492" s="85" t="n">
        <v>484</v>
      </c>
    </row>
    <row r="493">
      <c r="B493" s="83" t="n"/>
      <c r="C493" s="83" t="n"/>
      <c r="D493" s="83" t="n"/>
      <c r="E493" s="83" t="n"/>
      <c r="F493" s="83" t="n"/>
      <c r="G493" s="83" t="n"/>
      <c r="H493" s="83" t="n"/>
      <c r="I493" s="83" t="n"/>
      <c r="J493" s="83" t="n"/>
      <c r="K493" s="83" t="n"/>
      <c r="L493" s="83" t="n"/>
      <c r="M493" s="83" t="n"/>
      <c r="O493" s="84" t="str">
        <f>IF($C493="","",IFERROR(MATCH($B493&amp;"|"&amp;$C493,MUROS!$AX$11:$AX$70,0),0))</f>
        <v/>
      </c>
      <c r="P493" s="84" t="str">
        <f>IF($D493="","",IF(ISNUMBER(MATCH($D493,CMB_S,0)),1,IF(ISNUMBER(MATCH($D493,CMB_G,0)),2,0)))</f>
        <v/>
      </c>
      <c r="Q493" s="84">
        <f>IF(ISNUMBER($H493),-$H493,0)</f>
        <v>0</v>
      </c>
      <c r="R493" s="84">
        <f>IF(ISNUMBER($I493),ABS($I493),0)</f>
        <v>0</v>
      </c>
      <c r="S493" s="84">
        <f>IF(ISNUMBER($M493),ABS($M493),0)</f>
        <v>0</v>
      </c>
      <c r="T493" s="85" t="n">
        <v>485</v>
      </c>
    </row>
    <row r="494"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83" t="n"/>
      <c r="K494" s="83" t="n"/>
      <c r="L494" s="83" t="n"/>
      <c r="M494" s="83" t="n"/>
      <c r="O494" s="84" t="str">
        <f>IF($C494="","",IFERROR(MATCH($B494&amp;"|"&amp;$C494,MUROS!$AX$11:$AX$70,0),0))</f>
        <v/>
      </c>
      <c r="P494" s="84" t="str">
        <f>IF($D494="","",IF(ISNUMBER(MATCH($D494,CMB_S,0)),1,IF(ISNUMBER(MATCH($D494,CMB_G,0)),2,0)))</f>
        <v/>
      </c>
      <c r="Q494" s="84">
        <f>IF(ISNUMBER($H494),-$H494,0)</f>
        <v>0</v>
      </c>
      <c r="R494" s="84">
        <f>IF(ISNUMBER($I494),ABS($I494),0)</f>
        <v>0</v>
      </c>
      <c r="S494" s="84">
        <f>IF(ISNUMBER($M494),ABS($M494),0)</f>
        <v>0</v>
      </c>
      <c r="T494" s="85" t="n">
        <v>486</v>
      </c>
    </row>
    <row r="495">
      <c r="B495" s="83" t="n"/>
      <c r="C495" s="83" t="n"/>
      <c r="D495" s="83" t="n"/>
      <c r="E495" s="83" t="n"/>
      <c r="F495" s="83" t="n"/>
      <c r="G495" s="83" t="n"/>
      <c r="H495" s="83" t="n"/>
      <c r="I495" s="83" t="n"/>
      <c r="J495" s="83" t="n"/>
      <c r="K495" s="83" t="n"/>
      <c r="L495" s="83" t="n"/>
      <c r="M495" s="83" t="n"/>
      <c r="O495" s="84" t="str">
        <f>IF($C495="","",IFERROR(MATCH($B495&amp;"|"&amp;$C495,MUROS!$AX$11:$AX$70,0),0))</f>
        <v/>
      </c>
      <c r="P495" s="84" t="str">
        <f>IF($D495="","",IF(ISNUMBER(MATCH($D495,CMB_S,0)),1,IF(ISNUMBER(MATCH($D495,CMB_G,0)),2,0)))</f>
        <v/>
      </c>
      <c r="Q495" s="84">
        <f>IF(ISNUMBER($H495),-$H495,0)</f>
        <v>0</v>
      </c>
      <c r="R495" s="84">
        <f>IF(ISNUMBER($I495),ABS($I495),0)</f>
        <v>0</v>
      </c>
      <c r="S495" s="84">
        <f>IF(ISNUMBER($M495),ABS($M495),0)</f>
        <v>0</v>
      </c>
      <c r="T495" s="85" t="n">
        <v>487</v>
      </c>
    </row>
    <row r="496">
      <c r="B496" s="83" t="n"/>
      <c r="C496" s="83" t="n"/>
      <c r="D496" s="83" t="n"/>
      <c r="E496" s="83" t="n"/>
      <c r="F496" s="83" t="n"/>
      <c r="G496" s="83" t="n"/>
      <c r="H496" s="83" t="n"/>
      <c r="I496" s="83" t="n"/>
      <c r="J496" s="83" t="n"/>
      <c r="K496" s="83" t="n"/>
      <c r="L496" s="83" t="n"/>
      <c r="M496" s="83" t="n"/>
      <c r="O496" s="84" t="str">
        <f>IF($C496="","",IFERROR(MATCH($B496&amp;"|"&amp;$C496,MUROS!$AX$11:$AX$70,0),0))</f>
        <v/>
      </c>
      <c r="P496" s="84" t="str">
        <f>IF($D496="","",IF(ISNUMBER(MATCH($D496,CMB_S,0)),1,IF(ISNUMBER(MATCH($D496,CMB_G,0)),2,0)))</f>
        <v/>
      </c>
      <c r="Q496" s="84">
        <f>IF(ISNUMBER($H496),-$H496,0)</f>
        <v>0</v>
      </c>
      <c r="R496" s="84">
        <f>IF(ISNUMBER($I496),ABS($I496),0)</f>
        <v>0</v>
      </c>
      <c r="S496" s="84">
        <f>IF(ISNUMBER($M496),ABS($M496),0)</f>
        <v>0</v>
      </c>
      <c r="T496" s="85" t="n">
        <v>488</v>
      </c>
    </row>
    <row r="497">
      <c r="B497" s="83" t="n"/>
      <c r="C497" s="83" t="n"/>
      <c r="D497" s="83" t="n"/>
      <c r="E497" s="83" t="n"/>
      <c r="F497" s="83" t="n"/>
      <c r="G497" s="83" t="n"/>
      <c r="H497" s="83" t="n"/>
      <c r="I497" s="83" t="n"/>
      <c r="J497" s="83" t="n"/>
      <c r="K497" s="83" t="n"/>
      <c r="L497" s="83" t="n"/>
      <c r="M497" s="83" t="n"/>
      <c r="O497" s="84" t="str">
        <f>IF($C497="","",IFERROR(MATCH($B497&amp;"|"&amp;$C497,MUROS!$AX$11:$AX$70,0),0))</f>
        <v/>
      </c>
      <c r="P497" s="84" t="str">
        <f>IF($D497="","",IF(ISNUMBER(MATCH($D497,CMB_S,0)),1,IF(ISNUMBER(MATCH($D497,CMB_G,0)),2,0)))</f>
        <v/>
      </c>
      <c r="Q497" s="84">
        <f>IF(ISNUMBER($H497),-$H497,0)</f>
        <v>0</v>
      </c>
      <c r="R497" s="84">
        <f>IF(ISNUMBER($I497),ABS($I497),0)</f>
        <v>0</v>
      </c>
      <c r="S497" s="84">
        <f>IF(ISNUMBER($M497),ABS($M497),0)</f>
        <v>0</v>
      </c>
      <c r="T497" s="85" t="n">
        <v>489</v>
      </c>
    </row>
    <row r="498">
      <c r="B498" s="83" t="n"/>
      <c r="C498" s="83" t="n"/>
      <c r="D498" s="83" t="n"/>
      <c r="E498" s="83" t="n"/>
      <c r="F498" s="83" t="n"/>
      <c r="G498" s="83" t="n"/>
      <c r="H498" s="83" t="n"/>
      <c r="I498" s="83" t="n"/>
      <c r="J498" s="83" t="n"/>
      <c r="K498" s="83" t="n"/>
      <c r="L498" s="83" t="n"/>
      <c r="M498" s="83" t="n"/>
      <c r="O498" s="84" t="str">
        <f>IF($C498="","",IFERROR(MATCH($B498&amp;"|"&amp;$C498,MUROS!$AX$11:$AX$70,0),0))</f>
        <v/>
      </c>
      <c r="P498" s="84" t="str">
        <f>IF($D498="","",IF(ISNUMBER(MATCH($D498,CMB_S,0)),1,IF(ISNUMBER(MATCH($D498,CMB_G,0)),2,0)))</f>
        <v/>
      </c>
      <c r="Q498" s="84">
        <f>IF(ISNUMBER($H498),-$H498,0)</f>
        <v>0</v>
      </c>
      <c r="R498" s="84">
        <f>IF(ISNUMBER($I498),ABS($I498),0)</f>
        <v>0</v>
      </c>
      <c r="S498" s="84">
        <f>IF(ISNUMBER($M498),ABS($M498),0)</f>
        <v>0</v>
      </c>
      <c r="T498" s="85" t="n">
        <v>490</v>
      </c>
    </row>
    <row r="499">
      <c r="B499" s="83" t="n"/>
      <c r="C499" s="83" t="n"/>
      <c r="D499" s="83" t="n"/>
      <c r="E499" s="83" t="n"/>
      <c r="F499" s="83" t="n"/>
      <c r="G499" s="83" t="n"/>
      <c r="H499" s="83" t="n"/>
      <c r="I499" s="83" t="n"/>
      <c r="J499" s="83" t="n"/>
      <c r="K499" s="83" t="n"/>
      <c r="L499" s="83" t="n"/>
      <c r="M499" s="83" t="n"/>
      <c r="O499" s="84" t="str">
        <f>IF($C499="","",IFERROR(MATCH($B499&amp;"|"&amp;$C499,MUROS!$AX$11:$AX$70,0),0))</f>
        <v/>
      </c>
      <c r="P499" s="84" t="str">
        <f>IF($D499="","",IF(ISNUMBER(MATCH($D499,CMB_S,0)),1,IF(ISNUMBER(MATCH($D499,CMB_G,0)),2,0)))</f>
        <v/>
      </c>
      <c r="Q499" s="84">
        <f>IF(ISNUMBER($H499),-$H499,0)</f>
        <v>0</v>
      </c>
      <c r="R499" s="84">
        <f>IF(ISNUMBER($I499),ABS($I499),0)</f>
        <v>0</v>
      </c>
      <c r="S499" s="84">
        <f>IF(ISNUMBER($M499),ABS($M499),0)</f>
        <v>0</v>
      </c>
      <c r="T499" s="85" t="n">
        <v>491</v>
      </c>
    </row>
    <row r="500">
      <c r="B500" s="83" t="n"/>
      <c r="C500" s="83" t="n"/>
      <c r="D500" s="83" t="n"/>
      <c r="E500" s="83" t="n"/>
      <c r="F500" s="83" t="n"/>
      <c r="G500" s="83" t="n"/>
      <c r="H500" s="83" t="n"/>
      <c r="I500" s="83" t="n"/>
      <c r="J500" s="83" t="n"/>
      <c r="K500" s="83" t="n"/>
      <c r="L500" s="83" t="n"/>
      <c r="M500" s="83" t="n"/>
      <c r="O500" s="84" t="str">
        <f>IF($C500="","",IFERROR(MATCH($B500&amp;"|"&amp;$C500,MUROS!$AX$11:$AX$70,0),0))</f>
        <v/>
      </c>
      <c r="P500" s="84" t="str">
        <f>IF($D500="","",IF(ISNUMBER(MATCH($D500,CMB_S,0)),1,IF(ISNUMBER(MATCH($D500,CMB_G,0)),2,0)))</f>
        <v/>
      </c>
      <c r="Q500" s="84">
        <f>IF(ISNUMBER($H500),-$H500,0)</f>
        <v>0</v>
      </c>
      <c r="R500" s="84">
        <f>IF(ISNUMBER($I500),ABS($I500),0)</f>
        <v>0</v>
      </c>
      <c r="S500" s="84">
        <f>IF(ISNUMBER($M500),ABS($M500),0)</f>
        <v>0</v>
      </c>
      <c r="T500" s="85" t="n">
        <v>492</v>
      </c>
    </row>
    <row r="501">
      <c r="B501" s="83" t="n"/>
      <c r="C501" s="83" t="n"/>
      <c r="D501" s="83" t="n"/>
      <c r="E501" s="83" t="n"/>
      <c r="F501" s="83" t="n"/>
      <c r="G501" s="83" t="n"/>
      <c r="H501" s="83" t="n"/>
      <c r="I501" s="83" t="n"/>
      <c r="J501" s="83" t="n"/>
      <c r="K501" s="83" t="n"/>
      <c r="L501" s="83" t="n"/>
      <c r="M501" s="83" t="n"/>
      <c r="O501" s="84" t="str">
        <f>IF($C501="","",IFERROR(MATCH($B501&amp;"|"&amp;$C501,MUROS!$AX$11:$AX$70,0),0))</f>
        <v/>
      </c>
      <c r="P501" s="84" t="str">
        <f>IF($D501="","",IF(ISNUMBER(MATCH($D501,CMB_S,0)),1,IF(ISNUMBER(MATCH($D501,CMB_G,0)),2,0)))</f>
        <v/>
      </c>
      <c r="Q501" s="84">
        <f>IF(ISNUMBER($H501),-$H501,0)</f>
        <v>0</v>
      </c>
      <c r="R501" s="84">
        <f>IF(ISNUMBER($I501),ABS($I501),0)</f>
        <v>0</v>
      </c>
      <c r="S501" s="84">
        <f>IF(ISNUMBER($M501),ABS($M501),0)</f>
        <v>0</v>
      </c>
      <c r="T501" s="85" t="n">
        <v>493</v>
      </c>
    </row>
    <row r="502">
      <c r="B502" s="83" t="n"/>
      <c r="C502" s="83" t="n"/>
      <c r="D502" s="83" t="n"/>
      <c r="E502" s="83" t="n"/>
      <c r="F502" s="83" t="n"/>
      <c r="G502" s="83" t="n"/>
      <c r="H502" s="83" t="n"/>
      <c r="I502" s="83" t="n"/>
      <c r="J502" s="83" t="n"/>
      <c r="K502" s="83" t="n"/>
      <c r="L502" s="83" t="n"/>
      <c r="M502" s="83" t="n"/>
      <c r="O502" s="84" t="str">
        <f>IF($C502="","",IFERROR(MATCH($B502&amp;"|"&amp;$C502,MUROS!$AX$11:$AX$70,0),0))</f>
        <v/>
      </c>
      <c r="P502" s="84" t="str">
        <f>IF($D502="","",IF(ISNUMBER(MATCH($D502,CMB_S,0)),1,IF(ISNUMBER(MATCH($D502,CMB_G,0)),2,0)))</f>
        <v/>
      </c>
      <c r="Q502" s="84">
        <f>IF(ISNUMBER($H502),-$H502,0)</f>
        <v>0</v>
      </c>
      <c r="R502" s="84">
        <f>IF(ISNUMBER($I502),ABS($I502),0)</f>
        <v>0</v>
      </c>
      <c r="S502" s="84">
        <f>IF(ISNUMBER($M502),ABS($M502),0)</f>
        <v>0</v>
      </c>
      <c r="T502" s="85" t="n">
        <v>494</v>
      </c>
    </row>
    <row r="503"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83" t="n"/>
      <c r="K503" s="83" t="n"/>
      <c r="L503" s="83" t="n"/>
      <c r="M503" s="83" t="n"/>
      <c r="O503" s="84" t="str">
        <f>IF($C503="","",IFERROR(MATCH($B503&amp;"|"&amp;$C503,MUROS!$AX$11:$AX$70,0),0))</f>
        <v/>
      </c>
      <c r="P503" s="84" t="str">
        <f>IF($D503="","",IF(ISNUMBER(MATCH($D503,CMB_S,0)),1,IF(ISNUMBER(MATCH($D503,CMB_G,0)),2,0)))</f>
        <v/>
      </c>
      <c r="Q503" s="84">
        <f>IF(ISNUMBER($H503),-$H503,0)</f>
        <v>0</v>
      </c>
      <c r="R503" s="84">
        <f>IF(ISNUMBER($I503),ABS($I503),0)</f>
        <v>0</v>
      </c>
      <c r="S503" s="84">
        <f>IF(ISNUMBER($M503),ABS($M503),0)</f>
        <v>0</v>
      </c>
      <c r="T503" s="85" t="n">
        <v>495</v>
      </c>
    </row>
    <row r="504">
      <c r="B504" s="83" t="n"/>
      <c r="C504" s="83" t="n"/>
      <c r="D504" s="83" t="n"/>
      <c r="E504" s="83" t="n"/>
      <c r="F504" s="83" t="n"/>
      <c r="G504" s="83" t="n"/>
      <c r="H504" s="83" t="n"/>
      <c r="I504" s="83" t="n"/>
      <c r="J504" s="83" t="n"/>
      <c r="K504" s="83" t="n"/>
      <c r="L504" s="83" t="n"/>
      <c r="M504" s="83" t="n"/>
      <c r="O504" s="84" t="str">
        <f>IF($C504="","",IFERROR(MATCH($B504&amp;"|"&amp;$C504,MUROS!$AX$11:$AX$70,0),0))</f>
        <v/>
      </c>
      <c r="P504" s="84" t="str">
        <f>IF($D504="","",IF(ISNUMBER(MATCH($D504,CMB_S,0)),1,IF(ISNUMBER(MATCH($D504,CMB_G,0)),2,0)))</f>
        <v/>
      </c>
      <c r="Q504" s="84">
        <f>IF(ISNUMBER($H504),-$H504,0)</f>
        <v>0</v>
      </c>
      <c r="R504" s="84">
        <f>IF(ISNUMBER($I504),ABS($I504),0)</f>
        <v>0</v>
      </c>
      <c r="S504" s="84">
        <f>IF(ISNUMBER($M504),ABS($M504),0)</f>
        <v>0</v>
      </c>
      <c r="T504" s="85" t="n">
        <v>496</v>
      </c>
    </row>
    <row r="505">
      <c r="B505" s="83" t="n"/>
      <c r="C505" s="83" t="n"/>
      <c r="D505" s="83" t="n"/>
      <c r="E505" s="83" t="n"/>
      <c r="F505" s="83" t="n"/>
      <c r="G505" s="83" t="n"/>
      <c r="H505" s="83" t="n"/>
      <c r="I505" s="83" t="n"/>
      <c r="J505" s="83" t="n"/>
      <c r="K505" s="83" t="n"/>
      <c r="L505" s="83" t="n"/>
      <c r="M505" s="83" t="n"/>
      <c r="O505" s="84" t="str">
        <f>IF($C505="","",IFERROR(MATCH($B505&amp;"|"&amp;$C505,MUROS!$AX$11:$AX$70,0),0))</f>
        <v/>
      </c>
      <c r="P505" s="84" t="str">
        <f>IF($D505="","",IF(ISNUMBER(MATCH($D505,CMB_S,0)),1,IF(ISNUMBER(MATCH($D505,CMB_G,0)),2,0)))</f>
        <v/>
      </c>
      <c r="Q505" s="84">
        <f>IF(ISNUMBER($H505),-$H505,0)</f>
        <v>0</v>
      </c>
      <c r="R505" s="84">
        <f>IF(ISNUMBER($I505),ABS($I505),0)</f>
        <v>0</v>
      </c>
      <c r="S505" s="84">
        <f>IF(ISNUMBER($M505),ABS($M505),0)</f>
        <v>0</v>
      </c>
      <c r="T505" s="85" t="n">
        <v>497</v>
      </c>
    </row>
    <row r="506">
      <c r="B506" s="83" t="n"/>
      <c r="C506" s="83" t="n"/>
      <c r="D506" s="83" t="n"/>
      <c r="E506" s="83" t="n"/>
      <c r="F506" s="83" t="n"/>
      <c r="G506" s="83" t="n"/>
      <c r="H506" s="83" t="n"/>
      <c r="I506" s="83" t="n"/>
      <c r="J506" s="83" t="n"/>
      <c r="K506" s="83" t="n"/>
      <c r="L506" s="83" t="n"/>
      <c r="M506" s="83" t="n"/>
      <c r="O506" s="84" t="str">
        <f>IF($C506="","",IFERROR(MATCH($B506&amp;"|"&amp;$C506,MUROS!$AX$11:$AX$70,0),0))</f>
        <v/>
      </c>
      <c r="P506" s="84" t="str">
        <f>IF($D506="","",IF(ISNUMBER(MATCH($D506,CMB_S,0)),1,IF(ISNUMBER(MATCH($D506,CMB_G,0)),2,0)))</f>
        <v/>
      </c>
      <c r="Q506" s="84">
        <f>IF(ISNUMBER($H506),-$H506,0)</f>
        <v>0</v>
      </c>
      <c r="R506" s="84">
        <f>IF(ISNUMBER($I506),ABS($I506),0)</f>
        <v>0</v>
      </c>
      <c r="S506" s="84">
        <f>IF(ISNUMBER($M506),ABS($M506),0)</f>
        <v>0</v>
      </c>
      <c r="T506" s="85" t="n">
        <v>498</v>
      </c>
    </row>
    <row r="507">
      <c r="B507" s="83" t="n"/>
      <c r="C507" s="83" t="n"/>
      <c r="D507" s="83" t="n"/>
      <c r="E507" s="83" t="n"/>
      <c r="F507" s="83" t="n"/>
      <c r="G507" s="83" t="n"/>
      <c r="H507" s="83" t="n"/>
      <c r="I507" s="83" t="n"/>
      <c r="J507" s="83" t="n"/>
      <c r="K507" s="83" t="n"/>
      <c r="L507" s="83" t="n"/>
      <c r="M507" s="83" t="n"/>
      <c r="O507" s="84" t="str">
        <f>IF($C507="","",IFERROR(MATCH($B507&amp;"|"&amp;$C507,MUROS!$AX$11:$AX$70,0),0))</f>
        <v/>
      </c>
      <c r="P507" s="84" t="str">
        <f>IF($D507="","",IF(ISNUMBER(MATCH($D507,CMB_S,0)),1,IF(ISNUMBER(MATCH($D507,CMB_G,0)),2,0)))</f>
        <v/>
      </c>
      <c r="Q507" s="84">
        <f>IF(ISNUMBER($H507),-$H507,0)</f>
        <v>0</v>
      </c>
      <c r="R507" s="84">
        <f>IF(ISNUMBER($I507),ABS($I507),0)</f>
        <v>0</v>
      </c>
      <c r="S507" s="84">
        <f>IF(ISNUMBER($M507),ABS($M507),0)</f>
        <v>0</v>
      </c>
      <c r="T507" s="85" t="n">
        <v>499</v>
      </c>
    </row>
    <row r="508">
      <c r="B508" s="83" t="n"/>
      <c r="C508" s="83" t="n"/>
      <c r="D508" s="83" t="n"/>
      <c r="E508" s="83" t="n"/>
      <c r="F508" s="83" t="n"/>
      <c r="G508" s="83" t="n"/>
      <c r="H508" s="83" t="n"/>
      <c r="I508" s="83" t="n"/>
      <c r="J508" s="83" t="n"/>
      <c r="K508" s="83" t="n"/>
      <c r="L508" s="83" t="n"/>
      <c r="M508" s="83" t="n"/>
      <c r="O508" s="84" t="str">
        <f>IF($C508="","",IFERROR(MATCH($B508&amp;"|"&amp;$C508,MUROS!$AX$11:$AX$70,0),0))</f>
        <v/>
      </c>
      <c r="P508" s="84" t="str">
        <f>IF($D508="","",IF(ISNUMBER(MATCH($D508,CMB_S,0)),1,IF(ISNUMBER(MATCH($D508,CMB_G,0)),2,0)))</f>
        <v/>
      </c>
      <c r="Q508" s="84">
        <f>IF(ISNUMBER($H508),-$H508,0)</f>
        <v>0</v>
      </c>
      <c r="R508" s="84">
        <f>IF(ISNUMBER($I508),ABS($I508),0)</f>
        <v>0</v>
      </c>
      <c r="S508" s="84">
        <f>IF(ISNUMBER($M508),ABS($M508),0)</f>
        <v>0</v>
      </c>
      <c r="T508" s="85" t="n">
        <v>500</v>
      </c>
    </row>
    <row r="509">
      <c r="B509" s="83" t="n"/>
      <c r="C509" s="83" t="n"/>
      <c r="D509" s="83" t="n"/>
      <c r="E509" s="83" t="n"/>
      <c r="F509" s="83" t="n"/>
      <c r="G509" s="83" t="n"/>
      <c r="H509" s="83" t="n"/>
      <c r="I509" s="83" t="n"/>
      <c r="J509" s="83" t="n"/>
      <c r="K509" s="83" t="n"/>
      <c r="L509" s="83" t="n"/>
      <c r="M509" s="83" t="n"/>
      <c r="O509" s="84" t="str">
        <f>IF($C509="","",IFERROR(MATCH($B509&amp;"|"&amp;$C509,MUROS!$AX$11:$AX$70,0),0))</f>
        <v/>
      </c>
      <c r="P509" s="84" t="str">
        <f>IF($D509="","",IF(ISNUMBER(MATCH($D509,CMB_S,0)),1,IF(ISNUMBER(MATCH($D509,CMB_G,0)),2,0)))</f>
        <v/>
      </c>
      <c r="Q509" s="84">
        <f>IF(ISNUMBER($H509),-$H509,0)</f>
        <v>0</v>
      </c>
      <c r="R509" s="84">
        <f>IF(ISNUMBER($I509),ABS($I509),0)</f>
        <v>0</v>
      </c>
      <c r="S509" s="84">
        <f>IF(ISNUMBER($M509),ABS($M509),0)</f>
        <v>0</v>
      </c>
      <c r="T509" s="85" t="n">
        <v>501</v>
      </c>
    </row>
    <row r="510">
      <c r="B510" s="83" t="n"/>
      <c r="C510" s="83" t="n"/>
      <c r="D510" s="83" t="n"/>
      <c r="E510" s="83" t="n"/>
      <c r="F510" s="83" t="n"/>
      <c r="G510" s="83" t="n"/>
      <c r="H510" s="83" t="n"/>
      <c r="I510" s="83" t="n"/>
      <c r="J510" s="83" t="n"/>
      <c r="K510" s="83" t="n"/>
      <c r="L510" s="83" t="n"/>
      <c r="M510" s="83" t="n"/>
      <c r="O510" s="84" t="str">
        <f>IF($C510="","",IFERROR(MATCH($B510&amp;"|"&amp;$C510,MUROS!$AX$11:$AX$70,0),0))</f>
        <v/>
      </c>
      <c r="P510" s="84" t="str">
        <f>IF($D510="","",IF(ISNUMBER(MATCH($D510,CMB_S,0)),1,IF(ISNUMBER(MATCH($D510,CMB_G,0)),2,0)))</f>
        <v/>
      </c>
      <c r="Q510" s="84">
        <f>IF(ISNUMBER($H510),-$H510,0)</f>
        <v>0</v>
      </c>
      <c r="R510" s="84">
        <f>IF(ISNUMBER($I510),ABS($I510),0)</f>
        <v>0</v>
      </c>
      <c r="S510" s="84">
        <f>IF(ISNUMBER($M510),ABS($M510),0)</f>
        <v>0</v>
      </c>
      <c r="T510" s="85" t="n">
        <v>502</v>
      </c>
    </row>
    <row r="511">
      <c r="B511" s="83" t="n"/>
      <c r="C511" s="83" t="n"/>
      <c r="D511" s="83" t="n"/>
      <c r="E511" s="83" t="n"/>
      <c r="F511" s="83" t="n"/>
      <c r="G511" s="83" t="n"/>
      <c r="H511" s="83" t="n"/>
      <c r="I511" s="83" t="n"/>
      <c r="J511" s="83" t="n"/>
      <c r="K511" s="83" t="n"/>
      <c r="L511" s="83" t="n"/>
      <c r="M511" s="83" t="n"/>
      <c r="O511" s="84" t="str">
        <f>IF($C511="","",IFERROR(MATCH($B511&amp;"|"&amp;$C511,MUROS!$AX$11:$AX$70,0),0))</f>
        <v/>
      </c>
      <c r="P511" s="84" t="str">
        <f>IF($D511="","",IF(ISNUMBER(MATCH($D511,CMB_S,0)),1,IF(ISNUMBER(MATCH($D511,CMB_G,0)),2,0)))</f>
        <v/>
      </c>
      <c r="Q511" s="84">
        <f>IF(ISNUMBER($H511),-$H511,0)</f>
        <v>0</v>
      </c>
      <c r="R511" s="84">
        <f>IF(ISNUMBER($I511),ABS($I511),0)</f>
        <v>0</v>
      </c>
      <c r="S511" s="84">
        <f>IF(ISNUMBER($M511),ABS($M511),0)</f>
        <v>0</v>
      </c>
      <c r="T511" s="85" t="n">
        <v>503</v>
      </c>
    </row>
    <row r="512">
      <c r="B512" s="83" t="n"/>
      <c r="C512" s="83" t="n"/>
      <c r="D512" s="83" t="n"/>
      <c r="E512" s="83" t="n"/>
      <c r="F512" s="83" t="n"/>
      <c r="G512" s="83" t="n"/>
      <c r="H512" s="83" t="n"/>
      <c r="I512" s="83" t="n"/>
      <c r="J512" s="83" t="n"/>
      <c r="K512" s="83" t="n"/>
      <c r="L512" s="83" t="n"/>
      <c r="M512" s="83" t="n"/>
      <c r="O512" s="84" t="str">
        <f>IF($C512="","",IFERROR(MATCH($B512&amp;"|"&amp;$C512,MUROS!$AX$11:$AX$70,0),0))</f>
        <v/>
      </c>
      <c r="P512" s="84" t="str">
        <f>IF($D512="","",IF(ISNUMBER(MATCH($D512,CMB_S,0)),1,IF(ISNUMBER(MATCH($D512,CMB_G,0)),2,0)))</f>
        <v/>
      </c>
      <c r="Q512" s="84">
        <f>IF(ISNUMBER($H512),-$H512,0)</f>
        <v>0</v>
      </c>
      <c r="R512" s="84">
        <f>IF(ISNUMBER($I512),ABS($I512),0)</f>
        <v>0</v>
      </c>
      <c r="S512" s="84">
        <f>IF(ISNUMBER($M512),ABS($M512),0)</f>
        <v>0</v>
      </c>
      <c r="T512" s="85" t="n">
        <v>504</v>
      </c>
    </row>
    <row r="513">
      <c r="B513" s="83" t="n"/>
      <c r="C513" s="83" t="n"/>
      <c r="D513" s="83" t="n"/>
      <c r="E513" s="83" t="n"/>
      <c r="F513" s="83" t="n"/>
      <c r="G513" s="83" t="n"/>
      <c r="H513" s="83" t="n"/>
      <c r="I513" s="83" t="n"/>
      <c r="J513" s="83" t="n"/>
      <c r="K513" s="83" t="n"/>
      <c r="L513" s="83" t="n"/>
      <c r="M513" s="83" t="n"/>
      <c r="O513" s="84" t="str">
        <f>IF($C513="","",IFERROR(MATCH($B513&amp;"|"&amp;$C513,MUROS!$AX$11:$AX$70,0),0))</f>
        <v/>
      </c>
      <c r="P513" s="84" t="str">
        <f>IF($D513="","",IF(ISNUMBER(MATCH($D513,CMB_S,0)),1,IF(ISNUMBER(MATCH($D513,CMB_G,0)),2,0)))</f>
        <v/>
      </c>
      <c r="Q513" s="84">
        <f>IF(ISNUMBER($H513),-$H513,0)</f>
        <v>0</v>
      </c>
      <c r="R513" s="84">
        <f>IF(ISNUMBER($I513),ABS($I513),0)</f>
        <v>0</v>
      </c>
      <c r="S513" s="84">
        <f>IF(ISNUMBER($M513),ABS($M513),0)</f>
        <v>0</v>
      </c>
      <c r="T513" s="85" t="n">
        <v>505</v>
      </c>
    </row>
    <row r="514">
      <c r="B514" s="83" t="n"/>
      <c r="C514" s="83" t="n"/>
      <c r="D514" s="83" t="n"/>
      <c r="E514" s="83" t="n"/>
      <c r="F514" s="83" t="n"/>
      <c r="G514" s="83" t="n"/>
      <c r="H514" s="83" t="n"/>
      <c r="I514" s="83" t="n"/>
      <c r="J514" s="83" t="n"/>
      <c r="K514" s="83" t="n"/>
      <c r="L514" s="83" t="n"/>
      <c r="M514" s="83" t="n"/>
      <c r="O514" s="84" t="str">
        <f>IF($C514="","",IFERROR(MATCH($B514&amp;"|"&amp;$C514,MUROS!$AX$11:$AX$70,0),0))</f>
        <v/>
      </c>
      <c r="P514" s="84" t="str">
        <f>IF($D514="","",IF(ISNUMBER(MATCH($D514,CMB_S,0)),1,IF(ISNUMBER(MATCH($D514,CMB_G,0)),2,0)))</f>
        <v/>
      </c>
      <c r="Q514" s="84">
        <f>IF(ISNUMBER($H514),-$H514,0)</f>
        <v>0</v>
      </c>
      <c r="R514" s="84">
        <f>IF(ISNUMBER($I514),ABS($I514),0)</f>
        <v>0</v>
      </c>
      <c r="S514" s="84">
        <f>IF(ISNUMBER($M514),ABS($M514),0)</f>
        <v>0</v>
      </c>
      <c r="T514" s="85" t="n">
        <v>506</v>
      </c>
    </row>
    <row r="515">
      <c r="B515" s="83" t="n"/>
      <c r="C515" s="83" t="n"/>
      <c r="D515" s="83" t="n"/>
      <c r="E515" s="83" t="n"/>
      <c r="F515" s="83" t="n"/>
      <c r="G515" s="83" t="n"/>
      <c r="H515" s="83" t="n"/>
      <c r="I515" s="83" t="n"/>
      <c r="J515" s="83" t="n"/>
      <c r="K515" s="83" t="n"/>
      <c r="L515" s="83" t="n"/>
      <c r="M515" s="83" t="n"/>
      <c r="O515" s="84" t="str">
        <f>IF($C515="","",IFERROR(MATCH($B515&amp;"|"&amp;$C515,MUROS!$AX$11:$AX$70,0),0))</f>
        <v/>
      </c>
      <c r="P515" s="84" t="str">
        <f>IF($D515="","",IF(ISNUMBER(MATCH($D515,CMB_S,0)),1,IF(ISNUMBER(MATCH($D515,CMB_G,0)),2,0)))</f>
        <v/>
      </c>
      <c r="Q515" s="84">
        <f>IF(ISNUMBER($H515),-$H515,0)</f>
        <v>0</v>
      </c>
      <c r="R515" s="84">
        <f>IF(ISNUMBER($I515),ABS($I515),0)</f>
        <v>0</v>
      </c>
      <c r="S515" s="84">
        <f>IF(ISNUMBER($M515),ABS($M515),0)</f>
        <v>0</v>
      </c>
      <c r="T515" s="85" t="n">
        <v>507</v>
      </c>
    </row>
    <row r="516">
      <c r="B516" s="83" t="n"/>
      <c r="C516" s="83" t="n"/>
      <c r="D516" s="83" t="n"/>
      <c r="E516" s="83" t="n"/>
      <c r="F516" s="83" t="n"/>
      <c r="G516" s="83" t="n"/>
      <c r="H516" s="83" t="n"/>
      <c r="I516" s="83" t="n"/>
      <c r="J516" s="83" t="n"/>
      <c r="K516" s="83" t="n"/>
      <c r="L516" s="83" t="n"/>
      <c r="M516" s="83" t="n"/>
      <c r="O516" s="84" t="str">
        <f>IF($C516="","",IFERROR(MATCH($B516&amp;"|"&amp;$C516,MUROS!$AX$11:$AX$70,0),0))</f>
        <v/>
      </c>
      <c r="P516" s="84" t="str">
        <f>IF($D516="","",IF(ISNUMBER(MATCH($D516,CMB_S,0)),1,IF(ISNUMBER(MATCH($D516,CMB_G,0)),2,0)))</f>
        <v/>
      </c>
      <c r="Q516" s="84">
        <f>IF(ISNUMBER($H516),-$H516,0)</f>
        <v>0</v>
      </c>
      <c r="R516" s="84">
        <f>IF(ISNUMBER($I516),ABS($I516),0)</f>
        <v>0</v>
      </c>
      <c r="S516" s="84">
        <f>IF(ISNUMBER($M516),ABS($M516),0)</f>
        <v>0</v>
      </c>
      <c r="T516" s="85" t="n">
        <v>508</v>
      </c>
    </row>
    <row r="517">
      <c r="B517" s="83" t="n"/>
      <c r="C517" s="83" t="n"/>
      <c r="D517" s="83" t="n"/>
      <c r="E517" s="83" t="n"/>
      <c r="F517" s="83" t="n"/>
      <c r="G517" s="83" t="n"/>
      <c r="H517" s="83" t="n"/>
      <c r="I517" s="83" t="n"/>
      <c r="J517" s="83" t="n"/>
      <c r="K517" s="83" t="n"/>
      <c r="L517" s="83" t="n"/>
      <c r="M517" s="83" t="n"/>
      <c r="O517" s="84" t="str">
        <f>IF($C517="","",IFERROR(MATCH($B517&amp;"|"&amp;$C517,MUROS!$AX$11:$AX$70,0),0))</f>
        <v/>
      </c>
      <c r="P517" s="84" t="str">
        <f>IF($D517="","",IF(ISNUMBER(MATCH($D517,CMB_S,0)),1,IF(ISNUMBER(MATCH($D517,CMB_G,0)),2,0)))</f>
        <v/>
      </c>
      <c r="Q517" s="84">
        <f>IF(ISNUMBER($H517),-$H517,0)</f>
        <v>0</v>
      </c>
      <c r="R517" s="84">
        <f>IF(ISNUMBER($I517),ABS($I517),0)</f>
        <v>0</v>
      </c>
      <c r="S517" s="84">
        <f>IF(ISNUMBER($M517),ABS($M517),0)</f>
        <v>0</v>
      </c>
      <c r="T517" s="85" t="n">
        <v>509</v>
      </c>
    </row>
    <row r="518">
      <c r="B518" s="83" t="n"/>
      <c r="C518" s="83" t="n"/>
      <c r="D518" s="83" t="n"/>
      <c r="E518" s="83" t="n"/>
      <c r="F518" s="83" t="n"/>
      <c r="G518" s="83" t="n"/>
      <c r="H518" s="83" t="n"/>
      <c r="I518" s="83" t="n"/>
      <c r="J518" s="83" t="n"/>
      <c r="K518" s="83" t="n"/>
      <c r="L518" s="83" t="n"/>
      <c r="M518" s="83" t="n"/>
      <c r="O518" s="84" t="str">
        <f>IF($C518="","",IFERROR(MATCH($B518&amp;"|"&amp;$C518,MUROS!$AX$11:$AX$70,0),0))</f>
        <v/>
      </c>
      <c r="P518" s="84" t="str">
        <f>IF($D518="","",IF(ISNUMBER(MATCH($D518,CMB_S,0)),1,IF(ISNUMBER(MATCH($D518,CMB_G,0)),2,0)))</f>
        <v/>
      </c>
      <c r="Q518" s="84">
        <f>IF(ISNUMBER($H518),-$H518,0)</f>
        <v>0</v>
      </c>
      <c r="R518" s="84">
        <f>IF(ISNUMBER($I518),ABS($I518),0)</f>
        <v>0</v>
      </c>
      <c r="S518" s="84">
        <f>IF(ISNUMBER($M518),ABS($M518),0)</f>
        <v>0</v>
      </c>
      <c r="T518" s="85" t="n">
        <v>510</v>
      </c>
    </row>
    <row r="519"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83" t="n"/>
      <c r="K519" s="83" t="n"/>
      <c r="L519" s="83" t="n"/>
      <c r="M519" s="83" t="n"/>
      <c r="O519" s="84" t="str">
        <f>IF($C519="","",IFERROR(MATCH($B519&amp;"|"&amp;$C519,MUROS!$AX$11:$AX$70,0),0))</f>
        <v/>
      </c>
      <c r="P519" s="84" t="str">
        <f>IF($D519="","",IF(ISNUMBER(MATCH($D519,CMB_S,0)),1,IF(ISNUMBER(MATCH($D519,CMB_G,0)),2,0)))</f>
        <v/>
      </c>
      <c r="Q519" s="84">
        <f>IF(ISNUMBER($H519),-$H519,0)</f>
        <v>0</v>
      </c>
      <c r="R519" s="84">
        <f>IF(ISNUMBER($I519),ABS($I519),0)</f>
        <v>0</v>
      </c>
      <c r="S519" s="84">
        <f>IF(ISNUMBER($M519),ABS($M519),0)</f>
        <v>0</v>
      </c>
      <c r="T519" s="85" t="n">
        <v>511</v>
      </c>
    </row>
    <row r="520">
      <c r="B520" s="83" t="n"/>
      <c r="C520" s="83" t="n"/>
      <c r="D520" s="83" t="n"/>
      <c r="E520" s="83" t="n"/>
      <c r="F520" s="83" t="n"/>
      <c r="G520" s="83" t="n"/>
      <c r="H520" s="83" t="n"/>
      <c r="I520" s="83" t="n"/>
      <c r="J520" s="83" t="n"/>
      <c r="K520" s="83" t="n"/>
      <c r="L520" s="83" t="n"/>
      <c r="M520" s="83" t="n"/>
      <c r="O520" s="84" t="str">
        <f>IF($C520="","",IFERROR(MATCH($B520&amp;"|"&amp;$C520,MUROS!$AX$11:$AX$70,0),0))</f>
        <v/>
      </c>
      <c r="P520" s="84" t="str">
        <f>IF($D520="","",IF(ISNUMBER(MATCH($D520,CMB_S,0)),1,IF(ISNUMBER(MATCH($D520,CMB_G,0)),2,0)))</f>
        <v/>
      </c>
      <c r="Q520" s="84">
        <f>IF(ISNUMBER($H520),-$H520,0)</f>
        <v>0</v>
      </c>
      <c r="R520" s="84">
        <f>IF(ISNUMBER($I520),ABS($I520),0)</f>
        <v>0</v>
      </c>
      <c r="S520" s="84">
        <f>IF(ISNUMBER($M520),ABS($M520),0)</f>
        <v>0</v>
      </c>
      <c r="T520" s="85" t="n">
        <v>512</v>
      </c>
    </row>
    <row r="521">
      <c r="B521" s="83" t="n"/>
      <c r="C521" s="83" t="n"/>
      <c r="D521" s="83" t="n"/>
      <c r="E521" s="83" t="n"/>
      <c r="F521" s="83" t="n"/>
      <c r="G521" s="83" t="n"/>
      <c r="H521" s="83" t="n"/>
      <c r="I521" s="83" t="n"/>
      <c r="J521" s="83" t="n"/>
      <c r="K521" s="83" t="n"/>
      <c r="L521" s="83" t="n"/>
      <c r="M521" s="83" t="n"/>
      <c r="O521" s="84" t="str">
        <f>IF($C521="","",IFERROR(MATCH($B521&amp;"|"&amp;$C521,MUROS!$AX$11:$AX$70,0),0))</f>
        <v/>
      </c>
      <c r="P521" s="84" t="str">
        <f>IF($D521="","",IF(ISNUMBER(MATCH($D521,CMB_S,0)),1,IF(ISNUMBER(MATCH($D521,CMB_G,0)),2,0)))</f>
        <v/>
      </c>
      <c r="Q521" s="84">
        <f>IF(ISNUMBER($H521),-$H521,0)</f>
        <v>0</v>
      </c>
      <c r="R521" s="84">
        <f>IF(ISNUMBER($I521),ABS($I521),0)</f>
        <v>0</v>
      </c>
      <c r="S521" s="84">
        <f>IF(ISNUMBER($M521),ABS($M521),0)</f>
        <v>0</v>
      </c>
      <c r="T521" s="85" t="n">
        <v>513</v>
      </c>
    </row>
    <row r="522">
      <c r="B522" s="83" t="n"/>
      <c r="C522" s="83" t="n"/>
      <c r="D522" s="83" t="n"/>
      <c r="E522" s="83" t="n"/>
      <c r="F522" s="83" t="n"/>
      <c r="G522" s="83" t="n"/>
      <c r="H522" s="83" t="n"/>
      <c r="I522" s="83" t="n"/>
      <c r="J522" s="83" t="n"/>
      <c r="K522" s="83" t="n"/>
      <c r="L522" s="83" t="n"/>
      <c r="M522" s="83" t="n"/>
      <c r="O522" s="84" t="str">
        <f>IF($C522="","",IFERROR(MATCH($B522&amp;"|"&amp;$C522,MUROS!$AX$11:$AX$70,0),0))</f>
        <v/>
      </c>
      <c r="P522" s="84" t="str">
        <f>IF($D522="","",IF(ISNUMBER(MATCH($D522,CMB_S,0)),1,IF(ISNUMBER(MATCH($D522,CMB_G,0)),2,0)))</f>
        <v/>
      </c>
      <c r="Q522" s="84">
        <f>IF(ISNUMBER($H522),-$H522,0)</f>
        <v>0</v>
      </c>
      <c r="R522" s="84">
        <f>IF(ISNUMBER($I522),ABS($I522),0)</f>
        <v>0</v>
      </c>
      <c r="S522" s="84">
        <f>IF(ISNUMBER($M522),ABS($M522),0)</f>
        <v>0</v>
      </c>
      <c r="T522" s="85" t="n">
        <v>514</v>
      </c>
    </row>
    <row r="523">
      <c r="B523" s="83" t="n"/>
      <c r="C523" s="83" t="n"/>
      <c r="D523" s="83" t="n"/>
      <c r="E523" s="83" t="n"/>
      <c r="F523" s="83" t="n"/>
      <c r="G523" s="83" t="n"/>
      <c r="H523" s="83" t="n"/>
      <c r="I523" s="83" t="n"/>
      <c r="J523" s="83" t="n"/>
      <c r="K523" s="83" t="n"/>
      <c r="L523" s="83" t="n"/>
      <c r="M523" s="83" t="n"/>
      <c r="O523" s="84" t="str">
        <f>IF($C523="","",IFERROR(MATCH($B523&amp;"|"&amp;$C523,MUROS!$AX$11:$AX$70,0),0))</f>
        <v/>
      </c>
      <c r="P523" s="84" t="str">
        <f>IF($D523="","",IF(ISNUMBER(MATCH($D523,CMB_S,0)),1,IF(ISNUMBER(MATCH($D523,CMB_G,0)),2,0)))</f>
        <v/>
      </c>
      <c r="Q523" s="84">
        <f>IF(ISNUMBER($H523),-$H523,0)</f>
        <v>0</v>
      </c>
      <c r="R523" s="84">
        <f>IF(ISNUMBER($I523),ABS($I523),0)</f>
        <v>0</v>
      </c>
      <c r="S523" s="84">
        <f>IF(ISNUMBER($M523),ABS($M523),0)</f>
        <v>0</v>
      </c>
      <c r="T523" s="85" t="n">
        <v>515</v>
      </c>
    </row>
    <row r="524">
      <c r="B524" s="83" t="n"/>
      <c r="C524" s="83" t="n"/>
      <c r="D524" s="83" t="n"/>
      <c r="E524" s="83" t="n"/>
      <c r="F524" s="83" t="n"/>
      <c r="G524" s="83" t="n"/>
      <c r="H524" s="83" t="n"/>
      <c r="I524" s="83" t="n"/>
      <c r="J524" s="83" t="n"/>
      <c r="K524" s="83" t="n"/>
      <c r="L524" s="83" t="n"/>
      <c r="M524" s="83" t="n"/>
      <c r="O524" s="84" t="str">
        <f>IF($C524="","",IFERROR(MATCH($B524&amp;"|"&amp;$C524,MUROS!$AX$11:$AX$70,0),0))</f>
        <v/>
      </c>
      <c r="P524" s="84" t="str">
        <f>IF($D524="","",IF(ISNUMBER(MATCH($D524,CMB_S,0)),1,IF(ISNUMBER(MATCH($D524,CMB_G,0)),2,0)))</f>
        <v/>
      </c>
      <c r="Q524" s="84">
        <f>IF(ISNUMBER($H524),-$H524,0)</f>
        <v>0</v>
      </c>
      <c r="R524" s="84">
        <f>IF(ISNUMBER($I524),ABS($I524),0)</f>
        <v>0</v>
      </c>
      <c r="S524" s="84">
        <f>IF(ISNUMBER($M524),ABS($M524),0)</f>
        <v>0</v>
      </c>
      <c r="T524" s="85" t="n">
        <v>516</v>
      </c>
    </row>
    <row r="525">
      <c r="B525" s="83" t="n"/>
      <c r="C525" s="83" t="n"/>
      <c r="D525" s="83" t="n"/>
      <c r="E525" s="83" t="n"/>
      <c r="F525" s="83" t="n"/>
      <c r="G525" s="83" t="n"/>
      <c r="H525" s="83" t="n"/>
      <c r="I525" s="83" t="n"/>
      <c r="J525" s="83" t="n"/>
      <c r="K525" s="83" t="n"/>
      <c r="L525" s="83" t="n"/>
      <c r="M525" s="83" t="n"/>
      <c r="O525" s="84" t="str">
        <f>IF($C525="","",IFERROR(MATCH($B525&amp;"|"&amp;$C525,MUROS!$AX$11:$AX$70,0),0))</f>
        <v/>
      </c>
      <c r="P525" s="84" t="str">
        <f>IF($D525="","",IF(ISNUMBER(MATCH($D525,CMB_S,0)),1,IF(ISNUMBER(MATCH($D525,CMB_G,0)),2,0)))</f>
        <v/>
      </c>
      <c r="Q525" s="84">
        <f>IF(ISNUMBER($H525),-$H525,0)</f>
        <v>0</v>
      </c>
      <c r="R525" s="84">
        <f>IF(ISNUMBER($I525),ABS($I525),0)</f>
        <v>0</v>
      </c>
      <c r="S525" s="84">
        <f>IF(ISNUMBER($M525),ABS($M525),0)</f>
        <v>0</v>
      </c>
      <c r="T525" s="85" t="n">
        <v>517</v>
      </c>
    </row>
    <row r="526">
      <c r="B526" s="83" t="n"/>
      <c r="C526" s="83" t="n"/>
      <c r="D526" s="83" t="n"/>
      <c r="E526" s="83" t="n"/>
      <c r="F526" s="83" t="n"/>
      <c r="G526" s="83" t="n"/>
      <c r="H526" s="83" t="n"/>
      <c r="I526" s="83" t="n"/>
      <c r="J526" s="83" t="n"/>
      <c r="K526" s="83" t="n"/>
      <c r="L526" s="83" t="n"/>
      <c r="M526" s="83" t="n"/>
      <c r="O526" s="84" t="str">
        <f>IF($C526="","",IFERROR(MATCH($B526&amp;"|"&amp;$C526,MUROS!$AX$11:$AX$70,0),0))</f>
        <v/>
      </c>
      <c r="P526" s="84" t="str">
        <f>IF($D526="","",IF(ISNUMBER(MATCH($D526,CMB_S,0)),1,IF(ISNUMBER(MATCH($D526,CMB_G,0)),2,0)))</f>
        <v/>
      </c>
      <c r="Q526" s="84">
        <f>IF(ISNUMBER($H526),-$H526,0)</f>
        <v>0</v>
      </c>
      <c r="R526" s="84">
        <f>IF(ISNUMBER($I526),ABS($I526),0)</f>
        <v>0</v>
      </c>
      <c r="S526" s="84">
        <f>IF(ISNUMBER($M526),ABS($M526),0)</f>
        <v>0</v>
      </c>
      <c r="T526" s="85" t="n">
        <v>518</v>
      </c>
    </row>
    <row r="527">
      <c r="B527" s="83" t="n"/>
      <c r="C527" s="83" t="n"/>
      <c r="D527" s="83" t="n"/>
      <c r="E527" s="83" t="n"/>
      <c r="F527" s="83" t="n"/>
      <c r="G527" s="83" t="n"/>
      <c r="H527" s="83" t="n"/>
      <c r="I527" s="83" t="n"/>
      <c r="J527" s="83" t="n"/>
      <c r="K527" s="83" t="n"/>
      <c r="L527" s="83" t="n"/>
      <c r="M527" s="83" t="n"/>
      <c r="O527" s="84" t="str">
        <f>IF($C527="","",IFERROR(MATCH($B527&amp;"|"&amp;$C527,MUROS!$AX$11:$AX$70,0),0))</f>
        <v/>
      </c>
      <c r="P527" s="84" t="str">
        <f>IF($D527="","",IF(ISNUMBER(MATCH($D527,CMB_S,0)),1,IF(ISNUMBER(MATCH($D527,CMB_G,0)),2,0)))</f>
        <v/>
      </c>
      <c r="Q527" s="84">
        <f>IF(ISNUMBER($H527),-$H527,0)</f>
        <v>0</v>
      </c>
      <c r="R527" s="84">
        <f>IF(ISNUMBER($I527),ABS($I527),0)</f>
        <v>0</v>
      </c>
      <c r="S527" s="84">
        <f>IF(ISNUMBER($M527),ABS($M527),0)</f>
        <v>0</v>
      </c>
      <c r="T527" s="85" t="n">
        <v>519</v>
      </c>
    </row>
    <row r="528"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83" t="n"/>
      <c r="K528" s="83" t="n"/>
      <c r="L528" s="83" t="n"/>
      <c r="M528" s="83" t="n"/>
      <c r="O528" s="84" t="str">
        <f>IF($C528="","",IFERROR(MATCH($B528&amp;"|"&amp;$C528,MUROS!$AX$11:$AX$70,0),0))</f>
        <v/>
      </c>
      <c r="P528" s="84" t="str">
        <f>IF($D528="","",IF(ISNUMBER(MATCH($D528,CMB_S,0)),1,IF(ISNUMBER(MATCH($D528,CMB_G,0)),2,0)))</f>
        <v/>
      </c>
      <c r="Q528" s="84">
        <f>IF(ISNUMBER($H528),-$H528,0)</f>
        <v>0</v>
      </c>
      <c r="R528" s="84">
        <f>IF(ISNUMBER($I528),ABS($I528),0)</f>
        <v>0</v>
      </c>
      <c r="S528" s="84">
        <f>IF(ISNUMBER($M528),ABS($M528),0)</f>
        <v>0</v>
      </c>
      <c r="T528" s="85" t="n">
        <v>520</v>
      </c>
    </row>
    <row r="529">
      <c r="B529" s="83" t="n"/>
      <c r="C529" s="83" t="n"/>
      <c r="D529" s="83" t="n"/>
      <c r="E529" s="83" t="n"/>
      <c r="F529" s="83" t="n"/>
      <c r="G529" s="83" t="n"/>
      <c r="H529" s="83" t="n"/>
      <c r="I529" s="83" t="n"/>
      <c r="J529" s="83" t="n"/>
      <c r="K529" s="83" t="n"/>
      <c r="L529" s="83" t="n"/>
      <c r="M529" s="83" t="n"/>
      <c r="O529" s="84" t="str">
        <f>IF($C529="","",IFERROR(MATCH($B529&amp;"|"&amp;$C529,MUROS!$AX$11:$AX$70,0),0))</f>
        <v/>
      </c>
      <c r="P529" s="84" t="str">
        <f>IF($D529="","",IF(ISNUMBER(MATCH($D529,CMB_S,0)),1,IF(ISNUMBER(MATCH($D529,CMB_G,0)),2,0)))</f>
        <v/>
      </c>
      <c r="Q529" s="84">
        <f>IF(ISNUMBER($H529),-$H529,0)</f>
        <v>0</v>
      </c>
      <c r="R529" s="84">
        <f>IF(ISNUMBER($I529),ABS($I529),0)</f>
        <v>0</v>
      </c>
      <c r="S529" s="84">
        <f>IF(ISNUMBER($M529),ABS($M529),0)</f>
        <v>0</v>
      </c>
      <c r="T529" s="85" t="n">
        <v>521</v>
      </c>
    </row>
    <row r="530">
      <c r="B530" s="83" t="n"/>
      <c r="C530" s="83" t="n"/>
      <c r="D530" s="83" t="n"/>
      <c r="E530" s="83" t="n"/>
      <c r="F530" s="83" t="n"/>
      <c r="G530" s="83" t="n"/>
      <c r="H530" s="83" t="n"/>
      <c r="I530" s="83" t="n"/>
      <c r="J530" s="83" t="n"/>
      <c r="K530" s="83" t="n"/>
      <c r="L530" s="83" t="n"/>
      <c r="M530" s="83" t="n"/>
      <c r="O530" s="84" t="str">
        <f>IF($C530="","",IFERROR(MATCH($B530&amp;"|"&amp;$C530,MUROS!$AX$11:$AX$70,0),0))</f>
        <v/>
      </c>
      <c r="P530" s="84" t="str">
        <f>IF($D530="","",IF(ISNUMBER(MATCH($D530,CMB_S,0)),1,IF(ISNUMBER(MATCH($D530,CMB_G,0)),2,0)))</f>
        <v/>
      </c>
      <c r="Q530" s="84">
        <f>IF(ISNUMBER($H530),-$H530,0)</f>
        <v>0</v>
      </c>
      <c r="R530" s="84">
        <f>IF(ISNUMBER($I530),ABS($I530),0)</f>
        <v>0</v>
      </c>
      <c r="S530" s="84">
        <f>IF(ISNUMBER($M530),ABS($M530),0)</f>
        <v>0</v>
      </c>
      <c r="T530" s="85" t="n">
        <v>522</v>
      </c>
    </row>
    <row r="531">
      <c r="B531" s="83" t="n"/>
      <c r="C531" s="83" t="n"/>
      <c r="D531" s="83" t="n"/>
      <c r="E531" s="83" t="n"/>
      <c r="F531" s="83" t="n"/>
      <c r="G531" s="83" t="n"/>
      <c r="H531" s="83" t="n"/>
      <c r="I531" s="83" t="n"/>
      <c r="J531" s="83" t="n"/>
      <c r="K531" s="83" t="n"/>
      <c r="L531" s="83" t="n"/>
      <c r="M531" s="83" t="n"/>
      <c r="O531" s="84" t="str">
        <f>IF($C531="","",IFERROR(MATCH($B531&amp;"|"&amp;$C531,MUROS!$AX$11:$AX$70,0),0))</f>
        <v/>
      </c>
      <c r="P531" s="84" t="str">
        <f>IF($D531="","",IF(ISNUMBER(MATCH($D531,CMB_S,0)),1,IF(ISNUMBER(MATCH($D531,CMB_G,0)),2,0)))</f>
        <v/>
      </c>
      <c r="Q531" s="84">
        <f>IF(ISNUMBER($H531),-$H531,0)</f>
        <v>0</v>
      </c>
      <c r="R531" s="84">
        <f>IF(ISNUMBER($I531),ABS($I531),0)</f>
        <v>0</v>
      </c>
      <c r="S531" s="84">
        <f>IF(ISNUMBER($M531),ABS($M531),0)</f>
        <v>0</v>
      </c>
      <c r="T531" s="85" t="n">
        <v>523</v>
      </c>
    </row>
    <row r="532">
      <c r="B532" s="83" t="n"/>
      <c r="C532" s="83" t="n"/>
      <c r="D532" s="83" t="n"/>
      <c r="E532" s="83" t="n"/>
      <c r="F532" s="83" t="n"/>
      <c r="G532" s="83" t="n"/>
      <c r="H532" s="83" t="n"/>
      <c r="I532" s="83" t="n"/>
      <c r="J532" s="83" t="n"/>
      <c r="K532" s="83" t="n"/>
      <c r="L532" s="83" t="n"/>
      <c r="M532" s="83" t="n"/>
      <c r="O532" s="84" t="str">
        <f>IF($C532="","",IFERROR(MATCH($B532&amp;"|"&amp;$C532,MUROS!$AX$11:$AX$70,0),0))</f>
        <v/>
      </c>
      <c r="P532" s="84" t="str">
        <f>IF($D532="","",IF(ISNUMBER(MATCH($D532,CMB_S,0)),1,IF(ISNUMBER(MATCH($D532,CMB_G,0)),2,0)))</f>
        <v/>
      </c>
      <c r="Q532" s="84">
        <f>IF(ISNUMBER($H532),-$H532,0)</f>
        <v>0</v>
      </c>
      <c r="R532" s="84">
        <f>IF(ISNUMBER($I532),ABS($I532),0)</f>
        <v>0</v>
      </c>
      <c r="S532" s="84">
        <f>IF(ISNUMBER($M532),ABS($M532),0)</f>
        <v>0</v>
      </c>
      <c r="T532" s="85" t="n">
        <v>524</v>
      </c>
    </row>
    <row r="533">
      <c r="B533" s="83" t="n"/>
      <c r="C533" s="83" t="n"/>
      <c r="D533" s="83" t="n"/>
      <c r="E533" s="83" t="n"/>
      <c r="F533" s="83" t="n"/>
      <c r="G533" s="83" t="n"/>
      <c r="H533" s="83" t="n"/>
      <c r="I533" s="83" t="n"/>
      <c r="J533" s="83" t="n"/>
      <c r="K533" s="83" t="n"/>
      <c r="L533" s="83" t="n"/>
      <c r="M533" s="83" t="n"/>
      <c r="O533" s="84" t="str">
        <f>IF($C533="","",IFERROR(MATCH($B533&amp;"|"&amp;$C533,MUROS!$AX$11:$AX$70,0),0))</f>
        <v/>
      </c>
      <c r="P533" s="84" t="str">
        <f>IF($D533="","",IF(ISNUMBER(MATCH($D533,CMB_S,0)),1,IF(ISNUMBER(MATCH($D533,CMB_G,0)),2,0)))</f>
        <v/>
      </c>
      <c r="Q533" s="84">
        <f>IF(ISNUMBER($H533),-$H533,0)</f>
        <v>0</v>
      </c>
      <c r="R533" s="84">
        <f>IF(ISNUMBER($I533),ABS($I533),0)</f>
        <v>0</v>
      </c>
      <c r="S533" s="84">
        <f>IF(ISNUMBER($M533),ABS($M533),0)</f>
        <v>0</v>
      </c>
      <c r="T533" s="85" t="n">
        <v>525</v>
      </c>
    </row>
    <row r="534">
      <c r="B534" s="83" t="n"/>
      <c r="C534" s="83" t="n"/>
      <c r="D534" s="83" t="n"/>
      <c r="E534" s="83" t="n"/>
      <c r="F534" s="83" t="n"/>
      <c r="G534" s="83" t="n"/>
      <c r="H534" s="83" t="n"/>
      <c r="I534" s="83" t="n"/>
      <c r="J534" s="83" t="n"/>
      <c r="K534" s="83" t="n"/>
      <c r="L534" s="83" t="n"/>
      <c r="M534" s="83" t="n"/>
      <c r="O534" s="84" t="str">
        <f>IF($C534="","",IFERROR(MATCH($B534&amp;"|"&amp;$C534,MUROS!$AX$11:$AX$70,0),0))</f>
        <v/>
      </c>
      <c r="P534" s="84" t="str">
        <f>IF($D534="","",IF(ISNUMBER(MATCH($D534,CMB_S,0)),1,IF(ISNUMBER(MATCH($D534,CMB_G,0)),2,0)))</f>
        <v/>
      </c>
      <c r="Q534" s="84">
        <f>IF(ISNUMBER($H534),-$H534,0)</f>
        <v>0</v>
      </c>
      <c r="R534" s="84">
        <f>IF(ISNUMBER($I534),ABS($I534),0)</f>
        <v>0</v>
      </c>
      <c r="S534" s="84">
        <f>IF(ISNUMBER($M534),ABS($M534),0)</f>
        <v>0</v>
      </c>
      <c r="T534" s="85" t="n">
        <v>526</v>
      </c>
    </row>
    <row r="535">
      <c r="B535" s="83" t="n"/>
      <c r="C535" s="83" t="n"/>
      <c r="D535" s="83" t="n"/>
      <c r="E535" s="83" t="n"/>
      <c r="F535" s="83" t="n"/>
      <c r="G535" s="83" t="n"/>
      <c r="H535" s="83" t="n"/>
      <c r="I535" s="83" t="n"/>
      <c r="J535" s="83" t="n"/>
      <c r="K535" s="83" t="n"/>
      <c r="L535" s="83" t="n"/>
      <c r="M535" s="83" t="n"/>
      <c r="O535" s="84" t="str">
        <f>IF($C535="","",IFERROR(MATCH($B535&amp;"|"&amp;$C535,MUROS!$AX$11:$AX$70,0),0))</f>
        <v/>
      </c>
      <c r="P535" s="84" t="str">
        <f>IF($D535="","",IF(ISNUMBER(MATCH($D535,CMB_S,0)),1,IF(ISNUMBER(MATCH($D535,CMB_G,0)),2,0)))</f>
        <v/>
      </c>
      <c r="Q535" s="84">
        <f>IF(ISNUMBER($H535),-$H535,0)</f>
        <v>0</v>
      </c>
      <c r="R535" s="84">
        <f>IF(ISNUMBER($I535),ABS($I535),0)</f>
        <v>0</v>
      </c>
      <c r="S535" s="84">
        <f>IF(ISNUMBER($M535),ABS($M535),0)</f>
        <v>0</v>
      </c>
      <c r="T535" s="85" t="n">
        <v>527</v>
      </c>
    </row>
    <row r="536">
      <c r="B536" s="83" t="n"/>
      <c r="C536" s="83" t="n"/>
      <c r="D536" s="83" t="n"/>
      <c r="E536" s="83" t="n"/>
      <c r="F536" s="83" t="n"/>
      <c r="G536" s="83" t="n"/>
      <c r="H536" s="83" t="n"/>
      <c r="I536" s="83" t="n"/>
      <c r="J536" s="83" t="n"/>
      <c r="K536" s="83" t="n"/>
      <c r="L536" s="83" t="n"/>
      <c r="M536" s="83" t="n"/>
      <c r="O536" s="84" t="str">
        <f>IF($C536="","",IFERROR(MATCH($B536&amp;"|"&amp;$C536,MUROS!$AX$11:$AX$70,0),0))</f>
        <v/>
      </c>
      <c r="P536" s="84" t="str">
        <f>IF($D536="","",IF(ISNUMBER(MATCH($D536,CMB_S,0)),1,IF(ISNUMBER(MATCH($D536,CMB_G,0)),2,0)))</f>
        <v/>
      </c>
      <c r="Q536" s="84">
        <f>IF(ISNUMBER($H536),-$H536,0)</f>
        <v>0</v>
      </c>
      <c r="R536" s="84">
        <f>IF(ISNUMBER($I536),ABS($I536),0)</f>
        <v>0</v>
      </c>
      <c r="S536" s="84">
        <f>IF(ISNUMBER($M536),ABS($M536),0)</f>
        <v>0</v>
      </c>
      <c r="T536" s="85" t="n">
        <v>528</v>
      </c>
    </row>
    <row r="537">
      <c r="B537" s="83" t="n"/>
      <c r="C537" s="83" t="n"/>
      <c r="D537" s="83" t="n"/>
      <c r="E537" s="83" t="n"/>
      <c r="F537" s="83" t="n"/>
      <c r="G537" s="83" t="n"/>
      <c r="H537" s="83" t="n"/>
      <c r="I537" s="83" t="n"/>
      <c r="J537" s="83" t="n"/>
      <c r="K537" s="83" t="n"/>
      <c r="L537" s="83" t="n"/>
      <c r="M537" s="83" t="n"/>
      <c r="O537" s="84" t="str">
        <f>IF($C537="","",IFERROR(MATCH($B537&amp;"|"&amp;$C537,MUROS!$AX$11:$AX$70,0),0))</f>
        <v/>
      </c>
      <c r="P537" s="84" t="str">
        <f>IF($D537="","",IF(ISNUMBER(MATCH($D537,CMB_S,0)),1,IF(ISNUMBER(MATCH($D537,CMB_G,0)),2,0)))</f>
        <v/>
      </c>
      <c r="Q537" s="84">
        <f>IF(ISNUMBER($H537),-$H537,0)</f>
        <v>0</v>
      </c>
      <c r="R537" s="84">
        <f>IF(ISNUMBER($I537),ABS($I537),0)</f>
        <v>0</v>
      </c>
      <c r="S537" s="84">
        <f>IF(ISNUMBER($M537),ABS($M537),0)</f>
        <v>0</v>
      </c>
      <c r="T537" s="85" t="n">
        <v>529</v>
      </c>
    </row>
    <row r="538">
      <c r="B538" s="83" t="n"/>
      <c r="C538" s="83" t="n"/>
      <c r="D538" s="83" t="n"/>
      <c r="E538" s="83" t="n"/>
      <c r="F538" s="83" t="n"/>
      <c r="G538" s="83" t="n"/>
      <c r="H538" s="83" t="n"/>
      <c r="I538" s="83" t="n"/>
      <c r="J538" s="83" t="n"/>
      <c r="K538" s="83" t="n"/>
      <c r="L538" s="83" t="n"/>
      <c r="M538" s="83" t="n"/>
      <c r="O538" s="84" t="str">
        <f>IF($C538="","",IFERROR(MATCH($B538&amp;"|"&amp;$C538,MUROS!$AX$11:$AX$70,0),0))</f>
        <v/>
      </c>
      <c r="P538" s="84" t="str">
        <f>IF($D538="","",IF(ISNUMBER(MATCH($D538,CMB_S,0)),1,IF(ISNUMBER(MATCH($D538,CMB_G,0)),2,0)))</f>
        <v/>
      </c>
      <c r="Q538" s="84">
        <f>IF(ISNUMBER($H538),-$H538,0)</f>
        <v>0</v>
      </c>
      <c r="R538" s="84">
        <f>IF(ISNUMBER($I538),ABS($I538),0)</f>
        <v>0</v>
      </c>
      <c r="S538" s="84">
        <f>IF(ISNUMBER($M538),ABS($M538),0)</f>
        <v>0</v>
      </c>
      <c r="T538" s="85" t="n">
        <v>530</v>
      </c>
    </row>
    <row r="539">
      <c r="B539" s="83" t="n"/>
      <c r="C539" s="83" t="n"/>
      <c r="D539" s="83" t="n"/>
      <c r="E539" s="83" t="n"/>
      <c r="F539" s="83" t="n"/>
      <c r="G539" s="83" t="n"/>
      <c r="H539" s="83" t="n"/>
      <c r="I539" s="83" t="n"/>
      <c r="J539" s="83" t="n"/>
      <c r="K539" s="83" t="n"/>
      <c r="L539" s="83" t="n"/>
      <c r="M539" s="83" t="n"/>
      <c r="O539" s="84" t="str">
        <f>IF($C539="","",IFERROR(MATCH($B539&amp;"|"&amp;$C539,MUROS!$AX$11:$AX$70,0),0))</f>
        <v/>
      </c>
      <c r="P539" s="84" t="str">
        <f>IF($D539="","",IF(ISNUMBER(MATCH($D539,CMB_S,0)),1,IF(ISNUMBER(MATCH($D539,CMB_G,0)),2,0)))</f>
        <v/>
      </c>
      <c r="Q539" s="84">
        <f>IF(ISNUMBER($H539),-$H539,0)</f>
        <v>0</v>
      </c>
      <c r="R539" s="84">
        <f>IF(ISNUMBER($I539),ABS($I539),0)</f>
        <v>0</v>
      </c>
      <c r="S539" s="84">
        <f>IF(ISNUMBER($M539),ABS($M539),0)</f>
        <v>0</v>
      </c>
      <c r="T539" s="85" t="n">
        <v>531</v>
      </c>
    </row>
    <row r="540">
      <c r="B540" s="83" t="n"/>
      <c r="C540" s="83" t="n"/>
      <c r="D540" s="83" t="n"/>
      <c r="E540" s="83" t="n"/>
      <c r="F540" s="83" t="n"/>
      <c r="G540" s="83" t="n"/>
      <c r="H540" s="83" t="n"/>
      <c r="I540" s="83" t="n"/>
      <c r="J540" s="83" t="n"/>
      <c r="K540" s="83" t="n"/>
      <c r="L540" s="83" t="n"/>
      <c r="M540" s="83" t="n"/>
      <c r="O540" s="84" t="str">
        <f>IF($C540="","",IFERROR(MATCH($B540&amp;"|"&amp;$C540,MUROS!$AX$11:$AX$70,0),0))</f>
        <v/>
      </c>
      <c r="P540" s="84" t="str">
        <f>IF($D540="","",IF(ISNUMBER(MATCH($D540,CMB_S,0)),1,IF(ISNUMBER(MATCH($D540,CMB_G,0)),2,0)))</f>
        <v/>
      </c>
      <c r="Q540" s="84">
        <f>IF(ISNUMBER($H540),-$H540,0)</f>
        <v>0</v>
      </c>
      <c r="R540" s="84">
        <f>IF(ISNUMBER($I540),ABS($I540),0)</f>
        <v>0</v>
      </c>
      <c r="S540" s="84">
        <f>IF(ISNUMBER($M540),ABS($M540),0)</f>
        <v>0</v>
      </c>
      <c r="T540" s="85" t="n">
        <v>532</v>
      </c>
    </row>
    <row r="541">
      <c r="B541" s="83" t="n"/>
      <c r="C541" s="83" t="n"/>
      <c r="D541" s="83" t="n"/>
      <c r="E541" s="83" t="n"/>
      <c r="F541" s="83" t="n"/>
      <c r="G541" s="83" t="n"/>
      <c r="H541" s="83" t="n"/>
      <c r="I541" s="83" t="n"/>
      <c r="J541" s="83" t="n"/>
      <c r="K541" s="83" t="n"/>
      <c r="L541" s="83" t="n"/>
      <c r="M541" s="83" t="n"/>
      <c r="O541" s="84" t="str">
        <f>IF($C541="","",IFERROR(MATCH($B541&amp;"|"&amp;$C541,MUROS!$AX$11:$AX$70,0),0))</f>
        <v/>
      </c>
      <c r="P541" s="84" t="str">
        <f>IF($D541="","",IF(ISNUMBER(MATCH($D541,CMB_S,0)),1,IF(ISNUMBER(MATCH($D541,CMB_G,0)),2,0)))</f>
        <v/>
      </c>
      <c r="Q541" s="84">
        <f>IF(ISNUMBER($H541),-$H541,0)</f>
        <v>0</v>
      </c>
      <c r="R541" s="84">
        <f>IF(ISNUMBER($I541),ABS($I541),0)</f>
        <v>0</v>
      </c>
      <c r="S541" s="84">
        <f>IF(ISNUMBER($M541),ABS($M541),0)</f>
        <v>0</v>
      </c>
      <c r="T541" s="85" t="n">
        <v>533</v>
      </c>
    </row>
    <row r="542">
      <c r="B542" s="83" t="n"/>
      <c r="C542" s="83" t="n"/>
      <c r="D542" s="83" t="n"/>
      <c r="E542" s="83" t="n"/>
      <c r="F542" s="83" t="n"/>
      <c r="G542" s="83" t="n"/>
      <c r="H542" s="83" t="n"/>
      <c r="I542" s="83" t="n"/>
      <c r="J542" s="83" t="n"/>
      <c r="K542" s="83" t="n"/>
      <c r="L542" s="83" t="n"/>
      <c r="M542" s="83" t="n"/>
      <c r="O542" s="84" t="str">
        <f>IF($C542="","",IFERROR(MATCH($B542&amp;"|"&amp;$C542,MUROS!$AX$11:$AX$70,0),0))</f>
        <v/>
      </c>
      <c r="P542" s="84" t="str">
        <f>IF($D542="","",IF(ISNUMBER(MATCH($D542,CMB_S,0)),1,IF(ISNUMBER(MATCH($D542,CMB_G,0)),2,0)))</f>
        <v/>
      </c>
      <c r="Q542" s="84">
        <f>IF(ISNUMBER($H542),-$H542,0)</f>
        <v>0</v>
      </c>
      <c r="R542" s="84">
        <f>IF(ISNUMBER($I542),ABS($I542),0)</f>
        <v>0</v>
      </c>
      <c r="S542" s="84">
        <f>IF(ISNUMBER($M542),ABS($M542),0)</f>
        <v>0</v>
      </c>
      <c r="T542" s="85" t="n">
        <v>534</v>
      </c>
    </row>
    <row r="543">
      <c r="B543" s="83" t="n"/>
      <c r="C543" s="83" t="n"/>
      <c r="D543" s="83" t="n"/>
      <c r="E543" s="83" t="n"/>
      <c r="F543" s="83" t="n"/>
      <c r="G543" s="83" t="n"/>
      <c r="H543" s="83" t="n"/>
      <c r="I543" s="83" t="n"/>
      <c r="J543" s="83" t="n"/>
      <c r="K543" s="83" t="n"/>
      <c r="L543" s="83" t="n"/>
      <c r="M543" s="83" t="n"/>
      <c r="O543" s="84" t="str">
        <f>IF($C543="","",IFERROR(MATCH($B543&amp;"|"&amp;$C543,MUROS!$AX$11:$AX$70,0),0))</f>
        <v/>
      </c>
      <c r="P543" s="84" t="str">
        <f>IF($D543="","",IF(ISNUMBER(MATCH($D543,CMB_S,0)),1,IF(ISNUMBER(MATCH($D543,CMB_G,0)),2,0)))</f>
        <v/>
      </c>
      <c r="Q543" s="84">
        <f>IF(ISNUMBER($H543),-$H543,0)</f>
        <v>0</v>
      </c>
      <c r="R543" s="84">
        <f>IF(ISNUMBER($I543),ABS($I543),0)</f>
        <v>0</v>
      </c>
      <c r="S543" s="84">
        <f>IF(ISNUMBER($M543),ABS($M543),0)</f>
        <v>0</v>
      </c>
      <c r="T543" s="85" t="n">
        <v>535</v>
      </c>
    </row>
    <row r="544"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83" t="n"/>
      <c r="K544" s="83" t="n"/>
      <c r="L544" s="83" t="n"/>
      <c r="M544" s="83" t="n"/>
      <c r="O544" s="84" t="str">
        <f>IF($C544="","",IFERROR(MATCH($B544&amp;"|"&amp;$C544,MUROS!$AX$11:$AX$70,0),0))</f>
        <v/>
      </c>
      <c r="P544" s="84" t="str">
        <f>IF($D544="","",IF(ISNUMBER(MATCH($D544,CMB_S,0)),1,IF(ISNUMBER(MATCH($D544,CMB_G,0)),2,0)))</f>
        <v/>
      </c>
      <c r="Q544" s="84">
        <f>IF(ISNUMBER($H544),-$H544,0)</f>
        <v>0</v>
      </c>
      <c r="R544" s="84">
        <f>IF(ISNUMBER($I544),ABS($I544),0)</f>
        <v>0</v>
      </c>
      <c r="S544" s="84">
        <f>IF(ISNUMBER($M544),ABS($M544),0)</f>
        <v>0</v>
      </c>
      <c r="T544" s="85" t="n">
        <v>536</v>
      </c>
    </row>
    <row r="545">
      <c r="B545" s="83" t="n"/>
      <c r="C545" s="83" t="n"/>
      <c r="D545" s="83" t="n"/>
      <c r="E545" s="83" t="n"/>
      <c r="F545" s="83" t="n"/>
      <c r="G545" s="83" t="n"/>
      <c r="H545" s="83" t="n"/>
      <c r="I545" s="83" t="n"/>
      <c r="J545" s="83" t="n"/>
      <c r="K545" s="83" t="n"/>
      <c r="L545" s="83" t="n"/>
      <c r="M545" s="83" t="n"/>
      <c r="O545" s="84" t="str">
        <f>IF($C545="","",IFERROR(MATCH($B545&amp;"|"&amp;$C545,MUROS!$AX$11:$AX$70,0),0))</f>
        <v/>
      </c>
      <c r="P545" s="84" t="str">
        <f>IF($D545="","",IF(ISNUMBER(MATCH($D545,CMB_S,0)),1,IF(ISNUMBER(MATCH($D545,CMB_G,0)),2,0)))</f>
        <v/>
      </c>
      <c r="Q545" s="84">
        <f>IF(ISNUMBER($H545),-$H545,0)</f>
        <v>0</v>
      </c>
      <c r="R545" s="84">
        <f>IF(ISNUMBER($I545),ABS($I545),0)</f>
        <v>0</v>
      </c>
      <c r="S545" s="84">
        <f>IF(ISNUMBER($M545),ABS($M545),0)</f>
        <v>0</v>
      </c>
      <c r="T545" s="85" t="n">
        <v>537</v>
      </c>
    </row>
    <row r="546">
      <c r="B546" s="83" t="n"/>
      <c r="C546" s="83" t="n"/>
      <c r="D546" s="83" t="n"/>
      <c r="E546" s="83" t="n"/>
      <c r="F546" s="83" t="n"/>
      <c r="G546" s="83" t="n"/>
      <c r="H546" s="83" t="n"/>
      <c r="I546" s="83" t="n"/>
      <c r="J546" s="83" t="n"/>
      <c r="K546" s="83" t="n"/>
      <c r="L546" s="83" t="n"/>
      <c r="M546" s="83" t="n"/>
      <c r="O546" s="84" t="str">
        <f>IF($C546="","",IFERROR(MATCH($B546&amp;"|"&amp;$C546,MUROS!$AX$11:$AX$70,0),0))</f>
        <v/>
      </c>
      <c r="P546" s="84" t="str">
        <f>IF($D546="","",IF(ISNUMBER(MATCH($D546,CMB_S,0)),1,IF(ISNUMBER(MATCH($D546,CMB_G,0)),2,0)))</f>
        <v/>
      </c>
      <c r="Q546" s="84">
        <f>IF(ISNUMBER($H546),-$H546,0)</f>
        <v>0</v>
      </c>
      <c r="R546" s="84">
        <f>IF(ISNUMBER($I546),ABS($I546),0)</f>
        <v>0</v>
      </c>
      <c r="S546" s="84">
        <f>IF(ISNUMBER($M546),ABS($M546),0)</f>
        <v>0</v>
      </c>
      <c r="T546" s="85" t="n">
        <v>538</v>
      </c>
    </row>
    <row r="547">
      <c r="B547" s="83" t="n"/>
      <c r="C547" s="83" t="n"/>
      <c r="D547" s="83" t="n"/>
      <c r="E547" s="83" t="n"/>
      <c r="F547" s="83" t="n"/>
      <c r="G547" s="83" t="n"/>
      <c r="H547" s="83" t="n"/>
      <c r="I547" s="83" t="n"/>
      <c r="J547" s="83" t="n"/>
      <c r="K547" s="83" t="n"/>
      <c r="L547" s="83" t="n"/>
      <c r="M547" s="83" t="n"/>
      <c r="O547" s="84" t="str">
        <f>IF($C547="","",IFERROR(MATCH($B547&amp;"|"&amp;$C547,MUROS!$AX$11:$AX$70,0),0))</f>
        <v/>
      </c>
      <c r="P547" s="84" t="str">
        <f>IF($D547="","",IF(ISNUMBER(MATCH($D547,CMB_S,0)),1,IF(ISNUMBER(MATCH($D547,CMB_G,0)),2,0)))</f>
        <v/>
      </c>
      <c r="Q547" s="84">
        <f>IF(ISNUMBER($H547),-$H547,0)</f>
        <v>0</v>
      </c>
      <c r="R547" s="84">
        <f>IF(ISNUMBER($I547),ABS($I547),0)</f>
        <v>0</v>
      </c>
      <c r="S547" s="84">
        <f>IF(ISNUMBER($M547),ABS($M547),0)</f>
        <v>0</v>
      </c>
      <c r="T547" s="85" t="n">
        <v>539</v>
      </c>
    </row>
    <row r="548">
      <c r="B548" s="83" t="n"/>
      <c r="C548" s="83" t="n"/>
      <c r="D548" s="83" t="n"/>
      <c r="E548" s="83" t="n"/>
      <c r="F548" s="83" t="n"/>
      <c r="G548" s="83" t="n"/>
      <c r="H548" s="83" t="n"/>
      <c r="I548" s="83" t="n"/>
      <c r="J548" s="83" t="n"/>
      <c r="K548" s="83" t="n"/>
      <c r="L548" s="83" t="n"/>
      <c r="M548" s="83" t="n"/>
      <c r="O548" s="84" t="str">
        <f>IF($C548="","",IFERROR(MATCH($B548&amp;"|"&amp;$C548,MUROS!$AX$11:$AX$70,0),0))</f>
        <v/>
      </c>
      <c r="P548" s="84" t="str">
        <f>IF($D548="","",IF(ISNUMBER(MATCH($D548,CMB_S,0)),1,IF(ISNUMBER(MATCH($D548,CMB_G,0)),2,0)))</f>
        <v/>
      </c>
      <c r="Q548" s="84">
        <f>IF(ISNUMBER($H548),-$H548,0)</f>
        <v>0</v>
      </c>
      <c r="R548" s="84">
        <f>IF(ISNUMBER($I548),ABS($I548),0)</f>
        <v>0</v>
      </c>
      <c r="S548" s="84">
        <f>IF(ISNUMBER($M548),ABS($M548),0)</f>
        <v>0</v>
      </c>
      <c r="T548" s="85" t="n">
        <v>540</v>
      </c>
    </row>
    <row r="549">
      <c r="B549" s="83" t="n"/>
      <c r="C549" s="83" t="n"/>
      <c r="D549" s="83" t="n"/>
      <c r="E549" s="83" t="n"/>
      <c r="F549" s="83" t="n"/>
      <c r="G549" s="83" t="n"/>
      <c r="H549" s="83" t="n"/>
      <c r="I549" s="83" t="n"/>
      <c r="J549" s="83" t="n"/>
      <c r="K549" s="83" t="n"/>
      <c r="L549" s="83" t="n"/>
      <c r="M549" s="83" t="n"/>
      <c r="O549" s="84" t="str">
        <f>IF($C549="","",IFERROR(MATCH($B549&amp;"|"&amp;$C549,MUROS!$AX$11:$AX$70,0),0))</f>
        <v/>
      </c>
      <c r="P549" s="84" t="str">
        <f>IF($D549="","",IF(ISNUMBER(MATCH($D549,CMB_S,0)),1,IF(ISNUMBER(MATCH($D549,CMB_G,0)),2,0)))</f>
        <v/>
      </c>
      <c r="Q549" s="84">
        <f>IF(ISNUMBER($H549),-$H549,0)</f>
        <v>0</v>
      </c>
      <c r="R549" s="84">
        <f>IF(ISNUMBER($I549),ABS($I549),0)</f>
        <v>0</v>
      </c>
      <c r="S549" s="84">
        <f>IF(ISNUMBER($M549),ABS($M549),0)</f>
        <v>0</v>
      </c>
      <c r="T549" s="85" t="n">
        <v>541</v>
      </c>
    </row>
    <row r="550">
      <c r="B550" s="83" t="n"/>
      <c r="C550" s="83" t="n"/>
      <c r="D550" s="83" t="n"/>
      <c r="E550" s="83" t="n"/>
      <c r="F550" s="83" t="n"/>
      <c r="G550" s="83" t="n"/>
      <c r="H550" s="83" t="n"/>
      <c r="I550" s="83" t="n"/>
      <c r="J550" s="83" t="n"/>
      <c r="K550" s="83" t="n"/>
      <c r="L550" s="83" t="n"/>
      <c r="M550" s="83" t="n"/>
      <c r="O550" s="84" t="str">
        <f>IF($C550="","",IFERROR(MATCH($B550&amp;"|"&amp;$C550,MUROS!$AX$11:$AX$70,0),0))</f>
        <v/>
      </c>
      <c r="P550" s="84" t="str">
        <f>IF($D550="","",IF(ISNUMBER(MATCH($D550,CMB_S,0)),1,IF(ISNUMBER(MATCH($D550,CMB_G,0)),2,0)))</f>
        <v/>
      </c>
      <c r="Q550" s="84">
        <f>IF(ISNUMBER($H550),-$H550,0)</f>
        <v>0</v>
      </c>
      <c r="R550" s="84">
        <f>IF(ISNUMBER($I550),ABS($I550),0)</f>
        <v>0</v>
      </c>
      <c r="S550" s="84">
        <f>IF(ISNUMBER($M550),ABS($M550),0)</f>
        <v>0</v>
      </c>
      <c r="T550" s="85" t="n">
        <v>542</v>
      </c>
    </row>
    <row r="551">
      <c r="B551" s="83" t="n"/>
      <c r="C551" s="83" t="n"/>
      <c r="D551" s="83" t="n"/>
      <c r="E551" s="83" t="n"/>
      <c r="F551" s="83" t="n"/>
      <c r="G551" s="83" t="n"/>
      <c r="H551" s="83" t="n"/>
      <c r="I551" s="83" t="n"/>
      <c r="J551" s="83" t="n"/>
      <c r="K551" s="83" t="n"/>
      <c r="L551" s="83" t="n"/>
      <c r="M551" s="83" t="n"/>
      <c r="O551" s="84" t="str">
        <f>IF($C551="","",IFERROR(MATCH($B551&amp;"|"&amp;$C551,MUROS!$AX$11:$AX$70,0),0))</f>
        <v/>
      </c>
      <c r="P551" s="84" t="str">
        <f>IF($D551="","",IF(ISNUMBER(MATCH($D551,CMB_S,0)),1,IF(ISNUMBER(MATCH($D551,CMB_G,0)),2,0)))</f>
        <v/>
      </c>
      <c r="Q551" s="84">
        <f>IF(ISNUMBER($H551),-$H551,0)</f>
        <v>0</v>
      </c>
      <c r="R551" s="84">
        <f>IF(ISNUMBER($I551),ABS($I551),0)</f>
        <v>0</v>
      </c>
      <c r="S551" s="84">
        <f>IF(ISNUMBER($M551),ABS($M551),0)</f>
        <v>0</v>
      </c>
      <c r="T551" s="85" t="n">
        <v>543</v>
      </c>
    </row>
    <row r="552">
      <c r="B552" s="83" t="n"/>
      <c r="C552" s="83" t="n"/>
      <c r="D552" s="83" t="n"/>
      <c r="E552" s="83" t="n"/>
      <c r="F552" s="83" t="n"/>
      <c r="G552" s="83" t="n"/>
      <c r="H552" s="83" t="n"/>
      <c r="I552" s="83" t="n"/>
      <c r="J552" s="83" t="n"/>
      <c r="K552" s="83" t="n"/>
      <c r="L552" s="83" t="n"/>
      <c r="M552" s="83" t="n"/>
      <c r="O552" s="84" t="str">
        <f>IF($C552="","",IFERROR(MATCH($B552&amp;"|"&amp;$C552,MUROS!$AX$11:$AX$70,0),0))</f>
        <v/>
      </c>
      <c r="P552" s="84" t="str">
        <f>IF($D552="","",IF(ISNUMBER(MATCH($D552,CMB_S,0)),1,IF(ISNUMBER(MATCH($D552,CMB_G,0)),2,0)))</f>
        <v/>
      </c>
      <c r="Q552" s="84">
        <f>IF(ISNUMBER($H552),-$H552,0)</f>
        <v>0</v>
      </c>
      <c r="R552" s="84">
        <f>IF(ISNUMBER($I552),ABS($I552),0)</f>
        <v>0</v>
      </c>
      <c r="S552" s="84">
        <f>IF(ISNUMBER($M552),ABS($M552),0)</f>
        <v>0</v>
      </c>
      <c r="T552" s="85" t="n">
        <v>544</v>
      </c>
    </row>
    <row r="553">
      <c r="B553" s="83" t="n"/>
      <c r="C553" s="83" t="n"/>
      <c r="D553" s="83" t="n"/>
      <c r="E553" s="83" t="n"/>
      <c r="F553" s="83" t="n"/>
      <c r="G553" s="83" t="n"/>
      <c r="H553" s="83" t="n"/>
      <c r="I553" s="83" t="n"/>
      <c r="J553" s="83" t="n"/>
      <c r="K553" s="83" t="n"/>
      <c r="L553" s="83" t="n"/>
      <c r="M553" s="83" t="n"/>
      <c r="O553" s="84" t="str">
        <f>IF($C553="","",IFERROR(MATCH($B553&amp;"|"&amp;$C553,MUROS!$AX$11:$AX$70,0),0))</f>
        <v/>
      </c>
      <c r="P553" s="84" t="str">
        <f>IF($D553="","",IF(ISNUMBER(MATCH($D553,CMB_S,0)),1,IF(ISNUMBER(MATCH($D553,CMB_G,0)),2,0)))</f>
        <v/>
      </c>
      <c r="Q553" s="84">
        <f>IF(ISNUMBER($H553),-$H553,0)</f>
        <v>0</v>
      </c>
      <c r="R553" s="84">
        <f>IF(ISNUMBER($I553),ABS($I553),0)</f>
        <v>0</v>
      </c>
      <c r="S553" s="84">
        <f>IF(ISNUMBER($M553),ABS($M553),0)</f>
        <v>0</v>
      </c>
      <c r="T553" s="85" t="n">
        <v>545</v>
      </c>
    </row>
    <row r="554">
      <c r="B554" s="83" t="n"/>
      <c r="C554" s="83" t="n"/>
      <c r="D554" s="83" t="n"/>
      <c r="E554" s="83" t="n"/>
      <c r="F554" s="83" t="n"/>
      <c r="G554" s="83" t="n"/>
      <c r="H554" s="83" t="n"/>
      <c r="I554" s="83" t="n"/>
      <c r="J554" s="83" t="n"/>
      <c r="K554" s="83" t="n"/>
      <c r="L554" s="83" t="n"/>
      <c r="M554" s="83" t="n"/>
      <c r="O554" s="84" t="str">
        <f>IF($C554="","",IFERROR(MATCH($B554&amp;"|"&amp;$C554,MUROS!$AX$11:$AX$70,0),0))</f>
        <v/>
      </c>
      <c r="P554" s="84" t="str">
        <f>IF($D554="","",IF(ISNUMBER(MATCH($D554,CMB_S,0)),1,IF(ISNUMBER(MATCH($D554,CMB_G,0)),2,0)))</f>
        <v/>
      </c>
      <c r="Q554" s="84">
        <f>IF(ISNUMBER($H554),-$H554,0)</f>
        <v>0</v>
      </c>
      <c r="R554" s="84">
        <f>IF(ISNUMBER($I554),ABS($I554),0)</f>
        <v>0</v>
      </c>
      <c r="S554" s="84">
        <f>IF(ISNUMBER($M554),ABS($M554),0)</f>
        <v>0</v>
      </c>
      <c r="T554" s="85" t="n">
        <v>546</v>
      </c>
    </row>
    <row r="555">
      <c r="B555" s="83" t="n"/>
      <c r="C555" s="83" t="n"/>
      <c r="D555" s="83" t="n"/>
      <c r="E555" s="83" t="n"/>
      <c r="F555" s="83" t="n"/>
      <c r="G555" s="83" t="n"/>
      <c r="H555" s="83" t="n"/>
      <c r="I555" s="83" t="n"/>
      <c r="J555" s="83" t="n"/>
      <c r="K555" s="83" t="n"/>
      <c r="L555" s="83" t="n"/>
      <c r="M555" s="83" t="n"/>
      <c r="O555" s="84" t="str">
        <f>IF($C555="","",IFERROR(MATCH($B555&amp;"|"&amp;$C555,MUROS!$AX$11:$AX$70,0),0))</f>
        <v/>
      </c>
      <c r="P555" s="84" t="str">
        <f>IF($D555="","",IF(ISNUMBER(MATCH($D555,CMB_S,0)),1,IF(ISNUMBER(MATCH($D555,CMB_G,0)),2,0)))</f>
        <v/>
      </c>
      <c r="Q555" s="84">
        <f>IF(ISNUMBER($H555),-$H555,0)</f>
        <v>0</v>
      </c>
      <c r="R555" s="84">
        <f>IF(ISNUMBER($I555),ABS($I555),0)</f>
        <v>0</v>
      </c>
      <c r="S555" s="84">
        <f>IF(ISNUMBER($M555),ABS($M555),0)</f>
        <v>0</v>
      </c>
      <c r="T555" s="85" t="n">
        <v>547</v>
      </c>
    </row>
    <row r="556">
      <c r="B556" s="83" t="n"/>
      <c r="C556" s="83" t="n"/>
      <c r="D556" s="83" t="n"/>
      <c r="E556" s="83" t="n"/>
      <c r="F556" s="83" t="n"/>
      <c r="G556" s="83" t="n"/>
      <c r="H556" s="83" t="n"/>
      <c r="I556" s="83" t="n"/>
      <c r="J556" s="83" t="n"/>
      <c r="K556" s="83" t="n"/>
      <c r="L556" s="83" t="n"/>
      <c r="M556" s="83" t="n"/>
      <c r="O556" s="84" t="str">
        <f>IF($C556="","",IFERROR(MATCH($B556&amp;"|"&amp;$C556,MUROS!$AX$11:$AX$70,0),0))</f>
        <v/>
      </c>
      <c r="P556" s="84" t="str">
        <f>IF($D556="","",IF(ISNUMBER(MATCH($D556,CMB_S,0)),1,IF(ISNUMBER(MATCH($D556,CMB_G,0)),2,0)))</f>
        <v/>
      </c>
      <c r="Q556" s="84">
        <f>IF(ISNUMBER($H556),-$H556,0)</f>
        <v>0</v>
      </c>
      <c r="R556" s="84">
        <f>IF(ISNUMBER($I556),ABS($I556),0)</f>
        <v>0</v>
      </c>
      <c r="S556" s="84">
        <f>IF(ISNUMBER($M556),ABS($M556),0)</f>
        <v>0</v>
      </c>
      <c r="T556" s="85" t="n">
        <v>548</v>
      </c>
    </row>
    <row r="557">
      <c r="B557" s="83" t="n"/>
      <c r="C557" s="83" t="n"/>
      <c r="D557" s="83" t="n"/>
      <c r="E557" s="83" t="n"/>
      <c r="F557" s="83" t="n"/>
      <c r="G557" s="83" t="n"/>
      <c r="H557" s="83" t="n"/>
      <c r="I557" s="83" t="n"/>
      <c r="J557" s="83" t="n"/>
      <c r="K557" s="83" t="n"/>
      <c r="L557" s="83" t="n"/>
      <c r="M557" s="83" t="n"/>
      <c r="O557" s="84" t="str">
        <f>IF($C557="","",IFERROR(MATCH($B557&amp;"|"&amp;$C557,MUROS!$AX$11:$AX$70,0),0))</f>
        <v/>
      </c>
      <c r="P557" s="84" t="str">
        <f>IF($D557="","",IF(ISNUMBER(MATCH($D557,CMB_S,0)),1,IF(ISNUMBER(MATCH($D557,CMB_G,0)),2,0)))</f>
        <v/>
      </c>
      <c r="Q557" s="84">
        <f>IF(ISNUMBER($H557),-$H557,0)</f>
        <v>0</v>
      </c>
      <c r="R557" s="84">
        <f>IF(ISNUMBER($I557),ABS($I557),0)</f>
        <v>0</v>
      </c>
      <c r="S557" s="84">
        <f>IF(ISNUMBER($M557),ABS($M557),0)</f>
        <v>0</v>
      </c>
      <c r="T557" s="85" t="n">
        <v>549</v>
      </c>
    </row>
    <row r="558">
      <c r="B558" s="83" t="n"/>
      <c r="C558" s="83" t="n"/>
      <c r="D558" s="83" t="n"/>
      <c r="E558" s="83" t="n"/>
      <c r="F558" s="83" t="n"/>
      <c r="G558" s="83" t="n"/>
      <c r="H558" s="83" t="n"/>
      <c r="I558" s="83" t="n"/>
      <c r="J558" s="83" t="n"/>
      <c r="K558" s="83" t="n"/>
      <c r="L558" s="83" t="n"/>
      <c r="M558" s="83" t="n"/>
      <c r="O558" s="84" t="str">
        <f>IF($C558="","",IFERROR(MATCH($B558&amp;"|"&amp;$C558,MUROS!$AX$11:$AX$70,0),0))</f>
        <v/>
      </c>
      <c r="P558" s="84" t="str">
        <f>IF($D558="","",IF(ISNUMBER(MATCH($D558,CMB_S,0)),1,IF(ISNUMBER(MATCH($D558,CMB_G,0)),2,0)))</f>
        <v/>
      </c>
      <c r="Q558" s="84">
        <f>IF(ISNUMBER($H558),-$H558,0)</f>
        <v>0</v>
      </c>
      <c r="R558" s="84">
        <f>IF(ISNUMBER($I558),ABS($I558),0)</f>
        <v>0</v>
      </c>
      <c r="S558" s="84">
        <f>IF(ISNUMBER($M558),ABS($M558),0)</f>
        <v>0</v>
      </c>
      <c r="T558" s="85" t="n">
        <v>550</v>
      </c>
    </row>
    <row r="559">
      <c r="B559" s="83" t="n"/>
      <c r="C559" s="83" t="n"/>
      <c r="D559" s="83" t="n"/>
      <c r="E559" s="83" t="n"/>
      <c r="F559" s="83" t="n"/>
      <c r="G559" s="83" t="n"/>
      <c r="H559" s="83" t="n"/>
      <c r="I559" s="83" t="n"/>
      <c r="J559" s="83" t="n"/>
      <c r="K559" s="83" t="n"/>
      <c r="L559" s="83" t="n"/>
      <c r="M559" s="83" t="n"/>
      <c r="O559" s="84" t="str">
        <f>IF($C559="","",IFERROR(MATCH($B559&amp;"|"&amp;$C559,MUROS!$AX$11:$AX$70,0),0))</f>
        <v/>
      </c>
      <c r="P559" s="84" t="str">
        <f>IF($D559="","",IF(ISNUMBER(MATCH($D559,CMB_S,0)),1,IF(ISNUMBER(MATCH($D559,CMB_G,0)),2,0)))</f>
        <v/>
      </c>
      <c r="Q559" s="84">
        <f>IF(ISNUMBER($H559),-$H559,0)</f>
        <v>0</v>
      </c>
      <c r="R559" s="84">
        <f>IF(ISNUMBER($I559),ABS($I559),0)</f>
        <v>0</v>
      </c>
      <c r="S559" s="84">
        <f>IF(ISNUMBER($M559),ABS($M559),0)</f>
        <v>0</v>
      </c>
      <c r="T559" s="85" t="n">
        <v>551</v>
      </c>
    </row>
    <row r="560"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83" t="n"/>
      <c r="K560" s="83" t="n"/>
      <c r="L560" s="83" t="n"/>
      <c r="M560" s="83" t="n"/>
      <c r="O560" s="84" t="str">
        <f>IF($C560="","",IFERROR(MATCH($B560&amp;"|"&amp;$C560,MUROS!$AX$11:$AX$70,0),0))</f>
        <v/>
      </c>
      <c r="P560" s="84" t="str">
        <f>IF($D560="","",IF(ISNUMBER(MATCH($D560,CMB_S,0)),1,IF(ISNUMBER(MATCH($D560,CMB_G,0)),2,0)))</f>
        <v/>
      </c>
      <c r="Q560" s="84">
        <f>IF(ISNUMBER($H560),-$H560,0)</f>
        <v>0</v>
      </c>
      <c r="R560" s="84">
        <f>IF(ISNUMBER($I560),ABS($I560),0)</f>
        <v>0</v>
      </c>
      <c r="S560" s="84">
        <f>IF(ISNUMBER($M560),ABS($M560),0)</f>
        <v>0</v>
      </c>
      <c r="T560" s="85" t="n">
        <v>552</v>
      </c>
    </row>
    <row r="561">
      <c r="B561" s="83" t="n"/>
      <c r="C561" s="83" t="n"/>
      <c r="D561" s="83" t="n"/>
      <c r="E561" s="83" t="n"/>
      <c r="F561" s="83" t="n"/>
      <c r="G561" s="83" t="n"/>
      <c r="H561" s="83" t="n"/>
      <c r="I561" s="83" t="n"/>
      <c r="J561" s="83" t="n"/>
      <c r="K561" s="83" t="n"/>
      <c r="L561" s="83" t="n"/>
      <c r="M561" s="83" t="n"/>
      <c r="O561" s="84" t="str">
        <f>IF($C561="","",IFERROR(MATCH($B561&amp;"|"&amp;$C561,MUROS!$AX$11:$AX$70,0),0))</f>
        <v/>
      </c>
      <c r="P561" s="84" t="str">
        <f>IF($D561="","",IF(ISNUMBER(MATCH($D561,CMB_S,0)),1,IF(ISNUMBER(MATCH($D561,CMB_G,0)),2,0)))</f>
        <v/>
      </c>
      <c r="Q561" s="84">
        <f>IF(ISNUMBER($H561),-$H561,0)</f>
        <v>0</v>
      </c>
      <c r="R561" s="84">
        <f>IF(ISNUMBER($I561),ABS($I561),0)</f>
        <v>0</v>
      </c>
      <c r="S561" s="84">
        <f>IF(ISNUMBER($M561),ABS($M561),0)</f>
        <v>0</v>
      </c>
      <c r="T561" s="85" t="n">
        <v>553</v>
      </c>
    </row>
    <row r="562">
      <c r="B562" s="83" t="n"/>
      <c r="C562" s="83" t="n"/>
      <c r="D562" s="83" t="n"/>
      <c r="E562" s="83" t="n"/>
      <c r="F562" s="83" t="n"/>
      <c r="G562" s="83" t="n"/>
      <c r="H562" s="83" t="n"/>
      <c r="I562" s="83" t="n"/>
      <c r="J562" s="83" t="n"/>
      <c r="K562" s="83" t="n"/>
      <c r="L562" s="83" t="n"/>
      <c r="M562" s="83" t="n"/>
      <c r="O562" s="84" t="str">
        <f>IF($C562="","",IFERROR(MATCH($B562&amp;"|"&amp;$C562,MUROS!$AX$11:$AX$70,0),0))</f>
        <v/>
      </c>
      <c r="P562" s="84" t="str">
        <f>IF($D562="","",IF(ISNUMBER(MATCH($D562,CMB_S,0)),1,IF(ISNUMBER(MATCH($D562,CMB_G,0)),2,0)))</f>
        <v/>
      </c>
      <c r="Q562" s="84">
        <f>IF(ISNUMBER($H562),-$H562,0)</f>
        <v>0</v>
      </c>
      <c r="R562" s="84">
        <f>IF(ISNUMBER($I562),ABS($I562),0)</f>
        <v>0</v>
      </c>
      <c r="S562" s="84">
        <f>IF(ISNUMBER($M562),ABS($M562),0)</f>
        <v>0</v>
      </c>
      <c r="T562" s="85" t="n">
        <v>554</v>
      </c>
    </row>
    <row r="563">
      <c r="B563" s="83" t="n"/>
      <c r="C563" s="83" t="n"/>
      <c r="D563" s="83" t="n"/>
      <c r="E563" s="83" t="n"/>
      <c r="F563" s="83" t="n"/>
      <c r="G563" s="83" t="n"/>
      <c r="H563" s="83" t="n"/>
      <c r="I563" s="83" t="n"/>
      <c r="J563" s="83" t="n"/>
      <c r="K563" s="83" t="n"/>
      <c r="L563" s="83" t="n"/>
      <c r="M563" s="83" t="n"/>
      <c r="O563" s="84" t="str">
        <f>IF($C563="","",IFERROR(MATCH($B563&amp;"|"&amp;$C563,MUROS!$AX$11:$AX$70,0),0))</f>
        <v/>
      </c>
      <c r="P563" s="84" t="str">
        <f>IF($D563="","",IF(ISNUMBER(MATCH($D563,CMB_S,0)),1,IF(ISNUMBER(MATCH($D563,CMB_G,0)),2,0)))</f>
        <v/>
      </c>
      <c r="Q563" s="84">
        <f>IF(ISNUMBER($H563),-$H563,0)</f>
        <v>0</v>
      </c>
      <c r="R563" s="84">
        <f>IF(ISNUMBER($I563),ABS($I563),0)</f>
        <v>0</v>
      </c>
      <c r="S563" s="84">
        <f>IF(ISNUMBER($M563),ABS($M563),0)</f>
        <v>0</v>
      </c>
      <c r="T563" s="85" t="n">
        <v>555</v>
      </c>
    </row>
    <row r="564">
      <c r="B564" s="83" t="n"/>
      <c r="C564" s="83" t="n"/>
      <c r="D564" s="83" t="n"/>
      <c r="E564" s="83" t="n"/>
      <c r="F564" s="83" t="n"/>
      <c r="G564" s="83" t="n"/>
      <c r="H564" s="83" t="n"/>
      <c r="I564" s="83" t="n"/>
      <c r="J564" s="83" t="n"/>
      <c r="K564" s="83" t="n"/>
      <c r="L564" s="83" t="n"/>
      <c r="M564" s="83" t="n"/>
      <c r="O564" s="84" t="str">
        <f>IF($C564="","",IFERROR(MATCH($B564&amp;"|"&amp;$C564,MUROS!$AX$11:$AX$70,0),0))</f>
        <v/>
      </c>
      <c r="P564" s="84" t="str">
        <f>IF($D564="","",IF(ISNUMBER(MATCH($D564,CMB_S,0)),1,IF(ISNUMBER(MATCH($D564,CMB_G,0)),2,0)))</f>
        <v/>
      </c>
      <c r="Q564" s="84">
        <f>IF(ISNUMBER($H564),-$H564,0)</f>
        <v>0</v>
      </c>
      <c r="R564" s="84">
        <f>IF(ISNUMBER($I564),ABS($I564),0)</f>
        <v>0</v>
      </c>
      <c r="S564" s="84">
        <f>IF(ISNUMBER($M564),ABS($M564),0)</f>
        <v>0</v>
      </c>
      <c r="T564" s="85" t="n">
        <v>556</v>
      </c>
    </row>
    <row r="565">
      <c r="B565" s="83" t="n"/>
      <c r="C565" s="83" t="n"/>
      <c r="D565" s="83" t="n"/>
      <c r="E565" s="83" t="n"/>
      <c r="F565" s="83" t="n"/>
      <c r="G565" s="83" t="n"/>
      <c r="H565" s="83" t="n"/>
      <c r="I565" s="83" t="n"/>
      <c r="J565" s="83" t="n"/>
      <c r="K565" s="83" t="n"/>
      <c r="L565" s="83" t="n"/>
      <c r="M565" s="83" t="n"/>
      <c r="O565" s="84" t="str">
        <f>IF($C565="","",IFERROR(MATCH($B565&amp;"|"&amp;$C565,MUROS!$AX$11:$AX$70,0),0))</f>
        <v/>
      </c>
      <c r="P565" s="84" t="str">
        <f>IF($D565="","",IF(ISNUMBER(MATCH($D565,CMB_S,0)),1,IF(ISNUMBER(MATCH($D565,CMB_G,0)),2,0)))</f>
        <v/>
      </c>
      <c r="Q565" s="84">
        <f>IF(ISNUMBER($H565),-$H565,0)</f>
        <v>0</v>
      </c>
      <c r="R565" s="84">
        <f>IF(ISNUMBER($I565),ABS($I565),0)</f>
        <v>0</v>
      </c>
      <c r="S565" s="84">
        <f>IF(ISNUMBER($M565),ABS($M565),0)</f>
        <v>0</v>
      </c>
      <c r="T565" s="85" t="n">
        <v>557</v>
      </c>
    </row>
    <row r="566">
      <c r="B566" s="83" t="n"/>
      <c r="C566" s="83" t="n"/>
      <c r="D566" s="83" t="n"/>
      <c r="E566" s="83" t="n"/>
      <c r="F566" s="83" t="n"/>
      <c r="G566" s="83" t="n"/>
      <c r="H566" s="83" t="n"/>
      <c r="I566" s="83" t="n"/>
      <c r="J566" s="83" t="n"/>
      <c r="K566" s="83" t="n"/>
      <c r="L566" s="83" t="n"/>
      <c r="M566" s="83" t="n"/>
      <c r="O566" s="84" t="str">
        <f>IF($C566="","",IFERROR(MATCH($B566&amp;"|"&amp;$C566,MUROS!$AX$11:$AX$70,0),0))</f>
        <v/>
      </c>
      <c r="P566" s="84" t="str">
        <f>IF($D566="","",IF(ISNUMBER(MATCH($D566,CMB_S,0)),1,IF(ISNUMBER(MATCH($D566,CMB_G,0)),2,0)))</f>
        <v/>
      </c>
      <c r="Q566" s="84">
        <f>IF(ISNUMBER($H566),-$H566,0)</f>
        <v>0</v>
      </c>
      <c r="R566" s="84">
        <f>IF(ISNUMBER($I566),ABS($I566),0)</f>
        <v>0</v>
      </c>
      <c r="S566" s="84">
        <f>IF(ISNUMBER($M566),ABS($M566),0)</f>
        <v>0</v>
      </c>
      <c r="T566" s="85" t="n">
        <v>558</v>
      </c>
    </row>
    <row r="567">
      <c r="B567" s="83" t="n"/>
      <c r="C567" s="83" t="n"/>
      <c r="D567" s="83" t="n"/>
      <c r="E567" s="83" t="n"/>
      <c r="F567" s="83" t="n"/>
      <c r="G567" s="83" t="n"/>
      <c r="H567" s="83" t="n"/>
      <c r="I567" s="83" t="n"/>
      <c r="J567" s="83" t="n"/>
      <c r="K567" s="83" t="n"/>
      <c r="L567" s="83" t="n"/>
      <c r="M567" s="83" t="n"/>
      <c r="O567" s="84" t="str">
        <f>IF($C567="","",IFERROR(MATCH($B567&amp;"|"&amp;$C567,MUROS!$AX$11:$AX$70,0),0))</f>
        <v/>
      </c>
      <c r="P567" s="84" t="str">
        <f>IF($D567="","",IF(ISNUMBER(MATCH($D567,CMB_S,0)),1,IF(ISNUMBER(MATCH($D567,CMB_G,0)),2,0)))</f>
        <v/>
      </c>
      <c r="Q567" s="84">
        <f>IF(ISNUMBER($H567),-$H567,0)</f>
        <v>0</v>
      </c>
      <c r="R567" s="84">
        <f>IF(ISNUMBER($I567),ABS($I567),0)</f>
        <v>0</v>
      </c>
      <c r="S567" s="84">
        <f>IF(ISNUMBER($M567),ABS($M567),0)</f>
        <v>0</v>
      </c>
      <c r="T567" s="85" t="n">
        <v>559</v>
      </c>
    </row>
    <row r="568">
      <c r="B568" s="83" t="n"/>
      <c r="C568" s="83" t="n"/>
      <c r="D568" s="83" t="n"/>
      <c r="E568" s="83" t="n"/>
      <c r="F568" s="83" t="n"/>
      <c r="G568" s="83" t="n"/>
      <c r="H568" s="83" t="n"/>
      <c r="I568" s="83" t="n"/>
      <c r="J568" s="83" t="n"/>
      <c r="K568" s="83" t="n"/>
      <c r="L568" s="83" t="n"/>
      <c r="M568" s="83" t="n"/>
      <c r="O568" s="84" t="str">
        <f>IF($C568="","",IFERROR(MATCH($B568&amp;"|"&amp;$C568,MUROS!$AX$11:$AX$70,0),0))</f>
        <v/>
      </c>
      <c r="P568" s="84" t="str">
        <f>IF($D568="","",IF(ISNUMBER(MATCH($D568,CMB_S,0)),1,IF(ISNUMBER(MATCH($D568,CMB_G,0)),2,0)))</f>
        <v/>
      </c>
      <c r="Q568" s="84">
        <f>IF(ISNUMBER($H568),-$H568,0)</f>
        <v>0</v>
      </c>
      <c r="R568" s="84">
        <f>IF(ISNUMBER($I568),ABS($I568),0)</f>
        <v>0</v>
      </c>
      <c r="S568" s="84">
        <f>IF(ISNUMBER($M568),ABS($M568),0)</f>
        <v>0</v>
      </c>
      <c r="T568" s="85" t="n">
        <v>560</v>
      </c>
    </row>
    <row r="569">
      <c r="B569" s="83" t="n"/>
      <c r="C569" s="83" t="n"/>
      <c r="D569" s="83" t="n"/>
      <c r="E569" s="83" t="n"/>
      <c r="F569" s="83" t="n"/>
      <c r="G569" s="83" t="n"/>
      <c r="H569" s="83" t="n"/>
      <c r="I569" s="83" t="n"/>
      <c r="J569" s="83" t="n"/>
      <c r="K569" s="83" t="n"/>
      <c r="L569" s="83" t="n"/>
      <c r="M569" s="83" t="n"/>
      <c r="O569" s="84" t="str">
        <f>IF($C569="","",IFERROR(MATCH($B569&amp;"|"&amp;$C569,MUROS!$AX$11:$AX$70,0),0))</f>
        <v/>
      </c>
      <c r="P569" s="84" t="str">
        <f>IF($D569="","",IF(ISNUMBER(MATCH($D569,CMB_S,0)),1,IF(ISNUMBER(MATCH($D569,CMB_G,0)),2,0)))</f>
        <v/>
      </c>
      <c r="Q569" s="84">
        <f>IF(ISNUMBER($H569),-$H569,0)</f>
        <v>0</v>
      </c>
      <c r="R569" s="84">
        <f>IF(ISNUMBER($I569),ABS($I569),0)</f>
        <v>0</v>
      </c>
      <c r="S569" s="84">
        <f>IF(ISNUMBER($M569),ABS($M569),0)</f>
        <v>0</v>
      </c>
      <c r="T569" s="85" t="n">
        <v>561</v>
      </c>
    </row>
    <row r="570"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83" t="n"/>
      <c r="K570" s="83" t="n"/>
      <c r="L570" s="83" t="n"/>
      <c r="M570" s="83" t="n"/>
      <c r="O570" s="84" t="str">
        <f>IF($C570="","",IFERROR(MATCH($B570&amp;"|"&amp;$C570,MUROS!$AX$11:$AX$70,0),0))</f>
        <v/>
      </c>
      <c r="P570" s="84" t="str">
        <f>IF($D570="","",IF(ISNUMBER(MATCH($D570,CMB_S,0)),1,IF(ISNUMBER(MATCH($D570,CMB_G,0)),2,0)))</f>
        <v/>
      </c>
      <c r="Q570" s="84">
        <f>IF(ISNUMBER($H570),-$H570,0)</f>
        <v>0</v>
      </c>
      <c r="R570" s="84">
        <f>IF(ISNUMBER($I570),ABS($I570),0)</f>
        <v>0</v>
      </c>
      <c r="S570" s="84">
        <f>IF(ISNUMBER($M570),ABS($M570),0)</f>
        <v>0</v>
      </c>
      <c r="T570" s="85" t="n">
        <v>562</v>
      </c>
    </row>
    <row r="571">
      <c r="B571" s="83" t="n"/>
      <c r="C571" s="83" t="n"/>
      <c r="D571" s="83" t="n"/>
      <c r="E571" s="83" t="n"/>
      <c r="F571" s="83" t="n"/>
      <c r="G571" s="83" t="n"/>
      <c r="H571" s="83" t="n"/>
      <c r="I571" s="83" t="n"/>
      <c r="J571" s="83" t="n"/>
      <c r="K571" s="83" t="n"/>
      <c r="L571" s="83" t="n"/>
      <c r="M571" s="83" t="n"/>
      <c r="O571" s="84" t="str">
        <f>IF($C571="","",IFERROR(MATCH($B571&amp;"|"&amp;$C571,MUROS!$AX$11:$AX$70,0),0))</f>
        <v/>
      </c>
      <c r="P571" s="84" t="str">
        <f>IF($D571="","",IF(ISNUMBER(MATCH($D571,CMB_S,0)),1,IF(ISNUMBER(MATCH($D571,CMB_G,0)),2,0)))</f>
        <v/>
      </c>
      <c r="Q571" s="84">
        <f>IF(ISNUMBER($H571),-$H571,0)</f>
        <v>0</v>
      </c>
      <c r="R571" s="84">
        <f>IF(ISNUMBER($I571),ABS($I571),0)</f>
        <v>0</v>
      </c>
      <c r="S571" s="84">
        <f>IF(ISNUMBER($M571),ABS($M571),0)</f>
        <v>0</v>
      </c>
      <c r="T571" s="85" t="n">
        <v>563</v>
      </c>
    </row>
    <row r="572">
      <c r="B572" s="83" t="n"/>
      <c r="C572" s="83" t="n"/>
      <c r="D572" s="83" t="n"/>
      <c r="E572" s="83" t="n"/>
      <c r="F572" s="83" t="n"/>
      <c r="G572" s="83" t="n"/>
      <c r="H572" s="83" t="n"/>
      <c r="I572" s="83" t="n"/>
      <c r="J572" s="83" t="n"/>
      <c r="K572" s="83" t="n"/>
      <c r="L572" s="83" t="n"/>
      <c r="M572" s="83" t="n"/>
      <c r="O572" s="84" t="str">
        <f>IF($C572="","",IFERROR(MATCH($B572&amp;"|"&amp;$C572,MUROS!$AX$11:$AX$70,0),0))</f>
        <v/>
      </c>
      <c r="P572" s="84" t="str">
        <f>IF($D572="","",IF(ISNUMBER(MATCH($D572,CMB_S,0)),1,IF(ISNUMBER(MATCH($D572,CMB_G,0)),2,0)))</f>
        <v/>
      </c>
      <c r="Q572" s="84">
        <f>IF(ISNUMBER($H572),-$H572,0)</f>
        <v>0</v>
      </c>
      <c r="R572" s="84">
        <f>IF(ISNUMBER($I572),ABS($I572),0)</f>
        <v>0</v>
      </c>
      <c r="S572" s="84">
        <f>IF(ISNUMBER($M572),ABS($M572),0)</f>
        <v>0</v>
      </c>
      <c r="T572" s="85" t="n">
        <v>564</v>
      </c>
    </row>
    <row r="573">
      <c r="B573" s="83" t="n"/>
      <c r="C573" s="83" t="n"/>
      <c r="D573" s="83" t="n"/>
      <c r="E573" s="83" t="n"/>
      <c r="F573" s="83" t="n"/>
      <c r="G573" s="83" t="n"/>
      <c r="H573" s="83" t="n"/>
      <c r="I573" s="83" t="n"/>
      <c r="J573" s="83" t="n"/>
      <c r="K573" s="83" t="n"/>
      <c r="L573" s="83" t="n"/>
      <c r="M573" s="83" t="n"/>
      <c r="O573" s="84" t="str">
        <f>IF($C573="","",IFERROR(MATCH($B573&amp;"|"&amp;$C573,MUROS!$AX$11:$AX$70,0),0))</f>
        <v/>
      </c>
      <c r="P573" s="84" t="str">
        <f>IF($D573="","",IF(ISNUMBER(MATCH($D573,CMB_S,0)),1,IF(ISNUMBER(MATCH($D573,CMB_G,0)),2,0)))</f>
        <v/>
      </c>
      <c r="Q573" s="84">
        <f>IF(ISNUMBER($H573),-$H573,0)</f>
        <v>0</v>
      </c>
      <c r="R573" s="84">
        <f>IF(ISNUMBER($I573),ABS($I573),0)</f>
        <v>0</v>
      </c>
      <c r="S573" s="84">
        <f>IF(ISNUMBER($M573),ABS($M573),0)</f>
        <v>0</v>
      </c>
      <c r="T573" s="85" t="n">
        <v>565</v>
      </c>
    </row>
    <row r="574">
      <c r="B574" s="83" t="n"/>
      <c r="C574" s="83" t="n"/>
      <c r="D574" s="83" t="n"/>
      <c r="E574" s="83" t="n"/>
      <c r="F574" s="83" t="n"/>
      <c r="G574" s="83" t="n"/>
      <c r="H574" s="83" t="n"/>
      <c r="I574" s="83" t="n"/>
      <c r="J574" s="83" t="n"/>
      <c r="K574" s="83" t="n"/>
      <c r="L574" s="83" t="n"/>
      <c r="M574" s="83" t="n"/>
      <c r="O574" s="84" t="str">
        <f>IF($C574="","",IFERROR(MATCH($B574&amp;"|"&amp;$C574,MUROS!$AX$11:$AX$70,0),0))</f>
        <v/>
      </c>
      <c r="P574" s="84" t="str">
        <f>IF($D574="","",IF(ISNUMBER(MATCH($D574,CMB_S,0)),1,IF(ISNUMBER(MATCH($D574,CMB_G,0)),2,0)))</f>
        <v/>
      </c>
      <c r="Q574" s="84">
        <f>IF(ISNUMBER($H574),-$H574,0)</f>
        <v>0</v>
      </c>
      <c r="R574" s="84">
        <f>IF(ISNUMBER($I574),ABS($I574),0)</f>
        <v>0</v>
      </c>
      <c r="S574" s="84">
        <f>IF(ISNUMBER($M574),ABS($M574),0)</f>
        <v>0</v>
      </c>
      <c r="T574" s="85" t="n">
        <v>566</v>
      </c>
    </row>
    <row r="575">
      <c r="B575" s="83" t="n"/>
      <c r="C575" s="83" t="n"/>
      <c r="D575" s="83" t="n"/>
      <c r="E575" s="83" t="n"/>
      <c r="F575" s="83" t="n"/>
      <c r="G575" s="83" t="n"/>
      <c r="H575" s="83" t="n"/>
      <c r="I575" s="83" t="n"/>
      <c r="J575" s="83" t="n"/>
      <c r="K575" s="83" t="n"/>
      <c r="L575" s="83" t="n"/>
      <c r="M575" s="83" t="n"/>
      <c r="O575" s="84" t="str">
        <f>IF($C575="","",IFERROR(MATCH($B575&amp;"|"&amp;$C575,MUROS!$AX$11:$AX$70,0),0))</f>
        <v/>
      </c>
      <c r="P575" s="84" t="str">
        <f>IF($D575="","",IF(ISNUMBER(MATCH($D575,CMB_S,0)),1,IF(ISNUMBER(MATCH($D575,CMB_G,0)),2,0)))</f>
        <v/>
      </c>
      <c r="Q575" s="84">
        <f>IF(ISNUMBER($H575),-$H575,0)</f>
        <v>0</v>
      </c>
      <c r="R575" s="84">
        <f>IF(ISNUMBER($I575),ABS($I575),0)</f>
        <v>0</v>
      </c>
      <c r="S575" s="84">
        <f>IF(ISNUMBER($M575),ABS($M575),0)</f>
        <v>0</v>
      </c>
      <c r="T575" s="85" t="n">
        <v>567</v>
      </c>
    </row>
    <row r="576">
      <c r="B576" s="83" t="n"/>
      <c r="C576" s="83" t="n"/>
      <c r="D576" s="83" t="n"/>
      <c r="E576" s="83" t="n"/>
      <c r="F576" s="83" t="n"/>
      <c r="G576" s="83" t="n"/>
      <c r="H576" s="83" t="n"/>
      <c r="I576" s="83" t="n"/>
      <c r="J576" s="83" t="n"/>
      <c r="K576" s="83" t="n"/>
      <c r="L576" s="83" t="n"/>
      <c r="M576" s="83" t="n"/>
      <c r="O576" s="84" t="str">
        <f>IF($C576="","",IFERROR(MATCH($B576&amp;"|"&amp;$C576,MUROS!$AX$11:$AX$70,0),0))</f>
        <v/>
      </c>
      <c r="P576" s="84" t="str">
        <f>IF($D576="","",IF(ISNUMBER(MATCH($D576,CMB_S,0)),1,IF(ISNUMBER(MATCH($D576,CMB_G,0)),2,0)))</f>
        <v/>
      </c>
      <c r="Q576" s="84">
        <f>IF(ISNUMBER($H576),-$H576,0)</f>
        <v>0</v>
      </c>
      <c r="R576" s="84">
        <f>IF(ISNUMBER($I576),ABS($I576),0)</f>
        <v>0</v>
      </c>
      <c r="S576" s="84">
        <f>IF(ISNUMBER($M576),ABS($M576),0)</f>
        <v>0</v>
      </c>
      <c r="T576" s="85" t="n">
        <v>568</v>
      </c>
    </row>
    <row r="577">
      <c r="B577" s="83" t="n"/>
      <c r="C577" s="83" t="n"/>
      <c r="D577" s="83" t="n"/>
      <c r="E577" s="83" t="n"/>
      <c r="F577" s="83" t="n"/>
      <c r="G577" s="83" t="n"/>
      <c r="H577" s="83" t="n"/>
      <c r="I577" s="83" t="n"/>
      <c r="J577" s="83" t="n"/>
      <c r="K577" s="83" t="n"/>
      <c r="L577" s="83" t="n"/>
      <c r="M577" s="83" t="n"/>
      <c r="O577" s="84" t="str">
        <f>IF($C577="","",IFERROR(MATCH($B577&amp;"|"&amp;$C577,MUROS!$AX$11:$AX$70,0),0))</f>
        <v/>
      </c>
      <c r="P577" s="84" t="str">
        <f>IF($D577="","",IF(ISNUMBER(MATCH($D577,CMB_S,0)),1,IF(ISNUMBER(MATCH($D577,CMB_G,0)),2,0)))</f>
        <v/>
      </c>
      <c r="Q577" s="84">
        <f>IF(ISNUMBER($H577),-$H577,0)</f>
        <v>0</v>
      </c>
      <c r="R577" s="84">
        <f>IF(ISNUMBER($I577),ABS($I577),0)</f>
        <v>0</v>
      </c>
      <c r="S577" s="84">
        <f>IF(ISNUMBER($M577),ABS($M577),0)</f>
        <v>0</v>
      </c>
      <c r="T577" s="85" t="n">
        <v>569</v>
      </c>
    </row>
    <row r="578">
      <c r="B578" s="83" t="n"/>
      <c r="C578" s="83" t="n"/>
      <c r="D578" s="83" t="n"/>
      <c r="E578" s="83" t="n"/>
      <c r="F578" s="83" t="n"/>
      <c r="G578" s="83" t="n"/>
      <c r="H578" s="83" t="n"/>
      <c r="I578" s="83" t="n"/>
      <c r="J578" s="83" t="n"/>
      <c r="K578" s="83" t="n"/>
      <c r="L578" s="83" t="n"/>
      <c r="M578" s="83" t="n"/>
      <c r="O578" s="84" t="str">
        <f>IF($C578="","",IFERROR(MATCH($B578&amp;"|"&amp;$C578,MUROS!$AX$11:$AX$70,0),0))</f>
        <v/>
      </c>
      <c r="P578" s="84" t="str">
        <f>IF($D578="","",IF(ISNUMBER(MATCH($D578,CMB_S,0)),1,IF(ISNUMBER(MATCH($D578,CMB_G,0)),2,0)))</f>
        <v/>
      </c>
      <c r="Q578" s="84">
        <f>IF(ISNUMBER($H578),-$H578,0)</f>
        <v>0</v>
      </c>
      <c r="R578" s="84">
        <f>IF(ISNUMBER($I578),ABS($I578),0)</f>
        <v>0</v>
      </c>
      <c r="S578" s="84">
        <f>IF(ISNUMBER($M578),ABS($M578),0)</f>
        <v>0</v>
      </c>
      <c r="T578" s="85" t="n">
        <v>570</v>
      </c>
    </row>
    <row r="579"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83" t="n"/>
      <c r="K579" s="83" t="n"/>
      <c r="L579" s="83" t="n"/>
      <c r="M579" s="83" t="n"/>
      <c r="O579" s="84" t="str">
        <f>IF($C579="","",IFERROR(MATCH($B579&amp;"|"&amp;$C579,MUROS!$AX$11:$AX$70,0),0))</f>
        <v/>
      </c>
      <c r="P579" s="84" t="str">
        <f>IF($D579="","",IF(ISNUMBER(MATCH($D579,CMB_S,0)),1,IF(ISNUMBER(MATCH($D579,CMB_G,0)),2,0)))</f>
        <v/>
      </c>
      <c r="Q579" s="84">
        <f>IF(ISNUMBER($H579),-$H579,0)</f>
        <v>0</v>
      </c>
      <c r="R579" s="84">
        <f>IF(ISNUMBER($I579),ABS($I579),0)</f>
        <v>0</v>
      </c>
      <c r="S579" s="84">
        <f>IF(ISNUMBER($M579),ABS($M579),0)</f>
        <v>0</v>
      </c>
      <c r="T579" s="85" t="n">
        <v>571</v>
      </c>
    </row>
    <row r="580">
      <c r="B580" s="83" t="n"/>
      <c r="C580" s="83" t="n"/>
      <c r="D580" s="83" t="n"/>
      <c r="E580" s="83" t="n"/>
      <c r="F580" s="83" t="n"/>
      <c r="G580" s="83" t="n"/>
      <c r="H580" s="83" t="n"/>
      <c r="I580" s="83" t="n"/>
      <c r="J580" s="83" t="n"/>
      <c r="K580" s="83" t="n"/>
      <c r="L580" s="83" t="n"/>
      <c r="M580" s="83" t="n"/>
      <c r="O580" s="84" t="str">
        <f>IF($C580="","",IFERROR(MATCH($B580&amp;"|"&amp;$C580,MUROS!$AX$11:$AX$70,0),0))</f>
        <v/>
      </c>
      <c r="P580" s="84" t="str">
        <f>IF($D580="","",IF(ISNUMBER(MATCH($D580,CMB_S,0)),1,IF(ISNUMBER(MATCH($D580,CMB_G,0)),2,0)))</f>
        <v/>
      </c>
      <c r="Q580" s="84">
        <f>IF(ISNUMBER($H580),-$H580,0)</f>
        <v>0</v>
      </c>
      <c r="R580" s="84">
        <f>IF(ISNUMBER($I580),ABS($I580),0)</f>
        <v>0</v>
      </c>
      <c r="S580" s="84">
        <f>IF(ISNUMBER($M580),ABS($M580),0)</f>
        <v>0</v>
      </c>
      <c r="T580" s="85" t="n">
        <v>572</v>
      </c>
    </row>
    <row r="581">
      <c r="B581" s="83" t="n"/>
      <c r="C581" s="83" t="n"/>
      <c r="D581" s="83" t="n"/>
      <c r="E581" s="83" t="n"/>
      <c r="F581" s="83" t="n"/>
      <c r="G581" s="83" t="n"/>
      <c r="H581" s="83" t="n"/>
      <c r="I581" s="83" t="n"/>
      <c r="J581" s="83" t="n"/>
      <c r="K581" s="83" t="n"/>
      <c r="L581" s="83" t="n"/>
      <c r="M581" s="83" t="n"/>
      <c r="O581" s="84" t="str">
        <f>IF($C581="","",IFERROR(MATCH($B581&amp;"|"&amp;$C581,MUROS!$AX$11:$AX$70,0),0))</f>
        <v/>
      </c>
      <c r="P581" s="84" t="str">
        <f>IF($D581="","",IF(ISNUMBER(MATCH($D581,CMB_S,0)),1,IF(ISNUMBER(MATCH($D581,CMB_G,0)),2,0)))</f>
        <v/>
      </c>
      <c r="Q581" s="84">
        <f>IF(ISNUMBER($H581),-$H581,0)</f>
        <v>0</v>
      </c>
      <c r="R581" s="84">
        <f>IF(ISNUMBER($I581),ABS($I581),0)</f>
        <v>0</v>
      </c>
      <c r="S581" s="84">
        <f>IF(ISNUMBER($M581),ABS($M581),0)</f>
        <v>0</v>
      </c>
      <c r="T581" s="85" t="n">
        <v>573</v>
      </c>
    </row>
    <row r="582">
      <c r="B582" s="83" t="n"/>
      <c r="C582" s="83" t="n"/>
      <c r="D582" s="83" t="n"/>
      <c r="E582" s="83" t="n"/>
      <c r="F582" s="83" t="n"/>
      <c r="G582" s="83" t="n"/>
      <c r="H582" s="83" t="n"/>
      <c r="I582" s="83" t="n"/>
      <c r="J582" s="83" t="n"/>
      <c r="K582" s="83" t="n"/>
      <c r="L582" s="83" t="n"/>
      <c r="M582" s="83" t="n"/>
      <c r="O582" s="84" t="str">
        <f>IF($C582="","",IFERROR(MATCH($B582&amp;"|"&amp;$C582,MUROS!$AX$11:$AX$70,0),0))</f>
        <v/>
      </c>
      <c r="P582" s="84" t="str">
        <f>IF($D582="","",IF(ISNUMBER(MATCH($D582,CMB_S,0)),1,IF(ISNUMBER(MATCH($D582,CMB_G,0)),2,0)))</f>
        <v/>
      </c>
      <c r="Q582" s="84">
        <f>IF(ISNUMBER($H582),-$H582,0)</f>
        <v>0</v>
      </c>
      <c r="R582" s="84">
        <f>IF(ISNUMBER($I582),ABS($I582),0)</f>
        <v>0</v>
      </c>
      <c r="S582" s="84">
        <f>IF(ISNUMBER($M582),ABS($M582),0)</f>
        <v>0</v>
      </c>
      <c r="T582" s="85" t="n">
        <v>574</v>
      </c>
    </row>
    <row r="583">
      <c r="B583" s="83" t="n"/>
      <c r="C583" s="83" t="n"/>
      <c r="D583" s="83" t="n"/>
      <c r="E583" s="83" t="n"/>
      <c r="F583" s="83" t="n"/>
      <c r="G583" s="83" t="n"/>
      <c r="H583" s="83" t="n"/>
      <c r="I583" s="83" t="n"/>
      <c r="J583" s="83" t="n"/>
      <c r="K583" s="83" t="n"/>
      <c r="L583" s="83" t="n"/>
      <c r="M583" s="83" t="n"/>
      <c r="O583" s="84" t="str">
        <f>IF($C583="","",IFERROR(MATCH($B583&amp;"|"&amp;$C583,MUROS!$AX$11:$AX$70,0),0))</f>
        <v/>
      </c>
      <c r="P583" s="84" t="str">
        <f>IF($D583="","",IF(ISNUMBER(MATCH($D583,CMB_S,0)),1,IF(ISNUMBER(MATCH($D583,CMB_G,0)),2,0)))</f>
        <v/>
      </c>
      <c r="Q583" s="84">
        <f>IF(ISNUMBER($H583),-$H583,0)</f>
        <v>0</v>
      </c>
      <c r="R583" s="84">
        <f>IF(ISNUMBER($I583),ABS($I583),0)</f>
        <v>0</v>
      </c>
      <c r="S583" s="84">
        <f>IF(ISNUMBER($M583),ABS($M583),0)</f>
        <v>0</v>
      </c>
      <c r="T583" s="85" t="n">
        <v>575</v>
      </c>
    </row>
    <row r="584">
      <c r="B584" s="83" t="n"/>
      <c r="C584" s="83" t="n"/>
      <c r="D584" s="83" t="n"/>
      <c r="E584" s="83" t="n"/>
      <c r="F584" s="83" t="n"/>
      <c r="G584" s="83" t="n"/>
      <c r="H584" s="83" t="n"/>
      <c r="I584" s="83" t="n"/>
      <c r="J584" s="83" t="n"/>
      <c r="K584" s="83" t="n"/>
      <c r="L584" s="83" t="n"/>
      <c r="M584" s="83" t="n"/>
      <c r="O584" s="84" t="str">
        <f>IF($C584="","",IFERROR(MATCH($B584&amp;"|"&amp;$C584,MUROS!$AX$11:$AX$70,0),0))</f>
        <v/>
      </c>
      <c r="P584" s="84" t="str">
        <f>IF($D584="","",IF(ISNUMBER(MATCH($D584,CMB_S,0)),1,IF(ISNUMBER(MATCH($D584,CMB_G,0)),2,0)))</f>
        <v/>
      </c>
      <c r="Q584" s="84">
        <f>IF(ISNUMBER($H584),-$H584,0)</f>
        <v>0</v>
      </c>
      <c r="R584" s="84">
        <f>IF(ISNUMBER($I584),ABS($I584),0)</f>
        <v>0</v>
      </c>
      <c r="S584" s="84">
        <f>IF(ISNUMBER($M584),ABS($M584),0)</f>
        <v>0</v>
      </c>
      <c r="T584" s="85" t="n">
        <v>576</v>
      </c>
    </row>
    <row r="585">
      <c r="B585" s="83" t="n"/>
      <c r="C585" s="83" t="n"/>
      <c r="D585" s="83" t="n"/>
      <c r="E585" s="83" t="n"/>
      <c r="F585" s="83" t="n"/>
      <c r="G585" s="83" t="n"/>
      <c r="H585" s="83" t="n"/>
      <c r="I585" s="83" t="n"/>
      <c r="J585" s="83" t="n"/>
      <c r="K585" s="83" t="n"/>
      <c r="L585" s="83" t="n"/>
      <c r="M585" s="83" t="n"/>
      <c r="O585" s="84" t="str">
        <f>IF($C585="","",IFERROR(MATCH($B585&amp;"|"&amp;$C585,MUROS!$AX$11:$AX$70,0),0))</f>
        <v/>
      </c>
      <c r="P585" s="84" t="str">
        <f>IF($D585="","",IF(ISNUMBER(MATCH($D585,CMB_S,0)),1,IF(ISNUMBER(MATCH($D585,CMB_G,0)),2,0)))</f>
        <v/>
      </c>
      <c r="Q585" s="84">
        <f>IF(ISNUMBER($H585),-$H585,0)</f>
        <v>0</v>
      </c>
      <c r="R585" s="84">
        <f>IF(ISNUMBER($I585),ABS($I585),0)</f>
        <v>0</v>
      </c>
      <c r="S585" s="84">
        <f>IF(ISNUMBER($M585),ABS($M585),0)</f>
        <v>0</v>
      </c>
      <c r="T585" s="85" t="n">
        <v>577</v>
      </c>
    </row>
    <row r="586">
      <c r="B586" s="83" t="n"/>
      <c r="C586" s="83" t="n"/>
      <c r="D586" s="83" t="n"/>
      <c r="E586" s="83" t="n"/>
      <c r="F586" s="83" t="n"/>
      <c r="G586" s="83" t="n"/>
      <c r="H586" s="83" t="n"/>
      <c r="I586" s="83" t="n"/>
      <c r="J586" s="83" t="n"/>
      <c r="K586" s="83" t="n"/>
      <c r="L586" s="83" t="n"/>
      <c r="M586" s="83" t="n"/>
      <c r="O586" s="84" t="str">
        <f>IF($C586="","",IFERROR(MATCH($B586&amp;"|"&amp;$C586,MUROS!$AX$11:$AX$70,0),0))</f>
        <v/>
      </c>
      <c r="P586" s="84" t="str">
        <f>IF($D586="","",IF(ISNUMBER(MATCH($D586,CMB_S,0)),1,IF(ISNUMBER(MATCH($D586,CMB_G,0)),2,0)))</f>
        <v/>
      </c>
      <c r="Q586" s="84">
        <f>IF(ISNUMBER($H586),-$H586,0)</f>
        <v>0</v>
      </c>
      <c r="R586" s="84">
        <f>IF(ISNUMBER($I586),ABS($I586),0)</f>
        <v>0</v>
      </c>
      <c r="S586" s="84">
        <f>IF(ISNUMBER($M586),ABS($M586),0)</f>
        <v>0</v>
      </c>
      <c r="T586" s="85" t="n">
        <v>578</v>
      </c>
    </row>
    <row r="587">
      <c r="B587" s="83" t="n"/>
      <c r="C587" s="83" t="n"/>
      <c r="D587" s="83" t="n"/>
      <c r="E587" s="83" t="n"/>
      <c r="F587" s="83" t="n"/>
      <c r="G587" s="83" t="n"/>
      <c r="H587" s="83" t="n"/>
      <c r="I587" s="83" t="n"/>
      <c r="J587" s="83" t="n"/>
      <c r="K587" s="83" t="n"/>
      <c r="L587" s="83" t="n"/>
      <c r="M587" s="83" t="n"/>
      <c r="O587" s="84" t="str">
        <f>IF($C587="","",IFERROR(MATCH($B587&amp;"|"&amp;$C587,MUROS!$AX$11:$AX$70,0),0))</f>
        <v/>
      </c>
      <c r="P587" s="84" t="str">
        <f>IF($D587="","",IF(ISNUMBER(MATCH($D587,CMB_S,0)),1,IF(ISNUMBER(MATCH($D587,CMB_G,0)),2,0)))</f>
        <v/>
      </c>
      <c r="Q587" s="84">
        <f>IF(ISNUMBER($H587),-$H587,0)</f>
        <v>0</v>
      </c>
      <c r="R587" s="84">
        <f>IF(ISNUMBER($I587),ABS($I587),0)</f>
        <v>0</v>
      </c>
      <c r="S587" s="84">
        <f>IF(ISNUMBER($M587),ABS($M587),0)</f>
        <v>0</v>
      </c>
      <c r="T587" s="85" t="n">
        <v>579</v>
      </c>
    </row>
    <row r="588"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83" t="n"/>
      <c r="K588" s="83" t="n"/>
      <c r="L588" s="83" t="n"/>
      <c r="M588" s="83" t="n"/>
      <c r="O588" s="84" t="str">
        <f>IF($C588="","",IFERROR(MATCH($B588&amp;"|"&amp;$C588,MUROS!$AX$11:$AX$70,0),0))</f>
        <v/>
      </c>
      <c r="P588" s="84" t="str">
        <f>IF($D588="","",IF(ISNUMBER(MATCH($D588,CMB_S,0)),1,IF(ISNUMBER(MATCH($D588,CMB_G,0)),2,0)))</f>
        <v/>
      </c>
      <c r="Q588" s="84">
        <f>IF(ISNUMBER($H588),-$H588,0)</f>
        <v>0</v>
      </c>
      <c r="R588" s="84">
        <f>IF(ISNUMBER($I588),ABS($I588),0)</f>
        <v>0</v>
      </c>
      <c r="S588" s="84">
        <f>IF(ISNUMBER($M588),ABS($M588),0)</f>
        <v>0</v>
      </c>
      <c r="T588" s="85" t="n">
        <v>580</v>
      </c>
    </row>
    <row r="589">
      <c r="B589" s="83" t="n"/>
      <c r="C589" s="83" t="n"/>
      <c r="D589" s="83" t="n"/>
      <c r="E589" s="83" t="n"/>
      <c r="F589" s="83" t="n"/>
      <c r="G589" s="83" t="n"/>
      <c r="H589" s="83" t="n"/>
      <c r="I589" s="83" t="n"/>
      <c r="J589" s="83" t="n"/>
      <c r="K589" s="83" t="n"/>
      <c r="L589" s="83" t="n"/>
      <c r="M589" s="83" t="n"/>
      <c r="O589" s="84" t="str">
        <f>IF($C589="","",IFERROR(MATCH($B589&amp;"|"&amp;$C589,MUROS!$AX$11:$AX$70,0),0))</f>
        <v/>
      </c>
      <c r="P589" s="84" t="str">
        <f>IF($D589="","",IF(ISNUMBER(MATCH($D589,CMB_S,0)),1,IF(ISNUMBER(MATCH($D589,CMB_G,0)),2,0)))</f>
        <v/>
      </c>
      <c r="Q589" s="84">
        <f>IF(ISNUMBER($H589),-$H589,0)</f>
        <v>0</v>
      </c>
      <c r="R589" s="84">
        <f>IF(ISNUMBER($I589),ABS($I589),0)</f>
        <v>0</v>
      </c>
      <c r="S589" s="84">
        <f>IF(ISNUMBER($M589),ABS($M589),0)</f>
        <v>0</v>
      </c>
      <c r="T589" s="85" t="n">
        <v>581</v>
      </c>
    </row>
    <row r="590">
      <c r="B590" s="83" t="n"/>
      <c r="C590" s="83" t="n"/>
      <c r="D590" s="83" t="n"/>
      <c r="E590" s="83" t="n"/>
      <c r="F590" s="83" t="n"/>
      <c r="G590" s="83" t="n"/>
      <c r="H590" s="83" t="n"/>
      <c r="I590" s="83" t="n"/>
      <c r="J590" s="83" t="n"/>
      <c r="K590" s="83" t="n"/>
      <c r="L590" s="83" t="n"/>
      <c r="M590" s="83" t="n"/>
      <c r="O590" s="84" t="str">
        <f>IF($C590="","",IFERROR(MATCH($B590&amp;"|"&amp;$C590,MUROS!$AX$11:$AX$70,0),0))</f>
        <v/>
      </c>
      <c r="P590" s="84" t="str">
        <f>IF($D590="","",IF(ISNUMBER(MATCH($D590,CMB_S,0)),1,IF(ISNUMBER(MATCH($D590,CMB_G,0)),2,0)))</f>
        <v/>
      </c>
      <c r="Q590" s="84">
        <f>IF(ISNUMBER($H590),-$H590,0)</f>
        <v>0</v>
      </c>
      <c r="R590" s="84">
        <f>IF(ISNUMBER($I590),ABS($I590),0)</f>
        <v>0</v>
      </c>
      <c r="S590" s="84">
        <f>IF(ISNUMBER($M590),ABS($M590),0)</f>
        <v>0</v>
      </c>
      <c r="T590" s="85" t="n">
        <v>582</v>
      </c>
    </row>
    <row r="591">
      <c r="B591" s="83" t="n"/>
      <c r="C591" s="83" t="n"/>
      <c r="D591" s="83" t="n"/>
      <c r="E591" s="83" t="n"/>
      <c r="F591" s="83" t="n"/>
      <c r="G591" s="83" t="n"/>
      <c r="H591" s="83" t="n"/>
      <c r="I591" s="83" t="n"/>
      <c r="J591" s="83" t="n"/>
      <c r="K591" s="83" t="n"/>
      <c r="L591" s="83" t="n"/>
      <c r="M591" s="83" t="n"/>
      <c r="O591" s="84" t="str">
        <f>IF($C591="","",IFERROR(MATCH($B591&amp;"|"&amp;$C591,MUROS!$AX$11:$AX$70,0),0))</f>
        <v/>
      </c>
      <c r="P591" s="84" t="str">
        <f>IF($D591="","",IF(ISNUMBER(MATCH($D591,CMB_S,0)),1,IF(ISNUMBER(MATCH($D591,CMB_G,0)),2,0)))</f>
        <v/>
      </c>
      <c r="Q591" s="84">
        <f>IF(ISNUMBER($H591),-$H591,0)</f>
        <v>0</v>
      </c>
      <c r="R591" s="84">
        <f>IF(ISNUMBER($I591),ABS($I591),0)</f>
        <v>0</v>
      </c>
      <c r="S591" s="84">
        <f>IF(ISNUMBER($M591),ABS($M591),0)</f>
        <v>0</v>
      </c>
      <c r="T591" s="85" t="n">
        <v>583</v>
      </c>
    </row>
    <row r="592">
      <c r="B592" s="83" t="n"/>
      <c r="C592" s="83" t="n"/>
      <c r="D592" s="83" t="n"/>
      <c r="E592" s="83" t="n"/>
      <c r="F592" s="83" t="n"/>
      <c r="G592" s="83" t="n"/>
      <c r="H592" s="83" t="n"/>
      <c r="I592" s="83" t="n"/>
      <c r="J592" s="83" t="n"/>
      <c r="K592" s="83" t="n"/>
      <c r="L592" s="83" t="n"/>
      <c r="M592" s="83" t="n"/>
      <c r="O592" s="84" t="str">
        <f>IF($C592="","",IFERROR(MATCH($B592&amp;"|"&amp;$C592,MUROS!$AX$11:$AX$70,0),0))</f>
        <v/>
      </c>
      <c r="P592" s="84" t="str">
        <f>IF($D592="","",IF(ISNUMBER(MATCH($D592,CMB_S,0)),1,IF(ISNUMBER(MATCH($D592,CMB_G,0)),2,0)))</f>
        <v/>
      </c>
      <c r="Q592" s="84">
        <f>IF(ISNUMBER($H592),-$H592,0)</f>
        <v>0</v>
      </c>
      <c r="R592" s="84">
        <f>IF(ISNUMBER($I592),ABS($I592),0)</f>
        <v>0</v>
      </c>
      <c r="S592" s="84">
        <f>IF(ISNUMBER($M592),ABS($M592),0)</f>
        <v>0</v>
      </c>
      <c r="T592" s="85" t="n">
        <v>584</v>
      </c>
    </row>
    <row r="593">
      <c r="B593" s="83" t="n"/>
      <c r="C593" s="83" t="n"/>
      <c r="D593" s="83" t="n"/>
      <c r="E593" s="83" t="n"/>
      <c r="F593" s="83" t="n"/>
      <c r="G593" s="83" t="n"/>
      <c r="H593" s="83" t="n"/>
      <c r="I593" s="83" t="n"/>
      <c r="J593" s="83" t="n"/>
      <c r="K593" s="83" t="n"/>
      <c r="L593" s="83" t="n"/>
      <c r="M593" s="83" t="n"/>
      <c r="O593" s="84" t="str">
        <f>IF($C593="","",IFERROR(MATCH($B593&amp;"|"&amp;$C593,MUROS!$AX$11:$AX$70,0),0))</f>
        <v/>
      </c>
      <c r="P593" s="84" t="str">
        <f>IF($D593="","",IF(ISNUMBER(MATCH($D593,CMB_S,0)),1,IF(ISNUMBER(MATCH($D593,CMB_G,0)),2,0)))</f>
        <v/>
      </c>
      <c r="Q593" s="84">
        <f>IF(ISNUMBER($H593),-$H593,0)</f>
        <v>0</v>
      </c>
      <c r="R593" s="84">
        <f>IF(ISNUMBER($I593),ABS($I593),0)</f>
        <v>0</v>
      </c>
      <c r="S593" s="84">
        <f>IF(ISNUMBER($M593),ABS($M593),0)</f>
        <v>0</v>
      </c>
      <c r="T593" s="85" t="n">
        <v>585</v>
      </c>
    </row>
    <row r="594">
      <c r="B594" s="83" t="n"/>
      <c r="C594" s="83" t="n"/>
      <c r="D594" s="83" t="n"/>
      <c r="E594" s="83" t="n"/>
      <c r="F594" s="83" t="n"/>
      <c r="G594" s="83" t="n"/>
      <c r="H594" s="83" t="n"/>
      <c r="I594" s="83" t="n"/>
      <c r="J594" s="83" t="n"/>
      <c r="K594" s="83" t="n"/>
      <c r="L594" s="83" t="n"/>
      <c r="M594" s="83" t="n"/>
      <c r="O594" s="84" t="str">
        <f>IF($C594="","",IFERROR(MATCH($B594&amp;"|"&amp;$C594,MUROS!$AX$11:$AX$70,0),0))</f>
        <v/>
      </c>
      <c r="P594" s="84" t="str">
        <f>IF($D594="","",IF(ISNUMBER(MATCH($D594,CMB_S,0)),1,IF(ISNUMBER(MATCH($D594,CMB_G,0)),2,0)))</f>
        <v/>
      </c>
      <c r="Q594" s="84">
        <f>IF(ISNUMBER($H594),-$H594,0)</f>
        <v>0</v>
      </c>
      <c r="R594" s="84">
        <f>IF(ISNUMBER($I594),ABS($I594),0)</f>
        <v>0</v>
      </c>
      <c r="S594" s="84">
        <f>IF(ISNUMBER($M594),ABS($M594),0)</f>
        <v>0</v>
      </c>
      <c r="T594" s="85" t="n">
        <v>586</v>
      </c>
    </row>
    <row r="595">
      <c r="B595" s="83" t="n"/>
      <c r="C595" s="83" t="n"/>
      <c r="D595" s="83" t="n"/>
      <c r="E595" s="83" t="n"/>
      <c r="F595" s="83" t="n"/>
      <c r="G595" s="83" t="n"/>
      <c r="H595" s="83" t="n"/>
      <c r="I595" s="83" t="n"/>
      <c r="J595" s="83" t="n"/>
      <c r="K595" s="83" t="n"/>
      <c r="L595" s="83" t="n"/>
      <c r="M595" s="83" t="n"/>
      <c r="O595" s="84" t="str">
        <f>IF($C595="","",IFERROR(MATCH($B595&amp;"|"&amp;$C595,MUROS!$AX$11:$AX$70,0),0))</f>
        <v/>
      </c>
      <c r="P595" s="84" t="str">
        <f>IF($D595="","",IF(ISNUMBER(MATCH($D595,CMB_S,0)),1,IF(ISNUMBER(MATCH($D595,CMB_G,0)),2,0)))</f>
        <v/>
      </c>
      <c r="Q595" s="84">
        <f>IF(ISNUMBER($H595),-$H595,0)</f>
        <v>0</v>
      </c>
      <c r="R595" s="84">
        <f>IF(ISNUMBER($I595),ABS($I595),0)</f>
        <v>0</v>
      </c>
      <c r="S595" s="84">
        <f>IF(ISNUMBER($M595),ABS($M595),0)</f>
        <v>0</v>
      </c>
      <c r="T595" s="85" t="n">
        <v>587</v>
      </c>
    </row>
    <row r="596">
      <c r="B596" s="83" t="n"/>
      <c r="C596" s="83" t="n"/>
      <c r="D596" s="83" t="n"/>
      <c r="E596" s="83" t="n"/>
      <c r="F596" s="83" t="n"/>
      <c r="G596" s="83" t="n"/>
      <c r="H596" s="83" t="n"/>
      <c r="I596" s="83" t="n"/>
      <c r="J596" s="83" t="n"/>
      <c r="K596" s="83" t="n"/>
      <c r="L596" s="83" t="n"/>
      <c r="M596" s="83" t="n"/>
      <c r="O596" s="84" t="str">
        <f>IF($C596="","",IFERROR(MATCH($B596&amp;"|"&amp;$C596,MUROS!$AX$11:$AX$70,0),0))</f>
        <v/>
      </c>
      <c r="P596" s="84" t="str">
        <f>IF($D596="","",IF(ISNUMBER(MATCH($D596,CMB_S,0)),1,IF(ISNUMBER(MATCH($D596,CMB_G,0)),2,0)))</f>
        <v/>
      </c>
      <c r="Q596" s="84">
        <f>IF(ISNUMBER($H596),-$H596,0)</f>
        <v>0</v>
      </c>
      <c r="R596" s="84">
        <f>IF(ISNUMBER($I596),ABS($I596),0)</f>
        <v>0</v>
      </c>
      <c r="S596" s="84">
        <f>IF(ISNUMBER($M596),ABS($M596),0)</f>
        <v>0</v>
      </c>
      <c r="T596" s="85" t="n">
        <v>588</v>
      </c>
    </row>
    <row r="597">
      <c r="B597" s="83" t="n"/>
      <c r="C597" s="83" t="n"/>
      <c r="D597" s="83" t="n"/>
      <c r="E597" s="83" t="n"/>
      <c r="F597" s="83" t="n"/>
      <c r="G597" s="83" t="n"/>
      <c r="H597" s="83" t="n"/>
      <c r="I597" s="83" t="n"/>
      <c r="J597" s="83" t="n"/>
      <c r="K597" s="83" t="n"/>
      <c r="L597" s="83" t="n"/>
      <c r="M597" s="83" t="n"/>
      <c r="O597" s="84" t="str">
        <f>IF($C597="","",IFERROR(MATCH($B597&amp;"|"&amp;$C597,MUROS!$AX$11:$AX$70,0),0))</f>
        <v/>
      </c>
      <c r="P597" s="84" t="str">
        <f>IF($D597="","",IF(ISNUMBER(MATCH($D597,CMB_S,0)),1,IF(ISNUMBER(MATCH($D597,CMB_G,0)),2,0)))</f>
        <v/>
      </c>
      <c r="Q597" s="84">
        <f>IF(ISNUMBER($H597),-$H597,0)</f>
        <v>0</v>
      </c>
      <c r="R597" s="84">
        <f>IF(ISNUMBER($I597),ABS($I597),0)</f>
        <v>0</v>
      </c>
      <c r="S597" s="84">
        <f>IF(ISNUMBER($M597),ABS($M597),0)</f>
        <v>0</v>
      </c>
      <c r="T597" s="85" t="n">
        <v>589</v>
      </c>
    </row>
    <row r="598"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83" t="n"/>
      <c r="K598" s="83" t="n"/>
      <c r="L598" s="83" t="n"/>
      <c r="M598" s="83" t="n"/>
      <c r="O598" s="84" t="str">
        <f>IF($C598="","",IFERROR(MATCH($B598&amp;"|"&amp;$C598,MUROS!$AX$11:$AX$70,0),0))</f>
        <v/>
      </c>
      <c r="P598" s="84" t="str">
        <f>IF($D598="","",IF(ISNUMBER(MATCH($D598,CMB_S,0)),1,IF(ISNUMBER(MATCH($D598,CMB_G,0)),2,0)))</f>
        <v/>
      </c>
      <c r="Q598" s="84">
        <f>IF(ISNUMBER($H598),-$H598,0)</f>
        <v>0</v>
      </c>
      <c r="R598" s="84">
        <f>IF(ISNUMBER($I598),ABS($I598),0)</f>
        <v>0</v>
      </c>
      <c r="S598" s="84">
        <f>IF(ISNUMBER($M598),ABS($M598),0)</f>
        <v>0</v>
      </c>
      <c r="T598" s="85" t="n">
        <v>590</v>
      </c>
    </row>
    <row r="599">
      <c r="B599" s="83" t="n"/>
      <c r="C599" s="83" t="n"/>
      <c r="D599" s="83" t="n"/>
      <c r="E599" s="83" t="n"/>
      <c r="F599" s="83" t="n"/>
      <c r="G599" s="83" t="n"/>
      <c r="H599" s="83" t="n"/>
      <c r="I599" s="83" t="n"/>
      <c r="J599" s="83" t="n"/>
      <c r="K599" s="83" t="n"/>
      <c r="L599" s="83" t="n"/>
      <c r="M599" s="83" t="n"/>
      <c r="O599" s="84" t="str">
        <f>IF($C599="","",IFERROR(MATCH($B599&amp;"|"&amp;$C599,MUROS!$AX$11:$AX$70,0),0))</f>
        <v/>
      </c>
      <c r="P599" s="84" t="str">
        <f>IF($D599="","",IF(ISNUMBER(MATCH($D599,CMB_S,0)),1,IF(ISNUMBER(MATCH($D599,CMB_G,0)),2,0)))</f>
        <v/>
      </c>
      <c r="Q599" s="84">
        <f>IF(ISNUMBER($H599),-$H599,0)</f>
        <v>0</v>
      </c>
      <c r="R599" s="84">
        <f>IF(ISNUMBER($I599),ABS($I599),0)</f>
        <v>0</v>
      </c>
      <c r="S599" s="84">
        <f>IF(ISNUMBER($M599),ABS($M599),0)</f>
        <v>0</v>
      </c>
      <c r="T599" s="85" t="n">
        <v>591</v>
      </c>
    </row>
    <row r="600">
      <c r="B600" s="83" t="n"/>
      <c r="C600" s="83" t="n"/>
      <c r="D600" s="83" t="n"/>
      <c r="E600" s="83" t="n"/>
      <c r="F600" s="83" t="n"/>
      <c r="G600" s="83" t="n"/>
      <c r="H600" s="83" t="n"/>
      <c r="I600" s="83" t="n"/>
      <c r="J600" s="83" t="n"/>
      <c r="K600" s="83" t="n"/>
      <c r="L600" s="83" t="n"/>
      <c r="M600" s="83" t="n"/>
      <c r="O600" s="84" t="str">
        <f>IF($C600="","",IFERROR(MATCH($B600&amp;"|"&amp;$C600,MUROS!$AX$11:$AX$70,0),0))</f>
        <v/>
      </c>
      <c r="P600" s="84" t="str">
        <f>IF($D600="","",IF(ISNUMBER(MATCH($D600,CMB_S,0)),1,IF(ISNUMBER(MATCH($D600,CMB_G,0)),2,0)))</f>
        <v/>
      </c>
      <c r="Q600" s="84">
        <f>IF(ISNUMBER($H600),-$H600,0)</f>
        <v>0</v>
      </c>
      <c r="R600" s="84">
        <f>IF(ISNUMBER($I600),ABS($I600),0)</f>
        <v>0</v>
      </c>
      <c r="S600" s="84">
        <f>IF(ISNUMBER($M600),ABS($M600),0)</f>
        <v>0</v>
      </c>
      <c r="T600" s="85" t="n">
        <v>592</v>
      </c>
    </row>
    <row r="601">
      <c r="B601" s="83" t="n"/>
      <c r="C601" s="83" t="n"/>
      <c r="D601" s="83" t="n"/>
      <c r="E601" s="83" t="n"/>
      <c r="F601" s="83" t="n"/>
      <c r="G601" s="83" t="n"/>
      <c r="H601" s="83" t="n"/>
      <c r="I601" s="83" t="n"/>
      <c r="J601" s="83" t="n"/>
      <c r="K601" s="83" t="n"/>
      <c r="L601" s="83" t="n"/>
      <c r="M601" s="83" t="n"/>
      <c r="O601" s="84" t="str">
        <f>IF($C601="","",IFERROR(MATCH($B601&amp;"|"&amp;$C601,MUROS!$AX$11:$AX$70,0),0))</f>
        <v/>
      </c>
      <c r="P601" s="84" t="str">
        <f>IF($D601="","",IF(ISNUMBER(MATCH($D601,CMB_S,0)),1,IF(ISNUMBER(MATCH($D601,CMB_G,0)),2,0)))</f>
        <v/>
      </c>
      <c r="Q601" s="84">
        <f>IF(ISNUMBER($H601),-$H601,0)</f>
        <v>0</v>
      </c>
      <c r="R601" s="84">
        <f>IF(ISNUMBER($I601),ABS($I601),0)</f>
        <v>0</v>
      </c>
      <c r="S601" s="84">
        <f>IF(ISNUMBER($M601),ABS($M601),0)</f>
        <v>0</v>
      </c>
      <c r="T601" s="85" t="n">
        <v>593</v>
      </c>
    </row>
    <row r="602">
      <c r="B602" s="83" t="n"/>
      <c r="C602" s="83" t="n"/>
      <c r="D602" s="83" t="n"/>
      <c r="E602" s="83" t="n"/>
      <c r="F602" s="83" t="n"/>
      <c r="G602" s="83" t="n"/>
      <c r="H602" s="83" t="n"/>
      <c r="I602" s="83" t="n"/>
      <c r="J602" s="83" t="n"/>
      <c r="K602" s="83" t="n"/>
      <c r="L602" s="83" t="n"/>
      <c r="M602" s="83" t="n"/>
      <c r="O602" s="84" t="str">
        <f>IF($C602="","",IFERROR(MATCH($B602&amp;"|"&amp;$C602,MUROS!$AX$11:$AX$70,0),0))</f>
        <v/>
      </c>
      <c r="P602" s="84" t="str">
        <f>IF($D602="","",IF(ISNUMBER(MATCH($D602,CMB_S,0)),1,IF(ISNUMBER(MATCH($D602,CMB_G,0)),2,0)))</f>
        <v/>
      </c>
      <c r="Q602" s="84">
        <f>IF(ISNUMBER($H602),-$H602,0)</f>
        <v>0</v>
      </c>
      <c r="R602" s="84">
        <f>IF(ISNUMBER($I602),ABS($I602),0)</f>
        <v>0</v>
      </c>
      <c r="S602" s="84">
        <f>IF(ISNUMBER($M602),ABS($M602),0)</f>
        <v>0</v>
      </c>
      <c r="T602" s="85" t="n">
        <v>594</v>
      </c>
    </row>
    <row r="603">
      <c r="B603" s="83" t="n"/>
      <c r="C603" s="83" t="n"/>
      <c r="D603" s="83" t="n"/>
      <c r="E603" s="83" t="n"/>
      <c r="F603" s="83" t="n"/>
      <c r="G603" s="83" t="n"/>
      <c r="H603" s="83" t="n"/>
      <c r="I603" s="83" t="n"/>
      <c r="J603" s="83" t="n"/>
      <c r="K603" s="83" t="n"/>
      <c r="L603" s="83" t="n"/>
      <c r="M603" s="83" t="n"/>
      <c r="O603" s="84" t="str">
        <f>IF($C603="","",IFERROR(MATCH($B603&amp;"|"&amp;$C603,MUROS!$AX$11:$AX$70,0),0))</f>
        <v/>
      </c>
      <c r="P603" s="84" t="str">
        <f>IF($D603="","",IF(ISNUMBER(MATCH($D603,CMB_S,0)),1,IF(ISNUMBER(MATCH($D603,CMB_G,0)),2,0)))</f>
        <v/>
      </c>
      <c r="Q603" s="84">
        <f>IF(ISNUMBER($H603),-$H603,0)</f>
        <v>0</v>
      </c>
      <c r="R603" s="84">
        <f>IF(ISNUMBER($I603),ABS($I603),0)</f>
        <v>0</v>
      </c>
      <c r="S603" s="84">
        <f>IF(ISNUMBER($M603),ABS($M603),0)</f>
        <v>0</v>
      </c>
      <c r="T603" s="85" t="n">
        <v>595</v>
      </c>
    </row>
    <row r="604">
      <c r="B604" s="83" t="n"/>
      <c r="C604" s="83" t="n"/>
      <c r="D604" s="83" t="n"/>
      <c r="E604" s="83" t="n"/>
      <c r="F604" s="83" t="n"/>
      <c r="G604" s="83" t="n"/>
      <c r="H604" s="83" t="n"/>
      <c r="I604" s="83" t="n"/>
      <c r="J604" s="83" t="n"/>
      <c r="K604" s="83" t="n"/>
      <c r="L604" s="83" t="n"/>
      <c r="M604" s="83" t="n"/>
      <c r="O604" s="84" t="str">
        <f>IF($C604="","",IFERROR(MATCH($B604&amp;"|"&amp;$C604,MUROS!$AX$11:$AX$70,0),0))</f>
        <v/>
      </c>
      <c r="P604" s="84" t="str">
        <f>IF($D604="","",IF(ISNUMBER(MATCH($D604,CMB_S,0)),1,IF(ISNUMBER(MATCH($D604,CMB_G,0)),2,0)))</f>
        <v/>
      </c>
      <c r="Q604" s="84">
        <f>IF(ISNUMBER($H604),-$H604,0)</f>
        <v>0</v>
      </c>
      <c r="R604" s="84">
        <f>IF(ISNUMBER($I604),ABS($I604),0)</f>
        <v>0</v>
      </c>
      <c r="S604" s="84">
        <f>IF(ISNUMBER($M604),ABS($M604),0)</f>
        <v>0</v>
      </c>
      <c r="T604" s="85" t="n">
        <v>596</v>
      </c>
    </row>
    <row r="605">
      <c r="B605" s="83" t="n"/>
      <c r="C605" s="83" t="n"/>
      <c r="D605" s="83" t="n"/>
      <c r="E605" s="83" t="n"/>
      <c r="F605" s="83" t="n"/>
      <c r="G605" s="83" t="n"/>
      <c r="H605" s="83" t="n"/>
      <c r="I605" s="83" t="n"/>
      <c r="J605" s="83" t="n"/>
      <c r="K605" s="83" t="n"/>
      <c r="L605" s="83" t="n"/>
      <c r="M605" s="83" t="n"/>
      <c r="O605" s="84" t="str">
        <f>IF($C605="","",IFERROR(MATCH($B605&amp;"|"&amp;$C605,MUROS!$AX$11:$AX$70,0),0))</f>
        <v/>
      </c>
      <c r="P605" s="84" t="str">
        <f>IF($D605="","",IF(ISNUMBER(MATCH($D605,CMB_S,0)),1,IF(ISNUMBER(MATCH($D605,CMB_G,0)),2,0)))</f>
        <v/>
      </c>
      <c r="Q605" s="84">
        <f>IF(ISNUMBER($H605),-$H605,0)</f>
        <v>0</v>
      </c>
      <c r="R605" s="84">
        <f>IF(ISNUMBER($I605),ABS($I605),0)</f>
        <v>0</v>
      </c>
      <c r="S605" s="84">
        <f>IF(ISNUMBER($M605),ABS($M605),0)</f>
        <v>0</v>
      </c>
      <c r="T605" s="85" t="n">
        <v>597</v>
      </c>
    </row>
    <row r="606">
      <c r="B606" s="83" t="n"/>
      <c r="C606" s="83" t="n"/>
      <c r="D606" s="83" t="n"/>
      <c r="E606" s="83" t="n"/>
      <c r="F606" s="83" t="n"/>
      <c r="G606" s="83" t="n"/>
      <c r="H606" s="83" t="n"/>
      <c r="I606" s="83" t="n"/>
      <c r="J606" s="83" t="n"/>
      <c r="K606" s="83" t="n"/>
      <c r="L606" s="83" t="n"/>
      <c r="M606" s="83" t="n"/>
      <c r="O606" s="84" t="str">
        <f>IF($C606="","",IFERROR(MATCH($B606&amp;"|"&amp;$C606,MUROS!$AX$11:$AX$70,0),0))</f>
        <v/>
      </c>
      <c r="P606" s="84" t="str">
        <f>IF($D606="","",IF(ISNUMBER(MATCH($D606,CMB_S,0)),1,IF(ISNUMBER(MATCH($D606,CMB_G,0)),2,0)))</f>
        <v/>
      </c>
      <c r="Q606" s="84">
        <f>IF(ISNUMBER($H606),-$H606,0)</f>
        <v>0</v>
      </c>
      <c r="R606" s="84">
        <f>IF(ISNUMBER($I606),ABS($I606),0)</f>
        <v>0</v>
      </c>
      <c r="S606" s="84">
        <f>IF(ISNUMBER($M606),ABS($M606),0)</f>
        <v>0</v>
      </c>
      <c r="T606" s="85" t="n">
        <v>598</v>
      </c>
    </row>
    <row r="607"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83" t="n"/>
      <c r="K607" s="83" t="n"/>
      <c r="L607" s="83" t="n"/>
      <c r="M607" s="83" t="n"/>
      <c r="O607" s="84" t="str">
        <f>IF($C607="","",IFERROR(MATCH($B607&amp;"|"&amp;$C607,MUROS!$AX$11:$AX$70,0),0))</f>
        <v/>
      </c>
      <c r="P607" s="84" t="str">
        <f>IF($D607="","",IF(ISNUMBER(MATCH($D607,CMB_S,0)),1,IF(ISNUMBER(MATCH($D607,CMB_G,0)),2,0)))</f>
        <v/>
      </c>
      <c r="Q607" s="84">
        <f>IF(ISNUMBER($H607),-$H607,0)</f>
        <v>0</v>
      </c>
      <c r="R607" s="84">
        <f>IF(ISNUMBER($I607),ABS($I607),0)</f>
        <v>0</v>
      </c>
      <c r="S607" s="84">
        <f>IF(ISNUMBER($M607),ABS($M607),0)</f>
        <v>0</v>
      </c>
      <c r="T607" s="85" t="n">
        <v>599</v>
      </c>
    </row>
    <row r="608">
      <c r="B608" s="83" t="n"/>
      <c r="C608" s="83" t="n"/>
      <c r="D608" s="83" t="n"/>
      <c r="E608" s="83" t="n"/>
      <c r="F608" s="83" t="n"/>
      <c r="G608" s="83" t="n"/>
      <c r="H608" s="83" t="n"/>
      <c r="I608" s="83" t="n"/>
      <c r="J608" s="83" t="n"/>
      <c r="K608" s="83" t="n"/>
      <c r="L608" s="83" t="n"/>
      <c r="M608" s="83" t="n"/>
      <c r="O608" s="84" t="str">
        <f>IF($C608="","",IFERROR(MATCH($B608&amp;"|"&amp;$C608,MUROS!$AX$11:$AX$70,0),0))</f>
        <v/>
      </c>
      <c r="P608" s="84" t="str">
        <f>IF($D608="","",IF(ISNUMBER(MATCH($D608,CMB_S,0)),1,IF(ISNUMBER(MATCH($D608,CMB_G,0)),2,0)))</f>
        <v/>
      </c>
      <c r="Q608" s="84">
        <f>IF(ISNUMBER($H608),-$H608,0)</f>
        <v>0</v>
      </c>
      <c r="R608" s="84">
        <f>IF(ISNUMBER($I608),ABS($I608),0)</f>
        <v>0</v>
      </c>
      <c r="S608" s="84">
        <f>IF(ISNUMBER($M608),ABS($M608),0)</f>
        <v>0</v>
      </c>
      <c r="T608" s="85" t="n">
        <v>600</v>
      </c>
    </row>
    <row r="609">
      <c r="B609" s="83" t="n"/>
      <c r="C609" s="83" t="n"/>
      <c r="D609" s="83" t="n"/>
      <c r="E609" s="83" t="n"/>
      <c r="F609" s="83" t="n"/>
      <c r="G609" s="83" t="n"/>
      <c r="H609" s="83" t="n"/>
      <c r="I609" s="83" t="n"/>
      <c r="J609" s="83" t="n"/>
      <c r="K609" s="83" t="n"/>
      <c r="L609" s="83" t="n"/>
      <c r="M609" s="83" t="n"/>
      <c r="O609" s="84" t="str">
        <f>IF($C609="","",IFERROR(MATCH($B609&amp;"|"&amp;$C609,MUROS!$AX$11:$AX$70,0),0))</f>
        <v/>
      </c>
      <c r="P609" s="84" t="str">
        <f>IF($D609="","",IF(ISNUMBER(MATCH($D609,CMB_S,0)),1,IF(ISNUMBER(MATCH($D609,CMB_G,0)),2,0)))</f>
        <v/>
      </c>
      <c r="Q609" s="84">
        <f>IF(ISNUMBER($H609),-$H609,0)</f>
        <v>0</v>
      </c>
      <c r="R609" s="84">
        <f>IF(ISNUMBER($I609),ABS($I609),0)</f>
        <v>0</v>
      </c>
      <c r="S609" s="84">
        <f>IF(ISNUMBER($M609),ABS($M609),0)</f>
        <v>0</v>
      </c>
      <c r="T609" s="85" t="n">
        <v>601</v>
      </c>
    </row>
    <row r="610">
      <c r="B610" s="83" t="n"/>
      <c r="C610" s="83" t="n"/>
      <c r="D610" s="83" t="n"/>
      <c r="E610" s="83" t="n"/>
      <c r="F610" s="83" t="n"/>
      <c r="G610" s="83" t="n"/>
      <c r="H610" s="83" t="n"/>
      <c r="I610" s="83" t="n"/>
      <c r="J610" s="83" t="n"/>
      <c r="K610" s="83" t="n"/>
      <c r="L610" s="83" t="n"/>
      <c r="M610" s="83" t="n"/>
      <c r="O610" s="84" t="str">
        <f>IF($C610="","",IFERROR(MATCH($B610&amp;"|"&amp;$C610,MUROS!$AX$11:$AX$70,0),0))</f>
        <v/>
      </c>
      <c r="P610" s="84" t="str">
        <f>IF($D610="","",IF(ISNUMBER(MATCH($D610,CMB_S,0)),1,IF(ISNUMBER(MATCH($D610,CMB_G,0)),2,0)))</f>
        <v/>
      </c>
      <c r="Q610" s="84">
        <f>IF(ISNUMBER($H610),-$H610,0)</f>
        <v>0</v>
      </c>
      <c r="R610" s="84">
        <f>IF(ISNUMBER($I610),ABS($I610),0)</f>
        <v>0</v>
      </c>
      <c r="S610" s="84">
        <f>IF(ISNUMBER($M610),ABS($M610),0)</f>
        <v>0</v>
      </c>
      <c r="T610" s="85" t="n">
        <v>602</v>
      </c>
    </row>
    <row r="611">
      <c r="B611" s="83" t="n"/>
      <c r="C611" s="83" t="n"/>
      <c r="D611" s="83" t="n"/>
      <c r="E611" s="83" t="n"/>
      <c r="F611" s="83" t="n"/>
      <c r="G611" s="83" t="n"/>
      <c r="H611" s="83" t="n"/>
      <c r="I611" s="83" t="n"/>
      <c r="J611" s="83" t="n"/>
      <c r="K611" s="83" t="n"/>
      <c r="L611" s="83" t="n"/>
      <c r="M611" s="83" t="n"/>
      <c r="O611" s="84" t="str">
        <f>IF($C611="","",IFERROR(MATCH($B611&amp;"|"&amp;$C611,MUROS!$AX$11:$AX$70,0),0))</f>
        <v/>
      </c>
      <c r="P611" s="84" t="str">
        <f>IF($D611="","",IF(ISNUMBER(MATCH($D611,CMB_S,0)),1,IF(ISNUMBER(MATCH($D611,CMB_G,0)),2,0)))</f>
        <v/>
      </c>
      <c r="Q611" s="84">
        <f>IF(ISNUMBER($H611),-$H611,0)</f>
        <v>0</v>
      </c>
      <c r="R611" s="84">
        <f>IF(ISNUMBER($I611),ABS($I611),0)</f>
        <v>0</v>
      </c>
      <c r="S611" s="84">
        <f>IF(ISNUMBER($M611),ABS($M611),0)</f>
        <v>0</v>
      </c>
      <c r="T611" s="85" t="n">
        <v>603</v>
      </c>
    </row>
    <row r="612">
      <c r="B612" s="83" t="n"/>
      <c r="C612" s="83" t="n"/>
      <c r="D612" s="83" t="n"/>
      <c r="E612" s="83" t="n"/>
      <c r="F612" s="83" t="n"/>
      <c r="G612" s="83" t="n"/>
      <c r="H612" s="83" t="n"/>
      <c r="I612" s="83" t="n"/>
      <c r="J612" s="83" t="n"/>
      <c r="K612" s="83" t="n"/>
      <c r="L612" s="83" t="n"/>
      <c r="M612" s="83" t="n"/>
      <c r="O612" s="84" t="str">
        <f>IF($C612="","",IFERROR(MATCH($B612&amp;"|"&amp;$C612,MUROS!$AX$11:$AX$70,0),0))</f>
        <v/>
      </c>
      <c r="P612" s="84" t="str">
        <f>IF($D612="","",IF(ISNUMBER(MATCH($D612,CMB_S,0)),1,IF(ISNUMBER(MATCH($D612,CMB_G,0)),2,0)))</f>
        <v/>
      </c>
      <c r="Q612" s="84">
        <f>IF(ISNUMBER($H612),-$H612,0)</f>
        <v>0</v>
      </c>
      <c r="R612" s="84">
        <f>IF(ISNUMBER($I612),ABS($I612),0)</f>
        <v>0</v>
      </c>
      <c r="S612" s="84">
        <f>IF(ISNUMBER($M612),ABS($M612),0)</f>
        <v>0</v>
      </c>
      <c r="T612" s="85" t="n">
        <v>604</v>
      </c>
    </row>
    <row r="613">
      <c r="B613" s="83" t="n"/>
      <c r="C613" s="83" t="n"/>
      <c r="D613" s="83" t="n"/>
      <c r="E613" s="83" t="n"/>
      <c r="F613" s="83" t="n"/>
      <c r="G613" s="83" t="n"/>
      <c r="H613" s="83" t="n"/>
      <c r="I613" s="83" t="n"/>
      <c r="J613" s="83" t="n"/>
      <c r="K613" s="83" t="n"/>
      <c r="L613" s="83" t="n"/>
      <c r="M613" s="83" t="n"/>
      <c r="O613" s="84" t="str">
        <f>IF($C613="","",IFERROR(MATCH($B613&amp;"|"&amp;$C613,MUROS!$AX$11:$AX$70,0),0))</f>
        <v/>
      </c>
      <c r="P613" s="84" t="str">
        <f>IF($D613="","",IF(ISNUMBER(MATCH($D613,CMB_S,0)),1,IF(ISNUMBER(MATCH($D613,CMB_G,0)),2,0)))</f>
        <v/>
      </c>
      <c r="Q613" s="84">
        <f>IF(ISNUMBER($H613),-$H613,0)</f>
        <v>0</v>
      </c>
      <c r="R613" s="84">
        <f>IF(ISNUMBER($I613),ABS($I613),0)</f>
        <v>0</v>
      </c>
      <c r="S613" s="84">
        <f>IF(ISNUMBER($M613),ABS($M613),0)</f>
        <v>0</v>
      </c>
      <c r="T613" s="85" t="n">
        <v>605</v>
      </c>
    </row>
    <row r="614">
      <c r="B614" s="83" t="n"/>
      <c r="C614" s="83" t="n"/>
      <c r="D614" s="83" t="n"/>
      <c r="E614" s="83" t="n"/>
      <c r="F614" s="83" t="n"/>
      <c r="G614" s="83" t="n"/>
      <c r="H614" s="83" t="n"/>
      <c r="I614" s="83" t="n"/>
      <c r="J614" s="83" t="n"/>
      <c r="K614" s="83" t="n"/>
      <c r="L614" s="83" t="n"/>
      <c r="M614" s="83" t="n"/>
      <c r="O614" s="84" t="str">
        <f>IF($C614="","",IFERROR(MATCH($B614&amp;"|"&amp;$C614,MUROS!$AX$11:$AX$70,0),0))</f>
        <v/>
      </c>
      <c r="P614" s="84" t="str">
        <f>IF($D614="","",IF(ISNUMBER(MATCH($D614,CMB_S,0)),1,IF(ISNUMBER(MATCH($D614,CMB_G,0)),2,0)))</f>
        <v/>
      </c>
      <c r="Q614" s="84">
        <f>IF(ISNUMBER($H614),-$H614,0)</f>
        <v>0</v>
      </c>
      <c r="R614" s="84">
        <f>IF(ISNUMBER($I614),ABS($I614),0)</f>
        <v>0</v>
      </c>
      <c r="S614" s="84">
        <f>IF(ISNUMBER($M614),ABS($M614),0)</f>
        <v>0</v>
      </c>
      <c r="T614" s="85" t="n">
        <v>606</v>
      </c>
    </row>
    <row r="615">
      <c r="B615" s="83" t="n"/>
      <c r="C615" s="83" t="n"/>
      <c r="D615" s="83" t="n"/>
      <c r="E615" s="83" t="n"/>
      <c r="F615" s="83" t="n"/>
      <c r="G615" s="83" t="n"/>
      <c r="H615" s="83" t="n"/>
      <c r="I615" s="83" t="n"/>
      <c r="J615" s="83" t="n"/>
      <c r="K615" s="83" t="n"/>
      <c r="L615" s="83" t="n"/>
      <c r="M615" s="83" t="n"/>
      <c r="O615" s="84" t="str">
        <f>IF($C615="","",IFERROR(MATCH($B615&amp;"|"&amp;$C615,MUROS!$AX$11:$AX$70,0),0))</f>
        <v/>
      </c>
      <c r="P615" s="84" t="str">
        <f>IF($D615="","",IF(ISNUMBER(MATCH($D615,CMB_S,0)),1,IF(ISNUMBER(MATCH($D615,CMB_G,0)),2,0)))</f>
        <v/>
      </c>
      <c r="Q615" s="84">
        <f>IF(ISNUMBER($H615),-$H615,0)</f>
        <v>0</v>
      </c>
      <c r="R615" s="84">
        <f>IF(ISNUMBER($I615),ABS($I615),0)</f>
        <v>0</v>
      </c>
      <c r="S615" s="84">
        <f>IF(ISNUMBER($M615),ABS($M615),0)</f>
        <v>0</v>
      </c>
      <c r="T615" s="85" t="n">
        <v>607</v>
      </c>
    </row>
    <row r="616"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83" t="n"/>
      <c r="K616" s="83" t="n"/>
      <c r="L616" s="83" t="n"/>
      <c r="M616" s="83" t="n"/>
      <c r="O616" s="84" t="str">
        <f>IF($C616="","",IFERROR(MATCH($B616&amp;"|"&amp;$C616,MUROS!$AX$11:$AX$70,0),0))</f>
        <v/>
      </c>
      <c r="P616" s="84" t="str">
        <f>IF($D616="","",IF(ISNUMBER(MATCH($D616,CMB_S,0)),1,IF(ISNUMBER(MATCH($D616,CMB_G,0)),2,0)))</f>
        <v/>
      </c>
      <c r="Q616" s="84">
        <f>IF(ISNUMBER($H616),-$H616,0)</f>
        <v>0</v>
      </c>
      <c r="R616" s="84">
        <f>IF(ISNUMBER($I616),ABS($I616),0)</f>
        <v>0</v>
      </c>
      <c r="S616" s="84">
        <f>IF(ISNUMBER($M616),ABS($M616),0)</f>
        <v>0</v>
      </c>
      <c r="T616" s="85" t="n">
        <v>608</v>
      </c>
    </row>
    <row r="617">
      <c r="B617" s="83" t="n"/>
      <c r="C617" s="83" t="n"/>
      <c r="D617" s="83" t="n"/>
      <c r="E617" s="83" t="n"/>
      <c r="F617" s="83" t="n"/>
      <c r="G617" s="83" t="n"/>
      <c r="H617" s="83" t="n"/>
      <c r="I617" s="83" t="n"/>
      <c r="J617" s="83" t="n"/>
      <c r="K617" s="83" t="n"/>
      <c r="L617" s="83" t="n"/>
      <c r="M617" s="83" t="n"/>
      <c r="O617" s="84" t="str">
        <f>IF($C617="","",IFERROR(MATCH($B617&amp;"|"&amp;$C617,MUROS!$AX$11:$AX$70,0),0))</f>
        <v/>
      </c>
      <c r="P617" s="84" t="str">
        <f>IF($D617="","",IF(ISNUMBER(MATCH($D617,CMB_S,0)),1,IF(ISNUMBER(MATCH($D617,CMB_G,0)),2,0)))</f>
        <v/>
      </c>
      <c r="Q617" s="84">
        <f>IF(ISNUMBER($H617),-$H617,0)</f>
        <v>0</v>
      </c>
      <c r="R617" s="84">
        <f>IF(ISNUMBER($I617),ABS($I617),0)</f>
        <v>0</v>
      </c>
      <c r="S617" s="84">
        <f>IF(ISNUMBER($M617),ABS($M617),0)</f>
        <v>0</v>
      </c>
      <c r="T617" s="85" t="n">
        <v>609</v>
      </c>
    </row>
    <row r="618">
      <c r="B618" s="83" t="n"/>
      <c r="C618" s="83" t="n"/>
      <c r="D618" s="83" t="n"/>
      <c r="E618" s="83" t="n"/>
      <c r="F618" s="83" t="n"/>
      <c r="G618" s="83" t="n"/>
      <c r="H618" s="83" t="n"/>
      <c r="I618" s="83" t="n"/>
      <c r="J618" s="83" t="n"/>
      <c r="K618" s="83" t="n"/>
      <c r="L618" s="83" t="n"/>
      <c r="M618" s="83" t="n"/>
      <c r="O618" s="84" t="str">
        <f>IF($C618="","",IFERROR(MATCH($B618&amp;"|"&amp;$C618,MUROS!$AX$11:$AX$70,0),0))</f>
        <v/>
      </c>
      <c r="P618" s="84" t="str">
        <f>IF($D618="","",IF(ISNUMBER(MATCH($D618,CMB_S,0)),1,IF(ISNUMBER(MATCH($D618,CMB_G,0)),2,0)))</f>
        <v/>
      </c>
      <c r="Q618" s="84">
        <f>IF(ISNUMBER($H618),-$H618,0)</f>
        <v>0</v>
      </c>
      <c r="R618" s="84">
        <f>IF(ISNUMBER($I618),ABS($I618),0)</f>
        <v>0</v>
      </c>
      <c r="S618" s="84">
        <f>IF(ISNUMBER($M618),ABS($M618),0)</f>
        <v>0</v>
      </c>
      <c r="T618" s="85" t="n">
        <v>610</v>
      </c>
    </row>
    <row r="619">
      <c r="B619" s="83" t="n"/>
      <c r="C619" s="83" t="n"/>
      <c r="D619" s="83" t="n"/>
      <c r="E619" s="83" t="n"/>
      <c r="F619" s="83" t="n"/>
      <c r="G619" s="83" t="n"/>
      <c r="H619" s="83" t="n"/>
      <c r="I619" s="83" t="n"/>
      <c r="J619" s="83" t="n"/>
      <c r="K619" s="83" t="n"/>
      <c r="L619" s="83" t="n"/>
      <c r="M619" s="83" t="n"/>
      <c r="O619" s="84" t="str">
        <f>IF($C619="","",IFERROR(MATCH($B619&amp;"|"&amp;$C619,MUROS!$AX$11:$AX$70,0),0))</f>
        <v/>
      </c>
      <c r="P619" s="84" t="str">
        <f>IF($D619="","",IF(ISNUMBER(MATCH($D619,CMB_S,0)),1,IF(ISNUMBER(MATCH($D619,CMB_G,0)),2,0)))</f>
        <v/>
      </c>
      <c r="Q619" s="84">
        <f>IF(ISNUMBER($H619),-$H619,0)</f>
        <v>0</v>
      </c>
      <c r="R619" s="84">
        <f>IF(ISNUMBER($I619),ABS($I619),0)</f>
        <v>0</v>
      </c>
      <c r="S619" s="84">
        <f>IF(ISNUMBER($M619),ABS($M619),0)</f>
        <v>0</v>
      </c>
      <c r="T619" s="85" t="n">
        <v>611</v>
      </c>
    </row>
    <row r="620">
      <c r="B620" s="83" t="n"/>
      <c r="C620" s="83" t="n"/>
      <c r="D620" s="83" t="n"/>
      <c r="E620" s="83" t="n"/>
      <c r="F620" s="83" t="n"/>
      <c r="G620" s="83" t="n"/>
      <c r="H620" s="83" t="n"/>
      <c r="I620" s="83" t="n"/>
      <c r="J620" s="83" t="n"/>
      <c r="K620" s="83" t="n"/>
      <c r="L620" s="83" t="n"/>
      <c r="M620" s="83" t="n"/>
      <c r="O620" s="84" t="str">
        <f>IF($C620="","",IFERROR(MATCH($B620&amp;"|"&amp;$C620,MUROS!$AX$11:$AX$70,0),0))</f>
        <v/>
      </c>
      <c r="P620" s="84" t="str">
        <f>IF($D620="","",IF(ISNUMBER(MATCH($D620,CMB_S,0)),1,IF(ISNUMBER(MATCH($D620,CMB_G,0)),2,0)))</f>
        <v/>
      </c>
      <c r="Q620" s="84">
        <f>IF(ISNUMBER($H620),-$H620,0)</f>
        <v>0</v>
      </c>
      <c r="R620" s="84">
        <f>IF(ISNUMBER($I620),ABS($I620),0)</f>
        <v>0</v>
      </c>
      <c r="S620" s="84">
        <f>IF(ISNUMBER($M620),ABS($M620),0)</f>
        <v>0</v>
      </c>
      <c r="T620" s="85" t="n">
        <v>612</v>
      </c>
    </row>
    <row r="621">
      <c r="B621" s="83" t="n"/>
      <c r="C621" s="83" t="n"/>
      <c r="D621" s="83" t="n"/>
      <c r="E621" s="83" t="n"/>
      <c r="F621" s="83" t="n"/>
      <c r="G621" s="83" t="n"/>
      <c r="H621" s="83" t="n"/>
      <c r="I621" s="83" t="n"/>
      <c r="J621" s="83" t="n"/>
      <c r="K621" s="83" t="n"/>
      <c r="L621" s="83" t="n"/>
      <c r="M621" s="83" t="n"/>
      <c r="O621" s="84" t="str">
        <f>IF($C621="","",IFERROR(MATCH($B621&amp;"|"&amp;$C621,MUROS!$AX$11:$AX$70,0),0))</f>
        <v/>
      </c>
      <c r="P621" s="84" t="str">
        <f>IF($D621="","",IF(ISNUMBER(MATCH($D621,CMB_S,0)),1,IF(ISNUMBER(MATCH($D621,CMB_G,0)),2,0)))</f>
        <v/>
      </c>
      <c r="Q621" s="84">
        <f>IF(ISNUMBER($H621),-$H621,0)</f>
        <v>0</v>
      </c>
      <c r="R621" s="84">
        <f>IF(ISNUMBER($I621),ABS($I621),0)</f>
        <v>0</v>
      </c>
      <c r="S621" s="84">
        <f>IF(ISNUMBER($M621),ABS($M621),0)</f>
        <v>0</v>
      </c>
      <c r="T621" s="85" t="n">
        <v>613</v>
      </c>
    </row>
    <row r="622">
      <c r="B622" s="83" t="n"/>
      <c r="C622" s="83" t="n"/>
      <c r="D622" s="83" t="n"/>
      <c r="E622" s="83" t="n"/>
      <c r="F622" s="83" t="n"/>
      <c r="G622" s="83" t="n"/>
      <c r="H622" s="83" t="n"/>
      <c r="I622" s="83" t="n"/>
      <c r="J622" s="83" t="n"/>
      <c r="K622" s="83" t="n"/>
      <c r="L622" s="83" t="n"/>
      <c r="M622" s="83" t="n"/>
      <c r="O622" s="84" t="str">
        <f>IF($C622="","",IFERROR(MATCH($B622&amp;"|"&amp;$C622,MUROS!$AX$11:$AX$70,0),0))</f>
        <v/>
      </c>
      <c r="P622" s="84" t="str">
        <f>IF($D622="","",IF(ISNUMBER(MATCH($D622,CMB_S,0)),1,IF(ISNUMBER(MATCH($D622,CMB_G,0)),2,0)))</f>
        <v/>
      </c>
      <c r="Q622" s="84">
        <f>IF(ISNUMBER($H622),-$H622,0)</f>
        <v>0</v>
      </c>
      <c r="R622" s="84">
        <f>IF(ISNUMBER($I622),ABS($I622),0)</f>
        <v>0</v>
      </c>
      <c r="S622" s="84">
        <f>IF(ISNUMBER($M622),ABS($M622),0)</f>
        <v>0</v>
      </c>
      <c r="T622" s="85" t="n">
        <v>614</v>
      </c>
    </row>
    <row r="623">
      <c r="B623" s="83" t="n"/>
      <c r="C623" s="83" t="n"/>
      <c r="D623" s="83" t="n"/>
      <c r="E623" s="83" t="n"/>
      <c r="F623" s="83" t="n"/>
      <c r="G623" s="83" t="n"/>
      <c r="H623" s="83" t="n"/>
      <c r="I623" s="83" t="n"/>
      <c r="J623" s="83" t="n"/>
      <c r="K623" s="83" t="n"/>
      <c r="L623" s="83" t="n"/>
      <c r="M623" s="83" t="n"/>
      <c r="O623" s="84" t="str">
        <f>IF($C623="","",IFERROR(MATCH($B623&amp;"|"&amp;$C623,MUROS!$AX$11:$AX$70,0),0))</f>
        <v/>
      </c>
      <c r="P623" s="84" t="str">
        <f>IF($D623="","",IF(ISNUMBER(MATCH($D623,CMB_S,0)),1,IF(ISNUMBER(MATCH($D623,CMB_G,0)),2,0)))</f>
        <v/>
      </c>
      <c r="Q623" s="84">
        <f>IF(ISNUMBER($H623),-$H623,0)</f>
        <v>0</v>
      </c>
      <c r="R623" s="84">
        <f>IF(ISNUMBER($I623),ABS($I623),0)</f>
        <v>0</v>
      </c>
      <c r="S623" s="84">
        <f>IF(ISNUMBER($M623),ABS($M623),0)</f>
        <v>0</v>
      </c>
      <c r="T623" s="85" t="n">
        <v>615</v>
      </c>
    </row>
    <row r="624">
      <c r="B624" s="83" t="n"/>
      <c r="C624" s="83" t="n"/>
      <c r="D624" s="83" t="n"/>
      <c r="E624" s="83" t="n"/>
      <c r="F624" s="83" t="n"/>
      <c r="G624" s="83" t="n"/>
      <c r="H624" s="83" t="n"/>
      <c r="I624" s="83" t="n"/>
      <c r="J624" s="83" t="n"/>
      <c r="K624" s="83" t="n"/>
      <c r="L624" s="83" t="n"/>
      <c r="M624" s="83" t="n"/>
      <c r="O624" s="84" t="str">
        <f>IF($C624="","",IFERROR(MATCH($B624&amp;"|"&amp;$C624,MUROS!$AX$11:$AX$70,0),0))</f>
        <v/>
      </c>
      <c r="P624" s="84" t="str">
        <f>IF($D624="","",IF(ISNUMBER(MATCH($D624,CMB_S,0)),1,IF(ISNUMBER(MATCH($D624,CMB_G,0)),2,0)))</f>
        <v/>
      </c>
      <c r="Q624" s="84">
        <f>IF(ISNUMBER($H624),-$H624,0)</f>
        <v>0</v>
      </c>
      <c r="R624" s="84">
        <f>IF(ISNUMBER($I624),ABS($I624),0)</f>
        <v>0</v>
      </c>
      <c r="S624" s="84">
        <f>IF(ISNUMBER($M624),ABS($M624),0)</f>
        <v>0</v>
      </c>
      <c r="T624" s="85" t="n">
        <v>616</v>
      </c>
    </row>
    <row r="625"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83" t="n"/>
      <c r="K625" s="83" t="n"/>
      <c r="L625" s="83" t="n"/>
      <c r="M625" s="83" t="n"/>
      <c r="O625" s="84" t="str">
        <f>IF($C625="","",IFERROR(MATCH($B625&amp;"|"&amp;$C625,MUROS!$AX$11:$AX$70,0),0))</f>
        <v/>
      </c>
      <c r="P625" s="84" t="str">
        <f>IF($D625="","",IF(ISNUMBER(MATCH($D625,CMB_S,0)),1,IF(ISNUMBER(MATCH($D625,CMB_G,0)),2,0)))</f>
        <v/>
      </c>
      <c r="Q625" s="84">
        <f>IF(ISNUMBER($H625),-$H625,0)</f>
        <v>0</v>
      </c>
      <c r="R625" s="84">
        <f>IF(ISNUMBER($I625),ABS($I625),0)</f>
        <v>0</v>
      </c>
      <c r="S625" s="84">
        <f>IF(ISNUMBER($M625),ABS($M625),0)</f>
        <v>0</v>
      </c>
      <c r="T625" s="85" t="n">
        <v>617</v>
      </c>
    </row>
    <row r="626">
      <c r="B626" s="83" t="n"/>
      <c r="C626" s="83" t="n"/>
      <c r="D626" s="83" t="n"/>
      <c r="E626" s="83" t="n"/>
      <c r="F626" s="83" t="n"/>
      <c r="G626" s="83" t="n"/>
      <c r="H626" s="83" t="n"/>
      <c r="I626" s="83" t="n"/>
      <c r="J626" s="83" t="n"/>
      <c r="K626" s="83" t="n"/>
      <c r="L626" s="83" t="n"/>
      <c r="M626" s="83" t="n"/>
      <c r="O626" s="84" t="str">
        <f>IF($C626="","",IFERROR(MATCH($B626&amp;"|"&amp;$C626,MUROS!$AX$11:$AX$70,0),0))</f>
        <v/>
      </c>
      <c r="P626" s="84" t="str">
        <f>IF($D626="","",IF(ISNUMBER(MATCH($D626,CMB_S,0)),1,IF(ISNUMBER(MATCH($D626,CMB_G,0)),2,0)))</f>
        <v/>
      </c>
      <c r="Q626" s="84">
        <f>IF(ISNUMBER($H626),-$H626,0)</f>
        <v>0</v>
      </c>
      <c r="R626" s="84">
        <f>IF(ISNUMBER($I626),ABS($I626),0)</f>
        <v>0</v>
      </c>
      <c r="S626" s="84">
        <f>IF(ISNUMBER($M626),ABS($M626),0)</f>
        <v>0</v>
      </c>
      <c r="T626" s="85" t="n">
        <v>618</v>
      </c>
    </row>
    <row r="627">
      <c r="B627" s="83" t="n"/>
      <c r="C627" s="83" t="n"/>
      <c r="D627" s="83" t="n"/>
      <c r="E627" s="83" t="n"/>
      <c r="F627" s="83" t="n"/>
      <c r="G627" s="83" t="n"/>
      <c r="H627" s="83" t="n"/>
      <c r="I627" s="83" t="n"/>
      <c r="J627" s="83" t="n"/>
      <c r="K627" s="83" t="n"/>
      <c r="L627" s="83" t="n"/>
      <c r="M627" s="83" t="n"/>
      <c r="O627" s="84" t="str">
        <f>IF($C627="","",IFERROR(MATCH($B627&amp;"|"&amp;$C627,MUROS!$AX$11:$AX$70,0),0))</f>
        <v/>
      </c>
      <c r="P627" s="84" t="str">
        <f>IF($D627="","",IF(ISNUMBER(MATCH($D627,CMB_S,0)),1,IF(ISNUMBER(MATCH($D627,CMB_G,0)),2,0)))</f>
        <v/>
      </c>
      <c r="Q627" s="84">
        <f>IF(ISNUMBER($H627),-$H627,0)</f>
        <v>0</v>
      </c>
      <c r="R627" s="84">
        <f>IF(ISNUMBER($I627),ABS($I627),0)</f>
        <v>0</v>
      </c>
      <c r="S627" s="84">
        <f>IF(ISNUMBER($M627),ABS($M627),0)</f>
        <v>0</v>
      </c>
      <c r="T627" s="85" t="n">
        <v>619</v>
      </c>
    </row>
    <row r="628">
      <c r="B628" s="83" t="n"/>
      <c r="C628" s="83" t="n"/>
      <c r="D628" s="83" t="n"/>
      <c r="E628" s="83" t="n"/>
      <c r="F628" s="83" t="n"/>
      <c r="G628" s="83" t="n"/>
      <c r="H628" s="83" t="n"/>
      <c r="I628" s="83" t="n"/>
      <c r="J628" s="83" t="n"/>
      <c r="K628" s="83" t="n"/>
      <c r="L628" s="83" t="n"/>
      <c r="M628" s="83" t="n"/>
      <c r="O628" s="84" t="str">
        <f>IF($C628="","",IFERROR(MATCH($B628&amp;"|"&amp;$C628,MUROS!$AX$11:$AX$70,0),0))</f>
        <v/>
      </c>
      <c r="P628" s="84" t="str">
        <f>IF($D628="","",IF(ISNUMBER(MATCH($D628,CMB_S,0)),1,IF(ISNUMBER(MATCH($D628,CMB_G,0)),2,0)))</f>
        <v/>
      </c>
      <c r="Q628" s="84">
        <f>IF(ISNUMBER($H628),-$H628,0)</f>
        <v>0</v>
      </c>
      <c r="R628" s="84">
        <f>IF(ISNUMBER($I628),ABS($I628),0)</f>
        <v>0</v>
      </c>
      <c r="S628" s="84">
        <f>IF(ISNUMBER($M628),ABS($M628),0)</f>
        <v>0</v>
      </c>
      <c r="T628" s="85" t="n">
        <v>620</v>
      </c>
    </row>
    <row r="629">
      <c r="B629" s="83" t="n"/>
      <c r="C629" s="83" t="n"/>
      <c r="D629" s="83" t="n"/>
      <c r="E629" s="83" t="n"/>
      <c r="F629" s="83" t="n"/>
      <c r="G629" s="83" t="n"/>
      <c r="H629" s="83" t="n"/>
      <c r="I629" s="83" t="n"/>
      <c r="J629" s="83" t="n"/>
      <c r="K629" s="83" t="n"/>
      <c r="L629" s="83" t="n"/>
      <c r="M629" s="83" t="n"/>
      <c r="O629" s="84" t="str">
        <f>IF($C629="","",IFERROR(MATCH($B629&amp;"|"&amp;$C629,MUROS!$AX$11:$AX$70,0),0))</f>
        <v/>
      </c>
      <c r="P629" s="84" t="str">
        <f>IF($D629="","",IF(ISNUMBER(MATCH($D629,CMB_S,0)),1,IF(ISNUMBER(MATCH($D629,CMB_G,0)),2,0)))</f>
        <v/>
      </c>
      <c r="Q629" s="84">
        <f>IF(ISNUMBER($H629),-$H629,0)</f>
        <v>0</v>
      </c>
      <c r="R629" s="84">
        <f>IF(ISNUMBER($I629),ABS($I629),0)</f>
        <v>0</v>
      </c>
      <c r="S629" s="84">
        <f>IF(ISNUMBER($M629),ABS($M629),0)</f>
        <v>0</v>
      </c>
      <c r="T629" s="85" t="n">
        <v>621</v>
      </c>
    </row>
    <row r="630">
      <c r="B630" s="83" t="n"/>
      <c r="C630" s="83" t="n"/>
      <c r="D630" s="83" t="n"/>
      <c r="E630" s="83" t="n"/>
      <c r="F630" s="83" t="n"/>
      <c r="G630" s="83" t="n"/>
      <c r="H630" s="83" t="n"/>
      <c r="I630" s="83" t="n"/>
      <c r="J630" s="83" t="n"/>
      <c r="K630" s="83" t="n"/>
      <c r="L630" s="83" t="n"/>
      <c r="M630" s="83" t="n"/>
      <c r="O630" s="84" t="str">
        <f>IF($C630="","",IFERROR(MATCH($B630&amp;"|"&amp;$C630,MUROS!$AX$11:$AX$70,0),0))</f>
        <v/>
      </c>
      <c r="P630" s="84" t="str">
        <f>IF($D630="","",IF(ISNUMBER(MATCH($D630,CMB_S,0)),1,IF(ISNUMBER(MATCH($D630,CMB_G,0)),2,0)))</f>
        <v/>
      </c>
      <c r="Q630" s="84">
        <f>IF(ISNUMBER($H630),-$H630,0)</f>
        <v>0</v>
      </c>
      <c r="R630" s="84">
        <f>IF(ISNUMBER($I630),ABS($I630),0)</f>
        <v>0</v>
      </c>
      <c r="S630" s="84">
        <f>IF(ISNUMBER($M630),ABS($M630),0)</f>
        <v>0</v>
      </c>
      <c r="T630" s="85" t="n">
        <v>622</v>
      </c>
    </row>
    <row r="631">
      <c r="B631" s="83" t="n"/>
      <c r="C631" s="83" t="n"/>
      <c r="D631" s="83" t="n"/>
      <c r="E631" s="83" t="n"/>
      <c r="F631" s="83" t="n"/>
      <c r="G631" s="83" t="n"/>
      <c r="H631" s="83" t="n"/>
      <c r="I631" s="83" t="n"/>
      <c r="J631" s="83" t="n"/>
      <c r="K631" s="83" t="n"/>
      <c r="L631" s="83" t="n"/>
      <c r="M631" s="83" t="n"/>
      <c r="O631" s="84" t="str">
        <f>IF($C631="","",IFERROR(MATCH($B631&amp;"|"&amp;$C631,MUROS!$AX$11:$AX$70,0),0))</f>
        <v/>
      </c>
      <c r="P631" s="84" t="str">
        <f>IF($D631="","",IF(ISNUMBER(MATCH($D631,CMB_S,0)),1,IF(ISNUMBER(MATCH($D631,CMB_G,0)),2,0)))</f>
        <v/>
      </c>
      <c r="Q631" s="84">
        <f>IF(ISNUMBER($H631),-$H631,0)</f>
        <v>0</v>
      </c>
      <c r="R631" s="84">
        <f>IF(ISNUMBER($I631),ABS($I631),0)</f>
        <v>0</v>
      </c>
      <c r="S631" s="84">
        <f>IF(ISNUMBER($M631),ABS($M631),0)</f>
        <v>0</v>
      </c>
      <c r="T631" s="85" t="n">
        <v>623</v>
      </c>
    </row>
    <row r="632">
      <c r="B632" s="83" t="n"/>
      <c r="C632" s="83" t="n"/>
      <c r="D632" s="83" t="n"/>
      <c r="E632" s="83" t="n"/>
      <c r="F632" s="83" t="n"/>
      <c r="G632" s="83" t="n"/>
      <c r="H632" s="83" t="n"/>
      <c r="I632" s="83" t="n"/>
      <c r="J632" s="83" t="n"/>
      <c r="K632" s="83" t="n"/>
      <c r="L632" s="83" t="n"/>
      <c r="M632" s="83" t="n"/>
      <c r="O632" s="84" t="str">
        <f>IF($C632="","",IFERROR(MATCH($B632&amp;"|"&amp;$C632,MUROS!$AX$11:$AX$70,0),0))</f>
        <v/>
      </c>
      <c r="P632" s="84" t="str">
        <f>IF($D632="","",IF(ISNUMBER(MATCH($D632,CMB_S,0)),1,IF(ISNUMBER(MATCH($D632,CMB_G,0)),2,0)))</f>
        <v/>
      </c>
      <c r="Q632" s="84">
        <f>IF(ISNUMBER($H632),-$H632,0)</f>
        <v>0</v>
      </c>
      <c r="R632" s="84">
        <f>IF(ISNUMBER($I632),ABS($I632),0)</f>
        <v>0</v>
      </c>
      <c r="S632" s="84">
        <f>IF(ISNUMBER($M632),ABS($M632),0)</f>
        <v>0</v>
      </c>
      <c r="T632" s="85" t="n">
        <v>624</v>
      </c>
    </row>
    <row r="633">
      <c r="B633" s="83" t="n"/>
      <c r="C633" s="83" t="n"/>
      <c r="D633" s="83" t="n"/>
      <c r="E633" s="83" t="n"/>
      <c r="F633" s="83" t="n"/>
      <c r="G633" s="83" t="n"/>
      <c r="H633" s="83" t="n"/>
      <c r="I633" s="83" t="n"/>
      <c r="J633" s="83" t="n"/>
      <c r="K633" s="83" t="n"/>
      <c r="L633" s="83" t="n"/>
      <c r="M633" s="83" t="n"/>
      <c r="O633" s="84" t="str">
        <f>IF($C633="","",IFERROR(MATCH($B633&amp;"|"&amp;$C633,MUROS!$AX$11:$AX$70,0),0))</f>
        <v/>
      </c>
      <c r="P633" s="84" t="str">
        <f>IF($D633="","",IF(ISNUMBER(MATCH($D633,CMB_S,0)),1,IF(ISNUMBER(MATCH($D633,CMB_G,0)),2,0)))</f>
        <v/>
      </c>
      <c r="Q633" s="84">
        <f>IF(ISNUMBER($H633),-$H633,0)</f>
        <v>0</v>
      </c>
      <c r="R633" s="84">
        <f>IF(ISNUMBER($I633),ABS($I633),0)</f>
        <v>0</v>
      </c>
      <c r="S633" s="84">
        <f>IF(ISNUMBER($M633),ABS($M633),0)</f>
        <v>0</v>
      </c>
      <c r="T633" s="85" t="n">
        <v>625</v>
      </c>
    </row>
    <row r="634"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83" t="n"/>
      <c r="K634" s="83" t="n"/>
      <c r="L634" s="83" t="n"/>
      <c r="M634" s="83" t="n"/>
      <c r="O634" s="84" t="str">
        <f>IF($C634="","",IFERROR(MATCH($B634&amp;"|"&amp;$C634,MUROS!$AX$11:$AX$70,0),0))</f>
        <v/>
      </c>
      <c r="P634" s="84" t="str">
        <f>IF($D634="","",IF(ISNUMBER(MATCH($D634,CMB_S,0)),1,IF(ISNUMBER(MATCH($D634,CMB_G,0)),2,0)))</f>
        <v/>
      </c>
      <c r="Q634" s="84">
        <f>IF(ISNUMBER($H634),-$H634,0)</f>
        <v>0</v>
      </c>
      <c r="R634" s="84">
        <f>IF(ISNUMBER($I634),ABS($I634),0)</f>
        <v>0</v>
      </c>
      <c r="S634" s="84">
        <f>IF(ISNUMBER($M634),ABS($M634),0)</f>
        <v>0</v>
      </c>
      <c r="T634" s="85" t="n">
        <v>626</v>
      </c>
    </row>
    <row r="635">
      <c r="B635" s="83" t="n"/>
      <c r="C635" s="83" t="n"/>
      <c r="D635" s="83" t="n"/>
      <c r="E635" s="83" t="n"/>
      <c r="F635" s="83" t="n"/>
      <c r="G635" s="83" t="n"/>
      <c r="H635" s="83" t="n"/>
      <c r="I635" s="83" t="n"/>
      <c r="J635" s="83" t="n"/>
      <c r="K635" s="83" t="n"/>
      <c r="L635" s="83" t="n"/>
      <c r="M635" s="83" t="n"/>
      <c r="O635" s="84" t="str">
        <f>IF($C635="","",IFERROR(MATCH($B635&amp;"|"&amp;$C635,MUROS!$AX$11:$AX$70,0),0))</f>
        <v/>
      </c>
      <c r="P635" s="84" t="str">
        <f>IF($D635="","",IF(ISNUMBER(MATCH($D635,CMB_S,0)),1,IF(ISNUMBER(MATCH($D635,CMB_G,0)),2,0)))</f>
        <v/>
      </c>
      <c r="Q635" s="84">
        <f>IF(ISNUMBER($H635),-$H635,0)</f>
        <v>0</v>
      </c>
      <c r="R635" s="84">
        <f>IF(ISNUMBER($I635),ABS($I635),0)</f>
        <v>0</v>
      </c>
      <c r="S635" s="84">
        <f>IF(ISNUMBER($M635),ABS($M635),0)</f>
        <v>0</v>
      </c>
      <c r="T635" s="85" t="n">
        <v>627</v>
      </c>
    </row>
    <row r="636">
      <c r="B636" s="83" t="n"/>
      <c r="C636" s="83" t="n"/>
      <c r="D636" s="83" t="n"/>
      <c r="E636" s="83" t="n"/>
      <c r="F636" s="83" t="n"/>
      <c r="G636" s="83" t="n"/>
      <c r="H636" s="83" t="n"/>
      <c r="I636" s="83" t="n"/>
      <c r="J636" s="83" t="n"/>
      <c r="K636" s="83" t="n"/>
      <c r="L636" s="83" t="n"/>
      <c r="M636" s="83" t="n"/>
      <c r="O636" s="84" t="str">
        <f>IF($C636="","",IFERROR(MATCH($B636&amp;"|"&amp;$C636,MUROS!$AX$11:$AX$70,0),0))</f>
        <v/>
      </c>
      <c r="P636" s="84" t="str">
        <f>IF($D636="","",IF(ISNUMBER(MATCH($D636,CMB_S,0)),1,IF(ISNUMBER(MATCH($D636,CMB_G,0)),2,0)))</f>
        <v/>
      </c>
      <c r="Q636" s="84">
        <f>IF(ISNUMBER($H636),-$H636,0)</f>
        <v>0</v>
      </c>
      <c r="R636" s="84">
        <f>IF(ISNUMBER($I636),ABS($I636),0)</f>
        <v>0</v>
      </c>
      <c r="S636" s="84">
        <f>IF(ISNUMBER($M636),ABS($M636),0)</f>
        <v>0</v>
      </c>
      <c r="T636" s="85" t="n">
        <v>628</v>
      </c>
    </row>
    <row r="637">
      <c r="B637" s="83" t="n"/>
      <c r="C637" s="83" t="n"/>
      <c r="D637" s="83" t="n"/>
      <c r="E637" s="83" t="n"/>
      <c r="F637" s="83" t="n"/>
      <c r="G637" s="83" t="n"/>
      <c r="H637" s="83" t="n"/>
      <c r="I637" s="83" t="n"/>
      <c r="J637" s="83" t="n"/>
      <c r="K637" s="83" t="n"/>
      <c r="L637" s="83" t="n"/>
      <c r="M637" s="83" t="n"/>
      <c r="O637" s="84" t="str">
        <f>IF($C637="","",IFERROR(MATCH($B637&amp;"|"&amp;$C637,MUROS!$AX$11:$AX$70,0),0))</f>
        <v/>
      </c>
      <c r="P637" s="84" t="str">
        <f>IF($D637="","",IF(ISNUMBER(MATCH($D637,CMB_S,0)),1,IF(ISNUMBER(MATCH($D637,CMB_G,0)),2,0)))</f>
        <v/>
      </c>
      <c r="Q637" s="84">
        <f>IF(ISNUMBER($H637),-$H637,0)</f>
        <v>0</v>
      </c>
      <c r="R637" s="84">
        <f>IF(ISNUMBER($I637),ABS($I637),0)</f>
        <v>0</v>
      </c>
      <c r="S637" s="84">
        <f>IF(ISNUMBER($M637),ABS($M637),0)</f>
        <v>0</v>
      </c>
      <c r="T637" s="85" t="n">
        <v>629</v>
      </c>
    </row>
    <row r="638">
      <c r="B638" s="83" t="n"/>
      <c r="C638" s="83" t="n"/>
      <c r="D638" s="83" t="n"/>
      <c r="E638" s="83" t="n"/>
      <c r="F638" s="83" t="n"/>
      <c r="G638" s="83" t="n"/>
      <c r="H638" s="83" t="n"/>
      <c r="I638" s="83" t="n"/>
      <c r="J638" s="83" t="n"/>
      <c r="K638" s="83" t="n"/>
      <c r="L638" s="83" t="n"/>
      <c r="M638" s="83" t="n"/>
      <c r="O638" s="84" t="str">
        <f>IF($C638="","",IFERROR(MATCH($B638&amp;"|"&amp;$C638,MUROS!$AX$11:$AX$70,0),0))</f>
        <v/>
      </c>
      <c r="P638" s="84" t="str">
        <f>IF($D638="","",IF(ISNUMBER(MATCH($D638,CMB_S,0)),1,IF(ISNUMBER(MATCH($D638,CMB_G,0)),2,0)))</f>
        <v/>
      </c>
      <c r="Q638" s="84">
        <f>IF(ISNUMBER($H638),-$H638,0)</f>
        <v>0</v>
      </c>
      <c r="R638" s="84">
        <f>IF(ISNUMBER($I638),ABS($I638),0)</f>
        <v>0</v>
      </c>
      <c r="S638" s="84">
        <f>IF(ISNUMBER($M638),ABS($M638),0)</f>
        <v>0</v>
      </c>
      <c r="T638" s="85" t="n">
        <v>630</v>
      </c>
    </row>
    <row r="639">
      <c r="B639" s="83" t="n"/>
      <c r="C639" s="83" t="n"/>
      <c r="D639" s="83" t="n"/>
      <c r="E639" s="83" t="n"/>
      <c r="F639" s="83" t="n"/>
      <c r="G639" s="83" t="n"/>
      <c r="H639" s="83" t="n"/>
      <c r="I639" s="83" t="n"/>
      <c r="J639" s="83" t="n"/>
      <c r="K639" s="83" t="n"/>
      <c r="L639" s="83" t="n"/>
      <c r="M639" s="83" t="n"/>
      <c r="O639" s="84" t="str">
        <f>IF($C639="","",IFERROR(MATCH($B639&amp;"|"&amp;$C639,MUROS!$AX$11:$AX$70,0),0))</f>
        <v/>
      </c>
      <c r="P639" s="84" t="str">
        <f>IF($D639="","",IF(ISNUMBER(MATCH($D639,CMB_S,0)),1,IF(ISNUMBER(MATCH($D639,CMB_G,0)),2,0)))</f>
        <v/>
      </c>
      <c r="Q639" s="84">
        <f>IF(ISNUMBER($H639),-$H639,0)</f>
        <v>0</v>
      </c>
      <c r="R639" s="84">
        <f>IF(ISNUMBER($I639),ABS($I639),0)</f>
        <v>0</v>
      </c>
      <c r="S639" s="84">
        <f>IF(ISNUMBER($M639),ABS($M639),0)</f>
        <v>0</v>
      </c>
      <c r="T639" s="85" t="n">
        <v>631</v>
      </c>
    </row>
    <row r="640">
      <c r="B640" s="83" t="n"/>
      <c r="C640" s="83" t="n"/>
      <c r="D640" s="83" t="n"/>
      <c r="E640" s="83" t="n"/>
      <c r="F640" s="83" t="n"/>
      <c r="G640" s="83" t="n"/>
      <c r="H640" s="83" t="n"/>
      <c r="I640" s="83" t="n"/>
      <c r="J640" s="83" t="n"/>
      <c r="K640" s="83" t="n"/>
      <c r="L640" s="83" t="n"/>
      <c r="M640" s="83" t="n"/>
      <c r="O640" s="84" t="str">
        <f>IF($C640="","",IFERROR(MATCH($B640&amp;"|"&amp;$C640,MUROS!$AX$11:$AX$70,0),0))</f>
        <v/>
      </c>
      <c r="P640" s="84" t="str">
        <f>IF($D640="","",IF(ISNUMBER(MATCH($D640,CMB_S,0)),1,IF(ISNUMBER(MATCH($D640,CMB_G,0)),2,0)))</f>
        <v/>
      </c>
      <c r="Q640" s="84">
        <f>IF(ISNUMBER($H640),-$H640,0)</f>
        <v>0</v>
      </c>
      <c r="R640" s="84">
        <f>IF(ISNUMBER($I640),ABS($I640),0)</f>
        <v>0</v>
      </c>
      <c r="S640" s="84">
        <f>IF(ISNUMBER($M640),ABS($M640),0)</f>
        <v>0</v>
      </c>
      <c r="T640" s="85" t="n">
        <v>632</v>
      </c>
    </row>
    <row r="641">
      <c r="B641" s="83" t="n"/>
      <c r="C641" s="83" t="n"/>
      <c r="D641" s="83" t="n"/>
      <c r="E641" s="83" t="n"/>
      <c r="F641" s="83" t="n"/>
      <c r="G641" s="83" t="n"/>
      <c r="H641" s="83" t="n"/>
      <c r="I641" s="83" t="n"/>
      <c r="J641" s="83" t="n"/>
      <c r="K641" s="83" t="n"/>
      <c r="L641" s="83" t="n"/>
      <c r="M641" s="83" t="n"/>
      <c r="O641" s="84" t="str">
        <f>IF($C641="","",IFERROR(MATCH($B641&amp;"|"&amp;$C641,MUROS!$AX$11:$AX$70,0),0))</f>
        <v/>
      </c>
      <c r="P641" s="84" t="str">
        <f>IF($D641="","",IF(ISNUMBER(MATCH($D641,CMB_S,0)),1,IF(ISNUMBER(MATCH($D641,CMB_G,0)),2,0)))</f>
        <v/>
      </c>
      <c r="Q641" s="84">
        <f>IF(ISNUMBER($H641),-$H641,0)</f>
        <v>0</v>
      </c>
      <c r="R641" s="84">
        <f>IF(ISNUMBER($I641),ABS($I641),0)</f>
        <v>0</v>
      </c>
      <c r="S641" s="84">
        <f>IF(ISNUMBER($M641),ABS($M641),0)</f>
        <v>0</v>
      </c>
      <c r="T641" s="85" t="n">
        <v>633</v>
      </c>
    </row>
    <row r="642">
      <c r="B642" s="83" t="n"/>
      <c r="C642" s="83" t="n"/>
      <c r="D642" s="83" t="n"/>
      <c r="E642" s="83" t="n"/>
      <c r="F642" s="83" t="n"/>
      <c r="G642" s="83" t="n"/>
      <c r="H642" s="83" t="n"/>
      <c r="I642" s="83" t="n"/>
      <c r="J642" s="83" t="n"/>
      <c r="K642" s="83" t="n"/>
      <c r="L642" s="83" t="n"/>
      <c r="M642" s="83" t="n"/>
      <c r="O642" s="84" t="str">
        <f>IF($C642="","",IFERROR(MATCH($B642&amp;"|"&amp;$C642,MUROS!$AX$11:$AX$70,0),0))</f>
        <v/>
      </c>
      <c r="P642" s="84" t="str">
        <f>IF($D642="","",IF(ISNUMBER(MATCH($D642,CMB_S,0)),1,IF(ISNUMBER(MATCH($D642,CMB_G,0)),2,0)))</f>
        <v/>
      </c>
      <c r="Q642" s="84">
        <f>IF(ISNUMBER($H642),-$H642,0)</f>
        <v>0</v>
      </c>
      <c r="R642" s="84">
        <f>IF(ISNUMBER($I642),ABS($I642),0)</f>
        <v>0</v>
      </c>
      <c r="S642" s="84">
        <f>IF(ISNUMBER($M642),ABS($M642),0)</f>
        <v>0</v>
      </c>
      <c r="T642" s="85" t="n">
        <v>634</v>
      </c>
    </row>
    <row r="643"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83" t="n"/>
      <c r="K643" s="83" t="n"/>
      <c r="L643" s="83" t="n"/>
      <c r="M643" s="83" t="n"/>
      <c r="O643" s="84" t="str">
        <f>IF($C643="","",IFERROR(MATCH($B643&amp;"|"&amp;$C643,MUROS!$AX$11:$AX$70,0),0))</f>
        <v/>
      </c>
      <c r="P643" s="84" t="str">
        <f>IF($D643="","",IF(ISNUMBER(MATCH($D643,CMB_S,0)),1,IF(ISNUMBER(MATCH($D643,CMB_G,0)),2,0)))</f>
        <v/>
      </c>
      <c r="Q643" s="84">
        <f>IF(ISNUMBER($H643),-$H643,0)</f>
        <v>0</v>
      </c>
      <c r="R643" s="84">
        <f>IF(ISNUMBER($I643),ABS($I643),0)</f>
        <v>0</v>
      </c>
      <c r="S643" s="84">
        <f>IF(ISNUMBER($M643),ABS($M643),0)</f>
        <v>0</v>
      </c>
      <c r="T643" s="85" t="n">
        <v>635</v>
      </c>
    </row>
    <row r="644">
      <c r="B644" s="83" t="n"/>
      <c r="C644" s="83" t="n"/>
      <c r="D644" s="83" t="n"/>
      <c r="E644" s="83" t="n"/>
      <c r="F644" s="83" t="n"/>
      <c r="G644" s="83" t="n"/>
      <c r="H644" s="83" t="n"/>
      <c r="I644" s="83" t="n"/>
      <c r="J644" s="83" t="n"/>
      <c r="K644" s="83" t="n"/>
      <c r="L644" s="83" t="n"/>
      <c r="M644" s="83" t="n"/>
      <c r="O644" s="84" t="str">
        <f>IF($C644="","",IFERROR(MATCH($B644&amp;"|"&amp;$C644,MUROS!$AX$11:$AX$70,0),0))</f>
        <v/>
      </c>
      <c r="P644" s="84" t="str">
        <f>IF($D644="","",IF(ISNUMBER(MATCH($D644,CMB_S,0)),1,IF(ISNUMBER(MATCH($D644,CMB_G,0)),2,0)))</f>
        <v/>
      </c>
      <c r="Q644" s="84">
        <f>IF(ISNUMBER($H644),-$H644,0)</f>
        <v>0</v>
      </c>
      <c r="R644" s="84">
        <f>IF(ISNUMBER($I644),ABS($I644),0)</f>
        <v>0</v>
      </c>
      <c r="S644" s="84">
        <f>IF(ISNUMBER($M644),ABS($M644),0)</f>
        <v>0</v>
      </c>
      <c r="T644" s="85" t="n">
        <v>636</v>
      </c>
    </row>
    <row r="645">
      <c r="B645" s="83" t="n"/>
      <c r="C645" s="83" t="n"/>
      <c r="D645" s="83" t="n"/>
      <c r="E645" s="83" t="n"/>
      <c r="F645" s="83" t="n"/>
      <c r="G645" s="83" t="n"/>
      <c r="H645" s="83" t="n"/>
      <c r="I645" s="83" t="n"/>
      <c r="J645" s="83" t="n"/>
      <c r="K645" s="83" t="n"/>
      <c r="L645" s="83" t="n"/>
      <c r="M645" s="83" t="n"/>
      <c r="O645" s="84" t="str">
        <f>IF($C645="","",IFERROR(MATCH($B645&amp;"|"&amp;$C645,MUROS!$AX$11:$AX$70,0),0))</f>
        <v/>
      </c>
      <c r="P645" s="84" t="str">
        <f>IF($D645="","",IF(ISNUMBER(MATCH($D645,CMB_S,0)),1,IF(ISNUMBER(MATCH($D645,CMB_G,0)),2,0)))</f>
        <v/>
      </c>
      <c r="Q645" s="84">
        <f>IF(ISNUMBER($H645),-$H645,0)</f>
        <v>0</v>
      </c>
      <c r="R645" s="84">
        <f>IF(ISNUMBER($I645),ABS($I645),0)</f>
        <v>0</v>
      </c>
      <c r="S645" s="84">
        <f>IF(ISNUMBER($M645),ABS($M645),0)</f>
        <v>0</v>
      </c>
      <c r="T645" s="85" t="n">
        <v>637</v>
      </c>
    </row>
    <row r="646">
      <c r="B646" s="83" t="n"/>
      <c r="C646" s="83" t="n"/>
      <c r="D646" s="83" t="n"/>
      <c r="E646" s="83" t="n"/>
      <c r="F646" s="83" t="n"/>
      <c r="G646" s="83" t="n"/>
      <c r="H646" s="83" t="n"/>
      <c r="I646" s="83" t="n"/>
      <c r="J646" s="83" t="n"/>
      <c r="K646" s="83" t="n"/>
      <c r="L646" s="83" t="n"/>
      <c r="M646" s="83" t="n"/>
      <c r="O646" s="84" t="str">
        <f>IF($C646="","",IFERROR(MATCH($B646&amp;"|"&amp;$C646,MUROS!$AX$11:$AX$70,0),0))</f>
        <v/>
      </c>
      <c r="P646" s="84" t="str">
        <f>IF($D646="","",IF(ISNUMBER(MATCH($D646,CMB_S,0)),1,IF(ISNUMBER(MATCH($D646,CMB_G,0)),2,0)))</f>
        <v/>
      </c>
      <c r="Q646" s="84">
        <f>IF(ISNUMBER($H646),-$H646,0)</f>
        <v>0</v>
      </c>
      <c r="R646" s="84">
        <f>IF(ISNUMBER($I646),ABS($I646),0)</f>
        <v>0</v>
      </c>
      <c r="S646" s="84">
        <f>IF(ISNUMBER($M646),ABS($M646),0)</f>
        <v>0</v>
      </c>
      <c r="T646" s="85" t="n">
        <v>638</v>
      </c>
    </row>
    <row r="647">
      <c r="B647" s="83" t="n"/>
      <c r="C647" s="83" t="n"/>
      <c r="D647" s="83" t="n"/>
      <c r="E647" s="83" t="n"/>
      <c r="F647" s="83" t="n"/>
      <c r="G647" s="83" t="n"/>
      <c r="H647" s="83" t="n"/>
      <c r="I647" s="83" t="n"/>
      <c r="J647" s="83" t="n"/>
      <c r="K647" s="83" t="n"/>
      <c r="L647" s="83" t="n"/>
      <c r="M647" s="83" t="n"/>
      <c r="O647" s="84" t="str">
        <f>IF($C647="","",IFERROR(MATCH($B647&amp;"|"&amp;$C647,MUROS!$AX$11:$AX$70,0),0))</f>
        <v/>
      </c>
      <c r="P647" s="84" t="str">
        <f>IF($D647="","",IF(ISNUMBER(MATCH($D647,CMB_S,0)),1,IF(ISNUMBER(MATCH($D647,CMB_G,0)),2,0)))</f>
        <v/>
      </c>
      <c r="Q647" s="84">
        <f>IF(ISNUMBER($H647),-$H647,0)</f>
        <v>0</v>
      </c>
      <c r="R647" s="84">
        <f>IF(ISNUMBER($I647),ABS($I647),0)</f>
        <v>0</v>
      </c>
      <c r="S647" s="84">
        <f>IF(ISNUMBER($M647),ABS($M647),0)</f>
        <v>0</v>
      </c>
      <c r="T647" s="85" t="n">
        <v>639</v>
      </c>
    </row>
    <row r="648">
      <c r="B648" s="83" t="n"/>
      <c r="C648" s="83" t="n"/>
      <c r="D648" s="83" t="n"/>
      <c r="E648" s="83" t="n"/>
      <c r="F648" s="83" t="n"/>
      <c r="G648" s="83" t="n"/>
      <c r="H648" s="83" t="n"/>
      <c r="I648" s="83" t="n"/>
      <c r="J648" s="83" t="n"/>
      <c r="K648" s="83" t="n"/>
      <c r="L648" s="83" t="n"/>
      <c r="M648" s="83" t="n"/>
      <c r="O648" s="84" t="str">
        <f>IF($C648="","",IFERROR(MATCH($B648&amp;"|"&amp;$C648,MUROS!$AX$11:$AX$70,0),0))</f>
        <v/>
      </c>
      <c r="P648" s="84" t="str">
        <f>IF($D648="","",IF(ISNUMBER(MATCH($D648,CMB_S,0)),1,IF(ISNUMBER(MATCH($D648,CMB_G,0)),2,0)))</f>
        <v/>
      </c>
      <c r="Q648" s="84">
        <f>IF(ISNUMBER($H648),-$H648,0)</f>
        <v>0</v>
      </c>
      <c r="R648" s="84">
        <f>IF(ISNUMBER($I648),ABS($I648),0)</f>
        <v>0</v>
      </c>
      <c r="S648" s="84">
        <f>IF(ISNUMBER($M648),ABS($M648),0)</f>
        <v>0</v>
      </c>
      <c r="T648" s="85" t="n">
        <v>640</v>
      </c>
    </row>
    <row r="649">
      <c r="B649" s="83" t="n"/>
      <c r="C649" s="83" t="n"/>
      <c r="D649" s="83" t="n"/>
      <c r="E649" s="83" t="n"/>
      <c r="F649" s="83" t="n"/>
      <c r="G649" s="83" t="n"/>
      <c r="H649" s="83" t="n"/>
      <c r="I649" s="83" t="n"/>
      <c r="J649" s="83" t="n"/>
      <c r="K649" s="83" t="n"/>
      <c r="L649" s="83" t="n"/>
      <c r="M649" s="83" t="n"/>
      <c r="O649" s="84" t="str">
        <f>IF($C649="","",IFERROR(MATCH($B649&amp;"|"&amp;$C649,MUROS!$AX$11:$AX$70,0),0))</f>
        <v/>
      </c>
      <c r="P649" s="84" t="str">
        <f>IF($D649="","",IF(ISNUMBER(MATCH($D649,CMB_S,0)),1,IF(ISNUMBER(MATCH($D649,CMB_G,0)),2,0)))</f>
        <v/>
      </c>
      <c r="Q649" s="84">
        <f>IF(ISNUMBER($H649),-$H649,0)</f>
        <v>0</v>
      </c>
      <c r="R649" s="84">
        <f>IF(ISNUMBER($I649),ABS($I649),0)</f>
        <v>0</v>
      </c>
      <c r="S649" s="84">
        <f>IF(ISNUMBER($M649),ABS($M649),0)</f>
        <v>0</v>
      </c>
      <c r="T649" s="85" t="n">
        <v>641</v>
      </c>
    </row>
    <row r="650">
      <c r="B650" s="83" t="n"/>
      <c r="C650" s="83" t="n"/>
      <c r="D650" s="83" t="n"/>
      <c r="E650" s="83" t="n"/>
      <c r="F650" s="83" t="n"/>
      <c r="G650" s="83" t="n"/>
      <c r="H650" s="83" t="n"/>
      <c r="I650" s="83" t="n"/>
      <c r="J650" s="83" t="n"/>
      <c r="K650" s="83" t="n"/>
      <c r="L650" s="83" t="n"/>
      <c r="M650" s="83" t="n"/>
      <c r="O650" s="84" t="str">
        <f>IF($C650="","",IFERROR(MATCH($B650&amp;"|"&amp;$C650,MUROS!$AX$11:$AX$70,0),0))</f>
        <v/>
      </c>
      <c r="P650" s="84" t="str">
        <f>IF($D650="","",IF(ISNUMBER(MATCH($D650,CMB_S,0)),1,IF(ISNUMBER(MATCH($D650,CMB_G,0)),2,0)))</f>
        <v/>
      </c>
      <c r="Q650" s="84">
        <f>IF(ISNUMBER($H650),-$H650,0)</f>
        <v>0</v>
      </c>
      <c r="R650" s="84">
        <f>IF(ISNUMBER($I650),ABS($I650),0)</f>
        <v>0</v>
      </c>
      <c r="S650" s="84">
        <f>IF(ISNUMBER($M650),ABS($M650),0)</f>
        <v>0</v>
      </c>
      <c r="T650" s="85" t="n">
        <v>642</v>
      </c>
    </row>
    <row r="651">
      <c r="B651" s="83" t="n"/>
      <c r="C651" s="83" t="n"/>
      <c r="D651" s="83" t="n"/>
      <c r="E651" s="83" t="n"/>
      <c r="F651" s="83" t="n"/>
      <c r="G651" s="83" t="n"/>
      <c r="H651" s="83" t="n"/>
      <c r="I651" s="83" t="n"/>
      <c r="J651" s="83" t="n"/>
      <c r="K651" s="83" t="n"/>
      <c r="L651" s="83" t="n"/>
      <c r="M651" s="83" t="n"/>
      <c r="O651" s="84" t="str">
        <f>IF($C651="","",IFERROR(MATCH($B651&amp;"|"&amp;$C651,MUROS!$AX$11:$AX$70,0),0))</f>
        <v/>
      </c>
      <c r="P651" s="84" t="str">
        <f>IF($D651="","",IF(ISNUMBER(MATCH($D651,CMB_S,0)),1,IF(ISNUMBER(MATCH($D651,CMB_G,0)),2,0)))</f>
        <v/>
      </c>
      <c r="Q651" s="84">
        <f>IF(ISNUMBER($H651),-$H651,0)</f>
        <v>0</v>
      </c>
      <c r="R651" s="84">
        <f>IF(ISNUMBER($I651),ABS($I651),0)</f>
        <v>0</v>
      </c>
      <c r="S651" s="84">
        <f>IF(ISNUMBER($M651),ABS($M651),0)</f>
        <v>0</v>
      </c>
      <c r="T651" s="85" t="n">
        <v>643</v>
      </c>
    </row>
    <row r="652"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83" t="n"/>
      <c r="K652" s="83" t="n"/>
      <c r="L652" s="83" t="n"/>
      <c r="M652" s="83" t="n"/>
      <c r="O652" s="84" t="str">
        <f>IF($C652="","",IFERROR(MATCH($B652&amp;"|"&amp;$C652,MUROS!$AX$11:$AX$70,0),0))</f>
        <v/>
      </c>
      <c r="P652" s="84" t="str">
        <f>IF($D652="","",IF(ISNUMBER(MATCH($D652,CMB_S,0)),1,IF(ISNUMBER(MATCH($D652,CMB_G,0)),2,0)))</f>
        <v/>
      </c>
      <c r="Q652" s="84">
        <f>IF(ISNUMBER($H652),-$H652,0)</f>
        <v>0</v>
      </c>
      <c r="R652" s="84">
        <f>IF(ISNUMBER($I652),ABS($I652),0)</f>
        <v>0</v>
      </c>
      <c r="S652" s="84">
        <f>IF(ISNUMBER($M652),ABS($M652),0)</f>
        <v>0</v>
      </c>
      <c r="T652" s="85" t="n">
        <v>644</v>
      </c>
    </row>
    <row r="653">
      <c r="B653" s="83" t="n"/>
      <c r="C653" s="83" t="n"/>
      <c r="D653" s="83" t="n"/>
      <c r="E653" s="83" t="n"/>
      <c r="F653" s="83" t="n"/>
      <c r="G653" s="83" t="n"/>
      <c r="H653" s="83" t="n"/>
      <c r="I653" s="83" t="n"/>
      <c r="J653" s="83" t="n"/>
      <c r="K653" s="83" t="n"/>
      <c r="L653" s="83" t="n"/>
      <c r="M653" s="83" t="n"/>
      <c r="O653" s="84" t="str">
        <f>IF($C653="","",IFERROR(MATCH($B653&amp;"|"&amp;$C653,MUROS!$AX$11:$AX$70,0),0))</f>
        <v/>
      </c>
      <c r="P653" s="84" t="str">
        <f>IF($D653="","",IF(ISNUMBER(MATCH($D653,CMB_S,0)),1,IF(ISNUMBER(MATCH($D653,CMB_G,0)),2,0)))</f>
        <v/>
      </c>
      <c r="Q653" s="84">
        <f>IF(ISNUMBER($H653),-$H653,0)</f>
        <v>0</v>
      </c>
      <c r="R653" s="84">
        <f>IF(ISNUMBER($I653),ABS($I653),0)</f>
        <v>0</v>
      </c>
      <c r="S653" s="84">
        <f>IF(ISNUMBER($M653),ABS($M653),0)</f>
        <v>0</v>
      </c>
      <c r="T653" s="85" t="n">
        <v>645</v>
      </c>
    </row>
    <row r="654">
      <c r="B654" s="83" t="n"/>
      <c r="C654" s="83" t="n"/>
      <c r="D654" s="83" t="n"/>
      <c r="E654" s="83" t="n"/>
      <c r="F654" s="83" t="n"/>
      <c r="G654" s="83" t="n"/>
      <c r="H654" s="83" t="n"/>
      <c r="I654" s="83" t="n"/>
      <c r="J654" s="83" t="n"/>
      <c r="K654" s="83" t="n"/>
      <c r="L654" s="83" t="n"/>
      <c r="M654" s="83" t="n"/>
      <c r="O654" s="84" t="str">
        <f>IF($C654="","",IFERROR(MATCH($B654&amp;"|"&amp;$C654,MUROS!$AX$11:$AX$70,0),0))</f>
        <v/>
      </c>
      <c r="P654" s="84" t="str">
        <f>IF($D654="","",IF(ISNUMBER(MATCH($D654,CMB_S,0)),1,IF(ISNUMBER(MATCH($D654,CMB_G,0)),2,0)))</f>
        <v/>
      </c>
      <c r="Q654" s="84">
        <f>IF(ISNUMBER($H654),-$H654,0)</f>
        <v>0</v>
      </c>
      <c r="R654" s="84">
        <f>IF(ISNUMBER($I654),ABS($I654),0)</f>
        <v>0</v>
      </c>
      <c r="S654" s="84">
        <f>IF(ISNUMBER($M654),ABS($M654),0)</f>
        <v>0</v>
      </c>
      <c r="T654" s="85" t="n">
        <v>646</v>
      </c>
    </row>
    <row r="655">
      <c r="B655" s="83" t="n"/>
      <c r="C655" s="83" t="n"/>
      <c r="D655" s="83" t="n"/>
      <c r="E655" s="83" t="n"/>
      <c r="F655" s="83" t="n"/>
      <c r="G655" s="83" t="n"/>
      <c r="H655" s="83" t="n"/>
      <c r="I655" s="83" t="n"/>
      <c r="J655" s="83" t="n"/>
      <c r="K655" s="83" t="n"/>
      <c r="L655" s="83" t="n"/>
      <c r="M655" s="83" t="n"/>
      <c r="O655" s="84" t="str">
        <f>IF($C655="","",IFERROR(MATCH($B655&amp;"|"&amp;$C655,MUROS!$AX$11:$AX$70,0),0))</f>
        <v/>
      </c>
      <c r="P655" s="84" t="str">
        <f>IF($D655="","",IF(ISNUMBER(MATCH($D655,CMB_S,0)),1,IF(ISNUMBER(MATCH($D655,CMB_G,0)),2,0)))</f>
        <v/>
      </c>
      <c r="Q655" s="84">
        <f>IF(ISNUMBER($H655),-$H655,0)</f>
        <v>0</v>
      </c>
      <c r="R655" s="84">
        <f>IF(ISNUMBER($I655),ABS($I655),0)</f>
        <v>0</v>
      </c>
      <c r="S655" s="84">
        <f>IF(ISNUMBER($M655),ABS($M655),0)</f>
        <v>0</v>
      </c>
      <c r="T655" s="85" t="n">
        <v>647</v>
      </c>
    </row>
    <row r="656">
      <c r="B656" s="83" t="n"/>
      <c r="C656" s="83" t="n"/>
      <c r="D656" s="83" t="n"/>
      <c r="E656" s="83" t="n"/>
      <c r="F656" s="83" t="n"/>
      <c r="G656" s="83" t="n"/>
      <c r="H656" s="83" t="n"/>
      <c r="I656" s="83" t="n"/>
      <c r="J656" s="83" t="n"/>
      <c r="K656" s="83" t="n"/>
      <c r="L656" s="83" t="n"/>
      <c r="M656" s="83" t="n"/>
      <c r="O656" s="84" t="str">
        <f>IF($C656="","",IFERROR(MATCH($B656&amp;"|"&amp;$C656,MUROS!$AX$11:$AX$70,0),0))</f>
        <v/>
      </c>
      <c r="P656" s="84" t="str">
        <f>IF($D656="","",IF(ISNUMBER(MATCH($D656,CMB_S,0)),1,IF(ISNUMBER(MATCH($D656,CMB_G,0)),2,0)))</f>
        <v/>
      </c>
      <c r="Q656" s="84">
        <f>IF(ISNUMBER($H656),-$H656,0)</f>
        <v>0</v>
      </c>
      <c r="R656" s="84">
        <f>IF(ISNUMBER($I656),ABS($I656),0)</f>
        <v>0</v>
      </c>
      <c r="S656" s="84">
        <f>IF(ISNUMBER($M656),ABS($M656),0)</f>
        <v>0</v>
      </c>
      <c r="T656" s="85" t="n">
        <v>648</v>
      </c>
    </row>
    <row r="657">
      <c r="B657" s="83" t="n"/>
      <c r="C657" s="83" t="n"/>
      <c r="D657" s="83" t="n"/>
      <c r="E657" s="83" t="n"/>
      <c r="F657" s="83" t="n"/>
      <c r="G657" s="83" t="n"/>
      <c r="H657" s="83" t="n"/>
      <c r="I657" s="83" t="n"/>
      <c r="J657" s="83" t="n"/>
      <c r="K657" s="83" t="n"/>
      <c r="L657" s="83" t="n"/>
      <c r="M657" s="83" t="n"/>
      <c r="O657" s="84" t="str">
        <f>IF($C657="","",IFERROR(MATCH($B657&amp;"|"&amp;$C657,MUROS!$AX$11:$AX$70,0),0))</f>
        <v/>
      </c>
      <c r="P657" s="84" t="str">
        <f>IF($D657="","",IF(ISNUMBER(MATCH($D657,CMB_S,0)),1,IF(ISNUMBER(MATCH($D657,CMB_G,0)),2,0)))</f>
        <v/>
      </c>
      <c r="Q657" s="84">
        <f>IF(ISNUMBER($H657),-$H657,0)</f>
        <v>0</v>
      </c>
      <c r="R657" s="84">
        <f>IF(ISNUMBER($I657),ABS($I657),0)</f>
        <v>0</v>
      </c>
      <c r="S657" s="84">
        <f>IF(ISNUMBER($M657),ABS($M657),0)</f>
        <v>0</v>
      </c>
      <c r="T657" s="85" t="n">
        <v>649</v>
      </c>
    </row>
    <row r="658">
      <c r="B658" s="83" t="n"/>
      <c r="C658" s="83" t="n"/>
      <c r="D658" s="83" t="n"/>
      <c r="E658" s="83" t="n"/>
      <c r="F658" s="83" t="n"/>
      <c r="G658" s="83" t="n"/>
      <c r="H658" s="83" t="n"/>
      <c r="I658" s="83" t="n"/>
      <c r="J658" s="83" t="n"/>
      <c r="K658" s="83" t="n"/>
      <c r="L658" s="83" t="n"/>
      <c r="M658" s="83" t="n"/>
      <c r="O658" s="84" t="str">
        <f>IF($C658="","",IFERROR(MATCH($B658&amp;"|"&amp;$C658,MUROS!$AX$11:$AX$70,0),0))</f>
        <v/>
      </c>
      <c r="P658" s="84" t="str">
        <f>IF($D658="","",IF(ISNUMBER(MATCH($D658,CMB_S,0)),1,IF(ISNUMBER(MATCH($D658,CMB_G,0)),2,0)))</f>
        <v/>
      </c>
      <c r="Q658" s="84">
        <f>IF(ISNUMBER($H658),-$H658,0)</f>
        <v>0</v>
      </c>
      <c r="R658" s="84">
        <f>IF(ISNUMBER($I658),ABS($I658),0)</f>
        <v>0</v>
      </c>
      <c r="S658" s="84">
        <f>IF(ISNUMBER($M658),ABS($M658),0)</f>
        <v>0</v>
      </c>
      <c r="T658" s="85" t="n">
        <v>650</v>
      </c>
    </row>
    <row r="659">
      <c r="B659" s="83" t="n"/>
      <c r="C659" s="83" t="n"/>
      <c r="D659" s="83" t="n"/>
      <c r="E659" s="83" t="n"/>
      <c r="F659" s="83" t="n"/>
      <c r="G659" s="83" t="n"/>
      <c r="H659" s="83" t="n"/>
      <c r="I659" s="83" t="n"/>
      <c r="J659" s="83" t="n"/>
      <c r="K659" s="83" t="n"/>
      <c r="L659" s="83" t="n"/>
      <c r="M659" s="83" t="n"/>
      <c r="O659" s="84" t="str">
        <f>IF($C659="","",IFERROR(MATCH($B659&amp;"|"&amp;$C659,MUROS!$AX$11:$AX$70,0),0))</f>
        <v/>
      </c>
      <c r="P659" s="84" t="str">
        <f>IF($D659="","",IF(ISNUMBER(MATCH($D659,CMB_S,0)),1,IF(ISNUMBER(MATCH($D659,CMB_G,0)),2,0)))</f>
        <v/>
      </c>
      <c r="Q659" s="84">
        <f>IF(ISNUMBER($H659),-$H659,0)</f>
        <v>0</v>
      </c>
      <c r="R659" s="84">
        <f>IF(ISNUMBER($I659),ABS($I659),0)</f>
        <v>0</v>
      </c>
      <c r="S659" s="84">
        <f>IF(ISNUMBER($M659),ABS($M659),0)</f>
        <v>0</v>
      </c>
      <c r="T659" s="85" t="n">
        <v>651</v>
      </c>
    </row>
    <row r="660">
      <c r="B660" s="83" t="n"/>
      <c r="C660" s="83" t="n"/>
      <c r="D660" s="83" t="n"/>
      <c r="E660" s="83" t="n"/>
      <c r="F660" s="83" t="n"/>
      <c r="G660" s="83" t="n"/>
      <c r="H660" s="83" t="n"/>
      <c r="I660" s="83" t="n"/>
      <c r="J660" s="83" t="n"/>
      <c r="K660" s="83" t="n"/>
      <c r="L660" s="83" t="n"/>
      <c r="M660" s="83" t="n"/>
      <c r="O660" s="84" t="str">
        <f>IF($C660="","",IFERROR(MATCH($B660&amp;"|"&amp;$C660,MUROS!$AX$11:$AX$70,0),0))</f>
        <v/>
      </c>
      <c r="P660" s="84" t="str">
        <f>IF($D660="","",IF(ISNUMBER(MATCH($D660,CMB_S,0)),1,IF(ISNUMBER(MATCH($D660,CMB_G,0)),2,0)))</f>
        <v/>
      </c>
      <c r="Q660" s="84">
        <f>IF(ISNUMBER($H660),-$H660,0)</f>
        <v>0</v>
      </c>
      <c r="R660" s="84">
        <f>IF(ISNUMBER($I660),ABS($I660),0)</f>
        <v>0</v>
      </c>
      <c r="S660" s="84">
        <f>IF(ISNUMBER($M660),ABS($M660),0)</f>
        <v>0</v>
      </c>
      <c r="T660" s="85" t="n">
        <v>652</v>
      </c>
    </row>
    <row r="661"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83" t="n"/>
      <c r="K661" s="83" t="n"/>
      <c r="L661" s="83" t="n"/>
      <c r="M661" s="83" t="n"/>
      <c r="O661" s="84" t="str">
        <f>IF($C661="","",IFERROR(MATCH($B661&amp;"|"&amp;$C661,MUROS!$AX$11:$AX$70,0),0))</f>
        <v/>
      </c>
      <c r="P661" s="84" t="str">
        <f>IF($D661="","",IF(ISNUMBER(MATCH($D661,CMB_S,0)),1,IF(ISNUMBER(MATCH($D661,CMB_G,0)),2,0)))</f>
        <v/>
      </c>
      <c r="Q661" s="84">
        <f>IF(ISNUMBER($H661),-$H661,0)</f>
        <v>0</v>
      </c>
      <c r="R661" s="84">
        <f>IF(ISNUMBER($I661),ABS($I661),0)</f>
        <v>0</v>
      </c>
      <c r="S661" s="84">
        <f>IF(ISNUMBER($M661),ABS($M661),0)</f>
        <v>0</v>
      </c>
      <c r="T661" s="85" t="n">
        <v>653</v>
      </c>
    </row>
    <row r="662">
      <c r="B662" s="83" t="n"/>
      <c r="C662" s="83" t="n"/>
      <c r="D662" s="83" t="n"/>
      <c r="E662" s="83" t="n"/>
      <c r="F662" s="83" t="n"/>
      <c r="G662" s="83" t="n"/>
      <c r="H662" s="83" t="n"/>
      <c r="I662" s="83" t="n"/>
      <c r="J662" s="83" t="n"/>
      <c r="K662" s="83" t="n"/>
      <c r="L662" s="83" t="n"/>
      <c r="M662" s="83" t="n"/>
      <c r="O662" s="84" t="str">
        <f>IF($C662="","",IFERROR(MATCH($B662&amp;"|"&amp;$C662,MUROS!$AX$11:$AX$70,0),0))</f>
        <v/>
      </c>
      <c r="P662" s="84" t="str">
        <f>IF($D662="","",IF(ISNUMBER(MATCH($D662,CMB_S,0)),1,IF(ISNUMBER(MATCH($D662,CMB_G,0)),2,0)))</f>
        <v/>
      </c>
      <c r="Q662" s="84">
        <f>IF(ISNUMBER($H662),-$H662,0)</f>
        <v>0</v>
      </c>
      <c r="R662" s="84">
        <f>IF(ISNUMBER($I662),ABS($I662),0)</f>
        <v>0</v>
      </c>
      <c r="S662" s="84">
        <f>IF(ISNUMBER($M662),ABS($M662),0)</f>
        <v>0</v>
      </c>
      <c r="T662" s="85" t="n">
        <v>654</v>
      </c>
    </row>
    <row r="663">
      <c r="B663" s="83" t="n"/>
      <c r="C663" s="83" t="n"/>
      <c r="D663" s="83" t="n"/>
      <c r="E663" s="83" t="n"/>
      <c r="F663" s="83" t="n"/>
      <c r="G663" s="83" t="n"/>
      <c r="H663" s="83" t="n"/>
      <c r="I663" s="83" t="n"/>
      <c r="J663" s="83" t="n"/>
      <c r="K663" s="83" t="n"/>
      <c r="L663" s="83" t="n"/>
      <c r="M663" s="83" t="n"/>
      <c r="O663" s="84" t="str">
        <f>IF($C663="","",IFERROR(MATCH($B663&amp;"|"&amp;$C663,MUROS!$AX$11:$AX$70,0),0))</f>
        <v/>
      </c>
      <c r="P663" s="84" t="str">
        <f>IF($D663="","",IF(ISNUMBER(MATCH($D663,CMB_S,0)),1,IF(ISNUMBER(MATCH($D663,CMB_G,0)),2,0)))</f>
        <v/>
      </c>
      <c r="Q663" s="84">
        <f>IF(ISNUMBER($H663),-$H663,0)</f>
        <v>0</v>
      </c>
      <c r="R663" s="84">
        <f>IF(ISNUMBER($I663),ABS($I663),0)</f>
        <v>0</v>
      </c>
      <c r="S663" s="84">
        <f>IF(ISNUMBER($M663),ABS($M663),0)</f>
        <v>0</v>
      </c>
      <c r="T663" s="85" t="n">
        <v>655</v>
      </c>
    </row>
    <row r="664">
      <c r="B664" s="83" t="n"/>
      <c r="C664" s="83" t="n"/>
      <c r="D664" s="83" t="n"/>
      <c r="E664" s="83" t="n"/>
      <c r="F664" s="83" t="n"/>
      <c r="G664" s="83" t="n"/>
      <c r="H664" s="83" t="n"/>
      <c r="I664" s="83" t="n"/>
      <c r="J664" s="83" t="n"/>
      <c r="K664" s="83" t="n"/>
      <c r="L664" s="83" t="n"/>
      <c r="M664" s="83" t="n"/>
      <c r="O664" s="84" t="str">
        <f>IF($C664="","",IFERROR(MATCH($B664&amp;"|"&amp;$C664,MUROS!$AX$11:$AX$70,0),0))</f>
        <v/>
      </c>
      <c r="P664" s="84" t="str">
        <f>IF($D664="","",IF(ISNUMBER(MATCH($D664,CMB_S,0)),1,IF(ISNUMBER(MATCH($D664,CMB_G,0)),2,0)))</f>
        <v/>
      </c>
      <c r="Q664" s="84">
        <f>IF(ISNUMBER($H664),-$H664,0)</f>
        <v>0</v>
      </c>
      <c r="R664" s="84">
        <f>IF(ISNUMBER($I664),ABS($I664),0)</f>
        <v>0</v>
      </c>
      <c r="S664" s="84">
        <f>IF(ISNUMBER($M664),ABS($M664),0)</f>
        <v>0</v>
      </c>
      <c r="T664" s="85" t="n">
        <v>656</v>
      </c>
    </row>
    <row r="665">
      <c r="B665" s="83" t="n"/>
      <c r="C665" s="83" t="n"/>
      <c r="D665" s="83" t="n"/>
      <c r="E665" s="83" t="n"/>
      <c r="F665" s="83" t="n"/>
      <c r="G665" s="83" t="n"/>
      <c r="H665" s="83" t="n"/>
      <c r="I665" s="83" t="n"/>
      <c r="J665" s="83" t="n"/>
      <c r="K665" s="83" t="n"/>
      <c r="L665" s="83" t="n"/>
      <c r="M665" s="83" t="n"/>
      <c r="O665" s="84" t="str">
        <f>IF($C665="","",IFERROR(MATCH($B665&amp;"|"&amp;$C665,MUROS!$AX$11:$AX$70,0),0))</f>
        <v/>
      </c>
      <c r="P665" s="84" t="str">
        <f>IF($D665="","",IF(ISNUMBER(MATCH($D665,CMB_S,0)),1,IF(ISNUMBER(MATCH($D665,CMB_G,0)),2,0)))</f>
        <v/>
      </c>
      <c r="Q665" s="84">
        <f>IF(ISNUMBER($H665),-$H665,0)</f>
        <v>0</v>
      </c>
      <c r="R665" s="84">
        <f>IF(ISNUMBER($I665),ABS($I665),0)</f>
        <v>0</v>
      </c>
      <c r="S665" s="84">
        <f>IF(ISNUMBER($M665),ABS($M665),0)</f>
        <v>0</v>
      </c>
      <c r="T665" s="85" t="n">
        <v>657</v>
      </c>
    </row>
    <row r="666">
      <c r="B666" s="83" t="n"/>
      <c r="C666" s="83" t="n"/>
      <c r="D666" s="83" t="n"/>
      <c r="E666" s="83" t="n"/>
      <c r="F666" s="83" t="n"/>
      <c r="G666" s="83" t="n"/>
      <c r="H666" s="83" t="n"/>
      <c r="I666" s="83" t="n"/>
      <c r="J666" s="83" t="n"/>
      <c r="K666" s="83" t="n"/>
      <c r="L666" s="83" t="n"/>
      <c r="M666" s="83" t="n"/>
      <c r="O666" s="84" t="str">
        <f>IF($C666="","",IFERROR(MATCH($B666&amp;"|"&amp;$C666,MUROS!$AX$11:$AX$70,0),0))</f>
        <v/>
      </c>
      <c r="P666" s="84" t="str">
        <f>IF($D666="","",IF(ISNUMBER(MATCH($D666,CMB_S,0)),1,IF(ISNUMBER(MATCH($D666,CMB_G,0)),2,0)))</f>
        <v/>
      </c>
      <c r="Q666" s="84">
        <f>IF(ISNUMBER($H666),-$H666,0)</f>
        <v>0</v>
      </c>
      <c r="R666" s="84">
        <f>IF(ISNUMBER($I666),ABS($I666),0)</f>
        <v>0</v>
      </c>
      <c r="S666" s="84">
        <f>IF(ISNUMBER($M666),ABS($M666),0)</f>
        <v>0</v>
      </c>
      <c r="T666" s="85" t="n">
        <v>658</v>
      </c>
    </row>
    <row r="667">
      <c r="B667" s="83" t="n"/>
      <c r="C667" s="83" t="n"/>
      <c r="D667" s="83" t="n"/>
      <c r="E667" s="83" t="n"/>
      <c r="F667" s="83" t="n"/>
      <c r="G667" s="83" t="n"/>
      <c r="H667" s="83" t="n"/>
      <c r="I667" s="83" t="n"/>
      <c r="J667" s="83" t="n"/>
      <c r="K667" s="83" t="n"/>
      <c r="L667" s="83" t="n"/>
      <c r="M667" s="83" t="n"/>
      <c r="O667" s="84" t="str">
        <f>IF($C667="","",IFERROR(MATCH($B667&amp;"|"&amp;$C667,MUROS!$AX$11:$AX$70,0),0))</f>
        <v/>
      </c>
      <c r="P667" s="84" t="str">
        <f>IF($D667="","",IF(ISNUMBER(MATCH($D667,CMB_S,0)),1,IF(ISNUMBER(MATCH($D667,CMB_G,0)),2,0)))</f>
        <v/>
      </c>
      <c r="Q667" s="84">
        <f>IF(ISNUMBER($H667),-$H667,0)</f>
        <v>0</v>
      </c>
      <c r="R667" s="84">
        <f>IF(ISNUMBER($I667),ABS($I667),0)</f>
        <v>0</v>
      </c>
      <c r="S667" s="84">
        <f>IF(ISNUMBER($M667),ABS($M667),0)</f>
        <v>0</v>
      </c>
      <c r="T667" s="85" t="n">
        <v>659</v>
      </c>
    </row>
    <row r="668">
      <c r="B668" s="83" t="n"/>
      <c r="C668" s="83" t="n"/>
      <c r="D668" s="83" t="n"/>
      <c r="E668" s="83" t="n"/>
      <c r="F668" s="83" t="n"/>
      <c r="G668" s="83" t="n"/>
      <c r="H668" s="83" t="n"/>
      <c r="I668" s="83" t="n"/>
      <c r="J668" s="83" t="n"/>
      <c r="K668" s="83" t="n"/>
      <c r="L668" s="83" t="n"/>
      <c r="M668" s="83" t="n"/>
      <c r="O668" s="84" t="str">
        <f>IF($C668="","",IFERROR(MATCH($B668&amp;"|"&amp;$C668,MUROS!$AX$11:$AX$70,0),0))</f>
        <v/>
      </c>
      <c r="P668" s="84" t="str">
        <f>IF($D668="","",IF(ISNUMBER(MATCH($D668,CMB_S,0)),1,IF(ISNUMBER(MATCH($D668,CMB_G,0)),2,0)))</f>
        <v/>
      </c>
      <c r="Q668" s="84">
        <f>IF(ISNUMBER($H668),-$H668,0)</f>
        <v>0</v>
      </c>
      <c r="R668" s="84">
        <f>IF(ISNUMBER($I668),ABS($I668),0)</f>
        <v>0</v>
      </c>
      <c r="S668" s="84">
        <f>IF(ISNUMBER($M668),ABS($M668),0)</f>
        <v>0</v>
      </c>
      <c r="T668" s="85" t="n">
        <v>660</v>
      </c>
    </row>
    <row r="669">
      <c r="B669" s="83" t="n"/>
      <c r="C669" s="83" t="n"/>
      <c r="D669" s="83" t="n"/>
      <c r="E669" s="83" t="n"/>
      <c r="F669" s="83" t="n"/>
      <c r="G669" s="83" t="n"/>
      <c r="H669" s="83" t="n"/>
      <c r="I669" s="83" t="n"/>
      <c r="J669" s="83" t="n"/>
      <c r="K669" s="83" t="n"/>
      <c r="L669" s="83" t="n"/>
      <c r="M669" s="83" t="n"/>
      <c r="O669" s="84" t="str">
        <f>IF($C669="","",IFERROR(MATCH($B669&amp;"|"&amp;$C669,MUROS!$AX$11:$AX$70,0),0))</f>
        <v/>
      </c>
      <c r="P669" s="84" t="str">
        <f>IF($D669="","",IF(ISNUMBER(MATCH($D669,CMB_S,0)),1,IF(ISNUMBER(MATCH($D669,CMB_G,0)),2,0)))</f>
        <v/>
      </c>
      <c r="Q669" s="84">
        <f>IF(ISNUMBER($H669),-$H669,0)</f>
        <v>0</v>
      </c>
      <c r="R669" s="84">
        <f>IF(ISNUMBER($I669),ABS($I669),0)</f>
        <v>0</v>
      </c>
      <c r="S669" s="84">
        <f>IF(ISNUMBER($M669),ABS($M669),0)</f>
        <v>0</v>
      </c>
      <c r="T669" s="85" t="n">
        <v>661</v>
      </c>
    </row>
    <row r="670">
      <c r="B670" s="83" t="n"/>
      <c r="C670" s="83" t="n"/>
      <c r="D670" s="83" t="n"/>
      <c r="E670" s="83" t="n"/>
      <c r="F670" s="83" t="n"/>
      <c r="G670" s="83" t="n"/>
      <c r="H670" s="83" t="n"/>
      <c r="I670" s="83" t="n"/>
      <c r="J670" s="83" t="n"/>
      <c r="K670" s="83" t="n"/>
      <c r="L670" s="83" t="n"/>
      <c r="M670" s="83" t="n"/>
      <c r="O670" s="84" t="str">
        <f>IF($C670="","",IFERROR(MATCH($B670&amp;"|"&amp;$C670,MUROS!$AX$11:$AX$70,0),0))</f>
        <v/>
      </c>
      <c r="P670" s="84" t="str">
        <f>IF($D670="","",IF(ISNUMBER(MATCH($D670,CMB_S,0)),1,IF(ISNUMBER(MATCH($D670,CMB_G,0)),2,0)))</f>
        <v/>
      </c>
      <c r="Q670" s="84">
        <f>IF(ISNUMBER($H670),-$H670,0)</f>
        <v>0</v>
      </c>
      <c r="R670" s="84">
        <f>IF(ISNUMBER($I670),ABS($I670),0)</f>
        <v>0</v>
      </c>
      <c r="S670" s="84">
        <f>IF(ISNUMBER($M670),ABS($M670),0)</f>
        <v>0</v>
      </c>
      <c r="T670" s="85" t="n">
        <v>662</v>
      </c>
    </row>
    <row r="671">
      <c r="B671" s="83" t="n"/>
      <c r="C671" s="83" t="n"/>
      <c r="D671" s="83" t="n"/>
      <c r="E671" s="83" t="n"/>
      <c r="F671" s="83" t="n"/>
      <c r="G671" s="83" t="n"/>
      <c r="H671" s="83" t="n"/>
      <c r="I671" s="83" t="n"/>
      <c r="J671" s="83" t="n"/>
      <c r="K671" s="83" t="n"/>
      <c r="L671" s="83" t="n"/>
      <c r="M671" s="83" t="n"/>
      <c r="O671" s="84" t="str">
        <f>IF($C671="","",IFERROR(MATCH($B671&amp;"|"&amp;$C671,MUROS!$AX$11:$AX$70,0),0))</f>
        <v/>
      </c>
      <c r="P671" s="84" t="str">
        <f>IF($D671="","",IF(ISNUMBER(MATCH($D671,CMB_S,0)),1,IF(ISNUMBER(MATCH($D671,CMB_G,0)),2,0)))</f>
        <v/>
      </c>
      <c r="Q671" s="84">
        <f>IF(ISNUMBER($H671),-$H671,0)</f>
        <v>0</v>
      </c>
      <c r="R671" s="84">
        <f>IF(ISNUMBER($I671),ABS($I671),0)</f>
        <v>0</v>
      </c>
      <c r="S671" s="84">
        <f>IF(ISNUMBER($M671),ABS($M671),0)</f>
        <v>0</v>
      </c>
      <c r="T671" s="85" t="n">
        <v>663</v>
      </c>
    </row>
    <row r="672">
      <c r="B672" s="83" t="n"/>
      <c r="C672" s="83" t="n"/>
      <c r="D672" s="83" t="n"/>
      <c r="E672" s="83" t="n"/>
      <c r="F672" s="83" t="n"/>
      <c r="G672" s="83" t="n"/>
      <c r="H672" s="83" t="n"/>
      <c r="I672" s="83" t="n"/>
      <c r="J672" s="83" t="n"/>
      <c r="K672" s="83" t="n"/>
      <c r="L672" s="83" t="n"/>
      <c r="M672" s="83" t="n"/>
      <c r="O672" s="84" t="str">
        <f>IF($C672="","",IFERROR(MATCH($B672&amp;"|"&amp;$C672,MUROS!$AX$11:$AX$70,0),0))</f>
        <v/>
      </c>
      <c r="P672" s="84" t="str">
        <f>IF($D672="","",IF(ISNUMBER(MATCH($D672,CMB_S,0)),1,IF(ISNUMBER(MATCH($D672,CMB_G,0)),2,0)))</f>
        <v/>
      </c>
      <c r="Q672" s="84">
        <f>IF(ISNUMBER($H672),-$H672,0)</f>
        <v>0</v>
      </c>
      <c r="R672" s="84">
        <f>IF(ISNUMBER($I672),ABS($I672),0)</f>
        <v>0</v>
      </c>
      <c r="S672" s="84">
        <f>IF(ISNUMBER($M672),ABS($M672),0)</f>
        <v>0</v>
      </c>
      <c r="T672" s="85" t="n">
        <v>664</v>
      </c>
    </row>
    <row r="673">
      <c r="B673" s="83" t="n"/>
      <c r="C673" s="83" t="n"/>
      <c r="D673" s="83" t="n"/>
      <c r="E673" s="83" t="n"/>
      <c r="F673" s="83" t="n"/>
      <c r="G673" s="83" t="n"/>
      <c r="H673" s="83" t="n"/>
      <c r="I673" s="83" t="n"/>
      <c r="J673" s="83" t="n"/>
      <c r="K673" s="83" t="n"/>
      <c r="L673" s="83" t="n"/>
      <c r="M673" s="83" t="n"/>
      <c r="O673" s="84" t="str">
        <f>IF($C673="","",IFERROR(MATCH($B673&amp;"|"&amp;$C673,MUROS!$AX$11:$AX$70,0),0))</f>
        <v/>
      </c>
      <c r="P673" s="84" t="str">
        <f>IF($D673="","",IF(ISNUMBER(MATCH($D673,CMB_S,0)),1,IF(ISNUMBER(MATCH($D673,CMB_G,0)),2,0)))</f>
        <v/>
      </c>
      <c r="Q673" s="84">
        <f>IF(ISNUMBER($H673),-$H673,0)</f>
        <v>0</v>
      </c>
      <c r="R673" s="84">
        <f>IF(ISNUMBER($I673),ABS($I673),0)</f>
        <v>0</v>
      </c>
      <c r="S673" s="84">
        <f>IF(ISNUMBER($M673),ABS($M673),0)</f>
        <v>0</v>
      </c>
      <c r="T673" s="85" t="n">
        <v>665</v>
      </c>
    </row>
    <row r="674">
      <c r="B674" s="83" t="n"/>
      <c r="C674" s="83" t="n"/>
      <c r="D674" s="83" t="n"/>
      <c r="E674" s="83" t="n"/>
      <c r="F674" s="83" t="n"/>
      <c r="G674" s="83" t="n"/>
      <c r="H674" s="83" t="n"/>
      <c r="I674" s="83" t="n"/>
      <c r="J674" s="83" t="n"/>
      <c r="K674" s="83" t="n"/>
      <c r="L674" s="83" t="n"/>
      <c r="M674" s="83" t="n"/>
      <c r="O674" s="84" t="str">
        <f>IF($C674="","",IFERROR(MATCH($B674&amp;"|"&amp;$C674,MUROS!$AX$11:$AX$70,0),0))</f>
        <v/>
      </c>
      <c r="P674" s="84" t="str">
        <f>IF($D674="","",IF(ISNUMBER(MATCH($D674,CMB_S,0)),1,IF(ISNUMBER(MATCH($D674,CMB_G,0)),2,0)))</f>
        <v/>
      </c>
      <c r="Q674" s="84">
        <f>IF(ISNUMBER($H674),-$H674,0)</f>
        <v>0</v>
      </c>
      <c r="R674" s="84">
        <f>IF(ISNUMBER($I674),ABS($I674),0)</f>
        <v>0</v>
      </c>
      <c r="S674" s="84">
        <f>IF(ISNUMBER($M674),ABS($M674),0)</f>
        <v>0</v>
      </c>
      <c r="T674" s="85" t="n">
        <v>666</v>
      </c>
    </row>
    <row r="675">
      <c r="B675" s="83" t="n"/>
      <c r="C675" s="83" t="n"/>
      <c r="D675" s="83" t="n"/>
      <c r="E675" s="83" t="n"/>
      <c r="F675" s="83" t="n"/>
      <c r="G675" s="83" t="n"/>
      <c r="H675" s="83" t="n"/>
      <c r="I675" s="83" t="n"/>
      <c r="J675" s="83" t="n"/>
      <c r="K675" s="83" t="n"/>
      <c r="L675" s="83" t="n"/>
      <c r="M675" s="83" t="n"/>
      <c r="O675" s="84" t="str">
        <f>IF($C675="","",IFERROR(MATCH($B675&amp;"|"&amp;$C675,MUROS!$AX$11:$AX$70,0),0))</f>
        <v/>
      </c>
      <c r="P675" s="84" t="str">
        <f>IF($D675="","",IF(ISNUMBER(MATCH($D675,CMB_S,0)),1,IF(ISNUMBER(MATCH($D675,CMB_G,0)),2,0)))</f>
        <v/>
      </c>
      <c r="Q675" s="84">
        <f>IF(ISNUMBER($H675),-$H675,0)</f>
        <v>0</v>
      </c>
      <c r="R675" s="84">
        <f>IF(ISNUMBER($I675),ABS($I675),0)</f>
        <v>0</v>
      </c>
      <c r="S675" s="84">
        <f>IF(ISNUMBER($M675),ABS($M675),0)</f>
        <v>0</v>
      </c>
      <c r="T675" s="85" t="n">
        <v>667</v>
      </c>
    </row>
    <row r="676">
      <c r="B676" s="83" t="n"/>
      <c r="C676" s="83" t="n"/>
      <c r="D676" s="83" t="n"/>
      <c r="E676" s="83" t="n"/>
      <c r="F676" s="83" t="n"/>
      <c r="G676" s="83" t="n"/>
      <c r="H676" s="83" t="n"/>
      <c r="I676" s="83" t="n"/>
      <c r="J676" s="83" t="n"/>
      <c r="K676" s="83" t="n"/>
      <c r="L676" s="83" t="n"/>
      <c r="M676" s="83" t="n"/>
      <c r="O676" s="84" t="str">
        <f>IF($C676="","",IFERROR(MATCH($B676&amp;"|"&amp;$C676,MUROS!$AX$11:$AX$70,0),0))</f>
        <v/>
      </c>
      <c r="P676" s="84" t="str">
        <f>IF($D676="","",IF(ISNUMBER(MATCH($D676,CMB_S,0)),1,IF(ISNUMBER(MATCH($D676,CMB_G,0)),2,0)))</f>
        <v/>
      </c>
      <c r="Q676" s="84">
        <f>IF(ISNUMBER($H676),-$H676,0)</f>
        <v>0</v>
      </c>
      <c r="R676" s="84">
        <f>IF(ISNUMBER($I676),ABS($I676),0)</f>
        <v>0</v>
      </c>
      <c r="S676" s="84">
        <f>IF(ISNUMBER($M676),ABS($M676),0)</f>
        <v>0</v>
      </c>
      <c r="T676" s="85" t="n">
        <v>668</v>
      </c>
    </row>
    <row r="677"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83" t="n"/>
      <c r="K677" s="83" t="n"/>
      <c r="L677" s="83" t="n"/>
      <c r="M677" s="83" t="n"/>
      <c r="O677" s="84" t="str">
        <f>IF($C677="","",IFERROR(MATCH($B677&amp;"|"&amp;$C677,MUROS!$AX$11:$AX$70,0),0))</f>
        <v/>
      </c>
      <c r="P677" s="84" t="str">
        <f>IF($D677="","",IF(ISNUMBER(MATCH($D677,CMB_S,0)),1,IF(ISNUMBER(MATCH($D677,CMB_G,0)),2,0)))</f>
        <v/>
      </c>
      <c r="Q677" s="84">
        <f>IF(ISNUMBER($H677),-$H677,0)</f>
        <v>0</v>
      </c>
      <c r="R677" s="84">
        <f>IF(ISNUMBER($I677),ABS($I677),0)</f>
        <v>0</v>
      </c>
      <c r="S677" s="84">
        <f>IF(ISNUMBER($M677),ABS($M677),0)</f>
        <v>0</v>
      </c>
      <c r="T677" s="85" t="n">
        <v>669</v>
      </c>
    </row>
    <row r="678">
      <c r="B678" s="83" t="n"/>
      <c r="C678" s="83" t="n"/>
      <c r="D678" s="83" t="n"/>
      <c r="E678" s="83" t="n"/>
      <c r="F678" s="83" t="n"/>
      <c r="G678" s="83" t="n"/>
      <c r="H678" s="83" t="n"/>
      <c r="I678" s="83" t="n"/>
      <c r="J678" s="83" t="n"/>
      <c r="K678" s="83" t="n"/>
      <c r="L678" s="83" t="n"/>
      <c r="M678" s="83" t="n"/>
      <c r="O678" s="84" t="str">
        <f>IF($C678="","",IFERROR(MATCH($B678&amp;"|"&amp;$C678,MUROS!$AX$11:$AX$70,0),0))</f>
        <v/>
      </c>
      <c r="P678" s="84" t="str">
        <f>IF($D678="","",IF(ISNUMBER(MATCH($D678,CMB_S,0)),1,IF(ISNUMBER(MATCH($D678,CMB_G,0)),2,0)))</f>
        <v/>
      </c>
      <c r="Q678" s="84">
        <f>IF(ISNUMBER($H678),-$H678,0)</f>
        <v>0</v>
      </c>
      <c r="R678" s="84">
        <f>IF(ISNUMBER($I678),ABS($I678),0)</f>
        <v>0</v>
      </c>
      <c r="S678" s="84">
        <f>IF(ISNUMBER($M678),ABS($M678),0)</f>
        <v>0</v>
      </c>
      <c r="T678" s="85" t="n">
        <v>670</v>
      </c>
    </row>
    <row r="679">
      <c r="B679" s="83" t="n"/>
      <c r="C679" s="83" t="n"/>
      <c r="D679" s="83" t="n"/>
      <c r="E679" s="83" t="n"/>
      <c r="F679" s="83" t="n"/>
      <c r="G679" s="83" t="n"/>
      <c r="H679" s="83" t="n"/>
      <c r="I679" s="83" t="n"/>
      <c r="J679" s="83" t="n"/>
      <c r="K679" s="83" t="n"/>
      <c r="L679" s="83" t="n"/>
      <c r="M679" s="83" t="n"/>
      <c r="O679" s="84" t="str">
        <f>IF($C679="","",IFERROR(MATCH($B679&amp;"|"&amp;$C679,MUROS!$AX$11:$AX$70,0),0))</f>
        <v/>
      </c>
      <c r="P679" s="84" t="str">
        <f>IF($D679="","",IF(ISNUMBER(MATCH($D679,CMB_S,0)),1,IF(ISNUMBER(MATCH($D679,CMB_G,0)),2,0)))</f>
        <v/>
      </c>
      <c r="Q679" s="84">
        <f>IF(ISNUMBER($H679),-$H679,0)</f>
        <v>0</v>
      </c>
      <c r="R679" s="84">
        <f>IF(ISNUMBER($I679),ABS($I679),0)</f>
        <v>0</v>
      </c>
      <c r="S679" s="84">
        <f>IF(ISNUMBER($M679),ABS($M679),0)</f>
        <v>0</v>
      </c>
      <c r="T679" s="85" t="n">
        <v>671</v>
      </c>
    </row>
    <row r="680">
      <c r="B680" s="83" t="n"/>
      <c r="C680" s="83" t="n"/>
      <c r="D680" s="83" t="n"/>
      <c r="E680" s="83" t="n"/>
      <c r="F680" s="83" t="n"/>
      <c r="G680" s="83" t="n"/>
      <c r="H680" s="83" t="n"/>
      <c r="I680" s="83" t="n"/>
      <c r="J680" s="83" t="n"/>
      <c r="K680" s="83" t="n"/>
      <c r="L680" s="83" t="n"/>
      <c r="M680" s="83" t="n"/>
      <c r="O680" s="84" t="str">
        <f>IF($C680="","",IFERROR(MATCH($B680&amp;"|"&amp;$C680,MUROS!$AX$11:$AX$70,0),0))</f>
        <v/>
      </c>
      <c r="P680" s="84" t="str">
        <f>IF($D680="","",IF(ISNUMBER(MATCH($D680,CMB_S,0)),1,IF(ISNUMBER(MATCH($D680,CMB_G,0)),2,0)))</f>
        <v/>
      </c>
      <c r="Q680" s="84">
        <f>IF(ISNUMBER($H680),-$H680,0)</f>
        <v>0</v>
      </c>
      <c r="R680" s="84">
        <f>IF(ISNUMBER($I680),ABS($I680),0)</f>
        <v>0</v>
      </c>
      <c r="S680" s="84">
        <f>IF(ISNUMBER($M680),ABS($M680),0)</f>
        <v>0</v>
      </c>
      <c r="T680" s="85" t="n">
        <v>672</v>
      </c>
    </row>
    <row r="681">
      <c r="B681" s="83" t="n"/>
      <c r="C681" s="83" t="n"/>
      <c r="D681" s="83" t="n"/>
      <c r="E681" s="83" t="n"/>
      <c r="F681" s="83" t="n"/>
      <c r="G681" s="83" t="n"/>
      <c r="H681" s="83" t="n"/>
      <c r="I681" s="83" t="n"/>
      <c r="J681" s="83" t="n"/>
      <c r="K681" s="83" t="n"/>
      <c r="L681" s="83" t="n"/>
      <c r="M681" s="83" t="n"/>
      <c r="O681" s="84" t="str">
        <f>IF($C681="","",IFERROR(MATCH($B681&amp;"|"&amp;$C681,MUROS!$AX$11:$AX$70,0),0))</f>
        <v/>
      </c>
      <c r="P681" s="84" t="str">
        <f>IF($D681="","",IF(ISNUMBER(MATCH($D681,CMB_S,0)),1,IF(ISNUMBER(MATCH($D681,CMB_G,0)),2,0)))</f>
        <v/>
      </c>
      <c r="Q681" s="84">
        <f>IF(ISNUMBER($H681),-$H681,0)</f>
        <v>0</v>
      </c>
      <c r="R681" s="84">
        <f>IF(ISNUMBER($I681),ABS($I681),0)</f>
        <v>0</v>
      </c>
      <c r="S681" s="84">
        <f>IF(ISNUMBER($M681),ABS($M681),0)</f>
        <v>0</v>
      </c>
      <c r="T681" s="85" t="n">
        <v>673</v>
      </c>
    </row>
    <row r="682">
      <c r="B682" s="83" t="n"/>
      <c r="C682" s="83" t="n"/>
      <c r="D682" s="83" t="n"/>
      <c r="E682" s="83" t="n"/>
      <c r="F682" s="83" t="n"/>
      <c r="G682" s="83" t="n"/>
      <c r="H682" s="83" t="n"/>
      <c r="I682" s="83" t="n"/>
      <c r="J682" s="83" t="n"/>
      <c r="K682" s="83" t="n"/>
      <c r="L682" s="83" t="n"/>
      <c r="M682" s="83" t="n"/>
      <c r="O682" s="84" t="str">
        <f>IF($C682="","",IFERROR(MATCH($B682&amp;"|"&amp;$C682,MUROS!$AX$11:$AX$70,0),0))</f>
        <v/>
      </c>
      <c r="P682" s="84" t="str">
        <f>IF($D682="","",IF(ISNUMBER(MATCH($D682,CMB_S,0)),1,IF(ISNUMBER(MATCH($D682,CMB_G,0)),2,0)))</f>
        <v/>
      </c>
      <c r="Q682" s="84">
        <f>IF(ISNUMBER($H682),-$H682,0)</f>
        <v>0</v>
      </c>
      <c r="R682" s="84">
        <f>IF(ISNUMBER($I682),ABS($I682),0)</f>
        <v>0</v>
      </c>
      <c r="S682" s="84">
        <f>IF(ISNUMBER($M682),ABS($M682),0)</f>
        <v>0</v>
      </c>
      <c r="T682" s="85" t="n">
        <v>674</v>
      </c>
    </row>
    <row r="683">
      <c r="B683" s="83" t="n"/>
      <c r="C683" s="83" t="n"/>
      <c r="D683" s="83" t="n"/>
      <c r="E683" s="83" t="n"/>
      <c r="F683" s="83" t="n"/>
      <c r="G683" s="83" t="n"/>
      <c r="H683" s="83" t="n"/>
      <c r="I683" s="83" t="n"/>
      <c r="J683" s="83" t="n"/>
      <c r="K683" s="83" t="n"/>
      <c r="L683" s="83" t="n"/>
      <c r="M683" s="83" t="n"/>
      <c r="O683" s="84" t="str">
        <f>IF($C683="","",IFERROR(MATCH($B683&amp;"|"&amp;$C683,MUROS!$AX$11:$AX$70,0),0))</f>
        <v/>
      </c>
      <c r="P683" s="84" t="str">
        <f>IF($D683="","",IF(ISNUMBER(MATCH($D683,CMB_S,0)),1,IF(ISNUMBER(MATCH($D683,CMB_G,0)),2,0)))</f>
        <v/>
      </c>
      <c r="Q683" s="84">
        <f>IF(ISNUMBER($H683),-$H683,0)</f>
        <v>0</v>
      </c>
      <c r="R683" s="84">
        <f>IF(ISNUMBER($I683),ABS($I683),0)</f>
        <v>0</v>
      </c>
      <c r="S683" s="84">
        <f>IF(ISNUMBER($M683),ABS($M683),0)</f>
        <v>0</v>
      </c>
      <c r="T683" s="85" t="n">
        <v>675</v>
      </c>
    </row>
    <row r="684">
      <c r="B684" s="83" t="n"/>
      <c r="C684" s="83" t="n"/>
      <c r="D684" s="83" t="n"/>
      <c r="E684" s="83" t="n"/>
      <c r="F684" s="83" t="n"/>
      <c r="G684" s="83" t="n"/>
      <c r="H684" s="83" t="n"/>
      <c r="I684" s="83" t="n"/>
      <c r="J684" s="83" t="n"/>
      <c r="K684" s="83" t="n"/>
      <c r="L684" s="83" t="n"/>
      <c r="M684" s="83" t="n"/>
      <c r="O684" s="84" t="str">
        <f>IF($C684="","",IFERROR(MATCH($B684&amp;"|"&amp;$C684,MUROS!$AX$11:$AX$70,0),0))</f>
        <v/>
      </c>
      <c r="P684" s="84" t="str">
        <f>IF($D684="","",IF(ISNUMBER(MATCH($D684,CMB_S,0)),1,IF(ISNUMBER(MATCH($D684,CMB_G,0)),2,0)))</f>
        <v/>
      </c>
      <c r="Q684" s="84">
        <f>IF(ISNUMBER($H684),-$H684,0)</f>
        <v>0</v>
      </c>
      <c r="R684" s="84">
        <f>IF(ISNUMBER($I684),ABS($I684),0)</f>
        <v>0</v>
      </c>
      <c r="S684" s="84">
        <f>IF(ISNUMBER($M684),ABS($M684),0)</f>
        <v>0</v>
      </c>
      <c r="T684" s="85" t="n">
        <v>676</v>
      </c>
    </row>
    <row r="685">
      <c r="B685" s="83" t="n"/>
      <c r="C685" s="83" t="n"/>
      <c r="D685" s="83" t="n"/>
      <c r="E685" s="83" t="n"/>
      <c r="F685" s="83" t="n"/>
      <c r="G685" s="83" t="n"/>
      <c r="H685" s="83" t="n"/>
      <c r="I685" s="83" t="n"/>
      <c r="J685" s="83" t="n"/>
      <c r="K685" s="83" t="n"/>
      <c r="L685" s="83" t="n"/>
      <c r="M685" s="83" t="n"/>
      <c r="O685" s="84" t="str">
        <f>IF($C685="","",IFERROR(MATCH($B685&amp;"|"&amp;$C685,MUROS!$AX$11:$AX$70,0),0))</f>
        <v/>
      </c>
      <c r="P685" s="84" t="str">
        <f>IF($D685="","",IF(ISNUMBER(MATCH($D685,CMB_S,0)),1,IF(ISNUMBER(MATCH($D685,CMB_G,0)),2,0)))</f>
        <v/>
      </c>
      <c r="Q685" s="84">
        <f>IF(ISNUMBER($H685),-$H685,0)</f>
        <v>0</v>
      </c>
      <c r="R685" s="84">
        <f>IF(ISNUMBER($I685),ABS($I685),0)</f>
        <v>0</v>
      </c>
      <c r="S685" s="84">
        <f>IF(ISNUMBER($M685),ABS($M685),0)</f>
        <v>0</v>
      </c>
      <c r="T685" s="85" t="n">
        <v>677</v>
      </c>
    </row>
    <row r="686"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83" t="n"/>
      <c r="K686" s="83" t="n"/>
      <c r="L686" s="83" t="n"/>
      <c r="M686" s="83" t="n"/>
      <c r="O686" s="84" t="str">
        <f>IF($C686="","",IFERROR(MATCH($B686&amp;"|"&amp;$C686,MUROS!$AX$11:$AX$70,0),0))</f>
        <v/>
      </c>
      <c r="P686" s="84" t="str">
        <f>IF($D686="","",IF(ISNUMBER(MATCH($D686,CMB_S,0)),1,IF(ISNUMBER(MATCH($D686,CMB_G,0)),2,0)))</f>
        <v/>
      </c>
      <c r="Q686" s="84">
        <f>IF(ISNUMBER($H686),-$H686,0)</f>
        <v>0</v>
      </c>
      <c r="R686" s="84">
        <f>IF(ISNUMBER($I686),ABS($I686),0)</f>
        <v>0</v>
      </c>
      <c r="S686" s="84">
        <f>IF(ISNUMBER($M686),ABS($M686),0)</f>
        <v>0</v>
      </c>
      <c r="T686" s="85" t="n">
        <v>678</v>
      </c>
    </row>
    <row r="687">
      <c r="B687" s="83" t="n"/>
      <c r="C687" s="83" t="n"/>
      <c r="D687" s="83" t="n"/>
      <c r="E687" s="83" t="n"/>
      <c r="F687" s="83" t="n"/>
      <c r="G687" s="83" t="n"/>
      <c r="H687" s="83" t="n"/>
      <c r="I687" s="83" t="n"/>
      <c r="J687" s="83" t="n"/>
      <c r="K687" s="83" t="n"/>
      <c r="L687" s="83" t="n"/>
      <c r="M687" s="83" t="n"/>
      <c r="O687" s="84" t="str">
        <f>IF($C687="","",IFERROR(MATCH($B687&amp;"|"&amp;$C687,MUROS!$AX$11:$AX$70,0),0))</f>
        <v/>
      </c>
      <c r="P687" s="84" t="str">
        <f>IF($D687="","",IF(ISNUMBER(MATCH($D687,CMB_S,0)),1,IF(ISNUMBER(MATCH($D687,CMB_G,0)),2,0)))</f>
        <v/>
      </c>
      <c r="Q687" s="84">
        <f>IF(ISNUMBER($H687),-$H687,0)</f>
        <v>0</v>
      </c>
      <c r="R687" s="84">
        <f>IF(ISNUMBER($I687),ABS($I687),0)</f>
        <v>0</v>
      </c>
      <c r="S687" s="84">
        <f>IF(ISNUMBER($M687),ABS($M687),0)</f>
        <v>0</v>
      </c>
      <c r="T687" s="85" t="n">
        <v>679</v>
      </c>
    </row>
    <row r="688">
      <c r="B688" s="83" t="n"/>
      <c r="C688" s="83" t="n"/>
      <c r="D688" s="83" t="n"/>
      <c r="E688" s="83" t="n"/>
      <c r="F688" s="83" t="n"/>
      <c r="G688" s="83" t="n"/>
      <c r="H688" s="83" t="n"/>
      <c r="I688" s="83" t="n"/>
      <c r="J688" s="83" t="n"/>
      <c r="K688" s="83" t="n"/>
      <c r="L688" s="83" t="n"/>
      <c r="M688" s="83" t="n"/>
      <c r="O688" s="84" t="str">
        <f>IF($C688="","",IFERROR(MATCH($B688&amp;"|"&amp;$C688,MUROS!$AX$11:$AX$70,0),0))</f>
        <v/>
      </c>
      <c r="P688" s="84" t="str">
        <f>IF($D688="","",IF(ISNUMBER(MATCH($D688,CMB_S,0)),1,IF(ISNUMBER(MATCH($D688,CMB_G,0)),2,0)))</f>
        <v/>
      </c>
      <c r="Q688" s="84">
        <f>IF(ISNUMBER($H688),-$H688,0)</f>
        <v>0</v>
      </c>
      <c r="R688" s="84">
        <f>IF(ISNUMBER($I688),ABS($I688),0)</f>
        <v>0</v>
      </c>
      <c r="S688" s="84">
        <f>IF(ISNUMBER($M688),ABS($M688),0)</f>
        <v>0</v>
      </c>
      <c r="T688" s="85" t="n">
        <v>680</v>
      </c>
    </row>
    <row r="689">
      <c r="B689" s="83" t="n"/>
      <c r="C689" s="83" t="n"/>
      <c r="D689" s="83" t="n"/>
      <c r="E689" s="83" t="n"/>
      <c r="F689" s="83" t="n"/>
      <c r="G689" s="83" t="n"/>
      <c r="H689" s="83" t="n"/>
      <c r="I689" s="83" t="n"/>
      <c r="J689" s="83" t="n"/>
      <c r="K689" s="83" t="n"/>
      <c r="L689" s="83" t="n"/>
      <c r="M689" s="83" t="n"/>
      <c r="O689" s="84" t="str">
        <f>IF($C689="","",IFERROR(MATCH($B689&amp;"|"&amp;$C689,MUROS!$AX$11:$AX$70,0),0))</f>
        <v/>
      </c>
      <c r="P689" s="84" t="str">
        <f>IF($D689="","",IF(ISNUMBER(MATCH($D689,CMB_S,0)),1,IF(ISNUMBER(MATCH($D689,CMB_G,0)),2,0)))</f>
        <v/>
      </c>
      <c r="Q689" s="84">
        <f>IF(ISNUMBER($H689),-$H689,0)</f>
        <v>0</v>
      </c>
      <c r="R689" s="84">
        <f>IF(ISNUMBER($I689),ABS($I689),0)</f>
        <v>0</v>
      </c>
      <c r="S689" s="84">
        <f>IF(ISNUMBER($M689),ABS($M689),0)</f>
        <v>0</v>
      </c>
      <c r="T689" s="85" t="n">
        <v>681</v>
      </c>
    </row>
    <row r="690">
      <c r="B690" s="83" t="n"/>
      <c r="C690" s="83" t="n"/>
      <c r="D690" s="83" t="n"/>
      <c r="E690" s="83" t="n"/>
      <c r="F690" s="83" t="n"/>
      <c r="G690" s="83" t="n"/>
      <c r="H690" s="83" t="n"/>
      <c r="I690" s="83" t="n"/>
      <c r="J690" s="83" t="n"/>
      <c r="K690" s="83" t="n"/>
      <c r="L690" s="83" t="n"/>
      <c r="M690" s="83" t="n"/>
      <c r="O690" s="84" t="str">
        <f>IF($C690="","",IFERROR(MATCH($B690&amp;"|"&amp;$C690,MUROS!$AX$11:$AX$70,0),0))</f>
        <v/>
      </c>
      <c r="P690" s="84" t="str">
        <f>IF($D690="","",IF(ISNUMBER(MATCH($D690,CMB_S,0)),1,IF(ISNUMBER(MATCH($D690,CMB_G,0)),2,0)))</f>
        <v/>
      </c>
      <c r="Q690" s="84">
        <f>IF(ISNUMBER($H690),-$H690,0)</f>
        <v>0</v>
      </c>
      <c r="R690" s="84">
        <f>IF(ISNUMBER($I690),ABS($I690),0)</f>
        <v>0</v>
      </c>
      <c r="S690" s="84">
        <f>IF(ISNUMBER($M690),ABS($M690),0)</f>
        <v>0</v>
      </c>
      <c r="T690" s="85" t="n">
        <v>682</v>
      </c>
    </row>
    <row r="691">
      <c r="B691" s="83" t="n"/>
      <c r="C691" s="83" t="n"/>
      <c r="D691" s="83" t="n"/>
      <c r="E691" s="83" t="n"/>
      <c r="F691" s="83" t="n"/>
      <c r="G691" s="83" t="n"/>
      <c r="H691" s="83" t="n"/>
      <c r="I691" s="83" t="n"/>
      <c r="J691" s="83" t="n"/>
      <c r="K691" s="83" t="n"/>
      <c r="L691" s="83" t="n"/>
      <c r="M691" s="83" t="n"/>
      <c r="O691" s="84" t="str">
        <f>IF($C691="","",IFERROR(MATCH($B691&amp;"|"&amp;$C691,MUROS!$AX$11:$AX$70,0),0))</f>
        <v/>
      </c>
      <c r="P691" s="84" t="str">
        <f>IF($D691="","",IF(ISNUMBER(MATCH($D691,CMB_S,0)),1,IF(ISNUMBER(MATCH($D691,CMB_G,0)),2,0)))</f>
        <v/>
      </c>
      <c r="Q691" s="84">
        <f>IF(ISNUMBER($H691),-$H691,0)</f>
        <v>0</v>
      </c>
      <c r="R691" s="84">
        <f>IF(ISNUMBER($I691),ABS($I691),0)</f>
        <v>0</v>
      </c>
      <c r="S691" s="84">
        <f>IF(ISNUMBER($M691),ABS($M691),0)</f>
        <v>0</v>
      </c>
      <c r="T691" s="85" t="n">
        <v>683</v>
      </c>
    </row>
    <row r="692">
      <c r="B692" s="83" t="n"/>
      <c r="C692" s="83" t="n"/>
      <c r="D692" s="83" t="n"/>
      <c r="E692" s="83" t="n"/>
      <c r="F692" s="83" t="n"/>
      <c r="G692" s="83" t="n"/>
      <c r="H692" s="83" t="n"/>
      <c r="I692" s="83" t="n"/>
      <c r="J692" s="83" t="n"/>
      <c r="K692" s="83" t="n"/>
      <c r="L692" s="83" t="n"/>
      <c r="M692" s="83" t="n"/>
      <c r="O692" s="84" t="str">
        <f>IF($C692="","",IFERROR(MATCH($B692&amp;"|"&amp;$C692,MUROS!$AX$11:$AX$70,0),0))</f>
        <v/>
      </c>
      <c r="P692" s="84" t="str">
        <f>IF($D692="","",IF(ISNUMBER(MATCH($D692,CMB_S,0)),1,IF(ISNUMBER(MATCH($D692,CMB_G,0)),2,0)))</f>
        <v/>
      </c>
      <c r="Q692" s="84">
        <f>IF(ISNUMBER($H692),-$H692,0)</f>
        <v>0</v>
      </c>
      <c r="R692" s="84">
        <f>IF(ISNUMBER($I692),ABS($I692),0)</f>
        <v>0</v>
      </c>
      <c r="S692" s="84">
        <f>IF(ISNUMBER($M692),ABS($M692),0)</f>
        <v>0</v>
      </c>
      <c r="T692" s="85" t="n">
        <v>684</v>
      </c>
    </row>
    <row r="693">
      <c r="B693" s="83" t="n"/>
      <c r="C693" s="83" t="n"/>
      <c r="D693" s="83" t="n"/>
      <c r="E693" s="83" t="n"/>
      <c r="F693" s="83" t="n"/>
      <c r="G693" s="83" t="n"/>
      <c r="H693" s="83" t="n"/>
      <c r="I693" s="83" t="n"/>
      <c r="J693" s="83" t="n"/>
      <c r="K693" s="83" t="n"/>
      <c r="L693" s="83" t="n"/>
      <c r="M693" s="83" t="n"/>
      <c r="O693" s="84" t="str">
        <f>IF($C693="","",IFERROR(MATCH($B693&amp;"|"&amp;$C693,MUROS!$AX$11:$AX$70,0),0))</f>
        <v/>
      </c>
      <c r="P693" s="84" t="str">
        <f>IF($D693="","",IF(ISNUMBER(MATCH($D693,CMB_S,0)),1,IF(ISNUMBER(MATCH($D693,CMB_G,0)),2,0)))</f>
        <v/>
      </c>
      <c r="Q693" s="84">
        <f>IF(ISNUMBER($H693),-$H693,0)</f>
        <v>0</v>
      </c>
      <c r="R693" s="84">
        <f>IF(ISNUMBER($I693),ABS($I693),0)</f>
        <v>0</v>
      </c>
      <c r="S693" s="84">
        <f>IF(ISNUMBER($M693),ABS($M693),0)</f>
        <v>0</v>
      </c>
      <c r="T693" s="85" t="n">
        <v>685</v>
      </c>
    </row>
    <row r="694">
      <c r="B694" s="83" t="n"/>
      <c r="C694" s="83" t="n"/>
      <c r="D694" s="83" t="n"/>
      <c r="E694" s="83" t="n"/>
      <c r="F694" s="83" t="n"/>
      <c r="G694" s="83" t="n"/>
      <c r="H694" s="83" t="n"/>
      <c r="I694" s="83" t="n"/>
      <c r="J694" s="83" t="n"/>
      <c r="K694" s="83" t="n"/>
      <c r="L694" s="83" t="n"/>
      <c r="M694" s="83" t="n"/>
      <c r="O694" s="84" t="str">
        <f>IF($C694="","",IFERROR(MATCH($B694&amp;"|"&amp;$C694,MUROS!$AX$11:$AX$70,0),0))</f>
        <v/>
      </c>
      <c r="P694" s="84" t="str">
        <f>IF($D694="","",IF(ISNUMBER(MATCH($D694,CMB_S,0)),1,IF(ISNUMBER(MATCH($D694,CMB_G,0)),2,0)))</f>
        <v/>
      </c>
      <c r="Q694" s="84">
        <f>IF(ISNUMBER($H694),-$H694,0)</f>
        <v>0</v>
      </c>
      <c r="R694" s="84">
        <f>IF(ISNUMBER($I694),ABS($I694),0)</f>
        <v>0</v>
      </c>
      <c r="S694" s="84">
        <f>IF(ISNUMBER($M694),ABS($M694),0)</f>
        <v>0</v>
      </c>
      <c r="T694" s="85" t="n">
        <v>686</v>
      </c>
    </row>
    <row r="695">
      <c r="B695" s="83" t="n"/>
      <c r="C695" s="83" t="n"/>
      <c r="D695" s="83" t="n"/>
      <c r="E695" s="83" t="n"/>
      <c r="F695" s="83" t="n"/>
      <c r="G695" s="83" t="n"/>
      <c r="H695" s="83" t="n"/>
      <c r="I695" s="83" t="n"/>
      <c r="J695" s="83" t="n"/>
      <c r="K695" s="83" t="n"/>
      <c r="L695" s="83" t="n"/>
      <c r="M695" s="83" t="n"/>
      <c r="O695" s="84" t="str">
        <f>IF($C695="","",IFERROR(MATCH($B695&amp;"|"&amp;$C695,MUROS!$AX$11:$AX$70,0),0))</f>
        <v/>
      </c>
      <c r="P695" s="84" t="str">
        <f>IF($D695="","",IF(ISNUMBER(MATCH($D695,CMB_S,0)),1,IF(ISNUMBER(MATCH($D695,CMB_G,0)),2,0)))</f>
        <v/>
      </c>
      <c r="Q695" s="84">
        <f>IF(ISNUMBER($H695),-$H695,0)</f>
        <v>0</v>
      </c>
      <c r="R695" s="84">
        <f>IF(ISNUMBER($I695),ABS($I695),0)</f>
        <v>0</v>
      </c>
      <c r="S695" s="84">
        <f>IF(ISNUMBER($M695),ABS($M695),0)</f>
        <v>0</v>
      </c>
      <c r="T695" s="85" t="n">
        <v>687</v>
      </c>
    </row>
    <row r="696"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83" t="n"/>
      <c r="K696" s="83" t="n"/>
      <c r="L696" s="83" t="n"/>
      <c r="M696" s="83" t="n"/>
      <c r="O696" s="84" t="str">
        <f>IF($C696="","",IFERROR(MATCH($B696&amp;"|"&amp;$C696,MUROS!$AX$11:$AX$70,0),0))</f>
        <v/>
      </c>
      <c r="P696" s="84" t="str">
        <f>IF($D696="","",IF(ISNUMBER(MATCH($D696,CMB_S,0)),1,IF(ISNUMBER(MATCH($D696,CMB_G,0)),2,0)))</f>
        <v/>
      </c>
      <c r="Q696" s="84">
        <f>IF(ISNUMBER($H696),-$H696,0)</f>
        <v>0</v>
      </c>
      <c r="R696" s="84">
        <f>IF(ISNUMBER($I696),ABS($I696),0)</f>
        <v>0</v>
      </c>
      <c r="S696" s="84">
        <f>IF(ISNUMBER($M696),ABS($M696),0)</f>
        <v>0</v>
      </c>
      <c r="T696" s="85" t="n">
        <v>688</v>
      </c>
    </row>
    <row r="697">
      <c r="B697" s="83" t="n"/>
      <c r="C697" s="83" t="n"/>
      <c r="D697" s="83" t="n"/>
      <c r="E697" s="83" t="n"/>
      <c r="F697" s="83" t="n"/>
      <c r="G697" s="83" t="n"/>
      <c r="H697" s="83" t="n"/>
      <c r="I697" s="83" t="n"/>
      <c r="J697" s="83" t="n"/>
      <c r="K697" s="83" t="n"/>
      <c r="L697" s="83" t="n"/>
      <c r="M697" s="83" t="n"/>
      <c r="O697" s="84" t="str">
        <f>IF($C697="","",IFERROR(MATCH($B697&amp;"|"&amp;$C697,MUROS!$AX$11:$AX$70,0),0))</f>
        <v/>
      </c>
      <c r="P697" s="84" t="str">
        <f>IF($D697="","",IF(ISNUMBER(MATCH($D697,CMB_S,0)),1,IF(ISNUMBER(MATCH($D697,CMB_G,0)),2,0)))</f>
        <v/>
      </c>
      <c r="Q697" s="84">
        <f>IF(ISNUMBER($H697),-$H697,0)</f>
        <v>0</v>
      </c>
      <c r="R697" s="84">
        <f>IF(ISNUMBER($I697),ABS($I697),0)</f>
        <v>0</v>
      </c>
      <c r="S697" s="84">
        <f>IF(ISNUMBER($M697),ABS($M697),0)</f>
        <v>0</v>
      </c>
      <c r="T697" s="85" t="n">
        <v>689</v>
      </c>
    </row>
    <row r="698">
      <c r="B698" s="83" t="n"/>
      <c r="C698" s="83" t="n"/>
      <c r="D698" s="83" t="n"/>
      <c r="E698" s="83" t="n"/>
      <c r="F698" s="83" t="n"/>
      <c r="G698" s="83" t="n"/>
      <c r="H698" s="83" t="n"/>
      <c r="I698" s="83" t="n"/>
      <c r="J698" s="83" t="n"/>
      <c r="K698" s="83" t="n"/>
      <c r="L698" s="83" t="n"/>
      <c r="M698" s="83" t="n"/>
      <c r="O698" s="84" t="str">
        <f>IF($C698="","",IFERROR(MATCH($B698&amp;"|"&amp;$C698,MUROS!$AX$11:$AX$70,0),0))</f>
        <v/>
      </c>
      <c r="P698" s="84" t="str">
        <f>IF($D698="","",IF(ISNUMBER(MATCH($D698,CMB_S,0)),1,IF(ISNUMBER(MATCH($D698,CMB_G,0)),2,0)))</f>
        <v/>
      </c>
      <c r="Q698" s="84">
        <f>IF(ISNUMBER($H698),-$H698,0)</f>
        <v>0</v>
      </c>
      <c r="R698" s="84">
        <f>IF(ISNUMBER($I698),ABS($I698),0)</f>
        <v>0</v>
      </c>
      <c r="S698" s="84">
        <f>IF(ISNUMBER($M698),ABS($M698),0)</f>
        <v>0</v>
      </c>
      <c r="T698" s="85" t="n">
        <v>690</v>
      </c>
    </row>
    <row r="699">
      <c r="B699" s="83" t="n"/>
      <c r="C699" s="83" t="n"/>
      <c r="D699" s="83" t="n"/>
      <c r="E699" s="83" t="n"/>
      <c r="F699" s="83" t="n"/>
      <c r="G699" s="83" t="n"/>
      <c r="H699" s="83" t="n"/>
      <c r="I699" s="83" t="n"/>
      <c r="J699" s="83" t="n"/>
      <c r="K699" s="83" t="n"/>
      <c r="L699" s="83" t="n"/>
      <c r="M699" s="83" t="n"/>
      <c r="O699" s="84" t="str">
        <f>IF($C699="","",IFERROR(MATCH($B699&amp;"|"&amp;$C699,MUROS!$AX$11:$AX$70,0),0))</f>
        <v/>
      </c>
      <c r="P699" s="84" t="str">
        <f>IF($D699="","",IF(ISNUMBER(MATCH($D699,CMB_S,0)),1,IF(ISNUMBER(MATCH($D699,CMB_G,0)),2,0)))</f>
        <v/>
      </c>
      <c r="Q699" s="84">
        <f>IF(ISNUMBER($H699),-$H699,0)</f>
        <v>0</v>
      </c>
      <c r="R699" s="84">
        <f>IF(ISNUMBER($I699),ABS($I699),0)</f>
        <v>0</v>
      </c>
      <c r="S699" s="84">
        <f>IF(ISNUMBER($M699),ABS($M699),0)</f>
        <v>0</v>
      </c>
      <c r="T699" s="85" t="n">
        <v>691</v>
      </c>
    </row>
    <row r="700">
      <c r="B700" s="83" t="n"/>
      <c r="C700" s="83" t="n"/>
      <c r="D700" s="83" t="n"/>
      <c r="E700" s="83" t="n"/>
      <c r="F700" s="83" t="n"/>
      <c r="G700" s="83" t="n"/>
      <c r="H700" s="83" t="n"/>
      <c r="I700" s="83" t="n"/>
      <c r="J700" s="83" t="n"/>
      <c r="K700" s="83" t="n"/>
      <c r="L700" s="83" t="n"/>
      <c r="M700" s="83" t="n"/>
      <c r="O700" s="84" t="str">
        <f>IF($C700="","",IFERROR(MATCH($B700&amp;"|"&amp;$C700,MUROS!$AX$11:$AX$70,0),0))</f>
        <v/>
      </c>
      <c r="P700" s="84" t="str">
        <f>IF($D700="","",IF(ISNUMBER(MATCH($D700,CMB_S,0)),1,IF(ISNUMBER(MATCH($D700,CMB_G,0)),2,0)))</f>
        <v/>
      </c>
      <c r="Q700" s="84">
        <f>IF(ISNUMBER($H700),-$H700,0)</f>
        <v>0</v>
      </c>
      <c r="R700" s="84">
        <f>IF(ISNUMBER($I700),ABS($I700),0)</f>
        <v>0</v>
      </c>
      <c r="S700" s="84">
        <f>IF(ISNUMBER($M700),ABS($M700),0)</f>
        <v>0</v>
      </c>
      <c r="T700" s="85" t="n">
        <v>692</v>
      </c>
    </row>
    <row r="701">
      <c r="B701" s="83" t="n"/>
      <c r="C701" s="83" t="n"/>
      <c r="D701" s="83" t="n"/>
      <c r="E701" s="83" t="n"/>
      <c r="F701" s="83" t="n"/>
      <c r="G701" s="83" t="n"/>
      <c r="H701" s="83" t="n"/>
      <c r="I701" s="83" t="n"/>
      <c r="J701" s="83" t="n"/>
      <c r="K701" s="83" t="n"/>
      <c r="L701" s="83" t="n"/>
      <c r="M701" s="83" t="n"/>
      <c r="O701" s="84" t="str">
        <f>IF($C701="","",IFERROR(MATCH($B701&amp;"|"&amp;$C701,MUROS!$AX$11:$AX$70,0),0))</f>
        <v/>
      </c>
      <c r="P701" s="84" t="str">
        <f>IF($D701="","",IF(ISNUMBER(MATCH($D701,CMB_S,0)),1,IF(ISNUMBER(MATCH($D701,CMB_G,0)),2,0)))</f>
        <v/>
      </c>
      <c r="Q701" s="84">
        <f>IF(ISNUMBER($H701),-$H701,0)</f>
        <v>0</v>
      </c>
      <c r="R701" s="84">
        <f>IF(ISNUMBER($I701),ABS($I701),0)</f>
        <v>0</v>
      </c>
      <c r="S701" s="84">
        <f>IF(ISNUMBER($M701),ABS($M701),0)</f>
        <v>0</v>
      </c>
      <c r="T701" s="85" t="n">
        <v>693</v>
      </c>
    </row>
    <row r="702">
      <c r="B702" s="83" t="n"/>
      <c r="C702" s="83" t="n"/>
      <c r="D702" s="83" t="n"/>
      <c r="E702" s="83" t="n"/>
      <c r="F702" s="83" t="n"/>
      <c r="G702" s="83" t="n"/>
      <c r="H702" s="83" t="n"/>
      <c r="I702" s="83" t="n"/>
      <c r="J702" s="83" t="n"/>
      <c r="K702" s="83" t="n"/>
      <c r="L702" s="83" t="n"/>
      <c r="M702" s="83" t="n"/>
      <c r="O702" s="84" t="str">
        <f>IF($C702="","",IFERROR(MATCH($B702&amp;"|"&amp;$C702,MUROS!$AX$11:$AX$70,0),0))</f>
        <v/>
      </c>
      <c r="P702" s="84" t="str">
        <f>IF($D702="","",IF(ISNUMBER(MATCH($D702,CMB_S,0)),1,IF(ISNUMBER(MATCH($D702,CMB_G,0)),2,0)))</f>
        <v/>
      </c>
      <c r="Q702" s="84">
        <f>IF(ISNUMBER($H702),-$H702,0)</f>
        <v>0</v>
      </c>
      <c r="R702" s="84">
        <f>IF(ISNUMBER($I702),ABS($I702),0)</f>
        <v>0</v>
      </c>
      <c r="S702" s="84">
        <f>IF(ISNUMBER($M702),ABS($M702),0)</f>
        <v>0</v>
      </c>
      <c r="T702" s="85" t="n">
        <v>694</v>
      </c>
    </row>
    <row r="703">
      <c r="B703" s="83" t="n"/>
      <c r="C703" s="83" t="n"/>
      <c r="D703" s="83" t="n"/>
      <c r="E703" s="83" t="n"/>
      <c r="F703" s="83" t="n"/>
      <c r="G703" s="83" t="n"/>
      <c r="H703" s="83" t="n"/>
      <c r="I703" s="83" t="n"/>
      <c r="J703" s="83" t="n"/>
      <c r="K703" s="83" t="n"/>
      <c r="L703" s="83" t="n"/>
      <c r="M703" s="83" t="n"/>
      <c r="O703" s="84" t="str">
        <f>IF($C703="","",IFERROR(MATCH($B703&amp;"|"&amp;$C703,MUROS!$AX$11:$AX$70,0),0))</f>
        <v/>
      </c>
      <c r="P703" s="84" t="str">
        <f>IF($D703="","",IF(ISNUMBER(MATCH($D703,CMB_S,0)),1,IF(ISNUMBER(MATCH($D703,CMB_G,0)),2,0)))</f>
        <v/>
      </c>
      <c r="Q703" s="84">
        <f>IF(ISNUMBER($H703),-$H703,0)</f>
        <v>0</v>
      </c>
      <c r="R703" s="84">
        <f>IF(ISNUMBER($I703),ABS($I703),0)</f>
        <v>0</v>
      </c>
      <c r="S703" s="84">
        <f>IF(ISNUMBER($M703),ABS($M703),0)</f>
        <v>0</v>
      </c>
      <c r="T703" s="85" t="n">
        <v>695</v>
      </c>
    </row>
    <row r="704">
      <c r="B704" s="83" t="n"/>
      <c r="C704" s="83" t="n"/>
      <c r="D704" s="83" t="n"/>
      <c r="E704" s="83" t="n"/>
      <c r="F704" s="83" t="n"/>
      <c r="G704" s="83" t="n"/>
      <c r="H704" s="83" t="n"/>
      <c r="I704" s="83" t="n"/>
      <c r="J704" s="83" t="n"/>
      <c r="K704" s="83" t="n"/>
      <c r="L704" s="83" t="n"/>
      <c r="M704" s="83" t="n"/>
      <c r="O704" s="84" t="str">
        <f>IF($C704="","",IFERROR(MATCH($B704&amp;"|"&amp;$C704,MUROS!$AX$11:$AX$70,0),0))</f>
        <v/>
      </c>
      <c r="P704" s="84" t="str">
        <f>IF($D704="","",IF(ISNUMBER(MATCH($D704,CMB_S,0)),1,IF(ISNUMBER(MATCH($D704,CMB_G,0)),2,0)))</f>
        <v/>
      </c>
      <c r="Q704" s="84">
        <f>IF(ISNUMBER($H704),-$H704,0)</f>
        <v>0</v>
      </c>
      <c r="R704" s="84">
        <f>IF(ISNUMBER($I704),ABS($I704),0)</f>
        <v>0</v>
      </c>
      <c r="S704" s="84">
        <f>IF(ISNUMBER($M704),ABS($M704),0)</f>
        <v>0</v>
      </c>
      <c r="T704" s="85" t="n">
        <v>696</v>
      </c>
    </row>
    <row r="705"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83" t="n"/>
      <c r="K705" s="83" t="n"/>
      <c r="L705" s="83" t="n"/>
      <c r="M705" s="83" t="n"/>
      <c r="O705" s="84" t="str">
        <f>IF($C705="","",IFERROR(MATCH($B705&amp;"|"&amp;$C705,MUROS!$AX$11:$AX$70,0),0))</f>
        <v/>
      </c>
      <c r="P705" s="84" t="str">
        <f>IF($D705="","",IF(ISNUMBER(MATCH($D705,CMB_S,0)),1,IF(ISNUMBER(MATCH($D705,CMB_G,0)),2,0)))</f>
        <v/>
      </c>
      <c r="Q705" s="84">
        <f>IF(ISNUMBER($H705),-$H705,0)</f>
        <v>0</v>
      </c>
      <c r="R705" s="84">
        <f>IF(ISNUMBER($I705),ABS($I705),0)</f>
        <v>0</v>
      </c>
      <c r="S705" s="84">
        <f>IF(ISNUMBER($M705),ABS($M705),0)</f>
        <v>0</v>
      </c>
      <c r="T705" s="85" t="n">
        <v>697</v>
      </c>
    </row>
    <row r="706">
      <c r="B706" s="83" t="n"/>
      <c r="C706" s="83" t="n"/>
      <c r="D706" s="83" t="n"/>
      <c r="E706" s="83" t="n"/>
      <c r="F706" s="83" t="n"/>
      <c r="G706" s="83" t="n"/>
      <c r="H706" s="83" t="n"/>
      <c r="I706" s="83" t="n"/>
      <c r="J706" s="83" t="n"/>
      <c r="K706" s="83" t="n"/>
      <c r="L706" s="83" t="n"/>
      <c r="M706" s="83" t="n"/>
      <c r="O706" s="84" t="str">
        <f>IF($C706="","",IFERROR(MATCH($B706&amp;"|"&amp;$C706,MUROS!$AX$11:$AX$70,0),0))</f>
        <v/>
      </c>
      <c r="P706" s="84" t="str">
        <f>IF($D706="","",IF(ISNUMBER(MATCH($D706,CMB_S,0)),1,IF(ISNUMBER(MATCH($D706,CMB_G,0)),2,0)))</f>
        <v/>
      </c>
      <c r="Q706" s="84">
        <f>IF(ISNUMBER($H706),-$H706,0)</f>
        <v>0</v>
      </c>
      <c r="R706" s="84">
        <f>IF(ISNUMBER($I706),ABS($I706),0)</f>
        <v>0</v>
      </c>
      <c r="S706" s="84">
        <f>IF(ISNUMBER($M706),ABS($M706),0)</f>
        <v>0</v>
      </c>
      <c r="T706" s="85" t="n">
        <v>698</v>
      </c>
    </row>
    <row r="707">
      <c r="B707" s="83" t="n"/>
      <c r="C707" s="83" t="n"/>
      <c r="D707" s="83" t="n"/>
      <c r="E707" s="83" t="n"/>
      <c r="F707" s="83" t="n"/>
      <c r="G707" s="83" t="n"/>
      <c r="H707" s="83" t="n"/>
      <c r="I707" s="83" t="n"/>
      <c r="J707" s="83" t="n"/>
      <c r="K707" s="83" t="n"/>
      <c r="L707" s="83" t="n"/>
      <c r="M707" s="83" t="n"/>
      <c r="O707" s="84" t="str">
        <f>IF($C707="","",IFERROR(MATCH($B707&amp;"|"&amp;$C707,MUROS!$AX$11:$AX$70,0),0))</f>
        <v/>
      </c>
      <c r="P707" s="84" t="str">
        <f>IF($D707="","",IF(ISNUMBER(MATCH($D707,CMB_S,0)),1,IF(ISNUMBER(MATCH($D707,CMB_G,0)),2,0)))</f>
        <v/>
      </c>
      <c r="Q707" s="84">
        <f>IF(ISNUMBER($H707),-$H707,0)</f>
        <v>0</v>
      </c>
      <c r="R707" s="84">
        <f>IF(ISNUMBER($I707),ABS($I707),0)</f>
        <v>0</v>
      </c>
      <c r="S707" s="84">
        <f>IF(ISNUMBER($M707),ABS($M707),0)</f>
        <v>0</v>
      </c>
      <c r="T707" s="85" t="n">
        <v>699</v>
      </c>
    </row>
    <row r="708">
      <c r="B708" s="83" t="n"/>
      <c r="C708" s="83" t="n"/>
      <c r="D708" s="83" t="n"/>
      <c r="E708" s="83" t="n"/>
      <c r="F708" s="83" t="n"/>
      <c r="G708" s="83" t="n"/>
      <c r="H708" s="83" t="n"/>
      <c r="I708" s="83" t="n"/>
      <c r="J708" s="83" t="n"/>
      <c r="K708" s="83" t="n"/>
      <c r="L708" s="83" t="n"/>
      <c r="M708" s="83" t="n"/>
      <c r="O708" s="84" t="str">
        <f>IF($C708="","",IFERROR(MATCH($B708&amp;"|"&amp;$C708,MUROS!$AX$11:$AX$70,0),0))</f>
        <v/>
      </c>
      <c r="P708" s="84" t="str">
        <f>IF($D708="","",IF(ISNUMBER(MATCH($D708,CMB_S,0)),1,IF(ISNUMBER(MATCH($D708,CMB_G,0)),2,0)))</f>
        <v/>
      </c>
      <c r="Q708" s="84">
        <f>IF(ISNUMBER($H708),-$H708,0)</f>
        <v>0</v>
      </c>
      <c r="R708" s="84">
        <f>IF(ISNUMBER($I708),ABS($I708),0)</f>
        <v>0</v>
      </c>
      <c r="S708" s="84">
        <f>IF(ISNUMBER($M708),ABS($M708),0)</f>
        <v>0</v>
      </c>
      <c r="T708" s="85" t="n">
        <v>700</v>
      </c>
    </row>
    <row r="709">
      <c r="B709" s="83" t="n"/>
      <c r="C709" s="83" t="n"/>
      <c r="D709" s="83" t="n"/>
      <c r="E709" s="83" t="n"/>
      <c r="F709" s="83" t="n"/>
      <c r="G709" s="83" t="n"/>
      <c r="H709" s="83" t="n"/>
      <c r="I709" s="83" t="n"/>
      <c r="J709" s="83" t="n"/>
      <c r="K709" s="83" t="n"/>
      <c r="L709" s="83" t="n"/>
      <c r="M709" s="83" t="n"/>
      <c r="O709" s="84" t="str">
        <f>IF($C709="","",IFERROR(MATCH($B709&amp;"|"&amp;$C709,MUROS!$AX$11:$AX$70,0),0))</f>
        <v/>
      </c>
      <c r="P709" s="84" t="str">
        <f>IF($D709="","",IF(ISNUMBER(MATCH($D709,CMB_S,0)),1,IF(ISNUMBER(MATCH($D709,CMB_G,0)),2,0)))</f>
        <v/>
      </c>
      <c r="Q709" s="84">
        <f>IF(ISNUMBER($H709),-$H709,0)</f>
        <v>0</v>
      </c>
      <c r="R709" s="84">
        <f>IF(ISNUMBER($I709),ABS($I709),0)</f>
        <v>0</v>
      </c>
      <c r="S709" s="84">
        <f>IF(ISNUMBER($M709),ABS($M709),0)</f>
        <v>0</v>
      </c>
      <c r="T709" s="85" t="n">
        <v>701</v>
      </c>
    </row>
    <row r="710">
      <c r="B710" s="83" t="n"/>
      <c r="C710" s="83" t="n"/>
      <c r="D710" s="83" t="n"/>
      <c r="E710" s="83" t="n"/>
      <c r="F710" s="83" t="n"/>
      <c r="G710" s="83" t="n"/>
      <c r="H710" s="83" t="n"/>
      <c r="I710" s="83" t="n"/>
      <c r="J710" s="83" t="n"/>
      <c r="K710" s="83" t="n"/>
      <c r="L710" s="83" t="n"/>
      <c r="M710" s="83" t="n"/>
      <c r="O710" s="84" t="str">
        <f>IF($C710="","",IFERROR(MATCH($B710&amp;"|"&amp;$C710,MUROS!$AX$11:$AX$70,0),0))</f>
        <v/>
      </c>
      <c r="P710" s="84" t="str">
        <f>IF($D710="","",IF(ISNUMBER(MATCH($D710,CMB_S,0)),1,IF(ISNUMBER(MATCH($D710,CMB_G,0)),2,0)))</f>
        <v/>
      </c>
      <c r="Q710" s="84">
        <f>IF(ISNUMBER($H710),-$H710,0)</f>
        <v>0</v>
      </c>
      <c r="R710" s="84">
        <f>IF(ISNUMBER($I710),ABS($I710),0)</f>
        <v>0</v>
      </c>
      <c r="S710" s="84">
        <f>IF(ISNUMBER($M710),ABS($M710),0)</f>
        <v>0</v>
      </c>
      <c r="T710" s="85" t="n">
        <v>702</v>
      </c>
    </row>
    <row r="711">
      <c r="B711" s="83" t="n"/>
      <c r="C711" s="83" t="n"/>
      <c r="D711" s="83" t="n"/>
      <c r="E711" s="83" t="n"/>
      <c r="F711" s="83" t="n"/>
      <c r="G711" s="83" t="n"/>
      <c r="H711" s="83" t="n"/>
      <c r="I711" s="83" t="n"/>
      <c r="J711" s="83" t="n"/>
      <c r="K711" s="83" t="n"/>
      <c r="L711" s="83" t="n"/>
      <c r="M711" s="83" t="n"/>
      <c r="O711" s="84" t="str">
        <f>IF($C711="","",IFERROR(MATCH($B711&amp;"|"&amp;$C711,MUROS!$AX$11:$AX$70,0),0))</f>
        <v/>
      </c>
      <c r="P711" s="84" t="str">
        <f>IF($D711="","",IF(ISNUMBER(MATCH($D711,CMB_S,0)),1,IF(ISNUMBER(MATCH($D711,CMB_G,0)),2,0)))</f>
        <v/>
      </c>
      <c r="Q711" s="84">
        <f>IF(ISNUMBER($H711),-$H711,0)</f>
        <v>0</v>
      </c>
      <c r="R711" s="84">
        <f>IF(ISNUMBER($I711),ABS($I711),0)</f>
        <v>0</v>
      </c>
      <c r="S711" s="84">
        <f>IF(ISNUMBER($M711),ABS($M711),0)</f>
        <v>0</v>
      </c>
      <c r="T711" s="85" t="n">
        <v>703</v>
      </c>
    </row>
    <row r="712">
      <c r="B712" s="83" t="n"/>
      <c r="C712" s="83" t="n"/>
      <c r="D712" s="83" t="n"/>
      <c r="E712" s="83" t="n"/>
      <c r="F712" s="83" t="n"/>
      <c r="G712" s="83" t="n"/>
      <c r="H712" s="83" t="n"/>
      <c r="I712" s="83" t="n"/>
      <c r="J712" s="83" t="n"/>
      <c r="K712" s="83" t="n"/>
      <c r="L712" s="83" t="n"/>
      <c r="M712" s="83" t="n"/>
      <c r="O712" s="84" t="str">
        <f>IF($C712="","",IFERROR(MATCH($B712&amp;"|"&amp;$C712,MUROS!$AX$11:$AX$70,0),0))</f>
        <v/>
      </c>
      <c r="P712" s="84" t="str">
        <f>IF($D712="","",IF(ISNUMBER(MATCH($D712,CMB_S,0)),1,IF(ISNUMBER(MATCH($D712,CMB_G,0)),2,0)))</f>
        <v/>
      </c>
      <c r="Q712" s="84">
        <f>IF(ISNUMBER($H712),-$H712,0)</f>
        <v>0</v>
      </c>
      <c r="R712" s="84">
        <f>IF(ISNUMBER($I712),ABS($I712),0)</f>
        <v>0</v>
      </c>
      <c r="S712" s="84">
        <f>IF(ISNUMBER($M712),ABS($M712),0)</f>
        <v>0</v>
      </c>
      <c r="T712" s="85" t="n">
        <v>704</v>
      </c>
    </row>
    <row r="713">
      <c r="B713" s="83" t="n"/>
      <c r="C713" s="83" t="n"/>
      <c r="D713" s="83" t="n"/>
      <c r="E713" s="83" t="n"/>
      <c r="F713" s="83" t="n"/>
      <c r="G713" s="83" t="n"/>
      <c r="H713" s="83" t="n"/>
      <c r="I713" s="83" t="n"/>
      <c r="J713" s="83" t="n"/>
      <c r="K713" s="83" t="n"/>
      <c r="L713" s="83" t="n"/>
      <c r="M713" s="83" t="n"/>
      <c r="O713" s="84" t="str">
        <f>IF($C713="","",IFERROR(MATCH($B713&amp;"|"&amp;$C713,MUROS!$AX$11:$AX$70,0),0))</f>
        <v/>
      </c>
      <c r="P713" s="84" t="str">
        <f>IF($D713="","",IF(ISNUMBER(MATCH($D713,CMB_S,0)),1,IF(ISNUMBER(MATCH($D713,CMB_G,0)),2,0)))</f>
        <v/>
      </c>
      <c r="Q713" s="84">
        <f>IF(ISNUMBER($H713),-$H713,0)</f>
        <v>0</v>
      </c>
      <c r="R713" s="84">
        <f>IF(ISNUMBER($I713),ABS($I713),0)</f>
        <v>0</v>
      </c>
      <c r="S713" s="84">
        <f>IF(ISNUMBER($M713),ABS($M713),0)</f>
        <v>0</v>
      </c>
      <c r="T713" s="85" t="n">
        <v>705</v>
      </c>
    </row>
    <row r="714">
      <c r="B714" s="83" t="n"/>
      <c r="C714" s="83" t="n"/>
      <c r="D714" s="83" t="n"/>
      <c r="E714" s="83" t="n"/>
      <c r="F714" s="83" t="n"/>
      <c r="G714" s="83" t="n"/>
      <c r="H714" s="83" t="n"/>
      <c r="I714" s="83" t="n"/>
      <c r="J714" s="83" t="n"/>
      <c r="K714" s="83" t="n"/>
      <c r="L714" s="83" t="n"/>
      <c r="M714" s="83" t="n"/>
      <c r="O714" s="84" t="str">
        <f>IF($C714="","",IFERROR(MATCH($B714&amp;"|"&amp;$C714,MUROS!$AX$11:$AX$70,0),0))</f>
        <v/>
      </c>
      <c r="P714" s="84" t="str">
        <f>IF($D714="","",IF(ISNUMBER(MATCH($D714,CMB_S,0)),1,IF(ISNUMBER(MATCH($D714,CMB_G,0)),2,0)))</f>
        <v/>
      </c>
      <c r="Q714" s="84">
        <f>IF(ISNUMBER($H714),-$H714,0)</f>
        <v>0</v>
      </c>
      <c r="R714" s="84">
        <f>IF(ISNUMBER($I714),ABS($I714),0)</f>
        <v>0</v>
      </c>
      <c r="S714" s="84">
        <f>IF(ISNUMBER($M714),ABS($M714),0)</f>
        <v>0</v>
      </c>
      <c r="T714" s="85" t="n">
        <v>706</v>
      </c>
    </row>
    <row r="715">
      <c r="B715" s="83" t="n"/>
      <c r="C715" s="83" t="n"/>
      <c r="D715" s="83" t="n"/>
      <c r="E715" s="83" t="n"/>
      <c r="F715" s="83" t="n"/>
      <c r="G715" s="83" t="n"/>
      <c r="H715" s="83" t="n"/>
      <c r="I715" s="83" t="n"/>
      <c r="J715" s="83" t="n"/>
      <c r="K715" s="83" t="n"/>
      <c r="L715" s="83" t="n"/>
      <c r="M715" s="83" t="n"/>
      <c r="O715" s="84" t="str">
        <f>IF($C715="","",IFERROR(MATCH($B715&amp;"|"&amp;$C715,MUROS!$AX$11:$AX$70,0),0))</f>
        <v/>
      </c>
      <c r="P715" s="84" t="str">
        <f>IF($D715="","",IF(ISNUMBER(MATCH($D715,CMB_S,0)),1,IF(ISNUMBER(MATCH($D715,CMB_G,0)),2,0)))</f>
        <v/>
      </c>
      <c r="Q715" s="84">
        <f>IF(ISNUMBER($H715),-$H715,0)</f>
        <v>0</v>
      </c>
      <c r="R715" s="84">
        <f>IF(ISNUMBER($I715),ABS($I715),0)</f>
        <v>0</v>
      </c>
      <c r="S715" s="84">
        <f>IF(ISNUMBER($M715),ABS($M715),0)</f>
        <v>0</v>
      </c>
      <c r="T715" s="85" t="n">
        <v>707</v>
      </c>
    </row>
    <row r="716">
      <c r="B716" s="83" t="n"/>
      <c r="C716" s="83" t="n"/>
      <c r="D716" s="83" t="n"/>
      <c r="E716" s="83" t="n"/>
      <c r="F716" s="83" t="n"/>
      <c r="G716" s="83" t="n"/>
      <c r="H716" s="83" t="n"/>
      <c r="I716" s="83" t="n"/>
      <c r="J716" s="83" t="n"/>
      <c r="K716" s="83" t="n"/>
      <c r="L716" s="83" t="n"/>
      <c r="M716" s="83" t="n"/>
      <c r="O716" s="84" t="str">
        <f>IF($C716="","",IFERROR(MATCH($B716&amp;"|"&amp;$C716,MUROS!$AX$11:$AX$70,0),0))</f>
        <v/>
      </c>
      <c r="P716" s="84" t="str">
        <f>IF($D716="","",IF(ISNUMBER(MATCH($D716,CMB_S,0)),1,IF(ISNUMBER(MATCH($D716,CMB_G,0)),2,0)))</f>
        <v/>
      </c>
      <c r="Q716" s="84">
        <f>IF(ISNUMBER($H716),-$H716,0)</f>
        <v>0</v>
      </c>
      <c r="R716" s="84">
        <f>IF(ISNUMBER($I716),ABS($I716),0)</f>
        <v>0</v>
      </c>
      <c r="S716" s="84">
        <f>IF(ISNUMBER($M716),ABS($M716),0)</f>
        <v>0</v>
      </c>
      <c r="T716" s="85" t="n">
        <v>708</v>
      </c>
    </row>
    <row r="717">
      <c r="B717" s="83" t="n"/>
      <c r="C717" s="83" t="n"/>
      <c r="D717" s="83" t="n"/>
      <c r="E717" s="83" t="n"/>
      <c r="F717" s="83" t="n"/>
      <c r="G717" s="83" t="n"/>
      <c r="H717" s="83" t="n"/>
      <c r="I717" s="83" t="n"/>
      <c r="J717" s="83" t="n"/>
      <c r="K717" s="83" t="n"/>
      <c r="L717" s="83" t="n"/>
      <c r="M717" s="83" t="n"/>
      <c r="O717" s="84" t="str">
        <f>IF($C717="","",IFERROR(MATCH($B717&amp;"|"&amp;$C717,MUROS!$AX$11:$AX$70,0),0))</f>
        <v/>
      </c>
      <c r="P717" s="84" t="str">
        <f>IF($D717="","",IF(ISNUMBER(MATCH($D717,CMB_S,0)),1,IF(ISNUMBER(MATCH($D717,CMB_G,0)),2,0)))</f>
        <v/>
      </c>
      <c r="Q717" s="84">
        <f>IF(ISNUMBER($H717),-$H717,0)</f>
        <v>0</v>
      </c>
      <c r="R717" s="84">
        <f>IF(ISNUMBER($I717),ABS($I717),0)</f>
        <v>0</v>
      </c>
      <c r="S717" s="84">
        <f>IF(ISNUMBER($M717),ABS($M717),0)</f>
        <v>0</v>
      </c>
      <c r="T717" s="85" t="n">
        <v>709</v>
      </c>
    </row>
    <row r="718"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83" t="n"/>
      <c r="K718" s="83" t="n"/>
      <c r="L718" s="83" t="n"/>
      <c r="M718" s="83" t="n"/>
      <c r="O718" s="84" t="str">
        <f>IF($C718="","",IFERROR(MATCH($B718&amp;"|"&amp;$C718,MUROS!$AX$11:$AX$70,0),0))</f>
        <v/>
      </c>
      <c r="P718" s="84" t="str">
        <f>IF($D718="","",IF(ISNUMBER(MATCH($D718,CMB_S,0)),1,IF(ISNUMBER(MATCH($D718,CMB_G,0)),2,0)))</f>
        <v/>
      </c>
      <c r="Q718" s="84">
        <f>IF(ISNUMBER($H718),-$H718,0)</f>
        <v>0</v>
      </c>
      <c r="R718" s="84">
        <f>IF(ISNUMBER($I718),ABS($I718),0)</f>
        <v>0</v>
      </c>
      <c r="S718" s="84">
        <f>IF(ISNUMBER($M718),ABS($M718),0)</f>
        <v>0</v>
      </c>
      <c r="T718" s="85" t="n">
        <v>710</v>
      </c>
    </row>
    <row r="719">
      <c r="B719" s="83" t="n"/>
      <c r="C719" s="83" t="n"/>
      <c r="D719" s="83" t="n"/>
      <c r="E719" s="83" t="n"/>
      <c r="F719" s="83" t="n"/>
      <c r="G719" s="83" t="n"/>
      <c r="H719" s="83" t="n"/>
      <c r="I719" s="83" t="n"/>
      <c r="J719" s="83" t="n"/>
      <c r="K719" s="83" t="n"/>
      <c r="L719" s="83" t="n"/>
      <c r="M719" s="83" t="n"/>
      <c r="O719" s="84" t="str">
        <f>IF($C719="","",IFERROR(MATCH($B719&amp;"|"&amp;$C719,MUROS!$AX$11:$AX$70,0),0))</f>
        <v/>
      </c>
      <c r="P719" s="84" t="str">
        <f>IF($D719="","",IF(ISNUMBER(MATCH($D719,CMB_S,0)),1,IF(ISNUMBER(MATCH($D719,CMB_G,0)),2,0)))</f>
        <v/>
      </c>
      <c r="Q719" s="84">
        <f>IF(ISNUMBER($H719),-$H719,0)</f>
        <v>0</v>
      </c>
      <c r="R719" s="84">
        <f>IF(ISNUMBER($I719),ABS($I719),0)</f>
        <v>0</v>
      </c>
      <c r="S719" s="84">
        <f>IF(ISNUMBER($M719),ABS($M719),0)</f>
        <v>0</v>
      </c>
      <c r="T719" s="85" t="n">
        <v>711</v>
      </c>
    </row>
    <row r="720">
      <c r="B720" s="83" t="n"/>
      <c r="C720" s="83" t="n"/>
      <c r="D720" s="83" t="n"/>
      <c r="E720" s="83" t="n"/>
      <c r="F720" s="83" t="n"/>
      <c r="G720" s="83" t="n"/>
      <c r="H720" s="83" t="n"/>
      <c r="I720" s="83" t="n"/>
      <c r="J720" s="83" t="n"/>
      <c r="K720" s="83" t="n"/>
      <c r="L720" s="83" t="n"/>
      <c r="M720" s="83" t="n"/>
      <c r="O720" s="84" t="str">
        <f>IF($C720="","",IFERROR(MATCH($B720&amp;"|"&amp;$C720,MUROS!$AX$11:$AX$70,0),0))</f>
        <v/>
      </c>
      <c r="P720" s="84" t="str">
        <f>IF($D720="","",IF(ISNUMBER(MATCH($D720,CMB_S,0)),1,IF(ISNUMBER(MATCH($D720,CMB_G,0)),2,0)))</f>
        <v/>
      </c>
      <c r="Q720" s="84">
        <f>IF(ISNUMBER($H720),-$H720,0)</f>
        <v>0</v>
      </c>
      <c r="R720" s="84">
        <f>IF(ISNUMBER($I720),ABS($I720),0)</f>
        <v>0</v>
      </c>
      <c r="S720" s="84">
        <f>IF(ISNUMBER($M720),ABS($M720),0)</f>
        <v>0</v>
      </c>
      <c r="T720" s="85" t="n">
        <v>712</v>
      </c>
    </row>
    <row r="721">
      <c r="B721" s="83" t="n"/>
      <c r="C721" s="83" t="n"/>
      <c r="D721" s="83" t="n"/>
      <c r="E721" s="83" t="n"/>
      <c r="F721" s="83" t="n"/>
      <c r="G721" s="83" t="n"/>
      <c r="H721" s="83" t="n"/>
      <c r="I721" s="83" t="n"/>
      <c r="J721" s="83" t="n"/>
      <c r="K721" s="83" t="n"/>
      <c r="L721" s="83" t="n"/>
      <c r="M721" s="83" t="n"/>
      <c r="O721" s="84" t="str">
        <f>IF($C721="","",IFERROR(MATCH($B721&amp;"|"&amp;$C721,MUROS!$AX$11:$AX$70,0),0))</f>
        <v/>
      </c>
      <c r="P721" s="84" t="str">
        <f>IF($D721="","",IF(ISNUMBER(MATCH($D721,CMB_S,0)),1,IF(ISNUMBER(MATCH($D721,CMB_G,0)),2,0)))</f>
        <v/>
      </c>
      <c r="Q721" s="84">
        <f>IF(ISNUMBER($H721),-$H721,0)</f>
        <v>0</v>
      </c>
      <c r="R721" s="84">
        <f>IF(ISNUMBER($I721),ABS($I721),0)</f>
        <v>0</v>
      </c>
      <c r="S721" s="84">
        <f>IF(ISNUMBER($M721),ABS($M721),0)</f>
        <v>0</v>
      </c>
      <c r="T721" s="85" t="n">
        <v>713</v>
      </c>
    </row>
    <row r="722">
      <c r="B722" s="83" t="n"/>
      <c r="C722" s="83" t="n"/>
      <c r="D722" s="83" t="n"/>
      <c r="E722" s="83" t="n"/>
      <c r="F722" s="83" t="n"/>
      <c r="G722" s="83" t="n"/>
      <c r="H722" s="83" t="n"/>
      <c r="I722" s="83" t="n"/>
      <c r="J722" s="83" t="n"/>
      <c r="K722" s="83" t="n"/>
      <c r="L722" s="83" t="n"/>
      <c r="M722" s="83" t="n"/>
      <c r="O722" s="84" t="str">
        <f>IF($C722="","",IFERROR(MATCH($B722&amp;"|"&amp;$C722,MUROS!$AX$11:$AX$70,0),0))</f>
        <v/>
      </c>
      <c r="P722" s="84" t="str">
        <f>IF($D722="","",IF(ISNUMBER(MATCH($D722,CMB_S,0)),1,IF(ISNUMBER(MATCH($D722,CMB_G,0)),2,0)))</f>
        <v/>
      </c>
      <c r="Q722" s="84">
        <f>IF(ISNUMBER($H722),-$H722,0)</f>
        <v>0</v>
      </c>
      <c r="R722" s="84">
        <f>IF(ISNUMBER($I722),ABS($I722),0)</f>
        <v>0</v>
      </c>
      <c r="S722" s="84">
        <f>IF(ISNUMBER($M722),ABS($M722),0)</f>
        <v>0</v>
      </c>
      <c r="T722" s="85" t="n">
        <v>714</v>
      </c>
    </row>
    <row r="723">
      <c r="B723" s="83" t="n"/>
      <c r="C723" s="83" t="n"/>
      <c r="D723" s="83" t="n"/>
      <c r="E723" s="83" t="n"/>
      <c r="F723" s="83" t="n"/>
      <c r="G723" s="83" t="n"/>
      <c r="H723" s="83" t="n"/>
      <c r="I723" s="83" t="n"/>
      <c r="J723" s="83" t="n"/>
      <c r="K723" s="83" t="n"/>
      <c r="L723" s="83" t="n"/>
      <c r="M723" s="83" t="n"/>
      <c r="O723" s="84" t="str">
        <f>IF($C723="","",IFERROR(MATCH($B723&amp;"|"&amp;$C723,MUROS!$AX$11:$AX$70,0),0))</f>
        <v/>
      </c>
      <c r="P723" s="84" t="str">
        <f>IF($D723="","",IF(ISNUMBER(MATCH($D723,CMB_S,0)),1,IF(ISNUMBER(MATCH($D723,CMB_G,0)),2,0)))</f>
        <v/>
      </c>
      <c r="Q723" s="84">
        <f>IF(ISNUMBER($H723),-$H723,0)</f>
        <v>0</v>
      </c>
      <c r="R723" s="84">
        <f>IF(ISNUMBER($I723),ABS($I723),0)</f>
        <v>0</v>
      </c>
      <c r="S723" s="84">
        <f>IF(ISNUMBER($M723),ABS($M723),0)</f>
        <v>0</v>
      </c>
      <c r="T723" s="85" t="n">
        <v>715</v>
      </c>
    </row>
    <row r="724">
      <c r="B724" s="83" t="n"/>
      <c r="C724" s="83" t="n"/>
      <c r="D724" s="83" t="n"/>
      <c r="E724" s="83" t="n"/>
      <c r="F724" s="83" t="n"/>
      <c r="G724" s="83" t="n"/>
      <c r="H724" s="83" t="n"/>
      <c r="I724" s="83" t="n"/>
      <c r="J724" s="83" t="n"/>
      <c r="K724" s="83" t="n"/>
      <c r="L724" s="83" t="n"/>
      <c r="M724" s="83" t="n"/>
      <c r="O724" s="84" t="str">
        <f>IF($C724="","",IFERROR(MATCH($B724&amp;"|"&amp;$C724,MUROS!$AX$11:$AX$70,0),0))</f>
        <v/>
      </c>
      <c r="P724" s="84" t="str">
        <f>IF($D724="","",IF(ISNUMBER(MATCH($D724,CMB_S,0)),1,IF(ISNUMBER(MATCH($D724,CMB_G,0)),2,0)))</f>
        <v/>
      </c>
      <c r="Q724" s="84">
        <f>IF(ISNUMBER($H724),-$H724,0)</f>
        <v>0</v>
      </c>
      <c r="R724" s="84">
        <f>IF(ISNUMBER($I724),ABS($I724),0)</f>
        <v>0</v>
      </c>
      <c r="S724" s="84">
        <f>IF(ISNUMBER($M724),ABS($M724),0)</f>
        <v>0</v>
      </c>
      <c r="T724" s="85" t="n">
        <v>716</v>
      </c>
    </row>
    <row r="725">
      <c r="B725" s="83" t="n"/>
      <c r="C725" s="83" t="n"/>
      <c r="D725" s="83" t="n"/>
      <c r="E725" s="83" t="n"/>
      <c r="F725" s="83" t="n"/>
      <c r="G725" s="83" t="n"/>
      <c r="H725" s="83" t="n"/>
      <c r="I725" s="83" t="n"/>
      <c r="J725" s="83" t="n"/>
      <c r="K725" s="83" t="n"/>
      <c r="L725" s="83" t="n"/>
      <c r="M725" s="83" t="n"/>
      <c r="O725" s="84" t="str">
        <f>IF($C725="","",IFERROR(MATCH($B725&amp;"|"&amp;$C725,MUROS!$AX$11:$AX$70,0),0))</f>
        <v/>
      </c>
      <c r="P725" s="84" t="str">
        <f>IF($D725="","",IF(ISNUMBER(MATCH($D725,CMB_S,0)),1,IF(ISNUMBER(MATCH($D725,CMB_G,0)),2,0)))</f>
        <v/>
      </c>
      <c r="Q725" s="84">
        <f>IF(ISNUMBER($H725),-$H725,0)</f>
        <v>0</v>
      </c>
      <c r="R725" s="84">
        <f>IF(ISNUMBER($I725),ABS($I725),0)</f>
        <v>0</v>
      </c>
      <c r="S725" s="84">
        <f>IF(ISNUMBER($M725),ABS($M725),0)</f>
        <v>0</v>
      </c>
      <c r="T725" s="85" t="n">
        <v>717</v>
      </c>
    </row>
    <row r="726">
      <c r="B726" s="83" t="n"/>
      <c r="C726" s="83" t="n"/>
      <c r="D726" s="83" t="n"/>
      <c r="E726" s="83" t="n"/>
      <c r="F726" s="83" t="n"/>
      <c r="G726" s="83" t="n"/>
      <c r="H726" s="83" t="n"/>
      <c r="I726" s="83" t="n"/>
      <c r="J726" s="83" t="n"/>
      <c r="K726" s="83" t="n"/>
      <c r="L726" s="83" t="n"/>
      <c r="M726" s="83" t="n"/>
      <c r="O726" s="84" t="str">
        <f>IF($C726="","",IFERROR(MATCH($B726&amp;"|"&amp;$C726,MUROS!$AX$11:$AX$70,0),0))</f>
        <v/>
      </c>
      <c r="P726" s="84" t="str">
        <f>IF($D726="","",IF(ISNUMBER(MATCH($D726,CMB_S,0)),1,IF(ISNUMBER(MATCH($D726,CMB_G,0)),2,0)))</f>
        <v/>
      </c>
      <c r="Q726" s="84">
        <f>IF(ISNUMBER($H726),-$H726,0)</f>
        <v>0</v>
      </c>
      <c r="R726" s="84">
        <f>IF(ISNUMBER($I726),ABS($I726),0)</f>
        <v>0</v>
      </c>
      <c r="S726" s="84">
        <f>IF(ISNUMBER($M726),ABS($M726),0)</f>
        <v>0</v>
      </c>
      <c r="T726" s="85" t="n">
        <v>718</v>
      </c>
    </row>
    <row r="727">
      <c r="B727" s="83" t="n"/>
      <c r="C727" s="83" t="n"/>
      <c r="D727" s="83" t="n"/>
      <c r="E727" s="83" t="n"/>
      <c r="F727" s="83" t="n"/>
      <c r="G727" s="83" t="n"/>
      <c r="H727" s="83" t="n"/>
      <c r="I727" s="83" t="n"/>
      <c r="J727" s="83" t="n"/>
      <c r="K727" s="83" t="n"/>
      <c r="L727" s="83" t="n"/>
      <c r="M727" s="83" t="n"/>
      <c r="O727" s="84" t="str">
        <f>IF($C727="","",IFERROR(MATCH($B727&amp;"|"&amp;$C727,MUROS!$AX$11:$AX$70,0),0))</f>
        <v/>
      </c>
      <c r="P727" s="84" t="str">
        <f>IF($D727="","",IF(ISNUMBER(MATCH($D727,CMB_S,0)),1,IF(ISNUMBER(MATCH($D727,CMB_G,0)),2,0)))</f>
        <v/>
      </c>
      <c r="Q727" s="84">
        <f>IF(ISNUMBER($H727),-$H727,0)</f>
        <v>0</v>
      </c>
      <c r="R727" s="84">
        <f>IF(ISNUMBER($I727),ABS($I727),0)</f>
        <v>0</v>
      </c>
      <c r="S727" s="84">
        <f>IF(ISNUMBER($M727),ABS($M727),0)</f>
        <v>0</v>
      </c>
      <c r="T727" s="85" t="n">
        <v>719</v>
      </c>
    </row>
    <row r="728">
      <c r="B728" s="83" t="n"/>
      <c r="C728" s="83" t="n"/>
      <c r="D728" s="83" t="n"/>
      <c r="E728" s="83" t="n"/>
      <c r="F728" s="83" t="n"/>
      <c r="G728" s="83" t="n"/>
      <c r="H728" s="83" t="n"/>
      <c r="I728" s="83" t="n"/>
      <c r="J728" s="83" t="n"/>
      <c r="K728" s="83" t="n"/>
      <c r="L728" s="83" t="n"/>
      <c r="M728" s="83" t="n"/>
      <c r="O728" s="84" t="str">
        <f>IF($C728="","",IFERROR(MATCH($B728&amp;"|"&amp;$C728,MUROS!$AX$11:$AX$70,0),0))</f>
        <v/>
      </c>
      <c r="P728" s="84" t="str">
        <f>IF($D728="","",IF(ISNUMBER(MATCH($D728,CMB_S,0)),1,IF(ISNUMBER(MATCH($D728,CMB_G,0)),2,0)))</f>
        <v/>
      </c>
      <c r="Q728" s="84">
        <f>IF(ISNUMBER($H728),-$H728,0)</f>
        <v>0</v>
      </c>
      <c r="R728" s="84">
        <f>IF(ISNUMBER($I728),ABS($I728),0)</f>
        <v>0</v>
      </c>
      <c r="S728" s="84">
        <f>IF(ISNUMBER($M728),ABS($M728),0)</f>
        <v>0</v>
      </c>
      <c r="T728" s="85" t="n">
        <v>720</v>
      </c>
    </row>
    <row r="729">
      <c r="B729" s="83" t="n"/>
      <c r="C729" s="83" t="n"/>
      <c r="D729" s="83" t="n"/>
      <c r="E729" s="83" t="n"/>
      <c r="F729" s="83" t="n"/>
      <c r="G729" s="83" t="n"/>
      <c r="H729" s="83" t="n"/>
      <c r="I729" s="83" t="n"/>
      <c r="J729" s="83" t="n"/>
      <c r="K729" s="83" t="n"/>
      <c r="L729" s="83" t="n"/>
      <c r="M729" s="83" t="n"/>
      <c r="O729" s="84" t="str">
        <f>IF($C729="","",IFERROR(MATCH($B729&amp;"|"&amp;$C729,MUROS!$AX$11:$AX$70,0),0))</f>
        <v/>
      </c>
      <c r="P729" s="84" t="str">
        <f>IF($D729="","",IF(ISNUMBER(MATCH($D729,CMB_S,0)),1,IF(ISNUMBER(MATCH($D729,CMB_G,0)),2,0)))</f>
        <v/>
      </c>
      <c r="Q729" s="84">
        <f>IF(ISNUMBER($H729),-$H729,0)</f>
        <v>0</v>
      </c>
      <c r="R729" s="84">
        <f>IF(ISNUMBER($I729),ABS($I729),0)</f>
        <v>0</v>
      </c>
      <c r="S729" s="84">
        <f>IF(ISNUMBER($M729),ABS($M729),0)</f>
        <v>0</v>
      </c>
      <c r="T729" s="85" t="n">
        <v>721</v>
      </c>
    </row>
    <row r="730">
      <c r="B730" s="83" t="n"/>
      <c r="C730" s="83" t="n"/>
      <c r="D730" s="83" t="n"/>
      <c r="E730" s="83" t="n"/>
      <c r="F730" s="83" t="n"/>
      <c r="G730" s="83" t="n"/>
      <c r="H730" s="83" t="n"/>
      <c r="I730" s="83" t="n"/>
      <c r="J730" s="83" t="n"/>
      <c r="K730" s="83" t="n"/>
      <c r="L730" s="83" t="n"/>
      <c r="M730" s="83" t="n"/>
      <c r="O730" s="84" t="str">
        <f>IF($C730="","",IFERROR(MATCH($B730&amp;"|"&amp;$C730,MUROS!$AX$11:$AX$70,0),0))</f>
        <v/>
      </c>
      <c r="P730" s="84" t="str">
        <f>IF($D730="","",IF(ISNUMBER(MATCH($D730,CMB_S,0)),1,IF(ISNUMBER(MATCH($D730,CMB_G,0)),2,0)))</f>
        <v/>
      </c>
      <c r="Q730" s="84">
        <f>IF(ISNUMBER($H730),-$H730,0)</f>
        <v>0</v>
      </c>
      <c r="R730" s="84">
        <f>IF(ISNUMBER($I730),ABS($I730),0)</f>
        <v>0</v>
      </c>
      <c r="S730" s="84">
        <f>IF(ISNUMBER($M730),ABS($M730),0)</f>
        <v>0</v>
      </c>
      <c r="T730" s="85" t="n">
        <v>722</v>
      </c>
    </row>
    <row r="731">
      <c r="B731" s="83" t="n"/>
      <c r="C731" s="83" t="n"/>
      <c r="D731" s="83" t="n"/>
      <c r="E731" s="83" t="n"/>
      <c r="F731" s="83" t="n"/>
      <c r="G731" s="83" t="n"/>
      <c r="H731" s="83" t="n"/>
      <c r="I731" s="83" t="n"/>
      <c r="J731" s="83" t="n"/>
      <c r="K731" s="83" t="n"/>
      <c r="L731" s="83" t="n"/>
      <c r="M731" s="83" t="n"/>
      <c r="O731" s="84" t="str">
        <f>IF($C731="","",IFERROR(MATCH($B731&amp;"|"&amp;$C731,MUROS!$AX$11:$AX$70,0),0))</f>
        <v/>
      </c>
      <c r="P731" s="84" t="str">
        <f>IF($D731="","",IF(ISNUMBER(MATCH($D731,CMB_S,0)),1,IF(ISNUMBER(MATCH($D731,CMB_G,0)),2,0)))</f>
        <v/>
      </c>
      <c r="Q731" s="84">
        <f>IF(ISNUMBER($H731),-$H731,0)</f>
        <v>0</v>
      </c>
      <c r="R731" s="84">
        <f>IF(ISNUMBER($I731),ABS($I731),0)</f>
        <v>0</v>
      </c>
      <c r="S731" s="84">
        <f>IF(ISNUMBER($M731),ABS($M731),0)</f>
        <v>0</v>
      </c>
      <c r="T731" s="85" t="n">
        <v>723</v>
      </c>
    </row>
    <row r="732">
      <c r="B732" s="83" t="n"/>
      <c r="C732" s="83" t="n"/>
      <c r="D732" s="83" t="n"/>
      <c r="E732" s="83" t="n"/>
      <c r="F732" s="83" t="n"/>
      <c r="G732" s="83" t="n"/>
      <c r="H732" s="83" t="n"/>
      <c r="I732" s="83" t="n"/>
      <c r="J732" s="83" t="n"/>
      <c r="K732" s="83" t="n"/>
      <c r="L732" s="83" t="n"/>
      <c r="M732" s="83" t="n"/>
      <c r="O732" s="84" t="str">
        <f>IF($C732="","",IFERROR(MATCH($B732&amp;"|"&amp;$C732,MUROS!$AX$11:$AX$70,0),0))</f>
        <v/>
      </c>
      <c r="P732" s="84" t="str">
        <f>IF($D732="","",IF(ISNUMBER(MATCH($D732,CMB_S,0)),1,IF(ISNUMBER(MATCH($D732,CMB_G,0)),2,0)))</f>
        <v/>
      </c>
      <c r="Q732" s="84">
        <f>IF(ISNUMBER($H732),-$H732,0)</f>
        <v>0</v>
      </c>
      <c r="R732" s="84">
        <f>IF(ISNUMBER($I732),ABS($I732),0)</f>
        <v>0</v>
      </c>
      <c r="S732" s="84">
        <f>IF(ISNUMBER($M732),ABS($M732),0)</f>
        <v>0</v>
      </c>
      <c r="T732" s="85" t="n">
        <v>724</v>
      </c>
    </row>
    <row r="733">
      <c r="B733" s="83" t="n"/>
      <c r="C733" s="83" t="n"/>
      <c r="D733" s="83" t="n"/>
      <c r="E733" s="83" t="n"/>
      <c r="F733" s="83" t="n"/>
      <c r="G733" s="83" t="n"/>
      <c r="H733" s="83" t="n"/>
      <c r="I733" s="83" t="n"/>
      <c r="J733" s="83" t="n"/>
      <c r="K733" s="83" t="n"/>
      <c r="L733" s="83" t="n"/>
      <c r="M733" s="83" t="n"/>
      <c r="O733" s="84" t="str">
        <f>IF($C733="","",IFERROR(MATCH($B733&amp;"|"&amp;$C733,MUROS!$AX$11:$AX$70,0),0))</f>
        <v/>
      </c>
      <c r="P733" s="84" t="str">
        <f>IF($D733="","",IF(ISNUMBER(MATCH($D733,CMB_S,0)),1,IF(ISNUMBER(MATCH($D733,CMB_G,0)),2,0)))</f>
        <v/>
      </c>
      <c r="Q733" s="84">
        <f>IF(ISNUMBER($H733),-$H733,0)</f>
        <v>0</v>
      </c>
      <c r="R733" s="84">
        <f>IF(ISNUMBER($I733),ABS($I733),0)</f>
        <v>0</v>
      </c>
      <c r="S733" s="84">
        <f>IF(ISNUMBER($M733),ABS($M733),0)</f>
        <v>0</v>
      </c>
      <c r="T733" s="85" t="n">
        <v>725</v>
      </c>
    </row>
    <row r="734"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83" t="n"/>
      <c r="K734" s="83" t="n"/>
      <c r="L734" s="83" t="n"/>
      <c r="M734" s="83" t="n"/>
      <c r="O734" s="84" t="str">
        <f>IF($C734="","",IFERROR(MATCH($B734&amp;"|"&amp;$C734,MUROS!$AX$11:$AX$70,0),0))</f>
        <v/>
      </c>
      <c r="P734" s="84" t="str">
        <f>IF($D734="","",IF(ISNUMBER(MATCH($D734,CMB_S,0)),1,IF(ISNUMBER(MATCH($D734,CMB_G,0)),2,0)))</f>
        <v/>
      </c>
      <c r="Q734" s="84">
        <f>IF(ISNUMBER($H734),-$H734,0)</f>
        <v>0</v>
      </c>
      <c r="R734" s="84">
        <f>IF(ISNUMBER($I734),ABS($I734),0)</f>
        <v>0</v>
      </c>
      <c r="S734" s="84">
        <f>IF(ISNUMBER($M734),ABS($M734),0)</f>
        <v>0</v>
      </c>
      <c r="T734" s="85" t="n">
        <v>726</v>
      </c>
    </row>
    <row r="735">
      <c r="B735" s="83" t="n"/>
      <c r="C735" s="83" t="n"/>
      <c r="D735" s="83" t="n"/>
      <c r="E735" s="83" t="n"/>
      <c r="F735" s="83" t="n"/>
      <c r="G735" s="83" t="n"/>
      <c r="H735" s="83" t="n"/>
      <c r="I735" s="83" t="n"/>
      <c r="J735" s="83" t="n"/>
      <c r="K735" s="83" t="n"/>
      <c r="L735" s="83" t="n"/>
      <c r="M735" s="83" t="n"/>
      <c r="O735" s="84" t="str">
        <f>IF($C735="","",IFERROR(MATCH($B735&amp;"|"&amp;$C735,MUROS!$AX$11:$AX$70,0),0))</f>
        <v/>
      </c>
      <c r="P735" s="84" t="str">
        <f>IF($D735="","",IF(ISNUMBER(MATCH($D735,CMB_S,0)),1,IF(ISNUMBER(MATCH($D735,CMB_G,0)),2,0)))</f>
        <v/>
      </c>
      <c r="Q735" s="84">
        <f>IF(ISNUMBER($H735),-$H735,0)</f>
        <v>0</v>
      </c>
      <c r="R735" s="84">
        <f>IF(ISNUMBER($I735),ABS($I735),0)</f>
        <v>0</v>
      </c>
      <c r="S735" s="84">
        <f>IF(ISNUMBER($M735),ABS($M735),0)</f>
        <v>0</v>
      </c>
      <c r="T735" s="85" t="n">
        <v>727</v>
      </c>
    </row>
    <row r="736">
      <c r="B736" s="83" t="n"/>
      <c r="C736" s="83" t="n"/>
      <c r="D736" s="83" t="n"/>
      <c r="E736" s="83" t="n"/>
      <c r="F736" s="83" t="n"/>
      <c r="G736" s="83" t="n"/>
      <c r="H736" s="83" t="n"/>
      <c r="I736" s="83" t="n"/>
      <c r="J736" s="83" t="n"/>
      <c r="K736" s="83" t="n"/>
      <c r="L736" s="83" t="n"/>
      <c r="M736" s="83" t="n"/>
      <c r="O736" s="84" t="str">
        <f>IF($C736="","",IFERROR(MATCH($B736&amp;"|"&amp;$C736,MUROS!$AX$11:$AX$70,0),0))</f>
        <v/>
      </c>
      <c r="P736" s="84" t="str">
        <f>IF($D736="","",IF(ISNUMBER(MATCH($D736,CMB_S,0)),1,IF(ISNUMBER(MATCH($D736,CMB_G,0)),2,0)))</f>
        <v/>
      </c>
      <c r="Q736" s="84">
        <f>IF(ISNUMBER($H736),-$H736,0)</f>
        <v>0</v>
      </c>
      <c r="R736" s="84">
        <f>IF(ISNUMBER($I736),ABS($I736),0)</f>
        <v>0</v>
      </c>
      <c r="S736" s="84">
        <f>IF(ISNUMBER($M736),ABS($M736),0)</f>
        <v>0</v>
      </c>
      <c r="T736" s="85" t="n">
        <v>728</v>
      </c>
    </row>
    <row r="737">
      <c r="B737" s="83" t="n"/>
      <c r="C737" s="83" t="n"/>
      <c r="D737" s="83" t="n"/>
      <c r="E737" s="83" t="n"/>
      <c r="F737" s="83" t="n"/>
      <c r="G737" s="83" t="n"/>
      <c r="H737" s="83" t="n"/>
      <c r="I737" s="83" t="n"/>
      <c r="J737" s="83" t="n"/>
      <c r="K737" s="83" t="n"/>
      <c r="L737" s="83" t="n"/>
      <c r="M737" s="83" t="n"/>
      <c r="O737" s="84" t="str">
        <f>IF($C737="","",IFERROR(MATCH($B737&amp;"|"&amp;$C737,MUROS!$AX$11:$AX$70,0),0))</f>
        <v/>
      </c>
      <c r="P737" s="84" t="str">
        <f>IF($D737="","",IF(ISNUMBER(MATCH($D737,CMB_S,0)),1,IF(ISNUMBER(MATCH($D737,CMB_G,0)),2,0)))</f>
        <v/>
      </c>
      <c r="Q737" s="84">
        <f>IF(ISNUMBER($H737),-$H737,0)</f>
        <v>0</v>
      </c>
      <c r="R737" s="84">
        <f>IF(ISNUMBER($I737),ABS($I737),0)</f>
        <v>0</v>
      </c>
      <c r="S737" s="84">
        <f>IF(ISNUMBER($M737),ABS($M737),0)</f>
        <v>0</v>
      </c>
      <c r="T737" s="85" t="n">
        <v>729</v>
      </c>
    </row>
    <row r="738">
      <c r="B738" s="83" t="n"/>
      <c r="C738" s="83" t="n"/>
      <c r="D738" s="83" t="n"/>
      <c r="E738" s="83" t="n"/>
      <c r="F738" s="83" t="n"/>
      <c r="G738" s="83" t="n"/>
      <c r="H738" s="83" t="n"/>
      <c r="I738" s="83" t="n"/>
      <c r="J738" s="83" t="n"/>
      <c r="K738" s="83" t="n"/>
      <c r="L738" s="83" t="n"/>
      <c r="M738" s="83" t="n"/>
      <c r="O738" s="84" t="str">
        <f>IF($C738="","",IFERROR(MATCH($B738&amp;"|"&amp;$C738,MUROS!$AX$11:$AX$70,0),0))</f>
        <v/>
      </c>
      <c r="P738" s="84" t="str">
        <f>IF($D738="","",IF(ISNUMBER(MATCH($D738,CMB_S,0)),1,IF(ISNUMBER(MATCH($D738,CMB_G,0)),2,0)))</f>
        <v/>
      </c>
      <c r="Q738" s="84">
        <f>IF(ISNUMBER($H738),-$H738,0)</f>
        <v>0</v>
      </c>
      <c r="R738" s="84">
        <f>IF(ISNUMBER($I738),ABS($I738),0)</f>
        <v>0</v>
      </c>
      <c r="S738" s="84">
        <f>IF(ISNUMBER($M738),ABS($M738),0)</f>
        <v>0</v>
      </c>
      <c r="T738" s="85" t="n">
        <v>730</v>
      </c>
    </row>
    <row r="739">
      <c r="B739" s="83" t="n"/>
      <c r="C739" s="83" t="n"/>
      <c r="D739" s="83" t="n"/>
      <c r="E739" s="83" t="n"/>
      <c r="F739" s="83" t="n"/>
      <c r="G739" s="83" t="n"/>
      <c r="H739" s="83" t="n"/>
      <c r="I739" s="83" t="n"/>
      <c r="J739" s="83" t="n"/>
      <c r="K739" s="83" t="n"/>
      <c r="L739" s="83" t="n"/>
      <c r="M739" s="83" t="n"/>
      <c r="O739" s="84" t="str">
        <f>IF($C739="","",IFERROR(MATCH($B739&amp;"|"&amp;$C739,MUROS!$AX$11:$AX$70,0),0))</f>
        <v/>
      </c>
      <c r="P739" s="84" t="str">
        <f>IF($D739="","",IF(ISNUMBER(MATCH($D739,CMB_S,0)),1,IF(ISNUMBER(MATCH($D739,CMB_G,0)),2,0)))</f>
        <v/>
      </c>
      <c r="Q739" s="84">
        <f>IF(ISNUMBER($H739),-$H739,0)</f>
        <v>0</v>
      </c>
      <c r="R739" s="84">
        <f>IF(ISNUMBER($I739),ABS($I739),0)</f>
        <v>0</v>
      </c>
      <c r="S739" s="84">
        <f>IF(ISNUMBER($M739),ABS($M739),0)</f>
        <v>0</v>
      </c>
      <c r="T739" s="85" t="n">
        <v>731</v>
      </c>
    </row>
    <row r="740">
      <c r="B740" s="83" t="n"/>
      <c r="C740" s="83" t="n"/>
      <c r="D740" s="83" t="n"/>
      <c r="E740" s="83" t="n"/>
      <c r="F740" s="83" t="n"/>
      <c r="G740" s="83" t="n"/>
      <c r="H740" s="83" t="n"/>
      <c r="I740" s="83" t="n"/>
      <c r="J740" s="83" t="n"/>
      <c r="K740" s="83" t="n"/>
      <c r="L740" s="83" t="n"/>
      <c r="M740" s="83" t="n"/>
      <c r="O740" s="84" t="str">
        <f>IF($C740="","",IFERROR(MATCH($B740&amp;"|"&amp;$C740,MUROS!$AX$11:$AX$70,0),0))</f>
        <v/>
      </c>
      <c r="P740" s="84" t="str">
        <f>IF($D740="","",IF(ISNUMBER(MATCH($D740,CMB_S,0)),1,IF(ISNUMBER(MATCH($D740,CMB_G,0)),2,0)))</f>
        <v/>
      </c>
      <c r="Q740" s="84">
        <f>IF(ISNUMBER($H740),-$H740,0)</f>
        <v>0</v>
      </c>
      <c r="R740" s="84">
        <f>IF(ISNUMBER($I740),ABS($I740),0)</f>
        <v>0</v>
      </c>
      <c r="S740" s="84">
        <f>IF(ISNUMBER($M740),ABS($M740),0)</f>
        <v>0</v>
      </c>
      <c r="T740" s="85" t="n">
        <v>732</v>
      </c>
    </row>
    <row r="741">
      <c r="B741" s="83" t="n"/>
      <c r="C741" s="83" t="n"/>
      <c r="D741" s="83" t="n"/>
      <c r="E741" s="83" t="n"/>
      <c r="F741" s="83" t="n"/>
      <c r="G741" s="83" t="n"/>
      <c r="H741" s="83" t="n"/>
      <c r="I741" s="83" t="n"/>
      <c r="J741" s="83" t="n"/>
      <c r="K741" s="83" t="n"/>
      <c r="L741" s="83" t="n"/>
      <c r="M741" s="83" t="n"/>
      <c r="O741" s="84" t="str">
        <f>IF($C741="","",IFERROR(MATCH($B741&amp;"|"&amp;$C741,MUROS!$AX$11:$AX$70,0),0))</f>
        <v/>
      </c>
      <c r="P741" s="84" t="str">
        <f>IF($D741="","",IF(ISNUMBER(MATCH($D741,CMB_S,0)),1,IF(ISNUMBER(MATCH($D741,CMB_G,0)),2,0)))</f>
        <v/>
      </c>
      <c r="Q741" s="84">
        <f>IF(ISNUMBER($H741),-$H741,0)</f>
        <v>0</v>
      </c>
      <c r="R741" s="84">
        <f>IF(ISNUMBER($I741),ABS($I741),0)</f>
        <v>0</v>
      </c>
      <c r="S741" s="84">
        <f>IF(ISNUMBER($M741),ABS($M741),0)</f>
        <v>0</v>
      </c>
      <c r="T741" s="85" t="n">
        <v>733</v>
      </c>
    </row>
    <row r="742">
      <c r="B742" s="83" t="n"/>
      <c r="C742" s="83" t="n"/>
      <c r="D742" s="83" t="n"/>
      <c r="E742" s="83" t="n"/>
      <c r="F742" s="83" t="n"/>
      <c r="G742" s="83" t="n"/>
      <c r="H742" s="83" t="n"/>
      <c r="I742" s="83" t="n"/>
      <c r="J742" s="83" t="n"/>
      <c r="K742" s="83" t="n"/>
      <c r="L742" s="83" t="n"/>
      <c r="M742" s="83" t="n"/>
      <c r="O742" s="84" t="str">
        <f>IF($C742="","",IFERROR(MATCH($B742&amp;"|"&amp;$C742,MUROS!$AX$11:$AX$70,0),0))</f>
        <v/>
      </c>
      <c r="P742" s="84" t="str">
        <f>IF($D742="","",IF(ISNUMBER(MATCH($D742,CMB_S,0)),1,IF(ISNUMBER(MATCH($D742,CMB_G,0)),2,0)))</f>
        <v/>
      </c>
      <c r="Q742" s="84">
        <f>IF(ISNUMBER($H742),-$H742,0)</f>
        <v>0</v>
      </c>
      <c r="R742" s="84">
        <f>IF(ISNUMBER($I742),ABS($I742),0)</f>
        <v>0</v>
      </c>
      <c r="S742" s="84">
        <f>IF(ISNUMBER($M742),ABS($M742),0)</f>
        <v>0</v>
      </c>
      <c r="T742" s="85" t="n">
        <v>734</v>
      </c>
    </row>
    <row r="743">
      <c r="B743" s="83" t="n"/>
      <c r="C743" s="83" t="n"/>
      <c r="D743" s="83" t="n"/>
      <c r="E743" s="83" t="n"/>
      <c r="F743" s="83" t="n"/>
      <c r="G743" s="83" t="n"/>
      <c r="H743" s="83" t="n"/>
      <c r="I743" s="83" t="n"/>
      <c r="J743" s="83" t="n"/>
      <c r="K743" s="83" t="n"/>
      <c r="L743" s="83" t="n"/>
      <c r="M743" s="83" t="n"/>
      <c r="O743" s="84" t="str">
        <f>IF($C743="","",IFERROR(MATCH($B743&amp;"|"&amp;$C743,MUROS!$AX$11:$AX$70,0),0))</f>
        <v/>
      </c>
      <c r="P743" s="84" t="str">
        <f>IF($D743="","",IF(ISNUMBER(MATCH($D743,CMB_S,0)),1,IF(ISNUMBER(MATCH($D743,CMB_G,0)),2,0)))</f>
        <v/>
      </c>
      <c r="Q743" s="84">
        <f>IF(ISNUMBER($H743),-$H743,0)</f>
        <v>0</v>
      </c>
      <c r="R743" s="84">
        <f>IF(ISNUMBER($I743),ABS($I743),0)</f>
        <v>0</v>
      </c>
      <c r="S743" s="84">
        <f>IF(ISNUMBER($M743),ABS($M743),0)</f>
        <v>0</v>
      </c>
      <c r="T743" s="85" t="n">
        <v>735</v>
      </c>
    </row>
    <row r="744"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83" t="n"/>
      <c r="K744" s="83" t="n"/>
      <c r="L744" s="83" t="n"/>
      <c r="M744" s="83" t="n"/>
      <c r="O744" s="84" t="str">
        <f>IF($C744="","",IFERROR(MATCH($B744&amp;"|"&amp;$C744,MUROS!$AX$11:$AX$70,0),0))</f>
        <v/>
      </c>
      <c r="P744" s="84" t="str">
        <f>IF($D744="","",IF(ISNUMBER(MATCH($D744,CMB_S,0)),1,IF(ISNUMBER(MATCH($D744,CMB_G,0)),2,0)))</f>
        <v/>
      </c>
      <c r="Q744" s="84">
        <f>IF(ISNUMBER($H744),-$H744,0)</f>
        <v>0</v>
      </c>
      <c r="R744" s="84">
        <f>IF(ISNUMBER($I744),ABS($I744),0)</f>
        <v>0</v>
      </c>
      <c r="S744" s="84">
        <f>IF(ISNUMBER($M744),ABS($M744),0)</f>
        <v>0</v>
      </c>
      <c r="T744" s="85" t="n">
        <v>736</v>
      </c>
    </row>
    <row r="745">
      <c r="B745" s="83" t="n"/>
      <c r="C745" s="83" t="n"/>
      <c r="D745" s="83" t="n"/>
      <c r="E745" s="83" t="n"/>
      <c r="F745" s="83" t="n"/>
      <c r="G745" s="83" t="n"/>
      <c r="H745" s="83" t="n"/>
      <c r="I745" s="83" t="n"/>
      <c r="J745" s="83" t="n"/>
      <c r="K745" s="83" t="n"/>
      <c r="L745" s="83" t="n"/>
      <c r="M745" s="83" t="n"/>
      <c r="O745" s="84" t="str">
        <f>IF($C745="","",IFERROR(MATCH($B745&amp;"|"&amp;$C745,MUROS!$AX$11:$AX$70,0),0))</f>
        <v/>
      </c>
      <c r="P745" s="84" t="str">
        <f>IF($D745="","",IF(ISNUMBER(MATCH($D745,CMB_S,0)),1,IF(ISNUMBER(MATCH($D745,CMB_G,0)),2,0)))</f>
        <v/>
      </c>
      <c r="Q745" s="84">
        <f>IF(ISNUMBER($H745),-$H745,0)</f>
        <v>0</v>
      </c>
      <c r="R745" s="84">
        <f>IF(ISNUMBER($I745),ABS($I745),0)</f>
        <v>0</v>
      </c>
      <c r="S745" s="84">
        <f>IF(ISNUMBER($M745),ABS($M745),0)</f>
        <v>0</v>
      </c>
      <c r="T745" s="85" t="n">
        <v>737</v>
      </c>
    </row>
    <row r="746">
      <c r="B746" s="83" t="n"/>
      <c r="C746" s="83" t="n"/>
      <c r="D746" s="83" t="n"/>
      <c r="E746" s="83" t="n"/>
      <c r="F746" s="83" t="n"/>
      <c r="G746" s="83" t="n"/>
      <c r="H746" s="83" t="n"/>
      <c r="I746" s="83" t="n"/>
      <c r="J746" s="83" t="n"/>
      <c r="K746" s="83" t="n"/>
      <c r="L746" s="83" t="n"/>
      <c r="M746" s="83" t="n"/>
      <c r="O746" s="84" t="str">
        <f>IF($C746="","",IFERROR(MATCH($B746&amp;"|"&amp;$C746,MUROS!$AX$11:$AX$70,0),0))</f>
        <v/>
      </c>
      <c r="P746" s="84" t="str">
        <f>IF($D746="","",IF(ISNUMBER(MATCH($D746,CMB_S,0)),1,IF(ISNUMBER(MATCH($D746,CMB_G,0)),2,0)))</f>
        <v/>
      </c>
      <c r="Q746" s="84">
        <f>IF(ISNUMBER($H746),-$H746,0)</f>
        <v>0</v>
      </c>
      <c r="R746" s="84">
        <f>IF(ISNUMBER($I746),ABS($I746),0)</f>
        <v>0</v>
      </c>
      <c r="S746" s="84">
        <f>IF(ISNUMBER($M746),ABS($M746),0)</f>
        <v>0</v>
      </c>
      <c r="T746" s="85" t="n">
        <v>738</v>
      </c>
    </row>
    <row r="747">
      <c r="B747" s="83" t="n"/>
      <c r="C747" s="83" t="n"/>
      <c r="D747" s="83" t="n"/>
      <c r="E747" s="83" t="n"/>
      <c r="F747" s="83" t="n"/>
      <c r="G747" s="83" t="n"/>
      <c r="H747" s="83" t="n"/>
      <c r="I747" s="83" t="n"/>
      <c r="J747" s="83" t="n"/>
      <c r="K747" s="83" t="n"/>
      <c r="L747" s="83" t="n"/>
      <c r="M747" s="83" t="n"/>
      <c r="O747" s="84" t="str">
        <f>IF($C747="","",IFERROR(MATCH($B747&amp;"|"&amp;$C747,MUROS!$AX$11:$AX$70,0),0))</f>
        <v/>
      </c>
      <c r="P747" s="84" t="str">
        <f>IF($D747="","",IF(ISNUMBER(MATCH($D747,CMB_S,0)),1,IF(ISNUMBER(MATCH($D747,CMB_G,0)),2,0)))</f>
        <v/>
      </c>
      <c r="Q747" s="84">
        <f>IF(ISNUMBER($H747),-$H747,0)</f>
        <v>0</v>
      </c>
      <c r="R747" s="84">
        <f>IF(ISNUMBER($I747),ABS($I747),0)</f>
        <v>0</v>
      </c>
      <c r="S747" s="84">
        <f>IF(ISNUMBER($M747),ABS($M747),0)</f>
        <v>0</v>
      </c>
      <c r="T747" s="85" t="n">
        <v>739</v>
      </c>
    </row>
    <row r="748">
      <c r="B748" s="83" t="n"/>
      <c r="C748" s="83" t="n"/>
      <c r="D748" s="83" t="n"/>
      <c r="E748" s="83" t="n"/>
      <c r="F748" s="83" t="n"/>
      <c r="G748" s="83" t="n"/>
      <c r="H748" s="83" t="n"/>
      <c r="I748" s="83" t="n"/>
      <c r="J748" s="83" t="n"/>
      <c r="K748" s="83" t="n"/>
      <c r="L748" s="83" t="n"/>
      <c r="M748" s="83" t="n"/>
      <c r="O748" s="84" t="str">
        <f>IF($C748="","",IFERROR(MATCH($B748&amp;"|"&amp;$C748,MUROS!$AX$11:$AX$70,0),0))</f>
        <v/>
      </c>
      <c r="P748" s="84" t="str">
        <f>IF($D748="","",IF(ISNUMBER(MATCH($D748,CMB_S,0)),1,IF(ISNUMBER(MATCH($D748,CMB_G,0)),2,0)))</f>
        <v/>
      </c>
      <c r="Q748" s="84">
        <f>IF(ISNUMBER($H748),-$H748,0)</f>
        <v>0</v>
      </c>
      <c r="R748" s="84">
        <f>IF(ISNUMBER($I748),ABS($I748),0)</f>
        <v>0</v>
      </c>
      <c r="S748" s="84">
        <f>IF(ISNUMBER($M748),ABS($M748),0)</f>
        <v>0</v>
      </c>
      <c r="T748" s="85" t="n">
        <v>740</v>
      </c>
    </row>
    <row r="749">
      <c r="B749" s="83" t="n"/>
      <c r="C749" s="83" t="n"/>
      <c r="D749" s="83" t="n"/>
      <c r="E749" s="83" t="n"/>
      <c r="F749" s="83" t="n"/>
      <c r="G749" s="83" t="n"/>
      <c r="H749" s="83" t="n"/>
      <c r="I749" s="83" t="n"/>
      <c r="J749" s="83" t="n"/>
      <c r="K749" s="83" t="n"/>
      <c r="L749" s="83" t="n"/>
      <c r="M749" s="83" t="n"/>
      <c r="O749" s="84" t="str">
        <f>IF($C749="","",IFERROR(MATCH($B749&amp;"|"&amp;$C749,MUROS!$AX$11:$AX$70,0),0))</f>
        <v/>
      </c>
      <c r="P749" s="84" t="str">
        <f>IF($D749="","",IF(ISNUMBER(MATCH($D749,CMB_S,0)),1,IF(ISNUMBER(MATCH($D749,CMB_G,0)),2,0)))</f>
        <v/>
      </c>
      <c r="Q749" s="84">
        <f>IF(ISNUMBER($H749),-$H749,0)</f>
        <v>0</v>
      </c>
      <c r="R749" s="84">
        <f>IF(ISNUMBER($I749),ABS($I749),0)</f>
        <v>0</v>
      </c>
      <c r="S749" s="84">
        <f>IF(ISNUMBER($M749),ABS($M749),0)</f>
        <v>0</v>
      </c>
      <c r="T749" s="85" t="n">
        <v>741</v>
      </c>
    </row>
    <row r="750">
      <c r="B750" s="83" t="n"/>
      <c r="C750" s="83" t="n"/>
      <c r="D750" s="83" t="n"/>
      <c r="E750" s="83" t="n"/>
      <c r="F750" s="83" t="n"/>
      <c r="G750" s="83" t="n"/>
      <c r="H750" s="83" t="n"/>
      <c r="I750" s="83" t="n"/>
      <c r="J750" s="83" t="n"/>
      <c r="K750" s="83" t="n"/>
      <c r="L750" s="83" t="n"/>
      <c r="M750" s="83" t="n"/>
      <c r="O750" s="84" t="str">
        <f>IF($C750="","",IFERROR(MATCH($B750&amp;"|"&amp;$C750,MUROS!$AX$11:$AX$70,0),0))</f>
        <v/>
      </c>
      <c r="P750" s="84" t="str">
        <f>IF($D750="","",IF(ISNUMBER(MATCH($D750,CMB_S,0)),1,IF(ISNUMBER(MATCH($D750,CMB_G,0)),2,0)))</f>
        <v/>
      </c>
      <c r="Q750" s="84">
        <f>IF(ISNUMBER($H750),-$H750,0)</f>
        <v>0</v>
      </c>
      <c r="R750" s="84">
        <f>IF(ISNUMBER($I750),ABS($I750),0)</f>
        <v>0</v>
      </c>
      <c r="S750" s="84">
        <f>IF(ISNUMBER($M750),ABS($M750),0)</f>
        <v>0</v>
      </c>
      <c r="T750" s="85" t="n">
        <v>742</v>
      </c>
    </row>
    <row r="751">
      <c r="B751" s="83" t="n"/>
      <c r="C751" s="83" t="n"/>
      <c r="D751" s="83" t="n"/>
      <c r="E751" s="83" t="n"/>
      <c r="F751" s="83" t="n"/>
      <c r="G751" s="83" t="n"/>
      <c r="H751" s="83" t="n"/>
      <c r="I751" s="83" t="n"/>
      <c r="J751" s="83" t="n"/>
      <c r="K751" s="83" t="n"/>
      <c r="L751" s="83" t="n"/>
      <c r="M751" s="83" t="n"/>
      <c r="O751" s="84" t="str">
        <f>IF($C751="","",IFERROR(MATCH($B751&amp;"|"&amp;$C751,MUROS!$AX$11:$AX$70,0),0))</f>
        <v/>
      </c>
      <c r="P751" s="84" t="str">
        <f>IF($D751="","",IF(ISNUMBER(MATCH($D751,CMB_S,0)),1,IF(ISNUMBER(MATCH($D751,CMB_G,0)),2,0)))</f>
        <v/>
      </c>
      <c r="Q751" s="84">
        <f>IF(ISNUMBER($H751),-$H751,0)</f>
        <v>0</v>
      </c>
      <c r="R751" s="84">
        <f>IF(ISNUMBER($I751),ABS($I751),0)</f>
        <v>0</v>
      </c>
      <c r="S751" s="84">
        <f>IF(ISNUMBER($M751),ABS($M751),0)</f>
        <v>0</v>
      </c>
      <c r="T751" s="85" t="n">
        <v>743</v>
      </c>
    </row>
    <row r="752">
      <c r="B752" s="83" t="n"/>
      <c r="C752" s="83" t="n"/>
      <c r="D752" s="83" t="n"/>
      <c r="E752" s="83" t="n"/>
      <c r="F752" s="83" t="n"/>
      <c r="G752" s="83" t="n"/>
      <c r="H752" s="83" t="n"/>
      <c r="I752" s="83" t="n"/>
      <c r="J752" s="83" t="n"/>
      <c r="K752" s="83" t="n"/>
      <c r="L752" s="83" t="n"/>
      <c r="M752" s="83" t="n"/>
      <c r="O752" s="84" t="str">
        <f>IF($C752="","",IFERROR(MATCH($B752&amp;"|"&amp;$C752,MUROS!$AX$11:$AX$70,0),0))</f>
        <v/>
      </c>
      <c r="P752" s="84" t="str">
        <f>IF($D752="","",IF(ISNUMBER(MATCH($D752,CMB_S,0)),1,IF(ISNUMBER(MATCH($D752,CMB_G,0)),2,0)))</f>
        <v/>
      </c>
      <c r="Q752" s="84">
        <f>IF(ISNUMBER($H752),-$H752,0)</f>
        <v>0</v>
      </c>
      <c r="R752" s="84">
        <f>IF(ISNUMBER($I752),ABS($I752),0)</f>
        <v>0</v>
      </c>
      <c r="S752" s="84">
        <f>IF(ISNUMBER($M752),ABS($M752),0)</f>
        <v>0</v>
      </c>
      <c r="T752" s="85" t="n">
        <v>744</v>
      </c>
    </row>
    <row r="753">
      <c r="B753" s="83" t="n"/>
      <c r="C753" s="83" t="n"/>
      <c r="D753" s="83" t="n"/>
      <c r="E753" s="83" t="n"/>
      <c r="F753" s="83" t="n"/>
      <c r="G753" s="83" t="n"/>
      <c r="H753" s="83" t="n"/>
      <c r="I753" s="83" t="n"/>
      <c r="J753" s="83" t="n"/>
      <c r="K753" s="83" t="n"/>
      <c r="L753" s="83" t="n"/>
      <c r="M753" s="83" t="n"/>
      <c r="O753" s="84" t="str">
        <f>IF($C753="","",IFERROR(MATCH($B753&amp;"|"&amp;$C753,MUROS!$AX$11:$AX$70,0),0))</f>
        <v/>
      </c>
      <c r="P753" s="84" t="str">
        <f>IF($D753="","",IF(ISNUMBER(MATCH($D753,CMB_S,0)),1,IF(ISNUMBER(MATCH($D753,CMB_G,0)),2,0)))</f>
        <v/>
      </c>
      <c r="Q753" s="84">
        <f>IF(ISNUMBER($H753),-$H753,0)</f>
        <v>0</v>
      </c>
      <c r="R753" s="84">
        <f>IF(ISNUMBER($I753),ABS($I753),0)</f>
        <v>0</v>
      </c>
      <c r="S753" s="84">
        <f>IF(ISNUMBER($M753),ABS($M753),0)</f>
        <v>0</v>
      </c>
      <c r="T753" s="85" t="n">
        <v>745</v>
      </c>
    </row>
    <row r="754"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83" t="n"/>
      <c r="K754" s="83" t="n"/>
      <c r="L754" s="83" t="n"/>
      <c r="M754" s="83" t="n"/>
      <c r="O754" s="84" t="str">
        <f>IF($C754="","",IFERROR(MATCH($B754&amp;"|"&amp;$C754,MUROS!$AX$11:$AX$70,0),0))</f>
        <v/>
      </c>
      <c r="P754" s="84" t="str">
        <f>IF($D754="","",IF(ISNUMBER(MATCH($D754,CMB_S,0)),1,IF(ISNUMBER(MATCH($D754,CMB_G,0)),2,0)))</f>
        <v/>
      </c>
      <c r="Q754" s="84">
        <f>IF(ISNUMBER($H754),-$H754,0)</f>
        <v>0</v>
      </c>
      <c r="R754" s="84">
        <f>IF(ISNUMBER($I754),ABS($I754),0)</f>
        <v>0</v>
      </c>
      <c r="S754" s="84">
        <f>IF(ISNUMBER($M754),ABS($M754),0)</f>
        <v>0</v>
      </c>
      <c r="T754" s="85" t="n">
        <v>746</v>
      </c>
    </row>
    <row r="755">
      <c r="B755" s="83" t="n"/>
      <c r="C755" s="83" t="n"/>
      <c r="D755" s="83" t="n"/>
      <c r="E755" s="83" t="n"/>
      <c r="F755" s="83" t="n"/>
      <c r="G755" s="83" t="n"/>
      <c r="H755" s="83" t="n"/>
      <c r="I755" s="83" t="n"/>
      <c r="J755" s="83" t="n"/>
      <c r="K755" s="83" t="n"/>
      <c r="L755" s="83" t="n"/>
      <c r="M755" s="83" t="n"/>
      <c r="O755" s="84" t="str">
        <f>IF($C755="","",IFERROR(MATCH($B755&amp;"|"&amp;$C755,MUROS!$AX$11:$AX$70,0),0))</f>
        <v/>
      </c>
      <c r="P755" s="84" t="str">
        <f>IF($D755="","",IF(ISNUMBER(MATCH($D755,CMB_S,0)),1,IF(ISNUMBER(MATCH($D755,CMB_G,0)),2,0)))</f>
        <v/>
      </c>
      <c r="Q755" s="84">
        <f>IF(ISNUMBER($H755),-$H755,0)</f>
        <v>0</v>
      </c>
      <c r="R755" s="84">
        <f>IF(ISNUMBER($I755),ABS($I755),0)</f>
        <v>0</v>
      </c>
      <c r="S755" s="84">
        <f>IF(ISNUMBER($M755),ABS($M755),0)</f>
        <v>0</v>
      </c>
      <c r="T755" s="85" t="n">
        <v>747</v>
      </c>
    </row>
    <row r="756">
      <c r="B756" s="83" t="n"/>
      <c r="C756" s="83" t="n"/>
      <c r="D756" s="83" t="n"/>
      <c r="E756" s="83" t="n"/>
      <c r="F756" s="83" t="n"/>
      <c r="G756" s="83" t="n"/>
      <c r="H756" s="83" t="n"/>
      <c r="I756" s="83" t="n"/>
      <c r="J756" s="83" t="n"/>
      <c r="K756" s="83" t="n"/>
      <c r="L756" s="83" t="n"/>
      <c r="M756" s="83" t="n"/>
      <c r="O756" s="84" t="str">
        <f>IF($C756="","",IFERROR(MATCH($B756&amp;"|"&amp;$C756,MUROS!$AX$11:$AX$70,0),0))</f>
        <v/>
      </c>
      <c r="P756" s="84" t="str">
        <f>IF($D756="","",IF(ISNUMBER(MATCH($D756,CMB_S,0)),1,IF(ISNUMBER(MATCH($D756,CMB_G,0)),2,0)))</f>
        <v/>
      </c>
      <c r="Q756" s="84">
        <f>IF(ISNUMBER($H756),-$H756,0)</f>
        <v>0</v>
      </c>
      <c r="R756" s="84">
        <f>IF(ISNUMBER($I756),ABS($I756),0)</f>
        <v>0</v>
      </c>
      <c r="S756" s="84">
        <f>IF(ISNUMBER($M756),ABS($M756),0)</f>
        <v>0</v>
      </c>
      <c r="T756" s="85" t="n">
        <v>748</v>
      </c>
    </row>
    <row r="757">
      <c r="B757" s="83" t="n"/>
      <c r="C757" s="83" t="n"/>
      <c r="D757" s="83" t="n"/>
      <c r="E757" s="83" t="n"/>
      <c r="F757" s="83" t="n"/>
      <c r="G757" s="83" t="n"/>
      <c r="H757" s="83" t="n"/>
      <c r="I757" s="83" t="n"/>
      <c r="J757" s="83" t="n"/>
      <c r="K757" s="83" t="n"/>
      <c r="L757" s="83" t="n"/>
      <c r="M757" s="83" t="n"/>
      <c r="O757" s="84" t="str">
        <f>IF($C757="","",IFERROR(MATCH($B757&amp;"|"&amp;$C757,MUROS!$AX$11:$AX$70,0),0))</f>
        <v/>
      </c>
      <c r="P757" s="84" t="str">
        <f>IF($D757="","",IF(ISNUMBER(MATCH($D757,CMB_S,0)),1,IF(ISNUMBER(MATCH($D757,CMB_G,0)),2,0)))</f>
        <v/>
      </c>
      <c r="Q757" s="84">
        <f>IF(ISNUMBER($H757),-$H757,0)</f>
        <v>0</v>
      </c>
      <c r="R757" s="84">
        <f>IF(ISNUMBER($I757),ABS($I757),0)</f>
        <v>0</v>
      </c>
      <c r="S757" s="84">
        <f>IF(ISNUMBER($M757),ABS($M757),0)</f>
        <v>0</v>
      </c>
      <c r="T757" s="85" t="n">
        <v>749</v>
      </c>
    </row>
    <row r="758">
      <c r="B758" s="83" t="n"/>
      <c r="C758" s="83" t="n"/>
      <c r="D758" s="83" t="n"/>
      <c r="E758" s="83" t="n"/>
      <c r="F758" s="83" t="n"/>
      <c r="G758" s="83" t="n"/>
      <c r="H758" s="83" t="n"/>
      <c r="I758" s="83" t="n"/>
      <c r="J758" s="83" t="n"/>
      <c r="K758" s="83" t="n"/>
      <c r="L758" s="83" t="n"/>
      <c r="M758" s="83" t="n"/>
      <c r="O758" s="84" t="str">
        <f>IF($C758="","",IFERROR(MATCH($B758&amp;"|"&amp;$C758,MUROS!$AX$11:$AX$70,0),0))</f>
        <v/>
      </c>
      <c r="P758" s="84" t="str">
        <f>IF($D758="","",IF(ISNUMBER(MATCH($D758,CMB_S,0)),1,IF(ISNUMBER(MATCH($D758,CMB_G,0)),2,0)))</f>
        <v/>
      </c>
      <c r="Q758" s="84">
        <f>IF(ISNUMBER($H758),-$H758,0)</f>
        <v>0</v>
      </c>
      <c r="R758" s="84">
        <f>IF(ISNUMBER($I758),ABS($I758),0)</f>
        <v>0</v>
      </c>
      <c r="S758" s="84">
        <f>IF(ISNUMBER($M758),ABS($M758),0)</f>
        <v>0</v>
      </c>
      <c r="T758" s="85" t="n">
        <v>750</v>
      </c>
    </row>
    <row r="759">
      <c r="B759" s="83" t="n"/>
      <c r="C759" s="83" t="n"/>
      <c r="D759" s="83" t="n"/>
      <c r="E759" s="83" t="n"/>
      <c r="F759" s="83" t="n"/>
      <c r="G759" s="83" t="n"/>
      <c r="H759" s="83" t="n"/>
      <c r="I759" s="83" t="n"/>
      <c r="J759" s="83" t="n"/>
      <c r="K759" s="83" t="n"/>
      <c r="L759" s="83" t="n"/>
      <c r="M759" s="83" t="n"/>
      <c r="O759" s="84" t="str">
        <f>IF($C759="","",IFERROR(MATCH($B759&amp;"|"&amp;$C759,MUROS!$AX$11:$AX$70,0),0))</f>
        <v/>
      </c>
      <c r="P759" s="84" t="str">
        <f>IF($D759="","",IF(ISNUMBER(MATCH($D759,CMB_S,0)),1,IF(ISNUMBER(MATCH($D759,CMB_G,0)),2,0)))</f>
        <v/>
      </c>
      <c r="Q759" s="84">
        <f>IF(ISNUMBER($H759),-$H759,0)</f>
        <v>0</v>
      </c>
      <c r="R759" s="84">
        <f>IF(ISNUMBER($I759),ABS($I759),0)</f>
        <v>0</v>
      </c>
      <c r="S759" s="84">
        <f>IF(ISNUMBER($M759),ABS($M759),0)</f>
        <v>0</v>
      </c>
      <c r="T759" s="85" t="n">
        <v>751</v>
      </c>
    </row>
    <row r="760">
      <c r="B760" s="83" t="n"/>
      <c r="C760" s="83" t="n"/>
      <c r="D760" s="83" t="n"/>
      <c r="E760" s="83" t="n"/>
      <c r="F760" s="83" t="n"/>
      <c r="G760" s="83" t="n"/>
      <c r="H760" s="83" t="n"/>
      <c r="I760" s="83" t="n"/>
      <c r="J760" s="83" t="n"/>
      <c r="K760" s="83" t="n"/>
      <c r="L760" s="83" t="n"/>
      <c r="M760" s="83" t="n"/>
      <c r="O760" s="84" t="str">
        <f>IF($C760="","",IFERROR(MATCH($B760&amp;"|"&amp;$C760,MUROS!$AX$11:$AX$70,0),0))</f>
        <v/>
      </c>
      <c r="P760" s="84" t="str">
        <f>IF($D760="","",IF(ISNUMBER(MATCH($D760,CMB_S,0)),1,IF(ISNUMBER(MATCH($D760,CMB_G,0)),2,0)))</f>
        <v/>
      </c>
      <c r="Q760" s="84">
        <f>IF(ISNUMBER($H760),-$H760,0)</f>
        <v>0</v>
      </c>
      <c r="R760" s="84">
        <f>IF(ISNUMBER($I760),ABS($I760),0)</f>
        <v>0</v>
      </c>
      <c r="S760" s="84">
        <f>IF(ISNUMBER($M760),ABS($M760),0)</f>
        <v>0</v>
      </c>
      <c r="T760" s="85" t="n">
        <v>752</v>
      </c>
    </row>
    <row r="761">
      <c r="B761" s="83" t="n"/>
      <c r="C761" s="83" t="n"/>
      <c r="D761" s="83" t="n"/>
      <c r="E761" s="83" t="n"/>
      <c r="F761" s="83" t="n"/>
      <c r="G761" s="83" t="n"/>
      <c r="H761" s="83" t="n"/>
      <c r="I761" s="83" t="n"/>
      <c r="J761" s="83" t="n"/>
      <c r="K761" s="83" t="n"/>
      <c r="L761" s="83" t="n"/>
      <c r="M761" s="83" t="n"/>
      <c r="O761" s="84" t="str">
        <f>IF($C761="","",IFERROR(MATCH($B761&amp;"|"&amp;$C761,MUROS!$AX$11:$AX$70,0),0))</f>
        <v/>
      </c>
      <c r="P761" s="84" t="str">
        <f>IF($D761="","",IF(ISNUMBER(MATCH($D761,CMB_S,0)),1,IF(ISNUMBER(MATCH($D761,CMB_G,0)),2,0)))</f>
        <v/>
      </c>
      <c r="Q761" s="84">
        <f>IF(ISNUMBER($H761),-$H761,0)</f>
        <v>0</v>
      </c>
      <c r="R761" s="84">
        <f>IF(ISNUMBER($I761),ABS($I761),0)</f>
        <v>0</v>
      </c>
      <c r="S761" s="84">
        <f>IF(ISNUMBER($M761),ABS($M761),0)</f>
        <v>0</v>
      </c>
      <c r="T761" s="85" t="n">
        <v>753</v>
      </c>
    </row>
    <row r="762">
      <c r="B762" s="83" t="n"/>
      <c r="C762" s="83" t="n"/>
      <c r="D762" s="83" t="n"/>
      <c r="E762" s="83" t="n"/>
      <c r="F762" s="83" t="n"/>
      <c r="G762" s="83" t="n"/>
      <c r="H762" s="83" t="n"/>
      <c r="I762" s="83" t="n"/>
      <c r="J762" s="83" t="n"/>
      <c r="K762" s="83" t="n"/>
      <c r="L762" s="83" t="n"/>
      <c r="M762" s="83" t="n"/>
      <c r="O762" s="84" t="str">
        <f>IF($C762="","",IFERROR(MATCH($B762&amp;"|"&amp;$C762,MUROS!$AX$11:$AX$70,0),0))</f>
        <v/>
      </c>
      <c r="P762" s="84" t="str">
        <f>IF($D762="","",IF(ISNUMBER(MATCH($D762,CMB_S,0)),1,IF(ISNUMBER(MATCH($D762,CMB_G,0)),2,0)))</f>
        <v/>
      </c>
      <c r="Q762" s="84">
        <f>IF(ISNUMBER($H762),-$H762,0)</f>
        <v>0</v>
      </c>
      <c r="R762" s="84">
        <f>IF(ISNUMBER($I762),ABS($I762),0)</f>
        <v>0</v>
      </c>
      <c r="S762" s="84">
        <f>IF(ISNUMBER($M762),ABS($M762),0)</f>
        <v>0</v>
      </c>
      <c r="T762" s="85" t="n">
        <v>754</v>
      </c>
    </row>
    <row r="763">
      <c r="B763" s="83" t="n"/>
      <c r="C763" s="83" t="n"/>
      <c r="D763" s="83" t="n"/>
      <c r="E763" s="83" t="n"/>
      <c r="F763" s="83" t="n"/>
      <c r="G763" s="83" t="n"/>
      <c r="H763" s="83" t="n"/>
      <c r="I763" s="83" t="n"/>
      <c r="J763" s="83" t="n"/>
      <c r="K763" s="83" t="n"/>
      <c r="L763" s="83" t="n"/>
      <c r="M763" s="83" t="n"/>
      <c r="O763" s="84" t="str">
        <f>IF($C763="","",IFERROR(MATCH($B763&amp;"|"&amp;$C763,MUROS!$AX$11:$AX$70,0),0))</f>
        <v/>
      </c>
      <c r="P763" s="84" t="str">
        <f>IF($D763="","",IF(ISNUMBER(MATCH($D763,CMB_S,0)),1,IF(ISNUMBER(MATCH($D763,CMB_G,0)),2,0)))</f>
        <v/>
      </c>
      <c r="Q763" s="84">
        <f>IF(ISNUMBER($H763),-$H763,0)</f>
        <v>0</v>
      </c>
      <c r="R763" s="84">
        <f>IF(ISNUMBER($I763),ABS($I763),0)</f>
        <v>0</v>
      </c>
      <c r="S763" s="84">
        <f>IF(ISNUMBER($M763),ABS($M763),0)</f>
        <v>0</v>
      </c>
      <c r="T763" s="85" t="n">
        <v>755</v>
      </c>
    </row>
    <row r="764"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83" t="n"/>
      <c r="K764" s="83" t="n"/>
      <c r="L764" s="83" t="n"/>
      <c r="M764" s="83" t="n"/>
      <c r="O764" s="84" t="str">
        <f>IF($C764="","",IFERROR(MATCH($B764&amp;"|"&amp;$C764,MUROS!$AX$11:$AX$70,0),0))</f>
        <v/>
      </c>
      <c r="P764" s="84" t="str">
        <f>IF($D764="","",IF(ISNUMBER(MATCH($D764,CMB_S,0)),1,IF(ISNUMBER(MATCH($D764,CMB_G,0)),2,0)))</f>
        <v/>
      </c>
      <c r="Q764" s="84">
        <f>IF(ISNUMBER($H764),-$H764,0)</f>
        <v>0</v>
      </c>
      <c r="R764" s="84">
        <f>IF(ISNUMBER($I764),ABS($I764),0)</f>
        <v>0</v>
      </c>
      <c r="S764" s="84">
        <f>IF(ISNUMBER($M764),ABS($M764),0)</f>
        <v>0</v>
      </c>
      <c r="T764" s="85" t="n">
        <v>756</v>
      </c>
    </row>
    <row r="765">
      <c r="B765" s="83" t="n"/>
      <c r="C765" s="83" t="n"/>
      <c r="D765" s="83" t="n"/>
      <c r="E765" s="83" t="n"/>
      <c r="F765" s="83" t="n"/>
      <c r="G765" s="83" t="n"/>
      <c r="H765" s="83" t="n"/>
      <c r="I765" s="83" t="n"/>
      <c r="J765" s="83" t="n"/>
      <c r="K765" s="83" t="n"/>
      <c r="L765" s="83" t="n"/>
      <c r="M765" s="83" t="n"/>
      <c r="O765" s="84" t="str">
        <f>IF($C765="","",IFERROR(MATCH($B765&amp;"|"&amp;$C765,MUROS!$AX$11:$AX$70,0),0))</f>
        <v/>
      </c>
      <c r="P765" s="84" t="str">
        <f>IF($D765="","",IF(ISNUMBER(MATCH($D765,CMB_S,0)),1,IF(ISNUMBER(MATCH($D765,CMB_G,0)),2,0)))</f>
        <v/>
      </c>
      <c r="Q765" s="84">
        <f>IF(ISNUMBER($H765),-$H765,0)</f>
        <v>0</v>
      </c>
      <c r="R765" s="84">
        <f>IF(ISNUMBER($I765),ABS($I765),0)</f>
        <v>0</v>
      </c>
      <c r="S765" s="84">
        <f>IF(ISNUMBER($M765),ABS($M765),0)</f>
        <v>0</v>
      </c>
      <c r="T765" s="85" t="n">
        <v>757</v>
      </c>
    </row>
    <row r="766">
      <c r="B766" s="83" t="n"/>
      <c r="C766" s="83" t="n"/>
      <c r="D766" s="83" t="n"/>
      <c r="E766" s="83" t="n"/>
      <c r="F766" s="83" t="n"/>
      <c r="G766" s="83" t="n"/>
      <c r="H766" s="83" t="n"/>
      <c r="I766" s="83" t="n"/>
      <c r="J766" s="83" t="n"/>
      <c r="K766" s="83" t="n"/>
      <c r="L766" s="83" t="n"/>
      <c r="M766" s="83" t="n"/>
      <c r="O766" s="84" t="str">
        <f>IF($C766="","",IFERROR(MATCH($B766&amp;"|"&amp;$C766,MUROS!$AX$11:$AX$70,0),0))</f>
        <v/>
      </c>
      <c r="P766" s="84" t="str">
        <f>IF($D766="","",IF(ISNUMBER(MATCH($D766,CMB_S,0)),1,IF(ISNUMBER(MATCH($D766,CMB_G,0)),2,0)))</f>
        <v/>
      </c>
      <c r="Q766" s="84">
        <f>IF(ISNUMBER($H766),-$H766,0)</f>
        <v>0</v>
      </c>
      <c r="R766" s="84">
        <f>IF(ISNUMBER($I766),ABS($I766),0)</f>
        <v>0</v>
      </c>
      <c r="S766" s="84">
        <f>IF(ISNUMBER($M766),ABS($M766),0)</f>
        <v>0</v>
      </c>
      <c r="T766" s="85" t="n">
        <v>758</v>
      </c>
    </row>
    <row r="767">
      <c r="B767" s="83" t="n"/>
      <c r="C767" s="83" t="n"/>
      <c r="D767" s="83" t="n"/>
      <c r="E767" s="83" t="n"/>
      <c r="F767" s="83" t="n"/>
      <c r="G767" s="83" t="n"/>
      <c r="H767" s="83" t="n"/>
      <c r="I767" s="83" t="n"/>
      <c r="J767" s="83" t="n"/>
      <c r="K767" s="83" t="n"/>
      <c r="L767" s="83" t="n"/>
      <c r="M767" s="83" t="n"/>
      <c r="O767" s="84" t="str">
        <f>IF($C767="","",IFERROR(MATCH($B767&amp;"|"&amp;$C767,MUROS!$AX$11:$AX$70,0),0))</f>
        <v/>
      </c>
      <c r="P767" s="84" t="str">
        <f>IF($D767="","",IF(ISNUMBER(MATCH($D767,CMB_S,0)),1,IF(ISNUMBER(MATCH($D767,CMB_G,0)),2,0)))</f>
        <v/>
      </c>
      <c r="Q767" s="84">
        <f>IF(ISNUMBER($H767),-$H767,0)</f>
        <v>0</v>
      </c>
      <c r="R767" s="84">
        <f>IF(ISNUMBER($I767),ABS($I767),0)</f>
        <v>0</v>
      </c>
      <c r="S767" s="84">
        <f>IF(ISNUMBER($M767),ABS($M767),0)</f>
        <v>0</v>
      </c>
      <c r="T767" s="85" t="n">
        <v>759</v>
      </c>
    </row>
    <row r="768">
      <c r="B768" s="83" t="n"/>
      <c r="C768" s="83" t="n"/>
      <c r="D768" s="83" t="n"/>
      <c r="E768" s="83" t="n"/>
      <c r="F768" s="83" t="n"/>
      <c r="G768" s="83" t="n"/>
      <c r="H768" s="83" t="n"/>
      <c r="I768" s="83" t="n"/>
      <c r="J768" s="83" t="n"/>
      <c r="K768" s="83" t="n"/>
      <c r="L768" s="83" t="n"/>
      <c r="M768" s="83" t="n"/>
      <c r="O768" s="84" t="str">
        <f>IF($C768="","",IFERROR(MATCH($B768&amp;"|"&amp;$C768,MUROS!$AX$11:$AX$70,0),0))</f>
        <v/>
      </c>
      <c r="P768" s="84" t="str">
        <f>IF($D768="","",IF(ISNUMBER(MATCH($D768,CMB_S,0)),1,IF(ISNUMBER(MATCH($D768,CMB_G,0)),2,0)))</f>
        <v/>
      </c>
      <c r="Q768" s="84">
        <f>IF(ISNUMBER($H768),-$H768,0)</f>
        <v>0</v>
      </c>
      <c r="R768" s="84">
        <f>IF(ISNUMBER($I768),ABS($I768),0)</f>
        <v>0</v>
      </c>
      <c r="S768" s="84">
        <f>IF(ISNUMBER($M768),ABS($M768),0)</f>
        <v>0</v>
      </c>
      <c r="T768" s="85" t="n">
        <v>760</v>
      </c>
    </row>
    <row r="769">
      <c r="B769" s="83" t="n"/>
      <c r="C769" s="83" t="n"/>
      <c r="D769" s="83" t="n"/>
      <c r="E769" s="83" t="n"/>
      <c r="F769" s="83" t="n"/>
      <c r="G769" s="83" t="n"/>
      <c r="H769" s="83" t="n"/>
      <c r="I769" s="83" t="n"/>
      <c r="J769" s="83" t="n"/>
      <c r="K769" s="83" t="n"/>
      <c r="L769" s="83" t="n"/>
      <c r="M769" s="83" t="n"/>
      <c r="O769" s="84" t="str">
        <f>IF($C769="","",IFERROR(MATCH($B769&amp;"|"&amp;$C769,MUROS!$AX$11:$AX$70,0),0))</f>
        <v/>
      </c>
      <c r="P769" s="84" t="str">
        <f>IF($D769="","",IF(ISNUMBER(MATCH($D769,CMB_S,0)),1,IF(ISNUMBER(MATCH($D769,CMB_G,0)),2,0)))</f>
        <v/>
      </c>
      <c r="Q769" s="84">
        <f>IF(ISNUMBER($H769),-$H769,0)</f>
        <v>0</v>
      </c>
      <c r="R769" s="84">
        <f>IF(ISNUMBER($I769),ABS($I769),0)</f>
        <v>0</v>
      </c>
      <c r="S769" s="84">
        <f>IF(ISNUMBER($M769),ABS($M769),0)</f>
        <v>0</v>
      </c>
      <c r="T769" s="85" t="n">
        <v>761</v>
      </c>
    </row>
    <row r="770">
      <c r="B770" s="83" t="n"/>
      <c r="C770" s="83" t="n"/>
      <c r="D770" s="83" t="n"/>
      <c r="E770" s="83" t="n"/>
      <c r="F770" s="83" t="n"/>
      <c r="G770" s="83" t="n"/>
      <c r="H770" s="83" t="n"/>
      <c r="I770" s="83" t="n"/>
      <c r="J770" s="83" t="n"/>
      <c r="K770" s="83" t="n"/>
      <c r="L770" s="83" t="n"/>
      <c r="M770" s="83" t="n"/>
      <c r="O770" s="84" t="str">
        <f>IF($C770="","",IFERROR(MATCH($B770&amp;"|"&amp;$C770,MUROS!$AX$11:$AX$70,0),0))</f>
        <v/>
      </c>
      <c r="P770" s="84" t="str">
        <f>IF($D770="","",IF(ISNUMBER(MATCH($D770,CMB_S,0)),1,IF(ISNUMBER(MATCH($D770,CMB_G,0)),2,0)))</f>
        <v/>
      </c>
      <c r="Q770" s="84">
        <f>IF(ISNUMBER($H770),-$H770,0)</f>
        <v>0</v>
      </c>
      <c r="R770" s="84">
        <f>IF(ISNUMBER($I770),ABS($I770),0)</f>
        <v>0</v>
      </c>
      <c r="S770" s="84">
        <f>IF(ISNUMBER($M770),ABS($M770),0)</f>
        <v>0</v>
      </c>
      <c r="T770" s="85" t="n">
        <v>762</v>
      </c>
    </row>
    <row r="771">
      <c r="B771" s="83" t="n"/>
      <c r="C771" s="83" t="n"/>
      <c r="D771" s="83" t="n"/>
      <c r="E771" s="83" t="n"/>
      <c r="F771" s="83" t="n"/>
      <c r="G771" s="83" t="n"/>
      <c r="H771" s="83" t="n"/>
      <c r="I771" s="83" t="n"/>
      <c r="J771" s="83" t="n"/>
      <c r="K771" s="83" t="n"/>
      <c r="L771" s="83" t="n"/>
      <c r="M771" s="83" t="n"/>
      <c r="O771" s="84" t="str">
        <f>IF($C771="","",IFERROR(MATCH($B771&amp;"|"&amp;$C771,MUROS!$AX$11:$AX$70,0),0))</f>
        <v/>
      </c>
      <c r="P771" s="84" t="str">
        <f>IF($D771="","",IF(ISNUMBER(MATCH($D771,CMB_S,0)),1,IF(ISNUMBER(MATCH($D771,CMB_G,0)),2,0)))</f>
        <v/>
      </c>
      <c r="Q771" s="84">
        <f>IF(ISNUMBER($H771),-$H771,0)</f>
        <v>0</v>
      </c>
      <c r="R771" s="84">
        <f>IF(ISNUMBER($I771),ABS($I771),0)</f>
        <v>0</v>
      </c>
      <c r="S771" s="84">
        <f>IF(ISNUMBER($M771),ABS($M771),0)</f>
        <v>0</v>
      </c>
      <c r="T771" s="85" t="n">
        <v>763</v>
      </c>
    </row>
    <row r="772">
      <c r="B772" s="83" t="n"/>
      <c r="C772" s="83" t="n"/>
      <c r="D772" s="83" t="n"/>
      <c r="E772" s="83" t="n"/>
      <c r="F772" s="83" t="n"/>
      <c r="G772" s="83" t="n"/>
      <c r="H772" s="83" t="n"/>
      <c r="I772" s="83" t="n"/>
      <c r="J772" s="83" t="n"/>
      <c r="K772" s="83" t="n"/>
      <c r="L772" s="83" t="n"/>
      <c r="M772" s="83" t="n"/>
      <c r="O772" s="84" t="str">
        <f>IF($C772="","",IFERROR(MATCH($B772&amp;"|"&amp;$C772,MUROS!$AX$11:$AX$70,0),0))</f>
        <v/>
      </c>
      <c r="P772" s="84" t="str">
        <f>IF($D772="","",IF(ISNUMBER(MATCH($D772,CMB_S,0)),1,IF(ISNUMBER(MATCH($D772,CMB_G,0)),2,0)))</f>
        <v/>
      </c>
      <c r="Q772" s="84">
        <f>IF(ISNUMBER($H772),-$H772,0)</f>
        <v>0</v>
      </c>
      <c r="R772" s="84">
        <f>IF(ISNUMBER($I772),ABS($I772),0)</f>
        <v>0</v>
      </c>
      <c r="S772" s="84">
        <f>IF(ISNUMBER($M772),ABS($M772),0)</f>
        <v>0</v>
      </c>
      <c r="T772" s="85" t="n">
        <v>764</v>
      </c>
    </row>
    <row r="773"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83" t="n"/>
      <c r="K773" s="83" t="n"/>
      <c r="L773" s="83" t="n"/>
      <c r="M773" s="83" t="n"/>
      <c r="O773" s="84" t="str">
        <f>IF($C773="","",IFERROR(MATCH($B773&amp;"|"&amp;$C773,MUROS!$AX$11:$AX$70,0),0))</f>
        <v/>
      </c>
      <c r="P773" s="84" t="str">
        <f>IF($D773="","",IF(ISNUMBER(MATCH($D773,CMB_S,0)),1,IF(ISNUMBER(MATCH($D773,CMB_G,0)),2,0)))</f>
        <v/>
      </c>
      <c r="Q773" s="84">
        <f>IF(ISNUMBER($H773),-$H773,0)</f>
        <v>0</v>
      </c>
      <c r="R773" s="84">
        <f>IF(ISNUMBER($I773),ABS($I773),0)</f>
        <v>0</v>
      </c>
      <c r="S773" s="84">
        <f>IF(ISNUMBER($M773),ABS($M773),0)</f>
        <v>0</v>
      </c>
      <c r="T773" s="85" t="n">
        <v>765</v>
      </c>
    </row>
    <row r="774">
      <c r="B774" s="83" t="n"/>
      <c r="C774" s="83" t="n"/>
      <c r="D774" s="83" t="n"/>
      <c r="E774" s="83" t="n"/>
      <c r="F774" s="83" t="n"/>
      <c r="G774" s="83" t="n"/>
      <c r="H774" s="83" t="n"/>
      <c r="I774" s="83" t="n"/>
      <c r="J774" s="83" t="n"/>
      <c r="K774" s="83" t="n"/>
      <c r="L774" s="83" t="n"/>
      <c r="M774" s="83" t="n"/>
      <c r="O774" s="84" t="str">
        <f>IF($C774="","",IFERROR(MATCH($B774&amp;"|"&amp;$C774,MUROS!$AX$11:$AX$70,0),0))</f>
        <v/>
      </c>
      <c r="P774" s="84" t="str">
        <f>IF($D774="","",IF(ISNUMBER(MATCH($D774,CMB_S,0)),1,IF(ISNUMBER(MATCH($D774,CMB_G,0)),2,0)))</f>
        <v/>
      </c>
      <c r="Q774" s="84">
        <f>IF(ISNUMBER($H774),-$H774,0)</f>
        <v>0</v>
      </c>
      <c r="R774" s="84">
        <f>IF(ISNUMBER($I774),ABS($I774),0)</f>
        <v>0</v>
      </c>
      <c r="S774" s="84">
        <f>IF(ISNUMBER($M774),ABS($M774),0)</f>
        <v>0</v>
      </c>
      <c r="T774" s="85" t="n">
        <v>766</v>
      </c>
    </row>
    <row r="775">
      <c r="B775" s="83" t="n"/>
      <c r="C775" s="83" t="n"/>
      <c r="D775" s="83" t="n"/>
      <c r="E775" s="83" t="n"/>
      <c r="F775" s="83" t="n"/>
      <c r="G775" s="83" t="n"/>
      <c r="H775" s="83" t="n"/>
      <c r="I775" s="83" t="n"/>
      <c r="J775" s="83" t="n"/>
      <c r="K775" s="83" t="n"/>
      <c r="L775" s="83" t="n"/>
      <c r="M775" s="83" t="n"/>
      <c r="O775" s="84" t="str">
        <f>IF($C775="","",IFERROR(MATCH($B775&amp;"|"&amp;$C775,MUROS!$AX$11:$AX$70,0),0))</f>
        <v/>
      </c>
      <c r="P775" s="84" t="str">
        <f>IF($D775="","",IF(ISNUMBER(MATCH($D775,CMB_S,0)),1,IF(ISNUMBER(MATCH($D775,CMB_G,0)),2,0)))</f>
        <v/>
      </c>
      <c r="Q775" s="84">
        <f>IF(ISNUMBER($H775),-$H775,0)</f>
        <v>0</v>
      </c>
      <c r="R775" s="84">
        <f>IF(ISNUMBER($I775),ABS($I775),0)</f>
        <v>0</v>
      </c>
      <c r="S775" s="84">
        <f>IF(ISNUMBER($M775),ABS($M775),0)</f>
        <v>0</v>
      </c>
      <c r="T775" s="85" t="n">
        <v>767</v>
      </c>
    </row>
    <row r="776">
      <c r="B776" s="83" t="n"/>
      <c r="C776" s="83" t="n"/>
      <c r="D776" s="83" t="n"/>
      <c r="E776" s="83" t="n"/>
      <c r="F776" s="83" t="n"/>
      <c r="G776" s="83" t="n"/>
      <c r="H776" s="83" t="n"/>
      <c r="I776" s="83" t="n"/>
      <c r="J776" s="83" t="n"/>
      <c r="K776" s="83" t="n"/>
      <c r="L776" s="83" t="n"/>
      <c r="M776" s="83" t="n"/>
      <c r="O776" s="84" t="str">
        <f>IF($C776="","",IFERROR(MATCH($B776&amp;"|"&amp;$C776,MUROS!$AX$11:$AX$70,0),0))</f>
        <v/>
      </c>
      <c r="P776" s="84" t="str">
        <f>IF($D776="","",IF(ISNUMBER(MATCH($D776,CMB_S,0)),1,IF(ISNUMBER(MATCH($D776,CMB_G,0)),2,0)))</f>
        <v/>
      </c>
      <c r="Q776" s="84">
        <f>IF(ISNUMBER($H776),-$H776,0)</f>
        <v>0</v>
      </c>
      <c r="R776" s="84">
        <f>IF(ISNUMBER($I776),ABS($I776),0)</f>
        <v>0</v>
      </c>
      <c r="S776" s="84">
        <f>IF(ISNUMBER($M776),ABS($M776),0)</f>
        <v>0</v>
      </c>
      <c r="T776" s="85" t="n">
        <v>768</v>
      </c>
    </row>
    <row r="777">
      <c r="B777" s="83" t="n"/>
      <c r="C777" s="83" t="n"/>
      <c r="D777" s="83" t="n"/>
      <c r="E777" s="83" t="n"/>
      <c r="F777" s="83" t="n"/>
      <c r="G777" s="83" t="n"/>
      <c r="H777" s="83" t="n"/>
      <c r="I777" s="83" t="n"/>
      <c r="J777" s="83" t="n"/>
      <c r="K777" s="83" t="n"/>
      <c r="L777" s="83" t="n"/>
      <c r="M777" s="83" t="n"/>
      <c r="O777" s="84" t="str">
        <f>IF($C777="","",IFERROR(MATCH($B777&amp;"|"&amp;$C777,MUROS!$AX$11:$AX$70,0),0))</f>
        <v/>
      </c>
      <c r="P777" s="84" t="str">
        <f>IF($D777="","",IF(ISNUMBER(MATCH($D777,CMB_S,0)),1,IF(ISNUMBER(MATCH($D777,CMB_G,0)),2,0)))</f>
        <v/>
      </c>
      <c r="Q777" s="84">
        <f>IF(ISNUMBER($H777),-$H777,0)</f>
        <v>0</v>
      </c>
      <c r="R777" s="84">
        <f>IF(ISNUMBER($I777),ABS($I777),0)</f>
        <v>0</v>
      </c>
      <c r="S777" s="84">
        <f>IF(ISNUMBER($M777),ABS($M777),0)</f>
        <v>0</v>
      </c>
      <c r="T777" s="85" t="n">
        <v>769</v>
      </c>
    </row>
    <row r="778">
      <c r="B778" s="83" t="n"/>
      <c r="C778" s="83" t="n"/>
      <c r="D778" s="83" t="n"/>
      <c r="E778" s="83" t="n"/>
      <c r="F778" s="83" t="n"/>
      <c r="G778" s="83" t="n"/>
      <c r="H778" s="83" t="n"/>
      <c r="I778" s="83" t="n"/>
      <c r="J778" s="83" t="n"/>
      <c r="K778" s="83" t="n"/>
      <c r="L778" s="83" t="n"/>
      <c r="M778" s="83" t="n"/>
      <c r="O778" s="84" t="str">
        <f>IF($C778="","",IFERROR(MATCH($B778&amp;"|"&amp;$C778,MUROS!$AX$11:$AX$70,0),0))</f>
        <v/>
      </c>
      <c r="P778" s="84" t="str">
        <f>IF($D778="","",IF(ISNUMBER(MATCH($D778,CMB_S,0)),1,IF(ISNUMBER(MATCH($D778,CMB_G,0)),2,0)))</f>
        <v/>
      </c>
      <c r="Q778" s="84">
        <f>IF(ISNUMBER($H778),-$H778,0)</f>
        <v>0</v>
      </c>
      <c r="R778" s="84">
        <f>IF(ISNUMBER($I778),ABS($I778),0)</f>
        <v>0</v>
      </c>
      <c r="S778" s="84">
        <f>IF(ISNUMBER($M778),ABS($M778),0)</f>
        <v>0</v>
      </c>
      <c r="T778" s="85" t="n">
        <v>770</v>
      </c>
    </row>
    <row r="779">
      <c r="B779" s="83" t="n"/>
      <c r="C779" s="83" t="n"/>
      <c r="D779" s="83" t="n"/>
      <c r="E779" s="83" t="n"/>
      <c r="F779" s="83" t="n"/>
      <c r="G779" s="83" t="n"/>
      <c r="H779" s="83" t="n"/>
      <c r="I779" s="83" t="n"/>
      <c r="J779" s="83" t="n"/>
      <c r="K779" s="83" t="n"/>
      <c r="L779" s="83" t="n"/>
      <c r="M779" s="83" t="n"/>
      <c r="O779" s="84" t="str">
        <f>IF($C779="","",IFERROR(MATCH($B779&amp;"|"&amp;$C779,MUROS!$AX$11:$AX$70,0),0))</f>
        <v/>
      </c>
      <c r="P779" s="84" t="str">
        <f>IF($D779="","",IF(ISNUMBER(MATCH($D779,CMB_S,0)),1,IF(ISNUMBER(MATCH($D779,CMB_G,0)),2,0)))</f>
        <v/>
      </c>
      <c r="Q779" s="84">
        <f>IF(ISNUMBER($H779),-$H779,0)</f>
        <v>0</v>
      </c>
      <c r="R779" s="84">
        <f>IF(ISNUMBER($I779),ABS($I779),0)</f>
        <v>0</v>
      </c>
      <c r="S779" s="84">
        <f>IF(ISNUMBER($M779),ABS($M779),0)</f>
        <v>0</v>
      </c>
      <c r="T779" s="85" t="n">
        <v>771</v>
      </c>
    </row>
    <row r="780">
      <c r="B780" s="83" t="n"/>
      <c r="C780" s="83" t="n"/>
      <c r="D780" s="83" t="n"/>
      <c r="E780" s="83" t="n"/>
      <c r="F780" s="83" t="n"/>
      <c r="G780" s="83" t="n"/>
      <c r="H780" s="83" t="n"/>
      <c r="I780" s="83" t="n"/>
      <c r="J780" s="83" t="n"/>
      <c r="K780" s="83" t="n"/>
      <c r="L780" s="83" t="n"/>
      <c r="M780" s="83" t="n"/>
      <c r="O780" s="84" t="str">
        <f>IF($C780="","",IFERROR(MATCH($B780&amp;"|"&amp;$C780,MUROS!$AX$11:$AX$70,0),0))</f>
        <v/>
      </c>
      <c r="P780" s="84" t="str">
        <f>IF($D780="","",IF(ISNUMBER(MATCH($D780,CMB_S,0)),1,IF(ISNUMBER(MATCH($D780,CMB_G,0)),2,0)))</f>
        <v/>
      </c>
      <c r="Q780" s="84">
        <f>IF(ISNUMBER($H780),-$H780,0)</f>
        <v>0</v>
      </c>
      <c r="R780" s="84">
        <f>IF(ISNUMBER($I780),ABS($I780),0)</f>
        <v>0</v>
      </c>
      <c r="S780" s="84">
        <f>IF(ISNUMBER($M780),ABS($M780),0)</f>
        <v>0</v>
      </c>
      <c r="T780" s="85" t="n">
        <v>772</v>
      </c>
    </row>
    <row r="781">
      <c r="B781" s="83" t="n"/>
      <c r="C781" s="83" t="n"/>
      <c r="D781" s="83" t="n"/>
      <c r="E781" s="83" t="n"/>
      <c r="F781" s="83" t="n"/>
      <c r="G781" s="83" t="n"/>
      <c r="H781" s="83" t="n"/>
      <c r="I781" s="83" t="n"/>
      <c r="J781" s="83" t="n"/>
      <c r="K781" s="83" t="n"/>
      <c r="L781" s="83" t="n"/>
      <c r="M781" s="83" t="n"/>
      <c r="O781" s="84" t="str">
        <f>IF($C781="","",IFERROR(MATCH($B781&amp;"|"&amp;$C781,MUROS!$AX$11:$AX$70,0),0))</f>
        <v/>
      </c>
      <c r="P781" s="84" t="str">
        <f>IF($D781="","",IF(ISNUMBER(MATCH($D781,CMB_S,0)),1,IF(ISNUMBER(MATCH($D781,CMB_G,0)),2,0)))</f>
        <v/>
      </c>
      <c r="Q781" s="84">
        <f>IF(ISNUMBER($H781),-$H781,0)</f>
        <v>0</v>
      </c>
      <c r="R781" s="84">
        <f>IF(ISNUMBER($I781),ABS($I781),0)</f>
        <v>0</v>
      </c>
      <c r="S781" s="84">
        <f>IF(ISNUMBER($M781),ABS($M781),0)</f>
        <v>0</v>
      </c>
      <c r="T781" s="85" t="n">
        <v>773</v>
      </c>
    </row>
    <row r="782">
      <c r="B782" s="83" t="n"/>
      <c r="C782" s="83" t="n"/>
      <c r="D782" s="83" t="n"/>
      <c r="E782" s="83" t="n"/>
      <c r="F782" s="83" t="n"/>
      <c r="G782" s="83" t="n"/>
      <c r="H782" s="83" t="n"/>
      <c r="I782" s="83" t="n"/>
      <c r="J782" s="83" t="n"/>
      <c r="K782" s="83" t="n"/>
      <c r="L782" s="83" t="n"/>
      <c r="M782" s="83" t="n"/>
      <c r="O782" s="84" t="str">
        <f>IF($C782="","",IFERROR(MATCH($B782&amp;"|"&amp;$C782,MUROS!$AX$11:$AX$70,0),0))</f>
        <v/>
      </c>
      <c r="P782" s="84" t="str">
        <f>IF($D782="","",IF(ISNUMBER(MATCH($D782,CMB_S,0)),1,IF(ISNUMBER(MATCH($D782,CMB_G,0)),2,0)))</f>
        <v/>
      </c>
      <c r="Q782" s="84">
        <f>IF(ISNUMBER($H782),-$H782,0)</f>
        <v>0</v>
      </c>
      <c r="R782" s="84">
        <f>IF(ISNUMBER($I782),ABS($I782),0)</f>
        <v>0</v>
      </c>
      <c r="S782" s="84">
        <f>IF(ISNUMBER($M782),ABS($M782),0)</f>
        <v>0</v>
      </c>
      <c r="T782" s="85" t="n">
        <v>774</v>
      </c>
    </row>
    <row r="783">
      <c r="B783" s="83" t="n"/>
      <c r="C783" s="83" t="n"/>
      <c r="D783" s="83" t="n"/>
      <c r="E783" s="83" t="n"/>
      <c r="F783" s="83" t="n"/>
      <c r="G783" s="83" t="n"/>
      <c r="H783" s="83" t="n"/>
      <c r="I783" s="83" t="n"/>
      <c r="J783" s="83" t="n"/>
      <c r="K783" s="83" t="n"/>
      <c r="L783" s="83" t="n"/>
      <c r="M783" s="83" t="n"/>
      <c r="O783" s="84" t="str">
        <f>IF($C783="","",IFERROR(MATCH($B783&amp;"|"&amp;$C783,MUROS!$AX$11:$AX$70,0),0))</f>
        <v/>
      </c>
      <c r="P783" s="84" t="str">
        <f>IF($D783="","",IF(ISNUMBER(MATCH($D783,CMB_S,0)),1,IF(ISNUMBER(MATCH($D783,CMB_G,0)),2,0)))</f>
        <v/>
      </c>
      <c r="Q783" s="84">
        <f>IF(ISNUMBER($H783),-$H783,0)</f>
        <v>0</v>
      </c>
      <c r="R783" s="84">
        <f>IF(ISNUMBER($I783),ABS($I783),0)</f>
        <v>0</v>
      </c>
      <c r="S783" s="84">
        <f>IF(ISNUMBER($M783),ABS($M783),0)</f>
        <v>0</v>
      </c>
      <c r="T783" s="85" t="n">
        <v>775</v>
      </c>
    </row>
    <row r="784">
      <c r="B784" s="83" t="n"/>
      <c r="C784" s="83" t="n"/>
      <c r="D784" s="83" t="n"/>
      <c r="E784" s="83" t="n"/>
      <c r="F784" s="83" t="n"/>
      <c r="G784" s="83" t="n"/>
      <c r="H784" s="83" t="n"/>
      <c r="I784" s="83" t="n"/>
      <c r="J784" s="83" t="n"/>
      <c r="K784" s="83" t="n"/>
      <c r="L784" s="83" t="n"/>
      <c r="M784" s="83" t="n"/>
      <c r="O784" s="84" t="str">
        <f>IF($C784="","",IFERROR(MATCH($B784&amp;"|"&amp;$C784,MUROS!$AX$11:$AX$70,0),0))</f>
        <v/>
      </c>
      <c r="P784" s="84" t="str">
        <f>IF($D784="","",IF(ISNUMBER(MATCH($D784,CMB_S,0)),1,IF(ISNUMBER(MATCH($D784,CMB_G,0)),2,0)))</f>
        <v/>
      </c>
      <c r="Q784" s="84">
        <f>IF(ISNUMBER($H784),-$H784,0)</f>
        <v>0</v>
      </c>
      <c r="R784" s="84">
        <f>IF(ISNUMBER($I784),ABS($I784),0)</f>
        <v>0</v>
      </c>
      <c r="S784" s="84">
        <f>IF(ISNUMBER($M784),ABS($M784),0)</f>
        <v>0</v>
      </c>
      <c r="T784" s="85" t="n">
        <v>776</v>
      </c>
    </row>
    <row r="785">
      <c r="B785" s="83" t="n"/>
      <c r="C785" s="83" t="n"/>
      <c r="D785" s="83" t="n"/>
      <c r="E785" s="83" t="n"/>
      <c r="F785" s="83" t="n"/>
      <c r="G785" s="83" t="n"/>
      <c r="H785" s="83" t="n"/>
      <c r="I785" s="83" t="n"/>
      <c r="J785" s="83" t="n"/>
      <c r="K785" s="83" t="n"/>
      <c r="L785" s="83" t="n"/>
      <c r="M785" s="83" t="n"/>
      <c r="O785" s="84" t="str">
        <f>IF($C785="","",IFERROR(MATCH($B785&amp;"|"&amp;$C785,MUROS!$AX$11:$AX$70,0),0))</f>
        <v/>
      </c>
      <c r="P785" s="84" t="str">
        <f>IF($D785="","",IF(ISNUMBER(MATCH($D785,CMB_S,0)),1,IF(ISNUMBER(MATCH($D785,CMB_G,0)),2,0)))</f>
        <v/>
      </c>
      <c r="Q785" s="84">
        <f>IF(ISNUMBER($H785),-$H785,0)</f>
        <v>0</v>
      </c>
      <c r="R785" s="84">
        <f>IF(ISNUMBER($I785),ABS($I785),0)</f>
        <v>0</v>
      </c>
      <c r="S785" s="84">
        <f>IF(ISNUMBER($M785),ABS($M785),0)</f>
        <v>0</v>
      </c>
      <c r="T785" s="85" t="n">
        <v>777</v>
      </c>
    </row>
    <row r="786">
      <c r="B786" s="83" t="n"/>
      <c r="C786" s="83" t="n"/>
      <c r="D786" s="83" t="n"/>
      <c r="E786" s="83" t="n"/>
      <c r="F786" s="83" t="n"/>
      <c r="G786" s="83" t="n"/>
      <c r="H786" s="83" t="n"/>
      <c r="I786" s="83" t="n"/>
      <c r="J786" s="83" t="n"/>
      <c r="K786" s="83" t="n"/>
      <c r="L786" s="83" t="n"/>
      <c r="M786" s="83" t="n"/>
      <c r="O786" s="84" t="str">
        <f>IF($C786="","",IFERROR(MATCH($B786&amp;"|"&amp;$C786,MUROS!$AX$11:$AX$70,0),0))</f>
        <v/>
      </c>
      <c r="P786" s="84" t="str">
        <f>IF($D786="","",IF(ISNUMBER(MATCH($D786,CMB_S,0)),1,IF(ISNUMBER(MATCH($D786,CMB_G,0)),2,0)))</f>
        <v/>
      </c>
      <c r="Q786" s="84">
        <f>IF(ISNUMBER($H786),-$H786,0)</f>
        <v>0</v>
      </c>
      <c r="R786" s="84">
        <f>IF(ISNUMBER($I786),ABS($I786),0)</f>
        <v>0</v>
      </c>
      <c r="S786" s="84">
        <f>IF(ISNUMBER($M786),ABS($M786),0)</f>
        <v>0</v>
      </c>
      <c r="T786" s="85" t="n">
        <v>778</v>
      </c>
    </row>
    <row r="787">
      <c r="B787" s="83" t="n"/>
      <c r="C787" s="83" t="n"/>
      <c r="D787" s="83" t="n"/>
      <c r="E787" s="83" t="n"/>
      <c r="F787" s="83" t="n"/>
      <c r="G787" s="83" t="n"/>
      <c r="H787" s="83" t="n"/>
      <c r="I787" s="83" t="n"/>
      <c r="J787" s="83" t="n"/>
      <c r="K787" s="83" t="n"/>
      <c r="L787" s="83" t="n"/>
      <c r="M787" s="83" t="n"/>
      <c r="O787" s="84" t="str">
        <f>IF($C787="","",IFERROR(MATCH($B787&amp;"|"&amp;$C787,MUROS!$AX$11:$AX$70,0),0))</f>
        <v/>
      </c>
      <c r="P787" s="84" t="str">
        <f>IF($D787="","",IF(ISNUMBER(MATCH($D787,CMB_S,0)),1,IF(ISNUMBER(MATCH($D787,CMB_G,0)),2,0)))</f>
        <v/>
      </c>
      <c r="Q787" s="84">
        <f>IF(ISNUMBER($H787),-$H787,0)</f>
        <v>0</v>
      </c>
      <c r="R787" s="84">
        <f>IF(ISNUMBER($I787),ABS($I787),0)</f>
        <v>0</v>
      </c>
      <c r="S787" s="84">
        <f>IF(ISNUMBER($M787),ABS($M787),0)</f>
        <v>0</v>
      </c>
      <c r="T787" s="85" t="n">
        <v>779</v>
      </c>
    </row>
    <row r="788">
      <c r="B788" s="83" t="n"/>
      <c r="C788" s="83" t="n"/>
      <c r="D788" s="83" t="n"/>
      <c r="E788" s="83" t="n"/>
      <c r="F788" s="83" t="n"/>
      <c r="G788" s="83" t="n"/>
      <c r="H788" s="83" t="n"/>
      <c r="I788" s="83" t="n"/>
      <c r="J788" s="83" t="n"/>
      <c r="K788" s="83" t="n"/>
      <c r="L788" s="83" t="n"/>
      <c r="M788" s="83" t="n"/>
      <c r="O788" s="84" t="str">
        <f>IF($C788="","",IFERROR(MATCH($B788&amp;"|"&amp;$C788,MUROS!$AX$11:$AX$70,0),0))</f>
        <v/>
      </c>
      <c r="P788" s="84" t="str">
        <f>IF($D788="","",IF(ISNUMBER(MATCH($D788,CMB_S,0)),1,IF(ISNUMBER(MATCH($D788,CMB_G,0)),2,0)))</f>
        <v/>
      </c>
      <c r="Q788" s="84">
        <f>IF(ISNUMBER($H788),-$H788,0)</f>
        <v>0</v>
      </c>
      <c r="R788" s="84">
        <f>IF(ISNUMBER($I788),ABS($I788),0)</f>
        <v>0</v>
      </c>
      <c r="S788" s="84">
        <f>IF(ISNUMBER($M788),ABS($M788),0)</f>
        <v>0</v>
      </c>
      <c r="T788" s="85" t="n">
        <v>780</v>
      </c>
    </row>
    <row r="789"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3" t="n"/>
      <c r="K789" s="83" t="n"/>
      <c r="L789" s="83" t="n"/>
      <c r="M789" s="83" t="n"/>
      <c r="O789" s="84" t="str">
        <f>IF($C789="","",IFERROR(MATCH($B789&amp;"|"&amp;$C789,MUROS!$AX$11:$AX$70,0),0))</f>
        <v/>
      </c>
      <c r="P789" s="84" t="str">
        <f>IF($D789="","",IF(ISNUMBER(MATCH($D789,CMB_S,0)),1,IF(ISNUMBER(MATCH($D789,CMB_G,0)),2,0)))</f>
        <v/>
      </c>
      <c r="Q789" s="84">
        <f>IF(ISNUMBER($H789),-$H789,0)</f>
        <v>0</v>
      </c>
      <c r="R789" s="84">
        <f>IF(ISNUMBER($I789),ABS($I789),0)</f>
        <v>0</v>
      </c>
      <c r="S789" s="84">
        <f>IF(ISNUMBER($M789),ABS($M789),0)</f>
        <v>0</v>
      </c>
      <c r="T789" s="85" t="n">
        <v>781</v>
      </c>
    </row>
    <row r="790"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83" t="n"/>
      <c r="K790" s="83" t="n"/>
      <c r="L790" s="83" t="n"/>
      <c r="M790" s="83" t="n"/>
      <c r="O790" s="84" t="str">
        <f>IF($C790="","",IFERROR(MATCH($B790&amp;"|"&amp;$C790,MUROS!$AX$11:$AX$70,0),0))</f>
        <v/>
      </c>
      <c r="P790" s="84" t="str">
        <f>IF($D790="","",IF(ISNUMBER(MATCH($D790,CMB_S,0)),1,IF(ISNUMBER(MATCH($D790,CMB_G,0)),2,0)))</f>
        <v/>
      </c>
      <c r="Q790" s="84">
        <f>IF(ISNUMBER($H790),-$H790,0)</f>
        <v>0</v>
      </c>
      <c r="R790" s="84">
        <f>IF(ISNUMBER($I790),ABS($I790),0)</f>
        <v>0</v>
      </c>
      <c r="S790" s="84">
        <f>IF(ISNUMBER($M790),ABS($M790),0)</f>
        <v>0</v>
      </c>
      <c r="T790" s="85" t="n">
        <v>782</v>
      </c>
    </row>
    <row r="791"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83" t="n"/>
      <c r="K791" s="83" t="n"/>
      <c r="L791" s="83" t="n"/>
      <c r="M791" s="83" t="n"/>
      <c r="O791" s="84" t="str">
        <f>IF($C791="","",IFERROR(MATCH($B791&amp;"|"&amp;$C791,MUROS!$AX$11:$AX$70,0),0))</f>
        <v/>
      </c>
      <c r="P791" s="84" t="str">
        <f>IF($D791="","",IF(ISNUMBER(MATCH($D791,CMB_S,0)),1,IF(ISNUMBER(MATCH($D791,CMB_G,0)),2,0)))</f>
        <v/>
      </c>
      <c r="Q791" s="84">
        <f>IF(ISNUMBER($H791),-$H791,0)</f>
        <v>0</v>
      </c>
      <c r="R791" s="84">
        <f>IF(ISNUMBER($I791),ABS($I791),0)</f>
        <v>0</v>
      </c>
      <c r="S791" s="84">
        <f>IF(ISNUMBER($M791),ABS($M791),0)</f>
        <v>0</v>
      </c>
      <c r="T791" s="85" t="n">
        <v>783</v>
      </c>
    </row>
    <row r="792"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83" t="n"/>
      <c r="K792" s="83" t="n"/>
      <c r="L792" s="83" t="n"/>
      <c r="M792" s="83" t="n"/>
      <c r="O792" s="84" t="str">
        <f>IF($C792="","",IFERROR(MATCH($B792&amp;"|"&amp;$C792,MUROS!$AX$11:$AX$70,0),0))</f>
        <v/>
      </c>
      <c r="P792" s="84" t="str">
        <f>IF($D792="","",IF(ISNUMBER(MATCH($D792,CMB_S,0)),1,IF(ISNUMBER(MATCH($D792,CMB_G,0)),2,0)))</f>
        <v/>
      </c>
      <c r="Q792" s="84">
        <f>IF(ISNUMBER($H792),-$H792,0)</f>
        <v>0</v>
      </c>
      <c r="R792" s="84">
        <f>IF(ISNUMBER($I792),ABS($I792),0)</f>
        <v>0</v>
      </c>
      <c r="S792" s="84">
        <f>IF(ISNUMBER($M792),ABS($M792),0)</f>
        <v>0</v>
      </c>
      <c r="T792" s="85" t="n">
        <v>784</v>
      </c>
    </row>
    <row r="793"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83" t="n"/>
      <c r="K793" s="83" t="n"/>
      <c r="L793" s="83" t="n"/>
      <c r="M793" s="83" t="n"/>
      <c r="O793" s="84" t="str">
        <f>IF($C793="","",IFERROR(MATCH($B793&amp;"|"&amp;$C793,MUROS!$AX$11:$AX$70,0),0))</f>
        <v/>
      </c>
      <c r="P793" s="84" t="str">
        <f>IF($D793="","",IF(ISNUMBER(MATCH($D793,CMB_S,0)),1,IF(ISNUMBER(MATCH($D793,CMB_G,0)),2,0)))</f>
        <v/>
      </c>
      <c r="Q793" s="84">
        <f>IF(ISNUMBER($H793),-$H793,0)</f>
        <v>0</v>
      </c>
      <c r="R793" s="84">
        <f>IF(ISNUMBER($I793),ABS($I793),0)</f>
        <v>0</v>
      </c>
      <c r="S793" s="84">
        <f>IF(ISNUMBER($M793),ABS($M793),0)</f>
        <v>0</v>
      </c>
      <c r="T793" s="85" t="n">
        <v>785</v>
      </c>
    </row>
    <row r="794"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83" t="n"/>
      <c r="K794" s="83" t="n"/>
      <c r="L794" s="83" t="n"/>
      <c r="M794" s="83" t="n"/>
      <c r="O794" s="84" t="str">
        <f>IF($C794="","",IFERROR(MATCH($B794&amp;"|"&amp;$C794,MUROS!$AX$11:$AX$70,0),0))</f>
        <v/>
      </c>
      <c r="P794" s="84" t="str">
        <f>IF($D794="","",IF(ISNUMBER(MATCH($D794,CMB_S,0)),1,IF(ISNUMBER(MATCH($D794,CMB_G,0)),2,0)))</f>
        <v/>
      </c>
      <c r="Q794" s="84">
        <f>IF(ISNUMBER($H794),-$H794,0)</f>
        <v>0</v>
      </c>
      <c r="R794" s="84">
        <f>IF(ISNUMBER($I794),ABS($I794),0)</f>
        <v>0</v>
      </c>
      <c r="S794" s="84">
        <f>IF(ISNUMBER($M794),ABS($M794),0)</f>
        <v>0</v>
      </c>
      <c r="T794" s="85" t="n">
        <v>786</v>
      </c>
    </row>
    <row r="795"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83" t="n"/>
      <c r="K795" s="83" t="n"/>
      <c r="L795" s="83" t="n"/>
      <c r="M795" s="83" t="n"/>
      <c r="O795" s="84" t="str">
        <f>IF($C795="","",IFERROR(MATCH($B795&amp;"|"&amp;$C795,MUROS!$AX$11:$AX$70,0),0))</f>
        <v/>
      </c>
      <c r="P795" s="84" t="str">
        <f>IF($D795="","",IF(ISNUMBER(MATCH($D795,CMB_S,0)),1,IF(ISNUMBER(MATCH($D795,CMB_G,0)),2,0)))</f>
        <v/>
      </c>
      <c r="Q795" s="84">
        <f>IF(ISNUMBER($H795),-$H795,0)</f>
        <v>0</v>
      </c>
      <c r="R795" s="84">
        <f>IF(ISNUMBER($I795),ABS($I795),0)</f>
        <v>0</v>
      </c>
      <c r="S795" s="84">
        <f>IF(ISNUMBER($M795),ABS($M795),0)</f>
        <v>0</v>
      </c>
      <c r="T795" s="85" t="n">
        <v>787</v>
      </c>
    </row>
    <row r="796"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83" t="n"/>
      <c r="K796" s="83" t="n"/>
      <c r="L796" s="83" t="n"/>
      <c r="M796" s="83" t="n"/>
      <c r="O796" s="84" t="str">
        <f>IF($C796="","",IFERROR(MATCH($B796&amp;"|"&amp;$C796,MUROS!$AX$11:$AX$70,0),0))</f>
        <v/>
      </c>
      <c r="P796" s="84" t="str">
        <f>IF($D796="","",IF(ISNUMBER(MATCH($D796,CMB_S,0)),1,IF(ISNUMBER(MATCH($D796,CMB_G,0)),2,0)))</f>
        <v/>
      </c>
      <c r="Q796" s="84">
        <f>IF(ISNUMBER($H796),-$H796,0)</f>
        <v>0</v>
      </c>
      <c r="R796" s="84">
        <f>IF(ISNUMBER($I796),ABS($I796),0)</f>
        <v>0</v>
      </c>
      <c r="S796" s="84">
        <f>IF(ISNUMBER($M796),ABS($M796),0)</f>
        <v>0</v>
      </c>
      <c r="T796" s="85" t="n">
        <v>788</v>
      </c>
    </row>
    <row r="797"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83" t="n"/>
      <c r="K797" s="83" t="n"/>
      <c r="L797" s="83" t="n"/>
      <c r="M797" s="83" t="n"/>
      <c r="O797" s="84" t="str">
        <f>IF($C797="","",IFERROR(MATCH($B797&amp;"|"&amp;$C797,MUROS!$AX$11:$AX$70,0),0))</f>
        <v/>
      </c>
      <c r="P797" s="84" t="str">
        <f>IF($D797="","",IF(ISNUMBER(MATCH($D797,CMB_S,0)),1,IF(ISNUMBER(MATCH($D797,CMB_G,0)),2,0)))</f>
        <v/>
      </c>
      <c r="Q797" s="84">
        <f>IF(ISNUMBER($H797),-$H797,0)</f>
        <v>0</v>
      </c>
      <c r="R797" s="84">
        <f>IF(ISNUMBER($I797),ABS($I797),0)</f>
        <v>0</v>
      </c>
      <c r="S797" s="84">
        <f>IF(ISNUMBER($M797),ABS($M797),0)</f>
        <v>0</v>
      </c>
      <c r="T797" s="85" t="n">
        <v>789</v>
      </c>
    </row>
    <row r="798"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83" t="n"/>
      <c r="K798" s="83" t="n"/>
      <c r="L798" s="83" t="n"/>
      <c r="M798" s="83" t="n"/>
      <c r="O798" s="84" t="str">
        <f>IF($C798="","",IFERROR(MATCH($B798&amp;"|"&amp;$C798,MUROS!$AX$11:$AX$70,0),0))</f>
        <v/>
      </c>
      <c r="P798" s="84" t="str">
        <f>IF($D798="","",IF(ISNUMBER(MATCH($D798,CMB_S,0)),1,IF(ISNUMBER(MATCH($D798,CMB_G,0)),2,0)))</f>
        <v/>
      </c>
      <c r="Q798" s="84">
        <f>IF(ISNUMBER($H798),-$H798,0)</f>
        <v>0</v>
      </c>
      <c r="R798" s="84">
        <f>IF(ISNUMBER($I798),ABS($I798),0)</f>
        <v>0</v>
      </c>
      <c r="S798" s="84">
        <f>IF(ISNUMBER($M798),ABS($M798),0)</f>
        <v>0</v>
      </c>
      <c r="T798" s="85" t="n">
        <v>790</v>
      </c>
    </row>
    <row r="799"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83" t="n"/>
      <c r="K799" s="83" t="n"/>
      <c r="L799" s="83" t="n"/>
      <c r="M799" s="83" t="n"/>
      <c r="O799" s="84" t="str">
        <f>IF($C799="","",IFERROR(MATCH($B799&amp;"|"&amp;$C799,MUROS!$AX$11:$AX$70,0),0))</f>
        <v/>
      </c>
      <c r="P799" s="84" t="str">
        <f>IF($D799="","",IF(ISNUMBER(MATCH($D799,CMB_S,0)),1,IF(ISNUMBER(MATCH($D799,CMB_G,0)),2,0)))</f>
        <v/>
      </c>
      <c r="Q799" s="84">
        <f>IF(ISNUMBER($H799),-$H799,0)</f>
        <v>0</v>
      </c>
      <c r="R799" s="84">
        <f>IF(ISNUMBER($I799),ABS($I799),0)</f>
        <v>0</v>
      </c>
      <c r="S799" s="84">
        <f>IF(ISNUMBER($M799),ABS($M799),0)</f>
        <v>0</v>
      </c>
      <c r="T799" s="85" t="n">
        <v>791</v>
      </c>
    </row>
    <row r="800"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83" t="n"/>
      <c r="K800" s="83" t="n"/>
      <c r="L800" s="83" t="n"/>
      <c r="M800" s="83" t="n"/>
      <c r="O800" s="84" t="str">
        <f>IF($C800="","",IFERROR(MATCH($B800&amp;"|"&amp;$C800,MUROS!$AX$11:$AX$70,0),0))</f>
        <v/>
      </c>
      <c r="P800" s="84" t="str">
        <f>IF($D800="","",IF(ISNUMBER(MATCH($D800,CMB_S,0)),1,IF(ISNUMBER(MATCH($D800,CMB_G,0)),2,0)))</f>
        <v/>
      </c>
      <c r="Q800" s="84">
        <f>IF(ISNUMBER($H800),-$H800,0)</f>
        <v>0</v>
      </c>
      <c r="R800" s="84">
        <f>IF(ISNUMBER($I800),ABS($I800),0)</f>
        <v>0</v>
      </c>
      <c r="S800" s="84">
        <f>IF(ISNUMBER($M800),ABS($M800),0)</f>
        <v>0</v>
      </c>
      <c r="T800" s="85" t="n">
        <v>792</v>
      </c>
    </row>
    <row r="801"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83" t="n"/>
      <c r="K801" s="83" t="n"/>
      <c r="L801" s="83" t="n"/>
      <c r="M801" s="83" t="n"/>
      <c r="O801" s="84" t="str">
        <f>IF($C801="","",IFERROR(MATCH($B801&amp;"|"&amp;$C801,MUROS!$AX$11:$AX$70,0),0))</f>
        <v/>
      </c>
      <c r="P801" s="84" t="str">
        <f>IF($D801="","",IF(ISNUMBER(MATCH($D801,CMB_S,0)),1,IF(ISNUMBER(MATCH($D801,CMB_G,0)),2,0)))</f>
        <v/>
      </c>
      <c r="Q801" s="84">
        <f>IF(ISNUMBER($H801),-$H801,0)</f>
        <v>0</v>
      </c>
      <c r="R801" s="84">
        <f>IF(ISNUMBER($I801),ABS($I801),0)</f>
        <v>0</v>
      </c>
      <c r="S801" s="84">
        <f>IF(ISNUMBER($M801),ABS($M801),0)</f>
        <v>0</v>
      </c>
      <c r="T801" s="85" t="n">
        <v>793</v>
      </c>
    </row>
    <row r="802"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83" t="n"/>
      <c r="K802" s="83" t="n"/>
      <c r="L802" s="83" t="n"/>
      <c r="M802" s="83" t="n"/>
      <c r="O802" s="84" t="str">
        <f>IF($C802="","",IFERROR(MATCH($B802&amp;"|"&amp;$C802,MUROS!$AX$11:$AX$70,0),0))</f>
        <v/>
      </c>
      <c r="P802" s="84" t="str">
        <f>IF($D802="","",IF(ISNUMBER(MATCH($D802,CMB_S,0)),1,IF(ISNUMBER(MATCH($D802,CMB_G,0)),2,0)))</f>
        <v/>
      </c>
      <c r="Q802" s="84">
        <f>IF(ISNUMBER($H802),-$H802,0)</f>
        <v>0</v>
      </c>
      <c r="R802" s="84">
        <f>IF(ISNUMBER($I802),ABS($I802),0)</f>
        <v>0</v>
      </c>
      <c r="S802" s="84">
        <f>IF(ISNUMBER($M802),ABS($M802),0)</f>
        <v>0</v>
      </c>
      <c r="T802" s="85" t="n">
        <v>794</v>
      </c>
    </row>
    <row r="803"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83" t="n"/>
      <c r="K803" s="83" t="n"/>
      <c r="L803" s="83" t="n"/>
      <c r="M803" s="83" t="n"/>
      <c r="O803" s="84" t="str">
        <f>IF($C803="","",IFERROR(MATCH($B803&amp;"|"&amp;$C803,MUROS!$AX$11:$AX$70,0),0))</f>
        <v/>
      </c>
      <c r="P803" s="84" t="str">
        <f>IF($D803="","",IF(ISNUMBER(MATCH($D803,CMB_S,0)),1,IF(ISNUMBER(MATCH($D803,CMB_G,0)),2,0)))</f>
        <v/>
      </c>
      <c r="Q803" s="84">
        <f>IF(ISNUMBER($H803),-$H803,0)</f>
        <v>0</v>
      </c>
      <c r="R803" s="84">
        <f>IF(ISNUMBER($I803),ABS($I803),0)</f>
        <v>0</v>
      </c>
      <c r="S803" s="84">
        <f>IF(ISNUMBER($M803),ABS($M803),0)</f>
        <v>0</v>
      </c>
      <c r="T803" s="85" t="n">
        <v>795</v>
      </c>
    </row>
    <row r="804"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83" t="n"/>
      <c r="K804" s="83" t="n"/>
      <c r="L804" s="83" t="n"/>
      <c r="M804" s="83" t="n"/>
      <c r="O804" s="84" t="str">
        <f>IF($C804="","",IFERROR(MATCH($B804&amp;"|"&amp;$C804,MUROS!$AX$11:$AX$70,0),0))</f>
        <v/>
      </c>
      <c r="P804" s="84" t="str">
        <f>IF($D804="","",IF(ISNUMBER(MATCH($D804,CMB_S,0)),1,IF(ISNUMBER(MATCH($D804,CMB_G,0)),2,0)))</f>
        <v/>
      </c>
      <c r="Q804" s="84">
        <f>IF(ISNUMBER($H804),-$H804,0)</f>
        <v>0</v>
      </c>
      <c r="R804" s="84">
        <f>IF(ISNUMBER($I804),ABS($I804),0)</f>
        <v>0</v>
      </c>
      <c r="S804" s="84">
        <f>IF(ISNUMBER($M804),ABS($M804),0)</f>
        <v>0</v>
      </c>
      <c r="T804" s="85" t="n">
        <v>796</v>
      </c>
    </row>
    <row r="805"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3" t="n"/>
      <c r="K805" s="83" t="n"/>
      <c r="L805" s="83" t="n"/>
      <c r="M805" s="83" t="n"/>
      <c r="O805" s="84" t="str">
        <f>IF($C805="","",IFERROR(MATCH($B805&amp;"|"&amp;$C805,MUROS!$AX$11:$AX$70,0),0))</f>
        <v/>
      </c>
      <c r="P805" s="84" t="str">
        <f>IF($D805="","",IF(ISNUMBER(MATCH($D805,CMB_S,0)),1,IF(ISNUMBER(MATCH($D805,CMB_G,0)),2,0)))</f>
        <v/>
      </c>
      <c r="Q805" s="84">
        <f>IF(ISNUMBER($H805),-$H805,0)</f>
        <v>0</v>
      </c>
      <c r="R805" s="84">
        <f>IF(ISNUMBER($I805),ABS($I805),0)</f>
        <v>0</v>
      </c>
      <c r="S805" s="84">
        <f>IF(ISNUMBER($M805),ABS($M805),0)</f>
        <v>0</v>
      </c>
      <c r="T805" s="85" t="n">
        <v>797</v>
      </c>
    </row>
    <row r="806"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83" t="n"/>
      <c r="K806" s="83" t="n"/>
      <c r="L806" s="83" t="n"/>
      <c r="M806" s="83" t="n"/>
      <c r="O806" s="84" t="str">
        <f>IF($C806="","",IFERROR(MATCH($B806&amp;"|"&amp;$C806,MUROS!$AX$11:$AX$70,0),0))</f>
        <v/>
      </c>
      <c r="P806" s="84" t="str">
        <f>IF($D806="","",IF(ISNUMBER(MATCH($D806,CMB_S,0)),1,IF(ISNUMBER(MATCH($D806,CMB_G,0)),2,0)))</f>
        <v/>
      </c>
      <c r="Q806" s="84">
        <f>IF(ISNUMBER($H806),-$H806,0)</f>
        <v>0</v>
      </c>
      <c r="R806" s="84">
        <f>IF(ISNUMBER($I806),ABS($I806),0)</f>
        <v>0</v>
      </c>
      <c r="S806" s="84">
        <f>IF(ISNUMBER($M806),ABS($M806),0)</f>
        <v>0</v>
      </c>
      <c r="T806" s="85" t="n">
        <v>798</v>
      </c>
    </row>
    <row r="807"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83" t="n"/>
      <c r="K807" s="83" t="n"/>
      <c r="L807" s="83" t="n"/>
      <c r="M807" s="83" t="n"/>
      <c r="O807" s="84" t="str">
        <f>IF($C807="","",IFERROR(MATCH($B807&amp;"|"&amp;$C807,MUROS!$AX$11:$AX$70,0),0))</f>
        <v/>
      </c>
      <c r="P807" s="84" t="str">
        <f>IF($D807="","",IF(ISNUMBER(MATCH($D807,CMB_S,0)),1,IF(ISNUMBER(MATCH($D807,CMB_G,0)),2,0)))</f>
        <v/>
      </c>
      <c r="Q807" s="84">
        <f>IF(ISNUMBER($H807),-$H807,0)</f>
        <v>0</v>
      </c>
      <c r="R807" s="84">
        <f>IF(ISNUMBER($I807),ABS($I807),0)</f>
        <v>0</v>
      </c>
      <c r="S807" s="84">
        <f>IF(ISNUMBER($M807),ABS($M807),0)</f>
        <v>0</v>
      </c>
      <c r="T807" s="85" t="n">
        <v>799</v>
      </c>
    </row>
    <row r="808"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83" t="n"/>
      <c r="K808" s="83" t="n"/>
      <c r="L808" s="83" t="n"/>
      <c r="M808" s="83" t="n"/>
      <c r="O808" s="84" t="str">
        <f>IF($C808="","",IFERROR(MATCH($B808&amp;"|"&amp;$C808,MUROS!$AX$11:$AX$70,0),0))</f>
        <v/>
      </c>
      <c r="P808" s="84" t="str">
        <f>IF($D808="","",IF(ISNUMBER(MATCH($D808,CMB_S,0)),1,IF(ISNUMBER(MATCH($D808,CMB_G,0)),2,0)))</f>
        <v/>
      </c>
      <c r="Q808" s="84">
        <f>IF(ISNUMBER($H808),-$H808,0)</f>
        <v>0</v>
      </c>
      <c r="R808" s="84">
        <f>IF(ISNUMBER($I808),ABS($I808),0)</f>
        <v>0</v>
      </c>
      <c r="S808" s="84">
        <f>IF(ISNUMBER($M808),ABS($M808),0)</f>
        <v>0</v>
      </c>
      <c r="T808" s="85" t="n">
        <v>800</v>
      </c>
    </row>
    <row r="809"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83" t="n"/>
      <c r="K809" s="83" t="n"/>
      <c r="L809" s="83" t="n"/>
      <c r="M809" s="83" t="n"/>
      <c r="O809" s="84" t="str">
        <f>IF($C809="","",IFERROR(MATCH($B809&amp;"|"&amp;$C809,MUROS!$AX$11:$AX$70,0),0))</f>
        <v/>
      </c>
      <c r="P809" s="84" t="str">
        <f>IF($D809="","",IF(ISNUMBER(MATCH($D809,CMB_S,0)),1,IF(ISNUMBER(MATCH($D809,CMB_G,0)),2,0)))</f>
        <v/>
      </c>
      <c r="Q809" s="84">
        <f>IF(ISNUMBER($H809),-$H809,0)</f>
        <v>0</v>
      </c>
      <c r="R809" s="84">
        <f>IF(ISNUMBER($I809),ABS($I809),0)</f>
        <v>0</v>
      </c>
      <c r="S809" s="84">
        <f>IF(ISNUMBER($M809),ABS($M809),0)</f>
        <v>0</v>
      </c>
      <c r="T809" s="85" t="n">
        <v>801</v>
      </c>
    </row>
    <row r="810"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83" t="n"/>
      <c r="K810" s="83" t="n"/>
      <c r="L810" s="83" t="n"/>
      <c r="M810" s="83" t="n"/>
      <c r="O810" s="84" t="str">
        <f>IF($C810="","",IFERROR(MATCH($B810&amp;"|"&amp;$C810,MUROS!$AX$11:$AX$70,0),0))</f>
        <v/>
      </c>
      <c r="P810" s="84" t="str">
        <f>IF($D810="","",IF(ISNUMBER(MATCH($D810,CMB_S,0)),1,IF(ISNUMBER(MATCH($D810,CMB_G,0)),2,0)))</f>
        <v/>
      </c>
      <c r="Q810" s="84">
        <f>IF(ISNUMBER($H810),-$H810,0)</f>
        <v>0</v>
      </c>
      <c r="R810" s="84">
        <f>IF(ISNUMBER($I810),ABS($I810),0)</f>
        <v>0</v>
      </c>
      <c r="S810" s="84">
        <f>IF(ISNUMBER($M810),ABS($M810),0)</f>
        <v>0</v>
      </c>
      <c r="T810" s="85" t="n">
        <v>802</v>
      </c>
    </row>
    <row r="811">
      <c r="B811" s="83" t="n"/>
      <c r="C811" s="83" t="n"/>
      <c r="D811" s="83" t="n"/>
      <c r="E811" s="83" t="n"/>
      <c r="F811" s="83" t="n"/>
      <c r="G811" s="83" t="n"/>
      <c r="H811" s="83" t="n"/>
      <c r="I811" s="83" t="n"/>
      <c r="J811" s="83" t="n"/>
      <c r="K811" s="83" t="n"/>
      <c r="L811" s="83" t="n"/>
      <c r="M811" s="83" t="n"/>
      <c r="O811" s="84" t="str">
        <f>IF($C811="","",IFERROR(MATCH($B811&amp;"|"&amp;$C811,MUROS!$AX$11:$AX$70,0),0))</f>
        <v/>
      </c>
      <c r="P811" s="84" t="str">
        <f>IF($D811="","",IF(ISNUMBER(MATCH($D811,CMB_S,0)),1,IF(ISNUMBER(MATCH($D811,CMB_G,0)),2,0)))</f>
        <v/>
      </c>
      <c r="Q811" s="84">
        <f>IF(ISNUMBER($H811),-$H811,0)</f>
        <v>0</v>
      </c>
      <c r="R811" s="84">
        <f>IF(ISNUMBER($I811),ABS($I811),0)</f>
        <v>0</v>
      </c>
      <c r="S811" s="84">
        <f>IF(ISNUMBER($M811),ABS($M811),0)</f>
        <v>0</v>
      </c>
      <c r="T811" s="85" t="n">
        <v>803</v>
      </c>
    </row>
    <row r="812">
      <c r="B812" s="83" t="n"/>
      <c r="C812" s="83" t="n"/>
      <c r="D812" s="83" t="n"/>
      <c r="E812" s="83" t="n"/>
      <c r="F812" s="83" t="n"/>
      <c r="G812" s="83" t="n"/>
      <c r="H812" s="83" t="n"/>
      <c r="I812" s="83" t="n"/>
      <c r="J812" s="83" t="n"/>
      <c r="K812" s="83" t="n"/>
      <c r="L812" s="83" t="n"/>
      <c r="M812" s="83" t="n"/>
      <c r="O812" s="84" t="str">
        <f>IF($C812="","",IFERROR(MATCH($B812&amp;"|"&amp;$C812,MUROS!$AX$11:$AX$70,0),0))</f>
        <v/>
      </c>
      <c r="P812" s="84" t="str">
        <f>IF($D812="","",IF(ISNUMBER(MATCH($D812,CMB_S,0)),1,IF(ISNUMBER(MATCH($D812,CMB_G,0)),2,0)))</f>
        <v/>
      </c>
      <c r="Q812" s="84">
        <f>IF(ISNUMBER($H812),-$H812,0)</f>
        <v>0</v>
      </c>
      <c r="R812" s="84">
        <f>IF(ISNUMBER($I812),ABS($I812),0)</f>
        <v>0</v>
      </c>
      <c r="S812" s="84">
        <f>IF(ISNUMBER($M812),ABS($M812),0)</f>
        <v>0</v>
      </c>
      <c r="T812" s="85" t="n">
        <v>804</v>
      </c>
    </row>
    <row r="813">
      <c r="B813" s="83" t="n"/>
      <c r="C813" s="83" t="n"/>
      <c r="D813" s="83" t="n"/>
      <c r="E813" s="83" t="n"/>
      <c r="F813" s="83" t="n"/>
      <c r="G813" s="83" t="n"/>
      <c r="H813" s="83" t="n"/>
      <c r="I813" s="83" t="n"/>
      <c r="J813" s="83" t="n"/>
      <c r="K813" s="83" t="n"/>
      <c r="L813" s="83" t="n"/>
      <c r="M813" s="83" t="n"/>
      <c r="O813" s="84" t="str">
        <f>IF($C813="","",IFERROR(MATCH($B813&amp;"|"&amp;$C813,MUROS!$AX$11:$AX$70,0),0))</f>
        <v/>
      </c>
      <c r="P813" s="84" t="str">
        <f>IF($D813="","",IF(ISNUMBER(MATCH($D813,CMB_S,0)),1,IF(ISNUMBER(MATCH($D813,CMB_G,0)),2,0)))</f>
        <v/>
      </c>
      <c r="Q813" s="84">
        <f>IF(ISNUMBER($H813),-$H813,0)</f>
        <v>0</v>
      </c>
      <c r="R813" s="84">
        <f>IF(ISNUMBER($I813),ABS($I813),0)</f>
        <v>0</v>
      </c>
      <c r="S813" s="84">
        <f>IF(ISNUMBER($M813),ABS($M813),0)</f>
        <v>0</v>
      </c>
      <c r="T813" s="85" t="n">
        <v>805</v>
      </c>
    </row>
    <row r="814">
      <c r="B814" s="83" t="n"/>
      <c r="C814" s="83" t="n"/>
      <c r="D814" s="83" t="n"/>
      <c r="E814" s="83" t="n"/>
      <c r="F814" s="83" t="n"/>
      <c r="G814" s="83" t="n"/>
      <c r="H814" s="83" t="n"/>
      <c r="I814" s="83" t="n"/>
      <c r="J814" s="83" t="n"/>
      <c r="K814" s="83" t="n"/>
      <c r="L814" s="83" t="n"/>
      <c r="M814" s="83" t="n"/>
      <c r="O814" s="84" t="str">
        <f>IF($C814="","",IFERROR(MATCH($B814&amp;"|"&amp;$C814,MUROS!$AX$11:$AX$70,0),0))</f>
        <v/>
      </c>
      <c r="P814" s="84" t="str">
        <f>IF($D814="","",IF(ISNUMBER(MATCH($D814,CMB_S,0)),1,IF(ISNUMBER(MATCH($D814,CMB_G,0)),2,0)))</f>
        <v/>
      </c>
      <c r="Q814" s="84">
        <f>IF(ISNUMBER($H814),-$H814,0)</f>
        <v>0</v>
      </c>
      <c r="R814" s="84">
        <f>IF(ISNUMBER($I814),ABS($I814),0)</f>
        <v>0</v>
      </c>
      <c r="S814" s="84">
        <f>IF(ISNUMBER($M814),ABS($M814),0)</f>
        <v>0</v>
      </c>
      <c r="T814" s="85" t="n">
        <v>806</v>
      </c>
    </row>
    <row r="815">
      <c r="B815" s="83" t="n"/>
      <c r="C815" s="83" t="n"/>
      <c r="D815" s="83" t="n"/>
      <c r="E815" s="83" t="n"/>
      <c r="F815" s="83" t="n"/>
      <c r="G815" s="83" t="n"/>
      <c r="H815" s="83" t="n"/>
      <c r="I815" s="83" t="n"/>
      <c r="J815" s="83" t="n"/>
      <c r="K815" s="83" t="n"/>
      <c r="L815" s="83" t="n"/>
      <c r="M815" s="83" t="n"/>
      <c r="O815" s="84" t="str">
        <f>IF($C815="","",IFERROR(MATCH($B815&amp;"|"&amp;$C815,MUROS!$AX$11:$AX$70,0),0))</f>
        <v/>
      </c>
      <c r="P815" s="84" t="str">
        <f>IF($D815="","",IF(ISNUMBER(MATCH($D815,CMB_S,0)),1,IF(ISNUMBER(MATCH($D815,CMB_G,0)),2,0)))</f>
        <v/>
      </c>
      <c r="Q815" s="84">
        <f>IF(ISNUMBER($H815),-$H815,0)</f>
        <v>0</v>
      </c>
      <c r="R815" s="84">
        <f>IF(ISNUMBER($I815),ABS($I815),0)</f>
        <v>0</v>
      </c>
      <c r="S815" s="84">
        <f>IF(ISNUMBER($M815),ABS($M815),0)</f>
        <v>0</v>
      </c>
      <c r="T815" s="85" t="n">
        <v>807</v>
      </c>
    </row>
    <row r="816">
      <c r="B816" s="83" t="n"/>
      <c r="C816" s="83" t="n"/>
      <c r="D816" s="83" t="n"/>
      <c r="E816" s="83" t="n"/>
      <c r="F816" s="83" t="n"/>
      <c r="G816" s="83" t="n"/>
      <c r="H816" s="83" t="n"/>
      <c r="I816" s="83" t="n"/>
      <c r="J816" s="83" t="n"/>
      <c r="K816" s="83" t="n"/>
      <c r="L816" s="83" t="n"/>
      <c r="M816" s="83" t="n"/>
      <c r="O816" s="84" t="str">
        <f>IF($C816="","",IFERROR(MATCH($B816&amp;"|"&amp;$C816,MUROS!$AX$11:$AX$70,0),0))</f>
        <v/>
      </c>
      <c r="P816" s="84" t="str">
        <f>IF($D816="","",IF(ISNUMBER(MATCH($D816,CMB_S,0)),1,IF(ISNUMBER(MATCH($D816,CMB_G,0)),2,0)))</f>
        <v/>
      </c>
      <c r="Q816" s="84">
        <f>IF(ISNUMBER($H816),-$H816,0)</f>
        <v>0</v>
      </c>
      <c r="R816" s="84">
        <f>IF(ISNUMBER($I816),ABS($I816),0)</f>
        <v>0</v>
      </c>
      <c r="S816" s="84">
        <f>IF(ISNUMBER($M816),ABS($M816),0)</f>
        <v>0</v>
      </c>
      <c r="T816" s="85" t="n">
        <v>808</v>
      </c>
    </row>
    <row r="817">
      <c r="B817" s="83" t="n"/>
      <c r="C817" s="83" t="n"/>
      <c r="D817" s="83" t="n"/>
      <c r="E817" s="83" t="n"/>
      <c r="F817" s="83" t="n"/>
      <c r="G817" s="83" t="n"/>
      <c r="H817" s="83" t="n"/>
      <c r="I817" s="83" t="n"/>
      <c r="J817" s="83" t="n"/>
      <c r="K817" s="83" t="n"/>
      <c r="L817" s="83" t="n"/>
      <c r="M817" s="83" t="n"/>
      <c r="O817" s="84" t="str">
        <f>IF($C817="","",IFERROR(MATCH($B817&amp;"|"&amp;$C817,MUROS!$AX$11:$AX$70,0),0))</f>
        <v/>
      </c>
      <c r="P817" s="84" t="str">
        <f>IF($D817="","",IF(ISNUMBER(MATCH($D817,CMB_S,0)),1,IF(ISNUMBER(MATCH($D817,CMB_G,0)),2,0)))</f>
        <v/>
      </c>
      <c r="Q817" s="84">
        <f>IF(ISNUMBER($H817),-$H817,0)</f>
        <v>0</v>
      </c>
      <c r="R817" s="84">
        <f>IF(ISNUMBER($I817),ABS($I817),0)</f>
        <v>0</v>
      </c>
      <c r="S817" s="84">
        <f>IF(ISNUMBER($M817),ABS($M817),0)</f>
        <v>0</v>
      </c>
      <c r="T817" s="85" t="n">
        <v>809</v>
      </c>
    </row>
    <row r="818">
      <c r="B818" s="83" t="n"/>
      <c r="C818" s="83" t="n"/>
      <c r="D818" s="83" t="n"/>
      <c r="E818" s="83" t="n"/>
      <c r="F818" s="83" t="n"/>
      <c r="G818" s="83" t="n"/>
      <c r="H818" s="83" t="n"/>
      <c r="I818" s="83" t="n"/>
      <c r="J818" s="83" t="n"/>
      <c r="K818" s="83" t="n"/>
      <c r="L818" s="83" t="n"/>
      <c r="M818" s="83" t="n"/>
      <c r="O818" s="84" t="str">
        <f>IF($C818="","",IFERROR(MATCH($B818&amp;"|"&amp;$C818,MUROS!$AX$11:$AX$70,0),0))</f>
        <v/>
      </c>
      <c r="P818" s="84" t="str">
        <f>IF($D818="","",IF(ISNUMBER(MATCH($D818,CMB_S,0)),1,IF(ISNUMBER(MATCH($D818,CMB_G,0)),2,0)))</f>
        <v/>
      </c>
      <c r="Q818" s="84">
        <f>IF(ISNUMBER($H818),-$H818,0)</f>
        <v>0</v>
      </c>
      <c r="R818" s="84">
        <f>IF(ISNUMBER($I818),ABS($I818),0)</f>
        <v>0</v>
      </c>
      <c r="S818" s="84">
        <f>IF(ISNUMBER($M818),ABS($M818),0)</f>
        <v>0</v>
      </c>
      <c r="T818" s="85" t="n">
        <v>810</v>
      </c>
    </row>
    <row r="819">
      <c r="B819" s="83" t="n"/>
      <c r="C819" s="83" t="n"/>
      <c r="D819" s="83" t="n"/>
      <c r="E819" s="83" t="n"/>
      <c r="F819" s="83" t="n"/>
      <c r="G819" s="83" t="n"/>
      <c r="H819" s="83" t="n"/>
      <c r="I819" s="83" t="n"/>
      <c r="J819" s="83" t="n"/>
      <c r="K819" s="83" t="n"/>
      <c r="L819" s="83" t="n"/>
      <c r="M819" s="83" t="n"/>
      <c r="O819" s="84" t="str">
        <f>IF($C819="","",IFERROR(MATCH($B819&amp;"|"&amp;$C819,MUROS!$AX$11:$AX$70,0),0))</f>
        <v/>
      </c>
      <c r="P819" s="84" t="str">
        <f>IF($D819="","",IF(ISNUMBER(MATCH($D819,CMB_S,0)),1,IF(ISNUMBER(MATCH($D819,CMB_G,0)),2,0)))</f>
        <v/>
      </c>
      <c r="Q819" s="84">
        <f>IF(ISNUMBER($H819),-$H819,0)</f>
        <v>0</v>
      </c>
      <c r="R819" s="84">
        <f>IF(ISNUMBER($I819),ABS($I819),0)</f>
        <v>0</v>
      </c>
      <c r="S819" s="84">
        <f>IF(ISNUMBER($M819),ABS($M819),0)</f>
        <v>0</v>
      </c>
      <c r="T819" s="85" t="n">
        <v>811</v>
      </c>
    </row>
    <row r="820">
      <c r="B820" s="83" t="n"/>
      <c r="C820" s="83" t="n"/>
      <c r="D820" s="83" t="n"/>
      <c r="E820" s="83" t="n"/>
      <c r="F820" s="83" t="n"/>
      <c r="G820" s="83" t="n"/>
      <c r="H820" s="83" t="n"/>
      <c r="I820" s="83" t="n"/>
      <c r="J820" s="83" t="n"/>
      <c r="K820" s="83" t="n"/>
      <c r="L820" s="83" t="n"/>
      <c r="M820" s="83" t="n"/>
      <c r="O820" s="84" t="str">
        <f>IF($C820="","",IFERROR(MATCH($B820&amp;"|"&amp;$C820,MUROS!$AX$11:$AX$70,0),0))</f>
        <v/>
      </c>
      <c r="P820" s="84" t="str">
        <f>IF($D820="","",IF(ISNUMBER(MATCH($D820,CMB_S,0)),1,IF(ISNUMBER(MATCH($D820,CMB_G,0)),2,0)))</f>
        <v/>
      </c>
      <c r="Q820" s="84">
        <f>IF(ISNUMBER($H820),-$H820,0)</f>
        <v>0</v>
      </c>
      <c r="R820" s="84">
        <f>IF(ISNUMBER($I820),ABS($I820),0)</f>
        <v>0</v>
      </c>
      <c r="S820" s="84">
        <f>IF(ISNUMBER($M820),ABS($M820),0)</f>
        <v>0</v>
      </c>
      <c r="T820" s="85" t="n">
        <v>812</v>
      </c>
    </row>
    <row r="821"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83" t="n"/>
      <c r="K821" s="83" t="n"/>
      <c r="L821" s="83" t="n"/>
      <c r="M821" s="83" t="n"/>
      <c r="O821" s="84" t="str">
        <f>IF($C821="","",IFERROR(MATCH($B821&amp;"|"&amp;$C821,MUROS!$AX$11:$AX$70,0),0))</f>
        <v/>
      </c>
      <c r="P821" s="84" t="str">
        <f>IF($D821="","",IF(ISNUMBER(MATCH($D821,CMB_S,0)),1,IF(ISNUMBER(MATCH($D821,CMB_G,0)),2,0)))</f>
        <v/>
      </c>
      <c r="Q821" s="84">
        <f>IF(ISNUMBER($H821),-$H821,0)</f>
        <v>0</v>
      </c>
      <c r="R821" s="84">
        <f>IF(ISNUMBER($I821),ABS($I821),0)</f>
        <v>0</v>
      </c>
      <c r="S821" s="84">
        <f>IF(ISNUMBER($M821),ABS($M821),0)</f>
        <v>0</v>
      </c>
      <c r="T821" s="85" t="n">
        <v>813</v>
      </c>
    </row>
    <row r="822">
      <c r="B822" s="83" t="n"/>
      <c r="C822" s="83" t="n"/>
      <c r="D822" s="83" t="n"/>
      <c r="E822" s="83" t="n"/>
      <c r="F822" s="83" t="n"/>
      <c r="G822" s="83" t="n"/>
      <c r="H822" s="83" t="n"/>
      <c r="I822" s="83" t="n"/>
      <c r="J822" s="83" t="n"/>
      <c r="K822" s="83" t="n"/>
      <c r="L822" s="83" t="n"/>
      <c r="M822" s="83" t="n"/>
      <c r="O822" s="84" t="str">
        <f>IF($C822="","",IFERROR(MATCH($B822&amp;"|"&amp;$C822,MUROS!$AX$11:$AX$70,0),0))</f>
        <v/>
      </c>
      <c r="P822" s="84" t="str">
        <f>IF($D822="","",IF(ISNUMBER(MATCH($D822,CMB_S,0)),1,IF(ISNUMBER(MATCH($D822,CMB_G,0)),2,0)))</f>
        <v/>
      </c>
      <c r="Q822" s="84">
        <f>IF(ISNUMBER($H822),-$H822,0)</f>
        <v>0</v>
      </c>
      <c r="R822" s="84">
        <f>IF(ISNUMBER($I822),ABS($I822),0)</f>
        <v>0</v>
      </c>
      <c r="S822" s="84">
        <f>IF(ISNUMBER($M822),ABS($M822),0)</f>
        <v>0</v>
      </c>
      <c r="T822" s="85" t="n">
        <v>814</v>
      </c>
    </row>
    <row r="823">
      <c r="B823" s="83" t="n"/>
      <c r="C823" s="83" t="n"/>
      <c r="D823" s="83" t="n"/>
      <c r="E823" s="83" t="n"/>
      <c r="F823" s="83" t="n"/>
      <c r="G823" s="83" t="n"/>
      <c r="H823" s="83" t="n"/>
      <c r="I823" s="83" t="n"/>
      <c r="J823" s="83" t="n"/>
      <c r="K823" s="83" t="n"/>
      <c r="L823" s="83" t="n"/>
      <c r="M823" s="83" t="n"/>
      <c r="O823" s="84" t="str">
        <f>IF($C823="","",IFERROR(MATCH($B823&amp;"|"&amp;$C823,MUROS!$AX$11:$AX$70,0),0))</f>
        <v/>
      </c>
      <c r="P823" s="84" t="str">
        <f>IF($D823="","",IF(ISNUMBER(MATCH($D823,CMB_S,0)),1,IF(ISNUMBER(MATCH($D823,CMB_G,0)),2,0)))</f>
        <v/>
      </c>
      <c r="Q823" s="84">
        <f>IF(ISNUMBER($H823),-$H823,0)</f>
        <v>0</v>
      </c>
      <c r="R823" s="84">
        <f>IF(ISNUMBER($I823),ABS($I823),0)</f>
        <v>0</v>
      </c>
      <c r="S823" s="84">
        <f>IF(ISNUMBER($M823),ABS($M823),0)</f>
        <v>0</v>
      </c>
      <c r="T823" s="85" t="n">
        <v>815</v>
      </c>
    </row>
    <row r="824">
      <c r="B824" s="83" t="n"/>
      <c r="C824" s="83" t="n"/>
      <c r="D824" s="83" t="n"/>
      <c r="E824" s="83" t="n"/>
      <c r="F824" s="83" t="n"/>
      <c r="G824" s="83" t="n"/>
      <c r="H824" s="83" t="n"/>
      <c r="I824" s="83" t="n"/>
      <c r="J824" s="83" t="n"/>
      <c r="K824" s="83" t="n"/>
      <c r="L824" s="83" t="n"/>
      <c r="M824" s="83" t="n"/>
      <c r="O824" s="84" t="str">
        <f>IF($C824="","",IFERROR(MATCH($B824&amp;"|"&amp;$C824,MUROS!$AX$11:$AX$70,0),0))</f>
        <v/>
      </c>
      <c r="P824" s="84" t="str">
        <f>IF($D824="","",IF(ISNUMBER(MATCH($D824,CMB_S,0)),1,IF(ISNUMBER(MATCH($D824,CMB_G,0)),2,0)))</f>
        <v/>
      </c>
      <c r="Q824" s="84">
        <f>IF(ISNUMBER($H824),-$H824,0)</f>
        <v>0</v>
      </c>
      <c r="R824" s="84">
        <f>IF(ISNUMBER($I824),ABS($I824),0)</f>
        <v>0</v>
      </c>
      <c r="S824" s="84">
        <f>IF(ISNUMBER($M824),ABS($M824),0)</f>
        <v>0</v>
      </c>
      <c r="T824" s="85" t="n">
        <v>816</v>
      </c>
    </row>
    <row r="825">
      <c r="B825" s="83" t="n"/>
      <c r="C825" s="83" t="n"/>
      <c r="D825" s="83" t="n"/>
      <c r="E825" s="83" t="n"/>
      <c r="F825" s="83" t="n"/>
      <c r="G825" s="83" t="n"/>
      <c r="H825" s="83" t="n"/>
      <c r="I825" s="83" t="n"/>
      <c r="J825" s="83" t="n"/>
      <c r="K825" s="83" t="n"/>
      <c r="L825" s="83" t="n"/>
      <c r="M825" s="83" t="n"/>
      <c r="O825" s="84" t="str">
        <f>IF($C825="","",IFERROR(MATCH($B825&amp;"|"&amp;$C825,MUROS!$AX$11:$AX$70,0),0))</f>
        <v/>
      </c>
      <c r="P825" s="84" t="str">
        <f>IF($D825="","",IF(ISNUMBER(MATCH($D825,CMB_S,0)),1,IF(ISNUMBER(MATCH($D825,CMB_G,0)),2,0)))</f>
        <v/>
      </c>
      <c r="Q825" s="84">
        <f>IF(ISNUMBER($H825),-$H825,0)</f>
        <v>0</v>
      </c>
      <c r="R825" s="84">
        <f>IF(ISNUMBER($I825),ABS($I825),0)</f>
        <v>0</v>
      </c>
      <c r="S825" s="84">
        <f>IF(ISNUMBER($M825),ABS($M825),0)</f>
        <v>0</v>
      </c>
      <c r="T825" s="85" t="n">
        <v>817</v>
      </c>
    </row>
    <row r="826">
      <c r="B826" s="83" t="n"/>
      <c r="C826" s="83" t="n"/>
      <c r="D826" s="83" t="n"/>
      <c r="E826" s="83" t="n"/>
      <c r="F826" s="83" t="n"/>
      <c r="G826" s="83" t="n"/>
      <c r="H826" s="83" t="n"/>
      <c r="I826" s="83" t="n"/>
      <c r="J826" s="83" t="n"/>
      <c r="K826" s="83" t="n"/>
      <c r="L826" s="83" t="n"/>
      <c r="M826" s="83" t="n"/>
      <c r="O826" s="84" t="str">
        <f>IF($C826="","",IFERROR(MATCH($B826&amp;"|"&amp;$C826,MUROS!$AX$11:$AX$70,0),0))</f>
        <v/>
      </c>
      <c r="P826" s="84" t="str">
        <f>IF($D826="","",IF(ISNUMBER(MATCH($D826,CMB_S,0)),1,IF(ISNUMBER(MATCH($D826,CMB_G,0)),2,0)))</f>
        <v/>
      </c>
      <c r="Q826" s="84">
        <f>IF(ISNUMBER($H826),-$H826,0)</f>
        <v>0</v>
      </c>
      <c r="R826" s="84">
        <f>IF(ISNUMBER($I826),ABS($I826),0)</f>
        <v>0</v>
      </c>
      <c r="S826" s="84">
        <f>IF(ISNUMBER($M826),ABS($M826),0)</f>
        <v>0</v>
      </c>
      <c r="T826" s="85" t="n">
        <v>818</v>
      </c>
    </row>
    <row r="827">
      <c r="B827" s="83" t="n"/>
      <c r="C827" s="83" t="n"/>
      <c r="D827" s="83" t="n"/>
      <c r="E827" s="83" t="n"/>
      <c r="F827" s="83" t="n"/>
      <c r="G827" s="83" t="n"/>
      <c r="H827" s="83" t="n"/>
      <c r="I827" s="83" t="n"/>
      <c r="J827" s="83" t="n"/>
      <c r="K827" s="83" t="n"/>
      <c r="L827" s="83" t="n"/>
      <c r="M827" s="83" t="n"/>
      <c r="O827" s="84" t="str">
        <f>IF($C827="","",IFERROR(MATCH($B827&amp;"|"&amp;$C827,MUROS!$AX$11:$AX$70,0),0))</f>
        <v/>
      </c>
      <c r="P827" s="84" t="str">
        <f>IF($D827="","",IF(ISNUMBER(MATCH($D827,CMB_S,0)),1,IF(ISNUMBER(MATCH($D827,CMB_G,0)),2,0)))</f>
        <v/>
      </c>
      <c r="Q827" s="84">
        <f>IF(ISNUMBER($H827),-$H827,0)</f>
        <v>0</v>
      </c>
      <c r="R827" s="84">
        <f>IF(ISNUMBER($I827),ABS($I827),0)</f>
        <v>0</v>
      </c>
      <c r="S827" s="84">
        <f>IF(ISNUMBER($M827),ABS($M827),0)</f>
        <v>0</v>
      </c>
      <c r="T827" s="85" t="n">
        <v>819</v>
      </c>
    </row>
    <row r="828">
      <c r="B828" s="83" t="n"/>
      <c r="C828" s="83" t="n"/>
      <c r="D828" s="83" t="n"/>
      <c r="E828" s="83" t="n"/>
      <c r="F828" s="83" t="n"/>
      <c r="G828" s="83" t="n"/>
      <c r="H828" s="83" t="n"/>
      <c r="I828" s="83" t="n"/>
      <c r="J828" s="83" t="n"/>
      <c r="K828" s="83" t="n"/>
      <c r="L828" s="83" t="n"/>
      <c r="M828" s="83" t="n"/>
      <c r="O828" s="84" t="str">
        <f>IF($C828="","",IFERROR(MATCH($B828&amp;"|"&amp;$C828,MUROS!$AX$11:$AX$70,0),0))</f>
        <v/>
      </c>
      <c r="P828" s="84" t="str">
        <f>IF($D828="","",IF(ISNUMBER(MATCH($D828,CMB_S,0)),1,IF(ISNUMBER(MATCH($D828,CMB_G,0)),2,0)))</f>
        <v/>
      </c>
      <c r="Q828" s="84">
        <f>IF(ISNUMBER($H828),-$H828,0)</f>
        <v>0</v>
      </c>
      <c r="R828" s="84">
        <f>IF(ISNUMBER($I828),ABS($I828),0)</f>
        <v>0</v>
      </c>
      <c r="S828" s="84">
        <f>IF(ISNUMBER($M828),ABS($M828),0)</f>
        <v>0</v>
      </c>
      <c r="T828" s="85" t="n">
        <v>820</v>
      </c>
    </row>
    <row r="829">
      <c r="B829" s="83" t="n"/>
      <c r="C829" s="83" t="n"/>
      <c r="D829" s="83" t="n"/>
      <c r="E829" s="83" t="n"/>
      <c r="F829" s="83" t="n"/>
      <c r="G829" s="83" t="n"/>
      <c r="H829" s="83" t="n"/>
      <c r="I829" s="83" t="n"/>
      <c r="J829" s="83" t="n"/>
      <c r="K829" s="83" t="n"/>
      <c r="L829" s="83" t="n"/>
      <c r="M829" s="83" t="n"/>
      <c r="O829" s="84" t="str">
        <f>IF($C829="","",IFERROR(MATCH($B829&amp;"|"&amp;$C829,MUROS!$AX$11:$AX$70,0),0))</f>
        <v/>
      </c>
      <c r="P829" s="84" t="str">
        <f>IF($D829="","",IF(ISNUMBER(MATCH($D829,CMB_S,0)),1,IF(ISNUMBER(MATCH($D829,CMB_G,0)),2,0)))</f>
        <v/>
      </c>
      <c r="Q829" s="84">
        <f>IF(ISNUMBER($H829),-$H829,0)</f>
        <v>0</v>
      </c>
      <c r="R829" s="84">
        <f>IF(ISNUMBER($I829),ABS($I829),0)</f>
        <v>0</v>
      </c>
      <c r="S829" s="84">
        <f>IF(ISNUMBER($M829),ABS($M829),0)</f>
        <v>0</v>
      </c>
      <c r="T829" s="85" t="n">
        <v>821</v>
      </c>
    </row>
    <row r="830">
      <c r="B830" s="83" t="n"/>
      <c r="C830" s="83" t="n"/>
      <c r="D830" s="83" t="n"/>
      <c r="E830" s="83" t="n"/>
      <c r="F830" s="83" t="n"/>
      <c r="G830" s="83" t="n"/>
      <c r="H830" s="83" t="n"/>
      <c r="I830" s="83" t="n"/>
      <c r="J830" s="83" t="n"/>
      <c r="K830" s="83" t="n"/>
      <c r="L830" s="83" t="n"/>
      <c r="M830" s="83" t="n"/>
      <c r="O830" s="84" t="str">
        <f>IF($C830="","",IFERROR(MATCH($B830&amp;"|"&amp;$C830,MUROS!$AX$11:$AX$70,0),0))</f>
        <v/>
      </c>
      <c r="P830" s="84" t="str">
        <f>IF($D830="","",IF(ISNUMBER(MATCH($D830,CMB_S,0)),1,IF(ISNUMBER(MATCH($D830,CMB_G,0)),2,0)))</f>
        <v/>
      </c>
      <c r="Q830" s="84">
        <f>IF(ISNUMBER($H830),-$H830,0)</f>
        <v>0</v>
      </c>
      <c r="R830" s="84">
        <f>IF(ISNUMBER($I830),ABS($I830),0)</f>
        <v>0</v>
      </c>
      <c r="S830" s="84">
        <f>IF(ISNUMBER($M830),ABS($M830),0)</f>
        <v>0</v>
      </c>
      <c r="T830" s="85" t="n">
        <v>822</v>
      </c>
    </row>
    <row r="831">
      <c r="B831" s="83" t="n"/>
      <c r="C831" s="83" t="n"/>
      <c r="D831" s="83" t="n"/>
      <c r="E831" s="83" t="n"/>
      <c r="F831" s="83" t="n"/>
      <c r="G831" s="83" t="n"/>
      <c r="H831" s="83" t="n"/>
      <c r="I831" s="83" t="n"/>
      <c r="J831" s="83" t="n"/>
      <c r="K831" s="83" t="n"/>
      <c r="L831" s="83" t="n"/>
      <c r="M831" s="83" t="n"/>
      <c r="O831" s="84" t="str">
        <f>IF($C831="","",IFERROR(MATCH($B831&amp;"|"&amp;$C831,MUROS!$AX$11:$AX$70,0),0))</f>
        <v/>
      </c>
      <c r="P831" s="84" t="str">
        <f>IF($D831="","",IF(ISNUMBER(MATCH($D831,CMB_S,0)),1,IF(ISNUMBER(MATCH($D831,CMB_G,0)),2,0)))</f>
        <v/>
      </c>
      <c r="Q831" s="84">
        <f>IF(ISNUMBER($H831),-$H831,0)</f>
        <v>0</v>
      </c>
      <c r="R831" s="84">
        <f>IF(ISNUMBER($I831),ABS($I831),0)</f>
        <v>0</v>
      </c>
      <c r="S831" s="84">
        <f>IF(ISNUMBER($M831),ABS($M831),0)</f>
        <v>0</v>
      </c>
      <c r="T831" s="85" t="n">
        <v>823</v>
      </c>
    </row>
    <row r="832">
      <c r="B832" s="83" t="n"/>
      <c r="C832" s="83" t="n"/>
      <c r="D832" s="83" t="n"/>
      <c r="E832" s="83" t="n"/>
      <c r="F832" s="83" t="n"/>
      <c r="G832" s="83" t="n"/>
      <c r="H832" s="83" t="n"/>
      <c r="I832" s="83" t="n"/>
      <c r="J832" s="83" t="n"/>
      <c r="K832" s="83" t="n"/>
      <c r="L832" s="83" t="n"/>
      <c r="M832" s="83" t="n"/>
      <c r="O832" s="84" t="str">
        <f>IF($C832="","",IFERROR(MATCH($B832&amp;"|"&amp;$C832,MUROS!$AX$11:$AX$70,0),0))</f>
        <v/>
      </c>
      <c r="P832" s="84" t="str">
        <f>IF($D832="","",IF(ISNUMBER(MATCH($D832,CMB_S,0)),1,IF(ISNUMBER(MATCH($D832,CMB_G,0)),2,0)))</f>
        <v/>
      </c>
      <c r="Q832" s="84">
        <f>IF(ISNUMBER($H832),-$H832,0)</f>
        <v>0</v>
      </c>
      <c r="R832" s="84">
        <f>IF(ISNUMBER($I832),ABS($I832),0)</f>
        <v>0</v>
      </c>
      <c r="S832" s="84">
        <f>IF(ISNUMBER($M832),ABS($M832),0)</f>
        <v>0</v>
      </c>
      <c r="T832" s="85" t="n">
        <v>824</v>
      </c>
    </row>
    <row r="833">
      <c r="B833" s="83" t="n"/>
      <c r="C833" s="83" t="n"/>
      <c r="D833" s="83" t="n"/>
      <c r="E833" s="83" t="n"/>
      <c r="F833" s="83" t="n"/>
      <c r="G833" s="83" t="n"/>
      <c r="H833" s="83" t="n"/>
      <c r="I833" s="83" t="n"/>
      <c r="J833" s="83" t="n"/>
      <c r="K833" s="83" t="n"/>
      <c r="L833" s="83" t="n"/>
      <c r="M833" s="83" t="n"/>
      <c r="O833" s="84" t="str">
        <f>IF($C833="","",IFERROR(MATCH($B833&amp;"|"&amp;$C833,MUROS!$AX$11:$AX$70,0),0))</f>
        <v/>
      </c>
      <c r="P833" s="84" t="str">
        <f>IF($D833="","",IF(ISNUMBER(MATCH($D833,CMB_S,0)),1,IF(ISNUMBER(MATCH($D833,CMB_G,0)),2,0)))</f>
        <v/>
      </c>
      <c r="Q833" s="84">
        <f>IF(ISNUMBER($H833),-$H833,0)</f>
        <v>0</v>
      </c>
      <c r="R833" s="84">
        <f>IF(ISNUMBER($I833),ABS($I833),0)</f>
        <v>0</v>
      </c>
      <c r="S833" s="84">
        <f>IF(ISNUMBER($M833),ABS($M833),0)</f>
        <v>0</v>
      </c>
      <c r="T833" s="85" t="n">
        <v>825</v>
      </c>
    </row>
    <row r="834">
      <c r="B834" s="83" t="n"/>
      <c r="C834" s="83" t="n"/>
      <c r="D834" s="83" t="n"/>
      <c r="E834" s="83" t="n"/>
      <c r="F834" s="83" t="n"/>
      <c r="G834" s="83" t="n"/>
      <c r="H834" s="83" t="n"/>
      <c r="I834" s="83" t="n"/>
      <c r="J834" s="83" t="n"/>
      <c r="K834" s="83" t="n"/>
      <c r="L834" s="83" t="n"/>
      <c r="M834" s="83" t="n"/>
      <c r="O834" s="84" t="str">
        <f>IF($C834="","",IFERROR(MATCH($B834&amp;"|"&amp;$C834,MUROS!$AX$11:$AX$70,0),0))</f>
        <v/>
      </c>
      <c r="P834" s="84" t="str">
        <f>IF($D834="","",IF(ISNUMBER(MATCH($D834,CMB_S,0)),1,IF(ISNUMBER(MATCH($D834,CMB_G,0)),2,0)))</f>
        <v/>
      </c>
      <c r="Q834" s="84">
        <f>IF(ISNUMBER($H834),-$H834,0)</f>
        <v>0</v>
      </c>
      <c r="R834" s="84">
        <f>IF(ISNUMBER($I834),ABS($I834),0)</f>
        <v>0</v>
      </c>
      <c r="S834" s="84">
        <f>IF(ISNUMBER($M834),ABS($M834),0)</f>
        <v>0</v>
      </c>
      <c r="T834" s="85" t="n">
        <v>826</v>
      </c>
    </row>
    <row r="835">
      <c r="B835" s="83" t="n"/>
      <c r="C835" s="83" t="n"/>
      <c r="D835" s="83" t="n"/>
      <c r="E835" s="83" t="n"/>
      <c r="F835" s="83" t="n"/>
      <c r="G835" s="83" t="n"/>
      <c r="H835" s="83" t="n"/>
      <c r="I835" s="83" t="n"/>
      <c r="J835" s="83" t="n"/>
      <c r="K835" s="83" t="n"/>
      <c r="L835" s="83" t="n"/>
      <c r="M835" s="83" t="n"/>
      <c r="O835" s="84" t="str">
        <f>IF($C835="","",IFERROR(MATCH($B835&amp;"|"&amp;$C835,MUROS!$AX$11:$AX$70,0),0))</f>
        <v/>
      </c>
      <c r="P835" s="84" t="str">
        <f>IF($D835="","",IF(ISNUMBER(MATCH($D835,CMB_S,0)),1,IF(ISNUMBER(MATCH($D835,CMB_G,0)),2,0)))</f>
        <v/>
      </c>
      <c r="Q835" s="84">
        <f>IF(ISNUMBER($H835),-$H835,0)</f>
        <v>0</v>
      </c>
      <c r="R835" s="84">
        <f>IF(ISNUMBER($I835),ABS($I835),0)</f>
        <v>0</v>
      </c>
      <c r="S835" s="84">
        <f>IF(ISNUMBER($M835),ABS($M835),0)</f>
        <v>0</v>
      </c>
      <c r="T835" s="85" t="n">
        <v>827</v>
      </c>
    </row>
    <row r="836">
      <c r="B836" s="83" t="n"/>
      <c r="C836" s="83" t="n"/>
      <c r="D836" s="83" t="n"/>
      <c r="E836" s="83" t="n"/>
      <c r="F836" s="83" t="n"/>
      <c r="G836" s="83" t="n"/>
      <c r="H836" s="83" t="n"/>
      <c r="I836" s="83" t="n"/>
      <c r="J836" s="83" t="n"/>
      <c r="K836" s="83" t="n"/>
      <c r="L836" s="83" t="n"/>
      <c r="M836" s="83" t="n"/>
      <c r="O836" s="84" t="str">
        <f>IF($C836="","",IFERROR(MATCH($B836&amp;"|"&amp;$C836,MUROS!$AX$11:$AX$70,0),0))</f>
        <v/>
      </c>
      <c r="P836" s="84" t="str">
        <f>IF($D836="","",IF(ISNUMBER(MATCH($D836,CMB_S,0)),1,IF(ISNUMBER(MATCH($D836,CMB_G,0)),2,0)))</f>
        <v/>
      </c>
      <c r="Q836" s="84">
        <f>IF(ISNUMBER($H836),-$H836,0)</f>
        <v>0</v>
      </c>
      <c r="R836" s="84">
        <f>IF(ISNUMBER($I836),ABS($I836),0)</f>
        <v>0</v>
      </c>
      <c r="S836" s="84">
        <f>IF(ISNUMBER($M836),ABS($M836),0)</f>
        <v>0</v>
      </c>
      <c r="T836" s="85" t="n">
        <v>828</v>
      </c>
    </row>
    <row r="837"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83" t="n"/>
      <c r="K837" s="83" t="n"/>
      <c r="L837" s="83" t="n"/>
      <c r="M837" s="83" t="n"/>
      <c r="O837" s="84" t="str">
        <f>IF($C837="","",IFERROR(MATCH($B837&amp;"|"&amp;$C837,MUROS!$AX$11:$AX$70,0),0))</f>
        <v/>
      </c>
      <c r="P837" s="84" t="str">
        <f>IF($D837="","",IF(ISNUMBER(MATCH($D837,CMB_S,0)),1,IF(ISNUMBER(MATCH($D837,CMB_G,0)),2,0)))</f>
        <v/>
      </c>
      <c r="Q837" s="84">
        <f>IF(ISNUMBER($H837),-$H837,0)</f>
        <v>0</v>
      </c>
      <c r="R837" s="84">
        <f>IF(ISNUMBER($I837),ABS($I837),0)</f>
        <v>0</v>
      </c>
      <c r="S837" s="84">
        <f>IF(ISNUMBER($M837),ABS($M837),0)</f>
        <v>0</v>
      </c>
      <c r="T837" s="85" t="n">
        <v>829</v>
      </c>
    </row>
    <row r="838">
      <c r="B838" s="83" t="n"/>
      <c r="C838" s="83" t="n"/>
      <c r="D838" s="83" t="n"/>
      <c r="E838" s="83" t="n"/>
      <c r="F838" s="83" t="n"/>
      <c r="G838" s="83" t="n"/>
      <c r="H838" s="83" t="n"/>
      <c r="I838" s="83" t="n"/>
      <c r="J838" s="83" t="n"/>
      <c r="K838" s="83" t="n"/>
      <c r="L838" s="83" t="n"/>
      <c r="M838" s="83" t="n"/>
      <c r="O838" s="84" t="str">
        <f>IF($C838="","",IFERROR(MATCH($B838&amp;"|"&amp;$C838,MUROS!$AX$11:$AX$70,0),0))</f>
        <v/>
      </c>
      <c r="P838" s="84" t="str">
        <f>IF($D838="","",IF(ISNUMBER(MATCH($D838,CMB_S,0)),1,IF(ISNUMBER(MATCH($D838,CMB_G,0)),2,0)))</f>
        <v/>
      </c>
      <c r="Q838" s="84">
        <f>IF(ISNUMBER($H838),-$H838,0)</f>
        <v>0</v>
      </c>
      <c r="R838" s="84">
        <f>IF(ISNUMBER($I838),ABS($I838),0)</f>
        <v>0</v>
      </c>
      <c r="S838" s="84">
        <f>IF(ISNUMBER($M838),ABS($M838),0)</f>
        <v>0</v>
      </c>
      <c r="T838" s="85" t="n">
        <v>830</v>
      </c>
    </row>
    <row r="839">
      <c r="B839" s="83" t="n"/>
      <c r="C839" s="83" t="n"/>
      <c r="D839" s="83" t="n"/>
      <c r="E839" s="83" t="n"/>
      <c r="F839" s="83" t="n"/>
      <c r="G839" s="83" t="n"/>
      <c r="H839" s="83" t="n"/>
      <c r="I839" s="83" t="n"/>
      <c r="J839" s="83" t="n"/>
      <c r="K839" s="83" t="n"/>
      <c r="L839" s="83" t="n"/>
      <c r="M839" s="83" t="n"/>
      <c r="O839" s="84" t="str">
        <f>IF($C839="","",IFERROR(MATCH($B839&amp;"|"&amp;$C839,MUROS!$AX$11:$AX$70,0),0))</f>
        <v/>
      </c>
      <c r="P839" s="84" t="str">
        <f>IF($D839="","",IF(ISNUMBER(MATCH($D839,CMB_S,0)),1,IF(ISNUMBER(MATCH($D839,CMB_G,0)),2,0)))</f>
        <v/>
      </c>
      <c r="Q839" s="84">
        <f>IF(ISNUMBER($H839),-$H839,0)</f>
        <v>0</v>
      </c>
      <c r="R839" s="84">
        <f>IF(ISNUMBER($I839),ABS($I839),0)</f>
        <v>0</v>
      </c>
      <c r="S839" s="84">
        <f>IF(ISNUMBER($M839),ABS($M839),0)</f>
        <v>0</v>
      </c>
      <c r="T839" s="85" t="n">
        <v>831</v>
      </c>
    </row>
    <row r="840">
      <c r="B840" s="83" t="n"/>
      <c r="C840" s="83" t="n"/>
      <c r="D840" s="83" t="n"/>
      <c r="E840" s="83" t="n"/>
      <c r="F840" s="83" t="n"/>
      <c r="G840" s="83" t="n"/>
      <c r="H840" s="83" t="n"/>
      <c r="I840" s="83" t="n"/>
      <c r="J840" s="83" t="n"/>
      <c r="K840" s="83" t="n"/>
      <c r="L840" s="83" t="n"/>
      <c r="M840" s="83" t="n"/>
      <c r="O840" s="84" t="str">
        <f>IF($C840="","",IFERROR(MATCH($B840&amp;"|"&amp;$C840,MUROS!$AX$11:$AX$70,0),0))</f>
        <v/>
      </c>
      <c r="P840" s="84" t="str">
        <f>IF($D840="","",IF(ISNUMBER(MATCH($D840,CMB_S,0)),1,IF(ISNUMBER(MATCH($D840,CMB_G,0)),2,0)))</f>
        <v/>
      </c>
      <c r="Q840" s="84">
        <f>IF(ISNUMBER($H840),-$H840,0)</f>
        <v>0</v>
      </c>
      <c r="R840" s="84">
        <f>IF(ISNUMBER($I840),ABS($I840),0)</f>
        <v>0</v>
      </c>
      <c r="S840" s="84">
        <f>IF(ISNUMBER($M840),ABS($M840),0)</f>
        <v>0</v>
      </c>
      <c r="T840" s="85" t="n">
        <v>832</v>
      </c>
    </row>
    <row r="841">
      <c r="B841" s="83" t="n"/>
      <c r="C841" s="83" t="n"/>
      <c r="D841" s="83" t="n"/>
      <c r="E841" s="83" t="n"/>
      <c r="F841" s="83" t="n"/>
      <c r="G841" s="83" t="n"/>
      <c r="H841" s="83" t="n"/>
      <c r="I841" s="83" t="n"/>
      <c r="J841" s="83" t="n"/>
      <c r="K841" s="83" t="n"/>
      <c r="L841" s="83" t="n"/>
      <c r="M841" s="83" t="n"/>
      <c r="O841" s="84" t="str">
        <f>IF($C841="","",IFERROR(MATCH($B841&amp;"|"&amp;$C841,MUROS!$AX$11:$AX$70,0),0))</f>
        <v/>
      </c>
      <c r="P841" s="84" t="str">
        <f>IF($D841="","",IF(ISNUMBER(MATCH($D841,CMB_S,0)),1,IF(ISNUMBER(MATCH($D841,CMB_G,0)),2,0)))</f>
        <v/>
      </c>
      <c r="Q841" s="84">
        <f>IF(ISNUMBER($H841),-$H841,0)</f>
        <v>0</v>
      </c>
      <c r="R841" s="84">
        <f>IF(ISNUMBER($I841),ABS($I841),0)</f>
        <v>0</v>
      </c>
      <c r="S841" s="84">
        <f>IF(ISNUMBER($M841),ABS($M841),0)</f>
        <v>0</v>
      </c>
      <c r="T841" s="85" t="n">
        <v>833</v>
      </c>
    </row>
    <row r="842">
      <c r="B842" s="83" t="n"/>
      <c r="C842" s="83" t="n"/>
      <c r="D842" s="83" t="n"/>
      <c r="E842" s="83" t="n"/>
      <c r="F842" s="83" t="n"/>
      <c r="G842" s="83" t="n"/>
      <c r="H842" s="83" t="n"/>
      <c r="I842" s="83" t="n"/>
      <c r="J842" s="83" t="n"/>
      <c r="K842" s="83" t="n"/>
      <c r="L842" s="83" t="n"/>
      <c r="M842" s="83" t="n"/>
      <c r="O842" s="84" t="str">
        <f>IF($C842="","",IFERROR(MATCH($B842&amp;"|"&amp;$C842,MUROS!$AX$11:$AX$70,0),0))</f>
        <v/>
      </c>
      <c r="P842" s="84" t="str">
        <f>IF($D842="","",IF(ISNUMBER(MATCH($D842,CMB_S,0)),1,IF(ISNUMBER(MATCH($D842,CMB_G,0)),2,0)))</f>
        <v/>
      </c>
      <c r="Q842" s="84">
        <f>IF(ISNUMBER($H842),-$H842,0)</f>
        <v>0</v>
      </c>
      <c r="R842" s="84">
        <f>IF(ISNUMBER($I842),ABS($I842),0)</f>
        <v>0</v>
      </c>
      <c r="S842" s="84">
        <f>IF(ISNUMBER($M842),ABS($M842),0)</f>
        <v>0</v>
      </c>
      <c r="T842" s="85" t="n">
        <v>834</v>
      </c>
    </row>
    <row r="843">
      <c r="B843" s="83" t="n"/>
      <c r="C843" s="83" t="n"/>
      <c r="D843" s="83" t="n"/>
      <c r="E843" s="83" t="n"/>
      <c r="F843" s="83" t="n"/>
      <c r="G843" s="83" t="n"/>
      <c r="H843" s="83" t="n"/>
      <c r="I843" s="83" t="n"/>
      <c r="J843" s="83" t="n"/>
      <c r="K843" s="83" t="n"/>
      <c r="L843" s="83" t="n"/>
      <c r="M843" s="83" t="n"/>
      <c r="O843" s="84" t="str">
        <f>IF($C843="","",IFERROR(MATCH($B843&amp;"|"&amp;$C843,MUROS!$AX$11:$AX$70,0),0))</f>
        <v/>
      </c>
      <c r="P843" s="84" t="str">
        <f>IF($D843="","",IF(ISNUMBER(MATCH($D843,CMB_S,0)),1,IF(ISNUMBER(MATCH($D843,CMB_G,0)),2,0)))</f>
        <v/>
      </c>
      <c r="Q843" s="84">
        <f>IF(ISNUMBER($H843),-$H843,0)</f>
        <v>0</v>
      </c>
      <c r="R843" s="84">
        <f>IF(ISNUMBER($I843),ABS($I843),0)</f>
        <v>0</v>
      </c>
      <c r="S843" s="84">
        <f>IF(ISNUMBER($M843),ABS($M843),0)</f>
        <v>0</v>
      </c>
      <c r="T843" s="85" t="n">
        <v>835</v>
      </c>
    </row>
    <row r="844">
      <c r="B844" s="83" t="n"/>
      <c r="C844" s="83" t="n"/>
      <c r="D844" s="83" t="n"/>
      <c r="E844" s="83" t="n"/>
      <c r="F844" s="83" t="n"/>
      <c r="G844" s="83" t="n"/>
      <c r="H844" s="83" t="n"/>
      <c r="I844" s="83" t="n"/>
      <c r="J844" s="83" t="n"/>
      <c r="K844" s="83" t="n"/>
      <c r="L844" s="83" t="n"/>
      <c r="M844" s="83" t="n"/>
      <c r="O844" s="84" t="str">
        <f>IF($C844="","",IFERROR(MATCH($B844&amp;"|"&amp;$C844,MUROS!$AX$11:$AX$70,0),0))</f>
        <v/>
      </c>
      <c r="P844" s="84" t="str">
        <f>IF($D844="","",IF(ISNUMBER(MATCH($D844,CMB_S,0)),1,IF(ISNUMBER(MATCH($D844,CMB_G,0)),2,0)))</f>
        <v/>
      </c>
      <c r="Q844" s="84">
        <f>IF(ISNUMBER($H844),-$H844,0)</f>
        <v>0</v>
      </c>
      <c r="R844" s="84">
        <f>IF(ISNUMBER($I844),ABS($I844),0)</f>
        <v>0</v>
      </c>
      <c r="S844" s="84">
        <f>IF(ISNUMBER($M844),ABS($M844),0)</f>
        <v>0</v>
      </c>
      <c r="T844" s="85" t="n">
        <v>836</v>
      </c>
    </row>
    <row r="845">
      <c r="B845" s="83" t="n"/>
      <c r="C845" s="83" t="n"/>
      <c r="D845" s="83" t="n"/>
      <c r="E845" s="83" t="n"/>
      <c r="F845" s="83" t="n"/>
      <c r="G845" s="83" t="n"/>
      <c r="H845" s="83" t="n"/>
      <c r="I845" s="83" t="n"/>
      <c r="J845" s="83" t="n"/>
      <c r="K845" s="83" t="n"/>
      <c r="L845" s="83" t="n"/>
      <c r="M845" s="83" t="n"/>
      <c r="O845" s="84" t="str">
        <f>IF($C845="","",IFERROR(MATCH($B845&amp;"|"&amp;$C845,MUROS!$AX$11:$AX$70,0),0))</f>
        <v/>
      </c>
      <c r="P845" s="84" t="str">
        <f>IF($D845="","",IF(ISNUMBER(MATCH($D845,CMB_S,0)),1,IF(ISNUMBER(MATCH($D845,CMB_G,0)),2,0)))</f>
        <v/>
      </c>
      <c r="Q845" s="84">
        <f>IF(ISNUMBER($H845),-$H845,0)</f>
        <v>0</v>
      </c>
      <c r="R845" s="84">
        <f>IF(ISNUMBER($I845),ABS($I845),0)</f>
        <v>0</v>
      </c>
      <c r="S845" s="84">
        <f>IF(ISNUMBER($M845),ABS($M845),0)</f>
        <v>0</v>
      </c>
      <c r="T845" s="85" t="n">
        <v>837</v>
      </c>
    </row>
    <row r="846">
      <c r="B846" s="83" t="n"/>
      <c r="C846" s="83" t="n"/>
      <c r="D846" s="83" t="n"/>
      <c r="E846" s="83" t="n"/>
      <c r="F846" s="83" t="n"/>
      <c r="G846" s="83" t="n"/>
      <c r="H846" s="83" t="n"/>
      <c r="I846" s="83" t="n"/>
      <c r="J846" s="83" t="n"/>
      <c r="K846" s="83" t="n"/>
      <c r="L846" s="83" t="n"/>
      <c r="M846" s="83" t="n"/>
      <c r="O846" s="84" t="str">
        <f>IF($C846="","",IFERROR(MATCH($B846&amp;"|"&amp;$C846,MUROS!$AX$11:$AX$70,0),0))</f>
        <v/>
      </c>
      <c r="P846" s="84" t="str">
        <f>IF($D846="","",IF(ISNUMBER(MATCH($D846,CMB_S,0)),1,IF(ISNUMBER(MATCH($D846,CMB_G,0)),2,0)))</f>
        <v/>
      </c>
      <c r="Q846" s="84">
        <f>IF(ISNUMBER($H846),-$H846,0)</f>
        <v>0</v>
      </c>
      <c r="R846" s="84">
        <f>IF(ISNUMBER($I846),ABS($I846),0)</f>
        <v>0</v>
      </c>
      <c r="S846" s="84">
        <f>IF(ISNUMBER($M846),ABS($M846),0)</f>
        <v>0</v>
      </c>
      <c r="T846" s="85" t="n">
        <v>838</v>
      </c>
    </row>
    <row r="847"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83" t="n"/>
      <c r="K847" s="83" t="n"/>
      <c r="L847" s="83" t="n"/>
      <c r="M847" s="83" t="n"/>
      <c r="O847" s="84" t="str">
        <f>IF($C847="","",IFERROR(MATCH($B847&amp;"|"&amp;$C847,MUROS!$AX$11:$AX$70,0),0))</f>
        <v/>
      </c>
      <c r="P847" s="84" t="str">
        <f>IF($D847="","",IF(ISNUMBER(MATCH($D847,CMB_S,0)),1,IF(ISNUMBER(MATCH($D847,CMB_G,0)),2,0)))</f>
        <v/>
      </c>
      <c r="Q847" s="84">
        <f>IF(ISNUMBER($H847),-$H847,0)</f>
        <v>0</v>
      </c>
      <c r="R847" s="84">
        <f>IF(ISNUMBER($I847),ABS($I847),0)</f>
        <v>0</v>
      </c>
      <c r="S847" s="84">
        <f>IF(ISNUMBER($M847),ABS($M847),0)</f>
        <v>0</v>
      </c>
      <c r="T847" s="85" t="n">
        <v>839</v>
      </c>
    </row>
    <row r="848">
      <c r="B848" s="83" t="n"/>
      <c r="C848" s="83" t="n"/>
      <c r="D848" s="83" t="n"/>
      <c r="E848" s="83" t="n"/>
      <c r="F848" s="83" t="n"/>
      <c r="G848" s="83" t="n"/>
      <c r="H848" s="83" t="n"/>
      <c r="I848" s="83" t="n"/>
      <c r="J848" s="83" t="n"/>
      <c r="K848" s="83" t="n"/>
      <c r="L848" s="83" t="n"/>
      <c r="M848" s="83" t="n"/>
      <c r="O848" s="84" t="str">
        <f>IF($C848="","",IFERROR(MATCH($B848&amp;"|"&amp;$C848,MUROS!$AX$11:$AX$70,0),0))</f>
        <v/>
      </c>
      <c r="P848" s="84" t="str">
        <f>IF($D848="","",IF(ISNUMBER(MATCH($D848,CMB_S,0)),1,IF(ISNUMBER(MATCH($D848,CMB_G,0)),2,0)))</f>
        <v/>
      </c>
      <c r="Q848" s="84">
        <f>IF(ISNUMBER($H848),-$H848,0)</f>
        <v>0</v>
      </c>
      <c r="R848" s="84">
        <f>IF(ISNUMBER($I848),ABS($I848),0)</f>
        <v>0</v>
      </c>
      <c r="S848" s="84">
        <f>IF(ISNUMBER($M848),ABS($M848),0)</f>
        <v>0</v>
      </c>
      <c r="T848" s="85" t="n">
        <v>840</v>
      </c>
    </row>
    <row r="849">
      <c r="B849" s="83" t="n"/>
      <c r="C849" s="83" t="n"/>
      <c r="D849" s="83" t="n"/>
      <c r="E849" s="83" t="n"/>
      <c r="F849" s="83" t="n"/>
      <c r="G849" s="83" t="n"/>
      <c r="H849" s="83" t="n"/>
      <c r="I849" s="83" t="n"/>
      <c r="J849" s="83" t="n"/>
      <c r="K849" s="83" t="n"/>
      <c r="L849" s="83" t="n"/>
      <c r="M849" s="83" t="n"/>
      <c r="O849" s="84" t="str">
        <f>IF($C849="","",IFERROR(MATCH($B849&amp;"|"&amp;$C849,MUROS!$AX$11:$AX$70,0),0))</f>
        <v/>
      </c>
      <c r="P849" s="84" t="str">
        <f>IF($D849="","",IF(ISNUMBER(MATCH($D849,CMB_S,0)),1,IF(ISNUMBER(MATCH($D849,CMB_G,0)),2,0)))</f>
        <v/>
      </c>
      <c r="Q849" s="84">
        <f>IF(ISNUMBER($H849),-$H849,0)</f>
        <v>0</v>
      </c>
      <c r="R849" s="84">
        <f>IF(ISNUMBER($I849),ABS($I849),0)</f>
        <v>0</v>
      </c>
      <c r="S849" s="84">
        <f>IF(ISNUMBER($M849),ABS($M849),0)</f>
        <v>0</v>
      </c>
      <c r="T849" s="85" t="n">
        <v>841</v>
      </c>
    </row>
    <row r="850">
      <c r="B850" s="83" t="n"/>
      <c r="C850" s="83" t="n"/>
      <c r="D850" s="83" t="n"/>
      <c r="E850" s="83" t="n"/>
      <c r="F850" s="83" t="n"/>
      <c r="G850" s="83" t="n"/>
      <c r="H850" s="83" t="n"/>
      <c r="I850" s="83" t="n"/>
      <c r="J850" s="83" t="n"/>
      <c r="K850" s="83" t="n"/>
      <c r="L850" s="83" t="n"/>
      <c r="M850" s="83" t="n"/>
      <c r="O850" s="84" t="str">
        <f>IF($C850="","",IFERROR(MATCH($B850&amp;"|"&amp;$C850,MUROS!$AX$11:$AX$70,0),0))</f>
        <v/>
      </c>
      <c r="P850" s="84" t="str">
        <f>IF($D850="","",IF(ISNUMBER(MATCH($D850,CMB_S,0)),1,IF(ISNUMBER(MATCH($D850,CMB_G,0)),2,0)))</f>
        <v/>
      </c>
      <c r="Q850" s="84">
        <f>IF(ISNUMBER($H850),-$H850,0)</f>
        <v>0</v>
      </c>
      <c r="R850" s="84">
        <f>IF(ISNUMBER($I850),ABS($I850),0)</f>
        <v>0</v>
      </c>
      <c r="S850" s="84">
        <f>IF(ISNUMBER($M850),ABS($M850),0)</f>
        <v>0</v>
      </c>
      <c r="T850" s="85" t="n">
        <v>842</v>
      </c>
    </row>
    <row r="851">
      <c r="B851" s="83" t="n"/>
      <c r="C851" s="83" t="n"/>
      <c r="D851" s="83" t="n"/>
      <c r="E851" s="83" t="n"/>
      <c r="F851" s="83" t="n"/>
      <c r="G851" s="83" t="n"/>
      <c r="H851" s="83" t="n"/>
      <c r="I851" s="83" t="n"/>
      <c r="J851" s="83" t="n"/>
      <c r="K851" s="83" t="n"/>
      <c r="L851" s="83" t="n"/>
      <c r="M851" s="83" t="n"/>
      <c r="O851" s="84" t="str">
        <f>IF($C851="","",IFERROR(MATCH($B851&amp;"|"&amp;$C851,MUROS!$AX$11:$AX$70,0),0))</f>
        <v/>
      </c>
      <c r="P851" s="84" t="str">
        <f>IF($D851="","",IF(ISNUMBER(MATCH($D851,CMB_S,0)),1,IF(ISNUMBER(MATCH($D851,CMB_G,0)),2,0)))</f>
        <v/>
      </c>
      <c r="Q851" s="84">
        <f>IF(ISNUMBER($H851),-$H851,0)</f>
        <v>0</v>
      </c>
      <c r="R851" s="84">
        <f>IF(ISNUMBER($I851),ABS($I851),0)</f>
        <v>0</v>
      </c>
      <c r="S851" s="84">
        <f>IF(ISNUMBER($M851),ABS($M851),0)</f>
        <v>0</v>
      </c>
      <c r="T851" s="85" t="n">
        <v>843</v>
      </c>
    </row>
    <row r="852">
      <c r="B852" s="83" t="n"/>
      <c r="C852" s="83" t="n"/>
      <c r="D852" s="83" t="n"/>
      <c r="E852" s="83" t="n"/>
      <c r="F852" s="83" t="n"/>
      <c r="G852" s="83" t="n"/>
      <c r="H852" s="83" t="n"/>
      <c r="I852" s="83" t="n"/>
      <c r="J852" s="83" t="n"/>
      <c r="K852" s="83" t="n"/>
      <c r="L852" s="83" t="n"/>
      <c r="M852" s="83" t="n"/>
      <c r="O852" s="84" t="str">
        <f>IF($C852="","",IFERROR(MATCH($B852&amp;"|"&amp;$C852,MUROS!$AX$11:$AX$70,0),0))</f>
        <v/>
      </c>
      <c r="P852" s="84" t="str">
        <f>IF($D852="","",IF(ISNUMBER(MATCH($D852,CMB_S,0)),1,IF(ISNUMBER(MATCH($D852,CMB_G,0)),2,0)))</f>
        <v/>
      </c>
      <c r="Q852" s="84">
        <f>IF(ISNUMBER($H852),-$H852,0)</f>
        <v>0</v>
      </c>
      <c r="R852" s="84">
        <f>IF(ISNUMBER($I852),ABS($I852),0)</f>
        <v>0</v>
      </c>
      <c r="S852" s="84">
        <f>IF(ISNUMBER($M852),ABS($M852),0)</f>
        <v>0</v>
      </c>
      <c r="T852" s="85" t="n">
        <v>844</v>
      </c>
    </row>
    <row r="853">
      <c r="B853" s="83" t="n"/>
      <c r="C853" s="83" t="n"/>
      <c r="D853" s="83" t="n"/>
      <c r="E853" s="83" t="n"/>
      <c r="F853" s="83" t="n"/>
      <c r="G853" s="83" t="n"/>
      <c r="H853" s="83" t="n"/>
      <c r="I853" s="83" t="n"/>
      <c r="J853" s="83" t="n"/>
      <c r="K853" s="83" t="n"/>
      <c r="L853" s="83" t="n"/>
      <c r="M853" s="83" t="n"/>
      <c r="O853" s="84" t="str">
        <f>IF($C853="","",IFERROR(MATCH($B853&amp;"|"&amp;$C853,MUROS!$AX$11:$AX$70,0),0))</f>
        <v/>
      </c>
      <c r="P853" s="84" t="str">
        <f>IF($D853="","",IF(ISNUMBER(MATCH($D853,CMB_S,0)),1,IF(ISNUMBER(MATCH($D853,CMB_G,0)),2,0)))</f>
        <v/>
      </c>
      <c r="Q853" s="84">
        <f>IF(ISNUMBER($H853),-$H853,0)</f>
        <v>0</v>
      </c>
      <c r="R853" s="84">
        <f>IF(ISNUMBER($I853),ABS($I853),0)</f>
        <v>0</v>
      </c>
      <c r="S853" s="84">
        <f>IF(ISNUMBER($M853),ABS($M853),0)</f>
        <v>0</v>
      </c>
      <c r="T853" s="85" t="n">
        <v>845</v>
      </c>
    </row>
    <row r="854">
      <c r="B854" s="83" t="n"/>
      <c r="C854" s="83" t="n"/>
      <c r="D854" s="83" t="n"/>
      <c r="E854" s="83" t="n"/>
      <c r="F854" s="83" t="n"/>
      <c r="G854" s="83" t="n"/>
      <c r="H854" s="83" t="n"/>
      <c r="I854" s="83" t="n"/>
      <c r="J854" s="83" t="n"/>
      <c r="K854" s="83" t="n"/>
      <c r="L854" s="83" t="n"/>
      <c r="M854" s="83" t="n"/>
      <c r="O854" s="84" t="str">
        <f>IF($C854="","",IFERROR(MATCH($B854&amp;"|"&amp;$C854,MUROS!$AX$11:$AX$70,0),0))</f>
        <v/>
      </c>
      <c r="P854" s="84" t="str">
        <f>IF($D854="","",IF(ISNUMBER(MATCH($D854,CMB_S,0)),1,IF(ISNUMBER(MATCH($D854,CMB_G,0)),2,0)))</f>
        <v/>
      </c>
      <c r="Q854" s="84">
        <f>IF(ISNUMBER($H854),-$H854,0)</f>
        <v>0</v>
      </c>
      <c r="R854" s="84">
        <f>IF(ISNUMBER($I854),ABS($I854),0)</f>
        <v>0</v>
      </c>
      <c r="S854" s="84">
        <f>IF(ISNUMBER($M854),ABS($M854),0)</f>
        <v>0</v>
      </c>
      <c r="T854" s="85" t="n">
        <v>846</v>
      </c>
    </row>
    <row r="855">
      <c r="B855" s="83" t="n"/>
      <c r="C855" s="83" t="n"/>
      <c r="D855" s="83" t="n"/>
      <c r="E855" s="83" t="n"/>
      <c r="F855" s="83" t="n"/>
      <c r="G855" s="83" t="n"/>
      <c r="H855" s="83" t="n"/>
      <c r="I855" s="83" t="n"/>
      <c r="J855" s="83" t="n"/>
      <c r="K855" s="83" t="n"/>
      <c r="L855" s="83" t="n"/>
      <c r="M855" s="83" t="n"/>
      <c r="O855" s="84" t="str">
        <f>IF($C855="","",IFERROR(MATCH($B855&amp;"|"&amp;$C855,MUROS!$AX$11:$AX$70,0),0))</f>
        <v/>
      </c>
      <c r="P855" s="84" t="str">
        <f>IF($D855="","",IF(ISNUMBER(MATCH($D855,CMB_S,0)),1,IF(ISNUMBER(MATCH($D855,CMB_G,0)),2,0)))</f>
        <v/>
      </c>
      <c r="Q855" s="84">
        <f>IF(ISNUMBER($H855),-$H855,0)</f>
        <v>0</v>
      </c>
      <c r="R855" s="84">
        <f>IF(ISNUMBER($I855),ABS($I855),0)</f>
        <v>0</v>
      </c>
      <c r="S855" s="84">
        <f>IF(ISNUMBER($M855),ABS($M855),0)</f>
        <v>0</v>
      </c>
      <c r="T855" s="85" t="n">
        <v>847</v>
      </c>
    </row>
    <row r="856"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83" t="n"/>
      <c r="K856" s="83" t="n"/>
      <c r="L856" s="83" t="n"/>
      <c r="M856" s="83" t="n"/>
      <c r="O856" s="84" t="str">
        <f>IF($C856="","",IFERROR(MATCH($B856&amp;"|"&amp;$C856,MUROS!$AX$11:$AX$70,0),0))</f>
        <v/>
      </c>
      <c r="P856" s="84" t="str">
        <f>IF($D856="","",IF(ISNUMBER(MATCH($D856,CMB_S,0)),1,IF(ISNUMBER(MATCH($D856,CMB_G,0)),2,0)))</f>
        <v/>
      </c>
      <c r="Q856" s="84">
        <f>IF(ISNUMBER($H856),-$H856,0)</f>
        <v>0</v>
      </c>
      <c r="R856" s="84">
        <f>IF(ISNUMBER($I856),ABS($I856),0)</f>
        <v>0</v>
      </c>
      <c r="S856" s="84">
        <f>IF(ISNUMBER($M856),ABS($M856),0)</f>
        <v>0</v>
      </c>
      <c r="T856" s="85" t="n">
        <v>848</v>
      </c>
    </row>
    <row r="857">
      <c r="B857" s="83" t="n"/>
      <c r="C857" s="83" t="n"/>
      <c r="D857" s="83" t="n"/>
      <c r="E857" s="83" t="n"/>
      <c r="F857" s="83" t="n"/>
      <c r="G857" s="83" t="n"/>
      <c r="H857" s="83" t="n"/>
      <c r="I857" s="83" t="n"/>
      <c r="J857" s="83" t="n"/>
      <c r="K857" s="83" t="n"/>
      <c r="L857" s="83" t="n"/>
      <c r="M857" s="83" t="n"/>
      <c r="O857" s="84" t="str">
        <f>IF($C857="","",IFERROR(MATCH($B857&amp;"|"&amp;$C857,MUROS!$AX$11:$AX$70,0),0))</f>
        <v/>
      </c>
      <c r="P857" s="84" t="str">
        <f>IF($D857="","",IF(ISNUMBER(MATCH($D857,CMB_S,0)),1,IF(ISNUMBER(MATCH($D857,CMB_G,0)),2,0)))</f>
        <v/>
      </c>
      <c r="Q857" s="84">
        <f>IF(ISNUMBER($H857),-$H857,0)</f>
        <v>0</v>
      </c>
      <c r="R857" s="84">
        <f>IF(ISNUMBER($I857),ABS($I857),0)</f>
        <v>0</v>
      </c>
      <c r="S857" s="84">
        <f>IF(ISNUMBER($M857),ABS($M857),0)</f>
        <v>0</v>
      </c>
      <c r="T857" s="85" t="n">
        <v>849</v>
      </c>
    </row>
    <row r="858">
      <c r="B858" s="83" t="n"/>
      <c r="C858" s="83" t="n"/>
      <c r="D858" s="83" t="n"/>
      <c r="E858" s="83" t="n"/>
      <c r="F858" s="83" t="n"/>
      <c r="G858" s="83" t="n"/>
      <c r="H858" s="83" t="n"/>
      <c r="I858" s="83" t="n"/>
      <c r="J858" s="83" t="n"/>
      <c r="K858" s="83" t="n"/>
      <c r="L858" s="83" t="n"/>
      <c r="M858" s="83" t="n"/>
      <c r="O858" s="84" t="str">
        <f>IF($C858="","",IFERROR(MATCH($B858&amp;"|"&amp;$C858,MUROS!$AX$11:$AX$70,0),0))</f>
        <v/>
      </c>
      <c r="P858" s="84" t="str">
        <f>IF($D858="","",IF(ISNUMBER(MATCH($D858,CMB_S,0)),1,IF(ISNUMBER(MATCH($D858,CMB_G,0)),2,0)))</f>
        <v/>
      </c>
      <c r="Q858" s="84">
        <f>IF(ISNUMBER($H858),-$H858,0)</f>
        <v>0</v>
      </c>
      <c r="R858" s="84">
        <f>IF(ISNUMBER($I858),ABS($I858),0)</f>
        <v>0</v>
      </c>
      <c r="S858" s="84">
        <f>IF(ISNUMBER($M858),ABS($M858),0)</f>
        <v>0</v>
      </c>
      <c r="T858" s="85" t="n">
        <v>850</v>
      </c>
    </row>
    <row r="859">
      <c r="B859" s="83" t="n"/>
      <c r="C859" s="83" t="n"/>
      <c r="D859" s="83" t="n"/>
      <c r="E859" s="83" t="n"/>
      <c r="F859" s="83" t="n"/>
      <c r="G859" s="83" t="n"/>
      <c r="H859" s="83" t="n"/>
      <c r="I859" s="83" t="n"/>
      <c r="J859" s="83" t="n"/>
      <c r="K859" s="83" t="n"/>
      <c r="L859" s="83" t="n"/>
      <c r="M859" s="83" t="n"/>
      <c r="O859" s="84" t="str">
        <f>IF($C859="","",IFERROR(MATCH($B859&amp;"|"&amp;$C859,MUROS!$AX$11:$AX$70,0),0))</f>
        <v/>
      </c>
      <c r="P859" s="84" t="str">
        <f>IF($D859="","",IF(ISNUMBER(MATCH($D859,CMB_S,0)),1,IF(ISNUMBER(MATCH($D859,CMB_G,0)),2,0)))</f>
        <v/>
      </c>
      <c r="Q859" s="84">
        <f>IF(ISNUMBER($H859),-$H859,0)</f>
        <v>0</v>
      </c>
      <c r="R859" s="84">
        <f>IF(ISNUMBER($I859),ABS($I859),0)</f>
        <v>0</v>
      </c>
      <c r="S859" s="84">
        <f>IF(ISNUMBER($M859),ABS($M859),0)</f>
        <v>0</v>
      </c>
      <c r="T859" s="85" t="n">
        <v>851</v>
      </c>
    </row>
    <row r="860">
      <c r="B860" s="83" t="n"/>
      <c r="C860" s="83" t="n"/>
      <c r="D860" s="83" t="n"/>
      <c r="E860" s="83" t="n"/>
      <c r="F860" s="83" t="n"/>
      <c r="G860" s="83" t="n"/>
      <c r="H860" s="83" t="n"/>
      <c r="I860" s="83" t="n"/>
      <c r="J860" s="83" t="n"/>
      <c r="K860" s="83" t="n"/>
      <c r="L860" s="83" t="n"/>
      <c r="M860" s="83" t="n"/>
      <c r="O860" s="84" t="str">
        <f>IF($C860="","",IFERROR(MATCH($B860&amp;"|"&amp;$C860,MUROS!$AX$11:$AX$70,0),0))</f>
        <v/>
      </c>
      <c r="P860" s="84" t="str">
        <f>IF($D860="","",IF(ISNUMBER(MATCH($D860,CMB_S,0)),1,IF(ISNUMBER(MATCH($D860,CMB_G,0)),2,0)))</f>
        <v/>
      </c>
      <c r="Q860" s="84">
        <f>IF(ISNUMBER($H860),-$H860,0)</f>
        <v>0</v>
      </c>
      <c r="R860" s="84">
        <f>IF(ISNUMBER($I860),ABS($I860),0)</f>
        <v>0</v>
      </c>
      <c r="S860" s="84">
        <f>IF(ISNUMBER($M860),ABS($M860),0)</f>
        <v>0</v>
      </c>
      <c r="T860" s="85" t="n">
        <v>852</v>
      </c>
    </row>
    <row r="861">
      <c r="B861" s="83" t="n"/>
      <c r="C861" s="83" t="n"/>
      <c r="D861" s="83" t="n"/>
      <c r="E861" s="83" t="n"/>
      <c r="F861" s="83" t="n"/>
      <c r="G861" s="83" t="n"/>
      <c r="H861" s="83" t="n"/>
      <c r="I861" s="83" t="n"/>
      <c r="J861" s="83" t="n"/>
      <c r="K861" s="83" t="n"/>
      <c r="L861" s="83" t="n"/>
      <c r="M861" s="83" t="n"/>
      <c r="O861" s="84" t="str">
        <f>IF($C861="","",IFERROR(MATCH($B861&amp;"|"&amp;$C861,MUROS!$AX$11:$AX$70,0),0))</f>
        <v/>
      </c>
      <c r="P861" s="84" t="str">
        <f>IF($D861="","",IF(ISNUMBER(MATCH($D861,CMB_S,0)),1,IF(ISNUMBER(MATCH($D861,CMB_G,0)),2,0)))</f>
        <v/>
      </c>
      <c r="Q861" s="84">
        <f>IF(ISNUMBER($H861),-$H861,0)</f>
        <v>0</v>
      </c>
      <c r="R861" s="84">
        <f>IF(ISNUMBER($I861),ABS($I861),0)</f>
        <v>0</v>
      </c>
      <c r="S861" s="84">
        <f>IF(ISNUMBER($M861),ABS($M861),0)</f>
        <v>0</v>
      </c>
      <c r="T861" s="85" t="n">
        <v>853</v>
      </c>
    </row>
    <row r="862">
      <c r="B862" s="83" t="n"/>
      <c r="C862" s="83" t="n"/>
      <c r="D862" s="83" t="n"/>
      <c r="E862" s="83" t="n"/>
      <c r="F862" s="83" t="n"/>
      <c r="G862" s="83" t="n"/>
      <c r="H862" s="83" t="n"/>
      <c r="I862" s="83" t="n"/>
      <c r="J862" s="83" t="n"/>
      <c r="K862" s="83" t="n"/>
      <c r="L862" s="83" t="n"/>
      <c r="M862" s="83" t="n"/>
      <c r="O862" s="84" t="str">
        <f>IF($C862="","",IFERROR(MATCH($B862&amp;"|"&amp;$C862,MUROS!$AX$11:$AX$70,0),0))</f>
        <v/>
      </c>
      <c r="P862" s="84" t="str">
        <f>IF($D862="","",IF(ISNUMBER(MATCH($D862,CMB_S,0)),1,IF(ISNUMBER(MATCH($D862,CMB_G,0)),2,0)))</f>
        <v/>
      </c>
      <c r="Q862" s="84">
        <f>IF(ISNUMBER($H862),-$H862,0)</f>
        <v>0</v>
      </c>
      <c r="R862" s="84">
        <f>IF(ISNUMBER($I862),ABS($I862),0)</f>
        <v>0</v>
      </c>
      <c r="S862" s="84">
        <f>IF(ISNUMBER($M862),ABS($M862),0)</f>
        <v>0</v>
      </c>
      <c r="T862" s="85" t="n">
        <v>854</v>
      </c>
    </row>
    <row r="863">
      <c r="B863" s="83" t="n"/>
      <c r="C863" s="83" t="n"/>
      <c r="D863" s="83" t="n"/>
      <c r="E863" s="83" t="n"/>
      <c r="F863" s="83" t="n"/>
      <c r="G863" s="83" t="n"/>
      <c r="H863" s="83" t="n"/>
      <c r="I863" s="83" t="n"/>
      <c r="J863" s="83" t="n"/>
      <c r="K863" s="83" t="n"/>
      <c r="L863" s="83" t="n"/>
      <c r="M863" s="83" t="n"/>
      <c r="O863" s="84" t="str">
        <f>IF($C863="","",IFERROR(MATCH($B863&amp;"|"&amp;$C863,MUROS!$AX$11:$AX$70,0),0))</f>
        <v/>
      </c>
      <c r="P863" s="84" t="str">
        <f>IF($D863="","",IF(ISNUMBER(MATCH($D863,CMB_S,0)),1,IF(ISNUMBER(MATCH($D863,CMB_G,0)),2,0)))</f>
        <v/>
      </c>
      <c r="Q863" s="84">
        <f>IF(ISNUMBER($H863),-$H863,0)</f>
        <v>0</v>
      </c>
      <c r="R863" s="84">
        <f>IF(ISNUMBER($I863),ABS($I863),0)</f>
        <v>0</v>
      </c>
      <c r="S863" s="84">
        <f>IF(ISNUMBER($M863),ABS($M863),0)</f>
        <v>0</v>
      </c>
      <c r="T863" s="85" t="n">
        <v>855</v>
      </c>
    </row>
    <row r="864">
      <c r="B864" s="83" t="n"/>
      <c r="C864" s="83" t="n"/>
      <c r="D864" s="83" t="n"/>
      <c r="E864" s="83" t="n"/>
      <c r="F864" s="83" t="n"/>
      <c r="G864" s="83" t="n"/>
      <c r="H864" s="83" t="n"/>
      <c r="I864" s="83" t="n"/>
      <c r="J864" s="83" t="n"/>
      <c r="K864" s="83" t="n"/>
      <c r="L864" s="83" t="n"/>
      <c r="M864" s="83" t="n"/>
      <c r="O864" s="84" t="str">
        <f>IF($C864="","",IFERROR(MATCH($B864&amp;"|"&amp;$C864,MUROS!$AX$11:$AX$70,0),0))</f>
        <v/>
      </c>
      <c r="P864" s="84" t="str">
        <f>IF($D864="","",IF(ISNUMBER(MATCH($D864,CMB_S,0)),1,IF(ISNUMBER(MATCH($D864,CMB_G,0)),2,0)))</f>
        <v/>
      </c>
      <c r="Q864" s="84">
        <f>IF(ISNUMBER($H864),-$H864,0)</f>
        <v>0</v>
      </c>
      <c r="R864" s="84">
        <f>IF(ISNUMBER($I864),ABS($I864),0)</f>
        <v>0</v>
      </c>
      <c r="S864" s="84">
        <f>IF(ISNUMBER($M864),ABS($M864),0)</f>
        <v>0</v>
      </c>
      <c r="T864" s="85" t="n">
        <v>856</v>
      </c>
    </row>
    <row r="865"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83" t="n"/>
      <c r="K865" s="83" t="n"/>
      <c r="L865" s="83" t="n"/>
      <c r="M865" s="83" t="n"/>
      <c r="O865" s="84" t="str">
        <f>IF($C865="","",IFERROR(MATCH($B865&amp;"|"&amp;$C865,MUROS!$AX$11:$AX$70,0),0))</f>
        <v/>
      </c>
      <c r="P865" s="84" t="str">
        <f>IF($D865="","",IF(ISNUMBER(MATCH($D865,CMB_S,0)),1,IF(ISNUMBER(MATCH($D865,CMB_G,0)),2,0)))</f>
        <v/>
      </c>
      <c r="Q865" s="84">
        <f>IF(ISNUMBER($H865),-$H865,0)</f>
        <v>0</v>
      </c>
      <c r="R865" s="84">
        <f>IF(ISNUMBER($I865),ABS($I865),0)</f>
        <v>0</v>
      </c>
      <c r="S865" s="84">
        <f>IF(ISNUMBER($M865),ABS($M865),0)</f>
        <v>0</v>
      </c>
      <c r="T865" s="85" t="n">
        <v>857</v>
      </c>
    </row>
    <row r="866">
      <c r="B866" s="83" t="n"/>
      <c r="C866" s="83" t="n"/>
      <c r="D866" s="83" t="n"/>
      <c r="E866" s="83" t="n"/>
      <c r="F866" s="83" t="n"/>
      <c r="G866" s="83" t="n"/>
      <c r="H866" s="83" t="n"/>
      <c r="I866" s="83" t="n"/>
      <c r="J866" s="83" t="n"/>
      <c r="K866" s="83" t="n"/>
      <c r="L866" s="83" t="n"/>
      <c r="M866" s="83" t="n"/>
      <c r="O866" s="84" t="str">
        <f>IF($C866="","",IFERROR(MATCH($B866&amp;"|"&amp;$C866,MUROS!$AX$11:$AX$70,0),0))</f>
        <v/>
      </c>
      <c r="P866" s="84" t="str">
        <f>IF($D866="","",IF(ISNUMBER(MATCH($D866,CMB_S,0)),1,IF(ISNUMBER(MATCH($D866,CMB_G,0)),2,0)))</f>
        <v/>
      </c>
      <c r="Q866" s="84">
        <f>IF(ISNUMBER($H866),-$H866,0)</f>
        <v>0</v>
      </c>
      <c r="R866" s="84">
        <f>IF(ISNUMBER($I866),ABS($I866),0)</f>
        <v>0</v>
      </c>
      <c r="S866" s="84">
        <f>IF(ISNUMBER($M866),ABS($M866),0)</f>
        <v>0</v>
      </c>
      <c r="T866" s="85" t="n">
        <v>858</v>
      </c>
    </row>
    <row r="867">
      <c r="B867" s="83" t="n"/>
      <c r="C867" s="83" t="n"/>
      <c r="D867" s="83" t="n"/>
      <c r="E867" s="83" t="n"/>
      <c r="F867" s="83" t="n"/>
      <c r="G867" s="83" t="n"/>
      <c r="H867" s="83" t="n"/>
      <c r="I867" s="83" t="n"/>
      <c r="J867" s="83" t="n"/>
      <c r="K867" s="83" t="n"/>
      <c r="L867" s="83" t="n"/>
      <c r="M867" s="83" t="n"/>
      <c r="O867" s="84" t="str">
        <f>IF($C867="","",IFERROR(MATCH($B867&amp;"|"&amp;$C867,MUROS!$AX$11:$AX$70,0),0))</f>
        <v/>
      </c>
      <c r="P867" s="84" t="str">
        <f>IF($D867="","",IF(ISNUMBER(MATCH($D867,CMB_S,0)),1,IF(ISNUMBER(MATCH($D867,CMB_G,0)),2,0)))</f>
        <v/>
      </c>
      <c r="Q867" s="84">
        <f>IF(ISNUMBER($H867),-$H867,0)</f>
        <v>0</v>
      </c>
      <c r="R867" s="84">
        <f>IF(ISNUMBER($I867),ABS($I867),0)</f>
        <v>0</v>
      </c>
      <c r="S867" s="84">
        <f>IF(ISNUMBER($M867),ABS($M867),0)</f>
        <v>0</v>
      </c>
      <c r="T867" s="85" t="n">
        <v>859</v>
      </c>
    </row>
    <row r="868">
      <c r="B868" s="83" t="n"/>
      <c r="C868" s="83" t="n"/>
      <c r="D868" s="83" t="n"/>
      <c r="E868" s="83" t="n"/>
      <c r="F868" s="83" t="n"/>
      <c r="G868" s="83" t="n"/>
      <c r="H868" s="83" t="n"/>
      <c r="I868" s="83" t="n"/>
      <c r="J868" s="83" t="n"/>
      <c r="K868" s="83" t="n"/>
      <c r="L868" s="83" t="n"/>
      <c r="M868" s="83" t="n"/>
      <c r="O868" s="84" t="str">
        <f>IF($C868="","",IFERROR(MATCH($B868&amp;"|"&amp;$C868,MUROS!$AX$11:$AX$70,0),0))</f>
        <v/>
      </c>
      <c r="P868" s="84" t="str">
        <f>IF($D868="","",IF(ISNUMBER(MATCH($D868,CMB_S,0)),1,IF(ISNUMBER(MATCH($D868,CMB_G,0)),2,0)))</f>
        <v/>
      </c>
      <c r="Q868" s="84">
        <f>IF(ISNUMBER($H868),-$H868,0)</f>
        <v>0</v>
      </c>
      <c r="R868" s="84">
        <f>IF(ISNUMBER($I868),ABS($I868),0)</f>
        <v>0</v>
      </c>
      <c r="S868" s="84">
        <f>IF(ISNUMBER($M868),ABS($M868),0)</f>
        <v>0</v>
      </c>
      <c r="T868" s="85" t="n">
        <v>860</v>
      </c>
    </row>
    <row r="869">
      <c r="B869" s="83" t="n"/>
      <c r="C869" s="83" t="n"/>
      <c r="D869" s="83" t="n"/>
      <c r="E869" s="83" t="n"/>
      <c r="F869" s="83" t="n"/>
      <c r="G869" s="83" t="n"/>
      <c r="H869" s="83" t="n"/>
      <c r="I869" s="83" t="n"/>
      <c r="J869" s="83" t="n"/>
      <c r="K869" s="83" t="n"/>
      <c r="L869" s="83" t="n"/>
      <c r="M869" s="83" t="n"/>
      <c r="O869" s="84" t="str">
        <f>IF($C869="","",IFERROR(MATCH($B869&amp;"|"&amp;$C869,MUROS!$AX$11:$AX$70,0),0))</f>
        <v/>
      </c>
      <c r="P869" s="84" t="str">
        <f>IF($D869="","",IF(ISNUMBER(MATCH($D869,CMB_S,0)),1,IF(ISNUMBER(MATCH($D869,CMB_G,0)),2,0)))</f>
        <v/>
      </c>
      <c r="Q869" s="84">
        <f>IF(ISNUMBER($H869),-$H869,0)</f>
        <v>0</v>
      </c>
      <c r="R869" s="84">
        <f>IF(ISNUMBER($I869),ABS($I869),0)</f>
        <v>0</v>
      </c>
      <c r="S869" s="84">
        <f>IF(ISNUMBER($M869),ABS($M869),0)</f>
        <v>0</v>
      </c>
      <c r="T869" s="85" t="n">
        <v>861</v>
      </c>
    </row>
    <row r="870">
      <c r="B870" s="83" t="n"/>
      <c r="C870" s="83" t="n"/>
      <c r="D870" s="83" t="n"/>
      <c r="E870" s="83" t="n"/>
      <c r="F870" s="83" t="n"/>
      <c r="G870" s="83" t="n"/>
      <c r="H870" s="83" t="n"/>
      <c r="I870" s="83" t="n"/>
      <c r="J870" s="83" t="n"/>
      <c r="K870" s="83" t="n"/>
      <c r="L870" s="83" t="n"/>
      <c r="M870" s="83" t="n"/>
      <c r="O870" s="84" t="str">
        <f>IF($C870="","",IFERROR(MATCH($B870&amp;"|"&amp;$C870,MUROS!$AX$11:$AX$70,0),0))</f>
        <v/>
      </c>
      <c r="P870" s="84" t="str">
        <f>IF($D870="","",IF(ISNUMBER(MATCH($D870,CMB_S,0)),1,IF(ISNUMBER(MATCH($D870,CMB_G,0)),2,0)))</f>
        <v/>
      </c>
      <c r="Q870" s="84">
        <f>IF(ISNUMBER($H870),-$H870,0)</f>
        <v>0</v>
      </c>
      <c r="R870" s="84">
        <f>IF(ISNUMBER($I870),ABS($I870),0)</f>
        <v>0</v>
      </c>
      <c r="S870" s="84">
        <f>IF(ISNUMBER($M870),ABS($M870),0)</f>
        <v>0</v>
      </c>
      <c r="T870" s="85" t="n">
        <v>862</v>
      </c>
    </row>
    <row r="871">
      <c r="B871" s="83" t="n"/>
      <c r="C871" s="83" t="n"/>
      <c r="D871" s="83" t="n"/>
      <c r="E871" s="83" t="n"/>
      <c r="F871" s="83" t="n"/>
      <c r="G871" s="83" t="n"/>
      <c r="H871" s="83" t="n"/>
      <c r="I871" s="83" t="n"/>
      <c r="J871" s="83" t="n"/>
      <c r="K871" s="83" t="n"/>
      <c r="L871" s="83" t="n"/>
      <c r="M871" s="83" t="n"/>
      <c r="O871" s="84" t="str">
        <f>IF($C871="","",IFERROR(MATCH($B871&amp;"|"&amp;$C871,MUROS!$AX$11:$AX$70,0),0))</f>
        <v/>
      </c>
      <c r="P871" s="84" t="str">
        <f>IF($D871="","",IF(ISNUMBER(MATCH($D871,CMB_S,0)),1,IF(ISNUMBER(MATCH($D871,CMB_G,0)),2,0)))</f>
        <v/>
      </c>
      <c r="Q871" s="84">
        <f>IF(ISNUMBER($H871),-$H871,0)</f>
        <v>0</v>
      </c>
      <c r="R871" s="84">
        <f>IF(ISNUMBER($I871),ABS($I871),0)</f>
        <v>0</v>
      </c>
      <c r="S871" s="84">
        <f>IF(ISNUMBER($M871),ABS($M871),0)</f>
        <v>0</v>
      </c>
      <c r="T871" s="85" t="n">
        <v>863</v>
      </c>
    </row>
    <row r="872">
      <c r="B872" s="83" t="n"/>
      <c r="C872" s="83" t="n"/>
      <c r="D872" s="83" t="n"/>
      <c r="E872" s="83" t="n"/>
      <c r="F872" s="83" t="n"/>
      <c r="G872" s="83" t="n"/>
      <c r="H872" s="83" t="n"/>
      <c r="I872" s="83" t="n"/>
      <c r="J872" s="83" t="n"/>
      <c r="K872" s="83" t="n"/>
      <c r="L872" s="83" t="n"/>
      <c r="M872" s="83" t="n"/>
      <c r="O872" s="84" t="str">
        <f>IF($C872="","",IFERROR(MATCH($B872&amp;"|"&amp;$C872,MUROS!$AX$11:$AX$70,0),0))</f>
        <v/>
      </c>
      <c r="P872" s="84" t="str">
        <f>IF($D872="","",IF(ISNUMBER(MATCH($D872,CMB_S,0)),1,IF(ISNUMBER(MATCH($D872,CMB_G,0)),2,0)))</f>
        <v/>
      </c>
      <c r="Q872" s="84">
        <f>IF(ISNUMBER($H872),-$H872,0)</f>
        <v>0</v>
      </c>
      <c r="R872" s="84">
        <f>IF(ISNUMBER($I872),ABS($I872),0)</f>
        <v>0</v>
      </c>
      <c r="S872" s="84">
        <f>IF(ISNUMBER($M872),ABS($M872),0)</f>
        <v>0</v>
      </c>
      <c r="T872" s="85" t="n">
        <v>864</v>
      </c>
    </row>
    <row r="873">
      <c r="B873" s="83" t="n"/>
      <c r="C873" s="83" t="n"/>
      <c r="D873" s="83" t="n"/>
      <c r="E873" s="83" t="n"/>
      <c r="F873" s="83" t="n"/>
      <c r="G873" s="83" t="n"/>
      <c r="H873" s="83" t="n"/>
      <c r="I873" s="83" t="n"/>
      <c r="J873" s="83" t="n"/>
      <c r="K873" s="83" t="n"/>
      <c r="L873" s="83" t="n"/>
      <c r="M873" s="83" t="n"/>
      <c r="O873" s="84" t="str">
        <f>IF($C873="","",IFERROR(MATCH($B873&amp;"|"&amp;$C873,MUROS!$AX$11:$AX$70,0),0))</f>
        <v/>
      </c>
      <c r="P873" s="84" t="str">
        <f>IF($D873="","",IF(ISNUMBER(MATCH($D873,CMB_S,0)),1,IF(ISNUMBER(MATCH($D873,CMB_G,0)),2,0)))</f>
        <v/>
      </c>
      <c r="Q873" s="84">
        <f>IF(ISNUMBER($H873),-$H873,0)</f>
        <v>0</v>
      </c>
      <c r="R873" s="84">
        <f>IF(ISNUMBER($I873),ABS($I873),0)</f>
        <v>0</v>
      </c>
      <c r="S873" s="84">
        <f>IF(ISNUMBER($M873),ABS($M873),0)</f>
        <v>0</v>
      </c>
      <c r="T873" s="85" t="n">
        <v>865</v>
      </c>
    </row>
    <row r="874"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83" t="n"/>
      <c r="K874" s="83" t="n"/>
      <c r="L874" s="83" t="n"/>
      <c r="M874" s="83" t="n"/>
      <c r="O874" s="84" t="str">
        <f>IF($C874="","",IFERROR(MATCH($B874&amp;"|"&amp;$C874,MUROS!$AX$11:$AX$70,0),0))</f>
        <v/>
      </c>
      <c r="P874" s="84" t="str">
        <f>IF($D874="","",IF(ISNUMBER(MATCH($D874,CMB_S,0)),1,IF(ISNUMBER(MATCH($D874,CMB_G,0)),2,0)))</f>
        <v/>
      </c>
      <c r="Q874" s="84">
        <f>IF(ISNUMBER($H874),-$H874,0)</f>
        <v>0</v>
      </c>
      <c r="R874" s="84">
        <f>IF(ISNUMBER($I874),ABS($I874),0)</f>
        <v>0</v>
      </c>
      <c r="S874" s="84">
        <f>IF(ISNUMBER($M874),ABS($M874),0)</f>
        <v>0</v>
      </c>
      <c r="T874" s="85" t="n">
        <v>866</v>
      </c>
    </row>
    <row r="875">
      <c r="B875" s="83" t="n"/>
      <c r="C875" s="83" t="n"/>
      <c r="D875" s="83" t="n"/>
      <c r="E875" s="83" t="n"/>
      <c r="F875" s="83" t="n"/>
      <c r="G875" s="83" t="n"/>
      <c r="H875" s="83" t="n"/>
      <c r="I875" s="83" t="n"/>
      <c r="J875" s="83" t="n"/>
      <c r="K875" s="83" t="n"/>
      <c r="L875" s="83" t="n"/>
      <c r="M875" s="83" t="n"/>
      <c r="O875" s="84" t="str">
        <f>IF($C875="","",IFERROR(MATCH($B875&amp;"|"&amp;$C875,MUROS!$AX$11:$AX$70,0),0))</f>
        <v/>
      </c>
      <c r="P875" s="84" t="str">
        <f>IF($D875="","",IF(ISNUMBER(MATCH($D875,CMB_S,0)),1,IF(ISNUMBER(MATCH($D875,CMB_G,0)),2,0)))</f>
        <v/>
      </c>
      <c r="Q875" s="84">
        <f>IF(ISNUMBER($H875),-$H875,0)</f>
        <v>0</v>
      </c>
      <c r="R875" s="84">
        <f>IF(ISNUMBER($I875),ABS($I875),0)</f>
        <v>0</v>
      </c>
      <c r="S875" s="84">
        <f>IF(ISNUMBER($M875),ABS($M875),0)</f>
        <v>0</v>
      </c>
      <c r="T875" s="85" t="n">
        <v>867</v>
      </c>
    </row>
    <row r="876">
      <c r="B876" s="83" t="n"/>
      <c r="C876" s="83" t="n"/>
      <c r="D876" s="83" t="n"/>
      <c r="E876" s="83" t="n"/>
      <c r="F876" s="83" t="n"/>
      <c r="G876" s="83" t="n"/>
      <c r="H876" s="83" t="n"/>
      <c r="I876" s="83" t="n"/>
      <c r="J876" s="83" t="n"/>
      <c r="K876" s="83" t="n"/>
      <c r="L876" s="83" t="n"/>
      <c r="M876" s="83" t="n"/>
      <c r="O876" s="84" t="str">
        <f>IF($C876="","",IFERROR(MATCH($B876&amp;"|"&amp;$C876,MUROS!$AX$11:$AX$70,0),0))</f>
        <v/>
      </c>
      <c r="P876" s="84" t="str">
        <f>IF($D876="","",IF(ISNUMBER(MATCH($D876,CMB_S,0)),1,IF(ISNUMBER(MATCH($D876,CMB_G,0)),2,0)))</f>
        <v/>
      </c>
      <c r="Q876" s="84">
        <f>IF(ISNUMBER($H876),-$H876,0)</f>
        <v>0</v>
      </c>
      <c r="R876" s="84">
        <f>IF(ISNUMBER($I876),ABS($I876),0)</f>
        <v>0</v>
      </c>
      <c r="S876" s="84">
        <f>IF(ISNUMBER($M876),ABS($M876),0)</f>
        <v>0</v>
      </c>
      <c r="T876" s="85" t="n">
        <v>868</v>
      </c>
    </row>
    <row r="877">
      <c r="B877" s="83" t="n"/>
      <c r="C877" s="83" t="n"/>
      <c r="D877" s="83" t="n"/>
      <c r="E877" s="83" t="n"/>
      <c r="F877" s="83" t="n"/>
      <c r="G877" s="83" t="n"/>
      <c r="H877" s="83" t="n"/>
      <c r="I877" s="83" t="n"/>
      <c r="J877" s="83" t="n"/>
      <c r="K877" s="83" t="n"/>
      <c r="L877" s="83" t="n"/>
      <c r="M877" s="83" t="n"/>
      <c r="O877" s="84" t="str">
        <f>IF($C877="","",IFERROR(MATCH($B877&amp;"|"&amp;$C877,MUROS!$AX$11:$AX$70,0),0))</f>
        <v/>
      </c>
      <c r="P877" s="84" t="str">
        <f>IF($D877="","",IF(ISNUMBER(MATCH($D877,CMB_S,0)),1,IF(ISNUMBER(MATCH($D877,CMB_G,0)),2,0)))</f>
        <v/>
      </c>
      <c r="Q877" s="84">
        <f>IF(ISNUMBER($H877),-$H877,0)</f>
        <v>0</v>
      </c>
      <c r="R877" s="84">
        <f>IF(ISNUMBER($I877),ABS($I877),0)</f>
        <v>0</v>
      </c>
      <c r="S877" s="84">
        <f>IF(ISNUMBER($M877),ABS($M877),0)</f>
        <v>0</v>
      </c>
      <c r="T877" s="85" t="n">
        <v>869</v>
      </c>
    </row>
    <row r="878">
      <c r="B878" s="83" t="n"/>
      <c r="C878" s="83" t="n"/>
      <c r="D878" s="83" t="n"/>
      <c r="E878" s="83" t="n"/>
      <c r="F878" s="83" t="n"/>
      <c r="G878" s="83" t="n"/>
      <c r="H878" s="83" t="n"/>
      <c r="I878" s="83" t="n"/>
      <c r="J878" s="83" t="n"/>
      <c r="K878" s="83" t="n"/>
      <c r="L878" s="83" t="n"/>
      <c r="M878" s="83" t="n"/>
      <c r="O878" s="84" t="str">
        <f>IF($C878="","",IFERROR(MATCH($B878&amp;"|"&amp;$C878,MUROS!$AX$11:$AX$70,0),0))</f>
        <v/>
      </c>
      <c r="P878" s="84" t="str">
        <f>IF($D878="","",IF(ISNUMBER(MATCH($D878,CMB_S,0)),1,IF(ISNUMBER(MATCH($D878,CMB_G,0)),2,0)))</f>
        <v/>
      </c>
      <c r="Q878" s="84">
        <f>IF(ISNUMBER($H878),-$H878,0)</f>
        <v>0</v>
      </c>
      <c r="R878" s="84">
        <f>IF(ISNUMBER($I878),ABS($I878),0)</f>
        <v>0</v>
      </c>
      <c r="S878" s="84">
        <f>IF(ISNUMBER($M878),ABS($M878),0)</f>
        <v>0</v>
      </c>
      <c r="T878" s="85" t="n">
        <v>870</v>
      </c>
    </row>
    <row r="879">
      <c r="B879" s="83" t="n"/>
      <c r="C879" s="83" t="n"/>
      <c r="D879" s="83" t="n"/>
      <c r="E879" s="83" t="n"/>
      <c r="F879" s="83" t="n"/>
      <c r="G879" s="83" t="n"/>
      <c r="H879" s="83" t="n"/>
      <c r="I879" s="83" t="n"/>
      <c r="J879" s="83" t="n"/>
      <c r="K879" s="83" t="n"/>
      <c r="L879" s="83" t="n"/>
      <c r="M879" s="83" t="n"/>
      <c r="O879" s="84" t="str">
        <f>IF($C879="","",IFERROR(MATCH($B879&amp;"|"&amp;$C879,MUROS!$AX$11:$AX$70,0),0))</f>
        <v/>
      </c>
      <c r="P879" s="84" t="str">
        <f>IF($D879="","",IF(ISNUMBER(MATCH($D879,CMB_S,0)),1,IF(ISNUMBER(MATCH($D879,CMB_G,0)),2,0)))</f>
        <v/>
      </c>
      <c r="Q879" s="84">
        <f>IF(ISNUMBER($H879),-$H879,0)</f>
        <v>0</v>
      </c>
      <c r="R879" s="84">
        <f>IF(ISNUMBER($I879),ABS($I879),0)</f>
        <v>0</v>
      </c>
      <c r="S879" s="84">
        <f>IF(ISNUMBER($M879),ABS($M879),0)</f>
        <v>0</v>
      </c>
      <c r="T879" s="85" t="n">
        <v>871</v>
      </c>
    </row>
    <row r="880">
      <c r="B880" s="83" t="n"/>
      <c r="C880" s="83" t="n"/>
      <c r="D880" s="83" t="n"/>
      <c r="E880" s="83" t="n"/>
      <c r="F880" s="83" t="n"/>
      <c r="G880" s="83" t="n"/>
      <c r="H880" s="83" t="n"/>
      <c r="I880" s="83" t="n"/>
      <c r="J880" s="83" t="n"/>
      <c r="K880" s="83" t="n"/>
      <c r="L880" s="83" t="n"/>
      <c r="M880" s="83" t="n"/>
      <c r="O880" s="84" t="str">
        <f>IF($C880="","",IFERROR(MATCH($B880&amp;"|"&amp;$C880,MUROS!$AX$11:$AX$70,0),0))</f>
        <v/>
      </c>
      <c r="P880" s="84" t="str">
        <f>IF($D880="","",IF(ISNUMBER(MATCH($D880,CMB_S,0)),1,IF(ISNUMBER(MATCH($D880,CMB_G,0)),2,0)))</f>
        <v/>
      </c>
      <c r="Q880" s="84">
        <f>IF(ISNUMBER($H880),-$H880,0)</f>
        <v>0</v>
      </c>
      <c r="R880" s="84">
        <f>IF(ISNUMBER($I880),ABS($I880),0)</f>
        <v>0</v>
      </c>
      <c r="S880" s="84">
        <f>IF(ISNUMBER($M880),ABS($M880),0)</f>
        <v>0</v>
      </c>
      <c r="T880" s="85" t="n">
        <v>872</v>
      </c>
    </row>
    <row r="881">
      <c r="B881" s="83" t="n"/>
      <c r="C881" s="83" t="n"/>
      <c r="D881" s="83" t="n"/>
      <c r="E881" s="83" t="n"/>
      <c r="F881" s="83" t="n"/>
      <c r="G881" s="83" t="n"/>
      <c r="H881" s="83" t="n"/>
      <c r="I881" s="83" t="n"/>
      <c r="J881" s="83" t="n"/>
      <c r="K881" s="83" t="n"/>
      <c r="L881" s="83" t="n"/>
      <c r="M881" s="83" t="n"/>
      <c r="O881" s="84" t="str">
        <f>IF($C881="","",IFERROR(MATCH($B881&amp;"|"&amp;$C881,MUROS!$AX$11:$AX$70,0),0))</f>
        <v/>
      </c>
      <c r="P881" s="84" t="str">
        <f>IF($D881="","",IF(ISNUMBER(MATCH($D881,CMB_S,0)),1,IF(ISNUMBER(MATCH($D881,CMB_G,0)),2,0)))</f>
        <v/>
      </c>
      <c r="Q881" s="84">
        <f>IF(ISNUMBER($H881),-$H881,0)</f>
        <v>0</v>
      </c>
      <c r="R881" s="84">
        <f>IF(ISNUMBER($I881),ABS($I881),0)</f>
        <v>0</v>
      </c>
      <c r="S881" s="84">
        <f>IF(ISNUMBER($M881),ABS($M881),0)</f>
        <v>0</v>
      </c>
      <c r="T881" s="85" t="n">
        <v>873</v>
      </c>
    </row>
    <row r="882">
      <c r="B882" s="83" t="n"/>
      <c r="C882" s="83" t="n"/>
      <c r="D882" s="83" t="n"/>
      <c r="E882" s="83" t="n"/>
      <c r="F882" s="83" t="n"/>
      <c r="G882" s="83" t="n"/>
      <c r="H882" s="83" t="n"/>
      <c r="I882" s="83" t="n"/>
      <c r="J882" s="83" t="n"/>
      <c r="K882" s="83" t="n"/>
      <c r="L882" s="83" t="n"/>
      <c r="M882" s="83" t="n"/>
      <c r="O882" s="84" t="str">
        <f>IF($C882="","",IFERROR(MATCH($B882&amp;"|"&amp;$C882,MUROS!$AX$11:$AX$70,0),0))</f>
        <v/>
      </c>
      <c r="P882" s="84" t="str">
        <f>IF($D882="","",IF(ISNUMBER(MATCH($D882,CMB_S,0)),1,IF(ISNUMBER(MATCH($D882,CMB_G,0)),2,0)))</f>
        <v/>
      </c>
      <c r="Q882" s="84">
        <f>IF(ISNUMBER($H882),-$H882,0)</f>
        <v>0</v>
      </c>
      <c r="R882" s="84">
        <f>IF(ISNUMBER($I882),ABS($I882),0)</f>
        <v>0</v>
      </c>
      <c r="S882" s="84">
        <f>IF(ISNUMBER($M882),ABS($M882),0)</f>
        <v>0</v>
      </c>
      <c r="T882" s="85" t="n">
        <v>874</v>
      </c>
    </row>
    <row r="883"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83" t="n"/>
      <c r="K883" s="83" t="n"/>
      <c r="L883" s="83" t="n"/>
      <c r="M883" s="83" t="n"/>
      <c r="O883" s="84" t="str">
        <f>IF($C883="","",IFERROR(MATCH($B883&amp;"|"&amp;$C883,MUROS!$AX$11:$AX$70,0),0))</f>
        <v/>
      </c>
      <c r="P883" s="84" t="str">
        <f>IF($D883="","",IF(ISNUMBER(MATCH($D883,CMB_S,0)),1,IF(ISNUMBER(MATCH($D883,CMB_G,0)),2,0)))</f>
        <v/>
      </c>
      <c r="Q883" s="84">
        <f>IF(ISNUMBER($H883),-$H883,0)</f>
        <v>0</v>
      </c>
      <c r="R883" s="84">
        <f>IF(ISNUMBER($I883),ABS($I883),0)</f>
        <v>0</v>
      </c>
      <c r="S883" s="84">
        <f>IF(ISNUMBER($M883),ABS($M883),0)</f>
        <v>0</v>
      </c>
      <c r="T883" s="85" t="n">
        <v>875</v>
      </c>
    </row>
    <row r="884">
      <c r="B884" s="83" t="n"/>
      <c r="C884" s="83" t="n"/>
      <c r="D884" s="83" t="n"/>
      <c r="E884" s="83" t="n"/>
      <c r="F884" s="83" t="n"/>
      <c r="G884" s="83" t="n"/>
      <c r="H884" s="83" t="n"/>
      <c r="I884" s="83" t="n"/>
      <c r="J884" s="83" t="n"/>
      <c r="K884" s="83" t="n"/>
      <c r="L884" s="83" t="n"/>
      <c r="M884" s="83" t="n"/>
      <c r="O884" s="84" t="str">
        <f>IF($C884="","",IFERROR(MATCH($B884&amp;"|"&amp;$C884,MUROS!$AX$11:$AX$70,0),0))</f>
        <v/>
      </c>
      <c r="P884" s="84" t="str">
        <f>IF($D884="","",IF(ISNUMBER(MATCH($D884,CMB_S,0)),1,IF(ISNUMBER(MATCH($D884,CMB_G,0)),2,0)))</f>
        <v/>
      </c>
      <c r="Q884" s="84">
        <f>IF(ISNUMBER($H884),-$H884,0)</f>
        <v>0</v>
      </c>
      <c r="R884" s="84">
        <f>IF(ISNUMBER($I884),ABS($I884),0)</f>
        <v>0</v>
      </c>
      <c r="S884" s="84">
        <f>IF(ISNUMBER($M884),ABS($M884),0)</f>
        <v>0</v>
      </c>
      <c r="T884" s="85" t="n">
        <v>876</v>
      </c>
    </row>
    <row r="885">
      <c r="B885" s="83" t="n"/>
      <c r="C885" s="83" t="n"/>
      <c r="D885" s="83" t="n"/>
      <c r="E885" s="83" t="n"/>
      <c r="F885" s="83" t="n"/>
      <c r="G885" s="83" t="n"/>
      <c r="H885" s="83" t="n"/>
      <c r="I885" s="83" t="n"/>
      <c r="J885" s="83" t="n"/>
      <c r="K885" s="83" t="n"/>
      <c r="L885" s="83" t="n"/>
      <c r="M885" s="83" t="n"/>
      <c r="O885" s="84" t="str">
        <f>IF($C885="","",IFERROR(MATCH($B885&amp;"|"&amp;$C885,MUROS!$AX$11:$AX$70,0),0))</f>
        <v/>
      </c>
      <c r="P885" s="84" t="str">
        <f>IF($D885="","",IF(ISNUMBER(MATCH($D885,CMB_S,0)),1,IF(ISNUMBER(MATCH($D885,CMB_G,0)),2,0)))</f>
        <v/>
      </c>
      <c r="Q885" s="84">
        <f>IF(ISNUMBER($H885),-$H885,0)</f>
        <v>0</v>
      </c>
      <c r="R885" s="84">
        <f>IF(ISNUMBER($I885),ABS($I885),0)</f>
        <v>0</v>
      </c>
      <c r="S885" s="84">
        <f>IF(ISNUMBER($M885),ABS($M885),0)</f>
        <v>0</v>
      </c>
      <c r="T885" s="85" t="n">
        <v>877</v>
      </c>
    </row>
    <row r="886">
      <c r="B886" s="83" t="n"/>
      <c r="C886" s="83" t="n"/>
      <c r="D886" s="83" t="n"/>
      <c r="E886" s="83" t="n"/>
      <c r="F886" s="83" t="n"/>
      <c r="G886" s="83" t="n"/>
      <c r="H886" s="83" t="n"/>
      <c r="I886" s="83" t="n"/>
      <c r="J886" s="83" t="n"/>
      <c r="K886" s="83" t="n"/>
      <c r="L886" s="83" t="n"/>
      <c r="M886" s="83" t="n"/>
      <c r="O886" s="84" t="str">
        <f>IF($C886="","",IFERROR(MATCH($B886&amp;"|"&amp;$C886,MUROS!$AX$11:$AX$70,0),0))</f>
        <v/>
      </c>
      <c r="P886" s="84" t="str">
        <f>IF($D886="","",IF(ISNUMBER(MATCH($D886,CMB_S,0)),1,IF(ISNUMBER(MATCH($D886,CMB_G,0)),2,0)))</f>
        <v/>
      </c>
      <c r="Q886" s="84">
        <f>IF(ISNUMBER($H886),-$H886,0)</f>
        <v>0</v>
      </c>
      <c r="R886" s="84">
        <f>IF(ISNUMBER($I886),ABS($I886),0)</f>
        <v>0</v>
      </c>
      <c r="S886" s="84">
        <f>IF(ISNUMBER($M886),ABS($M886),0)</f>
        <v>0</v>
      </c>
      <c r="T886" s="85" t="n">
        <v>878</v>
      </c>
    </row>
    <row r="887">
      <c r="B887" s="83" t="n"/>
      <c r="C887" s="83" t="n"/>
      <c r="D887" s="83" t="n"/>
      <c r="E887" s="83" t="n"/>
      <c r="F887" s="83" t="n"/>
      <c r="G887" s="83" t="n"/>
      <c r="H887" s="83" t="n"/>
      <c r="I887" s="83" t="n"/>
      <c r="J887" s="83" t="n"/>
      <c r="K887" s="83" t="n"/>
      <c r="L887" s="83" t="n"/>
      <c r="M887" s="83" t="n"/>
      <c r="O887" s="84" t="str">
        <f>IF($C887="","",IFERROR(MATCH($B887&amp;"|"&amp;$C887,MUROS!$AX$11:$AX$70,0),0))</f>
        <v/>
      </c>
      <c r="P887" s="84" t="str">
        <f>IF($D887="","",IF(ISNUMBER(MATCH($D887,CMB_S,0)),1,IF(ISNUMBER(MATCH($D887,CMB_G,0)),2,0)))</f>
        <v/>
      </c>
      <c r="Q887" s="84">
        <f>IF(ISNUMBER($H887),-$H887,0)</f>
        <v>0</v>
      </c>
      <c r="R887" s="84">
        <f>IF(ISNUMBER($I887),ABS($I887),0)</f>
        <v>0</v>
      </c>
      <c r="S887" s="84">
        <f>IF(ISNUMBER($M887),ABS($M887),0)</f>
        <v>0</v>
      </c>
      <c r="T887" s="85" t="n">
        <v>879</v>
      </c>
    </row>
    <row r="888">
      <c r="B888" s="83" t="n"/>
      <c r="C888" s="83" t="n"/>
      <c r="D888" s="83" t="n"/>
      <c r="E888" s="83" t="n"/>
      <c r="F888" s="83" t="n"/>
      <c r="G888" s="83" t="n"/>
      <c r="H888" s="83" t="n"/>
      <c r="I888" s="83" t="n"/>
      <c r="J888" s="83" t="n"/>
      <c r="K888" s="83" t="n"/>
      <c r="L888" s="83" t="n"/>
      <c r="M888" s="83" t="n"/>
      <c r="O888" s="84" t="str">
        <f>IF($C888="","",IFERROR(MATCH($B888&amp;"|"&amp;$C888,MUROS!$AX$11:$AX$70,0),0))</f>
        <v/>
      </c>
      <c r="P888" s="84" t="str">
        <f>IF($D888="","",IF(ISNUMBER(MATCH($D888,CMB_S,0)),1,IF(ISNUMBER(MATCH($D888,CMB_G,0)),2,0)))</f>
        <v/>
      </c>
      <c r="Q888" s="84">
        <f>IF(ISNUMBER($H888),-$H888,0)</f>
        <v>0</v>
      </c>
      <c r="R888" s="84">
        <f>IF(ISNUMBER($I888),ABS($I888),0)</f>
        <v>0</v>
      </c>
      <c r="S888" s="84">
        <f>IF(ISNUMBER($M888),ABS($M888),0)</f>
        <v>0</v>
      </c>
      <c r="T888" s="85" t="n">
        <v>880</v>
      </c>
    </row>
    <row r="889">
      <c r="B889" s="83" t="n"/>
      <c r="C889" s="83" t="n"/>
      <c r="D889" s="83" t="n"/>
      <c r="E889" s="83" t="n"/>
      <c r="F889" s="83" t="n"/>
      <c r="G889" s="83" t="n"/>
      <c r="H889" s="83" t="n"/>
      <c r="I889" s="83" t="n"/>
      <c r="J889" s="83" t="n"/>
      <c r="K889" s="83" t="n"/>
      <c r="L889" s="83" t="n"/>
      <c r="M889" s="83" t="n"/>
      <c r="O889" s="84" t="str">
        <f>IF($C889="","",IFERROR(MATCH($B889&amp;"|"&amp;$C889,MUROS!$AX$11:$AX$70,0),0))</f>
        <v/>
      </c>
      <c r="P889" s="84" t="str">
        <f>IF($D889="","",IF(ISNUMBER(MATCH($D889,CMB_S,0)),1,IF(ISNUMBER(MATCH($D889,CMB_G,0)),2,0)))</f>
        <v/>
      </c>
      <c r="Q889" s="84">
        <f>IF(ISNUMBER($H889),-$H889,0)</f>
        <v>0</v>
      </c>
      <c r="R889" s="84">
        <f>IF(ISNUMBER($I889),ABS($I889),0)</f>
        <v>0</v>
      </c>
      <c r="S889" s="84">
        <f>IF(ISNUMBER($M889),ABS($M889),0)</f>
        <v>0</v>
      </c>
      <c r="T889" s="85" t="n">
        <v>881</v>
      </c>
    </row>
    <row r="890">
      <c r="B890" s="83" t="n"/>
      <c r="C890" s="83" t="n"/>
      <c r="D890" s="83" t="n"/>
      <c r="E890" s="83" t="n"/>
      <c r="F890" s="83" t="n"/>
      <c r="G890" s="83" t="n"/>
      <c r="H890" s="83" t="n"/>
      <c r="I890" s="83" t="n"/>
      <c r="J890" s="83" t="n"/>
      <c r="K890" s="83" t="n"/>
      <c r="L890" s="83" t="n"/>
      <c r="M890" s="83" t="n"/>
      <c r="O890" s="84" t="str">
        <f>IF($C890="","",IFERROR(MATCH($B890&amp;"|"&amp;$C890,MUROS!$AX$11:$AX$70,0),0))</f>
        <v/>
      </c>
      <c r="P890" s="84" t="str">
        <f>IF($D890="","",IF(ISNUMBER(MATCH($D890,CMB_S,0)),1,IF(ISNUMBER(MATCH($D890,CMB_G,0)),2,0)))</f>
        <v/>
      </c>
      <c r="Q890" s="84">
        <f>IF(ISNUMBER($H890),-$H890,0)</f>
        <v>0</v>
      </c>
      <c r="R890" s="84">
        <f>IF(ISNUMBER($I890),ABS($I890),0)</f>
        <v>0</v>
      </c>
      <c r="S890" s="84">
        <f>IF(ISNUMBER($M890),ABS($M890),0)</f>
        <v>0</v>
      </c>
      <c r="T890" s="85" t="n">
        <v>882</v>
      </c>
    </row>
    <row r="891">
      <c r="B891" s="83" t="n"/>
      <c r="C891" s="83" t="n"/>
      <c r="D891" s="83" t="n"/>
      <c r="E891" s="83" t="n"/>
      <c r="F891" s="83" t="n"/>
      <c r="G891" s="83" t="n"/>
      <c r="H891" s="83" t="n"/>
      <c r="I891" s="83" t="n"/>
      <c r="J891" s="83" t="n"/>
      <c r="K891" s="83" t="n"/>
      <c r="L891" s="83" t="n"/>
      <c r="M891" s="83" t="n"/>
      <c r="O891" s="84" t="str">
        <f>IF($C891="","",IFERROR(MATCH($B891&amp;"|"&amp;$C891,MUROS!$AX$11:$AX$70,0),0))</f>
        <v/>
      </c>
      <c r="P891" s="84" t="str">
        <f>IF($D891="","",IF(ISNUMBER(MATCH($D891,CMB_S,0)),1,IF(ISNUMBER(MATCH($D891,CMB_G,0)),2,0)))</f>
        <v/>
      </c>
      <c r="Q891" s="84">
        <f>IF(ISNUMBER($H891),-$H891,0)</f>
        <v>0</v>
      </c>
      <c r="R891" s="84">
        <f>IF(ISNUMBER($I891),ABS($I891),0)</f>
        <v>0</v>
      </c>
      <c r="S891" s="84">
        <f>IF(ISNUMBER($M891),ABS($M891),0)</f>
        <v>0</v>
      </c>
      <c r="T891" s="85" t="n">
        <v>883</v>
      </c>
    </row>
    <row r="892"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83" t="n"/>
      <c r="K892" s="83" t="n"/>
      <c r="L892" s="83" t="n"/>
      <c r="M892" s="83" t="n"/>
      <c r="O892" s="84" t="str">
        <f>IF($C892="","",IFERROR(MATCH($B892&amp;"|"&amp;$C892,MUROS!$AX$11:$AX$70,0),0))</f>
        <v/>
      </c>
      <c r="P892" s="84" t="str">
        <f>IF($D892="","",IF(ISNUMBER(MATCH($D892,CMB_S,0)),1,IF(ISNUMBER(MATCH($D892,CMB_G,0)),2,0)))</f>
        <v/>
      </c>
      <c r="Q892" s="84">
        <f>IF(ISNUMBER($H892),-$H892,0)</f>
        <v>0</v>
      </c>
      <c r="R892" s="84">
        <f>IF(ISNUMBER($I892),ABS($I892),0)</f>
        <v>0</v>
      </c>
      <c r="S892" s="84">
        <f>IF(ISNUMBER($M892),ABS($M892),0)</f>
        <v>0</v>
      </c>
      <c r="T892" s="85" t="n">
        <v>884</v>
      </c>
    </row>
    <row r="893">
      <c r="B893" s="83" t="n"/>
      <c r="C893" s="83" t="n"/>
      <c r="D893" s="83" t="n"/>
      <c r="E893" s="83" t="n"/>
      <c r="F893" s="83" t="n"/>
      <c r="G893" s="83" t="n"/>
      <c r="H893" s="83" t="n"/>
      <c r="I893" s="83" t="n"/>
      <c r="J893" s="83" t="n"/>
      <c r="K893" s="83" t="n"/>
      <c r="L893" s="83" t="n"/>
      <c r="M893" s="83" t="n"/>
      <c r="O893" s="84" t="str">
        <f>IF($C893="","",IFERROR(MATCH($B893&amp;"|"&amp;$C893,MUROS!$AX$11:$AX$70,0),0))</f>
        <v/>
      </c>
      <c r="P893" s="84" t="str">
        <f>IF($D893="","",IF(ISNUMBER(MATCH($D893,CMB_S,0)),1,IF(ISNUMBER(MATCH($D893,CMB_G,0)),2,0)))</f>
        <v/>
      </c>
      <c r="Q893" s="84">
        <f>IF(ISNUMBER($H893),-$H893,0)</f>
        <v>0</v>
      </c>
      <c r="R893" s="84">
        <f>IF(ISNUMBER($I893),ABS($I893),0)</f>
        <v>0</v>
      </c>
      <c r="S893" s="84">
        <f>IF(ISNUMBER($M893),ABS($M893),0)</f>
        <v>0</v>
      </c>
      <c r="T893" s="85" t="n">
        <v>885</v>
      </c>
    </row>
    <row r="894">
      <c r="B894" s="83" t="n"/>
      <c r="C894" s="83" t="n"/>
      <c r="D894" s="83" t="n"/>
      <c r="E894" s="83" t="n"/>
      <c r="F894" s="83" t="n"/>
      <c r="G894" s="83" t="n"/>
      <c r="H894" s="83" t="n"/>
      <c r="I894" s="83" t="n"/>
      <c r="J894" s="83" t="n"/>
      <c r="K894" s="83" t="n"/>
      <c r="L894" s="83" t="n"/>
      <c r="M894" s="83" t="n"/>
      <c r="O894" s="84" t="str">
        <f>IF($C894="","",IFERROR(MATCH($B894&amp;"|"&amp;$C894,MUROS!$AX$11:$AX$70,0),0))</f>
        <v/>
      </c>
      <c r="P894" s="84" t="str">
        <f>IF($D894="","",IF(ISNUMBER(MATCH($D894,CMB_S,0)),1,IF(ISNUMBER(MATCH($D894,CMB_G,0)),2,0)))</f>
        <v/>
      </c>
      <c r="Q894" s="84">
        <f>IF(ISNUMBER($H894),-$H894,0)</f>
        <v>0</v>
      </c>
      <c r="R894" s="84">
        <f>IF(ISNUMBER($I894),ABS($I894),0)</f>
        <v>0</v>
      </c>
      <c r="S894" s="84">
        <f>IF(ISNUMBER($M894),ABS($M894),0)</f>
        <v>0</v>
      </c>
      <c r="T894" s="85" t="n">
        <v>886</v>
      </c>
    </row>
    <row r="895">
      <c r="B895" s="83" t="n"/>
      <c r="C895" s="83" t="n"/>
      <c r="D895" s="83" t="n"/>
      <c r="E895" s="83" t="n"/>
      <c r="F895" s="83" t="n"/>
      <c r="G895" s="83" t="n"/>
      <c r="H895" s="83" t="n"/>
      <c r="I895" s="83" t="n"/>
      <c r="J895" s="83" t="n"/>
      <c r="K895" s="83" t="n"/>
      <c r="L895" s="83" t="n"/>
      <c r="M895" s="83" t="n"/>
      <c r="O895" s="84" t="str">
        <f>IF($C895="","",IFERROR(MATCH($B895&amp;"|"&amp;$C895,MUROS!$AX$11:$AX$70,0),0))</f>
        <v/>
      </c>
      <c r="P895" s="84" t="str">
        <f>IF($D895="","",IF(ISNUMBER(MATCH($D895,CMB_S,0)),1,IF(ISNUMBER(MATCH($D895,CMB_G,0)),2,0)))</f>
        <v/>
      </c>
      <c r="Q895" s="84">
        <f>IF(ISNUMBER($H895),-$H895,0)</f>
        <v>0</v>
      </c>
      <c r="R895" s="84">
        <f>IF(ISNUMBER($I895),ABS($I895),0)</f>
        <v>0</v>
      </c>
      <c r="S895" s="84">
        <f>IF(ISNUMBER($M895),ABS($M895),0)</f>
        <v>0</v>
      </c>
      <c r="T895" s="85" t="n">
        <v>887</v>
      </c>
    </row>
    <row r="896">
      <c r="B896" s="83" t="n"/>
      <c r="C896" s="83" t="n"/>
      <c r="D896" s="83" t="n"/>
      <c r="E896" s="83" t="n"/>
      <c r="F896" s="83" t="n"/>
      <c r="G896" s="83" t="n"/>
      <c r="H896" s="83" t="n"/>
      <c r="I896" s="83" t="n"/>
      <c r="J896" s="83" t="n"/>
      <c r="K896" s="83" t="n"/>
      <c r="L896" s="83" t="n"/>
      <c r="M896" s="83" t="n"/>
      <c r="O896" s="84" t="str">
        <f>IF($C896="","",IFERROR(MATCH($B896&amp;"|"&amp;$C896,MUROS!$AX$11:$AX$70,0),0))</f>
        <v/>
      </c>
      <c r="P896" s="84" t="str">
        <f>IF($D896="","",IF(ISNUMBER(MATCH($D896,CMB_S,0)),1,IF(ISNUMBER(MATCH($D896,CMB_G,0)),2,0)))</f>
        <v/>
      </c>
      <c r="Q896" s="84">
        <f>IF(ISNUMBER($H896),-$H896,0)</f>
        <v>0</v>
      </c>
      <c r="R896" s="84">
        <f>IF(ISNUMBER($I896),ABS($I896),0)</f>
        <v>0</v>
      </c>
      <c r="S896" s="84">
        <f>IF(ISNUMBER($M896),ABS($M896),0)</f>
        <v>0</v>
      </c>
      <c r="T896" s="85" t="n">
        <v>888</v>
      </c>
    </row>
    <row r="897">
      <c r="B897" s="83" t="n"/>
      <c r="C897" s="83" t="n"/>
      <c r="D897" s="83" t="n"/>
      <c r="E897" s="83" t="n"/>
      <c r="F897" s="83" t="n"/>
      <c r="G897" s="83" t="n"/>
      <c r="H897" s="83" t="n"/>
      <c r="I897" s="83" t="n"/>
      <c r="J897" s="83" t="n"/>
      <c r="K897" s="83" t="n"/>
      <c r="L897" s="83" t="n"/>
      <c r="M897" s="83" t="n"/>
      <c r="O897" s="84" t="str">
        <f>IF($C897="","",IFERROR(MATCH($B897&amp;"|"&amp;$C897,MUROS!$AX$11:$AX$70,0),0))</f>
        <v/>
      </c>
      <c r="P897" s="84" t="str">
        <f>IF($D897="","",IF(ISNUMBER(MATCH($D897,CMB_S,0)),1,IF(ISNUMBER(MATCH($D897,CMB_G,0)),2,0)))</f>
        <v/>
      </c>
      <c r="Q897" s="84">
        <f>IF(ISNUMBER($H897),-$H897,0)</f>
        <v>0</v>
      </c>
      <c r="R897" s="84">
        <f>IF(ISNUMBER($I897),ABS($I897),0)</f>
        <v>0</v>
      </c>
      <c r="S897" s="84">
        <f>IF(ISNUMBER($M897),ABS($M897),0)</f>
        <v>0</v>
      </c>
      <c r="T897" s="85" t="n">
        <v>889</v>
      </c>
    </row>
    <row r="898">
      <c r="B898" s="83" t="n"/>
      <c r="C898" s="83" t="n"/>
      <c r="D898" s="83" t="n"/>
      <c r="E898" s="83" t="n"/>
      <c r="F898" s="83" t="n"/>
      <c r="G898" s="83" t="n"/>
      <c r="H898" s="83" t="n"/>
      <c r="I898" s="83" t="n"/>
      <c r="J898" s="83" t="n"/>
      <c r="K898" s="83" t="n"/>
      <c r="L898" s="83" t="n"/>
      <c r="M898" s="83" t="n"/>
      <c r="O898" s="84" t="str">
        <f>IF($C898="","",IFERROR(MATCH($B898&amp;"|"&amp;$C898,MUROS!$AX$11:$AX$70,0),0))</f>
        <v/>
      </c>
      <c r="P898" s="84" t="str">
        <f>IF($D898="","",IF(ISNUMBER(MATCH($D898,CMB_S,0)),1,IF(ISNUMBER(MATCH($D898,CMB_G,0)),2,0)))</f>
        <v/>
      </c>
      <c r="Q898" s="84">
        <f>IF(ISNUMBER($H898),-$H898,0)</f>
        <v>0</v>
      </c>
      <c r="R898" s="84">
        <f>IF(ISNUMBER($I898),ABS($I898),0)</f>
        <v>0</v>
      </c>
      <c r="S898" s="84">
        <f>IF(ISNUMBER($M898),ABS($M898),0)</f>
        <v>0</v>
      </c>
      <c r="T898" s="85" t="n">
        <v>890</v>
      </c>
    </row>
    <row r="899">
      <c r="B899" s="83" t="n"/>
      <c r="C899" s="83" t="n"/>
      <c r="D899" s="83" t="n"/>
      <c r="E899" s="83" t="n"/>
      <c r="F899" s="83" t="n"/>
      <c r="G899" s="83" t="n"/>
      <c r="H899" s="83" t="n"/>
      <c r="I899" s="83" t="n"/>
      <c r="J899" s="83" t="n"/>
      <c r="K899" s="83" t="n"/>
      <c r="L899" s="83" t="n"/>
      <c r="M899" s="83" t="n"/>
      <c r="O899" s="84" t="str">
        <f>IF($C899="","",IFERROR(MATCH($B899&amp;"|"&amp;$C899,MUROS!$AX$11:$AX$70,0),0))</f>
        <v/>
      </c>
      <c r="P899" s="84" t="str">
        <f>IF($D899="","",IF(ISNUMBER(MATCH($D899,CMB_S,0)),1,IF(ISNUMBER(MATCH($D899,CMB_G,0)),2,0)))</f>
        <v/>
      </c>
      <c r="Q899" s="84">
        <f>IF(ISNUMBER($H899),-$H899,0)</f>
        <v>0</v>
      </c>
      <c r="R899" s="84">
        <f>IF(ISNUMBER($I899),ABS($I899),0)</f>
        <v>0</v>
      </c>
      <c r="S899" s="84">
        <f>IF(ISNUMBER($M899),ABS($M899),0)</f>
        <v>0</v>
      </c>
      <c r="T899" s="85" t="n">
        <v>891</v>
      </c>
    </row>
    <row r="900">
      <c r="B900" s="83" t="n"/>
      <c r="C900" s="83" t="n"/>
      <c r="D900" s="83" t="n"/>
      <c r="E900" s="83" t="n"/>
      <c r="F900" s="83" t="n"/>
      <c r="G900" s="83" t="n"/>
      <c r="H900" s="83" t="n"/>
      <c r="I900" s="83" t="n"/>
      <c r="J900" s="83" t="n"/>
      <c r="K900" s="83" t="n"/>
      <c r="L900" s="83" t="n"/>
      <c r="M900" s="83" t="n"/>
      <c r="O900" s="84" t="str">
        <f>IF($C900="","",IFERROR(MATCH($B900&amp;"|"&amp;$C900,MUROS!$AX$11:$AX$70,0),0))</f>
        <v/>
      </c>
      <c r="P900" s="84" t="str">
        <f>IF($D900="","",IF(ISNUMBER(MATCH($D900,CMB_S,0)),1,IF(ISNUMBER(MATCH($D900,CMB_G,0)),2,0)))</f>
        <v/>
      </c>
      <c r="Q900" s="84">
        <f>IF(ISNUMBER($H900),-$H900,0)</f>
        <v>0</v>
      </c>
      <c r="R900" s="84">
        <f>IF(ISNUMBER($I900),ABS($I900),0)</f>
        <v>0</v>
      </c>
      <c r="S900" s="84">
        <f>IF(ISNUMBER($M900),ABS($M900),0)</f>
        <v>0</v>
      </c>
      <c r="T900" s="85" t="n">
        <v>892</v>
      </c>
    </row>
    <row r="901"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83" t="n"/>
      <c r="K901" s="83" t="n"/>
      <c r="L901" s="83" t="n"/>
      <c r="M901" s="83" t="n"/>
      <c r="O901" s="84" t="str">
        <f>IF($C901="","",IFERROR(MATCH($B901&amp;"|"&amp;$C901,MUROS!$AX$11:$AX$70,0),0))</f>
        <v/>
      </c>
      <c r="P901" s="84" t="str">
        <f>IF($D901="","",IF(ISNUMBER(MATCH($D901,CMB_S,0)),1,IF(ISNUMBER(MATCH($D901,CMB_G,0)),2,0)))</f>
        <v/>
      </c>
      <c r="Q901" s="84">
        <f>IF(ISNUMBER($H901),-$H901,0)</f>
        <v>0</v>
      </c>
      <c r="R901" s="84">
        <f>IF(ISNUMBER($I901),ABS($I901),0)</f>
        <v>0</v>
      </c>
      <c r="S901" s="84">
        <f>IF(ISNUMBER($M901),ABS($M901),0)</f>
        <v>0</v>
      </c>
      <c r="T901" s="85" t="n">
        <v>893</v>
      </c>
    </row>
    <row r="902">
      <c r="B902" s="83" t="n"/>
      <c r="C902" s="83" t="n"/>
      <c r="D902" s="83" t="n"/>
      <c r="E902" s="83" t="n"/>
      <c r="F902" s="83" t="n"/>
      <c r="G902" s="83" t="n"/>
      <c r="H902" s="83" t="n"/>
      <c r="I902" s="83" t="n"/>
      <c r="J902" s="83" t="n"/>
      <c r="K902" s="83" t="n"/>
      <c r="L902" s="83" t="n"/>
      <c r="M902" s="83" t="n"/>
      <c r="O902" s="84" t="str">
        <f>IF($C902="","",IFERROR(MATCH($B902&amp;"|"&amp;$C902,MUROS!$AX$11:$AX$70,0),0))</f>
        <v/>
      </c>
      <c r="P902" s="84" t="str">
        <f>IF($D902="","",IF(ISNUMBER(MATCH($D902,CMB_S,0)),1,IF(ISNUMBER(MATCH($D902,CMB_G,0)),2,0)))</f>
        <v/>
      </c>
      <c r="Q902" s="84">
        <f>IF(ISNUMBER($H902),-$H902,0)</f>
        <v>0</v>
      </c>
      <c r="R902" s="84">
        <f>IF(ISNUMBER($I902),ABS($I902),0)</f>
        <v>0</v>
      </c>
      <c r="S902" s="84">
        <f>IF(ISNUMBER($M902),ABS($M902),0)</f>
        <v>0</v>
      </c>
      <c r="T902" s="85" t="n">
        <v>894</v>
      </c>
    </row>
    <row r="903">
      <c r="B903" s="83" t="n"/>
      <c r="C903" s="83" t="n"/>
      <c r="D903" s="83" t="n"/>
      <c r="E903" s="83" t="n"/>
      <c r="F903" s="83" t="n"/>
      <c r="G903" s="83" t="n"/>
      <c r="H903" s="83" t="n"/>
      <c r="I903" s="83" t="n"/>
      <c r="J903" s="83" t="n"/>
      <c r="K903" s="83" t="n"/>
      <c r="L903" s="83" t="n"/>
      <c r="M903" s="83" t="n"/>
      <c r="O903" s="84" t="str">
        <f>IF($C903="","",IFERROR(MATCH($B903&amp;"|"&amp;$C903,MUROS!$AX$11:$AX$70,0),0))</f>
        <v/>
      </c>
      <c r="P903" s="84" t="str">
        <f>IF($D903="","",IF(ISNUMBER(MATCH($D903,CMB_S,0)),1,IF(ISNUMBER(MATCH($D903,CMB_G,0)),2,0)))</f>
        <v/>
      </c>
      <c r="Q903" s="84">
        <f>IF(ISNUMBER($H903),-$H903,0)</f>
        <v>0</v>
      </c>
      <c r="R903" s="84">
        <f>IF(ISNUMBER($I903),ABS($I903),0)</f>
        <v>0</v>
      </c>
      <c r="S903" s="84">
        <f>IF(ISNUMBER($M903),ABS($M903),0)</f>
        <v>0</v>
      </c>
      <c r="T903" s="85" t="n">
        <v>895</v>
      </c>
    </row>
    <row r="904">
      <c r="B904" s="83" t="n"/>
      <c r="C904" s="83" t="n"/>
      <c r="D904" s="83" t="n"/>
      <c r="E904" s="83" t="n"/>
      <c r="F904" s="83" t="n"/>
      <c r="G904" s="83" t="n"/>
      <c r="H904" s="83" t="n"/>
      <c r="I904" s="83" t="n"/>
      <c r="J904" s="83" t="n"/>
      <c r="K904" s="83" t="n"/>
      <c r="L904" s="83" t="n"/>
      <c r="M904" s="83" t="n"/>
      <c r="O904" s="84" t="str">
        <f>IF($C904="","",IFERROR(MATCH($B904&amp;"|"&amp;$C904,MUROS!$AX$11:$AX$70,0),0))</f>
        <v/>
      </c>
      <c r="P904" s="84" t="str">
        <f>IF($D904="","",IF(ISNUMBER(MATCH($D904,CMB_S,0)),1,IF(ISNUMBER(MATCH($D904,CMB_G,0)),2,0)))</f>
        <v/>
      </c>
      <c r="Q904" s="84">
        <f>IF(ISNUMBER($H904),-$H904,0)</f>
        <v>0</v>
      </c>
      <c r="R904" s="84">
        <f>IF(ISNUMBER($I904),ABS($I904),0)</f>
        <v>0</v>
      </c>
      <c r="S904" s="84">
        <f>IF(ISNUMBER($M904),ABS($M904),0)</f>
        <v>0</v>
      </c>
      <c r="T904" s="85" t="n">
        <v>896</v>
      </c>
    </row>
    <row r="905">
      <c r="B905" s="83" t="n"/>
      <c r="C905" s="83" t="n"/>
      <c r="D905" s="83" t="n"/>
      <c r="E905" s="83" t="n"/>
      <c r="F905" s="83" t="n"/>
      <c r="G905" s="83" t="n"/>
      <c r="H905" s="83" t="n"/>
      <c r="I905" s="83" t="n"/>
      <c r="J905" s="83" t="n"/>
      <c r="K905" s="83" t="n"/>
      <c r="L905" s="83" t="n"/>
      <c r="M905" s="83" t="n"/>
      <c r="O905" s="84" t="str">
        <f>IF($C905="","",IFERROR(MATCH($B905&amp;"|"&amp;$C905,MUROS!$AX$11:$AX$70,0),0))</f>
        <v/>
      </c>
      <c r="P905" s="84" t="str">
        <f>IF($D905="","",IF(ISNUMBER(MATCH($D905,CMB_S,0)),1,IF(ISNUMBER(MATCH($D905,CMB_G,0)),2,0)))</f>
        <v/>
      </c>
      <c r="Q905" s="84">
        <f>IF(ISNUMBER($H905),-$H905,0)</f>
        <v>0</v>
      </c>
      <c r="R905" s="84">
        <f>IF(ISNUMBER($I905),ABS($I905),0)</f>
        <v>0</v>
      </c>
      <c r="S905" s="84">
        <f>IF(ISNUMBER($M905),ABS($M905),0)</f>
        <v>0</v>
      </c>
      <c r="T905" s="85" t="n">
        <v>897</v>
      </c>
    </row>
    <row r="906">
      <c r="B906" s="83" t="n"/>
      <c r="C906" s="83" t="n"/>
      <c r="D906" s="83" t="n"/>
      <c r="E906" s="83" t="n"/>
      <c r="F906" s="83" t="n"/>
      <c r="G906" s="83" t="n"/>
      <c r="H906" s="83" t="n"/>
      <c r="I906" s="83" t="n"/>
      <c r="J906" s="83" t="n"/>
      <c r="K906" s="83" t="n"/>
      <c r="L906" s="83" t="n"/>
      <c r="M906" s="83" t="n"/>
      <c r="O906" s="84" t="str">
        <f>IF($C906="","",IFERROR(MATCH($B906&amp;"|"&amp;$C906,MUROS!$AX$11:$AX$70,0),0))</f>
        <v/>
      </c>
      <c r="P906" s="84" t="str">
        <f>IF($D906="","",IF(ISNUMBER(MATCH($D906,CMB_S,0)),1,IF(ISNUMBER(MATCH($D906,CMB_G,0)),2,0)))</f>
        <v/>
      </c>
      <c r="Q906" s="84">
        <f>IF(ISNUMBER($H906),-$H906,0)</f>
        <v>0</v>
      </c>
      <c r="R906" s="84">
        <f>IF(ISNUMBER($I906),ABS($I906),0)</f>
        <v>0</v>
      </c>
      <c r="S906" s="84">
        <f>IF(ISNUMBER($M906),ABS($M906),0)</f>
        <v>0</v>
      </c>
      <c r="T906" s="85" t="n">
        <v>898</v>
      </c>
    </row>
    <row r="907">
      <c r="B907" s="83" t="n"/>
      <c r="C907" s="83" t="n"/>
      <c r="D907" s="83" t="n"/>
      <c r="E907" s="83" t="n"/>
      <c r="F907" s="83" t="n"/>
      <c r="G907" s="83" t="n"/>
      <c r="H907" s="83" t="n"/>
      <c r="I907" s="83" t="n"/>
      <c r="J907" s="83" t="n"/>
      <c r="K907" s="83" t="n"/>
      <c r="L907" s="83" t="n"/>
      <c r="M907" s="83" t="n"/>
      <c r="O907" s="84" t="str">
        <f>IF($C907="","",IFERROR(MATCH($B907&amp;"|"&amp;$C907,MUROS!$AX$11:$AX$70,0),0))</f>
        <v/>
      </c>
      <c r="P907" s="84" t="str">
        <f>IF($D907="","",IF(ISNUMBER(MATCH($D907,CMB_S,0)),1,IF(ISNUMBER(MATCH($D907,CMB_G,0)),2,0)))</f>
        <v/>
      </c>
      <c r="Q907" s="84">
        <f>IF(ISNUMBER($H907),-$H907,0)</f>
        <v>0</v>
      </c>
      <c r="R907" s="84">
        <f>IF(ISNUMBER($I907),ABS($I907),0)</f>
        <v>0</v>
      </c>
      <c r="S907" s="84">
        <f>IF(ISNUMBER($M907),ABS($M907),0)</f>
        <v>0</v>
      </c>
      <c r="T907" s="85" t="n">
        <v>899</v>
      </c>
    </row>
    <row r="908">
      <c r="B908" s="83" t="n"/>
      <c r="C908" s="83" t="n"/>
      <c r="D908" s="83" t="n"/>
      <c r="E908" s="83" t="n"/>
      <c r="F908" s="83" t="n"/>
      <c r="G908" s="83" t="n"/>
      <c r="H908" s="83" t="n"/>
      <c r="I908" s="83" t="n"/>
      <c r="J908" s="83" t="n"/>
      <c r="K908" s="83" t="n"/>
      <c r="L908" s="83" t="n"/>
      <c r="M908" s="83" t="n"/>
      <c r="O908" s="84" t="str">
        <f>IF($C908="","",IFERROR(MATCH($B908&amp;"|"&amp;$C908,MUROS!$AX$11:$AX$70,0),0))</f>
        <v/>
      </c>
      <c r="P908" s="84" t="str">
        <f>IF($D908="","",IF(ISNUMBER(MATCH($D908,CMB_S,0)),1,IF(ISNUMBER(MATCH($D908,CMB_G,0)),2,0)))</f>
        <v/>
      </c>
      <c r="Q908" s="84">
        <f>IF(ISNUMBER($H908),-$H908,0)</f>
        <v>0</v>
      </c>
      <c r="R908" s="84">
        <f>IF(ISNUMBER($I908),ABS($I908),0)</f>
        <v>0</v>
      </c>
      <c r="S908" s="84">
        <f>IF(ISNUMBER($M908),ABS($M908),0)</f>
        <v>0</v>
      </c>
      <c r="T908" s="85" t="n">
        <v>900</v>
      </c>
    </row>
    <row r="909">
      <c r="B909" s="83" t="n"/>
      <c r="C909" s="83" t="n"/>
      <c r="D909" s="83" t="n"/>
      <c r="E909" s="83" t="n"/>
      <c r="F909" s="83" t="n"/>
      <c r="G909" s="83" t="n"/>
      <c r="H909" s="83" t="n"/>
      <c r="I909" s="83" t="n"/>
      <c r="J909" s="83" t="n"/>
      <c r="K909" s="83" t="n"/>
      <c r="L909" s="83" t="n"/>
      <c r="M909" s="83" t="n"/>
      <c r="O909" s="84" t="str">
        <f>IF($C909="","",IFERROR(MATCH($B909&amp;"|"&amp;$C909,MUROS!$AX$11:$AX$70,0),0))</f>
        <v/>
      </c>
      <c r="P909" s="84" t="str">
        <f>IF($D909="","",IF(ISNUMBER(MATCH($D909,CMB_S,0)),1,IF(ISNUMBER(MATCH($D909,CMB_G,0)),2,0)))</f>
        <v/>
      </c>
      <c r="Q909" s="84">
        <f>IF(ISNUMBER($H909),-$H909,0)</f>
        <v>0</v>
      </c>
      <c r="R909" s="84">
        <f>IF(ISNUMBER($I909),ABS($I909),0)</f>
        <v>0</v>
      </c>
      <c r="S909" s="84">
        <f>IF(ISNUMBER($M909),ABS($M909),0)</f>
        <v>0</v>
      </c>
      <c r="T909" s="85" t="n">
        <v>901</v>
      </c>
    </row>
    <row r="910"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83" t="n"/>
      <c r="K910" s="83" t="n"/>
      <c r="L910" s="83" t="n"/>
      <c r="M910" s="83" t="n"/>
      <c r="O910" s="84" t="str">
        <f>IF($C910="","",IFERROR(MATCH($B910&amp;"|"&amp;$C910,MUROS!$AX$11:$AX$70,0),0))</f>
        <v/>
      </c>
      <c r="P910" s="84" t="str">
        <f>IF($D910="","",IF(ISNUMBER(MATCH($D910,CMB_S,0)),1,IF(ISNUMBER(MATCH($D910,CMB_G,0)),2,0)))</f>
        <v/>
      </c>
      <c r="Q910" s="84">
        <f>IF(ISNUMBER($H910),-$H910,0)</f>
        <v>0</v>
      </c>
      <c r="R910" s="84">
        <f>IF(ISNUMBER($I910),ABS($I910),0)</f>
        <v>0</v>
      </c>
      <c r="S910" s="84">
        <f>IF(ISNUMBER($M910),ABS($M910),0)</f>
        <v>0</v>
      </c>
      <c r="T910" s="85" t="n">
        <v>902</v>
      </c>
    </row>
    <row r="911">
      <c r="B911" s="83" t="n"/>
      <c r="C911" s="83" t="n"/>
      <c r="D911" s="83" t="n"/>
      <c r="E911" s="83" t="n"/>
      <c r="F911" s="83" t="n"/>
      <c r="G911" s="83" t="n"/>
      <c r="H911" s="83" t="n"/>
      <c r="I911" s="83" t="n"/>
      <c r="J911" s="83" t="n"/>
      <c r="K911" s="83" t="n"/>
      <c r="L911" s="83" t="n"/>
      <c r="M911" s="83" t="n"/>
      <c r="O911" s="84" t="str">
        <f>IF($C911="","",IFERROR(MATCH($B911&amp;"|"&amp;$C911,MUROS!$AX$11:$AX$70,0),0))</f>
        <v/>
      </c>
      <c r="P911" s="84" t="str">
        <f>IF($D911="","",IF(ISNUMBER(MATCH($D911,CMB_S,0)),1,IF(ISNUMBER(MATCH($D911,CMB_G,0)),2,0)))</f>
        <v/>
      </c>
      <c r="Q911" s="84">
        <f>IF(ISNUMBER($H911),-$H911,0)</f>
        <v>0</v>
      </c>
      <c r="R911" s="84">
        <f>IF(ISNUMBER($I911),ABS($I911),0)</f>
        <v>0</v>
      </c>
      <c r="S911" s="84">
        <f>IF(ISNUMBER($M911),ABS($M911),0)</f>
        <v>0</v>
      </c>
      <c r="T911" s="85" t="n">
        <v>903</v>
      </c>
    </row>
    <row r="912">
      <c r="B912" s="83" t="n"/>
      <c r="C912" s="83" t="n"/>
      <c r="D912" s="83" t="n"/>
      <c r="E912" s="83" t="n"/>
      <c r="F912" s="83" t="n"/>
      <c r="G912" s="83" t="n"/>
      <c r="H912" s="83" t="n"/>
      <c r="I912" s="83" t="n"/>
      <c r="J912" s="83" t="n"/>
      <c r="K912" s="83" t="n"/>
      <c r="L912" s="83" t="n"/>
      <c r="M912" s="83" t="n"/>
      <c r="O912" s="84" t="str">
        <f>IF($C912="","",IFERROR(MATCH($B912&amp;"|"&amp;$C912,MUROS!$AX$11:$AX$70,0),0))</f>
        <v/>
      </c>
      <c r="P912" s="84" t="str">
        <f>IF($D912="","",IF(ISNUMBER(MATCH($D912,CMB_S,0)),1,IF(ISNUMBER(MATCH($D912,CMB_G,0)),2,0)))</f>
        <v/>
      </c>
      <c r="Q912" s="84">
        <f>IF(ISNUMBER($H912),-$H912,0)</f>
        <v>0</v>
      </c>
      <c r="R912" s="84">
        <f>IF(ISNUMBER($I912),ABS($I912),0)</f>
        <v>0</v>
      </c>
      <c r="S912" s="84">
        <f>IF(ISNUMBER($M912),ABS($M912),0)</f>
        <v>0</v>
      </c>
      <c r="T912" s="85" t="n">
        <v>904</v>
      </c>
    </row>
    <row r="913">
      <c r="B913" s="83" t="n"/>
      <c r="C913" s="83" t="n"/>
      <c r="D913" s="83" t="n"/>
      <c r="E913" s="83" t="n"/>
      <c r="F913" s="83" t="n"/>
      <c r="G913" s="83" t="n"/>
      <c r="H913" s="83" t="n"/>
      <c r="I913" s="83" t="n"/>
      <c r="J913" s="83" t="n"/>
      <c r="K913" s="83" t="n"/>
      <c r="L913" s="83" t="n"/>
      <c r="M913" s="83" t="n"/>
      <c r="O913" s="84" t="str">
        <f>IF($C913="","",IFERROR(MATCH($B913&amp;"|"&amp;$C913,MUROS!$AX$11:$AX$70,0),0))</f>
        <v/>
      </c>
      <c r="P913" s="84" t="str">
        <f>IF($D913="","",IF(ISNUMBER(MATCH($D913,CMB_S,0)),1,IF(ISNUMBER(MATCH($D913,CMB_G,0)),2,0)))</f>
        <v/>
      </c>
      <c r="Q913" s="84">
        <f>IF(ISNUMBER($H913),-$H913,0)</f>
        <v>0</v>
      </c>
      <c r="R913" s="84">
        <f>IF(ISNUMBER($I913),ABS($I913),0)</f>
        <v>0</v>
      </c>
      <c r="S913" s="84">
        <f>IF(ISNUMBER($M913),ABS($M913),0)</f>
        <v>0</v>
      </c>
      <c r="T913" s="85" t="n">
        <v>905</v>
      </c>
    </row>
    <row r="914">
      <c r="B914" s="83" t="n"/>
      <c r="C914" s="83" t="n"/>
      <c r="D914" s="83" t="n"/>
      <c r="E914" s="83" t="n"/>
      <c r="F914" s="83" t="n"/>
      <c r="G914" s="83" t="n"/>
      <c r="H914" s="83" t="n"/>
      <c r="I914" s="83" t="n"/>
      <c r="J914" s="83" t="n"/>
      <c r="K914" s="83" t="n"/>
      <c r="L914" s="83" t="n"/>
      <c r="M914" s="83" t="n"/>
      <c r="O914" s="84" t="str">
        <f>IF($C914="","",IFERROR(MATCH($B914&amp;"|"&amp;$C914,MUROS!$AX$11:$AX$70,0),0))</f>
        <v/>
      </c>
      <c r="P914" s="84" t="str">
        <f>IF($D914="","",IF(ISNUMBER(MATCH($D914,CMB_S,0)),1,IF(ISNUMBER(MATCH($D914,CMB_G,0)),2,0)))</f>
        <v/>
      </c>
      <c r="Q914" s="84">
        <f>IF(ISNUMBER($H914),-$H914,0)</f>
        <v>0</v>
      </c>
      <c r="R914" s="84">
        <f>IF(ISNUMBER($I914),ABS($I914),0)</f>
        <v>0</v>
      </c>
      <c r="S914" s="84">
        <f>IF(ISNUMBER($M914),ABS($M914),0)</f>
        <v>0</v>
      </c>
      <c r="T914" s="85" t="n">
        <v>906</v>
      </c>
    </row>
    <row r="915">
      <c r="B915" s="83" t="n"/>
      <c r="C915" s="83" t="n"/>
      <c r="D915" s="83" t="n"/>
      <c r="E915" s="83" t="n"/>
      <c r="F915" s="83" t="n"/>
      <c r="G915" s="83" t="n"/>
      <c r="H915" s="83" t="n"/>
      <c r="I915" s="83" t="n"/>
      <c r="J915" s="83" t="n"/>
      <c r="K915" s="83" t="n"/>
      <c r="L915" s="83" t="n"/>
      <c r="M915" s="83" t="n"/>
      <c r="O915" s="84" t="str">
        <f>IF($C915="","",IFERROR(MATCH($B915&amp;"|"&amp;$C915,MUROS!$AX$11:$AX$70,0),0))</f>
        <v/>
      </c>
      <c r="P915" s="84" t="str">
        <f>IF($D915="","",IF(ISNUMBER(MATCH($D915,CMB_S,0)),1,IF(ISNUMBER(MATCH($D915,CMB_G,0)),2,0)))</f>
        <v/>
      </c>
      <c r="Q915" s="84">
        <f>IF(ISNUMBER($H915),-$H915,0)</f>
        <v>0</v>
      </c>
      <c r="R915" s="84">
        <f>IF(ISNUMBER($I915),ABS($I915),0)</f>
        <v>0</v>
      </c>
      <c r="S915" s="84">
        <f>IF(ISNUMBER($M915),ABS($M915),0)</f>
        <v>0</v>
      </c>
      <c r="T915" s="85" t="n">
        <v>907</v>
      </c>
    </row>
    <row r="916">
      <c r="B916" s="83" t="n"/>
      <c r="C916" s="83" t="n"/>
      <c r="D916" s="83" t="n"/>
      <c r="E916" s="83" t="n"/>
      <c r="F916" s="83" t="n"/>
      <c r="G916" s="83" t="n"/>
      <c r="H916" s="83" t="n"/>
      <c r="I916" s="83" t="n"/>
      <c r="J916" s="83" t="n"/>
      <c r="K916" s="83" t="n"/>
      <c r="L916" s="83" t="n"/>
      <c r="M916" s="83" t="n"/>
      <c r="O916" s="84" t="str">
        <f>IF($C916="","",IFERROR(MATCH($B916&amp;"|"&amp;$C916,MUROS!$AX$11:$AX$70,0),0))</f>
        <v/>
      </c>
      <c r="P916" s="84" t="str">
        <f>IF($D916="","",IF(ISNUMBER(MATCH($D916,CMB_S,0)),1,IF(ISNUMBER(MATCH($D916,CMB_G,0)),2,0)))</f>
        <v/>
      </c>
      <c r="Q916" s="84">
        <f>IF(ISNUMBER($H916),-$H916,0)</f>
        <v>0</v>
      </c>
      <c r="R916" s="84">
        <f>IF(ISNUMBER($I916),ABS($I916),0)</f>
        <v>0</v>
      </c>
      <c r="S916" s="84">
        <f>IF(ISNUMBER($M916),ABS($M916),0)</f>
        <v>0</v>
      </c>
      <c r="T916" s="85" t="n">
        <v>908</v>
      </c>
    </row>
    <row r="917">
      <c r="B917" s="83" t="n"/>
      <c r="C917" s="83" t="n"/>
      <c r="D917" s="83" t="n"/>
      <c r="E917" s="83" t="n"/>
      <c r="F917" s="83" t="n"/>
      <c r="G917" s="83" t="n"/>
      <c r="H917" s="83" t="n"/>
      <c r="I917" s="83" t="n"/>
      <c r="J917" s="83" t="n"/>
      <c r="K917" s="83" t="n"/>
      <c r="L917" s="83" t="n"/>
      <c r="M917" s="83" t="n"/>
      <c r="O917" s="84" t="str">
        <f>IF($C917="","",IFERROR(MATCH($B917&amp;"|"&amp;$C917,MUROS!$AX$11:$AX$70,0),0))</f>
        <v/>
      </c>
      <c r="P917" s="84" t="str">
        <f>IF($D917="","",IF(ISNUMBER(MATCH($D917,CMB_S,0)),1,IF(ISNUMBER(MATCH($D917,CMB_G,0)),2,0)))</f>
        <v/>
      </c>
      <c r="Q917" s="84">
        <f>IF(ISNUMBER($H917),-$H917,0)</f>
        <v>0</v>
      </c>
      <c r="R917" s="84">
        <f>IF(ISNUMBER($I917),ABS($I917),0)</f>
        <v>0</v>
      </c>
      <c r="S917" s="84">
        <f>IF(ISNUMBER($M917),ABS($M917),0)</f>
        <v>0</v>
      </c>
      <c r="T917" s="85" t="n">
        <v>909</v>
      </c>
    </row>
    <row r="918">
      <c r="B918" s="83" t="n"/>
      <c r="C918" s="83" t="n"/>
      <c r="D918" s="83" t="n"/>
      <c r="E918" s="83" t="n"/>
      <c r="F918" s="83" t="n"/>
      <c r="G918" s="83" t="n"/>
      <c r="H918" s="83" t="n"/>
      <c r="I918" s="83" t="n"/>
      <c r="J918" s="83" t="n"/>
      <c r="K918" s="83" t="n"/>
      <c r="L918" s="83" t="n"/>
      <c r="M918" s="83" t="n"/>
      <c r="O918" s="84" t="str">
        <f>IF($C918="","",IFERROR(MATCH($B918&amp;"|"&amp;$C918,MUROS!$AX$11:$AX$70,0),0))</f>
        <v/>
      </c>
      <c r="P918" s="84" t="str">
        <f>IF($D918="","",IF(ISNUMBER(MATCH($D918,CMB_S,0)),1,IF(ISNUMBER(MATCH($D918,CMB_G,0)),2,0)))</f>
        <v/>
      </c>
      <c r="Q918" s="84">
        <f>IF(ISNUMBER($H918),-$H918,0)</f>
        <v>0</v>
      </c>
      <c r="R918" s="84">
        <f>IF(ISNUMBER($I918),ABS($I918),0)</f>
        <v>0</v>
      </c>
      <c r="S918" s="84">
        <f>IF(ISNUMBER($M918),ABS($M918),0)</f>
        <v>0</v>
      </c>
      <c r="T918" s="85" t="n">
        <v>910</v>
      </c>
    </row>
    <row r="919">
      <c r="B919" s="83" t="n"/>
      <c r="C919" s="83" t="n"/>
      <c r="D919" s="83" t="n"/>
      <c r="E919" s="83" t="n"/>
      <c r="F919" s="83" t="n"/>
      <c r="G919" s="83" t="n"/>
      <c r="H919" s="83" t="n"/>
      <c r="I919" s="83" t="n"/>
      <c r="J919" s="83" t="n"/>
      <c r="K919" s="83" t="n"/>
      <c r="L919" s="83" t="n"/>
      <c r="M919" s="83" t="n"/>
      <c r="O919" s="84" t="str">
        <f>IF($C919="","",IFERROR(MATCH($B919&amp;"|"&amp;$C919,MUROS!$AX$11:$AX$70,0),0))</f>
        <v/>
      </c>
      <c r="P919" s="84" t="str">
        <f>IF($D919="","",IF(ISNUMBER(MATCH($D919,CMB_S,0)),1,IF(ISNUMBER(MATCH($D919,CMB_G,0)),2,0)))</f>
        <v/>
      </c>
      <c r="Q919" s="84">
        <f>IF(ISNUMBER($H919),-$H919,0)</f>
        <v>0</v>
      </c>
      <c r="R919" s="84">
        <f>IF(ISNUMBER($I919),ABS($I919),0)</f>
        <v>0</v>
      </c>
      <c r="S919" s="84">
        <f>IF(ISNUMBER($M919),ABS($M919),0)</f>
        <v>0</v>
      </c>
      <c r="T919" s="85" t="n">
        <v>911</v>
      </c>
    </row>
    <row r="920"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83" t="n"/>
      <c r="K920" s="83" t="n"/>
      <c r="L920" s="83" t="n"/>
      <c r="M920" s="83" t="n"/>
      <c r="O920" s="84" t="str">
        <f>IF($C920="","",IFERROR(MATCH($B920&amp;"|"&amp;$C920,MUROS!$AX$11:$AX$70,0),0))</f>
        <v/>
      </c>
      <c r="P920" s="84" t="str">
        <f>IF($D920="","",IF(ISNUMBER(MATCH($D920,CMB_S,0)),1,IF(ISNUMBER(MATCH($D920,CMB_G,0)),2,0)))</f>
        <v/>
      </c>
      <c r="Q920" s="84">
        <f>IF(ISNUMBER($H920),-$H920,0)</f>
        <v>0</v>
      </c>
      <c r="R920" s="84">
        <f>IF(ISNUMBER($I920),ABS($I920),0)</f>
        <v>0</v>
      </c>
      <c r="S920" s="84">
        <f>IF(ISNUMBER($M920),ABS($M920),0)</f>
        <v>0</v>
      </c>
      <c r="T920" s="85" t="n">
        <v>912</v>
      </c>
    </row>
    <row r="921">
      <c r="B921" s="83" t="n"/>
      <c r="C921" s="83" t="n"/>
      <c r="D921" s="83" t="n"/>
      <c r="E921" s="83" t="n"/>
      <c r="F921" s="83" t="n"/>
      <c r="G921" s="83" t="n"/>
      <c r="H921" s="83" t="n"/>
      <c r="I921" s="83" t="n"/>
      <c r="J921" s="83" t="n"/>
      <c r="K921" s="83" t="n"/>
      <c r="L921" s="83" t="n"/>
      <c r="M921" s="83" t="n"/>
      <c r="O921" s="84" t="str">
        <f>IF($C921="","",IFERROR(MATCH($B921&amp;"|"&amp;$C921,MUROS!$AX$11:$AX$70,0),0))</f>
        <v/>
      </c>
      <c r="P921" s="84" t="str">
        <f>IF($D921="","",IF(ISNUMBER(MATCH($D921,CMB_S,0)),1,IF(ISNUMBER(MATCH($D921,CMB_G,0)),2,0)))</f>
        <v/>
      </c>
      <c r="Q921" s="84">
        <f>IF(ISNUMBER($H921),-$H921,0)</f>
        <v>0</v>
      </c>
      <c r="R921" s="84">
        <f>IF(ISNUMBER($I921),ABS($I921),0)</f>
        <v>0</v>
      </c>
      <c r="S921" s="84">
        <f>IF(ISNUMBER($M921),ABS($M921),0)</f>
        <v>0</v>
      </c>
      <c r="T921" s="85" t="n">
        <v>913</v>
      </c>
    </row>
    <row r="922">
      <c r="B922" s="83" t="n"/>
      <c r="C922" s="83" t="n"/>
      <c r="D922" s="83" t="n"/>
      <c r="E922" s="83" t="n"/>
      <c r="F922" s="83" t="n"/>
      <c r="G922" s="83" t="n"/>
      <c r="H922" s="83" t="n"/>
      <c r="I922" s="83" t="n"/>
      <c r="J922" s="83" t="n"/>
      <c r="K922" s="83" t="n"/>
      <c r="L922" s="83" t="n"/>
      <c r="M922" s="83" t="n"/>
      <c r="O922" s="84" t="str">
        <f>IF($C922="","",IFERROR(MATCH($B922&amp;"|"&amp;$C922,MUROS!$AX$11:$AX$70,0),0))</f>
        <v/>
      </c>
      <c r="P922" s="84" t="str">
        <f>IF($D922="","",IF(ISNUMBER(MATCH($D922,CMB_S,0)),1,IF(ISNUMBER(MATCH($D922,CMB_G,0)),2,0)))</f>
        <v/>
      </c>
      <c r="Q922" s="84">
        <f>IF(ISNUMBER($H922),-$H922,0)</f>
        <v>0</v>
      </c>
      <c r="R922" s="84">
        <f>IF(ISNUMBER($I922),ABS($I922),0)</f>
        <v>0</v>
      </c>
      <c r="S922" s="84">
        <f>IF(ISNUMBER($M922),ABS($M922),0)</f>
        <v>0</v>
      </c>
      <c r="T922" s="85" t="n">
        <v>914</v>
      </c>
    </row>
    <row r="923">
      <c r="B923" s="83" t="n"/>
      <c r="C923" s="83" t="n"/>
      <c r="D923" s="83" t="n"/>
      <c r="E923" s="83" t="n"/>
      <c r="F923" s="83" t="n"/>
      <c r="G923" s="83" t="n"/>
      <c r="H923" s="83" t="n"/>
      <c r="I923" s="83" t="n"/>
      <c r="J923" s="83" t="n"/>
      <c r="K923" s="83" t="n"/>
      <c r="L923" s="83" t="n"/>
      <c r="M923" s="83" t="n"/>
      <c r="O923" s="84" t="str">
        <f>IF($C923="","",IFERROR(MATCH($B923&amp;"|"&amp;$C923,MUROS!$AX$11:$AX$70,0),0))</f>
        <v/>
      </c>
      <c r="P923" s="84" t="str">
        <f>IF($D923="","",IF(ISNUMBER(MATCH($D923,CMB_S,0)),1,IF(ISNUMBER(MATCH($D923,CMB_G,0)),2,0)))</f>
        <v/>
      </c>
      <c r="Q923" s="84">
        <f>IF(ISNUMBER($H923),-$H923,0)</f>
        <v>0</v>
      </c>
      <c r="R923" s="84">
        <f>IF(ISNUMBER($I923),ABS($I923),0)</f>
        <v>0</v>
      </c>
      <c r="S923" s="84">
        <f>IF(ISNUMBER($M923),ABS($M923),0)</f>
        <v>0</v>
      </c>
      <c r="T923" s="85" t="n">
        <v>915</v>
      </c>
    </row>
    <row r="924">
      <c r="B924" s="83" t="n"/>
      <c r="C924" s="83" t="n"/>
      <c r="D924" s="83" t="n"/>
      <c r="E924" s="83" t="n"/>
      <c r="F924" s="83" t="n"/>
      <c r="G924" s="83" t="n"/>
      <c r="H924" s="83" t="n"/>
      <c r="I924" s="83" t="n"/>
      <c r="J924" s="83" t="n"/>
      <c r="K924" s="83" t="n"/>
      <c r="L924" s="83" t="n"/>
      <c r="M924" s="83" t="n"/>
      <c r="O924" s="84" t="str">
        <f>IF($C924="","",IFERROR(MATCH($B924&amp;"|"&amp;$C924,MUROS!$AX$11:$AX$70,0),0))</f>
        <v/>
      </c>
      <c r="P924" s="84" t="str">
        <f>IF($D924="","",IF(ISNUMBER(MATCH($D924,CMB_S,0)),1,IF(ISNUMBER(MATCH($D924,CMB_G,0)),2,0)))</f>
        <v/>
      </c>
      <c r="Q924" s="84">
        <f>IF(ISNUMBER($H924),-$H924,0)</f>
        <v>0</v>
      </c>
      <c r="R924" s="84">
        <f>IF(ISNUMBER($I924),ABS($I924),0)</f>
        <v>0</v>
      </c>
      <c r="S924" s="84">
        <f>IF(ISNUMBER($M924),ABS($M924),0)</f>
        <v>0</v>
      </c>
      <c r="T924" s="85" t="n">
        <v>916</v>
      </c>
    </row>
    <row r="925">
      <c r="B925" s="83" t="n"/>
      <c r="C925" s="83" t="n"/>
      <c r="D925" s="83" t="n"/>
      <c r="E925" s="83" t="n"/>
      <c r="F925" s="83" t="n"/>
      <c r="G925" s="83" t="n"/>
      <c r="H925" s="83" t="n"/>
      <c r="I925" s="83" t="n"/>
      <c r="J925" s="83" t="n"/>
      <c r="K925" s="83" t="n"/>
      <c r="L925" s="83" t="n"/>
      <c r="M925" s="83" t="n"/>
      <c r="O925" s="84" t="str">
        <f>IF($C925="","",IFERROR(MATCH($B925&amp;"|"&amp;$C925,MUROS!$AX$11:$AX$70,0),0))</f>
        <v/>
      </c>
      <c r="P925" s="84" t="str">
        <f>IF($D925="","",IF(ISNUMBER(MATCH($D925,CMB_S,0)),1,IF(ISNUMBER(MATCH($D925,CMB_G,0)),2,0)))</f>
        <v/>
      </c>
      <c r="Q925" s="84">
        <f>IF(ISNUMBER($H925),-$H925,0)</f>
        <v>0</v>
      </c>
      <c r="R925" s="84">
        <f>IF(ISNUMBER($I925),ABS($I925),0)</f>
        <v>0</v>
      </c>
      <c r="S925" s="84">
        <f>IF(ISNUMBER($M925),ABS($M925),0)</f>
        <v>0</v>
      </c>
      <c r="T925" s="85" t="n">
        <v>917</v>
      </c>
    </row>
    <row r="926">
      <c r="B926" s="83" t="n"/>
      <c r="C926" s="83" t="n"/>
      <c r="D926" s="83" t="n"/>
      <c r="E926" s="83" t="n"/>
      <c r="F926" s="83" t="n"/>
      <c r="G926" s="83" t="n"/>
      <c r="H926" s="83" t="n"/>
      <c r="I926" s="83" t="n"/>
      <c r="J926" s="83" t="n"/>
      <c r="K926" s="83" t="n"/>
      <c r="L926" s="83" t="n"/>
      <c r="M926" s="83" t="n"/>
      <c r="O926" s="84" t="str">
        <f>IF($C926="","",IFERROR(MATCH($B926&amp;"|"&amp;$C926,MUROS!$AX$11:$AX$70,0),0))</f>
        <v/>
      </c>
      <c r="P926" s="84" t="str">
        <f>IF($D926="","",IF(ISNUMBER(MATCH($D926,CMB_S,0)),1,IF(ISNUMBER(MATCH($D926,CMB_G,0)),2,0)))</f>
        <v/>
      </c>
      <c r="Q926" s="84">
        <f>IF(ISNUMBER($H926),-$H926,0)</f>
        <v>0</v>
      </c>
      <c r="R926" s="84">
        <f>IF(ISNUMBER($I926),ABS($I926),0)</f>
        <v>0</v>
      </c>
      <c r="S926" s="84">
        <f>IF(ISNUMBER($M926),ABS($M926),0)</f>
        <v>0</v>
      </c>
      <c r="T926" s="85" t="n">
        <v>918</v>
      </c>
    </row>
    <row r="927">
      <c r="B927" s="83" t="n"/>
      <c r="C927" s="83" t="n"/>
      <c r="D927" s="83" t="n"/>
      <c r="E927" s="83" t="n"/>
      <c r="F927" s="83" t="n"/>
      <c r="G927" s="83" t="n"/>
      <c r="H927" s="83" t="n"/>
      <c r="I927" s="83" t="n"/>
      <c r="J927" s="83" t="n"/>
      <c r="K927" s="83" t="n"/>
      <c r="L927" s="83" t="n"/>
      <c r="M927" s="83" t="n"/>
      <c r="O927" s="84" t="str">
        <f>IF($C927="","",IFERROR(MATCH($B927&amp;"|"&amp;$C927,MUROS!$AX$11:$AX$70,0),0))</f>
        <v/>
      </c>
      <c r="P927" s="84" t="str">
        <f>IF($D927="","",IF(ISNUMBER(MATCH($D927,CMB_S,0)),1,IF(ISNUMBER(MATCH($D927,CMB_G,0)),2,0)))</f>
        <v/>
      </c>
      <c r="Q927" s="84">
        <f>IF(ISNUMBER($H927),-$H927,0)</f>
        <v>0</v>
      </c>
      <c r="R927" s="84">
        <f>IF(ISNUMBER($I927),ABS($I927),0)</f>
        <v>0</v>
      </c>
      <c r="S927" s="84">
        <f>IF(ISNUMBER($M927),ABS($M927),0)</f>
        <v>0</v>
      </c>
      <c r="T927" s="85" t="n">
        <v>919</v>
      </c>
    </row>
    <row r="928">
      <c r="B928" s="83" t="n"/>
      <c r="C928" s="83" t="n"/>
      <c r="D928" s="83" t="n"/>
      <c r="E928" s="83" t="n"/>
      <c r="F928" s="83" t="n"/>
      <c r="G928" s="83" t="n"/>
      <c r="H928" s="83" t="n"/>
      <c r="I928" s="83" t="n"/>
      <c r="J928" s="83" t="n"/>
      <c r="K928" s="83" t="n"/>
      <c r="L928" s="83" t="n"/>
      <c r="M928" s="83" t="n"/>
      <c r="O928" s="84" t="str">
        <f>IF($C928="","",IFERROR(MATCH($B928&amp;"|"&amp;$C928,MUROS!$AX$11:$AX$70,0),0))</f>
        <v/>
      </c>
      <c r="P928" s="84" t="str">
        <f>IF($D928="","",IF(ISNUMBER(MATCH($D928,CMB_S,0)),1,IF(ISNUMBER(MATCH($D928,CMB_G,0)),2,0)))</f>
        <v/>
      </c>
      <c r="Q928" s="84">
        <f>IF(ISNUMBER($H928),-$H928,0)</f>
        <v>0</v>
      </c>
      <c r="R928" s="84">
        <f>IF(ISNUMBER($I928),ABS($I928),0)</f>
        <v>0</v>
      </c>
      <c r="S928" s="84">
        <f>IF(ISNUMBER($M928),ABS($M928),0)</f>
        <v>0</v>
      </c>
      <c r="T928" s="85" t="n">
        <v>920</v>
      </c>
    </row>
    <row r="929">
      <c r="B929" s="83" t="n"/>
      <c r="C929" s="83" t="n"/>
      <c r="D929" s="83" t="n"/>
      <c r="E929" s="83" t="n"/>
      <c r="F929" s="83" t="n"/>
      <c r="G929" s="83" t="n"/>
      <c r="H929" s="83" t="n"/>
      <c r="I929" s="83" t="n"/>
      <c r="J929" s="83" t="n"/>
      <c r="K929" s="83" t="n"/>
      <c r="L929" s="83" t="n"/>
      <c r="M929" s="83" t="n"/>
      <c r="O929" s="84" t="str">
        <f>IF($C929="","",IFERROR(MATCH($B929&amp;"|"&amp;$C929,MUROS!$AX$11:$AX$70,0),0))</f>
        <v/>
      </c>
      <c r="P929" s="84" t="str">
        <f>IF($D929="","",IF(ISNUMBER(MATCH($D929,CMB_S,0)),1,IF(ISNUMBER(MATCH($D929,CMB_G,0)),2,0)))</f>
        <v/>
      </c>
      <c r="Q929" s="84">
        <f>IF(ISNUMBER($H929),-$H929,0)</f>
        <v>0</v>
      </c>
      <c r="R929" s="84">
        <f>IF(ISNUMBER($I929),ABS($I929),0)</f>
        <v>0</v>
      </c>
      <c r="S929" s="84">
        <f>IF(ISNUMBER($M929),ABS($M929),0)</f>
        <v>0</v>
      </c>
      <c r="T929" s="85" t="n">
        <v>921</v>
      </c>
    </row>
    <row r="930"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83" t="n"/>
      <c r="K930" s="83" t="n"/>
      <c r="L930" s="83" t="n"/>
      <c r="M930" s="83" t="n"/>
      <c r="O930" s="84" t="str">
        <f>IF($C930="","",IFERROR(MATCH($B930&amp;"|"&amp;$C930,MUROS!$AX$11:$AX$70,0),0))</f>
        <v/>
      </c>
      <c r="P930" s="84" t="str">
        <f>IF($D930="","",IF(ISNUMBER(MATCH($D930,CMB_S,0)),1,IF(ISNUMBER(MATCH($D930,CMB_G,0)),2,0)))</f>
        <v/>
      </c>
      <c r="Q930" s="84">
        <f>IF(ISNUMBER($H930),-$H930,0)</f>
        <v>0</v>
      </c>
      <c r="R930" s="84">
        <f>IF(ISNUMBER($I930),ABS($I930),0)</f>
        <v>0</v>
      </c>
      <c r="S930" s="84">
        <f>IF(ISNUMBER($M930),ABS($M930),0)</f>
        <v>0</v>
      </c>
      <c r="T930" s="85" t="n">
        <v>922</v>
      </c>
    </row>
    <row r="931">
      <c r="B931" s="83" t="n"/>
      <c r="C931" s="83" t="n"/>
      <c r="D931" s="83" t="n"/>
      <c r="E931" s="83" t="n"/>
      <c r="F931" s="83" t="n"/>
      <c r="G931" s="83" t="n"/>
      <c r="H931" s="83" t="n"/>
      <c r="I931" s="83" t="n"/>
      <c r="J931" s="83" t="n"/>
      <c r="K931" s="83" t="n"/>
      <c r="L931" s="83" t="n"/>
      <c r="M931" s="83" t="n"/>
      <c r="O931" s="84" t="str">
        <f>IF($C931="","",IFERROR(MATCH($B931&amp;"|"&amp;$C931,MUROS!$AX$11:$AX$70,0),0))</f>
        <v/>
      </c>
      <c r="P931" s="84" t="str">
        <f>IF($D931="","",IF(ISNUMBER(MATCH($D931,CMB_S,0)),1,IF(ISNUMBER(MATCH($D931,CMB_G,0)),2,0)))</f>
        <v/>
      </c>
      <c r="Q931" s="84">
        <f>IF(ISNUMBER($H931),-$H931,0)</f>
        <v>0</v>
      </c>
      <c r="R931" s="84">
        <f>IF(ISNUMBER($I931),ABS($I931),0)</f>
        <v>0</v>
      </c>
      <c r="S931" s="84">
        <f>IF(ISNUMBER($M931),ABS($M931),0)</f>
        <v>0</v>
      </c>
      <c r="T931" s="85" t="n">
        <v>923</v>
      </c>
    </row>
    <row r="932">
      <c r="B932" s="83" t="n"/>
      <c r="C932" s="83" t="n"/>
      <c r="D932" s="83" t="n"/>
      <c r="E932" s="83" t="n"/>
      <c r="F932" s="83" t="n"/>
      <c r="G932" s="83" t="n"/>
      <c r="H932" s="83" t="n"/>
      <c r="I932" s="83" t="n"/>
      <c r="J932" s="83" t="n"/>
      <c r="K932" s="83" t="n"/>
      <c r="L932" s="83" t="n"/>
      <c r="M932" s="83" t="n"/>
      <c r="O932" s="84" t="str">
        <f>IF($C932="","",IFERROR(MATCH($B932&amp;"|"&amp;$C932,MUROS!$AX$11:$AX$70,0),0))</f>
        <v/>
      </c>
      <c r="P932" s="84" t="str">
        <f>IF($D932="","",IF(ISNUMBER(MATCH($D932,CMB_S,0)),1,IF(ISNUMBER(MATCH($D932,CMB_G,0)),2,0)))</f>
        <v/>
      </c>
      <c r="Q932" s="84">
        <f>IF(ISNUMBER($H932),-$H932,0)</f>
        <v>0</v>
      </c>
      <c r="R932" s="84">
        <f>IF(ISNUMBER($I932),ABS($I932),0)</f>
        <v>0</v>
      </c>
      <c r="S932" s="84">
        <f>IF(ISNUMBER($M932),ABS($M932),0)</f>
        <v>0</v>
      </c>
      <c r="T932" s="85" t="n">
        <v>924</v>
      </c>
    </row>
    <row r="933">
      <c r="B933" s="83" t="n"/>
      <c r="C933" s="83" t="n"/>
      <c r="D933" s="83" t="n"/>
      <c r="E933" s="83" t="n"/>
      <c r="F933" s="83" t="n"/>
      <c r="G933" s="83" t="n"/>
      <c r="H933" s="83" t="n"/>
      <c r="I933" s="83" t="n"/>
      <c r="J933" s="83" t="n"/>
      <c r="K933" s="83" t="n"/>
      <c r="L933" s="83" t="n"/>
      <c r="M933" s="83" t="n"/>
      <c r="O933" s="84" t="str">
        <f>IF($C933="","",IFERROR(MATCH($B933&amp;"|"&amp;$C933,MUROS!$AX$11:$AX$70,0),0))</f>
        <v/>
      </c>
      <c r="P933" s="84" t="str">
        <f>IF($D933="","",IF(ISNUMBER(MATCH($D933,CMB_S,0)),1,IF(ISNUMBER(MATCH($D933,CMB_G,0)),2,0)))</f>
        <v/>
      </c>
      <c r="Q933" s="84">
        <f>IF(ISNUMBER($H933),-$H933,0)</f>
        <v>0</v>
      </c>
      <c r="R933" s="84">
        <f>IF(ISNUMBER($I933),ABS($I933),0)</f>
        <v>0</v>
      </c>
      <c r="S933" s="84">
        <f>IF(ISNUMBER($M933),ABS($M933),0)</f>
        <v>0</v>
      </c>
      <c r="T933" s="85" t="n">
        <v>925</v>
      </c>
    </row>
    <row r="934">
      <c r="B934" s="83" t="n"/>
      <c r="C934" s="83" t="n"/>
      <c r="D934" s="83" t="n"/>
      <c r="E934" s="83" t="n"/>
      <c r="F934" s="83" t="n"/>
      <c r="G934" s="83" t="n"/>
      <c r="H934" s="83" t="n"/>
      <c r="I934" s="83" t="n"/>
      <c r="J934" s="83" t="n"/>
      <c r="K934" s="83" t="n"/>
      <c r="L934" s="83" t="n"/>
      <c r="M934" s="83" t="n"/>
      <c r="O934" s="84" t="str">
        <f>IF($C934="","",IFERROR(MATCH($B934&amp;"|"&amp;$C934,MUROS!$AX$11:$AX$70,0),0))</f>
        <v/>
      </c>
      <c r="P934" s="84" t="str">
        <f>IF($D934="","",IF(ISNUMBER(MATCH($D934,CMB_S,0)),1,IF(ISNUMBER(MATCH($D934,CMB_G,0)),2,0)))</f>
        <v/>
      </c>
      <c r="Q934" s="84">
        <f>IF(ISNUMBER($H934),-$H934,0)</f>
        <v>0</v>
      </c>
      <c r="R934" s="84">
        <f>IF(ISNUMBER($I934),ABS($I934),0)</f>
        <v>0</v>
      </c>
      <c r="S934" s="84">
        <f>IF(ISNUMBER($M934),ABS($M934),0)</f>
        <v>0</v>
      </c>
      <c r="T934" s="85" t="n">
        <v>926</v>
      </c>
    </row>
    <row r="935">
      <c r="B935" s="83" t="n"/>
      <c r="C935" s="83" t="n"/>
      <c r="D935" s="83" t="n"/>
      <c r="E935" s="83" t="n"/>
      <c r="F935" s="83" t="n"/>
      <c r="G935" s="83" t="n"/>
      <c r="H935" s="83" t="n"/>
      <c r="I935" s="83" t="n"/>
      <c r="J935" s="83" t="n"/>
      <c r="K935" s="83" t="n"/>
      <c r="L935" s="83" t="n"/>
      <c r="M935" s="83" t="n"/>
      <c r="O935" s="84" t="str">
        <f>IF($C935="","",IFERROR(MATCH($B935&amp;"|"&amp;$C935,MUROS!$AX$11:$AX$70,0),0))</f>
        <v/>
      </c>
      <c r="P935" s="84" t="str">
        <f>IF($D935="","",IF(ISNUMBER(MATCH($D935,CMB_S,0)),1,IF(ISNUMBER(MATCH($D935,CMB_G,0)),2,0)))</f>
        <v/>
      </c>
      <c r="Q935" s="84">
        <f>IF(ISNUMBER($H935),-$H935,0)</f>
        <v>0</v>
      </c>
      <c r="R935" s="84">
        <f>IF(ISNUMBER($I935),ABS($I935),0)</f>
        <v>0</v>
      </c>
      <c r="S935" s="84">
        <f>IF(ISNUMBER($M935),ABS($M935),0)</f>
        <v>0</v>
      </c>
      <c r="T935" s="85" t="n">
        <v>927</v>
      </c>
    </row>
    <row r="936">
      <c r="B936" s="83" t="n"/>
      <c r="C936" s="83" t="n"/>
      <c r="D936" s="83" t="n"/>
      <c r="E936" s="83" t="n"/>
      <c r="F936" s="83" t="n"/>
      <c r="G936" s="83" t="n"/>
      <c r="H936" s="83" t="n"/>
      <c r="I936" s="83" t="n"/>
      <c r="J936" s="83" t="n"/>
      <c r="K936" s="83" t="n"/>
      <c r="L936" s="83" t="n"/>
      <c r="M936" s="83" t="n"/>
      <c r="O936" s="84" t="str">
        <f>IF($C936="","",IFERROR(MATCH($B936&amp;"|"&amp;$C936,MUROS!$AX$11:$AX$70,0),0))</f>
        <v/>
      </c>
      <c r="P936" s="84" t="str">
        <f>IF($D936="","",IF(ISNUMBER(MATCH($D936,CMB_S,0)),1,IF(ISNUMBER(MATCH($D936,CMB_G,0)),2,0)))</f>
        <v/>
      </c>
      <c r="Q936" s="84">
        <f>IF(ISNUMBER($H936),-$H936,0)</f>
        <v>0</v>
      </c>
      <c r="R936" s="84">
        <f>IF(ISNUMBER($I936),ABS($I936),0)</f>
        <v>0</v>
      </c>
      <c r="S936" s="84">
        <f>IF(ISNUMBER($M936),ABS($M936),0)</f>
        <v>0</v>
      </c>
      <c r="T936" s="85" t="n">
        <v>928</v>
      </c>
    </row>
    <row r="937">
      <c r="B937" s="83" t="n"/>
      <c r="C937" s="83" t="n"/>
      <c r="D937" s="83" t="n"/>
      <c r="E937" s="83" t="n"/>
      <c r="F937" s="83" t="n"/>
      <c r="G937" s="83" t="n"/>
      <c r="H937" s="83" t="n"/>
      <c r="I937" s="83" t="n"/>
      <c r="J937" s="83" t="n"/>
      <c r="K937" s="83" t="n"/>
      <c r="L937" s="83" t="n"/>
      <c r="M937" s="83" t="n"/>
      <c r="O937" s="84" t="str">
        <f>IF($C937="","",IFERROR(MATCH($B937&amp;"|"&amp;$C937,MUROS!$AX$11:$AX$70,0),0))</f>
        <v/>
      </c>
      <c r="P937" s="84" t="str">
        <f>IF($D937="","",IF(ISNUMBER(MATCH($D937,CMB_S,0)),1,IF(ISNUMBER(MATCH($D937,CMB_G,0)),2,0)))</f>
        <v/>
      </c>
      <c r="Q937" s="84">
        <f>IF(ISNUMBER($H937),-$H937,0)</f>
        <v>0</v>
      </c>
      <c r="R937" s="84">
        <f>IF(ISNUMBER($I937),ABS($I937),0)</f>
        <v>0</v>
      </c>
      <c r="S937" s="84">
        <f>IF(ISNUMBER($M937),ABS($M937),0)</f>
        <v>0</v>
      </c>
      <c r="T937" s="85" t="n">
        <v>929</v>
      </c>
    </row>
    <row r="938">
      <c r="B938" s="83" t="n"/>
      <c r="C938" s="83" t="n"/>
      <c r="D938" s="83" t="n"/>
      <c r="E938" s="83" t="n"/>
      <c r="F938" s="83" t="n"/>
      <c r="G938" s="83" t="n"/>
      <c r="H938" s="83" t="n"/>
      <c r="I938" s="83" t="n"/>
      <c r="J938" s="83" t="n"/>
      <c r="K938" s="83" t="n"/>
      <c r="L938" s="83" t="n"/>
      <c r="M938" s="83" t="n"/>
      <c r="O938" s="84" t="str">
        <f>IF($C938="","",IFERROR(MATCH($B938&amp;"|"&amp;$C938,MUROS!$AX$11:$AX$70,0),0))</f>
        <v/>
      </c>
      <c r="P938" s="84" t="str">
        <f>IF($D938="","",IF(ISNUMBER(MATCH($D938,CMB_S,0)),1,IF(ISNUMBER(MATCH($D938,CMB_G,0)),2,0)))</f>
        <v/>
      </c>
      <c r="Q938" s="84">
        <f>IF(ISNUMBER($H938),-$H938,0)</f>
        <v>0</v>
      </c>
      <c r="R938" s="84">
        <f>IF(ISNUMBER($I938),ABS($I938),0)</f>
        <v>0</v>
      </c>
      <c r="S938" s="84">
        <f>IF(ISNUMBER($M938),ABS($M938),0)</f>
        <v>0</v>
      </c>
      <c r="T938" s="85" t="n">
        <v>930</v>
      </c>
    </row>
    <row r="939"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83" t="n"/>
      <c r="K939" s="83" t="n"/>
      <c r="L939" s="83" t="n"/>
      <c r="M939" s="83" t="n"/>
      <c r="O939" s="84" t="str">
        <f>IF($C939="","",IFERROR(MATCH($B939&amp;"|"&amp;$C939,MUROS!$AX$11:$AX$70,0),0))</f>
        <v/>
      </c>
      <c r="P939" s="84" t="str">
        <f>IF($D939="","",IF(ISNUMBER(MATCH($D939,CMB_S,0)),1,IF(ISNUMBER(MATCH($D939,CMB_G,0)),2,0)))</f>
        <v/>
      </c>
      <c r="Q939" s="84">
        <f>IF(ISNUMBER($H939),-$H939,0)</f>
        <v>0</v>
      </c>
      <c r="R939" s="84">
        <f>IF(ISNUMBER($I939),ABS($I939),0)</f>
        <v>0</v>
      </c>
      <c r="S939" s="84">
        <f>IF(ISNUMBER($M939),ABS($M939),0)</f>
        <v>0</v>
      </c>
      <c r="T939" s="85" t="n">
        <v>931</v>
      </c>
    </row>
    <row r="940">
      <c r="B940" s="83" t="n"/>
      <c r="C940" s="83" t="n"/>
      <c r="D940" s="83" t="n"/>
      <c r="E940" s="83" t="n"/>
      <c r="F940" s="83" t="n"/>
      <c r="G940" s="83" t="n"/>
      <c r="H940" s="83" t="n"/>
      <c r="I940" s="83" t="n"/>
      <c r="J940" s="83" t="n"/>
      <c r="K940" s="83" t="n"/>
      <c r="L940" s="83" t="n"/>
      <c r="M940" s="83" t="n"/>
      <c r="O940" s="84" t="str">
        <f>IF($C940="","",IFERROR(MATCH($B940&amp;"|"&amp;$C940,MUROS!$AX$11:$AX$70,0),0))</f>
        <v/>
      </c>
      <c r="P940" s="84" t="str">
        <f>IF($D940="","",IF(ISNUMBER(MATCH($D940,CMB_S,0)),1,IF(ISNUMBER(MATCH($D940,CMB_G,0)),2,0)))</f>
        <v/>
      </c>
      <c r="Q940" s="84">
        <f>IF(ISNUMBER($H940),-$H940,0)</f>
        <v>0</v>
      </c>
      <c r="R940" s="84">
        <f>IF(ISNUMBER($I940),ABS($I940),0)</f>
        <v>0</v>
      </c>
      <c r="S940" s="84">
        <f>IF(ISNUMBER($M940),ABS($M940),0)</f>
        <v>0</v>
      </c>
      <c r="T940" s="85" t="n">
        <v>932</v>
      </c>
    </row>
    <row r="941">
      <c r="B941" s="83" t="n"/>
      <c r="C941" s="83" t="n"/>
      <c r="D941" s="83" t="n"/>
      <c r="E941" s="83" t="n"/>
      <c r="F941" s="83" t="n"/>
      <c r="G941" s="83" t="n"/>
      <c r="H941" s="83" t="n"/>
      <c r="I941" s="83" t="n"/>
      <c r="J941" s="83" t="n"/>
      <c r="K941" s="83" t="n"/>
      <c r="L941" s="83" t="n"/>
      <c r="M941" s="83" t="n"/>
      <c r="O941" s="84" t="str">
        <f>IF($C941="","",IFERROR(MATCH($B941&amp;"|"&amp;$C941,MUROS!$AX$11:$AX$70,0),0))</f>
        <v/>
      </c>
      <c r="P941" s="84" t="str">
        <f>IF($D941="","",IF(ISNUMBER(MATCH($D941,CMB_S,0)),1,IF(ISNUMBER(MATCH($D941,CMB_G,0)),2,0)))</f>
        <v/>
      </c>
      <c r="Q941" s="84">
        <f>IF(ISNUMBER($H941),-$H941,0)</f>
        <v>0</v>
      </c>
      <c r="R941" s="84">
        <f>IF(ISNUMBER($I941),ABS($I941),0)</f>
        <v>0</v>
      </c>
      <c r="S941" s="84">
        <f>IF(ISNUMBER($M941),ABS($M941),0)</f>
        <v>0</v>
      </c>
      <c r="T941" s="85" t="n">
        <v>933</v>
      </c>
    </row>
    <row r="942">
      <c r="B942" s="83" t="n"/>
      <c r="C942" s="83" t="n"/>
      <c r="D942" s="83" t="n"/>
      <c r="E942" s="83" t="n"/>
      <c r="F942" s="83" t="n"/>
      <c r="G942" s="83" t="n"/>
      <c r="H942" s="83" t="n"/>
      <c r="I942" s="83" t="n"/>
      <c r="J942" s="83" t="n"/>
      <c r="K942" s="83" t="n"/>
      <c r="L942" s="83" t="n"/>
      <c r="M942" s="83" t="n"/>
      <c r="O942" s="84" t="str">
        <f>IF($C942="","",IFERROR(MATCH($B942&amp;"|"&amp;$C942,MUROS!$AX$11:$AX$70,0),0))</f>
        <v/>
      </c>
      <c r="P942" s="84" t="str">
        <f>IF($D942="","",IF(ISNUMBER(MATCH($D942,CMB_S,0)),1,IF(ISNUMBER(MATCH($D942,CMB_G,0)),2,0)))</f>
        <v/>
      </c>
      <c r="Q942" s="84">
        <f>IF(ISNUMBER($H942),-$H942,0)</f>
        <v>0</v>
      </c>
      <c r="R942" s="84">
        <f>IF(ISNUMBER($I942),ABS($I942),0)</f>
        <v>0</v>
      </c>
      <c r="S942" s="84">
        <f>IF(ISNUMBER($M942),ABS($M942),0)</f>
        <v>0</v>
      </c>
      <c r="T942" s="85" t="n">
        <v>934</v>
      </c>
    </row>
    <row r="943">
      <c r="B943" s="83" t="n"/>
      <c r="C943" s="83" t="n"/>
      <c r="D943" s="83" t="n"/>
      <c r="E943" s="83" t="n"/>
      <c r="F943" s="83" t="n"/>
      <c r="G943" s="83" t="n"/>
      <c r="H943" s="83" t="n"/>
      <c r="I943" s="83" t="n"/>
      <c r="J943" s="83" t="n"/>
      <c r="K943" s="83" t="n"/>
      <c r="L943" s="83" t="n"/>
      <c r="M943" s="83" t="n"/>
      <c r="O943" s="84" t="str">
        <f>IF($C943="","",IFERROR(MATCH($B943&amp;"|"&amp;$C943,MUROS!$AX$11:$AX$70,0),0))</f>
        <v/>
      </c>
      <c r="P943" s="84" t="str">
        <f>IF($D943="","",IF(ISNUMBER(MATCH($D943,CMB_S,0)),1,IF(ISNUMBER(MATCH($D943,CMB_G,0)),2,0)))</f>
        <v/>
      </c>
      <c r="Q943" s="84">
        <f>IF(ISNUMBER($H943),-$H943,0)</f>
        <v>0</v>
      </c>
      <c r="R943" s="84">
        <f>IF(ISNUMBER($I943),ABS($I943),0)</f>
        <v>0</v>
      </c>
      <c r="S943" s="84">
        <f>IF(ISNUMBER($M943),ABS($M943),0)</f>
        <v>0</v>
      </c>
      <c r="T943" s="85" t="n">
        <v>935</v>
      </c>
    </row>
    <row r="944">
      <c r="B944" s="83" t="n"/>
      <c r="C944" s="83" t="n"/>
      <c r="D944" s="83" t="n"/>
      <c r="E944" s="83" t="n"/>
      <c r="F944" s="83" t="n"/>
      <c r="G944" s="83" t="n"/>
      <c r="H944" s="83" t="n"/>
      <c r="I944" s="83" t="n"/>
      <c r="J944" s="83" t="n"/>
      <c r="K944" s="83" t="n"/>
      <c r="L944" s="83" t="n"/>
      <c r="M944" s="83" t="n"/>
      <c r="O944" s="84" t="str">
        <f>IF($C944="","",IFERROR(MATCH($B944&amp;"|"&amp;$C944,MUROS!$AX$11:$AX$70,0),0))</f>
        <v/>
      </c>
      <c r="P944" s="84" t="str">
        <f>IF($D944="","",IF(ISNUMBER(MATCH($D944,CMB_S,0)),1,IF(ISNUMBER(MATCH($D944,CMB_G,0)),2,0)))</f>
        <v/>
      </c>
      <c r="Q944" s="84">
        <f>IF(ISNUMBER($H944),-$H944,0)</f>
        <v>0</v>
      </c>
      <c r="R944" s="84">
        <f>IF(ISNUMBER($I944),ABS($I944),0)</f>
        <v>0</v>
      </c>
      <c r="S944" s="84">
        <f>IF(ISNUMBER($M944),ABS($M944),0)</f>
        <v>0</v>
      </c>
      <c r="T944" s="85" t="n">
        <v>936</v>
      </c>
    </row>
    <row r="945">
      <c r="B945" s="83" t="n"/>
      <c r="C945" s="83" t="n"/>
      <c r="D945" s="83" t="n"/>
      <c r="E945" s="83" t="n"/>
      <c r="F945" s="83" t="n"/>
      <c r="G945" s="83" t="n"/>
      <c r="H945" s="83" t="n"/>
      <c r="I945" s="83" t="n"/>
      <c r="J945" s="83" t="n"/>
      <c r="K945" s="83" t="n"/>
      <c r="L945" s="83" t="n"/>
      <c r="M945" s="83" t="n"/>
      <c r="O945" s="84" t="str">
        <f>IF($C945="","",IFERROR(MATCH($B945&amp;"|"&amp;$C945,MUROS!$AX$11:$AX$70,0),0))</f>
        <v/>
      </c>
      <c r="P945" s="84" t="str">
        <f>IF($D945="","",IF(ISNUMBER(MATCH($D945,CMB_S,0)),1,IF(ISNUMBER(MATCH($D945,CMB_G,0)),2,0)))</f>
        <v/>
      </c>
      <c r="Q945" s="84">
        <f>IF(ISNUMBER($H945),-$H945,0)</f>
        <v>0</v>
      </c>
      <c r="R945" s="84">
        <f>IF(ISNUMBER($I945),ABS($I945),0)</f>
        <v>0</v>
      </c>
      <c r="S945" s="84">
        <f>IF(ISNUMBER($M945),ABS($M945),0)</f>
        <v>0</v>
      </c>
      <c r="T945" s="85" t="n">
        <v>937</v>
      </c>
    </row>
    <row r="946">
      <c r="B946" s="83" t="n"/>
      <c r="C946" s="83" t="n"/>
      <c r="D946" s="83" t="n"/>
      <c r="E946" s="83" t="n"/>
      <c r="F946" s="83" t="n"/>
      <c r="G946" s="83" t="n"/>
      <c r="H946" s="83" t="n"/>
      <c r="I946" s="83" t="n"/>
      <c r="J946" s="83" t="n"/>
      <c r="K946" s="83" t="n"/>
      <c r="L946" s="83" t="n"/>
      <c r="M946" s="83" t="n"/>
      <c r="O946" s="84" t="str">
        <f>IF($C946="","",IFERROR(MATCH($B946&amp;"|"&amp;$C946,MUROS!$AX$11:$AX$70,0),0))</f>
        <v/>
      </c>
      <c r="P946" s="84" t="str">
        <f>IF($D946="","",IF(ISNUMBER(MATCH($D946,CMB_S,0)),1,IF(ISNUMBER(MATCH($D946,CMB_G,0)),2,0)))</f>
        <v/>
      </c>
      <c r="Q946" s="84">
        <f>IF(ISNUMBER($H946),-$H946,0)</f>
        <v>0</v>
      </c>
      <c r="R946" s="84">
        <f>IF(ISNUMBER($I946),ABS($I946),0)</f>
        <v>0</v>
      </c>
      <c r="S946" s="84">
        <f>IF(ISNUMBER($M946),ABS($M946),0)</f>
        <v>0</v>
      </c>
      <c r="T946" s="85" t="n">
        <v>938</v>
      </c>
    </row>
    <row r="947">
      <c r="B947" s="83" t="n"/>
      <c r="C947" s="83" t="n"/>
      <c r="D947" s="83" t="n"/>
      <c r="E947" s="83" t="n"/>
      <c r="F947" s="83" t="n"/>
      <c r="G947" s="83" t="n"/>
      <c r="H947" s="83" t="n"/>
      <c r="I947" s="83" t="n"/>
      <c r="J947" s="83" t="n"/>
      <c r="K947" s="83" t="n"/>
      <c r="L947" s="83" t="n"/>
      <c r="M947" s="83" t="n"/>
      <c r="O947" s="84" t="str">
        <f>IF($C947="","",IFERROR(MATCH($B947&amp;"|"&amp;$C947,MUROS!$AX$11:$AX$70,0),0))</f>
        <v/>
      </c>
      <c r="P947" s="84" t="str">
        <f>IF($D947="","",IF(ISNUMBER(MATCH($D947,CMB_S,0)),1,IF(ISNUMBER(MATCH($D947,CMB_G,0)),2,0)))</f>
        <v/>
      </c>
      <c r="Q947" s="84">
        <f>IF(ISNUMBER($H947),-$H947,0)</f>
        <v>0</v>
      </c>
      <c r="R947" s="84">
        <f>IF(ISNUMBER($I947),ABS($I947),0)</f>
        <v>0</v>
      </c>
      <c r="S947" s="84">
        <f>IF(ISNUMBER($M947),ABS($M947),0)</f>
        <v>0</v>
      </c>
      <c r="T947" s="85" t="n">
        <v>939</v>
      </c>
    </row>
    <row r="948"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83" t="n"/>
      <c r="K948" s="83" t="n"/>
      <c r="L948" s="83" t="n"/>
      <c r="M948" s="83" t="n"/>
      <c r="O948" s="84" t="str">
        <f>IF($C948="","",IFERROR(MATCH($B948&amp;"|"&amp;$C948,MUROS!$AX$11:$AX$70,0),0))</f>
        <v/>
      </c>
      <c r="P948" s="84" t="str">
        <f>IF($D948="","",IF(ISNUMBER(MATCH($D948,CMB_S,0)),1,IF(ISNUMBER(MATCH($D948,CMB_G,0)),2,0)))</f>
        <v/>
      </c>
      <c r="Q948" s="84">
        <f>IF(ISNUMBER($H948),-$H948,0)</f>
        <v>0</v>
      </c>
      <c r="R948" s="84">
        <f>IF(ISNUMBER($I948),ABS($I948),0)</f>
        <v>0</v>
      </c>
      <c r="S948" s="84">
        <f>IF(ISNUMBER($M948),ABS($M948),0)</f>
        <v>0</v>
      </c>
      <c r="T948" s="85" t="n">
        <v>940</v>
      </c>
    </row>
    <row r="949">
      <c r="B949" s="83" t="n"/>
      <c r="C949" s="83" t="n"/>
      <c r="D949" s="83" t="n"/>
      <c r="E949" s="83" t="n"/>
      <c r="F949" s="83" t="n"/>
      <c r="G949" s="83" t="n"/>
      <c r="H949" s="83" t="n"/>
      <c r="I949" s="83" t="n"/>
      <c r="J949" s="83" t="n"/>
      <c r="K949" s="83" t="n"/>
      <c r="L949" s="83" t="n"/>
      <c r="M949" s="83" t="n"/>
      <c r="O949" s="84" t="str">
        <f>IF($C949="","",IFERROR(MATCH($B949&amp;"|"&amp;$C949,MUROS!$AX$11:$AX$70,0),0))</f>
        <v/>
      </c>
      <c r="P949" s="84" t="str">
        <f>IF($D949="","",IF(ISNUMBER(MATCH($D949,CMB_S,0)),1,IF(ISNUMBER(MATCH($D949,CMB_G,0)),2,0)))</f>
        <v/>
      </c>
      <c r="Q949" s="84">
        <f>IF(ISNUMBER($H949),-$H949,0)</f>
        <v>0</v>
      </c>
      <c r="R949" s="84">
        <f>IF(ISNUMBER($I949),ABS($I949),0)</f>
        <v>0</v>
      </c>
      <c r="S949" s="84">
        <f>IF(ISNUMBER($M949),ABS($M949),0)</f>
        <v>0</v>
      </c>
      <c r="T949" s="85" t="n">
        <v>941</v>
      </c>
    </row>
    <row r="950">
      <c r="B950" s="83" t="n"/>
      <c r="C950" s="83" t="n"/>
      <c r="D950" s="83" t="n"/>
      <c r="E950" s="83" t="n"/>
      <c r="F950" s="83" t="n"/>
      <c r="G950" s="83" t="n"/>
      <c r="H950" s="83" t="n"/>
      <c r="I950" s="83" t="n"/>
      <c r="J950" s="83" t="n"/>
      <c r="K950" s="83" t="n"/>
      <c r="L950" s="83" t="n"/>
      <c r="M950" s="83" t="n"/>
      <c r="O950" s="84" t="str">
        <f>IF($C950="","",IFERROR(MATCH($B950&amp;"|"&amp;$C950,MUROS!$AX$11:$AX$70,0),0))</f>
        <v/>
      </c>
      <c r="P950" s="84" t="str">
        <f>IF($D950="","",IF(ISNUMBER(MATCH($D950,CMB_S,0)),1,IF(ISNUMBER(MATCH($D950,CMB_G,0)),2,0)))</f>
        <v/>
      </c>
      <c r="Q950" s="84">
        <f>IF(ISNUMBER($H950),-$H950,0)</f>
        <v>0</v>
      </c>
      <c r="R950" s="84">
        <f>IF(ISNUMBER($I950),ABS($I950),0)</f>
        <v>0</v>
      </c>
      <c r="S950" s="84">
        <f>IF(ISNUMBER($M950),ABS($M950),0)</f>
        <v>0</v>
      </c>
      <c r="T950" s="85" t="n">
        <v>942</v>
      </c>
    </row>
    <row r="951">
      <c r="B951" s="83" t="n"/>
      <c r="C951" s="83" t="n"/>
      <c r="D951" s="83" t="n"/>
      <c r="E951" s="83" t="n"/>
      <c r="F951" s="83" t="n"/>
      <c r="G951" s="83" t="n"/>
      <c r="H951" s="83" t="n"/>
      <c r="I951" s="83" t="n"/>
      <c r="J951" s="83" t="n"/>
      <c r="K951" s="83" t="n"/>
      <c r="L951" s="83" t="n"/>
      <c r="M951" s="83" t="n"/>
      <c r="O951" s="84" t="str">
        <f>IF($C951="","",IFERROR(MATCH($B951&amp;"|"&amp;$C951,MUROS!$AX$11:$AX$70,0),0))</f>
        <v/>
      </c>
      <c r="P951" s="84" t="str">
        <f>IF($D951="","",IF(ISNUMBER(MATCH($D951,CMB_S,0)),1,IF(ISNUMBER(MATCH($D951,CMB_G,0)),2,0)))</f>
        <v/>
      </c>
      <c r="Q951" s="84">
        <f>IF(ISNUMBER($H951),-$H951,0)</f>
        <v>0</v>
      </c>
      <c r="R951" s="84">
        <f>IF(ISNUMBER($I951),ABS($I951),0)</f>
        <v>0</v>
      </c>
      <c r="S951" s="84">
        <f>IF(ISNUMBER($M951),ABS($M951),0)</f>
        <v>0</v>
      </c>
      <c r="T951" s="85" t="n">
        <v>943</v>
      </c>
    </row>
    <row r="952">
      <c r="B952" s="83" t="n"/>
      <c r="C952" s="83" t="n"/>
      <c r="D952" s="83" t="n"/>
      <c r="E952" s="83" t="n"/>
      <c r="F952" s="83" t="n"/>
      <c r="G952" s="83" t="n"/>
      <c r="H952" s="83" t="n"/>
      <c r="I952" s="83" t="n"/>
      <c r="J952" s="83" t="n"/>
      <c r="K952" s="83" t="n"/>
      <c r="L952" s="83" t="n"/>
      <c r="M952" s="83" t="n"/>
      <c r="O952" s="84" t="str">
        <f>IF($C952="","",IFERROR(MATCH($B952&amp;"|"&amp;$C952,MUROS!$AX$11:$AX$70,0),0))</f>
        <v/>
      </c>
      <c r="P952" s="84" t="str">
        <f>IF($D952="","",IF(ISNUMBER(MATCH($D952,CMB_S,0)),1,IF(ISNUMBER(MATCH($D952,CMB_G,0)),2,0)))</f>
        <v/>
      </c>
      <c r="Q952" s="84">
        <f>IF(ISNUMBER($H952),-$H952,0)</f>
        <v>0</v>
      </c>
      <c r="R952" s="84">
        <f>IF(ISNUMBER($I952),ABS($I952),0)</f>
        <v>0</v>
      </c>
      <c r="S952" s="84">
        <f>IF(ISNUMBER($M952),ABS($M952),0)</f>
        <v>0</v>
      </c>
      <c r="T952" s="85" t="n">
        <v>944</v>
      </c>
    </row>
    <row r="953">
      <c r="B953" s="83" t="n"/>
      <c r="C953" s="83" t="n"/>
      <c r="D953" s="83" t="n"/>
      <c r="E953" s="83" t="n"/>
      <c r="F953" s="83" t="n"/>
      <c r="G953" s="83" t="n"/>
      <c r="H953" s="83" t="n"/>
      <c r="I953" s="83" t="n"/>
      <c r="J953" s="83" t="n"/>
      <c r="K953" s="83" t="n"/>
      <c r="L953" s="83" t="n"/>
      <c r="M953" s="83" t="n"/>
      <c r="O953" s="84" t="str">
        <f>IF($C953="","",IFERROR(MATCH($B953&amp;"|"&amp;$C953,MUROS!$AX$11:$AX$70,0),0))</f>
        <v/>
      </c>
      <c r="P953" s="84" t="str">
        <f>IF($D953="","",IF(ISNUMBER(MATCH($D953,CMB_S,0)),1,IF(ISNUMBER(MATCH($D953,CMB_G,0)),2,0)))</f>
        <v/>
      </c>
      <c r="Q953" s="84">
        <f>IF(ISNUMBER($H953),-$H953,0)</f>
        <v>0</v>
      </c>
      <c r="R953" s="84">
        <f>IF(ISNUMBER($I953),ABS($I953),0)</f>
        <v>0</v>
      </c>
      <c r="S953" s="84">
        <f>IF(ISNUMBER($M953),ABS($M953),0)</f>
        <v>0</v>
      </c>
      <c r="T953" s="85" t="n">
        <v>945</v>
      </c>
    </row>
    <row r="954">
      <c r="B954" s="83" t="n"/>
      <c r="C954" s="83" t="n"/>
      <c r="D954" s="83" t="n"/>
      <c r="E954" s="83" t="n"/>
      <c r="F954" s="83" t="n"/>
      <c r="G954" s="83" t="n"/>
      <c r="H954" s="83" t="n"/>
      <c r="I954" s="83" t="n"/>
      <c r="J954" s="83" t="n"/>
      <c r="K954" s="83" t="n"/>
      <c r="L954" s="83" t="n"/>
      <c r="M954" s="83" t="n"/>
      <c r="O954" s="84" t="str">
        <f>IF($C954="","",IFERROR(MATCH($B954&amp;"|"&amp;$C954,MUROS!$AX$11:$AX$70,0),0))</f>
        <v/>
      </c>
      <c r="P954" s="84" t="str">
        <f>IF($D954="","",IF(ISNUMBER(MATCH($D954,CMB_S,0)),1,IF(ISNUMBER(MATCH($D954,CMB_G,0)),2,0)))</f>
        <v/>
      </c>
      <c r="Q954" s="84">
        <f>IF(ISNUMBER($H954),-$H954,0)</f>
        <v>0</v>
      </c>
      <c r="R954" s="84">
        <f>IF(ISNUMBER($I954),ABS($I954),0)</f>
        <v>0</v>
      </c>
      <c r="S954" s="84">
        <f>IF(ISNUMBER($M954),ABS($M954),0)</f>
        <v>0</v>
      </c>
      <c r="T954" s="85" t="n">
        <v>946</v>
      </c>
    </row>
    <row r="955">
      <c r="B955" s="83" t="n"/>
      <c r="C955" s="83" t="n"/>
      <c r="D955" s="83" t="n"/>
      <c r="E955" s="83" t="n"/>
      <c r="F955" s="83" t="n"/>
      <c r="G955" s="83" t="n"/>
      <c r="H955" s="83" t="n"/>
      <c r="I955" s="83" t="n"/>
      <c r="J955" s="83" t="n"/>
      <c r="K955" s="83" t="n"/>
      <c r="L955" s="83" t="n"/>
      <c r="M955" s="83" t="n"/>
      <c r="O955" s="84" t="str">
        <f>IF($C955="","",IFERROR(MATCH($B955&amp;"|"&amp;$C955,MUROS!$AX$11:$AX$70,0),0))</f>
        <v/>
      </c>
      <c r="P955" s="84" t="str">
        <f>IF($D955="","",IF(ISNUMBER(MATCH($D955,CMB_S,0)),1,IF(ISNUMBER(MATCH($D955,CMB_G,0)),2,0)))</f>
        <v/>
      </c>
      <c r="Q955" s="84">
        <f>IF(ISNUMBER($H955),-$H955,0)</f>
        <v>0</v>
      </c>
      <c r="R955" s="84">
        <f>IF(ISNUMBER($I955),ABS($I955),0)</f>
        <v>0</v>
      </c>
      <c r="S955" s="84">
        <f>IF(ISNUMBER($M955),ABS($M955),0)</f>
        <v>0</v>
      </c>
      <c r="T955" s="85" t="n">
        <v>947</v>
      </c>
    </row>
    <row r="956">
      <c r="B956" s="83" t="n"/>
      <c r="C956" s="83" t="n"/>
      <c r="D956" s="83" t="n"/>
      <c r="E956" s="83" t="n"/>
      <c r="F956" s="83" t="n"/>
      <c r="G956" s="83" t="n"/>
      <c r="H956" s="83" t="n"/>
      <c r="I956" s="83" t="n"/>
      <c r="J956" s="83" t="n"/>
      <c r="K956" s="83" t="n"/>
      <c r="L956" s="83" t="n"/>
      <c r="M956" s="83" t="n"/>
      <c r="O956" s="84" t="str">
        <f>IF($C956="","",IFERROR(MATCH($B956&amp;"|"&amp;$C956,MUROS!$AX$11:$AX$70,0),0))</f>
        <v/>
      </c>
      <c r="P956" s="84" t="str">
        <f>IF($D956="","",IF(ISNUMBER(MATCH($D956,CMB_S,0)),1,IF(ISNUMBER(MATCH($D956,CMB_G,0)),2,0)))</f>
        <v/>
      </c>
      <c r="Q956" s="84">
        <f>IF(ISNUMBER($H956),-$H956,0)</f>
        <v>0</v>
      </c>
      <c r="R956" s="84">
        <f>IF(ISNUMBER($I956),ABS($I956),0)</f>
        <v>0</v>
      </c>
      <c r="S956" s="84">
        <f>IF(ISNUMBER($M956),ABS($M956),0)</f>
        <v>0</v>
      </c>
      <c r="T956" s="85" t="n">
        <v>948</v>
      </c>
    </row>
    <row r="957">
      <c r="B957" s="83" t="n"/>
      <c r="C957" s="83" t="n"/>
      <c r="D957" s="83" t="n"/>
      <c r="E957" s="83" t="n"/>
      <c r="F957" s="83" t="n"/>
      <c r="G957" s="83" t="n"/>
      <c r="H957" s="83" t="n"/>
      <c r="I957" s="83" t="n"/>
      <c r="J957" s="83" t="n"/>
      <c r="K957" s="83" t="n"/>
      <c r="L957" s="83" t="n"/>
      <c r="M957" s="83" t="n"/>
      <c r="O957" s="84" t="str">
        <f>IF($C957="","",IFERROR(MATCH($B957&amp;"|"&amp;$C957,MUROS!$AX$11:$AX$70,0),0))</f>
        <v/>
      </c>
      <c r="P957" s="84" t="str">
        <f>IF($D957="","",IF(ISNUMBER(MATCH($D957,CMB_S,0)),1,IF(ISNUMBER(MATCH($D957,CMB_G,0)),2,0)))</f>
        <v/>
      </c>
      <c r="Q957" s="84">
        <f>IF(ISNUMBER($H957),-$H957,0)</f>
        <v>0</v>
      </c>
      <c r="R957" s="84">
        <f>IF(ISNUMBER($I957),ABS($I957),0)</f>
        <v>0</v>
      </c>
      <c r="S957" s="84">
        <f>IF(ISNUMBER($M957),ABS($M957),0)</f>
        <v>0</v>
      </c>
      <c r="T957" s="85" t="n">
        <v>949</v>
      </c>
    </row>
    <row r="958"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83" t="n"/>
      <c r="K958" s="83" t="n"/>
      <c r="L958" s="83" t="n"/>
      <c r="M958" s="83" t="n"/>
      <c r="O958" s="84" t="str">
        <f>IF($C958="","",IFERROR(MATCH($B958&amp;"|"&amp;$C958,MUROS!$AX$11:$AX$70,0),0))</f>
        <v/>
      </c>
      <c r="P958" s="84" t="str">
        <f>IF($D958="","",IF(ISNUMBER(MATCH($D958,CMB_S,0)),1,IF(ISNUMBER(MATCH($D958,CMB_G,0)),2,0)))</f>
        <v/>
      </c>
      <c r="Q958" s="84">
        <f>IF(ISNUMBER($H958),-$H958,0)</f>
        <v>0</v>
      </c>
      <c r="R958" s="84">
        <f>IF(ISNUMBER($I958),ABS($I958),0)</f>
        <v>0</v>
      </c>
      <c r="S958" s="84">
        <f>IF(ISNUMBER($M958),ABS($M958),0)</f>
        <v>0</v>
      </c>
      <c r="T958" s="85" t="n">
        <v>950</v>
      </c>
    </row>
    <row r="959">
      <c r="B959" s="83" t="n"/>
      <c r="C959" s="83" t="n"/>
      <c r="D959" s="83" t="n"/>
      <c r="E959" s="83" t="n"/>
      <c r="F959" s="83" t="n"/>
      <c r="G959" s="83" t="n"/>
      <c r="H959" s="83" t="n"/>
      <c r="I959" s="83" t="n"/>
      <c r="J959" s="83" t="n"/>
      <c r="K959" s="83" t="n"/>
      <c r="L959" s="83" t="n"/>
      <c r="M959" s="83" t="n"/>
      <c r="O959" s="84" t="str">
        <f>IF($C959="","",IFERROR(MATCH($B959&amp;"|"&amp;$C959,MUROS!$AX$11:$AX$70,0),0))</f>
        <v/>
      </c>
      <c r="P959" s="84" t="str">
        <f>IF($D959="","",IF(ISNUMBER(MATCH($D959,CMB_S,0)),1,IF(ISNUMBER(MATCH($D959,CMB_G,0)),2,0)))</f>
        <v/>
      </c>
      <c r="Q959" s="84">
        <f>IF(ISNUMBER($H959),-$H959,0)</f>
        <v>0</v>
      </c>
      <c r="R959" s="84">
        <f>IF(ISNUMBER($I959),ABS($I959),0)</f>
        <v>0</v>
      </c>
      <c r="S959" s="84">
        <f>IF(ISNUMBER($M959),ABS($M959),0)</f>
        <v>0</v>
      </c>
      <c r="T959" s="85" t="n">
        <v>951</v>
      </c>
    </row>
    <row r="960">
      <c r="B960" s="83" t="n"/>
      <c r="C960" s="83" t="n"/>
      <c r="D960" s="83" t="n"/>
      <c r="E960" s="83" t="n"/>
      <c r="F960" s="83" t="n"/>
      <c r="G960" s="83" t="n"/>
      <c r="H960" s="83" t="n"/>
      <c r="I960" s="83" t="n"/>
      <c r="J960" s="83" t="n"/>
      <c r="K960" s="83" t="n"/>
      <c r="L960" s="83" t="n"/>
      <c r="M960" s="83" t="n"/>
      <c r="O960" s="84" t="str">
        <f>IF($C960="","",IFERROR(MATCH($B960&amp;"|"&amp;$C960,MUROS!$AX$11:$AX$70,0),0))</f>
        <v/>
      </c>
      <c r="P960" s="84" t="str">
        <f>IF($D960="","",IF(ISNUMBER(MATCH($D960,CMB_S,0)),1,IF(ISNUMBER(MATCH($D960,CMB_G,0)),2,0)))</f>
        <v/>
      </c>
      <c r="Q960" s="84">
        <f>IF(ISNUMBER($H960),-$H960,0)</f>
        <v>0</v>
      </c>
      <c r="R960" s="84">
        <f>IF(ISNUMBER($I960),ABS($I960),0)</f>
        <v>0</v>
      </c>
      <c r="S960" s="84">
        <f>IF(ISNUMBER($M960),ABS($M960),0)</f>
        <v>0</v>
      </c>
      <c r="T960" s="85" t="n">
        <v>952</v>
      </c>
    </row>
    <row r="961">
      <c r="B961" s="83" t="n"/>
      <c r="C961" s="83" t="n"/>
      <c r="D961" s="83" t="n"/>
      <c r="E961" s="83" t="n"/>
      <c r="F961" s="83" t="n"/>
      <c r="G961" s="83" t="n"/>
      <c r="H961" s="83" t="n"/>
      <c r="I961" s="83" t="n"/>
      <c r="J961" s="83" t="n"/>
      <c r="K961" s="83" t="n"/>
      <c r="L961" s="83" t="n"/>
      <c r="M961" s="83" t="n"/>
      <c r="O961" s="84" t="str">
        <f>IF($C961="","",IFERROR(MATCH($B961&amp;"|"&amp;$C961,MUROS!$AX$11:$AX$70,0),0))</f>
        <v/>
      </c>
      <c r="P961" s="84" t="str">
        <f>IF($D961="","",IF(ISNUMBER(MATCH($D961,CMB_S,0)),1,IF(ISNUMBER(MATCH($D961,CMB_G,0)),2,0)))</f>
        <v/>
      </c>
      <c r="Q961" s="84">
        <f>IF(ISNUMBER($H961),-$H961,0)</f>
        <v>0</v>
      </c>
      <c r="R961" s="84">
        <f>IF(ISNUMBER($I961),ABS($I961),0)</f>
        <v>0</v>
      </c>
      <c r="S961" s="84">
        <f>IF(ISNUMBER($M961),ABS($M961),0)</f>
        <v>0</v>
      </c>
      <c r="T961" s="85" t="n">
        <v>953</v>
      </c>
    </row>
    <row r="962">
      <c r="B962" s="83" t="n"/>
      <c r="C962" s="83" t="n"/>
      <c r="D962" s="83" t="n"/>
      <c r="E962" s="83" t="n"/>
      <c r="F962" s="83" t="n"/>
      <c r="G962" s="83" t="n"/>
      <c r="H962" s="83" t="n"/>
      <c r="I962" s="83" t="n"/>
      <c r="J962" s="83" t="n"/>
      <c r="K962" s="83" t="n"/>
      <c r="L962" s="83" t="n"/>
      <c r="M962" s="83" t="n"/>
      <c r="O962" s="84" t="str">
        <f>IF($C962="","",IFERROR(MATCH($B962&amp;"|"&amp;$C962,MUROS!$AX$11:$AX$70,0),0))</f>
        <v/>
      </c>
      <c r="P962" s="84" t="str">
        <f>IF($D962="","",IF(ISNUMBER(MATCH($D962,CMB_S,0)),1,IF(ISNUMBER(MATCH($D962,CMB_G,0)),2,0)))</f>
        <v/>
      </c>
      <c r="Q962" s="84">
        <f>IF(ISNUMBER($H962),-$H962,0)</f>
        <v>0</v>
      </c>
      <c r="R962" s="84">
        <f>IF(ISNUMBER($I962),ABS($I962),0)</f>
        <v>0</v>
      </c>
      <c r="S962" s="84">
        <f>IF(ISNUMBER($M962),ABS($M962),0)</f>
        <v>0</v>
      </c>
      <c r="T962" s="85" t="n">
        <v>954</v>
      </c>
    </row>
    <row r="963">
      <c r="B963" s="83" t="n"/>
      <c r="C963" s="83" t="n"/>
      <c r="D963" s="83" t="n"/>
      <c r="E963" s="83" t="n"/>
      <c r="F963" s="83" t="n"/>
      <c r="G963" s="83" t="n"/>
      <c r="H963" s="83" t="n"/>
      <c r="I963" s="83" t="n"/>
      <c r="J963" s="83" t="n"/>
      <c r="K963" s="83" t="n"/>
      <c r="L963" s="83" t="n"/>
      <c r="M963" s="83" t="n"/>
      <c r="O963" s="84" t="str">
        <f>IF($C963="","",IFERROR(MATCH($B963&amp;"|"&amp;$C963,MUROS!$AX$11:$AX$70,0),0))</f>
        <v/>
      </c>
      <c r="P963" s="84" t="str">
        <f>IF($D963="","",IF(ISNUMBER(MATCH($D963,CMB_S,0)),1,IF(ISNUMBER(MATCH($D963,CMB_G,0)),2,0)))</f>
        <v/>
      </c>
      <c r="Q963" s="84">
        <f>IF(ISNUMBER($H963),-$H963,0)</f>
        <v>0</v>
      </c>
      <c r="R963" s="84">
        <f>IF(ISNUMBER($I963),ABS($I963),0)</f>
        <v>0</v>
      </c>
      <c r="S963" s="84">
        <f>IF(ISNUMBER($M963),ABS($M963),0)</f>
        <v>0</v>
      </c>
      <c r="T963" s="85" t="n">
        <v>955</v>
      </c>
    </row>
    <row r="964">
      <c r="B964" s="83" t="n"/>
      <c r="C964" s="83" t="n"/>
      <c r="D964" s="83" t="n"/>
      <c r="E964" s="83" t="n"/>
      <c r="F964" s="83" t="n"/>
      <c r="G964" s="83" t="n"/>
      <c r="H964" s="83" t="n"/>
      <c r="I964" s="83" t="n"/>
      <c r="J964" s="83" t="n"/>
      <c r="K964" s="83" t="n"/>
      <c r="L964" s="83" t="n"/>
      <c r="M964" s="83" t="n"/>
      <c r="O964" s="84" t="str">
        <f>IF($C964="","",IFERROR(MATCH($B964&amp;"|"&amp;$C964,MUROS!$AX$11:$AX$70,0),0))</f>
        <v/>
      </c>
      <c r="P964" s="84" t="str">
        <f>IF($D964="","",IF(ISNUMBER(MATCH($D964,CMB_S,0)),1,IF(ISNUMBER(MATCH($D964,CMB_G,0)),2,0)))</f>
        <v/>
      </c>
      <c r="Q964" s="84">
        <f>IF(ISNUMBER($H964),-$H964,0)</f>
        <v>0</v>
      </c>
      <c r="R964" s="84">
        <f>IF(ISNUMBER($I964),ABS($I964),0)</f>
        <v>0</v>
      </c>
      <c r="S964" s="84">
        <f>IF(ISNUMBER($M964),ABS($M964),0)</f>
        <v>0</v>
      </c>
      <c r="T964" s="85" t="n">
        <v>956</v>
      </c>
    </row>
    <row r="965">
      <c r="B965" s="83" t="n"/>
      <c r="C965" s="83" t="n"/>
      <c r="D965" s="83" t="n"/>
      <c r="E965" s="83" t="n"/>
      <c r="F965" s="83" t="n"/>
      <c r="G965" s="83" t="n"/>
      <c r="H965" s="83" t="n"/>
      <c r="I965" s="83" t="n"/>
      <c r="J965" s="83" t="n"/>
      <c r="K965" s="83" t="n"/>
      <c r="L965" s="83" t="n"/>
      <c r="M965" s="83" t="n"/>
      <c r="O965" s="84" t="str">
        <f>IF($C965="","",IFERROR(MATCH($B965&amp;"|"&amp;$C965,MUROS!$AX$11:$AX$70,0),0))</f>
        <v/>
      </c>
      <c r="P965" s="84" t="str">
        <f>IF($D965="","",IF(ISNUMBER(MATCH($D965,CMB_S,0)),1,IF(ISNUMBER(MATCH($D965,CMB_G,0)),2,0)))</f>
        <v/>
      </c>
      <c r="Q965" s="84">
        <f>IF(ISNUMBER($H965),-$H965,0)</f>
        <v>0</v>
      </c>
      <c r="R965" s="84">
        <f>IF(ISNUMBER($I965),ABS($I965),0)</f>
        <v>0</v>
      </c>
      <c r="S965" s="84">
        <f>IF(ISNUMBER($M965),ABS($M965),0)</f>
        <v>0</v>
      </c>
      <c r="T965" s="85" t="n">
        <v>957</v>
      </c>
    </row>
    <row r="966">
      <c r="B966" s="83" t="n"/>
      <c r="C966" s="83" t="n"/>
      <c r="D966" s="83" t="n"/>
      <c r="E966" s="83" t="n"/>
      <c r="F966" s="83" t="n"/>
      <c r="G966" s="83" t="n"/>
      <c r="H966" s="83" t="n"/>
      <c r="I966" s="83" t="n"/>
      <c r="J966" s="83" t="n"/>
      <c r="K966" s="83" t="n"/>
      <c r="L966" s="83" t="n"/>
      <c r="M966" s="83" t="n"/>
      <c r="O966" s="84" t="str">
        <f>IF($C966="","",IFERROR(MATCH($B966&amp;"|"&amp;$C966,MUROS!$AX$11:$AX$70,0),0))</f>
        <v/>
      </c>
      <c r="P966" s="84" t="str">
        <f>IF($D966="","",IF(ISNUMBER(MATCH($D966,CMB_S,0)),1,IF(ISNUMBER(MATCH($D966,CMB_G,0)),2,0)))</f>
        <v/>
      </c>
      <c r="Q966" s="84">
        <f>IF(ISNUMBER($H966),-$H966,0)</f>
        <v>0</v>
      </c>
      <c r="R966" s="84">
        <f>IF(ISNUMBER($I966),ABS($I966),0)</f>
        <v>0</v>
      </c>
      <c r="S966" s="84">
        <f>IF(ISNUMBER($M966),ABS($M966),0)</f>
        <v>0</v>
      </c>
      <c r="T966" s="85" t="n">
        <v>958</v>
      </c>
    </row>
    <row r="967">
      <c r="B967" s="83" t="n"/>
      <c r="C967" s="83" t="n"/>
      <c r="D967" s="83" t="n"/>
      <c r="E967" s="83" t="n"/>
      <c r="F967" s="83" t="n"/>
      <c r="G967" s="83" t="n"/>
      <c r="H967" s="83" t="n"/>
      <c r="I967" s="83" t="n"/>
      <c r="J967" s="83" t="n"/>
      <c r="K967" s="83" t="n"/>
      <c r="L967" s="83" t="n"/>
      <c r="M967" s="83" t="n"/>
      <c r="O967" s="84" t="str">
        <f>IF($C967="","",IFERROR(MATCH($B967&amp;"|"&amp;$C967,MUROS!$AX$11:$AX$70,0),0))</f>
        <v/>
      </c>
      <c r="P967" s="84" t="str">
        <f>IF($D967="","",IF(ISNUMBER(MATCH($D967,CMB_S,0)),1,IF(ISNUMBER(MATCH($D967,CMB_G,0)),2,0)))</f>
        <v/>
      </c>
      <c r="Q967" s="84">
        <f>IF(ISNUMBER($H967),-$H967,0)</f>
        <v>0</v>
      </c>
      <c r="R967" s="84">
        <f>IF(ISNUMBER($I967),ABS($I967),0)</f>
        <v>0</v>
      </c>
      <c r="S967" s="84">
        <f>IF(ISNUMBER($M967),ABS($M967),0)</f>
        <v>0</v>
      </c>
      <c r="T967" s="85" t="n">
        <v>959</v>
      </c>
    </row>
    <row r="968"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83" t="n"/>
      <c r="K968" s="83" t="n"/>
      <c r="L968" s="83" t="n"/>
      <c r="M968" s="83" t="n"/>
      <c r="O968" s="84" t="str">
        <f>IF($C968="","",IFERROR(MATCH($B968&amp;"|"&amp;$C968,MUROS!$AX$11:$AX$70,0),0))</f>
        <v/>
      </c>
      <c r="P968" s="84" t="str">
        <f>IF($D968="","",IF(ISNUMBER(MATCH($D968,CMB_S,0)),1,IF(ISNUMBER(MATCH($D968,CMB_G,0)),2,0)))</f>
        <v/>
      </c>
      <c r="Q968" s="84">
        <f>IF(ISNUMBER($H968),-$H968,0)</f>
        <v>0</v>
      </c>
      <c r="R968" s="84">
        <f>IF(ISNUMBER($I968),ABS($I968),0)</f>
        <v>0</v>
      </c>
      <c r="S968" s="84">
        <f>IF(ISNUMBER($M968),ABS($M968),0)</f>
        <v>0</v>
      </c>
      <c r="T968" s="85" t="n">
        <v>960</v>
      </c>
    </row>
    <row r="969">
      <c r="B969" s="83" t="n"/>
      <c r="C969" s="83" t="n"/>
      <c r="D969" s="83" t="n"/>
      <c r="E969" s="83" t="n"/>
      <c r="F969" s="83" t="n"/>
      <c r="G969" s="83" t="n"/>
      <c r="H969" s="83" t="n"/>
      <c r="I969" s="83" t="n"/>
      <c r="J969" s="83" t="n"/>
      <c r="K969" s="83" t="n"/>
      <c r="L969" s="83" t="n"/>
      <c r="M969" s="83" t="n"/>
      <c r="O969" s="84" t="str">
        <f>IF($C969="","",IFERROR(MATCH($B969&amp;"|"&amp;$C969,MUROS!$AX$11:$AX$70,0),0))</f>
        <v/>
      </c>
      <c r="P969" s="84" t="str">
        <f>IF($D969="","",IF(ISNUMBER(MATCH($D969,CMB_S,0)),1,IF(ISNUMBER(MATCH($D969,CMB_G,0)),2,0)))</f>
        <v/>
      </c>
      <c r="Q969" s="84">
        <f>IF(ISNUMBER($H969),-$H969,0)</f>
        <v>0</v>
      </c>
      <c r="R969" s="84">
        <f>IF(ISNUMBER($I969),ABS($I969),0)</f>
        <v>0</v>
      </c>
      <c r="S969" s="84">
        <f>IF(ISNUMBER($M969),ABS($M969),0)</f>
        <v>0</v>
      </c>
      <c r="T969" s="85" t="n">
        <v>961</v>
      </c>
    </row>
    <row r="970">
      <c r="B970" s="83" t="n"/>
      <c r="C970" s="83" t="n"/>
      <c r="D970" s="83" t="n"/>
      <c r="E970" s="83" t="n"/>
      <c r="F970" s="83" t="n"/>
      <c r="G970" s="83" t="n"/>
      <c r="H970" s="83" t="n"/>
      <c r="I970" s="83" t="n"/>
      <c r="J970" s="83" t="n"/>
      <c r="K970" s="83" t="n"/>
      <c r="L970" s="83" t="n"/>
      <c r="M970" s="83" t="n"/>
      <c r="O970" s="84" t="str">
        <f>IF($C970="","",IFERROR(MATCH($B970&amp;"|"&amp;$C970,MUROS!$AX$11:$AX$70,0),0))</f>
        <v/>
      </c>
      <c r="P970" s="84" t="str">
        <f>IF($D970="","",IF(ISNUMBER(MATCH($D970,CMB_S,0)),1,IF(ISNUMBER(MATCH($D970,CMB_G,0)),2,0)))</f>
        <v/>
      </c>
      <c r="Q970" s="84">
        <f>IF(ISNUMBER($H970),-$H970,0)</f>
        <v>0</v>
      </c>
      <c r="R970" s="84">
        <f>IF(ISNUMBER($I970),ABS($I970),0)</f>
        <v>0</v>
      </c>
      <c r="S970" s="84">
        <f>IF(ISNUMBER($M970),ABS($M970),0)</f>
        <v>0</v>
      </c>
      <c r="T970" s="85" t="n">
        <v>962</v>
      </c>
    </row>
    <row r="971">
      <c r="B971" s="83" t="n"/>
      <c r="C971" s="83" t="n"/>
      <c r="D971" s="83" t="n"/>
      <c r="E971" s="83" t="n"/>
      <c r="F971" s="83" t="n"/>
      <c r="G971" s="83" t="n"/>
      <c r="H971" s="83" t="n"/>
      <c r="I971" s="83" t="n"/>
      <c r="J971" s="83" t="n"/>
      <c r="K971" s="83" t="n"/>
      <c r="L971" s="83" t="n"/>
      <c r="M971" s="83" t="n"/>
      <c r="O971" s="84" t="str">
        <f>IF($C971="","",IFERROR(MATCH($B971&amp;"|"&amp;$C971,MUROS!$AX$11:$AX$70,0),0))</f>
        <v/>
      </c>
      <c r="P971" s="84" t="str">
        <f>IF($D971="","",IF(ISNUMBER(MATCH($D971,CMB_S,0)),1,IF(ISNUMBER(MATCH($D971,CMB_G,0)),2,0)))</f>
        <v/>
      </c>
      <c r="Q971" s="84">
        <f>IF(ISNUMBER($H971),-$H971,0)</f>
        <v>0</v>
      </c>
      <c r="R971" s="84">
        <f>IF(ISNUMBER($I971),ABS($I971),0)</f>
        <v>0</v>
      </c>
      <c r="S971" s="84">
        <f>IF(ISNUMBER($M971),ABS($M971),0)</f>
        <v>0</v>
      </c>
      <c r="T971" s="85" t="n">
        <v>963</v>
      </c>
    </row>
    <row r="972">
      <c r="B972" s="83" t="n"/>
      <c r="C972" s="83" t="n"/>
      <c r="D972" s="83" t="n"/>
      <c r="E972" s="83" t="n"/>
      <c r="F972" s="83" t="n"/>
      <c r="G972" s="83" t="n"/>
      <c r="H972" s="83" t="n"/>
      <c r="I972" s="83" t="n"/>
      <c r="J972" s="83" t="n"/>
      <c r="K972" s="83" t="n"/>
      <c r="L972" s="83" t="n"/>
      <c r="M972" s="83" t="n"/>
      <c r="O972" s="84" t="str">
        <f>IF($C972="","",IFERROR(MATCH($B972&amp;"|"&amp;$C972,MUROS!$AX$11:$AX$70,0),0))</f>
        <v/>
      </c>
      <c r="P972" s="84" t="str">
        <f>IF($D972="","",IF(ISNUMBER(MATCH($D972,CMB_S,0)),1,IF(ISNUMBER(MATCH($D972,CMB_G,0)),2,0)))</f>
        <v/>
      </c>
      <c r="Q972" s="84">
        <f>IF(ISNUMBER($H972),-$H972,0)</f>
        <v>0</v>
      </c>
      <c r="R972" s="84">
        <f>IF(ISNUMBER($I972),ABS($I972),0)</f>
        <v>0</v>
      </c>
      <c r="S972" s="84">
        <f>IF(ISNUMBER($M972),ABS($M972),0)</f>
        <v>0</v>
      </c>
      <c r="T972" s="85" t="n">
        <v>964</v>
      </c>
    </row>
    <row r="973">
      <c r="B973" s="83" t="n"/>
      <c r="C973" s="83" t="n"/>
      <c r="D973" s="83" t="n"/>
      <c r="E973" s="83" t="n"/>
      <c r="F973" s="83" t="n"/>
      <c r="G973" s="83" t="n"/>
      <c r="H973" s="83" t="n"/>
      <c r="I973" s="83" t="n"/>
      <c r="J973" s="83" t="n"/>
      <c r="K973" s="83" t="n"/>
      <c r="L973" s="83" t="n"/>
      <c r="M973" s="83" t="n"/>
      <c r="O973" s="84" t="str">
        <f>IF($C973="","",IFERROR(MATCH($B973&amp;"|"&amp;$C973,MUROS!$AX$11:$AX$70,0),0))</f>
        <v/>
      </c>
      <c r="P973" s="84" t="str">
        <f>IF($D973="","",IF(ISNUMBER(MATCH($D973,CMB_S,0)),1,IF(ISNUMBER(MATCH($D973,CMB_G,0)),2,0)))</f>
        <v/>
      </c>
      <c r="Q973" s="84">
        <f>IF(ISNUMBER($H973),-$H973,0)</f>
        <v>0</v>
      </c>
      <c r="R973" s="84">
        <f>IF(ISNUMBER($I973),ABS($I973),0)</f>
        <v>0</v>
      </c>
      <c r="S973" s="84">
        <f>IF(ISNUMBER($M973),ABS($M973),0)</f>
        <v>0</v>
      </c>
      <c r="T973" s="85" t="n">
        <v>965</v>
      </c>
    </row>
    <row r="974">
      <c r="B974" s="83" t="n"/>
      <c r="C974" s="83" t="n"/>
      <c r="D974" s="83" t="n"/>
      <c r="E974" s="83" t="n"/>
      <c r="F974" s="83" t="n"/>
      <c r="G974" s="83" t="n"/>
      <c r="H974" s="83" t="n"/>
      <c r="I974" s="83" t="n"/>
      <c r="J974" s="83" t="n"/>
      <c r="K974" s="83" t="n"/>
      <c r="L974" s="83" t="n"/>
      <c r="M974" s="83" t="n"/>
      <c r="O974" s="84" t="str">
        <f>IF($C974="","",IFERROR(MATCH($B974&amp;"|"&amp;$C974,MUROS!$AX$11:$AX$70,0),0))</f>
        <v/>
      </c>
      <c r="P974" s="84" t="str">
        <f>IF($D974="","",IF(ISNUMBER(MATCH($D974,CMB_S,0)),1,IF(ISNUMBER(MATCH($D974,CMB_G,0)),2,0)))</f>
        <v/>
      </c>
      <c r="Q974" s="84">
        <f>IF(ISNUMBER($H974),-$H974,0)</f>
        <v>0</v>
      </c>
      <c r="R974" s="84">
        <f>IF(ISNUMBER($I974),ABS($I974),0)</f>
        <v>0</v>
      </c>
      <c r="S974" s="84">
        <f>IF(ISNUMBER($M974),ABS($M974),0)</f>
        <v>0</v>
      </c>
      <c r="T974" s="85" t="n">
        <v>966</v>
      </c>
    </row>
    <row r="975">
      <c r="B975" s="83" t="n"/>
      <c r="C975" s="83" t="n"/>
      <c r="D975" s="83" t="n"/>
      <c r="E975" s="83" t="n"/>
      <c r="F975" s="83" t="n"/>
      <c r="G975" s="83" t="n"/>
      <c r="H975" s="83" t="n"/>
      <c r="I975" s="83" t="n"/>
      <c r="J975" s="83" t="n"/>
      <c r="K975" s="83" t="n"/>
      <c r="L975" s="83" t="n"/>
      <c r="M975" s="83" t="n"/>
      <c r="O975" s="84" t="str">
        <f>IF($C975="","",IFERROR(MATCH($B975&amp;"|"&amp;$C975,MUROS!$AX$11:$AX$70,0),0))</f>
        <v/>
      </c>
      <c r="P975" s="84" t="str">
        <f>IF($D975="","",IF(ISNUMBER(MATCH($D975,CMB_S,0)),1,IF(ISNUMBER(MATCH($D975,CMB_G,0)),2,0)))</f>
        <v/>
      </c>
      <c r="Q975" s="84">
        <f>IF(ISNUMBER($H975),-$H975,0)</f>
        <v>0</v>
      </c>
      <c r="R975" s="84">
        <f>IF(ISNUMBER($I975),ABS($I975),0)</f>
        <v>0</v>
      </c>
      <c r="S975" s="84">
        <f>IF(ISNUMBER($M975),ABS($M975),0)</f>
        <v>0</v>
      </c>
      <c r="T975" s="85" t="n">
        <v>967</v>
      </c>
    </row>
    <row r="976">
      <c r="B976" s="83" t="n"/>
      <c r="C976" s="83" t="n"/>
      <c r="D976" s="83" t="n"/>
      <c r="E976" s="83" t="n"/>
      <c r="F976" s="83" t="n"/>
      <c r="G976" s="83" t="n"/>
      <c r="H976" s="83" t="n"/>
      <c r="I976" s="83" t="n"/>
      <c r="J976" s="83" t="n"/>
      <c r="K976" s="83" t="n"/>
      <c r="L976" s="83" t="n"/>
      <c r="M976" s="83" t="n"/>
      <c r="O976" s="84" t="str">
        <f>IF($C976="","",IFERROR(MATCH($B976&amp;"|"&amp;$C976,MUROS!$AX$11:$AX$70,0),0))</f>
        <v/>
      </c>
      <c r="P976" s="84" t="str">
        <f>IF($D976="","",IF(ISNUMBER(MATCH($D976,CMB_S,0)),1,IF(ISNUMBER(MATCH($D976,CMB_G,0)),2,0)))</f>
        <v/>
      </c>
      <c r="Q976" s="84">
        <f>IF(ISNUMBER($H976),-$H976,0)</f>
        <v>0</v>
      </c>
      <c r="R976" s="84">
        <f>IF(ISNUMBER($I976),ABS($I976),0)</f>
        <v>0</v>
      </c>
      <c r="S976" s="84">
        <f>IF(ISNUMBER($M976),ABS($M976),0)</f>
        <v>0</v>
      </c>
      <c r="T976" s="85" t="n">
        <v>968</v>
      </c>
    </row>
    <row r="977">
      <c r="B977" s="83" t="n"/>
      <c r="C977" s="83" t="n"/>
      <c r="D977" s="83" t="n"/>
      <c r="E977" s="83" t="n"/>
      <c r="F977" s="83" t="n"/>
      <c r="G977" s="83" t="n"/>
      <c r="H977" s="83" t="n"/>
      <c r="I977" s="83" t="n"/>
      <c r="J977" s="83" t="n"/>
      <c r="K977" s="83" t="n"/>
      <c r="L977" s="83" t="n"/>
      <c r="M977" s="83" t="n"/>
      <c r="O977" s="84" t="str">
        <f>IF($C977="","",IFERROR(MATCH($B977&amp;"|"&amp;$C977,MUROS!$AX$11:$AX$70,0),0))</f>
        <v/>
      </c>
      <c r="P977" s="84" t="str">
        <f>IF($D977="","",IF(ISNUMBER(MATCH($D977,CMB_S,0)),1,IF(ISNUMBER(MATCH($D977,CMB_G,0)),2,0)))</f>
        <v/>
      </c>
      <c r="Q977" s="84">
        <f>IF(ISNUMBER($H977),-$H977,0)</f>
        <v>0</v>
      </c>
      <c r="R977" s="84">
        <f>IF(ISNUMBER($I977),ABS($I977),0)</f>
        <v>0</v>
      </c>
      <c r="S977" s="84">
        <f>IF(ISNUMBER($M977),ABS($M977),0)</f>
        <v>0</v>
      </c>
      <c r="T977" s="85" t="n">
        <v>969</v>
      </c>
    </row>
    <row r="978">
      <c r="B978" s="83" t="n"/>
      <c r="C978" s="83" t="n"/>
      <c r="D978" s="83" t="n"/>
      <c r="E978" s="83" t="n"/>
      <c r="F978" s="83" t="n"/>
      <c r="G978" s="83" t="n"/>
      <c r="H978" s="83" t="n"/>
      <c r="I978" s="83" t="n"/>
      <c r="J978" s="83" t="n"/>
      <c r="K978" s="83" t="n"/>
      <c r="L978" s="83" t="n"/>
      <c r="M978" s="83" t="n"/>
      <c r="O978" s="84" t="str">
        <f>IF($C978="","",IFERROR(MATCH($B978&amp;"|"&amp;$C978,MUROS!$AX$11:$AX$70,0),0))</f>
        <v/>
      </c>
      <c r="P978" s="84" t="str">
        <f>IF($D978="","",IF(ISNUMBER(MATCH($D978,CMB_S,0)),1,IF(ISNUMBER(MATCH($D978,CMB_G,0)),2,0)))</f>
        <v/>
      </c>
      <c r="Q978" s="84">
        <f>IF(ISNUMBER($H978),-$H978,0)</f>
        <v>0</v>
      </c>
      <c r="R978" s="84">
        <f>IF(ISNUMBER($I978),ABS($I978),0)</f>
        <v>0</v>
      </c>
      <c r="S978" s="84">
        <f>IF(ISNUMBER($M978),ABS($M978),0)</f>
        <v>0</v>
      </c>
      <c r="T978" s="85" t="n">
        <v>970</v>
      </c>
    </row>
    <row r="979">
      <c r="B979" s="83" t="n"/>
      <c r="C979" s="83" t="n"/>
      <c r="D979" s="83" t="n"/>
      <c r="E979" s="83" t="n"/>
      <c r="F979" s="83" t="n"/>
      <c r="G979" s="83" t="n"/>
      <c r="H979" s="83" t="n"/>
      <c r="I979" s="83" t="n"/>
      <c r="J979" s="83" t="n"/>
      <c r="K979" s="83" t="n"/>
      <c r="L979" s="83" t="n"/>
      <c r="M979" s="83" t="n"/>
      <c r="O979" s="84" t="str">
        <f>IF($C979="","",IFERROR(MATCH($B979&amp;"|"&amp;$C979,MUROS!$AX$11:$AX$70,0),0))</f>
        <v/>
      </c>
      <c r="P979" s="84" t="str">
        <f>IF($D979="","",IF(ISNUMBER(MATCH($D979,CMB_S,0)),1,IF(ISNUMBER(MATCH($D979,CMB_G,0)),2,0)))</f>
        <v/>
      </c>
      <c r="Q979" s="84">
        <f>IF(ISNUMBER($H979),-$H979,0)</f>
        <v>0</v>
      </c>
      <c r="R979" s="84">
        <f>IF(ISNUMBER($I979),ABS($I979),0)</f>
        <v>0</v>
      </c>
      <c r="S979" s="84">
        <f>IF(ISNUMBER($M979),ABS($M979),0)</f>
        <v>0</v>
      </c>
      <c r="T979" s="85" t="n">
        <v>971</v>
      </c>
    </row>
    <row r="980">
      <c r="B980" s="83" t="n"/>
      <c r="C980" s="83" t="n"/>
      <c r="D980" s="83" t="n"/>
      <c r="E980" s="83" t="n"/>
      <c r="F980" s="83" t="n"/>
      <c r="G980" s="83" t="n"/>
      <c r="H980" s="83" t="n"/>
      <c r="I980" s="83" t="n"/>
      <c r="J980" s="83" t="n"/>
      <c r="K980" s="83" t="n"/>
      <c r="L980" s="83" t="n"/>
      <c r="M980" s="83" t="n"/>
      <c r="O980" s="84" t="str">
        <f>IF($C980="","",IFERROR(MATCH($B980&amp;"|"&amp;$C980,MUROS!$AX$11:$AX$70,0),0))</f>
        <v/>
      </c>
      <c r="P980" s="84" t="str">
        <f>IF($D980="","",IF(ISNUMBER(MATCH($D980,CMB_S,0)),1,IF(ISNUMBER(MATCH($D980,CMB_G,0)),2,0)))</f>
        <v/>
      </c>
      <c r="Q980" s="84">
        <f>IF(ISNUMBER($H980),-$H980,0)</f>
        <v>0</v>
      </c>
      <c r="R980" s="84">
        <f>IF(ISNUMBER($I980),ABS($I980),0)</f>
        <v>0</v>
      </c>
      <c r="S980" s="84">
        <f>IF(ISNUMBER($M980),ABS($M980),0)</f>
        <v>0</v>
      </c>
      <c r="T980" s="85" t="n">
        <v>972</v>
      </c>
    </row>
    <row r="981">
      <c r="B981" s="83" t="n"/>
      <c r="C981" s="83" t="n"/>
      <c r="D981" s="83" t="n"/>
      <c r="E981" s="83" t="n"/>
      <c r="F981" s="83" t="n"/>
      <c r="G981" s="83" t="n"/>
      <c r="H981" s="83" t="n"/>
      <c r="I981" s="83" t="n"/>
      <c r="J981" s="83" t="n"/>
      <c r="K981" s="83" t="n"/>
      <c r="L981" s="83" t="n"/>
      <c r="M981" s="83" t="n"/>
      <c r="O981" s="84" t="str">
        <f>IF($C981="","",IFERROR(MATCH($B981&amp;"|"&amp;$C981,MUROS!$AX$11:$AX$70,0),0))</f>
        <v/>
      </c>
      <c r="P981" s="84" t="str">
        <f>IF($D981="","",IF(ISNUMBER(MATCH($D981,CMB_S,0)),1,IF(ISNUMBER(MATCH($D981,CMB_G,0)),2,0)))</f>
        <v/>
      </c>
      <c r="Q981" s="84">
        <f>IF(ISNUMBER($H981),-$H981,0)</f>
        <v>0</v>
      </c>
      <c r="R981" s="84">
        <f>IF(ISNUMBER($I981),ABS($I981),0)</f>
        <v>0</v>
      </c>
      <c r="S981" s="84">
        <f>IF(ISNUMBER($M981),ABS($M981),0)</f>
        <v>0</v>
      </c>
      <c r="T981" s="85" t="n">
        <v>973</v>
      </c>
    </row>
    <row r="982">
      <c r="B982" s="83" t="n"/>
      <c r="C982" s="83" t="n"/>
      <c r="D982" s="83" t="n"/>
      <c r="E982" s="83" t="n"/>
      <c r="F982" s="83" t="n"/>
      <c r="G982" s="83" t="n"/>
      <c r="H982" s="83" t="n"/>
      <c r="I982" s="83" t="n"/>
      <c r="J982" s="83" t="n"/>
      <c r="K982" s="83" t="n"/>
      <c r="L982" s="83" t="n"/>
      <c r="M982" s="83" t="n"/>
      <c r="O982" s="84" t="str">
        <f>IF($C982="","",IFERROR(MATCH($B982&amp;"|"&amp;$C982,MUROS!$AX$11:$AX$70,0),0))</f>
        <v/>
      </c>
      <c r="P982" s="84" t="str">
        <f>IF($D982="","",IF(ISNUMBER(MATCH($D982,CMB_S,0)),1,IF(ISNUMBER(MATCH($D982,CMB_G,0)),2,0)))</f>
        <v/>
      </c>
      <c r="Q982" s="84">
        <f>IF(ISNUMBER($H982),-$H982,0)</f>
        <v>0</v>
      </c>
      <c r="R982" s="84">
        <f>IF(ISNUMBER($I982),ABS($I982),0)</f>
        <v>0</v>
      </c>
      <c r="S982" s="84">
        <f>IF(ISNUMBER($M982),ABS($M982),0)</f>
        <v>0</v>
      </c>
      <c r="T982" s="85" t="n">
        <v>974</v>
      </c>
    </row>
    <row r="983">
      <c r="B983" s="83" t="n"/>
      <c r="C983" s="83" t="n"/>
      <c r="D983" s="83" t="n"/>
      <c r="E983" s="83" t="n"/>
      <c r="F983" s="83" t="n"/>
      <c r="G983" s="83" t="n"/>
      <c r="H983" s="83" t="n"/>
      <c r="I983" s="83" t="n"/>
      <c r="J983" s="83" t="n"/>
      <c r="K983" s="83" t="n"/>
      <c r="L983" s="83" t="n"/>
      <c r="M983" s="83" t="n"/>
      <c r="O983" s="84" t="str">
        <f>IF($C983="","",IFERROR(MATCH($B983&amp;"|"&amp;$C983,MUROS!$AX$11:$AX$70,0),0))</f>
        <v/>
      </c>
      <c r="P983" s="84" t="str">
        <f>IF($D983="","",IF(ISNUMBER(MATCH($D983,CMB_S,0)),1,IF(ISNUMBER(MATCH($D983,CMB_G,0)),2,0)))</f>
        <v/>
      </c>
      <c r="Q983" s="84">
        <f>IF(ISNUMBER($H983),-$H983,0)</f>
        <v>0</v>
      </c>
      <c r="R983" s="84">
        <f>IF(ISNUMBER($I983),ABS($I983),0)</f>
        <v>0</v>
      </c>
      <c r="S983" s="84">
        <f>IF(ISNUMBER($M983),ABS($M983),0)</f>
        <v>0</v>
      </c>
      <c r="T983" s="85" t="n">
        <v>975</v>
      </c>
    </row>
    <row r="984">
      <c r="B984" s="83" t="n"/>
      <c r="C984" s="83" t="n"/>
      <c r="D984" s="83" t="n"/>
      <c r="E984" s="83" t="n"/>
      <c r="F984" s="83" t="n"/>
      <c r="G984" s="83" t="n"/>
      <c r="H984" s="83" t="n"/>
      <c r="I984" s="83" t="n"/>
      <c r="J984" s="83" t="n"/>
      <c r="K984" s="83" t="n"/>
      <c r="L984" s="83" t="n"/>
      <c r="M984" s="83" t="n"/>
      <c r="O984" s="84" t="str">
        <f>IF($C984="","",IFERROR(MATCH($B984&amp;"|"&amp;$C984,MUROS!$AX$11:$AX$70,0),0))</f>
        <v/>
      </c>
      <c r="P984" s="84" t="str">
        <f>IF($D984="","",IF(ISNUMBER(MATCH($D984,CMB_S,0)),1,IF(ISNUMBER(MATCH($D984,CMB_G,0)),2,0)))</f>
        <v/>
      </c>
      <c r="Q984" s="84">
        <f>IF(ISNUMBER($H984),-$H984,0)</f>
        <v>0</v>
      </c>
      <c r="R984" s="84">
        <f>IF(ISNUMBER($I984),ABS($I984),0)</f>
        <v>0</v>
      </c>
      <c r="S984" s="84">
        <f>IF(ISNUMBER($M984),ABS($M984),0)</f>
        <v>0</v>
      </c>
      <c r="T984" s="85" t="n">
        <v>976</v>
      </c>
    </row>
    <row r="985">
      <c r="B985" s="83" t="n"/>
      <c r="C985" s="83" t="n"/>
      <c r="D985" s="83" t="n"/>
      <c r="E985" s="83" t="n"/>
      <c r="F985" s="83" t="n"/>
      <c r="G985" s="83" t="n"/>
      <c r="H985" s="83" t="n"/>
      <c r="I985" s="83" t="n"/>
      <c r="J985" s="83" t="n"/>
      <c r="K985" s="83" t="n"/>
      <c r="L985" s="83" t="n"/>
      <c r="M985" s="83" t="n"/>
      <c r="O985" s="84" t="str">
        <f>IF($C985="","",IFERROR(MATCH($B985&amp;"|"&amp;$C985,MUROS!$AX$11:$AX$70,0),0))</f>
        <v/>
      </c>
      <c r="P985" s="84" t="str">
        <f>IF($D985="","",IF(ISNUMBER(MATCH($D985,CMB_S,0)),1,IF(ISNUMBER(MATCH($D985,CMB_G,0)),2,0)))</f>
        <v/>
      </c>
      <c r="Q985" s="84">
        <f>IF(ISNUMBER($H985),-$H985,0)</f>
        <v>0</v>
      </c>
      <c r="R985" s="84">
        <f>IF(ISNUMBER($I985),ABS($I985),0)</f>
        <v>0</v>
      </c>
      <c r="S985" s="84">
        <f>IF(ISNUMBER($M985),ABS($M985),0)</f>
        <v>0</v>
      </c>
      <c r="T985" s="85" t="n">
        <v>977</v>
      </c>
    </row>
    <row r="986">
      <c r="B986" s="83" t="n"/>
      <c r="C986" s="83" t="n"/>
      <c r="D986" s="83" t="n"/>
      <c r="E986" s="83" t="n"/>
      <c r="F986" s="83" t="n"/>
      <c r="G986" s="83" t="n"/>
      <c r="H986" s="83" t="n"/>
      <c r="I986" s="83" t="n"/>
      <c r="J986" s="83" t="n"/>
      <c r="K986" s="83" t="n"/>
      <c r="L986" s="83" t="n"/>
      <c r="M986" s="83" t="n"/>
      <c r="O986" s="84" t="str">
        <f>IF($C986="","",IFERROR(MATCH($B986&amp;"|"&amp;$C986,MUROS!$AX$11:$AX$70,0),0))</f>
        <v/>
      </c>
      <c r="P986" s="84" t="str">
        <f>IF($D986="","",IF(ISNUMBER(MATCH($D986,CMB_S,0)),1,IF(ISNUMBER(MATCH($D986,CMB_G,0)),2,0)))</f>
        <v/>
      </c>
      <c r="Q986" s="84">
        <f>IF(ISNUMBER($H986),-$H986,0)</f>
        <v>0</v>
      </c>
      <c r="R986" s="84">
        <f>IF(ISNUMBER($I986),ABS($I986),0)</f>
        <v>0</v>
      </c>
      <c r="S986" s="84">
        <f>IF(ISNUMBER($M986),ABS($M986),0)</f>
        <v>0</v>
      </c>
      <c r="T986" s="85" t="n">
        <v>978</v>
      </c>
    </row>
    <row r="987">
      <c r="B987" s="83" t="n"/>
      <c r="C987" s="83" t="n"/>
      <c r="D987" s="83" t="n"/>
      <c r="E987" s="83" t="n"/>
      <c r="F987" s="83" t="n"/>
      <c r="G987" s="83" t="n"/>
      <c r="H987" s="83" t="n"/>
      <c r="I987" s="83" t="n"/>
      <c r="J987" s="83" t="n"/>
      <c r="K987" s="83" t="n"/>
      <c r="L987" s="83" t="n"/>
      <c r="M987" s="83" t="n"/>
      <c r="O987" s="84" t="str">
        <f>IF($C987="","",IFERROR(MATCH($B987&amp;"|"&amp;$C987,MUROS!$AX$11:$AX$70,0),0))</f>
        <v/>
      </c>
      <c r="P987" s="84" t="str">
        <f>IF($D987="","",IF(ISNUMBER(MATCH($D987,CMB_S,0)),1,IF(ISNUMBER(MATCH($D987,CMB_G,0)),2,0)))</f>
        <v/>
      </c>
      <c r="Q987" s="84">
        <f>IF(ISNUMBER($H987),-$H987,0)</f>
        <v>0</v>
      </c>
      <c r="R987" s="84">
        <f>IF(ISNUMBER($I987),ABS($I987),0)</f>
        <v>0</v>
      </c>
      <c r="S987" s="84">
        <f>IF(ISNUMBER($M987),ABS($M987),0)</f>
        <v>0</v>
      </c>
      <c r="T987" s="85" t="n">
        <v>979</v>
      </c>
    </row>
    <row r="988">
      <c r="B988" s="83" t="n"/>
      <c r="C988" s="83" t="n"/>
      <c r="D988" s="83" t="n"/>
      <c r="E988" s="83" t="n"/>
      <c r="F988" s="83" t="n"/>
      <c r="G988" s="83" t="n"/>
      <c r="H988" s="83" t="n"/>
      <c r="I988" s="83" t="n"/>
      <c r="J988" s="83" t="n"/>
      <c r="K988" s="83" t="n"/>
      <c r="L988" s="83" t="n"/>
      <c r="M988" s="83" t="n"/>
      <c r="O988" s="84" t="str">
        <f>IF($C988="","",IFERROR(MATCH($B988&amp;"|"&amp;$C988,MUROS!$AX$11:$AX$70,0),0))</f>
        <v/>
      </c>
      <c r="P988" s="84" t="str">
        <f>IF($D988="","",IF(ISNUMBER(MATCH($D988,CMB_S,0)),1,IF(ISNUMBER(MATCH($D988,CMB_G,0)),2,0)))</f>
        <v/>
      </c>
      <c r="Q988" s="84">
        <f>IF(ISNUMBER($H988),-$H988,0)</f>
        <v>0</v>
      </c>
      <c r="R988" s="84">
        <f>IF(ISNUMBER($I988),ABS($I988),0)</f>
        <v>0</v>
      </c>
      <c r="S988" s="84">
        <f>IF(ISNUMBER($M988),ABS($M988),0)</f>
        <v>0</v>
      </c>
      <c r="T988" s="85" t="n">
        <v>980</v>
      </c>
    </row>
    <row r="989">
      <c r="B989" s="83" t="n"/>
      <c r="C989" s="83" t="n"/>
      <c r="D989" s="83" t="n"/>
      <c r="E989" s="83" t="n"/>
      <c r="F989" s="83" t="n"/>
      <c r="G989" s="83" t="n"/>
      <c r="H989" s="83" t="n"/>
      <c r="I989" s="83" t="n"/>
      <c r="J989" s="83" t="n"/>
      <c r="K989" s="83" t="n"/>
      <c r="L989" s="83" t="n"/>
      <c r="M989" s="83" t="n"/>
      <c r="O989" s="84" t="str">
        <f>IF($C989="","",IFERROR(MATCH($B989&amp;"|"&amp;$C989,MUROS!$AX$11:$AX$70,0),0))</f>
        <v/>
      </c>
      <c r="P989" s="84" t="str">
        <f>IF($D989="","",IF(ISNUMBER(MATCH($D989,CMB_S,0)),1,IF(ISNUMBER(MATCH($D989,CMB_G,0)),2,0)))</f>
        <v/>
      </c>
      <c r="Q989" s="84">
        <f>IF(ISNUMBER($H989),-$H989,0)</f>
        <v>0</v>
      </c>
      <c r="R989" s="84">
        <f>IF(ISNUMBER($I989),ABS($I989),0)</f>
        <v>0</v>
      </c>
      <c r="S989" s="84">
        <f>IF(ISNUMBER($M989),ABS($M989),0)</f>
        <v>0</v>
      </c>
      <c r="T989" s="85" t="n">
        <v>981</v>
      </c>
    </row>
    <row r="990">
      <c r="B990" s="83" t="n"/>
      <c r="C990" s="83" t="n"/>
      <c r="D990" s="83" t="n"/>
      <c r="E990" s="83" t="n"/>
      <c r="F990" s="83" t="n"/>
      <c r="G990" s="83" t="n"/>
      <c r="H990" s="83" t="n"/>
      <c r="I990" s="83" t="n"/>
      <c r="J990" s="83" t="n"/>
      <c r="K990" s="83" t="n"/>
      <c r="L990" s="83" t="n"/>
      <c r="M990" s="83" t="n"/>
      <c r="O990" s="84" t="str">
        <f>IF($C990="","",IFERROR(MATCH($B990&amp;"|"&amp;$C990,MUROS!$AX$11:$AX$70,0),0))</f>
        <v/>
      </c>
      <c r="P990" s="84" t="str">
        <f>IF($D990="","",IF(ISNUMBER(MATCH($D990,CMB_S,0)),1,IF(ISNUMBER(MATCH($D990,CMB_G,0)),2,0)))</f>
        <v/>
      </c>
      <c r="Q990" s="84">
        <f>IF(ISNUMBER($H990),-$H990,0)</f>
        <v>0</v>
      </c>
      <c r="R990" s="84">
        <f>IF(ISNUMBER($I990),ABS($I990),0)</f>
        <v>0</v>
      </c>
      <c r="S990" s="84">
        <f>IF(ISNUMBER($M990),ABS($M990),0)</f>
        <v>0</v>
      </c>
      <c r="T990" s="85" t="n">
        <v>982</v>
      </c>
    </row>
    <row r="991">
      <c r="B991" s="83" t="n"/>
      <c r="C991" s="83" t="n"/>
      <c r="D991" s="83" t="n"/>
      <c r="E991" s="83" t="n"/>
      <c r="F991" s="83" t="n"/>
      <c r="G991" s="83" t="n"/>
      <c r="H991" s="83" t="n"/>
      <c r="I991" s="83" t="n"/>
      <c r="J991" s="83" t="n"/>
      <c r="K991" s="83" t="n"/>
      <c r="L991" s="83" t="n"/>
      <c r="M991" s="83" t="n"/>
      <c r="O991" s="84" t="str">
        <f>IF($C991="","",IFERROR(MATCH($B991&amp;"|"&amp;$C991,MUROS!$AX$11:$AX$70,0),0))</f>
        <v/>
      </c>
      <c r="P991" s="84" t="str">
        <f>IF($D991="","",IF(ISNUMBER(MATCH($D991,CMB_S,0)),1,IF(ISNUMBER(MATCH($D991,CMB_G,0)),2,0)))</f>
        <v/>
      </c>
      <c r="Q991" s="84">
        <f>IF(ISNUMBER($H991),-$H991,0)</f>
        <v>0</v>
      </c>
      <c r="R991" s="84">
        <f>IF(ISNUMBER($I991),ABS($I991),0)</f>
        <v>0</v>
      </c>
      <c r="S991" s="84">
        <f>IF(ISNUMBER($M991),ABS($M991),0)</f>
        <v>0</v>
      </c>
      <c r="T991" s="85" t="n">
        <v>983</v>
      </c>
    </row>
    <row r="992">
      <c r="B992" s="83" t="n"/>
      <c r="C992" s="83" t="n"/>
      <c r="D992" s="83" t="n"/>
      <c r="E992" s="83" t="n"/>
      <c r="F992" s="83" t="n"/>
      <c r="G992" s="83" t="n"/>
      <c r="H992" s="83" t="n"/>
      <c r="I992" s="83" t="n"/>
      <c r="J992" s="83" t="n"/>
      <c r="K992" s="83" t="n"/>
      <c r="L992" s="83" t="n"/>
      <c r="M992" s="83" t="n"/>
      <c r="O992" s="84" t="str">
        <f>IF($C992="","",IFERROR(MATCH($B992&amp;"|"&amp;$C992,MUROS!$AX$11:$AX$70,0),0))</f>
        <v/>
      </c>
      <c r="P992" s="84" t="str">
        <f>IF($D992="","",IF(ISNUMBER(MATCH($D992,CMB_S,0)),1,IF(ISNUMBER(MATCH($D992,CMB_G,0)),2,0)))</f>
        <v/>
      </c>
      <c r="Q992" s="84">
        <f>IF(ISNUMBER($H992),-$H992,0)</f>
        <v>0</v>
      </c>
      <c r="R992" s="84">
        <f>IF(ISNUMBER($I992),ABS($I992),0)</f>
        <v>0</v>
      </c>
      <c r="S992" s="84">
        <f>IF(ISNUMBER($M992),ABS($M992),0)</f>
        <v>0</v>
      </c>
      <c r="T992" s="85" t="n">
        <v>984</v>
      </c>
    </row>
    <row r="993">
      <c r="B993" s="83" t="n"/>
      <c r="C993" s="83" t="n"/>
      <c r="D993" s="83" t="n"/>
      <c r="E993" s="83" t="n"/>
      <c r="F993" s="83" t="n"/>
      <c r="G993" s="83" t="n"/>
      <c r="H993" s="83" t="n"/>
      <c r="I993" s="83" t="n"/>
      <c r="J993" s="83" t="n"/>
      <c r="K993" s="83" t="n"/>
      <c r="L993" s="83" t="n"/>
      <c r="M993" s="83" t="n"/>
      <c r="O993" s="84" t="str">
        <f>IF($C993="","",IFERROR(MATCH($B993&amp;"|"&amp;$C993,MUROS!$AX$11:$AX$70,0),0))</f>
        <v/>
      </c>
      <c r="P993" s="84" t="str">
        <f>IF($D993="","",IF(ISNUMBER(MATCH($D993,CMB_S,0)),1,IF(ISNUMBER(MATCH($D993,CMB_G,0)),2,0)))</f>
        <v/>
      </c>
      <c r="Q993" s="84">
        <f>IF(ISNUMBER($H993),-$H993,0)</f>
        <v>0</v>
      </c>
      <c r="R993" s="84">
        <f>IF(ISNUMBER($I993),ABS($I993),0)</f>
        <v>0</v>
      </c>
      <c r="S993" s="84">
        <f>IF(ISNUMBER($M993),ABS($M993),0)</f>
        <v>0</v>
      </c>
      <c r="T993" s="85" t="n">
        <v>985</v>
      </c>
    </row>
    <row r="994">
      <c r="B994" s="83" t="n"/>
      <c r="C994" s="83" t="n"/>
      <c r="D994" s="83" t="n"/>
      <c r="E994" s="83" t="n"/>
      <c r="F994" s="83" t="n"/>
      <c r="G994" s="83" t="n"/>
      <c r="H994" s="83" t="n"/>
      <c r="I994" s="83" t="n"/>
      <c r="J994" s="83" t="n"/>
      <c r="K994" s="83" t="n"/>
      <c r="L994" s="83" t="n"/>
      <c r="M994" s="83" t="n"/>
      <c r="O994" s="84" t="str">
        <f>IF($C994="","",IFERROR(MATCH($B994&amp;"|"&amp;$C994,MUROS!$AX$11:$AX$70,0),0))</f>
        <v/>
      </c>
      <c r="P994" s="84" t="str">
        <f>IF($D994="","",IF(ISNUMBER(MATCH($D994,CMB_S,0)),1,IF(ISNUMBER(MATCH($D994,CMB_G,0)),2,0)))</f>
        <v/>
      </c>
      <c r="Q994" s="84">
        <f>IF(ISNUMBER($H994),-$H994,0)</f>
        <v>0</v>
      </c>
      <c r="R994" s="84">
        <f>IF(ISNUMBER($I994),ABS($I994),0)</f>
        <v>0</v>
      </c>
      <c r="S994" s="84">
        <f>IF(ISNUMBER($M994),ABS($M994),0)</f>
        <v>0</v>
      </c>
      <c r="T994" s="85" t="n">
        <v>986</v>
      </c>
    </row>
    <row r="995">
      <c r="B995" s="83" t="n"/>
      <c r="C995" s="83" t="n"/>
      <c r="D995" s="83" t="n"/>
      <c r="E995" s="83" t="n"/>
      <c r="F995" s="83" t="n"/>
      <c r="G995" s="83" t="n"/>
      <c r="H995" s="83" t="n"/>
      <c r="I995" s="83" t="n"/>
      <c r="J995" s="83" t="n"/>
      <c r="K995" s="83" t="n"/>
      <c r="L995" s="83" t="n"/>
      <c r="M995" s="83" t="n"/>
      <c r="O995" s="84" t="str">
        <f>IF($C995="","",IFERROR(MATCH($B995&amp;"|"&amp;$C995,MUROS!$AX$11:$AX$70,0),0))</f>
        <v/>
      </c>
      <c r="P995" s="84" t="str">
        <f>IF($D995="","",IF(ISNUMBER(MATCH($D995,CMB_S,0)),1,IF(ISNUMBER(MATCH($D995,CMB_G,0)),2,0)))</f>
        <v/>
      </c>
      <c r="Q995" s="84">
        <f>IF(ISNUMBER($H995),-$H995,0)</f>
        <v>0</v>
      </c>
      <c r="R995" s="84">
        <f>IF(ISNUMBER($I995),ABS($I995),0)</f>
        <v>0</v>
      </c>
      <c r="S995" s="84">
        <f>IF(ISNUMBER($M995),ABS($M995),0)</f>
        <v>0</v>
      </c>
      <c r="T995" s="85" t="n">
        <v>987</v>
      </c>
    </row>
    <row r="996">
      <c r="B996" s="83" t="n"/>
      <c r="C996" s="83" t="n"/>
      <c r="D996" s="83" t="n"/>
      <c r="E996" s="83" t="n"/>
      <c r="F996" s="83" t="n"/>
      <c r="G996" s="83" t="n"/>
      <c r="H996" s="83" t="n"/>
      <c r="I996" s="83" t="n"/>
      <c r="J996" s="83" t="n"/>
      <c r="K996" s="83" t="n"/>
      <c r="L996" s="83" t="n"/>
      <c r="M996" s="83" t="n"/>
      <c r="O996" s="84" t="str">
        <f>IF($C996="","",IFERROR(MATCH($B996&amp;"|"&amp;$C996,MUROS!$AX$11:$AX$70,0),0))</f>
        <v/>
      </c>
      <c r="P996" s="84" t="str">
        <f>IF($D996="","",IF(ISNUMBER(MATCH($D996,CMB_S,0)),1,IF(ISNUMBER(MATCH($D996,CMB_G,0)),2,0)))</f>
        <v/>
      </c>
      <c r="Q996" s="84">
        <f>IF(ISNUMBER($H996),-$H996,0)</f>
        <v>0</v>
      </c>
      <c r="R996" s="84">
        <f>IF(ISNUMBER($I996),ABS($I996),0)</f>
        <v>0</v>
      </c>
      <c r="S996" s="84">
        <f>IF(ISNUMBER($M996),ABS($M996),0)</f>
        <v>0</v>
      </c>
      <c r="T996" s="85" t="n">
        <v>988</v>
      </c>
    </row>
    <row r="997">
      <c r="B997" s="83" t="n"/>
      <c r="C997" s="83" t="n"/>
      <c r="D997" s="83" t="n"/>
      <c r="E997" s="83" t="n"/>
      <c r="F997" s="83" t="n"/>
      <c r="G997" s="83" t="n"/>
      <c r="H997" s="83" t="n"/>
      <c r="I997" s="83" t="n"/>
      <c r="J997" s="83" t="n"/>
      <c r="K997" s="83" t="n"/>
      <c r="L997" s="83" t="n"/>
      <c r="M997" s="83" t="n"/>
      <c r="O997" s="84" t="str">
        <f>IF($C997="","",IFERROR(MATCH($B997&amp;"|"&amp;$C997,MUROS!$AX$11:$AX$70,0),0))</f>
        <v/>
      </c>
      <c r="P997" s="84" t="str">
        <f>IF($D997="","",IF(ISNUMBER(MATCH($D997,CMB_S,0)),1,IF(ISNUMBER(MATCH($D997,CMB_G,0)),2,0)))</f>
        <v/>
      </c>
      <c r="Q997" s="84">
        <f>IF(ISNUMBER($H997),-$H997,0)</f>
        <v>0</v>
      </c>
      <c r="R997" s="84">
        <f>IF(ISNUMBER($I997),ABS($I997),0)</f>
        <v>0</v>
      </c>
      <c r="S997" s="84">
        <f>IF(ISNUMBER($M997),ABS($M997),0)</f>
        <v>0</v>
      </c>
      <c r="T997" s="85" t="n">
        <v>989</v>
      </c>
    </row>
    <row r="998">
      <c r="B998" s="83" t="n"/>
      <c r="C998" s="83" t="n"/>
      <c r="D998" s="83" t="n"/>
      <c r="E998" s="83" t="n"/>
      <c r="F998" s="83" t="n"/>
      <c r="G998" s="83" t="n"/>
      <c r="H998" s="83" t="n"/>
      <c r="I998" s="83" t="n"/>
      <c r="J998" s="83" t="n"/>
      <c r="K998" s="83" t="n"/>
      <c r="L998" s="83" t="n"/>
      <c r="M998" s="83" t="n"/>
      <c r="O998" s="84" t="str">
        <f>IF($C998="","",IFERROR(MATCH($B998&amp;"|"&amp;$C998,MUROS!$AX$11:$AX$70,0),0))</f>
        <v/>
      </c>
      <c r="P998" s="84" t="str">
        <f>IF($D998="","",IF(ISNUMBER(MATCH($D998,CMB_S,0)),1,IF(ISNUMBER(MATCH($D998,CMB_G,0)),2,0)))</f>
        <v/>
      </c>
      <c r="Q998" s="84">
        <f>IF(ISNUMBER($H998),-$H998,0)</f>
        <v>0</v>
      </c>
      <c r="R998" s="84">
        <f>IF(ISNUMBER($I998),ABS($I998),0)</f>
        <v>0</v>
      </c>
      <c r="S998" s="84">
        <f>IF(ISNUMBER($M998),ABS($M998),0)</f>
        <v>0</v>
      </c>
      <c r="T998" s="85" t="n">
        <v>990</v>
      </c>
    </row>
    <row r="999">
      <c r="B999" s="83" t="n"/>
      <c r="C999" s="83" t="n"/>
      <c r="D999" s="83" t="n"/>
      <c r="E999" s="83" t="n"/>
      <c r="F999" s="83" t="n"/>
      <c r="G999" s="83" t="n"/>
      <c r="H999" s="83" t="n"/>
      <c r="I999" s="83" t="n"/>
      <c r="J999" s="83" t="n"/>
      <c r="K999" s="83" t="n"/>
      <c r="L999" s="83" t="n"/>
      <c r="M999" s="83" t="n"/>
      <c r="O999" s="84" t="str">
        <f>IF($C999="","",IFERROR(MATCH($B999&amp;"|"&amp;$C999,MUROS!$AX$11:$AX$70,0),0))</f>
        <v/>
      </c>
      <c r="P999" s="84" t="str">
        <f>IF($D999="","",IF(ISNUMBER(MATCH($D999,CMB_S,0)),1,IF(ISNUMBER(MATCH($D999,CMB_G,0)),2,0)))</f>
        <v/>
      </c>
      <c r="Q999" s="84">
        <f>IF(ISNUMBER($H999),-$H999,0)</f>
        <v>0</v>
      </c>
      <c r="R999" s="84">
        <f>IF(ISNUMBER($I999),ABS($I999),0)</f>
        <v>0</v>
      </c>
      <c r="S999" s="84">
        <f>IF(ISNUMBER($M999),ABS($M999),0)</f>
        <v>0</v>
      </c>
      <c r="T999" s="85" t="n">
        <v>991</v>
      </c>
    </row>
    <row r="1000">
      <c r="B1000" s="83" t="n"/>
      <c r="C1000" s="83" t="n"/>
      <c r="D1000" s="83" t="n"/>
      <c r="E1000" s="83" t="n"/>
      <c r="F1000" s="83" t="n"/>
      <c r="G1000" s="83" t="n"/>
      <c r="H1000" s="83" t="n"/>
      <c r="I1000" s="83" t="n"/>
      <c r="J1000" s="83" t="n"/>
      <c r="K1000" s="83" t="n"/>
      <c r="L1000" s="83" t="n"/>
      <c r="M1000" s="83" t="n"/>
      <c r="O1000" s="84" t="str">
        <f>IF($C1000="","",IFERROR(MATCH($B1000&amp;"|"&amp;$C1000,MUROS!$AX$11:$AX$70,0),0))</f>
        <v/>
      </c>
      <c r="P1000" s="84" t="str">
        <f>IF($D1000="","",IF(ISNUMBER(MATCH($D1000,CMB_S,0)),1,IF(ISNUMBER(MATCH($D1000,CMB_G,0)),2,0)))</f>
        <v/>
      </c>
      <c r="Q1000" s="84">
        <f>IF(ISNUMBER($H1000),-$H1000,0)</f>
        <v>0</v>
      </c>
      <c r="R1000" s="84">
        <f>IF(ISNUMBER($I1000),ABS($I1000),0)</f>
        <v>0</v>
      </c>
      <c r="S1000" s="84">
        <f>IF(ISNUMBER($M1000),ABS($M1000),0)</f>
        <v>0</v>
      </c>
      <c r="T1000" s="85" t="n">
        <v>992</v>
      </c>
    </row>
    <row r="1001">
      <c r="B1001" s="83" t="n"/>
      <c r="C1001" s="83" t="n"/>
      <c r="D1001" s="83" t="n"/>
      <c r="E1001" s="83" t="n"/>
      <c r="F1001" s="83" t="n"/>
      <c r="G1001" s="83" t="n"/>
      <c r="H1001" s="83" t="n"/>
      <c r="I1001" s="83" t="n"/>
      <c r="J1001" s="83" t="n"/>
      <c r="K1001" s="83" t="n"/>
      <c r="L1001" s="83" t="n"/>
      <c r="M1001" s="83" t="n"/>
      <c r="O1001" s="84" t="str">
        <f>IF($C1001="","",IFERROR(MATCH($B1001&amp;"|"&amp;$C1001,MUROS!$AX$11:$AX$70,0),0))</f>
        <v/>
      </c>
      <c r="P1001" s="84" t="str">
        <f>IF($D1001="","",IF(ISNUMBER(MATCH($D1001,CMB_S,0)),1,IF(ISNUMBER(MATCH($D1001,CMB_G,0)),2,0)))</f>
        <v/>
      </c>
      <c r="Q1001" s="84">
        <f>IF(ISNUMBER($H1001),-$H1001,0)</f>
        <v>0</v>
      </c>
      <c r="R1001" s="84">
        <f>IF(ISNUMBER($I1001),ABS($I1001),0)</f>
        <v>0</v>
      </c>
      <c r="S1001" s="84">
        <f>IF(ISNUMBER($M1001),ABS($M1001),0)</f>
        <v>0</v>
      </c>
      <c r="T1001" s="85" t="n">
        <v>993</v>
      </c>
    </row>
    <row r="1002">
      <c r="B1002" s="83" t="n"/>
      <c r="C1002" s="83" t="n"/>
      <c r="D1002" s="83" t="n"/>
      <c r="E1002" s="83" t="n"/>
      <c r="F1002" s="83" t="n"/>
      <c r="G1002" s="83" t="n"/>
      <c r="H1002" s="83" t="n"/>
      <c r="I1002" s="83" t="n"/>
      <c r="J1002" s="83" t="n"/>
      <c r="K1002" s="83" t="n"/>
      <c r="L1002" s="83" t="n"/>
      <c r="M1002" s="83" t="n"/>
      <c r="O1002" s="84" t="str">
        <f>IF($C1002="","",IFERROR(MATCH($B1002&amp;"|"&amp;$C1002,MUROS!$AX$11:$AX$70,0),0))</f>
        <v/>
      </c>
      <c r="P1002" s="84" t="str">
        <f>IF($D1002="","",IF(ISNUMBER(MATCH($D1002,CMB_S,0)),1,IF(ISNUMBER(MATCH($D1002,CMB_G,0)),2,0)))</f>
        <v/>
      </c>
      <c r="Q1002" s="84">
        <f>IF(ISNUMBER($H1002),-$H1002,0)</f>
        <v>0</v>
      </c>
      <c r="R1002" s="84">
        <f>IF(ISNUMBER($I1002),ABS($I1002),0)</f>
        <v>0</v>
      </c>
      <c r="S1002" s="84">
        <f>IF(ISNUMBER($M1002),ABS($M1002),0)</f>
        <v>0</v>
      </c>
      <c r="T1002" s="85" t="n">
        <v>994</v>
      </c>
    </row>
    <row r="1003">
      <c r="B1003" s="83" t="n"/>
      <c r="C1003" s="83" t="n"/>
      <c r="D1003" s="83" t="n"/>
      <c r="E1003" s="83" t="n"/>
      <c r="F1003" s="83" t="n"/>
      <c r="G1003" s="83" t="n"/>
      <c r="H1003" s="83" t="n"/>
      <c r="I1003" s="83" t="n"/>
      <c r="J1003" s="83" t="n"/>
      <c r="K1003" s="83" t="n"/>
      <c r="L1003" s="83" t="n"/>
      <c r="M1003" s="83" t="n"/>
      <c r="O1003" s="84" t="str">
        <f>IF($C1003="","",IFERROR(MATCH($B1003&amp;"|"&amp;$C1003,MUROS!$AX$11:$AX$70,0),0))</f>
        <v/>
      </c>
      <c r="P1003" s="84" t="str">
        <f>IF($D1003="","",IF(ISNUMBER(MATCH($D1003,CMB_S,0)),1,IF(ISNUMBER(MATCH($D1003,CMB_G,0)),2,0)))</f>
        <v/>
      </c>
      <c r="Q1003" s="84">
        <f>IF(ISNUMBER($H1003),-$H1003,0)</f>
        <v>0</v>
      </c>
      <c r="R1003" s="84">
        <f>IF(ISNUMBER($I1003),ABS($I1003),0)</f>
        <v>0</v>
      </c>
      <c r="S1003" s="84">
        <f>IF(ISNUMBER($M1003),ABS($M1003),0)</f>
        <v>0</v>
      </c>
      <c r="T1003" s="85" t="n">
        <v>995</v>
      </c>
    </row>
    <row r="1004">
      <c r="B1004" s="83" t="n"/>
      <c r="C1004" s="83" t="n"/>
      <c r="D1004" s="83" t="n"/>
      <c r="E1004" s="83" t="n"/>
      <c r="F1004" s="83" t="n"/>
      <c r="G1004" s="83" t="n"/>
      <c r="H1004" s="83" t="n"/>
      <c r="I1004" s="83" t="n"/>
      <c r="J1004" s="83" t="n"/>
      <c r="K1004" s="83" t="n"/>
      <c r="L1004" s="83" t="n"/>
      <c r="M1004" s="83" t="n"/>
      <c r="O1004" s="84" t="str">
        <f>IF($C1004="","",IFERROR(MATCH($B1004&amp;"|"&amp;$C1004,MUROS!$AX$11:$AX$70,0),0))</f>
        <v/>
      </c>
      <c r="P1004" s="84" t="str">
        <f>IF($D1004="","",IF(ISNUMBER(MATCH($D1004,CMB_S,0)),1,IF(ISNUMBER(MATCH($D1004,CMB_G,0)),2,0)))</f>
        <v/>
      </c>
      <c r="Q1004" s="84">
        <f>IF(ISNUMBER($H1004),-$H1004,0)</f>
        <v>0</v>
      </c>
      <c r="R1004" s="84">
        <f>IF(ISNUMBER($I1004),ABS($I1004),0)</f>
        <v>0</v>
      </c>
      <c r="S1004" s="84">
        <f>IF(ISNUMBER($M1004),ABS($M1004),0)</f>
        <v>0</v>
      </c>
      <c r="T1004" s="85" t="n">
        <v>996</v>
      </c>
    </row>
    <row r="1005">
      <c r="B1005" s="83" t="n"/>
      <c r="C1005" s="83" t="n"/>
      <c r="D1005" s="83" t="n"/>
      <c r="E1005" s="83" t="n"/>
      <c r="F1005" s="83" t="n"/>
      <c r="G1005" s="83" t="n"/>
      <c r="H1005" s="83" t="n"/>
      <c r="I1005" s="83" t="n"/>
      <c r="J1005" s="83" t="n"/>
      <c r="K1005" s="83" t="n"/>
      <c r="L1005" s="83" t="n"/>
      <c r="M1005" s="83" t="n"/>
      <c r="O1005" s="84" t="str">
        <f>IF($C1005="","",IFERROR(MATCH($B1005&amp;"|"&amp;$C1005,MUROS!$AX$11:$AX$70,0),0))</f>
        <v/>
      </c>
      <c r="P1005" s="84" t="str">
        <f>IF($D1005="","",IF(ISNUMBER(MATCH($D1005,CMB_S,0)),1,IF(ISNUMBER(MATCH($D1005,CMB_G,0)),2,0)))</f>
        <v/>
      </c>
      <c r="Q1005" s="84">
        <f>IF(ISNUMBER($H1005),-$H1005,0)</f>
        <v>0</v>
      </c>
      <c r="R1005" s="84">
        <f>IF(ISNUMBER($I1005),ABS($I1005),0)</f>
        <v>0</v>
      </c>
      <c r="S1005" s="84">
        <f>IF(ISNUMBER($M1005),ABS($M1005),0)</f>
        <v>0</v>
      </c>
      <c r="T1005" s="85" t="n">
        <v>997</v>
      </c>
    </row>
    <row r="1006">
      <c r="B1006" s="83" t="n"/>
      <c r="C1006" s="83" t="n"/>
      <c r="D1006" s="83" t="n"/>
      <c r="E1006" s="83" t="n"/>
      <c r="F1006" s="83" t="n"/>
      <c r="G1006" s="83" t="n"/>
      <c r="H1006" s="83" t="n"/>
      <c r="I1006" s="83" t="n"/>
      <c r="J1006" s="83" t="n"/>
      <c r="K1006" s="83" t="n"/>
      <c r="L1006" s="83" t="n"/>
      <c r="M1006" s="83" t="n"/>
      <c r="O1006" s="84" t="str">
        <f>IF($C1006="","",IFERROR(MATCH($B1006&amp;"|"&amp;$C1006,MUROS!$AX$11:$AX$70,0),0))</f>
        <v/>
      </c>
      <c r="P1006" s="84" t="str">
        <f>IF($D1006="","",IF(ISNUMBER(MATCH($D1006,CMB_S,0)),1,IF(ISNUMBER(MATCH($D1006,CMB_G,0)),2,0)))</f>
        <v/>
      </c>
      <c r="Q1006" s="84">
        <f>IF(ISNUMBER($H1006),-$H1006,0)</f>
        <v>0</v>
      </c>
      <c r="R1006" s="84">
        <f>IF(ISNUMBER($I1006),ABS($I1006),0)</f>
        <v>0</v>
      </c>
      <c r="S1006" s="84">
        <f>IF(ISNUMBER($M1006),ABS($M1006),0)</f>
        <v>0</v>
      </c>
      <c r="T1006" s="85" t="n">
        <v>998</v>
      </c>
    </row>
    <row r="1007">
      <c r="B1007" s="83" t="n"/>
      <c r="C1007" s="83" t="n"/>
      <c r="D1007" s="83" t="n"/>
      <c r="E1007" s="83" t="n"/>
      <c r="F1007" s="83" t="n"/>
      <c r="G1007" s="83" t="n"/>
      <c r="H1007" s="83" t="n"/>
      <c r="I1007" s="83" t="n"/>
      <c r="J1007" s="83" t="n"/>
      <c r="K1007" s="83" t="n"/>
      <c r="L1007" s="83" t="n"/>
      <c r="M1007" s="83" t="n"/>
      <c r="O1007" s="84" t="str">
        <f>IF($C1007="","",IFERROR(MATCH($B1007&amp;"|"&amp;$C1007,MUROS!$AX$11:$AX$70,0),0))</f>
        <v/>
      </c>
      <c r="P1007" s="84" t="str">
        <f>IF($D1007="","",IF(ISNUMBER(MATCH($D1007,CMB_S,0)),1,IF(ISNUMBER(MATCH($D1007,CMB_G,0)),2,0)))</f>
        <v/>
      </c>
      <c r="Q1007" s="84">
        <f>IF(ISNUMBER($H1007),-$H1007,0)</f>
        <v>0</v>
      </c>
      <c r="R1007" s="84">
        <f>IF(ISNUMBER($I1007),ABS($I1007),0)</f>
        <v>0</v>
      </c>
      <c r="S1007" s="84">
        <f>IF(ISNUMBER($M1007),ABS($M1007),0)</f>
        <v>0</v>
      </c>
      <c r="T1007" s="85" t="n">
        <v>999</v>
      </c>
    </row>
    <row r="1008">
      <c r="B1008" s="83" t="n"/>
      <c r="C1008" s="83" t="n"/>
      <c r="D1008" s="83" t="n"/>
      <c r="E1008" s="83" t="n"/>
      <c r="F1008" s="83" t="n"/>
      <c r="G1008" s="83" t="n"/>
      <c r="H1008" s="83" t="n"/>
      <c r="I1008" s="83" t="n"/>
      <c r="J1008" s="83" t="n"/>
      <c r="K1008" s="83" t="n"/>
      <c r="L1008" s="83" t="n"/>
      <c r="M1008" s="83" t="n"/>
      <c r="O1008" s="84" t="str">
        <f>IF($C1008="","",IFERROR(MATCH($B1008&amp;"|"&amp;$C1008,MUROS!$AX$11:$AX$70,0),0))</f>
        <v/>
      </c>
      <c r="P1008" s="84" t="str">
        <f>IF($D1008="","",IF(ISNUMBER(MATCH($D1008,CMB_S,0)),1,IF(ISNUMBER(MATCH($D1008,CMB_G,0)),2,0)))</f>
        <v/>
      </c>
      <c r="Q1008" s="84">
        <f>IF(ISNUMBER($H1008),-$H1008,0)</f>
        <v>0</v>
      </c>
      <c r="R1008" s="84">
        <f>IF(ISNUMBER($I1008),ABS($I1008),0)</f>
        <v>0</v>
      </c>
      <c r="S1008" s="84">
        <f>IF(ISNUMBER($M1008),ABS($M1008),0)</f>
        <v>0</v>
      </c>
      <c r="T1008" s="85" t="n">
        <v>1000</v>
      </c>
    </row>
    <row r="1009">
      <c r="B1009" s="83" t="n"/>
      <c r="C1009" s="83" t="n"/>
      <c r="D1009" s="83" t="n"/>
      <c r="E1009" s="83" t="n"/>
      <c r="F1009" s="83" t="n"/>
      <c r="G1009" s="83" t="n"/>
      <c r="H1009" s="83" t="n"/>
      <c r="I1009" s="83" t="n"/>
      <c r="J1009" s="83" t="n"/>
      <c r="K1009" s="83" t="n"/>
      <c r="L1009" s="83" t="n"/>
      <c r="M1009" s="83" t="n"/>
      <c r="O1009" s="84" t="str">
        <f>IF($C1009="","",IFERROR(MATCH($B1009&amp;"|"&amp;$C1009,MUROS!$AX$11:$AX$70,0),0))</f>
        <v/>
      </c>
      <c r="P1009" s="84" t="str">
        <f>IF($D1009="","",IF(ISNUMBER(MATCH($D1009,CMB_S,0)),1,IF(ISNUMBER(MATCH($D1009,CMB_G,0)),2,0)))</f>
        <v/>
      </c>
      <c r="Q1009" s="84">
        <f>IF(ISNUMBER($H1009),-$H1009,0)</f>
        <v>0</v>
      </c>
      <c r="R1009" s="84">
        <f>IF(ISNUMBER($I1009),ABS($I1009),0)</f>
        <v>0</v>
      </c>
      <c r="S1009" s="84">
        <f>IF(ISNUMBER($M1009),ABS($M1009),0)</f>
        <v>0</v>
      </c>
      <c r="T1009" s="85" t="n">
        <v>1001</v>
      </c>
    </row>
    <row r="1010">
      <c r="B1010" s="83" t="n"/>
      <c r="C1010" s="83" t="n"/>
      <c r="D1010" s="83" t="n"/>
      <c r="E1010" s="83" t="n"/>
      <c r="F1010" s="83" t="n"/>
      <c r="G1010" s="83" t="n"/>
      <c r="H1010" s="83" t="n"/>
      <c r="I1010" s="83" t="n"/>
      <c r="J1010" s="83" t="n"/>
      <c r="K1010" s="83" t="n"/>
      <c r="L1010" s="83" t="n"/>
      <c r="M1010" s="83" t="n"/>
      <c r="O1010" s="84" t="str">
        <f>IF($C1010="","",IFERROR(MATCH($B1010&amp;"|"&amp;$C1010,MUROS!$AX$11:$AX$70,0),0))</f>
        <v/>
      </c>
      <c r="P1010" s="84" t="str">
        <f>IF($D1010="","",IF(ISNUMBER(MATCH($D1010,CMB_S,0)),1,IF(ISNUMBER(MATCH($D1010,CMB_G,0)),2,0)))</f>
        <v/>
      </c>
      <c r="Q1010" s="84">
        <f>IF(ISNUMBER($H1010),-$H1010,0)</f>
        <v>0</v>
      </c>
      <c r="R1010" s="84">
        <f>IF(ISNUMBER($I1010),ABS($I1010),0)</f>
        <v>0</v>
      </c>
      <c r="S1010" s="84">
        <f>IF(ISNUMBER($M1010),ABS($M1010),0)</f>
        <v>0</v>
      </c>
      <c r="T1010" s="85" t="n">
        <v>1002</v>
      </c>
    </row>
    <row r="1011">
      <c r="B1011" s="83" t="n"/>
      <c r="C1011" s="83" t="n"/>
      <c r="D1011" s="83" t="n"/>
      <c r="E1011" s="83" t="n"/>
      <c r="F1011" s="83" t="n"/>
      <c r="G1011" s="83" t="n"/>
      <c r="H1011" s="83" t="n"/>
      <c r="I1011" s="83" t="n"/>
      <c r="J1011" s="83" t="n"/>
      <c r="K1011" s="83" t="n"/>
      <c r="L1011" s="83" t="n"/>
      <c r="M1011" s="83" t="n"/>
      <c r="O1011" s="84" t="str">
        <f>IF($C1011="","",IFERROR(MATCH($B1011&amp;"|"&amp;$C1011,MUROS!$AX$11:$AX$70,0),0))</f>
        <v/>
      </c>
      <c r="P1011" s="84" t="str">
        <f>IF($D1011="","",IF(ISNUMBER(MATCH($D1011,CMB_S,0)),1,IF(ISNUMBER(MATCH($D1011,CMB_G,0)),2,0)))</f>
        <v/>
      </c>
      <c r="Q1011" s="84">
        <f>IF(ISNUMBER($H1011),-$H1011,0)</f>
        <v>0</v>
      </c>
      <c r="R1011" s="84">
        <f>IF(ISNUMBER($I1011),ABS($I1011),0)</f>
        <v>0</v>
      </c>
      <c r="S1011" s="84">
        <f>IF(ISNUMBER($M1011),ABS($M1011),0)</f>
        <v>0</v>
      </c>
      <c r="T1011" s="85" t="n">
        <v>1003</v>
      </c>
    </row>
    <row r="1012">
      <c r="B1012" s="83" t="n"/>
      <c r="C1012" s="83" t="n"/>
      <c r="D1012" s="83" t="n"/>
      <c r="E1012" s="83" t="n"/>
      <c r="F1012" s="83" t="n"/>
      <c r="G1012" s="83" t="n"/>
      <c r="H1012" s="83" t="n"/>
      <c r="I1012" s="83" t="n"/>
      <c r="J1012" s="83" t="n"/>
      <c r="K1012" s="83" t="n"/>
      <c r="L1012" s="83" t="n"/>
      <c r="M1012" s="83" t="n"/>
      <c r="O1012" s="84" t="str">
        <f>IF($C1012="","",IFERROR(MATCH($B1012&amp;"|"&amp;$C1012,MUROS!$AX$11:$AX$70,0),0))</f>
        <v/>
      </c>
      <c r="P1012" s="84" t="str">
        <f>IF($D1012="","",IF(ISNUMBER(MATCH($D1012,CMB_S,0)),1,IF(ISNUMBER(MATCH($D1012,CMB_G,0)),2,0)))</f>
        <v/>
      </c>
      <c r="Q1012" s="84">
        <f>IF(ISNUMBER($H1012),-$H1012,0)</f>
        <v>0</v>
      </c>
      <c r="R1012" s="84">
        <f>IF(ISNUMBER($I1012),ABS($I1012),0)</f>
        <v>0</v>
      </c>
      <c r="S1012" s="84">
        <f>IF(ISNUMBER($M1012),ABS($M1012),0)</f>
        <v>0</v>
      </c>
      <c r="T1012" s="85" t="n">
        <v>1004</v>
      </c>
    </row>
    <row r="1013">
      <c r="B1013" s="83" t="n"/>
      <c r="C1013" s="83" t="n"/>
      <c r="D1013" s="83" t="n"/>
      <c r="E1013" s="83" t="n"/>
      <c r="F1013" s="83" t="n"/>
      <c r="G1013" s="83" t="n"/>
      <c r="H1013" s="83" t="n"/>
      <c r="I1013" s="83" t="n"/>
      <c r="J1013" s="83" t="n"/>
      <c r="K1013" s="83" t="n"/>
      <c r="L1013" s="83" t="n"/>
      <c r="M1013" s="83" t="n"/>
      <c r="O1013" s="84" t="str">
        <f>IF($C1013="","",IFERROR(MATCH($B1013&amp;"|"&amp;$C1013,MUROS!$AX$11:$AX$70,0),0))</f>
        <v/>
      </c>
      <c r="P1013" s="84" t="str">
        <f>IF($D1013="","",IF(ISNUMBER(MATCH($D1013,CMB_S,0)),1,IF(ISNUMBER(MATCH($D1013,CMB_G,0)),2,0)))</f>
        <v/>
      </c>
      <c r="Q1013" s="84">
        <f>IF(ISNUMBER($H1013),-$H1013,0)</f>
        <v>0</v>
      </c>
      <c r="R1013" s="84">
        <f>IF(ISNUMBER($I1013),ABS($I1013),0)</f>
        <v>0</v>
      </c>
      <c r="S1013" s="84">
        <f>IF(ISNUMBER($M1013),ABS($M1013),0)</f>
        <v>0</v>
      </c>
      <c r="T1013" s="85" t="n">
        <v>1005</v>
      </c>
    </row>
    <row r="1014">
      <c r="B1014" s="83" t="n"/>
      <c r="C1014" s="83" t="n"/>
      <c r="D1014" s="83" t="n"/>
      <c r="E1014" s="83" t="n"/>
      <c r="F1014" s="83" t="n"/>
      <c r="G1014" s="83" t="n"/>
      <c r="H1014" s="83" t="n"/>
      <c r="I1014" s="83" t="n"/>
      <c r="J1014" s="83" t="n"/>
      <c r="K1014" s="83" t="n"/>
      <c r="L1014" s="83" t="n"/>
      <c r="M1014" s="83" t="n"/>
      <c r="O1014" s="84" t="str">
        <f>IF($C1014="","",IFERROR(MATCH($B1014&amp;"|"&amp;$C1014,MUROS!$AX$11:$AX$70,0),0))</f>
        <v/>
      </c>
      <c r="P1014" s="84" t="str">
        <f>IF($D1014="","",IF(ISNUMBER(MATCH($D1014,CMB_S,0)),1,IF(ISNUMBER(MATCH($D1014,CMB_G,0)),2,0)))</f>
        <v/>
      </c>
      <c r="Q1014" s="84">
        <f>IF(ISNUMBER($H1014),-$H1014,0)</f>
        <v>0</v>
      </c>
      <c r="R1014" s="84">
        <f>IF(ISNUMBER($I1014),ABS($I1014),0)</f>
        <v>0</v>
      </c>
      <c r="S1014" s="84">
        <f>IF(ISNUMBER($M1014),ABS($M1014),0)</f>
        <v>0</v>
      </c>
      <c r="T1014" s="85" t="n">
        <v>1006</v>
      </c>
    </row>
    <row r="1015">
      <c r="B1015" s="83" t="n"/>
      <c r="C1015" s="83" t="n"/>
      <c r="D1015" s="83" t="n"/>
      <c r="E1015" s="83" t="n"/>
      <c r="F1015" s="83" t="n"/>
      <c r="G1015" s="83" t="n"/>
      <c r="H1015" s="83" t="n"/>
      <c r="I1015" s="83" t="n"/>
      <c r="J1015" s="83" t="n"/>
      <c r="K1015" s="83" t="n"/>
      <c r="L1015" s="83" t="n"/>
      <c r="M1015" s="83" t="n"/>
      <c r="O1015" s="84" t="str">
        <f>IF($C1015="","",IFERROR(MATCH($B1015&amp;"|"&amp;$C1015,MUROS!$AX$11:$AX$70,0),0))</f>
        <v/>
      </c>
      <c r="P1015" s="84" t="str">
        <f>IF($D1015="","",IF(ISNUMBER(MATCH($D1015,CMB_S,0)),1,IF(ISNUMBER(MATCH($D1015,CMB_G,0)),2,0)))</f>
        <v/>
      </c>
      <c r="Q1015" s="84">
        <f>IF(ISNUMBER($H1015),-$H1015,0)</f>
        <v>0</v>
      </c>
      <c r="R1015" s="84">
        <f>IF(ISNUMBER($I1015),ABS($I1015),0)</f>
        <v>0</v>
      </c>
      <c r="S1015" s="84">
        <f>IF(ISNUMBER($M1015),ABS($M1015),0)</f>
        <v>0</v>
      </c>
      <c r="T1015" s="85" t="n">
        <v>1007</v>
      </c>
    </row>
    <row r="1016">
      <c r="B1016" s="83" t="n"/>
      <c r="C1016" s="83" t="n"/>
      <c r="D1016" s="83" t="n"/>
      <c r="E1016" s="83" t="n"/>
      <c r="F1016" s="83" t="n"/>
      <c r="G1016" s="83" t="n"/>
      <c r="H1016" s="83" t="n"/>
      <c r="I1016" s="83" t="n"/>
      <c r="J1016" s="83" t="n"/>
      <c r="K1016" s="83" t="n"/>
      <c r="L1016" s="83" t="n"/>
      <c r="M1016" s="83" t="n"/>
      <c r="O1016" s="84" t="str">
        <f>IF($C1016="","",IFERROR(MATCH($B1016&amp;"|"&amp;$C1016,MUROS!$AX$11:$AX$70,0),0))</f>
        <v/>
      </c>
      <c r="P1016" s="84" t="str">
        <f>IF($D1016="","",IF(ISNUMBER(MATCH($D1016,CMB_S,0)),1,IF(ISNUMBER(MATCH($D1016,CMB_G,0)),2,0)))</f>
        <v/>
      </c>
      <c r="Q1016" s="84">
        <f>IF(ISNUMBER($H1016),-$H1016,0)</f>
        <v>0</v>
      </c>
      <c r="R1016" s="84">
        <f>IF(ISNUMBER($I1016),ABS($I1016),0)</f>
        <v>0</v>
      </c>
      <c r="S1016" s="84">
        <f>IF(ISNUMBER($M1016),ABS($M1016),0)</f>
        <v>0</v>
      </c>
      <c r="T1016" s="85" t="n">
        <v>1008</v>
      </c>
    </row>
    <row r="1017">
      <c r="B1017" s="83" t="n"/>
      <c r="C1017" s="83" t="n"/>
      <c r="D1017" s="83" t="n"/>
      <c r="E1017" s="83" t="n"/>
      <c r="F1017" s="83" t="n"/>
      <c r="G1017" s="83" t="n"/>
      <c r="H1017" s="83" t="n"/>
      <c r="I1017" s="83" t="n"/>
      <c r="J1017" s="83" t="n"/>
      <c r="K1017" s="83" t="n"/>
      <c r="L1017" s="83" t="n"/>
      <c r="M1017" s="83" t="n"/>
      <c r="O1017" s="84" t="str">
        <f>IF($C1017="","",IFERROR(MATCH($B1017&amp;"|"&amp;$C1017,MUROS!$AX$11:$AX$70,0),0))</f>
        <v/>
      </c>
      <c r="P1017" s="84" t="str">
        <f>IF($D1017="","",IF(ISNUMBER(MATCH($D1017,CMB_S,0)),1,IF(ISNUMBER(MATCH($D1017,CMB_G,0)),2,0)))</f>
        <v/>
      </c>
      <c r="Q1017" s="84">
        <f>IF(ISNUMBER($H1017),-$H1017,0)</f>
        <v>0</v>
      </c>
      <c r="R1017" s="84">
        <f>IF(ISNUMBER($I1017),ABS($I1017),0)</f>
        <v>0</v>
      </c>
      <c r="S1017" s="84">
        <f>IF(ISNUMBER($M1017),ABS($M1017),0)</f>
        <v>0</v>
      </c>
      <c r="T1017" s="85" t="n">
        <v>1009</v>
      </c>
    </row>
    <row r="1018">
      <c r="B1018" s="83" t="n"/>
      <c r="C1018" s="83" t="n"/>
      <c r="D1018" s="83" t="n"/>
      <c r="E1018" s="83" t="n"/>
      <c r="F1018" s="83" t="n"/>
      <c r="G1018" s="83" t="n"/>
      <c r="H1018" s="83" t="n"/>
      <c r="I1018" s="83" t="n"/>
      <c r="J1018" s="83" t="n"/>
      <c r="K1018" s="83" t="n"/>
      <c r="L1018" s="83" t="n"/>
      <c r="M1018" s="83" t="n"/>
      <c r="O1018" s="84" t="str">
        <f>IF($C1018="","",IFERROR(MATCH($B1018&amp;"|"&amp;$C1018,MUROS!$AX$11:$AX$70,0),0))</f>
        <v/>
      </c>
      <c r="P1018" s="84" t="str">
        <f>IF($D1018="","",IF(ISNUMBER(MATCH($D1018,CMB_S,0)),1,IF(ISNUMBER(MATCH($D1018,CMB_G,0)),2,0)))</f>
        <v/>
      </c>
      <c r="Q1018" s="84">
        <f>IF(ISNUMBER($H1018),-$H1018,0)</f>
        <v>0</v>
      </c>
      <c r="R1018" s="84">
        <f>IF(ISNUMBER($I1018),ABS($I1018),0)</f>
        <v>0</v>
      </c>
      <c r="S1018" s="84">
        <f>IF(ISNUMBER($M1018),ABS($M1018),0)</f>
        <v>0</v>
      </c>
      <c r="T1018" s="85" t="n">
        <v>1010</v>
      </c>
    </row>
    <row r="1019">
      <c r="B1019" s="83" t="n"/>
      <c r="C1019" s="83" t="n"/>
      <c r="D1019" s="83" t="n"/>
      <c r="E1019" s="83" t="n"/>
      <c r="F1019" s="83" t="n"/>
      <c r="G1019" s="83" t="n"/>
      <c r="H1019" s="83" t="n"/>
      <c r="I1019" s="83" t="n"/>
      <c r="J1019" s="83" t="n"/>
      <c r="K1019" s="83" t="n"/>
      <c r="L1019" s="83" t="n"/>
      <c r="M1019" s="83" t="n"/>
      <c r="O1019" s="84" t="str">
        <f>IF($C1019="","",IFERROR(MATCH($B1019&amp;"|"&amp;$C1019,MUROS!$AX$11:$AX$70,0),0))</f>
        <v/>
      </c>
      <c r="P1019" s="84" t="str">
        <f>IF($D1019="","",IF(ISNUMBER(MATCH($D1019,CMB_S,0)),1,IF(ISNUMBER(MATCH($D1019,CMB_G,0)),2,0)))</f>
        <v/>
      </c>
      <c r="Q1019" s="84">
        <f>IF(ISNUMBER($H1019),-$H1019,0)</f>
        <v>0</v>
      </c>
      <c r="R1019" s="84">
        <f>IF(ISNUMBER($I1019),ABS($I1019),0)</f>
        <v>0</v>
      </c>
      <c r="S1019" s="84">
        <f>IF(ISNUMBER($M1019),ABS($M1019),0)</f>
        <v>0</v>
      </c>
      <c r="T1019" s="85" t="n">
        <v>1011</v>
      </c>
    </row>
    <row r="1020">
      <c r="B1020" s="83" t="n"/>
      <c r="C1020" s="83" t="n"/>
      <c r="D1020" s="83" t="n"/>
      <c r="E1020" s="83" t="n"/>
      <c r="F1020" s="83" t="n"/>
      <c r="G1020" s="83" t="n"/>
      <c r="H1020" s="83" t="n"/>
      <c r="I1020" s="83" t="n"/>
      <c r="J1020" s="83" t="n"/>
      <c r="K1020" s="83" t="n"/>
      <c r="L1020" s="83" t="n"/>
      <c r="M1020" s="83" t="n"/>
      <c r="O1020" s="84" t="str">
        <f>IF($C1020="","",IFERROR(MATCH($B1020&amp;"|"&amp;$C1020,MUROS!$AX$11:$AX$70,0),0))</f>
        <v/>
      </c>
      <c r="P1020" s="84" t="str">
        <f>IF($D1020="","",IF(ISNUMBER(MATCH($D1020,CMB_S,0)),1,IF(ISNUMBER(MATCH($D1020,CMB_G,0)),2,0)))</f>
        <v/>
      </c>
      <c r="Q1020" s="84">
        <f>IF(ISNUMBER($H1020),-$H1020,0)</f>
        <v>0</v>
      </c>
      <c r="R1020" s="84">
        <f>IF(ISNUMBER($I1020),ABS($I1020),0)</f>
        <v>0</v>
      </c>
      <c r="S1020" s="84">
        <f>IF(ISNUMBER($M1020),ABS($M1020),0)</f>
        <v>0</v>
      </c>
      <c r="T1020" s="85" t="n">
        <v>1012</v>
      </c>
    </row>
    <row r="1021">
      <c r="B1021" s="83" t="n"/>
      <c r="C1021" s="83" t="n"/>
      <c r="D1021" s="83" t="n"/>
      <c r="E1021" s="83" t="n"/>
      <c r="F1021" s="83" t="n"/>
      <c r="G1021" s="83" t="n"/>
      <c r="H1021" s="83" t="n"/>
      <c r="I1021" s="83" t="n"/>
      <c r="J1021" s="83" t="n"/>
      <c r="K1021" s="83" t="n"/>
      <c r="L1021" s="83" t="n"/>
      <c r="M1021" s="83" t="n"/>
      <c r="O1021" s="84" t="str">
        <f>IF($C1021="","",IFERROR(MATCH($B1021&amp;"|"&amp;$C1021,MUROS!$AX$11:$AX$70,0),0))</f>
        <v/>
      </c>
      <c r="P1021" s="84" t="str">
        <f>IF($D1021="","",IF(ISNUMBER(MATCH($D1021,CMB_S,0)),1,IF(ISNUMBER(MATCH($D1021,CMB_G,0)),2,0)))</f>
        <v/>
      </c>
      <c r="Q1021" s="84">
        <f>IF(ISNUMBER($H1021),-$H1021,0)</f>
        <v>0</v>
      </c>
      <c r="R1021" s="84">
        <f>IF(ISNUMBER($I1021),ABS($I1021),0)</f>
        <v>0</v>
      </c>
      <c r="S1021" s="84">
        <f>IF(ISNUMBER($M1021),ABS($M1021),0)</f>
        <v>0</v>
      </c>
      <c r="T1021" s="85" t="n">
        <v>1013</v>
      </c>
    </row>
    <row r="1022">
      <c r="B1022" s="83" t="n"/>
      <c r="C1022" s="83" t="n"/>
      <c r="D1022" s="83" t="n"/>
      <c r="E1022" s="83" t="n"/>
      <c r="F1022" s="83" t="n"/>
      <c r="G1022" s="83" t="n"/>
      <c r="H1022" s="83" t="n"/>
      <c r="I1022" s="83" t="n"/>
      <c r="J1022" s="83" t="n"/>
      <c r="K1022" s="83" t="n"/>
      <c r="L1022" s="83" t="n"/>
      <c r="M1022" s="83" t="n"/>
      <c r="O1022" s="84" t="str">
        <f>IF($C1022="","",IFERROR(MATCH($B1022&amp;"|"&amp;$C1022,MUROS!$AX$11:$AX$70,0),0))</f>
        <v/>
      </c>
      <c r="P1022" s="84" t="str">
        <f>IF($D1022="","",IF(ISNUMBER(MATCH($D1022,CMB_S,0)),1,IF(ISNUMBER(MATCH($D1022,CMB_G,0)),2,0)))</f>
        <v/>
      </c>
      <c r="Q1022" s="84">
        <f>IF(ISNUMBER($H1022),-$H1022,0)</f>
        <v>0</v>
      </c>
      <c r="R1022" s="84">
        <f>IF(ISNUMBER($I1022),ABS($I1022),0)</f>
        <v>0</v>
      </c>
      <c r="S1022" s="84">
        <f>IF(ISNUMBER($M1022),ABS($M1022),0)</f>
        <v>0</v>
      </c>
      <c r="T1022" s="85" t="n">
        <v>1014</v>
      </c>
    </row>
    <row r="1023">
      <c r="B1023" s="83" t="n"/>
      <c r="C1023" s="83" t="n"/>
      <c r="D1023" s="83" t="n"/>
      <c r="E1023" s="83" t="n"/>
      <c r="F1023" s="83" t="n"/>
      <c r="G1023" s="83" t="n"/>
      <c r="H1023" s="83" t="n"/>
      <c r="I1023" s="83" t="n"/>
      <c r="J1023" s="83" t="n"/>
      <c r="K1023" s="83" t="n"/>
      <c r="L1023" s="83" t="n"/>
      <c r="M1023" s="83" t="n"/>
      <c r="O1023" s="84" t="str">
        <f>IF($C1023="","",IFERROR(MATCH($B1023&amp;"|"&amp;$C1023,MUROS!$AX$11:$AX$70,0),0))</f>
        <v/>
      </c>
      <c r="P1023" s="84" t="str">
        <f>IF($D1023="","",IF(ISNUMBER(MATCH($D1023,CMB_S,0)),1,IF(ISNUMBER(MATCH($D1023,CMB_G,0)),2,0)))</f>
        <v/>
      </c>
      <c r="Q1023" s="84">
        <f>IF(ISNUMBER($H1023),-$H1023,0)</f>
        <v>0</v>
      </c>
      <c r="R1023" s="84">
        <f>IF(ISNUMBER($I1023),ABS($I1023),0)</f>
        <v>0</v>
      </c>
      <c r="S1023" s="84">
        <f>IF(ISNUMBER($M1023),ABS($M1023),0)</f>
        <v>0</v>
      </c>
      <c r="T1023" s="85" t="n">
        <v>1015</v>
      </c>
    </row>
    <row r="1024">
      <c r="B1024" s="83" t="n"/>
      <c r="C1024" s="83" t="n"/>
      <c r="D1024" s="83" t="n"/>
      <c r="E1024" s="83" t="n"/>
      <c r="F1024" s="83" t="n"/>
      <c r="G1024" s="83" t="n"/>
      <c r="H1024" s="83" t="n"/>
      <c r="I1024" s="83" t="n"/>
      <c r="J1024" s="83" t="n"/>
      <c r="K1024" s="83" t="n"/>
      <c r="L1024" s="83" t="n"/>
      <c r="M1024" s="83" t="n"/>
      <c r="O1024" s="84" t="str">
        <f>IF($C1024="","",IFERROR(MATCH($B1024&amp;"|"&amp;$C1024,MUROS!$AX$11:$AX$70,0),0))</f>
        <v/>
      </c>
      <c r="P1024" s="84" t="str">
        <f>IF($D1024="","",IF(ISNUMBER(MATCH($D1024,CMB_S,0)),1,IF(ISNUMBER(MATCH($D1024,CMB_G,0)),2,0)))</f>
        <v/>
      </c>
      <c r="Q1024" s="84">
        <f>IF(ISNUMBER($H1024),-$H1024,0)</f>
        <v>0</v>
      </c>
      <c r="R1024" s="84">
        <f>IF(ISNUMBER($I1024),ABS($I1024),0)</f>
        <v>0</v>
      </c>
      <c r="S1024" s="84">
        <f>IF(ISNUMBER($M1024),ABS($M1024),0)</f>
        <v>0</v>
      </c>
      <c r="T1024" s="85" t="n">
        <v>1016</v>
      </c>
    </row>
    <row r="1025">
      <c r="B1025" s="83" t="n"/>
      <c r="C1025" s="83" t="n"/>
      <c r="D1025" s="83" t="n"/>
      <c r="E1025" s="83" t="n"/>
      <c r="F1025" s="83" t="n"/>
      <c r="G1025" s="83" t="n"/>
      <c r="H1025" s="83" t="n"/>
      <c r="I1025" s="83" t="n"/>
      <c r="J1025" s="83" t="n"/>
      <c r="K1025" s="83" t="n"/>
      <c r="L1025" s="83" t="n"/>
      <c r="M1025" s="83" t="n"/>
      <c r="O1025" s="84" t="str">
        <f>IF($C1025="","",IFERROR(MATCH($B1025&amp;"|"&amp;$C1025,MUROS!$AX$11:$AX$70,0),0))</f>
        <v/>
      </c>
      <c r="P1025" s="84" t="str">
        <f>IF($D1025="","",IF(ISNUMBER(MATCH($D1025,CMB_S,0)),1,IF(ISNUMBER(MATCH($D1025,CMB_G,0)),2,0)))</f>
        <v/>
      </c>
      <c r="Q1025" s="84">
        <f>IF(ISNUMBER($H1025),-$H1025,0)</f>
        <v>0</v>
      </c>
      <c r="R1025" s="84">
        <f>IF(ISNUMBER($I1025),ABS($I1025),0)</f>
        <v>0</v>
      </c>
      <c r="S1025" s="84">
        <f>IF(ISNUMBER($M1025),ABS($M1025),0)</f>
        <v>0</v>
      </c>
      <c r="T1025" s="85" t="n">
        <v>1017</v>
      </c>
    </row>
    <row r="1026">
      <c r="B1026" s="83" t="n"/>
      <c r="C1026" s="83" t="n"/>
      <c r="D1026" s="83" t="n"/>
      <c r="E1026" s="83" t="n"/>
      <c r="F1026" s="83" t="n"/>
      <c r="G1026" s="83" t="n"/>
      <c r="H1026" s="83" t="n"/>
      <c r="I1026" s="83" t="n"/>
      <c r="J1026" s="83" t="n"/>
      <c r="K1026" s="83" t="n"/>
      <c r="L1026" s="83" t="n"/>
      <c r="M1026" s="83" t="n"/>
      <c r="O1026" s="84" t="str">
        <f>IF($C1026="","",IFERROR(MATCH($B1026&amp;"|"&amp;$C1026,MUROS!$AX$11:$AX$70,0),0))</f>
        <v/>
      </c>
      <c r="P1026" s="84" t="str">
        <f>IF($D1026="","",IF(ISNUMBER(MATCH($D1026,CMB_S,0)),1,IF(ISNUMBER(MATCH($D1026,CMB_G,0)),2,0)))</f>
        <v/>
      </c>
      <c r="Q1026" s="84">
        <f>IF(ISNUMBER($H1026),-$H1026,0)</f>
        <v>0</v>
      </c>
      <c r="R1026" s="84">
        <f>IF(ISNUMBER($I1026),ABS($I1026),0)</f>
        <v>0</v>
      </c>
      <c r="S1026" s="84">
        <f>IF(ISNUMBER($M1026),ABS($M1026),0)</f>
        <v>0</v>
      </c>
      <c r="T1026" s="85" t="n">
        <v>1018</v>
      </c>
    </row>
    <row r="1027">
      <c r="B1027" s="83" t="n"/>
      <c r="C1027" s="83" t="n"/>
      <c r="D1027" s="83" t="n"/>
      <c r="E1027" s="83" t="n"/>
      <c r="F1027" s="83" t="n"/>
      <c r="G1027" s="83" t="n"/>
      <c r="H1027" s="83" t="n"/>
      <c r="I1027" s="83" t="n"/>
      <c r="J1027" s="83" t="n"/>
      <c r="K1027" s="83" t="n"/>
      <c r="L1027" s="83" t="n"/>
      <c r="M1027" s="83" t="n"/>
      <c r="O1027" s="84" t="str">
        <f>IF($C1027="","",IFERROR(MATCH($B1027&amp;"|"&amp;$C1027,MUROS!$AX$11:$AX$70,0),0))</f>
        <v/>
      </c>
      <c r="P1027" s="84" t="str">
        <f>IF($D1027="","",IF(ISNUMBER(MATCH($D1027,CMB_S,0)),1,IF(ISNUMBER(MATCH($D1027,CMB_G,0)),2,0)))</f>
        <v/>
      </c>
      <c r="Q1027" s="84">
        <f>IF(ISNUMBER($H1027),-$H1027,0)</f>
        <v>0</v>
      </c>
      <c r="R1027" s="84">
        <f>IF(ISNUMBER($I1027),ABS($I1027),0)</f>
        <v>0</v>
      </c>
      <c r="S1027" s="84">
        <f>IF(ISNUMBER($M1027),ABS($M1027),0)</f>
        <v>0</v>
      </c>
      <c r="T1027" s="85" t="n">
        <v>1019</v>
      </c>
    </row>
    <row r="1028">
      <c r="B1028" s="83" t="n"/>
      <c r="C1028" s="83" t="n"/>
      <c r="D1028" s="83" t="n"/>
      <c r="E1028" s="83" t="n"/>
      <c r="F1028" s="83" t="n"/>
      <c r="G1028" s="83" t="n"/>
      <c r="H1028" s="83" t="n"/>
      <c r="I1028" s="83" t="n"/>
      <c r="J1028" s="83" t="n"/>
      <c r="K1028" s="83" t="n"/>
      <c r="L1028" s="83" t="n"/>
      <c r="M1028" s="83" t="n"/>
      <c r="O1028" s="84" t="str">
        <f>IF($C1028="","",IFERROR(MATCH($B1028&amp;"|"&amp;$C1028,MUROS!$AX$11:$AX$70,0),0))</f>
        <v/>
      </c>
      <c r="P1028" s="84" t="str">
        <f>IF($D1028="","",IF(ISNUMBER(MATCH($D1028,CMB_S,0)),1,IF(ISNUMBER(MATCH($D1028,CMB_G,0)),2,0)))</f>
        <v/>
      </c>
      <c r="Q1028" s="84">
        <f>IF(ISNUMBER($H1028),-$H1028,0)</f>
        <v>0</v>
      </c>
      <c r="R1028" s="84">
        <f>IF(ISNUMBER($I1028),ABS($I1028),0)</f>
        <v>0</v>
      </c>
      <c r="S1028" s="84">
        <f>IF(ISNUMBER($M1028),ABS($M1028),0)</f>
        <v>0</v>
      </c>
      <c r="T1028" s="85" t="n">
        <v>1020</v>
      </c>
    </row>
    <row r="1029">
      <c r="B1029" s="83" t="n"/>
      <c r="C1029" s="83" t="n"/>
      <c r="D1029" s="83" t="n"/>
      <c r="E1029" s="83" t="n"/>
      <c r="F1029" s="83" t="n"/>
      <c r="G1029" s="83" t="n"/>
      <c r="H1029" s="83" t="n"/>
      <c r="I1029" s="83" t="n"/>
      <c r="J1029" s="83" t="n"/>
      <c r="K1029" s="83" t="n"/>
      <c r="L1029" s="83" t="n"/>
      <c r="M1029" s="83" t="n"/>
      <c r="O1029" s="84" t="str">
        <f>IF($C1029="","",IFERROR(MATCH($B1029&amp;"|"&amp;$C1029,MUROS!$AX$11:$AX$70,0),0))</f>
        <v/>
      </c>
      <c r="P1029" s="84" t="str">
        <f>IF($D1029="","",IF(ISNUMBER(MATCH($D1029,CMB_S,0)),1,IF(ISNUMBER(MATCH($D1029,CMB_G,0)),2,0)))</f>
        <v/>
      </c>
      <c r="Q1029" s="84">
        <f>IF(ISNUMBER($H1029),-$H1029,0)</f>
        <v>0</v>
      </c>
      <c r="R1029" s="84">
        <f>IF(ISNUMBER($I1029),ABS($I1029),0)</f>
        <v>0</v>
      </c>
      <c r="S1029" s="84">
        <f>IF(ISNUMBER($M1029),ABS($M1029),0)</f>
        <v>0</v>
      </c>
      <c r="T1029" s="85" t="n">
        <v>1021</v>
      </c>
    </row>
    <row r="1030">
      <c r="B1030" s="83" t="n"/>
      <c r="C1030" s="83" t="n"/>
      <c r="D1030" s="83" t="n"/>
      <c r="E1030" s="83" t="n"/>
      <c r="F1030" s="83" t="n"/>
      <c r="G1030" s="83" t="n"/>
      <c r="H1030" s="83" t="n"/>
      <c r="I1030" s="83" t="n"/>
      <c r="J1030" s="83" t="n"/>
      <c r="K1030" s="83" t="n"/>
      <c r="L1030" s="83" t="n"/>
      <c r="M1030" s="83" t="n"/>
      <c r="O1030" s="84" t="str">
        <f>IF($C1030="","",IFERROR(MATCH($B1030&amp;"|"&amp;$C1030,MUROS!$AX$11:$AX$70,0),0))</f>
        <v/>
      </c>
      <c r="P1030" s="84" t="str">
        <f>IF($D1030="","",IF(ISNUMBER(MATCH($D1030,CMB_S,0)),1,IF(ISNUMBER(MATCH($D1030,CMB_G,0)),2,0)))</f>
        <v/>
      </c>
      <c r="Q1030" s="84">
        <f>IF(ISNUMBER($H1030),-$H1030,0)</f>
        <v>0</v>
      </c>
      <c r="R1030" s="84">
        <f>IF(ISNUMBER($I1030),ABS($I1030),0)</f>
        <v>0</v>
      </c>
      <c r="S1030" s="84">
        <f>IF(ISNUMBER($M1030),ABS($M1030),0)</f>
        <v>0</v>
      </c>
      <c r="T1030" s="85" t="n">
        <v>1022</v>
      </c>
    </row>
    <row r="1031">
      <c r="B1031" s="83" t="n"/>
      <c r="C1031" s="83" t="n"/>
      <c r="D1031" s="83" t="n"/>
      <c r="E1031" s="83" t="n"/>
      <c r="F1031" s="83" t="n"/>
      <c r="G1031" s="83" t="n"/>
      <c r="H1031" s="83" t="n"/>
      <c r="I1031" s="83" t="n"/>
      <c r="J1031" s="83" t="n"/>
      <c r="K1031" s="83" t="n"/>
      <c r="L1031" s="83" t="n"/>
      <c r="M1031" s="83" t="n"/>
      <c r="O1031" s="84" t="str">
        <f>IF($C1031="","",IFERROR(MATCH($B1031&amp;"|"&amp;$C1031,MUROS!$AX$11:$AX$70,0),0))</f>
        <v/>
      </c>
      <c r="P1031" s="84" t="str">
        <f>IF($D1031="","",IF(ISNUMBER(MATCH($D1031,CMB_S,0)),1,IF(ISNUMBER(MATCH($D1031,CMB_G,0)),2,0)))</f>
        <v/>
      </c>
      <c r="Q1031" s="84">
        <f>IF(ISNUMBER($H1031),-$H1031,0)</f>
        <v>0</v>
      </c>
      <c r="R1031" s="84">
        <f>IF(ISNUMBER($I1031),ABS($I1031),0)</f>
        <v>0</v>
      </c>
      <c r="S1031" s="84">
        <f>IF(ISNUMBER($M1031),ABS($M1031),0)</f>
        <v>0</v>
      </c>
      <c r="T1031" s="85" t="n">
        <v>1023</v>
      </c>
    </row>
    <row r="1032">
      <c r="B1032" s="83" t="n"/>
      <c r="C1032" s="83" t="n"/>
      <c r="D1032" s="83" t="n"/>
      <c r="E1032" s="83" t="n"/>
      <c r="F1032" s="83" t="n"/>
      <c r="G1032" s="83" t="n"/>
      <c r="H1032" s="83" t="n"/>
      <c r="I1032" s="83" t="n"/>
      <c r="J1032" s="83" t="n"/>
      <c r="K1032" s="83" t="n"/>
      <c r="L1032" s="83" t="n"/>
      <c r="M1032" s="83" t="n"/>
      <c r="O1032" s="84" t="str">
        <f>IF($C1032="","",IFERROR(MATCH($B1032&amp;"|"&amp;$C1032,MUROS!$AX$11:$AX$70,0),0))</f>
        <v/>
      </c>
      <c r="P1032" s="84" t="str">
        <f>IF($D1032="","",IF(ISNUMBER(MATCH($D1032,CMB_S,0)),1,IF(ISNUMBER(MATCH($D1032,CMB_G,0)),2,0)))</f>
        <v/>
      </c>
      <c r="Q1032" s="84">
        <f>IF(ISNUMBER($H1032),-$H1032,0)</f>
        <v>0</v>
      </c>
      <c r="R1032" s="84">
        <f>IF(ISNUMBER($I1032),ABS($I1032),0)</f>
        <v>0</v>
      </c>
      <c r="S1032" s="84">
        <f>IF(ISNUMBER($M1032),ABS($M1032),0)</f>
        <v>0</v>
      </c>
      <c r="T1032" s="85" t="n">
        <v>1024</v>
      </c>
    </row>
    <row r="1033">
      <c r="B1033" s="83" t="n"/>
      <c r="C1033" s="83" t="n"/>
      <c r="D1033" s="83" t="n"/>
      <c r="E1033" s="83" t="n"/>
      <c r="F1033" s="83" t="n"/>
      <c r="G1033" s="83" t="n"/>
      <c r="H1033" s="83" t="n"/>
      <c r="I1033" s="83" t="n"/>
      <c r="J1033" s="83" t="n"/>
      <c r="K1033" s="83" t="n"/>
      <c r="L1033" s="83" t="n"/>
      <c r="M1033" s="83" t="n"/>
      <c r="O1033" s="84" t="str">
        <f>IF($C1033="","",IFERROR(MATCH($B1033&amp;"|"&amp;$C1033,MUROS!$AX$11:$AX$70,0),0))</f>
        <v/>
      </c>
      <c r="P1033" s="84" t="str">
        <f>IF($D1033="","",IF(ISNUMBER(MATCH($D1033,CMB_S,0)),1,IF(ISNUMBER(MATCH($D1033,CMB_G,0)),2,0)))</f>
        <v/>
      </c>
      <c r="Q1033" s="84">
        <f>IF(ISNUMBER($H1033),-$H1033,0)</f>
        <v>0</v>
      </c>
      <c r="R1033" s="84">
        <f>IF(ISNUMBER($I1033),ABS($I1033),0)</f>
        <v>0</v>
      </c>
      <c r="S1033" s="84">
        <f>IF(ISNUMBER($M1033),ABS($M1033),0)</f>
        <v>0</v>
      </c>
      <c r="T1033" s="85" t="n">
        <v>1025</v>
      </c>
    </row>
    <row r="1034">
      <c r="B1034" s="83" t="n"/>
      <c r="C1034" s="83" t="n"/>
      <c r="D1034" s="83" t="n"/>
      <c r="E1034" s="83" t="n"/>
      <c r="F1034" s="83" t="n"/>
      <c r="G1034" s="83" t="n"/>
      <c r="H1034" s="83" t="n"/>
      <c r="I1034" s="83" t="n"/>
      <c r="J1034" s="83" t="n"/>
      <c r="K1034" s="83" t="n"/>
      <c r="L1034" s="83" t="n"/>
      <c r="M1034" s="83" t="n"/>
      <c r="O1034" s="84" t="str">
        <f>IF($C1034="","",IFERROR(MATCH($B1034&amp;"|"&amp;$C1034,MUROS!$AX$11:$AX$70,0),0))</f>
        <v/>
      </c>
      <c r="P1034" s="84" t="str">
        <f>IF($D1034="","",IF(ISNUMBER(MATCH($D1034,CMB_S,0)),1,IF(ISNUMBER(MATCH($D1034,CMB_G,0)),2,0)))</f>
        <v/>
      </c>
      <c r="Q1034" s="84">
        <f>IF(ISNUMBER($H1034),-$H1034,0)</f>
        <v>0</v>
      </c>
      <c r="R1034" s="84">
        <f>IF(ISNUMBER($I1034),ABS($I1034),0)</f>
        <v>0</v>
      </c>
      <c r="S1034" s="84">
        <f>IF(ISNUMBER($M1034),ABS($M1034),0)</f>
        <v>0</v>
      </c>
      <c r="T1034" s="85" t="n">
        <v>1026</v>
      </c>
    </row>
    <row r="1035">
      <c r="B1035" s="83" t="n"/>
      <c r="C1035" s="83" t="n"/>
      <c r="D1035" s="83" t="n"/>
      <c r="E1035" s="83" t="n"/>
      <c r="F1035" s="83" t="n"/>
      <c r="G1035" s="83" t="n"/>
      <c r="H1035" s="83" t="n"/>
      <c r="I1035" s="83" t="n"/>
      <c r="J1035" s="83" t="n"/>
      <c r="K1035" s="83" t="n"/>
      <c r="L1035" s="83" t="n"/>
      <c r="M1035" s="83" t="n"/>
      <c r="O1035" s="84" t="str">
        <f>IF($C1035="","",IFERROR(MATCH($B1035&amp;"|"&amp;$C1035,MUROS!$AX$11:$AX$70,0),0))</f>
        <v/>
      </c>
      <c r="P1035" s="84" t="str">
        <f>IF($D1035="","",IF(ISNUMBER(MATCH($D1035,CMB_S,0)),1,IF(ISNUMBER(MATCH($D1035,CMB_G,0)),2,0)))</f>
        <v/>
      </c>
      <c r="Q1035" s="84">
        <f>IF(ISNUMBER($H1035),-$H1035,0)</f>
        <v>0</v>
      </c>
      <c r="R1035" s="84">
        <f>IF(ISNUMBER($I1035),ABS($I1035),0)</f>
        <v>0</v>
      </c>
      <c r="S1035" s="84">
        <f>IF(ISNUMBER($M1035),ABS($M1035),0)</f>
        <v>0</v>
      </c>
      <c r="T1035" s="85" t="n">
        <v>1027</v>
      </c>
    </row>
    <row r="1036">
      <c r="B1036" s="83" t="n"/>
      <c r="C1036" s="83" t="n"/>
      <c r="D1036" s="83" t="n"/>
      <c r="E1036" s="83" t="n"/>
      <c r="F1036" s="83" t="n"/>
      <c r="G1036" s="83" t="n"/>
      <c r="H1036" s="83" t="n"/>
      <c r="I1036" s="83" t="n"/>
      <c r="J1036" s="83" t="n"/>
      <c r="K1036" s="83" t="n"/>
      <c r="L1036" s="83" t="n"/>
      <c r="M1036" s="83" t="n"/>
      <c r="O1036" s="84" t="str">
        <f>IF($C1036="","",IFERROR(MATCH($B1036&amp;"|"&amp;$C1036,MUROS!$AX$11:$AX$70,0),0))</f>
        <v/>
      </c>
      <c r="P1036" s="84" t="str">
        <f>IF($D1036="","",IF(ISNUMBER(MATCH($D1036,CMB_S,0)),1,IF(ISNUMBER(MATCH($D1036,CMB_G,0)),2,0)))</f>
        <v/>
      </c>
      <c r="Q1036" s="84">
        <f>IF(ISNUMBER($H1036),-$H1036,0)</f>
        <v>0</v>
      </c>
      <c r="R1036" s="84">
        <f>IF(ISNUMBER($I1036),ABS($I1036),0)</f>
        <v>0</v>
      </c>
      <c r="S1036" s="84">
        <f>IF(ISNUMBER($M1036),ABS($M1036),0)</f>
        <v>0</v>
      </c>
      <c r="T1036" s="85" t="n">
        <v>1028</v>
      </c>
    </row>
    <row r="1037">
      <c r="B1037" s="83" t="n"/>
      <c r="C1037" s="83" t="n"/>
      <c r="D1037" s="83" t="n"/>
      <c r="E1037" s="83" t="n"/>
      <c r="F1037" s="83" t="n"/>
      <c r="G1037" s="83" t="n"/>
      <c r="H1037" s="83" t="n"/>
      <c r="I1037" s="83" t="n"/>
      <c r="J1037" s="83" t="n"/>
      <c r="K1037" s="83" t="n"/>
      <c r="L1037" s="83" t="n"/>
      <c r="M1037" s="83" t="n"/>
      <c r="O1037" s="84" t="str">
        <f>IF($C1037="","",IFERROR(MATCH($B1037&amp;"|"&amp;$C1037,MUROS!$AX$11:$AX$70,0),0))</f>
        <v/>
      </c>
      <c r="P1037" s="84" t="str">
        <f>IF($D1037="","",IF(ISNUMBER(MATCH($D1037,CMB_S,0)),1,IF(ISNUMBER(MATCH($D1037,CMB_G,0)),2,0)))</f>
        <v/>
      </c>
      <c r="Q1037" s="84">
        <f>IF(ISNUMBER($H1037),-$H1037,0)</f>
        <v>0</v>
      </c>
      <c r="R1037" s="84">
        <f>IF(ISNUMBER($I1037),ABS($I1037),0)</f>
        <v>0</v>
      </c>
      <c r="S1037" s="84">
        <f>IF(ISNUMBER($M1037),ABS($M1037),0)</f>
        <v>0</v>
      </c>
      <c r="T1037" s="85" t="n">
        <v>1029</v>
      </c>
    </row>
    <row r="1038">
      <c r="B1038" s="83" t="n"/>
      <c r="C1038" s="83" t="n"/>
      <c r="D1038" s="83" t="n"/>
      <c r="E1038" s="83" t="n"/>
      <c r="F1038" s="83" t="n"/>
      <c r="G1038" s="83" t="n"/>
      <c r="H1038" s="83" t="n"/>
      <c r="I1038" s="83" t="n"/>
      <c r="J1038" s="83" t="n"/>
      <c r="K1038" s="83" t="n"/>
      <c r="L1038" s="83" t="n"/>
      <c r="M1038" s="83" t="n"/>
      <c r="O1038" s="84" t="str">
        <f>IF($C1038="","",IFERROR(MATCH($B1038&amp;"|"&amp;$C1038,MUROS!$AX$11:$AX$70,0),0))</f>
        <v/>
      </c>
      <c r="P1038" s="84" t="str">
        <f>IF($D1038="","",IF(ISNUMBER(MATCH($D1038,CMB_S,0)),1,IF(ISNUMBER(MATCH($D1038,CMB_G,0)),2,0)))</f>
        <v/>
      </c>
      <c r="Q1038" s="84">
        <f>IF(ISNUMBER($H1038),-$H1038,0)</f>
        <v>0</v>
      </c>
      <c r="R1038" s="84">
        <f>IF(ISNUMBER($I1038),ABS($I1038),0)</f>
        <v>0</v>
      </c>
      <c r="S1038" s="84">
        <f>IF(ISNUMBER($M1038),ABS($M1038),0)</f>
        <v>0</v>
      </c>
      <c r="T1038" s="85" t="n">
        <v>1030</v>
      </c>
    </row>
    <row r="1039">
      <c r="B1039" s="83" t="n"/>
      <c r="C1039" s="83" t="n"/>
      <c r="D1039" s="83" t="n"/>
      <c r="E1039" s="83" t="n"/>
      <c r="F1039" s="83" t="n"/>
      <c r="G1039" s="83" t="n"/>
      <c r="H1039" s="83" t="n"/>
      <c r="I1039" s="83" t="n"/>
      <c r="J1039" s="83" t="n"/>
      <c r="K1039" s="83" t="n"/>
      <c r="L1039" s="83" t="n"/>
      <c r="M1039" s="83" t="n"/>
      <c r="O1039" s="84" t="str">
        <f>IF($C1039="","",IFERROR(MATCH($B1039&amp;"|"&amp;$C1039,MUROS!$AX$11:$AX$70,0),0))</f>
        <v/>
      </c>
      <c r="P1039" s="84" t="str">
        <f>IF($D1039="","",IF(ISNUMBER(MATCH($D1039,CMB_S,0)),1,IF(ISNUMBER(MATCH($D1039,CMB_G,0)),2,0)))</f>
        <v/>
      </c>
      <c r="Q1039" s="84">
        <f>IF(ISNUMBER($H1039),-$H1039,0)</f>
        <v>0</v>
      </c>
      <c r="R1039" s="84">
        <f>IF(ISNUMBER($I1039),ABS($I1039),0)</f>
        <v>0</v>
      </c>
      <c r="S1039" s="84">
        <f>IF(ISNUMBER($M1039),ABS($M1039),0)</f>
        <v>0</v>
      </c>
      <c r="T1039" s="85" t="n">
        <v>1031</v>
      </c>
    </row>
    <row r="1040">
      <c r="B1040" s="83" t="n"/>
      <c r="C1040" s="83" t="n"/>
      <c r="D1040" s="83" t="n"/>
      <c r="E1040" s="83" t="n"/>
      <c r="F1040" s="83" t="n"/>
      <c r="G1040" s="83" t="n"/>
      <c r="H1040" s="83" t="n"/>
      <c r="I1040" s="83" t="n"/>
      <c r="J1040" s="83" t="n"/>
      <c r="K1040" s="83" t="n"/>
      <c r="L1040" s="83" t="n"/>
      <c r="M1040" s="83" t="n"/>
      <c r="O1040" s="84" t="str">
        <f>IF($C1040="","",IFERROR(MATCH($B1040&amp;"|"&amp;$C1040,MUROS!$AX$11:$AX$70,0),0))</f>
        <v/>
      </c>
      <c r="P1040" s="84" t="str">
        <f>IF($D1040="","",IF(ISNUMBER(MATCH($D1040,CMB_S,0)),1,IF(ISNUMBER(MATCH($D1040,CMB_G,0)),2,0)))</f>
        <v/>
      </c>
      <c r="Q1040" s="84">
        <f>IF(ISNUMBER($H1040),-$H1040,0)</f>
        <v>0</v>
      </c>
      <c r="R1040" s="84">
        <f>IF(ISNUMBER($I1040),ABS($I1040),0)</f>
        <v>0</v>
      </c>
      <c r="S1040" s="84">
        <f>IF(ISNUMBER($M1040),ABS($M1040),0)</f>
        <v>0</v>
      </c>
      <c r="T1040" s="85" t="n">
        <v>1032</v>
      </c>
    </row>
    <row r="1041">
      <c r="B1041" s="83" t="n"/>
      <c r="C1041" s="83" t="n"/>
      <c r="D1041" s="83" t="n"/>
      <c r="E1041" s="83" t="n"/>
      <c r="F1041" s="83" t="n"/>
      <c r="G1041" s="83" t="n"/>
      <c r="H1041" s="83" t="n"/>
      <c r="I1041" s="83" t="n"/>
      <c r="J1041" s="83" t="n"/>
      <c r="K1041" s="83" t="n"/>
      <c r="L1041" s="83" t="n"/>
      <c r="M1041" s="83" t="n"/>
      <c r="O1041" s="84" t="str">
        <f>IF($C1041="","",IFERROR(MATCH($B1041&amp;"|"&amp;$C1041,MUROS!$AX$11:$AX$70,0),0))</f>
        <v/>
      </c>
      <c r="P1041" s="84" t="str">
        <f>IF($D1041="","",IF(ISNUMBER(MATCH($D1041,CMB_S,0)),1,IF(ISNUMBER(MATCH($D1041,CMB_G,0)),2,0)))</f>
        <v/>
      </c>
      <c r="Q1041" s="84">
        <f>IF(ISNUMBER($H1041),-$H1041,0)</f>
        <v>0</v>
      </c>
      <c r="R1041" s="84">
        <f>IF(ISNUMBER($I1041),ABS($I1041),0)</f>
        <v>0</v>
      </c>
      <c r="S1041" s="84">
        <f>IF(ISNUMBER($M1041),ABS($M1041),0)</f>
        <v>0</v>
      </c>
      <c r="T1041" s="85" t="n">
        <v>1033</v>
      </c>
    </row>
    <row r="1042">
      <c r="B1042" s="83" t="n"/>
      <c r="C1042" s="83" t="n"/>
      <c r="D1042" s="83" t="n"/>
      <c r="E1042" s="83" t="n"/>
      <c r="F1042" s="83" t="n"/>
      <c r="G1042" s="83" t="n"/>
      <c r="H1042" s="83" t="n"/>
      <c r="I1042" s="83" t="n"/>
      <c r="J1042" s="83" t="n"/>
      <c r="K1042" s="83" t="n"/>
      <c r="L1042" s="83" t="n"/>
      <c r="M1042" s="83" t="n"/>
      <c r="O1042" s="84" t="str">
        <f>IF($C1042="","",IFERROR(MATCH($B1042&amp;"|"&amp;$C1042,MUROS!$AX$11:$AX$70,0),0))</f>
        <v/>
      </c>
      <c r="P1042" s="84" t="str">
        <f>IF($D1042="","",IF(ISNUMBER(MATCH($D1042,CMB_S,0)),1,IF(ISNUMBER(MATCH($D1042,CMB_G,0)),2,0)))</f>
        <v/>
      </c>
      <c r="Q1042" s="84">
        <f>IF(ISNUMBER($H1042),-$H1042,0)</f>
        <v>0</v>
      </c>
      <c r="R1042" s="84">
        <f>IF(ISNUMBER($I1042),ABS($I1042),0)</f>
        <v>0</v>
      </c>
      <c r="S1042" s="84">
        <f>IF(ISNUMBER($M1042),ABS($M1042),0)</f>
        <v>0</v>
      </c>
      <c r="T1042" s="85" t="n">
        <v>1034</v>
      </c>
    </row>
    <row r="1043">
      <c r="B1043" s="83" t="n"/>
      <c r="C1043" s="83" t="n"/>
      <c r="D1043" s="83" t="n"/>
      <c r="E1043" s="83" t="n"/>
      <c r="F1043" s="83" t="n"/>
      <c r="G1043" s="83" t="n"/>
      <c r="H1043" s="83" t="n"/>
      <c r="I1043" s="83" t="n"/>
      <c r="J1043" s="83" t="n"/>
      <c r="K1043" s="83" t="n"/>
      <c r="L1043" s="83" t="n"/>
      <c r="M1043" s="83" t="n"/>
      <c r="O1043" s="84" t="str">
        <f>IF($C1043="","",IFERROR(MATCH($B1043&amp;"|"&amp;$C1043,MUROS!$AX$11:$AX$70,0),0))</f>
        <v/>
      </c>
      <c r="P1043" s="84" t="str">
        <f>IF($D1043="","",IF(ISNUMBER(MATCH($D1043,CMB_S,0)),1,IF(ISNUMBER(MATCH($D1043,CMB_G,0)),2,0)))</f>
        <v/>
      </c>
      <c r="Q1043" s="84">
        <f>IF(ISNUMBER($H1043),-$H1043,0)</f>
        <v>0</v>
      </c>
      <c r="R1043" s="84">
        <f>IF(ISNUMBER($I1043),ABS($I1043),0)</f>
        <v>0</v>
      </c>
      <c r="S1043" s="84">
        <f>IF(ISNUMBER($M1043),ABS($M1043),0)</f>
        <v>0</v>
      </c>
      <c r="T1043" s="85" t="n">
        <v>1035</v>
      </c>
    </row>
    <row r="1044">
      <c r="B1044" s="83" t="n"/>
      <c r="C1044" s="83" t="n"/>
      <c r="D1044" s="83" t="n"/>
      <c r="E1044" s="83" t="n"/>
      <c r="F1044" s="83" t="n"/>
      <c r="G1044" s="83" t="n"/>
      <c r="H1044" s="83" t="n"/>
      <c r="I1044" s="83" t="n"/>
      <c r="J1044" s="83" t="n"/>
      <c r="K1044" s="83" t="n"/>
      <c r="L1044" s="83" t="n"/>
      <c r="M1044" s="83" t="n"/>
      <c r="O1044" s="84" t="str">
        <f>IF($C1044="","",IFERROR(MATCH($B1044&amp;"|"&amp;$C1044,MUROS!$AX$11:$AX$70,0),0))</f>
        <v/>
      </c>
      <c r="P1044" s="84" t="str">
        <f>IF($D1044="","",IF(ISNUMBER(MATCH($D1044,CMB_S,0)),1,IF(ISNUMBER(MATCH($D1044,CMB_G,0)),2,0)))</f>
        <v/>
      </c>
      <c r="Q1044" s="84">
        <f>IF(ISNUMBER($H1044),-$H1044,0)</f>
        <v>0</v>
      </c>
      <c r="R1044" s="84">
        <f>IF(ISNUMBER($I1044),ABS($I1044),0)</f>
        <v>0</v>
      </c>
      <c r="S1044" s="84">
        <f>IF(ISNUMBER($M1044),ABS($M1044),0)</f>
        <v>0</v>
      </c>
      <c r="T1044" s="85" t="n">
        <v>1036</v>
      </c>
    </row>
    <row r="1045">
      <c r="B1045" s="83" t="n"/>
      <c r="C1045" s="83" t="n"/>
      <c r="D1045" s="83" t="n"/>
      <c r="E1045" s="83" t="n"/>
      <c r="F1045" s="83" t="n"/>
      <c r="G1045" s="83" t="n"/>
      <c r="H1045" s="83" t="n"/>
      <c r="I1045" s="83" t="n"/>
      <c r="J1045" s="83" t="n"/>
      <c r="K1045" s="83" t="n"/>
      <c r="L1045" s="83" t="n"/>
      <c r="M1045" s="83" t="n"/>
      <c r="O1045" s="84" t="str">
        <f>IF($C1045="","",IFERROR(MATCH($B1045&amp;"|"&amp;$C1045,MUROS!$AX$11:$AX$70,0),0))</f>
        <v/>
      </c>
      <c r="P1045" s="84" t="str">
        <f>IF($D1045="","",IF(ISNUMBER(MATCH($D1045,CMB_S,0)),1,IF(ISNUMBER(MATCH($D1045,CMB_G,0)),2,0)))</f>
        <v/>
      </c>
      <c r="Q1045" s="84">
        <f>IF(ISNUMBER($H1045),-$H1045,0)</f>
        <v>0</v>
      </c>
      <c r="R1045" s="84">
        <f>IF(ISNUMBER($I1045),ABS($I1045),0)</f>
        <v>0</v>
      </c>
      <c r="S1045" s="84">
        <f>IF(ISNUMBER($M1045),ABS($M1045),0)</f>
        <v>0</v>
      </c>
      <c r="T1045" s="85" t="n">
        <v>1037</v>
      </c>
    </row>
    <row r="1046">
      <c r="B1046" s="83" t="n"/>
      <c r="C1046" s="83" t="n"/>
      <c r="D1046" s="83" t="n"/>
      <c r="E1046" s="83" t="n"/>
      <c r="F1046" s="83" t="n"/>
      <c r="G1046" s="83" t="n"/>
      <c r="H1046" s="83" t="n"/>
      <c r="I1046" s="83" t="n"/>
      <c r="J1046" s="83" t="n"/>
      <c r="K1046" s="83" t="n"/>
      <c r="L1046" s="83" t="n"/>
      <c r="M1046" s="83" t="n"/>
      <c r="O1046" s="84" t="str">
        <f>IF($C1046="","",IFERROR(MATCH($B1046&amp;"|"&amp;$C1046,MUROS!$AX$11:$AX$70,0),0))</f>
        <v/>
      </c>
      <c r="P1046" s="84" t="str">
        <f>IF($D1046="","",IF(ISNUMBER(MATCH($D1046,CMB_S,0)),1,IF(ISNUMBER(MATCH($D1046,CMB_G,0)),2,0)))</f>
        <v/>
      </c>
      <c r="Q1046" s="84">
        <f>IF(ISNUMBER($H1046),-$H1046,0)</f>
        <v>0</v>
      </c>
      <c r="R1046" s="84">
        <f>IF(ISNUMBER($I1046),ABS($I1046),0)</f>
        <v>0</v>
      </c>
      <c r="S1046" s="84">
        <f>IF(ISNUMBER($M1046),ABS($M1046),0)</f>
        <v>0</v>
      </c>
      <c r="T1046" s="85" t="n">
        <v>1038</v>
      </c>
    </row>
    <row r="1047">
      <c r="B1047" s="83" t="n"/>
      <c r="C1047" s="83" t="n"/>
      <c r="D1047" s="83" t="n"/>
      <c r="E1047" s="83" t="n"/>
      <c r="F1047" s="83" t="n"/>
      <c r="G1047" s="83" t="n"/>
      <c r="H1047" s="83" t="n"/>
      <c r="I1047" s="83" t="n"/>
      <c r="J1047" s="83" t="n"/>
      <c r="K1047" s="83" t="n"/>
      <c r="L1047" s="83" t="n"/>
      <c r="M1047" s="83" t="n"/>
      <c r="O1047" s="84" t="str">
        <f>IF($C1047="","",IFERROR(MATCH($B1047&amp;"|"&amp;$C1047,MUROS!$AX$11:$AX$70,0),0))</f>
        <v/>
      </c>
      <c r="P1047" s="84" t="str">
        <f>IF($D1047="","",IF(ISNUMBER(MATCH($D1047,CMB_S,0)),1,IF(ISNUMBER(MATCH($D1047,CMB_G,0)),2,0)))</f>
        <v/>
      </c>
      <c r="Q1047" s="84">
        <f>IF(ISNUMBER($H1047),-$H1047,0)</f>
        <v>0</v>
      </c>
      <c r="R1047" s="84">
        <f>IF(ISNUMBER($I1047),ABS($I1047),0)</f>
        <v>0</v>
      </c>
      <c r="S1047" s="84">
        <f>IF(ISNUMBER($M1047),ABS($M1047),0)</f>
        <v>0</v>
      </c>
      <c r="T1047" s="85" t="n">
        <v>1039</v>
      </c>
    </row>
    <row r="1048">
      <c r="B1048" s="83" t="n"/>
      <c r="C1048" s="83" t="n"/>
      <c r="D1048" s="83" t="n"/>
      <c r="E1048" s="83" t="n"/>
      <c r="F1048" s="83" t="n"/>
      <c r="G1048" s="83" t="n"/>
      <c r="H1048" s="83" t="n"/>
      <c r="I1048" s="83" t="n"/>
      <c r="J1048" s="83" t="n"/>
      <c r="K1048" s="83" t="n"/>
      <c r="L1048" s="83" t="n"/>
      <c r="M1048" s="83" t="n"/>
      <c r="O1048" s="84" t="str">
        <f>IF($C1048="","",IFERROR(MATCH($B1048&amp;"|"&amp;$C1048,MUROS!$AX$11:$AX$70,0),0))</f>
        <v/>
      </c>
      <c r="P1048" s="84" t="str">
        <f>IF($D1048="","",IF(ISNUMBER(MATCH($D1048,CMB_S,0)),1,IF(ISNUMBER(MATCH($D1048,CMB_G,0)),2,0)))</f>
        <v/>
      </c>
      <c r="Q1048" s="84">
        <f>IF(ISNUMBER($H1048),-$H1048,0)</f>
        <v>0</v>
      </c>
      <c r="R1048" s="84">
        <f>IF(ISNUMBER($I1048),ABS($I1048),0)</f>
        <v>0</v>
      </c>
      <c r="S1048" s="84">
        <f>IF(ISNUMBER($M1048),ABS($M1048),0)</f>
        <v>0</v>
      </c>
      <c r="T1048" s="85" t="n">
        <v>1040</v>
      </c>
    </row>
    <row r="1049">
      <c r="B1049" s="83" t="n"/>
      <c r="C1049" s="83" t="n"/>
      <c r="D1049" s="83" t="n"/>
      <c r="E1049" s="83" t="n"/>
      <c r="F1049" s="83" t="n"/>
      <c r="G1049" s="83" t="n"/>
      <c r="H1049" s="83" t="n"/>
      <c r="I1049" s="83" t="n"/>
      <c r="J1049" s="83" t="n"/>
      <c r="K1049" s="83" t="n"/>
      <c r="L1049" s="83" t="n"/>
      <c r="M1049" s="83" t="n"/>
      <c r="O1049" s="84" t="str">
        <f>IF($C1049="","",IFERROR(MATCH($B1049&amp;"|"&amp;$C1049,MUROS!$AX$11:$AX$70,0),0))</f>
        <v/>
      </c>
      <c r="P1049" s="84" t="str">
        <f>IF($D1049="","",IF(ISNUMBER(MATCH($D1049,CMB_S,0)),1,IF(ISNUMBER(MATCH($D1049,CMB_G,0)),2,0)))</f>
        <v/>
      </c>
      <c r="Q1049" s="84">
        <f>IF(ISNUMBER($H1049),-$H1049,0)</f>
        <v>0</v>
      </c>
      <c r="R1049" s="84">
        <f>IF(ISNUMBER($I1049),ABS($I1049),0)</f>
        <v>0</v>
      </c>
      <c r="S1049" s="84">
        <f>IF(ISNUMBER($M1049),ABS($M1049),0)</f>
        <v>0</v>
      </c>
      <c r="T1049" s="85" t="n">
        <v>1041</v>
      </c>
    </row>
    <row r="1050">
      <c r="B1050" s="83" t="n"/>
      <c r="C1050" s="83" t="n"/>
      <c r="D1050" s="83" t="n"/>
      <c r="E1050" s="83" t="n"/>
      <c r="F1050" s="83" t="n"/>
      <c r="G1050" s="83" t="n"/>
      <c r="H1050" s="83" t="n"/>
      <c r="I1050" s="83" t="n"/>
      <c r="J1050" s="83" t="n"/>
      <c r="K1050" s="83" t="n"/>
      <c r="L1050" s="83" t="n"/>
      <c r="M1050" s="83" t="n"/>
      <c r="O1050" s="84" t="str">
        <f>IF($C1050="","",IFERROR(MATCH($B1050&amp;"|"&amp;$C1050,MUROS!$AX$11:$AX$70,0),0))</f>
        <v/>
      </c>
      <c r="P1050" s="84" t="str">
        <f>IF($D1050="","",IF(ISNUMBER(MATCH($D1050,CMB_S,0)),1,IF(ISNUMBER(MATCH($D1050,CMB_G,0)),2,0)))</f>
        <v/>
      </c>
      <c r="Q1050" s="84">
        <f>IF(ISNUMBER($H1050),-$H1050,0)</f>
        <v>0</v>
      </c>
      <c r="R1050" s="84">
        <f>IF(ISNUMBER($I1050),ABS($I1050),0)</f>
        <v>0</v>
      </c>
      <c r="S1050" s="84">
        <f>IF(ISNUMBER($M1050),ABS($M1050),0)</f>
        <v>0</v>
      </c>
      <c r="T1050" s="85" t="n">
        <v>1042</v>
      </c>
    </row>
    <row r="1051">
      <c r="B1051" s="83" t="n"/>
      <c r="C1051" s="83" t="n"/>
      <c r="D1051" s="83" t="n"/>
      <c r="E1051" s="83" t="n"/>
      <c r="F1051" s="83" t="n"/>
      <c r="G1051" s="83" t="n"/>
      <c r="H1051" s="83" t="n"/>
      <c r="I1051" s="83" t="n"/>
      <c r="J1051" s="83" t="n"/>
      <c r="K1051" s="83" t="n"/>
      <c r="L1051" s="83" t="n"/>
      <c r="M1051" s="83" t="n"/>
      <c r="O1051" s="84" t="str">
        <f>IF($C1051="","",IFERROR(MATCH($B1051&amp;"|"&amp;$C1051,MUROS!$AX$11:$AX$70,0),0))</f>
        <v/>
      </c>
      <c r="P1051" s="84" t="str">
        <f>IF($D1051="","",IF(ISNUMBER(MATCH($D1051,CMB_S,0)),1,IF(ISNUMBER(MATCH($D1051,CMB_G,0)),2,0)))</f>
        <v/>
      </c>
      <c r="Q1051" s="84">
        <f>IF(ISNUMBER($H1051),-$H1051,0)</f>
        <v>0</v>
      </c>
      <c r="R1051" s="84">
        <f>IF(ISNUMBER($I1051),ABS($I1051),0)</f>
        <v>0</v>
      </c>
      <c r="S1051" s="84">
        <f>IF(ISNUMBER($M1051),ABS($M1051),0)</f>
        <v>0</v>
      </c>
      <c r="T1051" s="85" t="n">
        <v>1043</v>
      </c>
    </row>
    <row r="1052">
      <c r="B1052" s="83" t="n"/>
      <c r="C1052" s="83" t="n"/>
      <c r="D1052" s="83" t="n"/>
      <c r="E1052" s="83" t="n"/>
      <c r="F1052" s="83" t="n"/>
      <c r="G1052" s="83" t="n"/>
      <c r="H1052" s="83" t="n"/>
      <c r="I1052" s="83" t="n"/>
      <c r="J1052" s="83" t="n"/>
      <c r="K1052" s="83" t="n"/>
      <c r="L1052" s="83" t="n"/>
      <c r="M1052" s="83" t="n"/>
      <c r="O1052" s="84" t="str">
        <f>IF($C1052="","",IFERROR(MATCH($B1052&amp;"|"&amp;$C1052,MUROS!$AX$11:$AX$70,0),0))</f>
        <v/>
      </c>
      <c r="P1052" s="84" t="str">
        <f>IF($D1052="","",IF(ISNUMBER(MATCH($D1052,CMB_S,0)),1,IF(ISNUMBER(MATCH($D1052,CMB_G,0)),2,0)))</f>
        <v/>
      </c>
      <c r="Q1052" s="84">
        <f>IF(ISNUMBER($H1052),-$H1052,0)</f>
        <v>0</v>
      </c>
      <c r="R1052" s="84">
        <f>IF(ISNUMBER($I1052),ABS($I1052),0)</f>
        <v>0</v>
      </c>
      <c r="S1052" s="84">
        <f>IF(ISNUMBER($M1052),ABS($M1052),0)</f>
        <v>0</v>
      </c>
      <c r="T1052" s="85" t="n">
        <v>1044</v>
      </c>
    </row>
    <row r="1053">
      <c r="B1053" s="83" t="n"/>
      <c r="C1053" s="83" t="n"/>
      <c r="D1053" s="83" t="n"/>
      <c r="E1053" s="83" t="n"/>
      <c r="F1053" s="83" t="n"/>
      <c r="G1053" s="83" t="n"/>
      <c r="H1053" s="83" t="n"/>
      <c r="I1053" s="83" t="n"/>
      <c r="J1053" s="83" t="n"/>
      <c r="K1053" s="83" t="n"/>
      <c r="L1053" s="83" t="n"/>
      <c r="M1053" s="83" t="n"/>
      <c r="O1053" s="84" t="str">
        <f>IF($C1053="","",IFERROR(MATCH($B1053&amp;"|"&amp;$C1053,MUROS!$AX$11:$AX$70,0),0))</f>
        <v/>
      </c>
      <c r="P1053" s="84" t="str">
        <f>IF($D1053="","",IF(ISNUMBER(MATCH($D1053,CMB_S,0)),1,IF(ISNUMBER(MATCH($D1053,CMB_G,0)),2,0)))</f>
        <v/>
      </c>
      <c r="Q1053" s="84">
        <f>IF(ISNUMBER($H1053),-$H1053,0)</f>
        <v>0</v>
      </c>
      <c r="R1053" s="84">
        <f>IF(ISNUMBER($I1053),ABS($I1053),0)</f>
        <v>0</v>
      </c>
      <c r="S1053" s="84">
        <f>IF(ISNUMBER($M1053),ABS($M1053),0)</f>
        <v>0</v>
      </c>
      <c r="T1053" s="85" t="n">
        <v>1045</v>
      </c>
    </row>
    <row r="1054">
      <c r="B1054" s="83" t="n"/>
      <c r="C1054" s="83" t="n"/>
      <c r="D1054" s="83" t="n"/>
      <c r="E1054" s="83" t="n"/>
      <c r="F1054" s="83" t="n"/>
      <c r="G1054" s="83" t="n"/>
      <c r="H1054" s="83" t="n"/>
      <c r="I1054" s="83" t="n"/>
      <c r="J1054" s="83" t="n"/>
      <c r="K1054" s="83" t="n"/>
      <c r="L1054" s="83" t="n"/>
      <c r="M1054" s="83" t="n"/>
      <c r="O1054" s="84" t="str">
        <f>IF($C1054="","",IFERROR(MATCH($B1054&amp;"|"&amp;$C1054,MUROS!$AX$11:$AX$70,0),0))</f>
        <v/>
      </c>
      <c r="P1054" s="84" t="str">
        <f>IF($D1054="","",IF(ISNUMBER(MATCH($D1054,CMB_S,0)),1,IF(ISNUMBER(MATCH($D1054,CMB_G,0)),2,0)))</f>
        <v/>
      </c>
      <c r="Q1054" s="84">
        <f>IF(ISNUMBER($H1054),-$H1054,0)</f>
        <v>0</v>
      </c>
      <c r="R1054" s="84">
        <f>IF(ISNUMBER($I1054),ABS($I1054),0)</f>
        <v>0</v>
      </c>
      <c r="S1054" s="84">
        <f>IF(ISNUMBER($M1054),ABS($M1054),0)</f>
        <v>0</v>
      </c>
      <c r="T1054" s="85" t="n">
        <v>1046</v>
      </c>
    </row>
    <row r="1055">
      <c r="B1055" s="83" t="n"/>
      <c r="C1055" s="83" t="n"/>
      <c r="D1055" s="83" t="n"/>
      <c r="E1055" s="83" t="n"/>
      <c r="F1055" s="83" t="n"/>
      <c r="G1055" s="83" t="n"/>
      <c r="H1055" s="83" t="n"/>
      <c r="I1055" s="83" t="n"/>
      <c r="J1055" s="83" t="n"/>
      <c r="K1055" s="83" t="n"/>
      <c r="L1055" s="83" t="n"/>
      <c r="M1055" s="83" t="n"/>
      <c r="O1055" s="84" t="str">
        <f>IF($C1055="","",IFERROR(MATCH($B1055&amp;"|"&amp;$C1055,MUROS!$AX$11:$AX$70,0),0))</f>
        <v/>
      </c>
      <c r="P1055" s="84" t="str">
        <f>IF($D1055="","",IF(ISNUMBER(MATCH($D1055,CMB_S,0)),1,IF(ISNUMBER(MATCH($D1055,CMB_G,0)),2,0)))</f>
        <v/>
      </c>
      <c r="Q1055" s="84">
        <f>IF(ISNUMBER($H1055),-$H1055,0)</f>
        <v>0</v>
      </c>
      <c r="R1055" s="84">
        <f>IF(ISNUMBER($I1055),ABS($I1055),0)</f>
        <v>0</v>
      </c>
      <c r="S1055" s="84">
        <f>IF(ISNUMBER($M1055),ABS($M1055),0)</f>
        <v>0</v>
      </c>
      <c r="T1055" s="85" t="n">
        <v>1047</v>
      </c>
    </row>
    <row r="1056">
      <c r="B1056" s="83" t="n"/>
      <c r="C1056" s="83" t="n"/>
      <c r="D1056" s="83" t="n"/>
      <c r="E1056" s="83" t="n"/>
      <c r="F1056" s="83" t="n"/>
      <c r="G1056" s="83" t="n"/>
      <c r="H1056" s="83" t="n"/>
      <c r="I1056" s="83" t="n"/>
      <c r="J1056" s="83" t="n"/>
      <c r="K1056" s="83" t="n"/>
      <c r="L1056" s="83" t="n"/>
      <c r="M1056" s="83" t="n"/>
      <c r="O1056" s="84" t="str">
        <f>IF($C1056="","",IFERROR(MATCH($B1056&amp;"|"&amp;$C1056,MUROS!$AX$11:$AX$70,0),0))</f>
        <v/>
      </c>
      <c r="P1056" s="84" t="str">
        <f>IF($D1056="","",IF(ISNUMBER(MATCH($D1056,CMB_S,0)),1,IF(ISNUMBER(MATCH($D1056,CMB_G,0)),2,0)))</f>
        <v/>
      </c>
      <c r="Q1056" s="84">
        <f>IF(ISNUMBER($H1056),-$H1056,0)</f>
        <v>0</v>
      </c>
      <c r="R1056" s="84">
        <f>IF(ISNUMBER($I1056),ABS($I1056),0)</f>
        <v>0</v>
      </c>
      <c r="S1056" s="84">
        <f>IF(ISNUMBER($M1056),ABS($M1056),0)</f>
        <v>0</v>
      </c>
      <c r="T1056" s="85" t="n">
        <v>1048</v>
      </c>
    </row>
    <row r="1057">
      <c r="B1057" s="83" t="n"/>
      <c r="C1057" s="83" t="n"/>
      <c r="D1057" s="83" t="n"/>
      <c r="E1057" s="83" t="n"/>
      <c r="F1057" s="83" t="n"/>
      <c r="G1057" s="83" t="n"/>
      <c r="H1057" s="83" t="n"/>
      <c r="I1057" s="83" t="n"/>
      <c r="J1057" s="83" t="n"/>
      <c r="K1057" s="83" t="n"/>
      <c r="L1057" s="83" t="n"/>
      <c r="M1057" s="83" t="n"/>
      <c r="O1057" s="84" t="str">
        <f>IF($C1057="","",IFERROR(MATCH($B1057&amp;"|"&amp;$C1057,MUROS!$AX$11:$AX$70,0),0))</f>
        <v/>
      </c>
      <c r="P1057" s="84" t="str">
        <f>IF($D1057="","",IF(ISNUMBER(MATCH($D1057,CMB_S,0)),1,IF(ISNUMBER(MATCH($D1057,CMB_G,0)),2,0)))</f>
        <v/>
      </c>
      <c r="Q1057" s="84">
        <f>IF(ISNUMBER($H1057),-$H1057,0)</f>
        <v>0</v>
      </c>
      <c r="R1057" s="84">
        <f>IF(ISNUMBER($I1057),ABS($I1057),0)</f>
        <v>0</v>
      </c>
      <c r="S1057" s="84">
        <f>IF(ISNUMBER($M1057),ABS($M1057),0)</f>
        <v>0</v>
      </c>
      <c r="T1057" s="85" t="n">
        <v>1049</v>
      </c>
    </row>
    <row r="1058">
      <c r="B1058" s="83" t="n"/>
      <c r="C1058" s="83" t="n"/>
      <c r="D1058" s="83" t="n"/>
      <c r="E1058" s="83" t="n"/>
      <c r="F1058" s="83" t="n"/>
      <c r="G1058" s="83" t="n"/>
      <c r="H1058" s="83" t="n"/>
      <c r="I1058" s="83" t="n"/>
      <c r="J1058" s="83" t="n"/>
      <c r="K1058" s="83" t="n"/>
      <c r="L1058" s="83" t="n"/>
      <c r="M1058" s="83" t="n"/>
      <c r="O1058" s="84" t="str">
        <f>IF($C1058="","",IFERROR(MATCH($B1058&amp;"|"&amp;$C1058,MUROS!$AX$11:$AX$70,0),0))</f>
        <v/>
      </c>
      <c r="P1058" s="84" t="str">
        <f>IF($D1058="","",IF(ISNUMBER(MATCH($D1058,CMB_S,0)),1,IF(ISNUMBER(MATCH($D1058,CMB_G,0)),2,0)))</f>
        <v/>
      </c>
      <c r="Q1058" s="84">
        <f>IF(ISNUMBER($H1058),-$H1058,0)</f>
        <v>0</v>
      </c>
      <c r="R1058" s="84">
        <f>IF(ISNUMBER($I1058),ABS($I1058),0)</f>
        <v>0</v>
      </c>
      <c r="S1058" s="84">
        <f>IF(ISNUMBER($M1058),ABS($M1058),0)</f>
        <v>0</v>
      </c>
      <c r="T1058" s="85" t="n">
        <v>1050</v>
      </c>
    </row>
    <row r="1059">
      <c r="B1059" s="83" t="n"/>
      <c r="C1059" s="83" t="n"/>
      <c r="D1059" s="83" t="n"/>
      <c r="E1059" s="83" t="n"/>
      <c r="F1059" s="83" t="n"/>
      <c r="G1059" s="83" t="n"/>
      <c r="H1059" s="83" t="n"/>
      <c r="I1059" s="83" t="n"/>
      <c r="J1059" s="83" t="n"/>
      <c r="K1059" s="83" t="n"/>
      <c r="L1059" s="83" t="n"/>
      <c r="M1059" s="83" t="n"/>
      <c r="O1059" s="84" t="str">
        <f>IF($C1059="","",IFERROR(MATCH($B1059&amp;"|"&amp;$C1059,MUROS!$AX$11:$AX$70,0),0))</f>
        <v/>
      </c>
      <c r="P1059" s="84" t="str">
        <f>IF($D1059="","",IF(ISNUMBER(MATCH($D1059,CMB_S,0)),1,IF(ISNUMBER(MATCH($D1059,CMB_G,0)),2,0)))</f>
        <v/>
      </c>
      <c r="Q1059" s="84">
        <f>IF(ISNUMBER($H1059),-$H1059,0)</f>
        <v>0</v>
      </c>
      <c r="R1059" s="84">
        <f>IF(ISNUMBER($I1059),ABS($I1059),0)</f>
        <v>0</v>
      </c>
      <c r="S1059" s="84">
        <f>IF(ISNUMBER($M1059),ABS($M1059),0)</f>
        <v>0</v>
      </c>
      <c r="T1059" s="85" t="n">
        <v>1051</v>
      </c>
    </row>
    <row r="1060">
      <c r="B1060" s="83" t="n"/>
      <c r="C1060" s="83" t="n"/>
      <c r="D1060" s="83" t="n"/>
      <c r="E1060" s="83" t="n"/>
      <c r="F1060" s="83" t="n"/>
      <c r="G1060" s="83" t="n"/>
      <c r="H1060" s="83" t="n"/>
      <c r="I1060" s="83" t="n"/>
      <c r="J1060" s="83" t="n"/>
      <c r="K1060" s="83" t="n"/>
      <c r="L1060" s="83" t="n"/>
      <c r="M1060" s="83" t="n"/>
      <c r="O1060" s="84" t="str">
        <f>IF($C1060="","",IFERROR(MATCH($B1060&amp;"|"&amp;$C1060,MUROS!$AX$11:$AX$70,0),0))</f>
        <v/>
      </c>
      <c r="P1060" s="84" t="str">
        <f>IF($D1060="","",IF(ISNUMBER(MATCH($D1060,CMB_S,0)),1,IF(ISNUMBER(MATCH($D1060,CMB_G,0)),2,0)))</f>
        <v/>
      </c>
      <c r="Q1060" s="84">
        <f>IF(ISNUMBER($H1060),-$H1060,0)</f>
        <v>0</v>
      </c>
      <c r="R1060" s="84">
        <f>IF(ISNUMBER($I1060),ABS($I1060),0)</f>
        <v>0</v>
      </c>
      <c r="S1060" s="84">
        <f>IF(ISNUMBER($M1060),ABS($M1060),0)</f>
        <v>0</v>
      </c>
      <c r="T1060" s="85" t="n">
        <v>1052</v>
      </c>
    </row>
    <row r="1061">
      <c r="B1061" s="83" t="n"/>
      <c r="C1061" s="83" t="n"/>
      <c r="D1061" s="83" t="n"/>
      <c r="E1061" s="83" t="n"/>
      <c r="F1061" s="83" t="n"/>
      <c r="G1061" s="83" t="n"/>
      <c r="H1061" s="83" t="n"/>
      <c r="I1061" s="83" t="n"/>
      <c r="J1061" s="83" t="n"/>
      <c r="K1061" s="83" t="n"/>
      <c r="L1061" s="83" t="n"/>
      <c r="M1061" s="83" t="n"/>
      <c r="O1061" s="84" t="str">
        <f>IF($C1061="","",IFERROR(MATCH($B1061&amp;"|"&amp;$C1061,MUROS!$AX$11:$AX$70,0),0))</f>
        <v/>
      </c>
      <c r="P1061" s="84" t="str">
        <f>IF($D1061="","",IF(ISNUMBER(MATCH($D1061,CMB_S,0)),1,IF(ISNUMBER(MATCH($D1061,CMB_G,0)),2,0)))</f>
        <v/>
      </c>
      <c r="Q1061" s="84">
        <f>IF(ISNUMBER($H1061),-$H1061,0)</f>
        <v>0</v>
      </c>
      <c r="R1061" s="84">
        <f>IF(ISNUMBER($I1061),ABS($I1061),0)</f>
        <v>0</v>
      </c>
      <c r="S1061" s="84">
        <f>IF(ISNUMBER($M1061),ABS($M1061),0)</f>
        <v>0</v>
      </c>
      <c r="T1061" s="85" t="n">
        <v>1053</v>
      </c>
    </row>
    <row r="1062">
      <c r="B1062" s="83" t="n"/>
      <c r="C1062" s="83" t="n"/>
      <c r="D1062" s="83" t="n"/>
      <c r="E1062" s="83" t="n"/>
      <c r="F1062" s="83" t="n"/>
      <c r="G1062" s="83" t="n"/>
      <c r="H1062" s="83" t="n"/>
      <c r="I1062" s="83" t="n"/>
      <c r="J1062" s="83" t="n"/>
      <c r="K1062" s="83" t="n"/>
      <c r="L1062" s="83" t="n"/>
      <c r="M1062" s="83" t="n"/>
      <c r="O1062" s="84" t="str">
        <f>IF($C1062="","",IFERROR(MATCH($B1062&amp;"|"&amp;$C1062,MUROS!$AX$11:$AX$70,0),0))</f>
        <v/>
      </c>
      <c r="P1062" s="84" t="str">
        <f>IF($D1062="","",IF(ISNUMBER(MATCH($D1062,CMB_S,0)),1,IF(ISNUMBER(MATCH($D1062,CMB_G,0)),2,0)))</f>
        <v/>
      </c>
      <c r="Q1062" s="84">
        <f>IF(ISNUMBER($H1062),-$H1062,0)</f>
        <v>0</v>
      </c>
      <c r="R1062" s="84">
        <f>IF(ISNUMBER($I1062),ABS($I1062),0)</f>
        <v>0</v>
      </c>
      <c r="S1062" s="84">
        <f>IF(ISNUMBER($M1062),ABS($M1062),0)</f>
        <v>0</v>
      </c>
      <c r="T1062" s="85" t="n">
        <v>1054</v>
      </c>
    </row>
    <row r="1063">
      <c r="B1063" s="83" t="n"/>
      <c r="C1063" s="83" t="n"/>
      <c r="D1063" s="83" t="n"/>
      <c r="E1063" s="83" t="n"/>
      <c r="F1063" s="83" t="n"/>
      <c r="G1063" s="83" t="n"/>
      <c r="H1063" s="83" t="n"/>
      <c r="I1063" s="83" t="n"/>
      <c r="J1063" s="83" t="n"/>
      <c r="K1063" s="83" t="n"/>
      <c r="L1063" s="83" t="n"/>
      <c r="M1063" s="83" t="n"/>
      <c r="O1063" s="84" t="str">
        <f>IF($C1063="","",IFERROR(MATCH($B1063&amp;"|"&amp;$C1063,MUROS!$AX$11:$AX$70,0),0))</f>
        <v/>
      </c>
      <c r="P1063" s="84" t="str">
        <f>IF($D1063="","",IF(ISNUMBER(MATCH($D1063,CMB_S,0)),1,IF(ISNUMBER(MATCH($D1063,CMB_G,0)),2,0)))</f>
        <v/>
      </c>
      <c r="Q1063" s="84">
        <f>IF(ISNUMBER($H1063),-$H1063,0)</f>
        <v>0</v>
      </c>
      <c r="R1063" s="84">
        <f>IF(ISNUMBER($I1063),ABS($I1063),0)</f>
        <v>0</v>
      </c>
      <c r="S1063" s="84">
        <f>IF(ISNUMBER($M1063),ABS($M1063),0)</f>
        <v>0</v>
      </c>
      <c r="T1063" s="85" t="n">
        <v>1055</v>
      </c>
    </row>
    <row r="1064">
      <c r="B1064" s="83" t="n"/>
      <c r="C1064" s="83" t="n"/>
      <c r="D1064" s="83" t="n"/>
      <c r="E1064" s="83" t="n"/>
      <c r="F1064" s="83" t="n"/>
      <c r="G1064" s="83" t="n"/>
      <c r="H1064" s="83" t="n"/>
      <c r="I1064" s="83" t="n"/>
      <c r="J1064" s="83" t="n"/>
      <c r="K1064" s="83" t="n"/>
      <c r="L1064" s="83" t="n"/>
      <c r="M1064" s="83" t="n"/>
      <c r="O1064" s="84" t="str">
        <f>IF($C1064="","",IFERROR(MATCH($B1064&amp;"|"&amp;$C1064,MUROS!$AX$11:$AX$70,0),0))</f>
        <v/>
      </c>
      <c r="P1064" s="84" t="str">
        <f>IF($D1064="","",IF(ISNUMBER(MATCH($D1064,CMB_S,0)),1,IF(ISNUMBER(MATCH($D1064,CMB_G,0)),2,0)))</f>
        <v/>
      </c>
      <c r="Q1064" s="84">
        <f>IF(ISNUMBER($H1064),-$H1064,0)</f>
        <v>0</v>
      </c>
      <c r="R1064" s="84">
        <f>IF(ISNUMBER($I1064),ABS($I1064),0)</f>
        <v>0</v>
      </c>
      <c r="S1064" s="84">
        <f>IF(ISNUMBER($M1064),ABS($M1064),0)</f>
        <v>0</v>
      </c>
      <c r="T1064" s="85" t="n">
        <v>1056</v>
      </c>
    </row>
    <row r="1065">
      <c r="B1065" s="83" t="n"/>
      <c r="C1065" s="83" t="n"/>
      <c r="D1065" s="83" t="n"/>
      <c r="E1065" s="83" t="n"/>
      <c r="F1065" s="83" t="n"/>
      <c r="G1065" s="83" t="n"/>
      <c r="H1065" s="83" t="n"/>
      <c r="I1065" s="83" t="n"/>
      <c r="J1065" s="83" t="n"/>
      <c r="K1065" s="83" t="n"/>
      <c r="L1065" s="83" t="n"/>
      <c r="M1065" s="83" t="n"/>
      <c r="O1065" s="84" t="str">
        <f>IF($C1065="","",IFERROR(MATCH($B1065&amp;"|"&amp;$C1065,MUROS!$AX$11:$AX$70,0),0))</f>
        <v/>
      </c>
      <c r="P1065" s="84" t="str">
        <f>IF($D1065="","",IF(ISNUMBER(MATCH($D1065,CMB_S,0)),1,IF(ISNUMBER(MATCH($D1065,CMB_G,0)),2,0)))</f>
        <v/>
      </c>
      <c r="Q1065" s="84">
        <f>IF(ISNUMBER($H1065),-$H1065,0)</f>
        <v>0</v>
      </c>
      <c r="R1065" s="84">
        <f>IF(ISNUMBER($I1065),ABS($I1065),0)</f>
        <v>0</v>
      </c>
      <c r="S1065" s="84">
        <f>IF(ISNUMBER($M1065),ABS($M1065),0)</f>
        <v>0</v>
      </c>
      <c r="T1065" s="85" t="n">
        <v>1057</v>
      </c>
    </row>
    <row r="1066">
      <c r="B1066" s="83" t="n"/>
      <c r="C1066" s="83" t="n"/>
      <c r="D1066" s="83" t="n"/>
      <c r="E1066" s="83" t="n"/>
      <c r="F1066" s="83" t="n"/>
      <c r="G1066" s="83" t="n"/>
      <c r="H1066" s="83" t="n"/>
      <c r="I1066" s="83" t="n"/>
      <c r="J1066" s="83" t="n"/>
      <c r="K1066" s="83" t="n"/>
      <c r="L1066" s="83" t="n"/>
      <c r="M1066" s="83" t="n"/>
      <c r="O1066" s="84" t="str">
        <f>IF($C1066="","",IFERROR(MATCH($B1066&amp;"|"&amp;$C1066,MUROS!$AX$11:$AX$70,0),0))</f>
        <v/>
      </c>
      <c r="P1066" s="84" t="str">
        <f>IF($D1066="","",IF(ISNUMBER(MATCH($D1066,CMB_S,0)),1,IF(ISNUMBER(MATCH($D1066,CMB_G,0)),2,0)))</f>
        <v/>
      </c>
      <c r="Q1066" s="84">
        <f>IF(ISNUMBER($H1066),-$H1066,0)</f>
        <v>0</v>
      </c>
      <c r="R1066" s="84">
        <f>IF(ISNUMBER($I1066),ABS($I1066),0)</f>
        <v>0</v>
      </c>
      <c r="S1066" s="84">
        <f>IF(ISNUMBER($M1066),ABS($M1066),0)</f>
        <v>0</v>
      </c>
      <c r="T1066" s="85" t="n">
        <v>1058</v>
      </c>
    </row>
    <row r="1067">
      <c r="B1067" s="83" t="n"/>
      <c r="C1067" s="83" t="n"/>
      <c r="D1067" s="83" t="n"/>
      <c r="E1067" s="83" t="n"/>
      <c r="F1067" s="83" t="n"/>
      <c r="G1067" s="83" t="n"/>
      <c r="H1067" s="83" t="n"/>
      <c r="I1067" s="83" t="n"/>
      <c r="J1067" s="83" t="n"/>
      <c r="K1067" s="83" t="n"/>
      <c r="L1067" s="83" t="n"/>
      <c r="M1067" s="83" t="n"/>
      <c r="O1067" s="84" t="str">
        <f>IF($C1067="","",IFERROR(MATCH($B1067&amp;"|"&amp;$C1067,MUROS!$AX$11:$AX$70,0),0))</f>
        <v/>
      </c>
      <c r="P1067" s="84" t="str">
        <f>IF($D1067="","",IF(ISNUMBER(MATCH($D1067,CMB_S,0)),1,IF(ISNUMBER(MATCH($D1067,CMB_G,0)),2,0)))</f>
        <v/>
      </c>
      <c r="Q1067" s="84">
        <f>IF(ISNUMBER($H1067),-$H1067,0)</f>
        <v>0</v>
      </c>
      <c r="R1067" s="84">
        <f>IF(ISNUMBER($I1067),ABS($I1067),0)</f>
        <v>0</v>
      </c>
      <c r="S1067" s="84">
        <f>IF(ISNUMBER($M1067),ABS($M1067),0)</f>
        <v>0</v>
      </c>
      <c r="T1067" s="85" t="n">
        <v>1059</v>
      </c>
    </row>
    <row r="1068">
      <c r="B1068" s="83" t="n"/>
      <c r="C1068" s="83" t="n"/>
      <c r="D1068" s="83" t="n"/>
      <c r="E1068" s="83" t="n"/>
      <c r="F1068" s="83" t="n"/>
      <c r="G1068" s="83" t="n"/>
      <c r="H1068" s="83" t="n"/>
      <c r="I1068" s="83" t="n"/>
      <c r="J1068" s="83" t="n"/>
      <c r="K1068" s="83" t="n"/>
      <c r="L1068" s="83" t="n"/>
      <c r="M1068" s="83" t="n"/>
      <c r="O1068" s="84" t="str">
        <f>IF($C1068="","",IFERROR(MATCH($B1068&amp;"|"&amp;$C1068,MUROS!$AX$11:$AX$70,0),0))</f>
        <v/>
      </c>
      <c r="P1068" s="84" t="str">
        <f>IF($D1068="","",IF(ISNUMBER(MATCH($D1068,CMB_S,0)),1,IF(ISNUMBER(MATCH($D1068,CMB_G,0)),2,0)))</f>
        <v/>
      </c>
      <c r="Q1068" s="84">
        <f>IF(ISNUMBER($H1068),-$H1068,0)</f>
        <v>0</v>
      </c>
      <c r="R1068" s="84">
        <f>IF(ISNUMBER($I1068),ABS($I1068),0)</f>
        <v>0</v>
      </c>
      <c r="S1068" s="84">
        <f>IF(ISNUMBER($M1068),ABS($M1068),0)</f>
        <v>0</v>
      </c>
      <c r="T1068" s="85" t="n">
        <v>1060</v>
      </c>
    </row>
    <row r="1069">
      <c r="B1069" s="83" t="n"/>
      <c r="C1069" s="83" t="n"/>
      <c r="D1069" s="83" t="n"/>
      <c r="E1069" s="83" t="n"/>
      <c r="F1069" s="83" t="n"/>
      <c r="G1069" s="83" t="n"/>
      <c r="H1069" s="83" t="n"/>
      <c r="I1069" s="83" t="n"/>
      <c r="J1069" s="83" t="n"/>
      <c r="K1069" s="83" t="n"/>
      <c r="L1069" s="83" t="n"/>
      <c r="M1069" s="83" t="n"/>
      <c r="O1069" s="84" t="str">
        <f>IF($C1069="","",IFERROR(MATCH($B1069&amp;"|"&amp;$C1069,MUROS!$AX$11:$AX$70,0),0))</f>
        <v/>
      </c>
      <c r="P1069" s="84" t="str">
        <f>IF($D1069="","",IF(ISNUMBER(MATCH($D1069,CMB_S,0)),1,IF(ISNUMBER(MATCH($D1069,CMB_G,0)),2,0)))</f>
        <v/>
      </c>
      <c r="Q1069" s="84">
        <f>IF(ISNUMBER($H1069),-$H1069,0)</f>
        <v>0</v>
      </c>
      <c r="R1069" s="84">
        <f>IF(ISNUMBER($I1069),ABS($I1069),0)</f>
        <v>0</v>
      </c>
      <c r="S1069" s="84">
        <f>IF(ISNUMBER($M1069),ABS($M1069),0)</f>
        <v>0</v>
      </c>
      <c r="T1069" s="85" t="n">
        <v>1061</v>
      </c>
    </row>
    <row r="1070">
      <c r="B1070" s="83" t="n"/>
      <c r="C1070" s="83" t="n"/>
      <c r="D1070" s="83" t="n"/>
      <c r="E1070" s="83" t="n"/>
      <c r="F1070" s="83" t="n"/>
      <c r="G1070" s="83" t="n"/>
      <c r="H1070" s="83" t="n"/>
      <c r="I1070" s="83" t="n"/>
      <c r="J1070" s="83" t="n"/>
      <c r="K1070" s="83" t="n"/>
      <c r="L1070" s="83" t="n"/>
      <c r="M1070" s="83" t="n"/>
      <c r="O1070" s="84" t="str">
        <f>IF($C1070="","",IFERROR(MATCH($B1070&amp;"|"&amp;$C1070,MUROS!$AX$11:$AX$70,0),0))</f>
        <v/>
      </c>
      <c r="P1070" s="84" t="str">
        <f>IF($D1070="","",IF(ISNUMBER(MATCH($D1070,CMB_S,0)),1,IF(ISNUMBER(MATCH($D1070,CMB_G,0)),2,0)))</f>
        <v/>
      </c>
      <c r="Q1070" s="84">
        <f>IF(ISNUMBER($H1070),-$H1070,0)</f>
        <v>0</v>
      </c>
      <c r="R1070" s="84">
        <f>IF(ISNUMBER($I1070),ABS($I1070),0)</f>
        <v>0</v>
      </c>
      <c r="S1070" s="84">
        <f>IF(ISNUMBER($M1070),ABS($M1070),0)</f>
        <v>0</v>
      </c>
      <c r="T1070" s="85" t="n">
        <v>1062</v>
      </c>
    </row>
    <row r="1071">
      <c r="B1071" s="83" t="n"/>
      <c r="C1071" s="83" t="n"/>
      <c r="D1071" s="83" t="n"/>
      <c r="E1071" s="83" t="n"/>
      <c r="F1071" s="83" t="n"/>
      <c r="G1071" s="83" t="n"/>
      <c r="H1071" s="83" t="n"/>
      <c r="I1071" s="83" t="n"/>
      <c r="J1071" s="83" t="n"/>
      <c r="K1071" s="83" t="n"/>
      <c r="L1071" s="83" t="n"/>
      <c r="M1071" s="83" t="n"/>
      <c r="O1071" s="84" t="str">
        <f>IF($C1071="","",IFERROR(MATCH($B1071&amp;"|"&amp;$C1071,MUROS!$AX$11:$AX$70,0),0))</f>
        <v/>
      </c>
      <c r="P1071" s="84" t="str">
        <f>IF($D1071="","",IF(ISNUMBER(MATCH($D1071,CMB_S,0)),1,IF(ISNUMBER(MATCH($D1071,CMB_G,0)),2,0)))</f>
        <v/>
      </c>
      <c r="Q1071" s="84">
        <f>IF(ISNUMBER($H1071),-$H1071,0)</f>
        <v>0</v>
      </c>
      <c r="R1071" s="84">
        <f>IF(ISNUMBER($I1071),ABS($I1071),0)</f>
        <v>0</v>
      </c>
      <c r="S1071" s="84">
        <f>IF(ISNUMBER($M1071),ABS($M1071),0)</f>
        <v>0</v>
      </c>
      <c r="T1071" s="85" t="n">
        <v>1063</v>
      </c>
    </row>
    <row r="1072">
      <c r="B1072" s="83" t="n"/>
      <c r="C1072" s="83" t="n"/>
      <c r="D1072" s="83" t="n"/>
      <c r="E1072" s="83" t="n"/>
      <c r="F1072" s="83" t="n"/>
      <c r="G1072" s="83" t="n"/>
      <c r="H1072" s="83" t="n"/>
      <c r="I1072" s="83" t="n"/>
      <c r="J1072" s="83" t="n"/>
      <c r="K1072" s="83" t="n"/>
      <c r="L1072" s="83" t="n"/>
      <c r="M1072" s="83" t="n"/>
      <c r="O1072" s="84" t="str">
        <f>IF($C1072="","",IFERROR(MATCH($B1072&amp;"|"&amp;$C1072,MUROS!$AX$11:$AX$70,0),0))</f>
        <v/>
      </c>
      <c r="P1072" s="84" t="str">
        <f>IF($D1072="","",IF(ISNUMBER(MATCH($D1072,CMB_S,0)),1,IF(ISNUMBER(MATCH($D1072,CMB_G,0)),2,0)))</f>
        <v/>
      </c>
      <c r="Q1072" s="84">
        <f>IF(ISNUMBER($H1072),-$H1072,0)</f>
        <v>0</v>
      </c>
      <c r="R1072" s="84">
        <f>IF(ISNUMBER($I1072),ABS($I1072),0)</f>
        <v>0</v>
      </c>
      <c r="S1072" s="84">
        <f>IF(ISNUMBER($M1072),ABS($M1072),0)</f>
        <v>0</v>
      </c>
      <c r="T1072" s="85" t="n">
        <v>1064</v>
      </c>
    </row>
    <row r="1073">
      <c r="B1073" s="83" t="n"/>
      <c r="C1073" s="83" t="n"/>
      <c r="D1073" s="83" t="n"/>
      <c r="E1073" s="83" t="n"/>
      <c r="F1073" s="83" t="n"/>
      <c r="G1073" s="83" t="n"/>
      <c r="H1073" s="83" t="n"/>
      <c r="I1073" s="83" t="n"/>
      <c r="J1073" s="83" t="n"/>
      <c r="K1073" s="83" t="n"/>
      <c r="L1073" s="83" t="n"/>
      <c r="M1073" s="83" t="n"/>
      <c r="O1073" s="84" t="str">
        <f>IF($C1073="","",IFERROR(MATCH($B1073&amp;"|"&amp;$C1073,MUROS!$AX$11:$AX$70,0),0))</f>
        <v/>
      </c>
      <c r="P1073" s="84" t="str">
        <f>IF($D1073="","",IF(ISNUMBER(MATCH($D1073,CMB_S,0)),1,IF(ISNUMBER(MATCH($D1073,CMB_G,0)),2,0)))</f>
        <v/>
      </c>
      <c r="Q1073" s="84">
        <f>IF(ISNUMBER($H1073),-$H1073,0)</f>
        <v>0</v>
      </c>
      <c r="R1073" s="84">
        <f>IF(ISNUMBER($I1073),ABS($I1073),0)</f>
        <v>0</v>
      </c>
      <c r="S1073" s="84">
        <f>IF(ISNUMBER($M1073),ABS($M1073),0)</f>
        <v>0</v>
      </c>
      <c r="T1073" s="85" t="n">
        <v>1065</v>
      </c>
    </row>
    <row r="1074">
      <c r="B1074" s="83" t="n"/>
      <c r="C1074" s="83" t="n"/>
      <c r="D1074" s="83" t="n"/>
      <c r="E1074" s="83" t="n"/>
      <c r="F1074" s="83" t="n"/>
      <c r="G1074" s="83" t="n"/>
      <c r="H1074" s="83" t="n"/>
      <c r="I1074" s="83" t="n"/>
      <c r="J1074" s="83" t="n"/>
      <c r="K1074" s="83" t="n"/>
      <c r="L1074" s="83" t="n"/>
      <c r="M1074" s="83" t="n"/>
      <c r="O1074" s="84" t="str">
        <f>IF($C1074="","",IFERROR(MATCH($B1074&amp;"|"&amp;$C1074,MUROS!$AX$11:$AX$70,0),0))</f>
        <v/>
      </c>
      <c r="P1074" s="84" t="str">
        <f>IF($D1074="","",IF(ISNUMBER(MATCH($D1074,CMB_S,0)),1,IF(ISNUMBER(MATCH($D1074,CMB_G,0)),2,0)))</f>
        <v/>
      </c>
      <c r="Q1074" s="84">
        <f>IF(ISNUMBER($H1074),-$H1074,0)</f>
        <v>0</v>
      </c>
      <c r="R1074" s="84">
        <f>IF(ISNUMBER($I1074),ABS($I1074),0)</f>
        <v>0</v>
      </c>
      <c r="S1074" s="84">
        <f>IF(ISNUMBER($M1074),ABS($M1074),0)</f>
        <v>0</v>
      </c>
      <c r="T1074" s="85" t="n">
        <v>1066</v>
      </c>
    </row>
    <row r="1075">
      <c r="B1075" s="83" t="n"/>
      <c r="C1075" s="83" t="n"/>
      <c r="D1075" s="83" t="n"/>
      <c r="E1075" s="83" t="n"/>
      <c r="F1075" s="83" t="n"/>
      <c r="G1075" s="83" t="n"/>
      <c r="H1075" s="83" t="n"/>
      <c r="I1075" s="83" t="n"/>
      <c r="J1075" s="83" t="n"/>
      <c r="K1075" s="83" t="n"/>
      <c r="L1075" s="83" t="n"/>
      <c r="M1075" s="83" t="n"/>
      <c r="O1075" s="84" t="str">
        <f>IF($C1075="","",IFERROR(MATCH($B1075&amp;"|"&amp;$C1075,MUROS!$AX$11:$AX$70,0),0))</f>
        <v/>
      </c>
      <c r="P1075" s="84" t="str">
        <f>IF($D1075="","",IF(ISNUMBER(MATCH($D1075,CMB_S,0)),1,IF(ISNUMBER(MATCH($D1075,CMB_G,0)),2,0)))</f>
        <v/>
      </c>
      <c r="Q1075" s="84">
        <f>IF(ISNUMBER($H1075),-$H1075,0)</f>
        <v>0</v>
      </c>
      <c r="R1075" s="84">
        <f>IF(ISNUMBER($I1075),ABS($I1075),0)</f>
        <v>0</v>
      </c>
      <c r="S1075" s="84">
        <f>IF(ISNUMBER($M1075),ABS($M1075),0)</f>
        <v>0</v>
      </c>
      <c r="T1075" s="85" t="n">
        <v>1067</v>
      </c>
    </row>
    <row r="1076">
      <c r="B1076" s="83" t="n"/>
      <c r="C1076" s="83" t="n"/>
      <c r="D1076" s="83" t="n"/>
      <c r="E1076" s="83" t="n"/>
      <c r="F1076" s="83" t="n"/>
      <c r="G1076" s="83" t="n"/>
      <c r="H1076" s="83" t="n"/>
      <c r="I1076" s="83" t="n"/>
      <c r="J1076" s="83" t="n"/>
      <c r="K1076" s="83" t="n"/>
      <c r="L1076" s="83" t="n"/>
      <c r="M1076" s="83" t="n"/>
      <c r="O1076" s="84" t="str">
        <f>IF($C1076="","",IFERROR(MATCH($B1076&amp;"|"&amp;$C1076,MUROS!$AX$11:$AX$70,0),0))</f>
        <v/>
      </c>
      <c r="P1076" s="84" t="str">
        <f>IF($D1076="","",IF(ISNUMBER(MATCH($D1076,CMB_S,0)),1,IF(ISNUMBER(MATCH($D1076,CMB_G,0)),2,0)))</f>
        <v/>
      </c>
      <c r="Q1076" s="84">
        <f>IF(ISNUMBER($H1076),-$H1076,0)</f>
        <v>0</v>
      </c>
      <c r="R1076" s="84">
        <f>IF(ISNUMBER($I1076),ABS($I1076),0)</f>
        <v>0</v>
      </c>
      <c r="S1076" s="84">
        <f>IF(ISNUMBER($M1076),ABS($M1076),0)</f>
        <v>0</v>
      </c>
      <c r="T1076" s="85" t="n">
        <v>1068</v>
      </c>
    </row>
    <row r="1077">
      <c r="B1077" s="83" t="n"/>
      <c r="C1077" s="83" t="n"/>
      <c r="D1077" s="83" t="n"/>
      <c r="E1077" s="83" t="n"/>
      <c r="F1077" s="83" t="n"/>
      <c r="G1077" s="83" t="n"/>
      <c r="H1077" s="83" t="n"/>
      <c r="I1077" s="83" t="n"/>
      <c r="J1077" s="83" t="n"/>
      <c r="K1077" s="83" t="n"/>
      <c r="L1077" s="83" t="n"/>
      <c r="M1077" s="83" t="n"/>
      <c r="O1077" s="84" t="str">
        <f>IF($C1077="","",IFERROR(MATCH($B1077&amp;"|"&amp;$C1077,MUROS!$AX$11:$AX$70,0),0))</f>
        <v/>
      </c>
      <c r="P1077" s="84" t="str">
        <f>IF($D1077="","",IF(ISNUMBER(MATCH($D1077,CMB_S,0)),1,IF(ISNUMBER(MATCH($D1077,CMB_G,0)),2,0)))</f>
        <v/>
      </c>
      <c r="Q1077" s="84">
        <f>IF(ISNUMBER($H1077),-$H1077,0)</f>
        <v>0</v>
      </c>
      <c r="R1077" s="84">
        <f>IF(ISNUMBER($I1077),ABS($I1077),0)</f>
        <v>0</v>
      </c>
      <c r="S1077" s="84">
        <f>IF(ISNUMBER($M1077),ABS($M1077),0)</f>
        <v>0</v>
      </c>
      <c r="T1077" s="85" t="n">
        <v>1069</v>
      </c>
    </row>
    <row r="1078">
      <c r="B1078" s="83" t="n"/>
      <c r="C1078" s="83" t="n"/>
      <c r="D1078" s="83" t="n"/>
      <c r="E1078" s="83" t="n"/>
      <c r="F1078" s="83" t="n"/>
      <c r="G1078" s="83" t="n"/>
      <c r="H1078" s="83" t="n"/>
      <c r="I1078" s="83" t="n"/>
      <c r="J1078" s="83" t="n"/>
      <c r="K1078" s="83" t="n"/>
      <c r="L1078" s="83" t="n"/>
      <c r="M1078" s="83" t="n"/>
      <c r="O1078" s="84" t="str">
        <f>IF($C1078="","",IFERROR(MATCH($B1078&amp;"|"&amp;$C1078,MUROS!$AX$11:$AX$70,0),0))</f>
        <v/>
      </c>
      <c r="P1078" s="84" t="str">
        <f>IF($D1078="","",IF(ISNUMBER(MATCH($D1078,CMB_S,0)),1,IF(ISNUMBER(MATCH($D1078,CMB_G,0)),2,0)))</f>
        <v/>
      </c>
      <c r="Q1078" s="84">
        <f>IF(ISNUMBER($H1078),-$H1078,0)</f>
        <v>0</v>
      </c>
      <c r="R1078" s="84">
        <f>IF(ISNUMBER($I1078),ABS($I1078),0)</f>
        <v>0</v>
      </c>
      <c r="S1078" s="84">
        <f>IF(ISNUMBER($M1078),ABS($M1078),0)</f>
        <v>0</v>
      </c>
      <c r="T1078" s="85" t="n">
        <v>1070</v>
      </c>
    </row>
    <row r="1079">
      <c r="B1079" s="83" t="n"/>
      <c r="C1079" s="83" t="n"/>
      <c r="D1079" s="83" t="n"/>
      <c r="E1079" s="83" t="n"/>
      <c r="F1079" s="83" t="n"/>
      <c r="G1079" s="83" t="n"/>
      <c r="H1079" s="83" t="n"/>
      <c r="I1079" s="83" t="n"/>
      <c r="J1079" s="83" t="n"/>
      <c r="K1079" s="83" t="n"/>
      <c r="L1079" s="83" t="n"/>
      <c r="M1079" s="83" t="n"/>
      <c r="O1079" s="84" t="str">
        <f>IF($C1079="","",IFERROR(MATCH($B1079&amp;"|"&amp;$C1079,MUROS!$AX$11:$AX$70,0),0))</f>
        <v/>
      </c>
      <c r="P1079" s="84" t="str">
        <f>IF($D1079="","",IF(ISNUMBER(MATCH($D1079,CMB_S,0)),1,IF(ISNUMBER(MATCH($D1079,CMB_G,0)),2,0)))</f>
        <v/>
      </c>
      <c r="Q1079" s="84">
        <f>IF(ISNUMBER($H1079),-$H1079,0)</f>
        <v>0</v>
      </c>
      <c r="R1079" s="84">
        <f>IF(ISNUMBER($I1079),ABS($I1079),0)</f>
        <v>0</v>
      </c>
      <c r="S1079" s="84">
        <f>IF(ISNUMBER($M1079),ABS($M1079),0)</f>
        <v>0</v>
      </c>
      <c r="T1079" s="85" t="n">
        <v>1071</v>
      </c>
    </row>
    <row r="1080">
      <c r="B1080" s="83" t="n"/>
      <c r="C1080" s="83" t="n"/>
      <c r="D1080" s="83" t="n"/>
      <c r="E1080" s="83" t="n"/>
      <c r="F1080" s="83" t="n"/>
      <c r="G1080" s="83" t="n"/>
      <c r="H1080" s="83" t="n"/>
      <c r="I1080" s="83" t="n"/>
      <c r="J1080" s="83" t="n"/>
      <c r="K1080" s="83" t="n"/>
      <c r="L1080" s="83" t="n"/>
      <c r="M1080" s="83" t="n"/>
      <c r="O1080" s="84" t="str">
        <f>IF($C1080="","",IFERROR(MATCH($B1080&amp;"|"&amp;$C1080,MUROS!$AX$11:$AX$70,0),0))</f>
        <v/>
      </c>
      <c r="P1080" s="84" t="str">
        <f>IF($D1080="","",IF(ISNUMBER(MATCH($D1080,CMB_S,0)),1,IF(ISNUMBER(MATCH($D1080,CMB_G,0)),2,0)))</f>
        <v/>
      </c>
      <c r="Q1080" s="84">
        <f>IF(ISNUMBER($H1080),-$H1080,0)</f>
        <v>0</v>
      </c>
      <c r="R1080" s="84">
        <f>IF(ISNUMBER($I1080),ABS($I1080),0)</f>
        <v>0</v>
      </c>
      <c r="S1080" s="84">
        <f>IF(ISNUMBER($M1080),ABS($M1080),0)</f>
        <v>0</v>
      </c>
      <c r="T1080" s="85" t="n">
        <v>1072</v>
      </c>
    </row>
    <row r="1081">
      <c r="B1081" s="83" t="n"/>
      <c r="C1081" s="83" t="n"/>
      <c r="D1081" s="83" t="n"/>
      <c r="E1081" s="83" t="n"/>
      <c r="F1081" s="83" t="n"/>
      <c r="G1081" s="83" t="n"/>
      <c r="H1081" s="83" t="n"/>
      <c r="I1081" s="83" t="n"/>
      <c r="J1081" s="83" t="n"/>
      <c r="K1081" s="83" t="n"/>
      <c r="L1081" s="83" t="n"/>
      <c r="M1081" s="83" t="n"/>
      <c r="O1081" s="84" t="str">
        <f>IF($C1081="","",IFERROR(MATCH($B1081&amp;"|"&amp;$C1081,MUROS!$AX$11:$AX$70,0),0))</f>
        <v/>
      </c>
      <c r="P1081" s="84" t="str">
        <f>IF($D1081="","",IF(ISNUMBER(MATCH($D1081,CMB_S,0)),1,IF(ISNUMBER(MATCH($D1081,CMB_G,0)),2,0)))</f>
        <v/>
      </c>
      <c r="Q1081" s="84">
        <f>IF(ISNUMBER($H1081),-$H1081,0)</f>
        <v>0</v>
      </c>
      <c r="R1081" s="84">
        <f>IF(ISNUMBER($I1081),ABS($I1081),0)</f>
        <v>0</v>
      </c>
      <c r="S1081" s="84">
        <f>IF(ISNUMBER($M1081),ABS($M1081),0)</f>
        <v>0</v>
      </c>
      <c r="T1081" s="85" t="n">
        <v>1073</v>
      </c>
    </row>
    <row r="1082">
      <c r="B1082" s="83" t="n"/>
      <c r="C1082" s="83" t="n"/>
      <c r="D1082" s="83" t="n"/>
      <c r="E1082" s="83" t="n"/>
      <c r="F1082" s="83" t="n"/>
      <c r="G1082" s="83" t="n"/>
      <c r="H1082" s="83" t="n"/>
      <c r="I1082" s="83" t="n"/>
      <c r="J1082" s="83" t="n"/>
      <c r="K1082" s="83" t="n"/>
      <c r="L1082" s="83" t="n"/>
      <c r="M1082" s="83" t="n"/>
      <c r="O1082" s="84" t="str">
        <f>IF($C1082="","",IFERROR(MATCH($B1082&amp;"|"&amp;$C1082,MUROS!$AX$11:$AX$70,0),0))</f>
        <v/>
      </c>
      <c r="P1082" s="84" t="str">
        <f>IF($D1082="","",IF(ISNUMBER(MATCH($D1082,CMB_S,0)),1,IF(ISNUMBER(MATCH($D1082,CMB_G,0)),2,0)))</f>
        <v/>
      </c>
      <c r="Q1082" s="84">
        <f>IF(ISNUMBER($H1082),-$H1082,0)</f>
        <v>0</v>
      </c>
      <c r="R1082" s="84">
        <f>IF(ISNUMBER($I1082),ABS($I1082),0)</f>
        <v>0</v>
      </c>
      <c r="S1082" s="84">
        <f>IF(ISNUMBER($M1082),ABS($M1082),0)</f>
        <v>0</v>
      </c>
      <c r="T1082" s="85" t="n">
        <v>1074</v>
      </c>
    </row>
    <row r="1083">
      <c r="B1083" s="83" t="n"/>
      <c r="C1083" s="83" t="n"/>
      <c r="D1083" s="83" t="n"/>
      <c r="E1083" s="83" t="n"/>
      <c r="F1083" s="83" t="n"/>
      <c r="G1083" s="83" t="n"/>
      <c r="H1083" s="83" t="n"/>
      <c r="I1083" s="83" t="n"/>
      <c r="J1083" s="83" t="n"/>
      <c r="K1083" s="83" t="n"/>
      <c r="L1083" s="83" t="n"/>
      <c r="M1083" s="83" t="n"/>
      <c r="O1083" s="84" t="str">
        <f>IF($C1083="","",IFERROR(MATCH($B1083&amp;"|"&amp;$C1083,MUROS!$AX$11:$AX$70,0),0))</f>
        <v/>
      </c>
      <c r="P1083" s="84" t="str">
        <f>IF($D1083="","",IF(ISNUMBER(MATCH($D1083,CMB_S,0)),1,IF(ISNUMBER(MATCH($D1083,CMB_G,0)),2,0)))</f>
        <v/>
      </c>
      <c r="Q1083" s="84">
        <f>IF(ISNUMBER($H1083),-$H1083,0)</f>
        <v>0</v>
      </c>
      <c r="R1083" s="84">
        <f>IF(ISNUMBER($I1083),ABS($I1083),0)</f>
        <v>0</v>
      </c>
      <c r="S1083" s="84">
        <f>IF(ISNUMBER($M1083),ABS($M1083),0)</f>
        <v>0</v>
      </c>
      <c r="T1083" s="85" t="n">
        <v>1075</v>
      </c>
    </row>
    <row r="1084">
      <c r="B1084" s="83" t="n"/>
      <c r="C1084" s="83" t="n"/>
      <c r="D1084" s="83" t="n"/>
      <c r="E1084" s="83" t="n"/>
      <c r="F1084" s="83" t="n"/>
      <c r="G1084" s="83" t="n"/>
      <c r="H1084" s="83" t="n"/>
      <c r="I1084" s="83" t="n"/>
      <c r="J1084" s="83" t="n"/>
      <c r="K1084" s="83" t="n"/>
      <c r="L1084" s="83" t="n"/>
      <c r="M1084" s="83" t="n"/>
      <c r="O1084" s="84" t="str">
        <f>IF($C1084="","",IFERROR(MATCH($B1084&amp;"|"&amp;$C1084,MUROS!$AX$11:$AX$70,0),0))</f>
        <v/>
      </c>
      <c r="P1084" s="84" t="str">
        <f>IF($D1084="","",IF(ISNUMBER(MATCH($D1084,CMB_S,0)),1,IF(ISNUMBER(MATCH($D1084,CMB_G,0)),2,0)))</f>
        <v/>
      </c>
      <c r="Q1084" s="84">
        <f>IF(ISNUMBER($H1084),-$H1084,0)</f>
        <v>0</v>
      </c>
      <c r="R1084" s="84">
        <f>IF(ISNUMBER($I1084),ABS($I1084),0)</f>
        <v>0</v>
      </c>
      <c r="S1084" s="84">
        <f>IF(ISNUMBER($M1084),ABS($M1084),0)</f>
        <v>0</v>
      </c>
      <c r="T1084" s="85" t="n">
        <v>1076</v>
      </c>
    </row>
    <row r="1085">
      <c r="B1085" s="83" t="n"/>
      <c r="C1085" s="83" t="n"/>
      <c r="D1085" s="83" t="n"/>
      <c r="E1085" s="83" t="n"/>
      <c r="F1085" s="83" t="n"/>
      <c r="G1085" s="83" t="n"/>
      <c r="H1085" s="83" t="n"/>
      <c r="I1085" s="83" t="n"/>
      <c r="J1085" s="83" t="n"/>
      <c r="K1085" s="83" t="n"/>
      <c r="L1085" s="83" t="n"/>
      <c r="M1085" s="83" t="n"/>
      <c r="O1085" s="84" t="str">
        <f>IF($C1085="","",IFERROR(MATCH($B1085&amp;"|"&amp;$C1085,MUROS!$AX$11:$AX$70,0),0))</f>
        <v/>
      </c>
      <c r="P1085" s="84" t="str">
        <f>IF($D1085="","",IF(ISNUMBER(MATCH($D1085,CMB_S,0)),1,IF(ISNUMBER(MATCH($D1085,CMB_G,0)),2,0)))</f>
        <v/>
      </c>
      <c r="Q1085" s="84">
        <f>IF(ISNUMBER($H1085),-$H1085,0)</f>
        <v>0</v>
      </c>
      <c r="R1085" s="84">
        <f>IF(ISNUMBER($I1085),ABS($I1085),0)</f>
        <v>0</v>
      </c>
      <c r="S1085" s="84">
        <f>IF(ISNUMBER($M1085),ABS($M1085),0)</f>
        <v>0</v>
      </c>
      <c r="T1085" s="85" t="n">
        <v>1077</v>
      </c>
    </row>
    <row r="1086">
      <c r="B1086" s="83" t="n"/>
      <c r="C1086" s="83" t="n"/>
      <c r="D1086" s="83" t="n"/>
      <c r="E1086" s="83" t="n"/>
      <c r="F1086" s="83" t="n"/>
      <c r="G1086" s="83" t="n"/>
      <c r="H1086" s="83" t="n"/>
      <c r="I1086" s="83" t="n"/>
      <c r="J1086" s="83" t="n"/>
      <c r="K1086" s="83" t="n"/>
      <c r="L1086" s="83" t="n"/>
      <c r="M1086" s="83" t="n"/>
      <c r="O1086" s="84" t="str">
        <f>IF($C1086="","",IFERROR(MATCH($B1086&amp;"|"&amp;$C1086,MUROS!$AX$11:$AX$70,0),0))</f>
        <v/>
      </c>
      <c r="P1086" s="84" t="str">
        <f>IF($D1086="","",IF(ISNUMBER(MATCH($D1086,CMB_S,0)),1,IF(ISNUMBER(MATCH($D1086,CMB_G,0)),2,0)))</f>
        <v/>
      </c>
      <c r="Q1086" s="84">
        <f>IF(ISNUMBER($H1086),-$H1086,0)</f>
        <v>0</v>
      </c>
      <c r="R1086" s="84">
        <f>IF(ISNUMBER($I1086),ABS($I1086),0)</f>
        <v>0</v>
      </c>
      <c r="S1086" s="84">
        <f>IF(ISNUMBER($M1086),ABS($M1086),0)</f>
        <v>0</v>
      </c>
      <c r="T1086" s="85" t="n">
        <v>1078</v>
      </c>
    </row>
    <row r="1087">
      <c r="B1087" s="83" t="n"/>
      <c r="C1087" s="83" t="n"/>
      <c r="D1087" s="83" t="n"/>
      <c r="E1087" s="83" t="n"/>
      <c r="F1087" s="83" t="n"/>
      <c r="G1087" s="83" t="n"/>
      <c r="H1087" s="83" t="n"/>
      <c r="I1087" s="83" t="n"/>
      <c r="J1087" s="83" t="n"/>
      <c r="K1087" s="83" t="n"/>
      <c r="L1087" s="83" t="n"/>
      <c r="M1087" s="83" t="n"/>
      <c r="O1087" s="84" t="str">
        <f>IF($C1087="","",IFERROR(MATCH($B1087&amp;"|"&amp;$C1087,MUROS!$AX$11:$AX$70,0),0))</f>
        <v/>
      </c>
      <c r="P1087" s="84" t="str">
        <f>IF($D1087="","",IF(ISNUMBER(MATCH($D1087,CMB_S,0)),1,IF(ISNUMBER(MATCH($D1087,CMB_G,0)),2,0)))</f>
        <v/>
      </c>
      <c r="Q1087" s="84">
        <f>IF(ISNUMBER($H1087),-$H1087,0)</f>
        <v>0</v>
      </c>
      <c r="R1087" s="84">
        <f>IF(ISNUMBER($I1087),ABS($I1087),0)</f>
        <v>0</v>
      </c>
      <c r="S1087" s="84">
        <f>IF(ISNUMBER($M1087),ABS($M1087),0)</f>
        <v>0</v>
      </c>
      <c r="T1087" s="85" t="n">
        <v>1079</v>
      </c>
    </row>
    <row r="1088">
      <c r="B1088" s="83" t="n"/>
      <c r="C1088" s="83" t="n"/>
      <c r="D1088" s="83" t="n"/>
      <c r="E1088" s="83" t="n"/>
      <c r="F1088" s="83" t="n"/>
      <c r="G1088" s="83" t="n"/>
      <c r="H1088" s="83" t="n"/>
      <c r="I1088" s="83" t="n"/>
      <c r="J1088" s="83" t="n"/>
      <c r="K1088" s="83" t="n"/>
      <c r="L1088" s="83" t="n"/>
      <c r="M1088" s="83" t="n"/>
      <c r="O1088" s="84" t="str">
        <f>IF($C1088="","",IFERROR(MATCH($B1088&amp;"|"&amp;$C1088,MUROS!$AX$11:$AX$70,0),0))</f>
        <v/>
      </c>
      <c r="P1088" s="84" t="str">
        <f>IF($D1088="","",IF(ISNUMBER(MATCH($D1088,CMB_S,0)),1,IF(ISNUMBER(MATCH($D1088,CMB_G,0)),2,0)))</f>
        <v/>
      </c>
      <c r="Q1088" s="84">
        <f>IF(ISNUMBER($H1088),-$H1088,0)</f>
        <v>0</v>
      </c>
      <c r="R1088" s="84">
        <f>IF(ISNUMBER($I1088),ABS($I1088),0)</f>
        <v>0</v>
      </c>
      <c r="S1088" s="84">
        <f>IF(ISNUMBER($M1088),ABS($M1088),0)</f>
        <v>0</v>
      </c>
      <c r="T1088" s="85" t="n">
        <v>1080</v>
      </c>
    </row>
    <row r="1089">
      <c r="B1089" s="83" t="n"/>
      <c r="C1089" s="83" t="n"/>
      <c r="D1089" s="83" t="n"/>
      <c r="E1089" s="83" t="n"/>
      <c r="F1089" s="83" t="n"/>
      <c r="G1089" s="83" t="n"/>
      <c r="H1089" s="83" t="n"/>
      <c r="I1089" s="83" t="n"/>
      <c r="J1089" s="83" t="n"/>
      <c r="K1089" s="83" t="n"/>
      <c r="L1089" s="83" t="n"/>
      <c r="M1089" s="83" t="n"/>
      <c r="O1089" s="84" t="str">
        <f>IF($C1089="","",IFERROR(MATCH($B1089&amp;"|"&amp;$C1089,MUROS!$AX$11:$AX$70,0),0))</f>
        <v/>
      </c>
      <c r="P1089" s="84" t="str">
        <f>IF($D1089="","",IF(ISNUMBER(MATCH($D1089,CMB_S,0)),1,IF(ISNUMBER(MATCH($D1089,CMB_G,0)),2,0)))</f>
        <v/>
      </c>
      <c r="Q1089" s="84">
        <f>IF(ISNUMBER($H1089),-$H1089,0)</f>
        <v>0</v>
      </c>
      <c r="R1089" s="84">
        <f>IF(ISNUMBER($I1089),ABS($I1089),0)</f>
        <v>0</v>
      </c>
      <c r="S1089" s="84">
        <f>IF(ISNUMBER($M1089),ABS($M1089),0)</f>
        <v>0</v>
      </c>
      <c r="T1089" s="85" t="n">
        <v>1081</v>
      </c>
    </row>
    <row r="1090">
      <c r="B1090" s="83" t="n"/>
      <c r="C1090" s="83" t="n"/>
      <c r="D1090" s="83" t="n"/>
      <c r="E1090" s="83" t="n"/>
      <c r="F1090" s="83" t="n"/>
      <c r="G1090" s="83" t="n"/>
      <c r="H1090" s="83" t="n"/>
      <c r="I1090" s="83" t="n"/>
      <c r="J1090" s="83" t="n"/>
      <c r="K1090" s="83" t="n"/>
      <c r="L1090" s="83" t="n"/>
      <c r="M1090" s="83" t="n"/>
      <c r="O1090" s="84" t="str">
        <f>IF($C1090="","",IFERROR(MATCH($B1090&amp;"|"&amp;$C1090,MUROS!$AX$11:$AX$70,0),0))</f>
        <v/>
      </c>
      <c r="P1090" s="84" t="str">
        <f>IF($D1090="","",IF(ISNUMBER(MATCH($D1090,CMB_S,0)),1,IF(ISNUMBER(MATCH($D1090,CMB_G,0)),2,0)))</f>
        <v/>
      </c>
      <c r="Q1090" s="84">
        <f>IF(ISNUMBER($H1090),-$H1090,0)</f>
        <v>0</v>
      </c>
      <c r="R1090" s="84">
        <f>IF(ISNUMBER($I1090),ABS($I1090),0)</f>
        <v>0</v>
      </c>
      <c r="S1090" s="84">
        <f>IF(ISNUMBER($M1090),ABS($M1090),0)</f>
        <v>0</v>
      </c>
      <c r="T1090" s="85" t="n">
        <v>1082</v>
      </c>
    </row>
    <row r="1091">
      <c r="B1091" s="83" t="n"/>
      <c r="C1091" s="83" t="n"/>
      <c r="D1091" s="83" t="n"/>
      <c r="E1091" s="83" t="n"/>
      <c r="F1091" s="83" t="n"/>
      <c r="G1091" s="83" t="n"/>
      <c r="H1091" s="83" t="n"/>
      <c r="I1091" s="83" t="n"/>
      <c r="J1091" s="83" t="n"/>
      <c r="K1091" s="83" t="n"/>
      <c r="L1091" s="83" t="n"/>
      <c r="M1091" s="83" t="n"/>
      <c r="O1091" s="84" t="str">
        <f>IF($C1091="","",IFERROR(MATCH($B1091&amp;"|"&amp;$C1091,MUROS!$AX$11:$AX$70,0),0))</f>
        <v/>
      </c>
      <c r="P1091" s="84" t="str">
        <f>IF($D1091="","",IF(ISNUMBER(MATCH($D1091,CMB_S,0)),1,IF(ISNUMBER(MATCH($D1091,CMB_G,0)),2,0)))</f>
        <v/>
      </c>
      <c r="Q1091" s="84">
        <f>IF(ISNUMBER($H1091),-$H1091,0)</f>
        <v>0</v>
      </c>
      <c r="R1091" s="84">
        <f>IF(ISNUMBER($I1091),ABS($I1091),0)</f>
        <v>0</v>
      </c>
      <c r="S1091" s="84">
        <f>IF(ISNUMBER($M1091),ABS($M1091),0)</f>
        <v>0</v>
      </c>
      <c r="T1091" s="85" t="n">
        <v>1083</v>
      </c>
    </row>
    <row r="1092">
      <c r="B1092" s="83" t="n"/>
      <c r="C1092" s="83" t="n"/>
      <c r="D1092" s="83" t="n"/>
      <c r="E1092" s="83" t="n"/>
      <c r="F1092" s="83" t="n"/>
      <c r="G1092" s="83" t="n"/>
      <c r="H1092" s="83" t="n"/>
      <c r="I1092" s="83" t="n"/>
      <c r="J1092" s="83" t="n"/>
      <c r="K1092" s="83" t="n"/>
      <c r="L1092" s="83" t="n"/>
      <c r="M1092" s="83" t="n"/>
      <c r="O1092" s="84" t="str">
        <f>IF($C1092="","",IFERROR(MATCH($B1092&amp;"|"&amp;$C1092,MUROS!$AX$11:$AX$70,0),0))</f>
        <v/>
      </c>
      <c r="P1092" s="84" t="str">
        <f>IF($D1092="","",IF(ISNUMBER(MATCH($D1092,CMB_S,0)),1,IF(ISNUMBER(MATCH($D1092,CMB_G,0)),2,0)))</f>
        <v/>
      </c>
      <c r="Q1092" s="84">
        <f>IF(ISNUMBER($H1092),-$H1092,0)</f>
        <v>0</v>
      </c>
      <c r="R1092" s="84">
        <f>IF(ISNUMBER($I1092),ABS($I1092),0)</f>
        <v>0</v>
      </c>
      <c r="S1092" s="84">
        <f>IF(ISNUMBER($M1092),ABS($M1092),0)</f>
        <v>0</v>
      </c>
      <c r="T1092" s="85" t="n">
        <v>1084</v>
      </c>
    </row>
    <row r="1093">
      <c r="B1093" s="83" t="n"/>
      <c r="C1093" s="83" t="n"/>
      <c r="D1093" s="83" t="n"/>
      <c r="E1093" s="83" t="n"/>
      <c r="F1093" s="83" t="n"/>
      <c r="G1093" s="83" t="n"/>
      <c r="H1093" s="83" t="n"/>
      <c r="I1093" s="83" t="n"/>
      <c r="J1093" s="83" t="n"/>
      <c r="K1093" s="83" t="n"/>
      <c r="L1093" s="83" t="n"/>
      <c r="M1093" s="83" t="n"/>
      <c r="O1093" s="84" t="str">
        <f>IF($C1093="","",IFERROR(MATCH($B1093&amp;"|"&amp;$C1093,MUROS!$AX$11:$AX$70,0),0))</f>
        <v/>
      </c>
      <c r="P1093" s="84" t="str">
        <f>IF($D1093="","",IF(ISNUMBER(MATCH($D1093,CMB_S,0)),1,IF(ISNUMBER(MATCH($D1093,CMB_G,0)),2,0)))</f>
        <v/>
      </c>
      <c r="Q1093" s="84">
        <f>IF(ISNUMBER($H1093),-$H1093,0)</f>
        <v>0</v>
      </c>
      <c r="R1093" s="84">
        <f>IF(ISNUMBER($I1093),ABS($I1093),0)</f>
        <v>0</v>
      </c>
      <c r="S1093" s="84">
        <f>IF(ISNUMBER($M1093),ABS($M1093),0)</f>
        <v>0</v>
      </c>
      <c r="T1093" s="85" t="n">
        <v>1085</v>
      </c>
    </row>
    <row r="1094">
      <c r="B1094" s="83" t="n"/>
      <c r="C1094" s="83" t="n"/>
      <c r="D1094" s="83" t="n"/>
      <c r="E1094" s="83" t="n"/>
      <c r="F1094" s="83" t="n"/>
      <c r="G1094" s="83" t="n"/>
      <c r="H1094" s="83" t="n"/>
      <c r="I1094" s="83" t="n"/>
      <c r="J1094" s="83" t="n"/>
      <c r="K1094" s="83" t="n"/>
      <c r="L1094" s="83" t="n"/>
      <c r="M1094" s="83" t="n"/>
      <c r="O1094" s="84" t="str">
        <f>IF($C1094="","",IFERROR(MATCH($B1094&amp;"|"&amp;$C1094,MUROS!$AX$11:$AX$70,0),0))</f>
        <v/>
      </c>
      <c r="P1094" s="84" t="str">
        <f>IF($D1094="","",IF(ISNUMBER(MATCH($D1094,CMB_S,0)),1,IF(ISNUMBER(MATCH($D1094,CMB_G,0)),2,0)))</f>
        <v/>
      </c>
      <c r="Q1094" s="84">
        <f>IF(ISNUMBER($H1094),-$H1094,0)</f>
        <v>0</v>
      </c>
      <c r="R1094" s="84">
        <f>IF(ISNUMBER($I1094),ABS($I1094),0)</f>
        <v>0</v>
      </c>
      <c r="S1094" s="84">
        <f>IF(ISNUMBER($M1094),ABS($M1094),0)</f>
        <v>0</v>
      </c>
      <c r="T1094" s="85" t="n">
        <v>1086</v>
      </c>
    </row>
    <row r="1095">
      <c r="B1095" s="83" t="n"/>
      <c r="C1095" s="83" t="n"/>
      <c r="D1095" s="83" t="n"/>
      <c r="E1095" s="83" t="n"/>
      <c r="F1095" s="83" t="n"/>
      <c r="G1095" s="83" t="n"/>
      <c r="H1095" s="83" t="n"/>
      <c r="I1095" s="83" t="n"/>
      <c r="J1095" s="83" t="n"/>
      <c r="K1095" s="83" t="n"/>
      <c r="L1095" s="83" t="n"/>
      <c r="M1095" s="83" t="n"/>
      <c r="O1095" s="84" t="str">
        <f>IF($C1095="","",IFERROR(MATCH($B1095&amp;"|"&amp;$C1095,MUROS!$AX$11:$AX$70,0),0))</f>
        <v/>
      </c>
      <c r="P1095" s="84" t="str">
        <f>IF($D1095="","",IF(ISNUMBER(MATCH($D1095,CMB_S,0)),1,IF(ISNUMBER(MATCH($D1095,CMB_G,0)),2,0)))</f>
        <v/>
      </c>
      <c r="Q1095" s="84">
        <f>IF(ISNUMBER($H1095),-$H1095,0)</f>
        <v>0</v>
      </c>
      <c r="R1095" s="84">
        <f>IF(ISNUMBER($I1095),ABS($I1095),0)</f>
        <v>0</v>
      </c>
      <c r="S1095" s="84">
        <f>IF(ISNUMBER($M1095),ABS($M1095),0)</f>
        <v>0</v>
      </c>
      <c r="T1095" s="85" t="n">
        <v>1087</v>
      </c>
    </row>
    <row r="1096">
      <c r="B1096" s="83" t="n"/>
      <c r="C1096" s="83" t="n"/>
      <c r="D1096" s="83" t="n"/>
      <c r="E1096" s="83" t="n"/>
      <c r="F1096" s="83" t="n"/>
      <c r="G1096" s="83" t="n"/>
      <c r="H1096" s="83" t="n"/>
      <c r="I1096" s="83" t="n"/>
      <c r="J1096" s="83" t="n"/>
      <c r="K1096" s="83" t="n"/>
      <c r="L1096" s="83" t="n"/>
      <c r="M1096" s="83" t="n"/>
      <c r="O1096" s="84" t="str">
        <f>IF($C1096="","",IFERROR(MATCH($B1096&amp;"|"&amp;$C1096,MUROS!$AX$11:$AX$70,0),0))</f>
        <v/>
      </c>
      <c r="P1096" s="84" t="str">
        <f>IF($D1096="","",IF(ISNUMBER(MATCH($D1096,CMB_S,0)),1,IF(ISNUMBER(MATCH($D1096,CMB_G,0)),2,0)))</f>
        <v/>
      </c>
      <c r="Q1096" s="84">
        <f>IF(ISNUMBER($H1096),-$H1096,0)</f>
        <v>0</v>
      </c>
      <c r="R1096" s="84">
        <f>IF(ISNUMBER($I1096),ABS($I1096),0)</f>
        <v>0</v>
      </c>
      <c r="S1096" s="84">
        <f>IF(ISNUMBER($M1096),ABS($M1096),0)</f>
        <v>0</v>
      </c>
      <c r="T1096" s="85" t="n">
        <v>1088</v>
      </c>
    </row>
    <row r="1097">
      <c r="B1097" s="83" t="n"/>
      <c r="C1097" s="83" t="n"/>
      <c r="D1097" s="83" t="n"/>
      <c r="E1097" s="83" t="n"/>
      <c r="F1097" s="83" t="n"/>
      <c r="G1097" s="83" t="n"/>
      <c r="H1097" s="83" t="n"/>
      <c r="I1097" s="83" t="n"/>
      <c r="J1097" s="83" t="n"/>
      <c r="K1097" s="83" t="n"/>
      <c r="L1097" s="83" t="n"/>
      <c r="M1097" s="83" t="n"/>
      <c r="O1097" s="84" t="str">
        <f>IF($C1097="","",IFERROR(MATCH($B1097&amp;"|"&amp;$C1097,MUROS!$AX$11:$AX$70,0),0))</f>
        <v/>
      </c>
      <c r="P1097" s="84" t="str">
        <f>IF($D1097="","",IF(ISNUMBER(MATCH($D1097,CMB_S,0)),1,IF(ISNUMBER(MATCH($D1097,CMB_G,0)),2,0)))</f>
        <v/>
      </c>
      <c r="Q1097" s="84">
        <f>IF(ISNUMBER($H1097),-$H1097,0)</f>
        <v>0</v>
      </c>
      <c r="R1097" s="84">
        <f>IF(ISNUMBER($I1097),ABS($I1097),0)</f>
        <v>0</v>
      </c>
      <c r="S1097" s="84">
        <f>IF(ISNUMBER($M1097),ABS($M1097),0)</f>
        <v>0</v>
      </c>
      <c r="T1097" s="85" t="n">
        <v>1089</v>
      </c>
    </row>
    <row r="1098">
      <c r="B1098" s="83" t="n"/>
      <c r="C1098" s="83" t="n"/>
      <c r="D1098" s="83" t="n"/>
      <c r="E1098" s="83" t="n"/>
      <c r="F1098" s="83" t="n"/>
      <c r="G1098" s="83" t="n"/>
      <c r="H1098" s="83" t="n"/>
      <c r="I1098" s="83" t="n"/>
      <c r="J1098" s="83" t="n"/>
      <c r="K1098" s="83" t="n"/>
      <c r="L1098" s="83" t="n"/>
      <c r="M1098" s="83" t="n"/>
      <c r="O1098" s="84" t="str">
        <f>IF($C1098="","",IFERROR(MATCH($B1098&amp;"|"&amp;$C1098,MUROS!$AX$11:$AX$70,0),0))</f>
        <v/>
      </c>
      <c r="P1098" s="84" t="str">
        <f>IF($D1098="","",IF(ISNUMBER(MATCH($D1098,CMB_S,0)),1,IF(ISNUMBER(MATCH($D1098,CMB_G,0)),2,0)))</f>
        <v/>
      </c>
      <c r="Q1098" s="84">
        <f>IF(ISNUMBER($H1098),-$H1098,0)</f>
        <v>0</v>
      </c>
      <c r="R1098" s="84">
        <f>IF(ISNUMBER($I1098),ABS($I1098),0)</f>
        <v>0</v>
      </c>
      <c r="S1098" s="84">
        <f>IF(ISNUMBER($M1098),ABS($M1098),0)</f>
        <v>0</v>
      </c>
      <c r="T1098" s="85" t="n">
        <v>1090</v>
      </c>
    </row>
    <row r="1099">
      <c r="B1099" s="83" t="n"/>
      <c r="C1099" s="83" t="n"/>
      <c r="D1099" s="83" t="n"/>
      <c r="E1099" s="83" t="n"/>
      <c r="F1099" s="83" t="n"/>
      <c r="G1099" s="83" t="n"/>
      <c r="H1099" s="83" t="n"/>
      <c r="I1099" s="83" t="n"/>
      <c r="J1099" s="83" t="n"/>
      <c r="K1099" s="83" t="n"/>
      <c r="L1099" s="83" t="n"/>
      <c r="M1099" s="83" t="n"/>
      <c r="O1099" s="84" t="str">
        <f>IF($C1099="","",IFERROR(MATCH($B1099&amp;"|"&amp;$C1099,MUROS!$AX$11:$AX$70,0),0))</f>
        <v/>
      </c>
      <c r="P1099" s="84" t="str">
        <f>IF($D1099="","",IF(ISNUMBER(MATCH($D1099,CMB_S,0)),1,IF(ISNUMBER(MATCH($D1099,CMB_G,0)),2,0)))</f>
        <v/>
      </c>
      <c r="Q1099" s="84">
        <f>IF(ISNUMBER($H1099),-$H1099,0)</f>
        <v>0</v>
      </c>
      <c r="R1099" s="84">
        <f>IF(ISNUMBER($I1099),ABS($I1099),0)</f>
        <v>0</v>
      </c>
      <c r="S1099" s="84">
        <f>IF(ISNUMBER($M1099),ABS($M1099),0)</f>
        <v>0</v>
      </c>
      <c r="T1099" s="85" t="n">
        <v>1091</v>
      </c>
    </row>
    <row r="1100">
      <c r="B1100" s="83" t="n"/>
      <c r="C1100" s="83" t="n"/>
      <c r="D1100" s="83" t="n"/>
      <c r="E1100" s="83" t="n"/>
      <c r="F1100" s="83" t="n"/>
      <c r="G1100" s="83" t="n"/>
      <c r="H1100" s="83" t="n"/>
      <c r="I1100" s="83" t="n"/>
      <c r="J1100" s="83" t="n"/>
      <c r="K1100" s="83" t="n"/>
      <c r="L1100" s="83" t="n"/>
      <c r="M1100" s="83" t="n"/>
      <c r="O1100" s="84" t="str">
        <f>IF($C1100="","",IFERROR(MATCH($B1100&amp;"|"&amp;$C1100,MUROS!$AX$11:$AX$70,0),0))</f>
        <v/>
      </c>
      <c r="P1100" s="84" t="str">
        <f>IF($D1100="","",IF(ISNUMBER(MATCH($D1100,CMB_S,0)),1,IF(ISNUMBER(MATCH($D1100,CMB_G,0)),2,0)))</f>
        <v/>
      </c>
      <c r="Q1100" s="84">
        <f>IF(ISNUMBER($H1100),-$H1100,0)</f>
        <v>0</v>
      </c>
      <c r="R1100" s="84">
        <f>IF(ISNUMBER($I1100),ABS($I1100),0)</f>
        <v>0</v>
      </c>
      <c r="S1100" s="84">
        <f>IF(ISNUMBER($M1100),ABS($M1100),0)</f>
        <v>0</v>
      </c>
      <c r="T1100" s="85" t="n">
        <v>1092</v>
      </c>
    </row>
    <row r="1101">
      <c r="B1101" s="83" t="n"/>
      <c r="C1101" s="83" t="n"/>
      <c r="D1101" s="83" t="n"/>
      <c r="E1101" s="83" t="n"/>
      <c r="F1101" s="83" t="n"/>
      <c r="G1101" s="83" t="n"/>
      <c r="H1101" s="83" t="n"/>
      <c r="I1101" s="83" t="n"/>
      <c r="J1101" s="83" t="n"/>
      <c r="K1101" s="83" t="n"/>
      <c r="L1101" s="83" t="n"/>
      <c r="M1101" s="83" t="n"/>
      <c r="O1101" s="84" t="str">
        <f>IF($C1101="","",IFERROR(MATCH($B1101&amp;"|"&amp;$C1101,MUROS!$AX$11:$AX$70,0),0))</f>
        <v/>
      </c>
      <c r="P1101" s="84" t="str">
        <f>IF($D1101="","",IF(ISNUMBER(MATCH($D1101,CMB_S,0)),1,IF(ISNUMBER(MATCH($D1101,CMB_G,0)),2,0)))</f>
        <v/>
      </c>
      <c r="Q1101" s="84">
        <f>IF(ISNUMBER($H1101),-$H1101,0)</f>
        <v>0</v>
      </c>
      <c r="R1101" s="84">
        <f>IF(ISNUMBER($I1101),ABS($I1101),0)</f>
        <v>0</v>
      </c>
      <c r="S1101" s="84">
        <f>IF(ISNUMBER($M1101),ABS($M1101),0)</f>
        <v>0</v>
      </c>
      <c r="T1101" s="85" t="n">
        <v>1093</v>
      </c>
    </row>
    <row r="1102">
      <c r="B1102" s="83" t="n"/>
      <c r="C1102" s="83" t="n"/>
      <c r="D1102" s="83" t="n"/>
      <c r="E1102" s="83" t="n"/>
      <c r="F1102" s="83" t="n"/>
      <c r="G1102" s="83" t="n"/>
      <c r="H1102" s="83" t="n"/>
      <c r="I1102" s="83" t="n"/>
      <c r="J1102" s="83" t="n"/>
      <c r="K1102" s="83" t="n"/>
      <c r="L1102" s="83" t="n"/>
      <c r="M1102" s="83" t="n"/>
      <c r="O1102" s="84" t="str">
        <f>IF($C1102="","",IFERROR(MATCH($B1102&amp;"|"&amp;$C1102,MUROS!$AX$11:$AX$70,0),0))</f>
        <v/>
      </c>
      <c r="P1102" s="84" t="str">
        <f>IF($D1102="","",IF(ISNUMBER(MATCH($D1102,CMB_S,0)),1,IF(ISNUMBER(MATCH($D1102,CMB_G,0)),2,0)))</f>
        <v/>
      </c>
      <c r="Q1102" s="84">
        <f>IF(ISNUMBER($H1102),-$H1102,0)</f>
        <v>0</v>
      </c>
      <c r="R1102" s="84">
        <f>IF(ISNUMBER($I1102),ABS($I1102),0)</f>
        <v>0</v>
      </c>
      <c r="S1102" s="84">
        <f>IF(ISNUMBER($M1102),ABS($M1102),0)</f>
        <v>0</v>
      </c>
      <c r="T1102" s="85" t="n">
        <v>1094</v>
      </c>
    </row>
    <row r="1103">
      <c r="B1103" s="83" t="n"/>
      <c r="C1103" s="83" t="n"/>
      <c r="D1103" s="83" t="n"/>
      <c r="E1103" s="83" t="n"/>
      <c r="F1103" s="83" t="n"/>
      <c r="G1103" s="83" t="n"/>
      <c r="H1103" s="83" t="n"/>
      <c r="I1103" s="83" t="n"/>
      <c r="J1103" s="83" t="n"/>
      <c r="K1103" s="83" t="n"/>
      <c r="L1103" s="83" t="n"/>
      <c r="M1103" s="83" t="n"/>
      <c r="O1103" s="84" t="str">
        <f>IF($C1103="","",IFERROR(MATCH($B1103&amp;"|"&amp;$C1103,MUROS!$AX$11:$AX$70,0),0))</f>
        <v/>
      </c>
      <c r="P1103" s="84" t="str">
        <f>IF($D1103="","",IF(ISNUMBER(MATCH($D1103,CMB_S,0)),1,IF(ISNUMBER(MATCH($D1103,CMB_G,0)),2,0)))</f>
        <v/>
      </c>
      <c r="Q1103" s="84">
        <f>IF(ISNUMBER($H1103),-$H1103,0)</f>
        <v>0</v>
      </c>
      <c r="R1103" s="84">
        <f>IF(ISNUMBER($I1103),ABS($I1103),0)</f>
        <v>0</v>
      </c>
      <c r="S1103" s="84">
        <f>IF(ISNUMBER($M1103),ABS($M1103),0)</f>
        <v>0</v>
      </c>
      <c r="T1103" s="85" t="n">
        <v>1095</v>
      </c>
    </row>
    <row r="1104">
      <c r="B1104" s="83" t="n"/>
      <c r="C1104" s="83" t="n"/>
      <c r="D1104" s="83" t="n"/>
      <c r="E1104" s="83" t="n"/>
      <c r="F1104" s="83" t="n"/>
      <c r="G1104" s="83" t="n"/>
      <c r="H1104" s="83" t="n"/>
      <c r="I1104" s="83" t="n"/>
      <c r="J1104" s="83" t="n"/>
      <c r="K1104" s="83" t="n"/>
      <c r="L1104" s="83" t="n"/>
      <c r="M1104" s="83" t="n"/>
      <c r="O1104" s="84" t="str">
        <f>IF($C1104="","",IFERROR(MATCH($B1104&amp;"|"&amp;$C1104,MUROS!$AX$11:$AX$70,0),0))</f>
        <v/>
      </c>
      <c r="P1104" s="84" t="str">
        <f>IF($D1104="","",IF(ISNUMBER(MATCH($D1104,CMB_S,0)),1,IF(ISNUMBER(MATCH($D1104,CMB_G,0)),2,0)))</f>
        <v/>
      </c>
      <c r="Q1104" s="84">
        <f>IF(ISNUMBER($H1104),-$H1104,0)</f>
        <v>0</v>
      </c>
      <c r="R1104" s="84">
        <f>IF(ISNUMBER($I1104),ABS($I1104),0)</f>
        <v>0</v>
      </c>
      <c r="S1104" s="84">
        <f>IF(ISNUMBER($M1104),ABS($M1104),0)</f>
        <v>0</v>
      </c>
      <c r="T1104" s="85" t="n">
        <v>1096</v>
      </c>
    </row>
    <row r="1105">
      <c r="B1105" s="83" t="n"/>
      <c r="C1105" s="83" t="n"/>
      <c r="D1105" s="83" t="n"/>
      <c r="E1105" s="83" t="n"/>
      <c r="F1105" s="83" t="n"/>
      <c r="G1105" s="83" t="n"/>
      <c r="H1105" s="83" t="n"/>
      <c r="I1105" s="83" t="n"/>
      <c r="J1105" s="83" t="n"/>
      <c r="K1105" s="83" t="n"/>
      <c r="L1105" s="83" t="n"/>
      <c r="M1105" s="83" t="n"/>
      <c r="O1105" s="84" t="str">
        <f>IF($C1105="","",IFERROR(MATCH($B1105&amp;"|"&amp;$C1105,MUROS!$AX$11:$AX$70,0),0))</f>
        <v/>
      </c>
      <c r="P1105" s="84" t="str">
        <f>IF($D1105="","",IF(ISNUMBER(MATCH($D1105,CMB_S,0)),1,IF(ISNUMBER(MATCH($D1105,CMB_G,0)),2,0)))</f>
        <v/>
      </c>
      <c r="Q1105" s="84">
        <f>IF(ISNUMBER($H1105),-$H1105,0)</f>
        <v>0</v>
      </c>
      <c r="R1105" s="84">
        <f>IF(ISNUMBER($I1105),ABS($I1105),0)</f>
        <v>0</v>
      </c>
      <c r="S1105" s="84">
        <f>IF(ISNUMBER($M1105),ABS($M1105),0)</f>
        <v>0</v>
      </c>
      <c r="T1105" s="85" t="n">
        <v>1097</v>
      </c>
    </row>
    <row r="1106">
      <c r="B1106" s="83" t="n"/>
      <c r="C1106" s="83" t="n"/>
      <c r="D1106" s="83" t="n"/>
      <c r="E1106" s="83" t="n"/>
      <c r="F1106" s="83" t="n"/>
      <c r="G1106" s="83" t="n"/>
      <c r="H1106" s="83" t="n"/>
      <c r="I1106" s="83" t="n"/>
      <c r="J1106" s="83" t="n"/>
      <c r="K1106" s="83" t="n"/>
      <c r="L1106" s="83" t="n"/>
      <c r="M1106" s="83" t="n"/>
      <c r="O1106" s="84" t="str">
        <f>IF($C1106="","",IFERROR(MATCH($B1106&amp;"|"&amp;$C1106,MUROS!$AX$11:$AX$70,0),0))</f>
        <v/>
      </c>
      <c r="P1106" s="84" t="str">
        <f>IF($D1106="","",IF(ISNUMBER(MATCH($D1106,CMB_S,0)),1,IF(ISNUMBER(MATCH($D1106,CMB_G,0)),2,0)))</f>
        <v/>
      </c>
      <c r="Q1106" s="84">
        <f>IF(ISNUMBER($H1106),-$H1106,0)</f>
        <v>0</v>
      </c>
      <c r="R1106" s="84">
        <f>IF(ISNUMBER($I1106),ABS($I1106),0)</f>
        <v>0</v>
      </c>
      <c r="S1106" s="84">
        <f>IF(ISNUMBER($M1106),ABS($M1106),0)</f>
        <v>0</v>
      </c>
      <c r="T1106" s="85" t="n">
        <v>1098</v>
      </c>
    </row>
    <row r="1107">
      <c r="B1107" s="83" t="n"/>
      <c r="C1107" s="83" t="n"/>
      <c r="D1107" s="83" t="n"/>
      <c r="E1107" s="83" t="n"/>
      <c r="F1107" s="83" t="n"/>
      <c r="G1107" s="83" t="n"/>
      <c r="H1107" s="83" t="n"/>
      <c r="I1107" s="83" t="n"/>
      <c r="J1107" s="83" t="n"/>
      <c r="K1107" s="83" t="n"/>
      <c r="L1107" s="83" t="n"/>
      <c r="M1107" s="83" t="n"/>
      <c r="O1107" s="84" t="str">
        <f>IF($C1107="","",IFERROR(MATCH($B1107&amp;"|"&amp;$C1107,MUROS!$AX$11:$AX$70,0),0))</f>
        <v/>
      </c>
      <c r="P1107" s="84" t="str">
        <f>IF($D1107="","",IF(ISNUMBER(MATCH($D1107,CMB_S,0)),1,IF(ISNUMBER(MATCH($D1107,CMB_G,0)),2,0)))</f>
        <v/>
      </c>
      <c r="Q1107" s="84">
        <f>IF(ISNUMBER($H1107),-$H1107,0)</f>
        <v>0</v>
      </c>
      <c r="R1107" s="84">
        <f>IF(ISNUMBER($I1107),ABS($I1107),0)</f>
        <v>0</v>
      </c>
      <c r="S1107" s="84">
        <f>IF(ISNUMBER($M1107),ABS($M1107),0)</f>
        <v>0</v>
      </c>
      <c r="T1107" s="85" t="n">
        <v>1099</v>
      </c>
    </row>
    <row r="1108">
      <c r="B1108" s="83" t="n"/>
      <c r="C1108" s="83" t="n"/>
      <c r="D1108" s="83" t="n"/>
      <c r="E1108" s="83" t="n"/>
      <c r="F1108" s="83" t="n"/>
      <c r="G1108" s="83" t="n"/>
      <c r="H1108" s="83" t="n"/>
      <c r="I1108" s="83" t="n"/>
      <c r="J1108" s="83" t="n"/>
      <c r="K1108" s="83" t="n"/>
      <c r="L1108" s="83" t="n"/>
      <c r="M1108" s="83" t="n"/>
      <c r="O1108" s="84" t="str">
        <f>IF($C1108="","",IFERROR(MATCH($B1108&amp;"|"&amp;$C1108,MUROS!$AX$11:$AX$70,0),0))</f>
        <v/>
      </c>
      <c r="P1108" s="84" t="str">
        <f>IF($D1108="","",IF(ISNUMBER(MATCH($D1108,CMB_S,0)),1,IF(ISNUMBER(MATCH($D1108,CMB_G,0)),2,0)))</f>
        <v/>
      </c>
      <c r="Q1108" s="84">
        <f>IF(ISNUMBER($H1108),-$H1108,0)</f>
        <v>0</v>
      </c>
      <c r="R1108" s="84">
        <f>IF(ISNUMBER($I1108),ABS($I1108),0)</f>
        <v>0</v>
      </c>
      <c r="S1108" s="84">
        <f>IF(ISNUMBER($M1108),ABS($M1108),0)</f>
        <v>0</v>
      </c>
      <c r="T1108" s="85" t="n">
        <v>1100</v>
      </c>
    </row>
    <row r="1109">
      <c r="B1109" s="83" t="n"/>
      <c r="C1109" s="83" t="n"/>
      <c r="D1109" s="83" t="n"/>
      <c r="E1109" s="83" t="n"/>
      <c r="F1109" s="83" t="n"/>
      <c r="G1109" s="83" t="n"/>
      <c r="H1109" s="83" t="n"/>
      <c r="I1109" s="83" t="n"/>
      <c r="J1109" s="83" t="n"/>
      <c r="K1109" s="83" t="n"/>
      <c r="L1109" s="83" t="n"/>
      <c r="M1109" s="83" t="n"/>
      <c r="O1109" s="84" t="str">
        <f>IF($C1109="","",IFERROR(MATCH($B1109&amp;"|"&amp;$C1109,MUROS!$AX$11:$AX$70,0),0))</f>
        <v/>
      </c>
      <c r="P1109" s="84" t="str">
        <f>IF($D1109="","",IF(ISNUMBER(MATCH($D1109,CMB_S,0)),1,IF(ISNUMBER(MATCH($D1109,CMB_G,0)),2,0)))</f>
        <v/>
      </c>
      <c r="Q1109" s="84">
        <f>IF(ISNUMBER($H1109),-$H1109,0)</f>
        <v>0</v>
      </c>
      <c r="R1109" s="84">
        <f>IF(ISNUMBER($I1109),ABS($I1109),0)</f>
        <v>0</v>
      </c>
      <c r="S1109" s="84">
        <f>IF(ISNUMBER($M1109),ABS($M1109),0)</f>
        <v>0</v>
      </c>
      <c r="T1109" s="85" t="n">
        <v>1101</v>
      </c>
    </row>
    <row r="1110">
      <c r="B1110" s="83" t="n"/>
      <c r="C1110" s="83" t="n"/>
      <c r="D1110" s="83" t="n"/>
      <c r="E1110" s="83" t="n"/>
      <c r="F1110" s="83" t="n"/>
      <c r="G1110" s="83" t="n"/>
      <c r="H1110" s="83" t="n"/>
      <c r="I1110" s="83" t="n"/>
      <c r="J1110" s="83" t="n"/>
      <c r="K1110" s="83" t="n"/>
      <c r="L1110" s="83" t="n"/>
      <c r="M1110" s="83" t="n"/>
      <c r="O1110" s="84" t="str">
        <f>IF($C1110="","",IFERROR(MATCH($B1110&amp;"|"&amp;$C1110,MUROS!$AX$11:$AX$70,0),0))</f>
        <v/>
      </c>
      <c r="P1110" s="84" t="str">
        <f>IF($D1110="","",IF(ISNUMBER(MATCH($D1110,CMB_S,0)),1,IF(ISNUMBER(MATCH($D1110,CMB_G,0)),2,0)))</f>
        <v/>
      </c>
      <c r="Q1110" s="84">
        <f>IF(ISNUMBER($H1110),-$H1110,0)</f>
        <v>0</v>
      </c>
      <c r="R1110" s="84">
        <f>IF(ISNUMBER($I1110),ABS($I1110),0)</f>
        <v>0</v>
      </c>
      <c r="S1110" s="84">
        <f>IF(ISNUMBER($M1110),ABS($M1110),0)</f>
        <v>0</v>
      </c>
      <c r="T1110" s="85" t="n">
        <v>1102</v>
      </c>
    </row>
    <row r="1111">
      <c r="B1111" s="83" t="n"/>
      <c r="C1111" s="83" t="n"/>
      <c r="D1111" s="83" t="n"/>
      <c r="E1111" s="83" t="n"/>
      <c r="F1111" s="83" t="n"/>
      <c r="G1111" s="83" t="n"/>
      <c r="H1111" s="83" t="n"/>
      <c r="I1111" s="83" t="n"/>
      <c r="J1111" s="83" t="n"/>
      <c r="K1111" s="83" t="n"/>
      <c r="L1111" s="83" t="n"/>
      <c r="M1111" s="83" t="n"/>
      <c r="O1111" s="84" t="str">
        <f>IF($C1111="","",IFERROR(MATCH($B1111&amp;"|"&amp;$C1111,MUROS!$AX$11:$AX$70,0),0))</f>
        <v/>
      </c>
      <c r="P1111" s="84" t="str">
        <f>IF($D1111="","",IF(ISNUMBER(MATCH($D1111,CMB_S,0)),1,IF(ISNUMBER(MATCH($D1111,CMB_G,0)),2,0)))</f>
        <v/>
      </c>
      <c r="Q1111" s="84">
        <f>IF(ISNUMBER($H1111),-$H1111,0)</f>
        <v>0</v>
      </c>
      <c r="R1111" s="84">
        <f>IF(ISNUMBER($I1111),ABS($I1111),0)</f>
        <v>0</v>
      </c>
      <c r="S1111" s="84">
        <f>IF(ISNUMBER($M1111),ABS($M1111),0)</f>
        <v>0</v>
      </c>
      <c r="T1111" s="85" t="n">
        <v>1103</v>
      </c>
    </row>
    <row r="1112">
      <c r="B1112" s="83" t="n"/>
      <c r="C1112" s="83" t="n"/>
      <c r="D1112" s="83" t="n"/>
      <c r="E1112" s="83" t="n"/>
      <c r="F1112" s="83" t="n"/>
      <c r="G1112" s="83" t="n"/>
      <c r="H1112" s="83" t="n"/>
      <c r="I1112" s="83" t="n"/>
      <c r="J1112" s="83" t="n"/>
      <c r="K1112" s="83" t="n"/>
      <c r="L1112" s="83" t="n"/>
      <c r="M1112" s="83" t="n"/>
      <c r="O1112" s="84" t="str">
        <f>IF($C1112="","",IFERROR(MATCH($B1112&amp;"|"&amp;$C1112,MUROS!$AX$11:$AX$70,0),0))</f>
        <v/>
      </c>
      <c r="P1112" s="84" t="str">
        <f>IF($D1112="","",IF(ISNUMBER(MATCH($D1112,CMB_S,0)),1,IF(ISNUMBER(MATCH($D1112,CMB_G,0)),2,0)))</f>
        <v/>
      </c>
      <c r="Q1112" s="84">
        <f>IF(ISNUMBER($H1112),-$H1112,0)</f>
        <v>0</v>
      </c>
      <c r="R1112" s="84">
        <f>IF(ISNUMBER($I1112),ABS($I1112),0)</f>
        <v>0</v>
      </c>
      <c r="S1112" s="84">
        <f>IF(ISNUMBER($M1112),ABS($M1112),0)</f>
        <v>0</v>
      </c>
      <c r="T1112" s="85" t="n">
        <v>1104</v>
      </c>
    </row>
    <row r="1113">
      <c r="B1113" s="83" t="n"/>
      <c r="C1113" s="83" t="n"/>
      <c r="D1113" s="83" t="n"/>
      <c r="E1113" s="83" t="n"/>
      <c r="F1113" s="83" t="n"/>
      <c r="G1113" s="83" t="n"/>
      <c r="H1113" s="83" t="n"/>
      <c r="I1113" s="83" t="n"/>
      <c r="J1113" s="83" t="n"/>
      <c r="K1113" s="83" t="n"/>
      <c r="L1113" s="83" t="n"/>
      <c r="M1113" s="83" t="n"/>
      <c r="O1113" s="84" t="str">
        <f>IF($C1113="","",IFERROR(MATCH($B1113&amp;"|"&amp;$C1113,MUROS!$AX$11:$AX$70,0),0))</f>
        <v/>
      </c>
      <c r="P1113" s="84" t="str">
        <f>IF($D1113="","",IF(ISNUMBER(MATCH($D1113,CMB_S,0)),1,IF(ISNUMBER(MATCH($D1113,CMB_G,0)),2,0)))</f>
        <v/>
      </c>
      <c r="Q1113" s="84">
        <f>IF(ISNUMBER($H1113),-$H1113,0)</f>
        <v>0</v>
      </c>
      <c r="R1113" s="84">
        <f>IF(ISNUMBER($I1113),ABS($I1113),0)</f>
        <v>0</v>
      </c>
      <c r="S1113" s="84">
        <f>IF(ISNUMBER($M1113),ABS($M1113),0)</f>
        <v>0</v>
      </c>
      <c r="T1113" s="85" t="n">
        <v>1105</v>
      </c>
    </row>
    <row r="1114">
      <c r="B1114" s="83" t="n"/>
      <c r="C1114" s="83" t="n"/>
      <c r="D1114" s="83" t="n"/>
      <c r="E1114" s="83" t="n"/>
      <c r="F1114" s="83" t="n"/>
      <c r="G1114" s="83" t="n"/>
      <c r="H1114" s="83" t="n"/>
      <c r="I1114" s="83" t="n"/>
      <c r="J1114" s="83" t="n"/>
      <c r="K1114" s="83" t="n"/>
      <c r="L1114" s="83" t="n"/>
      <c r="M1114" s="83" t="n"/>
      <c r="O1114" s="84" t="str">
        <f>IF($C1114="","",IFERROR(MATCH($B1114&amp;"|"&amp;$C1114,MUROS!$AX$11:$AX$70,0),0))</f>
        <v/>
      </c>
      <c r="P1114" s="84" t="str">
        <f>IF($D1114="","",IF(ISNUMBER(MATCH($D1114,CMB_S,0)),1,IF(ISNUMBER(MATCH($D1114,CMB_G,0)),2,0)))</f>
        <v/>
      </c>
      <c r="Q1114" s="84">
        <f>IF(ISNUMBER($H1114),-$H1114,0)</f>
        <v>0</v>
      </c>
      <c r="R1114" s="84">
        <f>IF(ISNUMBER($I1114),ABS($I1114),0)</f>
        <v>0</v>
      </c>
      <c r="S1114" s="84">
        <f>IF(ISNUMBER($M1114),ABS($M1114),0)</f>
        <v>0</v>
      </c>
      <c r="T1114" s="85" t="n">
        <v>1106</v>
      </c>
    </row>
    <row r="1115">
      <c r="B1115" s="83" t="n"/>
      <c r="C1115" s="83" t="n"/>
      <c r="D1115" s="83" t="n"/>
      <c r="E1115" s="83" t="n"/>
      <c r="F1115" s="83" t="n"/>
      <c r="G1115" s="83" t="n"/>
      <c r="H1115" s="83" t="n"/>
      <c r="I1115" s="83" t="n"/>
      <c r="J1115" s="83" t="n"/>
      <c r="K1115" s="83" t="n"/>
      <c r="L1115" s="83" t="n"/>
      <c r="M1115" s="83" t="n"/>
      <c r="O1115" s="84" t="str">
        <f>IF($C1115="","",IFERROR(MATCH($B1115&amp;"|"&amp;$C1115,MUROS!$AX$11:$AX$70,0),0))</f>
        <v/>
      </c>
      <c r="P1115" s="84" t="str">
        <f>IF($D1115="","",IF(ISNUMBER(MATCH($D1115,CMB_S,0)),1,IF(ISNUMBER(MATCH($D1115,CMB_G,0)),2,0)))</f>
        <v/>
      </c>
      <c r="Q1115" s="84">
        <f>IF(ISNUMBER($H1115),-$H1115,0)</f>
        <v>0</v>
      </c>
      <c r="R1115" s="84">
        <f>IF(ISNUMBER($I1115),ABS($I1115),0)</f>
        <v>0</v>
      </c>
      <c r="S1115" s="84">
        <f>IF(ISNUMBER($M1115),ABS($M1115),0)</f>
        <v>0</v>
      </c>
      <c r="T1115" s="85" t="n">
        <v>1107</v>
      </c>
    </row>
    <row r="1116">
      <c r="B1116" s="83" t="n"/>
      <c r="C1116" s="83" t="n"/>
      <c r="D1116" s="83" t="n"/>
      <c r="E1116" s="83" t="n"/>
      <c r="F1116" s="83" t="n"/>
      <c r="G1116" s="83" t="n"/>
      <c r="H1116" s="83" t="n"/>
      <c r="I1116" s="83" t="n"/>
      <c r="J1116" s="83" t="n"/>
      <c r="K1116" s="83" t="n"/>
      <c r="L1116" s="83" t="n"/>
      <c r="M1116" s="83" t="n"/>
      <c r="O1116" s="84" t="str">
        <f>IF($C1116="","",IFERROR(MATCH($B1116&amp;"|"&amp;$C1116,MUROS!$AX$11:$AX$70,0),0))</f>
        <v/>
      </c>
      <c r="P1116" s="84" t="str">
        <f>IF($D1116="","",IF(ISNUMBER(MATCH($D1116,CMB_S,0)),1,IF(ISNUMBER(MATCH($D1116,CMB_G,0)),2,0)))</f>
        <v/>
      </c>
      <c r="Q1116" s="84">
        <f>IF(ISNUMBER($H1116),-$H1116,0)</f>
        <v>0</v>
      </c>
      <c r="R1116" s="84">
        <f>IF(ISNUMBER($I1116),ABS($I1116),0)</f>
        <v>0</v>
      </c>
      <c r="S1116" s="84">
        <f>IF(ISNUMBER($M1116),ABS($M1116),0)</f>
        <v>0</v>
      </c>
      <c r="T1116" s="85" t="n">
        <v>1108</v>
      </c>
    </row>
    <row r="1117">
      <c r="B1117" s="83" t="n"/>
      <c r="C1117" s="83" t="n"/>
      <c r="D1117" s="83" t="n"/>
      <c r="E1117" s="83" t="n"/>
      <c r="F1117" s="83" t="n"/>
      <c r="G1117" s="83" t="n"/>
      <c r="H1117" s="83" t="n"/>
      <c r="I1117" s="83" t="n"/>
      <c r="J1117" s="83" t="n"/>
      <c r="K1117" s="83" t="n"/>
      <c r="L1117" s="83" t="n"/>
      <c r="M1117" s="83" t="n"/>
      <c r="O1117" s="84" t="str">
        <f>IF($C1117="","",IFERROR(MATCH($B1117&amp;"|"&amp;$C1117,MUROS!$AX$11:$AX$70,0),0))</f>
        <v/>
      </c>
      <c r="P1117" s="84" t="str">
        <f>IF($D1117="","",IF(ISNUMBER(MATCH($D1117,CMB_S,0)),1,IF(ISNUMBER(MATCH($D1117,CMB_G,0)),2,0)))</f>
        <v/>
      </c>
      <c r="Q1117" s="84">
        <f>IF(ISNUMBER($H1117),-$H1117,0)</f>
        <v>0</v>
      </c>
      <c r="R1117" s="84">
        <f>IF(ISNUMBER($I1117),ABS($I1117),0)</f>
        <v>0</v>
      </c>
      <c r="S1117" s="84">
        <f>IF(ISNUMBER($M1117),ABS($M1117),0)</f>
        <v>0</v>
      </c>
      <c r="T1117" s="85" t="n">
        <v>1109</v>
      </c>
    </row>
    <row r="1118">
      <c r="B1118" s="83" t="n"/>
      <c r="C1118" s="83" t="n"/>
      <c r="D1118" s="83" t="n"/>
      <c r="E1118" s="83" t="n"/>
      <c r="F1118" s="83" t="n"/>
      <c r="G1118" s="83" t="n"/>
      <c r="H1118" s="83" t="n"/>
      <c r="I1118" s="83" t="n"/>
      <c r="J1118" s="83" t="n"/>
      <c r="K1118" s="83" t="n"/>
      <c r="L1118" s="83" t="n"/>
      <c r="M1118" s="83" t="n"/>
      <c r="O1118" s="84" t="str">
        <f>IF($C1118="","",IFERROR(MATCH($B1118&amp;"|"&amp;$C1118,MUROS!$AX$11:$AX$70,0),0))</f>
        <v/>
      </c>
      <c r="P1118" s="84" t="str">
        <f>IF($D1118="","",IF(ISNUMBER(MATCH($D1118,CMB_S,0)),1,IF(ISNUMBER(MATCH($D1118,CMB_G,0)),2,0)))</f>
        <v/>
      </c>
      <c r="Q1118" s="84">
        <f>IF(ISNUMBER($H1118),-$H1118,0)</f>
        <v>0</v>
      </c>
      <c r="R1118" s="84">
        <f>IF(ISNUMBER($I1118),ABS($I1118),0)</f>
        <v>0</v>
      </c>
      <c r="S1118" s="84">
        <f>IF(ISNUMBER($M1118),ABS($M1118),0)</f>
        <v>0</v>
      </c>
      <c r="T1118" s="85" t="n">
        <v>1110</v>
      </c>
    </row>
    <row r="1119">
      <c r="B1119" s="83" t="n"/>
      <c r="C1119" s="83" t="n"/>
      <c r="D1119" s="83" t="n"/>
      <c r="E1119" s="83" t="n"/>
      <c r="F1119" s="83" t="n"/>
      <c r="G1119" s="83" t="n"/>
      <c r="H1119" s="83" t="n"/>
      <c r="I1119" s="83" t="n"/>
      <c r="J1119" s="83" t="n"/>
      <c r="K1119" s="83" t="n"/>
      <c r="L1119" s="83" t="n"/>
      <c r="M1119" s="83" t="n"/>
      <c r="O1119" s="84" t="str">
        <f>IF($C1119="","",IFERROR(MATCH($B1119&amp;"|"&amp;$C1119,MUROS!$AX$11:$AX$70,0),0))</f>
        <v/>
      </c>
      <c r="P1119" s="84" t="str">
        <f>IF($D1119="","",IF(ISNUMBER(MATCH($D1119,CMB_S,0)),1,IF(ISNUMBER(MATCH($D1119,CMB_G,0)),2,0)))</f>
        <v/>
      </c>
      <c r="Q1119" s="84">
        <f>IF(ISNUMBER($H1119),-$H1119,0)</f>
        <v>0</v>
      </c>
      <c r="R1119" s="84">
        <f>IF(ISNUMBER($I1119),ABS($I1119),0)</f>
        <v>0</v>
      </c>
      <c r="S1119" s="84">
        <f>IF(ISNUMBER($M1119),ABS($M1119),0)</f>
        <v>0</v>
      </c>
      <c r="T1119" s="85" t="n">
        <v>1111</v>
      </c>
    </row>
    <row r="1120">
      <c r="B1120" s="83" t="n"/>
      <c r="C1120" s="83" t="n"/>
      <c r="D1120" s="83" t="n"/>
      <c r="E1120" s="83" t="n"/>
      <c r="F1120" s="83" t="n"/>
      <c r="G1120" s="83" t="n"/>
      <c r="H1120" s="83" t="n"/>
      <c r="I1120" s="83" t="n"/>
      <c r="J1120" s="83" t="n"/>
      <c r="K1120" s="83" t="n"/>
      <c r="L1120" s="83" t="n"/>
      <c r="M1120" s="83" t="n"/>
      <c r="O1120" s="84" t="str">
        <f>IF($C1120="","",IFERROR(MATCH($B1120&amp;"|"&amp;$C1120,MUROS!$AX$11:$AX$70,0),0))</f>
        <v/>
      </c>
      <c r="P1120" s="84" t="str">
        <f>IF($D1120="","",IF(ISNUMBER(MATCH($D1120,CMB_S,0)),1,IF(ISNUMBER(MATCH($D1120,CMB_G,0)),2,0)))</f>
        <v/>
      </c>
      <c r="Q1120" s="84">
        <f>IF(ISNUMBER($H1120),-$H1120,0)</f>
        <v>0</v>
      </c>
      <c r="R1120" s="84">
        <f>IF(ISNUMBER($I1120),ABS($I1120),0)</f>
        <v>0</v>
      </c>
      <c r="S1120" s="84">
        <f>IF(ISNUMBER($M1120),ABS($M1120),0)</f>
        <v>0</v>
      </c>
      <c r="T1120" s="85" t="n">
        <v>1112</v>
      </c>
    </row>
    <row r="1121">
      <c r="B1121" s="83" t="n"/>
      <c r="C1121" s="83" t="n"/>
      <c r="D1121" s="83" t="n"/>
      <c r="E1121" s="83" t="n"/>
      <c r="F1121" s="83" t="n"/>
      <c r="G1121" s="83" t="n"/>
      <c r="H1121" s="83" t="n"/>
      <c r="I1121" s="83" t="n"/>
      <c r="J1121" s="83" t="n"/>
      <c r="K1121" s="83" t="n"/>
      <c r="L1121" s="83" t="n"/>
      <c r="M1121" s="83" t="n"/>
      <c r="O1121" s="84" t="str">
        <f>IF($C1121="","",IFERROR(MATCH($B1121&amp;"|"&amp;$C1121,MUROS!$AX$11:$AX$70,0),0))</f>
        <v/>
      </c>
      <c r="P1121" s="84" t="str">
        <f>IF($D1121="","",IF(ISNUMBER(MATCH($D1121,CMB_S,0)),1,IF(ISNUMBER(MATCH($D1121,CMB_G,0)),2,0)))</f>
        <v/>
      </c>
      <c r="Q1121" s="84">
        <f>IF(ISNUMBER($H1121),-$H1121,0)</f>
        <v>0</v>
      </c>
      <c r="R1121" s="84">
        <f>IF(ISNUMBER($I1121),ABS($I1121),0)</f>
        <v>0</v>
      </c>
      <c r="S1121" s="84">
        <f>IF(ISNUMBER($M1121),ABS($M1121),0)</f>
        <v>0</v>
      </c>
      <c r="T1121" s="85" t="n">
        <v>1113</v>
      </c>
    </row>
    <row r="1122">
      <c r="B1122" s="83" t="n"/>
      <c r="C1122" s="83" t="n"/>
      <c r="D1122" s="83" t="n"/>
      <c r="E1122" s="83" t="n"/>
      <c r="F1122" s="83" t="n"/>
      <c r="G1122" s="83" t="n"/>
      <c r="H1122" s="83" t="n"/>
      <c r="I1122" s="83" t="n"/>
      <c r="J1122" s="83" t="n"/>
      <c r="K1122" s="83" t="n"/>
      <c r="L1122" s="83" t="n"/>
      <c r="M1122" s="83" t="n"/>
      <c r="O1122" s="84" t="str">
        <f>IF($C1122="","",IFERROR(MATCH($B1122&amp;"|"&amp;$C1122,MUROS!$AX$11:$AX$70,0),0))</f>
        <v/>
      </c>
      <c r="P1122" s="84" t="str">
        <f>IF($D1122="","",IF(ISNUMBER(MATCH($D1122,CMB_S,0)),1,IF(ISNUMBER(MATCH($D1122,CMB_G,0)),2,0)))</f>
        <v/>
      </c>
      <c r="Q1122" s="84">
        <f>IF(ISNUMBER($H1122),-$H1122,0)</f>
        <v>0</v>
      </c>
      <c r="R1122" s="84">
        <f>IF(ISNUMBER($I1122),ABS($I1122),0)</f>
        <v>0</v>
      </c>
      <c r="S1122" s="84">
        <f>IF(ISNUMBER($M1122),ABS($M1122),0)</f>
        <v>0</v>
      </c>
      <c r="T1122" s="85" t="n">
        <v>1114</v>
      </c>
    </row>
    <row r="1123">
      <c r="B1123" s="83" t="n"/>
      <c r="C1123" s="83" t="n"/>
      <c r="D1123" s="83" t="n"/>
      <c r="E1123" s="83" t="n"/>
      <c r="F1123" s="83" t="n"/>
      <c r="G1123" s="83" t="n"/>
      <c r="H1123" s="83" t="n"/>
      <c r="I1123" s="83" t="n"/>
      <c r="J1123" s="83" t="n"/>
      <c r="K1123" s="83" t="n"/>
      <c r="L1123" s="83" t="n"/>
      <c r="M1123" s="83" t="n"/>
      <c r="O1123" s="84" t="str">
        <f>IF($C1123="","",IFERROR(MATCH($B1123&amp;"|"&amp;$C1123,MUROS!$AX$11:$AX$70,0),0))</f>
        <v/>
      </c>
      <c r="P1123" s="84" t="str">
        <f>IF($D1123="","",IF(ISNUMBER(MATCH($D1123,CMB_S,0)),1,IF(ISNUMBER(MATCH($D1123,CMB_G,0)),2,0)))</f>
        <v/>
      </c>
      <c r="Q1123" s="84">
        <f>IF(ISNUMBER($H1123),-$H1123,0)</f>
        <v>0</v>
      </c>
      <c r="R1123" s="84">
        <f>IF(ISNUMBER($I1123),ABS($I1123),0)</f>
        <v>0</v>
      </c>
      <c r="S1123" s="84">
        <f>IF(ISNUMBER($M1123),ABS($M1123),0)</f>
        <v>0</v>
      </c>
      <c r="T1123" s="85" t="n">
        <v>1115</v>
      </c>
    </row>
    <row r="1124">
      <c r="B1124" s="83" t="n"/>
      <c r="C1124" s="83" t="n"/>
      <c r="D1124" s="83" t="n"/>
      <c r="E1124" s="83" t="n"/>
      <c r="F1124" s="83" t="n"/>
      <c r="G1124" s="83" t="n"/>
      <c r="H1124" s="83" t="n"/>
      <c r="I1124" s="83" t="n"/>
      <c r="J1124" s="83" t="n"/>
      <c r="K1124" s="83" t="n"/>
      <c r="L1124" s="83" t="n"/>
      <c r="M1124" s="83" t="n"/>
      <c r="O1124" s="84" t="str">
        <f>IF($C1124="","",IFERROR(MATCH($B1124&amp;"|"&amp;$C1124,MUROS!$AX$11:$AX$70,0),0))</f>
        <v/>
      </c>
      <c r="P1124" s="84" t="str">
        <f>IF($D1124="","",IF(ISNUMBER(MATCH($D1124,CMB_S,0)),1,IF(ISNUMBER(MATCH($D1124,CMB_G,0)),2,0)))</f>
        <v/>
      </c>
      <c r="Q1124" s="84">
        <f>IF(ISNUMBER($H1124),-$H1124,0)</f>
        <v>0</v>
      </c>
      <c r="R1124" s="84">
        <f>IF(ISNUMBER($I1124),ABS($I1124),0)</f>
        <v>0</v>
      </c>
      <c r="S1124" s="84">
        <f>IF(ISNUMBER($M1124),ABS($M1124),0)</f>
        <v>0</v>
      </c>
      <c r="T1124" s="85" t="n">
        <v>1116</v>
      </c>
    </row>
    <row r="1125">
      <c r="B1125" s="83" t="n"/>
      <c r="C1125" s="83" t="n"/>
      <c r="D1125" s="83" t="n"/>
      <c r="E1125" s="83" t="n"/>
      <c r="F1125" s="83" t="n"/>
      <c r="G1125" s="83" t="n"/>
      <c r="H1125" s="83" t="n"/>
      <c r="I1125" s="83" t="n"/>
      <c r="J1125" s="83" t="n"/>
      <c r="K1125" s="83" t="n"/>
      <c r="L1125" s="83" t="n"/>
      <c r="M1125" s="83" t="n"/>
      <c r="O1125" s="84" t="str">
        <f>IF($C1125="","",IFERROR(MATCH($B1125&amp;"|"&amp;$C1125,MUROS!$AX$11:$AX$70,0),0))</f>
        <v/>
      </c>
      <c r="P1125" s="84" t="str">
        <f>IF($D1125="","",IF(ISNUMBER(MATCH($D1125,CMB_S,0)),1,IF(ISNUMBER(MATCH($D1125,CMB_G,0)),2,0)))</f>
        <v/>
      </c>
      <c r="Q1125" s="84">
        <f>IF(ISNUMBER($H1125),-$H1125,0)</f>
        <v>0</v>
      </c>
      <c r="R1125" s="84">
        <f>IF(ISNUMBER($I1125),ABS($I1125),0)</f>
        <v>0</v>
      </c>
      <c r="S1125" s="84">
        <f>IF(ISNUMBER($M1125),ABS($M1125),0)</f>
        <v>0</v>
      </c>
      <c r="T1125" s="85" t="n">
        <v>1117</v>
      </c>
    </row>
    <row r="1126">
      <c r="B1126" s="83" t="n"/>
      <c r="C1126" s="83" t="n"/>
      <c r="D1126" s="83" t="n"/>
      <c r="E1126" s="83" t="n"/>
      <c r="F1126" s="83" t="n"/>
      <c r="G1126" s="83" t="n"/>
      <c r="H1126" s="83" t="n"/>
      <c r="I1126" s="83" t="n"/>
      <c r="J1126" s="83" t="n"/>
      <c r="K1126" s="83" t="n"/>
      <c r="L1126" s="83" t="n"/>
      <c r="M1126" s="83" t="n"/>
      <c r="O1126" s="84" t="str">
        <f>IF($C1126="","",IFERROR(MATCH($B1126&amp;"|"&amp;$C1126,MUROS!$AX$11:$AX$70,0),0))</f>
        <v/>
      </c>
      <c r="P1126" s="84" t="str">
        <f>IF($D1126="","",IF(ISNUMBER(MATCH($D1126,CMB_S,0)),1,IF(ISNUMBER(MATCH($D1126,CMB_G,0)),2,0)))</f>
        <v/>
      </c>
      <c r="Q1126" s="84">
        <f>IF(ISNUMBER($H1126),-$H1126,0)</f>
        <v>0</v>
      </c>
      <c r="R1126" s="84">
        <f>IF(ISNUMBER($I1126),ABS($I1126),0)</f>
        <v>0</v>
      </c>
      <c r="S1126" s="84">
        <f>IF(ISNUMBER($M1126),ABS($M1126),0)</f>
        <v>0</v>
      </c>
      <c r="T1126" s="85" t="n">
        <v>1118</v>
      </c>
    </row>
    <row r="1127">
      <c r="B1127" s="83" t="n"/>
      <c r="C1127" s="83" t="n"/>
      <c r="D1127" s="83" t="n"/>
      <c r="E1127" s="83" t="n"/>
      <c r="F1127" s="83" t="n"/>
      <c r="G1127" s="83" t="n"/>
      <c r="H1127" s="83" t="n"/>
      <c r="I1127" s="83" t="n"/>
      <c r="J1127" s="83" t="n"/>
      <c r="K1127" s="83" t="n"/>
      <c r="L1127" s="83" t="n"/>
      <c r="M1127" s="83" t="n"/>
      <c r="O1127" s="84" t="str">
        <f>IF($C1127="","",IFERROR(MATCH($B1127&amp;"|"&amp;$C1127,MUROS!$AX$11:$AX$70,0),0))</f>
        <v/>
      </c>
      <c r="P1127" s="84" t="str">
        <f>IF($D1127="","",IF(ISNUMBER(MATCH($D1127,CMB_S,0)),1,IF(ISNUMBER(MATCH($D1127,CMB_G,0)),2,0)))</f>
        <v/>
      </c>
      <c r="Q1127" s="84">
        <f>IF(ISNUMBER($H1127),-$H1127,0)</f>
        <v>0</v>
      </c>
      <c r="R1127" s="84">
        <f>IF(ISNUMBER($I1127),ABS($I1127),0)</f>
        <v>0</v>
      </c>
      <c r="S1127" s="84">
        <f>IF(ISNUMBER($M1127),ABS($M1127),0)</f>
        <v>0</v>
      </c>
      <c r="T1127" s="85" t="n">
        <v>1119</v>
      </c>
    </row>
    <row r="1128">
      <c r="B1128" s="83" t="n"/>
      <c r="C1128" s="83" t="n"/>
      <c r="D1128" s="83" t="n"/>
      <c r="E1128" s="83" t="n"/>
      <c r="F1128" s="83" t="n"/>
      <c r="G1128" s="83" t="n"/>
      <c r="H1128" s="83" t="n"/>
      <c r="I1128" s="83" t="n"/>
      <c r="J1128" s="83" t="n"/>
      <c r="K1128" s="83" t="n"/>
      <c r="L1128" s="83" t="n"/>
      <c r="M1128" s="83" t="n"/>
      <c r="O1128" s="84" t="str">
        <f>IF($C1128="","",IFERROR(MATCH($B1128&amp;"|"&amp;$C1128,MUROS!$AX$11:$AX$70,0),0))</f>
        <v/>
      </c>
      <c r="P1128" s="84" t="str">
        <f>IF($D1128="","",IF(ISNUMBER(MATCH($D1128,CMB_S,0)),1,IF(ISNUMBER(MATCH($D1128,CMB_G,0)),2,0)))</f>
        <v/>
      </c>
      <c r="Q1128" s="84">
        <f>IF(ISNUMBER($H1128),-$H1128,0)</f>
        <v>0</v>
      </c>
      <c r="R1128" s="84">
        <f>IF(ISNUMBER($I1128),ABS($I1128),0)</f>
        <v>0</v>
      </c>
      <c r="S1128" s="84">
        <f>IF(ISNUMBER($M1128),ABS($M1128),0)</f>
        <v>0</v>
      </c>
      <c r="T1128" s="85" t="n">
        <v>1120</v>
      </c>
    </row>
    <row r="1129">
      <c r="B1129" s="83" t="n"/>
      <c r="C1129" s="83" t="n"/>
      <c r="D1129" s="83" t="n"/>
      <c r="E1129" s="83" t="n"/>
      <c r="F1129" s="83" t="n"/>
      <c r="G1129" s="83" t="n"/>
      <c r="H1129" s="83" t="n"/>
      <c r="I1129" s="83" t="n"/>
      <c r="J1129" s="83" t="n"/>
      <c r="K1129" s="83" t="n"/>
      <c r="L1129" s="83" t="n"/>
      <c r="M1129" s="83" t="n"/>
      <c r="O1129" s="84" t="str">
        <f>IF($C1129="","",IFERROR(MATCH($B1129&amp;"|"&amp;$C1129,MUROS!$AX$11:$AX$70,0),0))</f>
        <v/>
      </c>
      <c r="P1129" s="84" t="str">
        <f>IF($D1129="","",IF(ISNUMBER(MATCH($D1129,CMB_S,0)),1,IF(ISNUMBER(MATCH($D1129,CMB_G,0)),2,0)))</f>
        <v/>
      </c>
      <c r="Q1129" s="84">
        <f>IF(ISNUMBER($H1129),-$H1129,0)</f>
        <v>0</v>
      </c>
      <c r="R1129" s="84">
        <f>IF(ISNUMBER($I1129),ABS($I1129),0)</f>
        <v>0</v>
      </c>
      <c r="S1129" s="84">
        <f>IF(ISNUMBER($M1129),ABS($M1129),0)</f>
        <v>0</v>
      </c>
      <c r="T1129" s="85" t="n">
        <v>1121</v>
      </c>
    </row>
    <row r="1130">
      <c r="B1130" s="83" t="n"/>
      <c r="C1130" s="83" t="n"/>
      <c r="D1130" s="83" t="n"/>
      <c r="E1130" s="83" t="n"/>
      <c r="F1130" s="83" t="n"/>
      <c r="G1130" s="83" t="n"/>
      <c r="H1130" s="83" t="n"/>
      <c r="I1130" s="83" t="n"/>
      <c r="J1130" s="83" t="n"/>
      <c r="K1130" s="83" t="n"/>
      <c r="L1130" s="83" t="n"/>
      <c r="M1130" s="83" t="n"/>
      <c r="O1130" s="84" t="str">
        <f>IF($C1130="","",IFERROR(MATCH($B1130&amp;"|"&amp;$C1130,MUROS!$AX$11:$AX$70,0),0))</f>
        <v/>
      </c>
      <c r="P1130" s="84" t="str">
        <f>IF($D1130="","",IF(ISNUMBER(MATCH($D1130,CMB_S,0)),1,IF(ISNUMBER(MATCH($D1130,CMB_G,0)),2,0)))</f>
        <v/>
      </c>
      <c r="Q1130" s="84">
        <f>IF(ISNUMBER($H1130),-$H1130,0)</f>
        <v>0</v>
      </c>
      <c r="R1130" s="84">
        <f>IF(ISNUMBER($I1130),ABS($I1130),0)</f>
        <v>0</v>
      </c>
      <c r="S1130" s="84">
        <f>IF(ISNUMBER($M1130),ABS($M1130),0)</f>
        <v>0</v>
      </c>
      <c r="T1130" s="85" t="n">
        <v>1122</v>
      </c>
    </row>
    <row r="1131">
      <c r="B1131" s="83" t="n"/>
      <c r="C1131" s="83" t="n"/>
      <c r="D1131" s="83" t="n"/>
      <c r="E1131" s="83" t="n"/>
      <c r="F1131" s="83" t="n"/>
      <c r="G1131" s="83" t="n"/>
      <c r="H1131" s="83" t="n"/>
      <c r="I1131" s="83" t="n"/>
      <c r="J1131" s="83" t="n"/>
      <c r="K1131" s="83" t="n"/>
      <c r="L1131" s="83" t="n"/>
      <c r="M1131" s="83" t="n"/>
      <c r="O1131" s="84" t="str">
        <f>IF($C1131="","",IFERROR(MATCH($B1131&amp;"|"&amp;$C1131,MUROS!$AX$11:$AX$70,0),0))</f>
        <v/>
      </c>
      <c r="P1131" s="84" t="str">
        <f>IF($D1131="","",IF(ISNUMBER(MATCH($D1131,CMB_S,0)),1,IF(ISNUMBER(MATCH($D1131,CMB_G,0)),2,0)))</f>
        <v/>
      </c>
      <c r="Q1131" s="84">
        <f>IF(ISNUMBER($H1131),-$H1131,0)</f>
        <v>0</v>
      </c>
      <c r="R1131" s="84">
        <f>IF(ISNUMBER($I1131),ABS($I1131),0)</f>
        <v>0</v>
      </c>
      <c r="S1131" s="84">
        <f>IF(ISNUMBER($M1131),ABS($M1131),0)</f>
        <v>0</v>
      </c>
      <c r="T1131" s="85" t="n">
        <v>1123</v>
      </c>
    </row>
    <row r="1132">
      <c r="B1132" s="83" t="n"/>
      <c r="C1132" s="83" t="n"/>
      <c r="D1132" s="83" t="n"/>
      <c r="E1132" s="83" t="n"/>
      <c r="F1132" s="83" t="n"/>
      <c r="G1132" s="83" t="n"/>
      <c r="H1132" s="83" t="n"/>
      <c r="I1132" s="83" t="n"/>
      <c r="J1132" s="83" t="n"/>
      <c r="K1132" s="83" t="n"/>
      <c r="L1132" s="83" t="n"/>
      <c r="M1132" s="83" t="n"/>
      <c r="O1132" s="84" t="str">
        <f>IF($C1132="","",IFERROR(MATCH($B1132&amp;"|"&amp;$C1132,MUROS!$AX$11:$AX$70,0),0))</f>
        <v/>
      </c>
      <c r="P1132" s="84" t="str">
        <f>IF($D1132="","",IF(ISNUMBER(MATCH($D1132,CMB_S,0)),1,IF(ISNUMBER(MATCH($D1132,CMB_G,0)),2,0)))</f>
        <v/>
      </c>
      <c r="Q1132" s="84">
        <f>IF(ISNUMBER($H1132),-$H1132,0)</f>
        <v>0</v>
      </c>
      <c r="R1132" s="84">
        <f>IF(ISNUMBER($I1132),ABS($I1132),0)</f>
        <v>0</v>
      </c>
      <c r="S1132" s="84">
        <f>IF(ISNUMBER($M1132),ABS($M1132),0)</f>
        <v>0</v>
      </c>
      <c r="T1132" s="85" t="n">
        <v>1124</v>
      </c>
    </row>
    <row r="1133">
      <c r="B1133" s="83" t="n"/>
      <c r="C1133" s="83" t="n"/>
      <c r="D1133" s="83" t="n"/>
      <c r="E1133" s="83" t="n"/>
      <c r="F1133" s="83" t="n"/>
      <c r="G1133" s="83" t="n"/>
      <c r="H1133" s="83" t="n"/>
      <c r="I1133" s="83" t="n"/>
      <c r="J1133" s="83" t="n"/>
      <c r="K1133" s="83" t="n"/>
      <c r="L1133" s="83" t="n"/>
      <c r="M1133" s="83" t="n"/>
      <c r="O1133" s="84" t="str">
        <f>IF($C1133="","",IFERROR(MATCH($B1133&amp;"|"&amp;$C1133,MUROS!$AX$11:$AX$70,0),0))</f>
        <v/>
      </c>
      <c r="P1133" s="84" t="str">
        <f>IF($D1133="","",IF(ISNUMBER(MATCH($D1133,CMB_S,0)),1,IF(ISNUMBER(MATCH($D1133,CMB_G,0)),2,0)))</f>
        <v/>
      </c>
      <c r="Q1133" s="84">
        <f>IF(ISNUMBER($H1133),-$H1133,0)</f>
        <v>0</v>
      </c>
      <c r="R1133" s="84">
        <f>IF(ISNUMBER($I1133),ABS($I1133),0)</f>
        <v>0</v>
      </c>
      <c r="S1133" s="84">
        <f>IF(ISNUMBER($M1133),ABS($M1133),0)</f>
        <v>0</v>
      </c>
      <c r="T1133" s="85" t="n">
        <v>1125</v>
      </c>
    </row>
    <row r="1134">
      <c r="B1134" s="83" t="n"/>
      <c r="C1134" s="83" t="n"/>
      <c r="D1134" s="83" t="n"/>
      <c r="E1134" s="83" t="n"/>
      <c r="F1134" s="83" t="n"/>
      <c r="G1134" s="83" t="n"/>
      <c r="H1134" s="83" t="n"/>
      <c r="I1134" s="83" t="n"/>
      <c r="J1134" s="83" t="n"/>
      <c r="K1134" s="83" t="n"/>
      <c r="L1134" s="83" t="n"/>
      <c r="M1134" s="83" t="n"/>
      <c r="O1134" s="84" t="str">
        <f>IF($C1134="","",IFERROR(MATCH($B1134&amp;"|"&amp;$C1134,MUROS!$AX$11:$AX$70,0),0))</f>
        <v/>
      </c>
      <c r="P1134" s="84" t="str">
        <f>IF($D1134="","",IF(ISNUMBER(MATCH($D1134,CMB_S,0)),1,IF(ISNUMBER(MATCH($D1134,CMB_G,0)),2,0)))</f>
        <v/>
      </c>
      <c r="Q1134" s="84">
        <f>IF(ISNUMBER($H1134),-$H1134,0)</f>
        <v>0</v>
      </c>
      <c r="R1134" s="84">
        <f>IF(ISNUMBER($I1134),ABS($I1134),0)</f>
        <v>0</v>
      </c>
      <c r="S1134" s="84">
        <f>IF(ISNUMBER($M1134),ABS($M1134),0)</f>
        <v>0</v>
      </c>
      <c r="T1134" s="85" t="n">
        <v>1126</v>
      </c>
    </row>
    <row r="1135">
      <c r="B1135" s="83" t="n"/>
      <c r="C1135" s="83" t="n"/>
      <c r="D1135" s="83" t="n"/>
      <c r="E1135" s="83" t="n"/>
      <c r="F1135" s="83" t="n"/>
      <c r="G1135" s="83" t="n"/>
      <c r="H1135" s="83" t="n"/>
      <c r="I1135" s="83" t="n"/>
      <c r="J1135" s="83" t="n"/>
      <c r="K1135" s="83" t="n"/>
      <c r="L1135" s="83" t="n"/>
      <c r="M1135" s="83" t="n"/>
      <c r="O1135" s="84" t="str">
        <f>IF($C1135="","",IFERROR(MATCH($B1135&amp;"|"&amp;$C1135,MUROS!$AX$11:$AX$70,0),0))</f>
        <v/>
      </c>
      <c r="P1135" s="84" t="str">
        <f>IF($D1135="","",IF(ISNUMBER(MATCH($D1135,CMB_S,0)),1,IF(ISNUMBER(MATCH($D1135,CMB_G,0)),2,0)))</f>
        <v/>
      </c>
      <c r="Q1135" s="84">
        <f>IF(ISNUMBER($H1135),-$H1135,0)</f>
        <v>0</v>
      </c>
      <c r="R1135" s="84">
        <f>IF(ISNUMBER($I1135),ABS($I1135),0)</f>
        <v>0</v>
      </c>
      <c r="S1135" s="84">
        <f>IF(ISNUMBER($M1135),ABS($M1135),0)</f>
        <v>0</v>
      </c>
      <c r="T1135" s="85" t="n">
        <v>1127</v>
      </c>
    </row>
    <row r="1136">
      <c r="B1136" s="83" t="n"/>
      <c r="C1136" s="83" t="n"/>
      <c r="D1136" s="83" t="n"/>
      <c r="E1136" s="83" t="n"/>
      <c r="F1136" s="83" t="n"/>
      <c r="G1136" s="83" t="n"/>
      <c r="H1136" s="83" t="n"/>
      <c r="I1136" s="83" t="n"/>
      <c r="J1136" s="83" t="n"/>
      <c r="K1136" s="83" t="n"/>
      <c r="L1136" s="83" t="n"/>
      <c r="M1136" s="83" t="n"/>
      <c r="O1136" s="84" t="str">
        <f>IF($C1136="","",IFERROR(MATCH($B1136&amp;"|"&amp;$C1136,MUROS!$AX$11:$AX$70,0),0))</f>
        <v/>
      </c>
      <c r="P1136" s="84" t="str">
        <f>IF($D1136="","",IF(ISNUMBER(MATCH($D1136,CMB_S,0)),1,IF(ISNUMBER(MATCH($D1136,CMB_G,0)),2,0)))</f>
        <v/>
      </c>
      <c r="Q1136" s="84">
        <f>IF(ISNUMBER($H1136),-$H1136,0)</f>
        <v>0</v>
      </c>
      <c r="R1136" s="84">
        <f>IF(ISNUMBER($I1136),ABS($I1136),0)</f>
        <v>0</v>
      </c>
      <c r="S1136" s="84">
        <f>IF(ISNUMBER($M1136),ABS($M1136),0)</f>
        <v>0</v>
      </c>
      <c r="T1136" s="85" t="n">
        <v>1128</v>
      </c>
    </row>
    <row r="1137">
      <c r="B1137" s="83" t="n"/>
      <c r="C1137" s="83" t="n"/>
      <c r="D1137" s="83" t="n"/>
      <c r="E1137" s="83" t="n"/>
      <c r="F1137" s="83" t="n"/>
      <c r="G1137" s="83" t="n"/>
      <c r="H1137" s="83" t="n"/>
      <c r="I1137" s="83" t="n"/>
      <c r="J1137" s="83" t="n"/>
      <c r="K1137" s="83" t="n"/>
      <c r="L1137" s="83" t="n"/>
      <c r="M1137" s="83" t="n"/>
      <c r="O1137" s="84" t="str">
        <f>IF($C1137="","",IFERROR(MATCH($B1137&amp;"|"&amp;$C1137,MUROS!$AX$11:$AX$70,0),0))</f>
        <v/>
      </c>
      <c r="P1137" s="84" t="str">
        <f>IF($D1137="","",IF(ISNUMBER(MATCH($D1137,CMB_S,0)),1,IF(ISNUMBER(MATCH($D1137,CMB_G,0)),2,0)))</f>
        <v/>
      </c>
      <c r="Q1137" s="84">
        <f>IF(ISNUMBER($H1137),-$H1137,0)</f>
        <v>0</v>
      </c>
      <c r="R1137" s="84">
        <f>IF(ISNUMBER($I1137),ABS($I1137),0)</f>
        <v>0</v>
      </c>
      <c r="S1137" s="84">
        <f>IF(ISNUMBER($M1137),ABS($M1137),0)</f>
        <v>0</v>
      </c>
      <c r="T1137" s="85" t="n">
        <v>1129</v>
      </c>
    </row>
    <row r="1138">
      <c r="B1138" s="83" t="n"/>
      <c r="C1138" s="83" t="n"/>
      <c r="D1138" s="83" t="n"/>
      <c r="E1138" s="83" t="n"/>
      <c r="F1138" s="83" t="n"/>
      <c r="G1138" s="83" t="n"/>
      <c r="H1138" s="83" t="n"/>
      <c r="I1138" s="83" t="n"/>
      <c r="J1138" s="83" t="n"/>
      <c r="K1138" s="83" t="n"/>
      <c r="L1138" s="83" t="n"/>
      <c r="M1138" s="83" t="n"/>
      <c r="O1138" s="84" t="str">
        <f>IF($C1138="","",IFERROR(MATCH($B1138&amp;"|"&amp;$C1138,MUROS!$AX$11:$AX$70,0),0))</f>
        <v/>
      </c>
      <c r="P1138" s="84" t="str">
        <f>IF($D1138="","",IF(ISNUMBER(MATCH($D1138,CMB_S,0)),1,IF(ISNUMBER(MATCH($D1138,CMB_G,0)),2,0)))</f>
        <v/>
      </c>
      <c r="Q1138" s="84">
        <f>IF(ISNUMBER($H1138),-$H1138,0)</f>
        <v>0</v>
      </c>
      <c r="R1138" s="84">
        <f>IF(ISNUMBER($I1138),ABS($I1138),0)</f>
        <v>0</v>
      </c>
      <c r="S1138" s="84">
        <f>IF(ISNUMBER($M1138),ABS($M1138),0)</f>
        <v>0</v>
      </c>
      <c r="T1138" s="85" t="n">
        <v>1130</v>
      </c>
    </row>
    <row r="1139">
      <c r="B1139" s="83" t="n"/>
      <c r="C1139" s="83" t="n"/>
      <c r="D1139" s="83" t="n"/>
      <c r="E1139" s="83" t="n"/>
      <c r="F1139" s="83" t="n"/>
      <c r="G1139" s="83" t="n"/>
      <c r="H1139" s="83" t="n"/>
      <c r="I1139" s="83" t="n"/>
      <c r="J1139" s="83" t="n"/>
      <c r="K1139" s="83" t="n"/>
      <c r="L1139" s="83" t="n"/>
      <c r="M1139" s="83" t="n"/>
      <c r="O1139" s="84" t="str">
        <f>IF($C1139="","",IFERROR(MATCH($B1139&amp;"|"&amp;$C1139,MUROS!$AX$11:$AX$70,0),0))</f>
        <v/>
      </c>
      <c r="P1139" s="84" t="str">
        <f>IF($D1139="","",IF(ISNUMBER(MATCH($D1139,CMB_S,0)),1,IF(ISNUMBER(MATCH($D1139,CMB_G,0)),2,0)))</f>
        <v/>
      </c>
      <c r="Q1139" s="84">
        <f>IF(ISNUMBER($H1139),-$H1139,0)</f>
        <v>0</v>
      </c>
      <c r="R1139" s="84">
        <f>IF(ISNUMBER($I1139),ABS($I1139),0)</f>
        <v>0</v>
      </c>
      <c r="S1139" s="84">
        <f>IF(ISNUMBER($M1139),ABS($M1139),0)</f>
        <v>0</v>
      </c>
      <c r="T1139" s="85" t="n">
        <v>1131</v>
      </c>
    </row>
    <row r="1140">
      <c r="B1140" s="83" t="n"/>
      <c r="C1140" s="83" t="n"/>
      <c r="D1140" s="83" t="n"/>
      <c r="E1140" s="83" t="n"/>
      <c r="F1140" s="83" t="n"/>
      <c r="G1140" s="83" t="n"/>
      <c r="H1140" s="83" t="n"/>
      <c r="I1140" s="83" t="n"/>
      <c r="J1140" s="83" t="n"/>
      <c r="K1140" s="83" t="n"/>
      <c r="L1140" s="83" t="n"/>
      <c r="M1140" s="83" t="n"/>
      <c r="O1140" s="84" t="str">
        <f>IF($C1140="","",IFERROR(MATCH($B1140&amp;"|"&amp;$C1140,MUROS!$AX$11:$AX$70,0),0))</f>
        <v/>
      </c>
      <c r="P1140" s="84" t="str">
        <f>IF($D1140="","",IF(ISNUMBER(MATCH($D1140,CMB_S,0)),1,IF(ISNUMBER(MATCH($D1140,CMB_G,0)),2,0)))</f>
        <v/>
      </c>
      <c r="Q1140" s="84">
        <f>IF(ISNUMBER($H1140),-$H1140,0)</f>
        <v>0</v>
      </c>
      <c r="R1140" s="84">
        <f>IF(ISNUMBER($I1140),ABS($I1140),0)</f>
        <v>0</v>
      </c>
      <c r="S1140" s="84">
        <f>IF(ISNUMBER($M1140),ABS($M1140),0)</f>
        <v>0</v>
      </c>
      <c r="T1140" s="85" t="n">
        <v>1132</v>
      </c>
    </row>
    <row r="1141">
      <c r="B1141" s="83" t="n"/>
      <c r="C1141" s="83" t="n"/>
      <c r="D1141" s="83" t="n"/>
      <c r="E1141" s="83" t="n"/>
      <c r="F1141" s="83" t="n"/>
      <c r="G1141" s="83" t="n"/>
      <c r="H1141" s="83" t="n"/>
      <c r="I1141" s="83" t="n"/>
      <c r="J1141" s="83" t="n"/>
      <c r="K1141" s="83" t="n"/>
      <c r="L1141" s="83" t="n"/>
      <c r="M1141" s="83" t="n"/>
      <c r="O1141" s="84" t="str">
        <f>IF($C1141="","",IFERROR(MATCH($B1141&amp;"|"&amp;$C1141,MUROS!$AX$11:$AX$70,0),0))</f>
        <v/>
      </c>
      <c r="P1141" s="84" t="str">
        <f>IF($D1141="","",IF(ISNUMBER(MATCH($D1141,CMB_S,0)),1,IF(ISNUMBER(MATCH($D1141,CMB_G,0)),2,0)))</f>
        <v/>
      </c>
      <c r="Q1141" s="84">
        <f>IF(ISNUMBER($H1141),-$H1141,0)</f>
        <v>0</v>
      </c>
      <c r="R1141" s="84">
        <f>IF(ISNUMBER($I1141),ABS($I1141),0)</f>
        <v>0</v>
      </c>
      <c r="S1141" s="84">
        <f>IF(ISNUMBER($M1141),ABS($M1141),0)</f>
        <v>0</v>
      </c>
      <c r="T1141" s="85" t="n">
        <v>1133</v>
      </c>
    </row>
    <row r="1142">
      <c r="B1142" s="83" t="n"/>
      <c r="C1142" s="83" t="n"/>
      <c r="D1142" s="83" t="n"/>
      <c r="E1142" s="83" t="n"/>
      <c r="F1142" s="83" t="n"/>
      <c r="G1142" s="83" t="n"/>
      <c r="H1142" s="83" t="n"/>
      <c r="I1142" s="83" t="n"/>
      <c r="J1142" s="83" t="n"/>
      <c r="K1142" s="83" t="n"/>
      <c r="L1142" s="83" t="n"/>
      <c r="M1142" s="83" t="n"/>
      <c r="O1142" s="84" t="str">
        <f>IF($C1142="","",IFERROR(MATCH($B1142&amp;"|"&amp;$C1142,MUROS!$AX$11:$AX$70,0),0))</f>
        <v/>
      </c>
      <c r="P1142" s="84" t="str">
        <f>IF($D1142="","",IF(ISNUMBER(MATCH($D1142,CMB_S,0)),1,IF(ISNUMBER(MATCH($D1142,CMB_G,0)),2,0)))</f>
        <v/>
      </c>
      <c r="Q1142" s="84">
        <f>IF(ISNUMBER($H1142),-$H1142,0)</f>
        <v>0</v>
      </c>
      <c r="R1142" s="84">
        <f>IF(ISNUMBER($I1142),ABS($I1142),0)</f>
        <v>0</v>
      </c>
      <c r="S1142" s="84">
        <f>IF(ISNUMBER($M1142),ABS($M1142),0)</f>
        <v>0</v>
      </c>
      <c r="T1142" s="85" t="n">
        <v>1134</v>
      </c>
    </row>
    <row r="1143">
      <c r="B1143" s="83" t="n"/>
      <c r="C1143" s="83" t="n"/>
      <c r="D1143" s="83" t="n"/>
      <c r="E1143" s="83" t="n"/>
      <c r="F1143" s="83" t="n"/>
      <c r="G1143" s="83" t="n"/>
      <c r="H1143" s="83" t="n"/>
      <c r="I1143" s="83" t="n"/>
      <c r="J1143" s="83" t="n"/>
      <c r="K1143" s="83" t="n"/>
      <c r="L1143" s="83" t="n"/>
      <c r="M1143" s="83" t="n"/>
      <c r="O1143" s="84" t="str">
        <f>IF($C1143="","",IFERROR(MATCH($B1143&amp;"|"&amp;$C1143,MUROS!$AX$11:$AX$70,0),0))</f>
        <v/>
      </c>
      <c r="P1143" s="84" t="str">
        <f>IF($D1143="","",IF(ISNUMBER(MATCH($D1143,CMB_S,0)),1,IF(ISNUMBER(MATCH($D1143,CMB_G,0)),2,0)))</f>
        <v/>
      </c>
      <c r="Q1143" s="84">
        <f>IF(ISNUMBER($H1143),-$H1143,0)</f>
        <v>0</v>
      </c>
      <c r="R1143" s="84">
        <f>IF(ISNUMBER($I1143),ABS($I1143),0)</f>
        <v>0</v>
      </c>
      <c r="S1143" s="84">
        <f>IF(ISNUMBER($M1143),ABS($M1143),0)</f>
        <v>0</v>
      </c>
      <c r="T1143" s="85" t="n">
        <v>1135</v>
      </c>
    </row>
    <row r="1144">
      <c r="B1144" s="83" t="n"/>
      <c r="C1144" s="83" t="n"/>
      <c r="D1144" s="83" t="n"/>
      <c r="E1144" s="83" t="n"/>
      <c r="F1144" s="83" t="n"/>
      <c r="G1144" s="83" t="n"/>
      <c r="H1144" s="83" t="n"/>
      <c r="I1144" s="83" t="n"/>
      <c r="J1144" s="83" t="n"/>
      <c r="K1144" s="83" t="n"/>
      <c r="L1144" s="83" t="n"/>
      <c r="M1144" s="83" t="n"/>
      <c r="O1144" s="84" t="str">
        <f>IF($C1144="","",IFERROR(MATCH($B1144&amp;"|"&amp;$C1144,MUROS!$AX$11:$AX$70,0),0))</f>
        <v/>
      </c>
      <c r="P1144" s="84" t="str">
        <f>IF($D1144="","",IF(ISNUMBER(MATCH($D1144,CMB_S,0)),1,IF(ISNUMBER(MATCH($D1144,CMB_G,0)),2,0)))</f>
        <v/>
      </c>
      <c r="Q1144" s="84">
        <f>IF(ISNUMBER($H1144),-$H1144,0)</f>
        <v>0</v>
      </c>
      <c r="R1144" s="84">
        <f>IF(ISNUMBER($I1144),ABS($I1144),0)</f>
        <v>0</v>
      </c>
      <c r="S1144" s="84">
        <f>IF(ISNUMBER($M1144),ABS($M1144),0)</f>
        <v>0</v>
      </c>
      <c r="T1144" s="85" t="n">
        <v>1136</v>
      </c>
    </row>
    <row r="1145">
      <c r="B1145" s="83" t="n"/>
      <c r="C1145" s="83" t="n"/>
      <c r="D1145" s="83" t="n"/>
      <c r="E1145" s="83" t="n"/>
      <c r="F1145" s="83" t="n"/>
      <c r="G1145" s="83" t="n"/>
      <c r="H1145" s="83" t="n"/>
      <c r="I1145" s="83" t="n"/>
      <c r="J1145" s="83" t="n"/>
      <c r="K1145" s="83" t="n"/>
      <c r="L1145" s="83" t="n"/>
      <c r="M1145" s="83" t="n"/>
      <c r="O1145" s="84" t="str">
        <f>IF($C1145="","",IFERROR(MATCH($B1145&amp;"|"&amp;$C1145,MUROS!$AX$11:$AX$70,0),0))</f>
        <v/>
      </c>
      <c r="P1145" s="84" t="str">
        <f>IF($D1145="","",IF(ISNUMBER(MATCH($D1145,CMB_S,0)),1,IF(ISNUMBER(MATCH($D1145,CMB_G,0)),2,0)))</f>
        <v/>
      </c>
      <c r="Q1145" s="84">
        <f>IF(ISNUMBER($H1145),-$H1145,0)</f>
        <v>0</v>
      </c>
      <c r="R1145" s="84">
        <f>IF(ISNUMBER($I1145),ABS($I1145),0)</f>
        <v>0</v>
      </c>
      <c r="S1145" s="84">
        <f>IF(ISNUMBER($M1145),ABS($M1145),0)</f>
        <v>0</v>
      </c>
      <c r="T1145" s="85" t="n">
        <v>1137</v>
      </c>
    </row>
    <row r="1146">
      <c r="B1146" s="83" t="n"/>
      <c r="C1146" s="83" t="n"/>
      <c r="D1146" s="83" t="n"/>
      <c r="E1146" s="83" t="n"/>
      <c r="F1146" s="83" t="n"/>
      <c r="G1146" s="83" t="n"/>
      <c r="H1146" s="83" t="n"/>
      <c r="I1146" s="83" t="n"/>
      <c r="J1146" s="83" t="n"/>
      <c r="K1146" s="83" t="n"/>
      <c r="L1146" s="83" t="n"/>
      <c r="M1146" s="83" t="n"/>
      <c r="O1146" s="84" t="str">
        <f>IF($C1146="","",IFERROR(MATCH($B1146&amp;"|"&amp;$C1146,MUROS!$AX$11:$AX$70,0),0))</f>
        <v/>
      </c>
      <c r="P1146" s="84" t="str">
        <f>IF($D1146="","",IF(ISNUMBER(MATCH($D1146,CMB_S,0)),1,IF(ISNUMBER(MATCH($D1146,CMB_G,0)),2,0)))</f>
        <v/>
      </c>
      <c r="Q1146" s="84">
        <f>IF(ISNUMBER($H1146),-$H1146,0)</f>
        <v>0</v>
      </c>
      <c r="R1146" s="84">
        <f>IF(ISNUMBER($I1146),ABS($I1146),0)</f>
        <v>0</v>
      </c>
      <c r="S1146" s="84">
        <f>IF(ISNUMBER($M1146),ABS($M1146),0)</f>
        <v>0</v>
      </c>
      <c r="T1146" s="85" t="n">
        <v>1138</v>
      </c>
    </row>
    <row r="1147">
      <c r="B1147" s="83" t="n"/>
      <c r="C1147" s="83" t="n"/>
      <c r="D1147" s="83" t="n"/>
      <c r="E1147" s="83" t="n"/>
      <c r="F1147" s="83" t="n"/>
      <c r="G1147" s="83" t="n"/>
      <c r="H1147" s="83" t="n"/>
      <c r="I1147" s="83" t="n"/>
      <c r="J1147" s="83" t="n"/>
      <c r="K1147" s="83" t="n"/>
      <c r="L1147" s="83" t="n"/>
      <c r="M1147" s="83" t="n"/>
      <c r="O1147" s="84" t="str">
        <f>IF($C1147="","",IFERROR(MATCH($B1147&amp;"|"&amp;$C1147,MUROS!$AX$11:$AX$70,0),0))</f>
        <v/>
      </c>
      <c r="P1147" s="84" t="str">
        <f>IF($D1147="","",IF(ISNUMBER(MATCH($D1147,CMB_S,0)),1,IF(ISNUMBER(MATCH($D1147,CMB_G,0)),2,0)))</f>
        <v/>
      </c>
      <c r="Q1147" s="84">
        <f>IF(ISNUMBER($H1147),-$H1147,0)</f>
        <v>0</v>
      </c>
      <c r="R1147" s="84">
        <f>IF(ISNUMBER($I1147),ABS($I1147),0)</f>
        <v>0</v>
      </c>
      <c r="S1147" s="84">
        <f>IF(ISNUMBER($M1147),ABS($M1147),0)</f>
        <v>0</v>
      </c>
      <c r="T1147" s="85" t="n">
        <v>1139</v>
      </c>
    </row>
    <row r="1148">
      <c r="B1148" s="83" t="n"/>
      <c r="C1148" s="83" t="n"/>
      <c r="D1148" s="83" t="n"/>
      <c r="E1148" s="83" t="n"/>
      <c r="F1148" s="83" t="n"/>
      <c r="G1148" s="83" t="n"/>
      <c r="H1148" s="83" t="n"/>
      <c r="I1148" s="83" t="n"/>
      <c r="J1148" s="83" t="n"/>
      <c r="K1148" s="83" t="n"/>
      <c r="L1148" s="83" t="n"/>
      <c r="M1148" s="83" t="n"/>
      <c r="O1148" s="84" t="str">
        <f>IF($C1148="","",IFERROR(MATCH($B1148&amp;"|"&amp;$C1148,MUROS!$AX$11:$AX$70,0),0))</f>
        <v/>
      </c>
      <c r="P1148" s="84" t="str">
        <f>IF($D1148="","",IF(ISNUMBER(MATCH($D1148,CMB_S,0)),1,IF(ISNUMBER(MATCH($D1148,CMB_G,0)),2,0)))</f>
        <v/>
      </c>
      <c r="Q1148" s="84">
        <f>IF(ISNUMBER($H1148),-$H1148,0)</f>
        <v>0</v>
      </c>
      <c r="R1148" s="84">
        <f>IF(ISNUMBER($I1148),ABS($I1148),0)</f>
        <v>0</v>
      </c>
      <c r="S1148" s="84">
        <f>IF(ISNUMBER($M1148),ABS($M1148),0)</f>
        <v>0</v>
      </c>
      <c r="T1148" s="85" t="n">
        <v>1140</v>
      </c>
    </row>
    <row r="1149">
      <c r="B1149" s="83" t="n"/>
      <c r="C1149" s="83" t="n"/>
      <c r="D1149" s="83" t="n"/>
      <c r="E1149" s="83" t="n"/>
      <c r="F1149" s="83" t="n"/>
      <c r="G1149" s="83" t="n"/>
      <c r="H1149" s="83" t="n"/>
      <c r="I1149" s="83" t="n"/>
      <c r="J1149" s="83" t="n"/>
      <c r="K1149" s="83" t="n"/>
      <c r="L1149" s="83" t="n"/>
      <c r="M1149" s="83" t="n"/>
      <c r="O1149" s="84" t="str">
        <f>IF($C1149="","",IFERROR(MATCH($B1149&amp;"|"&amp;$C1149,MUROS!$AX$11:$AX$70,0),0))</f>
        <v/>
      </c>
      <c r="P1149" s="84" t="str">
        <f>IF($D1149="","",IF(ISNUMBER(MATCH($D1149,CMB_S,0)),1,IF(ISNUMBER(MATCH($D1149,CMB_G,0)),2,0)))</f>
        <v/>
      </c>
      <c r="Q1149" s="84">
        <f>IF(ISNUMBER($H1149),-$H1149,0)</f>
        <v>0</v>
      </c>
      <c r="R1149" s="84">
        <f>IF(ISNUMBER($I1149),ABS($I1149),0)</f>
        <v>0</v>
      </c>
      <c r="S1149" s="84">
        <f>IF(ISNUMBER($M1149),ABS($M1149),0)</f>
        <v>0</v>
      </c>
      <c r="T1149" s="85" t="n">
        <v>1141</v>
      </c>
    </row>
    <row r="1150">
      <c r="B1150" s="83" t="n"/>
      <c r="C1150" s="83" t="n"/>
      <c r="D1150" s="83" t="n"/>
      <c r="E1150" s="83" t="n"/>
      <c r="F1150" s="83" t="n"/>
      <c r="G1150" s="83" t="n"/>
      <c r="H1150" s="83" t="n"/>
      <c r="I1150" s="83" t="n"/>
      <c r="J1150" s="83" t="n"/>
      <c r="K1150" s="83" t="n"/>
      <c r="L1150" s="83" t="n"/>
      <c r="M1150" s="83" t="n"/>
      <c r="O1150" s="84" t="str">
        <f>IF($C1150="","",IFERROR(MATCH($B1150&amp;"|"&amp;$C1150,MUROS!$AX$11:$AX$70,0),0))</f>
        <v/>
      </c>
      <c r="P1150" s="84" t="str">
        <f>IF($D1150="","",IF(ISNUMBER(MATCH($D1150,CMB_S,0)),1,IF(ISNUMBER(MATCH($D1150,CMB_G,0)),2,0)))</f>
        <v/>
      </c>
      <c r="Q1150" s="84">
        <f>IF(ISNUMBER($H1150),-$H1150,0)</f>
        <v>0</v>
      </c>
      <c r="R1150" s="84">
        <f>IF(ISNUMBER($I1150),ABS($I1150),0)</f>
        <v>0</v>
      </c>
      <c r="S1150" s="84">
        <f>IF(ISNUMBER($M1150),ABS($M1150),0)</f>
        <v>0</v>
      </c>
      <c r="T1150" s="85" t="n">
        <v>1142</v>
      </c>
    </row>
    <row r="1151">
      <c r="B1151" s="83" t="n"/>
      <c r="C1151" s="83" t="n"/>
      <c r="D1151" s="83" t="n"/>
      <c r="E1151" s="83" t="n"/>
      <c r="F1151" s="83" t="n"/>
      <c r="G1151" s="83" t="n"/>
      <c r="H1151" s="83" t="n"/>
      <c r="I1151" s="83" t="n"/>
      <c r="J1151" s="83" t="n"/>
      <c r="K1151" s="83" t="n"/>
      <c r="L1151" s="83" t="n"/>
      <c r="M1151" s="83" t="n"/>
      <c r="O1151" s="84" t="str">
        <f>IF($C1151="","",IFERROR(MATCH($B1151&amp;"|"&amp;$C1151,MUROS!$AX$11:$AX$70,0),0))</f>
        <v/>
      </c>
      <c r="P1151" s="84" t="str">
        <f>IF($D1151="","",IF(ISNUMBER(MATCH($D1151,CMB_S,0)),1,IF(ISNUMBER(MATCH($D1151,CMB_G,0)),2,0)))</f>
        <v/>
      </c>
      <c r="Q1151" s="84">
        <f>IF(ISNUMBER($H1151),-$H1151,0)</f>
        <v>0</v>
      </c>
      <c r="R1151" s="84">
        <f>IF(ISNUMBER($I1151),ABS($I1151),0)</f>
        <v>0</v>
      </c>
      <c r="S1151" s="84">
        <f>IF(ISNUMBER($M1151),ABS($M1151),0)</f>
        <v>0</v>
      </c>
      <c r="T1151" s="85" t="n">
        <v>1143</v>
      </c>
    </row>
    <row r="1152">
      <c r="B1152" s="83" t="n"/>
      <c r="C1152" s="83" t="n"/>
      <c r="D1152" s="83" t="n"/>
      <c r="E1152" s="83" t="n"/>
      <c r="F1152" s="83" t="n"/>
      <c r="G1152" s="83" t="n"/>
      <c r="H1152" s="83" t="n"/>
      <c r="I1152" s="83" t="n"/>
      <c r="J1152" s="83" t="n"/>
      <c r="K1152" s="83" t="n"/>
      <c r="L1152" s="83" t="n"/>
      <c r="M1152" s="83" t="n"/>
      <c r="O1152" s="84" t="str">
        <f>IF($C1152="","",IFERROR(MATCH($B1152&amp;"|"&amp;$C1152,MUROS!$AX$11:$AX$70,0),0))</f>
        <v/>
      </c>
      <c r="P1152" s="84" t="str">
        <f>IF($D1152="","",IF(ISNUMBER(MATCH($D1152,CMB_S,0)),1,IF(ISNUMBER(MATCH($D1152,CMB_G,0)),2,0)))</f>
        <v/>
      </c>
      <c r="Q1152" s="84">
        <f>IF(ISNUMBER($H1152),-$H1152,0)</f>
        <v>0</v>
      </c>
      <c r="R1152" s="84">
        <f>IF(ISNUMBER($I1152),ABS($I1152),0)</f>
        <v>0</v>
      </c>
      <c r="S1152" s="84">
        <f>IF(ISNUMBER($M1152),ABS($M1152),0)</f>
        <v>0</v>
      </c>
      <c r="T1152" s="85" t="n">
        <v>1144</v>
      </c>
    </row>
    <row r="1153">
      <c r="B1153" s="83" t="n"/>
      <c r="C1153" s="83" t="n"/>
      <c r="D1153" s="83" t="n"/>
      <c r="E1153" s="83" t="n"/>
      <c r="F1153" s="83" t="n"/>
      <c r="G1153" s="83" t="n"/>
      <c r="H1153" s="83" t="n"/>
      <c r="I1153" s="83" t="n"/>
      <c r="J1153" s="83" t="n"/>
      <c r="K1153" s="83" t="n"/>
      <c r="L1153" s="83" t="n"/>
      <c r="M1153" s="83" t="n"/>
      <c r="O1153" s="84" t="str">
        <f>IF($C1153="","",IFERROR(MATCH($B1153&amp;"|"&amp;$C1153,MUROS!$AX$11:$AX$70,0),0))</f>
        <v/>
      </c>
      <c r="P1153" s="84" t="str">
        <f>IF($D1153="","",IF(ISNUMBER(MATCH($D1153,CMB_S,0)),1,IF(ISNUMBER(MATCH($D1153,CMB_G,0)),2,0)))</f>
        <v/>
      </c>
      <c r="Q1153" s="84">
        <f>IF(ISNUMBER($H1153),-$H1153,0)</f>
        <v>0</v>
      </c>
      <c r="R1153" s="84">
        <f>IF(ISNUMBER($I1153),ABS($I1153),0)</f>
        <v>0</v>
      </c>
      <c r="S1153" s="84">
        <f>IF(ISNUMBER($M1153),ABS($M1153),0)</f>
        <v>0</v>
      </c>
      <c r="T1153" s="85" t="n">
        <v>1145</v>
      </c>
    </row>
    <row r="1154">
      <c r="B1154" s="83" t="n"/>
      <c r="C1154" s="83" t="n"/>
      <c r="D1154" s="83" t="n"/>
      <c r="E1154" s="83" t="n"/>
      <c r="F1154" s="83" t="n"/>
      <c r="G1154" s="83" t="n"/>
      <c r="H1154" s="83" t="n"/>
      <c r="I1154" s="83" t="n"/>
      <c r="J1154" s="83" t="n"/>
      <c r="K1154" s="83" t="n"/>
      <c r="L1154" s="83" t="n"/>
      <c r="M1154" s="83" t="n"/>
      <c r="O1154" s="84" t="str">
        <f>IF($C1154="","",IFERROR(MATCH($B1154&amp;"|"&amp;$C1154,MUROS!$AX$11:$AX$70,0),0))</f>
        <v/>
      </c>
      <c r="P1154" s="84" t="str">
        <f>IF($D1154="","",IF(ISNUMBER(MATCH($D1154,CMB_S,0)),1,IF(ISNUMBER(MATCH($D1154,CMB_G,0)),2,0)))</f>
        <v/>
      </c>
      <c r="Q1154" s="84">
        <f>IF(ISNUMBER($H1154),-$H1154,0)</f>
        <v>0</v>
      </c>
      <c r="R1154" s="84">
        <f>IF(ISNUMBER($I1154),ABS($I1154),0)</f>
        <v>0</v>
      </c>
      <c r="S1154" s="84">
        <f>IF(ISNUMBER($M1154),ABS($M1154),0)</f>
        <v>0</v>
      </c>
      <c r="T1154" s="85" t="n">
        <v>1146</v>
      </c>
    </row>
    <row r="1155">
      <c r="B1155" s="83" t="n"/>
      <c r="C1155" s="83" t="n"/>
      <c r="D1155" s="83" t="n"/>
      <c r="E1155" s="83" t="n"/>
      <c r="F1155" s="83" t="n"/>
      <c r="G1155" s="83" t="n"/>
      <c r="H1155" s="83" t="n"/>
      <c r="I1155" s="83" t="n"/>
      <c r="J1155" s="83" t="n"/>
      <c r="K1155" s="83" t="n"/>
      <c r="L1155" s="83" t="n"/>
      <c r="M1155" s="83" t="n"/>
      <c r="O1155" s="84" t="str">
        <f>IF($C1155="","",IFERROR(MATCH($B1155&amp;"|"&amp;$C1155,MUROS!$AX$11:$AX$70,0),0))</f>
        <v/>
      </c>
      <c r="P1155" s="84" t="str">
        <f>IF($D1155="","",IF(ISNUMBER(MATCH($D1155,CMB_S,0)),1,IF(ISNUMBER(MATCH($D1155,CMB_G,0)),2,0)))</f>
        <v/>
      </c>
      <c r="Q1155" s="84">
        <f>IF(ISNUMBER($H1155),-$H1155,0)</f>
        <v>0</v>
      </c>
      <c r="R1155" s="84">
        <f>IF(ISNUMBER($I1155),ABS($I1155),0)</f>
        <v>0</v>
      </c>
      <c r="S1155" s="84">
        <f>IF(ISNUMBER($M1155),ABS($M1155),0)</f>
        <v>0</v>
      </c>
      <c r="T1155" s="85" t="n">
        <v>1147</v>
      </c>
    </row>
    <row r="1156">
      <c r="B1156" s="83" t="n"/>
      <c r="C1156" s="83" t="n"/>
      <c r="D1156" s="83" t="n"/>
      <c r="E1156" s="83" t="n"/>
      <c r="F1156" s="83" t="n"/>
      <c r="G1156" s="83" t="n"/>
      <c r="H1156" s="83" t="n"/>
      <c r="I1156" s="83" t="n"/>
      <c r="J1156" s="83" t="n"/>
      <c r="K1156" s="83" t="n"/>
      <c r="L1156" s="83" t="n"/>
      <c r="M1156" s="83" t="n"/>
      <c r="O1156" s="84" t="str">
        <f>IF($C1156="","",IFERROR(MATCH($B1156&amp;"|"&amp;$C1156,MUROS!$AX$11:$AX$70,0),0))</f>
        <v/>
      </c>
      <c r="P1156" s="84" t="str">
        <f>IF($D1156="","",IF(ISNUMBER(MATCH($D1156,CMB_S,0)),1,IF(ISNUMBER(MATCH($D1156,CMB_G,0)),2,0)))</f>
        <v/>
      </c>
      <c r="Q1156" s="84">
        <f>IF(ISNUMBER($H1156),-$H1156,0)</f>
        <v>0</v>
      </c>
      <c r="R1156" s="84">
        <f>IF(ISNUMBER($I1156),ABS($I1156),0)</f>
        <v>0</v>
      </c>
      <c r="S1156" s="84">
        <f>IF(ISNUMBER($M1156),ABS($M1156),0)</f>
        <v>0</v>
      </c>
      <c r="T1156" s="85" t="n">
        <v>1148</v>
      </c>
    </row>
    <row r="1157">
      <c r="B1157" s="83" t="n"/>
      <c r="C1157" s="83" t="n"/>
      <c r="D1157" s="83" t="n"/>
      <c r="E1157" s="83" t="n"/>
      <c r="F1157" s="83" t="n"/>
      <c r="G1157" s="83" t="n"/>
      <c r="H1157" s="83" t="n"/>
      <c r="I1157" s="83" t="n"/>
      <c r="J1157" s="83" t="n"/>
      <c r="K1157" s="83" t="n"/>
      <c r="L1157" s="83" t="n"/>
      <c r="M1157" s="83" t="n"/>
      <c r="O1157" s="84" t="str">
        <f>IF($C1157="","",IFERROR(MATCH($B1157&amp;"|"&amp;$C1157,MUROS!$AX$11:$AX$70,0),0))</f>
        <v/>
      </c>
      <c r="P1157" s="84" t="str">
        <f>IF($D1157="","",IF(ISNUMBER(MATCH($D1157,CMB_S,0)),1,IF(ISNUMBER(MATCH($D1157,CMB_G,0)),2,0)))</f>
        <v/>
      </c>
      <c r="Q1157" s="84">
        <f>IF(ISNUMBER($H1157),-$H1157,0)</f>
        <v>0</v>
      </c>
      <c r="R1157" s="84">
        <f>IF(ISNUMBER($I1157),ABS($I1157),0)</f>
        <v>0</v>
      </c>
      <c r="S1157" s="84">
        <f>IF(ISNUMBER($M1157),ABS($M1157),0)</f>
        <v>0</v>
      </c>
      <c r="T1157" s="85" t="n">
        <v>1149</v>
      </c>
    </row>
    <row r="1158">
      <c r="B1158" s="83" t="n"/>
      <c r="C1158" s="83" t="n"/>
      <c r="D1158" s="83" t="n"/>
      <c r="E1158" s="83" t="n"/>
      <c r="F1158" s="83" t="n"/>
      <c r="G1158" s="83" t="n"/>
      <c r="H1158" s="83" t="n"/>
      <c r="I1158" s="83" t="n"/>
      <c r="J1158" s="83" t="n"/>
      <c r="K1158" s="83" t="n"/>
      <c r="L1158" s="83" t="n"/>
      <c r="M1158" s="83" t="n"/>
      <c r="O1158" s="84" t="str">
        <f>IF($C1158="","",IFERROR(MATCH($B1158&amp;"|"&amp;$C1158,MUROS!$AX$11:$AX$70,0),0))</f>
        <v/>
      </c>
      <c r="P1158" s="84" t="str">
        <f>IF($D1158="","",IF(ISNUMBER(MATCH($D1158,CMB_S,0)),1,IF(ISNUMBER(MATCH($D1158,CMB_G,0)),2,0)))</f>
        <v/>
      </c>
      <c r="Q1158" s="84">
        <f>IF(ISNUMBER($H1158),-$H1158,0)</f>
        <v>0</v>
      </c>
      <c r="R1158" s="84">
        <f>IF(ISNUMBER($I1158),ABS($I1158),0)</f>
        <v>0</v>
      </c>
      <c r="S1158" s="84">
        <f>IF(ISNUMBER($M1158),ABS($M1158),0)</f>
        <v>0</v>
      </c>
      <c r="T1158" s="85" t="n">
        <v>1150</v>
      </c>
    </row>
    <row r="1159">
      <c r="B1159" s="83" t="n"/>
      <c r="C1159" s="83" t="n"/>
      <c r="D1159" s="83" t="n"/>
      <c r="E1159" s="83" t="n"/>
      <c r="F1159" s="83" t="n"/>
      <c r="G1159" s="83" t="n"/>
      <c r="H1159" s="83" t="n"/>
      <c r="I1159" s="83" t="n"/>
      <c r="J1159" s="83" t="n"/>
      <c r="K1159" s="83" t="n"/>
      <c r="L1159" s="83" t="n"/>
      <c r="M1159" s="83" t="n"/>
      <c r="O1159" s="84" t="str">
        <f>IF($C1159="","",IFERROR(MATCH($B1159&amp;"|"&amp;$C1159,MUROS!$AX$11:$AX$70,0),0))</f>
        <v/>
      </c>
      <c r="P1159" s="84" t="str">
        <f>IF($D1159="","",IF(ISNUMBER(MATCH($D1159,CMB_S,0)),1,IF(ISNUMBER(MATCH($D1159,CMB_G,0)),2,0)))</f>
        <v/>
      </c>
      <c r="Q1159" s="84">
        <f>IF(ISNUMBER($H1159),-$H1159,0)</f>
        <v>0</v>
      </c>
      <c r="R1159" s="84">
        <f>IF(ISNUMBER($I1159),ABS($I1159),0)</f>
        <v>0</v>
      </c>
      <c r="S1159" s="84">
        <f>IF(ISNUMBER($M1159),ABS($M1159),0)</f>
        <v>0</v>
      </c>
      <c r="T1159" s="85" t="n">
        <v>1151</v>
      </c>
    </row>
    <row r="1160">
      <c r="B1160" s="83" t="n"/>
      <c r="C1160" s="83" t="n"/>
      <c r="D1160" s="83" t="n"/>
      <c r="E1160" s="83" t="n"/>
      <c r="F1160" s="83" t="n"/>
      <c r="G1160" s="83" t="n"/>
      <c r="H1160" s="83" t="n"/>
      <c r="I1160" s="83" t="n"/>
      <c r="J1160" s="83" t="n"/>
      <c r="K1160" s="83" t="n"/>
      <c r="L1160" s="83" t="n"/>
      <c r="M1160" s="83" t="n"/>
      <c r="O1160" s="84" t="str">
        <f>IF($C1160="","",IFERROR(MATCH($B1160&amp;"|"&amp;$C1160,MUROS!$AX$11:$AX$70,0),0))</f>
        <v/>
      </c>
      <c r="P1160" s="84" t="str">
        <f>IF($D1160="","",IF(ISNUMBER(MATCH($D1160,CMB_S,0)),1,IF(ISNUMBER(MATCH($D1160,CMB_G,0)),2,0)))</f>
        <v/>
      </c>
      <c r="Q1160" s="84">
        <f>IF(ISNUMBER($H1160),-$H1160,0)</f>
        <v>0</v>
      </c>
      <c r="R1160" s="84">
        <f>IF(ISNUMBER($I1160),ABS($I1160),0)</f>
        <v>0</v>
      </c>
      <c r="S1160" s="84">
        <f>IF(ISNUMBER($M1160),ABS($M1160),0)</f>
        <v>0</v>
      </c>
      <c r="T1160" s="85" t="n">
        <v>1152</v>
      </c>
    </row>
    <row r="1161">
      <c r="B1161" s="83" t="n"/>
      <c r="C1161" s="83" t="n"/>
      <c r="D1161" s="83" t="n"/>
      <c r="E1161" s="83" t="n"/>
      <c r="F1161" s="83" t="n"/>
      <c r="G1161" s="83" t="n"/>
      <c r="H1161" s="83" t="n"/>
      <c r="I1161" s="83" t="n"/>
      <c r="J1161" s="83" t="n"/>
      <c r="K1161" s="83" t="n"/>
      <c r="L1161" s="83" t="n"/>
      <c r="M1161" s="83" t="n"/>
      <c r="O1161" s="84" t="str">
        <f>IF($C1161="","",IFERROR(MATCH($B1161&amp;"|"&amp;$C1161,MUROS!$AX$11:$AX$70,0),0))</f>
        <v/>
      </c>
      <c r="P1161" s="84" t="str">
        <f>IF($D1161="","",IF(ISNUMBER(MATCH($D1161,CMB_S,0)),1,IF(ISNUMBER(MATCH($D1161,CMB_G,0)),2,0)))</f>
        <v/>
      </c>
      <c r="Q1161" s="84">
        <f>IF(ISNUMBER($H1161),-$H1161,0)</f>
        <v>0</v>
      </c>
      <c r="R1161" s="84">
        <f>IF(ISNUMBER($I1161),ABS($I1161),0)</f>
        <v>0</v>
      </c>
      <c r="S1161" s="84">
        <f>IF(ISNUMBER($M1161),ABS($M1161),0)</f>
        <v>0</v>
      </c>
      <c r="T1161" s="85" t="n">
        <v>1153</v>
      </c>
    </row>
    <row r="1162">
      <c r="B1162" s="83" t="n"/>
      <c r="C1162" s="83" t="n"/>
      <c r="D1162" s="83" t="n"/>
      <c r="E1162" s="83" t="n"/>
      <c r="F1162" s="83" t="n"/>
      <c r="G1162" s="83" t="n"/>
      <c r="H1162" s="83" t="n"/>
      <c r="I1162" s="83" t="n"/>
      <c r="J1162" s="83" t="n"/>
      <c r="K1162" s="83" t="n"/>
      <c r="L1162" s="83" t="n"/>
      <c r="M1162" s="83" t="n"/>
      <c r="O1162" s="84" t="str">
        <f>IF($C1162="","",IFERROR(MATCH($B1162&amp;"|"&amp;$C1162,MUROS!$AX$11:$AX$70,0),0))</f>
        <v/>
      </c>
      <c r="P1162" s="84" t="str">
        <f>IF($D1162="","",IF(ISNUMBER(MATCH($D1162,CMB_S,0)),1,IF(ISNUMBER(MATCH($D1162,CMB_G,0)),2,0)))</f>
        <v/>
      </c>
      <c r="Q1162" s="84">
        <f>IF(ISNUMBER($H1162),-$H1162,0)</f>
        <v>0</v>
      </c>
      <c r="R1162" s="84">
        <f>IF(ISNUMBER($I1162),ABS($I1162),0)</f>
        <v>0</v>
      </c>
      <c r="S1162" s="84">
        <f>IF(ISNUMBER($M1162),ABS($M1162),0)</f>
        <v>0</v>
      </c>
      <c r="T1162" s="85" t="n">
        <v>1154</v>
      </c>
    </row>
    <row r="1163">
      <c r="B1163" s="83" t="n"/>
      <c r="C1163" s="83" t="n"/>
      <c r="D1163" s="83" t="n"/>
      <c r="E1163" s="83" t="n"/>
      <c r="F1163" s="83" t="n"/>
      <c r="G1163" s="83" t="n"/>
      <c r="H1163" s="83" t="n"/>
      <c r="I1163" s="83" t="n"/>
      <c r="J1163" s="83" t="n"/>
      <c r="K1163" s="83" t="n"/>
      <c r="L1163" s="83" t="n"/>
      <c r="M1163" s="83" t="n"/>
      <c r="O1163" s="84" t="str">
        <f>IF($C1163="","",IFERROR(MATCH($B1163&amp;"|"&amp;$C1163,MUROS!$AX$11:$AX$70,0),0))</f>
        <v/>
      </c>
      <c r="P1163" s="84" t="str">
        <f>IF($D1163="","",IF(ISNUMBER(MATCH($D1163,CMB_S,0)),1,IF(ISNUMBER(MATCH($D1163,CMB_G,0)),2,0)))</f>
        <v/>
      </c>
      <c r="Q1163" s="84">
        <f>IF(ISNUMBER($H1163),-$H1163,0)</f>
        <v>0</v>
      </c>
      <c r="R1163" s="84">
        <f>IF(ISNUMBER($I1163),ABS($I1163),0)</f>
        <v>0</v>
      </c>
      <c r="S1163" s="84">
        <f>IF(ISNUMBER($M1163),ABS($M1163),0)</f>
        <v>0</v>
      </c>
      <c r="T1163" s="85" t="n">
        <v>1155</v>
      </c>
    </row>
    <row r="1164">
      <c r="B1164" s="83" t="n"/>
      <c r="C1164" s="83" t="n"/>
      <c r="D1164" s="83" t="n"/>
      <c r="E1164" s="83" t="n"/>
      <c r="F1164" s="83" t="n"/>
      <c r="G1164" s="83" t="n"/>
      <c r="H1164" s="83" t="n"/>
      <c r="I1164" s="83" t="n"/>
      <c r="J1164" s="83" t="n"/>
      <c r="K1164" s="83" t="n"/>
      <c r="L1164" s="83" t="n"/>
      <c r="M1164" s="83" t="n"/>
      <c r="O1164" s="84" t="str">
        <f>IF($C1164="","",IFERROR(MATCH($B1164&amp;"|"&amp;$C1164,MUROS!$AX$11:$AX$70,0),0))</f>
        <v/>
      </c>
      <c r="P1164" s="84" t="str">
        <f>IF($D1164="","",IF(ISNUMBER(MATCH($D1164,CMB_S,0)),1,IF(ISNUMBER(MATCH($D1164,CMB_G,0)),2,0)))</f>
        <v/>
      </c>
      <c r="Q1164" s="84">
        <f>IF(ISNUMBER($H1164),-$H1164,0)</f>
        <v>0</v>
      </c>
      <c r="R1164" s="84">
        <f>IF(ISNUMBER($I1164),ABS($I1164),0)</f>
        <v>0</v>
      </c>
      <c r="S1164" s="84">
        <f>IF(ISNUMBER($M1164),ABS($M1164),0)</f>
        <v>0</v>
      </c>
      <c r="T1164" s="85" t="n">
        <v>1156</v>
      </c>
    </row>
    <row r="1165">
      <c r="B1165" s="83" t="n"/>
      <c r="C1165" s="83" t="n"/>
      <c r="D1165" s="83" t="n"/>
      <c r="E1165" s="83" t="n"/>
      <c r="F1165" s="83" t="n"/>
      <c r="G1165" s="83" t="n"/>
      <c r="H1165" s="83" t="n"/>
      <c r="I1165" s="83" t="n"/>
      <c r="J1165" s="83" t="n"/>
      <c r="K1165" s="83" t="n"/>
      <c r="L1165" s="83" t="n"/>
      <c r="M1165" s="83" t="n"/>
      <c r="O1165" s="84" t="str">
        <f>IF($C1165="","",IFERROR(MATCH($B1165&amp;"|"&amp;$C1165,MUROS!$AX$11:$AX$70,0),0))</f>
        <v/>
      </c>
      <c r="P1165" s="84" t="str">
        <f>IF($D1165="","",IF(ISNUMBER(MATCH($D1165,CMB_S,0)),1,IF(ISNUMBER(MATCH($D1165,CMB_G,0)),2,0)))</f>
        <v/>
      </c>
      <c r="Q1165" s="84">
        <f>IF(ISNUMBER($H1165),-$H1165,0)</f>
        <v>0</v>
      </c>
      <c r="R1165" s="84">
        <f>IF(ISNUMBER($I1165),ABS($I1165),0)</f>
        <v>0</v>
      </c>
      <c r="S1165" s="84">
        <f>IF(ISNUMBER($M1165),ABS($M1165),0)</f>
        <v>0</v>
      </c>
      <c r="T1165" s="85" t="n">
        <v>1157</v>
      </c>
    </row>
    <row r="1166">
      <c r="B1166" s="83" t="n"/>
      <c r="C1166" s="83" t="n"/>
      <c r="D1166" s="83" t="n"/>
      <c r="E1166" s="83" t="n"/>
      <c r="F1166" s="83" t="n"/>
      <c r="G1166" s="83" t="n"/>
      <c r="H1166" s="83" t="n"/>
      <c r="I1166" s="83" t="n"/>
      <c r="J1166" s="83" t="n"/>
      <c r="K1166" s="83" t="n"/>
      <c r="L1166" s="83" t="n"/>
      <c r="M1166" s="83" t="n"/>
      <c r="O1166" s="84" t="str">
        <f>IF($C1166="","",IFERROR(MATCH($B1166&amp;"|"&amp;$C1166,MUROS!$AX$11:$AX$70,0),0))</f>
        <v/>
      </c>
      <c r="P1166" s="84" t="str">
        <f>IF($D1166="","",IF(ISNUMBER(MATCH($D1166,CMB_S,0)),1,IF(ISNUMBER(MATCH($D1166,CMB_G,0)),2,0)))</f>
        <v/>
      </c>
      <c r="Q1166" s="84">
        <f>IF(ISNUMBER($H1166),-$H1166,0)</f>
        <v>0</v>
      </c>
      <c r="R1166" s="84">
        <f>IF(ISNUMBER($I1166),ABS($I1166),0)</f>
        <v>0</v>
      </c>
      <c r="S1166" s="84">
        <f>IF(ISNUMBER($M1166),ABS($M1166),0)</f>
        <v>0</v>
      </c>
      <c r="T1166" s="85" t="n">
        <v>1158</v>
      </c>
    </row>
    <row r="1167">
      <c r="B1167" s="83" t="n"/>
      <c r="C1167" s="83" t="n"/>
      <c r="D1167" s="83" t="n"/>
      <c r="E1167" s="83" t="n"/>
      <c r="F1167" s="83" t="n"/>
      <c r="G1167" s="83" t="n"/>
      <c r="H1167" s="83" t="n"/>
      <c r="I1167" s="83" t="n"/>
      <c r="J1167" s="83" t="n"/>
      <c r="K1167" s="83" t="n"/>
      <c r="L1167" s="83" t="n"/>
      <c r="M1167" s="83" t="n"/>
      <c r="O1167" s="84" t="str">
        <f>IF($C1167="","",IFERROR(MATCH($B1167&amp;"|"&amp;$C1167,MUROS!$AX$11:$AX$70,0),0))</f>
        <v/>
      </c>
      <c r="P1167" s="84" t="str">
        <f>IF($D1167="","",IF(ISNUMBER(MATCH($D1167,CMB_S,0)),1,IF(ISNUMBER(MATCH($D1167,CMB_G,0)),2,0)))</f>
        <v/>
      </c>
      <c r="Q1167" s="84">
        <f>IF(ISNUMBER($H1167),-$H1167,0)</f>
        <v>0</v>
      </c>
      <c r="R1167" s="84">
        <f>IF(ISNUMBER($I1167),ABS($I1167),0)</f>
        <v>0</v>
      </c>
      <c r="S1167" s="84">
        <f>IF(ISNUMBER($M1167),ABS($M1167),0)</f>
        <v>0</v>
      </c>
      <c r="T1167" s="85" t="n">
        <v>1159</v>
      </c>
    </row>
    <row r="1168">
      <c r="B1168" s="83" t="n"/>
      <c r="C1168" s="83" t="n"/>
      <c r="D1168" s="83" t="n"/>
      <c r="E1168" s="83" t="n"/>
      <c r="F1168" s="83" t="n"/>
      <c r="G1168" s="83" t="n"/>
      <c r="H1168" s="83" t="n"/>
      <c r="I1168" s="83" t="n"/>
      <c r="J1168" s="83" t="n"/>
      <c r="K1168" s="83" t="n"/>
      <c r="L1168" s="83" t="n"/>
      <c r="M1168" s="83" t="n"/>
      <c r="O1168" s="84" t="str">
        <f>IF($C1168="","",IFERROR(MATCH($B1168&amp;"|"&amp;$C1168,MUROS!$AX$11:$AX$70,0),0))</f>
        <v/>
      </c>
      <c r="P1168" s="84" t="str">
        <f>IF($D1168="","",IF(ISNUMBER(MATCH($D1168,CMB_S,0)),1,IF(ISNUMBER(MATCH($D1168,CMB_G,0)),2,0)))</f>
        <v/>
      </c>
      <c r="Q1168" s="84">
        <f>IF(ISNUMBER($H1168),-$H1168,0)</f>
        <v>0</v>
      </c>
      <c r="R1168" s="84">
        <f>IF(ISNUMBER($I1168),ABS($I1168),0)</f>
        <v>0</v>
      </c>
      <c r="S1168" s="84">
        <f>IF(ISNUMBER($M1168),ABS($M1168),0)</f>
        <v>0</v>
      </c>
      <c r="T1168" s="85" t="n">
        <v>1160</v>
      </c>
    </row>
    <row r="1169">
      <c r="B1169" s="83" t="n"/>
      <c r="C1169" s="83" t="n"/>
      <c r="D1169" s="83" t="n"/>
      <c r="E1169" s="83" t="n"/>
      <c r="F1169" s="83" t="n"/>
      <c r="G1169" s="83" t="n"/>
      <c r="H1169" s="83" t="n"/>
      <c r="I1169" s="83" t="n"/>
      <c r="J1169" s="83" t="n"/>
      <c r="K1169" s="83" t="n"/>
      <c r="L1169" s="83" t="n"/>
      <c r="M1169" s="83" t="n"/>
      <c r="O1169" s="84" t="str">
        <f>IF($C1169="","",IFERROR(MATCH($B1169&amp;"|"&amp;$C1169,MUROS!$AX$11:$AX$70,0),0))</f>
        <v/>
      </c>
      <c r="P1169" s="84" t="str">
        <f>IF($D1169="","",IF(ISNUMBER(MATCH($D1169,CMB_S,0)),1,IF(ISNUMBER(MATCH($D1169,CMB_G,0)),2,0)))</f>
        <v/>
      </c>
      <c r="Q1169" s="84">
        <f>IF(ISNUMBER($H1169),-$H1169,0)</f>
        <v>0</v>
      </c>
      <c r="R1169" s="84">
        <f>IF(ISNUMBER($I1169),ABS($I1169),0)</f>
        <v>0</v>
      </c>
      <c r="S1169" s="84">
        <f>IF(ISNUMBER($M1169),ABS($M1169),0)</f>
        <v>0</v>
      </c>
      <c r="T1169" s="85" t="n">
        <v>1161</v>
      </c>
    </row>
    <row r="1170">
      <c r="B1170" s="83" t="n"/>
      <c r="C1170" s="83" t="n"/>
      <c r="D1170" s="83" t="n"/>
      <c r="E1170" s="83" t="n"/>
      <c r="F1170" s="83" t="n"/>
      <c r="G1170" s="83" t="n"/>
      <c r="H1170" s="83" t="n"/>
      <c r="I1170" s="83" t="n"/>
      <c r="J1170" s="83" t="n"/>
      <c r="K1170" s="83" t="n"/>
      <c r="L1170" s="83" t="n"/>
      <c r="M1170" s="83" t="n"/>
      <c r="O1170" s="84" t="str">
        <f>IF($C1170="","",IFERROR(MATCH($B1170&amp;"|"&amp;$C1170,MUROS!$AX$11:$AX$70,0),0))</f>
        <v/>
      </c>
      <c r="P1170" s="84" t="str">
        <f>IF($D1170="","",IF(ISNUMBER(MATCH($D1170,CMB_S,0)),1,IF(ISNUMBER(MATCH($D1170,CMB_G,0)),2,0)))</f>
        <v/>
      </c>
      <c r="Q1170" s="84">
        <f>IF(ISNUMBER($H1170),-$H1170,0)</f>
        <v>0</v>
      </c>
      <c r="R1170" s="84">
        <f>IF(ISNUMBER($I1170),ABS($I1170),0)</f>
        <v>0</v>
      </c>
      <c r="S1170" s="84">
        <f>IF(ISNUMBER($M1170),ABS($M1170),0)</f>
        <v>0</v>
      </c>
      <c r="T1170" s="85" t="n">
        <v>1162</v>
      </c>
    </row>
    <row r="1171">
      <c r="B1171" s="83" t="n"/>
      <c r="C1171" s="83" t="n"/>
      <c r="D1171" s="83" t="n"/>
      <c r="E1171" s="83" t="n"/>
      <c r="F1171" s="83" t="n"/>
      <c r="G1171" s="83" t="n"/>
      <c r="H1171" s="83" t="n"/>
      <c r="I1171" s="83" t="n"/>
      <c r="J1171" s="83" t="n"/>
      <c r="K1171" s="83" t="n"/>
      <c r="L1171" s="83" t="n"/>
      <c r="M1171" s="83" t="n"/>
      <c r="O1171" s="84" t="str">
        <f>IF($C1171="","",IFERROR(MATCH($B1171&amp;"|"&amp;$C1171,MUROS!$AX$11:$AX$70,0),0))</f>
        <v/>
      </c>
      <c r="P1171" s="84" t="str">
        <f>IF($D1171="","",IF(ISNUMBER(MATCH($D1171,CMB_S,0)),1,IF(ISNUMBER(MATCH($D1171,CMB_G,0)),2,0)))</f>
        <v/>
      </c>
      <c r="Q1171" s="84">
        <f>IF(ISNUMBER($H1171),-$H1171,0)</f>
        <v>0</v>
      </c>
      <c r="R1171" s="84">
        <f>IF(ISNUMBER($I1171),ABS($I1171),0)</f>
        <v>0</v>
      </c>
      <c r="S1171" s="84">
        <f>IF(ISNUMBER($M1171),ABS($M1171),0)</f>
        <v>0</v>
      </c>
      <c r="T1171" s="85" t="n">
        <v>1163</v>
      </c>
    </row>
    <row r="1172">
      <c r="B1172" s="83" t="n"/>
      <c r="C1172" s="83" t="n"/>
      <c r="D1172" s="83" t="n"/>
      <c r="E1172" s="83" t="n"/>
      <c r="F1172" s="83" t="n"/>
      <c r="G1172" s="83" t="n"/>
      <c r="H1172" s="83" t="n"/>
      <c r="I1172" s="83" t="n"/>
      <c r="J1172" s="83" t="n"/>
      <c r="K1172" s="83" t="n"/>
      <c r="L1172" s="83" t="n"/>
      <c r="M1172" s="83" t="n"/>
      <c r="O1172" s="84" t="str">
        <f>IF($C1172="","",IFERROR(MATCH($B1172&amp;"|"&amp;$C1172,MUROS!$AX$11:$AX$70,0),0))</f>
        <v/>
      </c>
      <c r="P1172" s="84" t="str">
        <f>IF($D1172="","",IF(ISNUMBER(MATCH($D1172,CMB_S,0)),1,IF(ISNUMBER(MATCH($D1172,CMB_G,0)),2,0)))</f>
        <v/>
      </c>
      <c r="Q1172" s="84">
        <f>IF(ISNUMBER($H1172),-$H1172,0)</f>
        <v>0</v>
      </c>
      <c r="R1172" s="84">
        <f>IF(ISNUMBER($I1172),ABS($I1172),0)</f>
        <v>0</v>
      </c>
      <c r="S1172" s="84">
        <f>IF(ISNUMBER($M1172),ABS($M1172),0)</f>
        <v>0</v>
      </c>
      <c r="T1172" s="85" t="n">
        <v>1164</v>
      </c>
    </row>
    <row r="1173">
      <c r="B1173" s="83" t="n"/>
      <c r="C1173" s="83" t="n"/>
      <c r="D1173" s="83" t="n"/>
      <c r="E1173" s="83" t="n"/>
      <c r="F1173" s="83" t="n"/>
      <c r="G1173" s="83" t="n"/>
      <c r="H1173" s="83" t="n"/>
      <c r="I1173" s="83" t="n"/>
      <c r="J1173" s="83" t="n"/>
      <c r="K1173" s="83" t="n"/>
      <c r="L1173" s="83" t="n"/>
      <c r="M1173" s="83" t="n"/>
      <c r="O1173" s="84" t="str">
        <f>IF($C1173="","",IFERROR(MATCH($B1173&amp;"|"&amp;$C1173,MUROS!$AX$11:$AX$70,0),0))</f>
        <v/>
      </c>
      <c r="P1173" s="84" t="str">
        <f>IF($D1173="","",IF(ISNUMBER(MATCH($D1173,CMB_S,0)),1,IF(ISNUMBER(MATCH($D1173,CMB_G,0)),2,0)))</f>
        <v/>
      </c>
      <c r="Q1173" s="84">
        <f>IF(ISNUMBER($H1173),-$H1173,0)</f>
        <v>0</v>
      </c>
      <c r="R1173" s="84">
        <f>IF(ISNUMBER($I1173),ABS($I1173),0)</f>
        <v>0</v>
      </c>
      <c r="S1173" s="84">
        <f>IF(ISNUMBER($M1173),ABS($M1173),0)</f>
        <v>0</v>
      </c>
      <c r="T1173" s="85" t="n">
        <v>1165</v>
      </c>
    </row>
    <row r="1174">
      <c r="B1174" s="83" t="n"/>
      <c r="C1174" s="83" t="n"/>
      <c r="D1174" s="83" t="n"/>
      <c r="E1174" s="83" t="n"/>
      <c r="F1174" s="83" t="n"/>
      <c r="G1174" s="83" t="n"/>
      <c r="H1174" s="83" t="n"/>
      <c r="I1174" s="83" t="n"/>
      <c r="J1174" s="83" t="n"/>
      <c r="K1174" s="83" t="n"/>
      <c r="L1174" s="83" t="n"/>
      <c r="M1174" s="83" t="n"/>
      <c r="O1174" s="84" t="str">
        <f>IF($C1174="","",IFERROR(MATCH($B1174&amp;"|"&amp;$C1174,MUROS!$AX$11:$AX$70,0),0))</f>
        <v/>
      </c>
      <c r="P1174" s="84" t="str">
        <f>IF($D1174="","",IF(ISNUMBER(MATCH($D1174,CMB_S,0)),1,IF(ISNUMBER(MATCH($D1174,CMB_G,0)),2,0)))</f>
        <v/>
      </c>
      <c r="Q1174" s="84">
        <f>IF(ISNUMBER($H1174),-$H1174,0)</f>
        <v>0</v>
      </c>
      <c r="R1174" s="84">
        <f>IF(ISNUMBER($I1174),ABS($I1174),0)</f>
        <v>0</v>
      </c>
      <c r="S1174" s="84">
        <f>IF(ISNUMBER($M1174),ABS($M1174),0)</f>
        <v>0</v>
      </c>
      <c r="T1174" s="85" t="n">
        <v>1166</v>
      </c>
    </row>
    <row r="1175">
      <c r="B1175" s="83" t="n"/>
      <c r="C1175" s="83" t="n"/>
      <c r="D1175" s="83" t="n"/>
      <c r="E1175" s="83" t="n"/>
      <c r="F1175" s="83" t="n"/>
      <c r="G1175" s="83" t="n"/>
      <c r="H1175" s="83" t="n"/>
      <c r="I1175" s="83" t="n"/>
      <c r="J1175" s="83" t="n"/>
      <c r="K1175" s="83" t="n"/>
      <c r="L1175" s="83" t="n"/>
      <c r="M1175" s="83" t="n"/>
      <c r="O1175" s="84" t="str">
        <f>IF($C1175="","",IFERROR(MATCH($B1175&amp;"|"&amp;$C1175,MUROS!$AX$11:$AX$70,0),0))</f>
        <v/>
      </c>
      <c r="P1175" s="84" t="str">
        <f>IF($D1175="","",IF(ISNUMBER(MATCH($D1175,CMB_S,0)),1,IF(ISNUMBER(MATCH($D1175,CMB_G,0)),2,0)))</f>
        <v/>
      </c>
      <c r="Q1175" s="84">
        <f>IF(ISNUMBER($H1175),-$H1175,0)</f>
        <v>0</v>
      </c>
      <c r="R1175" s="84">
        <f>IF(ISNUMBER($I1175),ABS($I1175),0)</f>
        <v>0</v>
      </c>
      <c r="S1175" s="84">
        <f>IF(ISNUMBER($M1175),ABS($M1175),0)</f>
        <v>0</v>
      </c>
      <c r="T1175" s="85" t="n">
        <v>1167</v>
      </c>
    </row>
    <row r="1176">
      <c r="B1176" s="83" t="n"/>
      <c r="C1176" s="83" t="n"/>
      <c r="D1176" s="83" t="n"/>
      <c r="E1176" s="83" t="n"/>
      <c r="F1176" s="83" t="n"/>
      <c r="G1176" s="83" t="n"/>
      <c r="H1176" s="83" t="n"/>
      <c r="I1176" s="83" t="n"/>
      <c r="J1176" s="83" t="n"/>
      <c r="K1176" s="83" t="n"/>
      <c r="L1176" s="83" t="n"/>
      <c r="M1176" s="83" t="n"/>
      <c r="O1176" s="84" t="str">
        <f>IF($C1176="","",IFERROR(MATCH($B1176&amp;"|"&amp;$C1176,MUROS!$AX$11:$AX$70,0),0))</f>
        <v/>
      </c>
      <c r="P1176" s="84" t="str">
        <f>IF($D1176="","",IF(ISNUMBER(MATCH($D1176,CMB_S,0)),1,IF(ISNUMBER(MATCH($D1176,CMB_G,0)),2,0)))</f>
        <v/>
      </c>
      <c r="Q1176" s="84">
        <f>IF(ISNUMBER($H1176),-$H1176,0)</f>
        <v>0</v>
      </c>
      <c r="R1176" s="84">
        <f>IF(ISNUMBER($I1176),ABS($I1176),0)</f>
        <v>0</v>
      </c>
      <c r="S1176" s="84">
        <f>IF(ISNUMBER($M1176),ABS($M1176),0)</f>
        <v>0</v>
      </c>
      <c r="T1176" s="85" t="n">
        <v>1168</v>
      </c>
    </row>
    <row r="1177">
      <c r="B1177" s="83" t="n"/>
      <c r="C1177" s="83" t="n"/>
      <c r="D1177" s="83" t="n"/>
      <c r="E1177" s="83" t="n"/>
      <c r="F1177" s="83" t="n"/>
      <c r="G1177" s="83" t="n"/>
      <c r="H1177" s="83" t="n"/>
      <c r="I1177" s="83" t="n"/>
      <c r="J1177" s="83" t="n"/>
      <c r="K1177" s="83" t="n"/>
      <c r="L1177" s="83" t="n"/>
      <c r="M1177" s="83" t="n"/>
      <c r="O1177" s="84" t="str">
        <f>IF($C1177="","",IFERROR(MATCH($B1177&amp;"|"&amp;$C1177,MUROS!$AX$11:$AX$70,0),0))</f>
        <v/>
      </c>
      <c r="P1177" s="84" t="str">
        <f>IF($D1177="","",IF(ISNUMBER(MATCH($D1177,CMB_S,0)),1,IF(ISNUMBER(MATCH($D1177,CMB_G,0)),2,0)))</f>
        <v/>
      </c>
      <c r="Q1177" s="84">
        <f>IF(ISNUMBER($H1177),-$H1177,0)</f>
        <v>0</v>
      </c>
      <c r="R1177" s="84">
        <f>IF(ISNUMBER($I1177),ABS($I1177),0)</f>
        <v>0</v>
      </c>
      <c r="S1177" s="84">
        <f>IF(ISNUMBER($M1177),ABS($M1177),0)</f>
        <v>0</v>
      </c>
      <c r="T1177" s="85" t="n">
        <v>1169</v>
      </c>
    </row>
    <row r="1178">
      <c r="B1178" s="83" t="n"/>
      <c r="C1178" s="83" t="n"/>
      <c r="D1178" s="83" t="n"/>
      <c r="E1178" s="83" t="n"/>
      <c r="F1178" s="83" t="n"/>
      <c r="G1178" s="83" t="n"/>
      <c r="H1178" s="83" t="n"/>
      <c r="I1178" s="83" t="n"/>
      <c r="J1178" s="83" t="n"/>
      <c r="K1178" s="83" t="n"/>
      <c r="L1178" s="83" t="n"/>
      <c r="M1178" s="83" t="n"/>
      <c r="O1178" s="84" t="str">
        <f>IF($C1178="","",IFERROR(MATCH($B1178&amp;"|"&amp;$C1178,MUROS!$AX$11:$AX$70,0),0))</f>
        <v/>
      </c>
      <c r="P1178" s="84" t="str">
        <f>IF($D1178="","",IF(ISNUMBER(MATCH($D1178,CMB_S,0)),1,IF(ISNUMBER(MATCH($D1178,CMB_G,0)),2,0)))</f>
        <v/>
      </c>
      <c r="Q1178" s="84">
        <f>IF(ISNUMBER($H1178),-$H1178,0)</f>
        <v>0</v>
      </c>
      <c r="R1178" s="84">
        <f>IF(ISNUMBER($I1178),ABS($I1178),0)</f>
        <v>0</v>
      </c>
      <c r="S1178" s="84">
        <f>IF(ISNUMBER($M1178),ABS($M1178),0)</f>
        <v>0</v>
      </c>
      <c r="T1178" s="85" t="n">
        <v>1170</v>
      </c>
    </row>
    <row r="1179">
      <c r="B1179" s="83" t="n"/>
      <c r="C1179" s="83" t="n"/>
      <c r="D1179" s="83" t="n"/>
      <c r="E1179" s="83" t="n"/>
      <c r="F1179" s="83" t="n"/>
      <c r="G1179" s="83" t="n"/>
      <c r="H1179" s="83" t="n"/>
      <c r="I1179" s="83" t="n"/>
      <c r="J1179" s="83" t="n"/>
      <c r="K1179" s="83" t="n"/>
      <c r="L1179" s="83" t="n"/>
      <c r="M1179" s="83" t="n"/>
      <c r="O1179" s="84" t="str">
        <f>IF($C1179="","",IFERROR(MATCH($B1179&amp;"|"&amp;$C1179,MUROS!$AX$11:$AX$70,0),0))</f>
        <v/>
      </c>
      <c r="P1179" s="84" t="str">
        <f>IF($D1179="","",IF(ISNUMBER(MATCH($D1179,CMB_S,0)),1,IF(ISNUMBER(MATCH($D1179,CMB_G,0)),2,0)))</f>
        <v/>
      </c>
      <c r="Q1179" s="84">
        <f>IF(ISNUMBER($H1179),-$H1179,0)</f>
        <v>0</v>
      </c>
      <c r="R1179" s="84">
        <f>IF(ISNUMBER($I1179),ABS($I1179),0)</f>
        <v>0</v>
      </c>
      <c r="S1179" s="84">
        <f>IF(ISNUMBER($M1179),ABS($M1179),0)</f>
        <v>0</v>
      </c>
      <c r="T1179" s="85" t="n">
        <v>1171</v>
      </c>
    </row>
    <row r="1180">
      <c r="B1180" s="83" t="n"/>
      <c r="C1180" s="83" t="n"/>
      <c r="D1180" s="83" t="n"/>
      <c r="E1180" s="83" t="n"/>
      <c r="F1180" s="83" t="n"/>
      <c r="G1180" s="83" t="n"/>
      <c r="H1180" s="83" t="n"/>
      <c r="I1180" s="83" t="n"/>
      <c r="J1180" s="83" t="n"/>
      <c r="K1180" s="83" t="n"/>
      <c r="L1180" s="83" t="n"/>
      <c r="M1180" s="83" t="n"/>
      <c r="O1180" s="84" t="str">
        <f>IF($C1180="","",IFERROR(MATCH($B1180&amp;"|"&amp;$C1180,MUROS!$AX$11:$AX$70,0),0))</f>
        <v/>
      </c>
      <c r="P1180" s="84" t="str">
        <f>IF($D1180="","",IF(ISNUMBER(MATCH($D1180,CMB_S,0)),1,IF(ISNUMBER(MATCH($D1180,CMB_G,0)),2,0)))</f>
        <v/>
      </c>
      <c r="Q1180" s="84">
        <f>IF(ISNUMBER($H1180),-$H1180,0)</f>
        <v>0</v>
      </c>
      <c r="R1180" s="84">
        <f>IF(ISNUMBER($I1180),ABS($I1180),0)</f>
        <v>0</v>
      </c>
      <c r="S1180" s="84">
        <f>IF(ISNUMBER($M1180),ABS($M1180),0)</f>
        <v>0</v>
      </c>
      <c r="T1180" s="85" t="n">
        <v>1172</v>
      </c>
    </row>
    <row r="1181">
      <c r="B1181" s="83" t="n"/>
      <c r="C1181" s="83" t="n"/>
      <c r="D1181" s="83" t="n"/>
      <c r="E1181" s="83" t="n"/>
      <c r="F1181" s="83" t="n"/>
      <c r="G1181" s="83" t="n"/>
      <c r="H1181" s="83" t="n"/>
      <c r="I1181" s="83" t="n"/>
      <c r="J1181" s="83" t="n"/>
      <c r="K1181" s="83" t="n"/>
      <c r="L1181" s="83" t="n"/>
      <c r="M1181" s="83" t="n"/>
      <c r="O1181" s="84" t="str">
        <f>IF($C1181="","",IFERROR(MATCH($B1181&amp;"|"&amp;$C1181,MUROS!$AX$11:$AX$70,0),0))</f>
        <v/>
      </c>
      <c r="P1181" s="84" t="str">
        <f>IF($D1181="","",IF(ISNUMBER(MATCH($D1181,CMB_S,0)),1,IF(ISNUMBER(MATCH($D1181,CMB_G,0)),2,0)))</f>
        <v/>
      </c>
      <c r="Q1181" s="84">
        <f>IF(ISNUMBER($H1181),-$H1181,0)</f>
        <v>0</v>
      </c>
      <c r="R1181" s="84">
        <f>IF(ISNUMBER($I1181),ABS($I1181),0)</f>
        <v>0</v>
      </c>
      <c r="S1181" s="84">
        <f>IF(ISNUMBER($M1181),ABS($M1181),0)</f>
        <v>0</v>
      </c>
      <c r="T1181" s="85" t="n">
        <v>1173</v>
      </c>
    </row>
    <row r="1182">
      <c r="B1182" s="83" t="n"/>
      <c r="C1182" s="83" t="n"/>
      <c r="D1182" s="83" t="n"/>
      <c r="E1182" s="83" t="n"/>
      <c r="F1182" s="83" t="n"/>
      <c r="G1182" s="83" t="n"/>
      <c r="H1182" s="83" t="n"/>
      <c r="I1182" s="83" t="n"/>
      <c r="J1182" s="83" t="n"/>
      <c r="K1182" s="83" t="n"/>
      <c r="L1182" s="83" t="n"/>
      <c r="M1182" s="83" t="n"/>
      <c r="O1182" s="84" t="str">
        <f>IF($C1182="","",IFERROR(MATCH($B1182&amp;"|"&amp;$C1182,MUROS!$AX$11:$AX$70,0),0))</f>
        <v/>
      </c>
      <c r="P1182" s="84" t="str">
        <f>IF($D1182="","",IF(ISNUMBER(MATCH($D1182,CMB_S,0)),1,IF(ISNUMBER(MATCH($D1182,CMB_G,0)),2,0)))</f>
        <v/>
      </c>
      <c r="Q1182" s="84">
        <f>IF(ISNUMBER($H1182),-$H1182,0)</f>
        <v>0</v>
      </c>
      <c r="R1182" s="84">
        <f>IF(ISNUMBER($I1182),ABS($I1182),0)</f>
        <v>0</v>
      </c>
      <c r="S1182" s="84">
        <f>IF(ISNUMBER($M1182),ABS($M1182),0)</f>
        <v>0</v>
      </c>
      <c r="T1182" s="85" t="n">
        <v>1174</v>
      </c>
    </row>
    <row r="1183">
      <c r="B1183" s="83" t="n"/>
      <c r="C1183" s="83" t="n"/>
      <c r="D1183" s="83" t="n"/>
      <c r="E1183" s="83" t="n"/>
      <c r="F1183" s="83" t="n"/>
      <c r="G1183" s="83" t="n"/>
      <c r="H1183" s="83" t="n"/>
      <c r="I1183" s="83" t="n"/>
      <c r="J1183" s="83" t="n"/>
      <c r="K1183" s="83" t="n"/>
      <c r="L1183" s="83" t="n"/>
      <c r="M1183" s="83" t="n"/>
      <c r="O1183" s="84" t="str">
        <f>IF($C1183="","",IFERROR(MATCH($B1183&amp;"|"&amp;$C1183,MUROS!$AX$11:$AX$70,0),0))</f>
        <v/>
      </c>
      <c r="P1183" s="84" t="str">
        <f>IF($D1183="","",IF(ISNUMBER(MATCH($D1183,CMB_S,0)),1,IF(ISNUMBER(MATCH($D1183,CMB_G,0)),2,0)))</f>
        <v/>
      </c>
      <c r="Q1183" s="84">
        <f>IF(ISNUMBER($H1183),-$H1183,0)</f>
        <v>0</v>
      </c>
      <c r="R1183" s="84">
        <f>IF(ISNUMBER($I1183),ABS($I1183),0)</f>
        <v>0</v>
      </c>
      <c r="S1183" s="84">
        <f>IF(ISNUMBER($M1183),ABS($M1183),0)</f>
        <v>0</v>
      </c>
      <c r="T1183" s="85" t="n">
        <v>1175</v>
      </c>
    </row>
    <row r="1184">
      <c r="B1184" s="83" t="n"/>
      <c r="C1184" s="83" t="n"/>
      <c r="D1184" s="83" t="n"/>
      <c r="E1184" s="83" t="n"/>
      <c r="F1184" s="83" t="n"/>
      <c r="G1184" s="83" t="n"/>
      <c r="H1184" s="83" t="n"/>
      <c r="I1184" s="83" t="n"/>
      <c r="J1184" s="83" t="n"/>
      <c r="K1184" s="83" t="n"/>
      <c r="L1184" s="83" t="n"/>
      <c r="M1184" s="83" t="n"/>
      <c r="O1184" s="84" t="str">
        <f>IF($C1184="","",IFERROR(MATCH($B1184&amp;"|"&amp;$C1184,MUROS!$AX$11:$AX$70,0),0))</f>
        <v/>
      </c>
      <c r="P1184" s="84" t="str">
        <f>IF($D1184="","",IF(ISNUMBER(MATCH($D1184,CMB_S,0)),1,IF(ISNUMBER(MATCH($D1184,CMB_G,0)),2,0)))</f>
        <v/>
      </c>
      <c r="Q1184" s="84">
        <f>IF(ISNUMBER($H1184),-$H1184,0)</f>
        <v>0</v>
      </c>
      <c r="R1184" s="84">
        <f>IF(ISNUMBER($I1184),ABS($I1184),0)</f>
        <v>0</v>
      </c>
      <c r="S1184" s="84">
        <f>IF(ISNUMBER($M1184),ABS($M1184),0)</f>
        <v>0</v>
      </c>
      <c r="T1184" s="85" t="n">
        <v>1176</v>
      </c>
    </row>
    <row r="1185">
      <c r="B1185" s="83" t="n"/>
      <c r="C1185" s="83" t="n"/>
      <c r="D1185" s="83" t="n"/>
      <c r="E1185" s="83" t="n"/>
      <c r="F1185" s="83" t="n"/>
      <c r="G1185" s="83" t="n"/>
      <c r="H1185" s="83" t="n"/>
      <c r="I1185" s="83" t="n"/>
      <c r="J1185" s="83" t="n"/>
      <c r="K1185" s="83" t="n"/>
      <c r="L1185" s="83" t="n"/>
      <c r="M1185" s="83" t="n"/>
      <c r="O1185" s="84" t="str">
        <f>IF($C1185="","",IFERROR(MATCH($B1185&amp;"|"&amp;$C1185,MUROS!$AX$11:$AX$70,0),0))</f>
        <v/>
      </c>
      <c r="P1185" s="84" t="str">
        <f>IF($D1185="","",IF(ISNUMBER(MATCH($D1185,CMB_S,0)),1,IF(ISNUMBER(MATCH($D1185,CMB_G,0)),2,0)))</f>
        <v/>
      </c>
      <c r="Q1185" s="84">
        <f>IF(ISNUMBER($H1185),-$H1185,0)</f>
        <v>0</v>
      </c>
      <c r="R1185" s="84">
        <f>IF(ISNUMBER($I1185),ABS($I1185),0)</f>
        <v>0</v>
      </c>
      <c r="S1185" s="84">
        <f>IF(ISNUMBER($M1185),ABS($M1185),0)</f>
        <v>0</v>
      </c>
      <c r="T1185" s="85" t="n">
        <v>1177</v>
      </c>
    </row>
    <row r="1186">
      <c r="B1186" s="83" t="n"/>
      <c r="C1186" s="83" t="n"/>
      <c r="D1186" s="83" t="n"/>
      <c r="E1186" s="83" t="n"/>
      <c r="F1186" s="83" t="n"/>
      <c r="G1186" s="83" t="n"/>
      <c r="H1186" s="83" t="n"/>
      <c r="I1186" s="83" t="n"/>
      <c r="J1186" s="83" t="n"/>
      <c r="K1186" s="83" t="n"/>
      <c r="L1186" s="83" t="n"/>
      <c r="M1186" s="83" t="n"/>
      <c r="O1186" s="84" t="str">
        <f>IF($C1186="","",IFERROR(MATCH($B1186&amp;"|"&amp;$C1186,MUROS!$AX$11:$AX$70,0),0))</f>
        <v/>
      </c>
      <c r="P1186" s="84" t="str">
        <f>IF($D1186="","",IF(ISNUMBER(MATCH($D1186,CMB_S,0)),1,IF(ISNUMBER(MATCH($D1186,CMB_G,0)),2,0)))</f>
        <v/>
      </c>
      <c r="Q1186" s="84">
        <f>IF(ISNUMBER($H1186),-$H1186,0)</f>
        <v>0</v>
      </c>
      <c r="R1186" s="84">
        <f>IF(ISNUMBER($I1186),ABS($I1186),0)</f>
        <v>0</v>
      </c>
      <c r="S1186" s="84">
        <f>IF(ISNUMBER($M1186),ABS($M1186),0)</f>
        <v>0</v>
      </c>
      <c r="T1186" s="85" t="n">
        <v>1178</v>
      </c>
    </row>
    <row r="1187">
      <c r="B1187" s="83" t="n"/>
      <c r="C1187" s="83" t="n"/>
      <c r="D1187" s="83" t="n"/>
      <c r="E1187" s="83" t="n"/>
      <c r="F1187" s="83" t="n"/>
      <c r="G1187" s="83" t="n"/>
      <c r="H1187" s="83" t="n"/>
      <c r="I1187" s="83" t="n"/>
      <c r="J1187" s="83" t="n"/>
      <c r="K1187" s="83" t="n"/>
      <c r="L1187" s="83" t="n"/>
      <c r="M1187" s="83" t="n"/>
      <c r="O1187" s="84" t="str">
        <f>IF($C1187="","",IFERROR(MATCH($B1187&amp;"|"&amp;$C1187,MUROS!$AX$11:$AX$70,0),0))</f>
        <v/>
      </c>
      <c r="P1187" s="84" t="str">
        <f>IF($D1187="","",IF(ISNUMBER(MATCH($D1187,CMB_S,0)),1,IF(ISNUMBER(MATCH($D1187,CMB_G,0)),2,0)))</f>
        <v/>
      </c>
      <c r="Q1187" s="84">
        <f>IF(ISNUMBER($H1187),-$H1187,0)</f>
        <v>0</v>
      </c>
      <c r="R1187" s="84">
        <f>IF(ISNUMBER($I1187),ABS($I1187),0)</f>
        <v>0</v>
      </c>
      <c r="S1187" s="84">
        <f>IF(ISNUMBER($M1187),ABS($M1187),0)</f>
        <v>0</v>
      </c>
      <c r="T1187" s="85" t="n">
        <v>1179</v>
      </c>
    </row>
    <row r="1188">
      <c r="B1188" s="83" t="n"/>
      <c r="C1188" s="83" t="n"/>
      <c r="D1188" s="83" t="n"/>
      <c r="E1188" s="83" t="n"/>
      <c r="F1188" s="83" t="n"/>
      <c r="G1188" s="83" t="n"/>
      <c r="H1188" s="83" t="n"/>
      <c r="I1188" s="83" t="n"/>
      <c r="J1188" s="83" t="n"/>
      <c r="K1188" s="83" t="n"/>
      <c r="L1188" s="83" t="n"/>
      <c r="M1188" s="83" t="n"/>
      <c r="O1188" s="84" t="str">
        <f>IF($C1188="","",IFERROR(MATCH($B1188&amp;"|"&amp;$C1188,MUROS!$AX$11:$AX$70,0),0))</f>
        <v/>
      </c>
      <c r="P1188" s="84" t="str">
        <f>IF($D1188="","",IF(ISNUMBER(MATCH($D1188,CMB_S,0)),1,IF(ISNUMBER(MATCH($D1188,CMB_G,0)),2,0)))</f>
        <v/>
      </c>
      <c r="Q1188" s="84">
        <f>IF(ISNUMBER($H1188),-$H1188,0)</f>
        <v>0</v>
      </c>
      <c r="R1188" s="84">
        <f>IF(ISNUMBER($I1188),ABS($I1188),0)</f>
        <v>0</v>
      </c>
      <c r="S1188" s="84">
        <f>IF(ISNUMBER($M1188),ABS($M1188),0)</f>
        <v>0</v>
      </c>
      <c r="T1188" s="85" t="n">
        <v>1180</v>
      </c>
    </row>
    <row r="1189">
      <c r="B1189" s="83" t="n"/>
      <c r="C1189" s="83" t="n"/>
      <c r="D1189" s="83" t="n"/>
      <c r="E1189" s="83" t="n"/>
      <c r="F1189" s="83" t="n"/>
      <c r="G1189" s="83" t="n"/>
      <c r="H1189" s="83" t="n"/>
      <c r="I1189" s="83" t="n"/>
      <c r="J1189" s="83" t="n"/>
      <c r="K1189" s="83" t="n"/>
      <c r="L1189" s="83" t="n"/>
      <c r="M1189" s="83" t="n"/>
      <c r="O1189" s="84" t="str">
        <f>IF($C1189="","",IFERROR(MATCH($B1189&amp;"|"&amp;$C1189,MUROS!$AX$11:$AX$70,0),0))</f>
        <v/>
      </c>
      <c r="P1189" s="84" t="str">
        <f>IF($D1189="","",IF(ISNUMBER(MATCH($D1189,CMB_S,0)),1,IF(ISNUMBER(MATCH($D1189,CMB_G,0)),2,0)))</f>
        <v/>
      </c>
      <c r="Q1189" s="84">
        <f>IF(ISNUMBER($H1189),-$H1189,0)</f>
        <v>0</v>
      </c>
      <c r="R1189" s="84">
        <f>IF(ISNUMBER($I1189),ABS($I1189),0)</f>
        <v>0</v>
      </c>
      <c r="S1189" s="84">
        <f>IF(ISNUMBER($M1189),ABS($M1189),0)</f>
        <v>0</v>
      </c>
      <c r="T1189" s="85" t="n">
        <v>1181</v>
      </c>
    </row>
    <row r="1190">
      <c r="B1190" s="83" t="n"/>
      <c r="C1190" s="83" t="n"/>
      <c r="D1190" s="83" t="n"/>
      <c r="E1190" s="83" t="n"/>
      <c r="F1190" s="83" t="n"/>
      <c r="G1190" s="83" t="n"/>
      <c r="H1190" s="83" t="n"/>
      <c r="I1190" s="83" t="n"/>
      <c r="J1190" s="83" t="n"/>
      <c r="K1190" s="83" t="n"/>
      <c r="L1190" s="83" t="n"/>
      <c r="M1190" s="83" t="n"/>
      <c r="O1190" s="84" t="str">
        <f>IF($C1190="","",IFERROR(MATCH($B1190&amp;"|"&amp;$C1190,MUROS!$AX$11:$AX$70,0),0))</f>
        <v/>
      </c>
      <c r="P1190" s="84" t="str">
        <f>IF($D1190="","",IF(ISNUMBER(MATCH($D1190,CMB_S,0)),1,IF(ISNUMBER(MATCH($D1190,CMB_G,0)),2,0)))</f>
        <v/>
      </c>
      <c r="Q1190" s="84">
        <f>IF(ISNUMBER($H1190),-$H1190,0)</f>
        <v>0</v>
      </c>
      <c r="R1190" s="84">
        <f>IF(ISNUMBER($I1190),ABS($I1190),0)</f>
        <v>0</v>
      </c>
      <c r="S1190" s="84">
        <f>IF(ISNUMBER($M1190),ABS($M1190),0)</f>
        <v>0</v>
      </c>
      <c r="T1190" s="85" t="n">
        <v>1182</v>
      </c>
    </row>
    <row r="1191">
      <c r="B1191" s="83" t="n"/>
      <c r="C1191" s="83" t="n"/>
      <c r="D1191" s="83" t="n"/>
      <c r="E1191" s="83" t="n"/>
      <c r="F1191" s="83" t="n"/>
      <c r="G1191" s="83" t="n"/>
      <c r="H1191" s="83" t="n"/>
      <c r="I1191" s="83" t="n"/>
      <c r="J1191" s="83" t="n"/>
      <c r="K1191" s="83" t="n"/>
      <c r="L1191" s="83" t="n"/>
      <c r="M1191" s="83" t="n"/>
      <c r="O1191" s="84" t="str">
        <f>IF($C1191="","",IFERROR(MATCH($B1191&amp;"|"&amp;$C1191,MUROS!$AX$11:$AX$70,0),0))</f>
        <v/>
      </c>
      <c r="P1191" s="84" t="str">
        <f>IF($D1191="","",IF(ISNUMBER(MATCH($D1191,CMB_S,0)),1,IF(ISNUMBER(MATCH($D1191,CMB_G,0)),2,0)))</f>
        <v/>
      </c>
      <c r="Q1191" s="84">
        <f>IF(ISNUMBER($H1191),-$H1191,0)</f>
        <v>0</v>
      </c>
      <c r="R1191" s="84">
        <f>IF(ISNUMBER($I1191),ABS($I1191),0)</f>
        <v>0</v>
      </c>
      <c r="S1191" s="84">
        <f>IF(ISNUMBER($M1191),ABS($M1191),0)</f>
        <v>0</v>
      </c>
      <c r="T1191" s="85" t="n">
        <v>1183</v>
      </c>
    </row>
    <row r="1192">
      <c r="B1192" s="83" t="n"/>
      <c r="C1192" s="83" t="n"/>
      <c r="D1192" s="83" t="n"/>
      <c r="E1192" s="83" t="n"/>
      <c r="F1192" s="83" t="n"/>
      <c r="G1192" s="83" t="n"/>
      <c r="H1192" s="83" t="n"/>
      <c r="I1192" s="83" t="n"/>
      <c r="J1192" s="83" t="n"/>
      <c r="K1192" s="83" t="n"/>
      <c r="L1192" s="83" t="n"/>
      <c r="M1192" s="83" t="n"/>
      <c r="O1192" s="84" t="str">
        <f>IF($C1192="","",IFERROR(MATCH($B1192&amp;"|"&amp;$C1192,MUROS!$AX$11:$AX$70,0),0))</f>
        <v/>
      </c>
      <c r="P1192" s="84" t="str">
        <f>IF($D1192="","",IF(ISNUMBER(MATCH($D1192,CMB_S,0)),1,IF(ISNUMBER(MATCH($D1192,CMB_G,0)),2,0)))</f>
        <v/>
      </c>
      <c r="Q1192" s="84">
        <f>IF(ISNUMBER($H1192),-$H1192,0)</f>
        <v>0</v>
      </c>
      <c r="R1192" s="84">
        <f>IF(ISNUMBER($I1192),ABS($I1192),0)</f>
        <v>0</v>
      </c>
      <c r="S1192" s="84">
        <f>IF(ISNUMBER($M1192),ABS($M1192),0)</f>
        <v>0</v>
      </c>
      <c r="T1192" s="85" t="n">
        <v>1184</v>
      </c>
    </row>
    <row r="1193">
      <c r="B1193" s="83" t="n"/>
      <c r="C1193" s="83" t="n"/>
      <c r="D1193" s="83" t="n"/>
      <c r="E1193" s="83" t="n"/>
      <c r="F1193" s="83" t="n"/>
      <c r="G1193" s="83" t="n"/>
      <c r="H1193" s="83" t="n"/>
      <c r="I1193" s="83" t="n"/>
      <c r="J1193" s="83" t="n"/>
      <c r="K1193" s="83" t="n"/>
      <c r="L1193" s="83" t="n"/>
      <c r="M1193" s="83" t="n"/>
      <c r="O1193" s="84" t="str">
        <f>IF($C1193="","",IFERROR(MATCH($B1193&amp;"|"&amp;$C1193,MUROS!$AX$11:$AX$70,0),0))</f>
        <v/>
      </c>
      <c r="P1193" s="84" t="str">
        <f>IF($D1193="","",IF(ISNUMBER(MATCH($D1193,CMB_S,0)),1,IF(ISNUMBER(MATCH($D1193,CMB_G,0)),2,0)))</f>
        <v/>
      </c>
      <c r="Q1193" s="84">
        <f>IF(ISNUMBER($H1193),-$H1193,0)</f>
        <v>0</v>
      </c>
      <c r="R1193" s="84">
        <f>IF(ISNUMBER($I1193),ABS($I1193),0)</f>
        <v>0</v>
      </c>
      <c r="S1193" s="84">
        <f>IF(ISNUMBER($M1193),ABS($M1193),0)</f>
        <v>0</v>
      </c>
      <c r="T1193" s="85" t="n">
        <v>1185</v>
      </c>
    </row>
    <row r="1194">
      <c r="B1194" s="83" t="n"/>
      <c r="C1194" s="83" t="n"/>
      <c r="D1194" s="83" t="n"/>
      <c r="E1194" s="83" t="n"/>
      <c r="F1194" s="83" t="n"/>
      <c r="G1194" s="83" t="n"/>
      <c r="H1194" s="83" t="n"/>
      <c r="I1194" s="83" t="n"/>
      <c r="J1194" s="83" t="n"/>
      <c r="K1194" s="83" t="n"/>
      <c r="L1194" s="83" t="n"/>
      <c r="M1194" s="83" t="n"/>
      <c r="O1194" s="84" t="str">
        <f>IF($C1194="","",IFERROR(MATCH($B1194&amp;"|"&amp;$C1194,MUROS!$AX$11:$AX$70,0),0))</f>
        <v/>
      </c>
      <c r="P1194" s="84" t="str">
        <f>IF($D1194="","",IF(ISNUMBER(MATCH($D1194,CMB_S,0)),1,IF(ISNUMBER(MATCH($D1194,CMB_G,0)),2,0)))</f>
        <v/>
      </c>
      <c r="Q1194" s="84">
        <f>IF(ISNUMBER($H1194),-$H1194,0)</f>
        <v>0</v>
      </c>
      <c r="R1194" s="84">
        <f>IF(ISNUMBER($I1194),ABS($I1194),0)</f>
        <v>0</v>
      </c>
      <c r="S1194" s="84">
        <f>IF(ISNUMBER($M1194),ABS($M1194),0)</f>
        <v>0</v>
      </c>
      <c r="T1194" s="85" t="n">
        <v>1186</v>
      </c>
    </row>
    <row r="1195">
      <c r="B1195" s="83" t="n"/>
      <c r="C1195" s="83" t="n"/>
      <c r="D1195" s="83" t="n"/>
      <c r="E1195" s="83" t="n"/>
      <c r="F1195" s="83" t="n"/>
      <c r="G1195" s="83" t="n"/>
      <c r="H1195" s="83" t="n"/>
      <c r="I1195" s="83" t="n"/>
      <c r="J1195" s="83" t="n"/>
      <c r="K1195" s="83" t="n"/>
      <c r="L1195" s="83" t="n"/>
      <c r="M1195" s="83" t="n"/>
      <c r="O1195" s="84" t="str">
        <f>IF($C1195="","",IFERROR(MATCH($B1195&amp;"|"&amp;$C1195,MUROS!$AX$11:$AX$70,0),0))</f>
        <v/>
      </c>
      <c r="P1195" s="84" t="str">
        <f>IF($D1195="","",IF(ISNUMBER(MATCH($D1195,CMB_S,0)),1,IF(ISNUMBER(MATCH($D1195,CMB_G,0)),2,0)))</f>
        <v/>
      </c>
      <c r="Q1195" s="84">
        <f>IF(ISNUMBER($H1195),-$H1195,0)</f>
        <v>0</v>
      </c>
      <c r="R1195" s="84">
        <f>IF(ISNUMBER($I1195),ABS($I1195),0)</f>
        <v>0</v>
      </c>
      <c r="S1195" s="84">
        <f>IF(ISNUMBER($M1195),ABS($M1195),0)</f>
        <v>0</v>
      </c>
      <c r="T1195" s="85" t="n">
        <v>1187</v>
      </c>
    </row>
    <row r="1196">
      <c r="B1196" s="83" t="n"/>
      <c r="C1196" s="83" t="n"/>
      <c r="D1196" s="83" t="n"/>
      <c r="E1196" s="83" t="n"/>
      <c r="F1196" s="83" t="n"/>
      <c r="G1196" s="83" t="n"/>
      <c r="H1196" s="83" t="n"/>
      <c r="I1196" s="83" t="n"/>
      <c r="J1196" s="83" t="n"/>
      <c r="K1196" s="83" t="n"/>
      <c r="L1196" s="83" t="n"/>
      <c r="M1196" s="83" t="n"/>
      <c r="O1196" s="84" t="str">
        <f>IF($C1196="","",IFERROR(MATCH($B1196&amp;"|"&amp;$C1196,MUROS!$AX$11:$AX$70,0),0))</f>
        <v/>
      </c>
      <c r="P1196" s="84" t="str">
        <f>IF($D1196="","",IF(ISNUMBER(MATCH($D1196,CMB_S,0)),1,IF(ISNUMBER(MATCH($D1196,CMB_G,0)),2,0)))</f>
        <v/>
      </c>
      <c r="Q1196" s="84">
        <f>IF(ISNUMBER($H1196),-$H1196,0)</f>
        <v>0</v>
      </c>
      <c r="R1196" s="84">
        <f>IF(ISNUMBER($I1196),ABS($I1196),0)</f>
        <v>0</v>
      </c>
      <c r="S1196" s="84">
        <f>IF(ISNUMBER($M1196),ABS($M1196),0)</f>
        <v>0</v>
      </c>
      <c r="T1196" s="85" t="n">
        <v>1188</v>
      </c>
    </row>
    <row r="1197">
      <c r="B1197" s="83" t="n"/>
      <c r="C1197" s="83" t="n"/>
      <c r="D1197" s="83" t="n"/>
      <c r="E1197" s="83" t="n"/>
      <c r="F1197" s="83" t="n"/>
      <c r="G1197" s="83" t="n"/>
      <c r="H1197" s="83" t="n"/>
      <c r="I1197" s="83" t="n"/>
      <c r="J1197" s="83" t="n"/>
      <c r="K1197" s="83" t="n"/>
      <c r="L1197" s="83" t="n"/>
      <c r="M1197" s="83" t="n"/>
      <c r="O1197" s="84" t="str">
        <f>IF($C1197="","",IFERROR(MATCH($B1197&amp;"|"&amp;$C1197,MUROS!$AX$11:$AX$70,0),0))</f>
        <v/>
      </c>
      <c r="P1197" s="84" t="str">
        <f>IF($D1197="","",IF(ISNUMBER(MATCH($D1197,CMB_S,0)),1,IF(ISNUMBER(MATCH($D1197,CMB_G,0)),2,0)))</f>
        <v/>
      </c>
      <c r="Q1197" s="84">
        <f>IF(ISNUMBER($H1197),-$H1197,0)</f>
        <v>0</v>
      </c>
      <c r="R1197" s="84">
        <f>IF(ISNUMBER($I1197),ABS($I1197),0)</f>
        <v>0</v>
      </c>
      <c r="S1197" s="84">
        <f>IF(ISNUMBER($M1197),ABS($M1197),0)</f>
        <v>0</v>
      </c>
      <c r="T1197" s="85" t="n">
        <v>1189</v>
      </c>
    </row>
    <row r="1198">
      <c r="B1198" s="83" t="n"/>
      <c r="C1198" s="83" t="n"/>
      <c r="D1198" s="83" t="n"/>
      <c r="E1198" s="83" t="n"/>
      <c r="F1198" s="83" t="n"/>
      <c r="G1198" s="83" t="n"/>
      <c r="H1198" s="83" t="n"/>
      <c r="I1198" s="83" t="n"/>
      <c r="J1198" s="83" t="n"/>
      <c r="K1198" s="83" t="n"/>
      <c r="L1198" s="83" t="n"/>
      <c r="M1198" s="83" t="n"/>
      <c r="O1198" s="84" t="str">
        <f>IF($C1198="","",IFERROR(MATCH($B1198&amp;"|"&amp;$C1198,MUROS!$AX$11:$AX$70,0),0))</f>
        <v/>
      </c>
      <c r="P1198" s="84" t="str">
        <f>IF($D1198="","",IF(ISNUMBER(MATCH($D1198,CMB_S,0)),1,IF(ISNUMBER(MATCH($D1198,CMB_G,0)),2,0)))</f>
        <v/>
      </c>
      <c r="Q1198" s="84">
        <f>IF(ISNUMBER($H1198),-$H1198,0)</f>
        <v>0</v>
      </c>
      <c r="R1198" s="84">
        <f>IF(ISNUMBER($I1198),ABS($I1198),0)</f>
        <v>0</v>
      </c>
      <c r="S1198" s="84">
        <f>IF(ISNUMBER($M1198),ABS($M1198),0)</f>
        <v>0</v>
      </c>
      <c r="T1198" s="85" t="n">
        <v>1190</v>
      </c>
    </row>
    <row r="1199">
      <c r="B1199" s="83" t="n"/>
      <c r="C1199" s="83" t="n"/>
      <c r="D1199" s="83" t="n"/>
      <c r="E1199" s="83" t="n"/>
      <c r="F1199" s="83" t="n"/>
      <c r="G1199" s="83" t="n"/>
      <c r="H1199" s="83" t="n"/>
      <c r="I1199" s="83" t="n"/>
      <c r="J1199" s="83" t="n"/>
      <c r="K1199" s="83" t="n"/>
      <c r="L1199" s="83" t="n"/>
      <c r="M1199" s="83" t="n"/>
      <c r="O1199" s="84" t="str">
        <f>IF($C1199="","",IFERROR(MATCH($B1199&amp;"|"&amp;$C1199,MUROS!$AX$11:$AX$70,0),0))</f>
        <v/>
      </c>
      <c r="P1199" s="84" t="str">
        <f>IF($D1199="","",IF(ISNUMBER(MATCH($D1199,CMB_S,0)),1,IF(ISNUMBER(MATCH($D1199,CMB_G,0)),2,0)))</f>
        <v/>
      </c>
      <c r="Q1199" s="84">
        <f>IF(ISNUMBER($H1199),-$H1199,0)</f>
        <v>0</v>
      </c>
      <c r="R1199" s="84">
        <f>IF(ISNUMBER($I1199),ABS($I1199),0)</f>
        <v>0</v>
      </c>
      <c r="S1199" s="84">
        <f>IF(ISNUMBER($M1199),ABS($M1199),0)</f>
        <v>0</v>
      </c>
      <c r="T1199" s="85" t="n">
        <v>1191</v>
      </c>
    </row>
    <row r="1200">
      <c r="B1200" s="83" t="n"/>
      <c r="C1200" s="83" t="n"/>
      <c r="D1200" s="83" t="n"/>
      <c r="E1200" s="83" t="n"/>
      <c r="F1200" s="83" t="n"/>
      <c r="G1200" s="83" t="n"/>
      <c r="H1200" s="83" t="n"/>
      <c r="I1200" s="83" t="n"/>
      <c r="J1200" s="83" t="n"/>
      <c r="K1200" s="83" t="n"/>
      <c r="L1200" s="83" t="n"/>
      <c r="M1200" s="83" t="n"/>
      <c r="O1200" s="84" t="str">
        <f>IF($C1200="","",IFERROR(MATCH($B1200&amp;"|"&amp;$C1200,MUROS!$AX$11:$AX$70,0),0))</f>
        <v/>
      </c>
      <c r="P1200" s="84" t="str">
        <f>IF($D1200="","",IF(ISNUMBER(MATCH($D1200,CMB_S,0)),1,IF(ISNUMBER(MATCH($D1200,CMB_G,0)),2,0)))</f>
        <v/>
      </c>
      <c r="Q1200" s="84">
        <f>IF(ISNUMBER($H1200),-$H1200,0)</f>
        <v>0</v>
      </c>
      <c r="R1200" s="84">
        <f>IF(ISNUMBER($I1200),ABS($I1200),0)</f>
        <v>0</v>
      </c>
      <c r="S1200" s="84">
        <f>IF(ISNUMBER($M1200),ABS($M1200),0)</f>
        <v>0</v>
      </c>
      <c r="T1200" s="85" t="n">
        <v>1192</v>
      </c>
    </row>
    <row r="1201">
      <c r="B1201" s="83" t="n"/>
      <c r="C1201" s="83" t="n"/>
      <c r="D1201" s="83" t="n"/>
      <c r="E1201" s="83" t="n"/>
      <c r="F1201" s="83" t="n"/>
      <c r="G1201" s="83" t="n"/>
      <c r="H1201" s="83" t="n"/>
      <c r="I1201" s="83" t="n"/>
      <c r="J1201" s="83" t="n"/>
      <c r="K1201" s="83" t="n"/>
      <c r="L1201" s="83" t="n"/>
      <c r="M1201" s="83" t="n"/>
      <c r="O1201" s="84" t="str">
        <f>IF($C1201="","",IFERROR(MATCH($B1201&amp;"|"&amp;$C1201,MUROS!$AX$11:$AX$70,0),0))</f>
        <v/>
      </c>
      <c r="P1201" s="84" t="str">
        <f>IF($D1201="","",IF(ISNUMBER(MATCH($D1201,CMB_S,0)),1,IF(ISNUMBER(MATCH($D1201,CMB_G,0)),2,0)))</f>
        <v/>
      </c>
      <c r="Q1201" s="84">
        <f>IF(ISNUMBER($H1201),-$H1201,0)</f>
        <v>0</v>
      </c>
      <c r="R1201" s="84">
        <f>IF(ISNUMBER($I1201),ABS($I1201),0)</f>
        <v>0</v>
      </c>
      <c r="S1201" s="84">
        <f>IF(ISNUMBER($M1201),ABS($M1201),0)</f>
        <v>0</v>
      </c>
      <c r="T1201" s="85" t="n">
        <v>1193</v>
      </c>
    </row>
    <row r="1202">
      <c r="B1202" s="83" t="n"/>
      <c r="C1202" s="83" t="n"/>
      <c r="D1202" s="83" t="n"/>
      <c r="E1202" s="83" t="n"/>
      <c r="F1202" s="83" t="n"/>
      <c r="G1202" s="83" t="n"/>
      <c r="H1202" s="83" t="n"/>
      <c r="I1202" s="83" t="n"/>
      <c r="J1202" s="83" t="n"/>
      <c r="K1202" s="83" t="n"/>
      <c r="L1202" s="83" t="n"/>
      <c r="M1202" s="83" t="n"/>
      <c r="O1202" s="84" t="str">
        <f>IF($C1202="","",IFERROR(MATCH($B1202&amp;"|"&amp;$C1202,MUROS!$AX$11:$AX$70,0),0))</f>
        <v/>
      </c>
      <c r="P1202" s="84" t="str">
        <f>IF($D1202="","",IF(ISNUMBER(MATCH($D1202,CMB_S,0)),1,IF(ISNUMBER(MATCH($D1202,CMB_G,0)),2,0)))</f>
        <v/>
      </c>
      <c r="Q1202" s="84">
        <f>IF(ISNUMBER($H1202),-$H1202,0)</f>
        <v>0</v>
      </c>
      <c r="R1202" s="84">
        <f>IF(ISNUMBER($I1202),ABS($I1202),0)</f>
        <v>0</v>
      </c>
      <c r="S1202" s="84">
        <f>IF(ISNUMBER($M1202),ABS($M1202),0)</f>
        <v>0</v>
      </c>
      <c r="T1202" s="85" t="n">
        <v>1194</v>
      </c>
    </row>
    <row r="1203">
      <c r="B1203" s="83" t="n"/>
      <c r="C1203" s="83" t="n"/>
      <c r="D1203" s="83" t="n"/>
      <c r="E1203" s="83" t="n"/>
      <c r="F1203" s="83" t="n"/>
      <c r="G1203" s="83" t="n"/>
      <c r="H1203" s="83" t="n"/>
      <c r="I1203" s="83" t="n"/>
      <c r="J1203" s="83" t="n"/>
      <c r="K1203" s="83" t="n"/>
      <c r="L1203" s="83" t="n"/>
      <c r="M1203" s="83" t="n"/>
      <c r="O1203" s="84" t="str">
        <f>IF($C1203="","",IFERROR(MATCH($B1203&amp;"|"&amp;$C1203,MUROS!$AX$11:$AX$70,0),0))</f>
        <v/>
      </c>
      <c r="P1203" s="84" t="str">
        <f>IF($D1203="","",IF(ISNUMBER(MATCH($D1203,CMB_S,0)),1,IF(ISNUMBER(MATCH($D1203,CMB_G,0)),2,0)))</f>
        <v/>
      </c>
      <c r="Q1203" s="84">
        <f>IF(ISNUMBER($H1203),-$H1203,0)</f>
        <v>0</v>
      </c>
      <c r="R1203" s="84">
        <f>IF(ISNUMBER($I1203),ABS($I1203),0)</f>
        <v>0</v>
      </c>
      <c r="S1203" s="84">
        <f>IF(ISNUMBER($M1203),ABS($M1203),0)</f>
        <v>0</v>
      </c>
      <c r="T1203" s="85" t="n">
        <v>1195</v>
      </c>
    </row>
    <row r="1204">
      <c r="B1204" s="83" t="n"/>
      <c r="C1204" s="83" t="n"/>
      <c r="D1204" s="83" t="n"/>
      <c r="E1204" s="83" t="n"/>
      <c r="F1204" s="83" t="n"/>
      <c r="G1204" s="83" t="n"/>
      <c r="H1204" s="83" t="n"/>
      <c r="I1204" s="83" t="n"/>
      <c r="J1204" s="83" t="n"/>
      <c r="K1204" s="83" t="n"/>
      <c r="L1204" s="83" t="n"/>
      <c r="M1204" s="83" t="n"/>
      <c r="O1204" s="84" t="str">
        <f>IF($C1204="","",IFERROR(MATCH($B1204&amp;"|"&amp;$C1204,MUROS!$AX$11:$AX$70,0),0))</f>
        <v/>
      </c>
      <c r="P1204" s="84" t="str">
        <f>IF($D1204="","",IF(ISNUMBER(MATCH($D1204,CMB_S,0)),1,IF(ISNUMBER(MATCH($D1204,CMB_G,0)),2,0)))</f>
        <v/>
      </c>
      <c r="Q1204" s="84">
        <f>IF(ISNUMBER($H1204),-$H1204,0)</f>
        <v>0</v>
      </c>
      <c r="R1204" s="84">
        <f>IF(ISNUMBER($I1204),ABS($I1204),0)</f>
        <v>0</v>
      </c>
      <c r="S1204" s="84">
        <f>IF(ISNUMBER($M1204),ABS($M1204),0)</f>
        <v>0</v>
      </c>
      <c r="T1204" s="85" t="n">
        <v>1196</v>
      </c>
    </row>
    <row r="1205">
      <c r="B1205" s="83" t="n"/>
      <c r="C1205" s="83" t="n"/>
      <c r="D1205" s="83" t="n"/>
      <c r="E1205" s="83" t="n"/>
      <c r="F1205" s="83" t="n"/>
      <c r="G1205" s="83" t="n"/>
      <c r="H1205" s="83" t="n"/>
      <c r="I1205" s="83" t="n"/>
      <c r="J1205" s="83" t="n"/>
      <c r="K1205" s="83" t="n"/>
      <c r="L1205" s="83" t="n"/>
      <c r="M1205" s="83" t="n"/>
      <c r="O1205" s="84" t="str">
        <f>IF($C1205="","",IFERROR(MATCH($B1205&amp;"|"&amp;$C1205,MUROS!$AX$11:$AX$70,0),0))</f>
        <v/>
      </c>
      <c r="P1205" s="84" t="str">
        <f>IF($D1205="","",IF(ISNUMBER(MATCH($D1205,CMB_S,0)),1,IF(ISNUMBER(MATCH($D1205,CMB_G,0)),2,0)))</f>
        <v/>
      </c>
      <c r="Q1205" s="84">
        <f>IF(ISNUMBER($H1205),-$H1205,0)</f>
        <v>0</v>
      </c>
      <c r="R1205" s="84">
        <f>IF(ISNUMBER($I1205),ABS($I1205),0)</f>
        <v>0</v>
      </c>
      <c r="S1205" s="84">
        <f>IF(ISNUMBER($M1205),ABS($M1205),0)</f>
        <v>0</v>
      </c>
      <c r="T1205" s="85" t="n">
        <v>1197</v>
      </c>
    </row>
    <row r="1206">
      <c r="B1206" s="83" t="n"/>
      <c r="C1206" s="83" t="n"/>
      <c r="D1206" s="83" t="n"/>
      <c r="E1206" s="83" t="n"/>
      <c r="F1206" s="83" t="n"/>
      <c r="G1206" s="83" t="n"/>
      <c r="H1206" s="83" t="n"/>
      <c r="I1206" s="83" t="n"/>
      <c r="J1206" s="83" t="n"/>
      <c r="K1206" s="83" t="n"/>
      <c r="L1206" s="83" t="n"/>
      <c r="M1206" s="83" t="n"/>
      <c r="O1206" s="84" t="str">
        <f>IF($C1206="","",IFERROR(MATCH($B1206&amp;"|"&amp;$C1206,MUROS!$AX$11:$AX$70,0),0))</f>
        <v/>
      </c>
      <c r="P1206" s="84" t="str">
        <f>IF($D1206="","",IF(ISNUMBER(MATCH($D1206,CMB_S,0)),1,IF(ISNUMBER(MATCH($D1206,CMB_G,0)),2,0)))</f>
        <v/>
      </c>
      <c r="Q1206" s="84">
        <f>IF(ISNUMBER($H1206),-$H1206,0)</f>
        <v>0</v>
      </c>
      <c r="R1206" s="84">
        <f>IF(ISNUMBER($I1206),ABS($I1206),0)</f>
        <v>0</v>
      </c>
      <c r="S1206" s="84">
        <f>IF(ISNUMBER($M1206),ABS($M1206),0)</f>
        <v>0</v>
      </c>
      <c r="T1206" s="85" t="n">
        <v>1198</v>
      </c>
    </row>
    <row r="1207">
      <c r="B1207" s="83" t="n"/>
      <c r="C1207" s="83" t="n"/>
      <c r="D1207" s="83" t="n"/>
      <c r="E1207" s="83" t="n"/>
      <c r="F1207" s="83" t="n"/>
      <c r="G1207" s="83" t="n"/>
      <c r="H1207" s="83" t="n"/>
      <c r="I1207" s="83" t="n"/>
      <c r="J1207" s="83" t="n"/>
      <c r="K1207" s="83" t="n"/>
      <c r="L1207" s="83" t="n"/>
      <c r="M1207" s="83" t="n"/>
      <c r="O1207" s="84" t="str">
        <f>IF($C1207="","",IFERROR(MATCH($B1207&amp;"|"&amp;$C1207,MUROS!$AX$11:$AX$70,0),0))</f>
        <v/>
      </c>
      <c r="P1207" s="84" t="str">
        <f>IF($D1207="","",IF(ISNUMBER(MATCH($D1207,CMB_S,0)),1,IF(ISNUMBER(MATCH($D1207,CMB_G,0)),2,0)))</f>
        <v/>
      </c>
      <c r="Q1207" s="84">
        <f>IF(ISNUMBER($H1207),-$H1207,0)</f>
        <v>0</v>
      </c>
      <c r="R1207" s="84">
        <f>IF(ISNUMBER($I1207),ABS($I1207),0)</f>
        <v>0</v>
      </c>
      <c r="S1207" s="84">
        <f>IF(ISNUMBER($M1207),ABS($M1207),0)</f>
        <v>0</v>
      </c>
      <c r="T1207" s="85" t="n">
        <v>1199</v>
      </c>
    </row>
    <row r="1208">
      <c r="B1208" s="83" t="n"/>
      <c r="C1208" s="83" t="n"/>
      <c r="D1208" s="83" t="n"/>
      <c r="E1208" s="83" t="n"/>
      <c r="F1208" s="83" t="n"/>
      <c r="G1208" s="83" t="n"/>
      <c r="H1208" s="83" t="n"/>
      <c r="I1208" s="83" t="n"/>
      <c r="J1208" s="83" t="n"/>
      <c r="K1208" s="83" t="n"/>
      <c r="L1208" s="83" t="n"/>
      <c r="M1208" s="83" t="n"/>
      <c r="O1208" s="84" t="str">
        <f>IF($C1208="","",IFERROR(MATCH($B1208&amp;"|"&amp;$C1208,MUROS!$AX$11:$AX$70,0),0))</f>
        <v/>
      </c>
      <c r="P1208" s="84" t="str">
        <f>IF($D1208="","",IF(ISNUMBER(MATCH($D1208,CMB_S,0)),1,IF(ISNUMBER(MATCH($D1208,CMB_G,0)),2,0)))</f>
        <v/>
      </c>
      <c r="Q1208" s="84">
        <f>IF(ISNUMBER($H1208),-$H1208,0)</f>
        <v>0</v>
      </c>
      <c r="R1208" s="84">
        <f>IF(ISNUMBER($I1208),ABS($I1208),0)</f>
        <v>0</v>
      </c>
      <c r="S1208" s="84">
        <f>IF(ISNUMBER($M1208),ABS($M1208),0)</f>
        <v>0</v>
      </c>
      <c r="T1208" s="85" t="n">
        <v>1200</v>
      </c>
    </row>
    <row r="1209">
      <c r="B1209" s="83" t="n"/>
      <c r="C1209" s="83" t="n"/>
      <c r="D1209" s="83" t="n"/>
      <c r="E1209" s="83" t="n"/>
      <c r="F1209" s="83" t="n"/>
      <c r="G1209" s="83" t="n"/>
      <c r="H1209" s="83" t="n"/>
      <c r="I1209" s="83" t="n"/>
      <c r="J1209" s="83" t="n"/>
      <c r="K1209" s="83" t="n"/>
      <c r="L1209" s="83" t="n"/>
      <c r="M1209" s="83" t="n"/>
      <c r="O1209" s="84" t="str">
        <f>IF($C1209="","",IFERROR(MATCH($B1209&amp;"|"&amp;$C1209,MUROS!$AX$11:$AX$70,0),0))</f>
        <v/>
      </c>
      <c r="P1209" s="84" t="str">
        <f>IF($D1209="","",IF(ISNUMBER(MATCH($D1209,CMB_S,0)),1,IF(ISNUMBER(MATCH($D1209,CMB_G,0)),2,0)))</f>
        <v/>
      </c>
      <c r="Q1209" s="84">
        <f>IF(ISNUMBER($H1209),-$H1209,0)</f>
        <v>0</v>
      </c>
      <c r="R1209" s="84">
        <f>IF(ISNUMBER($I1209),ABS($I1209),0)</f>
        <v>0</v>
      </c>
      <c r="S1209" s="84">
        <f>IF(ISNUMBER($M1209),ABS($M1209),0)</f>
        <v>0</v>
      </c>
      <c r="T1209" s="85" t="n">
        <v>1201</v>
      </c>
    </row>
    <row r="1210">
      <c r="B1210" s="83" t="n"/>
      <c r="C1210" s="83" t="n"/>
      <c r="D1210" s="83" t="n"/>
      <c r="E1210" s="83" t="n"/>
      <c r="F1210" s="83" t="n"/>
      <c r="G1210" s="83" t="n"/>
      <c r="H1210" s="83" t="n"/>
      <c r="I1210" s="83" t="n"/>
      <c r="J1210" s="83" t="n"/>
      <c r="K1210" s="83" t="n"/>
      <c r="L1210" s="83" t="n"/>
      <c r="M1210" s="83" t="n"/>
      <c r="O1210" s="84" t="str">
        <f>IF($C1210="","",IFERROR(MATCH($B1210&amp;"|"&amp;$C1210,MUROS!$AX$11:$AX$70,0),0))</f>
        <v/>
      </c>
      <c r="P1210" s="84" t="str">
        <f>IF($D1210="","",IF(ISNUMBER(MATCH($D1210,CMB_S,0)),1,IF(ISNUMBER(MATCH($D1210,CMB_G,0)),2,0)))</f>
        <v/>
      </c>
      <c r="Q1210" s="84">
        <f>IF(ISNUMBER($H1210),-$H1210,0)</f>
        <v>0</v>
      </c>
      <c r="R1210" s="84">
        <f>IF(ISNUMBER($I1210),ABS($I1210),0)</f>
        <v>0</v>
      </c>
      <c r="S1210" s="84">
        <f>IF(ISNUMBER($M1210),ABS($M1210),0)</f>
        <v>0</v>
      </c>
      <c r="T1210" s="85" t="n">
        <v>1202</v>
      </c>
    </row>
    <row r="1211">
      <c r="B1211" s="83" t="n"/>
      <c r="C1211" s="83" t="n"/>
      <c r="D1211" s="83" t="n"/>
      <c r="E1211" s="83" t="n"/>
      <c r="F1211" s="83" t="n"/>
      <c r="G1211" s="83" t="n"/>
      <c r="H1211" s="83" t="n"/>
      <c r="I1211" s="83" t="n"/>
      <c r="J1211" s="83" t="n"/>
      <c r="K1211" s="83" t="n"/>
      <c r="L1211" s="83" t="n"/>
      <c r="M1211" s="83" t="n"/>
      <c r="O1211" s="84" t="str">
        <f>IF($C1211="","",IFERROR(MATCH($B1211&amp;"|"&amp;$C1211,MUROS!$AX$11:$AX$70,0),0))</f>
        <v/>
      </c>
      <c r="P1211" s="84" t="str">
        <f>IF($D1211="","",IF(ISNUMBER(MATCH($D1211,CMB_S,0)),1,IF(ISNUMBER(MATCH($D1211,CMB_G,0)),2,0)))</f>
        <v/>
      </c>
      <c r="Q1211" s="84">
        <f>IF(ISNUMBER($H1211),-$H1211,0)</f>
        <v>0</v>
      </c>
      <c r="R1211" s="84">
        <f>IF(ISNUMBER($I1211),ABS($I1211),0)</f>
        <v>0</v>
      </c>
      <c r="S1211" s="84">
        <f>IF(ISNUMBER($M1211),ABS($M1211),0)</f>
        <v>0</v>
      </c>
      <c r="T1211" s="85" t="n">
        <v>1203</v>
      </c>
    </row>
    <row r="1212">
      <c r="B1212" s="83" t="n"/>
      <c r="C1212" s="83" t="n"/>
      <c r="D1212" s="83" t="n"/>
      <c r="E1212" s="83" t="n"/>
      <c r="F1212" s="83" t="n"/>
      <c r="G1212" s="83" t="n"/>
      <c r="H1212" s="83" t="n"/>
      <c r="I1212" s="83" t="n"/>
      <c r="J1212" s="83" t="n"/>
      <c r="K1212" s="83" t="n"/>
      <c r="L1212" s="83" t="n"/>
      <c r="M1212" s="83" t="n"/>
      <c r="O1212" s="84" t="str">
        <f>IF($C1212="","",IFERROR(MATCH($B1212&amp;"|"&amp;$C1212,MUROS!$AX$11:$AX$70,0),0))</f>
        <v/>
      </c>
      <c r="P1212" s="84" t="str">
        <f>IF($D1212="","",IF(ISNUMBER(MATCH($D1212,CMB_S,0)),1,IF(ISNUMBER(MATCH($D1212,CMB_G,0)),2,0)))</f>
        <v/>
      </c>
      <c r="Q1212" s="84">
        <f>IF(ISNUMBER($H1212),-$H1212,0)</f>
        <v>0</v>
      </c>
      <c r="R1212" s="84">
        <f>IF(ISNUMBER($I1212),ABS($I1212),0)</f>
        <v>0</v>
      </c>
      <c r="S1212" s="84">
        <f>IF(ISNUMBER($M1212),ABS($M1212),0)</f>
        <v>0</v>
      </c>
      <c r="T1212" s="85" t="n">
        <v>1204</v>
      </c>
    </row>
    <row r="1213">
      <c r="B1213" s="83" t="n"/>
      <c r="C1213" s="83" t="n"/>
      <c r="D1213" s="83" t="n"/>
      <c r="E1213" s="83" t="n"/>
      <c r="F1213" s="83" t="n"/>
      <c r="G1213" s="83" t="n"/>
      <c r="H1213" s="83" t="n"/>
      <c r="I1213" s="83" t="n"/>
      <c r="J1213" s="83" t="n"/>
      <c r="K1213" s="83" t="n"/>
      <c r="L1213" s="83" t="n"/>
      <c r="M1213" s="83" t="n"/>
      <c r="O1213" s="84" t="str">
        <f>IF($C1213="","",IFERROR(MATCH($B1213&amp;"|"&amp;$C1213,MUROS!$AX$11:$AX$70,0),0))</f>
        <v/>
      </c>
      <c r="P1213" s="84" t="str">
        <f>IF($D1213="","",IF(ISNUMBER(MATCH($D1213,CMB_S,0)),1,IF(ISNUMBER(MATCH($D1213,CMB_G,0)),2,0)))</f>
        <v/>
      </c>
      <c r="Q1213" s="84">
        <f>IF(ISNUMBER($H1213),-$H1213,0)</f>
        <v>0</v>
      </c>
      <c r="R1213" s="84">
        <f>IF(ISNUMBER($I1213),ABS($I1213),0)</f>
        <v>0</v>
      </c>
      <c r="S1213" s="84">
        <f>IF(ISNUMBER($M1213),ABS($M1213),0)</f>
        <v>0</v>
      </c>
      <c r="T1213" s="85" t="n">
        <v>1205</v>
      </c>
    </row>
    <row r="1214">
      <c r="B1214" s="83" t="n"/>
      <c r="C1214" s="83" t="n"/>
      <c r="D1214" s="83" t="n"/>
      <c r="E1214" s="83" t="n"/>
      <c r="F1214" s="83" t="n"/>
      <c r="G1214" s="83" t="n"/>
      <c r="H1214" s="83" t="n"/>
      <c r="I1214" s="83" t="n"/>
      <c r="J1214" s="83" t="n"/>
      <c r="K1214" s="83" t="n"/>
      <c r="L1214" s="83" t="n"/>
      <c r="M1214" s="83" t="n"/>
      <c r="O1214" s="84" t="str">
        <f>IF($C1214="","",IFERROR(MATCH($B1214&amp;"|"&amp;$C1214,MUROS!$AX$11:$AX$70,0),0))</f>
        <v/>
      </c>
      <c r="P1214" s="84" t="str">
        <f>IF($D1214="","",IF(ISNUMBER(MATCH($D1214,CMB_S,0)),1,IF(ISNUMBER(MATCH($D1214,CMB_G,0)),2,0)))</f>
        <v/>
      </c>
      <c r="Q1214" s="84">
        <f>IF(ISNUMBER($H1214),-$H1214,0)</f>
        <v>0</v>
      </c>
      <c r="R1214" s="84">
        <f>IF(ISNUMBER($I1214),ABS($I1214),0)</f>
        <v>0</v>
      </c>
      <c r="S1214" s="84">
        <f>IF(ISNUMBER($M1214),ABS($M1214),0)</f>
        <v>0</v>
      </c>
      <c r="T1214" s="85" t="n">
        <v>1206</v>
      </c>
    </row>
    <row r="1215">
      <c r="B1215" s="83" t="n"/>
      <c r="C1215" s="83" t="n"/>
      <c r="D1215" s="83" t="n"/>
      <c r="E1215" s="83" t="n"/>
      <c r="F1215" s="83" t="n"/>
      <c r="G1215" s="83" t="n"/>
      <c r="H1215" s="83" t="n"/>
      <c r="I1215" s="83" t="n"/>
      <c r="J1215" s="83" t="n"/>
      <c r="K1215" s="83" t="n"/>
      <c r="L1215" s="83" t="n"/>
      <c r="M1215" s="83" t="n"/>
      <c r="O1215" s="84" t="str">
        <f>IF($C1215="","",IFERROR(MATCH($B1215&amp;"|"&amp;$C1215,MUROS!$AX$11:$AX$70,0),0))</f>
        <v/>
      </c>
      <c r="P1215" s="84" t="str">
        <f>IF($D1215="","",IF(ISNUMBER(MATCH($D1215,CMB_S,0)),1,IF(ISNUMBER(MATCH($D1215,CMB_G,0)),2,0)))</f>
        <v/>
      </c>
      <c r="Q1215" s="84">
        <f>IF(ISNUMBER($H1215),-$H1215,0)</f>
        <v>0</v>
      </c>
      <c r="R1215" s="84">
        <f>IF(ISNUMBER($I1215),ABS($I1215),0)</f>
        <v>0</v>
      </c>
      <c r="S1215" s="84">
        <f>IF(ISNUMBER($M1215),ABS($M1215),0)</f>
        <v>0</v>
      </c>
      <c r="T1215" s="85" t="n">
        <v>1207</v>
      </c>
    </row>
    <row r="1216">
      <c r="B1216" s="83" t="n"/>
      <c r="C1216" s="83" t="n"/>
      <c r="D1216" s="83" t="n"/>
      <c r="E1216" s="83" t="n"/>
      <c r="F1216" s="83" t="n"/>
      <c r="G1216" s="83" t="n"/>
      <c r="H1216" s="83" t="n"/>
      <c r="I1216" s="83" t="n"/>
      <c r="J1216" s="83" t="n"/>
      <c r="K1216" s="83" t="n"/>
      <c r="L1216" s="83" t="n"/>
      <c r="M1216" s="83" t="n"/>
      <c r="O1216" s="84" t="str">
        <f>IF($C1216="","",IFERROR(MATCH($B1216&amp;"|"&amp;$C1216,MUROS!$AX$11:$AX$70,0),0))</f>
        <v/>
      </c>
      <c r="P1216" s="84" t="str">
        <f>IF($D1216="","",IF(ISNUMBER(MATCH($D1216,CMB_S,0)),1,IF(ISNUMBER(MATCH($D1216,CMB_G,0)),2,0)))</f>
        <v/>
      </c>
      <c r="Q1216" s="84">
        <f>IF(ISNUMBER($H1216),-$H1216,0)</f>
        <v>0</v>
      </c>
      <c r="R1216" s="84">
        <f>IF(ISNUMBER($I1216),ABS($I1216),0)</f>
        <v>0</v>
      </c>
      <c r="S1216" s="84">
        <f>IF(ISNUMBER($M1216),ABS($M1216),0)</f>
        <v>0</v>
      </c>
      <c r="T1216" s="85" t="n">
        <v>1208</v>
      </c>
    </row>
    <row r="1217">
      <c r="B1217" s="83" t="n"/>
      <c r="C1217" s="83" t="n"/>
      <c r="D1217" s="83" t="n"/>
      <c r="E1217" s="83" t="n"/>
      <c r="F1217" s="83" t="n"/>
      <c r="G1217" s="83" t="n"/>
      <c r="H1217" s="83" t="n"/>
      <c r="I1217" s="83" t="n"/>
      <c r="J1217" s="83" t="n"/>
      <c r="K1217" s="83" t="n"/>
      <c r="L1217" s="83" t="n"/>
      <c r="M1217" s="83" t="n"/>
      <c r="O1217" s="84" t="str">
        <f>IF($C1217="","",IFERROR(MATCH($B1217&amp;"|"&amp;$C1217,MUROS!$AX$11:$AX$70,0),0))</f>
        <v/>
      </c>
      <c r="P1217" s="84" t="str">
        <f>IF($D1217="","",IF(ISNUMBER(MATCH($D1217,CMB_S,0)),1,IF(ISNUMBER(MATCH($D1217,CMB_G,0)),2,0)))</f>
        <v/>
      </c>
      <c r="Q1217" s="84">
        <f>IF(ISNUMBER($H1217),-$H1217,0)</f>
        <v>0</v>
      </c>
      <c r="R1217" s="84">
        <f>IF(ISNUMBER($I1217),ABS($I1217),0)</f>
        <v>0</v>
      </c>
      <c r="S1217" s="84">
        <f>IF(ISNUMBER($M1217),ABS($M1217),0)</f>
        <v>0</v>
      </c>
      <c r="T1217" s="85" t="n">
        <v>1209</v>
      </c>
    </row>
    <row r="1218">
      <c r="B1218" s="83" t="n"/>
      <c r="C1218" s="83" t="n"/>
      <c r="D1218" s="83" t="n"/>
      <c r="E1218" s="83" t="n"/>
      <c r="F1218" s="83" t="n"/>
      <c r="G1218" s="83" t="n"/>
      <c r="H1218" s="83" t="n"/>
      <c r="I1218" s="83" t="n"/>
      <c r="J1218" s="83" t="n"/>
      <c r="K1218" s="83" t="n"/>
      <c r="L1218" s="83" t="n"/>
      <c r="M1218" s="83" t="n"/>
      <c r="O1218" s="84" t="str">
        <f>IF($C1218="","",IFERROR(MATCH($B1218&amp;"|"&amp;$C1218,MUROS!$AX$11:$AX$70,0),0))</f>
        <v/>
      </c>
      <c r="P1218" s="84" t="str">
        <f>IF($D1218="","",IF(ISNUMBER(MATCH($D1218,CMB_S,0)),1,IF(ISNUMBER(MATCH($D1218,CMB_G,0)),2,0)))</f>
        <v/>
      </c>
      <c r="Q1218" s="84">
        <f>IF(ISNUMBER($H1218),-$H1218,0)</f>
        <v>0</v>
      </c>
      <c r="R1218" s="84">
        <f>IF(ISNUMBER($I1218),ABS($I1218),0)</f>
        <v>0</v>
      </c>
      <c r="S1218" s="84">
        <f>IF(ISNUMBER($M1218),ABS($M1218),0)</f>
        <v>0</v>
      </c>
      <c r="T1218" s="85" t="n">
        <v>1210</v>
      </c>
    </row>
    <row r="1219">
      <c r="B1219" s="83" t="n"/>
      <c r="C1219" s="83" t="n"/>
      <c r="D1219" s="83" t="n"/>
      <c r="E1219" s="83" t="n"/>
      <c r="F1219" s="83" t="n"/>
      <c r="G1219" s="83" t="n"/>
      <c r="H1219" s="83" t="n"/>
      <c r="I1219" s="83" t="n"/>
      <c r="J1219" s="83" t="n"/>
      <c r="K1219" s="83" t="n"/>
      <c r="L1219" s="83" t="n"/>
      <c r="M1219" s="83" t="n"/>
      <c r="O1219" s="84" t="str">
        <f>IF($C1219="","",IFERROR(MATCH($B1219&amp;"|"&amp;$C1219,MUROS!$AX$11:$AX$70,0),0))</f>
        <v/>
      </c>
      <c r="P1219" s="84" t="str">
        <f>IF($D1219="","",IF(ISNUMBER(MATCH($D1219,CMB_S,0)),1,IF(ISNUMBER(MATCH($D1219,CMB_G,0)),2,0)))</f>
        <v/>
      </c>
      <c r="Q1219" s="84">
        <f>IF(ISNUMBER($H1219),-$H1219,0)</f>
        <v>0</v>
      </c>
      <c r="R1219" s="84">
        <f>IF(ISNUMBER($I1219),ABS($I1219),0)</f>
        <v>0</v>
      </c>
      <c r="S1219" s="84">
        <f>IF(ISNUMBER($M1219),ABS($M1219),0)</f>
        <v>0</v>
      </c>
      <c r="T1219" s="85" t="n">
        <v>1211</v>
      </c>
    </row>
    <row r="1220">
      <c r="B1220" s="83" t="n"/>
      <c r="C1220" s="83" t="n"/>
      <c r="D1220" s="83" t="n"/>
      <c r="E1220" s="83" t="n"/>
      <c r="F1220" s="83" t="n"/>
      <c r="G1220" s="83" t="n"/>
      <c r="H1220" s="83" t="n"/>
      <c r="I1220" s="83" t="n"/>
      <c r="J1220" s="83" t="n"/>
      <c r="K1220" s="83" t="n"/>
      <c r="L1220" s="83" t="n"/>
      <c r="M1220" s="83" t="n"/>
      <c r="O1220" s="84" t="str">
        <f>IF($C1220="","",IFERROR(MATCH($B1220&amp;"|"&amp;$C1220,MUROS!$AX$11:$AX$70,0),0))</f>
        <v/>
      </c>
      <c r="P1220" s="84" t="str">
        <f>IF($D1220="","",IF(ISNUMBER(MATCH($D1220,CMB_S,0)),1,IF(ISNUMBER(MATCH($D1220,CMB_G,0)),2,0)))</f>
        <v/>
      </c>
      <c r="Q1220" s="84">
        <f>IF(ISNUMBER($H1220),-$H1220,0)</f>
        <v>0</v>
      </c>
      <c r="R1220" s="84">
        <f>IF(ISNUMBER($I1220),ABS($I1220),0)</f>
        <v>0</v>
      </c>
      <c r="S1220" s="84">
        <f>IF(ISNUMBER($M1220),ABS($M1220),0)</f>
        <v>0</v>
      </c>
      <c r="T1220" s="85" t="n">
        <v>1212</v>
      </c>
    </row>
    <row r="1221">
      <c r="B1221" s="83" t="n"/>
      <c r="C1221" s="83" t="n"/>
      <c r="D1221" s="83" t="n"/>
      <c r="E1221" s="83" t="n"/>
      <c r="F1221" s="83" t="n"/>
      <c r="G1221" s="83" t="n"/>
      <c r="H1221" s="83" t="n"/>
      <c r="I1221" s="83" t="n"/>
      <c r="J1221" s="83" t="n"/>
      <c r="K1221" s="83" t="n"/>
      <c r="L1221" s="83" t="n"/>
      <c r="M1221" s="83" t="n"/>
      <c r="O1221" s="84" t="str">
        <f>IF($C1221="","",IFERROR(MATCH($B1221&amp;"|"&amp;$C1221,MUROS!$AX$11:$AX$70,0),0))</f>
        <v/>
      </c>
      <c r="P1221" s="84" t="str">
        <f>IF($D1221="","",IF(ISNUMBER(MATCH($D1221,CMB_S,0)),1,IF(ISNUMBER(MATCH($D1221,CMB_G,0)),2,0)))</f>
        <v/>
      </c>
      <c r="Q1221" s="84">
        <f>IF(ISNUMBER($H1221),-$H1221,0)</f>
        <v>0</v>
      </c>
      <c r="R1221" s="84">
        <f>IF(ISNUMBER($I1221),ABS($I1221),0)</f>
        <v>0</v>
      </c>
      <c r="S1221" s="84">
        <f>IF(ISNUMBER($M1221),ABS($M1221),0)</f>
        <v>0</v>
      </c>
      <c r="T1221" s="85" t="n">
        <v>1213</v>
      </c>
    </row>
    <row r="1222">
      <c r="B1222" s="83" t="n"/>
      <c r="C1222" s="83" t="n"/>
      <c r="D1222" s="83" t="n"/>
      <c r="E1222" s="83" t="n"/>
      <c r="F1222" s="83" t="n"/>
      <c r="G1222" s="83" t="n"/>
      <c r="H1222" s="83" t="n"/>
      <c r="I1222" s="83" t="n"/>
      <c r="J1222" s="83" t="n"/>
      <c r="K1222" s="83" t="n"/>
      <c r="L1222" s="83" t="n"/>
      <c r="M1222" s="83" t="n"/>
      <c r="O1222" s="84" t="str">
        <f>IF($C1222="","",IFERROR(MATCH($B1222&amp;"|"&amp;$C1222,MUROS!$AX$11:$AX$70,0),0))</f>
        <v/>
      </c>
      <c r="P1222" s="84" t="str">
        <f>IF($D1222="","",IF(ISNUMBER(MATCH($D1222,CMB_S,0)),1,IF(ISNUMBER(MATCH($D1222,CMB_G,0)),2,0)))</f>
        <v/>
      </c>
      <c r="Q1222" s="84">
        <f>IF(ISNUMBER($H1222),-$H1222,0)</f>
        <v>0</v>
      </c>
      <c r="R1222" s="84">
        <f>IF(ISNUMBER($I1222),ABS($I1222),0)</f>
        <v>0</v>
      </c>
      <c r="S1222" s="84">
        <f>IF(ISNUMBER($M1222),ABS($M1222),0)</f>
        <v>0</v>
      </c>
      <c r="T1222" s="85" t="n">
        <v>1214</v>
      </c>
    </row>
    <row r="1223">
      <c r="B1223" s="83" t="n"/>
      <c r="C1223" s="83" t="n"/>
      <c r="D1223" s="83" t="n"/>
      <c r="E1223" s="83" t="n"/>
      <c r="F1223" s="83" t="n"/>
      <c r="G1223" s="83" t="n"/>
      <c r="H1223" s="83" t="n"/>
      <c r="I1223" s="83" t="n"/>
      <c r="J1223" s="83" t="n"/>
      <c r="K1223" s="83" t="n"/>
      <c r="L1223" s="83" t="n"/>
      <c r="M1223" s="83" t="n"/>
      <c r="O1223" s="84" t="str">
        <f>IF($C1223="","",IFERROR(MATCH($B1223&amp;"|"&amp;$C1223,MUROS!$AX$11:$AX$70,0),0))</f>
        <v/>
      </c>
      <c r="P1223" s="84" t="str">
        <f>IF($D1223="","",IF(ISNUMBER(MATCH($D1223,CMB_S,0)),1,IF(ISNUMBER(MATCH($D1223,CMB_G,0)),2,0)))</f>
        <v/>
      </c>
      <c r="Q1223" s="84">
        <f>IF(ISNUMBER($H1223),-$H1223,0)</f>
        <v>0</v>
      </c>
      <c r="R1223" s="84">
        <f>IF(ISNUMBER($I1223),ABS($I1223),0)</f>
        <v>0</v>
      </c>
      <c r="S1223" s="84">
        <f>IF(ISNUMBER($M1223),ABS($M1223),0)</f>
        <v>0</v>
      </c>
      <c r="T1223" s="85" t="n">
        <v>1215</v>
      </c>
    </row>
    <row r="1224">
      <c r="B1224" s="83" t="n"/>
      <c r="C1224" s="83" t="n"/>
      <c r="D1224" s="83" t="n"/>
      <c r="E1224" s="83" t="n"/>
      <c r="F1224" s="83" t="n"/>
      <c r="G1224" s="83" t="n"/>
      <c r="H1224" s="83" t="n"/>
      <c r="I1224" s="83" t="n"/>
      <c r="J1224" s="83" t="n"/>
      <c r="K1224" s="83" t="n"/>
      <c r="L1224" s="83" t="n"/>
      <c r="M1224" s="83" t="n"/>
      <c r="O1224" s="84" t="str">
        <f>IF($C1224="","",IFERROR(MATCH($B1224&amp;"|"&amp;$C1224,MUROS!$AX$11:$AX$70,0),0))</f>
        <v/>
      </c>
      <c r="P1224" s="84" t="str">
        <f>IF($D1224="","",IF(ISNUMBER(MATCH($D1224,CMB_S,0)),1,IF(ISNUMBER(MATCH($D1224,CMB_G,0)),2,0)))</f>
        <v/>
      </c>
      <c r="Q1224" s="84">
        <f>IF(ISNUMBER($H1224),-$H1224,0)</f>
        <v>0</v>
      </c>
      <c r="R1224" s="84">
        <f>IF(ISNUMBER($I1224),ABS($I1224),0)</f>
        <v>0</v>
      </c>
      <c r="S1224" s="84">
        <f>IF(ISNUMBER($M1224),ABS($M1224),0)</f>
        <v>0</v>
      </c>
      <c r="T1224" s="85" t="n">
        <v>1216</v>
      </c>
    </row>
    <row r="1225">
      <c r="B1225" s="83" t="n"/>
      <c r="C1225" s="83" t="n"/>
      <c r="D1225" s="83" t="n"/>
      <c r="E1225" s="83" t="n"/>
      <c r="F1225" s="83" t="n"/>
      <c r="G1225" s="83" t="n"/>
      <c r="H1225" s="83" t="n"/>
      <c r="I1225" s="83" t="n"/>
      <c r="J1225" s="83" t="n"/>
      <c r="K1225" s="83" t="n"/>
      <c r="L1225" s="83" t="n"/>
      <c r="M1225" s="83" t="n"/>
      <c r="O1225" s="84" t="str">
        <f>IF($C1225="","",IFERROR(MATCH($B1225&amp;"|"&amp;$C1225,MUROS!$AX$11:$AX$70,0),0))</f>
        <v/>
      </c>
      <c r="P1225" s="84" t="str">
        <f>IF($D1225="","",IF(ISNUMBER(MATCH($D1225,CMB_S,0)),1,IF(ISNUMBER(MATCH($D1225,CMB_G,0)),2,0)))</f>
        <v/>
      </c>
      <c r="Q1225" s="84">
        <f>IF(ISNUMBER($H1225),-$H1225,0)</f>
        <v>0</v>
      </c>
      <c r="R1225" s="84">
        <f>IF(ISNUMBER($I1225),ABS($I1225),0)</f>
        <v>0</v>
      </c>
      <c r="S1225" s="84">
        <f>IF(ISNUMBER($M1225),ABS($M1225),0)</f>
        <v>0</v>
      </c>
      <c r="T1225" s="85" t="n">
        <v>1217</v>
      </c>
    </row>
    <row r="1226">
      <c r="B1226" s="83" t="n"/>
      <c r="C1226" s="83" t="n"/>
      <c r="D1226" s="83" t="n"/>
      <c r="E1226" s="83" t="n"/>
      <c r="F1226" s="83" t="n"/>
      <c r="G1226" s="83" t="n"/>
      <c r="H1226" s="83" t="n"/>
      <c r="I1226" s="83" t="n"/>
      <c r="J1226" s="83" t="n"/>
      <c r="K1226" s="83" t="n"/>
      <c r="L1226" s="83" t="n"/>
      <c r="M1226" s="83" t="n"/>
      <c r="O1226" s="84" t="str">
        <f>IF($C1226="","",IFERROR(MATCH($B1226&amp;"|"&amp;$C1226,MUROS!$AX$11:$AX$70,0),0))</f>
        <v/>
      </c>
      <c r="P1226" s="84" t="str">
        <f>IF($D1226="","",IF(ISNUMBER(MATCH($D1226,CMB_S,0)),1,IF(ISNUMBER(MATCH($D1226,CMB_G,0)),2,0)))</f>
        <v/>
      </c>
      <c r="Q1226" s="84">
        <f>IF(ISNUMBER($H1226),-$H1226,0)</f>
        <v>0</v>
      </c>
      <c r="R1226" s="84">
        <f>IF(ISNUMBER($I1226),ABS($I1226),0)</f>
        <v>0</v>
      </c>
      <c r="S1226" s="84">
        <f>IF(ISNUMBER($M1226),ABS($M1226),0)</f>
        <v>0</v>
      </c>
      <c r="T1226" s="85" t="n">
        <v>1218</v>
      </c>
    </row>
    <row r="1227">
      <c r="B1227" s="83" t="n"/>
      <c r="C1227" s="83" t="n"/>
      <c r="D1227" s="83" t="n"/>
      <c r="E1227" s="83" t="n"/>
      <c r="F1227" s="83" t="n"/>
      <c r="G1227" s="83" t="n"/>
      <c r="H1227" s="83" t="n"/>
      <c r="I1227" s="83" t="n"/>
      <c r="J1227" s="83" t="n"/>
      <c r="K1227" s="83" t="n"/>
      <c r="L1227" s="83" t="n"/>
      <c r="M1227" s="83" t="n"/>
      <c r="O1227" s="84" t="str">
        <f>IF($C1227="","",IFERROR(MATCH($B1227&amp;"|"&amp;$C1227,MUROS!$AX$11:$AX$70,0),0))</f>
        <v/>
      </c>
      <c r="P1227" s="84" t="str">
        <f>IF($D1227="","",IF(ISNUMBER(MATCH($D1227,CMB_S,0)),1,IF(ISNUMBER(MATCH($D1227,CMB_G,0)),2,0)))</f>
        <v/>
      </c>
      <c r="Q1227" s="84">
        <f>IF(ISNUMBER($H1227),-$H1227,0)</f>
        <v>0</v>
      </c>
      <c r="R1227" s="84">
        <f>IF(ISNUMBER($I1227),ABS($I1227),0)</f>
        <v>0</v>
      </c>
      <c r="S1227" s="84">
        <f>IF(ISNUMBER($M1227),ABS($M1227),0)</f>
        <v>0</v>
      </c>
      <c r="T1227" s="85" t="n">
        <v>1219</v>
      </c>
    </row>
    <row r="1228">
      <c r="B1228" s="83" t="n"/>
      <c r="C1228" s="83" t="n"/>
      <c r="D1228" s="83" t="n"/>
      <c r="E1228" s="83" t="n"/>
      <c r="F1228" s="83" t="n"/>
      <c r="G1228" s="83" t="n"/>
      <c r="H1228" s="83" t="n"/>
      <c r="I1228" s="83" t="n"/>
      <c r="J1228" s="83" t="n"/>
      <c r="K1228" s="83" t="n"/>
      <c r="L1228" s="83" t="n"/>
      <c r="M1228" s="83" t="n"/>
      <c r="O1228" s="84" t="str">
        <f>IF($C1228="","",IFERROR(MATCH($B1228&amp;"|"&amp;$C1228,MUROS!$AX$11:$AX$70,0),0))</f>
        <v/>
      </c>
      <c r="P1228" s="84" t="str">
        <f>IF($D1228="","",IF(ISNUMBER(MATCH($D1228,CMB_S,0)),1,IF(ISNUMBER(MATCH($D1228,CMB_G,0)),2,0)))</f>
        <v/>
      </c>
      <c r="Q1228" s="84">
        <f>IF(ISNUMBER($H1228),-$H1228,0)</f>
        <v>0</v>
      </c>
      <c r="R1228" s="84">
        <f>IF(ISNUMBER($I1228),ABS($I1228),0)</f>
        <v>0</v>
      </c>
      <c r="S1228" s="84">
        <f>IF(ISNUMBER($M1228),ABS($M1228),0)</f>
        <v>0</v>
      </c>
      <c r="T1228" s="85" t="n">
        <v>1220</v>
      </c>
    </row>
    <row r="1229">
      <c r="B1229" s="83" t="n"/>
      <c r="C1229" s="83" t="n"/>
      <c r="D1229" s="83" t="n"/>
      <c r="E1229" s="83" t="n"/>
      <c r="F1229" s="83" t="n"/>
      <c r="G1229" s="83" t="n"/>
      <c r="H1229" s="83" t="n"/>
      <c r="I1229" s="83" t="n"/>
      <c r="J1229" s="83" t="n"/>
      <c r="K1229" s="83" t="n"/>
      <c r="L1229" s="83" t="n"/>
      <c r="M1229" s="83" t="n"/>
      <c r="O1229" s="84" t="str">
        <f>IF($C1229="","",IFERROR(MATCH($B1229&amp;"|"&amp;$C1229,MUROS!$AX$11:$AX$70,0),0))</f>
        <v/>
      </c>
      <c r="P1229" s="84" t="str">
        <f>IF($D1229="","",IF(ISNUMBER(MATCH($D1229,CMB_S,0)),1,IF(ISNUMBER(MATCH($D1229,CMB_G,0)),2,0)))</f>
        <v/>
      </c>
      <c r="Q1229" s="84">
        <f>IF(ISNUMBER($H1229),-$H1229,0)</f>
        <v>0</v>
      </c>
      <c r="R1229" s="84">
        <f>IF(ISNUMBER($I1229),ABS($I1229),0)</f>
        <v>0</v>
      </c>
      <c r="S1229" s="84">
        <f>IF(ISNUMBER($M1229),ABS($M1229),0)</f>
        <v>0</v>
      </c>
      <c r="T1229" s="85" t="n">
        <v>1221</v>
      </c>
    </row>
    <row r="1230">
      <c r="B1230" s="83" t="n"/>
      <c r="C1230" s="83" t="n"/>
      <c r="D1230" s="83" t="n"/>
      <c r="E1230" s="83" t="n"/>
      <c r="F1230" s="83" t="n"/>
      <c r="G1230" s="83" t="n"/>
      <c r="H1230" s="83" t="n"/>
      <c r="I1230" s="83" t="n"/>
      <c r="J1230" s="83" t="n"/>
      <c r="K1230" s="83" t="n"/>
      <c r="L1230" s="83" t="n"/>
      <c r="M1230" s="83" t="n"/>
      <c r="O1230" s="84" t="str">
        <f>IF($C1230="","",IFERROR(MATCH($B1230&amp;"|"&amp;$C1230,MUROS!$AX$11:$AX$70,0),0))</f>
        <v/>
      </c>
      <c r="P1230" s="84" t="str">
        <f>IF($D1230="","",IF(ISNUMBER(MATCH($D1230,CMB_S,0)),1,IF(ISNUMBER(MATCH($D1230,CMB_G,0)),2,0)))</f>
        <v/>
      </c>
      <c r="Q1230" s="84">
        <f>IF(ISNUMBER($H1230),-$H1230,0)</f>
        <v>0</v>
      </c>
      <c r="R1230" s="84">
        <f>IF(ISNUMBER($I1230),ABS($I1230),0)</f>
        <v>0</v>
      </c>
      <c r="S1230" s="84">
        <f>IF(ISNUMBER($M1230),ABS($M1230),0)</f>
        <v>0</v>
      </c>
      <c r="T1230" s="85" t="n">
        <v>1222</v>
      </c>
    </row>
    <row r="1231">
      <c r="B1231" s="83" t="n"/>
      <c r="C1231" s="83" t="n"/>
      <c r="D1231" s="83" t="n"/>
      <c r="E1231" s="83" t="n"/>
      <c r="F1231" s="83" t="n"/>
      <c r="G1231" s="83" t="n"/>
      <c r="H1231" s="83" t="n"/>
      <c r="I1231" s="83" t="n"/>
      <c r="J1231" s="83" t="n"/>
      <c r="K1231" s="83" t="n"/>
      <c r="L1231" s="83" t="n"/>
      <c r="M1231" s="83" t="n"/>
      <c r="O1231" s="84" t="str">
        <f>IF($C1231="","",IFERROR(MATCH($B1231&amp;"|"&amp;$C1231,MUROS!$AX$11:$AX$70,0),0))</f>
        <v/>
      </c>
      <c r="P1231" s="84" t="str">
        <f>IF($D1231="","",IF(ISNUMBER(MATCH($D1231,CMB_S,0)),1,IF(ISNUMBER(MATCH($D1231,CMB_G,0)),2,0)))</f>
        <v/>
      </c>
      <c r="Q1231" s="84">
        <f>IF(ISNUMBER($H1231),-$H1231,0)</f>
        <v>0</v>
      </c>
      <c r="R1231" s="84">
        <f>IF(ISNUMBER($I1231),ABS($I1231),0)</f>
        <v>0</v>
      </c>
      <c r="S1231" s="84">
        <f>IF(ISNUMBER($M1231),ABS($M1231),0)</f>
        <v>0</v>
      </c>
      <c r="T1231" s="85" t="n">
        <v>1223</v>
      </c>
    </row>
    <row r="1232">
      <c r="B1232" s="83" t="n"/>
      <c r="C1232" s="83" t="n"/>
      <c r="D1232" s="83" t="n"/>
      <c r="E1232" s="83" t="n"/>
      <c r="F1232" s="83" t="n"/>
      <c r="G1232" s="83" t="n"/>
      <c r="H1232" s="83" t="n"/>
      <c r="I1232" s="83" t="n"/>
      <c r="J1232" s="83" t="n"/>
      <c r="K1232" s="83" t="n"/>
      <c r="L1232" s="83" t="n"/>
      <c r="M1232" s="83" t="n"/>
      <c r="O1232" s="84" t="str">
        <f>IF($C1232="","",IFERROR(MATCH($B1232&amp;"|"&amp;$C1232,MUROS!$AX$11:$AX$70,0),0))</f>
        <v/>
      </c>
      <c r="P1232" s="84" t="str">
        <f>IF($D1232="","",IF(ISNUMBER(MATCH($D1232,CMB_S,0)),1,IF(ISNUMBER(MATCH($D1232,CMB_G,0)),2,0)))</f>
        <v/>
      </c>
      <c r="Q1232" s="84">
        <f>IF(ISNUMBER($H1232),-$H1232,0)</f>
        <v>0</v>
      </c>
      <c r="R1232" s="84">
        <f>IF(ISNUMBER($I1232),ABS($I1232),0)</f>
        <v>0</v>
      </c>
      <c r="S1232" s="84">
        <f>IF(ISNUMBER($M1232),ABS($M1232),0)</f>
        <v>0</v>
      </c>
      <c r="T1232" s="85" t="n">
        <v>1224</v>
      </c>
    </row>
    <row r="1233">
      <c r="B1233" s="83" t="n"/>
      <c r="C1233" s="83" t="n"/>
      <c r="D1233" s="83" t="n"/>
      <c r="E1233" s="83" t="n"/>
      <c r="F1233" s="83" t="n"/>
      <c r="G1233" s="83" t="n"/>
      <c r="H1233" s="83" t="n"/>
      <c r="I1233" s="83" t="n"/>
      <c r="J1233" s="83" t="n"/>
      <c r="K1233" s="83" t="n"/>
      <c r="L1233" s="83" t="n"/>
      <c r="M1233" s="83" t="n"/>
      <c r="O1233" s="84" t="str">
        <f>IF($C1233="","",IFERROR(MATCH($B1233&amp;"|"&amp;$C1233,MUROS!$AX$11:$AX$70,0),0))</f>
        <v/>
      </c>
      <c r="P1233" s="84" t="str">
        <f>IF($D1233="","",IF(ISNUMBER(MATCH($D1233,CMB_S,0)),1,IF(ISNUMBER(MATCH($D1233,CMB_G,0)),2,0)))</f>
        <v/>
      </c>
      <c r="Q1233" s="84">
        <f>IF(ISNUMBER($H1233),-$H1233,0)</f>
        <v>0</v>
      </c>
      <c r="R1233" s="84">
        <f>IF(ISNUMBER($I1233),ABS($I1233),0)</f>
        <v>0</v>
      </c>
      <c r="S1233" s="84">
        <f>IF(ISNUMBER($M1233),ABS($M1233),0)</f>
        <v>0</v>
      </c>
      <c r="T1233" s="85" t="n">
        <v>1225</v>
      </c>
    </row>
    <row r="1234">
      <c r="B1234" s="83" t="n"/>
      <c r="C1234" s="83" t="n"/>
      <c r="D1234" s="83" t="n"/>
      <c r="E1234" s="83" t="n"/>
      <c r="F1234" s="83" t="n"/>
      <c r="G1234" s="83" t="n"/>
      <c r="H1234" s="83" t="n"/>
      <c r="I1234" s="83" t="n"/>
      <c r="J1234" s="83" t="n"/>
      <c r="K1234" s="83" t="n"/>
      <c r="L1234" s="83" t="n"/>
      <c r="M1234" s="83" t="n"/>
      <c r="O1234" s="84" t="str">
        <f>IF($C1234="","",IFERROR(MATCH($B1234&amp;"|"&amp;$C1234,MUROS!$AX$11:$AX$70,0),0))</f>
        <v/>
      </c>
      <c r="P1234" s="84" t="str">
        <f>IF($D1234="","",IF(ISNUMBER(MATCH($D1234,CMB_S,0)),1,IF(ISNUMBER(MATCH($D1234,CMB_G,0)),2,0)))</f>
        <v/>
      </c>
      <c r="Q1234" s="84">
        <f>IF(ISNUMBER($H1234),-$H1234,0)</f>
        <v>0</v>
      </c>
      <c r="R1234" s="84">
        <f>IF(ISNUMBER($I1234),ABS($I1234),0)</f>
        <v>0</v>
      </c>
      <c r="S1234" s="84">
        <f>IF(ISNUMBER($M1234),ABS($M1234),0)</f>
        <v>0</v>
      </c>
      <c r="T1234" s="85" t="n">
        <v>1226</v>
      </c>
    </row>
    <row r="1235">
      <c r="B1235" s="83" t="n"/>
      <c r="C1235" s="83" t="n"/>
      <c r="D1235" s="83" t="n"/>
      <c r="E1235" s="83" t="n"/>
      <c r="F1235" s="83" t="n"/>
      <c r="G1235" s="83" t="n"/>
      <c r="H1235" s="83" t="n"/>
      <c r="I1235" s="83" t="n"/>
      <c r="J1235" s="83" t="n"/>
      <c r="K1235" s="83" t="n"/>
      <c r="L1235" s="83" t="n"/>
      <c r="M1235" s="83" t="n"/>
      <c r="O1235" s="84" t="str">
        <f>IF($C1235="","",IFERROR(MATCH($B1235&amp;"|"&amp;$C1235,MUROS!$AX$11:$AX$70,0),0))</f>
        <v/>
      </c>
      <c r="P1235" s="84" t="str">
        <f>IF($D1235="","",IF(ISNUMBER(MATCH($D1235,CMB_S,0)),1,IF(ISNUMBER(MATCH($D1235,CMB_G,0)),2,0)))</f>
        <v/>
      </c>
      <c r="Q1235" s="84">
        <f>IF(ISNUMBER($H1235),-$H1235,0)</f>
        <v>0</v>
      </c>
      <c r="R1235" s="84">
        <f>IF(ISNUMBER($I1235),ABS($I1235),0)</f>
        <v>0</v>
      </c>
      <c r="S1235" s="84">
        <f>IF(ISNUMBER($M1235),ABS($M1235),0)</f>
        <v>0</v>
      </c>
      <c r="T1235" s="85" t="n">
        <v>1227</v>
      </c>
    </row>
    <row r="1236">
      <c r="B1236" s="83" t="n"/>
      <c r="C1236" s="83" t="n"/>
      <c r="D1236" s="83" t="n"/>
      <c r="E1236" s="83" t="n"/>
      <c r="F1236" s="83" t="n"/>
      <c r="G1236" s="83" t="n"/>
      <c r="H1236" s="83" t="n"/>
      <c r="I1236" s="83" t="n"/>
      <c r="J1236" s="83" t="n"/>
      <c r="K1236" s="83" t="n"/>
      <c r="L1236" s="83" t="n"/>
      <c r="M1236" s="83" t="n"/>
      <c r="O1236" s="84" t="str">
        <f>IF($C1236="","",IFERROR(MATCH($B1236&amp;"|"&amp;$C1236,MUROS!$AX$11:$AX$70,0),0))</f>
        <v/>
      </c>
      <c r="P1236" s="84" t="str">
        <f>IF($D1236="","",IF(ISNUMBER(MATCH($D1236,CMB_S,0)),1,IF(ISNUMBER(MATCH($D1236,CMB_G,0)),2,0)))</f>
        <v/>
      </c>
      <c r="Q1236" s="84">
        <f>IF(ISNUMBER($H1236),-$H1236,0)</f>
        <v>0</v>
      </c>
      <c r="R1236" s="84">
        <f>IF(ISNUMBER($I1236),ABS($I1236),0)</f>
        <v>0</v>
      </c>
      <c r="S1236" s="84">
        <f>IF(ISNUMBER($M1236),ABS($M1236),0)</f>
        <v>0</v>
      </c>
      <c r="T1236" s="85" t="n">
        <v>1228</v>
      </c>
    </row>
    <row r="1237">
      <c r="B1237" s="83" t="n"/>
      <c r="C1237" s="83" t="n"/>
      <c r="D1237" s="83" t="n"/>
      <c r="E1237" s="83" t="n"/>
      <c r="F1237" s="83" t="n"/>
      <c r="G1237" s="83" t="n"/>
      <c r="H1237" s="83" t="n"/>
      <c r="I1237" s="83" t="n"/>
      <c r="J1237" s="83" t="n"/>
      <c r="K1237" s="83" t="n"/>
      <c r="L1237" s="83" t="n"/>
      <c r="M1237" s="83" t="n"/>
      <c r="O1237" s="84" t="str">
        <f>IF($C1237="","",IFERROR(MATCH($B1237&amp;"|"&amp;$C1237,MUROS!$AX$11:$AX$70,0),0))</f>
        <v/>
      </c>
      <c r="P1237" s="84" t="str">
        <f>IF($D1237="","",IF(ISNUMBER(MATCH($D1237,CMB_S,0)),1,IF(ISNUMBER(MATCH($D1237,CMB_G,0)),2,0)))</f>
        <v/>
      </c>
      <c r="Q1237" s="84">
        <f>IF(ISNUMBER($H1237),-$H1237,0)</f>
        <v>0</v>
      </c>
      <c r="R1237" s="84">
        <f>IF(ISNUMBER($I1237),ABS($I1237),0)</f>
        <v>0</v>
      </c>
      <c r="S1237" s="84">
        <f>IF(ISNUMBER($M1237),ABS($M1237),0)</f>
        <v>0</v>
      </c>
      <c r="T1237" s="85" t="n">
        <v>1229</v>
      </c>
    </row>
    <row r="1238">
      <c r="B1238" s="83" t="n"/>
      <c r="C1238" s="83" t="n"/>
      <c r="D1238" s="83" t="n"/>
      <c r="E1238" s="83" t="n"/>
      <c r="F1238" s="83" t="n"/>
      <c r="G1238" s="83" t="n"/>
      <c r="H1238" s="83" t="n"/>
      <c r="I1238" s="83" t="n"/>
      <c r="J1238" s="83" t="n"/>
      <c r="K1238" s="83" t="n"/>
      <c r="L1238" s="83" t="n"/>
      <c r="M1238" s="83" t="n"/>
      <c r="O1238" s="84" t="str">
        <f>IF($C1238="","",IFERROR(MATCH($B1238&amp;"|"&amp;$C1238,MUROS!$AX$11:$AX$70,0),0))</f>
        <v/>
      </c>
      <c r="P1238" s="84" t="str">
        <f>IF($D1238="","",IF(ISNUMBER(MATCH($D1238,CMB_S,0)),1,IF(ISNUMBER(MATCH($D1238,CMB_G,0)),2,0)))</f>
        <v/>
      </c>
      <c r="Q1238" s="84">
        <f>IF(ISNUMBER($H1238),-$H1238,0)</f>
        <v>0</v>
      </c>
      <c r="R1238" s="84">
        <f>IF(ISNUMBER($I1238),ABS($I1238),0)</f>
        <v>0</v>
      </c>
      <c r="S1238" s="84">
        <f>IF(ISNUMBER($M1238),ABS($M1238),0)</f>
        <v>0</v>
      </c>
      <c r="T1238" s="85" t="n">
        <v>1230</v>
      </c>
    </row>
    <row r="1239">
      <c r="B1239" s="83" t="n"/>
      <c r="C1239" s="83" t="n"/>
      <c r="D1239" s="83" t="n"/>
      <c r="E1239" s="83" t="n"/>
      <c r="F1239" s="83" t="n"/>
      <c r="G1239" s="83" t="n"/>
      <c r="H1239" s="83" t="n"/>
      <c r="I1239" s="83" t="n"/>
      <c r="J1239" s="83" t="n"/>
      <c r="K1239" s="83" t="n"/>
      <c r="L1239" s="83" t="n"/>
      <c r="M1239" s="83" t="n"/>
      <c r="O1239" s="84" t="str">
        <f>IF($C1239="","",IFERROR(MATCH($B1239&amp;"|"&amp;$C1239,MUROS!$AX$11:$AX$70,0),0))</f>
        <v/>
      </c>
      <c r="P1239" s="84" t="str">
        <f>IF($D1239="","",IF(ISNUMBER(MATCH($D1239,CMB_S,0)),1,IF(ISNUMBER(MATCH($D1239,CMB_G,0)),2,0)))</f>
        <v/>
      </c>
      <c r="Q1239" s="84">
        <f>IF(ISNUMBER($H1239),-$H1239,0)</f>
        <v>0</v>
      </c>
      <c r="R1239" s="84">
        <f>IF(ISNUMBER($I1239),ABS($I1239),0)</f>
        <v>0</v>
      </c>
      <c r="S1239" s="84">
        <f>IF(ISNUMBER($M1239),ABS($M1239),0)</f>
        <v>0</v>
      </c>
      <c r="T1239" s="85" t="n">
        <v>1231</v>
      </c>
    </row>
    <row r="1240">
      <c r="B1240" s="83" t="n"/>
      <c r="C1240" s="83" t="n"/>
      <c r="D1240" s="83" t="n"/>
      <c r="E1240" s="83" t="n"/>
      <c r="F1240" s="83" t="n"/>
      <c r="G1240" s="83" t="n"/>
      <c r="H1240" s="83" t="n"/>
      <c r="I1240" s="83" t="n"/>
      <c r="J1240" s="83" t="n"/>
      <c r="K1240" s="83" t="n"/>
      <c r="L1240" s="83" t="n"/>
      <c r="M1240" s="83" t="n"/>
      <c r="O1240" s="84" t="str">
        <f>IF($C1240="","",IFERROR(MATCH($B1240&amp;"|"&amp;$C1240,MUROS!$AX$11:$AX$70,0),0))</f>
        <v/>
      </c>
      <c r="P1240" s="84" t="str">
        <f>IF($D1240="","",IF(ISNUMBER(MATCH($D1240,CMB_S,0)),1,IF(ISNUMBER(MATCH($D1240,CMB_G,0)),2,0)))</f>
        <v/>
      </c>
      <c r="Q1240" s="84">
        <f>IF(ISNUMBER($H1240),-$H1240,0)</f>
        <v>0</v>
      </c>
      <c r="R1240" s="84">
        <f>IF(ISNUMBER($I1240),ABS($I1240),0)</f>
        <v>0</v>
      </c>
      <c r="S1240" s="84">
        <f>IF(ISNUMBER($M1240),ABS($M1240),0)</f>
        <v>0</v>
      </c>
      <c r="T1240" s="85" t="n">
        <v>1232</v>
      </c>
    </row>
    <row r="1241">
      <c r="B1241" s="83" t="n"/>
      <c r="C1241" s="83" t="n"/>
      <c r="D1241" s="83" t="n"/>
      <c r="E1241" s="83" t="n"/>
      <c r="F1241" s="83" t="n"/>
      <c r="G1241" s="83" t="n"/>
      <c r="H1241" s="83" t="n"/>
      <c r="I1241" s="83" t="n"/>
      <c r="J1241" s="83" t="n"/>
      <c r="K1241" s="83" t="n"/>
      <c r="L1241" s="83" t="n"/>
      <c r="M1241" s="83" t="n"/>
      <c r="O1241" s="84" t="str">
        <f>IF($C1241="","",IFERROR(MATCH($B1241&amp;"|"&amp;$C1241,MUROS!$AX$11:$AX$70,0),0))</f>
        <v/>
      </c>
      <c r="P1241" s="84" t="str">
        <f>IF($D1241="","",IF(ISNUMBER(MATCH($D1241,CMB_S,0)),1,IF(ISNUMBER(MATCH($D1241,CMB_G,0)),2,0)))</f>
        <v/>
      </c>
      <c r="Q1241" s="84">
        <f>IF(ISNUMBER($H1241),-$H1241,0)</f>
        <v>0</v>
      </c>
      <c r="R1241" s="84">
        <f>IF(ISNUMBER($I1241),ABS($I1241),0)</f>
        <v>0</v>
      </c>
      <c r="S1241" s="84">
        <f>IF(ISNUMBER($M1241),ABS($M1241),0)</f>
        <v>0</v>
      </c>
      <c r="T1241" s="85" t="n">
        <v>1233</v>
      </c>
    </row>
    <row r="1242">
      <c r="B1242" s="83" t="n"/>
      <c r="C1242" s="83" t="n"/>
      <c r="D1242" s="83" t="n"/>
      <c r="E1242" s="83" t="n"/>
      <c r="F1242" s="83" t="n"/>
      <c r="G1242" s="83" t="n"/>
      <c r="H1242" s="83" t="n"/>
      <c r="I1242" s="83" t="n"/>
      <c r="J1242" s="83" t="n"/>
      <c r="K1242" s="83" t="n"/>
      <c r="L1242" s="83" t="n"/>
      <c r="M1242" s="83" t="n"/>
      <c r="O1242" s="84" t="str">
        <f>IF($C1242="","",IFERROR(MATCH($B1242&amp;"|"&amp;$C1242,MUROS!$AX$11:$AX$70,0),0))</f>
        <v/>
      </c>
      <c r="P1242" s="84" t="str">
        <f>IF($D1242="","",IF(ISNUMBER(MATCH($D1242,CMB_S,0)),1,IF(ISNUMBER(MATCH($D1242,CMB_G,0)),2,0)))</f>
        <v/>
      </c>
      <c r="Q1242" s="84">
        <f>IF(ISNUMBER($H1242),-$H1242,0)</f>
        <v>0</v>
      </c>
      <c r="R1242" s="84">
        <f>IF(ISNUMBER($I1242),ABS($I1242),0)</f>
        <v>0</v>
      </c>
      <c r="S1242" s="84">
        <f>IF(ISNUMBER($M1242),ABS($M1242),0)</f>
        <v>0</v>
      </c>
      <c r="T1242" s="85" t="n">
        <v>1234</v>
      </c>
    </row>
    <row r="1243">
      <c r="B1243" s="83" t="n"/>
      <c r="C1243" s="83" t="n"/>
      <c r="D1243" s="83" t="n"/>
      <c r="E1243" s="83" t="n"/>
      <c r="F1243" s="83" t="n"/>
      <c r="G1243" s="83" t="n"/>
      <c r="H1243" s="83" t="n"/>
      <c r="I1243" s="83" t="n"/>
      <c r="J1243" s="83" t="n"/>
      <c r="K1243" s="83" t="n"/>
      <c r="L1243" s="83" t="n"/>
      <c r="M1243" s="83" t="n"/>
      <c r="O1243" s="84" t="str">
        <f>IF($C1243="","",IFERROR(MATCH($B1243&amp;"|"&amp;$C1243,MUROS!$AX$11:$AX$70,0),0))</f>
        <v/>
      </c>
      <c r="P1243" s="84" t="str">
        <f>IF($D1243="","",IF(ISNUMBER(MATCH($D1243,CMB_S,0)),1,IF(ISNUMBER(MATCH($D1243,CMB_G,0)),2,0)))</f>
        <v/>
      </c>
      <c r="Q1243" s="84">
        <f>IF(ISNUMBER($H1243),-$H1243,0)</f>
        <v>0</v>
      </c>
      <c r="R1243" s="84">
        <f>IF(ISNUMBER($I1243),ABS($I1243),0)</f>
        <v>0</v>
      </c>
      <c r="S1243" s="84">
        <f>IF(ISNUMBER($M1243),ABS($M1243),0)</f>
        <v>0</v>
      </c>
      <c r="T1243" s="85" t="n">
        <v>1235</v>
      </c>
    </row>
    <row r="1244">
      <c r="B1244" s="83" t="n"/>
      <c r="C1244" s="83" t="n"/>
      <c r="D1244" s="83" t="n"/>
      <c r="E1244" s="83" t="n"/>
      <c r="F1244" s="83" t="n"/>
      <c r="G1244" s="83" t="n"/>
      <c r="H1244" s="83" t="n"/>
      <c r="I1244" s="83" t="n"/>
      <c r="J1244" s="83" t="n"/>
      <c r="K1244" s="83" t="n"/>
      <c r="L1244" s="83" t="n"/>
      <c r="M1244" s="83" t="n"/>
      <c r="O1244" s="84" t="str">
        <f>IF($C1244="","",IFERROR(MATCH($B1244&amp;"|"&amp;$C1244,MUROS!$AX$11:$AX$70,0),0))</f>
        <v/>
      </c>
      <c r="P1244" s="84" t="str">
        <f>IF($D1244="","",IF(ISNUMBER(MATCH($D1244,CMB_S,0)),1,IF(ISNUMBER(MATCH($D1244,CMB_G,0)),2,0)))</f>
        <v/>
      </c>
      <c r="Q1244" s="84">
        <f>IF(ISNUMBER($H1244),-$H1244,0)</f>
        <v>0</v>
      </c>
      <c r="R1244" s="84">
        <f>IF(ISNUMBER($I1244),ABS($I1244),0)</f>
        <v>0</v>
      </c>
      <c r="S1244" s="84">
        <f>IF(ISNUMBER($M1244),ABS($M1244),0)</f>
        <v>0</v>
      </c>
      <c r="T1244" s="85" t="n">
        <v>1236</v>
      </c>
    </row>
    <row r="1245">
      <c r="B1245" s="83" t="n"/>
      <c r="C1245" s="83" t="n"/>
      <c r="D1245" s="83" t="n"/>
      <c r="E1245" s="83" t="n"/>
      <c r="F1245" s="83" t="n"/>
      <c r="G1245" s="83" t="n"/>
      <c r="H1245" s="83" t="n"/>
      <c r="I1245" s="83" t="n"/>
      <c r="J1245" s="83" t="n"/>
      <c r="K1245" s="83" t="n"/>
      <c r="L1245" s="83" t="n"/>
      <c r="M1245" s="83" t="n"/>
      <c r="O1245" s="84" t="str">
        <f>IF($C1245="","",IFERROR(MATCH($B1245&amp;"|"&amp;$C1245,MUROS!$AX$11:$AX$70,0),0))</f>
        <v/>
      </c>
      <c r="P1245" s="84" t="str">
        <f>IF($D1245="","",IF(ISNUMBER(MATCH($D1245,CMB_S,0)),1,IF(ISNUMBER(MATCH($D1245,CMB_G,0)),2,0)))</f>
        <v/>
      </c>
      <c r="Q1245" s="84">
        <f>IF(ISNUMBER($H1245),-$H1245,0)</f>
        <v>0</v>
      </c>
      <c r="R1245" s="84">
        <f>IF(ISNUMBER($I1245),ABS($I1245),0)</f>
        <v>0</v>
      </c>
      <c r="S1245" s="84">
        <f>IF(ISNUMBER($M1245),ABS($M1245),0)</f>
        <v>0</v>
      </c>
      <c r="T1245" s="85" t="n">
        <v>1237</v>
      </c>
    </row>
    <row r="1246">
      <c r="B1246" s="83" t="n"/>
      <c r="C1246" s="83" t="n"/>
      <c r="D1246" s="83" t="n"/>
      <c r="E1246" s="83" t="n"/>
      <c r="F1246" s="83" t="n"/>
      <c r="G1246" s="83" t="n"/>
      <c r="H1246" s="83" t="n"/>
      <c r="I1246" s="83" t="n"/>
      <c r="J1246" s="83" t="n"/>
      <c r="K1246" s="83" t="n"/>
      <c r="L1246" s="83" t="n"/>
      <c r="M1246" s="83" t="n"/>
      <c r="O1246" s="84" t="str">
        <f>IF($C1246="","",IFERROR(MATCH($B1246&amp;"|"&amp;$C1246,MUROS!$AX$11:$AX$70,0),0))</f>
        <v/>
      </c>
      <c r="P1246" s="84" t="str">
        <f>IF($D1246="","",IF(ISNUMBER(MATCH($D1246,CMB_S,0)),1,IF(ISNUMBER(MATCH($D1246,CMB_G,0)),2,0)))</f>
        <v/>
      </c>
      <c r="Q1246" s="84">
        <f>IF(ISNUMBER($H1246),-$H1246,0)</f>
        <v>0</v>
      </c>
      <c r="R1246" s="84">
        <f>IF(ISNUMBER($I1246),ABS($I1246),0)</f>
        <v>0</v>
      </c>
      <c r="S1246" s="84">
        <f>IF(ISNUMBER($M1246),ABS($M1246),0)</f>
        <v>0</v>
      </c>
      <c r="T1246" s="85" t="n">
        <v>1238</v>
      </c>
    </row>
    <row r="1247">
      <c r="B1247" s="83" t="n"/>
      <c r="C1247" s="83" t="n"/>
      <c r="D1247" s="83" t="n"/>
      <c r="E1247" s="83" t="n"/>
      <c r="F1247" s="83" t="n"/>
      <c r="G1247" s="83" t="n"/>
      <c r="H1247" s="83" t="n"/>
      <c r="I1247" s="83" t="n"/>
      <c r="J1247" s="83" t="n"/>
      <c r="K1247" s="83" t="n"/>
      <c r="L1247" s="83" t="n"/>
      <c r="M1247" s="83" t="n"/>
      <c r="O1247" s="84" t="str">
        <f>IF($C1247="","",IFERROR(MATCH($B1247&amp;"|"&amp;$C1247,MUROS!$AX$11:$AX$70,0),0))</f>
        <v/>
      </c>
      <c r="P1247" s="84" t="str">
        <f>IF($D1247="","",IF(ISNUMBER(MATCH($D1247,CMB_S,0)),1,IF(ISNUMBER(MATCH($D1247,CMB_G,0)),2,0)))</f>
        <v/>
      </c>
      <c r="Q1247" s="84">
        <f>IF(ISNUMBER($H1247),-$H1247,0)</f>
        <v>0</v>
      </c>
      <c r="R1247" s="84">
        <f>IF(ISNUMBER($I1247),ABS($I1247),0)</f>
        <v>0</v>
      </c>
      <c r="S1247" s="84">
        <f>IF(ISNUMBER($M1247),ABS($M1247),0)</f>
        <v>0</v>
      </c>
      <c r="T1247" s="85" t="n">
        <v>1239</v>
      </c>
    </row>
    <row r="1248">
      <c r="B1248" s="83" t="n"/>
      <c r="C1248" s="83" t="n"/>
      <c r="D1248" s="83" t="n"/>
      <c r="E1248" s="83" t="n"/>
      <c r="F1248" s="83" t="n"/>
      <c r="G1248" s="83" t="n"/>
      <c r="H1248" s="83" t="n"/>
      <c r="I1248" s="83" t="n"/>
      <c r="J1248" s="83" t="n"/>
      <c r="K1248" s="83" t="n"/>
      <c r="L1248" s="83" t="n"/>
      <c r="M1248" s="83" t="n"/>
      <c r="O1248" s="84" t="str">
        <f>IF($C1248="","",IFERROR(MATCH($B1248&amp;"|"&amp;$C1248,MUROS!$AX$11:$AX$70,0),0))</f>
        <v/>
      </c>
      <c r="P1248" s="84" t="str">
        <f>IF($D1248="","",IF(ISNUMBER(MATCH($D1248,CMB_S,0)),1,IF(ISNUMBER(MATCH($D1248,CMB_G,0)),2,0)))</f>
        <v/>
      </c>
      <c r="Q1248" s="84">
        <f>IF(ISNUMBER($H1248),-$H1248,0)</f>
        <v>0</v>
      </c>
      <c r="R1248" s="84">
        <f>IF(ISNUMBER($I1248),ABS($I1248),0)</f>
        <v>0</v>
      </c>
      <c r="S1248" s="84">
        <f>IF(ISNUMBER($M1248),ABS($M1248),0)</f>
        <v>0</v>
      </c>
      <c r="T1248" s="85" t="n">
        <v>1240</v>
      </c>
    </row>
    <row r="1249">
      <c r="B1249" s="83" t="n"/>
      <c r="C1249" s="83" t="n"/>
      <c r="D1249" s="83" t="n"/>
      <c r="E1249" s="83" t="n"/>
      <c r="F1249" s="83" t="n"/>
      <c r="G1249" s="83" t="n"/>
      <c r="H1249" s="83" t="n"/>
      <c r="I1249" s="83" t="n"/>
      <c r="J1249" s="83" t="n"/>
      <c r="K1249" s="83" t="n"/>
      <c r="L1249" s="83" t="n"/>
      <c r="M1249" s="83" t="n"/>
      <c r="O1249" s="84" t="str">
        <f>IF($C1249="","",IFERROR(MATCH($B1249&amp;"|"&amp;$C1249,MUROS!$AX$11:$AX$70,0),0))</f>
        <v/>
      </c>
      <c r="P1249" s="84" t="str">
        <f>IF($D1249="","",IF(ISNUMBER(MATCH($D1249,CMB_S,0)),1,IF(ISNUMBER(MATCH($D1249,CMB_G,0)),2,0)))</f>
        <v/>
      </c>
      <c r="Q1249" s="84">
        <f>IF(ISNUMBER($H1249),-$H1249,0)</f>
        <v>0</v>
      </c>
      <c r="R1249" s="84">
        <f>IF(ISNUMBER($I1249),ABS($I1249),0)</f>
        <v>0</v>
      </c>
      <c r="S1249" s="84">
        <f>IF(ISNUMBER($M1249),ABS($M1249),0)</f>
        <v>0</v>
      </c>
      <c r="T1249" s="85" t="n">
        <v>1241</v>
      </c>
    </row>
    <row r="1250">
      <c r="B1250" s="83" t="n"/>
      <c r="C1250" s="83" t="n"/>
      <c r="D1250" s="83" t="n"/>
      <c r="E1250" s="83" t="n"/>
      <c r="F1250" s="83" t="n"/>
      <c r="G1250" s="83" t="n"/>
      <c r="H1250" s="83" t="n"/>
      <c r="I1250" s="83" t="n"/>
      <c r="J1250" s="83" t="n"/>
      <c r="K1250" s="83" t="n"/>
      <c r="L1250" s="83" t="n"/>
      <c r="M1250" s="83" t="n"/>
      <c r="O1250" s="84" t="str">
        <f>IF($C1250="","",IFERROR(MATCH($B1250&amp;"|"&amp;$C1250,MUROS!$AX$11:$AX$70,0),0))</f>
        <v/>
      </c>
      <c r="P1250" s="84" t="str">
        <f>IF($D1250="","",IF(ISNUMBER(MATCH($D1250,CMB_S,0)),1,IF(ISNUMBER(MATCH($D1250,CMB_G,0)),2,0)))</f>
        <v/>
      </c>
      <c r="Q1250" s="84">
        <f>IF(ISNUMBER($H1250),-$H1250,0)</f>
        <v>0</v>
      </c>
      <c r="R1250" s="84">
        <f>IF(ISNUMBER($I1250),ABS($I1250),0)</f>
        <v>0</v>
      </c>
      <c r="S1250" s="84">
        <f>IF(ISNUMBER($M1250),ABS($M1250),0)</f>
        <v>0</v>
      </c>
      <c r="T1250" s="85" t="n">
        <v>1242</v>
      </c>
    </row>
    <row r="1251">
      <c r="B1251" s="83" t="n"/>
      <c r="C1251" s="83" t="n"/>
      <c r="D1251" s="83" t="n"/>
      <c r="E1251" s="83" t="n"/>
      <c r="F1251" s="83" t="n"/>
      <c r="G1251" s="83" t="n"/>
      <c r="H1251" s="83" t="n"/>
      <c r="I1251" s="83" t="n"/>
      <c r="J1251" s="83" t="n"/>
      <c r="K1251" s="83" t="n"/>
      <c r="L1251" s="83" t="n"/>
      <c r="M1251" s="83" t="n"/>
      <c r="O1251" s="84" t="str">
        <f>IF($C1251="","",IFERROR(MATCH($B1251&amp;"|"&amp;$C1251,MUROS!$AX$11:$AX$70,0),0))</f>
        <v/>
      </c>
      <c r="P1251" s="84" t="str">
        <f>IF($D1251="","",IF(ISNUMBER(MATCH($D1251,CMB_S,0)),1,IF(ISNUMBER(MATCH($D1251,CMB_G,0)),2,0)))</f>
        <v/>
      </c>
      <c r="Q1251" s="84">
        <f>IF(ISNUMBER($H1251),-$H1251,0)</f>
        <v>0</v>
      </c>
      <c r="R1251" s="84">
        <f>IF(ISNUMBER($I1251),ABS($I1251),0)</f>
        <v>0</v>
      </c>
      <c r="S1251" s="84">
        <f>IF(ISNUMBER($M1251),ABS($M1251),0)</f>
        <v>0</v>
      </c>
      <c r="T1251" s="85" t="n">
        <v>1243</v>
      </c>
    </row>
    <row r="1252">
      <c r="B1252" s="83" t="n"/>
      <c r="C1252" s="83" t="n"/>
      <c r="D1252" s="83" t="n"/>
      <c r="E1252" s="83" t="n"/>
      <c r="F1252" s="83" t="n"/>
      <c r="G1252" s="83" t="n"/>
      <c r="H1252" s="83" t="n"/>
      <c r="I1252" s="83" t="n"/>
      <c r="J1252" s="83" t="n"/>
      <c r="K1252" s="83" t="n"/>
      <c r="L1252" s="83" t="n"/>
      <c r="M1252" s="83" t="n"/>
      <c r="O1252" s="84" t="str">
        <f>IF($C1252="","",IFERROR(MATCH($B1252&amp;"|"&amp;$C1252,MUROS!$AX$11:$AX$70,0),0))</f>
        <v/>
      </c>
      <c r="P1252" s="84" t="str">
        <f>IF($D1252="","",IF(ISNUMBER(MATCH($D1252,CMB_S,0)),1,IF(ISNUMBER(MATCH($D1252,CMB_G,0)),2,0)))</f>
        <v/>
      </c>
      <c r="Q1252" s="84">
        <f>IF(ISNUMBER($H1252),-$H1252,0)</f>
        <v>0</v>
      </c>
      <c r="R1252" s="84">
        <f>IF(ISNUMBER($I1252),ABS($I1252),0)</f>
        <v>0</v>
      </c>
      <c r="S1252" s="84">
        <f>IF(ISNUMBER($M1252),ABS($M1252),0)</f>
        <v>0</v>
      </c>
      <c r="T1252" s="85" t="n">
        <v>1244</v>
      </c>
    </row>
    <row r="1253">
      <c r="B1253" s="83" t="n"/>
      <c r="C1253" s="83" t="n"/>
      <c r="D1253" s="83" t="n"/>
      <c r="E1253" s="83" t="n"/>
      <c r="F1253" s="83" t="n"/>
      <c r="G1253" s="83" t="n"/>
      <c r="H1253" s="83" t="n"/>
      <c r="I1253" s="83" t="n"/>
      <c r="J1253" s="83" t="n"/>
      <c r="K1253" s="83" t="n"/>
      <c r="L1253" s="83" t="n"/>
      <c r="M1253" s="83" t="n"/>
      <c r="O1253" s="84" t="str">
        <f>IF($C1253="","",IFERROR(MATCH($B1253&amp;"|"&amp;$C1253,MUROS!$AX$11:$AX$70,0),0))</f>
        <v/>
      </c>
      <c r="P1253" s="84" t="str">
        <f>IF($D1253="","",IF(ISNUMBER(MATCH($D1253,CMB_S,0)),1,IF(ISNUMBER(MATCH($D1253,CMB_G,0)),2,0)))</f>
        <v/>
      </c>
      <c r="Q1253" s="84">
        <f>IF(ISNUMBER($H1253),-$H1253,0)</f>
        <v>0</v>
      </c>
      <c r="R1253" s="84">
        <f>IF(ISNUMBER($I1253),ABS($I1253),0)</f>
        <v>0</v>
      </c>
      <c r="S1253" s="84">
        <f>IF(ISNUMBER($M1253),ABS($M1253),0)</f>
        <v>0</v>
      </c>
      <c r="T1253" s="85" t="n">
        <v>1245</v>
      </c>
    </row>
    <row r="1254">
      <c r="B1254" s="83" t="n"/>
      <c r="C1254" s="83" t="n"/>
      <c r="D1254" s="83" t="n"/>
      <c r="E1254" s="83" t="n"/>
      <c r="F1254" s="83" t="n"/>
      <c r="G1254" s="83" t="n"/>
      <c r="H1254" s="83" t="n"/>
      <c r="I1254" s="83" t="n"/>
      <c r="J1254" s="83" t="n"/>
      <c r="K1254" s="83" t="n"/>
      <c r="L1254" s="83" t="n"/>
      <c r="M1254" s="83" t="n"/>
      <c r="O1254" s="84" t="str">
        <f>IF($C1254="","",IFERROR(MATCH($B1254&amp;"|"&amp;$C1254,MUROS!$AX$11:$AX$70,0),0))</f>
        <v/>
      </c>
      <c r="P1254" s="84" t="str">
        <f>IF($D1254="","",IF(ISNUMBER(MATCH($D1254,CMB_S,0)),1,IF(ISNUMBER(MATCH($D1254,CMB_G,0)),2,0)))</f>
        <v/>
      </c>
      <c r="Q1254" s="84">
        <f>IF(ISNUMBER($H1254),-$H1254,0)</f>
        <v>0</v>
      </c>
      <c r="R1254" s="84">
        <f>IF(ISNUMBER($I1254),ABS($I1254),0)</f>
        <v>0</v>
      </c>
      <c r="S1254" s="84">
        <f>IF(ISNUMBER($M1254),ABS($M1254),0)</f>
        <v>0</v>
      </c>
      <c r="T1254" s="85" t="n">
        <v>1246</v>
      </c>
    </row>
    <row r="1255">
      <c r="B1255" s="83" t="n"/>
      <c r="C1255" s="83" t="n"/>
      <c r="D1255" s="83" t="n"/>
      <c r="E1255" s="83" t="n"/>
      <c r="F1255" s="83" t="n"/>
      <c r="G1255" s="83" t="n"/>
      <c r="H1255" s="83" t="n"/>
      <c r="I1255" s="83" t="n"/>
      <c r="J1255" s="83" t="n"/>
      <c r="K1255" s="83" t="n"/>
      <c r="L1255" s="83" t="n"/>
      <c r="M1255" s="83" t="n"/>
      <c r="O1255" s="84" t="str">
        <f>IF($C1255="","",IFERROR(MATCH($B1255&amp;"|"&amp;$C1255,MUROS!$AX$11:$AX$70,0),0))</f>
        <v/>
      </c>
      <c r="P1255" s="84" t="str">
        <f>IF($D1255="","",IF(ISNUMBER(MATCH($D1255,CMB_S,0)),1,IF(ISNUMBER(MATCH($D1255,CMB_G,0)),2,0)))</f>
        <v/>
      </c>
      <c r="Q1255" s="84">
        <f>IF(ISNUMBER($H1255),-$H1255,0)</f>
        <v>0</v>
      </c>
      <c r="R1255" s="84">
        <f>IF(ISNUMBER($I1255),ABS($I1255),0)</f>
        <v>0</v>
      </c>
      <c r="S1255" s="84">
        <f>IF(ISNUMBER($M1255),ABS($M1255),0)</f>
        <v>0</v>
      </c>
      <c r="T1255" s="85" t="n">
        <v>1247</v>
      </c>
    </row>
    <row r="1256">
      <c r="B1256" s="83" t="n"/>
      <c r="C1256" s="83" t="n"/>
      <c r="D1256" s="83" t="n"/>
      <c r="E1256" s="83" t="n"/>
      <c r="F1256" s="83" t="n"/>
      <c r="G1256" s="83" t="n"/>
      <c r="H1256" s="83" t="n"/>
      <c r="I1256" s="83" t="n"/>
      <c r="J1256" s="83" t="n"/>
      <c r="K1256" s="83" t="n"/>
      <c r="L1256" s="83" t="n"/>
      <c r="M1256" s="83" t="n"/>
      <c r="O1256" s="84" t="str">
        <f>IF($C1256="","",IFERROR(MATCH($B1256&amp;"|"&amp;$C1256,MUROS!$AX$11:$AX$70,0),0))</f>
        <v/>
      </c>
      <c r="P1256" s="84" t="str">
        <f>IF($D1256="","",IF(ISNUMBER(MATCH($D1256,CMB_S,0)),1,IF(ISNUMBER(MATCH($D1256,CMB_G,0)),2,0)))</f>
        <v/>
      </c>
      <c r="Q1256" s="84">
        <f>IF(ISNUMBER($H1256),-$H1256,0)</f>
        <v>0</v>
      </c>
      <c r="R1256" s="84">
        <f>IF(ISNUMBER($I1256),ABS($I1256),0)</f>
        <v>0</v>
      </c>
      <c r="S1256" s="84">
        <f>IF(ISNUMBER($M1256),ABS($M1256),0)</f>
        <v>0</v>
      </c>
      <c r="T1256" s="85" t="n">
        <v>1248</v>
      </c>
    </row>
    <row r="1257">
      <c r="B1257" s="83" t="n"/>
      <c r="C1257" s="83" t="n"/>
      <c r="D1257" s="83" t="n"/>
      <c r="E1257" s="83" t="n"/>
      <c r="F1257" s="83" t="n"/>
      <c r="G1257" s="83" t="n"/>
      <c r="H1257" s="83" t="n"/>
      <c r="I1257" s="83" t="n"/>
      <c r="J1257" s="83" t="n"/>
      <c r="K1257" s="83" t="n"/>
      <c r="L1257" s="83" t="n"/>
      <c r="M1257" s="83" t="n"/>
      <c r="O1257" s="84" t="str">
        <f>IF($C1257="","",IFERROR(MATCH($B1257&amp;"|"&amp;$C1257,MUROS!$AX$11:$AX$70,0),0))</f>
        <v/>
      </c>
      <c r="P1257" s="84" t="str">
        <f>IF($D1257="","",IF(ISNUMBER(MATCH($D1257,CMB_S,0)),1,IF(ISNUMBER(MATCH($D1257,CMB_G,0)),2,0)))</f>
        <v/>
      </c>
      <c r="Q1257" s="84">
        <f>IF(ISNUMBER($H1257),-$H1257,0)</f>
        <v>0</v>
      </c>
      <c r="R1257" s="84">
        <f>IF(ISNUMBER($I1257),ABS($I1257),0)</f>
        <v>0</v>
      </c>
      <c r="S1257" s="84">
        <f>IF(ISNUMBER($M1257),ABS($M1257),0)</f>
        <v>0</v>
      </c>
      <c r="T1257" s="85" t="n">
        <v>1249</v>
      </c>
    </row>
    <row r="1258">
      <c r="B1258" s="83" t="n"/>
      <c r="C1258" s="83" t="n"/>
      <c r="D1258" s="83" t="n"/>
      <c r="E1258" s="83" t="n"/>
      <c r="F1258" s="83" t="n"/>
      <c r="G1258" s="83" t="n"/>
      <c r="H1258" s="83" t="n"/>
      <c r="I1258" s="83" t="n"/>
      <c r="J1258" s="83" t="n"/>
      <c r="K1258" s="83" t="n"/>
      <c r="L1258" s="83" t="n"/>
      <c r="M1258" s="83" t="n"/>
      <c r="O1258" s="84" t="str">
        <f>IF($C1258="","",IFERROR(MATCH($B1258&amp;"|"&amp;$C1258,MUROS!$AX$11:$AX$70,0),0))</f>
        <v/>
      </c>
      <c r="P1258" s="84" t="str">
        <f>IF($D1258="","",IF(ISNUMBER(MATCH($D1258,CMB_S,0)),1,IF(ISNUMBER(MATCH($D1258,CMB_G,0)),2,0)))</f>
        <v/>
      </c>
      <c r="Q1258" s="84">
        <f>IF(ISNUMBER($H1258),-$H1258,0)</f>
        <v>0</v>
      </c>
      <c r="R1258" s="84">
        <f>IF(ISNUMBER($I1258),ABS($I1258),0)</f>
        <v>0</v>
      </c>
      <c r="S1258" s="84">
        <f>IF(ISNUMBER($M1258),ABS($M1258),0)</f>
        <v>0</v>
      </c>
      <c r="T1258" s="85" t="n">
        <v>1250</v>
      </c>
    </row>
    <row r="1259">
      <c r="B1259" s="83" t="n"/>
      <c r="C1259" s="83" t="n"/>
      <c r="D1259" s="83" t="n"/>
      <c r="E1259" s="83" t="n"/>
      <c r="F1259" s="83" t="n"/>
      <c r="G1259" s="83" t="n"/>
      <c r="H1259" s="83" t="n"/>
      <c r="I1259" s="83" t="n"/>
      <c r="J1259" s="83" t="n"/>
      <c r="K1259" s="83" t="n"/>
      <c r="L1259" s="83" t="n"/>
      <c r="M1259" s="83" t="n"/>
      <c r="O1259" s="84" t="str">
        <f>IF($C1259="","",IFERROR(MATCH($B1259&amp;"|"&amp;$C1259,MUROS!$AX$11:$AX$70,0),0))</f>
        <v/>
      </c>
      <c r="P1259" s="84" t="str">
        <f>IF($D1259="","",IF(ISNUMBER(MATCH($D1259,CMB_S,0)),1,IF(ISNUMBER(MATCH($D1259,CMB_G,0)),2,0)))</f>
        <v/>
      </c>
      <c r="Q1259" s="84">
        <f>IF(ISNUMBER($H1259),-$H1259,0)</f>
        <v>0</v>
      </c>
      <c r="R1259" s="84">
        <f>IF(ISNUMBER($I1259),ABS($I1259),0)</f>
        <v>0</v>
      </c>
      <c r="S1259" s="84">
        <f>IF(ISNUMBER($M1259),ABS($M1259),0)</f>
        <v>0</v>
      </c>
      <c r="T1259" s="85" t="n">
        <v>1251</v>
      </c>
    </row>
    <row r="1260">
      <c r="B1260" s="83" t="n"/>
      <c r="C1260" s="83" t="n"/>
      <c r="D1260" s="83" t="n"/>
      <c r="E1260" s="83" t="n"/>
      <c r="F1260" s="83" t="n"/>
      <c r="G1260" s="83" t="n"/>
      <c r="H1260" s="83" t="n"/>
      <c r="I1260" s="83" t="n"/>
      <c r="J1260" s="83" t="n"/>
      <c r="K1260" s="83" t="n"/>
      <c r="L1260" s="83" t="n"/>
      <c r="M1260" s="83" t="n"/>
      <c r="O1260" s="84" t="str">
        <f>IF($C1260="","",IFERROR(MATCH($B1260&amp;"|"&amp;$C1260,MUROS!$AX$11:$AX$70,0),0))</f>
        <v/>
      </c>
      <c r="P1260" s="84" t="str">
        <f>IF($D1260="","",IF(ISNUMBER(MATCH($D1260,CMB_S,0)),1,IF(ISNUMBER(MATCH($D1260,CMB_G,0)),2,0)))</f>
        <v/>
      </c>
      <c r="Q1260" s="84">
        <f>IF(ISNUMBER($H1260),-$H1260,0)</f>
        <v>0</v>
      </c>
      <c r="R1260" s="84">
        <f>IF(ISNUMBER($I1260),ABS($I1260),0)</f>
        <v>0</v>
      </c>
      <c r="S1260" s="84">
        <f>IF(ISNUMBER($M1260),ABS($M1260),0)</f>
        <v>0</v>
      </c>
      <c r="T1260" s="85" t="n">
        <v>1252</v>
      </c>
    </row>
    <row r="1261">
      <c r="B1261" s="83" t="n"/>
      <c r="C1261" s="83" t="n"/>
      <c r="D1261" s="83" t="n"/>
      <c r="E1261" s="83" t="n"/>
      <c r="F1261" s="83" t="n"/>
      <c r="G1261" s="83" t="n"/>
      <c r="H1261" s="83" t="n"/>
      <c r="I1261" s="83" t="n"/>
      <c r="J1261" s="83" t="n"/>
      <c r="K1261" s="83" t="n"/>
      <c r="L1261" s="83" t="n"/>
      <c r="M1261" s="83" t="n"/>
      <c r="O1261" s="84" t="str">
        <f>IF($C1261="","",IFERROR(MATCH($B1261&amp;"|"&amp;$C1261,MUROS!$AX$11:$AX$70,0),0))</f>
        <v/>
      </c>
      <c r="P1261" s="84" t="str">
        <f>IF($D1261="","",IF(ISNUMBER(MATCH($D1261,CMB_S,0)),1,IF(ISNUMBER(MATCH($D1261,CMB_G,0)),2,0)))</f>
        <v/>
      </c>
      <c r="Q1261" s="84">
        <f>IF(ISNUMBER($H1261),-$H1261,0)</f>
        <v>0</v>
      </c>
      <c r="R1261" s="84">
        <f>IF(ISNUMBER($I1261),ABS($I1261),0)</f>
        <v>0</v>
      </c>
      <c r="S1261" s="84">
        <f>IF(ISNUMBER($M1261),ABS($M1261),0)</f>
        <v>0</v>
      </c>
      <c r="T1261" s="85" t="n">
        <v>1253</v>
      </c>
    </row>
    <row r="1262">
      <c r="B1262" s="83" t="n"/>
      <c r="C1262" s="83" t="n"/>
      <c r="D1262" s="83" t="n"/>
      <c r="E1262" s="83" t="n"/>
      <c r="F1262" s="83" t="n"/>
      <c r="G1262" s="83" t="n"/>
      <c r="H1262" s="83" t="n"/>
      <c r="I1262" s="83" t="n"/>
      <c r="J1262" s="83" t="n"/>
      <c r="K1262" s="83" t="n"/>
      <c r="L1262" s="83" t="n"/>
      <c r="M1262" s="83" t="n"/>
      <c r="O1262" s="84" t="str">
        <f>IF($C1262="","",IFERROR(MATCH($B1262&amp;"|"&amp;$C1262,MUROS!$AX$11:$AX$70,0),0))</f>
        <v/>
      </c>
      <c r="P1262" s="84" t="str">
        <f>IF($D1262="","",IF(ISNUMBER(MATCH($D1262,CMB_S,0)),1,IF(ISNUMBER(MATCH($D1262,CMB_G,0)),2,0)))</f>
        <v/>
      </c>
      <c r="Q1262" s="84">
        <f>IF(ISNUMBER($H1262),-$H1262,0)</f>
        <v>0</v>
      </c>
      <c r="R1262" s="84">
        <f>IF(ISNUMBER($I1262),ABS($I1262),0)</f>
        <v>0</v>
      </c>
      <c r="S1262" s="84">
        <f>IF(ISNUMBER($M1262),ABS($M1262),0)</f>
        <v>0</v>
      </c>
      <c r="T1262" s="85" t="n">
        <v>1254</v>
      </c>
    </row>
    <row r="1263">
      <c r="B1263" s="83" t="n"/>
      <c r="C1263" s="83" t="n"/>
      <c r="D1263" s="83" t="n"/>
      <c r="E1263" s="83" t="n"/>
      <c r="F1263" s="83" t="n"/>
      <c r="G1263" s="83" t="n"/>
      <c r="H1263" s="83" t="n"/>
      <c r="I1263" s="83" t="n"/>
      <c r="J1263" s="83" t="n"/>
      <c r="K1263" s="83" t="n"/>
      <c r="L1263" s="83" t="n"/>
      <c r="M1263" s="83" t="n"/>
      <c r="O1263" s="84" t="str">
        <f>IF($C1263="","",IFERROR(MATCH($B1263&amp;"|"&amp;$C1263,MUROS!$AX$11:$AX$70,0),0))</f>
        <v/>
      </c>
      <c r="P1263" s="84" t="str">
        <f>IF($D1263="","",IF(ISNUMBER(MATCH($D1263,CMB_S,0)),1,IF(ISNUMBER(MATCH($D1263,CMB_G,0)),2,0)))</f>
        <v/>
      </c>
      <c r="Q1263" s="84">
        <f>IF(ISNUMBER($H1263),-$H1263,0)</f>
        <v>0</v>
      </c>
      <c r="R1263" s="84">
        <f>IF(ISNUMBER($I1263),ABS($I1263),0)</f>
        <v>0</v>
      </c>
      <c r="S1263" s="84">
        <f>IF(ISNUMBER($M1263),ABS($M1263),0)</f>
        <v>0</v>
      </c>
      <c r="T1263" s="85" t="n">
        <v>1255</v>
      </c>
    </row>
    <row r="1264">
      <c r="B1264" s="83" t="n"/>
      <c r="C1264" s="83" t="n"/>
      <c r="D1264" s="83" t="n"/>
      <c r="E1264" s="83" t="n"/>
      <c r="F1264" s="83" t="n"/>
      <c r="G1264" s="83" t="n"/>
      <c r="H1264" s="83" t="n"/>
      <c r="I1264" s="83" t="n"/>
      <c r="J1264" s="83" t="n"/>
      <c r="K1264" s="83" t="n"/>
      <c r="L1264" s="83" t="n"/>
      <c r="M1264" s="83" t="n"/>
      <c r="O1264" s="84" t="str">
        <f>IF($C1264="","",IFERROR(MATCH($B1264&amp;"|"&amp;$C1264,MUROS!$AX$11:$AX$70,0),0))</f>
        <v/>
      </c>
      <c r="P1264" s="84" t="str">
        <f>IF($D1264="","",IF(ISNUMBER(MATCH($D1264,CMB_S,0)),1,IF(ISNUMBER(MATCH($D1264,CMB_G,0)),2,0)))</f>
        <v/>
      </c>
      <c r="Q1264" s="84">
        <f>IF(ISNUMBER($H1264),-$H1264,0)</f>
        <v>0</v>
      </c>
      <c r="R1264" s="84">
        <f>IF(ISNUMBER($I1264),ABS($I1264),0)</f>
        <v>0</v>
      </c>
      <c r="S1264" s="84">
        <f>IF(ISNUMBER($M1264),ABS($M1264),0)</f>
        <v>0</v>
      </c>
      <c r="T1264" s="85" t="n">
        <v>1256</v>
      </c>
    </row>
    <row r="1265">
      <c r="B1265" s="83" t="n"/>
      <c r="C1265" s="83" t="n"/>
      <c r="D1265" s="83" t="n"/>
      <c r="E1265" s="83" t="n"/>
      <c r="F1265" s="83" t="n"/>
      <c r="G1265" s="83" t="n"/>
      <c r="H1265" s="83" t="n"/>
      <c r="I1265" s="83" t="n"/>
      <c r="J1265" s="83" t="n"/>
      <c r="K1265" s="83" t="n"/>
      <c r="L1265" s="83" t="n"/>
      <c r="M1265" s="83" t="n"/>
      <c r="O1265" s="84" t="str">
        <f>IF($C1265="","",IFERROR(MATCH($B1265&amp;"|"&amp;$C1265,MUROS!$AX$11:$AX$70,0),0))</f>
        <v/>
      </c>
      <c r="P1265" s="84" t="str">
        <f>IF($D1265="","",IF(ISNUMBER(MATCH($D1265,CMB_S,0)),1,IF(ISNUMBER(MATCH($D1265,CMB_G,0)),2,0)))</f>
        <v/>
      </c>
      <c r="Q1265" s="84">
        <f>IF(ISNUMBER($H1265),-$H1265,0)</f>
        <v>0</v>
      </c>
      <c r="R1265" s="84">
        <f>IF(ISNUMBER($I1265),ABS($I1265),0)</f>
        <v>0</v>
      </c>
      <c r="S1265" s="84">
        <f>IF(ISNUMBER($M1265),ABS($M1265),0)</f>
        <v>0</v>
      </c>
      <c r="T1265" s="85" t="n">
        <v>1257</v>
      </c>
    </row>
    <row r="1266">
      <c r="B1266" s="83" t="n"/>
      <c r="C1266" s="83" t="n"/>
      <c r="D1266" s="83" t="n"/>
      <c r="E1266" s="83" t="n"/>
      <c r="F1266" s="83" t="n"/>
      <c r="G1266" s="83" t="n"/>
      <c r="H1266" s="83" t="n"/>
      <c r="I1266" s="83" t="n"/>
      <c r="J1266" s="83" t="n"/>
      <c r="K1266" s="83" t="n"/>
      <c r="L1266" s="83" t="n"/>
      <c r="M1266" s="83" t="n"/>
      <c r="O1266" s="84" t="str">
        <f>IF($C1266="","",IFERROR(MATCH($B1266&amp;"|"&amp;$C1266,MUROS!$AX$11:$AX$70,0),0))</f>
        <v/>
      </c>
      <c r="P1266" s="84" t="str">
        <f>IF($D1266="","",IF(ISNUMBER(MATCH($D1266,CMB_S,0)),1,IF(ISNUMBER(MATCH($D1266,CMB_G,0)),2,0)))</f>
        <v/>
      </c>
      <c r="Q1266" s="84">
        <f>IF(ISNUMBER($H1266),-$H1266,0)</f>
        <v>0</v>
      </c>
      <c r="R1266" s="84">
        <f>IF(ISNUMBER($I1266),ABS($I1266),0)</f>
        <v>0</v>
      </c>
      <c r="S1266" s="84">
        <f>IF(ISNUMBER($M1266),ABS($M1266),0)</f>
        <v>0</v>
      </c>
      <c r="T1266" s="85" t="n">
        <v>1258</v>
      </c>
    </row>
    <row r="1267">
      <c r="B1267" s="83" t="n"/>
      <c r="C1267" s="83" t="n"/>
      <c r="D1267" s="83" t="n"/>
      <c r="E1267" s="83" t="n"/>
      <c r="F1267" s="83" t="n"/>
      <c r="G1267" s="83" t="n"/>
      <c r="H1267" s="83" t="n"/>
      <c r="I1267" s="83" t="n"/>
      <c r="J1267" s="83" t="n"/>
      <c r="K1267" s="83" t="n"/>
      <c r="L1267" s="83" t="n"/>
      <c r="M1267" s="83" t="n"/>
      <c r="O1267" s="84" t="str">
        <f>IF($C1267="","",IFERROR(MATCH($B1267&amp;"|"&amp;$C1267,MUROS!$AX$11:$AX$70,0),0))</f>
        <v/>
      </c>
      <c r="P1267" s="84" t="str">
        <f>IF($D1267="","",IF(ISNUMBER(MATCH($D1267,CMB_S,0)),1,IF(ISNUMBER(MATCH($D1267,CMB_G,0)),2,0)))</f>
        <v/>
      </c>
      <c r="Q1267" s="84">
        <f>IF(ISNUMBER($H1267),-$H1267,0)</f>
        <v>0</v>
      </c>
      <c r="R1267" s="84">
        <f>IF(ISNUMBER($I1267),ABS($I1267),0)</f>
        <v>0</v>
      </c>
      <c r="S1267" s="84">
        <f>IF(ISNUMBER($M1267),ABS($M1267),0)</f>
        <v>0</v>
      </c>
      <c r="T1267" s="85" t="n">
        <v>1259</v>
      </c>
    </row>
    <row r="1268">
      <c r="B1268" s="83" t="n"/>
      <c r="C1268" s="83" t="n"/>
      <c r="D1268" s="83" t="n"/>
      <c r="E1268" s="83" t="n"/>
      <c r="F1268" s="83" t="n"/>
      <c r="G1268" s="83" t="n"/>
      <c r="H1268" s="83" t="n"/>
      <c r="I1268" s="83" t="n"/>
      <c r="J1268" s="83" t="n"/>
      <c r="K1268" s="83" t="n"/>
      <c r="L1268" s="83" t="n"/>
      <c r="M1268" s="83" t="n"/>
      <c r="O1268" s="84" t="str">
        <f>IF($C1268="","",IFERROR(MATCH($B1268&amp;"|"&amp;$C1268,MUROS!$AX$11:$AX$70,0),0))</f>
        <v/>
      </c>
      <c r="P1268" s="84" t="str">
        <f>IF($D1268="","",IF(ISNUMBER(MATCH($D1268,CMB_S,0)),1,IF(ISNUMBER(MATCH($D1268,CMB_G,0)),2,0)))</f>
        <v/>
      </c>
      <c r="Q1268" s="84">
        <f>IF(ISNUMBER($H1268),-$H1268,0)</f>
        <v>0</v>
      </c>
      <c r="R1268" s="84">
        <f>IF(ISNUMBER($I1268),ABS($I1268),0)</f>
        <v>0</v>
      </c>
      <c r="S1268" s="84">
        <f>IF(ISNUMBER($M1268),ABS($M1268),0)</f>
        <v>0</v>
      </c>
      <c r="T1268" s="85" t="n">
        <v>1260</v>
      </c>
    </row>
    <row r="1269">
      <c r="B1269" s="83" t="n"/>
      <c r="C1269" s="83" t="n"/>
      <c r="D1269" s="83" t="n"/>
      <c r="E1269" s="83" t="n"/>
      <c r="F1269" s="83" t="n"/>
      <c r="G1269" s="83" t="n"/>
      <c r="H1269" s="83" t="n"/>
      <c r="I1269" s="83" t="n"/>
      <c r="J1269" s="83" t="n"/>
      <c r="K1269" s="83" t="n"/>
      <c r="L1269" s="83" t="n"/>
      <c r="M1269" s="83" t="n"/>
      <c r="O1269" s="84" t="str">
        <f>IF($C1269="","",IFERROR(MATCH($B1269&amp;"|"&amp;$C1269,MUROS!$AX$11:$AX$70,0),0))</f>
        <v/>
      </c>
      <c r="P1269" s="84" t="str">
        <f>IF($D1269="","",IF(ISNUMBER(MATCH($D1269,CMB_S,0)),1,IF(ISNUMBER(MATCH($D1269,CMB_G,0)),2,0)))</f>
        <v/>
      </c>
      <c r="Q1269" s="84">
        <f>IF(ISNUMBER($H1269),-$H1269,0)</f>
        <v>0</v>
      </c>
      <c r="R1269" s="84">
        <f>IF(ISNUMBER($I1269),ABS($I1269),0)</f>
        <v>0</v>
      </c>
      <c r="S1269" s="84">
        <f>IF(ISNUMBER($M1269),ABS($M1269),0)</f>
        <v>0</v>
      </c>
      <c r="T1269" s="85" t="n">
        <v>1261</v>
      </c>
    </row>
    <row r="1270">
      <c r="B1270" s="83" t="n"/>
      <c r="C1270" s="83" t="n"/>
      <c r="D1270" s="83" t="n"/>
      <c r="E1270" s="83" t="n"/>
      <c r="F1270" s="83" t="n"/>
      <c r="G1270" s="83" t="n"/>
      <c r="H1270" s="83" t="n"/>
      <c r="I1270" s="83" t="n"/>
      <c r="J1270" s="83" t="n"/>
      <c r="K1270" s="83" t="n"/>
      <c r="L1270" s="83" t="n"/>
      <c r="M1270" s="83" t="n"/>
      <c r="O1270" s="84" t="str">
        <f>IF($C1270="","",IFERROR(MATCH($B1270&amp;"|"&amp;$C1270,MUROS!$AX$11:$AX$70,0),0))</f>
        <v/>
      </c>
      <c r="P1270" s="84" t="str">
        <f>IF($D1270="","",IF(ISNUMBER(MATCH($D1270,CMB_S,0)),1,IF(ISNUMBER(MATCH($D1270,CMB_G,0)),2,0)))</f>
        <v/>
      </c>
      <c r="Q1270" s="84">
        <f>IF(ISNUMBER($H1270),-$H1270,0)</f>
        <v>0</v>
      </c>
      <c r="R1270" s="84">
        <f>IF(ISNUMBER($I1270),ABS($I1270),0)</f>
        <v>0</v>
      </c>
      <c r="S1270" s="84">
        <f>IF(ISNUMBER($M1270),ABS($M1270),0)</f>
        <v>0</v>
      </c>
      <c r="T1270" s="85" t="n">
        <v>1262</v>
      </c>
    </row>
    <row r="1271">
      <c r="B1271" s="83" t="n"/>
      <c r="C1271" s="83" t="n"/>
      <c r="D1271" s="83" t="n"/>
      <c r="E1271" s="83" t="n"/>
      <c r="F1271" s="83" t="n"/>
      <c r="G1271" s="83" t="n"/>
      <c r="H1271" s="83" t="n"/>
      <c r="I1271" s="83" t="n"/>
      <c r="J1271" s="83" t="n"/>
      <c r="K1271" s="83" t="n"/>
      <c r="L1271" s="83" t="n"/>
      <c r="M1271" s="83" t="n"/>
      <c r="O1271" s="84" t="str">
        <f>IF($C1271="","",IFERROR(MATCH($B1271&amp;"|"&amp;$C1271,MUROS!$AX$11:$AX$70,0),0))</f>
        <v/>
      </c>
      <c r="P1271" s="84" t="str">
        <f>IF($D1271="","",IF(ISNUMBER(MATCH($D1271,CMB_S,0)),1,IF(ISNUMBER(MATCH($D1271,CMB_G,0)),2,0)))</f>
        <v/>
      </c>
      <c r="Q1271" s="84">
        <f>IF(ISNUMBER($H1271),-$H1271,0)</f>
        <v>0</v>
      </c>
      <c r="R1271" s="84">
        <f>IF(ISNUMBER($I1271),ABS($I1271),0)</f>
        <v>0</v>
      </c>
      <c r="S1271" s="84">
        <f>IF(ISNUMBER($M1271),ABS($M1271),0)</f>
        <v>0</v>
      </c>
      <c r="T1271" s="85" t="n">
        <v>1263</v>
      </c>
    </row>
    <row r="1272">
      <c r="B1272" s="83" t="n"/>
      <c r="C1272" s="83" t="n"/>
      <c r="D1272" s="83" t="n"/>
      <c r="E1272" s="83" t="n"/>
      <c r="F1272" s="83" t="n"/>
      <c r="G1272" s="83" t="n"/>
      <c r="H1272" s="83" t="n"/>
      <c r="I1272" s="83" t="n"/>
      <c r="J1272" s="83" t="n"/>
      <c r="K1272" s="83" t="n"/>
      <c r="L1272" s="83" t="n"/>
      <c r="M1272" s="83" t="n"/>
      <c r="O1272" s="84" t="str">
        <f>IF($C1272="","",IFERROR(MATCH($B1272&amp;"|"&amp;$C1272,MUROS!$AX$11:$AX$70,0),0))</f>
        <v/>
      </c>
      <c r="P1272" s="84" t="str">
        <f>IF($D1272="","",IF(ISNUMBER(MATCH($D1272,CMB_S,0)),1,IF(ISNUMBER(MATCH($D1272,CMB_G,0)),2,0)))</f>
        <v/>
      </c>
      <c r="Q1272" s="84">
        <f>IF(ISNUMBER($H1272),-$H1272,0)</f>
        <v>0</v>
      </c>
      <c r="R1272" s="84">
        <f>IF(ISNUMBER($I1272),ABS($I1272),0)</f>
        <v>0</v>
      </c>
      <c r="S1272" s="84">
        <f>IF(ISNUMBER($M1272),ABS($M1272),0)</f>
        <v>0</v>
      </c>
      <c r="T1272" s="85" t="n">
        <v>1264</v>
      </c>
    </row>
    <row r="1273">
      <c r="B1273" s="83" t="n"/>
      <c r="C1273" s="83" t="n"/>
      <c r="D1273" s="83" t="n"/>
      <c r="E1273" s="83" t="n"/>
      <c r="F1273" s="83" t="n"/>
      <c r="G1273" s="83" t="n"/>
      <c r="H1273" s="83" t="n"/>
      <c r="I1273" s="83" t="n"/>
      <c r="J1273" s="83" t="n"/>
      <c r="K1273" s="83" t="n"/>
      <c r="L1273" s="83" t="n"/>
      <c r="M1273" s="83" t="n"/>
      <c r="O1273" s="84" t="str">
        <f>IF($C1273="","",IFERROR(MATCH($B1273&amp;"|"&amp;$C1273,MUROS!$AX$11:$AX$70,0),0))</f>
        <v/>
      </c>
      <c r="P1273" s="84" t="str">
        <f>IF($D1273="","",IF(ISNUMBER(MATCH($D1273,CMB_S,0)),1,IF(ISNUMBER(MATCH($D1273,CMB_G,0)),2,0)))</f>
        <v/>
      </c>
      <c r="Q1273" s="84">
        <f>IF(ISNUMBER($H1273),-$H1273,0)</f>
        <v>0</v>
      </c>
      <c r="R1273" s="84">
        <f>IF(ISNUMBER($I1273),ABS($I1273),0)</f>
        <v>0</v>
      </c>
      <c r="S1273" s="84">
        <f>IF(ISNUMBER($M1273),ABS($M1273),0)</f>
        <v>0</v>
      </c>
      <c r="T1273" s="85" t="n">
        <v>1265</v>
      </c>
    </row>
    <row r="1274">
      <c r="B1274" s="83" t="n"/>
      <c r="C1274" s="83" t="n"/>
      <c r="D1274" s="83" t="n"/>
      <c r="E1274" s="83" t="n"/>
      <c r="F1274" s="83" t="n"/>
      <c r="G1274" s="83" t="n"/>
      <c r="H1274" s="83" t="n"/>
      <c r="I1274" s="83" t="n"/>
      <c r="J1274" s="83" t="n"/>
      <c r="K1274" s="83" t="n"/>
      <c r="L1274" s="83" t="n"/>
      <c r="M1274" s="83" t="n"/>
      <c r="O1274" s="84" t="str">
        <f>IF($C1274="","",IFERROR(MATCH($B1274&amp;"|"&amp;$C1274,MUROS!$AX$11:$AX$70,0),0))</f>
        <v/>
      </c>
      <c r="P1274" s="84" t="str">
        <f>IF($D1274="","",IF(ISNUMBER(MATCH($D1274,CMB_S,0)),1,IF(ISNUMBER(MATCH($D1274,CMB_G,0)),2,0)))</f>
        <v/>
      </c>
      <c r="Q1274" s="84">
        <f>IF(ISNUMBER($H1274),-$H1274,0)</f>
        <v>0</v>
      </c>
      <c r="R1274" s="84">
        <f>IF(ISNUMBER($I1274),ABS($I1274),0)</f>
        <v>0</v>
      </c>
      <c r="S1274" s="84">
        <f>IF(ISNUMBER($M1274),ABS($M1274),0)</f>
        <v>0</v>
      </c>
      <c r="T1274" s="85" t="n">
        <v>1266</v>
      </c>
    </row>
    <row r="1275">
      <c r="B1275" s="83" t="n"/>
      <c r="C1275" s="83" t="n"/>
      <c r="D1275" s="83" t="n"/>
      <c r="E1275" s="83" t="n"/>
      <c r="F1275" s="83" t="n"/>
      <c r="G1275" s="83" t="n"/>
      <c r="H1275" s="83" t="n"/>
      <c r="I1275" s="83" t="n"/>
      <c r="J1275" s="83" t="n"/>
      <c r="K1275" s="83" t="n"/>
      <c r="L1275" s="83" t="n"/>
      <c r="M1275" s="83" t="n"/>
      <c r="O1275" s="84" t="str">
        <f>IF($C1275="","",IFERROR(MATCH($B1275&amp;"|"&amp;$C1275,MUROS!$AX$11:$AX$70,0),0))</f>
        <v/>
      </c>
      <c r="P1275" s="84" t="str">
        <f>IF($D1275="","",IF(ISNUMBER(MATCH($D1275,CMB_S,0)),1,IF(ISNUMBER(MATCH($D1275,CMB_G,0)),2,0)))</f>
        <v/>
      </c>
      <c r="Q1275" s="84">
        <f>IF(ISNUMBER($H1275),-$H1275,0)</f>
        <v>0</v>
      </c>
      <c r="R1275" s="84">
        <f>IF(ISNUMBER($I1275),ABS($I1275),0)</f>
        <v>0</v>
      </c>
      <c r="S1275" s="84">
        <f>IF(ISNUMBER($M1275),ABS($M1275),0)</f>
        <v>0</v>
      </c>
      <c r="T1275" s="85" t="n">
        <v>1267</v>
      </c>
    </row>
    <row r="1276">
      <c r="B1276" s="83" t="n"/>
      <c r="C1276" s="83" t="n"/>
      <c r="D1276" s="83" t="n"/>
      <c r="E1276" s="83" t="n"/>
      <c r="F1276" s="83" t="n"/>
      <c r="G1276" s="83" t="n"/>
      <c r="H1276" s="83" t="n"/>
      <c r="I1276" s="83" t="n"/>
      <c r="J1276" s="83" t="n"/>
      <c r="K1276" s="83" t="n"/>
      <c r="L1276" s="83" t="n"/>
      <c r="M1276" s="83" t="n"/>
      <c r="O1276" s="84" t="str">
        <f>IF($C1276="","",IFERROR(MATCH($B1276&amp;"|"&amp;$C1276,MUROS!$AX$11:$AX$70,0),0))</f>
        <v/>
      </c>
      <c r="P1276" s="84" t="str">
        <f>IF($D1276="","",IF(ISNUMBER(MATCH($D1276,CMB_S,0)),1,IF(ISNUMBER(MATCH($D1276,CMB_G,0)),2,0)))</f>
        <v/>
      </c>
      <c r="Q1276" s="84">
        <f>IF(ISNUMBER($H1276),-$H1276,0)</f>
        <v>0</v>
      </c>
      <c r="R1276" s="84">
        <f>IF(ISNUMBER($I1276),ABS($I1276),0)</f>
        <v>0</v>
      </c>
      <c r="S1276" s="84">
        <f>IF(ISNUMBER($M1276),ABS($M1276),0)</f>
        <v>0</v>
      </c>
      <c r="T1276" s="85" t="n">
        <v>1268</v>
      </c>
    </row>
    <row r="1277">
      <c r="B1277" s="83" t="n"/>
      <c r="C1277" s="83" t="n"/>
      <c r="D1277" s="83" t="n"/>
      <c r="E1277" s="83" t="n"/>
      <c r="F1277" s="83" t="n"/>
      <c r="G1277" s="83" t="n"/>
      <c r="H1277" s="83" t="n"/>
      <c r="I1277" s="83" t="n"/>
      <c r="J1277" s="83" t="n"/>
      <c r="K1277" s="83" t="n"/>
      <c r="L1277" s="83" t="n"/>
      <c r="M1277" s="83" t="n"/>
      <c r="O1277" s="84" t="str">
        <f>IF($C1277="","",IFERROR(MATCH($B1277&amp;"|"&amp;$C1277,MUROS!$AX$11:$AX$70,0),0))</f>
        <v/>
      </c>
      <c r="P1277" s="84" t="str">
        <f>IF($D1277="","",IF(ISNUMBER(MATCH($D1277,CMB_S,0)),1,IF(ISNUMBER(MATCH($D1277,CMB_G,0)),2,0)))</f>
        <v/>
      </c>
      <c r="Q1277" s="84">
        <f>IF(ISNUMBER($H1277),-$H1277,0)</f>
        <v>0</v>
      </c>
      <c r="R1277" s="84">
        <f>IF(ISNUMBER($I1277),ABS($I1277),0)</f>
        <v>0</v>
      </c>
      <c r="S1277" s="84">
        <f>IF(ISNUMBER($M1277),ABS($M1277),0)</f>
        <v>0</v>
      </c>
      <c r="T1277" s="85" t="n">
        <v>1269</v>
      </c>
    </row>
    <row r="1278">
      <c r="B1278" s="83" t="n"/>
      <c r="C1278" s="83" t="n"/>
      <c r="D1278" s="83" t="n"/>
      <c r="E1278" s="83" t="n"/>
      <c r="F1278" s="83" t="n"/>
      <c r="G1278" s="83" t="n"/>
      <c r="H1278" s="83" t="n"/>
      <c r="I1278" s="83" t="n"/>
      <c r="J1278" s="83" t="n"/>
      <c r="K1278" s="83" t="n"/>
      <c r="L1278" s="83" t="n"/>
      <c r="M1278" s="83" t="n"/>
      <c r="O1278" s="84" t="str">
        <f>IF($C1278="","",IFERROR(MATCH($B1278&amp;"|"&amp;$C1278,MUROS!$AX$11:$AX$70,0),0))</f>
        <v/>
      </c>
      <c r="P1278" s="84" t="str">
        <f>IF($D1278="","",IF(ISNUMBER(MATCH($D1278,CMB_S,0)),1,IF(ISNUMBER(MATCH($D1278,CMB_G,0)),2,0)))</f>
        <v/>
      </c>
      <c r="Q1278" s="84">
        <f>IF(ISNUMBER($H1278),-$H1278,0)</f>
        <v>0</v>
      </c>
      <c r="R1278" s="84">
        <f>IF(ISNUMBER($I1278),ABS($I1278),0)</f>
        <v>0</v>
      </c>
      <c r="S1278" s="84">
        <f>IF(ISNUMBER($M1278),ABS($M1278),0)</f>
        <v>0</v>
      </c>
      <c r="T1278" s="85" t="n">
        <v>1270</v>
      </c>
    </row>
    <row r="1279">
      <c r="B1279" s="83" t="n"/>
      <c r="C1279" s="83" t="n"/>
      <c r="D1279" s="83" t="n"/>
      <c r="E1279" s="83" t="n"/>
      <c r="F1279" s="83" t="n"/>
      <c r="G1279" s="83" t="n"/>
      <c r="H1279" s="83" t="n"/>
      <c r="I1279" s="83" t="n"/>
      <c r="J1279" s="83" t="n"/>
      <c r="K1279" s="83" t="n"/>
      <c r="L1279" s="83" t="n"/>
      <c r="M1279" s="83" t="n"/>
      <c r="O1279" s="84" t="str">
        <f>IF($C1279="","",IFERROR(MATCH($B1279&amp;"|"&amp;$C1279,MUROS!$AX$11:$AX$70,0),0))</f>
        <v/>
      </c>
      <c r="P1279" s="84" t="str">
        <f>IF($D1279="","",IF(ISNUMBER(MATCH($D1279,CMB_S,0)),1,IF(ISNUMBER(MATCH($D1279,CMB_G,0)),2,0)))</f>
        <v/>
      </c>
      <c r="Q1279" s="84">
        <f>IF(ISNUMBER($H1279),-$H1279,0)</f>
        <v>0</v>
      </c>
      <c r="R1279" s="84">
        <f>IF(ISNUMBER($I1279),ABS($I1279),0)</f>
        <v>0</v>
      </c>
      <c r="S1279" s="84">
        <f>IF(ISNUMBER($M1279),ABS($M1279),0)</f>
        <v>0</v>
      </c>
      <c r="T1279" s="85" t="n">
        <v>1271</v>
      </c>
    </row>
    <row r="1280">
      <c r="B1280" s="83" t="n"/>
      <c r="C1280" s="83" t="n"/>
      <c r="D1280" s="83" t="n"/>
      <c r="E1280" s="83" t="n"/>
      <c r="F1280" s="83" t="n"/>
      <c r="G1280" s="83" t="n"/>
      <c r="H1280" s="83" t="n"/>
      <c r="I1280" s="83" t="n"/>
      <c r="J1280" s="83" t="n"/>
      <c r="K1280" s="83" t="n"/>
      <c r="L1280" s="83" t="n"/>
      <c r="M1280" s="83" t="n"/>
      <c r="O1280" s="84" t="str">
        <f>IF($C1280="","",IFERROR(MATCH($B1280&amp;"|"&amp;$C1280,MUROS!$AX$11:$AX$70,0),0))</f>
        <v/>
      </c>
      <c r="P1280" s="84" t="str">
        <f>IF($D1280="","",IF(ISNUMBER(MATCH($D1280,CMB_S,0)),1,IF(ISNUMBER(MATCH($D1280,CMB_G,0)),2,0)))</f>
        <v/>
      </c>
      <c r="Q1280" s="84">
        <f>IF(ISNUMBER($H1280),-$H1280,0)</f>
        <v>0</v>
      </c>
      <c r="R1280" s="84">
        <f>IF(ISNUMBER($I1280),ABS($I1280),0)</f>
        <v>0</v>
      </c>
      <c r="S1280" s="84">
        <f>IF(ISNUMBER($M1280),ABS($M1280),0)</f>
        <v>0</v>
      </c>
      <c r="T1280" s="85" t="n">
        <v>1272</v>
      </c>
    </row>
    <row r="1281">
      <c r="B1281" s="83" t="n"/>
      <c r="C1281" s="83" t="n"/>
      <c r="D1281" s="83" t="n"/>
      <c r="E1281" s="83" t="n"/>
      <c r="F1281" s="83" t="n"/>
      <c r="G1281" s="83" t="n"/>
      <c r="H1281" s="83" t="n"/>
      <c r="I1281" s="83" t="n"/>
      <c r="J1281" s="83" t="n"/>
      <c r="K1281" s="83" t="n"/>
      <c r="L1281" s="83" t="n"/>
      <c r="M1281" s="83" t="n"/>
      <c r="O1281" s="84" t="str">
        <f>IF($C1281="","",IFERROR(MATCH($B1281&amp;"|"&amp;$C1281,MUROS!$AX$11:$AX$70,0),0))</f>
        <v/>
      </c>
      <c r="P1281" s="84" t="str">
        <f>IF($D1281="","",IF(ISNUMBER(MATCH($D1281,CMB_S,0)),1,IF(ISNUMBER(MATCH($D1281,CMB_G,0)),2,0)))</f>
        <v/>
      </c>
      <c r="Q1281" s="84">
        <f>IF(ISNUMBER($H1281),-$H1281,0)</f>
        <v>0</v>
      </c>
      <c r="R1281" s="84">
        <f>IF(ISNUMBER($I1281),ABS($I1281),0)</f>
        <v>0</v>
      </c>
      <c r="S1281" s="84">
        <f>IF(ISNUMBER($M1281),ABS($M1281),0)</f>
        <v>0</v>
      </c>
      <c r="T1281" s="85" t="n">
        <v>1273</v>
      </c>
    </row>
    <row r="1282">
      <c r="B1282" s="83" t="n"/>
      <c r="C1282" s="83" t="n"/>
      <c r="D1282" s="83" t="n"/>
      <c r="E1282" s="83" t="n"/>
      <c r="F1282" s="83" t="n"/>
      <c r="G1282" s="83" t="n"/>
      <c r="H1282" s="83" t="n"/>
      <c r="I1282" s="83" t="n"/>
      <c r="J1282" s="83" t="n"/>
      <c r="K1282" s="83" t="n"/>
      <c r="L1282" s="83" t="n"/>
      <c r="M1282" s="83" t="n"/>
      <c r="O1282" s="84" t="str">
        <f>IF($C1282="","",IFERROR(MATCH($B1282&amp;"|"&amp;$C1282,MUROS!$AX$11:$AX$70,0),0))</f>
        <v/>
      </c>
      <c r="P1282" s="84" t="str">
        <f>IF($D1282="","",IF(ISNUMBER(MATCH($D1282,CMB_S,0)),1,IF(ISNUMBER(MATCH($D1282,CMB_G,0)),2,0)))</f>
        <v/>
      </c>
      <c r="Q1282" s="84">
        <f>IF(ISNUMBER($H1282),-$H1282,0)</f>
        <v>0</v>
      </c>
      <c r="R1282" s="84">
        <f>IF(ISNUMBER($I1282),ABS($I1282),0)</f>
        <v>0</v>
      </c>
      <c r="S1282" s="84">
        <f>IF(ISNUMBER($M1282),ABS($M1282),0)</f>
        <v>0</v>
      </c>
      <c r="T1282" s="85" t="n">
        <v>1274</v>
      </c>
    </row>
    <row r="1283">
      <c r="B1283" s="83" t="n"/>
      <c r="C1283" s="83" t="n"/>
      <c r="D1283" s="83" t="n"/>
      <c r="E1283" s="83" t="n"/>
      <c r="F1283" s="83" t="n"/>
      <c r="G1283" s="83" t="n"/>
      <c r="H1283" s="83" t="n"/>
      <c r="I1283" s="83" t="n"/>
      <c r="J1283" s="83" t="n"/>
      <c r="K1283" s="83" t="n"/>
      <c r="L1283" s="83" t="n"/>
      <c r="M1283" s="83" t="n"/>
      <c r="O1283" s="84" t="str">
        <f>IF($C1283="","",IFERROR(MATCH($B1283&amp;"|"&amp;$C1283,MUROS!$AX$11:$AX$70,0),0))</f>
        <v/>
      </c>
      <c r="P1283" s="84" t="str">
        <f>IF($D1283="","",IF(ISNUMBER(MATCH($D1283,CMB_S,0)),1,IF(ISNUMBER(MATCH($D1283,CMB_G,0)),2,0)))</f>
        <v/>
      </c>
      <c r="Q1283" s="84">
        <f>IF(ISNUMBER($H1283),-$H1283,0)</f>
        <v>0</v>
      </c>
      <c r="R1283" s="84">
        <f>IF(ISNUMBER($I1283),ABS($I1283),0)</f>
        <v>0</v>
      </c>
      <c r="S1283" s="84">
        <f>IF(ISNUMBER($M1283),ABS($M1283),0)</f>
        <v>0</v>
      </c>
      <c r="T1283" s="85" t="n">
        <v>1275</v>
      </c>
    </row>
    <row r="1284">
      <c r="B1284" s="83" t="n"/>
      <c r="C1284" s="83" t="n"/>
      <c r="D1284" s="83" t="n"/>
      <c r="E1284" s="83" t="n"/>
      <c r="F1284" s="83" t="n"/>
      <c r="G1284" s="83" t="n"/>
      <c r="H1284" s="83" t="n"/>
      <c r="I1284" s="83" t="n"/>
      <c r="J1284" s="83" t="n"/>
      <c r="K1284" s="83" t="n"/>
      <c r="L1284" s="83" t="n"/>
      <c r="M1284" s="83" t="n"/>
      <c r="O1284" s="84" t="str">
        <f>IF($C1284="","",IFERROR(MATCH($B1284&amp;"|"&amp;$C1284,MUROS!$AX$11:$AX$70,0),0))</f>
        <v/>
      </c>
      <c r="P1284" s="84" t="str">
        <f>IF($D1284="","",IF(ISNUMBER(MATCH($D1284,CMB_S,0)),1,IF(ISNUMBER(MATCH($D1284,CMB_G,0)),2,0)))</f>
        <v/>
      </c>
      <c r="Q1284" s="84">
        <f>IF(ISNUMBER($H1284),-$H1284,0)</f>
        <v>0</v>
      </c>
      <c r="R1284" s="84">
        <f>IF(ISNUMBER($I1284),ABS($I1284),0)</f>
        <v>0</v>
      </c>
      <c r="S1284" s="84">
        <f>IF(ISNUMBER($M1284),ABS($M1284),0)</f>
        <v>0</v>
      </c>
      <c r="T1284" s="85" t="n">
        <v>1276</v>
      </c>
    </row>
    <row r="1285">
      <c r="B1285" s="83" t="n"/>
      <c r="C1285" s="83" t="n"/>
      <c r="D1285" s="83" t="n"/>
      <c r="E1285" s="83" t="n"/>
      <c r="F1285" s="83" t="n"/>
      <c r="G1285" s="83" t="n"/>
      <c r="H1285" s="83" t="n"/>
      <c r="I1285" s="83" t="n"/>
      <c r="J1285" s="83" t="n"/>
      <c r="K1285" s="83" t="n"/>
      <c r="L1285" s="83" t="n"/>
      <c r="M1285" s="83" t="n"/>
      <c r="O1285" s="84" t="str">
        <f>IF($C1285="","",IFERROR(MATCH($B1285&amp;"|"&amp;$C1285,MUROS!$AX$11:$AX$70,0),0))</f>
        <v/>
      </c>
      <c r="P1285" s="84" t="str">
        <f>IF($D1285="","",IF(ISNUMBER(MATCH($D1285,CMB_S,0)),1,IF(ISNUMBER(MATCH($D1285,CMB_G,0)),2,0)))</f>
        <v/>
      </c>
      <c r="Q1285" s="84">
        <f>IF(ISNUMBER($H1285),-$H1285,0)</f>
        <v>0</v>
      </c>
      <c r="R1285" s="84">
        <f>IF(ISNUMBER($I1285),ABS($I1285),0)</f>
        <v>0</v>
      </c>
      <c r="S1285" s="84">
        <f>IF(ISNUMBER($M1285),ABS($M1285),0)</f>
        <v>0</v>
      </c>
      <c r="T1285" s="85" t="n">
        <v>1277</v>
      </c>
    </row>
    <row r="1286">
      <c r="B1286" s="83" t="n"/>
      <c r="C1286" s="83" t="n"/>
      <c r="D1286" s="83" t="n"/>
      <c r="E1286" s="83" t="n"/>
      <c r="F1286" s="83" t="n"/>
      <c r="G1286" s="83" t="n"/>
      <c r="H1286" s="83" t="n"/>
      <c r="I1286" s="83" t="n"/>
      <c r="J1286" s="83" t="n"/>
      <c r="K1286" s="83" t="n"/>
      <c r="L1286" s="83" t="n"/>
      <c r="M1286" s="83" t="n"/>
      <c r="O1286" s="84" t="str">
        <f>IF($C1286="","",IFERROR(MATCH($B1286&amp;"|"&amp;$C1286,MUROS!$AX$11:$AX$70,0),0))</f>
        <v/>
      </c>
      <c r="P1286" s="84" t="str">
        <f>IF($D1286="","",IF(ISNUMBER(MATCH($D1286,CMB_S,0)),1,IF(ISNUMBER(MATCH($D1286,CMB_G,0)),2,0)))</f>
        <v/>
      </c>
      <c r="Q1286" s="84">
        <f>IF(ISNUMBER($H1286),-$H1286,0)</f>
        <v>0</v>
      </c>
      <c r="R1286" s="84">
        <f>IF(ISNUMBER($I1286),ABS($I1286),0)</f>
        <v>0</v>
      </c>
      <c r="S1286" s="84">
        <f>IF(ISNUMBER($M1286),ABS($M1286),0)</f>
        <v>0</v>
      </c>
      <c r="T1286" s="85" t="n">
        <v>1278</v>
      </c>
    </row>
    <row r="1287">
      <c r="B1287" s="83" t="n"/>
      <c r="C1287" s="83" t="n"/>
      <c r="D1287" s="83" t="n"/>
      <c r="E1287" s="83" t="n"/>
      <c r="F1287" s="83" t="n"/>
      <c r="G1287" s="83" t="n"/>
      <c r="H1287" s="83" t="n"/>
      <c r="I1287" s="83" t="n"/>
      <c r="J1287" s="83" t="n"/>
      <c r="K1287" s="83" t="n"/>
      <c r="L1287" s="83" t="n"/>
      <c r="M1287" s="83" t="n"/>
      <c r="O1287" s="84" t="str">
        <f>IF($C1287="","",IFERROR(MATCH($B1287&amp;"|"&amp;$C1287,MUROS!$AX$11:$AX$70,0),0))</f>
        <v/>
      </c>
      <c r="P1287" s="84" t="str">
        <f>IF($D1287="","",IF(ISNUMBER(MATCH($D1287,CMB_S,0)),1,IF(ISNUMBER(MATCH($D1287,CMB_G,0)),2,0)))</f>
        <v/>
      </c>
      <c r="Q1287" s="84">
        <f>IF(ISNUMBER($H1287),-$H1287,0)</f>
        <v>0</v>
      </c>
      <c r="R1287" s="84">
        <f>IF(ISNUMBER($I1287),ABS($I1287),0)</f>
        <v>0</v>
      </c>
      <c r="S1287" s="84">
        <f>IF(ISNUMBER($M1287),ABS($M1287),0)</f>
        <v>0</v>
      </c>
      <c r="T1287" s="85" t="n">
        <v>1279</v>
      </c>
    </row>
    <row r="1288">
      <c r="B1288" s="83" t="n"/>
      <c r="C1288" s="83" t="n"/>
      <c r="D1288" s="83" t="n"/>
      <c r="E1288" s="83" t="n"/>
      <c r="F1288" s="83" t="n"/>
      <c r="G1288" s="83" t="n"/>
      <c r="H1288" s="83" t="n"/>
      <c r="I1288" s="83" t="n"/>
      <c r="J1288" s="83" t="n"/>
      <c r="K1288" s="83" t="n"/>
      <c r="L1288" s="83" t="n"/>
      <c r="M1288" s="83" t="n"/>
      <c r="O1288" s="84" t="str">
        <f>IF($C1288="","",IFERROR(MATCH($B1288&amp;"|"&amp;$C1288,MUROS!$AX$11:$AX$70,0),0))</f>
        <v/>
      </c>
      <c r="P1288" s="84" t="str">
        <f>IF($D1288="","",IF(ISNUMBER(MATCH($D1288,CMB_S,0)),1,IF(ISNUMBER(MATCH($D1288,CMB_G,0)),2,0)))</f>
        <v/>
      </c>
      <c r="Q1288" s="84">
        <f>IF(ISNUMBER($H1288),-$H1288,0)</f>
        <v>0</v>
      </c>
      <c r="R1288" s="84">
        <f>IF(ISNUMBER($I1288),ABS($I1288),0)</f>
        <v>0</v>
      </c>
      <c r="S1288" s="84">
        <f>IF(ISNUMBER($M1288),ABS($M1288),0)</f>
        <v>0</v>
      </c>
      <c r="T1288" s="85" t="n">
        <v>1280</v>
      </c>
    </row>
    <row r="1289">
      <c r="B1289" s="83" t="n"/>
      <c r="C1289" s="83" t="n"/>
      <c r="D1289" s="83" t="n"/>
      <c r="E1289" s="83" t="n"/>
      <c r="F1289" s="83" t="n"/>
      <c r="G1289" s="83" t="n"/>
      <c r="H1289" s="83" t="n"/>
      <c r="I1289" s="83" t="n"/>
      <c r="J1289" s="83" t="n"/>
      <c r="K1289" s="83" t="n"/>
      <c r="L1289" s="83" t="n"/>
      <c r="M1289" s="83" t="n"/>
      <c r="O1289" s="84" t="str">
        <f>IF($C1289="","",IFERROR(MATCH($B1289&amp;"|"&amp;$C1289,MUROS!$AX$11:$AX$70,0),0))</f>
        <v/>
      </c>
      <c r="P1289" s="84" t="str">
        <f>IF($D1289="","",IF(ISNUMBER(MATCH($D1289,CMB_S,0)),1,IF(ISNUMBER(MATCH($D1289,CMB_G,0)),2,0)))</f>
        <v/>
      </c>
      <c r="Q1289" s="84">
        <f>IF(ISNUMBER($H1289),-$H1289,0)</f>
        <v>0</v>
      </c>
      <c r="R1289" s="84">
        <f>IF(ISNUMBER($I1289),ABS($I1289),0)</f>
        <v>0</v>
      </c>
      <c r="S1289" s="84">
        <f>IF(ISNUMBER($M1289),ABS($M1289),0)</f>
        <v>0</v>
      </c>
      <c r="T1289" s="85" t="n">
        <v>1281</v>
      </c>
    </row>
    <row r="1290">
      <c r="B1290" s="83" t="n"/>
      <c r="C1290" s="83" t="n"/>
      <c r="D1290" s="83" t="n"/>
      <c r="E1290" s="83" t="n"/>
      <c r="F1290" s="83" t="n"/>
      <c r="G1290" s="83" t="n"/>
      <c r="H1290" s="83" t="n"/>
      <c r="I1290" s="83" t="n"/>
      <c r="J1290" s="83" t="n"/>
      <c r="K1290" s="83" t="n"/>
      <c r="L1290" s="83" t="n"/>
      <c r="M1290" s="83" t="n"/>
      <c r="O1290" s="84" t="str">
        <f>IF($C1290="","",IFERROR(MATCH($B1290&amp;"|"&amp;$C1290,MUROS!$AX$11:$AX$70,0),0))</f>
        <v/>
      </c>
      <c r="P1290" s="84" t="str">
        <f>IF($D1290="","",IF(ISNUMBER(MATCH($D1290,CMB_S,0)),1,IF(ISNUMBER(MATCH($D1290,CMB_G,0)),2,0)))</f>
        <v/>
      </c>
      <c r="Q1290" s="84">
        <f>IF(ISNUMBER($H1290),-$H1290,0)</f>
        <v>0</v>
      </c>
      <c r="R1290" s="84">
        <f>IF(ISNUMBER($I1290),ABS($I1290),0)</f>
        <v>0</v>
      </c>
      <c r="S1290" s="84">
        <f>IF(ISNUMBER($M1290),ABS($M1290),0)</f>
        <v>0</v>
      </c>
      <c r="T1290" s="85" t="n">
        <v>1282</v>
      </c>
    </row>
    <row r="1291">
      <c r="B1291" s="83" t="n"/>
      <c r="C1291" s="83" t="n"/>
      <c r="D1291" s="83" t="n"/>
      <c r="E1291" s="83" t="n"/>
      <c r="F1291" s="83" t="n"/>
      <c r="G1291" s="83" t="n"/>
      <c r="H1291" s="83" t="n"/>
      <c r="I1291" s="83" t="n"/>
      <c r="J1291" s="83" t="n"/>
      <c r="K1291" s="83" t="n"/>
      <c r="L1291" s="83" t="n"/>
      <c r="M1291" s="83" t="n"/>
      <c r="O1291" s="84" t="str">
        <f>IF($C1291="","",IFERROR(MATCH($B1291&amp;"|"&amp;$C1291,MUROS!$AX$11:$AX$70,0),0))</f>
        <v/>
      </c>
      <c r="P1291" s="84" t="str">
        <f>IF($D1291="","",IF(ISNUMBER(MATCH($D1291,CMB_S,0)),1,IF(ISNUMBER(MATCH($D1291,CMB_G,0)),2,0)))</f>
        <v/>
      </c>
      <c r="Q1291" s="84">
        <f>IF(ISNUMBER($H1291),-$H1291,0)</f>
        <v>0</v>
      </c>
      <c r="R1291" s="84">
        <f>IF(ISNUMBER($I1291),ABS($I1291),0)</f>
        <v>0</v>
      </c>
      <c r="S1291" s="84">
        <f>IF(ISNUMBER($M1291),ABS($M1291),0)</f>
        <v>0</v>
      </c>
      <c r="T1291" s="85" t="n">
        <v>1283</v>
      </c>
    </row>
    <row r="1292">
      <c r="B1292" s="83" t="n"/>
      <c r="C1292" s="83" t="n"/>
      <c r="D1292" s="83" t="n"/>
      <c r="E1292" s="83" t="n"/>
      <c r="F1292" s="83" t="n"/>
      <c r="G1292" s="83" t="n"/>
      <c r="H1292" s="83" t="n"/>
      <c r="I1292" s="83" t="n"/>
      <c r="J1292" s="83" t="n"/>
      <c r="K1292" s="83" t="n"/>
      <c r="L1292" s="83" t="n"/>
      <c r="M1292" s="83" t="n"/>
      <c r="O1292" s="84" t="str">
        <f>IF($C1292="","",IFERROR(MATCH($B1292&amp;"|"&amp;$C1292,MUROS!$AX$11:$AX$70,0),0))</f>
        <v/>
      </c>
      <c r="P1292" s="84" t="str">
        <f>IF($D1292="","",IF(ISNUMBER(MATCH($D1292,CMB_S,0)),1,IF(ISNUMBER(MATCH($D1292,CMB_G,0)),2,0)))</f>
        <v/>
      </c>
      <c r="Q1292" s="84">
        <f>IF(ISNUMBER($H1292),-$H1292,0)</f>
        <v>0</v>
      </c>
      <c r="R1292" s="84">
        <f>IF(ISNUMBER($I1292),ABS($I1292),0)</f>
        <v>0</v>
      </c>
      <c r="S1292" s="84">
        <f>IF(ISNUMBER($M1292),ABS($M1292),0)</f>
        <v>0</v>
      </c>
      <c r="T1292" s="85" t="n">
        <v>1284</v>
      </c>
    </row>
    <row r="1293">
      <c r="B1293" s="83" t="n"/>
      <c r="C1293" s="83" t="n"/>
      <c r="D1293" s="83" t="n"/>
      <c r="E1293" s="83" t="n"/>
      <c r="F1293" s="83" t="n"/>
      <c r="G1293" s="83" t="n"/>
      <c r="H1293" s="83" t="n"/>
      <c r="I1293" s="83" t="n"/>
      <c r="J1293" s="83" t="n"/>
      <c r="K1293" s="83" t="n"/>
      <c r="L1293" s="83" t="n"/>
      <c r="M1293" s="83" t="n"/>
      <c r="O1293" s="84" t="str">
        <f>IF($C1293="","",IFERROR(MATCH($B1293&amp;"|"&amp;$C1293,MUROS!$AX$11:$AX$70,0),0))</f>
        <v/>
      </c>
      <c r="P1293" s="84" t="str">
        <f>IF($D1293="","",IF(ISNUMBER(MATCH($D1293,CMB_S,0)),1,IF(ISNUMBER(MATCH($D1293,CMB_G,0)),2,0)))</f>
        <v/>
      </c>
      <c r="Q1293" s="84">
        <f>IF(ISNUMBER($H1293),-$H1293,0)</f>
        <v>0</v>
      </c>
      <c r="R1293" s="84">
        <f>IF(ISNUMBER($I1293),ABS($I1293),0)</f>
        <v>0</v>
      </c>
      <c r="S1293" s="84">
        <f>IF(ISNUMBER($M1293),ABS($M1293),0)</f>
        <v>0</v>
      </c>
      <c r="T1293" s="85" t="n">
        <v>1285</v>
      </c>
    </row>
    <row r="1294">
      <c r="B1294" s="83" t="n"/>
      <c r="C1294" s="83" t="n"/>
      <c r="D1294" s="83" t="n"/>
      <c r="E1294" s="83" t="n"/>
      <c r="F1294" s="83" t="n"/>
      <c r="G1294" s="83" t="n"/>
      <c r="H1294" s="83" t="n"/>
      <c r="I1294" s="83" t="n"/>
      <c r="J1294" s="83" t="n"/>
      <c r="K1294" s="83" t="n"/>
      <c r="L1294" s="83" t="n"/>
      <c r="M1294" s="83" t="n"/>
      <c r="O1294" s="84" t="str">
        <f>IF($C1294="","",IFERROR(MATCH($B1294&amp;"|"&amp;$C1294,MUROS!$AX$11:$AX$70,0),0))</f>
        <v/>
      </c>
      <c r="P1294" s="84" t="str">
        <f>IF($D1294="","",IF(ISNUMBER(MATCH($D1294,CMB_S,0)),1,IF(ISNUMBER(MATCH($D1294,CMB_G,0)),2,0)))</f>
        <v/>
      </c>
      <c r="Q1294" s="84">
        <f>IF(ISNUMBER($H1294),-$H1294,0)</f>
        <v>0</v>
      </c>
      <c r="R1294" s="84">
        <f>IF(ISNUMBER($I1294),ABS($I1294),0)</f>
        <v>0</v>
      </c>
      <c r="S1294" s="84">
        <f>IF(ISNUMBER($M1294),ABS($M1294),0)</f>
        <v>0</v>
      </c>
      <c r="T1294" s="85" t="n">
        <v>1286</v>
      </c>
    </row>
    <row r="1295">
      <c r="B1295" s="83" t="n"/>
      <c r="C1295" s="83" t="n"/>
      <c r="D1295" s="83" t="n"/>
      <c r="E1295" s="83" t="n"/>
      <c r="F1295" s="83" t="n"/>
      <c r="G1295" s="83" t="n"/>
      <c r="H1295" s="83" t="n"/>
      <c r="I1295" s="83" t="n"/>
      <c r="J1295" s="83" t="n"/>
      <c r="K1295" s="83" t="n"/>
      <c r="L1295" s="83" t="n"/>
      <c r="M1295" s="83" t="n"/>
      <c r="O1295" s="84" t="str">
        <f>IF($C1295="","",IFERROR(MATCH($B1295&amp;"|"&amp;$C1295,MUROS!$AX$11:$AX$70,0),0))</f>
        <v/>
      </c>
      <c r="P1295" s="84" t="str">
        <f>IF($D1295="","",IF(ISNUMBER(MATCH($D1295,CMB_S,0)),1,IF(ISNUMBER(MATCH($D1295,CMB_G,0)),2,0)))</f>
        <v/>
      </c>
      <c r="Q1295" s="84">
        <f>IF(ISNUMBER($H1295),-$H1295,0)</f>
        <v>0</v>
      </c>
      <c r="R1295" s="84">
        <f>IF(ISNUMBER($I1295),ABS($I1295),0)</f>
        <v>0</v>
      </c>
      <c r="S1295" s="84">
        <f>IF(ISNUMBER($M1295),ABS($M1295),0)</f>
        <v>0</v>
      </c>
      <c r="T1295" s="85" t="n">
        <v>1287</v>
      </c>
    </row>
    <row r="1296">
      <c r="B1296" s="83" t="n"/>
      <c r="C1296" s="83" t="n"/>
      <c r="D1296" s="83" t="n"/>
      <c r="E1296" s="83" t="n"/>
      <c r="F1296" s="83" t="n"/>
      <c r="G1296" s="83" t="n"/>
      <c r="H1296" s="83" t="n"/>
      <c r="I1296" s="83" t="n"/>
      <c r="J1296" s="83" t="n"/>
      <c r="K1296" s="83" t="n"/>
      <c r="L1296" s="83" t="n"/>
      <c r="M1296" s="83" t="n"/>
      <c r="O1296" s="84" t="str">
        <f>IF($C1296="","",IFERROR(MATCH($B1296&amp;"|"&amp;$C1296,MUROS!$AX$11:$AX$70,0),0))</f>
        <v/>
      </c>
      <c r="P1296" s="84" t="str">
        <f>IF($D1296="","",IF(ISNUMBER(MATCH($D1296,CMB_S,0)),1,IF(ISNUMBER(MATCH($D1296,CMB_G,0)),2,0)))</f>
        <v/>
      </c>
      <c r="Q1296" s="84">
        <f>IF(ISNUMBER($H1296),-$H1296,0)</f>
        <v>0</v>
      </c>
      <c r="R1296" s="84">
        <f>IF(ISNUMBER($I1296),ABS($I1296),0)</f>
        <v>0</v>
      </c>
      <c r="S1296" s="84">
        <f>IF(ISNUMBER($M1296),ABS($M1296),0)</f>
        <v>0</v>
      </c>
      <c r="T1296" s="85" t="n">
        <v>1288</v>
      </c>
    </row>
    <row r="1297">
      <c r="B1297" s="83" t="n"/>
      <c r="C1297" s="83" t="n"/>
      <c r="D1297" s="83" t="n"/>
      <c r="E1297" s="83" t="n"/>
      <c r="F1297" s="83" t="n"/>
      <c r="G1297" s="83" t="n"/>
      <c r="H1297" s="83" t="n"/>
      <c r="I1297" s="83" t="n"/>
      <c r="J1297" s="83" t="n"/>
      <c r="K1297" s="83" t="n"/>
      <c r="L1297" s="83" t="n"/>
      <c r="M1297" s="83" t="n"/>
      <c r="O1297" s="84" t="str">
        <f>IF($C1297="","",IFERROR(MATCH($B1297&amp;"|"&amp;$C1297,MUROS!$AX$11:$AX$70,0),0))</f>
        <v/>
      </c>
      <c r="P1297" s="84" t="str">
        <f>IF($D1297="","",IF(ISNUMBER(MATCH($D1297,CMB_S,0)),1,IF(ISNUMBER(MATCH($D1297,CMB_G,0)),2,0)))</f>
        <v/>
      </c>
      <c r="Q1297" s="84">
        <f>IF(ISNUMBER($H1297),-$H1297,0)</f>
        <v>0</v>
      </c>
      <c r="R1297" s="84">
        <f>IF(ISNUMBER($I1297),ABS($I1297),0)</f>
        <v>0</v>
      </c>
      <c r="S1297" s="84">
        <f>IF(ISNUMBER($M1297),ABS($M1297),0)</f>
        <v>0</v>
      </c>
      <c r="T1297" s="85" t="n">
        <v>1289</v>
      </c>
    </row>
    <row r="1298">
      <c r="B1298" s="83" t="n"/>
      <c r="C1298" s="83" t="n"/>
      <c r="D1298" s="83" t="n"/>
      <c r="E1298" s="83" t="n"/>
      <c r="F1298" s="83" t="n"/>
      <c r="G1298" s="83" t="n"/>
      <c r="H1298" s="83" t="n"/>
      <c r="I1298" s="83" t="n"/>
      <c r="J1298" s="83" t="n"/>
      <c r="K1298" s="83" t="n"/>
      <c r="L1298" s="83" t="n"/>
      <c r="M1298" s="83" t="n"/>
      <c r="O1298" s="84" t="str">
        <f>IF($C1298="","",IFERROR(MATCH($B1298&amp;"|"&amp;$C1298,MUROS!$AX$11:$AX$70,0),0))</f>
        <v/>
      </c>
      <c r="P1298" s="84" t="str">
        <f>IF($D1298="","",IF(ISNUMBER(MATCH($D1298,CMB_S,0)),1,IF(ISNUMBER(MATCH($D1298,CMB_G,0)),2,0)))</f>
        <v/>
      </c>
      <c r="Q1298" s="84">
        <f>IF(ISNUMBER($H1298),-$H1298,0)</f>
        <v>0</v>
      </c>
      <c r="R1298" s="84">
        <f>IF(ISNUMBER($I1298),ABS($I1298),0)</f>
        <v>0</v>
      </c>
      <c r="S1298" s="84">
        <f>IF(ISNUMBER($M1298),ABS($M1298),0)</f>
        <v>0</v>
      </c>
      <c r="T1298" s="85" t="n">
        <v>1290</v>
      </c>
    </row>
    <row r="1299">
      <c r="B1299" s="83" t="n"/>
      <c r="C1299" s="83" t="n"/>
      <c r="D1299" s="83" t="n"/>
      <c r="E1299" s="83" t="n"/>
      <c r="F1299" s="83" t="n"/>
      <c r="G1299" s="83" t="n"/>
      <c r="H1299" s="83" t="n"/>
      <c r="I1299" s="83" t="n"/>
      <c r="J1299" s="83" t="n"/>
      <c r="K1299" s="83" t="n"/>
      <c r="L1299" s="83" t="n"/>
      <c r="M1299" s="83" t="n"/>
      <c r="O1299" s="84" t="str">
        <f>IF($C1299="","",IFERROR(MATCH($B1299&amp;"|"&amp;$C1299,MUROS!$AX$11:$AX$70,0),0))</f>
        <v/>
      </c>
      <c r="P1299" s="84" t="str">
        <f>IF($D1299="","",IF(ISNUMBER(MATCH($D1299,CMB_S,0)),1,IF(ISNUMBER(MATCH($D1299,CMB_G,0)),2,0)))</f>
        <v/>
      </c>
      <c r="Q1299" s="84">
        <f>IF(ISNUMBER($H1299),-$H1299,0)</f>
        <v>0</v>
      </c>
      <c r="R1299" s="84">
        <f>IF(ISNUMBER($I1299),ABS($I1299),0)</f>
        <v>0</v>
      </c>
      <c r="S1299" s="84">
        <f>IF(ISNUMBER($M1299),ABS($M1299),0)</f>
        <v>0</v>
      </c>
      <c r="T1299" s="85" t="n">
        <v>1291</v>
      </c>
    </row>
    <row r="1300">
      <c r="B1300" s="83" t="n"/>
      <c r="C1300" s="83" t="n"/>
      <c r="D1300" s="83" t="n"/>
      <c r="E1300" s="83" t="n"/>
      <c r="F1300" s="83" t="n"/>
      <c r="G1300" s="83" t="n"/>
      <c r="H1300" s="83" t="n"/>
      <c r="I1300" s="83" t="n"/>
      <c r="J1300" s="83" t="n"/>
      <c r="K1300" s="83" t="n"/>
      <c r="L1300" s="83" t="n"/>
      <c r="M1300" s="83" t="n"/>
      <c r="O1300" s="84" t="str">
        <f>IF($C1300="","",IFERROR(MATCH($B1300&amp;"|"&amp;$C1300,MUROS!$AX$11:$AX$70,0),0))</f>
        <v/>
      </c>
      <c r="P1300" s="84" t="str">
        <f>IF($D1300="","",IF(ISNUMBER(MATCH($D1300,CMB_S,0)),1,IF(ISNUMBER(MATCH($D1300,CMB_G,0)),2,0)))</f>
        <v/>
      </c>
      <c r="Q1300" s="84">
        <f>IF(ISNUMBER($H1300),-$H1300,0)</f>
        <v>0</v>
      </c>
      <c r="R1300" s="84">
        <f>IF(ISNUMBER($I1300),ABS($I1300),0)</f>
        <v>0</v>
      </c>
      <c r="S1300" s="84">
        <f>IF(ISNUMBER($M1300),ABS($M1300),0)</f>
        <v>0</v>
      </c>
      <c r="T1300" s="85" t="n">
        <v>1292</v>
      </c>
    </row>
    <row r="1301">
      <c r="B1301" s="83" t="n"/>
      <c r="C1301" s="83" t="n"/>
      <c r="D1301" s="83" t="n"/>
      <c r="E1301" s="83" t="n"/>
      <c r="F1301" s="83" t="n"/>
      <c r="G1301" s="83" t="n"/>
      <c r="H1301" s="83" t="n"/>
      <c r="I1301" s="83" t="n"/>
      <c r="J1301" s="83" t="n"/>
      <c r="K1301" s="83" t="n"/>
      <c r="L1301" s="83" t="n"/>
      <c r="M1301" s="83" t="n"/>
      <c r="O1301" s="84" t="str">
        <f>IF($C1301="","",IFERROR(MATCH($B1301&amp;"|"&amp;$C1301,MUROS!$AX$11:$AX$70,0),0))</f>
        <v/>
      </c>
      <c r="P1301" s="84" t="str">
        <f>IF($D1301="","",IF(ISNUMBER(MATCH($D1301,CMB_S,0)),1,IF(ISNUMBER(MATCH($D1301,CMB_G,0)),2,0)))</f>
        <v/>
      </c>
      <c r="Q1301" s="84">
        <f>IF(ISNUMBER($H1301),-$H1301,0)</f>
        <v>0</v>
      </c>
      <c r="R1301" s="84">
        <f>IF(ISNUMBER($I1301),ABS($I1301),0)</f>
        <v>0</v>
      </c>
      <c r="S1301" s="84">
        <f>IF(ISNUMBER($M1301),ABS($M1301),0)</f>
        <v>0</v>
      </c>
      <c r="T1301" s="85" t="n">
        <v>1293</v>
      </c>
    </row>
    <row r="1302">
      <c r="B1302" s="83" t="n"/>
      <c r="C1302" s="83" t="n"/>
      <c r="D1302" s="83" t="n"/>
      <c r="E1302" s="83" t="n"/>
      <c r="F1302" s="83" t="n"/>
      <c r="G1302" s="83" t="n"/>
      <c r="H1302" s="83" t="n"/>
      <c r="I1302" s="83" t="n"/>
      <c r="J1302" s="83" t="n"/>
      <c r="K1302" s="83" t="n"/>
      <c r="L1302" s="83" t="n"/>
      <c r="M1302" s="83" t="n"/>
      <c r="O1302" s="84" t="str">
        <f>IF($C1302="","",IFERROR(MATCH($B1302&amp;"|"&amp;$C1302,MUROS!$AX$11:$AX$70,0),0))</f>
        <v/>
      </c>
      <c r="P1302" s="84" t="str">
        <f>IF($D1302="","",IF(ISNUMBER(MATCH($D1302,CMB_S,0)),1,IF(ISNUMBER(MATCH($D1302,CMB_G,0)),2,0)))</f>
        <v/>
      </c>
      <c r="Q1302" s="84">
        <f>IF(ISNUMBER($H1302),-$H1302,0)</f>
        <v>0</v>
      </c>
      <c r="R1302" s="84">
        <f>IF(ISNUMBER($I1302),ABS($I1302),0)</f>
        <v>0</v>
      </c>
      <c r="S1302" s="84">
        <f>IF(ISNUMBER($M1302),ABS($M1302),0)</f>
        <v>0</v>
      </c>
      <c r="T1302" s="85" t="n">
        <v>1294</v>
      </c>
    </row>
    <row r="1303">
      <c r="B1303" s="83" t="n"/>
      <c r="C1303" s="83" t="n"/>
      <c r="D1303" s="83" t="n"/>
      <c r="E1303" s="83" t="n"/>
      <c r="F1303" s="83" t="n"/>
      <c r="G1303" s="83" t="n"/>
      <c r="H1303" s="83" t="n"/>
      <c r="I1303" s="83" t="n"/>
      <c r="J1303" s="83" t="n"/>
      <c r="K1303" s="83" t="n"/>
      <c r="L1303" s="83" t="n"/>
      <c r="M1303" s="83" t="n"/>
      <c r="O1303" s="84" t="str">
        <f>IF($C1303="","",IFERROR(MATCH($B1303&amp;"|"&amp;$C1303,MUROS!$AX$11:$AX$70,0),0))</f>
        <v/>
      </c>
      <c r="P1303" s="84" t="str">
        <f>IF($D1303="","",IF(ISNUMBER(MATCH($D1303,CMB_S,0)),1,IF(ISNUMBER(MATCH($D1303,CMB_G,0)),2,0)))</f>
        <v/>
      </c>
      <c r="Q1303" s="84">
        <f>IF(ISNUMBER($H1303),-$H1303,0)</f>
        <v>0</v>
      </c>
      <c r="R1303" s="84">
        <f>IF(ISNUMBER($I1303),ABS($I1303),0)</f>
        <v>0</v>
      </c>
      <c r="S1303" s="84">
        <f>IF(ISNUMBER($M1303),ABS($M1303),0)</f>
        <v>0</v>
      </c>
      <c r="T1303" s="85" t="n">
        <v>1295</v>
      </c>
    </row>
    <row r="1304">
      <c r="B1304" s="83" t="n"/>
      <c r="C1304" s="83" t="n"/>
      <c r="D1304" s="83" t="n"/>
      <c r="E1304" s="83" t="n"/>
      <c r="F1304" s="83" t="n"/>
      <c r="G1304" s="83" t="n"/>
      <c r="H1304" s="83" t="n"/>
      <c r="I1304" s="83" t="n"/>
      <c r="J1304" s="83" t="n"/>
      <c r="K1304" s="83" t="n"/>
      <c r="L1304" s="83" t="n"/>
      <c r="M1304" s="83" t="n"/>
      <c r="O1304" s="84" t="str">
        <f>IF($C1304="","",IFERROR(MATCH($B1304&amp;"|"&amp;$C1304,MUROS!$AX$11:$AX$70,0),0))</f>
        <v/>
      </c>
      <c r="P1304" s="84" t="str">
        <f>IF($D1304="","",IF(ISNUMBER(MATCH($D1304,CMB_S,0)),1,IF(ISNUMBER(MATCH($D1304,CMB_G,0)),2,0)))</f>
        <v/>
      </c>
      <c r="Q1304" s="84">
        <f>IF(ISNUMBER($H1304),-$H1304,0)</f>
        <v>0</v>
      </c>
      <c r="R1304" s="84">
        <f>IF(ISNUMBER($I1304),ABS($I1304),0)</f>
        <v>0</v>
      </c>
      <c r="S1304" s="84">
        <f>IF(ISNUMBER($M1304),ABS($M1304),0)</f>
        <v>0</v>
      </c>
      <c r="T1304" s="85" t="n">
        <v>1296</v>
      </c>
    </row>
    <row r="1305">
      <c r="B1305" s="83" t="n"/>
      <c r="C1305" s="83" t="n"/>
      <c r="D1305" s="83" t="n"/>
      <c r="E1305" s="83" t="n"/>
      <c r="F1305" s="83" t="n"/>
      <c r="G1305" s="83" t="n"/>
      <c r="H1305" s="83" t="n"/>
      <c r="I1305" s="83" t="n"/>
      <c r="J1305" s="83" t="n"/>
      <c r="K1305" s="83" t="n"/>
      <c r="L1305" s="83" t="n"/>
      <c r="M1305" s="83" t="n"/>
      <c r="O1305" s="84" t="str">
        <f>IF($C1305="","",IFERROR(MATCH($B1305&amp;"|"&amp;$C1305,MUROS!$AX$11:$AX$70,0),0))</f>
        <v/>
      </c>
      <c r="P1305" s="84" t="str">
        <f>IF($D1305="","",IF(ISNUMBER(MATCH($D1305,CMB_S,0)),1,IF(ISNUMBER(MATCH($D1305,CMB_G,0)),2,0)))</f>
        <v/>
      </c>
      <c r="Q1305" s="84">
        <f>IF(ISNUMBER($H1305),-$H1305,0)</f>
        <v>0</v>
      </c>
      <c r="R1305" s="84">
        <f>IF(ISNUMBER($I1305),ABS($I1305),0)</f>
        <v>0</v>
      </c>
      <c r="S1305" s="84">
        <f>IF(ISNUMBER($M1305),ABS($M1305),0)</f>
        <v>0</v>
      </c>
      <c r="T1305" s="85" t="n">
        <v>1297</v>
      </c>
    </row>
    <row r="1306">
      <c r="B1306" s="83" t="n"/>
      <c r="C1306" s="83" t="n"/>
      <c r="D1306" s="83" t="n"/>
      <c r="E1306" s="83" t="n"/>
      <c r="F1306" s="83" t="n"/>
      <c r="G1306" s="83" t="n"/>
      <c r="H1306" s="83" t="n"/>
      <c r="I1306" s="83" t="n"/>
      <c r="J1306" s="83" t="n"/>
      <c r="K1306" s="83" t="n"/>
      <c r="L1306" s="83" t="n"/>
      <c r="M1306" s="83" t="n"/>
      <c r="O1306" s="84" t="str">
        <f>IF($C1306="","",IFERROR(MATCH($B1306&amp;"|"&amp;$C1306,MUROS!$AX$11:$AX$70,0),0))</f>
        <v/>
      </c>
      <c r="P1306" s="84" t="str">
        <f>IF($D1306="","",IF(ISNUMBER(MATCH($D1306,CMB_S,0)),1,IF(ISNUMBER(MATCH($D1306,CMB_G,0)),2,0)))</f>
        <v/>
      </c>
      <c r="Q1306" s="84">
        <f>IF(ISNUMBER($H1306),-$H1306,0)</f>
        <v>0</v>
      </c>
      <c r="R1306" s="84">
        <f>IF(ISNUMBER($I1306),ABS($I1306),0)</f>
        <v>0</v>
      </c>
      <c r="S1306" s="84">
        <f>IF(ISNUMBER($M1306),ABS($M1306),0)</f>
        <v>0</v>
      </c>
      <c r="T1306" s="85" t="n">
        <v>1298</v>
      </c>
    </row>
    <row r="1307">
      <c r="B1307" s="83" t="n"/>
      <c r="C1307" s="83" t="n"/>
      <c r="D1307" s="83" t="n"/>
      <c r="E1307" s="83" t="n"/>
      <c r="F1307" s="83" t="n"/>
      <c r="G1307" s="83" t="n"/>
      <c r="H1307" s="83" t="n"/>
      <c r="I1307" s="83" t="n"/>
      <c r="J1307" s="83" t="n"/>
      <c r="K1307" s="83" t="n"/>
      <c r="L1307" s="83" t="n"/>
      <c r="M1307" s="83" t="n"/>
      <c r="O1307" s="84" t="str">
        <f>IF($C1307="","",IFERROR(MATCH($B1307&amp;"|"&amp;$C1307,MUROS!$AX$11:$AX$70,0),0))</f>
        <v/>
      </c>
      <c r="P1307" s="84" t="str">
        <f>IF($D1307="","",IF(ISNUMBER(MATCH($D1307,CMB_S,0)),1,IF(ISNUMBER(MATCH($D1307,CMB_G,0)),2,0)))</f>
        <v/>
      </c>
      <c r="Q1307" s="84">
        <f>IF(ISNUMBER($H1307),-$H1307,0)</f>
        <v>0</v>
      </c>
      <c r="R1307" s="84">
        <f>IF(ISNUMBER($I1307),ABS($I1307),0)</f>
        <v>0</v>
      </c>
      <c r="S1307" s="84">
        <f>IF(ISNUMBER($M1307),ABS($M1307),0)</f>
        <v>0</v>
      </c>
      <c r="T1307" s="85" t="n">
        <v>1299</v>
      </c>
    </row>
    <row r="1308">
      <c r="B1308" s="83" t="n"/>
      <c r="C1308" s="83" t="n"/>
      <c r="D1308" s="83" t="n"/>
      <c r="E1308" s="83" t="n"/>
      <c r="F1308" s="83" t="n"/>
      <c r="G1308" s="83" t="n"/>
      <c r="H1308" s="83" t="n"/>
      <c r="I1308" s="83" t="n"/>
      <c r="J1308" s="83" t="n"/>
      <c r="K1308" s="83" t="n"/>
      <c r="L1308" s="83" t="n"/>
      <c r="M1308" s="83" t="n"/>
      <c r="O1308" s="84" t="str">
        <f>IF($C1308="","",IFERROR(MATCH($B1308&amp;"|"&amp;$C1308,MUROS!$AX$11:$AX$70,0),0))</f>
        <v/>
      </c>
      <c r="P1308" s="84" t="str">
        <f>IF($D1308="","",IF(ISNUMBER(MATCH($D1308,CMB_S,0)),1,IF(ISNUMBER(MATCH($D1308,CMB_G,0)),2,0)))</f>
        <v/>
      </c>
      <c r="Q1308" s="84">
        <f>IF(ISNUMBER($H1308),-$H1308,0)</f>
        <v>0</v>
      </c>
      <c r="R1308" s="84">
        <f>IF(ISNUMBER($I1308),ABS($I1308),0)</f>
        <v>0</v>
      </c>
      <c r="S1308" s="84">
        <f>IF(ISNUMBER($M1308),ABS($M1308),0)</f>
        <v>0</v>
      </c>
      <c r="T1308" s="85" t="n">
        <v>1300</v>
      </c>
    </row>
    <row r="1309">
      <c r="B1309" s="83" t="n"/>
      <c r="C1309" s="83" t="n"/>
      <c r="D1309" s="83" t="n"/>
      <c r="E1309" s="83" t="n"/>
      <c r="F1309" s="83" t="n"/>
      <c r="G1309" s="83" t="n"/>
      <c r="H1309" s="83" t="n"/>
      <c r="I1309" s="83" t="n"/>
      <c r="J1309" s="83" t="n"/>
      <c r="K1309" s="83" t="n"/>
      <c r="L1309" s="83" t="n"/>
      <c r="M1309" s="83" t="n"/>
      <c r="O1309" s="84" t="str">
        <f>IF($C1309="","",IFERROR(MATCH($B1309&amp;"|"&amp;$C1309,MUROS!$AX$11:$AX$70,0),0))</f>
        <v/>
      </c>
      <c r="P1309" s="84" t="str">
        <f>IF($D1309="","",IF(ISNUMBER(MATCH($D1309,CMB_S,0)),1,IF(ISNUMBER(MATCH($D1309,CMB_G,0)),2,0)))</f>
        <v/>
      </c>
      <c r="Q1309" s="84">
        <f>IF(ISNUMBER($H1309),-$H1309,0)</f>
        <v>0</v>
      </c>
      <c r="R1309" s="84">
        <f>IF(ISNUMBER($I1309),ABS($I1309),0)</f>
        <v>0</v>
      </c>
      <c r="S1309" s="84">
        <f>IF(ISNUMBER($M1309),ABS($M1309),0)</f>
        <v>0</v>
      </c>
      <c r="T1309" s="85" t="n">
        <v>1301</v>
      </c>
    </row>
    <row r="1310">
      <c r="B1310" s="83" t="n"/>
      <c r="C1310" s="83" t="n"/>
      <c r="D1310" s="83" t="n"/>
      <c r="E1310" s="83" t="n"/>
      <c r="F1310" s="83" t="n"/>
      <c r="G1310" s="83" t="n"/>
      <c r="H1310" s="83" t="n"/>
      <c r="I1310" s="83" t="n"/>
      <c r="J1310" s="83" t="n"/>
      <c r="K1310" s="83" t="n"/>
      <c r="L1310" s="83" t="n"/>
      <c r="M1310" s="83" t="n"/>
      <c r="O1310" s="84" t="str">
        <f>IF($C1310="","",IFERROR(MATCH($B1310&amp;"|"&amp;$C1310,MUROS!$AX$11:$AX$70,0),0))</f>
        <v/>
      </c>
      <c r="P1310" s="84" t="str">
        <f>IF($D1310="","",IF(ISNUMBER(MATCH($D1310,CMB_S,0)),1,IF(ISNUMBER(MATCH($D1310,CMB_G,0)),2,0)))</f>
        <v/>
      </c>
      <c r="Q1310" s="84">
        <f>IF(ISNUMBER($H1310),-$H1310,0)</f>
        <v>0</v>
      </c>
      <c r="R1310" s="84">
        <f>IF(ISNUMBER($I1310),ABS($I1310),0)</f>
        <v>0</v>
      </c>
      <c r="S1310" s="84">
        <f>IF(ISNUMBER($M1310),ABS($M1310),0)</f>
        <v>0</v>
      </c>
      <c r="T1310" s="85" t="n">
        <v>1302</v>
      </c>
    </row>
    <row r="1311">
      <c r="B1311" s="83" t="n"/>
      <c r="C1311" s="83" t="n"/>
      <c r="D1311" s="83" t="n"/>
      <c r="E1311" s="83" t="n"/>
      <c r="F1311" s="83" t="n"/>
      <c r="G1311" s="83" t="n"/>
      <c r="H1311" s="83" t="n"/>
      <c r="I1311" s="83" t="n"/>
      <c r="J1311" s="83" t="n"/>
      <c r="K1311" s="83" t="n"/>
      <c r="L1311" s="83" t="n"/>
      <c r="M1311" s="83" t="n"/>
      <c r="O1311" s="84" t="str">
        <f>IF($C1311="","",IFERROR(MATCH($B1311&amp;"|"&amp;$C1311,MUROS!$AX$11:$AX$70,0),0))</f>
        <v/>
      </c>
      <c r="P1311" s="84" t="str">
        <f>IF($D1311="","",IF(ISNUMBER(MATCH($D1311,CMB_S,0)),1,IF(ISNUMBER(MATCH($D1311,CMB_G,0)),2,0)))</f>
        <v/>
      </c>
      <c r="Q1311" s="84">
        <f>IF(ISNUMBER($H1311),-$H1311,0)</f>
        <v>0</v>
      </c>
      <c r="R1311" s="84">
        <f>IF(ISNUMBER($I1311),ABS($I1311),0)</f>
        <v>0</v>
      </c>
      <c r="S1311" s="84">
        <f>IF(ISNUMBER($M1311),ABS($M1311),0)</f>
        <v>0</v>
      </c>
      <c r="T1311" s="85" t="n">
        <v>1303</v>
      </c>
    </row>
    <row r="1312">
      <c r="B1312" s="83" t="n"/>
      <c r="C1312" s="83" t="n"/>
      <c r="D1312" s="83" t="n"/>
      <c r="E1312" s="83" t="n"/>
      <c r="F1312" s="83" t="n"/>
      <c r="G1312" s="83" t="n"/>
      <c r="H1312" s="83" t="n"/>
      <c r="I1312" s="83" t="n"/>
      <c r="J1312" s="83" t="n"/>
      <c r="K1312" s="83" t="n"/>
      <c r="L1312" s="83" t="n"/>
      <c r="M1312" s="83" t="n"/>
      <c r="O1312" s="84" t="str">
        <f>IF($C1312="","",IFERROR(MATCH($B1312&amp;"|"&amp;$C1312,MUROS!$AX$11:$AX$70,0),0))</f>
        <v/>
      </c>
      <c r="P1312" s="84" t="str">
        <f>IF($D1312="","",IF(ISNUMBER(MATCH($D1312,CMB_S,0)),1,IF(ISNUMBER(MATCH($D1312,CMB_G,0)),2,0)))</f>
        <v/>
      </c>
      <c r="Q1312" s="84">
        <f>IF(ISNUMBER($H1312),-$H1312,0)</f>
        <v>0</v>
      </c>
      <c r="R1312" s="84">
        <f>IF(ISNUMBER($I1312),ABS($I1312),0)</f>
        <v>0</v>
      </c>
      <c r="S1312" s="84">
        <f>IF(ISNUMBER($M1312),ABS($M1312),0)</f>
        <v>0</v>
      </c>
      <c r="T1312" s="85" t="n">
        <v>1304</v>
      </c>
    </row>
    <row r="1313">
      <c r="B1313" s="83" t="n"/>
      <c r="C1313" s="83" t="n"/>
      <c r="D1313" s="83" t="n"/>
      <c r="E1313" s="83" t="n"/>
      <c r="F1313" s="83" t="n"/>
      <c r="G1313" s="83" t="n"/>
      <c r="H1313" s="83" t="n"/>
      <c r="I1313" s="83" t="n"/>
      <c r="J1313" s="83" t="n"/>
      <c r="K1313" s="83" t="n"/>
      <c r="L1313" s="83" t="n"/>
      <c r="M1313" s="83" t="n"/>
      <c r="O1313" s="84" t="str">
        <f>IF($C1313="","",IFERROR(MATCH($B1313&amp;"|"&amp;$C1313,MUROS!$AX$11:$AX$70,0),0))</f>
        <v/>
      </c>
      <c r="P1313" s="84" t="str">
        <f>IF($D1313="","",IF(ISNUMBER(MATCH($D1313,CMB_S,0)),1,IF(ISNUMBER(MATCH($D1313,CMB_G,0)),2,0)))</f>
        <v/>
      </c>
      <c r="Q1313" s="84">
        <f>IF(ISNUMBER($H1313),-$H1313,0)</f>
        <v>0</v>
      </c>
      <c r="R1313" s="84">
        <f>IF(ISNUMBER($I1313),ABS($I1313),0)</f>
        <v>0</v>
      </c>
      <c r="S1313" s="84">
        <f>IF(ISNUMBER($M1313),ABS($M1313),0)</f>
        <v>0</v>
      </c>
      <c r="T1313" s="85" t="n">
        <v>1305</v>
      </c>
    </row>
    <row r="1314">
      <c r="B1314" s="83" t="n"/>
      <c r="C1314" s="83" t="n"/>
      <c r="D1314" s="83" t="n"/>
      <c r="E1314" s="83" t="n"/>
      <c r="F1314" s="83" t="n"/>
      <c r="G1314" s="83" t="n"/>
      <c r="H1314" s="83" t="n"/>
      <c r="I1314" s="83" t="n"/>
      <c r="J1314" s="83" t="n"/>
      <c r="K1314" s="83" t="n"/>
      <c r="L1314" s="83" t="n"/>
      <c r="M1314" s="83" t="n"/>
      <c r="O1314" s="84" t="str">
        <f>IF($C1314="","",IFERROR(MATCH($B1314&amp;"|"&amp;$C1314,MUROS!$AX$11:$AX$70,0),0))</f>
        <v/>
      </c>
      <c r="P1314" s="84" t="str">
        <f>IF($D1314="","",IF(ISNUMBER(MATCH($D1314,CMB_S,0)),1,IF(ISNUMBER(MATCH($D1314,CMB_G,0)),2,0)))</f>
        <v/>
      </c>
      <c r="Q1314" s="84">
        <f>IF(ISNUMBER($H1314),-$H1314,0)</f>
        <v>0</v>
      </c>
      <c r="R1314" s="84">
        <f>IF(ISNUMBER($I1314),ABS($I1314),0)</f>
        <v>0</v>
      </c>
      <c r="S1314" s="84">
        <f>IF(ISNUMBER($M1314),ABS($M1314),0)</f>
        <v>0</v>
      </c>
      <c r="T1314" s="85" t="n">
        <v>1306</v>
      </c>
    </row>
    <row r="1315">
      <c r="B1315" s="83" t="n"/>
      <c r="C1315" s="83" t="n"/>
      <c r="D1315" s="83" t="n"/>
      <c r="E1315" s="83" t="n"/>
      <c r="F1315" s="83" t="n"/>
      <c r="G1315" s="83" t="n"/>
      <c r="H1315" s="83" t="n"/>
      <c r="I1315" s="83" t="n"/>
      <c r="J1315" s="83" t="n"/>
      <c r="K1315" s="83" t="n"/>
      <c r="L1315" s="83" t="n"/>
      <c r="M1315" s="83" t="n"/>
      <c r="O1315" s="84" t="str">
        <f>IF($C1315="","",IFERROR(MATCH($B1315&amp;"|"&amp;$C1315,MUROS!$AX$11:$AX$70,0),0))</f>
        <v/>
      </c>
      <c r="P1315" s="84" t="str">
        <f>IF($D1315="","",IF(ISNUMBER(MATCH($D1315,CMB_S,0)),1,IF(ISNUMBER(MATCH($D1315,CMB_G,0)),2,0)))</f>
        <v/>
      </c>
      <c r="Q1315" s="84">
        <f>IF(ISNUMBER($H1315),-$H1315,0)</f>
        <v>0</v>
      </c>
      <c r="R1315" s="84">
        <f>IF(ISNUMBER($I1315),ABS($I1315),0)</f>
        <v>0</v>
      </c>
      <c r="S1315" s="84">
        <f>IF(ISNUMBER($M1315),ABS($M1315),0)</f>
        <v>0</v>
      </c>
      <c r="T1315" s="85" t="n">
        <v>1307</v>
      </c>
    </row>
    <row r="1316">
      <c r="B1316" s="83" t="n"/>
      <c r="C1316" s="83" t="n"/>
      <c r="D1316" s="83" t="n"/>
      <c r="E1316" s="83" t="n"/>
      <c r="F1316" s="83" t="n"/>
      <c r="G1316" s="83" t="n"/>
      <c r="H1316" s="83" t="n"/>
      <c r="I1316" s="83" t="n"/>
      <c r="J1316" s="83" t="n"/>
      <c r="K1316" s="83" t="n"/>
      <c r="L1316" s="83" t="n"/>
      <c r="M1316" s="83" t="n"/>
      <c r="O1316" s="84" t="str">
        <f>IF($C1316="","",IFERROR(MATCH($B1316&amp;"|"&amp;$C1316,MUROS!$AX$11:$AX$70,0),0))</f>
        <v/>
      </c>
      <c r="P1316" s="84" t="str">
        <f>IF($D1316="","",IF(ISNUMBER(MATCH($D1316,CMB_S,0)),1,IF(ISNUMBER(MATCH($D1316,CMB_G,0)),2,0)))</f>
        <v/>
      </c>
      <c r="Q1316" s="84">
        <f>IF(ISNUMBER($H1316),-$H1316,0)</f>
        <v>0</v>
      </c>
      <c r="R1316" s="84">
        <f>IF(ISNUMBER($I1316),ABS($I1316),0)</f>
        <v>0</v>
      </c>
      <c r="S1316" s="84">
        <f>IF(ISNUMBER($M1316),ABS($M1316),0)</f>
        <v>0</v>
      </c>
      <c r="T1316" s="85" t="n">
        <v>1308</v>
      </c>
    </row>
    <row r="1317">
      <c r="B1317" s="83" t="n"/>
      <c r="C1317" s="83" t="n"/>
      <c r="D1317" s="83" t="n"/>
      <c r="E1317" s="83" t="n"/>
      <c r="F1317" s="83" t="n"/>
      <c r="G1317" s="83" t="n"/>
      <c r="H1317" s="83" t="n"/>
      <c r="I1317" s="83" t="n"/>
      <c r="J1317" s="83" t="n"/>
      <c r="K1317" s="83" t="n"/>
      <c r="L1317" s="83" t="n"/>
      <c r="M1317" s="83" t="n"/>
      <c r="O1317" s="84" t="str">
        <f>IF($C1317="","",IFERROR(MATCH($B1317&amp;"|"&amp;$C1317,MUROS!$AX$11:$AX$70,0),0))</f>
        <v/>
      </c>
      <c r="P1317" s="84" t="str">
        <f>IF($D1317="","",IF(ISNUMBER(MATCH($D1317,CMB_S,0)),1,IF(ISNUMBER(MATCH($D1317,CMB_G,0)),2,0)))</f>
        <v/>
      </c>
      <c r="Q1317" s="84">
        <f>IF(ISNUMBER($H1317),-$H1317,0)</f>
        <v>0</v>
      </c>
      <c r="R1317" s="84">
        <f>IF(ISNUMBER($I1317),ABS($I1317),0)</f>
        <v>0</v>
      </c>
      <c r="S1317" s="84">
        <f>IF(ISNUMBER($M1317),ABS($M1317),0)</f>
        <v>0</v>
      </c>
      <c r="T1317" s="85" t="n">
        <v>1309</v>
      </c>
    </row>
    <row r="1318">
      <c r="B1318" s="83" t="n"/>
      <c r="C1318" s="83" t="n"/>
      <c r="D1318" s="83" t="n"/>
      <c r="E1318" s="83" t="n"/>
      <c r="F1318" s="83" t="n"/>
      <c r="G1318" s="83" t="n"/>
      <c r="H1318" s="83" t="n"/>
      <c r="I1318" s="83" t="n"/>
      <c r="J1318" s="83" t="n"/>
      <c r="K1318" s="83" t="n"/>
      <c r="L1318" s="83" t="n"/>
      <c r="M1318" s="83" t="n"/>
      <c r="O1318" s="84" t="str">
        <f>IF($C1318="","",IFERROR(MATCH($B1318&amp;"|"&amp;$C1318,MUROS!$AX$11:$AX$70,0),0))</f>
        <v/>
      </c>
      <c r="P1318" s="84" t="str">
        <f>IF($D1318="","",IF(ISNUMBER(MATCH($D1318,CMB_S,0)),1,IF(ISNUMBER(MATCH($D1318,CMB_G,0)),2,0)))</f>
        <v/>
      </c>
      <c r="Q1318" s="84">
        <f>IF(ISNUMBER($H1318),-$H1318,0)</f>
        <v>0</v>
      </c>
      <c r="R1318" s="84">
        <f>IF(ISNUMBER($I1318),ABS($I1318),0)</f>
        <v>0</v>
      </c>
      <c r="S1318" s="84">
        <f>IF(ISNUMBER($M1318),ABS($M1318),0)</f>
        <v>0</v>
      </c>
      <c r="T1318" s="85" t="n">
        <v>1310</v>
      </c>
    </row>
    <row r="1319">
      <c r="B1319" s="83" t="n"/>
      <c r="C1319" s="83" t="n"/>
      <c r="D1319" s="83" t="n"/>
      <c r="E1319" s="83" t="n"/>
      <c r="F1319" s="83" t="n"/>
      <c r="G1319" s="83" t="n"/>
      <c r="H1319" s="83" t="n"/>
      <c r="I1319" s="83" t="n"/>
      <c r="J1319" s="83" t="n"/>
      <c r="K1319" s="83" t="n"/>
      <c r="L1319" s="83" t="n"/>
      <c r="M1319" s="83" t="n"/>
      <c r="O1319" s="84" t="str">
        <f>IF($C1319="","",IFERROR(MATCH($B1319&amp;"|"&amp;$C1319,MUROS!$AX$11:$AX$70,0),0))</f>
        <v/>
      </c>
      <c r="P1319" s="84" t="str">
        <f>IF($D1319="","",IF(ISNUMBER(MATCH($D1319,CMB_S,0)),1,IF(ISNUMBER(MATCH($D1319,CMB_G,0)),2,0)))</f>
        <v/>
      </c>
      <c r="Q1319" s="84">
        <f>IF(ISNUMBER($H1319),-$H1319,0)</f>
        <v>0</v>
      </c>
      <c r="R1319" s="84">
        <f>IF(ISNUMBER($I1319),ABS($I1319),0)</f>
        <v>0</v>
      </c>
      <c r="S1319" s="84">
        <f>IF(ISNUMBER($M1319),ABS($M1319),0)</f>
        <v>0</v>
      </c>
      <c r="T1319" s="85" t="n">
        <v>1311</v>
      </c>
    </row>
    <row r="1320">
      <c r="B1320" s="83" t="n"/>
      <c r="C1320" s="83" t="n"/>
      <c r="D1320" s="83" t="n"/>
      <c r="E1320" s="83" t="n"/>
      <c r="F1320" s="83" t="n"/>
      <c r="G1320" s="83" t="n"/>
      <c r="H1320" s="83" t="n"/>
      <c r="I1320" s="83" t="n"/>
      <c r="J1320" s="83" t="n"/>
      <c r="K1320" s="83" t="n"/>
      <c r="L1320" s="83" t="n"/>
      <c r="M1320" s="83" t="n"/>
      <c r="O1320" s="84" t="str">
        <f>IF($C1320="","",IFERROR(MATCH($B1320&amp;"|"&amp;$C1320,MUROS!$AX$11:$AX$70,0),0))</f>
        <v/>
      </c>
      <c r="P1320" s="84" t="str">
        <f>IF($D1320="","",IF(ISNUMBER(MATCH($D1320,CMB_S,0)),1,IF(ISNUMBER(MATCH($D1320,CMB_G,0)),2,0)))</f>
        <v/>
      </c>
      <c r="Q1320" s="84">
        <f>IF(ISNUMBER($H1320),-$H1320,0)</f>
        <v>0</v>
      </c>
      <c r="R1320" s="84">
        <f>IF(ISNUMBER($I1320),ABS($I1320),0)</f>
        <v>0</v>
      </c>
      <c r="S1320" s="84">
        <f>IF(ISNUMBER($M1320),ABS($M1320),0)</f>
        <v>0</v>
      </c>
      <c r="T1320" s="85" t="n">
        <v>1312</v>
      </c>
    </row>
    <row r="1321">
      <c r="B1321" s="83" t="n"/>
      <c r="C1321" s="83" t="n"/>
      <c r="D1321" s="83" t="n"/>
      <c r="E1321" s="83" t="n"/>
      <c r="F1321" s="83" t="n"/>
      <c r="G1321" s="83" t="n"/>
      <c r="H1321" s="83" t="n"/>
      <c r="I1321" s="83" t="n"/>
      <c r="J1321" s="83" t="n"/>
      <c r="K1321" s="83" t="n"/>
      <c r="L1321" s="83" t="n"/>
      <c r="M1321" s="83" t="n"/>
      <c r="O1321" s="84" t="str">
        <f>IF($C1321="","",IFERROR(MATCH($B1321&amp;"|"&amp;$C1321,MUROS!$AX$11:$AX$70,0),0))</f>
        <v/>
      </c>
      <c r="P1321" s="84" t="str">
        <f>IF($D1321="","",IF(ISNUMBER(MATCH($D1321,CMB_S,0)),1,IF(ISNUMBER(MATCH($D1321,CMB_G,0)),2,0)))</f>
        <v/>
      </c>
      <c r="Q1321" s="84">
        <f>IF(ISNUMBER($H1321),-$H1321,0)</f>
        <v>0</v>
      </c>
      <c r="R1321" s="84">
        <f>IF(ISNUMBER($I1321),ABS($I1321),0)</f>
        <v>0</v>
      </c>
      <c r="S1321" s="84">
        <f>IF(ISNUMBER($M1321),ABS($M1321),0)</f>
        <v>0</v>
      </c>
      <c r="T1321" s="85" t="n">
        <v>1313</v>
      </c>
    </row>
    <row r="1322">
      <c r="B1322" s="83" t="n"/>
      <c r="C1322" s="83" t="n"/>
      <c r="D1322" s="83" t="n"/>
      <c r="E1322" s="83" t="n"/>
      <c r="F1322" s="83" t="n"/>
      <c r="G1322" s="83" t="n"/>
      <c r="H1322" s="83" t="n"/>
      <c r="I1322" s="83" t="n"/>
      <c r="J1322" s="83" t="n"/>
      <c r="K1322" s="83" t="n"/>
      <c r="L1322" s="83" t="n"/>
      <c r="M1322" s="83" t="n"/>
      <c r="O1322" s="84" t="str">
        <f>IF($C1322="","",IFERROR(MATCH($B1322&amp;"|"&amp;$C1322,MUROS!$AX$11:$AX$70,0),0))</f>
        <v/>
      </c>
      <c r="P1322" s="84" t="str">
        <f>IF($D1322="","",IF(ISNUMBER(MATCH($D1322,CMB_S,0)),1,IF(ISNUMBER(MATCH($D1322,CMB_G,0)),2,0)))</f>
        <v/>
      </c>
      <c r="Q1322" s="84">
        <f>IF(ISNUMBER($H1322),-$H1322,0)</f>
        <v>0</v>
      </c>
      <c r="R1322" s="84">
        <f>IF(ISNUMBER($I1322),ABS($I1322),0)</f>
        <v>0</v>
      </c>
      <c r="S1322" s="84">
        <f>IF(ISNUMBER($M1322),ABS($M1322),0)</f>
        <v>0</v>
      </c>
      <c r="T1322" s="85" t="n">
        <v>1314</v>
      </c>
    </row>
    <row r="1323">
      <c r="B1323" s="83" t="n"/>
      <c r="C1323" s="83" t="n"/>
      <c r="D1323" s="83" t="n"/>
      <c r="E1323" s="83" t="n"/>
      <c r="F1323" s="83" t="n"/>
      <c r="G1323" s="83" t="n"/>
      <c r="H1323" s="83" t="n"/>
      <c r="I1323" s="83" t="n"/>
      <c r="J1323" s="83" t="n"/>
      <c r="K1323" s="83" t="n"/>
      <c r="L1323" s="83" t="n"/>
      <c r="M1323" s="83" t="n"/>
      <c r="O1323" s="84" t="str">
        <f>IF($C1323="","",IFERROR(MATCH($B1323&amp;"|"&amp;$C1323,MUROS!$AX$11:$AX$70,0),0))</f>
        <v/>
      </c>
      <c r="P1323" s="84" t="str">
        <f>IF($D1323="","",IF(ISNUMBER(MATCH($D1323,CMB_S,0)),1,IF(ISNUMBER(MATCH($D1323,CMB_G,0)),2,0)))</f>
        <v/>
      </c>
      <c r="Q1323" s="84">
        <f>IF(ISNUMBER($H1323),-$H1323,0)</f>
        <v>0</v>
      </c>
      <c r="R1323" s="84">
        <f>IF(ISNUMBER($I1323),ABS($I1323),0)</f>
        <v>0</v>
      </c>
      <c r="S1323" s="84">
        <f>IF(ISNUMBER($M1323),ABS($M1323),0)</f>
        <v>0</v>
      </c>
      <c r="T1323" s="85" t="n">
        <v>1315</v>
      </c>
    </row>
    <row r="1324">
      <c r="B1324" s="83" t="n"/>
      <c r="C1324" s="83" t="n"/>
      <c r="D1324" s="83" t="n"/>
      <c r="E1324" s="83" t="n"/>
      <c r="F1324" s="83" t="n"/>
      <c r="G1324" s="83" t="n"/>
      <c r="H1324" s="83" t="n"/>
      <c r="I1324" s="83" t="n"/>
      <c r="J1324" s="83" t="n"/>
      <c r="K1324" s="83" t="n"/>
      <c r="L1324" s="83" t="n"/>
      <c r="M1324" s="83" t="n"/>
      <c r="O1324" s="84" t="str">
        <f>IF($C1324="","",IFERROR(MATCH($B1324&amp;"|"&amp;$C1324,MUROS!$AX$11:$AX$70,0),0))</f>
        <v/>
      </c>
      <c r="P1324" s="84" t="str">
        <f>IF($D1324="","",IF(ISNUMBER(MATCH($D1324,CMB_S,0)),1,IF(ISNUMBER(MATCH($D1324,CMB_G,0)),2,0)))</f>
        <v/>
      </c>
      <c r="Q1324" s="84">
        <f>IF(ISNUMBER($H1324),-$H1324,0)</f>
        <v>0</v>
      </c>
      <c r="R1324" s="84">
        <f>IF(ISNUMBER($I1324),ABS($I1324),0)</f>
        <v>0</v>
      </c>
      <c r="S1324" s="84">
        <f>IF(ISNUMBER($M1324),ABS($M1324),0)</f>
        <v>0</v>
      </c>
      <c r="T1324" s="85" t="n">
        <v>1316</v>
      </c>
    </row>
    <row r="1325">
      <c r="B1325" s="83" t="n"/>
      <c r="C1325" s="83" t="n"/>
      <c r="D1325" s="83" t="n"/>
      <c r="E1325" s="83" t="n"/>
      <c r="F1325" s="83" t="n"/>
      <c r="G1325" s="83" t="n"/>
      <c r="H1325" s="83" t="n"/>
      <c r="I1325" s="83" t="n"/>
      <c r="J1325" s="83" t="n"/>
      <c r="K1325" s="83" t="n"/>
      <c r="L1325" s="83" t="n"/>
      <c r="M1325" s="83" t="n"/>
      <c r="O1325" s="84" t="str">
        <f>IF($C1325="","",IFERROR(MATCH($B1325&amp;"|"&amp;$C1325,MUROS!$AX$11:$AX$70,0),0))</f>
        <v/>
      </c>
      <c r="P1325" s="84" t="str">
        <f>IF($D1325="","",IF(ISNUMBER(MATCH($D1325,CMB_S,0)),1,IF(ISNUMBER(MATCH($D1325,CMB_G,0)),2,0)))</f>
        <v/>
      </c>
      <c r="Q1325" s="84">
        <f>IF(ISNUMBER($H1325),-$H1325,0)</f>
        <v>0</v>
      </c>
      <c r="R1325" s="84">
        <f>IF(ISNUMBER($I1325),ABS($I1325),0)</f>
        <v>0</v>
      </c>
      <c r="S1325" s="84">
        <f>IF(ISNUMBER($M1325),ABS($M1325),0)</f>
        <v>0</v>
      </c>
      <c r="T1325" s="85" t="n">
        <v>1317</v>
      </c>
    </row>
    <row r="1326">
      <c r="B1326" s="83" t="n"/>
      <c r="C1326" s="83" t="n"/>
      <c r="D1326" s="83" t="n"/>
      <c r="E1326" s="83" t="n"/>
      <c r="F1326" s="83" t="n"/>
      <c r="G1326" s="83" t="n"/>
      <c r="H1326" s="83" t="n"/>
      <c r="I1326" s="83" t="n"/>
      <c r="J1326" s="83" t="n"/>
      <c r="K1326" s="83" t="n"/>
      <c r="L1326" s="83" t="n"/>
      <c r="M1326" s="83" t="n"/>
      <c r="O1326" s="84" t="str">
        <f>IF($C1326="","",IFERROR(MATCH($B1326&amp;"|"&amp;$C1326,MUROS!$AX$11:$AX$70,0),0))</f>
        <v/>
      </c>
      <c r="P1326" s="84" t="str">
        <f>IF($D1326="","",IF(ISNUMBER(MATCH($D1326,CMB_S,0)),1,IF(ISNUMBER(MATCH($D1326,CMB_G,0)),2,0)))</f>
        <v/>
      </c>
      <c r="Q1326" s="84">
        <f>IF(ISNUMBER($H1326),-$H1326,0)</f>
        <v>0</v>
      </c>
      <c r="R1326" s="84">
        <f>IF(ISNUMBER($I1326),ABS($I1326),0)</f>
        <v>0</v>
      </c>
      <c r="S1326" s="84">
        <f>IF(ISNUMBER($M1326),ABS($M1326),0)</f>
        <v>0</v>
      </c>
      <c r="T1326" s="85" t="n">
        <v>1318</v>
      </c>
    </row>
    <row r="1327">
      <c r="B1327" s="83" t="n"/>
      <c r="C1327" s="83" t="n"/>
      <c r="D1327" s="83" t="n"/>
      <c r="E1327" s="83" t="n"/>
      <c r="F1327" s="83" t="n"/>
      <c r="G1327" s="83" t="n"/>
      <c r="H1327" s="83" t="n"/>
      <c r="I1327" s="83" t="n"/>
      <c r="J1327" s="83" t="n"/>
      <c r="K1327" s="83" t="n"/>
      <c r="L1327" s="83" t="n"/>
      <c r="M1327" s="83" t="n"/>
      <c r="O1327" s="84" t="str">
        <f>IF($C1327="","",IFERROR(MATCH($B1327&amp;"|"&amp;$C1327,MUROS!$AX$11:$AX$70,0),0))</f>
        <v/>
      </c>
      <c r="P1327" s="84" t="str">
        <f>IF($D1327="","",IF(ISNUMBER(MATCH($D1327,CMB_S,0)),1,IF(ISNUMBER(MATCH($D1327,CMB_G,0)),2,0)))</f>
        <v/>
      </c>
      <c r="Q1327" s="84">
        <f>IF(ISNUMBER($H1327),-$H1327,0)</f>
        <v>0</v>
      </c>
      <c r="R1327" s="84">
        <f>IF(ISNUMBER($I1327),ABS($I1327),0)</f>
        <v>0</v>
      </c>
      <c r="S1327" s="84">
        <f>IF(ISNUMBER($M1327),ABS($M1327),0)</f>
        <v>0</v>
      </c>
      <c r="T1327" s="85" t="n">
        <v>1319</v>
      </c>
    </row>
    <row r="1328">
      <c r="B1328" s="83" t="n"/>
      <c r="C1328" s="83" t="n"/>
      <c r="D1328" s="83" t="n"/>
      <c r="E1328" s="83" t="n"/>
      <c r="F1328" s="83" t="n"/>
      <c r="G1328" s="83" t="n"/>
      <c r="H1328" s="83" t="n"/>
      <c r="I1328" s="83" t="n"/>
      <c r="J1328" s="83" t="n"/>
      <c r="K1328" s="83" t="n"/>
      <c r="L1328" s="83" t="n"/>
      <c r="M1328" s="83" t="n"/>
      <c r="O1328" s="84" t="str">
        <f>IF($C1328="","",IFERROR(MATCH($B1328&amp;"|"&amp;$C1328,MUROS!$AX$11:$AX$70,0),0))</f>
        <v/>
      </c>
      <c r="P1328" s="84" t="str">
        <f>IF($D1328="","",IF(ISNUMBER(MATCH($D1328,CMB_S,0)),1,IF(ISNUMBER(MATCH($D1328,CMB_G,0)),2,0)))</f>
        <v/>
      </c>
      <c r="Q1328" s="84">
        <f>IF(ISNUMBER($H1328),-$H1328,0)</f>
        <v>0</v>
      </c>
      <c r="R1328" s="84">
        <f>IF(ISNUMBER($I1328),ABS($I1328),0)</f>
        <v>0</v>
      </c>
      <c r="S1328" s="84">
        <f>IF(ISNUMBER($M1328),ABS($M1328),0)</f>
        <v>0</v>
      </c>
      <c r="T1328" s="85" t="n">
        <v>1320</v>
      </c>
    </row>
    <row r="1329">
      <c r="B1329" s="83" t="n"/>
      <c r="C1329" s="83" t="n"/>
      <c r="D1329" s="83" t="n"/>
      <c r="E1329" s="83" t="n"/>
      <c r="F1329" s="83" t="n"/>
      <c r="G1329" s="83" t="n"/>
      <c r="H1329" s="83" t="n"/>
      <c r="I1329" s="83" t="n"/>
      <c r="J1329" s="83" t="n"/>
      <c r="K1329" s="83" t="n"/>
      <c r="L1329" s="83" t="n"/>
      <c r="M1329" s="83" t="n"/>
      <c r="O1329" s="84" t="str">
        <f>IF($C1329="","",IFERROR(MATCH($B1329&amp;"|"&amp;$C1329,MUROS!$AX$11:$AX$70,0),0))</f>
        <v/>
      </c>
      <c r="P1329" s="84" t="str">
        <f>IF($D1329="","",IF(ISNUMBER(MATCH($D1329,CMB_S,0)),1,IF(ISNUMBER(MATCH($D1329,CMB_G,0)),2,0)))</f>
        <v/>
      </c>
      <c r="Q1329" s="84">
        <f>IF(ISNUMBER($H1329),-$H1329,0)</f>
        <v>0</v>
      </c>
      <c r="R1329" s="84">
        <f>IF(ISNUMBER($I1329),ABS($I1329),0)</f>
        <v>0</v>
      </c>
      <c r="S1329" s="84">
        <f>IF(ISNUMBER($M1329),ABS($M1329),0)</f>
        <v>0</v>
      </c>
      <c r="T1329" s="85" t="n">
        <v>1321</v>
      </c>
    </row>
    <row r="1330">
      <c r="B1330" s="83" t="n"/>
      <c r="C1330" s="83" t="n"/>
      <c r="D1330" s="83" t="n"/>
      <c r="E1330" s="83" t="n"/>
      <c r="F1330" s="83" t="n"/>
      <c r="G1330" s="83" t="n"/>
      <c r="H1330" s="83" t="n"/>
      <c r="I1330" s="83" t="n"/>
      <c r="J1330" s="83" t="n"/>
      <c r="K1330" s="83" t="n"/>
      <c r="L1330" s="83" t="n"/>
      <c r="M1330" s="83" t="n"/>
      <c r="O1330" s="84" t="str">
        <f>IF($C1330="","",IFERROR(MATCH($B1330&amp;"|"&amp;$C1330,MUROS!$AX$11:$AX$70,0),0))</f>
        <v/>
      </c>
      <c r="P1330" s="84" t="str">
        <f>IF($D1330="","",IF(ISNUMBER(MATCH($D1330,CMB_S,0)),1,IF(ISNUMBER(MATCH($D1330,CMB_G,0)),2,0)))</f>
        <v/>
      </c>
      <c r="Q1330" s="84">
        <f>IF(ISNUMBER($H1330),-$H1330,0)</f>
        <v>0</v>
      </c>
      <c r="R1330" s="84">
        <f>IF(ISNUMBER($I1330),ABS($I1330),0)</f>
        <v>0</v>
      </c>
      <c r="S1330" s="84">
        <f>IF(ISNUMBER($M1330),ABS($M1330),0)</f>
        <v>0</v>
      </c>
      <c r="T1330" s="85" t="n">
        <v>1322</v>
      </c>
    </row>
    <row r="1331">
      <c r="B1331" s="83" t="n"/>
      <c r="C1331" s="83" t="n"/>
      <c r="D1331" s="83" t="n"/>
      <c r="E1331" s="83" t="n"/>
      <c r="F1331" s="83" t="n"/>
      <c r="G1331" s="83" t="n"/>
      <c r="H1331" s="83" t="n"/>
      <c r="I1331" s="83" t="n"/>
      <c r="J1331" s="83" t="n"/>
      <c r="K1331" s="83" t="n"/>
      <c r="L1331" s="83" t="n"/>
      <c r="M1331" s="83" t="n"/>
      <c r="O1331" s="84" t="str">
        <f>IF($C1331="","",IFERROR(MATCH($B1331&amp;"|"&amp;$C1331,MUROS!$AX$11:$AX$70,0),0))</f>
        <v/>
      </c>
      <c r="P1331" s="84" t="str">
        <f>IF($D1331="","",IF(ISNUMBER(MATCH($D1331,CMB_S,0)),1,IF(ISNUMBER(MATCH($D1331,CMB_G,0)),2,0)))</f>
        <v/>
      </c>
      <c r="Q1331" s="84">
        <f>IF(ISNUMBER($H1331),-$H1331,0)</f>
        <v>0</v>
      </c>
      <c r="R1331" s="84">
        <f>IF(ISNUMBER($I1331),ABS($I1331),0)</f>
        <v>0</v>
      </c>
      <c r="S1331" s="84">
        <f>IF(ISNUMBER($M1331),ABS($M1331),0)</f>
        <v>0</v>
      </c>
      <c r="T1331" s="85" t="n">
        <v>1323</v>
      </c>
    </row>
    <row r="1332">
      <c r="B1332" s="83" t="n"/>
      <c r="C1332" s="83" t="n"/>
      <c r="D1332" s="83" t="n"/>
      <c r="E1332" s="83" t="n"/>
      <c r="F1332" s="83" t="n"/>
      <c r="G1332" s="83" t="n"/>
      <c r="H1332" s="83" t="n"/>
      <c r="I1332" s="83" t="n"/>
      <c r="J1332" s="83" t="n"/>
      <c r="K1332" s="83" t="n"/>
      <c r="L1332" s="83" t="n"/>
      <c r="M1332" s="83" t="n"/>
      <c r="O1332" s="84" t="str">
        <f>IF($C1332="","",IFERROR(MATCH($B1332&amp;"|"&amp;$C1332,MUROS!$AX$11:$AX$70,0),0))</f>
        <v/>
      </c>
      <c r="P1332" s="84" t="str">
        <f>IF($D1332="","",IF(ISNUMBER(MATCH($D1332,CMB_S,0)),1,IF(ISNUMBER(MATCH($D1332,CMB_G,0)),2,0)))</f>
        <v/>
      </c>
      <c r="Q1332" s="84">
        <f>IF(ISNUMBER($H1332),-$H1332,0)</f>
        <v>0</v>
      </c>
      <c r="R1332" s="84">
        <f>IF(ISNUMBER($I1332),ABS($I1332),0)</f>
        <v>0</v>
      </c>
      <c r="S1332" s="84">
        <f>IF(ISNUMBER($M1332),ABS($M1332),0)</f>
        <v>0</v>
      </c>
      <c r="T1332" s="85" t="n">
        <v>1324</v>
      </c>
    </row>
    <row r="1333">
      <c r="B1333" s="83" t="n"/>
      <c r="C1333" s="83" t="n"/>
      <c r="D1333" s="83" t="n"/>
      <c r="E1333" s="83" t="n"/>
      <c r="F1333" s="83" t="n"/>
      <c r="G1333" s="83" t="n"/>
      <c r="H1333" s="83" t="n"/>
      <c r="I1333" s="83" t="n"/>
      <c r="J1333" s="83" t="n"/>
      <c r="K1333" s="83" t="n"/>
      <c r="L1333" s="83" t="n"/>
      <c r="M1333" s="83" t="n"/>
      <c r="O1333" s="84" t="str">
        <f>IF($C1333="","",IFERROR(MATCH($B1333&amp;"|"&amp;$C1333,MUROS!$AX$11:$AX$70,0),0))</f>
        <v/>
      </c>
      <c r="P1333" s="84" t="str">
        <f>IF($D1333="","",IF(ISNUMBER(MATCH($D1333,CMB_S,0)),1,IF(ISNUMBER(MATCH($D1333,CMB_G,0)),2,0)))</f>
        <v/>
      </c>
      <c r="Q1333" s="84">
        <f>IF(ISNUMBER($H1333),-$H1333,0)</f>
        <v>0</v>
      </c>
      <c r="R1333" s="84">
        <f>IF(ISNUMBER($I1333),ABS($I1333),0)</f>
        <v>0</v>
      </c>
      <c r="S1333" s="84">
        <f>IF(ISNUMBER($M1333),ABS($M1333),0)</f>
        <v>0</v>
      </c>
      <c r="T1333" s="85" t="n">
        <v>1325</v>
      </c>
    </row>
    <row r="1334">
      <c r="B1334" s="83" t="n"/>
      <c r="C1334" s="83" t="n"/>
      <c r="D1334" s="83" t="n"/>
      <c r="E1334" s="83" t="n"/>
      <c r="F1334" s="83" t="n"/>
      <c r="G1334" s="83" t="n"/>
      <c r="H1334" s="83" t="n"/>
      <c r="I1334" s="83" t="n"/>
      <c r="J1334" s="83" t="n"/>
      <c r="K1334" s="83" t="n"/>
      <c r="L1334" s="83" t="n"/>
      <c r="M1334" s="83" t="n"/>
      <c r="O1334" s="84" t="str">
        <f>IF($C1334="","",IFERROR(MATCH($B1334&amp;"|"&amp;$C1334,MUROS!$AX$11:$AX$70,0),0))</f>
        <v/>
      </c>
      <c r="P1334" s="84" t="str">
        <f>IF($D1334="","",IF(ISNUMBER(MATCH($D1334,CMB_S,0)),1,IF(ISNUMBER(MATCH($D1334,CMB_G,0)),2,0)))</f>
        <v/>
      </c>
      <c r="Q1334" s="84">
        <f>IF(ISNUMBER($H1334),-$H1334,0)</f>
        <v>0</v>
      </c>
      <c r="R1334" s="84">
        <f>IF(ISNUMBER($I1334),ABS($I1334),0)</f>
        <v>0</v>
      </c>
      <c r="S1334" s="84">
        <f>IF(ISNUMBER($M1334),ABS($M1334),0)</f>
        <v>0</v>
      </c>
      <c r="T1334" s="85" t="n">
        <v>1326</v>
      </c>
    </row>
    <row r="1335">
      <c r="B1335" s="83" t="n"/>
      <c r="C1335" s="83" t="n"/>
      <c r="D1335" s="83" t="n"/>
      <c r="E1335" s="83" t="n"/>
      <c r="F1335" s="83" t="n"/>
      <c r="G1335" s="83" t="n"/>
      <c r="H1335" s="83" t="n"/>
      <c r="I1335" s="83" t="n"/>
      <c r="J1335" s="83" t="n"/>
      <c r="K1335" s="83" t="n"/>
      <c r="L1335" s="83" t="n"/>
      <c r="M1335" s="83" t="n"/>
      <c r="O1335" s="84" t="str">
        <f>IF($C1335="","",IFERROR(MATCH($B1335&amp;"|"&amp;$C1335,MUROS!$AX$11:$AX$70,0),0))</f>
        <v/>
      </c>
      <c r="P1335" s="84" t="str">
        <f>IF($D1335="","",IF(ISNUMBER(MATCH($D1335,CMB_S,0)),1,IF(ISNUMBER(MATCH($D1335,CMB_G,0)),2,0)))</f>
        <v/>
      </c>
      <c r="Q1335" s="84">
        <f>IF(ISNUMBER($H1335),-$H1335,0)</f>
        <v>0</v>
      </c>
      <c r="R1335" s="84">
        <f>IF(ISNUMBER($I1335),ABS($I1335),0)</f>
        <v>0</v>
      </c>
      <c r="S1335" s="84">
        <f>IF(ISNUMBER($M1335),ABS($M1335),0)</f>
        <v>0</v>
      </c>
      <c r="T1335" s="85" t="n">
        <v>1327</v>
      </c>
    </row>
    <row r="1336">
      <c r="B1336" s="83" t="n"/>
      <c r="C1336" s="83" t="n"/>
      <c r="D1336" s="83" t="n"/>
      <c r="E1336" s="83" t="n"/>
      <c r="F1336" s="83" t="n"/>
      <c r="G1336" s="83" t="n"/>
      <c r="H1336" s="83" t="n"/>
      <c r="I1336" s="83" t="n"/>
      <c r="J1336" s="83" t="n"/>
      <c r="K1336" s="83" t="n"/>
      <c r="L1336" s="83" t="n"/>
      <c r="M1336" s="83" t="n"/>
      <c r="O1336" s="84" t="str">
        <f>IF($C1336="","",IFERROR(MATCH($B1336&amp;"|"&amp;$C1336,MUROS!$AX$11:$AX$70,0),0))</f>
        <v/>
      </c>
      <c r="P1336" s="84" t="str">
        <f>IF($D1336="","",IF(ISNUMBER(MATCH($D1336,CMB_S,0)),1,IF(ISNUMBER(MATCH($D1336,CMB_G,0)),2,0)))</f>
        <v/>
      </c>
      <c r="Q1336" s="84">
        <f>IF(ISNUMBER($H1336),-$H1336,0)</f>
        <v>0</v>
      </c>
      <c r="R1336" s="84">
        <f>IF(ISNUMBER($I1336),ABS($I1336),0)</f>
        <v>0</v>
      </c>
      <c r="S1336" s="84">
        <f>IF(ISNUMBER($M1336),ABS($M1336),0)</f>
        <v>0</v>
      </c>
      <c r="T1336" s="85" t="n">
        <v>1328</v>
      </c>
    </row>
    <row r="1337">
      <c r="B1337" s="83" t="n"/>
      <c r="C1337" s="83" t="n"/>
      <c r="D1337" s="83" t="n"/>
      <c r="E1337" s="83" t="n"/>
      <c r="F1337" s="83" t="n"/>
      <c r="G1337" s="83" t="n"/>
      <c r="H1337" s="83" t="n"/>
      <c r="I1337" s="83" t="n"/>
      <c r="J1337" s="83" t="n"/>
      <c r="K1337" s="83" t="n"/>
      <c r="L1337" s="83" t="n"/>
      <c r="M1337" s="83" t="n"/>
      <c r="O1337" s="84" t="str">
        <f>IF($C1337="","",IFERROR(MATCH($B1337&amp;"|"&amp;$C1337,MUROS!$AX$11:$AX$70,0),0))</f>
        <v/>
      </c>
      <c r="P1337" s="84" t="str">
        <f>IF($D1337="","",IF(ISNUMBER(MATCH($D1337,CMB_S,0)),1,IF(ISNUMBER(MATCH($D1337,CMB_G,0)),2,0)))</f>
        <v/>
      </c>
      <c r="Q1337" s="84">
        <f>IF(ISNUMBER($H1337),-$H1337,0)</f>
        <v>0</v>
      </c>
      <c r="R1337" s="84">
        <f>IF(ISNUMBER($I1337),ABS($I1337),0)</f>
        <v>0</v>
      </c>
      <c r="S1337" s="84">
        <f>IF(ISNUMBER($M1337),ABS($M1337),0)</f>
        <v>0</v>
      </c>
      <c r="T1337" s="85" t="n">
        <v>1329</v>
      </c>
    </row>
    <row r="1338">
      <c r="B1338" s="83" t="n"/>
      <c r="C1338" s="83" t="n"/>
      <c r="D1338" s="83" t="n"/>
      <c r="E1338" s="83" t="n"/>
      <c r="F1338" s="83" t="n"/>
      <c r="G1338" s="83" t="n"/>
      <c r="H1338" s="83" t="n"/>
      <c r="I1338" s="83" t="n"/>
      <c r="J1338" s="83" t="n"/>
      <c r="K1338" s="83" t="n"/>
      <c r="L1338" s="83" t="n"/>
      <c r="M1338" s="83" t="n"/>
      <c r="O1338" s="84" t="str">
        <f>IF($C1338="","",IFERROR(MATCH($B1338&amp;"|"&amp;$C1338,MUROS!$AX$11:$AX$70,0),0))</f>
        <v/>
      </c>
      <c r="P1338" s="84" t="str">
        <f>IF($D1338="","",IF(ISNUMBER(MATCH($D1338,CMB_S,0)),1,IF(ISNUMBER(MATCH($D1338,CMB_G,0)),2,0)))</f>
        <v/>
      </c>
      <c r="Q1338" s="84">
        <f>IF(ISNUMBER($H1338),-$H1338,0)</f>
        <v>0</v>
      </c>
      <c r="R1338" s="84">
        <f>IF(ISNUMBER($I1338),ABS($I1338),0)</f>
        <v>0</v>
      </c>
      <c r="S1338" s="84">
        <f>IF(ISNUMBER($M1338),ABS($M1338),0)</f>
        <v>0</v>
      </c>
      <c r="T1338" s="85" t="n">
        <v>1330</v>
      </c>
    </row>
    <row r="1339">
      <c r="B1339" s="83" t="n"/>
      <c r="C1339" s="83" t="n"/>
      <c r="D1339" s="83" t="n"/>
      <c r="E1339" s="83" t="n"/>
      <c r="F1339" s="83" t="n"/>
      <c r="G1339" s="83" t="n"/>
      <c r="H1339" s="83" t="n"/>
      <c r="I1339" s="83" t="n"/>
      <c r="J1339" s="83" t="n"/>
      <c r="K1339" s="83" t="n"/>
      <c r="L1339" s="83" t="n"/>
      <c r="M1339" s="83" t="n"/>
      <c r="O1339" s="84" t="str">
        <f>IF($C1339="","",IFERROR(MATCH($B1339&amp;"|"&amp;$C1339,MUROS!$AX$11:$AX$70,0),0))</f>
        <v/>
      </c>
      <c r="P1339" s="84" t="str">
        <f>IF($D1339="","",IF(ISNUMBER(MATCH($D1339,CMB_S,0)),1,IF(ISNUMBER(MATCH($D1339,CMB_G,0)),2,0)))</f>
        <v/>
      </c>
      <c r="Q1339" s="84">
        <f>IF(ISNUMBER($H1339),-$H1339,0)</f>
        <v>0</v>
      </c>
      <c r="R1339" s="84">
        <f>IF(ISNUMBER($I1339),ABS($I1339),0)</f>
        <v>0</v>
      </c>
      <c r="S1339" s="84">
        <f>IF(ISNUMBER($M1339),ABS($M1339),0)</f>
        <v>0</v>
      </c>
      <c r="T1339" s="85" t="n">
        <v>1331</v>
      </c>
    </row>
    <row r="1340">
      <c r="B1340" s="83" t="n"/>
      <c r="C1340" s="83" t="n"/>
      <c r="D1340" s="83" t="n"/>
      <c r="E1340" s="83" t="n"/>
      <c r="F1340" s="83" t="n"/>
      <c r="G1340" s="83" t="n"/>
      <c r="H1340" s="83" t="n"/>
      <c r="I1340" s="83" t="n"/>
      <c r="J1340" s="83" t="n"/>
      <c r="K1340" s="83" t="n"/>
      <c r="L1340" s="83" t="n"/>
      <c r="M1340" s="83" t="n"/>
      <c r="O1340" s="84" t="str">
        <f>IF($C1340="","",IFERROR(MATCH($B1340&amp;"|"&amp;$C1340,MUROS!$AX$11:$AX$70,0),0))</f>
        <v/>
      </c>
      <c r="P1340" s="84" t="str">
        <f>IF($D1340="","",IF(ISNUMBER(MATCH($D1340,CMB_S,0)),1,IF(ISNUMBER(MATCH($D1340,CMB_G,0)),2,0)))</f>
        <v/>
      </c>
      <c r="Q1340" s="84">
        <f>IF(ISNUMBER($H1340),-$H1340,0)</f>
        <v>0</v>
      </c>
      <c r="R1340" s="84">
        <f>IF(ISNUMBER($I1340),ABS($I1340),0)</f>
        <v>0</v>
      </c>
      <c r="S1340" s="84">
        <f>IF(ISNUMBER($M1340),ABS($M1340),0)</f>
        <v>0</v>
      </c>
      <c r="T1340" s="85" t="n">
        <v>1332</v>
      </c>
    </row>
    <row r="1341">
      <c r="B1341" s="83" t="n"/>
      <c r="C1341" s="83" t="n"/>
      <c r="D1341" s="83" t="n"/>
      <c r="E1341" s="83" t="n"/>
      <c r="F1341" s="83" t="n"/>
      <c r="G1341" s="83" t="n"/>
      <c r="H1341" s="83" t="n"/>
      <c r="I1341" s="83" t="n"/>
      <c r="J1341" s="83" t="n"/>
      <c r="K1341" s="83" t="n"/>
      <c r="L1341" s="83" t="n"/>
      <c r="M1341" s="83" t="n"/>
      <c r="O1341" s="84" t="str">
        <f>IF($C1341="","",IFERROR(MATCH($B1341&amp;"|"&amp;$C1341,MUROS!$AX$11:$AX$70,0),0))</f>
        <v/>
      </c>
      <c r="P1341" s="84" t="str">
        <f>IF($D1341="","",IF(ISNUMBER(MATCH($D1341,CMB_S,0)),1,IF(ISNUMBER(MATCH($D1341,CMB_G,0)),2,0)))</f>
        <v/>
      </c>
      <c r="Q1341" s="84">
        <f>IF(ISNUMBER($H1341),-$H1341,0)</f>
        <v>0</v>
      </c>
      <c r="R1341" s="84">
        <f>IF(ISNUMBER($I1341),ABS($I1341),0)</f>
        <v>0</v>
      </c>
      <c r="S1341" s="84">
        <f>IF(ISNUMBER($M1341),ABS($M1341),0)</f>
        <v>0</v>
      </c>
      <c r="T1341" s="85" t="n">
        <v>1333</v>
      </c>
    </row>
    <row r="1342">
      <c r="B1342" s="83" t="n"/>
      <c r="C1342" s="83" t="n"/>
      <c r="D1342" s="83" t="n"/>
      <c r="E1342" s="83" t="n"/>
      <c r="F1342" s="83" t="n"/>
      <c r="G1342" s="83" t="n"/>
      <c r="H1342" s="83" t="n"/>
      <c r="I1342" s="83" t="n"/>
      <c r="J1342" s="83" t="n"/>
      <c r="K1342" s="83" t="n"/>
      <c r="L1342" s="83" t="n"/>
      <c r="M1342" s="83" t="n"/>
      <c r="O1342" s="84" t="str">
        <f>IF($C1342="","",IFERROR(MATCH($B1342&amp;"|"&amp;$C1342,MUROS!$AX$11:$AX$70,0),0))</f>
        <v/>
      </c>
      <c r="P1342" s="84" t="str">
        <f>IF($D1342="","",IF(ISNUMBER(MATCH($D1342,CMB_S,0)),1,IF(ISNUMBER(MATCH($D1342,CMB_G,0)),2,0)))</f>
        <v/>
      </c>
      <c r="Q1342" s="84">
        <f>IF(ISNUMBER($H1342),-$H1342,0)</f>
        <v>0</v>
      </c>
      <c r="R1342" s="84">
        <f>IF(ISNUMBER($I1342),ABS($I1342),0)</f>
        <v>0</v>
      </c>
      <c r="S1342" s="84">
        <f>IF(ISNUMBER($M1342),ABS($M1342),0)</f>
        <v>0</v>
      </c>
      <c r="T1342" s="85" t="n">
        <v>1334</v>
      </c>
    </row>
    <row r="1343">
      <c r="B1343" s="83" t="n"/>
      <c r="C1343" s="83" t="n"/>
      <c r="D1343" s="83" t="n"/>
      <c r="E1343" s="83" t="n"/>
      <c r="F1343" s="83" t="n"/>
      <c r="G1343" s="83" t="n"/>
      <c r="H1343" s="83" t="n"/>
      <c r="I1343" s="83" t="n"/>
      <c r="J1343" s="83" t="n"/>
      <c r="K1343" s="83" t="n"/>
      <c r="L1343" s="83" t="n"/>
      <c r="M1343" s="83" t="n"/>
      <c r="O1343" s="84" t="str">
        <f>IF($C1343="","",IFERROR(MATCH($B1343&amp;"|"&amp;$C1343,MUROS!$AX$11:$AX$70,0),0))</f>
        <v/>
      </c>
      <c r="P1343" s="84" t="str">
        <f>IF($D1343="","",IF(ISNUMBER(MATCH($D1343,CMB_S,0)),1,IF(ISNUMBER(MATCH($D1343,CMB_G,0)),2,0)))</f>
        <v/>
      </c>
      <c r="Q1343" s="84">
        <f>IF(ISNUMBER($H1343),-$H1343,0)</f>
        <v>0</v>
      </c>
      <c r="R1343" s="84">
        <f>IF(ISNUMBER($I1343),ABS($I1343),0)</f>
        <v>0</v>
      </c>
      <c r="S1343" s="84">
        <f>IF(ISNUMBER($M1343),ABS($M1343),0)</f>
        <v>0</v>
      </c>
      <c r="T1343" s="85" t="n">
        <v>1335</v>
      </c>
    </row>
    <row r="1344">
      <c r="B1344" s="83" t="n"/>
      <c r="C1344" s="83" t="n"/>
      <c r="D1344" s="83" t="n"/>
      <c r="E1344" s="83" t="n"/>
      <c r="F1344" s="83" t="n"/>
      <c r="G1344" s="83" t="n"/>
      <c r="H1344" s="83" t="n"/>
      <c r="I1344" s="83" t="n"/>
      <c r="J1344" s="83" t="n"/>
      <c r="K1344" s="83" t="n"/>
      <c r="L1344" s="83" t="n"/>
      <c r="M1344" s="83" t="n"/>
      <c r="O1344" s="84" t="str">
        <f>IF($C1344="","",IFERROR(MATCH($B1344&amp;"|"&amp;$C1344,MUROS!$AX$11:$AX$70,0),0))</f>
        <v/>
      </c>
      <c r="P1344" s="84" t="str">
        <f>IF($D1344="","",IF(ISNUMBER(MATCH($D1344,CMB_S,0)),1,IF(ISNUMBER(MATCH($D1344,CMB_G,0)),2,0)))</f>
        <v/>
      </c>
      <c r="Q1344" s="84">
        <f>IF(ISNUMBER($H1344),-$H1344,0)</f>
        <v>0</v>
      </c>
      <c r="R1344" s="84">
        <f>IF(ISNUMBER($I1344),ABS($I1344),0)</f>
        <v>0</v>
      </c>
      <c r="S1344" s="84">
        <f>IF(ISNUMBER($M1344),ABS($M1344),0)</f>
        <v>0</v>
      </c>
      <c r="T1344" s="85" t="n">
        <v>1336</v>
      </c>
    </row>
    <row r="1345">
      <c r="B1345" s="83" t="n"/>
      <c r="C1345" s="83" t="n"/>
      <c r="D1345" s="83" t="n"/>
      <c r="E1345" s="83" t="n"/>
      <c r="F1345" s="83" t="n"/>
      <c r="G1345" s="83" t="n"/>
      <c r="H1345" s="83" t="n"/>
      <c r="I1345" s="83" t="n"/>
      <c r="J1345" s="83" t="n"/>
      <c r="K1345" s="83" t="n"/>
      <c r="L1345" s="83" t="n"/>
      <c r="M1345" s="83" t="n"/>
      <c r="O1345" s="84" t="str">
        <f>IF($C1345="","",IFERROR(MATCH($B1345&amp;"|"&amp;$C1345,MUROS!$AX$11:$AX$70,0),0))</f>
        <v/>
      </c>
      <c r="P1345" s="84" t="str">
        <f>IF($D1345="","",IF(ISNUMBER(MATCH($D1345,CMB_S,0)),1,IF(ISNUMBER(MATCH($D1345,CMB_G,0)),2,0)))</f>
        <v/>
      </c>
      <c r="Q1345" s="84">
        <f>IF(ISNUMBER($H1345),-$H1345,0)</f>
        <v>0</v>
      </c>
      <c r="R1345" s="84">
        <f>IF(ISNUMBER($I1345),ABS($I1345),0)</f>
        <v>0</v>
      </c>
      <c r="S1345" s="84">
        <f>IF(ISNUMBER($M1345),ABS($M1345),0)</f>
        <v>0</v>
      </c>
      <c r="T1345" s="85" t="n">
        <v>1337</v>
      </c>
    </row>
    <row r="1346">
      <c r="B1346" s="83" t="n"/>
      <c r="C1346" s="83" t="n"/>
      <c r="D1346" s="83" t="n"/>
      <c r="E1346" s="83" t="n"/>
      <c r="F1346" s="83" t="n"/>
      <c r="G1346" s="83" t="n"/>
      <c r="H1346" s="83" t="n"/>
      <c r="I1346" s="83" t="n"/>
      <c r="J1346" s="83" t="n"/>
      <c r="K1346" s="83" t="n"/>
      <c r="L1346" s="83" t="n"/>
      <c r="M1346" s="83" t="n"/>
      <c r="O1346" s="84" t="str">
        <f>IF($C1346="","",IFERROR(MATCH($B1346&amp;"|"&amp;$C1346,MUROS!$AX$11:$AX$70,0),0))</f>
        <v/>
      </c>
      <c r="P1346" s="84" t="str">
        <f>IF($D1346="","",IF(ISNUMBER(MATCH($D1346,CMB_S,0)),1,IF(ISNUMBER(MATCH($D1346,CMB_G,0)),2,0)))</f>
        <v/>
      </c>
      <c r="Q1346" s="84">
        <f>IF(ISNUMBER($H1346),-$H1346,0)</f>
        <v>0</v>
      </c>
      <c r="R1346" s="84">
        <f>IF(ISNUMBER($I1346),ABS($I1346),0)</f>
        <v>0</v>
      </c>
      <c r="S1346" s="84">
        <f>IF(ISNUMBER($M1346),ABS($M1346),0)</f>
        <v>0</v>
      </c>
      <c r="T1346" s="85" t="n">
        <v>1338</v>
      </c>
    </row>
    <row r="1347">
      <c r="B1347" s="83" t="n"/>
      <c r="C1347" s="83" t="n"/>
      <c r="D1347" s="83" t="n"/>
      <c r="E1347" s="83" t="n"/>
      <c r="F1347" s="83" t="n"/>
      <c r="G1347" s="83" t="n"/>
      <c r="H1347" s="83" t="n"/>
      <c r="I1347" s="83" t="n"/>
      <c r="J1347" s="83" t="n"/>
      <c r="K1347" s="83" t="n"/>
      <c r="L1347" s="83" t="n"/>
      <c r="M1347" s="83" t="n"/>
      <c r="O1347" s="84" t="str">
        <f>IF($C1347="","",IFERROR(MATCH($B1347&amp;"|"&amp;$C1347,MUROS!$AX$11:$AX$70,0),0))</f>
        <v/>
      </c>
      <c r="P1347" s="84" t="str">
        <f>IF($D1347="","",IF(ISNUMBER(MATCH($D1347,CMB_S,0)),1,IF(ISNUMBER(MATCH($D1347,CMB_G,0)),2,0)))</f>
        <v/>
      </c>
      <c r="Q1347" s="84">
        <f>IF(ISNUMBER($H1347),-$H1347,0)</f>
        <v>0</v>
      </c>
      <c r="R1347" s="84">
        <f>IF(ISNUMBER($I1347),ABS($I1347),0)</f>
        <v>0</v>
      </c>
      <c r="S1347" s="84">
        <f>IF(ISNUMBER($M1347),ABS($M1347),0)</f>
        <v>0</v>
      </c>
      <c r="T1347" s="85" t="n">
        <v>1339</v>
      </c>
    </row>
    <row r="1348">
      <c r="B1348" s="83" t="n"/>
      <c r="C1348" s="83" t="n"/>
      <c r="D1348" s="83" t="n"/>
      <c r="E1348" s="83" t="n"/>
      <c r="F1348" s="83" t="n"/>
      <c r="G1348" s="83" t="n"/>
      <c r="H1348" s="83" t="n"/>
      <c r="I1348" s="83" t="n"/>
      <c r="J1348" s="83" t="n"/>
      <c r="K1348" s="83" t="n"/>
      <c r="L1348" s="83" t="n"/>
      <c r="M1348" s="83" t="n"/>
      <c r="O1348" s="84" t="str">
        <f>IF($C1348="","",IFERROR(MATCH($B1348&amp;"|"&amp;$C1348,MUROS!$AX$11:$AX$70,0),0))</f>
        <v/>
      </c>
      <c r="P1348" s="84" t="str">
        <f>IF($D1348="","",IF(ISNUMBER(MATCH($D1348,CMB_S,0)),1,IF(ISNUMBER(MATCH($D1348,CMB_G,0)),2,0)))</f>
        <v/>
      </c>
      <c r="Q1348" s="84">
        <f>IF(ISNUMBER($H1348),-$H1348,0)</f>
        <v>0</v>
      </c>
      <c r="R1348" s="84">
        <f>IF(ISNUMBER($I1348),ABS($I1348),0)</f>
        <v>0</v>
      </c>
      <c r="S1348" s="84">
        <f>IF(ISNUMBER($M1348),ABS($M1348),0)</f>
        <v>0</v>
      </c>
      <c r="T1348" s="85" t="n">
        <v>1340</v>
      </c>
    </row>
    <row r="1349">
      <c r="B1349" s="83" t="n"/>
      <c r="C1349" s="83" t="n"/>
      <c r="D1349" s="83" t="n"/>
      <c r="E1349" s="83" t="n"/>
      <c r="F1349" s="83" t="n"/>
      <c r="G1349" s="83" t="n"/>
      <c r="H1349" s="83" t="n"/>
      <c r="I1349" s="83" t="n"/>
      <c r="J1349" s="83" t="n"/>
      <c r="K1349" s="83" t="n"/>
      <c r="L1349" s="83" t="n"/>
      <c r="M1349" s="83" t="n"/>
      <c r="O1349" s="84" t="str">
        <f>IF($C1349="","",IFERROR(MATCH($B1349&amp;"|"&amp;$C1349,MUROS!$AX$11:$AX$70,0),0))</f>
        <v/>
      </c>
      <c r="P1349" s="84" t="str">
        <f>IF($D1349="","",IF(ISNUMBER(MATCH($D1349,CMB_S,0)),1,IF(ISNUMBER(MATCH($D1349,CMB_G,0)),2,0)))</f>
        <v/>
      </c>
      <c r="Q1349" s="84">
        <f>IF(ISNUMBER($H1349),-$H1349,0)</f>
        <v>0</v>
      </c>
      <c r="R1349" s="84">
        <f>IF(ISNUMBER($I1349),ABS($I1349),0)</f>
        <v>0</v>
      </c>
      <c r="S1349" s="84">
        <f>IF(ISNUMBER($M1349),ABS($M1349),0)</f>
        <v>0</v>
      </c>
      <c r="T1349" s="85" t="n">
        <v>1341</v>
      </c>
    </row>
    <row r="1350">
      <c r="B1350" s="83" t="n"/>
      <c r="C1350" s="83" t="n"/>
      <c r="D1350" s="83" t="n"/>
      <c r="E1350" s="83" t="n"/>
      <c r="F1350" s="83" t="n"/>
      <c r="G1350" s="83" t="n"/>
      <c r="H1350" s="83" t="n"/>
      <c r="I1350" s="83" t="n"/>
      <c r="J1350" s="83" t="n"/>
      <c r="K1350" s="83" t="n"/>
      <c r="L1350" s="83" t="n"/>
      <c r="M1350" s="83" t="n"/>
      <c r="O1350" s="84" t="str">
        <f>IF($C1350="","",IFERROR(MATCH($B1350&amp;"|"&amp;$C1350,MUROS!$AX$11:$AX$70,0),0))</f>
        <v/>
      </c>
      <c r="P1350" s="84" t="str">
        <f>IF($D1350="","",IF(ISNUMBER(MATCH($D1350,CMB_S,0)),1,IF(ISNUMBER(MATCH($D1350,CMB_G,0)),2,0)))</f>
        <v/>
      </c>
      <c r="Q1350" s="84">
        <f>IF(ISNUMBER($H1350),-$H1350,0)</f>
        <v>0</v>
      </c>
      <c r="R1350" s="84">
        <f>IF(ISNUMBER($I1350),ABS($I1350),0)</f>
        <v>0</v>
      </c>
      <c r="S1350" s="84">
        <f>IF(ISNUMBER($M1350),ABS($M1350),0)</f>
        <v>0</v>
      </c>
      <c r="T1350" s="85" t="n">
        <v>1342</v>
      </c>
    </row>
    <row r="1351">
      <c r="B1351" s="83" t="n"/>
      <c r="C1351" s="83" t="n"/>
      <c r="D1351" s="83" t="n"/>
      <c r="E1351" s="83" t="n"/>
      <c r="F1351" s="83" t="n"/>
      <c r="G1351" s="83" t="n"/>
      <c r="H1351" s="83" t="n"/>
      <c r="I1351" s="83" t="n"/>
      <c r="J1351" s="83" t="n"/>
      <c r="K1351" s="83" t="n"/>
      <c r="L1351" s="83" t="n"/>
      <c r="M1351" s="83" t="n"/>
      <c r="O1351" s="84" t="str">
        <f>IF($C1351="","",IFERROR(MATCH($B1351&amp;"|"&amp;$C1351,MUROS!$AX$11:$AX$70,0),0))</f>
        <v/>
      </c>
      <c r="P1351" s="84" t="str">
        <f>IF($D1351="","",IF(ISNUMBER(MATCH($D1351,CMB_S,0)),1,IF(ISNUMBER(MATCH($D1351,CMB_G,0)),2,0)))</f>
        <v/>
      </c>
      <c r="Q1351" s="84">
        <f>IF(ISNUMBER($H1351),-$H1351,0)</f>
        <v>0</v>
      </c>
      <c r="R1351" s="84">
        <f>IF(ISNUMBER($I1351),ABS($I1351),0)</f>
        <v>0</v>
      </c>
      <c r="S1351" s="84">
        <f>IF(ISNUMBER($M1351),ABS($M1351),0)</f>
        <v>0</v>
      </c>
      <c r="T1351" s="85" t="n">
        <v>1343</v>
      </c>
    </row>
    <row r="1352">
      <c r="B1352" s="83" t="n"/>
      <c r="C1352" s="83" t="n"/>
      <c r="D1352" s="83" t="n"/>
      <c r="E1352" s="83" t="n"/>
      <c r="F1352" s="83" t="n"/>
      <c r="G1352" s="83" t="n"/>
      <c r="H1352" s="83" t="n"/>
      <c r="I1352" s="83" t="n"/>
      <c r="J1352" s="83" t="n"/>
      <c r="K1352" s="83" t="n"/>
      <c r="L1352" s="83" t="n"/>
      <c r="M1352" s="83" t="n"/>
      <c r="O1352" s="84" t="str">
        <f>IF($C1352="","",IFERROR(MATCH($B1352&amp;"|"&amp;$C1352,MUROS!$AX$11:$AX$70,0),0))</f>
        <v/>
      </c>
      <c r="P1352" s="84" t="str">
        <f>IF($D1352="","",IF(ISNUMBER(MATCH($D1352,CMB_S,0)),1,IF(ISNUMBER(MATCH($D1352,CMB_G,0)),2,0)))</f>
        <v/>
      </c>
      <c r="Q1352" s="84">
        <f>IF(ISNUMBER($H1352),-$H1352,0)</f>
        <v>0</v>
      </c>
      <c r="R1352" s="84">
        <f>IF(ISNUMBER($I1352),ABS($I1352),0)</f>
        <v>0</v>
      </c>
      <c r="S1352" s="84">
        <f>IF(ISNUMBER($M1352),ABS($M1352),0)</f>
        <v>0</v>
      </c>
      <c r="T1352" s="85" t="n">
        <v>1344</v>
      </c>
    </row>
    <row r="1353">
      <c r="B1353" s="83" t="n"/>
      <c r="C1353" s="83" t="n"/>
      <c r="D1353" s="83" t="n"/>
      <c r="E1353" s="83" t="n"/>
      <c r="F1353" s="83" t="n"/>
      <c r="G1353" s="83" t="n"/>
      <c r="H1353" s="83" t="n"/>
      <c r="I1353" s="83" t="n"/>
      <c r="J1353" s="83" t="n"/>
      <c r="K1353" s="83" t="n"/>
      <c r="L1353" s="83" t="n"/>
      <c r="M1353" s="83" t="n"/>
      <c r="O1353" s="84" t="str">
        <f>IF($C1353="","",IFERROR(MATCH($B1353&amp;"|"&amp;$C1353,MUROS!$AX$11:$AX$70,0),0))</f>
        <v/>
      </c>
      <c r="P1353" s="84" t="str">
        <f>IF($D1353="","",IF(ISNUMBER(MATCH($D1353,CMB_S,0)),1,IF(ISNUMBER(MATCH($D1353,CMB_G,0)),2,0)))</f>
        <v/>
      </c>
      <c r="Q1353" s="84">
        <f>IF(ISNUMBER($H1353),-$H1353,0)</f>
        <v>0</v>
      </c>
      <c r="R1353" s="84">
        <f>IF(ISNUMBER($I1353),ABS($I1353),0)</f>
        <v>0</v>
      </c>
      <c r="S1353" s="84">
        <f>IF(ISNUMBER($M1353),ABS($M1353),0)</f>
        <v>0</v>
      </c>
      <c r="T1353" s="85" t="n">
        <v>1345</v>
      </c>
    </row>
    <row r="1354">
      <c r="B1354" s="83" t="n"/>
      <c r="C1354" s="83" t="n"/>
      <c r="D1354" s="83" t="n"/>
      <c r="E1354" s="83" t="n"/>
      <c r="F1354" s="83" t="n"/>
      <c r="G1354" s="83" t="n"/>
      <c r="H1354" s="83" t="n"/>
      <c r="I1354" s="83" t="n"/>
      <c r="J1354" s="83" t="n"/>
      <c r="K1354" s="83" t="n"/>
      <c r="L1354" s="83" t="n"/>
      <c r="M1354" s="83" t="n"/>
      <c r="O1354" s="84" t="str">
        <f>IF($C1354="","",IFERROR(MATCH($B1354&amp;"|"&amp;$C1354,MUROS!$AX$11:$AX$70,0),0))</f>
        <v/>
      </c>
      <c r="P1354" s="84" t="str">
        <f>IF($D1354="","",IF(ISNUMBER(MATCH($D1354,CMB_S,0)),1,IF(ISNUMBER(MATCH($D1354,CMB_G,0)),2,0)))</f>
        <v/>
      </c>
      <c r="Q1354" s="84">
        <f>IF(ISNUMBER($H1354),-$H1354,0)</f>
        <v>0</v>
      </c>
      <c r="R1354" s="84">
        <f>IF(ISNUMBER($I1354),ABS($I1354),0)</f>
        <v>0</v>
      </c>
      <c r="S1354" s="84">
        <f>IF(ISNUMBER($M1354),ABS($M1354),0)</f>
        <v>0</v>
      </c>
      <c r="T1354" s="85" t="n">
        <v>1346</v>
      </c>
    </row>
    <row r="1355">
      <c r="B1355" s="83" t="n"/>
      <c r="C1355" s="83" t="n"/>
      <c r="D1355" s="83" t="n"/>
      <c r="E1355" s="83" t="n"/>
      <c r="F1355" s="83" t="n"/>
      <c r="G1355" s="83" t="n"/>
      <c r="H1355" s="83" t="n"/>
      <c r="I1355" s="83" t="n"/>
      <c r="J1355" s="83" t="n"/>
      <c r="K1355" s="83" t="n"/>
      <c r="L1355" s="83" t="n"/>
      <c r="M1355" s="83" t="n"/>
      <c r="O1355" s="84" t="str">
        <f>IF($C1355="","",IFERROR(MATCH($B1355&amp;"|"&amp;$C1355,MUROS!$AX$11:$AX$70,0),0))</f>
        <v/>
      </c>
      <c r="P1355" s="84" t="str">
        <f>IF($D1355="","",IF(ISNUMBER(MATCH($D1355,CMB_S,0)),1,IF(ISNUMBER(MATCH($D1355,CMB_G,0)),2,0)))</f>
        <v/>
      </c>
      <c r="Q1355" s="84">
        <f>IF(ISNUMBER($H1355),-$H1355,0)</f>
        <v>0</v>
      </c>
      <c r="R1355" s="84">
        <f>IF(ISNUMBER($I1355),ABS($I1355),0)</f>
        <v>0</v>
      </c>
      <c r="S1355" s="84">
        <f>IF(ISNUMBER($M1355),ABS($M1355),0)</f>
        <v>0</v>
      </c>
      <c r="T1355" s="85" t="n">
        <v>1347</v>
      </c>
    </row>
    <row r="1356">
      <c r="B1356" s="83" t="n"/>
      <c r="C1356" s="83" t="n"/>
      <c r="D1356" s="83" t="n"/>
      <c r="E1356" s="83" t="n"/>
      <c r="F1356" s="83" t="n"/>
      <c r="G1356" s="83" t="n"/>
      <c r="H1356" s="83" t="n"/>
      <c r="I1356" s="83" t="n"/>
      <c r="J1356" s="83" t="n"/>
      <c r="K1356" s="83" t="n"/>
      <c r="L1356" s="83" t="n"/>
      <c r="M1356" s="83" t="n"/>
      <c r="O1356" s="84" t="str">
        <f>IF($C1356="","",IFERROR(MATCH($B1356&amp;"|"&amp;$C1356,MUROS!$AX$11:$AX$70,0),0))</f>
        <v/>
      </c>
      <c r="P1356" s="84" t="str">
        <f>IF($D1356="","",IF(ISNUMBER(MATCH($D1356,CMB_S,0)),1,IF(ISNUMBER(MATCH($D1356,CMB_G,0)),2,0)))</f>
        <v/>
      </c>
      <c r="Q1356" s="84">
        <f>IF(ISNUMBER($H1356),-$H1356,0)</f>
        <v>0</v>
      </c>
      <c r="R1356" s="84">
        <f>IF(ISNUMBER($I1356),ABS($I1356),0)</f>
        <v>0</v>
      </c>
      <c r="S1356" s="84">
        <f>IF(ISNUMBER($M1356),ABS($M1356),0)</f>
        <v>0</v>
      </c>
      <c r="T1356" s="85" t="n">
        <v>1348</v>
      </c>
    </row>
    <row r="1357">
      <c r="B1357" s="83" t="n"/>
      <c r="C1357" s="83" t="n"/>
      <c r="D1357" s="83" t="n"/>
      <c r="E1357" s="83" t="n"/>
      <c r="F1357" s="83" t="n"/>
      <c r="G1357" s="83" t="n"/>
      <c r="H1357" s="83" t="n"/>
      <c r="I1357" s="83" t="n"/>
      <c r="J1357" s="83" t="n"/>
      <c r="K1357" s="83" t="n"/>
      <c r="L1357" s="83" t="n"/>
      <c r="M1357" s="83" t="n"/>
      <c r="O1357" s="84" t="str">
        <f>IF($C1357="","",IFERROR(MATCH($B1357&amp;"|"&amp;$C1357,MUROS!$AX$11:$AX$70,0),0))</f>
        <v/>
      </c>
      <c r="P1357" s="84" t="str">
        <f>IF($D1357="","",IF(ISNUMBER(MATCH($D1357,CMB_S,0)),1,IF(ISNUMBER(MATCH($D1357,CMB_G,0)),2,0)))</f>
        <v/>
      </c>
      <c r="Q1357" s="84">
        <f>IF(ISNUMBER($H1357),-$H1357,0)</f>
        <v>0</v>
      </c>
      <c r="R1357" s="84">
        <f>IF(ISNUMBER($I1357),ABS($I1357),0)</f>
        <v>0</v>
      </c>
      <c r="S1357" s="84">
        <f>IF(ISNUMBER($M1357),ABS($M1357),0)</f>
        <v>0</v>
      </c>
      <c r="T1357" s="85" t="n">
        <v>1349</v>
      </c>
    </row>
    <row r="1358">
      <c r="B1358" s="83" t="n"/>
      <c r="C1358" s="83" t="n"/>
      <c r="D1358" s="83" t="n"/>
      <c r="E1358" s="83" t="n"/>
      <c r="F1358" s="83" t="n"/>
      <c r="G1358" s="83" t="n"/>
      <c r="H1358" s="83" t="n"/>
      <c r="I1358" s="83" t="n"/>
      <c r="J1358" s="83" t="n"/>
      <c r="K1358" s="83" t="n"/>
      <c r="L1358" s="83" t="n"/>
      <c r="M1358" s="83" t="n"/>
      <c r="O1358" s="84" t="str">
        <f>IF($C1358="","",IFERROR(MATCH($B1358&amp;"|"&amp;$C1358,MUROS!$AX$11:$AX$70,0),0))</f>
        <v/>
      </c>
      <c r="P1358" s="84" t="str">
        <f>IF($D1358="","",IF(ISNUMBER(MATCH($D1358,CMB_S,0)),1,IF(ISNUMBER(MATCH($D1358,CMB_G,0)),2,0)))</f>
        <v/>
      </c>
      <c r="Q1358" s="84">
        <f>IF(ISNUMBER($H1358),-$H1358,0)</f>
        <v>0</v>
      </c>
      <c r="R1358" s="84">
        <f>IF(ISNUMBER($I1358),ABS($I1358),0)</f>
        <v>0</v>
      </c>
      <c r="S1358" s="84">
        <f>IF(ISNUMBER($M1358),ABS($M1358),0)</f>
        <v>0</v>
      </c>
      <c r="T1358" s="85" t="n">
        <v>1350</v>
      </c>
    </row>
    <row r="1359">
      <c r="B1359" s="83" t="n"/>
      <c r="C1359" s="83" t="n"/>
      <c r="D1359" s="83" t="n"/>
      <c r="E1359" s="83" t="n"/>
      <c r="F1359" s="83" t="n"/>
      <c r="G1359" s="83" t="n"/>
      <c r="H1359" s="83" t="n"/>
      <c r="I1359" s="83" t="n"/>
      <c r="J1359" s="83" t="n"/>
      <c r="K1359" s="83" t="n"/>
      <c r="L1359" s="83" t="n"/>
      <c r="M1359" s="83" t="n"/>
      <c r="O1359" s="84" t="str">
        <f>IF($C1359="","",IFERROR(MATCH($B1359&amp;"|"&amp;$C1359,MUROS!$AX$11:$AX$70,0),0))</f>
        <v/>
      </c>
      <c r="P1359" s="84" t="str">
        <f>IF($D1359="","",IF(ISNUMBER(MATCH($D1359,CMB_S,0)),1,IF(ISNUMBER(MATCH($D1359,CMB_G,0)),2,0)))</f>
        <v/>
      </c>
      <c r="Q1359" s="84">
        <f>IF(ISNUMBER($H1359),-$H1359,0)</f>
        <v>0</v>
      </c>
      <c r="R1359" s="84">
        <f>IF(ISNUMBER($I1359),ABS($I1359),0)</f>
        <v>0</v>
      </c>
      <c r="S1359" s="84">
        <f>IF(ISNUMBER($M1359),ABS($M1359),0)</f>
        <v>0</v>
      </c>
      <c r="T1359" s="85" t="n">
        <v>1351</v>
      </c>
    </row>
    <row r="1360">
      <c r="B1360" s="83" t="n"/>
      <c r="C1360" s="83" t="n"/>
      <c r="D1360" s="83" t="n"/>
      <c r="E1360" s="83" t="n"/>
      <c r="F1360" s="83" t="n"/>
      <c r="G1360" s="83" t="n"/>
      <c r="H1360" s="83" t="n"/>
      <c r="I1360" s="83" t="n"/>
      <c r="J1360" s="83" t="n"/>
      <c r="K1360" s="83" t="n"/>
      <c r="L1360" s="83" t="n"/>
      <c r="M1360" s="83" t="n"/>
      <c r="O1360" s="84" t="str">
        <f>IF($C1360="","",IFERROR(MATCH($B1360&amp;"|"&amp;$C1360,MUROS!$AX$11:$AX$70,0),0))</f>
        <v/>
      </c>
      <c r="P1360" s="84" t="str">
        <f>IF($D1360="","",IF(ISNUMBER(MATCH($D1360,CMB_S,0)),1,IF(ISNUMBER(MATCH($D1360,CMB_G,0)),2,0)))</f>
        <v/>
      </c>
      <c r="Q1360" s="84">
        <f>IF(ISNUMBER($H1360),-$H1360,0)</f>
        <v>0</v>
      </c>
      <c r="R1360" s="84">
        <f>IF(ISNUMBER($I1360),ABS($I1360),0)</f>
        <v>0</v>
      </c>
      <c r="S1360" s="84">
        <f>IF(ISNUMBER($M1360),ABS($M1360),0)</f>
        <v>0</v>
      </c>
      <c r="T1360" s="85" t="n">
        <v>1352</v>
      </c>
    </row>
    <row r="1361">
      <c r="B1361" s="83" t="n"/>
      <c r="C1361" s="83" t="n"/>
      <c r="D1361" s="83" t="n"/>
      <c r="E1361" s="83" t="n"/>
      <c r="F1361" s="83" t="n"/>
      <c r="G1361" s="83" t="n"/>
      <c r="H1361" s="83" t="n"/>
      <c r="I1361" s="83" t="n"/>
      <c r="J1361" s="83" t="n"/>
      <c r="K1361" s="83" t="n"/>
      <c r="L1361" s="83" t="n"/>
      <c r="M1361" s="83" t="n"/>
      <c r="O1361" s="84" t="str">
        <f>IF($C1361="","",IFERROR(MATCH($B1361&amp;"|"&amp;$C1361,MUROS!$AX$11:$AX$70,0),0))</f>
        <v/>
      </c>
      <c r="P1361" s="84" t="str">
        <f>IF($D1361="","",IF(ISNUMBER(MATCH($D1361,CMB_S,0)),1,IF(ISNUMBER(MATCH($D1361,CMB_G,0)),2,0)))</f>
        <v/>
      </c>
      <c r="Q1361" s="84">
        <f>IF(ISNUMBER($H1361),-$H1361,0)</f>
        <v>0</v>
      </c>
      <c r="R1361" s="84">
        <f>IF(ISNUMBER($I1361),ABS($I1361),0)</f>
        <v>0</v>
      </c>
      <c r="S1361" s="84">
        <f>IF(ISNUMBER($M1361),ABS($M1361),0)</f>
        <v>0</v>
      </c>
      <c r="T1361" s="85" t="n">
        <v>1353</v>
      </c>
    </row>
    <row r="1362">
      <c r="B1362" s="83" t="n"/>
      <c r="C1362" s="83" t="n"/>
      <c r="D1362" s="83" t="n"/>
      <c r="E1362" s="83" t="n"/>
      <c r="F1362" s="83" t="n"/>
      <c r="G1362" s="83" t="n"/>
      <c r="H1362" s="83" t="n"/>
      <c r="I1362" s="83" t="n"/>
      <c r="J1362" s="83" t="n"/>
      <c r="K1362" s="83" t="n"/>
      <c r="L1362" s="83" t="n"/>
      <c r="M1362" s="83" t="n"/>
      <c r="O1362" s="84" t="str">
        <f>IF($C1362="","",IFERROR(MATCH($B1362&amp;"|"&amp;$C1362,MUROS!$AX$11:$AX$70,0),0))</f>
        <v/>
      </c>
      <c r="P1362" s="84" t="str">
        <f>IF($D1362="","",IF(ISNUMBER(MATCH($D1362,CMB_S,0)),1,IF(ISNUMBER(MATCH($D1362,CMB_G,0)),2,0)))</f>
        <v/>
      </c>
      <c r="Q1362" s="84">
        <f>IF(ISNUMBER($H1362),-$H1362,0)</f>
        <v>0</v>
      </c>
      <c r="R1362" s="84">
        <f>IF(ISNUMBER($I1362),ABS($I1362),0)</f>
        <v>0</v>
      </c>
      <c r="S1362" s="84">
        <f>IF(ISNUMBER($M1362),ABS($M1362),0)</f>
        <v>0</v>
      </c>
      <c r="T1362" s="85" t="n">
        <v>1354</v>
      </c>
    </row>
    <row r="1363">
      <c r="B1363" s="83" t="n"/>
      <c r="C1363" s="83" t="n"/>
      <c r="D1363" s="83" t="n"/>
      <c r="E1363" s="83" t="n"/>
      <c r="F1363" s="83" t="n"/>
      <c r="G1363" s="83" t="n"/>
      <c r="H1363" s="83" t="n"/>
      <c r="I1363" s="83" t="n"/>
      <c r="J1363" s="83" t="n"/>
      <c r="K1363" s="83" t="n"/>
      <c r="L1363" s="83" t="n"/>
      <c r="M1363" s="83" t="n"/>
      <c r="O1363" s="84" t="str">
        <f>IF($C1363="","",IFERROR(MATCH($B1363&amp;"|"&amp;$C1363,MUROS!$AX$11:$AX$70,0),0))</f>
        <v/>
      </c>
      <c r="P1363" s="84" t="str">
        <f>IF($D1363="","",IF(ISNUMBER(MATCH($D1363,CMB_S,0)),1,IF(ISNUMBER(MATCH($D1363,CMB_G,0)),2,0)))</f>
        <v/>
      </c>
      <c r="Q1363" s="84">
        <f>IF(ISNUMBER($H1363),-$H1363,0)</f>
        <v>0</v>
      </c>
      <c r="R1363" s="84">
        <f>IF(ISNUMBER($I1363),ABS($I1363),0)</f>
        <v>0</v>
      </c>
      <c r="S1363" s="84">
        <f>IF(ISNUMBER($M1363),ABS($M1363),0)</f>
        <v>0</v>
      </c>
      <c r="T1363" s="85" t="n">
        <v>1355</v>
      </c>
    </row>
    <row r="1364">
      <c r="B1364" s="83" t="n"/>
      <c r="C1364" s="83" t="n"/>
      <c r="D1364" s="83" t="n"/>
      <c r="E1364" s="83" t="n"/>
      <c r="F1364" s="83" t="n"/>
      <c r="G1364" s="83" t="n"/>
      <c r="H1364" s="83" t="n"/>
      <c r="I1364" s="83" t="n"/>
      <c r="J1364" s="83" t="n"/>
      <c r="K1364" s="83" t="n"/>
      <c r="L1364" s="83" t="n"/>
      <c r="M1364" s="83" t="n"/>
      <c r="O1364" s="84" t="str">
        <f>IF($C1364="","",IFERROR(MATCH($B1364&amp;"|"&amp;$C1364,MUROS!$AX$11:$AX$70,0),0))</f>
        <v/>
      </c>
      <c r="P1364" s="84" t="str">
        <f>IF($D1364="","",IF(ISNUMBER(MATCH($D1364,CMB_S,0)),1,IF(ISNUMBER(MATCH($D1364,CMB_G,0)),2,0)))</f>
        <v/>
      </c>
      <c r="Q1364" s="84">
        <f>IF(ISNUMBER($H1364),-$H1364,0)</f>
        <v>0</v>
      </c>
      <c r="R1364" s="84">
        <f>IF(ISNUMBER($I1364),ABS($I1364),0)</f>
        <v>0</v>
      </c>
      <c r="S1364" s="84">
        <f>IF(ISNUMBER($M1364),ABS($M1364),0)</f>
        <v>0</v>
      </c>
      <c r="T1364" s="85" t="n">
        <v>1356</v>
      </c>
    </row>
    <row r="1365">
      <c r="B1365" s="83" t="n"/>
      <c r="C1365" s="83" t="n"/>
      <c r="D1365" s="83" t="n"/>
      <c r="E1365" s="83" t="n"/>
      <c r="F1365" s="83" t="n"/>
      <c r="G1365" s="83" t="n"/>
      <c r="H1365" s="83" t="n"/>
      <c r="I1365" s="83" t="n"/>
      <c r="J1365" s="83" t="n"/>
      <c r="K1365" s="83" t="n"/>
      <c r="L1365" s="83" t="n"/>
      <c r="M1365" s="83" t="n"/>
      <c r="O1365" s="84" t="str">
        <f>IF($C1365="","",IFERROR(MATCH($B1365&amp;"|"&amp;$C1365,MUROS!$AX$11:$AX$70,0),0))</f>
        <v/>
      </c>
      <c r="P1365" s="84" t="str">
        <f>IF($D1365="","",IF(ISNUMBER(MATCH($D1365,CMB_S,0)),1,IF(ISNUMBER(MATCH($D1365,CMB_G,0)),2,0)))</f>
        <v/>
      </c>
      <c r="Q1365" s="84">
        <f>IF(ISNUMBER($H1365),-$H1365,0)</f>
        <v>0</v>
      </c>
      <c r="R1365" s="84">
        <f>IF(ISNUMBER($I1365),ABS($I1365),0)</f>
        <v>0</v>
      </c>
      <c r="S1365" s="84">
        <f>IF(ISNUMBER($M1365),ABS($M1365),0)</f>
        <v>0</v>
      </c>
      <c r="T1365" s="85" t="n">
        <v>1357</v>
      </c>
    </row>
    <row r="1366">
      <c r="B1366" s="83" t="n"/>
      <c r="C1366" s="83" t="n"/>
      <c r="D1366" s="83" t="n"/>
      <c r="E1366" s="83" t="n"/>
      <c r="F1366" s="83" t="n"/>
      <c r="G1366" s="83" t="n"/>
      <c r="H1366" s="83" t="n"/>
      <c r="I1366" s="83" t="n"/>
      <c r="J1366" s="83" t="n"/>
      <c r="K1366" s="83" t="n"/>
      <c r="L1366" s="83" t="n"/>
      <c r="M1366" s="83" t="n"/>
      <c r="O1366" s="84" t="str">
        <f>IF($C1366="","",IFERROR(MATCH($B1366&amp;"|"&amp;$C1366,MUROS!$AX$11:$AX$70,0),0))</f>
        <v/>
      </c>
      <c r="P1366" s="84" t="str">
        <f>IF($D1366="","",IF(ISNUMBER(MATCH($D1366,CMB_S,0)),1,IF(ISNUMBER(MATCH($D1366,CMB_G,0)),2,0)))</f>
        <v/>
      </c>
      <c r="Q1366" s="84">
        <f>IF(ISNUMBER($H1366),-$H1366,0)</f>
        <v>0</v>
      </c>
      <c r="R1366" s="84">
        <f>IF(ISNUMBER($I1366),ABS($I1366),0)</f>
        <v>0</v>
      </c>
      <c r="S1366" s="84">
        <f>IF(ISNUMBER($M1366),ABS($M1366),0)</f>
        <v>0</v>
      </c>
      <c r="T1366" s="85" t="n">
        <v>1358</v>
      </c>
    </row>
    <row r="1367">
      <c r="B1367" s="83" t="n"/>
      <c r="C1367" s="83" t="n"/>
      <c r="D1367" s="83" t="n"/>
      <c r="E1367" s="83" t="n"/>
      <c r="F1367" s="83" t="n"/>
      <c r="G1367" s="83" t="n"/>
      <c r="H1367" s="83" t="n"/>
      <c r="I1367" s="83" t="n"/>
      <c r="J1367" s="83" t="n"/>
      <c r="K1367" s="83" t="n"/>
      <c r="L1367" s="83" t="n"/>
      <c r="M1367" s="83" t="n"/>
      <c r="O1367" s="84" t="str">
        <f>IF($C1367="","",IFERROR(MATCH($B1367&amp;"|"&amp;$C1367,MUROS!$AX$11:$AX$70,0),0))</f>
        <v/>
      </c>
      <c r="P1367" s="84" t="str">
        <f>IF($D1367="","",IF(ISNUMBER(MATCH($D1367,CMB_S,0)),1,IF(ISNUMBER(MATCH($D1367,CMB_G,0)),2,0)))</f>
        <v/>
      </c>
      <c r="Q1367" s="84">
        <f>IF(ISNUMBER($H1367),-$H1367,0)</f>
        <v>0</v>
      </c>
      <c r="R1367" s="84">
        <f>IF(ISNUMBER($I1367),ABS($I1367),0)</f>
        <v>0</v>
      </c>
      <c r="S1367" s="84">
        <f>IF(ISNUMBER($M1367),ABS($M1367),0)</f>
        <v>0</v>
      </c>
      <c r="T1367" s="85" t="n">
        <v>1359</v>
      </c>
    </row>
    <row r="1368">
      <c r="B1368" s="83" t="n"/>
      <c r="C1368" s="83" t="n"/>
      <c r="D1368" s="83" t="n"/>
      <c r="E1368" s="83" t="n"/>
      <c r="F1368" s="83" t="n"/>
      <c r="G1368" s="83" t="n"/>
      <c r="H1368" s="83" t="n"/>
      <c r="I1368" s="83" t="n"/>
      <c r="J1368" s="83" t="n"/>
      <c r="K1368" s="83" t="n"/>
      <c r="L1368" s="83" t="n"/>
      <c r="M1368" s="83" t="n"/>
      <c r="O1368" s="84" t="str">
        <f>IF($C1368="","",IFERROR(MATCH($B1368&amp;"|"&amp;$C1368,MUROS!$AX$11:$AX$70,0),0))</f>
        <v/>
      </c>
      <c r="P1368" s="84" t="str">
        <f>IF($D1368="","",IF(ISNUMBER(MATCH($D1368,CMB_S,0)),1,IF(ISNUMBER(MATCH($D1368,CMB_G,0)),2,0)))</f>
        <v/>
      </c>
      <c r="Q1368" s="84">
        <f>IF(ISNUMBER($H1368),-$H1368,0)</f>
        <v>0</v>
      </c>
      <c r="R1368" s="84">
        <f>IF(ISNUMBER($I1368),ABS($I1368),0)</f>
        <v>0</v>
      </c>
      <c r="S1368" s="84">
        <f>IF(ISNUMBER($M1368),ABS($M1368),0)</f>
        <v>0</v>
      </c>
      <c r="T1368" s="85" t="n">
        <v>1360</v>
      </c>
    </row>
    <row r="1369">
      <c r="B1369" s="83" t="n"/>
      <c r="C1369" s="83" t="n"/>
      <c r="D1369" s="83" t="n"/>
      <c r="E1369" s="83" t="n"/>
      <c r="F1369" s="83" t="n"/>
      <c r="G1369" s="83" t="n"/>
      <c r="H1369" s="83" t="n"/>
      <c r="I1369" s="83" t="n"/>
      <c r="J1369" s="83" t="n"/>
      <c r="K1369" s="83" t="n"/>
      <c r="L1369" s="83" t="n"/>
      <c r="M1369" s="83" t="n"/>
      <c r="O1369" s="84" t="str">
        <f>IF($C1369="","",IFERROR(MATCH($B1369&amp;"|"&amp;$C1369,MUROS!$AX$11:$AX$70,0),0))</f>
        <v/>
      </c>
      <c r="P1369" s="84" t="str">
        <f>IF($D1369="","",IF(ISNUMBER(MATCH($D1369,CMB_S,0)),1,IF(ISNUMBER(MATCH($D1369,CMB_G,0)),2,0)))</f>
        <v/>
      </c>
      <c r="Q1369" s="84">
        <f>IF(ISNUMBER($H1369),-$H1369,0)</f>
        <v>0</v>
      </c>
      <c r="R1369" s="84">
        <f>IF(ISNUMBER($I1369),ABS($I1369),0)</f>
        <v>0</v>
      </c>
      <c r="S1369" s="84">
        <f>IF(ISNUMBER($M1369),ABS($M1369),0)</f>
        <v>0</v>
      </c>
      <c r="T1369" s="85" t="n">
        <v>1361</v>
      </c>
    </row>
    <row r="1370">
      <c r="B1370" s="83" t="n"/>
      <c r="C1370" s="83" t="n"/>
      <c r="D1370" s="83" t="n"/>
      <c r="E1370" s="83" t="n"/>
      <c r="F1370" s="83" t="n"/>
      <c r="G1370" s="83" t="n"/>
      <c r="H1370" s="83" t="n"/>
      <c r="I1370" s="83" t="n"/>
      <c r="J1370" s="83" t="n"/>
      <c r="K1370" s="83" t="n"/>
      <c r="L1370" s="83" t="n"/>
      <c r="M1370" s="83" t="n"/>
      <c r="O1370" s="84" t="str">
        <f>IF($C1370="","",IFERROR(MATCH($B1370&amp;"|"&amp;$C1370,MUROS!$AX$11:$AX$70,0),0))</f>
        <v/>
      </c>
      <c r="P1370" s="84" t="str">
        <f>IF($D1370="","",IF(ISNUMBER(MATCH($D1370,CMB_S,0)),1,IF(ISNUMBER(MATCH($D1370,CMB_G,0)),2,0)))</f>
        <v/>
      </c>
      <c r="Q1370" s="84">
        <f>IF(ISNUMBER($H1370),-$H1370,0)</f>
        <v>0</v>
      </c>
      <c r="R1370" s="84">
        <f>IF(ISNUMBER($I1370),ABS($I1370),0)</f>
        <v>0</v>
      </c>
      <c r="S1370" s="84">
        <f>IF(ISNUMBER($M1370),ABS($M1370),0)</f>
        <v>0</v>
      </c>
      <c r="T1370" s="85" t="n">
        <v>1362</v>
      </c>
    </row>
    <row r="1371">
      <c r="B1371" s="83" t="n"/>
      <c r="C1371" s="83" t="n"/>
      <c r="D1371" s="83" t="n"/>
      <c r="E1371" s="83" t="n"/>
      <c r="F1371" s="83" t="n"/>
      <c r="G1371" s="83" t="n"/>
      <c r="H1371" s="83" t="n"/>
      <c r="I1371" s="83" t="n"/>
      <c r="J1371" s="83" t="n"/>
      <c r="K1371" s="83" t="n"/>
      <c r="L1371" s="83" t="n"/>
      <c r="M1371" s="83" t="n"/>
      <c r="O1371" s="84" t="str">
        <f>IF($C1371="","",IFERROR(MATCH($B1371&amp;"|"&amp;$C1371,MUROS!$AX$11:$AX$70,0),0))</f>
        <v/>
      </c>
      <c r="P1371" s="84" t="str">
        <f>IF($D1371="","",IF(ISNUMBER(MATCH($D1371,CMB_S,0)),1,IF(ISNUMBER(MATCH($D1371,CMB_G,0)),2,0)))</f>
        <v/>
      </c>
      <c r="Q1371" s="84">
        <f>IF(ISNUMBER($H1371),-$H1371,0)</f>
        <v>0</v>
      </c>
      <c r="R1371" s="84">
        <f>IF(ISNUMBER($I1371),ABS($I1371),0)</f>
        <v>0</v>
      </c>
      <c r="S1371" s="84">
        <f>IF(ISNUMBER($M1371),ABS($M1371),0)</f>
        <v>0</v>
      </c>
      <c r="T1371" s="85" t="n">
        <v>1363</v>
      </c>
    </row>
    <row r="1372">
      <c r="B1372" s="83" t="n"/>
      <c r="C1372" s="83" t="n"/>
      <c r="D1372" s="83" t="n"/>
      <c r="E1372" s="83" t="n"/>
      <c r="F1372" s="83" t="n"/>
      <c r="G1372" s="83" t="n"/>
      <c r="H1372" s="83" t="n"/>
      <c r="I1372" s="83" t="n"/>
      <c r="J1372" s="83" t="n"/>
      <c r="K1372" s="83" t="n"/>
      <c r="L1372" s="83" t="n"/>
      <c r="M1372" s="83" t="n"/>
      <c r="O1372" s="84" t="str">
        <f>IF($C1372="","",IFERROR(MATCH($B1372&amp;"|"&amp;$C1372,MUROS!$AX$11:$AX$70,0),0))</f>
        <v/>
      </c>
      <c r="P1372" s="84" t="str">
        <f>IF($D1372="","",IF(ISNUMBER(MATCH($D1372,CMB_S,0)),1,IF(ISNUMBER(MATCH($D1372,CMB_G,0)),2,0)))</f>
        <v/>
      </c>
      <c r="Q1372" s="84">
        <f>IF(ISNUMBER($H1372),-$H1372,0)</f>
        <v>0</v>
      </c>
      <c r="R1372" s="84">
        <f>IF(ISNUMBER($I1372),ABS($I1372),0)</f>
        <v>0</v>
      </c>
      <c r="S1372" s="84">
        <f>IF(ISNUMBER($M1372),ABS($M1372),0)</f>
        <v>0</v>
      </c>
      <c r="T1372" s="85" t="n">
        <v>1364</v>
      </c>
    </row>
    <row r="1373">
      <c r="B1373" s="83" t="n"/>
      <c r="C1373" s="83" t="n"/>
      <c r="D1373" s="83" t="n"/>
      <c r="E1373" s="83" t="n"/>
      <c r="F1373" s="83" t="n"/>
      <c r="G1373" s="83" t="n"/>
      <c r="H1373" s="83" t="n"/>
      <c r="I1373" s="83" t="n"/>
      <c r="J1373" s="83" t="n"/>
      <c r="K1373" s="83" t="n"/>
      <c r="L1373" s="83" t="n"/>
      <c r="M1373" s="83" t="n"/>
      <c r="O1373" s="84" t="str">
        <f>IF($C1373="","",IFERROR(MATCH($B1373&amp;"|"&amp;$C1373,MUROS!$AX$11:$AX$70,0),0))</f>
        <v/>
      </c>
      <c r="P1373" s="84" t="str">
        <f>IF($D1373="","",IF(ISNUMBER(MATCH($D1373,CMB_S,0)),1,IF(ISNUMBER(MATCH($D1373,CMB_G,0)),2,0)))</f>
        <v/>
      </c>
      <c r="Q1373" s="84">
        <f>IF(ISNUMBER($H1373),-$H1373,0)</f>
        <v>0</v>
      </c>
      <c r="R1373" s="84">
        <f>IF(ISNUMBER($I1373),ABS($I1373),0)</f>
        <v>0</v>
      </c>
      <c r="S1373" s="84">
        <f>IF(ISNUMBER($M1373),ABS($M1373),0)</f>
        <v>0</v>
      </c>
      <c r="T1373" s="85" t="n">
        <v>1365</v>
      </c>
    </row>
    <row r="1374">
      <c r="B1374" s="83" t="n"/>
      <c r="C1374" s="83" t="n"/>
      <c r="D1374" s="83" t="n"/>
      <c r="E1374" s="83" t="n"/>
      <c r="F1374" s="83" t="n"/>
      <c r="G1374" s="83" t="n"/>
      <c r="H1374" s="83" t="n"/>
      <c r="I1374" s="83" t="n"/>
      <c r="J1374" s="83" t="n"/>
      <c r="K1374" s="83" t="n"/>
      <c r="L1374" s="83" t="n"/>
      <c r="M1374" s="83" t="n"/>
      <c r="O1374" s="84" t="str">
        <f>IF($C1374="","",IFERROR(MATCH($B1374&amp;"|"&amp;$C1374,MUROS!$AX$11:$AX$70,0),0))</f>
        <v/>
      </c>
      <c r="P1374" s="84" t="str">
        <f>IF($D1374="","",IF(ISNUMBER(MATCH($D1374,CMB_S,0)),1,IF(ISNUMBER(MATCH($D1374,CMB_G,0)),2,0)))</f>
        <v/>
      </c>
      <c r="Q1374" s="84">
        <f>IF(ISNUMBER($H1374),-$H1374,0)</f>
        <v>0</v>
      </c>
      <c r="R1374" s="84">
        <f>IF(ISNUMBER($I1374),ABS($I1374),0)</f>
        <v>0</v>
      </c>
      <c r="S1374" s="84">
        <f>IF(ISNUMBER($M1374),ABS($M1374),0)</f>
        <v>0</v>
      </c>
      <c r="T1374" s="85" t="n">
        <v>1366</v>
      </c>
    </row>
    <row r="1375">
      <c r="B1375" s="83" t="n"/>
      <c r="C1375" s="83" t="n"/>
      <c r="D1375" s="83" t="n"/>
      <c r="E1375" s="83" t="n"/>
      <c r="F1375" s="83" t="n"/>
      <c r="G1375" s="83" t="n"/>
      <c r="H1375" s="83" t="n"/>
      <c r="I1375" s="83" t="n"/>
      <c r="J1375" s="83" t="n"/>
      <c r="K1375" s="83" t="n"/>
      <c r="L1375" s="83" t="n"/>
      <c r="M1375" s="83" t="n"/>
      <c r="O1375" s="84" t="str">
        <f>IF($C1375="","",IFERROR(MATCH($B1375&amp;"|"&amp;$C1375,MUROS!$AX$11:$AX$70,0),0))</f>
        <v/>
      </c>
      <c r="P1375" s="84" t="str">
        <f>IF($D1375="","",IF(ISNUMBER(MATCH($D1375,CMB_S,0)),1,IF(ISNUMBER(MATCH($D1375,CMB_G,0)),2,0)))</f>
        <v/>
      </c>
      <c r="Q1375" s="84">
        <f>IF(ISNUMBER($H1375),-$H1375,0)</f>
        <v>0</v>
      </c>
      <c r="R1375" s="84">
        <f>IF(ISNUMBER($I1375),ABS($I1375),0)</f>
        <v>0</v>
      </c>
      <c r="S1375" s="84">
        <f>IF(ISNUMBER($M1375),ABS($M1375),0)</f>
        <v>0</v>
      </c>
      <c r="T1375" s="85" t="n">
        <v>1367</v>
      </c>
    </row>
    <row r="1376">
      <c r="B1376" s="83" t="n"/>
      <c r="C1376" s="83" t="n"/>
      <c r="D1376" s="83" t="n"/>
      <c r="E1376" s="83" t="n"/>
      <c r="F1376" s="83" t="n"/>
      <c r="G1376" s="83" t="n"/>
      <c r="H1376" s="83" t="n"/>
      <c r="I1376" s="83" t="n"/>
      <c r="J1376" s="83" t="n"/>
      <c r="K1376" s="83" t="n"/>
      <c r="L1376" s="83" t="n"/>
      <c r="M1376" s="83" t="n"/>
      <c r="O1376" s="84" t="str">
        <f>IF($C1376="","",IFERROR(MATCH($B1376&amp;"|"&amp;$C1376,MUROS!$AX$11:$AX$70,0),0))</f>
        <v/>
      </c>
      <c r="P1376" s="84" t="str">
        <f>IF($D1376="","",IF(ISNUMBER(MATCH($D1376,CMB_S,0)),1,IF(ISNUMBER(MATCH($D1376,CMB_G,0)),2,0)))</f>
        <v/>
      </c>
      <c r="Q1376" s="84">
        <f>IF(ISNUMBER($H1376),-$H1376,0)</f>
        <v>0</v>
      </c>
      <c r="R1376" s="84">
        <f>IF(ISNUMBER($I1376),ABS($I1376),0)</f>
        <v>0</v>
      </c>
      <c r="S1376" s="84">
        <f>IF(ISNUMBER($M1376),ABS($M1376),0)</f>
        <v>0</v>
      </c>
      <c r="T1376" s="85" t="n">
        <v>1368</v>
      </c>
    </row>
    <row r="1377">
      <c r="B1377" s="83" t="n"/>
      <c r="C1377" s="83" t="n"/>
      <c r="D1377" s="83" t="n"/>
      <c r="E1377" s="83" t="n"/>
      <c r="F1377" s="83" t="n"/>
      <c r="G1377" s="83" t="n"/>
      <c r="H1377" s="83" t="n"/>
      <c r="I1377" s="83" t="n"/>
      <c r="J1377" s="83" t="n"/>
      <c r="K1377" s="83" t="n"/>
      <c r="L1377" s="83" t="n"/>
      <c r="M1377" s="83" t="n"/>
      <c r="O1377" s="84" t="str">
        <f>IF($C1377="","",IFERROR(MATCH($B1377&amp;"|"&amp;$C1377,MUROS!$AX$11:$AX$70,0),0))</f>
        <v/>
      </c>
      <c r="P1377" s="84" t="str">
        <f>IF($D1377="","",IF(ISNUMBER(MATCH($D1377,CMB_S,0)),1,IF(ISNUMBER(MATCH($D1377,CMB_G,0)),2,0)))</f>
        <v/>
      </c>
      <c r="Q1377" s="84">
        <f>IF(ISNUMBER($H1377),-$H1377,0)</f>
        <v>0</v>
      </c>
      <c r="R1377" s="84">
        <f>IF(ISNUMBER($I1377),ABS($I1377),0)</f>
        <v>0</v>
      </c>
      <c r="S1377" s="84">
        <f>IF(ISNUMBER($M1377),ABS($M1377),0)</f>
        <v>0</v>
      </c>
      <c r="T1377" s="85" t="n">
        <v>1369</v>
      </c>
    </row>
    <row r="1378">
      <c r="B1378" s="83" t="n"/>
      <c r="C1378" s="83" t="n"/>
      <c r="D1378" s="83" t="n"/>
      <c r="E1378" s="83" t="n"/>
      <c r="F1378" s="83" t="n"/>
      <c r="G1378" s="83" t="n"/>
      <c r="H1378" s="83" t="n"/>
      <c r="I1378" s="83" t="n"/>
      <c r="J1378" s="83" t="n"/>
      <c r="K1378" s="83" t="n"/>
      <c r="L1378" s="83" t="n"/>
      <c r="M1378" s="83" t="n"/>
      <c r="O1378" s="84" t="str">
        <f>IF($C1378="","",IFERROR(MATCH($B1378&amp;"|"&amp;$C1378,MUROS!$AX$11:$AX$70,0),0))</f>
        <v/>
      </c>
      <c r="P1378" s="84" t="str">
        <f>IF($D1378="","",IF(ISNUMBER(MATCH($D1378,CMB_S,0)),1,IF(ISNUMBER(MATCH($D1378,CMB_G,0)),2,0)))</f>
        <v/>
      </c>
      <c r="Q1378" s="84">
        <f>IF(ISNUMBER($H1378),-$H1378,0)</f>
        <v>0</v>
      </c>
      <c r="R1378" s="84">
        <f>IF(ISNUMBER($I1378),ABS($I1378),0)</f>
        <v>0</v>
      </c>
      <c r="S1378" s="84">
        <f>IF(ISNUMBER($M1378),ABS($M1378),0)</f>
        <v>0</v>
      </c>
      <c r="T1378" s="85" t="n">
        <v>1370</v>
      </c>
    </row>
    <row r="1379">
      <c r="B1379" s="83" t="n"/>
      <c r="C1379" s="83" t="n"/>
      <c r="D1379" s="83" t="n"/>
      <c r="E1379" s="83" t="n"/>
      <c r="F1379" s="83" t="n"/>
      <c r="G1379" s="83" t="n"/>
      <c r="H1379" s="83" t="n"/>
      <c r="I1379" s="83" t="n"/>
      <c r="J1379" s="83" t="n"/>
      <c r="K1379" s="83" t="n"/>
      <c r="L1379" s="83" t="n"/>
      <c r="M1379" s="83" t="n"/>
      <c r="O1379" s="84" t="str">
        <f>IF($C1379="","",IFERROR(MATCH($B1379&amp;"|"&amp;$C1379,MUROS!$AX$11:$AX$70,0),0))</f>
        <v/>
      </c>
      <c r="P1379" s="84" t="str">
        <f>IF($D1379="","",IF(ISNUMBER(MATCH($D1379,CMB_S,0)),1,IF(ISNUMBER(MATCH($D1379,CMB_G,0)),2,0)))</f>
        <v/>
      </c>
      <c r="Q1379" s="84">
        <f>IF(ISNUMBER($H1379),-$H1379,0)</f>
        <v>0</v>
      </c>
      <c r="R1379" s="84">
        <f>IF(ISNUMBER($I1379),ABS($I1379),0)</f>
        <v>0</v>
      </c>
      <c r="S1379" s="84">
        <f>IF(ISNUMBER($M1379),ABS($M1379),0)</f>
        <v>0</v>
      </c>
      <c r="T1379" s="85" t="n">
        <v>1371</v>
      </c>
    </row>
    <row r="1380">
      <c r="B1380" s="83" t="n"/>
      <c r="C1380" s="83" t="n"/>
      <c r="D1380" s="83" t="n"/>
      <c r="E1380" s="83" t="n"/>
      <c r="F1380" s="83" t="n"/>
      <c r="G1380" s="83" t="n"/>
      <c r="H1380" s="83" t="n"/>
      <c r="I1380" s="83" t="n"/>
      <c r="J1380" s="83" t="n"/>
      <c r="K1380" s="83" t="n"/>
      <c r="L1380" s="83" t="n"/>
      <c r="M1380" s="83" t="n"/>
      <c r="O1380" s="84" t="str">
        <f>IF($C1380="","",IFERROR(MATCH($B1380&amp;"|"&amp;$C1380,MUROS!$AX$11:$AX$70,0),0))</f>
        <v/>
      </c>
      <c r="P1380" s="84" t="str">
        <f>IF($D1380="","",IF(ISNUMBER(MATCH($D1380,CMB_S,0)),1,IF(ISNUMBER(MATCH($D1380,CMB_G,0)),2,0)))</f>
        <v/>
      </c>
      <c r="Q1380" s="84">
        <f>IF(ISNUMBER($H1380),-$H1380,0)</f>
        <v>0</v>
      </c>
      <c r="R1380" s="84">
        <f>IF(ISNUMBER($I1380),ABS($I1380),0)</f>
        <v>0</v>
      </c>
      <c r="S1380" s="84">
        <f>IF(ISNUMBER($M1380),ABS($M1380),0)</f>
        <v>0</v>
      </c>
      <c r="T1380" s="85" t="n">
        <v>1372</v>
      </c>
    </row>
    <row r="1381">
      <c r="B1381" s="83" t="n"/>
      <c r="C1381" s="83" t="n"/>
      <c r="D1381" s="83" t="n"/>
      <c r="E1381" s="83" t="n"/>
      <c r="F1381" s="83" t="n"/>
      <c r="G1381" s="83" t="n"/>
      <c r="H1381" s="83" t="n"/>
      <c r="I1381" s="83" t="n"/>
      <c r="J1381" s="83" t="n"/>
      <c r="K1381" s="83" t="n"/>
      <c r="L1381" s="83" t="n"/>
      <c r="M1381" s="83" t="n"/>
      <c r="O1381" s="84" t="str">
        <f>IF($C1381="","",IFERROR(MATCH($B1381&amp;"|"&amp;$C1381,MUROS!$AX$11:$AX$70,0),0))</f>
        <v/>
      </c>
      <c r="P1381" s="84" t="str">
        <f>IF($D1381="","",IF(ISNUMBER(MATCH($D1381,CMB_S,0)),1,IF(ISNUMBER(MATCH($D1381,CMB_G,0)),2,0)))</f>
        <v/>
      </c>
      <c r="Q1381" s="84">
        <f>IF(ISNUMBER($H1381),-$H1381,0)</f>
        <v>0</v>
      </c>
      <c r="R1381" s="84">
        <f>IF(ISNUMBER($I1381),ABS($I1381),0)</f>
        <v>0</v>
      </c>
      <c r="S1381" s="84">
        <f>IF(ISNUMBER($M1381),ABS($M1381),0)</f>
        <v>0</v>
      </c>
      <c r="T1381" s="85" t="n">
        <v>1373</v>
      </c>
    </row>
    <row r="1382">
      <c r="B1382" s="83" t="n"/>
      <c r="C1382" s="83" t="n"/>
      <c r="D1382" s="83" t="n"/>
      <c r="E1382" s="83" t="n"/>
      <c r="F1382" s="83" t="n"/>
      <c r="G1382" s="83" t="n"/>
      <c r="H1382" s="83" t="n"/>
      <c r="I1382" s="83" t="n"/>
      <c r="J1382" s="83" t="n"/>
      <c r="K1382" s="83" t="n"/>
      <c r="L1382" s="83" t="n"/>
      <c r="M1382" s="83" t="n"/>
      <c r="O1382" s="84" t="str">
        <f>IF($C1382="","",IFERROR(MATCH($B1382&amp;"|"&amp;$C1382,MUROS!$AX$11:$AX$70,0),0))</f>
        <v/>
      </c>
      <c r="P1382" s="84" t="str">
        <f>IF($D1382="","",IF(ISNUMBER(MATCH($D1382,CMB_S,0)),1,IF(ISNUMBER(MATCH($D1382,CMB_G,0)),2,0)))</f>
        <v/>
      </c>
      <c r="Q1382" s="84">
        <f>IF(ISNUMBER($H1382),-$H1382,0)</f>
        <v>0</v>
      </c>
      <c r="R1382" s="84">
        <f>IF(ISNUMBER($I1382),ABS($I1382),0)</f>
        <v>0</v>
      </c>
      <c r="S1382" s="84">
        <f>IF(ISNUMBER($M1382),ABS($M1382),0)</f>
        <v>0</v>
      </c>
      <c r="T1382" s="85" t="n">
        <v>1374</v>
      </c>
    </row>
    <row r="1383">
      <c r="B1383" s="83" t="n"/>
      <c r="C1383" s="83" t="n"/>
      <c r="D1383" s="83" t="n"/>
      <c r="E1383" s="83" t="n"/>
      <c r="F1383" s="83" t="n"/>
      <c r="G1383" s="83" t="n"/>
      <c r="H1383" s="83" t="n"/>
      <c r="I1383" s="83" t="n"/>
      <c r="J1383" s="83" t="n"/>
      <c r="K1383" s="83" t="n"/>
      <c r="L1383" s="83" t="n"/>
      <c r="M1383" s="83" t="n"/>
      <c r="O1383" s="84" t="str">
        <f>IF($C1383="","",IFERROR(MATCH($B1383&amp;"|"&amp;$C1383,MUROS!$AX$11:$AX$70,0),0))</f>
        <v/>
      </c>
      <c r="P1383" s="84" t="str">
        <f>IF($D1383="","",IF(ISNUMBER(MATCH($D1383,CMB_S,0)),1,IF(ISNUMBER(MATCH($D1383,CMB_G,0)),2,0)))</f>
        <v/>
      </c>
      <c r="Q1383" s="84">
        <f>IF(ISNUMBER($H1383),-$H1383,0)</f>
        <v>0</v>
      </c>
      <c r="R1383" s="84">
        <f>IF(ISNUMBER($I1383),ABS($I1383),0)</f>
        <v>0</v>
      </c>
      <c r="S1383" s="84">
        <f>IF(ISNUMBER($M1383),ABS($M1383),0)</f>
        <v>0</v>
      </c>
      <c r="T1383" s="85" t="n">
        <v>1375</v>
      </c>
    </row>
    <row r="1384">
      <c r="B1384" s="83" t="n"/>
      <c r="C1384" s="83" t="n"/>
      <c r="D1384" s="83" t="n"/>
      <c r="E1384" s="83" t="n"/>
      <c r="F1384" s="83" t="n"/>
      <c r="G1384" s="83" t="n"/>
      <c r="H1384" s="83" t="n"/>
      <c r="I1384" s="83" t="n"/>
      <c r="J1384" s="83" t="n"/>
      <c r="K1384" s="83" t="n"/>
      <c r="L1384" s="83" t="n"/>
      <c r="M1384" s="83" t="n"/>
      <c r="O1384" s="84" t="str">
        <f>IF($C1384="","",IFERROR(MATCH($B1384&amp;"|"&amp;$C1384,MUROS!$AX$11:$AX$70,0),0))</f>
        <v/>
      </c>
      <c r="P1384" s="84" t="str">
        <f>IF($D1384="","",IF(ISNUMBER(MATCH($D1384,CMB_S,0)),1,IF(ISNUMBER(MATCH($D1384,CMB_G,0)),2,0)))</f>
        <v/>
      </c>
      <c r="Q1384" s="84">
        <f>IF(ISNUMBER($H1384),-$H1384,0)</f>
        <v>0</v>
      </c>
      <c r="R1384" s="84">
        <f>IF(ISNUMBER($I1384),ABS($I1384),0)</f>
        <v>0</v>
      </c>
      <c r="S1384" s="84">
        <f>IF(ISNUMBER($M1384),ABS($M1384),0)</f>
        <v>0</v>
      </c>
      <c r="T1384" s="85" t="n">
        <v>1376</v>
      </c>
    </row>
    <row r="1385">
      <c r="B1385" s="83" t="n"/>
      <c r="C1385" s="83" t="n"/>
      <c r="D1385" s="83" t="n"/>
      <c r="E1385" s="83" t="n"/>
      <c r="F1385" s="83" t="n"/>
      <c r="G1385" s="83" t="n"/>
      <c r="H1385" s="83" t="n"/>
      <c r="I1385" s="83" t="n"/>
      <c r="J1385" s="83" t="n"/>
      <c r="K1385" s="83" t="n"/>
      <c r="L1385" s="83" t="n"/>
      <c r="M1385" s="83" t="n"/>
      <c r="O1385" s="84" t="str">
        <f>IF($C1385="","",IFERROR(MATCH($B1385&amp;"|"&amp;$C1385,MUROS!$AX$11:$AX$70,0),0))</f>
        <v/>
      </c>
      <c r="P1385" s="84" t="str">
        <f>IF($D1385="","",IF(ISNUMBER(MATCH($D1385,CMB_S,0)),1,IF(ISNUMBER(MATCH($D1385,CMB_G,0)),2,0)))</f>
        <v/>
      </c>
      <c r="Q1385" s="84">
        <f>IF(ISNUMBER($H1385),-$H1385,0)</f>
        <v>0</v>
      </c>
      <c r="R1385" s="84">
        <f>IF(ISNUMBER($I1385),ABS($I1385),0)</f>
        <v>0</v>
      </c>
      <c r="S1385" s="84">
        <f>IF(ISNUMBER($M1385),ABS($M1385),0)</f>
        <v>0</v>
      </c>
      <c r="T1385" s="85" t="n">
        <v>1377</v>
      </c>
    </row>
    <row r="1386">
      <c r="B1386" s="83" t="n"/>
      <c r="C1386" s="83" t="n"/>
      <c r="D1386" s="83" t="n"/>
      <c r="E1386" s="83" t="n"/>
      <c r="F1386" s="83" t="n"/>
      <c r="G1386" s="83" t="n"/>
      <c r="H1386" s="83" t="n"/>
      <c r="I1386" s="83" t="n"/>
      <c r="J1386" s="83" t="n"/>
      <c r="K1386" s="83" t="n"/>
      <c r="L1386" s="83" t="n"/>
      <c r="M1386" s="83" t="n"/>
      <c r="O1386" s="84" t="str">
        <f>IF($C1386="","",IFERROR(MATCH($B1386&amp;"|"&amp;$C1386,MUROS!$AX$11:$AX$70,0),0))</f>
        <v/>
      </c>
      <c r="P1386" s="84" t="str">
        <f>IF($D1386="","",IF(ISNUMBER(MATCH($D1386,CMB_S,0)),1,IF(ISNUMBER(MATCH($D1386,CMB_G,0)),2,0)))</f>
        <v/>
      </c>
      <c r="Q1386" s="84">
        <f>IF(ISNUMBER($H1386),-$H1386,0)</f>
        <v>0</v>
      </c>
      <c r="R1386" s="84">
        <f>IF(ISNUMBER($I1386),ABS($I1386),0)</f>
        <v>0</v>
      </c>
      <c r="S1386" s="84">
        <f>IF(ISNUMBER($M1386),ABS($M1386),0)</f>
        <v>0</v>
      </c>
      <c r="T1386" s="85" t="n">
        <v>1378</v>
      </c>
    </row>
    <row r="1387">
      <c r="B1387" s="83" t="n"/>
      <c r="C1387" s="83" t="n"/>
      <c r="D1387" s="83" t="n"/>
      <c r="E1387" s="83" t="n"/>
      <c r="F1387" s="83" t="n"/>
      <c r="G1387" s="83" t="n"/>
      <c r="H1387" s="83" t="n"/>
      <c r="I1387" s="83" t="n"/>
      <c r="J1387" s="83" t="n"/>
      <c r="K1387" s="83" t="n"/>
      <c r="L1387" s="83" t="n"/>
      <c r="M1387" s="83" t="n"/>
      <c r="O1387" s="84" t="str">
        <f>IF($C1387="","",IFERROR(MATCH($B1387&amp;"|"&amp;$C1387,MUROS!$AX$11:$AX$70,0),0))</f>
        <v/>
      </c>
      <c r="P1387" s="84" t="str">
        <f>IF($D1387="","",IF(ISNUMBER(MATCH($D1387,CMB_S,0)),1,IF(ISNUMBER(MATCH($D1387,CMB_G,0)),2,0)))</f>
        <v/>
      </c>
      <c r="Q1387" s="84">
        <f>IF(ISNUMBER($H1387),-$H1387,0)</f>
        <v>0</v>
      </c>
      <c r="R1387" s="84">
        <f>IF(ISNUMBER($I1387),ABS($I1387),0)</f>
        <v>0</v>
      </c>
      <c r="S1387" s="84">
        <f>IF(ISNUMBER($M1387),ABS($M1387),0)</f>
        <v>0</v>
      </c>
      <c r="T1387" s="85" t="n">
        <v>1379</v>
      </c>
    </row>
    <row r="1388">
      <c r="B1388" s="83" t="n"/>
      <c r="C1388" s="83" t="n"/>
      <c r="D1388" s="83" t="n"/>
      <c r="E1388" s="83" t="n"/>
      <c r="F1388" s="83" t="n"/>
      <c r="G1388" s="83" t="n"/>
      <c r="H1388" s="83" t="n"/>
      <c r="I1388" s="83" t="n"/>
      <c r="J1388" s="83" t="n"/>
      <c r="K1388" s="83" t="n"/>
      <c r="L1388" s="83" t="n"/>
      <c r="M1388" s="83" t="n"/>
      <c r="O1388" s="84" t="str">
        <f>IF($C1388="","",IFERROR(MATCH($B1388&amp;"|"&amp;$C1388,MUROS!$AX$11:$AX$70,0),0))</f>
        <v/>
      </c>
      <c r="P1388" s="84" t="str">
        <f>IF($D1388="","",IF(ISNUMBER(MATCH($D1388,CMB_S,0)),1,IF(ISNUMBER(MATCH($D1388,CMB_G,0)),2,0)))</f>
        <v/>
      </c>
      <c r="Q1388" s="84">
        <f>IF(ISNUMBER($H1388),-$H1388,0)</f>
        <v>0</v>
      </c>
      <c r="R1388" s="84">
        <f>IF(ISNUMBER($I1388),ABS($I1388),0)</f>
        <v>0</v>
      </c>
      <c r="S1388" s="84">
        <f>IF(ISNUMBER($M1388),ABS($M1388),0)</f>
        <v>0</v>
      </c>
      <c r="T1388" s="85" t="n">
        <v>1380</v>
      </c>
    </row>
    <row r="1389">
      <c r="B1389" s="83" t="n"/>
      <c r="C1389" s="83" t="n"/>
      <c r="D1389" s="83" t="n"/>
      <c r="E1389" s="83" t="n"/>
      <c r="F1389" s="83" t="n"/>
      <c r="G1389" s="83" t="n"/>
      <c r="H1389" s="83" t="n"/>
      <c r="I1389" s="83" t="n"/>
      <c r="J1389" s="83" t="n"/>
      <c r="K1389" s="83" t="n"/>
      <c r="L1389" s="83" t="n"/>
      <c r="M1389" s="83" t="n"/>
      <c r="O1389" s="84" t="str">
        <f>IF($C1389="","",IFERROR(MATCH($B1389&amp;"|"&amp;$C1389,MUROS!$AX$11:$AX$70,0),0))</f>
        <v/>
      </c>
      <c r="P1389" s="84" t="str">
        <f>IF($D1389="","",IF(ISNUMBER(MATCH($D1389,CMB_S,0)),1,IF(ISNUMBER(MATCH($D1389,CMB_G,0)),2,0)))</f>
        <v/>
      </c>
      <c r="Q1389" s="84">
        <f>IF(ISNUMBER($H1389),-$H1389,0)</f>
        <v>0</v>
      </c>
      <c r="R1389" s="84">
        <f>IF(ISNUMBER($I1389),ABS($I1389),0)</f>
        <v>0</v>
      </c>
      <c r="S1389" s="84">
        <f>IF(ISNUMBER($M1389),ABS($M1389),0)</f>
        <v>0</v>
      </c>
      <c r="T1389" s="85" t="n">
        <v>1381</v>
      </c>
    </row>
    <row r="1390">
      <c r="B1390" s="83" t="n"/>
      <c r="C1390" s="83" t="n"/>
      <c r="D1390" s="83" t="n"/>
      <c r="E1390" s="83" t="n"/>
      <c r="F1390" s="83" t="n"/>
      <c r="G1390" s="83" t="n"/>
      <c r="H1390" s="83" t="n"/>
      <c r="I1390" s="83" t="n"/>
      <c r="J1390" s="83" t="n"/>
      <c r="K1390" s="83" t="n"/>
      <c r="L1390" s="83" t="n"/>
      <c r="M1390" s="83" t="n"/>
      <c r="O1390" s="84" t="str">
        <f>IF($C1390="","",IFERROR(MATCH($B1390&amp;"|"&amp;$C1390,MUROS!$AX$11:$AX$70,0),0))</f>
        <v/>
      </c>
      <c r="P1390" s="84" t="str">
        <f>IF($D1390="","",IF(ISNUMBER(MATCH($D1390,CMB_S,0)),1,IF(ISNUMBER(MATCH($D1390,CMB_G,0)),2,0)))</f>
        <v/>
      </c>
      <c r="Q1390" s="84">
        <f>IF(ISNUMBER($H1390),-$H1390,0)</f>
        <v>0</v>
      </c>
      <c r="R1390" s="84">
        <f>IF(ISNUMBER($I1390),ABS($I1390),0)</f>
        <v>0</v>
      </c>
      <c r="S1390" s="84">
        <f>IF(ISNUMBER($M1390),ABS($M1390),0)</f>
        <v>0</v>
      </c>
      <c r="T1390" s="85" t="n">
        <v>1382</v>
      </c>
    </row>
    <row r="1391">
      <c r="B1391" s="83" t="n"/>
      <c r="C1391" s="83" t="n"/>
      <c r="D1391" s="83" t="n"/>
      <c r="E1391" s="83" t="n"/>
      <c r="F1391" s="83" t="n"/>
      <c r="G1391" s="83" t="n"/>
      <c r="H1391" s="83" t="n"/>
      <c r="I1391" s="83" t="n"/>
      <c r="J1391" s="83" t="n"/>
      <c r="K1391" s="83" t="n"/>
      <c r="L1391" s="83" t="n"/>
      <c r="M1391" s="83" t="n"/>
      <c r="O1391" s="84" t="str">
        <f>IF($C1391="","",IFERROR(MATCH($B1391&amp;"|"&amp;$C1391,MUROS!$AX$11:$AX$70,0),0))</f>
        <v/>
      </c>
      <c r="P1391" s="84" t="str">
        <f>IF($D1391="","",IF(ISNUMBER(MATCH($D1391,CMB_S,0)),1,IF(ISNUMBER(MATCH($D1391,CMB_G,0)),2,0)))</f>
        <v/>
      </c>
      <c r="Q1391" s="84">
        <f>IF(ISNUMBER($H1391),-$H1391,0)</f>
        <v>0</v>
      </c>
      <c r="R1391" s="84">
        <f>IF(ISNUMBER($I1391),ABS($I1391),0)</f>
        <v>0</v>
      </c>
      <c r="S1391" s="84">
        <f>IF(ISNUMBER($M1391),ABS($M1391),0)</f>
        <v>0</v>
      </c>
      <c r="T1391" s="85" t="n">
        <v>1383</v>
      </c>
    </row>
    <row r="1392">
      <c r="B1392" s="83" t="n"/>
      <c r="C1392" s="83" t="n"/>
      <c r="D1392" s="83" t="n"/>
      <c r="E1392" s="83" t="n"/>
      <c r="F1392" s="83" t="n"/>
      <c r="G1392" s="83" t="n"/>
      <c r="H1392" s="83" t="n"/>
      <c r="I1392" s="83" t="n"/>
      <c r="J1392" s="83" t="n"/>
      <c r="K1392" s="83" t="n"/>
      <c r="L1392" s="83" t="n"/>
      <c r="M1392" s="83" t="n"/>
      <c r="O1392" s="84" t="str">
        <f>IF($C1392="","",IFERROR(MATCH($B1392&amp;"|"&amp;$C1392,MUROS!$AX$11:$AX$70,0),0))</f>
        <v/>
      </c>
      <c r="P1392" s="84" t="str">
        <f>IF($D1392="","",IF(ISNUMBER(MATCH($D1392,CMB_S,0)),1,IF(ISNUMBER(MATCH($D1392,CMB_G,0)),2,0)))</f>
        <v/>
      </c>
      <c r="Q1392" s="84">
        <f>IF(ISNUMBER($H1392),-$H1392,0)</f>
        <v>0</v>
      </c>
      <c r="R1392" s="84">
        <f>IF(ISNUMBER($I1392),ABS($I1392),0)</f>
        <v>0</v>
      </c>
      <c r="S1392" s="84">
        <f>IF(ISNUMBER($M1392),ABS($M1392),0)</f>
        <v>0</v>
      </c>
      <c r="T1392" s="85" t="n">
        <v>1384</v>
      </c>
    </row>
    <row r="1393">
      <c r="B1393" s="83" t="n"/>
      <c r="C1393" s="83" t="n"/>
      <c r="D1393" s="83" t="n"/>
      <c r="E1393" s="83" t="n"/>
      <c r="F1393" s="83" t="n"/>
      <c r="G1393" s="83" t="n"/>
      <c r="H1393" s="83" t="n"/>
      <c r="I1393" s="83" t="n"/>
      <c r="J1393" s="83" t="n"/>
      <c r="K1393" s="83" t="n"/>
      <c r="L1393" s="83" t="n"/>
      <c r="M1393" s="83" t="n"/>
      <c r="O1393" s="84" t="str">
        <f>IF($C1393="","",IFERROR(MATCH($B1393&amp;"|"&amp;$C1393,MUROS!$AX$11:$AX$70,0),0))</f>
        <v/>
      </c>
      <c r="P1393" s="84" t="str">
        <f>IF($D1393="","",IF(ISNUMBER(MATCH($D1393,CMB_S,0)),1,IF(ISNUMBER(MATCH($D1393,CMB_G,0)),2,0)))</f>
        <v/>
      </c>
      <c r="Q1393" s="84">
        <f>IF(ISNUMBER($H1393),-$H1393,0)</f>
        <v>0</v>
      </c>
      <c r="R1393" s="84">
        <f>IF(ISNUMBER($I1393),ABS($I1393),0)</f>
        <v>0</v>
      </c>
      <c r="S1393" s="84">
        <f>IF(ISNUMBER($M1393),ABS($M1393),0)</f>
        <v>0</v>
      </c>
      <c r="T1393" s="85" t="n">
        <v>1385</v>
      </c>
    </row>
    <row r="1394">
      <c r="B1394" s="83" t="n"/>
      <c r="C1394" s="83" t="n"/>
      <c r="D1394" s="83" t="n"/>
      <c r="E1394" s="83" t="n"/>
      <c r="F1394" s="83" t="n"/>
      <c r="G1394" s="83" t="n"/>
      <c r="H1394" s="83" t="n"/>
      <c r="I1394" s="83" t="n"/>
      <c r="J1394" s="83" t="n"/>
      <c r="K1394" s="83" t="n"/>
      <c r="L1394" s="83" t="n"/>
      <c r="M1394" s="83" t="n"/>
      <c r="O1394" s="84" t="str">
        <f>IF($C1394="","",IFERROR(MATCH($B1394&amp;"|"&amp;$C1394,MUROS!$AX$11:$AX$70,0),0))</f>
        <v/>
      </c>
      <c r="P1394" s="84" t="str">
        <f>IF($D1394="","",IF(ISNUMBER(MATCH($D1394,CMB_S,0)),1,IF(ISNUMBER(MATCH($D1394,CMB_G,0)),2,0)))</f>
        <v/>
      </c>
      <c r="Q1394" s="84">
        <f>IF(ISNUMBER($H1394),-$H1394,0)</f>
        <v>0</v>
      </c>
      <c r="R1394" s="84">
        <f>IF(ISNUMBER($I1394),ABS($I1394),0)</f>
        <v>0</v>
      </c>
      <c r="S1394" s="84">
        <f>IF(ISNUMBER($M1394),ABS($M1394),0)</f>
        <v>0</v>
      </c>
      <c r="T1394" s="85" t="n">
        <v>1386</v>
      </c>
    </row>
    <row r="1395">
      <c r="B1395" s="83" t="n"/>
      <c r="C1395" s="83" t="n"/>
      <c r="D1395" s="83" t="n"/>
      <c r="E1395" s="83" t="n"/>
      <c r="F1395" s="83" t="n"/>
      <c r="G1395" s="83" t="n"/>
      <c r="H1395" s="83" t="n"/>
      <c r="I1395" s="83" t="n"/>
      <c r="J1395" s="83" t="n"/>
      <c r="K1395" s="83" t="n"/>
      <c r="L1395" s="83" t="n"/>
      <c r="M1395" s="83" t="n"/>
      <c r="O1395" s="84" t="str">
        <f>IF($C1395="","",IFERROR(MATCH($B1395&amp;"|"&amp;$C1395,MUROS!$AX$11:$AX$70,0),0))</f>
        <v/>
      </c>
      <c r="P1395" s="84" t="str">
        <f>IF($D1395="","",IF(ISNUMBER(MATCH($D1395,CMB_S,0)),1,IF(ISNUMBER(MATCH($D1395,CMB_G,0)),2,0)))</f>
        <v/>
      </c>
      <c r="Q1395" s="84">
        <f>IF(ISNUMBER($H1395),-$H1395,0)</f>
        <v>0</v>
      </c>
      <c r="R1395" s="84">
        <f>IF(ISNUMBER($I1395),ABS($I1395),0)</f>
        <v>0</v>
      </c>
      <c r="S1395" s="84">
        <f>IF(ISNUMBER($M1395),ABS($M1395),0)</f>
        <v>0</v>
      </c>
      <c r="T1395" s="85" t="n">
        <v>1387</v>
      </c>
    </row>
    <row r="1396">
      <c r="B1396" s="83" t="n"/>
      <c r="C1396" s="83" t="n"/>
      <c r="D1396" s="83" t="n"/>
      <c r="E1396" s="83" t="n"/>
      <c r="F1396" s="83" t="n"/>
      <c r="G1396" s="83" t="n"/>
      <c r="H1396" s="83" t="n"/>
      <c r="I1396" s="83" t="n"/>
      <c r="J1396" s="83" t="n"/>
      <c r="K1396" s="83" t="n"/>
      <c r="L1396" s="83" t="n"/>
      <c r="M1396" s="83" t="n"/>
      <c r="O1396" s="84" t="str">
        <f>IF($C1396="","",IFERROR(MATCH($B1396&amp;"|"&amp;$C1396,MUROS!$AX$11:$AX$70,0),0))</f>
        <v/>
      </c>
      <c r="P1396" s="84" t="str">
        <f>IF($D1396="","",IF(ISNUMBER(MATCH($D1396,CMB_S,0)),1,IF(ISNUMBER(MATCH($D1396,CMB_G,0)),2,0)))</f>
        <v/>
      </c>
      <c r="Q1396" s="84">
        <f>IF(ISNUMBER($H1396),-$H1396,0)</f>
        <v>0</v>
      </c>
      <c r="R1396" s="84">
        <f>IF(ISNUMBER($I1396),ABS($I1396),0)</f>
        <v>0</v>
      </c>
      <c r="S1396" s="84">
        <f>IF(ISNUMBER($M1396),ABS($M1396),0)</f>
        <v>0</v>
      </c>
      <c r="T1396" s="85" t="n">
        <v>1388</v>
      </c>
    </row>
    <row r="1397">
      <c r="B1397" s="83" t="n"/>
      <c r="C1397" s="83" t="n"/>
      <c r="D1397" s="83" t="n"/>
      <c r="E1397" s="83" t="n"/>
      <c r="F1397" s="83" t="n"/>
      <c r="G1397" s="83" t="n"/>
      <c r="H1397" s="83" t="n"/>
      <c r="I1397" s="83" t="n"/>
      <c r="J1397" s="83" t="n"/>
      <c r="K1397" s="83" t="n"/>
      <c r="L1397" s="83" t="n"/>
      <c r="M1397" s="83" t="n"/>
      <c r="O1397" s="84" t="str">
        <f>IF($C1397="","",IFERROR(MATCH($B1397&amp;"|"&amp;$C1397,MUROS!$AX$11:$AX$70,0),0))</f>
        <v/>
      </c>
      <c r="P1397" s="84" t="str">
        <f>IF($D1397="","",IF(ISNUMBER(MATCH($D1397,CMB_S,0)),1,IF(ISNUMBER(MATCH($D1397,CMB_G,0)),2,0)))</f>
        <v/>
      </c>
      <c r="Q1397" s="84">
        <f>IF(ISNUMBER($H1397),-$H1397,0)</f>
        <v>0</v>
      </c>
      <c r="R1397" s="84">
        <f>IF(ISNUMBER($I1397),ABS($I1397),0)</f>
        <v>0</v>
      </c>
      <c r="S1397" s="84">
        <f>IF(ISNUMBER($M1397),ABS($M1397),0)</f>
        <v>0</v>
      </c>
      <c r="T1397" s="85" t="n">
        <v>1389</v>
      </c>
    </row>
    <row r="1398">
      <c r="B1398" s="83" t="n"/>
      <c r="C1398" s="83" t="n"/>
      <c r="D1398" s="83" t="n"/>
      <c r="E1398" s="83" t="n"/>
      <c r="F1398" s="83" t="n"/>
      <c r="G1398" s="83" t="n"/>
      <c r="H1398" s="83" t="n"/>
      <c r="I1398" s="83" t="n"/>
      <c r="J1398" s="83" t="n"/>
      <c r="K1398" s="83" t="n"/>
      <c r="L1398" s="83" t="n"/>
      <c r="M1398" s="83" t="n"/>
      <c r="O1398" s="84" t="str">
        <f>IF($C1398="","",IFERROR(MATCH($B1398&amp;"|"&amp;$C1398,MUROS!$AX$11:$AX$70,0),0))</f>
        <v/>
      </c>
      <c r="P1398" s="84" t="str">
        <f>IF($D1398="","",IF(ISNUMBER(MATCH($D1398,CMB_S,0)),1,IF(ISNUMBER(MATCH($D1398,CMB_G,0)),2,0)))</f>
        <v/>
      </c>
      <c r="Q1398" s="84">
        <f>IF(ISNUMBER($H1398),-$H1398,0)</f>
        <v>0</v>
      </c>
      <c r="R1398" s="84">
        <f>IF(ISNUMBER($I1398),ABS($I1398),0)</f>
        <v>0</v>
      </c>
      <c r="S1398" s="84">
        <f>IF(ISNUMBER($M1398),ABS($M1398),0)</f>
        <v>0</v>
      </c>
      <c r="T1398" s="85" t="n">
        <v>1390</v>
      </c>
    </row>
    <row r="1399">
      <c r="B1399" s="83" t="n"/>
      <c r="C1399" s="83" t="n"/>
      <c r="D1399" s="83" t="n"/>
      <c r="E1399" s="83" t="n"/>
      <c r="F1399" s="83" t="n"/>
      <c r="G1399" s="83" t="n"/>
      <c r="H1399" s="83" t="n"/>
      <c r="I1399" s="83" t="n"/>
      <c r="J1399" s="83" t="n"/>
      <c r="K1399" s="83" t="n"/>
      <c r="L1399" s="83" t="n"/>
      <c r="M1399" s="83" t="n"/>
      <c r="O1399" s="84" t="str">
        <f>IF($C1399="","",IFERROR(MATCH($B1399&amp;"|"&amp;$C1399,MUROS!$AX$11:$AX$70,0),0))</f>
        <v/>
      </c>
      <c r="P1399" s="84" t="str">
        <f>IF($D1399="","",IF(ISNUMBER(MATCH($D1399,CMB_S,0)),1,IF(ISNUMBER(MATCH($D1399,CMB_G,0)),2,0)))</f>
        <v/>
      </c>
      <c r="Q1399" s="84">
        <f>IF(ISNUMBER($H1399),-$H1399,0)</f>
        <v>0</v>
      </c>
      <c r="R1399" s="84">
        <f>IF(ISNUMBER($I1399),ABS($I1399),0)</f>
        <v>0</v>
      </c>
      <c r="S1399" s="84">
        <f>IF(ISNUMBER($M1399),ABS($M1399),0)</f>
        <v>0</v>
      </c>
      <c r="T1399" s="85" t="n">
        <v>1391</v>
      </c>
    </row>
    <row r="1400">
      <c r="B1400" s="83" t="n"/>
      <c r="C1400" s="83" t="n"/>
      <c r="D1400" s="83" t="n"/>
      <c r="E1400" s="83" t="n"/>
      <c r="F1400" s="83" t="n"/>
      <c r="G1400" s="83" t="n"/>
      <c r="H1400" s="83" t="n"/>
      <c r="I1400" s="83" t="n"/>
      <c r="J1400" s="83" t="n"/>
      <c r="K1400" s="83" t="n"/>
      <c r="L1400" s="83" t="n"/>
      <c r="M1400" s="83" t="n"/>
      <c r="O1400" s="84" t="str">
        <f>IF($C1400="","",IFERROR(MATCH($B1400&amp;"|"&amp;$C1400,MUROS!$AX$11:$AX$70,0),0))</f>
        <v/>
      </c>
      <c r="P1400" s="84" t="str">
        <f>IF($D1400="","",IF(ISNUMBER(MATCH($D1400,CMB_S,0)),1,IF(ISNUMBER(MATCH($D1400,CMB_G,0)),2,0)))</f>
        <v/>
      </c>
      <c r="Q1400" s="84">
        <f>IF(ISNUMBER($H1400),-$H1400,0)</f>
        <v>0</v>
      </c>
      <c r="R1400" s="84">
        <f>IF(ISNUMBER($I1400),ABS($I1400),0)</f>
        <v>0</v>
      </c>
      <c r="S1400" s="84">
        <f>IF(ISNUMBER($M1400),ABS($M1400),0)</f>
        <v>0</v>
      </c>
      <c r="T1400" s="85" t="n">
        <v>1392</v>
      </c>
    </row>
    <row r="1401">
      <c r="B1401" s="83" t="n"/>
      <c r="C1401" s="83" t="n"/>
      <c r="D1401" s="83" t="n"/>
      <c r="E1401" s="83" t="n"/>
      <c r="F1401" s="83" t="n"/>
      <c r="G1401" s="83" t="n"/>
      <c r="H1401" s="83" t="n"/>
      <c r="I1401" s="83" t="n"/>
      <c r="J1401" s="83" t="n"/>
      <c r="K1401" s="83" t="n"/>
      <c r="L1401" s="83" t="n"/>
      <c r="M1401" s="83" t="n"/>
      <c r="O1401" s="84" t="str">
        <f>IF($C1401="","",IFERROR(MATCH($B1401&amp;"|"&amp;$C1401,MUROS!$AX$11:$AX$70,0),0))</f>
        <v/>
      </c>
      <c r="P1401" s="84" t="str">
        <f>IF($D1401="","",IF(ISNUMBER(MATCH($D1401,CMB_S,0)),1,IF(ISNUMBER(MATCH($D1401,CMB_G,0)),2,0)))</f>
        <v/>
      </c>
      <c r="Q1401" s="84">
        <f>IF(ISNUMBER($H1401),-$H1401,0)</f>
        <v>0</v>
      </c>
      <c r="R1401" s="84">
        <f>IF(ISNUMBER($I1401),ABS($I1401),0)</f>
        <v>0</v>
      </c>
      <c r="S1401" s="84">
        <f>IF(ISNUMBER($M1401),ABS($M1401),0)</f>
        <v>0</v>
      </c>
      <c r="T1401" s="85" t="n">
        <v>1393</v>
      </c>
    </row>
    <row r="1402">
      <c r="B1402" s="83" t="n"/>
      <c r="C1402" s="83" t="n"/>
      <c r="D1402" s="83" t="n"/>
      <c r="E1402" s="83" t="n"/>
      <c r="F1402" s="83" t="n"/>
      <c r="G1402" s="83" t="n"/>
      <c r="H1402" s="83" t="n"/>
      <c r="I1402" s="83" t="n"/>
      <c r="J1402" s="83" t="n"/>
      <c r="K1402" s="83" t="n"/>
      <c r="L1402" s="83" t="n"/>
      <c r="M1402" s="83" t="n"/>
      <c r="O1402" s="84" t="str">
        <f>IF($C1402="","",IFERROR(MATCH($B1402&amp;"|"&amp;$C1402,MUROS!$AX$11:$AX$70,0),0))</f>
        <v/>
      </c>
      <c r="P1402" s="84" t="str">
        <f>IF($D1402="","",IF(ISNUMBER(MATCH($D1402,CMB_S,0)),1,IF(ISNUMBER(MATCH($D1402,CMB_G,0)),2,0)))</f>
        <v/>
      </c>
      <c r="Q1402" s="84">
        <f>IF(ISNUMBER($H1402),-$H1402,0)</f>
        <v>0</v>
      </c>
      <c r="R1402" s="84">
        <f>IF(ISNUMBER($I1402),ABS($I1402),0)</f>
        <v>0</v>
      </c>
      <c r="S1402" s="84">
        <f>IF(ISNUMBER($M1402),ABS($M1402),0)</f>
        <v>0</v>
      </c>
      <c r="T1402" s="85" t="n">
        <v>1394</v>
      </c>
    </row>
    <row r="1403">
      <c r="B1403" s="83" t="n"/>
      <c r="C1403" s="83" t="n"/>
      <c r="D1403" s="83" t="n"/>
      <c r="E1403" s="83" t="n"/>
      <c r="F1403" s="83" t="n"/>
      <c r="G1403" s="83" t="n"/>
      <c r="H1403" s="83" t="n"/>
      <c r="I1403" s="83" t="n"/>
      <c r="J1403" s="83" t="n"/>
      <c r="K1403" s="83" t="n"/>
      <c r="L1403" s="83" t="n"/>
      <c r="M1403" s="83" t="n"/>
      <c r="O1403" s="84" t="str">
        <f>IF($C1403="","",IFERROR(MATCH($B1403&amp;"|"&amp;$C1403,MUROS!$AX$11:$AX$70,0),0))</f>
        <v/>
      </c>
      <c r="P1403" s="84" t="str">
        <f>IF($D1403="","",IF(ISNUMBER(MATCH($D1403,CMB_S,0)),1,IF(ISNUMBER(MATCH($D1403,CMB_G,0)),2,0)))</f>
        <v/>
      </c>
      <c r="Q1403" s="84">
        <f>IF(ISNUMBER($H1403),-$H1403,0)</f>
        <v>0</v>
      </c>
      <c r="R1403" s="84">
        <f>IF(ISNUMBER($I1403),ABS($I1403),0)</f>
        <v>0</v>
      </c>
      <c r="S1403" s="84">
        <f>IF(ISNUMBER($M1403),ABS($M1403),0)</f>
        <v>0</v>
      </c>
      <c r="T1403" s="85" t="n">
        <v>1395</v>
      </c>
    </row>
    <row r="1404">
      <c r="B1404" s="83" t="n"/>
      <c r="C1404" s="83" t="n"/>
      <c r="D1404" s="83" t="n"/>
      <c r="E1404" s="83" t="n"/>
      <c r="F1404" s="83" t="n"/>
      <c r="G1404" s="83" t="n"/>
      <c r="H1404" s="83" t="n"/>
      <c r="I1404" s="83" t="n"/>
      <c r="J1404" s="83" t="n"/>
      <c r="K1404" s="83" t="n"/>
      <c r="L1404" s="83" t="n"/>
      <c r="M1404" s="83" t="n"/>
      <c r="O1404" s="84" t="str">
        <f>IF($C1404="","",IFERROR(MATCH($B1404&amp;"|"&amp;$C1404,MUROS!$AX$11:$AX$70,0),0))</f>
        <v/>
      </c>
      <c r="P1404" s="84" t="str">
        <f>IF($D1404="","",IF(ISNUMBER(MATCH($D1404,CMB_S,0)),1,IF(ISNUMBER(MATCH($D1404,CMB_G,0)),2,0)))</f>
        <v/>
      </c>
      <c r="Q1404" s="84">
        <f>IF(ISNUMBER($H1404),-$H1404,0)</f>
        <v>0</v>
      </c>
      <c r="R1404" s="84">
        <f>IF(ISNUMBER($I1404),ABS($I1404),0)</f>
        <v>0</v>
      </c>
      <c r="S1404" s="84">
        <f>IF(ISNUMBER($M1404),ABS($M1404),0)</f>
        <v>0</v>
      </c>
      <c r="T1404" s="85" t="n">
        <v>1396</v>
      </c>
    </row>
    <row r="1405">
      <c r="B1405" s="83" t="n"/>
      <c r="C1405" s="83" t="n"/>
      <c r="D1405" s="83" t="n"/>
      <c r="E1405" s="83" t="n"/>
      <c r="F1405" s="83" t="n"/>
      <c r="G1405" s="83" t="n"/>
      <c r="H1405" s="83" t="n"/>
      <c r="I1405" s="83" t="n"/>
      <c r="J1405" s="83" t="n"/>
      <c r="K1405" s="83" t="n"/>
      <c r="L1405" s="83" t="n"/>
      <c r="M1405" s="83" t="n"/>
      <c r="O1405" s="84" t="str">
        <f>IF($C1405="","",IFERROR(MATCH($B1405&amp;"|"&amp;$C1405,MUROS!$AX$11:$AX$70,0),0))</f>
        <v/>
      </c>
      <c r="P1405" s="84" t="str">
        <f>IF($D1405="","",IF(ISNUMBER(MATCH($D1405,CMB_S,0)),1,IF(ISNUMBER(MATCH($D1405,CMB_G,0)),2,0)))</f>
        <v/>
      </c>
      <c r="Q1405" s="84">
        <f>IF(ISNUMBER($H1405),-$H1405,0)</f>
        <v>0</v>
      </c>
      <c r="R1405" s="84">
        <f>IF(ISNUMBER($I1405),ABS($I1405),0)</f>
        <v>0</v>
      </c>
      <c r="S1405" s="84">
        <f>IF(ISNUMBER($M1405),ABS($M1405),0)</f>
        <v>0</v>
      </c>
      <c r="T1405" s="85" t="n">
        <v>1397</v>
      </c>
    </row>
    <row r="1406">
      <c r="B1406" s="83" t="n"/>
      <c r="C1406" s="83" t="n"/>
      <c r="D1406" s="83" t="n"/>
      <c r="E1406" s="83" t="n"/>
      <c r="F1406" s="83" t="n"/>
      <c r="G1406" s="83" t="n"/>
      <c r="H1406" s="83" t="n"/>
      <c r="I1406" s="83" t="n"/>
      <c r="J1406" s="83" t="n"/>
      <c r="K1406" s="83" t="n"/>
      <c r="L1406" s="83" t="n"/>
      <c r="M1406" s="83" t="n"/>
      <c r="O1406" s="84" t="str">
        <f>IF($C1406="","",IFERROR(MATCH($B1406&amp;"|"&amp;$C1406,MUROS!$AX$11:$AX$70,0),0))</f>
        <v/>
      </c>
      <c r="P1406" s="84" t="str">
        <f>IF($D1406="","",IF(ISNUMBER(MATCH($D1406,CMB_S,0)),1,IF(ISNUMBER(MATCH($D1406,CMB_G,0)),2,0)))</f>
        <v/>
      </c>
      <c r="Q1406" s="84">
        <f>IF(ISNUMBER($H1406),-$H1406,0)</f>
        <v>0</v>
      </c>
      <c r="R1406" s="84">
        <f>IF(ISNUMBER($I1406),ABS($I1406),0)</f>
        <v>0</v>
      </c>
      <c r="S1406" s="84">
        <f>IF(ISNUMBER($M1406),ABS($M1406),0)</f>
        <v>0</v>
      </c>
      <c r="T1406" s="85" t="n">
        <v>1398</v>
      </c>
    </row>
    <row r="1407">
      <c r="B1407" s="83" t="n"/>
      <c r="C1407" s="83" t="n"/>
      <c r="D1407" s="83" t="n"/>
      <c r="E1407" s="83" t="n"/>
      <c r="F1407" s="83" t="n"/>
      <c r="G1407" s="83" t="n"/>
      <c r="H1407" s="83" t="n"/>
      <c r="I1407" s="83" t="n"/>
      <c r="J1407" s="83" t="n"/>
      <c r="K1407" s="83" t="n"/>
      <c r="L1407" s="83" t="n"/>
      <c r="M1407" s="83" t="n"/>
      <c r="O1407" s="84" t="str">
        <f>IF($C1407="","",IFERROR(MATCH($B1407&amp;"|"&amp;$C1407,MUROS!$AX$11:$AX$70,0),0))</f>
        <v/>
      </c>
      <c r="P1407" s="84" t="str">
        <f>IF($D1407="","",IF(ISNUMBER(MATCH($D1407,CMB_S,0)),1,IF(ISNUMBER(MATCH($D1407,CMB_G,0)),2,0)))</f>
        <v/>
      </c>
      <c r="Q1407" s="84">
        <f>IF(ISNUMBER($H1407),-$H1407,0)</f>
        <v>0</v>
      </c>
      <c r="R1407" s="84">
        <f>IF(ISNUMBER($I1407),ABS($I1407),0)</f>
        <v>0</v>
      </c>
      <c r="S1407" s="84">
        <f>IF(ISNUMBER($M1407),ABS($M1407),0)</f>
        <v>0</v>
      </c>
      <c r="T1407" s="85" t="n">
        <v>1399</v>
      </c>
    </row>
    <row r="1408">
      <c r="B1408" s="83" t="n"/>
      <c r="C1408" s="83" t="n"/>
      <c r="D1408" s="83" t="n"/>
      <c r="E1408" s="83" t="n"/>
      <c r="F1408" s="83" t="n"/>
      <c r="G1408" s="83" t="n"/>
      <c r="H1408" s="83" t="n"/>
      <c r="I1408" s="83" t="n"/>
      <c r="J1408" s="83" t="n"/>
      <c r="K1408" s="83" t="n"/>
      <c r="L1408" s="83" t="n"/>
      <c r="M1408" s="83" t="n"/>
      <c r="O1408" s="84" t="str">
        <f>IF($C1408="","",IFERROR(MATCH($B1408&amp;"|"&amp;$C1408,MUROS!$AX$11:$AX$70,0),0))</f>
        <v/>
      </c>
      <c r="P1408" s="84" t="str">
        <f>IF($D1408="","",IF(ISNUMBER(MATCH($D1408,CMB_S,0)),1,IF(ISNUMBER(MATCH($D1408,CMB_G,0)),2,0)))</f>
        <v/>
      </c>
      <c r="Q1408" s="84">
        <f>IF(ISNUMBER($H1408),-$H1408,0)</f>
        <v>0</v>
      </c>
      <c r="R1408" s="84">
        <f>IF(ISNUMBER($I1408),ABS($I1408),0)</f>
        <v>0</v>
      </c>
      <c r="S1408" s="84">
        <f>IF(ISNUMBER($M1408),ABS($M1408),0)</f>
        <v>0</v>
      </c>
      <c r="T1408" s="85" t="n">
        <v>1400</v>
      </c>
    </row>
    <row r="1409">
      <c r="B1409" s="83" t="n"/>
      <c r="C1409" s="83" t="n"/>
      <c r="D1409" s="83" t="n"/>
      <c r="E1409" s="83" t="n"/>
      <c r="F1409" s="83" t="n"/>
      <c r="G1409" s="83" t="n"/>
      <c r="H1409" s="83" t="n"/>
      <c r="I1409" s="83" t="n"/>
      <c r="J1409" s="83" t="n"/>
      <c r="K1409" s="83" t="n"/>
      <c r="L1409" s="83" t="n"/>
      <c r="M1409" s="83" t="n"/>
      <c r="O1409" s="84" t="str">
        <f>IF($C1409="","",IFERROR(MATCH($B1409&amp;"|"&amp;$C1409,MUROS!$AX$11:$AX$70,0),0))</f>
        <v/>
      </c>
      <c r="P1409" s="84" t="str">
        <f>IF($D1409="","",IF(ISNUMBER(MATCH($D1409,CMB_S,0)),1,IF(ISNUMBER(MATCH($D1409,CMB_G,0)),2,0)))</f>
        <v/>
      </c>
      <c r="Q1409" s="84">
        <f>IF(ISNUMBER($H1409),-$H1409,0)</f>
        <v>0</v>
      </c>
      <c r="R1409" s="84">
        <f>IF(ISNUMBER($I1409),ABS($I1409),0)</f>
        <v>0</v>
      </c>
      <c r="S1409" s="84">
        <f>IF(ISNUMBER($M1409),ABS($M1409),0)</f>
        <v>0</v>
      </c>
      <c r="T1409" s="85" t="n">
        <v>1401</v>
      </c>
    </row>
    <row r="1410">
      <c r="B1410" s="83" t="n"/>
      <c r="C1410" s="83" t="n"/>
      <c r="D1410" s="83" t="n"/>
      <c r="E1410" s="83" t="n"/>
      <c r="F1410" s="83" t="n"/>
      <c r="G1410" s="83" t="n"/>
      <c r="H1410" s="83" t="n"/>
      <c r="I1410" s="83" t="n"/>
      <c r="J1410" s="83" t="n"/>
      <c r="K1410" s="83" t="n"/>
      <c r="L1410" s="83" t="n"/>
      <c r="M1410" s="83" t="n"/>
      <c r="O1410" s="84" t="str">
        <f>IF($C1410="","",IFERROR(MATCH($B1410&amp;"|"&amp;$C1410,MUROS!$AX$11:$AX$70,0),0))</f>
        <v/>
      </c>
      <c r="P1410" s="84" t="str">
        <f>IF($D1410="","",IF(ISNUMBER(MATCH($D1410,CMB_S,0)),1,IF(ISNUMBER(MATCH($D1410,CMB_G,0)),2,0)))</f>
        <v/>
      </c>
      <c r="Q1410" s="84">
        <f>IF(ISNUMBER($H1410),-$H1410,0)</f>
        <v>0</v>
      </c>
      <c r="R1410" s="84">
        <f>IF(ISNUMBER($I1410),ABS($I1410),0)</f>
        <v>0</v>
      </c>
      <c r="S1410" s="84">
        <f>IF(ISNUMBER($M1410),ABS($M1410),0)</f>
        <v>0</v>
      </c>
      <c r="T1410" s="85" t="n">
        <v>1402</v>
      </c>
    </row>
    <row r="1411">
      <c r="B1411" s="83" t="n"/>
      <c r="C1411" s="83" t="n"/>
      <c r="D1411" s="83" t="n"/>
      <c r="E1411" s="83" t="n"/>
      <c r="F1411" s="83" t="n"/>
      <c r="G1411" s="83" t="n"/>
      <c r="H1411" s="83" t="n"/>
      <c r="I1411" s="83" t="n"/>
      <c r="J1411" s="83" t="n"/>
      <c r="K1411" s="83" t="n"/>
      <c r="L1411" s="83" t="n"/>
      <c r="M1411" s="83" t="n"/>
      <c r="O1411" s="84" t="str">
        <f>IF($C1411="","",IFERROR(MATCH($B1411&amp;"|"&amp;$C1411,MUROS!$AX$11:$AX$70,0),0))</f>
        <v/>
      </c>
      <c r="P1411" s="84" t="str">
        <f>IF($D1411="","",IF(ISNUMBER(MATCH($D1411,CMB_S,0)),1,IF(ISNUMBER(MATCH($D1411,CMB_G,0)),2,0)))</f>
        <v/>
      </c>
      <c r="Q1411" s="84">
        <f>IF(ISNUMBER($H1411),-$H1411,0)</f>
        <v>0</v>
      </c>
      <c r="R1411" s="84">
        <f>IF(ISNUMBER($I1411),ABS($I1411),0)</f>
        <v>0</v>
      </c>
      <c r="S1411" s="84">
        <f>IF(ISNUMBER($M1411),ABS($M1411),0)</f>
        <v>0</v>
      </c>
      <c r="T1411" s="85" t="n">
        <v>1403</v>
      </c>
    </row>
    <row r="1412">
      <c r="B1412" s="83" t="n"/>
      <c r="C1412" s="83" t="n"/>
      <c r="D1412" s="83" t="n"/>
      <c r="E1412" s="83" t="n"/>
      <c r="F1412" s="83" t="n"/>
      <c r="G1412" s="83" t="n"/>
      <c r="H1412" s="83" t="n"/>
      <c r="I1412" s="83" t="n"/>
      <c r="J1412" s="83" t="n"/>
      <c r="K1412" s="83" t="n"/>
      <c r="L1412" s="83" t="n"/>
      <c r="M1412" s="83" t="n"/>
      <c r="O1412" s="84" t="str">
        <f>IF($C1412="","",IFERROR(MATCH($B1412&amp;"|"&amp;$C1412,MUROS!$AX$11:$AX$70,0),0))</f>
        <v/>
      </c>
      <c r="P1412" s="84" t="str">
        <f>IF($D1412="","",IF(ISNUMBER(MATCH($D1412,CMB_S,0)),1,IF(ISNUMBER(MATCH($D1412,CMB_G,0)),2,0)))</f>
        <v/>
      </c>
      <c r="Q1412" s="84">
        <f>IF(ISNUMBER($H1412),-$H1412,0)</f>
        <v>0</v>
      </c>
      <c r="R1412" s="84">
        <f>IF(ISNUMBER($I1412),ABS($I1412),0)</f>
        <v>0</v>
      </c>
      <c r="S1412" s="84">
        <f>IF(ISNUMBER($M1412),ABS($M1412),0)</f>
        <v>0</v>
      </c>
      <c r="T1412" s="85" t="n">
        <v>1404</v>
      </c>
    </row>
    <row r="1413">
      <c r="B1413" s="83" t="n"/>
      <c r="C1413" s="83" t="n"/>
      <c r="D1413" s="83" t="n"/>
      <c r="E1413" s="83" t="n"/>
      <c r="F1413" s="83" t="n"/>
      <c r="G1413" s="83" t="n"/>
      <c r="H1413" s="83" t="n"/>
      <c r="I1413" s="83" t="n"/>
      <c r="J1413" s="83" t="n"/>
      <c r="K1413" s="83" t="n"/>
      <c r="L1413" s="83" t="n"/>
      <c r="M1413" s="83" t="n"/>
      <c r="O1413" s="84" t="str">
        <f>IF($C1413="","",IFERROR(MATCH($B1413&amp;"|"&amp;$C1413,MUROS!$AX$11:$AX$70,0),0))</f>
        <v/>
      </c>
      <c r="P1413" s="84" t="str">
        <f>IF($D1413="","",IF(ISNUMBER(MATCH($D1413,CMB_S,0)),1,IF(ISNUMBER(MATCH($D1413,CMB_G,0)),2,0)))</f>
        <v/>
      </c>
      <c r="Q1413" s="84">
        <f>IF(ISNUMBER($H1413),-$H1413,0)</f>
        <v>0</v>
      </c>
      <c r="R1413" s="84">
        <f>IF(ISNUMBER($I1413),ABS($I1413),0)</f>
        <v>0</v>
      </c>
      <c r="S1413" s="84">
        <f>IF(ISNUMBER($M1413),ABS($M1413),0)</f>
        <v>0</v>
      </c>
      <c r="T1413" s="85" t="n">
        <v>1405</v>
      </c>
    </row>
    <row r="1414">
      <c r="B1414" s="83" t="n"/>
      <c r="C1414" s="83" t="n"/>
      <c r="D1414" s="83" t="n"/>
      <c r="E1414" s="83" t="n"/>
      <c r="F1414" s="83" t="n"/>
      <c r="G1414" s="83" t="n"/>
      <c r="H1414" s="83" t="n"/>
      <c r="I1414" s="83" t="n"/>
      <c r="J1414" s="83" t="n"/>
      <c r="K1414" s="83" t="n"/>
      <c r="L1414" s="83" t="n"/>
      <c r="M1414" s="83" t="n"/>
      <c r="O1414" s="84" t="str">
        <f>IF($C1414="","",IFERROR(MATCH($B1414&amp;"|"&amp;$C1414,MUROS!$AX$11:$AX$70,0),0))</f>
        <v/>
      </c>
      <c r="P1414" s="84" t="str">
        <f>IF($D1414="","",IF(ISNUMBER(MATCH($D1414,CMB_S,0)),1,IF(ISNUMBER(MATCH($D1414,CMB_G,0)),2,0)))</f>
        <v/>
      </c>
      <c r="Q1414" s="84">
        <f>IF(ISNUMBER($H1414),-$H1414,0)</f>
        <v>0</v>
      </c>
      <c r="R1414" s="84">
        <f>IF(ISNUMBER($I1414),ABS($I1414),0)</f>
        <v>0</v>
      </c>
      <c r="S1414" s="84">
        <f>IF(ISNUMBER($M1414),ABS($M1414),0)</f>
        <v>0</v>
      </c>
      <c r="T1414" s="85" t="n">
        <v>1406</v>
      </c>
    </row>
    <row r="1415">
      <c r="B1415" s="83" t="n"/>
      <c r="C1415" s="83" t="n"/>
      <c r="D1415" s="83" t="n"/>
      <c r="E1415" s="83" t="n"/>
      <c r="F1415" s="83" t="n"/>
      <c r="G1415" s="83" t="n"/>
      <c r="H1415" s="83" t="n"/>
      <c r="I1415" s="83" t="n"/>
      <c r="J1415" s="83" t="n"/>
      <c r="K1415" s="83" t="n"/>
      <c r="L1415" s="83" t="n"/>
      <c r="M1415" s="83" t="n"/>
      <c r="O1415" s="84" t="str">
        <f>IF($C1415="","",IFERROR(MATCH($B1415&amp;"|"&amp;$C1415,MUROS!$AX$11:$AX$70,0),0))</f>
        <v/>
      </c>
      <c r="P1415" s="84" t="str">
        <f>IF($D1415="","",IF(ISNUMBER(MATCH($D1415,CMB_S,0)),1,IF(ISNUMBER(MATCH($D1415,CMB_G,0)),2,0)))</f>
        <v/>
      </c>
      <c r="Q1415" s="84">
        <f>IF(ISNUMBER($H1415),-$H1415,0)</f>
        <v>0</v>
      </c>
      <c r="R1415" s="84">
        <f>IF(ISNUMBER($I1415),ABS($I1415),0)</f>
        <v>0</v>
      </c>
      <c r="S1415" s="84">
        <f>IF(ISNUMBER($M1415),ABS($M1415),0)</f>
        <v>0</v>
      </c>
      <c r="T1415" s="85" t="n">
        <v>1407</v>
      </c>
    </row>
    <row r="1416">
      <c r="B1416" s="83" t="n"/>
      <c r="C1416" s="83" t="n"/>
      <c r="D1416" s="83" t="n"/>
      <c r="E1416" s="83" t="n"/>
      <c r="F1416" s="83" t="n"/>
      <c r="G1416" s="83" t="n"/>
      <c r="H1416" s="83" t="n"/>
      <c r="I1416" s="83" t="n"/>
      <c r="J1416" s="83" t="n"/>
      <c r="K1416" s="83" t="n"/>
      <c r="L1416" s="83" t="n"/>
      <c r="M1416" s="83" t="n"/>
      <c r="O1416" s="84" t="str">
        <f>IF($C1416="","",IFERROR(MATCH($B1416&amp;"|"&amp;$C1416,MUROS!$AX$11:$AX$70,0),0))</f>
        <v/>
      </c>
      <c r="P1416" s="84" t="str">
        <f>IF($D1416="","",IF(ISNUMBER(MATCH($D1416,CMB_S,0)),1,IF(ISNUMBER(MATCH($D1416,CMB_G,0)),2,0)))</f>
        <v/>
      </c>
      <c r="Q1416" s="84">
        <f>IF(ISNUMBER($H1416),-$H1416,0)</f>
        <v>0</v>
      </c>
      <c r="R1416" s="84">
        <f>IF(ISNUMBER($I1416),ABS($I1416),0)</f>
        <v>0</v>
      </c>
      <c r="S1416" s="84">
        <f>IF(ISNUMBER($M1416),ABS($M1416),0)</f>
        <v>0</v>
      </c>
      <c r="T1416" s="85" t="n">
        <v>1408</v>
      </c>
    </row>
    <row r="1417">
      <c r="B1417" s="83" t="n"/>
      <c r="C1417" s="83" t="n"/>
      <c r="D1417" s="83" t="n"/>
      <c r="E1417" s="83" t="n"/>
      <c r="F1417" s="83" t="n"/>
      <c r="G1417" s="83" t="n"/>
      <c r="H1417" s="83" t="n"/>
      <c r="I1417" s="83" t="n"/>
      <c r="J1417" s="83" t="n"/>
      <c r="K1417" s="83" t="n"/>
      <c r="L1417" s="83" t="n"/>
      <c r="M1417" s="83" t="n"/>
      <c r="O1417" s="84" t="str">
        <f>IF($C1417="","",IFERROR(MATCH($B1417&amp;"|"&amp;$C1417,MUROS!$AX$11:$AX$70,0),0))</f>
        <v/>
      </c>
      <c r="P1417" s="84" t="str">
        <f>IF($D1417="","",IF(ISNUMBER(MATCH($D1417,CMB_S,0)),1,IF(ISNUMBER(MATCH($D1417,CMB_G,0)),2,0)))</f>
        <v/>
      </c>
      <c r="Q1417" s="84">
        <f>IF(ISNUMBER($H1417),-$H1417,0)</f>
        <v>0</v>
      </c>
      <c r="R1417" s="84">
        <f>IF(ISNUMBER($I1417),ABS($I1417),0)</f>
        <v>0</v>
      </c>
      <c r="S1417" s="84">
        <f>IF(ISNUMBER($M1417),ABS($M1417),0)</f>
        <v>0</v>
      </c>
      <c r="T1417" s="85" t="n">
        <v>1409</v>
      </c>
    </row>
    <row r="1418">
      <c r="B1418" s="83" t="n"/>
      <c r="C1418" s="83" t="n"/>
      <c r="D1418" s="83" t="n"/>
      <c r="E1418" s="83" t="n"/>
      <c r="F1418" s="83" t="n"/>
      <c r="G1418" s="83" t="n"/>
      <c r="H1418" s="83" t="n"/>
      <c r="I1418" s="83" t="n"/>
      <c r="J1418" s="83" t="n"/>
      <c r="K1418" s="83" t="n"/>
      <c r="L1418" s="83" t="n"/>
      <c r="M1418" s="83" t="n"/>
      <c r="O1418" s="84" t="str">
        <f>IF($C1418="","",IFERROR(MATCH($B1418&amp;"|"&amp;$C1418,MUROS!$AX$11:$AX$70,0),0))</f>
        <v/>
      </c>
      <c r="P1418" s="84" t="str">
        <f>IF($D1418="","",IF(ISNUMBER(MATCH($D1418,CMB_S,0)),1,IF(ISNUMBER(MATCH($D1418,CMB_G,0)),2,0)))</f>
        <v/>
      </c>
      <c r="Q1418" s="84">
        <f>IF(ISNUMBER($H1418),-$H1418,0)</f>
        <v>0</v>
      </c>
      <c r="R1418" s="84">
        <f>IF(ISNUMBER($I1418),ABS($I1418),0)</f>
        <v>0</v>
      </c>
      <c r="S1418" s="84">
        <f>IF(ISNUMBER($M1418),ABS($M1418),0)</f>
        <v>0</v>
      </c>
      <c r="T1418" s="85" t="n">
        <v>1410</v>
      </c>
    </row>
    <row r="1419">
      <c r="B1419" s="83" t="n"/>
      <c r="C1419" s="83" t="n"/>
      <c r="D1419" s="83" t="n"/>
      <c r="E1419" s="83" t="n"/>
      <c r="F1419" s="83" t="n"/>
      <c r="G1419" s="83" t="n"/>
      <c r="H1419" s="83" t="n"/>
      <c r="I1419" s="83" t="n"/>
      <c r="J1419" s="83" t="n"/>
      <c r="K1419" s="83" t="n"/>
      <c r="L1419" s="83" t="n"/>
      <c r="M1419" s="83" t="n"/>
      <c r="O1419" s="84" t="str">
        <f>IF($C1419="","",IFERROR(MATCH($B1419&amp;"|"&amp;$C1419,MUROS!$AX$11:$AX$70,0),0))</f>
        <v/>
      </c>
      <c r="P1419" s="84" t="str">
        <f>IF($D1419="","",IF(ISNUMBER(MATCH($D1419,CMB_S,0)),1,IF(ISNUMBER(MATCH($D1419,CMB_G,0)),2,0)))</f>
        <v/>
      </c>
      <c r="Q1419" s="84">
        <f>IF(ISNUMBER($H1419),-$H1419,0)</f>
        <v>0</v>
      </c>
      <c r="R1419" s="84">
        <f>IF(ISNUMBER($I1419),ABS($I1419),0)</f>
        <v>0</v>
      </c>
      <c r="S1419" s="84">
        <f>IF(ISNUMBER($M1419),ABS($M1419),0)</f>
        <v>0</v>
      </c>
      <c r="T1419" s="85" t="n">
        <v>1411</v>
      </c>
    </row>
    <row r="1420">
      <c r="B1420" s="83" t="n"/>
      <c r="C1420" s="83" t="n"/>
      <c r="D1420" s="83" t="n"/>
      <c r="E1420" s="83" t="n"/>
      <c r="F1420" s="83" t="n"/>
      <c r="G1420" s="83" t="n"/>
      <c r="H1420" s="83" t="n"/>
      <c r="I1420" s="83" t="n"/>
      <c r="J1420" s="83" t="n"/>
      <c r="K1420" s="83" t="n"/>
      <c r="L1420" s="83" t="n"/>
      <c r="M1420" s="83" t="n"/>
      <c r="O1420" s="84" t="str">
        <f>IF($C1420="","",IFERROR(MATCH($B1420&amp;"|"&amp;$C1420,MUROS!$AX$11:$AX$70,0),0))</f>
        <v/>
      </c>
      <c r="P1420" s="84" t="str">
        <f>IF($D1420="","",IF(ISNUMBER(MATCH($D1420,CMB_S,0)),1,IF(ISNUMBER(MATCH($D1420,CMB_G,0)),2,0)))</f>
        <v/>
      </c>
      <c r="Q1420" s="84">
        <f>IF(ISNUMBER($H1420),-$H1420,0)</f>
        <v>0</v>
      </c>
      <c r="R1420" s="84">
        <f>IF(ISNUMBER($I1420),ABS($I1420),0)</f>
        <v>0</v>
      </c>
      <c r="S1420" s="84">
        <f>IF(ISNUMBER($M1420),ABS($M1420),0)</f>
        <v>0</v>
      </c>
      <c r="T1420" s="85" t="n">
        <v>1412</v>
      </c>
    </row>
    <row r="1421">
      <c r="B1421" s="83" t="n"/>
      <c r="C1421" s="83" t="n"/>
      <c r="D1421" s="83" t="n"/>
      <c r="E1421" s="83" t="n"/>
      <c r="F1421" s="83" t="n"/>
      <c r="G1421" s="83" t="n"/>
      <c r="H1421" s="83" t="n"/>
      <c r="I1421" s="83" t="n"/>
      <c r="J1421" s="83" t="n"/>
      <c r="K1421" s="83" t="n"/>
      <c r="L1421" s="83" t="n"/>
      <c r="M1421" s="83" t="n"/>
      <c r="O1421" s="84" t="str">
        <f>IF($C1421="","",IFERROR(MATCH($B1421&amp;"|"&amp;$C1421,MUROS!$AX$11:$AX$70,0),0))</f>
        <v/>
      </c>
      <c r="P1421" s="84" t="str">
        <f>IF($D1421="","",IF(ISNUMBER(MATCH($D1421,CMB_S,0)),1,IF(ISNUMBER(MATCH($D1421,CMB_G,0)),2,0)))</f>
        <v/>
      </c>
      <c r="Q1421" s="84">
        <f>IF(ISNUMBER($H1421),-$H1421,0)</f>
        <v>0</v>
      </c>
      <c r="R1421" s="84">
        <f>IF(ISNUMBER($I1421),ABS($I1421),0)</f>
        <v>0</v>
      </c>
      <c r="S1421" s="84">
        <f>IF(ISNUMBER($M1421),ABS($M1421),0)</f>
        <v>0</v>
      </c>
      <c r="T1421" s="85" t="n">
        <v>1413</v>
      </c>
    </row>
    <row r="1422">
      <c r="B1422" s="83" t="n"/>
      <c r="C1422" s="83" t="n"/>
      <c r="D1422" s="83" t="n"/>
      <c r="E1422" s="83" t="n"/>
      <c r="F1422" s="83" t="n"/>
      <c r="G1422" s="83" t="n"/>
      <c r="H1422" s="83" t="n"/>
      <c r="I1422" s="83" t="n"/>
      <c r="J1422" s="83" t="n"/>
      <c r="K1422" s="83" t="n"/>
      <c r="L1422" s="83" t="n"/>
      <c r="M1422" s="83" t="n"/>
      <c r="O1422" s="84" t="str">
        <f>IF($C1422="","",IFERROR(MATCH($B1422&amp;"|"&amp;$C1422,MUROS!$AX$11:$AX$70,0),0))</f>
        <v/>
      </c>
      <c r="P1422" s="84" t="str">
        <f>IF($D1422="","",IF(ISNUMBER(MATCH($D1422,CMB_S,0)),1,IF(ISNUMBER(MATCH($D1422,CMB_G,0)),2,0)))</f>
        <v/>
      </c>
      <c r="Q1422" s="84">
        <f>IF(ISNUMBER($H1422),-$H1422,0)</f>
        <v>0</v>
      </c>
      <c r="R1422" s="84">
        <f>IF(ISNUMBER($I1422),ABS($I1422),0)</f>
        <v>0</v>
      </c>
      <c r="S1422" s="84">
        <f>IF(ISNUMBER($M1422),ABS($M1422),0)</f>
        <v>0</v>
      </c>
      <c r="T1422" s="85" t="n">
        <v>1414</v>
      </c>
    </row>
    <row r="1423">
      <c r="B1423" s="83" t="n"/>
      <c r="C1423" s="83" t="n"/>
      <c r="D1423" s="83" t="n"/>
      <c r="E1423" s="83" t="n"/>
      <c r="F1423" s="83" t="n"/>
      <c r="G1423" s="83" t="n"/>
      <c r="H1423" s="83" t="n"/>
      <c r="I1423" s="83" t="n"/>
      <c r="J1423" s="83" t="n"/>
      <c r="K1423" s="83" t="n"/>
      <c r="L1423" s="83" t="n"/>
      <c r="M1423" s="83" t="n"/>
      <c r="O1423" s="84" t="str">
        <f>IF($C1423="","",IFERROR(MATCH($B1423&amp;"|"&amp;$C1423,MUROS!$AX$11:$AX$70,0),0))</f>
        <v/>
      </c>
      <c r="P1423" s="84" t="str">
        <f>IF($D1423="","",IF(ISNUMBER(MATCH($D1423,CMB_S,0)),1,IF(ISNUMBER(MATCH($D1423,CMB_G,0)),2,0)))</f>
        <v/>
      </c>
      <c r="Q1423" s="84">
        <f>IF(ISNUMBER($H1423),-$H1423,0)</f>
        <v>0</v>
      </c>
      <c r="R1423" s="84">
        <f>IF(ISNUMBER($I1423),ABS($I1423),0)</f>
        <v>0</v>
      </c>
      <c r="S1423" s="84">
        <f>IF(ISNUMBER($M1423),ABS($M1423),0)</f>
        <v>0</v>
      </c>
      <c r="T1423" s="85" t="n">
        <v>1415</v>
      </c>
    </row>
    <row r="1424">
      <c r="B1424" s="83" t="n"/>
      <c r="C1424" s="83" t="n"/>
      <c r="D1424" s="83" t="n"/>
      <c r="E1424" s="83" t="n"/>
      <c r="F1424" s="83" t="n"/>
      <c r="G1424" s="83" t="n"/>
      <c r="H1424" s="83" t="n"/>
      <c r="I1424" s="83" t="n"/>
      <c r="J1424" s="83" t="n"/>
      <c r="K1424" s="83" t="n"/>
      <c r="L1424" s="83" t="n"/>
      <c r="M1424" s="83" t="n"/>
      <c r="O1424" s="84" t="str">
        <f>IF($C1424="","",IFERROR(MATCH($B1424&amp;"|"&amp;$C1424,MUROS!$AX$11:$AX$70,0),0))</f>
        <v/>
      </c>
      <c r="P1424" s="84" t="str">
        <f>IF($D1424="","",IF(ISNUMBER(MATCH($D1424,CMB_S,0)),1,IF(ISNUMBER(MATCH($D1424,CMB_G,0)),2,0)))</f>
        <v/>
      </c>
      <c r="Q1424" s="84">
        <f>IF(ISNUMBER($H1424),-$H1424,0)</f>
        <v>0</v>
      </c>
      <c r="R1424" s="84">
        <f>IF(ISNUMBER($I1424),ABS($I1424),0)</f>
        <v>0</v>
      </c>
      <c r="S1424" s="84">
        <f>IF(ISNUMBER($M1424),ABS($M1424),0)</f>
        <v>0</v>
      </c>
      <c r="T1424" s="85" t="n">
        <v>1416</v>
      </c>
    </row>
    <row r="1425">
      <c r="B1425" s="83" t="n"/>
      <c r="C1425" s="83" t="n"/>
      <c r="D1425" s="83" t="n"/>
      <c r="E1425" s="83" t="n"/>
      <c r="F1425" s="83" t="n"/>
      <c r="G1425" s="83" t="n"/>
      <c r="H1425" s="83" t="n"/>
      <c r="I1425" s="83" t="n"/>
      <c r="J1425" s="83" t="n"/>
      <c r="K1425" s="83" t="n"/>
      <c r="L1425" s="83" t="n"/>
      <c r="M1425" s="83" t="n"/>
      <c r="O1425" s="84" t="str">
        <f>IF($C1425="","",IFERROR(MATCH($B1425&amp;"|"&amp;$C1425,MUROS!$AX$11:$AX$70,0),0))</f>
        <v/>
      </c>
      <c r="P1425" s="84" t="str">
        <f>IF($D1425="","",IF(ISNUMBER(MATCH($D1425,CMB_S,0)),1,IF(ISNUMBER(MATCH($D1425,CMB_G,0)),2,0)))</f>
        <v/>
      </c>
      <c r="Q1425" s="84">
        <f>IF(ISNUMBER($H1425),-$H1425,0)</f>
        <v>0</v>
      </c>
      <c r="R1425" s="84">
        <f>IF(ISNUMBER($I1425),ABS($I1425),0)</f>
        <v>0</v>
      </c>
      <c r="S1425" s="84">
        <f>IF(ISNUMBER($M1425),ABS($M1425),0)</f>
        <v>0</v>
      </c>
      <c r="T1425" s="85" t="n">
        <v>1417</v>
      </c>
    </row>
    <row r="1426">
      <c r="B1426" s="83" t="n"/>
      <c r="C1426" s="83" t="n"/>
      <c r="D1426" s="83" t="n"/>
      <c r="E1426" s="83" t="n"/>
      <c r="F1426" s="83" t="n"/>
      <c r="G1426" s="83" t="n"/>
      <c r="H1426" s="83" t="n"/>
      <c r="I1426" s="83" t="n"/>
      <c r="J1426" s="83" t="n"/>
      <c r="K1426" s="83" t="n"/>
      <c r="L1426" s="83" t="n"/>
      <c r="M1426" s="83" t="n"/>
      <c r="O1426" s="84" t="str">
        <f>IF($C1426="","",IFERROR(MATCH($B1426&amp;"|"&amp;$C1426,MUROS!$AX$11:$AX$70,0),0))</f>
        <v/>
      </c>
      <c r="P1426" s="84" t="str">
        <f>IF($D1426="","",IF(ISNUMBER(MATCH($D1426,CMB_S,0)),1,IF(ISNUMBER(MATCH($D1426,CMB_G,0)),2,0)))</f>
        <v/>
      </c>
      <c r="Q1426" s="84">
        <f>IF(ISNUMBER($H1426),-$H1426,0)</f>
        <v>0</v>
      </c>
      <c r="R1426" s="84">
        <f>IF(ISNUMBER($I1426),ABS($I1426),0)</f>
        <v>0</v>
      </c>
      <c r="S1426" s="84">
        <f>IF(ISNUMBER($M1426),ABS($M1426),0)</f>
        <v>0</v>
      </c>
      <c r="T1426" s="85" t="n">
        <v>1418</v>
      </c>
    </row>
    <row r="1427">
      <c r="B1427" s="83" t="n"/>
      <c r="C1427" s="83" t="n"/>
      <c r="D1427" s="83" t="n"/>
      <c r="E1427" s="83" t="n"/>
      <c r="F1427" s="83" t="n"/>
      <c r="G1427" s="83" t="n"/>
      <c r="H1427" s="83" t="n"/>
      <c r="I1427" s="83" t="n"/>
      <c r="J1427" s="83" t="n"/>
      <c r="K1427" s="83" t="n"/>
      <c r="L1427" s="83" t="n"/>
      <c r="M1427" s="83" t="n"/>
      <c r="O1427" s="84" t="str">
        <f>IF($C1427="","",IFERROR(MATCH($B1427&amp;"|"&amp;$C1427,MUROS!$AX$11:$AX$70,0),0))</f>
        <v/>
      </c>
      <c r="P1427" s="84" t="str">
        <f>IF($D1427="","",IF(ISNUMBER(MATCH($D1427,CMB_S,0)),1,IF(ISNUMBER(MATCH($D1427,CMB_G,0)),2,0)))</f>
        <v/>
      </c>
      <c r="Q1427" s="84">
        <f>IF(ISNUMBER($H1427),-$H1427,0)</f>
        <v>0</v>
      </c>
      <c r="R1427" s="84">
        <f>IF(ISNUMBER($I1427),ABS($I1427),0)</f>
        <v>0</v>
      </c>
      <c r="S1427" s="84">
        <f>IF(ISNUMBER($M1427),ABS($M1427),0)</f>
        <v>0</v>
      </c>
      <c r="T1427" s="85" t="n">
        <v>1419</v>
      </c>
    </row>
    <row r="1428">
      <c r="B1428" s="83" t="n"/>
      <c r="C1428" s="83" t="n"/>
      <c r="D1428" s="83" t="n"/>
      <c r="E1428" s="83" t="n"/>
      <c r="F1428" s="83" t="n"/>
      <c r="G1428" s="83" t="n"/>
      <c r="H1428" s="83" t="n"/>
      <c r="I1428" s="83" t="n"/>
      <c r="J1428" s="83" t="n"/>
      <c r="K1428" s="83" t="n"/>
      <c r="L1428" s="83" t="n"/>
      <c r="M1428" s="83" t="n"/>
      <c r="O1428" s="84" t="str">
        <f>IF($C1428="","",IFERROR(MATCH($B1428&amp;"|"&amp;$C1428,MUROS!$AX$11:$AX$70,0),0))</f>
        <v/>
      </c>
      <c r="P1428" s="84" t="str">
        <f>IF($D1428="","",IF(ISNUMBER(MATCH($D1428,CMB_S,0)),1,IF(ISNUMBER(MATCH($D1428,CMB_G,0)),2,0)))</f>
        <v/>
      </c>
      <c r="Q1428" s="84">
        <f>IF(ISNUMBER($H1428),-$H1428,0)</f>
        <v>0</v>
      </c>
      <c r="R1428" s="84">
        <f>IF(ISNUMBER($I1428),ABS($I1428),0)</f>
        <v>0</v>
      </c>
      <c r="S1428" s="84">
        <f>IF(ISNUMBER($M1428),ABS($M1428),0)</f>
        <v>0</v>
      </c>
      <c r="T1428" s="85" t="n">
        <v>1420</v>
      </c>
    </row>
    <row r="1429">
      <c r="B1429" s="83" t="n"/>
      <c r="C1429" s="83" t="n"/>
      <c r="D1429" s="83" t="n"/>
      <c r="E1429" s="83" t="n"/>
      <c r="F1429" s="83" t="n"/>
      <c r="G1429" s="83" t="n"/>
      <c r="H1429" s="83" t="n"/>
      <c r="I1429" s="83" t="n"/>
      <c r="J1429" s="83" t="n"/>
      <c r="K1429" s="83" t="n"/>
      <c r="L1429" s="83" t="n"/>
      <c r="M1429" s="83" t="n"/>
      <c r="O1429" s="84" t="str">
        <f>IF($C1429="","",IFERROR(MATCH($B1429&amp;"|"&amp;$C1429,MUROS!$AX$11:$AX$70,0),0))</f>
        <v/>
      </c>
      <c r="P1429" s="84" t="str">
        <f>IF($D1429="","",IF(ISNUMBER(MATCH($D1429,CMB_S,0)),1,IF(ISNUMBER(MATCH($D1429,CMB_G,0)),2,0)))</f>
        <v/>
      </c>
      <c r="Q1429" s="84">
        <f>IF(ISNUMBER($H1429),-$H1429,0)</f>
        <v>0</v>
      </c>
      <c r="R1429" s="84">
        <f>IF(ISNUMBER($I1429),ABS($I1429),0)</f>
        <v>0</v>
      </c>
      <c r="S1429" s="84">
        <f>IF(ISNUMBER($M1429),ABS($M1429),0)</f>
        <v>0</v>
      </c>
      <c r="T1429" s="85" t="n">
        <v>1421</v>
      </c>
    </row>
    <row r="1430">
      <c r="B1430" s="83" t="n"/>
      <c r="C1430" s="83" t="n"/>
      <c r="D1430" s="83" t="n"/>
      <c r="E1430" s="83" t="n"/>
      <c r="F1430" s="83" t="n"/>
      <c r="G1430" s="83" t="n"/>
      <c r="H1430" s="83" t="n"/>
      <c r="I1430" s="83" t="n"/>
      <c r="J1430" s="83" t="n"/>
      <c r="K1430" s="83" t="n"/>
      <c r="L1430" s="83" t="n"/>
      <c r="M1430" s="83" t="n"/>
      <c r="O1430" s="84" t="str">
        <f>IF($C1430="","",IFERROR(MATCH($B1430&amp;"|"&amp;$C1430,MUROS!$AX$11:$AX$70,0),0))</f>
        <v/>
      </c>
      <c r="P1430" s="84" t="str">
        <f>IF($D1430="","",IF(ISNUMBER(MATCH($D1430,CMB_S,0)),1,IF(ISNUMBER(MATCH($D1430,CMB_G,0)),2,0)))</f>
        <v/>
      </c>
      <c r="Q1430" s="84">
        <f>IF(ISNUMBER($H1430),-$H1430,0)</f>
        <v>0</v>
      </c>
      <c r="R1430" s="84">
        <f>IF(ISNUMBER($I1430),ABS($I1430),0)</f>
        <v>0</v>
      </c>
      <c r="S1430" s="84">
        <f>IF(ISNUMBER($M1430),ABS($M1430),0)</f>
        <v>0</v>
      </c>
      <c r="T1430" s="85" t="n">
        <v>1422</v>
      </c>
    </row>
    <row r="1431">
      <c r="B1431" s="83" t="n"/>
      <c r="C1431" s="83" t="n"/>
      <c r="D1431" s="83" t="n"/>
      <c r="E1431" s="83" t="n"/>
      <c r="F1431" s="83" t="n"/>
      <c r="G1431" s="83" t="n"/>
      <c r="H1431" s="83" t="n"/>
      <c r="I1431" s="83" t="n"/>
      <c r="J1431" s="83" t="n"/>
      <c r="K1431" s="83" t="n"/>
      <c r="L1431" s="83" t="n"/>
      <c r="M1431" s="83" t="n"/>
      <c r="O1431" s="84" t="str">
        <f>IF($C1431="","",IFERROR(MATCH($B1431&amp;"|"&amp;$C1431,MUROS!$AX$11:$AX$70,0),0))</f>
        <v/>
      </c>
      <c r="P1431" s="84" t="str">
        <f>IF($D1431="","",IF(ISNUMBER(MATCH($D1431,CMB_S,0)),1,IF(ISNUMBER(MATCH($D1431,CMB_G,0)),2,0)))</f>
        <v/>
      </c>
      <c r="Q1431" s="84">
        <f>IF(ISNUMBER($H1431),-$H1431,0)</f>
        <v>0</v>
      </c>
      <c r="R1431" s="84">
        <f>IF(ISNUMBER($I1431),ABS($I1431),0)</f>
        <v>0</v>
      </c>
      <c r="S1431" s="84">
        <f>IF(ISNUMBER($M1431),ABS($M1431),0)</f>
        <v>0</v>
      </c>
      <c r="T1431" s="85" t="n">
        <v>1423</v>
      </c>
    </row>
    <row r="1432">
      <c r="B1432" s="83" t="n"/>
      <c r="C1432" s="83" t="n"/>
      <c r="D1432" s="83" t="n"/>
      <c r="E1432" s="83" t="n"/>
      <c r="F1432" s="83" t="n"/>
      <c r="G1432" s="83" t="n"/>
      <c r="H1432" s="83" t="n"/>
      <c r="I1432" s="83" t="n"/>
      <c r="J1432" s="83" t="n"/>
      <c r="K1432" s="83" t="n"/>
      <c r="L1432" s="83" t="n"/>
      <c r="M1432" s="83" t="n"/>
      <c r="O1432" s="84" t="str">
        <f>IF($C1432="","",IFERROR(MATCH($B1432&amp;"|"&amp;$C1432,MUROS!$AX$11:$AX$70,0),0))</f>
        <v/>
      </c>
      <c r="P1432" s="84" t="str">
        <f>IF($D1432="","",IF(ISNUMBER(MATCH($D1432,CMB_S,0)),1,IF(ISNUMBER(MATCH($D1432,CMB_G,0)),2,0)))</f>
        <v/>
      </c>
      <c r="Q1432" s="84">
        <f>IF(ISNUMBER($H1432),-$H1432,0)</f>
        <v>0</v>
      </c>
      <c r="R1432" s="84">
        <f>IF(ISNUMBER($I1432),ABS($I1432),0)</f>
        <v>0</v>
      </c>
      <c r="S1432" s="84">
        <f>IF(ISNUMBER($M1432),ABS($M1432),0)</f>
        <v>0</v>
      </c>
      <c r="T1432" s="85" t="n">
        <v>1424</v>
      </c>
    </row>
    <row r="1433">
      <c r="B1433" s="83" t="n"/>
      <c r="C1433" s="83" t="n"/>
      <c r="D1433" s="83" t="n"/>
      <c r="E1433" s="83" t="n"/>
      <c r="F1433" s="83" t="n"/>
      <c r="G1433" s="83" t="n"/>
      <c r="H1433" s="83" t="n"/>
      <c r="I1433" s="83" t="n"/>
      <c r="J1433" s="83" t="n"/>
      <c r="K1433" s="83" t="n"/>
      <c r="L1433" s="83" t="n"/>
      <c r="M1433" s="83" t="n"/>
      <c r="O1433" s="84" t="str">
        <f>IF($C1433="","",IFERROR(MATCH($B1433&amp;"|"&amp;$C1433,MUROS!$AX$11:$AX$70,0),0))</f>
        <v/>
      </c>
      <c r="P1433" s="84" t="str">
        <f>IF($D1433="","",IF(ISNUMBER(MATCH($D1433,CMB_S,0)),1,IF(ISNUMBER(MATCH($D1433,CMB_G,0)),2,0)))</f>
        <v/>
      </c>
      <c r="Q1433" s="84">
        <f>IF(ISNUMBER($H1433),-$H1433,0)</f>
        <v>0</v>
      </c>
      <c r="R1433" s="84">
        <f>IF(ISNUMBER($I1433),ABS($I1433),0)</f>
        <v>0</v>
      </c>
      <c r="S1433" s="84">
        <f>IF(ISNUMBER($M1433),ABS($M1433),0)</f>
        <v>0</v>
      </c>
      <c r="T1433" s="85" t="n">
        <v>1425</v>
      </c>
    </row>
    <row r="1434">
      <c r="B1434" s="83" t="n"/>
      <c r="C1434" s="83" t="n"/>
      <c r="D1434" s="83" t="n"/>
      <c r="E1434" s="83" t="n"/>
      <c r="F1434" s="83" t="n"/>
      <c r="G1434" s="83" t="n"/>
      <c r="H1434" s="83" t="n"/>
      <c r="I1434" s="83" t="n"/>
      <c r="J1434" s="83" t="n"/>
      <c r="K1434" s="83" t="n"/>
      <c r="L1434" s="83" t="n"/>
      <c r="M1434" s="83" t="n"/>
      <c r="O1434" s="84" t="str">
        <f>IF($C1434="","",IFERROR(MATCH($B1434&amp;"|"&amp;$C1434,MUROS!$AX$11:$AX$70,0),0))</f>
        <v/>
      </c>
      <c r="P1434" s="84" t="str">
        <f>IF($D1434="","",IF(ISNUMBER(MATCH($D1434,CMB_S,0)),1,IF(ISNUMBER(MATCH($D1434,CMB_G,0)),2,0)))</f>
        <v/>
      </c>
      <c r="Q1434" s="84">
        <f>IF(ISNUMBER($H1434),-$H1434,0)</f>
        <v>0</v>
      </c>
      <c r="R1434" s="84">
        <f>IF(ISNUMBER($I1434),ABS($I1434),0)</f>
        <v>0</v>
      </c>
      <c r="S1434" s="84">
        <f>IF(ISNUMBER($M1434),ABS($M1434),0)</f>
        <v>0</v>
      </c>
      <c r="T1434" s="85" t="n">
        <v>1426</v>
      </c>
    </row>
    <row r="1435">
      <c r="B1435" s="83" t="n"/>
      <c r="C1435" s="83" t="n"/>
      <c r="D1435" s="83" t="n"/>
      <c r="E1435" s="83" t="n"/>
      <c r="F1435" s="83" t="n"/>
      <c r="G1435" s="83" t="n"/>
      <c r="H1435" s="83" t="n"/>
      <c r="I1435" s="83" t="n"/>
      <c r="J1435" s="83" t="n"/>
      <c r="K1435" s="83" t="n"/>
      <c r="L1435" s="83" t="n"/>
      <c r="M1435" s="83" t="n"/>
      <c r="O1435" s="84" t="str">
        <f>IF($C1435="","",IFERROR(MATCH($B1435&amp;"|"&amp;$C1435,MUROS!$AX$11:$AX$70,0),0))</f>
        <v/>
      </c>
      <c r="P1435" s="84" t="str">
        <f>IF($D1435="","",IF(ISNUMBER(MATCH($D1435,CMB_S,0)),1,IF(ISNUMBER(MATCH($D1435,CMB_G,0)),2,0)))</f>
        <v/>
      </c>
      <c r="Q1435" s="84">
        <f>IF(ISNUMBER($H1435),-$H1435,0)</f>
        <v>0</v>
      </c>
      <c r="R1435" s="84">
        <f>IF(ISNUMBER($I1435),ABS($I1435),0)</f>
        <v>0</v>
      </c>
      <c r="S1435" s="84">
        <f>IF(ISNUMBER($M1435),ABS($M1435),0)</f>
        <v>0</v>
      </c>
      <c r="T1435" s="85" t="n">
        <v>1427</v>
      </c>
    </row>
    <row r="1436">
      <c r="B1436" s="83" t="n"/>
      <c r="C1436" s="83" t="n"/>
      <c r="D1436" s="83" t="n"/>
      <c r="E1436" s="83" t="n"/>
      <c r="F1436" s="83" t="n"/>
      <c r="G1436" s="83" t="n"/>
      <c r="H1436" s="83" t="n"/>
      <c r="I1436" s="83" t="n"/>
      <c r="J1436" s="83" t="n"/>
      <c r="K1436" s="83" t="n"/>
      <c r="L1436" s="83" t="n"/>
      <c r="M1436" s="83" t="n"/>
      <c r="O1436" s="84" t="str">
        <f>IF($C1436="","",IFERROR(MATCH($B1436&amp;"|"&amp;$C1436,MUROS!$AX$11:$AX$70,0),0))</f>
        <v/>
      </c>
      <c r="P1436" s="84" t="str">
        <f>IF($D1436="","",IF(ISNUMBER(MATCH($D1436,CMB_S,0)),1,IF(ISNUMBER(MATCH($D1436,CMB_G,0)),2,0)))</f>
        <v/>
      </c>
      <c r="Q1436" s="84">
        <f>IF(ISNUMBER($H1436),-$H1436,0)</f>
        <v>0</v>
      </c>
      <c r="R1436" s="84">
        <f>IF(ISNUMBER($I1436),ABS($I1436),0)</f>
        <v>0</v>
      </c>
      <c r="S1436" s="84">
        <f>IF(ISNUMBER($M1436),ABS($M1436),0)</f>
        <v>0</v>
      </c>
      <c r="T1436" s="85" t="n">
        <v>1428</v>
      </c>
    </row>
    <row r="1437">
      <c r="B1437" s="83" t="n"/>
      <c r="C1437" s="83" t="n"/>
      <c r="D1437" s="83" t="n"/>
      <c r="E1437" s="83" t="n"/>
      <c r="F1437" s="83" t="n"/>
      <c r="G1437" s="83" t="n"/>
      <c r="H1437" s="83" t="n"/>
      <c r="I1437" s="83" t="n"/>
      <c r="J1437" s="83" t="n"/>
      <c r="K1437" s="83" t="n"/>
      <c r="L1437" s="83" t="n"/>
      <c r="M1437" s="83" t="n"/>
      <c r="O1437" s="84" t="str">
        <f>IF($C1437="","",IFERROR(MATCH($B1437&amp;"|"&amp;$C1437,MUROS!$AX$11:$AX$70,0),0))</f>
        <v/>
      </c>
      <c r="P1437" s="84" t="str">
        <f>IF($D1437="","",IF(ISNUMBER(MATCH($D1437,CMB_S,0)),1,IF(ISNUMBER(MATCH($D1437,CMB_G,0)),2,0)))</f>
        <v/>
      </c>
      <c r="Q1437" s="84">
        <f>IF(ISNUMBER($H1437),-$H1437,0)</f>
        <v>0</v>
      </c>
      <c r="R1437" s="84">
        <f>IF(ISNUMBER($I1437),ABS($I1437),0)</f>
        <v>0</v>
      </c>
      <c r="S1437" s="84">
        <f>IF(ISNUMBER($M1437),ABS($M1437),0)</f>
        <v>0</v>
      </c>
      <c r="T1437" s="85" t="n">
        <v>1429</v>
      </c>
    </row>
    <row r="1438">
      <c r="B1438" s="83" t="n"/>
      <c r="C1438" s="83" t="n"/>
      <c r="D1438" s="83" t="n"/>
      <c r="E1438" s="83" t="n"/>
      <c r="F1438" s="83" t="n"/>
      <c r="G1438" s="83" t="n"/>
      <c r="H1438" s="83" t="n"/>
      <c r="I1438" s="83" t="n"/>
      <c r="J1438" s="83" t="n"/>
      <c r="K1438" s="83" t="n"/>
      <c r="L1438" s="83" t="n"/>
      <c r="M1438" s="83" t="n"/>
      <c r="O1438" s="84" t="str">
        <f>IF($C1438="","",IFERROR(MATCH($B1438&amp;"|"&amp;$C1438,MUROS!$AX$11:$AX$70,0),0))</f>
        <v/>
      </c>
      <c r="P1438" s="84" t="str">
        <f>IF($D1438="","",IF(ISNUMBER(MATCH($D1438,CMB_S,0)),1,IF(ISNUMBER(MATCH($D1438,CMB_G,0)),2,0)))</f>
        <v/>
      </c>
      <c r="Q1438" s="84">
        <f>IF(ISNUMBER($H1438),-$H1438,0)</f>
        <v>0</v>
      </c>
      <c r="R1438" s="84">
        <f>IF(ISNUMBER($I1438),ABS($I1438),0)</f>
        <v>0</v>
      </c>
      <c r="S1438" s="84">
        <f>IF(ISNUMBER($M1438),ABS($M1438),0)</f>
        <v>0</v>
      </c>
      <c r="T1438" s="85" t="n">
        <v>1430</v>
      </c>
    </row>
    <row r="1439">
      <c r="B1439" s="83" t="n"/>
      <c r="C1439" s="83" t="n"/>
      <c r="D1439" s="83" t="n"/>
      <c r="E1439" s="83" t="n"/>
      <c r="F1439" s="83" t="n"/>
      <c r="G1439" s="83" t="n"/>
      <c r="H1439" s="83" t="n"/>
      <c r="I1439" s="83" t="n"/>
      <c r="J1439" s="83" t="n"/>
      <c r="K1439" s="83" t="n"/>
      <c r="L1439" s="83" t="n"/>
      <c r="M1439" s="83" t="n"/>
      <c r="O1439" s="84" t="str">
        <f>IF($C1439="","",IFERROR(MATCH($B1439&amp;"|"&amp;$C1439,MUROS!$AX$11:$AX$70,0),0))</f>
        <v/>
      </c>
      <c r="P1439" s="84" t="str">
        <f>IF($D1439="","",IF(ISNUMBER(MATCH($D1439,CMB_S,0)),1,IF(ISNUMBER(MATCH($D1439,CMB_G,0)),2,0)))</f>
        <v/>
      </c>
      <c r="Q1439" s="84">
        <f>IF(ISNUMBER($H1439),-$H1439,0)</f>
        <v>0</v>
      </c>
      <c r="R1439" s="84">
        <f>IF(ISNUMBER($I1439),ABS($I1439),0)</f>
        <v>0</v>
      </c>
      <c r="S1439" s="84">
        <f>IF(ISNUMBER($M1439),ABS($M1439),0)</f>
        <v>0</v>
      </c>
      <c r="T1439" s="85" t="n">
        <v>1431</v>
      </c>
    </row>
    <row r="1440">
      <c r="B1440" s="83" t="n"/>
      <c r="C1440" s="83" t="n"/>
      <c r="D1440" s="83" t="n"/>
      <c r="E1440" s="83" t="n"/>
      <c r="F1440" s="83" t="n"/>
      <c r="G1440" s="83" t="n"/>
      <c r="H1440" s="83" t="n"/>
      <c r="I1440" s="83" t="n"/>
      <c r="J1440" s="83" t="n"/>
      <c r="K1440" s="83" t="n"/>
      <c r="L1440" s="83" t="n"/>
      <c r="M1440" s="83" t="n"/>
      <c r="O1440" s="84" t="str">
        <f>IF($C1440="","",IFERROR(MATCH($B1440&amp;"|"&amp;$C1440,MUROS!$AX$11:$AX$70,0),0))</f>
        <v/>
      </c>
      <c r="P1440" s="84" t="str">
        <f>IF($D1440="","",IF(ISNUMBER(MATCH($D1440,CMB_S,0)),1,IF(ISNUMBER(MATCH($D1440,CMB_G,0)),2,0)))</f>
        <v/>
      </c>
      <c r="Q1440" s="84">
        <f>IF(ISNUMBER($H1440),-$H1440,0)</f>
        <v>0</v>
      </c>
      <c r="R1440" s="84">
        <f>IF(ISNUMBER($I1440),ABS($I1440),0)</f>
        <v>0</v>
      </c>
      <c r="S1440" s="84">
        <f>IF(ISNUMBER($M1440),ABS($M1440),0)</f>
        <v>0</v>
      </c>
      <c r="T1440" s="85" t="n">
        <v>1432</v>
      </c>
    </row>
    <row r="1441">
      <c r="B1441" s="83" t="n"/>
      <c r="C1441" s="83" t="n"/>
      <c r="D1441" s="83" t="n"/>
      <c r="E1441" s="83" t="n"/>
      <c r="F1441" s="83" t="n"/>
      <c r="G1441" s="83" t="n"/>
      <c r="H1441" s="83" t="n"/>
      <c r="I1441" s="83" t="n"/>
      <c r="J1441" s="83" t="n"/>
      <c r="K1441" s="83" t="n"/>
      <c r="L1441" s="83" t="n"/>
      <c r="M1441" s="83" t="n"/>
      <c r="O1441" s="84" t="str">
        <f>IF($C1441="","",IFERROR(MATCH($B1441&amp;"|"&amp;$C1441,MUROS!$AX$11:$AX$70,0),0))</f>
        <v/>
      </c>
      <c r="P1441" s="84" t="str">
        <f>IF($D1441="","",IF(ISNUMBER(MATCH($D1441,CMB_S,0)),1,IF(ISNUMBER(MATCH($D1441,CMB_G,0)),2,0)))</f>
        <v/>
      </c>
      <c r="Q1441" s="84">
        <f>IF(ISNUMBER($H1441),-$H1441,0)</f>
        <v>0</v>
      </c>
      <c r="R1441" s="84">
        <f>IF(ISNUMBER($I1441),ABS($I1441),0)</f>
        <v>0</v>
      </c>
      <c r="S1441" s="84">
        <f>IF(ISNUMBER($M1441),ABS($M1441),0)</f>
        <v>0</v>
      </c>
      <c r="T1441" s="85" t="n">
        <v>1433</v>
      </c>
    </row>
    <row r="1442">
      <c r="B1442" s="83" t="n"/>
      <c r="C1442" s="83" t="n"/>
      <c r="D1442" s="83" t="n"/>
      <c r="E1442" s="83" t="n"/>
      <c r="F1442" s="83" t="n"/>
      <c r="G1442" s="83" t="n"/>
      <c r="H1442" s="83" t="n"/>
      <c r="I1442" s="83" t="n"/>
      <c r="J1442" s="83" t="n"/>
      <c r="K1442" s="83" t="n"/>
      <c r="L1442" s="83" t="n"/>
      <c r="M1442" s="83" t="n"/>
      <c r="O1442" s="84" t="str">
        <f>IF($C1442="","",IFERROR(MATCH($B1442&amp;"|"&amp;$C1442,MUROS!$AX$11:$AX$70,0),0))</f>
        <v/>
      </c>
      <c r="P1442" s="84" t="str">
        <f>IF($D1442="","",IF(ISNUMBER(MATCH($D1442,CMB_S,0)),1,IF(ISNUMBER(MATCH($D1442,CMB_G,0)),2,0)))</f>
        <v/>
      </c>
      <c r="Q1442" s="84">
        <f>IF(ISNUMBER($H1442),-$H1442,0)</f>
        <v>0</v>
      </c>
      <c r="R1442" s="84">
        <f>IF(ISNUMBER($I1442),ABS($I1442),0)</f>
        <v>0</v>
      </c>
      <c r="S1442" s="84">
        <f>IF(ISNUMBER($M1442),ABS($M1442),0)</f>
        <v>0</v>
      </c>
      <c r="T1442" s="85" t="n">
        <v>1434</v>
      </c>
    </row>
    <row r="1443">
      <c r="B1443" s="83" t="n"/>
      <c r="C1443" s="83" t="n"/>
      <c r="D1443" s="83" t="n"/>
      <c r="E1443" s="83" t="n"/>
      <c r="F1443" s="83" t="n"/>
      <c r="G1443" s="83" t="n"/>
      <c r="H1443" s="83" t="n"/>
      <c r="I1443" s="83" t="n"/>
      <c r="J1443" s="83" t="n"/>
      <c r="K1443" s="83" t="n"/>
      <c r="L1443" s="83" t="n"/>
      <c r="M1443" s="83" t="n"/>
      <c r="O1443" s="84" t="str">
        <f>IF($C1443="","",IFERROR(MATCH($B1443&amp;"|"&amp;$C1443,MUROS!$AX$11:$AX$70,0),0))</f>
        <v/>
      </c>
      <c r="P1443" s="84" t="str">
        <f>IF($D1443="","",IF(ISNUMBER(MATCH($D1443,CMB_S,0)),1,IF(ISNUMBER(MATCH($D1443,CMB_G,0)),2,0)))</f>
        <v/>
      </c>
      <c r="Q1443" s="84">
        <f>IF(ISNUMBER($H1443),-$H1443,0)</f>
        <v>0</v>
      </c>
      <c r="R1443" s="84">
        <f>IF(ISNUMBER($I1443),ABS($I1443),0)</f>
        <v>0</v>
      </c>
      <c r="S1443" s="84">
        <f>IF(ISNUMBER($M1443),ABS($M1443),0)</f>
        <v>0</v>
      </c>
      <c r="T1443" s="85" t="n">
        <v>1435</v>
      </c>
    </row>
    <row r="1444">
      <c r="B1444" s="83" t="n"/>
      <c r="C1444" s="83" t="n"/>
      <c r="D1444" s="83" t="n"/>
      <c r="E1444" s="83" t="n"/>
      <c r="F1444" s="83" t="n"/>
      <c r="G1444" s="83" t="n"/>
      <c r="H1444" s="83" t="n"/>
      <c r="I1444" s="83" t="n"/>
      <c r="J1444" s="83" t="n"/>
      <c r="K1444" s="83" t="n"/>
      <c r="L1444" s="83" t="n"/>
      <c r="M1444" s="83" t="n"/>
      <c r="O1444" s="84" t="str">
        <f>IF($C1444="","",IFERROR(MATCH($B1444&amp;"|"&amp;$C1444,MUROS!$AX$11:$AX$70,0),0))</f>
        <v/>
      </c>
      <c r="P1444" s="84" t="str">
        <f>IF($D1444="","",IF(ISNUMBER(MATCH($D1444,CMB_S,0)),1,IF(ISNUMBER(MATCH($D1444,CMB_G,0)),2,0)))</f>
        <v/>
      </c>
      <c r="Q1444" s="84">
        <f>IF(ISNUMBER($H1444),-$H1444,0)</f>
        <v>0</v>
      </c>
      <c r="R1444" s="84">
        <f>IF(ISNUMBER($I1444),ABS($I1444),0)</f>
        <v>0</v>
      </c>
      <c r="S1444" s="84">
        <f>IF(ISNUMBER($M1444),ABS($M1444),0)</f>
        <v>0</v>
      </c>
      <c r="T1444" s="85" t="n">
        <v>1436</v>
      </c>
    </row>
    <row r="1445">
      <c r="B1445" s="83" t="n"/>
      <c r="C1445" s="83" t="n"/>
      <c r="D1445" s="83" t="n"/>
      <c r="E1445" s="83" t="n"/>
      <c r="F1445" s="83" t="n"/>
      <c r="G1445" s="83" t="n"/>
      <c r="H1445" s="83" t="n"/>
      <c r="I1445" s="83" t="n"/>
      <c r="J1445" s="83" t="n"/>
      <c r="K1445" s="83" t="n"/>
      <c r="L1445" s="83" t="n"/>
      <c r="M1445" s="83" t="n"/>
      <c r="O1445" s="84" t="str">
        <f>IF($C1445="","",IFERROR(MATCH($B1445&amp;"|"&amp;$C1445,MUROS!$AX$11:$AX$70,0),0))</f>
        <v/>
      </c>
      <c r="P1445" s="84" t="str">
        <f>IF($D1445="","",IF(ISNUMBER(MATCH($D1445,CMB_S,0)),1,IF(ISNUMBER(MATCH($D1445,CMB_G,0)),2,0)))</f>
        <v/>
      </c>
      <c r="Q1445" s="84">
        <f>IF(ISNUMBER($H1445),-$H1445,0)</f>
        <v>0</v>
      </c>
      <c r="R1445" s="84">
        <f>IF(ISNUMBER($I1445),ABS($I1445),0)</f>
        <v>0</v>
      </c>
      <c r="S1445" s="84">
        <f>IF(ISNUMBER($M1445),ABS($M1445),0)</f>
        <v>0</v>
      </c>
      <c r="T1445" s="85" t="n">
        <v>1437</v>
      </c>
    </row>
    <row r="1446">
      <c r="B1446" s="83" t="n"/>
      <c r="C1446" s="83" t="n"/>
      <c r="D1446" s="83" t="n"/>
      <c r="E1446" s="83" t="n"/>
      <c r="F1446" s="83" t="n"/>
      <c r="G1446" s="83" t="n"/>
      <c r="H1446" s="83" t="n"/>
      <c r="I1446" s="83" t="n"/>
      <c r="J1446" s="83" t="n"/>
      <c r="K1446" s="83" t="n"/>
      <c r="L1446" s="83" t="n"/>
      <c r="M1446" s="83" t="n"/>
      <c r="O1446" s="84" t="str">
        <f>IF($C1446="","",IFERROR(MATCH($B1446&amp;"|"&amp;$C1446,MUROS!$AX$11:$AX$70,0),0))</f>
        <v/>
      </c>
      <c r="P1446" s="84" t="str">
        <f>IF($D1446="","",IF(ISNUMBER(MATCH($D1446,CMB_S,0)),1,IF(ISNUMBER(MATCH($D1446,CMB_G,0)),2,0)))</f>
        <v/>
      </c>
      <c r="Q1446" s="84">
        <f>IF(ISNUMBER($H1446),-$H1446,0)</f>
        <v>0</v>
      </c>
      <c r="R1446" s="84">
        <f>IF(ISNUMBER($I1446),ABS($I1446),0)</f>
        <v>0</v>
      </c>
      <c r="S1446" s="84">
        <f>IF(ISNUMBER($M1446),ABS($M1446),0)</f>
        <v>0</v>
      </c>
      <c r="T1446" s="85" t="n">
        <v>1438</v>
      </c>
    </row>
    <row r="1447">
      <c r="B1447" s="83" t="n"/>
      <c r="C1447" s="83" t="n"/>
      <c r="D1447" s="83" t="n"/>
      <c r="E1447" s="83" t="n"/>
      <c r="F1447" s="83" t="n"/>
      <c r="G1447" s="83" t="n"/>
      <c r="H1447" s="83" t="n"/>
      <c r="I1447" s="83" t="n"/>
      <c r="J1447" s="83" t="n"/>
      <c r="K1447" s="83" t="n"/>
      <c r="L1447" s="83" t="n"/>
      <c r="M1447" s="83" t="n"/>
      <c r="O1447" s="84" t="str">
        <f>IF($C1447="","",IFERROR(MATCH($B1447&amp;"|"&amp;$C1447,MUROS!$AX$11:$AX$70,0),0))</f>
        <v/>
      </c>
      <c r="P1447" s="84" t="str">
        <f>IF($D1447="","",IF(ISNUMBER(MATCH($D1447,CMB_S,0)),1,IF(ISNUMBER(MATCH($D1447,CMB_G,0)),2,0)))</f>
        <v/>
      </c>
      <c r="Q1447" s="84">
        <f>IF(ISNUMBER($H1447),-$H1447,0)</f>
        <v>0</v>
      </c>
      <c r="R1447" s="84">
        <f>IF(ISNUMBER($I1447),ABS($I1447),0)</f>
        <v>0</v>
      </c>
      <c r="S1447" s="84">
        <f>IF(ISNUMBER($M1447),ABS($M1447),0)</f>
        <v>0</v>
      </c>
      <c r="T1447" s="85" t="n">
        <v>1439</v>
      </c>
    </row>
    <row r="1448">
      <c r="B1448" s="83" t="n"/>
      <c r="C1448" s="83" t="n"/>
      <c r="D1448" s="83" t="n"/>
      <c r="E1448" s="83" t="n"/>
      <c r="F1448" s="83" t="n"/>
      <c r="G1448" s="83" t="n"/>
      <c r="H1448" s="83" t="n"/>
      <c r="I1448" s="83" t="n"/>
      <c r="J1448" s="83" t="n"/>
      <c r="K1448" s="83" t="n"/>
      <c r="L1448" s="83" t="n"/>
      <c r="M1448" s="83" t="n"/>
      <c r="O1448" s="84" t="str">
        <f>IF($C1448="","",IFERROR(MATCH($B1448&amp;"|"&amp;$C1448,MUROS!$AX$11:$AX$70,0),0))</f>
        <v/>
      </c>
      <c r="P1448" s="84" t="str">
        <f>IF($D1448="","",IF(ISNUMBER(MATCH($D1448,CMB_S,0)),1,IF(ISNUMBER(MATCH($D1448,CMB_G,0)),2,0)))</f>
        <v/>
      </c>
      <c r="Q1448" s="84">
        <f>IF(ISNUMBER($H1448),-$H1448,0)</f>
        <v>0</v>
      </c>
      <c r="R1448" s="84">
        <f>IF(ISNUMBER($I1448),ABS($I1448),0)</f>
        <v>0</v>
      </c>
      <c r="S1448" s="84">
        <f>IF(ISNUMBER($M1448),ABS($M1448),0)</f>
        <v>0</v>
      </c>
      <c r="T1448" s="85" t="n">
        <v>1440</v>
      </c>
    </row>
    <row r="1449">
      <c r="B1449" s="83" t="n"/>
      <c r="C1449" s="83" t="n"/>
      <c r="D1449" s="83" t="n"/>
      <c r="E1449" s="83" t="n"/>
      <c r="F1449" s="83" t="n"/>
      <c r="G1449" s="83" t="n"/>
      <c r="H1449" s="83" t="n"/>
      <c r="I1449" s="83" t="n"/>
      <c r="J1449" s="83" t="n"/>
      <c r="K1449" s="83" t="n"/>
      <c r="L1449" s="83" t="n"/>
      <c r="M1449" s="83" t="n"/>
      <c r="O1449" s="84" t="str">
        <f>IF($C1449="","",IFERROR(MATCH($B1449&amp;"|"&amp;$C1449,MUROS!$AX$11:$AX$70,0),0))</f>
        <v/>
      </c>
      <c r="P1449" s="84" t="str">
        <f>IF($D1449="","",IF(ISNUMBER(MATCH($D1449,CMB_S,0)),1,IF(ISNUMBER(MATCH($D1449,CMB_G,0)),2,0)))</f>
        <v/>
      </c>
      <c r="Q1449" s="84">
        <f>IF(ISNUMBER($H1449),-$H1449,0)</f>
        <v>0</v>
      </c>
      <c r="R1449" s="84">
        <f>IF(ISNUMBER($I1449),ABS($I1449),0)</f>
        <v>0</v>
      </c>
      <c r="S1449" s="84">
        <f>IF(ISNUMBER($M1449),ABS($M1449),0)</f>
        <v>0</v>
      </c>
      <c r="T1449" s="85" t="n">
        <v>1441</v>
      </c>
    </row>
    <row r="1450">
      <c r="B1450" s="83" t="n"/>
      <c r="C1450" s="83" t="n"/>
      <c r="D1450" s="83" t="n"/>
      <c r="E1450" s="83" t="n"/>
      <c r="F1450" s="83" t="n"/>
      <c r="G1450" s="83" t="n"/>
      <c r="H1450" s="83" t="n"/>
      <c r="I1450" s="83" t="n"/>
      <c r="J1450" s="83" t="n"/>
      <c r="K1450" s="83" t="n"/>
      <c r="L1450" s="83" t="n"/>
      <c r="M1450" s="83" t="n"/>
      <c r="O1450" s="84" t="str">
        <f>IF($C1450="","",IFERROR(MATCH($B1450&amp;"|"&amp;$C1450,MUROS!$AX$11:$AX$70,0),0))</f>
        <v/>
      </c>
      <c r="P1450" s="84" t="str">
        <f>IF($D1450="","",IF(ISNUMBER(MATCH($D1450,CMB_S,0)),1,IF(ISNUMBER(MATCH($D1450,CMB_G,0)),2,0)))</f>
        <v/>
      </c>
      <c r="Q1450" s="84">
        <f>IF(ISNUMBER($H1450),-$H1450,0)</f>
        <v>0</v>
      </c>
      <c r="R1450" s="84">
        <f>IF(ISNUMBER($I1450),ABS($I1450),0)</f>
        <v>0</v>
      </c>
      <c r="S1450" s="84">
        <f>IF(ISNUMBER($M1450),ABS($M1450),0)</f>
        <v>0</v>
      </c>
      <c r="T1450" s="85" t="n">
        <v>1442</v>
      </c>
    </row>
    <row r="1451">
      <c r="B1451" s="83" t="n"/>
      <c r="C1451" s="83" t="n"/>
      <c r="D1451" s="83" t="n"/>
      <c r="E1451" s="83" t="n"/>
      <c r="F1451" s="83" t="n"/>
      <c r="G1451" s="83" t="n"/>
      <c r="H1451" s="83" t="n"/>
      <c r="I1451" s="83" t="n"/>
      <c r="J1451" s="83" t="n"/>
      <c r="K1451" s="83" t="n"/>
      <c r="L1451" s="83" t="n"/>
      <c r="M1451" s="83" t="n"/>
      <c r="O1451" s="84" t="str">
        <f>IF($C1451="","",IFERROR(MATCH($B1451&amp;"|"&amp;$C1451,MUROS!$AX$11:$AX$70,0),0))</f>
        <v/>
      </c>
      <c r="P1451" s="84" t="str">
        <f>IF($D1451="","",IF(ISNUMBER(MATCH($D1451,CMB_S,0)),1,IF(ISNUMBER(MATCH($D1451,CMB_G,0)),2,0)))</f>
        <v/>
      </c>
      <c r="Q1451" s="84">
        <f>IF(ISNUMBER($H1451),-$H1451,0)</f>
        <v>0</v>
      </c>
      <c r="R1451" s="84">
        <f>IF(ISNUMBER($I1451),ABS($I1451),0)</f>
        <v>0</v>
      </c>
      <c r="S1451" s="84">
        <f>IF(ISNUMBER($M1451),ABS($M1451),0)</f>
        <v>0</v>
      </c>
      <c r="T1451" s="85" t="n">
        <v>1443</v>
      </c>
    </row>
    <row r="1452">
      <c r="B1452" s="83" t="n"/>
      <c r="C1452" s="83" t="n"/>
      <c r="D1452" s="83" t="n"/>
      <c r="E1452" s="83" t="n"/>
      <c r="F1452" s="83" t="n"/>
      <c r="G1452" s="83" t="n"/>
      <c r="H1452" s="83" t="n"/>
      <c r="I1452" s="83" t="n"/>
      <c r="J1452" s="83" t="n"/>
      <c r="K1452" s="83" t="n"/>
      <c r="L1452" s="83" t="n"/>
      <c r="M1452" s="83" t="n"/>
      <c r="O1452" s="84" t="str">
        <f>IF($C1452="","",IFERROR(MATCH($B1452&amp;"|"&amp;$C1452,MUROS!$AX$11:$AX$70,0),0))</f>
        <v/>
      </c>
      <c r="P1452" s="84" t="str">
        <f>IF($D1452="","",IF(ISNUMBER(MATCH($D1452,CMB_S,0)),1,IF(ISNUMBER(MATCH($D1452,CMB_G,0)),2,0)))</f>
        <v/>
      </c>
      <c r="Q1452" s="84">
        <f>IF(ISNUMBER($H1452),-$H1452,0)</f>
        <v>0</v>
      </c>
      <c r="R1452" s="84">
        <f>IF(ISNUMBER($I1452),ABS($I1452),0)</f>
        <v>0</v>
      </c>
      <c r="S1452" s="84">
        <f>IF(ISNUMBER($M1452),ABS($M1452),0)</f>
        <v>0</v>
      </c>
      <c r="T1452" s="85" t="n">
        <v>1444</v>
      </c>
    </row>
    <row r="1453">
      <c r="B1453" s="83" t="n"/>
      <c r="C1453" s="83" t="n"/>
      <c r="D1453" s="83" t="n"/>
      <c r="E1453" s="83" t="n"/>
      <c r="F1453" s="83" t="n"/>
      <c r="G1453" s="83" t="n"/>
      <c r="H1453" s="83" t="n"/>
      <c r="I1453" s="83" t="n"/>
      <c r="J1453" s="83" t="n"/>
      <c r="K1453" s="83" t="n"/>
      <c r="L1453" s="83" t="n"/>
      <c r="M1453" s="83" t="n"/>
      <c r="O1453" s="84" t="str">
        <f>IF($C1453="","",IFERROR(MATCH($B1453&amp;"|"&amp;$C1453,MUROS!$AX$11:$AX$70,0),0))</f>
        <v/>
      </c>
      <c r="P1453" s="84" t="str">
        <f>IF($D1453="","",IF(ISNUMBER(MATCH($D1453,CMB_S,0)),1,IF(ISNUMBER(MATCH($D1453,CMB_G,0)),2,0)))</f>
        <v/>
      </c>
      <c r="Q1453" s="84">
        <f>IF(ISNUMBER($H1453),-$H1453,0)</f>
        <v>0</v>
      </c>
      <c r="R1453" s="84">
        <f>IF(ISNUMBER($I1453),ABS($I1453),0)</f>
        <v>0</v>
      </c>
      <c r="S1453" s="84">
        <f>IF(ISNUMBER($M1453),ABS($M1453),0)</f>
        <v>0</v>
      </c>
      <c r="T1453" s="85" t="n">
        <v>1445</v>
      </c>
    </row>
    <row r="1454">
      <c r="B1454" s="83" t="n"/>
      <c r="C1454" s="83" t="n"/>
      <c r="D1454" s="83" t="n"/>
      <c r="E1454" s="83" t="n"/>
      <c r="F1454" s="83" t="n"/>
      <c r="G1454" s="83" t="n"/>
      <c r="H1454" s="83" t="n"/>
      <c r="I1454" s="83" t="n"/>
      <c r="J1454" s="83" t="n"/>
      <c r="K1454" s="83" t="n"/>
      <c r="L1454" s="83" t="n"/>
      <c r="M1454" s="83" t="n"/>
      <c r="O1454" s="84" t="str">
        <f>IF($C1454="","",IFERROR(MATCH($B1454&amp;"|"&amp;$C1454,MUROS!$AX$11:$AX$70,0),0))</f>
        <v/>
      </c>
      <c r="P1454" s="84" t="str">
        <f>IF($D1454="","",IF(ISNUMBER(MATCH($D1454,CMB_S,0)),1,IF(ISNUMBER(MATCH($D1454,CMB_G,0)),2,0)))</f>
        <v/>
      </c>
      <c r="Q1454" s="84">
        <f>IF(ISNUMBER($H1454),-$H1454,0)</f>
        <v>0</v>
      </c>
      <c r="R1454" s="84">
        <f>IF(ISNUMBER($I1454),ABS($I1454),0)</f>
        <v>0</v>
      </c>
      <c r="S1454" s="84">
        <f>IF(ISNUMBER($M1454),ABS($M1454),0)</f>
        <v>0</v>
      </c>
      <c r="T1454" s="85" t="n">
        <v>1446</v>
      </c>
    </row>
    <row r="1455">
      <c r="B1455" s="83" t="n"/>
      <c r="C1455" s="83" t="n"/>
      <c r="D1455" s="83" t="n"/>
      <c r="E1455" s="83" t="n"/>
      <c r="F1455" s="83" t="n"/>
      <c r="G1455" s="83" t="n"/>
      <c r="H1455" s="83" t="n"/>
      <c r="I1455" s="83" t="n"/>
      <c r="J1455" s="83" t="n"/>
      <c r="K1455" s="83" t="n"/>
      <c r="L1455" s="83" t="n"/>
      <c r="M1455" s="83" t="n"/>
      <c r="O1455" s="84" t="str">
        <f>IF($C1455="","",IFERROR(MATCH($B1455&amp;"|"&amp;$C1455,MUROS!$AX$11:$AX$70,0),0))</f>
        <v/>
      </c>
      <c r="P1455" s="84" t="str">
        <f>IF($D1455="","",IF(ISNUMBER(MATCH($D1455,CMB_S,0)),1,IF(ISNUMBER(MATCH($D1455,CMB_G,0)),2,0)))</f>
        <v/>
      </c>
      <c r="Q1455" s="84">
        <f>IF(ISNUMBER($H1455),-$H1455,0)</f>
        <v>0</v>
      </c>
      <c r="R1455" s="84">
        <f>IF(ISNUMBER($I1455),ABS($I1455),0)</f>
        <v>0</v>
      </c>
      <c r="S1455" s="84">
        <f>IF(ISNUMBER($M1455),ABS($M1455),0)</f>
        <v>0</v>
      </c>
      <c r="T1455" s="85" t="n">
        <v>1447</v>
      </c>
    </row>
    <row r="1456">
      <c r="B1456" s="83" t="n"/>
      <c r="C1456" s="83" t="n"/>
      <c r="D1456" s="83" t="n"/>
      <c r="E1456" s="83" t="n"/>
      <c r="F1456" s="83" t="n"/>
      <c r="G1456" s="83" t="n"/>
      <c r="H1456" s="83" t="n"/>
      <c r="I1456" s="83" t="n"/>
      <c r="J1456" s="83" t="n"/>
      <c r="K1456" s="83" t="n"/>
      <c r="L1456" s="83" t="n"/>
      <c r="M1456" s="83" t="n"/>
      <c r="O1456" s="84" t="str">
        <f>IF($C1456="","",IFERROR(MATCH($B1456&amp;"|"&amp;$C1456,MUROS!$AX$11:$AX$70,0),0))</f>
        <v/>
      </c>
      <c r="P1456" s="84" t="str">
        <f>IF($D1456="","",IF(ISNUMBER(MATCH($D1456,CMB_S,0)),1,IF(ISNUMBER(MATCH($D1456,CMB_G,0)),2,0)))</f>
        <v/>
      </c>
      <c r="Q1456" s="84">
        <f>IF(ISNUMBER($H1456),-$H1456,0)</f>
        <v>0</v>
      </c>
      <c r="R1456" s="84">
        <f>IF(ISNUMBER($I1456),ABS($I1456),0)</f>
        <v>0</v>
      </c>
      <c r="S1456" s="84">
        <f>IF(ISNUMBER($M1456),ABS($M1456),0)</f>
        <v>0</v>
      </c>
      <c r="T1456" s="85" t="n">
        <v>1448</v>
      </c>
    </row>
    <row r="1457">
      <c r="B1457" s="83" t="n"/>
      <c r="C1457" s="83" t="n"/>
      <c r="D1457" s="83" t="n"/>
      <c r="E1457" s="83" t="n"/>
      <c r="F1457" s="83" t="n"/>
      <c r="G1457" s="83" t="n"/>
      <c r="H1457" s="83" t="n"/>
      <c r="I1457" s="83" t="n"/>
      <c r="J1457" s="83" t="n"/>
      <c r="K1457" s="83" t="n"/>
      <c r="L1457" s="83" t="n"/>
      <c r="M1457" s="83" t="n"/>
      <c r="O1457" s="84" t="str">
        <f>IF($C1457="","",IFERROR(MATCH($B1457&amp;"|"&amp;$C1457,MUROS!$AX$11:$AX$70,0),0))</f>
        <v/>
      </c>
      <c r="P1457" s="84" t="str">
        <f>IF($D1457="","",IF(ISNUMBER(MATCH($D1457,CMB_S,0)),1,IF(ISNUMBER(MATCH($D1457,CMB_G,0)),2,0)))</f>
        <v/>
      </c>
      <c r="Q1457" s="84">
        <f>IF(ISNUMBER($H1457),-$H1457,0)</f>
        <v>0</v>
      </c>
      <c r="R1457" s="84">
        <f>IF(ISNUMBER($I1457),ABS($I1457),0)</f>
        <v>0</v>
      </c>
      <c r="S1457" s="84">
        <f>IF(ISNUMBER($M1457),ABS($M1457),0)</f>
        <v>0</v>
      </c>
      <c r="T1457" s="85" t="n">
        <v>1449</v>
      </c>
    </row>
    <row r="1458">
      <c r="B1458" s="83" t="n"/>
      <c r="C1458" s="83" t="n"/>
      <c r="D1458" s="83" t="n"/>
      <c r="E1458" s="83" t="n"/>
      <c r="F1458" s="83" t="n"/>
      <c r="G1458" s="83" t="n"/>
      <c r="H1458" s="83" t="n"/>
      <c r="I1458" s="83" t="n"/>
      <c r="J1458" s="83" t="n"/>
      <c r="K1458" s="83" t="n"/>
      <c r="L1458" s="83" t="n"/>
      <c r="M1458" s="83" t="n"/>
      <c r="O1458" s="84" t="str">
        <f>IF($C1458="","",IFERROR(MATCH($B1458&amp;"|"&amp;$C1458,MUROS!$AX$11:$AX$70,0),0))</f>
        <v/>
      </c>
      <c r="P1458" s="84" t="str">
        <f>IF($D1458="","",IF(ISNUMBER(MATCH($D1458,CMB_S,0)),1,IF(ISNUMBER(MATCH($D1458,CMB_G,0)),2,0)))</f>
        <v/>
      </c>
      <c r="Q1458" s="84">
        <f>IF(ISNUMBER($H1458),-$H1458,0)</f>
        <v>0</v>
      </c>
      <c r="R1458" s="84">
        <f>IF(ISNUMBER($I1458),ABS($I1458),0)</f>
        <v>0</v>
      </c>
      <c r="S1458" s="84">
        <f>IF(ISNUMBER($M1458),ABS($M1458),0)</f>
        <v>0</v>
      </c>
      <c r="T1458" s="85" t="n">
        <v>1450</v>
      </c>
    </row>
    <row r="1459">
      <c r="B1459" s="83" t="n"/>
      <c r="C1459" s="83" t="n"/>
      <c r="D1459" s="83" t="n"/>
      <c r="E1459" s="83" t="n"/>
      <c r="F1459" s="83" t="n"/>
      <c r="G1459" s="83" t="n"/>
      <c r="H1459" s="83" t="n"/>
      <c r="I1459" s="83" t="n"/>
      <c r="J1459" s="83" t="n"/>
      <c r="K1459" s="83" t="n"/>
      <c r="L1459" s="83" t="n"/>
      <c r="M1459" s="83" t="n"/>
      <c r="O1459" s="84" t="str">
        <f>IF($C1459="","",IFERROR(MATCH($B1459&amp;"|"&amp;$C1459,MUROS!$AX$11:$AX$70,0),0))</f>
        <v/>
      </c>
      <c r="P1459" s="84" t="str">
        <f>IF($D1459="","",IF(ISNUMBER(MATCH($D1459,CMB_S,0)),1,IF(ISNUMBER(MATCH($D1459,CMB_G,0)),2,0)))</f>
        <v/>
      </c>
      <c r="Q1459" s="84">
        <f>IF(ISNUMBER($H1459),-$H1459,0)</f>
        <v>0</v>
      </c>
      <c r="R1459" s="84">
        <f>IF(ISNUMBER($I1459),ABS($I1459),0)</f>
        <v>0</v>
      </c>
      <c r="S1459" s="84">
        <f>IF(ISNUMBER($M1459),ABS($M1459),0)</f>
        <v>0</v>
      </c>
      <c r="T1459" s="85" t="n">
        <v>1451</v>
      </c>
    </row>
    <row r="1460">
      <c r="B1460" s="83" t="n"/>
      <c r="C1460" s="83" t="n"/>
      <c r="D1460" s="83" t="n"/>
      <c r="E1460" s="83" t="n"/>
      <c r="F1460" s="83" t="n"/>
      <c r="G1460" s="83" t="n"/>
      <c r="H1460" s="83" t="n"/>
      <c r="I1460" s="83" t="n"/>
      <c r="J1460" s="83" t="n"/>
      <c r="K1460" s="83" t="n"/>
      <c r="L1460" s="83" t="n"/>
      <c r="M1460" s="83" t="n"/>
      <c r="O1460" s="84" t="str">
        <f>IF($C1460="","",IFERROR(MATCH($B1460&amp;"|"&amp;$C1460,MUROS!$AX$11:$AX$70,0),0))</f>
        <v/>
      </c>
      <c r="P1460" s="84" t="str">
        <f>IF($D1460="","",IF(ISNUMBER(MATCH($D1460,CMB_S,0)),1,IF(ISNUMBER(MATCH($D1460,CMB_G,0)),2,0)))</f>
        <v/>
      </c>
      <c r="Q1460" s="84">
        <f>IF(ISNUMBER($H1460),-$H1460,0)</f>
        <v>0</v>
      </c>
      <c r="R1460" s="84">
        <f>IF(ISNUMBER($I1460),ABS($I1460),0)</f>
        <v>0</v>
      </c>
      <c r="S1460" s="84">
        <f>IF(ISNUMBER($M1460),ABS($M1460),0)</f>
        <v>0</v>
      </c>
      <c r="T1460" s="85" t="n">
        <v>1452</v>
      </c>
    </row>
    <row r="1461">
      <c r="B1461" s="83" t="n"/>
      <c r="C1461" s="83" t="n"/>
      <c r="D1461" s="83" t="n"/>
      <c r="E1461" s="83" t="n"/>
      <c r="F1461" s="83" t="n"/>
      <c r="G1461" s="83" t="n"/>
      <c r="H1461" s="83" t="n"/>
      <c r="I1461" s="83" t="n"/>
      <c r="J1461" s="83" t="n"/>
      <c r="K1461" s="83" t="n"/>
      <c r="L1461" s="83" t="n"/>
      <c r="M1461" s="83" t="n"/>
      <c r="O1461" s="84" t="str">
        <f>IF($C1461="","",IFERROR(MATCH($B1461&amp;"|"&amp;$C1461,MUROS!$AX$11:$AX$70,0),0))</f>
        <v/>
      </c>
      <c r="P1461" s="84" t="str">
        <f>IF($D1461="","",IF(ISNUMBER(MATCH($D1461,CMB_S,0)),1,IF(ISNUMBER(MATCH($D1461,CMB_G,0)),2,0)))</f>
        <v/>
      </c>
      <c r="Q1461" s="84">
        <f>IF(ISNUMBER($H1461),-$H1461,0)</f>
        <v>0</v>
      </c>
      <c r="R1461" s="84">
        <f>IF(ISNUMBER($I1461),ABS($I1461),0)</f>
        <v>0</v>
      </c>
      <c r="S1461" s="84">
        <f>IF(ISNUMBER($M1461),ABS($M1461),0)</f>
        <v>0</v>
      </c>
      <c r="T1461" s="85" t="n">
        <v>1453</v>
      </c>
    </row>
    <row r="1462">
      <c r="B1462" s="83" t="n"/>
      <c r="C1462" s="83" t="n"/>
      <c r="D1462" s="83" t="n"/>
      <c r="E1462" s="83" t="n"/>
      <c r="F1462" s="83" t="n"/>
      <c r="G1462" s="83" t="n"/>
      <c r="H1462" s="83" t="n"/>
      <c r="I1462" s="83" t="n"/>
      <c r="J1462" s="83" t="n"/>
      <c r="K1462" s="83" t="n"/>
      <c r="L1462" s="83" t="n"/>
      <c r="M1462" s="83" t="n"/>
      <c r="O1462" s="84" t="str">
        <f>IF($C1462="","",IFERROR(MATCH($B1462&amp;"|"&amp;$C1462,MUROS!$AX$11:$AX$70,0),0))</f>
        <v/>
      </c>
      <c r="P1462" s="84" t="str">
        <f>IF($D1462="","",IF(ISNUMBER(MATCH($D1462,CMB_S,0)),1,IF(ISNUMBER(MATCH($D1462,CMB_G,0)),2,0)))</f>
        <v/>
      </c>
      <c r="Q1462" s="84">
        <f>IF(ISNUMBER($H1462),-$H1462,0)</f>
        <v>0</v>
      </c>
      <c r="R1462" s="84">
        <f>IF(ISNUMBER($I1462),ABS($I1462),0)</f>
        <v>0</v>
      </c>
      <c r="S1462" s="84">
        <f>IF(ISNUMBER($M1462),ABS($M1462),0)</f>
        <v>0</v>
      </c>
      <c r="T1462" s="85" t="n">
        <v>1454</v>
      </c>
    </row>
    <row r="1463">
      <c r="B1463" s="83" t="n"/>
      <c r="C1463" s="83" t="n"/>
      <c r="D1463" s="83" t="n"/>
      <c r="E1463" s="83" t="n"/>
      <c r="F1463" s="83" t="n"/>
      <c r="G1463" s="83" t="n"/>
      <c r="H1463" s="83" t="n"/>
      <c r="I1463" s="83" t="n"/>
      <c r="J1463" s="83" t="n"/>
      <c r="K1463" s="83" t="n"/>
      <c r="L1463" s="83" t="n"/>
      <c r="M1463" s="83" t="n"/>
      <c r="O1463" s="84" t="str">
        <f>IF($C1463="","",IFERROR(MATCH($B1463&amp;"|"&amp;$C1463,MUROS!$AX$11:$AX$70,0),0))</f>
        <v/>
      </c>
      <c r="P1463" s="84" t="str">
        <f>IF($D1463="","",IF(ISNUMBER(MATCH($D1463,CMB_S,0)),1,IF(ISNUMBER(MATCH($D1463,CMB_G,0)),2,0)))</f>
        <v/>
      </c>
      <c r="Q1463" s="84">
        <f>IF(ISNUMBER($H1463),-$H1463,0)</f>
        <v>0</v>
      </c>
      <c r="R1463" s="84">
        <f>IF(ISNUMBER($I1463),ABS($I1463),0)</f>
        <v>0</v>
      </c>
      <c r="S1463" s="84">
        <f>IF(ISNUMBER($M1463),ABS($M1463),0)</f>
        <v>0</v>
      </c>
      <c r="T1463" s="85" t="n">
        <v>1455</v>
      </c>
    </row>
    <row r="1464">
      <c r="B1464" s="83" t="n"/>
      <c r="C1464" s="83" t="n"/>
      <c r="D1464" s="83" t="n"/>
      <c r="E1464" s="83" t="n"/>
      <c r="F1464" s="83" t="n"/>
      <c r="G1464" s="83" t="n"/>
      <c r="H1464" s="83" t="n"/>
      <c r="I1464" s="83" t="n"/>
      <c r="J1464" s="83" t="n"/>
      <c r="K1464" s="83" t="n"/>
      <c r="L1464" s="83" t="n"/>
      <c r="M1464" s="83" t="n"/>
      <c r="O1464" s="84" t="str">
        <f>IF($C1464="","",IFERROR(MATCH($B1464&amp;"|"&amp;$C1464,MUROS!$AX$11:$AX$70,0),0))</f>
        <v/>
      </c>
      <c r="P1464" s="84" t="str">
        <f>IF($D1464="","",IF(ISNUMBER(MATCH($D1464,CMB_S,0)),1,IF(ISNUMBER(MATCH($D1464,CMB_G,0)),2,0)))</f>
        <v/>
      </c>
      <c r="Q1464" s="84">
        <f>IF(ISNUMBER($H1464),-$H1464,0)</f>
        <v>0</v>
      </c>
      <c r="R1464" s="84">
        <f>IF(ISNUMBER($I1464),ABS($I1464),0)</f>
        <v>0</v>
      </c>
      <c r="S1464" s="84">
        <f>IF(ISNUMBER($M1464),ABS($M1464),0)</f>
        <v>0</v>
      </c>
      <c r="T1464" s="85" t="n">
        <v>1456</v>
      </c>
    </row>
    <row r="1465">
      <c r="B1465" s="83" t="n"/>
      <c r="C1465" s="83" t="n"/>
      <c r="D1465" s="83" t="n"/>
      <c r="E1465" s="83" t="n"/>
      <c r="F1465" s="83" t="n"/>
      <c r="G1465" s="83" t="n"/>
      <c r="H1465" s="83" t="n"/>
      <c r="I1465" s="83" t="n"/>
      <c r="J1465" s="83" t="n"/>
      <c r="K1465" s="83" t="n"/>
      <c r="L1465" s="83" t="n"/>
      <c r="M1465" s="83" t="n"/>
      <c r="O1465" s="84" t="str">
        <f>IF($C1465="","",IFERROR(MATCH($B1465&amp;"|"&amp;$C1465,MUROS!$AX$11:$AX$70,0),0))</f>
        <v/>
      </c>
      <c r="P1465" s="84" t="str">
        <f>IF($D1465="","",IF(ISNUMBER(MATCH($D1465,CMB_S,0)),1,IF(ISNUMBER(MATCH($D1465,CMB_G,0)),2,0)))</f>
        <v/>
      </c>
      <c r="Q1465" s="84">
        <f>IF(ISNUMBER($H1465),-$H1465,0)</f>
        <v>0</v>
      </c>
      <c r="R1465" s="84">
        <f>IF(ISNUMBER($I1465),ABS($I1465),0)</f>
        <v>0</v>
      </c>
      <c r="S1465" s="84">
        <f>IF(ISNUMBER($M1465),ABS($M1465),0)</f>
        <v>0</v>
      </c>
      <c r="T1465" s="85" t="n">
        <v>1457</v>
      </c>
    </row>
    <row r="1466">
      <c r="B1466" s="83" t="n"/>
      <c r="C1466" s="83" t="n"/>
      <c r="D1466" s="83" t="n"/>
      <c r="E1466" s="83" t="n"/>
      <c r="F1466" s="83" t="n"/>
      <c r="G1466" s="83" t="n"/>
      <c r="H1466" s="83" t="n"/>
      <c r="I1466" s="83" t="n"/>
      <c r="J1466" s="83" t="n"/>
      <c r="K1466" s="83" t="n"/>
      <c r="L1466" s="83" t="n"/>
      <c r="M1466" s="83" t="n"/>
      <c r="O1466" s="84" t="str">
        <f>IF($C1466="","",IFERROR(MATCH($B1466&amp;"|"&amp;$C1466,MUROS!$AX$11:$AX$70,0),0))</f>
        <v/>
      </c>
      <c r="P1466" s="84" t="str">
        <f>IF($D1466="","",IF(ISNUMBER(MATCH($D1466,CMB_S,0)),1,IF(ISNUMBER(MATCH($D1466,CMB_G,0)),2,0)))</f>
        <v/>
      </c>
      <c r="Q1466" s="84">
        <f>IF(ISNUMBER($H1466),-$H1466,0)</f>
        <v>0</v>
      </c>
      <c r="R1466" s="84">
        <f>IF(ISNUMBER($I1466),ABS($I1466),0)</f>
        <v>0</v>
      </c>
      <c r="S1466" s="84">
        <f>IF(ISNUMBER($M1466),ABS($M1466),0)</f>
        <v>0</v>
      </c>
      <c r="T1466" s="85" t="n">
        <v>1458</v>
      </c>
    </row>
    <row r="1467">
      <c r="B1467" s="83" t="n"/>
      <c r="C1467" s="83" t="n"/>
      <c r="D1467" s="83" t="n"/>
      <c r="E1467" s="83" t="n"/>
      <c r="F1467" s="83" t="n"/>
      <c r="G1467" s="83" t="n"/>
      <c r="H1467" s="83" t="n"/>
      <c r="I1467" s="83" t="n"/>
      <c r="J1467" s="83" t="n"/>
      <c r="K1467" s="83" t="n"/>
      <c r="L1467" s="83" t="n"/>
      <c r="M1467" s="83" t="n"/>
      <c r="O1467" s="84" t="str">
        <f>IF($C1467="","",IFERROR(MATCH($B1467&amp;"|"&amp;$C1467,MUROS!$AX$11:$AX$70,0),0))</f>
        <v/>
      </c>
      <c r="P1467" s="84" t="str">
        <f>IF($D1467="","",IF(ISNUMBER(MATCH($D1467,CMB_S,0)),1,IF(ISNUMBER(MATCH($D1467,CMB_G,0)),2,0)))</f>
        <v/>
      </c>
      <c r="Q1467" s="84">
        <f>IF(ISNUMBER($H1467),-$H1467,0)</f>
        <v>0</v>
      </c>
      <c r="R1467" s="84">
        <f>IF(ISNUMBER($I1467),ABS($I1467),0)</f>
        <v>0</v>
      </c>
      <c r="S1467" s="84">
        <f>IF(ISNUMBER($M1467),ABS($M1467),0)</f>
        <v>0</v>
      </c>
      <c r="T1467" s="85" t="n">
        <v>1459</v>
      </c>
    </row>
    <row r="1468">
      <c r="B1468" s="83" t="n"/>
      <c r="C1468" s="83" t="n"/>
      <c r="D1468" s="83" t="n"/>
      <c r="E1468" s="83" t="n"/>
      <c r="F1468" s="83" t="n"/>
      <c r="G1468" s="83" t="n"/>
      <c r="H1468" s="83" t="n"/>
      <c r="I1468" s="83" t="n"/>
      <c r="J1468" s="83" t="n"/>
      <c r="K1468" s="83" t="n"/>
      <c r="L1468" s="83" t="n"/>
      <c r="M1468" s="83" t="n"/>
      <c r="O1468" s="84" t="str">
        <f>IF($C1468="","",IFERROR(MATCH($B1468&amp;"|"&amp;$C1468,MUROS!$AX$11:$AX$70,0),0))</f>
        <v/>
      </c>
      <c r="P1468" s="84" t="str">
        <f>IF($D1468="","",IF(ISNUMBER(MATCH($D1468,CMB_S,0)),1,IF(ISNUMBER(MATCH($D1468,CMB_G,0)),2,0)))</f>
        <v/>
      </c>
      <c r="Q1468" s="84">
        <f>IF(ISNUMBER($H1468),-$H1468,0)</f>
        <v>0</v>
      </c>
      <c r="R1468" s="84">
        <f>IF(ISNUMBER($I1468),ABS($I1468),0)</f>
        <v>0</v>
      </c>
      <c r="S1468" s="84">
        <f>IF(ISNUMBER($M1468),ABS($M1468),0)</f>
        <v>0</v>
      </c>
      <c r="T1468" s="85" t="n">
        <v>1460</v>
      </c>
    </row>
    <row r="1469">
      <c r="B1469" s="83" t="n"/>
      <c r="C1469" s="83" t="n"/>
      <c r="D1469" s="83" t="n"/>
      <c r="E1469" s="83" t="n"/>
      <c r="F1469" s="83" t="n"/>
      <c r="G1469" s="83" t="n"/>
      <c r="H1469" s="83" t="n"/>
      <c r="I1469" s="83" t="n"/>
      <c r="J1469" s="83" t="n"/>
      <c r="K1469" s="83" t="n"/>
      <c r="L1469" s="83" t="n"/>
      <c r="M1469" s="83" t="n"/>
      <c r="O1469" s="84" t="str">
        <f>IF($C1469="","",IFERROR(MATCH($B1469&amp;"|"&amp;$C1469,MUROS!$AX$11:$AX$70,0),0))</f>
        <v/>
      </c>
      <c r="P1469" s="84" t="str">
        <f>IF($D1469="","",IF(ISNUMBER(MATCH($D1469,CMB_S,0)),1,IF(ISNUMBER(MATCH($D1469,CMB_G,0)),2,0)))</f>
        <v/>
      </c>
      <c r="Q1469" s="84">
        <f>IF(ISNUMBER($H1469),-$H1469,0)</f>
        <v>0</v>
      </c>
      <c r="R1469" s="84">
        <f>IF(ISNUMBER($I1469),ABS($I1469),0)</f>
        <v>0</v>
      </c>
      <c r="S1469" s="84">
        <f>IF(ISNUMBER($M1469),ABS($M1469),0)</f>
        <v>0</v>
      </c>
      <c r="T1469" s="85" t="n">
        <v>1461</v>
      </c>
    </row>
    <row r="1470">
      <c r="B1470" s="83" t="n"/>
      <c r="C1470" s="83" t="n"/>
      <c r="D1470" s="83" t="n"/>
      <c r="E1470" s="83" t="n"/>
      <c r="F1470" s="83" t="n"/>
      <c r="G1470" s="83" t="n"/>
      <c r="H1470" s="83" t="n"/>
      <c r="I1470" s="83" t="n"/>
      <c r="J1470" s="83" t="n"/>
      <c r="K1470" s="83" t="n"/>
      <c r="L1470" s="83" t="n"/>
      <c r="M1470" s="83" t="n"/>
      <c r="O1470" s="84" t="str">
        <f>IF($C1470="","",IFERROR(MATCH($B1470&amp;"|"&amp;$C1470,MUROS!$AX$11:$AX$70,0),0))</f>
        <v/>
      </c>
      <c r="P1470" s="84" t="str">
        <f>IF($D1470="","",IF(ISNUMBER(MATCH($D1470,CMB_S,0)),1,IF(ISNUMBER(MATCH($D1470,CMB_G,0)),2,0)))</f>
        <v/>
      </c>
      <c r="Q1470" s="84">
        <f>IF(ISNUMBER($H1470),-$H1470,0)</f>
        <v>0</v>
      </c>
      <c r="R1470" s="84">
        <f>IF(ISNUMBER($I1470),ABS($I1470),0)</f>
        <v>0</v>
      </c>
      <c r="S1470" s="84">
        <f>IF(ISNUMBER($M1470),ABS($M1470),0)</f>
        <v>0</v>
      </c>
      <c r="T1470" s="85" t="n">
        <v>1462</v>
      </c>
    </row>
    <row r="1471">
      <c r="B1471" s="83" t="n"/>
      <c r="C1471" s="83" t="n"/>
      <c r="D1471" s="83" t="n"/>
      <c r="E1471" s="83" t="n"/>
      <c r="F1471" s="83" t="n"/>
      <c r="G1471" s="83" t="n"/>
      <c r="H1471" s="83" t="n"/>
      <c r="I1471" s="83" t="n"/>
      <c r="J1471" s="83" t="n"/>
      <c r="K1471" s="83" t="n"/>
      <c r="L1471" s="83" t="n"/>
      <c r="M1471" s="83" t="n"/>
      <c r="O1471" s="84" t="str">
        <f>IF($C1471="","",IFERROR(MATCH($B1471&amp;"|"&amp;$C1471,MUROS!$AX$11:$AX$70,0),0))</f>
        <v/>
      </c>
      <c r="P1471" s="84" t="str">
        <f>IF($D1471="","",IF(ISNUMBER(MATCH($D1471,CMB_S,0)),1,IF(ISNUMBER(MATCH($D1471,CMB_G,0)),2,0)))</f>
        <v/>
      </c>
      <c r="Q1471" s="84">
        <f>IF(ISNUMBER($H1471),-$H1471,0)</f>
        <v>0</v>
      </c>
      <c r="R1471" s="84">
        <f>IF(ISNUMBER($I1471),ABS($I1471),0)</f>
        <v>0</v>
      </c>
      <c r="S1471" s="84">
        <f>IF(ISNUMBER($M1471),ABS($M1471),0)</f>
        <v>0</v>
      </c>
      <c r="T1471" s="85" t="n">
        <v>1463</v>
      </c>
    </row>
    <row r="1472">
      <c r="B1472" s="83" t="n"/>
      <c r="C1472" s="83" t="n"/>
      <c r="D1472" s="83" t="n"/>
      <c r="E1472" s="83" t="n"/>
      <c r="F1472" s="83" t="n"/>
      <c r="G1472" s="83" t="n"/>
      <c r="H1472" s="83" t="n"/>
      <c r="I1472" s="83" t="n"/>
      <c r="J1472" s="83" t="n"/>
      <c r="K1472" s="83" t="n"/>
      <c r="L1472" s="83" t="n"/>
      <c r="M1472" s="83" t="n"/>
      <c r="O1472" s="84" t="str">
        <f>IF($C1472="","",IFERROR(MATCH($B1472&amp;"|"&amp;$C1472,MUROS!$AX$11:$AX$70,0),0))</f>
        <v/>
      </c>
      <c r="P1472" s="84" t="str">
        <f>IF($D1472="","",IF(ISNUMBER(MATCH($D1472,CMB_S,0)),1,IF(ISNUMBER(MATCH($D1472,CMB_G,0)),2,0)))</f>
        <v/>
      </c>
      <c r="Q1472" s="84">
        <f>IF(ISNUMBER($H1472),-$H1472,0)</f>
        <v>0</v>
      </c>
      <c r="R1472" s="84">
        <f>IF(ISNUMBER($I1472),ABS($I1472),0)</f>
        <v>0</v>
      </c>
      <c r="S1472" s="84">
        <f>IF(ISNUMBER($M1472),ABS($M1472),0)</f>
        <v>0</v>
      </c>
      <c r="T1472" s="85" t="n">
        <v>1464</v>
      </c>
    </row>
    <row r="1473">
      <c r="B1473" s="83" t="n"/>
      <c r="C1473" s="83" t="n"/>
      <c r="D1473" s="83" t="n"/>
      <c r="E1473" s="83" t="n"/>
      <c r="F1473" s="83" t="n"/>
      <c r="G1473" s="83" t="n"/>
      <c r="H1473" s="83" t="n"/>
      <c r="I1473" s="83" t="n"/>
      <c r="J1473" s="83" t="n"/>
      <c r="K1473" s="83" t="n"/>
      <c r="L1473" s="83" t="n"/>
      <c r="M1473" s="83" t="n"/>
      <c r="O1473" s="84" t="str">
        <f>IF($C1473="","",IFERROR(MATCH($B1473&amp;"|"&amp;$C1473,MUROS!$AX$11:$AX$70,0),0))</f>
        <v/>
      </c>
      <c r="P1473" s="84" t="str">
        <f>IF($D1473="","",IF(ISNUMBER(MATCH($D1473,CMB_S,0)),1,IF(ISNUMBER(MATCH($D1473,CMB_G,0)),2,0)))</f>
        <v/>
      </c>
      <c r="Q1473" s="84">
        <f>IF(ISNUMBER($H1473),-$H1473,0)</f>
        <v>0</v>
      </c>
      <c r="R1473" s="84">
        <f>IF(ISNUMBER($I1473),ABS($I1473),0)</f>
        <v>0</v>
      </c>
      <c r="S1473" s="84">
        <f>IF(ISNUMBER($M1473),ABS($M1473),0)</f>
        <v>0</v>
      </c>
      <c r="T1473" s="85" t="n">
        <v>1465</v>
      </c>
    </row>
    <row r="1474">
      <c r="B1474" s="83" t="n"/>
      <c r="C1474" s="83" t="n"/>
      <c r="D1474" s="83" t="n"/>
      <c r="E1474" s="83" t="n"/>
      <c r="F1474" s="83" t="n"/>
      <c r="G1474" s="83" t="n"/>
      <c r="H1474" s="83" t="n"/>
      <c r="I1474" s="83" t="n"/>
      <c r="J1474" s="83" t="n"/>
      <c r="K1474" s="83" t="n"/>
      <c r="L1474" s="83" t="n"/>
      <c r="M1474" s="83" t="n"/>
      <c r="O1474" s="84" t="str">
        <f>IF($C1474="","",IFERROR(MATCH($B1474&amp;"|"&amp;$C1474,MUROS!$AX$11:$AX$70,0),0))</f>
        <v/>
      </c>
      <c r="P1474" s="84" t="str">
        <f>IF($D1474="","",IF(ISNUMBER(MATCH($D1474,CMB_S,0)),1,IF(ISNUMBER(MATCH($D1474,CMB_G,0)),2,0)))</f>
        <v/>
      </c>
      <c r="Q1474" s="84">
        <f>IF(ISNUMBER($H1474),-$H1474,0)</f>
        <v>0</v>
      </c>
      <c r="R1474" s="84">
        <f>IF(ISNUMBER($I1474),ABS($I1474),0)</f>
        <v>0</v>
      </c>
      <c r="S1474" s="84">
        <f>IF(ISNUMBER($M1474),ABS($M1474),0)</f>
        <v>0</v>
      </c>
      <c r="T1474" s="85" t="n">
        <v>1466</v>
      </c>
    </row>
    <row r="1475">
      <c r="B1475" s="83" t="n"/>
      <c r="C1475" s="83" t="n"/>
      <c r="D1475" s="83" t="n"/>
      <c r="E1475" s="83" t="n"/>
      <c r="F1475" s="83" t="n"/>
      <c r="G1475" s="83" t="n"/>
      <c r="H1475" s="83" t="n"/>
      <c r="I1475" s="83" t="n"/>
      <c r="J1475" s="83" t="n"/>
      <c r="K1475" s="83" t="n"/>
      <c r="L1475" s="83" t="n"/>
      <c r="M1475" s="83" t="n"/>
      <c r="O1475" s="84" t="str">
        <f>IF($C1475="","",IFERROR(MATCH($B1475&amp;"|"&amp;$C1475,MUROS!$AX$11:$AX$70,0),0))</f>
        <v/>
      </c>
      <c r="P1475" s="84" t="str">
        <f>IF($D1475="","",IF(ISNUMBER(MATCH($D1475,CMB_S,0)),1,IF(ISNUMBER(MATCH($D1475,CMB_G,0)),2,0)))</f>
        <v/>
      </c>
      <c r="Q1475" s="84">
        <f>IF(ISNUMBER($H1475),-$H1475,0)</f>
        <v>0</v>
      </c>
      <c r="R1475" s="84">
        <f>IF(ISNUMBER($I1475),ABS($I1475),0)</f>
        <v>0</v>
      </c>
      <c r="S1475" s="84">
        <f>IF(ISNUMBER($M1475),ABS($M1475),0)</f>
        <v>0</v>
      </c>
      <c r="T1475" s="85" t="n">
        <v>1467</v>
      </c>
    </row>
    <row r="1476">
      <c r="B1476" s="83" t="n"/>
      <c r="C1476" s="83" t="n"/>
      <c r="D1476" s="83" t="n"/>
      <c r="E1476" s="83" t="n"/>
      <c r="F1476" s="83" t="n"/>
      <c r="G1476" s="83" t="n"/>
      <c r="H1476" s="83" t="n"/>
      <c r="I1476" s="83" t="n"/>
      <c r="J1476" s="83" t="n"/>
      <c r="K1476" s="83" t="n"/>
      <c r="L1476" s="83" t="n"/>
      <c r="M1476" s="83" t="n"/>
      <c r="O1476" s="84" t="str">
        <f>IF($C1476="","",IFERROR(MATCH($B1476&amp;"|"&amp;$C1476,MUROS!$AX$11:$AX$70,0),0))</f>
        <v/>
      </c>
      <c r="P1476" s="84" t="str">
        <f>IF($D1476="","",IF(ISNUMBER(MATCH($D1476,CMB_S,0)),1,IF(ISNUMBER(MATCH($D1476,CMB_G,0)),2,0)))</f>
        <v/>
      </c>
      <c r="Q1476" s="84">
        <f>IF(ISNUMBER($H1476),-$H1476,0)</f>
        <v>0</v>
      </c>
      <c r="R1476" s="84">
        <f>IF(ISNUMBER($I1476),ABS($I1476),0)</f>
        <v>0</v>
      </c>
      <c r="S1476" s="84">
        <f>IF(ISNUMBER($M1476),ABS($M1476),0)</f>
        <v>0</v>
      </c>
      <c r="T1476" s="85" t="n">
        <v>1468</v>
      </c>
    </row>
    <row r="1477">
      <c r="B1477" s="83" t="n"/>
      <c r="C1477" s="83" t="n"/>
      <c r="D1477" s="83" t="n"/>
      <c r="E1477" s="83" t="n"/>
      <c r="F1477" s="83" t="n"/>
      <c r="G1477" s="83" t="n"/>
      <c r="H1477" s="83" t="n"/>
      <c r="I1477" s="83" t="n"/>
      <c r="J1477" s="83" t="n"/>
      <c r="K1477" s="83" t="n"/>
      <c r="L1477" s="83" t="n"/>
      <c r="M1477" s="83" t="n"/>
      <c r="O1477" s="84" t="str">
        <f>IF($C1477="","",IFERROR(MATCH($B1477&amp;"|"&amp;$C1477,MUROS!$AX$11:$AX$70,0),0))</f>
        <v/>
      </c>
      <c r="P1477" s="84" t="str">
        <f>IF($D1477="","",IF(ISNUMBER(MATCH($D1477,CMB_S,0)),1,IF(ISNUMBER(MATCH($D1477,CMB_G,0)),2,0)))</f>
        <v/>
      </c>
      <c r="Q1477" s="84">
        <f>IF(ISNUMBER($H1477),-$H1477,0)</f>
        <v>0</v>
      </c>
      <c r="R1477" s="84">
        <f>IF(ISNUMBER($I1477),ABS($I1477),0)</f>
        <v>0</v>
      </c>
      <c r="S1477" s="84">
        <f>IF(ISNUMBER($M1477),ABS($M1477),0)</f>
        <v>0</v>
      </c>
      <c r="T1477" s="85" t="n">
        <v>1469</v>
      </c>
    </row>
    <row r="1478">
      <c r="B1478" s="83" t="n"/>
      <c r="C1478" s="83" t="n"/>
      <c r="D1478" s="83" t="n"/>
      <c r="E1478" s="83" t="n"/>
      <c r="F1478" s="83" t="n"/>
      <c r="G1478" s="83" t="n"/>
      <c r="H1478" s="83" t="n"/>
      <c r="I1478" s="83" t="n"/>
      <c r="J1478" s="83" t="n"/>
      <c r="K1478" s="83" t="n"/>
      <c r="L1478" s="83" t="n"/>
      <c r="M1478" s="83" t="n"/>
      <c r="O1478" s="84" t="str">
        <f>IF($C1478="","",IFERROR(MATCH($B1478&amp;"|"&amp;$C1478,MUROS!$AX$11:$AX$70,0),0))</f>
        <v/>
      </c>
      <c r="P1478" s="84" t="str">
        <f>IF($D1478="","",IF(ISNUMBER(MATCH($D1478,CMB_S,0)),1,IF(ISNUMBER(MATCH($D1478,CMB_G,0)),2,0)))</f>
        <v/>
      </c>
      <c r="Q1478" s="84">
        <f>IF(ISNUMBER($H1478),-$H1478,0)</f>
        <v>0</v>
      </c>
      <c r="R1478" s="84">
        <f>IF(ISNUMBER($I1478),ABS($I1478),0)</f>
        <v>0</v>
      </c>
      <c r="S1478" s="84">
        <f>IF(ISNUMBER($M1478),ABS($M1478),0)</f>
        <v>0</v>
      </c>
      <c r="T1478" s="85" t="n">
        <v>1470</v>
      </c>
    </row>
    <row r="1479">
      <c r="B1479" s="83" t="n"/>
      <c r="C1479" s="83" t="n"/>
      <c r="D1479" s="83" t="n"/>
      <c r="E1479" s="83" t="n"/>
      <c r="F1479" s="83" t="n"/>
      <c r="G1479" s="83" t="n"/>
      <c r="H1479" s="83" t="n"/>
      <c r="I1479" s="83" t="n"/>
      <c r="J1479" s="83" t="n"/>
      <c r="K1479" s="83" t="n"/>
      <c r="L1479" s="83" t="n"/>
      <c r="M1479" s="83" t="n"/>
      <c r="O1479" s="84" t="str">
        <f>IF($C1479="","",IFERROR(MATCH($B1479&amp;"|"&amp;$C1479,MUROS!$AX$11:$AX$70,0),0))</f>
        <v/>
      </c>
      <c r="P1479" s="84" t="str">
        <f>IF($D1479="","",IF(ISNUMBER(MATCH($D1479,CMB_S,0)),1,IF(ISNUMBER(MATCH($D1479,CMB_G,0)),2,0)))</f>
        <v/>
      </c>
      <c r="Q1479" s="84">
        <f>IF(ISNUMBER($H1479),-$H1479,0)</f>
        <v>0</v>
      </c>
      <c r="R1479" s="84">
        <f>IF(ISNUMBER($I1479),ABS($I1479),0)</f>
        <v>0</v>
      </c>
      <c r="S1479" s="84">
        <f>IF(ISNUMBER($M1479),ABS($M1479),0)</f>
        <v>0</v>
      </c>
      <c r="T1479" s="85" t="n">
        <v>1471</v>
      </c>
    </row>
    <row r="1480">
      <c r="B1480" s="83" t="n"/>
      <c r="C1480" s="83" t="n"/>
      <c r="D1480" s="83" t="n"/>
      <c r="E1480" s="83" t="n"/>
      <c r="F1480" s="83" t="n"/>
      <c r="G1480" s="83" t="n"/>
      <c r="H1480" s="83" t="n"/>
      <c r="I1480" s="83" t="n"/>
      <c r="J1480" s="83" t="n"/>
      <c r="K1480" s="83" t="n"/>
      <c r="L1480" s="83" t="n"/>
      <c r="M1480" s="83" t="n"/>
      <c r="O1480" s="84" t="str">
        <f>IF($C1480="","",IFERROR(MATCH($B1480&amp;"|"&amp;$C1480,MUROS!$AX$11:$AX$70,0),0))</f>
        <v/>
      </c>
      <c r="P1480" s="84" t="str">
        <f>IF($D1480="","",IF(ISNUMBER(MATCH($D1480,CMB_S,0)),1,IF(ISNUMBER(MATCH($D1480,CMB_G,0)),2,0)))</f>
        <v/>
      </c>
      <c r="Q1480" s="84">
        <f>IF(ISNUMBER($H1480),-$H1480,0)</f>
        <v>0</v>
      </c>
      <c r="R1480" s="84">
        <f>IF(ISNUMBER($I1480),ABS($I1480),0)</f>
        <v>0</v>
      </c>
      <c r="S1480" s="84">
        <f>IF(ISNUMBER($M1480),ABS($M1480),0)</f>
        <v>0</v>
      </c>
      <c r="T1480" s="85" t="n">
        <v>1472</v>
      </c>
    </row>
    <row r="1481">
      <c r="B1481" s="83" t="n"/>
      <c r="C1481" s="83" t="n"/>
      <c r="D1481" s="83" t="n"/>
      <c r="E1481" s="83" t="n"/>
      <c r="F1481" s="83" t="n"/>
      <c r="G1481" s="83" t="n"/>
      <c r="H1481" s="83" t="n"/>
      <c r="I1481" s="83" t="n"/>
      <c r="J1481" s="83" t="n"/>
      <c r="K1481" s="83" t="n"/>
      <c r="L1481" s="83" t="n"/>
      <c r="M1481" s="83" t="n"/>
      <c r="O1481" s="84" t="str">
        <f>IF($C1481="","",IFERROR(MATCH($B1481&amp;"|"&amp;$C1481,MUROS!$AX$11:$AX$70,0),0))</f>
        <v/>
      </c>
      <c r="P1481" s="84" t="str">
        <f>IF($D1481="","",IF(ISNUMBER(MATCH($D1481,CMB_S,0)),1,IF(ISNUMBER(MATCH($D1481,CMB_G,0)),2,0)))</f>
        <v/>
      </c>
      <c r="Q1481" s="84">
        <f>IF(ISNUMBER($H1481),-$H1481,0)</f>
        <v>0</v>
      </c>
      <c r="R1481" s="84">
        <f>IF(ISNUMBER($I1481),ABS($I1481),0)</f>
        <v>0</v>
      </c>
      <c r="S1481" s="84">
        <f>IF(ISNUMBER($M1481),ABS($M1481),0)</f>
        <v>0</v>
      </c>
      <c r="T1481" s="85" t="n">
        <v>1473</v>
      </c>
    </row>
    <row r="1482">
      <c r="B1482" s="83" t="n"/>
      <c r="C1482" s="83" t="n"/>
      <c r="D1482" s="83" t="n"/>
      <c r="E1482" s="83" t="n"/>
      <c r="F1482" s="83" t="n"/>
      <c r="G1482" s="83" t="n"/>
      <c r="H1482" s="83" t="n"/>
      <c r="I1482" s="83" t="n"/>
      <c r="J1482" s="83" t="n"/>
      <c r="K1482" s="83" t="n"/>
      <c r="L1482" s="83" t="n"/>
      <c r="M1482" s="83" t="n"/>
      <c r="O1482" s="84" t="str">
        <f>IF($C1482="","",IFERROR(MATCH($B1482&amp;"|"&amp;$C1482,MUROS!$AX$11:$AX$70,0),0))</f>
        <v/>
      </c>
      <c r="P1482" s="84" t="str">
        <f>IF($D1482="","",IF(ISNUMBER(MATCH($D1482,CMB_S,0)),1,IF(ISNUMBER(MATCH($D1482,CMB_G,0)),2,0)))</f>
        <v/>
      </c>
      <c r="Q1482" s="84">
        <f>IF(ISNUMBER($H1482),-$H1482,0)</f>
        <v>0</v>
      </c>
      <c r="R1482" s="84">
        <f>IF(ISNUMBER($I1482),ABS($I1482),0)</f>
        <v>0</v>
      </c>
      <c r="S1482" s="84">
        <f>IF(ISNUMBER($M1482),ABS($M1482),0)</f>
        <v>0</v>
      </c>
      <c r="T1482" s="85" t="n">
        <v>1474</v>
      </c>
    </row>
    <row r="1483">
      <c r="B1483" s="83" t="n"/>
      <c r="C1483" s="83" t="n"/>
      <c r="D1483" s="83" t="n"/>
      <c r="E1483" s="83" t="n"/>
      <c r="F1483" s="83" t="n"/>
      <c r="G1483" s="83" t="n"/>
      <c r="H1483" s="83" t="n"/>
      <c r="I1483" s="83" t="n"/>
      <c r="J1483" s="83" t="n"/>
      <c r="K1483" s="83" t="n"/>
      <c r="L1483" s="83" t="n"/>
      <c r="M1483" s="83" t="n"/>
      <c r="O1483" s="84" t="str">
        <f>IF($C1483="","",IFERROR(MATCH($B1483&amp;"|"&amp;$C1483,MUROS!$AX$11:$AX$70,0),0))</f>
        <v/>
      </c>
      <c r="P1483" s="84" t="str">
        <f>IF($D1483="","",IF(ISNUMBER(MATCH($D1483,CMB_S,0)),1,IF(ISNUMBER(MATCH($D1483,CMB_G,0)),2,0)))</f>
        <v/>
      </c>
      <c r="Q1483" s="84">
        <f>IF(ISNUMBER($H1483),-$H1483,0)</f>
        <v>0</v>
      </c>
      <c r="R1483" s="84">
        <f>IF(ISNUMBER($I1483),ABS($I1483),0)</f>
        <v>0</v>
      </c>
      <c r="S1483" s="84">
        <f>IF(ISNUMBER($M1483),ABS($M1483),0)</f>
        <v>0</v>
      </c>
      <c r="T1483" s="85" t="n">
        <v>1475</v>
      </c>
    </row>
    <row r="1484">
      <c r="B1484" s="83" t="n"/>
      <c r="C1484" s="83" t="n"/>
      <c r="D1484" s="83" t="n"/>
      <c r="E1484" s="83" t="n"/>
      <c r="F1484" s="83" t="n"/>
      <c r="G1484" s="83" t="n"/>
      <c r="H1484" s="83" t="n"/>
      <c r="I1484" s="83" t="n"/>
      <c r="J1484" s="83" t="n"/>
      <c r="K1484" s="83" t="n"/>
      <c r="L1484" s="83" t="n"/>
      <c r="M1484" s="83" t="n"/>
      <c r="O1484" s="84" t="str">
        <f>IF($C1484="","",IFERROR(MATCH($B1484&amp;"|"&amp;$C1484,MUROS!$AX$11:$AX$70,0),0))</f>
        <v/>
      </c>
      <c r="P1484" s="84" t="str">
        <f>IF($D1484="","",IF(ISNUMBER(MATCH($D1484,CMB_S,0)),1,IF(ISNUMBER(MATCH($D1484,CMB_G,0)),2,0)))</f>
        <v/>
      </c>
      <c r="Q1484" s="84">
        <f>IF(ISNUMBER($H1484),-$H1484,0)</f>
        <v>0</v>
      </c>
      <c r="R1484" s="84">
        <f>IF(ISNUMBER($I1484),ABS($I1484),0)</f>
        <v>0</v>
      </c>
      <c r="S1484" s="84">
        <f>IF(ISNUMBER($M1484),ABS($M1484),0)</f>
        <v>0</v>
      </c>
      <c r="T1484" s="85" t="n">
        <v>1476</v>
      </c>
    </row>
    <row r="1485">
      <c r="B1485" s="83" t="n"/>
      <c r="C1485" s="83" t="n"/>
      <c r="D1485" s="83" t="n"/>
      <c r="E1485" s="83" t="n"/>
      <c r="F1485" s="83" t="n"/>
      <c r="G1485" s="83" t="n"/>
      <c r="H1485" s="83" t="n"/>
      <c r="I1485" s="83" t="n"/>
      <c r="J1485" s="83" t="n"/>
      <c r="K1485" s="83" t="n"/>
      <c r="L1485" s="83" t="n"/>
      <c r="M1485" s="83" t="n"/>
      <c r="O1485" s="84" t="str">
        <f>IF($C1485="","",IFERROR(MATCH($B1485&amp;"|"&amp;$C1485,MUROS!$AX$11:$AX$70,0),0))</f>
        <v/>
      </c>
      <c r="P1485" s="84" t="str">
        <f>IF($D1485="","",IF(ISNUMBER(MATCH($D1485,CMB_S,0)),1,IF(ISNUMBER(MATCH($D1485,CMB_G,0)),2,0)))</f>
        <v/>
      </c>
      <c r="Q1485" s="84">
        <f>IF(ISNUMBER($H1485),-$H1485,0)</f>
        <v>0</v>
      </c>
      <c r="R1485" s="84">
        <f>IF(ISNUMBER($I1485),ABS($I1485),0)</f>
        <v>0</v>
      </c>
      <c r="S1485" s="84">
        <f>IF(ISNUMBER($M1485),ABS($M1485),0)</f>
        <v>0</v>
      </c>
      <c r="T1485" s="85" t="n">
        <v>1477</v>
      </c>
    </row>
    <row r="1486">
      <c r="B1486" s="83" t="n"/>
      <c r="C1486" s="83" t="n"/>
      <c r="D1486" s="83" t="n"/>
      <c r="E1486" s="83" t="n"/>
      <c r="F1486" s="83" t="n"/>
      <c r="G1486" s="83" t="n"/>
      <c r="H1486" s="83" t="n"/>
      <c r="I1486" s="83" t="n"/>
      <c r="J1486" s="83" t="n"/>
      <c r="K1486" s="83" t="n"/>
      <c r="L1486" s="83" t="n"/>
      <c r="M1486" s="83" t="n"/>
      <c r="O1486" s="84" t="str">
        <f>IF($C1486="","",IFERROR(MATCH($B1486&amp;"|"&amp;$C1486,MUROS!$AX$11:$AX$70,0),0))</f>
        <v/>
      </c>
      <c r="P1486" s="84" t="str">
        <f>IF($D1486="","",IF(ISNUMBER(MATCH($D1486,CMB_S,0)),1,IF(ISNUMBER(MATCH($D1486,CMB_G,0)),2,0)))</f>
        <v/>
      </c>
      <c r="Q1486" s="84">
        <f>IF(ISNUMBER($H1486),-$H1486,0)</f>
        <v>0</v>
      </c>
      <c r="R1486" s="84">
        <f>IF(ISNUMBER($I1486),ABS($I1486),0)</f>
        <v>0</v>
      </c>
      <c r="S1486" s="84">
        <f>IF(ISNUMBER($M1486),ABS($M1486),0)</f>
        <v>0</v>
      </c>
      <c r="T1486" s="85" t="n">
        <v>1478</v>
      </c>
    </row>
    <row r="1487">
      <c r="B1487" s="83" t="n"/>
      <c r="C1487" s="83" t="n"/>
      <c r="D1487" s="83" t="n"/>
      <c r="E1487" s="83" t="n"/>
      <c r="F1487" s="83" t="n"/>
      <c r="G1487" s="83" t="n"/>
      <c r="H1487" s="83" t="n"/>
      <c r="I1487" s="83" t="n"/>
      <c r="J1487" s="83" t="n"/>
      <c r="K1487" s="83" t="n"/>
      <c r="L1487" s="83" t="n"/>
      <c r="M1487" s="83" t="n"/>
      <c r="O1487" s="84" t="str">
        <f>IF($C1487="","",IFERROR(MATCH($B1487&amp;"|"&amp;$C1487,MUROS!$AX$11:$AX$70,0),0))</f>
        <v/>
      </c>
      <c r="P1487" s="84" t="str">
        <f>IF($D1487="","",IF(ISNUMBER(MATCH($D1487,CMB_S,0)),1,IF(ISNUMBER(MATCH($D1487,CMB_G,0)),2,0)))</f>
        <v/>
      </c>
      <c r="Q1487" s="84">
        <f>IF(ISNUMBER($H1487),-$H1487,0)</f>
        <v>0</v>
      </c>
      <c r="R1487" s="84">
        <f>IF(ISNUMBER($I1487),ABS($I1487),0)</f>
        <v>0</v>
      </c>
      <c r="S1487" s="84">
        <f>IF(ISNUMBER($M1487),ABS($M1487),0)</f>
        <v>0</v>
      </c>
      <c r="T1487" s="85" t="n">
        <v>1479</v>
      </c>
    </row>
    <row r="1488">
      <c r="B1488" s="83" t="n"/>
      <c r="C1488" s="83" t="n"/>
      <c r="D1488" s="83" t="n"/>
      <c r="E1488" s="83" t="n"/>
      <c r="F1488" s="83" t="n"/>
      <c r="G1488" s="83" t="n"/>
      <c r="H1488" s="83" t="n"/>
      <c r="I1488" s="83" t="n"/>
      <c r="J1488" s="83" t="n"/>
      <c r="K1488" s="83" t="n"/>
      <c r="L1488" s="83" t="n"/>
      <c r="M1488" s="83" t="n"/>
      <c r="O1488" s="84" t="str">
        <f>IF($C1488="","",IFERROR(MATCH($B1488&amp;"|"&amp;$C1488,MUROS!$AX$11:$AX$70,0),0))</f>
        <v/>
      </c>
      <c r="P1488" s="84" t="str">
        <f>IF($D1488="","",IF(ISNUMBER(MATCH($D1488,CMB_S,0)),1,IF(ISNUMBER(MATCH($D1488,CMB_G,0)),2,0)))</f>
        <v/>
      </c>
      <c r="Q1488" s="84">
        <f>IF(ISNUMBER($H1488),-$H1488,0)</f>
        <v>0</v>
      </c>
      <c r="R1488" s="84">
        <f>IF(ISNUMBER($I1488),ABS($I1488),0)</f>
        <v>0</v>
      </c>
      <c r="S1488" s="84">
        <f>IF(ISNUMBER($M1488),ABS($M1488),0)</f>
        <v>0</v>
      </c>
      <c r="T1488" s="85" t="n">
        <v>1480</v>
      </c>
    </row>
    <row r="1489">
      <c r="B1489" s="83" t="n"/>
      <c r="C1489" s="83" t="n"/>
      <c r="D1489" s="83" t="n"/>
      <c r="E1489" s="83" t="n"/>
      <c r="F1489" s="83" t="n"/>
      <c r="G1489" s="83" t="n"/>
      <c r="H1489" s="83" t="n"/>
      <c r="I1489" s="83" t="n"/>
      <c r="J1489" s="83" t="n"/>
      <c r="K1489" s="83" t="n"/>
      <c r="L1489" s="83" t="n"/>
      <c r="M1489" s="83" t="n"/>
      <c r="O1489" s="84" t="str">
        <f>IF($C1489="","",IFERROR(MATCH($B1489&amp;"|"&amp;$C1489,MUROS!$AX$11:$AX$70,0),0))</f>
        <v/>
      </c>
      <c r="P1489" s="84" t="str">
        <f>IF($D1489="","",IF(ISNUMBER(MATCH($D1489,CMB_S,0)),1,IF(ISNUMBER(MATCH($D1489,CMB_G,0)),2,0)))</f>
        <v/>
      </c>
      <c r="Q1489" s="84">
        <f>IF(ISNUMBER($H1489),-$H1489,0)</f>
        <v>0</v>
      </c>
      <c r="R1489" s="84">
        <f>IF(ISNUMBER($I1489),ABS($I1489),0)</f>
        <v>0</v>
      </c>
      <c r="S1489" s="84">
        <f>IF(ISNUMBER($M1489),ABS($M1489),0)</f>
        <v>0</v>
      </c>
      <c r="T1489" s="85" t="n">
        <v>1481</v>
      </c>
    </row>
    <row r="1490">
      <c r="B1490" s="83" t="n"/>
      <c r="C1490" s="83" t="n"/>
      <c r="D1490" s="83" t="n"/>
      <c r="E1490" s="83" t="n"/>
      <c r="F1490" s="83" t="n"/>
      <c r="G1490" s="83" t="n"/>
      <c r="H1490" s="83" t="n"/>
      <c r="I1490" s="83" t="n"/>
      <c r="J1490" s="83" t="n"/>
      <c r="K1490" s="83" t="n"/>
      <c r="L1490" s="83" t="n"/>
      <c r="M1490" s="83" t="n"/>
      <c r="O1490" s="84" t="str">
        <f>IF($C1490="","",IFERROR(MATCH($B1490&amp;"|"&amp;$C1490,MUROS!$AX$11:$AX$70,0),0))</f>
        <v/>
      </c>
      <c r="P1490" s="84" t="str">
        <f>IF($D1490="","",IF(ISNUMBER(MATCH($D1490,CMB_S,0)),1,IF(ISNUMBER(MATCH($D1490,CMB_G,0)),2,0)))</f>
        <v/>
      </c>
      <c r="Q1490" s="84">
        <f>IF(ISNUMBER($H1490),-$H1490,0)</f>
        <v>0</v>
      </c>
      <c r="R1490" s="84">
        <f>IF(ISNUMBER($I1490),ABS($I1490),0)</f>
        <v>0</v>
      </c>
      <c r="S1490" s="84">
        <f>IF(ISNUMBER($M1490),ABS($M1490),0)</f>
        <v>0</v>
      </c>
      <c r="T1490" s="85" t="n">
        <v>1482</v>
      </c>
    </row>
    <row r="1491">
      <c r="B1491" s="83" t="n"/>
      <c r="C1491" s="83" t="n"/>
      <c r="D1491" s="83" t="n"/>
      <c r="E1491" s="83" t="n"/>
      <c r="F1491" s="83" t="n"/>
      <c r="G1491" s="83" t="n"/>
      <c r="H1491" s="83" t="n"/>
      <c r="I1491" s="83" t="n"/>
      <c r="J1491" s="83" t="n"/>
      <c r="K1491" s="83" t="n"/>
      <c r="L1491" s="83" t="n"/>
      <c r="M1491" s="83" t="n"/>
      <c r="O1491" s="84" t="str">
        <f>IF($C1491="","",IFERROR(MATCH($B1491&amp;"|"&amp;$C1491,MUROS!$AX$11:$AX$70,0),0))</f>
        <v/>
      </c>
      <c r="P1491" s="84" t="str">
        <f>IF($D1491="","",IF(ISNUMBER(MATCH($D1491,CMB_S,0)),1,IF(ISNUMBER(MATCH($D1491,CMB_G,0)),2,0)))</f>
        <v/>
      </c>
      <c r="Q1491" s="84">
        <f>IF(ISNUMBER($H1491),-$H1491,0)</f>
        <v>0</v>
      </c>
      <c r="R1491" s="84">
        <f>IF(ISNUMBER($I1491),ABS($I1491),0)</f>
        <v>0</v>
      </c>
      <c r="S1491" s="84">
        <f>IF(ISNUMBER($M1491),ABS($M1491),0)</f>
        <v>0</v>
      </c>
      <c r="T1491" s="85" t="n">
        <v>1483</v>
      </c>
    </row>
    <row r="1492">
      <c r="B1492" s="83" t="n"/>
      <c r="C1492" s="83" t="n"/>
      <c r="D1492" s="83" t="n"/>
      <c r="E1492" s="83" t="n"/>
      <c r="F1492" s="83" t="n"/>
      <c r="G1492" s="83" t="n"/>
      <c r="H1492" s="83" t="n"/>
      <c r="I1492" s="83" t="n"/>
      <c r="J1492" s="83" t="n"/>
      <c r="K1492" s="83" t="n"/>
      <c r="L1492" s="83" t="n"/>
      <c r="M1492" s="83" t="n"/>
      <c r="O1492" s="84" t="str">
        <f>IF($C1492="","",IFERROR(MATCH($B1492&amp;"|"&amp;$C1492,MUROS!$AX$11:$AX$70,0),0))</f>
        <v/>
      </c>
      <c r="P1492" s="84" t="str">
        <f>IF($D1492="","",IF(ISNUMBER(MATCH($D1492,CMB_S,0)),1,IF(ISNUMBER(MATCH($D1492,CMB_G,0)),2,0)))</f>
        <v/>
      </c>
      <c r="Q1492" s="84">
        <f>IF(ISNUMBER($H1492),-$H1492,0)</f>
        <v>0</v>
      </c>
      <c r="R1492" s="84">
        <f>IF(ISNUMBER($I1492),ABS($I1492),0)</f>
        <v>0</v>
      </c>
      <c r="S1492" s="84">
        <f>IF(ISNUMBER($M1492),ABS($M1492),0)</f>
        <v>0</v>
      </c>
      <c r="T1492" s="85" t="n">
        <v>1484</v>
      </c>
    </row>
    <row r="1493">
      <c r="B1493" s="83" t="n"/>
      <c r="C1493" s="83" t="n"/>
      <c r="D1493" s="83" t="n"/>
      <c r="E1493" s="83" t="n"/>
      <c r="F1493" s="83" t="n"/>
      <c r="G1493" s="83" t="n"/>
      <c r="H1493" s="83" t="n"/>
      <c r="I1493" s="83" t="n"/>
      <c r="J1493" s="83" t="n"/>
      <c r="K1493" s="83" t="n"/>
      <c r="L1493" s="83" t="n"/>
      <c r="M1493" s="83" t="n"/>
      <c r="O1493" s="84" t="str">
        <f>IF($C1493="","",IFERROR(MATCH($B1493&amp;"|"&amp;$C1493,MUROS!$AX$11:$AX$70,0),0))</f>
        <v/>
      </c>
      <c r="P1493" s="84" t="str">
        <f>IF($D1493="","",IF(ISNUMBER(MATCH($D1493,CMB_S,0)),1,IF(ISNUMBER(MATCH($D1493,CMB_G,0)),2,0)))</f>
        <v/>
      </c>
      <c r="Q1493" s="84">
        <f>IF(ISNUMBER($H1493),-$H1493,0)</f>
        <v>0</v>
      </c>
      <c r="R1493" s="84">
        <f>IF(ISNUMBER($I1493),ABS($I1493),0)</f>
        <v>0</v>
      </c>
      <c r="S1493" s="84">
        <f>IF(ISNUMBER($M1493),ABS($M1493),0)</f>
        <v>0</v>
      </c>
      <c r="T1493" s="85" t="n">
        <v>1485</v>
      </c>
    </row>
    <row r="1494">
      <c r="B1494" s="83" t="n"/>
      <c r="C1494" s="83" t="n"/>
      <c r="D1494" s="83" t="n"/>
      <c r="E1494" s="83" t="n"/>
      <c r="F1494" s="83" t="n"/>
      <c r="G1494" s="83" t="n"/>
      <c r="H1494" s="83" t="n"/>
      <c r="I1494" s="83" t="n"/>
      <c r="J1494" s="83" t="n"/>
      <c r="K1494" s="83" t="n"/>
      <c r="L1494" s="83" t="n"/>
      <c r="M1494" s="83" t="n"/>
      <c r="O1494" s="84" t="str">
        <f>IF($C1494="","",IFERROR(MATCH($B1494&amp;"|"&amp;$C1494,MUROS!$AX$11:$AX$70,0),0))</f>
        <v/>
      </c>
      <c r="P1494" s="84" t="str">
        <f>IF($D1494="","",IF(ISNUMBER(MATCH($D1494,CMB_S,0)),1,IF(ISNUMBER(MATCH($D1494,CMB_G,0)),2,0)))</f>
        <v/>
      </c>
      <c r="Q1494" s="84">
        <f>IF(ISNUMBER($H1494),-$H1494,0)</f>
        <v>0</v>
      </c>
      <c r="R1494" s="84">
        <f>IF(ISNUMBER($I1494),ABS($I1494),0)</f>
        <v>0</v>
      </c>
      <c r="S1494" s="84">
        <f>IF(ISNUMBER($M1494),ABS($M1494),0)</f>
        <v>0</v>
      </c>
      <c r="T1494" s="85" t="n">
        <v>1486</v>
      </c>
    </row>
    <row r="1495">
      <c r="B1495" s="83" t="n"/>
      <c r="C1495" s="83" t="n"/>
      <c r="D1495" s="83" t="n"/>
      <c r="E1495" s="83" t="n"/>
      <c r="F1495" s="83" t="n"/>
      <c r="G1495" s="83" t="n"/>
      <c r="H1495" s="83" t="n"/>
      <c r="I1495" s="83" t="n"/>
      <c r="J1495" s="83" t="n"/>
      <c r="K1495" s="83" t="n"/>
      <c r="L1495" s="83" t="n"/>
      <c r="M1495" s="83" t="n"/>
      <c r="O1495" s="84" t="str">
        <f>IF($C1495="","",IFERROR(MATCH($B1495&amp;"|"&amp;$C1495,MUROS!$AX$11:$AX$70,0),0))</f>
        <v/>
      </c>
      <c r="P1495" s="84" t="str">
        <f>IF($D1495="","",IF(ISNUMBER(MATCH($D1495,CMB_S,0)),1,IF(ISNUMBER(MATCH($D1495,CMB_G,0)),2,0)))</f>
        <v/>
      </c>
      <c r="Q1495" s="84">
        <f>IF(ISNUMBER($H1495),-$H1495,0)</f>
        <v>0</v>
      </c>
      <c r="R1495" s="84">
        <f>IF(ISNUMBER($I1495),ABS($I1495),0)</f>
        <v>0</v>
      </c>
      <c r="S1495" s="84">
        <f>IF(ISNUMBER($M1495),ABS($M1495),0)</f>
        <v>0</v>
      </c>
      <c r="T1495" s="85" t="n">
        <v>1487</v>
      </c>
    </row>
    <row r="1496">
      <c r="B1496" s="83" t="n"/>
      <c r="C1496" s="83" t="n"/>
      <c r="D1496" s="83" t="n"/>
      <c r="E1496" s="83" t="n"/>
      <c r="F1496" s="83" t="n"/>
      <c r="G1496" s="83" t="n"/>
      <c r="H1496" s="83" t="n"/>
      <c r="I1496" s="83" t="n"/>
      <c r="J1496" s="83" t="n"/>
      <c r="K1496" s="83" t="n"/>
      <c r="L1496" s="83" t="n"/>
      <c r="M1496" s="83" t="n"/>
      <c r="O1496" s="84" t="str">
        <f>IF($C1496="","",IFERROR(MATCH($B1496&amp;"|"&amp;$C1496,MUROS!$AX$11:$AX$70,0),0))</f>
        <v/>
      </c>
      <c r="P1496" s="84" t="str">
        <f>IF($D1496="","",IF(ISNUMBER(MATCH($D1496,CMB_S,0)),1,IF(ISNUMBER(MATCH($D1496,CMB_G,0)),2,0)))</f>
        <v/>
      </c>
      <c r="Q1496" s="84">
        <f>IF(ISNUMBER($H1496),-$H1496,0)</f>
        <v>0</v>
      </c>
      <c r="R1496" s="84">
        <f>IF(ISNUMBER($I1496),ABS($I1496),0)</f>
        <v>0</v>
      </c>
      <c r="S1496" s="84">
        <f>IF(ISNUMBER($M1496),ABS($M1496),0)</f>
        <v>0</v>
      </c>
      <c r="T1496" s="85" t="n">
        <v>1488</v>
      </c>
    </row>
    <row r="1497">
      <c r="B1497" s="83" t="n"/>
      <c r="C1497" s="83" t="n"/>
      <c r="D1497" s="83" t="n"/>
      <c r="E1497" s="83" t="n"/>
      <c r="F1497" s="83" t="n"/>
      <c r="G1497" s="83" t="n"/>
      <c r="H1497" s="83" t="n"/>
      <c r="I1497" s="83" t="n"/>
      <c r="J1497" s="83" t="n"/>
      <c r="K1497" s="83" t="n"/>
      <c r="L1497" s="83" t="n"/>
      <c r="M1497" s="83" t="n"/>
      <c r="O1497" s="84" t="str">
        <f>IF($C1497="","",IFERROR(MATCH($B1497&amp;"|"&amp;$C1497,MUROS!$AX$11:$AX$70,0),0))</f>
        <v/>
      </c>
      <c r="P1497" s="84" t="str">
        <f>IF($D1497="","",IF(ISNUMBER(MATCH($D1497,CMB_S,0)),1,IF(ISNUMBER(MATCH($D1497,CMB_G,0)),2,0)))</f>
        <v/>
      </c>
      <c r="Q1497" s="84">
        <f>IF(ISNUMBER($H1497),-$H1497,0)</f>
        <v>0</v>
      </c>
      <c r="R1497" s="84">
        <f>IF(ISNUMBER($I1497),ABS($I1497),0)</f>
        <v>0</v>
      </c>
      <c r="S1497" s="84">
        <f>IF(ISNUMBER($M1497),ABS($M1497),0)</f>
        <v>0</v>
      </c>
      <c r="T1497" s="85" t="n">
        <v>1489</v>
      </c>
    </row>
    <row r="1498">
      <c r="B1498" s="83" t="n"/>
      <c r="C1498" s="83" t="n"/>
      <c r="D1498" s="83" t="n"/>
      <c r="E1498" s="83" t="n"/>
      <c r="F1498" s="83" t="n"/>
      <c r="G1498" s="83" t="n"/>
      <c r="H1498" s="83" t="n"/>
      <c r="I1498" s="83" t="n"/>
      <c r="J1498" s="83" t="n"/>
      <c r="K1498" s="83" t="n"/>
      <c r="L1498" s="83" t="n"/>
      <c r="M1498" s="83" t="n"/>
      <c r="O1498" s="84" t="str">
        <f>IF($C1498="","",IFERROR(MATCH($B1498&amp;"|"&amp;$C1498,MUROS!$AX$11:$AX$70,0),0))</f>
        <v/>
      </c>
      <c r="P1498" s="84" t="str">
        <f>IF($D1498="","",IF(ISNUMBER(MATCH($D1498,CMB_S,0)),1,IF(ISNUMBER(MATCH($D1498,CMB_G,0)),2,0)))</f>
        <v/>
      </c>
      <c r="Q1498" s="84">
        <f>IF(ISNUMBER($H1498),-$H1498,0)</f>
        <v>0</v>
      </c>
      <c r="R1498" s="84">
        <f>IF(ISNUMBER($I1498),ABS($I1498),0)</f>
        <v>0</v>
      </c>
      <c r="S1498" s="84">
        <f>IF(ISNUMBER($M1498),ABS($M1498),0)</f>
        <v>0</v>
      </c>
      <c r="T1498" s="85" t="n">
        <v>1490</v>
      </c>
    </row>
    <row r="1499">
      <c r="B1499" s="83" t="n"/>
      <c r="C1499" s="83" t="n"/>
      <c r="D1499" s="83" t="n"/>
      <c r="E1499" s="83" t="n"/>
      <c r="F1499" s="83" t="n"/>
      <c r="G1499" s="83" t="n"/>
      <c r="H1499" s="83" t="n"/>
      <c r="I1499" s="83" t="n"/>
      <c r="J1499" s="83" t="n"/>
      <c r="K1499" s="83" t="n"/>
      <c r="L1499" s="83" t="n"/>
      <c r="M1499" s="83" t="n"/>
      <c r="O1499" s="84" t="str">
        <f>IF($C1499="","",IFERROR(MATCH($B1499&amp;"|"&amp;$C1499,MUROS!$AX$11:$AX$70,0),0))</f>
        <v/>
      </c>
      <c r="P1499" s="84" t="str">
        <f>IF($D1499="","",IF(ISNUMBER(MATCH($D1499,CMB_S,0)),1,IF(ISNUMBER(MATCH($D1499,CMB_G,0)),2,0)))</f>
        <v/>
      </c>
      <c r="Q1499" s="84">
        <f>IF(ISNUMBER($H1499),-$H1499,0)</f>
        <v>0</v>
      </c>
      <c r="R1499" s="84">
        <f>IF(ISNUMBER($I1499),ABS($I1499),0)</f>
        <v>0</v>
      </c>
      <c r="S1499" s="84">
        <f>IF(ISNUMBER($M1499),ABS($M1499),0)</f>
        <v>0</v>
      </c>
      <c r="T1499" s="85" t="n">
        <v>1491</v>
      </c>
    </row>
    <row r="1500">
      <c r="B1500" s="83" t="n"/>
      <c r="C1500" s="83" t="n"/>
      <c r="D1500" s="83" t="n"/>
      <c r="E1500" s="83" t="n"/>
      <c r="F1500" s="83" t="n"/>
      <c r="G1500" s="83" t="n"/>
      <c r="H1500" s="83" t="n"/>
      <c r="I1500" s="83" t="n"/>
      <c r="J1500" s="83" t="n"/>
      <c r="K1500" s="83" t="n"/>
      <c r="L1500" s="83" t="n"/>
      <c r="M1500" s="83" t="n"/>
      <c r="O1500" s="84" t="str">
        <f>IF($C1500="","",IFERROR(MATCH($B1500&amp;"|"&amp;$C1500,MUROS!$AX$11:$AX$70,0),0))</f>
        <v/>
      </c>
      <c r="P1500" s="84" t="str">
        <f>IF($D1500="","",IF(ISNUMBER(MATCH($D1500,CMB_S,0)),1,IF(ISNUMBER(MATCH($D1500,CMB_G,0)),2,0)))</f>
        <v/>
      </c>
      <c r="Q1500" s="84">
        <f>IF(ISNUMBER($H1500),-$H1500,0)</f>
        <v>0</v>
      </c>
      <c r="R1500" s="84">
        <f>IF(ISNUMBER($I1500),ABS($I1500),0)</f>
        <v>0</v>
      </c>
      <c r="S1500" s="84">
        <f>IF(ISNUMBER($M1500),ABS($M1500),0)</f>
        <v>0</v>
      </c>
      <c r="T1500" s="85" t="n">
        <v>1492</v>
      </c>
    </row>
    <row r="1501">
      <c r="B1501" s="83" t="n"/>
      <c r="C1501" s="83" t="n"/>
      <c r="D1501" s="83" t="n"/>
      <c r="E1501" s="83" t="n"/>
      <c r="F1501" s="83" t="n"/>
      <c r="G1501" s="83" t="n"/>
      <c r="H1501" s="83" t="n"/>
      <c r="I1501" s="83" t="n"/>
      <c r="J1501" s="83" t="n"/>
      <c r="K1501" s="83" t="n"/>
      <c r="L1501" s="83" t="n"/>
      <c r="M1501" s="83" t="n"/>
      <c r="O1501" s="84" t="str">
        <f>IF($C1501="","",IFERROR(MATCH($B1501&amp;"|"&amp;$C1501,MUROS!$AX$11:$AX$70,0),0))</f>
        <v/>
      </c>
      <c r="P1501" s="84" t="str">
        <f>IF($D1501="","",IF(ISNUMBER(MATCH($D1501,CMB_S,0)),1,IF(ISNUMBER(MATCH($D1501,CMB_G,0)),2,0)))</f>
        <v/>
      </c>
      <c r="Q1501" s="84">
        <f>IF(ISNUMBER($H1501),-$H1501,0)</f>
        <v>0</v>
      </c>
      <c r="R1501" s="84">
        <f>IF(ISNUMBER($I1501),ABS($I1501),0)</f>
        <v>0</v>
      </c>
      <c r="S1501" s="84">
        <f>IF(ISNUMBER($M1501),ABS($M1501),0)</f>
        <v>0</v>
      </c>
      <c r="T1501" s="85" t="n">
        <v>1493</v>
      </c>
    </row>
    <row r="1502">
      <c r="B1502" s="83" t="n"/>
      <c r="C1502" s="83" t="n"/>
      <c r="D1502" s="83" t="n"/>
      <c r="E1502" s="83" t="n"/>
      <c r="F1502" s="83" t="n"/>
      <c r="G1502" s="83" t="n"/>
      <c r="H1502" s="83" t="n"/>
      <c r="I1502" s="83" t="n"/>
      <c r="J1502" s="83" t="n"/>
      <c r="K1502" s="83" t="n"/>
      <c r="L1502" s="83" t="n"/>
      <c r="M1502" s="83" t="n"/>
      <c r="O1502" s="84" t="str">
        <f>IF($C1502="","",IFERROR(MATCH($B1502&amp;"|"&amp;$C1502,MUROS!$AX$11:$AX$70,0),0))</f>
        <v/>
      </c>
      <c r="P1502" s="84" t="str">
        <f>IF($D1502="","",IF(ISNUMBER(MATCH($D1502,CMB_S,0)),1,IF(ISNUMBER(MATCH($D1502,CMB_G,0)),2,0)))</f>
        <v/>
      </c>
      <c r="Q1502" s="84">
        <f>IF(ISNUMBER($H1502),-$H1502,0)</f>
        <v>0</v>
      </c>
      <c r="R1502" s="84">
        <f>IF(ISNUMBER($I1502),ABS($I1502),0)</f>
        <v>0</v>
      </c>
      <c r="S1502" s="84">
        <f>IF(ISNUMBER($M1502),ABS($M1502),0)</f>
        <v>0</v>
      </c>
      <c r="T1502" s="85" t="n">
        <v>1494</v>
      </c>
    </row>
    <row r="1503">
      <c r="B1503" s="83" t="n"/>
      <c r="C1503" s="83" t="n"/>
      <c r="D1503" s="83" t="n"/>
      <c r="E1503" s="83" t="n"/>
      <c r="F1503" s="83" t="n"/>
      <c r="G1503" s="83" t="n"/>
      <c r="H1503" s="83" t="n"/>
      <c r="I1503" s="83" t="n"/>
      <c r="J1503" s="83" t="n"/>
      <c r="K1503" s="83" t="n"/>
      <c r="L1503" s="83" t="n"/>
      <c r="M1503" s="83" t="n"/>
      <c r="O1503" s="84" t="str">
        <f>IF($C1503="","",IFERROR(MATCH($B1503&amp;"|"&amp;$C1503,MUROS!$AX$11:$AX$70,0),0))</f>
        <v/>
      </c>
      <c r="P1503" s="84" t="str">
        <f>IF($D1503="","",IF(ISNUMBER(MATCH($D1503,CMB_S,0)),1,IF(ISNUMBER(MATCH($D1503,CMB_G,0)),2,0)))</f>
        <v/>
      </c>
      <c r="Q1503" s="84">
        <f>IF(ISNUMBER($H1503),-$H1503,0)</f>
        <v>0</v>
      </c>
      <c r="R1503" s="84">
        <f>IF(ISNUMBER($I1503),ABS($I1503),0)</f>
        <v>0</v>
      </c>
      <c r="S1503" s="84">
        <f>IF(ISNUMBER($M1503),ABS($M1503),0)</f>
        <v>0</v>
      </c>
      <c r="T1503" s="85" t="n">
        <v>1495</v>
      </c>
    </row>
    <row r="1504">
      <c r="B1504" s="83" t="n"/>
      <c r="C1504" s="83" t="n"/>
      <c r="D1504" s="83" t="n"/>
      <c r="E1504" s="83" t="n"/>
      <c r="F1504" s="83" t="n"/>
      <c r="G1504" s="83" t="n"/>
      <c r="H1504" s="83" t="n"/>
      <c r="I1504" s="83" t="n"/>
      <c r="J1504" s="83" t="n"/>
      <c r="K1504" s="83" t="n"/>
      <c r="L1504" s="83" t="n"/>
      <c r="M1504" s="83" t="n"/>
      <c r="O1504" s="84" t="str">
        <f>IF($C1504="","",IFERROR(MATCH($B1504&amp;"|"&amp;$C1504,MUROS!$AX$11:$AX$70,0),0))</f>
        <v/>
      </c>
      <c r="P1504" s="84" t="str">
        <f>IF($D1504="","",IF(ISNUMBER(MATCH($D1504,CMB_S,0)),1,IF(ISNUMBER(MATCH($D1504,CMB_G,0)),2,0)))</f>
        <v/>
      </c>
      <c r="Q1504" s="84">
        <f>IF(ISNUMBER($H1504),-$H1504,0)</f>
        <v>0</v>
      </c>
      <c r="R1504" s="84">
        <f>IF(ISNUMBER($I1504),ABS($I1504),0)</f>
        <v>0</v>
      </c>
      <c r="S1504" s="84">
        <f>IF(ISNUMBER($M1504),ABS($M1504),0)</f>
        <v>0</v>
      </c>
      <c r="T1504" s="85" t="n">
        <v>1496</v>
      </c>
    </row>
    <row r="1505">
      <c r="B1505" s="83" t="n"/>
      <c r="C1505" s="83" t="n"/>
      <c r="D1505" s="83" t="n"/>
      <c r="E1505" s="83" t="n"/>
      <c r="F1505" s="83" t="n"/>
      <c r="G1505" s="83" t="n"/>
      <c r="H1505" s="83" t="n"/>
      <c r="I1505" s="83" t="n"/>
      <c r="J1505" s="83" t="n"/>
      <c r="K1505" s="83" t="n"/>
      <c r="L1505" s="83" t="n"/>
      <c r="M1505" s="83" t="n"/>
      <c r="O1505" s="84" t="str">
        <f>IF($C1505="","",IFERROR(MATCH($B1505&amp;"|"&amp;$C1505,MUROS!$AX$11:$AX$70,0),0))</f>
        <v/>
      </c>
      <c r="P1505" s="84" t="str">
        <f>IF($D1505="","",IF(ISNUMBER(MATCH($D1505,CMB_S,0)),1,IF(ISNUMBER(MATCH($D1505,CMB_G,0)),2,0)))</f>
        <v/>
      </c>
      <c r="Q1505" s="84">
        <f>IF(ISNUMBER($H1505),-$H1505,0)</f>
        <v>0</v>
      </c>
      <c r="R1505" s="84">
        <f>IF(ISNUMBER($I1505),ABS($I1505),0)</f>
        <v>0</v>
      </c>
      <c r="S1505" s="84">
        <f>IF(ISNUMBER($M1505),ABS($M1505),0)</f>
        <v>0</v>
      </c>
      <c r="T1505" s="85" t="n">
        <v>1497</v>
      </c>
    </row>
    <row r="1506">
      <c r="B1506" s="83" t="n"/>
      <c r="C1506" s="83" t="n"/>
      <c r="D1506" s="83" t="n"/>
      <c r="E1506" s="83" t="n"/>
      <c r="F1506" s="83" t="n"/>
      <c r="G1506" s="83" t="n"/>
      <c r="H1506" s="83" t="n"/>
      <c r="I1506" s="83" t="n"/>
      <c r="J1506" s="83" t="n"/>
      <c r="K1506" s="83" t="n"/>
      <c r="L1506" s="83" t="n"/>
      <c r="M1506" s="83" t="n"/>
      <c r="O1506" s="84" t="str">
        <f>IF($C1506="","",IFERROR(MATCH($B1506&amp;"|"&amp;$C1506,MUROS!$AX$11:$AX$70,0),0))</f>
        <v/>
      </c>
      <c r="P1506" s="84" t="str">
        <f>IF($D1506="","",IF(ISNUMBER(MATCH($D1506,CMB_S,0)),1,IF(ISNUMBER(MATCH($D1506,CMB_G,0)),2,0)))</f>
        <v/>
      </c>
      <c r="Q1506" s="84">
        <f>IF(ISNUMBER($H1506),-$H1506,0)</f>
        <v>0</v>
      </c>
      <c r="R1506" s="84">
        <f>IF(ISNUMBER($I1506),ABS($I1506),0)</f>
        <v>0</v>
      </c>
      <c r="S1506" s="84">
        <f>IF(ISNUMBER($M1506),ABS($M1506),0)</f>
        <v>0</v>
      </c>
      <c r="T1506" s="85" t="n">
        <v>1498</v>
      </c>
    </row>
    <row r="1507">
      <c r="B1507" s="83" t="n"/>
      <c r="C1507" s="83" t="n"/>
      <c r="D1507" s="83" t="n"/>
      <c r="E1507" s="83" t="n"/>
      <c r="F1507" s="83" t="n"/>
      <c r="G1507" s="83" t="n"/>
      <c r="H1507" s="83" t="n"/>
      <c r="I1507" s="83" t="n"/>
      <c r="J1507" s="83" t="n"/>
      <c r="K1507" s="83" t="n"/>
      <c r="L1507" s="83" t="n"/>
      <c r="M1507" s="83" t="n"/>
      <c r="O1507" s="84" t="str">
        <f>IF($C1507="","",IFERROR(MATCH($B1507&amp;"|"&amp;$C1507,MUROS!$AX$11:$AX$70,0),0))</f>
        <v/>
      </c>
      <c r="P1507" s="84" t="str">
        <f>IF($D1507="","",IF(ISNUMBER(MATCH($D1507,CMB_S,0)),1,IF(ISNUMBER(MATCH($D1507,CMB_G,0)),2,0)))</f>
        <v/>
      </c>
      <c r="Q1507" s="84">
        <f>IF(ISNUMBER($H1507),-$H1507,0)</f>
        <v>0</v>
      </c>
      <c r="R1507" s="84">
        <f>IF(ISNUMBER($I1507),ABS($I1507),0)</f>
        <v>0</v>
      </c>
      <c r="S1507" s="84">
        <f>IF(ISNUMBER($M1507),ABS($M1507),0)</f>
        <v>0</v>
      </c>
      <c r="T1507" s="85" t="n">
        <v>1499</v>
      </c>
    </row>
    <row r="1508">
      <c r="B1508" s="83" t="n"/>
      <c r="C1508" s="83" t="n"/>
      <c r="D1508" s="83" t="n"/>
      <c r="E1508" s="83" t="n"/>
      <c r="F1508" s="83" t="n"/>
      <c r="G1508" s="83" t="n"/>
      <c r="H1508" s="83" t="n"/>
      <c r="I1508" s="83" t="n"/>
      <c r="J1508" s="83" t="n"/>
      <c r="K1508" s="83" t="n"/>
      <c r="L1508" s="83" t="n"/>
      <c r="M1508" s="83" t="n"/>
      <c r="O1508" s="84" t="str">
        <f>IF($C1508="","",IFERROR(MATCH($B1508&amp;"|"&amp;$C1508,MUROS!$AX$11:$AX$70,0),0))</f>
        <v/>
      </c>
      <c r="P1508" s="84" t="str">
        <f>IF($D1508="","",IF(ISNUMBER(MATCH($D1508,CMB_S,0)),1,IF(ISNUMBER(MATCH($D1508,CMB_G,0)),2,0)))</f>
        <v/>
      </c>
      <c r="Q1508" s="84">
        <f>IF(ISNUMBER($H1508),-$H1508,0)</f>
        <v>0</v>
      </c>
      <c r="R1508" s="84">
        <f>IF(ISNUMBER($I1508),ABS($I1508),0)</f>
        <v>0</v>
      </c>
      <c r="S1508" s="84">
        <f>IF(ISNUMBER($M1508),ABS($M1508),0)</f>
        <v>0</v>
      </c>
      <c r="T1508" s="85" t="n">
        <v>1500</v>
      </c>
    </row>
    <row r="1509">
      <c r="B1509" s="83" t="n"/>
      <c r="C1509" s="83" t="n"/>
      <c r="D1509" s="83" t="n"/>
      <c r="E1509" s="83" t="n"/>
      <c r="F1509" s="83" t="n"/>
      <c r="G1509" s="83" t="n"/>
      <c r="H1509" s="83" t="n"/>
      <c r="I1509" s="83" t="n"/>
      <c r="J1509" s="83" t="n"/>
      <c r="K1509" s="83" t="n"/>
      <c r="L1509" s="83" t="n"/>
      <c r="M1509" s="83" t="n"/>
      <c r="O1509" s="84" t="str">
        <f>IF($C1509="","",IFERROR(MATCH($B1509&amp;"|"&amp;$C1509,MUROS!$AX$11:$AX$70,0),0))</f>
        <v/>
      </c>
      <c r="P1509" s="84" t="str">
        <f>IF($D1509="","",IF(ISNUMBER(MATCH($D1509,CMB_S,0)),1,IF(ISNUMBER(MATCH($D1509,CMB_G,0)),2,0)))</f>
        <v/>
      </c>
      <c r="Q1509" s="84">
        <f>IF(ISNUMBER($H1509),-$H1509,0)</f>
        <v>0</v>
      </c>
      <c r="R1509" s="84">
        <f>IF(ISNUMBER($I1509),ABS($I1509),0)</f>
        <v>0</v>
      </c>
      <c r="S1509" s="84">
        <f>IF(ISNUMBER($M1509),ABS($M1509),0)</f>
        <v>0</v>
      </c>
      <c r="T1509" s="85" t="n">
        <v>1501</v>
      </c>
    </row>
    <row r="1510">
      <c r="B1510" s="83" t="n"/>
      <c r="C1510" s="83" t="n"/>
      <c r="D1510" s="83" t="n"/>
      <c r="E1510" s="83" t="n"/>
      <c r="F1510" s="83" t="n"/>
      <c r="G1510" s="83" t="n"/>
      <c r="H1510" s="83" t="n"/>
      <c r="I1510" s="83" t="n"/>
      <c r="J1510" s="83" t="n"/>
      <c r="K1510" s="83" t="n"/>
      <c r="L1510" s="83" t="n"/>
      <c r="M1510" s="83" t="n"/>
      <c r="O1510" s="84" t="str">
        <f>IF($C1510="","",IFERROR(MATCH($B1510&amp;"|"&amp;$C1510,MUROS!$AX$11:$AX$70,0),0))</f>
        <v/>
      </c>
      <c r="P1510" s="84" t="str">
        <f>IF($D1510="","",IF(ISNUMBER(MATCH($D1510,CMB_S,0)),1,IF(ISNUMBER(MATCH($D1510,CMB_G,0)),2,0)))</f>
        <v/>
      </c>
      <c r="Q1510" s="84">
        <f>IF(ISNUMBER($H1510),-$H1510,0)</f>
        <v>0</v>
      </c>
      <c r="R1510" s="84">
        <f>IF(ISNUMBER($I1510),ABS($I1510),0)</f>
        <v>0</v>
      </c>
      <c r="S1510" s="84">
        <f>IF(ISNUMBER($M1510),ABS($M1510),0)</f>
        <v>0</v>
      </c>
      <c r="T1510" s="85" t="n">
        <v>1502</v>
      </c>
    </row>
    <row r="1511">
      <c r="B1511" s="83" t="n"/>
      <c r="C1511" s="83" t="n"/>
      <c r="D1511" s="83" t="n"/>
      <c r="E1511" s="83" t="n"/>
      <c r="F1511" s="83" t="n"/>
      <c r="G1511" s="83" t="n"/>
      <c r="H1511" s="83" t="n"/>
      <c r="I1511" s="83" t="n"/>
      <c r="J1511" s="83" t="n"/>
      <c r="K1511" s="83" t="n"/>
      <c r="L1511" s="83" t="n"/>
      <c r="M1511" s="83" t="n"/>
      <c r="O1511" s="84" t="str">
        <f>IF($C1511="","",IFERROR(MATCH($B1511&amp;"|"&amp;$C1511,MUROS!$AX$11:$AX$70,0),0))</f>
        <v/>
      </c>
      <c r="P1511" s="84" t="str">
        <f>IF($D1511="","",IF(ISNUMBER(MATCH($D1511,CMB_S,0)),1,IF(ISNUMBER(MATCH($D1511,CMB_G,0)),2,0)))</f>
        <v/>
      </c>
      <c r="Q1511" s="84">
        <f>IF(ISNUMBER($H1511),-$H1511,0)</f>
        <v>0</v>
      </c>
      <c r="R1511" s="84">
        <f>IF(ISNUMBER($I1511),ABS($I1511),0)</f>
        <v>0</v>
      </c>
      <c r="S1511" s="84">
        <f>IF(ISNUMBER($M1511),ABS($M1511),0)</f>
        <v>0</v>
      </c>
      <c r="T1511" s="85" t="n">
        <v>1503</v>
      </c>
    </row>
    <row r="1512">
      <c r="B1512" s="83" t="n"/>
      <c r="C1512" s="83" t="n"/>
      <c r="D1512" s="83" t="n"/>
      <c r="E1512" s="83" t="n"/>
      <c r="F1512" s="83" t="n"/>
      <c r="G1512" s="83" t="n"/>
      <c r="H1512" s="83" t="n"/>
      <c r="I1512" s="83" t="n"/>
      <c r="J1512" s="83" t="n"/>
      <c r="K1512" s="83" t="n"/>
      <c r="L1512" s="83" t="n"/>
      <c r="M1512" s="83" t="n"/>
      <c r="O1512" s="84" t="str">
        <f>IF($C1512="","",IFERROR(MATCH($B1512&amp;"|"&amp;$C1512,MUROS!$AX$11:$AX$70,0),0))</f>
        <v/>
      </c>
      <c r="P1512" s="84" t="str">
        <f>IF($D1512="","",IF(ISNUMBER(MATCH($D1512,CMB_S,0)),1,IF(ISNUMBER(MATCH($D1512,CMB_G,0)),2,0)))</f>
        <v/>
      </c>
      <c r="Q1512" s="84">
        <f>IF(ISNUMBER($H1512),-$H1512,0)</f>
        <v>0</v>
      </c>
      <c r="R1512" s="84">
        <f>IF(ISNUMBER($I1512),ABS($I1512),0)</f>
        <v>0</v>
      </c>
      <c r="S1512" s="84">
        <f>IF(ISNUMBER($M1512),ABS($M1512),0)</f>
        <v>0</v>
      </c>
      <c r="T1512" s="85" t="n">
        <v>1504</v>
      </c>
    </row>
    <row r="1513">
      <c r="B1513" s="83" t="n"/>
      <c r="C1513" s="83" t="n"/>
      <c r="D1513" s="83" t="n"/>
      <c r="E1513" s="83" t="n"/>
      <c r="F1513" s="83" t="n"/>
      <c r="G1513" s="83" t="n"/>
      <c r="H1513" s="83" t="n"/>
      <c r="I1513" s="83" t="n"/>
      <c r="J1513" s="83" t="n"/>
      <c r="K1513" s="83" t="n"/>
      <c r="L1513" s="83" t="n"/>
      <c r="M1513" s="83" t="n"/>
      <c r="O1513" s="84" t="str">
        <f>IF($C1513="","",IFERROR(MATCH($B1513&amp;"|"&amp;$C1513,MUROS!$AX$11:$AX$70,0),0))</f>
        <v/>
      </c>
      <c r="P1513" s="84" t="str">
        <f>IF($D1513="","",IF(ISNUMBER(MATCH($D1513,CMB_S,0)),1,IF(ISNUMBER(MATCH($D1513,CMB_G,0)),2,0)))</f>
        <v/>
      </c>
      <c r="Q1513" s="84">
        <f>IF(ISNUMBER($H1513),-$H1513,0)</f>
        <v>0</v>
      </c>
      <c r="R1513" s="84">
        <f>IF(ISNUMBER($I1513),ABS($I1513),0)</f>
        <v>0</v>
      </c>
      <c r="S1513" s="84">
        <f>IF(ISNUMBER($M1513),ABS($M1513),0)</f>
        <v>0</v>
      </c>
      <c r="T1513" s="85" t="n">
        <v>1505</v>
      </c>
    </row>
    <row r="1514">
      <c r="B1514" s="83" t="n"/>
      <c r="C1514" s="83" t="n"/>
      <c r="D1514" s="83" t="n"/>
      <c r="E1514" s="83" t="n"/>
      <c r="F1514" s="83" t="n"/>
      <c r="G1514" s="83" t="n"/>
      <c r="H1514" s="83" t="n"/>
      <c r="I1514" s="83" t="n"/>
      <c r="J1514" s="83" t="n"/>
      <c r="K1514" s="83" t="n"/>
      <c r="L1514" s="83" t="n"/>
      <c r="M1514" s="83" t="n"/>
      <c r="O1514" s="84" t="str">
        <f>IF($C1514="","",IFERROR(MATCH($B1514&amp;"|"&amp;$C1514,MUROS!$AX$11:$AX$70,0),0))</f>
        <v/>
      </c>
      <c r="P1514" s="84" t="str">
        <f>IF($D1514="","",IF(ISNUMBER(MATCH($D1514,CMB_S,0)),1,IF(ISNUMBER(MATCH($D1514,CMB_G,0)),2,0)))</f>
        <v/>
      </c>
      <c r="Q1514" s="84">
        <f>IF(ISNUMBER($H1514),-$H1514,0)</f>
        <v>0</v>
      </c>
      <c r="R1514" s="84">
        <f>IF(ISNUMBER($I1514),ABS($I1514),0)</f>
        <v>0</v>
      </c>
      <c r="S1514" s="84">
        <f>IF(ISNUMBER($M1514),ABS($M1514),0)</f>
        <v>0</v>
      </c>
      <c r="T1514" s="85" t="n">
        <v>1506</v>
      </c>
    </row>
    <row r="1515">
      <c r="B1515" s="83" t="n"/>
      <c r="C1515" s="83" t="n"/>
      <c r="D1515" s="83" t="n"/>
      <c r="E1515" s="83" t="n"/>
      <c r="F1515" s="83" t="n"/>
      <c r="G1515" s="83" t="n"/>
      <c r="H1515" s="83" t="n"/>
      <c r="I1515" s="83" t="n"/>
      <c r="J1515" s="83" t="n"/>
      <c r="K1515" s="83" t="n"/>
      <c r="L1515" s="83" t="n"/>
      <c r="M1515" s="83" t="n"/>
      <c r="O1515" s="84" t="str">
        <f>IF($C1515="","",IFERROR(MATCH($B1515&amp;"|"&amp;$C1515,MUROS!$AX$11:$AX$70,0),0))</f>
        <v/>
      </c>
      <c r="P1515" s="84" t="str">
        <f>IF($D1515="","",IF(ISNUMBER(MATCH($D1515,CMB_S,0)),1,IF(ISNUMBER(MATCH($D1515,CMB_G,0)),2,0)))</f>
        <v/>
      </c>
      <c r="Q1515" s="84">
        <f>IF(ISNUMBER($H1515),-$H1515,0)</f>
        <v>0</v>
      </c>
      <c r="R1515" s="84">
        <f>IF(ISNUMBER($I1515),ABS($I1515),0)</f>
        <v>0</v>
      </c>
      <c r="S1515" s="84">
        <f>IF(ISNUMBER($M1515),ABS($M1515),0)</f>
        <v>0</v>
      </c>
      <c r="T1515" s="85" t="n">
        <v>1507</v>
      </c>
    </row>
    <row r="1516">
      <c r="B1516" s="83" t="n"/>
      <c r="C1516" s="83" t="n"/>
      <c r="D1516" s="83" t="n"/>
      <c r="E1516" s="83" t="n"/>
      <c r="F1516" s="83" t="n"/>
      <c r="G1516" s="83" t="n"/>
      <c r="H1516" s="83" t="n"/>
      <c r="I1516" s="83" t="n"/>
      <c r="J1516" s="83" t="n"/>
      <c r="K1516" s="83" t="n"/>
      <c r="L1516" s="83" t="n"/>
      <c r="M1516" s="83" t="n"/>
      <c r="O1516" s="84" t="str">
        <f>IF($C1516="","",IFERROR(MATCH($B1516&amp;"|"&amp;$C1516,MUROS!$AX$11:$AX$70,0),0))</f>
        <v/>
      </c>
      <c r="P1516" s="84" t="str">
        <f>IF($D1516="","",IF(ISNUMBER(MATCH($D1516,CMB_S,0)),1,IF(ISNUMBER(MATCH($D1516,CMB_G,0)),2,0)))</f>
        <v/>
      </c>
      <c r="Q1516" s="84">
        <f>IF(ISNUMBER($H1516),-$H1516,0)</f>
        <v>0</v>
      </c>
      <c r="R1516" s="84">
        <f>IF(ISNUMBER($I1516),ABS($I1516),0)</f>
        <v>0</v>
      </c>
      <c r="S1516" s="84">
        <f>IF(ISNUMBER($M1516),ABS($M1516),0)</f>
        <v>0</v>
      </c>
      <c r="T1516" s="85" t="n">
        <v>1508</v>
      </c>
    </row>
    <row r="1517">
      <c r="B1517" s="83" t="n"/>
      <c r="C1517" s="83" t="n"/>
      <c r="D1517" s="83" t="n"/>
      <c r="E1517" s="83" t="n"/>
      <c r="F1517" s="83" t="n"/>
      <c r="G1517" s="83" t="n"/>
      <c r="H1517" s="83" t="n"/>
      <c r="I1517" s="83" t="n"/>
      <c r="J1517" s="83" t="n"/>
      <c r="K1517" s="83" t="n"/>
      <c r="L1517" s="83" t="n"/>
      <c r="M1517" s="83" t="n"/>
      <c r="O1517" s="84" t="str">
        <f>IF($C1517="","",IFERROR(MATCH($B1517&amp;"|"&amp;$C1517,MUROS!$AX$11:$AX$70,0),0))</f>
        <v/>
      </c>
      <c r="P1517" s="84" t="str">
        <f>IF($D1517="","",IF(ISNUMBER(MATCH($D1517,CMB_S,0)),1,IF(ISNUMBER(MATCH($D1517,CMB_G,0)),2,0)))</f>
        <v/>
      </c>
      <c r="Q1517" s="84">
        <f>IF(ISNUMBER($H1517),-$H1517,0)</f>
        <v>0</v>
      </c>
      <c r="R1517" s="84">
        <f>IF(ISNUMBER($I1517),ABS($I1517),0)</f>
        <v>0</v>
      </c>
      <c r="S1517" s="84">
        <f>IF(ISNUMBER($M1517),ABS($M1517),0)</f>
        <v>0</v>
      </c>
      <c r="T1517" s="85" t="n">
        <v>1509</v>
      </c>
    </row>
    <row r="1518">
      <c r="B1518" s="83" t="n"/>
      <c r="C1518" s="83" t="n"/>
      <c r="D1518" s="83" t="n"/>
      <c r="E1518" s="83" t="n"/>
      <c r="F1518" s="83" t="n"/>
      <c r="G1518" s="83" t="n"/>
      <c r="H1518" s="83" t="n"/>
      <c r="I1518" s="83" t="n"/>
      <c r="J1518" s="83" t="n"/>
      <c r="K1518" s="83" t="n"/>
      <c r="L1518" s="83" t="n"/>
      <c r="M1518" s="83" t="n"/>
      <c r="O1518" s="84" t="str">
        <f>IF($C1518="","",IFERROR(MATCH($B1518&amp;"|"&amp;$C1518,MUROS!$AX$11:$AX$70,0),0))</f>
        <v/>
      </c>
      <c r="P1518" s="84" t="str">
        <f>IF($D1518="","",IF(ISNUMBER(MATCH($D1518,CMB_S,0)),1,IF(ISNUMBER(MATCH($D1518,CMB_G,0)),2,0)))</f>
        <v/>
      </c>
      <c r="Q1518" s="84">
        <f>IF(ISNUMBER($H1518),-$H1518,0)</f>
        <v>0</v>
      </c>
      <c r="R1518" s="84">
        <f>IF(ISNUMBER($I1518),ABS($I1518),0)</f>
        <v>0</v>
      </c>
      <c r="S1518" s="84">
        <f>IF(ISNUMBER($M1518),ABS($M1518),0)</f>
        <v>0</v>
      </c>
      <c r="T1518" s="85" t="n">
        <v>1510</v>
      </c>
    </row>
    <row r="1519">
      <c r="B1519" s="83" t="n"/>
      <c r="C1519" s="83" t="n"/>
      <c r="D1519" s="83" t="n"/>
      <c r="E1519" s="83" t="n"/>
      <c r="F1519" s="83" t="n"/>
      <c r="G1519" s="83" t="n"/>
      <c r="H1519" s="83" t="n"/>
      <c r="I1519" s="83" t="n"/>
      <c r="J1519" s="83" t="n"/>
      <c r="K1519" s="83" t="n"/>
      <c r="L1519" s="83" t="n"/>
      <c r="M1519" s="83" t="n"/>
      <c r="O1519" s="84" t="str">
        <f>IF($C1519="","",IFERROR(MATCH($B1519&amp;"|"&amp;$C1519,MUROS!$AX$11:$AX$70,0),0))</f>
        <v/>
      </c>
      <c r="P1519" s="84" t="str">
        <f>IF($D1519="","",IF(ISNUMBER(MATCH($D1519,CMB_S,0)),1,IF(ISNUMBER(MATCH($D1519,CMB_G,0)),2,0)))</f>
        <v/>
      </c>
      <c r="Q1519" s="84">
        <f>IF(ISNUMBER($H1519),-$H1519,0)</f>
        <v>0</v>
      </c>
      <c r="R1519" s="84">
        <f>IF(ISNUMBER($I1519),ABS($I1519),0)</f>
        <v>0</v>
      </c>
      <c r="S1519" s="84">
        <f>IF(ISNUMBER($M1519),ABS($M1519),0)</f>
        <v>0</v>
      </c>
      <c r="T1519" s="85" t="n">
        <v>1511</v>
      </c>
    </row>
    <row r="1520">
      <c r="B1520" s="83" t="n"/>
      <c r="C1520" s="83" t="n"/>
      <c r="D1520" s="83" t="n"/>
      <c r="E1520" s="83" t="n"/>
      <c r="F1520" s="83" t="n"/>
      <c r="G1520" s="83" t="n"/>
      <c r="H1520" s="83" t="n"/>
      <c r="I1520" s="83" t="n"/>
      <c r="J1520" s="83" t="n"/>
      <c r="K1520" s="83" t="n"/>
      <c r="L1520" s="83" t="n"/>
      <c r="M1520" s="83" t="n"/>
      <c r="O1520" s="84" t="str">
        <f>IF($C1520="","",IFERROR(MATCH($B1520&amp;"|"&amp;$C1520,MUROS!$AX$11:$AX$70,0),0))</f>
        <v/>
      </c>
      <c r="P1520" s="84" t="str">
        <f>IF($D1520="","",IF(ISNUMBER(MATCH($D1520,CMB_S,0)),1,IF(ISNUMBER(MATCH($D1520,CMB_G,0)),2,0)))</f>
        <v/>
      </c>
      <c r="Q1520" s="84">
        <f>IF(ISNUMBER($H1520),-$H1520,0)</f>
        <v>0</v>
      </c>
      <c r="R1520" s="84">
        <f>IF(ISNUMBER($I1520),ABS($I1520),0)</f>
        <v>0</v>
      </c>
      <c r="S1520" s="84">
        <f>IF(ISNUMBER($M1520),ABS($M1520),0)</f>
        <v>0</v>
      </c>
      <c r="T1520" s="85" t="n">
        <v>1512</v>
      </c>
    </row>
    <row r="1521">
      <c r="B1521" s="83" t="n"/>
      <c r="C1521" s="83" t="n"/>
      <c r="D1521" s="83" t="n"/>
      <c r="E1521" s="83" t="n"/>
      <c r="F1521" s="83" t="n"/>
      <c r="G1521" s="83" t="n"/>
      <c r="H1521" s="83" t="n"/>
      <c r="I1521" s="83" t="n"/>
      <c r="J1521" s="83" t="n"/>
      <c r="K1521" s="83" t="n"/>
      <c r="L1521" s="83" t="n"/>
      <c r="M1521" s="83" t="n"/>
      <c r="O1521" s="84" t="str">
        <f>IF($C1521="","",IFERROR(MATCH($B1521&amp;"|"&amp;$C1521,MUROS!$AX$11:$AX$70,0),0))</f>
        <v/>
      </c>
      <c r="P1521" s="84" t="str">
        <f>IF($D1521="","",IF(ISNUMBER(MATCH($D1521,CMB_S,0)),1,IF(ISNUMBER(MATCH($D1521,CMB_G,0)),2,0)))</f>
        <v/>
      </c>
      <c r="Q1521" s="84">
        <f>IF(ISNUMBER($H1521),-$H1521,0)</f>
        <v>0</v>
      </c>
      <c r="R1521" s="84">
        <f>IF(ISNUMBER($I1521),ABS($I1521),0)</f>
        <v>0</v>
      </c>
      <c r="S1521" s="84">
        <f>IF(ISNUMBER($M1521),ABS($M1521),0)</f>
        <v>0</v>
      </c>
      <c r="T1521" s="85" t="n">
        <v>1513</v>
      </c>
    </row>
    <row r="1522">
      <c r="B1522" s="83" t="n"/>
      <c r="C1522" s="83" t="n"/>
      <c r="D1522" s="83" t="n"/>
      <c r="E1522" s="83" t="n"/>
      <c r="F1522" s="83" t="n"/>
      <c r="G1522" s="83" t="n"/>
      <c r="H1522" s="83" t="n"/>
      <c r="I1522" s="83" t="n"/>
      <c r="J1522" s="83" t="n"/>
      <c r="K1522" s="83" t="n"/>
      <c r="L1522" s="83" t="n"/>
      <c r="M1522" s="83" t="n"/>
      <c r="O1522" s="84" t="str">
        <f>IF($C1522="","",IFERROR(MATCH($B1522&amp;"|"&amp;$C1522,MUROS!$AX$11:$AX$70,0),0))</f>
        <v/>
      </c>
      <c r="P1522" s="84" t="str">
        <f>IF($D1522="","",IF(ISNUMBER(MATCH($D1522,CMB_S,0)),1,IF(ISNUMBER(MATCH($D1522,CMB_G,0)),2,0)))</f>
        <v/>
      </c>
      <c r="Q1522" s="84">
        <f>IF(ISNUMBER($H1522),-$H1522,0)</f>
        <v>0</v>
      </c>
      <c r="R1522" s="84">
        <f>IF(ISNUMBER($I1522),ABS($I1522),0)</f>
        <v>0</v>
      </c>
      <c r="S1522" s="84">
        <f>IF(ISNUMBER($M1522),ABS($M1522),0)</f>
        <v>0</v>
      </c>
      <c r="T1522" s="85" t="n">
        <v>1514</v>
      </c>
    </row>
    <row r="1523">
      <c r="B1523" s="83" t="n"/>
      <c r="C1523" s="83" t="n"/>
      <c r="D1523" s="83" t="n"/>
      <c r="E1523" s="83" t="n"/>
      <c r="F1523" s="83" t="n"/>
      <c r="G1523" s="83" t="n"/>
      <c r="H1523" s="83" t="n"/>
      <c r="I1523" s="83" t="n"/>
      <c r="J1523" s="83" t="n"/>
      <c r="K1523" s="83" t="n"/>
      <c r="L1523" s="83" t="n"/>
      <c r="M1523" s="83" t="n"/>
      <c r="O1523" s="84" t="str">
        <f>IF($C1523="","",IFERROR(MATCH($B1523&amp;"|"&amp;$C1523,MUROS!$AX$11:$AX$70,0),0))</f>
        <v/>
      </c>
      <c r="P1523" s="84" t="str">
        <f>IF($D1523="","",IF(ISNUMBER(MATCH($D1523,CMB_S,0)),1,IF(ISNUMBER(MATCH($D1523,CMB_G,0)),2,0)))</f>
        <v/>
      </c>
      <c r="Q1523" s="84">
        <f>IF(ISNUMBER($H1523),-$H1523,0)</f>
        <v>0</v>
      </c>
      <c r="R1523" s="84">
        <f>IF(ISNUMBER($I1523),ABS($I1523),0)</f>
        <v>0</v>
      </c>
      <c r="S1523" s="84">
        <f>IF(ISNUMBER($M1523),ABS($M1523),0)</f>
        <v>0</v>
      </c>
      <c r="T1523" s="85" t="n">
        <v>1515</v>
      </c>
    </row>
    <row r="1524">
      <c r="B1524" s="83" t="n"/>
      <c r="C1524" s="83" t="n"/>
      <c r="D1524" s="83" t="n"/>
      <c r="E1524" s="83" t="n"/>
      <c r="F1524" s="83" t="n"/>
      <c r="G1524" s="83" t="n"/>
      <c r="H1524" s="83" t="n"/>
      <c r="I1524" s="83" t="n"/>
      <c r="J1524" s="83" t="n"/>
      <c r="K1524" s="83" t="n"/>
      <c r="L1524" s="83" t="n"/>
      <c r="M1524" s="83" t="n"/>
      <c r="O1524" s="84" t="str">
        <f>IF($C1524="","",IFERROR(MATCH($B1524&amp;"|"&amp;$C1524,MUROS!$AX$11:$AX$70,0),0))</f>
        <v/>
      </c>
      <c r="P1524" s="84" t="str">
        <f>IF($D1524="","",IF(ISNUMBER(MATCH($D1524,CMB_S,0)),1,IF(ISNUMBER(MATCH($D1524,CMB_G,0)),2,0)))</f>
        <v/>
      </c>
      <c r="Q1524" s="84">
        <f>IF(ISNUMBER($H1524),-$H1524,0)</f>
        <v>0</v>
      </c>
      <c r="R1524" s="84">
        <f>IF(ISNUMBER($I1524),ABS($I1524),0)</f>
        <v>0</v>
      </c>
      <c r="S1524" s="84">
        <f>IF(ISNUMBER($M1524),ABS($M1524),0)</f>
        <v>0</v>
      </c>
      <c r="T1524" s="85" t="n">
        <v>1516</v>
      </c>
    </row>
    <row r="1525">
      <c r="B1525" s="83" t="n"/>
      <c r="C1525" s="83" t="n"/>
      <c r="D1525" s="83" t="n"/>
      <c r="E1525" s="83" t="n"/>
      <c r="F1525" s="83" t="n"/>
      <c r="G1525" s="83" t="n"/>
      <c r="H1525" s="83" t="n"/>
      <c r="I1525" s="83" t="n"/>
      <c r="J1525" s="83" t="n"/>
      <c r="K1525" s="83" t="n"/>
      <c r="L1525" s="83" t="n"/>
      <c r="M1525" s="83" t="n"/>
      <c r="O1525" s="84" t="str">
        <f>IF($C1525="","",IFERROR(MATCH($B1525&amp;"|"&amp;$C1525,MUROS!$AX$11:$AX$70,0),0))</f>
        <v/>
      </c>
      <c r="P1525" s="84" t="str">
        <f>IF($D1525="","",IF(ISNUMBER(MATCH($D1525,CMB_S,0)),1,IF(ISNUMBER(MATCH($D1525,CMB_G,0)),2,0)))</f>
        <v/>
      </c>
      <c r="Q1525" s="84">
        <f>IF(ISNUMBER($H1525),-$H1525,0)</f>
        <v>0</v>
      </c>
      <c r="R1525" s="84">
        <f>IF(ISNUMBER($I1525),ABS($I1525),0)</f>
        <v>0</v>
      </c>
      <c r="S1525" s="84">
        <f>IF(ISNUMBER($M1525),ABS($M1525),0)</f>
        <v>0</v>
      </c>
      <c r="T1525" s="85" t="n">
        <v>1517</v>
      </c>
    </row>
    <row r="1526">
      <c r="B1526" s="83" t="n"/>
      <c r="C1526" s="83" t="n"/>
      <c r="D1526" s="83" t="n"/>
      <c r="E1526" s="83" t="n"/>
      <c r="F1526" s="83" t="n"/>
      <c r="G1526" s="83" t="n"/>
      <c r="H1526" s="83" t="n"/>
      <c r="I1526" s="83" t="n"/>
      <c r="J1526" s="83" t="n"/>
      <c r="K1526" s="83" t="n"/>
      <c r="L1526" s="83" t="n"/>
      <c r="M1526" s="83" t="n"/>
      <c r="O1526" s="84" t="str">
        <f>IF($C1526="","",IFERROR(MATCH($B1526&amp;"|"&amp;$C1526,MUROS!$AX$11:$AX$70,0),0))</f>
        <v/>
      </c>
      <c r="P1526" s="84" t="str">
        <f>IF($D1526="","",IF(ISNUMBER(MATCH($D1526,CMB_S,0)),1,IF(ISNUMBER(MATCH($D1526,CMB_G,0)),2,0)))</f>
        <v/>
      </c>
      <c r="Q1526" s="84">
        <f>IF(ISNUMBER($H1526),-$H1526,0)</f>
        <v>0</v>
      </c>
      <c r="R1526" s="84">
        <f>IF(ISNUMBER($I1526),ABS($I1526),0)</f>
        <v>0</v>
      </c>
      <c r="S1526" s="84">
        <f>IF(ISNUMBER($M1526),ABS($M1526),0)</f>
        <v>0</v>
      </c>
      <c r="T1526" s="85" t="n">
        <v>1518</v>
      </c>
    </row>
    <row r="1527">
      <c r="B1527" s="83" t="n"/>
      <c r="C1527" s="83" t="n"/>
      <c r="D1527" s="83" t="n"/>
      <c r="E1527" s="83" t="n"/>
      <c r="F1527" s="83" t="n"/>
      <c r="G1527" s="83" t="n"/>
      <c r="H1527" s="83" t="n"/>
      <c r="I1527" s="83" t="n"/>
      <c r="J1527" s="83" t="n"/>
      <c r="K1527" s="83" t="n"/>
      <c r="L1527" s="83" t="n"/>
      <c r="M1527" s="83" t="n"/>
      <c r="O1527" s="84" t="str">
        <f>IF($C1527="","",IFERROR(MATCH($B1527&amp;"|"&amp;$C1527,MUROS!$AX$11:$AX$70,0),0))</f>
        <v/>
      </c>
      <c r="P1527" s="84" t="str">
        <f>IF($D1527="","",IF(ISNUMBER(MATCH($D1527,CMB_S,0)),1,IF(ISNUMBER(MATCH($D1527,CMB_G,0)),2,0)))</f>
        <v/>
      </c>
      <c r="Q1527" s="84">
        <f>IF(ISNUMBER($H1527),-$H1527,0)</f>
        <v>0</v>
      </c>
      <c r="R1527" s="84">
        <f>IF(ISNUMBER($I1527),ABS($I1527),0)</f>
        <v>0</v>
      </c>
      <c r="S1527" s="84">
        <f>IF(ISNUMBER($M1527),ABS($M1527),0)</f>
        <v>0</v>
      </c>
      <c r="T1527" s="85" t="n">
        <v>1519</v>
      </c>
    </row>
    <row r="1528">
      <c r="B1528" s="83" t="n"/>
      <c r="C1528" s="83" t="n"/>
      <c r="D1528" s="83" t="n"/>
      <c r="E1528" s="83" t="n"/>
      <c r="F1528" s="83" t="n"/>
      <c r="G1528" s="83" t="n"/>
      <c r="H1528" s="83" t="n"/>
      <c r="I1528" s="83" t="n"/>
      <c r="J1528" s="83" t="n"/>
      <c r="K1528" s="83" t="n"/>
      <c r="L1528" s="83" t="n"/>
      <c r="M1528" s="83" t="n"/>
      <c r="O1528" s="84" t="str">
        <f>IF($C1528="","",IFERROR(MATCH($B1528&amp;"|"&amp;$C1528,MUROS!$AX$11:$AX$70,0),0))</f>
        <v/>
      </c>
      <c r="P1528" s="84" t="str">
        <f>IF($D1528="","",IF(ISNUMBER(MATCH($D1528,CMB_S,0)),1,IF(ISNUMBER(MATCH($D1528,CMB_G,0)),2,0)))</f>
        <v/>
      </c>
      <c r="Q1528" s="84">
        <f>IF(ISNUMBER($H1528),-$H1528,0)</f>
        <v>0</v>
      </c>
      <c r="R1528" s="84">
        <f>IF(ISNUMBER($I1528),ABS($I1528),0)</f>
        <v>0</v>
      </c>
      <c r="S1528" s="84">
        <f>IF(ISNUMBER($M1528),ABS($M1528),0)</f>
        <v>0</v>
      </c>
      <c r="T1528" s="85" t="n">
        <v>1520</v>
      </c>
    </row>
    <row r="1529">
      <c r="B1529" s="83" t="n"/>
      <c r="C1529" s="83" t="n"/>
      <c r="D1529" s="83" t="n"/>
      <c r="E1529" s="83" t="n"/>
      <c r="F1529" s="83" t="n"/>
      <c r="G1529" s="83" t="n"/>
      <c r="H1529" s="83" t="n"/>
      <c r="I1529" s="83" t="n"/>
      <c r="J1529" s="83" t="n"/>
      <c r="K1529" s="83" t="n"/>
      <c r="L1529" s="83" t="n"/>
      <c r="M1529" s="83" t="n"/>
      <c r="O1529" s="84" t="str">
        <f>IF($C1529="","",IFERROR(MATCH($B1529&amp;"|"&amp;$C1529,MUROS!$AX$11:$AX$70,0),0))</f>
        <v/>
      </c>
      <c r="P1529" s="84" t="str">
        <f>IF($D1529="","",IF(ISNUMBER(MATCH($D1529,CMB_S,0)),1,IF(ISNUMBER(MATCH($D1529,CMB_G,0)),2,0)))</f>
        <v/>
      </c>
      <c r="Q1529" s="84">
        <f>IF(ISNUMBER($H1529),-$H1529,0)</f>
        <v>0</v>
      </c>
      <c r="R1529" s="84">
        <f>IF(ISNUMBER($I1529),ABS($I1529),0)</f>
        <v>0</v>
      </c>
      <c r="S1529" s="84">
        <f>IF(ISNUMBER($M1529),ABS($M1529),0)</f>
        <v>0</v>
      </c>
      <c r="T1529" s="85" t="n">
        <v>1521</v>
      </c>
    </row>
    <row r="1530">
      <c r="B1530" s="83" t="n"/>
      <c r="C1530" s="83" t="n"/>
      <c r="D1530" s="83" t="n"/>
      <c r="E1530" s="83" t="n"/>
      <c r="F1530" s="83" t="n"/>
      <c r="G1530" s="83" t="n"/>
      <c r="H1530" s="83" t="n"/>
      <c r="I1530" s="83" t="n"/>
      <c r="J1530" s="83" t="n"/>
      <c r="K1530" s="83" t="n"/>
      <c r="L1530" s="83" t="n"/>
      <c r="M1530" s="83" t="n"/>
      <c r="O1530" s="84" t="str">
        <f>IF($C1530="","",IFERROR(MATCH($B1530&amp;"|"&amp;$C1530,MUROS!$AX$11:$AX$70,0),0))</f>
        <v/>
      </c>
      <c r="P1530" s="84" t="str">
        <f>IF($D1530="","",IF(ISNUMBER(MATCH($D1530,CMB_S,0)),1,IF(ISNUMBER(MATCH($D1530,CMB_G,0)),2,0)))</f>
        <v/>
      </c>
      <c r="Q1530" s="84">
        <f>IF(ISNUMBER($H1530),-$H1530,0)</f>
        <v>0</v>
      </c>
      <c r="R1530" s="84">
        <f>IF(ISNUMBER($I1530),ABS($I1530),0)</f>
        <v>0</v>
      </c>
      <c r="S1530" s="84">
        <f>IF(ISNUMBER($M1530),ABS($M1530),0)</f>
        <v>0</v>
      </c>
      <c r="T1530" s="85" t="n">
        <v>1522</v>
      </c>
    </row>
    <row r="1531">
      <c r="B1531" s="83" t="n"/>
      <c r="C1531" s="83" t="n"/>
      <c r="D1531" s="83" t="n"/>
      <c r="E1531" s="83" t="n"/>
      <c r="F1531" s="83" t="n"/>
      <c r="G1531" s="83" t="n"/>
      <c r="H1531" s="83" t="n"/>
      <c r="I1531" s="83" t="n"/>
      <c r="J1531" s="83" t="n"/>
      <c r="K1531" s="83" t="n"/>
      <c r="L1531" s="83" t="n"/>
      <c r="M1531" s="83" t="n"/>
      <c r="O1531" s="84" t="str">
        <f>IF($C1531="","",IFERROR(MATCH($B1531&amp;"|"&amp;$C1531,MUROS!$AX$11:$AX$70,0),0))</f>
        <v/>
      </c>
      <c r="P1531" s="84" t="str">
        <f>IF($D1531="","",IF(ISNUMBER(MATCH($D1531,CMB_S,0)),1,IF(ISNUMBER(MATCH($D1531,CMB_G,0)),2,0)))</f>
        <v/>
      </c>
      <c r="Q1531" s="84">
        <f>IF(ISNUMBER($H1531),-$H1531,0)</f>
        <v>0</v>
      </c>
      <c r="R1531" s="84">
        <f>IF(ISNUMBER($I1531),ABS($I1531),0)</f>
        <v>0</v>
      </c>
      <c r="S1531" s="84">
        <f>IF(ISNUMBER($M1531),ABS($M1531),0)</f>
        <v>0</v>
      </c>
      <c r="T1531" s="85" t="n">
        <v>1523</v>
      </c>
    </row>
    <row r="1532">
      <c r="B1532" s="83" t="n"/>
      <c r="C1532" s="83" t="n"/>
      <c r="D1532" s="83" t="n"/>
      <c r="E1532" s="83" t="n"/>
      <c r="F1532" s="83" t="n"/>
      <c r="G1532" s="83" t="n"/>
      <c r="H1532" s="83" t="n"/>
      <c r="I1532" s="83" t="n"/>
      <c r="J1532" s="83" t="n"/>
      <c r="K1532" s="83" t="n"/>
      <c r="L1532" s="83" t="n"/>
      <c r="M1532" s="83" t="n"/>
      <c r="O1532" s="84" t="str">
        <f>IF($C1532="","",IFERROR(MATCH($B1532&amp;"|"&amp;$C1532,MUROS!$AX$11:$AX$70,0),0))</f>
        <v/>
      </c>
      <c r="P1532" s="84" t="str">
        <f>IF($D1532="","",IF(ISNUMBER(MATCH($D1532,CMB_S,0)),1,IF(ISNUMBER(MATCH($D1532,CMB_G,0)),2,0)))</f>
        <v/>
      </c>
      <c r="Q1532" s="84">
        <f>IF(ISNUMBER($H1532),-$H1532,0)</f>
        <v>0</v>
      </c>
      <c r="R1532" s="84">
        <f>IF(ISNUMBER($I1532),ABS($I1532),0)</f>
        <v>0</v>
      </c>
      <c r="S1532" s="84">
        <f>IF(ISNUMBER($M1532),ABS($M1532),0)</f>
        <v>0</v>
      </c>
      <c r="T1532" s="85" t="n">
        <v>1524</v>
      </c>
    </row>
    <row r="1533">
      <c r="B1533" s="83" t="n"/>
      <c r="C1533" s="83" t="n"/>
      <c r="D1533" s="83" t="n"/>
      <c r="E1533" s="83" t="n"/>
      <c r="F1533" s="83" t="n"/>
      <c r="G1533" s="83" t="n"/>
      <c r="H1533" s="83" t="n"/>
      <c r="I1533" s="83" t="n"/>
      <c r="J1533" s="83" t="n"/>
      <c r="K1533" s="83" t="n"/>
      <c r="L1533" s="83" t="n"/>
      <c r="M1533" s="83" t="n"/>
      <c r="O1533" s="84" t="str">
        <f>IF($C1533="","",IFERROR(MATCH($B1533&amp;"|"&amp;$C1533,MUROS!$AX$11:$AX$70,0),0))</f>
        <v/>
      </c>
      <c r="P1533" s="84" t="str">
        <f>IF($D1533="","",IF(ISNUMBER(MATCH($D1533,CMB_S,0)),1,IF(ISNUMBER(MATCH($D1533,CMB_G,0)),2,0)))</f>
        <v/>
      </c>
      <c r="Q1533" s="84">
        <f>IF(ISNUMBER($H1533),-$H1533,0)</f>
        <v>0</v>
      </c>
      <c r="R1533" s="84">
        <f>IF(ISNUMBER($I1533),ABS($I1533),0)</f>
        <v>0</v>
      </c>
      <c r="S1533" s="84">
        <f>IF(ISNUMBER($M1533),ABS($M1533),0)</f>
        <v>0</v>
      </c>
      <c r="T1533" s="85" t="n">
        <v>1525</v>
      </c>
    </row>
    <row r="1534">
      <c r="B1534" s="83" t="n"/>
      <c r="C1534" s="83" t="n"/>
      <c r="D1534" s="83" t="n"/>
      <c r="E1534" s="83" t="n"/>
      <c r="F1534" s="83" t="n"/>
      <c r="G1534" s="83" t="n"/>
      <c r="H1534" s="83" t="n"/>
      <c r="I1534" s="83" t="n"/>
      <c r="J1534" s="83" t="n"/>
      <c r="K1534" s="83" t="n"/>
      <c r="L1534" s="83" t="n"/>
      <c r="M1534" s="83" t="n"/>
      <c r="O1534" s="84" t="str">
        <f>IF($C1534="","",IFERROR(MATCH($B1534&amp;"|"&amp;$C1534,MUROS!$AX$11:$AX$70,0),0))</f>
        <v/>
      </c>
      <c r="P1534" s="84" t="str">
        <f>IF($D1534="","",IF(ISNUMBER(MATCH($D1534,CMB_S,0)),1,IF(ISNUMBER(MATCH($D1534,CMB_G,0)),2,0)))</f>
        <v/>
      </c>
      <c r="Q1534" s="84">
        <f>IF(ISNUMBER($H1534),-$H1534,0)</f>
        <v>0</v>
      </c>
      <c r="R1534" s="84">
        <f>IF(ISNUMBER($I1534),ABS($I1534),0)</f>
        <v>0</v>
      </c>
      <c r="S1534" s="84">
        <f>IF(ISNUMBER($M1534),ABS($M1534),0)</f>
        <v>0</v>
      </c>
      <c r="T1534" s="85" t="n">
        <v>1526</v>
      </c>
    </row>
    <row r="1535">
      <c r="B1535" s="83" t="n"/>
      <c r="C1535" s="83" t="n"/>
      <c r="D1535" s="83" t="n"/>
      <c r="E1535" s="83" t="n"/>
      <c r="F1535" s="83" t="n"/>
      <c r="G1535" s="83" t="n"/>
      <c r="H1535" s="83" t="n"/>
      <c r="I1535" s="83" t="n"/>
      <c r="J1535" s="83" t="n"/>
      <c r="K1535" s="83" t="n"/>
      <c r="L1535" s="83" t="n"/>
      <c r="M1535" s="83" t="n"/>
      <c r="O1535" s="84" t="str">
        <f>IF($C1535="","",IFERROR(MATCH($B1535&amp;"|"&amp;$C1535,MUROS!$AX$11:$AX$70,0),0))</f>
        <v/>
      </c>
      <c r="P1535" s="84" t="str">
        <f>IF($D1535="","",IF(ISNUMBER(MATCH($D1535,CMB_S,0)),1,IF(ISNUMBER(MATCH($D1535,CMB_G,0)),2,0)))</f>
        <v/>
      </c>
      <c r="Q1535" s="84">
        <f>IF(ISNUMBER($H1535),-$H1535,0)</f>
        <v>0</v>
      </c>
      <c r="R1535" s="84">
        <f>IF(ISNUMBER($I1535),ABS($I1535),0)</f>
        <v>0</v>
      </c>
      <c r="S1535" s="84">
        <f>IF(ISNUMBER($M1535),ABS($M1535),0)</f>
        <v>0</v>
      </c>
      <c r="T1535" s="85" t="n">
        <v>1527</v>
      </c>
    </row>
    <row r="1536">
      <c r="B1536" s="83" t="n"/>
      <c r="C1536" s="83" t="n"/>
      <c r="D1536" s="83" t="n"/>
      <c r="E1536" s="83" t="n"/>
      <c r="F1536" s="83" t="n"/>
      <c r="G1536" s="83" t="n"/>
      <c r="H1536" s="83" t="n"/>
      <c r="I1536" s="83" t="n"/>
      <c r="J1536" s="83" t="n"/>
      <c r="K1536" s="83" t="n"/>
      <c r="L1536" s="83" t="n"/>
      <c r="M1536" s="83" t="n"/>
      <c r="O1536" s="84" t="str">
        <f>IF($C1536="","",IFERROR(MATCH($B1536&amp;"|"&amp;$C1536,MUROS!$AX$11:$AX$70,0),0))</f>
        <v/>
      </c>
      <c r="P1536" s="84" t="str">
        <f>IF($D1536="","",IF(ISNUMBER(MATCH($D1536,CMB_S,0)),1,IF(ISNUMBER(MATCH($D1536,CMB_G,0)),2,0)))</f>
        <v/>
      </c>
      <c r="Q1536" s="84">
        <f>IF(ISNUMBER($H1536),-$H1536,0)</f>
        <v>0</v>
      </c>
      <c r="R1536" s="84">
        <f>IF(ISNUMBER($I1536),ABS($I1536),0)</f>
        <v>0</v>
      </c>
      <c r="S1536" s="84">
        <f>IF(ISNUMBER($M1536),ABS($M1536),0)</f>
        <v>0</v>
      </c>
      <c r="T1536" s="85" t="n">
        <v>1528</v>
      </c>
    </row>
    <row r="1537">
      <c r="B1537" s="83" t="n"/>
      <c r="C1537" s="83" t="n"/>
      <c r="D1537" s="83" t="n"/>
      <c r="E1537" s="83" t="n"/>
      <c r="F1537" s="83" t="n"/>
      <c r="G1537" s="83" t="n"/>
      <c r="H1537" s="83" t="n"/>
      <c r="I1537" s="83" t="n"/>
      <c r="J1537" s="83" t="n"/>
      <c r="K1537" s="83" t="n"/>
      <c r="L1537" s="83" t="n"/>
      <c r="M1537" s="83" t="n"/>
      <c r="O1537" s="84" t="str">
        <f>IF($C1537="","",IFERROR(MATCH($B1537&amp;"|"&amp;$C1537,MUROS!$AX$11:$AX$70,0),0))</f>
        <v/>
      </c>
      <c r="P1537" s="84" t="str">
        <f>IF($D1537="","",IF(ISNUMBER(MATCH($D1537,CMB_S,0)),1,IF(ISNUMBER(MATCH($D1537,CMB_G,0)),2,0)))</f>
        <v/>
      </c>
      <c r="Q1537" s="84">
        <f>IF(ISNUMBER($H1537),-$H1537,0)</f>
        <v>0</v>
      </c>
      <c r="R1537" s="84">
        <f>IF(ISNUMBER($I1537),ABS($I1537),0)</f>
        <v>0</v>
      </c>
      <c r="S1537" s="84">
        <f>IF(ISNUMBER($M1537),ABS($M1537),0)</f>
        <v>0</v>
      </c>
      <c r="T1537" s="85" t="n">
        <v>1529</v>
      </c>
    </row>
    <row r="1538">
      <c r="B1538" s="83" t="n"/>
      <c r="C1538" s="83" t="n"/>
      <c r="D1538" s="83" t="n"/>
      <c r="E1538" s="83" t="n"/>
      <c r="F1538" s="83" t="n"/>
      <c r="G1538" s="83" t="n"/>
      <c r="H1538" s="83" t="n"/>
      <c r="I1538" s="83" t="n"/>
      <c r="J1538" s="83" t="n"/>
      <c r="K1538" s="83" t="n"/>
      <c r="L1538" s="83" t="n"/>
      <c r="M1538" s="83" t="n"/>
      <c r="O1538" s="84" t="str">
        <f>IF($C1538="","",IFERROR(MATCH($B1538&amp;"|"&amp;$C1538,MUROS!$AX$11:$AX$70,0),0))</f>
        <v/>
      </c>
      <c r="P1538" s="84" t="str">
        <f>IF($D1538="","",IF(ISNUMBER(MATCH($D1538,CMB_S,0)),1,IF(ISNUMBER(MATCH($D1538,CMB_G,0)),2,0)))</f>
        <v/>
      </c>
      <c r="Q1538" s="84">
        <f>IF(ISNUMBER($H1538),-$H1538,0)</f>
        <v>0</v>
      </c>
      <c r="R1538" s="84">
        <f>IF(ISNUMBER($I1538),ABS($I1538),0)</f>
        <v>0</v>
      </c>
      <c r="S1538" s="84">
        <f>IF(ISNUMBER($M1538),ABS($M1538),0)</f>
        <v>0</v>
      </c>
      <c r="T1538" s="85" t="n">
        <v>1530</v>
      </c>
    </row>
    <row r="1539">
      <c r="B1539" s="83" t="n"/>
      <c r="C1539" s="83" t="n"/>
      <c r="D1539" s="83" t="n"/>
      <c r="E1539" s="83" t="n"/>
      <c r="F1539" s="83" t="n"/>
      <c r="G1539" s="83" t="n"/>
      <c r="H1539" s="83" t="n"/>
      <c r="I1539" s="83" t="n"/>
      <c r="J1539" s="83" t="n"/>
      <c r="K1539" s="83" t="n"/>
      <c r="L1539" s="83" t="n"/>
      <c r="M1539" s="83" t="n"/>
      <c r="O1539" s="84" t="str">
        <f>IF($C1539="","",IFERROR(MATCH($B1539&amp;"|"&amp;$C1539,MUROS!$AX$11:$AX$70,0),0))</f>
        <v/>
      </c>
      <c r="P1539" s="84" t="str">
        <f>IF($D1539="","",IF(ISNUMBER(MATCH($D1539,CMB_S,0)),1,IF(ISNUMBER(MATCH($D1539,CMB_G,0)),2,0)))</f>
        <v/>
      </c>
      <c r="Q1539" s="84">
        <f>IF(ISNUMBER($H1539),-$H1539,0)</f>
        <v>0</v>
      </c>
      <c r="R1539" s="84">
        <f>IF(ISNUMBER($I1539),ABS($I1539),0)</f>
        <v>0</v>
      </c>
      <c r="S1539" s="84">
        <f>IF(ISNUMBER($M1539),ABS($M1539),0)</f>
        <v>0</v>
      </c>
      <c r="T1539" s="85" t="n">
        <v>1531</v>
      </c>
    </row>
    <row r="1540">
      <c r="B1540" s="83" t="n"/>
      <c r="C1540" s="83" t="n"/>
      <c r="D1540" s="83" t="n"/>
      <c r="E1540" s="83" t="n"/>
      <c r="F1540" s="83" t="n"/>
      <c r="G1540" s="83" t="n"/>
      <c r="H1540" s="83" t="n"/>
      <c r="I1540" s="83" t="n"/>
      <c r="J1540" s="83" t="n"/>
      <c r="K1540" s="83" t="n"/>
      <c r="L1540" s="83" t="n"/>
      <c r="M1540" s="83" t="n"/>
      <c r="O1540" s="84" t="str">
        <f>IF($C1540="","",IFERROR(MATCH($B1540&amp;"|"&amp;$C1540,MUROS!$AX$11:$AX$70,0),0))</f>
        <v/>
      </c>
      <c r="P1540" s="84" t="str">
        <f>IF($D1540="","",IF(ISNUMBER(MATCH($D1540,CMB_S,0)),1,IF(ISNUMBER(MATCH($D1540,CMB_G,0)),2,0)))</f>
        <v/>
      </c>
      <c r="Q1540" s="84">
        <f>IF(ISNUMBER($H1540),-$H1540,0)</f>
        <v>0</v>
      </c>
      <c r="R1540" s="84">
        <f>IF(ISNUMBER($I1540),ABS($I1540),0)</f>
        <v>0</v>
      </c>
      <c r="S1540" s="84">
        <f>IF(ISNUMBER($M1540),ABS($M1540),0)</f>
        <v>0</v>
      </c>
      <c r="T1540" s="85" t="n">
        <v>1532</v>
      </c>
    </row>
    <row r="1541">
      <c r="B1541" s="83" t="n"/>
      <c r="C1541" s="83" t="n"/>
      <c r="D1541" s="83" t="n"/>
      <c r="E1541" s="83" t="n"/>
      <c r="F1541" s="83" t="n"/>
      <c r="G1541" s="83" t="n"/>
      <c r="H1541" s="83" t="n"/>
      <c r="I1541" s="83" t="n"/>
      <c r="J1541" s="83" t="n"/>
      <c r="K1541" s="83" t="n"/>
      <c r="L1541" s="83" t="n"/>
      <c r="M1541" s="83" t="n"/>
      <c r="O1541" s="84" t="str">
        <f>IF($C1541="","",IFERROR(MATCH($B1541&amp;"|"&amp;$C1541,MUROS!$AX$11:$AX$70,0),0))</f>
        <v/>
      </c>
      <c r="P1541" s="84" t="str">
        <f>IF($D1541="","",IF(ISNUMBER(MATCH($D1541,CMB_S,0)),1,IF(ISNUMBER(MATCH($D1541,CMB_G,0)),2,0)))</f>
        <v/>
      </c>
      <c r="Q1541" s="84">
        <f>IF(ISNUMBER($H1541),-$H1541,0)</f>
        <v>0</v>
      </c>
      <c r="R1541" s="84">
        <f>IF(ISNUMBER($I1541),ABS($I1541),0)</f>
        <v>0</v>
      </c>
      <c r="S1541" s="84">
        <f>IF(ISNUMBER($M1541),ABS($M1541),0)</f>
        <v>0</v>
      </c>
      <c r="T1541" s="85" t="n">
        <v>1533</v>
      </c>
    </row>
    <row r="1542">
      <c r="B1542" s="83" t="n"/>
      <c r="C1542" s="83" t="n"/>
      <c r="D1542" s="83" t="n"/>
      <c r="E1542" s="83" t="n"/>
      <c r="F1542" s="83" t="n"/>
      <c r="G1542" s="83" t="n"/>
      <c r="H1542" s="83" t="n"/>
      <c r="I1542" s="83" t="n"/>
      <c r="J1542" s="83" t="n"/>
      <c r="K1542" s="83" t="n"/>
      <c r="L1542" s="83" t="n"/>
      <c r="M1542" s="83" t="n"/>
      <c r="O1542" s="84" t="str">
        <f>IF($C1542="","",IFERROR(MATCH($B1542&amp;"|"&amp;$C1542,MUROS!$AX$11:$AX$70,0),0))</f>
        <v/>
      </c>
      <c r="P1542" s="84" t="str">
        <f>IF($D1542="","",IF(ISNUMBER(MATCH($D1542,CMB_S,0)),1,IF(ISNUMBER(MATCH($D1542,CMB_G,0)),2,0)))</f>
        <v/>
      </c>
      <c r="Q1542" s="84">
        <f>IF(ISNUMBER($H1542),-$H1542,0)</f>
        <v>0</v>
      </c>
      <c r="R1542" s="84">
        <f>IF(ISNUMBER($I1542),ABS($I1542),0)</f>
        <v>0</v>
      </c>
      <c r="S1542" s="84">
        <f>IF(ISNUMBER($M1542),ABS($M1542),0)</f>
        <v>0</v>
      </c>
      <c r="T1542" s="85" t="n">
        <v>1534</v>
      </c>
    </row>
    <row r="1543">
      <c r="B1543" s="83" t="n"/>
      <c r="C1543" s="83" t="n"/>
      <c r="D1543" s="83" t="n"/>
      <c r="E1543" s="83" t="n"/>
      <c r="F1543" s="83" t="n"/>
      <c r="G1543" s="83" t="n"/>
      <c r="H1543" s="83" t="n"/>
      <c r="I1543" s="83" t="n"/>
      <c r="J1543" s="83" t="n"/>
      <c r="K1543" s="83" t="n"/>
      <c r="L1543" s="83" t="n"/>
      <c r="M1543" s="83" t="n"/>
      <c r="O1543" s="84" t="str">
        <f>IF($C1543="","",IFERROR(MATCH($B1543&amp;"|"&amp;$C1543,MUROS!$AX$11:$AX$70,0),0))</f>
        <v/>
      </c>
      <c r="P1543" s="84" t="str">
        <f>IF($D1543="","",IF(ISNUMBER(MATCH($D1543,CMB_S,0)),1,IF(ISNUMBER(MATCH($D1543,CMB_G,0)),2,0)))</f>
        <v/>
      </c>
      <c r="Q1543" s="84">
        <f>IF(ISNUMBER($H1543),-$H1543,0)</f>
        <v>0</v>
      </c>
      <c r="R1543" s="84">
        <f>IF(ISNUMBER($I1543),ABS($I1543),0)</f>
        <v>0</v>
      </c>
      <c r="S1543" s="84">
        <f>IF(ISNUMBER($M1543),ABS($M1543),0)</f>
        <v>0</v>
      </c>
      <c r="T1543" s="85" t="n">
        <v>1535</v>
      </c>
    </row>
    <row r="1544">
      <c r="B1544" s="83" t="n"/>
      <c r="C1544" s="83" t="n"/>
      <c r="D1544" s="83" t="n"/>
      <c r="E1544" s="83" t="n"/>
      <c r="F1544" s="83" t="n"/>
      <c r="G1544" s="83" t="n"/>
      <c r="H1544" s="83" t="n"/>
      <c r="I1544" s="83" t="n"/>
      <c r="J1544" s="83" t="n"/>
      <c r="K1544" s="83" t="n"/>
      <c r="L1544" s="83" t="n"/>
      <c r="M1544" s="83" t="n"/>
      <c r="O1544" s="84" t="str">
        <f>IF($C1544="","",IFERROR(MATCH($B1544&amp;"|"&amp;$C1544,MUROS!$AX$11:$AX$70,0),0))</f>
        <v/>
      </c>
      <c r="P1544" s="84" t="str">
        <f>IF($D1544="","",IF(ISNUMBER(MATCH($D1544,CMB_S,0)),1,IF(ISNUMBER(MATCH($D1544,CMB_G,0)),2,0)))</f>
        <v/>
      </c>
      <c r="Q1544" s="84">
        <f>IF(ISNUMBER($H1544),-$H1544,0)</f>
        <v>0</v>
      </c>
      <c r="R1544" s="84">
        <f>IF(ISNUMBER($I1544),ABS($I1544),0)</f>
        <v>0</v>
      </c>
      <c r="S1544" s="84">
        <f>IF(ISNUMBER($M1544),ABS($M1544),0)</f>
        <v>0</v>
      </c>
      <c r="T1544" s="85" t="n">
        <v>1536</v>
      </c>
    </row>
    <row r="1545">
      <c r="B1545" s="83" t="n"/>
      <c r="C1545" s="83" t="n"/>
      <c r="D1545" s="83" t="n"/>
      <c r="E1545" s="83" t="n"/>
      <c r="F1545" s="83" t="n"/>
      <c r="G1545" s="83" t="n"/>
      <c r="H1545" s="83" t="n"/>
      <c r="I1545" s="83" t="n"/>
      <c r="J1545" s="83" t="n"/>
      <c r="K1545" s="83" t="n"/>
      <c r="L1545" s="83" t="n"/>
      <c r="M1545" s="83" t="n"/>
      <c r="O1545" s="84" t="str">
        <f>IF($C1545="","",IFERROR(MATCH($B1545&amp;"|"&amp;$C1545,MUROS!$AX$11:$AX$70,0),0))</f>
        <v/>
      </c>
      <c r="P1545" s="84" t="str">
        <f>IF($D1545="","",IF(ISNUMBER(MATCH($D1545,CMB_S,0)),1,IF(ISNUMBER(MATCH($D1545,CMB_G,0)),2,0)))</f>
        <v/>
      </c>
      <c r="Q1545" s="84">
        <f>IF(ISNUMBER($H1545),-$H1545,0)</f>
        <v>0</v>
      </c>
      <c r="R1545" s="84">
        <f>IF(ISNUMBER($I1545),ABS($I1545),0)</f>
        <v>0</v>
      </c>
      <c r="S1545" s="84">
        <f>IF(ISNUMBER($M1545),ABS($M1545),0)</f>
        <v>0</v>
      </c>
      <c r="T1545" s="85" t="n">
        <v>1537</v>
      </c>
    </row>
    <row r="1546">
      <c r="B1546" s="83" t="n"/>
      <c r="C1546" s="83" t="n"/>
      <c r="D1546" s="83" t="n"/>
      <c r="E1546" s="83" t="n"/>
      <c r="F1546" s="83" t="n"/>
      <c r="G1546" s="83" t="n"/>
      <c r="H1546" s="83" t="n"/>
      <c r="I1546" s="83" t="n"/>
      <c r="J1546" s="83" t="n"/>
      <c r="K1546" s="83" t="n"/>
      <c r="L1546" s="83" t="n"/>
      <c r="M1546" s="83" t="n"/>
      <c r="O1546" s="84" t="str">
        <f>IF($C1546="","",IFERROR(MATCH($B1546&amp;"|"&amp;$C1546,MUROS!$AX$11:$AX$70,0),0))</f>
        <v/>
      </c>
      <c r="P1546" s="84" t="str">
        <f>IF($D1546="","",IF(ISNUMBER(MATCH($D1546,CMB_S,0)),1,IF(ISNUMBER(MATCH($D1546,CMB_G,0)),2,0)))</f>
        <v/>
      </c>
      <c r="Q1546" s="84">
        <f>IF(ISNUMBER($H1546),-$H1546,0)</f>
        <v>0</v>
      </c>
      <c r="R1546" s="84">
        <f>IF(ISNUMBER($I1546),ABS($I1546),0)</f>
        <v>0</v>
      </c>
      <c r="S1546" s="84">
        <f>IF(ISNUMBER($M1546),ABS($M1546),0)</f>
        <v>0</v>
      </c>
      <c r="T1546" s="85" t="n">
        <v>1538</v>
      </c>
    </row>
    <row r="1547">
      <c r="B1547" s="83" t="n"/>
      <c r="C1547" s="83" t="n"/>
      <c r="D1547" s="83" t="n"/>
      <c r="E1547" s="83" t="n"/>
      <c r="F1547" s="83" t="n"/>
      <c r="G1547" s="83" t="n"/>
      <c r="H1547" s="83" t="n"/>
      <c r="I1547" s="83" t="n"/>
      <c r="J1547" s="83" t="n"/>
      <c r="K1547" s="83" t="n"/>
      <c r="L1547" s="83" t="n"/>
      <c r="M1547" s="83" t="n"/>
      <c r="O1547" s="84" t="str">
        <f>IF($C1547="","",IFERROR(MATCH($B1547&amp;"|"&amp;$C1547,MUROS!$AX$11:$AX$70,0),0))</f>
        <v/>
      </c>
      <c r="P1547" s="84" t="str">
        <f>IF($D1547="","",IF(ISNUMBER(MATCH($D1547,CMB_S,0)),1,IF(ISNUMBER(MATCH($D1547,CMB_G,0)),2,0)))</f>
        <v/>
      </c>
      <c r="Q1547" s="84">
        <f>IF(ISNUMBER($H1547),-$H1547,0)</f>
        <v>0</v>
      </c>
      <c r="R1547" s="84">
        <f>IF(ISNUMBER($I1547),ABS($I1547),0)</f>
        <v>0</v>
      </c>
      <c r="S1547" s="84">
        <f>IF(ISNUMBER($M1547),ABS($M1547),0)</f>
        <v>0</v>
      </c>
      <c r="T1547" s="85" t="n">
        <v>1539</v>
      </c>
    </row>
    <row r="1548">
      <c r="B1548" s="83" t="n"/>
      <c r="C1548" s="83" t="n"/>
      <c r="D1548" s="83" t="n"/>
      <c r="E1548" s="83" t="n"/>
      <c r="F1548" s="83" t="n"/>
      <c r="G1548" s="83" t="n"/>
      <c r="H1548" s="83" t="n"/>
      <c r="I1548" s="83" t="n"/>
      <c r="J1548" s="83" t="n"/>
      <c r="K1548" s="83" t="n"/>
      <c r="L1548" s="83" t="n"/>
      <c r="M1548" s="83" t="n"/>
      <c r="O1548" s="84" t="str">
        <f>IF($C1548="","",IFERROR(MATCH($B1548&amp;"|"&amp;$C1548,MUROS!$AX$11:$AX$70,0),0))</f>
        <v/>
      </c>
      <c r="P1548" s="84" t="str">
        <f>IF($D1548="","",IF(ISNUMBER(MATCH($D1548,CMB_S,0)),1,IF(ISNUMBER(MATCH($D1548,CMB_G,0)),2,0)))</f>
        <v/>
      </c>
      <c r="Q1548" s="84">
        <f>IF(ISNUMBER($H1548),-$H1548,0)</f>
        <v>0</v>
      </c>
      <c r="R1548" s="84">
        <f>IF(ISNUMBER($I1548),ABS($I1548),0)</f>
        <v>0</v>
      </c>
      <c r="S1548" s="84">
        <f>IF(ISNUMBER($M1548),ABS($M1548),0)</f>
        <v>0</v>
      </c>
      <c r="T1548" s="85" t="n">
        <v>1540</v>
      </c>
    </row>
    <row r="1549">
      <c r="B1549" s="83" t="n"/>
      <c r="C1549" s="83" t="n"/>
      <c r="D1549" s="83" t="n"/>
      <c r="E1549" s="83" t="n"/>
      <c r="F1549" s="83" t="n"/>
      <c r="G1549" s="83" t="n"/>
      <c r="H1549" s="83" t="n"/>
      <c r="I1549" s="83" t="n"/>
      <c r="J1549" s="83" t="n"/>
      <c r="K1549" s="83" t="n"/>
      <c r="L1549" s="83" t="n"/>
      <c r="M1549" s="83" t="n"/>
      <c r="O1549" s="84" t="str">
        <f>IF($C1549="","",IFERROR(MATCH($B1549&amp;"|"&amp;$C1549,MUROS!$AX$11:$AX$70,0),0))</f>
        <v/>
      </c>
      <c r="P1549" s="84" t="str">
        <f>IF($D1549="","",IF(ISNUMBER(MATCH($D1549,CMB_S,0)),1,IF(ISNUMBER(MATCH($D1549,CMB_G,0)),2,0)))</f>
        <v/>
      </c>
      <c r="Q1549" s="84">
        <f>IF(ISNUMBER($H1549),-$H1549,0)</f>
        <v>0</v>
      </c>
      <c r="R1549" s="84">
        <f>IF(ISNUMBER($I1549),ABS($I1549),0)</f>
        <v>0</v>
      </c>
      <c r="S1549" s="84">
        <f>IF(ISNUMBER($M1549),ABS($M1549),0)</f>
        <v>0</v>
      </c>
      <c r="T1549" s="85" t="n">
        <v>1541</v>
      </c>
    </row>
    <row r="1550">
      <c r="B1550" s="83" t="n"/>
      <c r="C1550" s="83" t="n"/>
      <c r="D1550" s="83" t="n"/>
      <c r="E1550" s="83" t="n"/>
      <c r="F1550" s="83" t="n"/>
      <c r="G1550" s="83" t="n"/>
      <c r="H1550" s="83" t="n"/>
      <c r="I1550" s="83" t="n"/>
      <c r="J1550" s="83" t="n"/>
      <c r="K1550" s="83" t="n"/>
      <c r="L1550" s="83" t="n"/>
      <c r="M1550" s="83" t="n"/>
      <c r="O1550" s="84" t="str">
        <f>IF($C1550="","",IFERROR(MATCH($B1550&amp;"|"&amp;$C1550,MUROS!$AX$11:$AX$70,0),0))</f>
        <v/>
      </c>
      <c r="P1550" s="84" t="str">
        <f>IF($D1550="","",IF(ISNUMBER(MATCH($D1550,CMB_S,0)),1,IF(ISNUMBER(MATCH($D1550,CMB_G,0)),2,0)))</f>
        <v/>
      </c>
      <c r="Q1550" s="84">
        <f>IF(ISNUMBER($H1550),-$H1550,0)</f>
        <v>0</v>
      </c>
      <c r="R1550" s="84">
        <f>IF(ISNUMBER($I1550),ABS($I1550),0)</f>
        <v>0</v>
      </c>
      <c r="S1550" s="84">
        <f>IF(ISNUMBER($M1550),ABS($M1550),0)</f>
        <v>0</v>
      </c>
      <c r="T1550" s="85" t="n">
        <v>1542</v>
      </c>
    </row>
    <row r="1551">
      <c r="B1551" s="83" t="n"/>
      <c r="C1551" s="83" t="n"/>
      <c r="D1551" s="83" t="n"/>
      <c r="E1551" s="83" t="n"/>
      <c r="F1551" s="83" t="n"/>
      <c r="G1551" s="83" t="n"/>
      <c r="H1551" s="83" t="n"/>
      <c r="I1551" s="83" t="n"/>
      <c r="J1551" s="83" t="n"/>
      <c r="K1551" s="83" t="n"/>
      <c r="L1551" s="83" t="n"/>
      <c r="M1551" s="83" t="n"/>
      <c r="O1551" s="84" t="str">
        <f>IF($C1551="","",IFERROR(MATCH($B1551&amp;"|"&amp;$C1551,MUROS!$AX$11:$AX$70,0),0))</f>
        <v/>
      </c>
      <c r="P1551" s="84" t="str">
        <f>IF($D1551="","",IF(ISNUMBER(MATCH($D1551,CMB_S,0)),1,IF(ISNUMBER(MATCH($D1551,CMB_G,0)),2,0)))</f>
        <v/>
      </c>
      <c r="Q1551" s="84">
        <f>IF(ISNUMBER($H1551),-$H1551,0)</f>
        <v>0</v>
      </c>
      <c r="R1551" s="84">
        <f>IF(ISNUMBER($I1551),ABS($I1551),0)</f>
        <v>0</v>
      </c>
      <c r="S1551" s="84">
        <f>IF(ISNUMBER($M1551),ABS($M1551),0)</f>
        <v>0</v>
      </c>
      <c r="T1551" s="85" t="n">
        <v>1543</v>
      </c>
    </row>
    <row r="1552">
      <c r="B1552" s="83" t="n"/>
      <c r="C1552" s="83" t="n"/>
      <c r="D1552" s="83" t="n"/>
      <c r="E1552" s="83" t="n"/>
      <c r="F1552" s="83" t="n"/>
      <c r="G1552" s="83" t="n"/>
      <c r="H1552" s="83" t="n"/>
      <c r="I1552" s="83" t="n"/>
      <c r="J1552" s="83" t="n"/>
      <c r="K1552" s="83" t="n"/>
      <c r="L1552" s="83" t="n"/>
      <c r="M1552" s="83" t="n"/>
      <c r="O1552" s="84" t="str">
        <f>IF($C1552="","",IFERROR(MATCH($B1552&amp;"|"&amp;$C1552,MUROS!$AX$11:$AX$70,0),0))</f>
        <v/>
      </c>
      <c r="P1552" s="84" t="str">
        <f>IF($D1552="","",IF(ISNUMBER(MATCH($D1552,CMB_S,0)),1,IF(ISNUMBER(MATCH($D1552,CMB_G,0)),2,0)))</f>
        <v/>
      </c>
      <c r="Q1552" s="84">
        <f>IF(ISNUMBER($H1552),-$H1552,0)</f>
        <v>0</v>
      </c>
      <c r="R1552" s="84">
        <f>IF(ISNUMBER($I1552),ABS($I1552),0)</f>
        <v>0</v>
      </c>
      <c r="S1552" s="84">
        <f>IF(ISNUMBER($M1552),ABS($M1552),0)</f>
        <v>0</v>
      </c>
      <c r="T1552" s="85" t="n">
        <v>1544</v>
      </c>
    </row>
    <row r="1553">
      <c r="B1553" s="83" t="n"/>
      <c r="C1553" s="83" t="n"/>
      <c r="D1553" s="83" t="n"/>
      <c r="E1553" s="83" t="n"/>
      <c r="F1553" s="83" t="n"/>
      <c r="G1553" s="83" t="n"/>
      <c r="H1553" s="83" t="n"/>
      <c r="I1553" s="83" t="n"/>
      <c r="J1553" s="83" t="n"/>
      <c r="K1553" s="83" t="n"/>
      <c r="L1553" s="83" t="n"/>
      <c r="M1553" s="83" t="n"/>
      <c r="O1553" s="84" t="str">
        <f>IF($C1553="","",IFERROR(MATCH($B1553&amp;"|"&amp;$C1553,MUROS!$AX$11:$AX$70,0),0))</f>
        <v/>
      </c>
      <c r="P1553" s="84" t="str">
        <f>IF($D1553="","",IF(ISNUMBER(MATCH($D1553,CMB_S,0)),1,IF(ISNUMBER(MATCH($D1553,CMB_G,0)),2,0)))</f>
        <v/>
      </c>
      <c r="Q1553" s="84">
        <f>IF(ISNUMBER($H1553),-$H1553,0)</f>
        <v>0</v>
      </c>
      <c r="R1553" s="84">
        <f>IF(ISNUMBER($I1553),ABS($I1553),0)</f>
        <v>0</v>
      </c>
      <c r="S1553" s="84">
        <f>IF(ISNUMBER($M1553),ABS($M1553),0)</f>
        <v>0</v>
      </c>
      <c r="T1553" s="85" t="n">
        <v>1545</v>
      </c>
    </row>
    <row r="1554">
      <c r="B1554" s="83" t="n"/>
      <c r="C1554" s="83" t="n"/>
      <c r="D1554" s="83" t="n"/>
      <c r="E1554" s="83" t="n"/>
      <c r="F1554" s="83" t="n"/>
      <c r="G1554" s="83" t="n"/>
      <c r="H1554" s="83" t="n"/>
      <c r="I1554" s="83" t="n"/>
      <c r="J1554" s="83" t="n"/>
      <c r="K1554" s="83" t="n"/>
      <c r="L1554" s="83" t="n"/>
      <c r="M1554" s="83" t="n"/>
      <c r="O1554" s="84" t="str">
        <f>IF($C1554="","",IFERROR(MATCH($B1554&amp;"|"&amp;$C1554,MUROS!$AX$11:$AX$70,0),0))</f>
        <v/>
      </c>
      <c r="P1554" s="84" t="str">
        <f>IF($D1554="","",IF(ISNUMBER(MATCH($D1554,CMB_S,0)),1,IF(ISNUMBER(MATCH($D1554,CMB_G,0)),2,0)))</f>
        <v/>
      </c>
      <c r="Q1554" s="84">
        <f>IF(ISNUMBER($H1554),-$H1554,0)</f>
        <v>0</v>
      </c>
      <c r="R1554" s="84">
        <f>IF(ISNUMBER($I1554),ABS($I1554),0)</f>
        <v>0</v>
      </c>
      <c r="S1554" s="84">
        <f>IF(ISNUMBER($M1554),ABS($M1554),0)</f>
        <v>0</v>
      </c>
      <c r="T1554" s="85" t="n">
        <v>1546</v>
      </c>
    </row>
    <row r="1555">
      <c r="B1555" s="83" t="n"/>
      <c r="C1555" s="83" t="n"/>
      <c r="D1555" s="83" t="n"/>
      <c r="E1555" s="83" t="n"/>
      <c r="F1555" s="83" t="n"/>
      <c r="G1555" s="83" t="n"/>
      <c r="H1555" s="83" t="n"/>
      <c r="I1555" s="83" t="n"/>
      <c r="J1555" s="83" t="n"/>
      <c r="K1555" s="83" t="n"/>
      <c r="L1555" s="83" t="n"/>
      <c r="M1555" s="83" t="n"/>
      <c r="O1555" s="84" t="str">
        <f>IF($C1555="","",IFERROR(MATCH($B1555&amp;"|"&amp;$C1555,MUROS!$AX$11:$AX$70,0),0))</f>
        <v/>
      </c>
      <c r="P1555" s="84" t="str">
        <f>IF($D1555="","",IF(ISNUMBER(MATCH($D1555,CMB_S,0)),1,IF(ISNUMBER(MATCH($D1555,CMB_G,0)),2,0)))</f>
        <v/>
      </c>
      <c r="Q1555" s="84">
        <f>IF(ISNUMBER($H1555),-$H1555,0)</f>
        <v>0</v>
      </c>
      <c r="R1555" s="84">
        <f>IF(ISNUMBER($I1555),ABS($I1555),0)</f>
        <v>0</v>
      </c>
      <c r="S1555" s="84">
        <f>IF(ISNUMBER($M1555),ABS($M1555),0)</f>
        <v>0</v>
      </c>
      <c r="T1555" s="85" t="n">
        <v>1547</v>
      </c>
    </row>
    <row r="1556">
      <c r="B1556" s="83" t="n"/>
      <c r="C1556" s="83" t="n"/>
      <c r="D1556" s="83" t="n"/>
      <c r="E1556" s="83" t="n"/>
      <c r="F1556" s="83" t="n"/>
      <c r="G1556" s="83" t="n"/>
      <c r="H1556" s="83" t="n"/>
      <c r="I1556" s="83" t="n"/>
      <c r="J1556" s="83" t="n"/>
      <c r="K1556" s="83" t="n"/>
      <c r="L1556" s="83" t="n"/>
      <c r="M1556" s="83" t="n"/>
      <c r="O1556" s="84" t="str">
        <f>IF($C1556="","",IFERROR(MATCH($B1556&amp;"|"&amp;$C1556,MUROS!$AX$11:$AX$70,0),0))</f>
        <v/>
      </c>
      <c r="P1556" s="84" t="str">
        <f>IF($D1556="","",IF(ISNUMBER(MATCH($D1556,CMB_S,0)),1,IF(ISNUMBER(MATCH($D1556,CMB_G,0)),2,0)))</f>
        <v/>
      </c>
      <c r="Q1556" s="84">
        <f>IF(ISNUMBER($H1556),-$H1556,0)</f>
        <v>0</v>
      </c>
      <c r="R1556" s="84">
        <f>IF(ISNUMBER($I1556),ABS($I1556),0)</f>
        <v>0</v>
      </c>
      <c r="S1556" s="84">
        <f>IF(ISNUMBER($M1556),ABS($M1556),0)</f>
        <v>0</v>
      </c>
      <c r="T1556" s="85" t="n">
        <v>1548</v>
      </c>
    </row>
    <row r="1557">
      <c r="B1557" s="83" t="n"/>
      <c r="C1557" s="83" t="n"/>
      <c r="D1557" s="83" t="n"/>
      <c r="E1557" s="83" t="n"/>
      <c r="F1557" s="83" t="n"/>
      <c r="G1557" s="83" t="n"/>
      <c r="H1557" s="83" t="n"/>
      <c r="I1557" s="83" t="n"/>
      <c r="J1557" s="83" t="n"/>
      <c r="K1557" s="83" t="n"/>
      <c r="L1557" s="83" t="n"/>
      <c r="M1557" s="83" t="n"/>
      <c r="O1557" s="84" t="str">
        <f>IF($C1557="","",IFERROR(MATCH($B1557&amp;"|"&amp;$C1557,MUROS!$AX$11:$AX$70,0),0))</f>
        <v/>
      </c>
      <c r="P1557" s="84" t="str">
        <f>IF($D1557="","",IF(ISNUMBER(MATCH($D1557,CMB_S,0)),1,IF(ISNUMBER(MATCH($D1557,CMB_G,0)),2,0)))</f>
        <v/>
      </c>
      <c r="Q1557" s="84">
        <f>IF(ISNUMBER($H1557),-$H1557,0)</f>
        <v>0</v>
      </c>
      <c r="R1557" s="84">
        <f>IF(ISNUMBER($I1557),ABS($I1557),0)</f>
        <v>0</v>
      </c>
      <c r="S1557" s="84">
        <f>IF(ISNUMBER($M1557),ABS($M1557),0)</f>
        <v>0</v>
      </c>
      <c r="T1557" s="85" t="n">
        <v>1549</v>
      </c>
    </row>
    <row r="1558">
      <c r="B1558" s="83" t="n"/>
      <c r="C1558" s="83" t="n"/>
      <c r="D1558" s="83" t="n"/>
      <c r="E1558" s="83" t="n"/>
      <c r="F1558" s="83" t="n"/>
      <c r="G1558" s="83" t="n"/>
      <c r="H1558" s="83" t="n"/>
      <c r="I1558" s="83" t="n"/>
      <c r="J1558" s="83" t="n"/>
      <c r="K1558" s="83" t="n"/>
      <c r="L1558" s="83" t="n"/>
      <c r="M1558" s="83" t="n"/>
      <c r="O1558" s="84" t="str">
        <f>IF($C1558="","",IFERROR(MATCH($B1558&amp;"|"&amp;$C1558,MUROS!$AX$11:$AX$70,0),0))</f>
        <v/>
      </c>
      <c r="P1558" s="84" t="str">
        <f>IF($D1558="","",IF(ISNUMBER(MATCH($D1558,CMB_S,0)),1,IF(ISNUMBER(MATCH($D1558,CMB_G,0)),2,0)))</f>
        <v/>
      </c>
      <c r="Q1558" s="84">
        <f>IF(ISNUMBER($H1558),-$H1558,0)</f>
        <v>0</v>
      </c>
      <c r="R1558" s="84">
        <f>IF(ISNUMBER($I1558),ABS($I1558),0)</f>
        <v>0</v>
      </c>
      <c r="S1558" s="84">
        <f>IF(ISNUMBER($M1558),ABS($M1558),0)</f>
        <v>0</v>
      </c>
      <c r="T1558" s="85" t="n">
        <v>1550</v>
      </c>
    </row>
    <row r="1559">
      <c r="B1559" s="83" t="n"/>
      <c r="C1559" s="83" t="n"/>
      <c r="D1559" s="83" t="n"/>
      <c r="E1559" s="83" t="n"/>
      <c r="F1559" s="83" t="n"/>
      <c r="G1559" s="83" t="n"/>
      <c r="H1559" s="83" t="n"/>
      <c r="I1559" s="83" t="n"/>
      <c r="J1559" s="83" t="n"/>
      <c r="K1559" s="83" t="n"/>
      <c r="L1559" s="83" t="n"/>
      <c r="M1559" s="83" t="n"/>
      <c r="O1559" s="84" t="str">
        <f>IF($C1559="","",IFERROR(MATCH($B1559&amp;"|"&amp;$C1559,MUROS!$AX$11:$AX$70,0),0))</f>
        <v/>
      </c>
      <c r="P1559" s="84" t="str">
        <f>IF($D1559="","",IF(ISNUMBER(MATCH($D1559,CMB_S,0)),1,IF(ISNUMBER(MATCH($D1559,CMB_G,0)),2,0)))</f>
        <v/>
      </c>
      <c r="Q1559" s="84">
        <f>IF(ISNUMBER($H1559),-$H1559,0)</f>
        <v>0</v>
      </c>
      <c r="R1559" s="84">
        <f>IF(ISNUMBER($I1559),ABS($I1559),0)</f>
        <v>0</v>
      </c>
      <c r="S1559" s="84">
        <f>IF(ISNUMBER($M1559),ABS($M1559),0)</f>
        <v>0</v>
      </c>
      <c r="T1559" s="85" t="n">
        <v>1551</v>
      </c>
    </row>
    <row r="1560">
      <c r="B1560" s="83" t="n"/>
      <c r="C1560" s="83" t="n"/>
      <c r="D1560" s="83" t="n"/>
      <c r="E1560" s="83" t="n"/>
      <c r="F1560" s="83" t="n"/>
      <c r="G1560" s="83" t="n"/>
      <c r="H1560" s="83" t="n"/>
      <c r="I1560" s="83" t="n"/>
      <c r="J1560" s="83" t="n"/>
      <c r="K1560" s="83" t="n"/>
      <c r="L1560" s="83" t="n"/>
      <c r="M1560" s="83" t="n"/>
      <c r="O1560" s="84" t="str">
        <f>IF($C1560="","",IFERROR(MATCH($B1560&amp;"|"&amp;$C1560,MUROS!$AX$11:$AX$70,0),0))</f>
        <v/>
      </c>
      <c r="P1560" s="84" t="str">
        <f>IF($D1560="","",IF(ISNUMBER(MATCH($D1560,CMB_S,0)),1,IF(ISNUMBER(MATCH($D1560,CMB_G,0)),2,0)))</f>
        <v/>
      </c>
      <c r="Q1560" s="84">
        <f>IF(ISNUMBER($H1560),-$H1560,0)</f>
        <v>0</v>
      </c>
      <c r="R1560" s="84">
        <f>IF(ISNUMBER($I1560),ABS($I1560),0)</f>
        <v>0</v>
      </c>
      <c r="S1560" s="84">
        <f>IF(ISNUMBER($M1560),ABS($M1560),0)</f>
        <v>0</v>
      </c>
      <c r="T1560" s="85" t="n">
        <v>1552</v>
      </c>
    </row>
    <row r="1561">
      <c r="B1561" s="83" t="n"/>
      <c r="C1561" s="83" t="n"/>
      <c r="D1561" s="83" t="n"/>
      <c r="E1561" s="83" t="n"/>
      <c r="F1561" s="83" t="n"/>
      <c r="G1561" s="83" t="n"/>
      <c r="H1561" s="83" t="n"/>
      <c r="I1561" s="83" t="n"/>
      <c r="J1561" s="83" t="n"/>
      <c r="K1561" s="83" t="n"/>
      <c r="L1561" s="83" t="n"/>
      <c r="M1561" s="83" t="n"/>
      <c r="O1561" s="84" t="str">
        <f>IF($C1561="","",IFERROR(MATCH($B1561&amp;"|"&amp;$C1561,MUROS!$AX$11:$AX$70,0),0))</f>
        <v/>
      </c>
      <c r="P1561" s="84" t="str">
        <f>IF($D1561="","",IF(ISNUMBER(MATCH($D1561,CMB_S,0)),1,IF(ISNUMBER(MATCH($D1561,CMB_G,0)),2,0)))</f>
        <v/>
      </c>
      <c r="Q1561" s="84">
        <f>IF(ISNUMBER($H1561),-$H1561,0)</f>
        <v>0</v>
      </c>
      <c r="R1561" s="84">
        <f>IF(ISNUMBER($I1561),ABS($I1561),0)</f>
        <v>0</v>
      </c>
      <c r="S1561" s="84">
        <f>IF(ISNUMBER($M1561),ABS($M1561),0)</f>
        <v>0</v>
      </c>
      <c r="T1561" s="85" t="n">
        <v>1553</v>
      </c>
    </row>
    <row r="1562">
      <c r="B1562" s="83" t="n"/>
      <c r="C1562" s="83" t="n"/>
      <c r="D1562" s="83" t="n"/>
      <c r="E1562" s="83" t="n"/>
      <c r="F1562" s="83" t="n"/>
      <c r="G1562" s="83" t="n"/>
      <c r="H1562" s="83" t="n"/>
      <c r="I1562" s="83" t="n"/>
      <c r="J1562" s="83" t="n"/>
      <c r="K1562" s="83" t="n"/>
      <c r="L1562" s="83" t="n"/>
      <c r="M1562" s="83" t="n"/>
      <c r="O1562" s="84" t="str">
        <f>IF($C1562="","",IFERROR(MATCH($B1562&amp;"|"&amp;$C1562,MUROS!$AX$11:$AX$70,0),0))</f>
        <v/>
      </c>
      <c r="P1562" s="84" t="str">
        <f>IF($D1562="","",IF(ISNUMBER(MATCH($D1562,CMB_S,0)),1,IF(ISNUMBER(MATCH($D1562,CMB_G,0)),2,0)))</f>
        <v/>
      </c>
      <c r="Q1562" s="84">
        <f>IF(ISNUMBER($H1562),-$H1562,0)</f>
        <v>0</v>
      </c>
      <c r="R1562" s="84">
        <f>IF(ISNUMBER($I1562),ABS($I1562),0)</f>
        <v>0</v>
      </c>
      <c r="S1562" s="84">
        <f>IF(ISNUMBER($M1562),ABS($M1562),0)</f>
        <v>0</v>
      </c>
      <c r="T1562" s="85" t="n">
        <v>1554</v>
      </c>
    </row>
    <row r="1563">
      <c r="B1563" s="83" t="n"/>
      <c r="C1563" s="83" t="n"/>
      <c r="D1563" s="83" t="n"/>
      <c r="E1563" s="83" t="n"/>
      <c r="F1563" s="83" t="n"/>
      <c r="G1563" s="83" t="n"/>
      <c r="H1563" s="83" t="n"/>
      <c r="I1563" s="83" t="n"/>
      <c r="J1563" s="83" t="n"/>
      <c r="K1563" s="83" t="n"/>
      <c r="L1563" s="83" t="n"/>
      <c r="M1563" s="83" t="n"/>
      <c r="O1563" s="84" t="str">
        <f>IF($C1563="","",IFERROR(MATCH($B1563&amp;"|"&amp;$C1563,MUROS!$AX$11:$AX$70,0),0))</f>
        <v/>
      </c>
      <c r="P1563" s="84" t="str">
        <f>IF($D1563="","",IF(ISNUMBER(MATCH($D1563,CMB_S,0)),1,IF(ISNUMBER(MATCH($D1563,CMB_G,0)),2,0)))</f>
        <v/>
      </c>
      <c r="Q1563" s="84">
        <f>IF(ISNUMBER($H1563),-$H1563,0)</f>
        <v>0</v>
      </c>
      <c r="R1563" s="84">
        <f>IF(ISNUMBER($I1563),ABS($I1563),0)</f>
        <v>0</v>
      </c>
      <c r="S1563" s="84">
        <f>IF(ISNUMBER($M1563),ABS($M1563),0)</f>
        <v>0</v>
      </c>
      <c r="T1563" s="85" t="n">
        <v>1555</v>
      </c>
    </row>
    <row r="1564">
      <c r="B1564" s="83" t="n"/>
      <c r="C1564" s="83" t="n"/>
      <c r="D1564" s="83" t="n"/>
      <c r="E1564" s="83" t="n"/>
      <c r="F1564" s="83" t="n"/>
      <c r="G1564" s="83" t="n"/>
      <c r="H1564" s="83" t="n"/>
      <c r="I1564" s="83" t="n"/>
      <c r="J1564" s="83" t="n"/>
      <c r="K1564" s="83" t="n"/>
      <c r="L1564" s="83" t="n"/>
      <c r="M1564" s="83" t="n"/>
      <c r="O1564" s="84" t="str">
        <f>IF($C1564="","",IFERROR(MATCH($B1564&amp;"|"&amp;$C1564,MUROS!$AX$11:$AX$70,0),0))</f>
        <v/>
      </c>
      <c r="P1564" s="84" t="str">
        <f>IF($D1564="","",IF(ISNUMBER(MATCH($D1564,CMB_S,0)),1,IF(ISNUMBER(MATCH($D1564,CMB_G,0)),2,0)))</f>
        <v/>
      </c>
      <c r="Q1564" s="84">
        <f>IF(ISNUMBER($H1564),-$H1564,0)</f>
        <v>0</v>
      </c>
      <c r="R1564" s="84">
        <f>IF(ISNUMBER($I1564),ABS($I1564),0)</f>
        <v>0</v>
      </c>
      <c r="S1564" s="84">
        <f>IF(ISNUMBER($M1564),ABS($M1564),0)</f>
        <v>0</v>
      </c>
      <c r="T1564" s="85" t="n">
        <v>1556</v>
      </c>
    </row>
    <row r="1565">
      <c r="B1565" s="83" t="n"/>
      <c r="C1565" s="83" t="n"/>
      <c r="D1565" s="83" t="n"/>
      <c r="E1565" s="83" t="n"/>
      <c r="F1565" s="83" t="n"/>
      <c r="G1565" s="83" t="n"/>
      <c r="H1565" s="83" t="n"/>
      <c r="I1565" s="83" t="n"/>
      <c r="J1565" s="83" t="n"/>
      <c r="K1565" s="83" t="n"/>
      <c r="L1565" s="83" t="n"/>
      <c r="M1565" s="83" t="n"/>
      <c r="O1565" s="84" t="str">
        <f>IF($C1565="","",IFERROR(MATCH($B1565&amp;"|"&amp;$C1565,MUROS!$AX$11:$AX$70,0),0))</f>
        <v/>
      </c>
      <c r="P1565" s="84" t="str">
        <f>IF($D1565="","",IF(ISNUMBER(MATCH($D1565,CMB_S,0)),1,IF(ISNUMBER(MATCH($D1565,CMB_G,0)),2,0)))</f>
        <v/>
      </c>
      <c r="Q1565" s="84">
        <f>IF(ISNUMBER($H1565),-$H1565,0)</f>
        <v>0</v>
      </c>
      <c r="R1565" s="84">
        <f>IF(ISNUMBER($I1565),ABS($I1565),0)</f>
        <v>0</v>
      </c>
      <c r="S1565" s="84">
        <f>IF(ISNUMBER($M1565),ABS($M1565),0)</f>
        <v>0</v>
      </c>
      <c r="T1565" s="85" t="n">
        <v>1557</v>
      </c>
    </row>
    <row r="1566">
      <c r="B1566" s="83" t="n"/>
      <c r="C1566" s="83" t="n"/>
      <c r="D1566" s="83" t="n"/>
      <c r="E1566" s="83" t="n"/>
      <c r="F1566" s="83" t="n"/>
      <c r="G1566" s="83" t="n"/>
      <c r="H1566" s="83" t="n"/>
      <c r="I1566" s="83" t="n"/>
      <c r="J1566" s="83" t="n"/>
      <c r="K1566" s="83" t="n"/>
      <c r="L1566" s="83" t="n"/>
      <c r="M1566" s="83" t="n"/>
      <c r="O1566" s="84" t="str">
        <f>IF($C1566="","",IFERROR(MATCH($B1566&amp;"|"&amp;$C1566,MUROS!$AX$11:$AX$70,0),0))</f>
        <v/>
      </c>
      <c r="P1566" s="84" t="str">
        <f>IF($D1566="","",IF(ISNUMBER(MATCH($D1566,CMB_S,0)),1,IF(ISNUMBER(MATCH($D1566,CMB_G,0)),2,0)))</f>
        <v/>
      </c>
      <c r="Q1566" s="84">
        <f>IF(ISNUMBER($H1566),-$H1566,0)</f>
        <v>0</v>
      </c>
      <c r="R1566" s="84">
        <f>IF(ISNUMBER($I1566),ABS($I1566),0)</f>
        <v>0</v>
      </c>
      <c r="S1566" s="84">
        <f>IF(ISNUMBER($M1566),ABS($M1566),0)</f>
        <v>0</v>
      </c>
      <c r="T1566" s="85" t="n">
        <v>1558</v>
      </c>
    </row>
    <row r="1567">
      <c r="B1567" s="83" t="n"/>
      <c r="C1567" s="83" t="n"/>
      <c r="D1567" s="83" t="n"/>
      <c r="E1567" s="83" t="n"/>
      <c r="F1567" s="83" t="n"/>
      <c r="G1567" s="83" t="n"/>
      <c r="H1567" s="83" t="n"/>
      <c r="I1567" s="83" t="n"/>
      <c r="J1567" s="83" t="n"/>
      <c r="K1567" s="83" t="n"/>
      <c r="L1567" s="83" t="n"/>
      <c r="M1567" s="83" t="n"/>
      <c r="O1567" s="84" t="str">
        <f>IF($C1567="","",IFERROR(MATCH($B1567&amp;"|"&amp;$C1567,MUROS!$AX$11:$AX$70,0),0))</f>
        <v/>
      </c>
      <c r="P1567" s="84" t="str">
        <f>IF($D1567="","",IF(ISNUMBER(MATCH($D1567,CMB_S,0)),1,IF(ISNUMBER(MATCH($D1567,CMB_G,0)),2,0)))</f>
        <v/>
      </c>
      <c r="Q1567" s="84">
        <f>IF(ISNUMBER($H1567),-$H1567,0)</f>
        <v>0</v>
      </c>
      <c r="R1567" s="84">
        <f>IF(ISNUMBER($I1567),ABS($I1567),0)</f>
        <v>0</v>
      </c>
      <c r="S1567" s="84">
        <f>IF(ISNUMBER($M1567),ABS($M1567),0)</f>
        <v>0</v>
      </c>
      <c r="T1567" s="85" t="n">
        <v>1559</v>
      </c>
    </row>
    <row r="1568">
      <c r="B1568" s="83" t="n"/>
      <c r="C1568" s="83" t="n"/>
      <c r="D1568" s="83" t="n"/>
      <c r="E1568" s="83" t="n"/>
      <c r="F1568" s="83" t="n"/>
      <c r="G1568" s="83" t="n"/>
      <c r="H1568" s="83" t="n"/>
      <c r="I1568" s="83" t="n"/>
      <c r="J1568" s="83" t="n"/>
      <c r="K1568" s="83" t="n"/>
      <c r="L1568" s="83" t="n"/>
      <c r="M1568" s="83" t="n"/>
      <c r="O1568" s="84" t="str">
        <f>IF($C1568="","",IFERROR(MATCH($B1568&amp;"|"&amp;$C1568,MUROS!$AX$11:$AX$70,0),0))</f>
        <v/>
      </c>
      <c r="P1568" s="84" t="str">
        <f>IF($D1568="","",IF(ISNUMBER(MATCH($D1568,CMB_S,0)),1,IF(ISNUMBER(MATCH($D1568,CMB_G,0)),2,0)))</f>
        <v/>
      </c>
      <c r="Q1568" s="84">
        <f>IF(ISNUMBER($H1568),-$H1568,0)</f>
        <v>0</v>
      </c>
      <c r="R1568" s="84">
        <f>IF(ISNUMBER($I1568),ABS($I1568),0)</f>
        <v>0</v>
      </c>
      <c r="S1568" s="84">
        <f>IF(ISNUMBER($M1568),ABS($M1568),0)</f>
        <v>0</v>
      </c>
      <c r="T1568" s="85" t="n">
        <v>1560</v>
      </c>
    </row>
    <row r="1569">
      <c r="B1569" s="83" t="n"/>
      <c r="C1569" s="83" t="n"/>
      <c r="D1569" s="83" t="n"/>
      <c r="E1569" s="83" t="n"/>
      <c r="F1569" s="83" t="n"/>
      <c r="G1569" s="83" t="n"/>
      <c r="H1569" s="83" t="n"/>
      <c r="I1569" s="83" t="n"/>
      <c r="J1569" s="83" t="n"/>
      <c r="K1569" s="83" t="n"/>
      <c r="L1569" s="83" t="n"/>
      <c r="M1569" s="83" t="n"/>
      <c r="O1569" s="84" t="str">
        <f>IF($C1569="","",IFERROR(MATCH($B1569&amp;"|"&amp;$C1569,MUROS!$AX$11:$AX$70,0),0))</f>
        <v/>
      </c>
      <c r="P1569" s="84" t="str">
        <f>IF($D1569="","",IF(ISNUMBER(MATCH($D1569,CMB_S,0)),1,IF(ISNUMBER(MATCH($D1569,CMB_G,0)),2,0)))</f>
        <v/>
      </c>
      <c r="Q1569" s="84">
        <f>IF(ISNUMBER($H1569),-$H1569,0)</f>
        <v>0</v>
      </c>
      <c r="R1569" s="84">
        <f>IF(ISNUMBER($I1569),ABS($I1569),0)</f>
        <v>0</v>
      </c>
      <c r="S1569" s="84">
        <f>IF(ISNUMBER($M1569),ABS($M1569),0)</f>
        <v>0</v>
      </c>
      <c r="T1569" s="85" t="n">
        <v>1561</v>
      </c>
    </row>
    <row r="1570">
      <c r="B1570" s="83" t="n"/>
      <c r="C1570" s="83" t="n"/>
      <c r="D1570" s="83" t="n"/>
      <c r="E1570" s="83" t="n"/>
      <c r="F1570" s="83" t="n"/>
      <c r="G1570" s="83" t="n"/>
      <c r="H1570" s="83" t="n"/>
      <c r="I1570" s="83" t="n"/>
      <c r="J1570" s="83" t="n"/>
      <c r="K1570" s="83" t="n"/>
      <c r="L1570" s="83" t="n"/>
      <c r="M1570" s="83" t="n"/>
      <c r="O1570" s="84" t="str">
        <f>IF($C1570="","",IFERROR(MATCH($B1570&amp;"|"&amp;$C1570,MUROS!$AX$11:$AX$70,0),0))</f>
        <v/>
      </c>
      <c r="P1570" s="84" t="str">
        <f>IF($D1570="","",IF(ISNUMBER(MATCH($D1570,CMB_S,0)),1,IF(ISNUMBER(MATCH($D1570,CMB_G,0)),2,0)))</f>
        <v/>
      </c>
      <c r="Q1570" s="84">
        <f>IF(ISNUMBER($H1570),-$H1570,0)</f>
        <v>0</v>
      </c>
      <c r="R1570" s="84">
        <f>IF(ISNUMBER($I1570),ABS($I1570),0)</f>
        <v>0</v>
      </c>
      <c r="S1570" s="84">
        <f>IF(ISNUMBER($M1570),ABS($M1570),0)</f>
        <v>0</v>
      </c>
      <c r="T1570" s="85" t="n">
        <v>1562</v>
      </c>
    </row>
    <row r="1571">
      <c r="B1571" s="83" t="n"/>
      <c r="C1571" s="83" t="n"/>
      <c r="D1571" s="83" t="n"/>
      <c r="E1571" s="83" t="n"/>
      <c r="F1571" s="83" t="n"/>
      <c r="G1571" s="83" t="n"/>
      <c r="H1571" s="83" t="n"/>
      <c r="I1571" s="83" t="n"/>
      <c r="J1571" s="83" t="n"/>
      <c r="K1571" s="83" t="n"/>
      <c r="L1571" s="83" t="n"/>
      <c r="M1571" s="83" t="n"/>
      <c r="O1571" s="84" t="str">
        <f>IF($C1571="","",IFERROR(MATCH($B1571&amp;"|"&amp;$C1571,MUROS!$AX$11:$AX$70,0),0))</f>
        <v/>
      </c>
      <c r="P1571" s="84" t="str">
        <f>IF($D1571="","",IF(ISNUMBER(MATCH($D1571,CMB_S,0)),1,IF(ISNUMBER(MATCH($D1571,CMB_G,0)),2,0)))</f>
        <v/>
      </c>
      <c r="Q1571" s="84">
        <f>IF(ISNUMBER($H1571),-$H1571,0)</f>
        <v>0</v>
      </c>
      <c r="R1571" s="84">
        <f>IF(ISNUMBER($I1571),ABS($I1571),0)</f>
        <v>0</v>
      </c>
      <c r="S1571" s="84">
        <f>IF(ISNUMBER($M1571),ABS($M1571),0)</f>
        <v>0</v>
      </c>
      <c r="T1571" s="85" t="n">
        <v>1563</v>
      </c>
    </row>
    <row r="1572">
      <c r="B1572" s="83" t="n"/>
      <c r="C1572" s="83" t="n"/>
      <c r="D1572" s="83" t="n"/>
      <c r="E1572" s="83" t="n"/>
      <c r="F1572" s="83" t="n"/>
      <c r="G1572" s="83" t="n"/>
      <c r="H1572" s="83" t="n"/>
      <c r="I1572" s="83" t="n"/>
      <c r="J1572" s="83" t="n"/>
      <c r="K1572" s="83" t="n"/>
      <c r="L1572" s="83" t="n"/>
      <c r="M1572" s="83" t="n"/>
      <c r="O1572" s="84" t="str">
        <f>IF($C1572="","",IFERROR(MATCH($B1572&amp;"|"&amp;$C1572,MUROS!$AX$11:$AX$70,0),0))</f>
        <v/>
      </c>
      <c r="P1572" s="84" t="str">
        <f>IF($D1572="","",IF(ISNUMBER(MATCH($D1572,CMB_S,0)),1,IF(ISNUMBER(MATCH($D1572,CMB_G,0)),2,0)))</f>
        <v/>
      </c>
      <c r="Q1572" s="84">
        <f>IF(ISNUMBER($H1572),-$H1572,0)</f>
        <v>0</v>
      </c>
      <c r="R1572" s="84">
        <f>IF(ISNUMBER($I1572),ABS($I1572),0)</f>
        <v>0</v>
      </c>
      <c r="S1572" s="84">
        <f>IF(ISNUMBER($M1572),ABS($M1572),0)</f>
        <v>0</v>
      </c>
      <c r="T1572" s="85" t="n">
        <v>1564</v>
      </c>
    </row>
    <row r="1573">
      <c r="B1573" s="83" t="n"/>
      <c r="C1573" s="83" t="n"/>
      <c r="D1573" s="83" t="n"/>
      <c r="E1573" s="83" t="n"/>
      <c r="F1573" s="83" t="n"/>
      <c r="G1573" s="83" t="n"/>
      <c r="H1573" s="83" t="n"/>
      <c r="I1573" s="83" t="n"/>
      <c r="J1573" s="83" t="n"/>
      <c r="K1573" s="83" t="n"/>
      <c r="L1573" s="83" t="n"/>
      <c r="M1573" s="83" t="n"/>
      <c r="O1573" s="84" t="str">
        <f>IF($C1573="","",IFERROR(MATCH($B1573&amp;"|"&amp;$C1573,MUROS!$AX$11:$AX$70,0),0))</f>
        <v/>
      </c>
      <c r="P1573" s="84" t="str">
        <f>IF($D1573="","",IF(ISNUMBER(MATCH($D1573,CMB_S,0)),1,IF(ISNUMBER(MATCH($D1573,CMB_G,0)),2,0)))</f>
        <v/>
      </c>
      <c r="Q1573" s="84">
        <f>IF(ISNUMBER($H1573),-$H1573,0)</f>
        <v>0</v>
      </c>
      <c r="R1573" s="84">
        <f>IF(ISNUMBER($I1573),ABS($I1573),0)</f>
        <v>0</v>
      </c>
      <c r="S1573" s="84">
        <f>IF(ISNUMBER($M1573),ABS($M1573),0)</f>
        <v>0</v>
      </c>
      <c r="T1573" s="85" t="n">
        <v>1565</v>
      </c>
    </row>
    <row r="1574">
      <c r="B1574" s="83" t="n"/>
      <c r="C1574" s="83" t="n"/>
      <c r="D1574" s="83" t="n"/>
      <c r="E1574" s="83" t="n"/>
      <c r="F1574" s="83" t="n"/>
      <c r="G1574" s="83" t="n"/>
      <c r="H1574" s="83" t="n"/>
      <c r="I1574" s="83" t="n"/>
      <c r="J1574" s="83" t="n"/>
      <c r="K1574" s="83" t="n"/>
      <c r="L1574" s="83" t="n"/>
      <c r="M1574" s="83" t="n"/>
      <c r="O1574" s="84" t="str">
        <f>IF($C1574="","",IFERROR(MATCH($B1574&amp;"|"&amp;$C1574,MUROS!$AX$11:$AX$70,0),0))</f>
        <v/>
      </c>
      <c r="P1574" s="84" t="str">
        <f>IF($D1574="","",IF(ISNUMBER(MATCH($D1574,CMB_S,0)),1,IF(ISNUMBER(MATCH($D1574,CMB_G,0)),2,0)))</f>
        <v/>
      </c>
      <c r="Q1574" s="84">
        <f>IF(ISNUMBER($H1574),-$H1574,0)</f>
        <v>0</v>
      </c>
      <c r="R1574" s="84">
        <f>IF(ISNUMBER($I1574),ABS($I1574),0)</f>
        <v>0</v>
      </c>
      <c r="S1574" s="84">
        <f>IF(ISNUMBER($M1574),ABS($M1574),0)</f>
        <v>0</v>
      </c>
      <c r="T1574" s="85" t="n">
        <v>1566</v>
      </c>
    </row>
    <row r="1575">
      <c r="B1575" s="83" t="n"/>
      <c r="C1575" s="83" t="n"/>
      <c r="D1575" s="83" t="n"/>
      <c r="E1575" s="83" t="n"/>
      <c r="F1575" s="83" t="n"/>
      <c r="G1575" s="83" t="n"/>
      <c r="H1575" s="83" t="n"/>
      <c r="I1575" s="83" t="n"/>
      <c r="J1575" s="83" t="n"/>
      <c r="K1575" s="83" t="n"/>
      <c r="L1575" s="83" t="n"/>
      <c r="M1575" s="83" t="n"/>
      <c r="O1575" s="84" t="str">
        <f>IF($C1575="","",IFERROR(MATCH($B1575&amp;"|"&amp;$C1575,MUROS!$AX$11:$AX$70,0),0))</f>
        <v/>
      </c>
      <c r="P1575" s="84" t="str">
        <f>IF($D1575="","",IF(ISNUMBER(MATCH($D1575,CMB_S,0)),1,IF(ISNUMBER(MATCH($D1575,CMB_G,0)),2,0)))</f>
        <v/>
      </c>
      <c r="Q1575" s="84">
        <f>IF(ISNUMBER($H1575),-$H1575,0)</f>
        <v>0</v>
      </c>
      <c r="R1575" s="84">
        <f>IF(ISNUMBER($I1575),ABS($I1575),0)</f>
        <v>0</v>
      </c>
      <c r="S1575" s="84">
        <f>IF(ISNUMBER($M1575),ABS($M1575),0)</f>
        <v>0</v>
      </c>
      <c r="T1575" s="85" t="n">
        <v>1567</v>
      </c>
    </row>
    <row r="1576">
      <c r="B1576" s="83" t="n"/>
      <c r="C1576" s="83" t="n"/>
      <c r="D1576" s="83" t="n"/>
      <c r="E1576" s="83" t="n"/>
      <c r="F1576" s="83" t="n"/>
      <c r="G1576" s="83" t="n"/>
      <c r="H1576" s="83" t="n"/>
      <c r="I1576" s="83" t="n"/>
      <c r="J1576" s="83" t="n"/>
      <c r="K1576" s="83" t="n"/>
      <c r="L1576" s="83" t="n"/>
      <c r="M1576" s="83" t="n"/>
      <c r="O1576" s="84" t="str">
        <f>IF($C1576="","",IFERROR(MATCH($B1576&amp;"|"&amp;$C1576,MUROS!$AX$11:$AX$70,0),0))</f>
        <v/>
      </c>
      <c r="P1576" s="84" t="str">
        <f>IF($D1576="","",IF(ISNUMBER(MATCH($D1576,CMB_S,0)),1,IF(ISNUMBER(MATCH($D1576,CMB_G,0)),2,0)))</f>
        <v/>
      </c>
      <c r="Q1576" s="84">
        <f>IF(ISNUMBER($H1576),-$H1576,0)</f>
        <v>0</v>
      </c>
      <c r="R1576" s="84">
        <f>IF(ISNUMBER($I1576),ABS($I1576),0)</f>
        <v>0</v>
      </c>
      <c r="S1576" s="84">
        <f>IF(ISNUMBER($M1576),ABS($M1576),0)</f>
        <v>0</v>
      </c>
      <c r="T1576" s="85" t="n">
        <v>1568</v>
      </c>
    </row>
    <row r="1577">
      <c r="B1577" s="83" t="n"/>
      <c r="C1577" s="83" t="n"/>
      <c r="D1577" s="83" t="n"/>
      <c r="E1577" s="83" t="n"/>
      <c r="F1577" s="83" t="n"/>
      <c r="G1577" s="83" t="n"/>
      <c r="H1577" s="83" t="n"/>
      <c r="I1577" s="83" t="n"/>
      <c r="J1577" s="83" t="n"/>
      <c r="K1577" s="83" t="n"/>
      <c r="L1577" s="83" t="n"/>
      <c r="M1577" s="83" t="n"/>
      <c r="O1577" s="84" t="str">
        <f>IF($C1577="","",IFERROR(MATCH($B1577&amp;"|"&amp;$C1577,MUROS!$AX$11:$AX$70,0),0))</f>
        <v/>
      </c>
      <c r="P1577" s="84" t="str">
        <f>IF($D1577="","",IF(ISNUMBER(MATCH($D1577,CMB_S,0)),1,IF(ISNUMBER(MATCH($D1577,CMB_G,0)),2,0)))</f>
        <v/>
      </c>
      <c r="Q1577" s="84">
        <f>IF(ISNUMBER($H1577),-$H1577,0)</f>
        <v>0</v>
      </c>
      <c r="R1577" s="84">
        <f>IF(ISNUMBER($I1577),ABS($I1577),0)</f>
        <v>0</v>
      </c>
      <c r="S1577" s="84">
        <f>IF(ISNUMBER($M1577),ABS($M1577),0)</f>
        <v>0</v>
      </c>
      <c r="T1577" s="85" t="n">
        <v>1569</v>
      </c>
    </row>
    <row r="1578">
      <c r="B1578" s="83" t="n"/>
      <c r="C1578" s="83" t="n"/>
      <c r="D1578" s="83" t="n"/>
      <c r="E1578" s="83" t="n"/>
      <c r="F1578" s="83" t="n"/>
      <c r="G1578" s="83" t="n"/>
      <c r="H1578" s="83" t="n"/>
      <c r="I1578" s="83" t="n"/>
      <c r="J1578" s="83" t="n"/>
      <c r="K1578" s="83" t="n"/>
      <c r="L1578" s="83" t="n"/>
      <c r="M1578" s="83" t="n"/>
      <c r="O1578" s="84" t="str">
        <f>IF($C1578="","",IFERROR(MATCH($B1578&amp;"|"&amp;$C1578,MUROS!$AX$11:$AX$70,0),0))</f>
        <v/>
      </c>
      <c r="P1578" s="84" t="str">
        <f>IF($D1578="","",IF(ISNUMBER(MATCH($D1578,CMB_S,0)),1,IF(ISNUMBER(MATCH($D1578,CMB_G,0)),2,0)))</f>
        <v/>
      </c>
      <c r="Q1578" s="84">
        <f>IF(ISNUMBER($H1578),-$H1578,0)</f>
        <v>0</v>
      </c>
      <c r="R1578" s="84">
        <f>IF(ISNUMBER($I1578),ABS($I1578),0)</f>
        <v>0</v>
      </c>
      <c r="S1578" s="84">
        <f>IF(ISNUMBER($M1578),ABS($M1578),0)</f>
        <v>0</v>
      </c>
      <c r="T1578" s="85" t="n">
        <v>1570</v>
      </c>
    </row>
    <row r="1579">
      <c r="B1579" s="83" t="n"/>
      <c r="C1579" s="83" t="n"/>
      <c r="D1579" s="83" t="n"/>
      <c r="E1579" s="83" t="n"/>
      <c r="F1579" s="83" t="n"/>
      <c r="G1579" s="83" t="n"/>
      <c r="H1579" s="83" t="n"/>
      <c r="I1579" s="83" t="n"/>
      <c r="J1579" s="83" t="n"/>
      <c r="K1579" s="83" t="n"/>
      <c r="L1579" s="83" t="n"/>
      <c r="M1579" s="83" t="n"/>
      <c r="O1579" s="84" t="str">
        <f>IF($C1579="","",IFERROR(MATCH($B1579&amp;"|"&amp;$C1579,MUROS!$AX$11:$AX$70,0),0))</f>
        <v/>
      </c>
      <c r="P1579" s="84" t="str">
        <f>IF($D1579="","",IF(ISNUMBER(MATCH($D1579,CMB_S,0)),1,IF(ISNUMBER(MATCH($D1579,CMB_G,0)),2,0)))</f>
        <v/>
      </c>
      <c r="Q1579" s="84">
        <f>IF(ISNUMBER($H1579),-$H1579,0)</f>
        <v>0</v>
      </c>
      <c r="R1579" s="84">
        <f>IF(ISNUMBER($I1579),ABS($I1579),0)</f>
        <v>0</v>
      </c>
      <c r="S1579" s="84">
        <f>IF(ISNUMBER($M1579),ABS($M1579),0)</f>
        <v>0</v>
      </c>
      <c r="T1579" s="85" t="n">
        <v>1571</v>
      </c>
    </row>
    <row r="1580">
      <c r="B1580" s="83" t="n"/>
      <c r="C1580" s="83" t="n"/>
      <c r="D1580" s="83" t="n"/>
      <c r="E1580" s="83" t="n"/>
      <c r="F1580" s="83" t="n"/>
      <c r="G1580" s="83" t="n"/>
      <c r="H1580" s="83" t="n"/>
      <c r="I1580" s="83" t="n"/>
      <c r="J1580" s="83" t="n"/>
      <c r="K1580" s="83" t="n"/>
      <c r="L1580" s="83" t="n"/>
      <c r="M1580" s="83" t="n"/>
      <c r="O1580" s="84" t="str">
        <f>IF($C1580="","",IFERROR(MATCH($B1580&amp;"|"&amp;$C1580,MUROS!$AX$11:$AX$70,0),0))</f>
        <v/>
      </c>
      <c r="P1580" s="84" t="str">
        <f>IF($D1580="","",IF(ISNUMBER(MATCH($D1580,CMB_S,0)),1,IF(ISNUMBER(MATCH($D1580,CMB_G,0)),2,0)))</f>
        <v/>
      </c>
      <c r="Q1580" s="84">
        <f>IF(ISNUMBER($H1580),-$H1580,0)</f>
        <v>0</v>
      </c>
      <c r="R1580" s="84">
        <f>IF(ISNUMBER($I1580),ABS($I1580),0)</f>
        <v>0</v>
      </c>
      <c r="S1580" s="84">
        <f>IF(ISNUMBER($M1580),ABS($M1580),0)</f>
        <v>0</v>
      </c>
      <c r="T1580" s="85" t="n">
        <v>1572</v>
      </c>
    </row>
    <row r="1581">
      <c r="B1581" s="83" t="n"/>
      <c r="C1581" s="83" t="n"/>
      <c r="D1581" s="83" t="n"/>
      <c r="E1581" s="83" t="n"/>
      <c r="F1581" s="83" t="n"/>
      <c r="G1581" s="83" t="n"/>
      <c r="H1581" s="83" t="n"/>
      <c r="I1581" s="83" t="n"/>
      <c r="J1581" s="83" t="n"/>
      <c r="K1581" s="83" t="n"/>
      <c r="L1581" s="83" t="n"/>
      <c r="M1581" s="83" t="n"/>
      <c r="O1581" s="84" t="str">
        <f>IF($C1581="","",IFERROR(MATCH($B1581&amp;"|"&amp;$C1581,MUROS!$AX$11:$AX$70,0),0))</f>
        <v/>
      </c>
      <c r="P1581" s="84" t="str">
        <f>IF($D1581="","",IF(ISNUMBER(MATCH($D1581,CMB_S,0)),1,IF(ISNUMBER(MATCH($D1581,CMB_G,0)),2,0)))</f>
        <v/>
      </c>
      <c r="Q1581" s="84">
        <f>IF(ISNUMBER($H1581),-$H1581,0)</f>
        <v>0</v>
      </c>
      <c r="R1581" s="84">
        <f>IF(ISNUMBER($I1581),ABS($I1581),0)</f>
        <v>0</v>
      </c>
      <c r="S1581" s="84">
        <f>IF(ISNUMBER($M1581),ABS($M1581),0)</f>
        <v>0</v>
      </c>
      <c r="T1581" s="85" t="n">
        <v>1573</v>
      </c>
    </row>
    <row r="1582">
      <c r="B1582" s="83" t="n"/>
      <c r="C1582" s="83" t="n"/>
      <c r="D1582" s="83" t="n"/>
      <c r="E1582" s="83" t="n"/>
      <c r="F1582" s="83" t="n"/>
      <c r="G1582" s="83" t="n"/>
      <c r="H1582" s="83" t="n"/>
      <c r="I1582" s="83" t="n"/>
      <c r="J1582" s="83" t="n"/>
      <c r="K1582" s="83" t="n"/>
      <c r="L1582" s="83" t="n"/>
      <c r="M1582" s="83" t="n"/>
      <c r="O1582" s="84" t="str">
        <f>IF($C1582="","",IFERROR(MATCH($B1582&amp;"|"&amp;$C1582,MUROS!$AX$11:$AX$70,0),0))</f>
        <v/>
      </c>
      <c r="P1582" s="84" t="str">
        <f>IF($D1582="","",IF(ISNUMBER(MATCH($D1582,CMB_S,0)),1,IF(ISNUMBER(MATCH($D1582,CMB_G,0)),2,0)))</f>
        <v/>
      </c>
      <c r="Q1582" s="84">
        <f>IF(ISNUMBER($H1582),-$H1582,0)</f>
        <v>0</v>
      </c>
      <c r="R1582" s="84">
        <f>IF(ISNUMBER($I1582),ABS($I1582),0)</f>
        <v>0</v>
      </c>
      <c r="S1582" s="84">
        <f>IF(ISNUMBER($M1582),ABS($M1582),0)</f>
        <v>0</v>
      </c>
      <c r="T1582" s="85" t="n">
        <v>1574</v>
      </c>
    </row>
    <row r="1583">
      <c r="B1583" s="83" t="n"/>
      <c r="C1583" s="83" t="n"/>
      <c r="D1583" s="83" t="n"/>
      <c r="E1583" s="83" t="n"/>
      <c r="F1583" s="83" t="n"/>
      <c r="G1583" s="83" t="n"/>
      <c r="H1583" s="83" t="n"/>
      <c r="I1583" s="83" t="n"/>
      <c r="J1583" s="83" t="n"/>
      <c r="K1583" s="83" t="n"/>
      <c r="L1583" s="83" t="n"/>
      <c r="M1583" s="83" t="n"/>
      <c r="O1583" s="84" t="str">
        <f>IF($C1583="","",IFERROR(MATCH($B1583&amp;"|"&amp;$C1583,MUROS!$AX$11:$AX$70,0),0))</f>
        <v/>
      </c>
      <c r="P1583" s="84" t="str">
        <f>IF($D1583="","",IF(ISNUMBER(MATCH($D1583,CMB_S,0)),1,IF(ISNUMBER(MATCH($D1583,CMB_G,0)),2,0)))</f>
        <v/>
      </c>
      <c r="Q1583" s="84">
        <f>IF(ISNUMBER($H1583),-$H1583,0)</f>
        <v>0</v>
      </c>
      <c r="R1583" s="84">
        <f>IF(ISNUMBER($I1583),ABS($I1583),0)</f>
        <v>0</v>
      </c>
      <c r="S1583" s="84">
        <f>IF(ISNUMBER($M1583),ABS($M1583),0)</f>
        <v>0</v>
      </c>
      <c r="T1583" s="85" t="n">
        <v>1575</v>
      </c>
    </row>
    <row r="1584">
      <c r="B1584" s="83" t="n"/>
      <c r="C1584" s="83" t="n"/>
      <c r="D1584" s="83" t="n"/>
      <c r="E1584" s="83" t="n"/>
      <c r="F1584" s="83" t="n"/>
      <c r="G1584" s="83" t="n"/>
      <c r="H1584" s="83" t="n"/>
      <c r="I1584" s="83" t="n"/>
      <c r="J1584" s="83" t="n"/>
      <c r="K1584" s="83" t="n"/>
      <c r="L1584" s="83" t="n"/>
      <c r="M1584" s="83" t="n"/>
      <c r="O1584" s="84" t="str">
        <f>IF($C1584="","",IFERROR(MATCH($B1584&amp;"|"&amp;$C1584,MUROS!$AX$11:$AX$70,0),0))</f>
        <v/>
      </c>
      <c r="P1584" s="84" t="str">
        <f>IF($D1584="","",IF(ISNUMBER(MATCH($D1584,CMB_S,0)),1,IF(ISNUMBER(MATCH($D1584,CMB_G,0)),2,0)))</f>
        <v/>
      </c>
      <c r="Q1584" s="84">
        <f>IF(ISNUMBER($H1584),-$H1584,0)</f>
        <v>0</v>
      </c>
      <c r="R1584" s="84">
        <f>IF(ISNUMBER($I1584),ABS($I1584),0)</f>
        <v>0</v>
      </c>
      <c r="S1584" s="84">
        <f>IF(ISNUMBER($M1584),ABS($M1584),0)</f>
        <v>0</v>
      </c>
      <c r="T1584" s="85" t="n">
        <v>1576</v>
      </c>
    </row>
    <row r="1585">
      <c r="B1585" s="83" t="n"/>
      <c r="C1585" s="83" t="n"/>
      <c r="D1585" s="83" t="n"/>
      <c r="E1585" s="83" t="n"/>
      <c r="F1585" s="83" t="n"/>
      <c r="G1585" s="83" t="n"/>
      <c r="H1585" s="83" t="n"/>
      <c r="I1585" s="83" t="n"/>
      <c r="J1585" s="83" t="n"/>
      <c r="K1585" s="83" t="n"/>
      <c r="L1585" s="83" t="n"/>
      <c r="M1585" s="83" t="n"/>
      <c r="O1585" s="84" t="str">
        <f>IF($C1585="","",IFERROR(MATCH($B1585&amp;"|"&amp;$C1585,MUROS!$AX$11:$AX$70,0),0))</f>
        <v/>
      </c>
      <c r="P1585" s="84" t="str">
        <f>IF($D1585="","",IF(ISNUMBER(MATCH($D1585,CMB_S,0)),1,IF(ISNUMBER(MATCH($D1585,CMB_G,0)),2,0)))</f>
        <v/>
      </c>
      <c r="Q1585" s="84">
        <f>IF(ISNUMBER($H1585),-$H1585,0)</f>
        <v>0</v>
      </c>
      <c r="R1585" s="84">
        <f>IF(ISNUMBER($I1585),ABS($I1585),0)</f>
        <v>0</v>
      </c>
      <c r="S1585" s="84">
        <f>IF(ISNUMBER($M1585),ABS($M1585),0)</f>
        <v>0</v>
      </c>
      <c r="T1585" s="85" t="n">
        <v>1577</v>
      </c>
    </row>
    <row r="1586">
      <c r="B1586" s="83" t="n"/>
      <c r="C1586" s="83" t="n"/>
      <c r="D1586" s="83" t="n"/>
      <c r="E1586" s="83" t="n"/>
      <c r="F1586" s="83" t="n"/>
      <c r="G1586" s="83" t="n"/>
      <c r="H1586" s="83" t="n"/>
      <c r="I1586" s="83" t="n"/>
      <c r="J1586" s="83" t="n"/>
      <c r="K1586" s="83" t="n"/>
      <c r="L1586" s="83" t="n"/>
      <c r="M1586" s="83" t="n"/>
      <c r="O1586" s="84" t="str">
        <f>IF($C1586="","",IFERROR(MATCH($B1586&amp;"|"&amp;$C1586,MUROS!$AX$11:$AX$70,0),0))</f>
        <v/>
      </c>
      <c r="P1586" s="84" t="str">
        <f>IF($D1586="","",IF(ISNUMBER(MATCH($D1586,CMB_S,0)),1,IF(ISNUMBER(MATCH($D1586,CMB_G,0)),2,0)))</f>
        <v/>
      </c>
      <c r="Q1586" s="84">
        <f>IF(ISNUMBER($H1586),-$H1586,0)</f>
        <v>0</v>
      </c>
      <c r="R1586" s="84">
        <f>IF(ISNUMBER($I1586),ABS($I1586),0)</f>
        <v>0</v>
      </c>
      <c r="S1586" s="84">
        <f>IF(ISNUMBER($M1586),ABS($M1586),0)</f>
        <v>0</v>
      </c>
      <c r="T1586" s="85" t="n">
        <v>1578</v>
      </c>
    </row>
    <row r="1587">
      <c r="B1587" s="83" t="n"/>
      <c r="C1587" s="83" t="n"/>
      <c r="D1587" s="83" t="n"/>
      <c r="E1587" s="83" t="n"/>
      <c r="F1587" s="83" t="n"/>
      <c r="G1587" s="83" t="n"/>
      <c r="H1587" s="83" t="n"/>
      <c r="I1587" s="83" t="n"/>
      <c r="J1587" s="83" t="n"/>
      <c r="K1587" s="83" t="n"/>
      <c r="L1587" s="83" t="n"/>
      <c r="M1587" s="83" t="n"/>
      <c r="O1587" s="84" t="str">
        <f>IF($C1587="","",IFERROR(MATCH($B1587&amp;"|"&amp;$C1587,MUROS!$AX$11:$AX$70,0),0))</f>
        <v/>
      </c>
      <c r="P1587" s="84" t="str">
        <f>IF($D1587="","",IF(ISNUMBER(MATCH($D1587,CMB_S,0)),1,IF(ISNUMBER(MATCH($D1587,CMB_G,0)),2,0)))</f>
        <v/>
      </c>
      <c r="Q1587" s="84">
        <f>IF(ISNUMBER($H1587),-$H1587,0)</f>
        <v>0</v>
      </c>
      <c r="R1587" s="84">
        <f>IF(ISNUMBER($I1587),ABS($I1587),0)</f>
        <v>0</v>
      </c>
      <c r="S1587" s="84">
        <f>IF(ISNUMBER($M1587),ABS($M1587),0)</f>
        <v>0</v>
      </c>
      <c r="T1587" s="85" t="n">
        <v>1579</v>
      </c>
    </row>
    <row r="1588">
      <c r="B1588" s="83" t="n"/>
      <c r="C1588" s="83" t="n"/>
      <c r="D1588" s="83" t="n"/>
      <c r="E1588" s="83" t="n"/>
      <c r="F1588" s="83" t="n"/>
      <c r="G1588" s="83" t="n"/>
      <c r="H1588" s="83" t="n"/>
      <c r="I1588" s="83" t="n"/>
      <c r="J1588" s="83" t="n"/>
      <c r="K1588" s="83" t="n"/>
      <c r="L1588" s="83" t="n"/>
      <c r="M1588" s="83" t="n"/>
      <c r="O1588" s="84" t="str">
        <f>IF($C1588="","",IFERROR(MATCH($B1588&amp;"|"&amp;$C1588,MUROS!$AX$11:$AX$70,0),0))</f>
        <v/>
      </c>
      <c r="P1588" s="84" t="str">
        <f>IF($D1588="","",IF(ISNUMBER(MATCH($D1588,CMB_S,0)),1,IF(ISNUMBER(MATCH($D1588,CMB_G,0)),2,0)))</f>
        <v/>
      </c>
      <c r="Q1588" s="84">
        <f>IF(ISNUMBER($H1588),-$H1588,0)</f>
        <v>0</v>
      </c>
      <c r="R1588" s="84">
        <f>IF(ISNUMBER($I1588),ABS($I1588),0)</f>
        <v>0</v>
      </c>
      <c r="S1588" s="84">
        <f>IF(ISNUMBER($M1588),ABS($M1588),0)</f>
        <v>0</v>
      </c>
      <c r="T1588" s="85" t="n">
        <v>1580</v>
      </c>
    </row>
    <row r="1589">
      <c r="B1589" s="83" t="n"/>
      <c r="C1589" s="83" t="n"/>
      <c r="D1589" s="83" t="n"/>
      <c r="E1589" s="83" t="n"/>
      <c r="F1589" s="83" t="n"/>
      <c r="G1589" s="83" t="n"/>
      <c r="H1589" s="83" t="n"/>
      <c r="I1589" s="83" t="n"/>
      <c r="J1589" s="83" t="n"/>
      <c r="K1589" s="83" t="n"/>
      <c r="L1589" s="83" t="n"/>
      <c r="M1589" s="83" t="n"/>
      <c r="O1589" s="84" t="str">
        <f>IF($C1589="","",IFERROR(MATCH($B1589&amp;"|"&amp;$C1589,MUROS!$AX$11:$AX$70,0),0))</f>
        <v/>
      </c>
      <c r="P1589" s="84" t="str">
        <f>IF($D1589="","",IF(ISNUMBER(MATCH($D1589,CMB_S,0)),1,IF(ISNUMBER(MATCH($D1589,CMB_G,0)),2,0)))</f>
        <v/>
      </c>
      <c r="Q1589" s="84">
        <f>IF(ISNUMBER($H1589),-$H1589,0)</f>
        <v>0</v>
      </c>
      <c r="R1589" s="84">
        <f>IF(ISNUMBER($I1589),ABS($I1589),0)</f>
        <v>0</v>
      </c>
      <c r="S1589" s="84">
        <f>IF(ISNUMBER($M1589),ABS($M1589),0)</f>
        <v>0</v>
      </c>
      <c r="T1589" s="85" t="n">
        <v>1581</v>
      </c>
    </row>
    <row r="1590">
      <c r="B1590" s="83" t="n"/>
      <c r="C1590" s="83" t="n"/>
      <c r="D1590" s="83" t="n"/>
      <c r="E1590" s="83" t="n"/>
      <c r="F1590" s="83" t="n"/>
      <c r="G1590" s="83" t="n"/>
      <c r="H1590" s="83" t="n"/>
      <c r="I1590" s="83" t="n"/>
      <c r="J1590" s="83" t="n"/>
      <c r="K1590" s="83" t="n"/>
      <c r="L1590" s="83" t="n"/>
      <c r="M1590" s="83" t="n"/>
      <c r="O1590" s="84" t="str">
        <f>IF($C1590="","",IFERROR(MATCH($B1590&amp;"|"&amp;$C1590,MUROS!$AX$11:$AX$70,0),0))</f>
        <v/>
      </c>
      <c r="P1590" s="84" t="str">
        <f>IF($D1590="","",IF(ISNUMBER(MATCH($D1590,CMB_S,0)),1,IF(ISNUMBER(MATCH($D1590,CMB_G,0)),2,0)))</f>
        <v/>
      </c>
      <c r="Q1590" s="84">
        <f>IF(ISNUMBER($H1590),-$H1590,0)</f>
        <v>0</v>
      </c>
      <c r="R1590" s="84">
        <f>IF(ISNUMBER($I1590),ABS($I1590),0)</f>
        <v>0</v>
      </c>
      <c r="S1590" s="84">
        <f>IF(ISNUMBER($M1590),ABS($M1590),0)</f>
        <v>0</v>
      </c>
      <c r="T1590" s="85" t="n">
        <v>1582</v>
      </c>
    </row>
    <row r="1591">
      <c r="B1591" s="83" t="n"/>
      <c r="C1591" s="83" t="n"/>
      <c r="D1591" s="83" t="n"/>
      <c r="E1591" s="83" t="n"/>
      <c r="F1591" s="83" t="n"/>
      <c r="G1591" s="83" t="n"/>
      <c r="H1591" s="83" t="n"/>
      <c r="I1591" s="83" t="n"/>
      <c r="J1591" s="83" t="n"/>
      <c r="K1591" s="83" t="n"/>
      <c r="L1591" s="83" t="n"/>
      <c r="M1591" s="83" t="n"/>
      <c r="O1591" s="84" t="str">
        <f>IF($C1591="","",IFERROR(MATCH($B1591&amp;"|"&amp;$C1591,MUROS!$AX$11:$AX$70,0),0))</f>
        <v/>
      </c>
      <c r="P1591" s="84" t="str">
        <f>IF($D1591="","",IF(ISNUMBER(MATCH($D1591,CMB_S,0)),1,IF(ISNUMBER(MATCH($D1591,CMB_G,0)),2,0)))</f>
        <v/>
      </c>
      <c r="Q1591" s="84">
        <f>IF(ISNUMBER($H1591),-$H1591,0)</f>
        <v>0</v>
      </c>
      <c r="R1591" s="84">
        <f>IF(ISNUMBER($I1591),ABS($I1591),0)</f>
        <v>0</v>
      </c>
      <c r="S1591" s="84">
        <f>IF(ISNUMBER($M1591),ABS($M1591),0)</f>
        <v>0</v>
      </c>
      <c r="T1591" s="85" t="n">
        <v>1583</v>
      </c>
    </row>
    <row r="1592">
      <c r="B1592" s="83" t="n"/>
      <c r="C1592" s="83" t="n"/>
      <c r="D1592" s="83" t="n"/>
      <c r="E1592" s="83" t="n"/>
      <c r="F1592" s="83" t="n"/>
      <c r="G1592" s="83" t="n"/>
      <c r="H1592" s="83" t="n"/>
      <c r="I1592" s="83" t="n"/>
      <c r="J1592" s="83" t="n"/>
      <c r="K1592" s="83" t="n"/>
      <c r="L1592" s="83" t="n"/>
      <c r="M1592" s="83" t="n"/>
      <c r="O1592" s="84" t="str">
        <f>IF($C1592="","",IFERROR(MATCH($B1592&amp;"|"&amp;$C1592,MUROS!$AX$11:$AX$70,0),0))</f>
        <v/>
      </c>
      <c r="P1592" s="84" t="str">
        <f>IF($D1592="","",IF(ISNUMBER(MATCH($D1592,CMB_S,0)),1,IF(ISNUMBER(MATCH($D1592,CMB_G,0)),2,0)))</f>
        <v/>
      </c>
      <c r="Q1592" s="84">
        <f>IF(ISNUMBER($H1592),-$H1592,0)</f>
        <v>0</v>
      </c>
      <c r="R1592" s="84">
        <f>IF(ISNUMBER($I1592),ABS($I1592),0)</f>
        <v>0</v>
      </c>
      <c r="S1592" s="84">
        <f>IF(ISNUMBER($M1592),ABS($M1592),0)</f>
        <v>0</v>
      </c>
      <c r="T1592" s="85" t="n">
        <v>1584</v>
      </c>
    </row>
    <row r="1593">
      <c r="B1593" s="83" t="n"/>
      <c r="C1593" s="83" t="n"/>
      <c r="D1593" s="83" t="n"/>
      <c r="E1593" s="83" t="n"/>
      <c r="F1593" s="83" t="n"/>
      <c r="G1593" s="83" t="n"/>
      <c r="H1593" s="83" t="n"/>
      <c r="I1593" s="83" t="n"/>
      <c r="J1593" s="83" t="n"/>
      <c r="K1593" s="83" t="n"/>
      <c r="L1593" s="83" t="n"/>
      <c r="M1593" s="83" t="n"/>
      <c r="O1593" s="84" t="str">
        <f>IF($C1593="","",IFERROR(MATCH($B1593&amp;"|"&amp;$C1593,MUROS!$AX$11:$AX$70,0),0))</f>
        <v/>
      </c>
      <c r="P1593" s="84" t="str">
        <f>IF($D1593="","",IF(ISNUMBER(MATCH($D1593,CMB_S,0)),1,IF(ISNUMBER(MATCH($D1593,CMB_G,0)),2,0)))</f>
        <v/>
      </c>
      <c r="Q1593" s="84">
        <f>IF(ISNUMBER($H1593),-$H1593,0)</f>
        <v>0</v>
      </c>
      <c r="R1593" s="84">
        <f>IF(ISNUMBER($I1593),ABS($I1593),0)</f>
        <v>0</v>
      </c>
      <c r="S1593" s="84">
        <f>IF(ISNUMBER($M1593),ABS($M1593),0)</f>
        <v>0</v>
      </c>
      <c r="T1593" s="85" t="n">
        <v>1585</v>
      </c>
    </row>
    <row r="1594">
      <c r="B1594" s="83" t="n"/>
      <c r="C1594" s="83" t="n"/>
      <c r="D1594" s="83" t="n"/>
      <c r="E1594" s="83" t="n"/>
      <c r="F1594" s="83" t="n"/>
      <c r="G1594" s="83" t="n"/>
      <c r="H1594" s="83" t="n"/>
      <c r="I1594" s="83" t="n"/>
      <c r="J1594" s="83" t="n"/>
      <c r="K1594" s="83" t="n"/>
      <c r="L1594" s="83" t="n"/>
      <c r="M1594" s="83" t="n"/>
      <c r="O1594" s="84" t="str">
        <f>IF($C1594="","",IFERROR(MATCH($B1594&amp;"|"&amp;$C1594,MUROS!$AX$11:$AX$70,0),0))</f>
        <v/>
      </c>
      <c r="P1594" s="84" t="str">
        <f>IF($D1594="","",IF(ISNUMBER(MATCH($D1594,CMB_S,0)),1,IF(ISNUMBER(MATCH($D1594,CMB_G,0)),2,0)))</f>
        <v/>
      </c>
      <c r="Q1594" s="84">
        <f>IF(ISNUMBER($H1594),-$H1594,0)</f>
        <v>0</v>
      </c>
      <c r="R1594" s="84">
        <f>IF(ISNUMBER($I1594),ABS($I1594),0)</f>
        <v>0</v>
      </c>
      <c r="S1594" s="84">
        <f>IF(ISNUMBER($M1594),ABS($M1594),0)</f>
        <v>0</v>
      </c>
      <c r="T1594" s="85" t="n">
        <v>1586</v>
      </c>
    </row>
    <row r="1595">
      <c r="B1595" s="83" t="n"/>
      <c r="C1595" s="83" t="n"/>
      <c r="D1595" s="83" t="n"/>
      <c r="E1595" s="83" t="n"/>
      <c r="F1595" s="83" t="n"/>
      <c r="G1595" s="83" t="n"/>
      <c r="H1595" s="83" t="n"/>
      <c r="I1595" s="83" t="n"/>
      <c r="J1595" s="83" t="n"/>
      <c r="K1595" s="83" t="n"/>
      <c r="L1595" s="83" t="n"/>
      <c r="M1595" s="83" t="n"/>
      <c r="O1595" s="84" t="str">
        <f>IF($C1595="","",IFERROR(MATCH($B1595&amp;"|"&amp;$C1595,MUROS!$AX$11:$AX$70,0),0))</f>
        <v/>
      </c>
      <c r="P1595" s="84" t="str">
        <f>IF($D1595="","",IF(ISNUMBER(MATCH($D1595,CMB_S,0)),1,IF(ISNUMBER(MATCH($D1595,CMB_G,0)),2,0)))</f>
        <v/>
      </c>
      <c r="Q1595" s="84">
        <f>IF(ISNUMBER($H1595),-$H1595,0)</f>
        <v>0</v>
      </c>
      <c r="R1595" s="84">
        <f>IF(ISNUMBER($I1595),ABS($I1595),0)</f>
        <v>0</v>
      </c>
      <c r="S1595" s="84">
        <f>IF(ISNUMBER($M1595),ABS($M1595),0)</f>
        <v>0</v>
      </c>
      <c r="T1595" s="85" t="n">
        <v>1587</v>
      </c>
    </row>
    <row r="1596">
      <c r="B1596" s="83" t="n"/>
      <c r="C1596" s="83" t="n"/>
      <c r="D1596" s="83" t="n"/>
      <c r="E1596" s="83" t="n"/>
      <c r="F1596" s="83" t="n"/>
      <c r="G1596" s="83" t="n"/>
      <c r="H1596" s="83" t="n"/>
      <c r="I1596" s="83" t="n"/>
      <c r="J1596" s="83" t="n"/>
      <c r="K1596" s="83" t="n"/>
      <c r="L1596" s="83" t="n"/>
      <c r="M1596" s="83" t="n"/>
      <c r="O1596" s="84" t="str">
        <f>IF($C1596="","",IFERROR(MATCH($B1596&amp;"|"&amp;$C1596,MUROS!$AX$11:$AX$70,0),0))</f>
        <v/>
      </c>
      <c r="P1596" s="84" t="str">
        <f>IF($D1596="","",IF(ISNUMBER(MATCH($D1596,CMB_S,0)),1,IF(ISNUMBER(MATCH($D1596,CMB_G,0)),2,0)))</f>
        <v/>
      </c>
      <c r="Q1596" s="84">
        <f>IF(ISNUMBER($H1596),-$H1596,0)</f>
        <v>0</v>
      </c>
      <c r="R1596" s="84">
        <f>IF(ISNUMBER($I1596),ABS($I1596),0)</f>
        <v>0</v>
      </c>
      <c r="S1596" s="84">
        <f>IF(ISNUMBER($M1596),ABS($M1596),0)</f>
        <v>0</v>
      </c>
      <c r="T1596" s="85" t="n">
        <v>1588</v>
      </c>
    </row>
    <row r="1597">
      <c r="B1597" s="83" t="n"/>
      <c r="C1597" s="83" t="n"/>
      <c r="D1597" s="83" t="n"/>
      <c r="E1597" s="83" t="n"/>
      <c r="F1597" s="83" t="n"/>
      <c r="G1597" s="83" t="n"/>
      <c r="H1597" s="83" t="n"/>
      <c r="I1597" s="83" t="n"/>
      <c r="J1597" s="83" t="n"/>
      <c r="K1597" s="83" t="n"/>
      <c r="L1597" s="83" t="n"/>
      <c r="M1597" s="83" t="n"/>
      <c r="O1597" s="84" t="str">
        <f>IF($C1597="","",IFERROR(MATCH($B1597&amp;"|"&amp;$C1597,MUROS!$AX$11:$AX$70,0),0))</f>
        <v/>
      </c>
      <c r="P1597" s="84" t="str">
        <f>IF($D1597="","",IF(ISNUMBER(MATCH($D1597,CMB_S,0)),1,IF(ISNUMBER(MATCH($D1597,CMB_G,0)),2,0)))</f>
        <v/>
      </c>
      <c r="Q1597" s="84">
        <f>IF(ISNUMBER($H1597),-$H1597,0)</f>
        <v>0</v>
      </c>
      <c r="R1597" s="84">
        <f>IF(ISNUMBER($I1597),ABS($I1597),0)</f>
        <v>0</v>
      </c>
      <c r="S1597" s="84">
        <f>IF(ISNUMBER($M1597),ABS($M1597),0)</f>
        <v>0</v>
      </c>
      <c r="T1597" s="85" t="n">
        <v>1589</v>
      </c>
    </row>
    <row r="1598">
      <c r="B1598" s="83" t="n"/>
      <c r="C1598" s="83" t="n"/>
      <c r="D1598" s="83" t="n"/>
      <c r="E1598" s="83" t="n"/>
      <c r="F1598" s="83" t="n"/>
      <c r="G1598" s="83" t="n"/>
      <c r="H1598" s="83" t="n"/>
      <c r="I1598" s="83" t="n"/>
      <c r="J1598" s="83" t="n"/>
      <c r="K1598" s="83" t="n"/>
      <c r="L1598" s="83" t="n"/>
      <c r="M1598" s="83" t="n"/>
      <c r="O1598" s="84" t="str">
        <f>IF($C1598="","",IFERROR(MATCH($B1598&amp;"|"&amp;$C1598,MUROS!$AX$11:$AX$70,0),0))</f>
        <v/>
      </c>
      <c r="P1598" s="84" t="str">
        <f>IF($D1598="","",IF(ISNUMBER(MATCH($D1598,CMB_S,0)),1,IF(ISNUMBER(MATCH($D1598,CMB_G,0)),2,0)))</f>
        <v/>
      </c>
      <c r="Q1598" s="84">
        <f>IF(ISNUMBER($H1598),-$H1598,0)</f>
        <v>0</v>
      </c>
      <c r="R1598" s="84">
        <f>IF(ISNUMBER($I1598),ABS($I1598),0)</f>
        <v>0</v>
      </c>
      <c r="S1598" s="84">
        <f>IF(ISNUMBER($M1598),ABS($M1598),0)</f>
        <v>0</v>
      </c>
      <c r="T1598" s="85" t="n">
        <v>1590</v>
      </c>
    </row>
    <row r="1599">
      <c r="B1599" s="83" t="n"/>
      <c r="C1599" s="83" t="n"/>
      <c r="D1599" s="83" t="n"/>
      <c r="E1599" s="83" t="n"/>
      <c r="F1599" s="83" t="n"/>
      <c r="G1599" s="83" t="n"/>
      <c r="H1599" s="83" t="n"/>
      <c r="I1599" s="83" t="n"/>
      <c r="J1599" s="83" t="n"/>
      <c r="K1599" s="83" t="n"/>
      <c r="L1599" s="83" t="n"/>
      <c r="M1599" s="83" t="n"/>
      <c r="O1599" s="84" t="str">
        <f>IF($C1599="","",IFERROR(MATCH($B1599&amp;"|"&amp;$C1599,MUROS!$AX$11:$AX$70,0),0))</f>
        <v/>
      </c>
      <c r="P1599" s="84" t="str">
        <f>IF($D1599="","",IF(ISNUMBER(MATCH($D1599,CMB_S,0)),1,IF(ISNUMBER(MATCH($D1599,CMB_G,0)),2,0)))</f>
        <v/>
      </c>
      <c r="Q1599" s="84">
        <f>IF(ISNUMBER($H1599),-$H1599,0)</f>
        <v>0</v>
      </c>
      <c r="R1599" s="84">
        <f>IF(ISNUMBER($I1599),ABS($I1599),0)</f>
        <v>0</v>
      </c>
      <c r="S1599" s="84">
        <f>IF(ISNUMBER($M1599),ABS($M1599),0)</f>
        <v>0</v>
      </c>
      <c r="T1599" s="85" t="n">
        <v>1591</v>
      </c>
    </row>
    <row r="1600">
      <c r="B1600" s="83" t="n"/>
      <c r="C1600" s="83" t="n"/>
      <c r="D1600" s="83" t="n"/>
      <c r="E1600" s="83" t="n"/>
      <c r="F1600" s="83" t="n"/>
      <c r="G1600" s="83" t="n"/>
      <c r="H1600" s="83" t="n"/>
      <c r="I1600" s="83" t="n"/>
      <c r="J1600" s="83" t="n"/>
      <c r="K1600" s="83" t="n"/>
      <c r="L1600" s="83" t="n"/>
      <c r="M1600" s="83" t="n"/>
      <c r="O1600" s="84" t="str">
        <f>IF($C1600="","",IFERROR(MATCH($B1600&amp;"|"&amp;$C1600,MUROS!$AX$11:$AX$70,0),0))</f>
        <v/>
      </c>
      <c r="P1600" s="84" t="str">
        <f>IF($D1600="","",IF(ISNUMBER(MATCH($D1600,CMB_S,0)),1,IF(ISNUMBER(MATCH($D1600,CMB_G,0)),2,0)))</f>
        <v/>
      </c>
      <c r="Q1600" s="84">
        <f>IF(ISNUMBER($H1600),-$H1600,0)</f>
        <v>0</v>
      </c>
      <c r="R1600" s="84">
        <f>IF(ISNUMBER($I1600),ABS($I1600),0)</f>
        <v>0</v>
      </c>
      <c r="S1600" s="84">
        <f>IF(ISNUMBER($M1600),ABS($M1600),0)</f>
        <v>0</v>
      </c>
      <c r="T1600" s="85" t="n">
        <v>1592</v>
      </c>
    </row>
    <row r="1601">
      <c r="B1601" s="83" t="n"/>
      <c r="C1601" s="83" t="n"/>
      <c r="D1601" s="83" t="n"/>
      <c r="E1601" s="83" t="n"/>
      <c r="F1601" s="83" t="n"/>
      <c r="G1601" s="83" t="n"/>
      <c r="H1601" s="83" t="n"/>
      <c r="I1601" s="83" t="n"/>
      <c r="J1601" s="83" t="n"/>
      <c r="K1601" s="83" t="n"/>
      <c r="L1601" s="83" t="n"/>
      <c r="M1601" s="83" t="n"/>
      <c r="O1601" s="84" t="str">
        <f>IF($C1601="","",IFERROR(MATCH($B1601&amp;"|"&amp;$C1601,MUROS!$AX$11:$AX$70,0),0))</f>
        <v/>
      </c>
      <c r="P1601" s="84" t="str">
        <f>IF($D1601="","",IF(ISNUMBER(MATCH($D1601,CMB_S,0)),1,IF(ISNUMBER(MATCH($D1601,CMB_G,0)),2,0)))</f>
        <v/>
      </c>
      <c r="Q1601" s="84">
        <f>IF(ISNUMBER($H1601),-$H1601,0)</f>
        <v>0</v>
      </c>
      <c r="R1601" s="84">
        <f>IF(ISNUMBER($I1601),ABS($I1601),0)</f>
        <v>0</v>
      </c>
      <c r="S1601" s="84">
        <f>IF(ISNUMBER($M1601),ABS($M1601),0)</f>
        <v>0</v>
      </c>
      <c r="T1601" s="85" t="n">
        <v>1593</v>
      </c>
    </row>
    <row r="1602">
      <c r="B1602" s="83" t="n"/>
      <c r="C1602" s="83" t="n"/>
      <c r="D1602" s="83" t="n"/>
      <c r="E1602" s="83" t="n"/>
      <c r="F1602" s="83" t="n"/>
      <c r="G1602" s="83" t="n"/>
      <c r="H1602" s="83" t="n"/>
      <c r="I1602" s="83" t="n"/>
      <c r="J1602" s="83" t="n"/>
      <c r="K1602" s="83" t="n"/>
      <c r="L1602" s="83" t="n"/>
      <c r="M1602" s="83" t="n"/>
      <c r="O1602" s="84" t="str">
        <f>IF($C1602="","",IFERROR(MATCH($B1602&amp;"|"&amp;$C1602,MUROS!$AX$11:$AX$70,0),0))</f>
        <v/>
      </c>
      <c r="P1602" s="84" t="str">
        <f>IF($D1602="","",IF(ISNUMBER(MATCH($D1602,CMB_S,0)),1,IF(ISNUMBER(MATCH($D1602,CMB_G,0)),2,0)))</f>
        <v/>
      </c>
      <c r="Q1602" s="84">
        <f>IF(ISNUMBER($H1602),-$H1602,0)</f>
        <v>0</v>
      </c>
      <c r="R1602" s="84">
        <f>IF(ISNUMBER($I1602),ABS($I1602),0)</f>
        <v>0</v>
      </c>
      <c r="S1602" s="84">
        <f>IF(ISNUMBER($M1602),ABS($M1602),0)</f>
        <v>0</v>
      </c>
      <c r="T1602" s="85" t="n">
        <v>1594</v>
      </c>
    </row>
    <row r="1603">
      <c r="B1603" s="83" t="n"/>
      <c r="C1603" s="83" t="n"/>
      <c r="D1603" s="83" t="n"/>
      <c r="E1603" s="83" t="n"/>
      <c r="F1603" s="83" t="n"/>
      <c r="G1603" s="83" t="n"/>
      <c r="H1603" s="83" t="n"/>
      <c r="I1603" s="83" t="n"/>
      <c r="J1603" s="83" t="n"/>
      <c r="K1603" s="83" t="n"/>
      <c r="L1603" s="83" t="n"/>
      <c r="M1603" s="83" t="n"/>
      <c r="O1603" s="84" t="str">
        <f>IF($C1603="","",IFERROR(MATCH($B1603&amp;"|"&amp;$C1603,MUROS!$AX$11:$AX$70,0),0))</f>
        <v/>
      </c>
      <c r="P1603" s="84" t="str">
        <f>IF($D1603="","",IF(ISNUMBER(MATCH($D1603,CMB_S,0)),1,IF(ISNUMBER(MATCH($D1603,CMB_G,0)),2,0)))</f>
        <v/>
      </c>
      <c r="Q1603" s="84">
        <f>IF(ISNUMBER($H1603),-$H1603,0)</f>
        <v>0</v>
      </c>
      <c r="R1603" s="84">
        <f>IF(ISNUMBER($I1603),ABS($I1603),0)</f>
        <v>0</v>
      </c>
      <c r="S1603" s="84">
        <f>IF(ISNUMBER($M1603),ABS($M1603),0)</f>
        <v>0</v>
      </c>
      <c r="T1603" s="85" t="n">
        <v>1595</v>
      </c>
    </row>
    <row r="1604">
      <c r="B1604" s="83" t="n"/>
      <c r="C1604" s="83" t="n"/>
      <c r="D1604" s="83" t="n"/>
      <c r="E1604" s="83" t="n"/>
      <c r="F1604" s="83" t="n"/>
      <c r="G1604" s="83" t="n"/>
      <c r="H1604" s="83" t="n"/>
      <c r="I1604" s="83" t="n"/>
      <c r="J1604" s="83" t="n"/>
      <c r="K1604" s="83" t="n"/>
      <c r="L1604" s="83" t="n"/>
      <c r="M1604" s="83" t="n"/>
      <c r="O1604" s="84" t="str">
        <f>IF($C1604="","",IFERROR(MATCH($B1604&amp;"|"&amp;$C1604,MUROS!$AX$11:$AX$70,0),0))</f>
        <v/>
      </c>
      <c r="P1604" s="84" t="str">
        <f>IF($D1604="","",IF(ISNUMBER(MATCH($D1604,CMB_S,0)),1,IF(ISNUMBER(MATCH($D1604,CMB_G,0)),2,0)))</f>
        <v/>
      </c>
      <c r="Q1604" s="84">
        <f>IF(ISNUMBER($H1604),-$H1604,0)</f>
        <v>0</v>
      </c>
      <c r="R1604" s="84">
        <f>IF(ISNUMBER($I1604),ABS($I1604),0)</f>
        <v>0</v>
      </c>
      <c r="S1604" s="84">
        <f>IF(ISNUMBER($M1604),ABS($M1604),0)</f>
        <v>0</v>
      </c>
      <c r="T1604" s="85" t="n">
        <v>1596</v>
      </c>
    </row>
    <row r="1605">
      <c r="B1605" s="83" t="n"/>
      <c r="C1605" s="83" t="n"/>
      <c r="D1605" s="83" t="n"/>
      <c r="E1605" s="83" t="n"/>
      <c r="F1605" s="83" t="n"/>
      <c r="G1605" s="83" t="n"/>
      <c r="H1605" s="83" t="n"/>
      <c r="I1605" s="83" t="n"/>
      <c r="J1605" s="83" t="n"/>
      <c r="K1605" s="83" t="n"/>
      <c r="L1605" s="83" t="n"/>
      <c r="M1605" s="83" t="n"/>
      <c r="O1605" s="84" t="str">
        <f>IF($C1605="","",IFERROR(MATCH($B1605&amp;"|"&amp;$C1605,MUROS!$AX$11:$AX$70,0),0))</f>
        <v/>
      </c>
      <c r="P1605" s="84" t="str">
        <f>IF($D1605="","",IF(ISNUMBER(MATCH($D1605,CMB_S,0)),1,IF(ISNUMBER(MATCH($D1605,CMB_G,0)),2,0)))</f>
        <v/>
      </c>
      <c r="Q1605" s="84">
        <f>IF(ISNUMBER($H1605),-$H1605,0)</f>
        <v>0</v>
      </c>
      <c r="R1605" s="84">
        <f>IF(ISNUMBER($I1605),ABS($I1605),0)</f>
        <v>0</v>
      </c>
      <c r="S1605" s="84">
        <f>IF(ISNUMBER($M1605),ABS($M1605),0)</f>
        <v>0</v>
      </c>
      <c r="T1605" s="85" t="n">
        <v>1597</v>
      </c>
    </row>
    <row r="1606">
      <c r="B1606" s="83" t="n"/>
      <c r="C1606" s="83" t="n"/>
      <c r="D1606" s="83" t="n"/>
      <c r="E1606" s="83" t="n"/>
      <c r="F1606" s="83" t="n"/>
      <c r="G1606" s="83" t="n"/>
      <c r="H1606" s="83" t="n"/>
      <c r="I1606" s="83" t="n"/>
      <c r="J1606" s="83" t="n"/>
      <c r="K1606" s="83" t="n"/>
      <c r="L1606" s="83" t="n"/>
      <c r="M1606" s="83" t="n"/>
      <c r="O1606" s="84" t="str">
        <f>IF($C1606="","",IFERROR(MATCH($B1606&amp;"|"&amp;$C1606,MUROS!$AX$11:$AX$70,0),0))</f>
        <v/>
      </c>
      <c r="P1606" s="84" t="str">
        <f>IF($D1606="","",IF(ISNUMBER(MATCH($D1606,CMB_S,0)),1,IF(ISNUMBER(MATCH($D1606,CMB_G,0)),2,0)))</f>
        <v/>
      </c>
      <c r="Q1606" s="84">
        <f>IF(ISNUMBER($H1606),-$H1606,0)</f>
        <v>0</v>
      </c>
      <c r="R1606" s="84">
        <f>IF(ISNUMBER($I1606),ABS($I1606),0)</f>
        <v>0</v>
      </c>
      <c r="S1606" s="84">
        <f>IF(ISNUMBER($M1606),ABS($M1606),0)</f>
        <v>0</v>
      </c>
      <c r="T1606" s="85" t="n">
        <v>1598</v>
      </c>
    </row>
    <row r="1607">
      <c r="B1607" s="83" t="n"/>
      <c r="C1607" s="83" t="n"/>
      <c r="D1607" s="83" t="n"/>
      <c r="E1607" s="83" t="n"/>
      <c r="F1607" s="83" t="n"/>
      <c r="G1607" s="83" t="n"/>
      <c r="H1607" s="83" t="n"/>
      <c r="I1607" s="83" t="n"/>
      <c r="J1607" s="83" t="n"/>
      <c r="K1607" s="83" t="n"/>
      <c r="L1607" s="83" t="n"/>
      <c r="M1607" s="83" t="n"/>
      <c r="O1607" s="84" t="str">
        <f>IF($C1607="","",IFERROR(MATCH($B1607&amp;"|"&amp;$C1607,MUROS!$AX$11:$AX$70,0),0))</f>
        <v/>
      </c>
      <c r="P1607" s="84" t="str">
        <f>IF($D1607="","",IF(ISNUMBER(MATCH($D1607,CMB_S,0)),1,IF(ISNUMBER(MATCH($D1607,CMB_G,0)),2,0)))</f>
        <v/>
      </c>
      <c r="Q1607" s="84">
        <f>IF(ISNUMBER($H1607),-$H1607,0)</f>
        <v>0</v>
      </c>
      <c r="R1607" s="84">
        <f>IF(ISNUMBER($I1607),ABS($I1607),0)</f>
        <v>0</v>
      </c>
      <c r="S1607" s="84">
        <f>IF(ISNUMBER($M1607),ABS($M1607),0)</f>
        <v>0</v>
      </c>
      <c r="T1607" s="85" t="n">
        <v>1599</v>
      </c>
    </row>
    <row r="1608">
      <c r="B1608" s="83" t="n"/>
      <c r="C1608" s="83" t="n"/>
      <c r="D1608" s="83" t="n"/>
      <c r="E1608" s="83" t="n"/>
      <c r="F1608" s="83" t="n"/>
      <c r="G1608" s="83" t="n"/>
      <c r="H1608" s="83" t="n"/>
      <c r="I1608" s="83" t="n"/>
      <c r="J1608" s="83" t="n"/>
      <c r="K1608" s="83" t="n"/>
      <c r="L1608" s="83" t="n"/>
      <c r="M1608" s="83" t="n"/>
      <c r="O1608" s="84" t="str">
        <f>IF($C1608="","",IFERROR(MATCH($B1608&amp;"|"&amp;$C1608,MUROS!$AX$11:$AX$70,0),0))</f>
        <v/>
      </c>
      <c r="P1608" s="84" t="str">
        <f>IF($D1608="","",IF(ISNUMBER(MATCH($D1608,CMB_S,0)),1,IF(ISNUMBER(MATCH($D1608,CMB_G,0)),2,0)))</f>
        <v/>
      </c>
      <c r="Q1608" s="84">
        <f>IF(ISNUMBER($H1608),-$H1608,0)</f>
        <v>0</v>
      </c>
      <c r="R1608" s="84">
        <f>IF(ISNUMBER($I1608),ABS($I1608),0)</f>
        <v>0</v>
      </c>
      <c r="S1608" s="84">
        <f>IF(ISNUMBER($M1608),ABS($M1608),0)</f>
        <v>0</v>
      </c>
      <c r="T1608" s="85" t="n">
        <v>1600</v>
      </c>
    </row>
    <row r="1609">
      <c r="B1609" s="83" t="n"/>
      <c r="C1609" s="83" t="n"/>
      <c r="D1609" s="83" t="n"/>
      <c r="E1609" s="83" t="n"/>
      <c r="F1609" s="83" t="n"/>
      <c r="G1609" s="83" t="n"/>
      <c r="H1609" s="83" t="n"/>
      <c r="I1609" s="83" t="n"/>
      <c r="J1609" s="83" t="n"/>
      <c r="K1609" s="83" t="n"/>
      <c r="L1609" s="83" t="n"/>
      <c r="M1609" s="83" t="n"/>
      <c r="O1609" s="84" t="str">
        <f>IF($C1609="","",IFERROR(MATCH($B1609&amp;"|"&amp;$C1609,MUROS!$AX$11:$AX$70,0),0))</f>
        <v/>
      </c>
      <c r="P1609" s="84" t="str">
        <f>IF($D1609="","",IF(ISNUMBER(MATCH($D1609,CMB_S,0)),1,IF(ISNUMBER(MATCH($D1609,CMB_G,0)),2,0)))</f>
        <v/>
      </c>
      <c r="Q1609" s="84">
        <f>IF(ISNUMBER($H1609),-$H1609,0)</f>
        <v>0</v>
      </c>
      <c r="R1609" s="84">
        <f>IF(ISNUMBER($I1609),ABS($I1609),0)</f>
        <v>0</v>
      </c>
      <c r="S1609" s="84">
        <f>IF(ISNUMBER($M1609),ABS($M1609),0)</f>
        <v>0</v>
      </c>
      <c r="T1609" s="85" t="n">
        <v>1601</v>
      </c>
    </row>
    <row r="1610">
      <c r="B1610" s="83" t="n"/>
      <c r="C1610" s="83" t="n"/>
      <c r="D1610" s="83" t="n"/>
      <c r="E1610" s="83" t="n"/>
      <c r="F1610" s="83" t="n"/>
      <c r="G1610" s="83" t="n"/>
      <c r="H1610" s="83" t="n"/>
      <c r="I1610" s="83" t="n"/>
      <c r="J1610" s="83" t="n"/>
      <c r="K1610" s="83" t="n"/>
      <c r="L1610" s="83" t="n"/>
      <c r="M1610" s="83" t="n"/>
      <c r="O1610" s="84" t="str">
        <f>IF($C1610="","",IFERROR(MATCH($B1610&amp;"|"&amp;$C1610,MUROS!$AX$11:$AX$70,0),0))</f>
        <v/>
      </c>
      <c r="P1610" s="84" t="str">
        <f>IF($D1610="","",IF(ISNUMBER(MATCH($D1610,CMB_S,0)),1,IF(ISNUMBER(MATCH($D1610,CMB_G,0)),2,0)))</f>
        <v/>
      </c>
      <c r="Q1610" s="84">
        <f>IF(ISNUMBER($H1610),-$H1610,0)</f>
        <v>0</v>
      </c>
      <c r="R1610" s="84">
        <f>IF(ISNUMBER($I1610),ABS($I1610),0)</f>
        <v>0</v>
      </c>
      <c r="S1610" s="84">
        <f>IF(ISNUMBER($M1610),ABS($M1610),0)</f>
        <v>0</v>
      </c>
      <c r="T1610" s="85" t="n">
        <v>1602</v>
      </c>
    </row>
    <row r="1611">
      <c r="B1611" s="83" t="n"/>
      <c r="C1611" s="83" t="n"/>
      <c r="D1611" s="83" t="n"/>
      <c r="E1611" s="83" t="n"/>
      <c r="F1611" s="83" t="n"/>
      <c r="G1611" s="83" t="n"/>
      <c r="H1611" s="83" t="n"/>
      <c r="I1611" s="83" t="n"/>
      <c r="J1611" s="83" t="n"/>
      <c r="K1611" s="83" t="n"/>
      <c r="L1611" s="83" t="n"/>
      <c r="M1611" s="83" t="n"/>
      <c r="O1611" s="84" t="str">
        <f>IF($C1611="","",IFERROR(MATCH($B1611&amp;"|"&amp;$C1611,MUROS!$AX$11:$AX$70,0),0))</f>
        <v/>
      </c>
      <c r="P1611" s="84" t="str">
        <f>IF($D1611="","",IF(ISNUMBER(MATCH($D1611,CMB_S,0)),1,IF(ISNUMBER(MATCH($D1611,CMB_G,0)),2,0)))</f>
        <v/>
      </c>
      <c r="Q1611" s="84">
        <f>IF(ISNUMBER($H1611),-$H1611,0)</f>
        <v>0</v>
      </c>
      <c r="R1611" s="84">
        <f>IF(ISNUMBER($I1611),ABS($I1611),0)</f>
        <v>0</v>
      </c>
      <c r="S1611" s="84">
        <f>IF(ISNUMBER($M1611),ABS($M1611),0)</f>
        <v>0</v>
      </c>
      <c r="T1611" s="85" t="n">
        <v>1603</v>
      </c>
    </row>
    <row r="1612">
      <c r="B1612" s="83" t="n"/>
      <c r="C1612" s="83" t="n"/>
      <c r="D1612" s="83" t="n"/>
      <c r="E1612" s="83" t="n"/>
      <c r="F1612" s="83" t="n"/>
      <c r="G1612" s="83" t="n"/>
      <c r="H1612" s="83" t="n"/>
      <c r="I1612" s="83" t="n"/>
      <c r="J1612" s="83" t="n"/>
      <c r="K1612" s="83" t="n"/>
      <c r="L1612" s="83" t="n"/>
      <c r="M1612" s="83" t="n"/>
      <c r="O1612" s="84" t="str">
        <f>IF($C1612="","",IFERROR(MATCH($B1612&amp;"|"&amp;$C1612,MUROS!$AX$11:$AX$70,0),0))</f>
        <v/>
      </c>
      <c r="P1612" s="84" t="str">
        <f>IF($D1612="","",IF(ISNUMBER(MATCH($D1612,CMB_S,0)),1,IF(ISNUMBER(MATCH($D1612,CMB_G,0)),2,0)))</f>
        <v/>
      </c>
      <c r="Q1612" s="84">
        <f>IF(ISNUMBER($H1612),-$H1612,0)</f>
        <v>0</v>
      </c>
      <c r="R1612" s="84">
        <f>IF(ISNUMBER($I1612),ABS($I1612),0)</f>
        <v>0</v>
      </c>
      <c r="S1612" s="84">
        <f>IF(ISNUMBER($M1612),ABS($M1612),0)</f>
        <v>0</v>
      </c>
      <c r="T1612" s="85" t="n">
        <v>1604</v>
      </c>
    </row>
    <row r="1613">
      <c r="B1613" s="83" t="n"/>
      <c r="C1613" s="83" t="n"/>
      <c r="D1613" s="83" t="n"/>
      <c r="E1613" s="83" t="n"/>
      <c r="F1613" s="83" t="n"/>
      <c r="G1613" s="83" t="n"/>
      <c r="H1613" s="83" t="n"/>
      <c r="I1613" s="83" t="n"/>
      <c r="J1613" s="83" t="n"/>
      <c r="K1613" s="83" t="n"/>
      <c r="L1613" s="83" t="n"/>
      <c r="M1613" s="83" t="n"/>
      <c r="O1613" s="84" t="str">
        <f>IF($C1613="","",IFERROR(MATCH($B1613&amp;"|"&amp;$C1613,MUROS!$AX$11:$AX$70,0),0))</f>
        <v/>
      </c>
      <c r="P1613" s="84" t="str">
        <f>IF($D1613="","",IF(ISNUMBER(MATCH($D1613,CMB_S,0)),1,IF(ISNUMBER(MATCH($D1613,CMB_G,0)),2,0)))</f>
        <v/>
      </c>
      <c r="Q1613" s="84">
        <f>IF(ISNUMBER($H1613),-$H1613,0)</f>
        <v>0</v>
      </c>
      <c r="R1613" s="84">
        <f>IF(ISNUMBER($I1613),ABS($I1613),0)</f>
        <v>0</v>
      </c>
      <c r="S1613" s="84">
        <f>IF(ISNUMBER($M1613),ABS($M1613),0)</f>
        <v>0</v>
      </c>
      <c r="T1613" s="85" t="n">
        <v>1605</v>
      </c>
    </row>
    <row r="1614">
      <c r="B1614" s="83" t="n"/>
      <c r="C1614" s="83" t="n"/>
      <c r="D1614" s="83" t="n"/>
      <c r="E1614" s="83" t="n"/>
      <c r="F1614" s="83" t="n"/>
      <c r="G1614" s="83" t="n"/>
      <c r="H1614" s="83" t="n"/>
      <c r="I1614" s="83" t="n"/>
      <c r="J1614" s="83" t="n"/>
      <c r="K1614" s="83" t="n"/>
      <c r="L1614" s="83" t="n"/>
      <c r="M1614" s="83" t="n"/>
      <c r="O1614" s="84" t="str">
        <f>IF($C1614="","",IFERROR(MATCH($B1614&amp;"|"&amp;$C1614,MUROS!$AX$11:$AX$70,0),0))</f>
        <v/>
      </c>
      <c r="P1614" s="84" t="str">
        <f>IF($D1614="","",IF(ISNUMBER(MATCH($D1614,CMB_S,0)),1,IF(ISNUMBER(MATCH($D1614,CMB_G,0)),2,0)))</f>
        <v/>
      </c>
      <c r="Q1614" s="84">
        <f>IF(ISNUMBER($H1614),-$H1614,0)</f>
        <v>0</v>
      </c>
      <c r="R1614" s="84">
        <f>IF(ISNUMBER($I1614),ABS($I1614),0)</f>
        <v>0</v>
      </c>
      <c r="S1614" s="84">
        <f>IF(ISNUMBER($M1614),ABS($M1614),0)</f>
        <v>0</v>
      </c>
      <c r="T1614" s="85" t="n">
        <v>1606</v>
      </c>
    </row>
    <row r="1615">
      <c r="B1615" s="83" t="n"/>
      <c r="C1615" s="83" t="n"/>
      <c r="D1615" s="83" t="n"/>
      <c r="E1615" s="83" t="n"/>
      <c r="F1615" s="83" t="n"/>
      <c r="G1615" s="83" t="n"/>
      <c r="H1615" s="83" t="n"/>
      <c r="I1615" s="83" t="n"/>
      <c r="J1615" s="83" t="n"/>
      <c r="K1615" s="83" t="n"/>
      <c r="L1615" s="83" t="n"/>
      <c r="M1615" s="83" t="n"/>
      <c r="O1615" s="84" t="str">
        <f>IF($C1615="","",IFERROR(MATCH($B1615&amp;"|"&amp;$C1615,MUROS!$AX$11:$AX$70,0),0))</f>
        <v/>
      </c>
      <c r="P1615" s="84" t="str">
        <f>IF($D1615="","",IF(ISNUMBER(MATCH($D1615,CMB_S,0)),1,IF(ISNUMBER(MATCH($D1615,CMB_G,0)),2,0)))</f>
        <v/>
      </c>
      <c r="Q1615" s="84">
        <f>IF(ISNUMBER($H1615),-$H1615,0)</f>
        <v>0</v>
      </c>
      <c r="R1615" s="84">
        <f>IF(ISNUMBER($I1615),ABS($I1615),0)</f>
        <v>0</v>
      </c>
      <c r="S1615" s="84">
        <f>IF(ISNUMBER($M1615),ABS($M1615),0)</f>
        <v>0</v>
      </c>
      <c r="T1615" s="85" t="n">
        <v>1607</v>
      </c>
    </row>
    <row r="1616">
      <c r="B1616" s="83" t="n"/>
      <c r="C1616" s="83" t="n"/>
      <c r="D1616" s="83" t="n"/>
      <c r="E1616" s="83" t="n"/>
      <c r="F1616" s="83" t="n"/>
      <c r="G1616" s="83" t="n"/>
      <c r="H1616" s="83" t="n"/>
      <c r="I1616" s="83" t="n"/>
      <c r="J1616" s="83" t="n"/>
      <c r="K1616" s="83" t="n"/>
      <c r="L1616" s="83" t="n"/>
      <c r="M1616" s="83" t="n"/>
      <c r="O1616" s="84" t="str">
        <f>IF($C1616="","",IFERROR(MATCH($B1616&amp;"|"&amp;$C1616,MUROS!$AX$11:$AX$70,0),0))</f>
        <v/>
      </c>
      <c r="P1616" s="84" t="str">
        <f>IF($D1616="","",IF(ISNUMBER(MATCH($D1616,CMB_S,0)),1,IF(ISNUMBER(MATCH($D1616,CMB_G,0)),2,0)))</f>
        <v/>
      </c>
      <c r="Q1616" s="84">
        <f>IF(ISNUMBER($H1616),-$H1616,0)</f>
        <v>0</v>
      </c>
      <c r="R1616" s="84">
        <f>IF(ISNUMBER($I1616),ABS($I1616),0)</f>
        <v>0</v>
      </c>
      <c r="S1616" s="84">
        <f>IF(ISNUMBER($M1616),ABS($M1616),0)</f>
        <v>0</v>
      </c>
      <c r="T1616" s="85" t="n">
        <v>1608</v>
      </c>
    </row>
    <row r="1617">
      <c r="B1617" s="83" t="n"/>
      <c r="C1617" s="83" t="n"/>
      <c r="D1617" s="83" t="n"/>
      <c r="E1617" s="83" t="n"/>
      <c r="F1617" s="83" t="n"/>
      <c r="G1617" s="83" t="n"/>
      <c r="H1617" s="83" t="n"/>
      <c r="I1617" s="83" t="n"/>
      <c r="J1617" s="83" t="n"/>
      <c r="K1617" s="83" t="n"/>
      <c r="L1617" s="83" t="n"/>
      <c r="M1617" s="83" t="n"/>
      <c r="O1617" s="84" t="str">
        <f>IF($C1617="","",IFERROR(MATCH($B1617&amp;"|"&amp;$C1617,MUROS!$AX$11:$AX$70,0),0))</f>
        <v/>
      </c>
      <c r="P1617" s="84" t="str">
        <f>IF($D1617="","",IF(ISNUMBER(MATCH($D1617,CMB_S,0)),1,IF(ISNUMBER(MATCH($D1617,CMB_G,0)),2,0)))</f>
        <v/>
      </c>
      <c r="Q1617" s="84">
        <f>IF(ISNUMBER($H1617),-$H1617,0)</f>
        <v>0</v>
      </c>
      <c r="R1617" s="84">
        <f>IF(ISNUMBER($I1617),ABS($I1617),0)</f>
        <v>0</v>
      </c>
      <c r="S1617" s="84">
        <f>IF(ISNUMBER($M1617),ABS($M1617),0)</f>
        <v>0</v>
      </c>
      <c r="T1617" s="85" t="n">
        <v>1609</v>
      </c>
    </row>
    <row r="1618">
      <c r="B1618" s="83" t="n"/>
      <c r="C1618" s="83" t="n"/>
      <c r="D1618" s="83" t="n"/>
      <c r="E1618" s="83" t="n"/>
      <c r="F1618" s="83" t="n"/>
      <c r="G1618" s="83" t="n"/>
      <c r="H1618" s="83" t="n"/>
      <c r="I1618" s="83" t="n"/>
      <c r="J1618" s="83" t="n"/>
      <c r="K1618" s="83" t="n"/>
      <c r="L1618" s="83" t="n"/>
      <c r="M1618" s="83" t="n"/>
      <c r="O1618" s="84" t="str">
        <f>IF($C1618="","",IFERROR(MATCH($B1618&amp;"|"&amp;$C1618,MUROS!$AX$11:$AX$70,0),0))</f>
        <v/>
      </c>
      <c r="P1618" s="84" t="str">
        <f>IF($D1618="","",IF(ISNUMBER(MATCH($D1618,CMB_S,0)),1,IF(ISNUMBER(MATCH($D1618,CMB_G,0)),2,0)))</f>
        <v/>
      </c>
      <c r="Q1618" s="84">
        <f>IF(ISNUMBER($H1618),-$H1618,0)</f>
        <v>0</v>
      </c>
      <c r="R1618" s="84">
        <f>IF(ISNUMBER($I1618),ABS($I1618),0)</f>
        <v>0</v>
      </c>
      <c r="S1618" s="84">
        <f>IF(ISNUMBER($M1618),ABS($M1618),0)</f>
        <v>0</v>
      </c>
      <c r="T1618" s="85" t="n">
        <v>1610</v>
      </c>
    </row>
    <row r="1619">
      <c r="B1619" s="83" t="n"/>
      <c r="C1619" s="83" t="n"/>
      <c r="D1619" s="83" t="n"/>
      <c r="E1619" s="83" t="n"/>
      <c r="F1619" s="83" t="n"/>
      <c r="G1619" s="83" t="n"/>
      <c r="H1619" s="83" t="n"/>
      <c r="I1619" s="83" t="n"/>
      <c r="J1619" s="83" t="n"/>
      <c r="K1619" s="83" t="n"/>
      <c r="L1619" s="83" t="n"/>
      <c r="M1619" s="83" t="n"/>
      <c r="O1619" s="84" t="str">
        <f>IF($C1619="","",IFERROR(MATCH($B1619&amp;"|"&amp;$C1619,MUROS!$AX$11:$AX$70,0),0))</f>
        <v/>
      </c>
      <c r="P1619" s="84" t="str">
        <f>IF($D1619="","",IF(ISNUMBER(MATCH($D1619,CMB_S,0)),1,IF(ISNUMBER(MATCH($D1619,CMB_G,0)),2,0)))</f>
        <v/>
      </c>
      <c r="Q1619" s="84">
        <f>IF(ISNUMBER($H1619),-$H1619,0)</f>
        <v>0</v>
      </c>
      <c r="R1619" s="84">
        <f>IF(ISNUMBER($I1619),ABS($I1619),0)</f>
        <v>0</v>
      </c>
      <c r="S1619" s="84">
        <f>IF(ISNUMBER($M1619),ABS($M1619),0)</f>
        <v>0</v>
      </c>
      <c r="T1619" s="85" t="n">
        <v>1611</v>
      </c>
    </row>
    <row r="1620">
      <c r="B1620" s="83" t="n"/>
      <c r="C1620" s="83" t="n"/>
      <c r="D1620" s="83" t="n"/>
      <c r="E1620" s="83" t="n"/>
      <c r="F1620" s="83" t="n"/>
      <c r="G1620" s="83" t="n"/>
      <c r="H1620" s="83" t="n"/>
      <c r="I1620" s="83" t="n"/>
      <c r="J1620" s="83" t="n"/>
      <c r="K1620" s="83" t="n"/>
      <c r="L1620" s="83" t="n"/>
      <c r="M1620" s="83" t="n"/>
      <c r="O1620" s="84" t="str">
        <f>IF($C1620="","",IFERROR(MATCH($B1620&amp;"|"&amp;$C1620,MUROS!$AX$11:$AX$70,0),0))</f>
        <v/>
      </c>
      <c r="P1620" s="84" t="str">
        <f>IF($D1620="","",IF(ISNUMBER(MATCH($D1620,CMB_S,0)),1,IF(ISNUMBER(MATCH($D1620,CMB_G,0)),2,0)))</f>
        <v/>
      </c>
      <c r="Q1620" s="84">
        <f>IF(ISNUMBER($H1620),-$H1620,0)</f>
        <v>0</v>
      </c>
      <c r="R1620" s="84">
        <f>IF(ISNUMBER($I1620),ABS($I1620),0)</f>
        <v>0</v>
      </c>
      <c r="S1620" s="84">
        <f>IF(ISNUMBER($M1620),ABS($M1620),0)</f>
        <v>0</v>
      </c>
      <c r="T1620" s="85" t="n">
        <v>1612</v>
      </c>
    </row>
    <row r="1621">
      <c r="B1621" s="83" t="n"/>
      <c r="C1621" s="83" t="n"/>
      <c r="D1621" s="83" t="n"/>
      <c r="E1621" s="83" t="n"/>
      <c r="F1621" s="83" t="n"/>
      <c r="G1621" s="83" t="n"/>
      <c r="H1621" s="83" t="n"/>
      <c r="I1621" s="83" t="n"/>
      <c r="J1621" s="83" t="n"/>
      <c r="K1621" s="83" t="n"/>
      <c r="L1621" s="83" t="n"/>
      <c r="M1621" s="83" t="n"/>
      <c r="O1621" s="84" t="str">
        <f>IF($C1621="","",IFERROR(MATCH($B1621&amp;"|"&amp;$C1621,MUROS!$AX$11:$AX$70,0),0))</f>
        <v/>
      </c>
      <c r="P1621" s="84" t="str">
        <f>IF($D1621="","",IF(ISNUMBER(MATCH($D1621,CMB_S,0)),1,IF(ISNUMBER(MATCH($D1621,CMB_G,0)),2,0)))</f>
        <v/>
      </c>
      <c r="Q1621" s="84">
        <f>IF(ISNUMBER($H1621),-$H1621,0)</f>
        <v>0</v>
      </c>
      <c r="R1621" s="84">
        <f>IF(ISNUMBER($I1621),ABS($I1621),0)</f>
        <v>0</v>
      </c>
      <c r="S1621" s="84">
        <f>IF(ISNUMBER($M1621),ABS($M1621),0)</f>
        <v>0</v>
      </c>
      <c r="T1621" s="85" t="n">
        <v>1613</v>
      </c>
    </row>
    <row r="1622">
      <c r="B1622" s="83" t="n"/>
      <c r="C1622" s="83" t="n"/>
      <c r="D1622" s="83" t="n"/>
      <c r="E1622" s="83" t="n"/>
      <c r="F1622" s="83" t="n"/>
      <c r="G1622" s="83" t="n"/>
      <c r="H1622" s="83" t="n"/>
      <c r="I1622" s="83" t="n"/>
      <c r="J1622" s="83" t="n"/>
      <c r="K1622" s="83" t="n"/>
      <c r="L1622" s="83" t="n"/>
      <c r="M1622" s="83" t="n"/>
      <c r="O1622" s="84" t="str">
        <f>IF($C1622="","",IFERROR(MATCH($B1622&amp;"|"&amp;$C1622,MUROS!$AX$11:$AX$70,0),0))</f>
        <v/>
      </c>
      <c r="P1622" s="84" t="str">
        <f>IF($D1622="","",IF(ISNUMBER(MATCH($D1622,CMB_S,0)),1,IF(ISNUMBER(MATCH($D1622,CMB_G,0)),2,0)))</f>
        <v/>
      </c>
      <c r="Q1622" s="84">
        <f>IF(ISNUMBER($H1622),-$H1622,0)</f>
        <v>0</v>
      </c>
      <c r="R1622" s="84">
        <f>IF(ISNUMBER($I1622),ABS($I1622),0)</f>
        <v>0</v>
      </c>
      <c r="S1622" s="84">
        <f>IF(ISNUMBER($M1622),ABS($M1622),0)</f>
        <v>0</v>
      </c>
      <c r="T1622" s="85" t="n">
        <v>1614</v>
      </c>
    </row>
    <row r="1623">
      <c r="B1623" s="83" t="n"/>
      <c r="C1623" s="83" t="n"/>
      <c r="D1623" s="83" t="n"/>
      <c r="E1623" s="83" t="n"/>
      <c r="F1623" s="83" t="n"/>
      <c r="G1623" s="83" t="n"/>
      <c r="H1623" s="83" t="n"/>
      <c r="I1623" s="83" t="n"/>
      <c r="J1623" s="83" t="n"/>
      <c r="K1623" s="83" t="n"/>
      <c r="L1623" s="83" t="n"/>
      <c r="M1623" s="83" t="n"/>
      <c r="O1623" s="84" t="str">
        <f>IF($C1623="","",IFERROR(MATCH($B1623&amp;"|"&amp;$C1623,MUROS!$AX$11:$AX$70,0),0))</f>
        <v/>
      </c>
      <c r="P1623" s="84" t="str">
        <f>IF($D1623="","",IF(ISNUMBER(MATCH($D1623,CMB_S,0)),1,IF(ISNUMBER(MATCH($D1623,CMB_G,0)),2,0)))</f>
        <v/>
      </c>
      <c r="Q1623" s="84">
        <f>IF(ISNUMBER($H1623),-$H1623,0)</f>
        <v>0</v>
      </c>
      <c r="R1623" s="84">
        <f>IF(ISNUMBER($I1623),ABS($I1623),0)</f>
        <v>0</v>
      </c>
      <c r="S1623" s="84">
        <f>IF(ISNUMBER($M1623),ABS($M1623),0)</f>
        <v>0</v>
      </c>
      <c r="T1623" s="85" t="n">
        <v>1615</v>
      </c>
    </row>
    <row r="1624">
      <c r="B1624" s="83" t="n"/>
      <c r="C1624" s="83" t="n"/>
      <c r="D1624" s="83" t="n"/>
      <c r="E1624" s="83" t="n"/>
      <c r="F1624" s="83" t="n"/>
      <c r="G1624" s="83" t="n"/>
      <c r="H1624" s="83" t="n"/>
      <c r="I1624" s="83" t="n"/>
      <c r="J1624" s="83" t="n"/>
      <c r="K1624" s="83" t="n"/>
      <c r="L1624" s="83" t="n"/>
      <c r="M1624" s="83" t="n"/>
      <c r="O1624" s="84" t="str">
        <f>IF($C1624="","",IFERROR(MATCH($B1624&amp;"|"&amp;$C1624,MUROS!$AX$11:$AX$70,0),0))</f>
        <v/>
      </c>
      <c r="P1624" s="84" t="str">
        <f>IF($D1624="","",IF(ISNUMBER(MATCH($D1624,CMB_S,0)),1,IF(ISNUMBER(MATCH($D1624,CMB_G,0)),2,0)))</f>
        <v/>
      </c>
      <c r="Q1624" s="84">
        <f>IF(ISNUMBER($H1624),-$H1624,0)</f>
        <v>0</v>
      </c>
      <c r="R1624" s="84">
        <f>IF(ISNUMBER($I1624),ABS($I1624),0)</f>
        <v>0</v>
      </c>
      <c r="S1624" s="84">
        <f>IF(ISNUMBER($M1624),ABS($M1624),0)</f>
        <v>0</v>
      </c>
      <c r="T1624" s="85" t="n">
        <v>1616</v>
      </c>
    </row>
    <row r="1625">
      <c r="B1625" s="83" t="n"/>
      <c r="C1625" s="83" t="n"/>
      <c r="D1625" s="83" t="n"/>
      <c r="E1625" s="83" t="n"/>
      <c r="F1625" s="83" t="n"/>
      <c r="G1625" s="83" t="n"/>
      <c r="H1625" s="83" t="n"/>
      <c r="I1625" s="83" t="n"/>
      <c r="J1625" s="83" t="n"/>
      <c r="K1625" s="83" t="n"/>
      <c r="L1625" s="83" t="n"/>
      <c r="M1625" s="83" t="n"/>
      <c r="O1625" s="84" t="str">
        <f>IF($C1625="","",IFERROR(MATCH($B1625&amp;"|"&amp;$C1625,MUROS!$AX$11:$AX$70,0),0))</f>
        <v/>
      </c>
      <c r="P1625" s="84" t="str">
        <f>IF($D1625="","",IF(ISNUMBER(MATCH($D1625,CMB_S,0)),1,IF(ISNUMBER(MATCH($D1625,CMB_G,0)),2,0)))</f>
        <v/>
      </c>
      <c r="Q1625" s="84">
        <f>IF(ISNUMBER($H1625),-$H1625,0)</f>
        <v>0</v>
      </c>
      <c r="R1625" s="84">
        <f>IF(ISNUMBER($I1625),ABS($I1625),0)</f>
        <v>0</v>
      </c>
      <c r="S1625" s="84">
        <f>IF(ISNUMBER($M1625),ABS($M1625),0)</f>
        <v>0</v>
      </c>
      <c r="T1625" s="85" t="n">
        <v>1617</v>
      </c>
    </row>
    <row r="1626">
      <c r="B1626" s="83" t="n"/>
      <c r="C1626" s="83" t="n"/>
      <c r="D1626" s="83" t="n"/>
      <c r="E1626" s="83" t="n"/>
      <c r="F1626" s="83" t="n"/>
      <c r="G1626" s="83" t="n"/>
      <c r="H1626" s="83" t="n"/>
      <c r="I1626" s="83" t="n"/>
      <c r="J1626" s="83" t="n"/>
      <c r="K1626" s="83" t="n"/>
      <c r="L1626" s="83" t="n"/>
      <c r="M1626" s="83" t="n"/>
      <c r="O1626" s="84" t="str">
        <f>IF($C1626="","",IFERROR(MATCH($B1626&amp;"|"&amp;$C1626,MUROS!$AX$11:$AX$70,0),0))</f>
        <v/>
      </c>
      <c r="P1626" s="84" t="str">
        <f>IF($D1626="","",IF(ISNUMBER(MATCH($D1626,CMB_S,0)),1,IF(ISNUMBER(MATCH($D1626,CMB_G,0)),2,0)))</f>
        <v/>
      </c>
      <c r="Q1626" s="84">
        <f>IF(ISNUMBER($H1626),-$H1626,0)</f>
        <v>0</v>
      </c>
      <c r="R1626" s="84">
        <f>IF(ISNUMBER($I1626),ABS($I1626),0)</f>
        <v>0</v>
      </c>
      <c r="S1626" s="84">
        <f>IF(ISNUMBER($M1626),ABS($M1626),0)</f>
        <v>0</v>
      </c>
      <c r="T1626" s="85" t="n">
        <v>1618</v>
      </c>
    </row>
    <row r="1627">
      <c r="B1627" s="83" t="n"/>
      <c r="C1627" s="83" t="n"/>
      <c r="D1627" s="83" t="n"/>
      <c r="E1627" s="83" t="n"/>
      <c r="F1627" s="83" t="n"/>
      <c r="G1627" s="83" t="n"/>
      <c r="H1627" s="83" t="n"/>
      <c r="I1627" s="83" t="n"/>
      <c r="J1627" s="83" t="n"/>
      <c r="K1627" s="83" t="n"/>
      <c r="L1627" s="83" t="n"/>
      <c r="M1627" s="83" t="n"/>
      <c r="O1627" s="84" t="str">
        <f>IF($C1627="","",IFERROR(MATCH($B1627&amp;"|"&amp;$C1627,MUROS!$AX$11:$AX$70,0),0))</f>
        <v/>
      </c>
      <c r="P1627" s="84" t="str">
        <f>IF($D1627="","",IF(ISNUMBER(MATCH($D1627,CMB_S,0)),1,IF(ISNUMBER(MATCH($D1627,CMB_G,0)),2,0)))</f>
        <v/>
      </c>
      <c r="Q1627" s="84">
        <f>IF(ISNUMBER($H1627),-$H1627,0)</f>
        <v>0</v>
      </c>
      <c r="R1627" s="84">
        <f>IF(ISNUMBER($I1627),ABS($I1627),0)</f>
        <v>0</v>
      </c>
      <c r="S1627" s="84">
        <f>IF(ISNUMBER($M1627),ABS($M1627),0)</f>
        <v>0</v>
      </c>
      <c r="T1627" s="85" t="n">
        <v>1619</v>
      </c>
    </row>
    <row r="1628">
      <c r="B1628" s="83" t="n"/>
      <c r="C1628" s="83" t="n"/>
      <c r="D1628" s="83" t="n"/>
      <c r="E1628" s="83" t="n"/>
      <c r="F1628" s="83" t="n"/>
      <c r="G1628" s="83" t="n"/>
      <c r="H1628" s="83" t="n"/>
      <c r="I1628" s="83" t="n"/>
      <c r="J1628" s="83" t="n"/>
      <c r="K1628" s="83" t="n"/>
      <c r="L1628" s="83" t="n"/>
      <c r="M1628" s="83" t="n"/>
      <c r="O1628" s="84" t="str">
        <f>IF($C1628="","",IFERROR(MATCH($B1628&amp;"|"&amp;$C1628,MUROS!$AX$11:$AX$70,0),0))</f>
        <v/>
      </c>
      <c r="P1628" s="84" t="str">
        <f>IF($D1628="","",IF(ISNUMBER(MATCH($D1628,CMB_S,0)),1,IF(ISNUMBER(MATCH($D1628,CMB_G,0)),2,0)))</f>
        <v/>
      </c>
      <c r="Q1628" s="84">
        <f>IF(ISNUMBER($H1628),-$H1628,0)</f>
        <v>0</v>
      </c>
      <c r="R1628" s="84">
        <f>IF(ISNUMBER($I1628),ABS($I1628),0)</f>
        <v>0</v>
      </c>
      <c r="S1628" s="84">
        <f>IF(ISNUMBER($M1628),ABS($M1628),0)</f>
        <v>0</v>
      </c>
      <c r="T1628" s="85" t="n">
        <v>1620</v>
      </c>
    </row>
    <row r="1629">
      <c r="B1629" s="83" t="n"/>
      <c r="C1629" s="83" t="n"/>
      <c r="D1629" s="83" t="n"/>
      <c r="E1629" s="83" t="n"/>
      <c r="F1629" s="83" t="n"/>
      <c r="G1629" s="83" t="n"/>
      <c r="H1629" s="83" t="n"/>
      <c r="I1629" s="83" t="n"/>
      <c r="J1629" s="83" t="n"/>
      <c r="K1629" s="83" t="n"/>
      <c r="L1629" s="83" t="n"/>
      <c r="M1629" s="83" t="n"/>
      <c r="O1629" s="84" t="str">
        <f>IF($C1629="","",IFERROR(MATCH($B1629&amp;"|"&amp;$C1629,MUROS!$AX$11:$AX$70,0),0))</f>
        <v/>
      </c>
      <c r="P1629" s="84" t="str">
        <f>IF($D1629="","",IF(ISNUMBER(MATCH($D1629,CMB_S,0)),1,IF(ISNUMBER(MATCH($D1629,CMB_G,0)),2,0)))</f>
        <v/>
      </c>
      <c r="Q1629" s="84">
        <f>IF(ISNUMBER($H1629),-$H1629,0)</f>
        <v>0</v>
      </c>
      <c r="R1629" s="84">
        <f>IF(ISNUMBER($I1629),ABS($I1629),0)</f>
        <v>0</v>
      </c>
      <c r="S1629" s="84">
        <f>IF(ISNUMBER($M1629),ABS($M1629),0)</f>
        <v>0</v>
      </c>
      <c r="T1629" s="85" t="n">
        <v>1621</v>
      </c>
    </row>
    <row r="1630">
      <c r="B1630" s="83" t="n"/>
      <c r="C1630" s="83" t="n"/>
      <c r="D1630" s="83" t="n"/>
      <c r="E1630" s="83" t="n"/>
      <c r="F1630" s="83" t="n"/>
      <c r="G1630" s="83" t="n"/>
      <c r="H1630" s="83" t="n"/>
      <c r="I1630" s="83" t="n"/>
      <c r="J1630" s="83" t="n"/>
      <c r="K1630" s="83" t="n"/>
      <c r="L1630" s="83" t="n"/>
      <c r="M1630" s="83" t="n"/>
      <c r="O1630" s="84" t="str">
        <f>IF($C1630="","",IFERROR(MATCH($B1630&amp;"|"&amp;$C1630,MUROS!$AX$11:$AX$70,0),0))</f>
        <v/>
      </c>
      <c r="P1630" s="84" t="str">
        <f>IF($D1630="","",IF(ISNUMBER(MATCH($D1630,CMB_S,0)),1,IF(ISNUMBER(MATCH($D1630,CMB_G,0)),2,0)))</f>
        <v/>
      </c>
      <c r="Q1630" s="84">
        <f>IF(ISNUMBER($H1630),-$H1630,0)</f>
        <v>0</v>
      </c>
      <c r="R1630" s="84">
        <f>IF(ISNUMBER($I1630),ABS($I1630),0)</f>
        <v>0</v>
      </c>
      <c r="S1630" s="84">
        <f>IF(ISNUMBER($M1630),ABS($M1630),0)</f>
        <v>0</v>
      </c>
      <c r="T1630" s="85" t="n">
        <v>1622</v>
      </c>
    </row>
    <row r="1631">
      <c r="B1631" s="83" t="n"/>
      <c r="C1631" s="83" t="n"/>
      <c r="D1631" s="83" t="n"/>
      <c r="E1631" s="83" t="n"/>
      <c r="F1631" s="83" t="n"/>
      <c r="G1631" s="83" t="n"/>
      <c r="H1631" s="83" t="n"/>
      <c r="I1631" s="83" t="n"/>
      <c r="J1631" s="83" t="n"/>
      <c r="K1631" s="83" t="n"/>
      <c r="L1631" s="83" t="n"/>
      <c r="M1631" s="83" t="n"/>
      <c r="O1631" s="84" t="str">
        <f>IF($C1631="","",IFERROR(MATCH($B1631&amp;"|"&amp;$C1631,MUROS!$AX$11:$AX$70,0),0))</f>
        <v/>
      </c>
      <c r="P1631" s="84" t="str">
        <f>IF($D1631="","",IF(ISNUMBER(MATCH($D1631,CMB_S,0)),1,IF(ISNUMBER(MATCH($D1631,CMB_G,0)),2,0)))</f>
        <v/>
      </c>
      <c r="Q1631" s="84">
        <f>IF(ISNUMBER($H1631),-$H1631,0)</f>
        <v>0</v>
      </c>
      <c r="R1631" s="84">
        <f>IF(ISNUMBER($I1631),ABS($I1631),0)</f>
        <v>0</v>
      </c>
      <c r="S1631" s="84">
        <f>IF(ISNUMBER($M1631),ABS($M1631),0)</f>
        <v>0</v>
      </c>
      <c r="T1631" s="85" t="n">
        <v>1623</v>
      </c>
    </row>
    <row r="1632">
      <c r="B1632" s="83" t="n"/>
      <c r="C1632" s="83" t="n"/>
      <c r="D1632" s="83" t="n"/>
      <c r="E1632" s="83" t="n"/>
      <c r="F1632" s="83" t="n"/>
      <c r="G1632" s="83" t="n"/>
      <c r="H1632" s="83" t="n"/>
      <c r="I1632" s="83" t="n"/>
      <c r="J1632" s="83" t="n"/>
      <c r="K1632" s="83" t="n"/>
      <c r="L1632" s="83" t="n"/>
      <c r="M1632" s="83" t="n"/>
      <c r="O1632" s="84" t="str">
        <f>IF($C1632="","",IFERROR(MATCH($B1632&amp;"|"&amp;$C1632,MUROS!$AX$11:$AX$70,0),0))</f>
        <v/>
      </c>
      <c r="P1632" s="84" t="str">
        <f>IF($D1632="","",IF(ISNUMBER(MATCH($D1632,CMB_S,0)),1,IF(ISNUMBER(MATCH($D1632,CMB_G,0)),2,0)))</f>
        <v/>
      </c>
      <c r="Q1632" s="84">
        <f>IF(ISNUMBER($H1632),-$H1632,0)</f>
        <v>0</v>
      </c>
      <c r="R1632" s="84">
        <f>IF(ISNUMBER($I1632),ABS($I1632),0)</f>
        <v>0</v>
      </c>
      <c r="S1632" s="84">
        <f>IF(ISNUMBER($M1632),ABS($M1632),0)</f>
        <v>0</v>
      </c>
      <c r="T1632" s="85" t="n">
        <v>1624</v>
      </c>
    </row>
    <row r="1633">
      <c r="B1633" s="83" t="n"/>
      <c r="C1633" s="83" t="n"/>
      <c r="D1633" s="83" t="n"/>
      <c r="E1633" s="83" t="n"/>
      <c r="F1633" s="83" t="n"/>
      <c r="G1633" s="83" t="n"/>
      <c r="H1633" s="83" t="n"/>
      <c r="I1633" s="83" t="n"/>
      <c r="J1633" s="83" t="n"/>
      <c r="K1633" s="83" t="n"/>
      <c r="L1633" s="83" t="n"/>
      <c r="M1633" s="83" t="n"/>
      <c r="O1633" s="84" t="str">
        <f>IF($C1633="","",IFERROR(MATCH($B1633&amp;"|"&amp;$C1633,MUROS!$AX$11:$AX$70,0),0))</f>
        <v/>
      </c>
      <c r="P1633" s="84" t="str">
        <f>IF($D1633="","",IF(ISNUMBER(MATCH($D1633,CMB_S,0)),1,IF(ISNUMBER(MATCH($D1633,CMB_G,0)),2,0)))</f>
        <v/>
      </c>
      <c r="Q1633" s="84">
        <f>IF(ISNUMBER($H1633),-$H1633,0)</f>
        <v>0</v>
      </c>
      <c r="R1633" s="84">
        <f>IF(ISNUMBER($I1633),ABS($I1633),0)</f>
        <v>0</v>
      </c>
      <c r="S1633" s="84">
        <f>IF(ISNUMBER($M1633),ABS($M1633),0)</f>
        <v>0</v>
      </c>
      <c r="T1633" s="85" t="n">
        <v>1625</v>
      </c>
    </row>
    <row r="1634">
      <c r="B1634" s="83" t="n"/>
      <c r="C1634" s="83" t="n"/>
      <c r="D1634" s="83" t="n"/>
      <c r="E1634" s="83" t="n"/>
      <c r="F1634" s="83" t="n"/>
      <c r="G1634" s="83" t="n"/>
      <c r="H1634" s="83" t="n"/>
      <c r="I1634" s="83" t="n"/>
      <c r="J1634" s="83" t="n"/>
      <c r="K1634" s="83" t="n"/>
      <c r="L1634" s="83" t="n"/>
      <c r="M1634" s="83" t="n"/>
      <c r="O1634" s="84" t="str">
        <f>IF($C1634="","",IFERROR(MATCH($B1634&amp;"|"&amp;$C1634,MUROS!$AX$11:$AX$70,0),0))</f>
        <v/>
      </c>
      <c r="P1634" s="84" t="str">
        <f>IF($D1634="","",IF(ISNUMBER(MATCH($D1634,CMB_S,0)),1,IF(ISNUMBER(MATCH($D1634,CMB_G,0)),2,0)))</f>
        <v/>
      </c>
      <c r="Q1634" s="84">
        <f>IF(ISNUMBER($H1634),-$H1634,0)</f>
        <v>0</v>
      </c>
      <c r="R1634" s="84">
        <f>IF(ISNUMBER($I1634),ABS($I1634),0)</f>
        <v>0</v>
      </c>
      <c r="S1634" s="84">
        <f>IF(ISNUMBER($M1634),ABS($M1634),0)</f>
        <v>0</v>
      </c>
      <c r="T1634" s="85" t="n">
        <v>1626</v>
      </c>
    </row>
    <row r="1635">
      <c r="B1635" s="83" t="n"/>
      <c r="C1635" s="83" t="n"/>
      <c r="D1635" s="83" t="n"/>
      <c r="E1635" s="83" t="n"/>
      <c r="F1635" s="83" t="n"/>
      <c r="G1635" s="83" t="n"/>
      <c r="H1635" s="83" t="n"/>
      <c r="I1635" s="83" t="n"/>
      <c r="J1635" s="83" t="n"/>
      <c r="K1635" s="83" t="n"/>
      <c r="L1635" s="83" t="n"/>
      <c r="M1635" s="83" t="n"/>
      <c r="O1635" s="84" t="str">
        <f>IF($C1635="","",IFERROR(MATCH($B1635&amp;"|"&amp;$C1635,MUROS!$AX$11:$AX$70,0),0))</f>
        <v/>
      </c>
      <c r="P1635" s="84" t="str">
        <f>IF($D1635="","",IF(ISNUMBER(MATCH($D1635,CMB_S,0)),1,IF(ISNUMBER(MATCH($D1635,CMB_G,0)),2,0)))</f>
        <v/>
      </c>
      <c r="Q1635" s="84">
        <f>IF(ISNUMBER($H1635),-$H1635,0)</f>
        <v>0</v>
      </c>
      <c r="R1635" s="84">
        <f>IF(ISNUMBER($I1635),ABS($I1635),0)</f>
        <v>0</v>
      </c>
      <c r="S1635" s="84">
        <f>IF(ISNUMBER($M1635),ABS($M1635),0)</f>
        <v>0</v>
      </c>
      <c r="T1635" s="85" t="n">
        <v>1627</v>
      </c>
    </row>
    <row r="1636">
      <c r="B1636" s="83" t="n"/>
      <c r="C1636" s="83" t="n"/>
      <c r="D1636" s="83" t="n"/>
      <c r="E1636" s="83" t="n"/>
      <c r="F1636" s="83" t="n"/>
      <c r="G1636" s="83" t="n"/>
      <c r="H1636" s="83" t="n"/>
      <c r="I1636" s="83" t="n"/>
      <c r="J1636" s="83" t="n"/>
      <c r="K1636" s="83" t="n"/>
      <c r="L1636" s="83" t="n"/>
      <c r="M1636" s="83" t="n"/>
      <c r="O1636" s="84" t="str">
        <f>IF($C1636="","",IFERROR(MATCH($B1636&amp;"|"&amp;$C1636,MUROS!$AX$11:$AX$70,0),0))</f>
        <v/>
      </c>
      <c r="P1636" s="84" t="str">
        <f>IF($D1636="","",IF(ISNUMBER(MATCH($D1636,CMB_S,0)),1,IF(ISNUMBER(MATCH($D1636,CMB_G,0)),2,0)))</f>
        <v/>
      </c>
      <c r="Q1636" s="84">
        <f>IF(ISNUMBER($H1636),-$H1636,0)</f>
        <v>0</v>
      </c>
      <c r="R1636" s="84">
        <f>IF(ISNUMBER($I1636),ABS($I1636),0)</f>
        <v>0</v>
      </c>
      <c r="S1636" s="84">
        <f>IF(ISNUMBER($M1636),ABS($M1636),0)</f>
        <v>0</v>
      </c>
      <c r="T1636" s="85" t="n">
        <v>1628</v>
      </c>
    </row>
    <row r="1637">
      <c r="B1637" s="83" t="n"/>
      <c r="C1637" s="83" t="n"/>
      <c r="D1637" s="83" t="n"/>
      <c r="E1637" s="83" t="n"/>
      <c r="F1637" s="83" t="n"/>
      <c r="G1637" s="83" t="n"/>
      <c r="H1637" s="83" t="n"/>
      <c r="I1637" s="83" t="n"/>
      <c r="J1637" s="83" t="n"/>
      <c r="K1637" s="83" t="n"/>
      <c r="L1637" s="83" t="n"/>
      <c r="M1637" s="83" t="n"/>
      <c r="O1637" s="84" t="str">
        <f>IF($C1637="","",IFERROR(MATCH($B1637&amp;"|"&amp;$C1637,MUROS!$AX$11:$AX$70,0),0))</f>
        <v/>
      </c>
      <c r="P1637" s="84" t="str">
        <f>IF($D1637="","",IF(ISNUMBER(MATCH($D1637,CMB_S,0)),1,IF(ISNUMBER(MATCH($D1637,CMB_G,0)),2,0)))</f>
        <v/>
      </c>
      <c r="Q1637" s="84">
        <f>IF(ISNUMBER($H1637),-$H1637,0)</f>
        <v>0</v>
      </c>
      <c r="R1637" s="84">
        <f>IF(ISNUMBER($I1637),ABS($I1637),0)</f>
        <v>0</v>
      </c>
      <c r="S1637" s="84">
        <f>IF(ISNUMBER($M1637),ABS($M1637),0)</f>
        <v>0</v>
      </c>
      <c r="T1637" s="85" t="n">
        <v>1629</v>
      </c>
    </row>
    <row r="1638">
      <c r="B1638" s="83" t="n"/>
      <c r="C1638" s="83" t="n"/>
      <c r="D1638" s="83" t="n"/>
      <c r="E1638" s="83" t="n"/>
      <c r="F1638" s="83" t="n"/>
      <c r="G1638" s="83" t="n"/>
      <c r="H1638" s="83" t="n"/>
      <c r="I1638" s="83" t="n"/>
      <c r="J1638" s="83" t="n"/>
      <c r="K1638" s="83" t="n"/>
      <c r="L1638" s="83" t="n"/>
      <c r="M1638" s="83" t="n"/>
      <c r="O1638" s="84" t="str">
        <f>IF($C1638="","",IFERROR(MATCH($B1638&amp;"|"&amp;$C1638,MUROS!$AX$11:$AX$70,0),0))</f>
        <v/>
      </c>
      <c r="P1638" s="84" t="str">
        <f>IF($D1638="","",IF(ISNUMBER(MATCH($D1638,CMB_S,0)),1,IF(ISNUMBER(MATCH($D1638,CMB_G,0)),2,0)))</f>
        <v/>
      </c>
      <c r="Q1638" s="84">
        <f>IF(ISNUMBER($H1638),-$H1638,0)</f>
        <v>0</v>
      </c>
      <c r="R1638" s="84">
        <f>IF(ISNUMBER($I1638),ABS($I1638),0)</f>
        <v>0</v>
      </c>
      <c r="S1638" s="84">
        <f>IF(ISNUMBER($M1638),ABS($M1638),0)</f>
        <v>0</v>
      </c>
      <c r="T1638" s="85" t="n">
        <v>1630</v>
      </c>
    </row>
    <row r="1639">
      <c r="B1639" s="83" t="n"/>
      <c r="C1639" s="83" t="n"/>
      <c r="D1639" s="83" t="n"/>
      <c r="E1639" s="83" t="n"/>
      <c r="F1639" s="83" t="n"/>
      <c r="G1639" s="83" t="n"/>
      <c r="H1639" s="83" t="n"/>
      <c r="I1639" s="83" t="n"/>
      <c r="J1639" s="83" t="n"/>
      <c r="K1639" s="83" t="n"/>
      <c r="L1639" s="83" t="n"/>
      <c r="M1639" s="83" t="n"/>
      <c r="O1639" s="84" t="str">
        <f>IF($C1639="","",IFERROR(MATCH($B1639&amp;"|"&amp;$C1639,MUROS!$AX$11:$AX$70,0),0))</f>
        <v/>
      </c>
      <c r="P1639" s="84" t="str">
        <f>IF($D1639="","",IF(ISNUMBER(MATCH($D1639,CMB_S,0)),1,IF(ISNUMBER(MATCH($D1639,CMB_G,0)),2,0)))</f>
        <v/>
      </c>
      <c r="Q1639" s="84">
        <f>IF(ISNUMBER($H1639),-$H1639,0)</f>
        <v>0</v>
      </c>
      <c r="R1639" s="84">
        <f>IF(ISNUMBER($I1639),ABS($I1639),0)</f>
        <v>0</v>
      </c>
      <c r="S1639" s="84">
        <f>IF(ISNUMBER($M1639),ABS($M1639),0)</f>
        <v>0</v>
      </c>
      <c r="T1639" s="85" t="n">
        <v>1631</v>
      </c>
    </row>
    <row r="1640">
      <c r="B1640" s="83" t="n"/>
      <c r="C1640" s="83" t="n"/>
      <c r="D1640" s="83" t="n"/>
      <c r="E1640" s="83" t="n"/>
      <c r="F1640" s="83" t="n"/>
      <c r="G1640" s="83" t="n"/>
      <c r="H1640" s="83" t="n"/>
      <c r="I1640" s="83" t="n"/>
      <c r="J1640" s="83" t="n"/>
      <c r="K1640" s="83" t="n"/>
      <c r="L1640" s="83" t="n"/>
      <c r="M1640" s="83" t="n"/>
      <c r="O1640" s="84" t="str">
        <f>IF($C1640="","",IFERROR(MATCH($B1640&amp;"|"&amp;$C1640,MUROS!$AX$11:$AX$70,0),0))</f>
        <v/>
      </c>
      <c r="P1640" s="84" t="str">
        <f>IF($D1640="","",IF(ISNUMBER(MATCH($D1640,CMB_S,0)),1,IF(ISNUMBER(MATCH($D1640,CMB_G,0)),2,0)))</f>
        <v/>
      </c>
      <c r="Q1640" s="84">
        <f>IF(ISNUMBER($H1640),-$H1640,0)</f>
        <v>0</v>
      </c>
      <c r="R1640" s="84">
        <f>IF(ISNUMBER($I1640),ABS($I1640),0)</f>
        <v>0</v>
      </c>
      <c r="S1640" s="84">
        <f>IF(ISNUMBER($M1640),ABS($M1640),0)</f>
        <v>0</v>
      </c>
      <c r="T1640" s="85" t="n">
        <v>1632</v>
      </c>
    </row>
    <row r="1641">
      <c r="B1641" s="83" t="n"/>
      <c r="C1641" s="83" t="n"/>
      <c r="D1641" s="83" t="n"/>
      <c r="E1641" s="83" t="n"/>
      <c r="F1641" s="83" t="n"/>
      <c r="G1641" s="83" t="n"/>
      <c r="H1641" s="83" t="n"/>
      <c r="I1641" s="83" t="n"/>
      <c r="J1641" s="83" t="n"/>
      <c r="K1641" s="83" t="n"/>
      <c r="L1641" s="83" t="n"/>
      <c r="M1641" s="83" t="n"/>
      <c r="O1641" s="84" t="str">
        <f>IF($C1641="","",IFERROR(MATCH($B1641&amp;"|"&amp;$C1641,MUROS!$AX$11:$AX$70,0),0))</f>
        <v/>
      </c>
      <c r="P1641" s="84" t="str">
        <f>IF($D1641="","",IF(ISNUMBER(MATCH($D1641,CMB_S,0)),1,IF(ISNUMBER(MATCH($D1641,CMB_G,0)),2,0)))</f>
        <v/>
      </c>
      <c r="Q1641" s="84">
        <f>IF(ISNUMBER($H1641),-$H1641,0)</f>
        <v>0</v>
      </c>
      <c r="R1641" s="84">
        <f>IF(ISNUMBER($I1641),ABS($I1641),0)</f>
        <v>0</v>
      </c>
      <c r="S1641" s="84">
        <f>IF(ISNUMBER($M1641),ABS($M1641),0)</f>
        <v>0</v>
      </c>
      <c r="T1641" s="85" t="n">
        <v>1633</v>
      </c>
    </row>
    <row r="1642">
      <c r="B1642" s="83" t="n"/>
      <c r="C1642" s="83" t="n"/>
      <c r="D1642" s="83" t="n"/>
      <c r="E1642" s="83" t="n"/>
      <c r="F1642" s="83" t="n"/>
      <c r="G1642" s="83" t="n"/>
      <c r="H1642" s="83" t="n"/>
      <c r="I1642" s="83" t="n"/>
      <c r="J1642" s="83" t="n"/>
      <c r="K1642" s="83" t="n"/>
      <c r="L1642" s="83" t="n"/>
      <c r="M1642" s="83" t="n"/>
      <c r="O1642" s="84" t="str">
        <f>IF($C1642="","",IFERROR(MATCH($B1642&amp;"|"&amp;$C1642,MUROS!$AX$11:$AX$70,0),0))</f>
        <v/>
      </c>
      <c r="P1642" s="84" t="str">
        <f>IF($D1642="","",IF(ISNUMBER(MATCH($D1642,CMB_S,0)),1,IF(ISNUMBER(MATCH($D1642,CMB_G,0)),2,0)))</f>
        <v/>
      </c>
      <c r="Q1642" s="84">
        <f>IF(ISNUMBER($H1642),-$H1642,0)</f>
        <v>0</v>
      </c>
      <c r="R1642" s="84">
        <f>IF(ISNUMBER($I1642),ABS($I1642),0)</f>
        <v>0</v>
      </c>
      <c r="S1642" s="84">
        <f>IF(ISNUMBER($M1642),ABS($M1642),0)</f>
        <v>0</v>
      </c>
      <c r="T1642" s="85" t="n">
        <v>1634</v>
      </c>
    </row>
    <row r="1643">
      <c r="B1643" s="83" t="n"/>
      <c r="C1643" s="83" t="n"/>
      <c r="D1643" s="83" t="n"/>
      <c r="E1643" s="83" t="n"/>
      <c r="F1643" s="83" t="n"/>
      <c r="G1643" s="83" t="n"/>
      <c r="H1643" s="83" t="n"/>
      <c r="I1643" s="83" t="n"/>
      <c r="J1643" s="83" t="n"/>
      <c r="K1643" s="83" t="n"/>
      <c r="L1643" s="83" t="n"/>
      <c r="M1643" s="83" t="n"/>
      <c r="O1643" s="84" t="str">
        <f>IF($C1643="","",IFERROR(MATCH($B1643&amp;"|"&amp;$C1643,MUROS!$AX$11:$AX$70,0),0))</f>
        <v/>
      </c>
      <c r="P1643" s="84" t="str">
        <f>IF($D1643="","",IF(ISNUMBER(MATCH($D1643,CMB_S,0)),1,IF(ISNUMBER(MATCH($D1643,CMB_G,0)),2,0)))</f>
        <v/>
      </c>
      <c r="Q1643" s="84">
        <f>IF(ISNUMBER($H1643),-$H1643,0)</f>
        <v>0</v>
      </c>
      <c r="R1643" s="84">
        <f>IF(ISNUMBER($I1643),ABS($I1643),0)</f>
        <v>0</v>
      </c>
      <c r="S1643" s="84">
        <f>IF(ISNUMBER($M1643),ABS($M1643),0)</f>
        <v>0</v>
      </c>
      <c r="T1643" s="85" t="n">
        <v>1635</v>
      </c>
    </row>
    <row r="1644">
      <c r="B1644" s="83" t="n"/>
      <c r="C1644" s="83" t="n"/>
      <c r="D1644" s="83" t="n"/>
      <c r="E1644" s="83" t="n"/>
      <c r="F1644" s="83" t="n"/>
      <c r="G1644" s="83" t="n"/>
      <c r="H1644" s="83" t="n"/>
      <c r="I1644" s="83" t="n"/>
      <c r="J1644" s="83" t="n"/>
      <c r="K1644" s="83" t="n"/>
      <c r="L1644" s="83" t="n"/>
      <c r="M1644" s="83" t="n"/>
      <c r="O1644" s="84" t="str">
        <f>IF($C1644="","",IFERROR(MATCH($B1644&amp;"|"&amp;$C1644,MUROS!$AX$11:$AX$70,0),0))</f>
        <v/>
      </c>
      <c r="P1644" s="84" t="str">
        <f>IF($D1644="","",IF(ISNUMBER(MATCH($D1644,CMB_S,0)),1,IF(ISNUMBER(MATCH($D1644,CMB_G,0)),2,0)))</f>
        <v/>
      </c>
      <c r="Q1644" s="84">
        <f>IF(ISNUMBER($H1644),-$H1644,0)</f>
        <v>0</v>
      </c>
      <c r="R1644" s="84">
        <f>IF(ISNUMBER($I1644),ABS($I1644),0)</f>
        <v>0</v>
      </c>
      <c r="S1644" s="84">
        <f>IF(ISNUMBER($M1644),ABS($M1644),0)</f>
        <v>0</v>
      </c>
      <c r="T1644" s="85" t="n">
        <v>1636</v>
      </c>
    </row>
    <row r="1645">
      <c r="B1645" s="83" t="n"/>
      <c r="C1645" s="83" t="n"/>
      <c r="D1645" s="83" t="n"/>
      <c r="E1645" s="83" t="n"/>
      <c r="F1645" s="83" t="n"/>
      <c r="G1645" s="83" t="n"/>
      <c r="H1645" s="83" t="n"/>
      <c r="I1645" s="83" t="n"/>
      <c r="J1645" s="83" t="n"/>
      <c r="K1645" s="83" t="n"/>
      <c r="L1645" s="83" t="n"/>
      <c r="M1645" s="83" t="n"/>
      <c r="O1645" s="84" t="str">
        <f>IF($C1645="","",IFERROR(MATCH($B1645&amp;"|"&amp;$C1645,MUROS!$AX$11:$AX$70,0),0))</f>
        <v/>
      </c>
      <c r="P1645" s="84" t="str">
        <f>IF($D1645="","",IF(ISNUMBER(MATCH($D1645,CMB_S,0)),1,IF(ISNUMBER(MATCH($D1645,CMB_G,0)),2,0)))</f>
        <v/>
      </c>
      <c r="Q1645" s="84">
        <f>IF(ISNUMBER($H1645),-$H1645,0)</f>
        <v>0</v>
      </c>
      <c r="R1645" s="84">
        <f>IF(ISNUMBER($I1645),ABS($I1645),0)</f>
        <v>0</v>
      </c>
      <c r="S1645" s="84">
        <f>IF(ISNUMBER($M1645),ABS($M1645),0)</f>
        <v>0</v>
      </c>
      <c r="T1645" s="85" t="n">
        <v>1637</v>
      </c>
    </row>
    <row r="1646">
      <c r="B1646" s="83" t="n"/>
      <c r="C1646" s="83" t="n"/>
      <c r="D1646" s="83" t="n"/>
      <c r="E1646" s="83" t="n"/>
      <c r="F1646" s="83" t="n"/>
      <c r="G1646" s="83" t="n"/>
      <c r="H1646" s="83" t="n"/>
      <c r="I1646" s="83" t="n"/>
      <c r="J1646" s="83" t="n"/>
      <c r="K1646" s="83" t="n"/>
      <c r="L1646" s="83" t="n"/>
      <c r="M1646" s="83" t="n"/>
      <c r="O1646" s="84" t="str">
        <f>IF($C1646="","",IFERROR(MATCH($B1646&amp;"|"&amp;$C1646,MUROS!$AX$11:$AX$70,0),0))</f>
        <v/>
      </c>
      <c r="P1646" s="84" t="str">
        <f>IF($D1646="","",IF(ISNUMBER(MATCH($D1646,CMB_S,0)),1,IF(ISNUMBER(MATCH($D1646,CMB_G,0)),2,0)))</f>
        <v/>
      </c>
      <c r="Q1646" s="84">
        <f>IF(ISNUMBER($H1646),-$H1646,0)</f>
        <v>0</v>
      </c>
      <c r="R1646" s="84">
        <f>IF(ISNUMBER($I1646),ABS($I1646),0)</f>
        <v>0</v>
      </c>
      <c r="S1646" s="84">
        <f>IF(ISNUMBER($M1646),ABS($M1646),0)</f>
        <v>0</v>
      </c>
      <c r="T1646" s="85" t="n">
        <v>1638</v>
      </c>
    </row>
    <row r="1647">
      <c r="B1647" s="83" t="n"/>
      <c r="C1647" s="83" t="n"/>
      <c r="D1647" s="83" t="n"/>
      <c r="E1647" s="83" t="n"/>
      <c r="F1647" s="83" t="n"/>
      <c r="G1647" s="83" t="n"/>
      <c r="H1647" s="83" t="n"/>
      <c r="I1647" s="83" t="n"/>
      <c r="J1647" s="83" t="n"/>
      <c r="K1647" s="83" t="n"/>
      <c r="L1647" s="83" t="n"/>
      <c r="M1647" s="83" t="n"/>
      <c r="O1647" s="84" t="str">
        <f>IF($C1647="","",IFERROR(MATCH($B1647&amp;"|"&amp;$C1647,MUROS!$AX$11:$AX$70,0),0))</f>
        <v/>
      </c>
      <c r="P1647" s="84" t="str">
        <f>IF($D1647="","",IF(ISNUMBER(MATCH($D1647,CMB_S,0)),1,IF(ISNUMBER(MATCH($D1647,CMB_G,0)),2,0)))</f>
        <v/>
      </c>
      <c r="Q1647" s="84">
        <f>IF(ISNUMBER($H1647),-$H1647,0)</f>
        <v>0</v>
      </c>
      <c r="R1647" s="84">
        <f>IF(ISNUMBER($I1647),ABS($I1647),0)</f>
        <v>0</v>
      </c>
      <c r="S1647" s="84">
        <f>IF(ISNUMBER($M1647),ABS($M1647),0)</f>
        <v>0</v>
      </c>
      <c r="T1647" s="85" t="n">
        <v>1639</v>
      </c>
    </row>
    <row r="1648">
      <c r="B1648" s="83" t="n"/>
      <c r="C1648" s="83" t="n"/>
      <c r="D1648" s="83" t="n"/>
      <c r="E1648" s="83" t="n"/>
      <c r="F1648" s="83" t="n"/>
      <c r="G1648" s="83" t="n"/>
      <c r="H1648" s="83" t="n"/>
      <c r="I1648" s="83" t="n"/>
      <c r="J1648" s="83" t="n"/>
      <c r="K1648" s="83" t="n"/>
      <c r="L1648" s="83" t="n"/>
      <c r="M1648" s="83" t="n"/>
      <c r="O1648" s="84" t="str">
        <f>IF($C1648="","",IFERROR(MATCH($B1648&amp;"|"&amp;$C1648,MUROS!$AX$11:$AX$70,0),0))</f>
        <v/>
      </c>
      <c r="P1648" s="84" t="str">
        <f>IF($D1648="","",IF(ISNUMBER(MATCH($D1648,CMB_S,0)),1,IF(ISNUMBER(MATCH($D1648,CMB_G,0)),2,0)))</f>
        <v/>
      </c>
      <c r="Q1648" s="84">
        <f>IF(ISNUMBER($H1648),-$H1648,0)</f>
        <v>0</v>
      </c>
      <c r="R1648" s="84">
        <f>IF(ISNUMBER($I1648),ABS($I1648),0)</f>
        <v>0</v>
      </c>
      <c r="S1648" s="84">
        <f>IF(ISNUMBER($M1648),ABS($M1648),0)</f>
        <v>0</v>
      </c>
      <c r="T1648" s="85" t="n">
        <v>1640</v>
      </c>
    </row>
    <row r="1649">
      <c r="B1649" s="83" t="n"/>
      <c r="C1649" s="83" t="n"/>
      <c r="D1649" s="83" t="n"/>
      <c r="E1649" s="83" t="n"/>
      <c r="F1649" s="83" t="n"/>
      <c r="G1649" s="83" t="n"/>
      <c r="H1649" s="83" t="n"/>
      <c r="I1649" s="83" t="n"/>
      <c r="J1649" s="83" t="n"/>
      <c r="K1649" s="83" t="n"/>
      <c r="L1649" s="83" t="n"/>
      <c r="M1649" s="83" t="n"/>
      <c r="O1649" s="84" t="str">
        <f>IF($C1649="","",IFERROR(MATCH($B1649&amp;"|"&amp;$C1649,MUROS!$AX$11:$AX$70,0),0))</f>
        <v/>
      </c>
      <c r="P1649" s="84" t="str">
        <f>IF($D1649="","",IF(ISNUMBER(MATCH($D1649,CMB_S,0)),1,IF(ISNUMBER(MATCH($D1649,CMB_G,0)),2,0)))</f>
        <v/>
      </c>
      <c r="Q1649" s="84">
        <f>IF(ISNUMBER($H1649),-$H1649,0)</f>
        <v>0</v>
      </c>
      <c r="R1649" s="84">
        <f>IF(ISNUMBER($I1649),ABS($I1649),0)</f>
        <v>0</v>
      </c>
      <c r="S1649" s="84">
        <f>IF(ISNUMBER($M1649),ABS($M1649),0)</f>
        <v>0</v>
      </c>
      <c r="T1649" s="85" t="n">
        <v>1641</v>
      </c>
    </row>
    <row r="1650">
      <c r="B1650" s="83" t="n"/>
      <c r="C1650" s="83" t="n"/>
      <c r="D1650" s="83" t="n"/>
      <c r="E1650" s="83" t="n"/>
      <c r="F1650" s="83" t="n"/>
      <c r="G1650" s="83" t="n"/>
      <c r="H1650" s="83" t="n"/>
      <c r="I1650" s="83" t="n"/>
      <c r="J1650" s="83" t="n"/>
      <c r="K1650" s="83" t="n"/>
      <c r="L1650" s="83" t="n"/>
      <c r="M1650" s="83" t="n"/>
      <c r="O1650" s="84" t="str">
        <f>IF($C1650="","",IFERROR(MATCH($B1650&amp;"|"&amp;$C1650,MUROS!$AX$11:$AX$70,0),0))</f>
        <v/>
      </c>
      <c r="P1650" s="84" t="str">
        <f>IF($D1650="","",IF(ISNUMBER(MATCH($D1650,CMB_S,0)),1,IF(ISNUMBER(MATCH($D1650,CMB_G,0)),2,0)))</f>
        <v/>
      </c>
      <c r="Q1650" s="84">
        <f>IF(ISNUMBER($H1650),-$H1650,0)</f>
        <v>0</v>
      </c>
      <c r="R1650" s="84">
        <f>IF(ISNUMBER($I1650),ABS($I1650),0)</f>
        <v>0</v>
      </c>
      <c r="S1650" s="84">
        <f>IF(ISNUMBER($M1650),ABS($M1650),0)</f>
        <v>0</v>
      </c>
      <c r="T1650" s="85" t="n">
        <v>1642</v>
      </c>
    </row>
    <row r="1651">
      <c r="B1651" s="83" t="n"/>
      <c r="C1651" s="83" t="n"/>
      <c r="D1651" s="83" t="n"/>
      <c r="E1651" s="83" t="n"/>
      <c r="F1651" s="83" t="n"/>
      <c r="G1651" s="83" t="n"/>
      <c r="H1651" s="83" t="n"/>
      <c r="I1651" s="83" t="n"/>
      <c r="J1651" s="83" t="n"/>
      <c r="K1651" s="83" t="n"/>
      <c r="L1651" s="83" t="n"/>
      <c r="M1651" s="83" t="n"/>
      <c r="O1651" s="84" t="str">
        <f>IF($C1651="","",IFERROR(MATCH($B1651&amp;"|"&amp;$C1651,MUROS!$AX$11:$AX$70,0),0))</f>
        <v/>
      </c>
      <c r="P1651" s="84" t="str">
        <f>IF($D1651="","",IF(ISNUMBER(MATCH($D1651,CMB_S,0)),1,IF(ISNUMBER(MATCH($D1651,CMB_G,0)),2,0)))</f>
        <v/>
      </c>
      <c r="Q1651" s="84">
        <f>IF(ISNUMBER($H1651),-$H1651,0)</f>
        <v>0</v>
      </c>
      <c r="R1651" s="84">
        <f>IF(ISNUMBER($I1651),ABS($I1651),0)</f>
        <v>0</v>
      </c>
      <c r="S1651" s="84">
        <f>IF(ISNUMBER($M1651),ABS($M1651),0)</f>
        <v>0</v>
      </c>
      <c r="T1651" s="85" t="n">
        <v>1643</v>
      </c>
    </row>
    <row r="1652">
      <c r="B1652" s="83" t="n"/>
      <c r="C1652" s="83" t="n"/>
      <c r="D1652" s="83" t="n"/>
      <c r="E1652" s="83" t="n"/>
      <c r="F1652" s="83" t="n"/>
      <c r="G1652" s="83" t="n"/>
      <c r="H1652" s="83" t="n"/>
      <c r="I1652" s="83" t="n"/>
      <c r="J1652" s="83" t="n"/>
      <c r="K1652" s="83" t="n"/>
      <c r="L1652" s="83" t="n"/>
      <c r="M1652" s="83" t="n"/>
      <c r="O1652" s="84" t="str">
        <f>IF($C1652="","",IFERROR(MATCH($B1652&amp;"|"&amp;$C1652,MUROS!$AX$11:$AX$70,0),0))</f>
        <v/>
      </c>
      <c r="P1652" s="84" t="str">
        <f>IF($D1652="","",IF(ISNUMBER(MATCH($D1652,CMB_S,0)),1,IF(ISNUMBER(MATCH($D1652,CMB_G,0)),2,0)))</f>
        <v/>
      </c>
      <c r="Q1652" s="84">
        <f>IF(ISNUMBER($H1652),-$H1652,0)</f>
        <v>0</v>
      </c>
      <c r="R1652" s="84">
        <f>IF(ISNUMBER($I1652),ABS($I1652),0)</f>
        <v>0</v>
      </c>
      <c r="S1652" s="84">
        <f>IF(ISNUMBER($M1652),ABS($M1652),0)</f>
        <v>0</v>
      </c>
      <c r="T1652" s="85" t="n">
        <v>1644</v>
      </c>
    </row>
    <row r="1653">
      <c r="B1653" s="83" t="n"/>
      <c r="C1653" s="83" t="n"/>
      <c r="D1653" s="83" t="n"/>
      <c r="E1653" s="83" t="n"/>
      <c r="F1653" s="83" t="n"/>
      <c r="G1653" s="83" t="n"/>
      <c r="H1653" s="83" t="n"/>
      <c r="I1653" s="83" t="n"/>
      <c r="J1653" s="83" t="n"/>
      <c r="K1653" s="83" t="n"/>
      <c r="L1653" s="83" t="n"/>
      <c r="M1653" s="83" t="n"/>
      <c r="O1653" s="84" t="str">
        <f>IF($C1653="","",IFERROR(MATCH($B1653&amp;"|"&amp;$C1653,MUROS!$AX$11:$AX$70,0),0))</f>
        <v/>
      </c>
      <c r="P1653" s="84" t="str">
        <f>IF($D1653="","",IF(ISNUMBER(MATCH($D1653,CMB_S,0)),1,IF(ISNUMBER(MATCH($D1653,CMB_G,0)),2,0)))</f>
        <v/>
      </c>
      <c r="Q1653" s="84">
        <f>IF(ISNUMBER($H1653),-$H1653,0)</f>
        <v>0</v>
      </c>
      <c r="R1653" s="84">
        <f>IF(ISNUMBER($I1653),ABS($I1653),0)</f>
        <v>0</v>
      </c>
      <c r="S1653" s="84">
        <f>IF(ISNUMBER($M1653),ABS($M1653),0)</f>
        <v>0</v>
      </c>
      <c r="T1653" s="85" t="n">
        <v>1645</v>
      </c>
    </row>
    <row r="1654">
      <c r="B1654" s="83" t="n"/>
      <c r="C1654" s="83" t="n"/>
      <c r="D1654" s="83" t="n"/>
      <c r="E1654" s="83" t="n"/>
      <c r="F1654" s="83" t="n"/>
      <c r="G1654" s="83" t="n"/>
      <c r="H1654" s="83" t="n"/>
      <c r="I1654" s="83" t="n"/>
      <c r="J1654" s="83" t="n"/>
      <c r="K1654" s="83" t="n"/>
      <c r="L1654" s="83" t="n"/>
      <c r="M1654" s="83" t="n"/>
      <c r="O1654" s="84" t="str">
        <f>IF($C1654="","",IFERROR(MATCH($B1654&amp;"|"&amp;$C1654,MUROS!$AX$11:$AX$70,0),0))</f>
        <v/>
      </c>
      <c r="P1654" s="84" t="str">
        <f>IF($D1654="","",IF(ISNUMBER(MATCH($D1654,CMB_S,0)),1,IF(ISNUMBER(MATCH($D1654,CMB_G,0)),2,0)))</f>
        <v/>
      </c>
      <c r="Q1654" s="84">
        <f>IF(ISNUMBER($H1654),-$H1654,0)</f>
        <v>0</v>
      </c>
      <c r="R1654" s="84">
        <f>IF(ISNUMBER($I1654),ABS($I1654),0)</f>
        <v>0</v>
      </c>
      <c r="S1654" s="84">
        <f>IF(ISNUMBER($M1654),ABS($M1654),0)</f>
        <v>0</v>
      </c>
      <c r="T1654" s="85" t="n">
        <v>1646</v>
      </c>
    </row>
    <row r="1655">
      <c r="B1655" s="83" t="n"/>
      <c r="C1655" s="83" t="n"/>
      <c r="D1655" s="83" t="n"/>
      <c r="E1655" s="83" t="n"/>
      <c r="F1655" s="83" t="n"/>
      <c r="G1655" s="83" t="n"/>
      <c r="H1655" s="83" t="n"/>
      <c r="I1655" s="83" t="n"/>
      <c r="J1655" s="83" t="n"/>
      <c r="K1655" s="83" t="n"/>
      <c r="L1655" s="83" t="n"/>
      <c r="M1655" s="83" t="n"/>
      <c r="O1655" s="84" t="str">
        <f>IF($C1655="","",IFERROR(MATCH($B1655&amp;"|"&amp;$C1655,MUROS!$AX$11:$AX$70,0),0))</f>
        <v/>
      </c>
      <c r="P1655" s="84" t="str">
        <f>IF($D1655="","",IF(ISNUMBER(MATCH($D1655,CMB_S,0)),1,IF(ISNUMBER(MATCH($D1655,CMB_G,0)),2,0)))</f>
        <v/>
      </c>
      <c r="Q1655" s="84">
        <f>IF(ISNUMBER($H1655),-$H1655,0)</f>
        <v>0</v>
      </c>
      <c r="R1655" s="84">
        <f>IF(ISNUMBER($I1655),ABS($I1655),0)</f>
        <v>0</v>
      </c>
      <c r="S1655" s="84">
        <f>IF(ISNUMBER($M1655),ABS($M1655),0)</f>
        <v>0</v>
      </c>
      <c r="T1655" s="85" t="n">
        <v>1647</v>
      </c>
    </row>
    <row r="1656">
      <c r="B1656" s="83" t="n"/>
      <c r="C1656" s="83" t="n"/>
      <c r="D1656" s="83" t="n"/>
      <c r="E1656" s="83" t="n"/>
      <c r="F1656" s="83" t="n"/>
      <c r="G1656" s="83" t="n"/>
      <c r="H1656" s="83" t="n"/>
      <c r="I1656" s="83" t="n"/>
      <c r="J1656" s="83" t="n"/>
      <c r="K1656" s="83" t="n"/>
      <c r="L1656" s="83" t="n"/>
      <c r="M1656" s="83" t="n"/>
      <c r="O1656" s="84" t="str">
        <f>IF($C1656="","",IFERROR(MATCH($B1656&amp;"|"&amp;$C1656,MUROS!$AX$11:$AX$70,0),0))</f>
        <v/>
      </c>
      <c r="P1656" s="84" t="str">
        <f>IF($D1656="","",IF(ISNUMBER(MATCH($D1656,CMB_S,0)),1,IF(ISNUMBER(MATCH($D1656,CMB_G,0)),2,0)))</f>
        <v/>
      </c>
      <c r="Q1656" s="84">
        <f>IF(ISNUMBER($H1656),-$H1656,0)</f>
        <v>0</v>
      </c>
      <c r="R1656" s="84">
        <f>IF(ISNUMBER($I1656),ABS($I1656),0)</f>
        <v>0</v>
      </c>
      <c r="S1656" s="84">
        <f>IF(ISNUMBER($M1656),ABS($M1656),0)</f>
        <v>0</v>
      </c>
      <c r="T1656" s="85" t="n">
        <v>1648</v>
      </c>
    </row>
    <row r="1657">
      <c r="B1657" s="83" t="n"/>
      <c r="C1657" s="83" t="n"/>
      <c r="D1657" s="83" t="n"/>
      <c r="E1657" s="83" t="n"/>
      <c r="F1657" s="83" t="n"/>
      <c r="G1657" s="83" t="n"/>
      <c r="H1657" s="83" t="n"/>
      <c r="I1657" s="83" t="n"/>
      <c r="J1657" s="83" t="n"/>
      <c r="K1657" s="83" t="n"/>
      <c r="L1657" s="83" t="n"/>
      <c r="M1657" s="83" t="n"/>
      <c r="O1657" s="84" t="str">
        <f>IF($C1657="","",IFERROR(MATCH($B1657&amp;"|"&amp;$C1657,MUROS!$AX$11:$AX$70,0),0))</f>
        <v/>
      </c>
      <c r="P1657" s="84" t="str">
        <f>IF($D1657="","",IF(ISNUMBER(MATCH($D1657,CMB_S,0)),1,IF(ISNUMBER(MATCH($D1657,CMB_G,0)),2,0)))</f>
        <v/>
      </c>
      <c r="Q1657" s="84">
        <f>IF(ISNUMBER($H1657),-$H1657,0)</f>
        <v>0</v>
      </c>
      <c r="R1657" s="84">
        <f>IF(ISNUMBER($I1657),ABS($I1657),0)</f>
        <v>0</v>
      </c>
      <c r="S1657" s="84">
        <f>IF(ISNUMBER($M1657),ABS($M1657),0)</f>
        <v>0</v>
      </c>
      <c r="T1657" s="85" t="n">
        <v>1649</v>
      </c>
    </row>
    <row r="1658">
      <c r="B1658" s="83" t="n"/>
      <c r="C1658" s="83" t="n"/>
      <c r="D1658" s="83" t="n"/>
      <c r="E1658" s="83" t="n"/>
      <c r="F1658" s="83" t="n"/>
      <c r="G1658" s="83" t="n"/>
      <c r="H1658" s="83" t="n"/>
      <c r="I1658" s="83" t="n"/>
      <c r="J1658" s="83" t="n"/>
      <c r="K1658" s="83" t="n"/>
      <c r="L1658" s="83" t="n"/>
      <c r="M1658" s="83" t="n"/>
      <c r="O1658" s="84" t="str">
        <f>IF($C1658="","",IFERROR(MATCH($B1658&amp;"|"&amp;$C1658,MUROS!$AX$11:$AX$70,0),0))</f>
        <v/>
      </c>
      <c r="P1658" s="84" t="str">
        <f>IF($D1658="","",IF(ISNUMBER(MATCH($D1658,CMB_S,0)),1,IF(ISNUMBER(MATCH($D1658,CMB_G,0)),2,0)))</f>
        <v/>
      </c>
      <c r="Q1658" s="84">
        <f>IF(ISNUMBER($H1658),-$H1658,0)</f>
        <v>0</v>
      </c>
      <c r="R1658" s="84">
        <f>IF(ISNUMBER($I1658),ABS($I1658),0)</f>
        <v>0</v>
      </c>
      <c r="S1658" s="84">
        <f>IF(ISNUMBER($M1658),ABS($M1658),0)</f>
        <v>0</v>
      </c>
      <c r="T1658" s="85" t="n">
        <v>1650</v>
      </c>
    </row>
    <row r="1659">
      <c r="B1659" s="83" t="n"/>
      <c r="C1659" s="83" t="n"/>
      <c r="D1659" s="83" t="n"/>
      <c r="E1659" s="83" t="n"/>
      <c r="F1659" s="83" t="n"/>
      <c r="G1659" s="83" t="n"/>
      <c r="H1659" s="83" t="n"/>
      <c r="I1659" s="83" t="n"/>
      <c r="J1659" s="83" t="n"/>
      <c r="K1659" s="83" t="n"/>
      <c r="L1659" s="83" t="n"/>
      <c r="M1659" s="83" t="n"/>
      <c r="O1659" s="84" t="str">
        <f>IF($C1659="","",IFERROR(MATCH($B1659&amp;"|"&amp;$C1659,MUROS!$AX$11:$AX$70,0),0))</f>
        <v/>
      </c>
      <c r="P1659" s="84" t="str">
        <f>IF($D1659="","",IF(ISNUMBER(MATCH($D1659,CMB_S,0)),1,IF(ISNUMBER(MATCH($D1659,CMB_G,0)),2,0)))</f>
        <v/>
      </c>
      <c r="Q1659" s="84">
        <f>IF(ISNUMBER($H1659),-$H1659,0)</f>
        <v>0</v>
      </c>
      <c r="R1659" s="84">
        <f>IF(ISNUMBER($I1659),ABS($I1659),0)</f>
        <v>0</v>
      </c>
      <c r="S1659" s="84">
        <f>IF(ISNUMBER($M1659),ABS($M1659),0)</f>
        <v>0</v>
      </c>
      <c r="T1659" s="85" t="n">
        <v>1651</v>
      </c>
    </row>
    <row r="1660">
      <c r="B1660" s="83" t="n"/>
      <c r="C1660" s="83" t="n"/>
      <c r="D1660" s="83" t="n"/>
      <c r="E1660" s="83" t="n"/>
      <c r="F1660" s="83" t="n"/>
      <c r="G1660" s="83" t="n"/>
      <c r="H1660" s="83" t="n"/>
      <c r="I1660" s="83" t="n"/>
      <c r="J1660" s="83" t="n"/>
      <c r="K1660" s="83" t="n"/>
      <c r="L1660" s="83" t="n"/>
      <c r="M1660" s="83" t="n"/>
      <c r="O1660" s="84" t="str">
        <f>IF($C1660="","",IFERROR(MATCH($B1660&amp;"|"&amp;$C1660,MUROS!$AX$11:$AX$70,0),0))</f>
        <v/>
      </c>
      <c r="P1660" s="84" t="str">
        <f>IF($D1660="","",IF(ISNUMBER(MATCH($D1660,CMB_S,0)),1,IF(ISNUMBER(MATCH($D1660,CMB_G,0)),2,0)))</f>
        <v/>
      </c>
      <c r="Q1660" s="84">
        <f>IF(ISNUMBER($H1660),-$H1660,0)</f>
        <v>0</v>
      </c>
      <c r="R1660" s="84">
        <f>IF(ISNUMBER($I1660),ABS($I1660),0)</f>
        <v>0</v>
      </c>
      <c r="S1660" s="84">
        <f>IF(ISNUMBER($M1660),ABS($M1660),0)</f>
        <v>0</v>
      </c>
      <c r="T1660" s="85" t="n">
        <v>1652</v>
      </c>
    </row>
    <row r="1661">
      <c r="B1661" s="83" t="n"/>
      <c r="C1661" s="83" t="n"/>
      <c r="D1661" s="83" t="n"/>
      <c r="E1661" s="83" t="n"/>
      <c r="F1661" s="83" t="n"/>
      <c r="G1661" s="83" t="n"/>
      <c r="H1661" s="83" t="n"/>
      <c r="I1661" s="83" t="n"/>
      <c r="J1661" s="83" t="n"/>
      <c r="K1661" s="83" t="n"/>
      <c r="L1661" s="83" t="n"/>
      <c r="M1661" s="83" t="n"/>
      <c r="O1661" s="84" t="str">
        <f>IF($C1661="","",IFERROR(MATCH($B1661&amp;"|"&amp;$C1661,MUROS!$AX$11:$AX$70,0),0))</f>
        <v/>
      </c>
      <c r="P1661" s="84" t="str">
        <f>IF($D1661="","",IF(ISNUMBER(MATCH($D1661,CMB_S,0)),1,IF(ISNUMBER(MATCH($D1661,CMB_G,0)),2,0)))</f>
        <v/>
      </c>
      <c r="Q1661" s="84">
        <f>IF(ISNUMBER($H1661),-$H1661,0)</f>
        <v>0</v>
      </c>
      <c r="R1661" s="84">
        <f>IF(ISNUMBER($I1661),ABS($I1661),0)</f>
        <v>0</v>
      </c>
      <c r="S1661" s="84">
        <f>IF(ISNUMBER($M1661),ABS($M1661),0)</f>
        <v>0</v>
      </c>
      <c r="T1661" s="85" t="n">
        <v>1653</v>
      </c>
    </row>
    <row r="1662">
      <c r="B1662" s="83" t="n"/>
      <c r="C1662" s="83" t="n"/>
      <c r="D1662" s="83" t="n"/>
      <c r="E1662" s="83" t="n"/>
      <c r="F1662" s="83" t="n"/>
      <c r="G1662" s="83" t="n"/>
      <c r="H1662" s="83" t="n"/>
      <c r="I1662" s="83" t="n"/>
      <c r="J1662" s="83" t="n"/>
      <c r="K1662" s="83" t="n"/>
      <c r="L1662" s="83" t="n"/>
      <c r="M1662" s="83" t="n"/>
      <c r="O1662" s="84" t="str">
        <f>IF($C1662="","",IFERROR(MATCH($B1662&amp;"|"&amp;$C1662,MUROS!$AX$11:$AX$70,0),0))</f>
        <v/>
      </c>
      <c r="P1662" s="84" t="str">
        <f>IF($D1662="","",IF(ISNUMBER(MATCH($D1662,CMB_S,0)),1,IF(ISNUMBER(MATCH($D1662,CMB_G,0)),2,0)))</f>
        <v/>
      </c>
      <c r="Q1662" s="84">
        <f>IF(ISNUMBER($H1662),-$H1662,0)</f>
        <v>0</v>
      </c>
      <c r="R1662" s="84">
        <f>IF(ISNUMBER($I1662),ABS($I1662),0)</f>
        <v>0</v>
      </c>
      <c r="S1662" s="84">
        <f>IF(ISNUMBER($M1662),ABS($M1662),0)</f>
        <v>0</v>
      </c>
      <c r="T1662" s="85" t="n">
        <v>1654</v>
      </c>
    </row>
    <row r="1663">
      <c r="B1663" s="83" t="n"/>
      <c r="C1663" s="83" t="n"/>
      <c r="D1663" s="83" t="n"/>
      <c r="E1663" s="83" t="n"/>
      <c r="F1663" s="83" t="n"/>
      <c r="G1663" s="83" t="n"/>
      <c r="H1663" s="83" t="n"/>
      <c r="I1663" s="83" t="n"/>
      <c r="J1663" s="83" t="n"/>
      <c r="K1663" s="83" t="n"/>
      <c r="L1663" s="83" t="n"/>
      <c r="M1663" s="83" t="n"/>
      <c r="O1663" s="84" t="str">
        <f>IF($C1663="","",IFERROR(MATCH($B1663&amp;"|"&amp;$C1663,MUROS!$AX$11:$AX$70,0),0))</f>
        <v/>
      </c>
      <c r="P1663" s="84" t="str">
        <f>IF($D1663="","",IF(ISNUMBER(MATCH($D1663,CMB_S,0)),1,IF(ISNUMBER(MATCH($D1663,CMB_G,0)),2,0)))</f>
        <v/>
      </c>
      <c r="Q1663" s="84">
        <f>IF(ISNUMBER($H1663),-$H1663,0)</f>
        <v>0</v>
      </c>
      <c r="R1663" s="84">
        <f>IF(ISNUMBER($I1663),ABS($I1663),0)</f>
        <v>0</v>
      </c>
      <c r="S1663" s="84">
        <f>IF(ISNUMBER($M1663),ABS($M1663),0)</f>
        <v>0</v>
      </c>
      <c r="T1663" s="85" t="n">
        <v>1655</v>
      </c>
    </row>
    <row r="1664">
      <c r="B1664" s="83" t="n"/>
      <c r="C1664" s="83" t="n"/>
      <c r="D1664" s="83" t="n"/>
      <c r="E1664" s="83" t="n"/>
      <c r="F1664" s="83" t="n"/>
      <c r="G1664" s="83" t="n"/>
      <c r="H1664" s="83" t="n"/>
      <c r="I1664" s="83" t="n"/>
      <c r="J1664" s="83" t="n"/>
      <c r="K1664" s="83" t="n"/>
      <c r="L1664" s="83" t="n"/>
      <c r="M1664" s="83" t="n"/>
      <c r="O1664" s="84" t="str">
        <f>IF($C1664="","",IFERROR(MATCH($B1664&amp;"|"&amp;$C1664,MUROS!$AX$11:$AX$70,0),0))</f>
        <v/>
      </c>
      <c r="P1664" s="84" t="str">
        <f>IF($D1664="","",IF(ISNUMBER(MATCH($D1664,CMB_S,0)),1,IF(ISNUMBER(MATCH($D1664,CMB_G,0)),2,0)))</f>
        <v/>
      </c>
      <c r="Q1664" s="84">
        <f>IF(ISNUMBER($H1664),-$H1664,0)</f>
        <v>0</v>
      </c>
      <c r="R1664" s="84">
        <f>IF(ISNUMBER($I1664),ABS($I1664),0)</f>
        <v>0</v>
      </c>
      <c r="S1664" s="84">
        <f>IF(ISNUMBER($M1664),ABS($M1664),0)</f>
        <v>0</v>
      </c>
      <c r="T1664" s="85" t="n">
        <v>1656</v>
      </c>
    </row>
    <row r="1665">
      <c r="B1665" s="83" t="n"/>
      <c r="C1665" s="83" t="n"/>
      <c r="D1665" s="83" t="n"/>
      <c r="E1665" s="83" t="n"/>
      <c r="F1665" s="83" t="n"/>
      <c r="G1665" s="83" t="n"/>
      <c r="H1665" s="83" t="n"/>
      <c r="I1665" s="83" t="n"/>
      <c r="J1665" s="83" t="n"/>
      <c r="K1665" s="83" t="n"/>
      <c r="L1665" s="83" t="n"/>
      <c r="M1665" s="83" t="n"/>
      <c r="O1665" s="84" t="str">
        <f>IF($C1665="","",IFERROR(MATCH($B1665&amp;"|"&amp;$C1665,MUROS!$AX$11:$AX$70,0),0))</f>
        <v/>
      </c>
      <c r="P1665" s="84" t="str">
        <f>IF($D1665="","",IF(ISNUMBER(MATCH($D1665,CMB_S,0)),1,IF(ISNUMBER(MATCH($D1665,CMB_G,0)),2,0)))</f>
        <v/>
      </c>
      <c r="Q1665" s="84">
        <f>IF(ISNUMBER($H1665),-$H1665,0)</f>
        <v>0</v>
      </c>
      <c r="R1665" s="84">
        <f>IF(ISNUMBER($I1665),ABS($I1665),0)</f>
        <v>0</v>
      </c>
      <c r="S1665" s="84">
        <f>IF(ISNUMBER($M1665),ABS($M1665),0)</f>
        <v>0</v>
      </c>
      <c r="T1665" s="85" t="n">
        <v>1657</v>
      </c>
    </row>
    <row r="1666">
      <c r="B1666" s="83" t="n"/>
      <c r="C1666" s="83" t="n"/>
      <c r="D1666" s="83" t="n"/>
      <c r="E1666" s="83" t="n"/>
      <c r="F1666" s="83" t="n"/>
      <c r="G1666" s="83" t="n"/>
      <c r="H1666" s="83" t="n"/>
      <c r="I1666" s="83" t="n"/>
      <c r="J1666" s="83" t="n"/>
      <c r="K1666" s="83" t="n"/>
      <c r="L1666" s="83" t="n"/>
      <c r="M1666" s="83" t="n"/>
      <c r="O1666" s="84" t="str">
        <f>IF($C1666="","",IFERROR(MATCH($B1666&amp;"|"&amp;$C1666,MUROS!$AX$11:$AX$70,0),0))</f>
        <v/>
      </c>
      <c r="P1666" s="84" t="str">
        <f>IF($D1666="","",IF(ISNUMBER(MATCH($D1666,CMB_S,0)),1,IF(ISNUMBER(MATCH($D1666,CMB_G,0)),2,0)))</f>
        <v/>
      </c>
      <c r="Q1666" s="84">
        <f>IF(ISNUMBER($H1666),-$H1666,0)</f>
        <v>0</v>
      </c>
      <c r="R1666" s="84">
        <f>IF(ISNUMBER($I1666),ABS($I1666),0)</f>
        <v>0</v>
      </c>
      <c r="S1666" s="84">
        <f>IF(ISNUMBER($M1666),ABS($M1666),0)</f>
        <v>0</v>
      </c>
      <c r="T1666" s="85" t="n">
        <v>1658</v>
      </c>
    </row>
    <row r="1667">
      <c r="B1667" s="83" t="n"/>
      <c r="C1667" s="83" t="n"/>
      <c r="D1667" s="83" t="n"/>
      <c r="E1667" s="83" t="n"/>
      <c r="F1667" s="83" t="n"/>
      <c r="G1667" s="83" t="n"/>
      <c r="H1667" s="83" t="n"/>
      <c r="I1667" s="83" t="n"/>
      <c r="J1667" s="83" t="n"/>
      <c r="K1667" s="83" t="n"/>
      <c r="L1667" s="83" t="n"/>
      <c r="M1667" s="83" t="n"/>
      <c r="O1667" s="84" t="str">
        <f>IF($C1667="","",IFERROR(MATCH($B1667&amp;"|"&amp;$C1667,MUROS!$AX$11:$AX$70,0),0))</f>
        <v/>
      </c>
      <c r="P1667" s="84" t="str">
        <f>IF($D1667="","",IF(ISNUMBER(MATCH($D1667,CMB_S,0)),1,IF(ISNUMBER(MATCH($D1667,CMB_G,0)),2,0)))</f>
        <v/>
      </c>
      <c r="Q1667" s="84">
        <f>IF(ISNUMBER($H1667),-$H1667,0)</f>
        <v>0</v>
      </c>
      <c r="R1667" s="84">
        <f>IF(ISNUMBER($I1667),ABS($I1667),0)</f>
        <v>0</v>
      </c>
      <c r="S1667" s="84">
        <f>IF(ISNUMBER($M1667),ABS($M1667),0)</f>
        <v>0</v>
      </c>
      <c r="T1667" s="85" t="n">
        <v>1659</v>
      </c>
    </row>
    <row r="1668">
      <c r="B1668" s="83" t="n"/>
      <c r="C1668" s="83" t="n"/>
      <c r="D1668" s="83" t="n"/>
      <c r="E1668" s="83" t="n"/>
      <c r="F1668" s="83" t="n"/>
      <c r="G1668" s="83" t="n"/>
      <c r="H1668" s="83" t="n"/>
      <c r="I1668" s="83" t="n"/>
      <c r="J1668" s="83" t="n"/>
      <c r="K1668" s="83" t="n"/>
      <c r="L1668" s="83" t="n"/>
      <c r="M1668" s="83" t="n"/>
      <c r="O1668" s="84" t="str">
        <f>IF($C1668="","",IFERROR(MATCH($B1668&amp;"|"&amp;$C1668,MUROS!$AX$11:$AX$70,0),0))</f>
        <v/>
      </c>
      <c r="P1668" s="84" t="str">
        <f>IF($D1668="","",IF(ISNUMBER(MATCH($D1668,CMB_S,0)),1,IF(ISNUMBER(MATCH($D1668,CMB_G,0)),2,0)))</f>
        <v/>
      </c>
      <c r="Q1668" s="84">
        <f>IF(ISNUMBER($H1668),-$H1668,0)</f>
        <v>0</v>
      </c>
      <c r="R1668" s="84">
        <f>IF(ISNUMBER($I1668),ABS($I1668),0)</f>
        <v>0</v>
      </c>
      <c r="S1668" s="84">
        <f>IF(ISNUMBER($M1668),ABS($M1668),0)</f>
        <v>0</v>
      </c>
      <c r="T1668" s="85" t="n">
        <v>1660</v>
      </c>
    </row>
    <row r="1669">
      <c r="B1669" s="83" t="n"/>
      <c r="C1669" s="83" t="n"/>
      <c r="D1669" s="83" t="n"/>
      <c r="E1669" s="83" t="n"/>
      <c r="F1669" s="83" t="n"/>
      <c r="G1669" s="83" t="n"/>
      <c r="H1669" s="83" t="n"/>
      <c r="I1669" s="83" t="n"/>
      <c r="J1669" s="83" t="n"/>
      <c r="K1669" s="83" t="n"/>
      <c r="L1669" s="83" t="n"/>
      <c r="M1669" s="83" t="n"/>
      <c r="O1669" s="84" t="str">
        <f>IF($C1669="","",IFERROR(MATCH($B1669&amp;"|"&amp;$C1669,MUROS!$AX$11:$AX$70,0),0))</f>
        <v/>
      </c>
      <c r="P1669" s="84" t="str">
        <f>IF($D1669="","",IF(ISNUMBER(MATCH($D1669,CMB_S,0)),1,IF(ISNUMBER(MATCH($D1669,CMB_G,0)),2,0)))</f>
        <v/>
      </c>
      <c r="Q1669" s="84">
        <f>IF(ISNUMBER($H1669),-$H1669,0)</f>
        <v>0</v>
      </c>
      <c r="R1669" s="84">
        <f>IF(ISNUMBER($I1669),ABS($I1669),0)</f>
        <v>0</v>
      </c>
      <c r="S1669" s="84">
        <f>IF(ISNUMBER($M1669),ABS($M1669),0)</f>
        <v>0</v>
      </c>
      <c r="T1669" s="85" t="n">
        <v>1661</v>
      </c>
    </row>
    <row r="1670">
      <c r="B1670" s="83" t="n"/>
      <c r="C1670" s="83" t="n"/>
      <c r="D1670" s="83" t="n"/>
      <c r="E1670" s="83" t="n"/>
      <c r="F1670" s="83" t="n"/>
      <c r="G1670" s="83" t="n"/>
      <c r="H1670" s="83" t="n"/>
      <c r="I1670" s="83" t="n"/>
      <c r="J1670" s="83" t="n"/>
      <c r="K1670" s="83" t="n"/>
      <c r="L1670" s="83" t="n"/>
      <c r="M1670" s="83" t="n"/>
      <c r="O1670" s="84" t="str">
        <f>IF($C1670="","",IFERROR(MATCH($B1670&amp;"|"&amp;$C1670,MUROS!$AX$11:$AX$70,0),0))</f>
        <v/>
      </c>
      <c r="P1670" s="84" t="str">
        <f>IF($D1670="","",IF(ISNUMBER(MATCH($D1670,CMB_S,0)),1,IF(ISNUMBER(MATCH($D1670,CMB_G,0)),2,0)))</f>
        <v/>
      </c>
      <c r="Q1670" s="84">
        <f>IF(ISNUMBER($H1670),-$H1670,0)</f>
        <v>0</v>
      </c>
      <c r="R1670" s="84">
        <f>IF(ISNUMBER($I1670),ABS($I1670),0)</f>
        <v>0</v>
      </c>
      <c r="S1670" s="84">
        <f>IF(ISNUMBER($M1670),ABS($M1670),0)</f>
        <v>0</v>
      </c>
      <c r="T1670" s="85" t="n">
        <v>1662</v>
      </c>
    </row>
    <row r="1671">
      <c r="B1671" s="83" t="n"/>
      <c r="C1671" s="83" t="n"/>
      <c r="D1671" s="83" t="n"/>
      <c r="E1671" s="83" t="n"/>
      <c r="F1671" s="83" t="n"/>
      <c r="G1671" s="83" t="n"/>
      <c r="H1671" s="83" t="n"/>
      <c r="I1671" s="83" t="n"/>
      <c r="J1671" s="83" t="n"/>
      <c r="K1671" s="83" t="n"/>
      <c r="L1671" s="83" t="n"/>
      <c r="M1671" s="83" t="n"/>
      <c r="O1671" s="84" t="str">
        <f>IF($C1671="","",IFERROR(MATCH($B1671&amp;"|"&amp;$C1671,MUROS!$AX$11:$AX$70,0),0))</f>
        <v/>
      </c>
      <c r="P1671" s="84" t="str">
        <f>IF($D1671="","",IF(ISNUMBER(MATCH($D1671,CMB_S,0)),1,IF(ISNUMBER(MATCH($D1671,CMB_G,0)),2,0)))</f>
        <v/>
      </c>
      <c r="Q1671" s="84">
        <f>IF(ISNUMBER($H1671),-$H1671,0)</f>
        <v>0</v>
      </c>
      <c r="R1671" s="84">
        <f>IF(ISNUMBER($I1671),ABS($I1671),0)</f>
        <v>0</v>
      </c>
      <c r="S1671" s="84">
        <f>IF(ISNUMBER($M1671),ABS($M1671),0)</f>
        <v>0</v>
      </c>
      <c r="T1671" s="85" t="n">
        <v>1663</v>
      </c>
    </row>
    <row r="1672">
      <c r="B1672" s="83" t="n"/>
      <c r="C1672" s="83" t="n"/>
      <c r="D1672" s="83" t="n"/>
      <c r="E1672" s="83" t="n"/>
      <c r="F1672" s="83" t="n"/>
      <c r="G1672" s="83" t="n"/>
      <c r="H1672" s="83" t="n"/>
      <c r="I1672" s="83" t="n"/>
      <c r="J1672" s="83" t="n"/>
      <c r="K1672" s="83" t="n"/>
      <c r="L1672" s="83" t="n"/>
      <c r="M1672" s="83" t="n"/>
      <c r="O1672" s="84" t="str">
        <f>IF($C1672="","",IFERROR(MATCH($B1672&amp;"|"&amp;$C1672,MUROS!$AX$11:$AX$70,0),0))</f>
        <v/>
      </c>
      <c r="P1672" s="84" t="str">
        <f>IF($D1672="","",IF(ISNUMBER(MATCH($D1672,CMB_S,0)),1,IF(ISNUMBER(MATCH($D1672,CMB_G,0)),2,0)))</f>
        <v/>
      </c>
      <c r="Q1672" s="84">
        <f>IF(ISNUMBER($H1672),-$H1672,0)</f>
        <v>0</v>
      </c>
      <c r="R1672" s="84">
        <f>IF(ISNUMBER($I1672),ABS($I1672),0)</f>
        <v>0</v>
      </c>
      <c r="S1672" s="84">
        <f>IF(ISNUMBER($M1672),ABS($M1672),0)</f>
        <v>0</v>
      </c>
      <c r="T1672" s="85" t="n">
        <v>1664</v>
      </c>
    </row>
    <row r="1673">
      <c r="B1673" s="83" t="n"/>
      <c r="C1673" s="83" t="n"/>
      <c r="D1673" s="83" t="n"/>
      <c r="E1673" s="83" t="n"/>
      <c r="F1673" s="83" t="n"/>
      <c r="G1673" s="83" t="n"/>
      <c r="H1673" s="83" t="n"/>
      <c r="I1673" s="83" t="n"/>
      <c r="J1673" s="83" t="n"/>
      <c r="K1673" s="83" t="n"/>
      <c r="L1673" s="83" t="n"/>
      <c r="M1673" s="83" t="n"/>
      <c r="O1673" s="84" t="str">
        <f>IF($C1673="","",IFERROR(MATCH($B1673&amp;"|"&amp;$C1673,MUROS!$AX$11:$AX$70,0),0))</f>
        <v/>
      </c>
      <c r="P1673" s="84" t="str">
        <f>IF($D1673="","",IF(ISNUMBER(MATCH($D1673,CMB_S,0)),1,IF(ISNUMBER(MATCH($D1673,CMB_G,0)),2,0)))</f>
        <v/>
      </c>
      <c r="Q1673" s="84">
        <f>IF(ISNUMBER($H1673),-$H1673,0)</f>
        <v>0</v>
      </c>
      <c r="R1673" s="84">
        <f>IF(ISNUMBER($I1673),ABS($I1673),0)</f>
        <v>0</v>
      </c>
      <c r="S1673" s="84">
        <f>IF(ISNUMBER($M1673),ABS($M1673),0)</f>
        <v>0</v>
      </c>
      <c r="T1673" s="85" t="n">
        <v>1665</v>
      </c>
    </row>
    <row r="1674">
      <c r="B1674" s="83" t="n"/>
      <c r="C1674" s="83" t="n"/>
      <c r="D1674" s="83" t="n"/>
      <c r="E1674" s="83" t="n"/>
      <c r="F1674" s="83" t="n"/>
      <c r="G1674" s="83" t="n"/>
      <c r="H1674" s="83" t="n"/>
      <c r="I1674" s="83" t="n"/>
      <c r="J1674" s="83" t="n"/>
      <c r="K1674" s="83" t="n"/>
      <c r="L1674" s="83" t="n"/>
      <c r="M1674" s="83" t="n"/>
      <c r="O1674" s="84" t="str">
        <f>IF($C1674="","",IFERROR(MATCH($B1674&amp;"|"&amp;$C1674,MUROS!$AX$11:$AX$70,0),0))</f>
        <v/>
      </c>
      <c r="P1674" s="84" t="str">
        <f>IF($D1674="","",IF(ISNUMBER(MATCH($D1674,CMB_S,0)),1,IF(ISNUMBER(MATCH($D1674,CMB_G,0)),2,0)))</f>
        <v/>
      </c>
      <c r="Q1674" s="84">
        <f>IF(ISNUMBER($H1674),-$H1674,0)</f>
        <v>0</v>
      </c>
      <c r="R1674" s="84">
        <f>IF(ISNUMBER($I1674),ABS($I1674),0)</f>
        <v>0</v>
      </c>
      <c r="S1674" s="84">
        <f>IF(ISNUMBER($M1674),ABS($M1674),0)</f>
        <v>0</v>
      </c>
      <c r="T1674" s="85" t="n">
        <v>1666</v>
      </c>
    </row>
    <row r="1675">
      <c r="B1675" s="83" t="n"/>
      <c r="C1675" s="83" t="n"/>
      <c r="D1675" s="83" t="n"/>
      <c r="E1675" s="83" t="n"/>
      <c r="F1675" s="83" t="n"/>
      <c r="G1675" s="83" t="n"/>
      <c r="H1675" s="83" t="n"/>
      <c r="I1675" s="83" t="n"/>
      <c r="J1675" s="83" t="n"/>
      <c r="K1675" s="83" t="n"/>
      <c r="L1675" s="83" t="n"/>
      <c r="M1675" s="83" t="n"/>
      <c r="O1675" s="84" t="str">
        <f>IF($C1675="","",IFERROR(MATCH($B1675&amp;"|"&amp;$C1675,MUROS!$AX$11:$AX$70,0),0))</f>
        <v/>
      </c>
      <c r="P1675" s="84" t="str">
        <f>IF($D1675="","",IF(ISNUMBER(MATCH($D1675,CMB_S,0)),1,IF(ISNUMBER(MATCH($D1675,CMB_G,0)),2,0)))</f>
        <v/>
      </c>
      <c r="Q1675" s="84">
        <f>IF(ISNUMBER($H1675),-$H1675,0)</f>
        <v>0</v>
      </c>
      <c r="R1675" s="84">
        <f>IF(ISNUMBER($I1675),ABS($I1675),0)</f>
        <v>0</v>
      </c>
      <c r="S1675" s="84">
        <f>IF(ISNUMBER($M1675),ABS($M1675),0)</f>
        <v>0</v>
      </c>
      <c r="T1675" s="85" t="n">
        <v>1667</v>
      </c>
    </row>
    <row r="1676">
      <c r="B1676" s="83" t="n"/>
      <c r="C1676" s="83" t="n"/>
      <c r="D1676" s="83" t="n"/>
      <c r="E1676" s="83" t="n"/>
      <c r="F1676" s="83" t="n"/>
      <c r="G1676" s="83" t="n"/>
      <c r="H1676" s="83" t="n"/>
      <c r="I1676" s="83" t="n"/>
      <c r="J1676" s="83" t="n"/>
      <c r="K1676" s="83" t="n"/>
      <c r="L1676" s="83" t="n"/>
      <c r="M1676" s="83" t="n"/>
      <c r="O1676" s="84" t="str">
        <f>IF($C1676="","",IFERROR(MATCH($B1676&amp;"|"&amp;$C1676,MUROS!$AX$11:$AX$70,0),0))</f>
        <v/>
      </c>
      <c r="P1676" s="84" t="str">
        <f>IF($D1676="","",IF(ISNUMBER(MATCH($D1676,CMB_S,0)),1,IF(ISNUMBER(MATCH($D1676,CMB_G,0)),2,0)))</f>
        <v/>
      </c>
      <c r="Q1676" s="84">
        <f>IF(ISNUMBER($H1676),-$H1676,0)</f>
        <v>0</v>
      </c>
      <c r="R1676" s="84">
        <f>IF(ISNUMBER($I1676),ABS($I1676),0)</f>
        <v>0</v>
      </c>
      <c r="S1676" s="84">
        <f>IF(ISNUMBER($M1676),ABS($M1676),0)</f>
        <v>0</v>
      </c>
      <c r="T1676" s="85" t="n">
        <v>1668</v>
      </c>
    </row>
    <row r="1677">
      <c r="B1677" s="83" t="n"/>
      <c r="C1677" s="83" t="n"/>
      <c r="D1677" s="83" t="n"/>
      <c r="E1677" s="83" t="n"/>
      <c r="F1677" s="83" t="n"/>
      <c r="G1677" s="83" t="n"/>
      <c r="H1677" s="83" t="n"/>
      <c r="I1677" s="83" t="n"/>
      <c r="J1677" s="83" t="n"/>
      <c r="K1677" s="83" t="n"/>
      <c r="L1677" s="83" t="n"/>
      <c r="M1677" s="83" t="n"/>
      <c r="O1677" s="84" t="str">
        <f>IF($C1677="","",IFERROR(MATCH($B1677&amp;"|"&amp;$C1677,MUROS!$AX$11:$AX$70,0),0))</f>
        <v/>
      </c>
      <c r="P1677" s="84" t="str">
        <f>IF($D1677="","",IF(ISNUMBER(MATCH($D1677,CMB_S,0)),1,IF(ISNUMBER(MATCH($D1677,CMB_G,0)),2,0)))</f>
        <v/>
      </c>
      <c r="Q1677" s="84">
        <f>IF(ISNUMBER($H1677),-$H1677,0)</f>
        <v>0</v>
      </c>
      <c r="R1677" s="84">
        <f>IF(ISNUMBER($I1677),ABS($I1677),0)</f>
        <v>0</v>
      </c>
      <c r="S1677" s="84">
        <f>IF(ISNUMBER($M1677),ABS($M1677),0)</f>
        <v>0</v>
      </c>
      <c r="T1677" s="85" t="n">
        <v>1669</v>
      </c>
    </row>
    <row r="1678">
      <c r="B1678" s="83" t="n"/>
      <c r="C1678" s="83" t="n"/>
      <c r="D1678" s="83" t="n"/>
      <c r="E1678" s="83" t="n"/>
      <c r="F1678" s="83" t="n"/>
      <c r="G1678" s="83" t="n"/>
      <c r="H1678" s="83" t="n"/>
      <c r="I1678" s="83" t="n"/>
      <c r="J1678" s="83" t="n"/>
      <c r="K1678" s="83" t="n"/>
      <c r="L1678" s="83" t="n"/>
      <c r="M1678" s="83" t="n"/>
      <c r="O1678" s="84" t="str">
        <f>IF($C1678="","",IFERROR(MATCH($B1678&amp;"|"&amp;$C1678,MUROS!$AX$11:$AX$70,0),0))</f>
        <v/>
      </c>
      <c r="P1678" s="84" t="str">
        <f>IF($D1678="","",IF(ISNUMBER(MATCH($D1678,CMB_S,0)),1,IF(ISNUMBER(MATCH($D1678,CMB_G,0)),2,0)))</f>
        <v/>
      </c>
      <c r="Q1678" s="84">
        <f>IF(ISNUMBER($H1678),-$H1678,0)</f>
        <v>0</v>
      </c>
      <c r="R1678" s="84">
        <f>IF(ISNUMBER($I1678),ABS($I1678),0)</f>
        <v>0</v>
      </c>
      <c r="S1678" s="84">
        <f>IF(ISNUMBER($M1678),ABS($M1678),0)</f>
        <v>0</v>
      </c>
      <c r="T1678" s="85" t="n">
        <v>1670</v>
      </c>
    </row>
    <row r="1679">
      <c r="B1679" s="83" t="n"/>
      <c r="C1679" s="83" t="n"/>
      <c r="D1679" s="83" t="n"/>
      <c r="E1679" s="83" t="n"/>
      <c r="F1679" s="83" t="n"/>
      <c r="G1679" s="83" t="n"/>
      <c r="H1679" s="83" t="n"/>
      <c r="I1679" s="83" t="n"/>
      <c r="J1679" s="83" t="n"/>
      <c r="K1679" s="83" t="n"/>
      <c r="L1679" s="83" t="n"/>
      <c r="M1679" s="83" t="n"/>
      <c r="O1679" s="84" t="str">
        <f>IF($C1679="","",IFERROR(MATCH($B1679&amp;"|"&amp;$C1679,MUROS!$AX$11:$AX$70,0),0))</f>
        <v/>
      </c>
      <c r="P1679" s="84" t="str">
        <f>IF($D1679="","",IF(ISNUMBER(MATCH($D1679,CMB_S,0)),1,IF(ISNUMBER(MATCH($D1679,CMB_G,0)),2,0)))</f>
        <v/>
      </c>
      <c r="Q1679" s="84">
        <f>IF(ISNUMBER($H1679),-$H1679,0)</f>
        <v>0</v>
      </c>
      <c r="R1679" s="84">
        <f>IF(ISNUMBER($I1679),ABS($I1679),0)</f>
        <v>0</v>
      </c>
      <c r="S1679" s="84">
        <f>IF(ISNUMBER($M1679),ABS($M1679),0)</f>
        <v>0</v>
      </c>
      <c r="T1679" s="85" t="n">
        <v>1671</v>
      </c>
    </row>
    <row r="1680">
      <c r="B1680" s="83" t="n"/>
      <c r="C1680" s="83" t="n"/>
      <c r="D1680" s="83" t="n"/>
      <c r="E1680" s="83" t="n"/>
      <c r="F1680" s="83" t="n"/>
      <c r="G1680" s="83" t="n"/>
      <c r="H1680" s="83" t="n"/>
      <c r="I1680" s="83" t="n"/>
      <c r="J1680" s="83" t="n"/>
      <c r="K1680" s="83" t="n"/>
      <c r="L1680" s="83" t="n"/>
      <c r="M1680" s="83" t="n"/>
      <c r="O1680" s="84" t="str">
        <f>IF($C1680="","",IFERROR(MATCH($B1680&amp;"|"&amp;$C1680,MUROS!$AX$11:$AX$70,0),0))</f>
        <v/>
      </c>
      <c r="P1680" s="84" t="str">
        <f>IF($D1680="","",IF(ISNUMBER(MATCH($D1680,CMB_S,0)),1,IF(ISNUMBER(MATCH($D1680,CMB_G,0)),2,0)))</f>
        <v/>
      </c>
      <c r="Q1680" s="84">
        <f>IF(ISNUMBER($H1680),-$H1680,0)</f>
        <v>0</v>
      </c>
      <c r="R1680" s="84">
        <f>IF(ISNUMBER($I1680),ABS($I1680),0)</f>
        <v>0</v>
      </c>
      <c r="S1680" s="84">
        <f>IF(ISNUMBER($M1680),ABS($M1680),0)</f>
        <v>0</v>
      </c>
      <c r="T1680" s="85" t="n">
        <v>1672</v>
      </c>
    </row>
    <row r="1681">
      <c r="B1681" s="83" t="n"/>
      <c r="C1681" s="83" t="n"/>
      <c r="D1681" s="83" t="n"/>
      <c r="E1681" s="83" t="n"/>
      <c r="F1681" s="83" t="n"/>
      <c r="G1681" s="83" t="n"/>
      <c r="H1681" s="83" t="n"/>
      <c r="I1681" s="83" t="n"/>
      <c r="J1681" s="83" t="n"/>
      <c r="K1681" s="83" t="n"/>
      <c r="L1681" s="83" t="n"/>
      <c r="M1681" s="83" t="n"/>
      <c r="O1681" s="84" t="str">
        <f>IF($C1681="","",IFERROR(MATCH($B1681&amp;"|"&amp;$C1681,MUROS!$AX$11:$AX$70,0),0))</f>
        <v/>
      </c>
      <c r="P1681" s="84" t="str">
        <f>IF($D1681="","",IF(ISNUMBER(MATCH($D1681,CMB_S,0)),1,IF(ISNUMBER(MATCH($D1681,CMB_G,0)),2,0)))</f>
        <v/>
      </c>
      <c r="Q1681" s="84">
        <f>IF(ISNUMBER($H1681),-$H1681,0)</f>
        <v>0</v>
      </c>
      <c r="R1681" s="84">
        <f>IF(ISNUMBER($I1681),ABS($I1681),0)</f>
        <v>0</v>
      </c>
      <c r="S1681" s="84">
        <f>IF(ISNUMBER($M1681),ABS($M1681),0)</f>
        <v>0</v>
      </c>
      <c r="T1681" s="85" t="n">
        <v>1673</v>
      </c>
    </row>
    <row r="1682">
      <c r="B1682" s="83" t="n"/>
      <c r="C1682" s="83" t="n"/>
      <c r="D1682" s="83" t="n"/>
      <c r="E1682" s="83" t="n"/>
      <c r="F1682" s="83" t="n"/>
      <c r="G1682" s="83" t="n"/>
      <c r="H1682" s="83" t="n"/>
      <c r="I1682" s="83" t="n"/>
      <c r="J1682" s="83" t="n"/>
      <c r="K1682" s="83" t="n"/>
      <c r="L1682" s="83" t="n"/>
      <c r="M1682" s="83" t="n"/>
      <c r="O1682" s="84" t="str">
        <f>IF($C1682="","",IFERROR(MATCH($B1682&amp;"|"&amp;$C1682,MUROS!$AX$11:$AX$70,0),0))</f>
        <v/>
      </c>
      <c r="P1682" s="84" t="str">
        <f>IF($D1682="","",IF(ISNUMBER(MATCH($D1682,CMB_S,0)),1,IF(ISNUMBER(MATCH($D1682,CMB_G,0)),2,0)))</f>
        <v/>
      </c>
      <c r="Q1682" s="84">
        <f>IF(ISNUMBER($H1682),-$H1682,0)</f>
        <v>0</v>
      </c>
      <c r="R1682" s="84">
        <f>IF(ISNUMBER($I1682),ABS($I1682),0)</f>
        <v>0</v>
      </c>
      <c r="S1682" s="84">
        <f>IF(ISNUMBER($M1682),ABS($M1682),0)</f>
        <v>0</v>
      </c>
      <c r="T1682" s="85" t="n">
        <v>1674</v>
      </c>
    </row>
    <row r="1683">
      <c r="B1683" s="83" t="n"/>
      <c r="C1683" s="83" t="n"/>
      <c r="D1683" s="83" t="n"/>
      <c r="E1683" s="83" t="n"/>
      <c r="F1683" s="83" t="n"/>
      <c r="G1683" s="83" t="n"/>
      <c r="H1683" s="83" t="n"/>
      <c r="I1683" s="83" t="n"/>
      <c r="J1683" s="83" t="n"/>
      <c r="K1683" s="83" t="n"/>
      <c r="L1683" s="83" t="n"/>
      <c r="M1683" s="83" t="n"/>
      <c r="O1683" s="84" t="str">
        <f>IF($C1683="","",IFERROR(MATCH($B1683&amp;"|"&amp;$C1683,MUROS!$AX$11:$AX$70,0),0))</f>
        <v/>
      </c>
      <c r="P1683" s="84" t="str">
        <f>IF($D1683="","",IF(ISNUMBER(MATCH($D1683,CMB_S,0)),1,IF(ISNUMBER(MATCH($D1683,CMB_G,0)),2,0)))</f>
        <v/>
      </c>
      <c r="Q1683" s="84">
        <f>IF(ISNUMBER($H1683),-$H1683,0)</f>
        <v>0</v>
      </c>
      <c r="R1683" s="84">
        <f>IF(ISNUMBER($I1683),ABS($I1683),0)</f>
        <v>0</v>
      </c>
      <c r="S1683" s="84">
        <f>IF(ISNUMBER($M1683),ABS($M1683),0)</f>
        <v>0</v>
      </c>
      <c r="T1683" s="85" t="n">
        <v>1675</v>
      </c>
    </row>
    <row r="1684">
      <c r="B1684" s="83" t="n"/>
      <c r="C1684" s="83" t="n"/>
      <c r="D1684" s="83" t="n"/>
      <c r="E1684" s="83" t="n"/>
      <c r="F1684" s="83" t="n"/>
      <c r="G1684" s="83" t="n"/>
      <c r="H1684" s="83" t="n"/>
      <c r="I1684" s="83" t="n"/>
      <c r="J1684" s="83" t="n"/>
      <c r="K1684" s="83" t="n"/>
      <c r="L1684" s="83" t="n"/>
      <c r="M1684" s="83" t="n"/>
      <c r="O1684" s="84" t="str">
        <f>IF($C1684="","",IFERROR(MATCH($B1684&amp;"|"&amp;$C1684,MUROS!$AX$11:$AX$70,0),0))</f>
        <v/>
      </c>
      <c r="P1684" s="84" t="str">
        <f>IF($D1684="","",IF(ISNUMBER(MATCH($D1684,CMB_S,0)),1,IF(ISNUMBER(MATCH($D1684,CMB_G,0)),2,0)))</f>
        <v/>
      </c>
      <c r="Q1684" s="84">
        <f>IF(ISNUMBER($H1684),-$H1684,0)</f>
        <v>0</v>
      </c>
      <c r="R1684" s="84">
        <f>IF(ISNUMBER($I1684),ABS($I1684),0)</f>
        <v>0</v>
      </c>
      <c r="S1684" s="84">
        <f>IF(ISNUMBER($M1684),ABS($M1684),0)</f>
        <v>0</v>
      </c>
      <c r="T1684" s="85" t="n">
        <v>1676</v>
      </c>
    </row>
    <row r="1685">
      <c r="B1685" s="83" t="n"/>
      <c r="C1685" s="83" t="n"/>
      <c r="D1685" s="83" t="n"/>
      <c r="E1685" s="83" t="n"/>
      <c r="F1685" s="83" t="n"/>
      <c r="G1685" s="83" t="n"/>
      <c r="H1685" s="83" t="n"/>
      <c r="I1685" s="83" t="n"/>
      <c r="J1685" s="83" t="n"/>
      <c r="K1685" s="83" t="n"/>
      <c r="L1685" s="83" t="n"/>
      <c r="M1685" s="83" t="n"/>
      <c r="O1685" s="84" t="str">
        <f>IF($C1685="","",IFERROR(MATCH($B1685&amp;"|"&amp;$C1685,MUROS!$AX$11:$AX$70,0),0))</f>
        <v/>
      </c>
      <c r="P1685" s="84" t="str">
        <f>IF($D1685="","",IF(ISNUMBER(MATCH($D1685,CMB_S,0)),1,IF(ISNUMBER(MATCH($D1685,CMB_G,0)),2,0)))</f>
        <v/>
      </c>
      <c r="Q1685" s="84">
        <f>IF(ISNUMBER($H1685),-$H1685,0)</f>
        <v>0</v>
      </c>
      <c r="R1685" s="84">
        <f>IF(ISNUMBER($I1685),ABS($I1685),0)</f>
        <v>0</v>
      </c>
      <c r="S1685" s="84">
        <f>IF(ISNUMBER($M1685),ABS($M1685),0)</f>
        <v>0</v>
      </c>
      <c r="T1685" s="85" t="n">
        <v>1677</v>
      </c>
    </row>
    <row r="1686">
      <c r="B1686" s="83" t="n"/>
      <c r="C1686" s="83" t="n"/>
      <c r="D1686" s="83" t="n"/>
      <c r="E1686" s="83" t="n"/>
      <c r="F1686" s="83" t="n"/>
      <c r="G1686" s="83" t="n"/>
      <c r="H1686" s="83" t="n"/>
      <c r="I1686" s="83" t="n"/>
      <c r="J1686" s="83" t="n"/>
      <c r="K1686" s="83" t="n"/>
      <c r="L1686" s="83" t="n"/>
      <c r="M1686" s="83" t="n"/>
      <c r="O1686" s="84" t="str">
        <f>IF($C1686="","",IFERROR(MATCH($B1686&amp;"|"&amp;$C1686,MUROS!$AX$11:$AX$70,0),0))</f>
        <v/>
      </c>
      <c r="P1686" s="84" t="str">
        <f>IF($D1686="","",IF(ISNUMBER(MATCH($D1686,CMB_S,0)),1,IF(ISNUMBER(MATCH($D1686,CMB_G,0)),2,0)))</f>
        <v/>
      </c>
      <c r="Q1686" s="84">
        <f>IF(ISNUMBER($H1686),-$H1686,0)</f>
        <v>0</v>
      </c>
      <c r="R1686" s="84">
        <f>IF(ISNUMBER($I1686),ABS($I1686),0)</f>
        <v>0</v>
      </c>
      <c r="S1686" s="84">
        <f>IF(ISNUMBER($M1686),ABS($M1686),0)</f>
        <v>0</v>
      </c>
      <c r="T1686" s="85" t="n">
        <v>1678</v>
      </c>
    </row>
    <row r="1687">
      <c r="B1687" s="83" t="n"/>
      <c r="C1687" s="83" t="n"/>
      <c r="D1687" s="83" t="n"/>
      <c r="E1687" s="83" t="n"/>
      <c r="F1687" s="83" t="n"/>
      <c r="G1687" s="83" t="n"/>
      <c r="H1687" s="83" t="n"/>
      <c r="I1687" s="83" t="n"/>
      <c r="J1687" s="83" t="n"/>
      <c r="K1687" s="83" t="n"/>
      <c r="L1687" s="83" t="n"/>
      <c r="M1687" s="83" t="n"/>
      <c r="O1687" s="84" t="str">
        <f>IF($C1687="","",IFERROR(MATCH($B1687&amp;"|"&amp;$C1687,MUROS!$AX$11:$AX$70,0),0))</f>
        <v/>
      </c>
      <c r="P1687" s="84" t="str">
        <f>IF($D1687="","",IF(ISNUMBER(MATCH($D1687,CMB_S,0)),1,IF(ISNUMBER(MATCH($D1687,CMB_G,0)),2,0)))</f>
        <v/>
      </c>
      <c r="Q1687" s="84">
        <f>IF(ISNUMBER($H1687),-$H1687,0)</f>
        <v>0</v>
      </c>
      <c r="R1687" s="84">
        <f>IF(ISNUMBER($I1687),ABS($I1687),0)</f>
        <v>0</v>
      </c>
      <c r="S1687" s="84">
        <f>IF(ISNUMBER($M1687),ABS($M1687),0)</f>
        <v>0</v>
      </c>
      <c r="T1687" s="85" t="n">
        <v>1679</v>
      </c>
    </row>
    <row r="1688">
      <c r="B1688" s="83" t="n"/>
      <c r="C1688" s="83" t="n"/>
      <c r="D1688" s="83" t="n"/>
      <c r="E1688" s="83" t="n"/>
      <c r="F1688" s="83" t="n"/>
      <c r="G1688" s="83" t="n"/>
      <c r="H1688" s="83" t="n"/>
      <c r="I1688" s="83" t="n"/>
      <c r="J1688" s="83" t="n"/>
      <c r="K1688" s="83" t="n"/>
      <c r="L1688" s="83" t="n"/>
      <c r="M1688" s="83" t="n"/>
      <c r="O1688" s="84" t="str">
        <f>IF($C1688="","",IFERROR(MATCH($B1688&amp;"|"&amp;$C1688,MUROS!$AX$11:$AX$70,0),0))</f>
        <v/>
      </c>
      <c r="P1688" s="84" t="str">
        <f>IF($D1688="","",IF(ISNUMBER(MATCH($D1688,CMB_S,0)),1,IF(ISNUMBER(MATCH($D1688,CMB_G,0)),2,0)))</f>
        <v/>
      </c>
      <c r="Q1688" s="84">
        <f>IF(ISNUMBER($H1688),-$H1688,0)</f>
        <v>0</v>
      </c>
      <c r="R1688" s="84">
        <f>IF(ISNUMBER($I1688),ABS($I1688),0)</f>
        <v>0</v>
      </c>
      <c r="S1688" s="84">
        <f>IF(ISNUMBER($M1688),ABS($M1688),0)</f>
        <v>0</v>
      </c>
      <c r="T1688" s="85" t="n">
        <v>1680</v>
      </c>
    </row>
    <row r="1689">
      <c r="B1689" s="83" t="n"/>
      <c r="C1689" s="83" t="n"/>
      <c r="D1689" s="83" t="n"/>
      <c r="E1689" s="83" t="n"/>
      <c r="F1689" s="83" t="n"/>
      <c r="G1689" s="83" t="n"/>
      <c r="H1689" s="83" t="n"/>
      <c r="I1689" s="83" t="n"/>
      <c r="J1689" s="83" t="n"/>
      <c r="K1689" s="83" t="n"/>
      <c r="L1689" s="83" t="n"/>
      <c r="M1689" s="83" t="n"/>
      <c r="O1689" s="84" t="str">
        <f>IF($C1689="","",IFERROR(MATCH($B1689&amp;"|"&amp;$C1689,MUROS!$AX$11:$AX$70,0),0))</f>
        <v/>
      </c>
      <c r="P1689" s="84" t="str">
        <f>IF($D1689="","",IF(ISNUMBER(MATCH($D1689,CMB_S,0)),1,IF(ISNUMBER(MATCH($D1689,CMB_G,0)),2,0)))</f>
        <v/>
      </c>
      <c r="Q1689" s="84">
        <f>IF(ISNUMBER($H1689),-$H1689,0)</f>
        <v>0</v>
      </c>
      <c r="R1689" s="84">
        <f>IF(ISNUMBER($I1689),ABS($I1689),0)</f>
        <v>0</v>
      </c>
      <c r="S1689" s="84">
        <f>IF(ISNUMBER($M1689),ABS($M1689),0)</f>
        <v>0</v>
      </c>
      <c r="T1689" s="85" t="n">
        <v>1681</v>
      </c>
    </row>
    <row r="1690">
      <c r="B1690" s="83" t="n"/>
      <c r="C1690" s="83" t="n"/>
      <c r="D1690" s="83" t="n"/>
      <c r="E1690" s="83" t="n"/>
      <c r="F1690" s="83" t="n"/>
      <c r="G1690" s="83" t="n"/>
      <c r="H1690" s="83" t="n"/>
      <c r="I1690" s="83" t="n"/>
      <c r="J1690" s="83" t="n"/>
      <c r="K1690" s="83" t="n"/>
      <c r="L1690" s="83" t="n"/>
      <c r="M1690" s="83" t="n"/>
      <c r="O1690" s="84" t="str">
        <f>IF($C1690="","",IFERROR(MATCH($B1690&amp;"|"&amp;$C1690,MUROS!$AX$11:$AX$70,0),0))</f>
        <v/>
      </c>
      <c r="P1690" s="84" t="str">
        <f>IF($D1690="","",IF(ISNUMBER(MATCH($D1690,CMB_S,0)),1,IF(ISNUMBER(MATCH($D1690,CMB_G,0)),2,0)))</f>
        <v/>
      </c>
      <c r="Q1690" s="84">
        <f>IF(ISNUMBER($H1690),-$H1690,0)</f>
        <v>0</v>
      </c>
      <c r="R1690" s="84">
        <f>IF(ISNUMBER($I1690),ABS($I1690),0)</f>
        <v>0</v>
      </c>
      <c r="S1690" s="84">
        <f>IF(ISNUMBER($M1690),ABS($M1690),0)</f>
        <v>0</v>
      </c>
      <c r="T1690" s="85" t="n">
        <v>1682</v>
      </c>
    </row>
    <row r="1691">
      <c r="B1691" s="83" t="n"/>
      <c r="C1691" s="83" t="n"/>
      <c r="D1691" s="83" t="n"/>
      <c r="E1691" s="83" t="n"/>
      <c r="F1691" s="83" t="n"/>
      <c r="G1691" s="83" t="n"/>
      <c r="H1691" s="83" t="n"/>
      <c r="I1691" s="83" t="n"/>
      <c r="J1691" s="83" t="n"/>
      <c r="K1691" s="83" t="n"/>
      <c r="L1691" s="83" t="n"/>
      <c r="M1691" s="83" t="n"/>
      <c r="O1691" s="84" t="str">
        <f>IF($C1691="","",IFERROR(MATCH($B1691&amp;"|"&amp;$C1691,MUROS!$AX$11:$AX$70,0),0))</f>
        <v/>
      </c>
      <c r="P1691" s="84" t="str">
        <f>IF($D1691="","",IF(ISNUMBER(MATCH($D1691,CMB_S,0)),1,IF(ISNUMBER(MATCH($D1691,CMB_G,0)),2,0)))</f>
        <v/>
      </c>
      <c r="Q1691" s="84">
        <f>IF(ISNUMBER($H1691),-$H1691,0)</f>
        <v>0</v>
      </c>
      <c r="R1691" s="84">
        <f>IF(ISNUMBER($I1691),ABS($I1691),0)</f>
        <v>0</v>
      </c>
      <c r="S1691" s="84">
        <f>IF(ISNUMBER($M1691),ABS($M1691),0)</f>
        <v>0</v>
      </c>
      <c r="T1691" s="85" t="n">
        <v>1683</v>
      </c>
    </row>
    <row r="1692">
      <c r="B1692" s="83" t="n"/>
      <c r="C1692" s="83" t="n"/>
      <c r="D1692" s="83" t="n"/>
      <c r="E1692" s="83" t="n"/>
      <c r="F1692" s="83" t="n"/>
      <c r="G1692" s="83" t="n"/>
      <c r="H1692" s="83" t="n"/>
      <c r="I1692" s="83" t="n"/>
      <c r="J1692" s="83" t="n"/>
      <c r="K1692" s="83" t="n"/>
      <c r="L1692" s="83" t="n"/>
      <c r="M1692" s="83" t="n"/>
      <c r="O1692" s="84" t="str">
        <f>IF($C1692="","",IFERROR(MATCH($B1692&amp;"|"&amp;$C1692,MUROS!$AX$11:$AX$70,0),0))</f>
        <v/>
      </c>
      <c r="P1692" s="84" t="str">
        <f>IF($D1692="","",IF(ISNUMBER(MATCH($D1692,CMB_S,0)),1,IF(ISNUMBER(MATCH($D1692,CMB_G,0)),2,0)))</f>
        <v/>
      </c>
      <c r="Q1692" s="84">
        <f>IF(ISNUMBER($H1692),-$H1692,0)</f>
        <v>0</v>
      </c>
      <c r="R1692" s="84">
        <f>IF(ISNUMBER($I1692),ABS($I1692),0)</f>
        <v>0</v>
      </c>
      <c r="S1692" s="84">
        <f>IF(ISNUMBER($M1692),ABS($M1692),0)</f>
        <v>0</v>
      </c>
      <c r="T1692" s="85" t="n">
        <v>1684</v>
      </c>
    </row>
    <row r="1693">
      <c r="B1693" s="83" t="n"/>
      <c r="C1693" s="83" t="n"/>
      <c r="D1693" s="83" t="n"/>
      <c r="E1693" s="83" t="n"/>
      <c r="F1693" s="83" t="n"/>
      <c r="G1693" s="83" t="n"/>
      <c r="H1693" s="83" t="n"/>
      <c r="I1693" s="83" t="n"/>
      <c r="J1693" s="83" t="n"/>
      <c r="K1693" s="83" t="n"/>
      <c r="L1693" s="83" t="n"/>
      <c r="M1693" s="83" t="n"/>
      <c r="O1693" s="84" t="str">
        <f>IF($C1693="","",IFERROR(MATCH($B1693&amp;"|"&amp;$C1693,MUROS!$AX$11:$AX$70,0),0))</f>
        <v/>
      </c>
      <c r="P1693" s="84" t="str">
        <f>IF($D1693="","",IF(ISNUMBER(MATCH($D1693,CMB_S,0)),1,IF(ISNUMBER(MATCH($D1693,CMB_G,0)),2,0)))</f>
        <v/>
      </c>
      <c r="Q1693" s="84">
        <f>IF(ISNUMBER($H1693),-$H1693,0)</f>
        <v>0</v>
      </c>
      <c r="R1693" s="84">
        <f>IF(ISNUMBER($I1693),ABS($I1693),0)</f>
        <v>0</v>
      </c>
      <c r="S1693" s="84">
        <f>IF(ISNUMBER($M1693),ABS($M1693),0)</f>
        <v>0</v>
      </c>
      <c r="T1693" s="85" t="n">
        <v>1685</v>
      </c>
    </row>
    <row r="1694">
      <c r="B1694" s="83" t="n"/>
      <c r="C1694" s="83" t="n"/>
      <c r="D1694" s="83" t="n"/>
      <c r="E1694" s="83" t="n"/>
      <c r="F1694" s="83" t="n"/>
      <c r="G1694" s="83" t="n"/>
      <c r="H1694" s="83" t="n"/>
      <c r="I1694" s="83" t="n"/>
      <c r="J1694" s="83" t="n"/>
      <c r="K1694" s="83" t="n"/>
      <c r="L1694" s="83" t="n"/>
      <c r="M1694" s="83" t="n"/>
      <c r="O1694" s="84" t="str">
        <f>IF($C1694="","",IFERROR(MATCH($B1694&amp;"|"&amp;$C1694,MUROS!$AX$11:$AX$70,0),0))</f>
        <v/>
      </c>
      <c r="P1694" s="84" t="str">
        <f>IF($D1694="","",IF(ISNUMBER(MATCH($D1694,CMB_S,0)),1,IF(ISNUMBER(MATCH($D1694,CMB_G,0)),2,0)))</f>
        <v/>
      </c>
      <c r="Q1694" s="84">
        <f>IF(ISNUMBER($H1694),-$H1694,0)</f>
        <v>0</v>
      </c>
      <c r="R1694" s="84">
        <f>IF(ISNUMBER($I1694),ABS($I1694),0)</f>
        <v>0</v>
      </c>
      <c r="S1694" s="84">
        <f>IF(ISNUMBER($M1694),ABS($M1694),0)</f>
        <v>0</v>
      </c>
      <c r="T1694" s="85" t="n">
        <v>1686</v>
      </c>
    </row>
    <row r="1695">
      <c r="B1695" s="83" t="n"/>
      <c r="C1695" s="83" t="n"/>
      <c r="D1695" s="83" t="n"/>
      <c r="E1695" s="83" t="n"/>
      <c r="F1695" s="83" t="n"/>
      <c r="G1695" s="83" t="n"/>
      <c r="H1695" s="83" t="n"/>
      <c r="I1695" s="83" t="n"/>
      <c r="J1695" s="83" t="n"/>
      <c r="K1695" s="83" t="n"/>
      <c r="L1695" s="83" t="n"/>
      <c r="M1695" s="83" t="n"/>
      <c r="O1695" s="84" t="str">
        <f>IF($C1695="","",IFERROR(MATCH($B1695&amp;"|"&amp;$C1695,MUROS!$AX$11:$AX$70,0),0))</f>
        <v/>
      </c>
      <c r="P1695" s="84" t="str">
        <f>IF($D1695="","",IF(ISNUMBER(MATCH($D1695,CMB_S,0)),1,IF(ISNUMBER(MATCH($D1695,CMB_G,0)),2,0)))</f>
        <v/>
      </c>
      <c r="Q1695" s="84">
        <f>IF(ISNUMBER($H1695),-$H1695,0)</f>
        <v>0</v>
      </c>
      <c r="R1695" s="84">
        <f>IF(ISNUMBER($I1695),ABS($I1695),0)</f>
        <v>0</v>
      </c>
      <c r="S1695" s="84">
        <f>IF(ISNUMBER($M1695),ABS($M1695),0)</f>
        <v>0</v>
      </c>
      <c r="T1695" s="85" t="n">
        <v>1687</v>
      </c>
    </row>
    <row r="1696">
      <c r="B1696" s="83" t="n"/>
      <c r="C1696" s="83" t="n"/>
      <c r="D1696" s="83" t="n"/>
      <c r="E1696" s="83" t="n"/>
      <c r="F1696" s="83" t="n"/>
      <c r="G1696" s="83" t="n"/>
      <c r="H1696" s="83" t="n"/>
      <c r="I1696" s="83" t="n"/>
      <c r="J1696" s="83" t="n"/>
      <c r="K1696" s="83" t="n"/>
      <c r="L1696" s="83" t="n"/>
      <c r="M1696" s="83" t="n"/>
      <c r="O1696" s="84" t="str">
        <f>IF($C1696="","",IFERROR(MATCH($B1696&amp;"|"&amp;$C1696,MUROS!$AX$11:$AX$70,0),0))</f>
        <v/>
      </c>
      <c r="P1696" s="84" t="str">
        <f>IF($D1696="","",IF(ISNUMBER(MATCH($D1696,CMB_S,0)),1,IF(ISNUMBER(MATCH($D1696,CMB_G,0)),2,0)))</f>
        <v/>
      </c>
      <c r="Q1696" s="84">
        <f>IF(ISNUMBER($H1696),-$H1696,0)</f>
        <v>0</v>
      </c>
      <c r="R1696" s="84">
        <f>IF(ISNUMBER($I1696),ABS($I1696),0)</f>
        <v>0</v>
      </c>
      <c r="S1696" s="84">
        <f>IF(ISNUMBER($M1696),ABS($M1696),0)</f>
        <v>0</v>
      </c>
      <c r="T1696" s="85" t="n">
        <v>1688</v>
      </c>
    </row>
    <row r="1697">
      <c r="B1697" s="83" t="n"/>
      <c r="C1697" s="83" t="n"/>
      <c r="D1697" s="83" t="n"/>
      <c r="E1697" s="83" t="n"/>
      <c r="F1697" s="83" t="n"/>
      <c r="G1697" s="83" t="n"/>
      <c r="H1697" s="83" t="n"/>
      <c r="I1697" s="83" t="n"/>
      <c r="J1697" s="83" t="n"/>
      <c r="K1697" s="83" t="n"/>
      <c r="L1697" s="83" t="n"/>
      <c r="M1697" s="83" t="n"/>
      <c r="O1697" s="84" t="str">
        <f>IF($C1697="","",IFERROR(MATCH($B1697&amp;"|"&amp;$C1697,MUROS!$AX$11:$AX$70,0),0))</f>
        <v/>
      </c>
      <c r="P1697" s="84" t="str">
        <f>IF($D1697="","",IF(ISNUMBER(MATCH($D1697,CMB_S,0)),1,IF(ISNUMBER(MATCH($D1697,CMB_G,0)),2,0)))</f>
        <v/>
      </c>
      <c r="Q1697" s="84">
        <f>IF(ISNUMBER($H1697),-$H1697,0)</f>
        <v>0</v>
      </c>
      <c r="R1697" s="84">
        <f>IF(ISNUMBER($I1697),ABS($I1697),0)</f>
        <v>0</v>
      </c>
      <c r="S1697" s="84">
        <f>IF(ISNUMBER($M1697),ABS($M1697),0)</f>
        <v>0</v>
      </c>
      <c r="T1697" s="85" t="n">
        <v>1689</v>
      </c>
    </row>
    <row r="1698">
      <c r="B1698" s="83" t="n"/>
      <c r="C1698" s="83" t="n"/>
      <c r="D1698" s="83" t="n"/>
      <c r="E1698" s="83" t="n"/>
      <c r="F1698" s="83" t="n"/>
      <c r="G1698" s="83" t="n"/>
      <c r="H1698" s="83" t="n"/>
      <c r="I1698" s="83" t="n"/>
      <c r="J1698" s="83" t="n"/>
      <c r="K1698" s="83" t="n"/>
      <c r="L1698" s="83" t="n"/>
      <c r="M1698" s="83" t="n"/>
      <c r="O1698" s="84" t="str">
        <f>IF($C1698="","",IFERROR(MATCH($B1698&amp;"|"&amp;$C1698,MUROS!$AX$11:$AX$70,0),0))</f>
        <v/>
      </c>
      <c r="P1698" s="84" t="str">
        <f>IF($D1698="","",IF(ISNUMBER(MATCH($D1698,CMB_S,0)),1,IF(ISNUMBER(MATCH($D1698,CMB_G,0)),2,0)))</f>
        <v/>
      </c>
      <c r="Q1698" s="84">
        <f>IF(ISNUMBER($H1698),-$H1698,0)</f>
        <v>0</v>
      </c>
      <c r="R1698" s="84">
        <f>IF(ISNUMBER($I1698),ABS($I1698),0)</f>
        <v>0</v>
      </c>
      <c r="S1698" s="84">
        <f>IF(ISNUMBER($M1698),ABS($M1698),0)</f>
        <v>0</v>
      </c>
      <c r="T1698" s="85" t="n">
        <v>1690</v>
      </c>
    </row>
    <row r="1699">
      <c r="B1699" s="83" t="n"/>
      <c r="C1699" s="83" t="n"/>
      <c r="D1699" s="83" t="n"/>
      <c r="E1699" s="83" t="n"/>
      <c r="F1699" s="83" t="n"/>
      <c r="G1699" s="83" t="n"/>
      <c r="H1699" s="83" t="n"/>
      <c r="I1699" s="83" t="n"/>
      <c r="J1699" s="83" t="n"/>
      <c r="K1699" s="83" t="n"/>
      <c r="L1699" s="83" t="n"/>
      <c r="M1699" s="83" t="n"/>
      <c r="O1699" s="84" t="str">
        <f>IF($C1699="","",IFERROR(MATCH($B1699&amp;"|"&amp;$C1699,MUROS!$AX$11:$AX$70,0),0))</f>
        <v/>
      </c>
      <c r="P1699" s="84" t="str">
        <f>IF($D1699="","",IF(ISNUMBER(MATCH($D1699,CMB_S,0)),1,IF(ISNUMBER(MATCH($D1699,CMB_G,0)),2,0)))</f>
        <v/>
      </c>
      <c r="Q1699" s="84">
        <f>IF(ISNUMBER($H1699),-$H1699,0)</f>
        <v>0</v>
      </c>
      <c r="R1699" s="84">
        <f>IF(ISNUMBER($I1699),ABS($I1699),0)</f>
        <v>0</v>
      </c>
      <c r="S1699" s="84">
        <f>IF(ISNUMBER($M1699),ABS($M1699),0)</f>
        <v>0</v>
      </c>
      <c r="T1699" s="85" t="n">
        <v>1691</v>
      </c>
    </row>
    <row r="1700">
      <c r="B1700" s="83" t="n"/>
      <c r="C1700" s="83" t="n"/>
      <c r="D1700" s="83" t="n"/>
      <c r="E1700" s="83" t="n"/>
      <c r="F1700" s="83" t="n"/>
      <c r="G1700" s="83" t="n"/>
      <c r="H1700" s="83" t="n"/>
      <c r="I1700" s="83" t="n"/>
      <c r="J1700" s="83" t="n"/>
      <c r="K1700" s="83" t="n"/>
      <c r="L1700" s="83" t="n"/>
      <c r="M1700" s="83" t="n"/>
      <c r="O1700" s="84" t="str">
        <f>IF($C1700="","",IFERROR(MATCH($B1700&amp;"|"&amp;$C1700,MUROS!$AX$11:$AX$70,0),0))</f>
        <v/>
      </c>
      <c r="P1700" s="84" t="str">
        <f>IF($D1700="","",IF(ISNUMBER(MATCH($D1700,CMB_S,0)),1,IF(ISNUMBER(MATCH($D1700,CMB_G,0)),2,0)))</f>
        <v/>
      </c>
      <c r="Q1700" s="84">
        <f>IF(ISNUMBER($H1700),-$H1700,0)</f>
        <v>0</v>
      </c>
      <c r="R1700" s="84">
        <f>IF(ISNUMBER($I1700),ABS($I1700),0)</f>
        <v>0</v>
      </c>
      <c r="S1700" s="84">
        <f>IF(ISNUMBER($M1700),ABS($M1700),0)</f>
        <v>0</v>
      </c>
      <c r="T1700" s="85" t="n">
        <v>1692</v>
      </c>
    </row>
    <row r="1701">
      <c r="B1701" s="83" t="n"/>
      <c r="C1701" s="83" t="n"/>
      <c r="D1701" s="83" t="n"/>
      <c r="E1701" s="83" t="n"/>
      <c r="F1701" s="83" t="n"/>
      <c r="G1701" s="83" t="n"/>
      <c r="H1701" s="83" t="n"/>
      <c r="I1701" s="83" t="n"/>
      <c r="J1701" s="83" t="n"/>
      <c r="K1701" s="83" t="n"/>
      <c r="L1701" s="83" t="n"/>
      <c r="M1701" s="83" t="n"/>
      <c r="O1701" s="84" t="str">
        <f>IF($C1701="","",IFERROR(MATCH($B1701&amp;"|"&amp;$C1701,MUROS!$AX$11:$AX$70,0),0))</f>
        <v/>
      </c>
      <c r="P1701" s="84" t="str">
        <f>IF($D1701="","",IF(ISNUMBER(MATCH($D1701,CMB_S,0)),1,IF(ISNUMBER(MATCH($D1701,CMB_G,0)),2,0)))</f>
        <v/>
      </c>
      <c r="Q1701" s="84">
        <f>IF(ISNUMBER($H1701),-$H1701,0)</f>
        <v>0</v>
      </c>
      <c r="R1701" s="84">
        <f>IF(ISNUMBER($I1701),ABS($I1701),0)</f>
        <v>0</v>
      </c>
      <c r="S1701" s="84">
        <f>IF(ISNUMBER($M1701),ABS($M1701),0)</f>
        <v>0</v>
      </c>
      <c r="T1701" s="85" t="n">
        <v>1693</v>
      </c>
    </row>
    <row r="1702">
      <c r="B1702" s="83" t="n"/>
      <c r="C1702" s="83" t="n"/>
      <c r="D1702" s="83" t="n"/>
      <c r="E1702" s="83" t="n"/>
      <c r="F1702" s="83" t="n"/>
      <c r="G1702" s="83" t="n"/>
      <c r="H1702" s="83" t="n"/>
      <c r="I1702" s="83" t="n"/>
      <c r="J1702" s="83" t="n"/>
      <c r="K1702" s="83" t="n"/>
      <c r="L1702" s="83" t="n"/>
      <c r="M1702" s="83" t="n"/>
      <c r="O1702" s="84" t="str">
        <f>IF($C1702="","",IFERROR(MATCH($B1702&amp;"|"&amp;$C1702,MUROS!$AX$11:$AX$70,0),0))</f>
        <v/>
      </c>
      <c r="P1702" s="84" t="str">
        <f>IF($D1702="","",IF(ISNUMBER(MATCH($D1702,CMB_S,0)),1,IF(ISNUMBER(MATCH($D1702,CMB_G,0)),2,0)))</f>
        <v/>
      </c>
      <c r="Q1702" s="84">
        <f>IF(ISNUMBER($H1702),-$H1702,0)</f>
        <v>0</v>
      </c>
      <c r="R1702" s="84">
        <f>IF(ISNUMBER($I1702),ABS($I1702),0)</f>
        <v>0</v>
      </c>
      <c r="S1702" s="84">
        <f>IF(ISNUMBER($M1702),ABS($M1702),0)</f>
        <v>0</v>
      </c>
      <c r="T1702" s="85" t="n">
        <v>1694</v>
      </c>
    </row>
    <row r="1703">
      <c r="B1703" s="83" t="n"/>
      <c r="C1703" s="83" t="n"/>
      <c r="D1703" s="83" t="n"/>
      <c r="E1703" s="83" t="n"/>
      <c r="F1703" s="83" t="n"/>
      <c r="G1703" s="83" t="n"/>
      <c r="H1703" s="83" t="n"/>
      <c r="I1703" s="83" t="n"/>
      <c r="J1703" s="83" t="n"/>
      <c r="K1703" s="83" t="n"/>
      <c r="L1703" s="83" t="n"/>
      <c r="M1703" s="83" t="n"/>
      <c r="O1703" s="84" t="str">
        <f>IF($C1703="","",IFERROR(MATCH($B1703&amp;"|"&amp;$C1703,MUROS!$AX$11:$AX$70,0),0))</f>
        <v/>
      </c>
      <c r="P1703" s="84" t="str">
        <f>IF($D1703="","",IF(ISNUMBER(MATCH($D1703,CMB_S,0)),1,IF(ISNUMBER(MATCH($D1703,CMB_G,0)),2,0)))</f>
        <v/>
      </c>
      <c r="Q1703" s="84">
        <f>IF(ISNUMBER($H1703),-$H1703,0)</f>
        <v>0</v>
      </c>
      <c r="R1703" s="84">
        <f>IF(ISNUMBER($I1703),ABS($I1703),0)</f>
        <v>0</v>
      </c>
      <c r="S1703" s="84">
        <f>IF(ISNUMBER($M1703),ABS($M1703),0)</f>
        <v>0</v>
      </c>
      <c r="T1703" s="85" t="n">
        <v>1695</v>
      </c>
    </row>
    <row r="1704">
      <c r="B1704" s="83" t="n"/>
      <c r="C1704" s="83" t="n"/>
      <c r="D1704" s="83" t="n"/>
      <c r="E1704" s="83" t="n"/>
      <c r="F1704" s="83" t="n"/>
      <c r="G1704" s="83" t="n"/>
      <c r="H1704" s="83" t="n"/>
      <c r="I1704" s="83" t="n"/>
      <c r="J1704" s="83" t="n"/>
      <c r="K1704" s="83" t="n"/>
      <c r="L1704" s="83" t="n"/>
      <c r="M1704" s="83" t="n"/>
      <c r="O1704" s="84" t="str">
        <f>IF($C1704="","",IFERROR(MATCH($B1704&amp;"|"&amp;$C1704,MUROS!$AX$11:$AX$70,0),0))</f>
        <v/>
      </c>
      <c r="P1704" s="84" t="str">
        <f>IF($D1704="","",IF(ISNUMBER(MATCH($D1704,CMB_S,0)),1,IF(ISNUMBER(MATCH($D1704,CMB_G,0)),2,0)))</f>
        <v/>
      </c>
      <c r="Q1704" s="84">
        <f>IF(ISNUMBER($H1704),-$H1704,0)</f>
        <v>0</v>
      </c>
      <c r="R1704" s="84">
        <f>IF(ISNUMBER($I1704),ABS($I1704),0)</f>
        <v>0</v>
      </c>
      <c r="S1704" s="84">
        <f>IF(ISNUMBER($M1704),ABS($M1704),0)</f>
        <v>0</v>
      </c>
      <c r="T1704" s="85" t="n">
        <v>1696</v>
      </c>
    </row>
    <row r="1705">
      <c r="B1705" s="83" t="n"/>
      <c r="C1705" s="83" t="n"/>
      <c r="D1705" s="83" t="n"/>
      <c r="E1705" s="83" t="n"/>
      <c r="F1705" s="83" t="n"/>
      <c r="G1705" s="83" t="n"/>
      <c r="H1705" s="83" t="n"/>
      <c r="I1705" s="83" t="n"/>
      <c r="J1705" s="83" t="n"/>
      <c r="K1705" s="83" t="n"/>
      <c r="L1705" s="83" t="n"/>
      <c r="M1705" s="83" t="n"/>
      <c r="O1705" s="84" t="str">
        <f>IF($C1705="","",IFERROR(MATCH($B1705&amp;"|"&amp;$C1705,MUROS!$AX$11:$AX$70,0),0))</f>
        <v/>
      </c>
      <c r="P1705" s="84" t="str">
        <f>IF($D1705="","",IF(ISNUMBER(MATCH($D1705,CMB_S,0)),1,IF(ISNUMBER(MATCH($D1705,CMB_G,0)),2,0)))</f>
        <v/>
      </c>
      <c r="Q1705" s="84">
        <f>IF(ISNUMBER($H1705),-$H1705,0)</f>
        <v>0</v>
      </c>
      <c r="R1705" s="84">
        <f>IF(ISNUMBER($I1705),ABS($I1705),0)</f>
        <v>0</v>
      </c>
      <c r="S1705" s="84">
        <f>IF(ISNUMBER($M1705),ABS($M1705),0)</f>
        <v>0</v>
      </c>
      <c r="T1705" s="85" t="n">
        <v>1697</v>
      </c>
    </row>
    <row r="1706">
      <c r="B1706" s="83" t="n"/>
      <c r="C1706" s="83" t="n"/>
      <c r="D1706" s="83" t="n"/>
      <c r="E1706" s="83" t="n"/>
      <c r="F1706" s="83" t="n"/>
      <c r="G1706" s="83" t="n"/>
      <c r="H1706" s="83" t="n"/>
      <c r="I1706" s="83" t="n"/>
      <c r="J1706" s="83" t="n"/>
      <c r="K1706" s="83" t="n"/>
      <c r="L1706" s="83" t="n"/>
      <c r="M1706" s="83" t="n"/>
      <c r="O1706" s="84" t="str">
        <f>IF($C1706="","",IFERROR(MATCH($B1706&amp;"|"&amp;$C1706,MUROS!$AX$11:$AX$70,0),0))</f>
        <v/>
      </c>
      <c r="P1706" s="84" t="str">
        <f>IF($D1706="","",IF(ISNUMBER(MATCH($D1706,CMB_S,0)),1,IF(ISNUMBER(MATCH($D1706,CMB_G,0)),2,0)))</f>
        <v/>
      </c>
      <c r="Q1706" s="84">
        <f>IF(ISNUMBER($H1706),-$H1706,0)</f>
        <v>0</v>
      </c>
      <c r="R1706" s="84">
        <f>IF(ISNUMBER($I1706),ABS($I1706),0)</f>
        <v>0</v>
      </c>
      <c r="S1706" s="84">
        <f>IF(ISNUMBER($M1706),ABS($M1706),0)</f>
        <v>0</v>
      </c>
      <c r="T1706" s="85" t="n">
        <v>1698</v>
      </c>
    </row>
    <row r="1707">
      <c r="B1707" s="83" t="n"/>
      <c r="C1707" s="83" t="n"/>
      <c r="D1707" s="83" t="n"/>
      <c r="E1707" s="83" t="n"/>
      <c r="F1707" s="83" t="n"/>
      <c r="G1707" s="83" t="n"/>
      <c r="H1707" s="83" t="n"/>
      <c r="I1707" s="83" t="n"/>
      <c r="J1707" s="83" t="n"/>
      <c r="K1707" s="83" t="n"/>
      <c r="L1707" s="83" t="n"/>
      <c r="M1707" s="83" t="n"/>
      <c r="O1707" s="84" t="str">
        <f>IF($C1707="","",IFERROR(MATCH($B1707&amp;"|"&amp;$C1707,MUROS!$AX$11:$AX$70,0),0))</f>
        <v/>
      </c>
      <c r="P1707" s="84" t="str">
        <f>IF($D1707="","",IF(ISNUMBER(MATCH($D1707,CMB_S,0)),1,IF(ISNUMBER(MATCH($D1707,CMB_G,0)),2,0)))</f>
        <v/>
      </c>
      <c r="Q1707" s="84">
        <f>IF(ISNUMBER($H1707),-$H1707,0)</f>
        <v>0</v>
      </c>
      <c r="R1707" s="84">
        <f>IF(ISNUMBER($I1707),ABS($I1707),0)</f>
        <v>0</v>
      </c>
      <c r="S1707" s="84">
        <f>IF(ISNUMBER($M1707),ABS($M1707),0)</f>
        <v>0</v>
      </c>
      <c r="T1707" s="85" t="n">
        <v>1699</v>
      </c>
    </row>
    <row r="1708">
      <c r="B1708" s="83" t="n"/>
      <c r="C1708" s="83" t="n"/>
      <c r="D1708" s="83" t="n"/>
      <c r="E1708" s="83" t="n"/>
      <c r="F1708" s="83" t="n"/>
      <c r="G1708" s="83" t="n"/>
      <c r="H1708" s="83" t="n"/>
      <c r="I1708" s="83" t="n"/>
      <c r="J1708" s="83" t="n"/>
      <c r="K1708" s="83" t="n"/>
      <c r="L1708" s="83" t="n"/>
      <c r="M1708" s="83" t="n"/>
      <c r="O1708" s="84" t="str">
        <f>IF($C1708="","",IFERROR(MATCH($B1708&amp;"|"&amp;$C1708,MUROS!$AX$11:$AX$70,0),0))</f>
        <v/>
      </c>
      <c r="P1708" s="84" t="str">
        <f>IF($D1708="","",IF(ISNUMBER(MATCH($D1708,CMB_S,0)),1,IF(ISNUMBER(MATCH($D1708,CMB_G,0)),2,0)))</f>
        <v/>
      </c>
      <c r="Q1708" s="84">
        <f>IF(ISNUMBER($H1708),-$H1708,0)</f>
        <v>0</v>
      </c>
      <c r="R1708" s="84">
        <f>IF(ISNUMBER($I1708),ABS($I1708),0)</f>
        <v>0</v>
      </c>
      <c r="S1708" s="84">
        <f>IF(ISNUMBER($M1708),ABS($M1708),0)</f>
        <v>0</v>
      </c>
      <c r="T1708" s="85" t="n">
        <v>1700</v>
      </c>
    </row>
    <row r="1709">
      <c r="B1709" s="83" t="n"/>
      <c r="C1709" s="83" t="n"/>
      <c r="D1709" s="83" t="n"/>
      <c r="E1709" s="83" t="n"/>
      <c r="F1709" s="83" t="n"/>
      <c r="G1709" s="83" t="n"/>
      <c r="H1709" s="83" t="n"/>
      <c r="I1709" s="83" t="n"/>
      <c r="J1709" s="83" t="n"/>
      <c r="K1709" s="83" t="n"/>
      <c r="L1709" s="83" t="n"/>
      <c r="M1709" s="83" t="n"/>
      <c r="O1709" s="84" t="str">
        <f>IF($C1709="","",IFERROR(MATCH($B1709&amp;"|"&amp;$C1709,MUROS!$AX$11:$AX$70,0),0))</f>
        <v/>
      </c>
      <c r="P1709" s="84" t="str">
        <f>IF($D1709="","",IF(ISNUMBER(MATCH($D1709,CMB_S,0)),1,IF(ISNUMBER(MATCH($D1709,CMB_G,0)),2,0)))</f>
        <v/>
      </c>
      <c r="Q1709" s="84">
        <f>IF(ISNUMBER($H1709),-$H1709,0)</f>
        <v>0</v>
      </c>
      <c r="R1709" s="84">
        <f>IF(ISNUMBER($I1709),ABS($I1709),0)</f>
        <v>0</v>
      </c>
      <c r="S1709" s="84">
        <f>IF(ISNUMBER($M1709),ABS($M1709),0)</f>
        <v>0</v>
      </c>
      <c r="T1709" s="85" t="n">
        <v>1701</v>
      </c>
    </row>
    <row r="1710">
      <c r="B1710" s="83" t="n"/>
      <c r="C1710" s="83" t="n"/>
      <c r="D1710" s="83" t="n"/>
      <c r="E1710" s="83" t="n"/>
      <c r="F1710" s="83" t="n"/>
      <c r="G1710" s="83" t="n"/>
      <c r="H1710" s="83" t="n"/>
      <c r="I1710" s="83" t="n"/>
      <c r="J1710" s="83" t="n"/>
      <c r="K1710" s="83" t="n"/>
      <c r="L1710" s="83" t="n"/>
      <c r="M1710" s="83" t="n"/>
      <c r="O1710" s="84" t="str">
        <f>IF($C1710="","",IFERROR(MATCH($B1710&amp;"|"&amp;$C1710,MUROS!$AX$11:$AX$70,0),0))</f>
        <v/>
      </c>
      <c r="P1710" s="84" t="str">
        <f>IF($D1710="","",IF(ISNUMBER(MATCH($D1710,CMB_S,0)),1,IF(ISNUMBER(MATCH($D1710,CMB_G,0)),2,0)))</f>
        <v/>
      </c>
      <c r="Q1710" s="84">
        <f>IF(ISNUMBER($H1710),-$H1710,0)</f>
        <v>0</v>
      </c>
      <c r="R1710" s="84">
        <f>IF(ISNUMBER($I1710),ABS($I1710),0)</f>
        <v>0</v>
      </c>
      <c r="S1710" s="84">
        <f>IF(ISNUMBER($M1710),ABS($M1710),0)</f>
        <v>0</v>
      </c>
      <c r="T1710" s="85" t="n">
        <v>1702</v>
      </c>
    </row>
    <row r="1711">
      <c r="B1711" s="83" t="n"/>
      <c r="C1711" s="83" t="n"/>
      <c r="D1711" s="83" t="n"/>
      <c r="E1711" s="83" t="n"/>
      <c r="F1711" s="83" t="n"/>
      <c r="G1711" s="83" t="n"/>
      <c r="H1711" s="83" t="n"/>
      <c r="I1711" s="83" t="n"/>
      <c r="J1711" s="83" t="n"/>
      <c r="K1711" s="83" t="n"/>
      <c r="L1711" s="83" t="n"/>
      <c r="M1711" s="83" t="n"/>
      <c r="O1711" s="84" t="str">
        <f>IF($C1711="","",IFERROR(MATCH($B1711&amp;"|"&amp;$C1711,MUROS!$AX$11:$AX$70,0),0))</f>
        <v/>
      </c>
      <c r="P1711" s="84" t="str">
        <f>IF($D1711="","",IF(ISNUMBER(MATCH($D1711,CMB_S,0)),1,IF(ISNUMBER(MATCH($D1711,CMB_G,0)),2,0)))</f>
        <v/>
      </c>
      <c r="Q1711" s="84">
        <f>IF(ISNUMBER($H1711),-$H1711,0)</f>
        <v>0</v>
      </c>
      <c r="R1711" s="84">
        <f>IF(ISNUMBER($I1711),ABS($I1711),0)</f>
        <v>0</v>
      </c>
      <c r="S1711" s="84">
        <f>IF(ISNUMBER($M1711),ABS($M1711),0)</f>
        <v>0</v>
      </c>
      <c r="T1711" s="85" t="n">
        <v>1703</v>
      </c>
    </row>
    <row r="1712">
      <c r="B1712" s="83" t="n"/>
      <c r="C1712" s="83" t="n"/>
      <c r="D1712" s="83" t="n"/>
      <c r="E1712" s="83" t="n"/>
      <c r="F1712" s="83" t="n"/>
      <c r="G1712" s="83" t="n"/>
      <c r="H1712" s="83" t="n"/>
      <c r="I1712" s="83" t="n"/>
      <c r="J1712" s="83" t="n"/>
      <c r="K1712" s="83" t="n"/>
      <c r="L1712" s="83" t="n"/>
      <c r="M1712" s="83" t="n"/>
      <c r="O1712" s="84" t="str">
        <f>IF($C1712="","",IFERROR(MATCH($B1712&amp;"|"&amp;$C1712,MUROS!$AX$11:$AX$70,0),0))</f>
        <v/>
      </c>
      <c r="P1712" s="84" t="str">
        <f>IF($D1712="","",IF(ISNUMBER(MATCH($D1712,CMB_S,0)),1,IF(ISNUMBER(MATCH($D1712,CMB_G,0)),2,0)))</f>
        <v/>
      </c>
      <c r="Q1712" s="84">
        <f>IF(ISNUMBER($H1712),-$H1712,0)</f>
        <v>0</v>
      </c>
      <c r="R1712" s="84">
        <f>IF(ISNUMBER($I1712),ABS($I1712),0)</f>
        <v>0</v>
      </c>
      <c r="S1712" s="84">
        <f>IF(ISNUMBER($M1712),ABS($M1712),0)</f>
        <v>0</v>
      </c>
      <c r="T1712" s="85" t="n">
        <v>1704</v>
      </c>
    </row>
    <row r="1713">
      <c r="B1713" s="83" t="n"/>
      <c r="C1713" s="83" t="n"/>
      <c r="D1713" s="83" t="n"/>
      <c r="E1713" s="83" t="n"/>
      <c r="F1713" s="83" t="n"/>
      <c r="G1713" s="83" t="n"/>
      <c r="H1713" s="83" t="n"/>
      <c r="I1713" s="83" t="n"/>
      <c r="J1713" s="83" t="n"/>
      <c r="K1713" s="83" t="n"/>
      <c r="L1713" s="83" t="n"/>
      <c r="M1713" s="83" t="n"/>
      <c r="O1713" s="84" t="str">
        <f>IF($C1713="","",IFERROR(MATCH($B1713&amp;"|"&amp;$C1713,MUROS!$AX$11:$AX$70,0),0))</f>
        <v/>
      </c>
      <c r="P1713" s="84" t="str">
        <f>IF($D1713="","",IF(ISNUMBER(MATCH($D1713,CMB_S,0)),1,IF(ISNUMBER(MATCH($D1713,CMB_G,0)),2,0)))</f>
        <v/>
      </c>
      <c r="Q1713" s="84">
        <f>IF(ISNUMBER($H1713),-$H1713,0)</f>
        <v>0</v>
      </c>
      <c r="R1713" s="84">
        <f>IF(ISNUMBER($I1713),ABS($I1713),0)</f>
        <v>0</v>
      </c>
      <c r="S1713" s="84">
        <f>IF(ISNUMBER($M1713),ABS($M1713),0)</f>
        <v>0</v>
      </c>
      <c r="T1713" s="85" t="n">
        <v>1705</v>
      </c>
    </row>
    <row r="1714">
      <c r="B1714" s="83" t="n"/>
      <c r="C1714" s="83" t="n"/>
      <c r="D1714" s="83" t="n"/>
      <c r="E1714" s="83" t="n"/>
      <c r="F1714" s="83" t="n"/>
      <c r="G1714" s="83" t="n"/>
      <c r="H1714" s="83" t="n"/>
      <c r="I1714" s="83" t="n"/>
      <c r="J1714" s="83" t="n"/>
      <c r="K1714" s="83" t="n"/>
      <c r="L1714" s="83" t="n"/>
      <c r="M1714" s="83" t="n"/>
      <c r="O1714" s="84" t="str">
        <f>IF($C1714="","",IFERROR(MATCH($B1714&amp;"|"&amp;$C1714,MUROS!$AX$11:$AX$70,0),0))</f>
        <v/>
      </c>
      <c r="P1714" s="84" t="str">
        <f>IF($D1714="","",IF(ISNUMBER(MATCH($D1714,CMB_S,0)),1,IF(ISNUMBER(MATCH($D1714,CMB_G,0)),2,0)))</f>
        <v/>
      </c>
      <c r="Q1714" s="84">
        <f>IF(ISNUMBER($H1714),-$H1714,0)</f>
        <v>0</v>
      </c>
      <c r="R1714" s="84">
        <f>IF(ISNUMBER($I1714),ABS($I1714),0)</f>
        <v>0</v>
      </c>
      <c r="S1714" s="84">
        <f>IF(ISNUMBER($M1714),ABS($M1714),0)</f>
        <v>0</v>
      </c>
      <c r="T1714" s="85" t="n">
        <v>1706</v>
      </c>
    </row>
    <row r="1715">
      <c r="B1715" s="83" t="n"/>
      <c r="C1715" s="83" t="n"/>
      <c r="D1715" s="83" t="n"/>
      <c r="E1715" s="83" t="n"/>
      <c r="F1715" s="83" t="n"/>
      <c r="G1715" s="83" t="n"/>
      <c r="H1715" s="83" t="n"/>
      <c r="I1715" s="83" t="n"/>
      <c r="J1715" s="83" t="n"/>
      <c r="K1715" s="83" t="n"/>
      <c r="L1715" s="83" t="n"/>
      <c r="M1715" s="83" t="n"/>
      <c r="O1715" s="84" t="str">
        <f>IF($C1715="","",IFERROR(MATCH($B1715&amp;"|"&amp;$C1715,MUROS!$AX$11:$AX$70,0),0))</f>
        <v/>
      </c>
      <c r="P1715" s="84" t="str">
        <f>IF($D1715="","",IF(ISNUMBER(MATCH($D1715,CMB_S,0)),1,IF(ISNUMBER(MATCH($D1715,CMB_G,0)),2,0)))</f>
        <v/>
      </c>
      <c r="Q1715" s="84">
        <f>IF(ISNUMBER($H1715),-$H1715,0)</f>
        <v>0</v>
      </c>
      <c r="R1715" s="84">
        <f>IF(ISNUMBER($I1715),ABS($I1715),0)</f>
        <v>0</v>
      </c>
      <c r="S1715" s="84">
        <f>IF(ISNUMBER($M1715),ABS($M1715),0)</f>
        <v>0</v>
      </c>
      <c r="T1715" s="85" t="n">
        <v>1707</v>
      </c>
    </row>
    <row r="1716">
      <c r="B1716" s="83" t="n"/>
      <c r="C1716" s="83" t="n"/>
      <c r="D1716" s="83" t="n"/>
      <c r="E1716" s="83" t="n"/>
      <c r="F1716" s="83" t="n"/>
      <c r="G1716" s="83" t="n"/>
      <c r="H1716" s="83" t="n"/>
      <c r="I1716" s="83" t="n"/>
      <c r="J1716" s="83" t="n"/>
      <c r="K1716" s="83" t="n"/>
      <c r="L1716" s="83" t="n"/>
      <c r="M1716" s="83" t="n"/>
      <c r="O1716" s="84" t="str">
        <f>IF($C1716="","",IFERROR(MATCH($B1716&amp;"|"&amp;$C1716,MUROS!$AX$11:$AX$70,0),0))</f>
        <v/>
      </c>
      <c r="P1716" s="84" t="str">
        <f>IF($D1716="","",IF(ISNUMBER(MATCH($D1716,CMB_S,0)),1,IF(ISNUMBER(MATCH($D1716,CMB_G,0)),2,0)))</f>
        <v/>
      </c>
      <c r="Q1716" s="84">
        <f>IF(ISNUMBER($H1716),-$H1716,0)</f>
        <v>0</v>
      </c>
      <c r="R1716" s="84">
        <f>IF(ISNUMBER($I1716),ABS($I1716),0)</f>
        <v>0</v>
      </c>
      <c r="S1716" s="84">
        <f>IF(ISNUMBER($M1716),ABS($M1716),0)</f>
        <v>0</v>
      </c>
      <c r="T1716" s="85" t="n">
        <v>1708</v>
      </c>
    </row>
    <row r="1717">
      <c r="B1717" s="83" t="n"/>
      <c r="C1717" s="83" t="n"/>
      <c r="D1717" s="83" t="n"/>
      <c r="E1717" s="83" t="n"/>
      <c r="F1717" s="83" t="n"/>
      <c r="G1717" s="83" t="n"/>
      <c r="H1717" s="83" t="n"/>
      <c r="I1717" s="83" t="n"/>
      <c r="J1717" s="83" t="n"/>
      <c r="K1717" s="83" t="n"/>
      <c r="L1717" s="83" t="n"/>
      <c r="M1717" s="83" t="n"/>
      <c r="O1717" s="84" t="str">
        <f>IF($C1717="","",IFERROR(MATCH($B1717&amp;"|"&amp;$C1717,MUROS!$AX$11:$AX$70,0),0))</f>
        <v/>
      </c>
      <c r="P1717" s="84" t="str">
        <f>IF($D1717="","",IF(ISNUMBER(MATCH($D1717,CMB_S,0)),1,IF(ISNUMBER(MATCH($D1717,CMB_G,0)),2,0)))</f>
        <v/>
      </c>
      <c r="Q1717" s="84">
        <f>IF(ISNUMBER($H1717),-$H1717,0)</f>
        <v>0</v>
      </c>
      <c r="R1717" s="84">
        <f>IF(ISNUMBER($I1717),ABS($I1717),0)</f>
        <v>0</v>
      </c>
      <c r="S1717" s="84">
        <f>IF(ISNUMBER($M1717),ABS($M1717),0)</f>
        <v>0</v>
      </c>
      <c r="T1717" s="85" t="n">
        <v>1709</v>
      </c>
    </row>
    <row r="1718">
      <c r="B1718" s="83" t="n"/>
      <c r="C1718" s="83" t="n"/>
      <c r="D1718" s="83" t="n"/>
      <c r="E1718" s="83" t="n"/>
      <c r="F1718" s="83" t="n"/>
      <c r="G1718" s="83" t="n"/>
      <c r="H1718" s="83" t="n"/>
      <c r="I1718" s="83" t="n"/>
      <c r="J1718" s="83" t="n"/>
      <c r="K1718" s="83" t="n"/>
      <c r="L1718" s="83" t="n"/>
      <c r="M1718" s="83" t="n"/>
      <c r="O1718" s="84" t="str">
        <f>IF($C1718="","",IFERROR(MATCH($B1718&amp;"|"&amp;$C1718,MUROS!$AX$11:$AX$70,0),0))</f>
        <v/>
      </c>
      <c r="P1718" s="84" t="str">
        <f>IF($D1718="","",IF(ISNUMBER(MATCH($D1718,CMB_S,0)),1,IF(ISNUMBER(MATCH($D1718,CMB_G,0)),2,0)))</f>
        <v/>
      </c>
      <c r="Q1718" s="84">
        <f>IF(ISNUMBER($H1718),-$H1718,0)</f>
        <v>0</v>
      </c>
      <c r="R1718" s="84">
        <f>IF(ISNUMBER($I1718),ABS($I1718),0)</f>
        <v>0</v>
      </c>
      <c r="S1718" s="84">
        <f>IF(ISNUMBER($M1718),ABS($M1718),0)</f>
        <v>0</v>
      </c>
      <c r="T1718" s="85" t="n">
        <v>1710</v>
      </c>
    </row>
    <row r="1719">
      <c r="B1719" s="83" t="n"/>
      <c r="C1719" s="83" t="n"/>
      <c r="D1719" s="83" t="n"/>
      <c r="E1719" s="83" t="n"/>
      <c r="F1719" s="83" t="n"/>
      <c r="G1719" s="83" t="n"/>
      <c r="H1719" s="83" t="n"/>
      <c r="I1719" s="83" t="n"/>
      <c r="J1719" s="83" t="n"/>
      <c r="K1719" s="83" t="n"/>
      <c r="L1719" s="83" t="n"/>
      <c r="M1719" s="83" t="n"/>
      <c r="O1719" s="84" t="str">
        <f>IF($C1719="","",IFERROR(MATCH($B1719&amp;"|"&amp;$C1719,MUROS!$AX$11:$AX$70,0),0))</f>
        <v/>
      </c>
      <c r="P1719" s="84" t="str">
        <f>IF($D1719="","",IF(ISNUMBER(MATCH($D1719,CMB_S,0)),1,IF(ISNUMBER(MATCH($D1719,CMB_G,0)),2,0)))</f>
        <v/>
      </c>
      <c r="Q1719" s="84">
        <f>IF(ISNUMBER($H1719),-$H1719,0)</f>
        <v>0</v>
      </c>
      <c r="R1719" s="84">
        <f>IF(ISNUMBER($I1719),ABS($I1719),0)</f>
        <v>0</v>
      </c>
      <c r="S1719" s="84">
        <f>IF(ISNUMBER($M1719),ABS($M1719),0)</f>
        <v>0</v>
      </c>
      <c r="T1719" s="85" t="n">
        <v>1711</v>
      </c>
    </row>
    <row r="1720">
      <c r="B1720" s="83" t="n"/>
      <c r="C1720" s="83" t="n"/>
      <c r="D1720" s="83" t="n"/>
      <c r="E1720" s="83" t="n"/>
      <c r="F1720" s="83" t="n"/>
      <c r="G1720" s="83" t="n"/>
      <c r="H1720" s="83" t="n"/>
      <c r="I1720" s="83" t="n"/>
      <c r="J1720" s="83" t="n"/>
      <c r="K1720" s="83" t="n"/>
      <c r="L1720" s="83" t="n"/>
      <c r="M1720" s="83" t="n"/>
      <c r="O1720" s="84" t="str">
        <f>IF($C1720="","",IFERROR(MATCH($B1720&amp;"|"&amp;$C1720,MUROS!$AX$11:$AX$70,0),0))</f>
        <v/>
      </c>
      <c r="P1720" s="84" t="str">
        <f>IF($D1720="","",IF(ISNUMBER(MATCH($D1720,CMB_S,0)),1,IF(ISNUMBER(MATCH($D1720,CMB_G,0)),2,0)))</f>
        <v/>
      </c>
      <c r="Q1720" s="84">
        <f>IF(ISNUMBER($H1720),-$H1720,0)</f>
        <v>0</v>
      </c>
      <c r="R1720" s="84">
        <f>IF(ISNUMBER($I1720),ABS($I1720),0)</f>
        <v>0</v>
      </c>
      <c r="S1720" s="84">
        <f>IF(ISNUMBER($M1720),ABS($M1720),0)</f>
        <v>0</v>
      </c>
      <c r="T1720" s="85" t="n">
        <v>1712</v>
      </c>
    </row>
    <row r="1721">
      <c r="B1721" s="83" t="n"/>
      <c r="C1721" s="83" t="n"/>
      <c r="D1721" s="83" t="n"/>
      <c r="E1721" s="83" t="n"/>
      <c r="F1721" s="83" t="n"/>
      <c r="G1721" s="83" t="n"/>
      <c r="H1721" s="83" t="n"/>
      <c r="I1721" s="83" t="n"/>
      <c r="J1721" s="83" t="n"/>
      <c r="K1721" s="83" t="n"/>
      <c r="L1721" s="83" t="n"/>
      <c r="M1721" s="83" t="n"/>
      <c r="O1721" s="84" t="str">
        <f>IF($C1721="","",IFERROR(MATCH($B1721&amp;"|"&amp;$C1721,MUROS!$AX$11:$AX$70,0),0))</f>
        <v/>
      </c>
      <c r="P1721" s="84" t="str">
        <f>IF($D1721="","",IF(ISNUMBER(MATCH($D1721,CMB_S,0)),1,IF(ISNUMBER(MATCH($D1721,CMB_G,0)),2,0)))</f>
        <v/>
      </c>
      <c r="Q1721" s="84">
        <f>IF(ISNUMBER($H1721),-$H1721,0)</f>
        <v>0</v>
      </c>
      <c r="R1721" s="84">
        <f>IF(ISNUMBER($I1721),ABS($I1721),0)</f>
        <v>0</v>
      </c>
      <c r="S1721" s="84">
        <f>IF(ISNUMBER($M1721),ABS($M1721),0)</f>
        <v>0</v>
      </c>
      <c r="T1721" s="85" t="n">
        <v>1713</v>
      </c>
    </row>
    <row r="1722">
      <c r="B1722" s="83" t="n"/>
      <c r="C1722" s="83" t="n"/>
      <c r="D1722" s="83" t="n"/>
      <c r="E1722" s="83" t="n"/>
      <c r="F1722" s="83" t="n"/>
      <c r="G1722" s="83" t="n"/>
      <c r="H1722" s="83" t="n"/>
      <c r="I1722" s="83" t="n"/>
      <c r="J1722" s="83" t="n"/>
      <c r="K1722" s="83" t="n"/>
      <c r="L1722" s="83" t="n"/>
      <c r="M1722" s="83" t="n"/>
      <c r="O1722" s="84" t="str">
        <f>IF($C1722="","",IFERROR(MATCH($B1722&amp;"|"&amp;$C1722,MUROS!$AX$11:$AX$70,0),0))</f>
        <v/>
      </c>
      <c r="P1722" s="84" t="str">
        <f>IF($D1722="","",IF(ISNUMBER(MATCH($D1722,CMB_S,0)),1,IF(ISNUMBER(MATCH($D1722,CMB_G,0)),2,0)))</f>
        <v/>
      </c>
      <c r="Q1722" s="84">
        <f>IF(ISNUMBER($H1722),-$H1722,0)</f>
        <v>0</v>
      </c>
      <c r="R1722" s="84">
        <f>IF(ISNUMBER($I1722),ABS($I1722),0)</f>
        <v>0</v>
      </c>
      <c r="S1722" s="84">
        <f>IF(ISNUMBER($M1722),ABS($M1722),0)</f>
        <v>0</v>
      </c>
      <c r="T1722" s="85" t="n">
        <v>1714</v>
      </c>
    </row>
    <row r="1723">
      <c r="B1723" s="83" t="n"/>
      <c r="C1723" s="83" t="n"/>
      <c r="D1723" s="83" t="n"/>
      <c r="E1723" s="83" t="n"/>
      <c r="F1723" s="83" t="n"/>
      <c r="G1723" s="83" t="n"/>
      <c r="H1723" s="83" t="n"/>
      <c r="I1723" s="83" t="n"/>
      <c r="J1723" s="83" t="n"/>
      <c r="K1723" s="83" t="n"/>
      <c r="L1723" s="83" t="n"/>
      <c r="M1723" s="83" t="n"/>
      <c r="O1723" s="84" t="str">
        <f>IF($C1723="","",IFERROR(MATCH($B1723&amp;"|"&amp;$C1723,MUROS!$AX$11:$AX$70,0),0))</f>
        <v/>
      </c>
      <c r="P1723" s="84" t="str">
        <f>IF($D1723="","",IF(ISNUMBER(MATCH($D1723,CMB_S,0)),1,IF(ISNUMBER(MATCH($D1723,CMB_G,0)),2,0)))</f>
        <v/>
      </c>
      <c r="Q1723" s="84">
        <f>IF(ISNUMBER($H1723),-$H1723,0)</f>
        <v>0</v>
      </c>
      <c r="R1723" s="84">
        <f>IF(ISNUMBER($I1723),ABS($I1723),0)</f>
        <v>0</v>
      </c>
      <c r="S1723" s="84">
        <f>IF(ISNUMBER($M1723),ABS($M1723),0)</f>
        <v>0</v>
      </c>
      <c r="T1723" s="85" t="n">
        <v>1715</v>
      </c>
    </row>
    <row r="1724">
      <c r="B1724" s="83" t="n"/>
      <c r="C1724" s="83" t="n"/>
      <c r="D1724" s="83" t="n"/>
      <c r="E1724" s="83" t="n"/>
      <c r="F1724" s="83" t="n"/>
      <c r="G1724" s="83" t="n"/>
      <c r="H1724" s="83" t="n"/>
      <c r="I1724" s="83" t="n"/>
      <c r="J1724" s="83" t="n"/>
      <c r="K1724" s="83" t="n"/>
      <c r="L1724" s="83" t="n"/>
      <c r="M1724" s="83" t="n"/>
      <c r="O1724" s="84" t="str">
        <f>IF($C1724="","",IFERROR(MATCH($B1724&amp;"|"&amp;$C1724,MUROS!$AX$11:$AX$70,0),0))</f>
        <v/>
      </c>
      <c r="P1724" s="84" t="str">
        <f>IF($D1724="","",IF(ISNUMBER(MATCH($D1724,CMB_S,0)),1,IF(ISNUMBER(MATCH($D1724,CMB_G,0)),2,0)))</f>
        <v/>
      </c>
      <c r="Q1724" s="84">
        <f>IF(ISNUMBER($H1724),-$H1724,0)</f>
        <v>0</v>
      </c>
      <c r="R1724" s="84">
        <f>IF(ISNUMBER($I1724),ABS($I1724),0)</f>
        <v>0</v>
      </c>
      <c r="S1724" s="84">
        <f>IF(ISNUMBER($M1724),ABS($M1724),0)</f>
        <v>0</v>
      </c>
      <c r="T1724" s="85" t="n">
        <v>1716</v>
      </c>
    </row>
    <row r="1725">
      <c r="B1725" s="83" t="n"/>
      <c r="C1725" s="83" t="n"/>
      <c r="D1725" s="83" t="n"/>
      <c r="E1725" s="83" t="n"/>
      <c r="F1725" s="83" t="n"/>
      <c r="G1725" s="83" t="n"/>
      <c r="H1725" s="83" t="n"/>
      <c r="I1725" s="83" t="n"/>
      <c r="J1725" s="83" t="n"/>
      <c r="K1725" s="83" t="n"/>
      <c r="L1725" s="83" t="n"/>
      <c r="M1725" s="83" t="n"/>
      <c r="O1725" s="84" t="str">
        <f>IF($C1725="","",IFERROR(MATCH($B1725&amp;"|"&amp;$C1725,MUROS!$AX$11:$AX$70,0),0))</f>
        <v/>
      </c>
      <c r="P1725" s="84" t="str">
        <f>IF($D1725="","",IF(ISNUMBER(MATCH($D1725,CMB_S,0)),1,IF(ISNUMBER(MATCH($D1725,CMB_G,0)),2,0)))</f>
        <v/>
      </c>
      <c r="Q1725" s="84">
        <f>IF(ISNUMBER($H1725),-$H1725,0)</f>
        <v>0</v>
      </c>
      <c r="R1725" s="84">
        <f>IF(ISNUMBER($I1725),ABS($I1725),0)</f>
        <v>0</v>
      </c>
      <c r="S1725" s="84">
        <f>IF(ISNUMBER($M1725),ABS($M1725),0)</f>
        <v>0</v>
      </c>
      <c r="T1725" s="85" t="n">
        <v>1717</v>
      </c>
    </row>
    <row r="1726">
      <c r="B1726" s="83" t="n"/>
      <c r="C1726" s="83" t="n"/>
      <c r="D1726" s="83" t="n"/>
      <c r="E1726" s="83" t="n"/>
      <c r="F1726" s="83" t="n"/>
      <c r="G1726" s="83" t="n"/>
      <c r="H1726" s="83" t="n"/>
      <c r="I1726" s="83" t="n"/>
      <c r="J1726" s="83" t="n"/>
      <c r="K1726" s="83" t="n"/>
      <c r="L1726" s="83" t="n"/>
      <c r="M1726" s="83" t="n"/>
      <c r="O1726" s="84" t="str">
        <f>IF($C1726="","",IFERROR(MATCH($B1726&amp;"|"&amp;$C1726,MUROS!$AX$11:$AX$70,0),0))</f>
        <v/>
      </c>
      <c r="P1726" s="84" t="str">
        <f>IF($D1726="","",IF(ISNUMBER(MATCH($D1726,CMB_S,0)),1,IF(ISNUMBER(MATCH($D1726,CMB_G,0)),2,0)))</f>
        <v/>
      </c>
      <c r="Q1726" s="84">
        <f>IF(ISNUMBER($H1726),-$H1726,0)</f>
        <v>0</v>
      </c>
      <c r="R1726" s="84">
        <f>IF(ISNUMBER($I1726),ABS($I1726),0)</f>
        <v>0</v>
      </c>
      <c r="S1726" s="84">
        <f>IF(ISNUMBER($M1726),ABS($M1726),0)</f>
        <v>0</v>
      </c>
      <c r="T1726" s="85" t="n">
        <v>1718</v>
      </c>
    </row>
    <row r="1727">
      <c r="B1727" s="83" t="n"/>
      <c r="C1727" s="83" t="n"/>
      <c r="D1727" s="83" t="n"/>
      <c r="E1727" s="83" t="n"/>
      <c r="F1727" s="83" t="n"/>
      <c r="G1727" s="83" t="n"/>
      <c r="H1727" s="83" t="n"/>
      <c r="I1727" s="83" t="n"/>
      <c r="J1727" s="83" t="n"/>
      <c r="K1727" s="83" t="n"/>
      <c r="L1727" s="83" t="n"/>
      <c r="M1727" s="83" t="n"/>
      <c r="O1727" s="84" t="str">
        <f>IF($C1727="","",IFERROR(MATCH($B1727&amp;"|"&amp;$C1727,MUROS!$AX$11:$AX$70,0),0))</f>
        <v/>
      </c>
      <c r="P1727" s="84" t="str">
        <f>IF($D1727="","",IF(ISNUMBER(MATCH($D1727,CMB_S,0)),1,IF(ISNUMBER(MATCH($D1727,CMB_G,0)),2,0)))</f>
        <v/>
      </c>
      <c r="Q1727" s="84">
        <f>IF(ISNUMBER($H1727),-$H1727,0)</f>
        <v>0</v>
      </c>
      <c r="R1727" s="84">
        <f>IF(ISNUMBER($I1727),ABS($I1727),0)</f>
        <v>0</v>
      </c>
      <c r="S1727" s="84">
        <f>IF(ISNUMBER($M1727),ABS($M1727),0)</f>
        <v>0</v>
      </c>
      <c r="T1727" s="85" t="n">
        <v>1719</v>
      </c>
    </row>
    <row r="1728">
      <c r="B1728" s="83" t="n"/>
      <c r="C1728" s="83" t="n"/>
      <c r="D1728" s="83" t="n"/>
      <c r="E1728" s="83" t="n"/>
      <c r="F1728" s="83" t="n"/>
      <c r="G1728" s="83" t="n"/>
      <c r="H1728" s="83" t="n"/>
      <c r="I1728" s="83" t="n"/>
      <c r="J1728" s="83" t="n"/>
      <c r="K1728" s="83" t="n"/>
      <c r="L1728" s="83" t="n"/>
      <c r="M1728" s="83" t="n"/>
      <c r="O1728" s="84" t="str">
        <f>IF($C1728="","",IFERROR(MATCH($B1728&amp;"|"&amp;$C1728,MUROS!$AX$11:$AX$70,0),0))</f>
        <v/>
      </c>
      <c r="P1728" s="84" t="str">
        <f>IF($D1728="","",IF(ISNUMBER(MATCH($D1728,CMB_S,0)),1,IF(ISNUMBER(MATCH($D1728,CMB_G,0)),2,0)))</f>
        <v/>
      </c>
      <c r="Q1728" s="84">
        <f>IF(ISNUMBER($H1728),-$H1728,0)</f>
        <v>0</v>
      </c>
      <c r="R1728" s="84">
        <f>IF(ISNUMBER($I1728),ABS($I1728),0)</f>
        <v>0</v>
      </c>
      <c r="S1728" s="84">
        <f>IF(ISNUMBER($M1728),ABS($M1728),0)</f>
        <v>0</v>
      </c>
      <c r="T1728" s="85" t="n">
        <v>1720</v>
      </c>
    </row>
    <row r="1729">
      <c r="B1729" s="83" t="n"/>
      <c r="C1729" s="83" t="n"/>
      <c r="D1729" s="83" t="n"/>
      <c r="E1729" s="83" t="n"/>
      <c r="F1729" s="83" t="n"/>
      <c r="G1729" s="83" t="n"/>
      <c r="H1729" s="83" t="n"/>
      <c r="I1729" s="83" t="n"/>
      <c r="J1729" s="83" t="n"/>
      <c r="K1729" s="83" t="n"/>
      <c r="L1729" s="83" t="n"/>
      <c r="M1729" s="83" t="n"/>
      <c r="O1729" s="84" t="str">
        <f>IF($C1729="","",IFERROR(MATCH($B1729&amp;"|"&amp;$C1729,MUROS!$AX$11:$AX$70,0),0))</f>
        <v/>
      </c>
      <c r="P1729" s="84" t="str">
        <f>IF($D1729="","",IF(ISNUMBER(MATCH($D1729,CMB_S,0)),1,IF(ISNUMBER(MATCH($D1729,CMB_G,0)),2,0)))</f>
        <v/>
      </c>
      <c r="Q1729" s="84">
        <f>IF(ISNUMBER($H1729),-$H1729,0)</f>
        <v>0</v>
      </c>
      <c r="R1729" s="84">
        <f>IF(ISNUMBER($I1729),ABS($I1729),0)</f>
        <v>0</v>
      </c>
      <c r="S1729" s="84">
        <f>IF(ISNUMBER($M1729),ABS($M1729),0)</f>
        <v>0</v>
      </c>
      <c r="T1729" s="85" t="n">
        <v>1721</v>
      </c>
    </row>
    <row r="1730">
      <c r="B1730" s="83" t="n"/>
      <c r="C1730" s="83" t="n"/>
      <c r="D1730" s="83" t="n"/>
      <c r="E1730" s="83" t="n"/>
      <c r="F1730" s="83" t="n"/>
      <c r="G1730" s="83" t="n"/>
      <c r="H1730" s="83" t="n"/>
      <c r="I1730" s="83" t="n"/>
      <c r="J1730" s="83" t="n"/>
      <c r="K1730" s="83" t="n"/>
      <c r="L1730" s="83" t="n"/>
      <c r="M1730" s="83" t="n"/>
      <c r="O1730" s="84" t="str">
        <f>IF($C1730="","",IFERROR(MATCH($B1730&amp;"|"&amp;$C1730,MUROS!$AX$11:$AX$70,0),0))</f>
        <v/>
      </c>
      <c r="P1730" s="84" t="str">
        <f>IF($D1730="","",IF(ISNUMBER(MATCH($D1730,CMB_S,0)),1,IF(ISNUMBER(MATCH($D1730,CMB_G,0)),2,0)))</f>
        <v/>
      </c>
      <c r="Q1730" s="84">
        <f>IF(ISNUMBER($H1730),-$H1730,0)</f>
        <v>0</v>
      </c>
      <c r="R1730" s="84">
        <f>IF(ISNUMBER($I1730),ABS($I1730),0)</f>
        <v>0</v>
      </c>
      <c r="S1730" s="84">
        <f>IF(ISNUMBER($M1730),ABS($M1730),0)</f>
        <v>0</v>
      </c>
      <c r="T1730" s="85" t="n">
        <v>1722</v>
      </c>
    </row>
    <row r="1731">
      <c r="B1731" s="83" t="n"/>
      <c r="C1731" s="83" t="n"/>
      <c r="D1731" s="83" t="n"/>
      <c r="E1731" s="83" t="n"/>
      <c r="F1731" s="83" t="n"/>
      <c r="G1731" s="83" t="n"/>
      <c r="H1731" s="83" t="n"/>
      <c r="I1731" s="83" t="n"/>
      <c r="J1731" s="83" t="n"/>
      <c r="K1731" s="83" t="n"/>
      <c r="L1731" s="83" t="n"/>
      <c r="M1731" s="83" t="n"/>
      <c r="O1731" s="84" t="str">
        <f>IF($C1731="","",IFERROR(MATCH($B1731&amp;"|"&amp;$C1731,MUROS!$AX$11:$AX$70,0),0))</f>
        <v/>
      </c>
      <c r="P1731" s="84" t="str">
        <f>IF($D1731="","",IF(ISNUMBER(MATCH($D1731,CMB_S,0)),1,IF(ISNUMBER(MATCH($D1731,CMB_G,0)),2,0)))</f>
        <v/>
      </c>
      <c r="Q1731" s="84">
        <f>IF(ISNUMBER($H1731),-$H1731,0)</f>
        <v>0</v>
      </c>
      <c r="R1731" s="84">
        <f>IF(ISNUMBER($I1731),ABS($I1731),0)</f>
        <v>0</v>
      </c>
      <c r="S1731" s="84">
        <f>IF(ISNUMBER($M1731),ABS($M1731),0)</f>
        <v>0</v>
      </c>
      <c r="T1731" s="85" t="n">
        <v>1723</v>
      </c>
    </row>
    <row r="1732">
      <c r="B1732" s="83" t="n"/>
      <c r="C1732" s="83" t="n"/>
      <c r="D1732" s="83" t="n"/>
      <c r="E1732" s="83" t="n"/>
      <c r="F1732" s="83" t="n"/>
      <c r="G1732" s="83" t="n"/>
      <c r="H1732" s="83" t="n"/>
      <c r="I1732" s="83" t="n"/>
      <c r="J1732" s="83" t="n"/>
      <c r="K1732" s="83" t="n"/>
      <c r="L1732" s="83" t="n"/>
      <c r="M1732" s="83" t="n"/>
      <c r="O1732" s="84" t="str">
        <f>IF($C1732="","",IFERROR(MATCH($B1732&amp;"|"&amp;$C1732,MUROS!$AX$11:$AX$70,0),0))</f>
        <v/>
      </c>
      <c r="P1732" s="84" t="str">
        <f>IF($D1732="","",IF(ISNUMBER(MATCH($D1732,CMB_S,0)),1,IF(ISNUMBER(MATCH($D1732,CMB_G,0)),2,0)))</f>
        <v/>
      </c>
      <c r="Q1732" s="84">
        <f>IF(ISNUMBER($H1732),-$H1732,0)</f>
        <v>0</v>
      </c>
      <c r="R1732" s="84">
        <f>IF(ISNUMBER($I1732),ABS($I1732),0)</f>
        <v>0</v>
      </c>
      <c r="S1732" s="84">
        <f>IF(ISNUMBER($M1732),ABS($M1732),0)</f>
        <v>0</v>
      </c>
      <c r="T1732" s="85" t="n">
        <v>1724</v>
      </c>
    </row>
    <row r="1733">
      <c r="B1733" s="83" t="n"/>
      <c r="C1733" s="83" t="n"/>
      <c r="D1733" s="83" t="n"/>
      <c r="E1733" s="83" t="n"/>
      <c r="F1733" s="83" t="n"/>
      <c r="G1733" s="83" t="n"/>
      <c r="H1733" s="83" t="n"/>
      <c r="I1733" s="83" t="n"/>
      <c r="J1733" s="83" t="n"/>
      <c r="K1733" s="83" t="n"/>
      <c r="L1733" s="83" t="n"/>
      <c r="M1733" s="83" t="n"/>
      <c r="O1733" s="84" t="str">
        <f>IF($C1733="","",IFERROR(MATCH($B1733&amp;"|"&amp;$C1733,MUROS!$AX$11:$AX$70,0),0))</f>
        <v/>
      </c>
      <c r="P1733" s="84" t="str">
        <f>IF($D1733="","",IF(ISNUMBER(MATCH($D1733,CMB_S,0)),1,IF(ISNUMBER(MATCH($D1733,CMB_G,0)),2,0)))</f>
        <v/>
      </c>
      <c r="Q1733" s="84">
        <f>IF(ISNUMBER($H1733),-$H1733,0)</f>
        <v>0</v>
      </c>
      <c r="R1733" s="84">
        <f>IF(ISNUMBER($I1733),ABS($I1733),0)</f>
        <v>0</v>
      </c>
      <c r="S1733" s="84">
        <f>IF(ISNUMBER($M1733),ABS($M1733),0)</f>
        <v>0</v>
      </c>
      <c r="T1733" s="85" t="n">
        <v>1725</v>
      </c>
    </row>
    <row r="1734">
      <c r="B1734" s="83" t="n"/>
      <c r="C1734" s="83" t="n"/>
      <c r="D1734" s="83" t="n"/>
      <c r="E1734" s="83" t="n"/>
      <c r="F1734" s="83" t="n"/>
      <c r="G1734" s="83" t="n"/>
      <c r="H1734" s="83" t="n"/>
      <c r="I1734" s="83" t="n"/>
      <c r="J1734" s="83" t="n"/>
      <c r="K1734" s="83" t="n"/>
      <c r="L1734" s="83" t="n"/>
      <c r="M1734" s="83" t="n"/>
      <c r="O1734" s="84" t="str">
        <f>IF($C1734="","",IFERROR(MATCH($B1734&amp;"|"&amp;$C1734,MUROS!$AX$11:$AX$70,0),0))</f>
        <v/>
      </c>
      <c r="P1734" s="84" t="str">
        <f>IF($D1734="","",IF(ISNUMBER(MATCH($D1734,CMB_S,0)),1,IF(ISNUMBER(MATCH($D1734,CMB_G,0)),2,0)))</f>
        <v/>
      </c>
      <c r="Q1734" s="84">
        <f>IF(ISNUMBER($H1734),-$H1734,0)</f>
        <v>0</v>
      </c>
      <c r="R1734" s="84">
        <f>IF(ISNUMBER($I1734),ABS($I1734),0)</f>
        <v>0</v>
      </c>
      <c r="S1734" s="84">
        <f>IF(ISNUMBER($M1734),ABS($M1734),0)</f>
        <v>0</v>
      </c>
      <c r="T1734" s="85" t="n">
        <v>1726</v>
      </c>
    </row>
    <row r="1735">
      <c r="B1735" s="83" t="n"/>
      <c r="C1735" s="83" t="n"/>
      <c r="D1735" s="83" t="n"/>
      <c r="E1735" s="83" t="n"/>
      <c r="F1735" s="83" t="n"/>
      <c r="G1735" s="83" t="n"/>
      <c r="H1735" s="83" t="n"/>
      <c r="I1735" s="83" t="n"/>
      <c r="J1735" s="83" t="n"/>
      <c r="K1735" s="83" t="n"/>
      <c r="L1735" s="83" t="n"/>
      <c r="M1735" s="83" t="n"/>
      <c r="O1735" s="84" t="str">
        <f>IF($C1735="","",IFERROR(MATCH($B1735&amp;"|"&amp;$C1735,MUROS!$AX$11:$AX$70,0),0))</f>
        <v/>
      </c>
      <c r="P1735" s="84" t="str">
        <f>IF($D1735="","",IF(ISNUMBER(MATCH($D1735,CMB_S,0)),1,IF(ISNUMBER(MATCH($D1735,CMB_G,0)),2,0)))</f>
        <v/>
      </c>
      <c r="Q1735" s="84">
        <f>IF(ISNUMBER($H1735),-$H1735,0)</f>
        <v>0</v>
      </c>
      <c r="R1735" s="84">
        <f>IF(ISNUMBER($I1735),ABS($I1735),0)</f>
        <v>0</v>
      </c>
      <c r="S1735" s="84">
        <f>IF(ISNUMBER($M1735),ABS($M1735),0)</f>
        <v>0</v>
      </c>
      <c r="T1735" s="85" t="n">
        <v>1727</v>
      </c>
    </row>
    <row r="1736">
      <c r="B1736" s="83" t="n"/>
      <c r="C1736" s="83" t="n"/>
      <c r="D1736" s="83" t="n"/>
      <c r="E1736" s="83" t="n"/>
      <c r="F1736" s="83" t="n"/>
      <c r="G1736" s="83" t="n"/>
      <c r="H1736" s="83" t="n"/>
      <c r="I1736" s="83" t="n"/>
      <c r="J1736" s="83" t="n"/>
      <c r="K1736" s="83" t="n"/>
      <c r="L1736" s="83" t="n"/>
      <c r="M1736" s="83" t="n"/>
      <c r="O1736" s="84" t="str">
        <f>IF($C1736="","",IFERROR(MATCH($B1736&amp;"|"&amp;$C1736,MUROS!$AX$11:$AX$70,0),0))</f>
        <v/>
      </c>
      <c r="P1736" s="84" t="str">
        <f>IF($D1736="","",IF(ISNUMBER(MATCH($D1736,CMB_S,0)),1,IF(ISNUMBER(MATCH($D1736,CMB_G,0)),2,0)))</f>
        <v/>
      </c>
      <c r="Q1736" s="84">
        <f>IF(ISNUMBER($H1736),-$H1736,0)</f>
        <v>0</v>
      </c>
      <c r="R1736" s="84">
        <f>IF(ISNUMBER($I1736),ABS($I1736),0)</f>
        <v>0</v>
      </c>
      <c r="S1736" s="84">
        <f>IF(ISNUMBER($M1736),ABS($M1736),0)</f>
        <v>0</v>
      </c>
      <c r="T1736" s="85" t="n">
        <v>1728</v>
      </c>
    </row>
    <row r="1737">
      <c r="B1737" s="83" t="n"/>
      <c r="C1737" s="83" t="n"/>
      <c r="D1737" s="83" t="n"/>
      <c r="E1737" s="83" t="n"/>
      <c r="F1737" s="83" t="n"/>
      <c r="G1737" s="83" t="n"/>
      <c r="H1737" s="83" t="n"/>
      <c r="I1737" s="83" t="n"/>
      <c r="J1737" s="83" t="n"/>
      <c r="K1737" s="83" t="n"/>
      <c r="L1737" s="83" t="n"/>
      <c r="M1737" s="83" t="n"/>
      <c r="O1737" s="84" t="str">
        <f>IF($C1737="","",IFERROR(MATCH($B1737&amp;"|"&amp;$C1737,MUROS!$AX$11:$AX$70,0),0))</f>
        <v/>
      </c>
      <c r="P1737" s="84" t="str">
        <f>IF($D1737="","",IF(ISNUMBER(MATCH($D1737,CMB_S,0)),1,IF(ISNUMBER(MATCH($D1737,CMB_G,0)),2,0)))</f>
        <v/>
      </c>
      <c r="Q1737" s="84">
        <f>IF(ISNUMBER($H1737),-$H1737,0)</f>
        <v>0</v>
      </c>
      <c r="R1737" s="84">
        <f>IF(ISNUMBER($I1737),ABS($I1737),0)</f>
        <v>0</v>
      </c>
      <c r="S1737" s="84">
        <f>IF(ISNUMBER($M1737),ABS($M1737),0)</f>
        <v>0</v>
      </c>
      <c r="T1737" s="85" t="n">
        <v>1729</v>
      </c>
    </row>
    <row r="1738">
      <c r="B1738" s="83" t="n"/>
      <c r="C1738" s="83" t="n"/>
      <c r="D1738" s="83" t="n"/>
      <c r="E1738" s="83" t="n"/>
      <c r="F1738" s="83" t="n"/>
      <c r="G1738" s="83" t="n"/>
      <c r="H1738" s="83" t="n"/>
      <c r="I1738" s="83" t="n"/>
      <c r="J1738" s="83" t="n"/>
      <c r="K1738" s="83" t="n"/>
      <c r="L1738" s="83" t="n"/>
      <c r="M1738" s="83" t="n"/>
      <c r="O1738" s="84" t="str">
        <f>IF($C1738="","",IFERROR(MATCH($B1738&amp;"|"&amp;$C1738,MUROS!$AX$11:$AX$70,0),0))</f>
        <v/>
      </c>
      <c r="P1738" s="84" t="str">
        <f>IF($D1738="","",IF(ISNUMBER(MATCH($D1738,CMB_S,0)),1,IF(ISNUMBER(MATCH($D1738,CMB_G,0)),2,0)))</f>
        <v/>
      </c>
      <c r="Q1738" s="84">
        <f>IF(ISNUMBER($H1738),-$H1738,0)</f>
        <v>0</v>
      </c>
      <c r="R1738" s="84">
        <f>IF(ISNUMBER($I1738),ABS($I1738),0)</f>
        <v>0</v>
      </c>
      <c r="S1738" s="84">
        <f>IF(ISNUMBER($M1738),ABS($M1738),0)</f>
        <v>0</v>
      </c>
      <c r="T1738" s="85" t="n">
        <v>1730</v>
      </c>
    </row>
    <row r="1739">
      <c r="B1739" s="83" t="n"/>
      <c r="C1739" s="83" t="n"/>
      <c r="D1739" s="83" t="n"/>
      <c r="E1739" s="83" t="n"/>
      <c r="F1739" s="83" t="n"/>
      <c r="G1739" s="83" t="n"/>
      <c r="H1739" s="83" t="n"/>
      <c r="I1739" s="83" t="n"/>
      <c r="J1739" s="83" t="n"/>
      <c r="K1739" s="83" t="n"/>
      <c r="L1739" s="83" t="n"/>
      <c r="M1739" s="83" t="n"/>
      <c r="O1739" s="84" t="str">
        <f>IF($C1739="","",IFERROR(MATCH($B1739&amp;"|"&amp;$C1739,MUROS!$AX$11:$AX$70,0),0))</f>
        <v/>
      </c>
      <c r="P1739" s="84" t="str">
        <f>IF($D1739="","",IF(ISNUMBER(MATCH($D1739,CMB_S,0)),1,IF(ISNUMBER(MATCH($D1739,CMB_G,0)),2,0)))</f>
        <v/>
      </c>
      <c r="Q1739" s="84">
        <f>IF(ISNUMBER($H1739),-$H1739,0)</f>
        <v>0</v>
      </c>
      <c r="R1739" s="84">
        <f>IF(ISNUMBER($I1739),ABS($I1739),0)</f>
        <v>0</v>
      </c>
      <c r="S1739" s="84">
        <f>IF(ISNUMBER($M1739),ABS($M1739),0)</f>
        <v>0</v>
      </c>
      <c r="T1739" s="85" t="n">
        <v>1731</v>
      </c>
    </row>
    <row r="1740">
      <c r="B1740" s="83" t="n"/>
      <c r="C1740" s="83" t="n"/>
      <c r="D1740" s="83" t="n"/>
      <c r="E1740" s="83" t="n"/>
      <c r="F1740" s="83" t="n"/>
      <c r="G1740" s="83" t="n"/>
      <c r="H1740" s="83" t="n"/>
      <c r="I1740" s="83" t="n"/>
      <c r="J1740" s="83" t="n"/>
      <c r="K1740" s="83" t="n"/>
      <c r="L1740" s="83" t="n"/>
      <c r="M1740" s="83" t="n"/>
      <c r="O1740" s="84" t="str">
        <f>IF($C1740="","",IFERROR(MATCH($B1740&amp;"|"&amp;$C1740,MUROS!$AX$11:$AX$70,0),0))</f>
        <v/>
      </c>
      <c r="P1740" s="84" t="str">
        <f>IF($D1740="","",IF(ISNUMBER(MATCH($D1740,CMB_S,0)),1,IF(ISNUMBER(MATCH($D1740,CMB_G,0)),2,0)))</f>
        <v/>
      </c>
      <c r="Q1740" s="84">
        <f>IF(ISNUMBER($H1740),-$H1740,0)</f>
        <v>0</v>
      </c>
      <c r="R1740" s="84">
        <f>IF(ISNUMBER($I1740),ABS($I1740),0)</f>
        <v>0</v>
      </c>
      <c r="S1740" s="84">
        <f>IF(ISNUMBER($M1740),ABS($M1740),0)</f>
        <v>0</v>
      </c>
      <c r="T1740" s="85" t="n">
        <v>1732</v>
      </c>
    </row>
    <row r="1741">
      <c r="B1741" s="83" t="n"/>
      <c r="C1741" s="83" t="n"/>
      <c r="D1741" s="83" t="n"/>
      <c r="E1741" s="83" t="n"/>
      <c r="F1741" s="83" t="n"/>
      <c r="G1741" s="83" t="n"/>
      <c r="H1741" s="83" t="n"/>
      <c r="I1741" s="83" t="n"/>
      <c r="J1741" s="83" t="n"/>
      <c r="K1741" s="83" t="n"/>
      <c r="L1741" s="83" t="n"/>
      <c r="M1741" s="83" t="n"/>
      <c r="O1741" s="84" t="str">
        <f>IF($C1741="","",IFERROR(MATCH($B1741&amp;"|"&amp;$C1741,MUROS!$AX$11:$AX$70,0),0))</f>
        <v/>
      </c>
      <c r="P1741" s="84" t="str">
        <f>IF($D1741="","",IF(ISNUMBER(MATCH($D1741,CMB_S,0)),1,IF(ISNUMBER(MATCH($D1741,CMB_G,0)),2,0)))</f>
        <v/>
      </c>
      <c r="Q1741" s="84">
        <f>IF(ISNUMBER($H1741),-$H1741,0)</f>
        <v>0</v>
      </c>
      <c r="R1741" s="84">
        <f>IF(ISNUMBER($I1741),ABS($I1741),0)</f>
        <v>0</v>
      </c>
      <c r="S1741" s="84">
        <f>IF(ISNUMBER($M1741),ABS($M1741),0)</f>
        <v>0</v>
      </c>
      <c r="T1741" s="85" t="n">
        <v>1733</v>
      </c>
    </row>
    <row r="1742">
      <c r="B1742" s="83" t="n"/>
      <c r="C1742" s="83" t="n"/>
      <c r="D1742" s="83" t="n"/>
      <c r="E1742" s="83" t="n"/>
      <c r="F1742" s="83" t="n"/>
      <c r="G1742" s="83" t="n"/>
      <c r="H1742" s="83" t="n"/>
      <c r="I1742" s="83" t="n"/>
      <c r="J1742" s="83" t="n"/>
      <c r="K1742" s="83" t="n"/>
      <c r="L1742" s="83" t="n"/>
      <c r="M1742" s="83" t="n"/>
      <c r="O1742" s="84" t="str">
        <f>IF($C1742="","",IFERROR(MATCH($B1742&amp;"|"&amp;$C1742,MUROS!$AX$11:$AX$70,0),0))</f>
        <v/>
      </c>
      <c r="P1742" s="84" t="str">
        <f>IF($D1742="","",IF(ISNUMBER(MATCH($D1742,CMB_S,0)),1,IF(ISNUMBER(MATCH($D1742,CMB_G,0)),2,0)))</f>
        <v/>
      </c>
      <c r="Q1742" s="84">
        <f>IF(ISNUMBER($H1742),-$H1742,0)</f>
        <v>0</v>
      </c>
      <c r="R1742" s="84">
        <f>IF(ISNUMBER($I1742),ABS($I1742),0)</f>
        <v>0</v>
      </c>
      <c r="S1742" s="84">
        <f>IF(ISNUMBER($M1742),ABS($M1742),0)</f>
        <v>0</v>
      </c>
      <c r="T1742" s="85" t="n">
        <v>1734</v>
      </c>
    </row>
    <row r="1743">
      <c r="B1743" s="83" t="n"/>
      <c r="C1743" s="83" t="n"/>
      <c r="D1743" s="83" t="n"/>
      <c r="E1743" s="83" t="n"/>
      <c r="F1743" s="83" t="n"/>
      <c r="G1743" s="83" t="n"/>
      <c r="H1743" s="83" t="n"/>
      <c r="I1743" s="83" t="n"/>
      <c r="J1743" s="83" t="n"/>
      <c r="K1743" s="83" t="n"/>
      <c r="L1743" s="83" t="n"/>
      <c r="M1743" s="83" t="n"/>
      <c r="O1743" s="84" t="str">
        <f>IF($C1743="","",IFERROR(MATCH($B1743&amp;"|"&amp;$C1743,MUROS!$AX$11:$AX$70,0),0))</f>
        <v/>
      </c>
      <c r="P1743" s="84" t="str">
        <f>IF($D1743="","",IF(ISNUMBER(MATCH($D1743,CMB_S,0)),1,IF(ISNUMBER(MATCH($D1743,CMB_G,0)),2,0)))</f>
        <v/>
      </c>
      <c r="Q1743" s="84">
        <f>IF(ISNUMBER($H1743),-$H1743,0)</f>
        <v>0</v>
      </c>
      <c r="R1743" s="84">
        <f>IF(ISNUMBER($I1743),ABS($I1743),0)</f>
        <v>0</v>
      </c>
      <c r="S1743" s="84">
        <f>IF(ISNUMBER($M1743),ABS($M1743),0)</f>
        <v>0</v>
      </c>
      <c r="T1743" s="85" t="n">
        <v>1735</v>
      </c>
    </row>
    <row r="1744">
      <c r="B1744" s="83" t="n"/>
      <c r="C1744" s="83" t="n"/>
      <c r="D1744" s="83" t="n"/>
      <c r="E1744" s="83" t="n"/>
      <c r="F1744" s="83" t="n"/>
      <c r="G1744" s="83" t="n"/>
      <c r="H1744" s="83" t="n"/>
      <c r="I1744" s="83" t="n"/>
      <c r="J1744" s="83" t="n"/>
      <c r="K1744" s="83" t="n"/>
      <c r="L1744" s="83" t="n"/>
      <c r="M1744" s="83" t="n"/>
      <c r="O1744" s="84" t="str">
        <f>IF($C1744="","",IFERROR(MATCH($B1744&amp;"|"&amp;$C1744,MUROS!$AX$11:$AX$70,0),0))</f>
        <v/>
      </c>
      <c r="P1744" s="84" t="str">
        <f>IF($D1744="","",IF(ISNUMBER(MATCH($D1744,CMB_S,0)),1,IF(ISNUMBER(MATCH($D1744,CMB_G,0)),2,0)))</f>
        <v/>
      </c>
      <c r="Q1744" s="84">
        <f>IF(ISNUMBER($H1744),-$H1744,0)</f>
        <v>0</v>
      </c>
      <c r="R1744" s="84">
        <f>IF(ISNUMBER($I1744),ABS($I1744),0)</f>
        <v>0</v>
      </c>
      <c r="S1744" s="84">
        <f>IF(ISNUMBER($M1744),ABS($M1744),0)</f>
        <v>0</v>
      </c>
      <c r="T1744" s="85" t="n">
        <v>1736</v>
      </c>
    </row>
    <row r="1745">
      <c r="B1745" s="83" t="n"/>
      <c r="C1745" s="83" t="n"/>
      <c r="D1745" s="83" t="n"/>
      <c r="E1745" s="83" t="n"/>
      <c r="F1745" s="83" t="n"/>
      <c r="G1745" s="83" t="n"/>
      <c r="H1745" s="83" t="n"/>
      <c r="I1745" s="83" t="n"/>
      <c r="J1745" s="83" t="n"/>
      <c r="K1745" s="83" t="n"/>
      <c r="L1745" s="83" t="n"/>
      <c r="M1745" s="83" t="n"/>
      <c r="O1745" s="84" t="str">
        <f>IF($C1745="","",IFERROR(MATCH($B1745&amp;"|"&amp;$C1745,MUROS!$AX$11:$AX$70,0),0))</f>
        <v/>
      </c>
      <c r="P1745" s="84" t="str">
        <f>IF($D1745="","",IF(ISNUMBER(MATCH($D1745,CMB_S,0)),1,IF(ISNUMBER(MATCH($D1745,CMB_G,0)),2,0)))</f>
        <v/>
      </c>
      <c r="Q1745" s="84">
        <f>IF(ISNUMBER($H1745),-$H1745,0)</f>
        <v>0</v>
      </c>
      <c r="R1745" s="84">
        <f>IF(ISNUMBER($I1745),ABS($I1745),0)</f>
        <v>0</v>
      </c>
      <c r="S1745" s="84">
        <f>IF(ISNUMBER($M1745),ABS($M1745),0)</f>
        <v>0</v>
      </c>
      <c r="T1745" s="85" t="n">
        <v>1737</v>
      </c>
    </row>
    <row r="1746">
      <c r="B1746" s="83" t="n"/>
      <c r="C1746" s="83" t="n"/>
      <c r="D1746" s="83" t="n"/>
      <c r="E1746" s="83" t="n"/>
      <c r="F1746" s="83" t="n"/>
      <c r="G1746" s="83" t="n"/>
      <c r="H1746" s="83" t="n"/>
      <c r="I1746" s="83" t="n"/>
      <c r="J1746" s="83" t="n"/>
      <c r="K1746" s="83" t="n"/>
      <c r="L1746" s="83" t="n"/>
      <c r="M1746" s="83" t="n"/>
      <c r="O1746" s="84" t="str">
        <f>IF($C1746="","",IFERROR(MATCH($B1746&amp;"|"&amp;$C1746,MUROS!$AX$11:$AX$70,0),0))</f>
        <v/>
      </c>
      <c r="P1746" s="84" t="str">
        <f>IF($D1746="","",IF(ISNUMBER(MATCH($D1746,CMB_S,0)),1,IF(ISNUMBER(MATCH($D1746,CMB_G,0)),2,0)))</f>
        <v/>
      </c>
      <c r="Q1746" s="84">
        <f>IF(ISNUMBER($H1746),-$H1746,0)</f>
        <v>0</v>
      </c>
      <c r="R1746" s="84">
        <f>IF(ISNUMBER($I1746),ABS($I1746),0)</f>
        <v>0</v>
      </c>
      <c r="S1746" s="84">
        <f>IF(ISNUMBER($M1746),ABS($M1746),0)</f>
        <v>0</v>
      </c>
      <c r="T1746" s="85" t="n">
        <v>1738</v>
      </c>
    </row>
    <row r="1747">
      <c r="B1747" s="83" t="n"/>
      <c r="C1747" s="83" t="n"/>
      <c r="D1747" s="83" t="n"/>
      <c r="E1747" s="83" t="n"/>
      <c r="F1747" s="83" t="n"/>
      <c r="G1747" s="83" t="n"/>
      <c r="H1747" s="83" t="n"/>
      <c r="I1747" s="83" t="n"/>
      <c r="J1747" s="83" t="n"/>
      <c r="K1747" s="83" t="n"/>
      <c r="L1747" s="83" t="n"/>
      <c r="M1747" s="83" t="n"/>
      <c r="O1747" s="84" t="str">
        <f>IF($C1747="","",IFERROR(MATCH($B1747&amp;"|"&amp;$C1747,MUROS!$AX$11:$AX$70,0),0))</f>
        <v/>
      </c>
      <c r="P1747" s="84" t="str">
        <f>IF($D1747="","",IF(ISNUMBER(MATCH($D1747,CMB_S,0)),1,IF(ISNUMBER(MATCH($D1747,CMB_G,0)),2,0)))</f>
        <v/>
      </c>
      <c r="Q1747" s="84">
        <f>IF(ISNUMBER($H1747),-$H1747,0)</f>
        <v>0</v>
      </c>
      <c r="R1747" s="84">
        <f>IF(ISNUMBER($I1747),ABS($I1747),0)</f>
        <v>0</v>
      </c>
      <c r="S1747" s="84">
        <f>IF(ISNUMBER($M1747),ABS($M1747),0)</f>
        <v>0</v>
      </c>
      <c r="T1747" s="85" t="n">
        <v>1739</v>
      </c>
    </row>
    <row r="1748">
      <c r="B1748" s="83" t="n"/>
      <c r="C1748" s="83" t="n"/>
      <c r="D1748" s="83" t="n"/>
      <c r="E1748" s="83" t="n"/>
      <c r="F1748" s="83" t="n"/>
      <c r="G1748" s="83" t="n"/>
      <c r="H1748" s="83" t="n"/>
      <c r="I1748" s="83" t="n"/>
      <c r="J1748" s="83" t="n"/>
      <c r="K1748" s="83" t="n"/>
      <c r="L1748" s="83" t="n"/>
      <c r="M1748" s="83" t="n"/>
      <c r="O1748" s="84" t="str">
        <f>IF($C1748="","",IFERROR(MATCH($B1748&amp;"|"&amp;$C1748,MUROS!$AX$11:$AX$70,0),0))</f>
        <v/>
      </c>
      <c r="P1748" s="84" t="str">
        <f>IF($D1748="","",IF(ISNUMBER(MATCH($D1748,CMB_S,0)),1,IF(ISNUMBER(MATCH($D1748,CMB_G,0)),2,0)))</f>
        <v/>
      </c>
      <c r="Q1748" s="84">
        <f>IF(ISNUMBER($H1748),-$H1748,0)</f>
        <v>0</v>
      </c>
      <c r="R1748" s="84">
        <f>IF(ISNUMBER($I1748),ABS($I1748),0)</f>
        <v>0</v>
      </c>
      <c r="S1748" s="84">
        <f>IF(ISNUMBER($M1748),ABS($M1748),0)</f>
        <v>0</v>
      </c>
      <c r="T1748" s="85" t="n">
        <v>1740</v>
      </c>
    </row>
    <row r="1749">
      <c r="B1749" s="83" t="n"/>
      <c r="C1749" s="83" t="n"/>
      <c r="D1749" s="83" t="n"/>
      <c r="E1749" s="83" t="n"/>
      <c r="F1749" s="83" t="n"/>
      <c r="G1749" s="83" t="n"/>
      <c r="H1749" s="83" t="n"/>
      <c r="I1749" s="83" t="n"/>
      <c r="J1749" s="83" t="n"/>
      <c r="K1749" s="83" t="n"/>
      <c r="L1749" s="83" t="n"/>
      <c r="M1749" s="83" t="n"/>
      <c r="O1749" s="84" t="str">
        <f>IF($C1749="","",IFERROR(MATCH($B1749&amp;"|"&amp;$C1749,MUROS!$AX$11:$AX$70,0),0))</f>
        <v/>
      </c>
      <c r="P1749" s="84" t="str">
        <f>IF($D1749="","",IF(ISNUMBER(MATCH($D1749,CMB_S,0)),1,IF(ISNUMBER(MATCH($D1749,CMB_G,0)),2,0)))</f>
        <v/>
      </c>
      <c r="Q1749" s="84">
        <f>IF(ISNUMBER($H1749),-$H1749,0)</f>
        <v>0</v>
      </c>
      <c r="R1749" s="84">
        <f>IF(ISNUMBER($I1749),ABS($I1749),0)</f>
        <v>0</v>
      </c>
      <c r="S1749" s="84">
        <f>IF(ISNUMBER($M1749),ABS($M1749),0)</f>
        <v>0</v>
      </c>
      <c r="T1749" s="85" t="n">
        <v>1741</v>
      </c>
    </row>
    <row r="1750">
      <c r="B1750" s="83" t="n"/>
      <c r="C1750" s="83" t="n"/>
      <c r="D1750" s="83" t="n"/>
      <c r="E1750" s="83" t="n"/>
      <c r="F1750" s="83" t="n"/>
      <c r="G1750" s="83" t="n"/>
      <c r="H1750" s="83" t="n"/>
      <c r="I1750" s="83" t="n"/>
      <c r="J1750" s="83" t="n"/>
      <c r="K1750" s="83" t="n"/>
      <c r="L1750" s="83" t="n"/>
      <c r="M1750" s="83" t="n"/>
      <c r="O1750" s="84" t="str">
        <f>IF($C1750="","",IFERROR(MATCH($B1750&amp;"|"&amp;$C1750,MUROS!$AX$11:$AX$70,0),0))</f>
        <v/>
      </c>
      <c r="P1750" s="84" t="str">
        <f>IF($D1750="","",IF(ISNUMBER(MATCH($D1750,CMB_S,0)),1,IF(ISNUMBER(MATCH($D1750,CMB_G,0)),2,0)))</f>
        <v/>
      </c>
      <c r="Q1750" s="84">
        <f>IF(ISNUMBER($H1750),-$H1750,0)</f>
        <v>0</v>
      </c>
      <c r="R1750" s="84">
        <f>IF(ISNUMBER($I1750),ABS($I1750),0)</f>
        <v>0</v>
      </c>
      <c r="S1750" s="84">
        <f>IF(ISNUMBER($M1750),ABS($M1750),0)</f>
        <v>0</v>
      </c>
      <c r="T1750" s="85" t="n">
        <v>1742</v>
      </c>
    </row>
    <row r="1751">
      <c r="B1751" s="83" t="n"/>
      <c r="C1751" s="83" t="n"/>
      <c r="D1751" s="83" t="n"/>
      <c r="E1751" s="83" t="n"/>
      <c r="F1751" s="83" t="n"/>
      <c r="G1751" s="83" t="n"/>
      <c r="H1751" s="83" t="n"/>
      <c r="I1751" s="83" t="n"/>
      <c r="J1751" s="83" t="n"/>
      <c r="K1751" s="83" t="n"/>
      <c r="L1751" s="83" t="n"/>
      <c r="M1751" s="83" t="n"/>
      <c r="O1751" s="84" t="str">
        <f>IF($C1751="","",IFERROR(MATCH($B1751&amp;"|"&amp;$C1751,MUROS!$AX$11:$AX$70,0),0))</f>
        <v/>
      </c>
      <c r="P1751" s="84" t="str">
        <f>IF($D1751="","",IF(ISNUMBER(MATCH($D1751,CMB_S,0)),1,IF(ISNUMBER(MATCH($D1751,CMB_G,0)),2,0)))</f>
        <v/>
      </c>
      <c r="Q1751" s="84">
        <f>IF(ISNUMBER($H1751),-$H1751,0)</f>
        <v>0</v>
      </c>
      <c r="R1751" s="84">
        <f>IF(ISNUMBER($I1751),ABS($I1751),0)</f>
        <v>0</v>
      </c>
      <c r="S1751" s="84">
        <f>IF(ISNUMBER($M1751),ABS($M1751),0)</f>
        <v>0</v>
      </c>
      <c r="T1751" s="85" t="n">
        <v>1743</v>
      </c>
    </row>
    <row r="1752">
      <c r="B1752" s="83" t="n"/>
      <c r="C1752" s="83" t="n"/>
      <c r="D1752" s="83" t="n"/>
      <c r="E1752" s="83" t="n"/>
      <c r="F1752" s="83" t="n"/>
      <c r="G1752" s="83" t="n"/>
      <c r="H1752" s="83" t="n"/>
      <c r="I1752" s="83" t="n"/>
      <c r="J1752" s="83" t="n"/>
      <c r="K1752" s="83" t="n"/>
      <c r="L1752" s="83" t="n"/>
      <c r="M1752" s="83" t="n"/>
      <c r="O1752" s="84" t="str">
        <f>IF($C1752="","",IFERROR(MATCH($B1752&amp;"|"&amp;$C1752,MUROS!$AX$11:$AX$70,0),0))</f>
        <v/>
      </c>
      <c r="P1752" s="84" t="str">
        <f>IF($D1752="","",IF(ISNUMBER(MATCH($D1752,CMB_S,0)),1,IF(ISNUMBER(MATCH($D1752,CMB_G,0)),2,0)))</f>
        <v/>
      </c>
      <c r="Q1752" s="84">
        <f>IF(ISNUMBER($H1752),-$H1752,0)</f>
        <v>0</v>
      </c>
      <c r="R1752" s="84">
        <f>IF(ISNUMBER($I1752),ABS($I1752),0)</f>
        <v>0</v>
      </c>
      <c r="S1752" s="84">
        <f>IF(ISNUMBER($M1752),ABS($M1752),0)</f>
        <v>0</v>
      </c>
      <c r="T1752" s="85" t="n">
        <v>1744</v>
      </c>
    </row>
    <row r="1753">
      <c r="B1753" s="83" t="n"/>
      <c r="C1753" s="83" t="n"/>
      <c r="D1753" s="83" t="n"/>
      <c r="E1753" s="83" t="n"/>
      <c r="F1753" s="83" t="n"/>
      <c r="G1753" s="83" t="n"/>
      <c r="H1753" s="83" t="n"/>
      <c r="I1753" s="83" t="n"/>
      <c r="J1753" s="83" t="n"/>
      <c r="K1753" s="83" t="n"/>
      <c r="L1753" s="83" t="n"/>
      <c r="M1753" s="83" t="n"/>
      <c r="O1753" s="84" t="str">
        <f>IF($C1753="","",IFERROR(MATCH($B1753&amp;"|"&amp;$C1753,MUROS!$AX$11:$AX$70,0),0))</f>
        <v/>
      </c>
      <c r="P1753" s="84" t="str">
        <f>IF($D1753="","",IF(ISNUMBER(MATCH($D1753,CMB_S,0)),1,IF(ISNUMBER(MATCH($D1753,CMB_G,0)),2,0)))</f>
        <v/>
      </c>
      <c r="Q1753" s="84">
        <f>IF(ISNUMBER($H1753),-$H1753,0)</f>
        <v>0</v>
      </c>
      <c r="R1753" s="84">
        <f>IF(ISNUMBER($I1753),ABS($I1753),0)</f>
        <v>0</v>
      </c>
      <c r="S1753" s="84">
        <f>IF(ISNUMBER($M1753),ABS($M1753),0)</f>
        <v>0</v>
      </c>
      <c r="T1753" s="85" t="n">
        <v>1745</v>
      </c>
    </row>
    <row r="1754">
      <c r="B1754" s="83" t="n"/>
      <c r="C1754" s="83" t="n"/>
      <c r="D1754" s="83" t="n"/>
      <c r="E1754" s="83" t="n"/>
      <c r="F1754" s="83" t="n"/>
      <c r="G1754" s="83" t="n"/>
      <c r="H1754" s="83" t="n"/>
      <c r="I1754" s="83" t="n"/>
      <c r="J1754" s="83" t="n"/>
      <c r="K1754" s="83" t="n"/>
      <c r="L1754" s="83" t="n"/>
      <c r="M1754" s="83" t="n"/>
      <c r="O1754" s="84" t="str">
        <f>IF($C1754="","",IFERROR(MATCH($B1754&amp;"|"&amp;$C1754,MUROS!$AX$11:$AX$70,0),0))</f>
        <v/>
      </c>
      <c r="P1754" s="84" t="str">
        <f>IF($D1754="","",IF(ISNUMBER(MATCH($D1754,CMB_S,0)),1,IF(ISNUMBER(MATCH($D1754,CMB_G,0)),2,0)))</f>
        <v/>
      </c>
      <c r="Q1754" s="84">
        <f>IF(ISNUMBER($H1754),-$H1754,0)</f>
        <v>0</v>
      </c>
      <c r="R1754" s="84">
        <f>IF(ISNUMBER($I1754),ABS($I1754),0)</f>
        <v>0</v>
      </c>
      <c r="S1754" s="84">
        <f>IF(ISNUMBER($M1754),ABS($M1754),0)</f>
        <v>0</v>
      </c>
      <c r="T1754" s="85" t="n">
        <v>1746</v>
      </c>
    </row>
    <row r="1755">
      <c r="B1755" s="83" t="n"/>
      <c r="C1755" s="83" t="n"/>
      <c r="D1755" s="83" t="n"/>
      <c r="E1755" s="83" t="n"/>
      <c r="F1755" s="83" t="n"/>
      <c r="G1755" s="83" t="n"/>
      <c r="H1755" s="83" t="n"/>
      <c r="I1755" s="83" t="n"/>
      <c r="J1755" s="83" t="n"/>
      <c r="K1755" s="83" t="n"/>
      <c r="L1755" s="83" t="n"/>
      <c r="M1755" s="83" t="n"/>
      <c r="O1755" s="84" t="str">
        <f>IF($C1755="","",IFERROR(MATCH($B1755&amp;"|"&amp;$C1755,MUROS!$AX$11:$AX$70,0),0))</f>
        <v/>
      </c>
      <c r="P1755" s="84" t="str">
        <f>IF($D1755="","",IF(ISNUMBER(MATCH($D1755,CMB_S,0)),1,IF(ISNUMBER(MATCH($D1755,CMB_G,0)),2,0)))</f>
        <v/>
      </c>
      <c r="Q1755" s="84">
        <f>IF(ISNUMBER($H1755),-$H1755,0)</f>
        <v>0</v>
      </c>
      <c r="R1755" s="84">
        <f>IF(ISNUMBER($I1755),ABS($I1755),0)</f>
        <v>0</v>
      </c>
      <c r="S1755" s="84">
        <f>IF(ISNUMBER($M1755),ABS($M1755),0)</f>
        <v>0</v>
      </c>
      <c r="T1755" s="85" t="n">
        <v>1747</v>
      </c>
    </row>
    <row r="1756">
      <c r="B1756" s="83" t="n"/>
      <c r="C1756" s="83" t="n"/>
      <c r="D1756" s="83" t="n"/>
      <c r="E1756" s="83" t="n"/>
      <c r="F1756" s="83" t="n"/>
      <c r="G1756" s="83" t="n"/>
      <c r="H1756" s="83" t="n"/>
      <c r="I1756" s="83" t="n"/>
      <c r="J1756" s="83" t="n"/>
      <c r="K1756" s="83" t="n"/>
      <c r="L1756" s="83" t="n"/>
      <c r="M1756" s="83" t="n"/>
      <c r="O1756" s="84" t="str">
        <f>IF($C1756="","",IFERROR(MATCH($B1756&amp;"|"&amp;$C1756,MUROS!$AX$11:$AX$70,0),0))</f>
        <v/>
      </c>
      <c r="P1756" s="84" t="str">
        <f>IF($D1756="","",IF(ISNUMBER(MATCH($D1756,CMB_S,0)),1,IF(ISNUMBER(MATCH($D1756,CMB_G,0)),2,0)))</f>
        <v/>
      </c>
      <c r="Q1756" s="84">
        <f>IF(ISNUMBER($H1756),-$H1756,0)</f>
        <v>0</v>
      </c>
      <c r="R1756" s="84">
        <f>IF(ISNUMBER($I1756),ABS($I1756),0)</f>
        <v>0</v>
      </c>
      <c r="S1756" s="84">
        <f>IF(ISNUMBER($M1756),ABS($M1756),0)</f>
        <v>0</v>
      </c>
      <c r="T1756" s="85" t="n">
        <v>1748</v>
      </c>
    </row>
    <row r="1757">
      <c r="B1757" s="83" t="n"/>
      <c r="C1757" s="83" t="n"/>
      <c r="D1757" s="83" t="n"/>
      <c r="E1757" s="83" t="n"/>
      <c r="F1757" s="83" t="n"/>
      <c r="G1757" s="83" t="n"/>
      <c r="H1757" s="83" t="n"/>
      <c r="I1757" s="83" t="n"/>
      <c r="J1757" s="83" t="n"/>
      <c r="K1757" s="83" t="n"/>
      <c r="L1757" s="83" t="n"/>
      <c r="M1757" s="83" t="n"/>
      <c r="O1757" s="84" t="str">
        <f>IF($C1757="","",IFERROR(MATCH($B1757&amp;"|"&amp;$C1757,MUROS!$AX$11:$AX$70,0),0))</f>
        <v/>
      </c>
      <c r="P1757" s="84" t="str">
        <f>IF($D1757="","",IF(ISNUMBER(MATCH($D1757,CMB_S,0)),1,IF(ISNUMBER(MATCH($D1757,CMB_G,0)),2,0)))</f>
        <v/>
      </c>
      <c r="Q1757" s="84">
        <f>IF(ISNUMBER($H1757),-$H1757,0)</f>
        <v>0</v>
      </c>
      <c r="R1757" s="84">
        <f>IF(ISNUMBER($I1757),ABS($I1757),0)</f>
        <v>0</v>
      </c>
      <c r="S1757" s="84">
        <f>IF(ISNUMBER($M1757),ABS($M1757),0)</f>
        <v>0</v>
      </c>
      <c r="T1757" s="85" t="n">
        <v>1749</v>
      </c>
    </row>
    <row r="1758">
      <c r="B1758" s="83" t="n"/>
      <c r="C1758" s="83" t="n"/>
      <c r="D1758" s="83" t="n"/>
      <c r="E1758" s="83" t="n"/>
      <c r="F1758" s="83" t="n"/>
      <c r="G1758" s="83" t="n"/>
      <c r="H1758" s="83" t="n"/>
      <c r="I1758" s="83" t="n"/>
      <c r="J1758" s="83" t="n"/>
      <c r="K1758" s="83" t="n"/>
      <c r="L1758" s="83" t="n"/>
      <c r="M1758" s="83" t="n"/>
      <c r="O1758" s="84" t="str">
        <f>IF($C1758="","",IFERROR(MATCH($B1758&amp;"|"&amp;$C1758,MUROS!$AX$11:$AX$70,0),0))</f>
        <v/>
      </c>
      <c r="P1758" s="84" t="str">
        <f>IF($D1758="","",IF(ISNUMBER(MATCH($D1758,CMB_S,0)),1,IF(ISNUMBER(MATCH($D1758,CMB_G,0)),2,0)))</f>
        <v/>
      </c>
      <c r="Q1758" s="84">
        <f>IF(ISNUMBER($H1758),-$H1758,0)</f>
        <v>0</v>
      </c>
      <c r="R1758" s="84">
        <f>IF(ISNUMBER($I1758),ABS($I1758),0)</f>
        <v>0</v>
      </c>
      <c r="S1758" s="84">
        <f>IF(ISNUMBER($M1758),ABS($M1758),0)</f>
        <v>0</v>
      </c>
      <c r="T1758" s="85" t="n">
        <v>1750</v>
      </c>
    </row>
    <row r="1759">
      <c r="B1759" s="83" t="n"/>
      <c r="C1759" s="83" t="n"/>
      <c r="D1759" s="83" t="n"/>
      <c r="E1759" s="83" t="n"/>
      <c r="F1759" s="83" t="n"/>
      <c r="G1759" s="83" t="n"/>
      <c r="H1759" s="83" t="n"/>
      <c r="I1759" s="83" t="n"/>
      <c r="J1759" s="83" t="n"/>
      <c r="K1759" s="83" t="n"/>
      <c r="L1759" s="83" t="n"/>
      <c r="M1759" s="83" t="n"/>
      <c r="O1759" s="84" t="str">
        <f>IF($C1759="","",IFERROR(MATCH($B1759&amp;"|"&amp;$C1759,MUROS!$AX$11:$AX$70,0),0))</f>
        <v/>
      </c>
      <c r="P1759" s="84" t="str">
        <f>IF($D1759="","",IF(ISNUMBER(MATCH($D1759,CMB_S,0)),1,IF(ISNUMBER(MATCH($D1759,CMB_G,0)),2,0)))</f>
        <v/>
      </c>
      <c r="Q1759" s="84">
        <f>IF(ISNUMBER($H1759),-$H1759,0)</f>
        <v>0</v>
      </c>
      <c r="R1759" s="84">
        <f>IF(ISNUMBER($I1759),ABS($I1759),0)</f>
        <v>0</v>
      </c>
      <c r="S1759" s="84">
        <f>IF(ISNUMBER($M1759),ABS($M1759),0)</f>
        <v>0</v>
      </c>
      <c r="T1759" s="85" t="n">
        <v>1751</v>
      </c>
    </row>
    <row r="1760">
      <c r="B1760" s="83" t="n"/>
      <c r="C1760" s="83" t="n"/>
      <c r="D1760" s="83" t="n"/>
      <c r="E1760" s="83" t="n"/>
      <c r="F1760" s="83" t="n"/>
      <c r="G1760" s="83" t="n"/>
      <c r="H1760" s="83" t="n"/>
      <c r="I1760" s="83" t="n"/>
      <c r="J1760" s="83" t="n"/>
      <c r="K1760" s="83" t="n"/>
      <c r="L1760" s="83" t="n"/>
      <c r="M1760" s="83" t="n"/>
      <c r="O1760" s="84" t="str">
        <f>IF($C1760="","",IFERROR(MATCH($B1760&amp;"|"&amp;$C1760,MUROS!$AX$11:$AX$70,0),0))</f>
        <v/>
      </c>
      <c r="P1760" s="84" t="str">
        <f>IF($D1760="","",IF(ISNUMBER(MATCH($D1760,CMB_S,0)),1,IF(ISNUMBER(MATCH($D1760,CMB_G,0)),2,0)))</f>
        <v/>
      </c>
      <c r="Q1760" s="84">
        <f>IF(ISNUMBER($H1760),-$H1760,0)</f>
        <v>0</v>
      </c>
      <c r="R1760" s="84">
        <f>IF(ISNUMBER($I1760),ABS($I1760),0)</f>
        <v>0</v>
      </c>
      <c r="S1760" s="84">
        <f>IF(ISNUMBER($M1760),ABS($M1760),0)</f>
        <v>0</v>
      </c>
      <c r="T1760" s="85" t="n">
        <v>1752</v>
      </c>
    </row>
    <row r="1761">
      <c r="B1761" s="83" t="n"/>
      <c r="C1761" s="83" t="n"/>
      <c r="D1761" s="83" t="n"/>
      <c r="E1761" s="83" t="n"/>
      <c r="F1761" s="83" t="n"/>
      <c r="G1761" s="83" t="n"/>
      <c r="H1761" s="83" t="n"/>
      <c r="I1761" s="83" t="n"/>
      <c r="J1761" s="83" t="n"/>
      <c r="K1761" s="83" t="n"/>
      <c r="L1761" s="83" t="n"/>
      <c r="M1761" s="83" t="n"/>
      <c r="O1761" s="84" t="str">
        <f>IF($C1761="","",IFERROR(MATCH($B1761&amp;"|"&amp;$C1761,MUROS!$AX$11:$AX$70,0),0))</f>
        <v/>
      </c>
      <c r="P1761" s="84" t="str">
        <f>IF($D1761="","",IF(ISNUMBER(MATCH($D1761,CMB_S,0)),1,IF(ISNUMBER(MATCH($D1761,CMB_G,0)),2,0)))</f>
        <v/>
      </c>
      <c r="Q1761" s="84">
        <f>IF(ISNUMBER($H1761),-$H1761,0)</f>
        <v>0</v>
      </c>
      <c r="R1761" s="84">
        <f>IF(ISNUMBER($I1761),ABS($I1761),0)</f>
        <v>0</v>
      </c>
      <c r="S1761" s="84">
        <f>IF(ISNUMBER($M1761),ABS($M1761),0)</f>
        <v>0</v>
      </c>
      <c r="T1761" s="85" t="n">
        <v>1753</v>
      </c>
    </row>
    <row r="1762">
      <c r="B1762" s="83" t="n"/>
      <c r="C1762" s="83" t="n"/>
      <c r="D1762" s="83" t="n"/>
      <c r="E1762" s="83" t="n"/>
      <c r="F1762" s="83" t="n"/>
      <c r="G1762" s="83" t="n"/>
      <c r="H1762" s="83" t="n"/>
      <c r="I1762" s="83" t="n"/>
      <c r="J1762" s="83" t="n"/>
      <c r="K1762" s="83" t="n"/>
      <c r="L1762" s="83" t="n"/>
      <c r="M1762" s="83" t="n"/>
      <c r="O1762" s="84" t="str">
        <f>IF($C1762="","",IFERROR(MATCH($B1762&amp;"|"&amp;$C1762,MUROS!$AX$11:$AX$70,0),0))</f>
        <v/>
      </c>
      <c r="P1762" s="84" t="str">
        <f>IF($D1762="","",IF(ISNUMBER(MATCH($D1762,CMB_S,0)),1,IF(ISNUMBER(MATCH($D1762,CMB_G,0)),2,0)))</f>
        <v/>
      </c>
      <c r="Q1762" s="84">
        <f>IF(ISNUMBER($H1762),-$H1762,0)</f>
        <v>0</v>
      </c>
      <c r="R1762" s="84">
        <f>IF(ISNUMBER($I1762),ABS($I1762),0)</f>
        <v>0</v>
      </c>
      <c r="S1762" s="84">
        <f>IF(ISNUMBER($M1762),ABS($M1762),0)</f>
        <v>0</v>
      </c>
      <c r="T1762" s="85" t="n">
        <v>1754</v>
      </c>
    </row>
    <row r="1763">
      <c r="B1763" s="83" t="n"/>
      <c r="C1763" s="83" t="n"/>
      <c r="D1763" s="83" t="n"/>
      <c r="E1763" s="83" t="n"/>
      <c r="F1763" s="83" t="n"/>
      <c r="G1763" s="83" t="n"/>
      <c r="H1763" s="83" t="n"/>
      <c r="I1763" s="83" t="n"/>
      <c r="J1763" s="83" t="n"/>
      <c r="K1763" s="83" t="n"/>
      <c r="L1763" s="83" t="n"/>
      <c r="M1763" s="83" t="n"/>
      <c r="O1763" s="84" t="str">
        <f>IF($C1763="","",IFERROR(MATCH($B1763&amp;"|"&amp;$C1763,MUROS!$AX$11:$AX$70,0),0))</f>
        <v/>
      </c>
      <c r="P1763" s="84" t="str">
        <f>IF($D1763="","",IF(ISNUMBER(MATCH($D1763,CMB_S,0)),1,IF(ISNUMBER(MATCH($D1763,CMB_G,0)),2,0)))</f>
        <v/>
      </c>
      <c r="Q1763" s="84">
        <f>IF(ISNUMBER($H1763),-$H1763,0)</f>
        <v>0</v>
      </c>
      <c r="R1763" s="84">
        <f>IF(ISNUMBER($I1763),ABS($I1763),0)</f>
        <v>0</v>
      </c>
      <c r="S1763" s="84">
        <f>IF(ISNUMBER($M1763),ABS($M1763),0)</f>
        <v>0</v>
      </c>
      <c r="T1763" s="85" t="n">
        <v>1755</v>
      </c>
    </row>
    <row r="1764">
      <c r="B1764" s="83" t="n"/>
      <c r="C1764" s="83" t="n"/>
      <c r="D1764" s="83" t="n"/>
      <c r="E1764" s="83" t="n"/>
      <c r="F1764" s="83" t="n"/>
      <c r="G1764" s="83" t="n"/>
      <c r="H1764" s="83" t="n"/>
      <c r="I1764" s="83" t="n"/>
      <c r="J1764" s="83" t="n"/>
      <c r="K1764" s="83" t="n"/>
      <c r="L1764" s="83" t="n"/>
      <c r="M1764" s="83" t="n"/>
      <c r="O1764" s="84" t="str">
        <f>IF($C1764="","",IFERROR(MATCH($B1764&amp;"|"&amp;$C1764,MUROS!$AX$11:$AX$70,0),0))</f>
        <v/>
      </c>
      <c r="P1764" s="84" t="str">
        <f>IF($D1764="","",IF(ISNUMBER(MATCH($D1764,CMB_S,0)),1,IF(ISNUMBER(MATCH($D1764,CMB_G,0)),2,0)))</f>
        <v/>
      </c>
      <c r="Q1764" s="84">
        <f>IF(ISNUMBER($H1764),-$H1764,0)</f>
        <v>0</v>
      </c>
      <c r="R1764" s="84">
        <f>IF(ISNUMBER($I1764),ABS($I1764),0)</f>
        <v>0</v>
      </c>
      <c r="S1764" s="84">
        <f>IF(ISNUMBER($M1764),ABS($M1764),0)</f>
        <v>0</v>
      </c>
      <c r="T1764" s="85" t="n">
        <v>1756</v>
      </c>
    </row>
    <row r="1765">
      <c r="B1765" s="83" t="n"/>
      <c r="C1765" s="83" t="n"/>
      <c r="D1765" s="83" t="n"/>
      <c r="E1765" s="83" t="n"/>
      <c r="F1765" s="83" t="n"/>
      <c r="G1765" s="83" t="n"/>
      <c r="H1765" s="83" t="n"/>
      <c r="I1765" s="83" t="n"/>
      <c r="J1765" s="83" t="n"/>
      <c r="K1765" s="83" t="n"/>
      <c r="L1765" s="83" t="n"/>
      <c r="M1765" s="83" t="n"/>
      <c r="O1765" s="84" t="str">
        <f>IF($C1765="","",IFERROR(MATCH($B1765&amp;"|"&amp;$C1765,MUROS!$AX$11:$AX$70,0),0))</f>
        <v/>
      </c>
      <c r="P1765" s="84" t="str">
        <f>IF($D1765="","",IF(ISNUMBER(MATCH($D1765,CMB_S,0)),1,IF(ISNUMBER(MATCH($D1765,CMB_G,0)),2,0)))</f>
        <v/>
      </c>
      <c r="Q1765" s="84">
        <f>IF(ISNUMBER($H1765),-$H1765,0)</f>
        <v>0</v>
      </c>
      <c r="R1765" s="84">
        <f>IF(ISNUMBER($I1765),ABS($I1765),0)</f>
        <v>0</v>
      </c>
      <c r="S1765" s="84">
        <f>IF(ISNUMBER($M1765),ABS($M1765),0)</f>
        <v>0</v>
      </c>
      <c r="T1765" s="85" t="n">
        <v>1757</v>
      </c>
    </row>
    <row r="1766">
      <c r="B1766" s="83" t="n"/>
      <c r="C1766" s="83" t="n"/>
      <c r="D1766" s="83" t="n"/>
      <c r="E1766" s="83" t="n"/>
      <c r="F1766" s="83" t="n"/>
      <c r="G1766" s="83" t="n"/>
      <c r="H1766" s="83" t="n"/>
      <c r="I1766" s="83" t="n"/>
      <c r="J1766" s="83" t="n"/>
      <c r="K1766" s="83" t="n"/>
      <c r="L1766" s="83" t="n"/>
      <c r="M1766" s="83" t="n"/>
      <c r="O1766" s="84" t="str">
        <f>IF($C1766="","",IFERROR(MATCH($B1766&amp;"|"&amp;$C1766,MUROS!$AX$11:$AX$70,0),0))</f>
        <v/>
      </c>
      <c r="P1766" s="84" t="str">
        <f>IF($D1766="","",IF(ISNUMBER(MATCH($D1766,CMB_S,0)),1,IF(ISNUMBER(MATCH($D1766,CMB_G,0)),2,0)))</f>
        <v/>
      </c>
      <c r="Q1766" s="84">
        <f>IF(ISNUMBER($H1766),-$H1766,0)</f>
        <v>0</v>
      </c>
      <c r="R1766" s="84">
        <f>IF(ISNUMBER($I1766),ABS($I1766),0)</f>
        <v>0</v>
      </c>
      <c r="S1766" s="84">
        <f>IF(ISNUMBER($M1766),ABS($M1766),0)</f>
        <v>0</v>
      </c>
      <c r="T1766" s="85" t="n">
        <v>1758</v>
      </c>
    </row>
    <row r="1767">
      <c r="B1767" s="83" t="n"/>
      <c r="C1767" s="83" t="n"/>
      <c r="D1767" s="83" t="n"/>
      <c r="E1767" s="83" t="n"/>
      <c r="F1767" s="83" t="n"/>
      <c r="G1767" s="83" t="n"/>
      <c r="H1767" s="83" t="n"/>
      <c r="I1767" s="83" t="n"/>
      <c r="J1767" s="83" t="n"/>
      <c r="K1767" s="83" t="n"/>
      <c r="L1767" s="83" t="n"/>
      <c r="M1767" s="83" t="n"/>
      <c r="O1767" s="84" t="str">
        <f>IF($C1767="","",IFERROR(MATCH($B1767&amp;"|"&amp;$C1767,MUROS!$AX$11:$AX$70,0),0))</f>
        <v/>
      </c>
      <c r="P1767" s="84" t="str">
        <f>IF($D1767="","",IF(ISNUMBER(MATCH($D1767,CMB_S,0)),1,IF(ISNUMBER(MATCH($D1767,CMB_G,0)),2,0)))</f>
        <v/>
      </c>
      <c r="Q1767" s="84">
        <f>IF(ISNUMBER($H1767),-$H1767,0)</f>
        <v>0</v>
      </c>
      <c r="R1767" s="84">
        <f>IF(ISNUMBER($I1767),ABS($I1767),0)</f>
        <v>0</v>
      </c>
      <c r="S1767" s="84">
        <f>IF(ISNUMBER($M1767),ABS($M1767),0)</f>
        <v>0</v>
      </c>
      <c r="T1767" s="85" t="n">
        <v>1759</v>
      </c>
    </row>
    <row r="1768">
      <c r="B1768" s="83" t="n"/>
      <c r="C1768" s="83" t="n"/>
      <c r="D1768" s="83" t="n"/>
      <c r="E1768" s="83" t="n"/>
      <c r="F1768" s="83" t="n"/>
      <c r="G1768" s="83" t="n"/>
      <c r="H1768" s="83" t="n"/>
      <c r="I1768" s="83" t="n"/>
      <c r="J1768" s="83" t="n"/>
      <c r="K1768" s="83" t="n"/>
      <c r="L1768" s="83" t="n"/>
      <c r="M1768" s="83" t="n"/>
      <c r="O1768" s="84" t="str">
        <f>IF($C1768="","",IFERROR(MATCH($B1768&amp;"|"&amp;$C1768,MUROS!$AX$11:$AX$70,0),0))</f>
        <v/>
      </c>
      <c r="P1768" s="84" t="str">
        <f>IF($D1768="","",IF(ISNUMBER(MATCH($D1768,CMB_S,0)),1,IF(ISNUMBER(MATCH($D1768,CMB_G,0)),2,0)))</f>
        <v/>
      </c>
      <c r="Q1768" s="84">
        <f>IF(ISNUMBER($H1768),-$H1768,0)</f>
        <v>0</v>
      </c>
      <c r="R1768" s="84">
        <f>IF(ISNUMBER($I1768),ABS($I1768),0)</f>
        <v>0</v>
      </c>
      <c r="S1768" s="84">
        <f>IF(ISNUMBER($M1768),ABS($M1768),0)</f>
        <v>0</v>
      </c>
      <c r="T1768" s="85" t="n">
        <v>1760</v>
      </c>
    </row>
    <row r="1769">
      <c r="B1769" s="83" t="n"/>
      <c r="C1769" s="83" t="n"/>
      <c r="D1769" s="83" t="n"/>
      <c r="E1769" s="83" t="n"/>
      <c r="F1769" s="83" t="n"/>
      <c r="G1769" s="83" t="n"/>
      <c r="H1769" s="83" t="n"/>
      <c r="I1769" s="83" t="n"/>
      <c r="J1769" s="83" t="n"/>
      <c r="K1769" s="83" t="n"/>
      <c r="L1769" s="83" t="n"/>
      <c r="M1769" s="83" t="n"/>
      <c r="O1769" s="84" t="str">
        <f>IF($C1769="","",IFERROR(MATCH($B1769&amp;"|"&amp;$C1769,MUROS!$AX$11:$AX$70,0),0))</f>
        <v/>
      </c>
      <c r="P1769" s="84" t="str">
        <f>IF($D1769="","",IF(ISNUMBER(MATCH($D1769,CMB_S,0)),1,IF(ISNUMBER(MATCH($D1769,CMB_G,0)),2,0)))</f>
        <v/>
      </c>
      <c r="Q1769" s="84">
        <f>IF(ISNUMBER($H1769),-$H1769,0)</f>
        <v>0</v>
      </c>
      <c r="R1769" s="84">
        <f>IF(ISNUMBER($I1769),ABS($I1769),0)</f>
        <v>0</v>
      </c>
      <c r="S1769" s="84">
        <f>IF(ISNUMBER($M1769),ABS($M1769),0)</f>
        <v>0</v>
      </c>
      <c r="T1769" s="85" t="n">
        <v>1761</v>
      </c>
    </row>
    <row r="1770">
      <c r="B1770" s="83" t="n"/>
      <c r="C1770" s="83" t="n"/>
      <c r="D1770" s="83" t="n"/>
      <c r="E1770" s="83" t="n"/>
      <c r="F1770" s="83" t="n"/>
      <c r="G1770" s="83" t="n"/>
      <c r="H1770" s="83" t="n"/>
      <c r="I1770" s="83" t="n"/>
      <c r="J1770" s="83" t="n"/>
      <c r="K1770" s="83" t="n"/>
      <c r="L1770" s="83" t="n"/>
      <c r="M1770" s="83" t="n"/>
      <c r="O1770" s="84" t="str">
        <f>IF($C1770="","",IFERROR(MATCH($B1770&amp;"|"&amp;$C1770,MUROS!$AX$11:$AX$70,0),0))</f>
        <v/>
      </c>
      <c r="P1770" s="84" t="str">
        <f>IF($D1770="","",IF(ISNUMBER(MATCH($D1770,CMB_S,0)),1,IF(ISNUMBER(MATCH($D1770,CMB_G,0)),2,0)))</f>
        <v/>
      </c>
      <c r="Q1770" s="84">
        <f>IF(ISNUMBER($H1770),-$H1770,0)</f>
        <v>0</v>
      </c>
      <c r="R1770" s="84">
        <f>IF(ISNUMBER($I1770),ABS($I1770),0)</f>
        <v>0</v>
      </c>
      <c r="S1770" s="84">
        <f>IF(ISNUMBER($M1770),ABS($M1770),0)</f>
        <v>0</v>
      </c>
      <c r="T1770" s="85" t="n">
        <v>1762</v>
      </c>
    </row>
    <row r="1771">
      <c r="B1771" s="83" t="n"/>
      <c r="C1771" s="83" t="n"/>
      <c r="D1771" s="83" t="n"/>
      <c r="E1771" s="83" t="n"/>
      <c r="F1771" s="83" t="n"/>
      <c r="G1771" s="83" t="n"/>
      <c r="H1771" s="83" t="n"/>
      <c r="I1771" s="83" t="n"/>
      <c r="J1771" s="83" t="n"/>
      <c r="K1771" s="83" t="n"/>
      <c r="L1771" s="83" t="n"/>
      <c r="M1771" s="83" t="n"/>
      <c r="O1771" s="84" t="str">
        <f>IF($C1771="","",IFERROR(MATCH($B1771&amp;"|"&amp;$C1771,MUROS!$AX$11:$AX$70,0),0))</f>
        <v/>
      </c>
      <c r="P1771" s="84" t="str">
        <f>IF($D1771="","",IF(ISNUMBER(MATCH($D1771,CMB_S,0)),1,IF(ISNUMBER(MATCH($D1771,CMB_G,0)),2,0)))</f>
        <v/>
      </c>
      <c r="Q1771" s="84">
        <f>IF(ISNUMBER($H1771),-$H1771,0)</f>
        <v>0</v>
      </c>
      <c r="R1771" s="84">
        <f>IF(ISNUMBER($I1771),ABS($I1771),0)</f>
        <v>0</v>
      </c>
      <c r="S1771" s="84">
        <f>IF(ISNUMBER($M1771),ABS($M1771),0)</f>
        <v>0</v>
      </c>
      <c r="T1771" s="85" t="n">
        <v>1763</v>
      </c>
    </row>
    <row r="1772">
      <c r="B1772" s="83" t="n"/>
      <c r="C1772" s="83" t="n"/>
      <c r="D1772" s="83" t="n"/>
      <c r="E1772" s="83" t="n"/>
      <c r="F1772" s="83" t="n"/>
      <c r="G1772" s="83" t="n"/>
      <c r="H1772" s="83" t="n"/>
      <c r="I1772" s="83" t="n"/>
      <c r="J1772" s="83" t="n"/>
      <c r="K1772" s="83" t="n"/>
      <c r="L1772" s="83" t="n"/>
      <c r="M1772" s="83" t="n"/>
      <c r="O1772" s="84" t="str">
        <f>IF($C1772="","",IFERROR(MATCH($B1772&amp;"|"&amp;$C1772,MUROS!$AX$11:$AX$70,0),0))</f>
        <v/>
      </c>
      <c r="P1772" s="84" t="str">
        <f>IF($D1772="","",IF(ISNUMBER(MATCH($D1772,CMB_S,0)),1,IF(ISNUMBER(MATCH($D1772,CMB_G,0)),2,0)))</f>
        <v/>
      </c>
      <c r="Q1772" s="84">
        <f>IF(ISNUMBER($H1772),-$H1772,0)</f>
        <v>0</v>
      </c>
      <c r="R1772" s="84">
        <f>IF(ISNUMBER($I1772),ABS($I1772),0)</f>
        <v>0</v>
      </c>
      <c r="S1772" s="84">
        <f>IF(ISNUMBER($M1772),ABS($M1772),0)</f>
        <v>0</v>
      </c>
      <c r="T1772" s="85" t="n">
        <v>1764</v>
      </c>
    </row>
    <row r="1773">
      <c r="B1773" s="83" t="n"/>
      <c r="C1773" s="83" t="n"/>
      <c r="D1773" s="83" t="n"/>
      <c r="E1773" s="83" t="n"/>
      <c r="F1773" s="83" t="n"/>
      <c r="G1773" s="83" t="n"/>
      <c r="H1773" s="83" t="n"/>
      <c r="I1773" s="83" t="n"/>
      <c r="J1773" s="83" t="n"/>
      <c r="K1773" s="83" t="n"/>
      <c r="L1773" s="83" t="n"/>
      <c r="M1773" s="83" t="n"/>
      <c r="O1773" s="84" t="str">
        <f>IF($C1773="","",IFERROR(MATCH($B1773&amp;"|"&amp;$C1773,MUROS!$AX$11:$AX$70,0),0))</f>
        <v/>
      </c>
      <c r="P1773" s="84" t="str">
        <f>IF($D1773="","",IF(ISNUMBER(MATCH($D1773,CMB_S,0)),1,IF(ISNUMBER(MATCH($D1773,CMB_G,0)),2,0)))</f>
        <v/>
      </c>
      <c r="Q1773" s="84">
        <f>IF(ISNUMBER($H1773),-$H1773,0)</f>
        <v>0</v>
      </c>
      <c r="R1773" s="84">
        <f>IF(ISNUMBER($I1773),ABS($I1773),0)</f>
        <v>0</v>
      </c>
      <c r="S1773" s="84">
        <f>IF(ISNUMBER($M1773),ABS($M1773),0)</f>
        <v>0</v>
      </c>
      <c r="T1773" s="85" t="n">
        <v>1765</v>
      </c>
    </row>
    <row r="1774">
      <c r="B1774" s="83" t="n"/>
      <c r="C1774" s="83" t="n"/>
      <c r="D1774" s="83" t="n"/>
      <c r="E1774" s="83" t="n"/>
      <c r="F1774" s="83" t="n"/>
      <c r="G1774" s="83" t="n"/>
      <c r="H1774" s="83" t="n"/>
      <c r="I1774" s="83" t="n"/>
      <c r="J1774" s="83" t="n"/>
      <c r="K1774" s="83" t="n"/>
      <c r="L1774" s="83" t="n"/>
      <c r="M1774" s="83" t="n"/>
      <c r="O1774" s="84" t="str">
        <f>IF($C1774="","",IFERROR(MATCH($B1774&amp;"|"&amp;$C1774,MUROS!$AX$11:$AX$70,0),0))</f>
        <v/>
      </c>
      <c r="P1774" s="84" t="str">
        <f>IF($D1774="","",IF(ISNUMBER(MATCH($D1774,CMB_S,0)),1,IF(ISNUMBER(MATCH($D1774,CMB_G,0)),2,0)))</f>
        <v/>
      </c>
      <c r="Q1774" s="84">
        <f>IF(ISNUMBER($H1774),-$H1774,0)</f>
        <v>0</v>
      </c>
      <c r="R1774" s="84">
        <f>IF(ISNUMBER($I1774),ABS($I1774),0)</f>
        <v>0</v>
      </c>
      <c r="S1774" s="84">
        <f>IF(ISNUMBER($M1774),ABS($M1774),0)</f>
        <v>0</v>
      </c>
      <c r="T1774" s="85" t="n">
        <v>1766</v>
      </c>
    </row>
    <row r="1775">
      <c r="B1775" s="83" t="n"/>
      <c r="C1775" s="83" t="n"/>
      <c r="D1775" s="83" t="n"/>
      <c r="E1775" s="83" t="n"/>
      <c r="F1775" s="83" t="n"/>
      <c r="G1775" s="83" t="n"/>
      <c r="H1775" s="83" t="n"/>
      <c r="I1775" s="83" t="n"/>
      <c r="J1775" s="83" t="n"/>
      <c r="K1775" s="83" t="n"/>
      <c r="L1775" s="83" t="n"/>
      <c r="M1775" s="83" t="n"/>
      <c r="O1775" s="84" t="str">
        <f>IF($C1775="","",IFERROR(MATCH($B1775&amp;"|"&amp;$C1775,MUROS!$AX$11:$AX$70,0),0))</f>
        <v/>
      </c>
      <c r="P1775" s="84" t="str">
        <f>IF($D1775="","",IF(ISNUMBER(MATCH($D1775,CMB_S,0)),1,IF(ISNUMBER(MATCH($D1775,CMB_G,0)),2,0)))</f>
        <v/>
      </c>
      <c r="Q1775" s="84">
        <f>IF(ISNUMBER($H1775),-$H1775,0)</f>
        <v>0</v>
      </c>
      <c r="R1775" s="84">
        <f>IF(ISNUMBER($I1775),ABS($I1775),0)</f>
        <v>0</v>
      </c>
      <c r="S1775" s="84">
        <f>IF(ISNUMBER($M1775),ABS($M1775),0)</f>
        <v>0</v>
      </c>
      <c r="T1775" s="85" t="n">
        <v>1767</v>
      </c>
    </row>
    <row r="1776">
      <c r="B1776" s="83" t="n"/>
      <c r="C1776" s="83" t="n"/>
      <c r="D1776" s="83" t="n"/>
      <c r="E1776" s="83" t="n"/>
      <c r="F1776" s="83" t="n"/>
      <c r="G1776" s="83" t="n"/>
      <c r="H1776" s="83" t="n"/>
      <c r="I1776" s="83" t="n"/>
      <c r="J1776" s="83" t="n"/>
      <c r="K1776" s="83" t="n"/>
      <c r="L1776" s="83" t="n"/>
      <c r="M1776" s="83" t="n"/>
      <c r="O1776" s="84" t="str">
        <f>IF($C1776="","",IFERROR(MATCH($B1776&amp;"|"&amp;$C1776,MUROS!$AX$11:$AX$70,0),0))</f>
        <v/>
      </c>
      <c r="P1776" s="84" t="str">
        <f>IF($D1776="","",IF(ISNUMBER(MATCH($D1776,CMB_S,0)),1,IF(ISNUMBER(MATCH($D1776,CMB_G,0)),2,0)))</f>
        <v/>
      </c>
      <c r="Q1776" s="84">
        <f>IF(ISNUMBER($H1776),-$H1776,0)</f>
        <v>0</v>
      </c>
      <c r="R1776" s="84">
        <f>IF(ISNUMBER($I1776),ABS($I1776),0)</f>
        <v>0</v>
      </c>
      <c r="S1776" s="84">
        <f>IF(ISNUMBER($M1776),ABS($M1776),0)</f>
        <v>0</v>
      </c>
      <c r="T1776" s="85" t="n">
        <v>1768</v>
      </c>
    </row>
    <row r="1777">
      <c r="B1777" s="83" t="n"/>
      <c r="C1777" s="83" t="n"/>
      <c r="D1777" s="83" t="n"/>
      <c r="E1777" s="83" t="n"/>
      <c r="F1777" s="83" t="n"/>
      <c r="G1777" s="83" t="n"/>
      <c r="H1777" s="83" t="n"/>
      <c r="I1777" s="83" t="n"/>
      <c r="J1777" s="83" t="n"/>
      <c r="K1777" s="83" t="n"/>
      <c r="L1777" s="83" t="n"/>
      <c r="M1777" s="83" t="n"/>
      <c r="O1777" s="84" t="str">
        <f>IF($C1777="","",IFERROR(MATCH($B1777&amp;"|"&amp;$C1777,MUROS!$AX$11:$AX$70,0),0))</f>
        <v/>
      </c>
      <c r="P1777" s="84" t="str">
        <f>IF($D1777="","",IF(ISNUMBER(MATCH($D1777,CMB_S,0)),1,IF(ISNUMBER(MATCH($D1777,CMB_G,0)),2,0)))</f>
        <v/>
      </c>
      <c r="Q1777" s="84">
        <f>IF(ISNUMBER($H1777),-$H1777,0)</f>
        <v>0</v>
      </c>
      <c r="R1777" s="84">
        <f>IF(ISNUMBER($I1777),ABS($I1777),0)</f>
        <v>0</v>
      </c>
      <c r="S1777" s="84">
        <f>IF(ISNUMBER($M1777),ABS($M1777),0)</f>
        <v>0</v>
      </c>
      <c r="T1777" s="85" t="n">
        <v>1769</v>
      </c>
    </row>
    <row r="1778">
      <c r="B1778" s="83" t="n"/>
      <c r="C1778" s="83" t="n"/>
      <c r="D1778" s="83" t="n"/>
      <c r="E1778" s="83" t="n"/>
      <c r="F1778" s="83" t="n"/>
      <c r="G1778" s="83" t="n"/>
      <c r="H1778" s="83" t="n"/>
      <c r="I1778" s="83" t="n"/>
      <c r="J1778" s="83" t="n"/>
      <c r="K1778" s="83" t="n"/>
      <c r="L1778" s="83" t="n"/>
      <c r="M1778" s="83" t="n"/>
      <c r="O1778" s="84" t="str">
        <f>IF($C1778="","",IFERROR(MATCH($B1778&amp;"|"&amp;$C1778,MUROS!$AX$11:$AX$70,0),0))</f>
        <v/>
      </c>
      <c r="P1778" s="84" t="str">
        <f>IF($D1778="","",IF(ISNUMBER(MATCH($D1778,CMB_S,0)),1,IF(ISNUMBER(MATCH($D1778,CMB_G,0)),2,0)))</f>
        <v/>
      </c>
      <c r="Q1778" s="84">
        <f>IF(ISNUMBER($H1778),-$H1778,0)</f>
        <v>0</v>
      </c>
      <c r="R1778" s="84">
        <f>IF(ISNUMBER($I1778),ABS($I1778),0)</f>
        <v>0</v>
      </c>
      <c r="S1778" s="84">
        <f>IF(ISNUMBER($M1778),ABS($M1778),0)</f>
        <v>0</v>
      </c>
      <c r="T1778" s="85" t="n">
        <v>1770</v>
      </c>
    </row>
    <row r="1779">
      <c r="B1779" s="83" t="n"/>
      <c r="C1779" s="83" t="n"/>
      <c r="D1779" s="83" t="n"/>
      <c r="E1779" s="83" t="n"/>
      <c r="F1779" s="83" t="n"/>
      <c r="G1779" s="83" t="n"/>
      <c r="H1779" s="83" t="n"/>
      <c r="I1779" s="83" t="n"/>
      <c r="J1779" s="83" t="n"/>
      <c r="K1779" s="83" t="n"/>
      <c r="L1779" s="83" t="n"/>
      <c r="M1779" s="83" t="n"/>
      <c r="O1779" s="84" t="str">
        <f>IF($C1779="","",IFERROR(MATCH($B1779&amp;"|"&amp;$C1779,MUROS!$AX$11:$AX$70,0),0))</f>
        <v/>
      </c>
      <c r="P1779" s="84" t="str">
        <f>IF($D1779="","",IF(ISNUMBER(MATCH($D1779,CMB_S,0)),1,IF(ISNUMBER(MATCH($D1779,CMB_G,0)),2,0)))</f>
        <v/>
      </c>
      <c r="Q1779" s="84">
        <f>IF(ISNUMBER($H1779),-$H1779,0)</f>
        <v>0</v>
      </c>
      <c r="R1779" s="84">
        <f>IF(ISNUMBER($I1779),ABS($I1779),0)</f>
        <v>0</v>
      </c>
      <c r="S1779" s="84">
        <f>IF(ISNUMBER($M1779),ABS($M1779),0)</f>
        <v>0</v>
      </c>
      <c r="T1779" s="85" t="n">
        <v>1771</v>
      </c>
    </row>
    <row r="1780">
      <c r="B1780" s="83" t="n"/>
      <c r="C1780" s="83" t="n"/>
      <c r="D1780" s="83" t="n"/>
      <c r="E1780" s="83" t="n"/>
      <c r="F1780" s="83" t="n"/>
      <c r="G1780" s="83" t="n"/>
      <c r="H1780" s="83" t="n"/>
      <c r="I1780" s="83" t="n"/>
      <c r="J1780" s="83" t="n"/>
      <c r="K1780" s="83" t="n"/>
      <c r="L1780" s="83" t="n"/>
      <c r="M1780" s="83" t="n"/>
      <c r="O1780" s="84" t="str">
        <f>IF($C1780="","",IFERROR(MATCH($B1780&amp;"|"&amp;$C1780,MUROS!$AX$11:$AX$70,0),0))</f>
        <v/>
      </c>
      <c r="P1780" s="84" t="str">
        <f>IF($D1780="","",IF(ISNUMBER(MATCH($D1780,CMB_S,0)),1,IF(ISNUMBER(MATCH($D1780,CMB_G,0)),2,0)))</f>
        <v/>
      </c>
      <c r="Q1780" s="84">
        <f>IF(ISNUMBER($H1780),-$H1780,0)</f>
        <v>0</v>
      </c>
      <c r="R1780" s="84">
        <f>IF(ISNUMBER($I1780),ABS($I1780),0)</f>
        <v>0</v>
      </c>
      <c r="S1780" s="84">
        <f>IF(ISNUMBER($M1780),ABS($M1780),0)</f>
        <v>0</v>
      </c>
      <c r="T1780" s="85" t="n">
        <v>1772</v>
      </c>
    </row>
    <row r="1781">
      <c r="B1781" s="83" t="n"/>
      <c r="C1781" s="83" t="n"/>
      <c r="D1781" s="83" t="n"/>
      <c r="E1781" s="83" t="n"/>
      <c r="F1781" s="83" t="n"/>
      <c r="G1781" s="83" t="n"/>
      <c r="H1781" s="83" t="n"/>
      <c r="I1781" s="83" t="n"/>
      <c r="J1781" s="83" t="n"/>
      <c r="K1781" s="83" t="n"/>
      <c r="L1781" s="83" t="n"/>
      <c r="M1781" s="83" t="n"/>
      <c r="O1781" s="84" t="str">
        <f>IF($C1781="","",IFERROR(MATCH($B1781&amp;"|"&amp;$C1781,MUROS!$AX$11:$AX$70,0),0))</f>
        <v/>
      </c>
      <c r="P1781" s="84" t="str">
        <f>IF($D1781="","",IF(ISNUMBER(MATCH($D1781,CMB_S,0)),1,IF(ISNUMBER(MATCH($D1781,CMB_G,0)),2,0)))</f>
        <v/>
      </c>
      <c r="Q1781" s="84">
        <f>IF(ISNUMBER($H1781),-$H1781,0)</f>
        <v>0</v>
      </c>
      <c r="R1781" s="84">
        <f>IF(ISNUMBER($I1781),ABS($I1781),0)</f>
        <v>0</v>
      </c>
      <c r="S1781" s="84">
        <f>IF(ISNUMBER($M1781),ABS($M1781),0)</f>
        <v>0</v>
      </c>
      <c r="T1781" s="85" t="n">
        <v>1773</v>
      </c>
    </row>
    <row r="1782">
      <c r="B1782" s="83" t="n"/>
      <c r="C1782" s="83" t="n"/>
      <c r="D1782" s="83" t="n"/>
      <c r="E1782" s="83" t="n"/>
      <c r="F1782" s="83" t="n"/>
      <c r="G1782" s="83" t="n"/>
      <c r="H1782" s="83" t="n"/>
      <c r="I1782" s="83" t="n"/>
      <c r="J1782" s="83" t="n"/>
      <c r="K1782" s="83" t="n"/>
      <c r="L1782" s="83" t="n"/>
      <c r="M1782" s="83" t="n"/>
      <c r="O1782" s="84" t="str">
        <f>IF($C1782="","",IFERROR(MATCH($B1782&amp;"|"&amp;$C1782,MUROS!$AX$11:$AX$70,0),0))</f>
        <v/>
      </c>
      <c r="P1782" s="84" t="str">
        <f>IF($D1782="","",IF(ISNUMBER(MATCH($D1782,CMB_S,0)),1,IF(ISNUMBER(MATCH($D1782,CMB_G,0)),2,0)))</f>
        <v/>
      </c>
      <c r="Q1782" s="84">
        <f>IF(ISNUMBER($H1782),-$H1782,0)</f>
        <v>0</v>
      </c>
      <c r="R1782" s="84">
        <f>IF(ISNUMBER($I1782),ABS($I1782),0)</f>
        <v>0</v>
      </c>
      <c r="S1782" s="84">
        <f>IF(ISNUMBER($M1782),ABS($M1782),0)</f>
        <v>0</v>
      </c>
      <c r="T1782" s="85" t="n">
        <v>1774</v>
      </c>
    </row>
    <row r="1783">
      <c r="B1783" s="83" t="n"/>
      <c r="C1783" s="83" t="n"/>
      <c r="D1783" s="83" t="n"/>
      <c r="E1783" s="83" t="n"/>
      <c r="F1783" s="83" t="n"/>
      <c r="G1783" s="83" t="n"/>
      <c r="H1783" s="83" t="n"/>
      <c r="I1783" s="83" t="n"/>
      <c r="J1783" s="83" t="n"/>
      <c r="K1783" s="83" t="n"/>
      <c r="L1783" s="83" t="n"/>
      <c r="M1783" s="83" t="n"/>
      <c r="O1783" s="84" t="str">
        <f>IF($C1783="","",IFERROR(MATCH($B1783&amp;"|"&amp;$C1783,MUROS!$AX$11:$AX$70,0),0))</f>
        <v/>
      </c>
      <c r="P1783" s="84" t="str">
        <f>IF($D1783="","",IF(ISNUMBER(MATCH($D1783,CMB_S,0)),1,IF(ISNUMBER(MATCH($D1783,CMB_G,0)),2,0)))</f>
        <v/>
      </c>
      <c r="Q1783" s="84">
        <f>IF(ISNUMBER($H1783),-$H1783,0)</f>
        <v>0</v>
      </c>
      <c r="R1783" s="84">
        <f>IF(ISNUMBER($I1783),ABS($I1783),0)</f>
        <v>0</v>
      </c>
      <c r="S1783" s="84">
        <f>IF(ISNUMBER($M1783),ABS($M1783),0)</f>
        <v>0</v>
      </c>
      <c r="T1783" s="85" t="n">
        <v>1775</v>
      </c>
    </row>
    <row r="1784">
      <c r="B1784" s="83" t="n"/>
      <c r="C1784" s="83" t="n"/>
      <c r="D1784" s="83" t="n"/>
      <c r="E1784" s="83" t="n"/>
      <c r="F1784" s="83" t="n"/>
      <c r="G1784" s="83" t="n"/>
      <c r="H1784" s="83" t="n"/>
      <c r="I1784" s="83" t="n"/>
      <c r="J1784" s="83" t="n"/>
      <c r="K1784" s="83" t="n"/>
      <c r="L1784" s="83" t="n"/>
      <c r="M1784" s="83" t="n"/>
      <c r="O1784" s="84" t="str">
        <f>IF($C1784="","",IFERROR(MATCH($B1784&amp;"|"&amp;$C1784,MUROS!$AX$11:$AX$70,0),0))</f>
        <v/>
      </c>
      <c r="P1784" s="84" t="str">
        <f>IF($D1784="","",IF(ISNUMBER(MATCH($D1784,CMB_S,0)),1,IF(ISNUMBER(MATCH($D1784,CMB_G,0)),2,0)))</f>
        <v/>
      </c>
      <c r="Q1784" s="84">
        <f>IF(ISNUMBER($H1784),-$H1784,0)</f>
        <v>0</v>
      </c>
      <c r="R1784" s="84">
        <f>IF(ISNUMBER($I1784),ABS($I1784),0)</f>
        <v>0</v>
      </c>
      <c r="S1784" s="84">
        <f>IF(ISNUMBER($M1784),ABS($M1784),0)</f>
        <v>0</v>
      </c>
      <c r="T1784" s="85" t="n">
        <v>1776</v>
      </c>
    </row>
    <row r="1785">
      <c r="B1785" s="83" t="n"/>
      <c r="C1785" s="83" t="n"/>
      <c r="D1785" s="83" t="n"/>
      <c r="E1785" s="83" t="n"/>
      <c r="F1785" s="83" t="n"/>
      <c r="G1785" s="83" t="n"/>
      <c r="H1785" s="83" t="n"/>
      <c r="I1785" s="83" t="n"/>
      <c r="J1785" s="83" t="n"/>
      <c r="K1785" s="83" t="n"/>
      <c r="L1785" s="83" t="n"/>
      <c r="M1785" s="83" t="n"/>
      <c r="O1785" s="84" t="str">
        <f>IF($C1785="","",IFERROR(MATCH($B1785&amp;"|"&amp;$C1785,MUROS!$AX$11:$AX$70,0),0))</f>
        <v/>
      </c>
      <c r="P1785" s="84" t="str">
        <f>IF($D1785="","",IF(ISNUMBER(MATCH($D1785,CMB_S,0)),1,IF(ISNUMBER(MATCH($D1785,CMB_G,0)),2,0)))</f>
        <v/>
      </c>
      <c r="Q1785" s="84">
        <f>IF(ISNUMBER($H1785),-$H1785,0)</f>
        <v>0</v>
      </c>
      <c r="R1785" s="84">
        <f>IF(ISNUMBER($I1785),ABS($I1785),0)</f>
        <v>0</v>
      </c>
      <c r="S1785" s="84">
        <f>IF(ISNUMBER($M1785),ABS($M1785),0)</f>
        <v>0</v>
      </c>
      <c r="T1785" s="85" t="n">
        <v>1777</v>
      </c>
    </row>
    <row r="1786">
      <c r="B1786" s="83" t="n"/>
      <c r="C1786" s="83" t="n"/>
      <c r="D1786" s="83" t="n"/>
      <c r="E1786" s="83" t="n"/>
      <c r="F1786" s="83" t="n"/>
      <c r="G1786" s="83" t="n"/>
      <c r="H1786" s="83" t="n"/>
      <c r="I1786" s="83" t="n"/>
      <c r="J1786" s="83" t="n"/>
      <c r="K1786" s="83" t="n"/>
      <c r="L1786" s="83" t="n"/>
      <c r="M1786" s="83" t="n"/>
      <c r="O1786" s="84" t="str">
        <f>IF($C1786="","",IFERROR(MATCH($B1786&amp;"|"&amp;$C1786,MUROS!$AX$11:$AX$70,0),0))</f>
        <v/>
      </c>
      <c r="P1786" s="84" t="str">
        <f>IF($D1786="","",IF(ISNUMBER(MATCH($D1786,CMB_S,0)),1,IF(ISNUMBER(MATCH($D1786,CMB_G,0)),2,0)))</f>
        <v/>
      </c>
      <c r="Q1786" s="84">
        <f>IF(ISNUMBER($H1786),-$H1786,0)</f>
        <v>0</v>
      </c>
      <c r="R1786" s="84">
        <f>IF(ISNUMBER($I1786),ABS($I1786),0)</f>
        <v>0</v>
      </c>
      <c r="S1786" s="84">
        <f>IF(ISNUMBER($M1786),ABS($M1786),0)</f>
        <v>0</v>
      </c>
      <c r="T1786" s="85" t="n">
        <v>1778</v>
      </c>
    </row>
    <row r="1787">
      <c r="B1787" s="83" t="n"/>
      <c r="C1787" s="83" t="n"/>
      <c r="D1787" s="83" t="n"/>
      <c r="E1787" s="83" t="n"/>
      <c r="F1787" s="83" t="n"/>
      <c r="G1787" s="83" t="n"/>
      <c r="H1787" s="83" t="n"/>
      <c r="I1787" s="83" t="n"/>
      <c r="J1787" s="83" t="n"/>
      <c r="K1787" s="83" t="n"/>
      <c r="L1787" s="83" t="n"/>
      <c r="M1787" s="83" t="n"/>
      <c r="O1787" s="84" t="str">
        <f>IF($C1787="","",IFERROR(MATCH($B1787&amp;"|"&amp;$C1787,MUROS!$AX$11:$AX$70,0),0))</f>
        <v/>
      </c>
      <c r="P1787" s="84" t="str">
        <f>IF($D1787="","",IF(ISNUMBER(MATCH($D1787,CMB_S,0)),1,IF(ISNUMBER(MATCH($D1787,CMB_G,0)),2,0)))</f>
        <v/>
      </c>
      <c r="Q1787" s="84">
        <f>IF(ISNUMBER($H1787),-$H1787,0)</f>
        <v>0</v>
      </c>
      <c r="R1787" s="84">
        <f>IF(ISNUMBER($I1787),ABS($I1787),0)</f>
        <v>0</v>
      </c>
      <c r="S1787" s="84">
        <f>IF(ISNUMBER($M1787),ABS($M1787),0)</f>
        <v>0</v>
      </c>
      <c r="T1787" s="85" t="n">
        <v>1779</v>
      </c>
    </row>
    <row r="1788">
      <c r="B1788" s="83" t="n"/>
      <c r="C1788" s="83" t="n"/>
      <c r="D1788" s="83" t="n"/>
      <c r="E1788" s="83" t="n"/>
      <c r="F1788" s="83" t="n"/>
      <c r="G1788" s="83" t="n"/>
      <c r="H1788" s="83" t="n"/>
      <c r="I1788" s="83" t="n"/>
      <c r="J1788" s="83" t="n"/>
      <c r="K1788" s="83" t="n"/>
      <c r="L1788" s="83" t="n"/>
      <c r="M1788" s="83" t="n"/>
      <c r="O1788" s="84" t="str">
        <f>IF($C1788="","",IFERROR(MATCH($B1788&amp;"|"&amp;$C1788,MUROS!$AX$11:$AX$70,0),0))</f>
        <v/>
      </c>
      <c r="P1788" s="84" t="str">
        <f>IF($D1788="","",IF(ISNUMBER(MATCH($D1788,CMB_S,0)),1,IF(ISNUMBER(MATCH($D1788,CMB_G,0)),2,0)))</f>
        <v/>
      </c>
      <c r="Q1788" s="84">
        <f>IF(ISNUMBER($H1788),-$H1788,0)</f>
        <v>0</v>
      </c>
      <c r="R1788" s="84">
        <f>IF(ISNUMBER($I1788),ABS($I1788),0)</f>
        <v>0</v>
      </c>
      <c r="S1788" s="84">
        <f>IF(ISNUMBER($M1788),ABS($M1788),0)</f>
        <v>0</v>
      </c>
      <c r="T1788" s="85" t="n">
        <v>1780</v>
      </c>
    </row>
    <row r="1789">
      <c r="B1789" s="83" t="n"/>
      <c r="C1789" s="83" t="n"/>
      <c r="D1789" s="83" t="n"/>
      <c r="E1789" s="83" t="n"/>
      <c r="F1789" s="83" t="n"/>
      <c r="G1789" s="83" t="n"/>
      <c r="H1789" s="83" t="n"/>
      <c r="I1789" s="83" t="n"/>
      <c r="J1789" s="83" t="n"/>
      <c r="K1789" s="83" t="n"/>
      <c r="L1789" s="83" t="n"/>
      <c r="M1789" s="83" t="n"/>
      <c r="O1789" s="84" t="str">
        <f>IF($C1789="","",IFERROR(MATCH($B1789&amp;"|"&amp;$C1789,MUROS!$AX$11:$AX$70,0),0))</f>
        <v/>
      </c>
      <c r="P1789" s="84" t="str">
        <f>IF($D1789="","",IF(ISNUMBER(MATCH($D1789,CMB_S,0)),1,IF(ISNUMBER(MATCH($D1789,CMB_G,0)),2,0)))</f>
        <v/>
      </c>
      <c r="Q1789" s="84">
        <f>IF(ISNUMBER($H1789),-$H1789,0)</f>
        <v>0</v>
      </c>
      <c r="R1789" s="84">
        <f>IF(ISNUMBER($I1789),ABS($I1789),0)</f>
        <v>0</v>
      </c>
      <c r="S1789" s="84">
        <f>IF(ISNUMBER($M1789),ABS($M1789),0)</f>
        <v>0</v>
      </c>
      <c r="T1789" s="85" t="n">
        <v>1781</v>
      </c>
    </row>
    <row r="1790">
      <c r="B1790" s="83" t="n"/>
      <c r="C1790" s="83" t="n"/>
      <c r="D1790" s="83" t="n"/>
      <c r="E1790" s="83" t="n"/>
      <c r="F1790" s="83" t="n"/>
      <c r="G1790" s="83" t="n"/>
      <c r="H1790" s="83" t="n"/>
      <c r="I1790" s="83" t="n"/>
      <c r="J1790" s="83" t="n"/>
      <c r="K1790" s="83" t="n"/>
      <c r="L1790" s="83" t="n"/>
      <c r="M1790" s="83" t="n"/>
      <c r="O1790" s="84" t="str">
        <f>IF($C1790="","",IFERROR(MATCH($B1790&amp;"|"&amp;$C1790,MUROS!$AX$11:$AX$70,0),0))</f>
        <v/>
      </c>
      <c r="P1790" s="84" t="str">
        <f>IF($D1790="","",IF(ISNUMBER(MATCH($D1790,CMB_S,0)),1,IF(ISNUMBER(MATCH($D1790,CMB_G,0)),2,0)))</f>
        <v/>
      </c>
      <c r="Q1790" s="84">
        <f>IF(ISNUMBER($H1790),-$H1790,0)</f>
        <v>0</v>
      </c>
      <c r="R1790" s="84">
        <f>IF(ISNUMBER($I1790),ABS($I1790),0)</f>
        <v>0</v>
      </c>
      <c r="S1790" s="84">
        <f>IF(ISNUMBER($M1790),ABS($M1790),0)</f>
        <v>0</v>
      </c>
      <c r="T1790" s="85" t="n">
        <v>1782</v>
      </c>
    </row>
    <row r="1791">
      <c r="B1791" s="83" t="n"/>
      <c r="C1791" s="83" t="n"/>
      <c r="D1791" s="83" t="n"/>
      <c r="E1791" s="83" t="n"/>
      <c r="F1791" s="83" t="n"/>
      <c r="G1791" s="83" t="n"/>
      <c r="H1791" s="83" t="n"/>
      <c r="I1791" s="83" t="n"/>
      <c r="J1791" s="83" t="n"/>
      <c r="K1791" s="83" t="n"/>
      <c r="L1791" s="83" t="n"/>
      <c r="M1791" s="83" t="n"/>
      <c r="O1791" s="84" t="str">
        <f>IF($C1791="","",IFERROR(MATCH($B1791&amp;"|"&amp;$C1791,MUROS!$AX$11:$AX$70,0),0))</f>
        <v/>
      </c>
      <c r="P1791" s="84" t="str">
        <f>IF($D1791="","",IF(ISNUMBER(MATCH($D1791,CMB_S,0)),1,IF(ISNUMBER(MATCH($D1791,CMB_G,0)),2,0)))</f>
        <v/>
      </c>
      <c r="Q1791" s="84">
        <f>IF(ISNUMBER($H1791),-$H1791,0)</f>
        <v>0</v>
      </c>
      <c r="R1791" s="84">
        <f>IF(ISNUMBER($I1791),ABS($I1791),0)</f>
        <v>0</v>
      </c>
      <c r="S1791" s="84">
        <f>IF(ISNUMBER($M1791),ABS($M1791),0)</f>
        <v>0</v>
      </c>
      <c r="T1791" s="85" t="n">
        <v>1783</v>
      </c>
    </row>
    <row r="1792">
      <c r="B1792" s="83" t="n"/>
      <c r="C1792" s="83" t="n"/>
      <c r="D1792" s="83" t="n"/>
      <c r="E1792" s="83" t="n"/>
      <c r="F1792" s="83" t="n"/>
      <c r="G1792" s="83" t="n"/>
      <c r="H1792" s="83" t="n"/>
      <c r="I1792" s="83" t="n"/>
      <c r="J1792" s="83" t="n"/>
      <c r="K1792" s="83" t="n"/>
      <c r="L1792" s="83" t="n"/>
      <c r="M1792" s="83" t="n"/>
      <c r="O1792" s="84" t="str">
        <f>IF($C1792="","",IFERROR(MATCH($B1792&amp;"|"&amp;$C1792,MUROS!$AX$11:$AX$70,0),0))</f>
        <v/>
      </c>
      <c r="P1792" s="84" t="str">
        <f>IF($D1792="","",IF(ISNUMBER(MATCH($D1792,CMB_S,0)),1,IF(ISNUMBER(MATCH($D1792,CMB_G,0)),2,0)))</f>
        <v/>
      </c>
      <c r="Q1792" s="84">
        <f>IF(ISNUMBER($H1792),-$H1792,0)</f>
        <v>0</v>
      </c>
      <c r="R1792" s="84">
        <f>IF(ISNUMBER($I1792),ABS($I1792),0)</f>
        <v>0</v>
      </c>
      <c r="S1792" s="84">
        <f>IF(ISNUMBER($M1792),ABS($M1792),0)</f>
        <v>0</v>
      </c>
      <c r="T1792" s="85" t="n">
        <v>1784</v>
      </c>
    </row>
    <row r="1793">
      <c r="B1793" s="83" t="n"/>
      <c r="C1793" s="83" t="n"/>
      <c r="D1793" s="83" t="n"/>
      <c r="E1793" s="83" t="n"/>
      <c r="F1793" s="83" t="n"/>
      <c r="G1793" s="83" t="n"/>
      <c r="H1793" s="83" t="n"/>
      <c r="I1793" s="83" t="n"/>
      <c r="J1793" s="83" t="n"/>
      <c r="K1793" s="83" t="n"/>
      <c r="L1793" s="83" t="n"/>
      <c r="M1793" s="83" t="n"/>
      <c r="O1793" s="84" t="str">
        <f>IF($C1793="","",IFERROR(MATCH($B1793&amp;"|"&amp;$C1793,MUROS!$AX$11:$AX$70,0),0))</f>
        <v/>
      </c>
      <c r="P1793" s="84" t="str">
        <f>IF($D1793="","",IF(ISNUMBER(MATCH($D1793,CMB_S,0)),1,IF(ISNUMBER(MATCH($D1793,CMB_G,0)),2,0)))</f>
        <v/>
      </c>
      <c r="Q1793" s="84">
        <f>IF(ISNUMBER($H1793),-$H1793,0)</f>
        <v>0</v>
      </c>
      <c r="R1793" s="84">
        <f>IF(ISNUMBER($I1793),ABS($I1793),0)</f>
        <v>0</v>
      </c>
      <c r="S1793" s="84">
        <f>IF(ISNUMBER($M1793),ABS($M1793),0)</f>
        <v>0</v>
      </c>
      <c r="T1793" s="85" t="n">
        <v>1785</v>
      </c>
    </row>
    <row r="1794">
      <c r="B1794" s="83" t="n"/>
      <c r="C1794" s="83" t="n"/>
      <c r="D1794" s="83" t="n"/>
      <c r="E1794" s="83" t="n"/>
      <c r="F1794" s="83" t="n"/>
      <c r="G1794" s="83" t="n"/>
      <c r="H1794" s="83" t="n"/>
      <c r="I1794" s="83" t="n"/>
      <c r="J1794" s="83" t="n"/>
      <c r="K1794" s="83" t="n"/>
      <c r="L1794" s="83" t="n"/>
      <c r="M1794" s="83" t="n"/>
      <c r="O1794" s="84" t="str">
        <f>IF($C1794="","",IFERROR(MATCH($B1794&amp;"|"&amp;$C1794,MUROS!$AX$11:$AX$70,0),0))</f>
        <v/>
      </c>
      <c r="P1794" s="84" t="str">
        <f>IF($D1794="","",IF(ISNUMBER(MATCH($D1794,CMB_S,0)),1,IF(ISNUMBER(MATCH($D1794,CMB_G,0)),2,0)))</f>
        <v/>
      </c>
      <c r="Q1794" s="84">
        <f>IF(ISNUMBER($H1794),-$H1794,0)</f>
        <v>0</v>
      </c>
      <c r="R1794" s="84">
        <f>IF(ISNUMBER($I1794),ABS($I1794),0)</f>
        <v>0</v>
      </c>
      <c r="S1794" s="84">
        <f>IF(ISNUMBER($M1794),ABS($M1794),0)</f>
        <v>0</v>
      </c>
      <c r="T1794" s="85" t="n">
        <v>1786</v>
      </c>
    </row>
    <row r="1795">
      <c r="B1795" s="83" t="n"/>
      <c r="C1795" s="83" t="n"/>
      <c r="D1795" s="83" t="n"/>
      <c r="E1795" s="83" t="n"/>
      <c r="F1795" s="83" t="n"/>
      <c r="G1795" s="83" t="n"/>
      <c r="H1795" s="83" t="n"/>
      <c r="I1795" s="83" t="n"/>
      <c r="J1795" s="83" t="n"/>
      <c r="K1795" s="83" t="n"/>
      <c r="L1795" s="83" t="n"/>
      <c r="M1795" s="83" t="n"/>
      <c r="O1795" s="84" t="str">
        <f>IF($C1795="","",IFERROR(MATCH($B1795&amp;"|"&amp;$C1795,MUROS!$AX$11:$AX$70,0),0))</f>
        <v/>
      </c>
      <c r="P1795" s="84" t="str">
        <f>IF($D1795="","",IF(ISNUMBER(MATCH($D1795,CMB_S,0)),1,IF(ISNUMBER(MATCH($D1795,CMB_G,0)),2,0)))</f>
        <v/>
      </c>
      <c r="Q1795" s="84">
        <f>IF(ISNUMBER($H1795),-$H1795,0)</f>
        <v>0</v>
      </c>
      <c r="R1795" s="84">
        <f>IF(ISNUMBER($I1795),ABS($I1795),0)</f>
        <v>0</v>
      </c>
      <c r="S1795" s="84">
        <f>IF(ISNUMBER($M1795),ABS($M1795),0)</f>
        <v>0</v>
      </c>
      <c r="T1795" s="85" t="n">
        <v>1787</v>
      </c>
    </row>
    <row r="1796">
      <c r="B1796" s="83" t="n"/>
      <c r="C1796" s="83" t="n"/>
      <c r="D1796" s="83" t="n"/>
      <c r="E1796" s="83" t="n"/>
      <c r="F1796" s="83" t="n"/>
      <c r="G1796" s="83" t="n"/>
      <c r="H1796" s="83" t="n"/>
      <c r="I1796" s="83" t="n"/>
      <c r="J1796" s="83" t="n"/>
      <c r="K1796" s="83" t="n"/>
      <c r="L1796" s="83" t="n"/>
      <c r="M1796" s="83" t="n"/>
      <c r="O1796" s="84" t="str">
        <f>IF($C1796="","",IFERROR(MATCH($B1796&amp;"|"&amp;$C1796,MUROS!$AX$11:$AX$70,0),0))</f>
        <v/>
      </c>
      <c r="P1796" s="84" t="str">
        <f>IF($D1796="","",IF(ISNUMBER(MATCH($D1796,CMB_S,0)),1,IF(ISNUMBER(MATCH($D1796,CMB_G,0)),2,0)))</f>
        <v/>
      </c>
      <c r="Q1796" s="84">
        <f>IF(ISNUMBER($H1796),-$H1796,0)</f>
        <v>0</v>
      </c>
      <c r="R1796" s="84">
        <f>IF(ISNUMBER($I1796),ABS($I1796),0)</f>
        <v>0</v>
      </c>
      <c r="S1796" s="84">
        <f>IF(ISNUMBER($M1796),ABS($M1796),0)</f>
        <v>0</v>
      </c>
      <c r="T1796" s="85" t="n">
        <v>1788</v>
      </c>
    </row>
    <row r="1797">
      <c r="B1797" s="83" t="n"/>
      <c r="C1797" s="83" t="n"/>
      <c r="D1797" s="83" t="n"/>
      <c r="E1797" s="83" t="n"/>
      <c r="F1797" s="83" t="n"/>
      <c r="G1797" s="83" t="n"/>
      <c r="H1797" s="83" t="n"/>
      <c r="I1797" s="83" t="n"/>
      <c r="J1797" s="83" t="n"/>
      <c r="K1797" s="83" t="n"/>
      <c r="L1797" s="83" t="n"/>
      <c r="M1797" s="83" t="n"/>
      <c r="O1797" s="84" t="str">
        <f>IF($C1797="","",IFERROR(MATCH($B1797&amp;"|"&amp;$C1797,MUROS!$AX$11:$AX$70,0),0))</f>
        <v/>
      </c>
      <c r="P1797" s="84" t="str">
        <f>IF($D1797="","",IF(ISNUMBER(MATCH($D1797,CMB_S,0)),1,IF(ISNUMBER(MATCH($D1797,CMB_G,0)),2,0)))</f>
        <v/>
      </c>
      <c r="Q1797" s="84">
        <f>IF(ISNUMBER($H1797),-$H1797,0)</f>
        <v>0</v>
      </c>
      <c r="R1797" s="84">
        <f>IF(ISNUMBER($I1797),ABS($I1797),0)</f>
        <v>0</v>
      </c>
      <c r="S1797" s="84">
        <f>IF(ISNUMBER($M1797),ABS($M1797),0)</f>
        <v>0</v>
      </c>
      <c r="T1797" s="85" t="n">
        <v>1789</v>
      </c>
    </row>
    <row r="1798">
      <c r="B1798" s="83" t="n"/>
      <c r="C1798" s="83" t="n"/>
      <c r="D1798" s="83" t="n"/>
      <c r="E1798" s="83" t="n"/>
      <c r="F1798" s="83" t="n"/>
      <c r="G1798" s="83" t="n"/>
      <c r="H1798" s="83" t="n"/>
      <c r="I1798" s="83" t="n"/>
      <c r="J1798" s="83" t="n"/>
      <c r="K1798" s="83" t="n"/>
      <c r="L1798" s="83" t="n"/>
      <c r="M1798" s="83" t="n"/>
      <c r="O1798" s="84" t="str">
        <f>IF($C1798="","",IFERROR(MATCH($B1798&amp;"|"&amp;$C1798,MUROS!$AX$11:$AX$70,0),0))</f>
        <v/>
      </c>
      <c r="P1798" s="84" t="str">
        <f>IF($D1798="","",IF(ISNUMBER(MATCH($D1798,CMB_S,0)),1,IF(ISNUMBER(MATCH($D1798,CMB_G,0)),2,0)))</f>
        <v/>
      </c>
      <c r="Q1798" s="84">
        <f>IF(ISNUMBER($H1798),-$H1798,0)</f>
        <v>0</v>
      </c>
      <c r="R1798" s="84">
        <f>IF(ISNUMBER($I1798),ABS($I1798),0)</f>
        <v>0</v>
      </c>
      <c r="S1798" s="84">
        <f>IF(ISNUMBER($M1798),ABS($M1798),0)</f>
        <v>0</v>
      </c>
      <c r="T1798" s="85" t="n">
        <v>1790</v>
      </c>
    </row>
    <row r="1799">
      <c r="B1799" s="83" t="n"/>
      <c r="C1799" s="83" t="n"/>
      <c r="D1799" s="83" t="n"/>
      <c r="E1799" s="83" t="n"/>
      <c r="F1799" s="83" t="n"/>
      <c r="G1799" s="83" t="n"/>
      <c r="H1799" s="83" t="n"/>
      <c r="I1799" s="83" t="n"/>
      <c r="J1799" s="83" t="n"/>
      <c r="K1799" s="83" t="n"/>
      <c r="L1799" s="83" t="n"/>
      <c r="M1799" s="83" t="n"/>
      <c r="O1799" s="84" t="str">
        <f>IF($C1799="","",IFERROR(MATCH($B1799&amp;"|"&amp;$C1799,MUROS!$AX$11:$AX$70,0),0))</f>
        <v/>
      </c>
      <c r="P1799" s="84" t="str">
        <f>IF($D1799="","",IF(ISNUMBER(MATCH($D1799,CMB_S,0)),1,IF(ISNUMBER(MATCH($D1799,CMB_G,0)),2,0)))</f>
        <v/>
      </c>
      <c r="Q1799" s="84">
        <f>IF(ISNUMBER($H1799),-$H1799,0)</f>
        <v>0</v>
      </c>
      <c r="R1799" s="84">
        <f>IF(ISNUMBER($I1799),ABS($I1799),0)</f>
        <v>0</v>
      </c>
      <c r="S1799" s="84">
        <f>IF(ISNUMBER($M1799),ABS($M1799),0)</f>
        <v>0</v>
      </c>
      <c r="T1799" s="85" t="n">
        <v>1791</v>
      </c>
    </row>
    <row r="1800">
      <c r="B1800" s="83" t="n"/>
      <c r="C1800" s="83" t="n"/>
      <c r="D1800" s="83" t="n"/>
      <c r="E1800" s="83" t="n"/>
      <c r="F1800" s="83" t="n"/>
      <c r="G1800" s="83" t="n"/>
      <c r="H1800" s="83" t="n"/>
      <c r="I1800" s="83" t="n"/>
      <c r="J1800" s="83" t="n"/>
      <c r="K1800" s="83" t="n"/>
      <c r="L1800" s="83" t="n"/>
      <c r="M1800" s="83" t="n"/>
      <c r="O1800" s="84" t="str">
        <f>IF($C1800="","",IFERROR(MATCH($B1800&amp;"|"&amp;$C1800,MUROS!$AX$11:$AX$70,0),0))</f>
        <v/>
      </c>
      <c r="P1800" s="84" t="str">
        <f>IF($D1800="","",IF(ISNUMBER(MATCH($D1800,CMB_S,0)),1,IF(ISNUMBER(MATCH($D1800,CMB_G,0)),2,0)))</f>
        <v/>
      </c>
      <c r="Q1800" s="84">
        <f>IF(ISNUMBER($H1800),-$H1800,0)</f>
        <v>0</v>
      </c>
      <c r="R1800" s="84">
        <f>IF(ISNUMBER($I1800),ABS($I1800),0)</f>
        <v>0</v>
      </c>
      <c r="S1800" s="84">
        <f>IF(ISNUMBER($M1800),ABS($M1800),0)</f>
        <v>0</v>
      </c>
      <c r="T1800" s="85" t="n">
        <v>1792</v>
      </c>
    </row>
    <row r="1801">
      <c r="B1801" s="83" t="n"/>
      <c r="C1801" s="83" t="n"/>
      <c r="D1801" s="83" t="n"/>
      <c r="E1801" s="83" t="n"/>
      <c r="F1801" s="83" t="n"/>
      <c r="G1801" s="83" t="n"/>
      <c r="H1801" s="83" t="n"/>
      <c r="I1801" s="83" t="n"/>
      <c r="J1801" s="83" t="n"/>
      <c r="K1801" s="83" t="n"/>
      <c r="L1801" s="83" t="n"/>
      <c r="M1801" s="83" t="n"/>
      <c r="O1801" s="84" t="str">
        <f>IF($C1801="","",IFERROR(MATCH($B1801&amp;"|"&amp;$C1801,MUROS!$AX$11:$AX$70,0),0))</f>
        <v/>
      </c>
      <c r="P1801" s="84" t="str">
        <f>IF($D1801="","",IF(ISNUMBER(MATCH($D1801,CMB_S,0)),1,IF(ISNUMBER(MATCH($D1801,CMB_G,0)),2,0)))</f>
        <v/>
      </c>
      <c r="Q1801" s="84">
        <f>IF(ISNUMBER($H1801),-$H1801,0)</f>
        <v>0</v>
      </c>
      <c r="R1801" s="84">
        <f>IF(ISNUMBER($I1801),ABS($I1801),0)</f>
        <v>0</v>
      </c>
      <c r="S1801" s="84">
        <f>IF(ISNUMBER($M1801),ABS($M1801),0)</f>
        <v>0</v>
      </c>
      <c r="T1801" s="85" t="n">
        <v>1793</v>
      </c>
    </row>
    <row r="1802">
      <c r="B1802" s="83" t="n"/>
      <c r="C1802" s="83" t="n"/>
      <c r="D1802" s="83" t="n"/>
      <c r="E1802" s="83" t="n"/>
      <c r="F1802" s="83" t="n"/>
      <c r="G1802" s="83" t="n"/>
      <c r="H1802" s="83" t="n"/>
      <c r="I1802" s="83" t="n"/>
      <c r="J1802" s="83" t="n"/>
      <c r="K1802" s="83" t="n"/>
      <c r="L1802" s="83" t="n"/>
      <c r="M1802" s="83" t="n"/>
      <c r="O1802" s="84" t="str">
        <f>IF($C1802="","",IFERROR(MATCH($B1802&amp;"|"&amp;$C1802,MUROS!$AX$11:$AX$70,0),0))</f>
        <v/>
      </c>
      <c r="P1802" s="84" t="str">
        <f>IF($D1802="","",IF(ISNUMBER(MATCH($D1802,CMB_S,0)),1,IF(ISNUMBER(MATCH($D1802,CMB_G,0)),2,0)))</f>
        <v/>
      </c>
      <c r="Q1802" s="84">
        <f>IF(ISNUMBER($H1802),-$H1802,0)</f>
        <v>0</v>
      </c>
      <c r="R1802" s="84">
        <f>IF(ISNUMBER($I1802),ABS($I1802),0)</f>
        <v>0</v>
      </c>
      <c r="S1802" s="84">
        <f>IF(ISNUMBER($M1802),ABS($M1802),0)</f>
        <v>0</v>
      </c>
      <c r="T1802" s="85" t="n">
        <v>1794</v>
      </c>
    </row>
    <row r="1803">
      <c r="B1803" s="83" t="n"/>
      <c r="C1803" s="83" t="n"/>
      <c r="D1803" s="83" t="n"/>
      <c r="E1803" s="83" t="n"/>
      <c r="F1803" s="83" t="n"/>
      <c r="G1803" s="83" t="n"/>
      <c r="H1803" s="83" t="n"/>
      <c r="I1803" s="83" t="n"/>
      <c r="J1803" s="83" t="n"/>
      <c r="K1803" s="83" t="n"/>
      <c r="L1803" s="83" t="n"/>
      <c r="M1803" s="83" t="n"/>
      <c r="O1803" s="84" t="str">
        <f>IF($C1803="","",IFERROR(MATCH($B1803&amp;"|"&amp;$C1803,MUROS!$AX$11:$AX$70,0),0))</f>
        <v/>
      </c>
      <c r="P1803" s="84" t="str">
        <f>IF($D1803="","",IF(ISNUMBER(MATCH($D1803,CMB_S,0)),1,IF(ISNUMBER(MATCH($D1803,CMB_G,0)),2,0)))</f>
        <v/>
      </c>
      <c r="Q1803" s="84">
        <f>IF(ISNUMBER($H1803),-$H1803,0)</f>
        <v>0</v>
      </c>
      <c r="R1803" s="84">
        <f>IF(ISNUMBER($I1803),ABS($I1803),0)</f>
        <v>0</v>
      </c>
      <c r="S1803" s="84">
        <f>IF(ISNUMBER($M1803),ABS($M1803),0)</f>
        <v>0</v>
      </c>
      <c r="T1803" s="85" t="n">
        <v>1795</v>
      </c>
    </row>
    <row r="1804">
      <c r="B1804" s="83" t="n"/>
      <c r="C1804" s="83" t="n"/>
      <c r="D1804" s="83" t="n"/>
      <c r="E1804" s="83" t="n"/>
      <c r="F1804" s="83" t="n"/>
      <c r="G1804" s="83" t="n"/>
      <c r="H1804" s="83" t="n"/>
      <c r="I1804" s="83" t="n"/>
      <c r="J1804" s="83" t="n"/>
      <c r="K1804" s="83" t="n"/>
      <c r="L1804" s="83" t="n"/>
      <c r="M1804" s="83" t="n"/>
      <c r="O1804" s="84" t="str">
        <f>IF($C1804="","",IFERROR(MATCH($B1804&amp;"|"&amp;$C1804,MUROS!$AX$11:$AX$70,0),0))</f>
        <v/>
      </c>
      <c r="P1804" s="84" t="str">
        <f>IF($D1804="","",IF(ISNUMBER(MATCH($D1804,CMB_S,0)),1,IF(ISNUMBER(MATCH($D1804,CMB_G,0)),2,0)))</f>
        <v/>
      </c>
      <c r="Q1804" s="84">
        <f>IF(ISNUMBER($H1804),-$H1804,0)</f>
        <v>0</v>
      </c>
      <c r="R1804" s="84">
        <f>IF(ISNUMBER($I1804),ABS($I1804),0)</f>
        <v>0</v>
      </c>
      <c r="S1804" s="84">
        <f>IF(ISNUMBER($M1804),ABS($M1804),0)</f>
        <v>0</v>
      </c>
      <c r="T1804" s="85" t="n">
        <v>1796</v>
      </c>
    </row>
    <row r="1805">
      <c r="B1805" s="83" t="n"/>
      <c r="C1805" s="83" t="n"/>
      <c r="D1805" s="83" t="n"/>
      <c r="E1805" s="83" t="n"/>
      <c r="F1805" s="83" t="n"/>
      <c r="G1805" s="83" t="n"/>
      <c r="H1805" s="83" t="n"/>
      <c r="I1805" s="83" t="n"/>
      <c r="J1805" s="83" t="n"/>
      <c r="K1805" s="83" t="n"/>
      <c r="L1805" s="83" t="n"/>
      <c r="M1805" s="83" t="n"/>
      <c r="O1805" s="84" t="str">
        <f>IF($C1805="","",IFERROR(MATCH($B1805&amp;"|"&amp;$C1805,MUROS!$AX$11:$AX$70,0),0))</f>
        <v/>
      </c>
      <c r="P1805" s="84" t="str">
        <f>IF($D1805="","",IF(ISNUMBER(MATCH($D1805,CMB_S,0)),1,IF(ISNUMBER(MATCH($D1805,CMB_G,0)),2,0)))</f>
        <v/>
      </c>
      <c r="Q1805" s="84">
        <f>IF(ISNUMBER($H1805),-$H1805,0)</f>
        <v>0</v>
      </c>
      <c r="R1805" s="84">
        <f>IF(ISNUMBER($I1805),ABS($I1805),0)</f>
        <v>0</v>
      </c>
      <c r="S1805" s="84">
        <f>IF(ISNUMBER($M1805),ABS($M1805),0)</f>
        <v>0</v>
      </c>
      <c r="T1805" s="85" t="n">
        <v>1797</v>
      </c>
    </row>
    <row r="1806">
      <c r="B1806" s="83" t="n"/>
      <c r="C1806" s="83" t="n"/>
      <c r="D1806" s="83" t="n"/>
      <c r="E1806" s="83" t="n"/>
      <c r="F1806" s="83" t="n"/>
      <c r="G1806" s="83" t="n"/>
      <c r="H1806" s="83" t="n"/>
      <c r="I1806" s="83" t="n"/>
      <c r="J1806" s="83" t="n"/>
      <c r="K1806" s="83" t="n"/>
      <c r="L1806" s="83" t="n"/>
      <c r="M1806" s="83" t="n"/>
      <c r="O1806" s="84" t="str">
        <f>IF($C1806="","",IFERROR(MATCH($B1806&amp;"|"&amp;$C1806,MUROS!$AX$11:$AX$70,0),0))</f>
        <v/>
      </c>
      <c r="P1806" s="84" t="str">
        <f>IF($D1806="","",IF(ISNUMBER(MATCH($D1806,CMB_S,0)),1,IF(ISNUMBER(MATCH($D1806,CMB_G,0)),2,0)))</f>
        <v/>
      </c>
      <c r="Q1806" s="84">
        <f>IF(ISNUMBER($H1806),-$H1806,0)</f>
        <v>0</v>
      </c>
      <c r="R1806" s="84">
        <f>IF(ISNUMBER($I1806),ABS($I1806),0)</f>
        <v>0</v>
      </c>
      <c r="S1806" s="84">
        <f>IF(ISNUMBER($M1806),ABS($M1806),0)</f>
        <v>0</v>
      </c>
      <c r="T1806" s="85" t="n">
        <v>1798</v>
      </c>
    </row>
    <row r="1807">
      <c r="B1807" s="83" t="n"/>
      <c r="C1807" s="83" t="n"/>
      <c r="D1807" s="83" t="n"/>
      <c r="E1807" s="83" t="n"/>
      <c r="F1807" s="83" t="n"/>
      <c r="G1807" s="83" t="n"/>
      <c r="H1807" s="83" t="n"/>
      <c r="I1807" s="83" t="n"/>
      <c r="J1807" s="83" t="n"/>
      <c r="K1807" s="83" t="n"/>
      <c r="L1807" s="83" t="n"/>
      <c r="M1807" s="83" t="n"/>
      <c r="O1807" s="84" t="str">
        <f>IF($C1807="","",IFERROR(MATCH($B1807&amp;"|"&amp;$C1807,MUROS!$AX$11:$AX$70,0),0))</f>
        <v/>
      </c>
      <c r="P1807" s="84" t="str">
        <f>IF($D1807="","",IF(ISNUMBER(MATCH($D1807,CMB_S,0)),1,IF(ISNUMBER(MATCH($D1807,CMB_G,0)),2,0)))</f>
        <v/>
      </c>
      <c r="Q1807" s="84">
        <f>IF(ISNUMBER($H1807),-$H1807,0)</f>
        <v>0</v>
      </c>
      <c r="R1807" s="84">
        <f>IF(ISNUMBER($I1807),ABS($I1807),0)</f>
        <v>0</v>
      </c>
      <c r="S1807" s="84">
        <f>IF(ISNUMBER($M1807),ABS($M1807),0)</f>
        <v>0</v>
      </c>
      <c r="T1807" s="85" t="n">
        <v>1799</v>
      </c>
    </row>
    <row r="1808">
      <c r="B1808" s="83" t="n"/>
      <c r="C1808" s="83" t="n"/>
      <c r="D1808" s="83" t="n"/>
      <c r="E1808" s="83" t="n"/>
      <c r="F1808" s="83" t="n"/>
      <c r="G1808" s="83" t="n"/>
      <c r="H1808" s="83" t="n"/>
      <c r="I1808" s="83" t="n"/>
      <c r="J1808" s="83" t="n"/>
      <c r="K1808" s="83" t="n"/>
      <c r="L1808" s="83" t="n"/>
      <c r="M1808" s="83" t="n"/>
      <c r="O1808" s="84" t="str">
        <f>IF($C1808="","",IFERROR(MATCH($B1808&amp;"|"&amp;$C1808,MUROS!$AX$11:$AX$70,0),0))</f>
        <v/>
      </c>
      <c r="P1808" s="84" t="str">
        <f>IF($D1808="","",IF(ISNUMBER(MATCH($D1808,CMB_S,0)),1,IF(ISNUMBER(MATCH($D1808,CMB_G,0)),2,0)))</f>
        <v/>
      </c>
      <c r="Q1808" s="84">
        <f>IF(ISNUMBER($H1808),-$H1808,0)</f>
        <v>0</v>
      </c>
      <c r="R1808" s="84">
        <f>IF(ISNUMBER($I1808),ABS($I1808),0)</f>
        <v>0</v>
      </c>
      <c r="S1808" s="84">
        <f>IF(ISNUMBER($M1808),ABS($M1808),0)</f>
        <v>0</v>
      </c>
      <c r="T1808" s="85" t="n">
        <v>1800</v>
      </c>
    </row>
    <row r="1809">
      <c r="B1809" s="83" t="n"/>
      <c r="C1809" s="83" t="n"/>
      <c r="D1809" s="83" t="n"/>
      <c r="E1809" s="83" t="n"/>
      <c r="F1809" s="83" t="n"/>
      <c r="G1809" s="83" t="n"/>
      <c r="H1809" s="83" t="n"/>
      <c r="I1809" s="83" t="n"/>
      <c r="J1809" s="83" t="n"/>
      <c r="K1809" s="83" t="n"/>
      <c r="L1809" s="83" t="n"/>
      <c r="M1809" s="83" t="n"/>
      <c r="O1809" s="84" t="str">
        <f>IF($C1809="","",IFERROR(MATCH($B1809&amp;"|"&amp;$C1809,MUROS!$AX$11:$AX$70,0),0))</f>
        <v/>
      </c>
      <c r="P1809" s="84" t="str">
        <f>IF($D1809="","",IF(ISNUMBER(MATCH($D1809,CMB_S,0)),1,IF(ISNUMBER(MATCH($D1809,CMB_G,0)),2,0)))</f>
        <v/>
      </c>
      <c r="Q1809" s="84">
        <f>IF(ISNUMBER($H1809),-$H1809,0)</f>
        <v>0</v>
      </c>
      <c r="R1809" s="84">
        <f>IF(ISNUMBER($I1809),ABS($I1809),0)</f>
        <v>0</v>
      </c>
      <c r="S1809" s="84">
        <f>IF(ISNUMBER($M1809),ABS($M1809),0)</f>
        <v>0</v>
      </c>
      <c r="T1809" s="85" t="n">
        <v>1801</v>
      </c>
    </row>
    <row r="1810">
      <c r="B1810" s="83" t="n"/>
      <c r="C1810" s="83" t="n"/>
      <c r="D1810" s="83" t="n"/>
      <c r="E1810" s="83" t="n"/>
      <c r="F1810" s="83" t="n"/>
      <c r="G1810" s="83" t="n"/>
      <c r="H1810" s="83" t="n"/>
      <c r="I1810" s="83" t="n"/>
      <c r="J1810" s="83" t="n"/>
      <c r="K1810" s="83" t="n"/>
      <c r="L1810" s="83" t="n"/>
      <c r="M1810" s="83" t="n"/>
      <c r="O1810" s="84" t="str">
        <f>IF($C1810="","",IFERROR(MATCH($B1810&amp;"|"&amp;$C1810,MUROS!$AX$11:$AX$70,0),0))</f>
        <v/>
      </c>
      <c r="P1810" s="84" t="str">
        <f>IF($D1810="","",IF(ISNUMBER(MATCH($D1810,CMB_S,0)),1,IF(ISNUMBER(MATCH($D1810,CMB_G,0)),2,0)))</f>
        <v/>
      </c>
      <c r="Q1810" s="84">
        <f>IF(ISNUMBER($H1810),-$H1810,0)</f>
        <v>0</v>
      </c>
      <c r="R1810" s="84">
        <f>IF(ISNUMBER($I1810),ABS($I1810),0)</f>
        <v>0</v>
      </c>
      <c r="S1810" s="84">
        <f>IF(ISNUMBER($M1810),ABS($M1810),0)</f>
        <v>0</v>
      </c>
      <c r="T1810" s="85" t="n">
        <v>1802</v>
      </c>
    </row>
    <row r="1811">
      <c r="B1811" s="83" t="n"/>
      <c r="C1811" s="83" t="n"/>
      <c r="D1811" s="83" t="n"/>
      <c r="E1811" s="83" t="n"/>
      <c r="F1811" s="83" t="n"/>
      <c r="G1811" s="83" t="n"/>
      <c r="H1811" s="83" t="n"/>
      <c r="I1811" s="83" t="n"/>
      <c r="J1811" s="83" t="n"/>
      <c r="K1811" s="83" t="n"/>
      <c r="L1811" s="83" t="n"/>
      <c r="M1811" s="83" t="n"/>
      <c r="O1811" s="84" t="str">
        <f>IF($C1811="","",IFERROR(MATCH($B1811&amp;"|"&amp;$C1811,MUROS!$AX$11:$AX$70,0),0))</f>
        <v/>
      </c>
      <c r="P1811" s="84" t="str">
        <f>IF($D1811="","",IF(ISNUMBER(MATCH($D1811,CMB_S,0)),1,IF(ISNUMBER(MATCH($D1811,CMB_G,0)),2,0)))</f>
        <v/>
      </c>
      <c r="Q1811" s="84">
        <f>IF(ISNUMBER($H1811),-$H1811,0)</f>
        <v>0</v>
      </c>
      <c r="R1811" s="84">
        <f>IF(ISNUMBER($I1811),ABS($I1811),0)</f>
        <v>0</v>
      </c>
      <c r="S1811" s="84">
        <f>IF(ISNUMBER($M1811),ABS($M1811),0)</f>
        <v>0</v>
      </c>
      <c r="T1811" s="85" t="n">
        <v>1803</v>
      </c>
    </row>
    <row r="1812">
      <c r="B1812" s="83" t="n"/>
      <c r="C1812" s="83" t="n"/>
      <c r="D1812" s="83" t="n"/>
      <c r="E1812" s="83" t="n"/>
      <c r="F1812" s="83" t="n"/>
      <c r="G1812" s="83" t="n"/>
      <c r="H1812" s="83" t="n"/>
      <c r="I1812" s="83" t="n"/>
      <c r="J1812" s="83" t="n"/>
      <c r="K1812" s="83" t="n"/>
      <c r="L1812" s="83" t="n"/>
      <c r="M1812" s="83" t="n"/>
      <c r="O1812" s="84" t="str">
        <f>IF($C1812="","",IFERROR(MATCH($B1812&amp;"|"&amp;$C1812,MUROS!$AX$11:$AX$70,0),0))</f>
        <v/>
      </c>
      <c r="P1812" s="84" t="str">
        <f>IF($D1812="","",IF(ISNUMBER(MATCH($D1812,CMB_S,0)),1,IF(ISNUMBER(MATCH($D1812,CMB_G,0)),2,0)))</f>
        <v/>
      </c>
      <c r="Q1812" s="84">
        <f>IF(ISNUMBER($H1812),-$H1812,0)</f>
        <v>0</v>
      </c>
      <c r="R1812" s="84">
        <f>IF(ISNUMBER($I1812),ABS($I1812),0)</f>
        <v>0</v>
      </c>
      <c r="S1812" s="84">
        <f>IF(ISNUMBER($M1812),ABS($M1812),0)</f>
        <v>0</v>
      </c>
      <c r="T1812" s="85" t="n">
        <v>1804</v>
      </c>
    </row>
    <row r="1813">
      <c r="B1813" s="83" t="n"/>
      <c r="C1813" s="83" t="n"/>
      <c r="D1813" s="83" t="n"/>
      <c r="E1813" s="83" t="n"/>
      <c r="F1813" s="83" t="n"/>
      <c r="G1813" s="83" t="n"/>
      <c r="H1813" s="83" t="n"/>
      <c r="I1813" s="83" t="n"/>
      <c r="J1813" s="83" t="n"/>
      <c r="K1813" s="83" t="n"/>
      <c r="L1813" s="83" t="n"/>
      <c r="M1813" s="83" t="n"/>
      <c r="O1813" s="84" t="str">
        <f>IF($C1813="","",IFERROR(MATCH($B1813&amp;"|"&amp;$C1813,MUROS!$AX$11:$AX$70,0),0))</f>
        <v/>
      </c>
      <c r="P1813" s="84" t="str">
        <f>IF($D1813="","",IF(ISNUMBER(MATCH($D1813,CMB_S,0)),1,IF(ISNUMBER(MATCH($D1813,CMB_G,0)),2,0)))</f>
        <v/>
      </c>
      <c r="Q1813" s="84">
        <f>IF(ISNUMBER($H1813),-$H1813,0)</f>
        <v>0</v>
      </c>
      <c r="R1813" s="84">
        <f>IF(ISNUMBER($I1813),ABS($I1813),0)</f>
        <v>0</v>
      </c>
      <c r="S1813" s="84">
        <f>IF(ISNUMBER($M1813),ABS($M1813),0)</f>
        <v>0</v>
      </c>
      <c r="T1813" s="85" t="n">
        <v>1805</v>
      </c>
    </row>
    <row r="1814">
      <c r="B1814" s="83" t="n"/>
      <c r="C1814" s="83" t="n"/>
      <c r="D1814" s="83" t="n"/>
      <c r="E1814" s="83" t="n"/>
      <c r="F1814" s="83" t="n"/>
      <c r="G1814" s="83" t="n"/>
      <c r="H1814" s="83" t="n"/>
      <c r="I1814" s="83" t="n"/>
      <c r="J1814" s="83" t="n"/>
      <c r="K1814" s="83" t="n"/>
      <c r="L1814" s="83" t="n"/>
      <c r="M1814" s="83" t="n"/>
      <c r="O1814" s="84" t="str">
        <f>IF($C1814="","",IFERROR(MATCH($B1814&amp;"|"&amp;$C1814,MUROS!$AX$11:$AX$70,0),0))</f>
        <v/>
      </c>
      <c r="P1814" s="84" t="str">
        <f>IF($D1814="","",IF(ISNUMBER(MATCH($D1814,CMB_S,0)),1,IF(ISNUMBER(MATCH($D1814,CMB_G,0)),2,0)))</f>
        <v/>
      </c>
      <c r="Q1814" s="84">
        <f>IF(ISNUMBER($H1814),-$H1814,0)</f>
        <v>0</v>
      </c>
      <c r="R1814" s="84">
        <f>IF(ISNUMBER($I1814),ABS($I1814),0)</f>
        <v>0</v>
      </c>
      <c r="S1814" s="84">
        <f>IF(ISNUMBER($M1814),ABS($M1814),0)</f>
        <v>0</v>
      </c>
      <c r="T1814" s="85" t="n">
        <v>1806</v>
      </c>
    </row>
    <row r="1815">
      <c r="B1815" s="83" t="n"/>
      <c r="C1815" s="83" t="n"/>
      <c r="D1815" s="83" t="n"/>
      <c r="E1815" s="83" t="n"/>
      <c r="F1815" s="83" t="n"/>
      <c r="G1815" s="83" t="n"/>
      <c r="H1815" s="83" t="n"/>
      <c r="I1815" s="83" t="n"/>
      <c r="J1815" s="83" t="n"/>
      <c r="K1815" s="83" t="n"/>
      <c r="L1815" s="83" t="n"/>
      <c r="M1815" s="83" t="n"/>
      <c r="O1815" s="84" t="str">
        <f>IF($C1815="","",IFERROR(MATCH($B1815&amp;"|"&amp;$C1815,MUROS!$AX$11:$AX$70,0),0))</f>
        <v/>
      </c>
      <c r="P1815" s="84" t="str">
        <f>IF($D1815="","",IF(ISNUMBER(MATCH($D1815,CMB_S,0)),1,IF(ISNUMBER(MATCH($D1815,CMB_G,0)),2,0)))</f>
        <v/>
      </c>
      <c r="Q1815" s="84">
        <f>IF(ISNUMBER($H1815),-$H1815,0)</f>
        <v>0</v>
      </c>
      <c r="R1815" s="84">
        <f>IF(ISNUMBER($I1815),ABS($I1815),0)</f>
        <v>0</v>
      </c>
      <c r="S1815" s="84">
        <f>IF(ISNUMBER($M1815),ABS($M1815),0)</f>
        <v>0</v>
      </c>
      <c r="T1815" s="85" t="n">
        <v>1807</v>
      </c>
    </row>
    <row r="1816">
      <c r="B1816" s="83" t="n"/>
      <c r="C1816" s="83" t="n"/>
      <c r="D1816" s="83" t="n"/>
      <c r="E1816" s="83" t="n"/>
      <c r="F1816" s="83" t="n"/>
      <c r="G1816" s="83" t="n"/>
      <c r="H1816" s="83" t="n"/>
      <c r="I1816" s="83" t="n"/>
      <c r="J1816" s="83" t="n"/>
      <c r="K1816" s="83" t="n"/>
      <c r="L1816" s="83" t="n"/>
      <c r="M1816" s="83" t="n"/>
      <c r="O1816" s="84" t="str">
        <f>IF($C1816="","",IFERROR(MATCH($B1816&amp;"|"&amp;$C1816,MUROS!$AX$11:$AX$70,0),0))</f>
        <v/>
      </c>
      <c r="P1816" s="84" t="str">
        <f>IF($D1816="","",IF(ISNUMBER(MATCH($D1816,CMB_S,0)),1,IF(ISNUMBER(MATCH($D1816,CMB_G,0)),2,0)))</f>
        <v/>
      </c>
      <c r="Q1816" s="84">
        <f>IF(ISNUMBER($H1816),-$H1816,0)</f>
        <v>0</v>
      </c>
      <c r="R1816" s="84">
        <f>IF(ISNUMBER($I1816),ABS($I1816),0)</f>
        <v>0</v>
      </c>
      <c r="S1816" s="84">
        <f>IF(ISNUMBER($M1816),ABS($M1816),0)</f>
        <v>0</v>
      </c>
      <c r="T1816" s="85" t="n">
        <v>1808</v>
      </c>
    </row>
    <row r="1817">
      <c r="B1817" s="83" t="n"/>
      <c r="C1817" s="83" t="n"/>
      <c r="D1817" s="83" t="n"/>
      <c r="E1817" s="83" t="n"/>
      <c r="F1817" s="83" t="n"/>
      <c r="G1817" s="83" t="n"/>
      <c r="H1817" s="83" t="n"/>
      <c r="I1817" s="83" t="n"/>
      <c r="J1817" s="83" t="n"/>
      <c r="K1817" s="83" t="n"/>
      <c r="L1817" s="83" t="n"/>
      <c r="M1817" s="83" t="n"/>
      <c r="O1817" s="84" t="str">
        <f>IF($C1817="","",IFERROR(MATCH($B1817&amp;"|"&amp;$C1817,MUROS!$AX$11:$AX$70,0),0))</f>
        <v/>
      </c>
      <c r="P1817" s="84" t="str">
        <f>IF($D1817="","",IF(ISNUMBER(MATCH($D1817,CMB_S,0)),1,IF(ISNUMBER(MATCH($D1817,CMB_G,0)),2,0)))</f>
        <v/>
      </c>
      <c r="Q1817" s="84">
        <f>IF(ISNUMBER($H1817),-$H1817,0)</f>
        <v>0</v>
      </c>
      <c r="R1817" s="84">
        <f>IF(ISNUMBER($I1817),ABS($I1817),0)</f>
        <v>0</v>
      </c>
      <c r="S1817" s="84">
        <f>IF(ISNUMBER($M1817),ABS($M1817),0)</f>
        <v>0</v>
      </c>
      <c r="T1817" s="85" t="n">
        <v>1809</v>
      </c>
    </row>
    <row r="1818">
      <c r="B1818" s="83" t="n"/>
      <c r="C1818" s="83" t="n"/>
      <c r="D1818" s="83" t="n"/>
      <c r="E1818" s="83" t="n"/>
      <c r="F1818" s="83" t="n"/>
      <c r="G1818" s="83" t="n"/>
      <c r="H1818" s="83" t="n"/>
      <c r="I1818" s="83" t="n"/>
      <c r="J1818" s="83" t="n"/>
      <c r="K1818" s="83" t="n"/>
      <c r="L1818" s="83" t="n"/>
      <c r="M1818" s="83" t="n"/>
      <c r="O1818" s="84" t="str">
        <f>IF($C1818="","",IFERROR(MATCH($B1818&amp;"|"&amp;$C1818,MUROS!$AX$11:$AX$70,0),0))</f>
        <v/>
      </c>
      <c r="P1818" s="84" t="str">
        <f>IF($D1818="","",IF(ISNUMBER(MATCH($D1818,CMB_S,0)),1,IF(ISNUMBER(MATCH($D1818,CMB_G,0)),2,0)))</f>
        <v/>
      </c>
      <c r="Q1818" s="84">
        <f>IF(ISNUMBER($H1818),-$H1818,0)</f>
        <v>0</v>
      </c>
      <c r="R1818" s="84">
        <f>IF(ISNUMBER($I1818),ABS($I1818),0)</f>
        <v>0</v>
      </c>
      <c r="S1818" s="84">
        <f>IF(ISNUMBER($M1818),ABS($M1818),0)</f>
        <v>0</v>
      </c>
      <c r="T1818" s="85" t="n">
        <v>1810</v>
      </c>
    </row>
    <row r="1819">
      <c r="B1819" s="83" t="n"/>
      <c r="C1819" s="83" t="n"/>
      <c r="D1819" s="83" t="n"/>
      <c r="E1819" s="83" t="n"/>
      <c r="F1819" s="83" t="n"/>
      <c r="G1819" s="83" t="n"/>
      <c r="H1819" s="83" t="n"/>
      <c r="I1819" s="83" t="n"/>
      <c r="J1819" s="83" t="n"/>
      <c r="K1819" s="83" t="n"/>
      <c r="L1819" s="83" t="n"/>
      <c r="M1819" s="83" t="n"/>
      <c r="O1819" s="84" t="str">
        <f>IF($C1819="","",IFERROR(MATCH($B1819&amp;"|"&amp;$C1819,MUROS!$AX$11:$AX$70,0),0))</f>
        <v/>
      </c>
      <c r="P1819" s="84" t="str">
        <f>IF($D1819="","",IF(ISNUMBER(MATCH($D1819,CMB_S,0)),1,IF(ISNUMBER(MATCH($D1819,CMB_G,0)),2,0)))</f>
        <v/>
      </c>
      <c r="Q1819" s="84">
        <f>IF(ISNUMBER($H1819),-$H1819,0)</f>
        <v>0</v>
      </c>
      <c r="R1819" s="84">
        <f>IF(ISNUMBER($I1819),ABS($I1819),0)</f>
        <v>0</v>
      </c>
      <c r="S1819" s="84">
        <f>IF(ISNUMBER($M1819),ABS($M1819),0)</f>
        <v>0</v>
      </c>
      <c r="T1819" s="85" t="n">
        <v>1811</v>
      </c>
    </row>
    <row r="1820">
      <c r="B1820" s="83" t="n"/>
      <c r="C1820" s="83" t="n"/>
      <c r="D1820" s="83" t="n"/>
      <c r="E1820" s="83" t="n"/>
      <c r="F1820" s="83" t="n"/>
      <c r="G1820" s="83" t="n"/>
      <c r="H1820" s="83" t="n"/>
      <c r="I1820" s="83" t="n"/>
      <c r="J1820" s="83" t="n"/>
      <c r="K1820" s="83" t="n"/>
      <c r="L1820" s="83" t="n"/>
      <c r="M1820" s="83" t="n"/>
      <c r="O1820" s="84" t="str">
        <f>IF($C1820="","",IFERROR(MATCH($B1820&amp;"|"&amp;$C1820,MUROS!$AX$11:$AX$70,0),0))</f>
        <v/>
      </c>
      <c r="P1820" s="84" t="str">
        <f>IF($D1820="","",IF(ISNUMBER(MATCH($D1820,CMB_S,0)),1,IF(ISNUMBER(MATCH($D1820,CMB_G,0)),2,0)))</f>
        <v/>
      </c>
      <c r="Q1820" s="84">
        <f>IF(ISNUMBER($H1820),-$H1820,0)</f>
        <v>0</v>
      </c>
      <c r="R1820" s="84">
        <f>IF(ISNUMBER($I1820),ABS($I1820),0)</f>
        <v>0</v>
      </c>
      <c r="S1820" s="84">
        <f>IF(ISNUMBER($M1820),ABS($M1820),0)</f>
        <v>0</v>
      </c>
      <c r="T1820" s="85" t="n">
        <v>1812</v>
      </c>
    </row>
    <row r="1821">
      <c r="B1821" s="83" t="n"/>
      <c r="C1821" s="83" t="n"/>
      <c r="D1821" s="83" t="n"/>
      <c r="E1821" s="83" t="n"/>
      <c r="F1821" s="83" t="n"/>
      <c r="G1821" s="83" t="n"/>
      <c r="H1821" s="83" t="n"/>
      <c r="I1821" s="83" t="n"/>
      <c r="J1821" s="83" t="n"/>
      <c r="K1821" s="83" t="n"/>
      <c r="L1821" s="83" t="n"/>
      <c r="M1821" s="83" t="n"/>
      <c r="O1821" s="84" t="str">
        <f>IF($C1821="","",IFERROR(MATCH($B1821&amp;"|"&amp;$C1821,MUROS!$AX$11:$AX$70,0),0))</f>
        <v/>
      </c>
      <c r="P1821" s="84" t="str">
        <f>IF($D1821="","",IF(ISNUMBER(MATCH($D1821,CMB_S,0)),1,IF(ISNUMBER(MATCH($D1821,CMB_G,0)),2,0)))</f>
        <v/>
      </c>
      <c r="Q1821" s="84">
        <f>IF(ISNUMBER($H1821),-$H1821,0)</f>
        <v>0</v>
      </c>
      <c r="R1821" s="84">
        <f>IF(ISNUMBER($I1821),ABS($I1821),0)</f>
        <v>0</v>
      </c>
      <c r="S1821" s="84">
        <f>IF(ISNUMBER($M1821),ABS($M1821),0)</f>
        <v>0</v>
      </c>
      <c r="T1821" s="85" t="n">
        <v>1813</v>
      </c>
    </row>
    <row r="1822">
      <c r="B1822" s="83" t="n"/>
      <c r="C1822" s="83" t="n"/>
      <c r="D1822" s="83" t="n"/>
      <c r="E1822" s="83" t="n"/>
      <c r="F1822" s="83" t="n"/>
      <c r="G1822" s="83" t="n"/>
      <c r="H1822" s="83" t="n"/>
      <c r="I1822" s="83" t="n"/>
      <c r="J1822" s="83" t="n"/>
      <c r="K1822" s="83" t="n"/>
      <c r="L1822" s="83" t="n"/>
      <c r="M1822" s="83" t="n"/>
      <c r="O1822" s="84" t="str">
        <f>IF($C1822="","",IFERROR(MATCH($B1822&amp;"|"&amp;$C1822,MUROS!$AX$11:$AX$70,0),0))</f>
        <v/>
      </c>
      <c r="P1822" s="84" t="str">
        <f>IF($D1822="","",IF(ISNUMBER(MATCH($D1822,CMB_S,0)),1,IF(ISNUMBER(MATCH($D1822,CMB_G,0)),2,0)))</f>
        <v/>
      </c>
      <c r="Q1822" s="84">
        <f>IF(ISNUMBER($H1822),-$H1822,0)</f>
        <v>0</v>
      </c>
      <c r="R1822" s="84">
        <f>IF(ISNUMBER($I1822),ABS($I1822),0)</f>
        <v>0</v>
      </c>
      <c r="S1822" s="84">
        <f>IF(ISNUMBER($M1822),ABS($M1822),0)</f>
        <v>0</v>
      </c>
      <c r="T1822" s="85" t="n">
        <v>1814</v>
      </c>
    </row>
    <row r="1823">
      <c r="B1823" s="83" t="n"/>
      <c r="C1823" s="83" t="n"/>
      <c r="D1823" s="83" t="n"/>
      <c r="E1823" s="83" t="n"/>
      <c r="F1823" s="83" t="n"/>
      <c r="G1823" s="83" t="n"/>
      <c r="H1823" s="83" t="n"/>
      <c r="I1823" s="83" t="n"/>
      <c r="J1823" s="83" t="n"/>
      <c r="K1823" s="83" t="n"/>
      <c r="L1823" s="83" t="n"/>
      <c r="M1823" s="83" t="n"/>
      <c r="O1823" s="84" t="str">
        <f>IF($C1823="","",IFERROR(MATCH($B1823&amp;"|"&amp;$C1823,MUROS!$AX$11:$AX$70,0),0))</f>
        <v/>
      </c>
      <c r="P1823" s="84" t="str">
        <f>IF($D1823="","",IF(ISNUMBER(MATCH($D1823,CMB_S,0)),1,IF(ISNUMBER(MATCH($D1823,CMB_G,0)),2,0)))</f>
        <v/>
      </c>
      <c r="Q1823" s="84">
        <f>IF(ISNUMBER($H1823),-$H1823,0)</f>
        <v>0</v>
      </c>
      <c r="R1823" s="84">
        <f>IF(ISNUMBER($I1823),ABS($I1823),0)</f>
        <v>0</v>
      </c>
      <c r="S1823" s="84">
        <f>IF(ISNUMBER($M1823),ABS($M1823),0)</f>
        <v>0</v>
      </c>
      <c r="T1823" s="85" t="n">
        <v>1815</v>
      </c>
    </row>
    <row r="1824">
      <c r="B1824" s="83" t="n"/>
      <c r="C1824" s="83" t="n"/>
      <c r="D1824" s="83" t="n"/>
      <c r="E1824" s="83" t="n"/>
      <c r="F1824" s="83" t="n"/>
      <c r="G1824" s="83" t="n"/>
      <c r="H1824" s="83" t="n"/>
      <c r="I1824" s="83" t="n"/>
      <c r="J1824" s="83" t="n"/>
      <c r="K1824" s="83" t="n"/>
      <c r="L1824" s="83" t="n"/>
      <c r="M1824" s="83" t="n"/>
      <c r="O1824" s="84" t="str">
        <f>IF($C1824="","",IFERROR(MATCH($B1824&amp;"|"&amp;$C1824,MUROS!$AX$11:$AX$70,0),0))</f>
        <v/>
      </c>
      <c r="P1824" s="84" t="str">
        <f>IF($D1824="","",IF(ISNUMBER(MATCH($D1824,CMB_S,0)),1,IF(ISNUMBER(MATCH($D1824,CMB_G,0)),2,0)))</f>
        <v/>
      </c>
      <c r="Q1824" s="84">
        <f>IF(ISNUMBER($H1824),-$H1824,0)</f>
        <v>0</v>
      </c>
      <c r="R1824" s="84">
        <f>IF(ISNUMBER($I1824),ABS($I1824),0)</f>
        <v>0</v>
      </c>
      <c r="S1824" s="84">
        <f>IF(ISNUMBER($M1824),ABS($M1824),0)</f>
        <v>0</v>
      </c>
      <c r="T1824" s="85" t="n">
        <v>1816</v>
      </c>
    </row>
    <row r="1825">
      <c r="B1825" s="83" t="n"/>
      <c r="C1825" s="83" t="n"/>
      <c r="D1825" s="83" t="n"/>
      <c r="E1825" s="83" t="n"/>
      <c r="F1825" s="83" t="n"/>
      <c r="G1825" s="83" t="n"/>
      <c r="H1825" s="83" t="n"/>
      <c r="I1825" s="83" t="n"/>
      <c r="J1825" s="83" t="n"/>
      <c r="K1825" s="83" t="n"/>
      <c r="L1825" s="83" t="n"/>
      <c r="M1825" s="83" t="n"/>
      <c r="O1825" s="84" t="str">
        <f>IF($C1825="","",IFERROR(MATCH($B1825&amp;"|"&amp;$C1825,MUROS!$AX$11:$AX$70,0),0))</f>
        <v/>
      </c>
      <c r="P1825" s="84" t="str">
        <f>IF($D1825="","",IF(ISNUMBER(MATCH($D1825,CMB_S,0)),1,IF(ISNUMBER(MATCH($D1825,CMB_G,0)),2,0)))</f>
        <v/>
      </c>
      <c r="Q1825" s="84">
        <f>IF(ISNUMBER($H1825),-$H1825,0)</f>
        <v>0</v>
      </c>
      <c r="R1825" s="84">
        <f>IF(ISNUMBER($I1825),ABS($I1825),0)</f>
        <v>0</v>
      </c>
      <c r="S1825" s="84">
        <f>IF(ISNUMBER($M1825),ABS($M1825),0)</f>
        <v>0</v>
      </c>
      <c r="T1825" s="85" t="n">
        <v>1817</v>
      </c>
    </row>
    <row r="1826">
      <c r="B1826" s="83" t="n"/>
      <c r="C1826" s="83" t="n"/>
      <c r="D1826" s="83" t="n"/>
      <c r="E1826" s="83" t="n"/>
      <c r="F1826" s="83" t="n"/>
      <c r="G1826" s="83" t="n"/>
      <c r="H1826" s="83" t="n"/>
      <c r="I1826" s="83" t="n"/>
      <c r="J1826" s="83" t="n"/>
      <c r="K1826" s="83" t="n"/>
      <c r="L1826" s="83" t="n"/>
      <c r="M1826" s="83" t="n"/>
      <c r="O1826" s="84" t="str">
        <f>IF($C1826="","",IFERROR(MATCH($B1826&amp;"|"&amp;$C1826,MUROS!$AX$11:$AX$70,0),0))</f>
        <v/>
      </c>
      <c r="P1826" s="84" t="str">
        <f>IF($D1826="","",IF(ISNUMBER(MATCH($D1826,CMB_S,0)),1,IF(ISNUMBER(MATCH($D1826,CMB_G,0)),2,0)))</f>
        <v/>
      </c>
      <c r="Q1826" s="84">
        <f>IF(ISNUMBER($H1826),-$H1826,0)</f>
        <v>0</v>
      </c>
      <c r="R1826" s="84">
        <f>IF(ISNUMBER($I1826),ABS($I1826),0)</f>
        <v>0</v>
      </c>
      <c r="S1826" s="84">
        <f>IF(ISNUMBER($M1826),ABS($M1826),0)</f>
        <v>0</v>
      </c>
      <c r="T1826" s="85" t="n">
        <v>1818</v>
      </c>
    </row>
    <row r="1827">
      <c r="B1827" s="83" t="n"/>
      <c r="C1827" s="83" t="n"/>
      <c r="D1827" s="83" t="n"/>
      <c r="E1827" s="83" t="n"/>
      <c r="F1827" s="83" t="n"/>
      <c r="G1827" s="83" t="n"/>
      <c r="H1827" s="83" t="n"/>
      <c r="I1827" s="83" t="n"/>
      <c r="J1827" s="83" t="n"/>
      <c r="K1827" s="83" t="n"/>
      <c r="L1827" s="83" t="n"/>
      <c r="M1827" s="83" t="n"/>
      <c r="O1827" s="84" t="str">
        <f>IF($C1827="","",IFERROR(MATCH($B1827&amp;"|"&amp;$C1827,MUROS!$AX$11:$AX$70,0),0))</f>
        <v/>
      </c>
      <c r="P1827" s="84" t="str">
        <f>IF($D1827="","",IF(ISNUMBER(MATCH($D1827,CMB_S,0)),1,IF(ISNUMBER(MATCH($D1827,CMB_G,0)),2,0)))</f>
        <v/>
      </c>
      <c r="Q1827" s="84">
        <f>IF(ISNUMBER($H1827),-$H1827,0)</f>
        <v>0</v>
      </c>
      <c r="R1827" s="84">
        <f>IF(ISNUMBER($I1827),ABS($I1827),0)</f>
        <v>0</v>
      </c>
      <c r="S1827" s="84">
        <f>IF(ISNUMBER($M1827),ABS($M1827),0)</f>
        <v>0</v>
      </c>
      <c r="T1827" s="85" t="n">
        <v>1819</v>
      </c>
    </row>
    <row r="1828">
      <c r="B1828" s="83" t="n"/>
      <c r="C1828" s="83" t="n"/>
      <c r="D1828" s="83" t="n"/>
      <c r="E1828" s="83" t="n"/>
      <c r="F1828" s="83" t="n"/>
      <c r="G1828" s="83" t="n"/>
      <c r="H1828" s="83" t="n"/>
      <c r="I1828" s="83" t="n"/>
      <c r="J1828" s="83" t="n"/>
      <c r="K1828" s="83" t="n"/>
      <c r="L1828" s="83" t="n"/>
      <c r="M1828" s="83" t="n"/>
      <c r="O1828" s="84" t="str">
        <f>IF($C1828="","",IFERROR(MATCH($B1828&amp;"|"&amp;$C1828,MUROS!$AX$11:$AX$70,0),0))</f>
        <v/>
      </c>
      <c r="P1828" s="84" t="str">
        <f>IF($D1828="","",IF(ISNUMBER(MATCH($D1828,CMB_S,0)),1,IF(ISNUMBER(MATCH($D1828,CMB_G,0)),2,0)))</f>
        <v/>
      </c>
      <c r="Q1828" s="84">
        <f>IF(ISNUMBER($H1828),-$H1828,0)</f>
        <v>0</v>
      </c>
      <c r="R1828" s="84">
        <f>IF(ISNUMBER($I1828),ABS($I1828),0)</f>
        <v>0</v>
      </c>
      <c r="S1828" s="84">
        <f>IF(ISNUMBER($M1828),ABS($M1828),0)</f>
        <v>0</v>
      </c>
      <c r="T1828" s="85" t="n">
        <v>1820</v>
      </c>
    </row>
    <row r="1829">
      <c r="B1829" s="83" t="n"/>
      <c r="C1829" s="83" t="n"/>
      <c r="D1829" s="83" t="n"/>
      <c r="E1829" s="83" t="n"/>
      <c r="F1829" s="83" t="n"/>
      <c r="G1829" s="83" t="n"/>
      <c r="H1829" s="83" t="n"/>
      <c r="I1829" s="83" t="n"/>
      <c r="J1829" s="83" t="n"/>
      <c r="K1829" s="83" t="n"/>
      <c r="L1829" s="83" t="n"/>
      <c r="M1829" s="83" t="n"/>
      <c r="O1829" s="84" t="str">
        <f>IF($C1829="","",IFERROR(MATCH($B1829&amp;"|"&amp;$C1829,MUROS!$AX$11:$AX$70,0),0))</f>
        <v/>
      </c>
      <c r="P1829" s="84" t="str">
        <f>IF($D1829="","",IF(ISNUMBER(MATCH($D1829,CMB_S,0)),1,IF(ISNUMBER(MATCH($D1829,CMB_G,0)),2,0)))</f>
        <v/>
      </c>
      <c r="Q1829" s="84">
        <f>IF(ISNUMBER($H1829),-$H1829,0)</f>
        <v>0</v>
      </c>
      <c r="R1829" s="84">
        <f>IF(ISNUMBER($I1829),ABS($I1829),0)</f>
        <v>0</v>
      </c>
      <c r="S1829" s="84">
        <f>IF(ISNUMBER($M1829),ABS($M1829),0)</f>
        <v>0</v>
      </c>
      <c r="T1829" s="85" t="n">
        <v>1821</v>
      </c>
    </row>
    <row r="1830">
      <c r="B1830" s="83" t="n"/>
      <c r="C1830" s="83" t="n"/>
      <c r="D1830" s="83" t="n"/>
      <c r="E1830" s="83" t="n"/>
      <c r="F1830" s="83" t="n"/>
      <c r="G1830" s="83" t="n"/>
      <c r="H1830" s="83" t="n"/>
      <c r="I1830" s="83" t="n"/>
      <c r="J1830" s="83" t="n"/>
      <c r="K1830" s="83" t="n"/>
      <c r="L1830" s="83" t="n"/>
      <c r="M1830" s="83" t="n"/>
      <c r="O1830" s="84" t="str">
        <f>IF($C1830="","",IFERROR(MATCH($B1830&amp;"|"&amp;$C1830,MUROS!$AX$11:$AX$70,0),0))</f>
        <v/>
      </c>
      <c r="P1830" s="84" t="str">
        <f>IF($D1830="","",IF(ISNUMBER(MATCH($D1830,CMB_S,0)),1,IF(ISNUMBER(MATCH($D1830,CMB_G,0)),2,0)))</f>
        <v/>
      </c>
      <c r="Q1830" s="84">
        <f>IF(ISNUMBER($H1830),-$H1830,0)</f>
        <v>0</v>
      </c>
      <c r="R1830" s="84">
        <f>IF(ISNUMBER($I1830),ABS($I1830),0)</f>
        <v>0</v>
      </c>
      <c r="S1830" s="84">
        <f>IF(ISNUMBER($M1830),ABS($M1830),0)</f>
        <v>0</v>
      </c>
      <c r="T1830" s="85" t="n">
        <v>1822</v>
      </c>
    </row>
    <row r="1831">
      <c r="B1831" s="83" t="n"/>
      <c r="C1831" s="83" t="n"/>
      <c r="D1831" s="83" t="n"/>
      <c r="E1831" s="83" t="n"/>
      <c r="F1831" s="83" t="n"/>
      <c r="G1831" s="83" t="n"/>
      <c r="H1831" s="83" t="n"/>
      <c r="I1831" s="83" t="n"/>
      <c r="J1831" s="83" t="n"/>
      <c r="K1831" s="83" t="n"/>
      <c r="L1831" s="83" t="n"/>
      <c r="M1831" s="83" t="n"/>
      <c r="O1831" s="84" t="str">
        <f>IF($C1831="","",IFERROR(MATCH($B1831&amp;"|"&amp;$C1831,MUROS!$AX$11:$AX$70,0),0))</f>
        <v/>
      </c>
      <c r="P1831" s="84" t="str">
        <f>IF($D1831="","",IF(ISNUMBER(MATCH($D1831,CMB_S,0)),1,IF(ISNUMBER(MATCH($D1831,CMB_G,0)),2,0)))</f>
        <v/>
      </c>
      <c r="Q1831" s="84">
        <f>IF(ISNUMBER($H1831),-$H1831,0)</f>
        <v>0</v>
      </c>
      <c r="R1831" s="84">
        <f>IF(ISNUMBER($I1831),ABS($I1831),0)</f>
        <v>0</v>
      </c>
      <c r="S1831" s="84">
        <f>IF(ISNUMBER($M1831),ABS($M1831),0)</f>
        <v>0</v>
      </c>
      <c r="T1831" s="85" t="n">
        <v>1823</v>
      </c>
    </row>
    <row r="1832">
      <c r="B1832" s="83" t="n"/>
      <c r="C1832" s="83" t="n"/>
      <c r="D1832" s="83" t="n"/>
      <c r="E1832" s="83" t="n"/>
      <c r="F1832" s="83" t="n"/>
      <c r="G1832" s="83" t="n"/>
      <c r="H1832" s="83" t="n"/>
      <c r="I1832" s="83" t="n"/>
      <c r="J1832" s="83" t="n"/>
      <c r="K1832" s="83" t="n"/>
      <c r="L1832" s="83" t="n"/>
      <c r="M1832" s="83" t="n"/>
      <c r="O1832" s="84" t="str">
        <f>IF($C1832="","",IFERROR(MATCH($B1832&amp;"|"&amp;$C1832,MUROS!$AX$11:$AX$70,0),0))</f>
        <v/>
      </c>
      <c r="P1832" s="84" t="str">
        <f>IF($D1832="","",IF(ISNUMBER(MATCH($D1832,CMB_S,0)),1,IF(ISNUMBER(MATCH($D1832,CMB_G,0)),2,0)))</f>
        <v/>
      </c>
      <c r="Q1832" s="84">
        <f>IF(ISNUMBER($H1832),-$H1832,0)</f>
        <v>0</v>
      </c>
      <c r="R1832" s="84">
        <f>IF(ISNUMBER($I1832),ABS($I1832),0)</f>
        <v>0</v>
      </c>
      <c r="S1832" s="84">
        <f>IF(ISNUMBER($M1832),ABS($M1832),0)</f>
        <v>0</v>
      </c>
      <c r="T1832" s="85" t="n">
        <v>1824</v>
      </c>
    </row>
    <row r="1833">
      <c r="B1833" s="83" t="n"/>
      <c r="C1833" s="83" t="n"/>
      <c r="D1833" s="83" t="n"/>
      <c r="E1833" s="83" t="n"/>
      <c r="F1833" s="83" t="n"/>
      <c r="G1833" s="83" t="n"/>
      <c r="H1833" s="83" t="n"/>
      <c r="I1833" s="83" t="n"/>
      <c r="J1833" s="83" t="n"/>
      <c r="K1833" s="83" t="n"/>
      <c r="L1833" s="83" t="n"/>
      <c r="M1833" s="83" t="n"/>
      <c r="O1833" s="84" t="str">
        <f>IF($C1833="","",IFERROR(MATCH($B1833&amp;"|"&amp;$C1833,MUROS!$AX$11:$AX$70,0),0))</f>
        <v/>
      </c>
      <c r="P1833" s="84" t="str">
        <f>IF($D1833="","",IF(ISNUMBER(MATCH($D1833,CMB_S,0)),1,IF(ISNUMBER(MATCH($D1833,CMB_G,0)),2,0)))</f>
        <v/>
      </c>
      <c r="Q1833" s="84">
        <f>IF(ISNUMBER($H1833),-$H1833,0)</f>
        <v>0</v>
      </c>
      <c r="R1833" s="84">
        <f>IF(ISNUMBER($I1833),ABS($I1833),0)</f>
        <v>0</v>
      </c>
      <c r="S1833" s="84">
        <f>IF(ISNUMBER($M1833),ABS($M1833),0)</f>
        <v>0</v>
      </c>
      <c r="T1833" s="85" t="n">
        <v>1825</v>
      </c>
    </row>
    <row r="1834">
      <c r="B1834" s="83" t="n"/>
      <c r="C1834" s="83" t="n"/>
      <c r="D1834" s="83" t="n"/>
      <c r="E1834" s="83" t="n"/>
      <c r="F1834" s="83" t="n"/>
      <c r="G1834" s="83" t="n"/>
      <c r="H1834" s="83" t="n"/>
      <c r="I1834" s="83" t="n"/>
      <c r="J1834" s="83" t="n"/>
      <c r="K1834" s="83" t="n"/>
      <c r="L1834" s="83" t="n"/>
      <c r="M1834" s="83" t="n"/>
      <c r="O1834" s="84" t="str">
        <f>IF($C1834="","",IFERROR(MATCH($B1834&amp;"|"&amp;$C1834,MUROS!$AX$11:$AX$70,0),0))</f>
        <v/>
      </c>
      <c r="P1834" s="84" t="str">
        <f>IF($D1834="","",IF(ISNUMBER(MATCH($D1834,CMB_S,0)),1,IF(ISNUMBER(MATCH($D1834,CMB_G,0)),2,0)))</f>
        <v/>
      </c>
      <c r="Q1834" s="84">
        <f>IF(ISNUMBER($H1834),-$H1834,0)</f>
        <v>0</v>
      </c>
      <c r="R1834" s="84">
        <f>IF(ISNUMBER($I1834),ABS($I1834),0)</f>
        <v>0</v>
      </c>
      <c r="S1834" s="84">
        <f>IF(ISNUMBER($M1834),ABS($M1834),0)</f>
        <v>0</v>
      </c>
      <c r="T1834" s="85" t="n">
        <v>1826</v>
      </c>
    </row>
    <row r="1835">
      <c r="B1835" s="83" t="n"/>
      <c r="C1835" s="83" t="n"/>
      <c r="D1835" s="83" t="n"/>
      <c r="E1835" s="83" t="n"/>
      <c r="F1835" s="83" t="n"/>
      <c r="G1835" s="83" t="n"/>
      <c r="H1835" s="83" t="n"/>
      <c r="I1835" s="83" t="n"/>
      <c r="J1835" s="83" t="n"/>
      <c r="K1835" s="83" t="n"/>
      <c r="L1835" s="83" t="n"/>
      <c r="M1835" s="83" t="n"/>
      <c r="O1835" s="84" t="str">
        <f>IF($C1835="","",IFERROR(MATCH($B1835&amp;"|"&amp;$C1835,MUROS!$AX$11:$AX$70,0),0))</f>
        <v/>
      </c>
      <c r="P1835" s="84" t="str">
        <f>IF($D1835="","",IF(ISNUMBER(MATCH($D1835,CMB_S,0)),1,IF(ISNUMBER(MATCH($D1835,CMB_G,0)),2,0)))</f>
        <v/>
      </c>
      <c r="Q1835" s="84">
        <f>IF(ISNUMBER($H1835),-$H1835,0)</f>
        <v>0</v>
      </c>
      <c r="R1835" s="84">
        <f>IF(ISNUMBER($I1835),ABS($I1835),0)</f>
        <v>0</v>
      </c>
      <c r="S1835" s="84">
        <f>IF(ISNUMBER($M1835),ABS($M1835),0)</f>
        <v>0</v>
      </c>
      <c r="T1835" s="85" t="n">
        <v>1827</v>
      </c>
    </row>
    <row r="1836">
      <c r="B1836" s="83" t="n"/>
      <c r="C1836" s="83" t="n"/>
      <c r="D1836" s="83" t="n"/>
      <c r="E1836" s="83" t="n"/>
      <c r="F1836" s="83" t="n"/>
      <c r="G1836" s="83" t="n"/>
      <c r="H1836" s="83" t="n"/>
      <c r="I1836" s="83" t="n"/>
      <c r="J1836" s="83" t="n"/>
      <c r="K1836" s="83" t="n"/>
      <c r="L1836" s="83" t="n"/>
      <c r="M1836" s="83" t="n"/>
      <c r="O1836" s="84" t="str">
        <f>IF($C1836="","",IFERROR(MATCH($B1836&amp;"|"&amp;$C1836,MUROS!$AX$11:$AX$70,0),0))</f>
        <v/>
      </c>
      <c r="P1836" s="84" t="str">
        <f>IF($D1836="","",IF(ISNUMBER(MATCH($D1836,CMB_S,0)),1,IF(ISNUMBER(MATCH($D1836,CMB_G,0)),2,0)))</f>
        <v/>
      </c>
      <c r="Q1836" s="84">
        <f>IF(ISNUMBER($H1836),-$H1836,0)</f>
        <v>0</v>
      </c>
      <c r="R1836" s="84">
        <f>IF(ISNUMBER($I1836),ABS($I1836),0)</f>
        <v>0</v>
      </c>
      <c r="S1836" s="84">
        <f>IF(ISNUMBER($M1836),ABS($M1836),0)</f>
        <v>0</v>
      </c>
      <c r="T1836" s="85" t="n">
        <v>1828</v>
      </c>
    </row>
    <row r="1837">
      <c r="B1837" s="83" t="n"/>
      <c r="C1837" s="83" t="n"/>
      <c r="D1837" s="83" t="n"/>
      <c r="E1837" s="83" t="n"/>
      <c r="F1837" s="83" t="n"/>
      <c r="G1837" s="83" t="n"/>
      <c r="H1837" s="83" t="n"/>
      <c r="I1837" s="83" t="n"/>
      <c r="J1837" s="83" t="n"/>
      <c r="K1837" s="83" t="n"/>
      <c r="L1837" s="83" t="n"/>
      <c r="M1837" s="83" t="n"/>
      <c r="O1837" s="84" t="str">
        <f>IF($C1837="","",IFERROR(MATCH($B1837&amp;"|"&amp;$C1837,MUROS!$AX$11:$AX$70,0),0))</f>
        <v/>
      </c>
      <c r="P1837" s="84" t="str">
        <f>IF($D1837="","",IF(ISNUMBER(MATCH($D1837,CMB_S,0)),1,IF(ISNUMBER(MATCH($D1837,CMB_G,0)),2,0)))</f>
        <v/>
      </c>
      <c r="Q1837" s="84">
        <f>IF(ISNUMBER($H1837),-$H1837,0)</f>
        <v>0</v>
      </c>
      <c r="R1837" s="84">
        <f>IF(ISNUMBER($I1837),ABS($I1837),0)</f>
        <v>0</v>
      </c>
      <c r="S1837" s="84">
        <f>IF(ISNUMBER($M1837),ABS($M1837),0)</f>
        <v>0</v>
      </c>
      <c r="T1837" s="85" t="n">
        <v>1829</v>
      </c>
    </row>
    <row r="1838">
      <c r="B1838" s="83" t="n"/>
      <c r="C1838" s="83" t="n"/>
      <c r="D1838" s="83" t="n"/>
      <c r="E1838" s="83" t="n"/>
      <c r="F1838" s="83" t="n"/>
      <c r="G1838" s="83" t="n"/>
      <c r="H1838" s="83" t="n"/>
      <c r="I1838" s="83" t="n"/>
      <c r="J1838" s="83" t="n"/>
      <c r="K1838" s="83" t="n"/>
      <c r="L1838" s="83" t="n"/>
      <c r="M1838" s="83" t="n"/>
      <c r="O1838" s="84" t="str">
        <f>IF($C1838="","",IFERROR(MATCH($B1838&amp;"|"&amp;$C1838,MUROS!$AX$11:$AX$70,0),0))</f>
        <v/>
      </c>
      <c r="P1838" s="84" t="str">
        <f>IF($D1838="","",IF(ISNUMBER(MATCH($D1838,CMB_S,0)),1,IF(ISNUMBER(MATCH($D1838,CMB_G,0)),2,0)))</f>
        <v/>
      </c>
      <c r="Q1838" s="84">
        <f>IF(ISNUMBER($H1838),-$H1838,0)</f>
        <v>0</v>
      </c>
      <c r="R1838" s="84">
        <f>IF(ISNUMBER($I1838),ABS($I1838),0)</f>
        <v>0</v>
      </c>
      <c r="S1838" s="84">
        <f>IF(ISNUMBER($M1838),ABS($M1838),0)</f>
        <v>0</v>
      </c>
      <c r="T1838" s="85" t="n">
        <v>1830</v>
      </c>
    </row>
    <row r="1839">
      <c r="B1839" s="83" t="n"/>
      <c r="C1839" s="83" t="n"/>
      <c r="D1839" s="83" t="n"/>
      <c r="E1839" s="83" t="n"/>
      <c r="F1839" s="83" t="n"/>
      <c r="G1839" s="83" t="n"/>
      <c r="H1839" s="83" t="n"/>
      <c r="I1839" s="83" t="n"/>
      <c r="J1839" s="83" t="n"/>
      <c r="K1839" s="83" t="n"/>
      <c r="L1839" s="83" t="n"/>
      <c r="M1839" s="83" t="n"/>
      <c r="O1839" s="84" t="str">
        <f>IF($C1839="","",IFERROR(MATCH($B1839&amp;"|"&amp;$C1839,MUROS!$AX$11:$AX$70,0),0))</f>
        <v/>
      </c>
      <c r="P1839" s="84" t="str">
        <f>IF($D1839="","",IF(ISNUMBER(MATCH($D1839,CMB_S,0)),1,IF(ISNUMBER(MATCH($D1839,CMB_G,0)),2,0)))</f>
        <v/>
      </c>
      <c r="Q1839" s="84">
        <f>IF(ISNUMBER($H1839),-$H1839,0)</f>
        <v>0</v>
      </c>
      <c r="R1839" s="84">
        <f>IF(ISNUMBER($I1839),ABS($I1839),0)</f>
        <v>0</v>
      </c>
      <c r="S1839" s="84">
        <f>IF(ISNUMBER($M1839),ABS($M1839),0)</f>
        <v>0</v>
      </c>
      <c r="T1839" s="85" t="n">
        <v>1831</v>
      </c>
    </row>
    <row r="1840">
      <c r="B1840" s="83" t="n"/>
      <c r="C1840" s="83" t="n"/>
      <c r="D1840" s="83" t="n"/>
      <c r="E1840" s="83" t="n"/>
      <c r="F1840" s="83" t="n"/>
      <c r="G1840" s="83" t="n"/>
      <c r="H1840" s="83" t="n"/>
      <c r="I1840" s="83" t="n"/>
      <c r="J1840" s="83" t="n"/>
      <c r="K1840" s="83" t="n"/>
      <c r="L1840" s="83" t="n"/>
      <c r="M1840" s="83" t="n"/>
      <c r="O1840" s="84" t="str">
        <f>IF($C1840="","",IFERROR(MATCH($B1840&amp;"|"&amp;$C1840,MUROS!$AX$11:$AX$70,0),0))</f>
        <v/>
      </c>
      <c r="P1840" s="84" t="str">
        <f>IF($D1840="","",IF(ISNUMBER(MATCH($D1840,CMB_S,0)),1,IF(ISNUMBER(MATCH($D1840,CMB_G,0)),2,0)))</f>
        <v/>
      </c>
      <c r="Q1840" s="84">
        <f>IF(ISNUMBER($H1840),-$H1840,0)</f>
        <v>0</v>
      </c>
      <c r="R1840" s="84">
        <f>IF(ISNUMBER($I1840),ABS($I1840),0)</f>
        <v>0</v>
      </c>
      <c r="S1840" s="84">
        <f>IF(ISNUMBER($M1840),ABS($M1840),0)</f>
        <v>0</v>
      </c>
      <c r="T1840" s="85" t="n">
        <v>1832</v>
      </c>
    </row>
    <row r="1841">
      <c r="B1841" s="83" t="n"/>
      <c r="C1841" s="83" t="n"/>
      <c r="D1841" s="83" t="n"/>
      <c r="E1841" s="83" t="n"/>
      <c r="F1841" s="83" t="n"/>
      <c r="G1841" s="83" t="n"/>
      <c r="H1841" s="83" t="n"/>
      <c r="I1841" s="83" t="n"/>
      <c r="J1841" s="83" t="n"/>
      <c r="K1841" s="83" t="n"/>
      <c r="L1841" s="83" t="n"/>
      <c r="M1841" s="83" t="n"/>
      <c r="O1841" s="84" t="str">
        <f>IF($C1841="","",IFERROR(MATCH($B1841&amp;"|"&amp;$C1841,MUROS!$AX$11:$AX$70,0),0))</f>
        <v/>
      </c>
      <c r="P1841" s="84" t="str">
        <f>IF($D1841="","",IF(ISNUMBER(MATCH($D1841,CMB_S,0)),1,IF(ISNUMBER(MATCH($D1841,CMB_G,0)),2,0)))</f>
        <v/>
      </c>
      <c r="Q1841" s="84">
        <f>IF(ISNUMBER($H1841),-$H1841,0)</f>
        <v>0</v>
      </c>
      <c r="R1841" s="84">
        <f>IF(ISNUMBER($I1841),ABS($I1841),0)</f>
        <v>0</v>
      </c>
      <c r="S1841" s="84">
        <f>IF(ISNUMBER($M1841),ABS($M1841),0)</f>
        <v>0</v>
      </c>
      <c r="T1841" s="85" t="n">
        <v>1833</v>
      </c>
    </row>
    <row r="1842">
      <c r="B1842" s="83" t="n"/>
      <c r="C1842" s="83" t="n"/>
      <c r="D1842" s="83" t="n"/>
      <c r="E1842" s="83" t="n"/>
      <c r="F1842" s="83" t="n"/>
      <c r="G1842" s="83" t="n"/>
      <c r="H1842" s="83" t="n"/>
      <c r="I1842" s="83" t="n"/>
      <c r="J1842" s="83" t="n"/>
      <c r="K1842" s="83" t="n"/>
      <c r="L1842" s="83" t="n"/>
      <c r="M1842" s="83" t="n"/>
      <c r="O1842" s="84" t="str">
        <f>IF($C1842="","",IFERROR(MATCH($B1842&amp;"|"&amp;$C1842,MUROS!$AX$11:$AX$70,0),0))</f>
        <v/>
      </c>
      <c r="P1842" s="84" t="str">
        <f>IF($D1842="","",IF(ISNUMBER(MATCH($D1842,CMB_S,0)),1,IF(ISNUMBER(MATCH($D1842,CMB_G,0)),2,0)))</f>
        <v/>
      </c>
      <c r="Q1842" s="84">
        <f>IF(ISNUMBER($H1842),-$H1842,0)</f>
        <v>0</v>
      </c>
      <c r="R1842" s="84">
        <f>IF(ISNUMBER($I1842),ABS($I1842),0)</f>
        <v>0</v>
      </c>
      <c r="S1842" s="84">
        <f>IF(ISNUMBER($M1842),ABS($M1842),0)</f>
        <v>0</v>
      </c>
      <c r="T1842" s="85" t="n">
        <v>1834</v>
      </c>
    </row>
    <row r="1843">
      <c r="B1843" s="83" t="n"/>
      <c r="C1843" s="83" t="n"/>
      <c r="D1843" s="83" t="n"/>
      <c r="E1843" s="83" t="n"/>
      <c r="F1843" s="83" t="n"/>
      <c r="G1843" s="83" t="n"/>
      <c r="H1843" s="83" t="n"/>
      <c r="I1843" s="83" t="n"/>
      <c r="J1843" s="83" t="n"/>
      <c r="K1843" s="83" t="n"/>
      <c r="L1843" s="83" t="n"/>
      <c r="M1843" s="83" t="n"/>
      <c r="O1843" s="84" t="str">
        <f>IF($C1843="","",IFERROR(MATCH($B1843&amp;"|"&amp;$C1843,MUROS!$AX$11:$AX$70,0),0))</f>
        <v/>
      </c>
      <c r="P1843" s="84" t="str">
        <f>IF($D1843="","",IF(ISNUMBER(MATCH($D1843,CMB_S,0)),1,IF(ISNUMBER(MATCH($D1843,CMB_G,0)),2,0)))</f>
        <v/>
      </c>
      <c r="Q1843" s="84">
        <f>IF(ISNUMBER($H1843),-$H1843,0)</f>
        <v>0</v>
      </c>
      <c r="R1843" s="84">
        <f>IF(ISNUMBER($I1843),ABS($I1843),0)</f>
        <v>0</v>
      </c>
      <c r="S1843" s="84">
        <f>IF(ISNUMBER($M1843),ABS($M1843),0)</f>
        <v>0</v>
      </c>
      <c r="T1843" s="85" t="n">
        <v>1835</v>
      </c>
    </row>
    <row r="1844">
      <c r="B1844" s="83" t="n"/>
      <c r="C1844" s="83" t="n"/>
      <c r="D1844" s="83" t="n"/>
      <c r="E1844" s="83" t="n"/>
      <c r="F1844" s="83" t="n"/>
      <c r="G1844" s="83" t="n"/>
      <c r="H1844" s="83" t="n"/>
      <c r="I1844" s="83" t="n"/>
      <c r="J1844" s="83" t="n"/>
      <c r="K1844" s="83" t="n"/>
      <c r="L1844" s="83" t="n"/>
      <c r="M1844" s="83" t="n"/>
      <c r="O1844" s="84" t="str">
        <f>IF($C1844="","",IFERROR(MATCH($B1844&amp;"|"&amp;$C1844,MUROS!$AX$11:$AX$70,0),0))</f>
        <v/>
      </c>
      <c r="P1844" s="84" t="str">
        <f>IF($D1844="","",IF(ISNUMBER(MATCH($D1844,CMB_S,0)),1,IF(ISNUMBER(MATCH($D1844,CMB_G,0)),2,0)))</f>
        <v/>
      </c>
      <c r="Q1844" s="84">
        <f>IF(ISNUMBER($H1844),-$H1844,0)</f>
        <v>0</v>
      </c>
      <c r="R1844" s="84">
        <f>IF(ISNUMBER($I1844),ABS($I1844),0)</f>
        <v>0</v>
      </c>
      <c r="S1844" s="84">
        <f>IF(ISNUMBER($M1844),ABS($M1844),0)</f>
        <v>0</v>
      </c>
      <c r="T1844" s="85" t="n">
        <v>1836</v>
      </c>
    </row>
    <row r="1845">
      <c r="B1845" s="83" t="n"/>
      <c r="C1845" s="83" t="n"/>
      <c r="D1845" s="83" t="n"/>
      <c r="E1845" s="83" t="n"/>
      <c r="F1845" s="83" t="n"/>
      <c r="G1845" s="83" t="n"/>
      <c r="H1845" s="83" t="n"/>
      <c r="I1845" s="83" t="n"/>
      <c r="J1845" s="83" t="n"/>
      <c r="K1845" s="83" t="n"/>
      <c r="L1845" s="83" t="n"/>
      <c r="M1845" s="83" t="n"/>
      <c r="O1845" s="84" t="str">
        <f>IF($C1845="","",IFERROR(MATCH($B1845&amp;"|"&amp;$C1845,MUROS!$AX$11:$AX$70,0),0))</f>
        <v/>
      </c>
      <c r="P1845" s="84" t="str">
        <f>IF($D1845="","",IF(ISNUMBER(MATCH($D1845,CMB_S,0)),1,IF(ISNUMBER(MATCH($D1845,CMB_G,0)),2,0)))</f>
        <v/>
      </c>
      <c r="Q1845" s="84">
        <f>IF(ISNUMBER($H1845),-$H1845,0)</f>
        <v>0</v>
      </c>
      <c r="R1845" s="84">
        <f>IF(ISNUMBER($I1845),ABS($I1845),0)</f>
        <v>0</v>
      </c>
      <c r="S1845" s="84">
        <f>IF(ISNUMBER($M1845),ABS($M1845),0)</f>
        <v>0</v>
      </c>
      <c r="T1845" s="85" t="n">
        <v>1837</v>
      </c>
    </row>
    <row r="1846">
      <c r="B1846" s="83" t="n"/>
      <c r="C1846" s="83" t="n"/>
      <c r="D1846" s="83" t="n"/>
      <c r="E1846" s="83" t="n"/>
      <c r="F1846" s="83" t="n"/>
      <c r="G1846" s="83" t="n"/>
      <c r="H1846" s="83" t="n"/>
      <c r="I1846" s="83" t="n"/>
      <c r="J1846" s="83" t="n"/>
      <c r="K1846" s="83" t="n"/>
      <c r="L1846" s="83" t="n"/>
      <c r="M1846" s="83" t="n"/>
      <c r="O1846" s="84" t="str">
        <f>IF($C1846="","",IFERROR(MATCH($B1846&amp;"|"&amp;$C1846,MUROS!$AX$11:$AX$70,0),0))</f>
        <v/>
      </c>
      <c r="P1846" s="84" t="str">
        <f>IF($D1846="","",IF(ISNUMBER(MATCH($D1846,CMB_S,0)),1,IF(ISNUMBER(MATCH($D1846,CMB_G,0)),2,0)))</f>
        <v/>
      </c>
      <c r="Q1846" s="84">
        <f>IF(ISNUMBER($H1846),-$H1846,0)</f>
        <v>0</v>
      </c>
      <c r="R1846" s="84">
        <f>IF(ISNUMBER($I1846),ABS($I1846),0)</f>
        <v>0</v>
      </c>
      <c r="S1846" s="84">
        <f>IF(ISNUMBER($M1846),ABS($M1846),0)</f>
        <v>0</v>
      </c>
      <c r="T1846" s="85" t="n">
        <v>1838</v>
      </c>
    </row>
    <row r="1847">
      <c r="B1847" s="83" t="n"/>
      <c r="C1847" s="83" t="n"/>
      <c r="D1847" s="83" t="n"/>
      <c r="E1847" s="83" t="n"/>
      <c r="F1847" s="83" t="n"/>
      <c r="G1847" s="83" t="n"/>
      <c r="H1847" s="83" t="n"/>
      <c r="I1847" s="83" t="n"/>
      <c r="J1847" s="83" t="n"/>
      <c r="K1847" s="83" t="n"/>
      <c r="L1847" s="83" t="n"/>
      <c r="M1847" s="83" t="n"/>
      <c r="O1847" s="84" t="str">
        <f>IF($C1847="","",IFERROR(MATCH($B1847&amp;"|"&amp;$C1847,MUROS!$AX$11:$AX$70,0),0))</f>
        <v/>
      </c>
      <c r="P1847" s="84" t="str">
        <f>IF($D1847="","",IF(ISNUMBER(MATCH($D1847,CMB_S,0)),1,IF(ISNUMBER(MATCH($D1847,CMB_G,0)),2,0)))</f>
        <v/>
      </c>
      <c r="Q1847" s="84">
        <f>IF(ISNUMBER($H1847),-$H1847,0)</f>
        <v>0</v>
      </c>
      <c r="R1847" s="84">
        <f>IF(ISNUMBER($I1847),ABS($I1847),0)</f>
        <v>0</v>
      </c>
      <c r="S1847" s="84">
        <f>IF(ISNUMBER($M1847),ABS($M1847),0)</f>
        <v>0</v>
      </c>
      <c r="T1847" s="85" t="n">
        <v>1839</v>
      </c>
    </row>
    <row r="1848">
      <c r="B1848" s="83" t="n"/>
      <c r="C1848" s="83" t="n"/>
      <c r="D1848" s="83" t="n"/>
      <c r="E1848" s="83" t="n"/>
      <c r="F1848" s="83" t="n"/>
      <c r="G1848" s="83" t="n"/>
      <c r="H1848" s="83" t="n"/>
      <c r="I1848" s="83" t="n"/>
      <c r="J1848" s="83" t="n"/>
      <c r="K1848" s="83" t="n"/>
      <c r="L1848" s="83" t="n"/>
      <c r="M1848" s="83" t="n"/>
      <c r="O1848" s="84" t="str">
        <f>IF($C1848="","",IFERROR(MATCH($B1848&amp;"|"&amp;$C1848,MUROS!$AX$11:$AX$70,0),0))</f>
        <v/>
      </c>
      <c r="P1848" s="84" t="str">
        <f>IF($D1848="","",IF(ISNUMBER(MATCH($D1848,CMB_S,0)),1,IF(ISNUMBER(MATCH($D1848,CMB_G,0)),2,0)))</f>
        <v/>
      </c>
      <c r="Q1848" s="84">
        <f>IF(ISNUMBER($H1848),-$H1848,0)</f>
        <v>0</v>
      </c>
      <c r="R1848" s="84">
        <f>IF(ISNUMBER($I1848),ABS($I1848),0)</f>
        <v>0</v>
      </c>
      <c r="S1848" s="84">
        <f>IF(ISNUMBER($M1848),ABS($M1848),0)</f>
        <v>0</v>
      </c>
      <c r="T1848" s="85" t="n">
        <v>1840</v>
      </c>
    </row>
    <row r="1849">
      <c r="B1849" s="83" t="n"/>
      <c r="C1849" s="83" t="n"/>
      <c r="D1849" s="83" t="n"/>
      <c r="E1849" s="83" t="n"/>
      <c r="F1849" s="83" t="n"/>
      <c r="G1849" s="83" t="n"/>
      <c r="H1849" s="83" t="n"/>
      <c r="I1849" s="83" t="n"/>
      <c r="J1849" s="83" t="n"/>
      <c r="K1849" s="83" t="n"/>
      <c r="L1849" s="83" t="n"/>
      <c r="M1849" s="83" t="n"/>
      <c r="O1849" s="84" t="str">
        <f>IF($C1849="","",IFERROR(MATCH($B1849&amp;"|"&amp;$C1849,MUROS!$AX$11:$AX$70,0),0))</f>
        <v/>
      </c>
      <c r="P1849" s="84" t="str">
        <f>IF($D1849="","",IF(ISNUMBER(MATCH($D1849,CMB_S,0)),1,IF(ISNUMBER(MATCH($D1849,CMB_G,0)),2,0)))</f>
        <v/>
      </c>
      <c r="Q1849" s="84">
        <f>IF(ISNUMBER($H1849),-$H1849,0)</f>
        <v>0</v>
      </c>
      <c r="R1849" s="84">
        <f>IF(ISNUMBER($I1849),ABS($I1849),0)</f>
        <v>0</v>
      </c>
      <c r="S1849" s="84">
        <f>IF(ISNUMBER($M1849),ABS($M1849),0)</f>
        <v>0</v>
      </c>
      <c r="T1849" s="85" t="n">
        <v>1841</v>
      </c>
    </row>
    <row r="1850">
      <c r="B1850" s="83" t="n"/>
      <c r="C1850" s="83" t="n"/>
      <c r="D1850" s="83" t="n"/>
      <c r="E1850" s="83" t="n"/>
      <c r="F1850" s="83" t="n"/>
      <c r="G1850" s="83" t="n"/>
      <c r="H1850" s="83" t="n"/>
      <c r="I1850" s="83" t="n"/>
      <c r="J1850" s="83" t="n"/>
      <c r="K1850" s="83" t="n"/>
      <c r="L1850" s="83" t="n"/>
      <c r="M1850" s="83" t="n"/>
      <c r="O1850" s="84" t="str">
        <f>IF($C1850="","",IFERROR(MATCH($B1850&amp;"|"&amp;$C1850,MUROS!$AX$11:$AX$70,0),0))</f>
        <v/>
      </c>
      <c r="P1850" s="84" t="str">
        <f>IF($D1850="","",IF(ISNUMBER(MATCH($D1850,CMB_S,0)),1,IF(ISNUMBER(MATCH($D1850,CMB_G,0)),2,0)))</f>
        <v/>
      </c>
      <c r="Q1850" s="84">
        <f>IF(ISNUMBER($H1850),-$H1850,0)</f>
        <v>0</v>
      </c>
      <c r="R1850" s="84">
        <f>IF(ISNUMBER($I1850),ABS($I1850),0)</f>
        <v>0</v>
      </c>
      <c r="S1850" s="84">
        <f>IF(ISNUMBER($M1850),ABS($M1850),0)</f>
        <v>0</v>
      </c>
      <c r="T1850" s="85" t="n">
        <v>1842</v>
      </c>
    </row>
    <row r="1851">
      <c r="B1851" s="83" t="n"/>
      <c r="C1851" s="83" t="n"/>
      <c r="D1851" s="83" t="n"/>
      <c r="E1851" s="83" t="n"/>
      <c r="F1851" s="83" t="n"/>
      <c r="G1851" s="83" t="n"/>
      <c r="H1851" s="83" t="n"/>
      <c r="I1851" s="83" t="n"/>
      <c r="J1851" s="83" t="n"/>
      <c r="K1851" s="83" t="n"/>
      <c r="L1851" s="83" t="n"/>
      <c r="M1851" s="83" t="n"/>
      <c r="O1851" s="84" t="str">
        <f>IF($C1851="","",IFERROR(MATCH($B1851&amp;"|"&amp;$C1851,MUROS!$AX$11:$AX$70,0),0))</f>
        <v/>
      </c>
      <c r="P1851" s="84" t="str">
        <f>IF($D1851="","",IF(ISNUMBER(MATCH($D1851,CMB_S,0)),1,IF(ISNUMBER(MATCH($D1851,CMB_G,0)),2,0)))</f>
        <v/>
      </c>
      <c r="Q1851" s="84">
        <f>IF(ISNUMBER($H1851),-$H1851,0)</f>
        <v>0</v>
      </c>
      <c r="R1851" s="84">
        <f>IF(ISNUMBER($I1851),ABS($I1851),0)</f>
        <v>0</v>
      </c>
      <c r="S1851" s="84">
        <f>IF(ISNUMBER($M1851),ABS($M1851),0)</f>
        <v>0</v>
      </c>
      <c r="T1851" s="85" t="n">
        <v>1843</v>
      </c>
    </row>
    <row r="1852">
      <c r="B1852" s="83" t="n"/>
      <c r="C1852" s="83" t="n"/>
      <c r="D1852" s="83" t="n"/>
      <c r="E1852" s="83" t="n"/>
      <c r="F1852" s="83" t="n"/>
      <c r="G1852" s="83" t="n"/>
      <c r="H1852" s="83" t="n"/>
      <c r="I1852" s="83" t="n"/>
      <c r="J1852" s="83" t="n"/>
      <c r="K1852" s="83" t="n"/>
      <c r="L1852" s="83" t="n"/>
      <c r="M1852" s="83" t="n"/>
      <c r="O1852" s="84" t="str">
        <f>IF($C1852="","",IFERROR(MATCH($B1852&amp;"|"&amp;$C1852,MUROS!$AX$11:$AX$70,0),0))</f>
        <v/>
      </c>
      <c r="P1852" s="84" t="str">
        <f>IF($D1852="","",IF(ISNUMBER(MATCH($D1852,CMB_S,0)),1,IF(ISNUMBER(MATCH($D1852,CMB_G,0)),2,0)))</f>
        <v/>
      </c>
      <c r="Q1852" s="84">
        <f>IF(ISNUMBER($H1852),-$H1852,0)</f>
        <v>0</v>
      </c>
      <c r="R1852" s="84">
        <f>IF(ISNUMBER($I1852),ABS($I1852),0)</f>
        <v>0</v>
      </c>
      <c r="S1852" s="84">
        <f>IF(ISNUMBER($M1852),ABS($M1852),0)</f>
        <v>0</v>
      </c>
      <c r="T1852" s="85" t="n">
        <v>1844</v>
      </c>
    </row>
    <row r="1853">
      <c r="B1853" s="83" t="n"/>
      <c r="C1853" s="83" t="n"/>
      <c r="D1853" s="83" t="n"/>
      <c r="E1853" s="83" t="n"/>
      <c r="F1853" s="83" t="n"/>
      <c r="G1853" s="83" t="n"/>
      <c r="H1853" s="83" t="n"/>
      <c r="I1853" s="83" t="n"/>
      <c r="J1853" s="83" t="n"/>
      <c r="K1853" s="83" t="n"/>
      <c r="L1853" s="83" t="n"/>
      <c r="M1853" s="83" t="n"/>
      <c r="O1853" s="84" t="str">
        <f>IF($C1853="","",IFERROR(MATCH($B1853&amp;"|"&amp;$C1853,MUROS!$AX$11:$AX$70,0),0))</f>
        <v/>
      </c>
      <c r="P1853" s="84" t="str">
        <f>IF($D1853="","",IF(ISNUMBER(MATCH($D1853,CMB_S,0)),1,IF(ISNUMBER(MATCH($D1853,CMB_G,0)),2,0)))</f>
        <v/>
      </c>
      <c r="Q1853" s="84">
        <f>IF(ISNUMBER($H1853),-$H1853,0)</f>
        <v>0</v>
      </c>
      <c r="R1853" s="84">
        <f>IF(ISNUMBER($I1853),ABS($I1853),0)</f>
        <v>0</v>
      </c>
      <c r="S1853" s="84">
        <f>IF(ISNUMBER($M1853),ABS($M1853),0)</f>
        <v>0</v>
      </c>
      <c r="T1853" s="85" t="n">
        <v>1845</v>
      </c>
    </row>
    <row r="1854">
      <c r="B1854" s="83" t="n"/>
      <c r="C1854" s="83" t="n"/>
      <c r="D1854" s="83" t="n"/>
      <c r="E1854" s="83" t="n"/>
      <c r="F1854" s="83" t="n"/>
      <c r="G1854" s="83" t="n"/>
      <c r="H1854" s="83" t="n"/>
      <c r="I1854" s="83" t="n"/>
      <c r="J1854" s="83" t="n"/>
      <c r="K1854" s="83" t="n"/>
      <c r="L1854" s="83" t="n"/>
      <c r="M1854" s="83" t="n"/>
      <c r="O1854" s="84" t="str">
        <f>IF($C1854="","",IFERROR(MATCH($B1854&amp;"|"&amp;$C1854,MUROS!$AX$11:$AX$70,0),0))</f>
        <v/>
      </c>
      <c r="P1854" s="84" t="str">
        <f>IF($D1854="","",IF(ISNUMBER(MATCH($D1854,CMB_S,0)),1,IF(ISNUMBER(MATCH($D1854,CMB_G,0)),2,0)))</f>
        <v/>
      </c>
      <c r="Q1854" s="84">
        <f>IF(ISNUMBER($H1854),-$H1854,0)</f>
        <v>0</v>
      </c>
      <c r="R1854" s="84">
        <f>IF(ISNUMBER($I1854),ABS($I1854),0)</f>
        <v>0</v>
      </c>
      <c r="S1854" s="84">
        <f>IF(ISNUMBER($M1854),ABS($M1854),0)</f>
        <v>0</v>
      </c>
      <c r="T1854" s="85" t="n">
        <v>1846</v>
      </c>
    </row>
    <row r="1855">
      <c r="B1855" s="83" t="n"/>
      <c r="C1855" s="83" t="n"/>
      <c r="D1855" s="83" t="n"/>
      <c r="E1855" s="83" t="n"/>
      <c r="F1855" s="83" t="n"/>
      <c r="G1855" s="83" t="n"/>
      <c r="H1855" s="83" t="n"/>
      <c r="I1855" s="83" t="n"/>
      <c r="J1855" s="83" t="n"/>
      <c r="K1855" s="83" t="n"/>
      <c r="L1855" s="83" t="n"/>
      <c r="M1855" s="83" t="n"/>
      <c r="O1855" s="84" t="str">
        <f>IF($C1855="","",IFERROR(MATCH($B1855&amp;"|"&amp;$C1855,MUROS!$AX$11:$AX$70,0),0))</f>
        <v/>
      </c>
      <c r="P1855" s="84" t="str">
        <f>IF($D1855="","",IF(ISNUMBER(MATCH($D1855,CMB_S,0)),1,IF(ISNUMBER(MATCH($D1855,CMB_G,0)),2,0)))</f>
        <v/>
      </c>
      <c r="Q1855" s="84">
        <f>IF(ISNUMBER($H1855),-$H1855,0)</f>
        <v>0</v>
      </c>
      <c r="R1855" s="84">
        <f>IF(ISNUMBER($I1855),ABS($I1855),0)</f>
        <v>0</v>
      </c>
      <c r="S1855" s="84">
        <f>IF(ISNUMBER($M1855),ABS($M1855),0)</f>
        <v>0</v>
      </c>
      <c r="T1855" s="85" t="n">
        <v>1847</v>
      </c>
    </row>
    <row r="1856">
      <c r="B1856" s="83" t="n"/>
      <c r="C1856" s="83" t="n"/>
      <c r="D1856" s="83" t="n"/>
      <c r="E1856" s="83" t="n"/>
      <c r="F1856" s="83" t="n"/>
      <c r="G1856" s="83" t="n"/>
      <c r="H1856" s="83" t="n"/>
      <c r="I1856" s="83" t="n"/>
      <c r="J1856" s="83" t="n"/>
      <c r="K1856" s="83" t="n"/>
      <c r="L1856" s="83" t="n"/>
      <c r="M1856" s="83" t="n"/>
      <c r="O1856" s="84" t="str">
        <f>IF($C1856="","",IFERROR(MATCH($B1856&amp;"|"&amp;$C1856,MUROS!$AX$11:$AX$70,0),0))</f>
        <v/>
      </c>
      <c r="P1856" s="84" t="str">
        <f>IF($D1856="","",IF(ISNUMBER(MATCH($D1856,CMB_S,0)),1,IF(ISNUMBER(MATCH($D1856,CMB_G,0)),2,0)))</f>
        <v/>
      </c>
      <c r="Q1856" s="84">
        <f>IF(ISNUMBER($H1856),-$H1856,0)</f>
        <v>0</v>
      </c>
      <c r="R1856" s="84">
        <f>IF(ISNUMBER($I1856),ABS($I1856),0)</f>
        <v>0</v>
      </c>
      <c r="S1856" s="84">
        <f>IF(ISNUMBER($M1856),ABS($M1856),0)</f>
        <v>0</v>
      </c>
      <c r="T1856" s="85" t="n">
        <v>1848</v>
      </c>
    </row>
    <row r="1857">
      <c r="B1857" s="83" t="n"/>
      <c r="C1857" s="83" t="n"/>
      <c r="D1857" s="83" t="n"/>
      <c r="E1857" s="83" t="n"/>
      <c r="F1857" s="83" t="n"/>
      <c r="G1857" s="83" t="n"/>
      <c r="H1857" s="83" t="n"/>
      <c r="I1857" s="83" t="n"/>
      <c r="J1857" s="83" t="n"/>
      <c r="K1857" s="83" t="n"/>
      <c r="L1857" s="83" t="n"/>
      <c r="M1857" s="83" t="n"/>
      <c r="O1857" s="84" t="str">
        <f>IF($C1857="","",IFERROR(MATCH($B1857&amp;"|"&amp;$C1857,MUROS!$AX$11:$AX$70,0),0))</f>
        <v/>
      </c>
      <c r="P1857" s="84" t="str">
        <f>IF($D1857="","",IF(ISNUMBER(MATCH($D1857,CMB_S,0)),1,IF(ISNUMBER(MATCH($D1857,CMB_G,0)),2,0)))</f>
        <v/>
      </c>
      <c r="Q1857" s="84">
        <f>IF(ISNUMBER($H1857),-$H1857,0)</f>
        <v>0</v>
      </c>
      <c r="R1857" s="84">
        <f>IF(ISNUMBER($I1857),ABS($I1857),0)</f>
        <v>0</v>
      </c>
      <c r="S1857" s="84">
        <f>IF(ISNUMBER($M1857),ABS($M1857),0)</f>
        <v>0</v>
      </c>
      <c r="T1857" s="85" t="n">
        <v>1849</v>
      </c>
    </row>
    <row r="1858">
      <c r="B1858" s="83" t="n"/>
      <c r="C1858" s="83" t="n"/>
      <c r="D1858" s="83" t="n"/>
      <c r="E1858" s="83" t="n"/>
      <c r="F1858" s="83" t="n"/>
      <c r="G1858" s="83" t="n"/>
      <c r="H1858" s="83" t="n"/>
      <c r="I1858" s="83" t="n"/>
      <c r="J1858" s="83" t="n"/>
      <c r="K1858" s="83" t="n"/>
      <c r="L1858" s="83" t="n"/>
      <c r="M1858" s="83" t="n"/>
      <c r="O1858" s="84" t="str">
        <f>IF($C1858="","",IFERROR(MATCH($B1858&amp;"|"&amp;$C1858,MUROS!$AX$11:$AX$70,0),0))</f>
        <v/>
      </c>
      <c r="P1858" s="84" t="str">
        <f>IF($D1858="","",IF(ISNUMBER(MATCH($D1858,CMB_S,0)),1,IF(ISNUMBER(MATCH($D1858,CMB_G,0)),2,0)))</f>
        <v/>
      </c>
      <c r="Q1858" s="84">
        <f>IF(ISNUMBER($H1858),-$H1858,0)</f>
        <v>0</v>
      </c>
      <c r="R1858" s="84">
        <f>IF(ISNUMBER($I1858),ABS($I1858),0)</f>
        <v>0</v>
      </c>
      <c r="S1858" s="84">
        <f>IF(ISNUMBER($M1858),ABS($M1858),0)</f>
        <v>0</v>
      </c>
      <c r="T1858" s="85" t="n">
        <v>1850</v>
      </c>
    </row>
    <row r="1859">
      <c r="B1859" s="83" t="n"/>
      <c r="C1859" s="83" t="n"/>
      <c r="D1859" s="83" t="n"/>
      <c r="E1859" s="83" t="n"/>
      <c r="F1859" s="83" t="n"/>
      <c r="G1859" s="83" t="n"/>
      <c r="H1859" s="83" t="n"/>
      <c r="I1859" s="83" t="n"/>
      <c r="J1859" s="83" t="n"/>
      <c r="K1859" s="83" t="n"/>
      <c r="L1859" s="83" t="n"/>
      <c r="M1859" s="83" t="n"/>
      <c r="O1859" s="84" t="str">
        <f>IF($C1859="","",IFERROR(MATCH($B1859&amp;"|"&amp;$C1859,MUROS!$AX$11:$AX$70,0),0))</f>
        <v/>
      </c>
      <c r="P1859" s="84" t="str">
        <f>IF($D1859="","",IF(ISNUMBER(MATCH($D1859,CMB_S,0)),1,IF(ISNUMBER(MATCH($D1859,CMB_G,0)),2,0)))</f>
        <v/>
      </c>
      <c r="Q1859" s="84">
        <f>IF(ISNUMBER($H1859),-$H1859,0)</f>
        <v>0</v>
      </c>
      <c r="R1859" s="84">
        <f>IF(ISNUMBER($I1859),ABS($I1859),0)</f>
        <v>0</v>
      </c>
      <c r="S1859" s="84">
        <f>IF(ISNUMBER($M1859),ABS($M1859),0)</f>
        <v>0</v>
      </c>
      <c r="T1859" s="85" t="n">
        <v>1851</v>
      </c>
    </row>
    <row r="1860">
      <c r="B1860" s="83" t="n"/>
      <c r="C1860" s="83" t="n"/>
      <c r="D1860" s="83" t="n"/>
      <c r="E1860" s="83" t="n"/>
      <c r="F1860" s="83" t="n"/>
      <c r="G1860" s="83" t="n"/>
      <c r="H1860" s="83" t="n"/>
      <c r="I1860" s="83" t="n"/>
      <c r="J1860" s="83" t="n"/>
      <c r="K1860" s="83" t="n"/>
      <c r="L1860" s="83" t="n"/>
      <c r="M1860" s="83" t="n"/>
      <c r="O1860" s="84" t="str">
        <f>IF($C1860="","",IFERROR(MATCH($B1860&amp;"|"&amp;$C1860,MUROS!$AX$11:$AX$70,0),0))</f>
        <v/>
      </c>
      <c r="P1860" s="84" t="str">
        <f>IF($D1860="","",IF(ISNUMBER(MATCH($D1860,CMB_S,0)),1,IF(ISNUMBER(MATCH($D1860,CMB_G,0)),2,0)))</f>
        <v/>
      </c>
      <c r="Q1860" s="84">
        <f>IF(ISNUMBER($H1860),-$H1860,0)</f>
        <v>0</v>
      </c>
      <c r="R1860" s="84">
        <f>IF(ISNUMBER($I1860),ABS($I1860),0)</f>
        <v>0</v>
      </c>
      <c r="S1860" s="84">
        <f>IF(ISNUMBER($M1860),ABS($M1860),0)</f>
        <v>0</v>
      </c>
      <c r="T1860" s="85" t="n">
        <v>1852</v>
      </c>
    </row>
    <row r="1861">
      <c r="B1861" s="83" t="n"/>
      <c r="C1861" s="83" t="n"/>
      <c r="D1861" s="83" t="n"/>
      <c r="E1861" s="83" t="n"/>
      <c r="F1861" s="83" t="n"/>
      <c r="G1861" s="83" t="n"/>
      <c r="H1861" s="83" t="n"/>
      <c r="I1861" s="83" t="n"/>
      <c r="J1861" s="83" t="n"/>
      <c r="K1861" s="83" t="n"/>
      <c r="L1861" s="83" t="n"/>
      <c r="M1861" s="83" t="n"/>
      <c r="O1861" s="84" t="str">
        <f>IF($C1861="","",IFERROR(MATCH($B1861&amp;"|"&amp;$C1861,MUROS!$AX$11:$AX$70,0),0))</f>
        <v/>
      </c>
      <c r="P1861" s="84" t="str">
        <f>IF($D1861="","",IF(ISNUMBER(MATCH($D1861,CMB_S,0)),1,IF(ISNUMBER(MATCH($D1861,CMB_G,0)),2,0)))</f>
        <v/>
      </c>
      <c r="Q1861" s="84">
        <f>IF(ISNUMBER($H1861),-$H1861,0)</f>
        <v>0</v>
      </c>
      <c r="R1861" s="84">
        <f>IF(ISNUMBER($I1861),ABS($I1861),0)</f>
        <v>0</v>
      </c>
      <c r="S1861" s="84">
        <f>IF(ISNUMBER($M1861),ABS($M1861),0)</f>
        <v>0</v>
      </c>
      <c r="T1861" s="85" t="n">
        <v>1853</v>
      </c>
    </row>
    <row r="1862">
      <c r="B1862" s="83" t="n"/>
      <c r="C1862" s="83" t="n"/>
      <c r="D1862" s="83" t="n"/>
      <c r="E1862" s="83" t="n"/>
      <c r="F1862" s="83" t="n"/>
      <c r="G1862" s="83" t="n"/>
      <c r="H1862" s="83" t="n"/>
      <c r="I1862" s="83" t="n"/>
      <c r="J1862" s="83" t="n"/>
      <c r="K1862" s="83" t="n"/>
      <c r="L1862" s="83" t="n"/>
      <c r="M1862" s="83" t="n"/>
      <c r="O1862" s="84" t="str">
        <f>IF($C1862="","",IFERROR(MATCH($B1862&amp;"|"&amp;$C1862,MUROS!$AX$11:$AX$70,0),0))</f>
        <v/>
      </c>
      <c r="P1862" s="84" t="str">
        <f>IF($D1862="","",IF(ISNUMBER(MATCH($D1862,CMB_S,0)),1,IF(ISNUMBER(MATCH($D1862,CMB_G,0)),2,0)))</f>
        <v/>
      </c>
      <c r="Q1862" s="84">
        <f>IF(ISNUMBER($H1862),-$H1862,0)</f>
        <v>0</v>
      </c>
      <c r="R1862" s="84">
        <f>IF(ISNUMBER($I1862),ABS($I1862),0)</f>
        <v>0</v>
      </c>
      <c r="S1862" s="84">
        <f>IF(ISNUMBER($M1862),ABS($M1862),0)</f>
        <v>0</v>
      </c>
      <c r="T1862" s="85" t="n">
        <v>1854</v>
      </c>
    </row>
    <row r="1863">
      <c r="B1863" s="83" t="n"/>
      <c r="C1863" s="83" t="n"/>
      <c r="D1863" s="83" t="n"/>
      <c r="E1863" s="83" t="n"/>
      <c r="F1863" s="83" t="n"/>
      <c r="G1863" s="83" t="n"/>
      <c r="H1863" s="83" t="n"/>
      <c r="I1863" s="83" t="n"/>
      <c r="J1863" s="83" t="n"/>
      <c r="K1863" s="83" t="n"/>
      <c r="L1863" s="83" t="n"/>
      <c r="M1863" s="83" t="n"/>
      <c r="O1863" s="84" t="str">
        <f>IF($C1863="","",IFERROR(MATCH($B1863&amp;"|"&amp;$C1863,MUROS!$AX$11:$AX$70,0),0))</f>
        <v/>
      </c>
      <c r="P1863" s="84" t="str">
        <f>IF($D1863="","",IF(ISNUMBER(MATCH($D1863,CMB_S,0)),1,IF(ISNUMBER(MATCH($D1863,CMB_G,0)),2,0)))</f>
        <v/>
      </c>
      <c r="Q1863" s="84">
        <f>IF(ISNUMBER($H1863),-$H1863,0)</f>
        <v>0</v>
      </c>
      <c r="R1863" s="84">
        <f>IF(ISNUMBER($I1863),ABS($I1863),0)</f>
        <v>0</v>
      </c>
      <c r="S1863" s="84">
        <f>IF(ISNUMBER($M1863),ABS($M1863),0)</f>
        <v>0</v>
      </c>
      <c r="T1863" s="85" t="n">
        <v>1855</v>
      </c>
    </row>
    <row r="1864">
      <c r="B1864" s="83" t="n"/>
      <c r="C1864" s="83" t="n"/>
      <c r="D1864" s="83" t="n"/>
      <c r="E1864" s="83" t="n"/>
      <c r="F1864" s="83" t="n"/>
      <c r="G1864" s="83" t="n"/>
      <c r="H1864" s="83" t="n"/>
      <c r="I1864" s="83" t="n"/>
      <c r="J1864" s="83" t="n"/>
      <c r="K1864" s="83" t="n"/>
      <c r="L1864" s="83" t="n"/>
      <c r="M1864" s="83" t="n"/>
      <c r="O1864" s="84" t="str">
        <f>IF($C1864="","",IFERROR(MATCH($B1864&amp;"|"&amp;$C1864,MUROS!$AX$11:$AX$70,0),0))</f>
        <v/>
      </c>
      <c r="P1864" s="84" t="str">
        <f>IF($D1864="","",IF(ISNUMBER(MATCH($D1864,CMB_S,0)),1,IF(ISNUMBER(MATCH($D1864,CMB_G,0)),2,0)))</f>
        <v/>
      </c>
      <c r="Q1864" s="84">
        <f>IF(ISNUMBER($H1864),-$H1864,0)</f>
        <v>0</v>
      </c>
      <c r="R1864" s="84">
        <f>IF(ISNUMBER($I1864),ABS($I1864),0)</f>
        <v>0</v>
      </c>
      <c r="S1864" s="84">
        <f>IF(ISNUMBER($M1864),ABS($M1864),0)</f>
        <v>0</v>
      </c>
      <c r="T1864" s="85" t="n">
        <v>1856</v>
      </c>
    </row>
    <row r="1865">
      <c r="B1865" s="83" t="n"/>
      <c r="C1865" s="83" t="n"/>
      <c r="D1865" s="83" t="n"/>
      <c r="E1865" s="83" t="n"/>
      <c r="F1865" s="83" t="n"/>
      <c r="G1865" s="83" t="n"/>
      <c r="H1865" s="83" t="n"/>
      <c r="I1865" s="83" t="n"/>
      <c r="J1865" s="83" t="n"/>
      <c r="K1865" s="83" t="n"/>
      <c r="L1865" s="83" t="n"/>
      <c r="M1865" s="83" t="n"/>
      <c r="O1865" s="84" t="str">
        <f>IF($C1865="","",IFERROR(MATCH($B1865&amp;"|"&amp;$C1865,MUROS!$AX$11:$AX$70,0),0))</f>
        <v/>
      </c>
      <c r="P1865" s="84" t="str">
        <f>IF($D1865="","",IF(ISNUMBER(MATCH($D1865,CMB_S,0)),1,IF(ISNUMBER(MATCH($D1865,CMB_G,0)),2,0)))</f>
        <v/>
      </c>
      <c r="Q1865" s="84">
        <f>IF(ISNUMBER($H1865),-$H1865,0)</f>
        <v>0</v>
      </c>
      <c r="R1865" s="84">
        <f>IF(ISNUMBER($I1865),ABS($I1865),0)</f>
        <v>0</v>
      </c>
      <c r="S1865" s="84">
        <f>IF(ISNUMBER($M1865),ABS($M1865),0)</f>
        <v>0</v>
      </c>
      <c r="T1865" s="85" t="n">
        <v>1857</v>
      </c>
    </row>
    <row r="1866">
      <c r="B1866" s="83" t="n"/>
      <c r="C1866" s="83" t="n"/>
      <c r="D1866" s="83" t="n"/>
      <c r="E1866" s="83" t="n"/>
      <c r="F1866" s="83" t="n"/>
      <c r="G1866" s="83" t="n"/>
      <c r="H1866" s="83" t="n"/>
      <c r="I1866" s="83" t="n"/>
      <c r="J1866" s="83" t="n"/>
      <c r="K1866" s="83" t="n"/>
      <c r="L1866" s="83" t="n"/>
      <c r="M1866" s="83" t="n"/>
      <c r="O1866" s="84" t="str">
        <f>IF($C1866="","",IFERROR(MATCH($B1866&amp;"|"&amp;$C1866,MUROS!$AX$11:$AX$70,0),0))</f>
        <v/>
      </c>
      <c r="P1866" s="84" t="str">
        <f>IF($D1866="","",IF(ISNUMBER(MATCH($D1866,CMB_S,0)),1,IF(ISNUMBER(MATCH($D1866,CMB_G,0)),2,0)))</f>
        <v/>
      </c>
      <c r="Q1866" s="84">
        <f>IF(ISNUMBER($H1866),-$H1866,0)</f>
        <v>0</v>
      </c>
      <c r="R1866" s="84">
        <f>IF(ISNUMBER($I1866),ABS($I1866),0)</f>
        <v>0</v>
      </c>
      <c r="S1866" s="84">
        <f>IF(ISNUMBER($M1866),ABS($M1866),0)</f>
        <v>0</v>
      </c>
      <c r="T1866" s="85" t="n">
        <v>1858</v>
      </c>
    </row>
    <row r="1867">
      <c r="B1867" s="83" t="n"/>
      <c r="C1867" s="83" t="n"/>
      <c r="D1867" s="83" t="n"/>
      <c r="E1867" s="83" t="n"/>
      <c r="F1867" s="83" t="n"/>
      <c r="G1867" s="83" t="n"/>
      <c r="H1867" s="83" t="n"/>
      <c r="I1867" s="83" t="n"/>
      <c r="J1867" s="83" t="n"/>
      <c r="K1867" s="83" t="n"/>
      <c r="L1867" s="83" t="n"/>
      <c r="M1867" s="83" t="n"/>
      <c r="O1867" s="84" t="str">
        <f>IF($C1867="","",IFERROR(MATCH($B1867&amp;"|"&amp;$C1867,MUROS!$AX$11:$AX$70,0),0))</f>
        <v/>
      </c>
      <c r="P1867" s="84" t="str">
        <f>IF($D1867="","",IF(ISNUMBER(MATCH($D1867,CMB_S,0)),1,IF(ISNUMBER(MATCH($D1867,CMB_G,0)),2,0)))</f>
        <v/>
      </c>
      <c r="Q1867" s="84">
        <f>IF(ISNUMBER($H1867),-$H1867,0)</f>
        <v>0</v>
      </c>
      <c r="R1867" s="84">
        <f>IF(ISNUMBER($I1867),ABS($I1867),0)</f>
        <v>0</v>
      </c>
      <c r="S1867" s="84">
        <f>IF(ISNUMBER($M1867),ABS($M1867),0)</f>
        <v>0</v>
      </c>
      <c r="T1867" s="85" t="n">
        <v>1859</v>
      </c>
    </row>
    <row r="1868">
      <c r="B1868" s="83" t="n"/>
      <c r="C1868" s="83" t="n"/>
      <c r="D1868" s="83" t="n"/>
      <c r="E1868" s="83" t="n"/>
      <c r="F1868" s="83" t="n"/>
      <c r="G1868" s="83" t="n"/>
      <c r="H1868" s="83" t="n"/>
      <c r="I1868" s="83" t="n"/>
      <c r="J1868" s="83" t="n"/>
      <c r="K1868" s="83" t="n"/>
      <c r="L1868" s="83" t="n"/>
      <c r="M1868" s="83" t="n"/>
      <c r="O1868" s="84" t="str">
        <f>IF($C1868="","",IFERROR(MATCH($B1868&amp;"|"&amp;$C1868,MUROS!$AX$11:$AX$70,0),0))</f>
        <v/>
      </c>
      <c r="P1868" s="84" t="str">
        <f>IF($D1868="","",IF(ISNUMBER(MATCH($D1868,CMB_S,0)),1,IF(ISNUMBER(MATCH($D1868,CMB_G,0)),2,0)))</f>
        <v/>
      </c>
      <c r="Q1868" s="84">
        <f>IF(ISNUMBER($H1868),-$H1868,0)</f>
        <v>0</v>
      </c>
      <c r="R1868" s="84">
        <f>IF(ISNUMBER($I1868),ABS($I1868),0)</f>
        <v>0</v>
      </c>
      <c r="S1868" s="84">
        <f>IF(ISNUMBER($M1868),ABS($M1868),0)</f>
        <v>0</v>
      </c>
      <c r="T1868" s="85" t="n">
        <v>1860</v>
      </c>
    </row>
    <row r="1869">
      <c r="B1869" s="83" t="n"/>
      <c r="C1869" s="83" t="n"/>
      <c r="D1869" s="83" t="n"/>
      <c r="E1869" s="83" t="n"/>
      <c r="F1869" s="83" t="n"/>
      <c r="G1869" s="83" t="n"/>
      <c r="H1869" s="83" t="n"/>
      <c r="I1869" s="83" t="n"/>
      <c r="J1869" s="83" t="n"/>
      <c r="K1869" s="83" t="n"/>
      <c r="L1869" s="83" t="n"/>
      <c r="M1869" s="83" t="n"/>
      <c r="O1869" s="84" t="str">
        <f>IF($C1869="","",IFERROR(MATCH($B1869&amp;"|"&amp;$C1869,MUROS!$AX$11:$AX$70,0),0))</f>
        <v/>
      </c>
      <c r="P1869" s="84" t="str">
        <f>IF($D1869="","",IF(ISNUMBER(MATCH($D1869,CMB_S,0)),1,IF(ISNUMBER(MATCH($D1869,CMB_G,0)),2,0)))</f>
        <v/>
      </c>
      <c r="Q1869" s="84">
        <f>IF(ISNUMBER($H1869),-$H1869,0)</f>
        <v>0</v>
      </c>
      <c r="R1869" s="84">
        <f>IF(ISNUMBER($I1869),ABS($I1869),0)</f>
        <v>0</v>
      </c>
      <c r="S1869" s="84">
        <f>IF(ISNUMBER($M1869),ABS($M1869),0)</f>
        <v>0</v>
      </c>
      <c r="T1869" s="85" t="n">
        <v>1861</v>
      </c>
    </row>
    <row r="1870">
      <c r="B1870" s="83" t="n"/>
      <c r="C1870" s="83" t="n"/>
      <c r="D1870" s="83" t="n"/>
      <c r="E1870" s="83" t="n"/>
      <c r="F1870" s="83" t="n"/>
      <c r="G1870" s="83" t="n"/>
      <c r="H1870" s="83" t="n"/>
      <c r="I1870" s="83" t="n"/>
      <c r="J1870" s="83" t="n"/>
      <c r="K1870" s="83" t="n"/>
      <c r="L1870" s="83" t="n"/>
      <c r="M1870" s="83" t="n"/>
      <c r="O1870" s="84" t="str">
        <f>IF($C1870="","",IFERROR(MATCH($B1870&amp;"|"&amp;$C1870,MUROS!$AX$11:$AX$70,0),0))</f>
        <v/>
      </c>
      <c r="P1870" s="84" t="str">
        <f>IF($D1870="","",IF(ISNUMBER(MATCH($D1870,CMB_S,0)),1,IF(ISNUMBER(MATCH($D1870,CMB_G,0)),2,0)))</f>
        <v/>
      </c>
      <c r="Q1870" s="84">
        <f>IF(ISNUMBER($H1870),-$H1870,0)</f>
        <v>0</v>
      </c>
      <c r="R1870" s="84">
        <f>IF(ISNUMBER($I1870),ABS($I1870),0)</f>
        <v>0</v>
      </c>
      <c r="S1870" s="84">
        <f>IF(ISNUMBER($M1870),ABS($M1870),0)</f>
        <v>0</v>
      </c>
      <c r="T1870" s="85" t="n">
        <v>1862</v>
      </c>
    </row>
    <row r="1871">
      <c r="B1871" s="83" t="n"/>
      <c r="C1871" s="83" t="n"/>
      <c r="D1871" s="83" t="n"/>
      <c r="E1871" s="83" t="n"/>
      <c r="F1871" s="83" t="n"/>
      <c r="G1871" s="83" t="n"/>
      <c r="H1871" s="83" t="n"/>
      <c r="I1871" s="83" t="n"/>
      <c r="J1871" s="83" t="n"/>
      <c r="K1871" s="83" t="n"/>
      <c r="L1871" s="83" t="n"/>
      <c r="M1871" s="83" t="n"/>
      <c r="O1871" s="84" t="str">
        <f>IF($C1871="","",IFERROR(MATCH($B1871&amp;"|"&amp;$C1871,MUROS!$AX$11:$AX$70,0),0))</f>
        <v/>
      </c>
      <c r="P1871" s="84" t="str">
        <f>IF($D1871="","",IF(ISNUMBER(MATCH($D1871,CMB_S,0)),1,IF(ISNUMBER(MATCH($D1871,CMB_G,0)),2,0)))</f>
        <v/>
      </c>
      <c r="Q1871" s="84">
        <f>IF(ISNUMBER($H1871),-$H1871,0)</f>
        <v>0</v>
      </c>
      <c r="R1871" s="84">
        <f>IF(ISNUMBER($I1871),ABS($I1871),0)</f>
        <v>0</v>
      </c>
      <c r="S1871" s="84">
        <f>IF(ISNUMBER($M1871),ABS($M1871),0)</f>
        <v>0</v>
      </c>
      <c r="T1871" s="85" t="n">
        <v>1863</v>
      </c>
    </row>
    <row r="1872">
      <c r="B1872" s="83" t="n"/>
      <c r="C1872" s="83" t="n"/>
      <c r="D1872" s="83" t="n"/>
      <c r="E1872" s="83" t="n"/>
      <c r="F1872" s="83" t="n"/>
      <c r="G1872" s="83" t="n"/>
      <c r="H1872" s="83" t="n"/>
      <c r="I1872" s="83" t="n"/>
      <c r="J1872" s="83" t="n"/>
      <c r="K1872" s="83" t="n"/>
      <c r="L1872" s="83" t="n"/>
      <c r="M1872" s="83" t="n"/>
      <c r="O1872" s="84" t="str">
        <f>IF($C1872="","",IFERROR(MATCH($B1872&amp;"|"&amp;$C1872,MUROS!$AX$11:$AX$70,0),0))</f>
        <v/>
      </c>
      <c r="P1872" s="84" t="str">
        <f>IF($D1872="","",IF(ISNUMBER(MATCH($D1872,CMB_S,0)),1,IF(ISNUMBER(MATCH($D1872,CMB_G,0)),2,0)))</f>
        <v/>
      </c>
      <c r="Q1872" s="84">
        <f>IF(ISNUMBER($H1872),-$H1872,0)</f>
        <v>0</v>
      </c>
      <c r="R1872" s="84">
        <f>IF(ISNUMBER($I1872),ABS($I1872),0)</f>
        <v>0</v>
      </c>
      <c r="S1872" s="84">
        <f>IF(ISNUMBER($M1872),ABS($M1872),0)</f>
        <v>0</v>
      </c>
      <c r="T1872" s="85" t="n">
        <v>1864</v>
      </c>
    </row>
    <row r="1873">
      <c r="B1873" s="83" t="n"/>
      <c r="C1873" s="83" t="n"/>
      <c r="D1873" s="83" t="n"/>
      <c r="E1873" s="83" t="n"/>
      <c r="F1873" s="83" t="n"/>
      <c r="G1873" s="83" t="n"/>
      <c r="H1873" s="83" t="n"/>
      <c r="I1873" s="83" t="n"/>
      <c r="J1873" s="83" t="n"/>
      <c r="K1873" s="83" t="n"/>
      <c r="L1873" s="83" t="n"/>
      <c r="M1873" s="83" t="n"/>
      <c r="O1873" s="84" t="str">
        <f>IF($C1873="","",IFERROR(MATCH($B1873&amp;"|"&amp;$C1873,MUROS!$AX$11:$AX$70,0),0))</f>
        <v/>
      </c>
      <c r="P1873" s="84" t="str">
        <f>IF($D1873="","",IF(ISNUMBER(MATCH($D1873,CMB_S,0)),1,IF(ISNUMBER(MATCH($D1873,CMB_G,0)),2,0)))</f>
        <v/>
      </c>
      <c r="Q1873" s="84">
        <f>IF(ISNUMBER($H1873),-$H1873,0)</f>
        <v>0</v>
      </c>
      <c r="R1873" s="84">
        <f>IF(ISNUMBER($I1873),ABS($I1873),0)</f>
        <v>0</v>
      </c>
      <c r="S1873" s="84">
        <f>IF(ISNUMBER($M1873),ABS($M1873),0)</f>
        <v>0</v>
      </c>
      <c r="T1873" s="85" t="n">
        <v>1865</v>
      </c>
    </row>
    <row r="1874">
      <c r="B1874" s="83" t="n"/>
      <c r="C1874" s="83" t="n"/>
      <c r="D1874" s="83" t="n"/>
      <c r="E1874" s="83" t="n"/>
      <c r="F1874" s="83" t="n"/>
      <c r="G1874" s="83" t="n"/>
      <c r="H1874" s="83" t="n"/>
      <c r="I1874" s="83" t="n"/>
      <c r="J1874" s="83" t="n"/>
      <c r="K1874" s="83" t="n"/>
      <c r="L1874" s="83" t="n"/>
      <c r="M1874" s="83" t="n"/>
      <c r="O1874" s="84" t="str">
        <f>IF($C1874="","",IFERROR(MATCH($B1874&amp;"|"&amp;$C1874,MUROS!$AX$11:$AX$70,0),0))</f>
        <v/>
      </c>
      <c r="P1874" s="84" t="str">
        <f>IF($D1874="","",IF(ISNUMBER(MATCH($D1874,CMB_S,0)),1,IF(ISNUMBER(MATCH($D1874,CMB_G,0)),2,0)))</f>
        <v/>
      </c>
      <c r="Q1874" s="84">
        <f>IF(ISNUMBER($H1874),-$H1874,0)</f>
        <v>0</v>
      </c>
      <c r="R1874" s="84">
        <f>IF(ISNUMBER($I1874),ABS($I1874),0)</f>
        <v>0</v>
      </c>
      <c r="S1874" s="84">
        <f>IF(ISNUMBER($M1874),ABS($M1874),0)</f>
        <v>0</v>
      </c>
      <c r="T1874" s="85" t="n">
        <v>1866</v>
      </c>
    </row>
    <row r="1875">
      <c r="B1875" s="83" t="n"/>
      <c r="C1875" s="83" t="n"/>
      <c r="D1875" s="83" t="n"/>
      <c r="E1875" s="83" t="n"/>
      <c r="F1875" s="83" t="n"/>
      <c r="G1875" s="83" t="n"/>
      <c r="H1875" s="83" t="n"/>
      <c r="I1875" s="83" t="n"/>
      <c r="J1875" s="83" t="n"/>
      <c r="K1875" s="83" t="n"/>
      <c r="L1875" s="83" t="n"/>
      <c r="M1875" s="83" t="n"/>
      <c r="O1875" s="84" t="str">
        <f>IF($C1875="","",IFERROR(MATCH($B1875&amp;"|"&amp;$C1875,MUROS!$AX$11:$AX$70,0),0))</f>
        <v/>
      </c>
      <c r="P1875" s="84" t="str">
        <f>IF($D1875="","",IF(ISNUMBER(MATCH($D1875,CMB_S,0)),1,IF(ISNUMBER(MATCH($D1875,CMB_G,0)),2,0)))</f>
        <v/>
      </c>
      <c r="Q1875" s="84">
        <f>IF(ISNUMBER($H1875),-$H1875,0)</f>
        <v>0</v>
      </c>
      <c r="R1875" s="84">
        <f>IF(ISNUMBER($I1875),ABS($I1875),0)</f>
        <v>0</v>
      </c>
      <c r="S1875" s="84">
        <f>IF(ISNUMBER($M1875),ABS($M1875),0)</f>
        <v>0</v>
      </c>
      <c r="T1875" s="85" t="n">
        <v>1867</v>
      </c>
    </row>
    <row r="1876">
      <c r="B1876" s="83" t="n"/>
      <c r="C1876" s="83" t="n"/>
      <c r="D1876" s="83" t="n"/>
      <c r="E1876" s="83" t="n"/>
      <c r="F1876" s="83" t="n"/>
      <c r="G1876" s="83" t="n"/>
      <c r="H1876" s="83" t="n"/>
      <c r="I1876" s="83" t="n"/>
      <c r="J1876" s="83" t="n"/>
      <c r="K1876" s="83" t="n"/>
      <c r="L1876" s="83" t="n"/>
      <c r="M1876" s="83" t="n"/>
      <c r="O1876" s="84" t="str">
        <f>IF($C1876="","",IFERROR(MATCH($B1876&amp;"|"&amp;$C1876,MUROS!$AX$11:$AX$70,0),0))</f>
        <v/>
      </c>
      <c r="P1876" s="84" t="str">
        <f>IF($D1876="","",IF(ISNUMBER(MATCH($D1876,CMB_S,0)),1,IF(ISNUMBER(MATCH($D1876,CMB_G,0)),2,0)))</f>
        <v/>
      </c>
      <c r="Q1876" s="84">
        <f>IF(ISNUMBER($H1876),-$H1876,0)</f>
        <v>0</v>
      </c>
      <c r="R1876" s="84">
        <f>IF(ISNUMBER($I1876),ABS($I1876),0)</f>
        <v>0</v>
      </c>
      <c r="S1876" s="84">
        <f>IF(ISNUMBER($M1876),ABS($M1876),0)</f>
        <v>0</v>
      </c>
      <c r="T1876" s="85" t="n">
        <v>1868</v>
      </c>
    </row>
    <row r="1877">
      <c r="B1877" s="83" t="n"/>
      <c r="C1877" s="83" t="n"/>
      <c r="D1877" s="83" t="n"/>
      <c r="E1877" s="83" t="n"/>
      <c r="F1877" s="83" t="n"/>
      <c r="G1877" s="83" t="n"/>
      <c r="H1877" s="83" t="n"/>
      <c r="I1877" s="83" t="n"/>
      <c r="J1877" s="83" t="n"/>
      <c r="K1877" s="83" t="n"/>
      <c r="L1877" s="83" t="n"/>
      <c r="M1877" s="83" t="n"/>
      <c r="O1877" s="84" t="str">
        <f>IF($C1877="","",IFERROR(MATCH($B1877&amp;"|"&amp;$C1877,MUROS!$AX$11:$AX$70,0),0))</f>
        <v/>
      </c>
      <c r="P1877" s="84" t="str">
        <f>IF($D1877="","",IF(ISNUMBER(MATCH($D1877,CMB_S,0)),1,IF(ISNUMBER(MATCH($D1877,CMB_G,0)),2,0)))</f>
        <v/>
      </c>
      <c r="Q1877" s="84">
        <f>IF(ISNUMBER($H1877),-$H1877,0)</f>
        <v>0</v>
      </c>
      <c r="R1877" s="84">
        <f>IF(ISNUMBER($I1877),ABS($I1877),0)</f>
        <v>0</v>
      </c>
      <c r="S1877" s="84">
        <f>IF(ISNUMBER($M1877),ABS($M1877),0)</f>
        <v>0</v>
      </c>
      <c r="T1877" s="85" t="n">
        <v>1869</v>
      </c>
    </row>
    <row r="1878">
      <c r="B1878" s="83" t="n"/>
      <c r="C1878" s="83" t="n"/>
      <c r="D1878" s="83" t="n"/>
      <c r="E1878" s="83" t="n"/>
      <c r="F1878" s="83" t="n"/>
      <c r="G1878" s="83" t="n"/>
      <c r="H1878" s="83" t="n"/>
      <c r="I1878" s="83" t="n"/>
      <c r="J1878" s="83" t="n"/>
      <c r="K1878" s="83" t="n"/>
      <c r="L1878" s="83" t="n"/>
      <c r="M1878" s="83" t="n"/>
      <c r="O1878" s="84" t="str">
        <f>IF($C1878="","",IFERROR(MATCH($B1878&amp;"|"&amp;$C1878,MUROS!$AX$11:$AX$70,0),0))</f>
        <v/>
      </c>
      <c r="P1878" s="84" t="str">
        <f>IF($D1878="","",IF(ISNUMBER(MATCH($D1878,CMB_S,0)),1,IF(ISNUMBER(MATCH($D1878,CMB_G,0)),2,0)))</f>
        <v/>
      </c>
      <c r="Q1878" s="84">
        <f>IF(ISNUMBER($H1878),-$H1878,0)</f>
        <v>0</v>
      </c>
      <c r="R1878" s="84">
        <f>IF(ISNUMBER($I1878),ABS($I1878),0)</f>
        <v>0</v>
      </c>
      <c r="S1878" s="84">
        <f>IF(ISNUMBER($M1878),ABS($M1878),0)</f>
        <v>0</v>
      </c>
      <c r="T1878" s="85" t="n">
        <v>1870</v>
      </c>
    </row>
    <row r="1879">
      <c r="B1879" s="83" t="n"/>
      <c r="C1879" s="83" t="n"/>
      <c r="D1879" s="83" t="n"/>
      <c r="E1879" s="83" t="n"/>
      <c r="F1879" s="83" t="n"/>
      <c r="G1879" s="83" t="n"/>
      <c r="H1879" s="83" t="n"/>
      <c r="I1879" s="83" t="n"/>
      <c r="J1879" s="83" t="n"/>
      <c r="K1879" s="83" t="n"/>
      <c r="L1879" s="83" t="n"/>
      <c r="M1879" s="83" t="n"/>
      <c r="O1879" s="84" t="str">
        <f>IF($C1879="","",IFERROR(MATCH($B1879&amp;"|"&amp;$C1879,MUROS!$AX$11:$AX$70,0),0))</f>
        <v/>
      </c>
      <c r="P1879" s="84" t="str">
        <f>IF($D1879="","",IF(ISNUMBER(MATCH($D1879,CMB_S,0)),1,IF(ISNUMBER(MATCH($D1879,CMB_G,0)),2,0)))</f>
        <v/>
      </c>
      <c r="Q1879" s="84">
        <f>IF(ISNUMBER($H1879),-$H1879,0)</f>
        <v>0</v>
      </c>
      <c r="R1879" s="84">
        <f>IF(ISNUMBER($I1879),ABS($I1879),0)</f>
        <v>0</v>
      </c>
      <c r="S1879" s="84">
        <f>IF(ISNUMBER($M1879),ABS($M1879),0)</f>
        <v>0</v>
      </c>
      <c r="T1879" s="85" t="n">
        <v>1871</v>
      </c>
    </row>
    <row r="1880">
      <c r="B1880" s="83" t="n"/>
      <c r="C1880" s="83" t="n"/>
      <c r="D1880" s="83" t="n"/>
      <c r="E1880" s="83" t="n"/>
      <c r="F1880" s="83" t="n"/>
      <c r="G1880" s="83" t="n"/>
      <c r="H1880" s="83" t="n"/>
      <c r="I1880" s="83" t="n"/>
      <c r="J1880" s="83" t="n"/>
      <c r="K1880" s="83" t="n"/>
      <c r="L1880" s="83" t="n"/>
      <c r="M1880" s="83" t="n"/>
      <c r="O1880" s="84" t="str">
        <f>IF($C1880="","",IFERROR(MATCH($B1880&amp;"|"&amp;$C1880,MUROS!$AX$11:$AX$70,0),0))</f>
        <v/>
      </c>
      <c r="P1880" s="84" t="str">
        <f>IF($D1880="","",IF(ISNUMBER(MATCH($D1880,CMB_S,0)),1,IF(ISNUMBER(MATCH($D1880,CMB_G,0)),2,0)))</f>
        <v/>
      </c>
      <c r="Q1880" s="84">
        <f>IF(ISNUMBER($H1880),-$H1880,0)</f>
        <v>0</v>
      </c>
      <c r="R1880" s="84">
        <f>IF(ISNUMBER($I1880),ABS($I1880),0)</f>
        <v>0</v>
      </c>
      <c r="S1880" s="84">
        <f>IF(ISNUMBER($M1880),ABS($M1880),0)</f>
        <v>0</v>
      </c>
      <c r="T1880" s="85" t="n">
        <v>1872</v>
      </c>
    </row>
    <row r="1881">
      <c r="B1881" s="83" t="n"/>
      <c r="C1881" s="83" t="n"/>
      <c r="D1881" s="83" t="n"/>
      <c r="E1881" s="83" t="n"/>
      <c r="F1881" s="83" t="n"/>
      <c r="G1881" s="83" t="n"/>
      <c r="H1881" s="83" t="n"/>
      <c r="I1881" s="83" t="n"/>
      <c r="J1881" s="83" t="n"/>
      <c r="K1881" s="83" t="n"/>
      <c r="L1881" s="83" t="n"/>
      <c r="M1881" s="83" t="n"/>
      <c r="O1881" s="84" t="str">
        <f>IF($C1881="","",IFERROR(MATCH($B1881&amp;"|"&amp;$C1881,MUROS!$AX$11:$AX$70,0),0))</f>
        <v/>
      </c>
      <c r="P1881" s="84" t="str">
        <f>IF($D1881="","",IF(ISNUMBER(MATCH($D1881,CMB_S,0)),1,IF(ISNUMBER(MATCH($D1881,CMB_G,0)),2,0)))</f>
        <v/>
      </c>
      <c r="Q1881" s="84">
        <f>IF(ISNUMBER($H1881),-$H1881,0)</f>
        <v>0</v>
      </c>
      <c r="R1881" s="84">
        <f>IF(ISNUMBER($I1881),ABS($I1881),0)</f>
        <v>0</v>
      </c>
      <c r="S1881" s="84">
        <f>IF(ISNUMBER($M1881),ABS($M1881),0)</f>
        <v>0</v>
      </c>
      <c r="T1881" s="85" t="n">
        <v>1873</v>
      </c>
    </row>
    <row r="1882">
      <c r="B1882" s="83" t="n"/>
      <c r="C1882" s="83" t="n"/>
      <c r="D1882" s="83" t="n"/>
      <c r="E1882" s="83" t="n"/>
      <c r="F1882" s="83" t="n"/>
      <c r="G1882" s="83" t="n"/>
      <c r="H1882" s="83" t="n"/>
      <c r="I1882" s="83" t="n"/>
      <c r="J1882" s="83" t="n"/>
      <c r="K1882" s="83" t="n"/>
      <c r="L1882" s="83" t="n"/>
      <c r="M1882" s="83" t="n"/>
      <c r="O1882" s="84" t="str">
        <f>IF($C1882="","",IFERROR(MATCH($B1882&amp;"|"&amp;$C1882,MUROS!$AX$11:$AX$70,0),0))</f>
        <v/>
      </c>
      <c r="P1882" s="84" t="str">
        <f>IF($D1882="","",IF(ISNUMBER(MATCH($D1882,CMB_S,0)),1,IF(ISNUMBER(MATCH($D1882,CMB_G,0)),2,0)))</f>
        <v/>
      </c>
      <c r="Q1882" s="84">
        <f>IF(ISNUMBER($H1882),-$H1882,0)</f>
        <v>0</v>
      </c>
      <c r="R1882" s="84">
        <f>IF(ISNUMBER($I1882),ABS($I1882),0)</f>
        <v>0</v>
      </c>
      <c r="S1882" s="84">
        <f>IF(ISNUMBER($M1882),ABS($M1882),0)</f>
        <v>0</v>
      </c>
      <c r="T1882" s="85" t="n">
        <v>1874</v>
      </c>
    </row>
    <row r="1883">
      <c r="B1883" s="83" t="n"/>
      <c r="C1883" s="83" t="n"/>
      <c r="D1883" s="83" t="n"/>
      <c r="E1883" s="83" t="n"/>
      <c r="F1883" s="83" t="n"/>
      <c r="G1883" s="83" t="n"/>
      <c r="H1883" s="83" t="n"/>
      <c r="I1883" s="83" t="n"/>
      <c r="J1883" s="83" t="n"/>
      <c r="K1883" s="83" t="n"/>
      <c r="L1883" s="83" t="n"/>
      <c r="M1883" s="83" t="n"/>
      <c r="O1883" s="84" t="str">
        <f>IF($C1883="","",IFERROR(MATCH($B1883&amp;"|"&amp;$C1883,MUROS!$AX$11:$AX$70,0),0))</f>
        <v/>
      </c>
      <c r="P1883" s="84" t="str">
        <f>IF($D1883="","",IF(ISNUMBER(MATCH($D1883,CMB_S,0)),1,IF(ISNUMBER(MATCH($D1883,CMB_G,0)),2,0)))</f>
        <v/>
      </c>
      <c r="Q1883" s="84">
        <f>IF(ISNUMBER($H1883),-$H1883,0)</f>
        <v>0</v>
      </c>
      <c r="R1883" s="84">
        <f>IF(ISNUMBER($I1883),ABS($I1883),0)</f>
        <v>0</v>
      </c>
      <c r="S1883" s="84">
        <f>IF(ISNUMBER($M1883),ABS($M1883),0)</f>
        <v>0</v>
      </c>
      <c r="T1883" s="85" t="n">
        <v>1875</v>
      </c>
    </row>
    <row r="1884">
      <c r="B1884" s="83" t="n"/>
      <c r="C1884" s="83" t="n"/>
      <c r="D1884" s="83" t="n"/>
      <c r="E1884" s="83" t="n"/>
      <c r="F1884" s="83" t="n"/>
      <c r="G1884" s="83" t="n"/>
      <c r="H1884" s="83" t="n"/>
      <c r="I1884" s="83" t="n"/>
      <c r="J1884" s="83" t="n"/>
      <c r="K1884" s="83" t="n"/>
      <c r="L1884" s="83" t="n"/>
      <c r="M1884" s="83" t="n"/>
      <c r="O1884" s="84" t="str">
        <f>IF($C1884="","",IFERROR(MATCH($B1884&amp;"|"&amp;$C1884,MUROS!$AX$11:$AX$70,0),0))</f>
        <v/>
      </c>
      <c r="P1884" s="84" t="str">
        <f>IF($D1884="","",IF(ISNUMBER(MATCH($D1884,CMB_S,0)),1,IF(ISNUMBER(MATCH($D1884,CMB_G,0)),2,0)))</f>
        <v/>
      </c>
      <c r="Q1884" s="84">
        <f>IF(ISNUMBER($H1884),-$H1884,0)</f>
        <v>0</v>
      </c>
      <c r="R1884" s="84">
        <f>IF(ISNUMBER($I1884),ABS($I1884),0)</f>
        <v>0</v>
      </c>
      <c r="S1884" s="84">
        <f>IF(ISNUMBER($M1884),ABS($M1884),0)</f>
        <v>0</v>
      </c>
      <c r="T1884" s="85" t="n">
        <v>1876</v>
      </c>
    </row>
    <row r="1885">
      <c r="B1885" s="83" t="n"/>
      <c r="C1885" s="83" t="n"/>
      <c r="D1885" s="83" t="n"/>
      <c r="E1885" s="83" t="n"/>
      <c r="F1885" s="83" t="n"/>
      <c r="G1885" s="83" t="n"/>
      <c r="H1885" s="83" t="n"/>
      <c r="I1885" s="83" t="n"/>
      <c r="J1885" s="83" t="n"/>
      <c r="K1885" s="83" t="n"/>
      <c r="L1885" s="83" t="n"/>
      <c r="M1885" s="83" t="n"/>
      <c r="O1885" s="84" t="str">
        <f>IF($C1885="","",IFERROR(MATCH($B1885&amp;"|"&amp;$C1885,MUROS!$AX$11:$AX$70,0),0))</f>
        <v/>
      </c>
      <c r="P1885" s="84" t="str">
        <f>IF($D1885="","",IF(ISNUMBER(MATCH($D1885,CMB_S,0)),1,IF(ISNUMBER(MATCH($D1885,CMB_G,0)),2,0)))</f>
        <v/>
      </c>
      <c r="Q1885" s="84">
        <f>IF(ISNUMBER($H1885),-$H1885,0)</f>
        <v>0</v>
      </c>
      <c r="R1885" s="84">
        <f>IF(ISNUMBER($I1885),ABS($I1885),0)</f>
        <v>0</v>
      </c>
      <c r="S1885" s="84">
        <f>IF(ISNUMBER($M1885),ABS($M1885),0)</f>
        <v>0</v>
      </c>
      <c r="T1885" s="85" t="n">
        <v>1877</v>
      </c>
    </row>
    <row r="1886">
      <c r="B1886" s="83" t="n"/>
      <c r="C1886" s="83" t="n"/>
      <c r="D1886" s="83" t="n"/>
      <c r="E1886" s="83" t="n"/>
      <c r="F1886" s="83" t="n"/>
      <c r="G1886" s="83" t="n"/>
      <c r="H1886" s="83" t="n"/>
      <c r="I1886" s="83" t="n"/>
      <c r="J1886" s="83" t="n"/>
      <c r="K1886" s="83" t="n"/>
      <c r="L1886" s="83" t="n"/>
      <c r="M1886" s="83" t="n"/>
      <c r="O1886" s="84" t="str">
        <f>IF($C1886="","",IFERROR(MATCH($B1886&amp;"|"&amp;$C1886,MUROS!$AX$11:$AX$70,0),0))</f>
        <v/>
      </c>
      <c r="P1886" s="84" t="str">
        <f>IF($D1886="","",IF(ISNUMBER(MATCH($D1886,CMB_S,0)),1,IF(ISNUMBER(MATCH($D1886,CMB_G,0)),2,0)))</f>
        <v/>
      </c>
      <c r="Q1886" s="84">
        <f>IF(ISNUMBER($H1886),-$H1886,0)</f>
        <v>0</v>
      </c>
      <c r="R1886" s="84">
        <f>IF(ISNUMBER($I1886),ABS($I1886),0)</f>
        <v>0</v>
      </c>
      <c r="S1886" s="84">
        <f>IF(ISNUMBER($M1886),ABS($M1886),0)</f>
        <v>0</v>
      </c>
      <c r="T1886" s="85" t="n">
        <v>1878</v>
      </c>
    </row>
    <row r="1887">
      <c r="B1887" s="83" t="n"/>
      <c r="C1887" s="83" t="n"/>
      <c r="D1887" s="83" t="n"/>
      <c r="E1887" s="83" t="n"/>
      <c r="F1887" s="83" t="n"/>
      <c r="G1887" s="83" t="n"/>
      <c r="H1887" s="83" t="n"/>
      <c r="I1887" s="83" t="n"/>
      <c r="J1887" s="83" t="n"/>
      <c r="K1887" s="83" t="n"/>
      <c r="L1887" s="83" t="n"/>
      <c r="M1887" s="83" t="n"/>
      <c r="O1887" s="84" t="str">
        <f>IF($C1887="","",IFERROR(MATCH($B1887&amp;"|"&amp;$C1887,MUROS!$AX$11:$AX$70,0),0))</f>
        <v/>
      </c>
      <c r="P1887" s="84" t="str">
        <f>IF($D1887="","",IF(ISNUMBER(MATCH($D1887,CMB_S,0)),1,IF(ISNUMBER(MATCH($D1887,CMB_G,0)),2,0)))</f>
        <v/>
      </c>
      <c r="Q1887" s="84">
        <f>IF(ISNUMBER($H1887),-$H1887,0)</f>
        <v>0</v>
      </c>
      <c r="R1887" s="84">
        <f>IF(ISNUMBER($I1887),ABS($I1887),0)</f>
        <v>0</v>
      </c>
      <c r="S1887" s="84">
        <f>IF(ISNUMBER($M1887),ABS($M1887),0)</f>
        <v>0</v>
      </c>
      <c r="T1887" s="85" t="n">
        <v>1879</v>
      </c>
    </row>
    <row r="1888">
      <c r="B1888" s="83" t="n"/>
      <c r="C1888" s="83" t="n"/>
      <c r="D1888" s="83" t="n"/>
      <c r="E1888" s="83" t="n"/>
      <c r="F1888" s="83" t="n"/>
      <c r="G1888" s="83" t="n"/>
      <c r="H1888" s="83" t="n"/>
      <c r="I1888" s="83" t="n"/>
      <c r="J1888" s="83" t="n"/>
      <c r="K1888" s="83" t="n"/>
      <c r="L1888" s="83" t="n"/>
      <c r="M1888" s="83" t="n"/>
      <c r="O1888" s="84" t="str">
        <f>IF($C1888="","",IFERROR(MATCH($B1888&amp;"|"&amp;$C1888,MUROS!$AX$11:$AX$70,0),0))</f>
        <v/>
      </c>
      <c r="P1888" s="84" t="str">
        <f>IF($D1888="","",IF(ISNUMBER(MATCH($D1888,CMB_S,0)),1,IF(ISNUMBER(MATCH($D1888,CMB_G,0)),2,0)))</f>
        <v/>
      </c>
      <c r="Q1888" s="84">
        <f>IF(ISNUMBER($H1888),-$H1888,0)</f>
        <v>0</v>
      </c>
      <c r="R1888" s="84">
        <f>IF(ISNUMBER($I1888),ABS($I1888),0)</f>
        <v>0</v>
      </c>
      <c r="S1888" s="84">
        <f>IF(ISNUMBER($M1888),ABS($M1888),0)</f>
        <v>0</v>
      </c>
      <c r="T1888" s="85" t="n">
        <v>1880</v>
      </c>
    </row>
    <row r="1889">
      <c r="B1889" s="83" t="n"/>
      <c r="C1889" s="83" t="n"/>
      <c r="D1889" s="83" t="n"/>
      <c r="E1889" s="83" t="n"/>
      <c r="F1889" s="83" t="n"/>
      <c r="G1889" s="83" t="n"/>
      <c r="H1889" s="83" t="n"/>
      <c r="I1889" s="83" t="n"/>
      <c r="J1889" s="83" t="n"/>
      <c r="K1889" s="83" t="n"/>
      <c r="L1889" s="83" t="n"/>
      <c r="M1889" s="83" t="n"/>
      <c r="O1889" s="84" t="str">
        <f>IF($C1889="","",IFERROR(MATCH($B1889&amp;"|"&amp;$C1889,MUROS!$AX$11:$AX$70,0),0))</f>
        <v/>
      </c>
      <c r="P1889" s="84" t="str">
        <f>IF($D1889="","",IF(ISNUMBER(MATCH($D1889,CMB_S,0)),1,IF(ISNUMBER(MATCH($D1889,CMB_G,0)),2,0)))</f>
        <v/>
      </c>
      <c r="Q1889" s="84">
        <f>IF(ISNUMBER($H1889),-$H1889,0)</f>
        <v>0</v>
      </c>
      <c r="R1889" s="84">
        <f>IF(ISNUMBER($I1889),ABS($I1889),0)</f>
        <v>0</v>
      </c>
      <c r="S1889" s="84">
        <f>IF(ISNUMBER($M1889),ABS($M1889),0)</f>
        <v>0</v>
      </c>
      <c r="T1889" s="85" t="n">
        <v>1881</v>
      </c>
    </row>
    <row r="1890">
      <c r="B1890" s="83" t="n"/>
      <c r="C1890" s="83" t="n"/>
      <c r="D1890" s="83" t="n"/>
      <c r="E1890" s="83" t="n"/>
      <c r="F1890" s="83" t="n"/>
      <c r="G1890" s="83" t="n"/>
      <c r="H1890" s="83" t="n"/>
      <c r="I1890" s="83" t="n"/>
      <c r="J1890" s="83" t="n"/>
      <c r="K1890" s="83" t="n"/>
      <c r="L1890" s="83" t="n"/>
      <c r="M1890" s="83" t="n"/>
      <c r="O1890" s="84" t="str">
        <f>IF($C1890="","",IFERROR(MATCH($B1890&amp;"|"&amp;$C1890,MUROS!$AX$11:$AX$70,0),0))</f>
        <v/>
      </c>
      <c r="P1890" s="84" t="str">
        <f>IF($D1890="","",IF(ISNUMBER(MATCH($D1890,CMB_S,0)),1,IF(ISNUMBER(MATCH($D1890,CMB_G,0)),2,0)))</f>
        <v/>
      </c>
      <c r="Q1890" s="84">
        <f>IF(ISNUMBER($H1890),-$H1890,0)</f>
        <v>0</v>
      </c>
      <c r="R1890" s="84">
        <f>IF(ISNUMBER($I1890),ABS($I1890),0)</f>
        <v>0</v>
      </c>
      <c r="S1890" s="84">
        <f>IF(ISNUMBER($M1890),ABS($M1890),0)</f>
        <v>0</v>
      </c>
      <c r="T1890" s="85" t="n">
        <v>1882</v>
      </c>
    </row>
    <row r="1891">
      <c r="B1891" s="83" t="n"/>
      <c r="C1891" s="83" t="n"/>
      <c r="D1891" s="83" t="n"/>
      <c r="E1891" s="83" t="n"/>
      <c r="F1891" s="83" t="n"/>
      <c r="G1891" s="83" t="n"/>
      <c r="H1891" s="83" t="n"/>
      <c r="I1891" s="83" t="n"/>
      <c r="J1891" s="83" t="n"/>
      <c r="K1891" s="83" t="n"/>
      <c r="L1891" s="83" t="n"/>
      <c r="M1891" s="83" t="n"/>
      <c r="O1891" s="84" t="str">
        <f>IF($C1891="","",IFERROR(MATCH($B1891&amp;"|"&amp;$C1891,MUROS!$AX$11:$AX$70,0),0))</f>
        <v/>
      </c>
      <c r="P1891" s="84" t="str">
        <f>IF($D1891="","",IF(ISNUMBER(MATCH($D1891,CMB_S,0)),1,IF(ISNUMBER(MATCH($D1891,CMB_G,0)),2,0)))</f>
        <v/>
      </c>
      <c r="Q1891" s="84">
        <f>IF(ISNUMBER($H1891),-$H1891,0)</f>
        <v>0</v>
      </c>
      <c r="R1891" s="84">
        <f>IF(ISNUMBER($I1891),ABS($I1891),0)</f>
        <v>0</v>
      </c>
      <c r="S1891" s="84">
        <f>IF(ISNUMBER($M1891),ABS($M1891),0)</f>
        <v>0</v>
      </c>
      <c r="T1891" s="85" t="n">
        <v>1883</v>
      </c>
    </row>
    <row r="1892">
      <c r="B1892" s="83" t="n"/>
      <c r="C1892" s="83" t="n"/>
      <c r="D1892" s="83" t="n"/>
      <c r="E1892" s="83" t="n"/>
      <c r="F1892" s="83" t="n"/>
      <c r="G1892" s="83" t="n"/>
      <c r="H1892" s="83" t="n"/>
      <c r="I1892" s="83" t="n"/>
      <c r="J1892" s="83" t="n"/>
      <c r="K1892" s="83" t="n"/>
      <c r="L1892" s="83" t="n"/>
      <c r="M1892" s="83" t="n"/>
      <c r="O1892" s="84" t="str">
        <f>IF($C1892="","",IFERROR(MATCH($B1892&amp;"|"&amp;$C1892,MUROS!$AX$11:$AX$70,0),0))</f>
        <v/>
      </c>
      <c r="P1892" s="84" t="str">
        <f>IF($D1892="","",IF(ISNUMBER(MATCH($D1892,CMB_S,0)),1,IF(ISNUMBER(MATCH($D1892,CMB_G,0)),2,0)))</f>
        <v/>
      </c>
      <c r="Q1892" s="84">
        <f>IF(ISNUMBER($H1892),-$H1892,0)</f>
        <v>0</v>
      </c>
      <c r="R1892" s="84">
        <f>IF(ISNUMBER($I1892),ABS($I1892),0)</f>
        <v>0</v>
      </c>
      <c r="S1892" s="84">
        <f>IF(ISNUMBER($M1892),ABS($M1892),0)</f>
        <v>0</v>
      </c>
      <c r="T1892" s="85" t="n">
        <v>1884</v>
      </c>
    </row>
    <row r="1893">
      <c r="B1893" s="83" t="n"/>
      <c r="C1893" s="83" t="n"/>
      <c r="D1893" s="83" t="n"/>
      <c r="E1893" s="83" t="n"/>
      <c r="F1893" s="83" t="n"/>
      <c r="G1893" s="83" t="n"/>
      <c r="H1893" s="83" t="n"/>
      <c r="I1893" s="83" t="n"/>
      <c r="J1893" s="83" t="n"/>
      <c r="K1893" s="83" t="n"/>
      <c r="L1893" s="83" t="n"/>
      <c r="M1893" s="83" t="n"/>
      <c r="O1893" s="84" t="str">
        <f>IF($C1893="","",IFERROR(MATCH($B1893&amp;"|"&amp;$C1893,MUROS!$AX$11:$AX$70,0),0))</f>
        <v/>
      </c>
      <c r="P1893" s="84" t="str">
        <f>IF($D1893="","",IF(ISNUMBER(MATCH($D1893,CMB_S,0)),1,IF(ISNUMBER(MATCH($D1893,CMB_G,0)),2,0)))</f>
        <v/>
      </c>
      <c r="Q1893" s="84">
        <f>IF(ISNUMBER($H1893),-$H1893,0)</f>
        <v>0</v>
      </c>
      <c r="R1893" s="84">
        <f>IF(ISNUMBER($I1893),ABS($I1893),0)</f>
        <v>0</v>
      </c>
      <c r="S1893" s="84">
        <f>IF(ISNUMBER($M1893),ABS($M1893),0)</f>
        <v>0</v>
      </c>
      <c r="T1893" s="85" t="n">
        <v>1885</v>
      </c>
    </row>
    <row r="1894">
      <c r="B1894" s="83" t="n"/>
      <c r="C1894" s="83" t="n"/>
      <c r="D1894" s="83" t="n"/>
      <c r="E1894" s="83" t="n"/>
      <c r="F1894" s="83" t="n"/>
      <c r="G1894" s="83" t="n"/>
      <c r="H1894" s="83" t="n"/>
      <c r="I1894" s="83" t="n"/>
      <c r="J1894" s="83" t="n"/>
      <c r="K1894" s="83" t="n"/>
      <c r="L1894" s="83" t="n"/>
      <c r="M1894" s="83" t="n"/>
      <c r="O1894" s="84" t="str">
        <f>IF($C1894="","",IFERROR(MATCH($B1894&amp;"|"&amp;$C1894,MUROS!$AX$11:$AX$70,0),0))</f>
        <v/>
      </c>
      <c r="P1894" s="84" t="str">
        <f>IF($D1894="","",IF(ISNUMBER(MATCH($D1894,CMB_S,0)),1,IF(ISNUMBER(MATCH($D1894,CMB_G,0)),2,0)))</f>
        <v/>
      </c>
      <c r="Q1894" s="84">
        <f>IF(ISNUMBER($H1894),-$H1894,0)</f>
        <v>0</v>
      </c>
      <c r="R1894" s="84">
        <f>IF(ISNUMBER($I1894),ABS($I1894),0)</f>
        <v>0</v>
      </c>
      <c r="S1894" s="84">
        <f>IF(ISNUMBER($M1894),ABS($M1894),0)</f>
        <v>0</v>
      </c>
      <c r="T1894" s="85" t="n">
        <v>1886</v>
      </c>
    </row>
    <row r="1895">
      <c r="B1895" s="83" t="n"/>
      <c r="C1895" s="83" t="n"/>
      <c r="D1895" s="83" t="n"/>
      <c r="E1895" s="83" t="n"/>
      <c r="F1895" s="83" t="n"/>
      <c r="G1895" s="83" t="n"/>
      <c r="H1895" s="83" t="n"/>
      <c r="I1895" s="83" t="n"/>
      <c r="J1895" s="83" t="n"/>
      <c r="K1895" s="83" t="n"/>
      <c r="L1895" s="83" t="n"/>
      <c r="M1895" s="83" t="n"/>
      <c r="O1895" s="84" t="str">
        <f>IF($C1895="","",IFERROR(MATCH($B1895&amp;"|"&amp;$C1895,MUROS!$AX$11:$AX$70,0),0))</f>
        <v/>
      </c>
      <c r="P1895" s="84" t="str">
        <f>IF($D1895="","",IF(ISNUMBER(MATCH($D1895,CMB_S,0)),1,IF(ISNUMBER(MATCH($D1895,CMB_G,0)),2,0)))</f>
        <v/>
      </c>
      <c r="Q1895" s="84">
        <f>IF(ISNUMBER($H1895),-$H1895,0)</f>
        <v>0</v>
      </c>
      <c r="R1895" s="84">
        <f>IF(ISNUMBER($I1895),ABS($I1895),0)</f>
        <v>0</v>
      </c>
      <c r="S1895" s="84">
        <f>IF(ISNUMBER($M1895),ABS($M1895),0)</f>
        <v>0</v>
      </c>
      <c r="T1895" s="85" t="n">
        <v>1887</v>
      </c>
    </row>
    <row r="1896">
      <c r="B1896" s="83" t="n"/>
      <c r="C1896" s="83" t="n"/>
      <c r="D1896" s="83" t="n"/>
      <c r="E1896" s="83" t="n"/>
      <c r="F1896" s="83" t="n"/>
      <c r="G1896" s="83" t="n"/>
      <c r="H1896" s="83" t="n"/>
      <c r="I1896" s="83" t="n"/>
      <c r="J1896" s="83" t="n"/>
      <c r="K1896" s="83" t="n"/>
      <c r="L1896" s="83" t="n"/>
      <c r="M1896" s="83" t="n"/>
      <c r="O1896" s="84" t="str">
        <f>IF($C1896="","",IFERROR(MATCH($B1896&amp;"|"&amp;$C1896,MUROS!$AX$11:$AX$70,0),0))</f>
        <v/>
      </c>
      <c r="P1896" s="84" t="str">
        <f>IF($D1896="","",IF(ISNUMBER(MATCH($D1896,CMB_S,0)),1,IF(ISNUMBER(MATCH($D1896,CMB_G,0)),2,0)))</f>
        <v/>
      </c>
      <c r="Q1896" s="84">
        <f>IF(ISNUMBER($H1896),-$H1896,0)</f>
        <v>0</v>
      </c>
      <c r="R1896" s="84">
        <f>IF(ISNUMBER($I1896),ABS($I1896),0)</f>
        <v>0</v>
      </c>
      <c r="S1896" s="84">
        <f>IF(ISNUMBER($M1896),ABS($M1896),0)</f>
        <v>0</v>
      </c>
      <c r="T1896" s="85" t="n">
        <v>1888</v>
      </c>
    </row>
    <row r="1897">
      <c r="B1897" s="83" t="n"/>
      <c r="C1897" s="83" t="n"/>
      <c r="D1897" s="83" t="n"/>
      <c r="E1897" s="83" t="n"/>
      <c r="F1897" s="83" t="n"/>
      <c r="G1897" s="83" t="n"/>
      <c r="H1897" s="83" t="n"/>
      <c r="I1897" s="83" t="n"/>
      <c r="J1897" s="83" t="n"/>
      <c r="K1897" s="83" t="n"/>
      <c r="L1897" s="83" t="n"/>
      <c r="M1897" s="83" t="n"/>
      <c r="O1897" s="84" t="str">
        <f>IF($C1897="","",IFERROR(MATCH($B1897&amp;"|"&amp;$C1897,MUROS!$AX$11:$AX$70,0),0))</f>
        <v/>
      </c>
      <c r="P1897" s="84" t="str">
        <f>IF($D1897="","",IF(ISNUMBER(MATCH($D1897,CMB_S,0)),1,IF(ISNUMBER(MATCH($D1897,CMB_G,0)),2,0)))</f>
        <v/>
      </c>
      <c r="Q1897" s="84">
        <f>IF(ISNUMBER($H1897),-$H1897,0)</f>
        <v>0</v>
      </c>
      <c r="R1897" s="84">
        <f>IF(ISNUMBER($I1897),ABS($I1897),0)</f>
        <v>0</v>
      </c>
      <c r="S1897" s="84">
        <f>IF(ISNUMBER($M1897),ABS($M1897),0)</f>
        <v>0</v>
      </c>
      <c r="T1897" s="85" t="n">
        <v>1889</v>
      </c>
    </row>
    <row r="1898">
      <c r="B1898" s="83" t="n"/>
      <c r="C1898" s="83" t="n"/>
      <c r="D1898" s="83" t="n"/>
      <c r="E1898" s="83" t="n"/>
      <c r="F1898" s="83" t="n"/>
      <c r="G1898" s="83" t="n"/>
      <c r="H1898" s="83" t="n"/>
      <c r="I1898" s="83" t="n"/>
      <c r="J1898" s="83" t="n"/>
      <c r="K1898" s="83" t="n"/>
      <c r="L1898" s="83" t="n"/>
      <c r="M1898" s="83" t="n"/>
      <c r="O1898" s="84" t="str">
        <f>IF($C1898="","",IFERROR(MATCH($B1898&amp;"|"&amp;$C1898,MUROS!$AX$11:$AX$70,0),0))</f>
        <v/>
      </c>
      <c r="P1898" s="84" t="str">
        <f>IF($D1898="","",IF(ISNUMBER(MATCH($D1898,CMB_S,0)),1,IF(ISNUMBER(MATCH($D1898,CMB_G,0)),2,0)))</f>
        <v/>
      </c>
      <c r="Q1898" s="84">
        <f>IF(ISNUMBER($H1898),-$H1898,0)</f>
        <v>0</v>
      </c>
      <c r="R1898" s="84">
        <f>IF(ISNUMBER($I1898),ABS($I1898),0)</f>
        <v>0</v>
      </c>
      <c r="S1898" s="84">
        <f>IF(ISNUMBER($M1898),ABS($M1898),0)</f>
        <v>0</v>
      </c>
      <c r="T1898" s="85" t="n">
        <v>1890</v>
      </c>
    </row>
    <row r="1899">
      <c r="B1899" s="83" t="n"/>
      <c r="C1899" s="83" t="n"/>
      <c r="D1899" s="83" t="n"/>
      <c r="E1899" s="83" t="n"/>
      <c r="F1899" s="83" t="n"/>
      <c r="G1899" s="83" t="n"/>
      <c r="H1899" s="83" t="n"/>
      <c r="I1899" s="83" t="n"/>
      <c r="J1899" s="83" t="n"/>
      <c r="K1899" s="83" t="n"/>
      <c r="L1899" s="83" t="n"/>
      <c r="M1899" s="83" t="n"/>
      <c r="O1899" s="84" t="str">
        <f>IF($C1899="","",IFERROR(MATCH($B1899&amp;"|"&amp;$C1899,MUROS!$AX$11:$AX$70,0),0))</f>
        <v/>
      </c>
      <c r="P1899" s="84" t="str">
        <f>IF($D1899="","",IF(ISNUMBER(MATCH($D1899,CMB_S,0)),1,IF(ISNUMBER(MATCH($D1899,CMB_G,0)),2,0)))</f>
        <v/>
      </c>
      <c r="Q1899" s="84">
        <f>IF(ISNUMBER($H1899),-$H1899,0)</f>
        <v>0</v>
      </c>
      <c r="R1899" s="84">
        <f>IF(ISNUMBER($I1899),ABS($I1899),0)</f>
        <v>0</v>
      </c>
      <c r="S1899" s="84">
        <f>IF(ISNUMBER($M1899),ABS($M1899),0)</f>
        <v>0</v>
      </c>
      <c r="T1899" s="85" t="n">
        <v>1891</v>
      </c>
    </row>
    <row r="1900">
      <c r="B1900" s="83" t="n"/>
      <c r="C1900" s="83" t="n"/>
      <c r="D1900" s="83" t="n"/>
      <c r="E1900" s="83" t="n"/>
      <c r="F1900" s="83" t="n"/>
      <c r="G1900" s="83" t="n"/>
      <c r="H1900" s="83" t="n"/>
      <c r="I1900" s="83" t="n"/>
      <c r="J1900" s="83" t="n"/>
      <c r="K1900" s="83" t="n"/>
      <c r="L1900" s="83" t="n"/>
      <c r="M1900" s="83" t="n"/>
      <c r="O1900" s="84" t="str">
        <f>IF($C1900="","",IFERROR(MATCH($B1900&amp;"|"&amp;$C1900,MUROS!$AX$11:$AX$70,0),0))</f>
        <v/>
      </c>
      <c r="P1900" s="84" t="str">
        <f>IF($D1900="","",IF(ISNUMBER(MATCH($D1900,CMB_S,0)),1,IF(ISNUMBER(MATCH($D1900,CMB_G,0)),2,0)))</f>
        <v/>
      </c>
      <c r="Q1900" s="84">
        <f>IF(ISNUMBER($H1900),-$H1900,0)</f>
        <v>0</v>
      </c>
      <c r="R1900" s="84">
        <f>IF(ISNUMBER($I1900),ABS($I1900),0)</f>
        <v>0</v>
      </c>
      <c r="S1900" s="84">
        <f>IF(ISNUMBER($M1900),ABS($M1900),0)</f>
        <v>0</v>
      </c>
      <c r="T1900" s="85" t="n">
        <v>1892</v>
      </c>
    </row>
    <row r="1901">
      <c r="B1901" s="83" t="n"/>
      <c r="C1901" s="83" t="n"/>
      <c r="D1901" s="83" t="n"/>
      <c r="E1901" s="83" t="n"/>
      <c r="F1901" s="83" t="n"/>
      <c r="G1901" s="83" t="n"/>
      <c r="H1901" s="83" t="n"/>
      <c r="I1901" s="83" t="n"/>
      <c r="J1901" s="83" t="n"/>
      <c r="K1901" s="83" t="n"/>
      <c r="L1901" s="83" t="n"/>
      <c r="M1901" s="83" t="n"/>
      <c r="O1901" s="84" t="str">
        <f>IF($C1901="","",IFERROR(MATCH($B1901&amp;"|"&amp;$C1901,MUROS!$AX$11:$AX$70,0),0))</f>
        <v/>
      </c>
      <c r="P1901" s="84" t="str">
        <f>IF($D1901="","",IF(ISNUMBER(MATCH($D1901,CMB_S,0)),1,IF(ISNUMBER(MATCH($D1901,CMB_G,0)),2,0)))</f>
        <v/>
      </c>
      <c r="Q1901" s="84">
        <f>IF(ISNUMBER($H1901),-$H1901,0)</f>
        <v>0</v>
      </c>
      <c r="R1901" s="84">
        <f>IF(ISNUMBER($I1901),ABS($I1901),0)</f>
        <v>0</v>
      </c>
      <c r="S1901" s="84">
        <f>IF(ISNUMBER($M1901),ABS($M1901),0)</f>
        <v>0</v>
      </c>
      <c r="T1901" s="85" t="n">
        <v>1893</v>
      </c>
    </row>
    <row r="1902">
      <c r="B1902" s="83" t="n"/>
      <c r="C1902" s="83" t="n"/>
      <c r="D1902" s="83" t="n"/>
      <c r="E1902" s="83" t="n"/>
      <c r="F1902" s="83" t="n"/>
      <c r="G1902" s="83" t="n"/>
      <c r="H1902" s="83" t="n"/>
      <c r="I1902" s="83" t="n"/>
      <c r="J1902" s="83" t="n"/>
      <c r="K1902" s="83" t="n"/>
      <c r="L1902" s="83" t="n"/>
      <c r="M1902" s="83" t="n"/>
      <c r="O1902" s="84" t="str">
        <f>IF($C1902="","",IFERROR(MATCH($B1902&amp;"|"&amp;$C1902,MUROS!$AX$11:$AX$70,0),0))</f>
        <v/>
      </c>
      <c r="P1902" s="84" t="str">
        <f>IF($D1902="","",IF(ISNUMBER(MATCH($D1902,CMB_S,0)),1,IF(ISNUMBER(MATCH($D1902,CMB_G,0)),2,0)))</f>
        <v/>
      </c>
      <c r="Q1902" s="84">
        <f>IF(ISNUMBER($H1902),-$H1902,0)</f>
        <v>0</v>
      </c>
      <c r="R1902" s="84">
        <f>IF(ISNUMBER($I1902),ABS($I1902),0)</f>
        <v>0</v>
      </c>
      <c r="S1902" s="84">
        <f>IF(ISNUMBER($M1902),ABS($M1902),0)</f>
        <v>0</v>
      </c>
      <c r="T1902" s="85" t="n">
        <v>1894</v>
      </c>
    </row>
    <row r="1903">
      <c r="B1903" s="83" t="n"/>
      <c r="C1903" s="83" t="n"/>
      <c r="D1903" s="83" t="n"/>
      <c r="E1903" s="83" t="n"/>
      <c r="F1903" s="83" t="n"/>
      <c r="G1903" s="83" t="n"/>
      <c r="H1903" s="83" t="n"/>
      <c r="I1903" s="83" t="n"/>
      <c r="J1903" s="83" t="n"/>
      <c r="K1903" s="83" t="n"/>
      <c r="L1903" s="83" t="n"/>
      <c r="M1903" s="83" t="n"/>
      <c r="O1903" s="84" t="str">
        <f>IF($C1903="","",IFERROR(MATCH($B1903&amp;"|"&amp;$C1903,MUROS!$AX$11:$AX$70,0),0))</f>
        <v/>
      </c>
      <c r="P1903" s="84" t="str">
        <f>IF($D1903="","",IF(ISNUMBER(MATCH($D1903,CMB_S,0)),1,IF(ISNUMBER(MATCH($D1903,CMB_G,0)),2,0)))</f>
        <v/>
      </c>
      <c r="Q1903" s="84">
        <f>IF(ISNUMBER($H1903),-$H1903,0)</f>
        <v>0</v>
      </c>
      <c r="R1903" s="84">
        <f>IF(ISNUMBER($I1903),ABS($I1903),0)</f>
        <v>0</v>
      </c>
      <c r="S1903" s="84">
        <f>IF(ISNUMBER($M1903),ABS($M1903),0)</f>
        <v>0</v>
      </c>
      <c r="T1903" s="85" t="n">
        <v>1895</v>
      </c>
    </row>
    <row r="1904">
      <c r="B1904" s="83" t="n"/>
      <c r="C1904" s="83" t="n"/>
      <c r="D1904" s="83" t="n"/>
      <c r="E1904" s="83" t="n"/>
      <c r="F1904" s="83" t="n"/>
      <c r="G1904" s="83" t="n"/>
      <c r="H1904" s="83" t="n"/>
      <c r="I1904" s="83" t="n"/>
      <c r="J1904" s="83" t="n"/>
      <c r="K1904" s="83" t="n"/>
      <c r="L1904" s="83" t="n"/>
      <c r="M1904" s="83" t="n"/>
      <c r="O1904" s="84" t="str">
        <f>IF($C1904="","",IFERROR(MATCH($B1904&amp;"|"&amp;$C1904,MUROS!$AX$11:$AX$70,0),0))</f>
        <v/>
      </c>
      <c r="P1904" s="84" t="str">
        <f>IF($D1904="","",IF(ISNUMBER(MATCH($D1904,CMB_S,0)),1,IF(ISNUMBER(MATCH($D1904,CMB_G,0)),2,0)))</f>
        <v/>
      </c>
      <c r="Q1904" s="84">
        <f>IF(ISNUMBER($H1904),-$H1904,0)</f>
        <v>0</v>
      </c>
      <c r="R1904" s="84">
        <f>IF(ISNUMBER($I1904),ABS($I1904),0)</f>
        <v>0</v>
      </c>
      <c r="S1904" s="84">
        <f>IF(ISNUMBER($M1904),ABS($M1904),0)</f>
        <v>0</v>
      </c>
      <c r="T1904" s="85" t="n">
        <v>1896</v>
      </c>
    </row>
    <row r="1905">
      <c r="B1905" s="83" t="n"/>
      <c r="C1905" s="83" t="n"/>
      <c r="D1905" s="83" t="n"/>
      <c r="E1905" s="83" t="n"/>
      <c r="F1905" s="83" t="n"/>
      <c r="G1905" s="83" t="n"/>
      <c r="H1905" s="83" t="n"/>
      <c r="I1905" s="83" t="n"/>
      <c r="J1905" s="83" t="n"/>
      <c r="K1905" s="83" t="n"/>
      <c r="L1905" s="83" t="n"/>
      <c r="M1905" s="83" t="n"/>
      <c r="O1905" s="84" t="str">
        <f>IF($C1905="","",IFERROR(MATCH($B1905&amp;"|"&amp;$C1905,MUROS!$AX$11:$AX$70,0),0))</f>
        <v/>
      </c>
      <c r="P1905" s="84" t="str">
        <f>IF($D1905="","",IF(ISNUMBER(MATCH($D1905,CMB_S,0)),1,IF(ISNUMBER(MATCH($D1905,CMB_G,0)),2,0)))</f>
        <v/>
      </c>
      <c r="Q1905" s="84">
        <f>IF(ISNUMBER($H1905),-$H1905,0)</f>
        <v>0</v>
      </c>
      <c r="R1905" s="84">
        <f>IF(ISNUMBER($I1905),ABS($I1905),0)</f>
        <v>0</v>
      </c>
      <c r="S1905" s="84">
        <f>IF(ISNUMBER($M1905),ABS($M1905),0)</f>
        <v>0</v>
      </c>
      <c r="T1905" s="85" t="n">
        <v>1897</v>
      </c>
    </row>
    <row r="1906">
      <c r="B1906" s="83" t="n"/>
      <c r="C1906" s="83" t="n"/>
      <c r="D1906" s="83" t="n"/>
      <c r="E1906" s="83" t="n"/>
      <c r="F1906" s="83" t="n"/>
      <c r="G1906" s="83" t="n"/>
      <c r="H1906" s="83" t="n"/>
      <c r="I1906" s="83" t="n"/>
      <c r="J1906" s="83" t="n"/>
      <c r="K1906" s="83" t="n"/>
      <c r="L1906" s="83" t="n"/>
      <c r="M1906" s="83" t="n"/>
      <c r="O1906" s="84" t="str">
        <f>IF($C1906="","",IFERROR(MATCH($B1906&amp;"|"&amp;$C1906,MUROS!$AX$11:$AX$70,0),0))</f>
        <v/>
      </c>
      <c r="P1906" s="84" t="str">
        <f>IF($D1906="","",IF(ISNUMBER(MATCH($D1906,CMB_S,0)),1,IF(ISNUMBER(MATCH($D1906,CMB_G,0)),2,0)))</f>
        <v/>
      </c>
      <c r="Q1906" s="84">
        <f>IF(ISNUMBER($H1906),-$H1906,0)</f>
        <v>0</v>
      </c>
      <c r="R1906" s="84">
        <f>IF(ISNUMBER($I1906),ABS($I1906),0)</f>
        <v>0</v>
      </c>
      <c r="S1906" s="84">
        <f>IF(ISNUMBER($M1906),ABS($M1906),0)</f>
        <v>0</v>
      </c>
      <c r="T1906" s="85" t="n">
        <v>1898</v>
      </c>
    </row>
    <row r="1907">
      <c r="B1907" s="83" t="n"/>
      <c r="C1907" s="83" t="n"/>
      <c r="D1907" s="83" t="n"/>
      <c r="E1907" s="83" t="n"/>
      <c r="F1907" s="83" t="n"/>
      <c r="G1907" s="83" t="n"/>
      <c r="H1907" s="83" t="n"/>
      <c r="I1907" s="83" t="n"/>
      <c r="J1907" s="83" t="n"/>
      <c r="K1907" s="83" t="n"/>
      <c r="L1907" s="83" t="n"/>
      <c r="M1907" s="83" t="n"/>
      <c r="O1907" s="84" t="str">
        <f>IF($C1907="","",IFERROR(MATCH($B1907&amp;"|"&amp;$C1907,MUROS!$AX$11:$AX$70,0),0))</f>
        <v/>
      </c>
      <c r="P1907" s="84" t="str">
        <f>IF($D1907="","",IF(ISNUMBER(MATCH($D1907,CMB_S,0)),1,IF(ISNUMBER(MATCH($D1907,CMB_G,0)),2,0)))</f>
        <v/>
      </c>
      <c r="Q1907" s="84">
        <f>IF(ISNUMBER($H1907),-$H1907,0)</f>
        <v>0</v>
      </c>
      <c r="R1907" s="84">
        <f>IF(ISNUMBER($I1907),ABS($I1907),0)</f>
        <v>0</v>
      </c>
      <c r="S1907" s="84">
        <f>IF(ISNUMBER($M1907),ABS($M1907),0)</f>
        <v>0</v>
      </c>
      <c r="T1907" s="85" t="n">
        <v>1899</v>
      </c>
    </row>
    <row r="1908">
      <c r="B1908" s="83" t="n"/>
      <c r="C1908" s="83" t="n"/>
      <c r="D1908" s="83" t="n"/>
      <c r="E1908" s="83" t="n"/>
      <c r="F1908" s="83" t="n"/>
      <c r="G1908" s="83" t="n"/>
      <c r="H1908" s="83" t="n"/>
      <c r="I1908" s="83" t="n"/>
      <c r="J1908" s="83" t="n"/>
      <c r="K1908" s="83" t="n"/>
      <c r="L1908" s="83" t="n"/>
      <c r="M1908" s="83" t="n"/>
      <c r="O1908" s="84" t="str">
        <f>IF($C1908="","",IFERROR(MATCH($B1908&amp;"|"&amp;$C1908,MUROS!$AX$11:$AX$70,0),0))</f>
        <v/>
      </c>
      <c r="P1908" s="84" t="str">
        <f>IF($D1908="","",IF(ISNUMBER(MATCH($D1908,CMB_S,0)),1,IF(ISNUMBER(MATCH($D1908,CMB_G,0)),2,0)))</f>
        <v/>
      </c>
      <c r="Q1908" s="84">
        <f>IF(ISNUMBER($H1908),-$H1908,0)</f>
        <v>0</v>
      </c>
      <c r="R1908" s="84">
        <f>IF(ISNUMBER($I1908),ABS($I1908),0)</f>
        <v>0</v>
      </c>
      <c r="S1908" s="84">
        <f>IF(ISNUMBER($M1908),ABS($M1908),0)</f>
        <v>0</v>
      </c>
      <c r="T1908" s="85" t="n">
        <v>1900</v>
      </c>
    </row>
    <row r="1909">
      <c r="B1909" s="83" t="n"/>
      <c r="C1909" s="83" t="n"/>
      <c r="D1909" s="83" t="n"/>
      <c r="E1909" s="83" t="n"/>
      <c r="F1909" s="83" t="n"/>
      <c r="G1909" s="83" t="n"/>
      <c r="H1909" s="83" t="n"/>
      <c r="I1909" s="83" t="n"/>
      <c r="J1909" s="83" t="n"/>
      <c r="K1909" s="83" t="n"/>
      <c r="L1909" s="83" t="n"/>
      <c r="M1909" s="83" t="n"/>
      <c r="O1909" s="84" t="str">
        <f>IF($C1909="","",IFERROR(MATCH($B1909&amp;"|"&amp;$C1909,MUROS!$AX$11:$AX$70,0),0))</f>
        <v/>
      </c>
      <c r="P1909" s="84" t="str">
        <f>IF($D1909="","",IF(ISNUMBER(MATCH($D1909,CMB_S,0)),1,IF(ISNUMBER(MATCH($D1909,CMB_G,0)),2,0)))</f>
        <v/>
      </c>
      <c r="Q1909" s="84">
        <f>IF(ISNUMBER($H1909),-$H1909,0)</f>
        <v>0</v>
      </c>
      <c r="R1909" s="84">
        <f>IF(ISNUMBER($I1909),ABS($I1909),0)</f>
        <v>0</v>
      </c>
      <c r="S1909" s="84">
        <f>IF(ISNUMBER($M1909),ABS($M1909),0)</f>
        <v>0</v>
      </c>
      <c r="T1909" s="85" t="n">
        <v>1901</v>
      </c>
    </row>
    <row r="1910">
      <c r="B1910" s="83" t="n"/>
      <c r="C1910" s="83" t="n"/>
      <c r="D1910" s="83" t="n"/>
      <c r="E1910" s="83" t="n"/>
      <c r="F1910" s="83" t="n"/>
      <c r="G1910" s="83" t="n"/>
      <c r="H1910" s="83" t="n"/>
      <c r="I1910" s="83" t="n"/>
      <c r="J1910" s="83" t="n"/>
      <c r="K1910" s="83" t="n"/>
      <c r="L1910" s="83" t="n"/>
      <c r="M1910" s="83" t="n"/>
      <c r="O1910" s="84" t="str">
        <f>IF($C1910="","",IFERROR(MATCH($B1910&amp;"|"&amp;$C1910,MUROS!$AX$11:$AX$70,0),0))</f>
        <v/>
      </c>
      <c r="P1910" s="84" t="str">
        <f>IF($D1910="","",IF(ISNUMBER(MATCH($D1910,CMB_S,0)),1,IF(ISNUMBER(MATCH($D1910,CMB_G,0)),2,0)))</f>
        <v/>
      </c>
      <c r="Q1910" s="84">
        <f>IF(ISNUMBER($H1910),-$H1910,0)</f>
        <v>0</v>
      </c>
      <c r="R1910" s="84">
        <f>IF(ISNUMBER($I1910),ABS($I1910),0)</f>
        <v>0</v>
      </c>
      <c r="S1910" s="84">
        <f>IF(ISNUMBER($M1910),ABS($M1910),0)</f>
        <v>0</v>
      </c>
      <c r="T1910" s="85" t="n">
        <v>1902</v>
      </c>
    </row>
    <row r="1911">
      <c r="B1911" s="83" t="n"/>
      <c r="C1911" s="83" t="n"/>
      <c r="D1911" s="83" t="n"/>
      <c r="E1911" s="83" t="n"/>
      <c r="F1911" s="83" t="n"/>
      <c r="G1911" s="83" t="n"/>
      <c r="H1911" s="83" t="n"/>
      <c r="I1911" s="83" t="n"/>
      <c r="J1911" s="83" t="n"/>
      <c r="K1911" s="83" t="n"/>
      <c r="L1911" s="83" t="n"/>
      <c r="M1911" s="83" t="n"/>
      <c r="O1911" s="84" t="str">
        <f>IF($C1911="","",IFERROR(MATCH($B1911&amp;"|"&amp;$C1911,MUROS!$AX$11:$AX$70,0),0))</f>
        <v/>
      </c>
      <c r="P1911" s="84" t="str">
        <f>IF($D1911="","",IF(ISNUMBER(MATCH($D1911,CMB_S,0)),1,IF(ISNUMBER(MATCH($D1911,CMB_G,0)),2,0)))</f>
        <v/>
      </c>
      <c r="Q1911" s="84">
        <f>IF(ISNUMBER($H1911),-$H1911,0)</f>
        <v>0</v>
      </c>
      <c r="R1911" s="84">
        <f>IF(ISNUMBER($I1911),ABS($I1911),0)</f>
        <v>0</v>
      </c>
      <c r="S1911" s="84">
        <f>IF(ISNUMBER($M1911),ABS($M1911),0)</f>
        <v>0</v>
      </c>
      <c r="T1911" s="85" t="n">
        <v>1903</v>
      </c>
    </row>
    <row r="1912">
      <c r="B1912" s="83" t="n"/>
      <c r="C1912" s="83" t="n"/>
      <c r="D1912" s="83" t="n"/>
      <c r="E1912" s="83" t="n"/>
      <c r="F1912" s="83" t="n"/>
      <c r="G1912" s="83" t="n"/>
      <c r="H1912" s="83" t="n"/>
      <c r="I1912" s="83" t="n"/>
      <c r="J1912" s="83" t="n"/>
      <c r="K1912" s="83" t="n"/>
      <c r="L1912" s="83" t="n"/>
      <c r="M1912" s="83" t="n"/>
      <c r="O1912" s="84" t="str">
        <f>IF($C1912="","",IFERROR(MATCH($B1912&amp;"|"&amp;$C1912,MUROS!$AX$11:$AX$70,0),0))</f>
        <v/>
      </c>
      <c r="P1912" s="84" t="str">
        <f>IF($D1912="","",IF(ISNUMBER(MATCH($D1912,CMB_S,0)),1,IF(ISNUMBER(MATCH($D1912,CMB_G,0)),2,0)))</f>
        <v/>
      </c>
      <c r="Q1912" s="84">
        <f>IF(ISNUMBER($H1912),-$H1912,0)</f>
        <v>0</v>
      </c>
      <c r="R1912" s="84">
        <f>IF(ISNUMBER($I1912),ABS($I1912),0)</f>
        <v>0</v>
      </c>
      <c r="S1912" s="84">
        <f>IF(ISNUMBER($M1912),ABS($M1912),0)</f>
        <v>0</v>
      </c>
      <c r="T1912" s="85" t="n">
        <v>1904</v>
      </c>
    </row>
    <row r="1913">
      <c r="B1913" s="83" t="n"/>
      <c r="C1913" s="83" t="n"/>
      <c r="D1913" s="83" t="n"/>
      <c r="E1913" s="83" t="n"/>
      <c r="F1913" s="83" t="n"/>
      <c r="G1913" s="83" t="n"/>
      <c r="H1913" s="83" t="n"/>
      <c r="I1913" s="83" t="n"/>
      <c r="J1913" s="83" t="n"/>
      <c r="K1913" s="83" t="n"/>
      <c r="L1913" s="83" t="n"/>
      <c r="M1913" s="83" t="n"/>
      <c r="O1913" s="84" t="str">
        <f>IF($C1913="","",IFERROR(MATCH($B1913&amp;"|"&amp;$C1913,MUROS!$AX$11:$AX$70,0),0))</f>
        <v/>
      </c>
      <c r="P1913" s="84" t="str">
        <f>IF($D1913="","",IF(ISNUMBER(MATCH($D1913,CMB_S,0)),1,IF(ISNUMBER(MATCH($D1913,CMB_G,0)),2,0)))</f>
        <v/>
      </c>
      <c r="Q1913" s="84">
        <f>IF(ISNUMBER($H1913),-$H1913,0)</f>
        <v>0</v>
      </c>
      <c r="R1913" s="84">
        <f>IF(ISNUMBER($I1913),ABS($I1913),0)</f>
        <v>0</v>
      </c>
      <c r="S1913" s="84">
        <f>IF(ISNUMBER($M1913),ABS($M1913),0)</f>
        <v>0</v>
      </c>
      <c r="T1913" s="85" t="n">
        <v>1905</v>
      </c>
    </row>
    <row r="1914">
      <c r="B1914" s="83" t="n"/>
      <c r="C1914" s="83" t="n"/>
      <c r="D1914" s="83" t="n"/>
      <c r="E1914" s="83" t="n"/>
      <c r="F1914" s="83" t="n"/>
      <c r="G1914" s="83" t="n"/>
      <c r="H1914" s="83" t="n"/>
      <c r="I1914" s="83" t="n"/>
      <c r="J1914" s="83" t="n"/>
      <c r="K1914" s="83" t="n"/>
      <c r="L1914" s="83" t="n"/>
      <c r="M1914" s="83" t="n"/>
      <c r="O1914" s="84" t="str">
        <f>IF($C1914="","",IFERROR(MATCH($B1914&amp;"|"&amp;$C1914,MUROS!$AX$11:$AX$70,0),0))</f>
        <v/>
      </c>
      <c r="P1914" s="84" t="str">
        <f>IF($D1914="","",IF(ISNUMBER(MATCH($D1914,CMB_S,0)),1,IF(ISNUMBER(MATCH($D1914,CMB_G,0)),2,0)))</f>
        <v/>
      </c>
      <c r="Q1914" s="84">
        <f>IF(ISNUMBER($H1914),-$H1914,0)</f>
        <v>0</v>
      </c>
      <c r="R1914" s="84">
        <f>IF(ISNUMBER($I1914),ABS($I1914),0)</f>
        <v>0</v>
      </c>
      <c r="S1914" s="84">
        <f>IF(ISNUMBER($M1914),ABS($M1914),0)</f>
        <v>0</v>
      </c>
      <c r="T1914" s="85" t="n">
        <v>1906</v>
      </c>
    </row>
    <row r="1915">
      <c r="B1915" s="83" t="n"/>
      <c r="C1915" s="83" t="n"/>
      <c r="D1915" s="83" t="n"/>
      <c r="E1915" s="83" t="n"/>
      <c r="F1915" s="83" t="n"/>
      <c r="G1915" s="83" t="n"/>
      <c r="H1915" s="83" t="n"/>
      <c r="I1915" s="83" t="n"/>
      <c r="J1915" s="83" t="n"/>
      <c r="K1915" s="83" t="n"/>
      <c r="L1915" s="83" t="n"/>
      <c r="M1915" s="83" t="n"/>
      <c r="O1915" s="84" t="str">
        <f>IF($C1915="","",IFERROR(MATCH($B1915&amp;"|"&amp;$C1915,MUROS!$AX$11:$AX$70,0),0))</f>
        <v/>
      </c>
      <c r="P1915" s="84" t="str">
        <f>IF($D1915="","",IF(ISNUMBER(MATCH($D1915,CMB_S,0)),1,IF(ISNUMBER(MATCH($D1915,CMB_G,0)),2,0)))</f>
        <v/>
      </c>
      <c r="Q1915" s="84">
        <f>IF(ISNUMBER($H1915),-$H1915,0)</f>
        <v>0</v>
      </c>
      <c r="R1915" s="84">
        <f>IF(ISNUMBER($I1915),ABS($I1915),0)</f>
        <v>0</v>
      </c>
      <c r="S1915" s="84">
        <f>IF(ISNUMBER($M1915),ABS($M1915),0)</f>
        <v>0</v>
      </c>
      <c r="T1915" s="85" t="n">
        <v>1907</v>
      </c>
    </row>
    <row r="1916">
      <c r="B1916" s="83" t="n"/>
      <c r="C1916" s="83" t="n"/>
      <c r="D1916" s="83" t="n"/>
      <c r="E1916" s="83" t="n"/>
      <c r="F1916" s="83" t="n"/>
      <c r="G1916" s="83" t="n"/>
      <c r="H1916" s="83" t="n"/>
      <c r="I1916" s="83" t="n"/>
      <c r="J1916" s="83" t="n"/>
      <c r="K1916" s="83" t="n"/>
      <c r="L1916" s="83" t="n"/>
      <c r="M1916" s="83" t="n"/>
      <c r="O1916" s="84" t="str">
        <f>IF($C1916="","",IFERROR(MATCH($B1916&amp;"|"&amp;$C1916,MUROS!$AX$11:$AX$70,0),0))</f>
        <v/>
      </c>
      <c r="P1916" s="84" t="str">
        <f>IF($D1916="","",IF(ISNUMBER(MATCH($D1916,CMB_S,0)),1,IF(ISNUMBER(MATCH($D1916,CMB_G,0)),2,0)))</f>
        <v/>
      </c>
      <c r="Q1916" s="84">
        <f>IF(ISNUMBER($H1916),-$H1916,0)</f>
        <v>0</v>
      </c>
      <c r="R1916" s="84">
        <f>IF(ISNUMBER($I1916),ABS($I1916),0)</f>
        <v>0</v>
      </c>
      <c r="S1916" s="84">
        <f>IF(ISNUMBER($M1916),ABS($M1916),0)</f>
        <v>0</v>
      </c>
      <c r="T1916" s="85" t="n">
        <v>1908</v>
      </c>
    </row>
    <row r="1917">
      <c r="B1917" s="83" t="n"/>
      <c r="C1917" s="83" t="n"/>
      <c r="D1917" s="83" t="n"/>
      <c r="E1917" s="83" t="n"/>
      <c r="F1917" s="83" t="n"/>
      <c r="G1917" s="83" t="n"/>
      <c r="H1917" s="83" t="n"/>
      <c r="I1917" s="83" t="n"/>
      <c r="J1917" s="83" t="n"/>
      <c r="K1917" s="83" t="n"/>
      <c r="L1917" s="83" t="n"/>
      <c r="M1917" s="83" t="n"/>
      <c r="O1917" s="84" t="str">
        <f>IF($C1917="","",IFERROR(MATCH($B1917&amp;"|"&amp;$C1917,MUROS!$AX$11:$AX$70,0),0))</f>
        <v/>
      </c>
      <c r="P1917" s="84" t="str">
        <f>IF($D1917="","",IF(ISNUMBER(MATCH($D1917,CMB_S,0)),1,IF(ISNUMBER(MATCH($D1917,CMB_G,0)),2,0)))</f>
        <v/>
      </c>
      <c r="Q1917" s="84">
        <f>IF(ISNUMBER($H1917),-$H1917,0)</f>
        <v>0</v>
      </c>
      <c r="R1917" s="84">
        <f>IF(ISNUMBER($I1917),ABS($I1917),0)</f>
        <v>0</v>
      </c>
      <c r="S1917" s="84">
        <f>IF(ISNUMBER($M1917),ABS($M1917),0)</f>
        <v>0</v>
      </c>
      <c r="T1917" s="85" t="n">
        <v>1909</v>
      </c>
    </row>
    <row r="1918">
      <c r="B1918" s="83" t="n"/>
      <c r="C1918" s="83" t="n"/>
      <c r="D1918" s="83" t="n"/>
      <c r="E1918" s="83" t="n"/>
      <c r="F1918" s="83" t="n"/>
      <c r="G1918" s="83" t="n"/>
      <c r="H1918" s="83" t="n"/>
      <c r="I1918" s="83" t="n"/>
      <c r="J1918" s="83" t="n"/>
      <c r="K1918" s="83" t="n"/>
      <c r="L1918" s="83" t="n"/>
      <c r="M1918" s="83" t="n"/>
      <c r="O1918" s="84" t="str">
        <f>IF($C1918="","",IFERROR(MATCH($B1918&amp;"|"&amp;$C1918,MUROS!$AX$11:$AX$70,0),0))</f>
        <v/>
      </c>
      <c r="P1918" s="84" t="str">
        <f>IF($D1918="","",IF(ISNUMBER(MATCH($D1918,CMB_S,0)),1,IF(ISNUMBER(MATCH($D1918,CMB_G,0)),2,0)))</f>
        <v/>
      </c>
      <c r="Q1918" s="84">
        <f>IF(ISNUMBER($H1918),-$H1918,0)</f>
        <v>0</v>
      </c>
      <c r="R1918" s="84">
        <f>IF(ISNUMBER($I1918),ABS($I1918),0)</f>
        <v>0</v>
      </c>
      <c r="S1918" s="84">
        <f>IF(ISNUMBER($M1918),ABS($M1918),0)</f>
        <v>0</v>
      </c>
      <c r="T1918" s="85" t="n">
        <v>1910</v>
      </c>
    </row>
    <row r="1919">
      <c r="B1919" s="83" t="n"/>
      <c r="C1919" s="83" t="n"/>
      <c r="D1919" s="83" t="n"/>
      <c r="E1919" s="83" t="n"/>
      <c r="F1919" s="83" t="n"/>
      <c r="G1919" s="83" t="n"/>
      <c r="H1919" s="83" t="n"/>
      <c r="I1919" s="83" t="n"/>
      <c r="J1919" s="83" t="n"/>
      <c r="K1919" s="83" t="n"/>
      <c r="L1919" s="83" t="n"/>
      <c r="M1919" s="83" t="n"/>
      <c r="O1919" s="84" t="str">
        <f>IF($C1919="","",IFERROR(MATCH($B1919&amp;"|"&amp;$C1919,MUROS!$AX$11:$AX$70,0),0))</f>
        <v/>
      </c>
      <c r="P1919" s="84" t="str">
        <f>IF($D1919="","",IF(ISNUMBER(MATCH($D1919,CMB_S,0)),1,IF(ISNUMBER(MATCH($D1919,CMB_G,0)),2,0)))</f>
        <v/>
      </c>
      <c r="Q1919" s="84">
        <f>IF(ISNUMBER($H1919),-$H1919,0)</f>
        <v>0</v>
      </c>
      <c r="R1919" s="84">
        <f>IF(ISNUMBER($I1919),ABS($I1919),0)</f>
        <v>0</v>
      </c>
      <c r="S1919" s="84">
        <f>IF(ISNUMBER($M1919),ABS($M1919),0)</f>
        <v>0</v>
      </c>
      <c r="T1919" s="85" t="n">
        <v>1911</v>
      </c>
    </row>
    <row r="1920">
      <c r="B1920" s="83" t="n"/>
      <c r="C1920" s="83" t="n"/>
      <c r="D1920" s="83" t="n"/>
      <c r="E1920" s="83" t="n"/>
      <c r="F1920" s="83" t="n"/>
      <c r="G1920" s="83" t="n"/>
      <c r="H1920" s="83" t="n"/>
      <c r="I1920" s="83" t="n"/>
      <c r="J1920" s="83" t="n"/>
      <c r="K1920" s="83" t="n"/>
      <c r="L1920" s="83" t="n"/>
      <c r="M1920" s="83" t="n"/>
      <c r="O1920" s="84" t="str">
        <f>IF($C1920="","",IFERROR(MATCH($B1920&amp;"|"&amp;$C1920,MUROS!$AX$11:$AX$70,0),0))</f>
        <v/>
      </c>
      <c r="P1920" s="84" t="str">
        <f>IF($D1920="","",IF(ISNUMBER(MATCH($D1920,CMB_S,0)),1,IF(ISNUMBER(MATCH($D1920,CMB_G,0)),2,0)))</f>
        <v/>
      </c>
      <c r="Q1920" s="84">
        <f>IF(ISNUMBER($H1920),-$H1920,0)</f>
        <v>0</v>
      </c>
      <c r="R1920" s="84">
        <f>IF(ISNUMBER($I1920),ABS($I1920),0)</f>
        <v>0</v>
      </c>
      <c r="S1920" s="84">
        <f>IF(ISNUMBER($M1920),ABS($M1920),0)</f>
        <v>0</v>
      </c>
      <c r="T1920" s="85" t="n">
        <v>1912</v>
      </c>
    </row>
    <row r="1921">
      <c r="B1921" s="83" t="n"/>
      <c r="C1921" s="83" t="n"/>
      <c r="D1921" s="83" t="n"/>
      <c r="E1921" s="83" t="n"/>
      <c r="F1921" s="83" t="n"/>
      <c r="G1921" s="83" t="n"/>
      <c r="H1921" s="83" t="n"/>
      <c r="I1921" s="83" t="n"/>
      <c r="J1921" s="83" t="n"/>
      <c r="K1921" s="83" t="n"/>
      <c r="L1921" s="83" t="n"/>
      <c r="M1921" s="83" t="n"/>
      <c r="O1921" s="84" t="str">
        <f>IF($C1921="","",IFERROR(MATCH($B1921&amp;"|"&amp;$C1921,MUROS!$AX$11:$AX$70,0),0))</f>
        <v/>
      </c>
      <c r="P1921" s="84" t="str">
        <f>IF($D1921="","",IF(ISNUMBER(MATCH($D1921,CMB_S,0)),1,IF(ISNUMBER(MATCH($D1921,CMB_G,0)),2,0)))</f>
        <v/>
      </c>
      <c r="Q1921" s="84">
        <f>IF(ISNUMBER($H1921),-$H1921,0)</f>
        <v>0</v>
      </c>
      <c r="R1921" s="84">
        <f>IF(ISNUMBER($I1921),ABS($I1921),0)</f>
        <v>0</v>
      </c>
      <c r="S1921" s="84">
        <f>IF(ISNUMBER($M1921),ABS($M1921),0)</f>
        <v>0</v>
      </c>
      <c r="T1921" s="85" t="n">
        <v>1913</v>
      </c>
    </row>
    <row r="1922">
      <c r="B1922" s="83" t="n"/>
      <c r="C1922" s="83" t="n"/>
      <c r="D1922" s="83" t="n"/>
      <c r="E1922" s="83" t="n"/>
      <c r="F1922" s="83" t="n"/>
      <c r="G1922" s="83" t="n"/>
      <c r="H1922" s="83" t="n"/>
      <c r="I1922" s="83" t="n"/>
      <c r="J1922" s="83" t="n"/>
      <c r="K1922" s="83" t="n"/>
      <c r="L1922" s="83" t="n"/>
      <c r="M1922" s="83" t="n"/>
      <c r="O1922" s="84" t="str">
        <f>IF($C1922="","",IFERROR(MATCH($B1922&amp;"|"&amp;$C1922,MUROS!$AX$11:$AX$70,0),0))</f>
        <v/>
      </c>
      <c r="P1922" s="84" t="str">
        <f>IF($D1922="","",IF(ISNUMBER(MATCH($D1922,CMB_S,0)),1,IF(ISNUMBER(MATCH($D1922,CMB_G,0)),2,0)))</f>
        <v/>
      </c>
      <c r="Q1922" s="84">
        <f>IF(ISNUMBER($H1922),-$H1922,0)</f>
        <v>0</v>
      </c>
      <c r="R1922" s="84">
        <f>IF(ISNUMBER($I1922),ABS($I1922),0)</f>
        <v>0</v>
      </c>
      <c r="S1922" s="84">
        <f>IF(ISNUMBER($M1922),ABS($M1922),0)</f>
        <v>0</v>
      </c>
      <c r="T1922" s="85" t="n">
        <v>1914</v>
      </c>
    </row>
    <row r="1923">
      <c r="B1923" s="83" t="n"/>
      <c r="C1923" s="83" t="n"/>
      <c r="D1923" s="83" t="n"/>
      <c r="E1923" s="83" t="n"/>
      <c r="F1923" s="83" t="n"/>
      <c r="G1923" s="83" t="n"/>
      <c r="H1923" s="83" t="n"/>
      <c r="I1923" s="83" t="n"/>
      <c r="J1923" s="83" t="n"/>
      <c r="K1923" s="83" t="n"/>
      <c r="L1923" s="83" t="n"/>
      <c r="M1923" s="83" t="n"/>
      <c r="O1923" s="84" t="str">
        <f>IF($C1923="","",IFERROR(MATCH($B1923&amp;"|"&amp;$C1923,MUROS!$AX$11:$AX$70,0),0))</f>
        <v/>
      </c>
      <c r="P1923" s="84" t="str">
        <f>IF($D1923="","",IF(ISNUMBER(MATCH($D1923,CMB_S,0)),1,IF(ISNUMBER(MATCH($D1923,CMB_G,0)),2,0)))</f>
        <v/>
      </c>
      <c r="Q1923" s="84">
        <f>IF(ISNUMBER($H1923),-$H1923,0)</f>
        <v>0</v>
      </c>
      <c r="R1923" s="84">
        <f>IF(ISNUMBER($I1923),ABS($I1923),0)</f>
        <v>0</v>
      </c>
      <c r="S1923" s="84">
        <f>IF(ISNUMBER($M1923),ABS($M1923),0)</f>
        <v>0</v>
      </c>
      <c r="T1923" s="85" t="n">
        <v>1915</v>
      </c>
    </row>
    <row r="1924">
      <c r="B1924" s="83" t="n"/>
      <c r="C1924" s="83" t="n"/>
      <c r="D1924" s="83" t="n"/>
      <c r="E1924" s="83" t="n"/>
      <c r="F1924" s="83" t="n"/>
      <c r="G1924" s="83" t="n"/>
      <c r="H1924" s="83" t="n"/>
      <c r="I1924" s="83" t="n"/>
      <c r="J1924" s="83" t="n"/>
      <c r="K1924" s="83" t="n"/>
      <c r="L1924" s="83" t="n"/>
      <c r="M1924" s="83" t="n"/>
      <c r="O1924" s="84" t="str">
        <f>IF($C1924="","",IFERROR(MATCH($B1924&amp;"|"&amp;$C1924,MUROS!$AX$11:$AX$70,0),0))</f>
        <v/>
      </c>
      <c r="P1924" s="84" t="str">
        <f>IF($D1924="","",IF(ISNUMBER(MATCH($D1924,CMB_S,0)),1,IF(ISNUMBER(MATCH($D1924,CMB_G,0)),2,0)))</f>
        <v/>
      </c>
      <c r="Q1924" s="84">
        <f>IF(ISNUMBER($H1924),-$H1924,0)</f>
        <v>0</v>
      </c>
      <c r="R1924" s="84">
        <f>IF(ISNUMBER($I1924),ABS($I1924),0)</f>
        <v>0</v>
      </c>
      <c r="S1924" s="84">
        <f>IF(ISNUMBER($M1924),ABS($M1924),0)</f>
        <v>0</v>
      </c>
      <c r="T1924" s="85" t="n">
        <v>1916</v>
      </c>
    </row>
    <row r="1925">
      <c r="B1925" s="83" t="n"/>
      <c r="C1925" s="83" t="n"/>
      <c r="D1925" s="83" t="n"/>
      <c r="E1925" s="83" t="n"/>
      <c r="F1925" s="83" t="n"/>
      <c r="G1925" s="83" t="n"/>
      <c r="H1925" s="83" t="n"/>
      <c r="I1925" s="83" t="n"/>
      <c r="J1925" s="83" t="n"/>
      <c r="K1925" s="83" t="n"/>
      <c r="L1925" s="83" t="n"/>
      <c r="M1925" s="83" t="n"/>
      <c r="O1925" s="84" t="str">
        <f>IF($C1925="","",IFERROR(MATCH($B1925&amp;"|"&amp;$C1925,MUROS!$AX$11:$AX$70,0),0))</f>
        <v/>
      </c>
      <c r="P1925" s="84" t="str">
        <f>IF($D1925="","",IF(ISNUMBER(MATCH($D1925,CMB_S,0)),1,IF(ISNUMBER(MATCH($D1925,CMB_G,0)),2,0)))</f>
        <v/>
      </c>
      <c r="Q1925" s="84">
        <f>IF(ISNUMBER($H1925),-$H1925,0)</f>
        <v>0</v>
      </c>
      <c r="R1925" s="84">
        <f>IF(ISNUMBER($I1925),ABS($I1925),0)</f>
        <v>0</v>
      </c>
      <c r="S1925" s="84">
        <f>IF(ISNUMBER($M1925),ABS($M1925),0)</f>
        <v>0</v>
      </c>
      <c r="T1925" s="85" t="n">
        <v>1917</v>
      </c>
    </row>
    <row r="1926">
      <c r="B1926" s="83" t="n"/>
      <c r="C1926" s="83" t="n"/>
      <c r="D1926" s="83" t="n"/>
      <c r="E1926" s="83" t="n"/>
      <c r="F1926" s="83" t="n"/>
      <c r="G1926" s="83" t="n"/>
      <c r="H1926" s="83" t="n"/>
      <c r="I1926" s="83" t="n"/>
      <c r="J1926" s="83" t="n"/>
      <c r="K1926" s="83" t="n"/>
      <c r="L1926" s="83" t="n"/>
      <c r="M1926" s="83" t="n"/>
      <c r="O1926" s="84" t="str">
        <f>IF($C1926="","",IFERROR(MATCH($B1926&amp;"|"&amp;$C1926,MUROS!$AX$11:$AX$70,0),0))</f>
        <v/>
      </c>
      <c r="P1926" s="84" t="str">
        <f>IF($D1926="","",IF(ISNUMBER(MATCH($D1926,CMB_S,0)),1,IF(ISNUMBER(MATCH($D1926,CMB_G,0)),2,0)))</f>
        <v/>
      </c>
      <c r="Q1926" s="84">
        <f>IF(ISNUMBER($H1926),-$H1926,0)</f>
        <v>0</v>
      </c>
      <c r="R1926" s="84">
        <f>IF(ISNUMBER($I1926),ABS($I1926),0)</f>
        <v>0</v>
      </c>
      <c r="S1926" s="84">
        <f>IF(ISNUMBER($M1926),ABS($M1926),0)</f>
        <v>0</v>
      </c>
      <c r="T1926" s="85" t="n">
        <v>1918</v>
      </c>
    </row>
    <row r="1927">
      <c r="B1927" s="83" t="n"/>
      <c r="C1927" s="83" t="n"/>
      <c r="D1927" s="83" t="n"/>
      <c r="E1927" s="83" t="n"/>
      <c r="F1927" s="83" t="n"/>
      <c r="G1927" s="83" t="n"/>
      <c r="H1927" s="83" t="n"/>
      <c r="I1927" s="83" t="n"/>
      <c r="J1927" s="83" t="n"/>
      <c r="K1927" s="83" t="n"/>
      <c r="L1927" s="83" t="n"/>
      <c r="M1927" s="83" t="n"/>
      <c r="O1927" s="84" t="str">
        <f>IF($C1927="","",IFERROR(MATCH($B1927&amp;"|"&amp;$C1927,MUROS!$AX$11:$AX$70,0),0))</f>
        <v/>
      </c>
      <c r="P1927" s="84" t="str">
        <f>IF($D1927="","",IF(ISNUMBER(MATCH($D1927,CMB_S,0)),1,IF(ISNUMBER(MATCH($D1927,CMB_G,0)),2,0)))</f>
        <v/>
      </c>
      <c r="Q1927" s="84">
        <f>IF(ISNUMBER($H1927),-$H1927,0)</f>
        <v>0</v>
      </c>
      <c r="R1927" s="84">
        <f>IF(ISNUMBER($I1927),ABS($I1927),0)</f>
        <v>0</v>
      </c>
      <c r="S1927" s="84">
        <f>IF(ISNUMBER($M1927),ABS($M1927),0)</f>
        <v>0</v>
      </c>
      <c r="T1927" s="85" t="n">
        <v>1919</v>
      </c>
    </row>
    <row r="1928">
      <c r="B1928" s="83" t="n"/>
      <c r="C1928" s="83" t="n"/>
      <c r="D1928" s="83" t="n"/>
      <c r="E1928" s="83" t="n"/>
      <c r="F1928" s="83" t="n"/>
      <c r="G1928" s="83" t="n"/>
      <c r="H1928" s="83" t="n"/>
      <c r="I1928" s="83" t="n"/>
      <c r="J1928" s="83" t="n"/>
      <c r="K1928" s="83" t="n"/>
      <c r="L1928" s="83" t="n"/>
      <c r="M1928" s="83" t="n"/>
      <c r="O1928" s="84" t="str">
        <f>IF($C1928="","",IFERROR(MATCH($B1928&amp;"|"&amp;$C1928,MUROS!$AX$11:$AX$70,0),0))</f>
        <v/>
      </c>
      <c r="P1928" s="84" t="str">
        <f>IF($D1928="","",IF(ISNUMBER(MATCH($D1928,CMB_S,0)),1,IF(ISNUMBER(MATCH($D1928,CMB_G,0)),2,0)))</f>
        <v/>
      </c>
      <c r="Q1928" s="84">
        <f>IF(ISNUMBER($H1928),-$H1928,0)</f>
        <v>0</v>
      </c>
      <c r="R1928" s="84">
        <f>IF(ISNUMBER($I1928),ABS($I1928),0)</f>
        <v>0</v>
      </c>
      <c r="S1928" s="84">
        <f>IF(ISNUMBER($M1928),ABS($M1928),0)</f>
        <v>0</v>
      </c>
      <c r="T1928" s="85" t="n">
        <v>1920</v>
      </c>
    </row>
    <row r="1929">
      <c r="B1929" s="83" t="n"/>
      <c r="C1929" s="83" t="n"/>
      <c r="D1929" s="83" t="n"/>
      <c r="E1929" s="83" t="n"/>
      <c r="F1929" s="83" t="n"/>
      <c r="G1929" s="83" t="n"/>
      <c r="H1929" s="83" t="n"/>
      <c r="I1929" s="83" t="n"/>
      <c r="J1929" s="83" t="n"/>
      <c r="K1929" s="83" t="n"/>
      <c r="L1929" s="83" t="n"/>
      <c r="M1929" s="83" t="n"/>
      <c r="O1929" s="84" t="str">
        <f>IF($C1929="","",IFERROR(MATCH($B1929&amp;"|"&amp;$C1929,MUROS!$AX$11:$AX$70,0),0))</f>
        <v/>
      </c>
      <c r="P1929" s="84" t="str">
        <f>IF($D1929="","",IF(ISNUMBER(MATCH($D1929,CMB_S,0)),1,IF(ISNUMBER(MATCH($D1929,CMB_G,0)),2,0)))</f>
        <v/>
      </c>
      <c r="Q1929" s="84">
        <f>IF(ISNUMBER($H1929),-$H1929,0)</f>
        <v>0</v>
      </c>
      <c r="R1929" s="84">
        <f>IF(ISNUMBER($I1929),ABS($I1929),0)</f>
        <v>0</v>
      </c>
      <c r="S1929" s="84">
        <f>IF(ISNUMBER($M1929),ABS($M1929),0)</f>
        <v>0</v>
      </c>
      <c r="T1929" s="85" t="n">
        <v>1921</v>
      </c>
    </row>
    <row r="1930">
      <c r="B1930" s="83" t="n"/>
      <c r="C1930" s="83" t="n"/>
      <c r="D1930" s="83" t="n"/>
      <c r="E1930" s="83" t="n"/>
      <c r="F1930" s="83" t="n"/>
      <c r="G1930" s="83" t="n"/>
      <c r="H1930" s="83" t="n"/>
      <c r="I1930" s="83" t="n"/>
      <c r="J1930" s="83" t="n"/>
      <c r="K1930" s="83" t="n"/>
      <c r="L1930" s="83" t="n"/>
      <c r="M1930" s="83" t="n"/>
      <c r="O1930" s="84" t="str">
        <f>IF($C1930="","",IFERROR(MATCH($B1930&amp;"|"&amp;$C1930,MUROS!$AX$11:$AX$70,0),0))</f>
        <v/>
      </c>
      <c r="P1930" s="84" t="str">
        <f>IF($D1930="","",IF(ISNUMBER(MATCH($D1930,CMB_S,0)),1,IF(ISNUMBER(MATCH($D1930,CMB_G,0)),2,0)))</f>
        <v/>
      </c>
      <c r="Q1930" s="84">
        <f>IF(ISNUMBER($H1930),-$H1930,0)</f>
        <v>0</v>
      </c>
      <c r="R1930" s="84">
        <f>IF(ISNUMBER($I1930),ABS($I1930),0)</f>
        <v>0</v>
      </c>
      <c r="S1930" s="84">
        <f>IF(ISNUMBER($M1930),ABS($M1930),0)</f>
        <v>0</v>
      </c>
      <c r="T1930" s="85" t="n">
        <v>1922</v>
      </c>
    </row>
    <row r="1931">
      <c r="B1931" s="83" t="n"/>
      <c r="C1931" s="83" t="n"/>
      <c r="D1931" s="83" t="n"/>
      <c r="E1931" s="83" t="n"/>
      <c r="F1931" s="83" t="n"/>
      <c r="G1931" s="83" t="n"/>
      <c r="H1931" s="83" t="n"/>
      <c r="I1931" s="83" t="n"/>
      <c r="J1931" s="83" t="n"/>
      <c r="K1931" s="83" t="n"/>
      <c r="L1931" s="83" t="n"/>
      <c r="M1931" s="83" t="n"/>
      <c r="O1931" s="84" t="str">
        <f>IF($C1931="","",IFERROR(MATCH($B1931&amp;"|"&amp;$C1931,MUROS!$AX$11:$AX$70,0),0))</f>
        <v/>
      </c>
      <c r="P1931" s="84" t="str">
        <f>IF($D1931="","",IF(ISNUMBER(MATCH($D1931,CMB_S,0)),1,IF(ISNUMBER(MATCH($D1931,CMB_G,0)),2,0)))</f>
        <v/>
      </c>
      <c r="Q1931" s="84">
        <f>IF(ISNUMBER($H1931),-$H1931,0)</f>
        <v>0</v>
      </c>
      <c r="R1931" s="84">
        <f>IF(ISNUMBER($I1931),ABS($I1931),0)</f>
        <v>0</v>
      </c>
      <c r="S1931" s="84">
        <f>IF(ISNUMBER($M1931),ABS($M1931),0)</f>
        <v>0</v>
      </c>
      <c r="T1931" s="85" t="n">
        <v>1923</v>
      </c>
    </row>
    <row r="1932">
      <c r="B1932" s="83" t="n"/>
      <c r="C1932" s="83" t="n"/>
      <c r="D1932" s="83" t="n"/>
      <c r="E1932" s="83" t="n"/>
      <c r="F1932" s="83" t="n"/>
      <c r="G1932" s="83" t="n"/>
      <c r="H1932" s="83" t="n"/>
      <c r="I1932" s="83" t="n"/>
      <c r="J1932" s="83" t="n"/>
      <c r="K1932" s="83" t="n"/>
      <c r="L1932" s="83" t="n"/>
      <c r="M1932" s="83" t="n"/>
      <c r="O1932" s="84" t="str">
        <f>IF($C1932="","",IFERROR(MATCH($B1932&amp;"|"&amp;$C1932,MUROS!$AX$11:$AX$70,0),0))</f>
        <v/>
      </c>
      <c r="P1932" s="84" t="str">
        <f>IF($D1932="","",IF(ISNUMBER(MATCH($D1932,CMB_S,0)),1,IF(ISNUMBER(MATCH($D1932,CMB_G,0)),2,0)))</f>
        <v/>
      </c>
      <c r="Q1932" s="84">
        <f>IF(ISNUMBER($H1932),-$H1932,0)</f>
        <v>0</v>
      </c>
      <c r="R1932" s="84">
        <f>IF(ISNUMBER($I1932),ABS($I1932),0)</f>
        <v>0</v>
      </c>
      <c r="S1932" s="84">
        <f>IF(ISNUMBER($M1932),ABS($M1932),0)</f>
        <v>0</v>
      </c>
      <c r="T1932" s="85" t="n">
        <v>1924</v>
      </c>
    </row>
    <row r="1933">
      <c r="B1933" s="83" t="n"/>
      <c r="C1933" s="83" t="n"/>
      <c r="D1933" s="83" t="n"/>
      <c r="E1933" s="83" t="n"/>
      <c r="F1933" s="83" t="n"/>
      <c r="G1933" s="83" t="n"/>
      <c r="H1933" s="83" t="n"/>
      <c r="I1933" s="83" t="n"/>
      <c r="J1933" s="83" t="n"/>
      <c r="K1933" s="83" t="n"/>
      <c r="L1933" s="83" t="n"/>
      <c r="M1933" s="83" t="n"/>
      <c r="O1933" s="84" t="str">
        <f>IF($C1933="","",IFERROR(MATCH($B1933&amp;"|"&amp;$C1933,MUROS!$AX$11:$AX$70,0),0))</f>
        <v/>
      </c>
      <c r="P1933" s="84" t="str">
        <f>IF($D1933="","",IF(ISNUMBER(MATCH($D1933,CMB_S,0)),1,IF(ISNUMBER(MATCH($D1933,CMB_G,0)),2,0)))</f>
        <v/>
      </c>
      <c r="Q1933" s="84">
        <f>IF(ISNUMBER($H1933),-$H1933,0)</f>
        <v>0</v>
      </c>
      <c r="R1933" s="84">
        <f>IF(ISNUMBER($I1933),ABS($I1933),0)</f>
        <v>0</v>
      </c>
      <c r="S1933" s="84">
        <f>IF(ISNUMBER($M1933),ABS($M1933),0)</f>
        <v>0</v>
      </c>
      <c r="T1933" s="85" t="n">
        <v>1925</v>
      </c>
    </row>
    <row r="1934">
      <c r="B1934" s="83" t="n"/>
      <c r="C1934" s="83" t="n"/>
      <c r="D1934" s="83" t="n"/>
      <c r="E1934" s="83" t="n"/>
      <c r="F1934" s="83" t="n"/>
      <c r="G1934" s="83" t="n"/>
      <c r="H1934" s="83" t="n"/>
      <c r="I1934" s="83" t="n"/>
      <c r="J1934" s="83" t="n"/>
      <c r="K1934" s="83" t="n"/>
      <c r="L1934" s="83" t="n"/>
      <c r="M1934" s="83" t="n"/>
      <c r="O1934" s="84" t="str">
        <f>IF($C1934="","",IFERROR(MATCH($B1934&amp;"|"&amp;$C1934,MUROS!$AX$11:$AX$70,0),0))</f>
        <v/>
      </c>
      <c r="P1934" s="84" t="str">
        <f>IF($D1934="","",IF(ISNUMBER(MATCH($D1934,CMB_S,0)),1,IF(ISNUMBER(MATCH($D1934,CMB_G,0)),2,0)))</f>
        <v/>
      </c>
      <c r="Q1934" s="84">
        <f>IF(ISNUMBER($H1934),-$H1934,0)</f>
        <v>0</v>
      </c>
      <c r="R1934" s="84">
        <f>IF(ISNUMBER($I1934),ABS($I1934),0)</f>
        <v>0</v>
      </c>
      <c r="S1934" s="84">
        <f>IF(ISNUMBER($M1934),ABS($M1934),0)</f>
        <v>0</v>
      </c>
      <c r="T1934" s="85" t="n">
        <v>1926</v>
      </c>
    </row>
    <row r="1935">
      <c r="B1935" s="83" t="n"/>
      <c r="C1935" s="83" t="n"/>
      <c r="D1935" s="83" t="n"/>
      <c r="E1935" s="83" t="n"/>
      <c r="F1935" s="83" t="n"/>
      <c r="G1935" s="83" t="n"/>
      <c r="H1935" s="83" t="n"/>
      <c r="I1935" s="83" t="n"/>
      <c r="J1935" s="83" t="n"/>
      <c r="K1935" s="83" t="n"/>
      <c r="L1935" s="83" t="n"/>
      <c r="M1935" s="83" t="n"/>
      <c r="O1935" s="84" t="str">
        <f>IF($C1935="","",IFERROR(MATCH($B1935&amp;"|"&amp;$C1935,MUROS!$AX$11:$AX$70,0),0))</f>
        <v/>
      </c>
      <c r="P1935" s="84" t="str">
        <f>IF($D1935="","",IF(ISNUMBER(MATCH($D1935,CMB_S,0)),1,IF(ISNUMBER(MATCH($D1935,CMB_G,0)),2,0)))</f>
        <v/>
      </c>
      <c r="Q1935" s="84">
        <f>IF(ISNUMBER($H1935),-$H1935,0)</f>
        <v>0</v>
      </c>
      <c r="R1935" s="84">
        <f>IF(ISNUMBER($I1935),ABS($I1935),0)</f>
        <v>0</v>
      </c>
      <c r="S1935" s="84">
        <f>IF(ISNUMBER($M1935),ABS($M1935),0)</f>
        <v>0</v>
      </c>
      <c r="T1935" s="85" t="n">
        <v>1927</v>
      </c>
    </row>
    <row r="1936">
      <c r="B1936" s="83" t="n"/>
      <c r="C1936" s="83" t="n"/>
      <c r="D1936" s="83" t="n"/>
      <c r="E1936" s="83" t="n"/>
      <c r="F1936" s="83" t="n"/>
      <c r="G1936" s="83" t="n"/>
      <c r="H1936" s="83" t="n"/>
      <c r="I1936" s="83" t="n"/>
      <c r="J1936" s="83" t="n"/>
      <c r="K1936" s="83" t="n"/>
      <c r="L1936" s="83" t="n"/>
      <c r="M1936" s="83" t="n"/>
      <c r="O1936" s="84" t="str">
        <f>IF($C1936="","",IFERROR(MATCH($B1936&amp;"|"&amp;$C1936,MUROS!$AX$11:$AX$70,0),0))</f>
        <v/>
      </c>
      <c r="P1936" s="84" t="str">
        <f>IF($D1936="","",IF(ISNUMBER(MATCH($D1936,CMB_S,0)),1,IF(ISNUMBER(MATCH($D1936,CMB_G,0)),2,0)))</f>
        <v/>
      </c>
      <c r="Q1936" s="84">
        <f>IF(ISNUMBER($H1936),-$H1936,0)</f>
        <v>0</v>
      </c>
      <c r="R1936" s="84">
        <f>IF(ISNUMBER($I1936),ABS($I1936),0)</f>
        <v>0</v>
      </c>
      <c r="S1936" s="84">
        <f>IF(ISNUMBER($M1936),ABS($M1936),0)</f>
        <v>0</v>
      </c>
      <c r="T1936" s="85" t="n">
        <v>1928</v>
      </c>
    </row>
    <row r="1937">
      <c r="B1937" s="83" t="n"/>
      <c r="C1937" s="83" t="n"/>
      <c r="D1937" s="83" t="n"/>
      <c r="E1937" s="83" t="n"/>
      <c r="F1937" s="83" t="n"/>
      <c r="G1937" s="83" t="n"/>
      <c r="H1937" s="83" t="n"/>
      <c r="I1937" s="83" t="n"/>
      <c r="J1937" s="83" t="n"/>
      <c r="K1937" s="83" t="n"/>
      <c r="L1937" s="83" t="n"/>
      <c r="M1937" s="83" t="n"/>
      <c r="O1937" s="84" t="str">
        <f>IF($C1937="","",IFERROR(MATCH($B1937&amp;"|"&amp;$C1937,MUROS!$AX$11:$AX$70,0),0))</f>
        <v/>
      </c>
      <c r="P1937" s="84" t="str">
        <f>IF($D1937="","",IF(ISNUMBER(MATCH($D1937,CMB_S,0)),1,IF(ISNUMBER(MATCH($D1937,CMB_G,0)),2,0)))</f>
        <v/>
      </c>
      <c r="Q1937" s="84">
        <f>IF(ISNUMBER($H1937),-$H1937,0)</f>
        <v>0</v>
      </c>
      <c r="R1937" s="84">
        <f>IF(ISNUMBER($I1937),ABS($I1937),0)</f>
        <v>0</v>
      </c>
      <c r="S1937" s="84">
        <f>IF(ISNUMBER($M1937),ABS($M1937),0)</f>
        <v>0</v>
      </c>
      <c r="T1937" s="85" t="n">
        <v>1929</v>
      </c>
    </row>
    <row r="1938">
      <c r="B1938" s="83" t="n"/>
      <c r="C1938" s="83" t="n"/>
      <c r="D1938" s="83" t="n"/>
      <c r="E1938" s="83" t="n"/>
      <c r="F1938" s="83" t="n"/>
      <c r="G1938" s="83" t="n"/>
      <c r="H1938" s="83" t="n"/>
      <c r="I1938" s="83" t="n"/>
      <c r="J1938" s="83" t="n"/>
      <c r="K1938" s="83" t="n"/>
      <c r="L1938" s="83" t="n"/>
      <c r="M1938" s="83" t="n"/>
      <c r="O1938" s="84" t="str">
        <f>IF($C1938="","",IFERROR(MATCH($B1938&amp;"|"&amp;$C1938,MUROS!$AX$11:$AX$70,0),0))</f>
        <v/>
      </c>
      <c r="P1938" s="84" t="str">
        <f>IF($D1938="","",IF(ISNUMBER(MATCH($D1938,CMB_S,0)),1,IF(ISNUMBER(MATCH($D1938,CMB_G,0)),2,0)))</f>
        <v/>
      </c>
      <c r="Q1938" s="84">
        <f>IF(ISNUMBER($H1938),-$H1938,0)</f>
        <v>0</v>
      </c>
      <c r="R1938" s="84">
        <f>IF(ISNUMBER($I1938),ABS($I1938),0)</f>
        <v>0</v>
      </c>
      <c r="S1938" s="84">
        <f>IF(ISNUMBER($M1938),ABS($M1938),0)</f>
        <v>0</v>
      </c>
      <c r="T1938" s="85" t="n">
        <v>1930</v>
      </c>
    </row>
    <row r="1939">
      <c r="B1939" s="83" t="n"/>
      <c r="C1939" s="83" t="n"/>
      <c r="D1939" s="83" t="n"/>
      <c r="E1939" s="83" t="n"/>
      <c r="F1939" s="83" t="n"/>
      <c r="G1939" s="83" t="n"/>
      <c r="H1939" s="83" t="n"/>
      <c r="I1939" s="83" t="n"/>
      <c r="J1939" s="83" t="n"/>
      <c r="K1939" s="83" t="n"/>
      <c r="L1939" s="83" t="n"/>
      <c r="M1939" s="83" t="n"/>
      <c r="O1939" s="84" t="str">
        <f>IF($C1939="","",IFERROR(MATCH($B1939&amp;"|"&amp;$C1939,MUROS!$AX$11:$AX$70,0),0))</f>
        <v/>
      </c>
      <c r="P1939" s="84" t="str">
        <f>IF($D1939="","",IF(ISNUMBER(MATCH($D1939,CMB_S,0)),1,IF(ISNUMBER(MATCH($D1939,CMB_G,0)),2,0)))</f>
        <v/>
      </c>
      <c r="Q1939" s="84">
        <f>IF(ISNUMBER($H1939),-$H1939,0)</f>
        <v>0</v>
      </c>
      <c r="R1939" s="84">
        <f>IF(ISNUMBER($I1939),ABS($I1939),0)</f>
        <v>0</v>
      </c>
      <c r="S1939" s="84">
        <f>IF(ISNUMBER($M1939),ABS($M1939),0)</f>
        <v>0</v>
      </c>
      <c r="T1939" s="85" t="n">
        <v>1931</v>
      </c>
    </row>
    <row r="1940">
      <c r="B1940" s="83" t="n"/>
      <c r="C1940" s="83" t="n"/>
      <c r="D1940" s="83" t="n"/>
      <c r="E1940" s="83" t="n"/>
      <c r="F1940" s="83" t="n"/>
      <c r="G1940" s="83" t="n"/>
      <c r="H1940" s="83" t="n"/>
      <c r="I1940" s="83" t="n"/>
      <c r="J1940" s="83" t="n"/>
      <c r="K1940" s="83" t="n"/>
      <c r="L1940" s="83" t="n"/>
      <c r="M1940" s="83" t="n"/>
      <c r="O1940" s="84" t="str">
        <f>IF($C1940="","",IFERROR(MATCH($B1940&amp;"|"&amp;$C1940,MUROS!$AX$11:$AX$70,0),0))</f>
        <v/>
      </c>
      <c r="P1940" s="84" t="str">
        <f>IF($D1940="","",IF(ISNUMBER(MATCH($D1940,CMB_S,0)),1,IF(ISNUMBER(MATCH($D1940,CMB_G,0)),2,0)))</f>
        <v/>
      </c>
      <c r="Q1940" s="84">
        <f>IF(ISNUMBER($H1940),-$H1940,0)</f>
        <v>0</v>
      </c>
      <c r="R1940" s="84">
        <f>IF(ISNUMBER($I1940),ABS($I1940),0)</f>
        <v>0</v>
      </c>
      <c r="S1940" s="84">
        <f>IF(ISNUMBER($M1940),ABS($M1940),0)</f>
        <v>0</v>
      </c>
      <c r="T1940" s="85" t="n">
        <v>1932</v>
      </c>
    </row>
    <row r="1941">
      <c r="B1941" s="83" t="n"/>
      <c r="C1941" s="83" t="n"/>
      <c r="D1941" s="83" t="n"/>
      <c r="E1941" s="83" t="n"/>
      <c r="F1941" s="83" t="n"/>
      <c r="G1941" s="83" t="n"/>
      <c r="H1941" s="83" t="n"/>
      <c r="I1941" s="83" t="n"/>
      <c r="J1941" s="83" t="n"/>
      <c r="K1941" s="83" t="n"/>
      <c r="L1941" s="83" t="n"/>
      <c r="M1941" s="83" t="n"/>
      <c r="O1941" s="84" t="str">
        <f>IF($C1941="","",IFERROR(MATCH($B1941&amp;"|"&amp;$C1941,MUROS!$AX$11:$AX$70,0),0))</f>
        <v/>
      </c>
      <c r="P1941" s="84" t="str">
        <f>IF($D1941="","",IF(ISNUMBER(MATCH($D1941,CMB_S,0)),1,IF(ISNUMBER(MATCH($D1941,CMB_G,0)),2,0)))</f>
        <v/>
      </c>
      <c r="Q1941" s="84">
        <f>IF(ISNUMBER($H1941),-$H1941,0)</f>
        <v>0</v>
      </c>
      <c r="R1941" s="84">
        <f>IF(ISNUMBER($I1941),ABS($I1941),0)</f>
        <v>0</v>
      </c>
      <c r="S1941" s="84">
        <f>IF(ISNUMBER($M1941),ABS($M1941),0)</f>
        <v>0</v>
      </c>
      <c r="T1941" s="85" t="n">
        <v>1933</v>
      </c>
    </row>
    <row r="1942">
      <c r="B1942" s="83" t="n"/>
      <c r="C1942" s="83" t="n"/>
      <c r="D1942" s="83" t="n"/>
      <c r="E1942" s="83" t="n"/>
      <c r="F1942" s="83" t="n"/>
      <c r="G1942" s="83" t="n"/>
      <c r="H1942" s="83" t="n"/>
      <c r="I1942" s="83" t="n"/>
      <c r="J1942" s="83" t="n"/>
      <c r="K1942" s="83" t="n"/>
      <c r="L1942" s="83" t="n"/>
      <c r="M1942" s="83" t="n"/>
      <c r="O1942" s="84" t="str">
        <f>IF($C1942="","",IFERROR(MATCH($B1942&amp;"|"&amp;$C1942,MUROS!$AX$11:$AX$70,0),0))</f>
        <v/>
      </c>
      <c r="P1942" s="84" t="str">
        <f>IF($D1942="","",IF(ISNUMBER(MATCH($D1942,CMB_S,0)),1,IF(ISNUMBER(MATCH($D1942,CMB_G,0)),2,0)))</f>
        <v/>
      </c>
      <c r="Q1942" s="84">
        <f>IF(ISNUMBER($H1942),-$H1942,0)</f>
        <v>0</v>
      </c>
      <c r="R1942" s="84">
        <f>IF(ISNUMBER($I1942),ABS($I1942),0)</f>
        <v>0</v>
      </c>
      <c r="S1942" s="84">
        <f>IF(ISNUMBER($M1942),ABS($M1942),0)</f>
        <v>0</v>
      </c>
      <c r="T1942" s="85" t="n">
        <v>1934</v>
      </c>
    </row>
    <row r="1943">
      <c r="B1943" s="83" t="n"/>
      <c r="C1943" s="83" t="n"/>
      <c r="D1943" s="83" t="n"/>
      <c r="E1943" s="83" t="n"/>
      <c r="F1943" s="83" t="n"/>
      <c r="G1943" s="83" t="n"/>
      <c r="H1943" s="83" t="n"/>
      <c r="I1943" s="83" t="n"/>
      <c r="J1943" s="83" t="n"/>
      <c r="K1943" s="83" t="n"/>
      <c r="L1943" s="83" t="n"/>
      <c r="M1943" s="83" t="n"/>
      <c r="O1943" s="84" t="str">
        <f>IF($C1943="","",IFERROR(MATCH($B1943&amp;"|"&amp;$C1943,MUROS!$AX$11:$AX$70,0),0))</f>
        <v/>
      </c>
      <c r="P1943" s="84" t="str">
        <f>IF($D1943="","",IF(ISNUMBER(MATCH($D1943,CMB_S,0)),1,IF(ISNUMBER(MATCH($D1943,CMB_G,0)),2,0)))</f>
        <v/>
      </c>
      <c r="Q1943" s="84">
        <f>IF(ISNUMBER($H1943),-$H1943,0)</f>
        <v>0</v>
      </c>
      <c r="R1943" s="84">
        <f>IF(ISNUMBER($I1943),ABS($I1943),0)</f>
        <v>0</v>
      </c>
      <c r="S1943" s="84">
        <f>IF(ISNUMBER($M1943),ABS($M1943),0)</f>
        <v>0</v>
      </c>
      <c r="T1943" s="85" t="n">
        <v>1935</v>
      </c>
    </row>
    <row r="1944">
      <c r="B1944" s="83" t="n"/>
      <c r="C1944" s="83" t="n"/>
      <c r="D1944" s="83" t="n"/>
      <c r="E1944" s="83" t="n"/>
      <c r="F1944" s="83" t="n"/>
      <c r="G1944" s="83" t="n"/>
      <c r="H1944" s="83" t="n"/>
      <c r="I1944" s="83" t="n"/>
      <c r="J1944" s="83" t="n"/>
      <c r="K1944" s="83" t="n"/>
      <c r="L1944" s="83" t="n"/>
      <c r="M1944" s="83" t="n"/>
      <c r="O1944" s="84" t="str">
        <f>IF($C1944="","",IFERROR(MATCH($B1944&amp;"|"&amp;$C1944,MUROS!$AX$11:$AX$70,0),0))</f>
        <v/>
      </c>
      <c r="P1944" s="84" t="str">
        <f>IF($D1944="","",IF(ISNUMBER(MATCH($D1944,CMB_S,0)),1,IF(ISNUMBER(MATCH($D1944,CMB_G,0)),2,0)))</f>
        <v/>
      </c>
      <c r="Q1944" s="84">
        <f>IF(ISNUMBER($H1944),-$H1944,0)</f>
        <v>0</v>
      </c>
      <c r="R1944" s="84">
        <f>IF(ISNUMBER($I1944),ABS($I1944),0)</f>
        <v>0</v>
      </c>
      <c r="S1944" s="84">
        <f>IF(ISNUMBER($M1944),ABS($M1944),0)</f>
        <v>0</v>
      </c>
      <c r="T1944" s="85" t="n">
        <v>1936</v>
      </c>
    </row>
    <row r="1945">
      <c r="B1945" s="83" t="n"/>
      <c r="C1945" s="83" t="n"/>
      <c r="D1945" s="83" t="n"/>
      <c r="E1945" s="83" t="n"/>
      <c r="F1945" s="83" t="n"/>
      <c r="G1945" s="83" t="n"/>
      <c r="H1945" s="83" t="n"/>
      <c r="I1945" s="83" t="n"/>
      <c r="J1945" s="83" t="n"/>
      <c r="K1945" s="83" t="n"/>
      <c r="L1945" s="83" t="n"/>
      <c r="M1945" s="83" t="n"/>
      <c r="O1945" s="84" t="str">
        <f>IF($C1945="","",IFERROR(MATCH($B1945&amp;"|"&amp;$C1945,MUROS!$AX$11:$AX$70,0),0))</f>
        <v/>
      </c>
      <c r="P1945" s="84" t="str">
        <f>IF($D1945="","",IF(ISNUMBER(MATCH($D1945,CMB_S,0)),1,IF(ISNUMBER(MATCH($D1945,CMB_G,0)),2,0)))</f>
        <v/>
      </c>
      <c r="Q1945" s="84">
        <f>IF(ISNUMBER($H1945),-$H1945,0)</f>
        <v>0</v>
      </c>
      <c r="R1945" s="84">
        <f>IF(ISNUMBER($I1945),ABS($I1945),0)</f>
        <v>0</v>
      </c>
      <c r="S1945" s="84">
        <f>IF(ISNUMBER($M1945),ABS($M1945),0)</f>
        <v>0</v>
      </c>
      <c r="T1945" s="85" t="n">
        <v>1937</v>
      </c>
    </row>
    <row r="1946">
      <c r="B1946" s="83" t="n"/>
      <c r="C1946" s="83" t="n"/>
      <c r="D1946" s="83" t="n"/>
      <c r="E1946" s="83" t="n"/>
      <c r="F1946" s="83" t="n"/>
      <c r="G1946" s="83" t="n"/>
      <c r="H1946" s="83" t="n"/>
      <c r="I1946" s="83" t="n"/>
      <c r="J1946" s="83" t="n"/>
      <c r="K1946" s="83" t="n"/>
      <c r="L1946" s="83" t="n"/>
      <c r="M1946" s="83" t="n"/>
      <c r="O1946" s="84" t="str">
        <f>IF($C1946="","",IFERROR(MATCH($B1946&amp;"|"&amp;$C1946,MUROS!$AX$11:$AX$70,0),0))</f>
        <v/>
      </c>
      <c r="P1946" s="84" t="str">
        <f>IF($D1946="","",IF(ISNUMBER(MATCH($D1946,CMB_S,0)),1,IF(ISNUMBER(MATCH($D1946,CMB_G,0)),2,0)))</f>
        <v/>
      </c>
      <c r="Q1946" s="84">
        <f>IF(ISNUMBER($H1946),-$H1946,0)</f>
        <v>0</v>
      </c>
      <c r="R1946" s="84">
        <f>IF(ISNUMBER($I1946),ABS($I1946),0)</f>
        <v>0</v>
      </c>
      <c r="S1946" s="84">
        <f>IF(ISNUMBER($M1946),ABS($M1946),0)</f>
        <v>0</v>
      </c>
      <c r="T1946" s="85" t="n">
        <v>1938</v>
      </c>
    </row>
    <row r="1947">
      <c r="B1947" s="83" t="n"/>
      <c r="C1947" s="83" t="n"/>
      <c r="D1947" s="83" t="n"/>
      <c r="E1947" s="83" t="n"/>
      <c r="F1947" s="83" t="n"/>
      <c r="G1947" s="83" t="n"/>
      <c r="H1947" s="83" t="n"/>
      <c r="I1947" s="83" t="n"/>
      <c r="J1947" s="83" t="n"/>
      <c r="K1947" s="83" t="n"/>
      <c r="L1947" s="83" t="n"/>
      <c r="M1947" s="83" t="n"/>
      <c r="O1947" s="84" t="str">
        <f>IF($C1947="","",IFERROR(MATCH($B1947&amp;"|"&amp;$C1947,MUROS!$AX$11:$AX$70,0),0))</f>
        <v/>
      </c>
      <c r="P1947" s="84" t="str">
        <f>IF($D1947="","",IF(ISNUMBER(MATCH($D1947,CMB_S,0)),1,IF(ISNUMBER(MATCH($D1947,CMB_G,0)),2,0)))</f>
        <v/>
      </c>
      <c r="Q1947" s="84">
        <f>IF(ISNUMBER($H1947),-$H1947,0)</f>
        <v>0</v>
      </c>
      <c r="R1947" s="84">
        <f>IF(ISNUMBER($I1947),ABS($I1947),0)</f>
        <v>0</v>
      </c>
      <c r="S1947" s="84">
        <f>IF(ISNUMBER($M1947),ABS($M1947),0)</f>
        <v>0</v>
      </c>
      <c r="T1947" s="85" t="n">
        <v>1939</v>
      </c>
    </row>
    <row r="1948">
      <c r="B1948" s="83" t="n"/>
      <c r="C1948" s="83" t="n"/>
      <c r="D1948" s="83" t="n"/>
      <c r="E1948" s="83" t="n"/>
      <c r="F1948" s="83" t="n"/>
      <c r="G1948" s="83" t="n"/>
      <c r="H1948" s="83" t="n"/>
      <c r="I1948" s="83" t="n"/>
      <c r="J1948" s="83" t="n"/>
      <c r="K1948" s="83" t="n"/>
      <c r="L1948" s="83" t="n"/>
      <c r="M1948" s="83" t="n"/>
      <c r="O1948" s="84" t="str">
        <f>IF($C1948="","",IFERROR(MATCH($B1948&amp;"|"&amp;$C1948,MUROS!$AX$11:$AX$70,0),0))</f>
        <v/>
      </c>
      <c r="P1948" s="84" t="str">
        <f>IF($D1948="","",IF(ISNUMBER(MATCH($D1948,CMB_S,0)),1,IF(ISNUMBER(MATCH($D1948,CMB_G,0)),2,0)))</f>
        <v/>
      </c>
      <c r="Q1948" s="84">
        <f>IF(ISNUMBER($H1948),-$H1948,0)</f>
        <v>0</v>
      </c>
      <c r="R1948" s="84">
        <f>IF(ISNUMBER($I1948),ABS($I1948),0)</f>
        <v>0</v>
      </c>
      <c r="S1948" s="84">
        <f>IF(ISNUMBER($M1948),ABS($M1948),0)</f>
        <v>0</v>
      </c>
      <c r="T1948" s="85" t="n">
        <v>1940</v>
      </c>
    </row>
    <row r="1949">
      <c r="B1949" s="83" t="n"/>
      <c r="C1949" s="83" t="n"/>
      <c r="D1949" s="83" t="n"/>
      <c r="E1949" s="83" t="n"/>
      <c r="F1949" s="83" t="n"/>
      <c r="G1949" s="83" t="n"/>
      <c r="H1949" s="83" t="n"/>
      <c r="I1949" s="83" t="n"/>
      <c r="J1949" s="83" t="n"/>
      <c r="K1949" s="83" t="n"/>
      <c r="L1949" s="83" t="n"/>
      <c r="M1949" s="83" t="n"/>
      <c r="O1949" s="84" t="str">
        <f>IF($C1949="","",IFERROR(MATCH($B1949&amp;"|"&amp;$C1949,MUROS!$AX$11:$AX$70,0),0))</f>
        <v/>
      </c>
      <c r="P1949" s="84" t="str">
        <f>IF($D1949="","",IF(ISNUMBER(MATCH($D1949,CMB_S,0)),1,IF(ISNUMBER(MATCH($D1949,CMB_G,0)),2,0)))</f>
        <v/>
      </c>
      <c r="Q1949" s="84">
        <f>IF(ISNUMBER($H1949),-$H1949,0)</f>
        <v>0</v>
      </c>
      <c r="R1949" s="84">
        <f>IF(ISNUMBER($I1949),ABS($I1949),0)</f>
        <v>0</v>
      </c>
      <c r="S1949" s="84">
        <f>IF(ISNUMBER($M1949),ABS($M1949),0)</f>
        <v>0</v>
      </c>
      <c r="T1949" s="85" t="n">
        <v>1941</v>
      </c>
    </row>
    <row r="1950">
      <c r="B1950" s="83" t="n"/>
      <c r="C1950" s="83" t="n"/>
      <c r="D1950" s="83" t="n"/>
      <c r="E1950" s="83" t="n"/>
      <c r="F1950" s="83" t="n"/>
      <c r="G1950" s="83" t="n"/>
      <c r="H1950" s="83" t="n"/>
      <c r="I1950" s="83" t="n"/>
      <c r="J1950" s="83" t="n"/>
      <c r="K1950" s="83" t="n"/>
      <c r="L1950" s="83" t="n"/>
      <c r="M1950" s="83" t="n"/>
      <c r="O1950" s="84" t="str">
        <f>IF($C1950="","",IFERROR(MATCH($B1950&amp;"|"&amp;$C1950,MUROS!$AX$11:$AX$70,0),0))</f>
        <v/>
      </c>
      <c r="P1950" s="84" t="str">
        <f>IF($D1950="","",IF(ISNUMBER(MATCH($D1950,CMB_S,0)),1,IF(ISNUMBER(MATCH($D1950,CMB_G,0)),2,0)))</f>
        <v/>
      </c>
      <c r="Q1950" s="84">
        <f>IF(ISNUMBER($H1950),-$H1950,0)</f>
        <v>0</v>
      </c>
      <c r="R1950" s="84">
        <f>IF(ISNUMBER($I1950),ABS($I1950),0)</f>
        <v>0</v>
      </c>
      <c r="S1950" s="84">
        <f>IF(ISNUMBER($M1950),ABS($M1950),0)</f>
        <v>0</v>
      </c>
      <c r="T1950" s="85" t="n">
        <v>1942</v>
      </c>
    </row>
    <row r="1951">
      <c r="B1951" s="83" t="n"/>
      <c r="C1951" s="83" t="n"/>
      <c r="D1951" s="83" t="n"/>
      <c r="E1951" s="83" t="n"/>
      <c r="F1951" s="83" t="n"/>
      <c r="G1951" s="83" t="n"/>
      <c r="H1951" s="83" t="n"/>
      <c r="I1951" s="83" t="n"/>
      <c r="J1951" s="83" t="n"/>
      <c r="K1951" s="83" t="n"/>
      <c r="L1951" s="83" t="n"/>
      <c r="M1951" s="83" t="n"/>
      <c r="O1951" s="84" t="str">
        <f>IF($C1951="","",IFERROR(MATCH($B1951&amp;"|"&amp;$C1951,MUROS!$AX$11:$AX$70,0),0))</f>
        <v/>
      </c>
      <c r="P1951" s="84" t="str">
        <f>IF($D1951="","",IF(ISNUMBER(MATCH($D1951,CMB_S,0)),1,IF(ISNUMBER(MATCH($D1951,CMB_G,0)),2,0)))</f>
        <v/>
      </c>
      <c r="Q1951" s="84">
        <f>IF(ISNUMBER($H1951),-$H1951,0)</f>
        <v>0</v>
      </c>
      <c r="R1951" s="84">
        <f>IF(ISNUMBER($I1951),ABS($I1951),0)</f>
        <v>0</v>
      </c>
      <c r="S1951" s="84">
        <f>IF(ISNUMBER($M1951),ABS($M1951),0)</f>
        <v>0</v>
      </c>
      <c r="T1951" s="85" t="n">
        <v>1943</v>
      </c>
    </row>
    <row r="1952">
      <c r="B1952" s="83" t="n"/>
      <c r="C1952" s="83" t="n"/>
      <c r="D1952" s="83" t="n"/>
      <c r="E1952" s="83" t="n"/>
      <c r="F1952" s="83" t="n"/>
      <c r="G1952" s="83" t="n"/>
      <c r="H1952" s="83" t="n"/>
      <c r="I1952" s="83" t="n"/>
      <c r="J1952" s="83" t="n"/>
      <c r="K1952" s="83" t="n"/>
      <c r="L1952" s="83" t="n"/>
      <c r="M1952" s="83" t="n"/>
      <c r="O1952" s="84" t="str">
        <f>IF($C1952="","",IFERROR(MATCH($B1952&amp;"|"&amp;$C1952,MUROS!$AX$11:$AX$70,0),0))</f>
        <v/>
      </c>
      <c r="P1952" s="84" t="str">
        <f>IF($D1952="","",IF(ISNUMBER(MATCH($D1952,CMB_S,0)),1,IF(ISNUMBER(MATCH($D1952,CMB_G,0)),2,0)))</f>
        <v/>
      </c>
      <c r="Q1952" s="84">
        <f>IF(ISNUMBER($H1952),-$H1952,0)</f>
        <v>0</v>
      </c>
      <c r="R1952" s="84">
        <f>IF(ISNUMBER($I1952),ABS($I1952),0)</f>
        <v>0</v>
      </c>
      <c r="S1952" s="84">
        <f>IF(ISNUMBER($M1952),ABS($M1952),0)</f>
        <v>0</v>
      </c>
      <c r="T1952" s="85" t="n">
        <v>1944</v>
      </c>
    </row>
    <row r="1953">
      <c r="B1953" s="83" t="n"/>
      <c r="C1953" s="83" t="n"/>
      <c r="D1953" s="83" t="n"/>
      <c r="E1953" s="83" t="n"/>
      <c r="F1953" s="83" t="n"/>
      <c r="G1953" s="83" t="n"/>
      <c r="H1953" s="83" t="n"/>
      <c r="I1953" s="83" t="n"/>
      <c r="J1953" s="83" t="n"/>
      <c r="K1953" s="83" t="n"/>
      <c r="L1953" s="83" t="n"/>
      <c r="M1953" s="83" t="n"/>
      <c r="O1953" s="84" t="str">
        <f>IF($C1953="","",IFERROR(MATCH($B1953&amp;"|"&amp;$C1953,MUROS!$AX$11:$AX$70,0),0))</f>
        <v/>
      </c>
      <c r="P1953" s="84" t="str">
        <f>IF($D1953="","",IF(ISNUMBER(MATCH($D1953,CMB_S,0)),1,IF(ISNUMBER(MATCH($D1953,CMB_G,0)),2,0)))</f>
        <v/>
      </c>
      <c r="Q1953" s="84">
        <f>IF(ISNUMBER($H1953),-$H1953,0)</f>
        <v>0</v>
      </c>
      <c r="R1953" s="84">
        <f>IF(ISNUMBER($I1953),ABS($I1953),0)</f>
        <v>0</v>
      </c>
      <c r="S1953" s="84">
        <f>IF(ISNUMBER($M1953),ABS($M1953),0)</f>
        <v>0</v>
      </c>
      <c r="T1953" s="85" t="n">
        <v>1945</v>
      </c>
    </row>
    <row r="1954">
      <c r="B1954" s="83" t="n"/>
      <c r="C1954" s="83" t="n"/>
      <c r="D1954" s="83" t="n"/>
      <c r="E1954" s="83" t="n"/>
      <c r="F1954" s="83" t="n"/>
      <c r="G1954" s="83" t="n"/>
      <c r="H1954" s="83" t="n"/>
      <c r="I1954" s="83" t="n"/>
      <c r="J1954" s="83" t="n"/>
      <c r="K1954" s="83" t="n"/>
      <c r="L1954" s="83" t="n"/>
      <c r="M1954" s="83" t="n"/>
      <c r="O1954" s="84" t="str">
        <f>IF($C1954="","",IFERROR(MATCH($B1954&amp;"|"&amp;$C1954,MUROS!$AX$11:$AX$70,0),0))</f>
        <v/>
      </c>
      <c r="P1954" s="84" t="str">
        <f>IF($D1954="","",IF(ISNUMBER(MATCH($D1954,CMB_S,0)),1,IF(ISNUMBER(MATCH($D1954,CMB_G,0)),2,0)))</f>
        <v/>
      </c>
      <c r="Q1954" s="84">
        <f>IF(ISNUMBER($H1954),-$H1954,0)</f>
        <v>0</v>
      </c>
      <c r="R1954" s="84">
        <f>IF(ISNUMBER($I1954),ABS($I1954),0)</f>
        <v>0</v>
      </c>
      <c r="S1954" s="84">
        <f>IF(ISNUMBER($M1954),ABS($M1954),0)</f>
        <v>0</v>
      </c>
      <c r="T1954" s="85" t="n">
        <v>1946</v>
      </c>
    </row>
    <row r="1955">
      <c r="B1955" s="83" t="n"/>
      <c r="C1955" s="83" t="n"/>
      <c r="D1955" s="83" t="n"/>
      <c r="E1955" s="83" t="n"/>
      <c r="F1955" s="83" t="n"/>
      <c r="G1955" s="83" t="n"/>
      <c r="H1955" s="83" t="n"/>
      <c r="I1955" s="83" t="n"/>
      <c r="J1955" s="83" t="n"/>
      <c r="K1955" s="83" t="n"/>
      <c r="L1955" s="83" t="n"/>
      <c r="M1955" s="83" t="n"/>
      <c r="O1955" s="84" t="str">
        <f>IF($C1955="","",IFERROR(MATCH($B1955&amp;"|"&amp;$C1955,MUROS!$AX$11:$AX$70,0),0))</f>
        <v/>
      </c>
      <c r="P1955" s="84" t="str">
        <f>IF($D1955="","",IF(ISNUMBER(MATCH($D1955,CMB_S,0)),1,IF(ISNUMBER(MATCH($D1955,CMB_G,0)),2,0)))</f>
        <v/>
      </c>
      <c r="Q1955" s="84">
        <f>IF(ISNUMBER($H1955),-$H1955,0)</f>
        <v>0</v>
      </c>
      <c r="R1955" s="84">
        <f>IF(ISNUMBER($I1955),ABS($I1955),0)</f>
        <v>0</v>
      </c>
      <c r="S1955" s="84">
        <f>IF(ISNUMBER($M1955),ABS($M1955),0)</f>
        <v>0</v>
      </c>
      <c r="T1955" s="85" t="n">
        <v>1947</v>
      </c>
    </row>
    <row r="1956">
      <c r="B1956" s="83" t="n"/>
      <c r="C1956" s="83" t="n"/>
      <c r="D1956" s="83" t="n"/>
      <c r="E1956" s="83" t="n"/>
      <c r="F1956" s="83" t="n"/>
      <c r="G1956" s="83" t="n"/>
      <c r="H1956" s="83" t="n"/>
      <c r="I1956" s="83" t="n"/>
      <c r="J1956" s="83" t="n"/>
      <c r="K1956" s="83" t="n"/>
      <c r="L1956" s="83" t="n"/>
      <c r="M1956" s="83" t="n"/>
      <c r="O1956" s="84" t="str">
        <f>IF($C1956="","",IFERROR(MATCH($B1956&amp;"|"&amp;$C1956,MUROS!$AX$11:$AX$70,0),0))</f>
        <v/>
      </c>
      <c r="P1956" s="84" t="str">
        <f>IF($D1956="","",IF(ISNUMBER(MATCH($D1956,CMB_S,0)),1,IF(ISNUMBER(MATCH($D1956,CMB_G,0)),2,0)))</f>
        <v/>
      </c>
      <c r="Q1956" s="84">
        <f>IF(ISNUMBER($H1956),-$H1956,0)</f>
        <v>0</v>
      </c>
      <c r="R1956" s="84">
        <f>IF(ISNUMBER($I1956),ABS($I1956),0)</f>
        <v>0</v>
      </c>
      <c r="S1956" s="84">
        <f>IF(ISNUMBER($M1956),ABS($M1956),0)</f>
        <v>0</v>
      </c>
      <c r="T1956" s="85" t="n">
        <v>1948</v>
      </c>
    </row>
    <row r="1957">
      <c r="B1957" s="83" t="n"/>
      <c r="C1957" s="83" t="n"/>
      <c r="D1957" s="83" t="n"/>
      <c r="E1957" s="83" t="n"/>
      <c r="F1957" s="83" t="n"/>
      <c r="G1957" s="83" t="n"/>
      <c r="H1957" s="83" t="n"/>
      <c r="I1957" s="83" t="n"/>
      <c r="J1957" s="83" t="n"/>
      <c r="K1957" s="83" t="n"/>
      <c r="L1957" s="83" t="n"/>
      <c r="M1957" s="83" t="n"/>
      <c r="O1957" s="84" t="str">
        <f>IF($C1957="","",IFERROR(MATCH($B1957&amp;"|"&amp;$C1957,MUROS!$AX$11:$AX$70,0),0))</f>
        <v/>
      </c>
      <c r="P1957" s="84" t="str">
        <f>IF($D1957="","",IF(ISNUMBER(MATCH($D1957,CMB_S,0)),1,IF(ISNUMBER(MATCH($D1957,CMB_G,0)),2,0)))</f>
        <v/>
      </c>
      <c r="Q1957" s="84">
        <f>IF(ISNUMBER($H1957),-$H1957,0)</f>
        <v>0</v>
      </c>
      <c r="R1957" s="84">
        <f>IF(ISNUMBER($I1957),ABS($I1957),0)</f>
        <v>0</v>
      </c>
      <c r="S1957" s="84">
        <f>IF(ISNUMBER($M1957),ABS($M1957),0)</f>
        <v>0</v>
      </c>
      <c r="T1957" s="85" t="n">
        <v>1949</v>
      </c>
    </row>
    <row r="1958">
      <c r="B1958" s="83" t="n"/>
      <c r="C1958" s="83" t="n"/>
      <c r="D1958" s="83" t="n"/>
      <c r="E1958" s="83" t="n"/>
      <c r="F1958" s="83" t="n"/>
      <c r="G1958" s="83" t="n"/>
      <c r="H1958" s="83" t="n"/>
      <c r="I1958" s="83" t="n"/>
      <c r="J1958" s="83" t="n"/>
      <c r="K1958" s="83" t="n"/>
      <c r="L1958" s="83" t="n"/>
      <c r="M1958" s="83" t="n"/>
      <c r="O1958" s="84" t="str">
        <f>IF($C1958="","",IFERROR(MATCH($B1958&amp;"|"&amp;$C1958,MUROS!$AX$11:$AX$70,0),0))</f>
        <v/>
      </c>
      <c r="P1958" s="84" t="str">
        <f>IF($D1958="","",IF(ISNUMBER(MATCH($D1958,CMB_S,0)),1,IF(ISNUMBER(MATCH($D1958,CMB_G,0)),2,0)))</f>
        <v/>
      </c>
      <c r="Q1958" s="84">
        <f>IF(ISNUMBER($H1958),-$H1958,0)</f>
        <v>0</v>
      </c>
      <c r="R1958" s="84">
        <f>IF(ISNUMBER($I1958),ABS($I1958),0)</f>
        <v>0</v>
      </c>
      <c r="S1958" s="84">
        <f>IF(ISNUMBER($M1958),ABS($M1958),0)</f>
        <v>0</v>
      </c>
      <c r="T1958" s="85" t="n">
        <v>1950</v>
      </c>
    </row>
    <row r="1959">
      <c r="B1959" s="83" t="n"/>
      <c r="C1959" s="83" t="n"/>
      <c r="D1959" s="83" t="n"/>
      <c r="E1959" s="83" t="n"/>
      <c r="F1959" s="83" t="n"/>
      <c r="G1959" s="83" t="n"/>
      <c r="H1959" s="83" t="n"/>
      <c r="I1959" s="83" t="n"/>
      <c r="J1959" s="83" t="n"/>
      <c r="K1959" s="83" t="n"/>
      <c r="L1959" s="83" t="n"/>
      <c r="M1959" s="83" t="n"/>
      <c r="O1959" s="84" t="str">
        <f>IF($C1959="","",IFERROR(MATCH($B1959&amp;"|"&amp;$C1959,MUROS!$AX$11:$AX$70,0),0))</f>
        <v/>
      </c>
      <c r="P1959" s="84" t="str">
        <f>IF($D1959="","",IF(ISNUMBER(MATCH($D1959,CMB_S,0)),1,IF(ISNUMBER(MATCH($D1959,CMB_G,0)),2,0)))</f>
        <v/>
      </c>
      <c r="Q1959" s="84">
        <f>IF(ISNUMBER($H1959),-$H1959,0)</f>
        <v>0</v>
      </c>
      <c r="R1959" s="84">
        <f>IF(ISNUMBER($I1959),ABS($I1959),0)</f>
        <v>0</v>
      </c>
      <c r="S1959" s="84">
        <f>IF(ISNUMBER($M1959),ABS($M1959),0)</f>
        <v>0</v>
      </c>
      <c r="T1959" s="85" t="n">
        <v>1951</v>
      </c>
    </row>
    <row r="1960">
      <c r="B1960" s="83" t="n"/>
      <c r="C1960" s="83" t="n"/>
      <c r="D1960" s="83" t="n"/>
      <c r="E1960" s="83" t="n"/>
      <c r="F1960" s="83" t="n"/>
      <c r="G1960" s="83" t="n"/>
      <c r="H1960" s="83" t="n"/>
      <c r="I1960" s="83" t="n"/>
      <c r="J1960" s="83" t="n"/>
      <c r="K1960" s="83" t="n"/>
      <c r="L1960" s="83" t="n"/>
      <c r="M1960" s="83" t="n"/>
      <c r="O1960" s="84" t="str">
        <f>IF($C1960="","",IFERROR(MATCH($B1960&amp;"|"&amp;$C1960,MUROS!$AX$11:$AX$70,0),0))</f>
        <v/>
      </c>
      <c r="P1960" s="84" t="str">
        <f>IF($D1960="","",IF(ISNUMBER(MATCH($D1960,CMB_S,0)),1,IF(ISNUMBER(MATCH($D1960,CMB_G,0)),2,0)))</f>
        <v/>
      </c>
      <c r="Q1960" s="84">
        <f>IF(ISNUMBER($H1960),-$H1960,0)</f>
        <v>0</v>
      </c>
      <c r="R1960" s="84">
        <f>IF(ISNUMBER($I1960),ABS($I1960),0)</f>
        <v>0</v>
      </c>
      <c r="S1960" s="84">
        <f>IF(ISNUMBER($M1960),ABS($M1960),0)</f>
        <v>0</v>
      </c>
      <c r="T1960" s="85" t="n">
        <v>1952</v>
      </c>
    </row>
    <row r="1961">
      <c r="B1961" s="83" t="n"/>
      <c r="C1961" s="83" t="n"/>
      <c r="D1961" s="83" t="n"/>
      <c r="E1961" s="83" t="n"/>
      <c r="F1961" s="83" t="n"/>
      <c r="G1961" s="83" t="n"/>
      <c r="H1961" s="83" t="n"/>
      <c r="I1961" s="83" t="n"/>
      <c r="J1961" s="83" t="n"/>
      <c r="K1961" s="83" t="n"/>
      <c r="L1961" s="83" t="n"/>
      <c r="M1961" s="83" t="n"/>
      <c r="O1961" s="84" t="str">
        <f>IF($C1961="","",IFERROR(MATCH($B1961&amp;"|"&amp;$C1961,MUROS!$AX$11:$AX$70,0),0))</f>
        <v/>
      </c>
      <c r="P1961" s="84" t="str">
        <f>IF($D1961="","",IF(ISNUMBER(MATCH($D1961,CMB_S,0)),1,IF(ISNUMBER(MATCH($D1961,CMB_G,0)),2,0)))</f>
        <v/>
      </c>
      <c r="Q1961" s="84">
        <f>IF(ISNUMBER($H1961),-$H1961,0)</f>
        <v>0</v>
      </c>
      <c r="R1961" s="84">
        <f>IF(ISNUMBER($I1961),ABS($I1961),0)</f>
        <v>0</v>
      </c>
      <c r="S1961" s="84">
        <f>IF(ISNUMBER($M1961),ABS($M1961),0)</f>
        <v>0</v>
      </c>
      <c r="T1961" s="85" t="n">
        <v>1953</v>
      </c>
    </row>
    <row r="1962">
      <c r="B1962" s="83" t="n"/>
      <c r="C1962" s="83" t="n"/>
      <c r="D1962" s="83" t="n"/>
      <c r="E1962" s="83" t="n"/>
      <c r="F1962" s="83" t="n"/>
      <c r="G1962" s="83" t="n"/>
      <c r="H1962" s="83" t="n"/>
      <c r="I1962" s="83" t="n"/>
      <c r="J1962" s="83" t="n"/>
      <c r="K1962" s="83" t="n"/>
      <c r="L1962" s="83" t="n"/>
      <c r="M1962" s="83" t="n"/>
      <c r="O1962" s="84" t="str">
        <f>IF($C1962="","",IFERROR(MATCH($B1962&amp;"|"&amp;$C1962,MUROS!$AX$11:$AX$70,0),0))</f>
        <v/>
      </c>
      <c r="P1962" s="84" t="str">
        <f>IF($D1962="","",IF(ISNUMBER(MATCH($D1962,CMB_S,0)),1,IF(ISNUMBER(MATCH($D1962,CMB_G,0)),2,0)))</f>
        <v/>
      </c>
      <c r="Q1962" s="84">
        <f>IF(ISNUMBER($H1962),-$H1962,0)</f>
        <v>0</v>
      </c>
      <c r="R1962" s="84">
        <f>IF(ISNUMBER($I1962),ABS($I1962),0)</f>
        <v>0</v>
      </c>
      <c r="S1962" s="84">
        <f>IF(ISNUMBER($M1962),ABS($M1962),0)</f>
        <v>0</v>
      </c>
      <c r="T1962" s="85" t="n">
        <v>1954</v>
      </c>
    </row>
    <row r="1963">
      <c r="B1963" s="83" t="n"/>
      <c r="C1963" s="83" t="n"/>
      <c r="D1963" s="83" t="n"/>
      <c r="E1963" s="83" t="n"/>
      <c r="F1963" s="83" t="n"/>
      <c r="G1963" s="83" t="n"/>
      <c r="H1963" s="83" t="n"/>
      <c r="I1963" s="83" t="n"/>
      <c r="J1963" s="83" t="n"/>
      <c r="K1963" s="83" t="n"/>
      <c r="L1963" s="83" t="n"/>
      <c r="M1963" s="83" t="n"/>
      <c r="O1963" s="84" t="str">
        <f>IF($C1963="","",IFERROR(MATCH($B1963&amp;"|"&amp;$C1963,MUROS!$AX$11:$AX$70,0),0))</f>
        <v/>
      </c>
      <c r="P1963" s="84" t="str">
        <f>IF($D1963="","",IF(ISNUMBER(MATCH($D1963,CMB_S,0)),1,IF(ISNUMBER(MATCH($D1963,CMB_G,0)),2,0)))</f>
        <v/>
      </c>
      <c r="Q1963" s="84">
        <f>IF(ISNUMBER($H1963),-$H1963,0)</f>
        <v>0</v>
      </c>
      <c r="R1963" s="84">
        <f>IF(ISNUMBER($I1963),ABS($I1963),0)</f>
        <v>0</v>
      </c>
      <c r="S1963" s="84">
        <f>IF(ISNUMBER($M1963),ABS($M1963),0)</f>
        <v>0</v>
      </c>
      <c r="T1963" s="85" t="n">
        <v>1955</v>
      </c>
    </row>
    <row r="1964">
      <c r="B1964" s="83" t="n"/>
      <c r="C1964" s="83" t="n"/>
      <c r="D1964" s="83" t="n"/>
      <c r="E1964" s="83" t="n"/>
      <c r="F1964" s="83" t="n"/>
      <c r="G1964" s="83" t="n"/>
      <c r="H1964" s="83" t="n"/>
      <c r="I1964" s="83" t="n"/>
      <c r="J1964" s="83" t="n"/>
      <c r="K1964" s="83" t="n"/>
      <c r="L1964" s="83" t="n"/>
      <c r="M1964" s="83" t="n"/>
      <c r="O1964" s="84" t="str">
        <f>IF($C1964="","",IFERROR(MATCH($B1964&amp;"|"&amp;$C1964,MUROS!$AX$11:$AX$70,0),0))</f>
        <v/>
      </c>
      <c r="P1964" s="84" t="str">
        <f>IF($D1964="","",IF(ISNUMBER(MATCH($D1964,CMB_S,0)),1,IF(ISNUMBER(MATCH($D1964,CMB_G,0)),2,0)))</f>
        <v/>
      </c>
      <c r="Q1964" s="84">
        <f>IF(ISNUMBER($H1964),-$H1964,0)</f>
        <v>0</v>
      </c>
      <c r="R1964" s="84">
        <f>IF(ISNUMBER($I1964),ABS($I1964),0)</f>
        <v>0</v>
      </c>
      <c r="S1964" s="84">
        <f>IF(ISNUMBER($M1964),ABS($M1964),0)</f>
        <v>0</v>
      </c>
      <c r="T1964" s="85" t="n">
        <v>1956</v>
      </c>
    </row>
    <row r="1965">
      <c r="B1965" s="83" t="n"/>
      <c r="C1965" s="83" t="n"/>
      <c r="D1965" s="83" t="n"/>
      <c r="E1965" s="83" t="n"/>
      <c r="F1965" s="83" t="n"/>
      <c r="G1965" s="83" t="n"/>
      <c r="H1965" s="83" t="n"/>
      <c r="I1965" s="83" t="n"/>
      <c r="J1965" s="83" t="n"/>
      <c r="K1965" s="83" t="n"/>
      <c r="L1965" s="83" t="n"/>
      <c r="M1965" s="83" t="n"/>
      <c r="O1965" s="84" t="str">
        <f>IF($C1965="","",IFERROR(MATCH($B1965&amp;"|"&amp;$C1965,MUROS!$AX$11:$AX$70,0),0))</f>
        <v/>
      </c>
      <c r="P1965" s="84" t="str">
        <f>IF($D1965="","",IF(ISNUMBER(MATCH($D1965,CMB_S,0)),1,IF(ISNUMBER(MATCH($D1965,CMB_G,0)),2,0)))</f>
        <v/>
      </c>
      <c r="Q1965" s="84">
        <f>IF(ISNUMBER($H1965),-$H1965,0)</f>
        <v>0</v>
      </c>
      <c r="R1965" s="84">
        <f>IF(ISNUMBER($I1965),ABS($I1965),0)</f>
        <v>0</v>
      </c>
      <c r="S1965" s="84">
        <f>IF(ISNUMBER($M1965),ABS($M1965),0)</f>
        <v>0</v>
      </c>
      <c r="T1965" s="85" t="n">
        <v>1957</v>
      </c>
    </row>
    <row r="1966">
      <c r="B1966" s="83" t="n"/>
      <c r="C1966" s="83" t="n"/>
      <c r="D1966" s="83" t="n"/>
      <c r="E1966" s="83" t="n"/>
      <c r="F1966" s="83" t="n"/>
      <c r="G1966" s="83" t="n"/>
      <c r="H1966" s="83" t="n"/>
      <c r="I1966" s="83" t="n"/>
      <c r="J1966" s="83" t="n"/>
      <c r="K1966" s="83" t="n"/>
      <c r="L1966" s="83" t="n"/>
      <c r="M1966" s="83" t="n"/>
      <c r="O1966" s="84" t="str">
        <f>IF($C1966="","",IFERROR(MATCH($B1966&amp;"|"&amp;$C1966,MUROS!$AX$11:$AX$70,0),0))</f>
        <v/>
      </c>
      <c r="P1966" s="84" t="str">
        <f>IF($D1966="","",IF(ISNUMBER(MATCH($D1966,CMB_S,0)),1,IF(ISNUMBER(MATCH($D1966,CMB_G,0)),2,0)))</f>
        <v/>
      </c>
      <c r="Q1966" s="84">
        <f>IF(ISNUMBER($H1966),-$H1966,0)</f>
        <v>0</v>
      </c>
      <c r="R1966" s="84">
        <f>IF(ISNUMBER($I1966),ABS($I1966),0)</f>
        <v>0</v>
      </c>
      <c r="S1966" s="84">
        <f>IF(ISNUMBER($M1966),ABS($M1966),0)</f>
        <v>0</v>
      </c>
      <c r="T1966" s="85" t="n">
        <v>1958</v>
      </c>
    </row>
    <row r="1967">
      <c r="B1967" s="83" t="n"/>
      <c r="C1967" s="83" t="n"/>
      <c r="D1967" s="83" t="n"/>
      <c r="E1967" s="83" t="n"/>
      <c r="F1967" s="83" t="n"/>
      <c r="G1967" s="83" t="n"/>
      <c r="H1967" s="83" t="n"/>
      <c r="I1967" s="83" t="n"/>
      <c r="J1967" s="83" t="n"/>
      <c r="K1967" s="83" t="n"/>
      <c r="L1967" s="83" t="n"/>
      <c r="M1967" s="83" t="n"/>
      <c r="O1967" s="84" t="str">
        <f>IF($C1967="","",IFERROR(MATCH($B1967&amp;"|"&amp;$C1967,MUROS!$AX$11:$AX$70,0),0))</f>
        <v/>
      </c>
      <c r="P1967" s="84" t="str">
        <f>IF($D1967="","",IF(ISNUMBER(MATCH($D1967,CMB_S,0)),1,IF(ISNUMBER(MATCH($D1967,CMB_G,0)),2,0)))</f>
        <v/>
      </c>
      <c r="Q1967" s="84">
        <f>IF(ISNUMBER($H1967),-$H1967,0)</f>
        <v>0</v>
      </c>
      <c r="R1967" s="84">
        <f>IF(ISNUMBER($I1967),ABS($I1967),0)</f>
        <v>0</v>
      </c>
      <c r="S1967" s="84">
        <f>IF(ISNUMBER($M1967),ABS($M1967),0)</f>
        <v>0</v>
      </c>
      <c r="T1967" s="85" t="n">
        <v>1959</v>
      </c>
    </row>
    <row r="1968">
      <c r="B1968" s="83" t="n"/>
      <c r="C1968" s="83" t="n"/>
      <c r="D1968" s="83" t="n"/>
      <c r="E1968" s="83" t="n"/>
      <c r="F1968" s="83" t="n"/>
      <c r="G1968" s="83" t="n"/>
      <c r="H1968" s="83" t="n"/>
      <c r="I1968" s="83" t="n"/>
      <c r="J1968" s="83" t="n"/>
      <c r="K1968" s="83" t="n"/>
      <c r="L1968" s="83" t="n"/>
      <c r="M1968" s="83" t="n"/>
      <c r="O1968" s="84" t="str">
        <f>IF($C1968="","",IFERROR(MATCH($B1968&amp;"|"&amp;$C1968,MUROS!$AX$11:$AX$70,0),0))</f>
        <v/>
      </c>
      <c r="P1968" s="84" t="str">
        <f>IF($D1968="","",IF(ISNUMBER(MATCH($D1968,CMB_S,0)),1,IF(ISNUMBER(MATCH($D1968,CMB_G,0)),2,0)))</f>
        <v/>
      </c>
      <c r="Q1968" s="84">
        <f>IF(ISNUMBER($H1968),-$H1968,0)</f>
        <v>0</v>
      </c>
      <c r="R1968" s="84">
        <f>IF(ISNUMBER($I1968),ABS($I1968),0)</f>
        <v>0</v>
      </c>
      <c r="S1968" s="84">
        <f>IF(ISNUMBER($M1968),ABS($M1968),0)</f>
        <v>0</v>
      </c>
      <c r="T1968" s="85" t="n">
        <v>1960</v>
      </c>
    </row>
    <row r="1969">
      <c r="B1969" s="83" t="n"/>
      <c r="C1969" s="83" t="n"/>
      <c r="D1969" s="83" t="n"/>
      <c r="E1969" s="83" t="n"/>
      <c r="F1969" s="83" t="n"/>
      <c r="G1969" s="83" t="n"/>
      <c r="H1969" s="83" t="n"/>
      <c r="I1969" s="83" t="n"/>
      <c r="J1969" s="83" t="n"/>
      <c r="K1969" s="83" t="n"/>
      <c r="L1969" s="83" t="n"/>
      <c r="M1969" s="83" t="n"/>
      <c r="O1969" s="84" t="str">
        <f>IF($C1969="","",IFERROR(MATCH($B1969&amp;"|"&amp;$C1969,MUROS!$AX$11:$AX$70,0),0))</f>
        <v/>
      </c>
      <c r="P1969" s="84" t="str">
        <f>IF($D1969="","",IF(ISNUMBER(MATCH($D1969,CMB_S,0)),1,IF(ISNUMBER(MATCH($D1969,CMB_G,0)),2,0)))</f>
        <v/>
      </c>
      <c r="Q1969" s="84">
        <f>IF(ISNUMBER($H1969),-$H1969,0)</f>
        <v>0</v>
      </c>
      <c r="R1969" s="84">
        <f>IF(ISNUMBER($I1969),ABS($I1969),0)</f>
        <v>0</v>
      </c>
      <c r="S1969" s="84">
        <f>IF(ISNUMBER($M1969),ABS($M1969),0)</f>
        <v>0</v>
      </c>
      <c r="T1969" s="85" t="n">
        <v>1961</v>
      </c>
    </row>
    <row r="1970">
      <c r="B1970" s="83" t="n"/>
      <c r="C1970" s="83" t="n"/>
      <c r="D1970" s="83" t="n"/>
      <c r="E1970" s="83" t="n"/>
      <c r="F1970" s="83" t="n"/>
      <c r="G1970" s="83" t="n"/>
      <c r="H1970" s="83" t="n"/>
      <c r="I1970" s="83" t="n"/>
      <c r="J1970" s="83" t="n"/>
      <c r="K1970" s="83" t="n"/>
      <c r="L1970" s="83" t="n"/>
      <c r="M1970" s="83" t="n"/>
      <c r="O1970" s="84" t="str">
        <f>IF($C1970="","",IFERROR(MATCH($B1970&amp;"|"&amp;$C1970,MUROS!$AX$11:$AX$70,0),0))</f>
        <v/>
      </c>
      <c r="P1970" s="84" t="str">
        <f>IF($D1970="","",IF(ISNUMBER(MATCH($D1970,CMB_S,0)),1,IF(ISNUMBER(MATCH($D1970,CMB_G,0)),2,0)))</f>
        <v/>
      </c>
      <c r="Q1970" s="84">
        <f>IF(ISNUMBER($H1970),-$H1970,0)</f>
        <v>0</v>
      </c>
      <c r="R1970" s="84">
        <f>IF(ISNUMBER($I1970),ABS($I1970),0)</f>
        <v>0</v>
      </c>
      <c r="S1970" s="84">
        <f>IF(ISNUMBER($M1970),ABS($M1970),0)</f>
        <v>0</v>
      </c>
      <c r="T1970" s="85" t="n">
        <v>1962</v>
      </c>
    </row>
    <row r="1971">
      <c r="B1971" s="83" t="n"/>
      <c r="C1971" s="83" t="n"/>
      <c r="D1971" s="83" t="n"/>
      <c r="E1971" s="83" t="n"/>
      <c r="F1971" s="83" t="n"/>
      <c r="G1971" s="83" t="n"/>
      <c r="H1971" s="83" t="n"/>
      <c r="I1971" s="83" t="n"/>
      <c r="J1971" s="83" t="n"/>
      <c r="K1971" s="83" t="n"/>
      <c r="L1971" s="83" t="n"/>
      <c r="M1971" s="83" t="n"/>
      <c r="O1971" s="84" t="str">
        <f>IF($C1971="","",IFERROR(MATCH($B1971&amp;"|"&amp;$C1971,MUROS!$AX$11:$AX$70,0),0))</f>
        <v/>
      </c>
      <c r="P1971" s="84" t="str">
        <f>IF($D1971="","",IF(ISNUMBER(MATCH($D1971,CMB_S,0)),1,IF(ISNUMBER(MATCH($D1971,CMB_G,0)),2,0)))</f>
        <v/>
      </c>
      <c r="Q1971" s="84">
        <f>IF(ISNUMBER($H1971),-$H1971,0)</f>
        <v>0</v>
      </c>
      <c r="R1971" s="84">
        <f>IF(ISNUMBER($I1971),ABS($I1971),0)</f>
        <v>0</v>
      </c>
      <c r="S1971" s="84">
        <f>IF(ISNUMBER($M1971),ABS($M1971),0)</f>
        <v>0</v>
      </c>
      <c r="T1971" s="85" t="n">
        <v>1963</v>
      </c>
    </row>
    <row r="1972">
      <c r="B1972" s="83" t="n"/>
      <c r="C1972" s="83" t="n"/>
      <c r="D1972" s="83" t="n"/>
      <c r="E1972" s="83" t="n"/>
      <c r="F1972" s="83" t="n"/>
      <c r="G1972" s="83" t="n"/>
      <c r="H1972" s="83" t="n"/>
      <c r="I1972" s="83" t="n"/>
      <c r="J1972" s="83" t="n"/>
      <c r="K1972" s="83" t="n"/>
      <c r="L1972" s="83" t="n"/>
      <c r="M1972" s="83" t="n"/>
      <c r="O1972" s="84" t="str">
        <f>IF($C1972="","",IFERROR(MATCH($B1972&amp;"|"&amp;$C1972,MUROS!$AX$11:$AX$70,0),0))</f>
        <v/>
      </c>
      <c r="P1972" s="84" t="str">
        <f>IF($D1972="","",IF(ISNUMBER(MATCH($D1972,CMB_S,0)),1,IF(ISNUMBER(MATCH($D1972,CMB_G,0)),2,0)))</f>
        <v/>
      </c>
      <c r="Q1972" s="84">
        <f>IF(ISNUMBER($H1972),-$H1972,0)</f>
        <v>0</v>
      </c>
      <c r="R1972" s="84">
        <f>IF(ISNUMBER($I1972),ABS($I1972),0)</f>
        <v>0</v>
      </c>
      <c r="S1972" s="84">
        <f>IF(ISNUMBER($M1972),ABS($M1972),0)</f>
        <v>0</v>
      </c>
      <c r="T1972" s="85" t="n">
        <v>1964</v>
      </c>
    </row>
    <row r="1973">
      <c r="B1973" s="83" t="n"/>
      <c r="C1973" s="83" t="n"/>
      <c r="D1973" s="83" t="n"/>
      <c r="E1973" s="83" t="n"/>
      <c r="F1973" s="83" t="n"/>
      <c r="G1973" s="83" t="n"/>
      <c r="H1973" s="83" t="n"/>
      <c r="I1973" s="83" t="n"/>
      <c r="J1973" s="83" t="n"/>
      <c r="K1973" s="83" t="n"/>
      <c r="L1973" s="83" t="n"/>
      <c r="M1973" s="83" t="n"/>
      <c r="O1973" s="84" t="str">
        <f>IF($C1973="","",IFERROR(MATCH($B1973&amp;"|"&amp;$C1973,MUROS!$AX$11:$AX$70,0),0))</f>
        <v/>
      </c>
      <c r="P1973" s="84" t="str">
        <f>IF($D1973="","",IF(ISNUMBER(MATCH($D1973,CMB_S,0)),1,IF(ISNUMBER(MATCH($D1973,CMB_G,0)),2,0)))</f>
        <v/>
      </c>
      <c r="Q1973" s="84">
        <f>IF(ISNUMBER($H1973),-$H1973,0)</f>
        <v>0</v>
      </c>
      <c r="R1973" s="84">
        <f>IF(ISNUMBER($I1973),ABS($I1973),0)</f>
        <v>0</v>
      </c>
      <c r="S1973" s="84">
        <f>IF(ISNUMBER($M1973),ABS($M1973),0)</f>
        <v>0</v>
      </c>
      <c r="T1973" s="85" t="n">
        <v>1965</v>
      </c>
    </row>
    <row r="1974">
      <c r="B1974" s="83" t="n"/>
      <c r="C1974" s="83" t="n"/>
      <c r="D1974" s="83" t="n"/>
      <c r="E1974" s="83" t="n"/>
      <c r="F1974" s="83" t="n"/>
      <c r="G1974" s="83" t="n"/>
      <c r="H1974" s="83" t="n"/>
      <c r="I1974" s="83" t="n"/>
      <c r="J1974" s="83" t="n"/>
      <c r="K1974" s="83" t="n"/>
      <c r="L1974" s="83" t="n"/>
      <c r="M1974" s="83" t="n"/>
      <c r="O1974" s="84" t="str">
        <f>IF($C1974="","",IFERROR(MATCH($B1974&amp;"|"&amp;$C1974,MUROS!$AX$11:$AX$70,0),0))</f>
        <v/>
      </c>
      <c r="P1974" s="84" t="str">
        <f>IF($D1974="","",IF(ISNUMBER(MATCH($D1974,CMB_S,0)),1,IF(ISNUMBER(MATCH($D1974,CMB_G,0)),2,0)))</f>
        <v/>
      </c>
      <c r="Q1974" s="84">
        <f>IF(ISNUMBER($H1974),-$H1974,0)</f>
        <v>0</v>
      </c>
      <c r="R1974" s="84">
        <f>IF(ISNUMBER($I1974),ABS($I1974),0)</f>
        <v>0</v>
      </c>
      <c r="S1974" s="84">
        <f>IF(ISNUMBER($M1974),ABS($M1974),0)</f>
        <v>0</v>
      </c>
      <c r="T1974" s="85" t="n">
        <v>1966</v>
      </c>
    </row>
    <row r="1975">
      <c r="B1975" s="83" t="n"/>
      <c r="C1975" s="83" t="n"/>
      <c r="D1975" s="83" t="n"/>
      <c r="E1975" s="83" t="n"/>
      <c r="F1975" s="83" t="n"/>
      <c r="G1975" s="83" t="n"/>
      <c r="H1975" s="83" t="n"/>
      <c r="I1975" s="83" t="n"/>
      <c r="J1975" s="83" t="n"/>
      <c r="K1975" s="83" t="n"/>
      <c r="L1975" s="83" t="n"/>
      <c r="M1975" s="83" t="n"/>
      <c r="O1975" s="84" t="str">
        <f>IF($C1975="","",IFERROR(MATCH($B1975&amp;"|"&amp;$C1975,MUROS!$AX$11:$AX$70,0),0))</f>
        <v/>
      </c>
      <c r="P1975" s="84" t="str">
        <f>IF($D1975="","",IF(ISNUMBER(MATCH($D1975,CMB_S,0)),1,IF(ISNUMBER(MATCH($D1975,CMB_G,0)),2,0)))</f>
        <v/>
      </c>
      <c r="Q1975" s="84">
        <f>IF(ISNUMBER($H1975),-$H1975,0)</f>
        <v>0</v>
      </c>
      <c r="R1975" s="84">
        <f>IF(ISNUMBER($I1975),ABS($I1975),0)</f>
        <v>0</v>
      </c>
      <c r="S1975" s="84">
        <f>IF(ISNUMBER($M1975),ABS($M1975),0)</f>
        <v>0</v>
      </c>
      <c r="T1975" s="85" t="n">
        <v>1967</v>
      </c>
    </row>
    <row r="1976">
      <c r="B1976" s="83" t="n"/>
      <c r="C1976" s="83" t="n"/>
      <c r="D1976" s="83" t="n"/>
      <c r="E1976" s="83" t="n"/>
      <c r="F1976" s="83" t="n"/>
      <c r="G1976" s="83" t="n"/>
      <c r="H1976" s="83" t="n"/>
      <c r="I1976" s="83" t="n"/>
      <c r="J1976" s="83" t="n"/>
      <c r="K1976" s="83" t="n"/>
      <c r="L1976" s="83" t="n"/>
      <c r="M1976" s="83" t="n"/>
      <c r="O1976" s="84" t="str">
        <f>IF($C1976="","",IFERROR(MATCH($B1976&amp;"|"&amp;$C1976,MUROS!$AX$11:$AX$70,0),0))</f>
        <v/>
      </c>
      <c r="P1976" s="84" t="str">
        <f>IF($D1976="","",IF(ISNUMBER(MATCH($D1976,CMB_S,0)),1,IF(ISNUMBER(MATCH($D1976,CMB_G,0)),2,0)))</f>
        <v/>
      </c>
      <c r="Q1976" s="84">
        <f>IF(ISNUMBER($H1976),-$H1976,0)</f>
        <v>0</v>
      </c>
      <c r="R1976" s="84">
        <f>IF(ISNUMBER($I1976),ABS($I1976),0)</f>
        <v>0</v>
      </c>
      <c r="S1976" s="84">
        <f>IF(ISNUMBER($M1976),ABS($M1976),0)</f>
        <v>0</v>
      </c>
      <c r="T1976" s="85" t="n">
        <v>1968</v>
      </c>
    </row>
    <row r="1977">
      <c r="B1977" s="83" t="n"/>
      <c r="C1977" s="83" t="n"/>
      <c r="D1977" s="83" t="n"/>
      <c r="E1977" s="83" t="n"/>
      <c r="F1977" s="83" t="n"/>
      <c r="G1977" s="83" t="n"/>
      <c r="H1977" s="83" t="n"/>
      <c r="I1977" s="83" t="n"/>
      <c r="J1977" s="83" t="n"/>
      <c r="K1977" s="83" t="n"/>
      <c r="L1977" s="83" t="n"/>
      <c r="M1977" s="83" t="n"/>
      <c r="O1977" s="84" t="str">
        <f>IF($C1977="","",IFERROR(MATCH($B1977&amp;"|"&amp;$C1977,MUROS!$AX$11:$AX$70,0),0))</f>
        <v/>
      </c>
      <c r="P1977" s="84" t="str">
        <f>IF($D1977="","",IF(ISNUMBER(MATCH($D1977,CMB_S,0)),1,IF(ISNUMBER(MATCH($D1977,CMB_G,0)),2,0)))</f>
        <v/>
      </c>
      <c r="Q1977" s="84">
        <f>IF(ISNUMBER($H1977),-$H1977,0)</f>
        <v>0</v>
      </c>
      <c r="R1977" s="84">
        <f>IF(ISNUMBER($I1977),ABS($I1977),0)</f>
        <v>0</v>
      </c>
      <c r="S1977" s="84">
        <f>IF(ISNUMBER($M1977),ABS($M1977),0)</f>
        <v>0</v>
      </c>
      <c r="T1977" s="85" t="n">
        <v>1969</v>
      </c>
    </row>
    <row r="1978">
      <c r="B1978" s="83" t="n"/>
      <c r="C1978" s="83" t="n"/>
      <c r="D1978" s="83" t="n"/>
      <c r="E1978" s="83" t="n"/>
      <c r="F1978" s="83" t="n"/>
      <c r="G1978" s="83" t="n"/>
      <c r="H1978" s="83" t="n"/>
      <c r="I1978" s="83" t="n"/>
      <c r="J1978" s="83" t="n"/>
      <c r="K1978" s="83" t="n"/>
      <c r="L1978" s="83" t="n"/>
      <c r="M1978" s="83" t="n"/>
      <c r="O1978" s="84" t="str">
        <f>IF($C1978="","",IFERROR(MATCH($B1978&amp;"|"&amp;$C1978,MUROS!$AX$11:$AX$70,0),0))</f>
        <v/>
      </c>
      <c r="P1978" s="84" t="str">
        <f>IF($D1978="","",IF(ISNUMBER(MATCH($D1978,CMB_S,0)),1,IF(ISNUMBER(MATCH($D1978,CMB_G,0)),2,0)))</f>
        <v/>
      </c>
      <c r="Q1978" s="84">
        <f>IF(ISNUMBER($H1978),-$H1978,0)</f>
        <v>0</v>
      </c>
      <c r="R1978" s="84">
        <f>IF(ISNUMBER($I1978),ABS($I1978),0)</f>
        <v>0</v>
      </c>
      <c r="S1978" s="84">
        <f>IF(ISNUMBER($M1978),ABS($M1978),0)</f>
        <v>0</v>
      </c>
      <c r="T1978" s="85" t="n">
        <v>1970</v>
      </c>
    </row>
    <row r="1979">
      <c r="B1979" s="83" t="n"/>
      <c r="C1979" s="83" t="n"/>
      <c r="D1979" s="83" t="n"/>
      <c r="E1979" s="83" t="n"/>
      <c r="F1979" s="83" t="n"/>
      <c r="G1979" s="83" t="n"/>
      <c r="H1979" s="83" t="n"/>
      <c r="I1979" s="83" t="n"/>
      <c r="J1979" s="83" t="n"/>
      <c r="K1979" s="83" t="n"/>
      <c r="L1979" s="83" t="n"/>
      <c r="M1979" s="83" t="n"/>
      <c r="O1979" s="84" t="str">
        <f>IF($C1979="","",IFERROR(MATCH($B1979&amp;"|"&amp;$C1979,MUROS!$AX$11:$AX$70,0),0))</f>
        <v/>
      </c>
      <c r="P1979" s="84" t="str">
        <f>IF($D1979="","",IF(ISNUMBER(MATCH($D1979,CMB_S,0)),1,IF(ISNUMBER(MATCH($D1979,CMB_G,0)),2,0)))</f>
        <v/>
      </c>
      <c r="Q1979" s="84">
        <f>IF(ISNUMBER($H1979),-$H1979,0)</f>
        <v>0</v>
      </c>
      <c r="R1979" s="84">
        <f>IF(ISNUMBER($I1979),ABS($I1979),0)</f>
        <v>0</v>
      </c>
      <c r="S1979" s="84">
        <f>IF(ISNUMBER($M1979),ABS($M1979),0)</f>
        <v>0</v>
      </c>
      <c r="T1979" s="85" t="n">
        <v>1971</v>
      </c>
    </row>
    <row r="1980">
      <c r="B1980" s="83" t="n"/>
      <c r="C1980" s="83" t="n"/>
      <c r="D1980" s="83" t="n"/>
      <c r="E1980" s="83" t="n"/>
      <c r="F1980" s="83" t="n"/>
      <c r="G1980" s="83" t="n"/>
      <c r="H1980" s="83" t="n"/>
      <c r="I1980" s="83" t="n"/>
      <c r="J1980" s="83" t="n"/>
      <c r="K1980" s="83" t="n"/>
      <c r="L1980" s="83" t="n"/>
      <c r="M1980" s="83" t="n"/>
      <c r="O1980" s="84" t="str">
        <f>IF($C1980="","",IFERROR(MATCH($B1980&amp;"|"&amp;$C1980,MUROS!$AX$11:$AX$70,0),0))</f>
        <v/>
      </c>
      <c r="P1980" s="84" t="str">
        <f>IF($D1980="","",IF(ISNUMBER(MATCH($D1980,CMB_S,0)),1,IF(ISNUMBER(MATCH($D1980,CMB_G,0)),2,0)))</f>
        <v/>
      </c>
      <c r="Q1980" s="84">
        <f>IF(ISNUMBER($H1980),-$H1980,0)</f>
        <v>0</v>
      </c>
      <c r="R1980" s="84">
        <f>IF(ISNUMBER($I1980),ABS($I1980),0)</f>
        <v>0</v>
      </c>
      <c r="S1980" s="84">
        <f>IF(ISNUMBER($M1980),ABS($M1980),0)</f>
        <v>0</v>
      </c>
      <c r="T1980" s="85" t="n">
        <v>1972</v>
      </c>
    </row>
    <row r="1981">
      <c r="B1981" s="83" t="n"/>
      <c r="C1981" s="83" t="n"/>
      <c r="D1981" s="83" t="n"/>
      <c r="E1981" s="83" t="n"/>
      <c r="F1981" s="83" t="n"/>
      <c r="G1981" s="83" t="n"/>
      <c r="H1981" s="83" t="n"/>
      <c r="I1981" s="83" t="n"/>
      <c r="J1981" s="83" t="n"/>
      <c r="K1981" s="83" t="n"/>
      <c r="L1981" s="83" t="n"/>
      <c r="M1981" s="83" t="n"/>
      <c r="O1981" s="84" t="str">
        <f>IF($C1981="","",IFERROR(MATCH($B1981&amp;"|"&amp;$C1981,MUROS!$AX$11:$AX$70,0),0))</f>
        <v/>
      </c>
      <c r="P1981" s="84" t="str">
        <f>IF($D1981="","",IF(ISNUMBER(MATCH($D1981,CMB_S,0)),1,IF(ISNUMBER(MATCH($D1981,CMB_G,0)),2,0)))</f>
        <v/>
      </c>
      <c r="Q1981" s="84">
        <f>IF(ISNUMBER($H1981),-$H1981,0)</f>
        <v>0</v>
      </c>
      <c r="R1981" s="84">
        <f>IF(ISNUMBER($I1981),ABS($I1981),0)</f>
        <v>0</v>
      </c>
      <c r="S1981" s="84">
        <f>IF(ISNUMBER($M1981),ABS($M1981),0)</f>
        <v>0</v>
      </c>
      <c r="T1981" s="85" t="n">
        <v>1973</v>
      </c>
    </row>
    <row r="1982">
      <c r="B1982" s="83" t="n"/>
      <c r="C1982" s="83" t="n"/>
      <c r="D1982" s="83" t="n"/>
      <c r="E1982" s="83" t="n"/>
      <c r="F1982" s="83" t="n"/>
      <c r="G1982" s="83" t="n"/>
      <c r="H1982" s="83" t="n"/>
      <c r="I1982" s="83" t="n"/>
      <c r="J1982" s="83" t="n"/>
      <c r="K1982" s="83" t="n"/>
      <c r="L1982" s="83" t="n"/>
      <c r="M1982" s="83" t="n"/>
      <c r="O1982" s="84" t="str">
        <f>IF($C1982="","",IFERROR(MATCH($B1982&amp;"|"&amp;$C1982,MUROS!$AX$11:$AX$70,0),0))</f>
        <v/>
      </c>
      <c r="P1982" s="84" t="str">
        <f>IF($D1982="","",IF(ISNUMBER(MATCH($D1982,CMB_S,0)),1,IF(ISNUMBER(MATCH($D1982,CMB_G,0)),2,0)))</f>
        <v/>
      </c>
      <c r="Q1982" s="84">
        <f>IF(ISNUMBER($H1982),-$H1982,0)</f>
        <v>0</v>
      </c>
      <c r="R1982" s="84">
        <f>IF(ISNUMBER($I1982),ABS($I1982),0)</f>
        <v>0</v>
      </c>
      <c r="S1982" s="84">
        <f>IF(ISNUMBER($M1982),ABS($M1982),0)</f>
        <v>0</v>
      </c>
      <c r="T1982" s="85" t="n">
        <v>1974</v>
      </c>
    </row>
    <row r="1983">
      <c r="B1983" s="83" t="n"/>
      <c r="C1983" s="83" t="n"/>
      <c r="D1983" s="83" t="n"/>
      <c r="E1983" s="83" t="n"/>
      <c r="F1983" s="83" t="n"/>
      <c r="G1983" s="83" t="n"/>
      <c r="H1983" s="83" t="n"/>
      <c r="I1983" s="83" t="n"/>
      <c r="J1983" s="83" t="n"/>
      <c r="K1983" s="83" t="n"/>
      <c r="L1983" s="83" t="n"/>
      <c r="M1983" s="83" t="n"/>
      <c r="O1983" s="84" t="str">
        <f>IF($C1983="","",IFERROR(MATCH($B1983&amp;"|"&amp;$C1983,MUROS!$AX$11:$AX$70,0),0))</f>
        <v/>
      </c>
      <c r="P1983" s="84" t="str">
        <f>IF($D1983="","",IF(ISNUMBER(MATCH($D1983,CMB_S,0)),1,IF(ISNUMBER(MATCH($D1983,CMB_G,0)),2,0)))</f>
        <v/>
      </c>
      <c r="Q1983" s="84">
        <f>IF(ISNUMBER($H1983),-$H1983,0)</f>
        <v>0</v>
      </c>
      <c r="R1983" s="84">
        <f>IF(ISNUMBER($I1983),ABS($I1983),0)</f>
        <v>0</v>
      </c>
      <c r="S1983" s="84">
        <f>IF(ISNUMBER($M1983),ABS($M1983),0)</f>
        <v>0</v>
      </c>
      <c r="T1983" s="85" t="n">
        <v>1975</v>
      </c>
    </row>
    <row r="1984">
      <c r="B1984" s="83" t="n"/>
      <c r="C1984" s="83" t="n"/>
      <c r="D1984" s="83" t="n"/>
      <c r="E1984" s="83" t="n"/>
      <c r="F1984" s="83" t="n"/>
      <c r="G1984" s="83" t="n"/>
      <c r="H1984" s="83" t="n"/>
      <c r="I1984" s="83" t="n"/>
      <c r="J1984" s="83" t="n"/>
      <c r="K1984" s="83" t="n"/>
      <c r="L1984" s="83" t="n"/>
      <c r="M1984" s="83" t="n"/>
      <c r="O1984" s="84" t="str">
        <f>IF($C1984="","",IFERROR(MATCH($B1984&amp;"|"&amp;$C1984,MUROS!$AX$11:$AX$70,0),0))</f>
        <v/>
      </c>
      <c r="P1984" s="84" t="str">
        <f>IF($D1984="","",IF(ISNUMBER(MATCH($D1984,CMB_S,0)),1,IF(ISNUMBER(MATCH($D1984,CMB_G,0)),2,0)))</f>
        <v/>
      </c>
      <c r="Q1984" s="84">
        <f>IF(ISNUMBER($H1984),-$H1984,0)</f>
        <v>0</v>
      </c>
      <c r="R1984" s="84">
        <f>IF(ISNUMBER($I1984),ABS($I1984),0)</f>
        <v>0</v>
      </c>
      <c r="S1984" s="84">
        <f>IF(ISNUMBER($M1984),ABS($M1984),0)</f>
        <v>0</v>
      </c>
      <c r="T1984" s="85" t="n">
        <v>1976</v>
      </c>
    </row>
    <row r="1985">
      <c r="B1985" s="83" t="n"/>
      <c r="C1985" s="83" t="n"/>
      <c r="D1985" s="83" t="n"/>
      <c r="E1985" s="83" t="n"/>
      <c r="F1985" s="83" t="n"/>
      <c r="G1985" s="83" t="n"/>
      <c r="H1985" s="83" t="n"/>
      <c r="I1985" s="83" t="n"/>
      <c r="J1985" s="83" t="n"/>
      <c r="K1985" s="83" t="n"/>
      <c r="L1985" s="83" t="n"/>
      <c r="M1985" s="83" t="n"/>
      <c r="O1985" s="84" t="str">
        <f>IF($C1985="","",IFERROR(MATCH($B1985&amp;"|"&amp;$C1985,MUROS!$AX$11:$AX$70,0),0))</f>
        <v/>
      </c>
      <c r="P1985" s="84" t="str">
        <f>IF($D1985="","",IF(ISNUMBER(MATCH($D1985,CMB_S,0)),1,IF(ISNUMBER(MATCH($D1985,CMB_G,0)),2,0)))</f>
        <v/>
      </c>
      <c r="Q1985" s="84">
        <f>IF(ISNUMBER($H1985),-$H1985,0)</f>
        <v>0</v>
      </c>
      <c r="R1985" s="84">
        <f>IF(ISNUMBER($I1985),ABS($I1985),0)</f>
        <v>0</v>
      </c>
      <c r="S1985" s="84">
        <f>IF(ISNUMBER($M1985),ABS($M1985),0)</f>
        <v>0</v>
      </c>
      <c r="T1985" s="85" t="n">
        <v>1977</v>
      </c>
    </row>
    <row r="1986">
      <c r="B1986" s="83" t="n"/>
      <c r="C1986" s="83" t="n"/>
      <c r="D1986" s="83" t="n"/>
      <c r="E1986" s="83" t="n"/>
      <c r="F1986" s="83" t="n"/>
      <c r="G1986" s="83" t="n"/>
      <c r="H1986" s="83" t="n"/>
      <c r="I1986" s="83" t="n"/>
      <c r="J1986" s="83" t="n"/>
      <c r="K1986" s="83" t="n"/>
      <c r="L1986" s="83" t="n"/>
      <c r="M1986" s="83" t="n"/>
      <c r="O1986" s="84" t="str">
        <f>IF($C1986="","",IFERROR(MATCH($B1986&amp;"|"&amp;$C1986,MUROS!$AX$11:$AX$70,0),0))</f>
        <v/>
      </c>
      <c r="P1986" s="84" t="str">
        <f>IF($D1986="","",IF(ISNUMBER(MATCH($D1986,CMB_S,0)),1,IF(ISNUMBER(MATCH($D1986,CMB_G,0)),2,0)))</f>
        <v/>
      </c>
      <c r="Q1986" s="84">
        <f>IF(ISNUMBER($H1986),-$H1986,0)</f>
        <v>0</v>
      </c>
      <c r="R1986" s="84">
        <f>IF(ISNUMBER($I1986),ABS($I1986),0)</f>
        <v>0</v>
      </c>
      <c r="S1986" s="84">
        <f>IF(ISNUMBER($M1986),ABS($M1986),0)</f>
        <v>0</v>
      </c>
      <c r="T1986" s="85" t="n">
        <v>1978</v>
      </c>
    </row>
    <row r="1987">
      <c r="B1987" s="83" t="n"/>
      <c r="C1987" s="83" t="n"/>
      <c r="D1987" s="83" t="n"/>
      <c r="E1987" s="83" t="n"/>
      <c r="F1987" s="83" t="n"/>
      <c r="G1987" s="83" t="n"/>
      <c r="H1987" s="83" t="n"/>
      <c r="I1987" s="83" t="n"/>
      <c r="J1987" s="83" t="n"/>
      <c r="K1987" s="83" t="n"/>
      <c r="L1987" s="83" t="n"/>
      <c r="M1987" s="83" t="n"/>
      <c r="O1987" s="84" t="str">
        <f>IF($C1987="","",IFERROR(MATCH($B1987&amp;"|"&amp;$C1987,MUROS!$AX$11:$AX$70,0),0))</f>
        <v/>
      </c>
      <c r="P1987" s="84" t="str">
        <f>IF($D1987="","",IF(ISNUMBER(MATCH($D1987,CMB_S,0)),1,IF(ISNUMBER(MATCH($D1987,CMB_G,0)),2,0)))</f>
        <v/>
      </c>
      <c r="Q1987" s="84">
        <f>IF(ISNUMBER($H1987),-$H1987,0)</f>
        <v>0</v>
      </c>
      <c r="R1987" s="84">
        <f>IF(ISNUMBER($I1987),ABS($I1987),0)</f>
        <v>0</v>
      </c>
      <c r="S1987" s="84">
        <f>IF(ISNUMBER($M1987),ABS($M1987),0)</f>
        <v>0</v>
      </c>
      <c r="T1987" s="85" t="n">
        <v>1979</v>
      </c>
    </row>
    <row r="1988">
      <c r="B1988" s="83" t="n"/>
      <c r="C1988" s="83" t="n"/>
      <c r="D1988" s="83" t="n"/>
      <c r="E1988" s="83" t="n"/>
      <c r="F1988" s="83" t="n"/>
      <c r="G1988" s="83" t="n"/>
      <c r="H1988" s="83" t="n"/>
      <c r="I1988" s="83" t="n"/>
      <c r="J1988" s="83" t="n"/>
      <c r="K1988" s="83" t="n"/>
      <c r="L1988" s="83" t="n"/>
      <c r="M1988" s="83" t="n"/>
      <c r="O1988" s="84" t="str">
        <f>IF($C1988="","",IFERROR(MATCH($B1988&amp;"|"&amp;$C1988,MUROS!$AX$11:$AX$70,0),0))</f>
        <v/>
      </c>
      <c r="P1988" s="84" t="str">
        <f>IF($D1988="","",IF(ISNUMBER(MATCH($D1988,CMB_S,0)),1,IF(ISNUMBER(MATCH($D1988,CMB_G,0)),2,0)))</f>
        <v/>
      </c>
      <c r="Q1988" s="84">
        <f>IF(ISNUMBER($H1988),-$H1988,0)</f>
        <v>0</v>
      </c>
      <c r="R1988" s="84">
        <f>IF(ISNUMBER($I1988),ABS($I1988),0)</f>
        <v>0</v>
      </c>
      <c r="S1988" s="84">
        <f>IF(ISNUMBER($M1988),ABS($M1988),0)</f>
        <v>0</v>
      </c>
      <c r="T1988" s="85" t="n">
        <v>1980</v>
      </c>
    </row>
    <row r="1989">
      <c r="B1989" s="83" t="n"/>
      <c r="C1989" s="83" t="n"/>
      <c r="D1989" s="83" t="n"/>
      <c r="E1989" s="83" t="n"/>
      <c r="F1989" s="83" t="n"/>
      <c r="G1989" s="83" t="n"/>
      <c r="H1989" s="83" t="n"/>
      <c r="I1989" s="83" t="n"/>
      <c r="J1989" s="83" t="n"/>
      <c r="K1989" s="83" t="n"/>
      <c r="L1989" s="83" t="n"/>
      <c r="M1989" s="83" t="n"/>
      <c r="O1989" s="84" t="str">
        <f>IF($C1989="","",IFERROR(MATCH($B1989&amp;"|"&amp;$C1989,MUROS!$AX$11:$AX$70,0),0))</f>
        <v/>
      </c>
      <c r="P1989" s="84" t="str">
        <f>IF($D1989="","",IF(ISNUMBER(MATCH($D1989,CMB_S,0)),1,IF(ISNUMBER(MATCH($D1989,CMB_G,0)),2,0)))</f>
        <v/>
      </c>
      <c r="Q1989" s="84">
        <f>IF(ISNUMBER($H1989),-$H1989,0)</f>
        <v>0</v>
      </c>
      <c r="R1989" s="84">
        <f>IF(ISNUMBER($I1989),ABS($I1989),0)</f>
        <v>0</v>
      </c>
      <c r="S1989" s="84">
        <f>IF(ISNUMBER($M1989),ABS($M1989),0)</f>
        <v>0</v>
      </c>
      <c r="T1989" s="85" t="n">
        <v>1981</v>
      </c>
    </row>
    <row r="1990">
      <c r="B1990" s="83" t="n"/>
      <c r="C1990" s="83" t="n"/>
      <c r="D1990" s="83" t="n"/>
      <c r="E1990" s="83" t="n"/>
      <c r="F1990" s="83" t="n"/>
      <c r="G1990" s="83" t="n"/>
      <c r="H1990" s="83" t="n"/>
      <c r="I1990" s="83" t="n"/>
      <c r="J1990" s="83" t="n"/>
      <c r="K1990" s="83" t="n"/>
      <c r="L1990" s="83" t="n"/>
      <c r="M1990" s="83" t="n"/>
      <c r="O1990" s="84" t="str">
        <f>IF($C1990="","",IFERROR(MATCH($B1990&amp;"|"&amp;$C1990,MUROS!$AX$11:$AX$70,0),0))</f>
        <v/>
      </c>
      <c r="P1990" s="84" t="str">
        <f>IF($D1990="","",IF(ISNUMBER(MATCH($D1990,CMB_S,0)),1,IF(ISNUMBER(MATCH($D1990,CMB_G,0)),2,0)))</f>
        <v/>
      </c>
      <c r="Q1990" s="84">
        <f>IF(ISNUMBER($H1990),-$H1990,0)</f>
        <v>0</v>
      </c>
      <c r="R1990" s="84">
        <f>IF(ISNUMBER($I1990),ABS($I1990),0)</f>
        <v>0</v>
      </c>
      <c r="S1990" s="84">
        <f>IF(ISNUMBER($M1990),ABS($M1990),0)</f>
        <v>0</v>
      </c>
      <c r="T1990" s="85" t="n">
        <v>1982</v>
      </c>
    </row>
    <row r="1991">
      <c r="B1991" s="83" t="n"/>
      <c r="C1991" s="83" t="n"/>
      <c r="D1991" s="83" t="n"/>
      <c r="E1991" s="83" t="n"/>
      <c r="F1991" s="83" t="n"/>
      <c r="G1991" s="83" t="n"/>
      <c r="H1991" s="83" t="n"/>
      <c r="I1991" s="83" t="n"/>
      <c r="J1991" s="83" t="n"/>
      <c r="K1991" s="83" t="n"/>
      <c r="L1991" s="83" t="n"/>
      <c r="M1991" s="83" t="n"/>
      <c r="O1991" s="84" t="str">
        <f>IF($C1991="","",IFERROR(MATCH($B1991&amp;"|"&amp;$C1991,MUROS!$AX$11:$AX$70,0),0))</f>
        <v/>
      </c>
      <c r="P1991" s="84" t="str">
        <f>IF($D1991="","",IF(ISNUMBER(MATCH($D1991,CMB_S,0)),1,IF(ISNUMBER(MATCH($D1991,CMB_G,0)),2,0)))</f>
        <v/>
      </c>
      <c r="Q1991" s="84">
        <f>IF(ISNUMBER($H1991),-$H1991,0)</f>
        <v>0</v>
      </c>
      <c r="R1991" s="84">
        <f>IF(ISNUMBER($I1991),ABS($I1991),0)</f>
        <v>0</v>
      </c>
      <c r="S1991" s="84">
        <f>IF(ISNUMBER($M1991),ABS($M1991),0)</f>
        <v>0</v>
      </c>
      <c r="T1991" s="85" t="n">
        <v>1983</v>
      </c>
    </row>
    <row r="1992">
      <c r="B1992" s="83" t="n"/>
      <c r="C1992" s="83" t="n"/>
      <c r="D1992" s="83" t="n"/>
      <c r="E1992" s="83" t="n"/>
      <c r="F1992" s="83" t="n"/>
      <c r="G1992" s="83" t="n"/>
      <c r="H1992" s="83" t="n"/>
      <c r="I1992" s="83" t="n"/>
      <c r="J1992" s="83" t="n"/>
      <c r="K1992" s="83" t="n"/>
      <c r="L1992" s="83" t="n"/>
      <c r="M1992" s="83" t="n"/>
      <c r="O1992" s="84" t="str">
        <f>IF($C1992="","",IFERROR(MATCH($B1992&amp;"|"&amp;$C1992,MUROS!$AX$11:$AX$70,0),0))</f>
        <v/>
      </c>
      <c r="P1992" s="84" t="str">
        <f>IF($D1992="","",IF(ISNUMBER(MATCH($D1992,CMB_S,0)),1,IF(ISNUMBER(MATCH($D1992,CMB_G,0)),2,0)))</f>
        <v/>
      </c>
      <c r="Q1992" s="84">
        <f>IF(ISNUMBER($H1992),-$H1992,0)</f>
        <v>0</v>
      </c>
      <c r="R1992" s="84">
        <f>IF(ISNUMBER($I1992),ABS($I1992),0)</f>
        <v>0</v>
      </c>
      <c r="S1992" s="84">
        <f>IF(ISNUMBER($M1992),ABS($M1992),0)</f>
        <v>0</v>
      </c>
      <c r="T1992" s="85" t="n">
        <v>1984</v>
      </c>
    </row>
    <row r="1993">
      <c r="B1993" s="83" t="n"/>
      <c r="C1993" s="83" t="n"/>
      <c r="D1993" s="83" t="n"/>
      <c r="E1993" s="83" t="n"/>
      <c r="F1993" s="83" t="n"/>
      <c r="G1993" s="83" t="n"/>
      <c r="H1993" s="83" t="n"/>
      <c r="I1993" s="83" t="n"/>
      <c r="J1993" s="83" t="n"/>
      <c r="K1993" s="83" t="n"/>
      <c r="L1993" s="83" t="n"/>
      <c r="M1993" s="83" t="n"/>
      <c r="O1993" s="84" t="str">
        <f>IF($C1993="","",IFERROR(MATCH($B1993&amp;"|"&amp;$C1993,MUROS!$AX$11:$AX$70,0),0))</f>
        <v/>
      </c>
      <c r="P1993" s="84" t="str">
        <f>IF($D1993="","",IF(ISNUMBER(MATCH($D1993,CMB_S,0)),1,IF(ISNUMBER(MATCH($D1993,CMB_G,0)),2,0)))</f>
        <v/>
      </c>
      <c r="Q1993" s="84">
        <f>IF(ISNUMBER($H1993),-$H1993,0)</f>
        <v>0</v>
      </c>
      <c r="R1993" s="84">
        <f>IF(ISNUMBER($I1993),ABS($I1993),0)</f>
        <v>0</v>
      </c>
      <c r="S1993" s="84">
        <f>IF(ISNUMBER($M1993),ABS($M1993),0)</f>
        <v>0</v>
      </c>
      <c r="T1993" s="85" t="n">
        <v>1985</v>
      </c>
    </row>
    <row r="1994">
      <c r="B1994" s="83" t="n"/>
      <c r="C1994" s="83" t="n"/>
      <c r="D1994" s="83" t="n"/>
      <c r="E1994" s="83" t="n"/>
      <c r="F1994" s="83" t="n"/>
      <c r="G1994" s="83" t="n"/>
      <c r="H1994" s="83" t="n"/>
      <c r="I1994" s="83" t="n"/>
      <c r="J1994" s="83" t="n"/>
      <c r="K1994" s="83" t="n"/>
      <c r="L1994" s="83" t="n"/>
      <c r="M1994" s="83" t="n"/>
      <c r="O1994" s="84" t="str">
        <f>IF($C1994="","",IFERROR(MATCH($B1994&amp;"|"&amp;$C1994,MUROS!$AX$11:$AX$70,0),0))</f>
        <v/>
      </c>
      <c r="P1994" s="84" t="str">
        <f>IF($D1994="","",IF(ISNUMBER(MATCH($D1994,CMB_S,0)),1,IF(ISNUMBER(MATCH($D1994,CMB_G,0)),2,0)))</f>
        <v/>
      </c>
      <c r="Q1994" s="84">
        <f>IF(ISNUMBER($H1994),-$H1994,0)</f>
        <v>0</v>
      </c>
      <c r="R1994" s="84">
        <f>IF(ISNUMBER($I1994),ABS($I1994),0)</f>
        <v>0</v>
      </c>
      <c r="S1994" s="84">
        <f>IF(ISNUMBER($M1994),ABS($M1994),0)</f>
        <v>0</v>
      </c>
      <c r="T1994" s="85" t="n">
        <v>1986</v>
      </c>
    </row>
    <row r="1995">
      <c r="B1995" s="83" t="n"/>
      <c r="C1995" s="83" t="n"/>
      <c r="D1995" s="83" t="n"/>
      <c r="E1995" s="83" t="n"/>
      <c r="F1995" s="83" t="n"/>
      <c r="G1995" s="83" t="n"/>
      <c r="H1995" s="83" t="n"/>
      <c r="I1995" s="83" t="n"/>
      <c r="J1995" s="83" t="n"/>
      <c r="K1995" s="83" t="n"/>
      <c r="L1995" s="83" t="n"/>
      <c r="M1995" s="83" t="n"/>
      <c r="O1995" s="84" t="str">
        <f>IF($C1995="","",IFERROR(MATCH($B1995&amp;"|"&amp;$C1995,MUROS!$AX$11:$AX$70,0),0))</f>
        <v/>
      </c>
      <c r="P1995" s="84" t="str">
        <f>IF($D1995="","",IF(ISNUMBER(MATCH($D1995,CMB_S,0)),1,IF(ISNUMBER(MATCH($D1995,CMB_G,0)),2,0)))</f>
        <v/>
      </c>
      <c r="Q1995" s="84">
        <f>IF(ISNUMBER($H1995),-$H1995,0)</f>
        <v>0</v>
      </c>
      <c r="R1995" s="84">
        <f>IF(ISNUMBER($I1995),ABS($I1995),0)</f>
        <v>0</v>
      </c>
      <c r="S1995" s="84">
        <f>IF(ISNUMBER($M1995),ABS($M1995),0)</f>
        <v>0</v>
      </c>
      <c r="T1995" s="85" t="n">
        <v>1987</v>
      </c>
    </row>
    <row r="1996">
      <c r="B1996" s="83" t="n"/>
      <c r="C1996" s="83" t="n"/>
      <c r="D1996" s="83" t="n"/>
      <c r="E1996" s="83" t="n"/>
      <c r="F1996" s="83" t="n"/>
      <c r="G1996" s="83" t="n"/>
      <c r="H1996" s="83" t="n"/>
      <c r="I1996" s="83" t="n"/>
      <c r="J1996" s="83" t="n"/>
      <c r="K1996" s="83" t="n"/>
      <c r="L1996" s="83" t="n"/>
      <c r="M1996" s="83" t="n"/>
      <c r="O1996" s="84" t="str">
        <f>IF($C1996="","",IFERROR(MATCH($B1996&amp;"|"&amp;$C1996,MUROS!$AX$11:$AX$70,0),0))</f>
        <v/>
      </c>
      <c r="P1996" s="84" t="str">
        <f>IF($D1996="","",IF(ISNUMBER(MATCH($D1996,CMB_S,0)),1,IF(ISNUMBER(MATCH($D1996,CMB_G,0)),2,0)))</f>
        <v/>
      </c>
      <c r="Q1996" s="84">
        <f>IF(ISNUMBER($H1996),-$H1996,0)</f>
        <v>0</v>
      </c>
      <c r="R1996" s="84">
        <f>IF(ISNUMBER($I1996),ABS($I1996),0)</f>
        <v>0</v>
      </c>
      <c r="S1996" s="84">
        <f>IF(ISNUMBER($M1996),ABS($M1996),0)</f>
        <v>0</v>
      </c>
      <c r="T1996" s="85" t="n">
        <v>1988</v>
      </c>
    </row>
    <row r="1997">
      <c r="B1997" s="83" t="n"/>
      <c r="C1997" s="83" t="n"/>
      <c r="D1997" s="83" t="n"/>
      <c r="E1997" s="83" t="n"/>
      <c r="F1997" s="83" t="n"/>
      <c r="G1997" s="83" t="n"/>
      <c r="H1997" s="83" t="n"/>
      <c r="I1997" s="83" t="n"/>
      <c r="J1997" s="83" t="n"/>
      <c r="K1997" s="83" t="n"/>
      <c r="L1997" s="83" t="n"/>
      <c r="M1997" s="83" t="n"/>
      <c r="O1997" s="84" t="str">
        <f>IF($C1997="","",IFERROR(MATCH($B1997&amp;"|"&amp;$C1997,MUROS!$AX$11:$AX$70,0),0))</f>
        <v/>
      </c>
      <c r="P1997" s="84" t="str">
        <f>IF($D1997="","",IF(ISNUMBER(MATCH($D1997,CMB_S,0)),1,IF(ISNUMBER(MATCH($D1997,CMB_G,0)),2,0)))</f>
        <v/>
      </c>
      <c r="Q1997" s="84">
        <f>IF(ISNUMBER($H1997),-$H1997,0)</f>
        <v>0</v>
      </c>
      <c r="R1997" s="84">
        <f>IF(ISNUMBER($I1997),ABS($I1997),0)</f>
        <v>0</v>
      </c>
      <c r="S1997" s="84">
        <f>IF(ISNUMBER($M1997),ABS($M1997),0)</f>
        <v>0</v>
      </c>
      <c r="T1997" s="85" t="n">
        <v>1989</v>
      </c>
    </row>
    <row r="1998">
      <c r="B1998" s="83" t="n"/>
      <c r="C1998" s="83" t="n"/>
      <c r="D1998" s="83" t="n"/>
      <c r="E1998" s="83" t="n"/>
      <c r="F1998" s="83" t="n"/>
      <c r="G1998" s="83" t="n"/>
      <c r="H1998" s="83" t="n"/>
      <c r="I1998" s="83" t="n"/>
      <c r="J1998" s="83" t="n"/>
      <c r="K1998" s="83" t="n"/>
      <c r="L1998" s="83" t="n"/>
      <c r="M1998" s="83" t="n"/>
      <c r="O1998" s="84" t="str">
        <f>IF($C1998="","",IFERROR(MATCH($B1998&amp;"|"&amp;$C1998,MUROS!$AX$11:$AX$70,0),0))</f>
        <v/>
      </c>
      <c r="P1998" s="84" t="str">
        <f>IF($D1998="","",IF(ISNUMBER(MATCH($D1998,CMB_S,0)),1,IF(ISNUMBER(MATCH($D1998,CMB_G,0)),2,0)))</f>
        <v/>
      </c>
      <c r="Q1998" s="84">
        <f>IF(ISNUMBER($H1998),-$H1998,0)</f>
        <v>0</v>
      </c>
      <c r="R1998" s="84">
        <f>IF(ISNUMBER($I1998),ABS($I1998),0)</f>
        <v>0</v>
      </c>
      <c r="S1998" s="84">
        <f>IF(ISNUMBER($M1998),ABS($M1998),0)</f>
        <v>0</v>
      </c>
      <c r="T1998" s="85" t="n">
        <v>1990</v>
      </c>
    </row>
    <row r="1999">
      <c r="B1999" s="83" t="n"/>
      <c r="C1999" s="83" t="n"/>
      <c r="D1999" s="83" t="n"/>
      <c r="E1999" s="83" t="n"/>
      <c r="F1999" s="83" t="n"/>
      <c r="G1999" s="83" t="n"/>
      <c r="H1999" s="83" t="n"/>
      <c r="I1999" s="83" t="n"/>
      <c r="J1999" s="83" t="n"/>
      <c r="K1999" s="83" t="n"/>
      <c r="L1999" s="83" t="n"/>
      <c r="M1999" s="83" t="n"/>
      <c r="O1999" s="84" t="str">
        <f>IF($C1999="","",IFERROR(MATCH($B1999&amp;"|"&amp;$C1999,MUROS!$AX$11:$AX$70,0),0))</f>
        <v/>
      </c>
      <c r="P1999" s="84" t="str">
        <f>IF($D1999="","",IF(ISNUMBER(MATCH($D1999,CMB_S,0)),1,IF(ISNUMBER(MATCH($D1999,CMB_G,0)),2,0)))</f>
        <v/>
      </c>
      <c r="Q1999" s="84">
        <f>IF(ISNUMBER($H1999),-$H1999,0)</f>
        <v>0</v>
      </c>
      <c r="R1999" s="84">
        <f>IF(ISNUMBER($I1999),ABS($I1999),0)</f>
        <v>0</v>
      </c>
      <c r="S1999" s="84">
        <f>IF(ISNUMBER($M1999),ABS($M1999),0)</f>
        <v>0</v>
      </c>
      <c r="T1999" s="85" t="n">
        <v>1991</v>
      </c>
    </row>
    <row r="2000">
      <c r="B2000" s="83" t="n"/>
      <c r="C2000" s="83" t="n"/>
      <c r="D2000" s="83" t="n"/>
      <c r="E2000" s="83" t="n"/>
      <c r="F2000" s="83" t="n"/>
      <c r="G2000" s="83" t="n"/>
      <c r="H2000" s="83" t="n"/>
      <c r="I2000" s="83" t="n"/>
      <c r="J2000" s="83" t="n"/>
      <c r="K2000" s="83" t="n"/>
      <c r="L2000" s="83" t="n"/>
      <c r="M2000" s="83" t="n"/>
      <c r="O2000" s="84" t="str">
        <f>IF($C2000="","",IFERROR(MATCH($B2000&amp;"|"&amp;$C2000,MUROS!$AX$11:$AX$70,0),0))</f>
        <v/>
      </c>
      <c r="P2000" s="84" t="str">
        <f>IF($D2000="","",IF(ISNUMBER(MATCH($D2000,CMB_S,0)),1,IF(ISNUMBER(MATCH($D2000,CMB_G,0)),2,0)))</f>
        <v/>
      </c>
      <c r="Q2000" s="84">
        <f>IF(ISNUMBER($H2000),-$H2000,0)</f>
        <v>0</v>
      </c>
      <c r="R2000" s="84">
        <f>IF(ISNUMBER($I2000),ABS($I2000),0)</f>
        <v>0</v>
      </c>
      <c r="S2000" s="84">
        <f>IF(ISNUMBER($M2000),ABS($M2000),0)</f>
        <v>0</v>
      </c>
      <c r="T2000" s="85" t="n">
        <v>1992</v>
      </c>
    </row>
    <row r="2001">
      <c r="B2001" s="83" t="n"/>
      <c r="C2001" s="83" t="n"/>
      <c r="D2001" s="83" t="n"/>
      <c r="E2001" s="83" t="n"/>
      <c r="F2001" s="83" t="n"/>
      <c r="G2001" s="83" t="n"/>
      <c r="H2001" s="83" t="n"/>
      <c r="I2001" s="83" t="n"/>
      <c r="J2001" s="83" t="n"/>
      <c r="K2001" s="83" t="n"/>
      <c r="L2001" s="83" t="n"/>
      <c r="M2001" s="83" t="n"/>
      <c r="O2001" s="84" t="str">
        <f>IF($C2001="","",IFERROR(MATCH($B2001&amp;"|"&amp;$C2001,MUROS!$AX$11:$AX$70,0),0))</f>
        <v/>
      </c>
      <c r="P2001" s="84" t="str">
        <f>IF($D2001="","",IF(ISNUMBER(MATCH($D2001,CMB_S,0)),1,IF(ISNUMBER(MATCH($D2001,CMB_G,0)),2,0)))</f>
        <v/>
      </c>
      <c r="Q2001" s="84">
        <f>IF(ISNUMBER($H2001),-$H2001,0)</f>
        <v>0</v>
      </c>
      <c r="R2001" s="84">
        <f>IF(ISNUMBER($I2001),ABS($I2001),0)</f>
        <v>0</v>
      </c>
      <c r="S2001" s="84">
        <f>IF(ISNUMBER($M2001),ABS($M2001),0)</f>
        <v>0</v>
      </c>
      <c r="T2001" s="85" t="n">
        <v>1993</v>
      </c>
    </row>
    <row r="2002">
      <c r="B2002" s="83" t="n"/>
      <c r="C2002" s="83" t="n"/>
      <c r="D2002" s="83" t="n"/>
      <c r="E2002" s="83" t="n"/>
      <c r="F2002" s="83" t="n"/>
      <c r="G2002" s="83" t="n"/>
      <c r="H2002" s="83" t="n"/>
      <c r="I2002" s="83" t="n"/>
      <c r="J2002" s="83" t="n"/>
      <c r="K2002" s="83" t="n"/>
      <c r="L2002" s="83" t="n"/>
      <c r="M2002" s="83" t="n"/>
      <c r="O2002" s="84" t="str">
        <f>IF($C2002="","",IFERROR(MATCH($B2002&amp;"|"&amp;$C2002,MUROS!$AX$11:$AX$70,0),0))</f>
        <v/>
      </c>
      <c r="P2002" s="84" t="str">
        <f>IF($D2002="","",IF(ISNUMBER(MATCH($D2002,CMB_S,0)),1,IF(ISNUMBER(MATCH($D2002,CMB_G,0)),2,0)))</f>
        <v/>
      </c>
      <c r="Q2002" s="84">
        <f>IF(ISNUMBER($H2002),-$H2002,0)</f>
        <v>0</v>
      </c>
      <c r="R2002" s="84">
        <f>IF(ISNUMBER($I2002),ABS($I2002),0)</f>
        <v>0</v>
      </c>
      <c r="S2002" s="84">
        <f>IF(ISNUMBER($M2002),ABS($M2002),0)</f>
        <v>0</v>
      </c>
      <c r="T2002" s="85" t="n">
        <v>1994</v>
      </c>
    </row>
    <row r="2003">
      <c r="B2003" s="83" t="n"/>
      <c r="C2003" s="83" t="n"/>
      <c r="D2003" s="83" t="n"/>
      <c r="E2003" s="83" t="n"/>
      <c r="F2003" s="83" t="n"/>
      <c r="G2003" s="83" t="n"/>
      <c r="H2003" s="83" t="n"/>
      <c r="I2003" s="83" t="n"/>
      <c r="J2003" s="83" t="n"/>
      <c r="K2003" s="83" t="n"/>
      <c r="L2003" s="83" t="n"/>
      <c r="M2003" s="83" t="n"/>
      <c r="O2003" s="84" t="str">
        <f>IF($C2003="","",IFERROR(MATCH($B2003&amp;"|"&amp;$C2003,MUROS!$AX$11:$AX$70,0),0))</f>
        <v/>
      </c>
      <c r="P2003" s="84" t="str">
        <f>IF($D2003="","",IF(ISNUMBER(MATCH($D2003,CMB_S,0)),1,IF(ISNUMBER(MATCH($D2003,CMB_G,0)),2,0)))</f>
        <v/>
      </c>
      <c r="Q2003" s="84">
        <f>IF(ISNUMBER($H2003),-$H2003,0)</f>
        <v>0</v>
      </c>
      <c r="R2003" s="84">
        <f>IF(ISNUMBER($I2003),ABS($I2003),0)</f>
        <v>0</v>
      </c>
      <c r="S2003" s="84">
        <f>IF(ISNUMBER($M2003),ABS($M2003),0)</f>
        <v>0</v>
      </c>
      <c r="T2003" s="85" t="n">
        <v>1995</v>
      </c>
    </row>
    <row r="2004">
      <c r="B2004" s="83" t="n"/>
      <c r="C2004" s="83" t="n"/>
      <c r="D2004" s="83" t="n"/>
      <c r="E2004" s="83" t="n"/>
      <c r="F2004" s="83" t="n"/>
      <c r="G2004" s="83" t="n"/>
      <c r="H2004" s="83" t="n"/>
      <c r="I2004" s="83" t="n"/>
      <c r="J2004" s="83" t="n"/>
      <c r="K2004" s="83" t="n"/>
      <c r="L2004" s="83" t="n"/>
      <c r="M2004" s="83" t="n"/>
      <c r="O2004" s="84" t="str">
        <f>IF($C2004="","",IFERROR(MATCH($B2004&amp;"|"&amp;$C2004,MUROS!$AX$11:$AX$70,0),0))</f>
        <v/>
      </c>
      <c r="P2004" s="84" t="str">
        <f>IF($D2004="","",IF(ISNUMBER(MATCH($D2004,CMB_S,0)),1,IF(ISNUMBER(MATCH($D2004,CMB_G,0)),2,0)))</f>
        <v/>
      </c>
      <c r="Q2004" s="84">
        <f>IF(ISNUMBER($H2004),-$H2004,0)</f>
        <v>0</v>
      </c>
      <c r="R2004" s="84">
        <f>IF(ISNUMBER($I2004),ABS($I2004),0)</f>
        <v>0</v>
      </c>
      <c r="S2004" s="84">
        <f>IF(ISNUMBER($M2004),ABS($M2004),0)</f>
        <v>0</v>
      </c>
      <c r="T2004" s="85" t="n">
        <v>1996</v>
      </c>
    </row>
    <row r="2005">
      <c r="B2005" s="83" t="n"/>
      <c r="C2005" s="83" t="n"/>
      <c r="D2005" s="83" t="n"/>
      <c r="E2005" s="83" t="n"/>
      <c r="F2005" s="83" t="n"/>
      <c r="G2005" s="83" t="n"/>
      <c r="H2005" s="83" t="n"/>
      <c r="I2005" s="83" t="n"/>
      <c r="J2005" s="83" t="n"/>
      <c r="K2005" s="83" t="n"/>
      <c r="L2005" s="83" t="n"/>
      <c r="M2005" s="83" t="n"/>
      <c r="O2005" s="84" t="str">
        <f>IF($C2005="","",IFERROR(MATCH($B2005&amp;"|"&amp;$C2005,MUROS!$AX$11:$AX$70,0),0))</f>
        <v/>
      </c>
      <c r="P2005" s="84" t="str">
        <f>IF($D2005="","",IF(ISNUMBER(MATCH($D2005,CMB_S,0)),1,IF(ISNUMBER(MATCH($D2005,CMB_G,0)),2,0)))</f>
        <v/>
      </c>
      <c r="Q2005" s="84">
        <f>IF(ISNUMBER($H2005),-$H2005,0)</f>
        <v>0</v>
      </c>
      <c r="R2005" s="84">
        <f>IF(ISNUMBER($I2005),ABS($I2005),0)</f>
        <v>0</v>
      </c>
      <c r="S2005" s="84">
        <f>IF(ISNUMBER($M2005),ABS($M2005),0)</f>
        <v>0</v>
      </c>
      <c r="T2005" s="85" t="n">
        <v>1997</v>
      </c>
    </row>
    <row r="2006">
      <c r="B2006" s="83" t="n"/>
      <c r="C2006" s="83" t="n"/>
      <c r="D2006" s="83" t="n"/>
      <c r="E2006" s="83" t="n"/>
      <c r="F2006" s="83" t="n"/>
      <c r="G2006" s="83" t="n"/>
      <c r="H2006" s="83" t="n"/>
      <c r="I2006" s="83" t="n"/>
      <c r="J2006" s="83" t="n"/>
      <c r="K2006" s="83" t="n"/>
      <c r="L2006" s="83" t="n"/>
      <c r="M2006" s="83" t="n"/>
      <c r="O2006" s="84" t="str">
        <f>IF($C2006="","",IFERROR(MATCH($B2006&amp;"|"&amp;$C2006,MUROS!$AX$11:$AX$70,0),0))</f>
        <v/>
      </c>
      <c r="P2006" s="84" t="str">
        <f>IF($D2006="","",IF(ISNUMBER(MATCH($D2006,CMB_S,0)),1,IF(ISNUMBER(MATCH($D2006,CMB_G,0)),2,0)))</f>
        <v/>
      </c>
      <c r="Q2006" s="84">
        <f>IF(ISNUMBER($H2006),-$H2006,0)</f>
        <v>0</v>
      </c>
      <c r="R2006" s="84">
        <f>IF(ISNUMBER($I2006),ABS($I2006),0)</f>
        <v>0</v>
      </c>
      <c r="S2006" s="84">
        <f>IF(ISNUMBER($M2006),ABS($M2006),0)</f>
        <v>0</v>
      </c>
      <c r="T2006" s="85" t="n">
        <v>1998</v>
      </c>
    </row>
    <row r="2007">
      <c r="B2007" s="83" t="n"/>
      <c r="C2007" s="83" t="n"/>
      <c r="D2007" s="83" t="n"/>
      <c r="E2007" s="83" t="n"/>
      <c r="F2007" s="83" t="n"/>
      <c r="G2007" s="83" t="n"/>
      <c r="H2007" s="83" t="n"/>
      <c r="I2007" s="83" t="n"/>
      <c r="J2007" s="83" t="n"/>
      <c r="K2007" s="83" t="n"/>
      <c r="L2007" s="83" t="n"/>
      <c r="M2007" s="83" t="n"/>
      <c r="O2007" s="84" t="str">
        <f>IF($C2007="","",IFERROR(MATCH($B2007&amp;"|"&amp;$C2007,MUROS!$AX$11:$AX$70,0),0))</f>
        <v/>
      </c>
      <c r="P2007" s="84" t="str">
        <f>IF($D2007="","",IF(ISNUMBER(MATCH($D2007,CMB_S,0)),1,IF(ISNUMBER(MATCH($D2007,CMB_G,0)),2,0)))</f>
        <v/>
      </c>
      <c r="Q2007" s="84">
        <f>IF(ISNUMBER($H2007),-$H2007,0)</f>
        <v>0</v>
      </c>
      <c r="R2007" s="84">
        <f>IF(ISNUMBER($I2007),ABS($I2007),0)</f>
        <v>0</v>
      </c>
      <c r="S2007" s="84">
        <f>IF(ISNUMBER($M2007),ABS($M2007),0)</f>
        <v>0</v>
      </c>
      <c r="T2007" s="85" t="n">
        <v>1999</v>
      </c>
    </row>
    <row r="2008">
      <c r="B2008" s="83" t="n"/>
      <c r="C2008" s="83" t="n"/>
      <c r="D2008" s="83" t="n"/>
      <c r="E2008" s="83" t="n"/>
      <c r="F2008" s="83" t="n"/>
      <c r="G2008" s="83" t="n"/>
      <c r="H2008" s="83" t="n"/>
      <c r="I2008" s="83" t="n"/>
      <c r="J2008" s="83" t="n"/>
      <c r="K2008" s="83" t="n"/>
      <c r="L2008" s="83" t="n"/>
      <c r="M2008" s="83" t="n"/>
      <c r="O2008" s="84" t="str">
        <f>IF($C2008="","",IFERROR(MATCH($B2008&amp;"|"&amp;$C2008,MUROS!$AX$11:$AX$70,0),0))</f>
        <v/>
      </c>
      <c r="P2008" s="84" t="str">
        <f>IF($D2008="","",IF(ISNUMBER(MATCH($D2008,CMB_S,0)),1,IF(ISNUMBER(MATCH($D2008,CMB_G,0)),2,0)))</f>
        <v/>
      </c>
      <c r="Q2008" s="84">
        <f>IF(ISNUMBER($H2008),-$H2008,0)</f>
        <v>0</v>
      </c>
      <c r="R2008" s="84">
        <f>IF(ISNUMBER($I2008),ABS($I2008),0)</f>
        <v>0</v>
      </c>
      <c r="S2008" s="84">
        <f>IF(ISNUMBER($M2008),ABS($M2008),0)</f>
        <v>0</v>
      </c>
      <c r="T2008" s="85" t="n">
        <v>2000</v>
      </c>
    </row>
    <row r="2009">
      <c r="B2009" s="83" t="n"/>
      <c r="C2009" s="83" t="n"/>
      <c r="D2009" s="83" t="n"/>
      <c r="E2009" s="83" t="n"/>
      <c r="F2009" s="83" t="n"/>
      <c r="G2009" s="83" t="n"/>
      <c r="H2009" s="83" t="n"/>
      <c r="I2009" s="83" t="n"/>
      <c r="J2009" s="83" t="n"/>
      <c r="K2009" s="83" t="n"/>
      <c r="L2009" s="83" t="n"/>
      <c r="M2009" s="83" t="n"/>
      <c r="O2009" s="84" t="str">
        <f>IF($C2009="","",IFERROR(MATCH($B2009&amp;"|"&amp;$C2009,MUROS!$AX$11:$AX$70,0),0))</f>
        <v/>
      </c>
      <c r="P2009" s="84" t="str">
        <f>IF($D2009="","",IF(ISNUMBER(MATCH($D2009,CMB_S,0)),1,IF(ISNUMBER(MATCH($D2009,CMB_G,0)),2,0)))</f>
        <v/>
      </c>
      <c r="Q2009" s="84">
        <f>IF(ISNUMBER($H2009),-$H2009,0)</f>
        <v>0</v>
      </c>
      <c r="R2009" s="84">
        <f>IF(ISNUMBER($I2009),ABS($I2009),0)</f>
        <v>0</v>
      </c>
      <c r="S2009" s="84">
        <f>IF(ISNUMBER($M2009),ABS($M2009),0)</f>
        <v>0</v>
      </c>
      <c r="T2009" s="85" t="n">
        <v>2001</v>
      </c>
    </row>
    <row r="2010">
      <c r="B2010" s="83" t="n"/>
      <c r="C2010" s="83" t="n"/>
      <c r="D2010" s="83" t="n"/>
      <c r="E2010" s="83" t="n"/>
      <c r="F2010" s="83" t="n"/>
      <c r="G2010" s="83" t="n"/>
      <c r="H2010" s="83" t="n"/>
      <c r="I2010" s="83" t="n"/>
      <c r="J2010" s="83" t="n"/>
      <c r="K2010" s="83" t="n"/>
      <c r="L2010" s="83" t="n"/>
      <c r="M2010" s="83" t="n"/>
      <c r="O2010" s="84" t="str">
        <f>IF($C2010="","",IFERROR(MATCH($B2010&amp;"|"&amp;$C2010,MUROS!$AX$11:$AX$70,0),0))</f>
        <v/>
      </c>
      <c r="P2010" s="84" t="str">
        <f>IF($D2010="","",IF(ISNUMBER(MATCH($D2010,CMB_S,0)),1,IF(ISNUMBER(MATCH($D2010,CMB_G,0)),2,0)))</f>
        <v/>
      </c>
      <c r="Q2010" s="84">
        <f>IF(ISNUMBER($H2010),-$H2010,0)</f>
        <v>0</v>
      </c>
      <c r="R2010" s="84">
        <f>IF(ISNUMBER($I2010),ABS($I2010),0)</f>
        <v>0</v>
      </c>
      <c r="S2010" s="84">
        <f>IF(ISNUMBER($M2010),ABS($M2010),0)</f>
        <v>0</v>
      </c>
      <c r="T2010" s="85" t="n">
        <v>2002</v>
      </c>
    </row>
    <row r="2011">
      <c r="B2011" s="83" t="n"/>
      <c r="C2011" s="83" t="n"/>
      <c r="D2011" s="83" t="n"/>
      <c r="E2011" s="83" t="n"/>
      <c r="F2011" s="83" t="n"/>
      <c r="G2011" s="83" t="n"/>
      <c r="H2011" s="83" t="n"/>
      <c r="I2011" s="83" t="n"/>
      <c r="J2011" s="83" t="n"/>
      <c r="K2011" s="83" t="n"/>
      <c r="L2011" s="83" t="n"/>
      <c r="M2011" s="83" t="n"/>
      <c r="O2011" s="84" t="str">
        <f>IF($C2011="","",IFERROR(MATCH($B2011&amp;"|"&amp;$C2011,MUROS!$AX$11:$AX$70,0),0))</f>
        <v/>
      </c>
      <c r="P2011" s="84" t="str">
        <f>IF($D2011="","",IF(ISNUMBER(MATCH($D2011,CMB_S,0)),1,IF(ISNUMBER(MATCH($D2011,CMB_G,0)),2,0)))</f>
        <v/>
      </c>
      <c r="Q2011" s="84">
        <f>IF(ISNUMBER($H2011),-$H2011,0)</f>
        <v>0</v>
      </c>
      <c r="R2011" s="84">
        <f>IF(ISNUMBER($I2011),ABS($I2011),0)</f>
        <v>0</v>
      </c>
      <c r="S2011" s="84">
        <f>IF(ISNUMBER($M2011),ABS($M2011),0)</f>
        <v>0</v>
      </c>
      <c r="T2011" s="85" t="n">
        <v>2003</v>
      </c>
    </row>
    <row r="2012">
      <c r="B2012" s="83" t="n"/>
      <c r="C2012" s="83" t="n"/>
      <c r="D2012" s="83" t="n"/>
      <c r="E2012" s="83" t="n"/>
      <c r="F2012" s="83" t="n"/>
      <c r="G2012" s="83" t="n"/>
      <c r="H2012" s="83" t="n"/>
      <c r="I2012" s="83" t="n"/>
      <c r="J2012" s="83" t="n"/>
      <c r="K2012" s="83" t="n"/>
      <c r="L2012" s="83" t="n"/>
      <c r="M2012" s="83" t="n"/>
      <c r="O2012" s="84" t="str">
        <f>IF($C2012="","",IFERROR(MATCH($B2012&amp;"|"&amp;$C2012,MUROS!$AX$11:$AX$70,0),0))</f>
        <v/>
      </c>
      <c r="P2012" s="84" t="str">
        <f>IF($D2012="","",IF(ISNUMBER(MATCH($D2012,CMB_S,0)),1,IF(ISNUMBER(MATCH($D2012,CMB_G,0)),2,0)))</f>
        <v/>
      </c>
      <c r="Q2012" s="84">
        <f>IF(ISNUMBER($H2012),-$H2012,0)</f>
        <v>0</v>
      </c>
      <c r="R2012" s="84">
        <f>IF(ISNUMBER($I2012),ABS($I2012),0)</f>
        <v>0</v>
      </c>
      <c r="S2012" s="84">
        <f>IF(ISNUMBER($M2012),ABS($M2012),0)</f>
        <v>0</v>
      </c>
      <c r="T2012" s="85" t="n">
        <v>2004</v>
      </c>
    </row>
    <row r="2013">
      <c r="B2013" s="83" t="n"/>
      <c r="C2013" s="83" t="n"/>
      <c r="D2013" s="83" t="n"/>
      <c r="E2013" s="83" t="n"/>
      <c r="F2013" s="83" t="n"/>
      <c r="G2013" s="83" t="n"/>
      <c r="H2013" s="83" t="n"/>
      <c r="I2013" s="83" t="n"/>
      <c r="J2013" s="83" t="n"/>
      <c r="K2013" s="83" t="n"/>
      <c r="L2013" s="83" t="n"/>
      <c r="M2013" s="83" t="n"/>
      <c r="O2013" s="84" t="str">
        <f>IF($C2013="","",IFERROR(MATCH($B2013&amp;"|"&amp;$C2013,MUROS!$AX$11:$AX$70,0),0))</f>
        <v/>
      </c>
      <c r="P2013" s="84" t="str">
        <f>IF($D2013="","",IF(ISNUMBER(MATCH($D2013,CMB_S,0)),1,IF(ISNUMBER(MATCH($D2013,CMB_G,0)),2,0)))</f>
        <v/>
      </c>
      <c r="Q2013" s="84">
        <f>IF(ISNUMBER($H2013),-$H2013,0)</f>
        <v>0</v>
      </c>
      <c r="R2013" s="84">
        <f>IF(ISNUMBER($I2013),ABS($I2013),0)</f>
        <v>0</v>
      </c>
      <c r="S2013" s="84">
        <f>IF(ISNUMBER($M2013),ABS($M2013),0)</f>
        <v>0</v>
      </c>
      <c r="T2013" s="85" t="n">
        <v>2005</v>
      </c>
    </row>
    <row r="2014">
      <c r="B2014" s="83" t="n"/>
      <c r="C2014" s="83" t="n"/>
      <c r="D2014" s="83" t="n"/>
      <c r="E2014" s="83" t="n"/>
      <c r="F2014" s="83" t="n"/>
      <c r="G2014" s="83" t="n"/>
      <c r="H2014" s="83" t="n"/>
      <c r="I2014" s="83" t="n"/>
      <c r="J2014" s="83" t="n"/>
      <c r="K2014" s="83" t="n"/>
      <c r="L2014" s="83" t="n"/>
      <c r="M2014" s="83" t="n"/>
      <c r="O2014" s="84" t="str">
        <f>IF($C2014="","",IFERROR(MATCH($B2014&amp;"|"&amp;$C2014,MUROS!$AX$11:$AX$70,0),0))</f>
        <v/>
      </c>
      <c r="P2014" s="84" t="str">
        <f>IF($D2014="","",IF(ISNUMBER(MATCH($D2014,CMB_S,0)),1,IF(ISNUMBER(MATCH($D2014,CMB_G,0)),2,0)))</f>
        <v/>
      </c>
      <c r="Q2014" s="84">
        <f>IF(ISNUMBER($H2014),-$H2014,0)</f>
        <v>0</v>
      </c>
      <c r="R2014" s="84">
        <f>IF(ISNUMBER($I2014),ABS($I2014),0)</f>
        <v>0</v>
      </c>
      <c r="S2014" s="84">
        <f>IF(ISNUMBER($M2014),ABS($M2014),0)</f>
        <v>0</v>
      </c>
      <c r="T2014" s="85" t="n">
        <v>2006</v>
      </c>
    </row>
    <row r="2015">
      <c r="B2015" s="83" t="n"/>
      <c r="C2015" s="83" t="n"/>
      <c r="D2015" s="83" t="n"/>
      <c r="E2015" s="83" t="n"/>
      <c r="F2015" s="83" t="n"/>
      <c r="G2015" s="83" t="n"/>
      <c r="H2015" s="83" t="n"/>
      <c r="I2015" s="83" t="n"/>
      <c r="J2015" s="83" t="n"/>
      <c r="K2015" s="83" t="n"/>
      <c r="L2015" s="83" t="n"/>
      <c r="M2015" s="83" t="n"/>
      <c r="O2015" s="84" t="str">
        <f>IF($C2015="","",IFERROR(MATCH($B2015&amp;"|"&amp;$C2015,MUROS!$AX$11:$AX$70,0),0))</f>
        <v/>
      </c>
      <c r="P2015" s="84" t="str">
        <f>IF($D2015="","",IF(ISNUMBER(MATCH($D2015,CMB_S,0)),1,IF(ISNUMBER(MATCH($D2015,CMB_G,0)),2,0)))</f>
        <v/>
      </c>
      <c r="Q2015" s="84">
        <f>IF(ISNUMBER($H2015),-$H2015,0)</f>
        <v>0</v>
      </c>
      <c r="R2015" s="84">
        <f>IF(ISNUMBER($I2015),ABS($I2015),0)</f>
        <v>0</v>
      </c>
      <c r="S2015" s="84">
        <f>IF(ISNUMBER($M2015),ABS($M2015),0)</f>
        <v>0</v>
      </c>
      <c r="T2015" s="85" t="n">
        <v>2007</v>
      </c>
    </row>
    <row r="2016">
      <c r="B2016" s="83" t="n"/>
      <c r="C2016" s="83" t="n"/>
      <c r="D2016" s="83" t="n"/>
      <c r="E2016" s="83" t="n"/>
      <c r="F2016" s="83" t="n"/>
      <c r="G2016" s="83" t="n"/>
      <c r="H2016" s="83" t="n"/>
      <c r="I2016" s="83" t="n"/>
      <c r="J2016" s="83" t="n"/>
      <c r="K2016" s="83" t="n"/>
      <c r="L2016" s="83" t="n"/>
      <c r="M2016" s="83" t="n"/>
      <c r="O2016" s="84" t="str">
        <f>IF($C2016="","",IFERROR(MATCH($B2016&amp;"|"&amp;$C2016,MUROS!$AX$11:$AX$70,0),0))</f>
        <v/>
      </c>
      <c r="P2016" s="84" t="str">
        <f>IF($D2016="","",IF(ISNUMBER(MATCH($D2016,CMB_S,0)),1,IF(ISNUMBER(MATCH($D2016,CMB_G,0)),2,0)))</f>
        <v/>
      </c>
      <c r="Q2016" s="84">
        <f>IF(ISNUMBER($H2016),-$H2016,0)</f>
        <v>0</v>
      </c>
      <c r="R2016" s="84">
        <f>IF(ISNUMBER($I2016),ABS($I2016),0)</f>
        <v>0</v>
      </c>
      <c r="S2016" s="84">
        <f>IF(ISNUMBER($M2016),ABS($M2016),0)</f>
        <v>0</v>
      </c>
      <c r="T2016" s="85" t="n">
        <v>2008</v>
      </c>
    </row>
    <row r="2017">
      <c r="B2017" s="83" t="n"/>
      <c r="C2017" s="83" t="n"/>
      <c r="D2017" s="83" t="n"/>
      <c r="E2017" s="83" t="n"/>
      <c r="F2017" s="83" t="n"/>
      <c r="G2017" s="83" t="n"/>
      <c r="H2017" s="83" t="n"/>
      <c r="I2017" s="83" t="n"/>
      <c r="J2017" s="83" t="n"/>
      <c r="K2017" s="83" t="n"/>
      <c r="L2017" s="83" t="n"/>
      <c r="M2017" s="83" t="n"/>
      <c r="O2017" s="84" t="str">
        <f>IF($C2017="","",IFERROR(MATCH($B2017&amp;"|"&amp;$C2017,MUROS!$AX$11:$AX$70,0),0))</f>
        <v/>
      </c>
      <c r="P2017" s="84" t="str">
        <f>IF($D2017="","",IF(ISNUMBER(MATCH($D2017,CMB_S,0)),1,IF(ISNUMBER(MATCH($D2017,CMB_G,0)),2,0)))</f>
        <v/>
      </c>
      <c r="Q2017" s="84">
        <f>IF(ISNUMBER($H2017),-$H2017,0)</f>
        <v>0</v>
      </c>
      <c r="R2017" s="84">
        <f>IF(ISNUMBER($I2017),ABS($I2017),0)</f>
        <v>0</v>
      </c>
      <c r="S2017" s="84">
        <f>IF(ISNUMBER($M2017),ABS($M2017),0)</f>
        <v>0</v>
      </c>
      <c r="T2017" s="85" t="n">
        <v>2009</v>
      </c>
    </row>
    <row r="2018">
      <c r="B2018" s="83" t="n"/>
      <c r="C2018" s="83" t="n"/>
      <c r="D2018" s="83" t="n"/>
      <c r="E2018" s="83" t="n"/>
      <c r="F2018" s="83" t="n"/>
      <c r="G2018" s="83" t="n"/>
      <c r="H2018" s="83" t="n"/>
      <c r="I2018" s="83" t="n"/>
      <c r="J2018" s="83" t="n"/>
      <c r="K2018" s="83" t="n"/>
      <c r="L2018" s="83" t="n"/>
      <c r="M2018" s="83" t="n"/>
      <c r="O2018" s="84" t="str">
        <f>IF($C2018="","",IFERROR(MATCH($B2018&amp;"|"&amp;$C2018,MUROS!$AX$11:$AX$70,0),0))</f>
        <v/>
      </c>
      <c r="P2018" s="84" t="str">
        <f>IF($D2018="","",IF(ISNUMBER(MATCH($D2018,CMB_S,0)),1,IF(ISNUMBER(MATCH($D2018,CMB_G,0)),2,0)))</f>
        <v/>
      </c>
      <c r="Q2018" s="84">
        <f>IF(ISNUMBER($H2018),-$H2018,0)</f>
        <v>0</v>
      </c>
      <c r="R2018" s="84">
        <f>IF(ISNUMBER($I2018),ABS($I2018),0)</f>
        <v>0</v>
      </c>
      <c r="S2018" s="84">
        <f>IF(ISNUMBER($M2018),ABS($M2018),0)</f>
        <v>0</v>
      </c>
      <c r="T2018" s="85" t="n">
        <v>2010</v>
      </c>
    </row>
    <row r="2019">
      <c r="B2019" s="83" t="n"/>
      <c r="C2019" s="83" t="n"/>
      <c r="D2019" s="83" t="n"/>
      <c r="E2019" s="83" t="n"/>
      <c r="F2019" s="83" t="n"/>
      <c r="G2019" s="83" t="n"/>
      <c r="H2019" s="83" t="n"/>
      <c r="I2019" s="83" t="n"/>
      <c r="J2019" s="83" t="n"/>
      <c r="K2019" s="83" t="n"/>
      <c r="L2019" s="83" t="n"/>
      <c r="M2019" s="83" t="n"/>
      <c r="O2019" s="84" t="str">
        <f>IF($C2019="","",IFERROR(MATCH($B2019&amp;"|"&amp;$C2019,MUROS!$AX$11:$AX$70,0),0))</f>
        <v/>
      </c>
      <c r="P2019" s="84" t="str">
        <f>IF($D2019="","",IF(ISNUMBER(MATCH($D2019,CMB_S,0)),1,IF(ISNUMBER(MATCH($D2019,CMB_G,0)),2,0)))</f>
        <v/>
      </c>
      <c r="Q2019" s="84">
        <f>IF(ISNUMBER($H2019),-$H2019,0)</f>
        <v>0</v>
      </c>
      <c r="R2019" s="84">
        <f>IF(ISNUMBER($I2019),ABS($I2019),0)</f>
        <v>0</v>
      </c>
      <c r="S2019" s="84">
        <f>IF(ISNUMBER($M2019),ABS($M2019),0)</f>
        <v>0</v>
      </c>
      <c r="T2019" s="85" t="n">
        <v>2011</v>
      </c>
    </row>
    <row r="2020">
      <c r="B2020" s="83" t="n"/>
      <c r="C2020" s="83" t="n"/>
      <c r="D2020" s="83" t="n"/>
      <c r="E2020" s="83" t="n"/>
      <c r="F2020" s="83" t="n"/>
      <c r="G2020" s="83" t="n"/>
      <c r="H2020" s="83" t="n"/>
      <c r="I2020" s="83" t="n"/>
      <c r="J2020" s="83" t="n"/>
      <c r="K2020" s="83" t="n"/>
      <c r="L2020" s="83" t="n"/>
      <c r="M2020" s="83" t="n"/>
      <c r="O2020" s="84" t="str">
        <f>IF($C2020="","",IFERROR(MATCH($B2020&amp;"|"&amp;$C2020,MUROS!$AX$11:$AX$70,0),0))</f>
        <v/>
      </c>
      <c r="P2020" s="84" t="str">
        <f>IF($D2020="","",IF(ISNUMBER(MATCH($D2020,CMB_S,0)),1,IF(ISNUMBER(MATCH($D2020,CMB_G,0)),2,0)))</f>
        <v/>
      </c>
      <c r="Q2020" s="84">
        <f>IF(ISNUMBER($H2020),-$H2020,0)</f>
        <v>0</v>
      </c>
      <c r="R2020" s="84">
        <f>IF(ISNUMBER($I2020),ABS($I2020),0)</f>
        <v>0</v>
      </c>
      <c r="S2020" s="84">
        <f>IF(ISNUMBER($M2020),ABS($M2020),0)</f>
        <v>0</v>
      </c>
      <c r="T2020" s="85" t="n">
        <v>2012</v>
      </c>
    </row>
    <row r="2021">
      <c r="B2021" s="83" t="n"/>
      <c r="C2021" s="83" t="n"/>
      <c r="D2021" s="83" t="n"/>
      <c r="E2021" s="83" t="n"/>
      <c r="F2021" s="83" t="n"/>
      <c r="G2021" s="83" t="n"/>
      <c r="H2021" s="83" t="n"/>
      <c r="I2021" s="83" t="n"/>
      <c r="J2021" s="83" t="n"/>
      <c r="K2021" s="83" t="n"/>
      <c r="L2021" s="83" t="n"/>
      <c r="M2021" s="83" t="n"/>
      <c r="O2021" s="84" t="str">
        <f>IF($C2021="","",IFERROR(MATCH($B2021&amp;"|"&amp;$C2021,MUROS!$AX$11:$AX$70,0),0))</f>
        <v/>
      </c>
      <c r="P2021" s="84" t="str">
        <f>IF($D2021="","",IF(ISNUMBER(MATCH($D2021,CMB_S,0)),1,IF(ISNUMBER(MATCH($D2021,CMB_G,0)),2,0)))</f>
        <v/>
      </c>
      <c r="Q2021" s="84">
        <f>IF(ISNUMBER($H2021),-$H2021,0)</f>
        <v>0</v>
      </c>
      <c r="R2021" s="84">
        <f>IF(ISNUMBER($I2021),ABS($I2021),0)</f>
        <v>0</v>
      </c>
      <c r="S2021" s="84">
        <f>IF(ISNUMBER($M2021),ABS($M2021),0)</f>
        <v>0</v>
      </c>
      <c r="T2021" s="85" t="n">
        <v>2013</v>
      </c>
    </row>
    <row r="2022">
      <c r="B2022" s="83" t="n"/>
      <c r="C2022" s="83" t="n"/>
      <c r="D2022" s="83" t="n"/>
      <c r="E2022" s="83" t="n"/>
      <c r="F2022" s="83" t="n"/>
      <c r="G2022" s="83" t="n"/>
      <c r="H2022" s="83" t="n"/>
      <c r="I2022" s="83" t="n"/>
      <c r="J2022" s="83" t="n"/>
      <c r="K2022" s="83" t="n"/>
      <c r="L2022" s="83" t="n"/>
      <c r="M2022" s="83" t="n"/>
      <c r="O2022" s="84" t="str">
        <f>IF($C2022="","",IFERROR(MATCH($B2022&amp;"|"&amp;$C2022,MUROS!$AX$11:$AX$70,0),0))</f>
        <v/>
      </c>
      <c r="P2022" s="84" t="str">
        <f>IF($D2022="","",IF(ISNUMBER(MATCH($D2022,CMB_S,0)),1,IF(ISNUMBER(MATCH($D2022,CMB_G,0)),2,0)))</f>
        <v/>
      </c>
      <c r="Q2022" s="84">
        <f>IF(ISNUMBER($H2022),-$H2022,0)</f>
        <v>0</v>
      </c>
      <c r="R2022" s="84">
        <f>IF(ISNUMBER($I2022),ABS($I2022),0)</f>
        <v>0</v>
      </c>
      <c r="S2022" s="84">
        <f>IF(ISNUMBER($M2022),ABS($M2022),0)</f>
        <v>0</v>
      </c>
      <c r="T2022" s="85" t="n">
        <v>2014</v>
      </c>
    </row>
    <row r="2023">
      <c r="B2023" s="83" t="n"/>
      <c r="C2023" s="83" t="n"/>
      <c r="D2023" s="83" t="n"/>
      <c r="E2023" s="83" t="n"/>
      <c r="F2023" s="83" t="n"/>
      <c r="G2023" s="83" t="n"/>
      <c r="H2023" s="83" t="n"/>
      <c r="I2023" s="83" t="n"/>
      <c r="J2023" s="83" t="n"/>
      <c r="K2023" s="83" t="n"/>
      <c r="L2023" s="83" t="n"/>
      <c r="M2023" s="83" t="n"/>
      <c r="O2023" s="84" t="str">
        <f>IF($C2023="","",IFERROR(MATCH($B2023&amp;"|"&amp;$C2023,MUROS!$AX$11:$AX$70,0),0))</f>
        <v/>
      </c>
      <c r="P2023" s="84" t="str">
        <f>IF($D2023="","",IF(ISNUMBER(MATCH($D2023,CMB_S,0)),1,IF(ISNUMBER(MATCH($D2023,CMB_G,0)),2,0)))</f>
        <v/>
      </c>
      <c r="Q2023" s="84">
        <f>IF(ISNUMBER($H2023),-$H2023,0)</f>
        <v>0</v>
      </c>
      <c r="R2023" s="84">
        <f>IF(ISNUMBER($I2023),ABS($I2023),0)</f>
        <v>0</v>
      </c>
      <c r="S2023" s="84">
        <f>IF(ISNUMBER($M2023),ABS($M2023),0)</f>
        <v>0</v>
      </c>
      <c r="T2023" s="85" t="n">
        <v>2015</v>
      </c>
    </row>
    <row r="2024">
      <c r="B2024" s="83" t="n"/>
      <c r="C2024" s="83" t="n"/>
      <c r="D2024" s="83" t="n"/>
      <c r="E2024" s="83" t="n"/>
      <c r="F2024" s="83" t="n"/>
      <c r="G2024" s="83" t="n"/>
      <c r="H2024" s="83" t="n"/>
      <c r="I2024" s="83" t="n"/>
      <c r="J2024" s="83" t="n"/>
      <c r="K2024" s="83" t="n"/>
      <c r="L2024" s="83" t="n"/>
      <c r="M2024" s="83" t="n"/>
      <c r="O2024" s="84" t="str">
        <f>IF($C2024="","",IFERROR(MATCH($B2024&amp;"|"&amp;$C2024,MUROS!$AX$11:$AX$70,0),0))</f>
        <v/>
      </c>
      <c r="P2024" s="84" t="str">
        <f>IF($D2024="","",IF(ISNUMBER(MATCH($D2024,CMB_S,0)),1,IF(ISNUMBER(MATCH($D2024,CMB_G,0)),2,0)))</f>
        <v/>
      </c>
      <c r="Q2024" s="84">
        <f>IF(ISNUMBER($H2024),-$H2024,0)</f>
        <v>0</v>
      </c>
      <c r="R2024" s="84">
        <f>IF(ISNUMBER($I2024),ABS($I2024),0)</f>
        <v>0</v>
      </c>
      <c r="S2024" s="84">
        <f>IF(ISNUMBER($M2024),ABS($M2024),0)</f>
        <v>0</v>
      </c>
      <c r="T2024" s="85" t="n">
        <v>2016</v>
      </c>
    </row>
    <row r="2025">
      <c r="B2025" s="83" t="n"/>
      <c r="C2025" s="83" t="n"/>
      <c r="D2025" s="83" t="n"/>
      <c r="E2025" s="83" t="n"/>
      <c r="F2025" s="83" t="n"/>
      <c r="G2025" s="83" t="n"/>
      <c r="H2025" s="83" t="n"/>
      <c r="I2025" s="83" t="n"/>
      <c r="J2025" s="83" t="n"/>
      <c r="K2025" s="83" t="n"/>
      <c r="L2025" s="83" t="n"/>
      <c r="M2025" s="83" t="n"/>
      <c r="O2025" s="84" t="str">
        <f>IF($C2025="","",IFERROR(MATCH($B2025&amp;"|"&amp;$C2025,MUROS!$AX$11:$AX$70,0),0))</f>
        <v/>
      </c>
      <c r="P2025" s="84" t="str">
        <f>IF($D2025="","",IF(ISNUMBER(MATCH($D2025,CMB_S,0)),1,IF(ISNUMBER(MATCH($D2025,CMB_G,0)),2,0)))</f>
        <v/>
      </c>
      <c r="Q2025" s="84">
        <f>IF(ISNUMBER($H2025),-$H2025,0)</f>
        <v>0</v>
      </c>
      <c r="R2025" s="84">
        <f>IF(ISNUMBER($I2025),ABS($I2025),0)</f>
        <v>0</v>
      </c>
      <c r="S2025" s="84">
        <f>IF(ISNUMBER($M2025),ABS($M2025),0)</f>
        <v>0</v>
      </c>
      <c r="T2025" s="85" t="n">
        <v>2017</v>
      </c>
    </row>
    <row r="2026">
      <c r="B2026" s="83" t="n"/>
      <c r="C2026" s="83" t="n"/>
      <c r="D2026" s="83" t="n"/>
      <c r="E2026" s="83" t="n"/>
      <c r="F2026" s="83" t="n"/>
      <c r="G2026" s="83" t="n"/>
      <c r="H2026" s="83" t="n"/>
      <c r="I2026" s="83" t="n"/>
      <c r="J2026" s="83" t="n"/>
      <c r="K2026" s="83" t="n"/>
      <c r="L2026" s="83" t="n"/>
      <c r="M2026" s="83" t="n"/>
      <c r="O2026" s="84" t="str">
        <f>IF($C2026="","",IFERROR(MATCH($B2026&amp;"|"&amp;$C2026,MUROS!$AX$11:$AX$70,0),0))</f>
        <v/>
      </c>
      <c r="P2026" s="84" t="str">
        <f>IF($D2026="","",IF(ISNUMBER(MATCH($D2026,CMB_S,0)),1,IF(ISNUMBER(MATCH($D2026,CMB_G,0)),2,0)))</f>
        <v/>
      </c>
      <c r="Q2026" s="84">
        <f>IF(ISNUMBER($H2026),-$H2026,0)</f>
        <v>0</v>
      </c>
      <c r="R2026" s="84">
        <f>IF(ISNUMBER($I2026),ABS($I2026),0)</f>
        <v>0</v>
      </c>
      <c r="S2026" s="84">
        <f>IF(ISNUMBER($M2026),ABS($M2026),0)</f>
        <v>0</v>
      </c>
      <c r="T2026" s="85" t="n">
        <v>2018</v>
      </c>
    </row>
    <row r="2027">
      <c r="B2027" s="83" t="n"/>
      <c r="C2027" s="83" t="n"/>
      <c r="D2027" s="83" t="n"/>
      <c r="E2027" s="83" t="n"/>
      <c r="F2027" s="83" t="n"/>
      <c r="G2027" s="83" t="n"/>
      <c r="H2027" s="83" t="n"/>
      <c r="I2027" s="83" t="n"/>
      <c r="J2027" s="83" t="n"/>
      <c r="K2027" s="83" t="n"/>
      <c r="L2027" s="83" t="n"/>
      <c r="M2027" s="83" t="n"/>
      <c r="O2027" s="84" t="str">
        <f>IF($C2027="","",IFERROR(MATCH($B2027&amp;"|"&amp;$C2027,MUROS!$AX$11:$AX$70,0),0))</f>
        <v/>
      </c>
      <c r="P2027" s="84" t="str">
        <f>IF($D2027="","",IF(ISNUMBER(MATCH($D2027,CMB_S,0)),1,IF(ISNUMBER(MATCH($D2027,CMB_G,0)),2,0)))</f>
        <v/>
      </c>
      <c r="Q2027" s="84">
        <f>IF(ISNUMBER($H2027),-$H2027,0)</f>
        <v>0</v>
      </c>
      <c r="R2027" s="84">
        <f>IF(ISNUMBER($I2027),ABS($I2027),0)</f>
        <v>0</v>
      </c>
      <c r="S2027" s="84">
        <f>IF(ISNUMBER($M2027),ABS($M2027),0)</f>
        <v>0</v>
      </c>
      <c r="T2027" s="85" t="n">
        <v>2019</v>
      </c>
    </row>
    <row r="2028">
      <c r="B2028" s="83" t="n"/>
      <c r="C2028" s="83" t="n"/>
      <c r="D2028" s="83" t="n"/>
      <c r="E2028" s="83" t="n"/>
      <c r="F2028" s="83" t="n"/>
      <c r="G2028" s="83" t="n"/>
      <c r="H2028" s="83" t="n"/>
      <c r="I2028" s="83" t="n"/>
      <c r="J2028" s="83" t="n"/>
      <c r="K2028" s="83" t="n"/>
      <c r="L2028" s="83" t="n"/>
      <c r="M2028" s="83" t="n"/>
      <c r="O2028" s="84" t="str">
        <f>IF($C2028="","",IFERROR(MATCH($B2028&amp;"|"&amp;$C2028,MUROS!$AX$11:$AX$70,0),0))</f>
        <v/>
      </c>
      <c r="P2028" s="84" t="str">
        <f>IF($D2028="","",IF(ISNUMBER(MATCH($D2028,CMB_S,0)),1,IF(ISNUMBER(MATCH($D2028,CMB_G,0)),2,0)))</f>
        <v/>
      </c>
      <c r="Q2028" s="84">
        <f>IF(ISNUMBER($H2028),-$H2028,0)</f>
        <v>0</v>
      </c>
      <c r="R2028" s="84">
        <f>IF(ISNUMBER($I2028),ABS($I2028),0)</f>
        <v>0</v>
      </c>
      <c r="S2028" s="84">
        <f>IF(ISNUMBER($M2028),ABS($M2028),0)</f>
        <v>0</v>
      </c>
      <c r="T2028" s="85" t="n">
        <v>2020</v>
      </c>
    </row>
    <row r="2029">
      <c r="B2029" s="83" t="n"/>
      <c r="C2029" s="83" t="n"/>
      <c r="D2029" s="83" t="n"/>
      <c r="E2029" s="83" t="n"/>
      <c r="F2029" s="83" t="n"/>
      <c r="G2029" s="83" t="n"/>
      <c r="H2029" s="83" t="n"/>
      <c r="I2029" s="83" t="n"/>
      <c r="J2029" s="83" t="n"/>
      <c r="K2029" s="83" t="n"/>
      <c r="L2029" s="83" t="n"/>
      <c r="M2029" s="83" t="n"/>
      <c r="O2029" s="84" t="str">
        <f>IF($C2029="","",IFERROR(MATCH($B2029&amp;"|"&amp;$C2029,MUROS!$AX$11:$AX$70,0),0))</f>
        <v/>
      </c>
      <c r="P2029" s="84" t="str">
        <f>IF($D2029="","",IF(ISNUMBER(MATCH($D2029,CMB_S,0)),1,IF(ISNUMBER(MATCH($D2029,CMB_G,0)),2,0)))</f>
        <v/>
      </c>
      <c r="Q2029" s="84">
        <f>IF(ISNUMBER($H2029),-$H2029,0)</f>
        <v>0</v>
      </c>
      <c r="R2029" s="84">
        <f>IF(ISNUMBER($I2029),ABS($I2029),0)</f>
        <v>0</v>
      </c>
      <c r="S2029" s="84">
        <f>IF(ISNUMBER($M2029),ABS($M2029),0)</f>
        <v>0</v>
      </c>
      <c r="T2029" s="85" t="n">
        <v>2021</v>
      </c>
    </row>
    <row r="2030">
      <c r="B2030" s="83" t="n"/>
      <c r="C2030" s="83" t="n"/>
      <c r="D2030" s="83" t="n"/>
      <c r="E2030" s="83" t="n"/>
      <c r="F2030" s="83" t="n"/>
      <c r="G2030" s="83" t="n"/>
      <c r="H2030" s="83" t="n"/>
      <c r="I2030" s="83" t="n"/>
      <c r="J2030" s="83" t="n"/>
      <c r="K2030" s="83" t="n"/>
      <c r="L2030" s="83" t="n"/>
      <c r="M2030" s="83" t="n"/>
      <c r="O2030" s="84" t="str">
        <f>IF($C2030="","",IFERROR(MATCH($B2030&amp;"|"&amp;$C2030,MUROS!$AX$11:$AX$70,0),0))</f>
        <v/>
      </c>
      <c r="P2030" s="84" t="str">
        <f>IF($D2030="","",IF(ISNUMBER(MATCH($D2030,CMB_S,0)),1,IF(ISNUMBER(MATCH($D2030,CMB_G,0)),2,0)))</f>
        <v/>
      </c>
      <c r="Q2030" s="84">
        <f>IF(ISNUMBER($H2030),-$H2030,0)</f>
        <v>0</v>
      </c>
      <c r="R2030" s="84">
        <f>IF(ISNUMBER($I2030),ABS($I2030),0)</f>
        <v>0</v>
      </c>
      <c r="S2030" s="84">
        <f>IF(ISNUMBER($M2030),ABS($M2030),0)</f>
        <v>0</v>
      </c>
      <c r="T2030" s="85" t="n">
        <v>2022</v>
      </c>
    </row>
    <row r="2031">
      <c r="B2031" s="83" t="n"/>
      <c r="C2031" s="83" t="n"/>
      <c r="D2031" s="83" t="n"/>
      <c r="E2031" s="83" t="n"/>
      <c r="F2031" s="83" t="n"/>
      <c r="G2031" s="83" t="n"/>
      <c r="H2031" s="83" t="n"/>
      <c r="I2031" s="83" t="n"/>
      <c r="J2031" s="83" t="n"/>
      <c r="K2031" s="83" t="n"/>
      <c r="L2031" s="83" t="n"/>
      <c r="M2031" s="83" t="n"/>
      <c r="O2031" s="84" t="str">
        <f>IF($C2031="","",IFERROR(MATCH($B2031&amp;"|"&amp;$C2031,MUROS!$AX$11:$AX$70,0),0))</f>
        <v/>
      </c>
      <c r="P2031" s="84" t="str">
        <f>IF($D2031="","",IF(ISNUMBER(MATCH($D2031,CMB_S,0)),1,IF(ISNUMBER(MATCH($D2031,CMB_G,0)),2,0)))</f>
        <v/>
      </c>
      <c r="Q2031" s="84">
        <f>IF(ISNUMBER($H2031),-$H2031,0)</f>
        <v>0</v>
      </c>
      <c r="R2031" s="84">
        <f>IF(ISNUMBER($I2031),ABS($I2031),0)</f>
        <v>0</v>
      </c>
      <c r="S2031" s="84">
        <f>IF(ISNUMBER($M2031),ABS($M2031),0)</f>
        <v>0</v>
      </c>
      <c r="T2031" s="85" t="n">
        <v>2023</v>
      </c>
    </row>
    <row r="2032">
      <c r="B2032" s="83" t="n"/>
      <c r="C2032" s="83" t="n"/>
      <c r="D2032" s="83" t="n"/>
      <c r="E2032" s="83" t="n"/>
      <c r="F2032" s="83" t="n"/>
      <c r="G2032" s="83" t="n"/>
      <c r="H2032" s="83" t="n"/>
      <c r="I2032" s="83" t="n"/>
      <c r="J2032" s="83" t="n"/>
      <c r="K2032" s="83" t="n"/>
      <c r="L2032" s="83" t="n"/>
      <c r="M2032" s="83" t="n"/>
      <c r="O2032" s="84" t="str">
        <f>IF($C2032="","",IFERROR(MATCH($B2032&amp;"|"&amp;$C2032,MUROS!$AX$11:$AX$70,0),0))</f>
        <v/>
      </c>
      <c r="P2032" s="84" t="str">
        <f>IF($D2032="","",IF(ISNUMBER(MATCH($D2032,CMB_S,0)),1,IF(ISNUMBER(MATCH($D2032,CMB_G,0)),2,0)))</f>
        <v/>
      </c>
      <c r="Q2032" s="84">
        <f>IF(ISNUMBER($H2032),-$H2032,0)</f>
        <v>0</v>
      </c>
      <c r="R2032" s="84">
        <f>IF(ISNUMBER($I2032),ABS($I2032),0)</f>
        <v>0</v>
      </c>
      <c r="S2032" s="84">
        <f>IF(ISNUMBER($M2032),ABS($M2032),0)</f>
        <v>0</v>
      </c>
      <c r="T2032" s="85" t="n">
        <v>2024</v>
      </c>
    </row>
    <row r="2033">
      <c r="B2033" s="83" t="n"/>
      <c r="C2033" s="83" t="n"/>
      <c r="D2033" s="83" t="n"/>
      <c r="E2033" s="83" t="n"/>
      <c r="F2033" s="83" t="n"/>
      <c r="G2033" s="83" t="n"/>
      <c r="H2033" s="83" t="n"/>
      <c r="I2033" s="83" t="n"/>
      <c r="J2033" s="83" t="n"/>
      <c r="K2033" s="83" t="n"/>
      <c r="L2033" s="83" t="n"/>
      <c r="M2033" s="83" t="n"/>
      <c r="O2033" s="84" t="str">
        <f>IF($C2033="","",IFERROR(MATCH($B2033&amp;"|"&amp;$C2033,MUROS!$AX$11:$AX$70,0),0))</f>
        <v/>
      </c>
      <c r="P2033" s="84" t="str">
        <f>IF($D2033="","",IF(ISNUMBER(MATCH($D2033,CMB_S,0)),1,IF(ISNUMBER(MATCH($D2033,CMB_G,0)),2,0)))</f>
        <v/>
      </c>
      <c r="Q2033" s="84">
        <f>IF(ISNUMBER($H2033),-$H2033,0)</f>
        <v>0</v>
      </c>
      <c r="R2033" s="84">
        <f>IF(ISNUMBER($I2033),ABS($I2033),0)</f>
        <v>0</v>
      </c>
      <c r="S2033" s="84">
        <f>IF(ISNUMBER($M2033),ABS($M2033),0)</f>
        <v>0</v>
      </c>
      <c r="T2033" s="85" t="n">
        <v>2025</v>
      </c>
    </row>
    <row r="2034">
      <c r="B2034" s="83" t="n"/>
      <c r="C2034" s="83" t="n"/>
      <c r="D2034" s="83" t="n"/>
      <c r="E2034" s="83" t="n"/>
      <c r="F2034" s="83" t="n"/>
      <c r="G2034" s="83" t="n"/>
      <c r="H2034" s="83" t="n"/>
      <c r="I2034" s="83" t="n"/>
      <c r="J2034" s="83" t="n"/>
      <c r="K2034" s="83" t="n"/>
      <c r="L2034" s="83" t="n"/>
      <c r="M2034" s="83" t="n"/>
      <c r="O2034" s="84" t="str">
        <f>IF($C2034="","",IFERROR(MATCH($B2034&amp;"|"&amp;$C2034,MUROS!$AX$11:$AX$70,0),0))</f>
        <v/>
      </c>
      <c r="P2034" s="84" t="str">
        <f>IF($D2034="","",IF(ISNUMBER(MATCH($D2034,CMB_S,0)),1,IF(ISNUMBER(MATCH($D2034,CMB_G,0)),2,0)))</f>
        <v/>
      </c>
      <c r="Q2034" s="84">
        <f>IF(ISNUMBER($H2034),-$H2034,0)</f>
        <v>0</v>
      </c>
      <c r="R2034" s="84">
        <f>IF(ISNUMBER($I2034),ABS($I2034),0)</f>
        <v>0</v>
      </c>
      <c r="S2034" s="84">
        <f>IF(ISNUMBER($M2034),ABS($M2034),0)</f>
        <v>0</v>
      </c>
      <c r="T2034" s="85" t="n">
        <v>2026</v>
      </c>
    </row>
    <row r="2035">
      <c r="B2035" s="83" t="n"/>
      <c r="C2035" s="83" t="n"/>
      <c r="D2035" s="83" t="n"/>
      <c r="E2035" s="83" t="n"/>
      <c r="F2035" s="83" t="n"/>
      <c r="G2035" s="83" t="n"/>
      <c r="H2035" s="83" t="n"/>
      <c r="I2035" s="83" t="n"/>
      <c r="J2035" s="83" t="n"/>
      <c r="K2035" s="83" t="n"/>
      <c r="L2035" s="83" t="n"/>
      <c r="M2035" s="83" t="n"/>
      <c r="O2035" s="84" t="str">
        <f>IF($C2035="","",IFERROR(MATCH($B2035&amp;"|"&amp;$C2035,MUROS!$AX$11:$AX$70,0),0))</f>
        <v/>
      </c>
      <c r="P2035" s="84" t="str">
        <f>IF($D2035="","",IF(ISNUMBER(MATCH($D2035,CMB_S,0)),1,IF(ISNUMBER(MATCH($D2035,CMB_G,0)),2,0)))</f>
        <v/>
      </c>
      <c r="Q2035" s="84">
        <f>IF(ISNUMBER($H2035),-$H2035,0)</f>
        <v>0</v>
      </c>
      <c r="R2035" s="84">
        <f>IF(ISNUMBER($I2035),ABS($I2035),0)</f>
        <v>0</v>
      </c>
      <c r="S2035" s="84">
        <f>IF(ISNUMBER($M2035),ABS($M2035),0)</f>
        <v>0</v>
      </c>
      <c r="T2035" s="85" t="n">
        <v>2027</v>
      </c>
    </row>
    <row r="2036">
      <c r="B2036" s="83" t="n"/>
      <c r="C2036" s="83" t="n"/>
      <c r="D2036" s="83" t="n"/>
      <c r="E2036" s="83" t="n"/>
      <c r="F2036" s="83" t="n"/>
      <c r="G2036" s="83" t="n"/>
      <c r="H2036" s="83" t="n"/>
      <c r="I2036" s="83" t="n"/>
      <c r="J2036" s="83" t="n"/>
      <c r="K2036" s="83" t="n"/>
      <c r="L2036" s="83" t="n"/>
      <c r="M2036" s="83" t="n"/>
      <c r="O2036" s="84" t="str">
        <f>IF($C2036="","",IFERROR(MATCH($B2036&amp;"|"&amp;$C2036,MUROS!$AX$11:$AX$70,0),0))</f>
        <v/>
      </c>
      <c r="P2036" s="84" t="str">
        <f>IF($D2036="","",IF(ISNUMBER(MATCH($D2036,CMB_S,0)),1,IF(ISNUMBER(MATCH($D2036,CMB_G,0)),2,0)))</f>
        <v/>
      </c>
      <c r="Q2036" s="84">
        <f>IF(ISNUMBER($H2036),-$H2036,0)</f>
        <v>0</v>
      </c>
      <c r="R2036" s="84">
        <f>IF(ISNUMBER($I2036),ABS($I2036),0)</f>
        <v>0</v>
      </c>
      <c r="S2036" s="84">
        <f>IF(ISNUMBER($M2036),ABS($M2036),0)</f>
        <v>0</v>
      </c>
      <c r="T2036" s="85" t="n">
        <v>2028</v>
      </c>
    </row>
    <row r="2037">
      <c r="B2037" s="83" t="n"/>
      <c r="C2037" s="83" t="n"/>
      <c r="D2037" s="83" t="n"/>
      <c r="E2037" s="83" t="n"/>
      <c r="F2037" s="83" t="n"/>
      <c r="G2037" s="83" t="n"/>
      <c r="H2037" s="83" t="n"/>
      <c r="I2037" s="83" t="n"/>
      <c r="J2037" s="83" t="n"/>
      <c r="K2037" s="83" t="n"/>
      <c r="L2037" s="83" t="n"/>
      <c r="M2037" s="83" t="n"/>
      <c r="O2037" s="84" t="str">
        <f>IF($C2037="","",IFERROR(MATCH($B2037&amp;"|"&amp;$C2037,MUROS!$AX$11:$AX$70,0),0))</f>
        <v/>
      </c>
      <c r="P2037" s="84" t="str">
        <f>IF($D2037="","",IF(ISNUMBER(MATCH($D2037,CMB_S,0)),1,IF(ISNUMBER(MATCH($D2037,CMB_G,0)),2,0)))</f>
        <v/>
      </c>
      <c r="Q2037" s="84">
        <f>IF(ISNUMBER($H2037),-$H2037,0)</f>
        <v>0</v>
      </c>
      <c r="R2037" s="84">
        <f>IF(ISNUMBER($I2037),ABS($I2037),0)</f>
        <v>0</v>
      </c>
      <c r="S2037" s="84">
        <f>IF(ISNUMBER($M2037),ABS($M2037),0)</f>
        <v>0</v>
      </c>
      <c r="T2037" s="85" t="n">
        <v>2029</v>
      </c>
    </row>
    <row r="2038">
      <c r="B2038" s="83" t="n"/>
      <c r="C2038" s="83" t="n"/>
      <c r="D2038" s="83" t="n"/>
      <c r="E2038" s="83" t="n"/>
      <c r="F2038" s="83" t="n"/>
      <c r="G2038" s="83" t="n"/>
      <c r="H2038" s="83" t="n"/>
      <c r="I2038" s="83" t="n"/>
      <c r="J2038" s="83" t="n"/>
      <c r="K2038" s="83" t="n"/>
      <c r="L2038" s="83" t="n"/>
      <c r="M2038" s="83" t="n"/>
      <c r="O2038" s="84" t="str">
        <f>IF($C2038="","",IFERROR(MATCH($B2038&amp;"|"&amp;$C2038,MUROS!$AX$11:$AX$70,0),0))</f>
        <v/>
      </c>
      <c r="P2038" s="84" t="str">
        <f>IF($D2038="","",IF(ISNUMBER(MATCH($D2038,CMB_S,0)),1,IF(ISNUMBER(MATCH($D2038,CMB_G,0)),2,0)))</f>
        <v/>
      </c>
      <c r="Q2038" s="84">
        <f>IF(ISNUMBER($H2038),-$H2038,0)</f>
        <v>0</v>
      </c>
      <c r="R2038" s="84">
        <f>IF(ISNUMBER($I2038),ABS($I2038),0)</f>
        <v>0</v>
      </c>
      <c r="S2038" s="84">
        <f>IF(ISNUMBER($M2038),ABS($M2038),0)</f>
        <v>0</v>
      </c>
      <c r="T2038" s="85" t="n">
        <v>2030</v>
      </c>
    </row>
    <row r="2039">
      <c r="B2039" s="83" t="n"/>
      <c r="C2039" s="83" t="n"/>
      <c r="D2039" s="83" t="n"/>
      <c r="E2039" s="83" t="n"/>
      <c r="F2039" s="83" t="n"/>
      <c r="G2039" s="83" t="n"/>
      <c r="H2039" s="83" t="n"/>
      <c r="I2039" s="83" t="n"/>
      <c r="J2039" s="83" t="n"/>
      <c r="K2039" s="83" t="n"/>
      <c r="L2039" s="83" t="n"/>
      <c r="M2039" s="83" t="n"/>
      <c r="O2039" s="84" t="str">
        <f>IF($C2039="","",IFERROR(MATCH($B2039&amp;"|"&amp;$C2039,MUROS!$AX$11:$AX$70,0),0))</f>
        <v/>
      </c>
      <c r="P2039" s="84" t="str">
        <f>IF($D2039="","",IF(ISNUMBER(MATCH($D2039,CMB_S,0)),1,IF(ISNUMBER(MATCH($D2039,CMB_G,0)),2,0)))</f>
        <v/>
      </c>
      <c r="Q2039" s="84">
        <f>IF(ISNUMBER($H2039),-$H2039,0)</f>
        <v>0</v>
      </c>
      <c r="R2039" s="84">
        <f>IF(ISNUMBER($I2039),ABS($I2039),0)</f>
        <v>0</v>
      </c>
      <c r="S2039" s="84">
        <f>IF(ISNUMBER($M2039),ABS($M2039),0)</f>
        <v>0</v>
      </c>
      <c r="T2039" s="85" t="n">
        <v>2031</v>
      </c>
    </row>
    <row r="2040">
      <c r="B2040" s="83" t="n"/>
      <c r="C2040" s="83" t="n"/>
      <c r="D2040" s="83" t="n"/>
      <c r="E2040" s="83" t="n"/>
      <c r="F2040" s="83" t="n"/>
      <c r="G2040" s="83" t="n"/>
      <c r="H2040" s="83" t="n"/>
      <c r="I2040" s="83" t="n"/>
      <c r="J2040" s="83" t="n"/>
      <c r="K2040" s="83" t="n"/>
      <c r="L2040" s="83" t="n"/>
      <c r="M2040" s="83" t="n"/>
      <c r="O2040" s="84" t="str">
        <f>IF($C2040="","",IFERROR(MATCH($B2040&amp;"|"&amp;$C2040,MUROS!$AX$11:$AX$70,0),0))</f>
        <v/>
      </c>
      <c r="P2040" s="84" t="str">
        <f>IF($D2040="","",IF(ISNUMBER(MATCH($D2040,CMB_S,0)),1,IF(ISNUMBER(MATCH($D2040,CMB_G,0)),2,0)))</f>
        <v/>
      </c>
      <c r="Q2040" s="84">
        <f>IF(ISNUMBER($H2040),-$H2040,0)</f>
        <v>0</v>
      </c>
      <c r="R2040" s="84">
        <f>IF(ISNUMBER($I2040),ABS($I2040),0)</f>
        <v>0</v>
      </c>
      <c r="S2040" s="84">
        <f>IF(ISNUMBER($M2040),ABS($M2040),0)</f>
        <v>0</v>
      </c>
      <c r="T2040" s="85" t="n">
        <v>2032</v>
      </c>
    </row>
    <row r="2041">
      <c r="B2041" s="83" t="n"/>
      <c r="C2041" s="83" t="n"/>
      <c r="D2041" s="83" t="n"/>
      <c r="E2041" s="83" t="n"/>
      <c r="F2041" s="83" t="n"/>
      <c r="G2041" s="83" t="n"/>
      <c r="H2041" s="83" t="n"/>
      <c r="I2041" s="83" t="n"/>
      <c r="J2041" s="83" t="n"/>
      <c r="K2041" s="83" t="n"/>
      <c r="L2041" s="83" t="n"/>
      <c r="M2041" s="83" t="n"/>
      <c r="O2041" s="84" t="str">
        <f>IF($C2041="","",IFERROR(MATCH($B2041&amp;"|"&amp;$C2041,MUROS!$AX$11:$AX$70,0),0))</f>
        <v/>
      </c>
      <c r="P2041" s="84" t="str">
        <f>IF($D2041="","",IF(ISNUMBER(MATCH($D2041,CMB_S,0)),1,IF(ISNUMBER(MATCH($D2041,CMB_G,0)),2,0)))</f>
        <v/>
      </c>
      <c r="Q2041" s="84">
        <f>IF(ISNUMBER($H2041),-$H2041,0)</f>
        <v>0</v>
      </c>
      <c r="R2041" s="84">
        <f>IF(ISNUMBER($I2041),ABS($I2041),0)</f>
        <v>0</v>
      </c>
      <c r="S2041" s="84">
        <f>IF(ISNUMBER($M2041),ABS($M2041),0)</f>
        <v>0</v>
      </c>
      <c r="T2041" s="85" t="n">
        <v>2033</v>
      </c>
    </row>
    <row r="2042">
      <c r="B2042" s="83" t="n"/>
      <c r="C2042" s="83" t="n"/>
      <c r="D2042" s="83" t="n"/>
      <c r="E2042" s="83" t="n"/>
      <c r="F2042" s="83" t="n"/>
      <c r="G2042" s="83" t="n"/>
      <c r="H2042" s="83" t="n"/>
      <c r="I2042" s="83" t="n"/>
      <c r="J2042" s="83" t="n"/>
      <c r="K2042" s="83" t="n"/>
      <c r="L2042" s="83" t="n"/>
      <c r="M2042" s="83" t="n"/>
      <c r="O2042" s="84" t="str">
        <f>IF($C2042="","",IFERROR(MATCH($B2042&amp;"|"&amp;$C2042,MUROS!$AX$11:$AX$70,0),0))</f>
        <v/>
      </c>
      <c r="P2042" s="84" t="str">
        <f>IF($D2042="","",IF(ISNUMBER(MATCH($D2042,CMB_S,0)),1,IF(ISNUMBER(MATCH($D2042,CMB_G,0)),2,0)))</f>
        <v/>
      </c>
      <c r="Q2042" s="84">
        <f>IF(ISNUMBER($H2042),-$H2042,0)</f>
        <v>0</v>
      </c>
      <c r="R2042" s="84">
        <f>IF(ISNUMBER($I2042),ABS($I2042),0)</f>
        <v>0</v>
      </c>
      <c r="S2042" s="84">
        <f>IF(ISNUMBER($M2042),ABS($M2042),0)</f>
        <v>0</v>
      </c>
      <c r="T2042" s="85" t="n">
        <v>2034</v>
      </c>
    </row>
    <row r="2043">
      <c r="B2043" s="83" t="n"/>
      <c r="C2043" s="83" t="n"/>
      <c r="D2043" s="83" t="n"/>
      <c r="E2043" s="83" t="n"/>
      <c r="F2043" s="83" t="n"/>
      <c r="G2043" s="83" t="n"/>
      <c r="H2043" s="83" t="n"/>
      <c r="I2043" s="83" t="n"/>
      <c r="J2043" s="83" t="n"/>
      <c r="K2043" s="83" t="n"/>
      <c r="L2043" s="83" t="n"/>
      <c r="M2043" s="83" t="n"/>
      <c r="O2043" s="84" t="str">
        <f>IF($C2043="","",IFERROR(MATCH($B2043&amp;"|"&amp;$C2043,MUROS!$AX$11:$AX$70,0),0))</f>
        <v/>
      </c>
      <c r="P2043" s="84" t="str">
        <f>IF($D2043="","",IF(ISNUMBER(MATCH($D2043,CMB_S,0)),1,IF(ISNUMBER(MATCH($D2043,CMB_G,0)),2,0)))</f>
        <v/>
      </c>
      <c r="Q2043" s="84">
        <f>IF(ISNUMBER($H2043),-$H2043,0)</f>
        <v>0</v>
      </c>
      <c r="R2043" s="84">
        <f>IF(ISNUMBER($I2043),ABS($I2043),0)</f>
        <v>0</v>
      </c>
      <c r="S2043" s="84">
        <f>IF(ISNUMBER($M2043),ABS($M2043),0)</f>
        <v>0</v>
      </c>
      <c r="T2043" s="85" t="n">
        <v>2035</v>
      </c>
    </row>
    <row r="2044">
      <c r="B2044" s="83" t="n"/>
      <c r="C2044" s="83" t="n"/>
      <c r="D2044" s="83" t="n"/>
      <c r="E2044" s="83" t="n"/>
      <c r="F2044" s="83" t="n"/>
      <c r="G2044" s="83" t="n"/>
      <c r="H2044" s="83" t="n"/>
      <c r="I2044" s="83" t="n"/>
      <c r="J2044" s="83" t="n"/>
      <c r="K2044" s="83" t="n"/>
      <c r="L2044" s="83" t="n"/>
      <c r="M2044" s="83" t="n"/>
      <c r="O2044" s="84" t="str">
        <f>IF($C2044="","",IFERROR(MATCH($B2044&amp;"|"&amp;$C2044,MUROS!$AX$11:$AX$70,0),0))</f>
        <v/>
      </c>
      <c r="P2044" s="84" t="str">
        <f>IF($D2044="","",IF(ISNUMBER(MATCH($D2044,CMB_S,0)),1,IF(ISNUMBER(MATCH($D2044,CMB_G,0)),2,0)))</f>
        <v/>
      </c>
      <c r="Q2044" s="84">
        <f>IF(ISNUMBER($H2044),-$H2044,0)</f>
        <v>0</v>
      </c>
      <c r="R2044" s="84">
        <f>IF(ISNUMBER($I2044),ABS($I2044),0)</f>
        <v>0</v>
      </c>
      <c r="S2044" s="84">
        <f>IF(ISNUMBER($M2044),ABS($M2044),0)</f>
        <v>0</v>
      </c>
      <c r="T2044" s="85" t="n">
        <v>2036</v>
      </c>
    </row>
    <row r="2045">
      <c r="B2045" s="83" t="n"/>
      <c r="C2045" s="83" t="n"/>
      <c r="D2045" s="83" t="n"/>
      <c r="E2045" s="83" t="n"/>
      <c r="F2045" s="83" t="n"/>
      <c r="G2045" s="83" t="n"/>
      <c r="H2045" s="83" t="n"/>
      <c r="I2045" s="83" t="n"/>
      <c r="J2045" s="83" t="n"/>
      <c r="K2045" s="83" t="n"/>
      <c r="L2045" s="83" t="n"/>
      <c r="M2045" s="83" t="n"/>
      <c r="O2045" s="84" t="str">
        <f>IF($C2045="","",IFERROR(MATCH($B2045&amp;"|"&amp;$C2045,MUROS!$AX$11:$AX$70,0),0))</f>
        <v/>
      </c>
      <c r="P2045" s="84" t="str">
        <f>IF($D2045="","",IF(ISNUMBER(MATCH($D2045,CMB_S,0)),1,IF(ISNUMBER(MATCH($D2045,CMB_G,0)),2,0)))</f>
        <v/>
      </c>
      <c r="Q2045" s="84">
        <f>IF(ISNUMBER($H2045),-$H2045,0)</f>
        <v>0</v>
      </c>
      <c r="R2045" s="84">
        <f>IF(ISNUMBER($I2045),ABS($I2045),0)</f>
        <v>0</v>
      </c>
      <c r="S2045" s="84">
        <f>IF(ISNUMBER($M2045),ABS($M2045),0)</f>
        <v>0</v>
      </c>
      <c r="T2045" s="85" t="n">
        <v>2037</v>
      </c>
    </row>
    <row r="2046">
      <c r="B2046" s="83" t="n"/>
      <c r="C2046" s="83" t="n"/>
      <c r="D2046" s="83" t="n"/>
      <c r="E2046" s="83" t="n"/>
      <c r="F2046" s="83" t="n"/>
      <c r="G2046" s="83" t="n"/>
      <c r="H2046" s="83" t="n"/>
      <c r="I2046" s="83" t="n"/>
      <c r="J2046" s="83" t="n"/>
      <c r="K2046" s="83" t="n"/>
      <c r="L2046" s="83" t="n"/>
      <c r="M2046" s="83" t="n"/>
      <c r="O2046" s="84" t="str">
        <f>IF($C2046="","",IFERROR(MATCH($B2046&amp;"|"&amp;$C2046,MUROS!$AX$11:$AX$70,0),0))</f>
        <v/>
      </c>
      <c r="P2046" s="84" t="str">
        <f>IF($D2046="","",IF(ISNUMBER(MATCH($D2046,CMB_S,0)),1,IF(ISNUMBER(MATCH($D2046,CMB_G,0)),2,0)))</f>
        <v/>
      </c>
      <c r="Q2046" s="84">
        <f>IF(ISNUMBER($H2046),-$H2046,0)</f>
        <v>0</v>
      </c>
      <c r="R2046" s="84">
        <f>IF(ISNUMBER($I2046),ABS($I2046),0)</f>
        <v>0</v>
      </c>
      <c r="S2046" s="84">
        <f>IF(ISNUMBER($M2046),ABS($M2046),0)</f>
        <v>0</v>
      </c>
      <c r="T2046" s="85" t="n">
        <v>2038</v>
      </c>
    </row>
    <row r="2047">
      <c r="B2047" s="83" t="n"/>
      <c r="C2047" s="83" t="n"/>
      <c r="D2047" s="83" t="n"/>
      <c r="E2047" s="83" t="n"/>
      <c r="F2047" s="83" t="n"/>
      <c r="G2047" s="83" t="n"/>
      <c r="H2047" s="83" t="n"/>
      <c r="I2047" s="83" t="n"/>
      <c r="J2047" s="83" t="n"/>
      <c r="K2047" s="83" t="n"/>
      <c r="L2047" s="83" t="n"/>
      <c r="M2047" s="83" t="n"/>
      <c r="O2047" s="84" t="str">
        <f>IF($C2047="","",IFERROR(MATCH($B2047&amp;"|"&amp;$C2047,MUROS!$AX$11:$AX$70,0),0))</f>
        <v/>
      </c>
      <c r="P2047" s="84" t="str">
        <f>IF($D2047="","",IF(ISNUMBER(MATCH($D2047,CMB_S,0)),1,IF(ISNUMBER(MATCH($D2047,CMB_G,0)),2,0)))</f>
        <v/>
      </c>
      <c r="Q2047" s="84">
        <f>IF(ISNUMBER($H2047),-$H2047,0)</f>
        <v>0</v>
      </c>
      <c r="R2047" s="84">
        <f>IF(ISNUMBER($I2047),ABS($I2047),0)</f>
        <v>0</v>
      </c>
      <c r="S2047" s="84">
        <f>IF(ISNUMBER($M2047),ABS($M2047),0)</f>
        <v>0</v>
      </c>
      <c r="T2047" s="85" t="n">
        <v>2039</v>
      </c>
    </row>
    <row r="2048">
      <c r="B2048" s="83" t="n"/>
      <c r="C2048" s="83" t="n"/>
      <c r="D2048" s="83" t="n"/>
      <c r="E2048" s="83" t="n"/>
      <c r="F2048" s="83" t="n"/>
      <c r="G2048" s="83" t="n"/>
      <c r="H2048" s="83" t="n"/>
      <c r="I2048" s="83" t="n"/>
      <c r="J2048" s="83" t="n"/>
      <c r="K2048" s="83" t="n"/>
      <c r="L2048" s="83" t="n"/>
      <c r="M2048" s="83" t="n"/>
      <c r="O2048" s="84" t="str">
        <f>IF($C2048="","",IFERROR(MATCH($B2048&amp;"|"&amp;$C2048,MUROS!$AX$11:$AX$70,0),0))</f>
        <v/>
      </c>
      <c r="P2048" s="84" t="str">
        <f>IF($D2048="","",IF(ISNUMBER(MATCH($D2048,CMB_S,0)),1,IF(ISNUMBER(MATCH($D2048,CMB_G,0)),2,0)))</f>
        <v/>
      </c>
      <c r="Q2048" s="84">
        <f>IF(ISNUMBER($H2048),-$H2048,0)</f>
        <v>0</v>
      </c>
      <c r="R2048" s="84">
        <f>IF(ISNUMBER($I2048),ABS($I2048),0)</f>
        <v>0</v>
      </c>
      <c r="S2048" s="84">
        <f>IF(ISNUMBER($M2048),ABS($M2048),0)</f>
        <v>0</v>
      </c>
      <c r="T2048" s="85" t="n">
        <v>2040</v>
      </c>
    </row>
    <row r="2049">
      <c r="B2049" s="83" t="n"/>
      <c r="C2049" s="83" t="n"/>
      <c r="D2049" s="83" t="n"/>
      <c r="E2049" s="83" t="n"/>
      <c r="F2049" s="83" t="n"/>
      <c r="G2049" s="83" t="n"/>
      <c r="H2049" s="83" t="n"/>
      <c r="I2049" s="83" t="n"/>
      <c r="J2049" s="83" t="n"/>
      <c r="K2049" s="83" t="n"/>
      <c r="L2049" s="83" t="n"/>
      <c r="M2049" s="83" t="n"/>
      <c r="O2049" s="84" t="str">
        <f>IF($C2049="","",IFERROR(MATCH($B2049&amp;"|"&amp;$C2049,MUROS!$AX$11:$AX$70,0),0))</f>
        <v/>
      </c>
      <c r="P2049" s="84" t="str">
        <f>IF($D2049="","",IF(ISNUMBER(MATCH($D2049,CMB_S,0)),1,IF(ISNUMBER(MATCH($D2049,CMB_G,0)),2,0)))</f>
        <v/>
      </c>
      <c r="Q2049" s="84">
        <f>IF(ISNUMBER($H2049),-$H2049,0)</f>
        <v>0</v>
      </c>
      <c r="R2049" s="84">
        <f>IF(ISNUMBER($I2049),ABS($I2049),0)</f>
        <v>0</v>
      </c>
      <c r="S2049" s="84">
        <f>IF(ISNUMBER($M2049),ABS($M2049),0)</f>
        <v>0</v>
      </c>
      <c r="T2049" s="85" t="n">
        <v>2041</v>
      </c>
    </row>
    <row r="2050">
      <c r="B2050" s="83" t="n"/>
      <c r="C2050" s="83" t="n"/>
      <c r="D2050" s="83" t="n"/>
      <c r="E2050" s="83" t="n"/>
      <c r="F2050" s="83" t="n"/>
      <c r="G2050" s="83" t="n"/>
      <c r="H2050" s="83" t="n"/>
      <c r="I2050" s="83" t="n"/>
      <c r="J2050" s="83" t="n"/>
      <c r="K2050" s="83" t="n"/>
      <c r="L2050" s="83" t="n"/>
      <c r="M2050" s="83" t="n"/>
      <c r="O2050" s="84" t="str">
        <f>IF($C2050="","",IFERROR(MATCH($B2050&amp;"|"&amp;$C2050,MUROS!$AX$11:$AX$70,0),0))</f>
        <v/>
      </c>
      <c r="P2050" s="84" t="str">
        <f>IF($D2050="","",IF(ISNUMBER(MATCH($D2050,CMB_S,0)),1,IF(ISNUMBER(MATCH($D2050,CMB_G,0)),2,0)))</f>
        <v/>
      </c>
      <c r="Q2050" s="84">
        <f>IF(ISNUMBER($H2050),-$H2050,0)</f>
        <v>0</v>
      </c>
      <c r="R2050" s="84">
        <f>IF(ISNUMBER($I2050),ABS($I2050),0)</f>
        <v>0</v>
      </c>
      <c r="S2050" s="84">
        <f>IF(ISNUMBER($M2050),ABS($M2050),0)</f>
        <v>0</v>
      </c>
      <c r="T2050" s="85" t="n">
        <v>2042</v>
      </c>
    </row>
    <row r="2051">
      <c r="B2051" s="83" t="n"/>
      <c r="C2051" s="83" t="n"/>
      <c r="D2051" s="83" t="n"/>
      <c r="E2051" s="83" t="n"/>
      <c r="F2051" s="83" t="n"/>
      <c r="G2051" s="83" t="n"/>
      <c r="H2051" s="83" t="n"/>
      <c r="I2051" s="83" t="n"/>
      <c r="J2051" s="83" t="n"/>
      <c r="K2051" s="83" t="n"/>
      <c r="L2051" s="83" t="n"/>
      <c r="M2051" s="83" t="n"/>
      <c r="O2051" s="84" t="str">
        <f>IF($C2051="","",IFERROR(MATCH($B2051&amp;"|"&amp;$C2051,MUROS!$AX$11:$AX$70,0),0))</f>
        <v/>
      </c>
      <c r="P2051" s="84" t="str">
        <f>IF($D2051="","",IF(ISNUMBER(MATCH($D2051,CMB_S,0)),1,IF(ISNUMBER(MATCH($D2051,CMB_G,0)),2,0)))</f>
        <v/>
      </c>
      <c r="Q2051" s="84">
        <f>IF(ISNUMBER($H2051),-$H2051,0)</f>
        <v>0</v>
      </c>
      <c r="R2051" s="84">
        <f>IF(ISNUMBER($I2051),ABS($I2051),0)</f>
        <v>0</v>
      </c>
      <c r="S2051" s="84">
        <f>IF(ISNUMBER($M2051),ABS($M2051),0)</f>
        <v>0</v>
      </c>
      <c r="T2051" s="85" t="n">
        <v>2043</v>
      </c>
    </row>
    <row r="2052">
      <c r="B2052" s="83" t="n"/>
      <c r="C2052" s="83" t="n"/>
      <c r="D2052" s="83" t="n"/>
      <c r="E2052" s="83" t="n"/>
      <c r="F2052" s="83" t="n"/>
      <c r="G2052" s="83" t="n"/>
      <c r="H2052" s="83" t="n"/>
      <c r="I2052" s="83" t="n"/>
      <c r="J2052" s="83" t="n"/>
      <c r="K2052" s="83" t="n"/>
      <c r="L2052" s="83" t="n"/>
      <c r="M2052" s="83" t="n"/>
      <c r="O2052" s="84" t="str">
        <f>IF($C2052="","",IFERROR(MATCH($B2052&amp;"|"&amp;$C2052,MUROS!$AX$11:$AX$70,0),0))</f>
        <v/>
      </c>
      <c r="P2052" s="84" t="str">
        <f>IF($D2052="","",IF(ISNUMBER(MATCH($D2052,CMB_S,0)),1,IF(ISNUMBER(MATCH($D2052,CMB_G,0)),2,0)))</f>
        <v/>
      </c>
      <c r="Q2052" s="84">
        <f>IF(ISNUMBER($H2052),-$H2052,0)</f>
        <v>0</v>
      </c>
      <c r="R2052" s="84">
        <f>IF(ISNUMBER($I2052),ABS($I2052),0)</f>
        <v>0</v>
      </c>
      <c r="S2052" s="84">
        <f>IF(ISNUMBER($M2052),ABS($M2052),0)</f>
        <v>0</v>
      </c>
      <c r="T2052" s="85" t="n">
        <v>2044</v>
      </c>
    </row>
    <row r="2053">
      <c r="B2053" s="83" t="n"/>
      <c r="C2053" s="83" t="n"/>
      <c r="D2053" s="83" t="n"/>
      <c r="E2053" s="83" t="n"/>
      <c r="F2053" s="83" t="n"/>
      <c r="G2053" s="83" t="n"/>
      <c r="H2053" s="83" t="n"/>
      <c r="I2053" s="83" t="n"/>
      <c r="J2053" s="83" t="n"/>
      <c r="K2053" s="83" t="n"/>
      <c r="L2053" s="83" t="n"/>
      <c r="M2053" s="83" t="n"/>
      <c r="O2053" s="84" t="str">
        <f>IF($C2053="","",IFERROR(MATCH($B2053&amp;"|"&amp;$C2053,MUROS!$AX$11:$AX$70,0),0))</f>
        <v/>
      </c>
      <c r="P2053" s="84" t="str">
        <f>IF($D2053="","",IF(ISNUMBER(MATCH($D2053,CMB_S,0)),1,IF(ISNUMBER(MATCH($D2053,CMB_G,0)),2,0)))</f>
        <v/>
      </c>
      <c r="Q2053" s="84">
        <f>IF(ISNUMBER($H2053),-$H2053,0)</f>
        <v>0</v>
      </c>
      <c r="R2053" s="84">
        <f>IF(ISNUMBER($I2053),ABS($I2053),0)</f>
        <v>0</v>
      </c>
      <c r="S2053" s="84">
        <f>IF(ISNUMBER($M2053),ABS($M2053),0)</f>
        <v>0</v>
      </c>
      <c r="T2053" s="85" t="n">
        <v>2045</v>
      </c>
    </row>
    <row r="2054">
      <c r="B2054" s="83" t="n"/>
      <c r="C2054" s="83" t="n"/>
      <c r="D2054" s="83" t="n"/>
      <c r="E2054" s="83" t="n"/>
      <c r="F2054" s="83" t="n"/>
      <c r="G2054" s="83" t="n"/>
      <c r="H2054" s="83" t="n"/>
      <c r="I2054" s="83" t="n"/>
      <c r="J2054" s="83" t="n"/>
      <c r="K2054" s="83" t="n"/>
      <c r="L2054" s="83" t="n"/>
      <c r="M2054" s="83" t="n"/>
      <c r="O2054" s="84" t="str">
        <f>IF($C2054="","",IFERROR(MATCH($B2054&amp;"|"&amp;$C2054,MUROS!$AX$11:$AX$70,0),0))</f>
        <v/>
      </c>
      <c r="P2054" s="84" t="str">
        <f>IF($D2054="","",IF(ISNUMBER(MATCH($D2054,CMB_S,0)),1,IF(ISNUMBER(MATCH($D2054,CMB_G,0)),2,0)))</f>
        <v/>
      </c>
      <c r="Q2054" s="84">
        <f>IF(ISNUMBER($H2054),-$H2054,0)</f>
        <v>0</v>
      </c>
      <c r="R2054" s="84">
        <f>IF(ISNUMBER($I2054),ABS($I2054),0)</f>
        <v>0</v>
      </c>
      <c r="S2054" s="84">
        <f>IF(ISNUMBER($M2054),ABS($M2054),0)</f>
        <v>0</v>
      </c>
      <c r="T2054" s="85" t="n">
        <v>2046</v>
      </c>
    </row>
    <row r="2055">
      <c r="B2055" s="83" t="n"/>
      <c r="C2055" s="83" t="n"/>
      <c r="D2055" s="83" t="n"/>
      <c r="E2055" s="83" t="n"/>
      <c r="F2055" s="83" t="n"/>
      <c r="G2055" s="83" t="n"/>
      <c r="H2055" s="83" t="n"/>
      <c r="I2055" s="83" t="n"/>
      <c r="J2055" s="83" t="n"/>
      <c r="K2055" s="83" t="n"/>
      <c r="L2055" s="83" t="n"/>
      <c r="M2055" s="83" t="n"/>
      <c r="O2055" s="84" t="str">
        <f>IF($C2055="","",IFERROR(MATCH($B2055&amp;"|"&amp;$C2055,MUROS!$AX$11:$AX$70,0),0))</f>
        <v/>
      </c>
      <c r="P2055" s="84" t="str">
        <f>IF($D2055="","",IF(ISNUMBER(MATCH($D2055,CMB_S,0)),1,IF(ISNUMBER(MATCH($D2055,CMB_G,0)),2,0)))</f>
        <v/>
      </c>
      <c r="Q2055" s="84">
        <f>IF(ISNUMBER($H2055),-$H2055,0)</f>
        <v>0</v>
      </c>
      <c r="R2055" s="84">
        <f>IF(ISNUMBER($I2055),ABS($I2055),0)</f>
        <v>0</v>
      </c>
      <c r="S2055" s="84">
        <f>IF(ISNUMBER($M2055),ABS($M2055),0)</f>
        <v>0</v>
      </c>
      <c r="T2055" s="85" t="n">
        <v>2047</v>
      </c>
    </row>
    <row r="2056">
      <c r="B2056" s="83" t="n"/>
      <c r="C2056" s="83" t="n"/>
      <c r="D2056" s="83" t="n"/>
      <c r="E2056" s="83" t="n"/>
      <c r="F2056" s="83" t="n"/>
      <c r="G2056" s="83" t="n"/>
      <c r="H2056" s="83" t="n"/>
      <c r="I2056" s="83" t="n"/>
      <c r="J2056" s="83" t="n"/>
      <c r="K2056" s="83" t="n"/>
      <c r="L2056" s="83" t="n"/>
      <c r="M2056" s="83" t="n"/>
      <c r="O2056" s="84" t="str">
        <f>IF($C2056="","",IFERROR(MATCH($B2056&amp;"|"&amp;$C2056,MUROS!$AX$11:$AX$70,0),0))</f>
        <v/>
      </c>
      <c r="P2056" s="84" t="str">
        <f>IF($D2056="","",IF(ISNUMBER(MATCH($D2056,CMB_S,0)),1,IF(ISNUMBER(MATCH($D2056,CMB_G,0)),2,0)))</f>
        <v/>
      </c>
      <c r="Q2056" s="84">
        <f>IF(ISNUMBER($H2056),-$H2056,0)</f>
        <v>0</v>
      </c>
      <c r="R2056" s="84">
        <f>IF(ISNUMBER($I2056),ABS($I2056),0)</f>
        <v>0</v>
      </c>
      <c r="S2056" s="84">
        <f>IF(ISNUMBER($M2056),ABS($M2056),0)</f>
        <v>0</v>
      </c>
      <c r="T2056" s="85" t="n">
        <v>2048</v>
      </c>
    </row>
    <row r="2057">
      <c r="B2057" s="83" t="n"/>
      <c r="C2057" s="83" t="n"/>
      <c r="D2057" s="83" t="n"/>
      <c r="E2057" s="83" t="n"/>
      <c r="F2057" s="83" t="n"/>
      <c r="G2057" s="83" t="n"/>
      <c r="H2057" s="83" t="n"/>
      <c r="I2057" s="83" t="n"/>
      <c r="J2057" s="83" t="n"/>
      <c r="K2057" s="83" t="n"/>
      <c r="L2057" s="83" t="n"/>
      <c r="M2057" s="83" t="n"/>
      <c r="O2057" s="84" t="str">
        <f>IF($C2057="","",IFERROR(MATCH($B2057&amp;"|"&amp;$C2057,MUROS!$AX$11:$AX$70,0),0))</f>
        <v/>
      </c>
      <c r="P2057" s="84" t="str">
        <f>IF($D2057="","",IF(ISNUMBER(MATCH($D2057,CMB_S,0)),1,IF(ISNUMBER(MATCH($D2057,CMB_G,0)),2,0)))</f>
        <v/>
      </c>
      <c r="Q2057" s="84">
        <f>IF(ISNUMBER($H2057),-$H2057,0)</f>
        <v>0</v>
      </c>
      <c r="R2057" s="84">
        <f>IF(ISNUMBER($I2057),ABS($I2057),0)</f>
        <v>0</v>
      </c>
      <c r="S2057" s="84">
        <f>IF(ISNUMBER($M2057),ABS($M2057),0)</f>
        <v>0</v>
      </c>
      <c r="T2057" s="85" t="n">
        <v>2049</v>
      </c>
    </row>
    <row r="2058">
      <c r="B2058" s="83" t="n"/>
      <c r="C2058" s="83" t="n"/>
      <c r="D2058" s="83" t="n"/>
      <c r="E2058" s="83" t="n"/>
      <c r="F2058" s="83" t="n"/>
      <c r="G2058" s="83" t="n"/>
      <c r="H2058" s="83" t="n"/>
      <c r="I2058" s="83" t="n"/>
      <c r="J2058" s="83" t="n"/>
      <c r="K2058" s="83" t="n"/>
      <c r="L2058" s="83" t="n"/>
      <c r="M2058" s="83" t="n"/>
      <c r="O2058" s="84" t="str">
        <f>IF($C2058="","",IFERROR(MATCH($B2058&amp;"|"&amp;$C2058,MUROS!$AX$11:$AX$70,0),0))</f>
        <v/>
      </c>
      <c r="P2058" s="84" t="str">
        <f>IF($D2058="","",IF(ISNUMBER(MATCH($D2058,CMB_S,0)),1,IF(ISNUMBER(MATCH($D2058,CMB_G,0)),2,0)))</f>
        <v/>
      </c>
      <c r="Q2058" s="84">
        <f>IF(ISNUMBER($H2058),-$H2058,0)</f>
        <v>0</v>
      </c>
      <c r="R2058" s="84">
        <f>IF(ISNUMBER($I2058),ABS($I2058),0)</f>
        <v>0</v>
      </c>
      <c r="S2058" s="84">
        <f>IF(ISNUMBER($M2058),ABS($M2058),0)</f>
        <v>0</v>
      </c>
      <c r="T2058" s="85" t="n">
        <v>2050</v>
      </c>
    </row>
    <row r="2059">
      <c r="B2059" s="83" t="n"/>
      <c r="C2059" s="83" t="n"/>
      <c r="D2059" s="83" t="n"/>
      <c r="E2059" s="83" t="n"/>
      <c r="F2059" s="83" t="n"/>
      <c r="G2059" s="83" t="n"/>
      <c r="H2059" s="83" t="n"/>
      <c r="I2059" s="83" t="n"/>
      <c r="J2059" s="83" t="n"/>
      <c r="K2059" s="83" t="n"/>
      <c r="L2059" s="83" t="n"/>
      <c r="M2059" s="83" t="n"/>
      <c r="O2059" s="84" t="str">
        <f>IF($C2059="","",IFERROR(MATCH($B2059&amp;"|"&amp;$C2059,MUROS!$AX$11:$AX$70,0),0))</f>
        <v/>
      </c>
      <c r="P2059" s="84" t="str">
        <f>IF($D2059="","",IF(ISNUMBER(MATCH($D2059,CMB_S,0)),1,IF(ISNUMBER(MATCH($D2059,CMB_G,0)),2,0)))</f>
        <v/>
      </c>
      <c r="Q2059" s="84">
        <f>IF(ISNUMBER($H2059),-$H2059,0)</f>
        <v>0</v>
      </c>
      <c r="R2059" s="84">
        <f>IF(ISNUMBER($I2059),ABS($I2059),0)</f>
        <v>0</v>
      </c>
      <c r="S2059" s="84">
        <f>IF(ISNUMBER($M2059),ABS($M2059),0)</f>
        <v>0</v>
      </c>
      <c r="T2059" s="85" t="n">
        <v>2051</v>
      </c>
    </row>
    <row r="2060">
      <c r="B2060" s="83" t="n"/>
      <c r="C2060" s="83" t="n"/>
      <c r="D2060" s="83" t="n"/>
      <c r="E2060" s="83" t="n"/>
      <c r="F2060" s="83" t="n"/>
      <c r="G2060" s="83" t="n"/>
      <c r="H2060" s="83" t="n"/>
      <c r="I2060" s="83" t="n"/>
      <c r="J2060" s="83" t="n"/>
      <c r="K2060" s="83" t="n"/>
      <c r="L2060" s="83" t="n"/>
      <c r="M2060" s="83" t="n"/>
      <c r="O2060" s="84" t="str">
        <f>IF($C2060="","",IFERROR(MATCH($B2060&amp;"|"&amp;$C2060,MUROS!$AX$11:$AX$70,0),0))</f>
        <v/>
      </c>
      <c r="P2060" s="84" t="str">
        <f>IF($D2060="","",IF(ISNUMBER(MATCH($D2060,CMB_S,0)),1,IF(ISNUMBER(MATCH($D2060,CMB_G,0)),2,0)))</f>
        <v/>
      </c>
      <c r="Q2060" s="84">
        <f>IF(ISNUMBER($H2060),-$H2060,0)</f>
        <v>0</v>
      </c>
      <c r="R2060" s="84">
        <f>IF(ISNUMBER($I2060),ABS($I2060),0)</f>
        <v>0</v>
      </c>
      <c r="S2060" s="84">
        <f>IF(ISNUMBER($M2060),ABS($M2060),0)</f>
        <v>0</v>
      </c>
      <c r="T2060" s="85" t="n">
        <v>2052</v>
      </c>
    </row>
    <row r="2061">
      <c r="B2061" s="83" t="n"/>
      <c r="C2061" s="83" t="n"/>
      <c r="D2061" s="83" t="n"/>
      <c r="E2061" s="83" t="n"/>
      <c r="F2061" s="83" t="n"/>
      <c r="G2061" s="83" t="n"/>
      <c r="H2061" s="83" t="n"/>
      <c r="I2061" s="83" t="n"/>
      <c r="J2061" s="83" t="n"/>
      <c r="K2061" s="83" t="n"/>
      <c r="L2061" s="83" t="n"/>
      <c r="M2061" s="83" t="n"/>
      <c r="O2061" s="84" t="str">
        <f>IF($C2061="","",IFERROR(MATCH($B2061&amp;"|"&amp;$C2061,MUROS!$AX$11:$AX$70,0),0))</f>
        <v/>
      </c>
      <c r="P2061" s="84" t="str">
        <f>IF($D2061="","",IF(ISNUMBER(MATCH($D2061,CMB_S,0)),1,IF(ISNUMBER(MATCH($D2061,CMB_G,0)),2,0)))</f>
        <v/>
      </c>
      <c r="Q2061" s="84">
        <f>IF(ISNUMBER($H2061),-$H2061,0)</f>
        <v>0</v>
      </c>
      <c r="R2061" s="84">
        <f>IF(ISNUMBER($I2061),ABS($I2061),0)</f>
        <v>0</v>
      </c>
      <c r="S2061" s="84">
        <f>IF(ISNUMBER($M2061),ABS($M2061),0)</f>
        <v>0</v>
      </c>
      <c r="T2061" s="85" t="n">
        <v>2053</v>
      </c>
    </row>
    <row r="2062">
      <c r="B2062" s="83" t="n"/>
      <c r="C2062" s="83" t="n"/>
      <c r="D2062" s="83" t="n"/>
      <c r="E2062" s="83" t="n"/>
      <c r="F2062" s="83" t="n"/>
      <c r="G2062" s="83" t="n"/>
      <c r="H2062" s="83" t="n"/>
      <c r="I2062" s="83" t="n"/>
      <c r="J2062" s="83" t="n"/>
      <c r="K2062" s="83" t="n"/>
      <c r="L2062" s="83" t="n"/>
      <c r="M2062" s="83" t="n"/>
      <c r="O2062" s="84" t="str">
        <f>IF($C2062="","",IFERROR(MATCH($B2062&amp;"|"&amp;$C2062,MUROS!$AX$11:$AX$70,0),0))</f>
        <v/>
      </c>
      <c r="P2062" s="84" t="str">
        <f>IF($D2062="","",IF(ISNUMBER(MATCH($D2062,CMB_S,0)),1,IF(ISNUMBER(MATCH($D2062,CMB_G,0)),2,0)))</f>
        <v/>
      </c>
      <c r="Q2062" s="84">
        <f>IF(ISNUMBER($H2062),-$H2062,0)</f>
        <v>0</v>
      </c>
      <c r="R2062" s="84">
        <f>IF(ISNUMBER($I2062),ABS($I2062),0)</f>
        <v>0</v>
      </c>
      <c r="S2062" s="84">
        <f>IF(ISNUMBER($M2062),ABS($M2062),0)</f>
        <v>0</v>
      </c>
      <c r="T2062" s="85" t="n">
        <v>2054</v>
      </c>
    </row>
    <row r="2063">
      <c r="B2063" s="83" t="n"/>
      <c r="C2063" s="83" t="n"/>
      <c r="D2063" s="83" t="n"/>
      <c r="E2063" s="83" t="n"/>
      <c r="F2063" s="83" t="n"/>
      <c r="G2063" s="83" t="n"/>
      <c r="H2063" s="83" t="n"/>
      <c r="I2063" s="83" t="n"/>
      <c r="J2063" s="83" t="n"/>
      <c r="K2063" s="83" t="n"/>
      <c r="L2063" s="83" t="n"/>
      <c r="M2063" s="83" t="n"/>
      <c r="O2063" s="84" t="str">
        <f>IF($C2063="","",IFERROR(MATCH($B2063&amp;"|"&amp;$C2063,MUROS!$AX$11:$AX$70,0),0))</f>
        <v/>
      </c>
      <c r="P2063" s="84" t="str">
        <f>IF($D2063="","",IF(ISNUMBER(MATCH($D2063,CMB_S,0)),1,IF(ISNUMBER(MATCH($D2063,CMB_G,0)),2,0)))</f>
        <v/>
      </c>
      <c r="Q2063" s="84">
        <f>IF(ISNUMBER($H2063),-$H2063,0)</f>
        <v>0</v>
      </c>
      <c r="R2063" s="84">
        <f>IF(ISNUMBER($I2063),ABS($I2063),0)</f>
        <v>0</v>
      </c>
      <c r="S2063" s="84">
        <f>IF(ISNUMBER($M2063),ABS($M2063),0)</f>
        <v>0</v>
      </c>
      <c r="T2063" s="85" t="n">
        <v>2055</v>
      </c>
    </row>
    <row r="2064">
      <c r="B2064" s="83" t="n"/>
      <c r="C2064" s="83" t="n"/>
      <c r="D2064" s="83" t="n"/>
      <c r="E2064" s="83" t="n"/>
      <c r="F2064" s="83" t="n"/>
      <c r="G2064" s="83" t="n"/>
      <c r="H2064" s="83" t="n"/>
      <c r="I2064" s="83" t="n"/>
      <c r="J2064" s="83" t="n"/>
      <c r="K2064" s="83" t="n"/>
      <c r="L2064" s="83" t="n"/>
      <c r="M2064" s="83" t="n"/>
      <c r="O2064" s="84" t="str">
        <f>IF($C2064="","",IFERROR(MATCH($B2064&amp;"|"&amp;$C2064,MUROS!$AX$11:$AX$70,0),0))</f>
        <v/>
      </c>
      <c r="P2064" s="84" t="str">
        <f>IF($D2064="","",IF(ISNUMBER(MATCH($D2064,CMB_S,0)),1,IF(ISNUMBER(MATCH($D2064,CMB_G,0)),2,0)))</f>
        <v/>
      </c>
      <c r="Q2064" s="84">
        <f>IF(ISNUMBER($H2064),-$H2064,0)</f>
        <v>0</v>
      </c>
      <c r="R2064" s="84">
        <f>IF(ISNUMBER($I2064),ABS($I2064),0)</f>
        <v>0</v>
      </c>
      <c r="S2064" s="84">
        <f>IF(ISNUMBER($M2064),ABS($M2064),0)</f>
        <v>0</v>
      </c>
      <c r="T2064" s="85" t="n">
        <v>2056</v>
      </c>
    </row>
    <row r="2065">
      <c r="B2065" s="83" t="n"/>
      <c r="C2065" s="83" t="n"/>
      <c r="D2065" s="83" t="n"/>
      <c r="E2065" s="83" t="n"/>
      <c r="F2065" s="83" t="n"/>
      <c r="G2065" s="83" t="n"/>
      <c r="H2065" s="83" t="n"/>
      <c r="I2065" s="83" t="n"/>
      <c r="J2065" s="83" t="n"/>
      <c r="K2065" s="83" t="n"/>
      <c r="L2065" s="83" t="n"/>
      <c r="M2065" s="83" t="n"/>
      <c r="O2065" s="84" t="str">
        <f>IF($C2065="","",IFERROR(MATCH($B2065&amp;"|"&amp;$C2065,MUROS!$AX$11:$AX$70,0),0))</f>
        <v/>
      </c>
      <c r="P2065" s="84" t="str">
        <f>IF($D2065="","",IF(ISNUMBER(MATCH($D2065,CMB_S,0)),1,IF(ISNUMBER(MATCH($D2065,CMB_G,0)),2,0)))</f>
        <v/>
      </c>
      <c r="Q2065" s="84">
        <f>IF(ISNUMBER($H2065),-$H2065,0)</f>
        <v>0</v>
      </c>
      <c r="R2065" s="84">
        <f>IF(ISNUMBER($I2065),ABS($I2065),0)</f>
        <v>0</v>
      </c>
      <c r="S2065" s="84">
        <f>IF(ISNUMBER($M2065),ABS($M2065),0)</f>
        <v>0</v>
      </c>
      <c r="T2065" s="85" t="n">
        <v>2057</v>
      </c>
    </row>
    <row r="2066">
      <c r="B2066" s="83" t="n"/>
      <c r="C2066" s="83" t="n"/>
      <c r="D2066" s="83" t="n"/>
      <c r="E2066" s="83" t="n"/>
      <c r="F2066" s="83" t="n"/>
      <c r="G2066" s="83" t="n"/>
      <c r="H2066" s="83" t="n"/>
      <c r="I2066" s="83" t="n"/>
      <c r="J2066" s="83" t="n"/>
      <c r="K2066" s="83" t="n"/>
      <c r="L2066" s="83" t="n"/>
      <c r="M2066" s="83" t="n"/>
      <c r="O2066" s="84" t="str">
        <f>IF($C2066="","",IFERROR(MATCH($B2066&amp;"|"&amp;$C2066,MUROS!$AX$11:$AX$70,0),0))</f>
        <v/>
      </c>
      <c r="P2066" s="84" t="str">
        <f>IF($D2066="","",IF(ISNUMBER(MATCH($D2066,CMB_S,0)),1,IF(ISNUMBER(MATCH($D2066,CMB_G,0)),2,0)))</f>
        <v/>
      </c>
      <c r="Q2066" s="84">
        <f>IF(ISNUMBER($H2066),-$H2066,0)</f>
        <v>0</v>
      </c>
      <c r="R2066" s="84">
        <f>IF(ISNUMBER($I2066),ABS($I2066),0)</f>
        <v>0</v>
      </c>
      <c r="S2066" s="84">
        <f>IF(ISNUMBER($M2066),ABS($M2066),0)</f>
        <v>0</v>
      </c>
      <c r="T2066" s="85" t="n">
        <v>2058</v>
      </c>
    </row>
    <row r="2067">
      <c r="B2067" s="83" t="n"/>
      <c r="C2067" s="83" t="n"/>
      <c r="D2067" s="83" t="n"/>
      <c r="E2067" s="83" t="n"/>
      <c r="F2067" s="83" t="n"/>
      <c r="G2067" s="83" t="n"/>
      <c r="H2067" s="83" t="n"/>
      <c r="I2067" s="83" t="n"/>
      <c r="J2067" s="83" t="n"/>
      <c r="K2067" s="83" t="n"/>
      <c r="L2067" s="83" t="n"/>
      <c r="M2067" s="83" t="n"/>
      <c r="O2067" s="84" t="str">
        <f>IF($C2067="","",IFERROR(MATCH($B2067&amp;"|"&amp;$C2067,MUROS!$AX$11:$AX$70,0),0))</f>
        <v/>
      </c>
      <c r="P2067" s="84" t="str">
        <f>IF($D2067="","",IF(ISNUMBER(MATCH($D2067,CMB_S,0)),1,IF(ISNUMBER(MATCH($D2067,CMB_G,0)),2,0)))</f>
        <v/>
      </c>
      <c r="Q2067" s="84">
        <f>IF(ISNUMBER($H2067),-$H2067,0)</f>
        <v>0</v>
      </c>
      <c r="R2067" s="84">
        <f>IF(ISNUMBER($I2067),ABS($I2067),0)</f>
        <v>0</v>
      </c>
      <c r="S2067" s="84">
        <f>IF(ISNUMBER($M2067),ABS($M2067),0)</f>
        <v>0</v>
      </c>
      <c r="T2067" s="85" t="n">
        <v>2059</v>
      </c>
    </row>
    <row r="2068">
      <c r="B2068" s="83" t="n"/>
      <c r="C2068" s="83" t="n"/>
      <c r="D2068" s="83" t="n"/>
      <c r="E2068" s="83" t="n"/>
      <c r="F2068" s="83" t="n"/>
      <c r="G2068" s="83" t="n"/>
      <c r="H2068" s="83" t="n"/>
      <c r="I2068" s="83" t="n"/>
      <c r="J2068" s="83" t="n"/>
      <c r="K2068" s="83" t="n"/>
      <c r="L2068" s="83" t="n"/>
      <c r="M2068" s="83" t="n"/>
      <c r="O2068" s="84" t="str">
        <f>IF($C2068="","",IFERROR(MATCH($B2068&amp;"|"&amp;$C2068,MUROS!$AX$11:$AX$70,0),0))</f>
        <v/>
      </c>
      <c r="P2068" s="84" t="str">
        <f>IF($D2068="","",IF(ISNUMBER(MATCH($D2068,CMB_S,0)),1,IF(ISNUMBER(MATCH($D2068,CMB_G,0)),2,0)))</f>
        <v/>
      </c>
      <c r="Q2068" s="84">
        <f>IF(ISNUMBER($H2068),-$H2068,0)</f>
        <v>0</v>
      </c>
      <c r="R2068" s="84">
        <f>IF(ISNUMBER($I2068),ABS($I2068),0)</f>
        <v>0</v>
      </c>
      <c r="S2068" s="84">
        <f>IF(ISNUMBER($M2068),ABS($M2068),0)</f>
        <v>0</v>
      </c>
      <c r="T2068" s="85" t="n">
        <v>2060</v>
      </c>
    </row>
    <row r="2069">
      <c r="B2069" s="83" t="n"/>
      <c r="C2069" s="83" t="n"/>
      <c r="D2069" s="83" t="n"/>
      <c r="E2069" s="83" t="n"/>
      <c r="F2069" s="83" t="n"/>
      <c r="G2069" s="83" t="n"/>
      <c r="H2069" s="83" t="n"/>
      <c r="I2069" s="83" t="n"/>
      <c r="J2069" s="83" t="n"/>
      <c r="K2069" s="83" t="n"/>
      <c r="L2069" s="83" t="n"/>
      <c r="M2069" s="83" t="n"/>
      <c r="O2069" s="84" t="str">
        <f>IF($C2069="","",IFERROR(MATCH($B2069&amp;"|"&amp;$C2069,MUROS!$AX$11:$AX$70,0),0))</f>
        <v/>
      </c>
      <c r="P2069" s="84" t="str">
        <f>IF($D2069="","",IF(ISNUMBER(MATCH($D2069,CMB_S,0)),1,IF(ISNUMBER(MATCH($D2069,CMB_G,0)),2,0)))</f>
        <v/>
      </c>
      <c r="Q2069" s="84">
        <f>IF(ISNUMBER($H2069),-$H2069,0)</f>
        <v>0</v>
      </c>
      <c r="R2069" s="84">
        <f>IF(ISNUMBER($I2069),ABS($I2069),0)</f>
        <v>0</v>
      </c>
      <c r="S2069" s="84">
        <f>IF(ISNUMBER($M2069),ABS($M2069),0)</f>
        <v>0</v>
      </c>
      <c r="T2069" s="85" t="n">
        <v>2061</v>
      </c>
    </row>
    <row r="2070">
      <c r="B2070" s="83" t="n"/>
      <c r="C2070" s="83" t="n"/>
      <c r="D2070" s="83" t="n"/>
      <c r="E2070" s="83" t="n"/>
      <c r="F2070" s="83" t="n"/>
      <c r="G2070" s="83" t="n"/>
      <c r="H2070" s="83" t="n"/>
      <c r="I2070" s="83" t="n"/>
      <c r="J2070" s="83" t="n"/>
      <c r="K2070" s="83" t="n"/>
      <c r="L2070" s="83" t="n"/>
      <c r="M2070" s="83" t="n"/>
      <c r="O2070" s="84" t="str">
        <f>IF($C2070="","",IFERROR(MATCH($B2070&amp;"|"&amp;$C2070,MUROS!$AX$11:$AX$70,0),0))</f>
        <v/>
      </c>
      <c r="P2070" s="84" t="str">
        <f>IF($D2070="","",IF(ISNUMBER(MATCH($D2070,CMB_S,0)),1,IF(ISNUMBER(MATCH($D2070,CMB_G,0)),2,0)))</f>
        <v/>
      </c>
      <c r="Q2070" s="84">
        <f>IF(ISNUMBER($H2070),-$H2070,0)</f>
        <v>0</v>
      </c>
      <c r="R2070" s="84">
        <f>IF(ISNUMBER($I2070),ABS($I2070),0)</f>
        <v>0</v>
      </c>
      <c r="S2070" s="84">
        <f>IF(ISNUMBER($M2070),ABS($M2070),0)</f>
        <v>0</v>
      </c>
      <c r="T2070" s="85" t="n">
        <v>2062</v>
      </c>
    </row>
    <row r="2071">
      <c r="B2071" s="83" t="n"/>
      <c r="C2071" s="83" t="n"/>
      <c r="D2071" s="83" t="n"/>
      <c r="E2071" s="83" t="n"/>
      <c r="F2071" s="83" t="n"/>
      <c r="G2071" s="83" t="n"/>
      <c r="H2071" s="83" t="n"/>
      <c r="I2071" s="83" t="n"/>
      <c r="J2071" s="83" t="n"/>
      <c r="K2071" s="83" t="n"/>
      <c r="L2071" s="83" t="n"/>
      <c r="M2071" s="83" t="n"/>
      <c r="O2071" s="84" t="str">
        <f>IF($C2071="","",IFERROR(MATCH($B2071&amp;"|"&amp;$C2071,MUROS!$AX$11:$AX$70,0),0))</f>
        <v/>
      </c>
      <c r="P2071" s="84" t="str">
        <f>IF($D2071="","",IF(ISNUMBER(MATCH($D2071,CMB_S,0)),1,IF(ISNUMBER(MATCH($D2071,CMB_G,0)),2,0)))</f>
        <v/>
      </c>
      <c r="Q2071" s="84">
        <f>IF(ISNUMBER($H2071),-$H2071,0)</f>
        <v>0</v>
      </c>
      <c r="R2071" s="84">
        <f>IF(ISNUMBER($I2071),ABS($I2071),0)</f>
        <v>0</v>
      </c>
      <c r="S2071" s="84">
        <f>IF(ISNUMBER($M2071),ABS($M2071),0)</f>
        <v>0</v>
      </c>
      <c r="T2071" s="85" t="n">
        <v>2063</v>
      </c>
    </row>
    <row r="2072">
      <c r="B2072" s="83" t="n"/>
      <c r="C2072" s="83" t="n"/>
      <c r="D2072" s="83" t="n"/>
      <c r="E2072" s="83" t="n"/>
      <c r="F2072" s="83" t="n"/>
      <c r="G2072" s="83" t="n"/>
      <c r="H2072" s="83" t="n"/>
      <c r="I2072" s="83" t="n"/>
      <c r="J2072" s="83" t="n"/>
      <c r="K2072" s="83" t="n"/>
      <c r="L2072" s="83" t="n"/>
      <c r="M2072" s="83" t="n"/>
      <c r="O2072" s="84" t="str">
        <f>IF($C2072="","",IFERROR(MATCH($B2072&amp;"|"&amp;$C2072,MUROS!$AX$11:$AX$70,0),0))</f>
        <v/>
      </c>
      <c r="P2072" s="84" t="str">
        <f>IF($D2072="","",IF(ISNUMBER(MATCH($D2072,CMB_S,0)),1,IF(ISNUMBER(MATCH($D2072,CMB_G,0)),2,0)))</f>
        <v/>
      </c>
      <c r="Q2072" s="84">
        <f>IF(ISNUMBER($H2072),-$H2072,0)</f>
        <v>0</v>
      </c>
      <c r="R2072" s="84">
        <f>IF(ISNUMBER($I2072),ABS($I2072),0)</f>
        <v>0</v>
      </c>
      <c r="S2072" s="84">
        <f>IF(ISNUMBER($M2072),ABS($M2072),0)</f>
        <v>0</v>
      </c>
      <c r="T2072" s="85" t="n">
        <v>2064</v>
      </c>
    </row>
    <row r="2073">
      <c r="B2073" s="83" t="n"/>
      <c r="C2073" s="83" t="n"/>
      <c r="D2073" s="83" t="n"/>
      <c r="E2073" s="83" t="n"/>
      <c r="F2073" s="83" t="n"/>
      <c r="G2073" s="83" t="n"/>
      <c r="H2073" s="83" t="n"/>
      <c r="I2073" s="83" t="n"/>
      <c r="J2073" s="83" t="n"/>
      <c r="K2073" s="83" t="n"/>
      <c r="L2073" s="83" t="n"/>
      <c r="M2073" s="83" t="n"/>
      <c r="O2073" s="84" t="str">
        <f>IF($C2073="","",IFERROR(MATCH($B2073&amp;"|"&amp;$C2073,MUROS!$AX$11:$AX$70,0),0))</f>
        <v/>
      </c>
      <c r="P2073" s="84" t="str">
        <f>IF($D2073="","",IF(ISNUMBER(MATCH($D2073,CMB_S,0)),1,IF(ISNUMBER(MATCH($D2073,CMB_G,0)),2,0)))</f>
        <v/>
      </c>
      <c r="Q2073" s="84">
        <f>IF(ISNUMBER($H2073),-$H2073,0)</f>
        <v>0</v>
      </c>
      <c r="R2073" s="84">
        <f>IF(ISNUMBER($I2073),ABS($I2073),0)</f>
        <v>0</v>
      </c>
      <c r="S2073" s="84">
        <f>IF(ISNUMBER($M2073),ABS($M2073),0)</f>
        <v>0</v>
      </c>
      <c r="T2073" s="85" t="n">
        <v>2065</v>
      </c>
    </row>
    <row r="2074">
      <c r="B2074" s="83" t="n"/>
      <c r="C2074" s="83" t="n"/>
      <c r="D2074" s="83" t="n"/>
      <c r="E2074" s="83" t="n"/>
      <c r="F2074" s="83" t="n"/>
      <c r="G2074" s="83" t="n"/>
      <c r="H2074" s="83" t="n"/>
      <c r="I2074" s="83" t="n"/>
      <c r="J2074" s="83" t="n"/>
      <c r="K2074" s="83" t="n"/>
      <c r="L2074" s="83" t="n"/>
      <c r="M2074" s="83" t="n"/>
      <c r="O2074" s="84" t="str">
        <f>IF($C2074="","",IFERROR(MATCH($B2074&amp;"|"&amp;$C2074,MUROS!$AX$11:$AX$70,0),0))</f>
        <v/>
      </c>
      <c r="P2074" s="84" t="str">
        <f>IF($D2074="","",IF(ISNUMBER(MATCH($D2074,CMB_S,0)),1,IF(ISNUMBER(MATCH($D2074,CMB_G,0)),2,0)))</f>
        <v/>
      </c>
      <c r="Q2074" s="84">
        <f>IF(ISNUMBER($H2074),-$H2074,0)</f>
        <v>0</v>
      </c>
      <c r="R2074" s="84">
        <f>IF(ISNUMBER($I2074),ABS($I2074),0)</f>
        <v>0</v>
      </c>
      <c r="S2074" s="84">
        <f>IF(ISNUMBER($M2074),ABS($M2074),0)</f>
        <v>0</v>
      </c>
      <c r="T2074" s="85" t="n">
        <v>2066</v>
      </c>
    </row>
    <row r="2075">
      <c r="B2075" s="83" t="n"/>
      <c r="C2075" s="83" t="n"/>
      <c r="D2075" s="83" t="n"/>
      <c r="E2075" s="83" t="n"/>
      <c r="F2075" s="83" t="n"/>
      <c r="G2075" s="83" t="n"/>
      <c r="H2075" s="83" t="n"/>
      <c r="I2075" s="83" t="n"/>
      <c r="J2075" s="83" t="n"/>
      <c r="K2075" s="83" t="n"/>
      <c r="L2075" s="83" t="n"/>
      <c r="M2075" s="83" t="n"/>
      <c r="O2075" s="84" t="str">
        <f>IF($C2075="","",IFERROR(MATCH($B2075&amp;"|"&amp;$C2075,MUROS!$AX$11:$AX$70,0),0))</f>
        <v/>
      </c>
      <c r="P2075" s="84" t="str">
        <f>IF($D2075="","",IF(ISNUMBER(MATCH($D2075,CMB_S,0)),1,IF(ISNUMBER(MATCH($D2075,CMB_G,0)),2,0)))</f>
        <v/>
      </c>
      <c r="Q2075" s="84">
        <f>IF(ISNUMBER($H2075),-$H2075,0)</f>
        <v>0</v>
      </c>
      <c r="R2075" s="84">
        <f>IF(ISNUMBER($I2075),ABS($I2075),0)</f>
        <v>0</v>
      </c>
      <c r="S2075" s="84">
        <f>IF(ISNUMBER($M2075),ABS($M2075),0)</f>
        <v>0</v>
      </c>
      <c r="T2075" s="85" t="n">
        <v>2067</v>
      </c>
    </row>
    <row r="2076">
      <c r="B2076" s="83" t="n"/>
      <c r="C2076" s="83" t="n"/>
      <c r="D2076" s="83" t="n"/>
      <c r="E2076" s="83" t="n"/>
      <c r="F2076" s="83" t="n"/>
      <c r="G2076" s="83" t="n"/>
      <c r="H2076" s="83" t="n"/>
      <c r="I2076" s="83" t="n"/>
      <c r="J2076" s="83" t="n"/>
      <c r="K2076" s="83" t="n"/>
      <c r="L2076" s="83" t="n"/>
      <c r="M2076" s="83" t="n"/>
      <c r="O2076" s="84" t="str">
        <f>IF($C2076="","",IFERROR(MATCH($B2076&amp;"|"&amp;$C2076,MUROS!$AX$11:$AX$70,0),0))</f>
        <v/>
      </c>
      <c r="P2076" s="84" t="str">
        <f>IF($D2076="","",IF(ISNUMBER(MATCH($D2076,CMB_S,0)),1,IF(ISNUMBER(MATCH($D2076,CMB_G,0)),2,0)))</f>
        <v/>
      </c>
      <c r="Q2076" s="84">
        <f>IF(ISNUMBER($H2076),-$H2076,0)</f>
        <v>0</v>
      </c>
      <c r="R2076" s="84">
        <f>IF(ISNUMBER($I2076),ABS($I2076),0)</f>
        <v>0</v>
      </c>
      <c r="S2076" s="84">
        <f>IF(ISNUMBER($M2076),ABS($M2076),0)</f>
        <v>0</v>
      </c>
      <c r="T2076" s="85" t="n">
        <v>2068</v>
      </c>
    </row>
    <row r="2077">
      <c r="B2077" s="83" t="n"/>
      <c r="C2077" s="83" t="n"/>
      <c r="D2077" s="83" t="n"/>
      <c r="E2077" s="83" t="n"/>
      <c r="F2077" s="83" t="n"/>
      <c r="G2077" s="83" t="n"/>
      <c r="H2077" s="83" t="n"/>
      <c r="I2077" s="83" t="n"/>
      <c r="J2077" s="83" t="n"/>
      <c r="K2077" s="83" t="n"/>
      <c r="L2077" s="83" t="n"/>
      <c r="M2077" s="83" t="n"/>
      <c r="O2077" s="84" t="str">
        <f>IF($C2077="","",IFERROR(MATCH($B2077&amp;"|"&amp;$C2077,MUROS!$AX$11:$AX$70,0),0))</f>
        <v/>
      </c>
      <c r="P2077" s="84" t="str">
        <f>IF($D2077="","",IF(ISNUMBER(MATCH($D2077,CMB_S,0)),1,IF(ISNUMBER(MATCH($D2077,CMB_G,0)),2,0)))</f>
        <v/>
      </c>
      <c r="Q2077" s="84">
        <f>IF(ISNUMBER($H2077),-$H2077,0)</f>
        <v>0</v>
      </c>
      <c r="R2077" s="84">
        <f>IF(ISNUMBER($I2077),ABS($I2077),0)</f>
        <v>0</v>
      </c>
      <c r="S2077" s="84">
        <f>IF(ISNUMBER($M2077),ABS($M2077),0)</f>
        <v>0</v>
      </c>
      <c r="T2077" s="85" t="n">
        <v>2069</v>
      </c>
    </row>
    <row r="2078">
      <c r="B2078" s="83" t="n"/>
      <c r="C2078" s="83" t="n"/>
      <c r="D2078" s="83" t="n"/>
      <c r="E2078" s="83" t="n"/>
      <c r="F2078" s="83" t="n"/>
      <c r="G2078" s="83" t="n"/>
      <c r="H2078" s="83" t="n"/>
      <c r="I2078" s="83" t="n"/>
      <c r="J2078" s="83" t="n"/>
      <c r="K2078" s="83" t="n"/>
      <c r="L2078" s="83" t="n"/>
      <c r="M2078" s="83" t="n"/>
      <c r="O2078" s="84" t="str">
        <f>IF($C2078="","",IFERROR(MATCH($B2078&amp;"|"&amp;$C2078,MUROS!$AX$11:$AX$70,0),0))</f>
        <v/>
      </c>
      <c r="P2078" s="84" t="str">
        <f>IF($D2078="","",IF(ISNUMBER(MATCH($D2078,CMB_S,0)),1,IF(ISNUMBER(MATCH($D2078,CMB_G,0)),2,0)))</f>
        <v/>
      </c>
      <c r="Q2078" s="84">
        <f>IF(ISNUMBER($H2078),-$H2078,0)</f>
        <v>0</v>
      </c>
      <c r="R2078" s="84">
        <f>IF(ISNUMBER($I2078),ABS($I2078),0)</f>
        <v>0</v>
      </c>
      <c r="S2078" s="84">
        <f>IF(ISNUMBER($M2078),ABS($M2078),0)</f>
        <v>0</v>
      </c>
      <c r="T2078" s="85" t="n">
        <v>2070</v>
      </c>
    </row>
    <row r="2079">
      <c r="B2079" s="83" t="n"/>
      <c r="C2079" s="83" t="n"/>
      <c r="D2079" s="83" t="n"/>
      <c r="E2079" s="83" t="n"/>
      <c r="F2079" s="83" t="n"/>
      <c r="G2079" s="83" t="n"/>
      <c r="H2079" s="83" t="n"/>
      <c r="I2079" s="83" t="n"/>
      <c r="J2079" s="83" t="n"/>
      <c r="K2079" s="83" t="n"/>
      <c r="L2079" s="83" t="n"/>
      <c r="M2079" s="83" t="n"/>
      <c r="O2079" s="84" t="str">
        <f>IF($C2079="","",IFERROR(MATCH($B2079&amp;"|"&amp;$C2079,MUROS!$AX$11:$AX$70,0),0))</f>
        <v/>
      </c>
      <c r="P2079" s="84" t="str">
        <f>IF($D2079="","",IF(ISNUMBER(MATCH($D2079,CMB_S,0)),1,IF(ISNUMBER(MATCH($D2079,CMB_G,0)),2,0)))</f>
        <v/>
      </c>
      <c r="Q2079" s="84">
        <f>IF(ISNUMBER($H2079),-$H2079,0)</f>
        <v>0</v>
      </c>
      <c r="R2079" s="84">
        <f>IF(ISNUMBER($I2079),ABS($I2079),0)</f>
        <v>0</v>
      </c>
      <c r="S2079" s="84">
        <f>IF(ISNUMBER($M2079),ABS($M2079),0)</f>
        <v>0</v>
      </c>
      <c r="T2079" s="85" t="n">
        <v>2071</v>
      </c>
    </row>
    <row r="2080">
      <c r="B2080" s="83" t="n"/>
      <c r="C2080" s="83" t="n"/>
      <c r="D2080" s="83" t="n"/>
      <c r="E2080" s="83" t="n"/>
      <c r="F2080" s="83" t="n"/>
      <c r="G2080" s="83" t="n"/>
      <c r="H2080" s="83" t="n"/>
      <c r="I2080" s="83" t="n"/>
      <c r="J2080" s="83" t="n"/>
      <c r="K2080" s="83" t="n"/>
      <c r="L2080" s="83" t="n"/>
      <c r="M2080" s="83" t="n"/>
      <c r="O2080" s="84" t="str">
        <f>IF($C2080="","",IFERROR(MATCH($B2080&amp;"|"&amp;$C2080,MUROS!$AX$11:$AX$70,0),0))</f>
        <v/>
      </c>
      <c r="P2080" s="84" t="str">
        <f>IF($D2080="","",IF(ISNUMBER(MATCH($D2080,CMB_S,0)),1,IF(ISNUMBER(MATCH($D2080,CMB_G,0)),2,0)))</f>
        <v/>
      </c>
      <c r="Q2080" s="84">
        <f>IF(ISNUMBER($H2080),-$H2080,0)</f>
        <v>0</v>
      </c>
      <c r="R2080" s="84">
        <f>IF(ISNUMBER($I2080),ABS($I2080),0)</f>
        <v>0</v>
      </c>
      <c r="S2080" s="84">
        <f>IF(ISNUMBER($M2080),ABS($M2080),0)</f>
        <v>0</v>
      </c>
      <c r="T2080" s="85" t="n">
        <v>2072</v>
      </c>
    </row>
    <row r="2081">
      <c r="B2081" s="83" t="n"/>
      <c r="C2081" s="83" t="n"/>
      <c r="D2081" s="83" t="n"/>
      <c r="E2081" s="83" t="n"/>
      <c r="F2081" s="83" t="n"/>
      <c r="G2081" s="83" t="n"/>
      <c r="H2081" s="83" t="n"/>
      <c r="I2081" s="83" t="n"/>
      <c r="J2081" s="83" t="n"/>
      <c r="K2081" s="83" t="n"/>
      <c r="L2081" s="83" t="n"/>
      <c r="M2081" s="83" t="n"/>
      <c r="O2081" s="84" t="str">
        <f>IF($C2081="","",IFERROR(MATCH($B2081&amp;"|"&amp;$C2081,MUROS!$AX$11:$AX$70,0),0))</f>
        <v/>
      </c>
      <c r="P2081" s="84" t="str">
        <f>IF($D2081="","",IF(ISNUMBER(MATCH($D2081,CMB_S,0)),1,IF(ISNUMBER(MATCH($D2081,CMB_G,0)),2,0)))</f>
        <v/>
      </c>
      <c r="Q2081" s="84">
        <f>IF(ISNUMBER($H2081),-$H2081,0)</f>
        <v>0</v>
      </c>
      <c r="R2081" s="84">
        <f>IF(ISNUMBER($I2081),ABS($I2081),0)</f>
        <v>0</v>
      </c>
      <c r="S2081" s="84">
        <f>IF(ISNUMBER($M2081),ABS($M2081),0)</f>
        <v>0</v>
      </c>
      <c r="T2081" s="85" t="n">
        <v>2073</v>
      </c>
    </row>
    <row r="2082">
      <c r="B2082" s="83" t="n"/>
      <c r="C2082" s="83" t="n"/>
      <c r="D2082" s="83" t="n"/>
      <c r="E2082" s="83" t="n"/>
      <c r="F2082" s="83" t="n"/>
      <c r="G2082" s="83" t="n"/>
      <c r="H2082" s="83" t="n"/>
      <c r="I2082" s="83" t="n"/>
      <c r="J2082" s="83" t="n"/>
      <c r="K2082" s="83" t="n"/>
      <c r="L2082" s="83" t="n"/>
      <c r="M2082" s="83" t="n"/>
      <c r="O2082" s="84" t="str">
        <f>IF($C2082="","",IFERROR(MATCH($B2082&amp;"|"&amp;$C2082,MUROS!$AX$11:$AX$70,0),0))</f>
        <v/>
      </c>
      <c r="P2082" s="84" t="str">
        <f>IF($D2082="","",IF(ISNUMBER(MATCH($D2082,CMB_S,0)),1,IF(ISNUMBER(MATCH($D2082,CMB_G,0)),2,0)))</f>
        <v/>
      </c>
      <c r="Q2082" s="84">
        <f>IF(ISNUMBER($H2082),-$H2082,0)</f>
        <v>0</v>
      </c>
      <c r="R2082" s="84">
        <f>IF(ISNUMBER($I2082),ABS($I2082),0)</f>
        <v>0</v>
      </c>
      <c r="S2082" s="84">
        <f>IF(ISNUMBER($M2082),ABS($M2082),0)</f>
        <v>0</v>
      </c>
      <c r="T2082" s="85" t="n">
        <v>2074</v>
      </c>
    </row>
    <row r="2083">
      <c r="B2083" s="83" t="n"/>
      <c r="C2083" s="83" t="n"/>
      <c r="D2083" s="83" t="n"/>
      <c r="E2083" s="83" t="n"/>
      <c r="F2083" s="83" t="n"/>
      <c r="G2083" s="83" t="n"/>
      <c r="H2083" s="83" t="n"/>
      <c r="I2083" s="83" t="n"/>
      <c r="J2083" s="83" t="n"/>
      <c r="K2083" s="83" t="n"/>
      <c r="L2083" s="83" t="n"/>
      <c r="M2083" s="83" t="n"/>
      <c r="O2083" s="84" t="str">
        <f>IF($C2083="","",IFERROR(MATCH($B2083&amp;"|"&amp;$C2083,MUROS!$AX$11:$AX$70,0),0))</f>
        <v/>
      </c>
      <c r="P2083" s="84" t="str">
        <f>IF($D2083="","",IF(ISNUMBER(MATCH($D2083,CMB_S,0)),1,IF(ISNUMBER(MATCH($D2083,CMB_G,0)),2,0)))</f>
        <v/>
      </c>
      <c r="Q2083" s="84">
        <f>IF(ISNUMBER($H2083),-$H2083,0)</f>
        <v>0</v>
      </c>
      <c r="R2083" s="84">
        <f>IF(ISNUMBER($I2083),ABS($I2083),0)</f>
        <v>0</v>
      </c>
      <c r="S2083" s="84">
        <f>IF(ISNUMBER($M2083),ABS($M2083),0)</f>
        <v>0</v>
      </c>
      <c r="T2083" s="85" t="n">
        <v>2075</v>
      </c>
    </row>
    <row r="2084">
      <c r="B2084" s="83" t="n"/>
      <c r="C2084" s="83" t="n"/>
      <c r="D2084" s="83" t="n"/>
      <c r="E2084" s="83" t="n"/>
      <c r="F2084" s="83" t="n"/>
      <c r="G2084" s="83" t="n"/>
      <c r="H2084" s="83" t="n"/>
      <c r="I2084" s="83" t="n"/>
      <c r="J2084" s="83" t="n"/>
      <c r="K2084" s="83" t="n"/>
      <c r="L2084" s="83" t="n"/>
      <c r="M2084" s="83" t="n"/>
      <c r="O2084" s="84" t="str">
        <f>IF($C2084="","",IFERROR(MATCH($B2084&amp;"|"&amp;$C2084,MUROS!$AX$11:$AX$70,0),0))</f>
        <v/>
      </c>
      <c r="P2084" s="84" t="str">
        <f>IF($D2084="","",IF(ISNUMBER(MATCH($D2084,CMB_S,0)),1,IF(ISNUMBER(MATCH($D2084,CMB_G,0)),2,0)))</f>
        <v/>
      </c>
      <c r="Q2084" s="84">
        <f>IF(ISNUMBER($H2084),-$H2084,0)</f>
        <v>0</v>
      </c>
      <c r="R2084" s="84">
        <f>IF(ISNUMBER($I2084),ABS($I2084),0)</f>
        <v>0</v>
      </c>
      <c r="S2084" s="84">
        <f>IF(ISNUMBER($M2084),ABS($M2084),0)</f>
        <v>0</v>
      </c>
      <c r="T2084" s="85" t="n">
        <v>2076</v>
      </c>
    </row>
    <row r="2085">
      <c r="B2085" s="83" t="n"/>
      <c r="C2085" s="83" t="n"/>
      <c r="D2085" s="83" t="n"/>
      <c r="E2085" s="83" t="n"/>
      <c r="F2085" s="83" t="n"/>
      <c r="G2085" s="83" t="n"/>
      <c r="H2085" s="83" t="n"/>
      <c r="I2085" s="83" t="n"/>
      <c r="J2085" s="83" t="n"/>
      <c r="K2085" s="83" t="n"/>
      <c r="L2085" s="83" t="n"/>
      <c r="M2085" s="83" t="n"/>
      <c r="O2085" s="84" t="str">
        <f>IF($C2085="","",IFERROR(MATCH($B2085&amp;"|"&amp;$C2085,MUROS!$AX$11:$AX$70,0),0))</f>
        <v/>
      </c>
      <c r="P2085" s="84" t="str">
        <f>IF($D2085="","",IF(ISNUMBER(MATCH($D2085,CMB_S,0)),1,IF(ISNUMBER(MATCH($D2085,CMB_G,0)),2,0)))</f>
        <v/>
      </c>
      <c r="Q2085" s="84">
        <f>IF(ISNUMBER($H2085),-$H2085,0)</f>
        <v>0</v>
      </c>
      <c r="R2085" s="84">
        <f>IF(ISNUMBER($I2085),ABS($I2085),0)</f>
        <v>0</v>
      </c>
      <c r="S2085" s="84">
        <f>IF(ISNUMBER($M2085),ABS($M2085),0)</f>
        <v>0</v>
      </c>
      <c r="T2085" s="85" t="n">
        <v>2077</v>
      </c>
    </row>
    <row r="2086">
      <c r="B2086" s="83" t="n"/>
      <c r="C2086" s="83" t="n"/>
      <c r="D2086" s="83" t="n"/>
      <c r="E2086" s="83" t="n"/>
      <c r="F2086" s="83" t="n"/>
      <c r="G2086" s="83" t="n"/>
      <c r="H2086" s="83" t="n"/>
      <c r="I2086" s="83" t="n"/>
      <c r="J2086" s="83" t="n"/>
      <c r="K2086" s="83" t="n"/>
      <c r="L2086" s="83" t="n"/>
      <c r="M2086" s="83" t="n"/>
      <c r="O2086" s="84" t="str">
        <f>IF($C2086="","",IFERROR(MATCH($B2086&amp;"|"&amp;$C2086,MUROS!$AX$11:$AX$70,0),0))</f>
        <v/>
      </c>
      <c r="P2086" s="84" t="str">
        <f>IF($D2086="","",IF(ISNUMBER(MATCH($D2086,CMB_S,0)),1,IF(ISNUMBER(MATCH($D2086,CMB_G,0)),2,0)))</f>
        <v/>
      </c>
      <c r="Q2086" s="84">
        <f>IF(ISNUMBER($H2086),-$H2086,0)</f>
        <v>0</v>
      </c>
      <c r="R2086" s="84">
        <f>IF(ISNUMBER($I2086),ABS($I2086),0)</f>
        <v>0</v>
      </c>
      <c r="S2086" s="84">
        <f>IF(ISNUMBER($M2086),ABS($M2086),0)</f>
        <v>0</v>
      </c>
      <c r="T2086" s="85" t="n">
        <v>2078</v>
      </c>
    </row>
    <row r="2087">
      <c r="B2087" s="83" t="n"/>
      <c r="C2087" s="83" t="n"/>
      <c r="D2087" s="83" t="n"/>
      <c r="E2087" s="83" t="n"/>
      <c r="F2087" s="83" t="n"/>
      <c r="G2087" s="83" t="n"/>
      <c r="H2087" s="83" t="n"/>
      <c r="I2087" s="83" t="n"/>
      <c r="J2087" s="83" t="n"/>
      <c r="K2087" s="83" t="n"/>
      <c r="L2087" s="83" t="n"/>
      <c r="M2087" s="83" t="n"/>
      <c r="O2087" s="84" t="str">
        <f>IF($C2087="","",IFERROR(MATCH($B2087&amp;"|"&amp;$C2087,MUROS!$AX$11:$AX$70,0),0))</f>
        <v/>
      </c>
      <c r="P2087" s="84" t="str">
        <f>IF($D2087="","",IF(ISNUMBER(MATCH($D2087,CMB_S,0)),1,IF(ISNUMBER(MATCH($D2087,CMB_G,0)),2,0)))</f>
        <v/>
      </c>
      <c r="Q2087" s="84">
        <f>IF(ISNUMBER($H2087),-$H2087,0)</f>
        <v>0</v>
      </c>
      <c r="R2087" s="84">
        <f>IF(ISNUMBER($I2087),ABS($I2087),0)</f>
        <v>0</v>
      </c>
      <c r="S2087" s="84">
        <f>IF(ISNUMBER($M2087),ABS($M2087),0)</f>
        <v>0</v>
      </c>
      <c r="T2087" s="85" t="n">
        <v>2079</v>
      </c>
    </row>
    <row r="2088">
      <c r="B2088" s="83" t="n"/>
      <c r="C2088" s="83" t="n"/>
      <c r="D2088" s="83" t="n"/>
      <c r="E2088" s="83" t="n"/>
      <c r="F2088" s="83" t="n"/>
      <c r="G2088" s="83" t="n"/>
      <c r="H2088" s="83" t="n"/>
      <c r="I2088" s="83" t="n"/>
      <c r="J2088" s="83" t="n"/>
      <c r="K2088" s="83" t="n"/>
      <c r="L2088" s="83" t="n"/>
      <c r="M2088" s="83" t="n"/>
      <c r="O2088" s="84" t="str">
        <f>IF($C2088="","",IFERROR(MATCH($B2088&amp;"|"&amp;$C2088,MUROS!$AX$11:$AX$70,0),0))</f>
        <v/>
      </c>
      <c r="P2088" s="84" t="str">
        <f>IF($D2088="","",IF(ISNUMBER(MATCH($D2088,CMB_S,0)),1,IF(ISNUMBER(MATCH($D2088,CMB_G,0)),2,0)))</f>
        <v/>
      </c>
      <c r="Q2088" s="84">
        <f>IF(ISNUMBER($H2088),-$H2088,0)</f>
        <v>0</v>
      </c>
      <c r="R2088" s="84">
        <f>IF(ISNUMBER($I2088),ABS($I2088),0)</f>
        <v>0</v>
      </c>
      <c r="S2088" s="84">
        <f>IF(ISNUMBER($M2088),ABS($M2088),0)</f>
        <v>0</v>
      </c>
      <c r="T2088" s="85" t="n">
        <v>2080</v>
      </c>
    </row>
    <row r="2089">
      <c r="B2089" s="83" t="n"/>
      <c r="C2089" s="83" t="n"/>
      <c r="D2089" s="83" t="n"/>
      <c r="E2089" s="83" t="n"/>
      <c r="F2089" s="83" t="n"/>
      <c r="G2089" s="83" t="n"/>
      <c r="H2089" s="83" t="n"/>
      <c r="I2089" s="83" t="n"/>
      <c r="J2089" s="83" t="n"/>
      <c r="K2089" s="83" t="n"/>
      <c r="L2089" s="83" t="n"/>
      <c r="M2089" s="83" t="n"/>
      <c r="O2089" s="84" t="str">
        <f>IF($C2089="","",IFERROR(MATCH($B2089&amp;"|"&amp;$C2089,MUROS!$AX$11:$AX$70,0),0))</f>
        <v/>
      </c>
      <c r="P2089" s="84" t="str">
        <f>IF($D2089="","",IF(ISNUMBER(MATCH($D2089,CMB_S,0)),1,IF(ISNUMBER(MATCH($D2089,CMB_G,0)),2,0)))</f>
        <v/>
      </c>
      <c r="Q2089" s="84">
        <f>IF(ISNUMBER($H2089),-$H2089,0)</f>
        <v>0</v>
      </c>
      <c r="R2089" s="84">
        <f>IF(ISNUMBER($I2089),ABS($I2089),0)</f>
        <v>0</v>
      </c>
      <c r="S2089" s="84">
        <f>IF(ISNUMBER($M2089),ABS($M2089),0)</f>
        <v>0</v>
      </c>
      <c r="T2089" s="85" t="n">
        <v>2081</v>
      </c>
    </row>
    <row r="2090">
      <c r="B2090" s="83" t="n"/>
      <c r="C2090" s="83" t="n"/>
      <c r="D2090" s="83" t="n"/>
      <c r="E2090" s="83" t="n"/>
      <c r="F2090" s="83" t="n"/>
      <c r="G2090" s="83" t="n"/>
      <c r="H2090" s="83" t="n"/>
      <c r="I2090" s="83" t="n"/>
      <c r="J2090" s="83" t="n"/>
      <c r="K2090" s="83" t="n"/>
      <c r="L2090" s="83" t="n"/>
      <c r="M2090" s="83" t="n"/>
      <c r="O2090" s="84" t="str">
        <f>IF($C2090="","",IFERROR(MATCH($B2090&amp;"|"&amp;$C2090,MUROS!$AX$11:$AX$70,0),0))</f>
        <v/>
      </c>
      <c r="P2090" s="84" t="str">
        <f>IF($D2090="","",IF(ISNUMBER(MATCH($D2090,CMB_S,0)),1,IF(ISNUMBER(MATCH($D2090,CMB_G,0)),2,0)))</f>
        <v/>
      </c>
      <c r="Q2090" s="84">
        <f>IF(ISNUMBER($H2090),-$H2090,0)</f>
        <v>0</v>
      </c>
      <c r="R2090" s="84">
        <f>IF(ISNUMBER($I2090),ABS($I2090),0)</f>
        <v>0</v>
      </c>
      <c r="S2090" s="84">
        <f>IF(ISNUMBER($M2090),ABS($M2090),0)</f>
        <v>0</v>
      </c>
      <c r="T2090" s="85" t="n">
        <v>2082</v>
      </c>
    </row>
    <row r="2091">
      <c r="B2091" s="83" t="n"/>
      <c r="C2091" s="83" t="n"/>
      <c r="D2091" s="83" t="n"/>
      <c r="E2091" s="83" t="n"/>
      <c r="F2091" s="83" t="n"/>
      <c r="G2091" s="83" t="n"/>
      <c r="H2091" s="83" t="n"/>
      <c r="I2091" s="83" t="n"/>
      <c r="J2091" s="83" t="n"/>
      <c r="K2091" s="83" t="n"/>
      <c r="L2091" s="83" t="n"/>
      <c r="M2091" s="83" t="n"/>
      <c r="O2091" s="84" t="str">
        <f>IF($C2091="","",IFERROR(MATCH($B2091&amp;"|"&amp;$C2091,MUROS!$AX$11:$AX$70,0),0))</f>
        <v/>
      </c>
      <c r="P2091" s="84" t="str">
        <f>IF($D2091="","",IF(ISNUMBER(MATCH($D2091,CMB_S,0)),1,IF(ISNUMBER(MATCH($D2091,CMB_G,0)),2,0)))</f>
        <v/>
      </c>
      <c r="Q2091" s="84">
        <f>IF(ISNUMBER($H2091),-$H2091,0)</f>
        <v>0</v>
      </c>
      <c r="R2091" s="84">
        <f>IF(ISNUMBER($I2091),ABS($I2091),0)</f>
        <v>0</v>
      </c>
      <c r="S2091" s="84">
        <f>IF(ISNUMBER($M2091),ABS($M2091),0)</f>
        <v>0</v>
      </c>
      <c r="T2091" s="85" t="n">
        <v>2083</v>
      </c>
    </row>
    <row r="2092">
      <c r="B2092" s="83" t="n"/>
      <c r="C2092" s="83" t="n"/>
      <c r="D2092" s="83" t="n"/>
      <c r="E2092" s="83" t="n"/>
      <c r="F2092" s="83" t="n"/>
      <c r="G2092" s="83" t="n"/>
      <c r="H2092" s="83" t="n"/>
      <c r="I2092" s="83" t="n"/>
      <c r="J2092" s="83" t="n"/>
      <c r="K2092" s="83" t="n"/>
      <c r="L2092" s="83" t="n"/>
      <c r="M2092" s="83" t="n"/>
      <c r="O2092" s="84" t="str">
        <f>IF($C2092="","",IFERROR(MATCH($B2092&amp;"|"&amp;$C2092,MUROS!$AX$11:$AX$70,0),0))</f>
        <v/>
      </c>
      <c r="P2092" s="84" t="str">
        <f>IF($D2092="","",IF(ISNUMBER(MATCH($D2092,CMB_S,0)),1,IF(ISNUMBER(MATCH($D2092,CMB_G,0)),2,0)))</f>
        <v/>
      </c>
      <c r="Q2092" s="84">
        <f>IF(ISNUMBER($H2092),-$H2092,0)</f>
        <v>0</v>
      </c>
      <c r="R2092" s="84">
        <f>IF(ISNUMBER($I2092),ABS($I2092),0)</f>
        <v>0</v>
      </c>
      <c r="S2092" s="84">
        <f>IF(ISNUMBER($M2092),ABS($M2092),0)</f>
        <v>0</v>
      </c>
      <c r="T2092" s="85" t="n">
        <v>2084</v>
      </c>
    </row>
    <row r="2093">
      <c r="B2093" s="83" t="n"/>
      <c r="C2093" s="83" t="n"/>
      <c r="D2093" s="83" t="n"/>
      <c r="E2093" s="83" t="n"/>
      <c r="F2093" s="83" t="n"/>
      <c r="G2093" s="83" t="n"/>
      <c r="H2093" s="83" t="n"/>
      <c r="I2093" s="83" t="n"/>
      <c r="J2093" s="83" t="n"/>
      <c r="K2093" s="83" t="n"/>
      <c r="L2093" s="83" t="n"/>
      <c r="M2093" s="83" t="n"/>
      <c r="O2093" s="84" t="str">
        <f>IF($C2093="","",IFERROR(MATCH($B2093&amp;"|"&amp;$C2093,MUROS!$AX$11:$AX$70,0),0))</f>
        <v/>
      </c>
      <c r="P2093" s="84" t="str">
        <f>IF($D2093="","",IF(ISNUMBER(MATCH($D2093,CMB_S,0)),1,IF(ISNUMBER(MATCH($D2093,CMB_G,0)),2,0)))</f>
        <v/>
      </c>
      <c r="Q2093" s="84">
        <f>IF(ISNUMBER($H2093),-$H2093,0)</f>
        <v>0</v>
      </c>
      <c r="R2093" s="84">
        <f>IF(ISNUMBER($I2093),ABS($I2093),0)</f>
        <v>0</v>
      </c>
      <c r="S2093" s="84">
        <f>IF(ISNUMBER($M2093),ABS($M2093),0)</f>
        <v>0</v>
      </c>
      <c r="T2093" s="85" t="n">
        <v>2085</v>
      </c>
    </row>
    <row r="2094">
      <c r="B2094" s="83" t="n"/>
      <c r="C2094" s="83" t="n"/>
      <c r="D2094" s="83" t="n"/>
      <c r="E2094" s="83" t="n"/>
      <c r="F2094" s="83" t="n"/>
      <c r="G2094" s="83" t="n"/>
      <c r="H2094" s="83" t="n"/>
      <c r="I2094" s="83" t="n"/>
      <c r="J2094" s="83" t="n"/>
      <c r="K2094" s="83" t="n"/>
      <c r="L2094" s="83" t="n"/>
      <c r="M2094" s="83" t="n"/>
      <c r="O2094" s="84" t="str">
        <f>IF($C2094="","",IFERROR(MATCH($B2094&amp;"|"&amp;$C2094,MUROS!$AX$11:$AX$70,0),0))</f>
        <v/>
      </c>
      <c r="P2094" s="84" t="str">
        <f>IF($D2094="","",IF(ISNUMBER(MATCH($D2094,CMB_S,0)),1,IF(ISNUMBER(MATCH($D2094,CMB_G,0)),2,0)))</f>
        <v/>
      </c>
      <c r="Q2094" s="84">
        <f>IF(ISNUMBER($H2094),-$H2094,0)</f>
        <v>0</v>
      </c>
      <c r="R2094" s="84">
        <f>IF(ISNUMBER($I2094),ABS($I2094),0)</f>
        <v>0</v>
      </c>
      <c r="S2094" s="84">
        <f>IF(ISNUMBER($M2094),ABS($M2094),0)</f>
        <v>0</v>
      </c>
      <c r="T2094" s="85" t="n">
        <v>2086</v>
      </c>
    </row>
    <row r="2095">
      <c r="B2095" s="83" t="n"/>
      <c r="C2095" s="83" t="n"/>
      <c r="D2095" s="83" t="n"/>
      <c r="E2095" s="83" t="n"/>
      <c r="F2095" s="83" t="n"/>
      <c r="G2095" s="83" t="n"/>
      <c r="H2095" s="83" t="n"/>
      <c r="I2095" s="83" t="n"/>
      <c r="J2095" s="83" t="n"/>
      <c r="K2095" s="83" t="n"/>
      <c r="L2095" s="83" t="n"/>
      <c r="M2095" s="83" t="n"/>
      <c r="O2095" s="84" t="str">
        <f>IF($C2095="","",IFERROR(MATCH($B2095&amp;"|"&amp;$C2095,MUROS!$AX$11:$AX$70,0),0))</f>
        <v/>
      </c>
      <c r="P2095" s="84" t="str">
        <f>IF($D2095="","",IF(ISNUMBER(MATCH($D2095,CMB_S,0)),1,IF(ISNUMBER(MATCH($D2095,CMB_G,0)),2,0)))</f>
        <v/>
      </c>
      <c r="Q2095" s="84">
        <f>IF(ISNUMBER($H2095),-$H2095,0)</f>
        <v>0</v>
      </c>
      <c r="R2095" s="84">
        <f>IF(ISNUMBER($I2095),ABS($I2095),0)</f>
        <v>0</v>
      </c>
      <c r="S2095" s="84">
        <f>IF(ISNUMBER($M2095),ABS($M2095),0)</f>
        <v>0</v>
      </c>
      <c r="T2095" s="85" t="n">
        <v>2087</v>
      </c>
    </row>
    <row r="2096">
      <c r="B2096" s="83" t="n"/>
      <c r="C2096" s="83" t="n"/>
      <c r="D2096" s="83" t="n"/>
      <c r="E2096" s="83" t="n"/>
      <c r="F2096" s="83" t="n"/>
      <c r="G2096" s="83" t="n"/>
      <c r="H2096" s="83" t="n"/>
      <c r="I2096" s="83" t="n"/>
      <c r="J2096" s="83" t="n"/>
      <c r="K2096" s="83" t="n"/>
      <c r="L2096" s="83" t="n"/>
      <c r="M2096" s="83" t="n"/>
      <c r="O2096" s="84" t="str">
        <f>IF($C2096="","",IFERROR(MATCH($B2096&amp;"|"&amp;$C2096,MUROS!$AX$11:$AX$70,0),0))</f>
        <v/>
      </c>
      <c r="P2096" s="84" t="str">
        <f>IF($D2096="","",IF(ISNUMBER(MATCH($D2096,CMB_S,0)),1,IF(ISNUMBER(MATCH($D2096,CMB_G,0)),2,0)))</f>
        <v/>
      </c>
      <c r="Q2096" s="84">
        <f>IF(ISNUMBER($H2096),-$H2096,0)</f>
        <v>0</v>
      </c>
      <c r="R2096" s="84">
        <f>IF(ISNUMBER($I2096),ABS($I2096),0)</f>
        <v>0</v>
      </c>
      <c r="S2096" s="84">
        <f>IF(ISNUMBER($M2096),ABS($M2096),0)</f>
        <v>0</v>
      </c>
      <c r="T2096" s="85" t="n">
        <v>2088</v>
      </c>
    </row>
    <row r="2097">
      <c r="B2097" s="83" t="n"/>
      <c r="C2097" s="83" t="n"/>
      <c r="D2097" s="83" t="n"/>
      <c r="E2097" s="83" t="n"/>
      <c r="F2097" s="83" t="n"/>
      <c r="G2097" s="83" t="n"/>
      <c r="H2097" s="83" t="n"/>
      <c r="I2097" s="83" t="n"/>
      <c r="J2097" s="83" t="n"/>
      <c r="K2097" s="83" t="n"/>
      <c r="L2097" s="83" t="n"/>
      <c r="M2097" s="83" t="n"/>
      <c r="O2097" s="84" t="str">
        <f>IF($C2097="","",IFERROR(MATCH($B2097&amp;"|"&amp;$C2097,MUROS!$AX$11:$AX$70,0),0))</f>
        <v/>
      </c>
      <c r="P2097" s="84" t="str">
        <f>IF($D2097="","",IF(ISNUMBER(MATCH($D2097,CMB_S,0)),1,IF(ISNUMBER(MATCH($D2097,CMB_G,0)),2,0)))</f>
        <v/>
      </c>
      <c r="Q2097" s="84">
        <f>IF(ISNUMBER($H2097),-$H2097,0)</f>
        <v>0</v>
      </c>
      <c r="R2097" s="84">
        <f>IF(ISNUMBER($I2097),ABS($I2097),0)</f>
        <v>0</v>
      </c>
      <c r="S2097" s="84">
        <f>IF(ISNUMBER($M2097),ABS($M2097),0)</f>
        <v>0</v>
      </c>
      <c r="T2097" s="85" t="n">
        <v>2089</v>
      </c>
    </row>
    <row r="2098">
      <c r="B2098" s="83" t="n"/>
      <c r="C2098" s="83" t="n"/>
      <c r="D2098" s="83" t="n"/>
      <c r="E2098" s="83" t="n"/>
      <c r="F2098" s="83" t="n"/>
      <c r="G2098" s="83" t="n"/>
      <c r="H2098" s="83" t="n"/>
      <c r="I2098" s="83" t="n"/>
      <c r="J2098" s="83" t="n"/>
      <c r="K2098" s="83" t="n"/>
      <c r="L2098" s="83" t="n"/>
      <c r="M2098" s="83" t="n"/>
      <c r="O2098" s="84" t="str">
        <f>IF($C2098="","",IFERROR(MATCH($B2098&amp;"|"&amp;$C2098,MUROS!$AX$11:$AX$70,0),0))</f>
        <v/>
      </c>
      <c r="P2098" s="84" t="str">
        <f>IF($D2098="","",IF(ISNUMBER(MATCH($D2098,CMB_S,0)),1,IF(ISNUMBER(MATCH($D2098,CMB_G,0)),2,0)))</f>
        <v/>
      </c>
      <c r="Q2098" s="84">
        <f>IF(ISNUMBER($H2098),-$H2098,0)</f>
        <v>0</v>
      </c>
      <c r="R2098" s="84">
        <f>IF(ISNUMBER($I2098),ABS($I2098),0)</f>
        <v>0</v>
      </c>
      <c r="S2098" s="84">
        <f>IF(ISNUMBER($M2098),ABS($M2098),0)</f>
        <v>0</v>
      </c>
      <c r="T2098" s="85" t="n">
        <v>2090</v>
      </c>
    </row>
    <row r="2099">
      <c r="B2099" s="83" t="n"/>
      <c r="C2099" s="83" t="n"/>
      <c r="D2099" s="83" t="n"/>
      <c r="E2099" s="83" t="n"/>
      <c r="F2099" s="83" t="n"/>
      <c r="G2099" s="83" t="n"/>
      <c r="H2099" s="83" t="n"/>
      <c r="I2099" s="83" t="n"/>
      <c r="J2099" s="83" t="n"/>
      <c r="K2099" s="83" t="n"/>
      <c r="L2099" s="83" t="n"/>
      <c r="M2099" s="83" t="n"/>
      <c r="O2099" s="84" t="str">
        <f>IF($C2099="","",IFERROR(MATCH($B2099&amp;"|"&amp;$C2099,MUROS!$AX$11:$AX$70,0),0))</f>
        <v/>
      </c>
      <c r="P2099" s="84" t="str">
        <f>IF($D2099="","",IF(ISNUMBER(MATCH($D2099,CMB_S,0)),1,IF(ISNUMBER(MATCH($D2099,CMB_G,0)),2,0)))</f>
        <v/>
      </c>
      <c r="Q2099" s="84">
        <f>IF(ISNUMBER($H2099),-$H2099,0)</f>
        <v>0</v>
      </c>
      <c r="R2099" s="84">
        <f>IF(ISNUMBER($I2099),ABS($I2099),0)</f>
        <v>0</v>
      </c>
      <c r="S2099" s="84">
        <f>IF(ISNUMBER($M2099),ABS($M2099),0)</f>
        <v>0</v>
      </c>
      <c r="T2099" s="85" t="n">
        <v>2091</v>
      </c>
    </row>
    <row r="2100">
      <c r="B2100" s="83" t="n"/>
      <c r="C2100" s="83" t="n"/>
      <c r="D2100" s="83" t="n"/>
      <c r="E2100" s="83" t="n"/>
      <c r="F2100" s="83" t="n"/>
      <c r="G2100" s="83" t="n"/>
      <c r="H2100" s="83" t="n"/>
      <c r="I2100" s="83" t="n"/>
      <c r="J2100" s="83" t="n"/>
      <c r="K2100" s="83" t="n"/>
      <c r="L2100" s="83" t="n"/>
      <c r="M2100" s="83" t="n"/>
      <c r="O2100" s="84" t="str">
        <f>IF($C2100="","",IFERROR(MATCH($B2100&amp;"|"&amp;$C2100,MUROS!$AX$11:$AX$70,0),0))</f>
        <v/>
      </c>
      <c r="P2100" s="84" t="str">
        <f>IF($D2100="","",IF(ISNUMBER(MATCH($D2100,CMB_S,0)),1,IF(ISNUMBER(MATCH($D2100,CMB_G,0)),2,0)))</f>
        <v/>
      </c>
      <c r="Q2100" s="84">
        <f>IF(ISNUMBER($H2100),-$H2100,0)</f>
        <v>0</v>
      </c>
      <c r="R2100" s="84">
        <f>IF(ISNUMBER($I2100),ABS($I2100),0)</f>
        <v>0</v>
      </c>
      <c r="S2100" s="84">
        <f>IF(ISNUMBER($M2100),ABS($M2100),0)</f>
        <v>0</v>
      </c>
      <c r="T2100" s="85" t="n">
        <v>2092</v>
      </c>
    </row>
    <row r="2101">
      <c r="B2101" s="83" t="n"/>
      <c r="C2101" s="83" t="n"/>
      <c r="D2101" s="83" t="n"/>
      <c r="E2101" s="83" t="n"/>
      <c r="F2101" s="83" t="n"/>
      <c r="G2101" s="83" t="n"/>
      <c r="H2101" s="83" t="n"/>
      <c r="I2101" s="83" t="n"/>
      <c r="J2101" s="83" t="n"/>
      <c r="K2101" s="83" t="n"/>
      <c r="L2101" s="83" t="n"/>
      <c r="M2101" s="83" t="n"/>
      <c r="O2101" s="84" t="str">
        <f>IF($C2101="","",IFERROR(MATCH($B2101&amp;"|"&amp;$C2101,MUROS!$AX$11:$AX$70,0),0))</f>
        <v/>
      </c>
      <c r="P2101" s="84" t="str">
        <f>IF($D2101="","",IF(ISNUMBER(MATCH($D2101,CMB_S,0)),1,IF(ISNUMBER(MATCH($D2101,CMB_G,0)),2,0)))</f>
        <v/>
      </c>
      <c r="Q2101" s="84">
        <f>IF(ISNUMBER($H2101),-$H2101,0)</f>
        <v>0</v>
      </c>
      <c r="R2101" s="84">
        <f>IF(ISNUMBER($I2101),ABS($I2101),0)</f>
        <v>0</v>
      </c>
      <c r="S2101" s="84">
        <f>IF(ISNUMBER($M2101),ABS($M2101),0)</f>
        <v>0</v>
      </c>
      <c r="T2101" s="85" t="n">
        <v>2093</v>
      </c>
    </row>
    <row r="2102">
      <c r="B2102" s="83" t="n"/>
      <c r="C2102" s="83" t="n"/>
      <c r="D2102" s="83" t="n"/>
      <c r="E2102" s="83" t="n"/>
      <c r="F2102" s="83" t="n"/>
      <c r="G2102" s="83" t="n"/>
      <c r="H2102" s="83" t="n"/>
      <c r="I2102" s="83" t="n"/>
      <c r="J2102" s="83" t="n"/>
      <c r="K2102" s="83" t="n"/>
      <c r="L2102" s="83" t="n"/>
      <c r="M2102" s="83" t="n"/>
      <c r="O2102" s="84" t="str">
        <f>IF($C2102="","",IFERROR(MATCH($B2102&amp;"|"&amp;$C2102,MUROS!$AX$11:$AX$70,0),0))</f>
        <v/>
      </c>
      <c r="P2102" s="84" t="str">
        <f>IF($D2102="","",IF(ISNUMBER(MATCH($D2102,CMB_S,0)),1,IF(ISNUMBER(MATCH($D2102,CMB_G,0)),2,0)))</f>
        <v/>
      </c>
      <c r="Q2102" s="84">
        <f>IF(ISNUMBER($H2102),-$H2102,0)</f>
        <v>0</v>
      </c>
      <c r="R2102" s="84">
        <f>IF(ISNUMBER($I2102),ABS($I2102),0)</f>
        <v>0</v>
      </c>
      <c r="S2102" s="84">
        <f>IF(ISNUMBER($M2102),ABS($M2102),0)</f>
        <v>0</v>
      </c>
      <c r="T2102" s="85" t="n">
        <v>2094</v>
      </c>
    </row>
    <row r="2103">
      <c r="B2103" s="83" t="n"/>
      <c r="C2103" s="83" t="n"/>
      <c r="D2103" s="83" t="n"/>
      <c r="E2103" s="83" t="n"/>
      <c r="F2103" s="83" t="n"/>
      <c r="G2103" s="83" t="n"/>
      <c r="H2103" s="83" t="n"/>
      <c r="I2103" s="83" t="n"/>
      <c r="J2103" s="83" t="n"/>
      <c r="K2103" s="83" t="n"/>
      <c r="L2103" s="83" t="n"/>
      <c r="M2103" s="83" t="n"/>
      <c r="O2103" s="84" t="str">
        <f>IF($C2103="","",IFERROR(MATCH($B2103&amp;"|"&amp;$C2103,MUROS!$AX$11:$AX$70,0),0))</f>
        <v/>
      </c>
      <c r="P2103" s="84" t="str">
        <f>IF($D2103="","",IF(ISNUMBER(MATCH($D2103,CMB_S,0)),1,IF(ISNUMBER(MATCH($D2103,CMB_G,0)),2,0)))</f>
        <v/>
      </c>
      <c r="Q2103" s="84">
        <f>IF(ISNUMBER($H2103),-$H2103,0)</f>
        <v>0</v>
      </c>
      <c r="R2103" s="84">
        <f>IF(ISNUMBER($I2103),ABS($I2103),0)</f>
        <v>0</v>
      </c>
      <c r="S2103" s="84">
        <f>IF(ISNUMBER($M2103),ABS($M2103),0)</f>
        <v>0</v>
      </c>
      <c r="T2103" s="85" t="n">
        <v>2095</v>
      </c>
    </row>
    <row r="2104">
      <c r="B2104" s="83" t="n"/>
      <c r="C2104" s="83" t="n"/>
      <c r="D2104" s="83" t="n"/>
      <c r="E2104" s="83" t="n"/>
      <c r="F2104" s="83" t="n"/>
      <c r="G2104" s="83" t="n"/>
      <c r="H2104" s="83" t="n"/>
      <c r="I2104" s="83" t="n"/>
      <c r="J2104" s="83" t="n"/>
      <c r="K2104" s="83" t="n"/>
      <c r="L2104" s="83" t="n"/>
      <c r="M2104" s="83" t="n"/>
      <c r="O2104" s="84" t="str">
        <f>IF($C2104="","",IFERROR(MATCH($B2104&amp;"|"&amp;$C2104,MUROS!$AX$11:$AX$70,0),0))</f>
        <v/>
      </c>
      <c r="P2104" s="84" t="str">
        <f>IF($D2104="","",IF(ISNUMBER(MATCH($D2104,CMB_S,0)),1,IF(ISNUMBER(MATCH($D2104,CMB_G,0)),2,0)))</f>
        <v/>
      </c>
      <c r="Q2104" s="84">
        <f>IF(ISNUMBER($H2104),-$H2104,0)</f>
        <v>0</v>
      </c>
      <c r="R2104" s="84">
        <f>IF(ISNUMBER($I2104),ABS($I2104),0)</f>
        <v>0</v>
      </c>
      <c r="S2104" s="84">
        <f>IF(ISNUMBER($M2104),ABS($M2104),0)</f>
        <v>0</v>
      </c>
      <c r="T2104" s="85" t="n">
        <v>2096</v>
      </c>
    </row>
    <row r="2105">
      <c r="B2105" s="83" t="n"/>
      <c r="C2105" s="83" t="n"/>
      <c r="D2105" s="83" t="n"/>
      <c r="E2105" s="83" t="n"/>
      <c r="F2105" s="83" t="n"/>
      <c r="G2105" s="83" t="n"/>
      <c r="H2105" s="83" t="n"/>
      <c r="I2105" s="83" t="n"/>
      <c r="J2105" s="83" t="n"/>
      <c r="K2105" s="83" t="n"/>
      <c r="L2105" s="83" t="n"/>
      <c r="M2105" s="83" t="n"/>
      <c r="O2105" s="84" t="str">
        <f>IF($C2105="","",IFERROR(MATCH($B2105&amp;"|"&amp;$C2105,MUROS!$AX$11:$AX$70,0),0))</f>
        <v/>
      </c>
      <c r="P2105" s="84" t="str">
        <f>IF($D2105="","",IF(ISNUMBER(MATCH($D2105,CMB_S,0)),1,IF(ISNUMBER(MATCH($D2105,CMB_G,0)),2,0)))</f>
        <v/>
      </c>
      <c r="Q2105" s="84">
        <f>IF(ISNUMBER($H2105),-$H2105,0)</f>
        <v>0</v>
      </c>
      <c r="R2105" s="84">
        <f>IF(ISNUMBER($I2105),ABS($I2105),0)</f>
        <v>0</v>
      </c>
      <c r="S2105" s="84">
        <f>IF(ISNUMBER($M2105),ABS($M2105),0)</f>
        <v>0</v>
      </c>
      <c r="T2105" s="85" t="n">
        <v>2097</v>
      </c>
    </row>
    <row r="2106">
      <c r="B2106" s="83" t="n"/>
      <c r="C2106" s="83" t="n"/>
      <c r="D2106" s="83" t="n"/>
      <c r="E2106" s="83" t="n"/>
      <c r="F2106" s="83" t="n"/>
      <c r="G2106" s="83" t="n"/>
      <c r="H2106" s="83" t="n"/>
      <c r="I2106" s="83" t="n"/>
      <c r="J2106" s="83" t="n"/>
      <c r="K2106" s="83" t="n"/>
      <c r="L2106" s="83" t="n"/>
      <c r="M2106" s="83" t="n"/>
      <c r="O2106" s="84" t="str">
        <f>IF($C2106="","",IFERROR(MATCH($B2106&amp;"|"&amp;$C2106,MUROS!$AX$11:$AX$70,0),0))</f>
        <v/>
      </c>
      <c r="P2106" s="84" t="str">
        <f>IF($D2106="","",IF(ISNUMBER(MATCH($D2106,CMB_S,0)),1,IF(ISNUMBER(MATCH($D2106,CMB_G,0)),2,0)))</f>
        <v/>
      </c>
      <c r="Q2106" s="84">
        <f>IF(ISNUMBER($H2106),-$H2106,0)</f>
        <v>0</v>
      </c>
      <c r="R2106" s="84">
        <f>IF(ISNUMBER($I2106),ABS($I2106),0)</f>
        <v>0</v>
      </c>
      <c r="S2106" s="84">
        <f>IF(ISNUMBER($M2106),ABS($M2106),0)</f>
        <v>0</v>
      </c>
      <c r="T2106" s="85" t="n">
        <v>2098</v>
      </c>
    </row>
    <row r="2107">
      <c r="B2107" s="83" t="n"/>
      <c r="C2107" s="83" t="n"/>
      <c r="D2107" s="83" t="n"/>
      <c r="E2107" s="83" t="n"/>
      <c r="F2107" s="83" t="n"/>
      <c r="G2107" s="83" t="n"/>
      <c r="H2107" s="83" t="n"/>
      <c r="I2107" s="83" t="n"/>
      <c r="J2107" s="83" t="n"/>
      <c r="K2107" s="83" t="n"/>
      <c r="L2107" s="83" t="n"/>
      <c r="M2107" s="83" t="n"/>
      <c r="O2107" s="84" t="str">
        <f>IF($C2107="","",IFERROR(MATCH($B2107&amp;"|"&amp;$C2107,MUROS!$AX$11:$AX$70,0),0))</f>
        <v/>
      </c>
      <c r="P2107" s="84" t="str">
        <f>IF($D2107="","",IF(ISNUMBER(MATCH($D2107,CMB_S,0)),1,IF(ISNUMBER(MATCH($D2107,CMB_G,0)),2,0)))</f>
        <v/>
      </c>
      <c r="Q2107" s="84">
        <f>IF(ISNUMBER($H2107),-$H2107,0)</f>
        <v>0</v>
      </c>
      <c r="R2107" s="84">
        <f>IF(ISNUMBER($I2107),ABS($I2107),0)</f>
        <v>0</v>
      </c>
      <c r="S2107" s="84">
        <f>IF(ISNUMBER($M2107),ABS($M2107),0)</f>
        <v>0</v>
      </c>
      <c r="T2107" s="85" t="n">
        <v>2099</v>
      </c>
    </row>
    <row r="2108">
      <c r="B2108" s="83" t="n"/>
      <c r="C2108" s="83" t="n"/>
      <c r="D2108" s="83" t="n"/>
      <c r="E2108" s="83" t="n"/>
      <c r="F2108" s="83" t="n"/>
      <c r="G2108" s="83" t="n"/>
      <c r="H2108" s="83" t="n"/>
      <c r="I2108" s="83" t="n"/>
      <c r="J2108" s="83" t="n"/>
      <c r="K2108" s="83" t="n"/>
      <c r="L2108" s="83" t="n"/>
      <c r="M2108" s="83" t="n"/>
      <c r="O2108" s="84" t="str">
        <f>IF($C2108="","",IFERROR(MATCH($B2108&amp;"|"&amp;$C2108,MUROS!$AX$11:$AX$70,0),0))</f>
        <v/>
      </c>
      <c r="P2108" s="84" t="str">
        <f>IF($D2108="","",IF(ISNUMBER(MATCH($D2108,CMB_S,0)),1,IF(ISNUMBER(MATCH($D2108,CMB_G,0)),2,0)))</f>
        <v/>
      </c>
      <c r="Q2108" s="84">
        <f>IF(ISNUMBER($H2108),-$H2108,0)</f>
        <v>0</v>
      </c>
      <c r="R2108" s="84">
        <f>IF(ISNUMBER($I2108),ABS($I2108),0)</f>
        <v>0</v>
      </c>
      <c r="S2108" s="84">
        <f>IF(ISNUMBER($M2108),ABS($M2108),0)</f>
        <v>0</v>
      </c>
      <c r="T2108" s="85" t="n">
        <v>2100</v>
      </c>
    </row>
    <row r="2109">
      <c r="B2109" s="83" t="n"/>
      <c r="C2109" s="83" t="n"/>
      <c r="D2109" s="83" t="n"/>
      <c r="E2109" s="83" t="n"/>
      <c r="F2109" s="83" t="n"/>
      <c r="G2109" s="83" t="n"/>
      <c r="H2109" s="83" t="n"/>
      <c r="I2109" s="83" t="n"/>
      <c r="J2109" s="83" t="n"/>
      <c r="K2109" s="83" t="n"/>
      <c r="L2109" s="83" t="n"/>
      <c r="M2109" s="83" t="n"/>
      <c r="O2109" s="84" t="str">
        <f>IF($C2109="","",IFERROR(MATCH($B2109&amp;"|"&amp;$C2109,MUROS!$AX$11:$AX$70,0),0))</f>
        <v/>
      </c>
      <c r="P2109" s="84" t="str">
        <f>IF($D2109="","",IF(ISNUMBER(MATCH($D2109,CMB_S,0)),1,IF(ISNUMBER(MATCH($D2109,CMB_G,0)),2,0)))</f>
        <v/>
      </c>
      <c r="Q2109" s="84">
        <f>IF(ISNUMBER($H2109),-$H2109,0)</f>
        <v>0</v>
      </c>
      <c r="R2109" s="84">
        <f>IF(ISNUMBER($I2109),ABS($I2109),0)</f>
        <v>0</v>
      </c>
      <c r="S2109" s="84">
        <f>IF(ISNUMBER($M2109),ABS($M2109),0)</f>
        <v>0</v>
      </c>
      <c r="T2109" s="85" t="n">
        <v>2101</v>
      </c>
    </row>
    <row r="2110">
      <c r="B2110" s="83" t="n"/>
      <c r="C2110" s="83" t="n"/>
      <c r="D2110" s="83" t="n"/>
      <c r="E2110" s="83" t="n"/>
      <c r="F2110" s="83" t="n"/>
      <c r="G2110" s="83" t="n"/>
      <c r="H2110" s="83" t="n"/>
      <c r="I2110" s="83" t="n"/>
      <c r="J2110" s="83" t="n"/>
      <c r="K2110" s="83" t="n"/>
      <c r="L2110" s="83" t="n"/>
      <c r="M2110" s="83" t="n"/>
      <c r="O2110" s="84" t="str">
        <f>IF($C2110="","",IFERROR(MATCH($B2110&amp;"|"&amp;$C2110,MUROS!$AX$11:$AX$70,0),0))</f>
        <v/>
      </c>
      <c r="P2110" s="84" t="str">
        <f>IF($D2110="","",IF(ISNUMBER(MATCH($D2110,CMB_S,0)),1,IF(ISNUMBER(MATCH($D2110,CMB_G,0)),2,0)))</f>
        <v/>
      </c>
      <c r="Q2110" s="84">
        <f>IF(ISNUMBER($H2110),-$H2110,0)</f>
        <v>0</v>
      </c>
      <c r="R2110" s="84">
        <f>IF(ISNUMBER($I2110),ABS($I2110),0)</f>
        <v>0</v>
      </c>
      <c r="S2110" s="84">
        <f>IF(ISNUMBER($M2110),ABS($M2110),0)</f>
        <v>0</v>
      </c>
      <c r="T2110" s="85" t="n">
        <v>2102</v>
      </c>
    </row>
    <row r="2111">
      <c r="B2111" s="83" t="n"/>
      <c r="C2111" s="83" t="n"/>
      <c r="D2111" s="83" t="n"/>
      <c r="E2111" s="83" t="n"/>
      <c r="F2111" s="83" t="n"/>
      <c r="G2111" s="83" t="n"/>
      <c r="H2111" s="83" t="n"/>
      <c r="I2111" s="83" t="n"/>
      <c r="J2111" s="83" t="n"/>
      <c r="K2111" s="83" t="n"/>
      <c r="L2111" s="83" t="n"/>
      <c r="M2111" s="83" t="n"/>
      <c r="O2111" s="84" t="str">
        <f>IF($C2111="","",IFERROR(MATCH($B2111&amp;"|"&amp;$C2111,MUROS!$AX$11:$AX$70,0),0))</f>
        <v/>
      </c>
      <c r="P2111" s="84" t="str">
        <f>IF($D2111="","",IF(ISNUMBER(MATCH($D2111,CMB_S,0)),1,IF(ISNUMBER(MATCH($D2111,CMB_G,0)),2,0)))</f>
        <v/>
      </c>
      <c r="Q2111" s="84">
        <f>IF(ISNUMBER($H2111),-$H2111,0)</f>
        <v>0</v>
      </c>
      <c r="R2111" s="84">
        <f>IF(ISNUMBER($I2111),ABS($I2111),0)</f>
        <v>0</v>
      </c>
      <c r="S2111" s="84">
        <f>IF(ISNUMBER($M2111),ABS($M2111),0)</f>
        <v>0</v>
      </c>
      <c r="T2111" s="85" t="n">
        <v>2103</v>
      </c>
    </row>
    <row r="2112">
      <c r="B2112" s="83" t="n"/>
      <c r="C2112" s="83" t="n"/>
      <c r="D2112" s="83" t="n"/>
      <c r="E2112" s="83" t="n"/>
      <c r="F2112" s="83" t="n"/>
      <c r="G2112" s="83" t="n"/>
      <c r="H2112" s="83" t="n"/>
      <c r="I2112" s="83" t="n"/>
      <c r="J2112" s="83" t="n"/>
      <c r="K2112" s="83" t="n"/>
      <c r="L2112" s="83" t="n"/>
      <c r="M2112" s="83" t="n"/>
      <c r="O2112" s="84" t="str">
        <f>IF($C2112="","",IFERROR(MATCH($B2112&amp;"|"&amp;$C2112,MUROS!$AX$11:$AX$70,0),0))</f>
        <v/>
      </c>
      <c r="P2112" s="84" t="str">
        <f>IF($D2112="","",IF(ISNUMBER(MATCH($D2112,CMB_S,0)),1,IF(ISNUMBER(MATCH($D2112,CMB_G,0)),2,0)))</f>
        <v/>
      </c>
      <c r="Q2112" s="84">
        <f>IF(ISNUMBER($H2112),-$H2112,0)</f>
        <v>0</v>
      </c>
      <c r="R2112" s="84">
        <f>IF(ISNUMBER($I2112),ABS($I2112),0)</f>
        <v>0</v>
      </c>
      <c r="S2112" s="84">
        <f>IF(ISNUMBER($M2112),ABS($M2112),0)</f>
        <v>0</v>
      </c>
      <c r="T2112" s="85" t="n">
        <v>2104</v>
      </c>
    </row>
    <row r="2113">
      <c r="B2113" s="83" t="n"/>
      <c r="C2113" s="83" t="n"/>
      <c r="D2113" s="83" t="n"/>
      <c r="E2113" s="83" t="n"/>
      <c r="F2113" s="83" t="n"/>
      <c r="G2113" s="83" t="n"/>
      <c r="H2113" s="83" t="n"/>
      <c r="I2113" s="83" t="n"/>
      <c r="J2113" s="83" t="n"/>
      <c r="K2113" s="83" t="n"/>
      <c r="L2113" s="83" t="n"/>
      <c r="M2113" s="83" t="n"/>
      <c r="O2113" s="84" t="str">
        <f>IF($C2113="","",IFERROR(MATCH($B2113&amp;"|"&amp;$C2113,MUROS!$AX$11:$AX$70,0),0))</f>
        <v/>
      </c>
      <c r="P2113" s="84" t="str">
        <f>IF($D2113="","",IF(ISNUMBER(MATCH($D2113,CMB_S,0)),1,IF(ISNUMBER(MATCH($D2113,CMB_G,0)),2,0)))</f>
        <v/>
      </c>
      <c r="Q2113" s="84">
        <f>IF(ISNUMBER($H2113),-$H2113,0)</f>
        <v>0</v>
      </c>
      <c r="R2113" s="84">
        <f>IF(ISNUMBER($I2113),ABS($I2113),0)</f>
        <v>0</v>
      </c>
      <c r="S2113" s="84">
        <f>IF(ISNUMBER($M2113),ABS($M2113),0)</f>
        <v>0</v>
      </c>
      <c r="T2113" s="85" t="n">
        <v>2105</v>
      </c>
    </row>
    <row r="2114">
      <c r="B2114" s="83" t="n"/>
      <c r="C2114" s="83" t="n"/>
      <c r="D2114" s="83" t="n"/>
      <c r="E2114" s="83" t="n"/>
      <c r="F2114" s="83" t="n"/>
      <c r="G2114" s="83" t="n"/>
      <c r="H2114" s="83" t="n"/>
      <c r="I2114" s="83" t="n"/>
      <c r="J2114" s="83" t="n"/>
      <c r="K2114" s="83" t="n"/>
      <c r="L2114" s="83" t="n"/>
      <c r="M2114" s="83" t="n"/>
      <c r="O2114" s="84" t="str">
        <f>IF($C2114="","",IFERROR(MATCH($B2114&amp;"|"&amp;$C2114,MUROS!$AX$11:$AX$70,0),0))</f>
        <v/>
      </c>
      <c r="P2114" s="84" t="str">
        <f>IF($D2114="","",IF(ISNUMBER(MATCH($D2114,CMB_S,0)),1,IF(ISNUMBER(MATCH($D2114,CMB_G,0)),2,0)))</f>
        <v/>
      </c>
      <c r="Q2114" s="84">
        <f>IF(ISNUMBER($H2114),-$H2114,0)</f>
        <v>0</v>
      </c>
      <c r="R2114" s="84">
        <f>IF(ISNUMBER($I2114),ABS($I2114),0)</f>
        <v>0</v>
      </c>
      <c r="S2114" s="84">
        <f>IF(ISNUMBER($M2114),ABS($M2114),0)</f>
        <v>0</v>
      </c>
      <c r="T2114" s="85" t="n">
        <v>2106</v>
      </c>
    </row>
    <row r="2115">
      <c r="B2115" s="83" t="n"/>
      <c r="C2115" s="83" t="n"/>
      <c r="D2115" s="83" t="n"/>
      <c r="E2115" s="83" t="n"/>
      <c r="F2115" s="83" t="n"/>
      <c r="G2115" s="83" t="n"/>
      <c r="H2115" s="83" t="n"/>
      <c r="I2115" s="83" t="n"/>
      <c r="J2115" s="83" t="n"/>
      <c r="K2115" s="83" t="n"/>
      <c r="L2115" s="83" t="n"/>
      <c r="M2115" s="83" t="n"/>
      <c r="O2115" s="84" t="str">
        <f>IF($C2115="","",IFERROR(MATCH($B2115&amp;"|"&amp;$C2115,MUROS!$AX$11:$AX$70,0),0))</f>
        <v/>
      </c>
      <c r="P2115" s="84" t="str">
        <f>IF($D2115="","",IF(ISNUMBER(MATCH($D2115,CMB_S,0)),1,IF(ISNUMBER(MATCH($D2115,CMB_G,0)),2,0)))</f>
        <v/>
      </c>
      <c r="Q2115" s="84">
        <f>IF(ISNUMBER($H2115),-$H2115,0)</f>
        <v>0</v>
      </c>
      <c r="R2115" s="84">
        <f>IF(ISNUMBER($I2115),ABS($I2115),0)</f>
        <v>0</v>
      </c>
      <c r="S2115" s="84">
        <f>IF(ISNUMBER($M2115),ABS($M2115),0)</f>
        <v>0</v>
      </c>
      <c r="T2115" s="85" t="n">
        <v>2107</v>
      </c>
    </row>
    <row r="2116">
      <c r="B2116" s="83" t="n"/>
      <c r="C2116" s="83" t="n"/>
      <c r="D2116" s="83" t="n"/>
      <c r="E2116" s="83" t="n"/>
      <c r="F2116" s="83" t="n"/>
      <c r="G2116" s="83" t="n"/>
      <c r="H2116" s="83" t="n"/>
      <c r="I2116" s="83" t="n"/>
      <c r="J2116" s="83" t="n"/>
      <c r="K2116" s="83" t="n"/>
      <c r="L2116" s="83" t="n"/>
      <c r="M2116" s="83" t="n"/>
      <c r="O2116" s="84" t="str">
        <f>IF($C2116="","",IFERROR(MATCH($B2116&amp;"|"&amp;$C2116,MUROS!$AX$11:$AX$70,0),0))</f>
        <v/>
      </c>
      <c r="P2116" s="84" t="str">
        <f>IF($D2116="","",IF(ISNUMBER(MATCH($D2116,CMB_S,0)),1,IF(ISNUMBER(MATCH($D2116,CMB_G,0)),2,0)))</f>
        <v/>
      </c>
      <c r="Q2116" s="84">
        <f>IF(ISNUMBER($H2116),-$H2116,0)</f>
        <v>0</v>
      </c>
      <c r="R2116" s="84">
        <f>IF(ISNUMBER($I2116),ABS($I2116),0)</f>
        <v>0</v>
      </c>
      <c r="S2116" s="84">
        <f>IF(ISNUMBER($M2116),ABS($M2116),0)</f>
        <v>0</v>
      </c>
      <c r="T2116" s="85" t="n">
        <v>2108</v>
      </c>
    </row>
    <row r="2117">
      <c r="B2117" s="83" t="n"/>
      <c r="C2117" s="83" t="n"/>
      <c r="D2117" s="83" t="n"/>
      <c r="E2117" s="83" t="n"/>
      <c r="F2117" s="83" t="n"/>
      <c r="G2117" s="83" t="n"/>
      <c r="H2117" s="83" t="n"/>
      <c r="I2117" s="83" t="n"/>
      <c r="J2117" s="83" t="n"/>
      <c r="K2117" s="83" t="n"/>
      <c r="L2117" s="83" t="n"/>
      <c r="M2117" s="83" t="n"/>
      <c r="O2117" s="84" t="str">
        <f>IF($C2117="","",IFERROR(MATCH($B2117&amp;"|"&amp;$C2117,MUROS!$AX$11:$AX$70,0),0))</f>
        <v/>
      </c>
      <c r="P2117" s="84" t="str">
        <f>IF($D2117="","",IF(ISNUMBER(MATCH($D2117,CMB_S,0)),1,IF(ISNUMBER(MATCH($D2117,CMB_G,0)),2,0)))</f>
        <v/>
      </c>
      <c r="Q2117" s="84">
        <f>IF(ISNUMBER($H2117),-$H2117,0)</f>
        <v>0</v>
      </c>
      <c r="R2117" s="84">
        <f>IF(ISNUMBER($I2117),ABS($I2117),0)</f>
        <v>0</v>
      </c>
      <c r="S2117" s="84">
        <f>IF(ISNUMBER($M2117),ABS($M2117),0)</f>
        <v>0</v>
      </c>
      <c r="T2117" s="85" t="n">
        <v>2109</v>
      </c>
    </row>
    <row r="2118">
      <c r="B2118" s="83" t="n"/>
      <c r="C2118" s="83" t="n"/>
      <c r="D2118" s="83" t="n"/>
      <c r="E2118" s="83" t="n"/>
      <c r="F2118" s="83" t="n"/>
      <c r="G2118" s="83" t="n"/>
      <c r="H2118" s="83" t="n"/>
      <c r="I2118" s="83" t="n"/>
      <c r="J2118" s="83" t="n"/>
      <c r="K2118" s="83" t="n"/>
      <c r="L2118" s="83" t="n"/>
      <c r="M2118" s="83" t="n"/>
      <c r="O2118" s="84" t="str">
        <f>IF($C2118="","",IFERROR(MATCH($B2118&amp;"|"&amp;$C2118,MUROS!$AX$11:$AX$70,0),0))</f>
        <v/>
      </c>
      <c r="P2118" s="84" t="str">
        <f>IF($D2118="","",IF(ISNUMBER(MATCH($D2118,CMB_S,0)),1,IF(ISNUMBER(MATCH($D2118,CMB_G,0)),2,0)))</f>
        <v/>
      </c>
      <c r="Q2118" s="84">
        <f>IF(ISNUMBER($H2118),-$H2118,0)</f>
        <v>0</v>
      </c>
      <c r="R2118" s="84">
        <f>IF(ISNUMBER($I2118),ABS($I2118),0)</f>
        <v>0</v>
      </c>
      <c r="S2118" s="84">
        <f>IF(ISNUMBER($M2118),ABS($M2118),0)</f>
        <v>0</v>
      </c>
      <c r="T2118" s="85" t="n">
        <v>2110</v>
      </c>
    </row>
    <row r="2119">
      <c r="B2119" s="83" t="n"/>
      <c r="C2119" s="83" t="n"/>
      <c r="D2119" s="83" t="n"/>
      <c r="E2119" s="83" t="n"/>
      <c r="F2119" s="83" t="n"/>
      <c r="G2119" s="83" t="n"/>
      <c r="H2119" s="83" t="n"/>
      <c r="I2119" s="83" t="n"/>
      <c r="J2119" s="83" t="n"/>
      <c r="K2119" s="83" t="n"/>
      <c r="L2119" s="83" t="n"/>
      <c r="M2119" s="83" t="n"/>
      <c r="O2119" s="84" t="str">
        <f>IF($C2119="","",IFERROR(MATCH($B2119&amp;"|"&amp;$C2119,MUROS!$AX$11:$AX$70,0),0))</f>
        <v/>
      </c>
      <c r="P2119" s="84" t="str">
        <f>IF($D2119="","",IF(ISNUMBER(MATCH($D2119,CMB_S,0)),1,IF(ISNUMBER(MATCH($D2119,CMB_G,0)),2,0)))</f>
        <v/>
      </c>
      <c r="Q2119" s="84">
        <f>IF(ISNUMBER($H2119),-$H2119,0)</f>
        <v>0</v>
      </c>
      <c r="R2119" s="84">
        <f>IF(ISNUMBER($I2119),ABS($I2119),0)</f>
        <v>0</v>
      </c>
      <c r="S2119" s="84">
        <f>IF(ISNUMBER($M2119),ABS($M2119),0)</f>
        <v>0</v>
      </c>
      <c r="T2119" s="85" t="n">
        <v>2111</v>
      </c>
    </row>
    <row r="2120">
      <c r="B2120" s="83" t="n"/>
      <c r="C2120" s="83" t="n"/>
      <c r="D2120" s="83" t="n"/>
      <c r="E2120" s="83" t="n"/>
      <c r="F2120" s="83" t="n"/>
      <c r="G2120" s="83" t="n"/>
      <c r="H2120" s="83" t="n"/>
      <c r="I2120" s="83" t="n"/>
      <c r="J2120" s="83" t="n"/>
      <c r="K2120" s="83" t="n"/>
      <c r="L2120" s="83" t="n"/>
      <c r="M2120" s="83" t="n"/>
      <c r="O2120" s="84" t="str">
        <f>IF($C2120="","",IFERROR(MATCH($B2120&amp;"|"&amp;$C2120,MUROS!$AX$11:$AX$70,0),0))</f>
        <v/>
      </c>
      <c r="P2120" s="84" t="str">
        <f>IF($D2120="","",IF(ISNUMBER(MATCH($D2120,CMB_S,0)),1,IF(ISNUMBER(MATCH($D2120,CMB_G,0)),2,0)))</f>
        <v/>
      </c>
      <c r="Q2120" s="84">
        <f>IF(ISNUMBER($H2120),-$H2120,0)</f>
        <v>0</v>
      </c>
      <c r="R2120" s="84">
        <f>IF(ISNUMBER($I2120),ABS($I2120),0)</f>
        <v>0</v>
      </c>
      <c r="S2120" s="84">
        <f>IF(ISNUMBER($M2120),ABS($M2120),0)</f>
        <v>0</v>
      </c>
      <c r="T2120" s="85" t="n">
        <v>2112</v>
      </c>
    </row>
    <row r="2121">
      <c r="B2121" s="83" t="n"/>
      <c r="C2121" s="83" t="n"/>
      <c r="D2121" s="83" t="n"/>
      <c r="E2121" s="83" t="n"/>
      <c r="F2121" s="83" t="n"/>
      <c r="G2121" s="83" t="n"/>
      <c r="H2121" s="83" t="n"/>
      <c r="I2121" s="83" t="n"/>
      <c r="J2121" s="83" t="n"/>
      <c r="K2121" s="83" t="n"/>
      <c r="L2121" s="83" t="n"/>
      <c r="M2121" s="83" t="n"/>
      <c r="O2121" s="84" t="str">
        <f>IF($C2121="","",IFERROR(MATCH($B2121&amp;"|"&amp;$C2121,MUROS!$AX$11:$AX$70,0),0))</f>
        <v/>
      </c>
      <c r="P2121" s="84" t="str">
        <f>IF($D2121="","",IF(ISNUMBER(MATCH($D2121,CMB_S,0)),1,IF(ISNUMBER(MATCH($D2121,CMB_G,0)),2,0)))</f>
        <v/>
      </c>
      <c r="Q2121" s="84">
        <f>IF(ISNUMBER($H2121),-$H2121,0)</f>
        <v>0</v>
      </c>
      <c r="R2121" s="84">
        <f>IF(ISNUMBER($I2121),ABS($I2121),0)</f>
        <v>0</v>
      </c>
      <c r="S2121" s="84">
        <f>IF(ISNUMBER($M2121),ABS($M2121),0)</f>
        <v>0</v>
      </c>
      <c r="T2121" s="85" t="n">
        <v>2113</v>
      </c>
    </row>
    <row r="2122">
      <c r="B2122" s="83" t="n"/>
      <c r="C2122" s="83" t="n"/>
      <c r="D2122" s="83" t="n"/>
      <c r="E2122" s="83" t="n"/>
      <c r="F2122" s="83" t="n"/>
      <c r="G2122" s="83" t="n"/>
      <c r="H2122" s="83" t="n"/>
      <c r="I2122" s="83" t="n"/>
      <c r="J2122" s="83" t="n"/>
      <c r="K2122" s="83" t="n"/>
      <c r="L2122" s="83" t="n"/>
      <c r="M2122" s="83" t="n"/>
      <c r="O2122" s="84" t="str">
        <f>IF($C2122="","",IFERROR(MATCH($B2122&amp;"|"&amp;$C2122,MUROS!$AX$11:$AX$70,0),0))</f>
        <v/>
      </c>
      <c r="P2122" s="84" t="str">
        <f>IF($D2122="","",IF(ISNUMBER(MATCH($D2122,CMB_S,0)),1,IF(ISNUMBER(MATCH($D2122,CMB_G,0)),2,0)))</f>
        <v/>
      </c>
      <c r="Q2122" s="84">
        <f>IF(ISNUMBER($H2122),-$H2122,0)</f>
        <v>0</v>
      </c>
      <c r="R2122" s="84">
        <f>IF(ISNUMBER($I2122),ABS($I2122),0)</f>
        <v>0</v>
      </c>
      <c r="S2122" s="84">
        <f>IF(ISNUMBER($M2122),ABS($M2122),0)</f>
        <v>0</v>
      </c>
      <c r="T2122" s="85" t="n">
        <v>2114</v>
      </c>
    </row>
    <row r="2123">
      <c r="B2123" s="83" t="n"/>
      <c r="C2123" s="83" t="n"/>
      <c r="D2123" s="83" t="n"/>
      <c r="E2123" s="83" t="n"/>
      <c r="F2123" s="83" t="n"/>
      <c r="G2123" s="83" t="n"/>
      <c r="H2123" s="83" t="n"/>
      <c r="I2123" s="83" t="n"/>
      <c r="J2123" s="83" t="n"/>
      <c r="K2123" s="83" t="n"/>
      <c r="L2123" s="83" t="n"/>
      <c r="M2123" s="83" t="n"/>
      <c r="O2123" s="84" t="str">
        <f>IF($C2123="","",IFERROR(MATCH($B2123&amp;"|"&amp;$C2123,MUROS!$AX$11:$AX$70,0),0))</f>
        <v/>
      </c>
      <c r="P2123" s="84" t="str">
        <f>IF($D2123="","",IF(ISNUMBER(MATCH($D2123,CMB_S,0)),1,IF(ISNUMBER(MATCH($D2123,CMB_G,0)),2,0)))</f>
        <v/>
      </c>
      <c r="Q2123" s="84">
        <f>IF(ISNUMBER($H2123),-$H2123,0)</f>
        <v>0</v>
      </c>
      <c r="R2123" s="84">
        <f>IF(ISNUMBER($I2123),ABS($I2123),0)</f>
        <v>0</v>
      </c>
      <c r="S2123" s="84">
        <f>IF(ISNUMBER($M2123),ABS($M2123),0)</f>
        <v>0</v>
      </c>
      <c r="T2123" s="85" t="n">
        <v>2115</v>
      </c>
    </row>
    <row r="2124">
      <c r="B2124" s="83" t="n"/>
      <c r="C2124" s="83" t="n"/>
      <c r="D2124" s="83" t="n"/>
      <c r="E2124" s="83" t="n"/>
      <c r="F2124" s="83" t="n"/>
      <c r="G2124" s="83" t="n"/>
      <c r="H2124" s="83" t="n"/>
      <c r="I2124" s="83" t="n"/>
      <c r="J2124" s="83" t="n"/>
      <c r="K2124" s="83" t="n"/>
      <c r="L2124" s="83" t="n"/>
      <c r="M2124" s="83" t="n"/>
      <c r="O2124" s="84" t="str">
        <f>IF($C2124="","",IFERROR(MATCH($B2124&amp;"|"&amp;$C2124,MUROS!$AX$11:$AX$70,0),0))</f>
        <v/>
      </c>
      <c r="P2124" s="84" t="str">
        <f>IF($D2124="","",IF(ISNUMBER(MATCH($D2124,CMB_S,0)),1,IF(ISNUMBER(MATCH($D2124,CMB_G,0)),2,0)))</f>
        <v/>
      </c>
      <c r="Q2124" s="84">
        <f>IF(ISNUMBER($H2124),-$H2124,0)</f>
        <v>0</v>
      </c>
      <c r="R2124" s="84">
        <f>IF(ISNUMBER($I2124),ABS($I2124),0)</f>
        <v>0</v>
      </c>
      <c r="S2124" s="84">
        <f>IF(ISNUMBER($M2124),ABS($M2124),0)</f>
        <v>0</v>
      </c>
      <c r="T2124" s="85" t="n">
        <v>2116</v>
      </c>
    </row>
    <row r="2125">
      <c r="B2125" s="83" t="n"/>
      <c r="C2125" s="83" t="n"/>
      <c r="D2125" s="83" t="n"/>
      <c r="E2125" s="83" t="n"/>
      <c r="F2125" s="83" t="n"/>
      <c r="G2125" s="83" t="n"/>
      <c r="H2125" s="83" t="n"/>
      <c r="I2125" s="83" t="n"/>
      <c r="J2125" s="83" t="n"/>
      <c r="K2125" s="83" t="n"/>
      <c r="L2125" s="83" t="n"/>
      <c r="M2125" s="83" t="n"/>
      <c r="O2125" s="84" t="str">
        <f>IF($C2125="","",IFERROR(MATCH($B2125&amp;"|"&amp;$C2125,MUROS!$AX$11:$AX$70,0),0))</f>
        <v/>
      </c>
      <c r="P2125" s="84" t="str">
        <f>IF($D2125="","",IF(ISNUMBER(MATCH($D2125,CMB_S,0)),1,IF(ISNUMBER(MATCH($D2125,CMB_G,0)),2,0)))</f>
        <v/>
      </c>
      <c r="Q2125" s="84">
        <f>IF(ISNUMBER($H2125),-$H2125,0)</f>
        <v>0</v>
      </c>
      <c r="R2125" s="84">
        <f>IF(ISNUMBER($I2125),ABS($I2125),0)</f>
        <v>0</v>
      </c>
      <c r="S2125" s="84">
        <f>IF(ISNUMBER($M2125),ABS($M2125),0)</f>
        <v>0</v>
      </c>
      <c r="T2125" s="85" t="n">
        <v>2117</v>
      </c>
    </row>
    <row r="2126">
      <c r="B2126" s="83" t="n"/>
      <c r="C2126" s="83" t="n"/>
      <c r="D2126" s="83" t="n"/>
      <c r="E2126" s="83" t="n"/>
      <c r="F2126" s="83" t="n"/>
      <c r="G2126" s="83" t="n"/>
      <c r="H2126" s="83" t="n"/>
      <c r="I2126" s="83" t="n"/>
      <c r="J2126" s="83" t="n"/>
      <c r="K2126" s="83" t="n"/>
      <c r="L2126" s="83" t="n"/>
      <c r="M2126" s="83" t="n"/>
      <c r="O2126" s="84" t="str">
        <f>IF($C2126="","",IFERROR(MATCH($B2126&amp;"|"&amp;$C2126,MUROS!$AX$11:$AX$70,0),0))</f>
        <v/>
      </c>
      <c r="P2126" s="84" t="str">
        <f>IF($D2126="","",IF(ISNUMBER(MATCH($D2126,CMB_S,0)),1,IF(ISNUMBER(MATCH($D2126,CMB_G,0)),2,0)))</f>
        <v/>
      </c>
      <c r="Q2126" s="84">
        <f>IF(ISNUMBER($H2126),-$H2126,0)</f>
        <v>0</v>
      </c>
      <c r="R2126" s="84">
        <f>IF(ISNUMBER($I2126),ABS($I2126),0)</f>
        <v>0</v>
      </c>
      <c r="S2126" s="84">
        <f>IF(ISNUMBER($M2126),ABS($M2126),0)</f>
        <v>0</v>
      </c>
      <c r="T2126" s="85" t="n">
        <v>2118</v>
      </c>
    </row>
    <row r="2127">
      <c r="B2127" s="83" t="n"/>
      <c r="C2127" s="83" t="n"/>
      <c r="D2127" s="83" t="n"/>
      <c r="E2127" s="83" t="n"/>
      <c r="F2127" s="83" t="n"/>
      <c r="G2127" s="83" t="n"/>
      <c r="H2127" s="83" t="n"/>
      <c r="I2127" s="83" t="n"/>
      <c r="J2127" s="83" t="n"/>
      <c r="K2127" s="83" t="n"/>
      <c r="L2127" s="83" t="n"/>
      <c r="M2127" s="83" t="n"/>
      <c r="O2127" s="84" t="str">
        <f>IF($C2127="","",IFERROR(MATCH($B2127&amp;"|"&amp;$C2127,MUROS!$AX$11:$AX$70,0),0))</f>
        <v/>
      </c>
      <c r="P2127" s="84" t="str">
        <f>IF($D2127="","",IF(ISNUMBER(MATCH($D2127,CMB_S,0)),1,IF(ISNUMBER(MATCH($D2127,CMB_G,0)),2,0)))</f>
        <v/>
      </c>
      <c r="Q2127" s="84">
        <f>IF(ISNUMBER($H2127),-$H2127,0)</f>
        <v>0</v>
      </c>
      <c r="R2127" s="84">
        <f>IF(ISNUMBER($I2127),ABS($I2127),0)</f>
        <v>0</v>
      </c>
      <c r="S2127" s="84">
        <f>IF(ISNUMBER($M2127),ABS($M2127),0)</f>
        <v>0</v>
      </c>
      <c r="T2127" s="85" t="n">
        <v>2119</v>
      </c>
    </row>
    <row r="2128">
      <c r="B2128" s="83" t="n"/>
      <c r="C2128" s="83" t="n"/>
      <c r="D2128" s="83" t="n"/>
      <c r="E2128" s="83" t="n"/>
      <c r="F2128" s="83" t="n"/>
      <c r="G2128" s="83" t="n"/>
      <c r="H2128" s="83" t="n"/>
      <c r="I2128" s="83" t="n"/>
      <c r="J2128" s="83" t="n"/>
      <c r="K2128" s="83" t="n"/>
      <c r="L2128" s="83" t="n"/>
      <c r="M2128" s="83" t="n"/>
      <c r="O2128" s="84" t="str">
        <f>IF($C2128="","",IFERROR(MATCH($B2128&amp;"|"&amp;$C2128,MUROS!$AX$11:$AX$70,0),0))</f>
        <v/>
      </c>
      <c r="P2128" s="84" t="str">
        <f>IF($D2128="","",IF(ISNUMBER(MATCH($D2128,CMB_S,0)),1,IF(ISNUMBER(MATCH($D2128,CMB_G,0)),2,0)))</f>
        <v/>
      </c>
      <c r="Q2128" s="84">
        <f>IF(ISNUMBER($H2128),-$H2128,0)</f>
        <v>0</v>
      </c>
      <c r="R2128" s="84">
        <f>IF(ISNUMBER($I2128),ABS($I2128),0)</f>
        <v>0</v>
      </c>
      <c r="S2128" s="84">
        <f>IF(ISNUMBER($M2128),ABS($M2128),0)</f>
        <v>0</v>
      </c>
      <c r="T2128" s="85" t="n">
        <v>2120</v>
      </c>
    </row>
    <row r="2129">
      <c r="B2129" s="83" t="n"/>
      <c r="C2129" s="83" t="n"/>
      <c r="D2129" s="83" t="n"/>
      <c r="E2129" s="83" t="n"/>
      <c r="F2129" s="83" t="n"/>
      <c r="G2129" s="83" t="n"/>
      <c r="H2129" s="83" t="n"/>
      <c r="I2129" s="83" t="n"/>
      <c r="J2129" s="83" t="n"/>
      <c r="K2129" s="83" t="n"/>
      <c r="L2129" s="83" t="n"/>
      <c r="M2129" s="83" t="n"/>
      <c r="O2129" s="84" t="str">
        <f>IF($C2129="","",IFERROR(MATCH($B2129&amp;"|"&amp;$C2129,MUROS!$AX$11:$AX$70,0),0))</f>
        <v/>
      </c>
      <c r="P2129" s="84" t="str">
        <f>IF($D2129="","",IF(ISNUMBER(MATCH($D2129,CMB_S,0)),1,IF(ISNUMBER(MATCH($D2129,CMB_G,0)),2,0)))</f>
        <v/>
      </c>
      <c r="Q2129" s="84">
        <f>IF(ISNUMBER($H2129),-$H2129,0)</f>
        <v>0</v>
      </c>
      <c r="R2129" s="84">
        <f>IF(ISNUMBER($I2129),ABS($I2129),0)</f>
        <v>0</v>
      </c>
      <c r="S2129" s="84">
        <f>IF(ISNUMBER($M2129),ABS($M2129),0)</f>
        <v>0</v>
      </c>
      <c r="T2129" s="85" t="n">
        <v>2121</v>
      </c>
    </row>
    <row r="2130">
      <c r="B2130" s="83" t="n"/>
      <c r="C2130" s="83" t="n"/>
      <c r="D2130" s="83" t="n"/>
      <c r="E2130" s="83" t="n"/>
      <c r="F2130" s="83" t="n"/>
      <c r="G2130" s="83" t="n"/>
      <c r="H2130" s="83" t="n"/>
      <c r="I2130" s="83" t="n"/>
      <c r="J2130" s="83" t="n"/>
      <c r="K2130" s="83" t="n"/>
      <c r="L2130" s="83" t="n"/>
      <c r="M2130" s="83" t="n"/>
      <c r="O2130" s="84" t="str">
        <f>IF($C2130="","",IFERROR(MATCH($B2130&amp;"|"&amp;$C2130,MUROS!$AX$11:$AX$70,0),0))</f>
        <v/>
      </c>
      <c r="P2130" s="84" t="str">
        <f>IF($D2130="","",IF(ISNUMBER(MATCH($D2130,CMB_S,0)),1,IF(ISNUMBER(MATCH($D2130,CMB_G,0)),2,0)))</f>
        <v/>
      </c>
      <c r="Q2130" s="84">
        <f>IF(ISNUMBER($H2130),-$H2130,0)</f>
        <v>0</v>
      </c>
      <c r="R2130" s="84">
        <f>IF(ISNUMBER($I2130),ABS($I2130),0)</f>
        <v>0</v>
      </c>
      <c r="S2130" s="84">
        <f>IF(ISNUMBER($M2130),ABS($M2130),0)</f>
        <v>0</v>
      </c>
      <c r="T2130" s="85" t="n">
        <v>2122</v>
      </c>
    </row>
    <row r="2131">
      <c r="B2131" s="83" t="n"/>
      <c r="C2131" s="83" t="n"/>
      <c r="D2131" s="83" t="n"/>
      <c r="E2131" s="83" t="n"/>
      <c r="F2131" s="83" t="n"/>
      <c r="G2131" s="83" t="n"/>
      <c r="H2131" s="83" t="n"/>
      <c r="I2131" s="83" t="n"/>
      <c r="J2131" s="83" t="n"/>
      <c r="K2131" s="83" t="n"/>
      <c r="L2131" s="83" t="n"/>
      <c r="M2131" s="83" t="n"/>
      <c r="O2131" s="84" t="str">
        <f>IF($C2131="","",IFERROR(MATCH($B2131&amp;"|"&amp;$C2131,MUROS!$AX$11:$AX$70,0),0))</f>
        <v/>
      </c>
      <c r="P2131" s="84" t="str">
        <f>IF($D2131="","",IF(ISNUMBER(MATCH($D2131,CMB_S,0)),1,IF(ISNUMBER(MATCH($D2131,CMB_G,0)),2,0)))</f>
        <v/>
      </c>
      <c r="Q2131" s="84">
        <f>IF(ISNUMBER($H2131),-$H2131,0)</f>
        <v>0</v>
      </c>
      <c r="R2131" s="84">
        <f>IF(ISNUMBER($I2131),ABS($I2131),0)</f>
        <v>0</v>
      </c>
      <c r="S2131" s="84">
        <f>IF(ISNUMBER($M2131),ABS($M2131),0)</f>
        <v>0</v>
      </c>
      <c r="T2131" s="85" t="n">
        <v>2123</v>
      </c>
    </row>
    <row r="2132">
      <c r="B2132" s="83" t="n"/>
      <c r="C2132" s="83" t="n"/>
      <c r="D2132" s="83" t="n"/>
      <c r="E2132" s="83" t="n"/>
      <c r="F2132" s="83" t="n"/>
      <c r="G2132" s="83" t="n"/>
      <c r="H2132" s="83" t="n"/>
      <c r="I2132" s="83" t="n"/>
      <c r="J2132" s="83" t="n"/>
      <c r="K2132" s="83" t="n"/>
      <c r="L2132" s="83" t="n"/>
      <c r="M2132" s="83" t="n"/>
      <c r="O2132" s="84" t="str">
        <f>IF($C2132="","",IFERROR(MATCH($B2132&amp;"|"&amp;$C2132,MUROS!$AX$11:$AX$70,0),0))</f>
        <v/>
      </c>
      <c r="P2132" s="84" t="str">
        <f>IF($D2132="","",IF(ISNUMBER(MATCH($D2132,CMB_S,0)),1,IF(ISNUMBER(MATCH($D2132,CMB_G,0)),2,0)))</f>
        <v/>
      </c>
      <c r="Q2132" s="84">
        <f>IF(ISNUMBER($H2132),-$H2132,0)</f>
        <v>0</v>
      </c>
      <c r="R2132" s="84">
        <f>IF(ISNUMBER($I2132),ABS($I2132),0)</f>
        <v>0</v>
      </c>
      <c r="S2132" s="84">
        <f>IF(ISNUMBER($M2132),ABS($M2132),0)</f>
        <v>0</v>
      </c>
      <c r="T2132" s="85" t="n">
        <v>2124</v>
      </c>
    </row>
    <row r="2133">
      <c r="B2133" s="83" t="n"/>
      <c r="C2133" s="83" t="n"/>
      <c r="D2133" s="83" t="n"/>
      <c r="E2133" s="83" t="n"/>
      <c r="F2133" s="83" t="n"/>
      <c r="G2133" s="83" t="n"/>
      <c r="H2133" s="83" t="n"/>
      <c r="I2133" s="83" t="n"/>
      <c r="J2133" s="83" t="n"/>
      <c r="K2133" s="83" t="n"/>
      <c r="L2133" s="83" t="n"/>
      <c r="M2133" s="83" t="n"/>
      <c r="O2133" s="84" t="str">
        <f>IF($C2133="","",IFERROR(MATCH($B2133&amp;"|"&amp;$C2133,MUROS!$AX$11:$AX$70,0),0))</f>
        <v/>
      </c>
      <c r="P2133" s="84" t="str">
        <f>IF($D2133="","",IF(ISNUMBER(MATCH($D2133,CMB_S,0)),1,IF(ISNUMBER(MATCH($D2133,CMB_G,0)),2,0)))</f>
        <v/>
      </c>
      <c r="Q2133" s="84">
        <f>IF(ISNUMBER($H2133),-$H2133,0)</f>
        <v>0</v>
      </c>
      <c r="R2133" s="84">
        <f>IF(ISNUMBER($I2133),ABS($I2133),0)</f>
        <v>0</v>
      </c>
      <c r="S2133" s="84">
        <f>IF(ISNUMBER($M2133),ABS($M2133),0)</f>
        <v>0</v>
      </c>
      <c r="T2133" s="85" t="n">
        <v>2125</v>
      </c>
    </row>
    <row r="2134">
      <c r="B2134" s="83" t="n"/>
      <c r="C2134" s="83" t="n"/>
      <c r="D2134" s="83" t="n"/>
      <c r="E2134" s="83" t="n"/>
      <c r="F2134" s="83" t="n"/>
      <c r="G2134" s="83" t="n"/>
      <c r="H2134" s="83" t="n"/>
      <c r="I2134" s="83" t="n"/>
      <c r="J2134" s="83" t="n"/>
      <c r="K2134" s="83" t="n"/>
      <c r="L2134" s="83" t="n"/>
      <c r="M2134" s="83" t="n"/>
      <c r="O2134" s="84" t="str">
        <f>IF($C2134="","",IFERROR(MATCH($B2134&amp;"|"&amp;$C2134,MUROS!$AX$11:$AX$70,0),0))</f>
        <v/>
      </c>
      <c r="P2134" s="84" t="str">
        <f>IF($D2134="","",IF(ISNUMBER(MATCH($D2134,CMB_S,0)),1,IF(ISNUMBER(MATCH($D2134,CMB_G,0)),2,0)))</f>
        <v/>
      </c>
      <c r="Q2134" s="84">
        <f>IF(ISNUMBER($H2134),-$H2134,0)</f>
        <v>0</v>
      </c>
      <c r="R2134" s="84">
        <f>IF(ISNUMBER($I2134),ABS($I2134),0)</f>
        <v>0</v>
      </c>
      <c r="S2134" s="84">
        <f>IF(ISNUMBER($M2134),ABS($M2134),0)</f>
        <v>0</v>
      </c>
      <c r="T2134" s="85" t="n">
        <v>2126</v>
      </c>
    </row>
    <row r="2135">
      <c r="B2135" s="83" t="n"/>
      <c r="C2135" s="83" t="n"/>
      <c r="D2135" s="83" t="n"/>
      <c r="E2135" s="83" t="n"/>
      <c r="F2135" s="83" t="n"/>
      <c r="G2135" s="83" t="n"/>
      <c r="H2135" s="83" t="n"/>
      <c r="I2135" s="83" t="n"/>
      <c r="J2135" s="83" t="n"/>
      <c r="K2135" s="83" t="n"/>
      <c r="L2135" s="83" t="n"/>
      <c r="M2135" s="83" t="n"/>
      <c r="O2135" s="84" t="str">
        <f>IF($C2135="","",IFERROR(MATCH($B2135&amp;"|"&amp;$C2135,MUROS!$AX$11:$AX$70,0),0))</f>
        <v/>
      </c>
      <c r="P2135" s="84" t="str">
        <f>IF($D2135="","",IF(ISNUMBER(MATCH($D2135,CMB_S,0)),1,IF(ISNUMBER(MATCH($D2135,CMB_G,0)),2,0)))</f>
        <v/>
      </c>
      <c r="Q2135" s="84">
        <f>IF(ISNUMBER($H2135),-$H2135,0)</f>
        <v>0</v>
      </c>
      <c r="R2135" s="84">
        <f>IF(ISNUMBER($I2135),ABS($I2135),0)</f>
        <v>0</v>
      </c>
      <c r="S2135" s="84">
        <f>IF(ISNUMBER($M2135),ABS($M2135),0)</f>
        <v>0</v>
      </c>
      <c r="T2135" s="85" t="n">
        <v>2127</v>
      </c>
    </row>
    <row r="2136">
      <c r="B2136" s="83" t="n"/>
      <c r="C2136" s="83" t="n"/>
      <c r="D2136" s="83" t="n"/>
      <c r="E2136" s="83" t="n"/>
      <c r="F2136" s="83" t="n"/>
      <c r="G2136" s="83" t="n"/>
      <c r="H2136" s="83" t="n"/>
      <c r="I2136" s="83" t="n"/>
      <c r="J2136" s="83" t="n"/>
      <c r="K2136" s="83" t="n"/>
      <c r="L2136" s="83" t="n"/>
      <c r="M2136" s="83" t="n"/>
      <c r="O2136" s="84" t="str">
        <f>IF($C2136="","",IFERROR(MATCH($B2136&amp;"|"&amp;$C2136,MUROS!$AX$11:$AX$70,0),0))</f>
        <v/>
      </c>
      <c r="P2136" s="84" t="str">
        <f>IF($D2136="","",IF(ISNUMBER(MATCH($D2136,CMB_S,0)),1,IF(ISNUMBER(MATCH($D2136,CMB_G,0)),2,0)))</f>
        <v/>
      </c>
      <c r="Q2136" s="84">
        <f>IF(ISNUMBER($H2136),-$H2136,0)</f>
        <v>0</v>
      </c>
      <c r="R2136" s="84">
        <f>IF(ISNUMBER($I2136),ABS($I2136),0)</f>
        <v>0</v>
      </c>
      <c r="S2136" s="84">
        <f>IF(ISNUMBER($M2136),ABS($M2136),0)</f>
        <v>0</v>
      </c>
      <c r="T2136" s="85" t="n">
        <v>2128</v>
      </c>
    </row>
    <row r="2137">
      <c r="B2137" s="83" t="n"/>
      <c r="C2137" s="83" t="n"/>
      <c r="D2137" s="83" t="n"/>
      <c r="E2137" s="83" t="n"/>
      <c r="F2137" s="83" t="n"/>
      <c r="G2137" s="83" t="n"/>
      <c r="H2137" s="83" t="n"/>
      <c r="I2137" s="83" t="n"/>
      <c r="J2137" s="83" t="n"/>
      <c r="K2137" s="83" t="n"/>
      <c r="L2137" s="83" t="n"/>
      <c r="M2137" s="83" t="n"/>
      <c r="O2137" s="84" t="str">
        <f>IF($C2137="","",IFERROR(MATCH($B2137&amp;"|"&amp;$C2137,MUROS!$AX$11:$AX$70,0),0))</f>
        <v/>
      </c>
      <c r="P2137" s="84" t="str">
        <f>IF($D2137="","",IF(ISNUMBER(MATCH($D2137,CMB_S,0)),1,IF(ISNUMBER(MATCH($D2137,CMB_G,0)),2,0)))</f>
        <v/>
      </c>
      <c r="Q2137" s="84">
        <f>IF(ISNUMBER($H2137),-$H2137,0)</f>
        <v>0</v>
      </c>
      <c r="R2137" s="84">
        <f>IF(ISNUMBER($I2137),ABS($I2137),0)</f>
        <v>0</v>
      </c>
      <c r="S2137" s="84">
        <f>IF(ISNUMBER($M2137),ABS($M2137),0)</f>
        <v>0</v>
      </c>
      <c r="T2137" s="85" t="n">
        <v>2129</v>
      </c>
    </row>
    <row r="2138">
      <c r="B2138" s="83" t="n"/>
      <c r="C2138" s="83" t="n"/>
      <c r="D2138" s="83" t="n"/>
      <c r="E2138" s="83" t="n"/>
      <c r="F2138" s="83" t="n"/>
      <c r="G2138" s="83" t="n"/>
      <c r="H2138" s="83" t="n"/>
      <c r="I2138" s="83" t="n"/>
      <c r="J2138" s="83" t="n"/>
      <c r="K2138" s="83" t="n"/>
      <c r="L2138" s="83" t="n"/>
      <c r="M2138" s="83" t="n"/>
      <c r="O2138" s="84" t="str">
        <f>IF($C2138="","",IFERROR(MATCH($B2138&amp;"|"&amp;$C2138,MUROS!$AX$11:$AX$70,0),0))</f>
        <v/>
      </c>
      <c r="P2138" s="84" t="str">
        <f>IF($D2138="","",IF(ISNUMBER(MATCH($D2138,CMB_S,0)),1,IF(ISNUMBER(MATCH($D2138,CMB_G,0)),2,0)))</f>
        <v/>
      </c>
      <c r="Q2138" s="84">
        <f>IF(ISNUMBER($H2138),-$H2138,0)</f>
        <v>0</v>
      </c>
      <c r="R2138" s="84">
        <f>IF(ISNUMBER($I2138),ABS($I2138),0)</f>
        <v>0</v>
      </c>
      <c r="S2138" s="84">
        <f>IF(ISNUMBER($M2138),ABS($M2138),0)</f>
        <v>0</v>
      </c>
      <c r="T2138" s="85" t="n">
        <v>2130</v>
      </c>
    </row>
    <row r="2139">
      <c r="B2139" s="83" t="n"/>
      <c r="C2139" s="83" t="n"/>
      <c r="D2139" s="83" t="n"/>
      <c r="E2139" s="83" t="n"/>
      <c r="F2139" s="83" t="n"/>
      <c r="G2139" s="83" t="n"/>
      <c r="H2139" s="83" t="n"/>
      <c r="I2139" s="83" t="n"/>
      <c r="J2139" s="83" t="n"/>
      <c r="K2139" s="83" t="n"/>
      <c r="L2139" s="83" t="n"/>
      <c r="M2139" s="83" t="n"/>
      <c r="O2139" s="84" t="str">
        <f>IF($C2139="","",IFERROR(MATCH($B2139&amp;"|"&amp;$C2139,MUROS!$AX$11:$AX$70,0),0))</f>
        <v/>
      </c>
      <c r="P2139" s="84" t="str">
        <f>IF($D2139="","",IF(ISNUMBER(MATCH($D2139,CMB_S,0)),1,IF(ISNUMBER(MATCH($D2139,CMB_G,0)),2,0)))</f>
        <v/>
      </c>
      <c r="Q2139" s="84">
        <f>IF(ISNUMBER($H2139),-$H2139,0)</f>
        <v>0</v>
      </c>
      <c r="R2139" s="84">
        <f>IF(ISNUMBER($I2139),ABS($I2139),0)</f>
        <v>0</v>
      </c>
      <c r="S2139" s="84">
        <f>IF(ISNUMBER($M2139),ABS($M2139),0)</f>
        <v>0</v>
      </c>
      <c r="T2139" s="85" t="n">
        <v>2131</v>
      </c>
    </row>
    <row r="2140">
      <c r="B2140" s="83" t="n"/>
      <c r="C2140" s="83" t="n"/>
      <c r="D2140" s="83" t="n"/>
      <c r="E2140" s="83" t="n"/>
      <c r="F2140" s="83" t="n"/>
      <c r="G2140" s="83" t="n"/>
      <c r="H2140" s="83" t="n"/>
      <c r="I2140" s="83" t="n"/>
      <c r="J2140" s="83" t="n"/>
      <c r="K2140" s="83" t="n"/>
      <c r="L2140" s="83" t="n"/>
      <c r="M2140" s="83" t="n"/>
      <c r="O2140" s="84" t="str">
        <f>IF($C2140="","",IFERROR(MATCH($B2140&amp;"|"&amp;$C2140,MUROS!$AX$11:$AX$70,0),0))</f>
        <v/>
      </c>
      <c r="P2140" s="84" t="str">
        <f>IF($D2140="","",IF(ISNUMBER(MATCH($D2140,CMB_S,0)),1,IF(ISNUMBER(MATCH($D2140,CMB_G,0)),2,0)))</f>
        <v/>
      </c>
      <c r="Q2140" s="84">
        <f>IF(ISNUMBER($H2140),-$H2140,0)</f>
        <v>0</v>
      </c>
      <c r="R2140" s="84">
        <f>IF(ISNUMBER($I2140),ABS($I2140),0)</f>
        <v>0</v>
      </c>
      <c r="S2140" s="84">
        <f>IF(ISNUMBER($M2140),ABS($M2140),0)</f>
        <v>0</v>
      </c>
      <c r="T2140" s="85" t="n">
        <v>2132</v>
      </c>
    </row>
    <row r="2141">
      <c r="B2141" s="83" t="n"/>
      <c r="C2141" s="83" t="n"/>
      <c r="D2141" s="83" t="n"/>
      <c r="E2141" s="83" t="n"/>
      <c r="F2141" s="83" t="n"/>
      <c r="G2141" s="83" t="n"/>
      <c r="H2141" s="83" t="n"/>
      <c r="I2141" s="83" t="n"/>
      <c r="J2141" s="83" t="n"/>
      <c r="K2141" s="83" t="n"/>
      <c r="L2141" s="83" t="n"/>
      <c r="M2141" s="83" t="n"/>
      <c r="O2141" s="84" t="str">
        <f>IF($C2141="","",IFERROR(MATCH($B2141&amp;"|"&amp;$C2141,MUROS!$AX$11:$AX$70,0),0))</f>
        <v/>
      </c>
      <c r="P2141" s="84" t="str">
        <f>IF($D2141="","",IF(ISNUMBER(MATCH($D2141,CMB_S,0)),1,IF(ISNUMBER(MATCH($D2141,CMB_G,0)),2,0)))</f>
        <v/>
      </c>
      <c r="Q2141" s="84">
        <f>IF(ISNUMBER($H2141),-$H2141,0)</f>
        <v>0</v>
      </c>
      <c r="R2141" s="84">
        <f>IF(ISNUMBER($I2141),ABS($I2141),0)</f>
        <v>0</v>
      </c>
      <c r="S2141" s="84">
        <f>IF(ISNUMBER($M2141),ABS($M2141),0)</f>
        <v>0</v>
      </c>
      <c r="T2141" s="85" t="n">
        <v>2133</v>
      </c>
    </row>
    <row r="2142">
      <c r="B2142" s="83" t="n"/>
      <c r="C2142" s="83" t="n"/>
      <c r="D2142" s="83" t="n"/>
      <c r="E2142" s="83" t="n"/>
      <c r="F2142" s="83" t="n"/>
      <c r="G2142" s="83" t="n"/>
      <c r="H2142" s="83" t="n"/>
      <c r="I2142" s="83" t="n"/>
      <c r="J2142" s="83" t="n"/>
      <c r="K2142" s="83" t="n"/>
      <c r="L2142" s="83" t="n"/>
      <c r="M2142" s="83" t="n"/>
      <c r="O2142" s="84" t="str">
        <f>IF($C2142="","",IFERROR(MATCH($B2142&amp;"|"&amp;$C2142,MUROS!$AX$11:$AX$70,0),0))</f>
        <v/>
      </c>
      <c r="P2142" s="84" t="str">
        <f>IF($D2142="","",IF(ISNUMBER(MATCH($D2142,CMB_S,0)),1,IF(ISNUMBER(MATCH($D2142,CMB_G,0)),2,0)))</f>
        <v/>
      </c>
      <c r="Q2142" s="84">
        <f>IF(ISNUMBER($H2142),-$H2142,0)</f>
        <v>0</v>
      </c>
      <c r="R2142" s="84">
        <f>IF(ISNUMBER($I2142),ABS($I2142),0)</f>
        <v>0</v>
      </c>
      <c r="S2142" s="84">
        <f>IF(ISNUMBER($M2142),ABS($M2142),0)</f>
        <v>0</v>
      </c>
      <c r="T2142" s="85" t="n">
        <v>2134</v>
      </c>
    </row>
    <row r="2143">
      <c r="B2143" s="83" t="n"/>
      <c r="C2143" s="83" t="n"/>
      <c r="D2143" s="83" t="n"/>
      <c r="E2143" s="83" t="n"/>
      <c r="F2143" s="83" t="n"/>
      <c r="G2143" s="83" t="n"/>
      <c r="H2143" s="83" t="n"/>
      <c r="I2143" s="83" t="n"/>
      <c r="J2143" s="83" t="n"/>
      <c r="K2143" s="83" t="n"/>
      <c r="L2143" s="83" t="n"/>
      <c r="M2143" s="83" t="n"/>
      <c r="O2143" s="84" t="str">
        <f>IF($C2143="","",IFERROR(MATCH($B2143&amp;"|"&amp;$C2143,MUROS!$AX$11:$AX$70,0),0))</f>
        <v/>
      </c>
      <c r="P2143" s="84" t="str">
        <f>IF($D2143="","",IF(ISNUMBER(MATCH($D2143,CMB_S,0)),1,IF(ISNUMBER(MATCH($D2143,CMB_G,0)),2,0)))</f>
        <v/>
      </c>
      <c r="Q2143" s="84">
        <f>IF(ISNUMBER($H2143),-$H2143,0)</f>
        <v>0</v>
      </c>
      <c r="R2143" s="84">
        <f>IF(ISNUMBER($I2143),ABS($I2143),0)</f>
        <v>0</v>
      </c>
      <c r="S2143" s="84">
        <f>IF(ISNUMBER($M2143),ABS($M2143),0)</f>
        <v>0</v>
      </c>
      <c r="T2143" s="85" t="n">
        <v>2135</v>
      </c>
    </row>
    <row r="2144">
      <c r="B2144" s="83" t="n"/>
      <c r="C2144" s="83" t="n"/>
      <c r="D2144" s="83" t="n"/>
      <c r="E2144" s="83" t="n"/>
      <c r="F2144" s="83" t="n"/>
      <c r="G2144" s="83" t="n"/>
      <c r="H2144" s="83" t="n"/>
      <c r="I2144" s="83" t="n"/>
      <c r="J2144" s="83" t="n"/>
      <c r="K2144" s="83" t="n"/>
      <c r="L2144" s="83" t="n"/>
      <c r="M2144" s="83" t="n"/>
      <c r="O2144" s="84" t="str">
        <f>IF($C2144="","",IFERROR(MATCH($B2144&amp;"|"&amp;$C2144,MUROS!$AX$11:$AX$70,0),0))</f>
        <v/>
      </c>
      <c r="P2144" s="84" t="str">
        <f>IF($D2144="","",IF(ISNUMBER(MATCH($D2144,CMB_S,0)),1,IF(ISNUMBER(MATCH($D2144,CMB_G,0)),2,0)))</f>
        <v/>
      </c>
      <c r="Q2144" s="84">
        <f>IF(ISNUMBER($H2144),-$H2144,0)</f>
        <v>0</v>
      </c>
      <c r="R2144" s="84">
        <f>IF(ISNUMBER($I2144),ABS($I2144),0)</f>
        <v>0</v>
      </c>
      <c r="S2144" s="84">
        <f>IF(ISNUMBER($M2144),ABS($M2144),0)</f>
        <v>0</v>
      </c>
      <c r="T2144" s="85" t="n">
        <v>2136</v>
      </c>
    </row>
    <row r="2145">
      <c r="B2145" s="83" t="n"/>
      <c r="C2145" s="83" t="n"/>
      <c r="D2145" s="83" t="n"/>
      <c r="E2145" s="83" t="n"/>
      <c r="F2145" s="83" t="n"/>
      <c r="G2145" s="83" t="n"/>
      <c r="H2145" s="83" t="n"/>
      <c r="I2145" s="83" t="n"/>
      <c r="J2145" s="83" t="n"/>
      <c r="K2145" s="83" t="n"/>
      <c r="L2145" s="83" t="n"/>
      <c r="M2145" s="83" t="n"/>
      <c r="O2145" s="84" t="str">
        <f>IF($C2145="","",IFERROR(MATCH($B2145&amp;"|"&amp;$C2145,MUROS!$AX$11:$AX$70,0),0))</f>
        <v/>
      </c>
      <c r="P2145" s="84" t="str">
        <f>IF($D2145="","",IF(ISNUMBER(MATCH($D2145,CMB_S,0)),1,IF(ISNUMBER(MATCH($D2145,CMB_G,0)),2,0)))</f>
        <v/>
      </c>
      <c r="Q2145" s="84">
        <f>IF(ISNUMBER($H2145),-$H2145,0)</f>
        <v>0</v>
      </c>
      <c r="R2145" s="84">
        <f>IF(ISNUMBER($I2145),ABS($I2145),0)</f>
        <v>0</v>
      </c>
      <c r="S2145" s="84">
        <f>IF(ISNUMBER($M2145),ABS($M2145),0)</f>
        <v>0</v>
      </c>
      <c r="T2145" s="85" t="n">
        <v>2137</v>
      </c>
    </row>
    <row r="2146">
      <c r="B2146" s="83" t="n"/>
      <c r="C2146" s="83" t="n"/>
      <c r="D2146" s="83" t="n"/>
      <c r="E2146" s="83" t="n"/>
      <c r="F2146" s="83" t="n"/>
      <c r="G2146" s="83" t="n"/>
      <c r="H2146" s="83" t="n"/>
      <c r="I2146" s="83" t="n"/>
      <c r="J2146" s="83" t="n"/>
      <c r="K2146" s="83" t="n"/>
      <c r="L2146" s="83" t="n"/>
      <c r="M2146" s="83" t="n"/>
      <c r="O2146" s="84" t="str">
        <f>IF($C2146="","",IFERROR(MATCH($B2146&amp;"|"&amp;$C2146,MUROS!$AX$11:$AX$70,0),0))</f>
        <v/>
      </c>
      <c r="P2146" s="84" t="str">
        <f>IF($D2146="","",IF(ISNUMBER(MATCH($D2146,CMB_S,0)),1,IF(ISNUMBER(MATCH($D2146,CMB_G,0)),2,0)))</f>
        <v/>
      </c>
      <c r="Q2146" s="84">
        <f>IF(ISNUMBER($H2146),-$H2146,0)</f>
        <v>0</v>
      </c>
      <c r="R2146" s="84">
        <f>IF(ISNUMBER($I2146),ABS($I2146),0)</f>
        <v>0</v>
      </c>
      <c r="S2146" s="84">
        <f>IF(ISNUMBER($M2146),ABS($M2146),0)</f>
        <v>0</v>
      </c>
      <c r="T2146" s="85" t="n">
        <v>2138</v>
      </c>
    </row>
    <row r="2147">
      <c r="B2147" s="83" t="n"/>
      <c r="C2147" s="83" t="n"/>
      <c r="D2147" s="83" t="n"/>
      <c r="E2147" s="83" t="n"/>
      <c r="F2147" s="83" t="n"/>
      <c r="G2147" s="83" t="n"/>
      <c r="H2147" s="83" t="n"/>
      <c r="I2147" s="83" t="n"/>
      <c r="J2147" s="83" t="n"/>
      <c r="K2147" s="83" t="n"/>
      <c r="L2147" s="83" t="n"/>
      <c r="M2147" s="83" t="n"/>
      <c r="O2147" s="84" t="str">
        <f>IF($C2147="","",IFERROR(MATCH($B2147&amp;"|"&amp;$C2147,MUROS!$AX$11:$AX$70,0),0))</f>
        <v/>
      </c>
      <c r="P2147" s="84" t="str">
        <f>IF($D2147="","",IF(ISNUMBER(MATCH($D2147,CMB_S,0)),1,IF(ISNUMBER(MATCH($D2147,CMB_G,0)),2,0)))</f>
        <v/>
      </c>
      <c r="Q2147" s="84">
        <f>IF(ISNUMBER($H2147),-$H2147,0)</f>
        <v>0</v>
      </c>
      <c r="R2147" s="84">
        <f>IF(ISNUMBER($I2147),ABS($I2147),0)</f>
        <v>0</v>
      </c>
      <c r="S2147" s="84">
        <f>IF(ISNUMBER($M2147),ABS($M2147),0)</f>
        <v>0</v>
      </c>
      <c r="T2147" s="85" t="n">
        <v>2139</v>
      </c>
    </row>
    <row r="2148">
      <c r="B2148" s="83" t="n"/>
      <c r="C2148" s="83" t="n"/>
      <c r="D2148" s="83" t="n"/>
      <c r="E2148" s="83" t="n"/>
      <c r="F2148" s="83" t="n"/>
      <c r="G2148" s="83" t="n"/>
      <c r="H2148" s="83" t="n"/>
      <c r="I2148" s="83" t="n"/>
      <c r="J2148" s="83" t="n"/>
      <c r="K2148" s="83" t="n"/>
      <c r="L2148" s="83" t="n"/>
      <c r="M2148" s="83" t="n"/>
      <c r="O2148" s="84" t="str">
        <f>IF($C2148="","",IFERROR(MATCH($B2148&amp;"|"&amp;$C2148,MUROS!$AX$11:$AX$70,0),0))</f>
        <v/>
      </c>
      <c r="P2148" s="84" t="str">
        <f>IF($D2148="","",IF(ISNUMBER(MATCH($D2148,CMB_S,0)),1,IF(ISNUMBER(MATCH($D2148,CMB_G,0)),2,0)))</f>
        <v/>
      </c>
      <c r="Q2148" s="84">
        <f>IF(ISNUMBER($H2148),-$H2148,0)</f>
        <v>0</v>
      </c>
      <c r="R2148" s="84">
        <f>IF(ISNUMBER($I2148),ABS($I2148),0)</f>
        <v>0</v>
      </c>
      <c r="S2148" s="84">
        <f>IF(ISNUMBER($M2148),ABS($M2148),0)</f>
        <v>0</v>
      </c>
      <c r="T2148" s="85" t="n">
        <v>2140</v>
      </c>
    </row>
    <row r="2149">
      <c r="B2149" s="83" t="n"/>
      <c r="C2149" s="83" t="n"/>
      <c r="D2149" s="83" t="n"/>
      <c r="E2149" s="83" t="n"/>
      <c r="F2149" s="83" t="n"/>
      <c r="G2149" s="83" t="n"/>
      <c r="H2149" s="83" t="n"/>
      <c r="I2149" s="83" t="n"/>
      <c r="J2149" s="83" t="n"/>
      <c r="K2149" s="83" t="n"/>
      <c r="L2149" s="83" t="n"/>
      <c r="M2149" s="83" t="n"/>
      <c r="O2149" s="84" t="str">
        <f>IF($C2149="","",IFERROR(MATCH($B2149&amp;"|"&amp;$C2149,MUROS!$AX$11:$AX$70,0),0))</f>
        <v/>
      </c>
      <c r="P2149" s="84" t="str">
        <f>IF($D2149="","",IF(ISNUMBER(MATCH($D2149,CMB_S,0)),1,IF(ISNUMBER(MATCH($D2149,CMB_G,0)),2,0)))</f>
        <v/>
      </c>
      <c r="Q2149" s="84">
        <f>IF(ISNUMBER($H2149),-$H2149,0)</f>
        <v>0</v>
      </c>
      <c r="R2149" s="84">
        <f>IF(ISNUMBER($I2149),ABS($I2149),0)</f>
        <v>0</v>
      </c>
      <c r="S2149" s="84">
        <f>IF(ISNUMBER($M2149),ABS($M2149),0)</f>
        <v>0</v>
      </c>
      <c r="T2149" s="85" t="n">
        <v>2141</v>
      </c>
    </row>
    <row r="2150">
      <c r="B2150" s="83" t="n"/>
      <c r="C2150" s="83" t="n"/>
      <c r="D2150" s="83" t="n"/>
      <c r="E2150" s="83" t="n"/>
      <c r="F2150" s="83" t="n"/>
      <c r="G2150" s="83" t="n"/>
      <c r="H2150" s="83" t="n"/>
      <c r="I2150" s="83" t="n"/>
      <c r="J2150" s="83" t="n"/>
      <c r="K2150" s="83" t="n"/>
      <c r="L2150" s="83" t="n"/>
      <c r="M2150" s="83" t="n"/>
      <c r="O2150" s="84" t="str">
        <f>IF($C2150="","",IFERROR(MATCH($B2150&amp;"|"&amp;$C2150,MUROS!$AX$11:$AX$70,0),0))</f>
        <v/>
      </c>
      <c r="P2150" s="84" t="str">
        <f>IF($D2150="","",IF(ISNUMBER(MATCH($D2150,CMB_S,0)),1,IF(ISNUMBER(MATCH($D2150,CMB_G,0)),2,0)))</f>
        <v/>
      </c>
      <c r="Q2150" s="84">
        <f>IF(ISNUMBER($H2150),-$H2150,0)</f>
        <v>0</v>
      </c>
      <c r="R2150" s="84">
        <f>IF(ISNUMBER($I2150),ABS($I2150),0)</f>
        <v>0</v>
      </c>
      <c r="S2150" s="84">
        <f>IF(ISNUMBER($M2150),ABS($M2150),0)</f>
        <v>0</v>
      </c>
      <c r="T2150" s="85" t="n">
        <v>2142</v>
      </c>
    </row>
    <row r="2151">
      <c r="B2151" s="83" t="n"/>
      <c r="C2151" s="83" t="n"/>
      <c r="D2151" s="83" t="n"/>
      <c r="E2151" s="83" t="n"/>
      <c r="F2151" s="83" t="n"/>
      <c r="G2151" s="83" t="n"/>
      <c r="H2151" s="83" t="n"/>
      <c r="I2151" s="83" t="n"/>
      <c r="J2151" s="83" t="n"/>
      <c r="K2151" s="83" t="n"/>
      <c r="L2151" s="83" t="n"/>
      <c r="M2151" s="83" t="n"/>
      <c r="O2151" s="84" t="str">
        <f>IF($C2151="","",IFERROR(MATCH($B2151&amp;"|"&amp;$C2151,MUROS!$AX$11:$AX$70,0),0))</f>
        <v/>
      </c>
      <c r="P2151" s="84" t="str">
        <f>IF($D2151="","",IF(ISNUMBER(MATCH($D2151,CMB_S,0)),1,IF(ISNUMBER(MATCH($D2151,CMB_G,0)),2,0)))</f>
        <v/>
      </c>
      <c r="Q2151" s="84">
        <f>IF(ISNUMBER($H2151),-$H2151,0)</f>
        <v>0</v>
      </c>
      <c r="R2151" s="84">
        <f>IF(ISNUMBER($I2151),ABS($I2151),0)</f>
        <v>0</v>
      </c>
      <c r="S2151" s="84">
        <f>IF(ISNUMBER($M2151),ABS($M2151),0)</f>
        <v>0</v>
      </c>
      <c r="T2151" s="85" t="n">
        <v>2143</v>
      </c>
    </row>
    <row r="2152">
      <c r="B2152" s="83" t="n"/>
      <c r="C2152" s="83" t="n"/>
      <c r="D2152" s="83" t="n"/>
      <c r="E2152" s="83" t="n"/>
      <c r="F2152" s="83" t="n"/>
      <c r="G2152" s="83" t="n"/>
      <c r="H2152" s="83" t="n"/>
      <c r="I2152" s="83" t="n"/>
      <c r="J2152" s="83" t="n"/>
      <c r="K2152" s="83" t="n"/>
      <c r="L2152" s="83" t="n"/>
      <c r="M2152" s="83" t="n"/>
      <c r="O2152" s="84" t="str">
        <f>IF($C2152="","",IFERROR(MATCH($B2152&amp;"|"&amp;$C2152,MUROS!$AX$11:$AX$70,0),0))</f>
        <v/>
      </c>
      <c r="P2152" s="84" t="str">
        <f>IF($D2152="","",IF(ISNUMBER(MATCH($D2152,CMB_S,0)),1,IF(ISNUMBER(MATCH($D2152,CMB_G,0)),2,0)))</f>
        <v/>
      </c>
      <c r="Q2152" s="84">
        <f>IF(ISNUMBER($H2152),-$H2152,0)</f>
        <v>0</v>
      </c>
      <c r="R2152" s="84">
        <f>IF(ISNUMBER($I2152),ABS($I2152),0)</f>
        <v>0</v>
      </c>
      <c r="S2152" s="84">
        <f>IF(ISNUMBER($M2152),ABS($M2152),0)</f>
        <v>0</v>
      </c>
      <c r="T2152" s="85" t="n">
        <v>2144</v>
      </c>
    </row>
    <row r="2153">
      <c r="B2153" s="83" t="n"/>
      <c r="C2153" s="83" t="n"/>
      <c r="D2153" s="83" t="n"/>
      <c r="E2153" s="83" t="n"/>
      <c r="F2153" s="83" t="n"/>
      <c r="G2153" s="83" t="n"/>
      <c r="H2153" s="83" t="n"/>
      <c r="I2153" s="83" t="n"/>
      <c r="J2153" s="83" t="n"/>
      <c r="K2153" s="83" t="n"/>
      <c r="L2153" s="83" t="n"/>
      <c r="M2153" s="83" t="n"/>
      <c r="O2153" s="84" t="str">
        <f>IF($C2153="","",IFERROR(MATCH($B2153&amp;"|"&amp;$C2153,MUROS!$AX$11:$AX$70,0),0))</f>
        <v/>
      </c>
      <c r="P2153" s="84" t="str">
        <f>IF($D2153="","",IF(ISNUMBER(MATCH($D2153,CMB_S,0)),1,IF(ISNUMBER(MATCH($D2153,CMB_G,0)),2,0)))</f>
        <v/>
      </c>
      <c r="Q2153" s="84">
        <f>IF(ISNUMBER($H2153),-$H2153,0)</f>
        <v>0</v>
      </c>
      <c r="R2153" s="84">
        <f>IF(ISNUMBER($I2153),ABS($I2153),0)</f>
        <v>0</v>
      </c>
      <c r="S2153" s="84">
        <f>IF(ISNUMBER($M2153),ABS($M2153),0)</f>
        <v>0</v>
      </c>
      <c r="T2153" s="85" t="n">
        <v>2145</v>
      </c>
    </row>
    <row r="2154">
      <c r="B2154" s="83" t="n"/>
      <c r="C2154" s="83" t="n"/>
      <c r="D2154" s="83" t="n"/>
      <c r="E2154" s="83" t="n"/>
      <c r="F2154" s="83" t="n"/>
      <c r="G2154" s="83" t="n"/>
      <c r="H2154" s="83" t="n"/>
      <c r="I2154" s="83" t="n"/>
      <c r="J2154" s="83" t="n"/>
      <c r="K2154" s="83" t="n"/>
      <c r="L2154" s="83" t="n"/>
      <c r="M2154" s="83" t="n"/>
      <c r="O2154" s="84" t="str">
        <f>IF($C2154="","",IFERROR(MATCH($B2154&amp;"|"&amp;$C2154,MUROS!$AX$11:$AX$70,0),0))</f>
        <v/>
      </c>
      <c r="P2154" s="84" t="str">
        <f>IF($D2154="","",IF(ISNUMBER(MATCH($D2154,CMB_S,0)),1,IF(ISNUMBER(MATCH($D2154,CMB_G,0)),2,0)))</f>
        <v/>
      </c>
      <c r="Q2154" s="84">
        <f>IF(ISNUMBER($H2154),-$H2154,0)</f>
        <v>0</v>
      </c>
      <c r="R2154" s="84">
        <f>IF(ISNUMBER($I2154),ABS($I2154),0)</f>
        <v>0</v>
      </c>
      <c r="S2154" s="84">
        <f>IF(ISNUMBER($M2154),ABS($M2154),0)</f>
        <v>0</v>
      </c>
      <c r="T2154" s="85" t="n">
        <v>2146</v>
      </c>
    </row>
    <row r="2155">
      <c r="B2155" s="83" t="n"/>
      <c r="C2155" s="83" t="n"/>
      <c r="D2155" s="83" t="n"/>
      <c r="E2155" s="83" t="n"/>
      <c r="F2155" s="83" t="n"/>
      <c r="G2155" s="83" t="n"/>
      <c r="H2155" s="83" t="n"/>
      <c r="I2155" s="83" t="n"/>
      <c r="J2155" s="83" t="n"/>
      <c r="K2155" s="83" t="n"/>
      <c r="L2155" s="83" t="n"/>
      <c r="M2155" s="83" t="n"/>
      <c r="O2155" s="84" t="str">
        <f>IF($C2155="","",IFERROR(MATCH($B2155&amp;"|"&amp;$C2155,MUROS!$AX$11:$AX$70,0),0))</f>
        <v/>
      </c>
      <c r="P2155" s="84" t="str">
        <f>IF($D2155="","",IF(ISNUMBER(MATCH($D2155,CMB_S,0)),1,IF(ISNUMBER(MATCH($D2155,CMB_G,0)),2,0)))</f>
        <v/>
      </c>
      <c r="Q2155" s="84">
        <f>IF(ISNUMBER($H2155),-$H2155,0)</f>
        <v>0</v>
      </c>
      <c r="R2155" s="84">
        <f>IF(ISNUMBER($I2155),ABS($I2155),0)</f>
        <v>0</v>
      </c>
      <c r="S2155" s="84">
        <f>IF(ISNUMBER($M2155),ABS($M2155),0)</f>
        <v>0</v>
      </c>
      <c r="T2155" s="85" t="n">
        <v>2147</v>
      </c>
    </row>
    <row r="2156">
      <c r="B2156" s="83" t="n"/>
      <c r="C2156" s="83" t="n"/>
      <c r="D2156" s="83" t="n"/>
      <c r="E2156" s="83" t="n"/>
      <c r="F2156" s="83" t="n"/>
      <c r="G2156" s="83" t="n"/>
      <c r="H2156" s="83" t="n"/>
      <c r="I2156" s="83" t="n"/>
      <c r="J2156" s="83" t="n"/>
      <c r="K2156" s="83" t="n"/>
      <c r="L2156" s="83" t="n"/>
      <c r="M2156" s="83" t="n"/>
      <c r="O2156" s="84" t="str">
        <f>IF($C2156="","",IFERROR(MATCH($B2156&amp;"|"&amp;$C2156,MUROS!$AX$11:$AX$70,0),0))</f>
        <v/>
      </c>
      <c r="P2156" s="84" t="str">
        <f>IF($D2156="","",IF(ISNUMBER(MATCH($D2156,CMB_S,0)),1,IF(ISNUMBER(MATCH($D2156,CMB_G,0)),2,0)))</f>
        <v/>
      </c>
      <c r="Q2156" s="84">
        <f>IF(ISNUMBER($H2156),-$H2156,0)</f>
        <v>0</v>
      </c>
      <c r="R2156" s="84">
        <f>IF(ISNUMBER($I2156),ABS($I2156),0)</f>
        <v>0</v>
      </c>
      <c r="S2156" s="84">
        <f>IF(ISNUMBER($M2156),ABS($M2156),0)</f>
        <v>0</v>
      </c>
      <c r="T2156" s="85" t="n">
        <v>2148</v>
      </c>
    </row>
    <row r="2157">
      <c r="B2157" s="83" t="n"/>
      <c r="C2157" s="83" t="n"/>
      <c r="D2157" s="83" t="n"/>
      <c r="E2157" s="83" t="n"/>
      <c r="F2157" s="83" t="n"/>
      <c r="G2157" s="83" t="n"/>
      <c r="H2157" s="83" t="n"/>
      <c r="I2157" s="83" t="n"/>
      <c r="J2157" s="83" t="n"/>
      <c r="K2157" s="83" t="n"/>
      <c r="L2157" s="83" t="n"/>
      <c r="M2157" s="83" t="n"/>
      <c r="O2157" s="84" t="str">
        <f>IF($C2157="","",IFERROR(MATCH($B2157&amp;"|"&amp;$C2157,MUROS!$AX$11:$AX$70,0),0))</f>
        <v/>
      </c>
      <c r="P2157" s="84" t="str">
        <f>IF($D2157="","",IF(ISNUMBER(MATCH($D2157,CMB_S,0)),1,IF(ISNUMBER(MATCH($D2157,CMB_G,0)),2,0)))</f>
        <v/>
      </c>
      <c r="Q2157" s="84">
        <f>IF(ISNUMBER($H2157),-$H2157,0)</f>
        <v>0</v>
      </c>
      <c r="R2157" s="84">
        <f>IF(ISNUMBER($I2157),ABS($I2157),0)</f>
        <v>0</v>
      </c>
      <c r="S2157" s="84">
        <f>IF(ISNUMBER($M2157),ABS($M2157),0)</f>
        <v>0</v>
      </c>
      <c r="T2157" s="85" t="n">
        <v>2149</v>
      </c>
    </row>
    <row r="2158">
      <c r="B2158" s="83" t="n"/>
      <c r="C2158" s="83" t="n"/>
      <c r="D2158" s="83" t="n"/>
      <c r="E2158" s="83" t="n"/>
      <c r="F2158" s="83" t="n"/>
      <c r="G2158" s="83" t="n"/>
      <c r="H2158" s="83" t="n"/>
      <c r="I2158" s="83" t="n"/>
      <c r="J2158" s="83" t="n"/>
      <c r="K2158" s="83" t="n"/>
      <c r="L2158" s="83" t="n"/>
      <c r="M2158" s="83" t="n"/>
      <c r="O2158" s="84" t="str">
        <f>IF($C2158="","",IFERROR(MATCH($B2158&amp;"|"&amp;$C2158,MUROS!$AX$11:$AX$70,0),0))</f>
        <v/>
      </c>
      <c r="P2158" s="84" t="str">
        <f>IF($D2158="","",IF(ISNUMBER(MATCH($D2158,CMB_S,0)),1,IF(ISNUMBER(MATCH($D2158,CMB_G,0)),2,0)))</f>
        <v/>
      </c>
      <c r="Q2158" s="84">
        <f>IF(ISNUMBER($H2158),-$H2158,0)</f>
        <v>0</v>
      </c>
      <c r="R2158" s="84">
        <f>IF(ISNUMBER($I2158),ABS($I2158),0)</f>
        <v>0</v>
      </c>
      <c r="S2158" s="84">
        <f>IF(ISNUMBER($M2158),ABS($M2158),0)</f>
        <v>0</v>
      </c>
      <c r="T2158" s="85" t="n">
        <v>2150</v>
      </c>
    </row>
    <row r="2159">
      <c r="B2159" s="83" t="n"/>
      <c r="C2159" s="83" t="n"/>
      <c r="D2159" s="83" t="n"/>
      <c r="E2159" s="83" t="n"/>
      <c r="F2159" s="83" t="n"/>
      <c r="G2159" s="83" t="n"/>
      <c r="H2159" s="83" t="n"/>
      <c r="I2159" s="83" t="n"/>
      <c r="J2159" s="83" t="n"/>
      <c r="K2159" s="83" t="n"/>
      <c r="L2159" s="83" t="n"/>
      <c r="M2159" s="83" t="n"/>
      <c r="O2159" s="84" t="str">
        <f>IF($C2159="","",IFERROR(MATCH($B2159&amp;"|"&amp;$C2159,MUROS!$AX$11:$AX$70,0),0))</f>
        <v/>
      </c>
      <c r="P2159" s="84" t="str">
        <f>IF($D2159="","",IF(ISNUMBER(MATCH($D2159,CMB_S,0)),1,IF(ISNUMBER(MATCH($D2159,CMB_G,0)),2,0)))</f>
        <v/>
      </c>
      <c r="Q2159" s="84">
        <f>IF(ISNUMBER($H2159),-$H2159,0)</f>
        <v>0</v>
      </c>
      <c r="R2159" s="84">
        <f>IF(ISNUMBER($I2159),ABS($I2159),0)</f>
        <v>0</v>
      </c>
      <c r="S2159" s="84">
        <f>IF(ISNUMBER($M2159),ABS($M2159),0)</f>
        <v>0</v>
      </c>
      <c r="T2159" s="85" t="n">
        <v>2151</v>
      </c>
    </row>
    <row r="2160">
      <c r="B2160" s="83" t="n"/>
      <c r="C2160" s="83" t="n"/>
      <c r="D2160" s="83" t="n"/>
      <c r="E2160" s="83" t="n"/>
      <c r="F2160" s="83" t="n"/>
      <c r="G2160" s="83" t="n"/>
      <c r="H2160" s="83" t="n"/>
      <c r="I2160" s="83" t="n"/>
      <c r="J2160" s="83" t="n"/>
      <c r="K2160" s="83" t="n"/>
      <c r="L2160" s="83" t="n"/>
      <c r="M2160" s="83" t="n"/>
      <c r="O2160" s="84" t="str">
        <f>IF($C2160="","",IFERROR(MATCH($B2160&amp;"|"&amp;$C2160,MUROS!$AX$11:$AX$70,0),0))</f>
        <v/>
      </c>
      <c r="P2160" s="84" t="str">
        <f>IF($D2160="","",IF(ISNUMBER(MATCH($D2160,CMB_S,0)),1,IF(ISNUMBER(MATCH($D2160,CMB_G,0)),2,0)))</f>
        <v/>
      </c>
      <c r="Q2160" s="84">
        <f>IF(ISNUMBER($H2160),-$H2160,0)</f>
        <v>0</v>
      </c>
      <c r="R2160" s="84">
        <f>IF(ISNUMBER($I2160),ABS($I2160),0)</f>
        <v>0</v>
      </c>
      <c r="S2160" s="84">
        <f>IF(ISNUMBER($M2160),ABS($M2160),0)</f>
        <v>0</v>
      </c>
      <c r="T2160" s="85" t="n">
        <v>2152</v>
      </c>
    </row>
    <row r="2161">
      <c r="B2161" s="83" t="n"/>
      <c r="C2161" s="83" t="n"/>
      <c r="D2161" s="83" t="n"/>
      <c r="E2161" s="83" t="n"/>
      <c r="F2161" s="83" t="n"/>
      <c r="G2161" s="83" t="n"/>
      <c r="H2161" s="83" t="n"/>
      <c r="I2161" s="83" t="n"/>
      <c r="J2161" s="83" t="n"/>
      <c r="K2161" s="83" t="n"/>
      <c r="L2161" s="83" t="n"/>
      <c r="M2161" s="83" t="n"/>
      <c r="O2161" s="84" t="str">
        <f>IF($C2161="","",IFERROR(MATCH($B2161&amp;"|"&amp;$C2161,MUROS!$AX$11:$AX$70,0),0))</f>
        <v/>
      </c>
      <c r="P2161" s="84" t="str">
        <f>IF($D2161="","",IF(ISNUMBER(MATCH($D2161,CMB_S,0)),1,IF(ISNUMBER(MATCH($D2161,CMB_G,0)),2,0)))</f>
        <v/>
      </c>
      <c r="Q2161" s="84">
        <f>IF(ISNUMBER($H2161),-$H2161,0)</f>
        <v>0</v>
      </c>
      <c r="R2161" s="84">
        <f>IF(ISNUMBER($I2161),ABS($I2161),0)</f>
        <v>0</v>
      </c>
      <c r="S2161" s="84">
        <f>IF(ISNUMBER($M2161),ABS($M2161),0)</f>
        <v>0</v>
      </c>
      <c r="T2161" s="85" t="n">
        <v>2153</v>
      </c>
    </row>
    <row r="2162">
      <c r="B2162" s="83" t="n"/>
      <c r="C2162" s="83" t="n"/>
      <c r="D2162" s="83" t="n"/>
      <c r="E2162" s="83" t="n"/>
      <c r="F2162" s="83" t="n"/>
      <c r="G2162" s="83" t="n"/>
      <c r="H2162" s="83" t="n"/>
      <c r="I2162" s="83" t="n"/>
      <c r="J2162" s="83" t="n"/>
      <c r="K2162" s="83" t="n"/>
      <c r="L2162" s="83" t="n"/>
      <c r="M2162" s="83" t="n"/>
      <c r="O2162" s="84" t="str">
        <f>IF($C2162="","",IFERROR(MATCH($B2162&amp;"|"&amp;$C2162,MUROS!$AX$11:$AX$70,0),0))</f>
        <v/>
      </c>
      <c r="P2162" s="84" t="str">
        <f>IF($D2162="","",IF(ISNUMBER(MATCH($D2162,CMB_S,0)),1,IF(ISNUMBER(MATCH($D2162,CMB_G,0)),2,0)))</f>
        <v/>
      </c>
      <c r="Q2162" s="84">
        <f>IF(ISNUMBER($H2162),-$H2162,0)</f>
        <v>0</v>
      </c>
      <c r="R2162" s="84">
        <f>IF(ISNUMBER($I2162),ABS($I2162),0)</f>
        <v>0</v>
      </c>
      <c r="S2162" s="84">
        <f>IF(ISNUMBER($M2162),ABS($M2162),0)</f>
        <v>0</v>
      </c>
      <c r="T2162" s="85" t="n">
        <v>2154</v>
      </c>
    </row>
    <row r="2163">
      <c r="B2163" s="83" t="n"/>
      <c r="C2163" s="83" t="n"/>
      <c r="D2163" s="83" t="n"/>
      <c r="E2163" s="83" t="n"/>
      <c r="F2163" s="83" t="n"/>
      <c r="G2163" s="83" t="n"/>
      <c r="H2163" s="83" t="n"/>
      <c r="I2163" s="83" t="n"/>
      <c r="J2163" s="83" t="n"/>
      <c r="K2163" s="83" t="n"/>
      <c r="L2163" s="83" t="n"/>
      <c r="M2163" s="83" t="n"/>
      <c r="O2163" s="84" t="str">
        <f>IF($C2163="","",IFERROR(MATCH($B2163&amp;"|"&amp;$C2163,MUROS!$AX$11:$AX$70,0),0))</f>
        <v/>
      </c>
      <c r="P2163" s="84" t="str">
        <f>IF($D2163="","",IF(ISNUMBER(MATCH($D2163,CMB_S,0)),1,IF(ISNUMBER(MATCH($D2163,CMB_G,0)),2,0)))</f>
        <v/>
      </c>
      <c r="Q2163" s="84">
        <f>IF(ISNUMBER($H2163),-$H2163,0)</f>
        <v>0</v>
      </c>
      <c r="R2163" s="84">
        <f>IF(ISNUMBER($I2163),ABS($I2163),0)</f>
        <v>0</v>
      </c>
      <c r="S2163" s="84">
        <f>IF(ISNUMBER($M2163),ABS($M2163),0)</f>
        <v>0</v>
      </c>
      <c r="T2163" s="85" t="n">
        <v>2155</v>
      </c>
    </row>
    <row r="2164">
      <c r="B2164" s="83" t="n"/>
      <c r="C2164" s="83" t="n"/>
      <c r="D2164" s="83" t="n"/>
      <c r="E2164" s="83" t="n"/>
      <c r="F2164" s="83" t="n"/>
      <c r="G2164" s="83" t="n"/>
      <c r="H2164" s="83" t="n"/>
      <c r="I2164" s="83" t="n"/>
      <c r="J2164" s="83" t="n"/>
      <c r="K2164" s="83" t="n"/>
      <c r="L2164" s="83" t="n"/>
      <c r="M2164" s="83" t="n"/>
      <c r="O2164" s="84" t="str">
        <f>IF($C2164="","",IFERROR(MATCH($B2164&amp;"|"&amp;$C2164,MUROS!$AX$11:$AX$70,0),0))</f>
        <v/>
      </c>
      <c r="P2164" s="84" t="str">
        <f>IF($D2164="","",IF(ISNUMBER(MATCH($D2164,CMB_S,0)),1,IF(ISNUMBER(MATCH($D2164,CMB_G,0)),2,0)))</f>
        <v/>
      </c>
      <c r="Q2164" s="84">
        <f>IF(ISNUMBER($H2164),-$H2164,0)</f>
        <v>0</v>
      </c>
      <c r="R2164" s="84">
        <f>IF(ISNUMBER($I2164),ABS($I2164),0)</f>
        <v>0</v>
      </c>
      <c r="S2164" s="84">
        <f>IF(ISNUMBER($M2164),ABS($M2164),0)</f>
        <v>0</v>
      </c>
      <c r="T2164" s="85" t="n">
        <v>2156</v>
      </c>
    </row>
    <row r="2165">
      <c r="B2165" s="83" t="n"/>
      <c r="C2165" s="83" t="n"/>
      <c r="D2165" s="83" t="n"/>
      <c r="E2165" s="83" t="n"/>
      <c r="F2165" s="83" t="n"/>
      <c r="G2165" s="83" t="n"/>
      <c r="H2165" s="83" t="n"/>
      <c r="I2165" s="83" t="n"/>
      <c r="J2165" s="83" t="n"/>
      <c r="K2165" s="83" t="n"/>
      <c r="L2165" s="83" t="n"/>
      <c r="M2165" s="83" t="n"/>
      <c r="O2165" s="84" t="str">
        <f>IF($C2165="","",IFERROR(MATCH($B2165&amp;"|"&amp;$C2165,MUROS!$AX$11:$AX$70,0),0))</f>
        <v/>
      </c>
      <c r="P2165" s="84" t="str">
        <f>IF($D2165="","",IF(ISNUMBER(MATCH($D2165,CMB_S,0)),1,IF(ISNUMBER(MATCH($D2165,CMB_G,0)),2,0)))</f>
        <v/>
      </c>
      <c r="Q2165" s="84">
        <f>IF(ISNUMBER($H2165),-$H2165,0)</f>
        <v>0</v>
      </c>
      <c r="R2165" s="84">
        <f>IF(ISNUMBER($I2165),ABS($I2165),0)</f>
        <v>0</v>
      </c>
      <c r="S2165" s="84">
        <f>IF(ISNUMBER($M2165),ABS($M2165),0)</f>
        <v>0</v>
      </c>
      <c r="T2165" s="85" t="n">
        <v>2157</v>
      </c>
    </row>
    <row r="2166">
      <c r="B2166" s="83" t="n"/>
      <c r="C2166" s="83" t="n"/>
      <c r="D2166" s="83" t="n"/>
      <c r="E2166" s="83" t="n"/>
      <c r="F2166" s="83" t="n"/>
      <c r="G2166" s="83" t="n"/>
      <c r="H2166" s="83" t="n"/>
      <c r="I2166" s="83" t="n"/>
      <c r="J2166" s="83" t="n"/>
      <c r="K2166" s="83" t="n"/>
      <c r="L2166" s="83" t="n"/>
      <c r="M2166" s="83" t="n"/>
      <c r="O2166" s="84" t="str">
        <f>IF($C2166="","",IFERROR(MATCH($B2166&amp;"|"&amp;$C2166,MUROS!$AX$11:$AX$70,0),0))</f>
        <v/>
      </c>
      <c r="P2166" s="84" t="str">
        <f>IF($D2166="","",IF(ISNUMBER(MATCH($D2166,CMB_S,0)),1,IF(ISNUMBER(MATCH($D2166,CMB_G,0)),2,0)))</f>
        <v/>
      </c>
      <c r="Q2166" s="84">
        <f>IF(ISNUMBER($H2166),-$H2166,0)</f>
        <v>0</v>
      </c>
      <c r="R2166" s="84">
        <f>IF(ISNUMBER($I2166),ABS($I2166),0)</f>
        <v>0</v>
      </c>
      <c r="S2166" s="84">
        <f>IF(ISNUMBER($M2166),ABS($M2166),0)</f>
        <v>0</v>
      </c>
      <c r="T2166" s="85" t="n">
        <v>2158</v>
      </c>
    </row>
    <row r="2167">
      <c r="B2167" s="83" t="n"/>
      <c r="C2167" s="83" t="n"/>
      <c r="D2167" s="83" t="n"/>
      <c r="E2167" s="83" t="n"/>
      <c r="F2167" s="83" t="n"/>
      <c r="G2167" s="83" t="n"/>
      <c r="H2167" s="83" t="n"/>
      <c r="I2167" s="83" t="n"/>
      <c r="J2167" s="83" t="n"/>
      <c r="K2167" s="83" t="n"/>
      <c r="L2167" s="83" t="n"/>
      <c r="M2167" s="83" t="n"/>
      <c r="O2167" s="84" t="str">
        <f>IF($C2167="","",IFERROR(MATCH($B2167&amp;"|"&amp;$C2167,MUROS!$AX$11:$AX$70,0),0))</f>
        <v/>
      </c>
      <c r="P2167" s="84" t="str">
        <f>IF($D2167="","",IF(ISNUMBER(MATCH($D2167,CMB_S,0)),1,IF(ISNUMBER(MATCH($D2167,CMB_G,0)),2,0)))</f>
        <v/>
      </c>
      <c r="Q2167" s="84">
        <f>IF(ISNUMBER($H2167),-$H2167,0)</f>
        <v>0</v>
      </c>
      <c r="R2167" s="84">
        <f>IF(ISNUMBER($I2167),ABS($I2167),0)</f>
        <v>0</v>
      </c>
      <c r="S2167" s="84">
        <f>IF(ISNUMBER($M2167),ABS($M2167),0)</f>
        <v>0</v>
      </c>
      <c r="T2167" s="85" t="n">
        <v>2159</v>
      </c>
    </row>
    <row r="2168">
      <c r="B2168" s="83" t="n"/>
      <c r="C2168" s="83" t="n"/>
      <c r="D2168" s="83" t="n"/>
      <c r="E2168" s="83" t="n"/>
      <c r="F2168" s="83" t="n"/>
      <c r="G2168" s="83" t="n"/>
      <c r="H2168" s="83" t="n"/>
      <c r="I2168" s="83" t="n"/>
      <c r="J2168" s="83" t="n"/>
      <c r="K2168" s="83" t="n"/>
      <c r="L2168" s="83" t="n"/>
      <c r="M2168" s="83" t="n"/>
      <c r="O2168" s="84" t="str">
        <f>IF($C2168="","",IFERROR(MATCH($B2168&amp;"|"&amp;$C2168,MUROS!$AX$11:$AX$70,0),0))</f>
        <v/>
      </c>
      <c r="P2168" s="84" t="str">
        <f>IF($D2168="","",IF(ISNUMBER(MATCH($D2168,CMB_S,0)),1,IF(ISNUMBER(MATCH($D2168,CMB_G,0)),2,0)))</f>
        <v/>
      </c>
      <c r="Q2168" s="84">
        <f>IF(ISNUMBER($H2168),-$H2168,0)</f>
        <v>0</v>
      </c>
      <c r="R2168" s="84">
        <f>IF(ISNUMBER($I2168),ABS($I2168),0)</f>
        <v>0</v>
      </c>
      <c r="S2168" s="84">
        <f>IF(ISNUMBER($M2168),ABS($M2168),0)</f>
        <v>0</v>
      </c>
      <c r="T2168" s="85" t="n">
        <v>2160</v>
      </c>
    </row>
    <row r="2169">
      <c r="B2169" s="83" t="n"/>
      <c r="C2169" s="83" t="n"/>
      <c r="D2169" s="83" t="n"/>
      <c r="E2169" s="83" t="n"/>
      <c r="F2169" s="83" t="n"/>
      <c r="G2169" s="83" t="n"/>
      <c r="H2169" s="83" t="n"/>
      <c r="I2169" s="83" t="n"/>
      <c r="J2169" s="83" t="n"/>
      <c r="K2169" s="83" t="n"/>
      <c r="L2169" s="83" t="n"/>
      <c r="M2169" s="83" t="n"/>
      <c r="O2169" s="84" t="str">
        <f>IF($C2169="","",IFERROR(MATCH($B2169&amp;"|"&amp;$C2169,MUROS!$AX$11:$AX$70,0),0))</f>
        <v/>
      </c>
      <c r="P2169" s="84" t="str">
        <f>IF($D2169="","",IF(ISNUMBER(MATCH($D2169,CMB_S,0)),1,IF(ISNUMBER(MATCH($D2169,CMB_G,0)),2,0)))</f>
        <v/>
      </c>
      <c r="Q2169" s="84">
        <f>IF(ISNUMBER($H2169),-$H2169,0)</f>
        <v>0</v>
      </c>
      <c r="R2169" s="84">
        <f>IF(ISNUMBER($I2169),ABS($I2169),0)</f>
        <v>0</v>
      </c>
      <c r="S2169" s="84">
        <f>IF(ISNUMBER($M2169),ABS($M2169),0)</f>
        <v>0</v>
      </c>
      <c r="T2169" s="85" t="n">
        <v>2161</v>
      </c>
    </row>
    <row r="2170">
      <c r="B2170" s="83" t="n"/>
      <c r="C2170" s="83" t="n"/>
      <c r="D2170" s="83" t="n"/>
      <c r="E2170" s="83" t="n"/>
      <c r="F2170" s="83" t="n"/>
      <c r="G2170" s="83" t="n"/>
      <c r="H2170" s="83" t="n"/>
      <c r="I2170" s="83" t="n"/>
      <c r="J2170" s="83" t="n"/>
      <c r="K2170" s="83" t="n"/>
      <c r="L2170" s="83" t="n"/>
      <c r="M2170" s="83" t="n"/>
      <c r="O2170" s="84" t="str">
        <f>IF($C2170="","",IFERROR(MATCH($B2170&amp;"|"&amp;$C2170,MUROS!$AX$11:$AX$70,0),0))</f>
        <v/>
      </c>
      <c r="P2170" s="84" t="str">
        <f>IF($D2170="","",IF(ISNUMBER(MATCH($D2170,CMB_S,0)),1,IF(ISNUMBER(MATCH($D2170,CMB_G,0)),2,0)))</f>
        <v/>
      </c>
      <c r="Q2170" s="84">
        <f>IF(ISNUMBER($H2170),-$H2170,0)</f>
        <v>0</v>
      </c>
      <c r="R2170" s="84">
        <f>IF(ISNUMBER($I2170),ABS($I2170),0)</f>
        <v>0</v>
      </c>
      <c r="S2170" s="84">
        <f>IF(ISNUMBER($M2170),ABS($M2170),0)</f>
        <v>0</v>
      </c>
      <c r="T2170" s="85" t="n">
        <v>2162</v>
      </c>
    </row>
    <row r="2171">
      <c r="B2171" s="83" t="n"/>
      <c r="C2171" s="83" t="n"/>
      <c r="D2171" s="83" t="n"/>
      <c r="E2171" s="83" t="n"/>
      <c r="F2171" s="83" t="n"/>
      <c r="G2171" s="83" t="n"/>
      <c r="H2171" s="83" t="n"/>
      <c r="I2171" s="83" t="n"/>
      <c r="J2171" s="83" t="n"/>
      <c r="K2171" s="83" t="n"/>
      <c r="L2171" s="83" t="n"/>
      <c r="M2171" s="83" t="n"/>
      <c r="O2171" s="84" t="str">
        <f>IF($C2171="","",IFERROR(MATCH($B2171&amp;"|"&amp;$C2171,MUROS!$AX$11:$AX$70,0),0))</f>
        <v/>
      </c>
      <c r="P2171" s="84" t="str">
        <f>IF($D2171="","",IF(ISNUMBER(MATCH($D2171,CMB_S,0)),1,IF(ISNUMBER(MATCH($D2171,CMB_G,0)),2,0)))</f>
        <v/>
      </c>
      <c r="Q2171" s="84">
        <f>IF(ISNUMBER($H2171),-$H2171,0)</f>
        <v>0</v>
      </c>
      <c r="R2171" s="84">
        <f>IF(ISNUMBER($I2171),ABS($I2171),0)</f>
        <v>0</v>
      </c>
      <c r="S2171" s="84">
        <f>IF(ISNUMBER($M2171),ABS($M2171),0)</f>
        <v>0</v>
      </c>
      <c r="T2171" s="85" t="n">
        <v>2163</v>
      </c>
    </row>
    <row r="2172">
      <c r="B2172" s="83" t="n"/>
      <c r="C2172" s="83" t="n"/>
      <c r="D2172" s="83" t="n"/>
      <c r="E2172" s="83" t="n"/>
      <c r="F2172" s="83" t="n"/>
      <c r="G2172" s="83" t="n"/>
      <c r="H2172" s="83" t="n"/>
      <c r="I2172" s="83" t="n"/>
      <c r="J2172" s="83" t="n"/>
      <c r="K2172" s="83" t="n"/>
      <c r="L2172" s="83" t="n"/>
      <c r="M2172" s="83" t="n"/>
      <c r="O2172" s="84" t="str">
        <f>IF($C2172="","",IFERROR(MATCH($B2172&amp;"|"&amp;$C2172,MUROS!$AX$11:$AX$70,0),0))</f>
        <v/>
      </c>
      <c r="P2172" s="84" t="str">
        <f>IF($D2172="","",IF(ISNUMBER(MATCH($D2172,CMB_S,0)),1,IF(ISNUMBER(MATCH($D2172,CMB_G,0)),2,0)))</f>
        <v/>
      </c>
      <c r="Q2172" s="84">
        <f>IF(ISNUMBER($H2172),-$H2172,0)</f>
        <v>0</v>
      </c>
      <c r="R2172" s="84">
        <f>IF(ISNUMBER($I2172),ABS($I2172),0)</f>
        <v>0</v>
      </c>
      <c r="S2172" s="84">
        <f>IF(ISNUMBER($M2172),ABS($M2172),0)</f>
        <v>0</v>
      </c>
      <c r="T2172" s="85" t="n">
        <v>2164</v>
      </c>
    </row>
    <row r="2173">
      <c r="B2173" s="83" t="n"/>
      <c r="C2173" s="83" t="n"/>
      <c r="D2173" s="83" t="n"/>
      <c r="E2173" s="83" t="n"/>
      <c r="F2173" s="83" t="n"/>
      <c r="G2173" s="83" t="n"/>
      <c r="H2173" s="83" t="n"/>
      <c r="I2173" s="83" t="n"/>
      <c r="J2173" s="83" t="n"/>
      <c r="K2173" s="83" t="n"/>
      <c r="L2173" s="83" t="n"/>
      <c r="M2173" s="83" t="n"/>
      <c r="O2173" s="84" t="str">
        <f>IF($C2173="","",IFERROR(MATCH($B2173&amp;"|"&amp;$C2173,MUROS!$AX$11:$AX$70,0),0))</f>
        <v/>
      </c>
      <c r="P2173" s="84" t="str">
        <f>IF($D2173="","",IF(ISNUMBER(MATCH($D2173,CMB_S,0)),1,IF(ISNUMBER(MATCH($D2173,CMB_G,0)),2,0)))</f>
        <v/>
      </c>
      <c r="Q2173" s="84">
        <f>IF(ISNUMBER($H2173),-$H2173,0)</f>
        <v>0</v>
      </c>
      <c r="R2173" s="84">
        <f>IF(ISNUMBER($I2173),ABS($I2173),0)</f>
        <v>0</v>
      </c>
      <c r="S2173" s="84">
        <f>IF(ISNUMBER($M2173),ABS($M2173),0)</f>
        <v>0</v>
      </c>
      <c r="T2173" s="85" t="n">
        <v>2165</v>
      </c>
    </row>
    <row r="2174">
      <c r="B2174" s="83" t="n"/>
      <c r="C2174" s="83" t="n"/>
      <c r="D2174" s="83" t="n"/>
      <c r="E2174" s="83" t="n"/>
      <c r="F2174" s="83" t="n"/>
      <c r="G2174" s="83" t="n"/>
      <c r="H2174" s="83" t="n"/>
      <c r="I2174" s="83" t="n"/>
      <c r="J2174" s="83" t="n"/>
      <c r="K2174" s="83" t="n"/>
      <c r="L2174" s="83" t="n"/>
      <c r="M2174" s="83" t="n"/>
      <c r="O2174" s="84" t="str">
        <f>IF($C2174="","",IFERROR(MATCH($B2174&amp;"|"&amp;$C2174,MUROS!$AX$11:$AX$70,0),0))</f>
        <v/>
      </c>
      <c r="P2174" s="84" t="str">
        <f>IF($D2174="","",IF(ISNUMBER(MATCH($D2174,CMB_S,0)),1,IF(ISNUMBER(MATCH($D2174,CMB_G,0)),2,0)))</f>
        <v/>
      </c>
      <c r="Q2174" s="84">
        <f>IF(ISNUMBER($H2174),-$H2174,0)</f>
        <v>0</v>
      </c>
      <c r="R2174" s="84">
        <f>IF(ISNUMBER($I2174),ABS($I2174),0)</f>
        <v>0</v>
      </c>
      <c r="S2174" s="84">
        <f>IF(ISNUMBER($M2174),ABS($M2174),0)</f>
        <v>0</v>
      </c>
      <c r="T2174" s="85" t="n">
        <v>2166</v>
      </c>
    </row>
    <row r="2175">
      <c r="B2175" s="83" t="n"/>
      <c r="C2175" s="83" t="n"/>
      <c r="D2175" s="83" t="n"/>
      <c r="E2175" s="83" t="n"/>
      <c r="F2175" s="83" t="n"/>
      <c r="G2175" s="83" t="n"/>
      <c r="H2175" s="83" t="n"/>
      <c r="I2175" s="83" t="n"/>
      <c r="J2175" s="83" t="n"/>
      <c r="K2175" s="83" t="n"/>
      <c r="L2175" s="83" t="n"/>
      <c r="M2175" s="83" t="n"/>
      <c r="O2175" s="84" t="str">
        <f>IF($C2175="","",IFERROR(MATCH($B2175&amp;"|"&amp;$C2175,MUROS!$AX$11:$AX$70,0),0))</f>
        <v/>
      </c>
      <c r="P2175" s="84" t="str">
        <f>IF($D2175="","",IF(ISNUMBER(MATCH($D2175,CMB_S,0)),1,IF(ISNUMBER(MATCH($D2175,CMB_G,0)),2,0)))</f>
        <v/>
      </c>
      <c r="Q2175" s="84">
        <f>IF(ISNUMBER($H2175),-$H2175,0)</f>
        <v>0</v>
      </c>
      <c r="R2175" s="84">
        <f>IF(ISNUMBER($I2175),ABS($I2175),0)</f>
        <v>0</v>
      </c>
      <c r="S2175" s="84">
        <f>IF(ISNUMBER($M2175),ABS($M2175),0)</f>
        <v>0</v>
      </c>
      <c r="T2175" s="85" t="n">
        <v>2167</v>
      </c>
    </row>
    <row r="2176">
      <c r="B2176" s="83" t="n"/>
      <c r="C2176" s="83" t="n"/>
      <c r="D2176" s="83" t="n"/>
      <c r="E2176" s="83" t="n"/>
      <c r="F2176" s="83" t="n"/>
      <c r="G2176" s="83" t="n"/>
      <c r="H2176" s="83" t="n"/>
      <c r="I2176" s="83" t="n"/>
      <c r="J2176" s="83" t="n"/>
      <c r="K2176" s="83" t="n"/>
      <c r="L2176" s="83" t="n"/>
      <c r="M2176" s="83" t="n"/>
      <c r="O2176" s="84" t="str">
        <f>IF($C2176="","",IFERROR(MATCH($B2176&amp;"|"&amp;$C2176,MUROS!$AX$11:$AX$70,0),0))</f>
        <v/>
      </c>
      <c r="P2176" s="84" t="str">
        <f>IF($D2176="","",IF(ISNUMBER(MATCH($D2176,CMB_S,0)),1,IF(ISNUMBER(MATCH($D2176,CMB_G,0)),2,0)))</f>
        <v/>
      </c>
      <c r="Q2176" s="84">
        <f>IF(ISNUMBER($H2176),-$H2176,0)</f>
        <v>0</v>
      </c>
      <c r="R2176" s="84">
        <f>IF(ISNUMBER($I2176),ABS($I2176),0)</f>
        <v>0</v>
      </c>
      <c r="S2176" s="84">
        <f>IF(ISNUMBER($M2176),ABS($M2176),0)</f>
        <v>0</v>
      </c>
      <c r="T2176" s="85" t="n">
        <v>2168</v>
      </c>
    </row>
    <row r="2177">
      <c r="B2177" s="83" t="n"/>
      <c r="C2177" s="83" t="n"/>
      <c r="D2177" s="83" t="n"/>
      <c r="E2177" s="83" t="n"/>
      <c r="F2177" s="83" t="n"/>
      <c r="G2177" s="83" t="n"/>
      <c r="H2177" s="83" t="n"/>
      <c r="I2177" s="83" t="n"/>
      <c r="J2177" s="83" t="n"/>
      <c r="K2177" s="83" t="n"/>
      <c r="L2177" s="83" t="n"/>
      <c r="M2177" s="83" t="n"/>
      <c r="O2177" s="84" t="str">
        <f>IF($C2177="","",IFERROR(MATCH($B2177&amp;"|"&amp;$C2177,MUROS!$AX$11:$AX$70,0),0))</f>
        <v/>
      </c>
      <c r="P2177" s="84" t="str">
        <f>IF($D2177="","",IF(ISNUMBER(MATCH($D2177,CMB_S,0)),1,IF(ISNUMBER(MATCH($D2177,CMB_G,0)),2,0)))</f>
        <v/>
      </c>
      <c r="Q2177" s="84">
        <f>IF(ISNUMBER($H2177),-$H2177,0)</f>
        <v>0</v>
      </c>
      <c r="R2177" s="84">
        <f>IF(ISNUMBER($I2177),ABS($I2177),0)</f>
        <v>0</v>
      </c>
      <c r="S2177" s="84">
        <f>IF(ISNUMBER($M2177),ABS($M2177),0)</f>
        <v>0</v>
      </c>
      <c r="T2177" s="85" t="n">
        <v>2169</v>
      </c>
    </row>
    <row r="2178">
      <c r="B2178" s="83" t="n"/>
      <c r="C2178" s="83" t="n"/>
      <c r="D2178" s="83" t="n"/>
      <c r="E2178" s="83" t="n"/>
      <c r="F2178" s="83" t="n"/>
      <c r="G2178" s="83" t="n"/>
      <c r="H2178" s="83" t="n"/>
      <c r="I2178" s="83" t="n"/>
      <c r="J2178" s="83" t="n"/>
      <c r="K2178" s="83" t="n"/>
      <c r="L2178" s="83" t="n"/>
      <c r="M2178" s="83" t="n"/>
      <c r="O2178" s="84" t="str">
        <f>IF($C2178="","",IFERROR(MATCH($B2178&amp;"|"&amp;$C2178,MUROS!$AX$11:$AX$70,0),0))</f>
        <v/>
      </c>
      <c r="P2178" s="84" t="str">
        <f>IF($D2178="","",IF(ISNUMBER(MATCH($D2178,CMB_S,0)),1,IF(ISNUMBER(MATCH($D2178,CMB_G,0)),2,0)))</f>
        <v/>
      </c>
      <c r="Q2178" s="84">
        <f>IF(ISNUMBER($H2178),-$H2178,0)</f>
        <v>0</v>
      </c>
      <c r="R2178" s="84">
        <f>IF(ISNUMBER($I2178),ABS($I2178),0)</f>
        <v>0</v>
      </c>
      <c r="S2178" s="84">
        <f>IF(ISNUMBER($M2178),ABS($M2178),0)</f>
        <v>0</v>
      </c>
      <c r="T2178" s="85" t="n">
        <v>2170</v>
      </c>
    </row>
    <row r="2179">
      <c r="B2179" s="83" t="n"/>
      <c r="C2179" s="83" t="n"/>
      <c r="D2179" s="83" t="n"/>
      <c r="E2179" s="83" t="n"/>
      <c r="F2179" s="83" t="n"/>
      <c r="G2179" s="83" t="n"/>
      <c r="H2179" s="83" t="n"/>
      <c r="I2179" s="83" t="n"/>
      <c r="J2179" s="83" t="n"/>
      <c r="K2179" s="83" t="n"/>
      <c r="L2179" s="83" t="n"/>
      <c r="M2179" s="83" t="n"/>
      <c r="O2179" s="84" t="str">
        <f>IF($C2179="","",IFERROR(MATCH($B2179&amp;"|"&amp;$C2179,MUROS!$AX$11:$AX$70,0),0))</f>
        <v/>
      </c>
      <c r="P2179" s="84" t="str">
        <f>IF($D2179="","",IF(ISNUMBER(MATCH($D2179,CMB_S,0)),1,IF(ISNUMBER(MATCH($D2179,CMB_G,0)),2,0)))</f>
        <v/>
      </c>
      <c r="Q2179" s="84">
        <f>IF(ISNUMBER($H2179),-$H2179,0)</f>
        <v>0</v>
      </c>
      <c r="R2179" s="84">
        <f>IF(ISNUMBER($I2179),ABS($I2179),0)</f>
        <v>0</v>
      </c>
      <c r="S2179" s="84">
        <f>IF(ISNUMBER($M2179),ABS($M2179),0)</f>
        <v>0</v>
      </c>
      <c r="T2179" s="85" t="n">
        <v>2171</v>
      </c>
    </row>
    <row r="2180">
      <c r="B2180" s="83" t="n"/>
      <c r="C2180" s="83" t="n"/>
      <c r="D2180" s="83" t="n"/>
      <c r="E2180" s="83" t="n"/>
      <c r="F2180" s="83" t="n"/>
      <c r="G2180" s="83" t="n"/>
      <c r="H2180" s="83" t="n"/>
      <c r="I2180" s="83" t="n"/>
      <c r="J2180" s="83" t="n"/>
      <c r="K2180" s="83" t="n"/>
      <c r="L2180" s="83" t="n"/>
      <c r="M2180" s="83" t="n"/>
      <c r="O2180" s="84" t="str">
        <f>IF($C2180="","",IFERROR(MATCH($B2180&amp;"|"&amp;$C2180,MUROS!$AX$11:$AX$70,0),0))</f>
        <v/>
      </c>
      <c r="P2180" s="84" t="str">
        <f>IF($D2180="","",IF(ISNUMBER(MATCH($D2180,CMB_S,0)),1,IF(ISNUMBER(MATCH($D2180,CMB_G,0)),2,0)))</f>
        <v/>
      </c>
      <c r="Q2180" s="84">
        <f>IF(ISNUMBER($H2180),-$H2180,0)</f>
        <v>0</v>
      </c>
      <c r="R2180" s="84">
        <f>IF(ISNUMBER($I2180),ABS($I2180),0)</f>
        <v>0</v>
      </c>
      <c r="S2180" s="84">
        <f>IF(ISNUMBER($M2180),ABS($M2180),0)</f>
        <v>0</v>
      </c>
      <c r="T2180" s="85" t="n">
        <v>2172</v>
      </c>
    </row>
    <row r="2181">
      <c r="B2181" s="83" t="n"/>
      <c r="C2181" s="83" t="n"/>
      <c r="D2181" s="83" t="n"/>
      <c r="E2181" s="83" t="n"/>
      <c r="F2181" s="83" t="n"/>
      <c r="G2181" s="83" t="n"/>
      <c r="H2181" s="83" t="n"/>
      <c r="I2181" s="83" t="n"/>
      <c r="J2181" s="83" t="n"/>
      <c r="K2181" s="83" t="n"/>
      <c r="L2181" s="83" t="n"/>
      <c r="M2181" s="83" t="n"/>
      <c r="O2181" s="84" t="str">
        <f>IF($C2181="","",IFERROR(MATCH($B2181&amp;"|"&amp;$C2181,MUROS!$AX$11:$AX$70,0),0))</f>
        <v/>
      </c>
      <c r="P2181" s="84" t="str">
        <f>IF($D2181="","",IF(ISNUMBER(MATCH($D2181,CMB_S,0)),1,IF(ISNUMBER(MATCH($D2181,CMB_G,0)),2,0)))</f>
        <v/>
      </c>
      <c r="Q2181" s="84">
        <f>IF(ISNUMBER($H2181),-$H2181,0)</f>
        <v>0</v>
      </c>
      <c r="R2181" s="84">
        <f>IF(ISNUMBER($I2181),ABS($I2181),0)</f>
        <v>0</v>
      </c>
      <c r="S2181" s="84">
        <f>IF(ISNUMBER($M2181),ABS($M2181),0)</f>
        <v>0</v>
      </c>
      <c r="T2181" s="85" t="n">
        <v>2173</v>
      </c>
    </row>
    <row r="2182">
      <c r="B2182" s="83" t="n"/>
      <c r="C2182" s="83" t="n"/>
      <c r="D2182" s="83" t="n"/>
      <c r="E2182" s="83" t="n"/>
      <c r="F2182" s="83" t="n"/>
      <c r="G2182" s="83" t="n"/>
      <c r="H2182" s="83" t="n"/>
      <c r="I2182" s="83" t="n"/>
      <c r="J2182" s="83" t="n"/>
      <c r="K2182" s="83" t="n"/>
      <c r="L2182" s="83" t="n"/>
      <c r="M2182" s="83" t="n"/>
      <c r="O2182" s="84" t="str">
        <f>IF($C2182="","",IFERROR(MATCH($B2182&amp;"|"&amp;$C2182,MUROS!$AX$11:$AX$70,0),0))</f>
        <v/>
      </c>
      <c r="P2182" s="84" t="str">
        <f>IF($D2182="","",IF(ISNUMBER(MATCH($D2182,CMB_S,0)),1,IF(ISNUMBER(MATCH($D2182,CMB_G,0)),2,0)))</f>
        <v/>
      </c>
      <c r="Q2182" s="84">
        <f>IF(ISNUMBER($H2182),-$H2182,0)</f>
        <v>0</v>
      </c>
      <c r="R2182" s="84">
        <f>IF(ISNUMBER($I2182),ABS($I2182),0)</f>
        <v>0</v>
      </c>
      <c r="S2182" s="84">
        <f>IF(ISNUMBER($M2182),ABS($M2182),0)</f>
        <v>0</v>
      </c>
      <c r="T2182" s="85" t="n">
        <v>2174</v>
      </c>
    </row>
    <row r="2183">
      <c r="B2183" s="83" t="n"/>
      <c r="C2183" s="83" t="n"/>
      <c r="D2183" s="83" t="n"/>
      <c r="E2183" s="83" t="n"/>
      <c r="F2183" s="83" t="n"/>
      <c r="G2183" s="83" t="n"/>
      <c r="H2183" s="83" t="n"/>
      <c r="I2183" s="83" t="n"/>
      <c r="J2183" s="83" t="n"/>
      <c r="K2183" s="83" t="n"/>
      <c r="L2183" s="83" t="n"/>
      <c r="M2183" s="83" t="n"/>
      <c r="O2183" s="84" t="str">
        <f>IF($C2183="","",IFERROR(MATCH($B2183&amp;"|"&amp;$C2183,MUROS!$AX$11:$AX$70,0),0))</f>
        <v/>
      </c>
      <c r="P2183" s="84" t="str">
        <f>IF($D2183="","",IF(ISNUMBER(MATCH($D2183,CMB_S,0)),1,IF(ISNUMBER(MATCH($D2183,CMB_G,0)),2,0)))</f>
        <v/>
      </c>
      <c r="Q2183" s="84">
        <f>IF(ISNUMBER($H2183),-$H2183,0)</f>
        <v>0</v>
      </c>
      <c r="R2183" s="84">
        <f>IF(ISNUMBER($I2183),ABS($I2183),0)</f>
        <v>0</v>
      </c>
      <c r="S2183" s="84">
        <f>IF(ISNUMBER($M2183),ABS($M2183),0)</f>
        <v>0</v>
      </c>
      <c r="T2183" s="85" t="n">
        <v>2175</v>
      </c>
    </row>
    <row r="2184">
      <c r="B2184" s="83" t="n"/>
      <c r="C2184" s="83" t="n"/>
      <c r="D2184" s="83" t="n"/>
      <c r="E2184" s="83" t="n"/>
      <c r="F2184" s="83" t="n"/>
      <c r="G2184" s="83" t="n"/>
      <c r="H2184" s="83" t="n"/>
      <c r="I2184" s="83" t="n"/>
      <c r="J2184" s="83" t="n"/>
      <c r="K2184" s="83" t="n"/>
      <c r="L2184" s="83" t="n"/>
      <c r="M2184" s="83" t="n"/>
      <c r="O2184" s="84" t="str">
        <f>IF($C2184="","",IFERROR(MATCH($B2184&amp;"|"&amp;$C2184,MUROS!$AX$11:$AX$70,0),0))</f>
        <v/>
      </c>
      <c r="P2184" s="84" t="str">
        <f>IF($D2184="","",IF(ISNUMBER(MATCH($D2184,CMB_S,0)),1,IF(ISNUMBER(MATCH($D2184,CMB_G,0)),2,0)))</f>
        <v/>
      </c>
      <c r="Q2184" s="84">
        <f>IF(ISNUMBER($H2184),-$H2184,0)</f>
        <v>0</v>
      </c>
      <c r="R2184" s="84">
        <f>IF(ISNUMBER($I2184),ABS($I2184),0)</f>
        <v>0</v>
      </c>
      <c r="S2184" s="84">
        <f>IF(ISNUMBER($M2184),ABS($M2184),0)</f>
        <v>0</v>
      </c>
      <c r="T2184" s="85" t="n">
        <v>2176</v>
      </c>
    </row>
    <row r="2185">
      <c r="B2185" s="83" t="n"/>
      <c r="C2185" s="83" t="n"/>
      <c r="D2185" s="83" t="n"/>
      <c r="E2185" s="83" t="n"/>
      <c r="F2185" s="83" t="n"/>
      <c r="G2185" s="83" t="n"/>
      <c r="H2185" s="83" t="n"/>
      <c r="I2185" s="83" t="n"/>
      <c r="J2185" s="83" t="n"/>
      <c r="K2185" s="83" t="n"/>
      <c r="L2185" s="83" t="n"/>
      <c r="M2185" s="83" t="n"/>
      <c r="O2185" s="84" t="str">
        <f>IF($C2185="","",IFERROR(MATCH($B2185&amp;"|"&amp;$C2185,MUROS!$AX$11:$AX$70,0),0))</f>
        <v/>
      </c>
      <c r="P2185" s="84" t="str">
        <f>IF($D2185="","",IF(ISNUMBER(MATCH($D2185,CMB_S,0)),1,IF(ISNUMBER(MATCH($D2185,CMB_G,0)),2,0)))</f>
        <v/>
      </c>
      <c r="Q2185" s="84">
        <f>IF(ISNUMBER($H2185),-$H2185,0)</f>
        <v>0</v>
      </c>
      <c r="R2185" s="84">
        <f>IF(ISNUMBER($I2185),ABS($I2185),0)</f>
        <v>0</v>
      </c>
      <c r="S2185" s="84">
        <f>IF(ISNUMBER($M2185),ABS($M2185),0)</f>
        <v>0</v>
      </c>
      <c r="T2185" s="85" t="n">
        <v>2177</v>
      </c>
    </row>
    <row r="2186">
      <c r="B2186" s="83" t="n"/>
      <c r="C2186" s="83" t="n"/>
      <c r="D2186" s="83" t="n"/>
      <c r="E2186" s="83" t="n"/>
      <c r="F2186" s="83" t="n"/>
      <c r="G2186" s="83" t="n"/>
      <c r="H2186" s="83" t="n"/>
      <c r="I2186" s="83" t="n"/>
      <c r="J2186" s="83" t="n"/>
      <c r="K2186" s="83" t="n"/>
      <c r="L2186" s="83" t="n"/>
      <c r="M2186" s="83" t="n"/>
      <c r="O2186" s="84" t="str">
        <f>IF($C2186="","",IFERROR(MATCH($B2186&amp;"|"&amp;$C2186,MUROS!$AX$11:$AX$70,0),0))</f>
        <v/>
      </c>
      <c r="P2186" s="84" t="str">
        <f>IF($D2186="","",IF(ISNUMBER(MATCH($D2186,CMB_S,0)),1,IF(ISNUMBER(MATCH($D2186,CMB_G,0)),2,0)))</f>
        <v/>
      </c>
      <c r="Q2186" s="84">
        <f>IF(ISNUMBER($H2186),-$H2186,0)</f>
        <v>0</v>
      </c>
      <c r="R2186" s="84">
        <f>IF(ISNUMBER($I2186),ABS($I2186),0)</f>
        <v>0</v>
      </c>
      <c r="S2186" s="84">
        <f>IF(ISNUMBER($M2186),ABS($M2186),0)</f>
        <v>0</v>
      </c>
      <c r="T2186" s="85" t="n">
        <v>2178</v>
      </c>
    </row>
    <row r="2187">
      <c r="B2187" s="83" t="n"/>
      <c r="C2187" s="83" t="n"/>
      <c r="D2187" s="83" t="n"/>
      <c r="E2187" s="83" t="n"/>
      <c r="F2187" s="83" t="n"/>
      <c r="G2187" s="83" t="n"/>
      <c r="H2187" s="83" t="n"/>
      <c r="I2187" s="83" t="n"/>
      <c r="J2187" s="83" t="n"/>
      <c r="K2187" s="83" t="n"/>
      <c r="L2187" s="83" t="n"/>
      <c r="M2187" s="83" t="n"/>
      <c r="O2187" s="84" t="str">
        <f>IF($C2187="","",IFERROR(MATCH($B2187&amp;"|"&amp;$C2187,MUROS!$AX$11:$AX$70,0),0))</f>
        <v/>
      </c>
      <c r="P2187" s="84" t="str">
        <f>IF($D2187="","",IF(ISNUMBER(MATCH($D2187,CMB_S,0)),1,IF(ISNUMBER(MATCH($D2187,CMB_G,0)),2,0)))</f>
        <v/>
      </c>
      <c r="Q2187" s="84">
        <f>IF(ISNUMBER($H2187),-$H2187,0)</f>
        <v>0</v>
      </c>
      <c r="R2187" s="84">
        <f>IF(ISNUMBER($I2187),ABS($I2187),0)</f>
        <v>0</v>
      </c>
      <c r="S2187" s="84">
        <f>IF(ISNUMBER($M2187),ABS($M2187),0)</f>
        <v>0</v>
      </c>
      <c r="T2187" s="85" t="n">
        <v>2179</v>
      </c>
    </row>
    <row r="2188">
      <c r="B2188" s="83" t="n"/>
      <c r="C2188" s="83" t="n"/>
      <c r="D2188" s="83" t="n"/>
      <c r="E2188" s="83" t="n"/>
      <c r="F2188" s="83" t="n"/>
      <c r="G2188" s="83" t="n"/>
      <c r="H2188" s="83" t="n"/>
      <c r="I2188" s="83" t="n"/>
      <c r="J2188" s="83" t="n"/>
      <c r="K2188" s="83" t="n"/>
      <c r="L2188" s="83" t="n"/>
      <c r="M2188" s="83" t="n"/>
      <c r="O2188" s="84" t="str">
        <f>IF($C2188="","",IFERROR(MATCH($B2188&amp;"|"&amp;$C2188,MUROS!$AX$11:$AX$70,0),0))</f>
        <v/>
      </c>
      <c r="P2188" s="84" t="str">
        <f>IF($D2188="","",IF(ISNUMBER(MATCH($D2188,CMB_S,0)),1,IF(ISNUMBER(MATCH($D2188,CMB_G,0)),2,0)))</f>
        <v/>
      </c>
      <c r="Q2188" s="84">
        <f>IF(ISNUMBER($H2188),-$H2188,0)</f>
        <v>0</v>
      </c>
      <c r="R2188" s="84">
        <f>IF(ISNUMBER($I2188),ABS($I2188),0)</f>
        <v>0</v>
      </c>
      <c r="S2188" s="84">
        <f>IF(ISNUMBER($M2188),ABS($M2188),0)</f>
        <v>0</v>
      </c>
      <c r="T2188" s="85" t="n">
        <v>2180</v>
      </c>
    </row>
    <row r="2189">
      <c r="B2189" s="83" t="n"/>
      <c r="C2189" s="83" t="n"/>
      <c r="D2189" s="83" t="n"/>
      <c r="E2189" s="83" t="n"/>
      <c r="F2189" s="83" t="n"/>
      <c r="G2189" s="83" t="n"/>
      <c r="H2189" s="83" t="n"/>
      <c r="I2189" s="83" t="n"/>
      <c r="J2189" s="83" t="n"/>
      <c r="K2189" s="83" t="n"/>
      <c r="L2189" s="83" t="n"/>
      <c r="M2189" s="83" t="n"/>
      <c r="O2189" s="84" t="str">
        <f>IF($C2189="","",IFERROR(MATCH($B2189&amp;"|"&amp;$C2189,MUROS!$AX$11:$AX$70,0),0))</f>
        <v/>
      </c>
      <c r="P2189" s="84" t="str">
        <f>IF($D2189="","",IF(ISNUMBER(MATCH($D2189,CMB_S,0)),1,IF(ISNUMBER(MATCH($D2189,CMB_G,0)),2,0)))</f>
        <v/>
      </c>
      <c r="Q2189" s="84">
        <f>IF(ISNUMBER($H2189),-$H2189,0)</f>
        <v>0</v>
      </c>
      <c r="R2189" s="84">
        <f>IF(ISNUMBER($I2189),ABS($I2189),0)</f>
        <v>0</v>
      </c>
      <c r="S2189" s="84">
        <f>IF(ISNUMBER($M2189),ABS($M2189),0)</f>
        <v>0</v>
      </c>
      <c r="T2189" s="85" t="n">
        <v>2181</v>
      </c>
    </row>
    <row r="2190">
      <c r="B2190" s="83" t="n"/>
      <c r="C2190" s="83" t="n"/>
      <c r="D2190" s="83" t="n"/>
      <c r="E2190" s="83" t="n"/>
      <c r="F2190" s="83" t="n"/>
      <c r="G2190" s="83" t="n"/>
      <c r="H2190" s="83" t="n"/>
      <c r="I2190" s="83" t="n"/>
      <c r="J2190" s="83" t="n"/>
      <c r="K2190" s="83" t="n"/>
      <c r="L2190" s="83" t="n"/>
      <c r="M2190" s="83" t="n"/>
      <c r="O2190" s="84" t="str">
        <f>IF($C2190="","",IFERROR(MATCH($B2190&amp;"|"&amp;$C2190,MUROS!$AX$11:$AX$70,0),0))</f>
        <v/>
      </c>
      <c r="P2190" s="84" t="str">
        <f>IF($D2190="","",IF(ISNUMBER(MATCH($D2190,CMB_S,0)),1,IF(ISNUMBER(MATCH($D2190,CMB_G,0)),2,0)))</f>
        <v/>
      </c>
      <c r="Q2190" s="84">
        <f>IF(ISNUMBER($H2190),-$H2190,0)</f>
        <v>0</v>
      </c>
      <c r="R2190" s="84">
        <f>IF(ISNUMBER($I2190),ABS($I2190),0)</f>
        <v>0</v>
      </c>
      <c r="S2190" s="84">
        <f>IF(ISNUMBER($M2190),ABS($M2190),0)</f>
        <v>0</v>
      </c>
      <c r="T2190" s="85" t="n">
        <v>2182</v>
      </c>
    </row>
    <row r="2191">
      <c r="B2191" s="83" t="n"/>
      <c r="C2191" s="83" t="n"/>
      <c r="D2191" s="83" t="n"/>
      <c r="E2191" s="83" t="n"/>
      <c r="F2191" s="83" t="n"/>
      <c r="G2191" s="83" t="n"/>
      <c r="H2191" s="83" t="n"/>
      <c r="I2191" s="83" t="n"/>
      <c r="J2191" s="83" t="n"/>
      <c r="K2191" s="83" t="n"/>
      <c r="L2191" s="83" t="n"/>
      <c r="M2191" s="83" t="n"/>
      <c r="O2191" s="84" t="str">
        <f>IF($C2191="","",IFERROR(MATCH($B2191&amp;"|"&amp;$C2191,MUROS!$AX$11:$AX$70,0),0))</f>
        <v/>
      </c>
      <c r="P2191" s="84" t="str">
        <f>IF($D2191="","",IF(ISNUMBER(MATCH($D2191,CMB_S,0)),1,IF(ISNUMBER(MATCH($D2191,CMB_G,0)),2,0)))</f>
        <v/>
      </c>
      <c r="Q2191" s="84">
        <f>IF(ISNUMBER($H2191),-$H2191,0)</f>
        <v>0</v>
      </c>
      <c r="R2191" s="84">
        <f>IF(ISNUMBER($I2191),ABS($I2191),0)</f>
        <v>0</v>
      </c>
      <c r="S2191" s="84">
        <f>IF(ISNUMBER($M2191),ABS($M2191),0)</f>
        <v>0</v>
      </c>
      <c r="T2191" s="85" t="n">
        <v>2183</v>
      </c>
    </row>
    <row r="2192">
      <c r="B2192" s="83" t="n"/>
      <c r="C2192" s="83" t="n"/>
      <c r="D2192" s="83" t="n"/>
      <c r="E2192" s="83" t="n"/>
      <c r="F2192" s="83" t="n"/>
      <c r="G2192" s="83" t="n"/>
      <c r="H2192" s="83" t="n"/>
      <c r="I2192" s="83" t="n"/>
      <c r="J2192" s="83" t="n"/>
      <c r="K2192" s="83" t="n"/>
      <c r="L2192" s="83" t="n"/>
      <c r="M2192" s="83" t="n"/>
      <c r="O2192" s="84" t="str">
        <f>IF($C2192="","",IFERROR(MATCH($B2192&amp;"|"&amp;$C2192,MUROS!$AX$11:$AX$70,0),0))</f>
        <v/>
      </c>
      <c r="P2192" s="84" t="str">
        <f>IF($D2192="","",IF(ISNUMBER(MATCH($D2192,CMB_S,0)),1,IF(ISNUMBER(MATCH($D2192,CMB_G,0)),2,0)))</f>
        <v/>
      </c>
      <c r="Q2192" s="84">
        <f>IF(ISNUMBER($H2192),-$H2192,0)</f>
        <v>0</v>
      </c>
      <c r="R2192" s="84">
        <f>IF(ISNUMBER($I2192),ABS($I2192),0)</f>
        <v>0</v>
      </c>
      <c r="S2192" s="84">
        <f>IF(ISNUMBER($M2192),ABS($M2192),0)</f>
        <v>0</v>
      </c>
      <c r="T2192" s="85" t="n">
        <v>2184</v>
      </c>
    </row>
    <row r="2193">
      <c r="B2193" s="83" t="n"/>
      <c r="C2193" s="83" t="n"/>
      <c r="D2193" s="83" t="n"/>
      <c r="E2193" s="83" t="n"/>
      <c r="F2193" s="83" t="n"/>
      <c r="G2193" s="83" t="n"/>
      <c r="H2193" s="83" t="n"/>
      <c r="I2193" s="83" t="n"/>
      <c r="J2193" s="83" t="n"/>
      <c r="K2193" s="83" t="n"/>
      <c r="L2193" s="83" t="n"/>
      <c r="M2193" s="83" t="n"/>
      <c r="O2193" s="84" t="str">
        <f>IF($C2193="","",IFERROR(MATCH($B2193&amp;"|"&amp;$C2193,MUROS!$AX$11:$AX$70,0),0))</f>
        <v/>
      </c>
      <c r="P2193" s="84" t="str">
        <f>IF($D2193="","",IF(ISNUMBER(MATCH($D2193,CMB_S,0)),1,IF(ISNUMBER(MATCH($D2193,CMB_G,0)),2,0)))</f>
        <v/>
      </c>
      <c r="Q2193" s="84">
        <f>IF(ISNUMBER($H2193),-$H2193,0)</f>
        <v>0</v>
      </c>
      <c r="R2193" s="84">
        <f>IF(ISNUMBER($I2193),ABS($I2193),0)</f>
        <v>0</v>
      </c>
      <c r="S2193" s="84">
        <f>IF(ISNUMBER($M2193),ABS($M2193),0)</f>
        <v>0</v>
      </c>
      <c r="T2193" s="85" t="n">
        <v>2185</v>
      </c>
    </row>
    <row r="2194">
      <c r="B2194" s="83" t="n"/>
      <c r="C2194" s="83" t="n"/>
      <c r="D2194" s="83" t="n"/>
      <c r="E2194" s="83" t="n"/>
      <c r="F2194" s="83" t="n"/>
      <c r="G2194" s="83" t="n"/>
      <c r="H2194" s="83" t="n"/>
      <c r="I2194" s="83" t="n"/>
      <c r="J2194" s="83" t="n"/>
      <c r="K2194" s="83" t="n"/>
      <c r="L2194" s="83" t="n"/>
      <c r="M2194" s="83" t="n"/>
      <c r="O2194" s="84" t="str">
        <f>IF($C2194="","",IFERROR(MATCH($B2194&amp;"|"&amp;$C2194,MUROS!$AX$11:$AX$70,0),0))</f>
        <v/>
      </c>
      <c r="P2194" s="84" t="str">
        <f>IF($D2194="","",IF(ISNUMBER(MATCH($D2194,CMB_S,0)),1,IF(ISNUMBER(MATCH($D2194,CMB_G,0)),2,0)))</f>
        <v/>
      </c>
      <c r="Q2194" s="84">
        <f>IF(ISNUMBER($H2194),-$H2194,0)</f>
        <v>0</v>
      </c>
      <c r="R2194" s="84">
        <f>IF(ISNUMBER($I2194),ABS($I2194),0)</f>
        <v>0</v>
      </c>
      <c r="S2194" s="84">
        <f>IF(ISNUMBER($M2194),ABS($M2194),0)</f>
        <v>0</v>
      </c>
      <c r="T2194" s="85" t="n">
        <v>2186</v>
      </c>
    </row>
    <row r="2195">
      <c r="B2195" s="83" t="n"/>
      <c r="C2195" s="83" t="n"/>
      <c r="D2195" s="83" t="n"/>
      <c r="E2195" s="83" t="n"/>
      <c r="F2195" s="83" t="n"/>
      <c r="G2195" s="83" t="n"/>
      <c r="H2195" s="83" t="n"/>
      <c r="I2195" s="83" t="n"/>
      <c r="J2195" s="83" t="n"/>
      <c r="K2195" s="83" t="n"/>
      <c r="L2195" s="83" t="n"/>
      <c r="M2195" s="83" t="n"/>
      <c r="O2195" s="84" t="str">
        <f>IF($C2195="","",IFERROR(MATCH($B2195&amp;"|"&amp;$C2195,MUROS!$AX$11:$AX$70,0),0))</f>
        <v/>
      </c>
      <c r="P2195" s="84" t="str">
        <f>IF($D2195="","",IF(ISNUMBER(MATCH($D2195,CMB_S,0)),1,IF(ISNUMBER(MATCH($D2195,CMB_G,0)),2,0)))</f>
        <v/>
      </c>
      <c r="Q2195" s="84">
        <f>IF(ISNUMBER($H2195),-$H2195,0)</f>
        <v>0</v>
      </c>
      <c r="R2195" s="84">
        <f>IF(ISNUMBER($I2195),ABS($I2195),0)</f>
        <v>0</v>
      </c>
      <c r="S2195" s="84">
        <f>IF(ISNUMBER($M2195),ABS($M2195),0)</f>
        <v>0</v>
      </c>
      <c r="T2195" s="85" t="n">
        <v>2187</v>
      </c>
    </row>
    <row r="2196">
      <c r="B2196" s="83" t="n"/>
      <c r="C2196" s="83" t="n"/>
      <c r="D2196" s="83" t="n"/>
      <c r="E2196" s="83" t="n"/>
      <c r="F2196" s="83" t="n"/>
      <c r="G2196" s="83" t="n"/>
      <c r="H2196" s="83" t="n"/>
      <c r="I2196" s="83" t="n"/>
      <c r="J2196" s="83" t="n"/>
      <c r="K2196" s="83" t="n"/>
      <c r="L2196" s="83" t="n"/>
      <c r="M2196" s="83" t="n"/>
      <c r="O2196" s="84" t="str">
        <f>IF($C2196="","",IFERROR(MATCH($B2196&amp;"|"&amp;$C2196,MUROS!$AX$11:$AX$70,0),0))</f>
        <v/>
      </c>
      <c r="P2196" s="84" t="str">
        <f>IF($D2196="","",IF(ISNUMBER(MATCH($D2196,CMB_S,0)),1,IF(ISNUMBER(MATCH($D2196,CMB_G,0)),2,0)))</f>
        <v/>
      </c>
      <c r="Q2196" s="84">
        <f>IF(ISNUMBER($H2196),-$H2196,0)</f>
        <v>0</v>
      </c>
      <c r="R2196" s="84">
        <f>IF(ISNUMBER($I2196),ABS($I2196),0)</f>
        <v>0</v>
      </c>
      <c r="S2196" s="84">
        <f>IF(ISNUMBER($M2196),ABS($M2196),0)</f>
        <v>0</v>
      </c>
      <c r="T2196" s="85" t="n">
        <v>2188</v>
      </c>
    </row>
    <row r="2197">
      <c r="B2197" s="83" t="n"/>
      <c r="C2197" s="83" t="n"/>
      <c r="D2197" s="83" t="n"/>
      <c r="E2197" s="83" t="n"/>
      <c r="F2197" s="83" t="n"/>
      <c r="G2197" s="83" t="n"/>
      <c r="H2197" s="83" t="n"/>
      <c r="I2197" s="83" t="n"/>
      <c r="J2197" s="83" t="n"/>
      <c r="K2197" s="83" t="n"/>
      <c r="L2197" s="83" t="n"/>
      <c r="M2197" s="83" t="n"/>
      <c r="O2197" s="84" t="str">
        <f>IF($C2197="","",IFERROR(MATCH($B2197&amp;"|"&amp;$C2197,MUROS!$AX$11:$AX$70,0),0))</f>
        <v/>
      </c>
      <c r="P2197" s="84" t="str">
        <f>IF($D2197="","",IF(ISNUMBER(MATCH($D2197,CMB_S,0)),1,IF(ISNUMBER(MATCH($D2197,CMB_G,0)),2,0)))</f>
        <v/>
      </c>
      <c r="Q2197" s="84">
        <f>IF(ISNUMBER($H2197),-$H2197,0)</f>
        <v>0</v>
      </c>
      <c r="R2197" s="84">
        <f>IF(ISNUMBER($I2197),ABS($I2197),0)</f>
        <v>0</v>
      </c>
      <c r="S2197" s="84">
        <f>IF(ISNUMBER($M2197),ABS($M2197),0)</f>
        <v>0</v>
      </c>
      <c r="T2197" s="85" t="n">
        <v>2189</v>
      </c>
    </row>
    <row r="2198">
      <c r="B2198" s="83" t="n"/>
      <c r="C2198" s="83" t="n"/>
      <c r="D2198" s="83" t="n"/>
      <c r="E2198" s="83" t="n"/>
      <c r="F2198" s="83" t="n"/>
      <c r="G2198" s="83" t="n"/>
      <c r="H2198" s="83" t="n"/>
      <c r="I2198" s="83" t="n"/>
      <c r="J2198" s="83" t="n"/>
      <c r="K2198" s="83" t="n"/>
      <c r="L2198" s="83" t="n"/>
      <c r="M2198" s="83" t="n"/>
      <c r="O2198" s="84" t="str">
        <f>IF($C2198="","",IFERROR(MATCH($B2198&amp;"|"&amp;$C2198,MUROS!$AX$11:$AX$70,0),0))</f>
        <v/>
      </c>
      <c r="P2198" s="84" t="str">
        <f>IF($D2198="","",IF(ISNUMBER(MATCH($D2198,CMB_S,0)),1,IF(ISNUMBER(MATCH($D2198,CMB_G,0)),2,0)))</f>
        <v/>
      </c>
      <c r="Q2198" s="84">
        <f>IF(ISNUMBER($H2198),-$H2198,0)</f>
        <v>0</v>
      </c>
      <c r="R2198" s="84">
        <f>IF(ISNUMBER($I2198),ABS($I2198),0)</f>
        <v>0</v>
      </c>
      <c r="S2198" s="84">
        <f>IF(ISNUMBER($M2198),ABS($M2198),0)</f>
        <v>0</v>
      </c>
      <c r="T2198" s="85" t="n">
        <v>2190</v>
      </c>
    </row>
    <row r="2199">
      <c r="B2199" s="83" t="n"/>
      <c r="C2199" s="83" t="n"/>
      <c r="D2199" s="83" t="n"/>
      <c r="E2199" s="83" t="n"/>
      <c r="F2199" s="83" t="n"/>
      <c r="G2199" s="83" t="n"/>
      <c r="H2199" s="83" t="n"/>
      <c r="I2199" s="83" t="n"/>
      <c r="J2199" s="83" t="n"/>
      <c r="K2199" s="83" t="n"/>
      <c r="L2199" s="83" t="n"/>
      <c r="M2199" s="83" t="n"/>
      <c r="O2199" s="84" t="str">
        <f>IF($C2199="","",IFERROR(MATCH($B2199&amp;"|"&amp;$C2199,MUROS!$AX$11:$AX$70,0),0))</f>
        <v/>
      </c>
      <c r="P2199" s="84" t="str">
        <f>IF($D2199="","",IF(ISNUMBER(MATCH($D2199,CMB_S,0)),1,IF(ISNUMBER(MATCH($D2199,CMB_G,0)),2,0)))</f>
        <v/>
      </c>
      <c r="Q2199" s="84">
        <f>IF(ISNUMBER($H2199),-$H2199,0)</f>
        <v>0</v>
      </c>
      <c r="R2199" s="84">
        <f>IF(ISNUMBER($I2199),ABS($I2199),0)</f>
        <v>0</v>
      </c>
      <c r="S2199" s="84">
        <f>IF(ISNUMBER($M2199),ABS($M2199),0)</f>
        <v>0</v>
      </c>
      <c r="T2199" s="85" t="n">
        <v>2191</v>
      </c>
    </row>
    <row r="2200">
      <c r="B2200" s="83" t="n"/>
      <c r="C2200" s="83" t="n"/>
      <c r="D2200" s="83" t="n"/>
      <c r="E2200" s="83" t="n"/>
      <c r="F2200" s="83" t="n"/>
      <c r="G2200" s="83" t="n"/>
      <c r="H2200" s="83" t="n"/>
      <c r="I2200" s="83" t="n"/>
      <c r="J2200" s="83" t="n"/>
      <c r="K2200" s="83" t="n"/>
      <c r="L2200" s="83" t="n"/>
      <c r="M2200" s="83" t="n"/>
      <c r="O2200" s="84" t="str">
        <f>IF($C2200="","",IFERROR(MATCH($B2200&amp;"|"&amp;$C2200,MUROS!$AX$11:$AX$70,0),0))</f>
        <v/>
      </c>
      <c r="P2200" s="84" t="str">
        <f>IF($D2200="","",IF(ISNUMBER(MATCH($D2200,CMB_S,0)),1,IF(ISNUMBER(MATCH($D2200,CMB_G,0)),2,0)))</f>
        <v/>
      </c>
      <c r="Q2200" s="84">
        <f>IF(ISNUMBER($H2200),-$H2200,0)</f>
        <v>0</v>
      </c>
      <c r="R2200" s="84">
        <f>IF(ISNUMBER($I2200),ABS($I2200),0)</f>
        <v>0</v>
      </c>
      <c r="S2200" s="84">
        <f>IF(ISNUMBER($M2200),ABS($M2200),0)</f>
        <v>0</v>
      </c>
      <c r="T2200" s="85" t="n">
        <v>2192</v>
      </c>
    </row>
    <row r="2201">
      <c r="B2201" s="83" t="n"/>
      <c r="C2201" s="83" t="n"/>
      <c r="D2201" s="83" t="n"/>
      <c r="E2201" s="83" t="n"/>
      <c r="F2201" s="83" t="n"/>
      <c r="G2201" s="83" t="n"/>
      <c r="H2201" s="83" t="n"/>
      <c r="I2201" s="83" t="n"/>
      <c r="J2201" s="83" t="n"/>
      <c r="K2201" s="83" t="n"/>
      <c r="L2201" s="83" t="n"/>
      <c r="M2201" s="83" t="n"/>
      <c r="O2201" s="84" t="str">
        <f>IF($C2201="","",IFERROR(MATCH($B2201&amp;"|"&amp;$C2201,MUROS!$AX$11:$AX$70,0),0))</f>
        <v/>
      </c>
      <c r="P2201" s="84" t="str">
        <f>IF($D2201="","",IF(ISNUMBER(MATCH($D2201,CMB_S,0)),1,IF(ISNUMBER(MATCH($D2201,CMB_G,0)),2,0)))</f>
        <v/>
      </c>
      <c r="Q2201" s="84">
        <f>IF(ISNUMBER($H2201),-$H2201,0)</f>
        <v>0</v>
      </c>
      <c r="R2201" s="84">
        <f>IF(ISNUMBER($I2201),ABS($I2201),0)</f>
        <v>0</v>
      </c>
      <c r="S2201" s="84">
        <f>IF(ISNUMBER($M2201),ABS($M2201),0)</f>
        <v>0</v>
      </c>
      <c r="T2201" s="85" t="n">
        <v>2193</v>
      </c>
    </row>
    <row r="2202">
      <c r="B2202" s="83" t="n"/>
      <c r="C2202" s="83" t="n"/>
      <c r="D2202" s="83" t="n"/>
      <c r="E2202" s="83" t="n"/>
      <c r="F2202" s="83" t="n"/>
      <c r="G2202" s="83" t="n"/>
      <c r="H2202" s="83" t="n"/>
      <c r="I2202" s="83" t="n"/>
      <c r="J2202" s="83" t="n"/>
      <c r="K2202" s="83" t="n"/>
      <c r="L2202" s="83" t="n"/>
      <c r="M2202" s="83" t="n"/>
      <c r="O2202" s="84" t="str">
        <f>IF($C2202="","",IFERROR(MATCH($B2202&amp;"|"&amp;$C2202,MUROS!$AX$11:$AX$70,0),0))</f>
        <v/>
      </c>
      <c r="P2202" s="84" t="str">
        <f>IF($D2202="","",IF(ISNUMBER(MATCH($D2202,CMB_S,0)),1,IF(ISNUMBER(MATCH($D2202,CMB_G,0)),2,0)))</f>
        <v/>
      </c>
      <c r="Q2202" s="84">
        <f>IF(ISNUMBER($H2202),-$H2202,0)</f>
        <v>0</v>
      </c>
      <c r="R2202" s="84">
        <f>IF(ISNUMBER($I2202),ABS($I2202),0)</f>
        <v>0</v>
      </c>
      <c r="S2202" s="84">
        <f>IF(ISNUMBER($M2202),ABS($M2202),0)</f>
        <v>0</v>
      </c>
      <c r="T2202" s="85" t="n">
        <v>2194</v>
      </c>
    </row>
    <row r="2203">
      <c r="B2203" s="83" t="n"/>
      <c r="C2203" s="83" t="n"/>
      <c r="D2203" s="83" t="n"/>
      <c r="E2203" s="83" t="n"/>
      <c r="F2203" s="83" t="n"/>
      <c r="G2203" s="83" t="n"/>
      <c r="H2203" s="83" t="n"/>
      <c r="I2203" s="83" t="n"/>
      <c r="J2203" s="83" t="n"/>
      <c r="K2203" s="83" t="n"/>
      <c r="L2203" s="83" t="n"/>
      <c r="M2203" s="83" t="n"/>
      <c r="O2203" s="84" t="str">
        <f>IF($C2203="","",IFERROR(MATCH($B2203&amp;"|"&amp;$C2203,MUROS!$AX$11:$AX$70,0),0))</f>
        <v/>
      </c>
      <c r="P2203" s="84" t="str">
        <f>IF($D2203="","",IF(ISNUMBER(MATCH($D2203,CMB_S,0)),1,IF(ISNUMBER(MATCH($D2203,CMB_G,0)),2,0)))</f>
        <v/>
      </c>
      <c r="Q2203" s="84">
        <f>IF(ISNUMBER($H2203),-$H2203,0)</f>
        <v>0</v>
      </c>
      <c r="R2203" s="84">
        <f>IF(ISNUMBER($I2203),ABS($I2203),0)</f>
        <v>0</v>
      </c>
      <c r="S2203" s="84">
        <f>IF(ISNUMBER($M2203),ABS($M2203),0)</f>
        <v>0</v>
      </c>
      <c r="T2203" s="85" t="n">
        <v>2195</v>
      </c>
    </row>
    <row r="2204">
      <c r="B2204" s="83" t="n"/>
      <c r="C2204" s="83" t="n"/>
      <c r="D2204" s="83" t="n"/>
      <c r="E2204" s="83" t="n"/>
      <c r="F2204" s="83" t="n"/>
      <c r="G2204" s="83" t="n"/>
      <c r="H2204" s="83" t="n"/>
      <c r="I2204" s="83" t="n"/>
      <c r="J2204" s="83" t="n"/>
      <c r="K2204" s="83" t="n"/>
      <c r="L2204" s="83" t="n"/>
      <c r="M2204" s="83" t="n"/>
      <c r="O2204" s="84" t="str">
        <f>IF($C2204="","",IFERROR(MATCH($B2204&amp;"|"&amp;$C2204,MUROS!$AX$11:$AX$70,0),0))</f>
        <v/>
      </c>
      <c r="P2204" s="84" t="str">
        <f>IF($D2204="","",IF(ISNUMBER(MATCH($D2204,CMB_S,0)),1,IF(ISNUMBER(MATCH($D2204,CMB_G,0)),2,0)))</f>
        <v/>
      </c>
      <c r="Q2204" s="84">
        <f>IF(ISNUMBER($H2204),-$H2204,0)</f>
        <v>0</v>
      </c>
      <c r="R2204" s="84">
        <f>IF(ISNUMBER($I2204),ABS($I2204),0)</f>
        <v>0</v>
      </c>
      <c r="S2204" s="84">
        <f>IF(ISNUMBER($M2204),ABS($M2204),0)</f>
        <v>0</v>
      </c>
      <c r="T2204" s="85" t="n">
        <v>2196</v>
      </c>
    </row>
    <row r="2205">
      <c r="B2205" s="83" t="n"/>
      <c r="C2205" s="83" t="n"/>
      <c r="D2205" s="83" t="n"/>
      <c r="E2205" s="83" t="n"/>
      <c r="F2205" s="83" t="n"/>
      <c r="G2205" s="83" t="n"/>
      <c r="H2205" s="83" t="n"/>
      <c r="I2205" s="83" t="n"/>
      <c r="J2205" s="83" t="n"/>
      <c r="K2205" s="83" t="n"/>
      <c r="L2205" s="83" t="n"/>
      <c r="M2205" s="83" t="n"/>
      <c r="O2205" s="84" t="str">
        <f>IF($C2205="","",IFERROR(MATCH($B2205&amp;"|"&amp;$C2205,MUROS!$AX$11:$AX$70,0),0))</f>
        <v/>
      </c>
      <c r="P2205" s="84" t="str">
        <f>IF($D2205="","",IF(ISNUMBER(MATCH($D2205,CMB_S,0)),1,IF(ISNUMBER(MATCH($D2205,CMB_G,0)),2,0)))</f>
        <v/>
      </c>
      <c r="Q2205" s="84">
        <f>IF(ISNUMBER($H2205),-$H2205,0)</f>
        <v>0</v>
      </c>
      <c r="R2205" s="84">
        <f>IF(ISNUMBER($I2205),ABS($I2205),0)</f>
        <v>0</v>
      </c>
      <c r="S2205" s="84">
        <f>IF(ISNUMBER($M2205),ABS($M2205),0)</f>
        <v>0</v>
      </c>
      <c r="T2205" s="85" t="n">
        <v>2197</v>
      </c>
    </row>
    <row r="2206">
      <c r="B2206" s="83" t="n"/>
      <c r="C2206" s="83" t="n"/>
      <c r="D2206" s="83" t="n"/>
      <c r="E2206" s="83" t="n"/>
      <c r="F2206" s="83" t="n"/>
      <c r="G2206" s="83" t="n"/>
      <c r="H2206" s="83" t="n"/>
      <c r="I2206" s="83" t="n"/>
      <c r="J2206" s="83" t="n"/>
      <c r="K2206" s="83" t="n"/>
      <c r="L2206" s="83" t="n"/>
      <c r="M2206" s="83" t="n"/>
      <c r="O2206" s="84" t="str">
        <f>IF($C2206="","",IFERROR(MATCH($B2206&amp;"|"&amp;$C2206,MUROS!$AX$11:$AX$70,0),0))</f>
        <v/>
      </c>
      <c r="P2206" s="84" t="str">
        <f>IF($D2206="","",IF(ISNUMBER(MATCH($D2206,CMB_S,0)),1,IF(ISNUMBER(MATCH($D2206,CMB_G,0)),2,0)))</f>
        <v/>
      </c>
      <c r="Q2206" s="84">
        <f>IF(ISNUMBER($H2206),-$H2206,0)</f>
        <v>0</v>
      </c>
      <c r="R2206" s="84">
        <f>IF(ISNUMBER($I2206),ABS($I2206),0)</f>
        <v>0</v>
      </c>
      <c r="S2206" s="84">
        <f>IF(ISNUMBER($M2206),ABS($M2206),0)</f>
        <v>0</v>
      </c>
      <c r="T2206" s="85" t="n">
        <v>2198</v>
      </c>
    </row>
    <row r="2207">
      <c r="B2207" s="83" t="n"/>
      <c r="C2207" s="83" t="n"/>
      <c r="D2207" s="83" t="n"/>
      <c r="E2207" s="83" t="n"/>
      <c r="F2207" s="83" t="n"/>
      <c r="G2207" s="83" t="n"/>
      <c r="H2207" s="83" t="n"/>
      <c r="I2207" s="83" t="n"/>
      <c r="J2207" s="83" t="n"/>
      <c r="K2207" s="83" t="n"/>
      <c r="L2207" s="83" t="n"/>
      <c r="M2207" s="83" t="n"/>
      <c r="O2207" s="84" t="str">
        <f>IF($C2207="","",IFERROR(MATCH($B2207&amp;"|"&amp;$C2207,MUROS!$AX$11:$AX$70,0),0))</f>
        <v/>
      </c>
      <c r="P2207" s="84" t="str">
        <f>IF($D2207="","",IF(ISNUMBER(MATCH($D2207,CMB_S,0)),1,IF(ISNUMBER(MATCH($D2207,CMB_G,0)),2,0)))</f>
        <v/>
      </c>
      <c r="Q2207" s="84">
        <f>IF(ISNUMBER($H2207),-$H2207,0)</f>
        <v>0</v>
      </c>
      <c r="R2207" s="84">
        <f>IF(ISNUMBER($I2207),ABS($I2207),0)</f>
        <v>0</v>
      </c>
      <c r="S2207" s="84">
        <f>IF(ISNUMBER($M2207),ABS($M2207),0)</f>
        <v>0</v>
      </c>
      <c r="T2207" s="85" t="n">
        <v>2199</v>
      </c>
    </row>
    <row r="2208">
      <c r="B2208" s="83" t="n"/>
      <c r="C2208" s="83" t="n"/>
      <c r="D2208" s="83" t="n"/>
      <c r="E2208" s="83" t="n"/>
      <c r="F2208" s="83" t="n"/>
      <c r="G2208" s="83" t="n"/>
      <c r="H2208" s="83" t="n"/>
      <c r="I2208" s="83" t="n"/>
      <c r="J2208" s="83" t="n"/>
      <c r="K2208" s="83" t="n"/>
      <c r="L2208" s="83" t="n"/>
      <c r="M2208" s="83" t="n"/>
      <c r="O2208" s="84" t="str">
        <f>IF($C2208="","",IFERROR(MATCH($B2208&amp;"|"&amp;$C2208,MUROS!$AX$11:$AX$70,0),0))</f>
        <v/>
      </c>
      <c r="P2208" s="84" t="str">
        <f>IF($D2208="","",IF(ISNUMBER(MATCH($D2208,CMB_S,0)),1,IF(ISNUMBER(MATCH($D2208,CMB_G,0)),2,0)))</f>
        <v/>
      </c>
      <c r="Q2208" s="84">
        <f>IF(ISNUMBER($H2208),-$H2208,0)</f>
        <v>0</v>
      </c>
      <c r="R2208" s="84">
        <f>IF(ISNUMBER($I2208),ABS($I2208),0)</f>
        <v>0</v>
      </c>
      <c r="S2208" s="84">
        <f>IF(ISNUMBER($M2208),ABS($M2208),0)</f>
        <v>0</v>
      </c>
      <c r="T2208" s="85" t="n">
        <v>2200</v>
      </c>
    </row>
    <row r="2209">
      <c r="B2209" s="83" t="n"/>
      <c r="C2209" s="83" t="n"/>
      <c r="D2209" s="83" t="n"/>
      <c r="E2209" s="83" t="n"/>
      <c r="F2209" s="83" t="n"/>
      <c r="G2209" s="83" t="n"/>
      <c r="H2209" s="83" t="n"/>
      <c r="I2209" s="83" t="n"/>
      <c r="J2209" s="83" t="n"/>
      <c r="K2209" s="83" t="n"/>
      <c r="L2209" s="83" t="n"/>
      <c r="M2209" s="83" t="n"/>
      <c r="O2209" s="84" t="str">
        <f>IF($C2209="","",IFERROR(MATCH($B2209&amp;"|"&amp;$C2209,MUROS!$AX$11:$AX$70,0),0))</f>
        <v/>
      </c>
      <c r="P2209" s="84" t="str">
        <f>IF($D2209="","",IF(ISNUMBER(MATCH($D2209,CMB_S,0)),1,IF(ISNUMBER(MATCH($D2209,CMB_G,0)),2,0)))</f>
        <v/>
      </c>
      <c r="Q2209" s="84">
        <f>IF(ISNUMBER($H2209),-$H2209,0)</f>
        <v>0</v>
      </c>
      <c r="R2209" s="84">
        <f>IF(ISNUMBER($I2209),ABS($I2209),0)</f>
        <v>0</v>
      </c>
      <c r="S2209" s="84">
        <f>IF(ISNUMBER($M2209),ABS($M2209),0)</f>
        <v>0</v>
      </c>
      <c r="T2209" s="85" t="n">
        <v>2201</v>
      </c>
    </row>
    <row r="2210">
      <c r="B2210" s="83" t="n"/>
      <c r="C2210" s="83" t="n"/>
      <c r="D2210" s="83" t="n"/>
      <c r="E2210" s="83" t="n"/>
      <c r="F2210" s="83" t="n"/>
      <c r="G2210" s="83" t="n"/>
      <c r="H2210" s="83" t="n"/>
      <c r="I2210" s="83" t="n"/>
      <c r="J2210" s="83" t="n"/>
      <c r="K2210" s="83" t="n"/>
      <c r="L2210" s="83" t="n"/>
      <c r="M2210" s="83" t="n"/>
      <c r="O2210" s="84" t="str">
        <f>IF($C2210="","",IFERROR(MATCH($B2210&amp;"|"&amp;$C2210,MUROS!$AX$11:$AX$70,0),0))</f>
        <v/>
      </c>
      <c r="P2210" s="84" t="str">
        <f>IF($D2210="","",IF(ISNUMBER(MATCH($D2210,CMB_S,0)),1,IF(ISNUMBER(MATCH($D2210,CMB_G,0)),2,0)))</f>
        <v/>
      </c>
      <c r="Q2210" s="84">
        <f>IF(ISNUMBER($H2210),-$H2210,0)</f>
        <v>0</v>
      </c>
      <c r="R2210" s="84">
        <f>IF(ISNUMBER($I2210),ABS($I2210),0)</f>
        <v>0</v>
      </c>
      <c r="S2210" s="84">
        <f>IF(ISNUMBER($M2210),ABS($M2210),0)</f>
        <v>0</v>
      </c>
      <c r="T2210" s="85" t="n">
        <v>2202</v>
      </c>
    </row>
    <row r="2211">
      <c r="B2211" s="83" t="n"/>
      <c r="C2211" s="83" t="n"/>
      <c r="D2211" s="83" t="n"/>
      <c r="E2211" s="83" t="n"/>
      <c r="F2211" s="83" t="n"/>
      <c r="G2211" s="83" t="n"/>
      <c r="H2211" s="83" t="n"/>
      <c r="I2211" s="83" t="n"/>
      <c r="J2211" s="83" t="n"/>
      <c r="K2211" s="83" t="n"/>
      <c r="L2211" s="83" t="n"/>
      <c r="M2211" s="83" t="n"/>
      <c r="O2211" s="84" t="str">
        <f>IF($C2211="","",IFERROR(MATCH($B2211&amp;"|"&amp;$C2211,MUROS!$AX$11:$AX$70,0),0))</f>
        <v/>
      </c>
      <c r="P2211" s="84" t="str">
        <f>IF($D2211="","",IF(ISNUMBER(MATCH($D2211,CMB_S,0)),1,IF(ISNUMBER(MATCH($D2211,CMB_G,0)),2,0)))</f>
        <v/>
      </c>
      <c r="Q2211" s="84">
        <f>IF(ISNUMBER($H2211),-$H2211,0)</f>
        <v>0</v>
      </c>
      <c r="R2211" s="84">
        <f>IF(ISNUMBER($I2211),ABS($I2211),0)</f>
        <v>0</v>
      </c>
      <c r="S2211" s="84">
        <f>IF(ISNUMBER($M2211),ABS($M2211),0)</f>
        <v>0</v>
      </c>
      <c r="T2211" s="85" t="n">
        <v>2203</v>
      </c>
    </row>
    <row r="2212">
      <c r="B2212" s="83" t="n"/>
      <c r="C2212" s="83" t="n"/>
      <c r="D2212" s="83" t="n"/>
      <c r="E2212" s="83" t="n"/>
      <c r="F2212" s="83" t="n"/>
      <c r="G2212" s="83" t="n"/>
      <c r="H2212" s="83" t="n"/>
      <c r="I2212" s="83" t="n"/>
      <c r="J2212" s="83" t="n"/>
      <c r="K2212" s="83" t="n"/>
      <c r="L2212" s="83" t="n"/>
      <c r="M2212" s="83" t="n"/>
      <c r="O2212" s="84" t="str">
        <f>IF($C2212="","",IFERROR(MATCH($B2212&amp;"|"&amp;$C2212,MUROS!$AX$11:$AX$70,0),0))</f>
        <v/>
      </c>
      <c r="P2212" s="84" t="str">
        <f>IF($D2212="","",IF(ISNUMBER(MATCH($D2212,CMB_S,0)),1,IF(ISNUMBER(MATCH($D2212,CMB_G,0)),2,0)))</f>
        <v/>
      </c>
      <c r="Q2212" s="84">
        <f>IF(ISNUMBER($H2212),-$H2212,0)</f>
        <v>0</v>
      </c>
      <c r="R2212" s="84">
        <f>IF(ISNUMBER($I2212),ABS($I2212),0)</f>
        <v>0</v>
      </c>
      <c r="S2212" s="84">
        <f>IF(ISNUMBER($M2212),ABS($M2212),0)</f>
        <v>0</v>
      </c>
      <c r="T2212" s="85" t="n">
        <v>2204</v>
      </c>
    </row>
    <row r="2213">
      <c r="B2213" s="83" t="n"/>
      <c r="C2213" s="83" t="n"/>
      <c r="D2213" s="83" t="n"/>
      <c r="E2213" s="83" t="n"/>
      <c r="F2213" s="83" t="n"/>
      <c r="G2213" s="83" t="n"/>
      <c r="H2213" s="83" t="n"/>
      <c r="I2213" s="83" t="n"/>
      <c r="J2213" s="83" t="n"/>
      <c r="K2213" s="83" t="n"/>
      <c r="L2213" s="83" t="n"/>
      <c r="M2213" s="83" t="n"/>
      <c r="O2213" s="84" t="str">
        <f>IF($C2213="","",IFERROR(MATCH($B2213&amp;"|"&amp;$C2213,MUROS!$AX$11:$AX$70,0),0))</f>
        <v/>
      </c>
      <c r="P2213" s="84" t="str">
        <f>IF($D2213="","",IF(ISNUMBER(MATCH($D2213,CMB_S,0)),1,IF(ISNUMBER(MATCH($D2213,CMB_G,0)),2,0)))</f>
        <v/>
      </c>
      <c r="Q2213" s="84">
        <f>IF(ISNUMBER($H2213),-$H2213,0)</f>
        <v>0</v>
      </c>
      <c r="R2213" s="84">
        <f>IF(ISNUMBER($I2213),ABS($I2213),0)</f>
        <v>0</v>
      </c>
      <c r="S2213" s="84">
        <f>IF(ISNUMBER($M2213),ABS($M2213),0)</f>
        <v>0</v>
      </c>
      <c r="T2213" s="85" t="n">
        <v>2205</v>
      </c>
    </row>
    <row r="2214">
      <c r="B2214" s="83" t="n"/>
      <c r="C2214" s="83" t="n"/>
      <c r="D2214" s="83" t="n"/>
      <c r="E2214" s="83" t="n"/>
      <c r="F2214" s="83" t="n"/>
      <c r="G2214" s="83" t="n"/>
      <c r="H2214" s="83" t="n"/>
      <c r="I2214" s="83" t="n"/>
      <c r="J2214" s="83" t="n"/>
      <c r="K2214" s="83" t="n"/>
      <c r="L2214" s="83" t="n"/>
      <c r="M2214" s="83" t="n"/>
      <c r="O2214" s="84" t="str">
        <f>IF($C2214="","",IFERROR(MATCH($B2214&amp;"|"&amp;$C2214,MUROS!$AX$11:$AX$70,0),0))</f>
        <v/>
      </c>
      <c r="P2214" s="84" t="str">
        <f>IF($D2214="","",IF(ISNUMBER(MATCH($D2214,CMB_S,0)),1,IF(ISNUMBER(MATCH($D2214,CMB_G,0)),2,0)))</f>
        <v/>
      </c>
      <c r="Q2214" s="84">
        <f>IF(ISNUMBER($H2214),-$H2214,0)</f>
        <v>0</v>
      </c>
      <c r="R2214" s="84">
        <f>IF(ISNUMBER($I2214),ABS($I2214),0)</f>
        <v>0</v>
      </c>
      <c r="S2214" s="84">
        <f>IF(ISNUMBER($M2214),ABS($M2214),0)</f>
        <v>0</v>
      </c>
      <c r="T2214" s="85" t="n">
        <v>2206</v>
      </c>
    </row>
    <row r="2215">
      <c r="B2215" s="83" t="n"/>
      <c r="C2215" s="83" t="n"/>
      <c r="D2215" s="83" t="n"/>
      <c r="E2215" s="83" t="n"/>
      <c r="F2215" s="83" t="n"/>
      <c r="G2215" s="83" t="n"/>
      <c r="H2215" s="83" t="n"/>
      <c r="I2215" s="83" t="n"/>
      <c r="J2215" s="83" t="n"/>
      <c r="K2215" s="83" t="n"/>
      <c r="L2215" s="83" t="n"/>
      <c r="M2215" s="83" t="n"/>
      <c r="O2215" s="84" t="str">
        <f>IF($C2215="","",IFERROR(MATCH($B2215&amp;"|"&amp;$C2215,MUROS!$AX$11:$AX$70,0),0))</f>
        <v/>
      </c>
      <c r="P2215" s="84" t="str">
        <f>IF($D2215="","",IF(ISNUMBER(MATCH($D2215,CMB_S,0)),1,IF(ISNUMBER(MATCH($D2215,CMB_G,0)),2,0)))</f>
        <v/>
      </c>
      <c r="Q2215" s="84">
        <f>IF(ISNUMBER($H2215),-$H2215,0)</f>
        <v>0</v>
      </c>
      <c r="R2215" s="84">
        <f>IF(ISNUMBER($I2215),ABS($I2215),0)</f>
        <v>0</v>
      </c>
      <c r="S2215" s="84">
        <f>IF(ISNUMBER($M2215),ABS($M2215),0)</f>
        <v>0</v>
      </c>
      <c r="T2215" s="85" t="n">
        <v>2207</v>
      </c>
    </row>
    <row r="2216">
      <c r="B2216" s="83" t="n"/>
      <c r="C2216" s="83" t="n"/>
      <c r="D2216" s="83" t="n"/>
      <c r="E2216" s="83" t="n"/>
      <c r="F2216" s="83" t="n"/>
      <c r="G2216" s="83" t="n"/>
      <c r="H2216" s="83" t="n"/>
      <c r="I2216" s="83" t="n"/>
      <c r="J2216" s="83" t="n"/>
      <c r="K2216" s="83" t="n"/>
      <c r="L2216" s="83" t="n"/>
      <c r="M2216" s="83" t="n"/>
      <c r="O2216" s="84" t="str">
        <f>IF($C2216="","",IFERROR(MATCH($B2216&amp;"|"&amp;$C2216,MUROS!$AX$11:$AX$70,0),0))</f>
        <v/>
      </c>
      <c r="P2216" s="84" t="str">
        <f>IF($D2216="","",IF(ISNUMBER(MATCH($D2216,CMB_S,0)),1,IF(ISNUMBER(MATCH($D2216,CMB_G,0)),2,0)))</f>
        <v/>
      </c>
      <c r="Q2216" s="84">
        <f>IF(ISNUMBER($H2216),-$H2216,0)</f>
        <v>0</v>
      </c>
      <c r="R2216" s="84">
        <f>IF(ISNUMBER($I2216),ABS($I2216),0)</f>
        <v>0</v>
      </c>
      <c r="S2216" s="84">
        <f>IF(ISNUMBER($M2216),ABS($M2216),0)</f>
        <v>0</v>
      </c>
      <c r="T2216" s="85" t="n">
        <v>2208</v>
      </c>
    </row>
    <row r="2217">
      <c r="B2217" s="83" t="n"/>
      <c r="C2217" s="83" t="n"/>
      <c r="D2217" s="83" t="n"/>
      <c r="E2217" s="83" t="n"/>
      <c r="F2217" s="83" t="n"/>
      <c r="G2217" s="83" t="n"/>
      <c r="H2217" s="83" t="n"/>
      <c r="I2217" s="83" t="n"/>
      <c r="J2217" s="83" t="n"/>
      <c r="K2217" s="83" t="n"/>
      <c r="L2217" s="83" t="n"/>
      <c r="M2217" s="83" t="n"/>
      <c r="O2217" s="84" t="str">
        <f>IF($C2217="","",IFERROR(MATCH($B2217&amp;"|"&amp;$C2217,MUROS!$AX$11:$AX$70,0),0))</f>
        <v/>
      </c>
      <c r="P2217" s="84" t="str">
        <f>IF($D2217="","",IF(ISNUMBER(MATCH($D2217,CMB_S,0)),1,IF(ISNUMBER(MATCH($D2217,CMB_G,0)),2,0)))</f>
        <v/>
      </c>
      <c r="Q2217" s="84">
        <f>IF(ISNUMBER($H2217),-$H2217,0)</f>
        <v>0</v>
      </c>
      <c r="R2217" s="84">
        <f>IF(ISNUMBER($I2217),ABS($I2217),0)</f>
        <v>0</v>
      </c>
      <c r="S2217" s="84">
        <f>IF(ISNUMBER($M2217),ABS($M2217),0)</f>
        <v>0</v>
      </c>
      <c r="T2217" s="85" t="n">
        <v>2209</v>
      </c>
    </row>
    <row r="2218">
      <c r="B2218" s="83" t="n"/>
      <c r="C2218" s="83" t="n"/>
      <c r="D2218" s="83" t="n"/>
      <c r="E2218" s="83" t="n"/>
      <c r="F2218" s="83" t="n"/>
      <c r="G2218" s="83" t="n"/>
      <c r="H2218" s="83" t="n"/>
      <c r="I2218" s="83" t="n"/>
      <c r="J2218" s="83" t="n"/>
      <c r="K2218" s="83" t="n"/>
      <c r="L2218" s="83" t="n"/>
      <c r="M2218" s="83" t="n"/>
      <c r="O2218" s="84" t="str">
        <f>IF($C2218="","",IFERROR(MATCH($B2218&amp;"|"&amp;$C2218,MUROS!$AX$11:$AX$70,0),0))</f>
        <v/>
      </c>
      <c r="P2218" s="84" t="str">
        <f>IF($D2218="","",IF(ISNUMBER(MATCH($D2218,CMB_S,0)),1,IF(ISNUMBER(MATCH($D2218,CMB_G,0)),2,0)))</f>
        <v/>
      </c>
      <c r="Q2218" s="84">
        <f>IF(ISNUMBER($H2218),-$H2218,0)</f>
        <v>0</v>
      </c>
      <c r="R2218" s="84">
        <f>IF(ISNUMBER($I2218),ABS($I2218),0)</f>
        <v>0</v>
      </c>
      <c r="S2218" s="84">
        <f>IF(ISNUMBER($M2218),ABS($M2218),0)</f>
        <v>0</v>
      </c>
      <c r="T2218" s="85" t="n">
        <v>2210</v>
      </c>
    </row>
    <row r="2219">
      <c r="B2219" s="83" t="n"/>
      <c r="C2219" s="83" t="n"/>
      <c r="D2219" s="83" t="n"/>
      <c r="E2219" s="83" t="n"/>
      <c r="F2219" s="83" t="n"/>
      <c r="G2219" s="83" t="n"/>
      <c r="H2219" s="83" t="n"/>
      <c r="I2219" s="83" t="n"/>
      <c r="J2219" s="83" t="n"/>
      <c r="K2219" s="83" t="n"/>
      <c r="L2219" s="83" t="n"/>
      <c r="M2219" s="83" t="n"/>
      <c r="O2219" s="84" t="str">
        <f>IF($C2219="","",IFERROR(MATCH($B2219&amp;"|"&amp;$C2219,MUROS!$AX$11:$AX$70,0),0))</f>
        <v/>
      </c>
      <c r="P2219" s="84" t="str">
        <f>IF($D2219="","",IF(ISNUMBER(MATCH($D2219,CMB_S,0)),1,IF(ISNUMBER(MATCH($D2219,CMB_G,0)),2,0)))</f>
        <v/>
      </c>
      <c r="Q2219" s="84">
        <f>IF(ISNUMBER($H2219),-$H2219,0)</f>
        <v>0</v>
      </c>
      <c r="R2219" s="84">
        <f>IF(ISNUMBER($I2219),ABS($I2219),0)</f>
        <v>0</v>
      </c>
      <c r="S2219" s="84">
        <f>IF(ISNUMBER($M2219),ABS($M2219),0)</f>
        <v>0</v>
      </c>
      <c r="T2219" s="85" t="n">
        <v>2211</v>
      </c>
    </row>
    <row r="2220">
      <c r="B2220" s="83" t="n"/>
      <c r="C2220" s="83" t="n"/>
      <c r="D2220" s="83" t="n"/>
      <c r="E2220" s="83" t="n"/>
      <c r="F2220" s="83" t="n"/>
      <c r="G2220" s="83" t="n"/>
      <c r="H2220" s="83" t="n"/>
      <c r="I2220" s="83" t="n"/>
      <c r="J2220" s="83" t="n"/>
      <c r="K2220" s="83" t="n"/>
      <c r="L2220" s="83" t="n"/>
      <c r="M2220" s="83" t="n"/>
      <c r="O2220" s="84" t="str">
        <f>IF($C2220="","",IFERROR(MATCH($B2220&amp;"|"&amp;$C2220,MUROS!$AX$11:$AX$70,0),0))</f>
        <v/>
      </c>
      <c r="P2220" s="84" t="str">
        <f>IF($D2220="","",IF(ISNUMBER(MATCH($D2220,CMB_S,0)),1,IF(ISNUMBER(MATCH($D2220,CMB_G,0)),2,0)))</f>
        <v/>
      </c>
      <c r="Q2220" s="84">
        <f>IF(ISNUMBER($H2220),-$H2220,0)</f>
        <v>0</v>
      </c>
      <c r="R2220" s="84">
        <f>IF(ISNUMBER($I2220),ABS($I2220),0)</f>
        <v>0</v>
      </c>
      <c r="S2220" s="84">
        <f>IF(ISNUMBER($M2220),ABS($M2220),0)</f>
        <v>0</v>
      </c>
      <c r="T2220" s="85" t="n">
        <v>2212</v>
      </c>
    </row>
    <row r="2221">
      <c r="B2221" s="83" t="n"/>
      <c r="C2221" s="83" t="n"/>
      <c r="D2221" s="83" t="n"/>
      <c r="E2221" s="83" t="n"/>
      <c r="F2221" s="83" t="n"/>
      <c r="G2221" s="83" t="n"/>
      <c r="H2221" s="83" t="n"/>
      <c r="I2221" s="83" t="n"/>
      <c r="J2221" s="83" t="n"/>
      <c r="K2221" s="83" t="n"/>
      <c r="L2221" s="83" t="n"/>
      <c r="M2221" s="83" t="n"/>
      <c r="O2221" s="84" t="str">
        <f>IF($C2221="","",IFERROR(MATCH($B2221&amp;"|"&amp;$C2221,MUROS!$AX$11:$AX$70,0),0))</f>
        <v/>
      </c>
      <c r="P2221" s="84" t="str">
        <f>IF($D2221="","",IF(ISNUMBER(MATCH($D2221,CMB_S,0)),1,IF(ISNUMBER(MATCH($D2221,CMB_G,0)),2,0)))</f>
        <v/>
      </c>
      <c r="Q2221" s="84">
        <f>IF(ISNUMBER($H2221),-$H2221,0)</f>
        <v>0</v>
      </c>
      <c r="R2221" s="84">
        <f>IF(ISNUMBER($I2221),ABS($I2221),0)</f>
        <v>0</v>
      </c>
      <c r="S2221" s="84">
        <f>IF(ISNUMBER($M2221),ABS($M2221),0)</f>
        <v>0</v>
      </c>
      <c r="T2221" s="85" t="n">
        <v>2213</v>
      </c>
    </row>
    <row r="2222">
      <c r="B2222" s="83" t="n"/>
      <c r="C2222" s="83" t="n"/>
      <c r="D2222" s="83" t="n"/>
      <c r="E2222" s="83" t="n"/>
      <c r="F2222" s="83" t="n"/>
      <c r="G2222" s="83" t="n"/>
      <c r="H2222" s="83" t="n"/>
      <c r="I2222" s="83" t="n"/>
      <c r="J2222" s="83" t="n"/>
      <c r="K2222" s="83" t="n"/>
      <c r="L2222" s="83" t="n"/>
      <c r="M2222" s="83" t="n"/>
      <c r="O2222" s="84" t="str">
        <f>IF($C2222="","",IFERROR(MATCH($B2222&amp;"|"&amp;$C2222,MUROS!$AX$11:$AX$70,0),0))</f>
        <v/>
      </c>
      <c r="P2222" s="84" t="str">
        <f>IF($D2222="","",IF(ISNUMBER(MATCH($D2222,CMB_S,0)),1,IF(ISNUMBER(MATCH($D2222,CMB_G,0)),2,0)))</f>
        <v/>
      </c>
      <c r="Q2222" s="84">
        <f>IF(ISNUMBER($H2222),-$H2222,0)</f>
        <v>0</v>
      </c>
      <c r="R2222" s="84">
        <f>IF(ISNUMBER($I2222),ABS($I2222),0)</f>
        <v>0</v>
      </c>
      <c r="S2222" s="84">
        <f>IF(ISNUMBER($M2222),ABS($M2222),0)</f>
        <v>0</v>
      </c>
      <c r="T2222" s="85" t="n">
        <v>2214</v>
      </c>
    </row>
    <row r="2223">
      <c r="B2223" s="83" t="n"/>
      <c r="C2223" s="83" t="n"/>
      <c r="D2223" s="83" t="n"/>
      <c r="E2223" s="83" t="n"/>
      <c r="F2223" s="83" t="n"/>
      <c r="G2223" s="83" t="n"/>
      <c r="H2223" s="83" t="n"/>
      <c r="I2223" s="83" t="n"/>
      <c r="J2223" s="83" t="n"/>
      <c r="K2223" s="83" t="n"/>
      <c r="L2223" s="83" t="n"/>
      <c r="M2223" s="83" t="n"/>
      <c r="O2223" s="84" t="str">
        <f>IF($C2223="","",IFERROR(MATCH($B2223&amp;"|"&amp;$C2223,MUROS!$AX$11:$AX$70,0),0))</f>
        <v/>
      </c>
      <c r="P2223" s="84" t="str">
        <f>IF($D2223="","",IF(ISNUMBER(MATCH($D2223,CMB_S,0)),1,IF(ISNUMBER(MATCH($D2223,CMB_G,0)),2,0)))</f>
        <v/>
      </c>
      <c r="Q2223" s="84">
        <f>IF(ISNUMBER($H2223),-$H2223,0)</f>
        <v>0</v>
      </c>
      <c r="R2223" s="84">
        <f>IF(ISNUMBER($I2223),ABS($I2223),0)</f>
        <v>0</v>
      </c>
      <c r="S2223" s="84">
        <f>IF(ISNUMBER($M2223),ABS($M2223),0)</f>
        <v>0</v>
      </c>
      <c r="T2223" s="85" t="n">
        <v>2215</v>
      </c>
    </row>
    <row r="2224">
      <c r="B2224" s="83" t="n"/>
      <c r="C2224" s="83" t="n"/>
      <c r="D2224" s="83" t="n"/>
      <c r="E2224" s="83" t="n"/>
      <c r="F2224" s="83" t="n"/>
      <c r="G2224" s="83" t="n"/>
      <c r="H2224" s="83" t="n"/>
      <c r="I2224" s="83" t="n"/>
      <c r="J2224" s="83" t="n"/>
      <c r="K2224" s="83" t="n"/>
      <c r="L2224" s="83" t="n"/>
      <c r="M2224" s="83" t="n"/>
      <c r="O2224" s="84" t="str">
        <f>IF($C2224="","",IFERROR(MATCH($B2224&amp;"|"&amp;$C2224,MUROS!$AX$11:$AX$70,0),0))</f>
        <v/>
      </c>
      <c r="P2224" s="84" t="str">
        <f>IF($D2224="","",IF(ISNUMBER(MATCH($D2224,CMB_S,0)),1,IF(ISNUMBER(MATCH($D2224,CMB_G,0)),2,0)))</f>
        <v/>
      </c>
      <c r="Q2224" s="84">
        <f>IF(ISNUMBER($H2224),-$H2224,0)</f>
        <v>0</v>
      </c>
      <c r="R2224" s="84">
        <f>IF(ISNUMBER($I2224),ABS($I2224),0)</f>
        <v>0</v>
      </c>
      <c r="S2224" s="84">
        <f>IF(ISNUMBER($M2224),ABS($M2224),0)</f>
        <v>0</v>
      </c>
      <c r="T2224" s="85" t="n">
        <v>2216</v>
      </c>
    </row>
    <row r="2225">
      <c r="B2225" s="83" t="n"/>
      <c r="C2225" s="83" t="n"/>
      <c r="D2225" s="83" t="n"/>
      <c r="E2225" s="83" t="n"/>
      <c r="F2225" s="83" t="n"/>
      <c r="G2225" s="83" t="n"/>
      <c r="H2225" s="83" t="n"/>
      <c r="I2225" s="83" t="n"/>
      <c r="J2225" s="83" t="n"/>
      <c r="K2225" s="83" t="n"/>
      <c r="L2225" s="83" t="n"/>
      <c r="M2225" s="83" t="n"/>
      <c r="O2225" s="84" t="str">
        <f>IF($C2225="","",IFERROR(MATCH($B2225&amp;"|"&amp;$C2225,MUROS!$AX$11:$AX$70,0),0))</f>
        <v/>
      </c>
      <c r="P2225" s="84" t="str">
        <f>IF($D2225="","",IF(ISNUMBER(MATCH($D2225,CMB_S,0)),1,IF(ISNUMBER(MATCH($D2225,CMB_G,0)),2,0)))</f>
        <v/>
      </c>
      <c r="Q2225" s="84">
        <f>IF(ISNUMBER($H2225),-$H2225,0)</f>
        <v>0</v>
      </c>
      <c r="R2225" s="84">
        <f>IF(ISNUMBER($I2225),ABS($I2225),0)</f>
        <v>0</v>
      </c>
      <c r="S2225" s="84">
        <f>IF(ISNUMBER($M2225),ABS($M2225),0)</f>
        <v>0</v>
      </c>
      <c r="T2225" s="85" t="n">
        <v>2217</v>
      </c>
    </row>
    <row r="2226">
      <c r="B2226" s="83" t="n"/>
      <c r="C2226" s="83" t="n"/>
      <c r="D2226" s="83" t="n"/>
      <c r="E2226" s="83" t="n"/>
      <c r="F2226" s="83" t="n"/>
      <c r="G2226" s="83" t="n"/>
      <c r="H2226" s="83" t="n"/>
      <c r="I2226" s="83" t="n"/>
      <c r="J2226" s="83" t="n"/>
      <c r="K2226" s="83" t="n"/>
      <c r="L2226" s="83" t="n"/>
      <c r="M2226" s="83" t="n"/>
      <c r="O2226" s="84" t="str">
        <f>IF($C2226="","",IFERROR(MATCH($B2226&amp;"|"&amp;$C2226,MUROS!$AX$11:$AX$70,0),0))</f>
        <v/>
      </c>
      <c r="P2226" s="84" t="str">
        <f>IF($D2226="","",IF(ISNUMBER(MATCH($D2226,CMB_S,0)),1,IF(ISNUMBER(MATCH($D2226,CMB_G,0)),2,0)))</f>
        <v/>
      </c>
      <c r="Q2226" s="84">
        <f>IF(ISNUMBER($H2226),-$H2226,0)</f>
        <v>0</v>
      </c>
      <c r="R2226" s="84">
        <f>IF(ISNUMBER($I2226),ABS($I2226),0)</f>
        <v>0</v>
      </c>
      <c r="S2226" s="84">
        <f>IF(ISNUMBER($M2226),ABS($M2226),0)</f>
        <v>0</v>
      </c>
      <c r="T2226" s="85" t="n">
        <v>2218</v>
      </c>
    </row>
    <row r="2227">
      <c r="B2227" s="83" t="n"/>
      <c r="C2227" s="83" t="n"/>
      <c r="D2227" s="83" t="n"/>
      <c r="E2227" s="83" t="n"/>
      <c r="F2227" s="83" t="n"/>
      <c r="G2227" s="83" t="n"/>
      <c r="H2227" s="83" t="n"/>
      <c r="I2227" s="83" t="n"/>
      <c r="J2227" s="83" t="n"/>
      <c r="K2227" s="83" t="n"/>
      <c r="L2227" s="83" t="n"/>
      <c r="M2227" s="83" t="n"/>
      <c r="O2227" s="84" t="str">
        <f>IF($C2227="","",IFERROR(MATCH($B2227&amp;"|"&amp;$C2227,MUROS!$AX$11:$AX$70,0),0))</f>
        <v/>
      </c>
      <c r="P2227" s="84" t="str">
        <f>IF($D2227="","",IF(ISNUMBER(MATCH($D2227,CMB_S,0)),1,IF(ISNUMBER(MATCH($D2227,CMB_G,0)),2,0)))</f>
        <v/>
      </c>
      <c r="Q2227" s="84">
        <f>IF(ISNUMBER($H2227),-$H2227,0)</f>
        <v>0</v>
      </c>
      <c r="R2227" s="84">
        <f>IF(ISNUMBER($I2227),ABS($I2227),0)</f>
        <v>0</v>
      </c>
      <c r="S2227" s="84">
        <f>IF(ISNUMBER($M2227),ABS($M2227),0)</f>
        <v>0</v>
      </c>
      <c r="T2227" s="85" t="n">
        <v>2219</v>
      </c>
    </row>
    <row r="2228">
      <c r="B2228" s="83" t="n"/>
      <c r="C2228" s="83" t="n"/>
      <c r="D2228" s="83" t="n"/>
      <c r="E2228" s="83" t="n"/>
      <c r="F2228" s="83" t="n"/>
      <c r="G2228" s="83" t="n"/>
      <c r="H2228" s="83" t="n"/>
      <c r="I2228" s="83" t="n"/>
      <c r="J2228" s="83" t="n"/>
      <c r="K2228" s="83" t="n"/>
      <c r="L2228" s="83" t="n"/>
      <c r="M2228" s="83" t="n"/>
      <c r="O2228" s="84" t="str">
        <f>IF($C2228="","",IFERROR(MATCH($B2228&amp;"|"&amp;$C2228,MUROS!$AX$11:$AX$70,0),0))</f>
        <v/>
      </c>
      <c r="P2228" s="84" t="str">
        <f>IF($D2228="","",IF(ISNUMBER(MATCH($D2228,CMB_S,0)),1,IF(ISNUMBER(MATCH($D2228,CMB_G,0)),2,0)))</f>
        <v/>
      </c>
      <c r="Q2228" s="84">
        <f>IF(ISNUMBER($H2228),-$H2228,0)</f>
        <v>0</v>
      </c>
      <c r="R2228" s="84">
        <f>IF(ISNUMBER($I2228),ABS($I2228),0)</f>
        <v>0</v>
      </c>
      <c r="S2228" s="84">
        <f>IF(ISNUMBER($M2228),ABS($M2228),0)</f>
        <v>0</v>
      </c>
      <c r="T2228" s="85" t="n">
        <v>2220</v>
      </c>
    </row>
    <row r="2229">
      <c r="B2229" s="83" t="n"/>
      <c r="C2229" s="83" t="n"/>
      <c r="D2229" s="83" t="n"/>
      <c r="E2229" s="83" t="n"/>
      <c r="F2229" s="83" t="n"/>
      <c r="G2229" s="83" t="n"/>
      <c r="H2229" s="83" t="n"/>
      <c r="I2229" s="83" t="n"/>
      <c r="J2229" s="83" t="n"/>
      <c r="K2229" s="83" t="n"/>
      <c r="L2229" s="83" t="n"/>
      <c r="M2229" s="83" t="n"/>
      <c r="O2229" s="84" t="str">
        <f>IF($C2229="","",IFERROR(MATCH($B2229&amp;"|"&amp;$C2229,MUROS!$AX$11:$AX$70,0),0))</f>
        <v/>
      </c>
      <c r="P2229" s="84" t="str">
        <f>IF($D2229="","",IF(ISNUMBER(MATCH($D2229,CMB_S,0)),1,IF(ISNUMBER(MATCH($D2229,CMB_G,0)),2,0)))</f>
        <v/>
      </c>
      <c r="Q2229" s="84">
        <f>IF(ISNUMBER($H2229),-$H2229,0)</f>
        <v>0</v>
      </c>
      <c r="R2229" s="84">
        <f>IF(ISNUMBER($I2229),ABS($I2229),0)</f>
        <v>0</v>
      </c>
      <c r="S2229" s="84">
        <f>IF(ISNUMBER($M2229),ABS($M2229),0)</f>
        <v>0</v>
      </c>
      <c r="T2229" s="85" t="n">
        <v>2221</v>
      </c>
    </row>
    <row r="2230">
      <c r="B2230" s="83" t="n"/>
      <c r="C2230" s="83" t="n"/>
      <c r="D2230" s="83" t="n"/>
      <c r="E2230" s="83" t="n"/>
      <c r="F2230" s="83" t="n"/>
      <c r="G2230" s="83" t="n"/>
      <c r="H2230" s="83" t="n"/>
      <c r="I2230" s="83" t="n"/>
      <c r="J2230" s="83" t="n"/>
      <c r="K2230" s="83" t="n"/>
      <c r="L2230" s="83" t="n"/>
      <c r="M2230" s="83" t="n"/>
      <c r="O2230" s="84" t="str">
        <f>IF($C2230="","",IFERROR(MATCH($B2230&amp;"|"&amp;$C2230,MUROS!$AX$11:$AX$70,0),0))</f>
        <v/>
      </c>
      <c r="P2230" s="84" t="str">
        <f>IF($D2230="","",IF(ISNUMBER(MATCH($D2230,CMB_S,0)),1,IF(ISNUMBER(MATCH($D2230,CMB_G,0)),2,0)))</f>
        <v/>
      </c>
      <c r="Q2230" s="84">
        <f>IF(ISNUMBER($H2230),-$H2230,0)</f>
        <v>0</v>
      </c>
      <c r="R2230" s="84">
        <f>IF(ISNUMBER($I2230),ABS($I2230),0)</f>
        <v>0</v>
      </c>
      <c r="S2230" s="84">
        <f>IF(ISNUMBER($M2230),ABS($M2230),0)</f>
        <v>0</v>
      </c>
      <c r="T2230" s="85" t="n">
        <v>2222</v>
      </c>
    </row>
    <row r="2231">
      <c r="B2231" s="83" t="n"/>
      <c r="C2231" s="83" t="n"/>
      <c r="D2231" s="83" t="n"/>
      <c r="E2231" s="83" t="n"/>
      <c r="F2231" s="83" t="n"/>
      <c r="G2231" s="83" t="n"/>
      <c r="H2231" s="83" t="n"/>
      <c r="I2231" s="83" t="n"/>
      <c r="J2231" s="83" t="n"/>
      <c r="K2231" s="83" t="n"/>
      <c r="L2231" s="83" t="n"/>
      <c r="M2231" s="83" t="n"/>
      <c r="O2231" s="84" t="str">
        <f>IF($C2231="","",IFERROR(MATCH($B2231&amp;"|"&amp;$C2231,MUROS!$AX$11:$AX$70,0),0))</f>
        <v/>
      </c>
      <c r="P2231" s="84" t="str">
        <f>IF($D2231="","",IF(ISNUMBER(MATCH($D2231,CMB_S,0)),1,IF(ISNUMBER(MATCH($D2231,CMB_G,0)),2,0)))</f>
        <v/>
      </c>
      <c r="Q2231" s="84">
        <f>IF(ISNUMBER($H2231),-$H2231,0)</f>
        <v>0</v>
      </c>
      <c r="R2231" s="84">
        <f>IF(ISNUMBER($I2231),ABS($I2231),0)</f>
        <v>0</v>
      </c>
      <c r="S2231" s="84">
        <f>IF(ISNUMBER($M2231),ABS($M2231),0)</f>
        <v>0</v>
      </c>
      <c r="T2231" s="85" t="n">
        <v>2223</v>
      </c>
    </row>
    <row r="2232">
      <c r="B2232" s="83" t="n"/>
      <c r="C2232" s="83" t="n"/>
      <c r="D2232" s="83" t="n"/>
      <c r="E2232" s="83" t="n"/>
      <c r="F2232" s="83" t="n"/>
      <c r="G2232" s="83" t="n"/>
      <c r="H2232" s="83" t="n"/>
      <c r="I2232" s="83" t="n"/>
      <c r="J2232" s="83" t="n"/>
      <c r="K2232" s="83" t="n"/>
      <c r="L2232" s="83" t="n"/>
      <c r="M2232" s="83" t="n"/>
      <c r="O2232" s="84" t="str">
        <f>IF($C2232="","",IFERROR(MATCH($B2232&amp;"|"&amp;$C2232,MUROS!$AX$11:$AX$70,0),0))</f>
        <v/>
      </c>
      <c r="P2232" s="84" t="str">
        <f>IF($D2232="","",IF(ISNUMBER(MATCH($D2232,CMB_S,0)),1,IF(ISNUMBER(MATCH($D2232,CMB_G,0)),2,0)))</f>
        <v/>
      </c>
      <c r="Q2232" s="84">
        <f>IF(ISNUMBER($H2232),-$H2232,0)</f>
        <v>0</v>
      </c>
      <c r="R2232" s="84">
        <f>IF(ISNUMBER($I2232),ABS($I2232),0)</f>
        <v>0</v>
      </c>
      <c r="S2232" s="84">
        <f>IF(ISNUMBER($M2232),ABS($M2232),0)</f>
        <v>0</v>
      </c>
      <c r="T2232" s="85" t="n">
        <v>2224</v>
      </c>
    </row>
    <row r="2233">
      <c r="B2233" s="83" t="n"/>
      <c r="C2233" s="83" t="n"/>
      <c r="D2233" s="83" t="n"/>
      <c r="E2233" s="83" t="n"/>
      <c r="F2233" s="83" t="n"/>
      <c r="G2233" s="83" t="n"/>
      <c r="H2233" s="83" t="n"/>
      <c r="I2233" s="83" t="n"/>
      <c r="J2233" s="83" t="n"/>
      <c r="K2233" s="83" t="n"/>
      <c r="L2233" s="83" t="n"/>
      <c r="M2233" s="83" t="n"/>
      <c r="O2233" s="84" t="str">
        <f>IF($C2233="","",IFERROR(MATCH($B2233&amp;"|"&amp;$C2233,MUROS!$AX$11:$AX$70,0),0))</f>
        <v/>
      </c>
      <c r="P2233" s="84" t="str">
        <f>IF($D2233="","",IF(ISNUMBER(MATCH($D2233,CMB_S,0)),1,IF(ISNUMBER(MATCH($D2233,CMB_G,0)),2,0)))</f>
        <v/>
      </c>
      <c r="Q2233" s="84">
        <f>IF(ISNUMBER($H2233),-$H2233,0)</f>
        <v>0</v>
      </c>
      <c r="R2233" s="84">
        <f>IF(ISNUMBER($I2233),ABS($I2233),0)</f>
        <v>0</v>
      </c>
      <c r="S2233" s="84">
        <f>IF(ISNUMBER($M2233),ABS($M2233),0)</f>
        <v>0</v>
      </c>
      <c r="T2233" s="85" t="n">
        <v>2225</v>
      </c>
    </row>
    <row r="2234">
      <c r="B2234" s="83" t="n"/>
      <c r="C2234" s="83" t="n"/>
      <c r="D2234" s="83" t="n"/>
      <c r="E2234" s="83" t="n"/>
      <c r="F2234" s="83" t="n"/>
      <c r="G2234" s="83" t="n"/>
      <c r="H2234" s="83" t="n"/>
      <c r="I2234" s="83" t="n"/>
      <c r="J2234" s="83" t="n"/>
      <c r="K2234" s="83" t="n"/>
      <c r="L2234" s="83" t="n"/>
      <c r="M2234" s="83" t="n"/>
      <c r="O2234" s="84" t="str">
        <f>IF($C2234="","",IFERROR(MATCH($B2234&amp;"|"&amp;$C2234,MUROS!$AX$11:$AX$70,0),0))</f>
        <v/>
      </c>
      <c r="P2234" s="84" t="str">
        <f>IF($D2234="","",IF(ISNUMBER(MATCH($D2234,CMB_S,0)),1,IF(ISNUMBER(MATCH($D2234,CMB_G,0)),2,0)))</f>
        <v/>
      </c>
      <c r="Q2234" s="84">
        <f>IF(ISNUMBER($H2234),-$H2234,0)</f>
        <v>0</v>
      </c>
      <c r="R2234" s="84">
        <f>IF(ISNUMBER($I2234),ABS($I2234),0)</f>
        <v>0</v>
      </c>
      <c r="S2234" s="84">
        <f>IF(ISNUMBER($M2234),ABS($M2234),0)</f>
        <v>0</v>
      </c>
      <c r="T2234" s="85" t="n">
        <v>2226</v>
      </c>
    </row>
    <row r="2235">
      <c r="B2235" s="83" t="n"/>
      <c r="C2235" s="83" t="n"/>
      <c r="D2235" s="83" t="n"/>
      <c r="E2235" s="83" t="n"/>
      <c r="F2235" s="83" t="n"/>
      <c r="G2235" s="83" t="n"/>
      <c r="H2235" s="83" t="n"/>
      <c r="I2235" s="83" t="n"/>
      <c r="J2235" s="83" t="n"/>
      <c r="K2235" s="83" t="n"/>
      <c r="L2235" s="83" t="n"/>
      <c r="M2235" s="83" t="n"/>
      <c r="O2235" s="84" t="str">
        <f>IF($C2235="","",IFERROR(MATCH($B2235&amp;"|"&amp;$C2235,MUROS!$AX$11:$AX$70,0),0))</f>
        <v/>
      </c>
      <c r="P2235" s="84" t="str">
        <f>IF($D2235="","",IF(ISNUMBER(MATCH($D2235,CMB_S,0)),1,IF(ISNUMBER(MATCH($D2235,CMB_G,0)),2,0)))</f>
        <v/>
      </c>
      <c r="Q2235" s="84">
        <f>IF(ISNUMBER($H2235),-$H2235,0)</f>
        <v>0</v>
      </c>
      <c r="R2235" s="84">
        <f>IF(ISNUMBER($I2235),ABS($I2235),0)</f>
        <v>0</v>
      </c>
      <c r="S2235" s="84">
        <f>IF(ISNUMBER($M2235),ABS($M2235),0)</f>
        <v>0</v>
      </c>
      <c r="T2235" s="85" t="n">
        <v>2227</v>
      </c>
    </row>
    <row r="2236">
      <c r="B2236" s="83" t="n"/>
      <c r="C2236" s="83" t="n"/>
      <c r="D2236" s="83" t="n"/>
      <c r="E2236" s="83" t="n"/>
      <c r="F2236" s="83" t="n"/>
      <c r="G2236" s="83" t="n"/>
      <c r="H2236" s="83" t="n"/>
      <c r="I2236" s="83" t="n"/>
      <c r="J2236" s="83" t="n"/>
      <c r="K2236" s="83" t="n"/>
      <c r="L2236" s="83" t="n"/>
      <c r="M2236" s="83" t="n"/>
      <c r="O2236" s="84" t="str">
        <f>IF($C2236="","",IFERROR(MATCH($B2236&amp;"|"&amp;$C2236,MUROS!$AX$11:$AX$70,0),0))</f>
        <v/>
      </c>
      <c r="P2236" s="84" t="str">
        <f>IF($D2236="","",IF(ISNUMBER(MATCH($D2236,CMB_S,0)),1,IF(ISNUMBER(MATCH($D2236,CMB_G,0)),2,0)))</f>
        <v/>
      </c>
      <c r="Q2236" s="84">
        <f>IF(ISNUMBER($H2236),-$H2236,0)</f>
        <v>0</v>
      </c>
      <c r="R2236" s="84">
        <f>IF(ISNUMBER($I2236),ABS($I2236),0)</f>
        <v>0</v>
      </c>
      <c r="S2236" s="84">
        <f>IF(ISNUMBER($M2236),ABS($M2236),0)</f>
        <v>0</v>
      </c>
      <c r="T2236" s="85" t="n">
        <v>2228</v>
      </c>
    </row>
    <row r="2237">
      <c r="B2237" s="83" t="n"/>
      <c r="C2237" s="83" t="n"/>
      <c r="D2237" s="83" t="n"/>
      <c r="E2237" s="83" t="n"/>
      <c r="F2237" s="83" t="n"/>
      <c r="G2237" s="83" t="n"/>
      <c r="H2237" s="83" t="n"/>
      <c r="I2237" s="83" t="n"/>
      <c r="J2237" s="83" t="n"/>
      <c r="K2237" s="83" t="n"/>
      <c r="L2237" s="83" t="n"/>
      <c r="M2237" s="83" t="n"/>
      <c r="O2237" s="84" t="str">
        <f>IF($C2237="","",IFERROR(MATCH($B2237&amp;"|"&amp;$C2237,MUROS!$AX$11:$AX$70,0),0))</f>
        <v/>
      </c>
      <c r="P2237" s="84" t="str">
        <f>IF($D2237="","",IF(ISNUMBER(MATCH($D2237,CMB_S,0)),1,IF(ISNUMBER(MATCH($D2237,CMB_G,0)),2,0)))</f>
        <v/>
      </c>
      <c r="Q2237" s="84">
        <f>IF(ISNUMBER($H2237),-$H2237,0)</f>
        <v>0</v>
      </c>
      <c r="R2237" s="84">
        <f>IF(ISNUMBER($I2237),ABS($I2237),0)</f>
        <v>0</v>
      </c>
      <c r="S2237" s="84">
        <f>IF(ISNUMBER($M2237),ABS($M2237),0)</f>
        <v>0</v>
      </c>
      <c r="T2237" s="85" t="n">
        <v>2229</v>
      </c>
    </row>
    <row r="2238">
      <c r="B2238" s="83" t="n"/>
      <c r="C2238" s="83" t="n"/>
      <c r="D2238" s="83" t="n"/>
      <c r="E2238" s="83" t="n"/>
      <c r="F2238" s="83" t="n"/>
      <c r="G2238" s="83" t="n"/>
      <c r="H2238" s="83" t="n"/>
      <c r="I2238" s="83" t="n"/>
      <c r="J2238" s="83" t="n"/>
      <c r="K2238" s="83" t="n"/>
      <c r="L2238" s="83" t="n"/>
      <c r="M2238" s="83" t="n"/>
      <c r="O2238" s="84" t="str">
        <f>IF($C2238="","",IFERROR(MATCH($B2238&amp;"|"&amp;$C2238,MUROS!$AX$11:$AX$70,0),0))</f>
        <v/>
      </c>
      <c r="P2238" s="84" t="str">
        <f>IF($D2238="","",IF(ISNUMBER(MATCH($D2238,CMB_S,0)),1,IF(ISNUMBER(MATCH($D2238,CMB_G,0)),2,0)))</f>
        <v/>
      </c>
      <c r="Q2238" s="84">
        <f>IF(ISNUMBER($H2238),-$H2238,0)</f>
        <v>0</v>
      </c>
      <c r="R2238" s="84">
        <f>IF(ISNUMBER($I2238),ABS($I2238),0)</f>
        <v>0</v>
      </c>
      <c r="S2238" s="84">
        <f>IF(ISNUMBER($M2238),ABS($M2238),0)</f>
        <v>0</v>
      </c>
      <c r="T2238" s="85" t="n">
        <v>2230</v>
      </c>
    </row>
    <row r="2239">
      <c r="B2239" s="83" t="n"/>
      <c r="C2239" s="83" t="n"/>
      <c r="D2239" s="83" t="n"/>
      <c r="E2239" s="83" t="n"/>
      <c r="F2239" s="83" t="n"/>
      <c r="G2239" s="83" t="n"/>
      <c r="H2239" s="83" t="n"/>
      <c r="I2239" s="83" t="n"/>
      <c r="J2239" s="83" t="n"/>
      <c r="K2239" s="83" t="n"/>
      <c r="L2239" s="83" t="n"/>
      <c r="M2239" s="83" t="n"/>
      <c r="O2239" s="84" t="str">
        <f>IF($C2239="","",IFERROR(MATCH($B2239&amp;"|"&amp;$C2239,MUROS!$AX$11:$AX$70,0),0))</f>
        <v/>
      </c>
      <c r="P2239" s="84" t="str">
        <f>IF($D2239="","",IF(ISNUMBER(MATCH($D2239,CMB_S,0)),1,IF(ISNUMBER(MATCH($D2239,CMB_G,0)),2,0)))</f>
        <v/>
      </c>
      <c r="Q2239" s="84">
        <f>IF(ISNUMBER($H2239),-$H2239,0)</f>
        <v>0</v>
      </c>
      <c r="R2239" s="84">
        <f>IF(ISNUMBER($I2239),ABS($I2239),0)</f>
        <v>0</v>
      </c>
      <c r="S2239" s="84">
        <f>IF(ISNUMBER($M2239),ABS($M2239),0)</f>
        <v>0</v>
      </c>
      <c r="T2239" s="85" t="n">
        <v>2231</v>
      </c>
    </row>
    <row r="2240">
      <c r="B2240" s="83" t="n"/>
      <c r="C2240" s="83" t="n"/>
      <c r="D2240" s="83" t="n"/>
      <c r="E2240" s="83" t="n"/>
      <c r="F2240" s="83" t="n"/>
      <c r="G2240" s="83" t="n"/>
      <c r="H2240" s="83" t="n"/>
      <c r="I2240" s="83" t="n"/>
      <c r="J2240" s="83" t="n"/>
      <c r="K2240" s="83" t="n"/>
      <c r="L2240" s="83" t="n"/>
      <c r="M2240" s="83" t="n"/>
      <c r="O2240" s="84" t="str">
        <f>IF($C2240="","",IFERROR(MATCH($B2240&amp;"|"&amp;$C2240,MUROS!$AX$11:$AX$70,0),0))</f>
        <v/>
      </c>
      <c r="P2240" s="84" t="str">
        <f>IF($D2240="","",IF(ISNUMBER(MATCH($D2240,CMB_S,0)),1,IF(ISNUMBER(MATCH($D2240,CMB_G,0)),2,0)))</f>
        <v/>
      </c>
      <c r="Q2240" s="84">
        <f>IF(ISNUMBER($H2240),-$H2240,0)</f>
        <v>0</v>
      </c>
      <c r="R2240" s="84">
        <f>IF(ISNUMBER($I2240),ABS($I2240),0)</f>
        <v>0</v>
      </c>
      <c r="S2240" s="84">
        <f>IF(ISNUMBER($M2240),ABS($M2240),0)</f>
        <v>0</v>
      </c>
      <c r="T2240" s="85" t="n">
        <v>2232</v>
      </c>
    </row>
    <row r="2241">
      <c r="B2241" s="83" t="n"/>
      <c r="C2241" s="83" t="n"/>
      <c r="D2241" s="83" t="n"/>
      <c r="E2241" s="83" t="n"/>
      <c r="F2241" s="83" t="n"/>
      <c r="G2241" s="83" t="n"/>
      <c r="H2241" s="83" t="n"/>
      <c r="I2241" s="83" t="n"/>
      <c r="J2241" s="83" t="n"/>
      <c r="K2241" s="83" t="n"/>
      <c r="L2241" s="83" t="n"/>
      <c r="M2241" s="83" t="n"/>
      <c r="O2241" s="84" t="str">
        <f>IF($C2241="","",IFERROR(MATCH($B2241&amp;"|"&amp;$C2241,MUROS!$AX$11:$AX$70,0),0))</f>
        <v/>
      </c>
      <c r="P2241" s="84" t="str">
        <f>IF($D2241="","",IF(ISNUMBER(MATCH($D2241,CMB_S,0)),1,IF(ISNUMBER(MATCH($D2241,CMB_G,0)),2,0)))</f>
        <v/>
      </c>
      <c r="Q2241" s="84">
        <f>IF(ISNUMBER($H2241),-$H2241,0)</f>
        <v>0</v>
      </c>
      <c r="R2241" s="84">
        <f>IF(ISNUMBER($I2241),ABS($I2241),0)</f>
        <v>0</v>
      </c>
      <c r="S2241" s="84">
        <f>IF(ISNUMBER($M2241),ABS($M2241),0)</f>
        <v>0</v>
      </c>
      <c r="T2241" s="85" t="n">
        <v>2233</v>
      </c>
    </row>
    <row r="2242">
      <c r="B2242" s="83" t="n"/>
      <c r="C2242" s="83" t="n"/>
      <c r="D2242" s="83" t="n"/>
      <c r="E2242" s="83" t="n"/>
      <c r="F2242" s="83" t="n"/>
      <c r="G2242" s="83" t="n"/>
      <c r="H2242" s="83" t="n"/>
      <c r="I2242" s="83" t="n"/>
      <c r="J2242" s="83" t="n"/>
      <c r="K2242" s="83" t="n"/>
      <c r="L2242" s="83" t="n"/>
      <c r="M2242" s="83" t="n"/>
      <c r="O2242" s="84" t="str">
        <f>IF($C2242="","",IFERROR(MATCH($B2242&amp;"|"&amp;$C2242,MUROS!$AX$11:$AX$70,0),0))</f>
        <v/>
      </c>
      <c r="P2242" s="84" t="str">
        <f>IF($D2242="","",IF(ISNUMBER(MATCH($D2242,CMB_S,0)),1,IF(ISNUMBER(MATCH($D2242,CMB_G,0)),2,0)))</f>
        <v/>
      </c>
      <c r="Q2242" s="84">
        <f>IF(ISNUMBER($H2242),-$H2242,0)</f>
        <v>0</v>
      </c>
      <c r="R2242" s="84">
        <f>IF(ISNUMBER($I2242),ABS($I2242),0)</f>
        <v>0</v>
      </c>
      <c r="S2242" s="84">
        <f>IF(ISNUMBER($M2242),ABS($M2242),0)</f>
        <v>0</v>
      </c>
      <c r="T2242" s="85" t="n">
        <v>2234</v>
      </c>
    </row>
    <row r="2243">
      <c r="B2243" s="83" t="n"/>
      <c r="C2243" s="83" t="n"/>
      <c r="D2243" s="83" t="n"/>
      <c r="E2243" s="83" t="n"/>
      <c r="F2243" s="83" t="n"/>
      <c r="G2243" s="83" t="n"/>
      <c r="H2243" s="83" t="n"/>
      <c r="I2243" s="83" t="n"/>
      <c r="J2243" s="83" t="n"/>
      <c r="K2243" s="83" t="n"/>
      <c r="L2243" s="83" t="n"/>
      <c r="M2243" s="83" t="n"/>
      <c r="O2243" s="84" t="str">
        <f>IF($C2243="","",IFERROR(MATCH($B2243&amp;"|"&amp;$C2243,MUROS!$AX$11:$AX$70,0),0))</f>
        <v/>
      </c>
      <c r="P2243" s="84" t="str">
        <f>IF($D2243="","",IF(ISNUMBER(MATCH($D2243,CMB_S,0)),1,IF(ISNUMBER(MATCH($D2243,CMB_G,0)),2,0)))</f>
        <v/>
      </c>
      <c r="Q2243" s="84">
        <f>IF(ISNUMBER($H2243),-$H2243,0)</f>
        <v>0</v>
      </c>
      <c r="R2243" s="84">
        <f>IF(ISNUMBER($I2243),ABS($I2243),0)</f>
        <v>0</v>
      </c>
      <c r="S2243" s="84">
        <f>IF(ISNUMBER($M2243),ABS($M2243),0)</f>
        <v>0</v>
      </c>
      <c r="T2243" s="85" t="n">
        <v>2235</v>
      </c>
    </row>
    <row r="2244">
      <c r="B2244" s="83" t="n"/>
      <c r="C2244" s="83" t="n"/>
      <c r="D2244" s="83" t="n"/>
      <c r="E2244" s="83" t="n"/>
      <c r="F2244" s="83" t="n"/>
      <c r="G2244" s="83" t="n"/>
      <c r="H2244" s="83" t="n"/>
      <c r="I2244" s="83" t="n"/>
      <c r="J2244" s="83" t="n"/>
      <c r="K2244" s="83" t="n"/>
      <c r="L2244" s="83" t="n"/>
      <c r="M2244" s="83" t="n"/>
      <c r="O2244" s="84" t="str">
        <f>IF($C2244="","",IFERROR(MATCH($B2244&amp;"|"&amp;$C2244,MUROS!$AX$11:$AX$70,0),0))</f>
        <v/>
      </c>
      <c r="P2244" s="84" t="str">
        <f>IF($D2244="","",IF(ISNUMBER(MATCH($D2244,CMB_S,0)),1,IF(ISNUMBER(MATCH($D2244,CMB_G,0)),2,0)))</f>
        <v/>
      </c>
      <c r="Q2244" s="84">
        <f>IF(ISNUMBER($H2244),-$H2244,0)</f>
        <v>0</v>
      </c>
      <c r="R2244" s="84">
        <f>IF(ISNUMBER($I2244),ABS($I2244),0)</f>
        <v>0</v>
      </c>
      <c r="S2244" s="84">
        <f>IF(ISNUMBER($M2244),ABS($M2244),0)</f>
        <v>0</v>
      </c>
      <c r="T2244" s="85" t="n">
        <v>2236</v>
      </c>
    </row>
    <row r="2245">
      <c r="B2245" s="83" t="n"/>
      <c r="C2245" s="83" t="n"/>
      <c r="D2245" s="83" t="n"/>
      <c r="E2245" s="83" t="n"/>
      <c r="F2245" s="83" t="n"/>
      <c r="G2245" s="83" t="n"/>
      <c r="H2245" s="83" t="n"/>
      <c r="I2245" s="83" t="n"/>
      <c r="J2245" s="83" t="n"/>
      <c r="K2245" s="83" t="n"/>
      <c r="L2245" s="83" t="n"/>
      <c r="M2245" s="83" t="n"/>
      <c r="O2245" s="84" t="str">
        <f>IF($C2245="","",IFERROR(MATCH($B2245&amp;"|"&amp;$C2245,MUROS!$AX$11:$AX$70,0),0))</f>
        <v/>
      </c>
      <c r="P2245" s="84" t="str">
        <f>IF($D2245="","",IF(ISNUMBER(MATCH($D2245,CMB_S,0)),1,IF(ISNUMBER(MATCH($D2245,CMB_G,0)),2,0)))</f>
        <v/>
      </c>
      <c r="Q2245" s="84">
        <f>IF(ISNUMBER($H2245),-$H2245,0)</f>
        <v>0</v>
      </c>
      <c r="R2245" s="84">
        <f>IF(ISNUMBER($I2245),ABS($I2245),0)</f>
        <v>0</v>
      </c>
      <c r="S2245" s="84">
        <f>IF(ISNUMBER($M2245),ABS($M2245),0)</f>
        <v>0</v>
      </c>
      <c r="T2245" s="85" t="n">
        <v>2237</v>
      </c>
    </row>
    <row r="2246">
      <c r="B2246" s="83" t="n"/>
      <c r="C2246" s="83" t="n"/>
      <c r="D2246" s="83" t="n"/>
      <c r="E2246" s="83" t="n"/>
      <c r="F2246" s="83" t="n"/>
      <c r="G2246" s="83" t="n"/>
      <c r="H2246" s="83" t="n"/>
      <c r="I2246" s="83" t="n"/>
      <c r="J2246" s="83" t="n"/>
      <c r="K2246" s="83" t="n"/>
      <c r="L2246" s="83" t="n"/>
      <c r="M2246" s="83" t="n"/>
      <c r="O2246" s="84" t="str">
        <f>IF($C2246="","",IFERROR(MATCH($B2246&amp;"|"&amp;$C2246,MUROS!$AX$11:$AX$70,0),0))</f>
        <v/>
      </c>
      <c r="P2246" s="84" t="str">
        <f>IF($D2246="","",IF(ISNUMBER(MATCH($D2246,CMB_S,0)),1,IF(ISNUMBER(MATCH($D2246,CMB_G,0)),2,0)))</f>
        <v/>
      </c>
      <c r="Q2246" s="84">
        <f>IF(ISNUMBER($H2246),-$H2246,0)</f>
        <v>0</v>
      </c>
      <c r="R2246" s="84">
        <f>IF(ISNUMBER($I2246),ABS($I2246),0)</f>
        <v>0</v>
      </c>
      <c r="S2246" s="84">
        <f>IF(ISNUMBER($M2246),ABS($M2246),0)</f>
        <v>0</v>
      </c>
      <c r="T2246" s="85" t="n">
        <v>2238</v>
      </c>
    </row>
    <row r="2247">
      <c r="B2247" s="83" t="n"/>
      <c r="C2247" s="83" t="n"/>
      <c r="D2247" s="83" t="n"/>
      <c r="E2247" s="83" t="n"/>
      <c r="F2247" s="83" t="n"/>
      <c r="G2247" s="83" t="n"/>
      <c r="H2247" s="83" t="n"/>
      <c r="I2247" s="83" t="n"/>
      <c r="J2247" s="83" t="n"/>
      <c r="K2247" s="83" t="n"/>
      <c r="L2247" s="83" t="n"/>
      <c r="M2247" s="83" t="n"/>
      <c r="O2247" s="84" t="str">
        <f>IF($C2247="","",IFERROR(MATCH($B2247&amp;"|"&amp;$C2247,MUROS!$AX$11:$AX$70,0),0))</f>
        <v/>
      </c>
      <c r="P2247" s="84" t="str">
        <f>IF($D2247="","",IF(ISNUMBER(MATCH($D2247,CMB_S,0)),1,IF(ISNUMBER(MATCH($D2247,CMB_G,0)),2,0)))</f>
        <v/>
      </c>
      <c r="Q2247" s="84">
        <f>IF(ISNUMBER($H2247),-$H2247,0)</f>
        <v>0</v>
      </c>
      <c r="R2247" s="84">
        <f>IF(ISNUMBER($I2247),ABS($I2247),0)</f>
        <v>0</v>
      </c>
      <c r="S2247" s="84">
        <f>IF(ISNUMBER($M2247),ABS($M2247),0)</f>
        <v>0</v>
      </c>
      <c r="T2247" s="85" t="n">
        <v>2239</v>
      </c>
    </row>
    <row r="2248">
      <c r="B2248" s="83" t="n"/>
      <c r="C2248" s="83" t="n"/>
      <c r="D2248" s="83" t="n"/>
      <c r="E2248" s="83" t="n"/>
      <c r="F2248" s="83" t="n"/>
      <c r="G2248" s="83" t="n"/>
      <c r="H2248" s="83" t="n"/>
      <c r="I2248" s="83" t="n"/>
      <c r="J2248" s="83" t="n"/>
      <c r="K2248" s="83" t="n"/>
      <c r="L2248" s="83" t="n"/>
      <c r="M2248" s="83" t="n"/>
      <c r="O2248" s="84" t="str">
        <f>IF($C2248="","",IFERROR(MATCH($B2248&amp;"|"&amp;$C2248,MUROS!$AX$11:$AX$70,0),0))</f>
        <v/>
      </c>
      <c r="P2248" s="84" t="str">
        <f>IF($D2248="","",IF(ISNUMBER(MATCH($D2248,CMB_S,0)),1,IF(ISNUMBER(MATCH($D2248,CMB_G,0)),2,0)))</f>
        <v/>
      </c>
      <c r="Q2248" s="84">
        <f>IF(ISNUMBER($H2248),-$H2248,0)</f>
        <v>0</v>
      </c>
      <c r="R2248" s="84">
        <f>IF(ISNUMBER($I2248),ABS($I2248),0)</f>
        <v>0</v>
      </c>
      <c r="S2248" s="84">
        <f>IF(ISNUMBER($M2248),ABS($M2248),0)</f>
        <v>0</v>
      </c>
      <c r="T2248" s="85" t="n">
        <v>2240</v>
      </c>
    </row>
    <row r="2249">
      <c r="B2249" s="83" t="n"/>
      <c r="C2249" s="83" t="n"/>
      <c r="D2249" s="83" t="n"/>
      <c r="E2249" s="83" t="n"/>
      <c r="F2249" s="83" t="n"/>
      <c r="G2249" s="83" t="n"/>
      <c r="H2249" s="83" t="n"/>
      <c r="I2249" s="83" t="n"/>
      <c r="J2249" s="83" t="n"/>
      <c r="K2249" s="83" t="n"/>
      <c r="L2249" s="83" t="n"/>
      <c r="M2249" s="83" t="n"/>
      <c r="O2249" s="84" t="str">
        <f>IF($C2249="","",IFERROR(MATCH($B2249&amp;"|"&amp;$C2249,MUROS!$AX$11:$AX$70,0),0))</f>
        <v/>
      </c>
      <c r="P2249" s="84" t="str">
        <f>IF($D2249="","",IF(ISNUMBER(MATCH($D2249,CMB_S,0)),1,IF(ISNUMBER(MATCH($D2249,CMB_G,0)),2,0)))</f>
        <v/>
      </c>
      <c r="Q2249" s="84">
        <f>IF(ISNUMBER($H2249),-$H2249,0)</f>
        <v>0</v>
      </c>
      <c r="R2249" s="84">
        <f>IF(ISNUMBER($I2249),ABS($I2249),0)</f>
        <v>0</v>
      </c>
      <c r="S2249" s="84">
        <f>IF(ISNUMBER($M2249),ABS($M2249),0)</f>
        <v>0</v>
      </c>
      <c r="T2249" s="85" t="n">
        <v>2241</v>
      </c>
    </row>
    <row r="2250">
      <c r="B2250" s="83" t="n"/>
      <c r="C2250" s="83" t="n"/>
      <c r="D2250" s="83" t="n"/>
      <c r="E2250" s="83" t="n"/>
      <c r="F2250" s="83" t="n"/>
      <c r="G2250" s="83" t="n"/>
      <c r="H2250" s="83" t="n"/>
      <c r="I2250" s="83" t="n"/>
      <c r="J2250" s="83" t="n"/>
      <c r="K2250" s="83" t="n"/>
      <c r="L2250" s="83" t="n"/>
      <c r="M2250" s="83" t="n"/>
      <c r="O2250" s="84" t="str">
        <f>IF($C2250="","",IFERROR(MATCH($B2250&amp;"|"&amp;$C2250,MUROS!$AX$11:$AX$70,0),0))</f>
        <v/>
      </c>
      <c r="P2250" s="84" t="str">
        <f>IF($D2250="","",IF(ISNUMBER(MATCH($D2250,CMB_S,0)),1,IF(ISNUMBER(MATCH($D2250,CMB_G,0)),2,0)))</f>
        <v/>
      </c>
      <c r="Q2250" s="84">
        <f>IF(ISNUMBER($H2250),-$H2250,0)</f>
        <v>0</v>
      </c>
      <c r="R2250" s="84">
        <f>IF(ISNUMBER($I2250),ABS($I2250),0)</f>
        <v>0</v>
      </c>
      <c r="S2250" s="84">
        <f>IF(ISNUMBER($M2250),ABS($M2250),0)</f>
        <v>0</v>
      </c>
      <c r="T2250" s="85" t="n">
        <v>2242</v>
      </c>
    </row>
    <row r="2251">
      <c r="B2251" s="83" t="n"/>
      <c r="C2251" s="83" t="n"/>
      <c r="D2251" s="83" t="n"/>
      <c r="E2251" s="83" t="n"/>
      <c r="F2251" s="83" t="n"/>
      <c r="G2251" s="83" t="n"/>
      <c r="H2251" s="83" t="n"/>
      <c r="I2251" s="83" t="n"/>
      <c r="J2251" s="83" t="n"/>
      <c r="K2251" s="83" t="n"/>
      <c r="L2251" s="83" t="n"/>
      <c r="M2251" s="83" t="n"/>
      <c r="O2251" s="84" t="str">
        <f>IF($C2251="","",IFERROR(MATCH($B2251&amp;"|"&amp;$C2251,MUROS!$AX$11:$AX$70,0),0))</f>
        <v/>
      </c>
      <c r="P2251" s="84" t="str">
        <f>IF($D2251="","",IF(ISNUMBER(MATCH($D2251,CMB_S,0)),1,IF(ISNUMBER(MATCH($D2251,CMB_G,0)),2,0)))</f>
        <v/>
      </c>
      <c r="Q2251" s="84">
        <f>IF(ISNUMBER($H2251),-$H2251,0)</f>
        <v>0</v>
      </c>
      <c r="R2251" s="84">
        <f>IF(ISNUMBER($I2251),ABS($I2251),0)</f>
        <v>0</v>
      </c>
      <c r="S2251" s="84">
        <f>IF(ISNUMBER($M2251),ABS($M2251),0)</f>
        <v>0</v>
      </c>
      <c r="T2251" s="85" t="n">
        <v>2243</v>
      </c>
    </row>
    <row r="2252">
      <c r="B2252" s="83" t="n"/>
      <c r="C2252" s="83" t="n"/>
      <c r="D2252" s="83" t="n"/>
      <c r="E2252" s="83" t="n"/>
      <c r="F2252" s="83" t="n"/>
      <c r="G2252" s="83" t="n"/>
      <c r="H2252" s="83" t="n"/>
      <c r="I2252" s="83" t="n"/>
      <c r="J2252" s="83" t="n"/>
      <c r="K2252" s="83" t="n"/>
      <c r="L2252" s="83" t="n"/>
      <c r="M2252" s="83" t="n"/>
      <c r="O2252" s="84" t="str">
        <f>IF($C2252="","",IFERROR(MATCH($B2252&amp;"|"&amp;$C2252,MUROS!$AX$11:$AX$70,0),0))</f>
        <v/>
      </c>
      <c r="P2252" s="84" t="str">
        <f>IF($D2252="","",IF(ISNUMBER(MATCH($D2252,CMB_S,0)),1,IF(ISNUMBER(MATCH($D2252,CMB_G,0)),2,0)))</f>
        <v/>
      </c>
      <c r="Q2252" s="84">
        <f>IF(ISNUMBER($H2252),-$H2252,0)</f>
        <v>0</v>
      </c>
      <c r="R2252" s="84">
        <f>IF(ISNUMBER($I2252),ABS($I2252),0)</f>
        <v>0</v>
      </c>
      <c r="S2252" s="84">
        <f>IF(ISNUMBER($M2252),ABS($M2252),0)</f>
        <v>0</v>
      </c>
      <c r="T2252" s="85" t="n">
        <v>2244</v>
      </c>
    </row>
    <row r="2253">
      <c r="B2253" s="83" t="n"/>
      <c r="C2253" s="83" t="n"/>
      <c r="D2253" s="83" t="n"/>
      <c r="E2253" s="83" t="n"/>
      <c r="F2253" s="83" t="n"/>
      <c r="G2253" s="83" t="n"/>
      <c r="H2253" s="83" t="n"/>
      <c r="I2253" s="83" t="n"/>
      <c r="J2253" s="83" t="n"/>
      <c r="K2253" s="83" t="n"/>
      <c r="L2253" s="83" t="n"/>
      <c r="M2253" s="83" t="n"/>
      <c r="O2253" s="84" t="str">
        <f>IF($C2253="","",IFERROR(MATCH($B2253&amp;"|"&amp;$C2253,MUROS!$AX$11:$AX$70,0),0))</f>
        <v/>
      </c>
      <c r="P2253" s="84" t="str">
        <f>IF($D2253="","",IF(ISNUMBER(MATCH($D2253,CMB_S,0)),1,IF(ISNUMBER(MATCH($D2253,CMB_G,0)),2,0)))</f>
        <v/>
      </c>
      <c r="Q2253" s="84">
        <f>IF(ISNUMBER($H2253),-$H2253,0)</f>
        <v>0</v>
      </c>
      <c r="R2253" s="84">
        <f>IF(ISNUMBER($I2253),ABS($I2253),0)</f>
        <v>0</v>
      </c>
      <c r="S2253" s="84">
        <f>IF(ISNUMBER($M2253),ABS($M2253),0)</f>
        <v>0</v>
      </c>
      <c r="T2253" s="85" t="n">
        <v>2245</v>
      </c>
    </row>
    <row r="2254">
      <c r="B2254" s="83" t="n"/>
      <c r="C2254" s="83" t="n"/>
      <c r="D2254" s="83" t="n"/>
      <c r="E2254" s="83" t="n"/>
      <c r="F2254" s="83" t="n"/>
      <c r="G2254" s="83" t="n"/>
      <c r="H2254" s="83" t="n"/>
      <c r="I2254" s="83" t="n"/>
      <c r="J2254" s="83" t="n"/>
      <c r="K2254" s="83" t="n"/>
      <c r="L2254" s="83" t="n"/>
      <c r="M2254" s="83" t="n"/>
      <c r="O2254" s="84" t="str">
        <f>IF($C2254="","",IFERROR(MATCH($B2254&amp;"|"&amp;$C2254,MUROS!$AX$11:$AX$70,0),0))</f>
        <v/>
      </c>
      <c r="P2254" s="84" t="str">
        <f>IF($D2254="","",IF(ISNUMBER(MATCH($D2254,CMB_S,0)),1,IF(ISNUMBER(MATCH($D2254,CMB_G,0)),2,0)))</f>
        <v/>
      </c>
      <c r="Q2254" s="84">
        <f>IF(ISNUMBER($H2254),-$H2254,0)</f>
        <v>0</v>
      </c>
      <c r="R2254" s="84">
        <f>IF(ISNUMBER($I2254),ABS($I2254),0)</f>
        <v>0</v>
      </c>
      <c r="S2254" s="84">
        <f>IF(ISNUMBER($M2254),ABS($M2254),0)</f>
        <v>0</v>
      </c>
      <c r="T2254" s="85" t="n">
        <v>2246</v>
      </c>
    </row>
    <row r="2255">
      <c r="B2255" s="83" t="n"/>
      <c r="C2255" s="83" t="n"/>
      <c r="D2255" s="83" t="n"/>
      <c r="E2255" s="83" t="n"/>
      <c r="F2255" s="83" t="n"/>
      <c r="G2255" s="83" t="n"/>
      <c r="H2255" s="83" t="n"/>
      <c r="I2255" s="83" t="n"/>
      <c r="J2255" s="83" t="n"/>
      <c r="K2255" s="83" t="n"/>
      <c r="L2255" s="83" t="n"/>
      <c r="M2255" s="83" t="n"/>
      <c r="O2255" s="84" t="str">
        <f>IF($C2255="","",IFERROR(MATCH($B2255&amp;"|"&amp;$C2255,MUROS!$AX$11:$AX$70,0),0))</f>
        <v/>
      </c>
      <c r="P2255" s="84" t="str">
        <f>IF($D2255="","",IF(ISNUMBER(MATCH($D2255,CMB_S,0)),1,IF(ISNUMBER(MATCH($D2255,CMB_G,0)),2,0)))</f>
        <v/>
      </c>
      <c r="Q2255" s="84">
        <f>IF(ISNUMBER($H2255),-$H2255,0)</f>
        <v>0</v>
      </c>
      <c r="R2255" s="84">
        <f>IF(ISNUMBER($I2255),ABS($I2255),0)</f>
        <v>0</v>
      </c>
      <c r="S2255" s="84">
        <f>IF(ISNUMBER($M2255),ABS($M2255),0)</f>
        <v>0</v>
      </c>
      <c r="T2255" s="85" t="n">
        <v>2247</v>
      </c>
    </row>
    <row r="2256">
      <c r="B2256" s="83" t="n"/>
      <c r="C2256" s="83" t="n"/>
      <c r="D2256" s="83" t="n"/>
      <c r="E2256" s="83" t="n"/>
      <c r="F2256" s="83" t="n"/>
      <c r="G2256" s="83" t="n"/>
      <c r="H2256" s="83" t="n"/>
      <c r="I2256" s="83" t="n"/>
      <c r="J2256" s="83" t="n"/>
      <c r="K2256" s="83" t="n"/>
      <c r="L2256" s="83" t="n"/>
      <c r="M2256" s="83" t="n"/>
      <c r="O2256" s="84" t="str">
        <f>IF($C2256="","",IFERROR(MATCH($B2256&amp;"|"&amp;$C2256,MUROS!$AX$11:$AX$70,0),0))</f>
        <v/>
      </c>
      <c r="P2256" s="84" t="str">
        <f>IF($D2256="","",IF(ISNUMBER(MATCH($D2256,CMB_S,0)),1,IF(ISNUMBER(MATCH($D2256,CMB_G,0)),2,0)))</f>
        <v/>
      </c>
      <c r="Q2256" s="84">
        <f>IF(ISNUMBER($H2256),-$H2256,0)</f>
        <v>0</v>
      </c>
      <c r="R2256" s="84">
        <f>IF(ISNUMBER($I2256),ABS($I2256),0)</f>
        <v>0</v>
      </c>
      <c r="S2256" s="84">
        <f>IF(ISNUMBER($M2256),ABS($M2256),0)</f>
        <v>0</v>
      </c>
      <c r="T2256" s="85" t="n">
        <v>2248</v>
      </c>
    </row>
    <row r="2257">
      <c r="B2257" s="83" t="n"/>
      <c r="C2257" s="83" t="n"/>
      <c r="D2257" s="83" t="n"/>
      <c r="E2257" s="83" t="n"/>
      <c r="F2257" s="83" t="n"/>
      <c r="G2257" s="83" t="n"/>
      <c r="H2257" s="83" t="n"/>
      <c r="I2257" s="83" t="n"/>
      <c r="J2257" s="83" t="n"/>
      <c r="K2257" s="83" t="n"/>
      <c r="L2257" s="83" t="n"/>
      <c r="M2257" s="83" t="n"/>
      <c r="O2257" s="84" t="str">
        <f>IF($C2257="","",IFERROR(MATCH($B2257&amp;"|"&amp;$C2257,MUROS!$AX$11:$AX$70,0),0))</f>
        <v/>
      </c>
      <c r="P2257" s="84" t="str">
        <f>IF($D2257="","",IF(ISNUMBER(MATCH($D2257,CMB_S,0)),1,IF(ISNUMBER(MATCH($D2257,CMB_G,0)),2,0)))</f>
        <v/>
      </c>
      <c r="Q2257" s="84">
        <f>IF(ISNUMBER($H2257),-$H2257,0)</f>
        <v>0</v>
      </c>
      <c r="R2257" s="84">
        <f>IF(ISNUMBER($I2257),ABS($I2257),0)</f>
        <v>0</v>
      </c>
      <c r="S2257" s="84">
        <f>IF(ISNUMBER($M2257),ABS($M2257),0)</f>
        <v>0</v>
      </c>
      <c r="T2257" s="85" t="n">
        <v>2249</v>
      </c>
    </row>
    <row r="2258">
      <c r="B2258" s="83" t="n"/>
      <c r="C2258" s="83" t="n"/>
      <c r="D2258" s="83" t="n"/>
      <c r="E2258" s="83" t="n"/>
      <c r="F2258" s="83" t="n"/>
      <c r="G2258" s="83" t="n"/>
      <c r="H2258" s="83" t="n"/>
      <c r="I2258" s="83" t="n"/>
      <c r="J2258" s="83" t="n"/>
      <c r="K2258" s="83" t="n"/>
      <c r="L2258" s="83" t="n"/>
      <c r="M2258" s="83" t="n"/>
      <c r="O2258" s="84" t="str">
        <f>IF($C2258="","",IFERROR(MATCH($B2258&amp;"|"&amp;$C2258,MUROS!$AX$11:$AX$70,0),0))</f>
        <v/>
      </c>
      <c r="P2258" s="84" t="str">
        <f>IF($D2258="","",IF(ISNUMBER(MATCH($D2258,CMB_S,0)),1,IF(ISNUMBER(MATCH($D2258,CMB_G,0)),2,0)))</f>
        <v/>
      </c>
      <c r="Q2258" s="84">
        <f>IF(ISNUMBER($H2258),-$H2258,0)</f>
        <v>0</v>
      </c>
      <c r="R2258" s="84">
        <f>IF(ISNUMBER($I2258),ABS($I2258),0)</f>
        <v>0</v>
      </c>
      <c r="S2258" s="84">
        <f>IF(ISNUMBER($M2258),ABS($M2258),0)</f>
        <v>0</v>
      </c>
      <c r="T2258" s="85" t="n">
        <v>2250</v>
      </c>
    </row>
    <row r="2259">
      <c r="B2259" s="83" t="n"/>
      <c r="C2259" s="83" t="n"/>
      <c r="D2259" s="83" t="n"/>
      <c r="E2259" s="83" t="n"/>
      <c r="F2259" s="83" t="n"/>
      <c r="G2259" s="83" t="n"/>
      <c r="H2259" s="83" t="n"/>
      <c r="I2259" s="83" t="n"/>
      <c r="J2259" s="83" t="n"/>
      <c r="K2259" s="83" t="n"/>
      <c r="L2259" s="83" t="n"/>
      <c r="M2259" s="83" t="n"/>
      <c r="O2259" s="84" t="str">
        <f>IF($C2259="","",IFERROR(MATCH($B2259&amp;"|"&amp;$C2259,MUROS!$AX$11:$AX$70,0),0))</f>
        <v/>
      </c>
      <c r="P2259" s="84" t="str">
        <f>IF($D2259="","",IF(ISNUMBER(MATCH($D2259,CMB_S,0)),1,IF(ISNUMBER(MATCH($D2259,CMB_G,0)),2,0)))</f>
        <v/>
      </c>
      <c r="Q2259" s="84">
        <f>IF(ISNUMBER($H2259),-$H2259,0)</f>
        <v>0</v>
      </c>
      <c r="R2259" s="84">
        <f>IF(ISNUMBER($I2259),ABS($I2259),0)</f>
        <v>0</v>
      </c>
      <c r="S2259" s="84">
        <f>IF(ISNUMBER($M2259),ABS($M2259),0)</f>
        <v>0</v>
      </c>
      <c r="T2259" s="85" t="n">
        <v>2251</v>
      </c>
    </row>
    <row r="2260">
      <c r="B2260" s="83" t="n"/>
      <c r="C2260" s="83" t="n"/>
      <c r="D2260" s="83" t="n"/>
      <c r="E2260" s="83" t="n"/>
      <c r="F2260" s="83" t="n"/>
      <c r="G2260" s="83" t="n"/>
      <c r="H2260" s="83" t="n"/>
      <c r="I2260" s="83" t="n"/>
      <c r="J2260" s="83" t="n"/>
      <c r="K2260" s="83" t="n"/>
      <c r="L2260" s="83" t="n"/>
      <c r="M2260" s="83" t="n"/>
      <c r="O2260" s="84" t="str">
        <f>IF($C2260="","",IFERROR(MATCH($B2260&amp;"|"&amp;$C2260,MUROS!$AX$11:$AX$70,0),0))</f>
        <v/>
      </c>
      <c r="P2260" s="84" t="str">
        <f>IF($D2260="","",IF(ISNUMBER(MATCH($D2260,CMB_S,0)),1,IF(ISNUMBER(MATCH($D2260,CMB_G,0)),2,0)))</f>
        <v/>
      </c>
      <c r="Q2260" s="84">
        <f>IF(ISNUMBER($H2260),-$H2260,0)</f>
        <v>0</v>
      </c>
      <c r="R2260" s="84">
        <f>IF(ISNUMBER($I2260),ABS($I2260),0)</f>
        <v>0</v>
      </c>
      <c r="S2260" s="84">
        <f>IF(ISNUMBER($M2260),ABS($M2260),0)</f>
        <v>0</v>
      </c>
      <c r="T2260" s="85" t="n">
        <v>2252</v>
      </c>
    </row>
    <row r="2261">
      <c r="B2261" s="83" t="n"/>
      <c r="C2261" s="83" t="n"/>
      <c r="D2261" s="83" t="n"/>
      <c r="E2261" s="83" t="n"/>
      <c r="F2261" s="83" t="n"/>
      <c r="G2261" s="83" t="n"/>
      <c r="H2261" s="83" t="n"/>
      <c r="I2261" s="83" t="n"/>
      <c r="J2261" s="83" t="n"/>
      <c r="K2261" s="83" t="n"/>
      <c r="L2261" s="83" t="n"/>
      <c r="M2261" s="83" t="n"/>
      <c r="O2261" s="84" t="str">
        <f>IF($C2261="","",IFERROR(MATCH($B2261&amp;"|"&amp;$C2261,MUROS!$AX$11:$AX$70,0),0))</f>
        <v/>
      </c>
      <c r="P2261" s="84" t="str">
        <f>IF($D2261="","",IF(ISNUMBER(MATCH($D2261,CMB_S,0)),1,IF(ISNUMBER(MATCH($D2261,CMB_G,0)),2,0)))</f>
        <v/>
      </c>
      <c r="Q2261" s="84">
        <f>IF(ISNUMBER($H2261),-$H2261,0)</f>
        <v>0</v>
      </c>
      <c r="R2261" s="84">
        <f>IF(ISNUMBER($I2261),ABS($I2261),0)</f>
        <v>0</v>
      </c>
      <c r="S2261" s="84">
        <f>IF(ISNUMBER($M2261),ABS($M2261),0)</f>
        <v>0</v>
      </c>
      <c r="T2261" s="85" t="n">
        <v>2253</v>
      </c>
    </row>
    <row r="2262">
      <c r="B2262" s="83" t="n"/>
      <c r="C2262" s="83" t="n"/>
      <c r="D2262" s="83" t="n"/>
      <c r="E2262" s="83" t="n"/>
      <c r="F2262" s="83" t="n"/>
      <c r="G2262" s="83" t="n"/>
      <c r="H2262" s="83" t="n"/>
      <c r="I2262" s="83" t="n"/>
      <c r="J2262" s="83" t="n"/>
      <c r="K2262" s="83" t="n"/>
      <c r="L2262" s="83" t="n"/>
      <c r="M2262" s="83" t="n"/>
      <c r="O2262" s="84" t="str">
        <f>IF($C2262="","",IFERROR(MATCH($B2262&amp;"|"&amp;$C2262,MUROS!$AX$11:$AX$70,0),0))</f>
        <v/>
      </c>
      <c r="P2262" s="84" t="str">
        <f>IF($D2262="","",IF(ISNUMBER(MATCH($D2262,CMB_S,0)),1,IF(ISNUMBER(MATCH($D2262,CMB_G,0)),2,0)))</f>
        <v/>
      </c>
      <c r="Q2262" s="84">
        <f>IF(ISNUMBER($H2262),-$H2262,0)</f>
        <v>0</v>
      </c>
      <c r="R2262" s="84">
        <f>IF(ISNUMBER($I2262),ABS($I2262),0)</f>
        <v>0</v>
      </c>
      <c r="S2262" s="84">
        <f>IF(ISNUMBER($M2262),ABS($M2262),0)</f>
        <v>0</v>
      </c>
      <c r="T2262" s="85" t="n">
        <v>2254</v>
      </c>
    </row>
    <row r="2263">
      <c r="B2263" s="83" t="n"/>
      <c r="C2263" s="83" t="n"/>
      <c r="D2263" s="83" t="n"/>
      <c r="E2263" s="83" t="n"/>
      <c r="F2263" s="83" t="n"/>
      <c r="G2263" s="83" t="n"/>
      <c r="H2263" s="83" t="n"/>
      <c r="I2263" s="83" t="n"/>
      <c r="J2263" s="83" t="n"/>
      <c r="K2263" s="83" t="n"/>
      <c r="L2263" s="83" t="n"/>
      <c r="M2263" s="83" t="n"/>
      <c r="O2263" s="84" t="str">
        <f>IF($C2263="","",IFERROR(MATCH($B2263&amp;"|"&amp;$C2263,MUROS!$AX$11:$AX$70,0),0))</f>
        <v/>
      </c>
      <c r="P2263" s="84" t="str">
        <f>IF($D2263="","",IF(ISNUMBER(MATCH($D2263,CMB_S,0)),1,IF(ISNUMBER(MATCH($D2263,CMB_G,0)),2,0)))</f>
        <v/>
      </c>
      <c r="Q2263" s="84">
        <f>IF(ISNUMBER($H2263),-$H2263,0)</f>
        <v>0</v>
      </c>
      <c r="R2263" s="84">
        <f>IF(ISNUMBER($I2263),ABS($I2263),0)</f>
        <v>0</v>
      </c>
      <c r="S2263" s="84">
        <f>IF(ISNUMBER($M2263),ABS($M2263),0)</f>
        <v>0</v>
      </c>
      <c r="T2263" s="85" t="n">
        <v>2255</v>
      </c>
    </row>
    <row r="2264">
      <c r="B2264" s="83" t="n"/>
      <c r="C2264" s="83" t="n"/>
      <c r="D2264" s="83" t="n"/>
      <c r="E2264" s="83" t="n"/>
      <c r="F2264" s="83" t="n"/>
      <c r="G2264" s="83" t="n"/>
      <c r="H2264" s="83" t="n"/>
      <c r="I2264" s="83" t="n"/>
      <c r="J2264" s="83" t="n"/>
      <c r="K2264" s="83" t="n"/>
      <c r="L2264" s="83" t="n"/>
      <c r="M2264" s="83" t="n"/>
      <c r="O2264" s="84" t="str">
        <f>IF($C2264="","",IFERROR(MATCH($B2264&amp;"|"&amp;$C2264,MUROS!$AX$11:$AX$70,0),0))</f>
        <v/>
      </c>
      <c r="P2264" s="84" t="str">
        <f>IF($D2264="","",IF(ISNUMBER(MATCH($D2264,CMB_S,0)),1,IF(ISNUMBER(MATCH($D2264,CMB_G,0)),2,0)))</f>
        <v/>
      </c>
      <c r="Q2264" s="84">
        <f>IF(ISNUMBER($H2264),-$H2264,0)</f>
        <v>0</v>
      </c>
      <c r="R2264" s="84">
        <f>IF(ISNUMBER($I2264),ABS($I2264),0)</f>
        <v>0</v>
      </c>
      <c r="S2264" s="84">
        <f>IF(ISNUMBER($M2264),ABS($M2264),0)</f>
        <v>0</v>
      </c>
      <c r="T2264" s="85" t="n">
        <v>2256</v>
      </c>
    </row>
    <row r="2265">
      <c r="B2265" s="83" t="n"/>
      <c r="C2265" s="83" t="n"/>
      <c r="D2265" s="83" t="n"/>
      <c r="E2265" s="83" t="n"/>
      <c r="F2265" s="83" t="n"/>
      <c r="G2265" s="83" t="n"/>
      <c r="H2265" s="83" t="n"/>
      <c r="I2265" s="83" t="n"/>
      <c r="J2265" s="83" t="n"/>
      <c r="K2265" s="83" t="n"/>
      <c r="L2265" s="83" t="n"/>
      <c r="M2265" s="83" t="n"/>
      <c r="O2265" s="84" t="str">
        <f>IF($C2265="","",IFERROR(MATCH($B2265&amp;"|"&amp;$C2265,MUROS!$AX$11:$AX$70,0),0))</f>
        <v/>
      </c>
      <c r="P2265" s="84" t="str">
        <f>IF($D2265="","",IF(ISNUMBER(MATCH($D2265,CMB_S,0)),1,IF(ISNUMBER(MATCH($D2265,CMB_G,0)),2,0)))</f>
        <v/>
      </c>
      <c r="Q2265" s="84">
        <f>IF(ISNUMBER($H2265),-$H2265,0)</f>
        <v>0</v>
      </c>
      <c r="R2265" s="84">
        <f>IF(ISNUMBER($I2265),ABS($I2265),0)</f>
        <v>0</v>
      </c>
      <c r="S2265" s="84">
        <f>IF(ISNUMBER($M2265),ABS($M2265),0)</f>
        <v>0</v>
      </c>
      <c r="T2265" s="85" t="n">
        <v>2257</v>
      </c>
    </row>
    <row r="2266">
      <c r="B2266" s="83" t="n"/>
      <c r="C2266" s="83" t="n"/>
      <c r="D2266" s="83" t="n"/>
      <c r="E2266" s="83" t="n"/>
      <c r="F2266" s="83" t="n"/>
      <c r="G2266" s="83" t="n"/>
      <c r="H2266" s="83" t="n"/>
      <c r="I2266" s="83" t="n"/>
      <c r="J2266" s="83" t="n"/>
      <c r="K2266" s="83" t="n"/>
      <c r="L2266" s="83" t="n"/>
      <c r="M2266" s="83" t="n"/>
      <c r="O2266" s="84" t="str">
        <f>IF($C2266="","",IFERROR(MATCH($B2266&amp;"|"&amp;$C2266,MUROS!$AX$11:$AX$70,0),0))</f>
        <v/>
      </c>
      <c r="P2266" s="84" t="str">
        <f>IF($D2266="","",IF(ISNUMBER(MATCH($D2266,CMB_S,0)),1,IF(ISNUMBER(MATCH($D2266,CMB_G,0)),2,0)))</f>
        <v/>
      </c>
      <c r="Q2266" s="84">
        <f>IF(ISNUMBER($H2266),-$H2266,0)</f>
        <v>0</v>
      </c>
      <c r="R2266" s="84">
        <f>IF(ISNUMBER($I2266),ABS($I2266),0)</f>
        <v>0</v>
      </c>
      <c r="S2266" s="84">
        <f>IF(ISNUMBER($M2266),ABS($M2266),0)</f>
        <v>0</v>
      </c>
      <c r="T2266" s="85" t="n">
        <v>2258</v>
      </c>
    </row>
    <row r="2267">
      <c r="B2267" s="83" t="n"/>
      <c r="C2267" s="83" t="n"/>
      <c r="D2267" s="83" t="n"/>
      <c r="E2267" s="83" t="n"/>
      <c r="F2267" s="83" t="n"/>
      <c r="G2267" s="83" t="n"/>
      <c r="H2267" s="83" t="n"/>
      <c r="I2267" s="83" t="n"/>
      <c r="J2267" s="83" t="n"/>
      <c r="K2267" s="83" t="n"/>
      <c r="L2267" s="83" t="n"/>
      <c r="M2267" s="83" t="n"/>
      <c r="O2267" s="84" t="str">
        <f>IF($C2267="","",IFERROR(MATCH($B2267&amp;"|"&amp;$C2267,MUROS!$AX$11:$AX$70,0),0))</f>
        <v/>
      </c>
      <c r="P2267" s="84" t="str">
        <f>IF($D2267="","",IF(ISNUMBER(MATCH($D2267,CMB_S,0)),1,IF(ISNUMBER(MATCH($D2267,CMB_G,0)),2,0)))</f>
        <v/>
      </c>
      <c r="Q2267" s="84">
        <f>IF(ISNUMBER($H2267),-$H2267,0)</f>
        <v>0</v>
      </c>
      <c r="R2267" s="84">
        <f>IF(ISNUMBER($I2267),ABS($I2267),0)</f>
        <v>0</v>
      </c>
      <c r="S2267" s="84">
        <f>IF(ISNUMBER($M2267),ABS($M2267),0)</f>
        <v>0</v>
      </c>
      <c r="T2267" s="85" t="n">
        <v>2259</v>
      </c>
    </row>
    <row r="2268">
      <c r="B2268" s="83" t="n"/>
      <c r="C2268" s="83" t="n"/>
      <c r="D2268" s="83" t="n"/>
      <c r="E2268" s="83" t="n"/>
      <c r="F2268" s="83" t="n"/>
      <c r="G2268" s="83" t="n"/>
      <c r="H2268" s="83" t="n"/>
      <c r="I2268" s="83" t="n"/>
      <c r="J2268" s="83" t="n"/>
      <c r="K2268" s="83" t="n"/>
      <c r="L2268" s="83" t="n"/>
      <c r="M2268" s="83" t="n"/>
      <c r="O2268" s="84" t="str">
        <f>IF($C2268="","",IFERROR(MATCH($B2268&amp;"|"&amp;$C2268,MUROS!$AX$11:$AX$70,0),0))</f>
        <v/>
      </c>
      <c r="P2268" s="84" t="str">
        <f>IF($D2268="","",IF(ISNUMBER(MATCH($D2268,CMB_S,0)),1,IF(ISNUMBER(MATCH($D2268,CMB_G,0)),2,0)))</f>
        <v/>
      </c>
      <c r="Q2268" s="84">
        <f>IF(ISNUMBER($H2268),-$H2268,0)</f>
        <v>0</v>
      </c>
      <c r="R2268" s="84">
        <f>IF(ISNUMBER($I2268),ABS($I2268),0)</f>
        <v>0</v>
      </c>
      <c r="S2268" s="84">
        <f>IF(ISNUMBER($M2268),ABS($M2268),0)</f>
        <v>0</v>
      </c>
      <c r="T2268" s="85" t="n">
        <v>2260</v>
      </c>
    </row>
    <row r="2269">
      <c r="B2269" s="83" t="n"/>
      <c r="C2269" s="83" t="n"/>
      <c r="D2269" s="83" t="n"/>
      <c r="E2269" s="83" t="n"/>
      <c r="F2269" s="83" t="n"/>
      <c r="G2269" s="83" t="n"/>
      <c r="H2269" s="83" t="n"/>
      <c r="I2269" s="83" t="n"/>
      <c r="J2269" s="83" t="n"/>
      <c r="K2269" s="83" t="n"/>
      <c r="L2269" s="83" t="n"/>
      <c r="M2269" s="83" t="n"/>
      <c r="O2269" s="84" t="str">
        <f>IF($C2269="","",IFERROR(MATCH($B2269&amp;"|"&amp;$C2269,MUROS!$AX$11:$AX$70,0),0))</f>
        <v/>
      </c>
      <c r="P2269" s="84" t="str">
        <f>IF($D2269="","",IF(ISNUMBER(MATCH($D2269,CMB_S,0)),1,IF(ISNUMBER(MATCH($D2269,CMB_G,0)),2,0)))</f>
        <v/>
      </c>
      <c r="Q2269" s="84">
        <f>IF(ISNUMBER($H2269),-$H2269,0)</f>
        <v>0</v>
      </c>
      <c r="R2269" s="84">
        <f>IF(ISNUMBER($I2269),ABS($I2269),0)</f>
        <v>0</v>
      </c>
      <c r="S2269" s="84">
        <f>IF(ISNUMBER($M2269),ABS($M2269),0)</f>
        <v>0</v>
      </c>
      <c r="T2269" s="85" t="n">
        <v>2261</v>
      </c>
    </row>
    <row r="2270">
      <c r="B2270" s="83" t="n"/>
      <c r="C2270" s="83" t="n"/>
      <c r="D2270" s="83" t="n"/>
      <c r="E2270" s="83" t="n"/>
      <c r="F2270" s="83" t="n"/>
      <c r="G2270" s="83" t="n"/>
      <c r="H2270" s="83" t="n"/>
      <c r="I2270" s="83" t="n"/>
      <c r="J2270" s="83" t="n"/>
      <c r="K2270" s="83" t="n"/>
      <c r="L2270" s="83" t="n"/>
      <c r="M2270" s="83" t="n"/>
      <c r="O2270" s="84" t="str">
        <f>IF($C2270="","",IFERROR(MATCH($B2270&amp;"|"&amp;$C2270,MUROS!$AX$11:$AX$70,0),0))</f>
        <v/>
      </c>
      <c r="P2270" s="84" t="str">
        <f>IF($D2270="","",IF(ISNUMBER(MATCH($D2270,CMB_S,0)),1,IF(ISNUMBER(MATCH($D2270,CMB_G,0)),2,0)))</f>
        <v/>
      </c>
      <c r="Q2270" s="84">
        <f>IF(ISNUMBER($H2270),-$H2270,0)</f>
        <v>0</v>
      </c>
      <c r="R2270" s="84">
        <f>IF(ISNUMBER($I2270),ABS($I2270),0)</f>
        <v>0</v>
      </c>
      <c r="S2270" s="84">
        <f>IF(ISNUMBER($M2270),ABS($M2270),0)</f>
        <v>0</v>
      </c>
      <c r="T2270" s="85" t="n">
        <v>2262</v>
      </c>
    </row>
    <row r="2271">
      <c r="B2271" s="83" t="n"/>
      <c r="C2271" s="83" t="n"/>
      <c r="D2271" s="83" t="n"/>
      <c r="E2271" s="83" t="n"/>
      <c r="F2271" s="83" t="n"/>
      <c r="G2271" s="83" t="n"/>
      <c r="H2271" s="83" t="n"/>
      <c r="I2271" s="83" t="n"/>
      <c r="J2271" s="83" t="n"/>
      <c r="K2271" s="83" t="n"/>
      <c r="L2271" s="83" t="n"/>
      <c r="M2271" s="83" t="n"/>
      <c r="O2271" s="84" t="str">
        <f>IF($C2271="","",IFERROR(MATCH($B2271&amp;"|"&amp;$C2271,MUROS!$AX$11:$AX$70,0),0))</f>
        <v/>
      </c>
      <c r="P2271" s="84" t="str">
        <f>IF($D2271="","",IF(ISNUMBER(MATCH($D2271,CMB_S,0)),1,IF(ISNUMBER(MATCH($D2271,CMB_G,0)),2,0)))</f>
        <v/>
      </c>
      <c r="Q2271" s="84">
        <f>IF(ISNUMBER($H2271),-$H2271,0)</f>
        <v>0</v>
      </c>
      <c r="R2271" s="84">
        <f>IF(ISNUMBER($I2271),ABS($I2271),0)</f>
        <v>0</v>
      </c>
      <c r="S2271" s="84">
        <f>IF(ISNUMBER($M2271),ABS($M2271),0)</f>
        <v>0</v>
      </c>
      <c r="T2271" s="85" t="n">
        <v>2263</v>
      </c>
    </row>
    <row r="2272">
      <c r="B2272" s="83" t="n"/>
      <c r="C2272" s="83" t="n"/>
      <c r="D2272" s="83" t="n"/>
      <c r="E2272" s="83" t="n"/>
      <c r="F2272" s="83" t="n"/>
      <c r="G2272" s="83" t="n"/>
      <c r="H2272" s="83" t="n"/>
      <c r="I2272" s="83" t="n"/>
      <c r="J2272" s="83" t="n"/>
      <c r="K2272" s="83" t="n"/>
      <c r="L2272" s="83" t="n"/>
      <c r="M2272" s="83" t="n"/>
      <c r="O2272" s="84" t="str">
        <f>IF($C2272="","",IFERROR(MATCH($B2272&amp;"|"&amp;$C2272,MUROS!$AX$11:$AX$70,0),0))</f>
        <v/>
      </c>
      <c r="P2272" s="84" t="str">
        <f>IF($D2272="","",IF(ISNUMBER(MATCH($D2272,CMB_S,0)),1,IF(ISNUMBER(MATCH($D2272,CMB_G,0)),2,0)))</f>
        <v/>
      </c>
      <c r="Q2272" s="84">
        <f>IF(ISNUMBER($H2272),-$H2272,0)</f>
        <v>0</v>
      </c>
      <c r="R2272" s="84">
        <f>IF(ISNUMBER($I2272),ABS($I2272),0)</f>
        <v>0</v>
      </c>
      <c r="S2272" s="84">
        <f>IF(ISNUMBER($M2272),ABS($M2272),0)</f>
        <v>0</v>
      </c>
      <c r="T2272" s="85" t="n">
        <v>2264</v>
      </c>
    </row>
    <row r="2273">
      <c r="B2273" s="83" t="n"/>
      <c r="C2273" s="83" t="n"/>
      <c r="D2273" s="83" t="n"/>
      <c r="E2273" s="83" t="n"/>
      <c r="F2273" s="83" t="n"/>
      <c r="G2273" s="83" t="n"/>
      <c r="H2273" s="83" t="n"/>
      <c r="I2273" s="83" t="n"/>
      <c r="J2273" s="83" t="n"/>
      <c r="K2273" s="83" t="n"/>
      <c r="L2273" s="83" t="n"/>
      <c r="M2273" s="83" t="n"/>
      <c r="O2273" s="84" t="str">
        <f>IF($C2273="","",IFERROR(MATCH($B2273&amp;"|"&amp;$C2273,MUROS!$AX$11:$AX$70,0),0))</f>
        <v/>
      </c>
      <c r="P2273" s="84" t="str">
        <f>IF($D2273="","",IF(ISNUMBER(MATCH($D2273,CMB_S,0)),1,IF(ISNUMBER(MATCH($D2273,CMB_G,0)),2,0)))</f>
        <v/>
      </c>
      <c r="Q2273" s="84">
        <f>IF(ISNUMBER($H2273),-$H2273,0)</f>
        <v>0</v>
      </c>
      <c r="R2273" s="84">
        <f>IF(ISNUMBER($I2273),ABS($I2273),0)</f>
        <v>0</v>
      </c>
      <c r="S2273" s="84">
        <f>IF(ISNUMBER($M2273),ABS($M2273),0)</f>
        <v>0</v>
      </c>
      <c r="T2273" s="85" t="n">
        <v>2265</v>
      </c>
    </row>
    <row r="2274">
      <c r="B2274" s="83" t="n"/>
      <c r="C2274" s="83" t="n"/>
      <c r="D2274" s="83" t="n"/>
      <c r="E2274" s="83" t="n"/>
      <c r="F2274" s="83" t="n"/>
      <c r="G2274" s="83" t="n"/>
      <c r="H2274" s="83" t="n"/>
      <c r="I2274" s="83" t="n"/>
      <c r="J2274" s="83" t="n"/>
      <c r="K2274" s="83" t="n"/>
      <c r="L2274" s="83" t="n"/>
      <c r="M2274" s="83" t="n"/>
      <c r="O2274" s="84" t="str">
        <f>IF($C2274="","",IFERROR(MATCH($B2274&amp;"|"&amp;$C2274,MUROS!$AX$11:$AX$70,0),0))</f>
        <v/>
      </c>
      <c r="P2274" s="84" t="str">
        <f>IF($D2274="","",IF(ISNUMBER(MATCH($D2274,CMB_S,0)),1,IF(ISNUMBER(MATCH($D2274,CMB_G,0)),2,0)))</f>
        <v/>
      </c>
      <c r="Q2274" s="84">
        <f>IF(ISNUMBER($H2274),-$H2274,0)</f>
        <v>0</v>
      </c>
      <c r="R2274" s="84">
        <f>IF(ISNUMBER($I2274),ABS($I2274),0)</f>
        <v>0</v>
      </c>
      <c r="S2274" s="84">
        <f>IF(ISNUMBER($M2274),ABS($M2274),0)</f>
        <v>0</v>
      </c>
      <c r="T2274" s="85" t="n">
        <v>2266</v>
      </c>
    </row>
    <row r="2275">
      <c r="B2275" s="83" t="n"/>
      <c r="C2275" s="83" t="n"/>
      <c r="D2275" s="83" t="n"/>
      <c r="E2275" s="83" t="n"/>
      <c r="F2275" s="83" t="n"/>
      <c r="G2275" s="83" t="n"/>
      <c r="H2275" s="83" t="n"/>
      <c r="I2275" s="83" t="n"/>
      <c r="J2275" s="83" t="n"/>
      <c r="K2275" s="83" t="n"/>
      <c r="L2275" s="83" t="n"/>
      <c r="M2275" s="83" t="n"/>
      <c r="O2275" s="84" t="str">
        <f>IF($C2275="","",IFERROR(MATCH($B2275&amp;"|"&amp;$C2275,MUROS!$AX$11:$AX$70,0),0))</f>
        <v/>
      </c>
      <c r="P2275" s="84" t="str">
        <f>IF($D2275="","",IF(ISNUMBER(MATCH($D2275,CMB_S,0)),1,IF(ISNUMBER(MATCH($D2275,CMB_G,0)),2,0)))</f>
        <v/>
      </c>
      <c r="Q2275" s="84">
        <f>IF(ISNUMBER($H2275),-$H2275,0)</f>
        <v>0</v>
      </c>
      <c r="R2275" s="84">
        <f>IF(ISNUMBER($I2275),ABS($I2275),0)</f>
        <v>0</v>
      </c>
      <c r="S2275" s="84">
        <f>IF(ISNUMBER($M2275),ABS($M2275),0)</f>
        <v>0</v>
      </c>
      <c r="T2275" s="85" t="n">
        <v>2267</v>
      </c>
    </row>
    <row r="2276">
      <c r="B2276" s="83" t="n"/>
      <c r="C2276" s="83" t="n"/>
      <c r="D2276" s="83" t="n"/>
      <c r="E2276" s="83" t="n"/>
      <c r="F2276" s="83" t="n"/>
      <c r="G2276" s="83" t="n"/>
      <c r="H2276" s="83" t="n"/>
      <c r="I2276" s="83" t="n"/>
      <c r="J2276" s="83" t="n"/>
      <c r="K2276" s="83" t="n"/>
      <c r="L2276" s="83" t="n"/>
      <c r="M2276" s="83" t="n"/>
      <c r="O2276" s="84" t="str">
        <f>IF($C2276="","",IFERROR(MATCH($B2276&amp;"|"&amp;$C2276,MUROS!$AX$11:$AX$70,0),0))</f>
        <v/>
      </c>
      <c r="P2276" s="84" t="str">
        <f>IF($D2276="","",IF(ISNUMBER(MATCH($D2276,CMB_S,0)),1,IF(ISNUMBER(MATCH($D2276,CMB_G,0)),2,0)))</f>
        <v/>
      </c>
      <c r="Q2276" s="84">
        <f>IF(ISNUMBER($H2276),-$H2276,0)</f>
        <v>0</v>
      </c>
      <c r="R2276" s="84">
        <f>IF(ISNUMBER($I2276),ABS($I2276),0)</f>
        <v>0</v>
      </c>
      <c r="S2276" s="84">
        <f>IF(ISNUMBER($M2276),ABS($M2276),0)</f>
        <v>0</v>
      </c>
      <c r="T2276" s="85" t="n">
        <v>2268</v>
      </c>
    </row>
    <row r="2277">
      <c r="B2277" s="83" t="n"/>
      <c r="C2277" s="83" t="n"/>
      <c r="D2277" s="83" t="n"/>
      <c r="E2277" s="83" t="n"/>
      <c r="F2277" s="83" t="n"/>
      <c r="G2277" s="83" t="n"/>
      <c r="H2277" s="83" t="n"/>
      <c r="I2277" s="83" t="n"/>
      <c r="J2277" s="83" t="n"/>
      <c r="K2277" s="83" t="n"/>
      <c r="L2277" s="83" t="n"/>
      <c r="M2277" s="83" t="n"/>
      <c r="O2277" s="84" t="str">
        <f>IF($C2277="","",IFERROR(MATCH($B2277&amp;"|"&amp;$C2277,MUROS!$AX$11:$AX$70,0),0))</f>
        <v/>
      </c>
      <c r="P2277" s="84" t="str">
        <f>IF($D2277="","",IF(ISNUMBER(MATCH($D2277,CMB_S,0)),1,IF(ISNUMBER(MATCH($D2277,CMB_G,0)),2,0)))</f>
        <v/>
      </c>
      <c r="Q2277" s="84">
        <f>IF(ISNUMBER($H2277),-$H2277,0)</f>
        <v>0</v>
      </c>
      <c r="R2277" s="84">
        <f>IF(ISNUMBER($I2277),ABS($I2277),0)</f>
        <v>0</v>
      </c>
      <c r="S2277" s="84">
        <f>IF(ISNUMBER($M2277),ABS($M2277),0)</f>
        <v>0</v>
      </c>
      <c r="T2277" s="85" t="n">
        <v>2269</v>
      </c>
    </row>
    <row r="2278">
      <c r="B2278" s="83" t="n"/>
      <c r="C2278" s="83" t="n"/>
      <c r="D2278" s="83" t="n"/>
      <c r="E2278" s="83" t="n"/>
      <c r="F2278" s="83" t="n"/>
      <c r="G2278" s="83" t="n"/>
      <c r="H2278" s="83" t="n"/>
      <c r="I2278" s="83" t="n"/>
      <c r="J2278" s="83" t="n"/>
      <c r="K2278" s="83" t="n"/>
      <c r="L2278" s="83" t="n"/>
      <c r="M2278" s="83" t="n"/>
      <c r="O2278" s="84" t="str">
        <f>IF($C2278="","",IFERROR(MATCH($B2278&amp;"|"&amp;$C2278,MUROS!$AX$11:$AX$70,0),0))</f>
        <v/>
      </c>
      <c r="P2278" s="84" t="str">
        <f>IF($D2278="","",IF(ISNUMBER(MATCH($D2278,CMB_S,0)),1,IF(ISNUMBER(MATCH($D2278,CMB_G,0)),2,0)))</f>
        <v/>
      </c>
      <c r="Q2278" s="84">
        <f>IF(ISNUMBER($H2278),-$H2278,0)</f>
        <v>0</v>
      </c>
      <c r="R2278" s="84">
        <f>IF(ISNUMBER($I2278),ABS($I2278),0)</f>
        <v>0</v>
      </c>
      <c r="S2278" s="84">
        <f>IF(ISNUMBER($M2278),ABS($M2278),0)</f>
        <v>0</v>
      </c>
      <c r="T2278" s="85" t="n">
        <v>2270</v>
      </c>
    </row>
    <row r="2279">
      <c r="B2279" s="83" t="n"/>
      <c r="C2279" s="83" t="n"/>
      <c r="D2279" s="83" t="n"/>
      <c r="E2279" s="83" t="n"/>
      <c r="F2279" s="83" t="n"/>
      <c r="G2279" s="83" t="n"/>
      <c r="H2279" s="83" t="n"/>
      <c r="I2279" s="83" t="n"/>
      <c r="J2279" s="83" t="n"/>
      <c r="K2279" s="83" t="n"/>
      <c r="L2279" s="83" t="n"/>
      <c r="M2279" s="83" t="n"/>
      <c r="O2279" s="84" t="str">
        <f>IF($C2279="","",IFERROR(MATCH($B2279&amp;"|"&amp;$C2279,MUROS!$AX$11:$AX$70,0),0))</f>
        <v/>
      </c>
      <c r="P2279" s="84" t="str">
        <f>IF($D2279="","",IF(ISNUMBER(MATCH($D2279,CMB_S,0)),1,IF(ISNUMBER(MATCH($D2279,CMB_G,0)),2,0)))</f>
        <v/>
      </c>
      <c r="Q2279" s="84">
        <f>IF(ISNUMBER($H2279),-$H2279,0)</f>
        <v>0</v>
      </c>
      <c r="R2279" s="84">
        <f>IF(ISNUMBER($I2279),ABS($I2279),0)</f>
        <v>0</v>
      </c>
      <c r="S2279" s="84">
        <f>IF(ISNUMBER($M2279),ABS($M2279),0)</f>
        <v>0</v>
      </c>
      <c r="T2279" s="85" t="n">
        <v>2271</v>
      </c>
    </row>
    <row r="2280">
      <c r="B2280" s="83" t="n"/>
      <c r="C2280" s="83" t="n"/>
      <c r="D2280" s="83" t="n"/>
      <c r="E2280" s="83" t="n"/>
      <c r="F2280" s="83" t="n"/>
      <c r="G2280" s="83" t="n"/>
      <c r="H2280" s="83" t="n"/>
      <c r="I2280" s="83" t="n"/>
      <c r="J2280" s="83" t="n"/>
      <c r="K2280" s="83" t="n"/>
      <c r="L2280" s="83" t="n"/>
      <c r="M2280" s="83" t="n"/>
      <c r="O2280" s="84" t="str">
        <f>IF($C2280="","",IFERROR(MATCH($B2280&amp;"|"&amp;$C2280,MUROS!$AX$11:$AX$70,0),0))</f>
        <v/>
      </c>
      <c r="P2280" s="84" t="str">
        <f>IF($D2280="","",IF(ISNUMBER(MATCH($D2280,CMB_S,0)),1,IF(ISNUMBER(MATCH($D2280,CMB_G,0)),2,0)))</f>
        <v/>
      </c>
      <c r="Q2280" s="84">
        <f>IF(ISNUMBER($H2280),-$H2280,0)</f>
        <v>0</v>
      </c>
      <c r="R2280" s="84">
        <f>IF(ISNUMBER($I2280),ABS($I2280),0)</f>
        <v>0</v>
      </c>
      <c r="S2280" s="84">
        <f>IF(ISNUMBER($M2280),ABS($M2280),0)</f>
        <v>0</v>
      </c>
      <c r="T2280" s="85" t="n">
        <v>2272</v>
      </c>
    </row>
    <row r="2281">
      <c r="B2281" s="83" t="n"/>
      <c r="C2281" s="83" t="n"/>
      <c r="D2281" s="83" t="n"/>
      <c r="E2281" s="83" t="n"/>
      <c r="F2281" s="83" t="n"/>
      <c r="G2281" s="83" t="n"/>
      <c r="H2281" s="83" t="n"/>
      <c r="I2281" s="83" t="n"/>
      <c r="J2281" s="83" t="n"/>
      <c r="K2281" s="83" t="n"/>
      <c r="L2281" s="83" t="n"/>
      <c r="M2281" s="83" t="n"/>
      <c r="O2281" s="84" t="str">
        <f>IF($C2281="","",IFERROR(MATCH($B2281&amp;"|"&amp;$C2281,MUROS!$AX$11:$AX$70,0),0))</f>
        <v/>
      </c>
      <c r="P2281" s="84" t="str">
        <f>IF($D2281="","",IF(ISNUMBER(MATCH($D2281,CMB_S,0)),1,IF(ISNUMBER(MATCH($D2281,CMB_G,0)),2,0)))</f>
        <v/>
      </c>
      <c r="Q2281" s="84">
        <f>IF(ISNUMBER($H2281),-$H2281,0)</f>
        <v>0</v>
      </c>
      <c r="R2281" s="84">
        <f>IF(ISNUMBER($I2281),ABS($I2281),0)</f>
        <v>0</v>
      </c>
      <c r="S2281" s="84">
        <f>IF(ISNUMBER($M2281),ABS($M2281),0)</f>
        <v>0</v>
      </c>
      <c r="T2281" s="85" t="n">
        <v>2273</v>
      </c>
    </row>
    <row r="2282">
      <c r="B2282" s="83" t="n"/>
      <c r="C2282" s="83" t="n"/>
      <c r="D2282" s="83" t="n"/>
      <c r="E2282" s="83" t="n"/>
      <c r="F2282" s="83" t="n"/>
      <c r="G2282" s="83" t="n"/>
      <c r="H2282" s="83" t="n"/>
      <c r="I2282" s="83" t="n"/>
      <c r="J2282" s="83" t="n"/>
      <c r="K2282" s="83" t="n"/>
      <c r="L2282" s="83" t="n"/>
      <c r="M2282" s="83" t="n"/>
      <c r="O2282" s="84" t="str">
        <f>IF($C2282="","",IFERROR(MATCH($B2282&amp;"|"&amp;$C2282,MUROS!$AX$11:$AX$70,0),0))</f>
        <v/>
      </c>
      <c r="P2282" s="84" t="str">
        <f>IF($D2282="","",IF(ISNUMBER(MATCH($D2282,CMB_S,0)),1,IF(ISNUMBER(MATCH($D2282,CMB_G,0)),2,0)))</f>
        <v/>
      </c>
      <c r="Q2282" s="84">
        <f>IF(ISNUMBER($H2282),-$H2282,0)</f>
        <v>0</v>
      </c>
      <c r="R2282" s="84">
        <f>IF(ISNUMBER($I2282),ABS($I2282),0)</f>
        <v>0</v>
      </c>
      <c r="S2282" s="84">
        <f>IF(ISNUMBER($M2282),ABS($M2282),0)</f>
        <v>0</v>
      </c>
      <c r="T2282" s="85" t="n">
        <v>2274</v>
      </c>
    </row>
    <row r="2283">
      <c r="B2283" s="83" t="n"/>
      <c r="C2283" s="83" t="n"/>
      <c r="D2283" s="83" t="n"/>
      <c r="E2283" s="83" t="n"/>
      <c r="F2283" s="83" t="n"/>
      <c r="G2283" s="83" t="n"/>
      <c r="H2283" s="83" t="n"/>
      <c r="I2283" s="83" t="n"/>
      <c r="J2283" s="83" t="n"/>
      <c r="K2283" s="83" t="n"/>
      <c r="L2283" s="83" t="n"/>
      <c r="M2283" s="83" t="n"/>
      <c r="O2283" s="84" t="str">
        <f>IF($C2283="","",IFERROR(MATCH($B2283&amp;"|"&amp;$C2283,MUROS!$AX$11:$AX$70,0),0))</f>
        <v/>
      </c>
      <c r="P2283" s="84" t="str">
        <f>IF($D2283="","",IF(ISNUMBER(MATCH($D2283,CMB_S,0)),1,IF(ISNUMBER(MATCH($D2283,CMB_G,0)),2,0)))</f>
        <v/>
      </c>
      <c r="Q2283" s="84">
        <f>IF(ISNUMBER($H2283),-$H2283,0)</f>
        <v>0</v>
      </c>
      <c r="R2283" s="84">
        <f>IF(ISNUMBER($I2283),ABS($I2283),0)</f>
        <v>0</v>
      </c>
      <c r="S2283" s="84">
        <f>IF(ISNUMBER($M2283),ABS($M2283),0)</f>
        <v>0</v>
      </c>
      <c r="T2283" s="85" t="n">
        <v>2275</v>
      </c>
    </row>
    <row r="2284">
      <c r="B2284" s="83" t="n"/>
      <c r="C2284" s="83" t="n"/>
      <c r="D2284" s="83" t="n"/>
      <c r="E2284" s="83" t="n"/>
      <c r="F2284" s="83" t="n"/>
      <c r="G2284" s="83" t="n"/>
      <c r="H2284" s="83" t="n"/>
      <c r="I2284" s="83" t="n"/>
      <c r="J2284" s="83" t="n"/>
      <c r="K2284" s="83" t="n"/>
      <c r="L2284" s="83" t="n"/>
      <c r="M2284" s="83" t="n"/>
      <c r="O2284" s="84" t="str">
        <f>IF($C2284="","",IFERROR(MATCH($B2284&amp;"|"&amp;$C2284,MUROS!$AX$11:$AX$70,0),0))</f>
        <v/>
      </c>
      <c r="P2284" s="84" t="str">
        <f>IF($D2284="","",IF(ISNUMBER(MATCH($D2284,CMB_S,0)),1,IF(ISNUMBER(MATCH($D2284,CMB_G,0)),2,0)))</f>
        <v/>
      </c>
      <c r="Q2284" s="84">
        <f>IF(ISNUMBER($H2284),-$H2284,0)</f>
        <v>0</v>
      </c>
      <c r="R2284" s="84">
        <f>IF(ISNUMBER($I2284),ABS($I2284),0)</f>
        <v>0</v>
      </c>
      <c r="S2284" s="84">
        <f>IF(ISNUMBER($M2284),ABS($M2284),0)</f>
        <v>0</v>
      </c>
      <c r="T2284" s="85" t="n">
        <v>2276</v>
      </c>
    </row>
    <row r="2285">
      <c r="B2285" s="83" t="n"/>
      <c r="C2285" s="83" t="n"/>
      <c r="D2285" s="83" t="n"/>
      <c r="E2285" s="83" t="n"/>
      <c r="F2285" s="83" t="n"/>
      <c r="G2285" s="83" t="n"/>
      <c r="H2285" s="83" t="n"/>
      <c r="I2285" s="83" t="n"/>
      <c r="J2285" s="83" t="n"/>
      <c r="K2285" s="83" t="n"/>
      <c r="L2285" s="83" t="n"/>
      <c r="M2285" s="83" t="n"/>
      <c r="O2285" s="84" t="str">
        <f>IF($C2285="","",IFERROR(MATCH($B2285&amp;"|"&amp;$C2285,MUROS!$AX$11:$AX$70,0),0))</f>
        <v/>
      </c>
      <c r="P2285" s="84" t="str">
        <f>IF($D2285="","",IF(ISNUMBER(MATCH($D2285,CMB_S,0)),1,IF(ISNUMBER(MATCH($D2285,CMB_G,0)),2,0)))</f>
        <v/>
      </c>
      <c r="Q2285" s="84">
        <f>IF(ISNUMBER($H2285),-$H2285,0)</f>
        <v>0</v>
      </c>
      <c r="R2285" s="84">
        <f>IF(ISNUMBER($I2285),ABS($I2285),0)</f>
        <v>0</v>
      </c>
      <c r="S2285" s="84">
        <f>IF(ISNUMBER($M2285),ABS($M2285),0)</f>
        <v>0</v>
      </c>
      <c r="T2285" s="85" t="n">
        <v>2277</v>
      </c>
    </row>
    <row r="2286">
      <c r="B2286" s="83" t="n"/>
      <c r="C2286" s="83" t="n"/>
      <c r="D2286" s="83" t="n"/>
      <c r="E2286" s="83" t="n"/>
      <c r="F2286" s="83" t="n"/>
      <c r="G2286" s="83" t="n"/>
      <c r="H2286" s="83" t="n"/>
      <c r="I2286" s="83" t="n"/>
      <c r="J2286" s="83" t="n"/>
      <c r="K2286" s="83" t="n"/>
      <c r="L2286" s="83" t="n"/>
      <c r="M2286" s="83" t="n"/>
      <c r="O2286" s="84" t="str">
        <f>IF($C2286="","",IFERROR(MATCH($B2286&amp;"|"&amp;$C2286,MUROS!$AX$11:$AX$70,0),0))</f>
        <v/>
      </c>
      <c r="P2286" s="84" t="str">
        <f>IF($D2286="","",IF(ISNUMBER(MATCH($D2286,CMB_S,0)),1,IF(ISNUMBER(MATCH($D2286,CMB_G,0)),2,0)))</f>
        <v/>
      </c>
      <c r="Q2286" s="84">
        <f>IF(ISNUMBER($H2286),-$H2286,0)</f>
        <v>0</v>
      </c>
      <c r="R2286" s="84">
        <f>IF(ISNUMBER($I2286),ABS($I2286),0)</f>
        <v>0</v>
      </c>
      <c r="S2286" s="84">
        <f>IF(ISNUMBER($M2286),ABS($M2286),0)</f>
        <v>0</v>
      </c>
      <c r="T2286" s="85" t="n">
        <v>2278</v>
      </c>
    </row>
    <row r="2287">
      <c r="B2287" s="83" t="n"/>
      <c r="C2287" s="83" t="n"/>
      <c r="D2287" s="83" t="n"/>
      <c r="E2287" s="83" t="n"/>
      <c r="F2287" s="83" t="n"/>
      <c r="G2287" s="83" t="n"/>
      <c r="H2287" s="83" t="n"/>
      <c r="I2287" s="83" t="n"/>
      <c r="J2287" s="83" t="n"/>
      <c r="K2287" s="83" t="n"/>
      <c r="L2287" s="83" t="n"/>
      <c r="M2287" s="83" t="n"/>
      <c r="O2287" s="84" t="str">
        <f>IF($C2287="","",IFERROR(MATCH($B2287&amp;"|"&amp;$C2287,MUROS!$AX$11:$AX$70,0),0))</f>
        <v/>
      </c>
      <c r="P2287" s="84" t="str">
        <f>IF($D2287="","",IF(ISNUMBER(MATCH($D2287,CMB_S,0)),1,IF(ISNUMBER(MATCH($D2287,CMB_G,0)),2,0)))</f>
        <v/>
      </c>
      <c r="Q2287" s="84">
        <f>IF(ISNUMBER($H2287),-$H2287,0)</f>
        <v>0</v>
      </c>
      <c r="R2287" s="84">
        <f>IF(ISNUMBER($I2287),ABS($I2287),0)</f>
        <v>0</v>
      </c>
      <c r="S2287" s="84">
        <f>IF(ISNUMBER($M2287),ABS($M2287),0)</f>
        <v>0</v>
      </c>
      <c r="T2287" s="85" t="n">
        <v>2279</v>
      </c>
    </row>
    <row r="2288">
      <c r="B2288" s="83" t="n"/>
      <c r="C2288" s="83" t="n"/>
      <c r="D2288" s="83" t="n"/>
      <c r="E2288" s="83" t="n"/>
      <c r="F2288" s="83" t="n"/>
      <c r="G2288" s="83" t="n"/>
      <c r="H2288" s="83" t="n"/>
      <c r="I2288" s="83" t="n"/>
      <c r="J2288" s="83" t="n"/>
      <c r="K2288" s="83" t="n"/>
      <c r="L2288" s="83" t="n"/>
      <c r="M2288" s="83" t="n"/>
      <c r="O2288" s="84" t="str">
        <f>IF($C2288="","",IFERROR(MATCH($B2288&amp;"|"&amp;$C2288,MUROS!$AX$11:$AX$70,0),0))</f>
        <v/>
      </c>
      <c r="P2288" s="84" t="str">
        <f>IF($D2288="","",IF(ISNUMBER(MATCH($D2288,CMB_S,0)),1,IF(ISNUMBER(MATCH($D2288,CMB_G,0)),2,0)))</f>
        <v/>
      </c>
      <c r="Q2288" s="84">
        <f>IF(ISNUMBER($H2288),-$H2288,0)</f>
        <v>0</v>
      </c>
      <c r="R2288" s="84">
        <f>IF(ISNUMBER($I2288),ABS($I2288),0)</f>
        <v>0</v>
      </c>
      <c r="S2288" s="84">
        <f>IF(ISNUMBER($M2288),ABS($M2288),0)</f>
        <v>0</v>
      </c>
      <c r="T2288" s="85" t="n">
        <v>2280</v>
      </c>
    </row>
    <row r="2289">
      <c r="B2289" s="83" t="n"/>
      <c r="C2289" s="83" t="n"/>
      <c r="D2289" s="83" t="n"/>
      <c r="E2289" s="83" t="n"/>
      <c r="F2289" s="83" t="n"/>
      <c r="G2289" s="83" t="n"/>
      <c r="H2289" s="83" t="n"/>
      <c r="I2289" s="83" t="n"/>
      <c r="J2289" s="83" t="n"/>
      <c r="K2289" s="83" t="n"/>
      <c r="L2289" s="83" t="n"/>
      <c r="M2289" s="83" t="n"/>
      <c r="O2289" s="84" t="str">
        <f>IF($C2289="","",IFERROR(MATCH($B2289&amp;"|"&amp;$C2289,MUROS!$AX$11:$AX$70,0),0))</f>
        <v/>
      </c>
      <c r="P2289" s="84" t="str">
        <f>IF($D2289="","",IF(ISNUMBER(MATCH($D2289,CMB_S,0)),1,IF(ISNUMBER(MATCH($D2289,CMB_G,0)),2,0)))</f>
        <v/>
      </c>
      <c r="Q2289" s="84">
        <f>IF(ISNUMBER($H2289),-$H2289,0)</f>
        <v>0</v>
      </c>
      <c r="R2289" s="84">
        <f>IF(ISNUMBER($I2289),ABS($I2289),0)</f>
        <v>0</v>
      </c>
      <c r="S2289" s="84">
        <f>IF(ISNUMBER($M2289),ABS($M2289),0)</f>
        <v>0</v>
      </c>
      <c r="T2289" s="85" t="n">
        <v>2281</v>
      </c>
    </row>
    <row r="2290">
      <c r="B2290" s="83" t="n"/>
      <c r="C2290" s="83" t="n"/>
      <c r="D2290" s="83" t="n"/>
      <c r="E2290" s="83" t="n"/>
      <c r="F2290" s="83" t="n"/>
      <c r="G2290" s="83" t="n"/>
      <c r="H2290" s="83" t="n"/>
      <c r="I2290" s="83" t="n"/>
      <c r="J2290" s="83" t="n"/>
      <c r="K2290" s="83" t="n"/>
      <c r="L2290" s="83" t="n"/>
      <c r="M2290" s="83" t="n"/>
      <c r="O2290" s="84" t="str">
        <f>IF($C2290="","",IFERROR(MATCH($B2290&amp;"|"&amp;$C2290,MUROS!$AX$11:$AX$70,0),0))</f>
        <v/>
      </c>
      <c r="P2290" s="84" t="str">
        <f>IF($D2290="","",IF(ISNUMBER(MATCH($D2290,CMB_S,0)),1,IF(ISNUMBER(MATCH($D2290,CMB_G,0)),2,0)))</f>
        <v/>
      </c>
      <c r="Q2290" s="84">
        <f>IF(ISNUMBER($H2290),-$H2290,0)</f>
        <v>0</v>
      </c>
      <c r="R2290" s="84">
        <f>IF(ISNUMBER($I2290),ABS($I2290),0)</f>
        <v>0</v>
      </c>
      <c r="S2290" s="84">
        <f>IF(ISNUMBER($M2290),ABS($M2290),0)</f>
        <v>0</v>
      </c>
      <c r="T2290" s="85" t="n">
        <v>2282</v>
      </c>
    </row>
    <row r="2291">
      <c r="B2291" s="83" t="n"/>
      <c r="C2291" s="83" t="n"/>
      <c r="D2291" s="83" t="n"/>
      <c r="E2291" s="83" t="n"/>
      <c r="F2291" s="83" t="n"/>
      <c r="G2291" s="83" t="n"/>
      <c r="H2291" s="83" t="n"/>
      <c r="I2291" s="83" t="n"/>
      <c r="J2291" s="83" t="n"/>
      <c r="K2291" s="83" t="n"/>
      <c r="L2291" s="83" t="n"/>
      <c r="M2291" s="83" t="n"/>
      <c r="O2291" s="84" t="str">
        <f>IF($C2291="","",IFERROR(MATCH($B2291&amp;"|"&amp;$C2291,MUROS!$AX$11:$AX$70,0),0))</f>
        <v/>
      </c>
      <c r="P2291" s="84" t="str">
        <f>IF($D2291="","",IF(ISNUMBER(MATCH($D2291,CMB_S,0)),1,IF(ISNUMBER(MATCH($D2291,CMB_G,0)),2,0)))</f>
        <v/>
      </c>
      <c r="Q2291" s="84">
        <f>IF(ISNUMBER($H2291),-$H2291,0)</f>
        <v>0</v>
      </c>
      <c r="R2291" s="84">
        <f>IF(ISNUMBER($I2291),ABS($I2291),0)</f>
        <v>0</v>
      </c>
      <c r="S2291" s="84">
        <f>IF(ISNUMBER($M2291),ABS($M2291),0)</f>
        <v>0</v>
      </c>
      <c r="T2291" s="85" t="n">
        <v>2283</v>
      </c>
    </row>
    <row r="2292">
      <c r="B2292" s="83" t="n"/>
      <c r="C2292" s="83" t="n"/>
      <c r="D2292" s="83" t="n"/>
      <c r="E2292" s="83" t="n"/>
      <c r="F2292" s="83" t="n"/>
      <c r="G2292" s="83" t="n"/>
      <c r="H2292" s="83" t="n"/>
      <c r="I2292" s="83" t="n"/>
      <c r="J2292" s="83" t="n"/>
      <c r="K2292" s="83" t="n"/>
      <c r="L2292" s="83" t="n"/>
      <c r="M2292" s="83" t="n"/>
      <c r="O2292" s="84" t="str">
        <f>IF($C2292="","",IFERROR(MATCH($B2292&amp;"|"&amp;$C2292,MUROS!$AX$11:$AX$70,0),0))</f>
        <v/>
      </c>
      <c r="P2292" s="84" t="str">
        <f>IF($D2292="","",IF(ISNUMBER(MATCH($D2292,CMB_S,0)),1,IF(ISNUMBER(MATCH($D2292,CMB_G,0)),2,0)))</f>
        <v/>
      </c>
      <c r="Q2292" s="84">
        <f>IF(ISNUMBER($H2292),-$H2292,0)</f>
        <v>0</v>
      </c>
      <c r="R2292" s="84">
        <f>IF(ISNUMBER($I2292),ABS($I2292),0)</f>
        <v>0</v>
      </c>
      <c r="S2292" s="84">
        <f>IF(ISNUMBER($M2292),ABS($M2292),0)</f>
        <v>0</v>
      </c>
      <c r="T2292" s="85" t="n">
        <v>2284</v>
      </c>
    </row>
    <row r="2293">
      <c r="B2293" s="83" t="n"/>
      <c r="C2293" s="83" t="n"/>
      <c r="D2293" s="83" t="n"/>
      <c r="E2293" s="83" t="n"/>
      <c r="F2293" s="83" t="n"/>
      <c r="G2293" s="83" t="n"/>
      <c r="H2293" s="83" t="n"/>
      <c r="I2293" s="83" t="n"/>
      <c r="J2293" s="83" t="n"/>
      <c r="K2293" s="83" t="n"/>
      <c r="L2293" s="83" t="n"/>
      <c r="M2293" s="83" t="n"/>
      <c r="O2293" s="84" t="str">
        <f>IF($C2293="","",IFERROR(MATCH($B2293&amp;"|"&amp;$C2293,MUROS!$AX$11:$AX$70,0),0))</f>
        <v/>
      </c>
      <c r="P2293" s="84" t="str">
        <f>IF($D2293="","",IF(ISNUMBER(MATCH($D2293,CMB_S,0)),1,IF(ISNUMBER(MATCH($D2293,CMB_G,0)),2,0)))</f>
        <v/>
      </c>
      <c r="Q2293" s="84">
        <f>IF(ISNUMBER($H2293),-$H2293,0)</f>
        <v>0</v>
      </c>
      <c r="R2293" s="84">
        <f>IF(ISNUMBER($I2293),ABS($I2293),0)</f>
        <v>0</v>
      </c>
      <c r="S2293" s="84">
        <f>IF(ISNUMBER($M2293),ABS($M2293),0)</f>
        <v>0</v>
      </c>
      <c r="T2293" s="85" t="n">
        <v>2285</v>
      </c>
    </row>
    <row r="2294">
      <c r="B2294" s="83" t="n"/>
      <c r="C2294" s="83" t="n"/>
      <c r="D2294" s="83" t="n"/>
      <c r="E2294" s="83" t="n"/>
      <c r="F2294" s="83" t="n"/>
      <c r="G2294" s="83" t="n"/>
      <c r="H2294" s="83" t="n"/>
      <c r="I2294" s="83" t="n"/>
      <c r="J2294" s="83" t="n"/>
      <c r="K2294" s="83" t="n"/>
      <c r="L2294" s="83" t="n"/>
      <c r="M2294" s="83" t="n"/>
      <c r="O2294" s="84" t="str">
        <f>IF($C2294="","",IFERROR(MATCH($B2294&amp;"|"&amp;$C2294,MUROS!$AX$11:$AX$70,0),0))</f>
        <v/>
      </c>
      <c r="P2294" s="84" t="str">
        <f>IF($D2294="","",IF(ISNUMBER(MATCH($D2294,CMB_S,0)),1,IF(ISNUMBER(MATCH($D2294,CMB_G,0)),2,0)))</f>
        <v/>
      </c>
      <c r="Q2294" s="84">
        <f>IF(ISNUMBER($H2294),-$H2294,0)</f>
        <v>0</v>
      </c>
      <c r="R2294" s="84">
        <f>IF(ISNUMBER($I2294),ABS($I2294),0)</f>
        <v>0</v>
      </c>
      <c r="S2294" s="84">
        <f>IF(ISNUMBER($M2294),ABS($M2294),0)</f>
        <v>0</v>
      </c>
      <c r="T2294" s="85" t="n">
        <v>2286</v>
      </c>
    </row>
    <row r="2295">
      <c r="B2295" s="83" t="n"/>
      <c r="C2295" s="83" t="n"/>
      <c r="D2295" s="83" t="n"/>
      <c r="E2295" s="83" t="n"/>
      <c r="F2295" s="83" t="n"/>
      <c r="G2295" s="83" t="n"/>
      <c r="H2295" s="83" t="n"/>
      <c r="I2295" s="83" t="n"/>
      <c r="J2295" s="83" t="n"/>
      <c r="K2295" s="83" t="n"/>
      <c r="L2295" s="83" t="n"/>
      <c r="M2295" s="83" t="n"/>
      <c r="O2295" s="84" t="str">
        <f>IF($C2295="","",IFERROR(MATCH($B2295&amp;"|"&amp;$C2295,MUROS!$AX$11:$AX$70,0),0))</f>
        <v/>
      </c>
      <c r="P2295" s="84" t="str">
        <f>IF($D2295="","",IF(ISNUMBER(MATCH($D2295,CMB_S,0)),1,IF(ISNUMBER(MATCH($D2295,CMB_G,0)),2,0)))</f>
        <v/>
      </c>
      <c r="Q2295" s="84">
        <f>IF(ISNUMBER($H2295),-$H2295,0)</f>
        <v>0</v>
      </c>
      <c r="R2295" s="84">
        <f>IF(ISNUMBER($I2295),ABS($I2295),0)</f>
        <v>0</v>
      </c>
      <c r="S2295" s="84">
        <f>IF(ISNUMBER($M2295),ABS($M2295),0)</f>
        <v>0</v>
      </c>
      <c r="T2295" s="85" t="n">
        <v>2287</v>
      </c>
    </row>
    <row r="2296">
      <c r="B2296" s="83" t="n"/>
      <c r="C2296" s="83" t="n"/>
      <c r="D2296" s="83" t="n"/>
      <c r="E2296" s="83" t="n"/>
      <c r="F2296" s="83" t="n"/>
      <c r="G2296" s="83" t="n"/>
      <c r="H2296" s="83" t="n"/>
      <c r="I2296" s="83" t="n"/>
      <c r="J2296" s="83" t="n"/>
      <c r="K2296" s="83" t="n"/>
      <c r="L2296" s="83" t="n"/>
      <c r="M2296" s="83" t="n"/>
      <c r="O2296" s="84" t="str">
        <f>IF($C2296="","",IFERROR(MATCH($B2296&amp;"|"&amp;$C2296,MUROS!$AX$11:$AX$70,0),0))</f>
        <v/>
      </c>
      <c r="P2296" s="84" t="str">
        <f>IF($D2296="","",IF(ISNUMBER(MATCH($D2296,CMB_S,0)),1,IF(ISNUMBER(MATCH($D2296,CMB_G,0)),2,0)))</f>
        <v/>
      </c>
      <c r="Q2296" s="84">
        <f>IF(ISNUMBER($H2296),-$H2296,0)</f>
        <v>0</v>
      </c>
      <c r="R2296" s="84">
        <f>IF(ISNUMBER($I2296),ABS($I2296),0)</f>
        <v>0</v>
      </c>
      <c r="S2296" s="84">
        <f>IF(ISNUMBER($M2296),ABS($M2296),0)</f>
        <v>0</v>
      </c>
      <c r="T2296" s="85" t="n">
        <v>2288</v>
      </c>
    </row>
    <row r="2297">
      <c r="B2297" s="83" t="n"/>
      <c r="C2297" s="83" t="n"/>
      <c r="D2297" s="83" t="n"/>
      <c r="E2297" s="83" t="n"/>
      <c r="F2297" s="83" t="n"/>
      <c r="G2297" s="83" t="n"/>
      <c r="H2297" s="83" t="n"/>
      <c r="I2297" s="83" t="n"/>
      <c r="J2297" s="83" t="n"/>
      <c r="K2297" s="83" t="n"/>
      <c r="L2297" s="83" t="n"/>
      <c r="M2297" s="83" t="n"/>
      <c r="O2297" s="84" t="str">
        <f>IF($C2297="","",IFERROR(MATCH($B2297&amp;"|"&amp;$C2297,MUROS!$AX$11:$AX$70,0),0))</f>
        <v/>
      </c>
      <c r="P2297" s="84" t="str">
        <f>IF($D2297="","",IF(ISNUMBER(MATCH($D2297,CMB_S,0)),1,IF(ISNUMBER(MATCH($D2297,CMB_G,0)),2,0)))</f>
        <v/>
      </c>
      <c r="Q2297" s="84">
        <f>IF(ISNUMBER($H2297),-$H2297,0)</f>
        <v>0</v>
      </c>
      <c r="R2297" s="84">
        <f>IF(ISNUMBER($I2297),ABS($I2297),0)</f>
        <v>0</v>
      </c>
      <c r="S2297" s="84">
        <f>IF(ISNUMBER($M2297),ABS($M2297),0)</f>
        <v>0</v>
      </c>
      <c r="T2297" s="85" t="n">
        <v>2289</v>
      </c>
    </row>
    <row r="2298">
      <c r="B2298" s="83" t="n"/>
      <c r="C2298" s="83" t="n"/>
      <c r="D2298" s="83" t="n"/>
      <c r="E2298" s="83" t="n"/>
      <c r="F2298" s="83" t="n"/>
      <c r="G2298" s="83" t="n"/>
      <c r="H2298" s="83" t="n"/>
      <c r="I2298" s="83" t="n"/>
      <c r="J2298" s="83" t="n"/>
      <c r="K2298" s="83" t="n"/>
      <c r="L2298" s="83" t="n"/>
      <c r="M2298" s="83" t="n"/>
      <c r="O2298" s="84" t="str">
        <f>IF($C2298="","",IFERROR(MATCH($B2298&amp;"|"&amp;$C2298,MUROS!$AX$11:$AX$70,0),0))</f>
        <v/>
      </c>
      <c r="P2298" s="84" t="str">
        <f>IF($D2298="","",IF(ISNUMBER(MATCH($D2298,CMB_S,0)),1,IF(ISNUMBER(MATCH($D2298,CMB_G,0)),2,0)))</f>
        <v/>
      </c>
      <c r="Q2298" s="84">
        <f>IF(ISNUMBER($H2298),-$H2298,0)</f>
        <v>0</v>
      </c>
      <c r="R2298" s="84">
        <f>IF(ISNUMBER($I2298),ABS($I2298),0)</f>
        <v>0</v>
      </c>
      <c r="S2298" s="84">
        <f>IF(ISNUMBER($M2298),ABS($M2298),0)</f>
        <v>0</v>
      </c>
      <c r="T2298" s="85" t="n">
        <v>2290</v>
      </c>
    </row>
    <row r="2299">
      <c r="B2299" s="83" t="n"/>
      <c r="C2299" s="83" t="n"/>
      <c r="D2299" s="83" t="n"/>
      <c r="E2299" s="83" t="n"/>
      <c r="F2299" s="83" t="n"/>
      <c r="G2299" s="83" t="n"/>
      <c r="H2299" s="83" t="n"/>
      <c r="I2299" s="83" t="n"/>
      <c r="J2299" s="83" t="n"/>
      <c r="K2299" s="83" t="n"/>
      <c r="L2299" s="83" t="n"/>
      <c r="M2299" s="83" t="n"/>
      <c r="O2299" s="84" t="str">
        <f>IF($C2299="","",IFERROR(MATCH($B2299&amp;"|"&amp;$C2299,MUROS!$AX$11:$AX$70,0),0))</f>
        <v/>
      </c>
      <c r="P2299" s="84" t="str">
        <f>IF($D2299="","",IF(ISNUMBER(MATCH($D2299,CMB_S,0)),1,IF(ISNUMBER(MATCH($D2299,CMB_G,0)),2,0)))</f>
        <v/>
      </c>
      <c r="Q2299" s="84">
        <f>IF(ISNUMBER($H2299),-$H2299,0)</f>
        <v>0</v>
      </c>
      <c r="R2299" s="84">
        <f>IF(ISNUMBER($I2299),ABS($I2299),0)</f>
        <v>0</v>
      </c>
      <c r="S2299" s="84">
        <f>IF(ISNUMBER($M2299),ABS($M2299),0)</f>
        <v>0</v>
      </c>
      <c r="T2299" s="85" t="n">
        <v>2291</v>
      </c>
    </row>
    <row r="2300">
      <c r="B2300" s="83" t="n"/>
      <c r="C2300" s="83" t="n"/>
      <c r="D2300" s="83" t="n"/>
      <c r="E2300" s="83" t="n"/>
      <c r="F2300" s="83" t="n"/>
      <c r="G2300" s="83" t="n"/>
      <c r="H2300" s="83" t="n"/>
      <c r="I2300" s="83" t="n"/>
      <c r="J2300" s="83" t="n"/>
      <c r="K2300" s="83" t="n"/>
      <c r="L2300" s="83" t="n"/>
      <c r="M2300" s="83" t="n"/>
      <c r="O2300" s="84" t="str">
        <f>IF($C2300="","",IFERROR(MATCH($B2300&amp;"|"&amp;$C2300,MUROS!$AX$11:$AX$70,0),0))</f>
        <v/>
      </c>
      <c r="P2300" s="84" t="str">
        <f>IF($D2300="","",IF(ISNUMBER(MATCH($D2300,CMB_S,0)),1,IF(ISNUMBER(MATCH($D2300,CMB_G,0)),2,0)))</f>
        <v/>
      </c>
      <c r="Q2300" s="84">
        <f>IF(ISNUMBER($H2300),-$H2300,0)</f>
        <v>0</v>
      </c>
      <c r="R2300" s="84">
        <f>IF(ISNUMBER($I2300),ABS($I2300),0)</f>
        <v>0</v>
      </c>
      <c r="S2300" s="84">
        <f>IF(ISNUMBER($M2300),ABS($M2300),0)</f>
        <v>0</v>
      </c>
      <c r="T2300" s="85" t="n">
        <v>2292</v>
      </c>
    </row>
    <row r="2301">
      <c r="B2301" s="83" t="n"/>
      <c r="C2301" s="83" t="n"/>
      <c r="D2301" s="83" t="n"/>
      <c r="E2301" s="83" t="n"/>
      <c r="F2301" s="83" t="n"/>
      <c r="G2301" s="83" t="n"/>
      <c r="H2301" s="83" t="n"/>
      <c r="I2301" s="83" t="n"/>
      <c r="J2301" s="83" t="n"/>
      <c r="K2301" s="83" t="n"/>
      <c r="L2301" s="83" t="n"/>
      <c r="M2301" s="83" t="n"/>
      <c r="O2301" s="84" t="str">
        <f>IF($C2301="","",IFERROR(MATCH($B2301&amp;"|"&amp;$C2301,MUROS!$AX$11:$AX$70,0),0))</f>
        <v/>
      </c>
      <c r="P2301" s="84" t="str">
        <f>IF($D2301="","",IF(ISNUMBER(MATCH($D2301,CMB_S,0)),1,IF(ISNUMBER(MATCH($D2301,CMB_G,0)),2,0)))</f>
        <v/>
      </c>
      <c r="Q2301" s="84">
        <f>IF(ISNUMBER($H2301),-$H2301,0)</f>
        <v>0</v>
      </c>
      <c r="R2301" s="84">
        <f>IF(ISNUMBER($I2301),ABS($I2301),0)</f>
        <v>0</v>
      </c>
      <c r="S2301" s="84">
        <f>IF(ISNUMBER($M2301),ABS($M2301),0)</f>
        <v>0</v>
      </c>
      <c r="T2301" s="85" t="n">
        <v>2293</v>
      </c>
    </row>
    <row r="2302">
      <c r="B2302" s="83" t="n"/>
      <c r="C2302" s="83" t="n"/>
      <c r="D2302" s="83" t="n"/>
      <c r="E2302" s="83" t="n"/>
      <c r="F2302" s="83" t="n"/>
      <c r="G2302" s="83" t="n"/>
      <c r="H2302" s="83" t="n"/>
      <c r="I2302" s="83" t="n"/>
      <c r="J2302" s="83" t="n"/>
      <c r="K2302" s="83" t="n"/>
      <c r="L2302" s="83" t="n"/>
      <c r="M2302" s="83" t="n"/>
      <c r="O2302" s="84" t="str">
        <f>IF($C2302="","",IFERROR(MATCH($B2302&amp;"|"&amp;$C2302,MUROS!$AX$11:$AX$70,0),0))</f>
        <v/>
      </c>
      <c r="P2302" s="84" t="str">
        <f>IF($D2302="","",IF(ISNUMBER(MATCH($D2302,CMB_S,0)),1,IF(ISNUMBER(MATCH($D2302,CMB_G,0)),2,0)))</f>
        <v/>
      </c>
      <c r="Q2302" s="84">
        <f>IF(ISNUMBER($H2302),-$H2302,0)</f>
        <v>0</v>
      </c>
      <c r="R2302" s="84">
        <f>IF(ISNUMBER($I2302),ABS($I2302),0)</f>
        <v>0</v>
      </c>
      <c r="S2302" s="84">
        <f>IF(ISNUMBER($M2302),ABS($M2302),0)</f>
        <v>0</v>
      </c>
      <c r="T2302" s="85" t="n">
        <v>2294</v>
      </c>
    </row>
    <row r="2303">
      <c r="B2303" s="83" t="n"/>
      <c r="C2303" s="83" t="n"/>
      <c r="D2303" s="83" t="n"/>
      <c r="E2303" s="83" t="n"/>
      <c r="F2303" s="83" t="n"/>
      <c r="G2303" s="83" t="n"/>
      <c r="H2303" s="83" t="n"/>
      <c r="I2303" s="83" t="n"/>
      <c r="J2303" s="83" t="n"/>
      <c r="K2303" s="83" t="n"/>
      <c r="L2303" s="83" t="n"/>
      <c r="M2303" s="83" t="n"/>
      <c r="O2303" s="84" t="str">
        <f>IF($C2303="","",IFERROR(MATCH($B2303&amp;"|"&amp;$C2303,MUROS!$AX$11:$AX$70,0),0))</f>
        <v/>
      </c>
      <c r="P2303" s="84" t="str">
        <f>IF($D2303="","",IF(ISNUMBER(MATCH($D2303,CMB_S,0)),1,IF(ISNUMBER(MATCH($D2303,CMB_G,0)),2,0)))</f>
        <v/>
      </c>
      <c r="Q2303" s="84">
        <f>IF(ISNUMBER($H2303),-$H2303,0)</f>
        <v>0</v>
      </c>
      <c r="R2303" s="84">
        <f>IF(ISNUMBER($I2303),ABS($I2303),0)</f>
        <v>0</v>
      </c>
      <c r="S2303" s="84">
        <f>IF(ISNUMBER($M2303),ABS($M2303),0)</f>
        <v>0</v>
      </c>
      <c r="T2303" s="85" t="n">
        <v>2295</v>
      </c>
    </row>
    <row r="2304">
      <c r="B2304" s="83" t="n"/>
      <c r="C2304" s="83" t="n"/>
      <c r="D2304" s="83" t="n"/>
      <c r="E2304" s="83" t="n"/>
      <c r="F2304" s="83" t="n"/>
      <c r="G2304" s="83" t="n"/>
      <c r="H2304" s="83" t="n"/>
      <c r="I2304" s="83" t="n"/>
      <c r="J2304" s="83" t="n"/>
      <c r="K2304" s="83" t="n"/>
      <c r="L2304" s="83" t="n"/>
      <c r="M2304" s="83" t="n"/>
      <c r="O2304" s="84" t="str">
        <f>IF($C2304="","",IFERROR(MATCH($B2304&amp;"|"&amp;$C2304,MUROS!$AX$11:$AX$70,0),0))</f>
        <v/>
      </c>
      <c r="P2304" s="84" t="str">
        <f>IF($D2304="","",IF(ISNUMBER(MATCH($D2304,CMB_S,0)),1,IF(ISNUMBER(MATCH($D2304,CMB_G,0)),2,0)))</f>
        <v/>
      </c>
      <c r="Q2304" s="84">
        <f>IF(ISNUMBER($H2304),-$H2304,0)</f>
        <v>0</v>
      </c>
      <c r="R2304" s="84">
        <f>IF(ISNUMBER($I2304),ABS($I2304),0)</f>
        <v>0</v>
      </c>
      <c r="S2304" s="84">
        <f>IF(ISNUMBER($M2304),ABS($M2304),0)</f>
        <v>0</v>
      </c>
      <c r="T2304" s="85" t="n">
        <v>2296</v>
      </c>
    </row>
    <row r="2305">
      <c r="B2305" s="83" t="n"/>
      <c r="C2305" s="83" t="n"/>
      <c r="D2305" s="83" t="n"/>
      <c r="E2305" s="83" t="n"/>
      <c r="F2305" s="83" t="n"/>
      <c r="G2305" s="83" t="n"/>
      <c r="H2305" s="83" t="n"/>
      <c r="I2305" s="83" t="n"/>
      <c r="J2305" s="83" t="n"/>
      <c r="K2305" s="83" t="n"/>
      <c r="L2305" s="83" t="n"/>
      <c r="M2305" s="83" t="n"/>
      <c r="O2305" s="84" t="str">
        <f>IF($C2305="","",IFERROR(MATCH($B2305&amp;"|"&amp;$C2305,MUROS!$AX$11:$AX$70,0),0))</f>
        <v/>
      </c>
      <c r="P2305" s="84" t="str">
        <f>IF($D2305="","",IF(ISNUMBER(MATCH($D2305,CMB_S,0)),1,IF(ISNUMBER(MATCH($D2305,CMB_G,0)),2,0)))</f>
        <v/>
      </c>
      <c r="Q2305" s="84">
        <f>IF(ISNUMBER($H2305),-$H2305,0)</f>
        <v>0</v>
      </c>
      <c r="R2305" s="84">
        <f>IF(ISNUMBER($I2305),ABS($I2305),0)</f>
        <v>0</v>
      </c>
      <c r="S2305" s="84">
        <f>IF(ISNUMBER($M2305),ABS($M2305),0)</f>
        <v>0</v>
      </c>
      <c r="T2305" s="85" t="n">
        <v>2297</v>
      </c>
    </row>
    <row r="2306">
      <c r="B2306" s="83" t="n"/>
      <c r="C2306" s="83" t="n"/>
      <c r="D2306" s="83" t="n"/>
      <c r="E2306" s="83" t="n"/>
      <c r="F2306" s="83" t="n"/>
      <c r="G2306" s="83" t="n"/>
      <c r="H2306" s="83" t="n"/>
      <c r="I2306" s="83" t="n"/>
      <c r="J2306" s="83" t="n"/>
      <c r="K2306" s="83" t="n"/>
      <c r="L2306" s="83" t="n"/>
      <c r="M2306" s="83" t="n"/>
      <c r="O2306" s="84" t="str">
        <f>IF($C2306="","",IFERROR(MATCH($B2306&amp;"|"&amp;$C2306,MUROS!$AX$11:$AX$70,0),0))</f>
        <v/>
      </c>
      <c r="P2306" s="84" t="str">
        <f>IF($D2306="","",IF(ISNUMBER(MATCH($D2306,CMB_S,0)),1,IF(ISNUMBER(MATCH($D2306,CMB_G,0)),2,0)))</f>
        <v/>
      </c>
      <c r="Q2306" s="84">
        <f>IF(ISNUMBER($H2306),-$H2306,0)</f>
        <v>0</v>
      </c>
      <c r="R2306" s="84">
        <f>IF(ISNUMBER($I2306),ABS($I2306),0)</f>
        <v>0</v>
      </c>
      <c r="S2306" s="84">
        <f>IF(ISNUMBER($M2306),ABS($M2306),0)</f>
        <v>0</v>
      </c>
      <c r="T2306" s="85" t="n">
        <v>2298</v>
      </c>
    </row>
    <row r="2307">
      <c r="B2307" s="83" t="n"/>
      <c r="C2307" s="83" t="n"/>
      <c r="D2307" s="83" t="n"/>
      <c r="E2307" s="83" t="n"/>
      <c r="F2307" s="83" t="n"/>
      <c r="G2307" s="83" t="n"/>
      <c r="H2307" s="83" t="n"/>
      <c r="I2307" s="83" t="n"/>
      <c r="J2307" s="83" t="n"/>
      <c r="K2307" s="83" t="n"/>
      <c r="L2307" s="83" t="n"/>
      <c r="M2307" s="83" t="n"/>
      <c r="O2307" s="84" t="str">
        <f>IF($C2307="","",IFERROR(MATCH($B2307&amp;"|"&amp;$C2307,MUROS!$AX$11:$AX$70,0),0))</f>
        <v/>
      </c>
      <c r="P2307" s="84" t="str">
        <f>IF($D2307="","",IF(ISNUMBER(MATCH($D2307,CMB_S,0)),1,IF(ISNUMBER(MATCH($D2307,CMB_G,0)),2,0)))</f>
        <v/>
      </c>
      <c r="Q2307" s="84">
        <f>IF(ISNUMBER($H2307),-$H2307,0)</f>
        <v>0</v>
      </c>
      <c r="R2307" s="84">
        <f>IF(ISNUMBER($I2307),ABS($I2307),0)</f>
        <v>0</v>
      </c>
      <c r="S2307" s="84">
        <f>IF(ISNUMBER($M2307),ABS($M2307),0)</f>
        <v>0</v>
      </c>
      <c r="T2307" s="85" t="n">
        <v>2299</v>
      </c>
    </row>
    <row r="2308">
      <c r="B2308" s="83" t="n"/>
      <c r="C2308" s="83" t="n"/>
      <c r="D2308" s="83" t="n"/>
      <c r="E2308" s="83" t="n"/>
      <c r="F2308" s="83" t="n"/>
      <c r="G2308" s="83" t="n"/>
      <c r="H2308" s="83" t="n"/>
      <c r="I2308" s="83" t="n"/>
      <c r="J2308" s="83" t="n"/>
      <c r="K2308" s="83" t="n"/>
      <c r="L2308" s="83" t="n"/>
      <c r="M2308" s="83" t="n"/>
      <c r="O2308" s="84" t="str">
        <f>IF($C2308="","",IFERROR(MATCH($B2308&amp;"|"&amp;$C2308,MUROS!$AX$11:$AX$70,0),0))</f>
        <v/>
      </c>
      <c r="P2308" s="84" t="str">
        <f>IF($D2308="","",IF(ISNUMBER(MATCH($D2308,CMB_S,0)),1,IF(ISNUMBER(MATCH($D2308,CMB_G,0)),2,0)))</f>
        <v/>
      </c>
      <c r="Q2308" s="84">
        <f>IF(ISNUMBER($H2308),-$H2308,0)</f>
        <v>0</v>
      </c>
      <c r="R2308" s="84">
        <f>IF(ISNUMBER($I2308),ABS($I2308),0)</f>
        <v>0</v>
      </c>
      <c r="S2308" s="84">
        <f>IF(ISNUMBER($M2308),ABS($M2308),0)</f>
        <v>0</v>
      </c>
      <c r="T2308" s="85" t="n">
        <v>2300</v>
      </c>
    </row>
    <row r="2309">
      <c r="B2309" s="83" t="n"/>
      <c r="C2309" s="83" t="n"/>
      <c r="D2309" s="83" t="n"/>
      <c r="E2309" s="83" t="n"/>
      <c r="F2309" s="83" t="n"/>
      <c r="G2309" s="83" t="n"/>
      <c r="H2309" s="83" t="n"/>
      <c r="I2309" s="83" t="n"/>
      <c r="J2309" s="83" t="n"/>
      <c r="K2309" s="83" t="n"/>
      <c r="L2309" s="83" t="n"/>
      <c r="M2309" s="83" t="n"/>
      <c r="O2309" s="84" t="str">
        <f>IF($C2309="","",IFERROR(MATCH($B2309&amp;"|"&amp;$C2309,MUROS!$AX$11:$AX$70,0),0))</f>
        <v/>
      </c>
      <c r="P2309" s="84" t="str">
        <f>IF($D2309="","",IF(ISNUMBER(MATCH($D2309,CMB_S,0)),1,IF(ISNUMBER(MATCH($D2309,CMB_G,0)),2,0)))</f>
        <v/>
      </c>
      <c r="Q2309" s="84">
        <f>IF(ISNUMBER($H2309),-$H2309,0)</f>
        <v>0</v>
      </c>
      <c r="R2309" s="84">
        <f>IF(ISNUMBER($I2309),ABS($I2309),0)</f>
        <v>0</v>
      </c>
      <c r="S2309" s="84">
        <f>IF(ISNUMBER($M2309),ABS($M2309),0)</f>
        <v>0</v>
      </c>
      <c r="T2309" s="85" t="n">
        <v>2301</v>
      </c>
    </row>
    <row r="2310">
      <c r="B2310" s="83" t="n"/>
      <c r="C2310" s="83" t="n"/>
      <c r="D2310" s="83" t="n"/>
      <c r="E2310" s="83" t="n"/>
      <c r="F2310" s="83" t="n"/>
      <c r="G2310" s="83" t="n"/>
      <c r="H2310" s="83" t="n"/>
      <c r="I2310" s="83" t="n"/>
      <c r="J2310" s="83" t="n"/>
      <c r="K2310" s="83" t="n"/>
      <c r="L2310" s="83" t="n"/>
      <c r="M2310" s="83" t="n"/>
      <c r="O2310" s="84" t="str">
        <f>IF($C2310="","",IFERROR(MATCH($B2310&amp;"|"&amp;$C2310,MUROS!$AX$11:$AX$70,0),0))</f>
        <v/>
      </c>
      <c r="P2310" s="84" t="str">
        <f>IF($D2310="","",IF(ISNUMBER(MATCH($D2310,CMB_S,0)),1,IF(ISNUMBER(MATCH($D2310,CMB_G,0)),2,0)))</f>
        <v/>
      </c>
      <c r="Q2310" s="84">
        <f>IF(ISNUMBER($H2310),-$H2310,0)</f>
        <v>0</v>
      </c>
      <c r="R2310" s="84">
        <f>IF(ISNUMBER($I2310),ABS($I2310),0)</f>
        <v>0</v>
      </c>
      <c r="S2310" s="84">
        <f>IF(ISNUMBER($M2310),ABS($M2310),0)</f>
        <v>0</v>
      </c>
      <c r="T2310" s="85" t="n">
        <v>2302</v>
      </c>
    </row>
    <row r="2311">
      <c r="B2311" s="83" t="n"/>
      <c r="C2311" s="83" t="n"/>
      <c r="D2311" s="83" t="n"/>
      <c r="E2311" s="83" t="n"/>
      <c r="F2311" s="83" t="n"/>
      <c r="G2311" s="83" t="n"/>
      <c r="H2311" s="83" t="n"/>
      <c r="I2311" s="83" t="n"/>
      <c r="J2311" s="83" t="n"/>
      <c r="K2311" s="83" t="n"/>
      <c r="L2311" s="83" t="n"/>
      <c r="M2311" s="83" t="n"/>
      <c r="O2311" s="84" t="str">
        <f>IF($C2311="","",IFERROR(MATCH($B2311&amp;"|"&amp;$C2311,MUROS!$AX$11:$AX$70,0),0))</f>
        <v/>
      </c>
      <c r="P2311" s="84" t="str">
        <f>IF($D2311="","",IF(ISNUMBER(MATCH($D2311,CMB_S,0)),1,IF(ISNUMBER(MATCH($D2311,CMB_G,0)),2,0)))</f>
        <v/>
      </c>
      <c r="Q2311" s="84">
        <f>IF(ISNUMBER($H2311),-$H2311,0)</f>
        <v>0</v>
      </c>
      <c r="R2311" s="84">
        <f>IF(ISNUMBER($I2311),ABS($I2311),0)</f>
        <v>0</v>
      </c>
      <c r="S2311" s="84">
        <f>IF(ISNUMBER($M2311),ABS($M2311),0)</f>
        <v>0</v>
      </c>
      <c r="T2311" s="85" t="n">
        <v>2303</v>
      </c>
    </row>
    <row r="2312">
      <c r="B2312" s="83" t="n"/>
      <c r="C2312" s="83" t="n"/>
      <c r="D2312" s="83" t="n"/>
      <c r="E2312" s="83" t="n"/>
      <c r="F2312" s="83" t="n"/>
      <c r="G2312" s="83" t="n"/>
      <c r="H2312" s="83" t="n"/>
      <c r="I2312" s="83" t="n"/>
      <c r="J2312" s="83" t="n"/>
      <c r="K2312" s="83" t="n"/>
      <c r="L2312" s="83" t="n"/>
      <c r="M2312" s="83" t="n"/>
      <c r="O2312" s="84" t="str">
        <f>IF($C2312="","",IFERROR(MATCH($B2312&amp;"|"&amp;$C2312,MUROS!$AX$11:$AX$70,0),0))</f>
        <v/>
      </c>
      <c r="P2312" s="84" t="str">
        <f>IF($D2312="","",IF(ISNUMBER(MATCH($D2312,CMB_S,0)),1,IF(ISNUMBER(MATCH($D2312,CMB_G,0)),2,0)))</f>
        <v/>
      </c>
      <c r="Q2312" s="84">
        <f>IF(ISNUMBER($H2312),-$H2312,0)</f>
        <v>0</v>
      </c>
      <c r="R2312" s="84">
        <f>IF(ISNUMBER($I2312),ABS($I2312),0)</f>
        <v>0</v>
      </c>
      <c r="S2312" s="84">
        <f>IF(ISNUMBER($M2312),ABS($M2312),0)</f>
        <v>0</v>
      </c>
      <c r="T2312" s="85" t="n">
        <v>2304</v>
      </c>
    </row>
    <row r="2313">
      <c r="B2313" s="83" t="n"/>
      <c r="C2313" s="83" t="n"/>
      <c r="D2313" s="83" t="n"/>
      <c r="E2313" s="83" t="n"/>
      <c r="F2313" s="83" t="n"/>
      <c r="G2313" s="83" t="n"/>
      <c r="H2313" s="83" t="n"/>
      <c r="I2313" s="83" t="n"/>
      <c r="J2313" s="83" t="n"/>
      <c r="K2313" s="83" t="n"/>
      <c r="L2313" s="83" t="n"/>
      <c r="M2313" s="83" t="n"/>
      <c r="O2313" s="84" t="str">
        <f>IF($C2313="","",IFERROR(MATCH($B2313&amp;"|"&amp;$C2313,MUROS!$AX$11:$AX$70,0),0))</f>
        <v/>
      </c>
      <c r="P2313" s="84" t="str">
        <f>IF($D2313="","",IF(ISNUMBER(MATCH($D2313,CMB_S,0)),1,IF(ISNUMBER(MATCH($D2313,CMB_G,0)),2,0)))</f>
        <v/>
      </c>
      <c r="Q2313" s="84">
        <f>IF(ISNUMBER($H2313),-$H2313,0)</f>
        <v>0</v>
      </c>
      <c r="R2313" s="84">
        <f>IF(ISNUMBER($I2313),ABS($I2313),0)</f>
        <v>0</v>
      </c>
      <c r="S2313" s="84">
        <f>IF(ISNUMBER($M2313),ABS($M2313),0)</f>
        <v>0</v>
      </c>
      <c r="T2313" s="85" t="n">
        <v>2305</v>
      </c>
    </row>
    <row r="2314">
      <c r="B2314" s="83" t="n"/>
      <c r="C2314" s="83" t="n"/>
      <c r="D2314" s="83" t="n"/>
      <c r="E2314" s="83" t="n"/>
      <c r="F2314" s="83" t="n"/>
      <c r="G2314" s="83" t="n"/>
      <c r="H2314" s="83" t="n"/>
      <c r="I2314" s="83" t="n"/>
      <c r="J2314" s="83" t="n"/>
      <c r="K2314" s="83" t="n"/>
      <c r="L2314" s="83" t="n"/>
      <c r="M2314" s="83" t="n"/>
      <c r="O2314" s="84" t="str">
        <f>IF($C2314="","",IFERROR(MATCH($B2314&amp;"|"&amp;$C2314,MUROS!$AX$11:$AX$70,0),0))</f>
        <v/>
      </c>
      <c r="P2314" s="84" t="str">
        <f>IF($D2314="","",IF(ISNUMBER(MATCH($D2314,CMB_S,0)),1,IF(ISNUMBER(MATCH($D2314,CMB_G,0)),2,0)))</f>
        <v/>
      </c>
      <c r="Q2314" s="84">
        <f>IF(ISNUMBER($H2314),-$H2314,0)</f>
        <v>0</v>
      </c>
      <c r="R2314" s="84">
        <f>IF(ISNUMBER($I2314),ABS($I2314),0)</f>
        <v>0</v>
      </c>
      <c r="S2314" s="84">
        <f>IF(ISNUMBER($M2314),ABS($M2314),0)</f>
        <v>0</v>
      </c>
      <c r="T2314" s="85" t="n">
        <v>2306</v>
      </c>
    </row>
    <row r="2315">
      <c r="B2315" s="83" t="n"/>
      <c r="C2315" s="83" t="n"/>
      <c r="D2315" s="83" t="n"/>
      <c r="E2315" s="83" t="n"/>
      <c r="F2315" s="83" t="n"/>
      <c r="G2315" s="83" t="n"/>
      <c r="H2315" s="83" t="n"/>
      <c r="I2315" s="83" t="n"/>
      <c r="J2315" s="83" t="n"/>
      <c r="K2315" s="83" t="n"/>
      <c r="L2315" s="83" t="n"/>
      <c r="M2315" s="83" t="n"/>
      <c r="O2315" s="84" t="str">
        <f>IF($C2315="","",IFERROR(MATCH($B2315&amp;"|"&amp;$C2315,MUROS!$AX$11:$AX$70,0),0))</f>
        <v/>
      </c>
      <c r="P2315" s="84" t="str">
        <f>IF($D2315="","",IF(ISNUMBER(MATCH($D2315,CMB_S,0)),1,IF(ISNUMBER(MATCH($D2315,CMB_G,0)),2,0)))</f>
        <v/>
      </c>
      <c r="Q2315" s="84">
        <f>IF(ISNUMBER($H2315),-$H2315,0)</f>
        <v>0</v>
      </c>
      <c r="R2315" s="84">
        <f>IF(ISNUMBER($I2315),ABS($I2315),0)</f>
        <v>0</v>
      </c>
      <c r="S2315" s="84">
        <f>IF(ISNUMBER($M2315),ABS($M2315),0)</f>
        <v>0</v>
      </c>
      <c r="T2315" s="85" t="n">
        <v>2307</v>
      </c>
    </row>
    <row r="2316">
      <c r="B2316" s="83" t="n"/>
      <c r="C2316" s="83" t="n"/>
      <c r="D2316" s="83" t="n"/>
      <c r="E2316" s="83" t="n"/>
      <c r="F2316" s="83" t="n"/>
      <c r="G2316" s="83" t="n"/>
      <c r="H2316" s="83" t="n"/>
      <c r="I2316" s="83" t="n"/>
      <c r="J2316" s="83" t="n"/>
      <c r="K2316" s="83" t="n"/>
      <c r="L2316" s="83" t="n"/>
      <c r="M2316" s="83" t="n"/>
      <c r="O2316" s="84" t="str">
        <f>IF($C2316="","",IFERROR(MATCH($B2316&amp;"|"&amp;$C2316,MUROS!$AX$11:$AX$70,0),0))</f>
        <v/>
      </c>
      <c r="P2316" s="84" t="str">
        <f>IF($D2316="","",IF(ISNUMBER(MATCH($D2316,CMB_S,0)),1,IF(ISNUMBER(MATCH($D2316,CMB_G,0)),2,0)))</f>
        <v/>
      </c>
      <c r="Q2316" s="84">
        <f>IF(ISNUMBER($H2316),-$H2316,0)</f>
        <v>0</v>
      </c>
      <c r="R2316" s="84">
        <f>IF(ISNUMBER($I2316),ABS($I2316),0)</f>
        <v>0</v>
      </c>
      <c r="S2316" s="84">
        <f>IF(ISNUMBER($M2316),ABS($M2316),0)</f>
        <v>0</v>
      </c>
      <c r="T2316" s="85" t="n">
        <v>2308</v>
      </c>
    </row>
    <row r="2317">
      <c r="B2317" s="83" t="n"/>
      <c r="C2317" s="83" t="n"/>
      <c r="D2317" s="83" t="n"/>
      <c r="E2317" s="83" t="n"/>
      <c r="F2317" s="83" t="n"/>
      <c r="G2317" s="83" t="n"/>
      <c r="H2317" s="83" t="n"/>
      <c r="I2317" s="83" t="n"/>
      <c r="J2317" s="83" t="n"/>
      <c r="K2317" s="83" t="n"/>
      <c r="L2317" s="83" t="n"/>
      <c r="M2317" s="83" t="n"/>
      <c r="O2317" s="84" t="str">
        <f>IF($C2317="","",IFERROR(MATCH($B2317&amp;"|"&amp;$C2317,MUROS!$AX$11:$AX$70,0),0))</f>
        <v/>
      </c>
      <c r="P2317" s="84" t="str">
        <f>IF($D2317="","",IF(ISNUMBER(MATCH($D2317,CMB_S,0)),1,IF(ISNUMBER(MATCH($D2317,CMB_G,0)),2,0)))</f>
        <v/>
      </c>
      <c r="Q2317" s="84">
        <f>IF(ISNUMBER($H2317),-$H2317,0)</f>
        <v>0</v>
      </c>
      <c r="R2317" s="84">
        <f>IF(ISNUMBER($I2317),ABS($I2317),0)</f>
        <v>0</v>
      </c>
      <c r="S2317" s="84">
        <f>IF(ISNUMBER($M2317),ABS($M2317),0)</f>
        <v>0</v>
      </c>
      <c r="T2317" s="85" t="n">
        <v>2309</v>
      </c>
    </row>
    <row r="2318">
      <c r="B2318" s="83" t="n"/>
      <c r="C2318" s="83" t="n"/>
      <c r="D2318" s="83" t="n"/>
      <c r="E2318" s="83" t="n"/>
      <c r="F2318" s="83" t="n"/>
      <c r="G2318" s="83" t="n"/>
      <c r="H2318" s="83" t="n"/>
      <c r="I2318" s="83" t="n"/>
      <c r="J2318" s="83" t="n"/>
      <c r="K2318" s="83" t="n"/>
      <c r="L2318" s="83" t="n"/>
      <c r="M2318" s="83" t="n"/>
      <c r="O2318" s="84" t="str">
        <f>IF($C2318="","",IFERROR(MATCH($B2318&amp;"|"&amp;$C2318,MUROS!$AX$11:$AX$70,0),0))</f>
        <v/>
      </c>
      <c r="P2318" s="84" t="str">
        <f>IF($D2318="","",IF(ISNUMBER(MATCH($D2318,CMB_S,0)),1,IF(ISNUMBER(MATCH($D2318,CMB_G,0)),2,0)))</f>
        <v/>
      </c>
      <c r="Q2318" s="84">
        <f>IF(ISNUMBER($H2318),-$H2318,0)</f>
        <v>0</v>
      </c>
      <c r="R2318" s="84">
        <f>IF(ISNUMBER($I2318),ABS($I2318),0)</f>
        <v>0</v>
      </c>
      <c r="S2318" s="84">
        <f>IF(ISNUMBER($M2318),ABS($M2318),0)</f>
        <v>0</v>
      </c>
      <c r="T2318" s="85" t="n">
        <v>2310</v>
      </c>
    </row>
    <row r="2319">
      <c r="B2319" s="83" t="n"/>
      <c r="C2319" s="83" t="n"/>
      <c r="D2319" s="83" t="n"/>
      <c r="E2319" s="83" t="n"/>
      <c r="F2319" s="83" t="n"/>
      <c r="G2319" s="83" t="n"/>
      <c r="H2319" s="83" t="n"/>
      <c r="I2319" s="83" t="n"/>
      <c r="J2319" s="83" t="n"/>
      <c r="K2319" s="83" t="n"/>
      <c r="L2319" s="83" t="n"/>
      <c r="M2319" s="83" t="n"/>
      <c r="O2319" s="84" t="str">
        <f>IF($C2319="","",IFERROR(MATCH($B2319&amp;"|"&amp;$C2319,MUROS!$AX$11:$AX$70,0),0))</f>
        <v/>
      </c>
      <c r="P2319" s="84" t="str">
        <f>IF($D2319="","",IF(ISNUMBER(MATCH($D2319,CMB_S,0)),1,IF(ISNUMBER(MATCH($D2319,CMB_G,0)),2,0)))</f>
        <v/>
      </c>
      <c r="Q2319" s="84">
        <f>IF(ISNUMBER($H2319),-$H2319,0)</f>
        <v>0</v>
      </c>
      <c r="R2319" s="84">
        <f>IF(ISNUMBER($I2319),ABS($I2319),0)</f>
        <v>0</v>
      </c>
      <c r="S2319" s="84">
        <f>IF(ISNUMBER($M2319),ABS($M2319),0)</f>
        <v>0</v>
      </c>
      <c r="T2319" s="85" t="n">
        <v>2311</v>
      </c>
    </row>
    <row r="2320">
      <c r="B2320" s="83" t="n"/>
      <c r="C2320" s="83" t="n"/>
      <c r="D2320" s="83" t="n"/>
      <c r="E2320" s="83" t="n"/>
      <c r="F2320" s="83" t="n"/>
      <c r="G2320" s="83" t="n"/>
      <c r="H2320" s="83" t="n"/>
      <c r="I2320" s="83" t="n"/>
      <c r="J2320" s="83" t="n"/>
      <c r="K2320" s="83" t="n"/>
      <c r="L2320" s="83" t="n"/>
      <c r="M2320" s="83" t="n"/>
      <c r="O2320" s="84" t="str">
        <f>IF($C2320="","",IFERROR(MATCH($B2320&amp;"|"&amp;$C2320,MUROS!$AX$11:$AX$70,0),0))</f>
        <v/>
      </c>
      <c r="P2320" s="84" t="str">
        <f>IF($D2320="","",IF(ISNUMBER(MATCH($D2320,CMB_S,0)),1,IF(ISNUMBER(MATCH($D2320,CMB_G,0)),2,0)))</f>
        <v/>
      </c>
      <c r="Q2320" s="84">
        <f>IF(ISNUMBER($H2320),-$H2320,0)</f>
        <v>0</v>
      </c>
      <c r="R2320" s="84">
        <f>IF(ISNUMBER($I2320),ABS($I2320),0)</f>
        <v>0</v>
      </c>
      <c r="S2320" s="84">
        <f>IF(ISNUMBER($M2320),ABS($M2320),0)</f>
        <v>0</v>
      </c>
      <c r="T2320" s="85" t="n">
        <v>2312</v>
      </c>
    </row>
    <row r="2321">
      <c r="B2321" s="83" t="n"/>
      <c r="C2321" s="83" t="n"/>
      <c r="D2321" s="83" t="n"/>
      <c r="E2321" s="83" t="n"/>
      <c r="F2321" s="83" t="n"/>
      <c r="G2321" s="83" t="n"/>
      <c r="H2321" s="83" t="n"/>
      <c r="I2321" s="83" t="n"/>
      <c r="J2321" s="83" t="n"/>
      <c r="K2321" s="83" t="n"/>
      <c r="L2321" s="83" t="n"/>
      <c r="M2321" s="83" t="n"/>
      <c r="O2321" s="84" t="str">
        <f>IF($C2321="","",IFERROR(MATCH($B2321&amp;"|"&amp;$C2321,MUROS!$AX$11:$AX$70,0),0))</f>
        <v/>
      </c>
      <c r="P2321" s="84" t="str">
        <f>IF($D2321="","",IF(ISNUMBER(MATCH($D2321,CMB_S,0)),1,IF(ISNUMBER(MATCH($D2321,CMB_G,0)),2,0)))</f>
        <v/>
      </c>
      <c r="Q2321" s="84">
        <f>IF(ISNUMBER($H2321),-$H2321,0)</f>
        <v>0</v>
      </c>
      <c r="R2321" s="84">
        <f>IF(ISNUMBER($I2321),ABS($I2321),0)</f>
        <v>0</v>
      </c>
      <c r="S2321" s="84">
        <f>IF(ISNUMBER($M2321),ABS($M2321),0)</f>
        <v>0</v>
      </c>
      <c r="T2321" s="85" t="n">
        <v>2313</v>
      </c>
    </row>
    <row r="2322">
      <c r="B2322" s="83" t="n"/>
      <c r="C2322" s="83" t="n"/>
      <c r="D2322" s="83" t="n"/>
      <c r="E2322" s="83" t="n"/>
      <c r="F2322" s="83" t="n"/>
      <c r="G2322" s="83" t="n"/>
      <c r="H2322" s="83" t="n"/>
      <c r="I2322" s="83" t="n"/>
      <c r="J2322" s="83" t="n"/>
      <c r="K2322" s="83" t="n"/>
      <c r="L2322" s="83" t="n"/>
      <c r="M2322" s="83" t="n"/>
      <c r="O2322" s="84" t="str">
        <f>IF($C2322="","",IFERROR(MATCH($B2322&amp;"|"&amp;$C2322,MUROS!$AX$11:$AX$70,0),0))</f>
        <v/>
      </c>
      <c r="P2322" s="84" t="str">
        <f>IF($D2322="","",IF(ISNUMBER(MATCH($D2322,CMB_S,0)),1,IF(ISNUMBER(MATCH($D2322,CMB_G,0)),2,0)))</f>
        <v/>
      </c>
      <c r="Q2322" s="84">
        <f>IF(ISNUMBER($H2322),-$H2322,0)</f>
        <v>0</v>
      </c>
      <c r="R2322" s="84">
        <f>IF(ISNUMBER($I2322),ABS($I2322),0)</f>
        <v>0</v>
      </c>
      <c r="S2322" s="84">
        <f>IF(ISNUMBER($M2322),ABS($M2322),0)</f>
        <v>0</v>
      </c>
      <c r="T2322" s="85" t="n">
        <v>2314</v>
      </c>
    </row>
    <row r="2323">
      <c r="B2323" s="83" t="n"/>
      <c r="C2323" s="83" t="n"/>
      <c r="D2323" s="83" t="n"/>
      <c r="E2323" s="83" t="n"/>
      <c r="F2323" s="83" t="n"/>
      <c r="G2323" s="83" t="n"/>
      <c r="H2323" s="83" t="n"/>
      <c r="I2323" s="83" t="n"/>
      <c r="J2323" s="83" t="n"/>
      <c r="K2323" s="83" t="n"/>
      <c r="L2323" s="83" t="n"/>
      <c r="M2323" s="83" t="n"/>
      <c r="O2323" s="84" t="str">
        <f>IF($C2323="","",IFERROR(MATCH($B2323&amp;"|"&amp;$C2323,MUROS!$AX$11:$AX$70,0),0))</f>
        <v/>
      </c>
      <c r="P2323" s="84" t="str">
        <f>IF($D2323="","",IF(ISNUMBER(MATCH($D2323,CMB_S,0)),1,IF(ISNUMBER(MATCH($D2323,CMB_G,0)),2,0)))</f>
        <v/>
      </c>
      <c r="Q2323" s="84">
        <f>IF(ISNUMBER($H2323),-$H2323,0)</f>
        <v>0</v>
      </c>
      <c r="R2323" s="84">
        <f>IF(ISNUMBER($I2323),ABS($I2323),0)</f>
        <v>0</v>
      </c>
      <c r="S2323" s="84">
        <f>IF(ISNUMBER($M2323),ABS($M2323),0)</f>
        <v>0</v>
      </c>
      <c r="T2323" s="85" t="n">
        <v>2315</v>
      </c>
    </row>
    <row r="2324">
      <c r="B2324" s="83" t="n"/>
      <c r="C2324" s="83" t="n"/>
      <c r="D2324" s="83" t="n"/>
      <c r="E2324" s="83" t="n"/>
      <c r="F2324" s="83" t="n"/>
      <c r="G2324" s="83" t="n"/>
      <c r="H2324" s="83" t="n"/>
      <c r="I2324" s="83" t="n"/>
      <c r="J2324" s="83" t="n"/>
      <c r="K2324" s="83" t="n"/>
      <c r="L2324" s="83" t="n"/>
      <c r="M2324" s="83" t="n"/>
      <c r="O2324" s="84" t="str">
        <f>IF($C2324="","",IFERROR(MATCH($B2324&amp;"|"&amp;$C2324,MUROS!$AX$11:$AX$70,0),0))</f>
        <v/>
      </c>
      <c r="P2324" s="84" t="str">
        <f>IF($D2324="","",IF(ISNUMBER(MATCH($D2324,CMB_S,0)),1,IF(ISNUMBER(MATCH($D2324,CMB_G,0)),2,0)))</f>
        <v/>
      </c>
      <c r="Q2324" s="84">
        <f>IF(ISNUMBER($H2324),-$H2324,0)</f>
        <v>0</v>
      </c>
      <c r="R2324" s="84">
        <f>IF(ISNUMBER($I2324),ABS($I2324),0)</f>
        <v>0</v>
      </c>
      <c r="S2324" s="84">
        <f>IF(ISNUMBER($M2324),ABS($M2324),0)</f>
        <v>0</v>
      </c>
      <c r="T2324" s="85" t="n">
        <v>2316</v>
      </c>
    </row>
    <row r="2325">
      <c r="B2325" s="83" t="n"/>
      <c r="C2325" s="83" t="n"/>
      <c r="D2325" s="83" t="n"/>
      <c r="E2325" s="83" t="n"/>
      <c r="F2325" s="83" t="n"/>
      <c r="G2325" s="83" t="n"/>
      <c r="H2325" s="83" t="n"/>
      <c r="I2325" s="83" t="n"/>
      <c r="J2325" s="83" t="n"/>
      <c r="K2325" s="83" t="n"/>
      <c r="L2325" s="83" t="n"/>
      <c r="M2325" s="83" t="n"/>
      <c r="O2325" s="84" t="str">
        <f>IF($C2325="","",IFERROR(MATCH($B2325&amp;"|"&amp;$C2325,MUROS!$AX$11:$AX$70,0),0))</f>
        <v/>
      </c>
      <c r="P2325" s="84" t="str">
        <f>IF($D2325="","",IF(ISNUMBER(MATCH($D2325,CMB_S,0)),1,IF(ISNUMBER(MATCH($D2325,CMB_G,0)),2,0)))</f>
        <v/>
      </c>
      <c r="Q2325" s="84">
        <f>IF(ISNUMBER($H2325),-$H2325,0)</f>
        <v>0</v>
      </c>
      <c r="R2325" s="84">
        <f>IF(ISNUMBER($I2325),ABS($I2325),0)</f>
        <v>0</v>
      </c>
      <c r="S2325" s="84">
        <f>IF(ISNUMBER($M2325),ABS($M2325),0)</f>
        <v>0</v>
      </c>
      <c r="T2325" s="85" t="n">
        <v>2317</v>
      </c>
    </row>
    <row r="2326">
      <c r="B2326" s="83" t="n"/>
      <c r="C2326" s="83" t="n"/>
      <c r="D2326" s="83" t="n"/>
      <c r="E2326" s="83" t="n"/>
      <c r="F2326" s="83" t="n"/>
      <c r="G2326" s="83" t="n"/>
      <c r="H2326" s="83" t="n"/>
      <c r="I2326" s="83" t="n"/>
      <c r="J2326" s="83" t="n"/>
      <c r="K2326" s="83" t="n"/>
      <c r="L2326" s="83" t="n"/>
      <c r="M2326" s="83" t="n"/>
      <c r="O2326" s="84" t="str">
        <f>IF($C2326="","",IFERROR(MATCH($B2326&amp;"|"&amp;$C2326,MUROS!$AX$11:$AX$70,0),0))</f>
        <v/>
      </c>
      <c r="P2326" s="84" t="str">
        <f>IF($D2326="","",IF(ISNUMBER(MATCH($D2326,CMB_S,0)),1,IF(ISNUMBER(MATCH($D2326,CMB_G,0)),2,0)))</f>
        <v/>
      </c>
      <c r="Q2326" s="84">
        <f>IF(ISNUMBER($H2326),-$H2326,0)</f>
        <v>0</v>
      </c>
      <c r="R2326" s="84">
        <f>IF(ISNUMBER($I2326),ABS($I2326),0)</f>
        <v>0</v>
      </c>
      <c r="S2326" s="84">
        <f>IF(ISNUMBER($M2326),ABS($M2326),0)</f>
        <v>0</v>
      </c>
      <c r="T2326" s="85" t="n">
        <v>2318</v>
      </c>
    </row>
    <row r="2327">
      <c r="B2327" s="83" t="n"/>
      <c r="C2327" s="83" t="n"/>
      <c r="D2327" s="83" t="n"/>
      <c r="E2327" s="83" t="n"/>
      <c r="F2327" s="83" t="n"/>
      <c r="G2327" s="83" t="n"/>
      <c r="H2327" s="83" t="n"/>
      <c r="I2327" s="83" t="n"/>
      <c r="J2327" s="83" t="n"/>
      <c r="K2327" s="83" t="n"/>
      <c r="L2327" s="83" t="n"/>
      <c r="M2327" s="83" t="n"/>
      <c r="O2327" s="84" t="str">
        <f>IF($C2327="","",IFERROR(MATCH($B2327&amp;"|"&amp;$C2327,MUROS!$AX$11:$AX$70,0),0))</f>
        <v/>
      </c>
      <c r="P2327" s="84" t="str">
        <f>IF($D2327="","",IF(ISNUMBER(MATCH($D2327,CMB_S,0)),1,IF(ISNUMBER(MATCH($D2327,CMB_G,0)),2,0)))</f>
        <v/>
      </c>
      <c r="Q2327" s="84">
        <f>IF(ISNUMBER($H2327),-$H2327,0)</f>
        <v>0</v>
      </c>
      <c r="R2327" s="84">
        <f>IF(ISNUMBER($I2327),ABS($I2327),0)</f>
        <v>0</v>
      </c>
      <c r="S2327" s="84">
        <f>IF(ISNUMBER($M2327),ABS($M2327),0)</f>
        <v>0</v>
      </c>
      <c r="T2327" s="85" t="n">
        <v>2319</v>
      </c>
    </row>
    <row r="2328">
      <c r="B2328" s="83" t="n"/>
      <c r="C2328" s="83" t="n"/>
      <c r="D2328" s="83" t="n"/>
      <c r="E2328" s="83" t="n"/>
      <c r="F2328" s="83" t="n"/>
      <c r="G2328" s="83" t="n"/>
      <c r="H2328" s="83" t="n"/>
      <c r="I2328" s="83" t="n"/>
      <c r="J2328" s="83" t="n"/>
      <c r="K2328" s="83" t="n"/>
      <c r="L2328" s="83" t="n"/>
      <c r="M2328" s="83" t="n"/>
      <c r="O2328" s="84" t="str">
        <f>IF($C2328="","",IFERROR(MATCH($B2328&amp;"|"&amp;$C2328,MUROS!$AX$11:$AX$70,0),0))</f>
        <v/>
      </c>
      <c r="P2328" s="84" t="str">
        <f>IF($D2328="","",IF(ISNUMBER(MATCH($D2328,CMB_S,0)),1,IF(ISNUMBER(MATCH($D2328,CMB_G,0)),2,0)))</f>
        <v/>
      </c>
      <c r="Q2328" s="84">
        <f>IF(ISNUMBER($H2328),-$H2328,0)</f>
        <v>0</v>
      </c>
      <c r="R2328" s="84">
        <f>IF(ISNUMBER($I2328),ABS($I2328),0)</f>
        <v>0</v>
      </c>
      <c r="S2328" s="84">
        <f>IF(ISNUMBER($M2328),ABS($M2328),0)</f>
        <v>0</v>
      </c>
      <c r="T2328" s="85" t="n">
        <v>2320</v>
      </c>
    </row>
    <row r="2329">
      <c r="B2329" s="83" t="n"/>
      <c r="C2329" s="83" t="n"/>
      <c r="D2329" s="83" t="n"/>
      <c r="E2329" s="83" t="n"/>
      <c r="F2329" s="83" t="n"/>
      <c r="G2329" s="83" t="n"/>
      <c r="H2329" s="83" t="n"/>
      <c r="I2329" s="83" t="n"/>
      <c r="J2329" s="83" t="n"/>
      <c r="K2329" s="83" t="n"/>
      <c r="L2329" s="83" t="n"/>
      <c r="M2329" s="83" t="n"/>
      <c r="O2329" s="84" t="str">
        <f>IF($C2329="","",IFERROR(MATCH($B2329&amp;"|"&amp;$C2329,MUROS!$AX$11:$AX$70,0),0))</f>
        <v/>
      </c>
      <c r="P2329" s="84" t="str">
        <f>IF($D2329="","",IF(ISNUMBER(MATCH($D2329,CMB_S,0)),1,IF(ISNUMBER(MATCH($D2329,CMB_G,0)),2,0)))</f>
        <v/>
      </c>
      <c r="Q2329" s="84">
        <f>IF(ISNUMBER($H2329),-$H2329,0)</f>
        <v>0</v>
      </c>
      <c r="R2329" s="84">
        <f>IF(ISNUMBER($I2329),ABS($I2329),0)</f>
        <v>0</v>
      </c>
      <c r="S2329" s="84">
        <f>IF(ISNUMBER($M2329),ABS($M2329),0)</f>
        <v>0</v>
      </c>
      <c r="T2329" s="85" t="n">
        <v>2321</v>
      </c>
    </row>
    <row r="2330">
      <c r="B2330" s="83" t="n"/>
      <c r="C2330" s="83" t="n"/>
      <c r="D2330" s="83" t="n"/>
      <c r="E2330" s="83" t="n"/>
      <c r="F2330" s="83" t="n"/>
      <c r="G2330" s="83" t="n"/>
      <c r="H2330" s="83" t="n"/>
      <c r="I2330" s="83" t="n"/>
      <c r="J2330" s="83" t="n"/>
      <c r="K2330" s="83" t="n"/>
      <c r="L2330" s="83" t="n"/>
      <c r="M2330" s="83" t="n"/>
      <c r="O2330" s="84" t="str">
        <f>IF($C2330="","",IFERROR(MATCH($B2330&amp;"|"&amp;$C2330,MUROS!$AX$11:$AX$70,0),0))</f>
        <v/>
      </c>
      <c r="P2330" s="84" t="str">
        <f>IF($D2330="","",IF(ISNUMBER(MATCH($D2330,CMB_S,0)),1,IF(ISNUMBER(MATCH($D2330,CMB_G,0)),2,0)))</f>
        <v/>
      </c>
      <c r="Q2330" s="84">
        <f>IF(ISNUMBER($H2330),-$H2330,0)</f>
        <v>0</v>
      </c>
      <c r="R2330" s="84">
        <f>IF(ISNUMBER($I2330),ABS($I2330),0)</f>
        <v>0</v>
      </c>
      <c r="S2330" s="84">
        <f>IF(ISNUMBER($M2330),ABS($M2330),0)</f>
        <v>0</v>
      </c>
      <c r="T2330" s="85" t="n">
        <v>2322</v>
      </c>
    </row>
    <row r="2331">
      <c r="B2331" s="83" t="n"/>
      <c r="C2331" s="83" t="n"/>
      <c r="D2331" s="83" t="n"/>
      <c r="E2331" s="83" t="n"/>
      <c r="F2331" s="83" t="n"/>
      <c r="G2331" s="83" t="n"/>
      <c r="H2331" s="83" t="n"/>
      <c r="I2331" s="83" t="n"/>
      <c r="J2331" s="83" t="n"/>
      <c r="K2331" s="83" t="n"/>
      <c r="L2331" s="83" t="n"/>
      <c r="M2331" s="83" t="n"/>
      <c r="O2331" s="84" t="str">
        <f>IF($C2331="","",IFERROR(MATCH($B2331&amp;"|"&amp;$C2331,MUROS!$AX$11:$AX$70,0),0))</f>
        <v/>
      </c>
      <c r="P2331" s="84" t="str">
        <f>IF($D2331="","",IF(ISNUMBER(MATCH($D2331,CMB_S,0)),1,IF(ISNUMBER(MATCH($D2331,CMB_G,0)),2,0)))</f>
        <v/>
      </c>
      <c r="Q2331" s="84">
        <f>IF(ISNUMBER($H2331),-$H2331,0)</f>
        <v>0</v>
      </c>
      <c r="R2331" s="84">
        <f>IF(ISNUMBER($I2331),ABS($I2331),0)</f>
        <v>0</v>
      </c>
      <c r="S2331" s="84">
        <f>IF(ISNUMBER($M2331),ABS($M2331),0)</f>
        <v>0</v>
      </c>
      <c r="T2331" s="85" t="n">
        <v>2323</v>
      </c>
    </row>
    <row r="2332">
      <c r="B2332" s="83" t="n"/>
      <c r="C2332" s="83" t="n"/>
      <c r="D2332" s="83" t="n"/>
      <c r="E2332" s="83" t="n"/>
      <c r="F2332" s="83" t="n"/>
      <c r="G2332" s="83" t="n"/>
      <c r="H2332" s="83" t="n"/>
      <c r="I2332" s="83" t="n"/>
      <c r="J2332" s="83" t="n"/>
      <c r="K2332" s="83" t="n"/>
      <c r="L2332" s="83" t="n"/>
      <c r="M2332" s="83" t="n"/>
      <c r="O2332" s="84" t="str">
        <f>IF($C2332="","",IFERROR(MATCH($B2332&amp;"|"&amp;$C2332,MUROS!$AX$11:$AX$70,0),0))</f>
        <v/>
      </c>
      <c r="P2332" s="84" t="str">
        <f>IF($D2332="","",IF(ISNUMBER(MATCH($D2332,CMB_S,0)),1,IF(ISNUMBER(MATCH($D2332,CMB_G,0)),2,0)))</f>
        <v/>
      </c>
      <c r="Q2332" s="84">
        <f>IF(ISNUMBER($H2332),-$H2332,0)</f>
        <v>0</v>
      </c>
      <c r="R2332" s="84">
        <f>IF(ISNUMBER($I2332),ABS($I2332),0)</f>
        <v>0</v>
      </c>
      <c r="S2332" s="84">
        <f>IF(ISNUMBER($M2332),ABS($M2332),0)</f>
        <v>0</v>
      </c>
      <c r="T2332" s="85" t="n">
        <v>2324</v>
      </c>
    </row>
    <row r="2333">
      <c r="B2333" s="83" t="n"/>
      <c r="C2333" s="83" t="n"/>
      <c r="D2333" s="83" t="n"/>
      <c r="E2333" s="83" t="n"/>
      <c r="F2333" s="83" t="n"/>
      <c r="G2333" s="83" t="n"/>
      <c r="H2333" s="83" t="n"/>
      <c r="I2333" s="83" t="n"/>
      <c r="J2333" s="83" t="n"/>
      <c r="K2333" s="83" t="n"/>
      <c r="L2333" s="83" t="n"/>
      <c r="M2333" s="83" t="n"/>
      <c r="O2333" s="84" t="str">
        <f>IF($C2333="","",IFERROR(MATCH($B2333&amp;"|"&amp;$C2333,MUROS!$AX$11:$AX$70,0),0))</f>
        <v/>
      </c>
      <c r="P2333" s="84" t="str">
        <f>IF($D2333="","",IF(ISNUMBER(MATCH($D2333,CMB_S,0)),1,IF(ISNUMBER(MATCH($D2333,CMB_G,0)),2,0)))</f>
        <v/>
      </c>
      <c r="Q2333" s="84">
        <f>IF(ISNUMBER($H2333),-$H2333,0)</f>
        <v>0</v>
      </c>
      <c r="R2333" s="84">
        <f>IF(ISNUMBER($I2333),ABS($I2333),0)</f>
        <v>0</v>
      </c>
      <c r="S2333" s="84">
        <f>IF(ISNUMBER($M2333),ABS($M2333),0)</f>
        <v>0</v>
      </c>
      <c r="T2333" s="85" t="n">
        <v>2325</v>
      </c>
    </row>
    <row r="2334">
      <c r="B2334" s="83" t="n"/>
      <c r="C2334" s="83" t="n"/>
      <c r="D2334" s="83" t="n"/>
      <c r="E2334" s="83" t="n"/>
      <c r="F2334" s="83" t="n"/>
      <c r="G2334" s="83" t="n"/>
      <c r="H2334" s="83" t="n"/>
      <c r="I2334" s="83" t="n"/>
      <c r="J2334" s="83" t="n"/>
      <c r="K2334" s="83" t="n"/>
      <c r="L2334" s="83" t="n"/>
      <c r="M2334" s="83" t="n"/>
      <c r="O2334" s="84" t="str">
        <f>IF($C2334="","",IFERROR(MATCH($B2334&amp;"|"&amp;$C2334,MUROS!$AX$11:$AX$70,0),0))</f>
        <v/>
      </c>
      <c r="P2334" s="84" t="str">
        <f>IF($D2334="","",IF(ISNUMBER(MATCH($D2334,CMB_S,0)),1,IF(ISNUMBER(MATCH($D2334,CMB_G,0)),2,0)))</f>
        <v/>
      </c>
      <c r="Q2334" s="84">
        <f>IF(ISNUMBER($H2334),-$H2334,0)</f>
        <v>0</v>
      </c>
      <c r="R2334" s="84">
        <f>IF(ISNUMBER($I2334),ABS($I2334),0)</f>
        <v>0</v>
      </c>
      <c r="S2334" s="84">
        <f>IF(ISNUMBER($M2334),ABS($M2334),0)</f>
        <v>0</v>
      </c>
      <c r="T2334" s="85" t="n">
        <v>2326</v>
      </c>
    </row>
    <row r="2335">
      <c r="B2335" s="83" t="n"/>
      <c r="C2335" s="83" t="n"/>
      <c r="D2335" s="83" t="n"/>
      <c r="E2335" s="83" t="n"/>
      <c r="F2335" s="83" t="n"/>
      <c r="G2335" s="83" t="n"/>
      <c r="H2335" s="83" t="n"/>
      <c r="I2335" s="83" t="n"/>
      <c r="J2335" s="83" t="n"/>
      <c r="K2335" s="83" t="n"/>
      <c r="L2335" s="83" t="n"/>
      <c r="M2335" s="83" t="n"/>
      <c r="O2335" s="84" t="str">
        <f>IF($C2335="","",IFERROR(MATCH($B2335&amp;"|"&amp;$C2335,MUROS!$AX$11:$AX$70,0),0))</f>
        <v/>
      </c>
      <c r="P2335" s="84" t="str">
        <f>IF($D2335="","",IF(ISNUMBER(MATCH($D2335,CMB_S,0)),1,IF(ISNUMBER(MATCH($D2335,CMB_G,0)),2,0)))</f>
        <v/>
      </c>
      <c r="Q2335" s="84">
        <f>IF(ISNUMBER($H2335),-$H2335,0)</f>
        <v>0</v>
      </c>
      <c r="R2335" s="84">
        <f>IF(ISNUMBER($I2335),ABS($I2335),0)</f>
        <v>0</v>
      </c>
      <c r="S2335" s="84">
        <f>IF(ISNUMBER($M2335),ABS($M2335),0)</f>
        <v>0</v>
      </c>
      <c r="T2335" s="85" t="n">
        <v>2327</v>
      </c>
    </row>
    <row r="2336">
      <c r="B2336" s="83" t="n"/>
      <c r="C2336" s="83" t="n"/>
      <c r="D2336" s="83" t="n"/>
      <c r="E2336" s="83" t="n"/>
      <c r="F2336" s="83" t="n"/>
      <c r="G2336" s="83" t="n"/>
      <c r="H2336" s="83" t="n"/>
      <c r="I2336" s="83" t="n"/>
      <c r="J2336" s="83" t="n"/>
      <c r="K2336" s="83" t="n"/>
      <c r="L2336" s="83" t="n"/>
      <c r="M2336" s="83" t="n"/>
      <c r="O2336" s="84" t="str">
        <f>IF($C2336="","",IFERROR(MATCH($B2336&amp;"|"&amp;$C2336,MUROS!$AX$11:$AX$70,0),0))</f>
        <v/>
      </c>
      <c r="P2336" s="84" t="str">
        <f>IF($D2336="","",IF(ISNUMBER(MATCH($D2336,CMB_S,0)),1,IF(ISNUMBER(MATCH($D2336,CMB_G,0)),2,0)))</f>
        <v/>
      </c>
      <c r="Q2336" s="84">
        <f>IF(ISNUMBER($H2336),-$H2336,0)</f>
        <v>0</v>
      </c>
      <c r="R2336" s="84">
        <f>IF(ISNUMBER($I2336),ABS($I2336),0)</f>
        <v>0</v>
      </c>
      <c r="S2336" s="84">
        <f>IF(ISNUMBER($M2336),ABS($M2336),0)</f>
        <v>0</v>
      </c>
      <c r="T2336" s="85" t="n">
        <v>2328</v>
      </c>
    </row>
    <row r="2337">
      <c r="B2337" s="83" t="n"/>
      <c r="C2337" s="83" t="n"/>
      <c r="D2337" s="83" t="n"/>
      <c r="E2337" s="83" t="n"/>
      <c r="F2337" s="83" t="n"/>
      <c r="G2337" s="83" t="n"/>
      <c r="H2337" s="83" t="n"/>
      <c r="I2337" s="83" t="n"/>
      <c r="J2337" s="83" t="n"/>
      <c r="K2337" s="83" t="n"/>
      <c r="L2337" s="83" t="n"/>
      <c r="M2337" s="83" t="n"/>
      <c r="O2337" s="84" t="str">
        <f>IF($C2337="","",IFERROR(MATCH($B2337&amp;"|"&amp;$C2337,MUROS!$AX$11:$AX$70,0),0))</f>
        <v/>
      </c>
      <c r="P2337" s="84" t="str">
        <f>IF($D2337="","",IF(ISNUMBER(MATCH($D2337,CMB_S,0)),1,IF(ISNUMBER(MATCH($D2337,CMB_G,0)),2,0)))</f>
        <v/>
      </c>
      <c r="Q2337" s="84">
        <f>IF(ISNUMBER($H2337),-$H2337,0)</f>
        <v>0</v>
      </c>
      <c r="R2337" s="84">
        <f>IF(ISNUMBER($I2337),ABS($I2337),0)</f>
        <v>0</v>
      </c>
      <c r="S2337" s="84">
        <f>IF(ISNUMBER($M2337),ABS($M2337),0)</f>
        <v>0</v>
      </c>
      <c r="T2337" s="85" t="n">
        <v>2329</v>
      </c>
    </row>
    <row r="2338">
      <c r="B2338" s="83" t="n"/>
      <c r="C2338" s="83" t="n"/>
      <c r="D2338" s="83" t="n"/>
      <c r="E2338" s="83" t="n"/>
      <c r="F2338" s="83" t="n"/>
      <c r="G2338" s="83" t="n"/>
      <c r="H2338" s="83" t="n"/>
      <c r="I2338" s="83" t="n"/>
      <c r="J2338" s="83" t="n"/>
      <c r="K2338" s="83" t="n"/>
      <c r="L2338" s="83" t="n"/>
      <c r="M2338" s="83" t="n"/>
      <c r="O2338" s="84" t="str">
        <f>IF($C2338="","",IFERROR(MATCH($B2338&amp;"|"&amp;$C2338,MUROS!$AX$11:$AX$70,0),0))</f>
        <v/>
      </c>
      <c r="P2338" s="84" t="str">
        <f>IF($D2338="","",IF(ISNUMBER(MATCH($D2338,CMB_S,0)),1,IF(ISNUMBER(MATCH($D2338,CMB_G,0)),2,0)))</f>
        <v/>
      </c>
      <c r="Q2338" s="84">
        <f>IF(ISNUMBER($H2338),-$H2338,0)</f>
        <v>0</v>
      </c>
      <c r="R2338" s="84">
        <f>IF(ISNUMBER($I2338),ABS($I2338),0)</f>
        <v>0</v>
      </c>
      <c r="S2338" s="84">
        <f>IF(ISNUMBER($M2338),ABS($M2338),0)</f>
        <v>0</v>
      </c>
      <c r="T2338" s="85" t="n">
        <v>2330</v>
      </c>
    </row>
    <row r="2339">
      <c r="B2339" s="83" t="n"/>
      <c r="C2339" s="83" t="n"/>
      <c r="D2339" s="83" t="n"/>
      <c r="E2339" s="83" t="n"/>
      <c r="F2339" s="83" t="n"/>
      <c r="G2339" s="83" t="n"/>
      <c r="H2339" s="83" t="n"/>
      <c r="I2339" s="83" t="n"/>
      <c r="J2339" s="83" t="n"/>
      <c r="K2339" s="83" t="n"/>
      <c r="L2339" s="83" t="n"/>
      <c r="M2339" s="83" t="n"/>
      <c r="O2339" s="84" t="str">
        <f>IF($C2339="","",IFERROR(MATCH($B2339&amp;"|"&amp;$C2339,MUROS!$AX$11:$AX$70,0),0))</f>
        <v/>
      </c>
      <c r="P2339" s="84" t="str">
        <f>IF($D2339="","",IF(ISNUMBER(MATCH($D2339,CMB_S,0)),1,IF(ISNUMBER(MATCH($D2339,CMB_G,0)),2,0)))</f>
        <v/>
      </c>
      <c r="Q2339" s="84">
        <f>IF(ISNUMBER($H2339),-$H2339,0)</f>
        <v>0</v>
      </c>
      <c r="R2339" s="84">
        <f>IF(ISNUMBER($I2339),ABS($I2339),0)</f>
        <v>0</v>
      </c>
      <c r="S2339" s="84">
        <f>IF(ISNUMBER($M2339),ABS($M2339),0)</f>
        <v>0</v>
      </c>
      <c r="T2339" s="85" t="n">
        <v>2331</v>
      </c>
    </row>
    <row r="2340">
      <c r="B2340" s="83" t="n"/>
      <c r="C2340" s="83" t="n"/>
      <c r="D2340" s="83" t="n"/>
      <c r="E2340" s="83" t="n"/>
      <c r="F2340" s="83" t="n"/>
      <c r="G2340" s="83" t="n"/>
      <c r="H2340" s="83" t="n"/>
      <c r="I2340" s="83" t="n"/>
      <c r="J2340" s="83" t="n"/>
      <c r="K2340" s="83" t="n"/>
      <c r="L2340" s="83" t="n"/>
      <c r="M2340" s="83" t="n"/>
      <c r="O2340" s="84" t="str">
        <f>IF($C2340="","",IFERROR(MATCH($B2340&amp;"|"&amp;$C2340,MUROS!$AX$11:$AX$70,0),0))</f>
        <v/>
      </c>
      <c r="P2340" s="84" t="str">
        <f>IF($D2340="","",IF(ISNUMBER(MATCH($D2340,CMB_S,0)),1,IF(ISNUMBER(MATCH($D2340,CMB_G,0)),2,0)))</f>
        <v/>
      </c>
      <c r="Q2340" s="84">
        <f>IF(ISNUMBER($H2340),-$H2340,0)</f>
        <v>0</v>
      </c>
      <c r="R2340" s="84">
        <f>IF(ISNUMBER($I2340),ABS($I2340),0)</f>
        <v>0</v>
      </c>
      <c r="S2340" s="84">
        <f>IF(ISNUMBER($M2340),ABS($M2340),0)</f>
        <v>0</v>
      </c>
      <c r="T2340" s="85" t="n">
        <v>2332</v>
      </c>
    </row>
    <row r="2341">
      <c r="B2341" s="83" t="n"/>
      <c r="C2341" s="83" t="n"/>
      <c r="D2341" s="83" t="n"/>
      <c r="E2341" s="83" t="n"/>
      <c r="F2341" s="83" t="n"/>
      <c r="G2341" s="83" t="n"/>
      <c r="H2341" s="83" t="n"/>
      <c r="I2341" s="83" t="n"/>
      <c r="J2341" s="83" t="n"/>
      <c r="K2341" s="83" t="n"/>
      <c r="L2341" s="83" t="n"/>
      <c r="M2341" s="83" t="n"/>
      <c r="O2341" s="84" t="str">
        <f>IF($C2341="","",IFERROR(MATCH($B2341&amp;"|"&amp;$C2341,MUROS!$AX$11:$AX$70,0),0))</f>
        <v/>
      </c>
      <c r="P2341" s="84" t="str">
        <f>IF($D2341="","",IF(ISNUMBER(MATCH($D2341,CMB_S,0)),1,IF(ISNUMBER(MATCH($D2341,CMB_G,0)),2,0)))</f>
        <v/>
      </c>
      <c r="Q2341" s="84">
        <f>IF(ISNUMBER($H2341),-$H2341,0)</f>
        <v>0</v>
      </c>
      <c r="R2341" s="84">
        <f>IF(ISNUMBER($I2341),ABS($I2341),0)</f>
        <v>0</v>
      </c>
      <c r="S2341" s="84">
        <f>IF(ISNUMBER($M2341),ABS($M2341),0)</f>
        <v>0</v>
      </c>
      <c r="T2341" s="85" t="n">
        <v>2333</v>
      </c>
    </row>
    <row r="2342">
      <c r="B2342" s="83" t="n"/>
      <c r="C2342" s="83" t="n"/>
      <c r="D2342" s="83" t="n"/>
      <c r="E2342" s="83" t="n"/>
      <c r="F2342" s="83" t="n"/>
      <c r="G2342" s="83" t="n"/>
      <c r="H2342" s="83" t="n"/>
      <c r="I2342" s="83" t="n"/>
      <c r="J2342" s="83" t="n"/>
      <c r="K2342" s="83" t="n"/>
      <c r="L2342" s="83" t="n"/>
      <c r="M2342" s="83" t="n"/>
      <c r="O2342" s="84" t="str">
        <f>IF($C2342="","",IFERROR(MATCH($B2342&amp;"|"&amp;$C2342,MUROS!$AX$11:$AX$70,0),0))</f>
        <v/>
      </c>
      <c r="P2342" s="84" t="str">
        <f>IF($D2342="","",IF(ISNUMBER(MATCH($D2342,CMB_S,0)),1,IF(ISNUMBER(MATCH($D2342,CMB_G,0)),2,0)))</f>
        <v/>
      </c>
      <c r="Q2342" s="84">
        <f>IF(ISNUMBER($H2342),-$H2342,0)</f>
        <v>0</v>
      </c>
      <c r="R2342" s="84">
        <f>IF(ISNUMBER($I2342),ABS($I2342),0)</f>
        <v>0</v>
      </c>
      <c r="S2342" s="84">
        <f>IF(ISNUMBER($M2342),ABS($M2342),0)</f>
        <v>0</v>
      </c>
      <c r="T2342" s="85" t="n">
        <v>2334</v>
      </c>
    </row>
    <row r="2343">
      <c r="B2343" s="83" t="n"/>
      <c r="C2343" s="83" t="n"/>
      <c r="D2343" s="83" t="n"/>
      <c r="E2343" s="83" t="n"/>
      <c r="F2343" s="83" t="n"/>
      <c r="G2343" s="83" t="n"/>
      <c r="H2343" s="83" t="n"/>
      <c r="I2343" s="83" t="n"/>
      <c r="J2343" s="83" t="n"/>
      <c r="K2343" s="83" t="n"/>
      <c r="L2343" s="83" t="n"/>
      <c r="M2343" s="83" t="n"/>
      <c r="O2343" s="84" t="str">
        <f>IF($C2343="","",IFERROR(MATCH($B2343&amp;"|"&amp;$C2343,MUROS!$AX$11:$AX$70,0),0))</f>
        <v/>
      </c>
      <c r="P2343" s="84" t="str">
        <f>IF($D2343="","",IF(ISNUMBER(MATCH($D2343,CMB_S,0)),1,IF(ISNUMBER(MATCH($D2343,CMB_G,0)),2,0)))</f>
        <v/>
      </c>
      <c r="Q2343" s="84">
        <f>IF(ISNUMBER($H2343),-$H2343,0)</f>
        <v>0</v>
      </c>
      <c r="R2343" s="84">
        <f>IF(ISNUMBER($I2343),ABS($I2343),0)</f>
        <v>0</v>
      </c>
      <c r="S2343" s="84">
        <f>IF(ISNUMBER($M2343),ABS($M2343),0)</f>
        <v>0</v>
      </c>
      <c r="T2343" s="85" t="n">
        <v>2335</v>
      </c>
    </row>
    <row r="2344">
      <c r="B2344" s="83" t="n"/>
      <c r="C2344" s="83" t="n"/>
      <c r="D2344" s="83" t="n"/>
      <c r="E2344" s="83" t="n"/>
      <c r="F2344" s="83" t="n"/>
      <c r="G2344" s="83" t="n"/>
      <c r="H2344" s="83" t="n"/>
      <c r="I2344" s="83" t="n"/>
      <c r="J2344" s="83" t="n"/>
      <c r="K2344" s="83" t="n"/>
      <c r="L2344" s="83" t="n"/>
      <c r="M2344" s="83" t="n"/>
      <c r="O2344" s="84" t="str">
        <f>IF($C2344="","",IFERROR(MATCH($B2344&amp;"|"&amp;$C2344,MUROS!$AX$11:$AX$70,0),0))</f>
        <v/>
      </c>
      <c r="P2344" s="84" t="str">
        <f>IF($D2344="","",IF(ISNUMBER(MATCH($D2344,CMB_S,0)),1,IF(ISNUMBER(MATCH($D2344,CMB_G,0)),2,0)))</f>
        <v/>
      </c>
      <c r="Q2344" s="84">
        <f>IF(ISNUMBER($H2344),-$H2344,0)</f>
        <v>0</v>
      </c>
      <c r="R2344" s="84">
        <f>IF(ISNUMBER($I2344),ABS($I2344),0)</f>
        <v>0</v>
      </c>
      <c r="S2344" s="84">
        <f>IF(ISNUMBER($M2344),ABS($M2344),0)</f>
        <v>0</v>
      </c>
      <c r="T2344" s="85" t="n">
        <v>2336</v>
      </c>
    </row>
    <row r="2345">
      <c r="B2345" s="83" t="n"/>
      <c r="C2345" s="83" t="n"/>
      <c r="D2345" s="83" t="n"/>
      <c r="E2345" s="83" t="n"/>
      <c r="F2345" s="83" t="n"/>
      <c r="G2345" s="83" t="n"/>
      <c r="H2345" s="83" t="n"/>
      <c r="I2345" s="83" t="n"/>
      <c r="J2345" s="83" t="n"/>
      <c r="K2345" s="83" t="n"/>
      <c r="L2345" s="83" t="n"/>
      <c r="M2345" s="83" t="n"/>
      <c r="O2345" s="84" t="str">
        <f>IF($C2345="","",IFERROR(MATCH($B2345&amp;"|"&amp;$C2345,MUROS!$AX$11:$AX$70,0),0))</f>
        <v/>
      </c>
      <c r="P2345" s="84" t="str">
        <f>IF($D2345="","",IF(ISNUMBER(MATCH($D2345,CMB_S,0)),1,IF(ISNUMBER(MATCH($D2345,CMB_G,0)),2,0)))</f>
        <v/>
      </c>
      <c r="Q2345" s="84">
        <f>IF(ISNUMBER($H2345),-$H2345,0)</f>
        <v>0</v>
      </c>
      <c r="R2345" s="84">
        <f>IF(ISNUMBER($I2345),ABS($I2345),0)</f>
        <v>0</v>
      </c>
      <c r="S2345" s="84">
        <f>IF(ISNUMBER($M2345),ABS($M2345),0)</f>
        <v>0</v>
      </c>
      <c r="T2345" s="85" t="n">
        <v>2337</v>
      </c>
    </row>
    <row r="2346">
      <c r="B2346" s="83" t="n"/>
      <c r="C2346" s="83" t="n"/>
      <c r="D2346" s="83" t="n"/>
      <c r="E2346" s="83" t="n"/>
      <c r="F2346" s="83" t="n"/>
      <c r="G2346" s="83" t="n"/>
      <c r="H2346" s="83" t="n"/>
      <c r="I2346" s="83" t="n"/>
      <c r="J2346" s="83" t="n"/>
      <c r="K2346" s="83" t="n"/>
      <c r="L2346" s="83" t="n"/>
      <c r="M2346" s="83" t="n"/>
      <c r="O2346" s="84" t="str">
        <f>IF($C2346="","",IFERROR(MATCH($B2346&amp;"|"&amp;$C2346,MUROS!$AX$11:$AX$70,0),0))</f>
        <v/>
      </c>
      <c r="P2346" s="84" t="str">
        <f>IF($D2346="","",IF(ISNUMBER(MATCH($D2346,CMB_S,0)),1,IF(ISNUMBER(MATCH($D2346,CMB_G,0)),2,0)))</f>
        <v/>
      </c>
      <c r="Q2346" s="84">
        <f>IF(ISNUMBER($H2346),-$H2346,0)</f>
        <v>0</v>
      </c>
      <c r="R2346" s="84">
        <f>IF(ISNUMBER($I2346),ABS($I2346),0)</f>
        <v>0</v>
      </c>
      <c r="S2346" s="84">
        <f>IF(ISNUMBER($M2346),ABS($M2346),0)</f>
        <v>0</v>
      </c>
      <c r="T2346" s="85" t="n">
        <v>2338</v>
      </c>
    </row>
    <row r="2347">
      <c r="B2347" s="83" t="n"/>
      <c r="C2347" s="83" t="n"/>
      <c r="D2347" s="83" t="n"/>
      <c r="E2347" s="83" t="n"/>
      <c r="F2347" s="83" t="n"/>
      <c r="G2347" s="83" t="n"/>
      <c r="H2347" s="83" t="n"/>
      <c r="I2347" s="83" t="n"/>
      <c r="J2347" s="83" t="n"/>
      <c r="K2347" s="83" t="n"/>
      <c r="L2347" s="83" t="n"/>
      <c r="M2347" s="83" t="n"/>
      <c r="O2347" s="84" t="str">
        <f>IF($C2347="","",IFERROR(MATCH($B2347&amp;"|"&amp;$C2347,MUROS!$AX$11:$AX$70,0),0))</f>
        <v/>
      </c>
      <c r="P2347" s="84" t="str">
        <f>IF($D2347="","",IF(ISNUMBER(MATCH($D2347,CMB_S,0)),1,IF(ISNUMBER(MATCH($D2347,CMB_G,0)),2,0)))</f>
        <v/>
      </c>
      <c r="Q2347" s="84">
        <f>IF(ISNUMBER($H2347),-$H2347,0)</f>
        <v>0</v>
      </c>
      <c r="R2347" s="84">
        <f>IF(ISNUMBER($I2347),ABS($I2347),0)</f>
        <v>0</v>
      </c>
      <c r="S2347" s="84">
        <f>IF(ISNUMBER($M2347),ABS($M2347),0)</f>
        <v>0</v>
      </c>
      <c r="T2347" s="85" t="n">
        <v>2339</v>
      </c>
    </row>
    <row r="2348">
      <c r="B2348" s="83" t="n"/>
      <c r="C2348" s="83" t="n"/>
      <c r="D2348" s="83" t="n"/>
      <c r="E2348" s="83" t="n"/>
      <c r="F2348" s="83" t="n"/>
      <c r="G2348" s="83" t="n"/>
      <c r="H2348" s="83" t="n"/>
      <c r="I2348" s="83" t="n"/>
      <c r="J2348" s="83" t="n"/>
      <c r="K2348" s="83" t="n"/>
      <c r="L2348" s="83" t="n"/>
      <c r="M2348" s="83" t="n"/>
      <c r="O2348" s="84" t="str">
        <f>IF($C2348="","",IFERROR(MATCH($B2348&amp;"|"&amp;$C2348,MUROS!$AX$11:$AX$70,0),0))</f>
        <v/>
      </c>
      <c r="P2348" s="84" t="str">
        <f>IF($D2348="","",IF(ISNUMBER(MATCH($D2348,CMB_S,0)),1,IF(ISNUMBER(MATCH($D2348,CMB_G,0)),2,0)))</f>
        <v/>
      </c>
      <c r="Q2348" s="84">
        <f>IF(ISNUMBER($H2348),-$H2348,0)</f>
        <v>0</v>
      </c>
      <c r="R2348" s="84">
        <f>IF(ISNUMBER($I2348),ABS($I2348),0)</f>
        <v>0</v>
      </c>
      <c r="S2348" s="84">
        <f>IF(ISNUMBER($M2348),ABS($M2348),0)</f>
        <v>0</v>
      </c>
      <c r="T2348" s="85" t="n">
        <v>2340</v>
      </c>
    </row>
    <row r="2349">
      <c r="B2349" s="83" t="n"/>
      <c r="C2349" s="83" t="n"/>
      <c r="D2349" s="83" t="n"/>
      <c r="E2349" s="83" t="n"/>
      <c r="F2349" s="83" t="n"/>
      <c r="G2349" s="83" t="n"/>
      <c r="H2349" s="83" t="n"/>
      <c r="I2349" s="83" t="n"/>
      <c r="J2349" s="83" t="n"/>
      <c r="K2349" s="83" t="n"/>
      <c r="L2349" s="83" t="n"/>
      <c r="M2349" s="83" t="n"/>
      <c r="O2349" s="84" t="str">
        <f>IF($C2349="","",IFERROR(MATCH($B2349&amp;"|"&amp;$C2349,MUROS!$AX$11:$AX$70,0),0))</f>
        <v/>
      </c>
      <c r="P2349" s="84" t="str">
        <f>IF($D2349="","",IF(ISNUMBER(MATCH($D2349,CMB_S,0)),1,IF(ISNUMBER(MATCH($D2349,CMB_G,0)),2,0)))</f>
        <v/>
      </c>
      <c r="Q2349" s="84">
        <f>IF(ISNUMBER($H2349),-$H2349,0)</f>
        <v>0</v>
      </c>
      <c r="R2349" s="84">
        <f>IF(ISNUMBER($I2349),ABS($I2349),0)</f>
        <v>0</v>
      </c>
      <c r="S2349" s="84">
        <f>IF(ISNUMBER($M2349),ABS($M2349),0)</f>
        <v>0</v>
      </c>
      <c r="T2349" s="85" t="n">
        <v>2341</v>
      </c>
    </row>
    <row r="2350">
      <c r="B2350" s="83" t="n"/>
      <c r="C2350" s="83" t="n"/>
      <c r="D2350" s="83" t="n"/>
      <c r="E2350" s="83" t="n"/>
      <c r="F2350" s="83" t="n"/>
      <c r="G2350" s="83" t="n"/>
      <c r="H2350" s="83" t="n"/>
      <c r="I2350" s="83" t="n"/>
      <c r="J2350" s="83" t="n"/>
      <c r="K2350" s="83" t="n"/>
      <c r="L2350" s="83" t="n"/>
      <c r="M2350" s="83" t="n"/>
      <c r="O2350" s="84" t="str">
        <f>IF($C2350="","",IFERROR(MATCH($B2350&amp;"|"&amp;$C2350,MUROS!$AX$11:$AX$70,0),0))</f>
        <v/>
      </c>
      <c r="P2350" s="84" t="str">
        <f>IF($D2350="","",IF(ISNUMBER(MATCH($D2350,CMB_S,0)),1,IF(ISNUMBER(MATCH($D2350,CMB_G,0)),2,0)))</f>
        <v/>
      </c>
      <c r="Q2350" s="84">
        <f>IF(ISNUMBER($H2350),-$H2350,0)</f>
        <v>0</v>
      </c>
      <c r="R2350" s="84">
        <f>IF(ISNUMBER($I2350),ABS($I2350),0)</f>
        <v>0</v>
      </c>
      <c r="S2350" s="84">
        <f>IF(ISNUMBER($M2350),ABS($M2350),0)</f>
        <v>0</v>
      </c>
      <c r="T2350" s="85" t="n">
        <v>2342</v>
      </c>
    </row>
    <row r="2351">
      <c r="B2351" s="83" t="n"/>
      <c r="C2351" s="83" t="n"/>
      <c r="D2351" s="83" t="n"/>
      <c r="E2351" s="83" t="n"/>
      <c r="F2351" s="83" t="n"/>
      <c r="G2351" s="83" t="n"/>
      <c r="H2351" s="83" t="n"/>
      <c r="I2351" s="83" t="n"/>
      <c r="J2351" s="83" t="n"/>
      <c r="K2351" s="83" t="n"/>
      <c r="L2351" s="83" t="n"/>
      <c r="M2351" s="83" t="n"/>
      <c r="O2351" s="84" t="str">
        <f>IF($C2351="","",IFERROR(MATCH($B2351&amp;"|"&amp;$C2351,MUROS!$AX$11:$AX$70,0),0))</f>
        <v/>
      </c>
      <c r="P2351" s="84" t="str">
        <f>IF($D2351="","",IF(ISNUMBER(MATCH($D2351,CMB_S,0)),1,IF(ISNUMBER(MATCH($D2351,CMB_G,0)),2,0)))</f>
        <v/>
      </c>
      <c r="Q2351" s="84">
        <f>IF(ISNUMBER($H2351),-$H2351,0)</f>
        <v>0</v>
      </c>
      <c r="R2351" s="84">
        <f>IF(ISNUMBER($I2351),ABS($I2351),0)</f>
        <v>0</v>
      </c>
      <c r="S2351" s="84">
        <f>IF(ISNUMBER($M2351),ABS($M2351),0)</f>
        <v>0</v>
      </c>
      <c r="T2351" s="85" t="n">
        <v>2343</v>
      </c>
    </row>
    <row r="2352">
      <c r="B2352" s="83" t="n"/>
      <c r="C2352" s="83" t="n"/>
      <c r="D2352" s="83" t="n"/>
      <c r="E2352" s="83" t="n"/>
      <c r="F2352" s="83" t="n"/>
      <c r="G2352" s="83" t="n"/>
      <c r="H2352" s="83" t="n"/>
      <c r="I2352" s="83" t="n"/>
      <c r="J2352" s="83" t="n"/>
      <c r="K2352" s="83" t="n"/>
      <c r="L2352" s="83" t="n"/>
      <c r="M2352" s="83" t="n"/>
      <c r="O2352" s="84" t="str">
        <f>IF($C2352="","",IFERROR(MATCH($B2352&amp;"|"&amp;$C2352,MUROS!$AX$11:$AX$70,0),0))</f>
        <v/>
      </c>
      <c r="P2352" s="84" t="str">
        <f>IF($D2352="","",IF(ISNUMBER(MATCH($D2352,CMB_S,0)),1,IF(ISNUMBER(MATCH($D2352,CMB_G,0)),2,0)))</f>
        <v/>
      </c>
      <c r="Q2352" s="84">
        <f>IF(ISNUMBER($H2352),-$H2352,0)</f>
        <v>0</v>
      </c>
      <c r="R2352" s="84">
        <f>IF(ISNUMBER($I2352),ABS($I2352),0)</f>
        <v>0</v>
      </c>
      <c r="S2352" s="84">
        <f>IF(ISNUMBER($M2352),ABS($M2352),0)</f>
        <v>0</v>
      </c>
      <c r="T2352" s="85" t="n">
        <v>2344</v>
      </c>
    </row>
    <row r="2353">
      <c r="B2353" s="83" t="n"/>
      <c r="C2353" s="83" t="n"/>
      <c r="D2353" s="83" t="n"/>
      <c r="E2353" s="83" t="n"/>
      <c r="F2353" s="83" t="n"/>
      <c r="G2353" s="83" t="n"/>
      <c r="H2353" s="83" t="n"/>
      <c r="I2353" s="83" t="n"/>
      <c r="J2353" s="83" t="n"/>
      <c r="K2353" s="83" t="n"/>
      <c r="L2353" s="83" t="n"/>
      <c r="M2353" s="83" t="n"/>
      <c r="O2353" s="84" t="str">
        <f>IF($C2353="","",IFERROR(MATCH($B2353&amp;"|"&amp;$C2353,MUROS!$AX$11:$AX$70,0),0))</f>
        <v/>
      </c>
      <c r="P2353" s="84" t="str">
        <f>IF($D2353="","",IF(ISNUMBER(MATCH($D2353,CMB_S,0)),1,IF(ISNUMBER(MATCH($D2353,CMB_G,0)),2,0)))</f>
        <v/>
      </c>
      <c r="Q2353" s="84">
        <f>IF(ISNUMBER($H2353),-$H2353,0)</f>
        <v>0</v>
      </c>
      <c r="R2353" s="84">
        <f>IF(ISNUMBER($I2353),ABS($I2353),0)</f>
        <v>0</v>
      </c>
      <c r="S2353" s="84">
        <f>IF(ISNUMBER($M2353),ABS($M2353),0)</f>
        <v>0</v>
      </c>
      <c r="T2353" s="85" t="n">
        <v>2345</v>
      </c>
    </row>
    <row r="2354">
      <c r="B2354" s="83" t="n"/>
      <c r="C2354" s="83" t="n"/>
      <c r="D2354" s="83" t="n"/>
      <c r="E2354" s="83" t="n"/>
      <c r="F2354" s="83" t="n"/>
      <c r="G2354" s="83" t="n"/>
      <c r="H2354" s="83" t="n"/>
      <c r="I2354" s="83" t="n"/>
      <c r="J2354" s="83" t="n"/>
      <c r="K2354" s="83" t="n"/>
      <c r="L2354" s="83" t="n"/>
      <c r="M2354" s="83" t="n"/>
      <c r="O2354" s="84" t="str">
        <f>IF($C2354="","",IFERROR(MATCH($B2354&amp;"|"&amp;$C2354,MUROS!$AX$11:$AX$70,0),0))</f>
        <v/>
      </c>
      <c r="P2354" s="84" t="str">
        <f>IF($D2354="","",IF(ISNUMBER(MATCH($D2354,CMB_S,0)),1,IF(ISNUMBER(MATCH($D2354,CMB_G,0)),2,0)))</f>
        <v/>
      </c>
      <c r="Q2354" s="84">
        <f>IF(ISNUMBER($H2354),-$H2354,0)</f>
        <v>0</v>
      </c>
      <c r="R2354" s="84">
        <f>IF(ISNUMBER($I2354),ABS($I2354),0)</f>
        <v>0</v>
      </c>
      <c r="S2354" s="84">
        <f>IF(ISNUMBER($M2354),ABS($M2354),0)</f>
        <v>0</v>
      </c>
      <c r="T2354" s="85" t="n">
        <v>2346</v>
      </c>
    </row>
    <row r="2355">
      <c r="B2355" s="83" t="n"/>
      <c r="C2355" s="83" t="n"/>
      <c r="D2355" s="83" t="n"/>
      <c r="E2355" s="83" t="n"/>
      <c r="F2355" s="83" t="n"/>
      <c r="G2355" s="83" t="n"/>
      <c r="H2355" s="83" t="n"/>
      <c r="I2355" s="83" t="n"/>
      <c r="J2355" s="83" t="n"/>
      <c r="K2355" s="83" t="n"/>
      <c r="L2355" s="83" t="n"/>
      <c r="M2355" s="83" t="n"/>
      <c r="O2355" s="84" t="str">
        <f>IF($C2355="","",IFERROR(MATCH($B2355&amp;"|"&amp;$C2355,MUROS!$AX$11:$AX$70,0),0))</f>
        <v/>
      </c>
      <c r="P2355" s="84" t="str">
        <f>IF($D2355="","",IF(ISNUMBER(MATCH($D2355,CMB_S,0)),1,IF(ISNUMBER(MATCH($D2355,CMB_G,0)),2,0)))</f>
        <v/>
      </c>
      <c r="Q2355" s="84">
        <f>IF(ISNUMBER($H2355),-$H2355,0)</f>
        <v>0</v>
      </c>
      <c r="R2355" s="84">
        <f>IF(ISNUMBER($I2355),ABS($I2355),0)</f>
        <v>0</v>
      </c>
      <c r="S2355" s="84">
        <f>IF(ISNUMBER($M2355),ABS($M2355),0)</f>
        <v>0</v>
      </c>
      <c r="T2355" s="85" t="n">
        <v>2347</v>
      </c>
    </row>
    <row r="2356">
      <c r="B2356" s="83" t="n"/>
      <c r="C2356" s="83" t="n"/>
      <c r="D2356" s="83" t="n"/>
      <c r="E2356" s="83" t="n"/>
      <c r="F2356" s="83" t="n"/>
      <c r="G2356" s="83" t="n"/>
      <c r="H2356" s="83" t="n"/>
      <c r="I2356" s="83" t="n"/>
      <c r="J2356" s="83" t="n"/>
      <c r="K2356" s="83" t="n"/>
      <c r="L2356" s="83" t="n"/>
      <c r="M2356" s="83" t="n"/>
      <c r="O2356" s="84" t="str">
        <f>IF($C2356="","",IFERROR(MATCH($B2356&amp;"|"&amp;$C2356,MUROS!$AX$11:$AX$70,0),0))</f>
        <v/>
      </c>
      <c r="P2356" s="84" t="str">
        <f>IF($D2356="","",IF(ISNUMBER(MATCH($D2356,CMB_S,0)),1,IF(ISNUMBER(MATCH($D2356,CMB_G,0)),2,0)))</f>
        <v/>
      </c>
      <c r="Q2356" s="84">
        <f>IF(ISNUMBER($H2356),-$H2356,0)</f>
        <v>0</v>
      </c>
      <c r="R2356" s="84">
        <f>IF(ISNUMBER($I2356),ABS($I2356),0)</f>
        <v>0</v>
      </c>
      <c r="S2356" s="84">
        <f>IF(ISNUMBER($M2356),ABS($M2356),0)</f>
        <v>0</v>
      </c>
      <c r="T2356" s="85" t="n">
        <v>2348</v>
      </c>
    </row>
    <row r="2357">
      <c r="B2357" s="83" t="n"/>
      <c r="C2357" s="83" t="n"/>
      <c r="D2357" s="83" t="n"/>
      <c r="E2357" s="83" t="n"/>
      <c r="F2357" s="83" t="n"/>
      <c r="G2357" s="83" t="n"/>
      <c r="H2357" s="83" t="n"/>
      <c r="I2357" s="83" t="n"/>
      <c r="J2357" s="83" t="n"/>
      <c r="K2357" s="83" t="n"/>
      <c r="L2357" s="83" t="n"/>
      <c r="M2357" s="83" t="n"/>
      <c r="O2357" s="84" t="str">
        <f>IF($C2357="","",IFERROR(MATCH($B2357&amp;"|"&amp;$C2357,MUROS!$AX$11:$AX$70,0),0))</f>
        <v/>
      </c>
      <c r="P2357" s="84" t="str">
        <f>IF($D2357="","",IF(ISNUMBER(MATCH($D2357,CMB_S,0)),1,IF(ISNUMBER(MATCH($D2357,CMB_G,0)),2,0)))</f>
        <v/>
      </c>
      <c r="Q2357" s="84">
        <f>IF(ISNUMBER($H2357),-$H2357,0)</f>
        <v>0</v>
      </c>
      <c r="R2357" s="84">
        <f>IF(ISNUMBER($I2357),ABS($I2357),0)</f>
        <v>0</v>
      </c>
      <c r="S2357" s="84">
        <f>IF(ISNUMBER($M2357),ABS($M2357),0)</f>
        <v>0</v>
      </c>
      <c r="T2357" s="85" t="n">
        <v>2349</v>
      </c>
    </row>
    <row r="2358">
      <c r="B2358" s="83" t="n"/>
      <c r="C2358" s="83" t="n"/>
      <c r="D2358" s="83" t="n"/>
      <c r="E2358" s="83" t="n"/>
      <c r="F2358" s="83" t="n"/>
      <c r="G2358" s="83" t="n"/>
      <c r="H2358" s="83" t="n"/>
      <c r="I2358" s="83" t="n"/>
      <c r="J2358" s="83" t="n"/>
      <c r="K2358" s="83" t="n"/>
      <c r="L2358" s="83" t="n"/>
      <c r="M2358" s="83" t="n"/>
      <c r="O2358" s="84" t="str">
        <f>IF($C2358="","",IFERROR(MATCH($B2358&amp;"|"&amp;$C2358,MUROS!$AX$11:$AX$70,0),0))</f>
        <v/>
      </c>
      <c r="P2358" s="84" t="str">
        <f>IF($D2358="","",IF(ISNUMBER(MATCH($D2358,CMB_S,0)),1,IF(ISNUMBER(MATCH($D2358,CMB_G,0)),2,0)))</f>
        <v/>
      </c>
      <c r="Q2358" s="84">
        <f>IF(ISNUMBER($H2358),-$H2358,0)</f>
        <v>0</v>
      </c>
      <c r="R2358" s="84">
        <f>IF(ISNUMBER($I2358),ABS($I2358),0)</f>
        <v>0</v>
      </c>
      <c r="S2358" s="84">
        <f>IF(ISNUMBER($M2358),ABS($M2358),0)</f>
        <v>0</v>
      </c>
      <c r="T2358" s="85" t="n">
        <v>2350</v>
      </c>
    </row>
    <row r="2359">
      <c r="B2359" s="83" t="n"/>
      <c r="C2359" s="83" t="n"/>
      <c r="D2359" s="83" t="n"/>
      <c r="E2359" s="83" t="n"/>
      <c r="F2359" s="83" t="n"/>
      <c r="G2359" s="83" t="n"/>
      <c r="H2359" s="83" t="n"/>
      <c r="I2359" s="83" t="n"/>
      <c r="J2359" s="83" t="n"/>
      <c r="K2359" s="83" t="n"/>
      <c r="L2359" s="83" t="n"/>
      <c r="M2359" s="83" t="n"/>
      <c r="O2359" s="84" t="str">
        <f>IF($C2359="","",IFERROR(MATCH($B2359&amp;"|"&amp;$C2359,MUROS!$AX$11:$AX$70,0),0))</f>
        <v/>
      </c>
      <c r="P2359" s="84" t="str">
        <f>IF($D2359="","",IF(ISNUMBER(MATCH($D2359,CMB_S,0)),1,IF(ISNUMBER(MATCH($D2359,CMB_G,0)),2,0)))</f>
        <v/>
      </c>
      <c r="Q2359" s="84">
        <f>IF(ISNUMBER($H2359),-$H2359,0)</f>
        <v>0</v>
      </c>
      <c r="R2359" s="84">
        <f>IF(ISNUMBER($I2359),ABS($I2359),0)</f>
        <v>0</v>
      </c>
      <c r="S2359" s="84">
        <f>IF(ISNUMBER($M2359),ABS($M2359),0)</f>
        <v>0</v>
      </c>
      <c r="T2359" s="85" t="n">
        <v>2351</v>
      </c>
    </row>
    <row r="2360">
      <c r="B2360" s="83" t="n"/>
      <c r="C2360" s="83" t="n"/>
      <c r="D2360" s="83" t="n"/>
      <c r="E2360" s="83" t="n"/>
      <c r="F2360" s="83" t="n"/>
      <c r="G2360" s="83" t="n"/>
      <c r="H2360" s="83" t="n"/>
      <c r="I2360" s="83" t="n"/>
      <c r="J2360" s="83" t="n"/>
      <c r="K2360" s="83" t="n"/>
      <c r="L2360" s="83" t="n"/>
      <c r="M2360" s="83" t="n"/>
      <c r="O2360" s="84" t="str">
        <f>IF($C2360="","",IFERROR(MATCH($B2360&amp;"|"&amp;$C2360,MUROS!$AX$11:$AX$70,0),0))</f>
        <v/>
      </c>
      <c r="P2360" s="84" t="str">
        <f>IF($D2360="","",IF(ISNUMBER(MATCH($D2360,CMB_S,0)),1,IF(ISNUMBER(MATCH($D2360,CMB_G,0)),2,0)))</f>
        <v/>
      </c>
      <c r="Q2360" s="84">
        <f>IF(ISNUMBER($H2360),-$H2360,0)</f>
        <v>0</v>
      </c>
      <c r="R2360" s="84">
        <f>IF(ISNUMBER($I2360),ABS($I2360),0)</f>
        <v>0</v>
      </c>
      <c r="S2360" s="84">
        <f>IF(ISNUMBER($M2360),ABS($M2360),0)</f>
        <v>0</v>
      </c>
      <c r="T2360" s="85" t="n">
        <v>2352</v>
      </c>
    </row>
    <row r="2361">
      <c r="B2361" s="83" t="n"/>
      <c r="C2361" s="83" t="n"/>
      <c r="D2361" s="83" t="n"/>
      <c r="E2361" s="83" t="n"/>
      <c r="F2361" s="83" t="n"/>
      <c r="G2361" s="83" t="n"/>
      <c r="H2361" s="83" t="n"/>
      <c r="I2361" s="83" t="n"/>
      <c r="J2361" s="83" t="n"/>
      <c r="K2361" s="83" t="n"/>
      <c r="L2361" s="83" t="n"/>
      <c r="M2361" s="83" t="n"/>
      <c r="O2361" s="84" t="str">
        <f>IF($C2361="","",IFERROR(MATCH($B2361&amp;"|"&amp;$C2361,MUROS!$AX$11:$AX$70,0),0))</f>
        <v/>
      </c>
      <c r="P2361" s="84" t="str">
        <f>IF($D2361="","",IF(ISNUMBER(MATCH($D2361,CMB_S,0)),1,IF(ISNUMBER(MATCH($D2361,CMB_G,0)),2,0)))</f>
        <v/>
      </c>
      <c r="Q2361" s="84">
        <f>IF(ISNUMBER($H2361),-$H2361,0)</f>
        <v>0</v>
      </c>
      <c r="R2361" s="84">
        <f>IF(ISNUMBER($I2361),ABS($I2361),0)</f>
        <v>0</v>
      </c>
      <c r="S2361" s="84">
        <f>IF(ISNUMBER($M2361),ABS($M2361),0)</f>
        <v>0</v>
      </c>
      <c r="T2361" s="85" t="n">
        <v>2353</v>
      </c>
    </row>
    <row r="2362">
      <c r="B2362" s="83" t="n"/>
      <c r="C2362" s="83" t="n"/>
      <c r="D2362" s="83" t="n"/>
      <c r="E2362" s="83" t="n"/>
      <c r="F2362" s="83" t="n"/>
      <c r="G2362" s="83" t="n"/>
      <c r="H2362" s="83" t="n"/>
      <c r="I2362" s="83" t="n"/>
      <c r="J2362" s="83" t="n"/>
      <c r="K2362" s="83" t="n"/>
      <c r="L2362" s="83" t="n"/>
      <c r="M2362" s="83" t="n"/>
      <c r="O2362" s="84" t="str">
        <f>IF($C2362="","",IFERROR(MATCH($B2362&amp;"|"&amp;$C2362,MUROS!$AX$11:$AX$70,0),0))</f>
        <v/>
      </c>
      <c r="P2362" s="84" t="str">
        <f>IF($D2362="","",IF(ISNUMBER(MATCH($D2362,CMB_S,0)),1,IF(ISNUMBER(MATCH($D2362,CMB_G,0)),2,0)))</f>
        <v/>
      </c>
      <c r="Q2362" s="84">
        <f>IF(ISNUMBER($H2362),-$H2362,0)</f>
        <v>0</v>
      </c>
      <c r="R2362" s="84">
        <f>IF(ISNUMBER($I2362),ABS($I2362),0)</f>
        <v>0</v>
      </c>
      <c r="S2362" s="84">
        <f>IF(ISNUMBER($M2362),ABS($M2362),0)</f>
        <v>0</v>
      </c>
      <c r="T2362" s="85" t="n">
        <v>2354</v>
      </c>
    </row>
    <row r="2363">
      <c r="B2363" s="83" t="n"/>
      <c r="C2363" s="83" t="n"/>
      <c r="D2363" s="83" t="n"/>
      <c r="E2363" s="83" t="n"/>
      <c r="F2363" s="83" t="n"/>
      <c r="G2363" s="83" t="n"/>
      <c r="H2363" s="83" t="n"/>
      <c r="I2363" s="83" t="n"/>
      <c r="J2363" s="83" t="n"/>
      <c r="K2363" s="83" t="n"/>
      <c r="L2363" s="83" t="n"/>
      <c r="M2363" s="83" t="n"/>
      <c r="O2363" s="84" t="str">
        <f>IF($C2363="","",IFERROR(MATCH($B2363&amp;"|"&amp;$C2363,MUROS!$AX$11:$AX$70,0),0))</f>
        <v/>
      </c>
      <c r="P2363" s="84" t="str">
        <f>IF($D2363="","",IF(ISNUMBER(MATCH($D2363,CMB_S,0)),1,IF(ISNUMBER(MATCH($D2363,CMB_G,0)),2,0)))</f>
        <v/>
      </c>
      <c r="Q2363" s="84">
        <f>IF(ISNUMBER($H2363),-$H2363,0)</f>
        <v>0</v>
      </c>
      <c r="R2363" s="84">
        <f>IF(ISNUMBER($I2363),ABS($I2363),0)</f>
        <v>0</v>
      </c>
      <c r="S2363" s="84">
        <f>IF(ISNUMBER($M2363),ABS($M2363),0)</f>
        <v>0</v>
      </c>
      <c r="T2363" s="85" t="n">
        <v>2355</v>
      </c>
    </row>
    <row r="2364">
      <c r="B2364" s="83" t="n"/>
      <c r="C2364" s="83" t="n"/>
      <c r="D2364" s="83" t="n"/>
      <c r="E2364" s="83" t="n"/>
      <c r="F2364" s="83" t="n"/>
      <c r="G2364" s="83" t="n"/>
      <c r="H2364" s="83" t="n"/>
      <c r="I2364" s="83" t="n"/>
      <c r="J2364" s="83" t="n"/>
      <c r="K2364" s="83" t="n"/>
      <c r="L2364" s="83" t="n"/>
      <c r="M2364" s="83" t="n"/>
      <c r="O2364" s="84" t="str">
        <f>IF($C2364="","",IFERROR(MATCH($B2364&amp;"|"&amp;$C2364,MUROS!$AX$11:$AX$70,0),0))</f>
        <v/>
      </c>
      <c r="P2364" s="84" t="str">
        <f>IF($D2364="","",IF(ISNUMBER(MATCH($D2364,CMB_S,0)),1,IF(ISNUMBER(MATCH($D2364,CMB_G,0)),2,0)))</f>
        <v/>
      </c>
      <c r="Q2364" s="84">
        <f>IF(ISNUMBER($H2364),-$H2364,0)</f>
        <v>0</v>
      </c>
      <c r="R2364" s="84">
        <f>IF(ISNUMBER($I2364),ABS($I2364),0)</f>
        <v>0</v>
      </c>
      <c r="S2364" s="84">
        <f>IF(ISNUMBER($M2364),ABS($M2364),0)</f>
        <v>0</v>
      </c>
      <c r="T2364" s="85" t="n">
        <v>2356</v>
      </c>
    </row>
    <row r="2365">
      <c r="B2365" s="83" t="n"/>
      <c r="C2365" s="83" t="n"/>
      <c r="D2365" s="83" t="n"/>
      <c r="E2365" s="83" t="n"/>
      <c r="F2365" s="83" t="n"/>
      <c r="G2365" s="83" t="n"/>
      <c r="H2365" s="83" t="n"/>
      <c r="I2365" s="83" t="n"/>
      <c r="J2365" s="83" t="n"/>
      <c r="K2365" s="83" t="n"/>
      <c r="L2365" s="83" t="n"/>
      <c r="M2365" s="83" t="n"/>
      <c r="O2365" s="84" t="str">
        <f>IF($C2365="","",IFERROR(MATCH($B2365&amp;"|"&amp;$C2365,MUROS!$AX$11:$AX$70,0),0))</f>
        <v/>
      </c>
      <c r="P2365" s="84" t="str">
        <f>IF($D2365="","",IF(ISNUMBER(MATCH($D2365,CMB_S,0)),1,IF(ISNUMBER(MATCH($D2365,CMB_G,0)),2,0)))</f>
        <v/>
      </c>
      <c r="Q2365" s="84">
        <f>IF(ISNUMBER($H2365),-$H2365,0)</f>
        <v>0</v>
      </c>
      <c r="R2365" s="84">
        <f>IF(ISNUMBER($I2365),ABS($I2365),0)</f>
        <v>0</v>
      </c>
      <c r="S2365" s="84">
        <f>IF(ISNUMBER($M2365),ABS($M2365),0)</f>
        <v>0</v>
      </c>
      <c r="T2365" s="85" t="n">
        <v>2357</v>
      </c>
    </row>
    <row r="2366">
      <c r="B2366" s="83" t="n"/>
      <c r="C2366" s="83" t="n"/>
      <c r="D2366" s="83" t="n"/>
      <c r="E2366" s="83" t="n"/>
      <c r="F2366" s="83" t="n"/>
      <c r="G2366" s="83" t="n"/>
      <c r="H2366" s="83" t="n"/>
      <c r="I2366" s="83" t="n"/>
      <c r="J2366" s="83" t="n"/>
      <c r="K2366" s="83" t="n"/>
      <c r="L2366" s="83" t="n"/>
      <c r="M2366" s="83" t="n"/>
      <c r="O2366" s="84" t="str">
        <f>IF($C2366="","",IFERROR(MATCH($B2366&amp;"|"&amp;$C2366,MUROS!$AX$11:$AX$70,0),0))</f>
        <v/>
      </c>
      <c r="P2366" s="84" t="str">
        <f>IF($D2366="","",IF(ISNUMBER(MATCH($D2366,CMB_S,0)),1,IF(ISNUMBER(MATCH($D2366,CMB_G,0)),2,0)))</f>
        <v/>
      </c>
      <c r="Q2366" s="84">
        <f>IF(ISNUMBER($H2366),-$H2366,0)</f>
        <v>0</v>
      </c>
      <c r="R2366" s="84">
        <f>IF(ISNUMBER($I2366),ABS($I2366),0)</f>
        <v>0</v>
      </c>
      <c r="S2366" s="84">
        <f>IF(ISNUMBER($M2366),ABS($M2366),0)</f>
        <v>0</v>
      </c>
      <c r="T2366" s="85" t="n">
        <v>2358</v>
      </c>
    </row>
    <row r="2367">
      <c r="B2367" s="83" t="n"/>
      <c r="C2367" s="83" t="n"/>
      <c r="D2367" s="83" t="n"/>
      <c r="E2367" s="83" t="n"/>
      <c r="F2367" s="83" t="n"/>
      <c r="G2367" s="83" t="n"/>
      <c r="H2367" s="83" t="n"/>
      <c r="I2367" s="83" t="n"/>
      <c r="J2367" s="83" t="n"/>
      <c r="K2367" s="83" t="n"/>
      <c r="L2367" s="83" t="n"/>
      <c r="M2367" s="83" t="n"/>
      <c r="O2367" s="84" t="str">
        <f>IF($C2367="","",IFERROR(MATCH($B2367&amp;"|"&amp;$C2367,MUROS!$AX$11:$AX$70,0),0))</f>
        <v/>
      </c>
      <c r="P2367" s="84" t="str">
        <f>IF($D2367="","",IF(ISNUMBER(MATCH($D2367,CMB_S,0)),1,IF(ISNUMBER(MATCH($D2367,CMB_G,0)),2,0)))</f>
        <v/>
      </c>
      <c r="Q2367" s="84">
        <f>IF(ISNUMBER($H2367),-$H2367,0)</f>
        <v>0</v>
      </c>
      <c r="R2367" s="84">
        <f>IF(ISNUMBER($I2367),ABS($I2367),0)</f>
        <v>0</v>
      </c>
      <c r="S2367" s="84">
        <f>IF(ISNUMBER($M2367),ABS($M2367),0)</f>
        <v>0</v>
      </c>
      <c r="T2367" s="85" t="n">
        <v>2359</v>
      </c>
    </row>
    <row r="2368">
      <c r="B2368" s="83" t="n"/>
      <c r="C2368" s="83" t="n"/>
      <c r="D2368" s="83" t="n"/>
      <c r="E2368" s="83" t="n"/>
      <c r="F2368" s="83" t="n"/>
      <c r="G2368" s="83" t="n"/>
      <c r="H2368" s="83" t="n"/>
      <c r="I2368" s="83" t="n"/>
      <c r="J2368" s="83" t="n"/>
      <c r="K2368" s="83" t="n"/>
      <c r="L2368" s="83" t="n"/>
      <c r="M2368" s="83" t="n"/>
      <c r="O2368" s="84" t="str">
        <f>IF($C2368="","",IFERROR(MATCH($B2368&amp;"|"&amp;$C2368,MUROS!$AX$11:$AX$70,0),0))</f>
        <v/>
      </c>
      <c r="P2368" s="84" t="str">
        <f>IF($D2368="","",IF(ISNUMBER(MATCH($D2368,CMB_S,0)),1,IF(ISNUMBER(MATCH($D2368,CMB_G,0)),2,0)))</f>
        <v/>
      </c>
      <c r="Q2368" s="84">
        <f>IF(ISNUMBER($H2368),-$H2368,0)</f>
        <v>0</v>
      </c>
      <c r="R2368" s="84">
        <f>IF(ISNUMBER($I2368),ABS($I2368),0)</f>
        <v>0</v>
      </c>
      <c r="S2368" s="84">
        <f>IF(ISNUMBER($M2368),ABS($M2368),0)</f>
        <v>0</v>
      </c>
      <c r="T2368" s="85" t="n">
        <v>2360</v>
      </c>
    </row>
    <row r="2369">
      <c r="B2369" s="83" t="n"/>
      <c r="C2369" s="83" t="n"/>
      <c r="D2369" s="83" t="n"/>
      <c r="E2369" s="83" t="n"/>
      <c r="F2369" s="83" t="n"/>
      <c r="G2369" s="83" t="n"/>
      <c r="H2369" s="83" t="n"/>
      <c r="I2369" s="83" t="n"/>
      <c r="J2369" s="83" t="n"/>
      <c r="K2369" s="83" t="n"/>
      <c r="L2369" s="83" t="n"/>
      <c r="M2369" s="83" t="n"/>
      <c r="O2369" s="84" t="str">
        <f>IF($C2369="","",IFERROR(MATCH($B2369&amp;"|"&amp;$C2369,MUROS!$AX$11:$AX$70,0),0))</f>
        <v/>
      </c>
      <c r="P2369" s="84" t="str">
        <f>IF($D2369="","",IF(ISNUMBER(MATCH($D2369,CMB_S,0)),1,IF(ISNUMBER(MATCH($D2369,CMB_G,0)),2,0)))</f>
        <v/>
      </c>
      <c r="Q2369" s="84">
        <f>IF(ISNUMBER($H2369),-$H2369,0)</f>
        <v>0</v>
      </c>
      <c r="R2369" s="84">
        <f>IF(ISNUMBER($I2369),ABS($I2369),0)</f>
        <v>0</v>
      </c>
      <c r="S2369" s="84">
        <f>IF(ISNUMBER($M2369),ABS($M2369),0)</f>
        <v>0</v>
      </c>
      <c r="T2369" s="85" t="n">
        <v>2361</v>
      </c>
    </row>
    <row r="2370">
      <c r="B2370" s="83" t="n"/>
      <c r="C2370" s="83" t="n"/>
      <c r="D2370" s="83" t="n"/>
      <c r="E2370" s="83" t="n"/>
      <c r="F2370" s="83" t="n"/>
      <c r="G2370" s="83" t="n"/>
      <c r="H2370" s="83" t="n"/>
      <c r="I2370" s="83" t="n"/>
      <c r="J2370" s="83" t="n"/>
      <c r="K2370" s="83" t="n"/>
      <c r="L2370" s="83" t="n"/>
      <c r="M2370" s="83" t="n"/>
      <c r="O2370" s="84" t="str">
        <f>IF($C2370="","",IFERROR(MATCH($B2370&amp;"|"&amp;$C2370,MUROS!$AX$11:$AX$70,0),0))</f>
        <v/>
      </c>
      <c r="P2370" s="84" t="str">
        <f>IF($D2370="","",IF(ISNUMBER(MATCH($D2370,CMB_S,0)),1,IF(ISNUMBER(MATCH($D2370,CMB_G,0)),2,0)))</f>
        <v/>
      </c>
      <c r="Q2370" s="84">
        <f>IF(ISNUMBER($H2370),-$H2370,0)</f>
        <v>0</v>
      </c>
      <c r="R2370" s="84">
        <f>IF(ISNUMBER($I2370),ABS($I2370),0)</f>
        <v>0</v>
      </c>
      <c r="S2370" s="84">
        <f>IF(ISNUMBER($M2370),ABS($M2370),0)</f>
        <v>0</v>
      </c>
      <c r="T2370" s="85" t="n">
        <v>2362</v>
      </c>
    </row>
    <row r="2371">
      <c r="B2371" s="83" t="n"/>
      <c r="C2371" s="83" t="n"/>
      <c r="D2371" s="83" t="n"/>
      <c r="E2371" s="83" t="n"/>
      <c r="F2371" s="83" t="n"/>
      <c r="G2371" s="83" t="n"/>
      <c r="H2371" s="83" t="n"/>
      <c r="I2371" s="83" t="n"/>
      <c r="J2371" s="83" t="n"/>
      <c r="K2371" s="83" t="n"/>
      <c r="L2371" s="83" t="n"/>
      <c r="M2371" s="83" t="n"/>
      <c r="O2371" s="84" t="str">
        <f>IF($C2371="","",IFERROR(MATCH($B2371&amp;"|"&amp;$C2371,MUROS!$AX$11:$AX$70,0),0))</f>
        <v/>
      </c>
      <c r="P2371" s="84" t="str">
        <f>IF($D2371="","",IF(ISNUMBER(MATCH($D2371,CMB_S,0)),1,IF(ISNUMBER(MATCH($D2371,CMB_G,0)),2,0)))</f>
        <v/>
      </c>
      <c r="Q2371" s="84">
        <f>IF(ISNUMBER($H2371),-$H2371,0)</f>
        <v>0</v>
      </c>
      <c r="R2371" s="84">
        <f>IF(ISNUMBER($I2371),ABS($I2371),0)</f>
        <v>0</v>
      </c>
      <c r="S2371" s="84">
        <f>IF(ISNUMBER($M2371),ABS($M2371),0)</f>
        <v>0</v>
      </c>
      <c r="T2371" s="85" t="n">
        <v>2363</v>
      </c>
    </row>
    <row r="2372">
      <c r="B2372" s="83" t="n"/>
      <c r="C2372" s="83" t="n"/>
      <c r="D2372" s="83" t="n"/>
      <c r="E2372" s="83" t="n"/>
      <c r="F2372" s="83" t="n"/>
      <c r="G2372" s="83" t="n"/>
      <c r="H2372" s="83" t="n"/>
      <c r="I2372" s="83" t="n"/>
      <c r="J2372" s="83" t="n"/>
      <c r="K2372" s="83" t="n"/>
      <c r="L2372" s="83" t="n"/>
      <c r="M2372" s="83" t="n"/>
      <c r="O2372" s="84" t="str">
        <f>IF($C2372="","",IFERROR(MATCH($B2372&amp;"|"&amp;$C2372,MUROS!$AX$11:$AX$70,0),0))</f>
        <v/>
      </c>
      <c r="P2372" s="84" t="str">
        <f>IF($D2372="","",IF(ISNUMBER(MATCH($D2372,CMB_S,0)),1,IF(ISNUMBER(MATCH($D2372,CMB_G,0)),2,0)))</f>
        <v/>
      </c>
      <c r="Q2372" s="84">
        <f>IF(ISNUMBER($H2372),-$H2372,0)</f>
        <v>0</v>
      </c>
      <c r="R2372" s="84">
        <f>IF(ISNUMBER($I2372),ABS($I2372),0)</f>
        <v>0</v>
      </c>
      <c r="S2372" s="84">
        <f>IF(ISNUMBER($M2372),ABS($M2372),0)</f>
        <v>0</v>
      </c>
      <c r="T2372" s="85" t="n">
        <v>2364</v>
      </c>
    </row>
    <row r="2373">
      <c r="B2373" s="83" t="n"/>
      <c r="C2373" s="83" t="n"/>
      <c r="D2373" s="83" t="n"/>
      <c r="E2373" s="83" t="n"/>
      <c r="F2373" s="83" t="n"/>
      <c r="G2373" s="83" t="n"/>
      <c r="H2373" s="83" t="n"/>
      <c r="I2373" s="83" t="n"/>
      <c r="J2373" s="83" t="n"/>
      <c r="K2373" s="83" t="n"/>
      <c r="L2373" s="83" t="n"/>
      <c r="M2373" s="83" t="n"/>
      <c r="O2373" s="84" t="str">
        <f>IF($C2373="","",IFERROR(MATCH($B2373&amp;"|"&amp;$C2373,MUROS!$AX$11:$AX$70,0),0))</f>
        <v/>
      </c>
      <c r="P2373" s="84" t="str">
        <f>IF($D2373="","",IF(ISNUMBER(MATCH($D2373,CMB_S,0)),1,IF(ISNUMBER(MATCH($D2373,CMB_G,0)),2,0)))</f>
        <v/>
      </c>
      <c r="Q2373" s="84">
        <f>IF(ISNUMBER($H2373),-$H2373,0)</f>
        <v>0</v>
      </c>
      <c r="R2373" s="84">
        <f>IF(ISNUMBER($I2373),ABS($I2373),0)</f>
        <v>0</v>
      </c>
      <c r="S2373" s="84">
        <f>IF(ISNUMBER($M2373),ABS($M2373),0)</f>
        <v>0</v>
      </c>
      <c r="T2373" s="85" t="n">
        <v>2365</v>
      </c>
    </row>
    <row r="2374">
      <c r="B2374" s="83" t="n"/>
      <c r="C2374" s="83" t="n"/>
      <c r="D2374" s="83" t="n"/>
      <c r="E2374" s="83" t="n"/>
      <c r="F2374" s="83" t="n"/>
      <c r="G2374" s="83" t="n"/>
      <c r="H2374" s="83" t="n"/>
      <c r="I2374" s="83" t="n"/>
      <c r="J2374" s="83" t="n"/>
      <c r="K2374" s="83" t="n"/>
      <c r="L2374" s="83" t="n"/>
      <c r="M2374" s="83" t="n"/>
      <c r="O2374" s="84" t="str">
        <f>IF($C2374="","",IFERROR(MATCH($B2374&amp;"|"&amp;$C2374,MUROS!$AX$11:$AX$70,0),0))</f>
        <v/>
      </c>
      <c r="P2374" s="84" t="str">
        <f>IF($D2374="","",IF(ISNUMBER(MATCH($D2374,CMB_S,0)),1,IF(ISNUMBER(MATCH($D2374,CMB_G,0)),2,0)))</f>
        <v/>
      </c>
      <c r="Q2374" s="84">
        <f>IF(ISNUMBER($H2374),-$H2374,0)</f>
        <v>0</v>
      </c>
      <c r="R2374" s="84">
        <f>IF(ISNUMBER($I2374),ABS($I2374),0)</f>
        <v>0</v>
      </c>
      <c r="S2374" s="84">
        <f>IF(ISNUMBER($M2374),ABS($M2374),0)</f>
        <v>0</v>
      </c>
      <c r="T2374" s="85" t="n">
        <v>2366</v>
      </c>
    </row>
    <row r="2375">
      <c r="B2375" s="83" t="n"/>
      <c r="C2375" s="83" t="n"/>
      <c r="D2375" s="83" t="n"/>
      <c r="E2375" s="83" t="n"/>
      <c r="F2375" s="83" t="n"/>
      <c r="G2375" s="83" t="n"/>
      <c r="H2375" s="83" t="n"/>
      <c r="I2375" s="83" t="n"/>
      <c r="J2375" s="83" t="n"/>
      <c r="K2375" s="83" t="n"/>
      <c r="L2375" s="83" t="n"/>
      <c r="M2375" s="83" t="n"/>
      <c r="O2375" s="84" t="str">
        <f>IF($C2375="","",IFERROR(MATCH($B2375&amp;"|"&amp;$C2375,MUROS!$AX$11:$AX$70,0),0))</f>
        <v/>
      </c>
      <c r="P2375" s="84" t="str">
        <f>IF($D2375="","",IF(ISNUMBER(MATCH($D2375,CMB_S,0)),1,IF(ISNUMBER(MATCH($D2375,CMB_G,0)),2,0)))</f>
        <v/>
      </c>
      <c r="Q2375" s="84">
        <f>IF(ISNUMBER($H2375),-$H2375,0)</f>
        <v>0</v>
      </c>
      <c r="R2375" s="84">
        <f>IF(ISNUMBER($I2375),ABS($I2375),0)</f>
        <v>0</v>
      </c>
      <c r="S2375" s="84">
        <f>IF(ISNUMBER($M2375),ABS($M2375),0)</f>
        <v>0</v>
      </c>
      <c r="T2375" s="85" t="n">
        <v>2367</v>
      </c>
    </row>
    <row r="2376">
      <c r="B2376" s="83" t="n"/>
      <c r="C2376" s="83" t="n"/>
      <c r="D2376" s="83" t="n"/>
      <c r="E2376" s="83" t="n"/>
      <c r="F2376" s="83" t="n"/>
      <c r="G2376" s="83" t="n"/>
      <c r="H2376" s="83" t="n"/>
      <c r="I2376" s="83" t="n"/>
      <c r="J2376" s="83" t="n"/>
      <c r="K2376" s="83" t="n"/>
      <c r="L2376" s="83" t="n"/>
      <c r="M2376" s="83" t="n"/>
      <c r="O2376" s="84" t="str">
        <f>IF($C2376="","",IFERROR(MATCH($B2376&amp;"|"&amp;$C2376,MUROS!$AX$11:$AX$70,0),0))</f>
        <v/>
      </c>
      <c r="P2376" s="84" t="str">
        <f>IF($D2376="","",IF(ISNUMBER(MATCH($D2376,CMB_S,0)),1,IF(ISNUMBER(MATCH($D2376,CMB_G,0)),2,0)))</f>
        <v/>
      </c>
      <c r="Q2376" s="84">
        <f>IF(ISNUMBER($H2376),-$H2376,0)</f>
        <v>0</v>
      </c>
      <c r="R2376" s="84">
        <f>IF(ISNUMBER($I2376),ABS($I2376),0)</f>
        <v>0</v>
      </c>
      <c r="S2376" s="84">
        <f>IF(ISNUMBER($M2376),ABS($M2376),0)</f>
        <v>0</v>
      </c>
      <c r="T2376" s="85" t="n">
        <v>2368</v>
      </c>
    </row>
    <row r="2377">
      <c r="B2377" s="83" t="n"/>
      <c r="C2377" s="83" t="n"/>
      <c r="D2377" s="83" t="n"/>
      <c r="E2377" s="83" t="n"/>
      <c r="F2377" s="83" t="n"/>
      <c r="G2377" s="83" t="n"/>
      <c r="H2377" s="83" t="n"/>
      <c r="I2377" s="83" t="n"/>
      <c r="J2377" s="83" t="n"/>
      <c r="K2377" s="83" t="n"/>
      <c r="L2377" s="83" t="n"/>
      <c r="M2377" s="83" t="n"/>
      <c r="O2377" s="84" t="str">
        <f>IF($C2377="","",IFERROR(MATCH($B2377&amp;"|"&amp;$C2377,MUROS!$AX$11:$AX$70,0),0))</f>
        <v/>
      </c>
      <c r="P2377" s="84" t="str">
        <f>IF($D2377="","",IF(ISNUMBER(MATCH($D2377,CMB_S,0)),1,IF(ISNUMBER(MATCH($D2377,CMB_G,0)),2,0)))</f>
        <v/>
      </c>
      <c r="Q2377" s="84">
        <f>IF(ISNUMBER($H2377),-$H2377,0)</f>
        <v>0</v>
      </c>
      <c r="R2377" s="84">
        <f>IF(ISNUMBER($I2377),ABS($I2377),0)</f>
        <v>0</v>
      </c>
      <c r="S2377" s="84">
        <f>IF(ISNUMBER($M2377),ABS($M2377),0)</f>
        <v>0</v>
      </c>
      <c r="T2377" s="85" t="n">
        <v>2369</v>
      </c>
    </row>
    <row r="2378">
      <c r="B2378" s="83" t="n"/>
      <c r="C2378" s="83" t="n"/>
      <c r="D2378" s="83" t="n"/>
      <c r="E2378" s="83" t="n"/>
      <c r="F2378" s="83" t="n"/>
      <c r="G2378" s="83" t="n"/>
      <c r="H2378" s="83" t="n"/>
      <c r="I2378" s="83" t="n"/>
      <c r="J2378" s="83" t="n"/>
      <c r="K2378" s="83" t="n"/>
      <c r="L2378" s="83" t="n"/>
      <c r="M2378" s="83" t="n"/>
      <c r="O2378" s="84" t="str">
        <f>IF($C2378="","",IFERROR(MATCH($B2378&amp;"|"&amp;$C2378,MUROS!$AX$11:$AX$70,0),0))</f>
        <v/>
      </c>
      <c r="P2378" s="84" t="str">
        <f>IF($D2378="","",IF(ISNUMBER(MATCH($D2378,CMB_S,0)),1,IF(ISNUMBER(MATCH($D2378,CMB_G,0)),2,0)))</f>
        <v/>
      </c>
      <c r="Q2378" s="84">
        <f>IF(ISNUMBER($H2378),-$H2378,0)</f>
        <v>0</v>
      </c>
      <c r="R2378" s="84">
        <f>IF(ISNUMBER($I2378),ABS($I2378),0)</f>
        <v>0</v>
      </c>
      <c r="S2378" s="84">
        <f>IF(ISNUMBER($M2378),ABS($M2378),0)</f>
        <v>0</v>
      </c>
      <c r="T2378" s="85" t="n">
        <v>2370</v>
      </c>
    </row>
    <row r="2379">
      <c r="B2379" s="83" t="n"/>
      <c r="C2379" s="83" t="n"/>
      <c r="D2379" s="83" t="n"/>
      <c r="E2379" s="83" t="n"/>
      <c r="F2379" s="83" t="n"/>
      <c r="G2379" s="83" t="n"/>
      <c r="H2379" s="83" t="n"/>
      <c r="I2379" s="83" t="n"/>
      <c r="J2379" s="83" t="n"/>
      <c r="K2379" s="83" t="n"/>
      <c r="L2379" s="83" t="n"/>
      <c r="M2379" s="83" t="n"/>
      <c r="O2379" s="84" t="str">
        <f>IF($C2379="","",IFERROR(MATCH($B2379&amp;"|"&amp;$C2379,MUROS!$AX$11:$AX$70,0),0))</f>
        <v/>
      </c>
      <c r="P2379" s="84" t="str">
        <f>IF($D2379="","",IF(ISNUMBER(MATCH($D2379,CMB_S,0)),1,IF(ISNUMBER(MATCH($D2379,CMB_G,0)),2,0)))</f>
        <v/>
      </c>
      <c r="Q2379" s="84">
        <f>IF(ISNUMBER($H2379),-$H2379,0)</f>
        <v>0</v>
      </c>
      <c r="R2379" s="84">
        <f>IF(ISNUMBER($I2379),ABS($I2379),0)</f>
        <v>0</v>
      </c>
      <c r="S2379" s="84">
        <f>IF(ISNUMBER($M2379),ABS($M2379),0)</f>
        <v>0</v>
      </c>
      <c r="T2379" s="85" t="n">
        <v>2371</v>
      </c>
    </row>
    <row r="2380">
      <c r="B2380" s="83" t="n"/>
      <c r="C2380" s="83" t="n"/>
      <c r="D2380" s="83" t="n"/>
      <c r="E2380" s="83" t="n"/>
      <c r="F2380" s="83" t="n"/>
      <c r="G2380" s="83" t="n"/>
      <c r="H2380" s="83" t="n"/>
      <c r="I2380" s="83" t="n"/>
      <c r="J2380" s="83" t="n"/>
      <c r="K2380" s="83" t="n"/>
      <c r="L2380" s="83" t="n"/>
      <c r="M2380" s="83" t="n"/>
      <c r="O2380" s="84" t="str">
        <f>IF($C2380="","",IFERROR(MATCH($B2380&amp;"|"&amp;$C2380,MUROS!$AX$11:$AX$70,0),0))</f>
        <v/>
      </c>
      <c r="P2380" s="84" t="str">
        <f>IF($D2380="","",IF(ISNUMBER(MATCH($D2380,CMB_S,0)),1,IF(ISNUMBER(MATCH($D2380,CMB_G,0)),2,0)))</f>
        <v/>
      </c>
      <c r="Q2380" s="84">
        <f>IF(ISNUMBER($H2380),-$H2380,0)</f>
        <v>0</v>
      </c>
      <c r="R2380" s="84">
        <f>IF(ISNUMBER($I2380),ABS($I2380),0)</f>
        <v>0</v>
      </c>
      <c r="S2380" s="84">
        <f>IF(ISNUMBER($M2380),ABS($M2380),0)</f>
        <v>0</v>
      </c>
      <c r="T2380" s="85" t="n">
        <v>2372</v>
      </c>
    </row>
    <row r="2381">
      <c r="B2381" s="83" t="n"/>
      <c r="C2381" s="83" t="n"/>
      <c r="D2381" s="83" t="n"/>
      <c r="E2381" s="83" t="n"/>
      <c r="F2381" s="83" t="n"/>
      <c r="G2381" s="83" t="n"/>
      <c r="H2381" s="83" t="n"/>
      <c r="I2381" s="83" t="n"/>
      <c r="J2381" s="83" t="n"/>
      <c r="K2381" s="83" t="n"/>
      <c r="L2381" s="83" t="n"/>
      <c r="M2381" s="83" t="n"/>
      <c r="O2381" s="84" t="str">
        <f>IF($C2381="","",IFERROR(MATCH($B2381&amp;"|"&amp;$C2381,MUROS!$AX$11:$AX$70,0),0))</f>
        <v/>
      </c>
      <c r="P2381" s="84" t="str">
        <f>IF($D2381="","",IF(ISNUMBER(MATCH($D2381,CMB_S,0)),1,IF(ISNUMBER(MATCH($D2381,CMB_G,0)),2,0)))</f>
        <v/>
      </c>
      <c r="Q2381" s="84">
        <f>IF(ISNUMBER($H2381),-$H2381,0)</f>
        <v>0</v>
      </c>
      <c r="R2381" s="84">
        <f>IF(ISNUMBER($I2381),ABS($I2381),0)</f>
        <v>0</v>
      </c>
      <c r="S2381" s="84">
        <f>IF(ISNUMBER($M2381),ABS($M2381),0)</f>
        <v>0</v>
      </c>
      <c r="T2381" s="85" t="n">
        <v>2373</v>
      </c>
    </row>
    <row r="2382">
      <c r="B2382" s="83" t="n"/>
      <c r="C2382" s="83" t="n"/>
      <c r="D2382" s="83" t="n"/>
      <c r="E2382" s="83" t="n"/>
      <c r="F2382" s="83" t="n"/>
      <c r="G2382" s="83" t="n"/>
      <c r="H2382" s="83" t="n"/>
      <c r="I2382" s="83" t="n"/>
      <c r="J2382" s="83" t="n"/>
      <c r="K2382" s="83" t="n"/>
      <c r="L2382" s="83" t="n"/>
      <c r="M2382" s="83" t="n"/>
      <c r="O2382" s="84" t="str">
        <f>IF($C2382="","",IFERROR(MATCH($B2382&amp;"|"&amp;$C2382,MUROS!$AX$11:$AX$70,0),0))</f>
        <v/>
      </c>
      <c r="P2382" s="84" t="str">
        <f>IF($D2382="","",IF(ISNUMBER(MATCH($D2382,CMB_S,0)),1,IF(ISNUMBER(MATCH($D2382,CMB_G,0)),2,0)))</f>
        <v/>
      </c>
      <c r="Q2382" s="84">
        <f>IF(ISNUMBER($H2382),-$H2382,0)</f>
        <v>0</v>
      </c>
      <c r="R2382" s="84">
        <f>IF(ISNUMBER($I2382),ABS($I2382),0)</f>
        <v>0</v>
      </c>
      <c r="S2382" s="84">
        <f>IF(ISNUMBER($M2382),ABS($M2382),0)</f>
        <v>0</v>
      </c>
      <c r="T2382" s="85" t="n">
        <v>2374</v>
      </c>
    </row>
    <row r="2383">
      <c r="B2383" s="83" t="n"/>
      <c r="C2383" s="83" t="n"/>
      <c r="D2383" s="83" t="n"/>
      <c r="E2383" s="83" t="n"/>
      <c r="F2383" s="83" t="n"/>
      <c r="G2383" s="83" t="n"/>
      <c r="H2383" s="83" t="n"/>
      <c r="I2383" s="83" t="n"/>
      <c r="J2383" s="83" t="n"/>
      <c r="K2383" s="83" t="n"/>
      <c r="L2383" s="83" t="n"/>
      <c r="M2383" s="83" t="n"/>
      <c r="O2383" s="84" t="str">
        <f>IF($C2383="","",IFERROR(MATCH($B2383&amp;"|"&amp;$C2383,MUROS!$AX$11:$AX$70,0),0))</f>
        <v/>
      </c>
      <c r="P2383" s="84" t="str">
        <f>IF($D2383="","",IF(ISNUMBER(MATCH($D2383,CMB_S,0)),1,IF(ISNUMBER(MATCH($D2383,CMB_G,0)),2,0)))</f>
        <v/>
      </c>
      <c r="Q2383" s="84">
        <f>IF(ISNUMBER($H2383),-$H2383,0)</f>
        <v>0</v>
      </c>
      <c r="R2383" s="84">
        <f>IF(ISNUMBER($I2383),ABS($I2383),0)</f>
        <v>0</v>
      </c>
      <c r="S2383" s="84">
        <f>IF(ISNUMBER($M2383),ABS($M2383),0)</f>
        <v>0</v>
      </c>
      <c r="T2383" s="85" t="n">
        <v>2375</v>
      </c>
    </row>
    <row r="2384">
      <c r="B2384" s="83" t="n"/>
      <c r="C2384" s="83" t="n"/>
      <c r="D2384" s="83" t="n"/>
      <c r="E2384" s="83" t="n"/>
      <c r="F2384" s="83" t="n"/>
      <c r="G2384" s="83" t="n"/>
      <c r="H2384" s="83" t="n"/>
      <c r="I2384" s="83" t="n"/>
      <c r="J2384" s="83" t="n"/>
      <c r="K2384" s="83" t="n"/>
      <c r="L2384" s="83" t="n"/>
      <c r="M2384" s="83" t="n"/>
      <c r="O2384" s="84" t="str">
        <f>IF($C2384="","",IFERROR(MATCH($B2384&amp;"|"&amp;$C2384,MUROS!$AX$11:$AX$70,0),0))</f>
        <v/>
      </c>
      <c r="P2384" s="84" t="str">
        <f>IF($D2384="","",IF(ISNUMBER(MATCH($D2384,CMB_S,0)),1,IF(ISNUMBER(MATCH($D2384,CMB_G,0)),2,0)))</f>
        <v/>
      </c>
      <c r="Q2384" s="84">
        <f>IF(ISNUMBER($H2384),-$H2384,0)</f>
        <v>0</v>
      </c>
      <c r="R2384" s="84">
        <f>IF(ISNUMBER($I2384),ABS($I2384),0)</f>
        <v>0</v>
      </c>
      <c r="S2384" s="84">
        <f>IF(ISNUMBER($M2384),ABS($M2384),0)</f>
        <v>0</v>
      </c>
      <c r="T2384" s="85" t="n">
        <v>2376</v>
      </c>
    </row>
    <row r="2385">
      <c r="B2385" s="83" t="n"/>
      <c r="C2385" s="83" t="n"/>
      <c r="D2385" s="83" t="n"/>
      <c r="E2385" s="83" t="n"/>
      <c r="F2385" s="83" t="n"/>
      <c r="G2385" s="83" t="n"/>
      <c r="H2385" s="83" t="n"/>
      <c r="I2385" s="83" t="n"/>
      <c r="J2385" s="83" t="n"/>
      <c r="K2385" s="83" t="n"/>
      <c r="L2385" s="83" t="n"/>
      <c r="M2385" s="83" t="n"/>
      <c r="O2385" s="84" t="str">
        <f>IF($C2385="","",IFERROR(MATCH($B2385&amp;"|"&amp;$C2385,MUROS!$AX$11:$AX$70,0),0))</f>
        <v/>
      </c>
      <c r="P2385" s="84" t="str">
        <f>IF($D2385="","",IF(ISNUMBER(MATCH($D2385,CMB_S,0)),1,IF(ISNUMBER(MATCH($D2385,CMB_G,0)),2,0)))</f>
        <v/>
      </c>
      <c r="Q2385" s="84">
        <f>IF(ISNUMBER($H2385),-$H2385,0)</f>
        <v>0</v>
      </c>
      <c r="R2385" s="84">
        <f>IF(ISNUMBER($I2385),ABS($I2385),0)</f>
        <v>0</v>
      </c>
      <c r="S2385" s="84">
        <f>IF(ISNUMBER($M2385),ABS($M2385),0)</f>
        <v>0</v>
      </c>
      <c r="T2385" s="85" t="n">
        <v>2377</v>
      </c>
    </row>
    <row r="2386">
      <c r="B2386" s="83" t="n"/>
      <c r="C2386" s="83" t="n"/>
      <c r="D2386" s="83" t="n"/>
      <c r="E2386" s="83" t="n"/>
      <c r="F2386" s="83" t="n"/>
      <c r="G2386" s="83" t="n"/>
      <c r="H2386" s="83" t="n"/>
      <c r="I2386" s="83" t="n"/>
      <c r="J2386" s="83" t="n"/>
      <c r="K2386" s="83" t="n"/>
      <c r="L2386" s="83" t="n"/>
      <c r="M2386" s="83" t="n"/>
      <c r="O2386" s="84" t="str">
        <f>IF($C2386="","",IFERROR(MATCH($B2386&amp;"|"&amp;$C2386,MUROS!$AX$11:$AX$70,0),0))</f>
        <v/>
      </c>
      <c r="P2386" s="84" t="str">
        <f>IF($D2386="","",IF(ISNUMBER(MATCH($D2386,CMB_S,0)),1,IF(ISNUMBER(MATCH($D2386,CMB_G,0)),2,0)))</f>
        <v/>
      </c>
      <c r="Q2386" s="84">
        <f>IF(ISNUMBER($H2386),-$H2386,0)</f>
        <v>0</v>
      </c>
      <c r="R2386" s="84">
        <f>IF(ISNUMBER($I2386),ABS($I2386),0)</f>
        <v>0</v>
      </c>
      <c r="S2386" s="84">
        <f>IF(ISNUMBER($M2386),ABS($M2386),0)</f>
        <v>0</v>
      </c>
      <c r="T2386" s="85" t="n">
        <v>2378</v>
      </c>
    </row>
    <row r="2387">
      <c r="B2387" s="83" t="n"/>
      <c r="C2387" s="83" t="n"/>
      <c r="D2387" s="83" t="n"/>
      <c r="E2387" s="83" t="n"/>
      <c r="F2387" s="83" t="n"/>
      <c r="G2387" s="83" t="n"/>
      <c r="H2387" s="83" t="n"/>
      <c r="I2387" s="83" t="n"/>
      <c r="J2387" s="83" t="n"/>
      <c r="K2387" s="83" t="n"/>
      <c r="L2387" s="83" t="n"/>
      <c r="M2387" s="83" t="n"/>
      <c r="O2387" s="84" t="str">
        <f>IF($C2387="","",IFERROR(MATCH($B2387&amp;"|"&amp;$C2387,MUROS!$AX$11:$AX$70,0),0))</f>
        <v/>
      </c>
      <c r="P2387" s="84" t="str">
        <f>IF($D2387="","",IF(ISNUMBER(MATCH($D2387,CMB_S,0)),1,IF(ISNUMBER(MATCH($D2387,CMB_G,0)),2,0)))</f>
        <v/>
      </c>
      <c r="Q2387" s="84">
        <f>IF(ISNUMBER($H2387),-$H2387,0)</f>
        <v>0</v>
      </c>
      <c r="R2387" s="84">
        <f>IF(ISNUMBER($I2387),ABS($I2387),0)</f>
        <v>0</v>
      </c>
      <c r="S2387" s="84">
        <f>IF(ISNUMBER($M2387),ABS($M2387),0)</f>
        <v>0</v>
      </c>
      <c r="T2387" s="85" t="n">
        <v>2379</v>
      </c>
    </row>
    <row r="2388">
      <c r="B2388" s="83" t="n"/>
      <c r="C2388" s="83" t="n"/>
      <c r="D2388" s="83" t="n"/>
      <c r="E2388" s="83" t="n"/>
      <c r="F2388" s="83" t="n"/>
      <c r="G2388" s="83" t="n"/>
      <c r="H2388" s="83" t="n"/>
      <c r="I2388" s="83" t="n"/>
      <c r="J2388" s="83" t="n"/>
      <c r="K2388" s="83" t="n"/>
      <c r="L2388" s="83" t="n"/>
      <c r="M2388" s="83" t="n"/>
      <c r="O2388" s="84" t="str">
        <f>IF($C2388="","",IFERROR(MATCH($B2388&amp;"|"&amp;$C2388,MUROS!$AX$11:$AX$70,0),0))</f>
        <v/>
      </c>
      <c r="P2388" s="84" t="str">
        <f>IF($D2388="","",IF(ISNUMBER(MATCH($D2388,CMB_S,0)),1,IF(ISNUMBER(MATCH($D2388,CMB_G,0)),2,0)))</f>
        <v/>
      </c>
      <c r="Q2388" s="84">
        <f>IF(ISNUMBER($H2388),-$H2388,0)</f>
        <v>0</v>
      </c>
      <c r="R2388" s="84">
        <f>IF(ISNUMBER($I2388),ABS($I2388),0)</f>
        <v>0</v>
      </c>
      <c r="S2388" s="84">
        <f>IF(ISNUMBER($M2388),ABS($M2388),0)</f>
        <v>0</v>
      </c>
      <c r="T2388" s="85" t="n">
        <v>2380</v>
      </c>
    </row>
    <row r="2389">
      <c r="B2389" s="83" t="n"/>
      <c r="C2389" s="83" t="n"/>
      <c r="D2389" s="83" t="n"/>
      <c r="E2389" s="83" t="n"/>
      <c r="F2389" s="83" t="n"/>
      <c r="G2389" s="83" t="n"/>
      <c r="H2389" s="83" t="n"/>
      <c r="I2389" s="83" t="n"/>
      <c r="J2389" s="83" t="n"/>
      <c r="K2389" s="83" t="n"/>
      <c r="L2389" s="83" t="n"/>
      <c r="M2389" s="83" t="n"/>
      <c r="O2389" s="84" t="str">
        <f>IF($C2389="","",IFERROR(MATCH($B2389&amp;"|"&amp;$C2389,MUROS!$AX$11:$AX$70,0),0))</f>
        <v/>
      </c>
      <c r="P2389" s="84" t="str">
        <f>IF($D2389="","",IF(ISNUMBER(MATCH($D2389,CMB_S,0)),1,IF(ISNUMBER(MATCH($D2389,CMB_G,0)),2,0)))</f>
        <v/>
      </c>
      <c r="Q2389" s="84">
        <f>IF(ISNUMBER($H2389),-$H2389,0)</f>
        <v>0</v>
      </c>
      <c r="R2389" s="84">
        <f>IF(ISNUMBER($I2389),ABS($I2389),0)</f>
        <v>0</v>
      </c>
      <c r="S2389" s="84">
        <f>IF(ISNUMBER($M2389),ABS($M2389),0)</f>
        <v>0</v>
      </c>
      <c r="T2389" s="85" t="n">
        <v>2381</v>
      </c>
    </row>
    <row r="2390">
      <c r="B2390" s="83" t="n"/>
      <c r="C2390" s="83" t="n"/>
      <c r="D2390" s="83" t="n"/>
      <c r="E2390" s="83" t="n"/>
      <c r="F2390" s="83" t="n"/>
      <c r="G2390" s="83" t="n"/>
      <c r="H2390" s="83" t="n"/>
      <c r="I2390" s="83" t="n"/>
      <c r="J2390" s="83" t="n"/>
      <c r="K2390" s="83" t="n"/>
      <c r="L2390" s="83" t="n"/>
      <c r="M2390" s="83" t="n"/>
      <c r="O2390" s="84" t="str">
        <f>IF($C2390="","",IFERROR(MATCH($B2390&amp;"|"&amp;$C2390,MUROS!$AX$11:$AX$70,0),0))</f>
        <v/>
      </c>
      <c r="P2390" s="84" t="str">
        <f>IF($D2390="","",IF(ISNUMBER(MATCH($D2390,CMB_S,0)),1,IF(ISNUMBER(MATCH($D2390,CMB_G,0)),2,0)))</f>
        <v/>
      </c>
      <c r="Q2390" s="84">
        <f>IF(ISNUMBER($H2390),-$H2390,0)</f>
        <v>0</v>
      </c>
      <c r="R2390" s="84">
        <f>IF(ISNUMBER($I2390),ABS($I2390),0)</f>
        <v>0</v>
      </c>
      <c r="S2390" s="84">
        <f>IF(ISNUMBER($M2390),ABS($M2390),0)</f>
        <v>0</v>
      </c>
      <c r="T2390" s="85" t="n">
        <v>2382</v>
      </c>
    </row>
    <row r="2391">
      <c r="B2391" s="83" t="n"/>
      <c r="C2391" s="83" t="n"/>
      <c r="D2391" s="83" t="n"/>
      <c r="E2391" s="83" t="n"/>
      <c r="F2391" s="83" t="n"/>
      <c r="G2391" s="83" t="n"/>
      <c r="H2391" s="83" t="n"/>
      <c r="I2391" s="83" t="n"/>
      <c r="J2391" s="83" t="n"/>
      <c r="K2391" s="83" t="n"/>
      <c r="L2391" s="83" t="n"/>
      <c r="M2391" s="83" t="n"/>
      <c r="O2391" s="84" t="str">
        <f>IF($C2391="","",IFERROR(MATCH($B2391&amp;"|"&amp;$C2391,MUROS!$AX$11:$AX$70,0),0))</f>
        <v/>
      </c>
      <c r="P2391" s="84" t="str">
        <f>IF($D2391="","",IF(ISNUMBER(MATCH($D2391,CMB_S,0)),1,IF(ISNUMBER(MATCH($D2391,CMB_G,0)),2,0)))</f>
        <v/>
      </c>
      <c r="Q2391" s="84">
        <f>IF(ISNUMBER($H2391),-$H2391,0)</f>
        <v>0</v>
      </c>
      <c r="R2391" s="84">
        <f>IF(ISNUMBER($I2391),ABS($I2391),0)</f>
        <v>0</v>
      </c>
      <c r="S2391" s="84">
        <f>IF(ISNUMBER($M2391),ABS($M2391),0)</f>
        <v>0</v>
      </c>
      <c r="T2391" s="85" t="n">
        <v>2383</v>
      </c>
    </row>
    <row r="2392">
      <c r="B2392" s="83" t="n"/>
      <c r="C2392" s="83" t="n"/>
      <c r="D2392" s="83" t="n"/>
      <c r="E2392" s="83" t="n"/>
      <c r="F2392" s="83" t="n"/>
      <c r="G2392" s="83" t="n"/>
      <c r="H2392" s="83" t="n"/>
      <c r="I2392" s="83" t="n"/>
      <c r="J2392" s="83" t="n"/>
      <c r="K2392" s="83" t="n"/>
      <c r="L2392" s="83" t="n"/>
      <c r="M2392" s="83" t="n"/>
      <c r="O2392" s="84" t="str">
        <f>IF($C2392="","",IFERROR(MATCH($B2392&amp;"|"&amp;$C2392,MUROS!$AX$11:$AX$70,0),0))</f>
        <v/>
      </c>
      <c r="P2392" s="84" t="str">
        <f>IF($D2392="","",IF(ISNUMBER(MATCH($D2392,CMB_S,0)),1,IF(ISNUMBER(MATCH($D2392,CMB_G,0)),2,0)))</f>
        <v/>
      </c>
      <c r="Q2392" s="84">
        <f>IF(ISNUMBER($H2392),-$H2392,0)</f>
        <v>0</v>
      </c>
      <c r="R2392" s="84">
        <f>IF(ISNUMBER($I2392),ABS($I2392),0)</f>
        <v>0</v>
      </c>
      <c r="S2392" s="84">
        <f>IF(ISNUMBER($M2392),ABS($M2392),0)</f>
        <v>0</v>
      </c>
      <c r="T2392" s="85" t="n">
        <v>2384</v>
      </c>
    </row>
    <row r="2393">
      <c r="B2393" s="83" t="n"/>
      <c r="C2393" s="83" t="n"/>
      <c r="D2393" s="83" t="n"/>
      <c r="E2393" s="83" t="n"/>
      <c r="F2393" s="83" t="n"/>
      <c r="G2393" s="83" t="n"/>
      <c r="H2393" s="83" t="n"/>
      <c r="I2393" s="83" t="n"/>
      <c r="J2393" s="83" t="n"/>
      <c r="K2393" s="83" t="n"/>
      <c r="L2393" s="83" t="n"/>
      <c r="M2393" s="83" t="n"/>
      <c r="O2393" s="84" t="str">
        <f>IF($C2393="","",IFERROR(MATCH($B2393&amp;"|"&amp;$C2393,MUROS!$AX$11:$AX$70,0),0))</f>
        <v/>
      </c>
      <c r="P2393" s="84" t="str">
        <f>IF($D2393="","",IF(ISNUMBER(MATCH($D2393,CMB_S,0)),1,IF(ISNUMBER(MATCH($D2393,CMB_G,0)),2,0)))</f>
        <v/>
      </c>
      <c r="Q2393" s="84">
        <f>IF(ISNUMBER($H2393),-$H2393,0)</f>
        <v>0</v>
      </c>
      <c r="R2393" s="84">
        <f>IF(ISNUMBER($I2393),ABS($I2393),0)</f>
        <v>0</v>
      </c>
      <c r="S2393" s="84">
        <f>IF(ISNUMBER($M2393),ABS($M2393),0)</f>
        <v>0</v>
      </c>
      <c r="T2393" s="85" t="n">
        <v>2385</v>
      </c>
    </row>
    <row r="2394">
      <c r="B2394" s="83" t="n"/>
      <c r="C2394" s="83" t="n"/>
      <c r="D2394" s="83" t="n"/>
      <c r="E2394" s="83" t="n"/>
      <c r="F2394" s="83" t="n"/>
      <c r="G2394" s="83" t="n"/>
      <c r="H2394" s="83" t="n"/>
      <c r="I2394" s="83" t="n"/>
      <c r="J2394" s="83" t="n"/>
      <c r="K2394" s="83" t="n"/>
      <c r="L2394" s="83" t="n"/>
      <c r="M2394" s="83" t="n"/>
      <c r="O2394" s="84" t="str">
        <f>IF($C2394="","",IFERROR(MATCH($B2394&amp;"|"&amp;$C2394,MUROS!$AX$11:$AX$70,0),0))</f>
        <v/>
      </c>
      <c r="P2394" s="84" t="str">
        <f>IF($D2394="","",IF(ISNUMBER(MATCH($D2394,CMB_S,0)),1,IF(ISNUMBER(MATCH($D2394,CMB_G,0)),2,0)))</f>
        <v/>
      </c>
      <c r="Q2394" s="84">
        <f>IF(ISNUMBER($H2394),-$H2394,0)</f>
        <v>0</v>
      </c>
      <c r="R2394" s="84">
        <f>IF(ISNUMBER($I2394),ABS($I2394),0)</f>
        <v>0</v>
      </c>
      <c r="S2394" s="84">
        <f>IF(ISNUMBER($M2394),ABS($M2394),0)</f>
        <v>0</v>
      </c>
      <c r="T2394" s="85" t="n">
        <v>2386</v>
      </c>
    </row>
    <row r="2395">
      <c r="B2395" s="83" t="n"/>
      <c r="C2395" s="83" t="n"/>
      <c r="D2395" s="83" t="n"/>
      <c r="E2395" s="83" t="n"/>
      <c r="F2395" s="83" t="n"/>
      <c r="G2395" s="83" t="n"/>
      <c r="H2395" s="83" t="n"/>
      <c r="I2395" s="83" t="n"/>
      <c r="J2395" s="83" t="n"/>
      <c r="K2395" s="83" t="n"/>
      <c r="L2395" s="83" t="n"/>
      <c r="M2395" s="83" t="n"/>
      <c r="O2395" s="84" t="str">
        <f>IF($C2395="","",IFERROR(MATCH($B2395&amp;"|"&amp;$C2395,MUROS!$AX$11:$AX$70,0),0))</f>
        <v/>
      </c>
      <c r="P2395" s="84" t="str">
        <f>IF($D2395="","",IF(ISNUMBER(MATCH($D2395,CMB_S,0)),1,IF(ISNUMBER(MATCH($D2395,CMB_G,0)),2,0)))</f>
        <v/>
      </c>
      <c r="Q2395" s="84">
        <f>IF(ISNUMBER($H2395),-$H2395,0)</f>
        <v>0</v>
      </c>
      <c r="R2395" s="84">
        <f>IF(ISNUMBER($I2395),ABS($I2395),0)</f>
        <v>0</v>
      </c>
      <c r="S2395" s="84">
        <f>IF(ISNUMBER($M2395),ABS($M2395),0)</f>
        <v>0</v>
      </c>
      <c r="T2395" s="85" t="n">
        <v>2387</v>
      </c>
    </row>
    <row r="2396">
      <c r="B2396" s="83" t="n"/>
      <c r="C2396" s="83" t="n"/>
      <c r="D2396" s="83" t="n"/>
      <c r="E2396" s="83" t="n"/>
      <c r="F2396" s="83" t="n"/>
      <c r="G2396" s="83" t="n"/>
      <c r="H2396" s="83" t="n"/>
      <c r="I2396" s="83" t="n"/>
      <c r="J2396" s="83" t="n"/>
      <c r="K2396" s="83" t="n"/>
      <c r="L2396" s="83" t="n"/>
      <c r="M2396" s="83" t="n"/>
      <c r="O2396" s="84" t="str">
        <f>IF($C2396="","",IFERROR(MATCH($B2396&amp;"|"&amp;$C2396,MUROS!$AX$11:$AX$70,0),0))</f>
        <v/>
      </c>
      <c r="P2396" s="84" t="str">
        <f>IF($D2396="","",IF(ISNUMBER(MATCH($D2396,CMB_S,0)),1,IF(ISNUMBER(MATCH($D2396,CMB_G,0)),2,0)))</f>
        <v/>
      </c>
      <c r="Q2396" s="84">
        <f>IF(ISNUMBER($H2396),-$H2396,0)</f>
        <v>0</v>
      </c>
      <c r="R2396" s="84">
        <f>IF(ISNUMBER($I2396),ABS($I2396),0)</f>
        <v>0</v>
      </c>
      <c r="S2396" s="84">
        <f>IF(ISNUMBER($M2396),ABS($M2396),0)</f>
        <v>0</v>
      </c>
      <c r="T2396" s="85" t="n">
        <v>2388</v>
      </c>
    </row>
    <row r="2397">
      <c r="B2397" s="83" t="n"/>
      <c r="C2397" s="83" t="n"/>
      <c r="D2397" s="83" t="n"/>
      <c r="E2397" s="83" t="n"/>
      <c r="F2397" s="83" t="n"/>
      <c r="G2397" s="83" t="n"/>
      <c r="H2397" s="83" t="n"/>
      <c r="I2397" s="83" t="n"/>
      <c r="J2397" s="83" t="n"/>
      <c r="K2397" s="83" t="n"/>
      <c r="L2397" s="83" t="n"/>
      <c r="M2397" s="83" t="n"/>
      <c r="O2397" s="84" t="str">
        <f>IF($C2397="","",IFERROR(MATCH($B2397&amp;"|"&amp;$C2397,MUROS!$AX$11:$AX$70,0),0))</f>
        <v/>
      </c>
      <c r="P2397" s="84" t="str">
        <f>IF($D2397="","",IF(ISNUMBER(MATCH($D2397,CMB_S,0)),1,IF(ISNUMBER(MATCH($D2397,CMB_G,0)),2,0)))</f>
        <v/>
      </c>
      <c r="Q2397" s="84">
        <f>IF(ISNUMBER($H2397),-$H2397,0)</f>
        <v>0</v>
      </c>
      <c r="R2397" s="84">
        <f>IF(ISNUMBER($I2397),ABS($I2397),0)</f>
        <v>0</v>
      </c>
      <c r="S2397" s="84">
        <f>IF(ISNUMBER($M2397),ABS($M2397),0)</f>
        <v>0</v>
      </c>
      <c r="T2397" s="85" t="n">
        <v>2389</v>
      </c>
    </row>
    <row r="2398">
      <c r="B2398" s="83" t="n"/>
      <c r="C2398" s="83" t="n"/>
      <c r="D2398" s="83" t="n"/>
      <c r="E2398" s="83" t="n"/>
      <c r="F2398" s="83" t="n"/>
      <c r="G2398" s="83" t="n"/>
      <c r="H2398" s="83" t="n"/>
      <c r="I2398" s="83" t="n"/>
      <c r="J2398" s="83" t="n"/>
      <c r="K2398" s="83" t="n"/>
      <c r="L2398" s="83" t="n"/>
      <c r="M2398" s="83" t="n"/>
      <c r="O2398" s="84" t="str">
        <f>IF($C2398="","",IFERROR(MATCH($B2398&amp;"|"&amp;$C2398,MUROS!$AX$11:$AX$70,0),0))</f>
        <v/>
      </c>
      <c r="P2398" s="84" t="str">
        <f>IF($D2398="","",IF(ISNUMBER(MATCH($D2398,CMB_S,0)),1,IF(ISNUMBER(MATCH($D2398,CMB_G,0)),2,0)))</f>
        <v/>
      </c>
      <c r="Q2398" s="84">
        <f>IF(ISNUMBER($H2398),-$H2398,0)</f>
        <v>0</v>
      </c>
      <c r="R2398" s="84">
        <f>IF(ISNUMBER($I2398),ABS($I2398),0)</f>
        <v>0</v>
      </c>
      <c r="S2398" s="84">
        <f>IF(ISNUMBER($M2398),ABS($M2398),0)</f>
        <v>0</v>
      </c>
      <c r="T2398" s="85" t="n">
        <v>2390</v>
      </c>
    </row>
    <row r="2399">
      <c r="B2399" s="83" t="n"/>
      <c r="C2399" s="83" t="n"/>
      <c r="D2399" s="83" t="n"/>
      <c r="E2399" s="83" t="n"/>
      <c r="F2399" s="83" t="n"/>
      <c r="G2399" s="83" t="n"/>
      <c r="H2399" s="83" t="n"/>
      <c r="I2399" s="83" t="n"/>
      <c r="J2399" s="83" t="n"/>
      <c r="K2399" s="83" t="n"/>
      <c r="L2399" s="83" t="n"/>
      <c r="M2399" s="83" t="n"/>
      <c r="O2399" s="84" t="str">
        <f>IF($C2399="","",IFERROR(MATCH($B2399&amp;"|"&amp;$C2399,MUROS!$AX$11:$AX$70,0),0))</f>
        <v/>
      </c>
      <c r="P2399" s="84" t="str">
        <f>IF($D2399="","",IF(ISNUMBER(MATCH($D2399,CMB_S,0)),1,IF(ISNUMBER(MATCH($D2399,CMB_G,0)),2,0)))</f>
        <v/>
      </c>
      <c r="Q2399" s="84">
        <f>IF(ISNUMBER($H2399),-$H2399,0)</f>
        <v>0</v>
      </c>
      <c r="R2399" s="84">
        <f>IF(ISNUMBER($I2399),ABS($I2399),0)</f>
        <v>0</v>
      </c>
      <c r="S2399" s="84">
        <f>IF(ISNUMBER($M2399),ABS($M2399),0)</f>
        <v>0</v>
      </c>
      <c r="T2399" s="85" t="n">
        <v>2391</v>
      </c>
    </row>
    <row r="2400">
      <c r="B2400" s="83" t="n"/>
      <c r="C2400" s="83" t="n"/>
      <c r="D2400" s="83" t="n"/>
      <c r="E2400" s="83" t="n"/>
      <c r="F2400" s="83" t="n"/>
      <c r="G2400" s="83" t="n"/>
      <c r="H2400" s="83" t="n"/>
      <c r="I2400" s="83" t="n"/>
      <c r="J2400" s="83" t="n"/>
      <c r="K2400" s="83" t="n"/>
      <c r="L2400" s="83" t="n"/>
      <c r="M2400" s="83" t="n"/>
      <c r="O2400" s="84" t="str">
        <f>IF($C2400="","",IFERROR(MATCH($B2400&amp;"|"&amp;$C2400,MUROS!$AX$11:$AX$70,0),0))</f>
        <v/>
      </c>
      <c r="P2400" s="84" t="str">
        <f>IF($D2400="","",IF(ISNUMBER(MATCH($D2400,CMB_S,0)),1,IF(ISNUMBER(MATCH($D2400,CMB_G,0)),2,0)))</f>
        <v/>
      </c>
      <c r="Q2400" s="84">
        <f>IF(ISNUMBER($H2400),-$H2400,0)</f>
        <v>0</v>
      </c>
      <c r="R2400" s="84">
        <f>IF(ISNUMBER($I2400),ABS($I2400),0)</f>
        <v>0</v>
      </c>
      <c r="S2400" s="84">
        <f>IF(ISNUMBER($M2400),ABS($M2400),0)</f>
        <v>0</v>
      </c>
      <c r="T2400" s="85" t="n">
        <v>2392</v>
      </c>
    </row>
    <row r="2401">
      <c r="B2401" s="83" t="n"/>
      <c r="C2401" s="83" t="n"/>
      <c r="D2401" s="83" t="n"/>
      <c r="E2401" s="83" t="n"/>
      <c r="F2401" s="83" t="n"/>
      <c r="G2401" s="83" t="n"/>
      <c r="H2401" s="83" t="n"/>
      <c r="I2401" s="83" t="n"/>
      <c r="J2401" s="83" t="n"/>
      <c r="K2401" s="83" t="n"/>
      <c r="L2401" s="83" t="n"/>
      <c r="M2401" s="83" t="n"/>
      <c r="O2401" s="84" t="str">
        <f>IF($C2401="","",IFERROR(MATCH($B2401&amp;"|"&amp;$C2401,MUROS!$AX$11:$AX$70,0),0))</f>
        <v/>
      </c>
      <c r="P2401" s="84" t="str">
        <f>IF($D2401="","",IF(ISNUMBER(MATCH($D2401,CMB_S,0)),1,IF(ISNUMBER(MATCH($D2401,CMB_G,0)),2,0)))</f>
        <v/>
      </c>
      <c r="Q2401" s="84">
        <f>IF(ISNUMBER($H2401),-$H2401,0)</f>
        <v>0</v>
      </c>
      <c r="R2401" s="84">
        <f>IF(ISNUMBER($I2401),ABS($I2401),0)</f>
        <v>0</v>
      </c>
      <c r="S2401" s="84">
        <f>IF(ISNUMBER($M2401),ABS($M2401),0)</f>
        <v>0</v>
      </c>
      <c r="T2401" s="85" t="n">
        <v>2393</v>
      </c>
    </row>
    <row r="2402">
      <c r="B2402" s="83" t="n"/>
      <c r="C2402" s="83" t="n"/>
      <c r="D2402" s="83" t="n"/>
      <c r="E2402" s="83" t="n"/>
      <c r="F2402" s="83" t="n"/>
      <c r="G2402" s="83" t="n"/>
      <c r="H2402" s="83" t="n"/>
      <c r="I2402" s="83" t="n"/>
      <c r="J2402" s="83" t="n"/>
      <c r="K2402" s="83" t="n"/>
      <c r="L2402" s="83" t="n"/>
      <c r="M2402" s="83" t="n"/>
      <c r="O2402" s="84" t="str">
        <f>IF($C2402="","",IFERROR(MATCH($B2402&amp;"|"&amp;$C2402,MUROS!$AX$11:$AX$70,0),0))</f>
        <v/>
      </c>
      <c r="P2402" s="84" t="str">
        <f>IF($D2402="","",IF(ISNUMBER(MATCH($D2402,CMB_S,0)),1,IF(ISNUMBER(MATCH($D2402,CMB_G,0)),2,0)))</f>
        <v/>
      </c>
      <c r="Q2402" s="84">
        <f>IF(ISNUMBER($H2402),-$H2402,0)</f>
        <v>0</v>
      </c>
      <c r="R2402" s="84">
        <f>IF(ISNUMBER($I2402),ABS($I2402),0)</f>
        <v>0</v>
      </c>
      <c r="S2402" s="84">
        <f>IF(ISNUMBER($M2402),ABS($M2402),0)</f>
        <v>0</v>
      </c>
      <c r="T2402" s="85" t="n">
        <v>2394</v>
      </c>
    </row>
    <row r="2403">
      <c r="B2403" s="83" t="n"/>
      <c r="C2403" s="83" t="n"/>
      <c r="D2403" s="83" t="n"/>
      <c r="E2403" s="83" t="n"/>
      <c r="F2403" s="83" t="n"/>
      <c r="G2403" s="83" t="n"/>
      <c r="H2403" s="83" t="n"/>
      <c r="I2403" s="83" t="n"/>
      <c r="J2403" s="83" t="n"/>
      <c r="K2403" s="83" t="n"/>
      <c r="L2403" s="83" t="n"/>
      <c r="M2403" s="83" t="n"/>
      <c r="O2403" s="84" t="str">
        <f>IF($C2403="","",IFERROR(MATCH($B2403&amp;"|"&amp;$C2403,MUROS!$AX$11:$AX$70,0),0))</f>
        <v/>
      </c>
      <c r="P2403" s="84" t="str">
        <f>IF($D2403="","",IF(ISNUMBER(MATCH($D2403,CMB_S,0)),1,IF(ISNUMBER(MATCH($D2403,CMB_G,0)),2,0)))</f>
        <v/>
      </c>
      <c r="Q2403" s="84">
        <f>IF(ISNUMBER($H2403),-$H2403,0)</f>
        <v>0</v>
      </c>
      <c r="R2403" s="84">
        <f>IF(ISNUMBER($I2403),ABS($I2403),0)</f>
        <v>0</v>
      </c>
      <c r="S2403" s="84">
        <f>IF(ISNUMBER($M2403),ABS($M2403),0)</f>
        <v>0</v>
      </c>
      <c r="T2403" s="85" t="n">
        <v>2395</v>
      </c>
    </row>
    <row r="2404">
      <c r="B2404" s="83" t="n"/>
      <c r="C2404" s="83" t="n"/>
      <c r="D2404" s="83" t="n"/>
      <c r="E2404" s="83" t="n"/>
      <c r="F2404" s="83" t="n"/>
      <c r="G2404" s="83" t="n"/>
      <c r="H2404" s="83" t="n"/>
      <c r="I2404" s="83" t="n"/>
      <c r="J2404" s="83" t="n"/>
      <c r="K2404" s="83" t="n"/>
      <c r="L2404" s="83" t="n"/>
      <c r="M2404" s="83" t="n"/>
      <c r="O2404" s="84" t="str">
        <f>IF($C2404="","",IFERROR(MATCH($B2404&amp;"|"&amp;$C2404,MUROS!$AX$11:$AX$70,0),0))</f>
        <v/>
      </c>
      <c r="P2404" s="84" t="str">
        <f>IF($D2404="","",IF(ISNUMBER(MATCH($D2404,CMB_S,0)),1,IF(ISNUMBER(MATCH($D2404,CMB_G,0)),2,0)))</f>
        <v/>
      </c>
      <c r="Q2404" s="84">
        <f>IF(ISNUMBER($H2404),-$H2404,0)</f>
        <v>0</v>
      </c>
      <c r="R2404" s="84">
        <f>IF(ISNUMBER($I2404),ABS($I2404),0)</f>
        <v>0</v>
      </c>
      <c r="S2404" s="84">
        <f>IF(ISNUMBER($M2404),ABS($M2404),0)</f>
        <v>0</v>
      </c>
      <c r="T2404" s="85" t="n">
        <v>2396</v>
      </c>
    </row>
    <row r="2405">
      <c r="B2405" s="83" t="n"/>
      <c r="C2405" s="83" t="n"/>
      <c r="D2405" s="83" t="n"/>
      <c r="E2405" s="83" t="n"/>
      <c r="F2405" s="83" t="n"/>
      <c r="G2405" s="83" t="n"/>
      <c r="H2405" s="83" t="n"/>
      <c r="I2405" s="83" t="n"/>
      <c r="J2405" s="83" t="n"/>
      <c r="K2405" s="83" t="n"/>
      <c r="L2405" s="83" t="n"/>
      <c r="M2405" s="83" t="n"/>
      <c r="O2405" s="84" t="str">
        <f>IF($C2405="","",IFERROR(MATCH($B2405&amp;"|"&amp;$C2405,MUROS!$AX$11:$AX$70,0),0))</f>
        <v/>
      </c>
      <c r="P2405" s="84" t="str">
        <f>IF($D2405="","",IF(ISNUMBER(MATCH($D2405,CMB_S,0)),1,IF(ISNUMBER(MATCH($D2405,CMB_G,0)),2,0)))</f>
        <v/>
      </c>
      <c r="Q2405" s="84">
        <f>IF(ISNUMBER($H2405),-$H2405,0)</f>
        <v>0</v>
      </c>
      <c r="R2405" s="84">
        <f>IF(ISNUMBER($I2405),ABS($I2405),0)</f>
        <v>0</v>
      </c>
      <c r="S2405" s="84">
        <f>IF(ISNUMBER($M2405),ABS($M2405),0)</f>
        <v>0</v>
      </c>
      <c r="T2405" s="85" t="n">
        <v>2397</v>
      </c>
    </row>
    <row r="2406">
      <c r="B2406" s="83" t="n"/>
      <c r="C2406" s="83" t="n"/>
      <c r="D2406" s="83" t="n"/>
      <c r="E2406" s="83" t="n"/>
      <c r="F2406" s="83" t="n"/>
      <c r="G2406" s="83" t="n"/>
      <c r="H2406" s="83" t="n"/>
      <c r="I2406" s="83" t="n"/>
      <c r="J2406" s="83" t="n"/>
      <c r="K2406" s="83" t="n"/>
      <c r="L2406" s="83" t="n"/>
      <c r="M2406" s="83" t="n"/>
      <c r="O2406" s="84" t="str">
        <f>IF($C2406="","",IFERROR(MATCH($B2406&amp;"|"&amp;$C2406,MUROS!$AX$11:$AX$70,0),0))</f>
        <v/>
      </c>
      <c r="P2406" s="84" t="str">
        <f>IF($D2406="","",IF(ISNUMBER(MATCH($D2406,CMB_S,0)),1,IF(ISNUMBER(MATCH($D2406,CMB_G,0)),2,0)))</f>
        <v/>
      </c>
      <c r="Q2406" s="84">
        <f>IF(ISNUMBER($H2406),-$H2406,0)</f>
        <v>0</v>
      </c>
      <c r="R2406" s="84">
        <f>IF(ISNUMBER($I2406),ABS($I2406),0)</f>
        <v>0</v>
      </c>
      <c r="S2406" s="84">
        <f>IF(ISNUMBER($M2406),ABS($M2406),0)</f>
        <v>0</v>
      </c>
      <c r="T2406" s="85" t="n">
        <v>2398</v>
      </c>
    </row>
    <row r="2407">
      <c r="B2407" s="83" t="n"/>
      <c r="C2407" s="83" t="n"/>
      <c r="D2407" s="83" t="n"/>
      <c r="E2407" s="83" t="n"/>
      <c r="F2407" s="83" t="n"/>
      <c r="G2407" s="83" t="n"/>
      <c r="H2407" s="83" t="n"/>
      <c r="I2407" s="83" t="n"/>
      <c r="J2407" s="83" t="n"/>
      <c r="K2407" s="83" t="n"/>
      <c r="L2407" s="83" t="n"/>
      <c r="M2407" s="83" t="n"/>
      <c r="O2407" s="84" t="str">
        <f>IF($C2407="","",IFERROR(MATCH($B2407&amp;"|"&amp;$C2407,MUROS!$AX$11:$AX$70,0),0))</f>
        <v/>
      </c>
      <c r="P2407" s="84" t="str">
        <f>IF($D2407="","",IF(ISNUMBER(MATCH($D2407,CMB_S,0)),1,IF(ISNUMBER(MATCH($D2407,CMB_G,0)),2,0)))</f>
        <v/>
      </c>
      <c r="Q2407" s="84">
        <f>IF(ISNUMBER($H2407),-$H2407,0)</f>
        <v>0</v>
      </c>
      <c r="R2407" s="84">
        <f>IF(ISNUMBER($I2407),ABS($I2407),0)</f>
        <v>0</v>
      </c>
      <c r="S2407" s="84">
        <f>IF(ISNUMBER($M2407),ABS($M2407),0)</f>
        <v>0</v>
      </c>
      <c r="T2407" s="85" t="n">
        <v>2399</v>
      </c>
    </row>
    <row r="2408">
      <c r="B2408" s="83" t="n"/>
      <c r="C2408" s="83" t="n"/>
      <c r="D2408" s="83" t="n"/>
      <c r="E2408" s="83" t="n"/>
      <c r="F2408" s="83" t="n"/>
      <c r="G2408" s="83" t="n"/>
      <c r="H2408" s="83" t="n"/>
      <c r="I2408" s="83" t="n"/>
      <c r="J2408" s="83" t="n"/>
      <c r="K2408" s="83" t="n"/>
      <c r="L2408" s="83" t="n"/>
      <c r="M2408" s="83" t="n"/>
      <c r="O2408" s="84" t="str">
        <f>IF($C2408="","",IFERROR(MATCH($B2408&amp;"|"&amp;$C2408,MUROS!$AX$11:$AX$70,0),0))</f>
        <v/>
      </c>
      <c r="P2408" s="84" t="str">
        <f>IF($D2408="","",IF(ISNUMBER(MATCH($D2408,CMB_S,0)),1,IF(ISNUMBER(MATCH($D2408,CMB_G,0)),2,0)))</f>
        <v/>
      </c>
      <c r="Q2408" s="84">
        <f>IF(ISNUMBER($H2408),-$H2408,0)</f>
        <v>0</v>
      </c>
      <c r="R2408" s="84">
        <f>IF(ISNUMBER($I2408),ABS($I2408),0)</f>
        <v>0</v>
      </c>
      <c r="S2408" s="84">
        <f>IF(ISNUMBER($M2408),ABS($M2408),0)</f>
        <v>0</v>
      </c>
      <c r="T2408" s="85" t="n">
        <v>2400</v>
      </c>
    </row>
    <row r="2409">
      <c r="B2409" s="83" t="n"/>
      <c r="C2409" s="83" t="n"/>
      <c r="D2409" s="83" t="n"/>
      <c r="E2409" s="83" t="n"/>
      <c r="F2409" s="83" t="n"/>
      <c r="G2409" s="83" t="n"/>
      <c r="H2409" s="83" t="n"/>
      <c r="I2409" s="83" t="n"/>
      <c r="J2409" s="83" t="n"/>
      <c r="K2409" s="83" t="n"/>
      <c r="L2409" s="83" t="n"/>
      <c r="M2409" s="83" t="n"/>
      <c r="O2409" s="84" t="str">
        <f>IF($C2409="","",IFERROR(MATCH($B2409&amp;"|"&amp;$C2409,MUROS!$AX$11:$AX$70,0),0))</f>
        <v/>
      </c>
      <c r="P2409" s="84" t="str">
        <f>IF($D2409="","",IF(ISNUMBER(MATCH($D2409,CMB_S,0)),1,IF(ISNUMBER(MATCH($D2409,CMB_G,0)),2,0)))</f>
        <v/>
      </c>
      <c r="Q2409" s="84">
        <f>IF(ISNUMBER($H2409),-$H2409,0)</f>
        <v>0</v>
      </c>
      <c r="R2409" s="84">
        <f>IF(ISNUMBER($I2409),ABS($I2409),0)</f>
        <v>0</v>
      </c>
      <c r="S2409" s="84">
        <f>IF(ISNUMBER($M2409),ABS($M2409),0)</f>
        <v>0</v>
      </c>
      <c r="T2409" s="85" t="n">
        <v>2401</v>
      </c>
    </row>
    <row r="2410">
      <c r="B2410" s="83" t="n"/>
      <c r="C2410" s="83" t="n"/>
      <c r="D2410" s="83" t="n"/>
      <c r="E2410" s="83" t="n"/>
      <c r="F2410" s="83" t="n"/>
      <c r="G2410" s="83" t="n"/>
      <c r="H2410" s="83" t="n"/>
      <c r="I2410" s="83" t="n"/>
      <c r="J2410" s="83" t="n"/>
      <c r="K2410" s="83" t="n"/>
      <c r="L2410" s="83" t="n"/>
      <c r="M2410" s="83" t="n"/>
      <c r="O2410" s="84" t="str">
        <f>IF($C2410="","",IFERROR(MATCH($B2410&amp;"|"&amp;$C2410,MUROS!$AX$11:$AX$70,0),0))</f>
        <v/>
      </c>
      <c r="P2410" s="84" t="str">
        <f>IF($D2410="","",IF(ISNUMBER(MATCH($D2410,CMB_S,0)),1,IF(ISNUMBER(MATCH($D2410,CMB_G,0)),2,0)))</f>
        <v/>
      </c>
      <c r="Q2410" s="84">
        <f>IF(ISNUMBER($H2410),-$H2410,0)</f>
        <v>0</v>
      </c>
      <c r="R2410" s="84">
        <f>IF(ISNUMBER($I2410),ABS($I2410),0)</f>
        <v>0</v>
      </c>
      <c r="S2410" s="84">
        <f>IF(ISNUMBER($M2410),ABS($M2410),0)</f>
        <v>0</v>
      </c>
      <c r="T2410" s="85" t="n">
        <v>2402</v>
      </c>
    </row>
    <row r="2411">
      <c r="B2411" s="83" t="n"/>
      <c r="C2411" s="83" t="n"/>
      <c r="D2411" s="83" t="n"/>
      <c r="E2411" s="83" t="n"/>
      <c r="F2411" s="83" t="n"/>
      <c r="G2411" s="83" t="n"/>
      <c r="H2411" s="83" t="n"/>
      <c r="I2411" s="83" t="n"/>
      <c r="J2411" s="83" t="n"/>
      <c r="K2411" s="83" t="n"/>
      <c r="L2411" s="83" t="n"/>
      <c r="M2411" s="83" t="n"/>
      <c r="O2411" s="84" t="str">
        <f>IF($C2411="","",IFERROR(MATCH($B2411&amp;"|"&amp;$C2411,MUROS!$AX$11:$AX$70,0),0))</f>
        <v/>
      </c>
      <c r="P2411" s="84" t="str">
        <f>IF($D2411="","",IF(ISNUMBER(MATCH($D2411,CMB_S,0)),1,IF(ISNUMBER(MATCH($D2411,CMB_G,0)),2,0)))</f>
        <v/>
      </c>
      <c r="Q2411" s="84">
        <f>IF(ISNUMBER($H2411),-$H2411,0)</f>
        <v>0</v>
      </c>
      <c r="R2411" s="84">
        <f>IF(ISNUMBER($I2411),ABS($I2411),0)</f>
        <v>0</v>
      </c>
      <c r="S2411" s="84">
        <f>IF(ISNUMBER($M2411),ABS($M2411),0)</f>
        <v>0</v>
      </c>
      <c r="T2411" s="85" t="n">
        <v>2403</v>
      </c>
    </row>
    <row r="2412">
      <c r="B2412" s="83" t="n"/>
      <c r="C2412" s="83" t="n"/>
      <c r="D2412" s="83" t="n"/>
      <c r="E2412" s="83" t="n"/>
      <c r="F2412" s="83" t="n"/>
      <c r="G2412" s="83" t="n"/>
      <c r="H2412" s="83" t="n"/>
      <c r="I2412" s="83" t="n"/>
      <c r="J2412" s="83" t="n"/>
      <c r="K2412" s="83" t="n"/>
      <c r="L2412" s="83" t="n"/>
      <c r="M2412" s="83" t="n"/>
      <c r="O2412" s="84" t="str">
        <f>IF($C2412="","",IFERROR(MATCH($B2412&amp;"|"&amp;$C2412,MUROS!$AX$11:$AX$70,0),0))</f>
        <v/>
      </c>
      <c r="P2412" s="84" t="str">
        <f>IF($D2412="","",IF(ISNUMBER(MATCH($D2412,CMB_S,0)),1,IF(ISNUMBER(MATCH($D2412,CMB_G,0)),2,0)))</f>
        <v/>
      </c>
      <c r="Q2412" s="84">
        <f>IF(ISNUMBER($H2412),-$H2412,0)</f>
        <v>0</v>
      </c>
      <c r="R2412" s="84">
        <f>IF(ISNUMBER($I2412),ABS($I2412),0)</f>
        <v>0</v>
      </c>
      <c r="S2412" s="84">
        <f>IF(ISNUMBER($M2412),ABS($M2412),0)</f>
        <v>0</v>
      </c>
      <c r="T2412" s="85" t="n">
        <v>2404</v>
      </c>
    </row>
    <row r="2413">
      <c r="B2413" s="83" t="n"/>
      <c r="C2413" s="83" t="n"/>
      <c r="D2413" s="83" t="n"/>
      <c r="E2413" s="83" t="n"/>
      <c r="F2413" s="83" t="n"/>
      <c r="G2413" s="83" t="n"/>
      <c r="H2413" s="83" t="n"/>
      <c r="I2413" s="83" t="n"/>
      <c r="J2413" s="83" t="n"/>
      <c r="K2413" s="83" t="n"/>
      <c r="L2413" s="83" t="n"/>
      <c r="M2413" s="83" t="n"/>
      <c r="O2413" s="84" t="str">
        <f>IF($C2413="","",IFERROR(MATCH($B2413&amp;"|"&amp;$C2413,MUROS!$AX$11:$AX$70,0),0))</f>
        <v/>
      </c>
      <c r="P2413" s="84" t="str">
        <f>IF($D2413="","",IF(ISNUMBER(MATCH($D2413,CMB_S,0)),1,IF(ISNUMBER(MATCH($D2413,CMB_G,0)),2,0)))</f>
        <v/>
      </c>
      <c r="Q2413" s="84">
        <f>IF(ISNUMBER($H2413),-$H2413,0)</f>
        <v>0</v>
      </c>
      <c r="R2413" s="84">
        <f>IF(ISNUMBER($I2413),ABS($I2413),0)</f>
        <v>0</v>
      </c>
      <c r="S2413" s="84">
        <f>IF(ISNUMBER($M2413),ABS($M2413),0)</f>
        <v>0</v>
      </c>
      <c r="T2413" s="85" t="n">
        <v>2405</v>
      </c>
    </row>
    <row r="2414">
      <c r="B2414" s="83" t="n"/>
      <c r="C2414" s="83" t="n"/>
      <c r="D2414" s="83" t="n"/>
      <c r="E2414" s="83" t="n"/>
      <c r="F2414" s="83" t="n"/>
      <c r="G2414" s="83" t="n"/>
      <c r="H2414" s="83" t="n"/>
      <c r="I2414" s="83" t="n"/>
      <c r="J2414" s="83" t="n"/>
      <c r="K2414" s="83" t="n"/>
      <c r="L2414" s="83" t="n"/>
      <c r="M2414" s="83" t="n"/>
      <c r="O2414" s="84" t="str">
        <f>IF($C2414="","",IFERROR(MATCH($B2414&amp;"|"&amp;$C2414,MUROS!$AX$11:$AX$70,0),0))</f>
        <v/>
      </c>
      <c r="P2414" s="84" t="str">
        <f>IF($D2414="","",IF(ISNUMBER(MATCH($D2414,CMB_S,0)),1,IF(ISNUMBER(MATCH($D2414,CMB_G,0)),2,0)))</f>
        <v/>
      </c>
      <c r="Q2414" s="84">
        <f>IF(ISNUMBER($H2414),-$H2414,0)</f>
        <v>0</v>
      </c>
      <c r="R2414" s="84">
        <f>IF(ISNUMBER($I2414),ABS($I2414),0)</f>
        <v>0</v>
      </c>
      <c r="S2414" s="84">
        <f>IF(ISNUMBER($M2414),ABS($M2414),0)</f>
        <v>0</v>
      </c>
      <c r="T2414" s="85" t="n">
        <v>2406</v>
      </c>
    </row>
    <row r="2415">
      <c r="B2415" s="83" t="n"/>
      <c r="C2415" s="83" t="n"/>
      <c r="D2415" s="83" t="n"/>
      <c r="E2415" s="83" t="n"/>
      <c r="F2415" s="83" t="n"/>
      <c r="G2415" s="83" t="n"/>
      <c r="H2415" s="83" t="n"/>
      <c r="I2415" s="83" t="n"/>
      <c r="J2415" s="83" t="n"/>
      <c r="K2415" s="83" t="n"/>
      <c r="L2415" s="83" t="n"/>
      <c r="M2415" s="83" t="n"/>
      <c r="O2415" s="84" t="str">
        <f>IF($C2415="","",IFERROR(MATCH($B2415&amp;"|"&amp;$C2415,MUROS!$AX$11:$AX$70,0),0))</f>
        <v/>
      </c>
      <c r="P2415" s="84" t="str">
        <f>IF($D2415="","",IF(ISNUMBER(MATCH($D2415,CMB_S,0)),1,IF(ISNUMBER(MATCH($D2415,CMB_G,0)),2,0)))</f>
        <v/>
      </c>
      <c r="Q2415" s="84">
        <f>IF(ISNUMBER($H2415),-$H2415,0)</f>
        <v>0</v>
      </c>
      <c r="R2415" s="84">
        <f>IF(ISNUMBER($I2415),ABS($I2415),0)</f>
        <v>0</v>
      </c>
      <c r="S2415" s="84">
        <f>IF(ISNUMBER($M2415),ABS($M2415),0)</f>
        <v>0</v>
      </c>
      <c r="T2415" s="85" t="n">
        <v>2407</v>
      </c>
    </row>
    <row r="2416">
      <c r="B2416" s="83" t="n"/>
      <c r="C2416" s="83" t="n"/>
      <c r="D2416" s="83" t="n"/>
      <c r="E2416" s="83" t="n"/>
      <c r="F2416" s="83" t="n"/>
      <c r="G2416" s="83" t="n"/>
      <c r="H2416" s="83" t="n"/>
      <c r="I2416" s="83" t="n"/>
      <c r="J2416" s="83" t="n"/>
      <c r="K2416" s="83" t="n"/>
      <c r="L2416" s="83" t="n"/>
      <c r="M2416" s="83" t="n"/>
      <c r="O2416" s="84" t="str">
        <f>IF($C2416="","",IFERROR(MATCH($B2416&amp;"|"&amp;$C2416,MUROS!$AX$11:$AX$70,0),0))</f>
        <v/>
      </c>
      <c r="P2416" s="84" t="str">
        <f>IF($D2416="","",IF(ISNUMBER(MATCH($D2416,CMB_S,0)),1,IF(ISNUMBER(MATCH($D2416,CMB_G,0)),2,0)))</f>
        <v/>
      </c>
      <c r="Q2416" s="84">
        <f>IF(ISNUMBER($H2416),-$H2416,0)</f>
        <v>0</v>
      </c>
      <c r="R2416" s="84">
        <f>IF(ISNUMBER($I2416),ABS($I2416),0)</f>
        <v>0</v>
      </c>
      <c r="S2416" s="84">
        <f>IF(ISNUMBER($M2416),ABS($M2416),0)</f>
        <v>0</v>
      </c>
      <c r="T2416" s="85" t="n">
        <v>2408</v>
      </c>
    </row>
    <row r="2417">
      <c r="B2417" s="83" t="n"/>
      <c r="C2417" s="83" t="n"/>
      <c r="D2417" s="83" t="n"/>
      <c r="E2417" s="83" t="n"/>
      <c r="F2417" s="83" t="n"/>
      <c r="G2417" s="83" t="n"/>
      <c r="H2417" s="83" t="n"/>
      <c r="I2417" s="83" t="n"/>
      <c r="J2417" s="83" t="n"/>
      <c r="K2417" s="83" t="n"/>
      <c r="L2417" s="83" t="n"/>
      <c r="M2417" s="83" t="n"/>
      <c r="O2417" s="84" t="str">
        <f>IF($C2417="","",IFERROR(MATCH($B2417&amp;"|"&amp;$C2417,MUROS!$AX$11:$AX$70,0),0))</f>
        <v/>
      </c>
      <c r="P2417" s="84" t="str">
        <f>IF($D2417="","",IF(ISNUMBER(MATCH($D2417,CMB_S,0)),1,IF(ISNUMBER(MATCH($D2417,CMB_G,0)),2,0)))</f>
        <v/>
      </c>
      <c r="Q2417" s="84">
        <f>IF(ISNUMBER($H2417),-$H2417,0)</f>
        <v>0</v>
      </c>
      <c r="R2417" s="84">
        <f>IF(ISNUMBER($I2417),ABS($I2417),0)</f>
        <v>0</v>
      </c>
      <c r="S2417" s="84">
        <f>IF(ISNUMBER($M2417),ABS($M2417),0)</f>
        <v>0</v>
      </c>
      <c r="T2417" s="85" t="n">
        <v>2409</v>
      </c>
    </row>
    <row r="2418">
      <c r="B2418" s="83" t="n"/>
      <c r="C2418" s="83" t="n"/>
      <c r="D2418" s="83" t="n"/>
      <c r="E2418" s="83" t="n"/>
      <c r="F2418" s="83" t="n"/>
      <c r="G2418" s="83" t="n"/>
      <c r="H2418" s="83" t="n"/>
      <c r="I2418" s="83" t="n"/>
      <c r="J2418" s="83" t="n"/>
      <c r="K2418" s="83" t="n"/>
      <c r="L2418" s="83" t="n"/>
      <c r="M2418" s="83" t="n"/>
      <c r="O2418" s="84" t="str">
        <f>IF($C2418="","",IFERROR(MATCH($B2418&amp;"|"&amp;$C2418,MUROS!$AX$11:$AX$70,0),0))</f>
        <v/>
      </c>
      <c r="P2418" s="84" t="str">
        <f>IF($D2418="","",IF(ISNUMBER(MATCH($D2418,CMB_S,0)),1,IF(ISNUMBER(MATCH($D2418,CMB_G,0)),2,0)))</f>
        <v/>
      </c>
      <c r="Q2418" s="84">
        <f>IF(ISNUMBER($H2418),-$H2418,0)</f>
        <v>0</v>
      </c>
      <c r="R2418" s="84">
        <f>IF(ISNUMBER($I2418),ABS($I2418),0)</f>
        <v>0</v>
      </c>
      <c r="S2418" s="84">
        <f>IF(ISNUMBER($M2418),ABS($M2418),0)</f>
        <v>0</v>
      </c>
      <c r="T2418" s="85" t="n">
        <v>2410</v>
      </c>
    </row>
    <row r="2419">
      <c r="B2419" s="83" t="n"/>
      <c r="C2419" s="83" t="n"/>
      <c r="D2419" s="83" t="n"/>
      <c r="E2419" s="83" t="n"/>
      <c r="F2419" s="83" t="n"/>
      <c r="G2419" s="83" t="n"/>
      <c r="H2419" s="83" t="n"/>
      <c r="I2419" s="83" t="n"/>
      <c r="J2419" s="83" t="n"/>
      <c r="K2419" s="83" t="n"/>
      <c r="L2419" s="83" t="n"/>
      <c r="M2419" s="83" t="n"/>
      <c r="O2419" s="84" t="str">
        <f>IF($C2419="","",IFERROR(MATCH($B2419&amp;"|"&amp;$C2419,MUROS!$AX$11:$AX$70,0),0))</f>
        <v/>
      </c>
      <c r="P2419" s="84" t="str">
        <f>IF($D2419="","",IF(ISNUMBER(MATCH($D2419,CMB_S,0)),1,IF(ISNUMBER(MATCH($D2419,CMB_G,0)),2,0)))</f>
        <v/>
      </c>
      <c r="Q2419" s="84">
        <f>IF(ISNUMBER($H2419),-$H2419,0)</f>
        <v>0</v>
      </c>
      <c r="R2419" s="84">
        <f>IF(ISNUMBER($I2419),ABS($I2419),0)</f>
        <v>0</v>
      </c>
      <c r="S2419" s="84">
        <f>IF(ISNUMBER($M2419),ABS($M2419),0)</f>
        <v>0</v>
      </c>
      <c r="T2419" s="85" t="n">
        <v>2411</v>
      </c>
    </row>
    <row r="2420">
      <c r="B2420" s="83" t="n"/>
      <c r="C2420" s="83" t="n"/>
      <c r="D2420" s="83" t="n"/>
      <c r="E2420" s="83" t="n"/>
      <c r="F2420" s="83" t="n"/>
      <c r="G2420" s="83" t="n"/>
      <c r="H2420" s="83" t="n"/>
      <c r="I2420" s="83" t="n"/>
      <c r="J2420" s="83" t="n"/>
      <c r="K2420" s="83" t="n"/>
      <c r="L2420" s="83" t="n"/>
      <c r="M2420" s="83" t="n"/>
      <c r="O2420" s="84" t="str">
        <f>IF($C2420="","",IFERROR(MATCH($B2420&amp;"|"&amp;$C2420,MUROS!$AX$11:$AX$70,0),0))</f>
        <v/>
      </c>
      <c r="P2420" s="84" t="str">
        <f>IF($D2420="","",IF(ISNUMBER(MATCH($D2420,CMB_S,0)),1,IF(ISNUMBER(MATCH($D2420,CMB_G,0)),2,0)))</f>
        <v/>
      </c>
      <c r="Q2420" s="84">
        <f>IF(ISNUMBER($H2420),-$H2420,0)</f>
        <v>0</v>
      </c>
      <c r="R2420" s="84">
        <f>IF(ISNUMBER($I2420),ABS($I2420),0)</f>
        <v>0</v>
      </c>
      <c r="S2420" s="84">
        <f>IF(ISNUMBER($M2420),ABS($M2420),0)</f>
        <v>0</v>
      </c>
      <c r="T2420" s="85" t="n">
        <v>2412</v>
      </c>
    </row>
    <row r="2421">
      <c r="B2421" s="83" t="n"/>
      <c r="C2421" s="83" t="n"/>
      <c r="D2421" s="83" t="n"/>
      <c r="E2421" s="83" t="n"/>
      <c r="F2421" s="83" t="n"/>
      <c r="G2421" s="83" t="n"/>
      <c r="H2421" s="83" t="n"/>
      <c r="I2421" s="83" t="n"/>
      <c r="J2421" s="83" t="n"/>
      <c r="K2421" s="83" t="n"/>
      <c r="L2421" s="83" t="n"/>
      <c r="M2421" s="83" t="n"/>
      <c r="O2421" s="84" t="str">
        <f>IF($C2421="","",IFERROR(MATCH($B2421&amp;"|"&amp;$C2421,MUROS!$AX$11:$AX$70,0),0))</f>
        <v/>
      </c>
      <c r="P2421" s="84" t="str">
        <f>IF($D2421="","",IF(ISNUMBER(MATCH($D2421,CMB_S,0)),1,IF(ISNUMBER(MATCH($D2421,CMB_G,0)),2,0)))</f>
        <v/>
      </c>
      <c r="Q2421" s="84">
        <f>IF(ISNUMBER($H2421),-$H2421,0)</f>
        <v>0</v>
      </c>
      <c r="R2421" s="84">
        <f>IF(ISNUMBER($I2421),ABS($I2421),0)</f>
        <v>0</v>
      </c>
      <c r="S2421" s="84">
        <f>IF(ISNUMBER($M2421),ABS($M2421),0)</f>
        <v>0</v>
      </c>
      <c r="T2421" s="85" t="n">
        <v>2413</v>
      </c>
    </row>
    <row r="2422">
      <c r="B2422" s="83" t="n"/>
      <c r="C2422" s="83" t="n"/>
      <c r="D2422" s="83" t="n"/>
      <c r="E2422" s="83" t="n"/>
      <c r="F2422" s="83" t="n"/>
      <c r="G2422" s="83" t="n"/>
      <c r="H2422" s="83" t="n"/>
      <c r="I2422" s="83" t="n"/>
      <c r="J2422" s="83" t="n"/>
      <c r="K2422" s="83" t="n"/>
      <c r="L2422" s="83" t="n"/>
      <c r="M2422" s="83" t="n"/>
      <c r="O2422" s="84" t="str">
        <f>IF($C2422="","",IFERROR(MATCH($B2422&amp;"|"&amp;$C2422,MUROS!$AX$11:$AX$70,0),0))</f>
        <v/>
      </c>
      <c r="P2422" s="84" t="str">
        <f>IF($D2422="","",IF(ISNUMBER(MATCH($D2422,CMB_S,0)),1,IF(ISNUMBER(MATCH($D2422,CMB_G,0)),2,0)))</f>
        <v/>
      </c>
      <c r="Q2422" s="84">
        <f>IF(ISNUMBER($H2422),-$H2422,0)</f>
        <v>0</v>
      </c>
      <c r="R2422" s="84">
        <f>IF(ISNUMBER($I2422),ABS($I2422),0)</f>
        <v>0</v>
      </c>
      <c r="S2422" s="84">
        <f>IF(ISNUMBER($M2422),ABS($M2422),0)</f>
        <v>0</v>
      </c>
      <c r="T2422" s="85" t="n">
        <v>2414</v>
      </c>
    </row>
    <row r="2423">
      <c r="B2423" s="83" t="n"/>
      <c r="C2423" s="83" t="n"/>
      <c r="D2423" s="83" t="n"/>
      <c r="E2423" s="83" t="n"/>
      <c r="F2423" s="83" t="n"/>
      <c r="G2423" s="83" t="n"/>
      <c r="H2423" s="83" t="n"/>
      <c r="I2423" s="83" t="n"/>
      <c r="J2423" s="83" t="n"/>
      <c r="K2423" s="83" t="n"/>
      <c r="L2423" s="83" t="n"/>
      <c r="M2423" s="83" t="n"/>
      <c r="O2423" s="84" t="str">
        <f>IF($C2423="","",IFERROR(MATCH($B2423&amp;"|"&amp;$C2423,MUROS!$AX$11:$AX$70,0),0))</f>
        <v/>
      </c>
      <c r="P2423" s="84" t="str">
        <f>IF($D2423="","",IF(ISNUMBER(MATCH($D2423,CMB_S,0)),1,IF(ISNUMBER(MATCH($D2423,CMB_G,0)),2,0)))</f>
        <v/>
      </c>
      <c r="Q2423" s="84">
        <f>IF(ISNUMBER($H2423),-$H2423,0)</f>
        <v>0</v>
      </c>
      <c r="R2423" s="84">
        <f>IF(ISNUMBER($I2423),ABS($I2423),0)</f>
        <v>0</v>
      </c>
      <c r="S2423" s="84">
        <f>IF(ISNUMBER($M2423),ABS($M2423),0)</f>
        <v>0</v>
      </c>
      <c r="T2423" s="85" t="n">
        <v>2415</v>
      </c>
    </row>
    <row r="2424">
      <c r="B2424" s="83" t="n"/>
      <c r="C2424" s="83" t="n"/>
      <c r="D2424" s="83" t="n"/>
      <c r="E2424" s="83" t="n"/>
      <c r="F2424" s="83" t="n"/>
      <c r="G2424" s="83" t="n"/>
      <c r="H2424" s="83" t="n"/>
      <c r="I2424" s="83" t="n"/>
      <c r="J2424" s="83" t="n"/>
      <c r="K2424" s="83" t="n"/>
      <c r="L2424" s="83" t="n"/>
      <c r="M2424" s="83" t="n"/>
      <c r="O2424" s="84" t="str">
        <f>IF($C2424="","",IFERROR(MATCH($B2424&amp;"|"&amp;$C2424,MUROS!$AX$11:$AX$70,0),0))</f>
        <v/>
      </c>
      <c r="P2424" s="84" t="str">
        <f>IF($D2424="","",IF(ISNUMBER(MATCH($D2424,CMB_S,0)),1,IF(ISNUMBER(MATCH($D2424,CMB_G,0)),2,0)))</f>
        <v/>
      </c>
      <c r="Q2424" s="84">
        <f>IF(ISNUMBER($H2424),-$H2424,0)</f>
        <v>0</v>
      </c>
      <c r="R2424" s="84">
        <f>IF(ISNUMBER($I2424),ABS($I2424),0)</f>
        <v>0</v>
      </c>
      <c r="S2424" s="84">
        <f>IF(ISNUMBER($M2424),ABS($M2424),0)</f>
        <v>0</v>
      </c>
      <c r="T2424" s="85" t="n">
        <v>2416</v>
      </c>
    </row>
    <row r="2425">
      <c r="B2425" s="83" t="n"/>
      <c r="C2425" s="83" t="n"/>
      <c r="D2425" s="83" t="n"/>
      <c r="E2425" s="83" t="n"/>
      <c r="F2425" s="83" t="n"/>
      <c r="G2425" s="83" t="n"/>
      <c r="H2425" s="83" t="n"/>
      <c r="I2425" s="83" t="n"/>
      <c r="J2425" s="83" t="n"/>
      <c r="K2425" s="83" t="n"/>
      <c r="L2425" s="83" t="n"/>
      <c r="M2425" s="83" t="n"/>
      <c r="O2425" s="84" t="str">
        <f>IF($C2425="","",IFERROR(MATCH($B2425&amp;"|"&amp;$C2425,MUROS!$AX$11:$AX$70,0),0))</f>
        <v/>
      </c>
      <c r="P2425" s="84" t="str">
        <f>IF($D2425="","",IF(ISNUMBER(MATCH($D2425,CMB_S,0)),1,IF(ISNUMBER(MATCH($D2425,CMB_G,0)),2,0)))</f>
        <v/>
      </c>
      <c r="Q2425" s="84">
        <f>IF(ISNUMBER($H2425),-$H2425,0)</f>
        <v>0</v>
      </c>
      <c r="R2425" s="84">
        <f>IF(ISNUMBER($I2425),ABS($I2425),0)</f>
        <v>0</v>
      </c>
      <c r="S2425" s="84">
        <f>IF(ISNUMBER($M2425),ABS($M2425),0)</f>
        <v>0</v>
      </c>
      <c r="T2425" s="85" t="n">
        <v>2417</v>
      </c>
    </row>
    <row r="2426">
      <c r="B2426" s="83" t="n"/>
      <c r="C2426" s="83" t="n"/>
      <c r="D2426" s="83" t="n"/>
      <c r="E2426" s="83" t="n"/>
      <c r="F2426" s="83" t="n"/>
      <c r="G2426" s="83" t="n"/>
      <c r="H2426" s="83" t="n"/>
      <c r="I2426" s="83" t="n"/>
      <c r="J2426" s="83" t="n"/>
      <c r="K2426" s="83" t="n"/>
      <c r="L2426" s="83" t="n"/>
      <c r="M2426" s="83" t="n"/>
      <c r="O2426" s="84" t="str">
        <f>IF($C2426="","",IFERROR(MATCH($B2426&amp;"|"&amp;$C2426,MUROS!$AX$11:$AX$70,0),0))</f>
        <v/>
      </c>
      <c r="P2426" s="84" t="str">
        <f>IF($D2426="","",IF(ISNUMBER(MATCH($D2426,CMB_S,0)),1,IF(ISNUMBER(MATCH($D2426,CMB_G,0)),2,0)))</f>
        <v/>
      </c>
      <c r="Q2426" s="84">
        <f>IF(ISNUMBER($H2426),-$H2426,0)</f>
        <v>0</v>
      </c>
      <c r="R2426" s="84">
        <f>IF(ISNUMBER($I2426),ABS($I2426),0)</f>
        <v>0</v>
      </c>
      <c r="S2426" s="84">
        <f>IF(ISNUMBER($M2426),ABS($M2426),0)</f>
        <v>0</v>
      </c>
      <c r="T2426" s="85" t="n">
        <v>2418</v>
      </c>
    </row>
    <row r="2427">
      <c r="B2427" s="83" t="n"/>
      <c r="C2427" s="83" t="n"/>
      <c r="D2427" s="83" t="n"/>
      <c r="E2427" s="83" t="n"/>
      <c r="F2427" s="83" t="n"/>
      <c r="G2427" s="83" t="n"/>
      <c r="H2427" s="83" t="n"/>
      <c r="I2427" s="83" t="n"/>
      <c r="J2427" s="83" t="n"/>
      <c r="K2427" s="83" t="n"/>
      <c r="L2427" s="83" t="n"/>
      <c r="M2427" s="83" t="n"/>
      <c r="O2427" s="84" t="str">
        <f>IF($C2427="","",IFERROR(MATCH($B2427&amp;"|"&amp;$C2427,MUROS!$AX$11:$AX$70,0),0))</f>
        <v/>
      </c>
      <c r="P2427" s="84" t="str">
        <f>IF($D2427="","",IF(ISNUMBER(MATCH($D2427,CMB_S,0)),1,IF(ISNUMBER(MATCH($D2427,CMB_G,0)),2,0)))</f>
        <v/>
      </c>
      <c r="Q2427" s="84">
        <f>IF(ISNUMBER($H2427),-$H2427,0)</f>
        <v>0</v>
      </c>
      <c r="R2427" s="84">
        <f>IF(ISNUMBER($I2427),ABS($I2427),0)</f>
        <v>0</v>
      </c>
      <c r="S2427" s="84">
        <f>IF(ISNUMBER($M2427),ABS($M2427),0)</f>
        <v>0</v>
      </c>
      <c r="T2427" s="85" t="n">
        <v>2419</v>
      </c>
    </row>
    <row r="2428">
      <c r="B2428" s="83" t="n"/>
      <c r="C2428" s="83" t="n"/>
      <c r="D2428" s="83" t="n"/>
      <c r="E2428" s="83" t="n"/>
      <c r="F2428" s="83" t="n"/>
      <c r="G2428" s="83" t="n"/>
      <c r="H2428" s="83" t="n"/>
      <c r="I2428" s="83" t="n"/>
      <c r="J2428" s="83" t="n"/>
      <c r="K2428" s="83" t="n"/>
      <c r="L2428" s="83" t="n"/>
      <c r="M2428" s="83" t="n"/>
      <c r="O2428" s="84" t="str">
        <f>IF($C2428="","",IFERROR(MATCH($B2428&amp;"|"&amp;$C2428,MUROS!$AX$11:$AX$70,0),0))</f>
        <v/>
      </c>
      <c r="P2428" s="84" t="str">
        <f>IF($D2428="","",IF(ISNUMBER(MATCH($D2428,CMB_S,0)),1,IF(ISNUMBER(MATCH($D2428,CMB_G,0)),2,0)))</f>
        <v/>
      </c>
      <c r="Q2428" s="84">
        <f>IF(ISNUMBER($H2428),-$H2428,0)</f>
        <v>0</v>
      </c>
      <c r="R2428" s="84">
        <f>IF(ISNUMBER($I2428),ABS($I2428),0)</f>
        <v>0</v>
      </c>
      <c r="S2428" s="84">
        <f>IF(ISNUMBER($M2428),ABS($M2428),0)</f>
        <v>0</v>
      </c>
      <c r="T2428" s="85" t="n">
        <v>2420</v>
      </c>
    </row>
    <row r="2429">
      <c r="B2429" s="83" t="n"/>
      <c r="C2429" s="83" t="n"/>
      <c r="D2429" s="83" t="n"/>
      <c r="E2429" s="83" t="n"/>
      <c r="F2429" s="83" t="n"/>
      <c r="G2429" s="83" t="n"/>
      <c r="H2429" s="83" t="n"/>
      <c r="I2429" s="83" t="n"/>
      <c r="J2429" s="83" t="n"/>
      <c r="K2429" s="83" t="n"/>
      <c r="L2429" s="83" t="n"/>
      <c r="M2429" s="83" t="n"/>
      <c r="O2429" s="84" t="str">
        <f>IF($C2429="","",IFERROR(MATCH($B2429&amp;"|"&amp;$C2429,MUROS!$AX$11:$AX$70,0),0))</f>
        <v/>
      </c>
      <c r="P2429" s="84" t="str">
        <f>IF($D2429="","",IF(ISNUMBER(MATCH($D2429,CMB_S,0)),1,IF(ISNUMBER(MATCH($D2429,CMB_G,0)),2,0)))</f>
        <v/>
      </c>
      <c r="Q2429" s="84">
        <f>IF(ISNUMBER($H2429),-$H2429,0)</f>
        <v>0</v>
      </c>
      <c r="R2429" s="84">
        <f>IF(ISNUMBER($I2429),ABS($I2429),0)</f>
        <v>0</v>
      </c>
      <c r="S2429" s="84">
        <f>IF(ISNUMBER($M2429),ABS($M2429),0)</f>
        <v>0</v>
      </c>
      <c r="T2429" s="85" t="n">
        <v>2421</v>
      </c>
    </row>
    <row r="2430">
      <c r="B2430" s="83" t="n"/>
      <c r="C2430" s="83" t="n"/>
      <c r="D2430" s="83" t="n"/>
      <c r="E2430" s="83" t="n"/>
      <c r="F2430" s="83" t="n"/>
      <c r="G2430" s="83" t="n"/>
      <c r="H2430" s="83" t="n"/>
      <c r="I2430" s="83" t="n"/>
      <c r="J2430" s="83" t="n"/>
      <c r="K2430" s="83" t="n"/>
      <c r="L2430" s="83" t="n"/>
      <c r="M2430" s="83" t="n"/>
      <c r="O2430" s="84" t="str">
        <f>IF($C2430="","",IFERROR(MATCH($B2430&amp;"|"&amp;$C2430,MUROS!$AX$11:$AX$70,0),0))</f>
        <v/>
      </c>
      <c r="P2430" s="84" t="str">
        <f>IF($D2430="","",IF(ISNUMBER(MATCH($D2430,CMB_S,0)),1,IF(ISNUMBER(MATCH($D2430,CMB_G,0)),2,0)))</f>
        <v/>
      </c>
      <c r="Q2430" s="84">
        <f>IF(ISNUMBER($H2430),-$H2430,0)</f>
        <v>0</v>
      </c>
      <c r="R2430" s="84">
        <f>IF(ISNUMBER($I2430),ABS($I2430),0)</f>
        <v>0</v>
      </c>
      <c r="S2430" s="84">
        <f>IF(ISNUMBER($M2430),ABS($M2430),0)</f>
        <v>0</v>
      </c>
      <c r="T2430" s="85" t="n">
        <v>2422</v>
      </c>
    </row>
    <row r="2431">
      <c r="B2431" s="83" t="n"/>
      <c r="C2431" s="83" t="n"/>
      <c r="D2431" s="83" t="n"/>
      <c r="E2431" s="83" t="n"/>
      <c r="F2431" s="83" t="n"/>
      <c r="G2431" s="83" t="n"/>
      <c r="H2431" s="83" t="n"/>
      <c r="I2431" s="83" t="n"/>
      <c r="J2431" s="83" t="n"/>
      <c r="K2431" s="83" t="n"/>
      <c r="L2431" s="83" t="n"/>
      <c r="M2431" s="83" t="n"/>
      <c r="O2431" s="84" t="str">
        <f>IF($C2431="","",IFERROR(MATCH($B2431&amp;"|"&amp;$C2431,MUROS!$AX$11:$AX$70,0),0))</f>
        <v/>
      </c>
      <c r="P2431" s="84" t="str">
        <f>IF($D2431="","",IF(ISNUMBER(MATCH($D2431,CMB_S,0)),1,IF(ISNUMBER(MATCH($D2431,CMB_G,0)),2,0)))</f>
        <v/>
      </c>
      <c r="Q2431" s="84">
        <f>IF(ISNUMBER($H2431),-$H2431,0)</f>
        <v>0</v>
      </c>
      <c r="R2431" s="84">
        <f>IF(ISNUMBER($I2431),ABS($I2431),0)</f>
        <v>0</v>
      </c>
      <c r="S2431" s="84">
        <f>IF(ISNUMBER($M2431),ABS($M2431),0)</f>
        <v>0</v>
      </c>
      <c r="T2431" s="85" t="n">
        <v>2423</v>
      </c>
    </row>
    <row r="2432">
      <c r="B2432" s="83" t="n"/>
      <c r="C2432" s="83" t="n"/>
      <c r="D2432" s="83" t="n"/>
      <c r="E2432" s="83" t="n"/>
      <c r="F2432" s="83" t="n"/>
      <c r="G2432" s="83" t="n"/>
      <c r="H2432" s="83" t="n"/>
      <c r="I2432" s="83" t="n"/>
      <c r="J2432" s="83" t="n"/>
      <c r="K2432" s="83" t="n"/>
      <c r="L2432" s="83" t="n"/>
      <c r="M2432" s="83" t="n"/>
      <c r="O2432" s="84" t="str">
        <f>IF($C2432="","",IFERROR(MATCH($B2432&amp;"|"&amp;$C2432,MUROS!$AX$11:$AX$70,0),0))</f>
        <v/>
      </c>
      <c r="P2432" s="84" t="str">
        <f>IF($D2432="","",IF(ISNUMBER(MATCH($D2432,CMB_S,0)),1,IF(ISNUMBER(MATCH($D2432,CMB_G,0)),2,0)))</f>
        <v/>
      </c>
      <c r="Q2432" s="84">
        <f>IF(ISNUMBER($H2432),-$H2432,0)</f>
        <v>0</v>
      </c>
      <c r="R2432" s="84">
        <f>IF(ISNUMBER($I2432),ABS($I2432),0)</f>
        <v>0</v>
      </c>
      <c r="S2432" s="84">
        <f>IF(ISNUMBER($M2432),ABS($M2432),0)</f>
        <v>0</v>
      </c>
      <c r="T2432" s="85" t="n">
        <v>2424</v>
      </c>
    </row>
    <row r="2433">
      <c r="B2433" s="83" t="n"/>
      <c r="C2433" s="83" t="n"/>
      <c r="D2433" s="83" t="n"/>
      <c r="E2433" s="83" t="n"/>
      <c r="F2433" s="83" t="n"/>
      <c r="G2433" s="83" t="n"/>
      <c r="H2433" s="83" t="n"/>
      <c r="I2433" s="83" t="n"/>
      <c r="J2433" s="83" t="n"/>
      <c r="K2433" s="83" t="n"/>
      <c r="L2433" s="83" t="n"/>
      <c r="M2433" s="83" t="n"/>
      <c r="O2433" s="84" t="str">
        <f>IF($C2433="","",IFERROR(MATCH($B2433&amp;"|"&amp;$C2433,MUROS!$AX$11:$AX$70,0),0))</f>
        <v/>
      </c>
      <c r="P2433" s="84" t="str">
        <f>IF($D2433="","",IF(ISNUMBER(MATCH($D2433,CMB_S,0)),1,IF(ISNUMBER(MATCH($D2433,CMB_G,0)),2,0)))</f>
        <v/>
      </c>
      <c r="Q2433" s="84">
        <f>IF(ISNUMBER($H2433),-$H2433,0)</f>
        <v>0</v>
      </c>
      <c r="R2433" s="84">
        <f>IF(ISNUMBER($I2433),ABS($I2433),0)</f>
        <v>0</v>
      </c>
      <c r="S2433" s="84">
        <f>IF(ISNUMBER($M2433),ABS($M2433),0)</f>
        <v>0</v>
      </c>
      <c r="T2433" s="85" t="n">
        <v>2425</v>
      </c>
    </row>
    <row r="2434">
      <c r="B2434" s="83" t="n"/>
      <c r="C2434" s="83" t="n"/>
      <c r="D2434" s="83" t="n"/>
      <c r="E2434" s="83" t="n"/>
      <c r="F2434" s="83" t="n"/>
      <c r="G2434" s="83" t="n"/>
      <c r="H2434" s="83" t="n"/>
      <c r="I2434" s="83" t="n"/>
      <c r="J2434" s="83" t="n"/>
      <c r="K2434" s="83" t="n"/>
      <c r="L2434" s="83" t="n"/>
      <c r="M2434" s="83" t="n"/>
      <c r="O2434" s="84" t="str">
        <f>IF($C2434="","",IFERROR(MATCH($B2434&amp;"|"&amp;$C2434,MUROS!$AX$11:$AX$70,0),0))</f>
        <v/>
      </c>
      <c r="P2434" s="84" t="str">
        <f>IF($D2434="","",IF(ISNUMBER(MATCH($D2434,CMB_S,0)),1,IF(ISNUMBER(MATCH($D2434,CMB_G,0)),2,0)))</f>
        <v/>
      </c>
      <c r="Q2434" s="84">
        <f>IF(ISNUMBER($H2434),-$H2434,0)</f>
        <v>0</v>
      </c>
      <c r="R2434" s="84">
        <f>IF(ISNUMBER($I2434),ABS($I2434),0)</f>
        <v>0</v>
      </c>
      <c r="S2434" s="84">
        <f>IF(ISNUMBER($M2434),ABS($M2434),0)</f>
        <v>0</v>
      </c>
      <c r="T2434" s="85" t="n">
        <v>2426</v>
      </c>
    </row>
    <row r="2435">
      <c r="B2435" s="83" t="n"/>
      <c r="C2435" s="83" t="n"/>
      <c r="D2435" s="83" t="n"/>
      <c r="E2435" s="83" t="n"/>
      <c r="F2435" s="83" t="n"/>
      <c r="G2435" s="83" t="n"/>
      <c r="H2435" s="83" t="n"/>
      <c r="I2435" s="83" t="n"/>
      <c r="J2435" s="83" t="n"/>
      <c r="K2435" s="83" t="n"/>
      <c r="L2435" s="83" t="n"/>
      <c r="M2435" s="83" t="n"/>
      <c r="O2435" s="84" t="str">
        <f>IF($C2435="","",IFERROR(MATCH($B2435&amp;"|"&amp;$C2435,MUROS!$AX$11:$AX$70,0),0))</f>
        <v/>
      </c>
      <c r="P2435" s="84" t="str">
        <f>IF($D2435="","",IF(ISNUMBER(MATCH($D2435,CMB_S,0)),1,IF(ISNUMBER(MATCH($D2435,CMB_G,0)),2,0)))</f>
        <v/>
      </c>
      <c r="Q2435" s="84">
        <f>IF(ISNUMBER($H2435),-$H2435,0)</f>
        <v>0</v>
      </c>
      <c r="R2435" s="84">
        <f>IF(ISNUMBER($I2435),ABS($I2435),0)</f>
        <v>0</v>
      </c>
      <c r="S2435" s="84">
        <f>IF(ISNUMBER($M2435),ABS($M2435),0)</f>
        <v>0</v>
      </c>
      <c r="T2435" s="85" t="n">
        <v>2427</v>
      </c>
    </row>
    <row r="2436">
      <c r="B2436" s="83" t="n"/>
      <c r="C2436" s="83" t="n"/>
      <c r="D2436" s="83" t="n"/>
      <c r="E2436" s="83" t="n"/>
      <c r="F2436" s="83" t="n"/>
      <c r="G2436" s="83" t="n"/>
      <c r="H2436" s="83" t="n"/>
      <c r="I2436" s="83" t="n"/>
      <c r="J2436" s="83" t="n"/>
      <c r="K2436" s="83" t="n"/>
      <c r="L2436" s="83" t="n"/>
      <c r="M2436" s="83" t="n"/>
      <c r="O2436" s="84" t="str">
        <f>IF($C2436="","",IFERROR(MATCH($B2436&amp;"|"&amp;$C2436,MUROS!$AX$11:$AX$70,0),0))</f>
        <v/>
      </c>
      <c r="P2436" s="84" t="str">
        <f>IF($D2436="","",IF(ISNUMBER(MATCH($D2436,CMB_S,0)),1,IF(ISNUMBER(MATCH($D2436,CMB_G,0)),2,0)))</f>
        <v/>
      </c>
      <c r="Q2436" s="84">
        <f>IF(ISNUMBER($H2436),-$H2436,0)</f>
        <v>0</v>
      </c>
      <c r="R2436" s="84">
        <f>IF(ISNUMBER($I2436),ABS($I2436),0)</f>
        <v>0</v>
      </c>
      <c r="S2436" s="84">
        <f>IF(ISNUMBER($M2436),ABS($M2436),0)</f>
        <v>0</v>
      </c>
      <c r="T2436" s="85" t="n">
        <v>2428</v>
      </c>
    </row>
    <row r="2437">
      <c r="B2437" s="83" t="n"/>
      <c r="C2437" s="83" t="n"/>
      <c r="D2437" s="83" t="n"/>
      <c r="E2437" s="83" t="n"/>
      <c r="F2437" s="83" t="n"/>
      <c r="G2437" s="83" t="n"/>
      <c r="H2437" s="83" t="n"/>
      <c r="I2437" s="83" t="n"/>
      <c r="J2437" s="83" t="n"/>
      <c r="K2437" s="83" t="n"/>
      <c r="L2437" s="83" t="n"/>
      <c r="M2437" s="83" t="n"/>
      <c r="O2437" s="84" t="str">
        <f>IF($C2437="","",IFERROR(MATCH($B2437&amp;"|"&amp;$C2437,MUROS!$AX$11:$AX$70,0),0))</f>
        <v/>
      </c>
      <c r="P2437" s="84" t="str">
        <f>IF($D2437="","",IF(ISNUMBER(MATCH($D2437,CMB_S,0)),1,IF(ISNUMBER(MATCH($D2437,CMB_G,0)),2,0)))</f>
        <v/>
      </c>
      <c r="Q2437" s="84">
        <f>IF(ISNUMBER($H2437),-$H2437,0)</f>
        <v>0</v>
      </c>
      <c r="R2437" s="84">
        <f>IF(ISNUMBER($I2437),ABS($I2437),0)</f>
        <v>0</v>
      </c>
      <c r="S2437" s="84">
        <f>IF(ISNUMBER($M2437),ABS($M2437),0)</f>
        <v>0</v>
      </c>
      <c r="T2437" s="85" t="n">
        <v>2429</v>
      </c>
    </row>
    <row r="2438">
      <c r="B2438" s="83" t="n"/>
      <c r="C2438" s="83" t="n"/>
      <c r="D2438" s="83" t="n"/>
      <c r="E2438" s="83" t="n"/>
      <c r="F2438" s="83" t="n"/>
      <c r="G2438" s="83" t="n"/>
      <c r="H2438" s="83" t="n"/>
      <c r="I2438" s="83" t="n"/>
      <c r="J2438" s="83" t="n"/>
      <c r="K2438" s="83" t="n"/>
      <c r="L2438" s="83" t="n"/>
      <c r="M2438" s="83" t="n"/>
      <c r="O2438" s="84" t="str">
        <f>IF($C2438="","",IFERROR(MATCH($B2438&amp;"|"&amp;$C2438,MUROS!$AX$11:$AX$70,0),0))</f>
        <v/>
      </c>
      <c r="P2438" s="84" t="str">
        <f>IF($D2438="","",IF(ISNUMBER(MATCH($D2438,CMB_S,0)),1,IF(ISNUMBER(MATCH($D2438,CMB_G,0)),2,0)))</f>
        <v/>
      </c>
      <c r="Q2438" s="84">
        <f>IF(ISNUMBER($H2438),-$H2438,0)</f>
        <v>0</v>
      </c>
      <c r="R2438" s="84">
        <f>IF(ISNUMBER($I2438),ABS($I2438),0)</f>
        <v>0</v>
      </c>
      <c r="S2438" s="84">
        <f>IF(ISNUMBER($M2438),ABS($M2438),0)</f>
        <v>0</v>
      </c>
      <c r="T2438" s="85" t="n">
        <v>2430</v>
      </c>
    </row>
    <row r="2439">
      <c r="B2439" s="83" t="n"/>
      <c r="C2439" s="83" t="n"/>
      <c r="D2439" s="83" t="n"/>
      <c r="E2439" s="83" t="n"/>
      <c r="F2439" s="83" t="n"/>
      <c r="G2439" s="83" t="n"/>
      <c r="H2439" s="83" t="n"/>
      <c r="I2439" s="83" t="n"/>
      <c r="J2439" s="83" t="n"/>
      <c r="K2439" s="83" t="n"/>
      <c r="L2439" s="83" t="n"/>
      <c r="M2439" s="83" t="n"/>
      <c r="O2439" s="84" t="str">
        <f>IF($C2439="","",IFERROR(MATCH($B2439&amp;"|"&amp;$C2439,MUROS!$AX$11:$AX$70,0),0))</f>
        <v/>
      </c>
      <c r="P2439" s="84" t="str">
        <f>IF($D2439="","",IF(ISNUMBER(MATCH($D2439,CMB_S,0)),1,IF(ISNUMBER(MATCH($D2439,CMB_G,0)),2,0)))</f>
        <v/>
      </c>
      <c r="Q2439" s="84">
        <f>IF(ISNUMBER($H2439),-$H2439,0)</f>
        <v>0</v>
      </c>
      <c r="R2439" s="84">
        <f>IF(ISNUMBER($I2439),ABS($I2439),0)</f>
        <v>0</v>
      </c>
      <c r="S2439" s="84">
        <f>IF(ISNUMBER($M2439),ABS($M2439),0)</f>
        <v>0</v>
      </c>
      <c r="T2439" s="85" t="n">
        <v>2431</v>
      </c>
    </row>
    <row r="2440">
      <c r="B2440" s="83" t="n"/>
      <c r="C2440" s="83" t="n"/>
      <c r="D2440" s="83" t="n"/>
      <c r="E2440" s="83" t="n"/>
      <c r="F2440" s="83" t="n"/>
      <c r="G2440" s="83" t="n"/>
      <c r="H2440" s="83" t="n"/>
      <c r="I2440" s="83" t="n"/>
      <c r="J2440" s="83" t="n"/>
      <c r="K2440" s="83" t="n"/>
      <c r="L2440" s="83" t="n"/>
      <c r="M2440" s="83" t="n"/>
      <c r="O2440" s="84" t="str">
        <f>IF($C2440="","",IFERROR(MATCH($B2440&amp;"|"&amp;$C2440,MUROS!$AX$11:$AX$70,0),0))</f>
        <v/>
      </c>
      <c r="P2440" s="84" t="str">
        <f>IF($D2440="","",IF(ISNUMBER(MATCH($D2440,CMB_S,0)),1,IF(ISNUMBER(MATCH($D2440,CMB_G,0)),2,0)))</f>
        <v/>
      </c>
      <c r="Q2440" s="84">
        <f>IF(ISNUMBER($H2440),-$H2440,0)</f>
        <v>0</v>
      </c>
      <c r="R2440" s="84">
        <f>IF(ISNUMBER($I2440),ABS($I2440),0)</f>
        <v>0</v>
      </c>
      <c r="S2440" s="84">
        <f>IF(ISNUMBER($M2440),ABS($M2440),0)</f>
        <v>0</v>
      </c>
      <c r="T2440" s="85" t="n">
        <v>2432</v>
      </c>
    </row>
    <row r="2441">
      <c r="B2441" s="83" t="n"/>
      <c r="C2441" s="83" t="n"/>
      <c r="D2441" s="83" t="n"/>
      <c r="E2441" s="83" t="n"/>
      <c r="F2441" s="83" t="n"/>
      <c r="G2441" s="83" t="n"/>
      <c r="H2441" s="83" t="n"/>
      <c r="I2441" s="83" t="n"/>
      <c r="J2441" s="83" t="n"/>
      <c r="K2441" s="83" t="n"/>
      <c r="L2441" s="83" t="n"/>
      <c r="M2441" s="83" t="n"/>
      <c r="O2441" s="84" t="str">
        <f>IF($C2441="","",IFERROR(MATCH($B2441&amp;"|"&amp;$C2441,MUROS!$AX$11:$AX$70,0),0))</f>
        <v/>
      </c>
      <c r="P2441" s="84" t="str">
        <f>IF($D2441="","",IF(ISNUMBER(MATCH($D2441,CMB_S,0)),1,IF(ISNUMBER(MATCH($D2441,CMB_G,0)),2,0)))</f>
        <v/>
      </c>
      <c r="Q2441" s="84">
        <f>IF(ISNUMBER($H2441),-$H2441,0)</f>
        <v>0</v>
      </c>
      <c r="R2441" s="84">
        <f>IF(ISNUMBER($I2441),ABS($I2441),0)</f>
        <v>0</v>
      </c>
      <c r="S2441" s="84">
        <f>IF(ISNUMBER($M2441),ABS($M2441),0)</f>
        <v>0</v>
      </c>
      <c r="T2441" s="85" t="n">
        <v>2433</v>
      </c>
    </row>
    <row r="2442">
      <c r="B2442" s="83" t="n"/>
      <c r="C2442" s="83" t="n"/>
      <c r="D2442" s="83" t="n"/>
      <c r="E2442" s="83" t="n"/>
      <c r="F2442" s="83" t="n"/>
      <c r="G2442" s="83" t="n"/>
      <c r="H2442" s="83" t="n"/>
      <c r="I2442" s="83" t="n"/>
      <c r="J2442" s="83" t="n"/>
      <c r="K2442" s="83" t="n"/>
      <c r="L2442" s="83" t="n"/>
      <c r="M2442" s="83" t="n"/>
      <c r="O2442" s="84" t="str">
        <f>IF($C2442="","",IFERROR(MATCH($B2442&amp;"|"&amp;$C2442,MUROS!$AX$11:$AX$70,0),0))</f>
        <v/>
      </c>
      <c r="P2442" s="84" t="str">
        <f>IF($D2442="","",IF(ISNUMBER(MATCH($D2442,CMB_S,0)),1,IF(ISNUMBER(MATCH($D2442,CMB_G,0)),2,0)))</f>
        <v/>
      </c>
      <c r="Q2442" s="84">
        <f>IF(ISNUMBER($H2442),-$H2442,0)</f>
        <v>0</v>
      </c>
      <c r="R2442" s="84">
        <f>IF(ISNUMBER($I2442),ABS($I2442),0)</f>
        <v>0</v>
      </c>
      <c r="S2442" s="84">
        <f>IF(ISNUMBER($M2442),ABS($M2442),0)</f>
        <v>0</v>
      </c>
      <c r="T2442" s="85" t="n">
        <v>2434</v>
      </c>
    </row>
    <row r="2443">
      <c r="B2443" s="83" t="n"/>
      <c r="C2443" s="83" t="n"/>
      <c r="D2443" s="83" t="n"/>
      <c r="E2443" s="83" t="n"/>
      <c r="F2443" s="83" t="n"/>
      <c r="G2443" s="83" t="n"/>
      <c r="H2443" s="83" t="n"/>
      <c r="I2443" s="83" t="n"/>
      <c r="J2443" s="83" t="n"/>
      <c r="K2443" s="83" t="n"/>
      <c r="L2443" s="83" t="n"/>
      <c r="M2443" s="83" t="n"/>
      <c r="O2443" s="84" t="str">
        <f>IF($C2443="","",IFERROR(MATCH($B2443&amp;"|"&amp;$C2443,MUROS!$AX$11:$AX$70,0),0))</f>
        <v/>
      </c>
      <c r="P2443" s="84" t="str">
        <f>IF($D2443="","",IF(ISNUMBER(MATCH($D2443,CMB_S,0)),1,IF(ISNUMBER(MATCH($D2443,CMB_G,0)),2,0)))</f>
        <v/>
      </c>
      <c r="Q2443" s="84">
        <f>IF(ISNUMBER($H2443),-$H2443,0)</f>
        <v>0</v>
      </c>
      <c r="R2443" s="84">
        <f>IF(ISNUMBER($I2443),ABS($I2443),0)</f>
        <v>0</v>
      </c>
      <c r="S2443" s="84">
        <f>IF(ISNUMBER($M2443),ABS($M2443),0)</f>
        <v>0</v>
      </c>
      <c r="T2443" s="85" t="n">
        <v>2435</v>
      </c>
    </row>
    <row r="2444">
      <c r="B2444" s="83" t="n"/>
      <c r="C2444" s="83" t="n"/>
      <c r="D2444" s="83" t="n"/>
      <c r="E2444" s="83" t="n"/>
      <c r="F2444" s="83" t="n"/>
      <c r="G2444" s="83" t="n"/>
      <c r="H2444" s="83" t="n"/>
      <c r="I2444" s="83" t="n"/>
      <c r="J2444" s="83" t="n"/>
      <c r="K2444" s="83" t="n"/>
      <c r="L2444" s="83" t="n"/>
      <c r="M2444" s="83" t="n"/>
      <c r="O2444" s="84" t="str">
        <f>IF($C2444="","",IFERROR(MATCH($B2444&amp;"|"&amp;$C2444,MUROS!$AX$11:$AX$70,0),0))</f>
        <v/>
      </c>
      <c r="P2444" s="84" t="str">
        <f>IF($D2444="","",IF(ISNUMBER(MATCH($D2444,CMB_S,0)),1,IF(ISNUMBER(MATCH($D2444,CMB_G,0)),2,0)))</f>
        <v/>
      </c>
      <c r="Q2444" s="84">
        <f>IF(ISNUMBER($H2444),-$H2444,0)</f>
        <v>0</v>
      </c>
      <c r="R2444" s="84">
        <f>IF(ISNUMBER($I2444),ABS($I2444),0)</f>
        <v>0</v>
      </c>
      <c r="S2444" s="84">
        <f>IF(ISNUMBER($M2444),ABS($M2444),0)</f>
        <v>0</v>
      </c>
      <c r="T2444" s="85" t="n">
        <v>2436</v>
      </c>
    </row>
    <row r="2445">
      <c r="B2445" s="83" t="n"/>
      <c r="C2445" s="83" t="n"/>
      <c r="D2445" s="83" t="n"/>
      <c r="E2445" s="83" t="n"/>
      <c r="F2445" s="83" t="n"/>
      <c r="G2445" s="83" t="n"/>
      <c r="H2445" s="83" t="n"/>
      <c r="I2445" s="83" t="n"/>
      <c r="J2445" s="83" t="n"/>
      <c r="K2445" s="83" t="n"/>
      <c r="L2445" s="83" t="n"/>
      <c r="M2445" s="83" t="n"/>
      <c r="O2445" s="84" t="str">
        <f>IF($C2445="","",IFERROR(MATCH($B2445&amp;"|"&amp;$C2445,MUROS!$AX$11:$AX$70,0),0))</f>
        <v/>
      </c>
      <c r="P2445" s="84" t="str">
        <f>IF($D2445="","",IF(ISNUMBER(MATCH($D2445,CMB_S,0)),1,IF(ISNUMBER(MATCH($D2445,CMB_G,0)),2,0)))</f>
        <v/>
      </c>
      <c r="Q2445" s="84">
        <f>IF(ISNUMBER($H2445),-$H2445,0)</f>
        <v>0</v>
      </c>
      <c r="R2445" s="84">
        <f>IF(ISNUMBER($I2445),ABS($I2445),0)</f>
        <v>0</v>
      </c>
      <c r="S2445" s="84">
        <f>IF(ISNUMBER($M2445),ABS($M2445),0)</f>
        <v>0</v>
      </c>
      <c r="T2445" s="85" t="n">
        <v>2437</v>
      </c>
    </row>
    <row r="2446">
      <c r="B2446" s="83" t="n"/>
      <c r="C2446" s="83" t="n"/>
      <c r="D2446" s="83" t="n"/>
      <c r="E2446" s="83" t="n"/>
      <c r="F2446" s="83" t="n"/>
      <c r="G2446" s="83" t="n"/>
      <c r="H2446" s="83" t="n"/>
      <c r="I2446" s="83" t="n"/>
      <c r="J2446" s="83" t="n"/>
      <c r="K2446" s="83" t="n"/>
      <c r="L2446" s="83" t="n"/>
      <c r="M2446" s="83" t="n"/>
      <c r="O2446" s="84" t="str">
        <f>IF($C2446="","",IFERROR(MATCH($B2446&amp;"|"&amp;$C2446,MUROS!$AX$11:$AX$70,0),0))</f>
        <v/>
      </c>
      <c r="P2446" s="84" t="str">
        <f>IF($D2446="","",IF(ISNUMBER(MATCH($D2446,CMB_S,0)),1,IF(ISNUMBER(MATCH($D2446,CMB_G,0)),2,0)))</f>
        <v/>
      </c>
      <c r="Q2446" s="84">
        <f>IF(ISNUMBER($H2446),-$H2446,0)</f>
        <v>0</v>
      </c>
      <c r="R2446" s="84">
        <f>IF(ISNUMBER($I2446),ABS($I2446),0)</f>
        <v>0</v>
      </c>
      <c r="S2446" s="84">
        <f>IF(ISNUMBER($M2446),ABS($M2446),0)</f>
        <v>0</v>
      </c>
      <c r="T2446" s="85" t="n">
        <v>2438</v>
      </c>
    </row>
    <row r="2447">
      <c r="B2447" s="83" t="n"/>
      <c r="C2447" s="83" t="n"/>
      <c r="D2447" s="83" t="n"/>
      <c r="E2447" s="83" t="n"/>
      <c r="F2447" s="83" t="n"/>
      <c r="G2447" s="83" t="n"/>
      <c r="H2447" s="83" t="n"/>
      <c r="I2447" s="83" t="n"/>
      <c r="J2447" s="83" t="n"/>
      <c r="K2447" s="83" t="n"/>
      <c r="L2447" s="83" t="n"/>
      <c r="M2447" s="83" t="n"/>
      <c r="O2447" s="84" t="str">
        <f>IF($C2447="","",IFERROR(MATCH($B2447&amp;"|"&amp;$C2447,MUROS!$AX$11:$AX$70,0),0))</f>
        <v/>
      </c>
      <c r="P2447" s="84" t="str">
        <f>IF($D2447="","",IF(ISNUMBER(MATCH($D2447,CMB_S,0)),1,IF(ISNUMBER(MATCH($D2447,CMB_G,0)),2,0)))</f>
        <v/>
      </c>
      <c r="Q2447" s="84">
        <f>IF(ISNUMBER($H2447),-$H2447,0)</f>
        <v>0</v>
      </c>
      <c r="R2447" s="84">
        <f>IF(ISNUMBER($I2447),ABS($I2447),0)</f>
        <v>0</v>
      </c>
      <c r="S2447" s="84">
        <f>IF(ISNUMBER($M2447),ABS($M2447),0)</f>
        <v>0</v>
      </c>
      <c r="T2447" s="85" t="n">
        <v>2439</v>
      </c>
    </row>
    <row r="2448">
      <c r="B2448" s="83" t="n"/>
      <c r="C2448" s="83" t="n"/>
      <c r="D2448" s="83" t="n"/>
      <c r="E2448" s="83" t="n"/>
      <c r="F2448" s="83" t="n"/>
      <c r="G2448" s="83" t="n"/>
      <c r="H2448" s="83" t="n"/>
      <c r="I2448" s="83" t="n"/>
      <c r="J2448" s="83" t="n"/>
      <c r="K2448" s="83" t="n"/>
      <c r="L2448" s="83" t="n"/>
      <c r="M2448" s="83" t="n"/>
      <c r="O2448" s="84" t="str">
        <f>IF($C2448="","",IFERROR(MATCH($B2448&amp;"|"&amp;$C2448,MUROS!$AX$11:$AX$70,0),0))</f>
        <v/>
      </c>
      <c r="P2448" s="84" t="str">
        <f>IF($D2448="","",IF(ISNUMBER(MATCH($D2448,CMB_S,0)),1,IF(ISNUMBER(MATCH($D2448,CMB_G,0)),2,0)))</f>
        <v/>
      </c>
      <c r="Q2448" s="84">
        <f>IF(ISNUMBER($H2448),-$H2448,0)</f>
        <v>0</v>
      </c>
      <c r="R2448" s="84">
        <f>IF(ISNUMBER($I2448),ABS($I2448),0)</f>
        <v>0</v>
      </c>
      <c r="S2448" s="84">
        <f>IF(ISNUMBER($M2448),ABS($M2448),0)</f>
        <v>0</v>
      </c>
      <c r="T2448" s="85" t="n">
        <v>2440</v>
      </c>
    </row>
    <row r="2449">
      <c r="B2449" s="83" t="n"/>
      <c r="C2449" s="83" t="n"/>
      <c r="D2449" s="83" t="n"/>
      <c r="E2449" s="83" t="n"/>
      <c r="F2449" s="83" t="n"/>
      <c r="G2449" s="83" t="n"/>
      <c r="H2449" s="83" t="n"/>
      <c r="I2449" s="83" t="n"/>
      <c r="J2449" s="83" t="n"/>
      <c r="K2449" s="83" t="n"/>
      <c r="L2449" s="83" t="n"/>
      <c r="M2449" s="83" t="n"/>
      <c r="O2449" s="84" t="str">
        <f>IF($C2449="","",IFERROR(MATCH($B2449&amp;"|"&amp;$C2449,MUROS!$AX$11:$AX$70,0),0))</f>
        <v/>
      </c>
      <c r="P2449" s="84" t="str">
        <f>IF($D2449="","",IF(ISNUMBER(MATCH($D2449,CMB_S,0)),1,IF(ISNUMBER(MATCH($D2449,CMB_G,0)),2,0)))</f>
        <v/>
      </c>
      <c r="Q2449" s="84">
        <f>IF(ISNUMBER($H2449),-$H2449,0)</f>
        <v>0</v>
      </c>
      <c r="R2449" s="84">
        <f>IF(ISNUMBER($I2449),ABS($I2449),0)</f>
        <v>0</v>
      </c>
      <c r="S2449" s="84">
        <f>IF(ISNUMBER($M2449),ABS($M2449),0)</f>
        <v>0</v>
      </c>
      <c r="T2449" s="85" t="n">
        <v>2441</v>
      </c>
    </row>
    <row r="2450">
      <c r="B2450" s="83" t="n"/>
      <c r="C2450" s="83" t="n"/>
      <c r="D2450" s="83" t="n"/>
      <c r="E2450" s="83" t="n"/>
      <c r="F2450" s="83" t="n"/>
      <c r="G2450" s="83" t="n"/>
      <c r="H2450" s="83" t="n"/>
      <c r="I2450" s="83" t="n"/>
      <c r="J2450" s="83" t="n"/>
      <c r="K2450" s="83" t="n"/>
      <c r="L2450" s="83" t="n"/>
      <c r="M2450" s="83" t="n"/>
      <c r="O2450" s="84" t="str">
        <f>IF($C2450="","",IFERROR(MATCH($B2450&amp;"|"&amp;$C2450,MUROS!$AX$11:$AX$70,0),0))</f>
        <v/>
      </c>
      <c r="P2450" s="84" t="str">
        <f>IF($D2450="","",IF(ISNUMBER(MATCH($D2450,CMB_S,0)),1,IF(ISNUMBER(MATCH($D2450,CMB_G,0)),2,0)))</f>
        <v/>
      </c>
      <c r="Q2450" s="84">
        <f>IF(ISNUMBER($H2450),-$H2450,0)</f>
        <v>0</v>
      </c>
      <c r="R2450" s="84">
        <f>IF(ISNUMBER($I2450),ABS($I2450),0)</f>
        <v>0</v>
      </c>
      <c r="S2450" s="84">
        <f>IF(ISNUMBER($M2450),ABS($M2450),0)</f>
        <v>0</v>
      </c>
      <c r="T2450" s="85" t="n">
        <v>2442</v>
      </c>
    </row>
    <row r="2451">
      <c r="B2451" s="83" t="n"/>
      <c r="C2451" s="83" t="n"/>
      <c r="D2451" s="83" t="n"/>
      <c r="E2451" s="83" t="n"/>
      <c r="F2451" s="83" t="n"/>
      <c r="G2451" s="83" t="n"/>
      <c r="H2451" s="83" t="n"/>
      <c r="I2451" s="83" t="n"/>
      <c r="J2451" s="83" t="n"/>
      <c r="K2451" s="83" t="n"/>
      <c r="L2451" s="83" t="n"/>
      <c r="M2451" s="83" t="n"/>
      <c r="O2451" s="84" t="str">
        <f>IF($C2451="","",IFERROR(MATCH($B2451&amp;"|"&amp;$C2451,MUROS!$AX$11:$AX$70,0),0))</f>
        <v/>
      </c>
      <c r="P2451" s="84" t="str">
        <f>IF($D2451="","",IF(ISNUMBER(MATCH($D2451,CMB_S,0)),1,IF(ISNUMBER(MATCH($D2451,CMB_G,0)),2,0)))</f>
        <v/>
      </c>
      <c r="Q2451" s="84">
        <f>IF(ISNUMBER($H2451),-$H2451,0)</f>
        <v>0</v>
      </c>
      <c r="R2451" s="84">
        <f>IF(ISNUMBER($I2451),ABS($I2451),0)</f>
        <v>0</v>
      </c>
      <c r="S2451" s="84">
        <f>IF(ISNUMBER($M2451),ABS($M2451),0)</f>
        <v>0</v>
      </c>
      <c r="T2451" s="85" t="n">
        <v>2443</v>
      </c>
    </row>
    <row r="2452">
      <c r="B2452" s="83" t="n"/>
      <c r="C2452" s="83" t="n"/>
      <c r="D2452" s="83" t="n"/>
      <c r="E2452" s="83" t="n"/>
      <c r="F2452" s="83" t="n"/>
      <c r="G2452" s="83" t="n"/>
      <c r="H2452" s="83" t="n"/>
      <c r="I2452" s="83" t="n"/>
      <c r="J2452" s="83" t="n"/>
      <c r="K2452" s="83" t="n"/>
      <c r="L2452" s="83" t="n"/>
      <c r="M2452" s="83" t="n"/>
      <c r="O2452" s="84" t="str">
        <f>IF($C2452="","",IFERROR(MATCH($B2452&amp;"|"&amp;$C2452,MUROS!$AX$11:$AX$70,0),0))</f>
        <v/>
      </c>
      <c r="P2452" s="84" t="str">
        <f>IF($D2452="","",IF(ISNUMBER(MATCH($D2452,CMB_S,0)),1,IF(ISNUMBER(MATCH($D2452,CMB_G,0)),2,0)))</f>
        <v/>
      </c>
      <c r="Q2452" s="84">
        <f>IF(ISNUMBER($H2452),-$H2452,0)</f>
        <v>0</v>
      </c>
      <c r="R2452" s="84">
        <f>IF(ISNUMBER($I2452),ABS($I2452),0)</f>
        <v>0</v>
      </c>
      <c r="S2452" s="84">
        <f>IF(ISNUMBER($M2452),ABS($M2452),0)</f>
        <v>0</v>
      </c>
      <c r="T2452" s="85" t="n">
        <v>2444</v>
      </c>
    </row>
    <row r="2453">
      <c r="B2453" s="83" t="n"/>
      <c r="C2453" s="83" t="n"/>
      <c r="D2453" s="83" t="n"/>
      <c r="E2453" s="83" t="n"/>
      <c r="F2453" s="83" t="n"/>
      <c r="G2453" s="83" t="n"/>
      <c r="H2453" s="83" t="n"/>
      <c r="I2453" s="83" t="n"/>
      <c r="J2453" s="83" t="n"/>
      <c r="K2453" s="83" t="n"/>
      <c r="L2453" s="83" t="n"/>
      <c r="M2453" s="83" t="n"/>
      <c r="O2453" s="84" t="str">
        <f>IF($C2453="","",IFERROR(MATCH($B2453&amp;"|"&amp;$C2453,MUROS!$AX$11:$AX$70,0),0))</f>
        <v/>
      </c>
      <c r="P2453" s="84" t="str">
        <f>IF($D2453="","",IF(ISNUMBER(MATCH($D2453,CMB_S,0)),1,IF(ISNUMBER(MATCH($D2453,CMB_G,0)),2,0)))</f>
        <v/>
      </c>
      <c r="Q2453" s="84">
        <f>IF(ISNUMBER($H2453),-$H2453,0)</f>
        <v>0</v>
      </c>
      <c r="R2453" s="84">
        <f>IF(ISNUMBER($I2453),ABS($I2453),0)</f>
        <v>0</v>
      </c>
      <c r="S2453" s="84">
        <f>IF(ISNUMBER($M2453),ABS($M2453),0)</f>
        <v>0</v>
      </c>
      <c r="T2453" s="85" t="n">
        <v>2445</v>
      </c>
    </row>
    <row r="2454">
      <c r="B2454" s="83" t="n"/>
      <c r="C2454" s="83" t="n"/>
      <c r="D2454" s="83" t="n"/>
      <c r="E2454" s="83" t="n"/>
      <c r="F2454" s="83" t="n"/>
      <c r="G2454" s="83" t="n"/>
      <c r="H2454" s="83" t="n"/>
      <c r="I2454" s="83" t="n"/>
      <c r="J2454" s="83" t="n"/>
      <c r="K2454" s="83" t="n"/>
      <c r="L2454" s="83" t="n"/>
      <c r="M2454" s="83" t="n"/>
      <c r="O2454" s="84" t="str">
        <f>IF($C2454="","",IFERROR(MATCH($B2454&amp;"|"&amp;$C2454,MUROS!$AX$11:$AX$70,0),0))</f>
        <v/>
      </c>
      <c r="P2454" s="84" t="str">
        <f>IF($D2454="","",IF(ISNUMBER(MATCH($D2454,CMB_S,0)),1,IF(ISNUMBER(MATCH($D2454,CMB_G,0)),2,0)))</f>
        <v/>
      </c>
      <c r="Q2454" s="84">
        <f>IF(ISNUMBER($H2454),-$H2454,0)</f>
        <v>0</v>
      </c>
      <c r="R2454" s="84">
        <f>IF(ISNUMBER($I2454),ABS($I2454),0)</f>
        <v>0</v>
      </c>
      <c r="S2454" s="84">
        <f>IF(ISNUMBER($M2454),ABS($M2454),0)</f>
        <v>0</v>
      </c>
      <c r="T2454" s="85" t="n">
        <v>2446</v>
      </c>
    </row>
    <row r="2455">
      <c r="B2455" s="83" t="n"/>
      <c r="C2455" s="83" t="n"/>
      <c r="D2455" s="83" t="n"/>
      <c r="E2455" s="83" t="n"/>
      <c r="F2455" s="83" t="n"/>
      <c r="G2455" s="83" t="n"/>
      <c r="H2455" s="83" t="n"/>
      <c r="I2455" s="83" t="n"/>
      <c r="J2455" s="83" t="n"/>
      <c r="K2455" s="83" t="n"/>
      <c r="L2455" s="83" t="n"/>
      <c r="M2455" s="83" t="n"/>
      <c r="O2455" s="84" t="str">
        <f>IF($C2455="","",IFERROR(MATCH($B2455&amp;"|"&amp;$C2455,MUROS!$AX$11:$AX$70,0),0))</f>
        <v/>
      </c>
      <c r="P2455" s="84" t="str">
        <f>IF($D2455="","",IF(ISNUMBER(MATCH($D2455,CMB_S,0)),1,IF(ISNUMBER(MATCH($D2455,CMB_G,0)),2,0)))</f>
        <v/>
      </c>
      <c r="Q2455" s="84">
        <f>IF(ISNUMBER($H2455),-$H2455,0)</f>
        <v>0</v>
      </c>
      <c r="R2455" s="84">
        <f>IF(ISNUMBER($I2455),ABS($I2455),0)</f>
        <v>0</v>
      </c>
      <c r="S2455" s="84">
        <f>IF(ISNUMBER($M2455),ABS($M2455),0)</f>
        <v>0</v>
      </c>
      <c r="T2455" s="85" t="n">
        <v>2447</v>
      </c>
    </row>
    <row r="2456">
      <c r="B2456" s="83" t="n"/>
      <c r="C2456" s="83" t="n"/>
      <c r="D2456" s="83" t="n"/>
      <c r="E2456" s="83" t="n"/>
      <c r="F2456" s="83" t="n"/>
      <c r="G2456" s="83" t="n"/>
      <c r="H2456" s="83" t="n"/>
      <c r="I2456" s="83" t="n"/>
      <c r="J2456" s="83" t="n"/>
      <c r="K2456" s="83" t="n"/>
      <c r="L2456" s="83" t="n"/>
      <c r="M2456" s="83" t="n"/>
      <c r="O2456" s="84" t="str">
        <f>IF($C2456="","",IFERROR(MATCH($B2456&amp;"|"&amp;$C2456,MUROS!$AX$11:$AX$70,0),0))</f>
        <v/>
      </c>
      <c r="P2456" s="84" t="str">
        <f>IF($D2456="","",IF(ISNUMBER(MATCH($D2456,CMB_S,0)),1,IF(ISNUMBER(MATCH($D2456,CMB_G,0)),2,0)))</f>
        <v/>
      </c>
      <c r="Q2456" s="84">
        <f>IF(ISNUMBER($H2456),-$H2456,0)</f>
        <v>0</v>
      </c>
      <c r="R2456" s="84">
        <f>IF(ISNUMBER($I2456),ABS($I2456),0)</f>
        <v>0</v>
      </c>
      <c r="S2456" s="84">
        <f>IF(ISNUMBER($M2456),ABS($M2456),0)</f>
        <v>0</v>
      </c>
      <c r="T2456" s="85" t="n">
        <v>2448</v>
      </c>
    </row>
    <row r="2457">
      <c r="B2457" s="83" t="n"/>
      <c r="C2457" s="83" t="n"/>
      <c r="D2457" s="83" t="n"/>
      <c r="E2457" s="83" t="n"/>
      <c r="F2457" s="83" t="n"/>
      <c r="G2457" s="83" t="n"/>
      <c r="H2457" s="83" t="n"/>
      <c r="I2457" s="83" t="n"/>
      <c r="J2457" s="83" t="n"/>
      <c r="K2457" s="83" t="n"/>
      <c r="L2457" s="83" t="n"/>
      <c r="M2457" s="83" t="n"/>
      <c r="O2457" s="84" t="str">
        <f>IF($C2457="","",IFERROR(MATCH($B2457&amp;"|"&amp;$C2457,MUROS!$AX$11:$AX$70,0),0))</f>
        <v/>
      </c>
      <c r="P2457" s="84" t="str">
        <f>IF($D2457="","",IF(ISNUMBER(MATCH($D2457,CMB_S,0)),1,IF(ISNUMBER(MATCH($D2457,CMB_G,0)),2,0)))</f>
        <v/>
      </c>
      <c r="Q2457" s="84">
        <f>IF(ISNUMBER($H2457),-$H2457,0)</f>
        <v>0</v>
      </c>
      <c r="R2457" s="84">
        <f>IF(ISNUMBER($I2457),ABS($I2457),0)</f>
        <v>0</v>
      </c>
      <c r="S2457" s="84">
        <f>IF(ISNUMBER($M2457),ABS($M2457),0)</f>
        <v>0</v>
      </c>
      <c r="T2457" s="85" t="n">
        <v>2449</v>
      </c>
    </row>
    <row r="2458">
      <c r="B2458" s="83" t="n"/>
      <c r="C2458" s="83" t="n"/>
      <c r="D2458" s="83" t="n"/>
      <c r="E2458" s="83" t="n"/>
      <c r="F2458" s="83" t="n"/>
      <c r="G2458" s="83" t="n"/>
      <c r="H2458" s="83" t="n"/>
      <c r="I2458" s="83" t="n"/>
      <c r="J2458" s="83" t="n"/>
      <c r="K2458" s="83" t="n"/>
      <c r="L2458" s="83" t="n"/>
      <c r="M2458" s="83" t="n"/>
      <c r="O2458" s="84" t="str">
        <f>IF($C2458="","",IFERROR(MATCH($B2458&amp;"|"&amp;$C2458,MUROS!$AX$11:$AX$70,0),0))</f>
        <v/>
      </c>
      <c r="P2458" s="84" t="str">
        <f>IF($D2458="","",IF(ISNUMBER(MATCH($D2458,CMB_S,0)),1,IF(ISNUMBER(MATCH($D2458,CMB_G,0)),2,0)))</f>
        <v/>
      </c>
      <c r="Q2458" s="84">
        <f>IF(ISNUMBER($H2458),-$H2458,0)</f>
        <v>0</v>
      </c>
      <c r="R2458" s="84">
        <f>IF(ISNUMBER($I2458),ABS($I2458),0)</f>
        <v>0</v>
      </c>
      <c r="S2458" s="84">
        <f>IF(ISNUMBER($M2458),ABS($M2458),0)</f>
        <v>0</v>
      </c>
      <c r="T2458" s="85" t="n">
        <v>2450</v>
      </c>
    </row>
    <row r="2459">
      <c r="B2459" s="83" t="n"/>
      <c r="C2459" s="83" t="n"/>
      <c r="D2459" s="83" t="n"/>
      <c r="E2459" s="83" t="n"/>
      <c r="F2459" s="83" t="n"/>
      <c r="G2459" s="83" t="n"/>
      <c r="H2459" s="83" t="n"/>
      <c r="I2459" s="83" t="n"/>
      <c r="J2459" s="83" t="n"/>
      <c r="K2459" s="83" t="n"/>
      <c r="L2459" s="83" t="n"/>
      <c r="M2459" s="83" t="n"/>
      <c r="O2459" s="84" t="str">
        <f>IF($C2459="","",IFERROR(MATCH($B2459&amp;"|"&amp;$C2459,MUROS!$AX$11:$AX$70,0),0))</f>
        <v/>
      </c>
      <c r="P2459" s="84" t="str">
        <f>IF($D2459="","",IF(ISNUMBER(MATCH($D2459,CMB_S,0)),1,IF(ISNUMBER(MATCH($D2459,CMB_G,0)),2,0)))</f>
        <v/>
      </c>
      <c r="Q2459" s="84">
        <f>IF(ISNUMBER($H2459),-$H2459,0)</f>
        <v>0</v>
      </c>
      <c r="R2459" s="84">
        <f>IF(ISNUMBER($I2459),ABS($I2459),0)</f>
        <v>0</v>
      </c>
      <c r="S2459" s="84">
        <f>IF(ISNUMBER($M2459),ABS($M2459),0)</f>
        <v>0</v>
      </c>
      <c r="T2459" s="85" t="n">
        <v>2451</v>
      </c>
    </row>
    <row r="2460">
      <c r="B2460" s="83" t="n"/>
      <c r="C2460" s="83" t="n"/>
      <c r="D2460" s="83" t="n"/>
      <c r="E2460" s="83" t="n"/>
      <c r="F2460" s="83" t="n"/>
      <c r="G2460" s="83" t="n"/>
      <c r="H2460" s="83" t="n"/>
      <c r="I2460" s="83" t="n"/>
      <c r="J2460" s="83" t="n"/>
      <c r="K2460" s="83" t="n"/>
      <c r="L2460" s="83" t="n"/>
      <c r="M2460" s="83" t="n"/>
      <c r="O2460" s="84" t="str">
        <f>IF($C2460="","",IFERROR(MATCH($B2460&amp;"|"&amp;$C2460,MUROS!$AX$11:$AX$70,0),0))</f>
        <v/>
      </c>
      <c r="P2460" s="84" t="str">
        <f>IF($D2460="","",IF(ISNUMBER(MATCH($D2460,CMB_S,0)),1,IF(ISNUMBER(MATCH($D2460,CMB_G,0)),2,0)))</f>
        <v/>
      </c>
      <c r="Q2460" s="84">
        <f>IF(ISNUMBER($H2460),-$H2460,0)</f>
        <v>0</v>
      </c>
      <c r="R2460" s="84">
        <f>IF(ISNUMBER($I2460),ABS($I2460),0)</f>
        <v>0</v>
      </c>
      <c r="S2460" s="84">
        <f>IF(ISNUMBER($M2460),ABS($M2460),0)</f>
        <v>0</v>
      </c>
      <c r="T2460" s="85" t="n">
        <v>2452</v>
      </c>
    </row>
    <row r="2461">
      <c r="B2461" s="83" t="n"/>
      <c r="C2461" s="83" t="n"/>
      <c r="D2461" s="83" t="n"/>
      <c r="E2461" s="83" t="n"/>
      <c r="F2461" s="83" t="n"/>
      <c r="G2461" s="83" t="n"/>
      <c r="H2461" s="83" t="n"/>
      <c r="I2461" s="83" t="n"/>
      <c r="J2461" s="83" t="n"/>
      <c r="K2461" s="83" t="n"/>
      <c r="L2461" s="83" t="n"/>
      <c r="M2461" s="83" t="n"/>
      <c r="O2461" s="84" t="str">
        <f>IF($C2461="","",IFERROR(MATCH($B2461&amp;"|"&amp;$C2461,MUROS!$AX$11:$AX$70,0),0))</f>
        <v/>
      </c>
      <c r="P2461" s="84" t="str">
        <f>IF($D2461="","",IF(ISNUMBER(MATCH($D2461,CMB_S,0)),1,IF(ISNUMBER(MATCH($D2461,CMB_G,0)),2,0)))</f>
        <v/>
      </c>
      <c r="Q2461" s="84">
        <f>IF(ISNUMBER($H2461),-$H2461,0)</f>
        <v>0</v>
      </c>
      <c r="R2461" s="84">
        <f>IF(ISNUMBER($I2461),ABS($I2461),0)</f>
        <v>0</v>
      </c>
      <c r="S2461" s="84">
        <f>IF(ISNUMBER($M2461),ABS($M2461),0)</f>
        <v>0</v>
      </c>
      <c r="T2461" s="85" t="n">
        <v>2453</v>
      </c>
    </row>
    <row r="2462">
      <c r="B2462" s="83" t="n"/>
      <c r="C2462" s="83" t="n"/>
      <c r="D2462" s="83" t="n"/>
      <c r="E2462" s="83" t="n"/>
      <c r="F2462" s="83" t="n"/>
      <c r="G2462" s="83" t="n"/>
      <c r="H2462" s="83" t="n"/>
      <c r="I2462" s="83" t="n"/>
      <c r="J2462" s="83" t="n"/>
      <c r="K2462" s="83" t="n"/>
      <c r="L2462" s="83" t="n"/>
      <c r="M2462" s="83" t="n"/>
      <c r="O2462" s="84" t="str">
        <f>IF($C2462="","",IFERROR(MATCH($B2462&amp;"|"&amp;$C2462,MUROS!$AX$11:$AX$70,0),0))</f>
        <v/>
      </c>
      <c r="P2462" s="84" t="str">
        <f>IF($D2462="","",IF(ISNUMBER(MATCH($D2462,CMB_S,0)),1,IF(ISNUMBER(MATCH($D2462,CMB_G,0)),2,0)))</f>
        <v/>
      </c>
      <c r="Q2462" s="84">
        <f>IF(ISNUMBER($H2462),-$H2462,0)</f>
        <v>0</v>
      </c>
      <c r="R2462" s="84">
        <f>IF(ISNUMBER($I2462),ABS($I2462),0)</f>
        <v>0</v>
      </c>
      <c r="S2462" s="84">
        <f>IF(ISNUMBER($M2462),ABS($M2462),0)</f>
        <v>0</v>
      </c>
      <c r="T2462" s="85" t="n">
        <v>2454</v>
      </c>
    </row>
    <row r="2463">
      <c r="B2463" s="83" t="n"/>
      <c r="C2463" s="83" t="n"/>
      <c r="D2463" s="83" t="n"/>
      <c r="E2463" s="83" t="n"/>
      <c r="F2463" s="83" t="n"/>
      <c r="G2463" s="83" t="n"/>
      <c r="H2463" s="83" t="n"/>
      <c r="I2463" s="83" t="n"/>
      <c r="J2463" s="83" t="n"/>
      <c r="K2463" s="83" t="n"/>
      <c r="L2463" s="83" t="n"/>
      <c r="M2463" s="83" t="n"/>
      <c r="O2463" s="84" t="str">
        <f>IF($C2463="","",IFERROR(MATCH($B2463&amp;"|"&amp;$C2463,MUROS!$AX$11:$AX$70,0),0))</f>
        <v/>
      </c>
      <c r="P2463" s="84" t="str">
        <f>IF($D2463="","",IF(ISNUMBER(MATCH($D2463,CMB_S,0)),1,IF(ISNUMBER(MATCH($D2463,CMB_G,0)),2,0)))</f>
        <v/>
      </c>
      <c r="Q2463" s="84">
        <f>IF(ISNUMBER($H2463),-$H2463,0)</f>
        <v>0</v>
      </c>
      <c r="R2463" s="84">
        <f>IF(ISNUMBER($I2463),ABS($I2463),0)</f>
        <v>0</v>
      </c>
      <c r="S2463" s="84">
        <f>IF(ISNUMBER($M2463),ABS($M2463),0)</f>
        <v>0</v>
      </c>
      <c r="T2463" s="85" t="n">
        <v>2455</v>
      </c>
    </row>
    <row r="2464">
      <c r="B2464" s="83" t="n"/>
      <c r="C2464" s="83" t="n"/>
      <c r="D2464" s="83" t="n"/>
      <c r="E2464" s="83" t="n"/>
      <c r="F2464" s="83" t="n"/>
      <c r="G2464" s="83" t="n"/>
      <c r="H2464" s="83" t="n"/>
      <c r="I2464" s="83" t="n"/>
      <c r="J2464" s="83" t="n"/>
      <c r="K2464" s="83" t="n"/>
      <c r="L2464" s="83" t="n"/>
      <c r="M2464" s="83" t="n"/>
      <c r="O2464" s="84" t="str">
        <f>IF($C2464="","",IFERROR(MATCH($B2464&amp;"|"&amp;$C2464,MUROS!$AX$11:$AX$70,0),0))</f>
        <v/>
      </c>
      <c r="P2464" s="84" t="str">
        <f>IF($D2464="","",IF(ISNUMBER(MATCH($D2464,CMB_S,0)),1,IF(ISNUMBER(MATCH($D2464,CMB_G,0)),2,0)))</f>
        <v/>
      </c>
      <c r="Q2464" s="84">
        <f>IF(ISNUMBER($H2464),-$H2464,0)</f>
        <v>0</v>
      </c>
      <c r="R2464" s="84">
        <f>IF(ISNUMBER($I2464),ABS($I2464),0)</f>
        <v>0</v>
      </c>
      <c r="S2464" s="84">
        <f>IF(ISNUMBER($M2464),ABS($M2464),0)</f>
        <v>0</v>
      </c>
      <c r="T2464" s="85" t="n">
        <v>2456</v>
      </c>
    </row>
    <row r="2465">
      <c r="B2465" s="83" t="n"/>
      <c r="C2465" s="83" t="n"/>
      <c r="D2465" s="83" t="n"/>
      <c r="E2465" s="83" t="n"/>
      <c r="F2465" s="83" t="n"/>
      <c r="G2465" s="83" t="n"/>
      <c r="H2465" s="83" t="n"/>
      <c r="I2465" s="83" t="n"/>
      <c r="J2465" s="83" t="n"/>
      <c r="K2465" s="83" t="n"/>
      <c r="L2465" s="83" t="n"/>
      <c r="M2465" s="83" t="n"/>
      <c r="O2465" s="84" t="str">
        <f>IF($C2465="","",IFERROR(MATCH($B2465&amp;"|"&amp;$C2465,MUROS!$AX$11:$AX$70,0),0))</f>
        <v/>
      </c>
      <c r="P2465" s="84" t="str">
        <f>IF($D2465="","",IF(ISNUMBER(MATCH($D2465,CMB_S,0)),1,IF(ISNUMBER(MATCH($D2465,CMB_G,0)),2,0)))</f>
        <v/>
      </c>
      <c r="Q2465" s="84">
        <f>IF(ISNUMBER($H2465),-$H2465,0)</f>
        <v>0</v>
      </c>
      <c r="R2465" s="84">
        <f>IF(ISNUMBER($I2465),ABS($I2465),0)</f>
        <v>0</v>
      </c>
      <c r="S2465" s="84">
        <f>IF(ISNUMBER($M2465),ABS($M2465),0)</f>
        <v>0</v>
      </c>
      <c r="T2465" s="85" t="n">
        <v>2457</v>
      </c>
    </row>
    <row r="2466">
      <c r="B2466" s="83" t="n"/>
      <c r="C2466" s="83" t="n"/>
      <c r="D2466" s="83" t="n"/>
      <c r="E2466" s="83" t="n"/>
      <c r="F2466" s="83" t="n"/>
      <c r="G2466" s="83" t="n"/>
      <c r="H2466" s="83" t="n"/>
      <c r="I2466" s="83" t="n"/>
      <c r="J2466" s="83" t="n"/>
      <c r="K2466" s="83" t="n"/>
      <c r="L2466" s="83" t="n"/>
      <c r="M2466" s="83" t="n"/>
      <c r="O2466" s="84" t="str">
        <f>IF($C2466="","",IFERROR(MATCH($B2466&amp;"|"&amp;$C2466,MUROS!$AX$11:$AX$70,0),0))</f>
        <v/>
      </c>
      <c r="P2466" s="84" t="str">
        <f>IF($D2466="","",IF(ISNUMBER(MATCH($D2466,CMB_S,0)),1,IF(ISNUMBER(MATCH($D2466,CMB_G,0)),2,0)))</f>
        <v/>
      </c>
      <c r="Q2466" s="84">
        <f>IF(ISNUMBER($H2466),-$H2466,0)</f>
        <v>0</v>
      </c>
      <c r="R2466" s="84">
        <f>IF(ISNUMBER($I2466),ABS($I2466),0)</f>
        <v>0</v>
      </c>
      <c r="S2466" s="84">
        <f>IF(ISNUMBER($M2466),ABS($M2466),0)</f>
        <v>0</v>
      </c>
      <c r="T2466" s="85" t="n">
        <v>2458</v>
      </c>
    </row>
    <row r="2467">
      <c r="B2467" s="83" t="n"/>
      <c r="C2467" s="83" t="n"/>
      <c r="D2467" s="83" t="n"/>
      <c r="E2467" s="83" t="n"/>
      <c r="F2467" s="83" t="n"/>
      <c r="G2467" s="83" t="n"/>
      <c r="H2467" s="83" t="n"/>
      <c r="I2467" s="83" t="n"/>
      <c r="J2467" s="83" t="n"/>
      <c r="K2467" s="83" t="n"/>
      <c r="L2467" s="83" t="n"/>
      <c r="M2467" s="83" t="n"/>
      <c r="O2467" s="84" t="str">
        <f>IF($C2467="","",IFERROR(MATCH($B2467&amp;"|"&amp;$C2467,MUROS!$AX$11:$AX$70,0),0))</f>
        <v/>
      </c>
      <c r="P2467" s="84" t="str">
        <f>IF($D2467="","",IF(ISNUMBER(MATCH($D2467,CMB_S,0)),1,IF(ISNUMBER(MATCH($D2467,CMB_G,0)),2,0)))</f>
        <v/>
      </c>
      <c r="Q2467" s="84">
        <f>IF(ISNUMBER($H2467),-$H2467,0)</f>
        <v>0</v>
      </c>
      <c r="R2467" s="84">
        <f>IF(ISNUMBER($I2467),ABS($I2467),0)</f>
        <v>0</v>
      </c>
      <c r="S2467" s="84">
        <f>IF(ISNUMBER($M2467),ABS($M2467),0)</f>
        <v>0</v>
      </c>
      <c r="T2467" s="85" t="n">
        <v>2459</v>
      </c>
    </row>
    <row r="2468">
      <c r="B2468" s="83" t="n"/>
      <c r="C2468" s="83" t="n"/>
      <c r="D2468" s="83" t="n"/>
      <c r="E2468" s="83" t="n"/>
      <c r="F2468" s="83" t="n"/>
      <c r="G2468" s="83" t="n"/>
      <c r="H2468" s="83" t="n"/>
      <c r="I2468" s="83" t="n"/>
      <c r="J2468" s="83" t="n"/>
      <c r="K2468" s="83" t="n"/>
      <c r="L2468" s="83" t="n"/>
      <c r="M2468" s="83" t="n"/>
      <c r="O2468" s="84" t="str">
        <f>IF($C2468="","",IFERROR(MATCH($B2468&amp;"|"&amp;$C2468,MUROS!$AX$11:$AX$70,0),0))</f>
        <v/>
      </c>
      <c r="P2468" s="84" t="str">
        <f>IF($D2468="","",IF(ISNUMBER(MATCH($D2468,CMB_S,0)),1,IF(ISNUMBER(MATCH($D2468,CMB_G,0)),2,0)))</f>
        <v/>
      </c>
      <c r="Q2468" s="84">
        <f>IF(ISNUMBER($H2468),-$H2468,0)</f>
        <v>0</v>
      </c>
      <c r="R2468" s="84">
        <f>IF(ISNUMBER($I2468),ABS($I2468),0)</f>
        <v>0</v>
      </c>
      <c r="S2468" s="84">
        <f>IF(ISNUMBER($M2468),ABS($M2468),0)</f>
        <v>0</v>
      </c>
      <c r="T2468" s="85" t="n">
        <v>2460</v>
      </c>
    </row>
    <row r="2469">
      <c r="B2469" s="83" t="n"/>
      <c r="C2469" s="83" t="n"/>
      <c r="D2469" s="83" t="n"/>
      <c r="E2469" s="83" t="n"/>
      <c r="F2469" s="83" t="n"/>
      <c r="G2469" s="83" t="n"/>
      <c r="H2469" s="83" t="n"/>
      <c r="I2469" s="83" t="n"/>
      <c r="J2469" s="83" t="n"/>
      <c r="K2469" s="83" t="n"/>
      <c r="L2469" s="83" t="n"/>
      <c r="M2469" s="83" t="n"/>
      <c r="O2469" s="84" t="str">
        <f>IF($C2469="","",IFERROR(MATCH($B2469&amp;"|"&amp;$C2469,MUROS!$AX$11:$AX$70,0),0))</f>
        <v/>
      </c>
      <c r="P2469" s="84" t="str">
        <f>IF($D2469="","",IF(ISNUMBER(MATCH($D2469,CMB_S,0)),1,IF(ISNUMBER(MATCH($D2469,CMB_G,0)),2,0)))</f>
        <v/>
      </c>
      <c r="Q2469" s="84">
        <f>IF(ISNUMBER($H2469),-$H2469,0)</f>
        <v>0</v>
      </c>
      <c r="R2469" s="84">
        <f>IF(ISNUMBER($I2469),ABS($I2469),0)</f>
        <v>0</v>
      </c>
      <c r="S2469" s="84">
        <f>IF(ISNUMBER($M2469),ABS($M2469),0)</f>
        <v>0</v>
      </c>
      <c r="T2469" s="85" t="n">
        <v>2461</v>
      </c>
    </row>
    <row r="2470">
      <c r="B2470" s="83" t="n"/>
      <c r="C2470" s="83" t="n"/>
      <c r="D2470" s="83" t="n"/>
      <c r="E2470" s="83" t="n"/>
      <c r="F2470" s="83" t="n"/>
      <c r="G2470" s="83" t="n"/>
      <c r="H2470" s="83" t="n"/>
      <c r="I2470" s="83" t="n"/>
      <c r="J2470" s="83" t="n"/>
      <c r="K2470" s="83" t="n"/>
      <c r="L2470" s="83" t="n"/>
      <c r="M2470" s="83" t="n"/>
      <c r="O2470" s="84" t="str">
        <f>IF($C2470="","",IFERROR(MATCH($B2470&amp;"|"&amp;$C2470,MUROS!$AX$11:$AX$70,0),0))</f>
        <v/>
      </c>
      <c r="P2470" s="84" t="str">
        <f>IF($D2470="","",IF(ISNUMBER(MATCH($D2470,CMB_S,0)),1,IF(ISNUMBER(MATCH($D2470,CMB_G,0)),2,0)))</f>
        <v/>
      </c>
      <c r="Q2470" s="84">
        <f>IF(ISNUMBER($H2470),-$H2470,0)</f>
        <v>0</v>
      </c>
      <c r="R2470" s="84">
        <f>IF(ISNUMBER($I2470),ABS($I2470),0)</f>
        <v>0</v>
      </c>
      <c r="S2470" s="84">
        <f>IF(ISNUMBER($M2470),ABS($M2470),0)</f>
        <v>0</v>
      </c>
      <c r="T2470" s="85" t="n">
        <v>2462</v>
      </c>
    </row>
    <row r="2471">
      <c r="B2471" s="83" t="n"/>
      <c r="C2471" s="83" t="n"/>
      <c r="D2471" s="83" t="n"/>
      <c r="E2471" s="83" t="n"/>
      <c r="F2471" s="83" t="n"/>
      <c r="G2471" s="83" t="n"/>
      <c r="H2471" s="83" t="n"/>
      <c r="I2471" s="83" t="n"/>
      <c r="J2471" s="83" t="n"/>
      <c r="K2471" s="83" t="n"/>
      <c r="L2471" s="83" t="n"/>
      <c r="M2471" s="83" t="n"/>
      <c r="O2471" s="84" t="str">
        <f>IF($C2471="","",IFERROR(MATCH($B2471&amp;"|"&amp;$C2471,MUROS!$AX$11:$AX$70,0),0))</f>
        <v/>
      </c>
      <c r="P2471" s="84" t="str">
        <f>IF($D2471="","",IF(ISNUMBER(MATCH($D2471,CMB_S,0)),1,IF(ISNUMBER(MATCH($D2471,CMB_G,0)),2,0)))</f>
        <v/>
      </c>
      <c r="Q2471" s="84">
        <f>IF(ISNUMBER($H2471),-$H2471,0)</f>
        <v>0</v>
      </c>
      <c r="R2471" s="84">
        <f>IF(ISNUMBER($I2471),ABS($I2471),0)</f>
        <v>0</v>
      </c>
      <c r="S2471" s="84">
        <f>IF(ISNUMBER($M2471),ABS($M2471),0)</f>
        <v>0</v>
      </c>
      <c r="T2471" s="85" t="n">
        <v>2463</v>
      </c>
    </row>
    <row r="2472">
      <c r="B2472" s="83" t="n"/>
      <c r="C2472" s="83" t="n"/>
      <c r="D2472" s="83" t="n"/>
      <c r="E2472" s="83" t="n"/>
      <c r="F2472" s="83" t="n"/>
      <c r="G2472" s="83" t="n"/>
      <c r="H2472" s="83" t="n"/>
      <c r="I2472" s="83" t="n"/>
      <c r="J2472" s="83" t="n"/>
      <c r="K2472" s="83" t="n"/>
      <c r="L2472" s="83" t="n"/>
      <c r="M2472" s="83" t="n"/>
      <c r="O2472" s="84" t="str">
        <f>IF($C2472="","",IFERROR(MATCH($B2472&amp;"|"&amp;$C2472,MUROS!$AX$11:$AX$70,0),0))</f>
        <v/>
      </c>
      <c r="P2472" s="84" t="str">
        <f>IF($D2472="","",IF(ISNUMBER(MATCH($D2472,CMB_S,0)),1,IF(ISNUMBER(MATCH($D2472,CMB_G,0)),2,0)))</f>
        <v/>
      </c>
      <c r="Q2472" s="84">
        <f>IF(ISNUMBER($H2472),-$H2472,0)</f>
        <v>0</v>
      </c>
      <c r="R2472" s="84">
        <f>IF(ISNUMBER($I2472),ABS($I2472),0)</f>
        <v>0</v>
      </c>
      <c r="S2472" s="84">
        <f>IF(ISNUMBER($M2472),ABS($M2472),0)</f>
        <v>0</v>
      </c>
      <c r="T2472" s="85" t="n">
        <v>2464</v>
      </c>
    </row>
    <row r="2473">
      <c r="B2473" s="83" t="n"/>
      <c r="C2473" s="83" t="n"/>
      <c r="D2473" s="83" t="n"/>
      <c r="E2473" s="83" t="n"/>
      <c r="F2473" s="83" t="n"/>
      <c r="G2473" s="83" t="n"/>
      <c r="H2473" s="83" t="n"/>
      <c r="I2473" s="83" t="n"/>
      <c r="J2473" s="83" t="n"/>
      <c r="K2473" s="83" t="n"/>
      <c r="L2473" s="83" t="n"/>
      <c r="M2473" s="83" t="n"/>
      <c r="O2473" s="84" t="str">
        <f>IF($C2473="","",IFERROR(MATCH($B2473&amp;"|"&amp;$C2473,MUROS!$AX$11:$AX$70,0),0))</f>
        <v/>
      </c>
      <c r="P2473" s="84" t="str">
        <f>IF($D2473="","",IF(ISNUMBER(MATCH($D2473,CMB_S,0)),1,IF(ISNUMBER(MATCH($D2473,CMB_G,0)),2,0)))</f>
        <v/>
      </c>
      <c r="Q2473" s="84">
        <f>IF(ISNUMBER($H2473),-$H2473,0)</f>
        <v>0</v>
      </c>
      <c r="R2473" s="84">
        <f>IF(ISNUMBER($I2473),ABS($I2473),0)</f>
        <v>0</v>
      </c>
      <c r="S2473" s="84">
        <f>IF(ISNUMBER($M2473),ABS($M2473),0)</f>
        <v>0</v>
      </c>
      <c r="T2473" s="85" t="n">
        <v>2465</v>
      </c>
    </row>
    <row r="2474">
      <c r="B2474" s="83" t="n"/>
      <c r="C2474" s="83" t="n"/>
      <c r="D2474" s="83" t="n"/>
      <c r="E2474" s="83" t="n"/>
      <c r="F2474" s="83" t="n"/>
      <c r="G2474" s="83" t="n"/>
      <c r="H2474" s="83" t="n"/>
      <c r="I2474" s="83" t="n"/>
      <c r="J2474" s="83" t="n"/>
      <c r="K2474" s="83" t="n"/>
      <c r="L2474" s="83" t="n"/>
      <c r="M2474" s="83" t="n"/>
      <c r="O2474" s="84" t="str">
        <f>IF($C2474="","",IFERROR(MATCH($B2474&amp;"|"&amp;$C2474,MUROS!$AX$11:$AX$70,0),0))</f>
        <v/>
      </c>
      <c r="P2474" s="84" t="str">
        <f>IF($D2474="","",IF(ISNUMBER(MATCH($D2474,CMB_S,0)),1,IF(ISNUMBER(MATCH($D2474,CMB_G,0)),2,0)))</f>
        <v/>
      </c>
      <c r="Q2474" s="84">
        <f>IF(ISNUMBER($H2474),-$H2474,0)</f>
        <v>0</v>
      </c>
      <c r="R2474" s="84">
        <f>IF(ISNUMBER($I2474),ABS($I2474),0)</f>
        <v>0</v>
      </c>
      <c r="S2474" s="84">
        <f>IF(ISNUMBER($M2474),ABS($M2474),0)</f>
        <v>0</v>
      </c>
      <c r="T2474" s="85" t="n">
        <v>2466</v>
      </c>
    </row>
    <row r="2475">
      <c r="B2475" s="83" t="n"/>
      <c r="C2475" s="83" t="n"/>
      <c r="D2475" s="83" t="n"/>
      <c r="E2475" s="83" t="n"/>
      <c r="F2475" s="83" t="n"/>
      <c r="G2475" s="83" t="n"/>
      <c r="H2475" s="83" t="n"/>
      <c r="I2475" s="83" t="n"/>
      <c r="J2475" s="83" t="n"/>
      <c r="K2475" s="83" t="n"/>
      <c r="L2475" s="83" t="n"/>
      <c r="M2475" s="83" t="n"/>
      <c r="O2475" s="84" t="str">
        <f>IF($C2475="","",IFERROR(MATCH($B2475&amp;"|"&amp;$C2475,MUROS!$AX$11:$AX$70,0),0))</f>
        <v/>
      </c>
      <c r="P2475" s="84" t="str">
        <f>IF($D2475="","",IF(ISNUMBER(MATCH($D2475,CMB_S,0)),1,IF(ISNUMBER(MATCH($D2475,CMB_G,0)),2,0)))</f>
        <v/>
      </c>
      <c r="Q2475" s="84">
        <f>IF(ISNUMBER($H2475),-$H2475,0)</f>
        <v>0</v>
      </c>
      <c r="R2475" s="84">
        <f>IF(ISNUMBER($I2475),ABS($I2475),0)</f>
        <v>0</v>
      </c>
      <c r="S2475" s="84">
        <f>IF(ISNUMBER($M2475),ABS($M2475),0)</f>
        <v>0</v>
      </c>
      <c r="T2475" s="85" t="n">
        <v>2467</v>
      </c>
    </row>
    <row r="2476">
      <c r="B2476" s="83" t="n"/>
      <c r="C2476" s="83" t="n"/>
      <c r="D2476" s="83" t="n"/>
      <c r="E2476" s="83" t="n"/>
      <c r="F2476" s="83" t="n"/>
      <c r="G2476" s="83" t="n"/>
      <c r="H2476" s="83" t="n"/>
      <c r="I2476" s="83" t="n"/>
      <c r="J2476" s="83" t="n"/>
      <c r="K2476" s="83" t="n"/>
      <c r="L2476" s="83" t="n"/>
      <c r="M2476" s="83" t="n"/>
      <c r="O2476" s="84" t="str">
        <f>IF($C2476="","",IFERROR(MATCH($B2476&amp;"|"&amp;$C2476,MUROS!$AX$11:$AX$70,0),0))</f>
        <v/>
      </c>
      <c r="P2476" s="84" t="str">
        <f>IF($D2476="","",IF(ISNUMBER(MATCH($D2476,CMB_S,0)),1,IF(ISNUMBER(MATCH($D2476,CMB_G,0)),2,0)))</f>
        <v/>
      </c>
      <c r="Q2476" s="84">
        <f>IF(ISNUMBER($H2476),-$H2476,0)</f>
        <v>0</v>
      </c>
      <c r="R2476" s="84">
        <f>IF(ISNUMBER($I2476),ABS($I2476),0)</f>
        <v>0</v>
      </c>
      <c r="S2476" s="84">
        <f>IF(ISNUMBER($M2476),ABS($M2476),0)</f>
        <v>0</v>
      </c>
      <c r="T2476" s="85" t="n">
        <v>2468</v>
      </c>
    </row>
    <row r="2477">
      <c r="B2477" s="83" t="n"/>
      <c r="C2477" s="83" t="n"/>
      <c r="D2477" s="83" t="n"/>
      <c r="E2477" s="83" t="n"/>
      <c r="F2477" s="83" t="n"/>
      <c r="G2477" s="83" t="n"/>
      <c r="H2477" s="83" t="n"/>
      <c r="I2477" s="83" t="n"/>
      <c r="J2477" s="83" t="n"/>
      <c r="K2477" s="83" t="n"/>
      <c r="L2477" s="83" t="n"/>
      <c r="M2477" s="83" t="n"/>
      <c r="O2477" s="84" t="str">
        <f>IF($C2477="","",IFERROR(MATCH($B2477&amp;"|"&amp;$C2477,MUROS!$AX$11:$AX$70,0),0))</f>
        <v/>
      </c>
      <c r="P2477" s="84" t="str">
        <f>IF($D2477="","",IF(ISNUMBER(MATCH($D2477,CMB_S,0)),1,IF(ISNUMBER(MATCH($D2477,CMB_G,0)),2,0)))</f>
        <v/>
      </c>
      <c r="Q2477" s="84">
        <f>IF(ISNUMBER($H2477),-$H2477,0)</f>
        <v>0</v>
      </c>
      <c r="R2477" s="84">
        <f>IF(ISNUMBER($I2477),ABS($I2477),0)</f>
        <v>0</v>
      </c>
      <c r="S2477" s="84">
        <f>IF(ISNUMBER($M2477),ABS($M2477),0)</f>
        <v>0</v>
      </c>
      <c r="T2477" s="85" t="n">
        <v>2469</v>
      </c>
    </row>
    <row r="2478">
      <c r="B2478" s="83" t="n"/>
      <c r="C2478" s="83" t="n"/>
      <c r="D2478" s="83" t="n"/>
      <c r="E2478" s="83" t="n"/>
      <c r="F2478" s="83" t="n"/>
      <c r="G2478" s="83" t="n"/>
      <c r="H2478" s="83" t="n"/>
      <c r="I2478" s="83" t="n"/>
      <c r="J2478" s="83" t="n"/>
      <c r="K2478" s="83" t="n"/>
      <c r="L2478" s="83" t="n"/>
      <c r="M2478" s="83" t="n"/>
      <c r="O2478" s="84" t="str">
        <f>IF($C2478="","",IFERROR(MATCH($B2478&amp;"|"&amp;$C2478,MUROS!$AX$11:$AX$70,0),0))</f>
        <v/>
      </c>
      <c r="P2478" s="84" t="str">
        <f>IF($D2478="","",IF(ISNUMBER(MATCH($D2478,CMB_S,0)),1,IF(ISNUMBER(MATCH($D2478,CMB_G,0)),2,0)))</f>
        <v/>
      </c>
      <c r="Q2478" s="84">
        <f>IF(ISNUMBER($H2478),-$H2478,0)</f>
        <v>0</v>
      </c>
      <c r="R2478" s="84">
        <f>IF(ISNUMBER($I2478),ABS($I2478),0)</f>
        <v>0</v>
      </c>
      <c r="S2478" s="84">
        <f>IF(ISNUMBER($M2478),ABS($M2478),0)</f>
        <v>0</v>
      </c>
      <c r="T2478" s="85" t="n">
        <v>2470</v>
      </c>
    </row>
    <row r="2479">
      <c r="B2479" s="83" t="n"/>
      <c r="C2479" s="83" t="n"/>
      <c r="D2479" s="83" t="n"/>
      <c r="E2479" s="83" t="n"/>
      <c r="F2479" s="83" t="n"/>
      <c r="G2479" s="83" t="n"/>
      <c r="H2479" s="83" t="n"/>
      <c r="I2479" s="83" t="n"/>
      <c r="J2479" s="83" t="n"/>
      <c r="K2479" s="83" t="n"/>
      <c r="L2479" s="83" t="n"/>
      <c r="M2479" s="83" t="n"/>
      <c r="O2479" s="84" t="str">
        <f>IF($C2479="","",IFERROR(MATCH($B2479&amp;"|"&amp;$C2479,MUROS!$AX$11:$AX$70,0),0))</f>
        <v/>
      </c>
      <c r="P2479" s="84" t="str">
        <f>IF($D2479="","",IF(ISNUMBER(MATCH($D2479,CMB_S,0)),1,IF(ISNUMBER(MATCH($D2479,CMB_G,0)),2,0)))</f>
        <v/>
      </c>
      <c r="Q2479" s="84">
        <f>IF(ISNUMBER($H2479),-$H2479,0)</f>
        <v>0</v>
      </c>
      <c r="R2479" s="84">
        <f>IF(ISNUMBER($I2479),ABS($I2479),0)</f>
        <v>0</v>
      </c>
      <c r="S2479" s="84">
        <f>IF(ISNUMBER($M2479),ABS($M2479),0)</f>
        <v>0</v>
      </c>
      <c r="T2479" s="85" t="n">
        <v>2471</v>
      </c>
    </row>
    <row r="2480">
      <c r="B2480" s="83" t="n"/>
      <c r="C2480" s="83" t="n"/>
      <c r="D2480" s="83" t="n"/>
      <c r="E2480" s="83" t="n"/>
      <c r="F2480" s="83" t="n"/>
      <c r="G2480" s="83" t="n"/>
      <c r="H2480" s="83" t="n"/>
      <c r="I2480" s="83" t="n"/>
      <c r="J2480" s="83" t="n"/>
      <c r="K2480" s="83" t="n"/>
      <c r="L2480" s="83" t="n"/>
      <c r="M2480" s="83" t="n"/>
      <c r="O2480" s="84" t="str">
        <f>IF($C2480="","",IFERROR(MATCH($B2480&amp;"|"&amp;$C2480,MUROS!$AX$11:$AX$70,0),0))</f>
        <v/>
      </c>
      <c r="P2480" s="84" t="str">
        <f>IF($D2480="","",IF(ISNUMBER(MATCH($D2480,CMB_S,0)),1,IF(ISNUMBER(MATCH($D2480,CMB_G,0)),2,0)))</f>
        <v/>
      </c>
      <c r="Q2480" s="84">
        <f>IF(ISNUMBER($H2480),-$H2480,0)</f>
        <v>0</v>
      </c>
      <c r="R2480" s="84">
        <f>IF(ISNUMBER($I2480),ABS($I2480),0)</f>
        <v>0</v>
      </c>
      <c r="S2480" s="84">
        <f>IF(ISNUMBER($M2480),ABS($M2480),0)</f>
        <v>0</v>
      </c>
      <c r="T2480" s="85" t="n">
        <v>2472</v>
      </c>
    </row>
    <row r="2481">
      <c r="B2481" s="83" t="n"/>
      <c r="C2481" s="83" t="n"/>
      <c r="D2481" s="83" t="n"/>
      <c r="E2481" s="83" t="n"/>
      <c r="F2481" s="83" t="n"/>
      <c r="G2481" s="83" t="n"/>
      <c r="H2481" s="83" t="n"/>
      <c r="I2481" s="83" t="n"/>
      <c r="J2481" s="83" t="n"/>
      <c r="K2481" s="83" t="n"/>
      <c r="L2481" s="83" t="n"/>
      <c r="M2481" s="83" t="n"/>
      <c r="O2481" s="84" t="str">
        <f>IF($C2481="","",IFERROR(MATCH($B2481&amp;"|"&amp;$C2481,MUROS!$AX$11:$AX$70,0),0))</f>
        <v/>
      </c>
      <c r="P2481" s="84" t="str">
        <f>IF($D2481="","",IF(ISNUMBER(MATCH($D2481,CMB_S,0)),1,IF(ISNUMBER(MATCH($D2481,CMB_G,0)),2,0)))</f>
        <v/>
      </c>
      <c r="Q2481" s="84">
        <f>IF(ISNUMBER($H2481),-$H2481,0)</f>
        <v>0</v>
      </c>
      <c r="R2481" s="84">
        <f>IF(ISNUMBER($I2481),ABS($I2481),0)</f>
        <v>0</v>
      </c>
      <c r="S2481" s="84">
        <f>IF(ISNUMBER($M2481),ABS($M2481),0)</f>
        <v>0</v>
      </c>
      <c r="T2481" s="85" t="n">
        <v>2473</v>
      </c>
    </row>
    <row r="2482">
      <c r="B2482" s="83" t="n"/>
      <c r="C2482" s="83" t="n"/>
      <c r="D2482" s="83" t="n"/>
      <c r="E2482" s="83" t="n"/>
      <c r="F2482" s="83" t="n"/>
      <c r="G2482" s="83" t="n"/>
      <c r="H2482" s="83" t="n"/>
      <c r="I2482" s="83" t="n"/>
      <c r="J2482" s="83" t="n"/>
      <c r="K2482" s="83" t="n"/>
      <c r="L2482" s="83" t="n"/>
      <c r="M2482" s="83" t="n"/>
      <c r="O2482" s="84" t="str">
        <f>IF($C2482="","",IFERROR(MATCH($B2482&amp;"|"&amp;$C2482,MUROS!$AX$11:$AX$70,0),0))</f>
        <v/>
      </c>
      <c r="P2482" s="84" t="str">
        <f>IF($D2482="","",IF(ISNUMBER(MATCH($D2482,CMB_S,0)),1,IF(ISNUMBER(MATCH($D2482,CMB_G,0)),2,0)))</f>
        <v/>
      </c>
      <c r="Q2482" s="84">
        <f>IF(ISNUMBER($H2482),-$H2482,0)</f>
        <v>0</v>
      </c>
      <c r="R2482" s="84">
        <f>IF(ISNUMBER($I2482),ABS($I2482),0)</f>
        <v>0</v>
      </c>
      <c r="S2482" s="84">
        <f>IF(ISNUMBER($M2482),ABS($M2482),0)</f>
        <v>0</v>
      </c>
      <c r="T2482" s="85" t="n">
        <v>2474</v>
      </c>
    </row>
    <row r="2483">
      <c r="B2483" s="83" t="n"/>
      <c r="C2483" s="83" t="n"/>
      <c r="D2483" s="83" t="n"/>
      <c r="E2483" s="83" t="n"/>
      <c r="F2483" s="83" t="n"/>
      <c r="G2483" s="83" t="n"/>
      <c r="H2483" s="83" t="n"/>
      <c r="I2483" s="83" t="n"/>
      <c r="J2483" s="83" t="n"/>
      <c r="K2483" s="83" t="n"/>
      <c r="L2483" s="83" t="n"/>
      <c r="M2483" s="83" t="n"/>
      <c r="O2483" s="84" t="str">
        <f>IF($C2483="","",IFERROR(MATCH($B2483&amp;"|"&amp;$C2483,MUROS!$AX$11:$AX$70,0),0))</f>
        <v/>
      </c>
      <c r="P2483" s="84" t="str">
        <f>IF($D2483="","",IF(ISNUMBER(MATCH($D2483,CMB_S,0)),1,IF(ISNUMBER(MATCH($D2483,CMB_G,0)),2,0)))</f>
        <v/>
      </c>
      <c r="Q2483" s="84">
        <f>IF(ISNUMBER($H2483),-$H2483,0)</f>
        <v>0</v>
      </c>
      <c r="R2483" s="84">
        <f>IF(ISNUMBER($I2483),ABS($I2483),0)</f>
        <v>0</v>
      </c>
      <c r="S2483" s="84">
        <f>IF(ISNUMBER($M2483),ABS($M2483),0)</f>
        <v>0</v>
      </c>
      <c r="T2483" s="85" t="n">
        <v>2475</v>
      </c>
    </row>
    <row r="2484">
      <c r="B2484" s="83" t="n"/>
      <c r="C2484" s="83" t="n"/>
      <c r="D2484" s="83" t="n"/>
      <c r="E2484" s="83" t="n"/>
      <c r="F2484" s="83" t="n"/>
      <c r="G2484" s="83" t="n"/>
      <c r="H2484" s="83" t="n"/>
      <c r="I2484" s="83" t="n"/>
      <c r="J2484" s="83" t="n"/>
      <c r="K2484" s="83" t="n"/>
      <c r="L2484" s="83" t="n"/>
      <c r="M2484" s="83" t="n"/>
      <c r="O2484" s="84" t="str">
        <f>IF($C2484="","",IFERROR(MATCH($B2484&amp;"|"&amp;$C2484,MUROS!$AX$11:$AX$70,0),0))</f>
        <v/>
      </c>
      <c r="P2484" s="84" t="str">
        <f>IF($D2484="","",IF(ISNUMBER(MATCH($D2484,CMB_S,0)),1,IF(ISNUMBER(MATCH($D2484,CMB_G,0)),2,0)))</f>
        <v/>
      </c>
      <c r="Q2484" s="84">
        <f>IF(ISNUMBER($H2484),-$H2484,0)</f>
        <v>0</v>
      </c>
      <c r="R2484" s="84">
        <f>IF(ISNUMBER($I2484),ABS($I2484),0)</f>
        <v>0</v>
      </c>
      <c r="S2484" s="84">
        <f>IF(ISNUMBER($M2484),ABS($M2484),0)</f>
        <v>0</v>
      </c>
      <c r="T2484" s="85" t="n">
        <v>2476</v>
      </c>
    </row>
    <row r="2485">
      <c r="B2485" s="83" t="n"/>
      <c r="C2485" s="83" t="n"/>
      <c r="D2485" s="83" t="n"/>
      <c r="E2485" s="83" t="n"/>
      <c r="F2485" s="83" t="n"/>
      <c r="G2485" s="83" t="n"/>
      <c r="H2485" s="83" t="n"/>
      <c r="I2485" s="83" t="n"/>
      <c r="J2485" s="83" t="n"/>
      <c r="K2485" s="83" t="n"/>
      <c r="L2485" s="83" t="n"/>
      <c r="M2485" s="83" t="n"/>
      <c r="O2485" s="84" t="str">
        <f>IF($C2485="","",IFERROR(MATCH($B2485&amp;"|"&amp;$C2485,MUROS!$AX$11:$AX$70,0),0))</f>
        <v/>
      </c>
      <c r="P2485" s="84" t="str">
        <f>IF($D2485="","",IF(ISNUMBER(MATCH($D2485,CMB_S,0)),1,IF(ISNUMBER(MATCH($D2485,CMB_G,0)),2,0)))</f>
        <v/>
      </c>
      <c r="Q2485" s="84">
        <f>IF(ISNUMBER($H2485),-$H2485,0)</f>
        <v>0</v>
      </c>
      <c r="R2485" s="84">
        <f>IF(ISNUMBER($I2485),ABS($I2485),0)</f>
        <v>0</v>
      </c>
      <c r="S2485" s="84">
        <f>IF(ISNUMBER($M2485),ABS($M2485),0)</f>
        <v>0</v>
      </c>
      <c r="T2485" s="85" t="n">
        <v>2477</v>
      </c>
    </row>
    <row r="2486">
      <c r="B2486" s="83" t="n"/>
      <c r="C2486" s="83" t="n"/>
      <c r="D2486" s="83" t="n"/>
      <c r="E2486" s="83" t="n"/>
      <c r="F2486" s="83" t="n"/>
      <c r="G2486" s="83" t="n"/>
      <c r="H2486" s="83" t="n"/>
      <c r="I2486" s="83" t="n"/>
      <c r="J2486" s="83" t="n"/>
      <c r="K2486" s="83" t="n"/>
      <c r="L2486" s="83" t="n"/>
      <c r="M2486" s="83" t="n"/>
      <c r="O2486" s="84" t="str">
        <f>IF($C2486="","",IFERROR(MATCH($B2486&amp;"|"&amp;$C2486,MUROS!$AX$11:$AX$70,0),0))</f>
        <v/>
      </c>
      <c r="P2486" s="84" t="str">
        <f>IF($D2486="","",IF(ISNUMBER(MATCH($D2486,CMB_S,0)),1,IF(ISNUMBER(MATCH($D2486,CMB_G,0)),2,0)))</f>
        <v/>
      </c>
      <c r="Q2486" s="84">
        <f>IF(ISNUMBER($H2486),-$H2486,0)</f>
        <v>0</v>
      </c>
      <c r="R2486" s="84">
        <f>IF(ISNUMBER($I2486),ABS($I2486),0)</f>
        <v>0</v>
      </c>
      <c r="S2486" s="84">
        <f>IF(ISNUMBER($M2486),ABS($M2486),0)</f>
        <v>0</v>
      </c>
      <c r="T2486" s="85" t="n">
        <v>2478</v>
      </c>
    </row>
    <row r="2487">
      <c r="B2487" s="83" t="n"/>
      <c r="C2487" s="83" t="n"/>
      <c r="D2487" s="83" t="n"/>
      <c r="E2487" s="83" t="n"/>
      <c r="F2487" s="83" t="n"/>
      <c r="G2487" s="83" t="n"/>
      <c r="H2487" s="83" t="n"/>
      <c r="I2487" s="83" t="n"/>
      <c r="J2487" s="83" t="n"/>
      <c r="K2487" s="83" t="n"/>
      <c r="L2487" s="83" t="n"/>
      <c r="M2487" s="83" t="n"/>
      <c r="O2487" s="84" t="str">
        <f>IF($C2487="","",IFERROR(MATCH($B2487&amp;"|"&amp;$C2487,MUROS!$AX$11:$AX$70,0),0))</f>
        <v/>
      </c>
      <c r="P2487" s="84" t="str">
        <f>IF($D2487="","",IF(ISNUMBER(MATCH($D2487,CMB_S,0)),1,IF(ISNUMBER(MATCH($D2487,CMB_G,0)),2,0)))</f>
        <v/>
      </c>
      <c r="Q2487" s="84">
        <f>IF(ISNUMBER($H2487),-$H2487,0)</f>
        <v>0</v>
      </c>
      <c r="R2487" s="84">
        <f>IF(ISNUMBER($I2487),ABS($I2487),0)</f>
        <v>0</v>
      </c>
      <c r="S2487" s="84">
        <f>IF(ISNUMBER($M2487),ABS($M2487),0)</f>
        <v>0</v>
      </c>
      <c r="T2487" s="85" t="n">
        <v>2479</v>
      </c>
    </row>
    <row r="2488">
      <c r="B2488" s="83" t="n"/>
      <c r="C2488" s="83" t="n"/>
      <c r="D2488" s="83" t="n"/>
      <c r="E2488" s="83" t="n"/>
      <c r="F2488" s="83" t="n"/>
      <c r="G2488" s="83" t="n"/>
      <c r="H2488" s="83" t="n"/>
      <c r="I2488" s="83" t="n"/>
      <c r="J2488" s="83" t="n"/>
      <c r="K2488" s="83" t="n"/>
      <c r="L2488" s="83" t="n"/>
      <c r="M2488" s="83" t="n"/>
      <c r="O2488" s="84" t="str">
        <f>IF($C2488="","",IFERROR(MATCH($B2488&amp;"|"&amp;$C2488,MUROS!$AX$11:$AX$70,0),0))</f>
        <v/>
      </c>
      <c r="P2488" s="84" t="str">
        <f>IF($D2488="","",IF(ISNUMBER(MATCH($D2488,CMB_S,0)),1,IF(ISNUMBER(MATCH($D2488,CMB_G,0)),2,0)))</f>
        <v/>
      </c>
      <c r="Q2488" s="84">
        <f>IF(ISNUMBER($H2488),-$H2488,0)</f>
        <v>0</v>
      </c>
      <c r="R2488" s="84">
        <f>IF(ISNUMBER($I2488),ABS($I2488),0)</f>
        <v>0</v>
      </c>
      <c r="S2488" s="84">
        <f>IF(ISNUMBER($M2488),ABS($M2488),0)</f>
        <v>0</v>
      </c>
      <c r="T2488" s="85" t="n">
        <v>2480</v>
      </c>
    </row>
    <row r="2489">
      <c r="B2489" s="83" t="n"/>
      <c r="C2489" s="83" t="n"/>
      <c r="D2489" s="83" t="n"/>
      <c r="E2489" s="83" t="n"/>
      <c r="F2489" s="83" t="n"/>
      <c r="G2489" s="83" t="n"/>
      <c r="H2489" s="83" t="n"/>
      <c r="I2489" s="83" t="n"/>
      <c r="J2489" s="83" t="n"/>
      <c r="K2489" s="83" t="n"/>
      <c r="L2489" s="83" t="n"/>
      <c r="M2489" s="83" t="n"/>
      <c r="O2489" s="84" t="str">
        <f>IF($C2489="","",IFERROR(MATCH($B2489&amp;"|"&amp;$C2489,MUROS!$AX$11:$AX$70,0),0))</f>
        <v/>
      </c>
      <c r="P2489" s="84" t="str">
        <f>IF($D2489="","",IF(ISNUMBER(MATCH($D2489,CMB_S,0)),1,IF(ISNUMBER(MATCH($D2489,CMB_G,0)),2,0)))</f>
        <v/>
      </c>
      <c r="Q2489" s="84">
        <f>IF(ISNUMBER($H2489),-$H2489,0)</f>
        <v>0</v>
      </c>
      <c r="R2489" s="84">
        <f>IF(ISNUMBER($I2489),ABS($I2489),0)</f>
        <v>0</v>
      </c>
      <c r="S2489" s="84">
        <f>IF(ISNUMBER($M2489),ABS($M2489),0)</f>
        <v>0</v>
      </c>
      <c r="T2489" s="85" t="n">
        <v>2481</v>
      </c>
    </row>
    <row r="2490">
      <c r="B2490" s="83" t="n"/>
      <c r="C2490" s="83" t="n"/>
      <c r="D2490" s="83" t="n"/>
      <c r="E2490" s="83" t="n"/>
      <c r="F2490" s="83" t="n"/>
      <c r="G2490" s="83" t="n"/>
      <c r="H2490" s="83" t="n"/>
      <c r="I2490" s="83" t="n"/>
      <c r="J2490" s="83" t="n"/>
      <c r="K2490" s="83" t="n"/>
      <c r="L2490" s="83" t="n"/>
      <c r="M2490" s="83" t="n"/>
      <c r="O2490" s="84" t="str">
        <f>IF($C2490="","",IFERROR(MATCH($B2490&amp;"|"&amp;$C2490,MUROS!$AX$11:$AX$70,0),0))</f>
        <v/>
      </c>
      <c r="P2490" s="84" t="str">
        <f>IF($D2490="","",IF(ISNUMBER(MATCH($D2490,CMB_S,0)),1,IF(ISNUMBER(MATCH($D2490,CMB_G,0)),2,0)))</f>
        <v/>
      </c>
      <c r="Q2490" s="84">
        <f>IF(ISNUMBER($H2490),-$H2490,0)</f>
        <v>0</v>
      </c>
      <c r="R2490" s="84">
        <f>IF(ISNUMBER($I2490),ABS($I2490),0)</f>
        <v>0</v>
      </c>
      <c r="S2490" s="84">
        <f>IF(ISNUMBER($M2490),ABS($M2490),0)</f>
        <v>0</v>
      </c>
      <c r="T2490" s="85" t="n">
        <v>2482</v>
      </c>
    </row>
    <row r="2491">
      <c r="B2491" s="83" t="n"/>
      <c r="C2491" s="83" t="n"/>
      <c r="D2491" s="83" t="n"/>
      <c r="E2491" s="83" t="n"/>
      <c r="F2491" s="83" t="n"/>
      <c r="G2491" s="83" t="n"/>
      <c r="H2491" s="83" t="n"/>
      <c r="I2491" s="83" t="n"/>
      <c r="J2491" s="83" t="n"/>
      <c r="K2491" s="83" t="n"/>
      <c r="L2491" s="83" t="n"/>
      <c r="M2491" s="83" t="n"/>
      <c r="O2491" s="84" t="str">
        <f>IF($C2491="","",IFERROR(MATCH($B2491&amp;"|"&amp;$C2491,MUROS!$AX$11:$AX$70,0),0))</f>
        <v/>
      </c>
      <c r="P2491" s="84" t="str">
        <f>IF($D2491="","",IF(ISNUMBER(MATCH($D2491,CMB_S,0)),1,IF(ISNUMBER(MATCH($D2491,CMB_G,0)),2,0)))</f>
        <v/>
      </c>
      <c r="Q2491" s="84">
        <f>IF(ISNUMBER($H2491),-$H2491,0)</f>
        <v>0</v>
      </c>
      <c r="R2491" s="84">
        <f>IF(ISNUMBER($I2491),ABS($I2491),0)</f>
        <v>0</v>
      </c>
      <c r="S2491" s="84">
        <f>IF(ISNUMBER($M2491),ABS($M2491),0)</f>
        <v>0</v>
      </c>
      <c r="T2491" s="85" t="n">
        <v>2483</v>
      </c>
    </row>
    <row r="2492">
      <c r="B2492" s="83" t="n"/>
      <c r="C2492" s="83" t="n"/>
      <c r="D2492" s="83" t="n"/>
      <c r="E2492" s="83" t="n"/>
      <c r="F2492" s="83" t="n"/>
      <c r="G2492" s="83" t="n"/>
      <c r="H2492" s="83" t="n"/>
      <c r="I2492" s="83" t="n"/>
      <c r="J2492" s="83" t="n"/>
      <c r="K2492" s="83" t="n"/>
      <c r="L2492" s="83" t="n"/>
      <c r="M2492" s="83" t="n"/>
      <c r="O2492" s="84" t="str">
        <f>IF($C2492="","",IFERROR(MATCH($B2492&amp;"|"&amp;$C2492,MUROS!$AX$11:$AX$70,0),0))</f>
        <v/>
      </c>
      <c r="P2492" s="84" t="str">
        <f>IF($D2492="","",IF(ISNUMBER(MATCH($D2492,CMB_S,0)),1,IF(ISNUMBER(MATCH($D2492,CMB_G,0)),2,0)))</f>
        <v/>
      </c>
      <c r="Q2492" s="84">
        <f>IF(ISNUMBER($H2492),-$H2492,0)</f>
        <v>0</v>
      </c>
      <c r="R2492" s="84">
        <f>IF(ISNUMBER($I2492),ABS($I2492),0)</f>
        <v>0</v>
      </c>
      <c r="S2492" s="84">
        <f>IF(ISNUMBER($M2492),ABS($M2492),0)</f>
        <v>0</v>
      </c>
      <c r="T2492" s="85" t="n">
        <v>2484</v>
      </c>
    </row>
    <row r="2493">
      <c r="B2493" s="83" t="n"/>
      <c r="C2493" s="83" t="n"/>
      <c r="D2493" s="83" t="n"/>
      <c r="E2493" s="83" t="n"/>
      <c r="F2493" s="83" t="n"/>
      <c r="G2493" s="83" t="n"/>
      <c r="H2493" s="83" t="n"/>
      <c r="I2493" s="83" t="n"/>
      <c r="J2493" s="83" t="n"/>
      <c r="K2493" s="83" t="n"/>
      <c r="L2493" s="83" t="n"/>
      <c r="M2493" s="83" t="n"/>
      <c r="O2493" s="84" t="str">
        <f>IF($C2493="","",IFERROR(MATCH($B2493&amp;"|"&amp;$C2493,MUROS!$AX$11:$AX$70,0),0))</f>
        <v/>
      </c>
      <c r="P2493" s="84" t="str">
        <f>IF($D2493="","",IF(ISNUMBER(MATCH($D2493,CMB_S,0)),1,IF(ISNUMBER(MATCH($D2493,CMB_G,0)),2,0)))</f>
        <v/>
      </c>
      <c r="Q2493" s="84">
        <f>IF(ISNUMBER($H2493),-$H2493,0)</f>
        <v>0</v>
      </c>
      <c r="R2493" s="84">
        <f>IF(ISNUMBER($I2493),ABS($I2493),0)</f>
        <v>0</v>
      </c>
      <c r="S2493" s="84">
        <f>IF(ISNUMBER($M2493),ABS($M2493),0)</f>
        <v>0</v>
      </c>
      <c r="T2493" s="85" t="n">
        <v>2485</v>
      </c>
    </row>
    <row r="2494">
      <c r="B2494" s="83" t="n"/>
      <c r="C2494" s="83" t="n"/>
      <c r="D2494" s="83" t="n"/>
      <c r="E2494" s="83" t="n"/>
      <c r="F2494" s="83" t="n"/>
      <c r="G2494" s="83" t="n"/>
      <c r="H2494" s="83" t="n"/>
      <c r="I2494" s="83" t="n"/>
      <c r="J2494" s="83" t="n"/>
      <c r="K2494" s="83" t="n"/>
      <c r="L2494" s="83" t="n"/>
      <c r="M2494" s="83" t="n"/>
      <c r="O2494" s="84" t="str">
        <f>IF($C2494="","",IFERROR(MATCH($B2494&amp;"|"&amp;$C2494,MUROS!$AX$11:$AX$70,0),0))</f>
        <v/>
      </c>
      <c r="P2494" s="84" t="str">
        <f>IF($D2494="","",IF(ISNUMBER(MATCH($D2494,CMB_S,0)),1,IF(ISNUMBER(MATCH($D2494,CMB_G,0)),2,0)))</f>
        <v/>
      </c>
      <c r="Q2494" s="84">
        <f>IF(ISNUMBER($H2494),-$H2494,0)</f>
        <v>0</v>
      </c>
      <c r="R2494" s="84">
        <f>IF(ISNUMBER($I2494),ABS($I2494),0)</f>
        <v>0</v>
      </c>
      <c r="S2494" s="84">
        <f>IF(ISNUMBER($M2494),ABS($M2494),0)</f>
        <v>0</v>
      </c>
      <c r="T2494" s="85" t="n">
        <v>2486</v>
      </c>
    </row>
    <row r="2495">
      <c r="B2495" s="83" t="n"/>
      <c r="C2495" s="83" t="n"/>
      <c r="D2495" s="83" t="n"/>
      <c r="E2495" s="83" t="n"/>
      <c r="F2495" s="83" t="n"/>
      <c r="G2495" s="83" t="n"/>
      <c r="H2495" s="83" t="n"/>
      <c r="I2495" s="83" t="n"/>
      <c r="J2495" s="83" t="n"/>
      <c r="K2495" s="83" t="n"/>
      <c r="L2495" s="83" t="n"/>
      <c r="M2495" s="83" t="n"/>
      <c r="O2495" s="84" t="str">
        <f>IF($C2495="","",IFERROR(MATCH($B2495&amp;"|"&amp;$C2495,MUROS!$AX$11:$AX$70,0),0))</f>
        <v/>
      </c>
      <c r="P2495" s="84" t="str">
        <f>IF($D2495="","",IF(ISNUMBER(MATCH($D2495,CMB_S,0)),1,IF(ISNUMBER(MATCH($D2495,CMB_G,0)),2,0)))</f>
        <v/>
      </c>
      <c r="Q2495" s="84">
        <f>IF(ISNUMBER($H2495),-$H2495,0)</f>
        <v>0</v>
      </c>
      <c r="R2495" s="84">
        <f>IF(ISNUMBER($I2495),ABS($I2495),0)</f>
        <v>0</v>
      </c>
      <c r="S2495" s="84">
        <f>IF(ISNUMBER($M2495),ABS($M2495),0)</f>
        <v>0</v>
      </c>
      <c r="T2495" s="85" t="n">
        <v>2487</v>
      </c>
    </row>
    <row r="2496">
      <c r="B2496" s="83" t="n"/>
      <c r="C2496" s="83" t="n"/>
      <c r="D2496" s="83" t="n"/>
      <c r="E2496" s="83" t="n"/>
      <c r="F2496" s="83" t="n"/>
      <c r="G2496" s="83" t="n"/>
      <c r="H2496" s="83" t="n"/>
      <c r="I2496" s="83" t="n"/>
      <c r="J2496" s="83" t="n"/>
      <c r="K2496" s="83" t="n"/>
      <c r="L2496" s="83" t="n"/>
      <c r="M2496" s="83" t="n"/>
      <c r="O2496" s="84" t="str">
        <f>IF($C2496="","",IFERROR(MATCH($B2496&amp;"|"&amp;$C2496,MUROS!$AX$11:$AX$70,0),0))</f>
        <v/>
      </c>
      <c r="P2496" s="84" t="str">
        <f>IF($D2496="","",IF(ISNUMBER(MATCH($D2496,CMB_S,0)),1,IF(ISNUMBER(MATCH($D2496,CMB_G,0)),2,0)))</f>
        <v/>
      </c>
      <c r="Q2496" s="84">
        <f>IF(ISNUMBER($H2496),-$H2496,0)</f>
        <v>0</v>
      </c>
      <c r="R2496" s="84">
        <f>IF(ISNUMBER($I2496),ABS($I2496),0)</f>
        <v>0</v>
      </c>
      <c r="S2496" s="84">
        <f>IF(ISNUMBER($M2496),ABS($M2496),0)</f>
        <v>0</v>
      </c>
      <c r="T2496" s="85" t="n">
        <v>2488</v>
      </c>
    </row>
    <row r="2497">
      <c r="B2497" s="83" t="n"/>
      <c r="C2497" s="83" t="n"/>
      <c r="D2497" s="83" t="n"/>
      <c r="E2497" s="83" t="n"/>
      <c r="F2497" s="83" t="n"/>
      <c r="G2497" s="83" t="n"/>
      <c r="H2497" s="83" t="n"/>
      <c r="I2497" s="83" t="n"/>
      <c r="J2497" s="83" t="n"/>
      <c r="K2497" s="83" t="n"/>
      <c r="L2497" s="83" t="n"/>
      <c r="M2497" s="83" t="n"/>
      <c r="O2497" s="84" t="str">
        <f>IF($C2497="","",IFERROR(MATCH($B2497&amp;"|"&amp;$C2497,MUROS!$AX$11:$AX$70,0),0))</f>
        <v/>
      </c>
      <c r="P2497" s="84" t="str">
        <f>IF($D2497="","",IF(ISNUMBER(MATCH($D2497,CMB_S,0)),1,IF(ISNUMBER(MATCH($D2497,CMB_G,0)),2,0)))</f>
        <v/>
      </c>
      <c r="Q2497" s="84">
        <f>IF(ISNUMBER($H2497),-$H2497,0)</f>
        <v>0</v>
      </c>
      <c r="R2497" s="84">
        <f>IF(ISNUMBER($I2497),ABS($I2497),0)</f>
        <v>0</v>
      </c>
      <c r="S2497" s="84">
        <f>IF(ISNUMBER($M2497),ABS($M2497),0)</f>
        <v>0</v>
      </c>
      <c r="T2497" s="85" t="n">
        <v>2489</v>
      </c>
    </row>
    <row r="2498">
      <c r="B2498" s="83" t="n"/>
      <c r="C2498" s="83" t="n"/>
      <c r="D2498" s="83" t="n"/>
      <c r="E2498" s="83" t="n"/>
      <c r="F2498" s="83" t="n"/>
      <c r="G2498" s="83" t="n"/>
      <c r="H2498" s="83" t="n"/>
      <c r="I2498" s="83" t="n"/>
      <c r="J2498" s="83" t="n"/>
      <c r="K2498" s="83" t="n"/>
      <c r="L2498" s="83" t="n"/>
      <c r="M2498" s="83" t="n"/>
      <c r="O2498" s="84" t="str">
        <f>IF($C2498="","",IFERROR(MATCH($B2498&amp;"|"&amp;$C2498,MUROS!$AX$11:$AX$70,0),0))</f>
        <v/>
      </c>
      <c r="P2498" s="84" t="str">
        <f>IF($D2498="","",IF(ISNUMBER(MATCH($D2498,CMB_S,0)),1,IF(ISNUMBER(MATCH($D2498,CMB_G,0)),2,0)))</f>
        <v/>
      </c>
      <c r="Q2498" s="84">
        <f>IF(ISNUMBER($H2498),-$H2498,0)</f>
        <v>0</v>
      </c>
      <c r="R2498" s="84">
        <f>IF(ISNUMBER($I2498),ABS($I2498),0)</f>
        <v>0</v>
      </c>
      <c r="S2498" s="84">
        <f>IF(ISNUMBER($M2498),ABS($M2498),0)</f>
        <v>0</v>
      </c>
      <c r="T2498" s="85" t="n">
        <v>2490</v>
      </c>
    </row>
    <row r="2499">
      <c r="B2499" s="83" t="n"/>
      <c r="C2499" s="83" t="n"/>
      <c r="D2499" s="83" t="n"/>
      <c r="E2499" s="83" t="n"/>
      <c r="F2499" s="83" t="n"/>
      <c r="G2499" s="83" t="n"/>
      <c r="H2499" s="83" t="n"/>
      <c r="I2499" s="83" t="n"/>
      <c r="J2499" s="83" t="n"/>
      <c r="K2499" s="83" t="n"/>
      <c r="L2499" s="83" t="n"/>
      <c r="M2499" s="83" t="n"/>
      <c r="O2499" s="84" t="str">
        <f>IF($C2499="","",IFERROR(MATCH($B2499&amp;"|"&amp;$C2499,MUROS!$AX$11:$AX$70,0),0))</f>
        <v/>
      </c>
      <c r="P2499" s="84" t="str">
        <f>IF($D2499="","",IF(ISNUMBER(MATCH($D2499,CMB_S,0)),1,IF(ISNUMBER(MATCH($D2499,CMB_G,0)),2,0)))</f>
        <v/>
      </c>
      <c r="Q2499" s="84">
        <f>IF(ISNUMBER($H2499),-$H2499,0)</f>
        <v>0</v>
      </c>
      <c r="R2499" s="84">
        <f>IF(ISNUMBER($I2499),ABS($I2499),0)</f>
        <v>0</v>
      </c>
      <c r="S2499" s="84">
        <f>IF(ISNUMBER($M2499),ABS($M2499),0)</f>
        <v>0</v>
      </c>
      <c r="T2499" s="85" t="n">
        <v>2491</v>
      </c>
    </row>
    <row r="2500">
      <c r="B2500" s="83" t="n"/>
      <c r="C2500" s="83" t="n"/>
      <c r="D2500" s="83" t="n"/>
      <c r="E2500" s="83" t="n"/>
      <c r="F2500" s="83" t="n"/>
      <c r="G2500" s="83" t="n"/>
      <c r="H2500" s="83" t="n"/>
      <c r="I2500" s="83" t="n"/>
      <c r="J2500" s="83" t="n"/>
      <c r="K2500" s="83" t="n"/>
      <c r="L2500" s="83" t="n"/>
      <c r="M2500" s="83" t="n"/>
      <c r="O2500" s="84" t="str">
        <f>IF($C2500="","",IFERROR(MATCH($B2500&amp;"|"&amp;$C2500,MUROS!$AX$11:$AX$70,0),0))</f>
        <v/>
      </c>
      <c r="P2500" s="84" t="str">
        <f>IF($D2500="","",IF(ISNUMBER(MATCH($D2500,CMB_S,0)),1,IF(ISNUMBER(MATCH($D2500,CMB_G,0)),2,0)))</f>
        <v/>
      </c>
      <c r="Q2500" s="84">
        <f>IF(ISNUMBER($H2500),-$H2500,0)</f>
        <v>0</v>
      </c>
      <c r="R2500" s="84">
        <f>IF(ISNUMBER($I2500),ABS($I2500),0)</f>
        <v>0</v>
      </c>
      <c r="S2500" s="84">
        <f>IF(ISNUMBER($M2500),ABS($M2500),0)</f>
        <v>0</v>
      </c>
      <c r="T2500" s="85" t="n">
        <v>2492</v>
      </c>
    </row>
    <row r="2501">
      <c r="B2501" s="83" t="n"/>
      <c r="C2501" s="83" t="n"/>
      <c r="D2501" s="83" t="n"/>
      <c r="E2501" s="83" t="n"/>
      <c r="F2501" s="83" t="n"/>
      <c r="G2501" s="83" t="n"/>
      <c r="H2501" s="83" t="n"/>
      <c r="I2501" s="83" t="n"/>
      <c r="J2501" s="83" t="n"/>
      <c r="K2501" s="83" t="n"/>
      <c r="L2501" s="83" t="n"/>
      <c r="M2501" s="83" t="n"/>
      <c r="O2501" s="84" t="str">
        <f>IF($C2501="","",IFERROR(MATCH($B2501&amp;"|"&amp;$C2501,MUROS!$AX$11:$AX$70,0),0))</f>
        <v/>
      </c>
      <c r="P2501" s="84" t="str">
        <f>IF($D2501="","",IF(ISNUMBER(MATCH($D2501,CMB_S,0)),1,IF(ISNUMBER(MATCH($D2501,CMB_G,0)),2,0)))</f>
        <v/>
      </c>
      <c r="Q2501" s="84">
        <f>IF(ISNUMBER($H2501),-$H2501,0)</f>
        <v>0</v>
      </c>
      <c r="R2501" s="84">
        <f>IF(ISNUMBER($I2501),ABS($I2501),0)</f>
        <v>0</v>
      </c>
      <c r="S2501" s="84">
        <f>IF(ISNUMBER($M2501),ABS($M2501),0)</f>
        <v>0</v>
      </c>
      <c r="T2501" s="85" t="n">
        <v>2493</v>
      </c>
    </row>
    <row r="2502">
      <c r="B2502" s="83" t="n"/>
      <c r="C2502" s="83" t="n"/>
      <c r="D2502" s="83" t="n"/>
      <c r="E2502" s="83" t="n"/>
      <c r="F2502" s="83" t="n"/>
      <c r="G2502" s="83" t="n"/>
      <c r="H2502" s="83" t="n"/>
      <c r="I2502" s="83" t="n"/>
      <c r="J2502" s="83" t="n"/>
      <c r="K2502" s="83" t="n"/>
      <c r="L2502" s="83" t="n"/>
      <c r="M2502" s="83" t="n"/>
      <c r="O2502" s="84" t="str">
        <f>IF($C2502="","",IFERROR(MATCH($B2502&amp;"|"&amp;$C2502,MUROS!$AX$11:$AX$70,0),0))</f>
        <v/>
      </c>
      <c r="P2502" s="84" t="str">
        <f>IF($D2502="","",IF(ISNUMBER(MATCH($D2502,CMB_S,0)),1,IF(ISNUMBER(MATCH($D2502,CMB_G,0)),2,0)))</f>
        <v/>
      </c>
      <c r="Q2502" s="84">
        <f>IF(ISNUMBER($H2502),-$H2502,0)</f>
        <v>0</v>
      </c>
      <c r="R2502" s="84">
        <f>IF(ISNUMBER($I2502),ABS($I2502),0)</f>
        <v>0</v>
      </c>
      <c r="S2502" s="84">
        <f>IF(ISNUMBER($M2502),ABS($M2502),0)</f>
        <v>0</v>
      </c>
      <c r="T2502" s="85" t="n">
        <v>2494</v>
      </c>
    </row>
    <row r="2503">
      <c r="B2503" s="83" t="n"/>
      <c r="C2503" s="83" t="n"/>
      <c r="D2503" s="83" t="n"/>
      <c r="E2503" s="83" t="n"/>
      <c r="F2503" s="83" t="n"/>
      <c r="G2503" s="83" t="n"/>
      <c r="H2503" s="83" t="n"/>
      <c r="I2503" s="83" t="n"/>
      <c r="J2503" s="83" t="n"/>
      <c r="K2503" s="83" t="n"/>
      <c r="L2503" s="83" t="n"/>
      <c r="M2503" s="83" t="n"/>
      <c r="O2503" s="84" t="str">
        <f>IF($C2503="","",IFERROR(MATCH($B2503&amp;"|"&amp;$C2503,MUROS!$AX$11:$AX$70,0),0))</f>
        <v/>
      </c>
      <c r="P2503" s="84" t="str">
        <f>IF($D2503="","",IF(ISNUMBER(MATCH($D2503,CMB_S,0)),1,IF(ISNUMBER(MATCH($D2503,CMB_G,0)),2,0)))</f>
        <v/>
      </c>
      <c r="Q2503" s="84">
        <f>IF(ISNUMBER($H2503),-$H2503,0)</f>
        <v>0</v>
      </c>
      <c r="R2503" s="84">
        <f>IF(ISNUMBER($I2503),ABS($I2503),0)</f>
        <v>0</v>
      </c>
      <c r="S2503" s="84">
        <f>IF(ISNUMBER($M2503),ABS($M2503),0)</f>
        <v>0</v>
      </c>
      <c r="T2503" s="85" t="n">
        <v>2495</v>
      </c>
    </row>
    <row r="2504">
      <c r="B2504" s="83" t="n"/>
      <c r="C2504" s="83" t="n"/>
      <c r="D2504" s="83" t="n"/>
      <c r="E2504" s="83" t="n"/>
      <c r="F2504" s="83" t="n"/>
      <c r="G2504" s="83" t="n"/>
      <c r="H2504" s="83" t="n"/>
      <c r="I2504" s="83" t="n"/>
      <c r="J2504" s="83" t="n"/>
      <c r="K2504" s="83" t="n"/>
      <c r="L2504" s="83" t="n"/>
      <c r="M2504" s="83" t="n"/>
      <c r="O2504" s="84" t="str">
        <f>IF($C2504="","",IFERROR(MATCH($B2504&amp;"|"&amp;$C2504,MUROS!$AX$11:$AX$70,0),0))</f>
        <v/>
      </c>
      <c r="P2504" s="84" t="str">
        <f>IF($D2504="","",IF(ISNUMBER(MATCH($D2504,CMB_S,0)),1,IF(ISNUMBER(MATCH($D2504,CMB_G,0)),2,0)))</f>
        <v/>
      </c>
      <c r="Q2504" s="84">
        <f>IF(ISNUMBER($H2504),-$H2504,0)</f>
        <v>0</v>
      </c>
      <c r="R2504" s="84">
        <f>IF(ISNUMBER($I2504),ABS($I2504),0)</f>
        <v>0</v>
      </c>
      <c r="S2504" s="84">
        <f>IF(ISNUMBER($M2504),ABS($M2504),0)</f>
        <v>0</v>
      </c>
      <c r="T2504" s="85" t="n">
        <v>2496</v>
      </c>
    </row>
    <row r="2505">
      <c r="B2505" s="83" t="n"/>
      <c r="C2505" s="83" t="n"/>
      <c r="D2505" s="83" t="n"/>
      <c r="E2505" s="83" t="n"/>
      <c r="F2505" s="83" t="n"/>
      <c r="G2505" s="83" t="n"/>
      <c r="H2505" s="83" t="n"/>
      <c r="I2505" s="83" t="n"/>
      <c r="J2505" s="83" t="n"/>
      <c r="K2505" s="83" t="n"/>
      <c r="L2505" s="83" t="n"/>
      <c r="M2505" s="83" t="n"/>
      <c r="O2505" s="84" t="str">
        <f>IF($C2505="","",IFERROR(MATCH($B2505&amp;"|"&amp;$C2505,MUROS!$AX$11:$AX$70,0),0))</f>
        <v/>
      </c>
      <c r="P2505" s="84" t="str">
        <f>IF($D2505="","",IF(ISNUMBER(MATCH($D2505,CMB_S,0)),1,IF(ISNUMBER(MATCH($D2505,CMB_G,0)),2,0)))</f>
        <v/>
      </c>
      <c r="Q2505" s="84">
        <f>IF(ISNUMBER($H2505),-$H2505,0)</f>
        <v>0</v>
      </c>
      <c r="R2505" s="84">
        <f>IF(ISNUMBER($I2505),ABS($I2505),0)</f>
        <v>0</v>
      </c>
      <c r="S2505" s="84">
        <f>IF(ISNUMBER($M2505),ABS($M2505),0)</f>
        <v>0</v>
      </c>
      <c r="T2505" s="85" t="n">
        <v>2497</v>
      </c>
    </row>
    <row r="2506">
      <c r="B2506" s="83" t="n"/>
      <c r="C2506" s="83" t="n"/>
      <c r="D2506" s="83" t="n"/>
      <c r="E2506" s="83" t="n"/>
      <c r="F2506" s="83" t="n"/>
      <c r="G2506" s="83" t="n"/>
      <c r="H2506" s="83" t="n"/>
      <c r="I2506" s="83" t="n"/>
      <c r="J2506" s="83" t="n"/>
      <c r="K2506" s="83" t="n"/>
      <c r="L2506" s="83" t="n"/>
      <c r="M2506" s="83" t="n"/>
      <c r="O2506" s="84" t="str">
        <f>IF($C2506="","",IFERROR(MATCH($B2506&amp;"|"&amp;$C2506,MUROS!$AX$11:$AX$70,0),0))</f>
        <v/>
      </c>
      <c r="P2506" s="84" t="str">
        <f>IF($D2506="","",IF(ISNUMBER(MATCH($D2506,CMB_S,0)),1,IF(ISNUMBER(MATCH($D2506,CMB_G,0)),2,0)))</f>
        <v/>
      </c>
      <c r="Q2506" s="84">
        <f>IF(ISNUMBER($H2506),-$H2506,0)</f>
        <v>0</v>
      </c>
      <c r="R2506" s="84">
        <f>IF(ISNUMBER($I2506),ABS($I2506),0)</f>
        <v>0</v>
      </c>
      <c r="S2506" s="84">
        <f>IF(ISNUMBER($M2506),ABS($M2506),0)</f>
        <v>0</v>
      </c>
      <c r="T2506" s="85" t="n">
        <v>2498</v>
      </c>
    </row>
    <row r="2507">
      <c r="B2507" s="83" t="n"/>
      <c r="C2507" s="83" t="n"/>
      <c r="D2507" s="83" t="n"/>
      <c r="E2507" s="83" t="n"/>
      <c r="F2507" s="83" t="n"/>
      <c r="G2507" s="83" t="n"/>
      <c r="H2507" s="83" t="n"/>
      <c r="I2507" s="83" t="n"/>
      <c r="J2507" s="83" t="n"/>
      <c r="K2507" s="83" t="n"/>
      <c r="L2507" s="83" t="n"/>
      <c r="M2507" s="83" t="n"/>
      <c r="O2507" s="84" t="str">
        <f>IF($C2507="","",IFERROR(MATCH($B2507&amp;"|"&amp;$C2507,MUROS!$AX$11:$AX$70,0),0))</f>
        <v/>
      </c>
      <c r="P2507" s="84" t="str">
        <f>IF($D2507="","",IF(ISNUMBER(MATCH($D2507,CMB_S,0)),1,IF(ISNUMBER(MATCH($D2507,CMB_G,0)),2,0)))</f>
        <v/>
      </c>
      <c r="Q2507" s="84">
        <f>IF(ISNUMBER($H2507),-$H2507,0)</f>
        <v>0</v>
      </c>
      <c r="R2507" s="84">
        <f>IF(ISNUMBER($I2507),ABS($I2507),0)</f>
        <v>0</v>
      </c>
      <c r="S2507" s="84">
        <f>IF(ISNUMBER($M2507),ABS($M2507),0)</f>
        <v>0</v>
      </c>
      <c r="T2507" s="85" t="n">
        <v>2499</v>
      </c>
    </row>
    <row r="2508">
      <c r="B2508" s="83" t="n"/>
      <c r="C2508" s="83" t="n"/>
      <c r="D2508" s="83" t="n"/>
      <c r="E2508" s="83" t="n"/>
      <c r="F2508" s="83" t="n"/>
      <c r="G2508" s="83" t="n"/>
      <c r="H2508" s="83" t="n"/>
      <c r="I2508" s="83" t="n"/>
      <c r="J2508" s="83" t="n"/>
      <c r="K2508" s="83" t="n"/>
      <c r="L2508" s="83" t="n"/>
      <c r="M2508" s="83" t="n"/>
      <c r="O2508" s="84" t="str">
        <f>IF($C2508="","",IFERROR(MATCH($B2508&amp;"|"&amp;$C2508,MUROS!$AX$11:$AX$70,0),0))</f>
        <v/>
      </c>
      <c r="P2508" s="84" t="str">
        <f>IF($D2508="","",IF(ISNUMBER(MATCH($D2508,CMB_S,0)),1,IF(ISNUMBER(MATCH($D2508,CMB_G,0)),2,0)))</f>
        <v/>
      </c>
      <c r="Q2508" s="84">
        <f>IF(ISNUMBER($H2508),-$H2508,0)</f>
        <v>0</v>
      </c>
      <c r="R2508" s="84">
        <f>IF(ISNUMBER($I2508),ABS($I2508),0)</f>
        <v>0</v>
      </c>
      <c r="S2508" s="84">
        <f>IF(ISNUMBER($M2508),ABS($M2508),0)</f>
        <v>0</v>
      </c>
      <c r="T2508" s="85" t="n">
        <v>2500</v>
      </c>
    </row>
    <row r="2509">
      <c r="B2509" s="83" t="n"/>
      <c r="C2509" s="83" t="n"/>
      <c r="D2509" s="83" t="n"/>
      <c r="E2509" s="83" t="n"/>
      <c r="F2509" s="83" t="n"/>
      <c r="G2509" s="83" t="n"/>
      <c r="H2509" s="83" t="n"/>
      <c r="I2509" s="83" t="n"/>
      <c r="J2509" s="83" t="n"/>
      <c r="K2509" s="83" t="n"/>
      <c r="L2509" s="83" t="n"/>
      <c r="M2509" s="83" t="n"/>
      <c r="O2509" s="84" t="str">
        <f>IF($C2509="","",IFERROR(MATCH($B2509&amp;"|"&amp;$C2509,MUROS!$AX$11:$AX$70,0),0))</f>
        <v/>
      </c>
      <c r="P2509" s="84" t="str">
        <f>IF($D2509="","",IF(ISNUMBER(MATCH($D2509,CMB_S,0)),1,IF(ISNUMBER(MATCH($D2509,CMB_G,0)),2,0)))</f>
        <v/>
      </c>
      <c r="Q2509" s="84">
        <f>IF(ISNUMBER($H2509),-$H2509,0)</f>
        <v>0</v>
      </c>
      <c r="R2509" s="84">
        <f>IF(ISNUMBER($I2509),ABS($I2509),0)</f>
        <v>0</v>
      </c>
      <c r="S2509" s="84">
        <f>IF(ISNUMBER($M2509),ABS($M2509),0)</f>
        <v>0</v>
      </c>
      <c r="T2509" s="85" t="n">
        <v>2501</v>
      </c>
    </row>
    <row r="2510">
      <c r="B2510" s="83" t="n"/>
      <c r="C2510" s="83" t="n"/>
      <c r="D2510" s="83" t="n"/>
      <c r="E2510" s="83" t="n"/>
      <c r="F2510" s="83" t="n"/>
      <c r="G2510" s="83" t="n"/>
      <c r="H2510" s="83" t="n"/>
      <c r="I2510" s="83" t="n"/>
      <c r="J2510" s="83" t="n"/>
      <c r="K2510" s="83" t="n"/>
      <c r="L2510" s="83" t="n"/>
      <c r="M2510" s="83" t="n"/>
      <c r="O2510" s="84" t="str">
        <f>IF($C2510="","",IFERROR(MATCH($B2510&amp;"|"&amp;$C2510,MUROS!$AX$11:$AX$70,0),0))</f>
        <v/>
      </c>
      <c r="P2510" s="84" t="str">
        <f>IF($D2510="","",IF(ISNUMBER(MATCH($D2510,CMB_S,0)),1,IF(ISNUMBER(MATCH($D2510,CMB_G,0)),2,0)))</f>
        <v/>
      </c>
      <c r="Q2510" s="84">
        <f>IF(ISNUMBER($H2510),-$H2510,0)</f>
        <v>0</v>
      </c>
      <c r="R2510" s="84">
        <f>IF(ISNUMBER($I2510),ABS($I2510),0)</f>
        <v>0</v>
      </c>
      <c r="S2510" s="84">
        <f>IF(ISNUMBER($M2510),ABS($M2510),0)</f>
        <v>0</v>
      </c>
      <c r="T2510" s="85" t="n">
        <v>2502</v>
      </c>
    </row>
    <row r="2511">
      <c r="B2511" s="83" t="n"/>
      <c r="C2511" s="83" t="n"/>
      <c r="D2511" s="83" t="n"/>
      <c r="E2511" s="83" t="n"/>
      <c r="F2511" s="83" t="n"/>
      <c r="G2511" s="83" t="n"/>
      <c r="H2511" s="83" t="n"/>
      <c r="I2511" s="83" t="n"/>
      <c r="J2511" s="83" t="n"/>
      <c r="K2511" s="83" t="n"/>
      <c r="L2511" s="83" t="n"/>
      <c r="M2511" s="83" t="n"/>
      <c r="O2511" s="84" t="str">
        <f>IF($C2511="","",IFERROR(MATCH($B2511&amp;"|"&amp;$C2511,MUROS!$AX$11:$AX$70,0),0))</f>
        <v/>
      </c>
      <c r="P2511" s="84" t="str">
        <f>IF($D2511="","",IF(ISNUMBER(MATCH($D2511,CMB_S,0)),1,IF(ISNUMBER(MATCH($D2511,CMB_G,0)),2,0)))</f>
        <v/>
      </c>
      <c r="Q2511" s="84">
        <f>IF(ISNUMBER($H2511),-$H2511,0)</f>
        <v>0</v>
      </c>
      <c r="R2511" s="84">
        <f>IF(ISNUMBER($I2511),ABS($I2511),0)</f>
        <v>0</v>
      </c>
      <c r="S2511" s="84">
        <f>IF(ISNUMBER($M2511),ABS($M2511),0)</f>
        <v>0</v>
      </c>
      <c r="T2511" s="85" t="n">
        <v>2503</v>
      </c>
    </row>
    <row r="2512">
      <c r="B2512" s="83" t="n"/>
      <c r="C2512" s="83" t="n"/>
      <c r="D2512" s="83" t="n"/>
      <c r="E2512" s="83" t="n"/>
      <c r="F2512" s="83" t="n"/>
      <c r="G2512" s="83" t="n"/>
      <c r="H2512" s="83" t="n"/>
      <c r="I2512" s="83" t="n"/>
      <c r="J2512" s="83" t="n"/>
      <c r="K2512" s="83" t="n"/>
      <c r="L2512" s="83" t="n"/>
      <c r="M2512" s="83" t="n"/>
      <c r="O2512" s="84" t="str">
        <f>IF($C2512="","",IFERROR(MATCH($B2512&amp;"|"&amp;$C2512,MUROS!$AX$11:$AX$70,0),0))</f>
        <v/>
      </c>
      <c r="P2512" s="84" t="str">
        <f>IF($D2512="","",IF(ISNUMBER(MATCH($D2512,CMB_S,0)),1,IF(ISNUMBER(MATCH($D2512,CMB_G,0)),2,0)))</f>
        <v/>
      </c>
      <c r="Q2512" s="84">
        <f>IF(ISNUMBER($H2512),-$H2512,0)</f>
        <v>0</v>
      </c>
      <c r="R2512" s="84">
        <f>IF(ISNUMBER($I2512),ABS($I2512),0)</f>
        <v>0</v>
      </c>
      <c r="S2512" s="84">
        <f>IF(ISNUMBER($M2512),ABS($M2512),0)</f>
        <v>0</v>
      </c>
      <c r="T2512" s="85" t="n">
        <v>2504</v>
      </c>
    </row>
    <row r="2513">
      <c r="B2513" s="83" t="n"/>
      <c r="C2513" s="83" t="n"/>
      <c r="D2513" s="83" t="n"/>
      <c r="E2513" s="83" t="n"/>
      <c r="F2513" s="83" t="n"/>
      <c r="G2513" s="83" t="n"/>
      <c r="H2513" s="83" t="n"/>
      <c r="I2513" s="83" t="n"/>
      <c r="J2513" s="83" t="n"/>
      <c r="K2513" s="83" t="n"/>
      <c r="L2513" s="83" t="n"/>
      <c r="M2513" s="83" t="n"/>
      <c r="O2513" s="84" t="str">
        <f>IF($C2513="","",IFERROR(MATCH($B2513&amp;"|"&amp;$C2513,MUROS!$AX$11:$AX$70,0),0))</f>
        <v/>
      </c>
      <c r="P2513" s="84" t="str">
        <f>IF($D2513="","",IF(ISNUMBER(MATCH($D2513,CMB_S,0)),1,IF(ISNUMBER(MATCH($D2513,CMB_G,0)),2,0)))</f>
        <v/>
      </c>
      <c r="Q2513" s="84">
        <f>IF(ISNUMBER($H2513),-$H2513,0)</f>
        <v>0</v>
      </c>
      <c r="R2513" s="84">
        <f>IF(ISNUMBER($I2513),ABS($I2513),0)</f>
        <v>0</v>
      </c>
      <c r="S2513" s="84">
        <f>IF(ISNUMBER($M2513),ABS($M2513),0)</f>
        <v>0</v>
      </c>
      <c r="T2513" s="85" t="n">
        <v>2505</v>
      </c>
    </row>
    <row r="2514">
      <c r="B2514" s="83" t="n"/>
      <c r="C2514" s="83" t="n"/>
      <c r="D2514" s="83" t="n"/>
      <c r="E2514" s="83" t="n"/>
      <c r="F2514" s="83" t="n"/>
      <c r="G2514" s="83" t="n"/>
      <c r="H2514" s="83" t="n"/>
      <c r="I2514" s="83" t="n"/>
      <c r="J2514" s="83" t="n"/>
      <c r="K2514" s="83" t="n"/>
      <c r="L2514" s="83" t="n"/>
      <c r="M2514" s="83" t="n"/>
      <c r="O2514" s="84" t="str">
        <f>IF($C2514="","",IFERROR(MATCH($B2514&amp;"|"&amp;$C2514,MUROS!$AX$11:$AX$70,0),0))</f>
        <v/>
      </c>
      <c r="P2514" s="84" t="str">
        <f>IF($D2514="","",IF(ISNUMBER(MATCH($D2514,CMB_S,0)),1,IF(ISNUMBER(MATCH($D2514,CMB_G,0)),2,0)))</f>
        <v/>
      </c>
      <c r="Q2514" s="84">
        <f>IF(ISNUMBER($H2514),-$H2514,0)</f>
        <v>0</v>
      </c>
      <c r="R2514" s="84">
        <f>IF(ISNUMBER($I2514),ABS($I2514),0)</f>
        <v>0</v>
      </c>
      <c r="S2514" s="84">
        <f>IF(ISNUMBER($M2514),ABS($M2514),0)</f>
        <v>0</v>
      </c>
      <c r="T2514" s="85" t="n">
        <v>2506</v>
      </c>
    </row>
    <row r="2515">
      <c r="B2515" s="83" t="n"/>
      <c r="C2515" s="83" t="n"/>
      <c r="D2515" s="83" t="n"/>
      <c r="E2515" s="83" t="n"/>
      <c r="F2515" s="83" t="n"/>
      <c r="G2515" s="83" t="n"/>
      <c r="H2515" s="83" t="n"/>
      <c r="I2515" s="83" t="n"/>
      <c r="J2515" s="83" t="n"/>
      <c r="K2515" s="83" t="n"/>
      <c r="L2515" s="83" t="n"/>
      <c r="M2515" s="83" t="n"/>
      <c r="O2515" s="84" t="str">
        <f>IF($C2515="","",IFERROR(MATCH($B2515&amp;"|"&amp;$C2515,MUROS!$AX$11:$AX$70,0),0))</f>
        <v/>
      </c>
      <c r="P2515" s="84" t="str">
        <f>IF($D2515="","",IF(ISNUMBER(MATCH($D2515,CMB_S,0)),1,IF(ISNUMBER(MATCH($D2515,CMB_G,0)),2,0)))</f>
        <v/>
      </c>
      <c r="Q2515" s="84">
        <f>IF(ISNUMBER($H2515),-$H2515,0)</f>
        <v>0</v>
      </c>
      <c r="R2515" s="84">
        <f>IF(ISNUMBER($I2515),ABS($I2515),0)</f>
        <v>0</v>
      </c>
      <c r="S2515" s="84">
        <f>IF(ISNUMBER($M2515),ABS($M2515),0)</f>
        <v>0</v>
      </c>
      <c r="T2515" s="85" t="n">
        <v>2507</v>
      </c>
    </row>
    <row r="2516">
      <c r="B2516" s="83" t="n"/>
      <c r="C2516" s="83" t="n"/>
      <c r="D2516" s="83" t="n"/>
      <c r="E2516" s="83" t="n"/>
      <c r="F2516" s="83" t="n"/>
      <c r="G2516" s="83" t="n"/>
      <c r="H2516" s="83" t="n"/>
      <c r="I2516" s="83" t="n"/>
      <c r="J2516" s="83" t="n"/>
      <c r="K2516" s="83" t="n"/>
      <c r="L2516" s="83" t="n"/>
      <c r="M2516" s="83" t="n"/>
      <c r="O2516" s="84" t="str">
        <f>IF($C2516="","",IFERROR(MATCH($B2516&amp;"|"&amp;$C2516,MUROS!$AX$11:$AX$70,0),0))</f>
        <v/>
      </c>
      <c r="P2516" s="84" t="str">
        <f>IF($D2516="","",IF(ISNUMBER(MATCH($D2516,CMB_S,0)),1,IF(ISNUMBER(MATCH($D2516,CMB_G,0)),2,0)))</f>
        <v/>
      </c>
      <c r="Q2516" s="84">
        <f>IF(ISNUMBER($H2516),-$H2516,0)</f>
        <v>0</v>
      </c>
      <c r="R2516" s="84">
        <f>IF(ISNUMBER($I2516),ABS($I2516),0)</f>
        <v>0</v>
      </c>
      <c r="S2516" s="84">
        <f>IF(ISNUMBER($M2516),ABS($M2516),0)</f>
        <v>0</v>
      </c>
      <c r="T2516" s="85" t="n">
        <v>2508</v>
      </c>
    </row>
    <row r="2517">
      <c r="B2517" s="83" t="n"/>
      <c r="C2517" s="83" t="n"/>
      <c r="D2517" s="83" t="n"/>
      <c r="E2517" s="83" t="n"/>
      <c r="F2517" s="83" t="n"/>
      <c r="G2517" s="83" t="n"/>
      <c r="H2517" s="83" t="n"/>
      <c r="I2517" s="83" t="n"/>
      <c r="J2517" s="83" t="n"/>
      <c r="K2517" s="83" t="n"/>
      <c r="L2517" s="83" t="n"/>
      <c r="M2517" s="83" t="n"/>
      <c r="O2517" s="84" t="str">
        <f>IF($C2517="","",IFERROR(MATCH($B2517&amp;"|"&amp;$C2517,MUROS!$AX$11:$AX$70,0),0))</f>
        <v/>
      </c>
      <c r="P2517" s="84" t="str">
        <f>IF($D2517="","",IF(ISNUMBER(MATCH($D2517,CMB_S,0)),1,IF(ISNUMBER(MATCH($D2517,CMB_G,0)),2,0)))</f>
        <v/>
      </c>
      <c r="Q2517" s="84">
        <f>IF(ISNUMBER($H2517),-$H2517,0)</f>
        <v>0</v>
      </c>
      <c r="R2517" s="84">
        <f>IF(ISNUMBER($I2517),ABS($I2517),0)</f>
        <v>0</v>
      </c>
      <c r="S2517" s="84">
        <f>IF(ISNUMBER($M2517),ABS($M2517),0)</f>
        <v>0</v>
      </c>
      <c r="T2517" s="85" t="n">
        <v>2509</v>
      </c>
    </row>
    <row r="2518">
      <c r="B2518" s="83" t="n"/>
      <c r="C2518" s="83" t="n"/>
      <c r="D2518" s="83" t="n"/>
      <c r="E2518" s="83" t="n"/>
      <c r="F2518" s="83" t="n"/>
      <c r="G2518" s="83" t="n"/>
      <c r="H2518" s="83" t="n"/>
      <c r="I2518" s="83" t="n"/>
      <c r="J2518" s="83" t="n"/>
      <c r="K2518" s="83" t="n"/>
      <c r="L2518" s="83" t="n"/>
      <c r="M2518" s="83" t="n"/>
      <c r="O2518" s="84" t="str">
        <f>IF($C2518="","",IFERROR(MATCH($B2518&amp;"|"&amp;$C2518,MUROS!$AX$11:$AX$70,0),0))</f>
        <v/>
      </c>
      <c r="P2518" s="84" t="str">
        <f>IF($D2518="","",IF(ISNUMBER(MATCH($D2518,CMB_S,0)),1,IF(ISNUMBER(MATCH($D2518,CMB_G,0)),2,0)))</f>
        <v/>
      </c>
      <c r="Q2518" s="84">
        <f>IF(ISNUMBER($H2518),-$H2518,0)</f>
        <v>0</v>
      </c>
      <c r="R2518" s="84">
        <f>IF(ISNUMBER($I2518),ABS($I2518),0)</f>
        <v>0</v>
      </c>
      <c r="S2518" s="84">
        <f>IF(ISNUMBER($M2518),ABS($M2518),0)</f>
        <v>0</v>
      </c>
      <c r="T2518" s="85" t="n">
        <v>2510</v>
      </c>
    </row>
    <row r="2519">
      <c r="B2519" s="83" t="n"/>
      <c r="C2519" s="83" t="n"/>
      <c r="D2519" s="83" t="n"/>
      <c r="E2519" s="83" t="n"/>
      <c r="F2519" s="83" t="n"/>
      <c r="G2519" s="83" t="n"/>
      <c r="H2519" s="83" t="n"/>
      <c r="I2519" s="83" t="n"/>
      <c r="J2519" s="83" t="n"/>
      <c r="K2519" s="83" t="n"/>
      <c r="L2519" s="83" t="n"/>
      <c r="M2519" s="83" t="n"/>
      <c r="O2519" s="84" t="str">
        <f>IF($C2519="","",IFERROR(MATCH($B2519&amp;"|"&amp;$C2519,MUROS!$AX$11:$AX$70,0),0))</f>
        <v/>
      </c>
      <c r="P2519" s="84" t="str">
        <f>IF($D2519="","",IF(ISNUMBER(MATCH($D2519,CMB_S,0)),1,IF(ISNUMBER(MATCH($D2519,CMB_G,0)),2,0)))</f>
        <v/>
      </c>
      <c r="Q2519" s="84">
        <f>IF(ISNUMBER($H2519),-$H2519,0)</f>
        <v>0</v>
      </c>
      <c r="R2519" s="84">
        <f>IF(ISNUMBER($I2519),ABS($I2519),0)</f>
        <v>0</v>
      </c>
      <c r="S2519" s="84">
        <f>IF(ISNUMBER($M2519),ABS($M2519),0)</f>
        <v>0</v>
      </c>
      <c r="T2519" s="85" t="n">
        <v>2511</v>
      </c>
    </row>
    <row r="2520">
      <c r="B2520" s="83" t="n"/>
      <c r="C2520" s="83" t="n"/>
      <c r="D2520" s="83" t="n"/>
      <c r="E2520" s="83" t="n"/>
      <c r="F2520" s="83" t="n"/>
      <c r="G2520" s="83" t="n"/>
      <c r="H2520" s="83" t="n"/>
      <c r="I2520" s="83" t="n"/>
      <c r="J2520" s="83" t="n"/>
      <c r="K2520" s="83" t="n"/>
      <c r="L2520" s="83" t="n"/>
      <c r="M2520" s="83" t="n"/>
      <c r="O2520" s="84" t="str">
        <f>IF($C2520="","",IFERROR(MATCH($B2520&amp;"|"&amp;$C2520,MUROS!$AX$11:$AX$70,0),0))</f>
        <v/>
      </c>
      <c r="P2520" s="84" t="str">
        <f>IF($D2520="","",IF(ISNUMBER(MATCH($D2520,CMB_S,0)),1,IF(ISNUMBER(MATCH($D2520,CMB_G,0)),2,0)))</f>
        <v/>
      </c>
      <c r="Q2520" s="84">
        <f>IF(ISNUMBER($H2520),-$H2520,0)</f>
        <v>0</v>
      </c>
      <c r="R2520" s="84">
        <f>IF(ISNUMBER($I2520),ABS($I2520),0)</f>
        <v>0</v>
      </c>
      <c r="S2520" s="84">
        <f>IF(ISNUMBER($M2520),ABS($M2520),0)</f>
        <v>0</v>
      </c>
      <c r="T2520" s="85" t="n">
        <v>2512</v>
      </c>
    </row>
    <row r="2521">
      <c r="B2521" s="83" t="n"/>
      <c r="C2521" s="83" t="n"/>
      <c r="D2521" s="83" t="n"/>
      <c r="E2521" s="83" t="n"/>
      <c r="F2521" s="83" t="n"/>
      <c r="G2521" s="83" t="n"/>
      <c r="H2521" s="83" t="n"/>
      <c r="I2521" s="83" t="n"/>
      <c r="J2521" s="83" t="n"/>
      <c r="K2521" s="83" t="n"/>
      <c r="L2521" s="83" t="n"/>
      <c r="M2521" s="83" t="n"/>
      <c r="O2521" s="84" t="str">
        <f>IF($C2521="","",IFERROR(MATCH($B2521&amp;"|"&amp;$C2521,MUROS!$AX$11:$AX$70,0),0))</f>
        <v/>
      </c>
      <c r="P2521" s="84" t="str">
        <f>IF($D2521="","",IF(ISNUMBER(MATCH($D2521,CMB_S,0)),1,IF(ISNUMBER(MATCH($D2521,CMB_G,0)),2,0)))</f>
        <v/>
      </c>
      <c r="Q2521" s="84">
        <f>IF(ISNUMBER($H2521),-$H2521,0)</f>
        <v>0</v>
      </c>
      <c r="R2521" s="84">
        <f>IF(ISNUMBER($I2521),ABS($I2521),0)</f>
        <v>0</v>
      </c>
      <c r="S2521" s="84">
        <f>IF(ISNUMBER($M2521),ABS($M2521),0)</f>
        <v>0</v>
      </c>
      <c r="T2521" s="85" t="n">
        <v>2513</v>
      </c>
    </row>
    <row r="2522">
      <c r="B2522" s="83" t="n"/>
      <c r="C2522" s="83" t="n"/>
      <c r="D2522" s="83" t="n"/>
      <c r="E2522" s="83" t="n"/>
      <c r="F2522" s="83" t="n"/>
      <c r="G2522" s="83" t="n"/>
      <c r="H2522" s="83" t="n"/>
      <c r="I2522" s="83" t="n"/>
      <c r="J2522" s="83" t="n"/>
      <c r="K2522" s="83" t="n"/>
      <c r="L2522" s="83" t="n"/>
      <c r="M2522" s="83" t="n"/>
      <c r="O2522" s="84" t="str">
        <f>IF($C2522="","",IFERROR(MATCH($B2522&amp;"|"&amp;$C2522,MUROS!$AX$11:$AX$70,0),0))</f>
        <v/>
      </c>
      <c r="P2522" s="84" t="str">
        <f>IF($D2522="","",IF(ISNUMBER(MATCH($D2522,CMB_S,0)),1,IF(ISNUMBER(MATCH($D2522,CMB_G,0)),2,0)))</f>
        <v/>
      </c>
      <c r="Q2522" s="84">
        <f>IF(ISNUMBER($H2522),-$H2522,0)</f>
        <v>0</v>
      </c>
      <c r="R2522" s="84">
        <f>IF(ISNUMBER($I2522),ABS($I2522),0)</f>
        <v>0</v>
      </c>
      <c r="S2522" s="84">
        <f>IF(ISNUMBER($M2522),ABS($M2522),0)</f>
        <v>0</v>
      </c>
      <c r="T2522" s="85" t="n">
        <v>2514</v>
      </c>
    </row>
    <row r="2523">
      <c r="B2523" s="83" t="n"/>
      <c r="C2523" s="83" t="n"/>
      <c r="D2523" s="83" t="n"/>
      <c r="E2523" s="83" t="n"/>
      <c r="F2523" s="83" t="n"/>
      <c r="G2523" s="83" t="n"/>
      <c r="H2523" s="83" t="n"/>
      <c r="I2523" s="83" t="n"/>
      <c r="J2523" s="83" t="n"/>
      <c r="K2523" s="83" t="n"/>
      <c r="L2523" s="83" t="n"/>
      <c r="M2523" s="83" t="n"/>
      <c r="O2523" s="84" t="str">
        <f>IF($C2523="","",IFERROR(MATCH($B2523&amp;"|"&amp;$C2523,MUROS!$AX$11:$AX$70,0),0))</f>
        <v/>
      </c>
      <c r="P2523" s="84" t="str">
        <f>IF($D2523="","",IF(ISNUMBER(MATCH($D2523,CMB_S,0)),1,IF(ISNUMBER(MATCH($D2523,CMB_G,0)),2,0)))</f>
        <v/>
      </c>
      <c r="Q2523" s="84">
        <f>IF(ISNUMBER($H2523),-$H2523,0)</f>
        <v>0</v>
      </c>
      <c r="R2523" s="84">
        <f>IF(ISNUMBER($I2523),ABS($I2523),0)</f>
        <v>0</v>
      </c>
      <c r="S2523" s="84">
        <f>IF(ISNUMBER($M2523),ABS($M2523),0)</f>
        <v>0</v>
      </c>
      <c r="T2523" s="85" t="n">
        <v>2515</v>
      </c>
    </row>
    <row r="2524">
      <c r="B2524" s="83" t="n"/>
      <c r="C2524" s="83" t="n"/>
      <c r="D2524" s="83" t="n"/>
      <c r="E2524" s="83" t="n"/>
      <c r="F2524" s="83" t="n"/>
      <c r="G2524" s="83" t="n"/>
      <c r="H2524" s="83" t="n"/>
      <c r="I2524" s="83" t="n"/>
      <c r="J2524" s="83" t="n"/>
      <c r="K2524" s="83" t="n"/>
      <c r="L2524" s="83" t="n"/>
      <c r="M2524" s="83" t="n"/>
      <c r="O2524" s="84" t="str">
        <f>IF($C2524="","",IFERROR(MATCH($B2524&amp;"|"&amp;$C2524,MUROS!$AX$11:$AX$70,0),0))</f>
        <v/>
      </c>
      <c r="P2524" s="84" t="str">
        <f>IF($D2524="","",IF(ISNUMBER(MATCH($D2524,CMB_S,0)),1,IF(ISNUMBER(MATCH($D2524,CMB_G,0)),2,0)))</f>
        <v/>
      </c>
      <c r="Q2524" s="84">
        <f>IF(ISNUMBER($H2524),-$H2524,0)</f>
        <v>0</v>
      </c>
      <c r="R2524" s="84">
        <f>IF(ISNUMBER($I2524),ABS($I2524),0)</f>
        <v>0</v>
      </c>
      <c r="S2524" s="84">
        <f>IF(ISNUMBER($M2524),ABS($M2524),0)</f>
        <v>0</v>
      </c>
      <c r="T2524" s="85" t="n">
        <v>2516</v>
      </c>
    </row>
    <row r="2525">
      <c r="B2525" s="83" t="n"/>
      <c r="C2525" s="83" t="n"/>
      <c r="D2525" s="83" t="n"/>
      <c r="E2525" s="83" t="n"/>
      <c r="F2525" s="83" t="n"/>
      <c r="G2525" s="83" t="n"/>
      <c r="H2525" s="83" t="n"/>
      <c r="I2525" s="83" t="n"/>
      <c r="J2525" s="83" t="n"/>
      <c r="K2525" s="83" t="n"/>
      <c r="L2525" s="83" t="n"/>
      <c r="M2525" s="83" t="n"/>
      <c r="O2525" s="84" t="str">
        <f>IF($C2525="","",IFERROR(MATCH($B2525&amp;"|"&amp;$C2525,MUROS!$AX$11:$AX$70,0),0))</f>
        <v/>
      </c>
      <c r="P2525" s="84" t="str">
        <f>IF($D2525="","",IF(ISNUMBER(MATCH($D2525,CMB_S,0)),1,IF(ISNUMBER(MATCH($D2525,CMB_G,0)),2,0)))</f>
        <v/>
      </c>
      <c r="Q2525" s="84">
        <f>IF(ISNUMBER($H2525),-$H2525,0)</f>
        <v>0</v>
      </c>
      <c r="R2525" s="84">
        <f>IF(ISNUMBER($I2525),ABS($I2525),0)</f>
        <v>0</v>
      </c>
      <c r="S2525" s="84">
        <f>IF(ISNUMBER($M2525),ABS($M2525),0)</f>
        <v>0</v>
      </c>
      <c r="T2525" s="85" t="n">
        <v>2517</v>
      </c>
    </row>
    <row r="2526">
      <c r="B2526" s="83" t="n"/>
      <c r="C2526" s="83" t="n"/>
      <c r="D2526" s="83" t="n"/>
      <c r="E2526" s="83" t="n"/>
      <c r="F2526" s="83" t="n"/>
      <c r="G2526" s="83" t="n"/>
      <c r="H2526" s="83" t="n"/>
      <c r="I2526" s="83" t="n"/>
      <c r="J2526" s="83" t="n"/>
      <c r="K2526" s="83" t="n"/>
      <c r="L2526" s="83" t="n"/>
      <c r="M2526" s="83" t="n"/>
      <c r="O2526" s="84" t="str">
        <f>IF($C2526="","",IFERROR(MATCH($B2526&amp;"|"&amp;$C2526,MUROS!$AX$11:$AX$70,0),0))</f>
        <v/>
      </c>
      <c r="P2526" s="84" t="str">
        <f>IF($D2526="","",IF(ISNUMBER(MATCH($D2526,CMB_S,0)),1,IF(ISNUMBER(MATCH($D2526,CMB_G,0)),2,0)))</f>
        <v/>
      </c>
      <c r="Q2526" s="84">
        <f>IF(ISNUMBER($H2526),-$H2526,0)</f>
        <v>0</v>
      </c>
      <c r="R2526" s="84">
        <f>IF(ISNUMBER($I2526),ABS($I2526),0)</f>
        <v>0</v>
      </c>
      <c r="S2526" s="84">
        <f>IF(ISNUMBER($M2526),ABS($M2526),0)</f>
        <v>0</v>
      </c>
      <c r="T2526" s="85" t="n">
        <v>2518</v>
      </c>
    </row>
    <row r="2527">
      <c r="B2527" s="83" t="n"/>
      <c r="C2527" s="83" t="n"/>
      <c r="D2527" s="83" t="n"/>
      <c r="E2527" s="83" t="n"/>
      <c r="F2527" s="83" t="n"/>
      <c r="G2527" s="83" t="n"/>
      <c r="H2527" s="83" t="n"/>
      <c r="I2527" s="83" t="n"/>
      <c r="J2527" s="83" t="n"/>
      <c r="K2527" s="83" t="n"/>
      <c r="L2527" s="83" t="n"/>
      <c r="M2527" s="83" t="n"/>
      <c r="O2527" s="84" t="str">
        <f>IF($C2527="","",IFERROR(MATCH($B2527&amp;"|"&amp;$C2527,MUROS!$AX$11:$AX$70,0),0))</f>
        <v/>
      </c>
      <c r="P2527" s="84" t="str">
        <f>IF($D2527="","",IF(ISNUMBER(MATCH($D2527,CMB_S,0)),1,IF(ISNUMBER(MATCH($D2527,CMB_G,0)),2,0)))</f>
        <v/>
      </c>
      <c r="Q2527" s="84">
        <f>IF(ISNUMBER($H2527),-$H2527,0)</f>
        <v>0</v>
      </c>
      <c r="R2527" s="84">
        <f>IF(ISNUMBER($I2527),ABS($I2527),0)</f>
        <v>0</v>
      </c>
      <c r="S2527" s="84">
        <f>IF(ISNUMBER($M2527),ABS($M2527),0)</f>
        <v>0</v>
      </c>
      <c r="T2527" s="85" t="n">
        <v>2519</v>
      </c>
    </row>
    <row r="2528">
      <c r="B2528" s="83" t="n"/>
      <c r="C2528" s="83" t="n"/>
      <c r="D2528" s="83" t="n"/>
      <c r="E2528" s="83" t="n"/>
      <c r="F2528" s="83" t="n"/>
      <c r="G2528" s="83" t="n"/>
      <c r="H2528" s="83" t="n"/>
      <c r="I2528" s="83" t="n"/>
      <c r="J2528" s="83" t="n"/>
      <c r="K2528" s="83" t="n"/>
      <c r="L2528" s="83" t="n"/>
      <c r="M2528" s="83" t="n"/>
      <c r="O2528" s="84" t="str">
        <f>IF($C2528="","",IFERROR(MATCH($B2528&amp;"|"&amp;$C2528,MUROS!$AX$11:$AX$70,0),0))</f>
        <v/>
      </c>
      <c r="P2528" s="84" t="str">
        <f>IF($D2528="","",IF(ISNUMBER(MATCH($D2528,CMB_S,0)),1,IF(ISNUMBER(MATCH($D2528,CMB_G,0)),2,0)))</f>
        <v/>
      </c>
      <c r="Q2528" s="84">
        <f>IF(ISNUMBER($H2528),-$H2528,0)</f>
        <v>0</v>
      </c>
      <c r="R2528" s="84">
        <f>IF(ISNUMBER($I2528),ABS($I2528),0)</f>
        <v>0</v>
      </c>
      <c r="S2528" s="84">
        <f>IF(ISNUMBER($M2528),ABS($M2528),0)</f>
        <v>0</v>
      </c>
      <c r="T2528" s="85" t="n">
        <v>2520</v>
      </c>
    </row>
    <row r="2529">
      <c r="B2529" s="83" t="n"/>
      <c r="C2529" s="83" t="n"/>
      <c r="D2529" s="83" t="n"/>
      <c r="E2529" s="83" t="n"/>
      <c r="F2529" s="83" t="n"/>
      <c r="G2529" s="83" t="n"/>
      <c r="H2529" s="83" t="n"/>
      <c r="I2529" s="83" t="n"/>
      <c r="J2529" s="83" t="n"/>
      <c r="K2529" s="83" t="n"/>
      <c r="L2529" s="83" t="n"/>
      <c r="M2529" s="83" t="n"/>
      <c r="O2529" s="84" t="str">
        <f>IF($C2529="","",IFERROR(MATCH($B2529&amp;"|"&amp;$C2529,MUROS!$AX$11:$AX$70,0),0))</f>
        <v/>
      </c>
      <c r="P2529" s="84" t="str">
        <f>IF($D2529="","",IF(ISNUMBER(MATCH($D2529,CMB_S,0)),1,IF(ISNUMBER(MATCH($D2529,CMB_G,0)),2,0)))</f>
        <v/>
      </c>
      <c r="Q2529" s="84">
        <f>IF(ISNUMBER($H2529),-$H2529,0)</f>
        <v>0</v>
      </c>
      <c r="R2529" s="84">
        <f>IF(ISNUMBER($I2529),ABS($I2529),0)</f>
        <v>0</v>
      </c>
      <c r="S2529" s="84">
        <f>IF(ISNUMBER($M2529),ABS($M2529),0)</f>
        <v>0</v>
      </c>
      <c r="T2529" s="85" t="n">
        <v>2521</v>
      </c>
    </row>
    <row r="2530">
      <c r="B2530" s="83" t="n"/>
      <c r="C2530" s="83" t="n"/>
      <c r="D2530" s="83" t="n"/>
      <c r="E2530" s="83" t="n"/>
      <c r="F2530" s="83" t="n"/>
      <c r="G2530" s="83" t="n"/>
      <c r="H2530" s="83" t="n"/>
      <c r="I2530" s="83" t="n"/>
      <c r="J2530" s="83" t="n"/>
      <c r="K2530" s="83" t="n"/>
      <c r="L2530" s="83" t="n"/>
      <c r="M2530" s="83" t="n"/>
      <c r="O2530" s="84" t="str">
        <f>IF($C2530="","",IFERROR(MATCH($B2530&amp;"|"&amp;$C2530,MUROS!$AX$11:$AX$70,0),0))</f>
        <v/>
      </c>
      <c r="P2530" s="84" t="str">
        <f>IF($D2530="","",IF(ISNUMBER(MATCH($D2530,CMB_S,0)),1,IF(ISNUMBER(MATCH($D2530,CMB_G,0)),2,0)))</f>
        <v/>
      </c>
      <c r="Q2530" s="84">
        <f>IF(ISNUMBER($H2530),-$H2530,0)</f>
        <v>0</v>
      </c>
      <c r="R2530" s="84">
        <f>IF(ISNUMBER($I2530),ABS($I2530),0)</f>
        <v>0</v>
      </c>
      <c r="S2530" s="84">
        <f>IF(ISNUMBER($M2530),ABS($M2530),0)</f>
        <v>0</v>
      </c>
      <c r="T2530" s="85" t="n">
        <v>2522</v>
      </c>
    </row>
    <row r="2531">
      <c r="B2531" s="83" t="n"/>
      <c r="C2531" s="83" t="n"/>
      <c r="D2531" s="83" t="n"/>
      <c r="E2531" s="83" t="n"/>
      <c r="F2531" s="83" t="n"/>
      <c r="G2531" s="83" t="n"/>
      <c r="H2531" s="83" t="n"/>
      <c r="I2531" s="83" t="n"/>
      <c r="J2531" s="83" t="n"/>
      <c r="K2531" s="83" t="n"/>
      <c r="L2531" s="83" t="n"/>
      <c r="M2531" s="83" t="n"/>
      <c r="O2531" s="84" t="str">
        <f>IF($C2531="","",IFERROR(MATCH($B2531&amp;"|"&amp;$C2531,MUROS!$AX$11:$AX$70,0),0))</f>
        <v/>
      </c>
      <c r="P2531" s="84" t="str">
        <f>IF($D2531="","",IF(ISNUMBER(MATCH($D2531,CMB_S,0)),1,IF(ISNUMBER(MATCH($D2531,CMB_G,0)),2,0)))</f>
        <v/>
      </c>
      <c r="Q2531" s="84">
        <f>IF(ISNUMBER($H2531),-$H2531,0)</f>
        <v>0</v>
      </c>
      <c r="R2531" s="84">
        <f>IF(ISNUMBER($I2531),ABS($I2531),0)</f>
        <v>0</v>
      </c>
      <c r="S2531" s="84">
        <f>IF(ISNUMBER($M2531),ABS($M2531),0)</f>
        <v>0</v>
      </c>
      <c r="T2531" s="85" t="n">
        <v>2523</v>
      </c>
    </row>
    <row r="2532">
      <c r="B2532" s="83" t="n"/>
      <c r="C2532" s="83" t="n"/>
      <c r="D2532" s="83" t="n"/>
      <c r="E2532" s="83" t="n"/>
      <c r="F2532" s="83" t="n"/>
      <c r="G2532" s="83" t="n"/>
      <c r="H2532" s="83" t="n"/>
      <c r="I2532" s="83" t="n"/>
      <c r="J2532" s="83" t="n"/>
      <c r="K2532" s="83" t="n"/>
      <c r="L2532" s="83" t="n"/>
      <c r="M2532" s="83" t="n"/>
      <c r="O2532" s="84" t="str">
        <f>IF($C2532="","",IFERROR(MATCH($B2532&amp;"|"&amp;$C2532,MUROS!$AX$11:$AX$70,0),0))</f>
        <v/>
      </c>
      <c r="P2532" s="84" t="str">
        <f>IF($D2532="","",IF(ISNUMBER(MATCH($D2532,CMB_S,0)),1,IF(ISNUMBER(MATCH($D2532,CMB_G,0)),2,0)))</f>
        <v/>
      </c>
      <c r="Q2532" s="84">
        <f>IF(ISNUMBER($H2532),-$H2532,0)</f>
        <v>0</v>
      </c>
      <c r="R2532" s="84">
        <f>IF(ISNUMBER($I2532),ABS($I2532),0)</f>
        <v>0</v>
      </c>
      <c r="S2532" s="84">
        <f>IF(ISNUMBER($M2532),ABS($M2532),0)</f>
        <v>0</v>
      </c>
      <c r="T2532" s="85" t="n">
        <v>2524</v>
      </c>
    </row>
    <row r="2533">
      <c r="B2533" s="83" t="n"/>
      <c r="C2533" s="83" t="n"/>
      <c r="D2533" s="83" t="n"/>
      <c r="E2533" s="83" t="n"/>
      <c r="F2533" s="83" t="n"/>
      <c r="G2533" s="83" t="n"/>
      <c r="H2533" s="83" t="n"/>
      <c r="I2533" s="83" t="n"/>
      <c r="J2533" s="83" t="n"/>
      <c r="K2533" s="83" t="n"/>
      <c r="L2533" s="83" t="n"/>
      <c r="M2533" s="83" t="n"/>
      <c r="O2533" s="84" t="str">
        <f>IF($C2533="","",IFERROR(MATCH($B2533&amp;"|"&amp;$C2533,MUROS!$AX$11:$AX$70,0),0))</f>
        <v/>
      </c>
      <c r="P2533" s="84" t="str">
        <f>IF($D2533="","",IF(ISNUMBER(MATCH($D2533,CMB_S,0)),1,IF(ISNUMBER(MATCH($D2533,CMB_G,0)),2,0)))</f>
        <v/>
      </c>
      <c r="Q2533" s="84">
        <f>IF(ISNUMBER($H2533),-$H2533,0)</f>
        <v>0</v>
      </c>
      <c r="R2533" s="84">
        <f>IF(ISNUMBER($I2533),ABS($I2533),0)</f>
        <v>0</v>
      </c>
      <c r="S2533" s="84">
        <f>IF(ISNUMBER($M2533),ABS($M2533),0)</f>
        <v>0</v>
      </c>
      <c r="T2533" s="85" t="n">
        <v>2525</v>
      </c>
    </row>
    <row r="2534">
      <c r="B2534" s="83" t="n"/>
      <c r="C2534" s="83" t="n"/>
      <c r="D2534" s="83" t="n"/>
      <c r="E2534" s="83" t="n"/>
      <c r="F2534" s="83" t="n"/>
      <c r="G2534" s="83" t="n"/>
      <c r="H2534" s="83" t="n"/>
      <c r="I2534" s="83" t="n"/>
      <c r="J2534" s="83" t="n"/>
      <c r="K2534" s="83" t="n"/>
      <c r="L2534" s="83" t="n"/>
      <c r="M2534" s="83" t="n"/>
      <c r="O2534" s="84" t="str">
        <f>IF($C2534="","",IFERROR(MATCH($B2534&amp;"|"&amp;$C2534,MUROS!$AX$11:$AX$70,0),0))</f>
        <v/>
      </c>
      <c r="P2534" s="84" t="str">
        <f>IF($D2534="","",IF(ISNUMBER(MATCH($D2534,CMB_S,0)),1,IF(ISNUMBER(MATCH($D2534,CMB_G,0)),2,0)))</f>
        <v/>
      </c>
      <c r="Q2534" s="84">
        <f>IF(ISNUMBER($H2534),-$H2534,0)</f>
        <v>0</v>
      </c>
      <c r="R2534" s="84">
        <f>IF(ISNUMBER($I2534),ABS($I2534),0)</f>
        <v>0</v>
      </c>
      <c r="S2534" s="84">
        <f>IF(ISNUMBER($M2534),ABS($M2534),0)</f>
        <v>0</v>
      </c>
      <c r="T2534" s="85" t="n">
        <v>2526</v>
      </c>
    </row>
    <row r="2535">
      <c r="B2535" s="83" t="n"/>
      <c r="C2535" s="83" t="n"/>
      <c r="D2535" s="83" t="n"/>
      <c r="E2535" s="83" t="n"/>
      <c r="F2535" s="83" t="n"/>
      <c r="G2535" s="83" t="n"/>
      <c r="H2535" s="83" t="n"/>
      <c r="I2535" s="83" t="n"/>
      <c r="J2535" s="83" t="n"/>
      <c r="K2535" s="83" t="n"/>
      <c r="L2535" s="83" t="n"/>
      <c r="M2535" s="83" t="n"/>
      <c r="O2535" s="84" t="str">
        <f>IF($C2535="","",IFERROR(MATCH($B2535&amp;"|"&amp;$C2535,MUROS!$AX$11:$AX$70,0),0))</f>
        <v/>
      </c>
      <c r="P2535" s="84" t="str">
        <f>IF($D2535="","",IF(ISNUMBER(MATCH($D2535,CMB_S,0)),1,IF(ISNUMBER(MATCH($D2535,CMB_G,0)),2,0)))</f>
        <v/>
      </c>
      <c r="Q2535" s="84">
        <f>IF(ISNUMBER($H2535),-$H2535,0)</f>
        <v>0</v>
      </c>
      <c r="R2535" s="84">
        <f>IF(ISNUMBER($I2535),ABS($I2535),0)</f>
        <v>0</v>
      </c>
      <c r="S2535" s="84">
        <f>IF(ISNUMBER($M2535),ABS($M2535),0)</f>
        <v>0</v>
      </c>
      <c r="T2535" s="85" t="n">
        <v>2527</v>
      </c>
    </row>
    <row r="2536">
      <c r="B2536" s="83" t="n"/>
      <c r="C2536" s="83" t="n"/>
      <c r="D2536" s="83" t="n"/>
      <c r="E2536" s="83" t="n"/>
      <c r="F2536" s="83" t="n"/>
      <c r="G2536" s="83" t="n"/>
      <c r="H2536" s="83" t="n"/>
      <c r="I2536" s="83" t="n"/>
      <c r="J2536" s="83" t="n"/>
      <c r="K2536" s="83" t="n"/>
      <c r="L2536" s="83" t="n"/>
      <c r="M2536" s="83" t="n"/>
      <c r="O2536" s="84" t="str">
        <f>IF($C2536="","",IFERROR(MATCH($B2536&amp;"|"&amp;$C2536,MUROS!$AX$11:$AX$70,0),0))</f>
        <v/>
      </c>
      <c r="P2536" s="84" t="str">
        <f>IF($D2536="","",IF(ISNUMBER(MATCH($D2536,CMB_S,0)),1,IF(ISNUMBER(MATCH($D2536,CMB_G,0)),2,0)))</f>
        <v/>
      </c>
      <c r="Q2536" s="84">
        <f>IF(ISNUMBER($H2536),-$H2536,0)</f>
        <v>0</v>
      </c>
      <c r="R2536" s="84">
        <f>IF(ISNUMBER($I2536),ABS($I2536),0)</f>
        <v>0</v>
      </c>
      <c r="S2536" s="84">
        <f>IF(ISNUMBER($M2536),ABS($M2536),0)</f>
        <v>0</v>
      </c>
      <c r="T2536" s="85" t="n">
        <v>2528</v>
      </c>
    </row>
    <row r="2537">
      <c r="B2537" s="83" t="n"/>
      <c r="C2537" s="83" t="n"/>
      <c r="D2537" s="83" t="n"/>
      <c r="E2537" s="83" t="n"/>
      <c r="F2537" s="83" t="n"/>
      <c r="G2537" s="83" t="n"/>
      <c r="H2537" s="83" t="n"/>
      <c r="I2537" s="83" t="n"/>
      <c r="J2537" s="83" t="n"/>
      <c r="K2537" s="83" t="n"/>
      <c r="L2537" s="83" t="n"/>
      <c r="M2537" s="83" t="n"/>
      <c r="O2537" s="84" t="str">
        <f>IF($C2537="","",IFERROR(MATCH($B2537&amp;"|"&amp;$C2537,MUROS!$AX$11:$AX$70,0),0))</f>
        <v/>
      </c>
      <c r="P2537" s="84" t="str">
        <f>IF($D2537="","",IF(ISNUMBER(MATCH($D2537,CMB_S,0)),1,IF(ISNUMBER(MATCH($D2537,CMB_G,0)),2,0)))</f>
        <v/>
      </c>
      <c r="Q2537" s="84">
        <f>IF(ISNUMBER($H2537),-$H2537,0)</f>
        <v>0</v>
      </c>
      <c r="R2537" s="84">
        <f>IF(ISNUMBER($I2537),ABS($I2537),0)</f>
        <v>0</v>
      </c>
      <c r="S2537" s="84">
        <f>IF(ISNUMBER($M2537),ABS($M2537),0)</f>
        <v>0</v>
      </c>
      <c r="T2537" s="85" t="n">
        <v>2529</v>
      </c>
    </row>
    <row r="2538">
      <c r="B2538" s="83" t="n"/>
      <c r="C2538" s="83" t="n"/>
      <c r="D2538" s="83" t="n"/>
      <c r="E2538" s="83" t="n"/>
      <c r="F2538" s="83" t="n"/>
      <c r="G2538" s="83" t="n"/>
      <c r="H2538" s="83" t="n"/>
      <c r="I2538" s="83" t="n"/>
      <c r="J2538" s="83" t="n"/>
      <c r="K2538" s="83" t="n"/>
      <c r="L2538" s="83" t="n"/>
      <c r="M2538" s="83" t="n"/>
      <c r="O2538" s="84" t="str">
        <f>IF($C2538="","",IFERROR(MATCH($B2538&amp;"|"&amp;$C2538,MUROS!$AX$11:$AX$70,0),0))</f>
        <v/>
      </c>
      <c r="P2538" s="84" t="str">
        <f>IF($D2538="","",IF(ISNUMBER(MATCH($D2538,CMB_S,0)),1,IF(ISNUMBER(MATCH($D2538,CMB_G,0)),2,0)))</f>
        <v/>
      </c>
      <c r="Q2538" s="84">
        <f>IF(ISNUMBER($H2538),-$H2538,0)</f>
        <v>0</v>
      </c>
      <c r="R2538" s="84">
        <f>IF(ISNUMBER($I2538),ABS($I2538),0)</f>
        <v>0</v>
      </c>
      <c r="S2538" s="84">
        <f>IF(ISNUMBER($M2538),ABS($M2538),0)</f>
        <v>0</v>
      </c>
      <c r="T2538" s="85" t="n">
        <v>2530</v>
      </c>
    </row>
    <row r="2539">
      <c r="B2539" s="83" t="n"/>
      <c r="C2539" s="83" t="n"/>
      <c r="D2539" s="83" t="n"/>
      <c r="E2539" s="83" t="n"/>
      <c r="F2539" s="83" t="n"/>
      <c r="G2539" s="83" t="n"/>
      <c r="H2539" s="83" t="n"/>
      <c r="I2539" s="83" t="n"/>
      <c r="J2539" s="83" t="n"/>
      <c r="K2539" s="83" t="n"/>
      <c r="L2539" s="83" t="n"/>
      <c r="M2539" s="83" t="n"/>
      <c r="O2539" s="84" t="str">
        <f>IF($C2539="","",IFERROR(MATCH($B2539&amp;"|"&amp;$C2539,MUROS!$AX$11:$AX$70,0),0))</f>
        <v/>
      </c>
      <c r="P2539" s="84" t="str">
        <f>IF($D2539="","",IF(ISNUMBER(MATCH($D2539,CMB_S,0)),1,IF(ISNUMBER(MATCH($D2539,CMB_G,0)),2,0)))</f>
        <v/>
      </c>
      <c r="Q2539" s="84">
        <f>IF(ISNUMBER($H2539),-$H2539,0)</f>
        <v>0</v>
      </c>
      <c r="R2539" s="84">
        <f>IF(ISNUMBER($I2539),ABS($I2539),0)</f>
        <v>0</v>
      </c>
      <c r="S2539" s="84">
        <f>IF(ISNUMBER($M2539),ABS($M2539),0)</f>
        <v>0</v>
      </c>
      <c r="T2539" s="85" t="n">
        <v>2531</v>
      </c>
    </row>
    <row r="2540">
      <c r="B2540" s="83" t="n"/>
      <c r="C2540" s="83" t="n"/>
      <c r="D2540" s="83" t="n"/>
      <c r="E2540" s="83" t="n"/>
      <c r="F2540" s="83" t="n"/>
      <c r="G2540" s="83" t="n"/>
      <c r="H2540" s="83" t="n"/>
      <c r="I2540" s="83" t="n"/>
      <c r="J2540" s="83" t="n"/>
      <c r="K2540" s="83" t="n"/>
      <c r="L2540" s="83" t="n"/>
      <c r="M2540" s="83" t="n"/>
      <c r="O2540" s="84" t="str">
        <f>IF($C2540="","",IFERROR(MATCH($B2540&amp;"|"&amp;$C2540,MUROS!$AX$11:$AX$70,0),0))</f>
        <v/>
      </c>
      <c r="P2540" s="84" t="str">
        <f>IF($D2540="","",IF(ISNUMBER(MATCH($D2540,CMB_S,0)),1,IF(ISNUMBER(MATCH($D2540,CMB_G,0)),2,0)))</f>
        <v/>
      </c>
      <c r="Q2540" s="84">
        <f>IF(ISNUMBER($H2540),-$H2540,0)</f>
        <v>0</v>
      </c>
      <c r="R2540" s="84">
        <f>IF(ISNUMBER($I2540),ABS($I2540),0)</f>
        <v>0</v>
      </c>
      <c r="S2540" s="84">
        <f>IF(ISNUMBER($M2540),ABS($M2540),0)</f>
        <v>0</v>
      </c>
      <c r="T2540" s="85" t="n">
        <v>2532</v>
      </c>
    </row>
    <row r="2541">
      <c r="B2541" s="83" t="n"/>
      <c r="C2541" s="83" t="n"/>
      <c r="D2541" s="83" t="n"/>
      <c r="E2541" s="83" t="n"/>
      <c r="F2541" s="83" t="n"/>
      <c r="G2541" s="83" t="n"/>
      <c r="H2541" s="83" t="n"/>
      <c r="I2541" s="83" t="n"/>
      <c r="J2541" s="83" t="n"/>
      <c r="K2541" s="83" t="n"/>
      <c r="L2541" s="83" t="n"/>
      <c r="M2541" s="83" t="n"/>
      <c r="O2541" s="84" t="str">
        <f>IF($C2541="","",IFERROR(MATCH($B2541&amp;"|"&amp;$C2541,MUROS!$AX$11:$AX$70,0),0))</f>
        <v/>
      </c>
      <c r="P2541" s="84" t="str">
        <f>IF($D2541="","",IF(ISNUMBER(MATCH($D2541,CMB_S,0)),1,IF(ISNUMBER(MATCH($D2541,CMB_G,0)),2,0)))</f>
        <v/>
      </c>
      <c r="Q2541" s="84">
        <f>IF(ISNUMBER($H2541),-$H2541,0)</f>
        <v>0</v>
      </c>
      <c r="R2541" s="84">
        <f>IF(ISNUMBER($I2541),ABS($I2541),0)</f>
        <v>0</v>
      </c>
      <c r="S2541" s="84">
        <f>IF(ISNUMBER($M2541),ABS($M2541),0)</f>
        <v>0</v>
      </c>
      <c r="T2541" s="85" t="n">
        <v>2533</v>
      </c>
    </row>
    <row r="2542">
      <c r="B2542" s="83" t="n"/>
      <c r="C2542" s="83" t="n"/>
      <c r="D2542" s="83" t="n"/>
      <c r="E2542" s="83" t="n"/>
      <c r="F2542" s="83" t="n"/>
      <c r="G2542" s="83" t="n"/>
      <c r="H2542" s="83" t="n"/>
      <c r="I2542" s="83" t="n"/>
      <c r="J2542" s="83" t="n"/>
      <c r="K2542" s="83" t="n"/>
      <c r="L2542" s="83" t="n"/>
      <c r="M2542" s="83" t="n"/>
      <c r="O2542" s="84" t="str">
        <f>IF($C2542="","",IFERROR(MATCH($B2542&amp;"|"&amp;$C2542,MUROS!$AX$11:$AX$70,0),0))</f>
        <v/>
      </c>
      <c r="P2542" s="84" t="str">
        <f>IF($D2542="","",IF(ISNUMBER(MATCH($D2542,CMB_S,0)),1,IF(ISNUMBER(MATCH($D2542,CMB_G,0)),2,0)))</f>
        <v/>
      </c>
      <c r="Q2542" s="84">
        <f>IF(ISNUMBER($H2542),-$H2542,0)</f>
        <v>0</v>
      </c>
      <c r="R2542" s="84">
        <f>IF(ISNUMBER($I2542),ABS($I2542),0)</f>
        <v>0</v>
      </c>
      <c r="S2542" s="84">
        <f>IF(ISNUMBER($M2542),ABS($M2542),0)</f>
        <v>0</v>
      </c>
      <c r="T2542" s="85" t="n">
        <v>2534</v>
      </c>
    </row>
    <row r="2543">
      <c r="B2543" s="83" t="n"/>
      <c r="C2543" s="83" t="n"/>
      <c r="D2543" s="83" t="n"/>
      <c r="E2543" s="83" t="n"/>
      <c r="F2543" s="83" t="n"/>
      <c r="G2543" s="83" t="n"/>
      <c r="H2543" s="83" t="n"/>
      <c r="I2543" s="83" t="n"/>
      <c r="J2543" s="83" t="n"/>
      <c r="K2543" s="83" t="n"/>
      <c r="L2543" s="83" t="n"/>
      <c r="M2543" s="83" t="n"/>
      <c r="O2543" s="84" t="str">
        <f>IF($C2543="","",IFERROR(MATCH($B2543&amp;"|"&amp;$C2543,MUROS!$AX$11:$AX$70,0),0))</f>
        <v/>
      </c>
      <c r="P2543" s="84" t="str">
        <f>IF($D2543="","",IF(ISNUMBER(MATCH($D2543,CMB_S,0)),1,IF(ISNUMBER(MATCH($D2543,CMB_G,0)),2,0)))</f>
        <v/>
      </c>
      <c r="Q2543" s="84">
        <f>IF(ISNUMBER($H2543),-$H2543,0)</f>
        <v>0</v>
      </c>
      <c r="R2543" s="84">
        <f>IF(ISNUMBER($I2543),ABS($I2543),0)</f>
        <v>0</v>
      </c>
      <c r="S2543" s="84">
        <f>IF(ISNUMBER($M2543),ABS($M2543),0)</f>
        <v>0</v>
      </c>
      <c r="T2543" s="85" t="n">
        <v>2535</v>
      </c>
    </row>
    <row r="2544">
      <c r="B2544" s="83" t="n"/>
      <c r="C2544" s="83" t="n"/>
      <c r="D2544" s="83" t="n"/>
      <c r="E2544" s="83" t="n"/>
      <c r="F2544" s="83" t="n"/>
      <c r="G2544" s="83" t="n"/>
      <c r="H2544" s="83" t="n"/>
      <c r="I2544" s="83" t="n"/>
      <c r="J2544" s="83" t="n"/>
      <c r="K2544" s="83" t="n"/>
      <c r="L2544" s="83" t="n"/>
      <c r="M2544" s="83" t="n"/>
      <c r="O2544" s="84" t="str">
        <f>IF($C2544="","",IFERROR(MATCH($B2544&amp;"|"&amp;$C2544,MUROS!$AX$11:$AX$70,0),0))</f>
        <v/>
      </c>
      <c r="P2544" s="84" t="str">
        <f>IF($D2544="","",IF(ISNUMBER(MATCH($D2544,CMB_S,0)),1,IF(ISNUMBER(MATCH($D2544,CMB_G,0)),2,0)))</f>
        <v/>
      </c>
      <c r="Q2544" s="84">
        <f>IF(ISNUMBER($H2544),-$H2544,0)</f>
        <v>0</v>
      </c>
      <c r="R2544" s="84">
        <f>IF(ISNUMBER($I2544),ABS($I2544),0)</f>
        <v>0</v>
      </c>
      <c r="S2544" s="84">
        <f>IF(ISNUMBER($M2544),ABS($M2544),0)</f>
        <v>0</v>
      </c>
      <c r="T2544" s="85" t="n">
        <v>2536</v>
      </c>
    </row>
    <row r="2545">
      <c r="B2545" s="83" t="n"/>
      <c r="C2545" s="83" t="n"/>
      <c r="D2545" s="83" t="n"/>
      <c r="E2545" s="83" t="n"/>
      <c r="F2545" s="83" t="n"/>
      <c r="G2545" s="83" t="n"/>
      <c r="H2545" s="83" t="n"/>
      <c r="I2545" s="83" t="n"/>
      <c r="J2545" s="83" t="n"/>
      <c r="K2545" s="83" t="n"/>
      <c r="L2545" s="83" t="n"/>
      <c r="M2545" s="83" t="n"/>
      <c r="O2545" s="84" t="str">
        <f>IF($C2545="","",IFERROR(MATCH($B2545&amp;"|"&amp;$C2545,MUROS!$AX$11:$AX$70,0),0))</f>
        <v/>
      </c>
      <c r="P2545" s="84" t="str">
        <f>IF($D2545="","",IF(ISNUMBER(MATCH($D2545,CMB_S,0)),1,IF(ISNUMBER(MATCH($D2545,CMB_G,0)),2,0)))</f>
        <v/>
      </c>
      <c r="Q2545" s="84">
        <f>IF(ISNUMBER($H2545),-$H2545,0)</f>
        <v>0</v>
      </c>
      <c r="R2545" s="84">
        <f>IF(ISNUMBER($I2545),ABS($I2545),0)</f>
        <v>0</v>
      </c>
      <c r="S2545" s="84">
        <f>IF(ISNUMBER($M2545),ABS($M2545),0)</f>
        <v>0</v>
      </c>
      <c r="T2545" s="85" t="n">
        <v>2537</v>
      </c>
    </row>
    <row r="2546">
      <c r="B2546" s="83" t="n"/>
      <c r="C2546" s="83" t="n"/>
      <c r="D2546" s="83" t="n"/>
      <c r="E2546" s="83" t="n"/>
      <c r="F2546" s="83" t="n"/>
      <c r="G2546" s="83" t="n"/>
      <c r="H2546" s="83" t="n"/>
      <c r="I2546" s="83" t="n"/>
      <c r="J2546" s="83" t="n"/>
      <c r="K2546" s="83" t="n"/>
      <c r="L2546" s="83" t="n"/>
      <c r="M2546" s="83" t="n"/>
      <c r="O2546" s="84" t="str">
        <f>IF($C2546="","",IFERROR(MATCH($B2546&amp;"|"&amp;$C2546,MUROS!$AX$11:$AX$70,0),0))</f>
        <v/>
      </c>
      <c r="P2546" s="84" t="str">
        <f>IF($D2546="","",IF(ISNUMBER(MATCH($D2546,CMB_S,0)),1,IF(ISNUMBER(MATCH($D2546,CMB_G,0)),2,0)))</f>
        <v/>
      </c>
      <c r="Q2546" s="84">
        <f>IF(ISNUMBER($H2546),-$H2546,0)</f>
        <v>0</v>
      </c>
      <c r="R2546" s="84">
        <f>IF(ISNUMBER($I2546),ABS($I2546),0)</f>
        <v>0</v>
      </c>
      <c r="S2546" s="84">
        <f>IF(ISNUMBER($M2546),ABS($M2546),0)</f>
        <v>0</v>
      </c>
      <c r="T2546" s="85" t="n">
        <v>2538</v>
      </c>
    </row>
    <row r="2547">
      <c r="B2547" s="83" t="n"/>
      <c r="C2547" s="83" t="n"/>
      <c r="D2547" s="83" t="n"/>
      <c r="E2547" s="83" t="n"/>
      <c r="F2547" s="83" t="n"/>
      <c r="G2547" s="83" t="n"/>
      <c r="H2547" s="83" t="n"/>
      <c r="I2547" s="83" t="n"/>
      <c r="J2547" s="83" t="n"/>
      <c r="K2547" s="83" t="n"/>
      <c r="L2547" s="83" t="n"/>
      <c r="M2547" s="83" t="n"/>
      <c r="O2547" s="84" t="str">
        <f>IF($C2547="","",IFERROR(MATCH($B2547&amp;"|"&amp;$C2547,MUROS!$AX$11:$AX$70,0),0))</f>
        <v/>
      </c>
      <c r="P2547" s="84" t="str">
        <f>IF($D2547="","",IF(ISNUMBER(MATCH($D2547,CMB_S,0)),1,IF(ISNUMBER(MATCH($D2547,CMB_G,0)),2,0)))</f>
        <v/>
      </c>
      <c r="Q2547" s="84">
        <f>IF(ISNUMBER($H2547),-$H2547,0)</f>
        <v>0</v>
      </c>
      <c r="R2547" s="84">
        <f>IF(ISNUMBER($I2547),ABS($I2547),0)</f>
        <v>0</v>
      </c>
      <c r="S2547" s="84">
        <f>IF(ISNUMBER($M2547),ABS($M2547),0)</f>
        <v>0</v>
      </c>
      <c r="T2547" s="85" t="n">
        <v>2539</v>
      </c>
    </row>
    <row r="2548">
      <c r="B2548" s="83" t="n"/>
      <c r="C2548" s="83" t="n"/>
      <c r="D2548" s="83" t="n"/>
      <c r="E2548" s="83" t="n"/>
      <c r="F2548" s="83" t="n"/>
      <c r="G2548" s="83" t="n"/>
      <c r="H2548" s="83" t="n"/>
      <c r="I2548" s="83" t="n"/>
      <c r="J2548" s="83" t="n"/>
      <c r="K2548" s="83" t="n"/>
      <c r="L2548" s="83" t="n"/>
      <c r="M2548" s="83" t="n"/>
      <c r="O2548" s="84" t="str">
        <f>IF($C2548="","",IFERROR(MATCH($B2548&amp;"|"&amp;$C2548,MUROS!$AX$11:$AX$70,0),0))</f>
        <v/>
      </c>
      <c r="P2548" s="84" t="str">
        <f>IF($D2548="","",IF(ISNUMBER(MATCH($D2548,CMB_S,0)),1,IF(ISNUMBER(MATCH($D2548,CMB_G,0)),2,0)))</f>
        <v/>
      </c>
      <c r="Q2548" s="84">
        <f>IF(ISNUMBER($H2548),-$H2548,0)</f>
        <v>0</v>
      </c>
      <c r="R2548" s="84">
        <f>IF(ISNUMBER($I2548),ABS($I2548),0)</f>
        <v>0</v>
      </c>
      <c r="S2548" s="84">
        <f>IF(ISNUMBER($M2548),ABS($M2548),0)</f>
        <v>0</v>
      </c>
      <c r="T2548" s="85" t="n">
        <v>2540</v>
      </c>
    </row>
    <row r="2549">
      <c r="B2549" s="83" t="n"/>
      <c r="C2549" s="83" t="n"/>
      <c r="D2549" s="83" t="n"/>
      <c r="E2549" s="83" t="n"/>
      <c r="F2549" s="83" t="n"/>
      <c r="G2549" s="83" t="n"/>
      <c r="H2549" s="83" t="n"/>
      <c r="I2549" s="83" t="n"/>
      <c r="J2549" s="83" t="n"/>
      <c r="K2549" s="83" t="n"/>
      <c r="L2549" s="83" t="n"/>
      <c r="M2549" s="83" t="n"/>
      <c r="O2549" s="84" t="str">
        <f>IF($C2549="","",IFERROR(MATCH($B2549&amp;"|"&amp;$C2549,MUROS!$AX$11:$AX$70,0),0))</f>
        <v/>
      </c>
      <c r="P2549" s="84" t="str">
        <f>IF($D2549="","",IF(ISNUMBER(MATCH($D2549,CMB_S,0)),1,IF(ISNUMBER(MATCH($D2549,CMB_G,0)),2,0)))</f>
        <v/>
      </c>
      <c r="Q2549" s="84">
        <f>IF(ISNUMBER($H2549),-$H2549,0)</f>
        <v>0</v>
      </c>
      <c r="R2549" s="84">
        <f>IF(ISNUMBER($I2549),ABS($I2549),0)</f>
        <v>0</v>
      </c>
      <c r="S2549" s="84">
        <f>IF(ISNUMBER($M2549),ABS($M2549),0)</f>
        <v>0</v>
      </c>
      <c r="T2549" s="85" t="n">
        <v>2541</v>
      </c>
    </row>
    <row r="2550">
      <c r="B2550" s="83" t="n"/>
      <c r="C2550" s="83" t="n"/>
      <c r="D2550" s="83" t="n"/>
      <c r="E2550" s="83" t="n"/>
      <c r="F2550" s="83" t="n"/>
      <c r="G2550" s="83" t="n"/>
      <c r="H2550" s="83" t="n"/>
      <c r="I2550" s="83" t="n"/>
      <c r="J2550" s="83" t="n"/>
      <c r="K2550" s="83" t="n"/>
      <c r="L2550" s="83" t="n"/>
      <c r="M2550" s="83" t="n"/>
      <c r="O2550" s="84" t="str">
        <f>IF($C2550="","",IFERROR(MATCH($B2550&amp;"|"&amp;$C2550,MUROS!$AX$11:$AX$70,0),0))</f>
        <v/>
      </c>
      <c r="P2550" s="84" t="str">
        <f>IF($D2550="","",IF(ISNUMBER(MATCH($D2550,CMB_S,0)),1,IF(ISNUMBER(MATCH($D2550,CMB_G,0)),2,0)))</f>
        <v/>
      </c>
      <c r="Q2550" s="84">
        <f>IF(ISNUMBER($H2550),-$H2550,0)</f>
        <v>0</v>
      </c>
      <c r="R2550" s="84">
        <f>IF(ISNUMBER($I2550),ABS($I2550),0)</f>
        <v>0</v>
      </c>
      <c r="S2550" s="84">
        <f>IF(ISNUMBER($M2550),ABS($M2550),0)</f>
        <v>0</v>
      </c>
      <c r="T2550" s="85" t="n">
        <v>2542</v>
      </c>
    </row>
    <row r="2551">
      <c r="B2551" s="83" t="n"/>
      <c r="C2551" s="83" t="n"/>
      <c r="D2551" s="83" t="n"/>
      <c r="E2551" s="83" t="n"/>
      <c r="F2551" s="83" t="n"/>
      <c r="G2551" s="83" t="n"/>
      <c r="H2551" s="83" t="n"/>
      <c r="I2551" s="83" t="n"/>
      <c r="J2551" s="83" t="n"/>
      <c r="K2551" s="83" t="n"/>
      <c r="L2551" s="83" t="n"/>
      <c r="M2551" s="83" t="n"/>
      <c r="O2551" s="84" t="str">
        <f>IF($C2551="","",IFERROR(MATCH($B2551&amp;"|"&amp;$C2551,MUROS!$AX$11:$AX$70,0),0))</f>
        <v/>
      </c>
      <c r="P2551" s="84" t="str">
        <f>IF($D2551="","",IF(ISNUMBER(MATCH($D2551,CMB_S,0)),1,IF(ISNUMBER(MATCH($D2551,CMB_G,0)),2,0)))</f>
        <v/>
      </c>
      <c r="Q2551" s="84">
        <f>IF(ISNUMBER($H2551),-$H2551,0)</f>
        <v>0</v>
      </c>
      <c r="R2551" s="84">
        <f>IF(ISNUMBER($I2551),ABS($I2551),0)</f>
        <v>0</v>
      </c>
      <c r="S2551" s="84">
        <f>IF(ISNUMBER($M2551),ABS($M2551),0)</f>
        <v>0</v>
      </c>
      <c r="T2551" s="85" t="n">
        <v>2543</v>
      </c>
    </row>
    <row r="2552">
      <c r="B2552" s="83" t="n"/>
      <c r="C2552" s="83" t="n"/>
      <c r="D2552" s="83" t="n"/>
      <c r="E2552" s="83" t="n"/>
      <c r="F2552" s="83" t="n"/>
      <c r="G2552" s="83" t="n"/>
      <c r="H2552" s="83" t="n"/>
      <c r="I2552" s="83" t="n"/>
      <c r="J2552" s="83" t="n"/>
      <c r="K2552" s="83" t="n"/>
      <c r="L2552" s="83" t="n"/>
      <c r="M2552" s="83" t="n"/>
      <c r="O2552" s="84" t="str">
        <f>IF($C2552="","",IFERROR(MATCH($B2552&amp;"|"&amp;$C2552,MUROS!$AX$11:$AX$70,0),0))</f>
        <v/>
      </c>
      <c r="P2552" s="84" t="str">
        <f>IF($D2552="","",IF(ISNUMBER(MATCH($D2552,CMB_S,0)),1,IF(ISNUMBER(MATCH($D2552,CMB_G,0)),2,0)))</f>
        <v/>
      </c>
      <c r="Q2552" s="84">
        <f>IF(ISNUMBER($H2552),-$H2552,0)</f>
        <v>0</v>
      </c>
      <c r="R2552" s="84">
        <f>IF(ISNUMBER($I2552),ABS($I2552),0)</f>
        <v>0</v>
      </c>
      <c r="S2552" s="84">
        <f>IF(ISNUMBER($M2552),ABS($M2552),0)</f>
        <v>0</v>
      </c>
      <c r="T2552" s="85" t="n">
        <v>2544</v>
      </c>
    </row>
    <row r="2553">
      <c r="B2553" s="83" t="n"/>
      <c r="C2553" s="83" t="n"/>
      <c r="D2553" s="83" t="n"/>
      <c r="E2553" s="83" t="n"/>
      <c r="F2553" s="83" t="n"/>
      <c r="G2553" s="83" t="n"/>
      <c r="H2553" s="83" t="n"/>
      <c r="I2553" s="83" t="n"/>
      <c r="J2553" s="83" t="n"/>
      <c r="K2553" s="83" t="n"/>
      <c r="L2553" s="83" t="n"/>
      <c r="M2553" s="83" t="n"/>
      <c r="O2553" s="84" t="str">
        <f>IF($C2553="","",IFERROR(MATCH($B2553&amp;"|"&amp;$C2553,MUROS!$AX$11:$AX$70,0),0))</f>
        <v/>
      </c>
      <c r="P2553" s="84" t="str">
        <f>IF($D2553="","",IF(ISNUMBER(MATCH($D2553,CMB_S,0)),1,IF(ISNUMBER(MATCH($D2553,CMB_G,0)),2,0)))</f>
        <v/>
      </c>
      <c r="Q2553" s="84">
        <f>IF(ISNUMBER($H2553),-$H2553,0)</f>
        <v>0</v>
      </c>
      <c r="R2553" s="84">
        <f>IF(ISNUMBER($I2553),ABS($I2553),0)</f>
        <v>0</v>
      </c>
      <c r="S2553" s="84">
        <f>IF(ISNUMBER($M2553),ABS($M2553),0)</f>
        <v>0</v>
      </c>
      <c r="T2553" s="85" t="n">
        <v>2545</v>
      </c>
    </row>
    <row r="2554">
      <c r="B2554" s="83" t="n"/>
      <c r="C2554" s="83" t="n"/>
      <c r="D2554" s="83" t="n"/>
      <c r="E2554" s="83" t="n"/>
      <c r="F2554" s="83" t="n"/>
      <c r="G2554" s="83" t="n"/>
      <c r="H2554" s="83" t="n"/>
      <c r="I2554" s="83" t="n"/>
      <c r="J2554" s="83" t="n"/>
      <c r="K2554" s="83" t="n"/>
      <c r="L2554" s="83" t="n"/>
      <c r="M2554" s="83" t="n"/>
      <c r="O2554" s="84" t="str">
        <f>IF($C2554="","",IFERROR(MATCH($B2554&amp;"|"&amp;$C2554,MUROS!$AX$11:$AX$70,0),0))</f>
        <v/>
      </c>
      <c r="P2554" s="84" t="str">
        <f>IF($D2554="","",IF(ISNUMBER(MATCH($D2554,CMB_S,0)),1,IF(ISNUMBER(MATCH($D2554,CMB_G,0)),2,0)))</f>
        <v/>
      </c>
      <c r="Q2554" s="84">
        <f>IF(ISNUMBER($H2554),-$H2554,0)</f>
        <v>0</v>
      </c>
      <c r="R2554" s="84">
        <f>IF(ISNUMBER($I2554),ABS($I2554),0)</f>
        <v>0</v>
      </c>
      <c r="S2554" s="84">
        <f>IF(ISNUMBER($M2554),ABS($M2554),0)</f>
        <v>0</v>
      </c>
      <c r="T2554" s="85" t="n">
        <v>2546</v>
      </c>
    </row>
    <row r="2555">
      <c r="B2555" s="83" t="n"/>
      <c r="C2555" s="83" t="n"/>
      <c r="D2555" s="83" t="n"/>
      <c r="E2555" s="83" t="n"/>
      <c r="F2555" s="83" t="n"/>
      <c r="G2555" s="83" t="n"/>
      <c r="H2555" s="83" t="n"/>
      <c r="I2555" s="83" t="n"/>
      <c r="J2555" s="83" t="n"/>
      <c r="K2555" s="83" t="n"/>
      <c r="L2555" s="83" t="n"/>
      <c r="M2555" s="83" t="n"/>
      <c r="O2555" s="84" t="str">
        <f>IF($C2555="","",IFERROR(MATCH($B2555&amp;"|"&amp;$C2555,MUROS!$AX$11:$AX$70,0),0))</f>
        <v/>
      </c>
      <c r="P2555" s="84" t="str">
        <f>IF($D2555="","",IF(ISNUMBER(MATCH($D2555,CMB_S,0)),1,IF(ISNUMBER(MATCH($D2555,CMB_G,0)),2,0)))</f>
        <v/>
      </c>
      <c r="Q2555" s="84">
        <f>IF(ISNUMBER($H2555),-$H2555,0)</f>
        <v>0</v>
      </c>
      <c r="R2555" s="84">
        <f>IF(ISNUMBER($I2555),ABS($I2555),0)</f>
        <v>0</v>
      </c>
      <c r="S2555" s="84">
        <f>IF(ISNUMBER($M2555),ABS($M2555),0)</f>
        <v>0</v>
      </c>
      <c r="T2555" s="85" t="n">
        <v>2547</v>
      </c>
    </row>
    <row r="2556">
      <c r="B2556" s="83" t="n"/>
      <c r="C2556" s="83" t="n"/>
      <c r="D2556" s="83" t="n"/>
      <c r="E2556" s="83" t="n"/>
      <c r="F2556" s="83" t="n"/>
      <c r="G2556" s="83" t="n"/>
      <c r="H2556" s="83" t="n"/>
      <c r="I2556" s="83" t="n"/>
      <c r="J2556" s="83" t="n"/>
      <c r="K2556" s="83" t="n"/>
      <c r="L2556" s="83" t="n"/>
      <c r="M2556" s="83" t="n"/>
      <c r="O2556" s="84" t="str">
        <f>IF($C2556="","",IFERROR(MATCH($B2556&amp;"|"&amp;$C2556,MUROS!$AX$11:$AX$70,0),0))</f>
        <v/>
      </c>
      <c r="P2556" s="84" t="str">
        <f>IF($D2556="","",IF(ISNUMBER(MATCH($D2556,CMB_S,0)),1,IF(ISNUMBER(MATCH($D2556,CMB_G,0)),2,0)))</f>
        <v/>
      </c>
      <c r="Q2556" s="84">
        <f>IF(ISNUMBER($H2556),-$H2556,0)</f>
        <v>0</v>
      </c>
      <c r="R2556" s="84">
        <f>IF(ISNUMBER($I2556),ABS($I2556),0)</f>
        <v>0</v>
      </c>
      <c r="S2556" s="84">
        <f>IF(ISNUMBER($M2556),ABS($M2556),0)</f>
        <v>0</v>
      </c>
      <c r="T2556" s="85" t="n">
        <v>2548</v>
      </c>
    </row>
    <row r="2557">
      <c r="B2557" s="83" t="n"/>
      <c r="C2557" s="83" t="n"/>
      <c r="D2557" s="83" t="n"/>
      <c r="E2557" s="83" t="n"/>
      <c r="F2557" s="83" t="n"/>
      <c r="G2557" s="83" t="n"/>
      <c r="H2557" s="83" t="n"/>
      <c r="I2557" s="83" t="n"/>
      <c r="J2557" s="83" t="n"/>
      <c r="K2557" s="83" t="n"/>
      <c r="L2557" s="83" t="n"/>
      <c r="M2557" s="83" t="n"/>
      <c r="O2557" s="84" t="str">
        <f>IF($C2557="","",IFERROR(MATCH($B2557&amp;"|"&amp;$C2557,MUROS!$AX$11:$AX$70,0),0))</f>
        <v/>
      </c>
      <c r="P2557" s="84" t="str">
        <f>IF($D2557="","",IF(ISNUMBER(MATCH($D2557,CMB_S,0)),1,IF(ISNUMBER(MATCH($D2557,CMB_G,0)),2,0)))</f>
        <v/>
      </c>
      <c r="Q2557" s="84">
        <f>IF(ISNUMBER($H2557),-$H2557,0)</f>
        <v>0</v>
      </c>
      <c r="R2557" s="84">
        <f>IF(ISNUMBER($I2557),ABS($I2557),0)</f>
        <v>0</v>
      </c>
      <c r="S2557" s="84">
        <f>IF(ISNUMBER($M2557),ABS($M2557),0)</f>
        <v>0</v>
      </c>
      <c r="T2557" s="85" t="n">
        <v>2549</v>
      </c>
    </row>
    <row r="2558">
      <c r="B2558" s="83" t="n"/>
      <c r="C2558" s="83" t="n"/>
      <c r="D2558" s="83" t="n"/>
      <c r="E2558" s="83" t="n"/>
      <c r="F2558" s="83" t="n"/>
      <c r="G2558" s="83" t="n"/>
      <c r="H2558" s="83" t="n"/>
      <c r="I2558" s="83" t="n"/>
      <c r="J2558" s="83" t="n"/>
      <c r="K2558" s="83" t="n"/>
      <c r="L2558" s="83" t="n"/>
      <c r="M2558" s="83" t="n"/>
      <c r="O2558" s="84" t="str">
        <f>IF($C2558="","",IFERROR(MATCH($B2558&amp;"|"&amp;$C2558,MUROS!$AX$11:$AX$70,0),0))</f>
        <v/>
      </c>
      <c r="P2558" s="84" t="str">
        <f>IF($D2558="","",IF(ISNUMBER(MATCH($D2558,CMB_S,0)),1,IF(ISNUMBER(MATCH($D2558,CMB_G,0)),2,0)))</f>
        <v/>
      </c>
      <c r="Q2558" s="84">
        <f>IF(ISNUMBER($H2558),-$H2558,0)</f>
        <v>0</v>
      </c>
      <c r="R2558" s="84">
        <f>IF(ISNUMBER($I2558),ABS($I2558),0)</f>
        <v>0</v>
      </c>
      <c r="S2558" s="84">
        <f>IF(ISNUMBER($M2558),ABS($M2558),0)</f>
        <v>0</v>
      </c>
      <c r="T2558" s="85" t="n">
        <v>2550</v>
      </c>
    </row>
    <row r="2559">
      <c r="B2559" s="83" t="n"/>
      <c r="C2559" s="83" t="n"/>
      <c r="D2559" s="83" t="n"/>
      <c r="E2559" s="83" t="n"/>
      <c r="F2559" s="83" t="n"/>
      <c r="G2559" s="83" t="n"/>
      <c r="H2559" s="83" t="n"/>
      <c r="I2559" s="83" t="n"/>
      <c r="J2559" s="83" t="n"/>
      <c r="K2559" s="83" t="n"/>
      <c r="L2559" s="83" t="n"/>
      <c r="M2559" s="83" t="n"/>
      <c r="O2559" s="84" t="str">
        <f>IF($C2559="","",IFERROR(MATCH($B2559&amp;"|"&amp;$C2559,MUROS!$AX$11:$AX$70,0),0))</f>
        <v/>
      </c>
      <c r="P2559" s="84" t="str">
        <f>IF($D2559="","",IF(ISNUMBER(MATCH($D2559,CMB_S,0)),1,IF(ISNUMBER(MATCH($D2559,CMB_G,0)),2,0)))</f>
        <v/>
      </c>
      <c r="Q2559" s="84">
        <f>IF(ISNUMBER($H2559),-$H2559,0)</f>
        <v>0</v>
      </c>
      <c r="R2559" s="84">
        <f>IF(ISNUMBER($I2559),ABS($I2559),0)</f>
        <v>0</v>
      </c>
      <c r="S2559" s="84">
        <f>IF(ISNUMBER($M2559),ABS($M2559),0)</f>
        <v>0</v>
      </c>
      <c r="T2559" s="85" t="n">
        <v>2551</v>
      </c>
    </row>
    <row r="2560">
      <c r="B2560" s="83" t="n"/>
      <c r="C2560" s="83" t="n"/>
      <c r="D2560" s="83" t="n"/>
      <c r="E2560" s="83" t="n"/>
      <c r="F2560" s="83" t="n"/>
      <c r="G2560" s="83" t="n"/>
      <c r="H2560" s="83" t="n"/>
      <c r="I2560" s="83" t="n"/>
      <c r="J2560" s="83" t="n"/>
      <c r="K2560" s="83" t="n"/>
      <c r="L2560" s="83" t="n"/>
      <c r="M2560" s="83" t="n"/>
      <c r="O2560" s="84" t="str">
        <f>IF($C2560="","",IFERROR(MATCH($B2560&amp;"|"&amp;$C2560,MUROS!$AX$11:$AX$70,0),0))</f>
        <v/>
      </c>
      <c r="P2560" s="84" t="str">
        <f>IF($D2560="","",IF(ISNUMBER(MATCH($D2560,CMB_S,0)),1,IF(ISNUMBER(MATCH($D2560,CMB_G,0)),2,0)))</f>
        <v/>
      </c>
      <c r="Q2560" s="84">
        <f>IF(ISNUMBER($H2560),-$H2560,0)</f>
        <v>0</v>
      </c>
      <c r="R2560" s="84">
        <f>IF(ISNUMBER($I2560),ABS($I2560),0)</f>
        <v>0</v>
      </c>
      <c r="S2560" s="84">
        <f>IF(ISNUMBER($M2560),ABS($M2560),0)</f>
        <v>0</v>
      </c>
      <c r="T2560" s="85" t="n">
        <v>2552</v>
      </c>
    </row>
    <row r="2561">
      <c r="B2561" s="83" t="n"/>
      <c r="C2561" s="83" t="n"/>
      <c r="D2561" s="83" t="n"/>
      <c r="E2561" s="83" t="n"/>
      <c r="F2561" s="83" t="n"/>
      <c r="G2561" s="83" t="n"/>
      <c r="H2561" s="83" t="n"/>
      <c r="I2561" s="83" t="n"/>
      <c r="J2561" s="83" t="n"/>
      <c r="K2561" s="83" t="n"/>
      <c r="L2561" s="83" t="n"/>
      <c r="M2561" s="83" t="n"/>
      <c r="O2561" s="84" t="str">
        <f>IF($C2561="","",IFERROR(MATCH($B2561&amp;"|"&amp;$C2561,MUROS!$AX$11:$AX$70,0),0))</f>
        <v/>
      </c>
      <c r="P2561" s="84" t="str">
        <f>IF($D2561="","",IF(ISNUMBER(MATCH($D2561,CMB_S,0)),1,IF(ISNUMBER(MATCH($D2561,CMB_G,0)),2,0)))</f>
        <v/>
      </c>
      <c r="Q2561" s="84">
        <f>IF(ISNUMBER($H2561),-$H2561,0)</f>
        <v>0</v>
      </c>
      <c r="R2561" s="84">
        <f>IF(ISNUMBER($I2561),ABS($I2561),0)</f>
        <v>0</v>
      </c>
      <c r="S2561" s="84">
        <f>IF(ISNUMBER($M2561),ABS($M2561),0)</f>
        <v>0</v>
      </c>
      <c r="T2561" s="85" t="n">
        <v>2553</v>
      </c>
    </row>
    <row r="2562">
      <c r="B2562" s="83" t="n"/>
      <c r="C2562" s="83" t="n"/>
      <c r="D2562" s="83" t="n"/>
      <c r="E2562" s="83" t="n"/>
      <c r="F2562" s="83" t="n"/>
      <c r="G2562" s="83" t="n"/>
      <c r="H2562" s="83" t="n"/>
      <c r="I2562" s="83" t="n"/>
      <c r="J2562" s="83" t="n"/>
      <c r="K2562" s="83" t="n"/>
      <c r="L2562" s="83" t="n"/>
      <c r="M2562" s="83" t="n"/>
      <c r="O2562" s="84" t="str">
        <f>IF($C2562="","",IFERROR(MATCH($B2562&amp;"|"&amp;$C2562,MUROS!$AX$11:$AX$70,0),0))</f>
        <v/>
      </c>
      <c r="P2562" s="84" t="str">
        <f>IF($D2562="","",IF(ISNUMBER(MATCH($D2562,CMB_S,0)),1,IF(ISNUMBER(MATCH($D2562,CMB_G,0)),2,0)))</f>
        <v/>
      </c>
      <c r="Q2562" s="84">
        <f>IF(ISNUMBER($H2562),-$H2562,0)</f>
        <v>0</v>
      </c>
      <c r="R2562" s="84">
        <f>IF(ISNUMBER($I2562),ABS($I2562),0)</f>
        <v>0</v>
      </c>
      <c r="S2562" s="84">
        <f>IF(ISNUMBER($M2562),ABS($M2562),0)</f>
        <v>0</v>
      </c>
      <c r="T2562" s="85" t="n">
        <v>2554</v>
      </c>
    </row>
    <row r="2563">
      <c r="B2563" s="83" t="n"/>
      <c r="C2563" s="83" t="n"/>
      <c r="D2563" s="83" t="n"/>
      <c r="E2563" s="83" t="n"/>
      <c r="F2563" s="83" t="n"/>
      <c r="G2563" s="83" t="n"/>
      <c r="H2563" s="83" t="n"/>
      <c r="I2563" s="83" t="n"/>
      <c r="J2563" s="83" t="n"/>
      <c r="K2563" s="83" t="n"/>
      <c r="L2563" s="83" t="n"/>
      <c r="M2563" s="83" t="n"/>
      <c r="O2563" s="84" t="str">
        <f>IF($C2563="","",IFERROR(MATCH($B2563&amp;"|"&amp;$C2563,MUROS!$AX$11:$AX$70,0),0))</f>
        <v/>
      </c>
      <c r="P2563" s="84" t="str">
        <f>IF($D2563="","",IF(ISNUMBER(MATCH($D2563,CMB_S,0)),1,IF(ISNUMBER(MATCH($D2563,CMB_G,0)),2,0)))</f>
        <v/>
      </c>
      <c r="Q2563" s="84">
        <f>IF(ISNUMBER($H2563),-$H2563,0)</f>
        <v>0</v>
      </c>
      <c r="R2563" s="84">
        <f>IF(ISNUMBER($I2563),ABS($I2563),0)</f>
        <v>0</v>
      </c>
      <c r="S2563" s="84">
        <f>IF(ISNUMBER($M2563),ABS($M2563),0)</f>
        <v>0</v>
      </c>
      <c r="T2563" s="85" t="n">
        <v>2555</v>
      </c>
    </row>
    <row r="2564">
      <c r="B2564" s="83" t="n"/>
      <c r="C2564" s="83" t="n"/>
      <c r="D2564" s="83" t="n"/>
      <c r="E2564" s="83" t="n"/>
      <c r="F2564" s="83" t="n"/>
      <c r="G2564" s="83" t="n"/>
      <c r="H2564" s="83" t="n"/>
      <c r="I2564" s="83" t="n"/>
      <c r="J2564" s="83" t="n"/>
      <c r="K2564" s="83" t="n"/>
      <c r="L2564" s="83" t="n"/>
      <c r="M2564" s="83" t="n"/>
      <c r="O2564" s="84" t="str">
        <f>IF($C2564="","",IFERROR(MATCH($B2564&amp;"|"&amp;$C2564,MUROS!$AX$11:$AX$70,0),0))</f>
        <v/>
      </c>
      <c r="P2564" s="84" t="str">
        <f>IF($D2564="","",IF(ISNUMBER(MATCH($D2564,CMB_S,0)),1,IF(ISNUMBER(MATCH($D2564,CMB_G,0)),2,0)))</f>
        <v/>
      </c>
      <c r="Q2564" s="84">
        <f>IF(ISNUMBER($H2564),-$H2564,0)</f>
        <v>0</v>
      </c>
      <c r="R2564" s="84">
        <f>IF(ISNUMBER($I2564),ABS($I2564),0)</f>
        <v>0</v>
      </c>
      <c r="S2564" s="84">
        <f>IF(ISNUMBER($M2564),ABS($M2564),0)</f>
        <v>0</v>
      </c>
      <c r="T2564" s="85" t="n">
        <v>2556</v>
      </c>
    </row>
    <row r="2565">
      <c r="B2565" s="83" t="n"/>
      <c r="C2565" s="83" t="n"/>
      <c r="D2565" s="83" t="n"/>
      <c r="E2565" s="83" t="n"/>
      <c r="F2565" s="83" t="n"/>
      <c r="G2565" s="83" t="n"/>
      <c r="H2565" s="83" t="n"/>
      <c r="I2565" s="83" t="n"/>
      <c r="J2565" s="83" t="n"/>
      <c r="K2565" s="83" t="n"/>
      <c r="L2565" s="83" t="n"/>
      <c r="M2565" s="83" t="n"/>
      <c r="O2565" s="84" t="str">
        <f>IF($C2565="","",IFERROR(MATCH($B2565&amp;"|"&amp;$C2565,MUROS!$AX$11:$AX$70,0),0))</f>
        <v/>
      </c>
      <c r="P2565" s="84" t="str">
        <f>IF($D2565="","",IF(ISNUMBER(MATCH($D2565,CMB_S,0)),1,IF(ISNUMBER(MATCH($D2565,CMB_G,0)),2,0)))</f>
        <v/>
      </c>
      <c r="Q2565" s="84">
        <f>IF(ISNUMBER($H2565),-$H2565,0)</f>
        <v>0</v>
      </c>
      <c r="R2565" s="84">
        <f>IF(ISNUMBER($I2565),ABS($I2565),0)</f>
        <v>0</v>
      </c>
      <c r="S2565" s="84">
        <f>IF(ISNUMBER($M2565),ABS($M2565),0)</f>
        <v>0</v>
      </c>
      <c r="T2565" s="85" t="n">
        <v>2557</v>
      </c>
    </row>
    <row r="2566">
      <c r="B2566" s="83" t="n"/>
      <c r="C2566" s="83" t="n"/>
      <c r="D2566" s="83" t="n"/>
      <c r="E2566" s="83" t="n"/>
      <c r="F2566" s="83" t="n"/>
      <c r="G2566" s="83" t="n"/>
      <c r="H2566" s="83" t="n"/>
      <c r="I2566" s="83" t="n"/>
      <c r="J2566" s="83" t="n"/>
      <c r="K2566" s="83" t="n"/>
      <c r="L2566" s="83" t="n"/>
      <c r="M2566" s="83" t="n"/>
      <c r="O2566" s="84" t="str">
        <f>IF($C2566="","",IFERROR(MATCH($B2566&amp;"|"&amp;$C2566,MUROS!$AX$11:$AX$70,0),0))</f>
        <v/>
      </c>
      <c r="P2566" s="84" t="str">
        <f>IF($D2566="","",IF(ISNUMBER(MATCH($D2566,CMB_S,0)),1,IF(ISNUMBER(MATCH($D2566,CMB_G,0)),2,0)))</f>
        <v/>
      </c>
      <c r="Q2566" s="84">
        <f>IF(ISNUMBER($H2566),-$H2566,0)</f>
        <v>0</v>
      </c>
      <c r="R2566" s="84">
        <f>IF(ISNUMBER($I2566),ABS($I2566),0)</f>
        <v>0</v>
      </c>
      <c r="S2566" s="84">
        <f>IF(ISNUMBER($M2566),ABS($M2566),0)</f>
        <v>0</v>
      </c>
      <c r="T2566" s="85" t="n">
        <v>2558</v>
      </c>
    </row>
    <row r="2567">
      <c r="B2567" s="83" t="n"/>
      <c r="C2567" s="83" t="n"/>
      <c r="D2567" s="83" t="n"/>
      <c r="E2567" s="83" t="n"/>
      <c r="F2567" s="83" t="n"/>
      <c r="G2567" s="83" t="n"/>
      <c r="H2567" s="83" t="n"/>
      <c r="I2567" s="83" t="n"/>
      <c r="J2567" s="83" t="n"/>
      <c r="K2567" s="83" t="n"/>
      <c r="L2567" s="83" t="n"/>
      <c r="M2567" s="83" t="n"/>
      <c r="O2567" s="84" t="str">
        <f>IF($C2567="","",IFERROR(MATCH($B2567&amp;"|"&amp;$C2567,MUROS!$AX$11:$AX$70,0),0))</f>
        <v/>
      </c>
      <c r="P2567" s="84" t="str">
        <f>IF($D2567="","",IF(ISNUMBER(MATCH($D2567,CMB_S,0)),1,IF(ISNUMBER(MATCH($D2567,CMB_G,0)),2,0)))</f>
        <v/>
      </c>
      <c r="Q2567" s="84">
        <f>IF(ISNUMBER($H2567),-$H2567,0)</f>
        <v>0</v>
      </c>
      <c r="R2567" s="84">
        <f>IF(ISNUMBER($I2567),ABS($I2567),0)</f>
        <v>0</v>
      </c>
      <c r="S2567" s="84">
        <f>IF(ISNUMBER($M2567),ABS($M2567),0)</f>
        <v>0</v>
      </c>
      <c r="T2567" s="85" t="n">
        <v>2559</v>
      </c>
    </row>
    <row r="2568">
      <c r="B2568" s="83" t="n"/>
      <c r="C2568" s="83" t="n"/>
      <c r="D2568" s="83" t="n"/>
      <c r="E2568" s="83" t="n"/>
      <c r="F2568" s="83" t="n"/>
      <c r="G2568" s="83" t="n"/>
      <c r="H2568" s="83" t="n"/>
      <c r="I2568" s="83" t="n"/>
      <c r="J2568" s="83" t="n"/>
      <c r="K2568" s="83" t="n"/>
      <c r="L2568" s="83" t="n"/>
      <c r="M2568" s="83" t="n"/>
      <c r="O2568" s="84" t="str">
        <f>IF($C2568="","",IFERROR(MATCH($B2568&amp;"|"&amp;$C2568,MUROS!$AX$11:$AX$70,0),0))</f>
        <v/>
      </c>
      <c r="P2568" s="84" t="str">
        <f>IF($D2568="","",IF(ISNUMBER(MATCH($D2568,CMB_S,0)),1,IF(ISNUMBER(MATCH($D2568,CMB_G,0)),2,0)))</f>
        <v/>
      </c>
      <c r="Q2568" s="84">
        <f>IF(ISNUMBER($H2568),-$H2568,0)</f>
        <v>0</v>
      </c>
      <c r="R2568" s="84">
        <f>IF(ISNUMBER($I2568),ABS($I2568),0)</f>
        <v>0</v>
      </c>
      <c r="S2568" s="84">
        <f>IF(ISNUMBER($M2568),ABS($M2568),0)</f>
        <v>0</v>
      </c>
      <c r="T2568" s="85" t="n">
        <v>2560</v>
      </c>
    </row>
    <row r="2569">
      <c r="B2569" s="83" t="n"/>
      <c r="C2569" s="83" t="n"/>
      <c r="D2569" s="83" t="n"/>
      <c r="E2569" s="83" t="n"/>
      <c r="F2569" s="83" t="n"/>
      <c r="G2569" s="83" t="n"/>
      <c r="H2569" s="83" t="n"/>
      <c r="I2569" s="83" t="n"/>
      <c r="J2569" s="83" t="n"/>
      <c r="K2569" s="83" t="n"/>
      <c r="L2569" s="83" t="n"/>
      <c r="M2569" s="83" t="n"/>
      <c r="O2569" s="84" t="str">
        <f>IF($C2569="","",IFERROR(MATCH($B2569&amp;"|"&amp;$C2569,MUROS!$AX$11:$AX$70,0),0))</f>
        <v/>
      </c>
      <c r="P2569" s="84" t="str">
        <f>IF($D2569="","",IF(ISNUMBER(MATCH($D2569,CMB_S,0)),1,IF(ISNUMBER(MATCH($D2569,CMB_G,0)),2,0)))</f>
        <v/>
      </c>
      <c r="Q2569" s="84">
        <f>IF(ISNUMBER($H2569),-$H2569,0)</f>
        <v>0</v>
      </c>
      <c r="R2569" s="84">
        <f>IF(ISNUMBER($I2569),ABS($I2569),0)</f>
        <v>0</v>
      </c>
      <c r="S2569" s="84">
        <f>IF(ISNUMBER($M2569),ABS($M2569),0)</f>
        <v>0</v>
      </c>
      <c r="T2569" s="85" t="n">
        <v>2561</v>
      </c>
    </row>
    <row r="2570">
      <c r="B2570" s="83" t="n"/>
      <c r="C2570" s="83" t="n"/>
      <c r="D2570" s="83" t="n"/>
      <c r="E2570" s="83" t="n"/>
      <c r="F2570" s="83" t="n"/>
      <c r="G2570" s="83" t="n"/>
      <c r="H2570" s="83" t="n"/>
      <c r="I2570" s="83" t="n"/>
      <c r="J2570" s="83" t="n"/>
      <c r="K2570" s="83" t="n"/>
      <c r="L2570" s="83" t="n"/>
      <c r="M2570" s="83" t="n"/>
      <c r="O2570" s="84" t="str">
        <f>IF($C2570="","",IFERROR(MATCH($B2570&amp;"|"&amp;$C2570,MUROS!$AX$11:$AX$70,0),0))</f>
        <v/>
      </c>
      <c r="P2570" s="84" t="str">
        <f>IF($D2570="","",IF(ISNUMBER(MATCH($D2570,CMB_S,0)),1,IF(ISNUMBER(MATCH($D2570,CMB_G,0)),2,0)))</f>
        <v/>
      </c>
      <c r="Q2570" s="84">
        <f>IF(ISNUMBER($H2570),-$H2570,0)</f>
        <v>0</v>
      </c>
      <c r="R2570" s="84">
        <f>IF(ISNUMBER($I2570),ABS($I2570),0)</f>
        <v>0</v>
      </c>
      <c r="S2570" s="84">
        <f>IF(ISNUMBER($M2570),ABS($M2570),0)</f>
        <v>0</v>
      </c>
      <c r="T2570" s="85" t="n">
        <v>2562</v>
      </c>
    </row>
    <row r="2571">
      <c r="B2571" s="83" t="n"/>
      <c r="C2571" s="83" t="n"/>
      <c r="D2571" s="83" t="n"/>
      <c r="E2571" s="83" t="n"/>
      <c r="F2571" s="83" t="n"/>
      <c r="G2571" s="83" t="n"/>
      <c r="H2571" s="83" t="n"/>
      <c r="I2571" s="83" t="n"/>
      <c r="J2571" s="83" t="n"/>
      <c r="K2571" s="83" t="n"/>
      <c r="L2571" s="83" t="n"/>
      <c r="M2571" s="83" t="n"/>
      <c r="O2571" s="84" t="str">
        <f>IF($C2571="","",IFERROR(MATCH($B2571&amp;"|"&amp;$C2571,MUROS!$AX$11:$AX$70,0),0))</f>
        <v/>
      </c>
      <c r="P2571" s="84" t="str">
        <f>IF($D2571="","",IF(ISNUMBER(MATCH($D2571,CMB_S,0)),1,IF(ISNUMBER(MATCH($D2571,CMB_G,0)),2,0)))</f>
        <v/>
      </c>
      <c r="Q2571" s="84">
        <f>IF(ISNUMBER($H2571),-$H2571,0)</f>
        <v>0</v>
      </c>
      <c r="R2571" s="84">
        <f>IF(ISNUMBER($I2571),ABS($I2571),0)</f>
        <v>0</v>
      </c>
      <c r="S2571" s="84">
        <f>IF(ISNUMBER($M2571),ABS($M2571),0)</f>
        <v>0</v>
      </c>
      <c r="T2571" s="85" t="n">
        <v>2563</v>
      </c>
    </row>
    <row r="2572">
      <c r="B2572" s="83" t="n"/>
      <c r="C2572" s="83" t="n"/>
      <c r="D2572" s="83" t="n"/>
      <c r="E2572" s="83" t="n"/>
      <c r="F2572" s="83" t="n"/>
      <c r="G2572" s="83" t="n"/>
      <c r="H2572" s="83" t="n"/>
      <c r="I2572" s="83" t="n"/>
      <c r="J2572" s="83" t="n"/>
      <c r="K2572" s="83" t="n"/>
      <c r="L2572" s="83" t="n"/>
      <c r="M2572" s="83" t="n"/>
      <c r="O2572" s="84" t="str">
        <f>IF($C2572="","",IFERROR(MATCH($B2572&amp;"|"&amp;$C2572,MUROS!$AX$11:$AX$70,0),0))</f>
        <v/>
      </c>
      <c r="P2572" s="84" t="str">
        <f>IF($D2572="","",IF(ISNUMBER(MATCH($D2572,CMB_S,0)),1,IF(ISNUMBER(MATCH($D2572,CMB_G,0)),2,0)))</f>
        <v/>
      </c>
      <c r="Q2572" s="84">
        <f>IF(ISNUMBER($H2572),-$H2572,0)</f>
        <v>0</v>
      </c>
      <c r="R2572" s="84">
        <f>IF(ISNUMBER($I2572),ABS($I2572),0)</f>
        <v>0</v>
      </c>
      <c r="S2572" s="84">
        <f>IF(ISNUMBER($M2572),ABS($M2572),0)</f>
        <v>0</v>
      </c>
      <c r="T2572" s="85" t="n">
        <v>2564</v>
      </c>
    </row>
    <row r="2573">
      <c r="B2573" s="83" t="n"/>
      <c r="C2573" s="83" t="n"/>
      <c r="D2573" s="83" t="n"/>
      <c r="E2573" s="83" t="n"/>
      <c r="F2573" s="83" t="n"/>
      <c r="G2573" s="83" t="n"/>
      <c r="H2573" s="83" t="n"/>
      <c r="I2573" s="83" t="n"/>
      <c r="J2573" s="83" t="n"/>
      <c r="K2573" s="83" t="n"/>
      <c r="L2573" s="83" t="n"/>
      <c r="M2573" s="83" t="n"/>
      <c r="O2573" s="84" t="str">
        <f>IF($C2573="","",IFERROR(MATCH($B2573&amp;"|"&amp;$C2573,MUROS!$AX$11:$AX$70,0),0))</f>
        <v/>
      </c>
      <c r="P2573" s="84" t="str">
        <f>IF($D2573="","",IF(ISNUMBER(MATCH($D2573,CMB_S,0)),1,IF(ISNUMBER(MATCH($D2573,CMB_G,0)),2,0)))</f>
        <v/>
      </c>
      <c r="Q2573" s="84">
        <f>IF(ISNUMBER($H2573),-$H2573,0)</f>
        <v>0</v>
      </c>
      <c r="R2573" s="84">
        <f>IF(ISNUMBER($I2573),ABS($I2573),0)</f>
        <v>0</v>
      </c>
      <c r="S2573" s="84">
        <f>IF(ISNUMBER($M2573),ABS($M2573),0)</f>
        <v>0</v>
      </c>
      <c r="T2573" s="85" t="n">
        <v>2565</v>
      </c>
    </row>
    <row r="2574">
      <c r="B2574" s="83" t="n"/>
      <c r="C2574" s="83" t="n"/>
      <c r="D2574" s="83" t="n"/>
      <c r="E2574" s="83" t="n"/>
      <c r="F2574" s="83" t="n"/>
      <c r="G2574" s="83" t="n"/>
      <c r="H2574" s="83" t="n"/>
      <c r="I2574" s="83" t="n"/>
      <c r="J2574" s="83" t="n"/>
      <c r="K2574" s="83" t="n"/>
      <c r="L2574" s="83" t="n"/>
      <c r="M2574" s="83" t="n"/>
      <c r="O2574" s="84" t="str">
        <f>IF($C2574="","",IFERROR(MATCH($B2574&amp;"|"&amp;$C2574,MUROS!$AX$11:$AX$70,0),0))</f>
        <v/>
      </c>
      <c r="P2574" s="84" t="str">
        <f>IF($D2574="","",IF(ISNUMBER(MATCH($D2574,CMB_S,0)),1,IF(ISNUMBER(MATCH($D2574,CMB_G,0)),2,0)))</f>
        <v/>
      </c>
      <c r="Q2574" s="84">
        <f>IF(ISNUMBER($H2574),-$H2574,0)</f>
        <v>0</v>
      </c>
      <c r="R2574" s="84">
        <f>IF(ISNUMBER($I2574),ABS($I2574),0)</f>
        <v>0</v>
      </c>
      <c r="S2574" s="84">
        <f>IF(ISNUMBER($M2574),ABS($M2574),0)</f>
        <v>0</v>
      </c>
      <c r="T2574" s="85" t="n">
        <v>2566</v>
      </c>
    </row>
    <row r="2575">
      <c r="B2575" s="83" t="n"/>
      <c r="C2575" s="83" t="n"/>
      <c r="D2575" s="83" t="n"/>
      <c r="E2575" s="83" t="n"/>
      <c r="F2575" s="83" t="n"/>
      <c r="G2575" s="83" t="n"/>
      <c r="H2575" s="83" t="n"/>
      <c r="I2575" s="83" t="n"/>
      <c r="J2575" s="83" t="n"/>
      <c r="K2575" s="83" t="n"/>
      <c r="L2575" s="83" t="n"/>
      <c r="M2575" s="83" t="n"/>
      <c r="O2575" s="84" t="str">
        <f>IF($C2575="","",IFERROR(MATCH($B2575&amp;"|"&amp;$C2575,MUROS!$AX$11:$AX$70,0),0))</f>
        <v/>
      </c>
      <c r="P2575" s="84" t="str">
        <f>IF($D2575="","",IF(ISNUMBER(MATCH($D2575,CMB_S,0)),1,IF(ISNUMBER(MATCH($D2575,CMB_G,0)),2,0)))</f>
        <v/>
      </c>
      <c r="Q2575" s="84">
        <f>IF(ISNUMBER($H2575),-$H2575,0)</f>
        <v>0</v>
      </c>
      <c r="R2575" s="84">
        <f>IF(ISNUMBER($I2575),ABS($I2575),0)</f>
        <v>0</v>
      </c>
      <c r="S2575" s="84">
        <f>IF(ISNUMBER($M2575),ABS($M2575),0)</f>
        <v>0</v>
      </c>
      <c r="T2575" s="85" t="n">
        <v>2567</v>
      </c>
    </row>
    <row r="2576">
      <c r="B2576" s="83" t="n"/>
      <c r="C2576" s="83" t="n"/>
      <c r="D2576" s="83" t="n"/>
      <c r="E2576" s="83" t="n"/>
      <c r="F2576" s="83" t="n"/>
      <c r="G2576" s="83" t="n"/>
      <c r="H2576" s="83" t="n"/>
      <c r="I2576" s="83" t="n"/>
      <c r="J2576" s="83" t="n"/>
      <c r="K2576" s="83" t="n"/>
      <c r="L2576" s="83" t="n"/>
      <c r="M2576" s="83" t="n"/>
      <c r="O2576" s="84" t="str">
        <f>IF($C2576="","",IFERROR(MATCH($B2576&amp;"|"&amp;$C2576,MUROS!$AX$11:$AX$70,0),0))</f>
        <v/>
      </c>
      <c r="P2576" s="84" t="str">
        <f>IF($D2576="","",IF(ISNUMBER(MATCH($D2576,CMB_S,0)),1,IF(ISNUMBER(MATCH($D2576,CMB_G,0)),2,0)))</f>
        <v/>
      </c>
      <c r="Q2576" s="84">
        <f>IF(ISNUMBER($H2576),-$H2576,0)</f>
        <v>0</v>
      </c>
      <c r="R2576" s="84">
        <f>IF(ISNUMBER($I2576),ABS($I2576),0)</f>
        <v>0</v>
      </c>
      <c r="S2576" s="84">
        <f>IF(ISNUMBER($M2576),ABS($M2576),0)</f>
        <v>0</v>
      </c>
      <c r="T2576" s="85" t="n">
        <v>2568</v>
      </c>
    </row>
    <row r="2577">
      <c r="B2577" s="83" t="n"/>
      <c r="C2577" s="83" t="n"/>
      <c r="D2577" s="83" t="n"/>
      <c r="E2577" s="83" t="n"/>
      <c r="F2577" s="83" t="n"/>
      <c r="G2577" s="83" t="n"/>
      <c r="H2577" s="83" t="n"/>
      <c r="I2577" s="83" t="n"/>
      <c r="J2577" s="83" t="n"/>
      <c r="K2577" s="83" t="n"/>
      <c r="L2577" s="83" t="n"/>
      <c r="M2577" s="83" t="n"/>
      <c r="O2577" s="84" t="str">
        <f>IF($C2577="","",IFERROR(MATCH($B2577&amp;"|"&amp;$C2577,MUROS!$AX$11:$AX$70,0),0))</f>
        <v/>
      </c>
      <c r="P2577" s="84" t="str">
        <f>IF($D2577="","",IF(ISNUMBER(MATCH($D2577,CMB_S,0)),1,IF(ISNUMBER(MATCH($D2577,CMB_G,0)),2,0)))</f>
        <v/>
      </c>
      <c r="Q2577" s="84">
        <f>IF(ISNUMBER($H2577),-$H2577,0)</f>
        <v>0</v>
      </c>
      <c r="R2577" s="84">
        <f>IF(ISNUMBER($I2577),ABS($I2577),0)</f>
        <v>0</v>
      </c>
      <c r="S2577" s="84">
        <f>IF(ISNUMBER($M2577),ABS($M2577),0)</f>
        <v>0</v>
      </c>
      <c r="T2577" s="85" t="n">
        <v>2569</v>
      </c>
    </row>
    <row r="2578">
      <c r="B2578" s="83" t="n"/>
      <c r="C2578" s="83" t="n"/>
      <c r="D2578" s="83" t="n"/>
      <c r="E2578" s="83" t="n"/>
      <c r="F2578" s="83" t="n"/>
      <c r="G2578" s="83" t="n"/>
      <c r="H2578" s="83" t="n"/>
      <c r="I2578" s="83" t="n"/>
      <c r="J2578" s="83" t="n"/>
      <c r="K2578" s="83" t="n"/>
      <c r="L2578" s="83" t="n"/>
      <c r="M2578" s="83" t="n"/>
      <c r="O2578" s="84" t="str">
        <f>IF($C2578="","",IFERROR(MATCH($B2578&amp;"|"&amp;$C2578,MUROS!$AX$11:$AX$70,0),0))</f>
        <v/>
      </c>
      <c r="P2578" s="84" t="str">
        <f>IF($D2578="","",IF(ISNUMBER(MATCH($D2578,CMB_S,0)),1,IF(ISNUMBER(MATCH($D2578,CMB_G,0)),2,0)))</f>
        <v/>
      </c>
      <c r="Q2578" s="84">
        <f>IF(ISNUMBER($H2578),-$H2578,0)</f>
        <v>0</v>
      </c>
      <c r="R2578" s="84">
        <f>IF(ISNUMBER($I2578),ABS($I2578),0)</f>
        <v>0</v>
      </c>
      <c r="S2578" s="84">
        <f>IF(ISNUMBER($M2578),ABS($M2578),0)</f>
        <v>0</v>
      </c>
      <c r="T2578" s="85" t="n">
        <v>2570</v>
      </c>
    </row>
    <row r="2579">
      <c r="B2579" s="83" t="n"/>
      <c r="C2579" s="83" t="n"/>
      <c r="D2579" s="83" t="n"/>
      <c r="E2579" s="83" t="n"/>
      <c r="F2579" s="83" t="n"/>
      <c r="G2579" s="83" t="n"/>
      <c r="H2579" s="83" t="n"/>
      <c r="I2579" s="83" t="n"/>
      <c r="J2579" s="83" t="n"/>
      <c r="K2579" s="83" t="n"/>
      <c r="L2579" s="83" t="n"/>
      <c r="M2579" s="83" t="n"/>
      <c r="O2579" s="84" t="str">
        <f>IF($C2579="","",IFERROR(MATCH($B2579&amp;"|"&amp;$C2579,MUROS!$AX$11:$AX$70,0),0))</f>
        <v/>
      </c>
      <c r="P2579" s="84" t="str">
        <f>IF($D2579="","",IF(ISNUMBER(MATCH($D2579,CMB_S,0)),1,IF(ISNUMBER(MATCH($D2579,CMB_G,0)),2,0)))</f>
        <v/>
      </c>
      <c r="Q2579" s="84">
        <f>IF(ISNUMBER($H2579),-$H2579,0)</f>
        <v>0</v>
      </c>
      <c r="R2579" s="84">
        <f>IF(ISNUMBER($I2579),ABS($I2579),0)</f>
        <v>0</v>
      </c>
      <c r="S2579" s="84">
        <f>IF(ISNUMBER($M2579),ABS($M2579),0)</f>
        <v>0</v>
      </c>
      <c r="T2579" s="85" t="n">
        <v>2571</v>
      </c>
    </row>
    <row r="2580">
      <c r="B2580" s="83" t="n"/>
      <c r="C2580" s="83" t="n"/>
      <c r="D2580" s="83" t="n"/>
      <c r="E2580" s="83" t="n"/>
      <c r="F2580" s="83" t="n"/>
      <c r="G2580" s="83" t="n"/>
      <c r="H2580" s="83" t="n"/>
      <c r="I2580" s="83" t="n"/>
      <c r="J2580" s="83" t="n"/>
      <c r="K2580" s="83" t="n"/>
      <c r="L2580" s="83" t="n"/>
      <c r="M2580" s="83" t="n"/>
      <c r="O2580" s="84" t="str">
        <f>IF($C2580="","",IFERROR(MATCH($B2580&amp;"|"&amp;$C2580,MUROS!$AX$11:$AX$70,0),0))</f>
        <v/>
      </c>
      <c r="P2580" s="84" t="str">
        <f>IF($D2580="","",IF(ISNUMBER(MATCH($D2580,CMB_S,0)),1,IF(ISNUMBER(MATCH($D2580,CMB_G,0)),2,0)))</f>
        <v/>
      </c>
      <c r="Q2580" s="84">
        <f>IF(ISNUMBER($H2580),-$H2580,0)</f>
        <v>0</v>
      </c>
      <c r="R2580" s="84">
        <f>IF(ISNUMBER($I2580),ABS($I2580),0)</f>
        <v>0</v>
      </c>
      <c r="S2580" s="84">
        <f>IF(ISNUMBER($M2580),ABS($M2580),0)</f>
        <v>0</v>
      </c>
      <c r="T2580" s="85" t="n">
        <v>2572</v>
      </c>
    </row>
    <row r="2581">
      <c r="B2581" s="83" t="n"/>
      <c r="C2581" s="83" t="n"/>
      <c r="D2581" s="83" t="n"/>
      <c r="E2581" s="83" t="n"/>
      <c r="F2581" s="83" t="n"/>
      <c r="G2581" s="83" t="n"/>
      <c r="H2581" s="83" t="n"/>
      <c r="I2581" s="83" t="n"/>
      <c r="J2581" s="83" t="n"/>
      <c r="K2581" s="83" t="n"/>
      <c r="L2581" s="83" t="n"/>
      <c r="M2581" s="83" t="n"/>
      <c r="O2581" s="84" t="str">
        <f>IF($C2581="","",IFERROR(MATCH($B2581&amp;"|"&amp;$C2581,MUROS!$AX$11:$AX$70,0),0))</f>
        <v/>
      </c>
      <c r="P2581" s="84" t="str">
        <f>IF($D2581="","",IF(ISNUMBER(MATCH($D2581,CMB_S,0)),1,IF(ISNUMBER(MATCH($D2581,CMB_G,0)),2,0)))</f>
        <v/>
      </c>
      <c r="Q2581" s="84">
        <f>IF(ISNUMBER($H2581),-$H2581,0)</f>
        <v>0</v>
      </c>
      <c r="R2581" s="84">
        <f>IF(ISNUMBER($I2581),ABS($I2581),0)</f>
        <v>0</v>
      </c>
      <c r="S2581" s="84">
        <f>IF(ISNUMBER($M2581),ABS($M2581),0)</f>
        <v>0</v>
      </c>
      <c r="T2581" s="85" t="n">
        <v>2573</v>
      </c>
    </row>
    <row r="2582">
      <c r="B2582" s="83" t="n"/>
      <c r="C2582" s="83" t="n"/>
      <c r="D2582" s="83" t="n"/>
      <c r="E2582" s="83" t="n"/>
      <c r="F2582" s="83" t="n"/>
      <c r="G2582" s="83" t="n"/>
      <c r="H2582" s="83" t="n"/>
      <c r="I2582" s="83" t="n"/>
      <c r="J2582" s="83" t="n"/>
      <c r="K2582" s="83" t="n"/>
      <c r="L2582" s="83" t="n"/>
      <c r="M2582" s="83" t="n"/>
      <c r="O2582" s="84" t="str">
        <f>IF($C2582="","",IFERROR(MATCH($B2582&amp;"|"&amp;$C2582,MUROS!$AX$11:$AX$70,0),0))</f>
        <v/>
      </c>
      <c r="P2582" s="84" t="str">
        <f>IF($D2582="","",IF(ISNUMBER(MATCH($D2582,CMB_S,0)),1,IF(ISNUMBER(MATCH($D2582,CMB_G,0)),2,0)))</f>
        <v/>
      </c>
      <c r="Q2582" s="84">
        <f>IF(ISNUMBER($H2582),-$H2582,0)</f>
        <v>0</v>
      </c>
      <c r="R2582" s="84">
        <f>IF(ISNUMBER($I2582),ABS($I2582),0)</f>
        <v>0</v>
      </c>
      <c r="S2582" s="84">
        <f>IF(ISNUMBER($M2582),ABS($M2582),0)</f>
        <v>0</v>
      </c>
      <c r="T2582" s="85" t="n">
        <v>2574</v>
      </c>
    </row>
    <row r="2583">
      <c r="B2583" s="83" t="n"/>
      <c r="C2583" s="83" t="n"/>
      <c r="D2583" s="83" t="n"/>
      <c r="E2583" s="83" t="n"/>
      <c r="F2583" s="83" t="n"/>
      <c r="G2583" s="83" t="n"/>
      <c r="H2583" s="83" t="n"/>
      <c r="I2583" s="83" t="n"/>
      <c r="J2583" s="83" t="n"/>
      <c r="K2583" s="83" t="n"/>
      <c r="L2583" s="83" t="n"/>
      <c r="M2583" s="83" t="n"/>
      <c r="O2583" s="84" t="str">
        <f>IF($C2583="","",IFERROR(MATCH($B2583&amp;"|"&amp;$C2583,MUROS!$AX$11:$AX$70,0),0))</f>
        <v/>
      </c>
      <c r="P2583" s="84" t="str">
        <f>IF($D2583="","",IF(ISNUMBER(MATCH($D2583,CMB_S,0)),1,IF(ISNUMBER(MATCH($D2583,CMB_G,0)),2,0)))</f>
        <v/>
      </c>
      <c r="Q2583" s="84">
        <f>IF(ISNUMBER($H2583),-$H2583,0)</f>
        <v>0</v>
      </c>
      <c r="R2583" s="84">
        <f>IF(ISNUMBER($I2583),ABS($I2583),0)</f>
        <v>0</v>
      </c>
      <c r="S2583" s="84">
        <f>IF(ISNUMBER($M2583),ABS($M2583),0)</f>
        <v>0</v>
      </c>
      <c r="T2583" s="85" t="n">
        <v>2575</v>
      </c>
    </row>
    <row r="2584">
      <c r="B2584" s="83" t="n"/>
      <c r="C2584" s="83" t="n"/>
      <c r="D2584" s="83" t="n"/>
      <c r="E2584" s="83" t="n"/>
      <c r="F2584" s="83" t="n"/>
      <c r="G2584" s="83" t="n"/>
      <c r="H2584" s="83" t="n"/>
      <c r="I2584" s="83" t="n"/>
      <c r="J2584" s="83" t="n"/>
      <c r="K2584" s="83" t="n"/>
      <c r="L2584" s="83" t="n"/>
      <c r="M2584" s="83" t="n"/>
      <c r="O2584" s="84" t="str">
        <f>IF($C2584="","",IFERROR(MATCH($B2584&amp;"|"&amp;$C2584,MUROS!$AX$11:$AX$70,0),0))</f>
        <v/>
      </c>
      <c r="P2584" s="84" t="str">
        <f>IF($D2584="","",IF(ISNUMBER(MATCH($D2584,CMB_S,0)),1,IF(ISNUMBER(MATCH($D2584,CMB_G,0)),2,0)))</f>
        <v/>
      </c>
      <c r="Q2584" s="84">
        <f>IF(ISNUMBER($H2584),-$H2584,0)</f>
        <v>0</v>
      </c>
      <c r="R2584" s="84">
        <f>IF(ISNUMBER($I2584),ABS($I2584),0)</f>
        <v>0</v>
      </c>
      <c r="S2584" s="84">
        <f>IF(ISNUMBER($M2584),ABS($M2584),0)</f>
        <v>0</v>
      </c>
      <c r="T2584" s="85" t="n">
        <v>2576</v>
      </c>
    </row>
    <row r="2585">
      <c r="B2585" s="83" t="n"/>
      <c r="C2585" s="83" t="n"/>
      <c r="D2585" s="83" t="n"/>
      <c r="E2585" s="83" t="n"/>
      <c r="F2585" s="83" t="n"/>
      <c r="G2585" s="83" t="n"/>
      <c r="H2585" s="83" t="n"/>
      <c r="I2585" s="83" t="n"/>
      <c r="J2585" s="83" t="n"/>
      <c r="K2585" s="83" t="n"/>
      <c r="L2585" s="83" t="n"/>
      <c r="M2585" s="83" t="n"/>
      <c r="O2585" s="84" t="str">
        <f>IF($C2585="","",IFERROR(MATCH($B2585&amp;"|"&amp;$C2585,MUROS!$AX$11:$AX$70,0),0))</f>
        <v/>
      </c>
      <c r="P2585" s="84" t="str">
        <f>IF($D2585="","",IF(ISNUMBER(MATCH($D2585,CMB_S,0)),1,IF(ISNUMBER(MATCH($D2585,CMB_G,0)),2,0)))</f>
        <v/>
      </c>
      <c r="Q2585" s="84">
        <f>IF(ISNUMBER($H2585),-$H2585,0)</f>
        <v>0</v>
      </c>
      <c r="R2585" s="84">
        <f>IF(ISNUMBER($I2585),ABS($I2585),0)</f>
        <v>0</v>
      </c>
      <c r="S2585" s="84">
        <f>IF(ISNUMBER($M2585),ABS($M2585),0)</f>
        <v>0</v>
      </c>
      <c r="T2585" s="85" t="n">
        <v>2577</v>
      </c>
    </row>
    <row r="2586">
      <c r="B2586" s="83" t="n"/>
      <c r="C2586" s="83" t="n"/>
      <c r="D2586" s="83" t="n"/>
      <c r="E2586" s="83" t="n"/>
      <c r="F2586" s="83" t="n"/>
      <c r="G2586" s="83" t="n"/>
      <c r="H2586" s="83" t="n"/>
      <c r="I2586" s="83" t="n"/>
      <c r="J2586" s="83" t="n"/>
      <c r="K2586" s="83" t="n"/>
      <c r="L2586" s="83" t="n"/>
      <c r="M2586" s="83" t="n"/>
      <c r="O2586" s="84" t="str">
        <f>IF($C2586="","",IFERROR(MATCH($B2586&amp;"|"&amp;$C2586,MUROS!$AX$11:$AX$70,0),0))</f>
        <v/>
      </c>
      <c r="P2586" s="84" t="str">
        <f>IF($D2586="","",IF(ISNUMBER(MATCH($D2586,CMB_S,0)),1,IF(ISNUMBER(MATCH($D2586,CMB_G,0)),2,0)))</f>
        <v/>
      </c>
      <c r="Q2586" s="84">
        <f>IF(ISNUMBER($H2586),-$H2586,0)</f>
        <v>0</v>
      </c>
      <c r="R2586" s="84">
        <f>IF(ISNUMBER($I2586),ABS($I2586),0)</f>
        <v>0</v>
      </c>
      <c r="S2586" s="84">
        <f>IF(ISNUMBER($M2586),ABS($M2586),0)</f>
        <v>0</v>
      </c>
      <c r="T2586" s="85" t="n">
        <v>2578</v>
      </c>
    </row>
    <row r="2587">
      <c r="B2587" s="83" t="n"/>
      <c r="C2587" s="83" t="n"/>
      <c r="D2587" s="83" t="n"/>
      <c r="E2587" s="83" t="n"/>
      <c r="F2587" s="83" t="n"/>
      <c r="G2587" s="83" t="n"/>
      <c r="H2587" s="83" t="n"/>
      <c r="I2587" s="83" t="n"/>
      <c r="J2587" s="83" t="n"/>
      <c r="K2587" s="83" t="n"/>
      <c r="L2587" s="83" t="n"/>
      <c r="M2587" s="83" t="n"/>
      <c r="O2587" s="84" t="str">
        <f>IF($C2587="","",IFERROR(MATCH($B2587&amp;"|"&amp;$C2587,MUROS!$AX$11:$AX$70,0),0))</f>
        <v/>
      </c>
      <c r="P2587" s="84" t="str">
        <f>IF($D2587="","",IF(ISNUMBER(MATCH($D2587,CMB_S,0)),1,IF(ISNUMBER(MATCH($D2587,CMB_G,0)),2,0)))</f>
        <v/>
      </c>
      <c r="Q2587" s="84">
        <f>IF(ISNUMBER($H2587),-$H2587,0)</f>
        <v>0</v>
      </c>
      <c r="R2587" s="84">
        <f>IF(ISNUMBER($I2587),ABS($I2587),0)</f>
        <v>0</v>
      </c>
      <c r="S2587" s="84">
        <f>IF(ISNUMBER($M2587),ABS($M2587),0)</f>
        <v>0</v>
      </c>
      <c r="T2587" s="85" t="n">
        <v>2579</v>
      </c>
    </row>
    <row r="2588">
      <c r="B2588" s="83" t="n"/>
      <c r="C2588" s="83" t="n"/>
      <c r="D2588" s="83" t="n"/>
      <c r="E2588" s="83" t="n"/>
      <c r="F2588" s="83" t="n"/>
      <c r="G2588" s="83" t="n"/>
      <c r="H2588" s="83" t="n"/>
      <c r="I2588" s="83" t="n"/>
      <c r="J2588" s="83" t="n"/>
      <c r="K2588" s="83" t="n"/>
      <c r="L2588" s="83" t="n"/>
      <c r="M2588" s="83" t="n"/>
      <c r="O2588" s="84" t="str">
        <f>IF($C2588="","",IFERROR(MATCH($B2588&amp;"|"&amp;$C2588,MUROS!$AX$11:$AX$70,0),0))</f>
        <v/>
      </c>
      <c r="P2588" s="84" t="str">
        <f>IF($D2588="","",IF(ISNUMBER(MATCH($D2588,CMB_S,0)),1,IF(ISNUMBER(MATCH($D2588,CMB_G,0)),2,0)))</f>
        <v/>
      </c>
      <c r="Q2588" s="84">
        <f>IF(ISNUMBER($H2588),-$H2588,0)</f>
        <v>0</v>
      </c>
      <c r="R2588" s="84">
        <f>IF(ISNUMBER($I2588),ABS($I2588),0)</f>
        <v>0</v>
      </c>
      <c r="S2588" s="84">
        <f>IF(ISNUMBER($M2588),ABS($M2588),0)</f>
        <v>0</v>
      </c>
      <c r="T2588" s="85" t="n">
        <v>2580</v>
      </c>
    </row>
    <row r="2589">
      <c r="B2589" s="83" t="n"/>
      <c r="C2589" s="83" t="n"/>
      <c r="D2589" s="83" t="n"/>
      <c r="E2589" s="83" t="n"/>
      <c r="F2589" s="83" t="n"/>
      <c r="G2589" s="83" t="n"/>
      <c r="H2589" s="83" t="n"/>
      <c r="I2589" s="83" t="n"/>
      <c r="J2589" s="83" t="n"/>
      <c r="K2589" s="83" t="n"/>
      <c r="L2589" s="83" t="n"/>
      <c r="M2589" s="83" t="n"/>
      <c r="O2589" s="84" t="str">
        <f>IF($C2589="","",IFERROR(MATCH($B2589&amp;"|"&amp;$C2589,MUROS!$AX$11:$AX$70,0),0))</f>
        <v/>
      </c>
      <c r="P2589" s="84" t="str">
        <f>IF($D2589="","",IF(ISNUMBER(MATCH($D2589,CMB_S,0)),1,IF(ISNUMBER(MATCH($D2589,CMB_G,0)),2,0)))</f>
        <v/>
      </c>
      <c r="Q2589" s="84">
        <f>IF(ISNUMBER($H2589),-$H2589,0)</f>
        <v>0</v>
      </c>
      <c r="R2589" s="84">
        <f>IF(ISNUMBER($I2589),ABS($I2589),0)</f>
        <v>0</v>
      </c>
      <c r="S2589" s="84">
        <f>IF(ISNUMBER($M2589),ABS($M2589),0)</f>
        <v>0</v>
      </c>
      <c r="T2589" s="85" t="n">
        <v>2581</v>
      </c>
    </row>
    <row r="2590">
      <c r="B2590" s="83" t="n"/>
      <c r="C2590" s="83" t="n"/>
      <c r="D2590" s="83" t="n"/>
      <c r="E2590" s="83" t="n"/>
      <c r="F2590" s="83" t="n"/>
      <c r="G2590" s="83" t="n"/>
      <c r="H2590" s="83" t="n"/>
      <c r="I2590" s="83" t="n"/>
      <c r="J2590" s="83" t="n"/>
      <c r="K2590" s="83" t="n"/>
      <c r="L2590" s="83" t="n"/>
      <c r="M2590" s="83" t="n"/>
      <c r="O2590" s="84" t="str">
        <f>IF($C2590="","",IFERROR(MATCH($B2590&amp;"|"&amp;$C2590,MUROS!$AX$11:$AX$70,0),0))</f>
        <v/>
      </c>
      <c r="P2590" s="84" t="str">
        <f>IF($D2590="","",IF(ISNUMBER(MATCH($D2590,CMB_S,0)),1,IF(ISNUMBER(MATCH($D2590,CMB_G,0)),2,0)))</f>
        <v/>
      </c>
      <c r="Q2590" s="84">
        <f>IF(ISNUMBER($H2590),-$H2590,0)</f>
        <v>0</v>
      </c>
      <c r="R2590" s="84">
        <f>IF(ISNUMBER($I2590),ABS($I2590),0)</f>
        <v>0</v>
      </c>
      <c r="S2590" s="84">
        <f>IF(ISNUMBER($M2590),ABS($M2590),0)</f>
        <v>0</v>
      </c>
      <c r="T2590" s="85" t="n">
        <v>2582</v>
      </c>
    </row>
    <row r="2591">
      <c r="B2591" s="83" t="n"/>
      <c r="C2591" s="83" t="n"/>
      <c r="D2591" s="83" t="n"/>
      <c r="E2591" s="83" t="n"/>
      <c r="F2591" s="83" t="n"/>
      <c r="G2591" s="83" t="n"/>
      <c r="H2591" s="83" t="n"/>
      <c r="I2591" s="83" t="n"/>
      <c r="J2591" s="83" t="n"/>
      <c r="K2591" s="83" t="n"/>
      <c r="L2591" s="83" t="n"/>
      <c r="M2591" s="83" t="n"/>
      <c r="O2591" s="84" t="str">
        <f>IF($C2591="","",IFERROR(MATCH($B2591&amp;"|"&amp;$C2591,MUROS!$AX$11:$AX$70,0),0))</f>
        <v/>
      </c>
      <c r="P2591" s="84" t="str">
        <f>IF($D2591="","",IF(ISNUMBER(MATCH($D2591,CMB_S,0)),1,IF(ISNUMBER(MATCH($D2591,CMB_G,0)),2,0)))</f>
        <v/>
      </c>
      <c r="Q2591" s="84">
        <f>IF(ISNUMBER($H2591),-$H2591,0)</f>
        <v>0</v>
      </c>
      <c r="R2591" s="84">
        <f>IF(ISNUMBER($I2591),ABS($I2591),0)</f>
        <v>0</v>
      </c>
      <c r="S2591" s="84">
        <f>IF(ISNUMBER($M2591),ABS($M2591),0)</f>
        <v>0</v>
      </c>
      <c r="T2591" s="85" t="n">
        <v>2583</v>
      </c>
    </row>
    <row r="2592">
      <c r="B2592" s="83" t="n"/>
      <c r="C2592" s="83" t="n"/>
      <c r="D2592" s="83" t="n"/>
      <c r="E2592" s="83" t="n"/>
      <c r="F2592" s="83" t="n"/>
      <c r="G2592" s="83" t="n"/>
      <c r="H2592" s="83" t="n"/>
      <c r="I2592" s="83" t="n"/>
      <c r="J2592" s="83" t="n"/>
      <c r="K2592" s="83" t="n"/>
      <c r="L2592" s="83" t="n"/>
      <c r="M2592" s="83" t="n"/>
      <c r="O2592" s="84" t="str">
        <f>IF($C2592="","",IFERROR(MATCH($B2592&amp;"|"&amp;$C2592,MUROS!$AX$11:$AX$70,0),0))</f>
        <v/>
      </c>
      <c r="P2592" s="84" t="str">
        <f>IF($D2592="","",IF(ISNUMBER(MATCH($D2592,CMB_S,0)),1,IF(ISNUMBER(MATCH($D2592,CMB_G,0)),2,0)))</f>
        <v/>
      </c>
      <c r="Q2592" s="84">
        <f>IF(ISNUMBER($H2592),-$H2592,0)</f>
        <v>0</v>
      </c>
      <c r="R2592" s="84">
        <f>IF(ISNUMBER($I2592),ABS($I2592),0)</f>
        <v>0</v>
      </c>
      <c r="S2592" s="84">
        <f>IF(ISNUMBER($M2592),ABS($M2592),0)</f>
        <v>0</v>
      </c>
      <c r="T2592" s="85" t="n">
        <v>2584</v>
      </c>
    </row>
    <row r="2593">
      <c r="B2593" s="83" t="n"/>
      <c r="C2593" s="83" t="n"/>
      <c r="D2593" s="83" t="n"/>
      <c r="E2593" s="83" t="n"/>
      <c r="F2593" s="83" t="n"/>
      <c r="G2593" s="83" t="n"/>
      <c r="H2593" s="83" t="n"/>
      <c r="I2593" s="83" t="n"/>
      <c r="J2593" s="83" t="n"/>
      <c r="K2593" s="83" t="n"/>
      <c r="L2593" s="83" t="n"/>
      <c r="M2593" s="83" t="n"/>
      <c r="O2593" s="84" t="str">
        <f>IF($C2593="","",IFERROR(MATCH($B2593&amp;"|"&amp;$C2593,MUROS!$AX$11:$AX$70,0),0))</f>
        <v/>
      </c>
      <c r="P2593" s="84" t="str">
        <f>IF($D2593="","",IF(ISNUMBER(MATCH($D2593,CMB_S,0)),1,IF(ISNUMBER(MATCH($D2593,CMB_G,0)),2,0)))</f>
        <v/>
      </c>
      <c r="Q2593" s="84">
        <f>IF(ISNUMBER($H2593),-$H2593,0)</f>
        <v>0</v>
      </c>
      <c r="R2593" s="84">
        <f>IF(ISNUMBER($I2593),ABS($I2593),0)</f>
        <v>0</v>
      </c>
      <c r="S2593" s="84">
        <f>IF(ISNUMBER($M2593),ABS($M2593),0)</f>
        <v>0</v>
      </c>
      <c r="T2593" s="85" t="n">
        <v>2585</v>
      </c>
    </row>
    <row r="2594">
      <c r="B2594" s="83" t="n"/>
      <c r="C2594" s="83" t="n"/>
      <c r="D2594" s="83" t="n"/>
      <c r="E2594" s="83" t="n"/>
      <c r="F2594" s="83" t="n"/>
      <c r="G2594" s="83" t="n"/>
      <c r="H2594" s="83" t="n"/>
      <c r="I2594" s="83" t="n"/>
      <c r="J2594" s="83" t="n"/>
      <c r="K2594" s="83" t="n"/>
      <c r="L2594" s="83" t="n"/>
      <c r="M2594" s="83" t="n"/>
      <c r="O2594" s="84" t="str">
        <f>IF($C2594="","",IFERROR(MATCH($B2594&amp;"|"&amp;$C2594,MUROS!$AX$11:$AX$70,0),0))</f>
        <v/>
      </c>
      <c r="P2594" s="84" t="str">
        <f>IF($D2594="","",IF(ISNUMBER(MATCH($D2594,CMB_S,0)),1,IF(ISNUMBER(MATCH($D2594,CMB_G,0)),2,0)))</f>
        <v/>
      </c>
      <c r="Q2594" s="84">
        <f>IF(ISNUMBER($H2594),-$H2594,0)</f>
        <v>0</v>
      </c>
      <c r="R2594" s="84">
        <f>IF(ISNUMBER($I2594),ABS($I2594),0)</f>
        <v>0</v>
      </c>
      <c r="S2594" s="84">
        <f>IF(ISNUMBER($M2594),ABS($M2594),0)</f>
        <v>0</v>
      </c>
      <c r="T2594" s="85" t="n">
        <v>2586</v>
      </c>
    </row>
    <row r="2595">
      <c r="B2595" s="83" t="n"/>
      <c r="C2595" s="83" t="n"/>
      <c r="D2595" s="83" t="n"/>
      <c r="E2595" s="83" t="n"/>
      <c r="F2595" s="83" t="n"/>
      <c r="G2595" s="83" t="n"/>
      <c r="H2595" s="83" t="n"/>
      <c r="I2595" s="83" t="n"/>
      <c r="J2595" s="83" t="n"/>
      <c r="K2595" s="83" t="n"/>
      <c r="L2595" s="83" t="n"/>
      <c r="M2595" s="83" t="n"/>
      <c r="O2595" s="84" t="str">
        <f>IF($C2595="","",IFERROR(MATCH($B2595&amp;"|"&amp;$C2595,MUROS!$AX$11:$AX$70,0),0))</f>
        <v/>
      </c>
      <c r="P2595" s="84" t="str">
        <f>IF($D2595="","",IF(ISNUMBER(MATCH($D2595,CMB_S,0)),1,IF(ISNUMBER(MATCH($D2595,CMB_G,0)),2,0)))</f>
        <v/>
      </c>
      <c r="Q2595" s="84">
        <f>IF(ISNUMBER($H2595),-$H2595,0)</f>
        <v>0</v>
      </c>
      <c r="R2595" s="84">
        <f>IF(ISNUMBER($I2595),ABS($I2595),0)</f>
        <v>0</v>
      </c>
      <c r="S2595" s="84">
        <f>IF(ISNUMBER($M2595),ABS($M2595),0)</f>
        <v>0</v>
      </c>
      <c r="T2595" s="85" t="n">
        <v>2587</v>
      </c>
    </row>
    <row r="2596">
      <c r="B2596" s="83" t="n"/>
      <c r="C2596" s="83" t="n"/>
      <c r="D2596" s="83" t="n"/>
      <c r="E2596" s="83" t="n"/>
      <c r="F2596" s="83" t="n"/>
      <c r="G2596" s="83" t="n"/>
      <c r="H2596" s="83" t="n"/>
      <c r="I2596" s="83" t="n"/>
      <c r="J2596" s="83" t="n"/>
      <c r="K2596" s="83" t="n"/>
      <c r="L2596" s="83" t="n"/>
      <c r="M2596" s="83" t="n"/>
      <c r="O2596" s="84" t="str">
        <f>IF($C2596="","",IFERROR(MATCH($B2596&amp;"|"&amp;$C2596,MUROS!$AX$11:$AX$70,0),0))</f>
        <v/>
      </c>
      <c r="P2596" s="84" t="str">
        <f>IF($D2596="","",IF(ISNUMBER(MATCH($D2596,CMB_S,0)),1,IF(ISNUMBER(MATCH($D2596,CMB_G,0)),2,0)))</f>
        <v/>
      </c>
      <c r="Q2596" s="84">
        <f>IF(ISNUMBER($H2596),-$H2596,0)</f>
        <v>0</v>
      </c>
      <c r="R2596" s="84">
        <f>IF(ISNUMBER($I2596),ABS($I2596),0)</f>
        <v>0</v>
      </c>
      <c r="S2596" s="84">
        <f>IF(ISNUMBER($M2596),ABS($M2596),0)</f>
        <v>0</v>
      </c>
      <c r="T2596" s="85" t="n">
        <v>2588</v>
      </c>
    </row>
    <row r="2597">
      <c r="B2597" s="83" t="n"/>
      <c r="C2597" s="83" t="n"/>
      <c r="D2597" s="83" t="n"/>
      <c r="E2597" s="83" t="n"/>
      <c r="F2597" s="83" t="n"/>
      <c r="G2597" s="83" t="n"/>
      <c r="H2597" s="83" t="n"/>
      <c r="I2597" s="83" t="n"/>
      <c r="J2597" s="83" t="n"/>
      <c r="K2597" s="83" t="n"/>
      <c r="L2597" s="83" t="n"/>
      <c r="M2597" s="83" t="n"/>
      <c r="O2597" s="84" t="str">
        <f>IF($C2597="","",IFERROR(MATCH($B2597&amp;"|"&amp;$C2597,MUROS!$AX$11:$AX$70,0),0))</f>
        <v/>
      </c>
      <c r="P2597" s="84" t="str">
        <f>IF($D2597="","",IF(ISNUMBER(MATCH($D2597,CMB_S,0)),1,IF(ISNUMBER(MATCH($D2597,CMB_G,0)),2,0)))</f>
        <v/>
      </c>
      <c r="Q2597" s="84">
        <f>IF(ISNUMBER($H2597),-$H2597,0)</f>
        <v>0</v>
      </c>
      <c r="R2597" s="84">
        <f>IF(ISNUMBER($I2597),ABS($I2597),0)</f>
        <v>0</v>
      </c>
      <c r="S2597" s="84">
        <f>IF(ISNUMBER($M2597),ABS($M2597),0)</f>
        <v>0</v>
      </c>
      <c r="T2597" s="85" t="n">
        <v>2589</v>
      </c>
    </row>
    <row r="2598">
      <c r="B2598" s="83" t="n"/>
      <c r="C2598" s="83" t="n"/>
      <c r="D2598" s="83" t="n"/>
      <c r="E2598" s="83" t="n"/>
      <c r="F2598" s="83" t="n"/>
      <c r="G2598" s="83" t="n"/>
      <c r="H2598" s="83" t="n"/>
      <c r="I2598" s="83" t="n"/>
      <c r="J2598" s="83" t="n"/>
      <c r="K2598" s="83" t="n"/>
      <c r="L2598" s="83" t="n"/>
      <c r="M2598" s="83" t="n"/>
      <c r="O2598" s="84" t="str">
        <f>IF($C2598="","",IFERROR(MATCH($B2598&amp;"|"&amp;$C2598,MUROS!$AX$11:$AX$70,0),0))</f>
        <v/>
      </c>
      <c r="P2598" s="84" t="str">
        <f>IF($D2598="","",IF(ISNUMBER(MATCH($D2598,CMB_S,0)),1,IF(ISNUMBER(MATCH($D2598,CMB_G,0)),2,0)))</f>
        <v/>
      </c>
      <c r="Q2598" s="84">
        <f>IF(ISNUMBER($H2598),-$H2598,0)</f>
        <v>0</v>
      </c>
      <c r="R2598" s="84">
        <f>IF(ISNUMBER($I2598),ABS($I2598),0)</f>
        <v>0</v>
      </c>
      <c r="S2598" s="84">
        <f>IF(ISNUMBER($M2598),ABS($M2598),0)</f>
        <v>0</v>
      </c>
      <c r="T2598" s="85" t="n">
        <v>2590</v>
      </c>
    </row>
    <row r="2599">
      <c r="B2599" s="83" t="n"/>
      <c r="C2599" s="83" t="n"/>
      <c r="D2599" s="83" t="n"/>
      <c r="E2599" s="83" t="n"/>
      <c r="F2599" s="83" t="n"/>
      <c r="G2599" s="83" t="n"/>
      <c r="H2599" s="83" t="n"/>
      <c r="I2599" s="83" t="n"/>
      <c r="J2599" s="83" t="n"/>
      <c r="K2599" s="83" t="n"/>
      <c r="L2599" s="83" t="n"/>
      <c r="M2599" s="83" t="n"/>
      <c r="O2599" s="84" t="str">
        <f>IF($C2599="","",IFERROR(MATCH($B2599&amp;"|"&amp;$C2599,MUROS!$AX$11:$AX$70,0),0))</f>
        <v/>
      </c>
      <c r="P2599" s="84" t="str">
        <f>IF($D2599="","",IF(ISNUMBER(MATCH($D2599,CMB_S,0)),1,IF(ISNUMBER(MATCH($D2599,CMB_G,0)),2,0)))</f>
        <v/>
      </c>
      <c r="Q2599" s="84">
        <f>IF(ISNUMBER($H2599),-$H2599,0)</f>
        <v>0</v>
      </c>
      <c r="R2599" s="84">
        <f>IF(ISNUMBER($I2599),ABS($I2599),0)</f>
        <v>0</v>
      </c>
      <c r="S2599" s="84">
        <f>IF(ISNUMBER($M2599),ABS($M2599),0)</f>
        <v>0</v>
      </c>
      <c r="T2599" s="85" t="n">
        <v>2591</v>
      </c>
    </row>
    <row r="2600">
      <c r="B2600" s="83" t="n"/>
      <c r="C2600" s="83" t="n"/>
      <c r="D2600" s="83" t="n"/>
      <c r="E2600" s="83" t="n"/>
      <c r="F2600" s="83" t="n"/>
      <c r="G2600" s="83" t="n"/>
      <c r="H2600" s="83" t="n"/>
      <c r="I2600" s="83" t="n"/>
      <c r="J2600" s="83" t="n"/>
      <c r="K2600" s="83" t="n"/>
      <c r="L2600" s="83" t="n"/>
      <c r="M2600" s="83" t="n"/>
      <c r="O2600" s="84" t="str">
        <f>IF($C2600="","",IFERROR(MATCH($B2600&amp;"|"&amp;$C2600,MUROS!$AX$11:$AX$70,0),0))</f>
        <v/>
      </c>
      <c r="P2600" s="84" t="str">
        <f>IF($D2600="","",IF(ISNUMBER(MATCH($D2600,CMB_S,0)),1,IF(ISNUMBER(MATCH($D2600,CMB_G,0)),2,0)))</f>
        <v/>
      </c>
      <c r="Q2600" s="84">
        <f>IF(ISNUMBER($H2600),-$H2600,0)</f>
        <v>0</v>
      </c>
      <c r="R2600" s="84">
        <f>IF(ISNUMBER($I2600),ABS($I2600),0)</f>
        <v>0</v>
      </c>
      <c r="S2600" s="84">
        <f>IF(ISNUMBER($M2600),ABS($M2600),0)</f>
        <v>0</v>
      </c>
      <c r="T2600" s="85" t="n">
        <v>2592</v>
      </c>
    </row>
    <row r="2601">
      <c r="B2601" s="83" t="n"/>
      <c r="C2601" s="83" t="n"/>
      <c r="D2601" s="83" t="n"/>
      <c r="E2601" s="83" t="n"/>
      <c r="F2601" s="83" t="n"/>
      <c r="G2601" s="83" t="n"/>
      <c r="H2601" s="83" t="n"/>
      <c r="I2601" s="83" t="n"/>
      <c r="J2601" s="83" t="n"/>
      <c r="K2601" s="83" t="n"/>
      <c r="L2601" s="83" t="n"/>
      <c r="M2601" s="83" t="n"/>
      <c r="O2601" s="84" t="str">
        <f>IF($C2601="","",IFERROR(MATCH($B2601&amp;"|"&amp;$C2601,MUROS!$AX$11:$AX$70,0),0))</f>
        <v/>
      </c>
      <c r="P2601" s="84" t="str">
        <f>IF($D2601="","",IF(ISNUMBER(MATCH($D2601,CMB_S,0)),1,IF(ISNUMBER(MATCH($D2601,CMB_G,0)),2,0)))</f>
        <v/>
      </c>
      <c r="Q2601" s="84">
        <f>IF(ISNUMBER($H2601),-$H2601,0)</f>
        <v>0</v>
      </c>
      <c r="R2601" s="84">
        <f>IF(ISNUMBER($I2601),ABS($I2601),0)</f>
        <v>0</v>
      </c>
      <c r="S2601" s="84">
        <f>IF(ISNUMBER($M2601),ABS($M2601),0)</f>
        <v>0</v>
      </c>
      <c r="T2601" s="85" t="n">
        <v>2593</v>
      </c>
    </row>
    <row r="2602">
      <c r="B2602" s="83" t="n"/>
      <c r="C2602" s="83" t="n"/>
      <c r="D2602" s="83" t="n"/>
      <c r="E2602" s="83" t="n"/>
      <c r="F2602" s="83" t="n"/>
      <c r="G2602" s="83" t="n"/>
      <c r="H2602" s="83" t="n"/>
      <c r="I2602" s="83" t="n"/>
      <c r="J2602" s="83" t="n"/>
      <c r="K2602" s="83" t="n"/>
      <c r="L2602" s="83" t="n"/>
      <c r="M2602" s="83" t="n"/>
      <c r="O2602" s="84" t="str">
        <f>IF($C2602="","",IFERROR(MATCH($B2602&amp;"|"&amp;$C2602,MUROS!$AX$11:$AX$70,0),0))</f>
        <v/>
      </c>
      <c r="P2602" s="84" t="str">
        <f>IF($D2602="","",IF(ISNUMBER(MATCH($D2602,CMB_S,0)),1,IF(ISNUMBER(MATCH($D2602,CMB_G,0)),2,0)))</f>
        <v/>
      </c>
      <c r="Q2602" s="84">
        <f>IF(ISNUMBER($H2602),-$H2602,0)</f>
        <v>0</v>
      </c>
      <c r="R2602" s="84">
        <f>IF(ISNUMBER($I2602),ABS($I2602),0)</f>
        <v>0</v>
      </c>
      <c r="S2602" s="84">
        <f>IF(ISNUMBER($M2602),ABS($M2602),0)</f>
        <v>0</v>
      </c>
      <c r="T2602" s="85" t="n">
        <v>2594</v>
      </c>
    </row>
    <row r="2603">
      <c r="B2603" s="83" t="n"/>
      <c r="C2603" s="83" t="n"/>
      <c r="D2603" s="83" t="n"/>
      <c r="E2603" s="83" t="n"/>
      <c r="F2603" s="83" t="n"/>
      <c r="G2603" s="83" t="n"/>
      <c r="H2603" s="83" t="n"/>
      <c r="I2603" s="83" t="n"/>
      <c r="J2603" s="83" t="n"/>
      <c r="K2603" s="83" t="n"/>
      <c r="L2603" s="83" t="n"/>
      <c r="M2603" s="83" t="n"/>
      <c r="O2603" s="84" t="str">
        <f>IF($C2603="","",IFERROR(MATCH($B2603&amp;"|"&amp;$C2603,MUROS!$AX$11:$AX$70,0),0))</f>
        <v/>
      </c>
      <c r="P2603" s="84" t="str">
        <f>IF($D2603="","",IF(ISNUMBER(MATCH($D2603,CMB_S,0)),1,IF(ISNUMBER(MATCH($D2603,CMB_G,0)),2,0)))</f>
        <v/>
      </c>
      <c r="Q2603" s="84">
        <f>IF(ISNUMBER($H2603),-$H2603,0)</f>
        <v>0</v>
      </c>
      <c r="R2603" s="84">
        <f>IF(ISNUMBER($I2603),ABS($I2603),0)</f>
        <v>0</v>
      </c>
      <c r="S2603" s="84">
        <f>IF(ISNUMBER($M2603),ABS($M2603),0)</f>
        <v>0</v>
      </c>
      <c r="T2603" s="85" t="n">
        <v>2595</v>
      </c>
    </row>
    <row r="2604">
      <c r="B2604" s="83" t="n"/>
      <c r="C2604" s="83" t="n"/>
      <c r="D2604" s="83" t="n"/>
      <c r="E2604" s="83" t="n"/>
      <c r="F2604" s="83" t="n"/>
      <c r="G2604" s="83" t="n"/>
      <c r="H2604" s="83" t="n"/>
      <c r="I2604" s="83" t="n"/>
      <c r="J2604" s="83" t="n"/>
      <c r="K2604" s="83" t="n"/>
      <c r="L2604" s="83" t="n"/>
      <c r="M2604" s="83" t="n"/>
      <c r="O2604" s="84" t="str">
        <f>IF($C2604="","",IFERROR(MATCH($B2604&amp;"|"&amp;$C2604,MUROS!$AX$11:$AX$70,0),0))</f>
        <v/>
      </c>
      <c r="P2604" s="84" t="str">
        <f>IF($D2604="","",IF(ISNUMBER(MATCH($D2604,CMB_S,0)),1,IF(ISNUMBER(MATCH($D2604,CMB_G,0)),2,0)))</f>
        <v/>
      </c>
      <c r="Q2604" s="84">
        <f>IF(ISNUMBER($H2604),-$H2604,0)</f>
        <v>0</v>
      </c>
      <c r="R2604" s="84">
        <f>IF(ISNUMBER($I2604),ABS($I2604),0)</f>
        <v>0</v>
      </c>
      <c r="S2604" s="84">
        <f>IF(ISNUMBER($M2604),ABS($M2604),0)</f>
        <v>0</v>
      </c>
      <c r="T2604" s="85" t="n">
        <v>2596</v>
      </c>
    </row>
    <row r="2605">
      <c r="B2605" s="83" t="n"/>
      <c r="C2605" s="83" t="n"/>
      <c r="D2605" s="83" t="n"/>
      <c r="E2605" s="83" t="n"/>
      <c r="F2605" s="83" t="n"/>
      <c r="G2605" s="83" t="n"/>
      <c r="H2605" s="83" t="n"/>
      <c r="I2605" s="83" t="n"/>
      <c r="J2605" s="83" t="n"/>
      <c r="K2605" s="83" t="n"/>
      <c r="L2605" s="83" t="n"/>
      <c r="M2605" s="83" t="n"/>
      <c r="O2605" s="84" t="str">
        <f>IF($C2605="","",IFERROR(MATCH($B2605&amp;"|"&amp;$C2605,MUROS!$AX$11:$AX$70,0),0))</f>
        <v/>
      </c>
      <c r="P2605" s="84" t="str">
        <f>IF($D2605="","",IF(ISNUMBER(MATCH($D2605,CMB_S,0)),1,IF(ISNUMBER(MATCH($D2605,CMB_G,0)),2,0)))</f>
        <v/>
      </c>
      <c r="Q2605" s="84">
        <f>IF(ISNUMBER($H2605),-$H2605,0)</f>
        <v>0</v>
      </c>
      <c r="R2605" s="84">
        <f>IF(ISNUMBER($I2605),ABS($I2605),0)</f>
        <v>0</v>
      </c>
      <c r="S2605" s="84">
        <f>IF(ISNUMBER($M2605),ABS($M2605),0)</f>
        <v>0</v>
      </c>
      <c r="T2605" s="85" t="n">
        <v>2597</v>
      </c>
    </row>
    <row r="2606">
      <c r="B2606" s="83" t="n"/>
      <c r="C2606" s="83" t="n"/>
      <c r="D2606" s="83" t="n"/>
      <c r="E2606" s="83" t="n"/>
      <c r="F2606" s="83" t="n"/>
      <c r="G2606" s="83" t="n"/>
      <c r="H2606" s="83" t="n"/>
      <c r="I2606" s="83" t="n"/>
      <c r="J2606" s="83" t="n"/>
      <c r="K2606" s="83" t="n"/>
      <c r="L2606" s="83" t="n"/>
      <c r="M2606" s="83" t="n"/>
      <c r="O2606" s="84" t="str">
        <f>IF($C2606="","",IFERROR(MATCH($B2606&amp;"|"&amp;$C2606,MUROS!$AX$11:$AX$70,0),0))</f>
        <v/>
      </c>
      <c r="P2606" s="84" t="str">
        <f>IF($D2606="","",IF(ISNUMBER(MATCH($D2606,CMB_S,0)),1,IF(ISNUMBER(MATCH($D2606,CMB_G,0)),2,0)))</f>
        <v/>
      </c>
      <c r="Q2606" s="84">
        <f>IF(ISNUMBER($H2606),-$H2606,0)</f>
        <v>0</v>
      </c>
      <c r="R2606" s="84">
        <f>IF(ISNUMBER($I2606),ABS($I2606),0)</f>
        <v>0</v>
      </c>
      <c r="S2606" s="84">
        <f>IF(ISNUMBER($M2606),ABS($M2606),0)</f>
        <v>0</v>
      </c>
      <c r="T2606" s="85" t="n">
        <v>2598</v>
      </c>
    </row>
    <row r="2607">
      <c r="B2607" s="83" t="n"/>
      <c r="C2607" s="83" t="n"/>
      <c r="D2607" s="83" t="n"/>
      <c r="E2607" s="83" t="n"/>
      <c r="F2607" s="83" t="n"/>
      <c r="G2607" s="83" t="n"/>
      <c r="H2607" s="83" t="n"/>
      <c r="I2607" s="83" t="n"/>
      <c r="J2607" s="83" t="n"/>
      <c r="K2607" s="83" t="n"/>
      <c r="L2607" s="83" t="n"/>
      <c r="M2607" s="83" t="n"/>
      <c r="O2607" s="84" t="str">
        <f>IF($C2607="","",IFERROR(MATCH($B2607&amp;"|"&amp;$C2607,MUROS!$AX$11:$AX$70,0),0))</f>
        <v/>
      </c>
      <c r="P2607" s="84" t="str">
        <f>IF($D2607="","",IF(ISNUMBER(MATCH($D2607,CMB_S,0)),1,IF(ISNUMBER(MATCH($D2607,CMB_G,0)),2,0)))</f>
        <v/>
      </c>
      <c r="Q2607" s="84">
        <f>IF(ISNUMBER($H2607),-$H2607,0)</f>
        <v>0</v>
      </c>
      <c r="R2607" s="84">
        <f>IF(ISNUMBER($I2607),ABS($I2607),0)</f>
        <v>0</v>
      </c>
      <c r="S2607" s="84">
        <f>IF(ISNUMBER($M2607),ABS($M2607),0)</f>
        <v>0</v>
      </c>
      <c r="T2607" s="85" t="n">
        <v>2599</v>
      </c>
    </row>
    <row r="2608">
      <c r="B2608" s="83" t="n"/>
      <c r="C2608" s="83" t="n"/>
      <c r="D2608" s="83" t="n"/>
      <c r="E2608" s="83" t="n"/>
      <c r="F2608" s="83" t="n"/>
      <c r="G2608" s="83" t="n"/>
      <c r="H2608" s="83" t="n"/>
      <c r="I2608" s="83" t="n"/>
      <c r="J2608" s="83" t="n"/>
      <c r="K2608" s="83" t="n"/>
      <c r="L2608" s="83" t="n"/>
      <c r="M2608" s="83" t="n"/>
      <c r="O2608" s="84" t="str">
        <f>IF($C2608="","",IFERROR(MATCH($B2608&amp;"|"&amp;$C2608,MUROS!$AX$11:$AX$70,0),0))</f>
        <v/>
      </c>
      <c r="P2608" s="84" t="str">
        <f>IF($D2608="","",IF(ISNUMBER(MATCH($D2608,CMB_S,0)),1,IF(ISNUMBER(MATCH($D2608,CMB_G,0)),2,0)))</f>
        <v/>
      </c>
      <c r="Q2608" s="84">
        <f>IF(ISNUMBER($H2608),-$H2608,0)</f>
        <v>0</v>
      </c>
      <c r="R2608" s="84">
        <f>IF(ISNUMBER($I2608),ABS($I2608),0)</f>
        <v>0</v>
      </c>
      <c r="S2608" s="84">
        <f>IF(ISNUMBER($M2608),ABS($M2608),0)</f>
        <v>0</v>
      </c>
      <c r="T2608" s="85" t="n">
        <v>2600</v>
      </c>
    </row>
    <row r="2609">
      <c r="B2609" s="83" t="n"/>
      <c r="C2609" s="83" t="n"/>
      <c r="D2609" s="83" t="n"/>
      <c r="E2609" s="83" t="n"/>
      <c r="F2609" s="83" t="n"/>
      <c r="G2609" s="83" t="n"/>
      <c r="H2609" s="83" t="n"/>
      <c r="I2609" s="83" t="n"/>
      <c r="J2609" s="83" t="n"/>
      <c r="K2609" s="83" t="n"/>
      <c r="L2609" s="83" t="n"/>
      <c r="M2609" s="83" t="n"/>
      <c r="O2609" s="84" t="str">
        <f>IF($C2609="","",IFERROR(MATCH($B2609&amp;"|"&amp;$C2609,MUROS!$AX$11:$AX$70,0),0))</f>
        <v/>
      </c>
      <c r="P2609" s="84" t="str">
        <f>IF($D2609="","",IF(ISNUMBER(MATCH($D2609,CMB_S,0)),1,IF(ISNUMBER(MATCH($D2609,CMB_G,0)),2,0)))</f>
        <v/>
      </c>
      <c r="Q2609" s="84">
        <f>IF(ISNUMBER($H2609),-$H2609,0)</f>
        <v>0</v>
      </c>
      <c r="R2609" s="84">
        <f>IF(ISNUMBER($I2609),ABS($I2609),0)</f>
        <v>0</v>
      </c>
      <c r="S2609" s="84">
        <f>IF(ISNUMBER($M2609),ABS($M2609),0)</f>
        <v>0</v>
      </c>
      <c r="T2609" s="85" t="n">
        <v>2601</v>
      </c>
    </row>
    <row r="2610">
      <c r="B2610" s="83" t="n"/>
      <c r="C2610" s="83" t="n"/>
      <c r="D2610" s="83" t="n"/>
      <c r="E2610" s="83" t="n"/>
      <c r="F2610" s="83" t="n"/>
      <c r="G2610" s="83" t="n"/>
      <c r="H2610" s="83" t="n"/>
      <c r="I2610" s="83" t="n"/>
      <c r="J2610" s="83" t="n"/>
      <c r="K2610" s="83" t="n"/>
      <c r="L2610" s="83" t="n"/>
      <c r="M2610" s="83" t="n"/>
      <c r="O2610" s="84" t="str">
        <f>IF($C2610="","",IFERROR(MATCH($B2610&amp;"|"&amp;$C2610,MUROS!$AX$11:$AX$70,0),0))</f>
        <v/>
      </c>
      <c r="P2610" s="84" t="str">
        <f>IF($D2610="","",IF(ISNUMBER(MATCH($D2610,CMB_S,0)),1,IF(ISNUMBER(MATCH($D2610,CMB_G,0)),2,0)))</f>
        <v/>
      </c>
      <c r="Q2610" s="84">
        <f>IF(ISNUMBER($H2610),-$H2610,0)</f>
        <v>0</v>
      </c>
      <c r="R2610" s="84">
        <f>IF(ISNUMBER($I2610),ABS($I2610),0)</f>
        <v>0</v>
      </c>
      <c r="S2610" s="84">
        <f>IF(ISNUMBER($M2610),ABS($M2610),0)</f>
        <v>0</v>
      </c>
      <c r="T2610" s="85" t="n">
        <v>2602</v>
      </c>
    </row>
    <row r="2611">
      <c r="B2611" s="83" t="n"/>
      <c r="C2611" s="83" t="n"/>
      <c r="D2611" s="83" t="n"/>
      <c r="E2611" s="83" t="n"/>
      <c r="F2611" s="83" t="n"/>
      <c r="G2611" s="83" t="n"/>
      <c r="H2611" s="83" t="n"/>
      <c r="I2611" s="83" t="n"/>
      <c r="J2611" s="83" t="n"/>
      <c r="K2611" s="83" t="n"/>
      <c r="L2611" s="83" t="n"/>
      <c r="M2611" s="83" t="n"/>
      <c r="O2611" s="84" t="str">
        <f>IF($C2611="","",IFERROR(MATCH($B2611&amp;"|"&amp;$C2611,MUROS!$AX$11:$AX$70,0),0))</f>
        <v/>
      </c>
      <c r="P2611" s="84" t="str">
        <f>IF($D2611="","",IF(ISNUMBER(MATCH($D2611,CMB_S,0)),1,IF(ISNUMBER(MATCH($D2611,CMB_G,0)),2,0)))</f>
        <v/>
      </c>
      <c r="Q2611" s="84">
        <f>IF(ISNUMBER($H2611),-$H2611,0)</f>
        <v>0</v>
      </c>
      <c r="R2611" s="84">
        <f>IF(ISNUMBER($I2611),ABS($I2611),0)</f>
        <v>0</v>
      </c>
      <c r="S2611" s="84">
        <f>IF(ISNUMBER($M2611),ABS($M2611),0)</f>
        <v>0</v>
      </c>
      <c r="T2611" s="85" t="n">
        <v>2603</v>
      </c>
    </row>
    <row r="2612">
      <c r="B2612" s="83" t="n"/>
      <c r="C2612" s="83" t="n"/>
      <c r="D2612" s="83" t="n"/>
      <c r="E2612" s="83" t="n"/>
      <c r="F2612" s="83" t="n"/>
      <c r="G2612" s="83" t="n"/>
      <c r="H2612" s="83" t="n"/>
      <c r="I2612" s="83" t="n"/>
      <c r="J2612" s="83" t="n"/>
      <c r="K2612" s="83" t="n"/>
      <c r="L2612" s="83" t="n"/>
      <c r="M2612" s="83" t="n"/>
      <c r="O2612" s="84" t="str">
        <f>IF($C2612="","",IFERROR(MATCH($B2612&amp;"|"&amp;$C2612,MUROS!$AX$11:$AX$70,0),0))</f>
        <v/>
      </c>
      <c r="P2612" s="84" t="str">
        <f>IF($D2612="","",IF(ISNUMBER(MATCH($D2612,CMB_S,0)),1,IF(ISNUMBER(MATCH($D2612,CMB_G,0)),2,0)))</f>
        <v/>
      </c>
      <c r="Q2612" s="84">
        <f>IF(ISNUMBER($H2612),-$H2612,0)</f>
        <v>0</v>
      </c>
      <c r="R2612" s="84">
        <f>IF(ISNUMBER($I2612),ABS($I2612),0)</f>
        <v>0</v>
      </c>
      <c r="S2612" s="84">
        <f>IF(ISNUMBER($M2612),ABS($M2612),0)</f>
        <v>0</v>
      </c>
      <c r="T2612" s="85" t="n">
        <v>2604</v>
      </c>
    </row>
    <row r="2613">
      <c r="B2613" s="83" t="n"/>
      <c r="C2613" s="83" t="n"/>
      <c r="D2613" s="83" t="n"/>
      <c r="E2613" s="83" t="n"/>
      <c r="F2613" s="83" t="n"/>
      <c r="G2613" s="83" t="n"/>
      <c r="H2613" s="83" t="n"/>
      <c r="I2613" s="83" t="n"/>
      <c r="J2613" s="83" t="n"/>
      <c r="K2613" s="83" t="n"/>
      <c r="L2613" s="83" t="n"/>
      <c r="M2613" s="83" t="n"/>
      <c r="O2613" s="84" t="str">
        <f>IF($C2613="","",IFERROR(MATCH($B2613&amp;"|"&amp;$C2613,MUROS!$AX$11:$AX$70,0),0))</f>
        <v/>
      </c>
      <c r="P2613" s="84" t="str">
        <f>IF($D2613="","",IF(ISNUMBER(MATCH($D2613,CMB_S,0)),1,IF(ISNUMBER(MATCH($D2613,CMB_G,0)),2,0)))</f>
        <v/>
      </c>
      <c r="Q2613" s="84">
        <f>IF(ISNUMBER($H2613),-$H2613,0)</f>
        <v>0</v>
      </c>
      <c r="R2613" s="84">
        <f>IF(ISNUMBER($I2613),ABS($I2613),0)</f>
        <v>0</v>
      </c>
      <c r="S2613" s="84">
        <f>IF(ISNUMBER($M2613),ABS($M2613),0)</f>
        <v>0</v>
      </c>
      <c r="T2613" s="85" t="n">
        <v>2605</v>
      </c>
    </row>
    <row r="2614">
      <c r="B2614" s="83" t="n"/>
      <c r="C2614" s="83" t="n"/>
      <c r="D2614" s="83" t="n"/>
      <c r="E2614" s="83" t="n"/>
      <c r="F2614" s="83" t="n"/>
      <c r="G2614" s="83" t="n"/>
      <c r="H2614" s="83" t="n"/>
      <c r="I2614" s="83" t="n"/>
      <c r="J2614" s="83" t="n"/>
      <c r="K2614" s="83" t="n"/>
      <c r="L2614" s="83" t="n"/>
      <c r="M2614" s="83" t="n"/>
      <c r="O2614" s="84" t="str">
        <f>IF($C2614="","",IFERROR(MATCH($B2614&amp;"|"&amp;$C2614,MUROS!$AX$11:$AX$70,0),0))</f>
        <v/>
      </c>
      <c r="P2614" s="84" t="str">
        <f>IF($D2614="","",IF(ISNUMBER(MATCH($D2614,CMB_S,0)),1,IF(ISNUMBER(MATCH($D2614,CMB_G,0)),2,0)))</f>
        <v/>
      </c>
      <c r="Q2614" s="84">
        <f>IF(ISNUMBER($H2614),-$H2614,0)</f>
        <v>0</v>
      </c>
      <c r="R2614" s="84">
        <f>IF(ISNUMBER($I2614),ABS($I2614),0)</f>
        <v>0</v>
      </c>
      <c r="S2614" s="84">
        <f>IF(ISNUMBER($M2614),ABS($M2614),0)</f>
        <v>0</v>
      </c>
      <c r="T2614" s="85" t="n">
        <v>2606</v>
      </c>
    </row>
    <row r="2615">
      <c r="B2615" s="83" t="n"/>
      <c r="C2615" s="83" t="n"/>
      <c r="D2615" s="83" t="n"/>
      <c r="E2615" s="83" t="n"/>
      <c r="F2615" s="83" t="n"/>
      <c r="G2615" s="83" t="n"/>
      <c r="H2615" s="83" t="n"/>
      <c r="I2615" s="83" t="n"/>
      <c r="J2615" s="83" t="n"/>
      <c r="K2615" s="83" t="n"/>
      <c r="L2615" s="83" t="n"/>
      <c r="M2615" s="83" t="n"/>
      <c r="O2615" s="84" t="str">
        <f>IF($C2615="","",IFERROR(MATCH($B2615&amp;"|"&amp;$C2615,MUROS!$AX$11:$AX$70,0),0))</f>
        <v/>
      </c>
      <c r="P2615" s="84" t="str">
        <f>IF($D2615="","",IF(ISNUMBER(MATCH($D2615,CMB_S,0)),1,IF(ISNUMBER(MATCH($D2615,CMB_G,0)),2,0)))</f>
        <v/>
      </c>
      <c r="Q2615" s="84">
        <f>IF(ISNUMBER($H2615),-$H2615,0)</f>
        <v>0</v>
      </c>
      <c r="R2615" s="84">
        <f>IF(ISNUMBER($I2615),ABS($I2615),0)</f>
        <v>0</v>
      </c>
      <c r="S2615" s="84">
        <f>IF(ISNUMBER($M2615),ABS($M2615),0)</f>
        <v>0</v>
      </c>
      <c r="T2615" s="85" t="n">
        <v>2607</v>
      </c>
    </row>
    <row r="2616">
      <c r="B2616" s="83" t="n"/>
      <c r="C2616" s="83" t="n"/>
      <c r="D2616" s="83" t="n"/>
      <c r="E2616" s="83" t="n"/>
      <c r="F2616" s="83" t="n"/>
      <c r="G2616" s="83" t="n"/>
      <c r="H2616" s="83" t="n"/>
      <c r="I2616" s="83" t="n"/>
      <c r="J2616" s="83" t="n"/>
      <c r="K2616" s="83" t="n"/>
      <c r="L2616" s="83" t="n"/>
      <c r="M2616" s="83" t="n"/>
      <c r="O2616" s="84" t="str">
        <f>IF($C2616="","",IFERROR(MATCH($B2616&amp;"|"&amp;$C2616,MUROS!$AX$11:$AX$70,0),0))</f>
        <v/>
      </c>
      <c r="P2616" s="84" t="str">
        <f>IF($D2616="","",IF(ISNUMBER(MATCH($D2616,CMB_S,0)),1,IF(ISNUMBER(MATCH($D2616,CMB_G,0)),2,0)))</f>
        <v/>
      </c>
      <c r="Q2616" s="84">
        <f>IF(ISNUMBER($H2616),-$H2616,0)</f>
        <v>0</v>
      </c>
      <c r="R2616" s="84">
        <f>IF(ISNUMBER($I2616),ABS($I2616),0)</f>
        <v>0</v>
      </c>
      <c r="S2616" s="84">
        <f>IF(ISNUMBER($M2616),ABS($M2616),0)</f>
        <v>0</v>
      </c>
      <c r="T2616" s="85" t="n">
        <v>2608</v>
      </c>
    </row>
    <row r="2617">
      <c r="B2617" s="83" t="n"/>
      <c r="C2617" s="83" t="n"/>
      <c r="D2617" s="83" t="n"/>
      <c r="E2617" s="83" t="n"/>
      <c r="F2617" s="83" t="n"/>
      <c r="G2617" s="83" t="n"/>
      <c r="H2617" s="83" t="n"/>
      <c r="I2617" s="83" t="n"/>
      <c r="J2617" s="83" t="n"/>
      <c r="K2617" s="83" t="n"/>
      <c r="L2617" s="83" t="n"/>
      <c r="M2617" s="83" t="n"/>
      <c r="O2617" s="84" t="str">
        <f>IF($C2617="","",IFERROR(MATCH($B2617&amp;"|"&amp;$C2617,MUROS!$AX$11:$AX$70,0),0))</f>
        <v/>
      </c>
      <c r="P2617" s="84" t="str">
        <f>IF($D2617="","",IF(ISNUMBER(MATCH($D2617,CMB_S,0)),1,IF(ISNUMBER(MATCH($D2617,CMB_G,0)),2,0)))</f>
        <v/>
      </c>
      <c r="Q2617" s="84">
        <f>IF(ISNUMBER($H2617),-$H2617,0)</f>
        <v>0</v>
      </c>
      <c r="R2617" s="84">
        <f>IF(ISNUMBER($I2617),ABS($I2617),0)</f>
        <v>0</v>
      </c>
      <c r="S2617" s="84">
        <f>IF(ISNUMBER($M2617),ABS($M2617),0)</f>
        <v>0</v>
      </c>
      <c r="T2617" s="85" t="n">
        <v>2609</v>
      </c>
    </row>
    <row r="2618">
      <c r="B2618" s="83" t="n"/>
      <c r="C2618" s="83" t="n"/>
      <c r="D2618" s="83" t="n"/>
      <c r="E2618" s="83" t="n"/>
      <c r="F2618" s="83" t="n"/>
      <c r="G2618" s="83" t="n"/>
      <c r="H2618" s="83" t="n"/>
      <c r="I2618" s="83" t="n"/>
      <c r="J2618" s="83" t="n"/>
      <c r="K2618" s="83" t="n"/>
      <c r="L2618" s="83" t="n"/>
      <c r="M2618" s="83" t="n"/>
      <c r="O2618" s="84" t="str">
        <f>IF($C2618="","",IFERROR(MATCH($B2618&amp;"|"&amp;$C2618,MUROS!$AX$11:$AX$70,0),0))</f>
        <v/>
      </c>
      <c r="P2618" s="84" t="str">
        <f>IF($D2618="","",IF(ISNUMBER(MATCH($D2618,CMB_S,0)),1,IF(ISNUMBER(MATCH($D2618,CMB_G,0)),2,0)))</f>
        <v/>
      </c>
      <c r="Q2618" s="84">
        <f>IF(ISNUMBER($H2618),-$H2618,0)</f>
        <v>0</v>
      </c>
      <c r="R2618" s="84">
        <f>IF(ISNUMBER($I2618),ABS($I2618),0)</f>
        <v>0</v>
      </c>
      <c r="S2618" s="84">
        <f>IF(ISNUMBER($M2618),ABS($M2618),0)</f>
        <v>0</v>
      </c>
      <c r="T2618" s="85" t="n">
        <v>2610</v>
      </c>
    </row>
    <row r="2619">
      <c r="B2619" s="83" t="n"/>
      <c r="C2619" s="83" t="n"/>
      <c r="D2619" s="83" t="n"/>
      <c r="E2619" s="83" t="n"/>
      <c r="F2619" s="83" t="n"/>
      <c r="G2619" s="83" t="n"/>
      <c r="H2619" s="83" t="n"/>
      <c r="I2619" s="83" t="n"/>
      <c r="J2619" s="83" t="n"/>
      <c r="K2619" s="83" t="n"/>
      <c r="L2619" s="83" t="n"/>
      <c r="M2619" s="83" t="n"/>
      <c r="O2619" s="84" t="str">
        <f>IF($C2619="","",IFERROR(MATCH($B2619&amp;"|"&amp;$C2619,MUROS!$AX$11:$AX$70,0),0))</f>
        <v/>
      </c>
      <c r="P2619" s="84" t="str">
        <f>IF($D2619="","",IF(ISNUMBER(MATCH($D2619,CMB_S,0)),1,IF(ISNUMBER(MATCH($D2619,CMB_G,0)),2,0)))</f>
        <v/>
      </c>
      <c r="Q2619" s="84">
        <f>IF(ISNUMBER($H2619),-$H2619,0)</f>
        <v>0</v>
      </c>
      <c r="R2619" s="84">
        <f>IF(ISNUMBER($I2619),ABS($I2619),0)</f>
        <v>0</v>
      </c>
      <c r="S2619" s="84">
        <f>IF(ISNUMBER($M2619),ABS($M2619),0)</f>
        <v>0</v>
      </c>
      <c r="T2619" s="85" t="n">
        <v>2611</v>
      </c>
    </row>
    <row r="2620">
      <c r="B2620" s="83" t="n"/>
      <c r="C2620" s="83" t="n"/>
      <c r="D2620" s="83" t="n"/>
      <c r="E2620" s="83" t="n"/>
      <c r="F2620" s="83" t="n"/>
      <c r="G2620" s="83" t="n"/>
      <c r="H2620" s="83" t="n"/>
      <c r="I2620" s="83" t="n"/>
      <c r="J2620" s="83" t="n"/>
      <c r="K2620" s="83" t="n"/>
      <c r="L2620" s="83" t="n"/>
      <c r="M2620" s="83" t="n"/>
      <c r="O2620" s="84" t="str">
        <f>IF($C2620="","",IFERROR(MATCH($B2620&amp;"|"&amp;$C2620,MUROS!$AX$11:$AX$70,0),0))</f>
        <v/>
      </c>
      <c r="P2620" s="84" t="str">
        <f>IF($D2620="","",IF(ISNUMBER(MATCH($D2620,CMB_S,0)),1,IF(ISNUMBER(MATCH($D2620,CMB_G,0)),2,0)))</f>
        <v/>
      </c>
      <c r="Q2620" s="84">
        <f>IF(ISNUMBER($H2620),-$H2620,0)</f>
        <v>0</v>
      </c>
      <c r="R2620" s="84">
        <f>IF(ISNUMBER($I2620),ABS($I2620),0)</f>
        <v>0</v>
      </c>
      <c r="S2620" s="84">
        <f>IF(ISNUMBER($M2620),ABS($M2620),0)</f>
        <v>0</v>
      </c>
      <c r="T2620" s="85" t="n">
        <v>2612</v>
      </c>
    </row>
    <row r="2621">
      <c r="B2621" s="83" t="n"/>
      <c r="C2621" s="83" t="n"/>
      <c r="D2621" s="83" t="n"/>
      <c r="E2621" s="83" t="n"/>
      <c r="F2621" s="83" t="n"/>
      <c r="G2621" s="83" t="n"/>
      <c r="H2621" s="83" t="n"/>
      <c r="I2621" s="83" t="n"/>
      <c r="J2621" s="83" t="n"/>
      <c r="K2621" s="83" t="n"/>
      <c r="L2621" s="83" t="n"/>
      <c r="M2621" s="83" t="n"/>
      <c r="O2621" s="84" t="str">
        <f>IF($C2621="","",IFERROR(MATCH($B2621&amp;"|"&amp;$C2621,MUROS!$AX$11:$AX$70,0),0))</f>
        <v/>
      </c>
      <c r="P2621" s="84" t="str">
        <f>IF($D2621="","",IF(ISNUMBER(MATCH($D2621,CMB_S,0)),1,IF(ISNUMBER(MATCH($D2621,CMB_G,0)),2,0)))</f>
        <v/>
      </c>
      <c r="Q2621" s="84">
        <f>IF(ISNUMBER($H2621),-$H2621,0)</f>
        <v>0</v>
      </c>
      <c r="R2621" s="84">
        <f>IF(ISNUMBER($I2621),ABS($I2621),0)</f>
        <v>0</v>
      </c>
      <c r="S2621" s="84">
        <f>IF(ISNUMBER($M2621),ABS($M2621),0)</f>
        <v>0</v>
      </c>
      <c r="T2621" s="85" t="n">
        <v>2613</v>
      </c>
    </row>
    <row r="2622">
      <c r="B2622" s="83" t="n"/>
      <c r="C2622" s="83" t="n"/>
      <c r="D2622" s="83" t="n"/>
      <c r="E2622" s="83" t="n"/>
      <c r="F2622" s="83" t="n"/>
      <c r="G2622" s="83" t="n"/>
      <c r="H2622" s="83" t="n"/>
      <c r="I2622" s="83" t="n"/>
      <c r="J2622" s="83" t="n"/>
      <c r="K2622" s="83" t="n"/>
      <c r="L2622" s="83" t="n"/>
      <c r="M2622" s="83" t="n"/>
      <c r="O2622" s="84" t="str">
        <f>IF($C2622="","",IFERROR(MATCH($B2622&amp;"|"&amp;$C2622,MUROS!$AX$11:$AX$70,0),0))</f>
        <v/>
      </c>
      <c r="P2622" s="84" t="str">
        <f>IF($D2622="","",IF(ISNUMBER(MATCH($D2622,CMB_S,0)),1,IF(ISNUMBER(MATCH($D2622,CMB_G,0)),2,0)))</f>
        <v/>
      </c>
      <c r="Q2622" s="84">
        <f>IF(ISNUMBER($H2622),-$H2622,0)</f>
        <v>0</v>
      </c>
      <c r="R2622" s="84">
        <f>IF(ISNUMBER($I2622),ABS($I2622),0)</f>
        <v>0</v>
      </c>
      <c r="S2622" s="84">
        <f>IF(ISNUMBER($M2622),ABS($M2622),0)</f>
        <v>0</v>
      </c>
      <c r="T2622" s="85" t="n">
        <v>2614</v>
      </c>
    </row>
    <row r="2623">
      <c r="B2623" s="83" t="n"/>
      <c r="C2623" s="83" t="n"/>
      <c r="D2623" s="83" t="n"/>
      <c r="E2623" s="83" t="n"/>
      <c r="F2623" s="83" t="n"/>
      <c r="G2623" s="83" t="n"/>
      <c r="H2623" s="83" t="n"/>
      <c r="I2623" s="83" t="n"/>
      <c r="J2623" s="83" t="n"/>
      <c r="K2623" s="83" t="n"/>
      <c r="L2623" s="83" t="n"/>
      <c r="M2623" s="83" t="n"/>
      <c r="O2623" s="84" t="str">
        <f>IF($C2623="","",IFERROR(MATCH($B2623&amp;"|"&amp;$C2623,MUROS!$AX$11:$AX$70,0),0))</f>
        <v/>
      </c>
      <c r="P2623" s="84" t="str">
        <f>IF($D2623="","",IF(ISNUMBER(MATCH($D2623,CMB_S,0)),1,IF(ISNUMBER(MATCH($D2623,CMB_G,0)),2,0)))</f>
        <v/>
      </c>
      <c r="Q2623" s="84">
        <f>IF(ISNUMBER($H2623),-$H2623,0)</f>
        <v>0</v>
      </c>
      <c r="R2623" s="84">
        <f>IF(ISNUMBER($I2623),ABS($I2623),0)</f>
        <v>0</v>
      </c>
      <c r="S2623" s="84">
        <f>IF(ISNUMBER($M2623),ABS($M2623),0)</f>
        <v>0</v>
      </c>
      <c r="T2623" s="85" t="n">
        <v>2615</v>
      </c>
    </row>
    <row r="2624">
      <c r="B2624" s="83" t="n"/>
      <c r="C2624" s="83" t="n"/>
      <c r="D2624" s="83" t="n"/>
      <c r="E2624" s="83" t="n"/>
      <c r="F2624" s="83" t="n"/>
      <c r="G2624" s="83" t="n"/>
      <c r="H2624" s="83" t="n"/>
      <c r="I2624" s="83" t="n"/>
      <c r="J2624" s="83" t="n"/>
      <c r="K2624" s="83" t="n"/>
      <c r="L2624" s="83" t="n"/>
      <c r="M2624" s="83" t="n"/>
      <c r="O2624" s="84" t="str">
        <f>IF($C2624="","",IFERROR(MATCH($B2624&amp;"|"&amp;$C2624,MUROS!$AX$11:$AX$70,0),0))</f>
        <v/>
      </c>
      <c r="P2624" s="84" t="str">
        <f>IF($D2624="","",IF(ISNUMBER(MATCH($D2624,CMB_S,0)),1,IF(ISNUMBER(MATCH($D2624,CMB_G,0)),2,0)))</f>
        <v/>
      </c>
      <c r="Q2624" s="84">
        <f>IF(ISNUMBER($H2624),-$H2624,0)</f>
        <v>0</v>
      </c>
      <c r="R2624" s="84">
        <f>IF(ISNUMBER($I2624),ABS($I2624),0)</f>
        <v>0</v>
      </c>
      <c r="S2624" s="84">
        <f>IF(ISNUMBER($M2624),ABS($M2624),0)</f>
        <v>0</v>
      </c>
      <c r="T2624" s="85" t="n">
        <v>2616</v>
      </c>
    </row>
    <row r="2625">
      <c r="B2625" s="83" t="n"/>
      <c r="C2625" s="83" t="n"/>
      <c r="D2625" s="83" t="n"/>
      <c r="E2625" s="83" t="n"/>
      <c r="F2625" s="83" t="n"/>
      <c r="G2625" s="83" t="n"/>
      <c r="H2625" s="83" t="n"/>
      <c r="I2625" s="83" t="n"/>
      <c r="J2625" s="83" t="n"/>
      <c r="K2625" s="83" t="n"/>
      <c r="L2625" s="83" t="n"/>
      <c r="M2625" s="83" t="n"/>
      <c r="O2625" s="84" t="str">
        <f>IF($C2625="","",IFERROR(MATCH($B2625&amp;"|"&amp;$C2625,MUROS!$AX$11:$AX$70,0),0))</f>
        <v/>
      </c>
      <c r="P2625" s="84" t="str">
        <f>IF($D2625="","",IF(ISNUMBER(MATCH($D2625,CMB_S,0)),1,IF(ISNUMBER(MATCH($D2625,CMB_G,0)),2,0)))</f>
        <v/>
      </c>
      <c r="Q2625" s="84">
        <f>IF(ISNUMBER($H2625),-$H2625,0)</f>
        <v>0</v>
      </c>
      <c r="R2625" s="84">
        <f>IF(ISNUMBER($I2625),ABS($I2625),0)</f>
        <v>0</v>
      </c>
      <c r="S2625" s="84">
        <f>IF(ISNUMBER($M2625),ABS($M2625),0)</f>
        <v>0</v>
      </c>
      <c r="T2625" s="85" t="n">
        <v>2617</v>
      </c>
    </row>
    <row r="2626">
      <c r="B2626" s="83" t="n"/>
      <c r="C2626" s="83" t="n"/>
      <c r="D2626" s="83" t="n"/>
      <c r="E2626" s="83" t="n"/>
      <c r="F2626" s="83" t="n"/>
      <c r="G2626" s="83" t="n"/>
      <c r="H2626" s="83" t="n"/>
      <c r="I2626" s="83" t="n"/>
      <c r="J2626" s="83" t="n"/>
      <c r="K2626" s="83" t="n"/>
      <c r="L2626" s="83" t="n"/>
      <c r="M2626" s="83" t="n"/>
      <c r="O2626" s="84" t="str">
        <f>IF($C2626="","",IFERROR(MATCH($B2626&amp;"|"&amp;$C2626,MUROS!$AX$11:$AX$70,0),0))</f>
        <v/>
      </c>
      <c r="P2626" s="84" t="str">
        <f>IF($D2626="","",IF(ISNUMBER(MATCH($D2626,CMB_S,0)),1,IF(ISNUMBER(MATCH($D2626,CMB_G,0)),2,0)))</f>
        <v/>
      </c>
      <c r="Q2626" s="84">
        <f>IF(ISNUMBER($H2626),-$H2626,0)</f>
        <v>0</v>
      </c>
      <c r="R2626" s="84">
        <f>IF(ISNUMBER($I2626),ABS($I2626),0)</f>
        <v>0</v>
      </c>
      <c r="S2626" s="84">
        <f>IF(ISNUMBER($M2626),ABS($M2626),0)</f>
        <v>0</v>
      </c>
      <c r="T2626" s="85" t="n">
        <v>2618</v>
      </c>
    </row>
    <row r="2627">
      <c r="B2627" s="83" t="n"/>
      <c r="C2627" s="83" t="n"/>
      <c r="D2627" s="83" t="n"/>
      <c r="E2627" s="83" t="n"/>
      <c r="F2627" s="83" t="n"/>
      <c r="G2627" s="83" t="n"/>
      <c r="H2627" s="83" t="n"/>
      <c r="I2627" s="83" t="n"/>
      <c r="J2627" s="83" t="n"/>
      <c r="K2627" s="83" t="n"/>
      <c r="L2627" s="83" t="n"/>
      <c r="M2627" s="83" t="n"/>
      <c r="O2627" s="84" t="str">
        <f>IF($C2627="","",IFERROR(MATCH($B2627&amp;"|"&amp;$C2627,MUROS!$AX$11:$AX$70,0),0))</f>
        <v/>
      </c>
      <c r="P2627" s="84" t="str">
        <f>IF($D2627="","",IF(ISNUMBER(MATCH($D2627,CMB_S,0)),1,IF(ISNUMBER(MATCH($D2627,CMB_G,0)),2,0)))</f>
        <v/>
      </c>
      <c r="Q2627" s="84">
        <f>IF(ISNUMBER($H2627),-$H2627,0)</f>
        <v>0</v>
      </c>
      <c r="R2627" s="84">
        <f>IF(ISNUMBER($I2627),ABS($I2627),0)</f>
        <v>0</v>
      </c>
      <c r="S2627" s="84">
        <f>IF(ISNUMBER($M2627),ABS($M2627),0)</f>
        <v>0</v>
      </c>
      <c r="T2627" s="85" t="n">
        <v>2619</v>
      </c>
    </row>
    <row r="2628">
      <c r="B2628" s="83" t="n"/>
      <c r="C2628" s="83" t="n"/>
      <c r="D2628" s="83" t="n"/>
      <c r="E2628" s="83" t="n"/>
      <c r="F2628" s="83" t="n"/>
      <c r="G2628" s="83" t="n"/>
      <c r="H2628" s="83" t="n"/>
      <c r="I2628" s="83" t="n"/>
      <c r="J2628" s="83" t="n"/>
      <c r="K2628" s="83" t="n"/>
      <c r="L2628" s="83" t="n"/>
      <c r="M2628" s="83" t="n"/>
      <c r="O2628" s="84" t="str">
        <f>IF($C2628="","",IFERROR(MATCH($B2628&amp;"|"&amp;$C2628,MUROS!$AX$11:$AX$70,0),0))</f>
        <v/>
      </c>
      <c r="P2628" s="84" t="str">
        <f>IF($D2628="","",IF(ISNUMBER(MATCH($D2628,CMB_S,0)),1,IF(ISNUMBER(MATCH($D2628,CMB_G,0)),2,0)))</f>
        <v/>
      </c>
      <c r="Q2628" s="84">
        <f>IF(ISNUMBER($H2628),-$H2628,0)</f>
        <v>0</v>
      </c>
      <c r="R2628" s="84">
        <f>IF(ISNUMBER($I2628),ABS($I2628),0)</f>
        <v>0</v>
      </c>
      <c r="S2628" s="84">
        <f>IF(ISNUMBER($M2628),ABS($M2628),0)</f>
        <v>0</v>
      </c>
      <c r="T2628" s="85" t="n">
        <v>2620</v>
      </c>
    </row>
    <row r="2629">
      <c r="B2629" s="83" t="n"/>
      <c r="C2629" s="83" t="n"/>
      <c r="D2629" s="83" t="n"/>
      <c r="E2629" s="83" t="n"/>
      <c r="F2629" s="83" t="n"/>
      <c r="G2629" s="83" t="n"/>
      <c r="H2629" s="83" t="n"/>
      <c r="I2629" s="83" t="n"/>
      <c r="J2629" s="83" t="n"/>
      <c r="K2629" s="83" t="n"/>
      <c r="L2629" s="83" t="n"/>
      <c r="M2629" s="83" t="n"/>
      <c r="O2629" s="84" t="str">
        <f>IF($C2629="","",IFERROR(MATCH($B2629&amp;"|"&amp;$C2629,MUROS!$AX$11:$AX$70,0),0))</f>
        <v/>
      </c>
      <c r="P2629" s="84" t="str">
        <f>IF($D2629="","",IF(ISNUMBER(MATCH($D2629,CMB_S,0)),1,IF(ISNUMBER(MATCH($D2629,CMB_G,0)),2,0)))</f>
        <v/>
      </c>
      <c r="Q2629" s="84">
        <f>IF(ISNUMBER($H2629),-$H2629,0)</f>
        <v>0</v>
      </c>
      <c r="R2629" s="84">
        <f>IF(ISNUMBER($I2629),ABS($I2629),0)</f>
        <v>0</v>
      </c>
      <c r="S2629" s="84">
        <f>IF(ISNUMBER($M2629),ABS($M2629),0)</f>
        <v>0</v>
      </c>
      <c r="T2629" s="85" t="n">
        <v>2621</v>
      </c>
    </row>
    <row r="2630">
      <c r="B2630" s="83" t="n"/>
      <c r="C2630" s="83" t="n"/>
      <c r="D2630" s="83" t="n"/>
      <c r="E2630" s="83" t="n"/>
      <c r="F2630" s="83" t="n"/>
      <c r="G2630" s="83" t="n"/>
      <c r="H2630" s="83" t="n"/>
      <c r="I2630" s="83" t="n"/>
      <c r="J2630" s="83" t="n"/>
      <c r="K2630" s="83" t="n"/>
      <c r="L2630" s="83" t="n"/>
      <c r="M2630" s="83" t="n"/>
      <c r="O2630" s="84" t="str">
        <f>IF($C2630="","",IFERROR(MATCH($B2630&amp;"|"&amp;$C2630,MUROS!$AX$11:$AX$70,0),0))</f>
        <v/>
      </c>
      <c r="P2630" s="84" t="str">
        <f>IF($D2630="","",IF(ISNUMBER(MATCH($D2630,CMB_S,0)),1,IF(ISNUMBER(MATCH($D2630,CMB_G,0)),2,0)))</f>
        <v/>
      </c>
      <c r="Q2630" s="84">
        <f>IF(ISNUMBER($H2630),-$H2630,0)</f>
        <v>0</v>
      </c>
      <c r="R2630" s="84">
        <f>IF(ISNUMBER($I2630),ABS($I2630),0)</f>
        <v>0</v>
      </c>
      <c r="S2630" s="84">
        <f>IF(ISNUMBER($M2630),ABS($M2630),0)</f>
        <v>0</v>
      </c>
      <c r="T2630" s="85" t="n">
        <v>2622</v>
      </c>
    </row>
    <row r="2631">
      <c r="B2631" s="83" t="n"/>
      <c r="C2631" s="83" t="n"/>
      <c r="D2631" s="83" t="n"/>
      <c r="E2631" s="83" t="n"/>
      <c r="F2631" s="83" t="n"/>
      <c r="G2631" s="83" t="n"/>
      <c r="H2631" s="83" t="n"/>
      <c r="I2631" s="83" t="n"/>
      <c r="J2631" s="83" t="n"/>
      <c r="K2631" s="83" t="n"/>
      <c r="L2631" s="83" t="n"/>
      <c r="M2631" s="83" t="n"/>
      <c r="O2631" s="84" t="str">
        <f>IF($C2631="","",IFERROR(MATCH($B2631&amp;"|"&amp;$C2631,MUROS!$AX$11:$AX$70,0),0))</f>
        <v/>
      </c>
      <c r="P2631" s="84" t="str">
        <f>IF($D2631="","",IF(ISNUMBER(MATCH($D2631,CMB_S,0)),1,IF(ISNUMBER(MATCH($D2631,CMB_G,0)),2,0)))</f>
        <v/>
      </c>
      <c r="Q2631" s="84">
        <f>IF(ISNUMBER($H2631),-$H2631,0)</f>
        <v>0</v>
      </c>
      <c r="R2631" s="84">
        <f>IF(ISNUMBER($I2631),ABS($I2631),0)</f>
        <v>0</v>
      </c>
      <c r="S2631" s="84">
        <f>IF(ISNUMBER($M2631),ABS($M2631),0)</f>
        <v>0</v>
      </c>
      <c r="T2631" s="85" t="n">
        <v>2623</v>
      </c>
    </row>
    <row r="2632">
      <c r="B2632" s="83" t="n"/>
      <c r="C2632" s="83" t="n"/>
      <c r="D2632" s="83" t="n"/>
      <c r="E2632" s="83" t="n"/>
      <c r="F2632" s="83" t="n"/>
      <c r="G2632" s="83" t="n"/>
      <c r="H2632" s="83" t="n"/>
      <c r="I2632" s="83" t="n"/>
      <c r="J2632" s="83" t="n"/>
      <c r="K2632" s="83" t="n"/>
      <c r="L2632" s="83" t="n"/>
      <c r="M2632" s="83" t="n"/>
      <c r="O2632" s="84" t="str">
        <f>IF($C2632="","",IFERROR(MATCH($B2632&amp;"|"&amp;$C2632,MUROS!$AX$11:$AX$70,0),0))</f>
        <v/>
      </c>
      <c r="P2632" s="84" t="str">
        <f>IF($D2632="","",IF(ISNUMBER(MATCH($D2632,CMB_S,0)),1,IF(ISNUMBER(MATCH($D2632,CMB_G,0)),2,0)))</f>
        <v/>
      </c>
      <c r="Q2632" s="84">
        <f>IF(ISNUMBER($H2632),-$H2632,0)</f>
        <v>0</v>
      </c>
      <c r="R2632" s="84">
        <f>IF(ISNUMBER($I2632),ABS($I2632),0)</f>
        <v>0</v>
      </c>
      <c r="S2632" s="84">
        <f>IF(ISNUMBER($M2632),ABS($M2632),0)</f>
        <v>0</v>
      </c>
      <c r="T2632" s="85" t="n">
        <v>2624</v>
      </c>
    </row>
    <row r="2633">
      <c r="B2633" s="83" t="n"/>
      <c r="C2633" s="83" t="n"/>
      <c r="D2633" s="83" t="n"/>
      <c r="E2633" s="83" t="n"/>
      <c r="F2633" s="83" t="n"/>
      <c r="G2633" s="83" t="n"/>
      <c r="H2633" s="83" t="n"/>
      <c r="I2633" s="83" t="n"/>
      <c r="J2633" s="83" t="n"/>
      <c r="K2633" s="83" t="n"/>
      <c r="L2633" s="83" t="n"/>
      <c r="M2633" s="83" t="n"/>
      <c r="O2633" s="84" t="str">
        <f>IF($C2633="","",IFERROR(MATCH($B2633&amp;"|"&amp;$C2633,MUROS!$AX$11:$AX$70,0),0))</f>
        <v/>
      </c>
      <c r="P2633" s="84" t="str">
        <f>IF($D2633="","",IF(ISNUMBER(MATCH($D2633,CMB_S,0)),1,IF(ISNUMBER(MATCH($D2633,CMB_G,0)),2,0)))</f>
        <v/>
      </c>
      <c r="Q2633" s="84">
        <f>IF(ISNUMBER($H2633),-$H2633,0)</f>
        <v>0</v>
      </c>
      <c r="R2633" s="84">
        <f>IF(ISNUMBER($I2633),ABS($I2633),0)</f>
        <v>0</v>
      </c>
      <c r="S2633" s="84">
        <f>IF(ISNUMBER($M2633),ABS($M2633),0)</f>
        <v>0</v>
      </c>
      <c r="T2633" s="85" t="n">
        <v>2625</v>
      </c>
    </row>
    <row r="2634">
      <c r="B2634" s="83" t="n"/>
      <c r="C2634" s="83" t="n"/>
      <c r="D2634" s="83" t="n"/>
      <c r="E2634" s="83" t="n"/>
      <c r="F2634" s="83" t="n"/>
      <c r="G2634" s="83" t="n"/>
      <c r="H2634" s="83" t="n"/>
      <c r="I2634" s="83" t="n"/>
      <c r="J2634" s="83" t="n"/>
      <c r="K2634" s="83" t="n"/>
      <c r="L2634" s="83" t="n"/>
      <c r="M2634" s="83" t="n"/>
      <c r="O2634" s="84" t="str">
        <f>IF($C2634="","",IFERROR(MATCH($B2634&amp;"|"&amp;$C2634,MUROS!$AX$11:$AX$70,0),0))</f>
        <v/>
      </c>
      <c r="P2634" s="84" t="str">
        <f>IF($D2634="","",IF(ISNUMBER(MATCH($D2634,CMB_S,0)),1,IF(ISNUMBER(MATCH($D2634,CMB_G,0)),2,0)))</f>
        <v/>
      </c>
      <c r="Q2634" s="84">
        <f>IF(ISNUMBER($H2634),-$H2634,0)</f>
        <v>0</v>
      </c>
      <c r="R2634" s="84">
        <f>IF(ISNUMBER($I2634),ABS($I2634),0)</f>
        <v>0</v>
      </c>
      <c r="S2634" s="84">
        <f>IF(ISNUMBER($M2634),ABS($M2634),0)</f>
        <v>0</v>
      </c>
      <c r="T2634" s="85" t="n">
        <v>2626</v>
      </c>
    </row>
    <row r="2635">
      <c r="B2635" s="83" t="n"/>
      <c r="C2635" s="83" t="n"/>
      <c r="D2635" s="83" t="n"/>
      <c r="E2635" s="83" t="n"/>
      <c r="F2635" s="83" t="n"/>
      <c r="G2635" s="83" t="n"/>
      <c r="H2635" s="83" t="n"/>
      <c r="I2635" s="83" t="n"/>
      <c r="J2635" s="83" t="n"/>
      <c r="K2635" s="83" t="n"/>
      <c r="L2635" s="83" t="n"/>
      <c r="M2635" s="83" t="n"/>
      <c r="O2635" s="84" t="str">
        <f>IF($C2635="","",IFERROR(MATCH($B2635&amp;"|"&amp;$C2635,MUROS!$AX$11:$AX$70,0),0))</f>
        <v/>
      </c>
      <c r="P2635" s="84" t="str">
        <f>IF($D2635="","",IF(ISNUMBER(MATCH($D2635,CMB_S,0)),1,IF(ISNUMBER(MATCH($D2635,CMB_G,0)),2,0)))</f>
        <v/>
      </c>
      <c r="Q2635" s="84">
        <f>IF(ISNUMBER($H2635),-$H2635,0)</f>
        <v>0</v>
      </c>
      <c r="R2635" s="84">
        <f>IF(ISNUMBER($I2635),ABS($I2635),0)</f>
        <v>0</v>
      </c>
      <c r="S2635" s="84">
        <f>IF(ISNUMBER($M2635),ABS($M2635),0)</f>
        <v>0</v>
      </c>
      <c r="T2635" s="85" t="n">
        <v>2627</v>
      </c>
    </row>
    <row r="2636">
      <c r="B2636" s="83" t="n"/>
      <c r="C2636" s="83" t="n"/>
      <c r="D2636" s="83" t="n"/>
      <c r="E2636" s="83" t="n"/>
      <c r="F2636" s="83" t="n"/>
      <c r="G2636" s="83" t="n"/>
      <c r="H2636" s="83" t="n"/>
      <c r="I2636" s="83" t="n"/>
      <c r="J2636" s="83" t="n"/>
      <c r="K2636" s="83" t="n"/>
      <c r="L2636" s="83" t="n"/>
      <c r="M2636" s="83" t="n"/>
      <c r="O2636" s="84" t="str">
        <f>IF($C2636="","",IFERROR(MATCH($B2636&amp;"|"&amp;$C2636,MUROS!$AX$11:$AX$70,0),0))</f>
        <v/>
      </c>
      <c r="P2636" s="84" t="str">
        <f>IF($D2636="","",IF(ISNUMBER(MATCH($D2636,CMB_S,0)),1,IF(ISNUMBER(MATCH($D2636,CMB_G,0)),2,0)))</f>
        <v/>
      </c>
      <c r="Q2636" s="84">
        <f>IF(ISNUMBER($H2636),-$H2636,0)</f>
        <v>0</v>
      </c>
      <c r="R2636" s="84">
        <f>IF(ISNUMBER($I2636),ABS($I2636),0)</f>
        <v>0</v>
      </c>
      <c r="S2636" s="84">
        <f>IF(ISNUMBER($M2636),ABS($M2636),0)</f>
        <v>0</v>
      </c>
      <c r="T2636" s="85" t="n">
        <v>2628</v>
      </c>
    </row>
    <row r="2637">
      <c r="B2637" s="83" t="n"/>
      <c r="C2637" s="83" t="n"/>
      <c r="D2637" s="83" t="n"/>
      <c r="E2637" s="83" t="n"/>
      <c r="F2637" s="83" t="n"/>
      <c r="G2637" s="83" t="n"/>
      <c r="H2637" s="83" t="n"/>
      <c r="I2637" s="83" t="n"/>
      <c r="J2637" s="83" t="n"/>
      <c r="K2637" s="83" t="n"/>
      <c r="L2637" s="83" t="n"/>
      <c r="M2637" s="83" t="n"/>
      <c r="O2637" s="84" t="str">
        <f>IF($C2637="","",IFERROR(MATCH($B2637&amp;"|"&amp;$C2637,MUROS!$AX$11:$AX$70,0),0))</f>
        <v/>
      </c>
      <c r="P2637" s="84" t="str">
        <f>IF($D2637="","",IF(ISNUMBER(MATCH($D2637,CMB_S,0)),1,IF(ISNUMBER(MATCH($D2637,CMB_G,0)),2,0)))</f>
        <v/>
      </c>
      <c r="Q2637" s="84">
        <f>IF(ISNUMBER($H2637),-$H2637,0)</f>
        <v>0</v>
      </c>
      <c r="R2637" s="84">
        <f>IF(ISNUMBER($I2637),ABS($I2637),0)</f>
        <v>0</v>
      </c>
      <c r="S2637" s="84">
        <f>IF(ISNUMBER($M2637),ABS($M2637),0)</f>
        <v>0</v>
      </c>
      <c r="T2637" s="85" t="n">
        <v>2629</v>
      </c>
    </row>
    <row r="2638">
      <c r="B2638" s="83" t="n"/>
      <c r="C2638" s="83" t="n"/>
      <c r="D2638" s="83" t="n"/>
      <c r="E2638" s="83" t="n"/>
      <c r="F2638" s="83" t="n"/>
      <c r="G2638" s="83" t="n"/>
      <c r="H2638" s="83" t="n"/>
      <c r="I2638" s="83" t="n"/>
      <c r="J2638" s="83" t="n"/>
      <c r="K2638" s="83" t="n"/>
      <c r="L2638" s="83" t="n"/>
      <c r="M2638" s="83" t="n"/>
      <c r="O2638" s="84" t="str">
        <f>IF($C2638="","",IFERROR(MATCH($B2638&amp;"|"&amp;$C2638,MUROS!$AX$11:$AX$70,0),0))</f>
        <v/>
      </c>
      <c r="P2638" s="84" t="str">
        <f>IF($D2638="","",IF(ISNUMBER(MATCH($D2638,CMB_S,0)),1,IF(ISNUMBER(MATCH($D2638,CMB_G,0)),2,0)))</f>
        <v/>
      </c>
      <c r="Q2638" s="84">
        <f>IF(ISNUMBER($H2638),-$H2638,0)</f>
        <v>0</v>
      </c>
      <c r="R2638" s="84">
        <f>IF(ISNUMBER($I2638),ABS($I2638),0)</f>
        <v>0</v>
      </c>
      <c r="S2638" s="84">
        <f>IF(ISNUMBER($M2638),ABS($M2638),0)</f>
        <v>0</v>
      </c>
      <c r="T2638" s="85" t="n">
        <v>2630</v>
      </c>
    </row>
    <row r="2639">
      <c r="B2639" s="83" t="n"/>
      <c r="C2639" s="83" t="n"/>
      <c r="D2639" s="83" t="n"/>
      <c r="E2639" s="83" t="n"/>
      <c r="F2639" s="83" t="n"/>
      <c r="G2639" s="83" t="n"/>
      <c r="H2639" s="83" t="n"/>
      <c r="I2639" s="83" t="n"/>
      <c r="J2639" s="83" t="n"/>
      <c r="K2639" s="83" t="n"/>
      <c r="L2639" s="83" t="n"/>
      <c r="M2639" s="83" t="n"/>
      <c r="O2639" s="84" t="str">
        <f>IF($C2639="","",IFERROR(MATCH($B2639&amp;"|"&amp;$C2639,MUROS!$AX$11:$AX$70,0),0))</f>
        <v/>
      </c>
      <c r="P2639" s="84" t="str">
        <f>IF($D2639="","",IF(ISNUMBER(MATCH($D2639,CMB_S,0)),1,IF(ISNUMBER(MATCH($D2639,CMB_G,0)),2,0)))</f>
        <v/>
      </c>
      <c r="Q2639" s="84">
        <f>IF(ISNUMBER($H2639),-$H2639,0)</f>
        <v>0</v>
      </c>
      <c r="R2639" s="84">
        <f>IF(ISNUMBER($I2639),ABS($I2639),0)</f>
        <v>0</v>
      </c>
      <c r="S2639" s="84">
        <f>IF(ISNUMBER($M2639),ABS($M2639),0)</f>
        <v>0</v>
      </c>
      <c r="T2639" s="85" t="n">
        <v>2631</v>
      </c>
    </row>
    <row r="2640">
      <c r="B2640" s="83" t="n"/>
      <c r="C2640" s="83" t="n"/>
      <c r="D2640" s="83" t="n"/>
      <c r="E2640" s="83" t="n"/>
      <c r="F2640" s="83" t="n"/>
      <c r="G2640" s="83" t="n"/>
      <c r="H2640" s="83" t="n"/>
      <c r="I2640" s="83" t="n"/>
      <c r="J2640" s="83" t="n"/>
      <c r="K2640" s="83" t="n"/>
      <c r="L2640" s="83" t="n"/>
      <c r="M2640" s="83" t="n"/>
      <c r="O2640" s="84" t="str">
        <f>IF($C2640="","",IFERROR(MATCH($B2640&amp;"|"&amp;$C2640,MUROS!$AX$11:$AX$70,0),0))</f>
        <v/>
      </c>
      <c r="P2640" s="84" t="str">
        <f>IF($D2640="","",IF(ISNUMBER(MATCH($D2640,CMB_S,0)),1,IF(ISNUMBER(MATCH($D2640,CMB_G,0)),2,0)))</f>
        <v/>
      </c>
      <c r="Q2640" s="84">
        <f>IF(ISNUMBER($H2640),-$H2640,0)</f>
        <v>0</v>
      </c>
      <c r="R2640" s="84">
        <f>IF(ISNUMBER($I2640),ABS($I2640),0)</f>
        <v>0</v>
      </c>
      <c r="S2640" s="84">
        <f>IF(ISNUMBER($M2640),ABS($M2640),0)</f>
        <v>0</v>
      </c>
      <c r="T2640" s="85" t="n">
        <v>2632</v>
      </c>
    </row>
    <row r="2641">
      <c r="B2641" s="83" t="n"/>
      <c r="C2641" s="83" t="n"/>
      <c r="D2641" s="83" t="n"/>
      <c r="E2641" s="83" t="n"/>
      <c r="F2641" s="83" t="n"/>
      <c r="G2641" s="83" t="n"/>
      <c r="H2641" s="83" t="n"/>
      <c r="I2641" s="83" t="n"/>
      <c r="J2641" s="83" t="n"/>
      <c r="K2641" s="83" t="n"/>
      <c r="L2641" s="83" t="n"/>
      <c r="M2641" s="83" t="n"/>
      <c r="O2641" s="84" t="str">
        <f>IF($C2641="","",IFERROR(MATCH($B2641&amp;"|"&amp;$C2641,MUROS!$AX$11:$AX$70,0),0))</f>
        <v/>
      </c>
      <c r="P2641" s="84" t="str">
        <f>IF($D2641="","",IF(ISNUMBER(MATCH($D2641,CMB_S,0)),1,IF(ISNUMBER(MATCH($D2641,CMB_G,0)),2,0)))</f>
        <v/>
      </c>
      <c r="Q2641" s="84">
        <f>IF(ISNUMBER($H2641),-$H2641,0)</f>
        <v>0</v>
      </c>
      <c r="R2641" s="84">
        <f>IF(ISNUMBER($I2641),ABS($I2641),0)</f>
        <v>0</v>
      </c>
      <c r="S2641" s="84">
        <f>IF(ISNUMBER($M2641),ABS($M2641),0)</f>
        <v>0</v>
      </c>
      <c r="T2641" s="85" t="n">
        <v>2633</v>
      </c>
    </row>
    <row r="2642">
      <c r="B2642" s="83" t="n"/>
      <c r="C2642" s="83" t="n"/>
      <c r="D2642" s="83" t="n"/>
      <c r="E2642" s="83" t="n"/>
      <c r="F2642" s="83" t="n"/>
      <c r="G2642" s="83" t="n"/>
      <c r="H2642" s="83" t="n"/>
      <c r="I2642" s="83" t="n"/>
      <c r="J2642" s="83" t="n"/>
      <c r="K2642" s="83" t="n"/>
      <c r="L2642" s="83" t="n"/>
      <c r="M2642" s="83" t="n"/>
      <c r="O2642" s="84" t="str">
        <f>IF($C2642="","",IFERROR(MATCH($B2642&amp;"|"&amp;$C2642,MUROS!$AX$11:$AX$70,0),0))</f>
        <v/>
      </c>
      <c r="P2642" s="84" t="str">
        <f>IF($D2642="","",IF(ISNUMBER(MATCH($D2642,CMB_S,0)),1,IF(ISNUMBER(MATCH($D2642,CMB_G,0)),2,0)))</f>
        <v/>
      </c>
      <c r="Q2642" s="84">
        <f>IF(ISNUMBER($H2642),-$H2642,0)</f>
        <v>0</v>
      </c>
      <c r="R2642" s="84">
        <f>IF(ISNUMBER($I2642),ABS($I2642),0)</f>
        <v>0</v>
      </c>
      <c r="S2642" s="84">
        <f>IF(ISNUMBER($M2642),ABS($M2642),0)</f>
        <v>0</v>
      </c>
      <c r="T2642" s="85" t="n">
        <v>2634</v>
      </c>
    </row>
    <row r="2643">
      <c r="B2643" s="83" t="n"/>
      <c r="C2643" s="83" t="n"/>
      <c r="D2643" s="83" t="n"/>
      <c r="E2643" s="83" t="n"/>
      <c r="F2643" s="83" t="n"/>
      <c r="G2643" s="83" t="n"/>
      <c r="H2643" s="83" t="n"/>
      <c r="I2643" s="83" t="n"/>
      <c r="J2643" s="83" t="n"/>
      <c r="K2643" s="83" t="n"/>
      <c r="L2643" s="83" t="n"/>
      <c r="M2643" s="83" t="n"/>
      <c r="O2643" s="84" t="str">
        <f>IF($C2643="","",IFERROR(MATCH($B2643&amp;"|"&amp;$C2643,MUROS!$AX$11:$AX$70,0),0))</f>
        <v/>
      </c>
      <c r="P2643" s="84" t="str">
        <f>IF($D2643="","",IF(ISNUMBER(MATCH($D2643,CMB_S,0)),1,IF(ISNUMBER(MATCH($D2643,CMB_G,0)),2,0)))</f>
        <v/>
      </c>
      <c r="Q2643" s="84">
        <f>IF(ISNUMBER($H2643),-$H2643,0)</f>
        <v>0</v>
      </c>
      <c r="R2643" s="84">
        <f>IF(ISNUMBER($I2643),ABS($I2643),0)</f>
        <v>0</v>
      </c>
      <c r="S2643" s="84">
        <f>IF(ISNUMBER($M2643),ABS($M2643),0)</f>
        <v>0</v>
      </c>
      <c r="T2643" s="85" t="n">
        <v>2635</v>
      </c>
    </row>
    <row r="2644">
      <c r="B2644" s="83" t="n"/>
      <c r="C2644" s="83" t="n"/>
      <c r="D2644" s="83" t="n"/>
      <c r="E2644" s="83" t="n"/>
      <c r="F2644" s="83" t="n"/>
      <c r="G2644" s="83" t="n"/>
      <c r="H2644" s="83" t="n"/>
      <c r="I2644" s="83" t="n"/>
      <c r="J2644" s="83" t="n"/>
      <c r="K2644" s="83" t="n"/>
      <c r="L2644" s="83" t="n"/>
      <c r="M2644" s="83" t="n"/>
      <c r="O2644" s="84" t="str">
        <f>IF($C2644="","",IFERROR(MATCH($B2644&amp;"|"&amp;$C2644,MUROS!$AX$11:$AX$70,0),0))</f>
        <v/>
      </c>
      <c r="P2644" s="84" t="str">
        <f>IF($D2644="","",IF(ISNUMBER(MATCH($D2644,CMB_S,0)),1,IF(ISNUMBER(MATCH($D2644,CMB_G,0)),2,0)))</f>
        <v/>
      </c>
      <c r="Q2644" s="84">
        <f>IF(ISNUMBER($H2644),-$H2644,0)</f>
        <v>0</v>
      </c>
      <c r="R2644" s="84">
        <f>IF(ISNUMBER($I2644),ABS($I2644),0)</f>
        <v>0</v>
      </c>
      <c r="S2644" s="84">
        <f>IF(ISNUMBER($M2644),ABS($M2644),0)</f>
        <v>0</v>
      </c>
      <c r="T2644" s="85" t="n">
        <v>2636</v>
      </c>
    </row>
    <row r="2645">
      <c r="B2645" s="83" t="n"/>
      <c r="C2645" s="83" t="n"/>
      <c r="D2645" s="83" t="n"/>
      <c r="E2645" s="83" t="n"/>
      <c r="F2645" s="83" t="n"/>
      <c r="G2645" s="83" t="n"/>
      <c r="H2645" s="83" t="n"/>
      <c r="I2645" s="83" t="n"/>
      <c r="J2645" s="83" t="n"/>
      <c r="K2645" s="83" t="n"/>
      <c r="L2645" s="83" t="n"/>
      <c r="M2645" s="83" t="n"/>
      <c r="O2645" s="84" t="str">
        <f>IF($C2645="","",IFERROR(MATCH($B2645&amp;"|"&amp;$C2645,MUROS!$AX$11:$AX$70,0),0))</f>
        <v/>
      </c>
      <c r="P2645" s="84" t="str">
        <f>IF($D2645="","",IF(ISNUMBER(MATCH($D2645,CMB_S,0)),1,IF(ISNUMBER(MATCH($D2645,CMB_G,0)),2,0)))</f>
        <v/>
      </c>
      <c r="Q2645" s="84">
        <f>IF(ISNUMBER($H2645),-$H2645,0)</f>
        <v>0</v>
      </c>
      <c r="R2645" s="84">
        <f>IF(ISNUMBER($I2645),ABS($I2645),0)</f>
        <v>0</v>
      </c>
      <c r="S2645" s="84">
        <f>IF(ISNUMBER($M2645),ABS($M2645),0)</f>
        <v>0</v>
      </c>
      <c r="T2645" s="85" t="n">
        <v>2637</v>
      </c>
    </row>
    <row r="2646">
      <c r="B2646" s="83" t="n"/>
      <c r="C2646" s="83" t="n"/>
      <c r="D2646" s="83" t="n"/>
      <c r="E2646" s="83" t="n"/>
      <c r="F2646" s="83" t="n"/>
      <c r="G2646" s="83" t="n"/>
      <c r="H2646" s="83" t="n"/>
      <c r="I2646" s="83" t="n"/>
      <c r="J2646" s="83" t="n"/>
      <c r="K2646" s="83" t="n"/>
      <c r="L2646" s="83" t="n"/>
      <c r="M2646" s="83" t="n"/>
      <c r="O2646" s="84" t="str">
        <f>IF($C2646="","",IFERROR(MATCH($B2646&amp;"|"&amp;$C2646,MUROS!$AX$11:$AX$70,0),0))</f>
        <v/>
      </c>
      <c r="P2646" s="84" t="str">
        <f>IF($D2646="","",IF(ISNUMBER(MATCH($D2646,CMB_S,0)),1,IF(ISNUMBER(MATCH($D2646,CMB_G,0)),2,0)))</f>
        <v/>
      </c>
      <c r="Q2646" s="84">
        <f>IF(ISNUMBER($H2646),-$H2646,0)</f>
        <v>0</v>
      </c>
      <c r="R2646" s="84">
        <f>IF(ISNUMBER($I2646),ABS($I2646),0)</f>
        <v>0</v>
      </c>
      <c r="S2646" s="84">
        <f>IF(ISNUMBER($M2646),ABS($M2646),0)</f>
        <v>0</v>
      </c>
      <c r="T2646" s="85" t="n">
        <v>2638</v>
      </c>
    </row>
    <row r="2647">
      <c r="B2647" s="83" t="n"/>
      <c r="C2647" s="83" t="n"/>
      <c r="D2647" s="83" t="n"/>
      <c r="E2647" s="83" t="n"/>
      <c r="F2647" s="83" t="n"/>
      <c r="G2647" s="83" t="n"/>
      <c r="H2647" s="83" t="n"/>
      <c r="I2647" s="83" t="n"/>
      <c r="J2647" s="83" t="n"/>
      <c r="K2647" s="83" t="n"/>
      <c r="L2647" s="83" t="n"/>
      <c r="M2647" s="83" t="n"/>
      <c r="O2647" s="84" t="str">
        <f>IF($C2647="","",IFERROR(MATCH($B2647&amp;"|"&amp;$C2647,MUROS!$AX$11:$AX$70,0),0))</f>
        <v/>
      </c>
      <c r="P2647" s="84" t="str">
        <f>IF($D2647="","",IF(ISNUMBER(MATCH($D2647,CMB_S,0)),1,IF(ISNUMBER(MATCH($D2647,CMB_G,0)),2,0)))</f>
        <v/>
      </c>
      <c r="Q2647" s="84">
        <f>IF(ISNUMBER($H2647),-$H2647,0)</f>
        <v>0</v>
      </c>
      <c r="R2647" s="84">
        <f>IF(ISNUMBER($I2647),ABS($I2647),0)</f>
        <v>0</v>
      </c>
      <c r="S2647" s="84">
        <f>IF(ISNUMBER($M2647),ABS($M2647),0)</f>
        <v>0</v>
      </c>
      <c r="T2647" s="85" t="n">
        <v>2639</v>
      </c>
    </row>
    <row r="2648">
      <c r="B2648" s="83" t="n"/>
      <c r="C2648" s="83" t="n"/>
      <c r="D2648" s="83" t="n"/>
      <c r="E2648" s="83" t="n"/>
      <c r="F2648" s="83" t="n"/>
      <c r="G2648" s="83" t="n"/>
      <c r="H2648" s="83" t="n"/>
      <c r="I2648" s="83" t="n"/>
      <c r="J2648" s="83" t="n"/>
      <c r="K2648" s="83" t="n"/>
      <c r="L2648" s="83" t="n"/>
      <c r="M2648" s="83" t="n"/>
      <c r="O2648" s="84" t="str">
        <f>IF($C2648="","",IFERROR(MATCH($B2648&amp;"|"&amp;$C2648,MUROS!$AX$11:$AX$70,0),0))</f>
        <v/>
      </c>
      <c r="P2648" s="84" t="str">
        <f>IF($D2648="","",IF(ISNUMBER(MATCH($D2648,CMB_S,0)),1,IF(ISNUMBER(MATCH($D2648,CMB_G,0)),2,0)))</f>
        <v/>
      </c>
      <c r="Q2648" s="84">
        <f>IF(ISNUMBER($H2648),-$H2648,0)</f>
        <v>0</v>
      </c>
      <c r="R2648" s="84">
        <f>IF(ISNUMBER($I2648),ABS($I2648),0)</f>
        <v>0</v>
      </c>
      <c r="S2648" s="84">
        <f>IF(ISNUMBER($M2648),ABS($M2648),0)</f>
        <v>0</v>
      </c>
      <c r="T2648" s="85" t="n">
        <v>2640</v>
      </c>
    </row>
    <row r="2649">
      <c r="B2649" s="83" t="n"/>
      <c r="C2649" s="83" t="n"/>
      <c r="D2649" s="83" t="n"/>
      <c r="E2649" s="83" t="n"/>
      <c r="F2649" s="83" t="n"/>
      <c r="G2649" s="83" t="n"/>
      <c r="H2649" s="83" t="n"/>
      <c r="I2649" s="83" t="n"/>
      <c r="J2649" s="83" t="n"/>
      <c r="K2649" s="83" t="n"/>
      <c r="L2649" s="83" t="n"/>
      <c r="M2649" s="83" t="n"/>
      <c r="O2649" s="84" t="str">
        <f>IF($C2649="","",IFERROR(MATCH($B2649&amp;"|"&amp;$C2649,MUROS!$AX$11:$AX$70,0),0))</f>
        <v/>
      </c>
      <c r="P2649" s="84" t="str">
        <f>IF($D2649="","",IF(ISNUMBER(MATCH($D2649,CMB_S,0)),1,IF(ISNUMBER(MATCH($D2649,CMB_G,0)),2,0)))</f>
        <v/>
      </c>
      <c r="Q2649" s="84">
        <f>IF(ISNUMBER($H2649),-$H2649,0)</f>
        <v>0</v>
      </c>
      <c r="R2649" s="84">
        <f>IF(ISNUMBER($I2649),ABS($I2649),0)</f>
        <v>0</v>
      </c>
      <c r="S2649" s="84">
        <f>IF(ISNUMBER($M2649),ABS($M2649),0)</f>
        <v>0</v>
      </c>
      <c r="T2649" s="85" t="n">
        <v>2641</v>
      </c>
    </row>
    <row r="2650">
      <c r="B2650" s="83" t="n"/>
      <c r="C2650" s="83" t="n"/>
      <c r="D2650" s="83" t="n"/>
      <c r="E2650" s="83" t="n"/>
      <c r="F2650" s="83" t="n"/>
      <c r="G2650" s="83" t="n"/>
      <c r="H2650" s="83" t="n"/>
      <c r="I2650" s="83" t="n"/>
      <c r="J2650" s="83" t="n"/>
      <c r="K2650" s="83" t="n"/>
      <c r="L2650" s="83" t="n"/>
      <c r="M2650" s="83" t="n"/>
      <c r="O2650" s="84" t="str">
        <f>IF($C2650="","",IFERROR(MATCH($B2650&amp;"|"&amp;$C2650,MUROS!$AX$11:$AX$70,0),0))</f>
        <v/>
      </c>
      <c r="P2650" s="84" t="str">
        <f>IF($D2650="","",IF(ISNUMBER(MATCH($D2650,CMB_S,0)),1,IF(ISNUMBER(MATCH($D2650,CMB_G,0)),2,0)))</f>
        <v/>
      </c>
      <c r="Q2650" s="84">
        <f>IF(ISNUMBER($H2650),-$H2650,0)</f>
        <v>0</v>
      </c>
      <c r="R2650" s="84">
        <f>IF(ISNUMBER($I2650),ABS($I2650),0)</f>
        <v>0</v>
      </c>
      <c r="S2650" s="84">
        <f>IF(ISNUMBER($M2650),ABS($M2650),0)</f>
        <v>0</v>
      </c>
      <c r="T2650" s="85" t="n">
        <v>2642</v>
      </c>
    </row>
    <row r="2651">
      <c r="B2651" s="83" t="n"/>
      <c r="C2651" s="83" t="n"/>
      <c r="D2651" s="83" t="n"/>
      <c r="E2651" s="83" t="n"/>
      <c r="F2651" s="83" t="n"/>
      <c r="G2651" s="83" t="n"/>
      <c r="H2651" s="83" t="n"/>
      <c r="I2651" s="83" t="n"/>
      <c r="J2651" s="83" t="n"/>
      <c r="K2651" s="83" t="n"/>
      <c r="L2651" s="83" t="n"/>
      <c r="M2651" s="83" t="n"/>
      <c r="O2651" s="84" t="str">
        <f>IF($C2651="","",IFERROR(MATCH($B2651&amp;"|"&amp;$C2651,MUROS!$AX$11:$AX$70,0),0))</f>
        <v/>
      </c>
      <c r="P2651" s="84" t="str">
        <f>IF($D2651="","",IF(ISNUMBER(MATCH($D2651,CMB_S,0)),1,IF(ISNUMBER(MATCH($D2651,CMB_G,0)),2,0)))</f>
        <v/>
      </c>
      <c r="Q2651" s="84">
        <f>IF(ISNUMBER($H2651),-$H2651,0)</f>
        <v>0</v>
      </c>
      <c r="R2651" s="84">
        <f>IF(ISNUMBER($I2651),ABS($I2651),0)</f>
        <v>0</v>
      </c>
      <c r="S2651" s="84">
        <f>IF(ISNUMBER($M2651),ABS($M2651),0)</f>
        <v>0</v>
      </c>
      <c r="T2651" s="85" t="n">
        <v>2643</v>
      </c>
    </row>
    <row r="2652">
      <c r="B2652" s="83" t="n"/>
      <c r="C2652" s="83" t="n"/>
      <c r="D2652" s="83" t="n"/>
      <c r="E2652" s="83" t="n"/>
      <c r="F2652" s="83" t="n"/>
      <c r="G2652" s="83" t="n"/>
      <c r="H2652" s="83" t="n"/>
      <c r="I2652" s="83" t="n"/>
      <c r="J2652" s="83" t="n"/>
      <c r="K2652" s="83" t="n"/>
      <c r="L2652" s="83" t="n"/>
      <c r="M2652" s="83" t="n"/>
      <c r="O2652" s="84" t="str">
        <f>IF($C2652="","",IFERROR(MATCH($B2652&amp;"|"&amp;$C2652,MUROS!$AX$11:$AX$70,0),0))</f>
        <v/>
      </c>
      <c r="P2652" s="84" t="str">
        <f>IF($D2652="","",IF(ISNUMBER(MATCH($D2652,CMB_S,0)),1,IF(ISNUMBER(MATCH($D2652,CMB_G,0)),2,0)))</f>
        <v/>
      </c>
      <c r="Q2652" s="84">
        <f>IF(ISNUMBER($H2652),-$H2652,0)</f>
        <v>0</v>
      </c>
      <c r="R2652" s="84">
        <f>IF(ISNUMBER($I2652),ABS($I2652),0)</f>
        <v>0</v>
      </c>
      <c r="S2652" s="84">
        <f>IF(ISNUMBER($M2652),ABS($M2652),0)</f>
        <v>0</v>
      </c>
      <c r="T2652" s="85" t="n">
        <v>2644</v>
      </c>
    </row>
    <row r="2653">
      <c r="B2653" s="83" t="n"/>
      <c r="C2653" s="83" t="n"/>
      <c r="D2653" s="83" t="n"/>
      <c r="E2653" s="83" t="n"/>
      <c r="F2653" s="83" t="n"/>
      <c r="G2653" s="83" t="n"/>
      <c r="H2653" s="83" t="n"/>
      <c r="I2653" s="83" t="n"/>
      <c r="J2653" s="83" t="n"/>
      <c r="K2653" s="83" t="n"/>
      <c r="L2653" s="83" t="n"/>
      <c r="M2653" s="83" t="n"/>
      <c r="O2653" s="84" t="str">
        <f>IF($C2653="","",IFERROR(MATCH($B2653&amp;"|"&amp;$C2653,MUROS!$AX$11:$AX$70,0),0))</f>
        <v/>
      </c>
      <c r="P2653" s="84" t="str">
        <f>IF($D2653="","",IF(ISNUMBER(MATCH($D2653,CMB_S,0)),1,IF(ISNUMBER(MATCH($D2653,CMB_G,0)),2,0)))</f>
        <v/>
      </c>
      <c r="Q2653" s="84">
        <f>IF(ISNUMBER($H2653),-$H2653,0)</f>
        <v>0</v>
      </c>
      <c r="R2653" s="84">
        <f>IF(ISNUMBER($I2653),ABS($I2653),0)</f>
        <v>0</v>
      </c>
      <c r="S2653" s="84">
        <f>IF(ISNUMBER($M2653),ABS($M2653),0)</f>
        <v>0</v>
      </c>
      <c r="T2653" s="85" t="n">
        <v>2645</v>
      </c>
    </row>
    <row r="2654">
      <c r="B2654" s="83" t="n"/>
      <c r="C2654" s="83" t="n"/>
      <c r="D2654" s="83" t="n"/>
      <c r="E2654" s="83" t="n"/>
      <c r="F2654" s="83" t="n"/>
      <c r="G2654" s="83" t="n"/>
      <c r="H2654" s="83" t="n"/>
      <c r="I2654" s="83" t="n"/>
      <c r="J2654" s="83" t="n"/>
      <c r="K2654" s="83" t="n"/>
      <c r="L2654" s="83" t="n"/>
      <c r="M2654" s="83" t="n"/>
      <c r="O2654" s="84" t="str">
        <f>IF($C2654="","",IFERROR(MATCH($B2654&amp;"|"&amp;$C2654,MUROS!$AX$11:$AX$70,0),0))</f>
        <v/>
      </c>
      <c r="P2654" s="84" t="str">
        <f>IF($D2654="","",IF(ISNUMBER(MATCH($D2654,CMB_S,0)),1,IF(ISNUMBER(MATCH($D2654,CMB_G,0)),2,0)))</f>
        <v/>
      </c>
      <c r="Q2654" s="84">
        <f>IF(ISNUMBER($H2654),-$H2654,0)</f>
        <v>0</v>
      </c>
      <c r="R2654" s="84">
        <f>IF(ISNUMBER($I2654),ABS($I2654),0)</f>
        <v>0</v>
      </c>
      <c r="S2654" s="84">
        <f>IF(ISNUMBER($M2654),ABS($M2654),0)</f>
        <v>0</v>
      </c>
      <c r="T2654" s="85" t="n">
        <v>2646</v>
      </c>
    </row>
    <row r="2655">
      <c r="B2655" s="83" t="n"/>
      <c r="C2655" s="83" t="n"/>
      <c r="D2655" s="83" t="n"/>
      <c r="E2655" s="83" t="n"/>
      <c r="F2655" s="83" t="n"/>
      <c r="G2655" s="83" t="n"/>
      <c r="H2655" s="83" t="n"/>
      <c r="I2655" s="83" t="n"/>
      <c r="J2655" s="83" t="n"/>
      <c r="K2655" s="83" t="n"/>
      <c r="L2655" s="83" t="n"/>
      <c r="M2655" s="83" t="n"/>
      <c r="O2655" s="84" t="str">
        <f>IF($C2655="","",IFERROR(MATCH($B2655&amp;"|"&amp;$C2655,MUROS!$AX$11:$AX$70,0),0))</f>
        <v/>
      </c>
      <c r="P2655" s="84" t="str">
        <f>IF($D2655="","",IF(ISNUMBER(MATCH($D2655,CMB_S,0)),1,IF(ISNUMBER(MATCH($D2655,CMB_G,0)),2,0)))</f>
        <v/>
      </c>
      <c r="Q2655" s="84">
        <f>IF(ISNUMBER($H2655),-$H2655,0)</f>
        <v>0</v>
      </c>
      <c r="R2655" s="84">
        <f>IF(ISNUMBER($I2655),ABS($I2655),0)</f>
        <v>0</v>
      </c>
      <c r="S2655" s="84">
        <f>IF(ISNUMBER($M2655),ABS($M2655),0)</f>
        <v>0</v>
      </c>
      <c r="T2655" s="85" t="n">
        <v>2647</v>
      </c>
    </row>
    <row r="2656">
      <c r="B2656" s="83" t="n"/>
      <c r="C2656" s="83" t="n"/>
      <c r="D2656" s="83" t="n"/>
      <c r="E2656" s="83" t="n"/>
      <c r="F2656" s="83" t="n"/>
      <c r="G2656" s="83" t="n"/>
      <c r="H2656" s="83" t="n"/>
      <c r="I2656" s="83" t="n"/>
      <c r="J2656" s="83" t="n"/>
      <c r="K2656" s="83" t="n"/>
      <c r="L2656" s="83" t="n"/>
      <c r="M2656" s="83" t="n"/>
      <c r="O2656" s="84" t="str">
        <f>IF($C2656="","",IFERROR(MATCH($B2656&amp;"|"&amp;$C2656,MUROS!$AX$11:$AX$70,0),0))</f>
        <v/>
      </c>
      <c r="P2656" s="84" t="str">
        <f>IF($D2656="","",IF(ISNUMBER(MATCH($D2656,CMB_S,0)),1,IF(ISNUMBER(MATCH($D2656,CMB_G,0)),2,0)))</f>
        <v/>
      </c>
      <c r="Q2656" s="84">
        <f>IF(ISNUMBER($H2656),-$H2656,0)</f>
        <v>0</v>
      </c>
      <c r="R2656" s="84">
        <f>IF(ISNUMBER($I2656),ABS($I2656),0)</f>
        <v>0</v>
      </c>
      <c r="S2656" s="84">
        <f>IF(ISNUMBER($M2656),ABS($M2656),0)</f>
        <v>0</v>
      </c>
      <c r="T2656" s="85" t="n">
        <v>2648</v>
      </c>
    </row>
    <row r="2657">
      <c r="B2657" s="83" t="n"/>
      <c r="C2657" s="83" t="n"/>
      <c r="D2657" s="83" t="n"/>
      <c r="E2657" s="83" t="n"/>
      <c r="F2657" s="83" t="n"/>
      <c r="G2657" s="83" t="n"/>
      <c r="H2657" s="83" t="n"/>
      <c r="I2657" s="83" t="n"/>
      <c r="J2657" s="83" t="n"/>
      <c r="K2657" s="83" t="n"/>
      <c r="L2657" s="83" t="n"/>
      <c r="M2657" s="83" t="n"/>
      <c r="O2657" s="84" t="str">
        <f>IF($C2657="","",IFERROR(MATCH($B2657&amp;"|"&amp;$C2657,MUROS!$AX$11:$AX$70,0),0))</f>
        <v/>
      </c>
      <c r="P2657" s="84" t="str">
        <f>IF($D2657="","",IF(ISNUMBER(MATCH($D2657,CMB_S,0)),1,IF(ISNUMBER(MATCH($D2657,CMB_G,0)),2,0)))</f>
        <v/>
      </c>
      <c r="Q2657" s="84">
        <f>IF(ISNUMBER($H2657),-$H2657,0)</f>
        <v>0</v>
      </c>
      <c r="R2657" s="84">
        <f>IF(ISNUMBER($I2657),ABS($I2657),0)</f>
        <v>0</v>
      </c>
      <c r="S2657" s="84">
        <f>IF(ISNUMBER($M2657),ABS($M2657),0)</f>
        <v>0</v>
      </c>
      <c r="T2657" s="85" t="n">
        <v>2649</v>
      </c>
    </row>
    <row r="2658">
      <c r="B2658" s="83" t="n"/>
      <c r="C2658" s="83" t="n"/>
      <c r="D2658" s="83" t="n"/>
      <c r="E2658" s="83" t="n"/>
      <c r="F2658" s="83" t="n"/>
      <c r="G2658" s="83" t="n"/>
      <c r="H2658" s="83" t="n"/>
      <c r="I2658" s="83" t="n"/>
      <c r="J2658" s="83" t="n"/>
      <c r="K2658" s="83" t="n"/>
      <c r="L2658" s="83" t="n"/>
      <c r="M2658" s="83" t="n"/>
      <c r="O2658" s="84" t="str">
        <f>IF($C2658="","",IFERROR(MATCH($B2658&amp;"|"&amp;$C2658,MUROS!$AX$11:$AX$70,0),0))</f>
        <v/>
      </c>
      <c r="P2658" s="84" t="str">
        <f>IF($D2658="","",IF(ISNUMBER(MATCH($D2658,CMB_S,0)),1,IF(ISNUMBER(MATCH($D2658,CMB_G,0)),2,0)))</f>
        <v/>
      </c>
      <c r="Q2658" s="84">
        <f>IF(ISNUMBER($H2658),-$H2658,0)</f>
        <v>0</v>
      </c>
      <c r="R2658" s="84">
        <f>IF(ISNUMBER($I2658),ABS($I2658),0)</f>
        <v>0</v>
      </c>
      <c r="S2658" s="84">
        <f>IF(ISNUMBER($M2658),ABS($M2658),0)</f>
        <v>0</v>
      </c>
      <c r="T2658" s="85" t="n">
        <v>2650</v>
      </c>
    </row>
    <row r="2659">
      <c r="B2659" s="83" t="n"/>
      <c r="C2659" s="83" t="n"/>
      <c r="D2659" s="83" t="n"/>
      <c r="E2659" s="83" t="n"/>
      <c r="F2659" s="83" t="n"/>
      <c r="G2659" s="83" t="n"/>
      <c r="H2659" s="83" t="n"/>
      <c r="I2659" s="83" t="n"/>
      <c r="J2659" s="83" t="n"/>
      <c r="K2659" s="83" t="n"/>
      <c r="L2659" s="83" t="n"/>
      <c r="M2659" s="83" t="n"/>
      <c r="O2659" s="84" t="str">
        <f>IF($C2659="","",IFERROR(MATCH($B2659&amp;"|"&amp;$C2659,MUROS!$AX$11:$AX$70,0),0))</f>
        <v/>
      </c>
      <c r="P2659" s="84" t="str">
        <f>IF($D2659="","",IF(ISNUMBER(MATCH($D2659,CMB_S,0)),1,IF(ISNUMBER(MATCH($D2659,CMB_G,0)),2,0)))</f>
        <v/>
      </c>
      <c r="Q2659" s="84">
        <f>IF(ISNUMBER($H2659),-$H2659,0)</f>
        <v>0</v>
      </c>
      <c r="R2659" s="84">
        <f>IF(ISNUMBER($I2659),ABS($I2659),0)</f>
        <v>0</v>
      </c>
      <c r="S2659" s="84">
        <f>IF(ISNUMBER($M2659),ABS($M2659),0)</f>
        <v>0</v>
      </c>
      <c r="T2659" s="85" t="n">
        <v>2651</v>
      </c>
    </row>
    <row r="2660">
      <c r="B2660" s="83" t="n"/>
      <c r="C2660" s="83" t="n"/>
      <c r="D2660" s="83" t="n"/>
      <c r="E2660" s="83" t="n"/>
      <c r="F2660" s="83" t="n"/>
      <c r="G2660" s="83" t="n"/>
      <c r="H2660" s="83" t="n"/>
      <c r="I2660" s="83" t="n"/>
      <c r="J2660" s="83" t="n"/>
      <c r="K2660" s="83" t="n"/>
      <c r="L2660" s="83" t="n"/>
      <c r="M2660" s="83" t="n"/>
      <c r="O2660" s="84" t="str">
        <f>IF($C2660="","",IFERROR(MATCH($B2660&amp;"|"&amp;$C2660,MUROS!$AX$11:$AX$70,0),0))</f>
        <v/>
      </c>
      <c r="P2660" s="84" t="str">
        <f>IF($D2660="","",IF(ISNUMBER(MATCH($D2660,CMB_S,0)),1,IF(ISNUMBER(MATCH($D2660,CMB_G,0)),2,0)))</f>
        <v/>
      </c>
      <c r="Q2660" s="84">
        <f>IF(ISNUMBER($H2660),-$H2660,0)</f>
        <v>0</v>
      </c>
      <c r="R2660" s="84">
        <f>IF(ISNUMBER($I2660),ABS($I2660),0)</f>
        <v>0</v>
      </c>
      <c r="S2660" s="84">
        <f>IF(ISNUMBER($M2660),ABS($M2660),0)</f>
        <v>0</v>
      </c>
      <c r="T2660" s="85" t="n">
        <v>2652</v>
      </c>
    </row>
    <row r="2661">
      <c r="B2661" s="83" t="n"/>
      <c r="C2661" s="83" t="n"/>
      <c r="D2661" s="83" t="n"/>
      <c r="E2661" s="83" t="n"/>
      <c r="F2661" s="83" t="n"/>
      <c r="G2661" s="83" t="n"/>
      <c r="H2661" s="83" t="n"/>
      <c r="I2661" s="83" t="n"/>
      <c r="J2661" s="83" t="n"/>
      <c r="K2661" s="83" t="n"/>
      <c r="L2661" s="83" t="n"/>
      <c r="M2661" s="83" t="n"/>
      <c r="O2661" s="84" t="str">
        <f>IF($C2661="","",IFERROR(MATCH($B2661&amp;"|"&amp;$C2661,MUROS!$AX$11:$AX$70,0),0))</f>
        <v/>
      </c>
      <c r="P2661" s="84" t="str">
        <f>IF($D2661="","",IF(ISNUMBER(MATCH($D2661,CMB_S,0)),1,IF(ISNUMBER(MATCH($D2661,CMB_G,0)),2,0)))</f>
        <v/>
      </c>
      <c r="Q2661" s="84">
        <f>IF(ISNUMBER($H2661),-$H2661,0)</f>
        <v>0</v>
      </c>
      <c r="R2661" s="84">
        <f>IF(ISNUMBER($I2661),ABS($I2661),0)</f>
        <v>0</v>
      </c>
      <c r="S2661" s="84">
        <f>IF(ISNUMBER($M2661),ABS($M2661),0)</f>
        <v>0</v>
      </c>
      <c r="T2661" s="85" t="n">
        <v>2653</v>
      </c>
    </row>
    <row r="2662">
      <c r="B2662" s="83" t="n"/>
      <c r="C2662" s="83" t="n"/>
      <c r="D2662" s="83" t="n"/>
      <c r="E2662" s="83" t="n"/>
      <c r="F2662" s="83" t="n"/>
      <c r="G2662" s="83" t="n"/>
      <c r="H2662" s="83" t="n"/>
      <c r="I2662" s="83" t="n"/>
      <c r="J2662" s="83" t="n"/>
      <c r="K2662" s="83" t="n"/>
      <c r="L2662" s="83" t="n"/>
      <c r="M2662" s="83" t="n"/>
      <c r="O2662" s="84" t="str">
        <f>IF($C2662="","",IFERROR(MATCH($B2662&amp;"|"&amp;$C2662,MUROS!$AX$11:$AX$70,0),0))</f>
        <v/>
      </c>
      <c r="P2662" s="84" t="str">
        <f>IF($D2662="","",IF(ISNUMBER(MATCH($D2662,CMB_S,0)),1,IF(ISNUMBER(MATCH($D2662,CMB_G,0)),2,0)))</f>
        <v/>
      </c>
      <c r="Q2662" s="84">
        <f>IF(ISNUMBER($H2662),-$H2662,0)</f>
        <v>0</v>
      </c>
      <c r="R2662" s="84">
        <f>IF(ISNUMBER($I2662),ABS($I2662),0)</f>
        <v>0</v>
      </c>
      <c r="S2662" s="84">
        <f>IF(ISNUMBER($M2662),ABS($M2662),0)</f>
        <v>0</v>
      </c>
      <c r="T2662" s="85" t="n">
        <v>2654</v>
      </c>
    </row>
    <row r="2663">
      <c r="B2663" s="83" t="n"/>
      <c r="C2663" s="83" t="n"/>
      <c r="D2663" s="83" t="n"/>
      <c r="E2663" s="83" t="n"/>
      <c r="F2663" s="83" t="n"/>
      <c r="G2663" s="83" t="n"/>
      <c r="H2663" s="83" t="n"/>
      <c r="I2663" s="83" t="n"/>
      <c r="J2663" s="83" t="n"/>
      <c r="K2663" s="83" t="n"/>
      <c r="L2663" s="83" t="n"/>
      <c r="M2663" s="83" t="n"/>
      <c r="O2663" s="84" t="str">
        <f>IF($C2663="","",IFERROR(MATCH($B2663&amp;"|"&amp;$C2663,MUROS!$AX$11:$AX$70,0),0))</f>
        <v/>
      </c>
      <c r="P2663" s="84" t="str">
        <f>IF($D2663="","",IF(ISNUMBER(MATCH($D2663,CMB_S,0)),1,IF(ISNUMBER(MATCH($D2663,CMB_G,0)),2,0)))</f>
        <v/>
      </c>
      <c r="Q2663" s="84">
        <f>IF(ISNUMBER($H2663),-$H2663,0)</f>
        <v>0</v>
      </c>
      <c r="R2663" s="84">
        <f>IF(ISNUMBER($I2663),ABS($I2663),0)</f>
        <v>0</v>
      </c>
      <c r="S2663" s="84">
        <f>IF(ISNUMBER($M2663),ABS($M2663),0)</f>
        <v>0</v>
      </c>
      <c r="T2663" s="85" t="n">
        <v>2655</v>
      </c>
    </row>
    <row r="2664">
      <c r="B2664" s="83" t="n"/>
      <c r="C2664" s="83" t="n"/>
      <c r="D2664" s="83" t="n"/>
      <c r="E2664" s="83" t="n"/>
      <c r="F2664" s="83" t="n"/>
      <c r="G2664" s="83" t="n"/>
      <c r="H2664" s="83" t="n"/>
      <c r="I2664" s="83" t="n"/>
      <c r="J2664" s="83" t="n"/>
      <c r="K2664" s="83" t="n"/>
      <c r="L2664" s="83" t="n"/>
      <c r="M2664" s="83" t="n"/>
      <c r="O2664" s="84" t="str">
        <f>IF($C2664="","",IFERROR(MATCH($B2664&amp;"|"&amp;$C2664,MUROS!$AX$11:$AX$70,0),0))</f>
        <v/>
      </c>
      <c r="P2664" s="84" t="str">
        <f>IF($D2664="","",IF(ISNUMBER(MATCH($D2664,CMB_S,0)),1,IF(ISNUMBER(MATCH($D2664,CMB_G,0)),2,0)))</f>
        <v/>
      </c>
      <c r="Q2664" s="84">
        <f>IF(ISNUMBER($H2664),-$H2664,0)</f>
        <v>0</v>
      </c>
      <c r="R2664" s="84">
        <f>IF(ISNUMBER($I2664),ABS($I2664),0)</f>
        <v>0</v>
      </c>
      <c r="S2664" s="84">
        <f>IF(ISNUMBER($M2664),ABS($M2664),0)</f>
        <v>0</v>
      </c>
      <c r="T2664" s="85" t="n">
        <v>2656</v>
      </c>
    </row>
    <row r="2665">
      <c r="B2665" s="83" t="n"/>
      <c r="C2665" s="83" t="n"/>
      <c r="D2665" s="83" t="n"/>
      <c r="E2665" s="83" t="n"/>
      <c r="F2665" s="83" t="n"/>
      <c r="G2665" s="83" t="n"/>
      <c r="H2665" s="83" t="n"/>
      <c r="I2665" s="83" t="n"/>
      <c r="J2665" s="83" t="n"/>
      <c r="K2665" s="83" t="n"/>
      <c r="L2665" s="83" t="n"/>
      <c r="M2665" s="83" t="n"/>
      <c r="O2665" s="84" t="str">
        <f>IF($C2665="","",IFERROR(MATCH($B2665&amp;"|"&amp;$C2665,MUROS!$AX$11:$AX$70,0),0))</f>
        <v/>
      </c>
      <c r="P2665" s="84" t="str">
        <f>IF($D2665="","",IF(ISNUMBER(MATCH($D2665,CMB_S,0)),1,IF(ISNUMBER(MATCH($D2665,CMB_G,0)),2,0)))</f>
        <v/>
      </c>
      <c r="Q2665" s="84">
        <f>IF(ISNUMBER($H2665),-$H2665,0)</f>
        <v>0</v>
      </c>
      <c r="R2665" s="84">
        <f>IF(ISNUMBER($I2665),ABS($I2665),0)</f>
        <v>0</v>
      </c>
      <c r="S2665" s="84">
        <f>IF(ISNUMBER($M2665),ABS($M2665),0)</f>
        <v>0</v>
      </c>
      <c r="T2665" s="85" t="n">
        <v>2657</v>
      </c>
    </row>
    <row r="2666">
      <c r="B2666" s="83" t="n"/>
      <c r="C2666" s="83" t="n"/>
      <c r="D2666" s="83" t="n"/>
      <c r="E2666" s="83" t="n"/>
      <c r="F2666" s="83" t="n"/>
      <c r="G2666" s="83" t="n"/>
      <c r="H2666" s="83" t="n"/>
      <c r="I2666" s="83" t="n"/>
      <c r="J2666" s="83" t="n"/>
      <c r="K2666" s="83" t="n"/>
      <c r="L2666" s="83" t="n"/>
      <c r="M2666" s="83" t="n"/>
      <c r="O2666" s="84" t="str">
        <f>IF($C2666="","",IFERROR(MATCH($B2666&amp;"|"&amp;$C2666,MUROS!$AX$11:$AX$70,0),0))</f>
        <v/>
      </c>
      <c r="P2666" s="84" t="str">
        <f>IF($D2666="","",IF(ISNUMBER(MATCH($D2666,CMB_S,0)),1,IF(ISNUMBER(MATCH($D2666,CMB_G,0)),2,0)))</f>
        <v/>
      </c>
      <c r="Q2666" s="84">
        <f>IF(ISNUMBER($H2666),-$H2666,0)</f>
        <v>0</v>
      </c>
      <c r="R2666" s="84">
        <f>IF(ISNUMBER($I2666),ABS($I2666),0)</f>
        <v>0</v>
      </c>
      <c r="S2666" s="84">
        <f>IF(ISNUMBER($M2666),ABS($M2666),0)</f>
        <v>0</v>
      </c>
      <c r="T2666" s="85" t="n">
        <v>2658</v>
      </c>
    </row>
    <row r="2667">
      <c r="B2667" s="83" t="n"/>
      <c r="C2667" s="83" t="n"/>
      <c r="D2667" s="83" t="n"/>
      <c r="E2667" s="83" t="n"/>
      <c r="F2667" s="83" t="n"/>
      <c r="G2667" s="83" t="n"/>
      <c r="H2667" s="83" t="n"/>
      <c r="I2667" s="83" t="n"/>
      <c r="J2667" s="83" t="n"/>
      <c r="K2667" s="83" t="n"/>
      <c r="L2667" s="83" t="n"/>
      <c r="M2667" s="83" t="n"/>
      <c r="O2667" s="84" t="str">
        <f>IF($C2667="","",IFERROR(MATCH($B2667&amp;"|"&amp;$C2667,MUROS!$AX$11:$AX$70,0),0))</f>
        <v/>
      </c>
      <c r="P2667" s="84" t="str">
        <f>IF($D2667="","",IF(ISNUMBER(MATCH($D2667,CMB_S,0)),1,IF(ISNUMBER(MATCH($D2667,CMB_G,0)),2,0)))</f>
        <v/>
      </c>
      <c r="Q2667" s="84">
        <f>IF(ISNUMBER($H2667),-$H2667,0)</f>
        <v>0</v>
      </c>
      <c r="R2667" s="84">
        <f>IF(ISNUMBER($I2667),ABS($I2667),0)</f>
        <v>0</v>
      </c>
      <c r="S2667" s="84">
        <f>IF(ISNUMBER($M2667),ABS($M2667),0)</f>
        <v>0</v>
      </c>
      <c r="T2667" s="85" t="n">
        <v>2659</v>
      </c>
    </row>
    <row r="2668">
      <c r="B2668" s="83" t="n"/>
      <c r="C2668" s="83" t="n"/>
      <c r="D2668" s="83" t="n"/>
      <c r="E2668" s="83" t="n"/>
      <c r="F2668" s="83" t="n"/>
      <c r="G2668" s="83" t="n"/>
      <c r="H2668" s="83" t="n"/>
      <c r="I2668" s="83" t="n"/>
      <c r="J2668" s="83" t="n"/>
      <c r="K2668" s="83" t="n"/>
      <c r="L2668" s="83" t="n"/>
      <c r="M2668" s="83" t="n"/>
      <c r="O2668" s="84" t="str">
        <f>IF($C2668="","",IFERROR(MATCH($B2668&amp;"|"&amp;$C2668,MUROS!$AX$11:$AX$70,0),0))</f>
        <v/>
      </c>
      <c r="P2668" s="84" t="str">
        <f>IF($D2668="","",IF(ISNUMBER(MATCH($D2668,CMB_S,0)),1,IF(ISNUMBER(MATCH($D2668,CMB_G,0)),2,0)))</f>
        <v/>
      </c>
      <c r="Q2668" s="84">
        <f>IF(ISNUMBER($H2668),-$H2668,0)</f>
        <v>0</v>
      </c>
      <c r="R2668" s="84">
        <f>IF(ISNUMBER($I2668),ABS($I2668),0)</f>
        <v>0</v>
      </c>
      <c r="S2668" s="84">
        <f>IF(ISNUMBER($M2668),ABS($M2668),0)</f>
        <v>0</v>
      </c>
      <c r="T2668" s="85" t="n">
        <v>2660</v>
      </c>
    </row>
    <row r="2669">
      <c r="B2669" s="83" t="n"/>
      <c r="C2669" s="83" t="n"/>
      <c r="D2669" s="83" t="n"/>
      <c r="E2669" s="83" t="n"/>
      <c r="F2669" s="83" t="n"/>
      <c r="G2669" s="83" t="n"/>
      <c r="H2669" s="83" t="n"/>
      <c r="I2669" s="83" t="n"/>
      <c r="J2669" s="83" t="n"/>
      <c r="K2669" s="83" t="n"/>
      <c r="L2669" s="83" t="n"/>
      <c r="M2669" s="83" t="n"/>
      <c r="O2669" s="84" t="str">
        <f>IF($C2669="","",IFERROR(MATCH($B2669&amp;"|"&amp;$C2669,MUROS!$AX$11:$AX$70,0),0))</f>
        <v/>
      </c>
      <c r="P2669" s="84" t="str">
        <f>IF($D2669="","",IF(ISNUMBER(MATCH($D2669,CMB_S,0)),1,IF(ISNUMBER(MATCH($D2669,CMB_G,0)),2,0)))</f>
        <v/>
      </c>
      <c r="Q2669" s="84">
        <f>IF(ISNUMBER($H2669),-$H2669,0)</f>
        <v>0</v>
      </c>
      <c r="R2669" s="84">
        <f>IF(ISNUMBER($I2669),ABS($I2669),0)</f>
        <v>0</v>
      </c>
      <c r="S2669" s="84">
        <f>IF(ISNUMBER($M2669),ABS($M2669),0)</f>
        <v>0</v>
      </c>
      <c r="T2669" s="85" t="n">
        <v>2661</v>
      </c>
    </row>
    <row r="2670">
      <c r="B2670" s="83" t="n"/>
      <c r="C2670" s="83" t="n"/>
      <c r="D2670" s="83" t="n"/>
      <c r="E2670" s="83" t="n"/>
      <c r="F2670" s="83" t="n"/>
      <c r="G2670" s="83" t="n"/>
      <c r="H2670" s="83" t="n"/>
      <c r="I2670" s="83" t="n"/>
      <c r="J2670" s="83" t="n"/>
      <c r="K2670" s="83" t="n"/>
      <c r="L2670" s="83" t="n"/>
      <c r="M2670" s="83" t="n"/>
      <c r="O2670" s="84" t="str">
        <f>IF($C2670="","",IFERROR(MATCH($B2670&amp;"|"&amp;$C2670,MUROS!$AX$11:$AX$70,0),0))</f>
        <v/>
      </c>
      <c r="P2670" s="84" t="str">
        <f>IF($D2670="","",IF(ISNUMBER(MATCH($D2670,CMB_S,0)),1,IF(ISNUMBER(MATCH($D2670,CMB_G,0)),2,0)))</f>
        <v/>
      </c>
      <c r="Q2670" s="84">
        <f>IF(ISNUMBER($H2670),-$H2670,0)</f>
        <v>0</v>
      </c>
      <c r="R2670" s="84">
        <f>IF(ISNUMBER($I2670),ABS($I2670),0)</f>
        <v>0</v>
      </c>
      <c r="S2670" s="84">
        <f>IF(ISNUMBER($M2670),ABS($M2670),0)</f>
        <v>0</v>
      </c>
      <c r="T2670" s="85" t="n">
        <v>2662</v>
      </c>
    </row>
    <row r="2671">
      <c r="B2671" s="83" t="n"/>
      <c r="C2671" s="83" t="n"/>
      <c r="D2671" s="83" t="n"/>
      <c r="E2671" s="83" t="n"/>
      <c r="F2671" s="83" t="n"/>
      <c r="G2671" s="83" t="n"/>
      <c r="H2671" s="83" t="n"/>
      <c r="I2671" s="83" t="n"/>
      <c r="J2671" s="83" t="n"/>
      <c r="K2671" s="83" t="n"/>
      <c r="L2671" s="83" t="n"/>
      <c r="M2671" s="83" t="n"/>
      <c r="O2671" s="84" t="str">
        <f>IF($C2671="","",IFERROR(MATCH($B2671&amp;"|"&amp;$C2671,MUROS!$AX$11:$AX$70,0),0))</f>
        <v/>
      </c>
      <c r="P2671" s="84" t="str">
        <f>IF($D2671="","",IF(ISNUMBER(MATCH($D2671,CMB_S,0)),1,IF(ISNUMBER(MATCH($D2671,CMB_G,0)),2,0)))</f>
        <v/>
      </c>
      <c r="Q2671" s="84">
        <f>IF(ISNUMBER($H2671),-$H2671,0)</f>
        <v>0</v>
      </c>
      <c r="R2671" s="84">
        <f>IF(ISNUMBER($I2671),ABS($I2671),0)</f>
        <v>0</v>
      </c>
      <c r="S2671" s="84">
        <f>IF(ISNUMBER($M2671),ABS($M2671),0)</f>
        <v>0</v>
      </c>
      <c r="T2671" s="85" t="n">
        <v>2663</v>
      </c>
    </row>
    <row r="2672">
      <c r="B2672" s="83" t="n"/>
      <c r="C2672" s="83" t="n"/>
      <c r="D2672" s="83" t="n"/>
      <c r="E2672" s="83" t="n"/>
      <c r="F2672" s="83" t="n"/>
      <c r="G2672" s="83" t="n"/>
      <c r="H2672" s="83" t="n"/>
      <c r="I2672" s="83" t="n"/>
      <c r="J2672" s="83" t="n"/>
      <c r="K2672" s="83" t="n"/>
      <c r="L2672" s="83" t="n"/>
      <c r="M2672" s="83" t="n"/>
      <c r="O2672" s="84" t="str">
        <f>IF($C2672="","",IFERROR(MATCH($B2672&amp;"|"&amp;$C2672,MUROS!$AX$11:$AX$70,0),0))</f>
        <v/>
      </c>
      <c r="P2672" s="84" t="str">
        <f>IF($D2672="","",IF(ISNUMBER(MATCH($D2672,CMB_S,0)),1,IF(ISNUMBER(MATCH($D2672,CMB_G,0)),2,0)))</f>
        <v/>
      </c>
      <c r="Q2672" s="84">
        <f>IF(ISNUMBER($H2672),-$H2672,0)</f>
        <v>0</v>
      </c>
      <c r="R2672" s="84">
        <f>IF(ISNUMBER($I2672),ABS($I2672),0)</f>
        <v>0</v>
      </c>
      <c r="S2672" s="84">
        <f>IF(ISNUMBER($M2672),ABS($M2672),0)</f>
        <v>0</v>
      </c>
      <c r="T2672" s="85" t="n">
        <v>2664</v>
      </c>
    </row>
    <row r="2673">
      <c r="B2673" s="83" t="n"/>
      <c r="C2673" s="83" t="n"/>
      <c r="D2673" s="83" t="n"/>
      <c r="E2673" s="83" t="n"/>
      <c r="F2673" s="83" t="n"/>
      <c r="G2673" s="83" t="n"/>
      <c r="H2673" s="83" t="n"/>
      <c r="I2673" s="83" t="n"/>
      <c r="J2673" s="83" t="n"/>
      <c r="K2673" s="83" t="n"/>
      <c r="L2673" s="83" t="n"/>
      <c r="M2673" s="83" t="n"/>
      <c r="O2673" s="84" t="str">
        <f>IF($C2673="","",IFERROR(MATCH($B2673&amp;"|"&amp;$C2673,MUROS!$AX$11:$AX$70,0),0))</f>
        <v/>
      </c>
      <c r="P2673" s="84" t="str">
        <f>IF($D2673="","",IF(ISNUMBER(MATCH($D2673,CMB_S,0)),1,IF(ISNUMBER(MATCH($D2673,CMB_G,0)),2,0)))</f>
        <v/>
      </c>
      <c r="Q2673" s="84">
        <f>IF(ISNUMBER($H2673),-$H2673,0)</f>
        <v>0</v>
      </c>
      <c r="R2673" s="84">
        <f>IF(ISNUMBER($I2673),ABS($I2673),0)</f>
        <v>0</v>
      </c>
      <c r="S2673" s="84">
        <f>IF(ISNUMBER($M2673),ABS($M2673),0)</f>
        <v>0</v>
      </c>
      <c r="T2673" s="85" t="n">
        <v>2665</v>
      </c>
    </row>
    <row r="2674">
      <c r="B2674" s="83" t="n"/>
      <c r="C2674" s="83" t="n"/>
      <c r="D2674" s="83" t="n"/>
      <c r="E2674" s="83" t="n"/>
      <c r="F2674" s="83" t="n"/>
      <c r="G2674" s="83" t="n"/>
      <c r="H2674" s="83" t="n"/>
      <c r="I2674" s="83" t="n"/>
      <c r="J2674" s="83" t="n"/>
      <c r="K2674" s="83" t="n"/>
      <c r="L2674" s="83" t="n"/>
      <c r="M2674" s="83" t="n"/>
      <c r="O2674" s="84" t="str">
        <f>IF($C2674="","",IFERROR(MATCH($B2674&amp;"|"&amp;$C2674,MUROS!$AX$11:$AX$70,0),0))</f>
        <v/>
      </c>
      <c r="P2674" s="84" t="str">
        <f>IF($D2674="","",IF(ISNUMBER(MATCH($D2674,CMB_S,0)),1,IF(ISNUMBER(MATCH($D2674,CMB_G,0)),2,0)))</f>
        <v/>
      </c>
      <c r="Q2674" s="84">
        <f>IF(ISNUMBER($H2674),-$H2674,0)</f>
        <v>0</v>
      </c>
      <c r="R2674" s="84">
        <f>IF(ISNUMBER($I2674),ABS($I2674),0)</f>
        <v>0</v>
      </c>
      <c r="S2674" s="84">
        <f>IF(ISNUMBER($M2674),ABS($M2674),0)</f>
        <v>0</v>
      </c>
      <c r="T2674" s="85" t="n">
        <v>2666</v>
      </c>
    </row>
    <row r="2675">
      <c r="B2675" s="83" t="n"/>
      <c r="C2675" s="83" t="n"/>
      <c r="D2675" s="83" t="n"/>
      <c r="E2675" s="83" t="n"/>
      <c r="F2675" s="83" t="n"/>
      <c r="G2675" s="83" t="n"/>
      <c r="H2675" s="83" t="n"/>
      <c r="I2675" s="83" t="n"/>
      <c r="J2675" s="83" t="n"/>
      <c r="K2675" s="83" t="n"/>
      <c r="L2675" s="83" t="n"/>
      <c r="M2675" s="83" t="n"/>
      <c r="O2675" s="84" t="str">
        <f>IF($C2675="","",IFERROR(MATCH($B2675&amp;"|"&amp;$C2675,MUROS!$AX$11:$AX$70,0),0))</f>
        <v/>
      </c>
      <c r="P2675" s="84" t="str">
        <f>IF($D2675="","",IF(ISNUMBER(MATCH($D2675,CMB_S,0)),1,IF(ISNUMBER(MATCH($D2675,CMB_G,0)),2,0)))</f>
        <v/>
      </c>
      <c r="Q2675" s="84">
        <f>IF(ISNUMBER($H2675),-$H2675,0)</f>
        <v>0</v>
      </c>
      <c r="R2675" s="84">
        <f>IF(ISNUMBER($I2675),ABS($I2675),0)</f>
        <v>0</v>
      </c>
      <c r="S2675" s="84">
        <f>IF(ISNUMBER($M2675),ABS($M2675),0)</f>
        <v>0</v>
      </c>
      <c r="T2675" s="85" t="n">
        <v>2667</v>
      </c>
    </row>
    <row r="2676">
      <c r="B2676" s="83" t="n"/>
      <c r="C2676" s="83" t="n"/>
      <c r="D2676" s="83" t="n"/>
      <c r="E2676" s="83" t="n"/>
      <c r="F2676" s="83" t="n"/>
      <c r="G2676" s="83" t="n"/>
      <c r="H2676" s="83" t="n"/>
      <c r="I2676" s="83" t="n"/>
      <c r="J2676" s="83" t="n"/>
      <c r="K2676" s="83" t="n"/>
      <c r="L2676" s="83" t="n"/>
      <c r="M2676" s="83" t="n"/>
      <c r="O2676" s="84" t="str">
        <f>IF($C2676="","",IFERROR(MATCH($B2676&amp;"|"&amp;$C2676,MUROS!$AX$11:$AX$70,0),0))</f>
        <v/>
      </c>
      <c r="P2676" s="84" t="str">
        <f>IF($D2676="","",IF(ISNUMBER(MATCH($D2676,CMB_S,0)),1,IF(ISNUMBER(MATCH($D2676,CMB_G,0)),2,0)))</f>
        <v/>
      </c>
      <c r="Q2676" s="84">
        <f>IF(ISNUMBER($H2676),-$H2676,0)</f>
        <v>0</v>
      </c>
      <c r="R2676" s="84">
        <f>IF(ISNUMBER($I2676),ABS($I2676),0)</f>
        <v>0</v>
      </c>
      <c r="S2676" s="84">
        <f>IF(ISNUMBER($M2676),ABS($M2676),0)</f>
        <v>0</v>
      </c>
      <c r="T2676" s="85" t="n">
        <v>2668</v>
      </c>
    </row>
    <row r="2677">
      <c r="B2677" s="83" t="n"/>
      <c r="C2677" s="83" t="n"/>
      <c r="D2677" s="83" t="n"/>
      <c r="E2677" s="83" t="n"/>
      <c r="F2677" s="83" t="n"/>
      <c r="G2677" s="83" t="n"/>
      <c r="H2677" s="83" t="n"/>
      <c r="I2677" s="83" t="n"/>
      <c r="J2677" s="83" t="n"/>
      <c r="K2677" s="83" t="n"/>
      <c r="L2677" s="83" t="n"/>
      <c r="M2677" s="83" t="n"/>
      <c r="O2677" s="84" t="str">
        <f>IF($C2677="","",IFERROR(MATCH($B2677&amp;"|"&amp;$C2677,MUROS!$AX$11:$AX$70,0),0))</f>
        <v/>
      </c>
      <c r="P2677" s="84" t="str">
        <f>IF($D2677="","",IF(ISNUMBER(MATCH($D2677,CMB_S,0)),1,IF(ISNUMBER(MATCH($D2677,CMB_G,0)),2,0)))</f>
        <v/>
      </c>
      <c r="Q2677" s="84">
        <f>IF(ISNUMBER($H2677),-$H2677,0)</f>
        <v>0</v>
      </c>
      <c r="R2677" s="84">
        <f>IF(ISNUMBER($I2677),ABS($I2677),0)</f>
        <v>0</v>
      </c>
      <c r="S2677" s="84">
        <f>IF(ISNUMBER($M2677),ABS($M2677),0)</f>
        <v>0</v>
      </c>
      <c r="T2677" s="85" t="n">
        <v>2669</v>
      </c>
    </row>
    <row r="2678">
      <c r="B2678" s="83" t="n"/>
      <c r="C2678" s="83" t="n"/>
      <c r="D2678" s="83" t="n"/>
      <c r="E2678" s="83" t="n"/>
      <c r="F2678" s="83" t="n"/>
      <c r="G2678" s="83" t="n"/>
      <c r="H2678" s="83" t="n"/>
      <c r="I2678" s="83" t="n"/>
      <c r="J2678" s="83" t="n"/>
      <c r="K2678" s="83" t="n"/>
      <c r="L2678" s="83" t="n"/>
      <c r="M2678" s="83" t="n"/>
      <c r="O2678" s="84" t="str">
        <f>IF($C2678="","",IFERROR(MATCH($B2678&amp;"|"&amp;$C2678,MUROS!$AX$11:$AX$70,0),0))</f>
        <v/>
      </c>
      <c r="P2678" s="84" t="str">
        <f>IF($D2678="","",IF(ISNUMBER(MATCH($D2678,CMB_S,0)),1,IF(ISNUMBER(MATCH($D2678,CMB_G,0)),2,0)))</f>
        <v/>
      </c>
      <c r="Q2678" s="84">
        <f>IF(ISNUMBER($H2678),-$H2678,0)</f>
        <v>0</v>
      </c>
      <c r="R2678" s="84">
        <f>IF(ISNUMBER($I2678),ABS($I2678),0)</f>
        <v>0</v>
      </c>
      <c r="S2678" s="84">
        <f>IF(ISNUMBER($M2678),ABS($M2678),0)</f>
        <v>0</v>
      </c>
      <c r="T2678" s="85" t="n">
        <v>2670</v>
      </c>
    </row>
    <row r="2679">
      <c r="B2679" s="83" t="n"/>
      <c r="C2679" s="83" t="n"/>
      <c r="D2679" s="83" t="n"/>
      <c r="E2679" s="83" t="n"/>
      <c r="F2679" s="83" t="n"/>
      <c r="G2679" s="83" t="n"/>
      <c r="H2679" s="83" t="n"/>
      <c r="I2679" s="83" t="n"/>
      <c r="J2679" s="83" t="n"/>
      <c r="K2679" s="83" t="n"/>
      <c r="L2679" s="83" t="n"/>
      <c r="M2679" s="83" t="n"/>
      <c r="O2679" s="84" t="str">
        <f>IF($C2679="","",IFERROR(MATCH($B2679&amp;"|"&amp;$C2679,MUROS!$AX$11:$AX$70,0),0))</f>
        <v/>
      </c>
      <c r="P2679" s="84" t="str">
        <f>IF($D2679="","",IF(ISNUMBER(MATCH($D2679,CMB_S,0)),1,IF(ISNUMBER(MATCH($D2679,CMB_G,0)),2,0)))</f>
        <v/>
      </c>
      <c r="Q2679" s="84">
        <f>IF(ISNUMBER($H2679),-$H2679,0)</f>
        <v>0</v>
      </c>
      <c r="R2679" s="84">
        <f>IF(ISNUMBER($I2679),ABS($I2679),0)</f>
        <v>0</v>
      </c>
      <c r="S2679" s="84">
        <f>IF(ISNUMBER($M2679),ABS($M2679),0)</f>
        <v>0</v>
      </c>
      <c r="T2679" s="85" t="n">
        <v>2671</v>
      </c>
    </row>
    <row r="2680">
      <c r="B2680" s="83" t="n"/>
      <c r="C2680" s="83" t="n"/>
      <c r="D2680" s="83" t="n"/>
      <c r="E2680" s="83" t="n"/>
      <c r="F2680" s="83" t="n"/>
      <c r="G2680" s="83" t="n"/>
      <c r="H2680" s="83" t="n"/>
      <c r="I2680" s="83" t="n"/>
      <c r="J2680" s="83" t="n"/>
      <c r="K2680" s="83" t="n"/>
      <c r="L2680" s="83" t="n"/>
      <c r="M2680" s="83" t="n"/>
      <c r="O2680" s="84" t="str">
        <f>IF($C2680="","",IFERROR(MATCH($B2680&amp;"|"&amp;$C2680,MUROS!$AX$11:$AX$70,0),0))</f>
        <v/>
      </c>
      <c r="P2680" s="84" t="str">
        <f>IF($D2680="","",IF(ISNUMBER(MATCH($D2680,CMB_S,0)),1,IF(ISNUMBER(MATCH($D2680,CMB_G,0)),2,0)))</f>
        <v/>
      </c>
      <c r="Q2680" s="84">
        <f>IF(ISNUMBER($H2680),-$H2680,0)</f>
        <v>0</v>
      </c>
      <c r="R2680" s="84">
        <f>IF(ISNUMBER($I2680),ABS($I2680),0)</f>
        <v>0</v>
      </c>
      <c r="S2680" s="84">
        <f>IF(ISNUMBER($M2680),ABS($M2680),0)</f>
        <v>0</v>
      </c>
      <c r="T2680" s="85" t="n">
        <v>2672</v>
      </c>
    </row>
    <row r="2681">
      <c r="B2681" s="83" t="n"/>
      <c r="C2681" s="83" t="n"/>
      <c r="D2681" s="83" t="n"/>
      <c r="E2681" s="83" t="n"/>
      <c r="F2681" s="83" t="n"/>
      <c r="G2681" s="83" t="n"/>
      <c r="H2681" s="83" t="n"/>
      <c r="I2681" s="83" t="n"/>
      <c r="J2681" s="83" t="n"/>
      <c r="K2681" s="83" t="n"/>
      <c r="L2681" s="83" t="n"/>
      <c r="M2681" s="83" t="n"/>
      <c r="O2681" s="84" t="str">
        <f>IF($C2681="","",IFERROR(MATCH($B2681&amp;"|"&amp;$C2681,MUROS!$AX$11:$AX$70,0),0))</f>
        <v/>
      </c>
      <c r="P2681" s="84" t="str">
        <f>IF($D2681="","",IF(ISNUMBER(MATCH($D2681,CMB_S,0)),1,IF(ISNUMBER(MATCH($D2681,CMB_G,0)),2,0)))</f>
        <v/>
      </c>
      <c r="Q2681" s="84">
        <f>IF(ISNUMBER($H2681),-$H2681,0)</f>
        <v>0</v>
      </c>
      <c r="R2681" s="84">
        <f>IF(ISNUMBER($I2681),ABS($I2681),0)</f>
        <v>0</v>
      </c>
      <c r="S2681" s="84">
        <f>IF(ISNUMBER($M2681),ABS($M2681),0)</f>
        <v>0</v>
      </c>
      <c r="T2681" s="85" t="n">
        <v>2673</v>
      </c>
    </row>
    <row r="2682">
      <c r="B2682" s="83" t="n"/>
      <c r="C2682" s="83" t="n"/>
      <c r="D2682" s="83" t="n"/>
      <c r="E2682" s="83" t="n"/>
      <c r="F2682" s="83" t="n"/>
      <c r="G2682" s="83" t="n"/>
      <c r="H2682" s="83" t="n"/>
      <c r="I2682" s="83" t="n"/>
      <c r="J2682" s="83" t="n"/>
      <c r="K2682" s="83" t="n"/>
      <c r="L2682" s="83" t="n"/>
      <c r="M2682" s="83" t="n"/>
      <c r="O2682" s="84" t="str">
        <f>IF($C2682="","",IFERROR(MATCH($B2682&amp;"|"&amp;$C2682,MUROS!$AX$11:$AX$70,0),0))</f>
        <v/>
      </c>
      <c r="P2682" s="84" t="str">
        <f>IF($D2682="","",IF(ISNUMBER(MATCH($D2682,CMB_S,0)),1,IF(ISNUMBER(MATCH($D2682,CMB_G,0)),2,0)))</f>
        <v/>
      </c>
      <c r="Q2682" s="84">
        <f>IF(ISNUMBER($H2682),-$H2682,0)</f>
        <v>0</v>
      </c>
      <c r="R2682" s="84">
        <f>IF(ISNUMBER($I2682),ABS($I2682),0)</f>
        <v>0</v>
      </c>
      <c r="S2682" s="84">
        <f>IF(ISNUMBER($M2682),ABS($M2682),0)</f>
        <v>0</v>
      </c>
      <c r="T2682" s="85" t="n">
        <v>2674</v>
      </c>
    </row>
    <row r="2683">
      <c r="B2683" s="83" t="n"/>
      <c r="C2683" s="83" t="n"/>
      <c r="D2683" s="83" t="n"/>
      <c r="E2683" s="83" t="n"/>
      <c r="F2683" s="83" t="n"/>
      <c r="G2683" s="83" t="n"/>
      <c r="H2683" s="83" t="n"/>
      <c r="I2683" s="83" t="n"/>
      <c r="J2683" s="83" t="n"/>
      <c r="K2683" s="83" t="n"/>
      <c r="L2683" s="83" t="n"/>
      <c r="M2683" s="83" t="n"/>
      <c r="O2683" s="84" t="str">
        <f>IF($C2683="","",IFERROR(MATCH($B2683&amp;"|"&amp;$C2683,MUROS!$AX$11:$AX$70,0),0))</f>
        <v/>
      </c>
      <c r="P2683" s="84" t="str">
        <f>IF($D2683="","",IF(ISNUMBER(MATCH($D2683,CMB_S,0)),1,IF(ISNUMBER(MATCH($D2683,CMB_G,0)),2,0)))</f>
        <v/>
      </c>
      <c r="Q2683" s="84">
        <f>IF(ISNUMBER($H2683),-$H2683,0)</f>
        <v>0</v>
      </c>
      <c r="R2683" s="84">
        <f>IF(ISNUMBER($I2683),ABS($I2683),0)</f>
        <v>0</v>
      </c>
      <c r="S2683" s="84">
        <f>IF(ISNUMBER($M2683),ABS($M2683),0)</f>
        <v>0</v>
      </c>
      <c r="T2683" s="85" t="n">
        <v>2675</v>
      </c>
    </row>
    <row r="2684">
      <c r="B2684" s="83" t="n"/>
      <c r="C2684" s="83" t="n"/>
      <c r="D2684" s="83" t="n"/>
      <c r="E2684" s="83" t="n"/>
      <c r="F2684" s="83" t="n"/>
      <c r="G2684" s="83" t="n"/>
      <c r="H2684" s="83" t="n"/>
      <c r="I2684" s="83" t="n"/>
      <c r="J2684" s="83" t="n"/>
      <c r="K2684" s="83" t="n"/>
      <c r="L2684" s="83" t="n"/>
      <c r="M2684" s="83" t="n"/>
      <c r="O2684" s="84" t="str">
        <f>IF($C2684="","",IFERROR(MATCH($B2684&amp;"|"&amp;$C2684,MUROS!$AX$11:$AX$70,0),0))</f>
        <v/>
      </c>
      <c r="P2684" s="84" t="str">
        <f>IF($D2684="","",IF(ISNUMBER(MATCH($D2684,CMB_S,0)),1,IF(ISNUMBER(MATCH($D2684,CMB_G,0)),2,0)))</f>
        <v/>
      </c>
      <c r="Q2684" s="84">
        <f>IF(ISNUMBER($H2684),-$H2684,0)</f>
        <v>0</v>
      </c>
      <c r="R2684" s="84">
        <f>IF(ISNUMBER($I2684),ABS($I2684),0)</f>
        <v>0</v>
      </c>
      <c r="S2684" s="84">
        <f>IF(ISNUMBER($M2684),ABS($M2684),0)</f>
        <v>0</v>
      </c>
      <c r="T2684" s="85" t="n">
        <v>2676</v>
      </c>
    </row>
    <row r="2685">
      <c r="B2685" s="83" t="n"/>
      <c r="C2685" s="83" t="n"/>
      <c r="D2685" s="83" t="n"/>
      <c r="E2685" s="83" t="n"/>
      <c r="F2685" s="83" t="n"/>
      <c r="G2685" s="83" t="n"/>
      <c r="H2685" s="83" t="n"/>
      <c r="I2685" s="83" t="n"/>
      <c r="J2685" s="83" t="n"/>
      <c r="K2685" s="83" t="n"/>
      <c r="L2685" s="83" t="n"/>
      <c r="M2685" s="83" t="n"/>
      <c r="O2685" s="84" t="str">
        <f>IF($C2685="","",IFERROR(MATCH($B2685&amp;"|"&amp;$C2685,MUROS!$AX$11:$AX$70,0),0))</f>
        <v/>
      </c>
      <c r="P2685" s="84" t="str">
        <f>IF($D2685="","",IF(ISNUMBER(MATCH($D2685,CMB_S,0)),1,IF(ISNUMBER(MATCH($D2685,CMB_G,0)),2,0)))</f>
        <v/>
      </c>
      <c r="Q2685" s="84">
        <f>IF(ISNUMBER($H2685),-$H2685,0)</f>
        <v>0</v>
      </c>
      <c r="R2685" s="84">
        <f>IF(ISNUMBER($I2685),ABS($I2685),0)</f>
        <v>0</v>
      </c>
      <c r="S2685" s="84">
        <f>IF(ISNUMBER($M2685),ABS($M2685),0)</f>
        <v>0</v>
      </c>
      <c r="T2685" s="85" t="n">
        <v>2677</v>
      </c>
    </row>
    <row r="2686">
      <c r="B2686" s="83" t="n"/>
      <c r="C2686" s="83" t="n"/>
      <c r="D2686" s="83" t="n"/>
      <c r="E2686" s="83" t="n"/>
      <c r="F2686" s="83" t="n"/>
      <c r="G2686" s="83" t="n"/>
      <c r="H2686" s="83" t="n"/>
      <c r="I2686" s="83" t="n"/>
      <c r="J2686" s="83" t="n"/>
      <c r="K2686" s="83" t="n"/>
      <c r="L2686" s="83" t="n"/>
      <c r="M2686" s="83" t="n"/>
      <c r="O2686" s="84" t="str">
        <f>IF($C2686="","",IFERROR(MATCH($B2686&amp;"|"&amp;$C2686,MUROS!$AX$11:$AX$70,0),0))</f>
        <v/>
      </c>
      <c r="P2686" s="84" t="str">
        <f>IF($D2686="","",IF(ISNUMBER(MATCH($D2686,CMB_S,0)),1,IF(ISNUMBER(MATCH($D2686,CMB_G,0)),2,0)))</f>
        <v/>
      </c>
      <c r="Q2686" s="84">
        <f>IF(ISNUMBER($H2686),-$H2686,0)</f>
        <v>0</v>
      </c>
      <c r="R2686" s="84">
        <f>IF(ISNUMBER($I2686),ABS($I2686),0)</f>
        <v>0</v>
      </c>
      <c r="S2686" s="84">
        <f>IF(ISNUMBER($M2686),ABS($M2686),0)</f>
        <v>0</v>
      </c>
      <c r="T2686" s="85" t="n">
        <v>2678</v>
      </c>
    </row>
    <row r="2687">
      <c r="B2687" s="83" t="n"/>
      <c r="C2687" s="83" t="n"/>
      <c r="D2687" s="83" t="n"/>
      <c r="E2687" s="83" t="n"/>
      <c r="F2687" s="83" t="n"/>
      <c r="G2687" s="83" t="n"/>
      <c r="H2687" s="83" t="n"/>
      <c r="I2687" s="83" t="n"/>
      <c r="J2687" s="83" t="n"/>
      <c r="K2687" s="83" t="n"/>
      <c r="L2687" s="83" t="n"/>
      <c r="M2687" s="83" t="n"/>
      <c r="O2687" s="84" t="str">
        <f>IF($C2687="","",IFERROR(MATCH($B2687&amp;"|"&amp;$C2687,MUROS!$AX$11:$AX$70,0),0))</f>
        <v/>
      </c>
      <c r="P2687" s="84" t="str">
        <f>IF($D2687="","",IF(ISNUMBER(MATCH($D2687,CMB_S,0)),1,IF(ISNUMBER(MATCH($D2687,CMB_G,0)),2,0)))</f>
        <v/>
      </c>
      <c r="Q2687" s="84">
        <f>IF(ISNUMBER($H2687),-$H2687,0)</f>
        <v>0</v>
      </c>
      <c r="R2687" s="84">
        <f>IF(ISNUMBER($I2687),ABS($I2687),0)</f>
        <v>0</v>
      </c>
      <c r="S2687" s="84">
        <f>IF(ISNUMBER($M2687),ABS($M2687),0)</f>
        <v>0</v>
      </c>
      <c r="T2687" s="85" t="n">
        <v>2679</v>
      </c>
    </row>
    <row r="2688">
      <c r="B2688" s="83" t="n"/>
      <c r="C2688" s="83" t="n"/>
      <c r="D2688" s="83" t="n"/>
      <c r="E2688" s="83" t="n"/>
      <c r="F2688" s="83" t="n"/>
      <c r="G2688" s="83" t="n"/>
      <c r="H2688" s="83" t="n"/>
      <c r="I2688" s="83" t="n"/>
      <c r="J2688" s="83" t="n"/>
      <c r="K2688" s="83" t="n"/>
      <c r="L2688" s="83" t="n"/>
      <c r="M2688" s="83" t="n"/>
      <c r="O2688" s="84" t="str">
        <f>IF($C2688="","",IFERROR(MATCH($B2688&amp;"|"&amp;$C2688,MUROS!$AX$11:$AX$70,0),0))</f>
        <v/>
      </c>
      <c r="P2688" s="84" t="str">
        <f>IF($D2688="","",IF(ISNUMBER(MATCH($D2688,CMB_S,0)),1,IF(ISNUMBER(MATCH($D2688,CMB_G,0)),2,0)))</f>
        <v/>
      </c>
      <c r="Q2688" s="84">
        <f>IF(ISNUMBER($H2688),-$H2688,0)</f>
        <v>0</v>
      </c>
      <c r="R2688" s="84">
        <f>IF(ISNUMBER($I2688),ABS($I2688),0)</f>
        <v>0</v>
      </c>
      <c r="S2688" s="84">
        <f>IF(ISNUMBER($M2688),ABS($M2688),0)</f>
        <v>0</v>
      </c>
      <c r="T2688" s="85" t="n">
        <v>2680</v>
      </c>
    </row>
    <row r="2689">
      <c r="B2689" s="83" t="n"/>
      <c r="C2689" s="83" t="n"/>
      <c r="D2689" s="83" t="n"/>
      <c r="E2689" s="83" t="n"/>
      <c r="F2689" s="83" t="n"/>
      <c r="G2689" s="83" t="n"/>
      <c r="H2689" s="83" t="n"/>
      <c r="I2689" s="83" t="n"/>
      <c r="J2689" s="83" t="n"/>
      <c r="K2689" s="83" t="n"/>
      <c r="L2689" s="83" t="n"/>
      <c r="M2689" s="83" t="n"/>
      <c r="O2689" s="84" t="str">
        <f>IF($C2689="","",IFERROR(MATCH($B2689&amp;"|"&amp;$C2689,MUROS!$AX$11:$AX$70,0),0))</f>
        <v/>
      </c>
      <c r="P2689" s="84" t="str">
        <f>IF($D2689="","",IF(ISNUMBER(MATCH($D2689,CMB_S,0)),1,IF(ISNUMBER(MATCH($D2689,CMB_G,0)),2,0)))</f>
        <v/>
      </c>
      <c r="Q2689" s="84">
        <f>IF(ISNUMBER($H2689),-$H2689,0)</f>
        <v>0</v>
      </c>
      <c r="R2689" s="84">
        <f>IF(ISNUMBER($I2689),ABS($I2689),0)</f>
        <v>0</v>
      </c>
      <c r="S2689" s="84">
        <f>IF(ISNUMBER($M2689),ABS($M2689),0)</f>
        <v>0</v>
      </c>
      <c r="T2689" s="85" t="n">
        <v>2681</v>
      </c>
    </row>
    <row r="2690">
      <c r="B2690" s="83" t="n"/>
      <c r="C2690" s="83" t="n"/>
      <c r="D2690" s="83" t="n"/>
      <c r="E2690" s="83" t="n"/>
      <c r="F2690" s="83" t="n"/>
      <c r="G2690" s="83" t="n"/>
      <c r="H2690" s="83" t="n"/>
      <c r="I2690" s="83" t="n"/>
      <c r="J2690" s="83" t="n"/>
      <c r="K2690" s="83" t="n"/>
      <c r="L2690" s="83" t="n"/>
      <c r="M2690" s="83" t="n"/>
      <c r="O2690" s="84" t="str">
        <f>IF($C2690="","",IFERROR(MATCH($B2690&amp;"|"&amp;$C2690,MUROS!$AX$11:$AX$70,0),0))</f>
        <v/>
      </c>
      <c r="P2690" s="84" t="str">
        <f>IF($D2690="","",IF(ISNUMBER(MATCH($D2690,CMB_S,0)),1,IF(ISNUMBER(MATCH($D2690,CMB_G,0)),2,0)))</f>
        <v/>
      </c>
      <c r="Q2690" s="84">
        <f>IF(ISNUMBER($H2690),-$H2690,0)</f>
        <v>0</v>
      </c>
      <c r="R2690" s="84">
        <f>IF(ISNUMBER($I2690),ABS($I2690),0)</f>
        <v>0</v>
      </c>
      <c r="S2690" s="84">
        <f>IF(ISNUMBER($M2690),ABS($M2690),0)</f>
        <v>0</v>
      </c>
      <c r="T2690" s="85" t="n">
        <v>2682</v>
      </c>
    </row>
    <row r="2691">
      <c r="B2691" s="83" t="n"/>
      <c r="C2691" s="83" t="n"/>
      <c r="D2691" s="83" t="n"/>
      <c r="E2691" s="83" t="n"/>
      <c r="F2691" s="83" t="n"/>
      <c r="G2691" s="83" t="n"/>
      <c r="H2691" s="83" t="n"/>
      <c r="I2691" s="83" t="n"/>
      <c r="J2691" s="83" t="n"/>
      <c r="K2691" s="83" t="n"/>
      <c r="L2691" s="83" t="n"/>
      <c r="M2691" s="83" t="n"/>
      <c r="O2691" s="84" t="str">
        <f>IF($C2691="","",IFERROR(MATCH($B2691&amp;"|"&amp;$C2691,MUROS!$AX$11:$AX$70,0),0))</f>
        <v/>
      </c>
      <c r="P2691" s="84" t="str">
        <f>IF($D2691="","",IF(ISNUMBER(MATCH($D2691,CMB_S,0)),1,IF(ISNUMBER(MATCH($D2691,CMB_G,0)),2,0)))</f>
        <v/>
      </c>
      <c r="Q2691" s="84">
        <f>IF(ISNUMBER($H2691),-$H2691,0)</f>
        <v>0</v>
      </c>
      <c r="R2691" s="84">
        <f>IF(ISNUMBER($I2691),ABS($I2691),0)</f>
        <v>0</v>
      </c>
      <c r="S2691" s="84">
        <f>IF(ISNUMBER($M2691),ABS($M2691),0)</f>
        <v>0</v>
      </c>
      <c r="T2691" s="85" t="n">
        <v>2683</v>
      </c>
    </row>
    <row r="2692">
      <c r="B2692" s="83" t="n"/>
      <c r="C2692" s="83" t="n"/>
      <c r="D2692" s="83" t="n"/>
      <c r="E2692" s="83" t="n"/>
      <c r="F2692" s="83" t="n"/>
      <c r="G2692" s="83" t="n"/>
      <c r="H2692" s="83" t="n"/>
      <c r="I2692" s="83" t="n"/>
      <c r="J2692" s="83" t="n"/>
      <c r="K2692" s="83" t="n"/>
      <c r="L2692" s="83" t="n"/>
      <c r="M2692" s="83" t="n"/>
      <c r="O2692" s="84" t="str">
        <f>IF($C2692="","",IFERROR(MATCH($B2692&amp;"|"&amp;$C2692,MUROS!$AX$11:$AX$70,0),0))</f>
        <v/>
      </c>
      <c r="P2692" s="84" t="str">
        <f>IF($D2692="","",IF(ISNUMBER(MATCH($D2692,CMB_S,0)),1,IF(ISNUMBER(MATCH($D2692,CMB_G,0)),2,0)))</f>
        <v/>
      </c>
      <c r="Q2692" s="84">
        <f>IF(ISNUMBER($H2692),-$H2692,0)</f>
        <v>0</v>
      </c>
      <c r="R2692" s="84">
        <f>IF(ISNUMBER($I2692),ABS($I2692),0)</f>
        <v>0</v>
      </c>
      <c r="S2692" s="84">
        <f>IF(ISNUMBER($M2692),ABS($M2692),0)</f>
        <v>0</v>
      </c>
      <c r="T2692" s="85" t="n">
        <v>2684</v>
      </c>
    </row>
    <row r="2693">
      <c r="B2693" s="83" t="n"/>
      <c r="C2693" s="83" t="n"/>
      <c r="D2693" s="83" t="n"/>
      <c r="E2693" s="83" t="n"/>
      <c r="F2693" s="83" t="n"/>
      <c r="G2693" s="83" t="n"/>
      <c r="H2693" s="83" t="n"/>
      <c r="I2693" s="83" t="n"/>
      <c r="J2693" s="83" t="n"/>
      <c r="K2693" s="83" t="n"/>
      <c r="L2693" s="83" t="n"/>
      <c r="M2693" s="83" t="n"/>
      <c r="O2693" s="84" t="str">
        <f>IF($C2693="","",IFERROR(MATCH($B2693&amp;"|"&amp;$C2693,MUROS!$AX$11:$AX$70,0),0))</f>
        <v/>
      </c>
      <c r="P2693" s="84" t="str">
        <f>IF($D2693="","",IF(ISNUMBER(MATCH($D2693,CMB_S,0)),1,IF(ISNUMBER(MATCH($D2693,CMB_G,0)),2,0)))</f>
        <v/>
      </c>
      <c r="Q2693" s="84">
        <f>IF(ISNUMBER($H2693),-$H2693,0)</f>
        <v>0</v>
      </c>
      <c r="R2693" s="84">
        <f>IF(ISNUMBER($I2693),ABS($I2693),0)</f>
        <v>0</v>
      </c>
      <c r="S2693" s="84">
        <f>IF(ISNUMBER($M2693),ABS($M2693),0)</f>
        <v>0</v>
      </c>
      <c r="T2693" s="85" t="n">
        <v>2685</v>
      </c>
    </row>
    <row r="2694">
      <c r="B2694" s="83" t="n"/>
      <c r="C2694" s="83" t="n"/>
      <c r="D2694" s="83" t="n"/>
      <c r="E2694" s="83" t="n"/>
      <c r="F2694" s="83" t="n"/>
      <c r="G2694" s="83" t="n"/>
      <c r="H2694" s="83" t="n"/>
      <c r="I2694" s="83" t="n"/>
      <c r="J2694" s="83" t="n"/>
      <c r="K2694" s="83" t="n"/>
      <c r="L2694" s="83" t="n"/>
      <c r="M2694" s="83" t="n"/>
      <c r="O2694" s="84" t="str">
        <f>IF($C2694="","",IFERROR(MATCH($B2694&amp;"|"&amp;$C2694,MUROS!$AX$11:$AX$70,0),0))</f>
        <v/>
      </c>
      <c r="P2694" s="84" t="str">
        <f>IF($D2694="","",IF(ISNUMBER(MATCH($D2694,CMB_S,0)),1,IF(ISNUMBER(MATCH($D2694,CMB_G,0)),2,0)))</f>
        <v/>
      </c>
      <c r="Q2694" s="84">
        <f>IF(ISNUMBER($H2694),-$H2694,0)</f>
        <v>0</v>
      </c>
      <c r="R2694" s="84">
        <f>IF(ISNUMBER($I2694),ABS($I2694),0)</f>
        <v>0</v>
      </c>
      <c r="S2694" s="84">
        <f>IF(ISNUMBER($M2694),ABS($M2694),0)</f>
        <v>0</v>
      </c>
      <c r="T2694" s="85" t="n">
        <v>2686</v>
      </c>
    </row>
    <row r="2695">
      <c r="B2695" s="83" t="n"/>
      <c r="C2695" s="83" t="n"/>
      <c r="D2695" s="83" t="n"/>
      <c r="E2695" s="83" t="n"/>
      <c r="F2695" s="83" t="n"/>
      <c r="G2695" s="83" t="n"/>
      <c r="H2695" s="83" t="n"/>
      <c r="I2695" s="83" t="n"/>
      <c r="J2695" s="83" t="n"/>
      <c r="K2695" s="83" t="n"/>
      <c r="L2695" s="83" t="n"/>
      <c r="M2695" s="83" t="n"/>
      <c r="O2695" s="84" t="str">
        <f>IF($C2695="","",IFERROR(MATCH($B2695&amp;"|"&amp;$C2695,MUROS!$AX$11:$AX$70,0),0))</f>
        <v/>
      </c>
      <c r="P2695" s="84" t="str">
        <f>IF($D2695="","",IF(ISNUMBER(MATCH($D2695,CMB_S,0)),1,IF(ISNUMBER(MATCH($D2695,CMB_G,0)),2,0)))</f>
        <v/>
      </c>
      <c r="Q2695" s="84">
        <f>IF(ISNUMBER($H2695),-$H2695,0)</f>
        <v>0</v>
      </c>
      <c r="R2695" s="84">
        <f>IF(ISNUMBER($I2695),ABS($I2695),0)</f>
        <v>0</v>
      </c>
      <c r="S2695" s="84">
        <f>IF(ISNUMBER($M2695),ABS($M2695),0)</f>
        <v>0</v>
      </c>
      <c r="T2695" s="85" t="n">
        <v>2687</v>
      </c>
    </row>
    <row r="2696">
      <c r="B2696" s="83" t="n"/>
      <c r="C2696" s="83" t="n"/>
      <c r="D2696" s="83" t="n"/>
      <c r="E2696" s="83" t="n"/>
      <c r="F2696" s="83" t="n"/>
      <c r="G2696" s="83" t="n"/>
      <c r="H2696" s="83" t="n"/>
      <c r="I2696" s="83" t="n"/>
      <c r="J2696" s="83" t="n"/>
      <c r="K2696" s="83" t="n"/>
      <c r="L2696" s="83" t="n"/>
      <c r="M2696" s="83" t="n"/>
      <c r="O2696" s="84" t="str">
        <f>IF($C2696="","",IFERROR(MATCH($B2696&amp;"|"&amp;$C2696,MUROS!$AX$11:$AX$70,0),0))</f>
        <v/>
      </c>
      <c r="P2696" s="84" t="str">
        <f>IF($D2696="","",IF(ISNUMBER(MATCH($D2696,CMB_S,0)),1,IF(ISNUMBER(MATCH($D2696,CMB_G,0)),2,0)))</f>
        <v/>
      </c>
      <c r="Q2696" s="84">
        <f>IF(ISNUMBER($H2696),-$H2696,0)</f>
        <v>0</v>
      </c>
      <c r="R2696" s="84">
        <f>IF(ISNUMBER($I2696),ABS($I2696),0)</f>
        <v>0</v>
      </c>
      <c r="S2696" s="84">
        <f>IF(ISNUMBER($M2696),ABS($M2696),0)</f>
        <v>0</v>
      </c>
      <c r="T2696" s="85" t="n">
        <v>2688</v>
      </c>
    </row>
    <row r="2697">
      <c r="B2697" s="83" t="n"/>
      <c r="C2697" s="83" t="n"/>
      <c r="D2697" s="83" t="n"/>
      <c r="E2697" s="83" t="n"/>
      <c r="F2697" s="83" t="n"/>
      <c r="G2697" s="83" t="n"/>
      <c r="H2697" s="83" t="n"/>
      <c r="I2697" s="83" t="n"/>
      <c r="J2697" s="83" t="n"/>
      <c r="K2697" s="83" t="n"/>
      <c r="L2697" s="83" t="n"/>
      <c r="M2697" s="83" t="n"/>
      <c r="O2697" s="84" t="str">
        <f>IF($C2697="","",IFERROR(MATCH($B2697&amp;"|"&amp;$C2697,MUROS!$AX$11:$AX$70,0),0))</f>
        <v/>
      </c>
      <c r="P2697" s="84" t="str">
        <f>IF($D2697="","",IF(ISNUMBER(MATCH($D2697,CMB_S,0)),1,IF(ISNUMBER(MATCH($D2697,CMB_G,0)),2,0)))</f>
        <v/>
      </c>
      <c r="Q2697" s="84">
        <f>IF(ISNUMBER($H2697),-$H2697,0)</f>
        <v>0</v>
      </c>
      <c r="R2697" s="84">
        <f>IF(ISNUMBER($I2697),ABS($I2697),0)</f>
        <v>0</v>
      </c>
      <c r="S2697" s="84">
        <f>IF(ISNUMBER($M2697),ABS($M2697),0)</f>
        <v>0</v>
      </c>
      <c r="T2697" s="85" t="n">
        <v>2689</v>
      </c>
    </row>
    <row r="2698">
      <c r="B2698" s="83" t="n"/>
      <c r="C2698" s="83" t="n"/>
      <c r="D2698" s="83" t="n"/>
      <c r="E2698" s="83" t="n"/>
      <c r="F2698" s="83" t="n"/>
      <c r="G2698" s="83" t="n"/>
      <c r="H2698" s="83" t="n"/>
      <c r="I2698" s="83" t="n"/>
      <c r="J2698" s="83" t="n"/>
      <c r="K2698" s="83" t="n"/>
      <c r="L2698" s="83" t="n"/>
      <c r="M2698" s="83" t="n"/>
      <c r="O2698" s="84" t="str">
        <f>IF($C2698="","",IFERROR(MATCH($B2698&amp;"|"&amp;$C2698,MUROS!$AX$11:$AX$70,0),0))</f>
        <v/>
      </c>
      <c r="P2698" s="84" t="str">
        <f>IF($D2698="","",IF(ISNUMBER(MATCH($D2698,CMB_S,0)),1,IF(ISNUMBER(MATCH($D2698,CMB_G,0)),2,0)))</f>
        <v/>
      </c>
      <c r="Q2698" s="84">
        <f>IF(ISNUMBER($H2698),-$H2698,0)</f>
        <v>0</v>
      </c>
      <c r="R2698" s="84">
        <f>IF(ISNUMBER($I2698),ABS($I2698),0)</f>
        <v>0</v>
      </c>
      <c r="S2698" s="84">
        <f>IF(ISNUMBER($M2698),ABS($M2698),0)</f>
        <v>0</v>
      </c>
      <c r="T2698" s="85" t="n">
        <v>2690</v>
      </c>
    </row>
    <row r="2699">
      <c r="B2699" s="83" t="n"/>
      <c r="C2699" s="83" t="n"/>
      <c r="D2699" s="83" t="n"/>
      <c r="E2699" s="83" t="n"/>
      <c r="F2699" s="83" t="n"/>
      <c r="G2699" s="83" t="n"/>
      <c r="H2699" s="83" t="n"/>
      <c r="I2699" s="83" t="n"/>
      <c r="J2699" s="83" t="n"/>
      <c r="K2699" s="83" t="n"/>
      <c r="L2699" s="83" t="n"/>
      <c r="M2699" s="83" t="n"/>
      <c r="O2699" s="84" t="str">
        <f>IF($C2699="","",IFERROR(MATCH($B2699&amp;"|"&amp;$C2699,MUROS!$AX$11:$AX$70,0),0))</f>
        <v/>
      </c>
      <c r="P2699" s="84" t="str">
        <f>IF($D2699="","",IF(ISNUMBER(MATCH($D2699,CMB_S,0)),1,IF(ISNUMBER(MATCH($D2699,CMB_G,0)),2,0)))</f>
        <v/>
      </c>
      <c r="Q2699" s="84">
        <f>IF(ISNUMBER($H2699),-$H2699,0)</f>
        <v>0</v>
      </c>
      <c r="R2699" s="84">
        <f>IF(ISNUMBER($I2699),ABS($I2699),0)</f>
        <v>0</v>
      </c>
      <c r="S2699" s="84">
        <f>IF(ISNUMBER($M2699),ABS($M2699),0)</f>
        <v>0</v>
      </c>
      <c r="T2699" s="85" t="n">
        <v>2691</v>
      </c>
    </row>
    <row r="2700">
      <c r="B2700" s="83" t="n"/>
      <c r="C2700" s="83" t="n"/>
      <c r="D2700" s="83" t="n"/>
      <c r="E2700" s="83" t="n"/>
      <c r="F2700" s="83" t="n"/>
      <c r="G2700" s="83" t="n"/>
      <c r="H2700" s="83" t="n"/>
      <c r="I2700" s="83" t="n"/>
      <c r="J2700" s="83" t="n"/>
      <c r="K2700" s="83" t="n"/>
      <c r="L2700" s="83" t="n"/>
      <c r="M2700" s="83" t="n"/>
      <c r="O2700" s="84" t="str">
        <f>IF($C2700="","",IFERROR(MATCH($B2700&amp;"|"&amp;$C2700,MUROS!$AX$11:$AX$70,0),0))</f>
        <v/>
      </c>
      <c r="P2700" s="84" t="str">
        <f>IF($D2700="","",IF(ISNUMBER(MATCH($D2700,CMB_S,0)),1,IF(ISNUMBER(MATCH($D2700,CMB_G,0)),2,0)))</f>
        <v/>
      </c>
      <c r="Q2700" s="84">
        <f>IF(ISNUMBER($H2700),-$H2700,0)</f>
        <v>0</v>
      </c>
      <c r="R2700" s="84">
        <f>IF(ISNUMBER($I2700),ABS($I2700),0)</f>
        <v>0</v>
      </c>
      <c r="S2700" s="84">
        <f>IF(ISNUMBER($M2700),ABS($M2700),0)</f>
        <v>0</v>
      </c>
      <c r="T2700" s="85" t="n">
        <v>2692</v>
      </c>
    </row>
    <row r="2701">
      <c r="B2701" s="83" t="n"/>
      <c r="C2701" s="83" t="n"/>
      <c r="D2701" s="83" t="n"/>
      <c r="E2701" s="83" t="n"/>
      <c r="F2701" s="83" t="n"/>
      <c r="G2701" s="83" t="n"/>
      <c r="H2701" s="83" t="n"/>
      <c r="I2701" s="83" t="n"/>
      <c r="J2701" s="83" t="n"/>
      <c r="K2701" s="83" t="n"/>
      <c r="L2701" s="83" t="n"/>
      <c r="M2701" s="83" t="n"/>
      <c r="O2701" s="84" t="str">
        <f>IF($C2701="","",IFERROR(MATCH($B2701&amp;"|"&amp;$C2701,MUROS!$AX$11:$AX$70,0),0))</f>
        <v/>
      </c>
      <c r="P2701" s="84" t="str">
        <f>IF($D2701="","",IF(ISNUMBER(MATCH($D2701,CMB_S,0)),1,IF(ISNUMBER(MATCH($D2701,CMB_G,0)),2,0)))</f>
        <v/>
      </c>
      <c r="Q2701" s="84">
        <f>IF(ISNUMBER($H2701),-$H2701,0)</f>
        <v>0</v>
      </c>
      <c r="R2701" s="84">
        <f>IF(ISNUMBER($I2701),ABS($I2701),0)</f>
        <v>0</v>
      </c>
      <c r="S2701" s="84">
        <f>IF(ISNUMBER($M2701),ABS($M2701),0)</f>
        <v>0</v>
      </c>
      <c r="T2701" s="85" t="n">
        <v>2693</v>
      </c>
    </row>
    <row r="2702">
      <c r="B2702" s="83" t="n"/>
      <c r="C2702" s="83" t="n"/>
      <c r="D2702" s="83" t="n"/>
      <c r="E2702" s="83" t="n"/>
      <c r="F2702" s="83" t="n"/>
      <c r="G2702" s="83" t="n"/>
      <c r="H2702" s="83" t="n"/>
      <c r="I2702" s="83" t="n"/>
      <c r="J2702" s="83" t="n"/>
      <c r="K2702" s="83" t="n"/>
      <c r="L2702" s="83" t="n"/>
      <c r="M2702" s="83" t="n"/>
      <c r="O2702" s="84" t="str">
        <f>IF($C2702="","",IFERROR(MATCH($B2702&amp;"|"&amp;$C2702,MUROS!$AX$11:$AX$70,0),0))</f>
        <v/>
      </c>
      <c r="P2702" s="84" t="str">
        <f>IF($D2702="","",IF(ISNUMBER(MATCH($D2702,CMB_S,0)),1,IF(ISNUMBER(MATCH($D2702,CMB_G,0)),2,0)))</f>
        <v/>
      </c>
      <c r="Q2702" s="84">
        <f>IF(ISNUMBER($H2702),-$H2702,0)</f>
        <v>0</v>
      </c>
      <c r="R2702" s="84">
        <f>IF(ISNUMBER($I2702),ABS($I2702),0)</f>
        <v>0</v>
      </c>
      <c r="S2702" s="84">
        <f>IF(ISNUMBER($M2702),ABS($M2702),0)</f>
        <v>0</v>
      </c>
      <c r="T2702" s="85" t="n">
        <v>2694</v>
      </c>
    </row>
    <row r="2703">
      <c r="B2703" s="83" t="n"/>
      <c r="C2703" s="83" t="n"/>
      <c r="D2703" s="83" t="n"/>
      <c r="E2703" s="83" t="n"/>
      <c r="F2703" s="83" t="n"/>
      <c r="G2703" s="83" t="n"/>
      <c r="H2703" s="83" t="n"/>
      <c r="I2703" s="83" t="n"/>
      <c r="J2703" s="83" t="n"/>
      <c r="K2703" s="83" t="n"/>
      <c r="L2703" s="83" t="n"/>
      <c r="M2703" s="83" t="n"/>
      <c r="O2703" s="84" t="str">
        <f>IF($C2703="","",IFERROR(MATCH($B2703&amp;"|"&amp;$C2703,MUROS!$AX$11:$AX$70,0),0))</f>
        <v/>
      </c>
      <c r="P2703" s="84" t="str">
        <f>IF($D2703="","",IF(ISNUMBER(MATCH($D2703,CMB_S,0)),1,IF(ISNUMBER(MATCH($D2703,CMB_G,0)),2,0)))</f>
        <v/>
      </c>
      <c r="Q2703" s="84">
        <f>IF(ISNUMBER($H2703),-$H2703,0)</f>
        <v>0</v>
      </c>
      <c r="R2703" s="84">
        <f>IF(ISNUMBER($I2703),ABS($I2703),0)</f>
        <v>0</v>
      </c>
      <c r="S2703" s="84">
        <f>IF(ISNUMBER($M2703),ABS($M2703),0)</f>
        <v>0</v>
      </c>
      <c r="T2703" s="85" t="n">
        <v>2695</v>
      </c>
    </row>
    <row r="2704">
      <c r="B2704" s="83" t="n"/>
      <c r="C2704" s="83" t="n"/>
      <c r="D2704" s="83" t="n"/>
      <c r="E2704" s="83" t="n"/>
      <c r="F2704" s="83" t="n"/>
      <c r="G2704" s="83" t="n"/>
      <c r="H2704" s="83" t="n"/>
      <c r="I2704" s="83" t="n"/>
      <c r="J2704" s="83" t="n"/>
      <c r="K2704" s="83" t="n"/>
      <c r="L2704" s="83" t="n"/>
      <c r="M2704" s="83" t="n"/>
      <c r="O2704" s="84" t="str">
        <f>IF($C2704="","",IFERROR(MATCH($B2704&amp;"|"&amp;$C2704,MUROS!$AX$11:$AX$70,0),0))</f>
        <v/>
      </c>
      <c r="P2704" s="84" t="str">
        <f>IF($D2704="","",IF(ISNUMBER(MATCH($D2704,CMB_S,0)),1,IF(ISNUMBER(MATCH($D2704,CMB_G,0)),2,0)))</f>
        <v/>
      </c>
      <c r="Q2704" s="84">
        <f>IF(ISNUMBER($H2704),-$H2704,0)</f>
        <v>0</v>
      </c>
      <c r="R2704" s="84">
        <f>IF(ISNUMBER($I2704),ABS($I2704),0)</f>
        <v>0</v>
      </c>
      <c r="S2704" s="84">
        <f>IF(ISNUMBER($M2704),ABS($M2704),0)</f>
        <v>0</v>
      </c>
      <c r="T2704" s="85" t="n">
        <v>2696</v>
      </c>
    </row>
    <row r="2705">
      <c r="B2705" s="83" t="n"/>
      <c r="C2705" s="83" t="n"/>
      <c r="D2705" s="83" t="n"/>
      <c r="E2705" s="83" t="n"/>
      <c r="F2705" s="83" t="n"/>
      <c r="G2705" s="83" t="n"/>
      <c r="H2705" s="83" t="n"/>
      <c r="I2705" s="83" t="n"/>
      <c r="J2705" s="83" t="n"/>
      <c r="K2705" s="83" t="n"/>
      <c r="L2705" s="83" t="n"/>
      <c r="M2705" s="83" t="n"/>
      <c r="O2705" s="84" t="str">
        <f>IF($C2705="","",IFERROR(MATCH($B2705&amp;"|"&amp;$C2705,MUROS!$AX$11:$AX$70,0),0))</f>
        <v/>
      </c>
      <c r="P2705" s="84" t="str">
        <f>IF($D2705="","",IF(ISNUMBER(MATCH($D2705,CMB_S,0)),1,IF(ISNUMBER(MATCH($D2705,CMB_G,0)),2,0)))</f>
        <v/>
      </c>
      <c r="Q2705" s="84">
        <f>IF(ISNUMBER($H2705),-$H2705,0)</f>
        <v>0</v>
      </c>
      <c r="R2705" s="84">
        <f>IF(ISNUMBER($I2705),ABS($I2705),0)</f>
        <v>0</v>
      </c>
      <c r="S2705" s="84">
        <f>IF(ISNUMBER($M2705),ABS($M2705),0)</f>
        <v>0</v>
      </c>
      <c r="T2705" s="85" t="n">
        <v>2697</v>
      </c>
    </row>
    <row r="2706">
      <c r="B2706" s="83" t="n"/>
      <c r="C2706" s="83" t="n"/>
      <c r="D2706" s="83" t="n"/>
      <c r="E2706" s="83" t="n"/>
      <c r="F2706" s="83" t="n"/>
      <c r="G2706" s="83" t="n"/>
      <c r="H2706" s="83" t="n"/>
      <c r="I2706" s="83" t="n"/>
      <c r="J2706" s="83" t="n"/>
      <c r="K2706" s="83" t="n"/>
      <c r="L2706" s="83" t="n"/>
      <c r="M2706" s="83" t="n"/>
      <c r="O2706" s="84" t="str">
        <f>IF($C2706="","",IFERROR(MATCH($B2706&amp;"|"&amp;$C2706,MUROS!$AX$11:$AX$70,0),0))</f>
        <v/>
      </c>
      <c r="P2706" s="84" t="str">
        <f>IF($D2706="","",IF(ISNUMBER(MATCH($D2706,CMB_S,0)),1,IF(ISNUMBER(MATCH($D2706,CMB_G,0)),2,0)))</f>
        <v/>
      </c>
      <c r="Q2706" s="84">
        <f>IF(ISNUMBER($H2706),-$H2706,0)</f>
        <v>0</v>
      </c>
      <c r="R2706" s="84">
        <f>IF(ISNUMBER($I2706),ABS($I2706),0)</f>
        <v>0</v>
      </c>
      <c r="S2706" s="84">
        <f>IF(ISNUMBER($M2706),ABS($M2706),0)</f>
        <v>0</v>
      </c>
      <c r="T2706" s="85" t="n">
        <v>2698</v>
      </c>
    </row>
    <row r="2707">
      <c r="B2707" s="83" t="n"/>
      <c r="C2707" s="83" t="n"/>
      <c r="D2707" s="83" t="n"/>
      <c r="E2707" s="83" t="n"/>
      <c r="F2707" s="83" t="n"/>
      <c r="G2707" s="83" t="n"/>
      <c r="H2707" s="83" t="n"/>
      <c r="I2707" s="83" t="n"/>
      <c r="J2707" s="83" t="n"/>
      <c r="K2707" s="83" t="n"/>
      <c r="L2707" s="83" t="n"/>
      <c r="M2707" s="83" t="n"/>
      <c r="O2707" s="84" t="str">
        <f>IF($C2707="","",IFERROR(MATCH($B2707&amp;"|"&amp;$C2707,MUROS!$AX$11:$AX$70,0),0))</f>
        <v/>
      </c>
      <c r="P2707" s="84" t="str">
        <f>IF($D2707="","",IF(ISNUMBER(MATCH($D2707,CMB_S,0)),1,IF(ISNUMBER(MATCH($D2707,CMB_G,0)),2,0)))</f>
        <v/>
      </c>
      <c r="Q2707" s="84">
        <f>IF(ISNUMBER($H2707),-$H2707,0)</f>
        <v>0</v>
      </c>
      <c r="R2707" s="84">
        <f>IF(ISNUMBER($I2707),ABS($I2707),0)</f>
        <v>0</v>
      </c>
      <c r="S2707" s="84">
        <f>IF(ISNUMBER($M2707),ABS($M2707),0)</f>
        <v>0</v>
      </c>
      <c r="T2707" s="85" t="n">
        <v>2699</v>
      </c>
    </row>
    <row r="2708">
      <c r="B2708" s="83" t="n"/>
      <c r="C2708" s="83" t="n"/>
      <c r="D2708" s="83" t="n"/>
      <c r="E2708" s="83" t="n"/>
      <c r="F2708" s="83" t="n"/>
      <c r="G2708" s="83" t="n"/>
      <c r="H2708" s="83" t="n"/>
      <c r="I2708" s="83" t="n"/>
      <c r="J2708" s="83" t="n"/>
      <c r="K2708" s="83" t="n"/>
      <c r="L2708" s="83" t="n"/>
      <c r="M2708" s="83" t="n"/>
      <c r="O2708" s="84" t="str">
        <f>IF($C2708="","",IFERROR(MATCH($B2708&amp;"|"&amp;$C2708,MUROS!$AX$11:$AX$70,0),0))</f>
        <v/>
      </c>
      <c r="P2708" s="84" t="str">
        <f>IF($D2708="","",IF(ISNUMBER(MATCH($D2708,CMB_S,0)),1,IF(ISNUMBER(MATCH($D2708,CMB_G,0)),2,0)))</f>
        <v/>
      </c>
      <c r="Q2708" s="84">
        <f>IF(ISNUMBER($H2708),-$H2708,0)</f>
        <v>0</v>
      </c>
      <c r="R2708" s="84">
        <f>IF(ISNUMBER($I2708),ABS($I2708),0)</f>
        <v>0</v>
      </c>
      <c r="S2708" s="84">
        <f>IF(ISNUMBER($M2708),ABS($M2708),0)</f>
        <v>0</v>
      </c>
      <c r="T2708" s="85" t="n">
        <v>2700</v>
      </c>
    </row>
    <row r="2709">
      <c r="B2709" s="83" t="n"/>
      <c r="C2709" s="83" t="n"/>
      <c r="D2709" s="83" t="n"/>
      <c r="E2709" s="83" t="n"/>
      <c r="F2709" s="83" t="n"/>
      <c r="G2709" s="83" t="n"/>
      <c r="H2709" s="83" t="n"/>
      <c r="I2709" s="83" t="n"/>
      <c r="J2709" s="83" t="n"/>
      <c r="K2709" s="83" t="n"/>
      <c r="L2709" s="83" t="n"/>
      <c r="M2709" s="83" t="n"/>
      <c r="O2709" s="84" t="str">
        <f>IF($C2709="","",IFERROR(MATCH($B2709&amp;"|"&amp;$C2709,MUROS!$AX$11:$AX$70,0),0))</f>
        <v/>
      </c>
      <c r="P2709" s="84" t="str">
        <f>IF($D2709="","",IF(ISNUMBER(MATCH($D2709,CMB_S,0)),1,IF(ISNUMBER(MATCH($D2709,CMB_G,0)),2,0)))</f>
        <v/>
      </c>
      <c r="Q2709" s="84">
        <f>IF(ISNUMBER($H2709),-$H2709,0)</f>
        <v>0</v>
      </c>
      <c r="R2709" s="84">
        <f>IF(ISNUMBER($I2709),ABS($I2709),0)</f>
        <v>0</v>
      </c>
      <c r="S2709" s="84">
        <f>IF(ISNUMBER($M2709),ABS($M2709),0)</f>
        <v>0</v>
      </c>
      <c r="T2709" s="85" t="n">
        <v>2701</v>
      </c>
    </row>
    <row r="2710">
      <c r="B2710" s="83" t="n"/>
      <c r="C2710" s="83" t="n"/>
      <c r="D2710" s="83" t="n"/>
      <c r="E2710" s="83" t="n"/>
      <c r="F2710" s="83" t="n"/>
      <c r="G2710" s="83" t="n"/>
      <c r="H2710" s="83" t="n"/>
      <c r="I2710" s="83" t="n"/>
      <c r="J2710" s="83" t="n"/>
      <c r="K2710" s="83" t="n"/>
      <c r="L2710" s="83" t="n"/>
      <c r="M2710" s="83" t="n"/>
      <c r="O2710" s="84" t="str">
        <f>IF($C2710="","",IFERROR(MATCH($B2710&amp;"|"&amp;$C2710,MUROS!$AX$11:$AX$70,0),0))</f>
        <v/>
      </c>
      <c r="P2710" s="84" t="str">
        <f>IF($D2710="","",IF(ISNUMBER(MATCH($D2710,CMB_S,0)),1,IF(ISNUMBER(MATCH($D2710,CMB_G,0)),2,0)))</f>
        <v/>
      </c>
      <c r="Q2710" s="84">
        <f>IF(ISNUMBER($H2710),-$H2710,0)</f>
        <v>0</v>
      </c>
      <c r="R2710" s="84">
        <f>IF(ISNUMBER($I2710),ABS($I2710),0)</f>
        <v>0</v>
      </c>
      <c r="S2710" s="84">
        <f>IF(ISNUMBER($M2710),ABS($M2710),0)</f>
        <v>0</v>
      </c>
      <c r="T2710" s="85" t="n">
        <v>2702</v>
      </c>
    </row>
    <row r="2711">
      <c r="B2711" s="83" t="n"/>
      <c r="C2711" s="83" t="n"/>
      <c r="D2711" s="83" t="n"/>
      <c r="E2711" s="83" t="n"/>
      <c r="F2711" s="83" t="n"/>
      <c r="G2711" s="83" t="n"/>
      <c r="H2711" s="83" t="n"/>
      <c r="I2711" s="83" t="n"/>
      <c r="J2711" s="83" t="n"/>
      <c r="K2711" s="83" t="n"/>
      <c r="L2711" s="83" t="n"/>
      <c r="M2711" s="83" t="n"/>
      <c r="O2711" s="84" t="str">
        <f>IF($C2711="","",IFERROR(MATCH($B2711&amp;"|"&amp;$C2711,MUROS!$AX$11:$AX$70,0),0))</f>
        <v/>
      </c>
      <c r="P2711" s="84" t="str">
        <f>IF($D2711="","",IF(ISNUMBER(MATCH($D2711,CMB_S,0)),1,IF(ISNUMBER(MATCH($D2711,CMB_G,0)),2,0)))</f>
        <v/>
      </c>
      <c r="Q2711" s="84">
        <f>IF(ISNUMBER($H2711),-$H2711,0)</f>
        <v>0</v>
      </c>
      <c r="R2711" s="84">
        <f>IF(ISNUMBER($I2711),ABS($I2711),0)</f>
        <v>0</v>
      </c>
      <c r="S2711" s="84">
        <f>IF(ISNUMBER($M2711),ABS($M2711),0)</f>
        <v>0</v>
      </c>
      <c r="T2711" s="85" t="n">
        <v>2703</v>
      </c>
    </row>
    <row r="2712">
      <c r="B2712" s="83" t="n"/>
      <c r="C2712" s="83" t="n"/>
      <c r="D2712" s="83" t="n"/>
      <c r="E2712" s="83" t="n"/>
      <c r="F2712" s="83" t="n"/>
      <c r="G2712" s="83" t="n"/>
      <c r="H2712" s="83" t="n"/>
      <c r="I2712" s="83" t="n"/>
      <c r="J2712" s="83" t="n"/>
      <c r="K2712" s="83" t="n"/>
      <c r="L2712" s="83" t="n"/>
      <c r="M2712" s="83" t="n"/>
      <c r="O2712" s="84" t="str">
        <f>IF($C2712="","",IFERROR(MATCH($B2712&amp;"|"&amp;$C2712,MUROS!$AX$11:$AX$70,0),0))</f>
        <v/>
      </c>
      <c r="P2712" s="84" t="str">
        <f>IF($D2712="","",IF(ISNUMBER(MATCH($D2712,CMB_S,0)),1,IF(ISNUMBER(MATCH($D2712,CMB_G,0)),2,0)))</f>
        <v/>
      </c>
      <c r="Q2712" s="84">
        <f>IF(ISNUMBER($H2712),-$H2712,0)</f>
        <v>0</v>
      </c>
      <c r="R2712" s="84">
        <f>IF(ISNUMBER($I2712),ABS($I2712),0)</f>
        <v>0</v>
      </c>
      <c r="S2712" s="84">
        <f>IF(ISNUMBER($M2712),ABS($M2712),0)</f>
        <v>0</v>
      </c>
      <c r="T2712" s="85" t="n">
        <v>2704</v>
      </c>
    </row>
    <row r="2713">
      <c r="B2713" s="83" t="n"/>
      <c r="C2713" s="83" t="n"/>
      <c r="D2713" s="83" t="n"/>
      <c r="E2713" s="83" t="n"/>
      <c r="F2713" s="83" t="n"/>
      <c r="G2713" s="83" t="n"/>
      <c r="H2713" s="83" t="n"/>
      <c r="I2713" s="83" t="n"/>
      <c r="J2713" s="83" t="n"/>
      <c r="K2713" s="83" t="n"/>
      <c r="L2713" s="83" t="n"/>
      <c r="M2713" s="83" t="n"/>
      <c r="O2713" s="84" t="str">
        <f>IF($C2713="","",IFERROR(MATCH($B2713&amp;"|"&amp;$C2713,MUROS!$AX$11:$AX$70,0),0))</f>
        <v/>
      </c>
      <c r="P2713" s="84" t="str">
        <f>IF($D2713="","",IF(ISNUMBER(MATCH($D2713,CMB_S,0)),1,IF(ISNUMBER(MATCH($D2713,CMB_G,0)),2,0)))</f>
        <v/>
      </c>
      <c r="Q2713" s="84">
        <f>IF(ISNUMBER($H2713),-$H2713,0)</f>
        <v>0</v>
      </c>
      <c r="R2713" s="84">
        <f>IF(ISNUMBER($I2713),ABS($I2713),0)</f>
        <v>0</v>
      </c>
      <c r="S2713" s="84">
        <f>IF(ISNUMBER($M2713),ABS($M2713),0)</f>
        <v>0</v>
      </c>
      <c r="T2713" s="85" t="n">
        <v>2705</v>
      </c>
    </row>
    <row r="2714">
      <c r="B2714" s="83" t="n"/>
      <c r="C2714" s="83" t="n"/>
      <c r="D2714" s="83" t="n"/>
      <c r="E2714" s="83" t="n"/>
      <c r="F2714" s="83" t="n"/>
      <c r="G2714" s="83" t="n"/>
      <c r="H2714" s="83" t="n"/>
      <c r="I2714" s="83" t="n"/>
      <c r="J2714" s="83" t="n"/>
      <c r="K2714" s="83" t="n"/>
      <c r="L2714" s="83" t="n"/>
      <c r="M2714" s="83" t="n"/>
      <c r="O2714" s="84" t="str">
        <f>IF($C2714="","",IFERROR(MATCH($B2714&amp;"|"&amp;$C2714,MUROS!$AX$11:$AX$70,0),0))</f>
        <v/>
      </c>
      <c r="P2714" s="84" t="str">
        <f>IF($D2714="","",IF(ISNUMBER(MATCH($D2714,CMB_S,0)),1,IF(ISNUMBER(MATCH($D2714,CMB_G,0)),2,0)))</f>
        <v/>
      </c>
      <c r="Q2714" s="84">
        <f>IF(ISNUMBER($H2714),-$H2714,0)</f>
        <v>0</v>
      </c>
      <c r="R2714" s="84">
        <f>IF(ISNUMBER($I2714),ABS($I2714),0)</f>
        <v>0</v>
      </c>
      <c r="S2714" s="84">
        <f>IF(ISNUMBER($M2714),ABS($M2714),0)</f>
        <v>0</v>
      </c>
      <c r="T2714" s="85" t="n">
        <v>2706</v>
      </c>
    </row>
    <row r="2715">
      <c r="B2715" s="83" t="n"/>
      <c r="C2715" s="83" t="n"/>
      <c r="D2715" s="83" t="n"/>
      <c r="E2715" s="83" t="n"/>
      <c r="F2715" s="83" t="n"/>
      <c r="G2715" s="83" t="n"/>
      <c r="H2715" s="83" t="n"/>
      <c r="I2715" s="83" t="n"/>
      <c r="J2715" s="83" t="n"/>
      <c r="K2715" s="83" t="n"/>
      <c r="L2715" s="83" t="n"/>
      <c r="M2715" s="83" t="n"/>
      <c r="O2715" s="84" t="str">
        <f>IF($C2715="","",IFERROR(MATCH($B2715&amp;"|"&amp;$C2715,MUROS!$AX$11:$AX$70,0),0))</f>
        <v/>
      </c>
      <c r="P2715" s="84" t="str">
        <f>IF($D2715="","",IF(ISNUMBER(MATCH($D2715,CMB_S,0)),1,IF(ISNUMBER(MATCH($D2715,CMB_G,0)),2,0)))</f>
        <v/>
      </c>
      <c r="Q2715" s="84">
        <f>IF(ISNUMBER($H2715),-$H2715,0)</f>
        <v>0</v>
      </c>
      <c r="R2715" s="84">
        <f>IF(ISNUMBER($I2715),ABS($I2715),0)</f>
        <v>0</v>
      </c>
      <c r="S2715" s="84">
        <f>IF(ISNUMBER($M2715),ABS($M2715),0)</f>
        <v>0</v>
      </c>
      <c r="T2715" s="85" t="n">
        <v>2707</v>
      </c>
    </row>
    <row r="2716">
      <c r="B2716" s="83" t="n"/>
      <c r="C2716" s="83" t="n"/>
      <c r="D2716" s="83" t="n"/>
      <c r="E2716" s="83" t="n"/>
      <c r="F2716" s="83" t="n"/>
      <c r="G2716" s="83" t="n"/>
      <c r="H2716" s="83" t="n"/>
      <c r="I2716" s="83" t="n"/>
      <c r="J2716" s="83" t="n"/>
      <c r="K2716" s="83" t="n"/>
      <c r="L2716" s="83" t="n"/>
      <c r="M2716" s="83" t="n"/>
      <c r="O2716" s="84" t="str">
        <f>IF($C2716="","",IFERROR(MATCH($B2716&amp;"|"&amp;$C2716,MUROS!$AX$11:$AX$70,0),0))</f>
        <v/>
      </c>
      <c r="P2716" s="84" t="str">
        <f>IF($D2716="","",IF(ISNUMBER(MATCH($D2716,CMB_S,0)),1,IF(ISNUMBER(MATCH($D2716,CMB_G,0)),2,0)))</f>
        <v/>
      </c>
      <c r="Q2716" s="84">
        <f>IF(ISNUMBER($H2716),-$H2716,0)</f>
        <v>0</v>
      </c>
      <c r="R2716" s="84">
        <f>IF(ISNUMBER($I2716),ABS($I2716),0)</f>
        <v>0</v>
      </c>
      <c r="S2716" s="84">
        <f>IF(ISNUMBER($M2716),ABS($M2716),0)</f>
        <v>0</v>
      </c>
      <c r="T2716" s="85" t="n">
        <v>2708</v>
      </c>
    </row>
    <row r="2717">
      <c r="B2717" s="83" t="n"/>
      <c r="C2717" s="83" t="n"/>
      <c r="D2717" s="83" t="n"/>
      <c r="E2717" s="83" t="n"/>
      <c r="F2717" s="83" t="n"/>
      <c r="G2717" s="83" t="n"/>
      <c r="H2717" s="83" t="n"/>
      <c r="I2717" s="83" t="n"/>
      <c r="J2717" s="83" t="n"/>
      <c r="K2717" s="83" t="n"/>
      <c r="L2717" s="83" t="n"/>
      <c r="M2717" s="83" t="n"/>
      <c r="O2717" s="84" t="str">
        <f>IF($C2717="","",IFERROR(MATCH($B2717&amp;"|"&amp;$C2717,MUROS!$AX$11:$AX$70,0),0))</f>
        <v/>
      </c>
      <c r="P2717" s="84" t="str">
        <f>IF($D2717="","",IF(ISNUMBER(MATCH($D2717,CMB_S,0)),1,IF(ISNUMBER(MATCH($D2717,CMB_G,0)),2,0)))</f>
        <v/>
      </c>
      <c r="Q2717" s="84">
        <f>IF(ISNUMBER($H2717),-$H2717,0)</f>
        <v>0</v>
      </c>
      <c r="R2717" s="84">
        <f>IF(ISNUMBER($I2717),ABS($I2717),0)</f>
        <v>0</v>
      </c>
      <c r="S2717" s="84">
        <f>IF(ISNUMBER($M2717),ABS($M2717),0)</f>
        <v>0</v>
      </c>
      <c r="T2717" s="85" t="n">
        <v>2709</v>
      </c>
    </row>
    <row r="2718">
      <c r="B2718" s="83" t="n"/>
      <c r="C2718" s="83" t="n"/>
      <c r="D2718" s="83" t="n"/>
      <c r="E2718" s="83" t="n"/>
      <c r="F2718" s="83" t="n"/>
      <c r="G2718" s="83" t="n"/>
      <c r="H2718" s="83" t="n"/>
      <c r="I2718" s="83" t="n"/>
      <c r="J2718" s="83" t="n"/>
      <c r="K2718" s="83" t="n"/>
      <c r="L2718" s="83" t="n"/>
      <c r="M2718" s="83" t="n"/>
      <c r="O2718" s="84" t="str">
        <f>IF($C2718="","",IFERROR(MATCH($B2718&amp;"|"&amp;$C2718,MUROS!$AX$11:$AX$70,0),0))</f>
        <v/>
      </c>
      <c r="P2718" s="84" t="str">
        <f>IF($D2718="","",IF(ISNUMBER(MATCH($D2718,CMB_S,0)),1,IF(ISNUMBER(MATCH($D2718,CMB_G,0)),2,0)))</f>
        <v/>
      </c>
      <c r="Q2718" s="84">
        <f>IF(ISNUMBER($H2718),-$H2718,0)</f>
        <v>0</v>
      </c>
      <c r="R2718" s="84">
        <f>IF(ISNUMBER($I2718),ABS($I2718),0)</f>
        <v>0</v>
      </c>
      <c r="S2718" s="84">
        <f>IF(ISNUMBER($M2718),ABS($M2718),0)</f>
        <v>0</v>
      </c>
      <c r="T2718" s="85" t="n">
        <v>2710</v>
      </c>
    </row>
    <row r="2719">
      <c r="B2719" s="83" t="n"/>
      <c r="C2719" s="83" t="n"/>
      <c r="D2719" s="83" t="n"/>
      <c r="E2719" s="83" t="n"/>
      <c r="F2719" s="83" t="n"/>
      <c r="G2719" s="83" t="n"/>
      <c r="H2719" s="83" t="n"/>
      <c r="I2719" s="83" t="n"/>
      <c r="J2719" s="83" t="n"/>
      <c r="K2719" s="83" t="n"/>
      <c r="L2719" s="83" t="n"/>
      <c r="M2719" s="83" t="n"/>
      <c r="O2719" s="84" t="str">
        <f>IF($C2719="","",IFERROR(MATCH($B2719&amp;"|"&amp;$C2719,MUROS!$AX$11:$AX$70,0),0))</f>
        <v/>
      </c>
      <c r="P2719" s="84" t="str">
        <f>IF($D2719="","",IF(ISNUMBER(MATCH($D2719,CMB_S,0)),1,IF(ISNUMBER(MATCH($D2719,CMB_G,0)),2,0)))</f>
        <v/>
      </c>
      <c r="Q2719" s="84">
        <f>IF(ISNUMBER($H2719),-$H2719,0)</f>
        <v>0</v>
      </c>
      <c r="R2719" s="84">
        <f>IF(ISNUMBER($I2719),ABS($I2719),0)</f>
        <v>0</v>
      </c>
      <c r="S2719" s="84">
        <f>IF(ISNUMBER($M2719),ABS($M2719),0)</f>
        <v>0</v>
      </c>
      <c r="T2719" s="85" t="n">
        <v>2711</v>
      </c>
    </row>
    <row r="2720">
      <c r="B2720" s="83" t="n"/>
      <c r="C2720" s="83" t="n"/>
      <c r="D2720" s="83" t="n"/>
      <c r="E2720" s="83" t="n"/>
      <c r="F2720" s="83" t="n"/>
      <c r="G2720" s="83" t="n"/>
      <c r="H2720" s="83" t="n"/>
      <c r="I2720" s="83" t="n"/>
      <c r="J2720" s="83" t="n"/>
      <c r="K2720" s="83" t="n"/>
      <c r="L2720" s="83" t="n"/>
      <c r="M2720" s="83" t="n"/>
      <c r="O2720" s="84" t="str">
        <f>IF($C2720="","",IFERROR(MATCH($B2720&amp;"|"&amp;$C2720,MUROS!$AX$11:$AX$70,0),0))</f>
        <v/>
      </c>
      <c r="P2720" s="84" t="str">
        <f>IF($D2720="","",IF(ISNUMBER(MATCH($D2720,CMB_S,0)),1,IF(ISNUMBER(MATCH($D2720,CMB_G,0)),2,0)))</f>
        <v/>
      </c>
      <c r="Q2720" s="84">
        <f>IF(ISNUMBER($H2720),-$H2720,0)</f>
        <v>0</v>
      </c>
      <c r="R2720" s="84">
        <f>IF(ISNUMBER($I2720),ABS($I2720),0)</f>
        <v>0</v>
      </c>
      <c r="S2720" s="84">
        <f>IF(ISNUMBER($M2720),ABS($M2720),0)</f>
        <v>0</v>
      </c>
      <c r="T2720" s="85" t="n">
        <v>2712</v>
      </c>
    </row>
    <row r="2721">
      <c r="B2721" s="83" t="n"/>
      <c r="C2721" s="83" t="n"/>
      <c r="D2721" s="83" t="n"/>
      <c r="E2721" s="83" t="n"/>
      <c r="F2721" s="83" t="n"/>
      <c r="G2721" s="83" t="n"/>
      <c r="H2721" s="83" t="n"/>
      <c r="I2721" s="83" t="n"/>
      <c r="J2721" s="83" t="n"/>
      <c r="K2721" s="83" t="n"/>
      <c r="L2721" s="83" t="n"/>
      <c r="M2721" s="83" t="n"/>
      <c r="O2721" s="84" t="str">
        <f>IF($C2721="","",IFERROR(MATCH($B2721&amp;"|"&amp;$C2721,MUROS!$AX$11:$AX$70,0),0))</f>
        <v/>
      </c>
      <c r="P2721" s="84" t="str">
        <f>IF($D2721="","",IF(ISNUMBER(MATCH($D2721,CMB_S,0)),1,IF(ISNUMBER(MATCH($D2721,CMB_G,0)),2,0)))</f>
        <v/>
      </c>
      <c r="Q2721" s="84">
        <f>IF(ISNUMBER($H2721),-$H2721,0)</f>
        <v>0</v>
      </c>
      <c r="R2721" s="84">
        <f>IF(ISNUMBER($I2721),ABS($I2721),0)</f>
        <v>0</v>
      </c>
      <c r="S2721" s="84">
        <f>IF(ISNUMBER($M2721),ABS($M2721),0)</f>
        <v>0</v>
      </c>
      <c r="T2721" s="85" t="n">
        <v>2713</v>
      </c>
    </row>
    <row r="2722">
      <c r="B2722" s="83" t="n"/>
      <c r="C2722" s="83" t="n"/>
      <c r="D2722" s="83" t="n"/>
      <c r="E2722" s="83" t="n"/>
      <c r="F2722" s="83" t="n"/>
      <c r="G2722" s="83" t="n"/>
      <c r="H2722" s="83" t="n"/>
      <c r="I2722" s="83" t="n"/>
      <c r="J2722" s="83" t="n"/>
      <c r="K2722" s="83" t="n"/>
      <c r="L2722" s="83" t="n"/>
      <c r="M2722" s="83" t="n"/>
      <c r="O2722" s="84" t="str">
        <f>IF($C2722="","",IFERROR(MATCH($B2722&amp;"|"&amp;$C2722,MUROS!$AX$11:$AX$70,0),0))</f>
        <v/>
      </c>
      <c r="P2722" s="84" t="str">
        <f>IF($D2722="","",IF(ISNUMBER(MATCH($D2722,CMB_S,0)),1,IF(ISNUMBER(MATCH($D2722,CMB_G,0)),2,0)))</f>
        <v/>
      </c>
      <c r="Q2722" s="84">
        <f>IF(ISNUMBER($H2722),-$H2722,0)</f>
        <v>0</v>
      </c>
      <c r="R2722" s="84">
        <f>IF(ISNUMBER($I2722),ABS($I2722),0)</f>
        <v>0</v>
      </c>
      <c r="S2722" s="84">
        <f>IF(ISNUMBER($M2722),ABS($M2722),0)</f>
        <v>0</v>
      </c>
      <c r="T2722" s="85" t="n">
        <v>2714</v>
      </c>
    </row>
    <row r="2723">
      <c r="B2723" s="83" t="n"/>
      <c r="C2723" s="83" t="n"/>
      <c r="D2723" s="83" t="n"/>
      <c r="E2723" s="83" t="n"/>
      <c r="F2723" s="83" t="n"/>
      <c r="G2723" s="83" t="n"/>
      <c r="H2723" s="83" t="n"/>
      <c r="I2723" s="83" t="n"/>
      <c r="J2723" s="83" t="n"/>
      <c r="K2723" s="83" t="n"/>
      <c r="L2723" s="83" t="n"/>
      <c r="M2723" s="83" t="n"/>
      <c r="O2723" s="84" t="str">
        <f>IF($C2723="","",IFERROR(MATCH($B2723&amp;"|"&amp;$C2723,MUROS!$AX$11:$AX$70,0),0))</f>
        <v/>
      </c>
      <c r="P2723" s="84" t="str">
        <f>IF($D2723="","",IF(ISNUMBER(MATCH($D2723,CMB_S,0)),1,IF(ISNUMBER(MATCH($D2723,CMB_G,0)),2,0)))</f>
        <v/>
      </c>
      <c r="Q2723" s="84">
        <f>IF(ISNUMBER($H2723),-$H2723,0)</f>
        <v>0</v>
      </c>
      <c r="R2723" s="84">
        <f>IF(ISNUMBER($I2723),ABS($I2723),0)</f>
        <v>0</v>
      </c>
      <c r="S2723" s="84">
        <f>IF(ISNUMBER($M2723),ABS($M2723),0)</f>
        <v>0</v>
      </c>
      <c r="T2723" s="85" t="n">
        <v>2715</v>
      </c>
    </row>
    <row r="2724">
      <c r="B2724" s="83" t="n"/>
      <c r="C2724" s="83" t="n"/>
      <c r="D2724" s="83" t="n"/>
      <c r="E2724" s="83" t="n"/>
      <c r="F2724" s="83" t="n"/>
      <c r="G2724" s="83" t="n"/>
      <c r="H2724" s="83" t="n"/>
      <c r="I2724" s="83" t="n"/>
      <c r="J2724" s="83" t="n"/>
      <c r="K2724" s="83" t="n"/>
      <c r="L2724" s="83" t="n"/>
      <c r="M2724" s="83" t="n"/>
      <c r="O2724" s="84" t="str">
        <f>IF($C2724="","",IFERROR(MATCH($B2724&amp;"|"&amp;$C2724,MUROS!$AX$11:$AX$70,0),0))</f>
        <v/>
      </c>
      <c r="P2724" s="84" t="str">
        <f>IF($D2724="","",IF(ISNUMBER(MATCH($D2724,CMB_S,0)),1,IF(ISNUMBER(MATCH($D2724,CMB_G,0)),2,0)))</f>
        <v/>
      </c>
      <c r="Q2724" s="84">
        <f>IF(ISNUMBER($H2724),-$H2724,0)</f>
        <v>0</v>
      </c>
      <c r="R2724" s="84">
        <f>IF(ISNUMBER($I2724),ABS($I2724),0)</f>
        <v>0</v>
      </c>
      <c r="S2724" s="84">
        <f>IF(ISNUMBER($M2724),ABS($M2724),0)</f>
        <v>0</v>
      </c>
      <c r="T2724" s="85" t="n">
        <v>2716</v>
      </c>
    </row>
    <row r="2725">
      <c r="B2725" s="83" t="n"/>
      <c r="C2725" s="83" t="n"/>
      <c r="D2725" s="83" t="n"/>
      <c r="E2725" s="83" t="n"/>
      <c r="F2725" s="83" t="n"/>
      <c r="G2725" s="83" t="n"/>
      <c r="H2725" s="83" t="n"/>
      <c r="I2725" s="83" t="n"/>
      <c r="J2725" s="83" t="n"/>
      <c r="K2725" s="83" t="n"/>
      <c r="L2725" s="83" t="n"/>
      <c r="M2725" s="83" t="n"/>
      <c r="O2725" s="84" t="str">
        <f>IF($C2725="","",IFERROR(MATCH($B2725&amp;"|"&amp;$C2725,MUROS!$AX$11:$AX$70,0),0))</f>
        <v/>
      </c>
      <c r="P2725" s="84" t="str">
        <f>IF($D2725="","",IF(ISNUMBER(MATCH($D2725,CMB_S,0)),1,IF(ISNUMBER(MATCH($D2725,CMB_G,0)),2,0)))</f>
        <v/>
      </c>
      <c r="Q2725" s="84">
        <f>IF(ISNUMBER($H2725),-$H2725,0)</f>
        <v>0</v>
      </c>
      <c r="R2725" s="84">
        <f>IF(ISNUMBER($I2725),ABS($I2725),0)</f>
        <v>0</v>
      </c>
      <c r="S2725" s="84">
        <f>IF(ISNUMBER($M2725),ABS($M2725),0)</f>
        <v>0</v>
      </c>
      <c r="T2725" s="85" t="n">
        <v>2717</v>
      </c>
    </row>
    <row r="2726">
      <c r="B2726" s="83" t="n"/>
      <c r="C2726" s="83" t="n"/>
      <c r="D2726" s="83" t="n"/>
      <c r="E2726" s="83" t="n"/>
      <c r="F2726" s="83" t="n"/>
      <c r="G2726" s="83" t="n"/>
      <c r="H2726" s="83" t="n"/>
      <c r="I2726" s="83" t="n"/>
      <c r="J2726" s="83" t="n"/>
      <c r="K2726" s="83" t="n"/>
      <c r="L2726" s="83" t="n"/>
      <c r="M2726" s="83" t="n"/>
      <c r="O2726" s="84" t="str">
        <f>IF($C2726="","",IFERROR(MATCH($B2726&amp;"|"&amp;$C2726,MUROS!$AX$11:$AX$70,0),0))</f>
        <v/>
      </c>
      <c r="P2726" s="84" t="str">
        <f>IF($D2726="","",IF(ISNUMBER(MATCH($D2726,CMB_S,0)),1,IF(ISNUMBER(MATCH($D2726,CMB_G,0)),2,0)))</f>
        <v/>
      </c>
      <c r="Q2726" s="84">
        <f>IF(ISNUMBER($H2726),-$H2726,0)</f>
        <v>0</v>
      </c>
      <c r="R2726" s="84">
        <f>IF(ISNUMBER($I2726),ABS($I2726),0)</f>
        <v>0</v>
      </c>
      <c r="S2726" s="84">
        <f>IF(ISNUMBER($M2726),ABS($M2726),0)</f>
        <v>0</v>
      </c>
      <c r="T2726" s="85" t="n">
        <v>2718</v>
      </c>
    </row>
    <row r="2727">
      <c r="B2727" s="83" t="n"/>
      <c r="C2727" s="83" t="n"/>
      <c r="D2727" s="83" t="n"/>
      <c r="E2727" s="83" t="n"/>
      <c r="F2727" s="83" t="n"/>
      <c r="G2727" s="83" t="n"/>
      <c r="H2727" s="83" t="n"/>
      <c r="I2727" s="83" t="n"/>
      <c r="J2727" s="83" t="n"/>
      <c r="K2727" s="83" t="n"/>
      <c r="L2727" s="83" t="n"/>
      <c r="M2727" s="83" t="n"/>
      <c r="O2727" s="84" t="str">
        <f>IF($C2727="","",IFERROR(MATCH($B2727&amp;"|"&amp;$C2727,MUROS!$AX$11:$AX$70,0),0))</f>
        <v/>
      </c>
      <c r="P2727" s="84" t="str">
        <f>IF($D2727="","",IF(ISNUMBER(MATCH($D2727,CMB_S,0)),1,IF(ISNUMBER(MATCH($D2727,CMB_G,0)),2,0)))</f>
        <v/>
      </c>
      <c r="Q2727" s="84">
        <f>IF(ISNUMBER($H2727),-$H2727,0)</f>
        <v>0</v>
      </c>
      <c r="R2727" s="84">
        <f>IF(ISNUMBER($I2727),ABS($I2727),0)</f>
        <v>0</v>
      </c>
      <c r="S2727" s="84">
        <f>IF(ISNUMBER($M2727),ABS($M2727),0)</f>
        <v>0</v>
      </c>
      <c r="T2727" s="85" t="n">
        <v>2719</v>
      </c>
    </row>
    <row r="2728">
      <c r="B2728" s="83" t="n"/>
      <c r="C2728" s="83" t="n"/>
      <c r="D2728" s="83" t="n"/>
      <c r="E2728" s="83" t="n"/>
      <c r="F2728" s="83" t="n"/>
      <c r="G2728" s="83" t="n"/>
      <c r="H2728" s="83" t="n"/>
      <c r="I2728" s="83" t="n"/>
      <c r="J2728" s="83" t="n"/>
      <c r="K2728" s="83" t="n"/>
      <c r="L2728" s="83" t="n"/>
      <c r="M2728" s="83" t="n"/>
      <c r="O2728" s="84" t="str">
        <f>IF($C2728="","",IFERROR(MATCH($B2728&amp;"|"&amp;$C2728,MUROS!$AX$11:$AX$70,0),0))</f>
        <v/>
      </c>
      <c r="P2728" s="84" t="str">
        <f>IF($D2728="","",IF(ISNUMBER(MATCH($D2728,CMB_S,0)),1,IF(ISNUMBER(MATCH($D2728,CMB_G,0)),2,0)))</f>
        <v/>
      </c>
      <c r="Q2728" s="84">
        <f>IF(ISNUMBER($H2728),-$H2728,0)</f>
        <v>0</v>
      </c>
      <c r="R2728" s="84">
        <f>IF(ISNUMBER($I2728),ABS($I2728),0)</f>
        <v>0</v>
      </c>
      <c r="S2728" s="84">
        <f>IF(ISNUMBER($M2728),ABS($M2728),0)</f>
        <v>0</v>
      </c>
      <c r="T2728" s="85" t="n">
        <v>2720</v>
      </c>
    </row>
    <row r="2729">
      <c r="B2729" s="83" t="n"/>
      <c r="C2729" s="83" t="n"/>
      <c r="D2729" s="83" t="n"/>
      <c r="E2729" s="83" t="n"/>
      <c r="F2729" s="83" t="n"/>
      <c r="G2729" s="83" t="n"/>
      <c r="H2729" s="83" t="n"/>
      <c r="I2729" s="83" t="n"/>
      <c r="J2729" s="83" t="n"/>
      <c r="K2729" s="83" t="n"/>
      <c r="L2729" s="83" t="n"/>
      <c r="M2729" s="83" t="n"/>
      <c r="O2729" s="84" t="str">
        <f>IF($C2729="","",IFERROR(MATCH($B2729&amp;"|"&amp;$C2729,MUROS!$AX$11:$AX$70,0),0))</f>
        <v/>
      </c>
      <c r="P2729" s="84" t="str">
        <f>IF($D2729="","",IF(ISNUMBER(MATCH($D2729,CMB_S,0)),1,IF(ISNUMBER(MATCH($D2729,CMB_G,0)),2,0)))</f>
        <v/>
      </c>
      <c r="Q2729" s="84">
        <f>IF(ISNUMBER($H2729),-$H2729,0)</f>
        <v>0</v>
      </c>
      <c r="R2729" s="84">
        <f>IF(ISNUMBER($I2729),ABS($I2729),0)</f>
        <v>0</v>
      </c>
      <c r="S2729" s="84">
        <f>IF(ISNUMBER($M2729),ABS($M2729),0)</f>
        <v>0</v>
      </c>
      <c r="T2729" s="85" t="n">
        <v>2721</v>
      </c>
    </row>
    <row r="2730">
      <c r="B2730" s="83" t="n"/>
      <c r="C2730" s="83" t="n"/>
      <c r="D2730" s="83" t="n"/>
      <c r="E2730" s="83" t="n"/>
      <c r="F2730" s="83" t="n"/>
      <c r="G2730" s="83" t="n"/>
      <c r="H2730" s="83" t="n"/>
      <c r="I2730" s="83" t="n"/>
      <c r="J2730" s="83" t="n"/>
      <c r="K2730" s="83" t="n"/>
      <c r="L2730" s="83" t="n"/>
      <c r="M2730" s="83" t="n"/>
      <c r="O2730" s="84" t="str">
        <f>IF($C2730="","",IFERROR(MATCH($B2730&amp;"|"&amp;$C2730,MUROS!$AX$11:$AX$70,0),0))</f>
        <v/>
      </c>
      <c r="P2730" s="84" t="str">
        <f>IF($D2730="","",IF(ISNUMBER(MATCH($D2730,CMB_S,0)),1,IF(ISNUMBER(MATCH($D2730,CMB_G,0)),2,0)))</f>
        <v/>
      </c>
      <c r="Q2730" s="84">
        <f>IF(ISNUMBER($H2730),-$H2730,0)</f>
        <v>0</v>
      </c>
      <c r="R2730" s="84">
        <f>IF(ISNUMBER($I2730),ABS($I2730),0)</f>
        <v>0</v>
      </c>
      <c r="S2730" s="84">
        <f>IF(ISNUMBER($M2730),ABS($M2730),0)</f>
        <v>0</v>
      </c>
      <c r="T2730" s="85" t="n">
        <v>2722</v>
      </c>
    </row>
    <row r="2731">
      <c r="B2731" s="83" t="n"/>
      <c r="C2731" s="83" t="n"/>
      <c r="D2731" s="83" t="n"/>
      <c r="E2731" s="83" t="n"/>
      <c r="F2731" s="83" t="n"/>
      <c r="G2731" s="83" t="n"/>
      <c r="H2731" s="83" t="n"/>
      <c r="I2731" s="83" t="n"/>
      <c r="J2731" s="83" t="n"/>
      <c r="K2731" s="83" t="n"/>
      <c r="L2731" s="83" t="n"/>
      <c r="M2731" s="83" t="n"/>
      <c r="O2731" s="84" t="str">
        <f>IF($C2731="","",IFERROR(MATCH($B2731&amp;"|"&amp;$C2731,MUROS!$AX$11:$AX$70,0),0))</f>
        <v/>
      </c>
      <c r="P2731" s="84" t="str">
        <f>IF($D2731="","",IF(ISNUMBER(MATCH($D2731,CMB_S,0)),1,IF(ISNUMBER(MATCH($D2731,CMB_G,0)),2,0)))</f>
        <v/>
      </c>
      <c r="Q2731" s="84">
        <f>IF(ISNUMBER($H2731),-$H2731,0)</f>
        <v>0</v>
      </c>
      <c r="R2731" s="84">
        <f>IF(ISNUMBER($I2731),ABS($I2731),0)</f>
        <v>0</v>
      </c>
      <c r="S2731" s="84">
        <f>IF(ISNUMBER($M2731),ABS($M2731),0)</f>
        <v>0</v>
      </c>
      <c r="T2731" s="85" t="n">
        <v>2723</v>
      </c>
    </row>
    <row r="2732">
      <c r="B2732" s="83" t="n"/>
      <c r="C2732" s="83" t="n"/>
      <c r="D2732" s="83" t="n"/>
      <c r="E2732" s="83" t="n"/>
      <c r="F2732" s="83" t="n"/>
      <c r="G2732" s="83" t="n"/>
      <c r="H2732" s="83" t="n"/>
      <c r="I2732" s="83" t="n"/>
      <c r="J2732" s="83" t="n"/>
      <c r="K2732" s="83" t="n"/>
      <c r="L2732" s="83" t="n"/>
      <c r="M2732" s="83" t="n"/>
      <c r="O2732" s="84" t="str">
        <f>IF($C2732="","",IFERROR(MATCH($B2732&amp;"|"&amp;$C2732,MUROS!$AX$11:$AX$70,0),0))</f>
        <v/>
      </c>
      <c r="P2732" s="84" t="str">
        <f>IF($D2732="","",IF(ISNUMBER(MATCH($D2732,CMB_S,0)),1,IF(ISNUMBER(MATCH($D2732,CMB_G,0)),2,0)))</f>
        <v/>
      </c>
      <c r="Q2732" s="84">
        <f>IF(ISNUMBER($H2732),-$H2732,0)</f>
        <v>0</v>
      </c>
      <c r="R2732" s="84">
        <f>IF(ISNUMBER($I2732),ABS($I2732),0)</f>
        <v>0</v>
      </c>
      <c r="S2732" s="84">
        <f>IF(ISNUMBER($M2732),ABS($M2732),0)</f>
        <v>0</v>
      </c>
      <c r="T2732" s="85" t="n">
        <v>2724</v>
      </c>
    </row>
    <row r="2733">
      <c r="B2733" s="83" t="n"/>
      <c r="C2733" s="83" t="n"/>
      <c r="D2733" s="83" t="n"/>
      <c r="E2733" s="83" t="n"/>
      <c r="F2733" s="83" t="n"/>
      <c r="G2733" s="83" t="n"/>
      <c r="H2733" s="83" t="n"/>
      <c r="I2733" s="83" t="n"/>
      <c r="J2733" s="83" t="n"/>
      <c r="K2733" s="83" t="n"/>
      <c r="L2733" s="83" t="n"/>
      <c r="M2733" s="83" t="n"/>
      <c r="O2733" s="84" t="str">
        <f>IF($C2733="","",IFERROR(MATCH($B2733&amp;"|"&amp;$C2733,MUROS!$AX$11:$AX$70,0),0))</f>
        <v/>
      </c>
      <c r="P2733" s="84" t="str">
        <f>IF($D2733="","",IF(ISNUMBER(MATCH($D2733,CMB_S,0)),1,IF(ISNUMBER(MATCH($D2733,CMB_G,0)),2,0)))</f>
        <v/>
      </c>
      <c r="Q2733" s="84">
        <f>IF(ISNUMBER($H2733),-$H2733,0)</f>
        <v>0</v>
      </c>
      <c r="R2733" s="84">
        <f>IF(ISNUMBER($I2733),ABS($I2733),0)</f>
        <v>0</v>
      </c>
      <c r="S2733" s="84">
        <f>IF(ISNUMBER($M2733),ABS($M2733),0)</f>
        <v>0</v>
      </c>
      <c r="T2733" s="85" t="n">
        <v>2725</v>
      </c>
    </row>
    <row r="2734">
      <c r="B2734" s="83" t="n"/>
      <c r="C2734" s="83" t="n"/>
      <c r="D2734" s="83" t="n"/>
      <c r="E2734" s="83" t="n"/>
      <c r="F2734" s="83" t="n"/>
      <c r="G2734" s="83" t="n"/>
      <c r="H2734" s="83" t="n"/>
      <c r="I2734" s="83" t="n"/>
      <c r="J2734" s="83" t="n"/>
      <c r="K2734" s="83" t="n"/>
      <c r="L2734" s="83" t="n"/>
      <c r="M2734" s="83" t="n"/>
      <c r="O2734" s="84" t="str">
        <f>IF($C2734="","",IFERROR(MATCH($B2734&amp;"|"&amp;$C2734,MUROS!$AX$11:$AX$70,0),0))</f>
        <v/>
      </c>
      <c r="P2734" s="84" t="str">
        <f>IF($D2734="","",IF(ISNUMBER(MATCH($D2734,CMB_S,0)),1,IF(ISNUMBER(MATCH($D2734,CMB_G,0)),2,0)))</f>
        <v/>
      </c>
      <c r="Q2734" s="84">
        <f>IF(ISNUMBER($H2734),-$H2734,0)</f>
        <v>0</v>
      </c>
      <c r="R2734" s="84">
        <f>IF(ISNUMBER($I2734),ABS($I2734),0)</f>
        <v>0</v>
      </c>
      <c r="S2734" s="84">
        <f>IF(ISNUMBER($M2734),ABS($M2734),0)</f>
        <v>0</v>
      </c>
      <c r="T2734" s="85" t="n">
        <v>2726</v>
      </c>
    </row>
    <row r="2735">
      <c r="B2735" s="83" t="n"/>
      <c r="C2735" s="83" t="n"/>
      <c r="D2735" s="83" t="n"/>
      <c r="E2735" s="83" t="n"/>
      <c r="F2735" s="83" t="n"/>
      <c r="G2735" s="83" t="n"/>
      <c r="H2735" s="83" t="n"/>
      <c r="I2735" s="83" t="n"/>
      <c r="J2735" s="83" t="n"/>
      <c r="K2735" s="83" t="n"/>
      <c r="L2735" s="83" t="n"/>
      <c r="M2735" s="83" t="n"/>
      <c r="O2735" s="84" t="str">
        <f>IF($C2735="","",IFERROR(MATCH($B2735&amp;"|"&amp;$C2735,MUROS!$AX$11:$AX$70,0),0))</f>
        <v/>
      </c>
      <c r="P2735" s="84" t="str">
        <f>IF($D2735="","",IF(ISNUMBER(MATCH($D2735,CMB_S,0)),1,IF(ISNUMBER(MATCH($D2735,CMB_G,0)),2,0)))</f>
        <v/>
      </c>
      <c r="Q2735" s="84">
        <f>IF(ISNUMBER($H2735),-$H2735,0)</f>
        <v>0</v>
      </c>
      <c r="R2735" s="84">
        <f>IF(ISNUMBER($I2735),ABS($I2735),0)</f>
        <v>0</v>
      </c>
      <c r="S2735" s="84">
        <f>IF(ISNUMBER($M2735),ABS($M2735),0)</f>
        <v>0</v>
      </c>
      <c r="T2735" s="85" t="n">
        <v>2727</v>
      </c>
    </row>
    <row r="2736">
      <c r="B2736" s="83" t="n"/>
      <c r="C2736" s="83" t="n"/>
      <c r="D2736" s="83" t="n"/>
      <c r="E2736" s="83" t="n"/>
      <c r="F2736" s="83" t="n"/>
      <c r="G2736" s="83" t="n"/>
      <c r="H2736" s="83" t="n"/>
      <c r="I2736" s="83" t="n"/>
      <c r="J2736" s="83" t="n"/>
      <c r="K2736" s="83" t="n"/>
      <c r="L2736" s="83" t="n"/>
      <c r="M2736" s="83" t="n"/>
      <c r="O2736" s="84" t="str">
        <f>IF($C2736="","",IFERROR(MATCH($B2736&amp;"|"&amp;$C2736,MUROS!$AX$11:$AX$70,0),0))</f>
        <v/>
      </c>
      <c r="P2736" s="84" t="str">
        <f>IF($D2736="","",IF(ISNUMBER(MATCH($D2736,CMB_S,0)),1,IF(ISNUMBER(MATCH($D2736,CMB_G,0)),2,0)))</f>
        <v/>
      </c>
      <c r="Q2736" s="84">
        <f>IF(ISNUMBER($H2736),-$H2736,0)</f>
        <v>0</v>
      </c>
      <c r="R2736" s="84">
        <f>IF(ISNUMBER($I2736),ABS($I2736),0)</f>
        <v>0</v>
      </c>
      <c r="S2736" s="84">
        <f>IF(ISNUMBER($M2736),ABS($M2736),0)</f>
        <v>0</v>
      </c>
      <c r="T2736" s="85" t="n">
        <v>2728</v>
      </c>
    </row>
    <row r="2737">
      <c r="B2737" s="83" t="n"/>
      <c r="C2737" s="83" t="n"/>
      <c r="D2737" s="83" t="n"/>
      <c r="E2737" s="83" t="n"/>
      <c r="F2737" s="83" t="n"/>
      <c r="G2737" s="83" t="n"/>
      <c r="H2737" s="83" t="n"/>
      <c r="I2737" s="83" t="n"/>
      <c r="J2737" s="83" t="n"/>
      <c r="K2737" s="83" t="n"/>
      <c r="L2737" s="83" t="n"/>
      <c r="M2737" s="83" t="n"/>
      <c r="O2737" s="84" t="str">
        <f>IF($C2737="","",IFERROR(MATCH($B2737&amp;"|"&amp;$C2737,MUROS!$AX$11:$AX$70,0),0))</f>
        <v/>
      </c>
      <c r="P2737" s="84" t="str">
        <f>IF($D2737="","",IF(ISNUMBER(MATCH($D2737,CMB_S,0)),1,IF(ISNUMBER(MATCH($D2737,CMB_G,0)),2,0)))</f>
        <v/>
      </c>
      <c r="Q2737" s="84">
        <f>IF(ISNUMBER($H2737),-$H2737,0)</f>
        <v>0</v>
      </c>
      <c r="R2737" s="84">
        <f>IF(ISNUMBER($I2737),ABS($I2737),0)</f>
        <v>0</v>
      </c>
      <c r="S2737" s="84">
        <f>IF(ISNUMBER($M2737),ABS($M2737),0)</f>
        <v>0</v>
      </c>
      <c r="T2737" s="85" t="n">
        <v>2729</v>
      </c>
    </row>
    <row r="2738">
      <c r="B2738" s="83" t="n"/>
      <c r="C2738" s="83" t="n"/>
      <c r="D2738" s="83" t="n"/>
      <c r="E2738" s="83" t="n"/>
      <c r="F2738" s="83" t="n"/>
      <c r="G2738" s="83" t="n"/>
      <c r="H2738" s="83" t="n"/>
      <c r="I2738" s="83" t="n"/>
      <c r="J2738" s="83" t="n"/>
      <c r="K2738" s="83" t="n"/>
      <c r="L2738" s="83" t="n"/>
      <c r="M2738" s="83" t="n"/>
      <c r="O2738" s="84" t="str">
        <f>IF($C2738="","",IFERROR(MATCH($B2738&amp;"|"&amp;$C2738,MUROS!$AX$11:$AX$70,0),0))</f>
        <v/>
      </c>
      <c r="P2738" s="84" t="str">
        <f>IF($D2738="","",IF(ISNUMBER(MATCH($D2738,CMB_S,0)),1,IF(ISNUMBER(MATCH($D2738,CMB_G,0)),2,0)))</f>
        <v/>
      </c>
      <c r="Q2738" s="84">
        <f>IF(ISNUMBER($H2738),-$H2738,0)</f>
        <v>0</v>
      </c>
      <c r="R2738" s="84">
        <f>IF(ISNUMBER($I2738),ABS($I2738),0)</f>
        <v>0</v>
      </c>
      <c r="S2738" s="84">
        <f>IF(ISNUMBER($M2738),ABS($M2738),0)</f>
        <v>0</v>
      </c>
      <c r="T2738" s="85" t="n">
        <v>2730</v>
      </c>
    </row>
    <row r="2739">
      <c r="B2739" s="83" t="n"/>
      <c r="C2739" s="83" t="n"/>
      <c r="D2739" s="83" t="n"/>
      <c r="E2739" s="83" t="n"/>
      <c r="F2739" s="83" t="n"/>
      <c r="G2739" s="83" t="n"/>
      <c r="H2739" s="83" t="n"/>
      <c r="I2739" s="83" t="n"/>
      <c r="J2739" s="83" t="n"/>
      <c r="K2739" s="83" t="n"/>
      <c r="L2739" s="83" t="n"/>
      <c r="M2739" s="83" t="n"/>
      <c r="O2739" s="84" t="str">
        <f>IF($C2739="","",IFERROR(MATCH($B2739&amp;"|"&amp;$C2739,MUROS!$AX$11:$AX$70,0),0))</f>
        <v/>
      </c>
      <c r="P2739" s="84" t="str">
        <f>IF($D2739="","",IF(ISNUMBER(MATCH($D2739,CMB_S,0)),1,IF(ISNUMBER(MATCH($D2739,CMB_G,0)),2,0)))</f>
        <v/>
      </c>
      <c r="Q2739" s="84">
        <f>IF(ISNUMBER($H2739),-$H2739,0)</f>
        <v>0</v>
      </c>
      <c r="R2739" s="84">
        <f>IF(ISNUMBER($I2739),ABS($I2739),0)</f>
        <v>0</v>
      </c>
      <c r="S2739" s="84">
        <f>IF(ISNUMBER($M2739),ABS($M2739),0)</f>
        <v>0</v>
      </c>
      <c r="T2739" s="85" t="n">
        <v>2731</v>
      </c>
    </row>
    <row r="2740">
      <c r="B2740" s="83" t="n"/>
      <c r="C2740" s="83" t="n"/>
      <c r="D2740" s="83" t="n"/>
      <c r="E2740" s="83" t="n"/>
      <c r="F2740" s="83" t="n"/>
      <c r="G2740" s="83" t="n"/>
      <c r="H2740" s="83" t="n"/>
      <c r="I2740" s="83" t="n"/>
      <c r="J2740" s="83" t="n"/>
      <c r="K2740" s="83" t="n"/>
      <c r="L2740" s="83" t="n"/>
      <c r="M2740" s="83" t="n"/>
      <c r="O2740" s="84" t="str">
        <f>IF($C2740="","",IFERROR(MATCH($B2740&amp;"|"&amp;$C2740,MUROS!$AX$11:$AX$70,0),0))</f>
        <v/>
      </c>
      <c r="P2740" s="84" t="str">
        <f>IF($D2740="","",IF(ISNUMBER(MATCH($D2740,CMB_S,0)),1,IF(ISNUMBER(MATCH($D2740,CMB_G,0)),2,0)))</f>
        <v/>
      </c>
      <c r="Q2740" s="84">
        <f>IF(ISNUMBER($H2740),-$H2740,0)</f>
        <v>0</v>
      </c>
      <c r="R2740" s="84">
        <f>IF(ISNUMBER($I2740),ABS($I2740),0)</f>
        <v>0</v>
      </c>
      <c r="S2740" s="84">
        <f>IF(ISNUMBER($M2740),ABS($M2740),0)</f>
        <v>0</v>
      </c>
      <c r="T2740" s="85" t="n">
        <v>2732</v>
      </c>
    </row>
    <row r="2741">
      <c r="B2741" s="83" t="n"/>
      <c r="C2741" s="83" t="n"/>
      <c r="D2741" s="83" t="n"/>
      <c r="E2741" s="83" t="n"/>
      <c r="F2741" s="83" t="n"/>
      <c r="G2741" s="83" t="n"/>
      <c r="H2741" s="83" t="n"/>
      <c r="I2741" s="83" t="n"/>
      <c r="J2741" s="83" t="n"/>
      <c r="K2741" s="83" t="n"/>
      <c r="L2741" s="83" t="n"/>
      <c r="M2741" s="83" t="n"/>
      <c r="O2741" s="84" t="str">
        <f>IF($C2741="","",IFERROR(MATCH($B2741&amp;"|"&amp;$C2741,MUROS!$AX$11:$AX$70,0),0))</f>
        <v/>
      </c>
      <c r="P2741" s="84" t="str">
        <f>IF($D2741="","",IF(ISNUMBER(MATCH($D2741,CMB_S,0)),1,IF(ISNUMBER(MATCH($D2741,CMB_G,0)),2,0)))</f>
        <v/>
      </c>
      <c r="Q2741" s="84">
        <f>IF(ISNUMBER($H2741),-$H2741,0)</f>
        <v>0</v>
      </c>
      <c r="R2741" s="84">
        <f>IF(ISNUMBER($I2741),ABS($I2741),0)</f>
        <v>0</v>
      </c>
      <c r="S2741" s="84">
        <f>IF(ISNUMBER($M2741),ABS($M2741),0)</f>
        <v>0</v>
      </c>
      <c r="T2741" s="85" t="n">
        <v>2733</v>
      </c>
    </row>
    <row r="2742">
      <c r="B2742" s="83" t="n"/>
      <c r="C2742" s="83" t="n"/>
      <c r="D2742" s="83" t="n"/>
      <c r="E2742" s="83" t="n"/>
      <c r="F2742" s="83" t="n"/>
      <c r="G2742" s="83" t="n"/>
      <c r="H2742" s="83" t="n"/>
      <c r="I2742" s="83" t="n"/>
      <c r="J2742" s="83" t="n"/>
      <c r="K2742" s="83" t="n"/>
      <c r="L2742" s="83" t="n"/>
      <c r="M2742" s="83" t="n"/>
      <c r="O2742" s="84" t="str">
        <f>IF($C2742="","",IFERROR(MATCH($B2742&amp;"|"&amp;$C2742,MUROS!$AX$11:$AX$70,0),0))</f>
        <v/>
      </c>
      <c r="P2742" s="84" t="str">
        <f>IF($D2742="","",IF(ISNUMBER(MATCH($D2742,CMB_S,0)),1,IF(ISNUMBER(MATCH($D2742,CMB_G,0)),2,0)))</f>
        <v/>
      </c>
      <c r="Q2742" s="84">
        <f>IF(ISNUMBER($H2742),-$H2742,0)</f>
        <v>0</v>
      </c>
      <c r="R2742" s="84">
        <f>IF(ISNUMBER($I2742),ABS($I2742),0)</f>
        <v>0</v>
      </c>
      <c r="S2742" s="84">
        <f>IF(ISNUMBER($M2742),ABS($M2742),0)</f>
        <v>0</v>
      </c>
      <c r="T2742" s="85" t="n">
        <v>2734</v>
      </c>
    </row>
    <row r="2743">
      <c r="B2743" s="83" t="n"/>
      <c r="C2743" s="83" t="n"/>
      <c r="D2743" s="83" t="n"/>
      <c r="E2743" s="83" t="n"/>
      <c r="F2743" s="83" t="n"/>
      <c r="G2743" s="83" t="n"/>
      <c r="H2743" s="83" t="n"/>
      <c r="I2743" s="83" t="n"/>
      <c r="J2743" s="83" t="n"/>
      <c r="K2743" s="83" t="n"/>
      <c r="L2743" s="83" t="n"/>
      <c r="M2743" s="83" t="n"/>
      <c r="O2743" s="84" t="str">
        <f>IF($C2743="","",IFERROR(MATCH($B2743&amp;"|"&amp;$C2743,MUROS!$AX$11:$AX$70,0),0))</f>
        <v/>
      </c>
      <c r="P2743" s="84" t="str">
        <f>IF($D2743="","",IF(ISNUMBER(MATCH($D2743,CMB_S,0)),1,IF(ISNUMBER(MATCH($D2743,CMB_G,0)),2,0)))</f>
        <v/>
      </c>
      <c r="Q2743" s="84">
        <f>IF(ISNUMBER($H2743),-$H2743,0)</f>
        <v>0</v>
      </c>
      <c r="R2743" s="84">
        <f>IF(ISNUMBER($I2743),ABS($I2743),0)</f>
        <v>0</v>
      </c>
      <c r="S2743" s="84">
        <f>IF(ISNUMBER($M2743),ABS($M2743),0)</f>
        <v>0</v>
      </c>
      <c r="T2743" s="85" t="n">
        <v>2735</v>
      </c>
    </row>
    <row r="2744">
      <c r="B2744" s="83" t="n"/>
      <c r="C2744" s="83" t="n"/>
      <c r="D2744" s="83" t="n"/>
      <c r="E2744" s="83" t="n"/>
      <c r="F2744" s="83" t="n"/>
      <c r="G2744" s="83" t="n"/>
      <c r="H2744" s="83" t="n"/>
      <c r="I2744" s="83" t="n"/>
      <c r="J2744" s="83" t="n"/>
      <c r="K2744" s="83" t="n"/>
      <c r="L2744" s="83" t="n"/>
      <c r="M2744" s="83" t="n"/>
      <c r="O2744" s="84" t="str">
        <f>IF($C2744="","",IFERROR(MATCH($B2744&amp;"|"&amp;$C2744,MUROS!$AX$11:$AX$70,0),0))</f>
        <v/>
      </c>
      <c r="P2744" s="84" t="str">
        <f>IF($D2744="","",IF(ISNUMBER(MATCH($D2744,CMB_S,0)),1,IF(ISNUMBER(MATCH($D2744,CMB_G,0)),2,0)))</f>
        <v/>
      </c>
      <c r="Q2744" s="84">
        <f>IF(ISNUMBER($H2744),-$H2744,0)</f>
        <v>0</v>
      </c>
      <c r="R2744" s="84">
        <f>IF(ISNUMBER($I2744),ABS($I2744),0)</f>
        <v>0</v>
      </c>
      <c r="S2744" s="84">
        <f>IF(ISNUMBER($M2744),ABS($M2744),0)</f>
        <v>0</v>
      </c>
      <c r="T2744" s="85" t="n">
        <v>2736</v>
      </c>
    </row>
    <row r="2745">
      <c r="B2745" s="83" t="n"/>
      <c r="C2745" s="83" t="n"/>
      <c r="D2745" s="83" t="n"/>
      <c r="E2745" s="83" t="n"/>
      <c r="F2745" s="83" t="n"/>
      <c r="G2745" s="83" t="n"/>
      <c r="H2745" s="83" t="n"/>
      <c r="I2745" s="83" t="n"/>
      <c r="J2745" s="83" t="n"/>
      <c r="K2745" s="83" t="n"/>
      <c r="L2745" s="83" t="n"/>
      <c r="M2745" s="83" t="n"/>
      <c r="O2745" s="84" t="str">
        <f>IF($C2745="","",IFERROR(MATCH($B2745&amp;"|"&amp;$C2745,MUROS!$AX$11:$AX$70,0),0))</f>
        <v/>
      </c>
      <c r="P2745" s="84" t="str">
        <f>IF($D2745="","",IF(ISNUMBER(MATCH($D2745,CMB_S,0)),1,IF(ISNUMBER(MATCH($D2745,CMB_G,0)),2,0)))</f>
        <v/>
      </c>
      <c r="Q2745" s="84">
        <f>IF(ISNUMBER($H2745),-$H2745,0)</f>
        <v>0</v>
      </c>
      <c r="R2745" s="84">
        <f>IF(ISNUMBER($I2745),ABS($I2745),0)</f>
        <v>0</v>
      </c>
      <c r="S2745" s="84">
        <f>IF(ISNUMBER($M2745),ABS($M2745),0)</f>
        <v>0</v>
      </c>
      <c r="T2745" s="85" t="n">
        <v>2737</v>
      </c>
    </row>
    <row r="2746">
      <c r="B2746" s="83" t="n"/>
      <c r="C2746" s="83" t="n"/>
      <c r="D2746" s="83" t="n"/>
      <c r="E2746" s="83" t="n"/>
      <c r="F2746" s="83" t="n"/>
      <c r="G2746" s="83" t="n"/>
      <c r="H2746" s="83" t="n"/>
      <c r="I2746" s="83" t="n"/>
      <c r="J2746" s="83" t="n"/>
      <c r="K2746" s="83" t="n"/>
      <c r="L2746" s="83" t="n"/>
      <c r="M2746" s="83" t="n"/>
      <c r="O2746" s="84" t="str">
        <f>IF($C2746="","",IFERROR(MATCH($B2746&amp;"|"&amp;$C2746,MUROS!$AX$11:$AX$70,0),0))</f>
        <v/>
      </c>
      <c r="P2746" s="84" t="str">
        <f>IF($D2746="","",IF(ISNUMBER(MATCH($D2746,CMB_S,0)),1,IF(ISNUMBER(MATCH($D2746,CMB_G,0)),2,0)))</f>
        <v/>
      </c>
      <c r="Q2746" s="84">
        <f>IF(ISNUMBER($H2746),-$H2746,0)</f>
        <v>0</v>
      </c>
      <c r="R2746" s="84">
        <f>IF(ISNUMBER($I2746),ABS($I2746),0)</f>
        <v>0</v>
      </c>
      <c r="S2746" s="84">
        <f>IF(ISNUMBER($M2746),ABS($M2746),0)</f>
        <v>0</v>
      </c>
      <c r="T2746" s="85" t="n">
        <v>2738</v>
      </c>
    </row>
    <row r="2747">
      <c r="B2747" s="83" t="n"/>
      <c r="C2747" s="83" t="n"/>
      <c r="D2747" s="83" t="n"/>
      <c r="E2747" s="83" t="n"/>
      <c r="F2747" s="83" t="n"/>
      <c r="G2747" s="83" t="n"/>
      <c r="H2747" s="83" t="n"/>
      <c r="I2747" s="83" t="n"/>
      <c r="J2747" s="83" t="n"/>
      <c r="K2747" s="83" t="n"/>
      <c r="L2747" s="83" t="n"/>
      <c r="M2747" s="83" t="n"/>
      <c r="O2747" s="84" t="str">
        <f>IF($C2747="","",IFERROR(MATCH($B2747&amp;"|"&amp;$C2747,MUROS!$AX$11:$AX$70,0),0))</f>
        <v/>
      </c>
      <c r="P2747" s="84" t="str">
        <f>IF($D2747="","",IF(ISNUMBER(MATCH($D2747,CMB_S,0)),1,IF(ISNUMBER(MATCH($D2747,CMB_G,0)),2,0)))</f>
        <v/>
      </c>
      <c r="Q2747" s="84">
        <f>IF(ISNUMBER($H2747),-$H2747,0)</f>
        <v>0</v>
      </c>
      <c r="R2747" s="84">
        <f>IF(ISNUMBER($I2747),ABS($I2747),0)</f>
        <v>0</v>
      </c>
      <c r="S2747" s="84">
        <f>IF(ISNUMBER($M2747),ABS($M2747),0)</f>
        <v>0</v>
      </c>
      <c r="T2747" s="85" t="n">
        <v>2739</v>
      </c>
    </row>
    <row r="2748">
      <c r="B2748" s="83" t="n"/>
      <c r="C2748" s="83" t="n"/>
      <c r="D2748" s="83" t="n"/>
      <c r="E2748" s="83" t="n"/>
      <c r="F2748" s="83" t="n"/>
      <c r="G2748" s="83" t="n"/>
      <c r="H2748" s="83" t="n"/>
      <c r="I2748" s="83" t="n"/>
      <c r="J2748" s="83" t="n"/>
      <c r="K2748" s="83" t="n"/>
      <c r="L2748" s="83" t="n"/>
      <c r="M2748" s="83" t="n"/>
      <c r="O2748" s="84" t="str">
        <f>IF($C2748="","",IFERROR(MATCH($B2748&amp;"|"&amp;$C2748,MUROS!$AX$11:$AX$70,0),0))</f>
        <v/>
      </c>
      <c r="P2748" s="84" t="str">
        <f>IF($D2748="","",IF(ISNUMBER(MATCH($D2748,CMB_S,0)),1,IF(ISNUMBER(MATCH($D2748,CMB_G,0)),2,0)))</f>
        <v/>
      </c>
      <c r="Q2748" s="84">
        <f>IF(ISNUMBER($H2748),-$H2748,0)</f>
        <v>0</v>
      </c>
      <c r="R2748" s="84">
        <f>IF(ISNUMBER($I2748),ABS($I2748),0)</f>
        <v>0</v>
      </c>
      <c r="S2748" s="84">
        <f>IF(ISNUMBER($M2748),ABS($M2748),0)</f>
        <v>0</v>
      </c>
      <c r="T2748" s="85" t="n">
        <v>2740</v>
      </c>
    </row>
    <row r="2749">
      <c r="B2749" s="83" t="n"/>
      <c r="C2749" s="83" t="n"/>
      <c r="D2749" s="83" t="n"/>
      <c r="E2749" s="83" t="n"/>
      <c r="F2749" s="83" t="n"/>
      <c r="G2749" s="83" t="n"/>
      <c r="H2749" s="83" t="n"/>
      <c r="I2749" s="83" t="n"/>
      <c r="J2749" s="83" t="n"/>
      <c r="K2749" s="83" t="n"/>
      <c r="L2749" s="83" t="n"/>
      <c r="M2749" s="83" t="n"/>
      <c r="O2749" s="84" t="str">
        <f>IF($C2749="","",IFERROR(MATCH($B2749&amp;"|"&amp;$C2749,MUROS!$AX$11:$AX$70,0),0))</f>
        <v/>
      </c>
      <c r="P2749" s="84" t="str">
        <f>IF($D2749="","",IF(ISNUMBER(MATCH($D2749,CMB_S,0)),1,IF(ISNUMBER(MATCH($D2749,CMB_G,0)),2,0)))</f>
        <v/>
      </c>
      <c r="Q2749" s="84">
        <f>IF(ISNUMBER($H2749),-$H2749,0)</f>
        <v>0</v>
      </c>
      <c r="R2749" s="84">
        <f>IF(ISNUMBER($I2749),ABS($I2749),0)</f>
        <v>0</v>
      </c>
      <c r="S2749" s="84">
        <f>IF(ISNUMBER($M2749),ABS($M2749),0)</f>
        <v>0</v>
      </c>
      <c r="T2749" s="85" t="n">
        <v>2741</v>
      </c>
    </row>
    <row r="2750">
      <c r="B2750" s="83" t="n"/>
      <c r="C2750" s="83" t="n"/>
      <c r="D2750" s="83" t="n"/>
      <c r="E2750" s="83" t="n"/>
      <c r="F2750" s="83" t="n"/>
      <c r="G2750" s="83" t="n"/>
      <c r="H2750" s="83" t="n"/>
      <c r="I2750" s="83" t="n"/>
      <c r="J2750" s="83" t="n"/>
      <c r="K2750" s="83" t="n"/>
      <c r="L2750" s="83" t="n"/>
      <c r="M2750" s="83" t="n"/>
      <c r="O2750" s="84" t="str">
        <f>IF($C2750="","",IFERROR(MATCH($B2750&amp;"|"&amp;$C2750,MUROS!$AX$11:$AX$70,0),0))</f>
        <v/>
      </c>
      <c r="P2750" s="84" t="str">
        <f>IF($D2750="","",IF(ISNUMBER(MATCH($D2750,CMB_S,0)),1,IF(ISNUMBER(MATCH($D2750,CMB_G,0)),2,0)))</f>
        <v/>
      </c>
      <c r="Q2750" s="84">
        <f>IF(ISNUMBER($H2750),-$H2750,0)</f>
        <v>0</v>
      </c>
      <c r="R2750" s="84">
        <f>IF(ISNUMBER($I2750),ABS($I2750),0)</f>
        <v>0</v>
      </c>
      <c r="S2750" s="84">
        <f>IF(ISNUMBER($M2750),ABS($M2750),0)</f>
        <v>0</v>
      </c>
      <c r="T2750" s="85" t="n">
        <v>2742</v>
      </c>
    </row>
    <row r="2751">
      <c r="B2751" s="83" t="n"/>
      <c r="C2751" s="83" t="n"/>
      <c r="D2751" s="83" t="n"/>
      <c r="E2751" s="83" t="n"/>
      <c r="F2751" s="83" t="n"/>
      <c r="G2751" s="83" t="n"/>
      <c r="H2751" s="83" t="n"/>
      <c r="I2751" s="83" t="n"/>
      <c r="J2751" s="83" t="n"/>
      <c r="K2751" s="83" t="n"/>
      <c r="L2751" s="83" t="n"/>
      <c r="M2751" s="83" t="n"/>
      <c r="O2751" s="84" t="str">
        <f>IF($C2751="","",IFERROR(MATCH($B2751&amp;"|"&amp;$C2751,MUROS!$AX$11:$AX$70,0),0))</f>
        <v/>
      </c>
      <c r="P2751" s="84" t="str">
        <f>IF($D2751="","",IF(ISNUMBER(MATCH($D2751,CMB_S,0)),1,IF(ISNUMBER(MATCH($D2751,CMB_G,0)),2,0)))</f>
        <v/>
      </c>
      <c r="Q2751" s="84">
        <f>IF(ISNUMBER($H2751),-$H2751,0)</f>
        <v>0</v>
      </c>
      <c r="R2751" s="84">
        <f>IF(ISNUMBER($I2751),ABS($I2751),0)</f>
        <v>0</v>
      </c>
      <c r="S2751" s="84">
        <f>IF(ISNUMBER($M2751),ABS($M2751),0)</f>
        <v>0</v>
      </c>
      <c r="T2751" s="85" t="n">
        <v>2743</v>
      </c>
    </row>
    <row r="2752">
      <c r="B2752" s="83" t="n"/>
      <c r="C2752" s="83" t="n"/>
      <c r="D2752" s="83" t="n"/>
      <c r="E2752" s="83" t="n"/>
      <c r="F2752" s="83" t="n"/>
      <c r="G2752" s="83" t="n"/>
      <c r="H2752" s="83" t="n"/>
      <c r="I2752" s="83" t="n"/>
      <c r="J2752" s="83" t="n"/>
      <c r="K2752" s="83" t="n"/>
      <c r="L2752" s="83" t="n"/>
      <c r="M2752" s="83" t="n"/>
      <c r="O2752" s="84" t="str">
        <f>IF($C2752="","",IFERROR(MATCH($B2752&amp;"|"&amp;$C2752,MUROS!$AX$11:$AX$70,0),0))</f>
        <v/>
      </c>
      <c r="P2752" s="84" t="str">
        <f>IF($D2752="","",IF(ISNUMBER(MATCH($D2752,CMB_S,0)),1,IF(ISNUMBER(MATCH($D2752,CMB_G,0)),2,0)))</f>
        <v/>
      </c>
      <c r="Q2752" s="84">
        <f>IF(ISNUMBER($H2752),-$H2752,0)</f>
        <v>0</v>
      </c>
      <c r="R2752" s="84">
        <f>IF(ISNUMBER($I2752),ABS($I2752),0)</f>
        <v>0</v>
      </c>
      <c r="S2752" s="84">
        <f>IF(ISNUMBER($M2752),ABS($M2752),0)</f>
        <v>0</v>
      </c>
      <c r="T2752" s="85" t="n">
        <v>2744</v>
      </c>
    </row>
    <row r="2753">
      <c r="B2753" s="83" t="n"/>
      <c r="C2753" s="83" t="n"/>
      <c r="D2753" s="83" t="n"/>
      <c r="E2753" s="83" t="n"/>
      <c r="F2753" s="83" t="n"/>
      <c r="G2753" s="83" t="n"/>
      <c r="H2753" s="83" t="n"/>
      <c r="I2753" s="83" t="n"/>
      <c r="J2753" s="83" t="n"/>
      <c r="K2753" s="83" t="n"/>
      <c r="L2753" s="83" t="n"/>
      <c r="M2753" s="83" t="n"/>
      <c r="O2753" s="84" t="str">
        <f>IF($C2753="","",IFERROR(MATCH($B2753&amp;"|"&amp;$C2753,MUROS!$AX$11:$AX$70,0),0))</f>
        <v/>
      </c>
      <c r="P2753" s="84" t="str">
        <f>IF($D2753="","",IF(ISNUMBER(MATCH($D2753,CMB_S,0)),1,IF(ISNUMBER(MATCH($D2753,CMB_G,0)),2,0)))</f>
        <v/>
      </c>
      <c r="Q2753" s="84">
        <f>IF(ISNUMBER($H2753),-$H2753,0)</f>
        <v>0</v>
      </c>
      <c r="R2753" s="84">
        <f>IF(ISNUMBER($I2753),ABS($I2753),0)</f>
        <v>0</v>
      </c>
      <c r="S2753" s="84">
        <f>IF(ISNUMBER($M2753),ABS($M2753),0)</f>
        <v>0</v>
      </c>
      <c r="T2753" s="85" t="n">
        <v>2745</v>
      </c>
    </row>
    <row r="2754">
      <c r="B2754" s="83" t="n"/>
      <c r="C2754" s="83" t="n"/>
      <c r="D2754" s="83" t="n"/>
      <c r="E2754" s="83" t="n"/>
      <c r="F2754" s="83" t="n"/>
      <c r="G2754" s="83" t="n"/>
      <c r="H2754" s="83" t="n"/>
      <c r="I2754" s="83" t="n"/>
      <c r="J2754" s="83" t="n"/>
      <c r="K2754" s="83" t="n"/>
      <c r="L2754" s="83" t="n"/>
      <c r="M2754" s="83" t="n"/>
      <c r="O2754" s="84" t="str">
        <f>IF($C2754="","",IFERROR(MATCH($B2754&amp;"|"&amp;$C2754,MUROS!$AX$11:$AX$70,0),0))</f>
        <v/>
      </c>
      <c r="P2754" s="84" t="str">
        <f>IF($D2754="","",IF(ISNUMBER(MATCH($D2754,CMB_S,0)),1,IF(ISNUMBER(MATCH($D2754,CMB_G,0)),2,0)))</f>
        <v/>
      </c>
      <c r="Q2754" s="84">
        <f>IF(ISNUMBER($H2754),-$H2754,0)</f>
        <v>0</v>
      </c>
      <c r="R2754" s="84">
        <f>IF(ISNUMBER($I2754),ABS($I2754),0)</f>
        <v>0</v>
      </c>
      <c r="S2754" s="84">
        <f>IF(ISNUMBER($M2754),ABS($M2754),0)</f>
        <v>0</v>
      </c>
      <c r="T2754" s="85" t="n">
        <v>2746</v>
      </c>
    </row>
    <row r="2755">
      <c r="B2755" s="83" t="n"/>
      <c r="C2755" s="83" t="n"/>
      <c r="D2755" s="83" t="n"/>
      <c r="E2755" s="83" t="n"/>
      <c r="F2755" s="83" t="n"/>
      <c r="G2755" s="83" t="n"/>
      <c r="H2755" s="83" t="n"/>
      <c r="I2755" s="83" t="n"/>
      <c r="J2755" s="83" t="n"/>
      <c r="K2755" s="83" t="n"/>
      <c r="L2755" s="83" t="n"/>
      <c r="M2755" s="83" t="n"/>
      <c r="O2755" s="84" t="str">
        <f>IF($C2755="","",IFERROR(MATCH($B2755&amp;"|"&amp;$C2755,MUROS!$AX$11:$AX$70,0),0))</f>
        <v/>
      </c>
      <c r="P2755" s="84" t="str">
        <f>IF($D2755="","",IF(ISNUMBER(MATCH($D2755,CMB_S,0)),1,IF(ISNUMBER(MATCH($D2755,CMB_G,0)),2,0)))</f>
        <v/>
      </c>
      <c r="Q2755" s="84">
        <f>IF(ISNUMBER($H2755),-$H2755,0)</f>
        <v>0</v>
      </c>
      <c r="R2755" s="84">
        <f>IF(ISNUMBER($I2755),ABS($I2755),0)</f>
        <v>0</v>
      </c>
      <c r="S2755" s="84">
        <f>IF(ISNUMBER($M2755),ABS($M2755),0)</f>
        <v>0</v>
      </c>
      <c r="T2755" s="85" t="n">
        <v>2747</v>
      </c>
    </row>
    <row r="2756">
      <c r="B2756" s="83" t="n"/>
      <c r="C2756" s="83" t="n"/>
      <c r="D2756" s="83" t="n"/>
      <c r="E2756" s="83" t="n"/>
      <c r="F2756" s="83" t="n"/>
      <c r="G2756" s="83" t="n"/>
      <c r="H2756" s="83" t="n"/>
      <c r="I2756" s="83" t="n"/>
      <c r="J2756" s="83" t="n"/>
      <c r="K2756" s="83" t="n"/>
      <c r="L2756" s="83" t="n"/>
      <c r="M2756" s="83" t="n"/>
      <c r="O2756" s="84" t="str">
        <f>IF($C2756="","",IFERROR(MATCH($B2756&amp;"|"&amp;$C2756,MUROS!$AX$11:$AX$70,0),0))</f>
        <v/>
      </c>
      <c r="P2756" s="84" t="str">
        <f>IF($D2756="","",IF(ISNUMBER(MATCH($D2756,CMB_S,0)),1,IF(ISNUMBER(MATCH($D2756,CMB_G,0)),2,0)))</f>
        <v/>
      </c>
      <c r="Q2756" s="84">
        <f>IF(ISNUMBER($H2756),-$H2756,0)</f>
        <v>0</v>
      </c>
      <c r="R2756" s="84">
        <f>IF(ISNUMBER($I2756),ABS($I2756),0)</f>
        <v>0</v>
      </c>
      <c r="S2756" s="84">
        <f>IF(ISNUMBER($M2756),ABS($M2756),0)</f>
        <v>0</v>
      </c>
      <c r="T2756" s="85" t="n">
        <v>2748</v>
      </c>
    </row>
    <row r="2757">
      <c r="B2757" s="83" t="n"/>
      <c r="C2757" s="83" t="n"/>
      <c r="D2757" s="83" t="n"/>
      <c r="E2757" s="83" t="n"/>
      <c r="F2757" s="83" t="n"/>
      <c r="G2757" s="83" t="n"/>
      <c r="H2757" s="83" t="n"/>
      <c r="I2757" s="83" t="n"/>
      <c r="J2757" s="83" t="n"/>
      <c r="K2757" s="83" t="n"/>
      <c r="L2757" s="83" t="n"/>
      <c r="M2757" s="83" t="n"/>
      <c r="O2757" s="84" t="str">
        <f>IF($C2757="","",IFERROR(MATCH($B2757&amp;"|"&amp;$C2757,MUROS!$AX$11:$AX$70,0),0))</f>
        <v/>
      </c>
      <c r="P2757" s="84" t="str">
        <f>IF($D2757="","",IF(ISNUMBER(MATCH($D2757,CMB_S,0)),1,IF(ISNUMBER(MATCH($D2757,CMB_G,0)),2,0)))</f>
        <v/>
      </c>
      <c r="Q2757" s="84">
        <f>IF(ISNUMBER($H2757),-$H2757,0)</f>
        <v>0</v>
      </c>
      <c r="R2757" s="84">
        <f>IF(ISNUMBER($I2757),ABS($I2757),0)</f>
        <v>0</v>
      </c>
      <c r="S2757" s="84">
        <f>IF(ISNUMBER($M2757),ABS($M2757),0)</f>
        <v>0</v>
      </c>
      <c r="T2757" s="85" t="n">
        <v>2749</v>
      </c>
    </row>
    <row r="2758">
      <c r="B2758" s="83" t="n"/>
      <c r="C2758" s="83" t="n"/>
      <c r="D2758" s="83" t="n"/>
      <c r="E2758" s="83" t="n"/>
      <c r="F2758" s="83" t="n"/>
      <c r="G2758" s="83" t="n"/>
      <c r="H2758" s="83" t="n"/>
      <c r="I2758" s="83" t="n"/>
      <c r="J2758" s="83" t="n"/>
      <c r="K2758" s="83" t="n"/>
      <c r="L2758" s="83" t="n"/>
      <c r="M2758" s="83" t="n"/>
      <c r="O2758" s="84" t="str">
        <f>IF($C2758="","",IFERROR(MATCH($B2758&amp;"|"&amp;$C2758,MUROS!$AX$11:$AX$70,0),0))</f>
        <v/>
      </c>
      <c r="P2758" s="84" t="str">
        <f>IF($D2758="","",IF(ISNUMBER(MATCH($D2758,CMB_S,0)),1,IF(ISNUMBER(MATCH($D2758,CMB_G,0)),2,0)))</f>
        <v/>
      </c>
      <c r="Q2758" s="84">
        <f>IF(ISNUMBER($H2758),-$H2758,0)</f>
        <v>0</v>
      </c>
      <c r="R2758" s="84">
        <f>IF(ISNUMBER($I2758),ABS($I2758),0)</f>
        <v>0</v>
      </c>
      <c r="S2758" s="84">
        <f>IF(ISNUMBER($M2758),ABS($M2758),0)</f>
        <v>0</v>
      </c>
      <c r="T2758" s="85" t="n">
        <v>2750</v>
      </c>
    </row>
    <row r="2759">
      <c r="B2759" s="83" t="n"/>
      <c r="C2759" s="83" t="n"/>
      <c r="D2759" s="83" t="n"/>
      <c r="E2759" s="83" t="n"/>
      <c r="F2759" s="83" t="n"/>
      <c r="G2759" s="83" t="n"/>
      <c r="H2759" s="83" t="n"/>
      <c r="I2759" s="83" t="n"/>
      <c r="J2759" s="83" t="n"/>
      <c r="K2759" s="83" t="n"/>
      <c r="L2759" s="83" t="n"/>
      <c r="M2759" s="83" t="n"/>
      <c r="O2759" s="84" t="str">
        <f>IF($C2759="","",IFERROR(MATCH($B2759&amp;"|"&amp;$C2759,MUROS!$AX$11:$AX$70,0),0))</f>
        <v/>
      </c>
      <c r="P2759" s="84" t="str">
        <f>IF($D2759="","",IF(ISNUMBER(MATCH($D2759,CMB_S,0)),1,IF(ISNUMBER(MATCH($D2759,CMB_G,0)),2,0)))</f>
        <v/>
      </c>
      <c r="Q2759" s="84">
        <f>IF(ISNUMBER($H2759),-$H2759,0)</f>
        <v>0</v>
      </c>
      <c r="R2759" s="84">
        <f>IF(ISNUMBER($I2759),ABS($I2759),0)</f>
        <v>0</v>
      </c>
      <c r="S2759" s="84">
        <f>IF(ISNUMBER($M2759),ABS($M2759),0)</f>
        <v>0</v>
      </c>
      <c r="T2759" s="85" t="n">
        <v>2751</v>
      </c>
    </row>
    <row r="2760">
      <c r="B2760" s="83" t="n"/>
      <c r="C2760" s="83" t="n"/>
      <c r="D2760" s="83" t="n"/>
      <c r="E2760" s="83" t="n"/>
      <c r="F2760" s="83" t="n"/>
      <c r="G2760" s="83" t="n"/>
      <c r="H2760" s="83" t="n"/>
      <c r="I2760" s="83" t="n"/>
      <c r="J2760" s="83" t="n"/>
      <c r="K2760" s="83" t="n"/>
      <c r="L2760" s="83" t="n"/>
      <c r="M2760" s="83" t="n"/>
      <c r="O2760" s="84" t="str">
        <f>IF($C2760="","",IFERROR(MATCH($B2760&amp;"|"&amp;$C2760,MUROS!$AX$11:$AX$70,0),0))</f>
        <v/>
      </c>
      <c r="P2760" s="84" t="str">
        <f>IF($D2760="","",IF(ISNUMBER(MATCH($D2760,CMB_S,0)),1,IF(ISNUMBER(MATCH($D2760,CMB_G,0)),2,0)))</f>
        <v/>
      </c>
      <c r="Q2760" s="84">
        <f>IF(ISNUMBER($H2760),-$H2760,0)</f>
        <v>0</v>
      </c>
      <c r="R2760" s="84">
        <f>IF(ISNUMBER($I2760),ABS($I2760),0)</f>
        <v>0</v>
      </c>
      <c r="S2760" s="84">
        <f>IF(ISNUMBER($M2760),ABS($M2760),0)</f>
        <v>0</v>
      </c>
      <c r="T2760" s="85" t="n">
        <v>2752</v>
      </c>
    </row>
    <row r="2761">
      <c r="B2761" s="83" t="n"/>
      <c r="C2761" s="83" t="n"/>
      <c r="D2761" s="83" t="n"/>
      <c r="E2761" s="83" t="n"/>
      <c r="F2761" s="83" t="n"/>
      <c r="G2761" s="83" t="n"/>
      <c r="H2761" s="83" t="n"/>
      <c r="I2761" s="83" t="n"/>
      <c r="J2761" s="83" t="n"/>
      <c r="K2761" s="83" t="n"/>
      <c r="L2761" s="83" t="n"/>
      <c r="M2761" s="83" t="n"/>
      <c r="O2761" s="84" t="str">
        <f>IF($C2761="","",IFERROR(MATCH($B2761&amp;"|"&amp;$C2761,MUROS!$AX$11:$AX$70,0),0))</f>
        <v/>
      </c>
      <c r="P2761" s="84" t="str">
        <f>IF($D2761="","",IF(ISNUMBER(MATCH($D2761,CMB_S,0)),1,IF(ISNUMBER(MATCH($D2761,CMB_G,0)),2,0)))</f>
        <v/>
      </c>
      <c r="Q2761" s="84">
        <f>IF(ISNUMBER($H2761),-$H2761,0)</f>
        <v>0</v>
      </c>
      <c r="R2761" s="84">
        <f>IF(ISNUMBER($I2761),ABS($I2761),0)</f>
        <v>0</v>
      </c>
      <c r="S2761" s="84">
        <f>IF(ISNUMBER($M2761),ABS($M2761),0)</f>
        <v>0</v>
      </c>
      <c r="T2761" s="85" t="n">
        <v>2753</v>
      </c>
    </row>
    <row r="2762">
      <c r="B2762" s="83" t="n"/>
      <c r="C2762" s="83" t="n"/>
      <c r="D2762" s="83" t="n"/>
      <c r="E2762" s="83" t="n"/>
      <c r="F2762" s="83" t="n"/>
      <c r="G2762" s="83" t="n"/>
      <c r="H2762" s="83" t="n"/>
      <c r="I2762" s="83" t="n"/>
      <c r="J2762" s="83" t="n"/>
      <c r="K2762" s="83" t="n"/>
      <c r="L2762" s="83" t="n"/>
      <c r="M2762" s="83" t="n"/>
      <c r="O2762" s="84" t="str">
        <f>IF($C2762="","",IFERROR(MATCH($B2762&amp;"|"&amp;$C2762,MUROS!$AX$11:$AX$70,0),0))</f>
        <v/>
      </c>
      <c r="P2762" s="84" t="str">
        <f>IF($D2762="","",IF(ISNUMBER(MATCH($D2762,CMB_S,0)),1,IF(ISNUMBER(MATCH($D2762,CMB_G,0)),2,0)))</f>
        <v/>
      </c>
      <c r="Q2762" s="84">
        <f>IF(ISNUMBER($H2762),-$H2762,0)</f>
        <v>0</v>
      </c>
      <c r="R2762" s="84">
        <f>IF(ISNUMBER($I2762),ABS($I2762),0)</f>
        <v>0</v>
      </c>
      <c r="S2762" s="84">
        <f>IF(ISNUMBER($M2762),ABS($M2762),0)</f>
        <v>0</v>
      </c>
      <c r="T2762" s="85" t="n">
        <v>2754</v>
      </c>
    </row>
    <row r="2763">
      <c r="B2763" s="83" t="n"/>
      <c r="C2763" s="83" t="n"/>
      <c r="D2763" s="83" t="n"/>
      <c r="E2763" s="83" t="n"/>
      <c r="F2763" s="83" t="n"/>
      <c r="G2763" s="83" t="n"/>
      <c r="H2763" s="83" t="n"/>
      <c r="I2763" s="83" t="n"/>
      <c r="J2763" s="83" t="n"/>
      <c r="K2763" s="83" t="n"/>
      <c r="L2763" s="83" t="n"/>
      <c r="M2763" s="83" t="n"/>
      <c r="O2763" s="84" t="str">
        <f>IF($C2763="","",IFERROR(MATCH($B2763&amp;"|"&amp;$C2763,MUROS!$AX$11:$AX$70,0),0))</f>
        <v/>
      </c>
      <c r="P2763" s="84" t="str">
        <f>IF($D2763="","",IF(ISNUMBER(MATCH($D2763,CMB_S,0)),1,IF(ISNUMBER(MATCH($D2763,CMB_G,0)),2,0)))</f>
        <v/>
      </c>
      <c r="Q2763" s="84">
        <f>IF(ISNUMBER($H2763),-$H2763,0)</f>
        <v>0</v>
      </c>
      <c r="R2763" s="84">
        <f>IF(ISNUMBER($I2763),ABS($I2763),0)</f>
        <v>0</v>
      </c>
      <c r="S2763" s="84">
        <f>IF(ISNUMBER($M2763),ABS($M2763),0)</f>
        <v>0</v>
      </c>
      <c r="T2763" s="85" t="n">
        <v>2755</v>
      </c>
    </row>
    <row r="2764">
      <c r="B2764" s="83" t="n"/>
      <c r="C2764" s="83" t="n"/>
      <c r="D2764" s="83" t="n"/>
      <c r="E2764" s="83" t="n"/>
      <c r="F2764" s="83" t="n"/>
      <c r="G2764" s="83" t="n"/>
      <c r="H2764" s="83" t="n"/>
      <c r="I2764" s="83" t="n"/>
      <c r="J2764" s="83" t="n"/>
      <c r="K2764" s="83" t="n"/>
      <c r="L2764" s="83" t="n"/>
      <c r="M2764" s="83" t="n"/>
      <c r="O2764" s="84" t="str">
        <f>IF($C2764="","",IFERROR(MATCH($B2764&amp;"|"&amp;$C2764,MUROS!$AX$11:$AX$70,0),0))</f>
        <v/>
      </c>
      <c r="P2764" s="84" t="str">
        <f>IF($D2764="","",IF(ISNUMBER(MATCH($D2764,CMB_S,0)),1,IF(ISNUMBER(MATCH($D2764,CMB_G,0)),2,0)))</f>
        <v/>
      </c>
      <c r="Q2764" s="84">
        <f>IF(ISNUMBER($H2764),-$H2764,0)</f>
        <v>0</v>
      </c>
      <c r="R2764" s="84">
        <f>IF(ISNUMBER($I2764),ABS($I2764),0)</f>
        <v>0</v>
      </c>
      <c r="S2764" s="84">
        <f>IF(ISNUMBER($M2764),ABS($M2764),0)</f>
        <v>0</v>
      </c>
      <c r="T2764" s="85" t="n">
        <v>2756</v>
      </c>
    </row>
    <row r="2765">
      <c r="B2765" s="83" t="n"/>
      <c r="C2765" s="83" t="n"/>
      <c r="D2765" s="83" t="n"/>
      <c r="E2765" s="83" t="n"/>
      <c r="F2765" s="83" t="n"/>
      <c r="G2765" s="83" t="n"/>
      <c r="H2765" s="83" t="n"/>
      <c r="I2765" s="83" t="n"/>
      <c r="J2765" s="83" t="n"/>
      <c r="K2765" s="83" t="n"/>
      <c r="L2765" s="83" t="n"/>
      <c r="M2765" s="83" t="n"/>
      <c r="O2765" s="84" t="str">
        <f>IF($C2765="","",IFERROR(MATCH($B2765&amp;"|"&amp;$C2765,MUROS!$AX$11:$AX$70,0),0))</f>
        <v/>
      </c>
      <c r="P2765" s="84" t="str">
        <f>IF($D2765="","",IF(ISNUMBER(MATCH($D2765,CMB_S,0)),1,IF(ISNUMBER(MATCH($D2765,CMB_G,0)),2,0)))</f>
        <v/>
      </c>
      <c r="Q2765" s="84">
        <f>IF(ISNUMBER($H2765),-$H2765,0)</f>
        <v>0</v>
      </c>
      <c r="R2765" s="84">
        <f>IF(ISNUMBER($I2765),ABS($I2765),0)</f>
        <v>0</v>
      </c>
      <c r="S2765" s="84">
        <f>IF(ISNUMBER($M2765),ABS($M2765),0)</f>
        <v>0</v>
      </c>
      <c r="T2765" s="85" t="n">
        <v>2757</v>
      </c>
    </row>
    <row r="2766">
      <c r="B2766" s="83" t="n"/>
      <c r="C2766" s="83" t="n"/>
      <c r="D2766" s="83" t="n"/>
      <c r="E2766" s="83" t="n"/>
      <c r="F2766" s="83" t="n"/>
      <c r="G2766" s="83" t="n"/>
      <c r="H2766" s="83" t="n"/>
      <c r="I2766" s="83" t="n"/>
      <c r="J2766" s="83" t="n"/>
      <c r="K2766" s="83" t="n"/>
      <c r="L2766" s="83" t="n"/>
      <c r="M2766" s="83" t="n"/>
      <c r="O2766" s="84" t="str">
        <f>IF($C2766="","",IFERROR(MATCH($B2766&amp;"|"&amp;$C2766,MUROS!$AX$11:$AX$70,0),0))</f>
        <v/>
      </c>
      <c r="P2766" s="84" t="str">
        <f>IF($D2766="","",IF(ISNUMBER(MATCH($D2766,CMB_S,0)),1,IF(ISNUMBER(MATCH($D2766,CMB_G,0)),2,0)))</f>
        <v/>
      </c>
      <c r="Q2766" s="84">
        <f>IF(ISNUMBER($H2766),-$H2766,0)</f>
        <v>0</v>
      </c>
      <c r="R2766" s="84">
        <f>IF(ISNUMBER($I2766),ABS($I2766),0)</f>
        <v>0</v>
      </c>
      <c r="S2766" s="84">
        <f>IF(ISNUMBER($M2766),ABS($M2766),0)</f>
        <v>0</v>
      </c>
      <c r="T2766" s="85" t="n">
        <v>2758</v>
      </c>
    </row>
    <row r="2767">
      <c r="B2767" s="83" t="n"/>
      <c r="C2767" s="83" t="n"/>
      <c r="D2767" s="83" t="n"/>
      <c r="E2767" s="83" t="n"/>
      <c r="F2767" s="83" t="n"/>
      <c r="G2767" s="83" t="n"/>
      <c r="H2767" s="83" t="n"/>
      <c r="I2767" s="83" t="n"/>
      <c r="J2767" s="83" t="n"/>
      <c r="K2767" s="83" t="n"/>
      <c r="L2767" s="83" t="n"/>
      <c r="M2767" s="83" t="n"/>
      <c r="O2767" s="84" t="str">
        <f>IF($C2767="","",IFERROR(MATCH($B2767&amp;"|"&amp;$C2767,MUROS!$AX$11:$AX$70,0),0))</f>
        <v/>
      </c>
      <c r="P2767" s="84" t="str">
        <f>IF($D2767="","",IF(ISNUMBER(MATCH($D2767,CMB_S,0)),1,IF(ISNUMBER(MATCH($D2767,CMB_G,0)),2,0)))</f>
        <v/>
      </c>
      <c r="Q2767" s="84">
        <f>IF(ISNUMBER($H2767),-$H2767,0)</f>
        <v>0</v>
      </c>
      <c r="R2767" s="84">
        <f>IF(ISNUMBER($I2767),ABS($I2767),0)</f>
        <v>0</v>
      </c>
      <c r="S2767" s="84">
        <f>IF(ISNUMBER($M2767),ABS($M2767),0)</f>
        <v>0</v>
      </c>
      <c r="T2767" s="85" t="n">
        <v>2759</v>
      </c>
    </row>
    <row r="2768">
      <c r="B2768" s="83" t="n"/>
      <c r="C2768" s="83" t="n"/>
      <c r="D2768" s="83" t="n"/>
      <c r="E2768" s="83" t="n"/>
      <c r="F2768" s="83" t="n"/>
      <c r="G2768" s="83" t="n"/>
      <c r="H2768" s="83" t="n"/>
      <c r="I2768" s="83" t="n"/>
      <c r="J2768" s="83" t="n"/>
      <c r="K2768" s="83" t="n"/>
      <c r="L2768" s="83" t="n"/>
      <c r="M2768" s="83" t="n"/>
      <c r="O2768" s="84" t="str">
        <f>IF($C2768="","",IFERROR(MATCH($B2768&amp;"|"&amp;$C2768,MUROS!$AX$11:$AX$70,0),0))</f>
        <v/>
      </c>
      <c r="P2768" s="84" t="str">
        <f>IF($D2768="","",IF(ISNUMBER(MATCH($D2768,CMB_S,0)),1,IF(ISNUMBER(MATCH($D2768,CMB_G,0)),2,0)))</f>
        <v/>
      </c>
      <c r="Q2768" s="84">
        <f>IF(ISNUMBER($H2768),-$H2768,0)</f>
        <v>0</v>
      </c>
      <c r="R2768" s="84">
        <f>IF(ISNUMBER($I2768),ABS($I2768),0)</f>
        <v>0</v>
      </c>
      <c r="S2768" s="84">
        <f>IF(ISNUMBER($M2768),ABS($M2768),0)</f>
        <v>0</v>
      </c>
      <c r="T2768" s="85" t="n">
        <v>2760</v>
      </c>
    </row>
    <row r="2769">
      <c r="B2769" s="83" t="n"/>
      <c r="C2769" s="83" t="n"/>
      <c r="D2769" s="83" t="n"/>
      <c r="E2769" s="83" t="n"/>
      <c r="F2769" s="83" t="n"/>
      <c r="G2769" s="83" t="n"/>
      <c r="H2769" s="83" t="n"/>
      <c r="I2769" s="83" t="n"/>
      <c r="J2769" s="83" t="n"/>
      <c r="K2769" s="83" t="n"/>
      <c r="L2769" s="83" t="n"/>
      <c r="M2769" s="83" t="n"/>
      <c r="O2769" s="84" t="str">
        <f>IF($C2769="","",IFERROR(MATCH($B2769&amp;"|"&amp;$C2769,MUROS!$AX$11:$AX$70,0),0))</f>
        <v/>
      </c>
      <c r="P2769" s="84" t="str">
        <f>IF($D2769="","",IF(ISNUMBER(MATCH($D2769,CMB_S,0)),1,IF(ISNUMBER(MATCH($D2769,CMB_G,0)),2,0)))</f>
        <v/>
      </c>
      <c r="Q2769" s="84">
        <f>IF(ISNUMBER($H2769),-$H2769,0)</f>
        <v>0</v>
      </c>
      <c r="R2769" s="84">
        <f>IF(ISNUMBER($I2769),ABS($I2769),0)</f>
        <v>0</v>
      </c>
      <c r="S2769" s="84">
        <f>IF(ISNUMBER($M2769),ABS($M2769),0)</f>
        <v>0</v>
      </c>
      <c r="T2769" s="85" t="n">
        <v>2761</v>
      </c>
    </row>
    <row r="2770">
      <c r="B2770" s="83" t="n"/>
      <c r="C2770" s="83" t="n"/>
      <c r="D2770" s="83" t="n"/>
      <c r="E2770" s="83" t="n"/>
      <c r="F2770" s="83" t="n"/>
      <c r="G2770" s="83" t="n"/>
      <c r="H2770" s="83" t="n"/>
      <c r="I2770" s="83" t="n"/>
      <c r="J2770" s="83" t="n"/>
      <c r="K2770" s="83" t="n"/>
      <c r="L2770" s="83" t="n"/>
      <c r="M2770" s="83" t="n"/>
      <c r="O2770" s="84" t="str">
        <f>IF($C2770="","",IFERROR(MATCH($B2770&amp;"|"&amp;$C2770,MUROS!$AX$11:$AX$70,0),0))</f>
        <v/>
      </c>
      <c r="P2770" s="84" t="str">
        <f>IF($D2770="","",IF(ISNUMBER(MATCH($D2770,CMB_S,0)),1,IF(ISNUMBER(MATCH($D2770,CMB_G,0)),2,0)))</f>
        <v/>
      </c>
      <c r="Q2770" s="84">
        <f>IF(ISNUMBER($H2770),-$H2770,0)</f>
        <v>0</v>
      </c>
      <c r="R2770" s="84">
        <f>IF(ISNUMBER($I2770),ABS($I2770),0)</f>
        <v>0</v>
      </c>
      <c r="S2770" s="84">
        <f>IF(ISNUMBER($M2770),ABS($M2770),0)</f>
        <v>0</v>
      </c>
      <c r="T2770" s="85" t="n">
        <v>2762</v>
      </c>
    </row>
    <row r="2771">
      <c r="B2771" s="83" t="n"/>
      <c r="C2771" s="83" t="n"/>
      <c r="D2771" s="83" t="n"/>
      <c r="E2771" s="83" t="n"/>
      <c r="F2771" s="83" t="n"/>
      <c r="G2771" s="83" t="n"/>
      <c r="H2771" s="83" t="n"/>
      <c r="I2771" s="83" t="n"/>
      <c r="J2771" s="83" t="n"/>
      <c r="K2771" s="83" t="n"/>
      <c r="L2771" s="83" t="n"/>
      <c r="M2771" s="83" t="n"/>
      <c r="O2771" s="84" t="str">
        <f>IF($C2771="","",IFERROR(MATCH($B2771&amp;"|"&amp;$C2771,MUROS!$AX$11:$AX$70,0),0))</f>
        <v/>
      </c>
      <c r="P2771" s="84" t="str">
        <f>IF($D2771="","",IF(ISNUMBER(MATCH($D2771,CMB_S,0)),1,IF(ISNUMBER(MATCH($D2771,CMB_G,0)),2,0)))</f>
        <v/>
      </c>
      <c r="Q2771" s="84">
        <f>IF(ISNUMBER($H2771),-$H2771,0)</f>
        <v>0</v>
      </c>
      <c r="R2771" s="84">
        <f>IF(ISNUMBER($I2771),ABS($I2771),0)</f>
        <v>0</v>
      </c>
      <c r="S2771" s="84">
        <f>IF(ISNUMBER($M2771),ABS($M2771),0)</f>
        <v>0</v>
      </c>
      <c r="T2771" s="85" t="n">
        <v>2763</v>
      </c>
    </row>
    <row r="2772">
      <c r="B2772" s="83" t="n"/>
      <c r="C2772" s="83" t="n"/>
      <c r="D2772" s="83" t="n"/>
      <c r="E2772" s="83" t="n"/>
      <c r="F2772" s="83" t="n"/>
      <c r="G2772" s="83" t="n"/>
      <c r="H2772" s="83" t="n"/>
      <c r="I2772" s="83" t="n"/>
      <c r="J2772" s="83" t="n"/>
      <c r="K2772" s="83" t="n"/>
      <c r="L2772" s="83" t="n"/>
      <c r="M2772" s="83" t="n"/>
      <c r="O2772" s="84" t="str">
        <f>IF($C2772="","",IFERROR(MATCH($B2772&amp;"|"&amp;$C2772,MUROS!$AX$11:$AX$70,0),0))</f>
        <v/>
      </c>
      <c r="P2772" s="84" t="str">
        <f>IF($D2772="","",IF(ISNUMBER(MATCH($D2772,CMB_S,0)),1,IF(ISNUMBER(MATCH($D2772,CMB_G,0)),2,0)))</f>
        <v/>
      </c>
      <c r="Q2772" s="84">
        <f>IF(ISNUMBER($H2772),-$H2772,0)</f>
        <v>0</v>
      </c>
      <c r="R2772" s="84">
        <f>IF(ISNUMBER($I2772),ABS($I2772),0)</f>
        <v>0</v>
      </c>
      <c r="S2772" s="84">
        <f>IF(ISNUMBER($M2772),ABS($M2772),0)</f>
        <v>0</v>
      </c>
      <c r="T2772" s="85" t="n">
        <v>2764</v>
      </c>
    </row>
    <row r="2773">
      <c r="B2773" s="83" t="n"/>
      <c r="C2773" s="83" t="n"/>
      <c r="D2773" s="83" t="n"/>
      <c r="E2773" s="83" t="n"/>
      <c r="F2773" s="83" t="n"/>
      <c r="G2773" s="83" t="n"/>
      <c r="H2773" s="83" t="n"/>
      <c r="I2773" s="83" t="n"/>
      <c r="J2773" s="83" t="n"/>
      <c r="K2773" s="83" t="n"/>
      <c r="L2773" s="83" t="n"/>
      <c r="M2773" s="83" t="n"/>
      <c r="O2773" s="84" t="str">
        <f>IF($C2773="","",IFERROR(MATCH($B2773&amp;"|"&amp;$C2773,MUROS!$AX$11:$AX$70,0),0))</f>
        <v/>
      </c>
      <c r="P2773" s="84" t="str">
        <f>IF($D2773="","",IF(ISNUMBER(MATCH($D2773,CMB_S,0)),1,IF(ISNUMBER(MATCH($D2773,CMB_G,0)),2,0)))</f>
        <v/>
      </c>
      <c r="Q2773" s="84">
        <f>IF(ISNUMBER($H2773),-$H2773,0)</f>
        <v>0</v>
      </c>
      <c r="R2773" s="84">
        <f>IF(ISNUMBER($I2773),ABS($I2773),0)</f>
        <v>0</v>
      </c>
      <c r="S2773" s="84">
        <f>IF(ISNUMBER($M2773),ABS($M2773),0)</f>
        <v>0</v>
      </c>
      <c r="T2773" s="85" t="n">
        <v>2765</v>
      </c>
    </row>
    <row r="2774">
      <c r="B2774" s="83" t="n"/>
      <c r="C2774" s="83" t="n"/>
      <c r="D2774" s="83" t="n"/>
      <c r="E2774" s="83" t="n"/>
      <c r="F2774" s="83" t="n"/>
      <c r="G2774" s="83" t="n"/>
      <c r="H2774" s="83" t="n"/>
      <c r="I2774" s="83" t="n"/>
      <c r="J2774" s="83" t="n"/>
      <c r="K2774" s="83" t="n"/>
      <c r="L2774" s="83" t="n"/>
      <c r="M2774" s="83" t="n"/>
      <c r="O2774" s="84" t="str">
        <f>IF($C2774="","",IFERROR(MATCH($B2774&amp;"|"&amp;$C2774,MUROS!$AX$11:$AX$70,0),0))</f>
        <v/>
      </c>
      <c r="P2774" s="84" t="str">
        <f>IF($D2774="","",IF(ISNUMBER(MATCH($D2774,CMB_S,0)),1,IF(ISNUMBER(MATCH($D2774,CMB_G,0)),2,0)))</f>
        <v/>
      </c>
      <c r="Q2774" s="84">
        <f>IF(ISNUMBER($H2774),-$H2774,0)</f>
        <v>0</v>
      </c>
      <c r="R2774" s="84">
        <f>IF(ISNUMBER($I2774),ABS($I2774),0)</f>
        <v>0</v>
      </c>
      <c r="S2774" s="84">
        <f>IF(ISNUMBER($M2774),ABS($M2774),0)</f>
        <v>0</v>
      </c>
      <c r="T2774" s="85" t="n">
        <v>2766</v>
      </c>
    </row>
    <row r="2775">
      <c r="B2775" s="83" t="n"/>
      <c r="C2775" s="83" t="n"/>
      <c r="D2775" s="83" t="n"/>
      <c r="E2775" s="83" t="n"/>
      <c r="F2775" s="83" t="n"/>
      <c r="G2775" s="83" t="n"/>
      <c r="H2775" s="83" t="n"/>
      <c r="I2775" s="83" t="n"/>
      <c r="J2775" s="83" t="n"/>
      <c r="K2775" s="83" t="n"/>
      <c r="L2775" s="83" t="n"/>
      <c r="M2775" s="83" t="n"/>
      <c r="O2775" s="84" t="str">
        <f>IF($C2775="","",IFERROR(MATCH($B2775&amp;"|"&amp;$C2775,MUROS!$AX$11:$AX$70,0),0))</f>
        <v/>
      </c>
      <c r="P2775" s="84" t="str">
        <f>IF($D2775="","",IF(ISNUMBER(MATCH($D2775,CMB_S,0)),1,IF(ISNUMBER(MATCH($D2775,CMB_G,0)),2,0)))</f>
        <v/>
      </c>
      <c r="Q2775" s="84">
        <f>IF(ISNUMBER($H2775),-$H2775,0)</f>
        <v>0</v>
      </c>
      <c r="R2775" s="84">
        <f>IF(ISNUMBER($I2775),ABS($I2775),0)</f>
        <v>0</v>
      </c>
      <c r="S2775" s="84">
        <f>IF(ISNUMBER($M2775),ABS($M2775),0)</f>
        <v>0</v>
      </c>
      <c r="T2775" s="85" t="n">
        <v>2767</v>
      </c>
    </row>
    <row r="2776">
      <c r="B2776" s="83" t="n"/>
      <c r="C2776" s="83" t="n"/>
      <c r="D2776" s="83" t="n"/>
      <c r="E2776" s="83" t="n"/>
      <c r="F2776" s="83" t="n"/>
      <c r="G2776" s="83" t="n"/>
      <c r="H2776" s="83" t="n"/>
      <c r="I2776" s="83" t="n"/>
      <c r="J2776" s="83" t="n"/>
      <c r="K2776" s="83" t="n"/>
      <c r="L2776" s="83" t="n"/>
      <c r="M2776" s="83" t="n"/>
      <c r="O2776" s="84" t="str">
        <f>IF($C2776="","",IFERROR(MATCH($B2776&amp;"|"&amp;$C2776,MUROS!$AX$11:$AX$70,0),0))</f>
        <v/>
      </c>
      <c r="P2776" s="84" t="str">
        <f>IF($D2776="","",IF(ISNUMBER(MATCH($D2776,CMB_S,0)),1,IF(ISNUMBER(MATCH($D2776,CMB_G,0)),2,0)))</f>
        <v/>
      </c>
      <c r="Q2776" s="84">
        <f>IF(ISNUMBER($H2776),-$H2776,0)</f>
        <v>0</v>
      </c>
      <c r="R2776" s="84">
        <f>IF(ISNUMBER($I2776),ABS($I2776),0)</f>
        <v>0</v>
      </c>
      <c r="S2776" s="84">
        <f>IF(ISNUMBER($M2776),ABS($M2776),0)</f>
        <v>0</v>
      </c>
      <c r="T2776" s="85" t="n">
        <v>2768</v>
      </c>
    </row>
    <row r="2777">
      <c r="B2777" s="83" t="n"/>
      <c r="C2777" s="83" t="n"/>
      <c r="D2777" s="83" t="n"/>
      <c r="E2777" s="83" t="n"/>
      <c r="F2777" s="83" t="n"/>
      <c r="G2777" s="83" t="n"/>
      <c r="H2777" s="83" t="n"/>
      <c r="I2777" s="83" t="n"/>
      <c r="J2777" s="83" t="n"/>
      <c r="K2777" s="83" t="n"/>
      <c r="L2777" s="83" t="n"/>
      <c r="M2777" s="83" t="n"/>
      <c r="O2777" s="84" t="str">
        <f>IF($C2777="","",IFERROR(MATCH($B2777&amp;"|"&amp;$C2777,MUROS!$AX$11:$AX$70,0),0))</f>
        <v/>
      </c>
      <c r="P2777" s="84" t="str">
        <f>IF($D2777="","",IF(ISNUMBER(MATCH($D2777,CMB_S,0)),1,IF(ISNUMBER(MATCH($D2777,CMB_G,0)),2,0)))</f>
        <v/>
      </c>
      <c r="Q2777" s="84">
        <f>IF(ISNUMBER($H2777),-$H2777,0)</f>
        <v>0</v>
      </c>
      <c r="R2777" s="84">
        <f>IF(ISNUMBER($I2777),ABS($I2777),0)</f>
        <v>0</v>
      </c>
      <c r="S2777" s="84">
        <f>IF(ISNUMBER($M2777),ABS($M2777),0)</f>
        <v>0</v>
      </c>
      <c r="T2777" s="85" t="n">
        <v>2769</v>
      </c>
    </row>
    <row r="2778">
      <c r="B2778" s="83" t="n"/>
      <c r="C2778" s="83" t="n"/>
      <c r="D2778" s="83" t="n"/>
      <c r="E2778" s="83" t="n"/>
      <c r="F2778" s="83" t="n"/>
      <c r="G2778" s="83" t="n"/>
      <c r="H2778" s="83" t="n"/>
      <c r="I2778" s="83" t="n"/>
      <c r="J2778" s="83" t="n"/>
      <c r="K2778" s="83" t="n"/>
      <c r="L2778" s="83" t="n"/>
      <c r="M2778" s="83" t="n"/>
      <c r="O2778" s="84" t="str">
        <f>IF($C2778="","",IFERROR(MATCH($B2778&amp;"|"&amp;$C2778,MUROS!$AX$11:$AX$70,0),0))</f>
        <v/>
      </c>
      <c r="P2778" s="84" t="str">
        <f>IF($D2778="","",IF(ISNUMBER(MATCH($D2778,CMB_S,0)),1,IF(ISNUMBER(MATCH($D2778,CMB_G,0)),2,0)))</f>
        <v/>
      </c>
      <c r="Q2778" s="84">
        <f>IF(ISNUMBER($H2778),-$H2778,0)</f>
        <v>0</v>
      </c>
      <c r="R2778" s="84">
        <f>IF(ISNUMBER($I2778),ABS($I2778),0)</f>
        <v>0</v>
      </c>
      <c r="S2778" s="84">
        <f>IF(ISNUMBER($M2778),ABS($M2778),0)</f>
        <v>0</v>
      </c>
      <c r="T2778" s="85" t="n">
        <v>2770</v>
      </c>
    </row>
    <row r="2779">
      <c r="B2779" s="83" t="n"/>
      <c r="C2779" s="83" t="n"/>
      <c r="D2779" s="83" t="n"/>
      <c r="E2779" s="83" t="n"/>
      <c r="F2779" s="83" t="n"/>
      <c r="G2779" s="83" t="n"/>
      <c r="H2779" s="83" t="n"/>
      <c r="I2779" s="83" t="n"/>
      <c r="J2779" s="83" t="n"/>
      <c r="K2779" s="83" t="n"/>
      <c r="L2779" s="83" t="n"/>
      <c r="M2779" s="83" t="n"/>
      <c r="O2779" s="84" t="str">
        <f>IF($C2779="","",IFERROR(MATCH($B2779&amp;"|"&amp;$C2779,MUROS!$AX$11:$AX$70,0),0))</f>
        <v/>
      </c>
      <c r="P2779" s="84" t="str">
        <f>IF($D2779="","",IF(ISNUMBER(MATCH($D2779,CMB_S,0)),1,IF(ISNUMBER(MATCH($D2779,CMB_G,0)),2,0)))</f>
        <v/>
      </c>
      <c r="Q2779" s="84">
        <f>IF(ISNUMBER($H2779),-$H2779,0)</f>
        <v>0</v>
      </c>
      <c r="R2779" s="84">
        <f>IF(ISNUMBER($I2779),ABS($I2779),0)</f>
        <v>0</v>
      </c>
      <c r="S2779" s="84">
        <f>IF(ISNUMBER($M2779),ABS($M2779),0)</f>
        <v>0</v>
      </c>
      <c r="T2779" s="85" t="n">
        <v>2771</v>
      </c>
    </row>
    <row r="2780">
      <c r="B2780" s="83" t="n"/>
      <c r="C2780" s="83" t="n"/>
      <c r="D2780" s="83" t="n"/>
      <c r="E2780" s="83" t="n"/>
      <c r="F2780" s="83" t="n"/>
      <c r="G2780" s="83" t="n"/>
      <c r="H2780" s="83" t="n"/>
      <c r="I2780" s="83" t="n"/>
      <c r="J2780" s="83" t="n"/>
      <c r="K2780" s="83" t="n"/>
      <c r="L2780" s="83" t="n"/>
      <c r="M2780" s="83" t="n"/>
      <c r="O2780" s="84" t="str">
        <f>IF($C2780="","",IFERROR(MATCH($B2780&amp;"|"&amp;$C2780,MUROS!$AX$11:$AX$70,0),0))</f>
        <v/>
      </c>
      <c r="P2780" s="84" t="str">
        <f>IF($D2780="","",IF(ISNUMBER(MATCH($D2780,CMB_S,0)),1,IF(ISNUMBER(MATCH($D2780,CMB_G,0)),2,0)))</f>
        <v/>
      </c>
      <c r="Q2780" s="84">
        <f>IF(ISNUMBER($H2780),-$H2780,0)</f>
        <v>0</v>
      </c>
      <c r="R2780" s="84">
        <f>IF(ISNUMBER($I2780),ABS($I2780),0)</f>
        <v>0</v>
      </c>
      <c r="S2780" s="84">
        <f>IF(ISNUMBER($M2780),ABS($M2780),0)</f>
        <v>0</v>
      </c>
      <c r="T2780" s="85" t="n">
        <v>2772</v>
      </c>
    </row>
    <row r="2781">
      <c r="B2781" s="83" t="n"/>
      <c r="C2781" s="83" t="n"/>
      <c r="D2781" s="83" t="n"/>
      <c r="E2781" s="83" t="n"/>
      <c r="F2781" s="83" t="n"/>
      <c r="G2781" s="83" t="n"/>
      <c r="H2781" s="83" t="n"/>
      <c r="I2781" s="83" t="n"/>
      <c r="J2781" s="83" t="n"/>
      <c r="K2781" s="83" t="n"/>
      <c r="L2781" s="83" t="n"/>
      <c r="M2781" s="83" t="n"/>
      <c r="O2781" s="84" t="str">
        <f>IF($C2781="","",IFERROR(MATCH($B2781&amp;"|"&amp;$C2781,MUROS!$AX$11:$AX$70,0),0))</f>
        <v/>
      </c>
      <c r="P2781" s="84" t="str">
        <f>IF($D2781="","",IF(ISNUMBER(MATCH($D2781,CMB_S,0)),1,IF(ISNUMBER(MATCH($D2781,CMB_G,0)),2,0)))</f>
        <v/>
      </c>
      <c r="Q2781" s="84">
        <f>IF(ISNUMBER($H2781),-$H2781,0)</f>
        <v>0</v>
      </c>
      <c r="R2781" s="84">
        <f>IF(ISNUMBER($I2781),ABS($I2781),0)</f>
        <v>0</v>
      </c>
      <c r="S2781" s="84">
        <f>IF(ISNUMBER($M2781),ABS($M2781),0)</f>
        <v>0</v>
      </c>
      <c r="T2781" s="85" t="n">
        <v>2773</v>
      </c>
    </row>
    <row r="2782">
      <c r="B2782" s="83" t="n"/>
      <c r="C2782" s="83" t="n"/>
      <c r="D2782" s="83" t="n"/>
      <c r="E2782" s="83" t="n"/>
      <c r="F2782" s="83" t="n"/>
      <c r="G2782" s="83" t="n"/>
      <c r="H2782" s="83" t="n"/>
      <c r="I2782" s="83" t="n"/>
      <c r="J2782" s="83" t="n"/>
      <c r="K2782" s="83" t="n"/>
      <c r="L2782" s="83" t="n"/>
      <c r="M2782" s="83" t="n"/>
      <c r="O2782" s="84" t="str">
        <f>IF($C2782="","",IFERROR(MATCH($B2782&amp;"|"&amp;$C2782,MUROS!$AX$11:$AX$70,0),0))</f>
        <v/>
      </c>
      <c r="P2782" s="84" t="str">
        <f>IF($D2782="","",IF(ISNUMBER(MATCH($D2782,CMB_S,0)),1,IF(ISNUMBER(MATCH($D2782,CMB_G,0)),2,0)))</f>
        <v/>
      </c>
      <c r="Q2782" s="84">
        <f>IF(ISNUMBER($H2782),-$H2782,0)</f>
        <v>0</v>
      </c>
      <c r="R2782" s="84">
        <f>IF(ISNUMBER($I2782),ABS($I2782),0)</f>
        <v>0</v>
      </c>
      <c r="S2782" s="84">
        <f>IF(ISNUMBER($M2782),ABS($M2782),0)</f>
        <v>0</v>
      </c>
      <c r="T2782" s="85" t="n">
        <v>2774</v>
      </c>
    </row>
    <row r="2783">
      <c r="B2783" s="83" t="n"/>
      <c r="C2783" s="83" t="n"/>
      <c r="D2783" s="83" t="n"/>
      <c r="E2783" s="83" t="n"/>
      <c r="F2783" s="83" t="n"/>
      <c r="G2783" s="83" t="n"/>
      <c r="H2783" s="83" t="n"/>
      <c r="I2783" s="83" t="n"/>
      <c r="J2783" s="83" t="n"/>
      <c r="K2783" s="83" t="n"/>
      <c r="L2783" s="83" t="n"/>
      <c r="M2783" s="83" t="n"/>
      <c r="O2783" s="84" t="str">
        <f>IF($C2783="","",IFERROR(MATCH($B2783&amp;"|"&amp;$C2783,MUROS!$AX$11:$AX$70,0),0))</f>
        <v/>
      </c>
      <c r="P2783" s="84" t="str">
        <f>IF($D2783="","",IF(ISNUMBER(MATCH($D2783,CMB_S,0)),1,IF(ISNUMBER(MATCH($D2783,CMB_G,0)),2,0)))</f>
        <v/>
      </c>
      <c r="Q2783" s="84">
        <f>IF(ISNUMBER($H2783),-$H2783,0)</f>
        <v>0</v>
      </c>
      <c r="R2783" s="84">
        <f>IF(ISNUMBER($I2783),ABS($I2783),0)</f>
        <v>0</v>
      </c>
      <c r="S2783" s="84">
        <f>IF(ISNUMBER($M2783),ABS($M2783),0)</f>
        <v>0</v>
      </c>
      <c r="T2783" s="85" t="n">
        <v>2775</v>
      </c>
    </row>
    <row r="2784">
      <c r="B2784" s="83" t="n"/>
      <c r="C2784" s="83" t="n"/>
      <c r="D2784" s="83" t="n"/>
      <c r="E2784" s="83" t="n"/>
      <c r="F2784" s="83" t="n"/>
      <c r="G2784" s="83" t="n"/>
      <c r="H2784" s="83" t="n"/>
      <c r="I2784" s="83" t="n"/>
      <c r="J2784" s="83" t="n"/>
      <c r="K2784" s="83" t="n"/>
      <c r="L2784" s="83" t="n"/>
      <c r="M2784" s="83" t="n"/>
      <c r="O2784" s="84" t="str">
        <f>IF($C2784="","",IFERROR(MATCH($B2784&amp;"|"&amp;$C2784,MUROS!$AX$11:$AX$70,0),0))</f>
        <v/>
      </c>
      <c r="P2784" s="84" t="str">
        <f>IF($D2784="","",IF(ISNUMBER(MATCH($D2784,CMB_S,0)),1,IF(ISNUMBER(MATCH($D2784,CMB_G,0)),2,0)))</f>
        <v/>
      </c>
      <c r="Q2784" s="84">
        <f>IF(ISNUMBER($H2784),-$H2784,0)</f>
        <v>0</v>
      </c>
      <c r="R2784" s="84">
        <f>IF(ISNUMBER($I2784),ABS($I2784),0)</f>
        <v>0</v>
      </c>
      <c r="S2784" s="84">
        <f>IF(ISNUMBER($M2784),ABS($M2784),0)</f>
        <v>0</v>
      </c>
      <c r="T2784" s="85" t="n">
        <v>2776</v>
      </c>
    </row>
    <row r="2785">
      <c r="B2785" s="83" t="n"/>
      <c r="C2785" s="83" t="n"/>
      <c r="D2785" s="83" t="n"/>
      <c r="E2785" s="83" t="n"/>
      <c r="F2785" s="83" t="n"/>
      <c r="G2785" s="83" t="n"/>
      <c r="H2785" s="83" t="n"/>
      <c r="I2785" s="83" t="n"/>
      <c r="J2785" s="83" t="n"/>
      <c r="K2785" s="83" t="n"/>
      <c r="L2785" s="83" t="n"/>
      <c r="M2785" s="83" t="n"/>
      <c r="O2785" s="84" t="str">
        <f>IF($C2785="","",IFERROR(MATCH($B2785&amp;"|"&amp;$C2785,MUROS!$AX$11:$AX$70,0),0))</f>
        <v/>
      </c>
      <c r="P2785" s="84" t="str">
        <f>IF($D2785="","",IF(ISNUMBER(MATCH($D2785,CMB_S,0)),1,IF(ISNUMBER(MATCH($D2785,CMB_G,0)),2,0)))</f>
        <v/>
      </c>
      <c r="Q2785" s="84">
        <f>IF(ISNUMBER($H2785),-$H2785,0)</f>
        <v>0</v>
      </c>
      <c r="R2785" s="84">
        <f>IF(ISNUMBER($I2785),ABS($I2785),0)</f>
        <v>0</v>
      </c>
      <c r="S2785" s="84">
        <f>IF(ISNUMBER($M2785),ABS($M2785),0)</f>
        <v>0</v>
      </c>
      <c r="T2785" s="85" t="n">
        <v>2777</v>
      </c>
    </row>
    <row r="2786">
      <c r="B2786" s="83" t="n"/>
      <c r="C2786" s="83" t="n"/>
      <c r="D2786" s="83" t="n"/>
      <c r="E2786" s="83" t="n"/>
      <c r="F2786" s="83" t="n"/>
      <c r="G2786" s="83" t="n"/>
      <c r="H2786" s="83" t="n"/>
      <c r="I2786" s="83" t="n"/>
      <c r="J2786" s="83" t="n"/>
      <c r="K2786" s="83" t="n"/>
      <c r="L2786" s="83" t="n"/>
      <c r="M2786" s="83" t="n"/>
      <c r="O2786" s="84" t="str">
        <f>IF($C2786="","",IFERROR(MATCH($B2786&amp;"|"&amp;$C2786,MUROS!$AX$11:$AX$70,0),0))</f>
        <v/>
      </c>
      <c r="P2786" s="84" t="str">
        <f>IF($D2786="","",IF(ISNUMBER(MATCH($D2786,CMB_S,0)),1,IF(ISNUMBER(MATCH($D2786,CMB_G,0)),2,0)))</f>
        <v/>
      </c>
      <c r="Q2786" s="84">
        <f>IF(ISNUMBER($H2786),-$H2786,0)</f>
        <v>0</v>
      </c>
      <c r="R2786" s="84">
        <f>IF(ISNUMBER($I2786),ABS($I2786),0)</f>
        <v>0</v>
      </c>
      <c r="S2786" s="84">
        <f>IF(ISNUMBER($M2786),ABS($M2786),0)</f>
        <v>0</v>
      </c>
      <c r="T2786" s="85" t="n">
        <v>2778</v>
      </c>
    </row>
    <row r="2787">
      <c r="B2787" s="83" t="n"/>
      <c r="C2787" s="83" t="n"/>
      <c r="D2787" s="83" t="n"/>
      <c r="E2787" s="83" t="n"/>
      <c r="F2787" s="83" t="n"/>
      <c r="G2787" s="83" t="n"/>
      <c r="H2787" s="83" t="n"/>
      <c r="I2787" s="83" t="n"/>
      <c r="J2787" s="83" t="n"/>
      <c r="K2787" s="83" t="n"/>
      <c r="L2787" s="83" t="n"/>
      <c r="M2787" s="83" t="n"/>
      <c r="O2787" s="84" t="str">
        <f>IF($C2787="","",IFERROR(MATCH($B2787&amp;"|"&amp;$C2787,MUROS!$AX$11:$AX$70,0),0))</f>
        <v/>
      </c>
      <c r="P2787" s="84" t="str">
        <f>IF($D2787="","",IF(ISNUMBER(MATCH($D2787,CMB_S,0)),1,IF(ISNUMBER(MATCH($D2787,CMB_G,0)),2,0)))</f>
        <v/>
      </c>
      <c r="Q2787" s="84">
        <f>IF(ISNUMBER($H2787),-$H2787,0)</f>
        <v>0</v>
      </c>
      <c r="R2787" s="84">
        <f>IF(ISNUMBER($I2787),ABS($I2787),0)</f>
        <v>0</v>
      </c>
      <c r="S2787" s="84">
        <f>IF(ISNUMBER($M2787),ABS($M2787),0)</f>
        <v>0</v>
      </c>
      <c r="T2787" s="85" t="n">
        <v>2779</v>
      </c>
    </row>
    <row r="2788">
      <c r="B2788" s="83" t="n"/>
      <c r="C2788" s="83" t="n"/>
      <c r="D2788" s="83" t="n"/>
      <c r="E2788" s="83" t="n"/>
      <c r="F2788" s="83" t="n"/>
      <c r="G2788" s="83" t="n"/>
      <c r="H2788" s="83" t="n"/>
      <c r="I2788" s="83" t="n"/>
      <c r="J2788" s="83" t="n"/>
      <c r="K2788" s="83" t="n"/>
      <c r="L2788" s="83" t="n"/>
      <c r="M2788" s="83" t="n"/>
      <c r="O2788" s="84" t="str">
        <f>IF($C2788="","",IFERROR(MATCH($B2788&amp;"|"&amp;$C2788,MUROS!$AX$11:$AX$70,0),0))</f>
        <v/>
      </c>
      <c r="P2788" s="84" t="str">
        <f>IF($D2788="","",IF(ISNUMBER(MATCH($D2788,CMB_S,0)),1,IF(ISNUMBER(MATCH($D2788,CMB_G,0)),2,0)))</f>
        <v/>
      </c>
      <c r="Q2788" s="84">
        <f>IF(ISNUMBER($H2788),-$H2788,0)</f>
        <v>0</v>
      </c>
      <c r="R2788" s="84">
        <f>IF(ISNUMBER($I2788),ABS($I2788),0)</f>
        <v>0</v>
      </c>
      <c r="S2788" s="84">
        <f>IF(ISNUMBER($M2788),ABS($M2788),0)</f>
        <v>0</v>
      </c>
      <c r="T2788" s="85" t="n">
        <v>2780</v>
      </c>
    </row>
    <row r="2789">
      <c r="B2789" s="83" t="n"/>
      <c r="C2789" s="83" t="n"/>
      <c r="D2789" s="83" t="n"/>
      <c r="E2789" s="83" t="n"/>
      <c r="F2789" s="83" t="n"/>
      <c r="G2789" s="83" t="n"/>
      <c r="H2789" s="83" t="n"/>
      <c r="I2789" s="83" t="n"/>
      <c r="J2789" s="83" t="n"/>
      <c r="K2789" s="83" t="n"/>
      <c r="L2789" s="83" t="n"/>
      <c r="M2789" s="83" t="n"/>
      <c r="O2789" s="84" t="str">
        <f>IF($C2789="","",IFERROR(MATCH($B2789&amp;"|"&amp;$C2789,MUROS!$AX$11:$AX$70,0),0))</f>
        <v/>
      </c>
      <c r="P2789" s="84" t="str">
        <f>IF($D2789="","",IF(ISNUMBER(MATCH($D2789,CMB_S,0)),1,IF(ISNUMBER(MATCH($D2789,CMB_G,0)),2,0)))</f>
        <v/>
      </c>
      <c r="Q2789" s="84">
        <f>IF(ISNUMBER($H2789),-$H2789,0)</f>
        <v>0</v>
      </c>
      <c r="R2789" s="84">
        <f>IF(ISNUMBER($I2789),ABS($I2789),0)</f>
        <v>0</v>
      </c>
      <c r="S2789" s="84">
        <f>IF(ISNUMBER($M2789),ABS($M2789),0)</f>
        <v>0</v>
      </c>
      <c r="T2789" s="85" t="n">
        <v>2781</v>
      </c>
    </row>
    <row r="2790">
      <c r="B2790" s="83" t="n"/>
      <c r="C2790" s="83" t="n"/>
      <c r="D2790" s="83" t="n"/>
      <c r="E2790" s="83" t="n"/>
      <c r="F2790" s="83" t="n"/>
      <c r="G2790" s="83" t="n"/>
      <c r="H2790" s="83" t="n"/>
      <c r="I2790" s="83" t="n"/>
      <c r="J2790" s="83" t="n"/>
      <c r="K2790" s="83" t="n"/>
      <c r="L2790" s="83" t="n"/>
      <c r="M2790" s="83" t="n"/>
      <c r="O2790" s="84" t="str">
        <f>IF($C2790="","",IFERROR(MATCH($B2790&amp;"|"&amp;$C2790,MUROS!$AX$11:$AX$70,0),0))</f>
        <v/>
      </c>
      <c r="P2790" s="84" t="str">
        <f>IF($D2790="","",IF(ISNUMBER(MATCH($D2790,CMB_S,0)),1,IF(ISNUMBER(MATCH($D2790,CMB_G,0)),2,0)))</f>
        <v/>
      </c>
      <c r="Q2790" s="84">
        <f>IF(ISNUMBER($H2790),-$H2790,0)</f>
        <v>0</v>
      </c>
      <c r="R2790" s="84">
        <f>IF(ISNUMBER($I2790),ABS($I2790),0)</f>
        <v>0</v>
      </c>
      <c r="S2790" s="84">
        <f>IF(ISNUMBER($M2790),ABS($M2790),0)</f>
        <v>0</v>
      </c>
      <c r="T2790" s="85" t="n">
        <v>2782</v>
      </c>
    </row>
    <row r="2791">
      <c r="B2791" s="83" t="n"/>
      <c r="C2791" s="83" t="n"/>
      <c r="D2791" s="83" t="n"/>
      <c r="E2791" s="83" t="n"/>
      <c r="F2791" s="83" t="n"/>
      <c r="G2791" s="83" t="n"/>
      <c r="H2791" s="83" t="n"/>
      <c r="I2791" s="83" t="n"/>
      <c r="J2791" s="83" t="n"/>
      <c r="K2791" s="83" t="n"/>
      <c r="L2791" s="83" t="n"/>
      <c r="M2791" s="83" t="n"/>
      <c r="O2791" s="84" t="str">
        <f>IF($C2791="","",IFERROR(MATCH($B2791&amp;"|"&amp;$C2791,MUROS!$AX$11:$AX$70,0),0))</f>
        <v/>
      </c>
      <c r="P2791" s="84" t="str">
        <f>IF($D2791="","",IF(ISNUMBER(MATCH($D2791,CMB_S,0)),1,IF(ISNUMBER(MATCH($D2791,CMB_G,0)),2,0)))</f>
        <v/>
      </c>
      <c r="Q2791" s="84">
        <f>IF(ISNUMBER($H2791),-$H2791,0)</f>
        <v>0</v>
      </c>
      <c r="R2791" s="84">
        <f>IF(ISNUMBER($I2791),ABS($I2791),0)</f>
        <v>0</v>
      </c>
      <c r="S2791" s="84">
        <f>IF(ISNUMBER($M2791),ABS($M2791),0)</f>
        <v>0</v>
      </c>
      <c r="T2791" s="85" t="n">
        <v>2783</v>
      </c>
    </row>
    <row r="2792">
      <c r="B2792" s="83" t="n"/>
      <c r="C2792" s="83" t="n"/>
      <c r="D2792" s="83" t="n"/>
      <c r="E2792" s="83" t="n"/>
      <c r="F2792" s="83" t="n"/>
      <c r="G2792" s="83" t="n"/>
      <c r="H2792" s="83" t="n"/>
      <c r="I2792" s="83" t="n"/>
      <c r="J2792" s="83" t="n"/>
      <c r="K2792" s="83" t="n"/>
      <c r="L2792" s="83" t="n"/>
      <c r="M2792" s="83" t="n"/>
      <c r="O2792" s="84" t="str">
        <f>IF($C2792="","",IFERROR(MATCH($B2792&amp;"|"&amp;$C2792,MUROS!$AX$11:$AX$70,0),0))</f>
        <v/>
      </c>
      <c r="P2792" s="84" t="str">
        <f>IF($D2792="","",IF(ISNUMBER(MATCH($D2792,CMB_S,0)),1,IF(ISNUMBER(MATCH($D2792,CMB_G,0)),2,0)))</f>
        <v/>
      </c>
      <c r="Q2792" s="84">
        <f>IF(ISNUMBER($H2792),-$H2792,0)</f>
        <v>0</v>
      </c>
      <c r="R2792" s="84">
        <f>IF(ISNUMBER($I2792),ABS($I2792),0)</f>
        <v>0</v>
      </c>
      <c r="S2792" s="84">
        <f>IF(ISNUMBER($M2792),ABS($M2792),0)</f>
        <v>0</v>
      </c>
      <c r="T2792" s="85" t="n">
        <v>2784</v>
      </c>
    </row>
    <row r="2793">
      <c r="B2793" s="83" t="n"/>
      <c r="C2793" s="83" t="n"/>
      <c r="D2793" s="83" t="n"/>
      <c r="E2793" s="83" t="n"/>
      <c r="F2793" s="83" t="n"/>
      <c r="G2793" s="83" t="n"/>
      <c r="H2793" s="83" t="n"/>
      <c r="I2793" s="83" t="n"/>
      <c r="J2793" s="83" t="n"/>
      <c r="K2793" s="83" t="n"/>
      <c r="L2793" s="83" t="n"/>
      <c r="M2793" s="83" t="n"/>
      <c r="O2793" s="84" t="str">
        <f>IF($C2793="","",IFERROR(MATCH($B2793&amp;"|"&amp;$C2793,MUROS!$AX$11:$AX$70,0),0))</f>
        <v/>
      </c>
      <c r="P2793" s="84" t="str">
        <f>IF($D2793="","",IF(ISNUMBER(MATCH($D2793,CMB_S,0)),1,IF(ISNUMBER(MATCH($D2793,CMB_G,0)),2,0)))</f>
        <v/>
      </c>
      <c r="Q2793" s="84">
        <f>IF(ISNUMBER($H2793),-$H2793,0)</f>
        <v>0</v>
      </c>
      <c r="R2793" s="84">
        <f>IF(ISNUMBER($I2793),ABS($I2793),0)</f>
        <v>0</v>
      </c>
      <c r="S2793" s="84">
        <f>IF(ISNUMBER($M2793),ABS($M2793),0)</f>
        <v>0</v>
      </c>
      <c r="T2793" s="85" t="n">
        <v>2785</v>
      </c>
    </row>
    <row r="2794">
      <c r="B2794" s="83" t="n"/>
      <c r="C2794" s="83" t="n"/>
      <c r="D2794" s="83" t="n"/>
      <c r="E2794" s="83" t="n"/>
      <c r="F2794" s="83" t="n"/>
      <c r="G2794" s="83" t="n"/>
      <c r="H2794" s="83" t="n"/>
      <c r="I2794" s="83" t="n"/>
      <c r="J2794" s="83" t="n"/>
      <c r="K2794" s="83" t="n"/>
      <c r="L2794" s="83" t="n"/>
      <c r="M2794" s="83" t="n"/>
      <c r="O2794" s="84" t="str">
        <f>IF($C2794="","",IFERROR(MATCH($B2794&amp;"|"&amp;$C2794,MUROS!$AX$11:$AX$70,0),0))</f>
        <v/>
      </c>
      <c r="P2794" s="84" t="str">
        <f>IF($D2794="","",IF(ISNUMBER(MATCH($D2794,CMB_S,0)),1,IF(ISNUMBER(MATCH($D2794,CMB_G,0)),2,0)))</f>
        <v/>
      </c>
      <c r="Q2794" s="84">
        <f>IF(ISNUMBER($H2794),-$H2794,0)</f>
        <v>0</v>
      </c>
      <c r="R2794" s="84">
        <f>IF(ISNUMBER($I2794),ABS($I2794),0)</f>
        <v>0</v>
      </c>
      <c r="S2794" s="84">
        <f>IF(ISNUMBER($M2794),ABS($M2794),0)</f>
        <v>0</v>
      </c>
      <c r="T2794" s="85" t="n">
        <v>2786</v>
      </c>
    </row>
    <row r="2795">
      <c r="B2795" s="83" t="n"/>
      <c r="C2795" s="83" t="n"/>
      <c r="D2795" s="83" t="n"/>
      <c r="E2795" s="83" t="n"/>
      <c r="F2795" s="83" t="n"/>
      <c r="G2795" s="83" t="n"/>
      <c r="H2795" s="83" t="n"/>
      <c r="I2795" s="83" t="n"/>
      <c r="J2795" s="83" t="n"/>
      <c r="K2795" s="83" t="n"/>
      <c r="L2795" s="83" t="n"/>
      <c r="M2795" s="83" t="n"/>
      <c r="O2795" s="84" t="str">
        <f>IF($C2795="","",IFERROR(MATCH($B2795&amp;"|"&amp;$C2795,MUROS!$AX$11:$AX$70,0),0))</f>
        <v/>
      </c>
      <c r="P2795" s="84" t="str">
        <f>IF($D2795="","",IF(ISNUMBER(MATCH($D2795,CMB_S,0)),1,IF(ISNUMBER(MATCH($D2795,CMB_G,0)),2,0)))</f>
        <v/>
      </c>
      <c r="Q2795" s="84">
        <f>IF(ISNUMBER($H2795),-$H2795,0)</f>
        <v>0</v>
      </c>
      <c r="R2795" s="84">
        <f>IF(ISNUMBER($I2795),ABS($I2795),0)</f>
        <v>0</v>
      </c>
      <c r="S2795" s="84">
        <f>IF(ISNUMBER($M2795),ABS($M2795),0)</f>
        <v>0</v>
      </c>
      <c r="T2795" s="85" t="n">
        <v>2787</v>
      </c>
    </row>
    <row r="2796">
      <c r="B2796" s="83" t="n"/>
      <c r="C2796" s="83" t="n"/>
      <c r="D2796" s="83" t="n"/>
      <c r="E2796" s="83" t="n"/>
      <c r="F2796" s="83" t="n"/>
      <c r="G2796" s="83" t="n"/>
      <c r="H2796" s="83" t="n"/>
      <c r="I2796" s="83" t="n"/>
      <c r="J2796" s="83" t="n"/>
      <c r="K2796" s="83" t="n"/>
      <c r="L2796" s="83" t="n"/>
      <c r="M2796" s="83" t="n"/>
      <c r="O2796" s="84" t="str">
        <f>IF($C2796="","",IFERROR(MATCH($B2796&amp;"|"&amp;$C2796,MUROS!$AX$11:$AX$70,0),0))</f>
        <v/>
      </c>
      <c r="P2796" s="84" t="str">
        <f>IF($D2796="","",IF(ISNUMBER(MATCH($D2796,CMB_S,0)),1,IF(ISNUMBER(MATCH($D2796,CMB_G,0)),2,0)))</f>
        <v/>
      </c>
      <c r="Q2796" s="84">
        <f>IF(ISNUMBER($H2796),-$H2796,0)</f>
        <v>0</v>
      </c>
      <c r="R2796" s="84">
        <f>IF(ISNUMBER($I2796),ABS($I2796),0)</f>
        <v>0</v>
      </c>
      <c r="S2796" s="84">
        <f>IF(ISNUMBER($M2796),ABS($M2796),0)</f>
        <v>0</v>
      </c>
      <c r="T2796" s="85" t="n">
        <v>2788</v>
      </c>
    </row>
    <row r="2797">
      <c r="B2797" s="83" t="n"/>
      <c r="C2797" s="83" t="n"/>
      <c r="D2797" s="83" t="n"/>
      <c r="E2797" s="83" t="n"/>
      <c r="F2797" s="83" t="n"/>
      <c r="G2797" s="83" t="n"/>
      <c r="H2797" s="83" t="n"/>
      <c r="I2797" s="83" t="n"/>
      <c r="J2797" s="83" t="n"/>
      <c r="K2797" s="83" t="n"/>
      <c r="L2797" s="83" t="n"/>
      <c r="M2797" s="83" t="n"/>
      <c r="O2797" s="84" t="str">
        <f>IF($C2797="","",IFERROR(MATCH($B2797&amp;"|"&amp;$C2797,MUROS!$AX$11:$AX$70,0),0))</f>
        <v/>
      </c>
      <c r="P2797" s="84" t="str">
        <f>IF($D2797="","",IF(ISNUMBER(MATCH($D2797,CMB_S,0)),1,IF(ISNUMBER(MATCH($D2797,CMB_G,0)),2,0)))</f>
        <v/>
      </c>
      <c r="Q2797" s="84">
        <f>IF(ISNUMBER($H2797),-$H2797,0)</f>
        <v>0</v>
      </c>
      <c r="R2797" s="84">
        <f>IF(ISNUMBER($I2797),ABS($I2797),0)</f>
        <v>0</v>
      </c>
      <c r="S2797" s="84">
        <f>IF(ISNUMBER($M2797),ABS($M2797),0)</f>
        <v>0</v>
      </c>
      <c r="T2797" s="85" t="n">
        <v>2789</v>
      </c>
    </row>
    <row r="2798">
      <c r="B2798" s="83" t="n"/>
      <c r="C2798" s="83" t="n"/>
      <c r="D2798" s="83" t="n"/>
      <c r="E2798" s="83" t="n"/>
      <c r="F2798" s="83" t="n"/>
      <c r="G2798" s="83" t="n"/>
      <c r="H2798" s="83" t="n"/>
      <c r="I2798" s="83" t="n"/>
      <c r="J2798" s="83" t="n"/>
      <c r="K2798" s="83" t="n"/>
      <c r="L2798" s="83" t="n"/>
      <c r="M2798" s="83" t="n"/>
      <c r="O2798" s="84" t="str">
        <f>IF($C2798="","",IFERROR(MATCH($B2798&amp;"|"&amp;$C2798,MUROS!$AX$11:$AX$70,0),0))</f>
        <v/>
      </c>
      <c r="P2798" s="84" t="str">
        <f>IF($D2798="","",IF(ISNUMBER(MATCH($D2798,CMB_S,0)),1,IF(ISNUMBER(MATCH($D2798,CMB_G,0)),2,0)))</f>
        <v/>
      </c>
      <c r="Q2798" s="84">
        <f>IF(ISNUMBER($H2798),-$H2798,0)</f>
        <v>0</v>
      </c>
      <c r="R2798" s="84">
        <f>IF(ISNUMBER($I2798),ABS($I2798),0)</f>
        <v>0</v>
      </c>
      <c r="S2798" s="84">
        <f>IF(ISNUMBER($M2798),ABS($M2798),0)</f>
        <v>0</v>
      </c>
      <c r="T2798" s="85" t="n">
        <v>2790</v>
      </c>
    </row>
    <row r="2799">
      <c r="B2799" s="83" t="n"/>
      <c r="C2799" s="83" t="n"/>
      <c r="D2799" s="83" t="n"/>
      <c r="E2799" s="83" t="n"/>
      <c r="F2799" s="83" t="n"/>
      <c r="G2799" s="83" t="n"/>
      <c r="H2799" s="83" t="n"/>
      <c r="I2799" s="83" t="n"/>
      <c r="J2799" s="83" t="n"/>
      <c r="K2799" s="83" t="n"/>
      <c r="L2799" s="83" t="n"/>
      <c r="M2799" s="83" t="n"/>
      <c r="O2799" s="84" t="str">
        <f>IF($C2799="","",IFERROR(MATCH($B2799&amp;"|"&amp;$C2799,MUROS!$AX$11:$AX$70,0),0))</f>
        <v/>
      </c>
      <c r="P2799" s="84" t="str">
        <f>IF($D2799="","",IF(ISNUMBER(MATCH($D2799,CMB_S,0)),1,IF(ISNUMBER(MATCH($D2799,CMB_G,0)),2,0)))</f>
        <v/>
      </c>
      <c r="Q2799" s="84">
        <f>IF(ISNUMBER($H2799),-$H2799,0)</f>
        <v>0</v>
      </c>
      <c r="R2799" s="84">
        <f>IF(ISNUMBER($I2799),ABS($I2799),0)</f>
        <v>0</v>
      </c>
      <c r="S2799" s="84">
        <f>IF(ISNUMBER($M2799),ABS($M2799),0)</f>
        <v>0</v>
      </c>
      <c r="T2799" s="85" t="n">
        <v>2791</v>
      </c>
    </row>
    <row r="2800">
      <c r="B2800" s="83" t="n"/>
      <c r="C2800" s="83" t="n"/>
      <c r="D2800" s="83" t="n"/>
      <c r="E2800" s="83" t="n"/>
      <c r="F2800" s="83" t="n"/>
      <c r="G2800" s="83" t="n"/>
      <c r="H2800" s="83" t="n"/>
      <c r="I2800" s="83" t="n"/>
      <c r="J2800" s="83" t="n"/>
      <c r="K2800" s="83" t="n"/>
      <c r="L2800" s="83" t="n"/>
      <c r="M2800" s="83" t="n"/>
      <c r="O2800" s="84" t="str">
        <f>IF($C2800="","",IFERROR(MATCH($B2800&amp;"|"&amp;$C2800,MUROS!$AX$11:$AX$70,0),0))</f>
        <v/>
      </c>
      <c r="P2800" s="84" t="str">
        <f>IF($D2800="","",IF(ISNUMBER(MATCH($D2800,CMB_S,0)),1,IF(ISNUMBER(MATCH($D2800,CMB_G,0)),2,0)))</f>
        <v/>
      </c>
      <c r="Q2800" s="84">
        <f>IF(ISNUMBER($H2800),-$H2800,0)</f>
        <v>0</v>
      </c>
      <c r="R2800" s="84">
        <f>IF(ISNUMBER($I2800),ABS($I2800),0)</f>
        <v>0</v>
      </c>
      <c r="S2800" s="84">
        <f>IF(ISNUMBER($M2800),ABS($M2800),0)</f>
        <v>0</v>
      </c>
      <c r="T2800" s="85" t="n">
        <v>2792</v>
      </c>
    </row>
    <row r="2801">
      <c r="B2801" s="83" t="n"/>
      <c r="C2801" s="83" t="n"/>
      <c r="D2801" s="83" t="n"/>
      <c r="E2801" s="83" t="n"/>
      <c r="F2801" s="83" t="n"/>
      <c r="G2801" s="83" t="n"/>
      <c r="H2801" s="83" t="n"/>
      <c r="I2801" s="83" t="n"/>
      <c r="J2801" s="83" t="n"/>
      <c r="K2801" s="83" t="n"/>
      <c r="L2801" s="83" t="n"/>
      <c r="M2801" s="83" t="n"/>
      <c r="O2801" s="84" t="str">
        <f>IF($C2801="","",IFERROR(MATCH($B2801&amp;"|"&amp;$C2801,MUROS!$AX$11:$AX$70,0),0))</f>
        <v/>
      </c>
      <c r="P2801" s="84" t="str">
        <f>IF($D2801="","",IF(ISNUMBER(MATCH($D2801,CMB_S,0)),1,IF(ISNUMBER(MATCH($D2801,CMB_G,0)),2,0)))</f>
        <v/>
      </c>
      <c r="Q2801" s="84">
        <f>IF(ISNUMBER($H2801),-$H2801,0)</f>
        <v>0</v>
      </c>
      <c r="R2801" s="84">
        <f>IF(ISNUMBER($I2801),ABS($I2801),0)</f>
        <v>0</v>
      </c>
      <c r="S2801" s="84">
        <f>IF(ISNUMBER($M2801),ABS($M2801),0)</f>
        <v>0</v>
      </c>
      <c r="T2801" s="85" t="n">
        <v>2793</v>
      </c>
    </row>
    <row r="2802">
      <c r="B2802" s="83" t="n"/>
      <c r="C2802" s="83" t="n"/>
      <c r="D2802" s="83" t="n"/>
      <c r="E2802" s="83" t="n"/>
      <c r="F2802" s="83" t="n"/>
      <c r="G2802" s="83" t="n"/>
      <c r="H2802" s="83" t="n"/>
      <c r="I2802" s="83" t="n"/>
      <c r="J2802" s="83" t="n"/>
      <c r="K2802" s="83" t="n"/>
      <c r="L2802" s="83" t="n"/>
      <c r="M2802" s="83" t="n"/>
      <c r="O2802" s="84" t="str">
        <f>IF($C2802="","",IFERROR(MATCH($B2802&amp;"|"&amp;$C2802,MUROS!$AX$11:$AX$70,0),0))</f>
        <v/>
      </c>
      <c r="P2802" s="84" t="str">
        <f>IF($D2802="","",IF(ISNUMBER(MATCH($D2802,CMB_S,0)),1,IF(ISNUMBER(MATCH($D2802,CMB_G,0)),2,0)))</f>
        <v/>
      </c>
      <c r="Q2802" s="84">
        <f>IF(ISNUMBER($H2802),-$H2802,0)</f>
        <v>0</v>
      </c>
      <c r="R2802" s="84">
        <f>IF(ISNUMBER($I2802),ABS($I2802),0)</f>
        <v>0</v>
      </c>
      <c r="S2802" s="84">
        <f>IF(ISNUMBER($M2802),ABS($M2802),0)</f>
        <v>0</v>
      </c>
      <c r="T2802" s="85" t="n">
        <v>2794</v>
      </c>
    </row>
    <row r="2803">
      <c r="B2803" s="83" t="n"/>
      <c r="C2803" s="83" t="n"/>
      <c r="D2803" s="83" t="n"/>
      <c r="E2803" s="83" t="n"/>
      <c r="F2803" s="83" t="n"/>
      <c r="G2803" s="83" t="n"/>
      <c r="H2803" s="83" t="n"/>
      <c r="I2803" s="83" t="n"/>
      <c r="J2803" s="83" t="n"/>
      <c r="K2803" s="83" t="n"/>
      <c r="L2803" s="83" t="n"/>
      <c r="M2803" s="83" t="n"/>
      <c r="O2803" s="84" t="str">
        <f>IF($C2803="","",IFERROR(MATCH($B2803&amp;"|"&amp;$C2803,MUROS!$AX$11:$AX$70,0),0))</f>
        <v/>
      </c>
      <c r="P2803" s="84" t="str">
        <f>IF($D2803="","",IF(ISNUMBER(MATCH($D2803,CMB_S,0)),1,IF(ISNUMBER(MATCH($D2803,CMB_G,0)),2,0)))</f>
        <v/>
      </c>
      <c r="Q2803" s="84">
        <f>IF(ISNUMBER($H2803),-$H2803,0)</f>
        <v>0</v>
      </c>
      <c r="R2803" s="84">
        <f>IF(ISNUMBER($I2803),ABS($I2803),0)</f>
        <v>0</v>
      </c>
      <c r="S2803" s="84">
        <f>IF(ISNUMBER($M2803),ABS($M2803),0)</f>
        <v>0</v>
      </c>
      <c r="T2803" s="85" t="n">
        <v>2795</v>
      </c>
    </row>
    <row r="2804">
      <c r="B2804" s="83" t="n"/>
      <c r="C2804" s="83" t="n"/>
      <c r="D2804" s="83" t="n"/>
      <c r="E2804" s="83" t="n"/>
      <c r="F2804" s="83" t="n"/>
      <c r="G2804" s="83" t="n"/>
      <c r="H2804" s="83" t="n"/>
      <c r="I2804" s="83" t="n"/>
      <c r="J2804" s="83" t="n"/>
      <c r="K2804" s="83" t="n"/>
      <c r="L2804" s="83" t="n"/>
      <c r="M2804" s="83" t="n"/>
      <c r="O2804" s="84" t="str">
        <f>IF($C2804="","",IFERROR(MATCH($B2804&amp;"|"&amp;$C2804,MUROS!$AX$11:$AX$70,0),0))</f>
        <v/>
      </c>
      <c r="P2804" s="84" t="str">
        <f>IF($D2804="","",IF(ISNUMBER(MATCH($D2804,CMB_S,0)),1,IF(ISNUMBER(MATCH($D2804,CMB_G,0)),2,0)))</f>
        <v/>
      </c>
      <c r="Q2804" s="84">
        <f>IF(ISNUMBER($H2804),-$H2804,0)</f>
        <v>0</v>
      </c>
      <c r="R2804" s="84">
        <f>IF(ISNUMBER($I2804),ABS($I2804),0)</f>
        <v>0</v>
      </c>
      <c r="S2804" s="84">
        <f>IF(ISNUMBER($M2804),ABS($M2804),0)</f>
        <v>0</v>
      </c>
      <c r="T2804" s="85" t="n">
        <v>2796</v>
      </c>
    </row>
    <row r="2805">
      <c r="B2805" s="83" t="n"/>
      <c r="C2805" s="83" t="n"/>
      <c r="D2805" s="83" t="n"/>
      <c r="E2805" s="83" t="n"/>
      <c r="F2805" s="83" t="n"/>
      <c r="G2805" s="83" t="n"/>
      <c r="H2805" s="83" t="n"/>
      <c r="I2805" s="83" t="n"/>
      <c r="J2805" s="83" t="n"/>
      <c r="K2805" s="83" t="n"/>
      <c r="L2805" s="83" t="n"/>
      <c r="M2805" s="83" t="n"/>
      <c r="O2805" s="84" t="str">
        <f>IF($C2805="","",IFERROR(MATCH($B2805&amp;"|"&amp;$C2805,MUROS!$AX$11:$AX$70,0),0))</f>
        <v/>
      </c>
      <c r="P2805" s="84" t="str">
        <f>IF($D2805="","",IF(ISNUMBER(MATCH($D2805,CMB_S,0)),1,IF(ISNUMBER(MATCH($D2805,CMB_G,0)),2,0)))</f>
        <v/>
      </c>
      <c r="Q2805" s="84">
        <f>IF(ISNUMBER($H2805),-$H2805,0)</f>
        <v>0</v>
      </c>
      <c r="R2805" s="84">
        <f>IF(ISNUMBER($I2805),ABS($I2805),0)</f>
        <v>0</v>
      </c>
      <c r="S2805" s="84">
        <f>IF(ISNUMBER($M2805),ABS($M2805),0)</f>
        <v>0</v>
      </c>
      <c r="T2805" s="85" t="n">
        <v>2797</v>
      </c>
    </row>
    <row r="2806">
      <c r="B2806" s="83" t="n"/>
      <c r="C2806" s="83" t="n"/>
      <c r="D2806" s="83" t="n"/>
      <c r="E2806" s="83" t="n"/>
      <c r="F2806" s="83" t="n"/>
      <c r="G2806" s="83" t="n"/>
      <c r="H2806" s="83" t="n"/>
      <c r="I2806" s="83" t="n"/>
      <c r="J2806" s="83" t="n"/>
      <c r="K2806" s="83" t="n"/>
      <c r="L2806" s="83" t="n"/>
      <c r="M2806" s="83" t="n"/>
      <c r="O2806" s="84" t="str">
        <f>IF($C2806="","",IFERROR(MATCH($B2806&amp;"|"&amp;$C2806,MUROS!$AX$11:$AX$70,0),0))</f>
        <v/>
      </c>
      <c r="P2806" s="84" t="str">
        <f>IF($D2806="","",IF(ISNUMBER(MATCH($D2806,CMB_S,0)),1,IF(ISNUMBER(MATCH($D2806,CMB_G,0)),2,0)))</f>
        <v/>
      </c>
      <c r="Q2806" s="84">
        <f>IF(ISNUMBER($H2806),-$H2806,0)</f>
        <v>0</v>
      </c>
      <c r="R2806" s="84">
        <f>IF(ISNUMBER($I2806),ABS($I2806),0)</f>
        <v>0</v>
      </c>
      <c r="S2806" s="84">
        <f>IF(ISNUMBER($M2806),ABS($M2806),0)</f>
        <v>0</v>
      </c>
      <c r="T2806" s="85" t="n">
        <v>2798</v>
      </c>
    </row>
    <row r="2807">
      <c r="B2807" s="83" t="n"/>
      <c r="C2807" s="83" t="n"/>
      <c r="D2807" s="83" t="n"/>
      <c r="E2807" s="83" t="n"/>
      <c r="F2807" s="83" t="n"/>
      <c r="G2807" s="83" t="n"/>
      <c r="H2807" s="83" t="n"/>
      <c r="I2807" s="83" t="n"/>
      <c r="J2807" s="83" t="n"/>
      <c r="K2807" s="83" t="n"/>
      <c r="L2807" s="83" t="n"/>
      <c r="M2807" s="83" t="n"/>
      <c r="O2807" s="84" t="str">
        <f>IF($C2807="","",IFERROR(MATCH($B2807&amp;"|"&amp;$C2807,MUROS!$AX$11:$AX$70,0),0))</f>
        <v/>
      </c>
      <c r="P2807" s="84" t="str">
        <f>IF($D2807="","",IF(ISNUMBER(MATCH($D2807,CMB_S,0)),1,IF(ISNUMBER(MATCH($D2807,CMB_G,0)),2,0)))</f>
        <v/>
      </c>
      <c r="Q2807" s="84">
        <f>IF(ISNUMBER($H2807),-$H2807,0)</f>
        <v>0</v>
      </c>
      <c r="R2807" s="84">
        <f>IF(ISNUMBER($I2807),ABS($I2807),0)</f>
        <v>0</v>
      </c>
      <c r="S2807" s="84">
        <f>IF(ISNUMBER($M2807),ABS($M2807),0)</f>
        <v>0</v>
      </c>
      <c r="T2807" s="85" t="n">
        <v>2799</v>
      </c>
    </row>
    <row r="2808">
      <c r="B2808" s="83" t="n"/>
      <c r="C2808" s="83" t="n"/>
      <c r="D2808" s="83" t="n"/>
      <c r="E2808" s="83" t="n"/>
      <c r="F2808" s="83" t="n"/>
      <c r="G2808" s="83" t="n"/>
      <c r="H2808" s="83" t="n"/>
      <c r="I2808" s="83" t="n"/>
      <c r="J2808" s="83" t="n"/>
      <c r="K2808" s="83" t="n"/>
      <c r="L2808" s="83" t="n"/>
      <c r="M2808" s="83" t="n"/>
      <c r="O2808" s="84" t="str">
        <f>IF($C2808="","",IFERROR(MATCH($B2808&amp;"|"&amp;$C2808,MUROS!$AX$11:$AX$70,0),0))</f>
        <v/>
      </c>
      <c r="P2808" s="84" t="str">
        <f>IF($D2808="","",IF(ISNUMBER(MATCH($D2808,CMB_S,0)),1,IF(ISNUMBER(MATCH($D2808,CMB_G,0)),2,0)))</f>
        <v/>
      </c>
      <c r="Q2808" s="84">
        <f>IF(ISNUMBER($H2808),-$H2808,0)</f>
        <v>0</v>
      </c>
      <c r="R2808" s="84">
        <f>IF(ISNUMBER($I2808),ABS($I2808),0)</f>
        <v>0</v>
      </c>
      <c r="S2808" s="84">
        <f>IF(ISNUMBER($M2808),ABS($M2808),0)</f>
        <v>0</v>
      </c>
      <c r="T2808" s="85" t="n">
        <v>2800</v>
      </c>
    </row>
    <row r="2809">
      <c r="B2809" s="83" t="n"/>
      <c r="C2809" s="83" t="n"/>
      <c r="D2809" s="83" t="n"/>
      <c r="E2809" s="83" t="n"/>
      <c r="F2809" s="83" t="n"/>
      <c r="G2809" s="83" t="n"/>
      <c r="H2809" s="83" t="n"/>
      <c r="I2809" s="83" t="n"/>
      <c r="J2809" s="83" t="n"/>
      <c r="K2809" s="83" t="n"/>
      <c r="L2809" s="83" t="n"/>
      <c r="M2809" s="83" t="n"/>
      <c r="O2809" s="84" t="str">
        <f>IF($C2809="","",IFERROR(MATCH($B2809&amp;"|"&amp;$C2809,MUROS!$AX$11:$AX$70,0),0))</f>
        <v/>
      </c>
      <c r="P2809" s="84" t="str">
        <f>IF($D2809="","",IF(ISNUMBER(MATCH($D2809,CMB_S,0)),1,IF(ISNUMBER(MATCH($D2809,CMB_G,0)),2,0)))</f>
        <v/>
      </c>
      <c r="Q2809" s="84">
        <f>IF(ISNUMBER($H2809),-$H2809,0)</f>
        <v>0</v>
      </c>
      <c r="R2809" s="84">
        <f>IF(ISNUMBER($I2809),ABS($I2809),0)</f>
        <v>0</v>
      </c>
      <c r="S2809" s="84">
        <f>IF(ISNUMBER($M2809),ABS($M2809),0)</f>
        <v>0</v>
      </c>
      <c r="T2809" s="85" t="n">
        <v>2801</v>
      </c>
    </row>
    <row r="2810">
      <c r="B2810" s="83" t="n"/>
      <c r="C2810" s="83" t="n"/>
      <c r="D2810" s="83" t="n"/>
      <c r="E2810" s="83" t="n"/>
      <c r="F2810" s="83" t="n"/>
      <c r="G2810" s="83" t="n"/>
      <c r="H2810" s="83" t="n"/>
      <c r="I2810" s="83" t="n"/>
      <c r="J2810" s="83" t="n"/>
      <c r="K2810" s="83" t="n"/>
      <c r="L2810" s="83" t="n"/>
      <c r="M2810" s="83" t="n"/>
      <c r="O2810" s="84" t="str">
        <f>IF($C2810="","",IFERROR(MATCH($B2810&amp;"|"&amp;$C2810,MUROS!$AX$11:$AX$70,0),0))</f>
        <v/>
      </c>
      <c r="P2810" s="84" t="str">
        <f>IF($D2810="","",IF(ISNUMBER(MATCH($D2810,CMB_S,0)),1,IF(ISNUMBER(MATCH($D2810,CMB_G,0)),2,0)))</f>
        <v/>
      </c>
      <c r="Q2810" s="84">
        <f>IF(ISNUMBER($H2810),-$H2810,0)</f>
        <v>0</v>
      </c>
      <c r="R2810" s="84">
        <f>IF(ISNUMBER($I2810),ABS($I2810),0)</f>
        <v>0</v>
      </c>
      <c r="S2810" s="84">
        <f>IF(ISNUMBER($M2810),ABS($M2810),0)</f>
        <v>0</v>
      </c>
      <c r="T2810" s="85" t="n">
        <v>2802</v>
      </c>
    </row>
    <row r="2811">
      <c r="B2811" s="83" t="n"/>
      <c r="C2811" s="83" t="n"/>
      <c r="D2811" s="83" t="n"/>
      <c r="E2811" s="83" t="n"/>
      <c r="F2811" s="83" t="n"/>
      <c r="G2811" s="83" t="n"/>
      <c r="H2811" s="83" t="n"/>
      <c r="I2811" s="83" t="n"/>
      <c r="J2811" s="83" t="n"/>
      <c r="K2811" s="83" t="n"/>
      <c r="L2811" s="83" t="n"/>
      <c r="M2811" s="83" t="n"/>
      <c r="O2811" s="84" t="str">
        <f>IF($C2811="","",IFERROR(MATCH($B2811&amp;"|"&amp;$C2811,MUROS!$AX$11:$AX$70,0),0))</f>
        <v/>
      </c>
      <c r="P2811" s="84" t="str">
        <f>IF($D2811="","",IF(ISNUMBER(MATCH($D2811,CMB_S,0)),1,IF(ISNUMBER(MATCH($D2811,CMB_G,0)),2,0)))</f>
        <v/>
      </c>
      <c r="Q2811" s="84">
        <f>IF(ISNUMBER($H2811),-$H2811,0)</f>
        <v>0</v>
      </c>
      <c r="R2811" s="84">
        <f>IF(ISNUMBER($I2811),ABS($I2811),0)</f>
        <v>0</v>
      </c>
      <c r="S2811" s="84">
        <f>IF(ISNUMBER($M2811),ABS($M2811),0)</f>
        <v>0</v>
      </c>
      <c r="T2811" s="85" t="n">
        <v>2803</v>
      </c>
    </row>
    <row r="2812">
      <c r="B2812" s="83" t="n"/>
      <c r="C2812" s="83" t="n"/>
      <c r="D2812" s="83" t="n"/>
      <c r="E2812" s="83" t="n"/>
      <c r="F2812" s="83" t="n"/>
      <c r="G2812" s="83" t="n"/>
      <c r="H2812" s="83" t="n"/>
      <c r="I2812" s="83" t="n"/>
      <c r="J2812" s="83" t="n"/>
      <c r="K2812" s="83" t="n"/>
      <c r="L2812" s="83" t="n"/>
      <c r="M2812" s="83" t="n"/>
      <c r="O2812" s="84" t="str">
        <f>IF($C2812="","",IFERROR(MATCH($B2812&amp;"|"&amp;$C2812,MUROS!$AX$11:$AX$70,0),0))</f>
        <v/>
      </c>
      <c r="P2812" s="84" t="str">
        <f>IF($D2812="","",IF(ISNUMBER(MATCH($D2812,CMB_S,0)),1,IF(ISNUMBER(MATCH($D2812,CMB_G,0)),2,0)))</f>
        <v/>
      </c>
      <c r="Q2812" s="84">
        <f>IF(ISNUMBER($H2812),-$H2812,0)</f>
        <v>0</v>
      </c>
      <c r="R2812" s="84">
        <f>IF(ISNUMBER($I2812),ABS($I2812),0)</f>
        <v>0</v>
      </c>
      <c r="S2812" s="84">
        <f>IF(ISNUMBER($M2812),ABS($M2812),0)</f>
        <v>0</v>
      </c>
      <c r="T2812" s="85" t="n">
        <v>2804</v>
      </c>
    </row>
    <row r="2813">
      <c r="B2813" s="83" t="n"/>
      <c r="C2813" s="83" t="n"/>
      <c r="D2813" s="83" t="n"/>
      <c r="E2813" s="83" t="n"/>
      <c r="F2813" s="83" t="n"/>
      <c r="G2813" s="83" t="n"/>
      <c r="H2813" s="83" t="n"/>
      <c r="I2813" s="83" t="n"/>
      <c r="J2813" s="83" t="n"/>
      <c r="K2813" s="83" t="n"/>
      <c r="L2813" s="83" t="n"/>
      <c r="M2813" s="83" t="n"/>
      <c r="O2813" s="84" t="str">
        <f>IF($C2813="","",IFERROR(MATCH($B2813&amp;"|"&amp;$C2813,MUROS!$AX$11:$AX$70,0),0))</f>
        <v/>
      </c>
      <c r="P2813" s="84" t="str">
        <f>IF($D2813="","",IF(ISNUMBER(MATCH($D2813,CMB_S,0)),1,IF(ISNUMBER(MATCH($D2813,CMB_G,0)),2,0)))</f>
        <v/>
      </c>
      <c r="Q2813" s="84">
        <f>IF(ISNUMBER($H2813),-$H2813,0)</f>
        <v>0</v>
      </c>
      <c r="R2813" s="84">
        <f>IF(ISNUMBER($I2813),ABS($I2813),0)</f>
        <v>0</v>
      </c>
      <c r="S2813" s="84">
        <f>IF(ISNUMBER($M2813),ABS($M2813),0)</f>
        <v>0</v>
      </c>
      <c r="T2813" s="85" t="n">
        <v>2805</v>
      </c>
    </row>
    <row r="2814">
      <c r="B2814" s="83" t="n"/>
      <c r="C2814" s="83" t="n"/>
      <c r="D2814" s="83" t="n"/>
      <c r="E2814" s="83" t="n"/>
      <c r="F2814" s="83" t="n"/>
      <c r="G2814" s="83" t="n"/>
      <c r="H2814" s="83" t="n"/>
      <c r="I2814" s="83" t="n"/>
      <c r="J2814" s="83" t="n"/>
      <c r="K2814" s="83" t="n"/>
      <c r="L2814" s="83" t="n"/>
      <c r="M2814" s="83" t="n"/>
      <c r="O2814" s="84" t="str">
        <f>IF($C2814="","",IFERROR(MATCH($B2814&amp;"|"&amp;$C2814,MUROS!$AX$11:$AX$70,0),0))</f>
        <v/>
      </c>
      <c r="P2814" s="84" t="str">
        <f>IF($D2814="","",IF(ISNUMBER(MATCH($D2814,CMB_S,0)),1,IF(ISNUMBER(MATCH($D2814,CMB_G,0)),2,0)))</f>
        <v/>
      </c>
      <c r="Q2814" s="84">
        <f>IF(ISNUMBER($H2814),-$H2814,0)</f>
        <v>0</v>
      </c>
      <c r="R2814" s="84">
        <f>IF(ISNUMBER($I2814),ABS($I2814),0)</f>
        <v>0</v>
      </c>
      <c r="S2814" s="84">
        <f>IF(ISNUMBER($M2814),ABS($M2814),0)</f>
        <v>0</v>
      </c>
      <c r="T2814" s="85" t="n">
        <v>2806</v>
      </c>
    </row>
    <row r="2815">
      <c r="B2815" s="83" t="n"/>
      <c r="C2815" s="83" t="n"/>
      <c r="D2815" s="83" t="n"/>
      <c r="E2815" s="83" t="n"/>
      <c r="F2815" s="83" t="n"/>
      <c r="G2815" s="83" t="n"/>
      <c r="H2815" s="83" t="n"/>
      <c r="I2815" s="83" t="n"/>
      <c r="J2815" s="83" t="n"/>
      <c r="K2815" s="83" t="n"/>
      <c r="L2815" s="83" t="n"/>
      <c r="M2815" s="83" t="n"/>
      <c r="O2815" s="84" t="str">
        <f>IF($C2815="","",IFERROR(MATCH($B2815&amp;"|"&amp;$C2815,MUROS!$AX$11:$AX$70,0),0))</f>
        <v/>
      </c>
      <c r="P2815" s="84" t="str">
        <f>IF($D2815="","",IF(ISNUMBER(MATCH($D2815,CMB_S,0)),1,IF(ISNUMBER(MATCH($D2815,CMB_G,0)),2,0)))</f>
        <v/>
      </c>
      <c r="Q2815" s="84">
        <f>IF(ISNUMBER($H2815),-$H2815,0)</f>
        <v>0</v>
      </c>
      <c r="R2815" s="84">
        <f>IF(ISNUMBER($I2815),ABS($I2815),0)</f>
        <v>0</v>
      </c>
      <c r="S2815" s="84">
        <f>IF(ISNUMBER($M2815),ABS($M2815),0)</f>
        <v>0</v>
      </c>
      <c r="T2815" s="85" t="n">
        <v>2807</v>
      </c>
    </row>
    <row r="2816">
      <c r="B2816" s="83" t="n"/>
      <c r="C2816" s="83" t="n"/>
      <c r="D2816" s="83" t="n"/>
      <c r="E2816" s="83" t="n"/>
      <c r="F2816" s="83" t="n"/>
      <c r="G2816" s="83" t="n"/>
      <c r="H2816" s="83" t="n"/>
      <c r="I2816" s="83" t="n"/>
      <c r="J2816" s="83" t="n"/>
      <c r="K2816" s="83" t="n"/>
      <c r="L2816" s="83" t="n"/>
      <c r="M2816" s="83" t="n"/>
      <c r="O2816" s="84" t="str">
        <f>IF($C2816="","",IFERROR(MATCH($B2816&amp;"|"&amp;$C2816,MUROS!$AX$11:$AX$70,0),0))</f>
        <v/>
      </c>
      <c r="P2816" s="84" t="str">
        <f>IF($D2816="","",IF(ISNUMBER(MATCH($D2816,CMB_S,0)),1,IF(ISNUMBER(MATCH($D2816,CMB_G,0)),2,0)))</f>
        <v/>
      </c>
      <c r="Q2816" s="84">
        <f>IF(ISNUMBER($H2816),-$H2816,0)</f>
        <v>0</v>
      </c>
      <c r="R2816" s="84">
        <f>IF(ISNUMBER($I2816),ABS($I2816),0)</f>
        <v>0</v>
      </c>
      <c r="S2816" s="84">
        <f>IF(ISNUMBER($M2816),ABS($M2816),0)</f>
        <v>0</v>
      </c>
      <c r="T2816" s="85" t="n">
        <v>2808</v>
      </c>
    </row>
    <row r="2817">
      <c r="B2817" s="83" t="n"/>
      <c r="C2817" s="83" t="n"/>
      <c r="D2817" s="83" t="n"/>
      <c r="E2817" s="83" t="n"/>
      <c r="F2817" s="83" t="n"/>
      <c r="G2817" s="83" t="n"/>
      <c r="H2817" s="83" t="n"/>
      <c r="I2817" s="83" t="n"/>
      <c r="J2817" s="83" t="n"/>
      <c r="K2817" s="83" t="n"/>
      <c r="L2817" s="83" t="n"/>
      <c r="M2817" s="83" t="n"/>
      <c r="O2817" s="84" t="str">
        <f>IF($C2817="","",IFERROR(MATCH($B2817&amp;"|"&amp;$C2817,MUROS!$AX$11:$AX$70,0),0))</f>
        <v/>
      </c>
      <c r="P2817" s="84" t="str">
        <f>IF($D2817="","",IF(ISNUMBER(MATCH($D2817,CMB_S,0)),1,IF(ISNUMBER(MATCH($D2817,CMB_G,0)),2,0)))</f>
        <v/>
      </c>
      <c r="Q2817" s="84">
        <f>IF(ISNUMBER($H2817),-$H2817,0)</f>
        <v>0</v>
      </c>
      <c r="R2817" s="84">
        <f>IF(ISNUMBER($I2817),ABS($I2817),0)</f>
        <v>0</v>
      </c>
      <c r="S2817" s="84">
        <f>IF(ISNUMBER($M2817),ABS($M2817),0)</f>
        <v>0</v>
      </c>
      <c r="T2817" s="85" t="n">
        <v>2809</v>
      </c>
    </row>
    <row r="2818">
      <c r="B2818" s="83" t="n"/>
      <c r="C2818" s="83" t="n"/>
      <c r="D2818" s="83" t="n"/>
      <c r="E2818" s="83" t="n"/>
      <c r="F2818" s="83" t="n"/>
      <c r="G2818" s="83" t="n"/>
      <c r="H2818" s="83" t="n"/>
      <c r="I2818" s="83" t="n"/>
      <c r="J2818" s="83" t="n"/>
      <c r="K2818" s="83" t="n"/>
      <c r="L2818" s="83" t="n"/>
      <c r="M2818" s="83" t="n"/>
      <c r="O2818" s="84" t="str">
        <f>IF($C2818="","",IFERROR(MATCH($B2818&amp;"|"&amp;$C2818,MUROS!$AX$11:$AX$70,0),0))</f>
        <v/>
      </c>
      <c r="P2818" s="84" t="str">
        <f>IF($D2818="","",IF(ISNUMBER(MATCH($D2818,CMB_S,0)),1,IF(ISNUMBER(MATCH($D2818,CMB_G,0)),2,0)))</f>
        <v/>
      </c>
      <c r="Q2818" s="84">
        <f>IF(ISNUMBER($H2818),-$H2818,0)</f>
        <v>0</v>
      </c>
      <c r="R2818" s="84">
        <f>IF(ISNUMBER($I2818),ABS($I2818),0)</f>
        <v>0</v>
      </c>
      <c r="S2818" s="84">
        <f>IF(ISNUMBER($M2818),ABS($M2818),0)</f>
        <v>0</v>
      </c>
      <c r="T2818" s="85" t="n">
        <v>2810</v>
      </c>
    </row>
    <row r="2819">
      <c r="B2819" s="83" t="n"/>
      <c r="C2819" s="83" t="n"/>
      <c r="D2819" s="83" t="n"/>
      <c r="E2819" s="83" t="n"/>
      <c r="F2819" s="83" t="n"/>
      <c r="G2819" s="83" t="n"/>
      <c r="H2819" s="83" t="n"/>
      <c r="I2819" s="83" t="n"/>
      <c r="J2819" s="83" t="n"/>
      <c r="K2819" s="83" t="n"/>
      <c r="L2819" s="83" t="n"/>
      <c r="M2819" s="83" t="n"/>
      <c r="O2819" s="84" t="str">
        <f>IF($C2819="","",IFERROR(MATCH($B2819&amp;"|"&amp;$C2819,MUROS!$AX$11:$AX$70,0),0))</f>
        <v/>
      </c>
      <c r="P2819" s="84" t="str">
        <f>IF($D2819="","",IF(ISNUMBER(MATCH($D2819,CMB_S,0)),1,IF(ISNUMBER(MATCH($D2819,CMB_G,0)),2,0)))</f>
        <v/>
      </c>
      <c r="Q2819" s="84">
        <f>IF(ISNUMBER($H2819),-$H2819,0)</f>
        <v>0</v>
      </c>
      <c r="R2819" s="84">
        <f>IF(ISNUMBER($I2819),ABS($I2819),0)</f>
        <v>0</v>
      </c>
      <c r="S2819" s="84">
        <f>IF(ISNUMBER($M2819),ABS($M2819),0)</f>
        <v>0</v>
      </c>
      <c r="T2819" s="85" t="n">
        <v>2811</v>
      </c>
    </row>
    <row r="2820">
      <c r="B2820" s="83" t="n"/>
      <c r="C2820" s="83" t="n"/>
      <c r="D2820" s="83" t="n"/>
      <c r="E2820" s="83" t="n"/>
      <c r="F2820" s="83" t="n"/>
      <c r="G2820" s="83" t="n"/>
      <c r="H2820" s="83" t="n"/>
      <c r="I2820" s="83" t="n"/>
      <c r="J2820" s="83" t="n"/>
      <c r="K2820" s="83" t="n"/>
      <c r="L2820" s="83" t="n"/>
      <c r="M2820" s="83" t="n"/>
      <c r="O2820" s="84" t="str">
        <f>IF($C2820="","",IFERROR(MATCH($B2820&amp;"|"&amp;$C2820,MUROS!$AX$11:$AX$70,0),0))</f>
        <v/>
      </c>
      <c r="P2820" s="84" t="str">
        <f>IF($D2820="","",IF(ISNUMBER(MATCH($D2820,CMB_S,0)),1,IF(ISNUMBER(MATCH($D2820,CMB_G,0)),2,0)))</f>
        <v/>
      </c>
      <c r="Q2820" s="84">
        <f>IF(ISNUMBER($H2820),-$H2820,0)</f>
        <v>0</v>
      </c>
      <c r="R2820" s="84">
        <f>IF(ISNUMBER($I2820),ABS($I2820),0)</f>
        <v>0</v>
      </c>
      <c r="S2820" s="84">
        <f>IF(ISNUMBER($M2820),ABS($M2820),0)</f>
        <v>0</v>
      </c>
      <c r="T2820" s="85" t="n">
        <v>2812</v>
      </c>
    </row>
    <row r="2821">
      <c r="B2821" s="83" t="n"/>
      <c r="C2821" s="83" t="n"/>
      <c r="D2821" s="83" t="n"/>
      <c r="E2821" s="83" t="n"/>
      <c r="F2821" s="83" t="n"/>
      <c r="G2821" s="83" t="n"/>
      <c r="H2821" s="83" t="n"/>
      <c r="I2821" s="83" t="n"/>
      <c r="J2821" s="83" t="n"/>
      <c r="K2821" s="83" t="n"/>
      <c r="L2821" s="83" t="n"/>
      <c r="M2821" s="83" t="n"/>
      <c r="O2821" s="84" t="str">
        <f>IF($C2821="","",IFERROR(MATCH($B2821&amp;"|"&amp;$C2821,MUROS!$AX$11:$AX$70,0),0))</f>
        <v/>
      </c>
      <c r="P2821" s="84" t="str">
        <f>IF($D2821="","",IF(ISNUMBER(MATCH($D2821,CMB_S,0)),1,IF(ISNUMBER(MATCH($D2821,CMB_G,0)),2,0)))</f>
        <v/>
      </c>
      <c r="Q2821" s="84">
        <f>IF(ISNUMBER($H2821),-$H2821,0)</f>
        <v>0</v>
      </c>
      <c r="R2821" s="84">
        <f>IF(ISNUMBER($I2821),ABS($I2821),0)</f>
        <v>0</v>
      </c>
      <c r="S2821" s="84">
        <f>IF(ISNUMBER($M2821),ABS($M2821),0)</f>
        <v>0</v>
      </c>
      <c r="T2821" s="85" t="n">
        <v>2813</v>
      </c>
    </row>
    <row r="2822">
      <c r="B2822" s="83" t="n"/>
      <c r="C2822" s="83" t="n"/>
      <c r="D2822" s="83" t="n"/>
      <c r="E2822" s="83" t="n"/>
      <c r="F2822" s="83" t="n"/>
      <c r="G2822" s="83" t="n"/>
      <c r="H2822" s="83" t="n"/>
      <c r="I2822" s="83" t="n"/>
      <c r="J2822" s="83" t="n"/>
      <c r="K2822" s="83" t="n"/>
      <c r="L2822" s="83" t="n"/>
      <c r="M2822" s="83" t="n"/>
      <c r="O2822" s="84" t="str">
        <f>IF($C2822="","",IFERROR(MATCH($B2822&amp;"|"&amp;$C2822,MUROS!$AX$11:$AX$70,0),0))</f>
        <v/>
      </c>
      <c r="P2822" s="84" t="str">
        <f>IF($D2822="","",IF(ISNUMBER(MATCH($D2822,CMB_S,0)),1,IF(ISNUMBER(MATCH($D2822,CMB_G,0)),2,0)))</f>
        <v/>
      </c>
      <c r="Q2822" s="84">
        <f>IF(ISNUMBER($H2822),-$H2822,0)</f>
        <v>0</v>
      </c>
      <c r="R2822" s="84">
        <f>IF(ISNUMBER($I2822),ABS($I2822),0)</f>
        <v>0</v>
      </c>
      <c r="S2822" s="84">
        <f>IF(ISNUMBER($M2822),ABS($M2822),0)</f>
        <v>0</v>
      </c>
      <c r="T2822" s="85" t="n">
        <v>2814</v>
      </c>
    </row>
    <row r="2823">
      <c r="B2823" s="83" t="n"/>
      <c r="C2823" s="83" t="n"/>
      <c r="D2823" s="83" t="n"/>
      <c r="E2823" s="83" t="n"/>
      <c r="F2823" s="83" t="n"/>
      <c r="G2823" s="83" t="n"/>
      <c r="H2823" s="83" t="n"/>
      <c r="I2823" s="83" t="n"/>
      <c r="J2823" s="83" t="n"/>
      <c r="K2823" s="83" t="n"/>
      <c r="L2823" s="83" t="n"/>
      <c r="M2823" s="83" t="n"/>
      <c r="O2823" s="84" t="str">
        <f>IF($C2823="","",IFERROR(MATCH($B2823&amp;"|"&amp;$C2823,MUROS!$AX$11:$AX$70,0),0))</f>
        <v/>
      </c>
      <c r="P2823" s="84" t="str">
        <f>IF($D2823="","",IF(ISNUMBER(MATCH($D2823,CMB_S,0)),1,IF(ISNUMBER(MATCH($D2823,CMB_G,0)),2,0)))</f>
        <v/>
      </c>
      <c r="Q2823" s="84">
        <f>IF(ISNUMBER($H2823),-$H2823,0)</f>
        <v>0</v>
      </c>
      <c r="R2823" s="84">
        <f>IF(ISNUMBER($I2823),ABS($I2823),0)</f>
        <v>0</v>
      </c>
      <c r="S2823" s="84">
        <f>IF(ISNUMBER($M2823),ABS($M2823),0)</f>
        <v>0</v>
      </c>
      <c r="T2823" s="85" t="n">
        <v>2815</v>
      </c>
    </row>
    <row r="2824">
      <c r="B2824" s="83" t="n"/>
      <c r="C2824" s="83" t="n"/>
      <c r="D2824" s="83" t="n"/>
      <c r="E2824" s="83" t="n"/>
      <c r="F2824" s="83" t="n"/>
      <c r="G2824" s="83" t="n"/>
      <c r="H2824" s="83" t="n"/>
      <c r="I2824" s="83" t="n"/>
      <c r="J2824" s="83" t="n"/>
      <c r="K2824" s="83" t="n"/>
      <c r="L2824" s="83" t="n"/>
      <c r="M2824" s="83" t="n"/>
      <c r="O2824" s="84" t="str">
        <f>IF($C2824="","",IFERROR(MATCH($B2824&amp;"|"&amp;$C2824,MUROS!$AX$11:$AX$70,0),0))</f>
        <v/>
      </c>
      <c r="P2824" s="84" t="str">
        <f>IF($D2824="","",IF(ISNUMBER(MATCH($D2824,CMB_S,0)),1,IF(ISNUMBER(MATCH($D2824,CMB_G,0)),2,0)))</f>
        <v/>
      </c>
      <c r="Q2824" s="84">
        <f>IF(ISNUMBER($H2824),-$H2824,0)</f>
        <v>0</v>
      </c>
      <c r="R2824" s="84">
        <f>IF(ISNUMBER($I2824),ABS($I2824),0)</f>
        <v>0</v>
      </c>
      <c r="S2824" s="84">
        <f>IF(ISNUMBER($M2824),ABS($M2824),0)</f>
        <v>0</v>
      </c>
      <c r="T2824" s="85" t="n">
        <v>2816</v>
      </c>
    </row>
    <row r="2825">
      <c r="B2825" s="83" t="n"/>
      <c r="C2825" s="83" t="n"/>
      <c r="D2825" s="83" t="n"/>
      <c r="E2825" s="83" t="n"/>
      <c r="F2825" s="83" t="n"/>
      <c r="G2825" s="83" t="n"/>
      <c r="H2825" s="83" t="n"/>
      <c r="I2825" s="83" t="n"/>
      <c r="J2825" s="83" t="n"/>
      <c r="K2825" s="83" t="n"/>
      <c r="L2825" s="83" t="n"/>
      <c r="M2825" s="83" t="n"/>
      <c r="O2825" s="84" t="str">
        <f>IF($C2825="","",IFERROR(MATCH($B2825&amp;"|"&amp;$C2825,MUROS!$AX$11:$AX$70,0),0))</f>
        <v/>
      </c>
      <c r="P2825" s="84" t="str">
        <f>IF($D2825="","",IF(ISNUMBER(MATCH($D2825,CMB_S,0)),1,IF(ISNUMBER(MATCH($D2825,CMB_G,0)),2,0)))</f>
        <v/>
      </c>
      <c r="Q2825" s="84">
        <f>IF(ISNUMBER($H2825),-$H2825,0)</f>
        <v>0</v>
      </c>
      <c r="R2825" s="84">
        <f>IF(ISNUMBER($I2825),ABS($I2825),0)</f>
        <v>0</v>
      </c>
      <c r="S2825" s="84">
        <f>IF(ISNUMBER($M2825),ABS($M2825),0)</f>
        <v>0</v>
      </c>
      <c r="T2825" s="85" t="n">
        <v>2817</v>
      </c>
    </row>
    <row r="2826">
      <c r="B2826" s="83" t="n"/>
      <c r="C2826" s="83" t="n"/>
      <c r="D2826" s="83" t="n"/>
      <c r="E2826" s="83" t="n"/>
      <c r="F2826" s="83" t="n"/>
      <c r="G2826" s="83" t="n"/>
      <c r="H2826" s="83" t="n"/>
      <c r="I2826" s="83" t="n"/>
      <c r="J2826" s="83" t="n"/>
      <c r="K2826" s="83" t="n"/>
      <c r="L2826" s="83" t="n"/>
      <c r="M2826" s="83" t="n"/>
      <c r="O2826" s="84" t="str">
        <f>IF($C2826="","",IFERROR(MATCH($B2826&amp;"|"&amp;$C2826,MUROS!$AX$11:$AX$70,0),0))</f>
        <v/>
      </c>
      <c r="P2826" s="84" t="str">
        <f>IF($D2826="","",IF(ISNUMBER(MATCH($D2826,CMB_S,0)),1,IF(ISNUMBER(MATCH($D2826,CMB_G,0)),2,0)))</f>
        <v/>
      </c>
      <c r="Q2826" s="84">
        <f>IF(ISNUMBER($H2826),-$H2826,0)</f>
        <v>0</v>
      </c>
      <c r="R2826" s="84">
        <f>IF(ISNUMBER($I2826),ABS($I2826),0)</f>
        <v>0</v>
      </c>
      <c r="S2826" s="84">
        <f>IF(ISNUMBER($M2826),ABS($M2826),0)</f>
        <v>0</v>
      </c>
      <c r="T2826" s="85" t="n">
        <v>2818</v>
      </c>
    </row>
    <row r="2827">
      <c r="B2827" s="83" t="n"/>
      <c r="C2827" s="83" t="n"/>
      <c r="D2827" s="83" t="n"/>
      <c r="E2827" s="83" t="n"/>
      <c r="F2827" s="83" t="n"/>
      <c r="G2827" s="83" t="n"/>
      <c r="H2827" s="83" t="n"/>
      <c r="I2827" s="83" t="n"/>
      <c r="J2827" s="83" t="n"/>
      <c r="K2827" s="83" t="n"/>
      <c r="L2827" s="83" t="n"/>
      <c r="M2827" s="83" t="n"/>
      <c r="O2827" s="84" t="str">
        <f>IF($C2827="","",IFERROR(MATCH($B2827&amp;"|"&amp;$C2827,MUROS!$AX$11:$AX$70,0),0))</f>
        <v/>
      </c>
      <c r="P2827" s="84" t="str">
        <f>IF($D2827="","",IF(ISNUMBER(MATCH($D2827,CMB_S,0)),1,IF(ISNUMBER(MATCH($D2827,CMB_G,0)),2,0)))</f>
        <v/>
      </c>
      <c r="Q2827" s="84">
        <f>IF(ISNUMBER($H2827),-$H2827,0)</f>
        <v>0</v>
      </c>
      <c r="R2827" s="84">
        <f>IF(ISNUMBER($I2827),ABS($I2827),0)</f>
        <v>0</v>
      </c>
      <c r="S2827" s="84">
        <f>IF(ISNUMBER($M2827),ABS($M2827),0)</f>
        <v>0</v>
      </c>
      <c r="T2827" s="85" t="n">
        <v>2819</v>
      </c>
    </row>
    <row r="2828">
      <c r="B2828" s="83" t="n"/>
      <c r="C2828" s="83" t="n"/>
      <c r="D2828" s="83" t="n"/>
      <c r="E2828" s="83" t="n"/>
      <c r="F2828" s="83" t="n"/>
      <c r="G2828" s="83" t="n"/>
      <c r="H2828" s="83" t="n"/>
      <c r="I2828" s="83" t="n"/>
      <c r="J2828" s="83" t="n"/>
      <c r="K2828" s="83" t="n"/>
      <c r="L2828" s="83" t="n"/>
      <c r="M2828" s="83" t="n"/>
      <c r="O2828" s="84" t="str">
        <f>IF($C2828="","",IFERROR(MATCH($B2828&amp;"|"&amp;$C2828,MUROS!$AX$11:$AX$70,0),0))</f>
        <v/>
      </c>
      <c r="P2828" s="84" t="str">
        <f>IF($D2828="","",IF(ISNUMBER(MATCH($D2828,CMB_S,0)),1,IF(ISNUMBER(MATCH($D2828,CMB_G,0)),2,0)))</f>
        <v/>
      </c>
      <c r="Q2828" s="84">
        <f>IF(ISNUMBER($H2828),-$H2828,0)</f>
        <v>0</v>
      </c>
      <c r="R2828" s="84">
        <f>IF(ISNUMBER($I2828),ABS($I2828),0)</f>
        <v>0</v>
      </c>
      <c r="S2828" s="84">
        <f>IF(ISNUMBER($M2828),ABS($M2828),0)</f>
        <v>0</v>
      </c>
      <c r="T2828" s="85" t="n">
        <v>2820</v>
      </c>
    </row>
    <row r="2829">
      <c r="B2829" s="83" t="n"/>
      <c r="C2829" s="83" t="n"/>
      <c r="D2829" s="83" t="n"/>
      <c r="E2829" s="83" t="n"/>
      <c r="F2829" s="83" t="n"/>
      <c r="G2829" s="83" t="n"/>
      <c r="H2829" s="83" t="n"/>
      <c r="I2829" s="83" t="n"/>
      <c r="J2829" s="83" t="n"/>
      <c r="K2829" s="83" t="n"/>
      <c r="L2829" s="83" t="n"/>
      <c r="M2829" s="83" t="n"/>
      <c r="O2829" s="84" t="str">
        <f>IF($C2829="","",IFERROR(MATCH($B2829&amp;"|"&amp;$C2829,MUROS!$AX$11:$AX$70,0),0))</f>
        <v/>
      </c>
      <c r="P2829" s="84" t="str">
        <f>IF($D2829="","",IF(ISNUMBER(MATCH($D2829,CMB_S,0)),1,IF(ISNUMBER(MATCH($D2829,CMB_G,0)),2,0)))</f>
        <v/>
      </c>
      <c r="Q2829" s="84">
        <f>IF(ISNUMBER($H2829),-$H2829,0)</f>
        <v>0</v>
      </c>
      <c r="R2829" s="84">
        <f>IF(ISNUMBER($I2829),ABS($I2829),0)</f>
        <v>0</v>
      </c>
      <c r="S2829" s="84">
        <f>IF(ISNUMBER($M2829),ABS($M2829),0)</f>
        <v>0</v>
      </c>
      <c r="T2829" s="85" t="n">
        <v>2821</v>
      </c>
    </row>
    <row r="2830">
      <c r="B2830" s="83" t="n"/>
      <c r="C2830" s="83" t="n"/>
      <c r="D2830" s="83" t="n"/>
      <c r="E2830" s="83" t="n"/>
      <c r="F2830" s="83" t="n"/>
      <c r="G2830" s="83" t="n"/>
      <c r="H2830" s="83" t="n"/>
      <c r="I2830" s="83" t="n"/>
      <c r="J2830" s="83" t="n"/>
      <c r="K2830" s="83" t="n"/>
      <c r="L2830" s="83" t="n"/>
      <c r="M2830" s="83" t="n"/>
      <c r="O2830" s="84" t="str">
        <f>IF($C2830="","",IFERROR(MATCH($B2830&amp;"|"&amp;$C2830,MUROS!$AX$11:$AX$70,0),0))</f>
        <v/>
      </c>
      <c r="P2830" s="84" t="str">
        <f>IF($D2830="","",IF(ISNUMBER(MATCH($D2830,CMB_S,0)),1,IF(ISNUMBER(MATCH($D2830,CMB_G,0)),2,0)))</f>
        <v/>
      </c>
      <c r="Q2830" s="84">
        <f>IF(ISNUMBER($H2830),-$H2830,0)</f>
        <v>0</v>
      </c>
      <c r="R2830" s="84">
        <f>IF(ISNUMBER($I2830),ABS($I2830),0)</f>
        <v>0</v>
      </c>
      <c r="S2830" s="84">
        <f>IF(ISNUMBER($M2830),ABS($M2830),0)</f>
        <v>0</v>
      </c>
      <c r="T2830" s="85" t="n">
        <v>2822</v>
      </c>
    </row>
    <row r="2831">
      <c r="B2831" s="83" t="n"/>
      <c r="C2831" s="83" t="n"/>
      <c r="D2831" s="83" t="n"/>
      <c r="E2831" s="83" t="n"/>
      <c r="F2831" s="83" t="n"/>
      <c r="G2831" s="83" t="n"/>
      <c r="H2831" s="83" t="n"/>
      <c r="I2831" s="83" t="n"/>
      <c r="J2831" s="83" t="n"/>
      <c r="K2831" s="83" t="n"/>
      <c r="L2831" s="83" t="n"/>
      <c r="M2831" s="83" t="n"/>
      <c r="O2831" s="84" t="str">
        <f>IF($C2831="","",IFERROR(MATCH($B2831&amp;"|"&amp;$C2831,MUROS!$AX$11:$AX$70,0),0))</f>
        <v/>
      </c>
      <c r="P2831" s="84" t="str">
        <f>IF($D2831="","",IF(ISNUMBER(MATCH($D2831,CMB_S,0)),1,IF(ISNUMBER(MATCH($D2831,CMB_G,0)),2,0)))</f>
        <v/>
      </c>
      <c r="Q2831" s="84">
        <f>IF(ISNUMBER($H2831),-$H2831,0)</f>
        <v>0</v>
      </c>
      <c r="R2831" s="84">
        <f>IF(ISNUMBER($I2831),ABS($I2831),0)</f>
        <v>0</v>
      </c>
      <c r="S2831" s="84">
        <f>IF(ISNUMBER($M2831),ABS($M2831),0)</f>
        <v>0</v>
      </c>
      <c r="T2831" s="85" t="n">
        <v>2823</v>
      </c>
    </row>
    <row r="2832">
      <c r="B2832" s="83" t="n"/>
      <c r="C2832" s="83" t="n"/>
      <c r="D2832" s="83" t="n"/>
      <c r="E2832" s="83" t="n"/>
      <c r="F2832" s="83" t="n"/>
      <c r="G2832" s="83" t="n"/>
      <c r="H2832" s="83" t="n"/>
      <c r="I2832" s="83" t="n"/>
      <c r="J2832" s="83" t="n"/>
      <c r="K2832" s="83" t="n"/>
      <c r="L2832" s="83" t="n"/>
      <c r="M2832" s="83" t="n"/>
      <c r="O2832" s="84" t="str">
        <f>IF($C2832="","",IFERROR(MATCH($B2832&amp;"|"&amp;$C2832,MUROS!$AX$11:$AX$70,0),0))</f>
        <v/>
      </c>
      <c r="P2832" s="84" t="str">
        <f>IF($D2832="","",IF(ISNUMBER(MATCH($D2832,CMB_S,0)),1,IF(ISNUMBER(MATCH($D2832,CMB_G,0)),2,0)))</f>
        <v/>
      </c>
      <c r="Q2832" s="84">
        <f>IF(ISNUMBER($H2832),-$H2832,0)</f>
        <v>0</v>
      </c>
      <c r="R2832" s="84">
        <f>IF(ISNUMBER($I2832),ABS($I2832),0)</f>
        <v>0</v>
      </c>
      <c r="S2832" s="84">
        <f>IF(ISNUMBER($M2832),ABS($M2832),0)</f>
        <v>0</v>
      </c>
      <c r="T2832" s="85" t="n">
        <v>2824</v>
      </c>
    </row>
    <row r="2833">
      <c r="B2833" s="83" t="n"/>
      <c r="C2833" s="83" t="n"/>
      <c r="D2833" s="83" t="n"/>
      <c r="E2833" s="83" t="n"/>
      <c r="F2833" s="83" t="n"/>
      <c r="G2833" s="83" t="n"/>
      <c r="H2833" s="83" t="n"/>
      <c r="I2833" s="83" t="n"/>
      <c r="J2833" s="83" t="n"/>
      <c r="K2833" s="83" t="n"/>
      <c r="L2833" s="83" t="n"/>
      <c r="M2833" s="83" t="n"/>
      <c r="O2833" s="84" t="str">
        <f>IF($C2833="","",IFERROR(MATCH($B2833&amp;"|"&amp;$C2833,MUROS!$AX$11:$AX$70,0),0))</f>
        <v/>
      </c>
      <c r="P2833" s="84" t="str">
        <f>IF($D2833="","",IF(ISNUMBER(MATCH($D2833,CMB_S,0)),1,IF(ISNUMBER(MATCH($D2833,CMB_G,0)),2,0)))</f>
        <v/>
      </c>
      <c r="Q2833" s="84">
        <f>IF(ISNUMBER($H2833),-$H2833,0)</f>
        <v>0</v>
      </c>
      <c r="R2833" s="84">
        <f>IF(ISNUMBER($I2833),ABS($I2833),0)</f>
        <v>0</v>
      </c>
      <c r="S2833" s="84">
        <f>IF(ISNUMBER($M2833),ABS($M2833),0)</f>
        <v>0</v>
      </c>
      <c r="T2833" s="85" t="n">
        <v>2825</v>
      </c>
    </row>
    <row r="2834">
      <c r="B2834" s="83" t="n"/>
      <c r="C2834" s="83" t="n"/>
      <c r="D2834" s="83" t="n"/>
      <c r="E2834" s="83" t="n"/>
      <c r="F2834" s="83" t="n"/>
      <c r="G2834" s="83" t="n"/>
      <c r="H2834" s="83" t="n"/>
      <c r="I2834" s="83" t="n"/>
      <c r="J2834" s="83" t="n"/>
      <c r="K2834" s="83" t="n"/>
      <c r="L2834" s="83" t="n"/>
      <c r="M2834" s="83" t="n"/>
      <c r="O2834" s="84" t="str">
        <f>IF($C2834="","",IFERROR(MATCH($B2834&amp;"|"&amp;$C2834,MUROS!$AX$11:$AX$70,0),0))</f>
        <v/>
      </c>
      <c r="P2834" s="84" t="str">
        <f>IF($D2834="","",IF(ISNUMBER(MATCH($D2834,CMB_S,0)),1,IF(ISNUMBER(MATCH($D2834,CMB_G,0)),2,0)))</f>
        <v/>
      </c>
      <c r="Q2834" s="84">
        <f>IF(ISNUMBER($H2834),-$H2834,0)</f>
        <v>0</v>
      </c>
      <c r="R2834" s="84">
        <f>IF(ISNUMBER($I2834),ABS($I2834),0)</f>
        <v>0</v>
      </c>
      <c r="S2834" s="84">
        <f>IF(ISNUMBER($M2834),ABS($M2834),0)</f>
        <v>0</v>
      </c>
      <c r="T2834" s="85" t="n">
        <v>2826</v>
      </c>
    </row>
    <row r="2835">
      <c r="B2835" s="83" t="n"/>
      <c r="C2835" s="83" t="n"/>
      <c r="D2835" s="83" t="n"/>
      <c r="E2835" s="83" t="n"/>
      <c r="F2835" s="83" t="n"/>
      <c r="G2835" s="83" t="n"/>
      <c r="H2835" s="83" t="n"/>
      <c r="I2835" s="83" t="n"/>
      <c r="J2835" s="83" t="n"/>
      <c r="K2835" s="83" t="n"/>
      <c r="L2835" s="83" t="n"/>
      <c r="M2835" s="83" t="n"/>
      <c r="O2835" s="84" t="str">
        <f>IF($C2835="","",IFERROR(MATCH($B2835&amp;"|"&amp;$C2835,MUROS!$AX$11:$AX$70,0),0))</f>
        <v/>
      </c>
      <c r="P2835" s="84" t="str">
        <f>IF($D2835="","",IF(ISNUMBER(MATCH($D2835,CMB_S,0)),1,IF(ISNUMBER(MATCH($D2835,CMB_G,0)),2,0)))</f>
        <v/>
      </c>
      <c r="Q2835" s="84">
        <f>IF(ISNUMBER($H2835),-$H2835,0)</f>
        <v>0</v>
      </c>
      <c r="R2835" s="84">
        <f>IF(ISNUMBER($I2835),ABS($I2835),0)</f>
        <v>0</v>
      </c>
      <c r="S2835" s="84">
        <f>IF(ISNUMBER($M2835),ABS($M2835),0)</f>
        <v>0</v>
      </c>
      <c r="T2835" s="85" t="n">
        <v>2827</v>
      </c>
    </row>
    <row r="2836">
      <c r="B2836" s="83" t="n"/>
      <c r="C2836" s="83" t="n"/>
      <c r="D2836" s="83" t="n"/>
      <c r="E2836" s="83" t="n"/>
      <c r="F2836" s="83" t="n"/>
      <c r="G2836" s="83" t="n"/>
      <c r="H2836" s="83" t="n"/>
      <c r="I2836" s="83" t="n"/>
      <c r="J2836" s="83" t="n"/>
      <c r="K2836" s="83" t="n"/>
      <c r="L2836" s="83" t="n"/>
      <c r="M2836" s="83" t="n"/>
      <c r="O2836" s="84" t="str">
        <f>IF($C2836="","",IFERROR(MATCH($B2836&amp;"|"&amp;$C2836,MUROS!$AX$11:$AX$70,0),0))</f>
        <v/>
      </c>
      <c r="P2836" s="84" t="str">
        <f>IF($D2836="","",IF(ISNUMBER(MATCH($D2836,CMB_S,0)),1,IF(ISNUMBER(MATCH($D2836,CMB_G,0)),2,0)))</f>
        <v/>
      </c>
      <c r="Q2836" s="84">
        <f>IF(ISNUMBER($H2836),-$H2836,0)</f>
        <v>0</v>
      </c>
      <c r="R2836" s="84">
        <f>IF(ISNUMBER($I2836),ABS($I2836),0)</f>
        <v>0</v>
      </c>
      <c r="S2836" s="84">
        <f>IF(ISNUMBER($M2836),ABS($M2836),0)</f>
        <v>0</v>
      </c>
      <c r="T2836" s="85" t="n">
        <v>2828</v>
      </c>
    </row>
    <row r="2837">
      <c r="B2837" s="83" t="n"/>
      <c r="C2837" s="83" t="n"/>
      <c r="D2837" s="83" t="n"/>
      <c r="E2837" s="83" t="n"/>
      <c r="F2837" s="83" t="n"/>
      <c r="G2837" s="83" t="n"/>
      <c r="H2837" s="83" t="n"/>
      <c r="I2837" s="83" t="n"/>
      <c r="J2837" s="83" t="n"/>
      <c r="K2837" s="83" t="n"/>
      <c r="L2837" s="83" t="n"/>
      <c r="M2837" s="83" t="n"/>
      <c r="O2837" s="84" t="str">
        <f>IF($C2837="","",IFERROR(MATCH($B2837&amp;"|"&amp;$C2837,MUROS!$AX$11:$AX$70,0),0))</f>
        <v/>
      </c>
      <c r="P2837" s="84" t="str">
        <f>IF($D2837="","",IF(ISNUMBER(MATCH($D2837,CMB_S,0)),1,IF(ISNUMBER(MATCH($D2837,CMB_G,0)),2,0)))</f>
        <v/>
      </c>
      <c r="Q2837" s="84">
        <f>IF(ISNUMBER($H2837),-$H2837,0)</f>
        <v>0</v>
      </c>
      <c r="R2837" s="84">
        <f>IF(ISNUMBER($I2837),ABS($I2837),0)</f>
        <v>0</v>
      </c>
      <c r="S2837" s="84">
        <f>IF(ISNUMBER($M2837),ABS($M2837),0)</f>
        <v>0</v>
      </c>
      <c r="T2837" s="85" t="n">
        <v>2829</v>
      </c>
    </row>
    <row r="2838">
      <c r="B2838" s="83" t="n"/>
      <c r="C2838" s="83" t="n"/>
      <c r="D2838" s="83" t="n"/>
      <c r="E2838" s="83" t="n"/>
      <c r="F2838" s="83" t="n"/>
      <c r="G2838" s="83" t="n"/>
      <c r="H2838" s="83" t="n"/>
      <c r="I2838" s="83" t="n"/>
      <c r="J2838" s="83" t="n"/>
      <c r="K2838" s="83" t="n"/>
      <c r="L2838" s="83" t="n"/>
      <c r="M2838" s="83" t="n"/>
      <c r="O2838" s="84" t="str">
        <f>IF($C2838="","",IFERROR(MATCH($B2838&amp;"|"&amp;$C2838,MUROS!$AX$11:$AX$70,0),0))</f>
        <v/>
      </c>
      <c r="P2838" s="84" t="str">
        <f>IF($D2838="","",IF(ISNUMBER(MATCH($D2838,CMB_S,0)),1,IF(ISNUMBER(MATCH($D2838,CMB_G,0)),2,0)))</f>
        <v/>
      </c>
      <c r="Q2838" s="84">
        <f>IF(ISNUMBER($H2838),-$H2838,0)</f>
        <v>0</v>
      </c>
      <c r="R2838" s="84">
        <f>IF(ISNUMBER($I2838),ABS($I2838),0)</f>
        <v>0</v>
      </c>
      <c r="S2838" s="84">
        <f>IF(ISNUMBER($M2838),ABS($M2838),0)</f>
        <v>0</v>
      </c>
      <c r="T2838" s="85" t="n">
        <v>2830</v>
      </c>
    </row>
    <row r="2839">
      <c r="B2839" s="83" t="n"/>
      <c r="C2839" s="83" t="n"/>
      <c r="D2839" s="83" t="n"/>
      <c r="E2839" s="83" t="n"/>
      <c r="F2839" s="83" t="n"/>
      <c r="G2839" s="83" t="n"/>
      <c r="H2839" s="83" t="n"/>
      <c r="I2839" s="83" t="n"/>
      <c r="J2839" s="83" t="n"/>
      <c r="K2839" s="83" t="n"/>
      <c r="L2839" s="83" t="n"/>
      <c r="M2839" s="83" t="n"/>
      <c r="O2839" s="84" t="str">
        <f>IF($C2839="","",IFERROR(MATCH($B2839&amp;"|"&amp;$C2839,MUROS!$AX$11:$AX$70,0),0))</f>
        <v/>
      </c>
      <c r="P2839" s="84" t="str">
        <f>IF($D2839="","",IF(ISNUMBER(MATCH($D2839,CMB_S,0)),1,IF(ISNUMBER(MATCH($D2839,CMB_G,0)),2,0)))</f>
        <v/>
      </c>
      <c r="Q2839" s="84">
        <f>IF(ISNUMBER($H2839),-$H2839,0)</f>
        <v>0</v>
      </c>
      <c r="R2839" s="84">
        <f>IF(ISNUMBER($I2839),ABS($I2839),0)</f>
        <v>0</v>
      </c>
      <c r="S2839" s="84">
        <f>IF(ISNUMBER($M2839),ABS($M2839),0)</f>
        <v>0</v>
      </c>
      <c r="T2839" s="85" t="n">
        <v>2831</v>
      </c>
    </row>
    <row r="2840">
      <c r="B2840" s="83" t="n"/>
      <c r="C2840" s="83" t="n"/>
      <c r="D2840" s="83" t="n"/>
      <c r="E2840" s="83" t="n"/>
      <c r="F2840" s="83" t="n"/>
      <c r="G2840" s="83" t="n"/>
      <c r="H2840" s="83" t="n"/>
      <c r="I2840" s="83" t="n"/>
      <c r="J2840" s="83" t="n"/>
      <c r="K2840" s="83" t="n"/>
      <c r="L2840" s="83" t="n"/>
      <c r="M2840" s="83" t="n"/>
      <c r="O2840" s="84" t="str">
        <f>IF($C2840="","",IFERROR(MATCH($B2840&amp;"|"&amp;$C2840,MUROS!$AX$11:$AX$70,0),0))</f>
        <v/>
      </c>
      <c r="P2840" s="84" t="str">
        <f>IF($D2840="","",IF(ISNUMBER(MATCH($D2840,CMB_S,0)),1,IF(ISNUMBER(MATCH($D2840,CMB_G,0)),2,0)))</f>
        <v/>
      </c>
      <c r="Q2840" s="84">
        <f>IF(ISNUMBER($H2840),-$H2840,0)</f>
        <v>0</v>
      </c>
      <c r="R2840" s="84">
        <f>IF(ISNUMBER($I2840),ABS($I2840),0)</f>
        <v>0</v>
      </c>
      <c r="S2840" s="84">
        <f>IF(ISNUMBER($M2840),ABS($M2840),0)</f>
        <v>0</v>
      </c>
      <c r="T2840" s="85" t="n">
        <v>2832</v>
      </c>
    </row>
    <row r="2841">
      <c r="B2841" s="83" t="n"/>
      <c r="C2841" s="83" t="n"/>
      <c r="D2841" s="83" t="n"/>
      <c r="E2841" s="83" t="n"/>
      <c r="F2841" s="83" t="n"/>
      <c r="G2841" s="83" t="n"/>
      <c r="H2841" s="83" t="n"/>
      <c r="I2841" s="83" t="n"/>
      <c r="J2841" s="83" t="n"/>
      <c r="K2841" s="83" t="n"/>
      <c r="L2841" s="83" t="n"/>
      <c r="M2841" s="83" t="n"/>
      <c r="O2841" s="84" t="str">
        <f>IF($C2841="","",IFERROR(MATCH($B2841&amp;"|"&amp;$C2841,MUROS!$AX$11:$AX$70,0),0))</f>
        <v/>
      </c>
      <c r="P2841" s="84" t="str">
        <f>IF($D2841="","",IF(ISNUMBER(MATCH($D2841,CMB_S,0)),1,IF(ISNUMBER(MATCH($D2841,CMB_G,0)),2,0)))</f>
        <v/>
      </c>
      <c r="Q2841" s="84">
        <f>IF(ISNUMBER($H2841),-$H2841,0)</f>
        <v>0</v>
      </c>
      <c r="R2841" s="84">
        <f>IF(ISNUMBER($I2841),ABS($I2841),0)</f>
        <v>0</v>
      </c>
      <c r="S2841" s="84">
        <f>IF(ISNUMBER($M2841),ABS($M2841),0)</f>
        <v>0</v>
      </c>
      <c r="T2841" s="85" t="n">
        <v>2833</v>
      </c>
    </row>
    <row r="2842">
      <c r="B2842" s="83" t="n"/>
      <c r="C2842" s="83" t="n"/>
      <c r="D2842" s="83" t="n"/>
      <c r="E2842" s="83" t="n"/>
      <c r="F2842" s="83" t="n"/>
      <c r="G2842" s="83" t="n"/>
      <c r="H2842" s="83" t="n"/>
      <c r="I2842" s="83" t="n"/>
      <c r="J2842" s="83" t="n"/>
      <c r="K2842" s="83" t="n"/>
      <c r="L2842" s="83" t="n"/>
      <c r="M2842" s="83" t="n"/>
      <c r="O2842" s="84" t="str">
        <f>IF($C2842="","",IFERROR(MATCH($B2842&amp;"|"&amp;$C2842,MUROS!$AX$11:$AX$70,0),0))</f>
        <v/>
      </c>
      <c r="P2842" s="84" t="str">
        <f>IF($D2842="","",IF(ISNUMBER(MATCH($D2842,CMB_S,0)),1,IF(ISNUMBER(MATCH($D2842,CMB_G,0)),2,0)))</f>
        <v/>
      </c>
      <c r="Q2842" s="84">
        <f>IF(ISNUMBER($H2842),-$H2842,0)</f>
        <v>0</v>
      </c>
      <c r="R2842" s="84">
        <f>IF(ISNUMBER($I2842),ABS($I2842),0)</f>
        <v>0</v>
      </c>
      <c r="S2842" s="84">
        <f>IF(ISNUMBER($M2842),ABS($M2842),0)</f>
        <v>0</v>
      </c>
      <c r="T2842" s="85" t="n">
        <v>2834</v>
      </c>
    </row>
    <row r="2843">
      <c r="B2843" s="83" t="n"/>
      <c r="C2843" s="83" t="n"/>
      <c r="D2843" s="83" t="n"/>
      <c r="E2843" s="83" t="n"/>
      <c r="F2843" s="83" t="n"/>
      <c r="G2843" s="83" t="n"/>
      <c r="H2843" s="83" t="n"/>
      <c r="I2843" s="83" t="n"/>
      <c r="J2843" s="83" t="n"/>
      <c r="K2843" s="83" t="n"/>
      <c r="L2843" s="83" t="n"/>
      <c r="M2843" s="83" t="n"/>
      <c r="O2843" s="84" t="str">
        <f>IF($C2843="","",IFERROR(MATCH($B2843&amp;"|"&amp;$C2843,MUROS!$AX$11:$AX$70,0),0))</f>
        <v/>
      </c>
      <c r="P2843" s="84" t="str">
        <f>IF($D2843="","",IF(ISNUMBER(MATCH($D2843,CMB_S,0)),1,IF(ISNUMBER(MATCH($D2843,CMB_G,0)),2,0)))</f>
        <v/>
      </c>
      <c r="Q2843" s="84">
        <f>IF(ISNUMBER($H2843),-$H2843,0)</f>
        <v>0</v>
      </c>
      <c r="R2843" s="84">
        <f>IF(ISNUMBER($I2843),ABS($I2843),0)</f>
        <v>0</v>
      </c>
      <c r="S2843" s="84">
        <f>IF(ISNUMBER($M2843),ABS($M2843),0)</f>
        <v>0</v>
      </c>
      <c r="T2843" s="85" t="n">
        <v>2835</v>
      </c>
    </row>
    <row r="2844">
      <c r="B2844" s="83" t="n"/>
      <c r="C2844" s="83" t="n"/>
      <c r="D2844" s="83" t="n"/>
      <c r="E2844" s="83" t="n"/>
      <c r="F2844" s="83" t="n"/>
      <c r="G2844" s="83" t="n"/>
      <c r="H2844" s="83" t="n"/>
      <c r="I2844" s="83" t="n"/>
      <c r="J2844" s="83" t="n"/>
      <c r="K2844" s="83" t="n"/>
      <c r="L2844" s="83" t="n"/>
      <c r="M2844" s="83" t="n"/>
      <c r="O2844" s="84" t="str">
        <f>IF($C2844="","",IFERROR(MATCH($B2844&amp;"|"&amp;$C2844,MUROS!$AX$11:$AX$70,0),0))</f>
        <v/>
      </c>
      <c r="P2844" s="84" t="str">
        <f>IF($D2844="","",IF(ISNUMBER(MATCH($D2844,CMB_S,0)),1,IF(ISNUMBER(MATCH($D2844,CMB_G,0)),2,0)))</f>
        <v/>
      </c>
      <c r="Q2844" s="84">
        <f>IF(ISNUMBER($H2844),-$H2844,0)</f>
        <v>0</v>
      </c>
      <c r="R2844" s="84">
        <f>IF(ISNUMBER($I2844),ABS($I2844),0)</f>
        <v>0</v>
      </c>
      <c r="S2844" s="84">
        <f>IF(ISNUMBER($M2844),ABS($M2844),0)</f>
        <v>0</v>
      </c>
      <c r="T2844" s="85" t="n">
        <v>2836</v>
      </c>
    </row>
    <row r="2845">
      <c r="B2845" s="83" t="n"/>
      <c r="C2845" s="83" t="n"/>
      <c r="D2845" s="83" t="n"/>
      <c r="E2845" s="83" t="n"/>
      <c r="F2845" s="83" t="n"/>
      <c r="G2845" s="83" t="n"/>
      <c r="H2845" s="83" t="n"/>
      <c r="I2845" s="83" t="n"/>
      <c r="J2845" s="83" t="n"/>
      <c r="K2845" s="83" t="n"/>
      <c r="L2845" s="83" t="n"/>
      <c r="M2845" s="83" t="n"/>
      <c r="O2845" s="84" t="str">
        <f>IF($C2845="","",IFERROR(MATCH($B2845&amp;"|"&amp;$C2845,MUROS!$AX$11:$AX$70,0),0))</f>
        <v/>
      </c>
      <c r="P2845" s="84" t="str">
        <f>IF($D2845="","",IF(ISNUMBER(MATCH($D2845,CMB_S,0)),1,IF(ISNUMBER(MATCH($D2845,CMB_G,0)),2,0)))</f>
        <v/>
      </c>
      <c r="Q2845" s="84">
        <f>IF(ISNUMBER($H2845),-$H2845,0)</f>
        <v>0</v>
      </c>
      <c r="R2845" s="84">
        <f>IF(ISNUMBER($I2845),ABS($I2845),0)</f>
        <v>0</v>
      </c>
      <c r="S2845" s="84">
        <f>IF(ISNUMBER($M2845),ABS($M2845),0)</f>
        <v>0</v>
      </c>
      <c r="T2845" s="85" t="n">
        <v>2837</v>
      </c>
    </row>
    <row r="2846">
      <c r="B2846" s="83" t="n"/>
      <c r="C2846" s="83" t="n"/>
      <c r="D2846" s="83" t="n"/>
      <c r="E2846" s="83" t="n"/>
      <c r="F2846" s="83" t="n"/>
      <c r="G2846" s="83" t="n"/>
      <c r="H2846" s="83" t="n"/>
      <c r="I2846" s="83" t="n"/>
      <c r="J2846" s="83" t="n"/>
      <c r="K2846" s="83" t="n"/>
      <c r="L2846" s="83" t="n"/>
      <c r="M2846" s="83" t="n"/>
      <c r="O2846" s="84" t="str">
        <f>IF($C2846="","",IFERROR(MATCH($B2846&amp;"|"&amp;$C2846,MUROS!$AX$11:$AX$70,0),0))</f>
        <v/>
      </c>
      <c r="P2846" s="84" t="str">
        <f>IF($D2846="","",IF(ISNUMBER(MATCH($D2846,CMB_S,0)),1,IF(ISNUMBER(MATCH($D2846,CMB_G,0)),2,0)))</f>
        <v/>
      </c>
      <c r="Q2846" s="84">
        <f>IF(ISNUMBER($H2846),-$H2846,0)</f>
        <v>0</v>
      </c>
      <c r="R2846" s="84">
        <f>IF(ISNUMBER($I2846),ABS($I2846),0)</f>
        <v>0</v>
      </c>
      <c r="S2846" s="84">
        <f>IF(ISNUMBER($M2846),ABS($M2846),0)</f>
        <v>0</v>
      </c>
      <c r="T2846" s="85" t="n">
        <v>2838</v>
      </c>
    </row>
    <row r="2847">
      <c r="B2847" s="83" t="n"/>
      <c r="C2847" s="83" t="n"/>
      <c r="D2847" s="83" t="n"/>
      <c r="E2847" s="83" t="n"/>
      <c r="F2847" s="83" t="n"/>
      <c r="G2847" s="83" t="n"/>
      <c r="H2847" s="83" t="n"/>
      <c r="I2847" s="83" t="n"/>
      <c r="J2847" s="83" t="n"/>
      <c r="K2847" s="83" t="n"/>
      <c r="L2847" s="83" t="n"/>
      <c r="M2847" s="83" t="n"/>
      <c r="O2847" s="84" t="str">
        <f>IF($C2847="","",IFERROR(MATCH($B2847&amp;"|"&amp;$C2847,MUROS!$AX$11:$AX$70,0),0))</f>
        <v/>
      </c>
      <c r="P2847" s="84" t="str">
        <f>IF($D2847="","",IF(ISNUMBER(MATCH($D2847,CMB_S,0)),1,IF(ISNUMBER(MATCH($D2847,CMB_G,0)),2,0)))</f>
        <v/>
      </c>
      <c r="Q2847" s="84">
        <f>IF(ISNUMBER($H2847),-$H2847,0)</f>
        <v>0</v>
      </c>
      <c r="R2847" s="84">
        <f>IF(ISNUMBER($I2847),ABS($I2847),0)</f>
        <v>0</v>
      </c>
      <c r="S2847" s="84">
        <f>IF(ISNUMBER($M2847),ABS($M2847),0)</f>
        <v>0</v>
      </c>
      <c r="T2847" s="85" t="n">
        <v>2839</v>
      </c>
    </row>
    <row r="2848">
      <c r="B2848" s="83" t="n"/>
      <c r="C2848" s="83" t="n"/>
      <c r="D2848" s="83" t="n"/>
      <c r="E2848" s="83" t="n"/>
      <c r="F2848" s="83" t="n"/>
      <c r="G2848" s="83" t="n"/>
      <c r="H2848" s="83" t="n"/>
      <c r="I2848" s="83" t="n"/>
      <c r="J2848" s="83" t="n"/>
      <c r="K2848" s="83" t="n"/>
      <c r="L2848" s="83" t="n"/>
      <c r="M2848" s="83" t="n"/>
      <c r="O2848" s="84" t="str">
        <f>IF($C2848="","",IFERROR(MATCH($B2848&amp;"|"&amp;$C2848,MUROS!$AX$11:$AX$70,0),0))</f>
        <v/>
      </c>
      <c r="P2848" s="84" t="str">
        <f>IF($D2848="","",IF(ISNUMBER(MATCH($D2848,CMB_S,0)),1,IF(ISNUMBER(MATCH($D2848,CMB_G,0)),2,0)))</f>
        <v/>
      </c>
      <c r="Q2848" s="84">
        <f>IF(ISNUMBER($H2848),-$H2848,0)</f>
        <v>0</v>
      </c>
      <c r="R2848" s="84">
        <f>IF(ISNUMBER($I2848),ABS($I2848),0)</f>
        <v>0</v>
      </c>
      <c r="S2848" s="84">
        <f>IF(ISNUMBER($M2848),ABS($M2848),0)</f>
        <v>0</v>
      </c>
      <c r="T2848" s="85" t="n">
        <v>2840</v>
      </c>
    </row>
    <row r="2849">
      <c r="B2849" s="83" t="n"/>
      <c r="C2849" s="83" t="n"/>
      <c r="D2849" s="83" t="n"/>
      <c r="E2849" s="83" t="n"/>
      <c r="F2849" s="83" t="n"/>
      <c r="G2849" s="83" t="n"/>
      <c r="H2849" s="83" t="n"/>
      <c r="I2849" s="83" t="n"/>
      <c r="J2849" s="83" t="n"/>
      <c r="K2849" s="83" t="n"/>
      <c r="L2849" s="83" t="n"/>
      <c r="M2849" s="83" t="n"/>
      <c r="O2849" s="84" t="str">
        <f>IF($C2849="","",IFERROR(MATCH($B2849&amp;"|"&amp;$C2849,MUROS!$AX$11:$AX$70,0),0))</f>
        <v/>
      </c>
      <c r="P2849" s="84" t="str">
        <f>IF($D2849="","",IF(ISNUMBER(MATCH($D2849,CMB_S,0)),1,IF(ISNUMBER(MATCH($D2849,CMB_G,0)),2,0)))</f>
        <v/>
      </c>
      <c r="Q2849" s="84">
        <f>IF(ISNUMBER($H2849),-$H2849,0)</f>
        <v>0</v>
      </c>
      <c r="R2849" s="84">
        <f>IF(ISNUMBER($I2849),ABS($I2849),0)</f>
        <v>0</v>
      </c>
      <c r="S2849" s="84">
        <f>IF(ISNUMBER($M2849),ABS($M2849),0)</f>
        <v>0</v>
      </c>
      <c r="T2849" s="85" t="n">
        <v>2841</v>
      </c>
    </row>
    <row r="2850">
      <c r="B2850" s="83" t="n"/>
      <c r="C2850" s="83" t="n"/>
      <c r="D2850" s="83" t="n"/>
      <c r="E2850" s="83" t="n"/>
      <c r="F2850" s="83" t="n"/>
      <c r="G2850" s="83" t="n"/>
      <c r="H2850" s="83" t="n"/>
      <c r="I2850" s="83" t="n"/>
      <c r="J2850" s="83" t="n"/>
      <c r="K2850" s="83" t="n"/>
      <c r="L2850" s="83" t="n"/>
      <c r="M2850" s="83" t="n"/>
      <c r="O2850" s="84" t="str">
        <f>IF($C2850="","",IFERROR(MATCH($B2850&amp;"|"&amp;$C2850,MUROS!$AX$11:$AX$70,0),0))</f>
        <v/>
      </c>
      <c r="P2850" s="84" t="str">
        <f>IF($D2850="","",IF(ISNUMBER(MATCH($D2850,CMB_S,0)),1,IF(ISNUMBER(MATCH($D2850,CMB_G,0)),2,0)))</f>
        <v/>
      </c>
      <c r="Q2850" s="84">
        <f>IF(ISNUMBER($H2850),-$H2850,0)</f>
        <v>0</v>
      </c>
      <c r="R2850" s="84">
        <f>IF(ISNUMBER($I2850),ABS($I2850),0)</f>
        <v>0</v>
      </c>
      <c r="S2850" s="84">
        <f>IF(ISNUMBER($M2850),ABS($M2850),0)</f>
        <v>0</v>
      </c>
      <c r="T2850" s="85" t="n">
        <v>2842</v>
      </c>
    </row>
    <row r="2851">
      <c r="B2851" s="83" t="n"/>
      <c r="C2851" s="83" t="n"/>
      <c r="D2851" s="83" t="n"/>
      <c r="E2851" s="83" t="n"/>
      <c r="F2851" s="83" t="n"/>
      <c r="G2851" s="83" t="n"/>
      <c r="H2851" s="83" t="n"/>
      <c r="I2851" s="83" t="n"/>
      <c r="J2851" s="83" t="n"/>
      <c r="K2851" s="83" t="n"/>
      <c r="L2851" s="83" t="n"/>
      <c r="M2851" s="83" t="n"/>
      <c r="O2851" s="84" t="str">
        <f>IF($C2851="","",IFERROR(MATCH($B2851&amp;"|"&amp;$C2851,MUROS!$AX$11:$AX$70,0),0))</f>
        <v/>
      </c>
      <c r="P2851" s="84" t="str">
        <f>IF($D2851="","",IF(ISNUMBER(MATCH($D2851,CMB_S,0)),1,IF(ISNUMBER(MATCH($D2851,CMB_G,0)),2,0)))</f>
        <v/>
      </c>
      <c r="Q2851" s="84">
        <f>IF(ISNUMBER($H2851),-$H2851,0)</f>
        <v>0</v>
      </c>
      <c r="R2851" s="84">
        <f>IF(ISNUMBER($I2851),ABS($I2851),0)</f>
        <v>0</v>
      </c>
      <c r="S2851" s="84">
        <f>IF(ISNUMBER($M2851),ABS($M2851),0)</f>
        <v>0</v>
      </c>
      <c r="T2851" s="85" t="n">
        <v>2843</v>
      </c>
    </row>
    <row r="2852">
      <c r="B2852" s="83" t="n"/>
      <c r="C2852" s="83" t="n"/>
      <c r="D2852" s="83" t="n"/>
      <c r="E2852" s="83" t="n"/>
      <c r="F2852" s="83" t="n"/>
      <c r="G2852" s="83" t="n"/>
      <c r="H2852" s="83" t="n"/>
      <c r="I2852" s="83" t="n"/>
      <c r="J2852" s="83" t="n"/>
      <c r="K2852" s="83" t="n"/>
      <c r="L2852" s="83" t="n"/>
      <c r="M2852" s="83" t="n"/>
      <c r="O2852" s="84" t="str">
        <f>IF($C2852="","",IFERROR(MATCH($B2852&amp;"|"&amp;$C2852,MUROS!$AX$11:$AX$70,0),0))</f>
        <v/>
      </c>
      <c r="P2852" s="84" t="str">
        <f>IF($D2852="","",IF(ISNUMBER(MATCH($D2852,CMB_S,0)),1,IF(ISNUMBER(MATCH($D2852,CMB_G,0)),2,0)))</f>
        <v/>
      </c>
      <c r="Q2852" s="84">
        <f>IF(ISNUMBER($H2852),-$H2852,0)</f>
        <v>0</v>
      </c>
      <c r="R2852" s="84">
        <f>IF(ISNUMBER($I2852),ABS($I2852),0)</f>
        <v>0</v>
      </c>
      <c r="S2852" s="84">
        <f>IF(ISNUMBER($M2852),ABS($M2852),0)</f>
        <v>0</v>
      </c>
      <c r="T2852" s="85" t="n">
        <v>2844</v>
      </c>
    </row>
    <row r="2853">
      <c r="B2853" s="83" t="n"/>
      <c r="C2853" s="83" t="n"/>
      <c r="D2853" s="83" t="n"/>
      <c r="E2853" s="83" t="n"/>
      <c r="F2853" s="83" t="n"/>
      <c r="G2853" s="83" t="n"/>
      <c r="H2853" s="83" t="n"/>
      <c r="I2853" s="83" t="n"/>
      <c r="J2853" s="83" t="n"/>
      <c r="K2853" s="83" t="n"/>
      <c r="L2853" s="83" t="n"/>
      <c r="M2853" s="83" t="n"/>
      <c r="O2853" s="84" t="str">
        <f>IF($C2853="","",IFERROR(MATCH($B2853&amp;"|"&amp;$C2853,MUROS!$AX$11:$AX$70,0),0))</f>
        <v/>
      </c>
      <c r="P2853" s="84" t="str">
        <f>IF($D2853="","",IF(ISNUMBER(MATCH($D2853,CMB_S,0)),1,IF(ISNUMBER(MATCH($D2853,CMB_G,0)),2,0)))</f>
        <v/>
      </c>
      <c r="Q2853" s="84">
        <f>IF(ISNUMBER($H2853),-$H2853,0)</f>
        <v>0</v>
      </c>
      <c r="R2853" s="84">
        <f>IF(ISNUMBER($I2853),ABS($I2853),0)</f>
        <v>0</v>
      </c>
      <c r="S2853" s="84">
        <f>IF(ISNUMBER($M2853),ABS($M2853),0)</f>
        <v>0</v>
      </c>
      <c r="T2853" s="85" t="n">
        <v>2845</v>
      </c>
    </row>
    <row r="2854">
      <c r="B2854" s="83" t="n"/>
      <c r="C2854" s="83" t="n"/>
      <c r="D2854" s="83" t="n"/>
      <c r="E2854" s="83" t="n"/>
      <c r="F2854" s="83" t="n"/>
      <c r="G2854" s="83" t="n"/>
      <c r="H2854" s="83" t="n"/>
      <c r="I2854" s="83" t="n"/>
      <c r="J2854" s="83" t="n"/>
      <c r="K2854" s="83" t="n"/>
      <c r="L2854" s="83" t="n"/>
      <c r="M2854" s="83" t="n"/>
      <c r="O2854" s="84" t="str">
        <f>IF($C2854="","",IFERROR(MATCH($B2854&amp;"|"&amp;$C2854,MUROS!$AX$11:$AX$70,0),0))</f>
        <v/>
      </c>
      <c r="P2854" s="84" t="str">
        <f>IF($D2854="","",IF(ISNUMBER(MATCH($D2854,CMB_S,0)),1,IF(ISNUMBER(MATCH($D2854,CMB_G,0)),2,0)))</f>
        <v/>
      </c>
      <c r="Q2854" s="84">
        <f>IF(ISNUMBER($H2854),-$H2854,0)</f>
        <v>0</v>
      </c>
      <c r="R2854" s="84">
        <f>IF(ISNUMBER($I2854),ABS($I2854),0)</f>
        <v>0</v>
      </c>
      <c r="S2854" s="84">
        <f>IF(ISNUMBER($M2854),ABS($M2854),0)</f>
        <v>0</v>
      </c>
      <c r="T2854" s="85" t="n">
        <v>2846</v>
      </c>
    </row>
    <row r="2855">
      <c r="B2855" s="83" t="n"/>
      <c r="C2855" s="83" t="n"/>
      <c r="D2855" s="83" t="n"/>
      <c r="E2855" s="83" t="n"/>
      <c r="F2855" s="83" t="n"/>
      <c r="G2855" s="83" t="n"/>
      <c r="H2855" s="83" t="n"/>
      <c r="I2855" s="83" t="n"/>
      <c r="J2855" s="83" t="n"/>
      <c r="K2855" s="83" t="n"/>
      <c r="L2855" s="83" t="n"/>
      <c r="M2855" s="83" t="n"/>
      <c r="O2855" s="84" t="str">
        <f>IF($C2855="","",IFERROR(MATCH($B2855&amp;"|"&amp;$C2855,MUROS!$AX$11:$AX$70,0),0))</f>
        <v/>
      </c>
      <c r="P2855" s="84" t="str">
        <f>IF($D2855="","",IF(ISNUMBER(MATCH($D2855,CMB_S,0)),1,IF(ISNUMBER(MATCH($D2855,CMB_G,0)),2,0)))</f>
        <v/>
      </c>
      <c r="Q2855" s="84">
        <f>IF(ISNUMBER($H2855),-$H2855,0)</f>
        <v>0</v>
      </c>
      <c r="R2855" s="84">
        <f>IF(ISNUMBER($I2855),ABS($I2855),0)</f>
        <v>0</v>
      </c>
      <c r="S2855" s="84">
        <f>IF(ISNUMBER($M2855),ABS($M2855),0)</f>
        <v>0</v>
      </c>
      <c r="T2855" s="85" t="n">
        <v>2847</v>
      </c>
    </row>
    <row r="2856">
      <c r="B2856" s="83" t="n"/>
      <c r="C2856" s="83" t="n"/>
      <c r="D2856" s="83" t="n"/>
      <c r="E2856" s="83" t="n"/>
      <c r="F2856" s="83" t="n"/>
      <c r="G2856" s="83" t="n"/>
      <c r="H2856" s="83" t="n"/>
      <c r="I2856" s="83" t="n"/>
      <c r="J2856" s="83" t="n"/>
      <c r="K2856" s="83" t="n"/>
      <c r="L2856" s="83" t="n"/>
      <c r="M2856" s="83" t="n"/>
      <c r="O2856" s="84" t="str">
        <f>IF($C2856="","",IFERROR(MATCH($B2856&amp;"|"&amp;$C2856,MUROS!$AX$11:$AX$70,0),0))</f>
        <v/>
      </c>
      <c r="P2856" s="84" t="str">
        <f>IF($D2856="","",IF(ISNUMBER(MATCH($D2856,CMB_S,0)),1,IF(ISNUMBER(MATCH($D2856,CMB_G,0)),2,0)))</f>
        <v/>
      </c>
      <c r="Q2856" s="84">
        <f>IF(ISNUMBER($H2856),-$H2856,0)</f>
        <v>0</v>
      </c>
      <c r="R2856" s="84">
        <f>IF(ISNUMBER($I2856),ABS($I2856),0)</f>
        <v>0</v>
      </c>
      <c r="S2856" s="84">
        <f>IF(ISNUMBER($M2856),ABS($M2856),0)</f>
        <v>0</v>
      </c>
      <c r="T2856" s="85" t="n">
        <v>2848</v>
      </c>
    </row>
    <row r="2857">
      <c r="B2857" s="83" t="n"/>
      <c r="C2857" s="83" t="n"/>
      <c r="D2857" s="83" t="n"/>
      <c r="E2857" s="83" t="n"/>
      <c r="F2857" s="83" t="n"/>
      <c r="G2857" s="83" t="n"/>
      <c r="H2857" s="83" t="n"/>
      <c r="I2857" s="83" t="n"/>
      <c r="J2857" s="83" t="n"/>
      <c r="K2857" s="83" t="n"/>
      <c r="L2857" s="83" t="n"/>
      <c r="M2857" s="83" t="n"/>
      <c r="O2857" s="84" t="str">
        <f>IF($C2857="","",IFERROR(MATCH($B2857&amp;"|"&amp;$C2857,MUROS!$AX$11:$AX$70,0),0))</f>
        <v/>
      </c>
      <c r="P2857" s="84" t="str">
        <f>IF($D2857="","",IF(ISNUMBER(MATCH($D2857,CMB_S,0)),1,IF(ISNUMBER(MATCH($D2857,CMB_G,0)),2,0)))</f>
        <v/>
      </c>
      <c r="Q2857" s="84">
        <f>IF(ISNUMBER($H2857),-$H2857,0)</f>
        <v>0</v>
      </c>
      <c r="R2857" s="84">
        <f>IF(ISNUMBER($I2857),ABS($I2857),0)</f>
        <v>0</v>
      </c>
      <c r="S2857" s="84">
        <f>IF(ISNUMBER($M2857),ABS($M2857),0)</f>
        <v>0</v>
      </c>
      <c r="T2857" s="85" t="n">
        <v>2849</v>
      </c>
    </row>
    <row r="2858">
      <c r="B2858" s="83" t="n"/>
      <c r="C2858" s="83" t="n"/>
      <c r="D2858" s="83" t="n"/>
      <c r="E2858" s="83" t="n"/>
      <c r="F2858" s="83" t="n"/>
      <c r="G2858" s="83" t="n"/>
      <c r="H2858" s="83" t="n"/>
      <c r="I2858" s="83" t="n"/>
      <c r="J2858" s="83" t="n"/>
      <c r="K2858" s="83" t="n"/>
      <c r="L2858" s="83" t="n"/>
      <c r="M2858" s="83" t="n"/>
      <c r="O2858" s="84" t="str">
        <f>IF($C2858="","",IFERROR(MATCH($B2858&amp;"|"&amp;$C2858,MUROS!$AX$11:$AX$70,0),0))</f>
        <v/>
      </c>
      <c r="P2858" s="84" t="str">
        <f>IF($D2858="","",IF(ISNUMBER(MATCH($D2858,CMB_S,0)),1,IF(ISNUMBER(MATCH($D2858,CMB_G,0)),2,0)))</f>
        <v/>
      </c>
      <c r="Q2858" s="84">
        <f>IF(ISNUMBER($H2858),-$H2858,0)</f>
        <v>0</v>
      </c>
      <c r="R2858" s="84">
        <f>IF(ISNUMBER($I2858),ABS($I2858),0)</f>
        <v>0</v>
      </c>
      <c r="S2858" s="84">
        <f>IF(ISNUMBER($M2858),ABS($M2858),0)</f>
        <v>0</v>
      </c>
      <c r="T2858" s="85" t="n">
        <v>2850</v>
      </c>
    </row>
    <row r="2859">
      <c r="B2859" s="83" t="n"/>
      <c r="C2859" s="83" t="n"/>
      <c r="D2859" s="83" t="n"/>
      <c r="E2859" s="83" t="n"/>
      <c r="F2859" s="83" t="n"/>
      <c r="G2859" s="83" t="n"/>
      <c r="H2859" s="83" t="n"/>
      <c r="I2859" s="83" t="n"/>
      <c r="J2859" s="83" t="n"/>
      <c r="K2859" s="83" t="n"/>
      <c r="L2859" s="83" t="n"/>
      <c r="M2859" s="83" t="n"/>
      <c r="O2859" s="84" t="str">
        <f>IF($C2859="","",IFERROR(MATCH($B2859&amp;"|"&amp;$C2859,MUROS!$AX$11:$AX$70,0),0))</f>
        <v/>
      </c>
      <c r="P2859" s="84" t="str">
        <f>IF($D2859="","",IF(ISNUMBER(MATCH($D2859,CMB_S,0)),1,IF(ISNUMBER(MATCH($D2859,CMB_G,0)),2,0)))</f>
        <v/>
      </c>
      <c r="Q2859" s="84">
        <f>IF(ISNUMBER($H2859),-$H2859,0)</f>
        <v>0</v>
      </c>
      <c r="R2859" s="84">
        <f>IF(ISNUMBER($I2859),ABS($I2859),0)</f>
        <v>0</v>
      </c>
      <c r="S2859" s="84">
        <f>IF(ISNUMBER($M2859),ABS($M2859),0)</f>
        <v>0</v>
      </c>
      <c r="T2859" s="85" t="n">
        <v>2851</v>
      </c>
    </row>
    <row r="2860">
      <c r="B2860" s="83" t="n"/>
      <c r="C2860" s="83" t="n"/>
      <c r="D2860" s="83" t="n"/>
      <c r="E2860" s="83" t="n"/>
      <c r="F2860" s="83" t="n"/>
      <c r="G2860" s="83" t="n"/>
      <c r="H2860" s="83" t="n"/>
      <c r="I2860" s="83" t="n"/>
      <c r="J2860" s="83" t="n"/>
      <c r="K2860" s="83" t="n"/>
      <c r="L2860" s="83" t="n"/>
      <c r="M2860" s="83" t="n"/>
      <c r="O2860" s="84" t="str">
        <f>IF($C2860="","",IFERROR(MATCH($B2860&amp;"|"&amp;$C2860,MUROS!$AX$11:$AX$70,0),0))</f>
        <v/>
      </c>
      <c r="P2860" s="84" t="str">
        <f>IF($D2860="","",IF(ISNUMBER(MATCH($D2860,CMB_S,0)),1,IF(ISNUMBER(MATCH($D2860,CMB_G,0)),2,0)))</f>
        <v/>
      </c>
      <c r="Q2860" s="84">
        <f>IF(ISNUMBER($H2860),-$H2860,0)</f>
        <v>0</v>
      </c>
      <c r="R2860" s="84">
        <f>IF(ISNUMBER($I2860),ABS($I2860),0)</f>
        <v>0</v>
      </c>
      <c r="S2860" s="84">
        <f>IF(ISNUMBER($M2860),ABS($M2860),0)</f>
        <v>0</v>
      </c>
      <c r="T2860" s="85" t="n">
        <v>2852</v>
      </c>
    </row>
    <row r="2861">
      <c r="B2861" s="83" t="n"/>
      <c r="C2861" s="83" t="n"/>
      <c r="D2861" s="83" t="n"/>
      <c r="E2861" s="83" t="n"/>
      <c r="F2861" s="83" t="n"/>
      <c r="G2861" s="83" t="n"/>
      <c r="H2861" s="83" t="n"/>
      <c r="I2861" s="83" t="n"/>
      <c r="J2861" s="83" t="n"/>
      <c r="K2861" s="83" t="n"/>
      <c r="L2861" s="83" t="n"/>
      <c r="M2861" s="83" t="n"/>
      <c r="O2861" s="84" t="str">
        <f>IF($C2861="","",IFERROR(MATCH($B2861&amp;"|"&amp;$C2861,MUROS!$AX$11:$AX$70,0),0))</f>
        <v/>
      </c>
      <c r="P2861" s="84" t="str">
        <f>IF($D2861="","",IF(ISNUMBER(MATCH($D2861,CMB_S,0)),1,IF(ISNUMBER(MATCH($D2861,CMB_G,0)),2,0)))</f>
        <v/>
      </c>
      <c r="Q2861" s="84">
        <f>IF(ISNUMBER($H2861),-$H2861,0)</f>
        <v>0</v>
      </c>
      <c r="R2861" s="84">
        <f>IF(ISNUMBER($I2861),ABS($I2861),0)</f>
        <v>0</v>
      </c>
      <c r="S2861" s="84">
        <f>IF(ISNUMBER($M2861),ABS($M2861),0)</f>
        <v>0</v>
      </c>
      <c r="T2861" s="85" t="n">
        <v>2853</v>
      </c>
    </row>
    <row r="2862">
      <c r="B2862" s="83" t="n"/>
      <c r="C2862" s="83" t="n"/>
      <c r="D2862" s="83" t="n"/>
      <c r="E2862" s="83" t="n"/>
      <c r="F2862" s="83" t="n"/>
      <c r="G2862" s="83" t="n"/>
      <c r="H2862" s="83" t="n"/>
      <c r="I2862" s="83" t="n"/>
      <c r="J2862" s="83" t="n"/>
      <c r="K2862" s="83" t="n"/>
      <c r="L2862" s="83" t="n"/>
      <c r="M2862" s="83" t="n"/>
      <c r="O2862" s="84" t="str">
        <f>IF($C2862="","",IFERROR(MATCH($B2862&amp;"|"&amp;$C2862,MUROS!$AX$11:$AX$70,0),0))</f>
        <v/>
      </c>
      <c r="P2862" s="84" t="str">
        <f>IF($D2862="","",IF(ISNUMBER(MATCH($D2862,CMB_S,0)),1,IF(ISNUMBER(MATCH($D2862,CMB_G,0)),2,0)))</f>
        <v/>
      </c>
      <c r="Q2862" s="84">
        <f>IF(ISNUMBER($H2862),-$H2862,0)</f>
        <v>0</v>
      </c>
      <c r="R2862" s="84">
        <f>IF(ISNUMBER($I2862),ABS($I2862),0)</f>
        <v>0</v>
      </c>
      <c r="S2862" s="84">
        <f>IF(ISNUMBER($M2862),ABS($M2862),0)</f>
        <v>0</v>
      </c>
      <c r="T2862" s="85" t="n">
        <v>2854</v>
      </c>
    </row>
    <row r="2863">
      <c r="B2863" s="83" t="n"/>
      <c r="C2863" s="83" t="n"/>
      <c r="D2863" s="83" t="n"/>
      <c r="E2863" s="83" t="n"/>
      <c r="F2863" s="83" t="n"/>
      <c r="G2863" s="83" t="n"/>
      <c r="H2863" s="83" t="n"/>
      <c r="I2863" s="83" t="n"/>
      <c r="J2863" s="83" t="n"/>
      <c r="K2863" s="83" t="n"/>
      <c r="L2863" s="83" t="n"/>
      <c r="M2863" s="83" t="n"/>
      <c r="O2863" s="84" t="str">
        <f>IF($C2863="","",IFERROR(MATCH($B2863&amp;"|"&amp;$C2863,MUROS!$AX$11:$AX$70,0),0))</f>
        <v/>
      </c>
      <c r="P2863" s="84" t="str">
        <f>IF($D2863="","",IF(ISNUMBER(MATCH($D2863,CMB_S,0)),1,IF(ISNUMBER(MATCH($D2863,CMB_G,0)),2,0)))</f>
        <v/>
      </c>
      <c r="Q2863" s="84">
        <f>IF(ISNUMBER($H2863),-$H2863,0)</f>
        <v>0</v>
      </c>
      <c r="R2863" s="84">
        <f>IF(ISNUMBER($I2863),ABS($I2863),0)</f>
        <v>0</v>
      </c>
      <c r="S2863" s="84">
        <f>IF(ISNUMBER($M2863),ABS($M2863),0)</f>
        <v>0</v>
      </c>
      <c r="T2863" s="85" t="n">
        <v>2855</v>
      </c>
    </row>
    <row r="2864">
      <c r="B2864" s="83" t="n"/>
      <c r="C2864" s="83" t="n"/>
      <c r="D2864" s="83" t="n"/>
      <c r="E2864" s="83" t="n"/>
      <c r="F2864" s="83" t="n"/>
      <c r="G2864" s="83" t="n"/>
      <c r="H2864" s="83" t="n"/>
      <c r="I2864" s="83" t="n"/>
      <c r="J2864" s="83" t="n"/>
      <c r="K2864" s="83" t="n"/>
      <c r="L2864" s="83" t="n"/>
      <c r="M2864" s="83" t="n"/>
      <c r="O2864" s="84" t="str">
        <f>IF($C2864="","",IFERROR(MATCH($B2864&amp;"|"&amp;$C2864,MUROS!$AX$11:$AX$70,0),0))</f>
        <v/>
      </c>
      <c r="P2864" s="84" t="str">
        <f>IF($D2864="","",IF(ISNUMBER(MATCH($D2864,CMB_S,0)),1,IF(ISNUMBER(MATCH($D2864,CMB_G,0)),2,0)))</f>
        <v/>
      </c>
      <c r="Q2864" s="84">
        <f>IF(ISNUMBER($H2864),-$H2864,0)</f>
        <v>0</v>
      </c>
      <c r="R2864" s="84">
        <f>IF(ISNUMBER($I2864),ABS($I2864),0)</f>
        <v>0</v>
      </c>
      <c r="S2864" s="84">
        <f>IF(ISNUMBER($M2864),ABS($M2864),0)</f>
        <v>0</v>
      </c>
      <c r="T2864" s="85" t="n">
        <v>2856</v>
      </c>
    </row>
    <row r="2865">
      <c r="B2865" s="83" t="n"/>
      <c r="C2865" s="83" t="n"/>
      <c r="D2865" s="83" t="n"/>
      <c r="E2865" s="83" t="n"/>
      <c r="F2865" s="83" t="n"/>
      <c r="G2865" s="83" t="n"/>
      <c r="H2865" s="83" t="n"/>
      <c r="I2865" s="83" t="n"/>
      <c r="J2865" s="83" t="n"/>
      <c r="K2865" s="83" t="n"/>
      <c r="L2865" s="83" t="n"/>
      <c r="M2865" s="83" t="n"/>
      <c r="O2865" s="84" t="str">
        <f>IF($C2865="","",IFERROR(MATCH($B2865&amp;"|"&amp;$C2865,MUROS!$AX$11:$AX$70,0),0))</f>
        <v/>
      </c>
      <c r="P2865" s="84" t="str">
        <f>IF($D2865="","",IF(ISNUMBER(MATCH($D2865,CMB_S,0)),1,IF(ISNUMBER(MATCH($D2865,CMB_G,0)),2,0)))</f>
        <v/>
      </c>
      <c r="Q2865" s="84">
        <f>IF(ISNUMBER($H2865),-$H2865,0)</f>
        <v>0</v>
      </c>
      <c r="R2865" s="84">
        <f>IF(ISNUMBER($I2865),ABS($I2865),0)</f>
        <v>0</v>
      </c>
      <c r="S2865" s="84">
        <f>IF(ISNUMBER($M2865),ABS($M2865),0)</f>
        <v>0</v>
      </c>
      <c r="T2865" s="85" t="n">
        <v>2857</v>
      </c>
    </row>
    <row r="2866">
      <c r="B2866" s="83" t="n"/>
      <c r="C2866" s="83" t="n"/>
      <c r="D2866" s="83" t="n"/>
      <c r="E2866" s="83" t="n"/>
      <c r="F2866" s="83" t="n"/>
      <c r="G2866" s="83" t="n"/>
      <c r="H2866" s="83" t="n"/>
      <c r="I2866" s="83" t="n"/>
      <c r="J2866" s="83" t="n"/>
      <c r="K2866" s="83" t="n"/>
      <c r="L2866" s="83" t="n"/>
      <c r="M2866" s="83" t="n"/>
      <c r="O2866" s="84" t="str">
        <f>IF($C2866="","",IFERROR(MATCH($B2866&amp;"|"&amp;$C2866,MUROS!$AX$11:$AX$70,0),0))</f>
        <v/>
      </c>
      <c r="P2866" s="84" t="str">
        <f>IF($D2866="","",IF(ISNUMBER(MATCH($D2866,CMB_S,0)),1,IF(ISNUMBER(MATCH($D2866,CMB_G,0)),2,0)))</f>
        <v/>
      </c>
      <c r="Q2866" s="84">
        <f>IF(ISNUMBER($H2866),-$H2866,0)</f>
        <v>0</v>
      </c>
      <c r="R2866" s="84">
        <f>IF(ISNUMBER($I2866),ABS($I2866),0)</f>
        <v>0</v>
      </c>
      <c r="S2866" s="84">
        <f>IF(ISNUMBER($M2866),ABS($M2866),0)</f>
        <v>0</v>
      </c>
      <c r="T2866" s="85" t="n">
        <v>2858</v>
      </c>
    </row>
    <row r="2867">
      <c r="B2867" s="83" t="n"/>
      <c r="C2867" s="83" t="n"/>
      <c r="D2867" s="83" t="n"/>
      <c r="E2867" s="83" t="n"/>
      <c r="F2867" s="83" t="n"/>
      <c r="G2867" s="83" t="n"/>
      <c r="H2867" s="83" t="n"/>
      <c r="I2867" s="83" t="n"/>
      <c r="J2867" s="83" t="n"/>
      <c r="K2867" s="83" t="n"/>
      <c r="L2867" s="83" t="n"/>
      <c r="M2867" s="83" t="n"/>
      <c r="O2867" s="84" t="str">
        <f>IF($C2867="","",IFERROR(MATCH($B2867&amp;"|"&amp;$C2867,MUROS!$AX$11:$AX$70,0),0))</f>
        <v/>
      </c>
      <c r="P2867" s="84" t="str">
        <f>IF($D2867="","",IF(ISNUMBER(MATCH($D2867,CMB_S,0)),1,IF(ISNUMBER(MATCH($D2867,CMB_G,0)),2,0)))</f>
        <v/>
      </c>
      <c r="Q2867" s="84">
        <f>IF(ISNUMBER($H2867),-$H2867,0)</f>
        <v>0</v>
      </c>
      <c r="R2867" s="84">
        <f>IF(ISNUMBER($I2867),ABS($I2867),0)</f>
        <v>0</v>
      </c>
      <c r="S2867" s="84">
        <f>IF(ISNUMBER($M2867),ABS($M2867),0)</f>
        <v>0</v>
      </c>
      <c r="T2867" s="85" t="n">
        <v>2859</v>
      </c>
    </row>
    <row r="2868">
      <c r="B2868" s="83" t="n"/>
      <c r="C2868" s="83" t="n"/>
      <c r="D2868" s="83" t="n"/>
      <c r="E2868" s="83" t="n"/>
      <c r="F2868" s="83" t="n"/>
      <c r="G2868" s="83" t="n"/>
      <c r="H2868" s="83" t="n"/>
      <c r="I2868" s="83" t="n"/>
      <c r="J2868" s="83" t="n"/>
      <c r="K2868" s="83" t="n"/>
      <c r="L2868" s="83" t="n"/>
      <c r="M2868" s="83" t="n"/>
      <c r="O2868" s="84" t="str">
        <f>IF($C2868="","",IFERROR(MATCH($B2868&amp;"|"&amp;$C2868,MUROS!$AX$11:$AX$70,0),0))</f>
        <v/>
      </c>
      <c r="P2868" s="84" t="str">
        <f>IF($D2868="","",IF(ISNUMBER(MATCH($D2868,CMB_S,0)),1,IF(ISNUMBER(MATCH($D2868,CMB_G,0)),2,0)))</f>
        <v/>
      </c>
      <c r="Q2868" s="84">
        <f>IF(ISNUMBER($H2868),-$H2868,0)</f>
        <v>0</v>
      </c>
      <c r="R2868" s="84">
        <f>IF(ISNUMBER($I2868),ABS($I2868),0)</f>
        <v>0</v>
      </c>
      <c r="S2868" s="84">
        <f>IF(ISNUMBER($M2868),ABS($M2868),0)</f>
        <v>0</v>
      </c>
      <c r="T2868" s="85" t="n">
        <v>2860</v>
      </c>
    </row>
    <row r="2869">
      <c r="B2869" s="83" t="n"/>
      <c r="C2869" s="83" t="n"/>
      <c r="D2869" s="83" t="n"/>
      <c r="E2869" s="83" t="n"/>
      <c r="F2869" s="83" t="n"/>
      <c r="G2869" s="83" t="n"/>
      <c r="H2869" s="83" t="n"/>
      <c r="I2869" s="83" t="n"/>
      <c r="J2869" s="83" t="n"/>
      <c r="K2869" s="83" t="n"/>
      <c r="L2869" s="83" t="n"/>
      <c r="M2869" s="83" t="n"/>
      <c r="O2869" s="84" t="str">
        <f>IF($C2869="","",IFERROR(MATCH($B2869&amp;"|"&amp;$C2869,MUROS!$AX$11:$AX$70,0),0))</f>
        <v/>
      </c>
      <c r="P2869" s="84" t="str">
        <f>IF($D2869="","",IF(ISNUMBER(MATCH($D2869,CMB_S,0)),1,IF(ISNUMBER(MATCH($D2869,CMB_G,0)),2,0)))</f>
        <v/>
      </c>
      <c r="Q2869" s="84">
        <f>IF(ISNUMBER($H2869),-$H2869,0)</f>
        <v>0</v>
      </c>
      <c r="R2869" s="84">
        <f>IF(ISNUMBER($I2869),ABS($I2869),0)</f>
        <v>0</v>
      </c>
      <c r="S2869" s="84">
        <f>IF(ISNUMBER($M2869),ABS($M2869),0)</f>
        <v>0</v>
      </c>
      <c r="T2869" s="85" t="n">
        <v>2861</v>
      </c>
    </row>
    <row r="2870">
      <c r="B2870" s="83" t="n"/>
      <c r="C2870" s="83" t="n"/>
      <c r="D2870" s="83" t="n"/>
      <c r="E2870" s="83" t="n"/>
      <c r="F2870" s="83" t="n"/>
      <c r="G2870" s="83" t="n"/>
      <c r="H2870" s="83" t="n"/>
      <c r="I2870" s="83" t="n"/>
      <c r="J2870" s="83" t="n"/>
      <c r="K2870" s="83" t="n"/>
      <c r="L2870" s="83" t="n"/>
      <c r="M2870" s="83" t="n"/>
      <c r="O2870" s="84" t="str">
        <f>IF($C2870="","",IFERROR(MATCH($B2870&amp;"|"&amp;$C2870,MUROS!$AX$11:$AX$70,0),0))</f>
        <v/>
      </c>
      <c r="P2870" s="84" t="str">
        <f>IF($D2870="","",IF(ISNUMBER(MATCH($D2870,CMB_S,0)),1,IF(ISNUMBER(MATCH($D2870,CMB_G,0)),2,0)))</f>
        <v/>
      </c>
      <c r="Q2870" s="84">
        <f>IF(ISNUMBER($H2870),-$H2870,0)</f>
        <v>0</v>
      </c>
      <c r="R2870" s="84">
        <f>IF(ISNUMBER($I2870),ABS($I2870),0)</f>
        <v>0</v>
      </c>
      <c r="S2870" s="84">
        <f>IF(ISNUMBER($M2870),ABS($M2870),0)</f>
        <v>0</v>
      </c>
      <c r="T2870" s="85" t="n">
        <v>2862</v>
      </c>
    </row>
    <row r="2871">
      <c r="B2871" s="83" t="n"/>
      <c r="C2871" s="83" t="n"/>
      <c r="D2871" s="83" t="n"/>
      <c r="E2871" s="83" t="n"/>
      <c r="F2871" s="83" t="n"/>
      <c r="G2871" s="83" t="n"/>
      <c r="H2871" s="83" t="n"/>
      <c r="I2871" s="83" t="n"/>
      <c r="J2871" s="83" t="n"/>
      <c r="K2871" s="83" t="n"/>
      <c r="L2871" s="83" t="n"/>
      <c r="M2871" s="83" t="n"/>
      <c r="O2871" s="84" t="str">
        <f>IF($C2871="","",IFERROR(MATCH($B2871&amp;"|"&amp;$C2871,MUROS!$AX$11:$AX$70,0),0))</f>
        <v/>
      </c>
      <c r="P2871" s="84" t="str">
        <f>IF($D2871="","",IF(ISNUMBER(MATCH($D2871,CMB_S,0)),1,IF(ISNUMBER(MATCH($D2871,CMB_G,0)),2,0)))</f>
        <v/>
      </c>
      <c r="Q2871" s="84">
        <f>IF(ISNUMBER($H2871),-$H2871,0)</f>
        <v>0</v>
      </c>
      <c r="R2871" s="84">
        <f>IF(ISNUMBER($I2871),ABS($I2871),0)</f>
        <v>0</v>
      </c>
      <c r="S2871" s="84">
        <f>IF(ISNUMBER($M2871),ABS($M2871),0)</f>
        <v>0</v>
      </c>
      <c r="T2871" s="85" t="n">
        <v>2863</v>
      </c>
    </row>
    <row r="2872">
      <c r="B2872" s="83" t="n"/>
      <c r="C2872" s="83" t="n"/>
      <c r="D2872" s="83" t="n"/>
      <c r="E2872" s="83" t="n"/>
      <c r="F2872" s="83" t="n"/>
      <c r="G2872" s="83" t="n"/>
      <c r="H2872" s="83" t="n"/>
      <c r="I2872" s="83" t="n"/>
      <c r="J2872" s="83" t="n"/>
      <c r="K2872" s="83" t="n"/>
      <c r="L2872" s="83" t="n"/>
      <c r="M2872" s="83" t="n"/>
      <c r="O2872" s="84" t="str">
        <f>IF($C2872="","",IFERROR(MATCH($B2872&amp;"|"&amp;$C2872,MUROS!$AX$11:$AX$70,0),0))</f>
        <v/>
      </c>
      <c r="P2872" s="84" t="str">
        <f>IF($D2872="","",IF(ISNUMBER(MATCH($D2872,CMB_S,0)),1,IF(ISNUMBER(MATCH($D2872,CMB_G,0)),2,0)))</f>
        <v/>
      </c>
      <c r="Q2872" s="84">
        <f>IF(ISNUMBER($H2872),-$H2872,0)</f>
        <v>0</v>
      </c>
      <c r="R2872" s="84">
        <f>IF(ISNUMBER($I2872),ABS($I2872),0)</f>
        <v>0</v>
      </c>
      <c r="S2872" s="84">
        <f>IF(ISNUMBER($M2872),ABS($M2872),0)</f>
        <v>0</v>
      </c>
      <c r="T2872" s="85" t="n">
        <v>2864</v>
      </c>
    </row>
    <row r="2873">
      <c r="B2873" s="83" t="n"/>
      <c r="C2873" s="83" t="n"/>
      <c r="D2873" s="83" t="n"/>
      <c r="E2873" s="83" t="n"/>
      <c r="F2873" s="83" t="n"/>
      <c r="G2873" s="83" t="n"/>
      <c r="H2873" s="83" t="n"/>
      <c r="I2873" s="83" t="n"/>
      <c r="J2873" s="83" t="n"/>
      <c r="K2873" s="83" t="n"/>
      <c r="L2873" s="83" t="n"/>
      <c r="M2873" s="83" t="n"/>
      <c r="O2873" s="84" t="str">
        <f>IF($C2873="","",IFERROR(MATCH($B2873&amp;"|"&amp;$C2873,MUROS!$AX$11:$AX$70,0),0))</f>
        <v/>
      </c>
      <c r="P2873" s="84" t="str">
        <f>IF($D2873="","",IF(ISNUMBER(MATCH($D2873,CMB_S,0)),1,IF(ISNUMBER(MATCH($D2873,CMB_G,0)),2,0)))</f>
        <v/>
      </c>
      <c r="Q2873" s="84">
        <f>IF(ISNUMBER($H2873),-$H2873,0)</f>
        <v>0</v>
      </c>
      <c r="R2873" s="84">
        <f>IF(ISNUMBER($I2873),ABS($I2873),0)</f>
        <v>0</v>
      </c>
      <c r="S2873" s="84">
        <f>IF(ISNUMBER($M2873),ABS($M2873),0)</f>
        <v>0</v>
      </c>
      <c r="T2873" s="85" t="n">
        <v>2865</v>
      </c>
    </row>
    <row r="2874">
      <c r="B2874" s="83" t="n"/>
      <c r="C2874" s="83" t="n"/>
      <c r="D2874" s="83" t="n"/>
      <c r="E2874" s="83" t="n"/>
      <c r="F2874" s="83" t="n"/>
      <c r="G2874" s="83" t="n"/>
      <c r="H2874" s="83" t="n"/>
      <c r="I2874" s="83" t="n"/>
      <c r="J2874" s="83" t="n"/>
      <c r="K2874" s="83" t="n"/>
      <c r="L2874" s="83" t="n"/>
      <c r="M2874" s="83" t="n"/>
      <c r="O2874" s="84" t="str">
        <f>IF($C2874="","",IFERROR(MATCH($B2874&amp;"|"&amp;$C2874,MUROS!$AX$11:$AX$70,0),0))</f>
        <v/>
      </c>
      <c r="P2874" s="84" t="str">
        <f>IF($D2874="","",IF(ISNUMBER(MATCH($D2874,CMB_S,0)),1,IF(ISNUMBER(MATCH($D2874,CMB_G,0)),2,0)))</f>
        <v/>
      </c>
      <c r="Q2874" s="84">
        <f>IF(ISNUMBER($H2874),-$H2874,0)</f>
        <v>0</v>
      </c>
      <c r="R2874" s="84">
        <f>IF(ISNUMBER($I2874),ABS($I2874),0)</f>
        <v>0</v>
      </c>
      <c r="S2874" s="84">
        <f>IF(ISNUMBER($M2874),ABS($M2874),0)</f>
        <v>0</v>
      </c>
      <c r="T2874" s="85" t="n">
        <v>2866</v>
      </c>
    </row>
    <row r="2875">
      <c r="B2875" s="83" t="n"/>
      <c r="C2875" s="83" t="n"/>
      <c r="D2875" s="83" t="n"/>
      <c r="E2875" s="83" t="n"/>
      <c r="F2875" s="83" t="n"/>
      <c r="G2875" s="83" t="n"/>
      <c r="H2875" s="83" t="n"/>
      <c r="I2875" s="83" t="n"/>
      <c r="J2875" s="83" t="n"/>
      <c r="K2875" s="83" t="n"/>
      <c r="L2875" s="83" t="n"/>
      <c r="M2875" s="83" t="n"/>
      <c r="O2875" s="84" t="str">
        <f>IF($C2875="","",IFERROR(MATCH($B2875&amp;"|"&amp;$C2875,MUROS!$AX$11:$AX$70,0),0))</f>
        <v/>
      </c>
      <c r="P2875" s="84" t="str">
        <f>IF($D2875="","",IF(ISNUMBER(MATCH($D2875,CMB_S,0)),1,IF(ISNUMBER(MATCH($D2875,CMB_G,0)),2,0)))</f>
        <v/>
      </c>
      <c r="Q2875" s="84">
        <f>IF(ISNUMBER($H2875),-$H2875,0)</f>
        <v>0</v>
      </c>
      <c r="R2875" s="84">
        <f>IF(ISNUMBER($I2875),ABS($I2875),0)</f>
        <v>0</v>
      </c>
      <c r="S2875" s="84">
        <f>IF(ISNUMBER($M2875),ABS($M2875),0)</f>
        <v>0</v>
      </c>
      <c r="T2875" s="85" t="n">
        <v>2867</v>
      </c>
    </row>
    <row r="2876">
      <c r="B2876" s="83" t="n"/>
      <c r="C2876" s="83" t="n"/>
      <c r="D2876" s="83" t="n"/>
      <c r="E2876" s="83" t="n"/>
      <c r="F2876" s="83" t="n"/>
      <c r="G2876" s="83" t="n"/>
      <c r="H2876" s="83" t="n"/>
      <c r="I2876" s="83" t="n"/>
      <c r="J2876" s="83" t="n"/>
      <c r="K2876" s="83" t="n"/>
      <c r="L2876" s="83" t="n"/>
      <c r="M2876" s="83" t="n"/>
      <c r="O2876" s="84" t="str">
        <f>IF($C2876="","",IFERROR(MATCH($B2876&amp;"|"&amp;$C2876,MUROS!$AX$11:$AX$70,0),0))</f>
        <v/>
      </c>
      <c r="P2876" s="84" t="str">
        <f>IF($D2876="","",IF(ISNUMBER(MATCH($D2876,CMB_S,0)),1,IF(ISNUMBER(MATCH($D2876,CMB_G,0)),2,0)))</f>
        <v/>
      </c>
      <c r="Q2876" s="84">
        <f>IF(ISNUMBER($H2876),-$H2876,0)</f>
        <v>0</v>
      </c>
      <c r="R2876" s="84">
        <f>IF(ISNUMBER($I2876),ABS($I2876),0)</f>
        <v>0</v>
      </c>
      <c r="S2876" s="84">
        <f>IF(ISNUMBER($M2876),ABS($M2876),0)</f>
        <v>0</v>
      </c>
      <c r="T2876" s="85" t="n">
        <v>2868</v>
      </c>
    </row>
    <row r="2877">
      <c r="B2877" s="83" t="n"/>
      <c r="C2877" s="83" t="n"/>
      <c r="D2877" s="83" t="n"/>
      <c r="E2877" s="83" t="n"/>
      <c r="F2877" s="83" t="n"/>
      <c r="G2877" s="83" t="n"/>
      <c r="H2877" s="83" t="n"/>
      <c r="I2877" s="83" t="n"/>
      <c r="J2877" s="83" t="n"/>
      <c r="K2877" s="83" t="n"/>
      <c r="L2877" s="83" t="n"/>
      <c r="M2877" s="83" t="n"/>
      <c r="O2877" s="84" t="str">
        <f>IF($C2877="","",IFERROR(MATCH($B2877&amp;"|"&amp;$C2877,MUROS!$AX$11:$AX$70,0),0))</f>
        <v/>
      </c>
      <c r="P2877" s="84" t="str">
        <f>IF($D2877="","",IF(ISNUMBER(MATCH($D2877,CMB_S,0)),1,IF(ISNUMBER(MATCH($D2877,CMB_G,0)),2,0)))</f>
        <v/>
      </c>
      <c r="Q2877" s="84">
        <f>IF(ISNUMBER($H2877),-$H2877,0)</f>
        <v>0</v>
      </c>
      <c r="R2877" s="84">
        <f>IF(ISNUMBER($I2877),ABS($I2877),0)</f>
        <v>0</v>
      </c>
      <c r="S2877" s="84">
        <f>IF(ISNUMBER($M2877),ABS($M2877),0)</f>
        <v>0</v>
      </c>
      <c r="T2877" s="85" t="n">
        <v>2869</v>
      </c>
    </row>
    <row r="2878">
      <c r="B2878" s="83" t="n"/>
      <c r="C2878" s="83" t="n"/>
      <c r="D2878" s="83" t="n"/>
      <c r="E2878" s="83" t="n"/>
      <c r="F2878" s="83" t="n"/>
      <c r="G2878" s="83" t="n"/>
      <c r="H2878" s="83" t="n"/>
      <c r="I2878" s="83" t="n"/>
      <c r="J2878" s="83" t="n"/>
      <c r="K2878" s="83" t="n"/>
      <c r="L2878" s="83" t="n"/>
      <c r="M2878" s="83" t="n"/>
      <c r="O2878" s="84" t="str">
        <f>IF($C2878="","",IFERROR(MATCH($B2878&amp;"|"&amp;$C2878,MUROS!$AX$11:$AX$70,0),0))</f>
        <v/>
      </c>
      <c r="P2878" s="84" t="str">
        <f>IF($D2878="","",IF(ISNUMBER(MATCH($D2878,CMB_S,0)),1,IF(ISNUMBER(MATCH($D2878,CMB_G,0)),2,0)))</f>
        <v/>
      </c>
      <c r="Q2878" s="84">
        <f>IF(ISNUMBER($H2878),-$H2878,0)</f>
        <v>0</v>
      </c>
      <c r="R2878" s="84">
        <f>IF(ISNUMBER($I2878),ABS($I2878),0)</f>
        <v>0</v>
      </c>
      <c r="S2878" s="84">
        <f>IF(ISNUMBER($M2878),ABS($M2878),0)</f>
        <v>0</v>
      </c>
      <c r="T2878" s="85" t="n">
        <v>2870</v>
      </c>
    </row>
    <row r="2879">
      <c r="B2879" s="83" t="n"/>
      <c r="C2879" s="83" t="n"/>
      <c r="D2879" s="83" t="n"/>
      <c r="E2879" s="83" t="n"/>
      <c r="F2879" s="83" t="n"/>
      <c r="G2879" s="83" t="n"/>
      <c r="H2879" s="83" t="n"/>
      <c r="I2879" s="83" t="n"/>
      <c r="J2879" s="83" t="n"/>
      <c r="K2879" s="83" t="n"/>
      <c r="L2879" s="83" t="n"/>
      <c r="M2879" s="83" t="n"/>
      <c r="O2879" s="84" t="str">
        <f>IF($C2879="","",IFERROR(MATCH($B2879&amp;"|"&amp;$C2879,MUROS!$AX$11:$AX$70,0),0))</f>
        <v/>
      </c>
      <c r="P2879" s="84" t="str">
        <f>IF($D2879="","",IF(ISNUMBER(MATCH($D2879,CMB_S,0)),1,IF(ISNUMBER(MATCH($D2879,CMB_G,0)),2,0)))</f>
        <v/>
      </c>
      <c r="Q2879" s="84">
        <f>IF(ISNUMBER($H2879),-$H2879,0)</f>
        <v>0</v>
      </c>
      <c r="R2879" s="84">
        <f>IF(ISNUMBER($I2879),ABS($I2879),0)</f>
        <v>0</v>
      </c>
      <c r="S2879" s="84">
        <f>IF(ISNUMBER($M2879),ABS($M2879),0)</f>
        <v>0</v>
      </c>
      <c r="T2879" s="85" t="n">
        <v>2871</v>
      </c>
    </row>
    <row r="2880">
      <c r="B2880" s="83" t="n"/>
      <c r="C2880" s="83" t="n"/>
      <c r="D2880" s="83" t="n"/>
      <c r="E2880" s="83" t="n"/>
      <c r="F2880" s="83" t="n"/>
      <c r="G2880" s="83" t="n"/>
      <c r="H2880" s="83" t="n"/>
      <c r="I2880" s="83" t="n"/>
      <c r="J2880" s="83" t="n"/>
      <c r="K2880" s="83" t="n"/>
      <c r="L2880" s="83" t="n"/>
      <c r="M2880" s="83" t="n"/>
      <c r="O2880" s="84" t="str">
        <f>IF($C2880="","",IFERROR(MATCH($B2880&amp;"|"&amp;$C2880,MUROS!$AX$11:$AX$70,0),0))</f>
        <v/>
      </c>
      <c r="P2880" s="84" t="str">
        <f>IF($D2880="","",IF(ISNUMBER(MATCH($D2880,CMB_S,0)),1,IF(ISNUMBER(MATCH($D2880,CMB_G,0)),2,0)))</f>
        <v/>
      </c>
      <c r="Q2880" s="84">
        <f>IF(ISNUMBER($H2880),-$H2880,0)</f>
        <v>0</v>
      </c>
      <c r="R2880" s="84">
        <f>IF(ISNUMBER($I2880),ABS($I2880),0)</f>
        <v>0</v>
      </c>
      <c r="S2880" s="84">
        <f>IF(ISNUMBER($M2880),ABS($M2880),0)</f>
        <v>0</v>
      </c>
      <c r="T2880" s="85" t="n">
        <v>2872</v>
      </c>
    </row>
    <row r="2881">
      <c r="B2881" s="83" t="n"/>
      <c r="C2881" s="83" t="n"/>
      <c r="D2881" s="83" t="n"/>
      <c r="E2881" s="83" t="n"/>
      <c r="F2881" s="83" t="n"/>
      <c r="G2881" s="83" t="n"/>
      <c r="H2881" s="83" t="n"/>
      <c r="I2881" s="83" t="n"/>
      <c r="J2881" s="83" t="n"/>
      <c r="K2881" s="83" t="n"/>
      <c r="L2881" s="83" t="n"/>
      <c r="M2881" s="83" t="n"/>
      <c r="O2881" s="84" t="str">
        <f>IF($C2881="","",IFERROR(MATCH($B2881&amp;"|"&amp;$C2881,MUROS!$AX$11:$AX$70,0),0))</f>
        <v/>
      </c>
      <c r="P2881" s="84" t="str">
        <f>IF($D2881="","",IF(ISNUMBER(MATCH($D2881,CMB_S,0)),1,IF(ISNUMBER(MATCH($D2881,CMB_G,0)),2,0)))</f>
        <v/>
      </c>
      <c r="Q2881" s="84">
        <f>IF(ISNUMBER($H2881),-$H2881,0)</f>
        <v>0</v>
      </c>
      <c r="R2881" s="84">
        <f>IF(ISNUMBER($I2881),ABS($I2881),0)</f>
        <v>0</v>
      </c>
      <c r="S2881" s="84">
        <f>IF(ISNUMBER($M2881),ABS($M2881),0)</f>
        <v>0</v>
      </c>
      <c r="T2881" s="85" t="n">
        <v>2873</v>
      </c>
    </row>
    <row r="2882">
      <c r="B2882" s="83" t="n"/>
      <c r="C2882" s="83" t="n"/>
      <c r="D2882" s="83" t="n"/>
      <c r="E2882" s="83" t="n"/>
      <c r="F2882" s="83" t="n"/>
      <c r="G2882" s="83" t="n"/>
      <c r="H2882" s="83" t="n"/>
      <c r="I2882" s="83" t="n"/>
      <c r="J2882" s="83" t="n"/>
      <c r="K2882" s="83" t="n"/>
      <c r="L2882" s="83" t="n"/>
      <c r="M2882" s="83" t="n"/>
      <c r="O2882" s="84" t="str">
        <f>IF($C2882="","",IFERROR(MATCH($B2882&amp;"|"&amp;$C2882,MUROS!$AX$11:$AX$70,0),0))</f>
        <v/>
      </c>
      <c r="P2882" s="84" t="str">
        <f>IF($D2882="","",IF(ISNUMBER(MATCH($D2882,CMB_S,0)),1,IF(ISNUMBER(MATCH($D2882,CMB_G,0)),2,0)))</f>
        <v/>
      </c>
      <c r="Q2882" s="84">
        <f>IF(ISNUMBER($H2882),-$H2882,0)</f>
        <v>0</v>
      </c>
      <c r="R2882" s="84">
        <f>IF(ISNUMBER($I2882),ABS($I2882),0)</f>
        <v>0</v>
      </c>
      <c r="S2882" s="84">
        <f>IF(ISNUMBER($M2882),ABS($M2882),0)</f>
        <v>0</v>
      </c>
      <c r="T2882" s="85" t="n">
        <v>2874</v>
      </c>
    </row>
    <row r="2883">
      <c r="B2883" s="83" t="n"/>
      <c r="C2883" s="83" t="n"/>
      <c r="D2883" s="83" t="n"/>
      <c r="E2883" s="83" t="n"/>
      <c r="F2883" s="83" t="n"/>
      <c r="G2883" s="83" t="n"/>
      <c r="H2883" s="83" t="n"/>
      <c r="I2883" s="83" t="n"/>
      <c r="J2883" s="83" t="n"/>
      <c r="K2883" s="83" t="n"/>
      <c r="L2883" s="83" t="n"/>
      <c r="M2883" s="83" t="n"/>
      <c r="O2883" s="84" t="str">
        <f>IF($C2883="","",IFERROR(MATCH($B2883&amp;"|"&amp;$C2883,MUROS!$AX$11:$AX$70,0),0))</f>
        <v/>
      </c>
      <c r="P2883" s="84" t="str">
        <f>IF($D2883="","",IF(ISNUMBER(MATCH($D2883,CMB_S,0)),1,IF(ISNUMBER(MATCH($D2883,CMB_G,0)),2,0)))</f>
        <v/>
      </c>
      <c r="Q2883" s="84">
        <f>IF(ISNUMBER($H2883),-$H2883,0)</f>
        <v>0</v>
      </c>
      <c r="R2883" s="84">
        <f>IF(ISNUMBER($I2883),ABS($I2883),0)</f>
        <v>0</v>
      </c>
      <c r="S2883" s="84">
        <f>IF(ISNUMBER($M2883),ABS($M2883),0)</f>
        <v>0</v>
      </c>
      <c r="T2883" s="85" t="n">
        <v>2875</v>
      </c>
    </row>
    <row r="2884">
      <c r="B2884" s="83" t="n"/>
      <c r="C2884" s="83" t="n"/>
      <c r="D2884" s="83" t="n"/>
      <c r="E2884" s="83" t="n"/>
      <c r="F2884" s="83" t="n"/>
      <c r="G2884" s="83" t="n"/>
      <c r="H2884" s="83" t="n"/>
      <c r="I2884" s="83" t="n"/>
      <c r="J2884" s="83" t="n"/>
      <c r="K2884" s="83" t="n"/>
      <c r="L2884" s="83" t="n"/>
      <c r="M2884" s="83" t="n"/>
      <c r="O2884" s="84" t="str">
        <f>IF($C2884="","",IFERROR(MATCH($B2884&amp;"|"&amp;$C2884,MUROS!$AX$11:$AX$70,0),0))</f>
        <v/>
      </c>
      <c r="P2884" s="84" t="str">
        <f>IF($D2884="","",IF(ISNUMBER(MATCH($D2884,CMB_S,0)),1,IF(ISNUMBER(MATCH($D2884,CMB_G,0)),2,0)))</f>
        <v/>
      </c>
      <c r="Q2884" s="84">
        <f>IF(ISNUMBER($H2884),-$H2884,0)</f>
        <v>0</v>
      </c>
      <c r="R2884" s="84">
        <f>IF(ISNUMBER($I2884),ABS($I2884),0)</f>
        <v>0</v>
      </c>
      <c r="S2884" s="84">
        <f>IF(ISNUMBER($M2884),ABS($M2884),0)</f>
        <v>0</v>
      </c>
      <c r="T2884" s="85" t="n">
        <v>2876</v>
      </c>
    </row>
    <row r="2885">
      <c r="B2885" s="83" t="n"/>
      <c r="C2885" s="83" t="n"/>
      <c r="D2885" s="83" t="n"/>
      <c r="E2885" s="83" t="n"/>
      <c r="F2885" s="83" t="n"/>
      <c r="G2885" s="83" t="n"/>
      <c r="H2885" s="83" t="n"/>
      <c r="I2885" s="83" t="n"/>
      <c r="J2885" s="83" t="n"/>
      <c r="K2885" s="83" t="n"/>
      <c r="L2885" s="83" t="n"/>
      <c r="M2885" s="83" t="n"/>
      <c r="O2885" s="84" t="str">
        <f>IF($C2885="","",IFERROR(MATCH($B2885&amp;"|"&amp;$C2885,MUROS!$AX$11:$AX$70,0),0))</f>
        <v/>
      </c>
      <c r="P2885" s="84" t="str">
        <f>IF($D2885="","",IF(ISNUMBER(MATCH($D2885,CMB_S,0)),1,IF(ISNUMBER(MATCH($D2885,CMB_G,0)),2,0)))</f>
        <v/>
      </c>
      <c r="Q2885" s="84">
        <f>IF(ISNUMBER($H2885),-$H2885,0)</f>
        <v>0</v>
      </c>
      <c r="R2885" s="84">
        <f>IF(ISNUMBER($I2885),ABS($I2885),0)</f>
        <v>0</v>
      </c>
      <c r="S2885" s="84">
        <f>IF(ISNUMBER($M2885),ABS($M2885),0)</f>
        <v>0</v>
      </c>
      <c r="T2885" s="85" t="n">
        <v>2877</v>
      </c>
    </row>
    <row r="2886">
      <c r="B2886" s="83" t="n"/>
      <c r="C2886" s="83" t="n"/>
      <c r="D2886" s="83" t="n"/>
      <c r="E2886" s="83" t="n"/>
      <c r="F2886" s="83" t="n"/>
      <c r="G2886" s="83" t="n"/>
      <c r="H2886" s="83" t="n"/>
      <c r="I2886" s="83" t="n"/>
      <c r="J2886" s="83" t="n"/>
      <c r="K2886" s="83" t="n"/>
      <c r="L2886" s="83" t="n"/>
      <c r="M2886" s="83" t="n"/>
      <c r="O2886" s="84" t="str">
        <f>IF($C2886="","",IFERROR(MATCH($B2886&amp;"|"&amp;$C2886,MUROS!$AX$11:$AX$70,0),0))</f>
        <v/>
      </c>
      <c r="P2886" s="84" t="str">
        <f>IF($D2886="","",IF(ISNUMBER(MATCH($D2886,CMB_S,0)),1,IF(ISNUMBER(MATCH($D2886,CMB_G,0)),2,0)))</f>
        <v/>
      </c>
      <c r="Q2886" s="84">
        <f>IF(ISNUMBER($H2886),-$H2886,0)</f>
        <v>0</v>
      </c>
      <c r="R2886" s="84">
        <f>IF(ISNUMBER($I2886),ABS($I2886),0)</f>
        <v>0</v>
      </c>
      <c r="S2886" s="84">
        <f>IF(ISNUMBER($M2886),ABS($M2886),0)</f>
        <v>0</v>
      </c>
      <c r="T2886" s="85" t="n">
        <v>2878</v>
      </c>
    </row>
    <row r="2887">
      <c r="B2887" s="83" t="n"/>
      <c r="C2887" s="83" t="n"/>
      <c r="D2887" s="83" t="n"/>
      <c r="E2887" s="83" t="n"/>
      <c r="F2887" s="83" t="n"/>
      <c r="G2887" s="83" t="n"/>
      <c r="H2887" s="83" t="n"/>
      <c r="I2887" s="83" t="n"/>
      <c r="J2887" s="83" t="n"/>
      <c r="K2887" s="83" t="n"/>
      <c r="L2887" s="83" t="n"/>
      <c r="M2887" s="83" t="n"/>
      <c r="O2887" s="84" t="str">
        <f>IF($C2887="","",IFERROR(MATCH($B2887&amp;"|"&amp;$C2887,MUROS!$AX$11:$AX$70,0),0))</f>
        <v/>
      </c>
      <c r="P2887" s="84" t="str">
        <f>IF($D2887="","",IF(ISNUMBER(MATCH($D2887,CMB_S,0)),1,IF(ISNUMBER(MATCH($D2887,CMB_G,0)),2,0)))</f>
        <v/>
      </c>
      <c r="Q2887" s="84">
        <f>IF(ISNUMBER($H2887),-$H2887,0)</f>
        <v>0</v>
      </c>
      <c r="R2887" s="84">
        <f>IF(ISNUMBER($I2887),ABS($I2887),0)</f>
        <v>0</v>
      </c>
      <c r="S2887" s="84">
        <f>IF(ISNUMBER($M2887),ABS($M2887),0)</f>
        <v>0</v>
      </c>
      <c r="T2887" s="85" t="n">
        <v>2879</v>
      </c>
    </row>
    <row r="2888">
      <c r="B2888" s="83" t="n"/>
      <c r="C2888" s="83" t="n"/>
      <c r="D2888" s="83" t="n"/>
      <c r="E2888" s="83" t="n"/>
      <c r="F2888" s="83" t="n"/>
      <c r="G2888" s="83" t="n"/>
      <c r="H2888" s="83" t="n"/>
      <c r="I2888" s="83" t="n"/>
      <c r="J2888" s="83" t="n"/>
      <c r="K2888" s="83" t="n"/>
      <c r="L2888" s="83" t="n"/>
      <c r="M2888" s="83" t="n"/>
      <c r="O2888" s="84" t="str">
        <f>IF($C2888="","",IFERROR(MATCH($B2888&amp;"|"&amp;$C2888,MUROS!$AX$11:$AX$70,0),0))</f>
        <v/>
      </c>
      <c r="P2888" s="84" t="str">
        <f>IF($D2888="","",IF(ISNUMBER(MATCH($D2888,CMB_S,0)),1,IF(ISNUMBER(MATCH($D2888,CMB_G,0)),2,0)))</f>
        <v/>
      </c>
      <c r="Q2888" s="84">
        <f>IF(ISNUMBER($H2888),-$H2888,0)</f>
        <v>0</v>
      </c>
      <c r="R2888" s="84">
        <f>IF(ISNUMBER($I2888),ABS($I2888),0)</f>
        <v>0</v>
      </c>
      <c r="S2888" s="84">
        <f>IF(ISNUMBER($M2888),ABS($M2888),0)</f>
        <v>0</v>
      </c>
      <c r="T2888" s="85" t="n">
        <v>2880</v>
      </c>
    </row>
    <row r="2889">
      <c r="B2889" s="83" t="n"/>
      <c r="C2889" s="83" t="n"/>
      <c r="D2889" s="83" t="n"/>
      <c r="E2889" s="83" t="n"/>
      <c r="F2889" s="83" t="n"/>
      <c r="G2889" s="83" t="n"/>
      <c r="H2889" s="83" t="n"/>
      <c r="I2889" s="83" t="n"/>
      <c r="J2889" s="83" t="n"/>
      <c r="K2889" s="83" t="n"/>
      <c r="L2889" s="83" t="n"/>
      <c r="M2889" s="83" t="n"/>
      <c r="O2889" s="84" t="str">
        <f>IF($C2889="","",IFERROR(MATCH($B2889&amp;"|"&amp;$C2889,MUROS!$AX$11:$AX$70,0),0))</f>
        <v/>
      </c>
      <c r="P2889" s="84" t="str">
        <f>IF($D2889="","",IF(ISNUMBER(MATCH($D2889,CMB_S,0)),1,IF(ISNUMBER(MATCH($D2889,CMB_G,0)),2,0)))</f>
        <v/>
      </c>
      <c r="Q2889" s="84">
        <f>IF(ISNUMBER($H2889),-$H2889,0)</f>
        <v>0</v>
      </c>
      <c r="R2889" s="84">
        <f>IF(ISNUMBER($I2889),ABS($I2889),0)</f>
        <v>0</v>
      </c>
      <c r="S2889" s="84">
        <f>IF(ISNUMBER($M2889),ABS($M2889),0)</f>
        <v>0</v>
      </c>
      <c r="T2889" s="85" t="n">
        <v>2881</v>
      </c>
    </row>
    <row r="2890">
      <c r="B2890" s="83" t="n"/>
      <c r="C2890" s="83" t="n"/>
      <c r="D2890" s="83" t="n"/>
      <c r="E2890" s="83" t="n"/>
      <c r="F2890" s="83" t="n"/>
      <c r="G2890" s="83" t="n"/>
      <c r="H2890" s="83" t="n"/>
      <c r="I2890" s="83" t="n"/>
      <c r="J2890" s="83" t="n"/>
      <c r="K2890" s="83" t="n"/>
      <c r="L2890" s="83" t="n"/>
      <c r="M2890" s="83" t="n"/>
      <c r="O2890" s="84" t="str">
        <f>IF($C2890="","",IFERROR(MATCH($B2890&amp;"|"&amp;$C2890,MUROS!$AX$11:$AX$70,0),0))</f>
        <v/>
      </c>
      <c r="P2890" s="84" t="str">
        <f>IF($D2890="","",IF(ISNUMBER(MATCH($D2890,CMB_S,0)),1,IF(ISNUMBER(MATCH($D2890,CMB_G,0)),2,0)))</f>
        <v/>
      </c>
      <c r="Q2890" s="84">
        <f>IF(ISNUMBER($H2890),-$H2890,0)</f>
        <v>0</v>
      </c>
      <c r="R2890" s="84">
        <f>IF(ISNUMBER($I2890),ABS($I2890),0)</f>
        <v>0</v>
      </c>
      <c r="S2890" s="84">
        <f>IF(ISNUMBER($M2890),ABS($M2890),0)</f>
        <v>0</v>
      </c>
      <c r="T2890" s="85" t="n">
        <v>2882</v>
      </c>
    </row>
    <row r="2891">
      <c r="B2891" s="83" t="n"/>
      <c r="C2891" s="83" t="n"/>
      <c r="D2891" s="83" t="n"/>
      <c r="E2891" s="83" t="n"/>
      <c r="F2891" s="83" t="n"/>
      <c r="G2891" s="83" t="n"/>
      <c r="H2891" s="83" t="n"/>
      <c r="I2891" s="83" t="n"/>
      <c r="J2891" s="83" t="n"/>
      <c r="K2891" s="83" t="n"/>
      <c r="L2891" s="83" t="n"/>
      <c r="M2891" s="83" t="n"/>
      <c r="O2891" s="84" t="str">
        <f>IF($C2891="","",IFERROR(MATCH($B2891&amp;"|"&amp;$C2891,MUROS!$AX$11:$AX$70,0),0))</f>
        <v/>
      </c>
      <c r="P2891" s="84" t="str">
        <f>IF($D2891="","",IF(ISNUMBER(MATCH($D2891,CMB_S,0)),1,IF(ISNUMBER(MATCH($D2891,CMB_G,0)),2,0)))</f>
        <v/>
      </c>
      <c r="Q2891" s="84">
        <f>IF(ISNUMBER($H2891),-$H2891,0)</f>
        <v>0</v>
      </c>
      <c r="R2891" s="84">
        <f>IF(ISNUMBER($I2891),ABS($I2891),0)</f>
        <v>0</v>
      </c>
      <c r="S2891" s="84">
        <f>IF(ISNUMBER($M2891),ABS($M2891),0)</f>
        <v>0</v>
      </c>
      <c r="T2891" s="85" t="n">
        <v>2883</v>
      </c>
    </row>
    <row r="2892">
      <c r="B2892" s="83" t="n"/>
      <c r="C2892" s="83" t="n"/>
      <c r="D2892" s="83" t="n"/>
      <c r="E2892" s="83" t="n"/>
      <c r="F2892" s="83" t="n"/>
      <c r="G2892" s="83" t="n"/>
      <c r="H2892" s="83" t="n"/>
      <c r="I2892" s="83" t="n"/>
      <c r="J2892" s="83" t="n"/>
      <c r="K2892" s="83" t="n"/>
      <c r="L2892" s="83" t="n"/>
      <c r="M2892" s="83" t="n"/>
      <c r="O2892" s="84" t="str">
        <f>IF($C2892="","",IFERROR(MATCH($B2892&amp;"|"&amp;$C2892,MUROS!$AX$11:$AX$70,0),0))</f>
        <v/>
      </c>
      <c r="P2892" s="84" t="str">
        <f>IF($D2892="","",IF(ISNUMBER(MATCH($D2892,CMB_S,0)),1,IF(ISNUMBER(MATCH($D2892,CMB_G,0)),2,0)))</f>
        <v/>
      </c>
      <c r="Q2892" s="84">
        <f>IF(ISNUMBER($H2892),-$H2892,0)</f>
        <v>0</v>
      </c>
      <c r="R2892" s="84">
        <f>IF(ISNUMBER($I2892),ABS($I2892),0)</f>
        <v>0</v>
      </c>
      <c r="S2892" s="84">
        <f>IF(ISNUMBER($M2892),ABS($M2892),0)</f>
        <v>0</v>
      </c>
      <c r="T2892" s="85" t="n">
        <v>2884</v>
      </c>
    </row>
    <row r="2893">
      <c r="B2893" s="83" t="n"/>
      <c r="C2893" s="83" t="n"/>
      <c r="D2893" s="83" t="n"/>
      <c r="E2893" s="83" t="n"/>
      <c r="F2893" s="83" t="n"/>
      <c r="G2893" s="83" t="n"/>
      <c r="H2893" s="83" t="n"/>
      <c r="I2893" s="83" t="n"/>
      <c r="J2893" s="83" t="n"/>
      <c r="K2893" s="83" t="n"/>
      <c r="L2893" s="83" t="n"/>
      <c r="M2893" s="83" t="n"/>
      <c r="O2893" s="84" t="str">
        <f>IF($C2893="","",IFERROR(MATCH($B2893&amp;"|"&amp;$C2893,MUROS!$AX$11:$AX$70,0),0))</f>
        <v/>
      </c>
      <c r="P2893" s="84" t="str">
        <f>IF($D2893="","",IF(ISNUMBER(MATCH($D2893,CMB_S,0)),1,IF(ISNUMBER(MATCH($D2893,CMB_G,0)),2,0)))</f>
        <v/>
      </c>
      <c r="Q2893" s="84">
        <f>IF(ISNUMBER($H2893),-$H2893,0)</f>
        <v>0</v>
      </c>
      <c r="R2893" s="84">
        <f>IF(ISNUMBER($I2893),ABS($I2893),0)</f>
        <v>0</v>
      </c>
      <c r="S2893" s="84">
        <f>IF(ISNUMBER($M2893),ABS($M2893),0)</f>
        <v>0</v>
      </c>
      <c r="T2893" s="85" t="n">
        <v>2885</v>
      </c>
    </row>
    <row r="2894">
      <c r="B2894" s="83" t="n"/>
      <c r="C2894" s="83" t="n"/>
      <c r="D2894" s="83" t="n"/>
      <c r="E2894" s="83" t="n"/>
      <c r="F2894" s="83" t="n"/>
      <c r="G2894" s="83" t="n"/>
      <c r="H2894" s="83" t="n"/>
      <c r="I2894" s="83" t="n"/>
      <c r="J2894" s="83" t="n"/>
      <c r="K2894" s="83" t="n"/>
      <c r="L2894" s="83" t="n"/>
      <c r="M2894" s="83" t="n"/>
      <c r="O2894" s="84" t="str">
        <f>IF($C2894="","",IFERROR(MATCH($B2894&amp;"|"&amp;$C2894,MUROS!$AX$11:$AX$70,0),0))</f>
        <v/>
      </c>
      <c r="P2894" s="84" t="str">
        <f>IF($D2894="","",IF(ISNUMBER(MATCH($D2894,CMB_S,0)),1,IF(ISNUMBER(MATCH($D2894,CMB_G,0)),2,0)))</f>
        <v/>
      </c>
      <c r="Q2894" s="84">
        <f>IF(ISNUMBER($H2894),-$H2894,0)</f>
        <v>0</v>
      </c>
      <c r="R2894" s="84">
        <f>IF(ISNUMBER($I2894),ABS($I2894),0)</f>
        <v>0</v>
      </c>
      <c r="S2894" s="84">
        <f>IF(ISNUMBER($M2894),ABS($M2894),0)</f>
        <v>0</v>
      </c>
      <c r="T2894" s="85" t="n">
        <v>2886</v>
      </c>
    </row>
    <row r="2895">
      <c r="B2895" s="83" t="n"/>
      <c r="C2895" s="83" t="n"/>
      <c r="D2895" s="83" t="n"/>
      <c r="E2895" s="83" t="n"/>
      <c r="F2895" s="83" t="n"/>
      <c r="G2895" s="83" t="n"/>
      <c r="H2895" s="83" t="n"/>
      <c r="I2895" s="83" t="n"/>
      <c r="J2895" s="83" t="n"/>
      <c r="K2895" s="83" t="n"/>
      <c r="L2895" s="83" t="n"/>
      <c r="M2895" s="83" t="n"/>
      <c r="O2895" s="84" t="str">
        <f>IF($C2895="","",IFERROR(MATCH($B2895&amp;"|"&amp;$C2895,MUROS!$AX$11:$AX$70,0),0))</f>
        <v/>
      </c>
      <c r="P2895" s="84" t="str">
        <f>IF($D2895="","",IF(ISNUMBER(MATCH($D2895,CMB_S,0)),1,IF(ISNUMBER(MATCH($D2895,CMB_G,0)),2,0)))</f>
        <v/>
      </c>
      <c r="Q2895" s="84">
        <f>IF(ISNUMBER($H2895),-$H2895,0)</f>
        <v>0</v>
      </c>
      <c r="R2895" s="84">
        <f>IF(ISNUMBER($I2895),ABS($I2895),0)</f>
        <v>0</v>
      </c>
      <c r="S2895" s="84">
        <f>IF(ISNUMBER($M2895),ABS($M2895),0)</f>
        <v>0</v>
      </c>
      <c r="T2895" s="85" t="n">
        <v>2887</v>
      </c>
    </row>
    <row r="2896">
      <c r="B2896" s="83" t="n"/>
      <c r="C2896" s="83" t="n"/>
      <c r="D2896" s="83" t="n"/>
      <c r="E2896" s="83" t="n"/>
      <c r="F2896" s="83" t="n"/>
      <c r="G2896" s="83" t="n"/>
      <c r="H2896" s="83" t="n"/>
      <c r="I2896" s="83" t="n"/>
      <c r="J2896" s="83" t="n"/>
      <c r="K2896" s="83" t="n"/>
      <c r="L2896" s="83" t="n"/>
      <c r="M2896" s="83" t="n"/>
      <c r="O2896" s="84" t="str">
        <f>IF($C2896="","",IFERROR(MATCH($B2896&amp;"|"&amp;$C2896,MUROS!$AX$11:$AX$70,0),0))</f>
        <v/>
      </c>
      <c r="P2896" s="84" t="str">
        <f>IF($D2896="","",IF(ISNUMBER(MATCH($D2896,CMB_S,0)),1,IF(ISNUMBER(MATCH($D2896,CMB_G,0)),2,0)))</f>
        <v/>
      </c>
      <c r="Q2896" s="84">
        <f>IF(ISNUMBER($H2896),-$H2896,0)</f>
        <v>0</v>
      </c>
      <c r="R2896" s="84">
        <f>IF(ISNUMBER($I2896),ABS($I2896),0)</f>
        <v>0</v>
      </c>
      <c r="S2896" s="84">
        <f>IF(ISNUMBER($M2896),ABS($M2896),0)</f>
        <v>0</v>
      </c>
      <c r="T2896" s="85" t="n">
        <v>2888</v>
      </c>
    </row>
    <row r="2897">
      <c r="B2897" s="83" t="n"/>
      <c r="C2897" s="83" t="n"/>
      <c r="D2897" s="83" t="n"/>
      <c r="E2897" s="83" t="n"/>
      <c r="F2897" s="83" t="n"/>
      <c r="G2897" s="83" t="n"/>
      <c r="H2897" s="83" t="n"/>
      <c r="I2897" s="83" t="n"/>
      <c r="J2897" s="83" t="n"/>
      <c r="K2897" s="83" t="n"/>
      <c r="L2897" s="83" t="n"/>
      <c r="M2897" s="83" t="n"/>
      <c r="O2897" s="84" t="str">
        <f>IF($C2897="","",IFERROR(MATCH($B2897&amp;"|"&amp;$C2897,MUROS!$AX$11:$AX$70,0),0))</f>
        <v/>
      </c>
      <c r="P2897" s="84" t="str">
        <f>IF($D2897="","",IF(ISNUMBER(MATCH($D2897,CMB_S,0)),1,IF(ISNUMBER(MATCH($D2897,CMB_G,0)),2,0)))</f>
        <v/>
      </c>
      <c r="Q2897" s="84">
        <f>IF(ISNUMBER($H2897),-$H2897,0)</f>
        <v>0</v>
      </c>
      <c r="R2897" s="84">
        <f>IF(ISNUMBER($I2897),ABS($I2897),0)</f>
        <v>0</v>
      </c>
      <c r="S2897" s="84">
        <f>IF(ISNUMBER($M2897),ABS($M2897),0)</f>
        <v>0</v>
      </c>
      <c r="T2897" s="85" t="n">
        <v>2889</v>
      </c>
    </row>
    <row r="2898">
      <c r="B2898" s="83" t="n"/>
      <c r="C2898" s="83" t="n"/>
      <c r="D2898" s="83" t="n"/>
      <c r="E2898" s="83" t="n"/>
      <c r="F2898" s="83" t="n"/>
      <c r="G2898" s="83" t="n"/>
      <c r="H2898" s="83" t="n"/>
      <c r="I2898" s="83" t="n"/>
      <c r="J2898" s="83" t="n"/>
      <c r="K2898" s="83" t="n"/>
      <c r="L2898" s="83" t="n"/>
      <c r="M2898" s="83" t="n"/>
      <c r="O2898" s="84" t="str">
        <f>IF($C2898="","",IFERROR(MATCH($B2898&amp;"|"&amp;$C2898,MUROS!$AX$11:$AX$70,0),0))</f>
        <v/>
      </c>
      <c r="P2898" s="84" t="str">
        <f>IF($D2898="","",IF(ISNUMBER(MATCH($D2898,CMB_S,0)),1,IF(ISNUMBER(MATCH($D2898,CMB_G,0)),2,0)))</f>
        <v/>
      </c>
      <c r="Q2898" s="84">
        <f>IF(ISNUMBER($H2898),-$H2898,0)</f>
        <v>0</v>
      </c>
      <c r="R2898" s="84">
        <f>IF(ISNUMBER($I2898),ABS($I2898),0)</f>
        <v>0</v>
      </c>
      <c r="S2898" s="84">
        <f>IF(ISNUMBER($M2898),ABS($M2898),0)</f>
        <v>0</v>
      </c>
      <c r="T2898" s="85" t="n">
        <v>2890</v>
      </c>
    </row>
    <row r="2899">
      <c r="B2899" s="83" t="n"/>
      <c r="C2899" s="83" t="n"/>
      <c r="D2899" s="83" t="n"/>
      <c r="E2899" s="83" t="n"/>
      <c r="F2899" s="83" t="n"/>
      <c r="G2899" s="83" t="n"/>
      <c r="H2899" s="83" t="n"/>
      <c r="I2899" s="83" t="n"/>
      <c r="J2899" s="83" t="n"/>
      <c r="K2899" s="83" t="n"/>
      <c r="L2899" s="83" t="n"/>
      <c r="M2899" s="83" t="n"/>
      <c r="O2899" s="84" t="str">
        <f>IF($C2899="","",IFERROR(MATCH($B2899&amp;"|"&amp;$C2899,MUROS!$AX$11:$AX$70,0),0))</f>
        <v/>
      </c>
      <c r="P2899" s="84" t="str">
        <f>IF($D2899="","",IF(ISNUMBER(MATCH($D2899,CMB_S,0)),1,IF(ISNUMBER(MATCH($D2899,CMB_G,0)),2,0)))</f>
        <v/>
      </c>
      <c r="Q2899" s="84">
        <f>IF(ISNUMBER($H2899),-$H2899,0)</f>
        <v>0</v>
      </c>
      <c r="R2899" s="84">
        <f>IF(ISNUMBER($I2899),ABS($I2899),0)</f>
        <v>0</v>
      </c>
      <c r="S2899" s="84">
        <f>IF(ISNUMBER($M2899),ABS($M2899),0)</f>
        <v>0</v>
      </c>
      <c r="T2899" s="85" t="n">
        <v>2891</v>
      </c>
    </row>
    <row r="2900">
      <c r="B2900" s="83" t="n"/>
      <c r="C2900" s="83" t="n"/>
      <c r="D2900" s="83" t="n"/>
      <c r="E2900" s="83" t="n"/>
      <c r="F2900" s="83" t="n"/>
      <c r="G2900" s="83" t="n"/>
      <c r="H2900" s="83" t="n"/>
      <c r="I2900" s="83" t="n"/>
      <c r="J2900" s="83" t="n"/>
      <c r="K2900" s="83" t="n"/>
      <c r="L2900" s="83" t="n"/>
      <c r="M2900" s="83" t="n"/>
      <c r="O2900" s="84" t="str">
        <f>IF($C2900="","",IFERROR(MATCH($B2900&amp;"|"&amp;$C2900,MUROS!$AX$11:$AX$70,0),0))</f>
        <v/>
      </c>
      <c r="P2900" s="84" t="str">
        <f>IF($D2900="","",IF(ISNUMBER(MATCH($D2900,CMB_S,0)),1,IF(ISNUMBER(MATCH($D2900,CMB_G,0)),2,0)))</f>
        <v/>
      </c>
      <c r="Q2900" s="84">
        <f>IF(ISNUMBER($H2900),-$H2900,0)</f>
        <v>0</v>
      </c>
      <c r="R2900" s="84">
        <f>IF(ISNUMBER($I2900),ABS($I2900),0)</f>
        <v>0</v>
      </c>
      <c r="S2900" s="84">
        <f>IF(ISNUMBER($M2900),ABS($M2900),0)</f>
        <v>0</v>
      </c>
      <c r="T2900" s="85" t="n">
        <v>2892</v>
      </c>
    </row>
    <row r="2901">
      <c r="B2901" s="83" t="n"/>
      <c r="C2901" s="83" t="n"/>
      <c r="D2901" s="83" t="n"/>
      <c r="E2901" s="83" t="n"/>
      <c r="F2901" s="83" t="n"/>
      <c r="G2901" s="83" t="n"/>
      <c r="H2901" s="83" t="n"/>
      <c r="I2901" s="83" t="n"/>
      <c r="J2901" s="83" t="n"/>
      <c r="K2901" s="83" t="n"/>
      <c r="L2901" s="83" t="n"/>
      <c r="M2901" s="83" t="n"/>
      <c r="O2901" s="84" t="str">
        <f>IF($C2901="","",IFERROR(MATCH($B2901&amp;"|"&amp;$C2901,MUROS!$AX$11:$AX$70,0),0))</f>
        <v/>
      </c>
      <c r="P2901" s="84" t="str">
        <f>IF($D2901="","",IF(ISNUMBER(MATCH($D2901,CMB_S,0)),1,IF(ISNUMBER(MATCH($D2901,CMB_G,0)),2,0)))</f>
        <v/>
      </c>
      <c r="Q2901" s="84">
        <f>IF(ISNUMBER($H2901),-$H2901,0)</f>
        <v>0</v>
      </c>
      <c r="R2901" s="84">
        <f>IF(ISNUMBER($I2901),ABS($I2901),0)</f>
        <v>0</v>
      </c>
      <c r="S2901" s="84">
        <f>IF(ISNUMBER($M2901),ABS($M2901),0)</f>
        <v>0</v>
      </c>
      <c r="T2901" s="85" t="n">
        <v>2893</v>
      </c>
    </row>
    <row r="2902">
      <c r="B2902" s="83" t="n"/>
      <c r="C2902" s="83" t="n"/>
      <c r="D2902" s="83" t="n"/>
      <c r="E2902" s="83" t="n"/>
      <c r="F2902" s="83" t="n"/>
      <c r="G2902" s="83" t="n"/>
      <c r="H2902" s="83" t="n"/>
      <c r="I2902" s="83" t="n"/>
      <c r="J2902" s="83" t="n"/>
      <c r="K2902" s="83" t="n"/>
      <c r="L2902" s="83" t="n"/>
      <c r="M2902" s="83" t="n"/>
      <c r="O2902" s="84" t="str">
        <f>IF($C2902="","",IFERROR(MATCH($B2902&amp;"|"&amp;$C2902,MUROS!$AX$11:$AX$70,0),0))</f>
        <v/>
      </c>
      <c r="P2902" s="84" t="str">
        <f>IF($D2902="","",IF(ISNUMBER(MATCH($D2902,CMB_S,0)),1,IF(ISNUMBER(MATCH($D2902,CMB_G,0)),2,0)))</f>
        <v/>
      </c>
      <c r="Q2902" s="84">
        <f>IF(ISNUMBER($H2902),-$H2902,0)</f>
        <v>0</v>
      </c>
      <c r="R2902" s="84">
        <f>IF(ISNUMBER($I2902),ABS($I2902),0)</f>
        <v>0</v>
      </c>
      <c r="S2902" s="84">
        <f>IF(ISNUMBER($M2902),ABS($M2902),0)</f>
        <v>0</v>
      </c>
      <c r="T2902" s="85" t="n">
        <v>2894</v>
      </c>
    </row>
    <row r="2903">
      <c r="B2903" s="83" t="n"/>
      <c r="C2903" s="83" t="n"/>
      <c r="D2903" s="83" t="n"/>
      <c r="E2903" s="83" t="n"/>
      <c r="F2903" s="83" t="n"/>
      <c r="G2903" s="83" t="n"/>
      <c r="H2903" s="83" t="n"/>
      <c r="I2903" s="83" t="n"/>
      <c r="J2903" s="83" t="n"/>
      <c r="K2903" s="83" t="n"/>
      <c r="L2903" s="83" t="n"/>
      <c r="M2903" s="83" t="n"/>
      <c r="O2903" s="84" t="str">
        <f>IF($C2903="","",IFERROR(MATCH($B2903&amp;"|"&amp;$C2903,MUROS!$AX$11:$AX$70,0),0))</f>
        <v/>
      </c>
      <c r="P2903" s="84" t="str">
        <f>IF($D2903="","",IF(ISNUMBER(MATCH($D2903,CMB_S,0)),1,IF(ISNUMBER(MATCH($D2903,CMB_G,0)),2,0)))</f>
        <v/>
      </c>
      <c r="Q2903" s="84">
        <f>IF(ISNUMBER($H2903),-$H2903,0)</f>
        <v>0</v>
      </c>
      <c r="R2903" s="84">
        <f>IF(ISNUMBER($I2903),ABS($I2903),0)</f>
        <v>0</v>
      </c>
      <c r="S2903" s="84">
        <f>IF(ISNUMBER($M2903),ABS($M2903),0)</f>
        <v>0</v>
      </c>
      <c r="T2903" s="85" t="n">
        <v>2895</v>
      </c>
    </row>
    <row r="2904">
      <c r="B2904" s="83" t="n"/>
      <c r="C2904" s="83" t="n"/>
      <c r="D2904" s="83" t="n"/>
      <c r="E2904" s="83" t="n"/>
      <c r="F2904" s="83" t="n"/>
      <c r="G2904" s="83" t="n"/>
      <c r="H2904" s="83" t="n"/>
      <c r="I2904" s="83" t="n"/>
      <c r="J2904" s="83" t="n"/>
      <c r="K2904" s="83" t="n"/>
      <c r="L2904" s="83" t="n"/>
      <c r="M2904" s="83" t="n"/>
      <c r="O2904" s="84" t="str">
        <f>IF($C2904="","",IFERROR(MATCH($B2904&amp;"|"&amp;$C2904,MUROS!$AX$11:$AX$70,0),0))</f>
        <v/>
      </c>
      <c r="P2904" s="84" t="str">
        <f>IF($D2904="","",IF(ISNUMBER(MATCH($D2904,CMB_S,0)),1,IF(ISNUMBER(MATCH($D2904,CMB_G,0)),2,0)))</f>
        <v/>
      </c>
      <c r="Q2904" s="84">
        <f>IF(ISNUMBER($H2904),-$H2904,0)</f>
        <v>0</v>
      </c>
      <c r="R2904" s="84">
        <f>IF(ISNUMBER($I2904),ABS($I2904),0)</f>
        <v>0</v>
      </c>
      <c r="S2904" s="84">
        <f>IF(ISNUMBER($M2904),ABS($M2904),0)</f>
        <v>0</v>
      </c>
      <c r="T2904" s="85" t="n">
        <v>2896</v>
      </c>
    </row>
    <row r="2905">
      <c r="B2905" s="83" t="n"/>
      <c r="C2905" s="83" t="n"/>
      <c r="D2905" s="83" t="n"/>
      <c r="E2905" s="83" t="n"/>
      <c r="F2905" s="83" t="n"/>
      <c r="G2905" s="83" t="n"/>
      <c r="H2905" s="83" t="n"/>
      <c r="I2905" s="83" t="n"/>
      <c r="J2905" s="83" t="n"/>
      <c r="K2905" s="83" t="n"/>
      <c r="L2905" s="83" t="n"/>
      <c r="M2905" s="83" t="n"/>
      <c r="O2905" s="84" t="str">
        <f>IF($C2905="","",IFERROR(MATCH($B2905&amp;"|"&amp;$C2905,MUROS!$AX$11:$AX$70,0),0))</f>
        <v/>
      </c>
      <c r="P2905" s="84" t="str">
        <f>IF($D2905="","",IF(ISNUMBER(MATCH($D2905,CMB_S,0)),1,IF(ISNUMBER(MATCH($D2905,CMB_G,0)),2,0)))</f>
        <v/>
      </c>
      <c r="Q2905" s="84">
        <f>IF(ISNUMBER($H2905),-$H2905,0)</f>
        <v>0</v>
      </c>
      <c r="R2905" s="84">
        <f>IF(ISNUMBER($I2905),ABS($I2905),0)</f>
        <v>0</v>
      </c>
      <c r="S2905" s="84">
        <f>IF(ISNUMBER($M2905),ABS($M2905),0)</f>
        <v>0</v>
      </c>
      <c r="T2905" s="85" t="n">
        <v>2897</v>
      </c>
    </row>
    <row r="2906">
      <c r="B2906" s="83" t="n"/>
      <c r="C2906" s="83" t="n"/>
      <c r="D2906" s="83" t="n"/>
      <c r="E2906" s="83" t="n"/>
      <c r="F2906" s="83" t="n"/>
      <c r="G2906" s="83" t="n"/>
      <c r="H2906" s="83" t="n"/>
      <c r="I2906" s="83" t="n"/>
      <c r="J2906" s="83" t="n"/>
      <c r="K2906" s="83" t="n"/>
      <c r="L2906" s="83" t="n"/>
      <c r="M2906" s="83" t="n"/>
      <c r="O2906" s="84" t="str">
        <f>IF($C2906="","",IFERROR(MATCH($B2906&amp;"|"&amp;$C2906,MUROS!$AX$11:$AX$70,0),0))</f>
        <v/>
      </c>
      <c r="P2906" s="84" t="str">
        <f>IF($D2906="","",IF(ISNUMBER(MATCH($D2906,CMB_S,0)),1,IF(ISNUMBER(MATCH($D2906,CMB_G,0)),2,0)))</f>
        <v/>
      </c>
      <c r="Q2906" s="84">
        <f>IF(ISNUMBER($H2906),-$H2906,0)</f>
        <v>0</v>
      </c>
      <c r="R2906" s="84">
        <f>IF(ISNUMBER($I2906),ABS($I2906),0)</f>
        <v>0</v>
      </c>
      <c r="S2906" s="84">
        <f>IF(ISNUMBER($M2906),ABS($M2906),0)</f>
        <v>0</v>
      </c>
      <c r="T2906" s="85" t="n">
        <v>2898</v>
      </c>
    </row>
    <row r="2907">
      <c r="B2907" s="83" t="n"/>
      <c r="C2907" s="83" t="n"/>
      <c r="D2907" s="83" t="n"/>
      <c r="E2907" s="83" t="n"/>
      <c r="F2907" s="83" t="n"/>
      <c r="G2907" s="83" t="n"/>
      <c r="H2907" s="83" t="n"/>
      <c r="I2907" s="83" t="n"/>
      <c r="J2907" s="83" t="n"/>
      <c r="K2907" s="83" t="n"/>
      <c r="L2907" s="83" t="n"/>
      <c r="M2907" s="83" t="n"/>
      <c r="O2907" s="84" t="str">
        <f>IF($C2907="","",IFERROR(MATCH($B2907&amp;"|"&amp;$C2907,MUROS!$AX$11:$AX$70,0),0))</f>
        <v/>
      </c>
      <c r="P2907" s="84" t="str">
        <f>IF($D2907="","",IF(ISNUMBER(MATCH($D2907,CMB_S,0)),1,IF(ISNUMBER(MATCH($D2907,CMB_G,0)),2,0)))</f>
        <v/>
      </c>
      <c r="Q2907" s="84">
        <f>IF(ISNUMBER($H2907),-$H2907,0)</f>
        <v>0</v>
      </c>
      <c r="R2907" s="84">
        <f>IF(ISNUMBER($I2907),ABS($I2907),0)</f>
        <v>0</v>
      </c>
      <c r="S2907" s="84">
        <f>IF(ISNUMBER($M2907),ABS($M2907),0)</f>
        <v>0</v>
      </c>
      <c r="T2907" s="85" t="n">
        <v>2899</v>
      </c>
    </row>
    <row r="2908">
      <c r="B2908" s="83" t="n"/>
      <c r="C2908" s="83" t="n"/>
      <c r="D2908" s="83" t="n"/>
      <c r="E2908" s="83" t="n"/>
      <c r="F2908" s="83" t="n"/>
      <c r="G2908" s="83" t="n"/>
      <c r="H2908" s="83" t="n"/>
      <c r="I2908" s="83" t="n"/>
      <c r="J2908" s="83" t="n"/>
      <c r="K2908" s="83" t="n"/>
      <c r="L2908" s="83" t="n"/>
      <c r="M2908" s="83" t="n"/>
      <c r="O2908" s="84" t="str">
        <f>IF($C2908="","",IFERROR(MATCH($B2908&amp;"|"&amp;$C2908,MUROS!$AX$11:$AX$70,0),0))</f>
        <v/>
      </c>
      <c r="P2908" s="84" t="str">
        <f>IF($D2908="","",IF(ISNUMBER(MATCH($D2908,CMB_S,0)),1,IF(ISNUMBER(MATCH($D2908,CMB_G,0)),2,0)))</f>
        <v/>
      </c>
      <c r="Q2908" s="84">
        <f>IF(ISNUMBER($H2908),-$H2908,0)</f>
        <v>0</v>
      </c>
      <c r="R2908" s="84">
        <f>IF(ISNUMBER($I2908),ABS($I2908),0)</f>
        <v>0</v>
      </c>
      <c r="S2908" s="84">
        <f>IF(ISNUMBER($M2908),ABS($M2908),0)</f>
        <v>0</v>
      </c>
      <c r="T2908" s="85" t="n">
        <v>2900</v>
      </c>
    </row>
    <row r="2909">
      <c r="B2909" s="83" t="n"/>
      <c r="C2909" s="83" t="n"/>
      <c r="D2909" s="83" t="n"/>
      <c r="E2909" s="83" t="n"/>
      <c r="F2909" s="83" t="n"/>
      <c r="G2909" s="83" t="n"/>
      <c r="H2909" s="83" t="n"/>
      <c r="I2909" s="83" t="n"/>
      <c r="J2909" s="83" t="n"/>
      <c r="K2909" s="83" t="n"/>
      <c r="L2909" s="83" t="n"/>
      <c r="M2909" s="83" t="n"/>
      <c r="O2909" s="84" t="str">
        <f>IF($C2909="","",IFERROR(MATCH($B2909&amp;"|"&amp;$C2909,MUROS!$AX$11:$AX$70,0),0))</f>
        <v/>
      </c>
      <c r="P2909" s="84" t="str">
        <f>IF($D2909="","",IF(ISNUMBER(MATCH($D2909,CMB_S,0)),1,IF(ISNUMBER(MATCH($D2909,CMB_G,0)),2,0)))</f>
        <v/>
      </c>
      <c r="Q2909" s="84">
        <f>IF(ISNUMBER($H2909),-$H2909,0)</f>
        <v>0</v>
      </c>
      <c r="R2909" s="84">
        <f>IF(ISNUMBER($I2909),ABS($I2909),0)</f>
        <v>0</v>
      </c>
      <c r="S2909" s="84">
        <f>IF(ISNUMBER($M2909),ABS($M2909),0)</f>
        <v>0</v>
      </c>
      <c r="T2909" s="85" t="n">
        <v>2901</v>
      </c>
    </row>
    <row r="2910">
      <c r="B2910" s="83" t="n"/>
      <c r="C2910" s="83" t="n"/>
      <c r="D2910" s="83" t="n"/>
      <c r="E2910" s="83" t="n"/>
      <c r="F2910" s="83" t="n"/>
      <c r="G2910" s="83" t="n"/>
      <c r="H2910" s="83" t="n"/>
      <c r="I2910" s="83" t="n"/>
      <c r="J2910" s="83" t="n"/>
      <c r="K2910" s="83" t="n"/>
      <c r="L2910" s="83" t="n"/>
      <c r="M2910" s="83" t="n"/>
      <c r="O2910" s="84" t="str">
        <f>IF($C2910="","",IFERROR(MATCH($B2910&amp;"|"&amp;$C2910,MUROS!$AX$11:$AX$70,0),0))</f>
        <v/>
      </c>
      <c r="P2910" s="84" t="str">
        <f>IF($D2910="","",IF(ISNUMBER(MATCH($D2910,CMB_S,0)),1,IF(ISNUMBER(MATCH($D2910,CMB_G,0)),2,0)))</f>
        <v/>
      </c>
      <c r="Q2910" s="84">
        <f>IF(ISNUMBER($H2910),-$H2910,0)</f>
        <v>0</v>
      </c>
      <c r="R2910" s="84">
        <f>IF(ISNUMBER($I2910),ABS($I2910),0)</f>
        <v>0</v>
      </c>
      <c r="S2910" s="84">
        <f>IF(ISNUMBER($M2910),ABS($M2910),0)</f>
        <v>0</v>
      </c>
      <c r="T2910" s="85" t="n">
        <v>2902</v>
      </c>
    </row>
    <row r="2911">
      <c r="B2911" s="83" t="n"/>
      <c r="C2911" s="83" t="n"/>
      <c r="D2911" s="83" t="n"/>
      <c r="E2911" s="83" t="n"/>
      <c r="F2911" s="83" t="n"/>
      <c r="G2911" s="83" t="n"/>
      <c r="H2911" s="83" t="n"/>
      <c r="I2911" s="83" t="n"/>
      <c r="J2911" s="83" t="n"/>
      <c r="K2911" s="83" t="n"/>
      <c r="L2911" s="83" t="n"/>
      <c r="M2911" s="83" t="n"/>
      <c r="O2911" s="84" t="str">
        <f>IF($C2911="","",IFERROR(MATCH($B2911&amp;"|"&amp;$C2911,MUROS!$AX$11:$AX$70,0),0))</f>
        <v/>
      </c>
      <c r="P2911" s="84" t="str">
        <f>IF($D2911="","",IF(ISNUMBER(MATCH($D2911,CMB_S,0)),1,IF(ISNUMBER(MATCH($D2911,CMB_G,0)),2,0)))</f>
        <v/>
      </c>
      <c r="Q2911" s="84">
        <f>IF(ISNUMBER($H2911),-$H2911,0)</f>
        <v>0</v>
      </c>
      <c r="R2911" s="84">
        <f>IF(ISNUMBER($I2911),ABS($I2911),0)</f>
        <v>0</v>
      </c>
      <c r="S2911" s="84">
        <f>IF(ISNUMBER($M2911),ABS($M2911),0)</f>
        <v>0</v>
      </c>
      <c r="T2911" s="85" t="n">
        <v>2903</v>
      </c>
    </row>
    <row r="2912">
      <c r="B2912" s="83" t="n"/>
      <c r="C2912" s="83" t="n"/>
      <c r="D2912" s="83" t="n"/>
      <c r="E2912" s="83" t="n"/>
      <c r="F2912" s="83" t="n"/>
      <c r="G2912" s="83" t="n"/>
      <c r="H2912" s="83" t="n"/>
      <c r="I2912" s="83" t="n"/>
      <c r="J2912" s="83" t="n"/>
      <c r="K2912" s="83" t="n"/>
      <c r="L2912" s="83" t="n"/>
      <c r="M2912" s="83" t="n"/>
      <c r="O2912" s="84" t="str">
        <f>IF($C2912="","",IFERROR(MATCH($B2912&amp;"|"&amp;$C2912,MUROS!$AX$11:$AX$70,0),0))</f>
        <v/>
      </c>
      <c r="P2912" s="84" t="str">
        <f>IF($D2912="","",IF(ISNUMBER(MATCH($D2912,CMB_S,0)),1,IF(ISNUMBER(MATCH($D2912,CMB_G,0)),2,0)))</f>
        <v/>
      </c>
      <c r="Q2912" s="84">
        <f>IF(ISNUMBER($H2912),-$H2912,0)</f>
        <v>0</v>
      </c>
      <c r="R2912" s="84">
        <f>IF(ISNUMBER($I2912),ABS($I2912),0)</f>
        <v>0</v>
      </c>
      <c r="S2912" s="84">
        <f>IF(ISNUMBER($M2912),ABS($M2912),0)</f>
        <v>0</v>
      </c>
      <c r="T2912" s="85" t="n">
        <v>2904</v>
      </c>
    </row>
    <row r="2913">
      <c r="B2913" s="83" t="n"/>
      <c r="C2913" s="83" t="n"/>
      <c r="D2913" s="83" t="n"/>
      <c r="E2913" s="83" t="n"/>
      <c r="F2913" s="83" t="n"/>
      <c r="G2913" s="83" t="n"/>
      <c r="H2913" s="83" t="n"/>
      <c r="I2913" s="83" t="n"/>
      <c r="J2913" s="83" t="n"/>
      <c r="K2913" s="83" t="n"/>
      <c r="L2913" s="83" t="n"/>
      <c r="M2913" s="83" t="n"/>
      <c r="O2913" s="84" t="str">
        <f>IF($C2913="","",IFERROR(MATCH($B2913&amp;"|"&amp;$C2913,MUROS!$AX$11:$AX$70,0),0))</f>
        <v/>
      </c>
      <c r="P2913" s="84" t="str">
        <f>IF($D2913="","",IF(ISNUMBER(MATCH($D2913,CMB_S,0)),1,IF(ISNUMBER(MATCH($D2913,CMB_G,0)),2,0)))</f>
        <v/>
      </c>
      <c r="Q2913" s="84">
        <f>IF(ISNUMBER($H2913),-$H2913,0)</f>
        <v>0</v>
      </c>
      <c r="R2913" s="84">
        <f>IF(ISNUMBER($I2913),ABS($I2913),0)</f>
        <v>0</v>
      </c>
      <c r="S2913" s="84">
        <f>IF(ISNUMBER($M2913),ABS($M2913),0)</f>
        <v>0</v>
      </c>
      <c r="T2913" s="85" t="n">
        <v>2905</v>
      </c>
    </row>
    <row r="2914">
      <c r="B2914" s="83" t="n"/>
      <c r="C2914" s="83" t="n"/>
      <c r="D2914" s="83" t="n"/>
      <c r="E2914" s="83" t="n"/>
      <c r="F2914" s="83" t="n"/>
      <c r="G2914" s="83" t="n"/>
      <c r="H2914" s="83" t="n"/>
      <c r="I2914" s="83" t="n"/>
      <c r="J2914" s="83" t="n"/>
      <c r="K2914" s="83" t="n"/>
      <c r="L2914" s="83" t="n"/>
      <c r="M2914" s="83" t="n"/>
      <c r="O2914" s="84" t="str">
        <f>IF($C2914="","",IFERROR(MATCH($B2914&amp;"|"&amp;$C2914,MUROS!$AX$11:$AX$70,0),0))</f>
        <v/>
      </c>
      <c r="P2914" s="84" t="str">
        <f>IF($D2914="","",IF(ISNUMBER(MATCH($D2914,CMB_S,0)),1,IF(ISNUMBER(MATCH($D2914,CMB_G,0)),2,0)))</f>
        <v/>
      </c>
      <c r="Q2914" s="84">
        <f>IF(ISNUMBER($H2914),-$H2914,0)</f>
        <v>0</v>
      </c>
      <c r="R2914" s="84">
        <f>IF(ISNUMBER($I2914),ABS($I2914),0)</f>
        <v>0</v>
      </c>
      <c r="S2914" s="84">
        <f>IF(ISNUMBER($M2914),ABS($M2914),0)</f>
        <v>0</v>
      </c>
      <c r="T2914" s="85" t="n">
        <v>2906</v>
      </c>
    </row>
    <row r="2915">
      <c r="B2915" s="83" t="n"/>
      <c r="C2915" s="83" t="n"/>
      <c r="D2915" s="83" t="n"/>
      <c r="E2915" s="83" t="n"/>
      <c r="F2915" s="83" t="n"/>
      <c r="G2915" s="83" t="n"/>
      <c r="H2915" s="83" t="n"/>
      <c r="I2915" s="83" t="n"/>
      <c r="J2915" s="83" t="n"/>
      <c r="K2915" s="83" t="n"/>
      <c r="L2915" s="83" t="n"/>
      <c r="M2915" s="83" t="n"/>
      <c r="O2915" s="84" t="str">
        <f>IF($C2915="","",IFERROR(MATCH($B2915&amp;"|"&amp;$C2915,MUROS!$AX$11:$AX$70,0),0))</f>
        <v/>
      </c>
      <c r="P2915" s="84" t="str">
        <f>IF($D2915="","",IF(ISNUMBER(MATCH($D2915,CMB_S,0)),1,IF(ISNUMBER(MATCH($D2915,CMB_G,0)),2,0)))</f>
        <v/>
      </c>
      <c r="Q2915" s="84">
        <f>IF(ISNUMBER($H2915),-$H2915,0)</f>
        <v>0</v>
      </c>
      <c r="R2915" s="84">
        <f>IF(ISNUMBER($I2915),ABS($I2915),0)</f>
        <v>0</v>
      </c>
      <c r="S2915" s="84">
        <f>IF(ISNUMBER($M2915),ABS($M2915),0)</f>
        <v>0</v>
      </c>
      <c r="T2915" s="85" t="n">
        <v>2907</v>
      </c>
    </row>
    <row r="2916">
      <c r="B2916" s="83" t="n"/>
      <c r="C2916" s="83" t="n"/>
      <c r="D2916" s="83" t="n"/>
      <c r="E2916" s="83" t="n"/>
      <c r="F2916" s="83" t="n"/>
      <c r="G2916" s="83" t="n"/>
      <c r="H2916" s="83" t="n"/>
      <c r="I2916" s="83" t="n"/>
      <c r="J2916" s="83" t="n"/>
      <c r="K2916" s="83" t="n"/>
      <c r="L2916" s="83" t="n"/>
      <c r="M2916" s="83" t="n"/>
      <c r="O2916" s="84" t="str">
        <f>IF($C2916="","",IFERROR(MATCH($B2916&amp;"|"&amp;$C2916,MUROS!$AX$11:$AX$70,0),0))</f>
        <v/>
      </c>
      <c r="P2916" s="84" t="str">
        <f>IF($D2916="","",IF(ISNUMBER(MATCH($D2916,CMB_S,0)),1,IF(ISNUMBER(MATCH($D2916,CMB_G,0)),2,0)))</f>
        <v/>
      </c>
      <c r="Q2916" s="84">
        <f>IF(ISNUMBER($H2916),-$H2916,0)</f>
        <v>0</v>
      </c>
      <c r="R2916" s="84">
        <f>IF(ISNUMBER($I2916),ABS($I2916),0)</f>
        <v>0</v>
      </c>
      <c r="S2916" s="84">
        <f>IF(ISNUMBER($M2916),ABS($M2916),0)</f>
        <v>0</v>
      </c>
      <c r="T2916" s="85" t="n">
        <v>2908</v>
      </c>
    </row>
    <row r="2917">
      <c r="B2917" s="83" t="n"/>
      <c r="C2917" s="83" t="n"/>
      <c r="D2917" s="83" t="n"/>
      <c r="E2917" s="83" t="n"/>
      <c r="F2917" s="83" t="n"/>
      <c r="G2917" s="83" t="n"/>
      <c r="H2917" s="83" t="n"/>
      <c r="I2917" s="83" t="n"/>
      <c r="J2917" s="83" t="n"/>
      <c r="K2917" s="83" t="n"/>
      <c r="L2917" s="83" t="n"/>
      <c r="M2917" s="83" t="n"/>
      <c r="O2917" s="84" t="str">
        <f>IF($C2917="","",IFERROR(MATCH($B2917&amp;"|"&amp;$C2917,MUROS!$AX$11:$AX$70,0),0))</f>
        <v/>
      </c>
      <c r="P2917" s="84" t="str">
        <f>IF($D2917="","",IF(ISNUMBER(MATCH($D2917,CMB_S,0)),1,IF(ISNUMBER(MATCH($D2917,CMB_G,0)),2,0)))</f>
        <v/>
      </c>
      <c r="Q2917" s="84">
        <f>IF(ISNUMBER($H2917),-$H2917,0)</f>
        <v>0</v>
      </c>
      <c r="R2917" s="84">
        <f>IF(ISNUMBER($I2917),ABS($I2917),0)</f>
        <v>0</v>
      </c>
      <c r="S2917" s="84">
        <f>IF(ISNUMBER($M2917),ABS($M2917),0)</f>
        <v>0</v>
      </c>
      <c r="T2917" s="85" t="n">
        <v>2909</v>
      </c>
    </row>
    <row r="2918">
      <c r="B2918" s="83" t="n"/>
      <c r="C2918" s="83" t="n"/>
      <c r="D2918" s="83" t="n"/>
      <c r="E2918" s="83" t="n"/>
      <c r="F2918" s="83" t="n"/>
      <c r="G2918" s="83" t="n"/>
      <c r="H2918" s="83" t="n"/>
      <c r="I2918" s="83" t="n"/>
      <c r="J2918" s="83" t="n"/>
      <c r="K2918" s="83" t="n"/>
      <c r="L2918" s="83" t="n"/>
      <c r="M2918" s="83" t="n"/>
      <c r="O2918" s="84" t="str">
        <f>IF($C2918="","",IFERROR(MATCH($B2918&amp;"|"&amp;$C2918,MUROS!$AX$11:$AX$70,0),0))</f>
        <v/>
      </c>
      <c r="P2918" s="84" t="str">
        <f>IF($D2918="","",IF(ISNUMBER(MATCH($D2918,CMB_S,0)),1,IF(ISNUMBER(MATCH($D2918,CMB_G,0)),2,0)))</f>
        <v/>
      </c>
      <c r="Q2918" s="84">
        <f>IF(ISNUMBER($H2918),-$H2918,0)</f>
        <v>0</v>
      </c>
      <c r="R2918" s="84">
        <f>IF(ISNUMBER($I2918),ABS($I2918),0)</f>
        <v>0</v>
      </c>
      <c r="S2918" s="84">
        <f>IF(ISNUMBER($M2918),ABS($M2918),0)</f>
        <v>0</v>
      </c>
      <c r="T2918" s="85" t="n">
        <v>2910</v>
      </c>
    </row>
    <row r="2919">
      <c r="B2919" s="83" t="n"/>
      <c r="C2919" s="83" t="n"/>
      <c r="D2919" s="83" t="n"/>
      <c r="E2919" s="83" t="n"/>
      <c r="F2919" s="83" t="n"/>
      <c r="G2919" s="83" t="n"/>
      <c r="H2919" s="83" t="n"/>
      <c r="I2919" s="83" t="n"/>
      <c r="J2919" s="83" t="n"/>
      <c r="K2919" s="83" t="n"/>
      <c r="L2919" s="83" t="n"/>
      <c r="M2919" s="83" t="n"/>
      <c r="O2919" s="84" t="str">
        <f>IF($C2919="","",IFERROR(MATCH($B2919&amp;"|"&amp;$C2919,MUROS!$AX$11:$AX$70,0),0))</f>
        <v/>
      </c>
      <c r="P2919" s="84" t="str">
        <f>IF($D2919="","",IF(ISNUMBER(MATCH($D2919,CMB_S,0)),1,IF(ISNUMBER(MATCH($D2919,CMB_G,0)),2,0)))</f>
        <v/>
      </c>
      <c r="Q2919" s="84">
        <f>IF(ISNUMBER($H2919),-$H2919,0)</f>
        <v>0</v>
      </c>
      <c r="R2919" s="84">
        <f>IF(ISNUMBER($I2919),ABS($I2919),0)</f>
        <v>0</v>
      </c>
      <c r="S2919" s="84">
        <f>IF(ISNUMBER($M2919),ABS($M2919),0)</f>
        <v>0</v>
      </c>
      <c r="T2919" s="85" t="n">
        <v>2911</v>
      </c>
    </row>
    <row r="2920">
      <c r="B2920" s="83" t="n"/>
      <c r="C2920" s="83" t="n"/>
      <c r="D2920" s="83" t="n"/>
      <c r="E2920" s="83" t="n"/>
      <c r="F2920" s="83" t="n"/>
      <c r="G2920" s="83" t="n"/>
      <c r="H2920" s="83" t="n"/>
      <c r="I2920" s="83" t="n"/>
      <c r="J2920" s="83" t="n"/>
      <c r="K2920" s="83" t="n"/>
      <c r="L2920" s="83" t="n"/>
      <c r="M2920" s="83" t="n"/>
      <c r="O2920" s="84" t="str">
        <f>IF($C2920="","",IFERROR(MATCH($B2920&amp;"|"&amp;$C2920,MUROS!$AX$11:$AX$70,0),0))</f>
        <v/>
      </c>
      <c r="P2920" s="84" t="str">
        <f>IF($D2920="","",IF(ISNUMBER(MATCH($D2920,CMB_S,0)),1,IF(ISNUMBER(MATCH($D2920,CMB_G,0)),2,0)))</f>
        <v/>
      </c>
      <c r="Q2920" s="84">
        <f>IF(ISNUMBER($H2920),-$H2920,0)</f>
        <v>0</v>
      </c>
      <c r="R2920" s="84">
        <f>IF(ISNUMBER($I2920),ABS($I2920),0)</f>
        <v>0</v>
      </c>
      <c r="S2920" s="84">
        <f>IF(ISNUMBER($M2920),ABS($M2920),0)</f>
        <v>0</v>
      </c>
      <c r="T2920" s="85" t="n">
        <v>2912</v>
      </c>
    </row>
    <row r="2921">
      <c r="B2921" s="83" t="n"/>
      <c r="C2921" s="83" t="n"/>
      <c r="D2921" s="83" t="n"/>
      <c r="E2921" s="83" t="n"/>
      <c r="F2921" s="83" t="n"/>
      <c r="G2921" s="83" t="n"/>
      <c r="H2921" s="83" t="n"/>
      <c r="I2921" s="83" t="n"/>
      <c r="J2921" s="83" t="n"/>
      <c r="K2921" s="83" t="n"/>
      <c r="L2921" s="83" t="n"/>
      <c r="M2921" s="83" t="n"/>
      <c r="O2921" s="84" t="str">
        <f>IF($C2921="","",IFERROR(MATCH($B2921&amp;"|"&amp;$C2921,MUROS!$AX$11:$AX$70,0),0))</f>
        <v/>
      </c>
      <c r="P2921" s="84" t="str">
        <f>IF($D2921="","",IF(ISNUMBER(MATCH($D2921,CMB_S,0)),1,IF(ISNUMBER(MATCH($D2921,CMB_G,0)),2,0)))</f>
        <v/>
      </c>
      <c r="Q2921" s="84">
        <f>IF(ISNUMBER($H2921),-$H2921,0)</f>
        <v>0</v>
      </c>
      <c r="R2921" s="84">
        <f>IF(ISNUMBER($I2921),ABS($I2921),0)</f>
        <v>0</v>
      </c>
      <c r="S2921" s="84">
        <f>IF(ISNUMBER($M2921),ABS($M2921),0)</f>
        <v>0</v>
      </c>
      <c r="T2921" s="85" t="n">
        <v>2913</v>
      </c>
    </row>
    <row r="2922">
      <c r="B2922" s="83" t="n"/>
      <c r="C2922" s="83" t="n"/>
      <c r="D2922" s="83" t="n"/>
      <c r="E2922" s="83" t="n"/>
      <c r="F2922" s="83" t="n"/>
      <c r="G2922" s="83" t="n"/>
      <c r="H2922" s="83" t="n"/>
      <c r="I2922" s="83" t="n"/>
      <c r="J2922" s="83" t="n"/>
      <c r="K2922" s="83" t="n"/>
      <c r="L2922" s="83" t="n"/>
      <c r="M2922" s="83" t="n"/>
      <c r="O2922" s="84" t="str">
        <f>IF($C2922="","",IFERROR(MATCH($B2922&amp;"|"&amp;$C2922,MUROS!$AX$11:$AX$70,0),0))</f>
        <v/>
      </c>
      <c r="P2922" s="84" t="str">
        <f>IF($D2922="","",IF(ISNUMBER(MATCH($D2922,CMB_S,0)),1,IF(ISNUMBER(MATCH($D2922,CMB_G,0)),2,0)))</f>
        <v/>
      </c>
      <c r="Q2922" s="84">
        <f>IF(ISNUMBER($H2922),-$H2922,0)</f>
        <v>0</v>
      </c>
      <c r="R2922" s="84">
        <f>IF(ISNUMBER($I2922),ABS($I2922),0)</f>
        <v>0</v>
      </c>
      <c r="S2922" s="84">
        <f>IF(ISNUMBER($M2922),ABS($M2922),0)</f>
        <v>0</v>
      </c>
      <c r="T2922" s="85" t="n">
        <v>2914</v>
      </c>
    </row>
    <row r="2923">
      <c r="B2923" s="83" t="n"/>
      <c r="C2923" s="83" t="n"/>
      <c r="D2923" s="83" t="n"/>
      <c r="E2923" s="83" t="n"/>
      <c r="F2923" s="83" t="n"/>
      <c r="G2923" s="83" t="n"/>
      <c r="H2923" s="83" t="n"/>
      <c r="I2923" s="83" t="n"/>
      <c r="J2923" s="83" t="n"/>
      <c r="K2923" s="83" t="n"/>
      <c r="L2923" s="83" t="n"/>
      <c r="M2923" s="83" t="n"/>
      <c r="O2923" s="84" t="str">
        <f>IF($C2923="","",IFERROR(MATCH($B2923&amp;"|"&amp;$C2923,MUROS!$AX$11:$AX$70,0),0))</f>
        <v/>
      </c>
      <c r="P2923" s="84" t="str">
        <f>IF($D2923="","",IF(ISNUMBER(MATCH($D2923,CMB_S,0)),1,IF(ISNUMBER(MATCH($D2923,CMB_G,0)),2,0)))</f>
        <v/>
      </c>
      <c r="Q2923" s="84">
        <f>IF(ISNUMBER($H2923),-$H2923,0)</f>
        <v>0</v>
      </c>
      <c r="R2923" s="84">
        <f>IF(ISNUMBER($I2923),ABS($I2923),0)</f>
        <v>0</v>
      </c>
      <c r="S2923" s="84">
        <f>IF(ISNUMBER($M2923),ABS($M2923),0)</f>
        <v>0</v>
      </c>
      <c r="T2923" s="85" t="n">
        <v>2915</v>
      </c>
    </row>
    <row r="2924">
      <c r="B2924" s="83" t="n"/>
      <c r="C2924" s="83" t="n"/>
      <c r="D2924" s="83" t="n"/>
      <c r="E2924" s="83" t="n"/>
      <c r="F2924" s="83" t="n"/>
      <c r="G2924" s="83" t="n"/>
      <c r="H2924" s="83" t="n"/>
      <c r="I2924" s="83" t="n"/>
      <c r="J2924" s="83" t="n"/>
      <c r="K2924" s="83" t="n"/>
      <c r="L2924" s="83" t="n"/>
      <c r="M2924" s="83" t="n"/>
      <c r="O2924" s="84" t="str">
        <f>IF($C2924="","",IFERROR(MATCH($B2924&amp;"|"&amp;$C2924,MUROS!$AX$11:$AX$70,0),0))</f>
        <v/>
      </c>
      <c r="P2924" s="84" t="str">
        <f>IF($D2924="","",IF(ISNUMBER(MATCH($D2924,CMB_S,0)),1,IF(ISNUMBER(MATCH($D2924,CMB_G,0)),2,0)))</f>
        <v/>
      </c>
      <c r="Q2924" s="84">
        <f>IF(ISNUMBER($H2924),-$H2924,0)</f>
        <v>0</v>
      </c>
      <c r="R2924" s="84">
        <f>IF(ISNUMBER($I2924),ABS($I2924),0)</f>
        <v>0</v>
      </c>
      <c r="S2924" s="84">
        <f>IF(ISNUMBER($M2924),ABS($M2924),0)</f>
        <v>0</v>
      </c>
      <c r="T2924" s="85" t="n">
        <v>2916</v>
      </c>
    </row>
    <row r="2925">
      <c r="B2925" s="83" t="n"/>
      <c r="C2925" s="83" t="n"/>
      <c r="D2925" s="83" t="n"/>
      <c r="E2925" s="83" t="n"/>
      <c r="F2925" s="83" t="n"/>
      <c r="G2925" s="83" t="n"/>
      <c r="H2925" s="83" t="n"/>
      <c r="I2925" s="83" t="n"/>
      <c r="J2925" s="83" t="n"/>
      <c r="K2925" s="83" t="n"/>
      <c r="L2925" s="83" t="n"/>
      <c r="M2925" s="83" t="n"/>
      <c r="O2925" s="84" t="str">
        <f>IF($C2925="","",IFERROR(MATCH($B2925&amp;"|"&amp;$C2925,MUROS!$AX$11:$AX$70,0),0))</f>
        <v/>
      </c>
      <c r="P2925" s="84" t="str">
        <f>IF($D2925="","",IF(ISNUMBER(MATCH($D2925,CMB_S,0)),1,IF(ISNUMBER(MATCH($D2925,CMB_G,0)),2,0)))</f>
        <v/>
      </c>
      <c r="Q2925" s="84">
        <f>IF(ISNUMBER($H2925),-$H2925,0)</f>
        <v>0</v>
      </c>
      <c r="R2925" s="84">
        <f>IF(ISNUMBER($I2925),ABS($I2925),0)</f>
        <v>0</v>
      </c>
      <c r="S2925" s="84">
        <f>IF(ISNUMBER($M2925),ABS($M2925),0)</f>
        <v>0</v>
      </c>
      <c r="T2925" s="85" t="n">
        <v>2917</v>
      </c>
    </row>
    <row r="2926">
      <c r="B2926" s="83" t="n"/>
      <c r="C2926" s="83" t="n"/>
      <c r="D2926" s="83" t="n"/>
      <c r="E2926" s="83" t="n"/>
      <c r="F2926" s="83" t="n"/>
      <c r="G2926" s="83" t="n"/>
      <c r="H2926" s="83" t="n"/>
      <c r="I2926" s="83" t="n"/>
      <c r="J2926" s="83" t="n"/>
      <c r="K2926" s="83" t="n"/>
      <c r="L2926" s="83" t="n"/>
      <c r="M2926" s="83" t="n"/>
      <c r="O2926" s="84" t="str">
        <f>IF($C2926="","",IFERROR(MATCH($B2926&amp;"|"&amp;$C2926,MUROS!$AX$11:$AX$70,0),0))</f>
        <v/>
      </c>
      <c r="P2926" s="84" t="str">
        <f>IF($D2926="","",IF(ISNUMBER(MATCH($D2926,CMB_S,0)),1,IF(ISNUMBER(MATCH($D2926,CMB_G,0)),2,0)))</f>
        <v/>
      </c>
      <c r="Q2926" s="84">
        <f>IF(ISNUMBER($H2926),-$H2926,0)</f>
        <v>0</v>
      </c>
      <c r="R2926" s="84">
        <f>IF(ISNUMBER($I2926),ABS($I2926),0)</f>
        <v>0</v>
      </c>
      <c r="S2926" s="84">
        <f>IF(ISNUMBER($M2926),ABS($M2926),0)</f>
        <v>0</v>
      </c>
      <c r="T2926" s="85" t="n">
        <v>2918</v>
      </c>
    </row>
    <row r="2927">
      <c r="B2927" s="83" t="n"/>
      <c r="C2927" s="83" t="n"/>
      <c r="D2927" s="83" t="n"/>
      <c r="E2927" s="83" t="n"/>
      <c r="F2927" s="83" t="n"/>
      <c r="G2927" s="83" t="n"/>
      <c r="H2927" s="83" t="n"/>
      <c r="I2927" s="83" t="n"/>
      <c r="J2927" s="83" t="n"/>
      <c r="K2927" s="83" t="n"/>
      <c r="L2927" s="83" t="n"/>
      <c r="M2927" s="83" t="n"/>
      <c r="O2927" s="84" t="str">
        <f>IF($C2927="","",IFERROR(MATCH($B2927&amp;"|"&amp;$C2927,MUROS!$AX$11:$AX$70,0),0))</f>
        <v/>
      </c>
      <c r="P2927" s="84" t="str">
        <f>IF($D2927="","",IF(ISNUMBER(MATCH($D2927,CMB_S,0)),1,IF(ISNUMBER(MATCH($D2927,CMB_G,0)),2,0)))</f>
        <v/>
      </c>
      <c r="Q2927" s="84">
        <f>IF(ISNUMBER($H2927),-$H2927,0)</f>
        <v>0</v>
      </c>
      <c r="R2927" s="84">
        <f>IF(ISNUMBER($I2927),ABS($I2927),0)</f>
        <v>0</v>
      </c>
      <c r="S2927" s="84">
        <f>IF(ISNUMBER($M2927),ABS($M2927),0)</f>
        <v>0</v>
      </c>
      <c r="T2927" s="85" t="n">
        <v>2919</v>
      </c>
    </row>
    <row r="2928">
      <c r="B2928" s="83" t="n"/>
      <c r="C2928" s="83" t="n"/>
      <c r="D2928" s="83" t="n"/>
      <c r="E2928" s="83" t="n"/>
      <c r="F2928" s="83" t="n"/>
      <c r="G2928" s="83" t="n"/>
      <c r="H2928" s="83" t="n"/>
      <c r="I2928" s="83" t="n"/>
      <c r="J2928" s="83" t="n"/>
      <c r="K2928" s="83" t="n"/>
      <c r="L2928" s="83" t="n"/>
      <c r="M2928" s="83" t="n"/>
      <c r="O2928" s="84" t="str">
        <f>IF($C2928="","",IFERROR(MATCH($B2928&amp;"|"&amp;$C2928,MUROS!$AX$11:$AX$70,0),0))</f>
        <v/>
      </c>
      <c r="P2928" s="84" t="str">
        <f>IF($D2928="","",IF(ISNUMBER(MATCH($D2928,CMB_S,0)),1,IF(ISNUMBER(MATCH($D2928,CMB_G,0)),2,0)))</f>
        <v/>
      </c>
      <c r="Q2928" s="84">
        <f>IF(ISNUMBER($H2928),-$H2928,0)</f>
        <v>0</v>
      </c>
      <c r="R2928" s="84">
        <f>IF(ISNUMBER($I2928),ABS($I2928),0)</f>
        <v>0</v>
      </c>
      <c r="S2928" s="84">
        <f>IF(ISNUMBER($M2928),ABS($M2928),0)</f>
        <v>0</v>
      </c>
      <c r="T2928" s="85" t="n">
        <v>2920</v>
      </c>
    </row>
    <row r="2929">
      <c r="B2929" s="83" t="n"/>
      <c r="C2929" s="83" t="n"/>
      <c r="D2929" s="83" t="n"/>
      <c r="E2929" s="83" t="n"/>
      <c r="F2929" s="83" t="n"/>
      <c r="G2929" s="83" t="n"/>
      <c r="H2929" s="83" t="n"/>
      <c r="I2929" s="83" t="n"/>
      <c r="J2929" s="83" t="n"/>
      <c r="K2929" s="83" t="n"/>
      <c r="L2929" s="83" t="n"/>
      <c r="M2929" s="83" t="n"/>
      <c r="O2929" s="84" t="str">
        <f>IF($C2929="","",IFERROR(MATCH($B2929&amp;"|"&amp;$C2929,MUROS!$AX$11:$AX$70,0),0))</f>
        <v/>
      </c>
      <c r="P2929" s="84" t="str">
        <f>IF($D2929="","",IF(ISNUMBER(MATCH($D2929,CMB_S,0)),1,IF(ISNUMBER(MATCH($D2929,CMB_G,0)),2,0)))</f>
        <v/>
      </c>
      <c r="Q2929" s="84">
        <f>IF(ISNUMBER($H2929),-$H2929,0)</f>
        <v>0</v>
      </c>
      <c r="R2929" s="84">
        <f>IF(ISNUMBER($I2929),ABS($I2929),0)</f>
        <v>0</v>
      </c>
      <c r="S2929" s="84">
        <f>IF(ISNUMBER($M2929),ABS($M2929),0)</f>
        <v>0</v>
      </c>
      <c r="T2929" s="85" t="n">
        <v>2921</v>
      </c>
    </row>
    <row r="2930">
      <c r="B2930" s="83" t="n"/>
      <c r="C2930" s="83" t="n"/>
      <c r="D2930" s="83" t="n"/>
      <c r="E2930" s="83" t="n"/>
      <c r="F2930" s="83" t="n"/>
      <c r="G2930" s="83" t="n"/>
      <c r="H2930" s="83" t="n"/>
      <c r="I2930" s="83" t="n"/>
      <c r="J2930" s="83" t="n"/>
      <c r="K2930" s="83" t="n"/>
      <c r="L2930" s="83" t="n"/>
      <c r="M2930" s="83" t="n"/>
      <c r="O2930" s="84" t="str">
        <f>IF($C2930="","",IFERROR(MATCH($B2930&amp;"|"&amp;$C2930,MUROS!$AX$11:$AX$70,0),0))</f>
        <v/>
      </c>
      <c r="P2930" s="84" t="str">
        <f>IF($D2930="","",IF(ISNUMBER(MATCH($D2930,CMB_S,0)),1,IF(ISNUMBER(MATCH($D2930,CMB_G,0)),2,0)))</f>
        <v/>
      </c>
      <c r="Q2930" s="84">
        <f>IF(ISNUMBER($H2930),-$H2930,0)</f>
        <v>0</v>
      </c>
      <c r="R2930" s="84">
        <f>IF(ISNUMBER($I2930),ABS($I2930),0)</f>
        <v>0</v>
      </c>
      <c r="S2930" s="84">
        <f>IF(ISNUMBER($M2930),ABS($M2930),0)</f>
        <v>0</v>
      </c>
      <c r="T2930" s="85" t="n">
        <v>2922</v>
      </c>
    </row>
    <row r="2931">
      <c r="B2931" s="83" t="n"/>
      <c r="C2931" s="83" t="n"/>
      <c r="D2931" s="83" t="n"/>
      <c r="E2931" s="83" t="n"/>
      <c r="F2931" s="83" t="n"/>
      <c r="G2931" s="83" t="n"/>
      <c r="H2931" s="83" t="n"/>
      <c r="I2931" s="83" t="n"/>
      <c r="J2931" s="83" t="n"/>
      <c r="K2931" s="83" t="n"/>
      <c r="L2931" s="83" t="n"/>
      <c r="M2931" s="83" t="n"/>
      <c r="O2931" s="84" t="str">
        <f>IF($C2931="","",IFERROR(MATCH($B2931&amp;"|"&amp;$C2931,MUROS!$AX$11:$AX$70,0),0))</f>
        <v/>
      </c>
      <c r="P2931" s="84" t="str">
        <f>IF($D2931="","",IF(ISNUMBER(MATCH($D2931,CMB_S,0)),1,IF(ISNUMBER(MATCH($D2931,CMB_G,0)),2,0)))</f>
        <v/>
      </c>
      <c r="Q2931" s="84">
        <f>IF(ISNUMBER($H2931),-$H2931,0)</f>
        <v>0</v>
      </c>
      <c r="R2931" s="84">
        <f>IF(ISNUMBER($I2931),ABS($I2931),0)</f>
        <v>0</v>
      </c>
      <c r="S2931" s="84">
        <f>IF(ISNUMBER($M2931),ABS($M2931),0)</f>
        <v>0</v>
      </c>
      <c r="T2931" s="85" t="n">
        <v>2923</v>
      </c>
    </row>
    <row r="2932">
      <c r="B2932" s="83" t="n"/>
      <c r="C2932" s="83" t="n"/>
      <c r="D2932" s="83" t="n"/>
      <c r="E2932" s="83" t="n"/>
      <c r="F2932" s="83" t="n"/>
      <c r="G2932" s="83" t="n"/>
      <c r="H2932" s="83" t="n"/>
      <c r="I2932" s="83" t="n"/>
      <c r="J2932" s="83" t="n"/>
      <c r="K2932" s="83" t="n"/>
      <c r="L2932" s="83" t="n"/>
      <c r="M2932" s="83" t="n"/>
      <c r="O2932" s="84" t="str">
        <f>IF($C2932="","",IFERROR(MATCH($B2932&amp;"|"&amp;$C2932,MUROS!$AX$11:$AX$70,0),0))</f>
        <v/>
      </c>
      <c r="P2932" s="84" t="str">
        <f>IF($D2932="","",IF(ISNUMBER(MATCH($D2932,CMB_S,0)),1,IF(ISNUMBER(MATCH($D2932,CMB_G,0)),2,0)))</f>
        <v/>
      </c>
      <c r="Q2932" s="84">
        <f>IF(ISNUMBER($H2932),-$H2932,0)</f>
        <v>0</v>
      </c>
      <c r="R2932" s="84">
        <f>IF(ISNUMBER($I2932),ABS($I2932),0)</f>
        <v>0</v>
      </c>
      <c r="S2932" s="84">
        <f>IF(ISNUMBER($M2932),ABS($M2932),0)</f>
        <v>0</v>
      </c>
      <c r="T2932" s="85" t="n">
        <v>2924</v>
      </c>
    </row>
    <row r="2933">
      <c r="B2933" s="83" t="n"/>
      <c r="C2933" s="83" t="n"/>
      <c r="D2933" s="83" t="n"/>
      <c r="E2933" s="83" t="n"/>
      <c r="F2933" s="83" t="n"/>
      <c r="G2933" s="83" t="n"/>
      <c r="H2933" s="83" t="n"/>
      <c r="I2933" s="83" t="n"/>
      <c r="J2933" s="83" t="n"/>
      <c r="K2933" s="83" t="n"/>
      <c r="L2933" s="83" t="n"/>
      <c r="M2933" s="83" t="n"/>
      <c r="O2933" s="84" t="str">
        <f>IF($C2933="","",IFERROR(MATCH($B2933&amp;"|"&amp;$C2933,MUROS!$AX$11:$AX$70,0),0))</f>
        <v/>
      </c>
      <c r="P2933" s="84" t="str">
        <f>IF($D2933="","",IF(ISNUMBER(MATCH($D2933,CMB_S,0)),1,IF(ISNUMBER(MATCH($D2933,CMB_G,0)),2,0)))</f>
        <v/>
      </c>
      <c r="Q2933" s="84">
        <f>IF(ISNUMBER($H2933),-$H2933,0)</f>
        <v>0</v>
      </c>
      <c r="R2933" s="84">
        <f>IF(ISNUMBER($I2933),ABS($I2933),0)</f>
        <v>0</v>
      </c>
      <c r="S2933" s="84">
        <f>IF(ISNUMBER($M2933),ABS($M2933),0)</f>
        <v>0</v>
      </c>
      <c r="T2933" s="85" t="n">
        <v>2925</v>
      </c>
    </row>
    <row r="2934">
      <c r="B2934" s="83" t="n"/>
      <c r="C2934" s="83" t="n"/>
      <c r="D2934" s="83" t="n"/>
      <c r="E2934" s="83" t="n"/>
      <c r="F2934" s="83" t="n"/>
      <c r="G2934" s="83" t="n"/>
      <c r="H2934" s="83" t="n"/>
      <c r="I2934" s="83" t="n"/>
      <c r="J2934" s="83" t="n"/>
      <c r="K2934" s="83" t="n"/>
      <c r="L2934" s="83" t="n"/>
      <c r="M2934" s="83" t="n"/>
      <c r="O2934" s="84" t="str">
        <f>IF($C2934="","",IFERROR(MATCH($B2934&amp;"|"&amp;$C2934,MUROS!$AX$11:$AX$70,0),0))</f>
        <v/>
      </c>
      <c r="P2934" s="84" t="str">
        <f>IF($D2934="","",IF(ISNUMBER(MATCH($D2934,CMB_S,0)),1,IF(ISNUMBER(MATCH($D2934,CMB_G,0)),2,0)))</f>
        <v/>
      </c>
      <c r="Q2934" s="84">
        <f>IF(ISNUMBER($H2934),-$H2934,0)</f>
        <v>0</v>
      </c>
      <c r="R2934" s="84">
        <f>IF(ISNUMBER($I2934),ABS($I2934),0)</f>
        <v>0</v>
      </c>
      <c r="S2934" s="84">
        <f>IF(ISNUMBER($M2934),ABS($M2934),0)</f>
        <v>0</v>
      </c>
      <c r="T2934" s="85" t="n">
        <v>2926</v>
      </c>
    </row>
    <row r="2935">
      <c r="B2935" s="83" t="n"/>
      <c r="C2935" s="83" t="n"/>
      <c r="D2935" s="83" t="n"/>
      <c r="E2935" s="83" t="n"/>
      <c r="F2935" s="83" t="n"/>
      <c r="G2935" s="83" t="n"/>
      <c r="H2935" s="83" t="n"/>
      <c r="I2935" s="83" t="n"/>
      <c r="J2935" s="83" t="n"/>
      <c r="K2935" s="83" t="n"/>
      <c r="L2935" s="83" t="n"/>
      <c r="M2935" s="83" t="n"/>
      <c r="O2935" s="84" t="str">
        <f>IF($C2935="","",IFERROR(MATCH($B2935&amp;"|"&amp;$C2935,MUROS!$AX$11:$AX$70,0),0))</f>
        <v/>
      </c>
      <c r="P2935" s="84" t="str">
        <f>IF($D2935="","",IF(ISNUMBER(MATCH($D2935,CMB_S,0)),1,IF(ISNUMBER(MATCH($D2935,CMB_G,0)),2,0)))</f>
        <v/>
      </c>
      <c r="Q2935" s="84">
        <f>IF(ISNUMBER($H2935),-$H2935,0)</f>
        <v>0</v>
      </c>
      <c r="R2935" s="84">
        <f>IF(ISNUMBER($I2935),ABS($I2935),0)</f>
        <v>0</v>
      </c>
      <c r="S2935" s="84">
        <f>IF(ISNUMBER($M2935),ABS($M2935),0)</f>
        <v>0</v>
      </c>
      <c r="T2935" s="85" t="n">
        <v>2927</v>
      </c>
    </row>
    <row r="2936">
      <c r="B2936" s="83" t="n"/>
      <c r="C2936" s="83" t="n"/>
      <c r="D2936" s="83" t="n"/>
      <c r="E2936" s="83" t="n"/>
      <c r="F2936" s="83" t="n"/>
      <c r="G2936" s="83" t="n"/>
      <c r="H2936" s="83" t="n"/>
      <c r="I2936" s="83" t="n"/>
      <c r="J2936" s="83" t="n"/>
      <c r="K2936" s="83" t="n"/>
      <c r="L2936" s="83" t="n"/>
      <c r="M2936" s="83" t="n"/>
      <c r="O2936" s="84" t="str">
        <f>IF($C2936="","",IFERROR(MATCH($B2936&amp;"|"&amp;$C2936,MUROS!$AX$11:$AX$70,0),0))</f>
        <v/>
      </c>
      <c r="P2936" s="84" t="str">
        <f>IF($D2936="","",IF(ISNUMBER(MATCH($D2936,CMB_S,0)),1,IF(ISNUMBER(MATCH($D2936,CMB_G,0)),2,0)))</f>
        <v/>
      </c>
      <c r="Q2936" s="84">
        <f>IF(ISNUMBER($H2936),-$H2936,0)</f>
        <v>0</v>
      </c>
      <c r="R2936" s="84">
        <f>IF(ISNUMBER($I2936),ABS($I2936),0)</f>
        <v>0</v>
      </c>
      <c r="S2936" s="84">
        <f>IF(ISNUMBER($M2936),ABS($M2936),0)</f>
        <v>0</v>
      </c>
      <c r="T2936" s="85" t="n">
        <v>2928</v>
      </c>
    </row>
    <row r="2937">
      <c r="B2937" s="83" t="n"/>
      <c r="C2937" s="83" t="n"/>
      <c r="D2937" s="83" t="n"/>
      <c r="E2937" s="83" t="n"/>
      <c r="F2937" s="83" t="n"/>
      <c r="G2937" s="83" t="n"/>
      <c r="H2937" s="83" t="n"/>
      <c r="I2937" s="83" t="n"/>
      <c r="J2937" s="83" t="n"/>
      <c r="K2937" s="83" t="n"/>
      <c r="L2937" s="83" t="n"/>
      <c r="M2937" s="83" t="n"/>
      <c r="O2937" s="84" t="str">
        <f>IF($C2937="","",IFERROR(MATCH($B2937&amp;"|"&amp;$C2937,MUROS!$AX$11:$AX$70,0),0))</f>
        <v/>
      </c>
      <c r="P2937" s="84" t="str">
        <f>IF($D2937="","",IF(ISNUMBER(MATCH($D2937,CMB_S,0)),1,IF(ISNUMBER(MATCH($D2937,CMB_G,0)),2,0)))</f>
        <v/>
      </c>
      <c r="Q2937" s="84">
        <f>IF(ISNUMBER($H2937),-$H2937,0)</f>
        <v>0</v>
      </c>
      <c r="R2937" s="84">
        <f>IF(ISNUMBER($I2937),ABS($I2937),0)</f>
        <v>0</v>
      </c>
      <c r="S2937" s="84">
        <f>IF(ISNUMBER($M2937),ABS($M2937),0)</f>
        <v>0</v>
      </c>
      <c r="T2937" s="85" t="n">
        <v>2929</v>
      </c>
    </row>
    <row r="2938">
      <c r="B2938" s="83" t="n"/>
      <c r="C2938" s="83" t="n"/>
      <c r="D2938" s="83" t="n"/>
      <c r="E2938" s="83" t="n"/>
      <c r="F2938" s="83" t="n"/>
      <c r="G2938" s="83" t="n"/>
      <c r="H2938" s="83" t="n"/>
      <c r="I2938" s="83" t="n"/>
      <c r="J2938" s="83" t="n"/>
      <c r="K2938" s="83" t="n"/>
      <c r="L2938" s="83" t="n"/>
      <c r="M2938" s="83" t="n"/>
      <c r="O2938" s="84" t="str">
        <f>IF($C2938="","",IFERROR(MATCH($B2938&amp;"|"&amp;$C2938,MUROS!$AX$11:$AX$70,0),0))</f>
        <v/>
      </c>
      <c r="P2938" s="84" t="str">
        <f>IF($D2938="","",IF(ISNUMBER(MATCH($D2938,CMB_S,0)),1,IF(ISNUMBER(MATCH($D2938,CMB_G,0)),2,0)))</f>
        <v/>
      </c>
      <c r="Q2938" s="84">
        <f>IF(ISNUMBER($H2938),-$H2938,0)</f>
        <v>0</v>
      </c>
      <c r="R2938" s="84">
        <f>IF(ISNUMBER($I2938),ABS($I2938),0)</f>
        <v>0</v>
      </c>
      <c r="S2938" s="84">
        <f>IF(ISNUMBER($M2938),ABS($M2938),0)</f>
        <v>0</v>
      </c>
      <c r="T2938" s="85" t="n">
        <v>2930</v>
      </c>
    </row>
    <row r="2939">
      <c r="B2939" s="83" t="n"/>
      <c r="C2939" s="83" t="n"/>
      <c r="D2939" s="83" t="n"/>
      <c r="E2939" s="83" t="n"/>
      <c r="F2939" s="83" t="n"/>
      <c r="G2939" s="83" t="n"/>
      <c r="H2939" s="83" t="n"/>
      <c r="I2939" s="83" t="n"/>
      <c r="J2939" s="83" t="n"/>
      <c r="K2939" s="83" t="n"/>
      <c r="L2939" s="83" t="n"/>
      <c r="M2939" s="83" t="n"/>
      <c r="O2939" s="84" t="str">
        <f>IF($C2939="","",IFERROR(MATCH($B2939&amp;"|"&amp;$C2939,MUROS!$AX$11:$AX$70,0),0))</f>
        <v/>
      </c>
      <c r="P2939" s="84" t="str">
        <f>IF($D2939="","",IF(ISNUMBER(MATCH($D2939,CMB_S,0)),1,IF(ISNUMBER(MATCH($D2939,CMB_G,0)),2,0)))</f>
        <v/>
      </c>
      <c r="Q2939" s="84">
        <f>IF(ISNUMBER($H2939),-$H2939,0)</f>
        <v>0</v>
      </c>
      <c r="R2939" s="84">
        <f>IF(ISNUMBER($I2939),ABS($I2939),0)</f>
        <v>0</v>
      </c>
      <c r="S2939" s="84">
        <f>IF(ISNUMBER($M2939),ABS($M2939),0)</f>
        <v>0</v>
      </c>
      <c r="T2939" s="85" t="n">
        <v>2931</v>
      </c>
    </row>
    <row r="2940">
      <c r="B2940" s="83" t="n"/>
      <c r="C2940" s="83" t="n"/>
      <c r="D2940" s="83" t="n"/>
      <c r="E2940" s="83" t="n"/>
      <c r="F2940" s="83" t="n"/>
      <c r="G2940" s="83" t="n"/>
      <c r="H2940" s="83" t="n"/>
      <c r="I2940" s="83" t="n"/>
      <c r="J2940" s="83" t="n"/>
      <c r="K2940" s="83" t="n"/>
      <c r="L2940" s="83" t="n"/>
      <c r="M2940" s="83" t="n"/>
      <c r="O2940" s="84" t="str">
        <f>IF($C2940="","",IFERROR(MATCH($B2940&amp;"|"&amp;$C2940,MUROS!$AX$11:$AX$70,0),0))</f>
        <v/>
      </c>
      <c r="P2940" s="84" t="str">
        <f>IF($D2940="","",IF(ISNUMBER(MATCH($D2940,CMB_S,0)),1,IF(ISNUMBER(MATCH($D2940,CMB_G,0)),2,0)))</f>
        <v/>
      </c>
      <c r="Q2940" s="84">
        <f>IF(ISNUMBER($H2940),-$H2940,0)</f>
        <v>0</v>
      </c>
      <c r="R2940" s="84">
        <f>IF(ISNUMBER($I2940),ABS($I2940),0)</f>
        <v>0</v>
      </c>
      <c r="S2940" s="84">
        <f>IF(ISNUMBER($M2940),ABS($M2940),0)</f>
        <v>0</v>
      </c>
      <c r="T2940" s="85" t="n">
        <v>2932</v>
      </c>
    </row>
    <row r="2941">
      <c r="B2941" s="83" t="n"/>
      <c r="C2941" s="83" t="n"/>
      <c r="D2941" s="83" t="n"/>
      <c r="E2941" s="83" t="n"/>
      <c r="F2941" s="83" t="n"/>
      <c r="G2941" s="83" t="n"/>
      <c r="H2941" s="83" t="n"/>
      <c r="I2941" s="83" t="n"/>
      <c r="J2941" s="83" t="n"/>
      <c r="K2941" s="83" t="n"/>
      <c r="L2941" s="83" t="n"/>
      <c r="M2941" s="83" t="n"/>
      <c r="O2941" s="84" t="str">
        <f>IF($C2941="","",IFERROR(MATCH($B2941&amp;"|"&amp;$C2941,MUROS!$AX$11:$AX$70,0),0))</f>
        <v/>
      </c>
      <c r="P2941" s="84" t="str">
        <f>IF($D2941="","",IF(ISNUMBER(MATCH($D2941,CMB_S,0)),1,IF(ISNUMBER(MATCH($D2941,CMB_G,0)),2,0)))</f>
        <v/>
      </c>
      <c r="Q2941" s="84">
        <f>IF(ISNUMBER($H2941),-$H2941,0)</f>
        <v>0</v>
      </c>
      <c r="R2941" s="84">
        <f>IF(ISNUMBER($I2941),ABS($I2941),0)</f>
        <v>0</v>
      </c>
      <c r="S2941" s="84">
        <f>IF(ISNUMBER($M2941),ABS($M2941),0)</f>
        <v>0</v>
      </c>
      <c r="T2941" s="85" t="n">
        <v>2933</v>
      </c>
    </row>
    <row r="2942">
      <c r="B2942" s="83" t="n"/>
      <c r="C2942" s="83" t="n"/>
      <c r="D2942" s="83" t="n"/>
      <c r="E2942" s="83" t="n"/>
      <c r="F2942" s="83" t="n"/>
      <c r="G2942" s="83" t="n"/>
      <c r="H2942" s="83" t="n"/>
      <c r="I2942" s="83" t="n"/>
      <c r="J2942" s="83" t="n"/>
      <c r="K2942" s="83" t="n"/>
      <c r="L2942" s="83" t="n"/>
      <c r="M2942" s="83" t="n"/>
      <c r="O2942" s="84" t="str">
        <f>IF($C2942="","",IFERROR(MATCH($B2942&amp;"|"&amp;$C2942,MUROS!$AX$11:$AX$70,0),0))</f>
        <v/>
      </c>
      <c r="P2942" s="84" t="str">
        <f>IF($D2942="","",IF(ISNUMBER(MATCH($D2942,CMB_S,0)),1,IF(ISNUMBER(MATCH($D2942,CMB_G,0)),2,0)))</f>
        <v/>
      </c>
      <c r="Q2942" s="84">
        <f>IF(ISNUMBER($H2942),-$H2942,0)</f>
        <v>0</v>
      </c>
      <c r="R2942" s="84">
        <f>IF(ISNUMBER($I2942),ABS($I2942),0)</f>
        <v>0</v>
      </c>
      <c r="S2942" s="84">
        <f>IF(ISNUMBER($M2942),ABS($M2942),0)</f>
        <v>0</v>
      </c>
      <c r="T2942" s="85" t="n">
        <v>2934</v>
      </c>
    </row>
    <row r="2943">
      <c r="B2943" s="83" t="n"/>
      <c r="C2943" s="83" t="n"/>
      <c r="D2943" s="83" t="n"/>
      <c r="E2943" s="83" t="n"/>
      <c r="F2943" s="83" t="n"/>
      <c r="G2943" s="83" t="n"/>
      <c r="H2943" s="83" t="n"/>
      <c r="I2943" s="83" t="n"/>
      <c r="J2943" s="83" t="n"/>
      <c r="K2943" s="83" t="n"/>
      <c r="L2943" s="83" t="n"/>
      <c r="M2943" s="83" t="n"/>
      <c r="O2943" s="84" t="str">
        <f>IF($C2943="","",IFERROR(MATCH($B2943&amp;"|"&amp;$C2943,MUROS!$AX$11:$AX$70,0),0))</f>
        <v/>
      </c>
      <c r="P2943" s="84" t="str">
        <f>IF($D2943="","",IF(ISNUMBER(MATCH($D2943,CMB_S,0)),1,IF(ISNUMBER(MATCH($D2943,CMB_G,0)),2,0)))</f>
        <v/>
      </c>
      <c r="Q2943" s="84">
        <f>IF(ISNUMBER($H2943),-$H2943,0)</f>
        <v>0</v>
      </c>
      <c r="R2943" s="84">
        <f>IF(ISNUMBER($I2943),ABS($I2943),0)</f>
        <v>0</v>
      </c>
      <c r="S2943" s="84">
        <f>IF(ISNUMBER($M2943),ABS($M2943),0)</f>
        <v>0</v>
      </c>
      <c r="T2943" s="85" t="n">
        <v>2935</v>
      </c>
    </row>
    <row r="2944">
      <c r="B2944" s="83" t="n"/>
      <c r="C2944" s="83" t="n"/>
      <c r="D2944" s="83" t="n"/>
      <c r="E2944" s="83" t="n"/>
      <c r="F2944" s="83" t="n"/>
      <c r="G2944" s="83" t="n"/>
      <c r="H2944" s="83" t="n"/>
      <c r="I2944" s="83" t="n"/>
      <c r="J2944" s="83" t="n"/>
      <c r="K2944" s="83" t="n"/>
      <c r="L2944" s="83" t="n"/>
      <c r="M2944" s="83" t="n"/>
      <c r="O2944" s="84" t="str">
        <f>IF($C2944="","",IFERROR(MATCH($B2944&amp;"|"&amp;$C2944,MUROS!$AX$11:$AX$70,0),0))</f>
        <v/>
      </c>
      <c r="P2944" s="84" t="str">
        <f>IF($D2944="","",IF(ISNUMBER(MATCH($D2944,CMB_S,0)),1,IF(ISNUMBER(MATCH($D2944,CMB_G,0)),2,0)))</f>
        <v/>
      </c>
      <c r="Q2944" s="84">
        <f>IF(ISNUMBER($H2944),-$H2944,0)</f>
        <v>0</v>
      </c>
      <c r="R2944" s="84">
        <f>IF(ISNUMBER($I2944),ABS($I2944),0)</f>
        <v>0</v>
      </c>
      <c r="S2944" s="84">
        <f>IF(ISNUMBER($M2944),ABS($M2944),0)</f>
        <v>0</v>
      </c>
      <c r="T2944" s="85" t="n">
        <v>2936</v>
      </c>
    </row>
    <row r="2945">
      <c r="B2945" s="83" t="n"/>
      <c r="C2945" s="83" t="n"/>
      <c r="D2945" s="83" t="n"/>
      <c r="E2945" s="83" t="n"/>
      <c r="F2945" s="83" t="n"/>
      <c r="G2945" s="83" t="n"/>
      <c r="H2945" s="83" t="n"/>
      <c r="I2945" s="83" t="n"/>
      <c r="J2945" s="83" t="n"/>
      <c r="K2945" s="83" t="n"/>
      <c r="L2945" s="83" t="n"/>
      <c r="M2945" s="83" t="n"/>
      <c r="O2945" s="84" t="str">
        <f>IF($C2945="","",IFERROR(MATCH($B2945&amp;"|"&amp;$C2945,MUROS!$AX$11:$AX$70,0),0))</f>
        <v/>
      </c>
      <c r="P2945" s="84" t="str">
        <f>IF($D2945="","",IF(ISNUMBER(MATCH($D2945,CMB_S,0)),1,IF(ISNUMBER(MATCH($D2945,CMB_G,0)),2,0)))</f>
        <v/>
      </c>
      <c r="Q2945" s="84">
        <f>IF(ISNUMBER($H2945),-$H2945,0)</f>
        <v>0</v>
      </c>
      <c r="R2945" s="84">
        <f>IF(ISNUMBER($I2945),ABS($I2945),0)</f>
        <v>0</v>
      </c>
      <c r="S2945" s="84">
        <f>IF(ISNUMBER($M2945),ABS($M2945),0)</f>
        <v>0</v>
      </c>
      <c r="T2945" s="85" t="n">
        <v>2937</v>
      </c>
    </row>
    <row r="2946">
      <c r="B2946" s="83" t="n"/>
      <c r="C2946" s="83" t="n"/>
      <c r="D2946" s="83" t="n"/>
      <c r="E2946" s="83" t="n"/>
      <c r="F2946" s="83" t="n"/>
      <c r="G2946" s="83" t="n"/>
      <c r="H2946" s="83" t="n"/>
      <c r="I2946" s="83" t="n"/>
      <c r="J2946" s="83" t="n"/>
      <c r="K2946" s="83" t="n"/>
      <c r="L2946" s="83" t="n"/>
      <c r="M2946" s="83" t="n"/>
      <c r="O2946" s="84" t="str">
        <f>IF($C2946="","",IFERROR(MATCH($B2946&amp;"|"&amp;$C2946,MUROS!$AX$11:$AX$70,0),0))</f>
        <v/>
      </c>
      <c r="P2946" s="84" t="str">
        <f>IF($D2946="","",IF(ISNUMBER(MATCH($D2946,CMB_S,0)),1,IF(ISNUMBER(MATCH($D2946,CMB_G,0)),2,0)))</f>
        <v/>
      </c>
      <c r="Q2946" s="84">
        <f>IF(ISNUMBER($H2946),-$H2946,0)</f>
        <v>0</v>
      </c>
      <c r="R2946" s="84">
        <f>IF(ISNUMBER($I2946),ABS($I2946),0)</f>
        <v>0</v>
      </c>
      <c r="S2946" s="84">
        <f>IF(ISNUMBER($M2946),ABS($M2946),0)</f>
        <v>0</v>
      </c>
      <c r="T2946" s="85" t="n">
        <v>2938</v>
      </c>
    </row>
    <row r="2947">
      <c r="B2947" s="83" t="n"/>
      <c r="C2947" s="83" t="n"/>
      <c r="D2947" s="83" t="n"/>
      <c r="E2947" s="83" t="n"/>
      <c r="F2947" s="83" t="n"/>
      <c r="G2947" s="83" t="n"/>
      <c r="H2947" s="83" t="n"/>
      <c r="I2947" s="83" t="n"/>
      <c r="J2947" s="83" t="n"/>
      <c r="K2947" s="83" t="n"/>
      <c r="L2947" s="83" t="n"/>
      <c r="M2947" s="83" t="n"/>
      <c r="O2947" s="84" t="str">
        <f>IF($C2947="","",IFERROR(MATCH($B2947&amp;"|"&amp;$C2947,MUROS!$AX$11:$AX$70,0),0))</f>
        <v/>
      </c>
      <c r="P2947" s="84" t="str">
        <f>IF($D2947="","",IF(ISNUMBER(MATCH($D2947,CMB_S,0)),1,IF(ISNUMBER(MATCH($D2947,CMB_G,0)),2,0)))</f>
        <v/>
      </c>
      <c r="Q2947" s="84">
        <f>IF(ISNUMBER($H2947),-$H2947,0)</f>
        <v>0</v>
      </c>
      <c r="R2947" s="84">
        <f>IF(ISNUMBER($I2947),ABS($I2947),0)</f>
        <v>0</v>
      </c>
      <c r="S2947" s="84">
        <f>IF(ISNUMBER($M2947),ABS($M2947),0)</f>
        <v>0</v>
      </c>
      <c r="T2947" s="85" t="n">
        <v>2939</v>
      </c>
    </row>
    <row r="2948">
      <c r="B2948" s="83" t="n"/>
      <c r="C2948" s="83" t="n"/>
      <c r="D2948" s="83" t="n"/>
      <c r="E2948" s="83" t="n"/>
      <c r="F2948" s="83" t="n"/>
      <c r="G2948" s="83" t="n"/>
      <c r="H2948" s="83" t="n"/>
      <c r="I2948" s="83" t="n"/>
      <c r="J2948" s="83" t="n"/>
      <c r="K2948" s="83" t="n"/>
      <c r="L2948" s="83" t="n"/>
      <c r="M2948" s="83" t="n"/>
      <c r="O2948" s="84" t="str">
        <f>IF($C2948="","",IFERROR(MATCH($B2948&amp;"|"&amp;$C2948,MUROS!$AX$11:$AX$70,0),0))</f>
        <v/>
      </c>
      <c r="P2948" s="84" t="str">
        <f>IF($D2948="","",IF(ISNUMBER(MATCH($D2948,CMB_S,0)),1,IF(ISNUMBER(MATCH($D2948,CMB_G,0)),2,0)))</f>
        <v/>
      </c>
      <c r="Q2948" s="84">
        <f>IF(ISNUMBER($H2948),-$H2948,0)</f>
        <v>0</v>
      </c>
      <c r="R2948" s="84">
        <f>IF(ISNUMBER($I2948),ABS($I2948),0)</f>
        <v>0</v>
      </c>
      <c r="S2948" s="84">
        <f>IF(ISNUMBER($M2948),ABS($M2948),0)</f>
        <v>0</v>
      </c>
      <c r="T2948" s="85" t="n">
        <v>2940</v>
      </c>
    </row>
    <row r="2949">
      <c r="B2949" s="83" t="n"/>
      <c r="C2949" s="83" t="n"/>
      <c r="D2949" s="83" t="n"/>
      <c r="E2949" s="83" t="n"/>
      <c r="F2949" s="83" t="n"/>
      <c r="G2949" s="83" t="n"/>
      <c r="H2949" s="83" t="n"/>
      <c r="I2949" s="83" t="n"/>
      <c r="J2949" s="83" t="n"/>
      <c r="K2949" s="83" t="n"/>
      <c r="L2949" s="83" t="n"/>
      <c r="M2949" s="83" t="n"/>
      <c r="O2949" s="84" t="str">
        <f>IF($C2949="","",IFERROR(MATCH($B2949&amp;"|"&amp;$C2949,MUROS!$AX$11:$AX$70,0),0))</f>
        <v/>
      </c>
      <c r="P2949" s="84" t="str">
        <f>IF($D2949="","",IF(ISNUMBER(MATCH($D2949,CMB_S,0)),1,IF(ISNUMBER(MATCH($D2949,CMB_G,0)),2,0)))</f>
        <v/>
      </c>
      <c r="Q2949" s="84">
        <f>IF(ISNUMBER($H2949),-$H2949,0)</f>
        <v>0</v>
      </c>
      <c r="R2949" s="84">
        <f>IF(ISNUMBER($I2949),ABS($I2949),0)</f>
        <v>0</v>
      </c>
      <c r="S2949" s="84">
        <f>IF(ISNUMBER($M2949),ABS($M2949),0)</f>
        <v>0</v>
      </c>
      <c r="T2949" s="85" t="n">
        <v>2941</v>
      </c>
    </row>
    <row r="2950">
      <c r="B2950" s="83" t="n"/>
      <c r="C2950" s="83" t="n"/>
      <c r="D2950" s="83" t="n"/>
      <c r="E2950" s="83" t="n"/>
      <c r="F2950" s="83" t="n"/>
      <c r="G2950" s="83" t="n"/>
      <c r="H2950" s="83" t="n"/>
      <c r="I2950" s="83" t="n"/>
      <c r="J2950" s="83" t="n"/>
      <c r="K2950" s="83" t="n"/>
      <c r="L2950" s="83" t="n"/>
      <c r="M2950" s="83" t="n"/>
      <c r="O2950" s="84" t="str">
        <f>IF($C2950="","",IFERROR(MATCH($B2950&amp;"|"&amp;$C2950,MUROS!$AX$11:$AX$70,0),0))</f>
        <v/>
      </c>
      <c r="P2950" s="84" t="str">
        <f>IF($D2950="","",IF(ISNUMBER(MATCH($D2950,CMB_S,0)),1,IF(ISNUMBER(MATCH($D2950,CMB_G,0)),2,0)))</f>
        <v/>
      </c>
      <c r="Q2950" s="84">
        <f>IF(ISNUMBER($H2950),-$H2950,0)</f>
        <v>0</v>
      </c>
      <c r="R2950" s="84">
        <f>IF(ISNUMBER($I2950),ABS($I2950),0)</f>
        <v>0</v>
      </c>
      <c r="S2950" s="84">
        <f>IF(ISNUMBER($M2950),ABS($M2950),0)</f>
        <v>0</v>
      </c>
      <c r="T2950" s="85" t="n">
        <v>2942</v>
      </c>
    </row>
    <row r="2951">
      <c r="B2951" s="83" t="n"/>
      <c r="C2951" s="83" t="n"/>
      <c r="D2951" s="83" t="n"/>
      <c r="E2951" s="83" t="n"/>
      <c r="F2951" s="83" t="n"/>
      <c r="G2951" s="83" t="n"/>
      <c r="H2951" s="83" t="n"/>
      <c r="I2951" s="83" t="n"/>
      <c r="J2951" s="83" t="n"/>
      <c r="K2951" s="83" t="n"/>
      <c r="L2951" s="83" t="n"/>
      <c r="M2951" s="83" t="n"/>
      <c r="O2951" s="84" t="str">
        <f>IF($C2951="","",IFERROR(MATCH($B2951&amp;"|"&amp;$C2951,MUROS!$AX$11:$AX$70,0),0))</f>
        <v/>
      </c>
      <c r="P2951" s="84" t="str">
        <f>IF($D2951="","",IF(ISNUMBER(MATCH($D2951,CMB_S,0)),1,IF(ISNUMBER(MATCH($D2951,CMB_G,0)),2,0)))</f>
        <v/>
      </c>
      <c r="Q2951" s="84">
        <f>IF(ISNUMBER($H2951),-$H2951,0)</f>
        <v>0</v>
      </c>
      <c r="R2951" s="84">
        <f>IF(ISNUMBER($I2951),ABS($I2951),0)</f>
        <v>0</v>
      </c>
      <c r="S2951" s="84">
        <f>IF(ISNUMBER($M2951),ABS($M2951),0)</f>
        <v>0</v>
      </c>
      <c r="T2951" s="85" t="n">
        <v>2943</v>
      </c>
    </row>
    <row r="2952">
      <c r="B2952" s="83" t="n"/>
      <c r="C2952" s="83" t="n"/>
      <c r="D2952" s="83" t="n"/>
      <c r="E2952" s="83" t="n"/>
      <c r="F2952" s="83" t="n"/>
      <c r="G2952" s="83" t="n"/>
      <c r="H2952" s="83" t="n"/>
      <c r="I2952" s="83" t="n"/>
      <c r="J2952" s="83" t="n"/>
      <c r="K2952" s="83" t="n"/>
      <c r="L2952" s="83" t="n"/>
      <c r="M2952" s="83" t="n"/>
      <c r="O2952" s="84" t="str">
        <f>IF($C2952="","",IFERROR(MATCH($B2952&amp;"|"&amp;$C2952,MUROS!$AX$11:$AX$70,0),0))</f>
        <v/>
      </c>
      <c r="P2952" s="84" t="str">
        <f>IF($D2952="","",IF(ISNUMBER(MATCH($D2952,CMB_S,0)),1,IF(ISNUMBER(MATCH($D2952,CMB_G,0)),2,0)))</f>
        <v/>
      </c>
      <c r="Q2952" s="84">
        <f>IF(ISNUMBER($H2952),-$H2952,0)</f>
        <v>0</v>
      </c>
      <c r="R2952" s="84">
        <f>IF(ISNUMBER($I2952),ABS($I2952),0)</f>
        <v>0</v>
      </c>
      <c r="S2952" s="84">
        <f>IF(ISNUMBER($M2952),ABS($M2952),0)</f>
        <v>0</v>
      </c>
      <c r="T2952" s="85" t="n">
        <v>2944</v>
      </c>
    </row>
    <row r="2953">
      <c r="B2953" s="83" t="n"/>
      <c r="C2953" s="83" t="n"/>
      <c r="D2953" s="83" t="n"/>
      <c r="E2953" s="83" t="n"/>
      <c r="F2953" s="83" t="n"/>
      <c r="G2953" s="83" t="n"/>
      <c r="H2953" s="83" t="n"/>
      <c r="I2953" s="83" t="n"/>
      <c r="J2953" s="83" t="n"/>
      <c r="K2953" s="83" t="n"/>
      <c r="L2953" s="83" t="n"/>
      <c r="M2953" s="83" t="n"/>
      <c r="O2953" s="84" t="str">
        <f>IF($C2953="","",IFERROR(MATCH($B2953&amp;"|"&amp;$C2953,MUROS!$AX$11:$AX$70,0),0))</f>
        <v/>
      </c>
      <c r="P2953" s="84" t="str">
        <f>IF($D2953="","",IF(ISNUMBER(MATCH($D2953,CMB_S,0)),1,IF(ISNUMBER(MATCH($D2953,CMB_G,0)),2,0)))</f>
        <v/>
      </c>
      <c r="Q2953" s="84">
        <f>IF(ISNUMBER($H2953),-$H2953,0)</f>
        <v>0</v>
      </c>
      <c r="R2953" s="84">
        <f>IF(ISNUMBER($I2953),ABS($I2953),0)</f>
        <v>0</v>
      </c>
      <c r="S2953" s="84">
        <f>IF(ISNUMBER($M2953),ABS($M2953),0)</f>
        <v>0</v>
      </c>
      <c r="T2953" s="85" t="n">
        <v>2945</v>
      </c>
    </row>
    <row r="2954">
      <c r="B2954" s="83" t="n"/>
      <c r="C2954" s="83" t="n"/>
      <c r="D2954" s="83" t="n"/>
      <c r="E2954" s="83" t="n"/>
      <c r="F2954" s="83" t="n"/>
      <c r="G2954" s="83" t="n"/>
      <c r="H2954" s="83" t="n"/>
      <c r="I2954" s="83" t="n"/>
      <c r="J2954" s="83" t="n"/>
      <c r="K2954" s="83" t="n"/>
      <c r="L2954" s="83" t="n"/>
      <c r="M2954" s="83" t="n"/>
      <c r="O2954" s="84" t="str">
        <f>IF($C2954="","",IFERROR(MATCH($B2954&amp;"|"&amp;$C2954,MUROS!$AX$11:$AX$70,0),0))</f>
        <v/>
      </c>
      <c r="P2954" s="84" t="str">
        <f>IF($D2954="","",IF(ISNUMBER(MATCH($D2954,CMB_S,0)),1,IF(ISNUMBER(MATCH($D2954,CMB_G,0)),2,0)))</f>
        <v/>
      </c>
      <c r="Q2954" s="84">
        <f>IF(ISNUMBER($H2954),-$H2954,0)</f>
        <v>0</v>
      </c>
      <c r="R2954" s="84">
        <f>IF(ISNUMBER($I2954),ABS($I2954),0)</f>
        <v>0</v>
      </c>
      <c r="S2954" s="84">
        <f>IF(ISNUMBER($M2954),ABS($M2954),0)</f>
        <v>0</v>
      </c>
      <c r="T2954" s="85" t="n">
        <v>2946</v>
      </c>
    </row>
    <row r="2955">
      <c r="B2955" s="83" t="n"/>
      <c r="C2955" s="83" t="n"/>
      <c r="D2955" s="83" t="n"/>
      <c r="E2955" s="83" t="n"/>
      <c r="F2955" s="83" t="n"/>
      <c r="G2955" s="83" t="n"/>
      <c r="H2955" s="83" t="n"/>
      <c r="I2955" s="83" t="n"/>
      <c r="J2955" s="83" t="n"/>
      <c r="K2955" s="83" t="n"/>
      <c r="L2955" s="83" t="n"/>
      <c r="M2955" s="83" t="n"/>
      <c r="O2955" s="84" t="str">
        <f>IF($C2955="","",IFERROR(MATCH($B2955&amp;"|"&amp;$C2955,MUROS!$AX$11:$AX$70,0),0))</f>
        <v/>
      </c>
      <c r="P2955" s="84" t="str">
        <f>IF($D2955="","",IF(ISNUMBER(MATCH($D2955,CMB_S,0)),1,IF(ISNUMBER(MATCH($D2955,CMB_G,0)),2,0)))</f>
        <v/>
      </c>
      <c r="Q2955" s="84">
        <f>IF(ISNUMBER($H2955),-$H2955,0)</f>
        <v>0</v>
      </c>
      <c r="R2955" s="84">
        <f>IF(ISNUMBER($I2955),ABS($I2955),0)</f>
        <v>0</v>
      </c>
      <c r="S2955" s="84">
        <f>IF(ISNUMBER($M2955),ABS($M2955),0)</f>
        <v>0</v>
      </c>
      <c r="T2955" s="85" t="n">
        <v>2947</v>
      </c>
    </row>
    <row r="2956">
      <c r="B2956" s="83" t="n"/>
      <c r="C2956" s="83" t="n"/>
      <c r="D2956" s="83" t="n"/>
      <c r="E2956" s="83" t="n"/>
      <c r="F2956" s="83" t="n"/>
      <c r="G2956" s="83" t="n"/>
      <c r="H2956" s="83" t="n"/>
      <c r="I2956" s="83" t="n"/>
      <c r="J2956" s="83" t="n"/>
      <c r="K2956" s="83" t="n"/>
      <c r="L2956" s="83" t="n"/>
      <c r="M2956" s="83" t="n"/>
      <c r="O2956" s="84" t="str">
        <f>IF($C2956="","",IFERROR(MATCH($B2956&amp;"|"&amp;$C2956,MUROS!$AX$11:$AX$70,0),0))</f>
        <v/>
      </c>
      <c r="P2956" s="84" t="str">
        <f>IF($D2956="","",IF(ISNUMBER(MATCH($D2956,CMB_S,0)),1,IF(ISNUMBER(MATCH($D2956,CMB_G,0)),2,0)))</f>
        <v/>
      </c>
      <c r="Q2956" s="84">
        <f>IF(ISNUMBER($H2956),-$H2956,0)</f>
        <v>0</v>
      </c>
      <c r="R2956" s="84">
        <f>IF(ISNUMBER($I2956),ABS($I2956),0)</f>
        <v>0</v>
      </c>
      <c r="S2956" s="84">
        <f>IF(ISNUMBER($M2956),ABS($M2956),0)</f>
        <v>0</v>
      </c>
      <c r="T2956" s="85" t="n">
        <v>2948</v>
      </c>
    </row>
    <row r="2957">
      <c r="B2957" s="83" t="n"/>
      <c r="C2957" s="83" t="n"/>
      <c r="D2957" s="83" t="n"/>
      <c r="E2957" s="83" t="n"/>
      <c r="F2957" s="83" t="n"/>
      <c r="G2957" s="83" t="n"/>
      <c r="H2957" s="83" t="n"/>
      <c r="I2957" s="83" t="n"/>
      <c r="J2957" s="83" t="n"/>
      <c r="K2957" s="83" t="n"/>
      <c r="L2957" s="83" t="n"/>
      <c r="M2957" s="83" t="n"/>
      <c r="O2957" s="84" t="str">
        <f>IF($C2957="","",IFERROR(MATCH($B2957&amp;"|"&amp;$C2957,MUROS!$AX$11:$AX$70,0),0))</f>
        <v/>
      </c>
      <c r="P2957" s="84" t="str">
        <f>IF($D2957="","",IF(ISNUMBER(MATCH($D2957,CMB_S,0)),1,IF(ISNUMBER(MATCH($D2957,CMB_G,0)),2,0)))</f>
        <v/>
      </c>
      <c r="Q2957" s="84">
        <f>IF(ISNUMBER($H2957),-$H2957,0)</f>
        <v>0</v>
      </c>
      <c r="R2957" s="84">
        <f>IF(ISNUMBER($I2957),ABS($I2957),0)</f>
        <v>0</v>
      </c>
      <c r="S2957" s="84">
        <f>IF(ISNUMBER($M2957),ABS($M2957),0)</f>
        <v>0</v>
      </c>
      <c r="T2957" s="85" t="n">
        <v>2949</v>
      </c>
    </row>
    <row r="2958">
      <c r="B2958" s="83" t="n"/>
      <c r="C2958" s="83" t="n"/>
      <c r="D2958" s="83" t="n"/>
      <c r="E2958" s="83" t="n"/>
      <c r="F2958" s="83" t="n"/>
      <c r="G2958" s="83" t="n"/>
      <c r="H2958" s="83" t="n"/>
      <c r="I2958" s="83" t="n"/>
      <c r="J2958" s="83" t="n"/>
      <c r="K2958" s="83" t="n"/>
      <c r="L2958" s="83" t="n"/>
      <c r="M2958" s="83" t="n"/>
      <c r="O2958" s="84" t="str">
        <f>IF($C2958="","",IFERROR(MATCH($B2958&amp;"|"&amp;$C2958,MUROS!$AX$11:$AX$70,0),0))</f>
        <v/>
      </c>
      <c r="P2958" s="84" t="str">
        <f>IF($D2958="","",IF(ISNUMBER(MATCH($D2958,CMB_S,0)),1,IF(ISNUMBER(MATCH($D2958,CMB_G,0)),2,0)))</f>
        <v/>
      </c>
      <c r="Q2958" s="84">
        <f>IF(ISNUMBER($H2958),-$H2958,0)</f>
        <v>0</v>
      </c>
      <c r="R2958" s="84">
        <f>IF(ISNUMBER($I2958),ABS($I2958),0)</f>
        <v>0</v>
      </c>
      <c r="S2958" s="84">
        <f>IF(ISNUMBER($M2958),ABS($M2958),0)</f>
        <v>0</v>
      </c>
      <c r="T2958" s="85" t="n">
        <v>2950</v>
      </c>
    </row>
    <row r="2959">
      <c r="B2959" s="83" t="n"/>
      <c r="C2959" s="83" t="n"/>
      <c r="D2959" s="83" t="n"/>
      <c r="E2959" s="83" t="n"/>
      <c r="F2959" s="83" t="n"/>
      <c r="G2959" s="83" t="n"/>
      <c r="H2959" s="83" t="n"/>
      <c r="I2959" s="83" t="n"/>
      <c r="J2959" s="83" t="n"/>
      <c r="K2959" s="83" t="n"/>
      <c r="L2959" s="83" t="n"/>
      <c r="M2959" s="83" t="n"/>
      <c r="O2959" s="84" t="str">
        <f>IF($C2959="","",IFERROR(MATCH($B2959&amp;"|"&amp;$C2959,MUROS!$AX$11:$AX$70,0),0))</f>
        <v/>
      </c>
      <c r="P2959" s="84" t="str">
        <f>IF($D2959="","",IF(ISNUMBER(MATCH($D2959,CMB_S,0)),1,IF(ISNUMBER(MATCH($D2959,CMB_G,0)),2,0)))</f>
        <v/>
      </c>
      <c r="Q2959" s="84">
        <f>IF(ISNUMBER($H2959),-$H2959,0)</f>
        <v>0</v>
      </c>
      <c r="R2959" s="84">
        <f>IF(ISNUMBER($I2959),ABS($I2959),0)</f>
        <v>0</v>
      </c>
      <c r="S2959" s="84">
        <f>IF(ISNUMBER($M2959),ABS($M2959),0)</f>
        <v>0</v>
      </c>
      <c r="T2959" s="85" t="n">
        <v>2951</v>
      </c>
    </row>
    <row r="2960">
      <c r="B2960" s="83" t="n"/>
      <c r="C2960" s="83" t="n"/>
      <c r="D2960" s="83" t="n"/>
      <c r="E2960" s="83" t="n"/>
      <c r="F2960" s="83" t="n"/>
      <c r="G2960" s="83" t="n"/>
      <c r="H2960" s="83" t="n"/>
      <c r="I2960" s="83" t="n"/>
      <c r="J2960" s="83" t="n"/>
      <c r="K2960" s="83" t="n"/>
      <c r="L2960" s="83" t="n"/>
      <c r="M2960" s="83" t="n"/>
      <c r="O2960" s="84" t="str">
        <f>IF($C2960="","",IFERROR(MATCH($B2960&amp;"|"&amp;$C2960,MUROS!$AX$11:$AX$70,0),0))</f>
        <v/>
      </c>
      <c r="P2960" s="84" t="str">
        <f>IF($D2960="","",IF(ISNUMBER(MATCH($D2960,CMB_S,0)),1,IF(ISNUMBER(MATCH($D2960,CMB_G,0)),2,0)))</f>
        <v/>
      </c>
      <c r="Q2960" s="84">
        <f>IF(ISNUMBER($H2960),-$H2960,0)</f>
        <v>0</v>
      </c>
      <c r="R2960" s="84">
        <f>IF(ISNUMBER($I2960),ABS($I2960),0)</f>
        <v>0</v>
      </c>
      <c r="S2960" s="84">
        <f>IF(ISNUMBER($M2960),ABS($M2960),0)</f>
        <v>0</v>
      </c>
      <c r="T2960" s="85" t="n">
        <v>2952</v>
      </c>
    </row>
    <row r="2961">
      <c r="B2961" s="83" t="n"/>
      <c r="C2961" s="83" t="n"/>
      <c r="D2961" s="83" t="n"/>
      <c r="E2961" s="83" t="n"/>
      <c r="F2961" s="83" t="n"/>
      <c r="G2961" s="83" t="n"/>
      <c r="H2961" s="83" t="n"/>
      <c r="I2961" s="83" t="n"/>
      <c r="J2961" s="83" t="n"/>
      <c r="K2961" s="83" t="n"/>
      <c r="L2961" s="83" t="n"/>
      <c r="M2961" s="83" t="n"/>
      <c r="O2961" s="84" t="str">
        <f>IF($C2961="","",IFERROR(MATCH($B2961&amp;"|"&amp;$C2961,MUROS!$AX$11:$AX$70,0),0))</f>
        <v/>
      </c>
      <c r="P2961" s="84" t="str">
        <f>IF($D2961="","",IF(ISNUMBER(MATCH($D2961,CMB_S,0)),1,IF(ISNUMBER(MATCH($D2961,CMB_G,0)),2,0)))</f>
        <v/>
      </c>
      <c r="Q2961" s="84">
        <f>IF(ISNUMBER($H2961),-$H2961,0)</f>
        <v>0</v>
      </c>
      <c r="R2961" s="84">
        <f>IF(ISNUMBER($I2961),ABS($I2961),0)</f>
        <v>0</v>
      </c>
      <c r="S2961" s="84">
        <f>IF(ISNUMBER($M2961),ABS($M2961),0)</f>
        <v>0</v>
      </c>
      <c r="T2961" s="85" t="n">
        <v>2953</v>
      </c>
    </row>
    <row r="2962">
      <c r="B2962" s="83" t="n"/>
      <c r="C2962" s="83" t="n"/>
      <c r="D2962" s="83" t="n"/>
      <c r="E2962" s="83" t="n"/>
      <c r="F2962" s="83" t="n"/>
      <c r="G2962" s="83" t="n"/>
      <c r="H2962" s="83" t="n"/>
      <c r="I2962" s="83" t="n"/>
      <c r="J2962" s="83" t="n"/>
      <c r="K2962" s="83" t="n"/>
      <c r="L2962" s="83" t="n"/>
      <c r="M2962" s="83" t="n"/>
      <c r="O2962" s="84" t="str">
        <f>IF($C2962="","",IFERROR(MATCH($B2962&amp;"|"&amp;$C2962,MUROS!$AX$11:$AX$70,0),0))</f>
        <v/>
      </c>
      <c r="P2962" s="84" t="str">
        <f>IF($D2962="","",IF(ISNUMBER(MATCH($D2962,CMB_S,0)),1,IF(ISNUMBER(MATCH($D2962,CMB_G,0)),2,0)))</f>
        <v/>
      </c>
      <c r="Q2962" s="84">
        <f>IF(ISNUMBER($H2962),-$H2962,0)</f>
        <v>0</v>
      </c>
      <c r="R2962" s="84">
        <f>IF(ISNUMBER($I2962),ABS($I2962),0)</f>
        <v>0</v>
      </c>
      <c r="S2962" s="84">
        <f>IF(ISNUMBER($M2962),ABS($M2962),0)</f>
        <v>0</v>
      </c>
      <c r="T2962" s="85" t="n">
        <v>2954</v>
      </c>
    </row>
    <row r="2963">
      <c r="B2963" s="83" t="n"/>
      <c r="C2963" s="83" t="n"/>
      <c r="D2963" s="83" t="n"/>
      <c r="E2963" s="83" t="n"/>
      <c r="F2963" s="83" t="n"/>
      <c r="G2963" s="83" t="n"/>
      <c r="H2963" s="83" t="n"/>
      <c r="I2963" s="83" t="n"/>
      <c r="J2963" s="83" t="n"/>
      <c r="K2963" s="83" t="n"/>
      <c r="L2963" s="83" t="n"/>
      <c r="M2963" s="83" t="n"/>
      <c r="O2963" s="84" t="str">
        <f>IF($C2963="","",IFERROR(MATCH($B2963&amp;"|"&amp;$C2963,MUROS!$AX$11:$AX$70,0),0))</f>
        <v/>
      </c>
      <c r="P2963" s="84" t="str">
        <f>IF($D2963="","",IF(ISNUMBER(MATCH($D2963,CMB_S,0)),1,IF(ISNUMBER(MATCH($D2963,CMB_G,0)),2,0)))</f>
        <v/>
      </c>
      <c r="Q2963" s="84">
        <f>IF(ISNUMBER($H2963),-$H2963,0)</f>
        <v>0</v>
      </c>
      <c r="R2963" s="84">
        <f>IF(ISNUMBER($I2963),ABS($I2963),0)</f>
        <v>0</v>
      </c>
      <c r="S2963" s="84">
        <f>IF(ISNUMBER($M2963),ABS($M2963),0)</f>
        <v>0</v>
      </c>
      <c r="T2963" s="85" t="n">
        <v>2955</v>
      </c>
    </row>
    <row r="2964">
      <c r="B2964" s="83" t="n"/>
      <c r="C2964" s="83" t="n"/>
      <c r="D2964" s="83" t="n"/>
      <c r="E2964" s="83" t="n"/>
      <c r="F2964" s="83" t="n"/>
      <c r="G2964" s="83" t="n"/>
      <c r="H2964" s="83" t="n"/>
      <c r="I2964" s="83" t="n"/>
      <c r="J2964" s="83" t="n"/>
      <c r="K2964" s="83" t="n"/>
      <c r="L2964" s="83" t="n"/>
      <c r="M2964" s="83" t="n"/>
      <c r="O2964" s="84" t="str">
        <f>IF($C2964="","",IFERROR(MATCH($B2964&amp;"|"&amp;$C2964,MUROS!$AX$11:$AX$70,0),0))</f>
        <v/>
      </c>
      <c r="P2964" s="84" t="str">
        <f>IF($D2964="","",IF(ISNUMBER(MATCH($D2964,CMB_S,0)),1,IF(ISNUMBER(MATCH($D2964,CMB_G,0)),2,0)))</f>
        <v/>
      </c>
      <c r="Q2964" s="84">
        <f>IF(ISNUMBER($H2964),-$H2964,0)</f>
        <v>0</v>
      </c>
      <c r="R2964" s="84">
        <f>IF(ISNUMBER($I2964),ABS($I2964),0)</f>
        <v>0</v>
      </c>
      <c r="S2964" s="84">
        <f>IF(ISNUMBER($M2964),ABS($M2964),0)</f>
        <v>0</v>
      </c>
      <c r="T2964" s="85" t="n">
        <v>2956</v>
      </c>
    </row>
    <row r="2965">
      <c r="B2965" s="83" t="n"/>
      <c r="C2965" s="83" t="n"/>
      <c r="D2965" s="83" t="n"/>
      <c r="E2965" s="83" t="n"/>
      <c r="F2965" s="83" t="n"/>
      <c r="G2965" s="83" t="n"/>
      <c r="H2965" s="83" t="n"/>
      <c r="I2965" s="83" t="n"/>
      <c r="J2965" s="83" t="n"/>
      <c r="K2965" s="83" t="n"/>
      <c r="L2965" s="83" t="n"/>
      <c r="M2965" s="83" t="n"/>
      <c r="O2965" s="84" t="str">
        <f>IF($C2965="","",IFERROR(MATCH($B2965&amp;"|"&amp;$C2965,MUROS!$AX$11:$AX$70,0),0))</f>
        <v/>
      </c>
      <c r="P2965" s="84" t="str">
        <f>IF($D2965="","",IF(ISNUMBER(MATCH($D2965,CMB_S,0)),1,IF(ISNUMBER(MATCH($D2965,CMB_G,0)),2,0)))</f>
        <v/>
      </c>
      <c r="Q2965" s="84">
        <f>IF(ISNUMBER($H2965),-$H2965,0)</f>
        <v>0</v>
      </c>
      <c r="R2965" s="84">
        <f>IF(ISNUMBER($I2965),ABS($I2965),0)</f>
        <v>0</v>
      </c>
      <c r="S2965" s="84">
        <f>IF(ISNUMBER($M2965),ABS($M2965),0)</f>
        <v>0</v>
      </c>
      <c r="T2965" s="85" t="n">
        <v>2957</v>
      </c>
    </row>
    <row r="2966">
      <c r="B2966" s="83" t="n"/>
      <c r="C2966" s="83" t="n"/>
      <c r="D2966" s="83" t="n"/>
      <c r="E2966" s="83" t="n"/>
      <c r="F2966" s="83" t="n"/>
      <c r="G2966" s="83" t="n"/>
      <c r="H2966" s="83" t="n"/>
      <c r="I2966" s="83" t="n"/>
      <c r="J2966" s="83" t="n"/>
      <c r="K2966" s="83" t="n"/>
      <c r="L2966" s="83" t="n"/>
      <c r="M2966" s="83" t="n"/>
      <c r="O2966" s="84" t="str">
        <f>IF($C2966="","",IFERROR(MATCH($B2966&amp;"|"&amp;$C2966,MUROS!$AX$11:$AX$70,0),0))</f>
        <v/>
      </c>
      <c r="P2966" s="84" t="str">
        <f>IF($D2966="","",IF(ISNUMBER(MATCH($D2966,CMB_S,0)),1,IF(ISNUMBER(MATCH($D2966,CMB_G,0)),2,0)))</f>
        <v/>
      </c>
      <c r="Q2966" s="84">
        <f>IF(ISNUMBER($H2966),-$H2966,0)</f>
        <v>0</v>
      </c>
      <c r="R2966" s="84">
        <f>IF(ISNUMBER($I2966),ABS($I2966),0)</f>
        <v>0</v>
      </c>
      <c r="S2966" s="84">
        <f>IF(ISNUMBER($M2966),ABS($M2966),0)</f>
        <v>0</v>
      </c>
      <c r="T2966" s="85" t="n">
        <v>2958</v>
      </c>
    </row>
    <row r="2967">
      <c r="B2967" s="83" t="n"/>
      <c r="C2967" s="83" t="n"/>
      <c r="D2967" s="83" t="n"/>
      <c r="E2967" s="83" t="n"/>
      <c r="F2967" s="83" t="n"/>
      <c r="G2967" s="83" t="n"/>
      <c r="H2967" s="83" t="n"/>
      <c r="I2967" s="83" t="n"/>
      <c r="J2967" s="83" t="n"/>
      <c r="K2967" s="83" t="n"/>
      <c r="L2967" s="83" t="n"/>
      <c r="M2967" s="83" t="n"/>
      <c r="O2967" s="84" t="str">
        <f>IF($C2967="","",IFERROR(MATCH($B2967&amp;"|"&amp;$C2967,MUROS!$AX$11:$AX$70,0),0))</f>
        <v/>
      </c>
      <c r="P2967" s="84" t="str">
        <f>IF($D2967="","",IF(ISNUMBER(MATCH($D2967,CMB_S,0)),1,IF(ISNUMBER(MATCH($D2967,CMB_G,0)),2,0)))</f>
        <v/>
      </c>
      <c r="Q2967" s="84">
        <f>IF(ISNUMBER($H2967),-$H2967,0)</f>
        <v>0</v>
      </c>
      <c r="R2967" s="84">
        <f>IF(ISNUMBER($I2967),ABS($I2967),0)</f>
        <v>0</v>
      </c>
      <c r="S2967" s="84">
        <f>IF(ISNUMBER($M2967),ABS($M2967),0)</f>
        <v>0</v>
      </c>
      <c r="T2967" s="85" t="n">
        <v>2959</v>
      </c>
    </row>
    <row r="2968">
      <c r="B2968" s="83" t="n"/>
      <c r="C2968" s="83" t="n"/>
      <c r="D2968" s="83" t="n"/>
      <c r="E2968" s="83" t="n"/>
      <c r="F2968" s="83" t="n"/>
      <c r="G2968" s="83" t="n"/>
      <c r="H2968" s="83" t="n"/>
      <c r="I2968" s="83" t="n"/>
      <c r="J2968" s="83" t="n"/>
      <c r="K2968" s="83" t="n"/>
      <c r="L2968" s="83" t="n"/>
      <c r="M2968" s="83" t="n"/>
      <c r="O2968" s="84" t="str">
        <f>IF($C2968="","",IFERROR(MATCH($B2968&amp;"|"&amp;$C2968,MUROS!$AX$11:$AX$70,0),0))</f>
        <v/>
      </c>
      <c r="P2968" s="84" t="str">
        <f>IF($D2968="","",IF(ISNUMBER(MATCH($D2968,CMB_S,0)),1,IF(ISNUMBER(MATCH($D2968,CMB_G,0)),2,0)))</f>
        <v/>
      </c>
      <c r="Q2968" s="84">
        <f>IF(ISNUMBER($H2968),-$H2968,0)</f>
        <v>0</v>
      </c>
      <c r="R2968" s="84">
        <f>IF(ISNUMBER($I2968),ABS($I2968),0)</f>
        <v>0</v>
      </c>
      <c r="S2968" s="84">
        <f>IF(ISNUMBER($M2968),ABS($M2968),0)</f>
        <v>0</v>
      </c>
      <c r="T2968" s="85" t="n">
        <v>2960</v>
      </c>
    </row>
    <row r="2969">
      <c r="B2969" s="83" t="n"/>
      <c r="C2969" s="83" t="n"/>
      <c r="D2969" s="83" t="n"/>
      <c r="E2969" s="83" t="n"/>
      <c r="F2969" s="83" t="n"/>
      <c r="G2969" s="83" t="n"/>
      <c r="H2969" s="83" t="n"/>
      <c r="I2969" s="83" t="n"/>
      <c r="J2969" s="83" t="n"/>
      <c r="K2969" s="83" t="n"/>
      <c r="L2969" s="83" t="n"/>
      <c r="M2969" s="83" t="n"/>
      <c r="O2969" s="84" t="str">
        <f>IF($C2969="","",IFERROR(MATCH($B2969&amp;"|"&amp;$C2969,MUROS!$AX$11:$AX$70,0),0))</f>
        <v/>
      </c>
      <c r="P2969" s="84" t="str">
        <f>IF($D2969="","",IF(ISNUMBER(MATCH($D2969,CMB_S,0)),1,IF(ISNUMBER(MATCH($D2969,CMB_G,0)),2,0)))</f>
        <v/>
      </c>
      <c r="Q2969" s="84">
        <f>IF(ISNUMBER($H2969),-$H2969,0)</f>
        <v>0</v>
      </c>
      <c r="R2969" s="84">
        <f>IF(ISNUMBER($I2969),ABS($I2969),0)</f>
        <v>0</v>
      </c>
      <c r="S2969" s="84">
        <f>IF(ISNUMBER($M2969),ABS($M2969),0)</f>
        <v>0</v>
      </c>
      <c r="T2969" s="85" t="n">
        <v>2961</v>
      </c>
    </row>
    <row r="2970">
      <c r="B2970" s="83" t="n"/>
      <c r="C2970" s="83" t="n"/>
      <c r="D2970" s="83" t="n"/>
      <c r="E2970" s="83" t="n"/>
      <c r="F2970" s="83" t="n"/>
      <c r="G2970" s="83" t="n"/>
      <c r="H2970" s="83" t="n"/>
      <c r="I2970" s="83" t="n"/>
      <c r="J2970" s="83" t="n"/>
      <c r="K2970" s="83" t="n"/>
      <c r="L2970" s="83" t="n"/>
      <c r="M2970" s="83" t="n"/>
      <c r="O2970" s="84" t="str">
        <f>IF($C2970="","",IFERROR(MATCH($B2970&amp;"|"&amp;$C2970,MUROS!$AX$11:$AX$70,0),0))</f>
        <v/>
      </c>
      <c r="P2970" s="84" t="str">
        <f>IF($D2970="","",IF(ISNUMBER(MATCH($D2970,CMB_S,0)),1,IF(ISNUMBER(MATCH($D2970,CMB_G,0)),2,0)))</f>
        <v/>
      </c>
      <c r="Q2970" s="84">
        <f>IF(ISNUMBER($H2970),-$H2970,0)</f>
        <v>0</v>
      </c>
      <c r="R2970" s="84">
        <f>IF(ISNUMBER($I2970),ABS($I2970),0)</f>
        <v>0</v>
      </c>
      <c r="S2970" s="84">
        <f>IF(ISNUMBER($M2970),ABS($M2970),0)</f>
        <v>0</v>
      </c>
      <c r="T2970" s="85" t="n">
        <v>2962</v>
      </c>
    </row>
    <row r="2971">
      <c r="B2971" s="83" t="n"/>
      <c r="C2971" s="83" t="n"/>
      <c r="D2971" s="83" t="n"/>
      <c r="E2971" s="83" t="n"/>
      <c r="F2971" s="83" t="n"/>
      <c r="G2971" s="83" t="n"/>
      <c r="H2971" s="83" t="n"/>
      <c r="I2971" s="83" t="n"/>
      <c r="J2971" s="83" t="n"/>
      <c r="K2971" s="83" t="n"/>
      <c r="L2971" s="83" t="n"/>
      <c r="M2971" s="83" t="n"/>
      <c r="O2971" s="84" t="str">
        <f>IF($C2971="","",IFERROR(MATCH($B2971&amp;"|"&amp;$C2971,MUROS!$AX$11:$AX$70,0),0))</f>
        <v/>
      </c>
      <c r="P2971" s="84" t="str">
        <f>IF($D2971="","",IF(ISNUMBER(MATCH($D2971,CMB_S,0)),1,IF(ISNUMBER(MATCH($D2971,CMB_G,0)),2,0)))</f>
        <v/>
      </c>
      <c r="Q2971" s="84">
        <f>IF(ISNUMBER($H2971),-$H2971,0)</f>
        <v>0</v>
      </c>
      <c r="R2971" s="84">
        <f>IF(ISNUMBER($I2971),ABS($I2971),0)</f>
        <v>0</v>
      </c>
      <c r="S2971" s="84">
        <f>IF(ISNUMBER($M2971),ABS($M2971),0)</f>
        <v>0</v>
      </c>
      <c r="T2971" s="85" t="n">
        <v>2963</v>
      </c>
    </row>
    <row r="2972">
      <c r="B2972" s="83" t="n"/>
      <c r="C2972" s="83" t="n"/>
      <c r="D2972" s="83" t="n"/>
      <c r="E2972" s="83" t="n"/>
      <c r="F2972" s="83" t="n"/>
      <c r="G2972" s="83" t="n"/>
      <c r="H2972" s="83" t="n"/>
      <c r="I2972" s="83" t="n"/>
      <c r="J2972" s="83" t="n"/>
      <c r="K2972" s="83" t="n"/>
      <c r="L2972" s="83" t="n"/>
      <c r="M2972" s="83" t="n"/>
      <c r="O2972" s="84" t="str">
        <f>IF($C2972="","",IFERROR(MATCH($B2972&amp;"|"&amp;$C2972,MUROS!$AX$11:$AX$70,0),0))</f>
        <v/>
      </c>
      <c r="P2972" s="84" t="str">
        <f>IF($D2972="","",IF(ISNUMBER(MATCH($D2972,CMB_S,0)),1,IF(ISNUMBER(MATCH($D2972,CMB_G,0)),2,0)))</f>
        <v/>
      </c>
      <c r="Q2972" s="84">
        <f>IF(ISNUMBER($H2972),-$H2972,0)</f>
        <v>0</v>
      </c>
      <c r="R2972" s="84">
        <f>IF(ISNUMBER($I2972),ABS($I2972),0)</f>
        <v>0</v>
      </c>
      <c r="S2972" s="84">
        <f>IF(ISNUMBER($M2972),ABS($M2972),0)</f>
        <v>0</v>
      </c>
      <c r="T2972" s="85" t="n">
        <v>2964</v>
      </c>
    </row>
    <row r="2973">
      <c r="B2973" s="83" t="n"/>
      <c r="C2973" s="83" t="n"/>
      <c r="D2973" s="83" t="n"/>
      <c r="E2973" s="83" t="n"/>
      <c r="F2973" s="83" t="n"/>
      <c r="G2973" s="83" t="n"/>
      <c r="H2973" s="83" t="n"/>
      <c r="I2973" s="83" t="n"/>
      <c r="J2973" s="83" t="n"/>
      <c r="K2973" s="83" t="n"/>
      <c r="L2973" s="83" t="n"/>
      <c r="M2973" s="83" t="n"/>
      <c r="O2973" s="84" t="str">
        <f>IF($C2973="","",IFERROR(MATCH($B2973&amp;"|"&amp;$C2973,MUROS!$AX$11:$AX$70,0),0))</f>
        <v/>
      </c>
      <c r="P2973" s="84" t="str">
        <f>IF($D2973="","",IF(ISNUMBER(MATCH($D2973,CMB_S,0)),1,IF(ISNUMBER(MATCH($D2973,CMB_G,0)),2,0)))</f>
        <v/>
      </c>
      <c r="Q2973" s="84">
        <f>IF(ISNUMBER($H2973),-$H2973,0)</f>
        <v>0</v>
      </c>
      <c r="R2973" s="84">
        <f>IF(ISNUMBER($I2973),ABS($I2973),0)</f>
        <v>0</v>
      </c>
      <c r="S2973" s="84">
        <f>IF(ISNUMBER($M2973),ABS($M2973),0)</f>
        <v>0</v>
      </c>
      <c r="T2973" s="85" t="n">
        <v>2965</v>
      </c>
    </row>
    <row r="2974">
      <c r="B2974" s="83" t="n"/>
      <c r="C2974" s="83" t="n"/>
      <c r="D2974" s="83" t="n"/>
      <c r="E2974" s="83" t="n"/>
      <c r="F2974" s="83" t="n"/>
      <c r="G2974" s="83" t="n"/>
      <c r="H2974" s="83" t="n"/>
      <c r="I2974" s="83" t="n"/>
      <c r="J2974" s="83" t="n"/>
      <c r="K2974" s="83" t="n"/>
      <c r="L2974" s="83" t="n"/>
      <c r="M2974" s="83" t="n"/>
      <c r="O2974" s="84" t="str">
        <f>IF($C2974="","",IFERROR(MATCH($B2974&amp;"|"&amp;$C2974,MUROS!$AX$11:$AX$70,0),0))</f>
        <v/>
      </c>
      <c r="P2974" s="84" t="str">
        <f>IF($D2974="","",IF(ISNUMBER(MATCH($D2974,CMB_S,0)),1,IF(ISNUMBER(MATCH($D2974,CMB_G,0)),2,0)))</f>
        <v/>
      </c>
      <c r="Q2974" s="84">
        <f>IF(ISNUMBER($H2974),-$H2974,0)</f>
        <v>0</v>
      </c>
      <c r="R2974" s="84">
        <f>IF(ISNUMBER($I2974),ABS($I2974),0)</f>
        <v>0</v>
      </c>
      <c r="S2974" s="84">
        <f>IF(ISNUMBER($M2974),ABS($M2974),0)</f>
        <v>0</v>
      </c>
      <c r="T2974" s="85" t="n">
        <v>2966</v>
      </c>
    </row>
    <row r="2975">
      <c r="B2975" s="83" t="n"/>
      <c r="C2975" s="83" t="n"/>
      <c r="D2975" s="83" t="n"/>
      <c r="E2975" s="83" t="n"/>
      <c r="F2975" s="83" t="n"/>
      <c r="G2975" s="83" t="n"/>
      <c r="H2975" s="83" t="n"/>
      <c r="I2975" s="83" t="n"/>
      <c r="J2975" s="83" t="n"/>
      <c r="K2975" s="83" t="n"/>
      <c r="L2975" s="83" t="n"/>
      <c r="M2975" s="83" t="n"/>
      <c r="O2975" s="84" t="str">
        <f>IF($C2975="","",IFERROR(MATCH($B2975&amp;"|"&amp;$C2975,MUROS!$AX$11:$AX$70,0),0))</f>
        <v/>
      </c>
      <c r="P2975" s="84" t="str">
        <f>IF($D2975="","",IF(ISNUMBER(MATCH($D2975,CMB_S,0)),1,IF(ISNUMBER(MATCH($D2975,CMB_G,0)),2,0)))</f>
        <v/>
      </c>
      <c r="Q2975" s="84">
        <f>IF(ISNUMBER($H2975),-$H2975,0)</f>
        <v>0</v>
      </c>
      <c r="R2975" s="84">
        <f>IF(ISNUMBER($I2975),ABS($I2975),0)</f>
        <v>0</v>
      </c>
      <c r="S2975" s="84">
        <f>IF(ISNUMBER($M2975),ABS($M2975),0)</f>
        <v>0</v>
      </c>
      <c r="T2975" s="85" t="n">
        <v>2967</v>
      </c>
    </row>
    <row r="2976">
      <c r="B2976" s="83" t="n"/>
      <c r="C2976" s="83" t="n"/>
      <c r="D2976" s="83" t="n"/>
      <c r="E2976" s="83" t="n"/>
      <c r="F2976" s="83" t="n"/>
      <c r="G2976" s="83" t="n"/>
      <c r="H2976" s="83" t="n"/>
      <c r="I2976" s="83" t="n"/>
      <c r="J2976" s="83" t="n"/>
      <c r="K2976" s="83" t="n"/>
      <c r="L2976" s="83" t="n"/>
      <c r="M2976" s="83" t="n"/>
      <c r="O2976" s="84" t="str">
        <f>IF($C2976="","",IFERROR(MATCH($B2976&amp;"|"&amp;$C2976,MUROS!$AX$11:$AX$70,0),0))</f>
        <v/>
      </c>
      <c r="P2976" s="84" t="str">
        <f>IF($D2976="","",IF(ISNUMBER(MATCH($D2976,CMB_S,0)),1,IF(ISNUMBER(MATCH($D2976,CMB_G,0)),2,0)))</f>
        <v/>
      </c>
      <c r="Q2976" s="84">
        <f>IF(ISNUMBER($H2976),-$H2976,0)</f>
        <v>0</v>
      </c>
      <c r="R2976" s="84">
        <f>IF(ISNUMBER($I2976),ABS($I2976),0)</f>
        <v>0</v>
      </c>
      <c r="S2976" s="84">
        <f>IF(ISNUMBER($M2976),ABS($M2976),0)</f>
        <v>0</v>
      </c>
      <c r="T2976" s="85" t="n">
        <v>2968</v>
      </c>
    </row>
    <row r="2977">
      <c r="B2977" s="83" t="n"/>
      <c r="C2977" s="83" t="n"/>
      <c r="D2977" s="83" t="n"/>
      <c r="E2977" s="83" t="n"/>
      <c r="F2977" s="83" t="n"/>
      <c r="G2977" s="83" t="n"/>
      <c r="H2977" s="83" t="n"/>
      <c r="I2977" s="83" t="n"/>
      <c r="J2977" s="83" t="n"/>
      <c r="K2977" s="83" t="n"/>
      <c r="L2977" s="83" t="n"/>
      <c r="M2977" s="83" t="n"/>
      <c r="O2977" s="84" t="str">
        <f>IF($C2977="","",IFERROR(MATCH($B2977&amp;"|"&amp;$C2977,MUROS!$AX$11:$AX$70,0),0))</f>
        <v/>
      </c>
      <c r="P2977" s="84" t="str">
        <f>IF($D2977="","",IF(ISNUMBER(MATCH($D2977,CMB_S,0)),1,IF(ISNUMBER(MATCH($D2977,CMB_G,0)),2,0)))</f>
        <v/>
      </c>
      <c r="Q2977" s="84">
        <f>IF(ISNUMBER($H2977),-$H2977,0)</f>
        <v>0</v>
      </c>
      <c r="R2977" s="84">
        <f>IF(ISNUMBER($I2977),ABS($I2977),0)</f>
        <v>0</v>
      </c>
      <c r="S2977" s="84">
        <f>IF(ISNUMBER($M2977),ABS($M2977),0)</f>
        <v>0</v>
      </c>
      <c r="T2977" s="85" t="n">
        <v>2969</v>
      </c>
    </row>
    <row r="2978">
      <c r="B2978" s="83" t="n"/>
      <c r="C2978" s="83" t="n"/>
      <c r="D2978" s="83" t="n"/>
      <c r="E2978" s="83" t="n"/>
      <c r="F2978" s="83" t="n"/>
      <c r="G2978" s="83" t="n"/>
      <c r="H2978" s="83" t="n"/>
      <c r="I2978" s="83" t="n"/>
      <c r="J2978" s="83" t="n"/>
      <c r="K2978" s="83" t="n"/>
      <c r="L2978" s="83" t="n"/>
      <c r="M2978" s="83" t="n"/>
      <c r="O2978" s="84" t="str">
        <f>IF($C2978="","",IFERROR(MATCH($B2978&amp;"|"&amp;$C2978,MUROS!$AX$11:$AX$70,0),0))</f>
        <v/>
      </c>
      <c r="P2978" s="84" t="str">
        <f>IF($D2978="","",IF(ISNUMBER(MATCH($D2978,CMB_S,0)),1,IF(ISNUMBER(MATCH($D2978,CMB_G,0)),2,0)))</f>
        <v/>
      </c>
      <c r="Q2978" s="84">
        <f>IF(ISNUMBER($H2978),-$H2978,0)</f>
        <v>0</v>
      </c>
      <c r="R2978" s="84">
        <f>IF(ISNUMBER($I2978),ABS($I2978),0)</f>
        <v>0</v>
      </c>
      <c r="S2978" s="84">
        <f>IF(ISNUMBER($M2978),ABS($M2978),0)</f>
        <v>0</v>
      </c>
      <c r="T2978" s="85" t="n">
        <v>2970</v>
      </c>
    </row>
    <row r="2979">
      <c r="B2979" s="83" t="n"/>
      <c r="C2979" s="83" t="n"/>
      <c r="D2979" s="83" t="n"/>
      <c r="E2979" s="83" t="n"/>
      <c r="F2979" s="83" t="n"/>
      <c r="G2979" s="83" t="n"/>
      <c r="H2979" s="83" t="n"/>
      <c r="I2979" s="83" t="n"/>
      <c r="J2979" s="83" t="n"/>
      <c r="K2979" s="83" t="n"/>
      <c r="L2979" s="83" t="n"/>
      <c r="M2979" s="83" t="n"/>
      <c r="O2979" s="84" t="str">
        <f>IF($C2979="","",IFERROR(MATCH($B2979&amp;"|"&amp;$C2979,MUROS!$AX$11:$AX$70,0),0))</f>
        <v/>
      </c>
      <c r="P2979" s="84" t="str">
        <f>IF($D2979="","",IF(ISNUMBER(MATCH($D2979,CMB_S,0)),1,IF(ISNUMBER(MATCH($D2979,CMB_G,0)),2,0)))</f>
        <v/>
      </c>
      <c r="Q2979" s="84">
        <f>IF(ISNUMBER($H2979),-$H2979,0)</f>
        <v>0</v>
      </c>
      <c r="R2979" s="84">
        <f>IF(ISNUMBER($I2979),ABS($I2979),0)</f>
        <v>0</v>
      </c>
      <c r="S2979" s="84">
        <f>IF(ISNUMBER($M2979),ABS($M2979),0)</f>
        <v>0</v>
      </c>
      <c r="T2979" s="85" t="n">
        <v>2971</v>
      </c>
    </row>
    <row r="2980">
      <c r="B2980" s="83" t="n"/>
      <c r="C2980" s="83" t="n"/>
      <c r="D2980" s="83" t="n"/>
      <c r="E2980" s="83" t="n"/>
      <c r="F2980" s="83" t="n"/>
      <c r="G2980" s="83" t="n"/>
      <c r="H2980" s="83" t="n"/>
      <c r="I2980" s="83" t="n"/>
      <c r="J2980" s="83" t="n"/>
      <c r="K2980" s="83" t="n"/>
      <c r="L2980" s="83" t="n"/>
      <c r="M2980" s="83" t="n"/>
      <c r="O2980" s="84" t="str">
        <f>IF($C2980="","",IFERROR(MATCH($B2980&amp;"|"&amp;$C2980,MUROS!$AX$11:$AX$70,0),0))</f>
        <v/>
      </c>
      <c r="P2980" s="84" t="str">
        <f>IF($D2980="","",IF(ISNUMBER(MATCH($D2980,CMB_S,0)),1,IF(ISNUMBER(MATCH($D2980,CMB_G,0)),2,0)))</f>
        <v/>
      </c>
      <c r="Q2980" s="84">
        <f>IF(ISNUMBER($H2980),-$H2980,0)</f>
        <v>0</v>
      </c>
      <c r="R2980" s="84">
        <f>IF(ISNUMBER($I2980),ABS($I2980),0)</f>
        <v>0</v>
      </c>
      <c r="S2980" s="84">
        <f>IF(ISNUMBER($M2980),ABS($M2980),0)</f>
        <v>0</v>
      </c>
      <c r="T2980" s="85" t="n">
        <v>2972</v>
      </c>
    </row>
    <row r="2981">
      <c r="B2981" s="83" t="n"/>
      <c r="C2981" s="83" t="n"/>
      <c r="D2981" s="83" t="n"/>
      <c r="E2981" s="83" t="n"/>
      <c r="F2981" s="83" t="n"/>
      <c r="G2981" s="83" t="n"/>
      <c r="H2981" s="83" t="n"/>
      <c r="I2981" s="83" t="n"/>
      <c r="J2981" s="83" t="n"/>
      <c r="K2981" s="83" t="n"/>
      <c r="L2981" s="83" t="n"/>
      <c r="M2981" s="83" t="n"/>
      <c r="O2981" s="84" t="str">
        <f>IF($C2981="","",IFERROR(MATCH($B2981&amp;"|"&amp;$C2981,MUROS!$AX$11:$AX$70,0),0))</f>
        <v/>
      </c>
      <c r="P2981" s="84" t="str">
        <f>IF($D2981="","",IF(ISNUMBER(MATCH($D2981,CMB_S,0)),1,IF(ISNUMBER(MATCH($D2981,CMB_G,0)),2,0)))</f>
        <v/>
      </c>
      <c r="Q2981" s="84">
        <f>IF(ISNUMBER($H2981),-$H2981,0)</f>
        <v>0</v>
      </c>
      <c r="R2981" s="84">
        <f>IF(ISNUMBER($I2981),ABS($I2981),0)</f>
        <v>0</v>
      </c>
      <c r="S2981" s="84">
        <f>IF(ISNUMBER($M2981),ABS($M2981),0)</f>
        <v>0</v>
      </c>
      <c r="T2981" s="85" t="n">
        <v>2973</v>
      </c>
    </row>
    <row r="2982">
      <c r="B2982" s="83" t="n"/>
      <c r="C2982" s="83" t="n"/>
      <c r="D2982" s="83" t="n"/>
      <c r="E2982" s="83" t="n"/>
      <c r="F2982" s="83" t="n"/>
      <c r="G2982" s="83" t="n"/>
      <c r="H2982" s="83" t="n"/>
      <c r="I2982" s="83" t="n"/>
      <c r="J2982" s="83" t="n"/>
      <c r="K2982" s="83" t="n"/>
      <c r="L2982" s="83" t="n"/>
      <c r="M2982" s="83" t="n"/>
      <c r="O2982" s="84" t="str">
        <f>IF($C2982="","",IFERROR(MATCH($B2982&amp;"|"&amp;$C2982,MUROS!$AX$11:$AX$70,0),0))</f>
        <v/>
      </c>
      <c r="P2982" s="84" t="str">
        <f>IF($D2982="","",IF(ISNUMBER(MATCH($D2982,CMB_S,0)),1,IF(ISNUMBER(MATCH($D2982,CMB_G,0)),2,0)))</f>
        <v/>
      </c>
      <c r="Q2982" s="84">
        <f>IF(ISNUMBER($H2982),-$H2982,0)</f>
        <v>0</v>
      </c>
      <c r="R2982" s="84">
        <f>IF(ISNUMBER($I2982),ABS($I2982),0)</f>
        <v>0</v>
      </c>
      <c r="S2982" s="84">
        <f>IF(ISNUMBER($M2982),ABS($M2982),0)</f>
        <v>0</v>
      </c>
      <c r="T2982" s="85" t="n">
        <v>2974</v>
      </c>
    </row>
    <row r="2983">
      <c r="B2983" s="83" t="n"/>
      <c r="C2983" s="83" t="n"/>
      <c r="D2983" s="83" t="n"/>
      <c r="E2983" s="83" t="n"/>
      <c r="F2983" s="83" t="n"/>
      <c r="G2983" s="83" t="n"/>
      <c r="H2983" s="83" t="n"/>
      <c r="I2983" s="83" t="n"/>
      <c r="J2983" s="83" t="n"/>
      <c r="K2983" s="83" t="n"/>
      <c r="L2983" s="83" t="n"/>
      <c r="M2983" s="83" t="n"/>
      <c r="O2983" s="84" t="str">
        <f>IF($C2983="","",IFERROR(MATCH($B2983&amp;"|"&amp;$C2983,MUROS!$AX$11:$AX$70,0),0))</f>
        <v/>
      </c>
      <c r="P2983" s="84" t="str">
        <f>IF($D2983="","",IF(ISNUMBER(MATCH($D2983,CMB_S,0)),1,IF(ISNUMBER(MATCH($D2983,CMB_G,0)),2,0)))</f>
        <v/>
      </c>
      <c r="Q2983" s="84">
        <f>IF(ISNUMBER($H2983),-$H2983,0)</f>
        <v>0</v>
      </c>
      <c r="R2983" s="84">
        <f>IF(ISNUMBER($I2983),ABS($I2983),0)</f>
        <v>0</v>
      </c>
      <c r="S2983" s="84">
        <f>IF(ISNUMBER($M2983),ABS($M2983),0)</f>
        <v>0</v>
      </c>
      <c r="T2983" s="85" t="n">
        <v>2975</v>
      </c>
    </row>
    <row r="2984">
      <c r="B2984" s="83" t="n"/>
      <c r="C2984" s="83" t="n"/>
      <c r="D2984" s="83" t="n"/>
      <c r="E2984" s="83" t="n"/>
      <c r="F2984" s="83" t="n"/>
      <c r="G2984" s="83" t="n"/>
      <c r="H2984" s="83" t="n"/>
      <c r="I2984" s="83" t="n"/>
      <c r="J2984" s="83" t="n"/>
      <c r="K2984" s="83" t="n"/>
      <c r="L2984" s="83" t="n"/>
      <c r="M2984" s="83" t="n"/>
      <c r="O2984" s="84" t="str">
        <f>IF($C2984="","",IFERROR(MATCH($B2984&amp;"|"&amp;$C2984,MUROS!$AX$11:$AX$70,0),0))</f>
        <v/>
      </c>
      <c r="P2984" s="84" t="str">
        <f>IF($D2984="","",IF(ISNUMBER(MATCH($D2984,CMB_S,0)),1,IF(ISNUMBER(MATCH($D2984,CMB_G,0)),2,0)))</f>
        <v/>
      </c>
      <c r="Q2984" s="84">
        <f>IF(ISNUMBER($H2984),-$H2984,0)</f>
        <v>0</v>
      </c>
      <c r="R2984" s="84">
        <f>IF(ISNUMBER($I2984),ABS($I2984),0)</f>
        <v>0</v>
      </c>
      <c r="S2984" s="84">
        <f>IF(ISNUMBER($M2984),ABS($M2984),0)</f>
        <v>0</v>
      </c>
      <c r="T2984" s="85" t="n">
        <v>2976</v>
      </c>
    </row>
    <row r="2985">
      <c r="B2985" s="83" t="n"/>
      <c r="C2985" s="83" t="n"/>
      <c r="D2985" s="83" t="n"/>
      <c r="E2985" s="83" t="n"/>
      <c r="F2985" s="83" t="n"/>
      <c r="G2985" s="83" t="n"/>
      <c r="H2985" s="83" t="n"/>
      <c r="I2985" s="83" t="n"/>
      <c r="J2985" s="83" t="n"/>
      <c r="K2985" s="83" t="n"/>
      <c r="L2985" s="83" t="n"/>
      <c r="M2985" s="83" t="n"/>
      <c r="O2985" s="84" t="str">
        <f>IF($C2985="","",IFERROR(MATCH($B2985&amp;"|"&amp;$C2985,MUROS!$AX$11:$AX$70,0),0))</f>
        <v/>
      </c>
      <c r="P2985" s="84" t="str">
        <f>IF($D2985="","",IF(ISNUMBER(MATCH($D2985,CMB_S,0)),1,IF(ISNUMBER(MATCH($D2985,CMB_G,0)),2,0)))</f>
        <v/>
      </c>
      <c r="Q2985" s="84">
        <f>IF(ISNUMBER($H2985),-$H2985,0)</f>
        <v>0</v>
      </c>
      <c r="R2985" s="84">
        <f>IF(ISNUMBER($I2985),ABS($I2985),0)</f>
        <v>0</v>
      </c>
      <c r="S2985" s="84">
        <f>IF(ISNUMBER($M2985),ABS($M2985),0)</f>
        <v>0</v>
      </c>
      <c r="T2985" s="85" t="n">
        <v>2977</v>
      </c>
    </row>
    <row r="2986">
      <c r="B2986" s="83" t="n"/>
      <c r="C2986" s="83" t="n"/>
      <c r="D2986" s="83" t="n"/>
      <c r="E2986" s="83" t="n"/>
      <c r="F2986" s="83" t="n"/>
      <c r="G2986" s="83" t="n"/>
      <c r="H2986" s="83" t="n"/>
      <c r="I2986" s="83" t="n"/>
      <c r="J2986" s="83" t="n"/>
      <c r="K2986" s="83" t="n"/>
      <c r="L2986" s="83" t="n"/>
      <c r="M2986" s="83" t="n"/>
      <c r="O2986" s="84" t="str">
        <f>IF($C2986="","",IFERROR(MATCH($B2986&amp;"|"&amp;$C2986,MUROS!$AX$11:$AX$70,0),0))</f>
        <v/>
      </c>
      <c r="P2986" s="84" t="str">
        <f>IF($D2986="","",IF(ISNUMBER(MATCH($D2986,CMB_S,0)),1,IF(ISNUMBER(MATCH($D2986,CMB_G,0)),2,0)))</f>
        <v/>
      </c>
      <c r="Q2986" s="84">
        <f>IF(ISNUMBER($H2986),-$H2986,0)</f>
        <v>0</v>
      </c>
      <c r="R2986" s="84">
        <f>IF(ISNUMBER($I2986),ABS($I2986),0)</f>
        <v>0</v>
      </c>
      <c r="S2986" s="84">
        <f>IF(ISNUMBER($M2986),ABS($M2986),0)</f>
        <v>0</v>
      </c>
      <c r="T2986" s="85" t="n">
        <v>2978</v>
      </c>
    </row>
    <row r="2987">
      <c r="B2987" s="83" t="n"/>
      <c r="C2987" s="83" t="n"/>
      <c r="D2987" s="83" t="n"/>
      <c r="E2987" s="83" t="n"/>
      <c r="F2987" s="83" t="n"/>
      <c r="G2987" s="83" t="n"/>
      <c r="H2987" s="83" t="n"/>
      <c r="I2987" s="83" t="n"/>
      <c r="J2987" s="83" t="n"/>
      <c r="K2987" s="83" t="n"/>
      <c r="L2987" s="83" t="n"/>
      <c r="M2987" s="83" t="n"/>
      <c r="O2987" s="84" t="str">
        <f>IF($C2987="","",IFERROR(MATCH($B2987&amp;"|"&amp;$C2987,MUROS!$AX$11:$AX$70,0),0))</f>
        <v/>
      </c>
      <c r="P2987" s="84" t="str">
        <f>IF($D2987="","",IF(ISNUMBER(MATCH($D2987,CMB_S,0)),1,IF(ISNUMBER(MATCH($D2987,CMB_G,0)),2,0)))</f>
        <v/>
      </c>
      <c r="Q2987" s="84">
        <f>IF(ISNUMBER($H2987),-$H2987,0)</f>
        <v>0</v>
      </c>
      <c r="R2987" s="84">
        <f>IF(ISNUMBER($I2987),ABS($I2987),0)</f>
        <v>0</v>
      </c>
      <c r="S2987" s="84">
        <f>IF(ISNUMBER($M2987),ABS($M2987),0)</f>
        <v>0</v>
      </c>
      <c r="T2987" s="85" t="n">
        <v>2979</v>
      </c>
    </row>
    <row r="2988">
      <c r="B2988" s="83" t="n"/>
      <c r="C2988" s="83" t="n"/>
      <c r="D2988" s="83" t="n"/>
      <c r="E2988" s="83" t="n"/>
      <c r="F2988" s="83" t="n"/>
      <c r="G2988" s="83" t="n"/>
      <c r="H2988" s="83" t="n"/>
      <c r="I2988" s="83" t="n"/>
      <c r="J2988" s="83" t="n"/>
      <c r="K2988" s="83" t="n"/>
      <c r="L2988" s="83" t="n"/>
      <c r="M2988" s="83" t="n"/>
      <c r="O2988" s="84" t="str">
        <f>IF($C2988="","",IFERROR(MATCH($B2988&amp;"|"&amp;$C2988,MUROS!$AX$11:$AX$70,0),0))</f>
        <v/>
      </c>
      <c r="P2988" s="84" t="str">
        <f>IF($D2988="","",IF(ISNUMBER(MATCH($D2988,CMB_S,0)),1,IF(ISNUMBER(MATCH($D2988,CMB_G,0)),2,0)))</f>
        <v/>
      </c>
      <c r="Q2988" s="84">
        <f>IF(ISNUMBER($H2988),-$H2988,0)</f>
        <v>0</v>
      </c>
      <c r="R2988" s="84">
        <f>IF(ISNUMBER($I2988),ABS($I2988),0)</f>
        <v>0</v>
      </c>
      <c r="S2988" s="84">
        <f>IF(ISNUMBER($M2988),ABS($M2988),0)</f>
        <v>0</v>
      </c>
      <c r="T2988" s="85" t="n">
        <v>2980</v>
      </c>
    </row>
    <row r="2989">
      <c r="B2989" s="83" t="n"/>
      <c r="C2989" s="83" t="n"/>
      <c r="D2989" s="83" t="n"/>
      <c r="E2989" s="83" t="n"/>
      <c r="F2989" s="83" t="n"/>
      <c r="G2989" s="83" t="n"/>
      <c r="H2989" s="83" t="n"/>
      <c r="I2989" s="83" t="n"/>
      <c r="J2989" s="83" t="n"/>
      <c r="K2989" s="83" t="n"/>
      <c r="L2989" s="83" t="n"/>
      <c r="M2989" s="83" t="n"/>
      <c r="O2989" s="84" t="str">
        <f>IF($C2989="","",IFERROR(MATCH($B2989&amp;"|"&amp;$C2989,MUROS!$AX$11:$AX$70,0),0))</f>
        <v/>
      </c>
      <c r="P2989" s="84" t="str">
        <f>IF($D2989="","",IF(ISNUMBER(MATCH($D2989,CMB_S,0)),1,IF(ISNUMBER(MATCH($D2989,CMB_G,0)),2,0)))</f>
        <v/>
      </c>
      <c r="Q2989" s="84">
        <f>IF(ISNUMBER($H2989),-$H2989,0)</f>
        <v>0</v>
      </c>
      <c r="R2989" s="84">
        <f>IF(ISNUMBER($I2989),ABS($I2989),0)</f>
        <v>0</v>
      </c>
      <c r="S2989" s="84">
        <f>IF(ISNUMBER($M2989),ABS($M2989),0)</f>
        <v>0</v>
      </c>
      <c r="T2989" s="85" t="n">
        <v>2981</v>
      </c>
    </row>
    <row r="2990">
      <c r="B2990" s="83" t="n"/>
      <c r="C2990" s="83" t="n"/>
      <c r="D2990" s="83" t="n"/>
      <c r="E2990" s="83" t="n"/>
      <c r="F2990" s="83" t="n"/>
      <c r="G2990" s="83" t="n"/>
      <c r="H2990" s="83" t="n"/>
      <c r="I2990" s="83" t="n"/>
      <c r="J2990" s="83" t="n"/>
      <c r="K2990" s="83" t="n"/>
      <c r="L2990" s="83" t="n"/>
      <c r="M2990" s="83" t="n"/>
      <c r="O2990" s="84" t="str">
        <f>IF($C2990="","",IFERROR(MATCH($B2990&amp;"|"&amp;$C2990,MUROS!$AX$11:$AX$70,0),0))</f>
        <v/>
      </c>
      <c r="P2990" s="84" t="str">
        <f>IF($D2990="","",IF(ISNUMBER(MATCH($D2990,CMB_S,0)),1,IF(ISNUMBER(MATCH($D2990,CMB_G,0)),2,0)))</f>
        <v/>
      </c>
      <c r="Q2990" s="84">
        <f>IF(ISNUMBER($H2990),-$H2990,0)</f>
        <v>0</v>
      </c>
      <c r="R2990" s="84">
        <f>IF(ISNUMBER($I2990),ABS($I2990),0)</f>
        <v>0</v>
      </c>
      <c r="S2990" s="84">
        <f>IF(ISNUMBER($M2990),ABS($M2990),0)</f>
        <v>0</v>
      </c>
      <c r="T2990" s="85" t="n">
        <v>2982</v>
      </c>
    </row>
    <row r="2991">
      <c r="B2991" s="83" t="n"/>
      <c r="C2991" s="83" t="n"/>
      <c r="D2991" s="83" t="n"/>
      <c r="E2991" s="83" t="n"/>
      <c r="F2991" s="83" t="n"/>
      <c r="G2991" s="83" t="n"/>
      <c r="H2991" s="83" t="n"/>
      <c r="I2991" s="83" t="n"/>
      <c r="J2991" s="83" t="n"/>
      <c r="K2991" s="83" t="n"/>
      <c r="L2991" s="83" t="n"/>
      <c r="M2991" s="83" t="n"/>
      <c r="O2991" s="84" t="str">
        <f>IF($C2991="","",IFERROR(MATCH($B2991&amp;"|"&amp;$C2991,MUROS!$AX$11:$AX$70,0),0))</f>
        <v/>
      </c>
      <c r="P2991" s="84" t="str">
        <f>IF($D2991="","",IF(ISNUMBER(MATCH($D2991,CMB_S,0)),1,IF(ISNUMBER(MATCH($D2991,CMB_G,0)),2,0)))</f>
        <v/>
      </c>
      <c r="Q2991" s="84">
        <f>IF(ISNUMBER($H2991),-$H2991,0)</f>
        <v>0</v>
      </c>
      <c r="R2991" s="84">
        <f>IF(ISNUMBER($I2991),ABS($I2991),0)</f>
        <v>0</v>
      </c>
      <c r="S2991" s="84">
        <f>IF(ISNUMBER($M2991),ABS($M2991),0)</f>
        <v>0</v>
      </c>
      <c r="T2991" s="85" t="n">
        <v>2983</v>
      </c>
    </row>
    <row r="2992">
      <c r="B2992" s="83" t="n"/>
      <c r="C2992" s="83" t="n"/>
      <c r="D2992" s="83" t="n"/>
      <c r="E2992" s="83" t="n"/>
      <c r="F2992" s="83" t="n"/>
      <c r="G2992" s="83" t="n"/>
      <c r="H2992" s="83" t="n"/>
      <c r="I2992" s="83" t="n"/>
      <c r="J2992" s="83" t="n"/>
      <c r="K2992" s="83" t="n"/>
      <c r="L2992" s="83" t="n"/>
      <c r="M2992" s="83" t="n"/>
      <c r="O2992" s="84" t="str">
        <f>IF($C2992="","",IFERROR(MATCH($B2992&amp;"|"&amp;$C2992,MUROS!$AX$11:$AX$70,0),0))</f>
        <v/>
      </c>
      <c r="P2992" s="84" t="str">
        <f>IF($D2992="","",IF(ISNUMBER(MATCH($D2992,CMB_S,0)),1,IF(ISNUMBER(MATCH($D2992,CMB_G,0)),2,0)))</f>
        <v/>
      </c>
      <c r="Q2992" s="84">
        <f>IF(ISNUMBER($H2992),-$H2992,0)</f>
        <v>0</v>
      </c>
      <c r="R2992" s="84">
        <f>IF(ISNUMBER($I2992),ABS($I2992),0)</f>
        <v>0</v>
      </c>
      <c r="S2992" s="84">
        <f>IF(ISNUMBER($M2992),ABS($M2992),0)</f>
        <v>0</v>
      </c>
      <c r="T2992" s="85" t="n">
        <v>2984</v>
      </c>
    </row>
    <row r="2993">
      <c r="B2993" s="83" t="n"/>
      <c r="C2993" s="83" t="n"/>
      <c r="D2993" s="83" t="n"/>
      <c r="E2993" s="83" t="n"/>
      <c r="F2993" s="83" t="n"/>
      <c r="G2993" s="83" t="n"/>
      <c r="H2993" s="83" t="n"/>
      <c r="I2993" s="83" t="n"/>
      <c r="J2993" s="83" t="n"/>
      <c r="K2993" s="83" t="n"/>
      <c r="L2993" s="83" t="n"/>
      <c r="M2993" s="83" t="n"/>
      <c r="O2993" s="84" t="str">
        <f>IF($C2993="","",IFERROR(MATCH($B2993&amp;"|"&amp;$C2993,MUROS!$AX$11:$AX$70,0),0))</f>
        <v/>
      </c>
      <c r="P2993" s="84" t="str">
        <f>IF($D2993="","",IF(ISNUMBER(MATCH($D2993,CMB_S,0)),1,IF(ISNUMBER(MATCH($D2993,CMB_G,0)),2,0)))</f>
        <v/>
      </c>
      <c r="Q2993" s="84">
        <f>IF(ISNUMBER($H2993),-$H2993,0)</f>
        <v>0</v>
      </c>
      <c r="R2993" s="84">
        <f>IF(ISNUMBER($I2993),ABS($I2993),0)</f>
        <v>0</v>
      </c>
      <c r="S2993" s="84">
        <f>IF(ISNUMBER($M2993),ABS($M2993),0)</f>
        <v>0</v>
      </c>
      <c r="T2993" s="85" t="n">
        <v>2985</v>
      </c>
    </row>
    <row r="2994">
      <c r="B2994" s="83" t="n"/>
      <c r="C2994" s="83" t="n"/>
      <c r="D2994" s="83" t="n"/>
      <c r="E2994" s="83" t="n"/>
      <c r="F2994" s="83" t="n"/>
      <c r="G2994" s="83" t="n"/>
      <c r="H2994" s="83" t="n"/>
      <c r="I2994" s="83" t="n"/>
      <c r="J2994" s="83" t="n"/>
      <c r="K2994" s="83" t="n"/>
      <c r="L2994" s="83" t="n"/>
      <c r="M2994" s="83" t="n"/>
      <c r="O2994" s="84" t="str">
        <f>IF($C2994="","",IFERROR(MATCH($B2994&amp;"|"&amp;$C2994,MUROS!$AX$11:$AX$70,0),0))</f>
        <v/>
      </c>
      <c r="P2994" s="84" t="str">
        <f>IF($D2994="","",IF(ISNUMBER(MATCH($D2994,CMB_S,0)),1,IF(ISNUMBER(MATCH($D2994,CMB_G,0)),2,0)))</f>
        <v/>
      </c>
      <c r="Q2994" s="84">
        <f>IF(ISNUMBER($H2994),-$H2994,0)</f>
        <v>0</v>
      </c>
      <c r="R2994" s="84">
        <f>IF(ISNUMBER($I2994),ABS($I2994),0)</f>
        <v>0</v>
      </c>
      <c r="S2994" s="84">
        <f>IF(ISNUMBER($M2994),ABS($M2994),0)</f>
        <v>0</v>
      </c>
      <c r="T2994" s="85" t="n">
        <v>2986</v>
      </c>
    </row>
    <row r="2995">
      <c r="B2995" s="83" t="n"/>
      <c r="C2995" s="83" t="n"/>
      <c r="D2995" s="83" t="n"/>
      <c r="E2995" s="83" t="n"/>
      <c r="F2995" s="83" t="n"/>
      <c r="G2995" s="83" t="n"/>
      <c r="H2995" s="83" t="n"/>
      <c r="I2995" s="83" t="n"/>
      <c r="J2995" s="83" t="n"/>
      <c r="K2995" s="83" t="n"/>
      <c r="L2995" s="83" t="n"/>
      <c r="M2995" s="83" t="n"/>
      <c r="O2995" s="84" t="str">
        <f>IF($C2995="","",IFERROR(MATCH($B2995&amp;"|"&amp;$C2995,MUROS!$AX$11:$AX$70,0),0))</f>
        <v/>
      </c>
      <c r="P2995" s="84" t="str">
        <f>IF($D2995="","",IF(ISNUMBER(MATCH($D2995,CMB_S,0)),1,IF(ISNUMBER(MATCH($D2995,CMB_G,0)),2,0)))</f>
        <v/>
      </c>
      <c r="Q2995" s="84">
        <f>IF(ISNUMBER($H2995),-$H2995,0)</f>
        <v>0</v>
      </c>
      <c r="R2995" s="84">
        <f>IF(ISNUMBER($I2995),ABS($I2995),0)</f>
        <v>0</v>
      </c>
      <c r="S2995" s="84">
        <f>IF(ISNUMBER($M2995),ABS($M2995),0)</f>
        <v>0</v>
      </c>
      <c r="T2995" s="85" t="n">
        <v>2987</v>
      </c>
    </row>
    <row r="2996">
      <c r="B2996" s="83" t="n"/>
      <c r="C2996" s="83" t="n"/>
      <c r="D2996" s="83" t="n"/>
      <c r="E2996" s="83" t="n"/>
      <c r="F2996" s="83" t="n"/>
      <c r="G2996" s="83" t="n"/>
      <c r="H2996" s="83" t="n"/>
      <c r="I2996" s="83" t="n"/>
      <c r="J2996" s="83" t="n"/>
      <c r="K2996" s="83" t="n"/>
      <c r="L2996" s="83" t="n"/>
      <c r="M2996" s="83" t="n"/>
      <c r="O2996" s="84" t="str">
        <f>IF($C2996="","",IFERROR(MATCH($B2996&amp;"|"&amp;$C2996,MUROS!$AX$11:$AX$70,0),0))</f>
        <v/>
      </c>
      <c r="P2996" s="84" t="str">
        <f>IF($D2996="","",IF(ISNUMBER(MATCH($D2996,CMB_S,0)),1,IF(ISNUMBER(MATCH($D2996,CMB_G,0)),2,0)))</f>
        <v/>
      </c>
      <c r="Q2996" s="84">
        <f>IF(ISNUMBER($H2996),-$H2996,0)</f>
        <v>0</v>
      </c>
      <c r="R2996" s="84">
        <f>IF(ISNUMBER($I2996),ABS($I2996),0)</f>
        <v>0</v>
      </c>
      <c r="S2996" s="84">
        <f>IF(ISNUMBER($M2996),ABS($M2996),0)</f>
        <v>0</v>
      </c>
      <c r="T2996" s="85" t="n">
        <v>2988</v>
      </c>
    </row>
    <row r="2997">
      <c r="B2997" s="83" t="n"/>
      <c r="C2997" s="83" t="n"/>
      <c r="D2997" s="83" t="n"/>
      <c r="E2997" s="83" t="n"/>
      <c r="F2997" s="83" t="n"/>
      <c r="G2997" s="83" t="n"/>
      <c r="H2997" s="83" t="n"/>
      <c r="I2997" s="83" t="n"/>
      <c r="J2997" s="83" t="n"/>
      <c r="K2997" s="83" t="n"/>
      <c r="L2997" s="83" t="n"/>
      <c r="M2997" s="83" t="n"/>
      <c r="O2997" s="84" t="str">
        <f>IF($C2997="","",IFERROR(MATCH($B2997&amp;"|"&amp;$C2997,MUROS!$AX$11:$AX$70,0),0))</f>
        <v/>
      </c>
      <c r="P2997" s="84" t="str">
        <f>IF($D2997="","",IF(ISNUMBER(MATCH($D2997,CMB_S,0)),1,IF(ISNUMBER(MATCH($D2997,CMB_G,0)),2,0)))</f>
        <v/>
      </c>
      <c r="Q2997" s="84">
        <f>IF(ISNUMBER($H2997),-$H2997,0)</f>
        <v>0</v>
      </c>
      <c r="R2997" s="84">
        <f>IF(ISNUMBER($I2997),ABS($I2997),0)</f>
        <v>0</v>
      </c>
      <c r="S2997" s="84">
        <f>IF(ISNUMBER($M2997),ABS($M2997),0)</f>
        <v>0</v>
      </c>
      <c r="T2997" s="85" t="n">
        <v>2989</v>
      </c>
    </row>
    <row r="2998">
      <c r="B2998" s="83" t="n"/>
      <c r="C2998" s="83" t="n"/>
      <c r="D2998" s="83" t="n"/>
      <c r="E2998" s="83" t="n"/>
      <c r="F2998" s="83" t="n"/>
      <c r="G2998" s="83" t="n"/>
      <c r="H2998" s="83" t="n"/>
      <c r="I2998" s="83" t="n"/>
      <c r="J2998" s="83" t="n"/>
      <c r="K2998" s="83" t="n"/>
      <c r="L2998" s="83" t="n"/>
      <c r="M2998" s="83" t="n"/>
      <c r="O2998" s="84" t="str">
        <f>IF($C2998="","",IFERROR(MATCH($B2998&amp;"|"&amp;$C2998,MUROS!$AX$11:$AX$70,0),0))</f>
        <v/>
      </c>
      <c r="P2998" s="84" t="str">
        <f>IF($D2998="","",IF(ISNUMBER(MATCH($D2998,CMB_S,0)),1,IF(ISNUMBER(MATCH($D2998,CMB_G,0)),2,0)))</f>
        <v/>
      </c>
      <c r="Q2998" s="84">
        <f>IF(ISNUMBER($H2998),-$H2998,0)</f>
        <v>0</v>
      </c>
      <c r="R2998" s="84">
        <f>IF(ISNUMBER($I2998),ABS($I2998),0)</f>
        <v>0</v>
      </c>
      <c r="S2998" s="84">
        <f>IF(ISNUMBER($M2998),ABS($M2998),0)</f>
        <v>0</v>
      </c>
      <c r="T2998" s="85" t="n">
        <v>2990</v>
      </c>
    </row>
    <row r="2999">
      <c r="B2999" s="83" t="n"/>
      <c r="C2999" s="83" t="n"/>
      <c r="D2999" s="83" t="n"/>
      <c r="E2999" s="83" t="n"/>
      <c r="F2999" s="83" t="n"/>
      <c r="G2999" s="83" t="n"/>
      <c r="H2999" s="83" t="n"/>
      <c r="I2999" s="83" t="n"/>
      <c r="J2999" s="83" t="n"/>
      <c r="K2999" s="83" t="n"/>
      <c r="L2999" s="83" t="n"/>
      <c r="M2999" s="83" t="n"/>
      <c r="O2999" s="84" t="str">
        <f>IF($C2999="","",IFERROR(MATCH($B2999&amp;"|"&amp;$C2999,MUROS!$AX$11:$AX$70,0),0))</f>
        <v/>
      </c>
      <c r="P2999" s="84" t="str">
        <f>IF($D2999="","",IF(ISNUMBER(MATCH($D2999,CMB_S,0)),1,IF(ISNUMBER(MATCH($D2999,CMB_G,0)),2,0)))</f>
        <v/>
      </c>
      <c r="Q2999" s="84">
        <f>IF(ISNUMBER($H2999),-$H2999,0)</f>
        <v>0</v>
      </c>
      <c r="R2999" s="84">
        <f>IF(ISNUMBER($I2999),ABS($I2999),0)</f>
        <v>0</v>
      </c>
      <c r="S2999" s="84">
        <f>IF(ISNUMBER($M2999),ABS($M2999),0)</f>
        <v>0</v>
      </c>
      <c r="T2999" s="85" t="n">
        <v>2991</v>
      </c>
    </row>
    <row r="3000">
      <c r="B3000" s="83" t="n"/>
      <c r="C3000" s="83" t="n"/>
      <c r="D3000" s="83" t="n"/>
      <c r="E3000" s="83" t="n"/>
      <c r="F3000" s="83" t="n"/>
      <c r="G3000" s="83" t="n"/>
      <c r="H3000" s="83" t="n"/>
      <c r="I3000" s="83" t="n"/>
      <c r="J3000" s="83" t="n"/>
      <c r="K3000" s="83" t="n"/>
      <c r="L3000" s="83" t="n"/>
      <c r="M3000" s="83" t="n"/>
      <c r="O3000" s="84" t="str">
        <f>IF($C3000="","",IFERROR(MATCH($B3000&amp;"|"&amp;$C3000,MUROS!$AX$11:$AX$70,0),0))</f>
        <v/>
      </c>
      <c r="P3000" s="84" t="str">
        <f>IF($D3000="","",IF(ISNUMBER(MATCH($D3000,CMB_S,0)),1,IF(ISNUMBER(MATCH($D3000,CMB_G,0)),2,0)))</f>
        <v/>
      </c>
      <c r="Q3000" s="84">
        <f>IF(ISNUMBER($H3000),-$H3000,0)</f>
        <v>0</v>
      </c>
      <c r="R3000" s="84">
        <f>IF(ISNUMBER($I3000),ABS($I3000),0)</f>
        <v>0</v>
      </c>
      <c r="S3000" s="84">
        <f>IF(ISNUMBER($M3000),ABS($M3000),0)</f>
        <v>0</v>
      </c>
      <c r="T3000" s="85" t="n">
        <v>2992</v>
      </c>
    </row>
    <row r="3001">
      <c r="B3001" s="83" t="n"/>
      <c r="C3001" s="83" t="n"/>
      <c r="D3001" s="83" t="n"/>
      <c r="E3001" s="83" t="n"/>
      <c r="F3001" s="83" t="n"/>
      <c r="G3001" s="83" t="n"/>
      <c r="H3001" s="83" t="n"/>
      <c r="I3001" s="83" t="n"/>
      <c r="J3001" s="83" t="n"/>
      <c r="K3001" s="83" t="n"/>
      <c r="L3001" s="83" t="n"/>
      <c r="M3001" s="83" t="n"/>
      <c r="O3001" s="84" t="str">
        <f>IF($C3001="","",IFERROR(MATCH($B3001&amp;"|"&amp;$C3001,MUROS!$AX$11:$AX$70,0),0))</f>
        <v/>
      </c>
      <c r="P3001" s="84" t="str">
        <f>IF($D3001="","",IF(ISNUMBER(MATCH($D3001,CMB_S,0)),1,IF(ISNUMBER(MATCH($D3001,CMB_G,0)),2,0)))</f>
        <v/>
      </c>
      <c r="Q3001" s="84">
        <f>IF(ISNUMBER($H3001),-$H3001,0)</f>
        <v>0</v>
      </c>
      <c r="R3001" s="84">
        <f>IF(ISNUMBER($I3001),ABS($I3001),0)</f>
        <v>0</v>
      </c>
      <c r="S3001" s="84">
        <f>IF(ISNUMBER($M3001),ABS($M3001),0)</f>
        <v>0</v>
      </c>
      <c r="T3001" s="85" t="n">
        <v>2993</v>
      </c>
    </row>
    <row r="3002">
      <c r="B3002" s="83" t="n"/>
      <c r="C3002" s="83" t="n"/>
      <c r="D3002" s="83" t="n"/>
      <c r="E3002" s="83" t="n"/>
      <c r="F3002" s="83" t="n"/>
      <c r="G3002" s="83" t="n"/>
      <c r="H3002" s="83" t="n"/>
      <c r="I3002" s="83" t="n"/>
      <c r="J3002" s="83" t="n"/>
      <c r="K3002" s="83" t="n"/>
      <c r="L3002" s="83" t="n"/>
      <c r="M3002" s="83" t="n"/>
      <c r="O3002" s="84" t="str">
        <f>IF($C3002="","",IFERROR(MATCH($B3002&amp;"|"&amp;$C3002,MUROS!$AX$11:$AX$70,0),0))</f>
        <v/>
      </c>
      <c r="P3002" s="84" t="str">
        <f>IF($D3002="","",IF(ISNUMBER(MATCH($D3002,CMB_S,0)),1,IF(ISNUMBER(MATCH($D3002,CMB_G,0)),2,0)))</f>
        <v/>
      </c>
      <c r="Q3002" s="84">
        <f>IF(ISNUMBER($H3002),-$H3002,0)</f>
        <v>0</v>
      </c>
      <c r="R3002" s="84">
        <f>IF(ISNUMBER($I3002),ABS($I3002),0)</f>
        <v>0</v>
      </c>
      <c r="S3002" s="84">
        <f>IF(ISNUMBER($M3002),ABS($M3002),0)</f>
        <v>0</v>
      </c>
      <c r="T3002" s="85" t="n">
        <v>2994</v>
      </c>
    </row>
    <row r="3003">
      <c r="B3003" s="83" t="n"/>
      <c r="C3003" s="83" t="n"/>
      <c r="D3003" s="83" t="n"/>
      <c r="E3003" s="83" t="n"/>
      <c r="F3003" s="83" t="n"/>
      <c r="G3003" s="83" t="n"/>
      <c r="H3003" s="83" t="n"/>
      <c r="I3003" s="83" t="n"/>
      <c r="J3003" s="83" t="n"/>
      <c r="K3003" s="83" t="n"/>
      <c r="L3003" s="83" t="n"/>
      <c r="M3003" s="83" t="n"/>
      <c r="O3003" s="84" t="str">
        <f>IF($C3003="","",IFERROR(MATCH($B3003&amp;"|"&amp;$C3003,MUROS!$AX$11:$AX$70,0),0))</f>
        <v/>
      </c>
      <c r="P3003" s="84" t="str">
        <f>IF($D3003="","",IF(ISNUMBER(MATCH($D3003,CMB_S,0)),1,IF(ISNUMBER(MATCH($D3003,CMB_G,0)),2,0)))</f>
        <v/>
      </c>
      <c r="Q3003" s="84">
        <f>IF(ISNUMBER($H3003),-$H3003,0)</f>
        <v>0</v>
      </c>
      <c r="R3003" s="84">
        <f>IF(ISNUMBER($I3003),ABS($I3003),0)</f>
        <v>0</v>
      </c>
      <c r="S3003" s="84">
        <f>IF(ISNUMBER($M3003),ABS($M3003),0)</f>
        <v>0</v>
      </c>
      <c r="T3003" s="85" t="n">
        <v>2995</v>
      </c>
    </row>
    <row r="3004">
      <c r="B3004" s="83" t="n"/>
      <c r="C3004" s="83" t="n"/>
      <c r="D3004" s="83" t="n"/>
      <c r="E3004" s="83" t="n"/>
      <c r="F3004" s="83" t="n"/>
      <c r="G3004" s="83" t="n"/>
      <c r="H3004" s="83" t="n"/>
      <c r="I3004" s="83" t="n"/>
      <c r="J3004" s="83" t="n"/>
      <c r="K3004" s="83" t="n"/>
      <c r="L3004" s="83" t="n"/>
      <c r="M3004" s="83" t="n"/>
      <c r="O3004" s="84" t="str">
        <f>IF($C3004="","",IFERROR(MATCH($B3004&amp;"|"&amp;$C3004,MUROS!$AX$11:$AX$70,0),0))</f>
        <v/>
      </c>
      <c r="P3004" s="84" t="str">
        <f>IF($D3004="","",IF(ISNUMBER(MATCH($D3004,CMB_S,0)),1,IF(ISNUMBER(MATCH($D3004,CMB_G,0)),2,0)))</f>
        <v/>
      </c>
      <c r="Q3004" s="84">
        <f>IF(ISNUMBER($H3004),-$H3004,0)</f>
        <v>0</v>
      </c>
      <c r="R3004" s="84">
        <f>IF(ISNUMBER($I3004),ABS($I3004),0)</f>
        <v>0</v>
      </c>
      <c r="S3004" s="84">
        <f>IF(ISNUMBER($M3004),ABS($M3004),0)</f>
        <v>0</v>
      </c>
      <c r="T3004" s="85" t="n">
        <v>2996</v>
      </c>
    </row>
    <row r="3005">
      <c r="B3005" s="83" t="n"/>
      <c r="C3005" s="83" t="n"/>
      <c r="D3005" s="83" t="n"/>
      <c r="E3005" s="83" t="n"/>
      <c r="F3005" s="83" t="n"/>
      <c r="G3005" s="83" t="n"/>
      <c r="H3005" s="83" t="n"/>
      <c r="I3005" s="83" t="n"/>
      <c r="J3005" s="83" t="n"/>
      <c r="K3005" s="83" t="n"/>
      <c r="L3005" s="83" t="n"/>
      <c r="M3005" s="83" t="n"/>
      <c r="O3005" s="84" t="str">
        <f>IF($C3005="","",IFERROR(MATCH($B3005&amp;"|"&amp;$C3005,MUROS!$AX$11:$AX$70,0),0))</f>
        <v/>
      </c>
      <c r="P3005" s="84" t="str">
        <f>IF($D3005="","",IF(ISNUMBER(MATCH($D3005,CMB_S,0)),1,IF(ISNUMBER(MATCH($D3005,CMB_G,0)),2,0)))</f>
        <v/>
      </c>
      <c r="Q3005" s="84">
        <f>IF(ISNUMBER($H3005),-$H3005,0)</f>
        <v>0</v>
      </c>
      <c r="R3005" s="84">
        <f>IF(ISNUMBER($I3005),ABS($I3005),0)</f>
        <v>0</v>
      </c>
      <c r="S3005" s="84">
        <f>IF(ISNUMBER($M3005),ABS($M3005),0)</f>
        <v>0</v>
      </c>
      <c r="T3005" s="85" t="n">
        <v>2997</v>
      </c>
    </row>
    <row r="3006">
      <c r="B3006" s="83" t="n"/>
      <c r="C3006" s="83" t="n"/>
      <c r="D3006" s="83" t="n"/>
      <c r="E3006" s="83" t="n"/>
      <c r="F3006" s="83" t="n"/>
      <c r="G3006" s="83" t="n"/>
      <c r="H3006" s="83" t="n"/>
      <c r="I3006" s="83" t="n"/>
      <c r="J3006" s="83" t="n"/>
      <c r="K3006" s="83" t="n"/>
      <c r="L3006" s="83" t="n"/>
      <c r="M3006" s="83" t="n"/>
      <c r="O3006" s="84" t="str">
        <f>IF($C3006="","",IFERROR(MATCH($B3006&amp;"|"&amp;$C3006,MUROS!$AX$11:$AX$70,0),0))</f>
        <v/>
      </c>
      <c r="P3006" s="84" t="str">
        <f>IF($D3006="","",IF(ISNUMBER(MATCH($D3006,CMB_S,0)),1,IF(ISNUMBER(MATCH($D3006,CMB_G,0)),2,0)))</f>
        <v/>
      </c>
      <c r="Q3006" s="84">
        <f>IF(ISNUMBER($H3006),-$H3006,0)</f>
        <v>0</v>
      </c>
      <c r="R3006" s="84">
        <f>IF(ISNUMBER($I3006),ABS($I3006),0)</f>
        <v>0</v>
      </c>
      <c r="S3006" s="84">
        <f>IF(ISNUMBER($M3006),ABS($M3006),0)</f>
        <v>0</v>
      </c>
      <c r="T3006" s="85" t="n">
        <v>2998</v>
      </c>
    </row>
    <row r="3007">
      <c r="B3007" s="83" t="n"/>
      <c r="C3007" s="83" t="n"/>
      <c r="D3007" s="83" t="n"/>
      <c r="E3007" s="83" t="n"/>
      <c r="F3007" s="83" t="n"/>
      <c r="G3007" s="83" t="n"/>
      <c r="H3007" s="83" t="n"/>
      <c r="I3007" s="83" t="n"/>
      <c r="J3007" s="83" t="n"/>
      <c r="K3007" s="83" t="n"/>
      <c r="L3007" s="83" t="n"/>
      <c r="M3007" s="83" t="n"/>
      <c r="O3007" s="84" t="str">
        <f>IF($C3007="","",IFERROR(MATCH($B3007&amp;"|"&amp;$C3007,MUROS!$AX$11:$AX$70,0),0))</f>
        <v/>
      </c>
      <c r="P3007" s="84" t="str">
        <f>IF($D3007="","",IF(ISNUMBER(MATCH($D3007,CMB_S,0)),1,IF(ISNUMBER(MATCH($D3007,CMB_G,0)),2,0)))</f>
        <v/>
      </c>
      <c r="Q3007" s="84">
        <f>IF(ISNUMBER($H3007),-$H3007,0)</f>
        <v>0</v>
      </c>
      <c r="R3007" s="84">
        <f>IF(ISNUMBER($I3007),ABS($I3007),0)</f>
        <v>0</v>
      </c>
      <c r="S3007" s="84">
        <f>IF(ISNUMBER($M3007),ABS($M3007),0)</f>
        <v>0</v>
      </c>
      <c r="T3007" s="85" t="n">
        <v>2999</v>
      </c>
    </row>
    <row r="3008">
      <c r="B3008" s="83" t="n"/>
      <c r="C3008" s="83" t="n"/>
      <c r="D3008" s="83" t="n"/>
      <c r="E3008" s="83" t="n"/>
      <c r="F3008" s="83" t="n"/>
      <c r="G3008" s="83" t="n"/>
      <c r="H3008" s="83" t="n"/>
      <c r="I3008" s="83" t="n"/>
      <c r="J3008" s="83" t="n"/>
      <c r="K3008" s="83" t="n"/>
      <c r="L3008" s="83" t="n"/>
      <c r="M3008" s="83" t="n"/>
      <c r="O3008" s="84" t="str">
        <f>IF($C3008="","",IFERROR(MATCH($B3008&amp;"|"&amp;$C3008,MUROS!$AX$11:$AX$70,0),0))</f>
        <v/>
      </c>
      <c r="P3008" s="84" t="str">
        <f>IF($D3008="","",IF(ISNUMBER(MATCH($D3008,CMB_S,0)),1,IF(ISNUMBER(MATCH($D3008,CMB_G,0)),2,0)))</f>
        <v/>
      </c>
      <c r="Q3008" s="84">
        <f>IF(ISNUMBER($H3008),-$H3008,0)</f>
        <v>0</v>
      </c>
      <c r="R3008" s="84">
        <f>IF(ISNUMBER($I3008),ABS($I3008),0)</f>
        <v>0</v>
      </c>
      <c r="S3008" s="84">
        <f>IF(ISNUMBER($M3008),ABS($M3008),0)</f>
        <v>0</v>
      </c>
      <c r="T3008" s="85" t="n">
        <v>3000</v>
      </c>
    </row>
  </sheetData>
  <mergeCells count="4">
    <mergeCell ref="B1:T1"/>
    <mergeCell ref="B5:M5"/>
    <mergeCell ref="O5:T5"/>
    <mergeCell ref="B2:T3"/>
  </mergeCells>
  <printOptions horizontalCentered="1"/>
  <pageMargins left="0.4" right="0.4" top="0.5" bottom="0.5" header="0.5" footer="0.5"/>
  <pageSetup orientation="landscape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E41"/>
  <sheetViews>
    <sheetView showGridLines="0" workbookViewId="0">
      <selection activeCell="A1" sqref="A1"/>
    </sheetView>
  </sheetViews>
  <sheetFormatPr baseColWidth="8" defaultRowHeight="15"/>
  <cols>
    <col width="1.78" customWidth="1" min="1" max="1"/>
    <col width="30" customWidth="1" min="2" max="2"/>
    <col width="34" customWidth="1" min="3" max="3"/>
    <col width="70" customWidth="1" min="4" max="4"/>
    <col width="12" customWidth="1" min="5" max="5"/>
  </cols>
  <sheetData>
    <row r="1" ht="26" customHeight="1">
      <c r="B1" s="1" t="inlineStr">
        <is>
          <t>REFERENCIAS — QUÉ NORMA, QUÉ INCISO Y QUÉ PÁGINA CHECAR</t>
        </is>
      </c>
    </row>
    <row r="2" ht="18" customHeight="1">
      <c r="B2" s="4" t="inlineStr">
        <is>
          <t>Páginas impresas de las Normas Técnicas Complementarias 2023 de la CDMX (Gaceta Oficial). Se cita el inciso, que no cambia entre tirajes.</t>
        </is>
      </c>
    </row>
    <row r="3" ht="21" customHeight="1">
      <c r="B3" s="2" t="inlineStr">
        <is>
          <t>NTC-Mampostería 2023</t>
        </is>
      </c>
    </row>
    <row r="4">
      <c r="B4" s="5" t="inlineStr">
        <is>
          <t>Norma</t>
        </is>
      </c>
      <c r="C4" s="5" t="inlineStr">
        <is>
          <t>Inciso</t>
        </is>
      </c>
      <c r="D4" s="5" t="inlineStr">
        <is>
          <t>Qué se usa</t>
        </is>
      </c>
      <c r="E4" s="5" t="inlineStr">
        <is>
          <t>Página impresa</t>
        </is>
      </c>
    </row>
    <row r="5">
      <c r="B5" s="86" t="inlineStr">
        <is>
          <t>NTC-Mampostería 2023</t>
        </is>
      </c>
      <c r="C5" s="42" t="inlineStr">
        <is>
          <t>1.6.1 y 1.6.2</t>
        </is>
      </c>
      <c r="D5" s="45" t="inlineStr">
        <is>
          <t>Clasificación Tipo I / Tipo II</t>
        </is>
      </c>
      <c r="E5" s="43" t="n">
        <v>15</v>
      </c>
    </row>
    <row r="6">
      <c r="B6" s="86" t="inlineStr">
        <is>
          <t>NTC-Mampostería 2023</t>
        </is>
      </c>
      <c r="C6" s="42" t="inlineStr">
        <is>
          <t>2.1.2</t>
        </is>
      </c>
      <c r="D6" s="45" t="inlineStr">
        <is>
          <t>Resistencia de las piezas f'p (ensayes)</t>
        </is>
      </c>
      <c r="E6" s="43" t="n">
        <v>18</v>
      </c>
    </row>
    <row r="7">
      <c r="B7" s="86" t="inlineStr">
        <is>
          <t>NTC-Mampostería 2023</t>
        </is>
      </c>
      <c r="C7" s="42" t="inlineStr">
        <is>
          <t>2.8.1.3</t>
        </is>
      </c>
      <c r="D7" s="45" t="inlineStr">
        <is>
          <t>f'm de ensayes de pilas, ec. 2.8.1.3.7</t>
        </is>
      </c>
      <c r="E7" s="43" t="n">
        <v>23</v>
      </c>
    </row>
    <row r="8">
      <c r="B8" s="86" t="inlineStr">
        <is>
          <t>NTC-Mampostería 2023</t>
        </is>
      </c>
      <c r="C8" s="42" t="inlineStr">
        <is>
          <t>2.8.1.4 (tablas 2.8.1.4.1 y 2.8.1.4.2)</t>
        </is>
      </c>
      <c r="D8" s="45" t="inlineStr">
        <is>
          <t>f'm a partir de f'p y el mortero</t>
        </is>
      </c>
      <c r="E8" s="43" t="n">
        <v>24</v>
      </c>
    </row>
    <row r="9">
      <c r="B9" s="86" t="inlineStr">
        <is>
          <t>NTC-Mampostería 2023</t>
        </is>
      </c>
      <c r="C9" s="42" t="inlineStr">
        <is>
          <t>2.8.1.4.3</t>
        </is>
      </c>
      <c r="D9" s="45" t="inlineStr">
        <is>
          <t>Condiciones para usar las tablas de f'm</t>
        </is>
      </c>
      <c r="E9" s="43" t="n">
        <v>25</v>
      </c>
    </row>
    <row r="10">
      <c r="B10" s="86" t="inlineStr">
        <is>
          <t>NTC-Mampostería 2023</t>
        </is>
      </c>
      <c r="C10" s="42" t="inlineStr">
        <is>
          <t>2.8.2.1 y 2.8.2.4</t>
        </is>
      </c>
      <c r="D10" s="45" t="inlineStr">
        <is>
          <t>v'm: 9 muretes, ec. 2.8.2.4.6</t>
        </is>
      </c>
      <c r="E10" s="43" t="n">
        <v>25</v>
      </c>
    </row>
    <row r="11">
      <c r="B11" s="86" t="inlineStr">
        <is>
          <t>NTC-Mampostería 2023</t>
        </is>
      </c>
      <c r="C11" s="42" t="inlineStr">
        <is>
          <t>2.8.5.4</t>
        </is>
      </c>
      <c r="D11" s="45" t="inlineStr">
        <is>
          <t>Módulo de elasticidad E_m</t>
        </is>
      </c>
      <c r="E11" s="43" t="n">
        <v>27</v>
      </c>
    </row>
    <row r="12">
      <c r="B12" s="86" t="inlineStr">
        <is>
          <t>NTC-Mampostería 2023</t>
        </is>
      </c>
      <c r="C12" s="42" t="inlineStr">
        <is>
          <t>3.1.2.3.1</t>
        </is>
      </c>
      <c r="D12" s="45" t="inlineStr">
        <is>
          <t>Factor F_E por excentricidad y esbeltez</t>
        </is>
      </c>
      <c r="E12" s="43" t="n">
        <v>32</v>
      </c>
    </row>
    <row r="13">
      <c r="B13" s="86" t="inlineStr">
        <is>
          <t>NTC-Mampostería 2023</t>
        </is>
      </c>
      <c r="C13" s="42" t="inlineStr">
        <is>
          <t>4.1.6</t>
        </is>
      </c>
      <c r="D13" s="45" t="inlineStr">
        <is>
          <t>Factores de resistencia</t>
        </is>
      </c>
      <c r="E13" s="43" t="n">
        <v>39</v>
      </c>
    </row>
    <row r="14">
      <c r="B14" s="86" t="inlineStr">
        <is>
          <t>NTC-Mampostería 2023</t>
        </is>
      </c>
      <c r="C14" s="42" t="inlineStr">
        <is>
          <t>4.1.10 a 4.1.12</t>
        </is>
      </c>
      <c r="D14" s="45" t="inlineStr">
        <is>
          <t>Cortante resistente de entrepiso, ec. 4.1.12.1</t>
        </is>
      </c>
      <c r="E14" s="43" t="n">
        <v>40</v>
      </c>
    </row>
    <row r="15">
      <c r="B15" s="86" t="inlineStr">
        <is>
          <t>NTC-Mampostería 2023</t>
        </is>
      </c>
      <c r="C15" s="42" t="inlineStr">
        <is>
          <t>4.1.18</t>
        </is>
      </c>
      <c r="D15" s="45" t="inlineStr">
        <is>
          <t>Muros sobre vigas: f_CM, flecha y peralte mínimo</t>
        </is>
      </c>
      <c r="E15" s="43" t="n">
        <v>44</v>
      </c>
    </row>
    <row r="16">
      <c r="B16" s="86" t="inlineStr">
        <is>
          <t>NTC-Mampostería 2023</t>
        </is>
      </c>
      <c r="C16" s="42" t="inlineStr">
        <is>
          <t>4.2.2.1.2</t>
        </is>
      </c>
      <c r="D16" s="45" t="inlineStr">
        <is>
          <t>Diámetro de varillas en castillos y dalas</t>
        </is>
      </c>
      <c r="E16" s="43" t="n">
        <v>47</v>
      </c>
    </row>
    <row r="17">
      <c r="B17" s="86" t="inlineStr">
        <is>
          <t>NTC-Mampostería 2023</t>
        </is>
      </c>
      <c r="C17" s="42" t="inlineStr">
        <is>
          <t>4.2.2.2.1</t>
        </is>
      </c>
      <c r="D17" s="45" t="inlineStr">
        <is>
          <t>Diámetro del refuerzo horizontal</t>
        </is>
      </c>
      <c r="E17" s="43" t="n">
        <v>47</v>
      </c>
    </row>
    <row r="18">
      <c r="B18" s="86" t="inlineStr">
        <is>
          <t>NTC-Mampostería 2023</t>
        </is>
      </c>
      <c r="C18" s="42" t="inlineStr">
        <is>
          <t>4.2.4.1.1</t>
        </is>
      </c>
      <c r="D18" s="45" t="inlineStr">
        <is>
          <t>Recubrimientos en castillos y dalas</t>
        </is>
      </c>
      <c r="E18" s="43" t="n">
        <v>49</v>
      </c>
    </row>
    <row r="19">
      <c r="B19" s="86" t="inlineStr">
        <is>
          <t>NTC-Mampostería 2023</t>
        </is>
      </c>
      <c r="C19" s="42" t="inlineStr">
        <is>
          <t>6.1.3</t>
        </is>
      </c>
      <c r="D19" s="45" t="inlineStr">
        <is>
          <t>Espesor mínimo y H/t ≤ 25</t>
        </is>
      </c>
      <c r="E19" s="43" t="n">
        <v>60</v>
      </c>
    </row>
    <row r="20">
      <c r="B20" s="86" t="inlineStr">
        <is>
          <t>NTC-Mampostería 2023</t>
        </is>
      </c>
      <c r="C20" s="42" t="inlineStr">
        <is>
          <t>6.2.1.1 y 6.2.1.2</t>
        </is>
      </c>
      <c r="D20" s="45" t="inlineStr">
        <is>
          <t>Castillos y dalas: dónde van y dimensiones</t>
        </is>
      </c>
      <c r="E20" s="43" t="n">
        <v>60</v>
      </c>
    </row>
    <row r="21">
      <c r="B21" s="86" t="inlineStr">
        <is>
          <t>NTC-Mampostería 2023</t>
        </is>
      </c>
      <c r="C21" s="42" t="inlineStr">
        <is>
          <t>6.2.1.3.1</t>
        </is>
      </c>
      <c r="D21" s="45" t="inlineStr">
        <is>
          <t>f'c de castillos y dalas</t>
        </is>
      </c>
      <c r="E21" s="43" t="n">
        <v>61</v>
      </c>
    </row>
    <row r="22">
      <c r="B22" s="86" t="inlineStr">
        <is>
          <t>NTC-Mampostería 2023</t>
        </is>
      </c>
      <c r="C22" s="42" t="inlineStr">
        <is>
          <t>6.2.2.2 y 6.2.2.3</t>
        </is>
      </c>
      <c r="D22" s="45" t="inlineStr">
        <is>
          <t>A_s mínima y estribos</t>
        </is>
      </c>
      <c r="E22" s="43" t="n">
        <v>62</v>
      </c>
    </row>
    <row r="23">
      <c r="B23" s="86" t="inlineStr">
        <is>
          <t>NTC-Mampostería 2023</t>
        </is>
      </c>
      <c r="C23" s="42" t="inlineStr">
        <is>
          <t>6.2.3.2</t>
        </is>
      </c>
      <c r="D23" s="45" t="inlineStr">
        <is>
          <t>Estribos a h_c/2 en H₀</t>
        </is>
      </c>
      <c r="E23" s="43" t="n">
        <v>62</v>
      </c>
    </row>
    <row r="24">
      <c r="B24" s="86" t="inlineStr">
        <is>
          <t>NTC-Mampostería 2023</t>
        </is>
      </c>
      <c r="C24" s="42" t="inlineStr">
        <is>
          <t>6.2.5</t>
        </is>
      </c>
      <c r="D24" s="45" t="inlineStr">
        <is>
          <t>Muros con aberturas</t>
        </is>
      </c>
      <c r="E24" s="43" t="n">
        <v>64</v>
      </c>
    </row>
    <row r="25">
      <c r="B25" s="86" t="inlineStr">
        <is>
          <t>NTC-Mampostería 2023</t>
        </is>
      </c>
      <c r="C25" s="42" t="inlineStr">
        <is>
          <t>6.4.1.1</t>
        </is>
      </c>
      <c r="D25" s="45" t="inlineStr">
        <is>
          <t>Compresión P_R</t>
        </is>
      </c>
      <c r="E25" s="43" t="n">
        <v>65</v>
      </c>
    </row>
    <row r="26">
      <c r="B26" s="86" t="inlineStr">
        <is>
          <t>NTC-Mampostería 2023</t>
        </is>
      </c>
      <c r="C26" s="42" t="inlineStr">
        <is>
          <t>6.4.2.2</t>
        </is>
      </c>
      <c r="D26" s="45" t="inlineStr">
        <is>
          <t>Flexocompresión, método optativo</t>
        </is>
      </c>
      <c r="E26" s="43" t="n">
        <v>66</v>
      </c>
    </row>
    <row r="27">
      <c r="B27" s="86" t="inlineStr">
        <is>
          <t>NTC-Mampostería 2023</t>
        </is>
      </c>
      <c r="C27" s="42" t="inlineStr">
        <is>
          <t>6.5.1.3</t>
        </is>
      </c>
      <c r="D27" s="45" t="inlineStr">
        <is>
          <t>P en tensión: el refuerzo toma todo el cortante</t>
        </is>
      </c>
      <c r="E27" s="43" t="n">
        <v>67</v>
      </c>
    </row>
    <row r="28">
      <c r="B28" s="86" t="inlineStr">
        <is>
          <t>NTC-Mampostería 2023</t>
        </is>
      </c>
      <c r="C28" s="42" t="inlineStr">
        <is>
          <t>6.5.2.1 a 6.5.2.4</t>
        </is>
      </c>
      <c r="D28" s="45" t="inlineStr">
        <is>
          <t>V_mR y factor f</t>
        </is>
      </c>
      <c r="E28" s="43" t="n">
        <v>67</v>
      </c>
    </row>
    <row r="29">
      <c r="B29" s="86" t="inlineStr">
        <is>
          <t>NTC-Mampostería 2023</t>
        </is>
      </c>
      <c r="C29" s="42" t="inlineStr">
        <is>
          <t>6.5.3</t>
        </is>
      </c>
      <c r="D29" s="45" t="inlineStr">
        <is>
          <t>Refuerzo horizontal en juntas</t>
        </is>
      </c>
      <c r="E29" s="43" t="n">
        <v>69</v>
      </c>
    </row>
    <row r="30">
      <c r="B30" s="86" t="inlineStr">
        <is>
          <t>NTC-Mampostería 2023</t>
        </is>
      </c>
      <c r="C30" s="42" t="inlineStr">
        <is>
          <t>6.5.3.4.1</t>
        </is>
      </c>
      <c r="D30" s="45" t="inlineStr">
        <is>
          <t>V_sR y eficiencia η</t>
        </is>
      </c>
      <c r="E30" s="43" t="n">
        <v>70</v>
      </c>
    </row>
    <row r="31">
      <c r="B31" s="86" t="inlineStr">
        <is>
          <t>NTC-Mampostería 2023</t>
        </is>
      </c>
      <c r="C31" s="42" t="inlineStr">
        <is>
          <t>6.5.4</t>
        </is>
      </c>
      <c r="D31" s="45" t="inlineStr">
        <is>
          <t>Malla de alambre soldado</t>
        </is>
      </c>
      <c r="E31" s="43" t="n">
        <v>71</v>
      </c>
    </row>
    <row r="32">
      <c r="B32" s="86" t="inlineStr">
        <is>
          <t>NTC-Mampostería 2023</t>
        </is>
      </c>
      <c r="C32" s="42" t="inlineStr">
        <is>
          <t>12.2.3</t>
        </is>
      </c>
      <c r="D32" s="45" t="inlineStr">
        <is>
          <t>f'm y v'm de estructuras Tipo II</t>
        </is>
      </c>
      <c r="E32" s="43" t="n">
        <v>105</v>
      </c>
    </row>
    <row r="33" ht="6" customHeight="1"/>
    <row r="34" ht="21" customHeight="1">
      <c r="B34" s="2" t="inlineStr">
        <is>
          <t>NTC-Sismo 2023</t>
        </is>
      </c>
    </row>
    <row r="35">
      <c r="B35" s="5" t="inlineStr">
        <is>
          <t>Norma</t>
        </is>
      </c>
      <c r="C35" s="5" t="inlineStr">
        <is>
          <t>Inciso</t>
        </is>
      </c>
      <c r="D35" s="5" t="inlineStr">
        <is>
          <t>Qué se usa</t>
        </is>
      </c>
      <c r="E35" s="5" t="inlineStr">
        <is>
          <t>Página impresa</t>
        </is>
      </c>
    </row>
    <row r="36">
      <c r="B36" s="86" t="inlineStr">
        <is>
          <t>NTC-Sismo 2023</t>
        </is>
      </c>
      <c r="C36" s="42" t="inlineStr">
        <is>
          <t>1.7</t>
        </is>
      </c>
      <c r="D36" s="45" t="inlineStr">
        <is>
          <t>Revisión de desplazamientos laterales (seguridad de vida, ocupación inmediata, daño)</t>
        </is>
      </c>
      <c r="E36" s="43" t="n">
        <v>29</v>
      </c>
    </row>
    <row r="37">
      <c r="B37" s="86" t="inlineStr">
        <is>
          <t>NTC-Sismo 2023</t>
        </is>
      </c>
      <c r="C37" s="42" t="inlineStr">
        <is>
          <t>4.3.3 (Tabla 4.3.3)</t>
        </is>
      </c>
      <c r="D37" s="45" t="inlineStr">
        <is>
          <t>Q, γ_SV y γ_OI de mampostería</t>
        </is>
      </c>
      <c r="E37" s="43" t="n">
        <v>60</v>
      </c>
    </row>
    <row r="38" ht="6" customHeight="1"/>
    <row r="39" ht="21" customHeight="1">
      <c r="B39" s="2" t="inlineStr">
        <is>
          <t>NTC-Criterios y Acciones 2023</t>
        </is>
      </c>
    </row>
    <row r="40">
      <c r="B40" s="5" t="inlineStr">
        <is>
          <t>Norma</t>
        </is>
      </c>
      <c r="C40" s="5" t="inlineStr">
        <is>
          <t>Inciso</t>
        </is>
      </c>
      <c r="D40" s="5" t="inlineStr">
        <is>
          <t>Qué se usa</t>
        </is>
      </c>
      <c r="E40" s="5" t="inlineStr">
        <is>
          <t>Página impresa</t>
        </is>
      </c>
    </row>
    <row r="41">
      <c r="B41" s="86" t="inlineStr">
        <is>
          <t>NTC-Criterios y Acciones 2023</t>
        </is>
      </c>
      <c r="C41" s="42" t="inlineStr">
        <is>
          <t>3.4.1</t>
        </is>
      </c>
      <c r="D41" s="45" t="inlineStr">
        <is>
          <t>Factores de carga</t>
        </is>
      </c>
      <c r="E41" s="43" t="n">
        <v>7</v>
      </c>
    </row>
    <row r="42" ht="6" customHeight="1"/>
  </sheetData>
  <mergeCells count="5">
    <mergeCell ref="B1:E1"/>
    <mergeCell ref="B39:E39"/>
    <mergeCell ref="B3:E3"/>
    <mergeCell ref="B2:E2"/>
    <mergeCell ref="B34:E34"/>
  </mergeCell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G73"/>
  <sheetViews>
    <sheetView showGridLines="0" zoomScale="90" workbookViewId="0">
      <selection activeCell="A1" sqref="A1"/>
    </sheetView>
  </sheetViews>
  <sheetFormatPr baseColWidth="8" defaultRowHeight="15"/>
  <cols>
    <col width="1.7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 ht="26" customHeight="1">
      <c r="B1" s="1" t="inlineStr">
        <is>
          <t>TABLAS — VARILLAS, MALLAS, RESISTENCIAS DE LA NTC Y LISTAS</t>
        </is>
      </c>
    </row>
    <row r="2" ht="18" customHeight="1">
      <c r="B2" s="4" t="inlineStr">
        <is>
          <t>Todas las hojas leen de aquí con INDEX/MATCH. Los valores son los de la NTC-Mampostería 2023 y la NTC-Sismo 2023 (CDMX); no se tocan.</t>
        </is>
      </c>
    </row>
    <row r="3" ht="21" customHeight="1">
      <c r="B3" s="2" t="inlineStr">
        <is>
          <t>A. VARILLAS Y ALAMBRES</t>
        </is>
      </c>
    </row>
    <row r="4" ht="30" customHeight="1">
      <c r="B4" s="25" t="inlineStr">
        <is>
          <t>Varilla corrugada NMX-C-407-ONNCCE y alambre corrugado laminado en frío. Las varillas se escogen por su número (2, 2.5, 3, 4 …); los alambres por su nombre.</t>
        </is>
      </c>
      <c r="C4" s="26" t="n"/>
      <c r="D4" s="26" t="n"/>
      <c r="E4" s="26" t="n"/>
      <c r="F4" s="26" t="n"/>
      <c r="G4" s="26" t="n"/>
    </row>
    <row r="5" ht="30" customHeight="1">
      <c r="B5" s="5" t="inlineStr">
        <is>
          <t>Designación</t>
        </is>
      </c>
      <c r="C5" s="5" t="inlineStr">
        <is>
          <t>d_b (cm)</t>
        </is>
      </c>
      <c r="D5" s="5" t="inlineStr">
        <is>
          <t>Área (cm²)</t>
        </is>
      </c>
      <c r="E5" s="5" t="inlineStr">
        <is>
          <t>kg/m</t>
        </is>
      </c>
      <c r="F5" s="5" t="inlineStr"/>
      <c r="G5" s="5" t="inlineStr">
        <is>
          <t>Uso</t>
        </is>
      </c>
    </row>
    <row r="6" ht="28" customHeight="1">
      <c r="B6" s="87" t="n">
        <v>2</v>
      </c>
      <c r="C6" s="88" t="n">
        <v>0.635</v>
      </c>
      <c r="D6" s="88" t="n">
        <v>0.32</v>
      </c>
      <c r="E6" s="88" t="n">
        <v>0.249</v>
      </c>
      <c r="F6" s="89" t="inlineStr"/>
      <c r="G6" s="90" t="inlineStr">
        <is>
          <t>Alambrón No. 2 (1/4"): estribos de castillos y dalas; también sirve en juntas (6.4 mm ≤ 0.75·h_j sólo con juntas ≥ 9 mm)</t>
        </is>
      </c>
    </row>
    <row r="7" ht="16" customHeight="1">
      <c r="B7" s="87" t="n">
        <v>2.5</v>
      </c>
      <c r="C7" s="88" t="n">
        <v>0.794</v>
      </c>
      <c r="D7" s="88" t="n">
        <v>0.49</v>
      </c>
      <c r="E7" s="88" t="n">
        <v>0.388</v>
      </c>
      <c r="F7" s="89" t="inlineStr"/>
      <c r="G7" s="90" t="inlineStr">
        <is>
          <t>No. 2.5 (5/16"): estribos</t>
        </is>
      </c>
    </row>
    <row r="8" ht="16" customHeight="1">
      <c r="B8" s="87" t="n">
        <v>3</v>
      </c>
      <c r="C8" s="88" t="n">
        <v>0.953</v>
      </c>
      <c r="D8" s="88" t="n">
        <v>0.71</v>
      </c>
      <c r="E8" s="88" t="n">
        <v>0.5600000000000001</v>
      </c>
      <c r="F8" s="89" t="inlineStr"/>
      <c r="G8" s="90" t="inlineStr">
        <is>
          <t>No. 3 (3/8"): castillos y dalas</t>
        </is>
      </c>
    </row>
    <row r="9" ht="16" customHeight="1">
      <c r="B9" s="87" t="n">
        <v>4</v>
      </c>
      <c r="C9" s="88" t="n">
        <v>1.27</v>
      </c>
      <c r="D9" s="88" t="n">
        <v>1.27</v>
      </c>
      <c r="E9" s="88" t="n">
        <v>0.994</v>
      </c>
      <c r="F9" s="89" t="inlineStr"/>
      <c r="G9" s="89" t="inlineStr">
        <is>
          <t>No. 4 (1/2")</t>
        </is>
      </c>
    </row>
    <row r="10" ht="16" customHeight="1">
      <c r="B10" s="87" t="n">
        <v>5</v>
      </c>
      <c r="C10" s="88" t="n">
        <v>1.588</v>
      </c>
      <c r="D10" s="88" t="n">
        <v>1.99</v>
      </c>
      <c r="E10" s="88" t="n">
        <v>1.552</v>
      </c>
      <c r="F10" s="89" t="inlineStr"/>
      <c r="G10" s="89" t="inlineStr">
        <is>
          <t>No. 5 (5/8")</t>
        </is>
      </c>
    </row>
    <row r="11" ht="16" customHeight="1">
      <c r="B11" s="87" t="n">
        <v>6</v>
      </c>
      <c r="C11" s="88" t="n">
        <v>1.905</v>
      </c>
      <c r="D11" s="88" t="n">
        <v>2.87</v>
      </c>
      <c r="E11" s="88" t="n">
        <v>2.235</v>
      </c>
      <c r="F11" s="89" t="inlineStr"/>
      <c r="G11" s="89" t="inlineStr">
        <is>
          <t>No. 6 (3/4")</t>
        </is>
      </c>
    </row>
    <row r="12" ht="16" customHeight="1">
      <c r="B12" s="87" t="n">
        <v>8</v>
      </c>
      <c r="C12" s="88" t="n">
        <v>2.54</v>
      </c>
      <c r="D12" s="88" t="n">
        <v>5.07</v>
      </c>
      <c r="E12" s="88" t="n">
        <v>3.973</v>
      </c>
      <c r="F12" s="89" t="inlineStr"/>
      <c r="G12" s="89" t="inlineStr">
        <is>
          <t>No. 8 (1")</t>
        </is>
      </c>
    </row>
    <row r="13" ht="28" customHeight="1">
      <c r="B13" s="87" t="inlineStr">
        <is>
          <t>5/32 in</t>
        </is>
      </c>
      <c r="C13" s="88" t="n">
        <v>0.397</v>
      </c>
      <c r="D13" s="88" t="n">
        <v>0.124</v>
      </c>
      <c r="E13" s="88" t="n">
        <v>0.097</v>
      </c>
      <c r="F13" s="89" t="inlineStr"/>
      <c r="G13" s="90" t="inlineStr">
        <is>
          <t>Alambre corrugado laminado en frío de 5/32" (4.0 mm), para juntas</t>
        </is>
      </c>
    </row>
    <row r="14" ht="28" customHeight="1">
      <c r="B14" s="87" t="inlineStr">
        <is>
          <t>3/16 in</t>
        </is>
      </c>
      <c r="C14" s="88" t="n">
        <v>0.476</v>
      </c>
      <c r="D14" s="88" t="n">
        <v>0.178</v>
      </c>
      <c r="E14" s="88" t="n">
        <v>0.14</v>
      </c>
      <c r="F14" s="89" t="inlineStr"/>
      <c r="G14" s="90" t="inlineStr">
        <is>
          <t>Alambre corrugado laminado en frío de 3/16" (4.8 mm), para juntas</t>
        </is>
      </c>
    </row>
    <row r="15" ht="6" customHeight="1"/>
    <row r="16" ht="21" customHeight="1">
      <c r="B16" s="2" t="inlineStr">
        <is>
          <t>B. MALLAS ELECTROSOLDADAS (refuerzo horizontal con mortero, 6.5.4)</t>
        </is>
      </c>
    </row>
    <row r="17" ht="30" customHeight="1">
      <c r="B17" s="25" t="inlineStr">
        <is>
          <t>A_s horizontal por metro de altura de una cara (alambres @ 15.24 cm). Malla en las dos caras = 2 «caras» en MUROS.</t>
        </is>
      </c>
      <c r="C17" s="26" t="n"/>
      <c r="D17" s="26" t="n"/>
      <c r="E17" s="26" t="n"/>
      <c r="F17" s="26" t="n"/>
      <c r="G17" s="26" t="n"/>
    </row>
    <row r="18" ht="30" customHeight="1">
      <c r="B18" s="5" t="inlineStr">
        <is>
          <t>Designación</t>
        </is>
      </c>
      <c r="C18" s="5" t="inlineStr">
        <is>
          <t>Ø alambre (mm)</t>
        </is>
      </c>
      <c r="D18" s="5" t="inlineStr">
        <is>
          <t>A_s horizontal (cm²/m)</t>
        </is>
      </c>
      <c r="E18" s="5" t="inlineStr">
        <is>
          <t>kg/m²</t>
        </is>
      </c>
    </row>
    <row r="19" ht="16" customHeight="1">
      <c r="B19" s="89" t="inlineStr">
        <is>
          <t>6x6-10/10</t>
        </is>
      </c>
      <c r="C19" s="91" t="n">
        <v>3.43</v>
      </c>
      <c r="D19" s="91" t="n">
        <v>0.61</v>
      </c>
      <c r="E19" s="91" t="n">
        <v>0.95</v>
      </c>
    </row>
    <row r="20" ht="16" customHeight="1">
      <c r="B20" s="89" t="inlineStr">
        <is>
          <t>6x6-8/8</t>
        </is>
      </c>
      <c r="C20" s="91" t="n">
        <v>4.11</v>
      </c>
      <c r="D20" s="91" t="n">
        <v>0.87</v>
      </c>
      <c r="E20" s="91" t="n">
        <v>1.37</v>
      </c>
    </row>
    <row r="21" ht="16" customHeight="1">
      <c r="B21" s="89" t="inlineStr">
        <is>
          <t>6x6-6/6</t>
        </is>
      </c>
      <c r="C21" s="91" t="n">
        <v>4.88</v>
      </c>
      <c r="D21" s="91" t="n">
        <v>1.23</v>
      </c>
      <c r="E21" s="91" t="n">
        <v>1.93</v>
      </c>
    </row>
    <row r="22" ht="16" customHeight="1">
      <c r="B22" s="89" t="inlineStr">
        <is>
          <t>6x6-4/4</t>
        </is>
      </c>
      <c r="C22" s="91" t="n">
        <v>5.72</v>
      </c>
      <c r="D22" s="91" t="n">
        <v>1.69</v>
      </c>
      <c r="E22" s="91" t="n">
        <v>2.65</v>
      </c>
    </row>
    <row r="23" ht="6" customHeight="1"/>
    <row r="24" ht="21" customHeight="1">
      <c r="B24" s="2" t="inlineStr">
        <is>
          <t>C. f'm DE PIEZAS DE CONCRETO — TABLA 2.8.1.4.1 (NTC-M p. 24)</t>
        </is>
      </c>
    </row>
    <row r="25" ht="30" customHeight="1">
      <c r="B25" s="25" t="inlineStr">
        <is>
          <t>f'm sobre área bruta en kg/cm² según f'p de la pieza; valores intermedios se interpolan. f'p de 60 y 75 sólo para piezas huecas.</t>
        </is>
      </c>
      <c r="C25" s="26" t="n"/>
      <c r="D25" s="26" t="n"/>
      <c r="E25" s="26" t="n"/>
      <c r="F25" s="26" t="n"/>
      <c r="G25" s="26" t="n"/>
    </row>
    <row r="26" ht="30" customHeight="1">
      <c r="B26" s="5" t="inlineStr">
        <is>
          <t>f'p (kg/cm²)</t>
        </is>
      </c>
      <c r="C26" s="5" t="inlineStr">
        <is>
          <t>Mortero I</t>
        </is>
      </c>
      <c r="D26" s="5" t="inlineStr">
        <is>
          <t>Mortero II</t>
        </is>
      </c>
    </row>
    <row r="27" ht="16" customHeight="1">
      <c r="B27" s="92" t="n">
        <v>60</v>
      </c>
      <c r="C27" s="92" t="n">
        <v>25</v>
      </c>
      <c r="D27" s="92" t="n">
        <v>20</v>
      </c>
    </row>
    <row r="28" ht="16" customHeight="1">
      <c r="B28" s="92" t="n">
        <v>75</v>
      </c>
      <c r="C28" s="92" t="n">
        <v>40</v>
      </c>
      <c r="D28" s="92" t="n">
        <v>35</v>
      </c>
    </row>
    <row r="29" ht="16" customHeight="1">
      <c r="B29" s="92" t="n">
        <v>100</v>
      </c>
      <c r="C29" s="92" t="n">
        <v>50</v>
      </c>
      <c r="D29" s="92" t="n">
        <v>45</v>
      </c>
    </row>
    <row r="30" ht="16" customHeight="1">
      <c r="B30" s="92" t="n">
        <v>150</v>
      </c>
      <c r="C30" s="92" t="n">
        <v>75</v>
      </c>
      <c r="D30" s="92" t="n">
        <v>60</v>
      </c>
    </row>
    <row r="31" ht="16" customHeight="1">
      <c r="B31" s="92" t="n">
        <v>200</v>
      </c>
      <c r="C31" s="92" t="n">
        <v>100</v>
      </c>
      <c r="D31" s="92" t="n">
        <v>90</v>
      </c>
    </row>
    <row r="32" ht="6" customHeight="1"/>
    <row r="33" ht="21" customHeight="1">
      <c r="B33" s="2" t="inlineStr">
        <is>
          <t>D. f'm DE PIEZAS DE ARCILLA — TABLA 2.8.1.4.2 (NTC-M p. 25)</t>
        </is>
      </c>
    </row>
    <row r="34" ht="30" customHeight="1">
      <c r="B34" s="5" t="inlineStr">
        <is>
          <t>f'p (kg/cm²)</t>
        </is>
      </c>
      <c r="C34" s="5" t="inlineStr">
        <is>
          <t>Mortero I</t>
        </is>
      </c>
      <c r="D34" s="5" t="inlineStr">
        <is>
          <t>Mortero II</t>
        </is>
      </c>
    </row>
    <row r="35" ht="16" customHeight="1">
      <c r="B35" s="92" t="n">
        <v>60</v>
      </c>
      <c r="C35" s="92" t="n">
        <v>20</v>
      </c>
      <c r="D35" s="92" t="n">
        <v>20</v>
      </c>
    </row>
    <row r="36" ht="16" customHeight="1">
      <c r="B36" s="92" t="n">
        <v>75</v>
      </c>
      <c r="C36" s="92" t="n">
        <v>30</v>
      </c>
      <c r="D36" s="92" t="n">
        <v>30</v>
      </c>
    </row>
    <row r="37" ht="16" customHeight="1">
      <c r="B37" s="92" t="n">
        <v>100</v>
      </c>
      <c r="C37" s="92" t="n">
        <v>40</v>
      </c>
      <c r="D37" s="92" t="n">
        <v>40</v>
      </c>
    </row>
    <row r="38" ht="16" customHeight="1">
      <c r="B38" s="92" t="n">
        <v>150</v>
      </c>
      <c r="C38" s="92" t="n">
        <v>60</v>
      </c>
      <c r="D38" s="92" t="n">
        <v>60</v>
      </c>
    </row>
    <row r="39" ht="16" customHeight="1">
      <c r="B39" s="92" t="n">
        <v>200</v>
      </c>
      <c r="C39" s="92" t="n">
        <v>80</v>
      </c>
      <c r="D39" s="92" t="n">
        <v>70</v>
      </c>
    </row>
    <row r="40" ht="16" customHeight="1">
      <c r="B40" s="92" t="n">
        <v>300</v>
      </c>
      <c r="C40" s="92" t="n">
        <v>120</v>
      </c>
      <c r="D40" s="92" t="n">
        <v>90</v>
      </c>
    </row>
    <row r="41" ht="6" customHeight="1"/>
    <row r="42" ht="21" customHeight="1">
      <c r="B42" s="2" t="inlineStr">
        <is>
          <t>E. PIEZAS — MATERIAL Y VALORES PARA ESTRUCTURAS TIPO II (TABLAS 12.2.3.1.2 Y 12.2.3.2.2, NTC-M p. 105)</t>
        </is>
      </c>
    </row>
    <row r="43" ht="30" customHeight="1">
      <c r="B43" s="25" t="inlineStr">
        <is>
          <t>Los valores de Tipo II sólo valen si la estructura es Tipo II (1.6.1) y se cumplen a) a c) de 2.8.1.4.3.</t>
        </is>
      </c>
      <c r="C43" s="26" t="n"/>
      <c r="D43" s="26" t="n"/>
      <c r="E43" s="26" t="n"/>
      <c r="F43" s="26" t="n"/>
      <c r="G43" s="26" t="n"/>
    </row>
    <row r="44" ht="30" customHeight="1">
      <c r="B44" s="5" t="inlineStr">
        <is>
          <t>Pieza</t>
        </is>
      </c>
      <c r="C44" s="5" t="inlineStr">
        <is>
          <t>Material</t>
        </is>
      </c>
      <c r="D44" s="5" t="inlineStr">
        <is>
          <t>¿Hueca?</t>
        </is>
      </c>
      <c r="E44" s="5" t="inlineStr">
        <is>
          <t>f'm Tipo II (kg/cm²)</t>
        </is>
      </c>
      <c r="F44" s="5" t="inlineStr">
        <is>
          <t>v'm Tipo II (kg/cm²)</t>
        </is>
      </c>
    </row>
    <row r="45" ht="16" customHeight="1">
      <c r="B45" s="90" t="inlineStr">
        <is>
          <t>BLOQUE DE CONCRETO HUECO</t>
        </is>
      </c>
      <c r="C45" s="89" t="inlineStr">
        <is>
          <t>CONCRETO</t>
        </is>
      </c>
      <c r="D45" s="89" t="inlineStr">
        <is>
          <t>SÍ</t>
        </is>
      </c>
      <c r="E45" s="93" t="n">
        <v>15</v>
      </c>
      <c r="F45" s="93" t="n">
        <v>2</v>
      </c>
    </row>
    <row r="46" ht="16" customHeight="1">
      <c r="B46" s="90" t="inlineStr">
        <is>
          <t>BLOQUE DE CONCRETO MACIZO</t>
        </is>
      </c>
      <c r="C46" s="89" t="inlineStr">
        <is>
          <t>CONCRETO</t>
        </is>
      </c>
      <c r="D46" s="89" t="inlineStr">
        <is>
          <t>NO</t>
        </is>
      </c>
      <c r="E46" s="93" t="n">
        <v>15</v>
      </c>
      <c r="F46" s="93" t="n">
        <v>2</v>
      </c>
    </row>
    <row r="47" ht="16" customHeight="1">
      <c r="B47" s="90" t="inlineStr">
        <is>
          <t>TABICÓN (TABIQUE DE CONCRETO)</t>
        </is>
      </c>
      <c r="C47" s="89" t="inlineStr">
        <is>
          <t>CONCRETO</t>
        </is>
      </c>
      <c r="D47" s="89" t="inlineStr">
        <is>
          <t>NO</t>
        </is>
      </c>
      <c r="E47" s="93" t="n">
        <v>15</v>
      </c>
      <c r="F47" s="93" t="n">
        <v>2</v>
      </c>
    </row>
    <row r="48" ht="16" customHeight="1">
      <c r="B48" s="90" t="inlineStr">
        <is>
          <t>TABIQUE DE ARCILLA MACIZO ARTESANAL</t>
        </is>
      </c>
      <c r="C48" s="89" t="inlineStr">
        <is>
          <t>ARCILLA</t>
        </is>
      </c>
      <c r="D48" s="89" t="inlineStr">
        <is>
          <t>NO</t>
        </is>
      </c>
      <c r="E48" s="93" t="n">
        <v>15</v>
      </c>
      <c r="F48" s="93" t="n">
        <v>2</v>
      </c>
    </row>
    <row r="49" ht="16" customHeight="1">
      <c r="B49" s="90" t="inlineStr">
        <is>
          <t>TABIQUE DE ARCILLA EXTRUIDO HUECO</t>
        </is>
      </c>
      <c r="C49" s="89" t="inlineStr">
        <is>
          <t>ARCILLA</t>
        </is>
      </c>
      <c r="D49" s="89" t="inlineStr">
        <is>
          <t>SÍ</t>
        </is>
      </c>
      <c r="E49" s="93" t="n">
        <v>20</v>
      </c>
      <c r="F49" s="93" t="n">
        <v>2</v>
      </c>
    </row>
    <row r="50" ht="6" customHeight="1"/>
    <row r="51" ht="21" customHeight="1">
      <c r="B51" s="2" t="inlineStr">
        <is>
          <t>F. FACTOR DE COMPORTAMIENTO Y DISTORSIONES LÍMITE — TABLA 4.3.3 DE LA NTC-SISMO (p. 60)</t>
        </is>
      </c>
    </row>
    <row r="52" ht="30" customHeight="1">
      <c r="B52" s="25" t="inlineStr">
        <is>
          <t>Para edificios de hasta 6 niveles. «Con refuerzo horizontal» sólo si TODOS los muros estructurales lo llevan [2]. Piezas huecas confinadas: no se permiten en el Grupo A [3].</t>
        </is>
      </c>
      <c r="C52" s="26" t="n"/>
      <c r="D52" s="26" t="n"/>
      <c r="E52" s="26" t="n"/>
      <c r="F52" s="26" t="n"/>
      <c r="G52" s="26" t="n"/>
    </row>
    <row r="53" ht="30" customHeight="1">
      <c r="B53" s="5" t="inlineStr">
        <is>
          <t>Estructuración</t>
        </is>
      </c>
      <c r="C53" s="5" t="inlineStr">
        <is>
          <t>Q</t>
        </is>
      </c>
      <c r="D53" s="5" t="inlineStr">
        <is>
          <t>γ_SV</t>
        </is>
      </c>
      <c r="E53" s="5" t="inlineStr">
        <is>
          <t>γ_OI</t>
        </is>
      </c>
    </row>
    <row r="54" ht="16" customHeight="1">
      <c r="B54" s="90" t="inlineStr">
        <is>
          <t>CONFINADA DE PIEZAS MACIZAS CON REFUERZO HORIZONTAL</t>
        </is>
      </c>
      <c r="C54" s="93" t="n">
        <v>2</v>
      </c>
      <c r="D54" s="88" t="n">
        <v>0.01</v>
      </c>
      <c r="E54" s="94" t="n">
        <v>0.0015</v>
      </c>
    </row>
    <row r="55" ht="16" customHeight="1">
      <c r="B55" s="90" t="inlineStr">
        <is>
          <t>CONFINADA DE PIEZAS MACIZAS</t>
        </is>
      </c>
      <c r="C55" s="93" t="n">
        <v>2</v>
      </c>
      <c r="D55" s="88" t="n">
        <v>0.005</v>
      </c>
      <c r="E55" s="94" t="n">
        <v>0.0015</v>
      </c>
    </row>
    <row r="56" ht="16" customHeight="1">
      <c r="B56" s="90" t="inlineStr">
        <is>
          <t>CONFINADA DE PIEZAS HUECAS CON REFUERZO HORIZONTAL</t>
        </is>
      </c>
      <c r="C56" s="93" t="n">
        <v>2</v>
      </c>
      <c r="D56" s="88" t="n">
        <v>0.008</v>
      </c>
      <c r="E56" s="94" t="n">
        <v>0.0015</v>
      </c>
    </row>
    <row r="57" ht="16" customHeight="1">
      <c r="B57" s="90" t="inlineStr">
        <is>
          <t>CONFINADA DE PIEZAS HUECAS</t>
        </is>
      </c>
      <c r="C57" s="93" t="n">
        <v>1.5</v>
      </c>
      <c r="D57" s="88" t="n">
        <v>0.004</v>
      </c>
      <c r="E57" s="94" t="n">
        <v>0.0015</v>
      </c>
    </row>
    <row r="58" ht="6" customHeight="1"/>
    <row r="59" ht="21" customHeight="1">
      <c r="B59" s="2" t="inlineStr">
        <is>
          <t>G. LISTAS DE LOS SELECTORES</t>
        </is>
      </c>
    </row>
    <row r="60">
      <c r="B60" s="5" t="inlineStr">
        <is>
          <t>LST_SINO</t>
        </is>
      </c>
      <c r="C60" s="5" t="inlineStr">
        <is>
          <t>LST_GRUPO</t>
        </is>
      </c>
      <c r="D60" s="5" t="inlineStr">
        <is>
          <t>LST_USO</t>
        </is>
      </c>
      <c r="E60" s="5" t="inlineStr">
        <is>
          <t>LST_MORT</t>
        </is>
      </c>
      <c r="F60" s="5" t="inlineStr">
        <is>
          <t>LST_FMSRC</t>
        </is>
      </c>
      <c r="G60" s="5" t="inlineStr">
        <is>
          <t>LST_VMSRC</t>
        </is>
      </c>
    </row>
    <row r="61">
      <c r="B61" s="95" t="inlineStr">
        <is>
          <t>SÍ</t>
        </is>
      </c>
      <c r="C61" s="95" t="inlineStr">
        <is>
          <t>A</t>
        </is>
      </c>
      <c r="D61" s="95" t="inlineStr">
        <is>
          <t>HABITACIÓN UNIFAMILIAR</t>
        </is>
      </c>
      <c r="E61" s="95" t="inlineStr">
        <is>
          <t>I</t>
        </is>
      </c>
      <c r="F61" s="95" t="inlineStr">
        <is>
          <t>TABLA (2.8.1.4)</t>
        </is>
      </c>
      <c r="G61" s="95" t="inlineStr">
        <is>
          <t>ENSAYES DE MURETES (2.8.2.4)</t>
        </is>
      </c>
    </row>
    <row r="62">
      <c r="B62" s="95" t="inlineStr">
        <is>
          <t>NO</t>
        </is>
      </c>
      <c r="C62" s="95" t="inlineStr">
        <is>
          <t>B</t>
        </is>
      </c>
      <c r="D62" s="95" t="inlineStr">
        <is>
          <t>HABITACIÓN PLURIFAMILIAR</t>
        </is>
      </c>
      <c r="E62" s="95" t="inlineStr">
        <is>
          <t>II</t>
        </is>
      </c>
      <c r="F62" s="95" t="inlineStr">
        <is>
          <t>ENSAYES DE PILAS (2.8.1.3)</t>
        </is>
      </c>
      <c r="G62" s="95" t="inlineStr">
        <is>
          <t>TIPO II (TABLA 12.2.3.2.2)</t>
        </is>
      </c>
    </row>
    <row r="63">
      <c r="D63" s="95" t="inlineStr">
        <is>
          <t>SERVICIOS</t>
        </is>
      </c>
      <c r="E63" s="95" t="inlineStr">
        <is>
          <t>III</t>
        </is>
      </c>
      <c r="F63" s="95" t="inlineStr">
        <is>
          <t>TIPO II (TABLA 12.2.3.1.2)</t>
        </is>
      </c>
      <c r="G63" s="95" t="inlineStr">
        <is>
          <t>PROVISIONAL (CAPTURA)</t>
        </is>
      </c>
    </row>
    <row r="64">
      <c r="D64" s="95" t="inlineStr">
        <is>
          <t>INDUSTRIA</t>
        </is>
      </c>
    </row>
    <row r="65">
      <c r="D65" s="95" t="inlineStr">
        <is>
          <t>INFRAESTRUCTURA</t>
        </is>
      </c>
    </row>
    <row r="66">
      <c r="D66" s="95" t="inlineStr">
        <is>
          <t>AGRÍCOLA, PECUARIO O FORESTAL</t>
        </is>
      </c>
    </row>
    <row r="67">
      <c r="D67" s="95" t="inlineStr">
        <is>
          <t>OTRO</t>
        </is>
      </c>
    </row>
    <row r="69">
      <c r="B69" s="5" t="inlineStr">
        <is>
          <t>LST_FSRC</t>
        </is>
      </c>
      <c r="C69" s="5" t="inlineStr">
        <is>
          <t>LST_DIR</t>
        </is>
      </c>
      <c r="D69" s="5" t="inlineStr">
        <is>
          <t>LST_POS</t>
        </is>
      </c>
      <c r="E69" s="5" t="inlineStr">
        <is>
          <t>LST_VANO</t>
        </is>
      </c>
      <c r="F69" s="5" t="inlineStr">
        <is>
          <t>LST_RH</t>
        </is>
      </c>
      <c r="G69" s="5" t="inlineStr">
        <is>
          <t>LST_CLASE</t>
        </is>
      </c>
    </row>
    <row r="70">
      <c r="B70" s="95" t="inlineStr">
        <is>
          <t>CAPTURA EN MUROS</t>
        </is>
      </c>
      <c r="C70" s="95" t="inlineStr">
        <is>
          <t>X</t>
        </is>
      </c>
      <c r="D70" s="95" t="inlineStr">
        <is>
          <t>EXTREMO</t>
        </is>
      </c>
      <c r="E70" s="95" t="inlineStr">
        <is>
          <t>PUERTA</t>
        </is>
      </c>
      <c r="F70" s="95" t="inlineStr">
        <is>
          <t>NINGUNO</t>
        </is>
      </c>
      <c r="G70" s="96" t="n">
        <v>1</v>
      </c>
    </row>
    <row r="71">
      <c r="B71" s="95" t="inlineStr">
        <is>
          <t>ETABS (PIER_FORCES)</t>
        </is>
      </c>
      <c r="C71" s="95" t="inlineStr">
        <is>
          <t>Y</t>
        </is>
      </c>
      <c r="D71" s="95" t="inlineStr">
        <is>
          <t>INTERIOR</t>
        </is>
      </c>
      <c r="E71" s="95" t="inlineStr">
        <is>
          <t>VENTANA</t>
        </is>
      </c>
      <c r="F71" s="95" t="inlineStr">
        <is>
          <t>VARILLA EN JUNTAS</t>
        </is>
      </c>
      <c r="G71" s="96" t="n">
        <v>2</v>
      </c>
    </row>
    <row r="72">
      <c r="F72" s="95" t="inlineStr">
        <is>
          <t>MALLA</t>
        </is>
      </c>
    </row>
    <row r="73">
      <c r="F73" s="95" t="inlineStr">
        <is>
          <t>ESCALERILLA</t>
        </is>
      </c>
    </row>
  </sheetData>
  <mergeCells count="14">
    <mergeCell ref="B3:G3"/>
    <mergeCell ref="B2:G2"/>
    <mergeCell ref="B16:G16"/>
    <mergeCell ref="B24:G24"/>
    <mergeCell ref="B51:G51"/>
    <mergeCell ref="B42:G42"/>
    <mergeCell ref="B59:G59"/>
    <mergeCell ref="B17:G17"/>
    <mergeCell ref="B1:G1"/>
    <mergeCell ref="B4:G4"/>
    <mergeCell ref="B43:G43"/>
    <mergeCell ref="B52:G52"/>
    <mergeCell ref="B33:G33"/>
    <mergeCell ref="B25:G25"/>
  </mergeCells>
  <printOptions horizontalCentered="1"/>
  <pageMargins left="0.4" right="0.4" top="0.5" bottom="0.5" header="0.5" footer="0.5"/>
  <pageSetup orientation="portrait" paperSize="1" fitToHeight="0" fitToWidth="1"/>
  <headerFooter>
    <oddHeader/>
    <oddFooter>&amp;C&amp;8 &amp;A — 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A1576"/>
  <sheetViews>
    <sheetView showGridLines="0"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97" t="inlineStr">
        <is>
          <t>COORDENADAS DE LOS DIBUJOS DE LA HOJA CROQUIS (las genera el libro; no se tocan)</t>
        </is>
      </c>
    </row>
    <row r="2">
      <c r="A2" s="98" t="inlineStr">
        <is>
          <t>Cada par de columnas es un trazo continuo; las filas que sobran repiten el último punto y un trazo que no aplica se manda a −1000 (fuera del dibujo). Columnas B a H: los castillos del muro (tramo, posición del centro y ancho) y la altura de cada estribo.</t>
        </is>
      </c>
    </row>
    <row r="4">
      <c r="A4" t="inlineStr">
        <is>
          <t>k</t>
        </is>
      </c>
      <c r="B4" s="99" t="inlineStr">
        <is>
          <t>castillo q</t>
        </is>
      </c>
      <c r="C4" s="99" t="inlineStr">
        <is>
          <t>tramo</t>
        </is>
      </c>
      <c r="D4" s="99" t="inlineStr">
        <is>
          <t>m en el tramo</t>
        </is>
      </c>
      <c r="E4" s="99" t="inlineStr">
        <is>
          <t>centro s (cm)</t>
        </is>
      </c>
      <c r="F4" s="99" t="inlineStr">
        <is>
          <t>ancho (cm)</t>
        </is>
      </c>
      <c r="G4" s="99" t="inlineStr">
        <is>
          <t>¿se dibuja?</t>
        </is>
      </c>
      <c r="H4" s="99" t="inlineStr">
        <is>
          <t>z del estribo k (cm)</t>
        </is>
      </c>
      <c r="I4" s="99" t="inlineStr">
        <is>
          <t>z de anclaje (cm)</t>
        </is>
      </c>
      <c r="J4" t="inlineStr">
        <is>
          <t>Acast x</t>
        </is>
      </c>
      <c r="K4" t="inlineStr">
        <is>
          <t>Acast y</t>
        </is>
      </c>
      <c r="L4" t="inlineStr">
        <is>
          <t>Acvar x</t>
        </is>
      </c>
      <c r="M4" t="inlineStr">
        <is>
          <t>Acvar y</t>
        </is>
      </c>
      <c r="N4" t="inlineStr">
        <is>
          <t>Acest x</t>
        </is>
      </c>
      <c r="O4" t="inlineStr">
        <is>
          <t>Acest y</t>
        </is>
      </c>
      <c r="P4" t="inlineStr">
        <is>
          <t>Arh x</t>
        </is>
      </c>
      <c r="Q4" t="inlineStr">
        <is>
          <t>Arh y</t>
        </is>
      </c>
      <c r="R4" t="inlineStr">
        <is>
          <t>Advar x</t>
        </is>
      </c>
      <c r="S4" t="inlineStr">
        <is>
          <t>Advar y</t>
        </is>
      </c>
      <c r="T4" t="inlineStr">
        <is>
          <t>Adest x</t>
        </is>
      </c>
      <c r="U4" t="inlineStr">
        <is>
          <t>Adest y</t>
        </is>
      </c>
      <c r="V4" t="inlineStr">
        <is>
          <t>Adala x</t>
        </is>
      </c>
      <c r="W4" t="inlineStr">
        <is>
          <t>Adala y</t>
        </is>
      </c>
      <c r="X4" t="inlineStr">
        <is>
          <t>Abvar x</t>
        </is>
      </c>
      <c r="Y4" t="inlineStr">
        <is>
          <t>Abvar y</t>
        </is>
      </c>
      <c r="Z4" t="inlineStr">
        <is>
          <t>Avvar x</t>
        </is>
      </c>
      <c r="AA4" t="inlineStr">
        <is>
          <t>Avvar y</t>
        </is>
      </c>
      <c r="AB4" t="inlineStr">
        <is>
          <t>Abase x</t>
        </is>
      </c>
      <c r="AC4" t="inlineStr">
        <is>
          <t>Abase y</t>
        </is>
      </c>
      <c r="AD4" t="inlineStr">
        <is>
          <t>Aviga x</t>
        </is>
      </c>
      <c r="AE4" t="inlineStr">
        <is>
          <t>Aviga y</t>
        </is>
      </c>
      <c r="AF4" t="inlineStr">
        <is>
          <t>Aapo0 x</t>
        </is>
      </c>
      <c r="AG4" t="inlineStr">
        <is>
          <t>Aapo0 y</t>
        </is>
      </c>
      <c r="AH4" t="inlineStr">
        <is>
          <t>Aapo1 x</t>
        </is>
      </c>
      <c r="AI4" t="inlineStr">
        <is>
          <t>Aapo1 y</t>
        </is>
      </c>
      <c r="AJ4" t="inlineStr">
        <is>
          <t>Av1 x</t>
        </is>
      </c>
      <c r="AK4" t="inlineStr">
        <is>
          <t>Av1 y</t>
        </is>
      </c>
      <c r="AL4" t="inlineStr">
        <is>
          <t>Avx1 x</t>
        </is>
      </c>
      <c r="AM4" t="inlineStr">
        <is>
          <t>Avx1 y</t>
        </is>
      </c>
      <c r="AN4" t="inlineStr">
        <is>
          <t>Acer1 x</t>
        </is>
      </c>
      <c r="AO4" t="inlineStr">
        <is>
          <t>Acer1 y</t>
        </is>
      </c>
      <c r="AP4" t="inlineStr">
        <is>
          <t>Arep1 x</t>
        </is>
      </c>
      <c r="AQ4" t="inlineStr">
        <is>
          <t>Arep1 y</t>
        </is>
      </c>
      <c r="AR4" t="inlineStr">
        <is>
          <t>Av2 x</t>
        </is>
      </c>
      <c r="AS4" t="inlineStr">
        <is>
          <t>Av2 y</t>
        </is>
      </c>
      <c r="AT4" t="inlineStr">
        <is>
          <t>Avx2 x</t>
        </is>
      </c>
      <c r="AU4" t="inlineStr">
        <is>
          <t>Avx2 y</t>
        </is>
      </c>
      <c r="AV4" t="inlineStr">
        <is>
          <t>Acer2 x</t>
        </is>
      </c>
      <c r="AW4" t="inlineStr">
        <is>
          <t>Acer2 y</t>
        </is>
      </c>
      <c r="AX4" t="inlineStr">
        <is>
          <t>Arep2 x</t>
        </is>
      </c>
      <c r="AY4" t="inlineStr">
        <is>
          <t>Arep2 y</t>
        </is>
      </c>
      <c r="AZ4" t="inlineStr">
        <is>
          <t>Av3 x</t>
        </is>
      </c>
      <c r="BA4" t="inlineStr">
        <is>
          <t>Av3 y</t>
        </is>
      </c>
      <c r="BB4" t="inlineStr">
        <is>
          <t>Avx3 x</t>
        </is>
      </c>
      <c r="BC4" t="inlineStr">
        <is>
          <t>Avx3 y</t>
        </is>
      </c>
      <c r="BD4" t="inlineStr">
        <is>
          <t>Acer3 x</t>
        </is>
      </c>
      <c r="BE4" t="inlineStr">
        <is>
          <t>Acer3 y</t>
        </is>
      </c>
      <c r="BF4" t="inlineStr">
        <is>
          <t>Arep3 x</t>
        </is>
      </c>
      <c r="BG4" t="inlineStr">
        <is>
          <t>Arep3 y</t>
        </is>
      </c>
      <c r="BH4" t="inlineStr">
        <is>
          <t>Av4 x</t>
        </is>
      </c>
      <c r="BI4" t="inlineStr">
        <is>
          <t>Av4 y</t>
        </is>
      </c>
      <c r="BJ4" t="inlineStr">
        <is>
          <t>Avx4 x</t>
        </is>
      </c>
      <c r="BK4" t="inlineStr">
        <is>
          <t>Avx4 y</t>
        </is>
      </c>
      <c r="BL4" t="inlineStr">
        <is>
          <t>Acer4 x</t>
        </is>
      </c>
      <c r="BM4" t="inlineStr">
        <is>
          <t>Acer4 y</t>
        </is>
      </c>
      <c r="BN4" t="inlineStr">
        <is>
          <t>Arep4 x</t>
        </is>
      </c>
      <c r="BO4" t="inlineStr">
        <is>
          <t>Arep4 y</t>
        </is>
      </c>
      <c r="BP4" t="inlineStr">
        <is>
          <t>Amuro x</t>
        </is>
      </c>
      <c r="BQ4" t="inlineStr">
        <is>
          <t>Amuro y</t>
        </is>
      </c>
      <c r="BR4" t="inlineStr">
        <is>
          <t>Bmuro x</t>
        </is>
      </c>
      <c r="BS4" t="inlineStr">
        <is>
          <t>Bmuro y</t>
        </is>
      </c>
      <c r="BT4" t="inlineStr">
        <is>
          <t>Bdala x</t>
        </is>
      </c>
      <c r="BU4" t="inlineStr">
        <is>
          <t>Bdala y</t>
        </is>
      </c>
      <c r="BV4" t="inlineStr">
        <is>
          <t>Bbase x</t>
        </is>
      </c>
      <c r="BW4" t="inlineStr">
        <is>
          <t>Bbase y</t>
        </is>
      </c>
      <c r="BX4" t="inlineStr">
        <is>
          <t>Bviga x</t>
        </is>
      </c>
      <c r="BY4" t="inlineStr">
        <is>
          <t>Bviga y</t>
        </is>
      </c>
      <c r="BZ4" t="inlineStr">
        <is>
          <t>Bh1 x</t>
        </is>
      </c>
      <c r="CA4" t="inlineStr">
        <is>
          <t>Bh1 y</t>
        </is>
      </c>
      <c r="CB4" t="inlineStr">
        <is>
          <t>Bh2 x</t>
        </is>
      </c>
      <c r="CC4" t="inlineStr">
        <is>
          <t>Bh2 y</t>
        </is>
      </c>
      <c r="CD4" t="inlineStr">
        <is>
          <t>Bh3 x</t>
        </is>
      </c>
      <c r="CE4" t="inlineStr">
        <is>
          <t>Bh3 y</t>
        </is>
      </c>
      <c r="CF4" t="inlineStr">
        <is>
          <t>Bh4 x</t>
        </is>
      </c>
      <c r="CG4" t="inlineStr">
        <is>
          <t>Bh4 y</t>
        </is>
      </c>
      <c r="CH4" t="inlineStr">
        <is>
          <t>Bh5 x</t>
        </is>
      </c>
      <c r="CI4" t="inlineStr">
        <is>
          <t>Bh5 y</t>
        </is>
      </c>
      <c r="CJ4" t="inlineStr">
        <is>
          <t>Bha1 x</t>
        </is>
      </c>
      <c r="CK4" t="inlineStr">
        <is>
          <t>Bha1 y</t>
        </is>
      </c>
      <c r="CL4" t="inlineStr">
        <is>
          <t>Bhd1 x</t>
        </is>
      </c>
      <c r="CM4" t="inlineStr">
        <is>
          <t>Bhd1 y</t>
        </is>
      </c>
      <c r="CN4" t="inlineStr">
        <is>
          <t>Bv1 x</t>
        </is>
      </c>
      <c r="CO4" t="inlineStr">
        <is>
          <t>Bv1 y</t>
        </is>
      </c>
      <c r="CP4" t="inlineStr">
        <is>
          <t>Bvl1 x</t>
        </is>
      </c>
      <c r="CQ4" t="inlineStr">
        <is>
          <t>Bvl1 y</t>
        </is>
      </c>
      <c r="CR4" t="inlineStr">
        <is>
          <t>Bha2 x</t>
        </is>
      </c>
      <c r="CS4" t="inlineStr">
        <is>
          <t>Bha2 y</t>
        </is>
      </c>
      <c r="CT4" t="inlineStr">
        <is>
          <t>Bhd2 x</t>
        </is>
      </c>
      <c r="CU4" t="inlineStr">
        <is>
          <t>Bhd2 y</t>
        </is>
      </c>
      <c r="CV4" t="inlineStr">
        <is>
          <t>Bv2 x</t>
        </is>
      </c>
      <c r="CW4" t="inlineStr">
        <is>
          <t>Bv2 y</t>
        </is>
      </c>
      <c r="CX4" t="inlineStr">
        <is>
          <t>Bvl2 x</t>
        </is>
      </c>
      <c r="CY4" t="inlineStr">
        <is>
          <t>Bvl2 y</t>
        </is>
      </c>
      <c r="CZ4" t="inlineStr">
        <is>
          <t>Bha3 x</t>
        </is>
      </c>
      <c r="DA4" t="inlineStr">
        <is>
          <t>Bha3 y</t>
        </is>
      </c>
      <c r="DB4" t="inlineStr">
        <is>
          <t>Bhd3 x</t>
        </is>
      </c>
      <c r="DC4" t="inlineStr">
        <is>
          <t>Bhd3 y</t>
        </is>
      </c>
      <c r="DD4" t="inlineStr">
        <is>
          <t>Bv3 x</t>
        </is>
      </c>
      <c r="DE4" t="inlineStr">
        <is>
          <t>Bv3 y</t>
        </is>
      </c>
      <c r="DF4" t="inlineStr">
        <is>
          <t>Bvl3 x</t>
        </is>
      </c>
      <c r="DG4" t="inlineStr">
        <is>
          <t>Bvl3 y</t>
        </is>
      </c>
      <c r="DH4" t="inlineStr">
        <is>
          <t>Bha4 x</t>
        </is>
      </c>
      <c r="DI4" t="inlineStr">
        <is>
          <t>Bha4 y</t>
        </is>
      </c>
      <c r="DJ4" t="inlineStr">
        <is>
          <t>Bhd4 x</t>
        </is>
      </c>
      <c r="DK4" t="inlineStr">
        <is>
          <t>Bhd4 y</t>
        </is>
      </c>
      <c r="DL4" t="inlineStr">
        <is>
          <t>Bv4 x</t>
        </is>
      </c>
      <c r="DM4" t="inlineStr">
        <is>
          <t>Bv4 y</t>
        </is>
      </c>
      <c r="DN4" t="inlineStr">
        <is>
          <t>Bvl4 x</t>
        </is>
      </c>
      <c r="DO4" t="inlineStr">
        <is>
          <t>Bvl4 y</t>
        </is>
      </c>
      <c r="DP4" t="inlineStr">
        <is>
          <t>Bc0 x</t>
        </is>
      </c>
      <c r="DQ4" t="inlineStr">
        <is>
          <t>Bc0 y</t>
        </is>
      </c>
      <c r="DR4" t="inlineStr">
        <is>
          <t>Bc1 x</t>
        </is>
      </c>
      <c r="DS4" t="inlineStr">
        <is>
          <t>Bc1 y</t>
        </is>
      </c>
      <c r="DT4" t="inlineStr">
        <is>
          <t>Bc2 x</t>
        </is>
      </c>
      <c r="DU4" t="inlineStr">
        <is>
          <t>Bc2 y</t>
        </is>
      </c>
      <c r="DV4" t="inlineStr">
        <is>
          <t>Bc3 x</t>
        </is>
      </c>
      <c r="DW4" t="inlineStr">
        <is>
          <t>Bc3 y</t>
        </is>
      </c>
      <c r="DX4" t="inlineStr">
        <is>
          <t>Bc4 x</t>
        </is>
      </c>
      <c r="DY4" t="inlineStr">
        <is>
          <t>Bc4 y</t>
        </is>
      </c>
      <c r="DZ4" t="inlineStr">
        <is>
          <t>Bc5 x</t>
        </is>
      </c>
      <c r="EA4" t="inlineStr">
        <is>
          <t>Bc5 y</t>
        </is>
      </c>
      <c r="EB4" t="inlineStr">
        <is>
          <t>Bc6 x</t>
        </is>
      </c>
      <c r="EC4" t="inlineStr">
        <is>
          <t>Bc6 y</t>
        </is>
      </c>
      <c r="ED4" t="inlineStr">
        <is>
          <t>Bc7 x</t>
        </is>
      </c>
      <c r="EE4" t="inlineStr">
        <is>
          <t>Bc7 y</t>
        </is>
      </c>
      <c r="EF4" t="inlineStr">
        <is>
          <t>Bc8 x</t>
        </is>
      </c>
      <c r="EG4" t="inlineStr">
        <is>
          <t>Bc8 y</t>
        </is>
      </c>
      <c r="EH4" t="inlineStr">
        <is>
          <t>BcL x</t>
        </is>
      </c>
      <c r="EI4" t="inlineStr">
        <is>
          <t>BcL y</t>
        </is>
      </c>
      <c r="EJ4" t="inlineStr">
        <is>
          <t>BcH x</t>
        </is>
      </c>
      <c r="EK4" t="inlineStr">
        <is>
          <t>BcH y</t>
        </is>
      </c>
      <c r="EL4" t="inlineStr">
        <is>
          <t>Bchd x</t>
        </is>
      </c>
      <c r="EM4" t="inlineStr">
        <is>
          <t>Bchd y</t>
        </is>
      </c>
      <c r="EN4" t="inlineStr">
        <is>
          <t>Bca1 x</t>
        </is>
      </c>
      <c r="EO4" t="inlineStr">
        <is>
          <t>Bca1 y</t>
        </is>
      </c>
      <c r="EP4" t="inlineStr">
        <is>
          <t>Bca2 x</t>
        </is>
      </c>
      <c r="EQ4" t="inlineStr">
        <is>
          <t>Bca2 y</t>
        </is>
      </c>
      <c r="ER4" t="inlineStr">
        <is>
          <t>Bca3 x</t>
        </is>
      </c>
      <c r="ES4" t="inlineStr">
        <is>
          <t>Bca3 y</t>
        </is>
      </c>
      <c r="ET4" t="inlineStr">
        <is>
          <t>Bca4 x</t>
        </is>
      </c>
      <c r="EU4" t="inlineStr">
        <is>
          <t>Bca4 y</t>
        </is>
      </c>
      <c r="EV4" t="inlineStr">
        <is>
          <t>Bkpos x</t>
        </is>
      </c>
      <c r="EW4" t="inlineStr">
        <is>
          <t>Bkpos y</t>
        </is>
      </c>
      <c r="EX4" t="inlineStr">
        <is>
          <t>Bcrit x</t>
        </is>
      </c>
      <c r="EY4" t="inlineStr">
        <is>
          <t>Bcrit y</t>
        </is>
      </c>
      <c r="EZ4" t="inlineStr">
        <is>
          <t>Pt1 x</t>
        </is>
      </c>
      <c r="FA4" t="inlineStr">
        <is>
          <t>Pt1 y</t>
        </is>
      </c>
      <c r="FB4" t="inlineStr">
        <is>
          <t>Pm1 x</t>
        </is>
      </c>
      <c r="FC4" t="inlineStr">
        <is>
          <t>Pm1 y</t>
        </is>
      </c>
      <c r="FD4" t="inlineStr">
        <is>
          <t>Ptl1 x</t>
        </is>
      </c>
      <c r="FE4" t="inlineStr">
        <is>
          <t>Ptl1 y</t>
        </is>
      </c>
      <c r="FF4" t="inlineStr">
        <is>
          <t>Pt2 x</t>
        </is>
      </c>
      <c r="FG4" t="inlineStr">
        <is>
          <t>Pt2 y</t>
        </is>
      </c>
      <c r="FH4" t="inlineStr">
        <is>
          <t>Pm2 x</t>
        </is>
      </c>
      <c r="FI4" t="inlineStr">
        <is>
          <t>Pm2 y</t>
        </is>
      </c>
      <c r="FJ4" t="inlineStr">
        <is>
          <t>Ptl2 x</t>
        </is>
      </c>
      <c r="FK4" t="inlineStr">
        <is>
          <t>Ptl2 y</t>
        </is>
      </c>
      <c r="FL4" t="inlineStr">
        <is>
          <t>Pt3 x</t>
        </is>
      </c>
      <c r="FM4" t="inlineStr">
        <is>
          <t>Pt3 y</t>
        </is>
      </c>
      <c r="FN4" t="inlineStr">
        <is>
          <t>Pm3 x</t>
        </is>
      </c>
      <c r="FO4" t="inlineStr">
        <is>
          <t>Pm3 y</t>
        </is>
      </c>
      <c r="FP4" t="inlineStr">
        <is>
          <t>Ptl3 x</t>
        </is>
      </c>
      <c r="FQ4" t="inlineStr">
        <is>
          <t>Ptl3 y</t>
        </is>
      </c>
      <c r="FR4" t="inlineStr">
        <is>
          <t>Pt4 x</t>
        </is>
      </c>
      <c r="FS4" t="inlineStr">
        <is>
          <t>Pt4 y</t>
        </is>
      </c>
      <c r="FT4" t="inlineStr">
        <is>
          <t>Pm4 x</t>
        </is>
      </c>
      <c r="FU4" t="inlineStr">
        <is>
          <t>Pm4 y</t>
        </is>
      </c>
      <c r="FV4" t="inlineStr">
        <is>
          <t>Ptl4 x</t>
        </is>
      </c>
      <c r="FW4" t="inlineStr">
        <is>
          <t>Ptl4 y</t>
        </is>
      </c>
      <c r="FX4" t="inlineStr">
        <is>
          <t>Pt5 x</t>
        </is>
      </c>
      <c r="FY4" t="inlineStr">
        <is>
          <t>Pt5 y</t>
        </is>
      </c>
      <c r="FZ4" t="inlineStr">
        <is>
          <t>Pm5 x</t>
        </is>
      </c>
      <c r="GA4" t="inlineStr">
        <is>
          <t>Pm5 y</t>
        </is>
      </c>
      <c r="GB4" t="inlineStr">
        <is>
          <t>Ptl5 x</t>
        </is>
      </c>
      <c r="GC4" t="inlineStr">
        <is>
          <t>Ptl5 y</t>
        </is>
      </c>
      <c r="GD4" t="inlineStr">
        <is>
          <t>Pcast x</t>
        </is>
      </c>
      <c r="GE4" t="inlineStr">
        <is>
          <t>Pcast y</t>
        </is>
      </c>
      <c r="GF4" t="inlineStr">
        <is>
          <t>Pvar x</t>
        </is>
      </c>
      <c r="GG4" t="inlineStr">
        <is>
          <t>Pvar y</t>
        </is>
      </c>
      <c r="GH4" t="inlineStr">
        <is>
          <t>Pc0 x</t>
        </is>
      </c>
      <c r="GI4" t="inlineStr">
        <is>
          <t>Pc0 y</t>
        </is>
      </c>
      <c r="GJ4" t="inlineStr">
        <is>
          <t>Pc1 x</t>
        </is>
      </c>
      <c r="GK4" t="inlineStr">
        <is>
          <t>Pc1 y</t>
        </is>
      </c>
      <c r="GL4" t="inlineStr">
        <is>
          <t>Pc2 x</t>
        </is>
      </c>
      <c r="GM4" t="inlineStr">
        <is>
          <t>Pc2 y</t>
        </is>
      </c>
      <c r="GN4" t="inlineStr">
        <is>
          <t>Pc3 x</t>
        </is>
      </c>
      <c r="GO4" t="inlineStr">
        <is>
          <t>Pc3 y</t>
        </is>
      </c>
      <c r="GP4" t="inlineStr">
        <is>
          <t>Pc4 x</t>
        </is>
      </c>
      <c r="GQ4" t="inlineStr">
        <is>
          <t>Pc4 y</t>
        </is>
      </c>
      <c r="GR4" t="inlineStr">
        <is>
          <t>Pc5 x</t>
        </is>
      </c>
      <c r="GS4" t="inlineStr">
        <is>
          <t>Pc5 y</t>
        </is>
      </c>
      <c r="GT4" t="inlineStr">
        <is>
          <t>Pc6 x</t>
        </is>
      </c>
      <c r="GU4" t="inlineStr">
        <is>
          <t>Pc6 y</t>
        </is>
      </c>
      <c r="GV4" t="inlineStr">
        <is>
          <t>Pc7 x</t>
        </is>
      </c>
      <c r="GW4" t="inlineStr">
        <is>
          <t>Pc7 y</t>
        </is>
      </c>
      <c r="GX4" t="inlineStr">
        <is>
          <t>Pc8 x</t>
        </is>
      </c>
      <c r="GY4" t="inlineStr">
        <is>
          <t>Pc8 y</t>
        </is>
      </c>
      <c r="GZ4" t="inlineStr">
        <is>
          <t>PcL x</t>
        </is>
      </c>
      <c r="HA4" t="inlineStr">
        <is>
          <t>PcL y</t>
        </is>
      </c>
      <c r="HB4" t="inlineStr">
        <is>
          <t>Pct x</t>
        </is>
      </c>
      <c r="HC4" t="inlineStr">
        <is>
          <t>Pct y</t>
        </is>
      </c>
      <c r="HD4" t="inlineStr">
        <is>
          <t>Sc x</t>
        </is>
      </c>
      <c r="HE4" t="inlineStr">
        <is>
          <t>Sc y</t>
        </is>
      </c>
      <c r="HF4" t="inlineStr">
        <is>
          <t>Sce x</t>
        </is>
      </c>
      <c r="HG4" t="inlineStr">
        <is>
          <t>Sce y</t>
        </is>
      </c>
      <c r="HH4" t="inlineStr">
        <is>
          <t>Scv x</t>
        </is>
      </c>
      <c r="HI4" t="inlineStr">
        <is>
          <t>Scv y</t>
        </is>
      </c>
      <c r="HJ4" t="inlineStr">
        <is>
          <t>Sch x</t>
        </is>
      </c>
      <c r="HK4" t="inlineStr">
        <is>
          <t>Sch y</t>
        </is>
      </c>
      <c r="HL4" t="inlineStr">
        <is>
          <t>Scb x</t>
        </is>
      </c>
      <c r="HM4" t="inlineStr">
        <is>
          <t>Scb y</t>
        </is>
      </c>
      <c r="HN4" t="inlineStr">
        <is>
          <t>Sm x</t>
        </is>
      </c>
      <c r="HO4" t="inlineStr">
        <is>
          <t>Sm y</t>
        </is>
      </c>
      <c r="HP4" t="inlineStr">
        <is>
          <t>Sd x</t>
        </is>
      </c>
      <c r="HQ4" t="inlineStr">
        <is>
          <t>Sd y</t>
        </is>
      </c>
      <c r="HR4" t="inlineStr">
        <is>
          <t>Sde x</t>
        </is>
      </c>
      <c r="HS4" t="inlineStr">
        <is>
          <t>Sde y</t>
        </is>
      </c>
      <c r="HT4" t="inlineStr">
        <is>
          <t>Sdv x</t>
        </is>
      </c>
      <c r="HU4" t="inlineStr">
        <is>
          <t>Sdv y</t>
        </is>
      </c>
      <c r="HV4" t="inlineStr">
        <is>
          <t>Sdb x</t>
        </is>
      </c>
      <c r="HW4" t="inlineStr">
        <is>
          <t>Sdb y</t>
        </is>
      </c>
      <c r="HX4" t="inlineStr">
        <is>
          <t>Sdh x</t>
        </is>
      </c>
      <c r="HY4" t="inlineStr">
        <is>
          <t>Sdh y</t>
        </is>
      </c>
      <c r="HZ4" t="inlineStr">
        <is>
          <t>Src x</t>
        </is>
      </c>
      <c r="IA4" t="inlineStr">
        <is>
          <t>Src y</t>
        </is>
      </c>
    </row>
    <row r="8">
      <c r="A8" t="n">
        <v>1</v>
      </c>
      <c r="B8" t="n">
        <v>1</v>
      </c>
      <c r="C8">
        <f>1+(B8&gt;CROQUIS_DATOS!$C$1520)+(B8&gt;CROQUIS_DATOS!$C$1521)+(B8&gt;CROQUIS_DATOS!$C$1522)+(B8&gt;CROQUIS_DATOS!$C$1523)</f>
        <v>1</v>
      </c>
      <c r="D8">
        <f>B8-CHOOSE(MIN(C8,5),0,CROQUIS_DATOS!$C$1520,CROQUIS_DATOS!$C$1521,CROQUIS_DATOS!$C$1522,CROQUIS_DATOS!$C$1523)</f>
        <v>1</v>
      </c>
      <c r="E8">
        <f>IF(G8=0,0,CHOOSE(MIN(C8,5),CROQUIS_DATOS!$C$1499,CROQUIS_DATOS!$C$1503,CROQUIS_DATOS!$C$1507,CROQUIS_DATOS!$C$1511,CROQUIS_DATOS!$C$1515)+IF(CHOOSE(MIN(C8,5),CROQUIS_DATOS!$C$1502,CROQUIS_DATOS!$C$1506,CROQUIS_DATOS!$C$1510,CROQUIS_DATOS!$C$1514,CROQUIS_DATOS!$C$1518)=1,CHOOSE(MIN(C8,5),CROQUIS_DATOS!$C$1500,CROQUIS_DATOS!$C$1504,CROQUIS_DATOS!$C$1508,CROQUIS_DATOS!$C$1512,CROQUIS_DATOS!$C$1516)/2,CROQUIS_DATOS!$C$1526/2+(D8-1)*(CHOOSE(MIN(C8,5),CROQUIS_DATOS!$C$1500,CROQUIS_DATOS!$C$1504,CROQUIS_DATOS!$C$1508,CROQUIS_DATOS!$C$1512,CROQUIS_DATOS!$C$1516)-CROQUIS_DATOS!$C$1526)/MAX(CHOOSE(MIN(C8,5),CROQUIS_DATOS!$C$1502,CROQUIS_DATOS!$C$1506,CROQUIS_DATOS!$C$1510,CROQUIS_DATOS!$C$1514,CROQUIS_DATOS!$C$1518)-1,1)))</f>
        <v>7.5</v>
      </c>
      <c r="F8">
        <f>IF(G8=0,0,IF(CHOOSE(MIN(C8,5),CROQUIS_DATOS!$C$1502,CROQUIS_DATOS!$C$1506,CROQUIS_DATOS!$C$1510,CROQUIS_DATOS!$C$1514,CROQUIS_DATOS!$C$1518)=1,MIN(CROQUIS_DATOS!$C$1526,CHOOSE(MIN(C8,5),CROQUIS_DATOS!$C$1500,CROQUIS_DATOS!$C$1504,CROQUIS_DATOS!$C$1508,CROQUIS_DATOS!$C$1512,CROQUIS_DATOS!$C$1516)),CROQUIS_DATOS!$C$1526))</f>
        <v>15</v>
      </c>
      <c r="G8">
        <f>IF(AND(CROQUIS_DATOS!$C$1472=1,B8&lt;=CROQUIS_DATOS!$C$1525),1,0)</f>
        <v>1</v>
      </c>
      <c r="H8">
        <f>IF(1&lt;=CROQUIS_DATOS!$C$1539,1*CROQUIS_DATOS!$C$1536,IF(1&lt;=CROQUIS_DATOS!$C$1539+CROQUIS_DATOS!$C$1540,CROQUIS_DATOS!$C$1539*CROQUIS_DATOS!$C$1536+(1-CROQUIS_DATOS!$C$1539)*(CROQUIS_DATOS!$C$1476-2*CROQUIS_DATOS!$C$1539*CROQUIS_DATOS!$C$1536)/(CROQUIS_DATOS!$C$1540+1),CROQUIS_DATOS!$C$1476-(2*CROQUIS_DATOS!$C$1539+CROQUIS_DATOS!$C$1540+1-1)*CROQUIS_DATOS!$C$1536))</f>
        <v>7.5</v>
      </c>
      <c r="I8">
        <f>IF(AND(CROQUIS_DATOS!$C$1544=1,E8&gt;=CROQUIS_DATOS!$C$1549-1,E8&lt;=CROQUIS_DATOS!$C$1550+1),CROQUIS_DATOS!$C$1554,CROQUIS_DATOS!$C$1552)</f>
        <v>-16.8885</v>
      </c>
      <c r="J8">
        <f>IF(AND(CROQUIS_DATOS!$C$1472=1,1),(CROQUIS_DATOS!$C$1563+(CHOOSE(MIN(MAX(IF(INT(($A8-1)/4)+1&gt;CROQUIS_DATOS!$C$1525,4,MOD($A8-1,4)+1),1),4),(INDEX($E$8:$E$23,MIN(INT(($A8-1)/4)+1,CROQUIS_DATOS!$C$1525))-INDEX($F$8:$F$23,MIN(INT(($A8-1)/4)+1,CROQUIS_DATOS!$C$1525))/2),(INDEX($E$8:$E$23,MIN(INT(($A8-1)/4)+1,CROQUIS_DATOS!$C$1525))-INDEX($F$8:$F$23,MIN(INT(($A8-1)/4)+1,CROQUIS_DATOS!$C$1525))/2),(INDEX($E$8:$E$23,MIN(INT(($A8-1)/4)+1,CROQUIS_DATOS!$C$1525))+INDEX($F$8:$F$23,MIN(INT(($A8-1)/4)+1,CROQUIS_DATOS!$C$1525))/2),(INDEX($E$8:$E$23,MIN(INT(($A8-1)/4)+1,CROQUIS_DATOS!$C$1525))+INDEX($F$8:$F$23,MIN(INT(($A8-1)/4)+1,CROQUIS_DATOS!$C$1525))/2)))*CROQUIS_DATOS!$C$1562),-1000)</f>
        <v>15.0862068965517</v>
      </c>
      <c r="K8">
        <f>IF(AND(CROQUIS_DATOS!$C$1472=1,1),(CROQUIS_DATOS!$C$1564+(CHOOSE(MIN(MAX(IF(INT(($A8-1)/4)+1&gt;CROQUIS_DATOS!$C$1525,4,MOD($A8-1,4)+1),1),4),0,CROQUIS_DATOS!$C$1476,CROQUIS_DATOS!$C$1476,0))*CROQUIS_DATOS!$C$1561*CROQUIS_DATOS!$C$1562),-1000)</f>
        <v>5.29310344827586</v>
      </c>
      <c r="L8">
        <f>IF(AND(CROQUIS_DATOS!$C$1472=1,1),(CROQUIS_DATOS!$C$1563+(CHOOSE(MIN(MAX(IF(INT(($A8-1)/4)+1&gt;CROQUIS_DATOS!$C$1525,4,MOD($A8-1,4)+1),1),4),((INDEX($E$8:$E$23,MIN(INT(($A8-1)/4)+1,CROQUIS_DATOS!$C$1525))-INDEX($F$8:$F$23,MIN(INT(($A8-1)/4)+1,CROQUIS_DATOS!$C$1525))/2)+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,((INDEX($E$8:$E$23,MIN(INT(($A8-1)/4)+1,CROQUIS_DATOS!$C$1525))-INDEX($F$8:$F$23,MIN(INT(($A8-1)/4)+1,CROQUIS_DATOS!$C$1525))/2)+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,((INDEX($E$8:$E$23,MIN(INT(($A8-1)/4)+1,CROQUIS_DATOS!$C$1525))+INDEX($F$8:$F$23,MIN(INT(($A8-1)/4)+1,CROQUIS_DATOS!$C$1525))/2)-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,((INDEX($E$8:$E$23,MIN(INT(($A8-1)/4)+1,CROQUIS_DATOS!$C$1525))+INDEX($F$8:$F$23,MIN(INT(($A8-1)/4)+1,CROQUIS_DATOS!$C$1525))/2)-MIN((CROQUIS_DATOS!$C$1530+CROQUIS_DATOS!$C$1532+IF(OR(MIN(INT(($A8-1)/4)+1,CROQUIS_DATOS!$C$1525)=1,MIN(INT(($A8-1)/4)+1,CROQUIS_DATOS!$C$1525)=CROQUIS_DATOS!$C$1525),CROQUIS_DATOS!$C$1534,CROQUIS_DATOS!$C$1531)/2),INDEX($F$8:$F$23,MIN(INT(($A8-1)/4)+1,CROQUIS_DATOS!$C$1525))/2-0.5))))*CROQUIS_DATOS!$C$1562),-1000)</f>
        <v>15.5207439655172</v>
      </c>
      <c r="M8">
        <f>IF(AND(CROQUIS_DATOS!$C$1472=1,1),(CROQUIS_DATOS!$C$1564+(CHOOSE(MIN(MAX(IF(INT(($A8-1)/4)+1&gt;CROQUIS_DATOS!$C$1525,4,MOD($A8-1,4)+1),1),4),CROQUIS_DATOS!$C$1543,INDEX($I$8:$I$23,MIN(INT(($A8-1)/4)+1,CROQUIS_DATOS!$C$1525)),INDEX($I$8:$I$23,MIN(INT(($A8-1)/4)+1,CROQUIS_DATOS!$C$1525)),CROQUIS_DATOS!$C$1543))*CROQUIS_DATOS!$C$1561*CROQUIS_DATOS!$C$1562),-1000)</f>
        <v>42.5654629310345</v>
      </c>
      <c r="N8">
        <f>IF(AND(CROQUIS_DATOS!$C$1472=1,1),(CROQUIS_DATOS!$C$1563+(IF(IF(IF(INT(($A8-1)/70)+1&gt;CROQUIS_DATOS!$C$1525,70,MOD($A8-1,70)+1)=1,0,IF(IF(INT(($A8-1)/70)+1&gt;CROQUIS_DATOS!$C$1525,70,MOD($A8-1,70)+1)&gt;2*CROQUIS_DATOS!$C$1541+1,IF(MOD(CROQUIS_DATOS!$C$1541,2)=1,1,0),IF(MOD(MIN(INT((IF(INT(($A8-1)/70)+1&gt;CROQUIS_DATOS!$C$1525,70,MOD($A8-1,70)+1)-2)/2)+1,CROQUIS_DATOS!$C$1541),2)=1,IF(MOD(IF(INT(($A8-1)/70)+1&gt;CROQUIS_DATOS!$C$1525,70,MOD($A8-1,70)+1)-2,2)=0,0,1),IF(MOD(IF(INT(($A8-1)/70)+1&gt;CROQUIS_DATOS!$C$1525,70,MOD($A8-1,70)+1)-2,2)=0,1,0))))=0,(INDEX($E$8:$E$23,MIN(INT(($A8-1)/70)+1,CROQUIS_DATOS!$C$1525))-INDEX($F$8:$F$23,MIN(INT(($A8-1)/70)+1,CROQUIS_DATOS!$C$1525))/2),(INDEX($E$8:$E$23,MIN(INT(($A8-1)/70)+1,CROQUIS_DATOS!$C$1525))+INDEX($F$8:$F$23,MIN(INT(($A8-1)/70)+1,CROQUIS_DATOS!$C$1525))/2)))*CROQUIS_DATOS!$C$1562),-1000)</f>
        <v>15.0862068965517</v>
      </c>
      <c r="O8">
        <f>IF(AND(CROQUIS_DATOS!$C$1472=1,1),(CROQUIS_DATOS!$C$1564+(IF(OR(IF(INT(($A8-1)/70)+1&gt;CROQUIS_DATOS!$C$1525,70,MOD($A8-1,70)+1)=1,IF(INT(($A8-1)/70)+1&gt;CROQUIS_DATOS!$C$1525,70,MOD($A8-1,70)+1)&gt;2*CROQUIS_DATOS!$C$1541+1),CROQUIS_DATOS!$C$1476,INDEX($H$8:$H$41,MIN(INT((IF(INT(($A8-1)/70)+1&gt;CROQUIS_DATOS!$C$1525,70,MOD($A8-1,70)+1)-2)/2)+1,CROQUIS_DATOS!$C$1541))))*CROQUIS_DATOS!$C$1561*CROQUIS_DATOS!$C$1562),-1000)</f>
        <v>40.2068965517241</v>
      </c>
      <c r="P8">
        <f>IF(AND(CROQUIS_DATOS!$C$1472=1,CROQUIS_DATOS!$C$1555=1),(CROQUIS_DATOS!$C$1563+(IF(IF(OR(MOD($A8-1,62)+1=1,IF(CHOOSE(MIN(MAX(MIN(INT(($A8-1)/62)+1,5),1),5),CROQUIS_DATOS!$C$1501,CROQUIS_DATOS!$C$1505,CROQUIS_DATOS!$C$1509,CROQUIS_DATOS!$C$1513,CROQUIS_DATOS!$C$1517)=1,CROQUIS_DATOS!$C$1557,0)=0),0,IF(MOD($A8-1,62)+1&gt;2*IF(CHOOSE(MIN(MAX(MIN(INT(($A8-1)/62)+1,5),1),5),CROQUIS_DATOS!$C$1501,CROQUIS_DATOS!$C$1505,CROQUIS_DATOS!$C$1509,CROQUIS_DATOS!$C$1513,CROQUIS_DATOS!$C$1517)=1,CROQUIS_DATOS!$C$1557,0)+1,IF(MOD(IF(CHOOSE(MIN(MAX(MIN(INT(($A8-1)/62)+1,5),1),5),CROQUIS_DATOS!$C$1501,CROQUIS_DATOS!$C$1505,CROQUIS_DATOS!$C$1509,CROQUIS_DATOS!$C$1513,CROQUIS_DATOS!$C$1517)=1,CROQUIS_DATOS!$C$1557,0),2)=1,1,0),IF(MOD(MIN(INT((MOD($A8-1,62)+1-2)/2)+1,MAX(IF(CHOOSE(MIN(MAX(MIN(INT(($A8-1)/62)+1,5),1),5),CROQUIS_DATOS!$C$1501,CROQUIS_DATOS!$C$1505,CROQUIS_DATOS!$C$1509,CROQUIS_DATOS!$C$1513,CROQUIS_DATOS!$C$1517)=1,CROQUIS_DATOS!$C$1557,0),1)),2)=1,IF(MOD(MOD($A8-1,62)+1-2,2)=0,0,1),IF(MOD(MOD($A8-1,62)+1-2,2)=0,1,0))))=0,(CHOOSE(MIN(MAX(MIN(INT(($A8-1)/62)+1,5),1),5),CROQUIS_DATOS!$C$1499,CROQUIS_DATOS!$C$1503,CROQUIS_DATOS!$C$1507,CROQUIS_DATOS!$C$1511,CROQUIS_DATOS!$C$1515)+IF(CHOOSE(MIN(MAX(MIN(INT(($A8-1)/62)+1,5),1),5),CROQUIS_DATOS!$C$1501,CROQUIS_DATOS!$C$1505,CROQUIS_DATOS!$C$1509,CROQUIS_DATOS!$C$1513,CROQUIS_DATOS!$C$1517)=1,CROQUIS_DATOS!$C$1526,0)),(CHOOSE(MIN(MAX(MIN(INT(($A8-1)/62)+1,5),1),5),CROQUIS_DATOS!$C$1499,CROQUIS_DATOS!$C$1503,CROQUIS_DATOS!$C$1507,CROQUIS_DATOS!$C$1511,CROQUIS_DATOS!$C$1515)+CHOOSE(MIN(MAX(MIN(INT(($A8-1)/62)+1,5),1),5),CROQUIS_DATOS!$C$1500,CROQUIS_DATOS!$C$1504,CROQUIS_DATOS!$C$1508,CROQUIS_DATOS!$C$1512,CROQUIS_DATOS!$C$1516)-IF(CHOOSE(MIN(MAX(MIN(INT(($A8-1)/62)+1,5),1),5),CROQUIS_DATOS!$C$1501,CROQUIS_DATOS!$C$1505,CROQUIS_DATOS!$C$1509,CROQUIS_DATOS!$C$1513,CROQUIS_DATOS!$C$1517)=1,CROQUIS_DATOS!$C$1526,0))))*CROQUIS_DATOS!$C$1562),-1000)</f>
        <v>-1000</v>
      </c>
      <c r="Q8">
        <f>IF(AND(CROQUIS_DATOS!$C$1472=1,CROQUIS_DATOS!$C$1555=1),(CROQUIS_DATOS!$C$1564+(IF(OR(OR(MOD($A8-1,62)+1=1,IF(CHOOSE(MIN(MAX(MIN(INT(($A8-1)/62)+1,5),1),5),CROQUIS_DATOS!$C$1501,CROQUIS_DATOS!$C$1505,CROQUIS_DATOS!$C$1509,CROQUIS_DATOS!$C$1513,CROQUIS_DATOS!$C$1517)=1,CROQUIS_DATOS!$C$1557,0)=0),MOD($A8-1,62)+1&gt;2*IF(CHOOSE(MIN(MAX(MIN(INT(($A8-1)/62)+1,5),1),5),CROQUIS_DATOS!$C$1501,CROQUIS_DATOS!$C$1505,CROQUIS_DATOS!$C$1509,CROQUIS_DATOS!$C$1513,CROQUIS_DATOS!$C$1517)=1,CROQUIS_DATOS!$C$1557,0)+1),CROQUIS_DATOS!$C$1476,MIN(INT((MOD($A8-1,62)+1-2)/2)+1,MAX(IF(CHOOSE(MIN(MAX(MIN(INT(($A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8">
        <f>IF(AND(CROQUIS_DATOS!$C$1472=1,1),(CROQUIS_DATOS!$C$1563+(CHOOSE(MIN(MAX($A8,1),4),CROQUIS_DATOS!$C$1530,(CROQUIS_DATOS!$C$1475-CROQUIS_DATOS!$C$1530),(CROQUIS_DATOS!$C$1475-CROQUIS_DATOS!$C$1530),CROQUIS_DATOS!$C$1530))*CROQUIS_DATOS!$C$1562),-1000)</f>
        <v>15.3655172413793</v>
      </c>
      <c r="S8">
        <f>IF(AND(CROQUIS_DATOS!$C$1472=1,1),(CROQUIS_DATOS!$C$1564+(CHOOSE(MIN(MAX($A8,1),4),CROQUIS_DATOS!$C$1542,CROQUIS_DATOS!$C$1542,CROQUIS_DATOS!$C$1543,CROQUIS_DATOS!$C$1543))*CROQUIS_DATOS!$C$1561*CROQUIS_DATOS!$C$1562),-1000)</f>
        <v>40.6414336206897</v>
      </c>
      <c r="T8">
        <f>IF(AND(CROQUIS_DATOS!$C$1472=1,1),(CROQUIS_DATOS!$C$1563+(MIN(INT(($A8-1)/2)+1,CROQUIS_DATOS!$C$1558)*CROQUIS_DATOS!$C$1559)*CROQUIS_DATOS!$C$1562),-1000)</f>
        <v>17.7718832891247</v>
      </c>
      <c r="U8">
        <f>IF(AND(CROQUIS_DATOS!$C$1472=1,1),(CROQUIS_DATOS!$C$1564+(IF(INT(($A8-1)/2)+1&gt;CROQUIS_DATOS!$C$1558,IF(MOD(CROQUIS_DATOS!$C$1558,2)=1,CROQUIS_DATOS!$C$1476+CROQUIS_DATOS!$C$1528,CROQUIS_DATOS!$C$1476),IF(IF(MOD(MIN(INT(($A8-1)/2)+1,CROQUIS_DATOS!$C$1558),2)=1,MOD($A8-1,2),1-MOD($A8-1,2))=1,CROQUIS_DATOS!$C$1476+CROQUIS_DATOS!$C$1528,CROQUIS_DATOS!$C$1476)))*CROQUIS_DATOS!$C$1561*CROQUIS_DATOS!$C$1562),-1000)</f>
        <v>40.2068965517241</v>
      </c>
      <c r="V8">
        <f>IF(AND(CROQUIS_DATOS!$C$1472=1,1),CHOOSE(MIN(MAX($A8,1)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W8">
        <f>IF(AND(CROQUIS_DATOS!$C$1472=1,1),CHOOSE(MIN(MAX($A8,1)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40.2068965517241</v>
      </c>
      <c r="X8">
        <f>IF(AND(CROQUIS_DATOS!$C$1472=1,1),(CROQUIS_DATOS!$C$1563+(CHOOSE(MIN(MAX($A8,1),4),CROQUIS_DATOS!$C$1530,(CROQUIS_DATOS!$C$1475-CROQUIS_DATOS!$C$1530),(CROQUIS_DATOS!$C$1475-CROQUIS_DATOS!$C$1530),CROQUIS_DATOS!$C$1530))*CROQUIS_DATOS!$C$1562),-1000)</f>
        <v>15.3655172413793</v>
      </c>
      <c r="Y8">
        <f>IF(AND(CROQUIS_DATOS!$C$1472=1,1),(CROQUIS_DATOS!$C$1564+(CHOOSE(MIN(MAX($A8,1),4),CROQUIS_DATOS!$C$1552,CROQUIS_DATOS!$C$1552,CROQUIS_DATOS!$C$1553,CROQUIS_DATOS!$C$1553))*CROQUIS_DATOS!$C$1561*CROQUIS_DATOS!$C$1562),-1000)</f>
        <v>2.93453706896552</v>
      </c>
      <c r="Z8">
        <f>IF(AND(CROQUIS_DATOS!$C$1472=1,CROQUIS_DATOS!$C$1544=1),(CROQUIS_DATOS!$C$1563+(CHOOSE(MIN(MAX($A8,1),2),(CROQUIS_DATOS!$C$1549+CROQUIS_DATOS!$C$1530),(CROQUIS_DATOS!$C$1550-CROQUIS_DATOS!$C$1530)))*CROQUIS_DATOS!$C$1562),-1000)</f>
        <v>-1000</v>
      </c>
      <c r="AA8">
        <f>IF(AND(CROQUIS_DATOS!$C$1472=1,CROQUIS_DATOS!$C$1544=1),(CROQUIS_DATOS!$C$1564+(CHOOSE(MIN(MAX($A8,1),2),CROQUIS_DATOS!$C$1554,CROQUIS_DATOS!$C$1554))*CROQUIS_DATOS!$C$1561*CROQUIS_DATOS!$C$1562),-1000)</f>
        <v>-1000</v>
      </c>
      <c r="AB8">
        <f>IF(AND(CROQUIS_DATOS!$C$1472=1,1),CHOOSE(MIN(MAX($A8,1)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AC8">
        <f>IF(AND(CROQUIS_DATOS!$C$1472=1,1),CHOOSE(MIN(MAX($A8,1)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2.5</v>
      </c>
      <c r="AD8">
        <f>IF(AND(CROQUIS_DATOS!$C$1472=1,CROQUIS_DATOS!$C$1544=1),CHOOSE(MIN(MAX($A8,1)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-1000</v>
      </c>
      <c r="AE8">
        <f>IF(AND(CROQUIS_DATOS!$C$1472=1,CROQUIS_DATOS!$C$1544=1),CHOOSE(MIN(MAX($A8,1)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-1000</v>
      </c>
      <c r="AF8">
        <f>IF(AND(CROQUIS_DATOS!$C$1472=1,CROQUIS_DATOS!$C$1544=1),(CROQUIS_DATOS!$C$1563+(CHOOSE(MIN(MAX($A8,1),4),CROQUIS_DATOS!$C$1549,CROQUIS_DATOS!$C$1549-10,CROQUIS_DATOS!$C$1549+10,CROQUIS_DATOS!$C$1549))*CROQUIS_DATOS!$C$1562),-1000)</f>
        <v>-1000</v>
      </c>
      <c r="AG8">
        <f>IF(AND(CROQUIS_DATOS!$C$1472=1,CROQUIS_DATOS!$C$1544=1),(CROQUIS_DATOS!$C$1564+(CHOOSE(MIN(MAX($A8,1),4),-CROQUIS_DATOS!$C$1551,-CROQUIS_DATOS!$C$1551-14,-CROQUIS_DATOS!$C$1551-14,-CROQUIS_DATOS!$C$1551))*CROQUIS_DATOS!$C$1561*CROQUIS_DATOS!$C$1562),-1000)</f>
        <v>-1000</v>
      </c>
      <c r="AH8">
        <f>IF(AND(CROQUIS_DATOS!$C$1472=1,CROQUIS_DATOS!$C$1544=1),(CROQUIS_DATOS!$C$1563+(CHOOSE(MIN(MAX($A8,1),4),CROQUIS_DATOS!$C$1550,CROQUIS_DATOS!$C$1550-10,CROQUIS_DATOS!$C$1550+10,CROQUIS_DATOS!$C$1550))*CROQUIS_DATOS!$C$1562),-1000)</f>
        <v>-1000</v>
      </c>
      <c r="AI8">
        <f>IF(AND(CROQUIS_DATOS!$C$1472=1,CROQUIS_DATOS!$C$1544=1),(CROQUIS_DATOS!$C$1564+(CHOOSE(MIN(MAX($A8,1),4),-CROQUIS_DATOS!$C$1551,-CROQUIS_DATOS!$C$1551-14,-CROQUIS_DATOS!$C$1551-14,-CROQUIS_DATOS!$C$1551))*CROQUIS_DATOS!$C$1561*CROQUIS_DATOS!$C$1562),-1000)</f>
        <v>-1000</v>
      </c>
      <c r="AJ8">
        <f>IF(AND(CROQUIS_DATOS!$C$1472=1,CROQUIS_DATOS!$C$1478&gt;=1),CHOOSE(MIN(MAX($A8,1)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20.6724137931034</v>
      </c>
      <c r="AK8">
        <f>IF(AND(CROQUIS_DATOS!$C$1472=1,CROQUIS_DATOS!$C$1478&gt;=1),CHOOSE(MIN(MAX($A8,1)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5.29310344827586</v>
      </c>
      <c r="AL8">
        <f>IF(AND(CROQUIS_DATOS!$C$1472=1,CROQUIS_DATOS!$C$1478&gt;=1),(CROQUIS_DATOS!$C$1563+(CHOOSE(MIN(MAX($A8,1),5),CROQUIS_DATOS!$C$1479,(CROQUIS_DATOS!$C$1479+CROQUIS_DATOS!$C$1480),(CROQUIS_DATOS!$C$1479+CROQUIS_DATOS!$C$1480),CROQUIS_DATOS!$C$1479,(CROQUIS_DATOS!$C$1479+CROQUIS_DATOS!$C$1480)))*CROQUIS_DATOS!$C$1562),-1000)</f>
        <v>20.6724137931034</v>
      </c>
      <c r="AM8">
        <f>IF(AND(CROQUIS_DATOS!$C$1472=1,CROQUIS_DATOS!$C$1478&gt;=1),(CROQUIS_DATOS!$C$1564+(CHOOSE(MIN(MAX($A8,1),5),CROQUIS_DATOS!$C$1481,(CROQUIS_DATOS!$C$1481+CROQUIS_DATOS!$C$1482),(CROQUIS_DATOS!$C$1481+CROQUIS_DATOS!$C$1482),CROQUIS_DATOS!$C$1481,CROQUIS_DATOS!$C$1481))*CROQUIS_DATOS!$C$1561*CROQUIS_DATOS!$C$1562),-1000)</f>
        <v>5.29310344827586</v>
      </c>
      <c r="AN8">
        <f>IF(AND(CROQUIS_DATOS!$C$1472=1,CROQUIS_DATOS!$C$1478&gt;=1,(CROQUIS_DATOS!$C$1481+CROQUIS_DATOS!$C$1482)+CROQUIS_DATOS!$C$1528&lt;CROQUIS_DATOS!$C$1476-2),CHOOSE(MIN(MAX($A8,1)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18.5775862068965</v>
      </c>
      <c r="AO8">
        <f>IF(AND(CROQUIS_DATOS!$C$1472=1,CROQUIS_DATOS!$C$1478&gt;=1,(CROQUIS_DATOS!$C$1481+CROQUIS_DATOS!$C$1482)+CROQUIS_DATOS!$C$1528&lt;CROQUIS_DATOS!$C$1476-2),CHOOSE(MIN(MAX($A8,1)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34.6206896551724</v>
      </c>
      <c r="AP8">
        <f>IF(AND(CROQUIS_DATOS!$C$1472=1,CROQUIS_DATOS!$C$1478&gt;=1,CROQUIS_DATOS!$C$1481&gt;=12),CHOOSE(MIN(MAX($A8,1)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8">
        <f>IF(AND(CROQUIS_DATOS!$C$1472=1,CROQUIS_DATOS!$C$1478&gt;=1,CROQUIS_DATOS!$C$1481&gt;=12),CHOOSE(MIN(MAX($A8,1)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8">
        <f>IF(AND(CROQUIS_DATOS!$C$1472=1,CROQUIS_DATOS!$C$1478&gt;=2),CHOOSE(MIN(MAX($A8,1)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47.2068965517241</v>
      </c>
      <c r="AS8">
        <f>IF(AND(CROQUIS_DATOS!$C$1472=1,CROQUIS_DATOS!$C$1478&gt;=2),CHOOSE(MIN(MAX($A8,1)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17.8620689655172</v>
      </c>
      <c r="AT8">
        <f>IF(AND(CROQUIS_DATOS!$C$1472=1,CROQUIS_DATOS!$C$1478&gt;=2),(CROQUIS_DATOS!$C$1563+(CHOOSE(MIN(MAX($A8,1),5),CROQUIS_DATOS!$C$1484,(CROQUIS_DATOS!$C$1484+CROQUIS_DATOS!$C$1485),(CROQUIS_DATOS!$C$1484+CROQUIS_DATOS!$C$1485),CROQUIS_DATOS!$C$1484,(CROQUIS_DATOS!$C$1484+CROQUIS_DATOS!$C$1485)))*CROQUIS_DATOS!$C$1562),-1000)</f>
        <v>47.2068965517241</v>
      </c>
      <c r="AU8">
        <f>IF(AND(CROQUIS_DATOS!$C$1472=1,CROQUIS_DATOS!$C$1478&gt;=2),(CROQUIS_DATOS!$C$1564+(CHOOSE(MIN(MAX($A8,1),5),CROQUIS_DATOS!$C$1486,(CROQUIS_DATOS!$C$1486+CROQUIS_DATOS!$C$1487),(CROQUIS_DATOS!$C$1486+CROQUIS_DATOS!$C$1487),CROQUIS_DATOS!$C$1486,CROQUIS_DATOS!$C$1486))*CROQUIS_DATOS!$C$1561*CROQUIS_DATOS!$C$1562),-1000)</f>
        <v>17.8620689655172</v>
      </c>
      <c r="AV8">
        <f>IF(AND(CROQUIS_DATOS!$C$1472=1,CROQUIS_DATOS!$C$1478&gt;=2,(CROQUIS_DATOS!$C$1486+CROQUIS_DATOS!$C$1487)+CROQUIS_DATOS!$C$1528&lt;CROQUIS_DATOS!$C$1476-2),CHOOSE(MIN(MAX($A8,1)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45.1120689655172</v>
      </c>
      <c r="AW8">
        <f>IF(AND(CROQUIS_DATOS!$C$1472=1,CROQUIS_DATOS!$C$1478&gt;=2,(CROQUIS_DATOS!$C$1486+CROQUIS_DATOS!$C$1487)+CROQUIS_DATOS!$C$1528&lt;CROQUIS_DATOS!$C$1476-2),CHOOSE(MIN(MAX($A8,1)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34.6206896551724</v>
      </c>
      <c r="AX8">
        <f>IF(AND(CROQUIS_DATOS!$C$1472=1,CROQUIS_DATOS!$C$1478&gt;=2,CROQUIS_DATOS!$C$1486&gt;=12),CHOOSE(MIN(MAX($A8,1)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45.1120689655172</v>
      </c>
      <c r="AY8">
        <f>IF(AND(CROQUIS_DATOS!$C$1472=1,CROQUIS_DATOS!$C$1478&gt;=2,CROQUIS_DATOS!$C$1486&gt;=12),CHOOSE(MIN(MAX($A8,1)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16.4655172413793</v>
      </c>
      <c r="AZ8">
        <f>IF(AND(CROQUIS_DATOS!$C$1472=1,CROQUIS_DATOS!$C$1478&gt;=3),CHOOSE(MIN(MAX($A8,1)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8">
        <f>IF(AND(CROQUIS_DATOS!$C$1472=1,CROQUIS_DATOS!$C$1478&gt;=3),CHOOSE(MIN(MAX($A8,1)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8">
        <f>IF(AND(CROQUIS_DATOS!$C$1472=1,CROQUIS_DATOS!$C$1478&gt;=3),(CROQUIS_DATOS!$C$1563+(CHOOSE(MIN(MAX($A8,1),5),CROQUIS_DATOS!$C$1489,(CROQUIS_DATOS!$C$1489+CROQUIS_DATOS!$C$1490),(CROQUIS_DATOS!$C$1489+CROQUIS_DATOS!$C$1490),CROQUIS_DATOS!$C$1489,(CROQUIS_DATOS!$C$1489+CROQUIS_DATOS!$C$1490)))*CROQUIS_DATOS!$C$1562),-1000)</f>
        <v>-1000</v>
      </c>
      <c r="BC8">
        <f>IF(AND(CROQUIS_DATOS!$C$1472=1,CROQUIS_DATOS!$C$1478&gt;=3),(CROQUIS_DATOS!$C$1564+(CHOOSE(MIN(MAX($A8,1),5),CROQUIS_DATOS!$C$1491,(CROQUIS_DATOS!$C$1491+CROQUIS_DATOS!$C$1492),(CROQUIS_DATOS!$C$1491+CROQUIS_DATOS!$C$1492),CROQUIS_DATOS!$C$1491,CROQUIS_DATOS!$C$1491))*CROQUIS_DATOS!$C$1561*CROQUIS_DATOS!$C$1562),-1000)</f>
        <v>-1000</v>
      </c>
      <c r="BD8">
        <f>IF(AND(CROQUIS_DATOS!$C$1472=1,CROQUIS_DATOS!$C$1478&gt;=3,(CROQUIS_DATOS!$C$1491+CROQUIS_DATOS!$C$1492)+CROQUIS_DATOS!$C$1528&lt;CROQUIS_DATOS!$C$1476-2),CHOOSE(MIN(MAX($A8,1)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8">
        <f>IF(AND(CROQUIS_DATOS!$C$1472=1,CROQUIS_DATOS!$C$1478&gt;=3,(CROQUIS_DATOS!$C$1491+CROQUIS_DATOS!$C$1492)+CROQUIS_DATOS!$C$1528&lt;CROQUIS_DATOS!$C$1476-2),CHOOSE(MIN(MAX($A8,1)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8">
        <f>IF(AND(CROQUIS_DATOS!$C$1472=1,CROQUIS_DATOS!$C$1478&gt;=3,CROQUIS_DATOS!$C$1491&gt;=12),CHOOSE(MIN(MAX($A8,1)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8">
        <f>IF(AND(CROQUIS_DATOS!$C$1472=1,CROQUIS_DATOS!$C$1478&gt;=3,CROQUIS_DATOS!$C$1491&gt;=12),CHOOSE(MIN(MAX($A8,1)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8">
        <f>IF(AND(CROQUIS_DATOS!$C$1472=1,CROQUIS_DATOS!$C$1478&gt;=4),CHOOSE(MIN(MAX($A8,1)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8">
        <f>IF(AND(CROQUIS_DATOS!$C$1472=1,CROQUIS_DATOS!$C$1478&gt;=4),CHOOSE(MIN(MAX($A8,1)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8">
        <f>IF(AND(CROQUIS_DATOS!$C$1472=1,CROQUIS_DATOS!$C$1478&gt;=4),(CROQUIS_DATOS!$C$1563+(CHOOSE(MIN(MAX($A8,1),5),CROQUIS_DATOS!$C$1494,(CROQUIS_DATOS!$C$1494+CROQUIS_DATOS!$C$1495),(CROQUIS_DATOS!$C$1494+CROQUIS_DATOS!$C$1495),CROQUIS_DATOS!$C$1494,(CROQUIS_DATOS!$C$1494+CROQUIS_DATOS!$C$1495)))*CROQUIS_DATOS!$C$1562),-1000)</f>
        <v>-1000</v>
      </c>
      <c r="BK8">
        <f>IF(AND(CROQUIS_DATOS!$C$1472=1,CROQUIS_DATOS!$C$1478&gt;=4),(CROQUIS_DATOS!$C$1564+(CHOOSE(MIN(MAX($A8,1),5),CROQUIS_DATOS!$C$1496,(CROQUIS_DATOS!$C$1496+CROQUIS_DATOS!$C$1497),(CROQUIS_DATOS!$C$1496+CROQUIS_DATOS!$C$1497),CROQUIS_DATOS!$C$1496,CROQUIS_DATOS!$C$1496))*CROQUIS_DATOS!$C$1561*CROQUIS_DATOS!$C$1562),-1000)</f>
        <v>-1000</v>
      </c>
      <c r="BL8">
        <f>IF(AND(CROQUIS_DATOS!$C$1472=1,CROQUIS_DATOS!$C$1478&gt;=4,(CROQUIS_DATOS!$C$1496+CROQUIS_DATOS!$C$1497)+CROQUIS_DATOS!$C$1528&lt;CROQUIS_DATOS!$C$1476-2),CHOOSE(MIN(MAX($A8,1)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8">
        <f>IF(AND(CROQUIS_DATOS!$C$1472=1,CROQUIS_DATOS!$C$1478&gt;=4,(CROQUIS_DATOS!$C$1496+CROQUIS_DATOS!$C$1497)+CROQUIS_DATOS!$C$1528&lt;CROQUIS_DATOS!$C$1476-2),CHOOSE(MIN(MAX($A8,1)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8">
        <f>IF(AND(CROQUIS_DATOS!$C$1472=1,CROQUIS_DATOS!$C$1478&gt;=4,CROQUIS_DATOS!$C$1496&gt;=12),CHOOSE(MIN(MAX($A8,1)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8">
        <f>IF(AND(CROQUIS_DATOS!$C$1472=1,CROQUIS_DATOS!$C$1478&gt;=4,CROQUIS_DATOS!$C$1496&gt;=12),CHOOSE(MIN(MAX($A8,1)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8">
        <f>IF(AND(CROQUIS_DATOS!$C$1472=1,1),CHOOSE(MIN(MAX($A8,1)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BQ8">
        <f>IF(AND(CROQUIS_DATOS!$C$1472=1,1),CHOOSE(MIN(MAX($A8,1)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5.29310344827586</v>
      </c>
      <c r="BR8">
        <f>IF(AND(CROQUIS_DATOS!$C$1472=1,1),CHOOSE(MIN(MAX($A8,1)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S8">
        <f>IF(AND(CROQUIS_DATOS!$C$1472=1,1),CHOOSE(MIN(MAX($A8,1)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12.1379310344828</v>
      </c>
      <c r="BT8">
        <f>IF(AND(CROQUIS_DATOS!$C$1472=1,1),CHOOSE(MIN(MAX($A8,1)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U8">
        <f>IF(AND(CROQUIS_DATOS!$C$1472=1,1),CHOOSE(MIN(MAX($A8,1)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38.8620689655172</v>
      </c>
      <c r="BV8">
        <f>IF(AND(CROQUIS_DATOS!$C$1472=1,1),CHOOSE(MIN(MAX($A8,1)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W8">
        <f>IF(AND(CROQUIS_DATOS!$C$1472=1,1),CHOOSE(MIN(MAX($A8,1)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10</v>
      </c>
      <c r="BX8">
        <f>IF(AND(CROQUIS_DATOS!$C$1472=1,CROQUIS_DATOS!$C$1544=1),CHOOSE(MIN(MAX($A8,1)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-1000</v>
      </c>
      <c r="BY8">
        <f>IF(AND(CROQUIS_DATOS!$C$1472=1,CROQUIS_DATOS!$C$1544=1),CHOOSE(MIN(MAX($A8,1)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-1000</v>
      </c>
      <c r="BZ8">
        <f>IF(AND(CROQUIS_DATOS!$C$1472=1,CROQUIS_DATOS!$C$1500&gt;0,((CROQUIS_DATOS!$C$1499+CROQUIS_DATOS!$C$1500))-(CROQUIS_DATOS!$C$1499)&gt;0.5,(CROQUIS_DATOS!$C$1476)-(0)&gt;0.5),(CROQUIS_DATOS!$C$1566+(IF(IF(MOD(MIN(INT(($A8-1)/2)+1,MAX(1,INT(((((CROQUIS_DATOS!$C$1499+CROQUIS_DATOS!$C$1500))-(CROQUIS_DATOS!$C$1499))+((CROQUIS_DATOS!$C$1476)*CROQUIS_DATOS!$C$1561-(0)*CROQUIS_DATOS!$C$1561))/CROQUIS_DATOS!$C$1568-0.000001))),2)=1,IF(INT(($A8-1)/2)+1&gt;MAX(1,INT(((((CROQUIS_DATOS!$C$1499+CROQUIS_DATOS!$C$1500))-(CROQUIS_DATOS!$C$1499))+((CROQUIS_DATOS!$C$1476)*CROQUIS_DATOS!$C$1561-(0)*CROQUIS_DATOS!$C$1561))/CROQUIS_DATOS!$C$1568-0.000001)),1,MOD($A8-1,2)),1-IF(INT(($A8-1)/2)+1&gt;MAX(1,INT(((((CROQUIS_DATOS!$C$1499+CROQUIS_DATOS!$C$1500))-(CROQUIS_DATOS!$C$1499))+((CROQUIS_DATOS!$C$1476)*CROQUIS_DATOS!$C$1561-(0)*CROQUIS_DATOS!$C$1561))/CROQUIS_DATOS!$C$1568-0.000001)),1,MOD($A8-1,2)))=1,MIN((CROQUIS_DATOS!$C$1476)*CROQUIS_DATOS!$C$1561,((CROQUIS_DATOS!$C$1499+CROQUIS_DATOS!$C$1500)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8">
        <f>IF(AND(CROQUIS_DATOS!$C$1472=1,CROQUIS_DATOS!$C$1500&gt;0,((CROQUIS_DATOS!$C$1499+CROQUIS_DATOS!$C$1500))-(CROQUIS_DATOS!$C$1499)&gt;0.5,(CROQUIS_DATOS!$C$1476)-(0)&gt;0.5),(CROQUIS_DATOS!$C$1567+(IF(IF(MOD(MIN(INT(($A8-1)/2)+1,MAX(1,INT(((((CROQUIS_DATOS!$C$1499+CROQUIS_DATOS!$C$1500))-(CROQUIS_DATOS!$C$1499))+((CROQUIS_DATOS!$C$1476)*CROQUIS_DATOS!$C$1561-(0)*CROQUIS_DATOS!$C$1561))/CROQUIS_DATOS!$C$1568-0.000001))),2)=1,IF(INT(($A8-1)/2)+1&gt;MAX(1,INT(((((CROQUIS_DATOS!$C$1499+CROQUIS_DATOS!$C$1500))-(CROQUIS_DATOS!$C$1499))+((CROQUIS_DATOS!$C$1476)*CROQUIS_DATOS!$C$1561-(0)*CROQUIS_DATOS!$C$1561))/CROQUIS_DATOS!$C$1568-0.000001)),1,MOD($A8-1,2)),1-IF(INT(($A8-1)/2)+1&gt;MAX(1,INT(((((CROQUIS_DATOS!$C$1499+CROQUIS_DATOS!$C$1500))-(CROQUIS_DATOS!$C$1499))+((CROQUIS_DATOS!$C$1476)*CROQUIS_DATOS!$C$1561-(0)*CROQUIS_DATOS!$C$1561))/CROQUIS_DATOS!$C$1568-0.000001)),1,MOD($A8-1,2)))=1,MIN((CROQUIS_DATOS!$C$1476)*CROQUIS_DATOS!$C$1561,((CROQUIS_DATOS!$C$1499+CROQUIS_DATOS!$C$1500)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8-1)/2)+1,MAX(1,INT(((((CROQUIS_DATOS!$C$1499+CROQUIS_DATOS!$C$1500))-(CROQUIS_DATOS!$C$1499))+((CROQUIS_DATOS!$C$1476)*CROQUIS_DATOS!$C$1561-(0)*CROQUIS_DATOS!$C$1561))/CROQUIS_DATOS!$C$1568-0.000001)))*CROQUIS_DATOS!$C$1568))))*CROQUIS_DATOS!$C$1565),-1000)</f>
        <v>37.2620689655172</v>
      </c>
      <c r="CB8">
        <f>IF(AND(CROQUIS_DATOS!$C$1472=1,CROQUIS_DATOS!$C$1504&gt;0,((CROQUIS_DATOS!$C$1503+CROQUIS_DATOS!$C$1504))-(CROQUIS_DATOS!$C$1503)&gt;0.5,(CROQUIS_DATOS!$C$1476)-(0)&gt;0.5),(CROQUIS_DATOS!$C$1566+(IF(IF(MOD(MIN(INT(($A8-1)/2)+1,MAX(1,INT(((((CROQUIS_DATOS!$C$1503+CROQUIS_DATOS!$C$1504))-(CROQUIS_DATOS!$C$1503))+((CROQUIS_DATOS!$C$1476)*CROQUIS_DATOS!$C$1561-(0)*CROQUIS_DATOS!$C$1561))/CROQUIS_DATOS!$C$1568-0.000001))),2)=1,IF(INT(($A8-1)/2)+1&gt;MAX(1,INT(((((CROQUIS_DATOS!$C$1503+CROQUIS_DATOS!$C$1504))-(CROQUIS_DATOS!$C$1503))+((CROQUIS_DATOS!$C$1476)*CROQUIS_DATOS!$C$1561-(0)*CROQUIS_DATOS!$C$1561))/CROQUIS_DATOS!$C$1568-0.000001)),1,MOD($A8-1,2)),1-IF(INT(($A8-1)/2)+1&gt;MAX(1,INT(((((CROQUIS_DATOS!$C$1503+CROQUIS_DATOS!$C$1504))-(CROQUIS_DATOS!$C$1503))+((CROQUIS_DATOS!$C$1476)*CROQUIS_DATOS!$C$1561-(0)*CROQUIS_DATOS!$C$1561))/CROQUIS_DATOS!$C$1568-0.000001)),1,MOD($A8-1,2)))=1,MIN((CROQUIS_DATOS!$C$1476)*CROQUIS_DATOS!$C$1561,((CROQUIS_DATOS!$C$1503+CROQUIS_DATOS!$C$1504)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8">
        <f>IF(AND(CROQUIS_DATOS!$C$1472=1,CROQUIS_DATOS!$C$1504&gt;0,((CROQUIS_DATOS!$C$1503+CROQUIS_DATOS!$C$1504))-(CROQUIS_DATOS!$C$1503)&gt;0.5,(CROQUIS_DATOS!$C$1476)-(0)&gt;0.5),(CROQUIS_DATOS!$C$1567+(IF(IF(MOD(MIN(INT(($A8-1)/2)+1,MAX(1,INT(((((CROQUIS_DATOS!$C$1503+CROQUIS_DATOS!$C$1504))-(CROQUIS_DATOS!$C$1503))+((CROQUIS_DATOS!$C$1476)*CROQUIS_DATOS!$C$1561-(0)*CROQUIS_DATOS!$C$1561))/CROQUIS_DATOS!$C$1568-0.000001))),2)=1,IF(INT(($A8-1)/2)+1&gt;MAX(1,INT(((((CROQUIS_DATOS!$C$1503+CROQUIS_DATOS!$C$1504))-(CROQUIS_DATOS!$C$1503))+((CROQUIS_DATOS!$C$1476)*CROQUIS_DATOS!$C$1561-(0)*CROQUIS_DATOS!$C$1561))/CROQUIS_DATOS!$C$1568-0.000001)),1,MOD($A8-1,2)),1-IF(INT(($A8-1)/2)+1&gt;MAX(1,INT(((((CROQUIS_DATOS!$C$1503+CROQUIS_DATOS!$C$1504))-(CROQUIS_DATOS!$C$1503))+((CROQUIS_DATOS!$C$1476)*CROQUIS_DATOS!$C$1561-(0)*CROQUIS_DATOS!$C$1561))/CROQUIS_DATOS!$C$1568-0.000001)),1,MOD($A8-1,2)))=1,MIN((CROQUIS_DATOS!$C$1476)*CROQUIS_DATOS!$C$1561,((CROQUIS_DATOS!$C$1503+CROQUIS_DATOS!$C$1504)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8-1)/2)+1,MAX(1,INT(((((CROQUIS_DATOS!$C$1503+CROQUIS_DATOS!$C$1504))-(CROQUIS_DATOS!$C$1503))+((CROQUIS_DATOS!$C$1476)*CROQUIS_DATOS!$C$1561-(0)*CROQUIS_DATOS!$C$1561))/CROQUIS_DATOS!$C$1568-0.000001)))*CROQUIS_DATOS!$C$1568))))*CROQUIS_DATOS!$C$1565),-1000)</f>
        <v>37.2620689655172</v>
      </c>
      <c r="CD8">
        <f>IF(AND(CROQUIS_DATOS!$C$1472=1,CROQUIS_DATOS!$C$1508&gt;0,((CROQUIS_DATOS!$C$1507+CROQUIS_DATOS!$C$1508))-(CROQUIS_DATOS!$C$1507)&gt;0.5,(CROQUIS_DATOS!$C$1476)-(0)&gt;0.5),(CROQUIS_DATOS!$C$1566+(IF(IF(MOD(MIN(INT(($A8-1)/2)+1,MAX(1,INT(((((CROQUIS_DATOS!$C$1507+CROQUIS_DATOS!$C$1508))-(CROQUIS_DATOS!$C$1507))+((CROQUIS_DATOS!$C$1476)*CROQUIS_DATOS!$C$1561-(0)*CROQUIS_DATOS!$C$1561))/CROQUIS_DATOS!$C$1568-0.000001))),2)=1,IF(INT(($A8-1)/2)+1&gt;MAX(1,INT(((((CROQUIS_DATOS!$C$1507+CROQUIS_DATOS!$C$1508))-(CROQUIS_DATOS!$C$1507))+((CROQUIS_DATOS!$C$1476)*CROQUIS_DATOS!$C$1561-(0)*CROQUIS_DATOS!$C$1561))/CROQUIS_DATOS!$C$1568-0.000001)),1,MOD($A8-1,2)),1-IF(INT(($A8-1)/2)+1&gt;MAX(1,INT(((((CROQUIS_DATOS!$C$1507+CROQUIS_DATOS!$C$1508))-(CROQUIS_DATOS!$C$1507))+((CROQUIS_DATOS!$C$1476)*CROQUIS_DATOS!$C$1561-(0)*CROQUIS_DATOS!$C$1561))/CROQUIS_DATOS!$C$1568-0.000001)),1,MOD($A8-1,2)))=1,MIN((CROQUIS_DATOS!$C$1476)*CROQUIS_DATOS!$C$1561,((CROQUIS_DATOS!$C$1507+CROQUIS_DATOS!$C$1508)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8">
        <f>IF(AND(CROQUIS_DATOS!$C$1472=1,CROQUIS_DATOS!$C$1508&gt;0,((CROQUIS_DATOS!$C$1507+CROQUIS_DATOS!$C$1508))-(CROQUIS_DATOS!$C$1507)&gt;0.5,(CROQUIS_DATOS!$C$1476)-(0)&gt;0.5),(CROQUIS_DATOS!$C$1567+(IF(IF(MOD(MIN(INT(($A8-1)/2)+1,MAX(1,INT(((((CROQUIS_DATOS!$C$1507+CROQUIS_DATOS!$C$1508))-(CROQUIS_DATOS!$C$1507))+((CROQUIS_DATOS!$C$1476)*CROQUIS_DATOS!$C$1561-(0)*CROQUIS_DATOS!$C$1561))/CROQUIS_DATOS!$C$1568-0.000001))),2)=1,IF(INT(($A8-1)/2)+1&gt;MAX(1,INT(((((CROQUIS_DATOS!$C$1507+CROQUIS_DATOS!$C$1508))-(CROQUIS_DATOS!$C$1507))+((CROQUIS_DATOS!$C$1476)*CROQUIS_DATOS!$C$1561-(0)*CROQUIS_DATOS!$C$1561))/CROQUIS_DATOS!$C$1568-0.000001)),1,MOD($A8-1,2)),1-IF(INT(($A8-1)/2)+1&gt;MAX(1,INT(((((CROQUIS_DATOS!$C$1507+CROQUIS_DATOS!$C$1508))-(CROQUIS_DATOS!$C$1507))+((CROQUIS_DATOS!$C$1476)*CROQUIS_DATOS!$C$1561-(0)*CROQUIS_DATOS!$C$1561))/CROQUIS_DATOS!$C$1568-0.000001)),1,MOD($A8-1,2)))=1,MIN((CROQUIS_DATOS!$C$1476)*CROQUIS_DATOS!$C$1561,((CROQUIS_DATOS!$C$1507+CROQUIS_DATOS!$C$1508)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8-1)/2)+1,MAX(1,INT(((((CROQUIS_DATOS!$C$1507+CROQUIS_DATOS!$C$1508))-(CROQUIS_DATOS!$C$1507))+((CROQUIS_DATOS!$C$1476)*CROQUIS_DATOS!$C$1561-(0)*CROQUIS_DATOS!$C$1561))/CROQUIS_DATOS!$C$1568-0.000001)))*CROQUIS_DATOS!$C$1568))))*CROQUIS_DATOS!$C$1565),-1000)</f>
        <v>37.2620689655172</v>
      </c>
      <c r="CF8">
        <f>IF(AND(CROQUIS_DATOS!$C$1472=1,CROQUIS_DATOS!$C$1512&gt;0,((CROQUIS_DATOS!$C$1511+CROQUIS_DATOS!$C$1512))-(CROQUIS_DATOS!$C$1511)&gt;0.5,(CROQUIS_DATOS!$C$1476)-(0)&gt;0.5),(CROQUIS_DATOS!$C$1566+(IF(IF(MOD(MIN(INT(($A8-1)/2)+1,MAX(1,INT(((((CROQUIS_DATOS!$C$1511+CROQUIS_DATOS!$C$1512))-(CROQUIS_DATOS!$C$1511))+((CROQUIS_DATOS!$C$1476)*CROQUIS_DATOS!$C$1561-(0)*CROQUIS_DATOS!$C$1561))/CROQUIS_DATOS!$C$1568-0.000001))),2)=1,IF(INT(($A8-1)/2)+1&gt;MAX(1,INT(((((CROQUIS_DATOS!$C$1511+CROQUIS_DATOS!$C$1512))-(CROQUIS_DATOS!$C$1511))+((CROQUIS_DATOS!$C$1476)*CROQUIS_DATOS!$C$1561-(0)*CROQUIS_DATOS!$C$1561))/CROQUIS_DATOS!$C$1568-0.000001)),1,MOD($A8-1,2)),1-IF(INT(($A8-1)/2)+1&gt;MAX(1,INT(((((CROQUIS_DATOS!$C$1511+CROQUIS_DATOS!$C$1512))-(CROQUIS_DATOS!$C$1511))+((CROQUIS_DATOS!$C$1476)*CROQUIS_DATOS!$C$1561-(0)*CROQUIS_DATOS!$C$1561))/CROQUIS_DATOS!$C$1568-0.000001)),1,MOD($A8-1,2)))=1,MIN((CROQUIS_DATOS!$C$1476)*CROQUIS_DATOS!$C$1561,((CROQUIS_DATOS!$C$1511+CROQUIS_DATOS!$C$1512)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">
        <f>IF(AND(CROQUIS_DATOS!$C$1472=1,CROQUIS_DATOS!$C$1512&gt;0,((CROQUIS_DATOS!$C$1511+CROQUIS_DATOS!$C$1512))-(CROQUIS_DATOS!$C$1511)&gt;0.5,(CROQUIS_DATOS!$C$1476)-(0)&gt;0.5),(CROQUIS_DATOS!$C$1567+(IF(IF(MOD(MIN(INT(($A8-1)/2)+1,MAX(1,INT(((((CROQUIS_DATOS!$C$1511+CROQUIS_DATOS!$C$1512))-(CROQUIS_DATOS!$C$1511))+((CROQUIS_DATOS!$C$1476)*CROQUIS_DATOS!$C$1561-(0)*CROQUIS_DATOS!$C$1561))/CROQUIS_DATOS!$C$1568-0.000001))),2)=1,IF(INT(($A8-1)/2)+1&gt;MAX(1,INT(((((CROQUIS_DATOS!$C$1511+CROQUIS_DATOS!$C$1512))-(CROQUIS_DATOS!$C$1511))+((CROQUIS_DATOS!$C$1476)*CROQUIS_DATOS!$C$1561-(0)*CROQUIS_DATOS!$C$1561))/CROQUIS_DATOS!$C$1568-0.000001)),1,MOD($A8-1,2)),1-IF(INT(($A8-1)/2)+1&gt;MAX(1,INT(((((CROQUIS_DATOS!$C$1511+CROQUIS_DATOS!$C$1512))-(CROQUIS_DATOS!$C$1511))+((CROQUIS_DATOS!$C$1476)*CROQUIS_DATOS!$C$1561-(0)*CROQUIS_DATOS!$C$1561))/CROQUIS_DATOS!$C$1568-0.000001)),1,MOD($A8-1,2)))=1,MIN((CROQUIS_DATOS!$C$1476)*CROQUIS_DATOS!$C$1561,((CROQUIS_DATOS!$C$1511+CROQUIS_DATOS!$C$1512)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">
        <f>IF(AND(CROQUIS_DATOS!$C$1472=1,CROQUIS_DATOS!$C$1516&gt;0,((CROQUIS_DATOS!$C$1515+CROQUIS_DATOS!$C$1516))-(CROQUIS_DATOS!$C$1515)&gt;0.5,(CROQUIS_DATOS!$C$1476)-(0)&gt;0.5),(CROQUIS_DATOS!$C$1566+(IF(IF(MOD(MIN(INT(($A8-1)/2)+1,MAX(1,INT(((((CROQUIS_DATOS!$C$1515+CROQUIS_DATOS!$C$1516))-(CROQUIS_DATOS!$C$1515))+((CROQUIS_DATOS!$C$1476)*CROQUIS_DATOS!$C$1561-(0)*CROQUIS_DATOS!$C$1561))/CROQUIS_DATOS!$C$1568-0.000001))),2)=1,IF(INT(($A8-1)/2)+1&gt;MAX(1,INT(((((CROQUIS_DATOS!$C$1515+CROQUIS_DATOS!$C$1516))-(CROQUIS_DATOS!$C$1515))+((CROQUIS_DATOS!$C$1476)*CROQUIS_DATOS!$C$1561-(0)*CROQUIS_DATOS!$C$1561))/CROQUIS_DATOS!$C$1568-0.000001)),1,MOD($A8-1,2)),1-IF(INT(($A8-1)/2)+1&gt;MAX(1,INT(((((CROQUIS_DATOS!$C$1515+CROQUIS_DATOS!$C$1516))-(CROQUIS_DATOS!$C$1515))+((CROQUIS_DATOS!$C$1476)*CROQUIS_DATOS!$C$1561-(0)*CROQUIS_DATOS!$C$1561))/CROQUIS_DATOS!$C$1568-0.000001)),1,MOD($A8-1,2)))=1,MIN((CROQUIS_DATOS!$C$1476)*CROQUIS_DATOS!$C$1561,((CROQUIS_DATOS!$C$1515+CROQUIS_DATOS!$C$1516)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">
        <f>IF(AND(CROQUIS_DATOS!$C$1472=1,CROQUIS_DATOS!$C$1516&gt;0,((CROQUIS_DATOS!$C$1515+CROQUIS_DATOS!$C$1516))-(CROQUIS_DATOS!$C$1515)&gt;0.5,(CROQUIS_DATOS!$C$1476)-(0)&gt;0.5),(CROQUIS_DATOS!$C$1567+(IF(IF(MOD(MIN(INT(($A8-1)/2)+1,MAX(1,INT(((((CROQUIS_DATOS!$C$1515+CROQUIS_DATOS!$C$1516))-(CROQUIS_DATOS!$C$1515))+((CROQUIS_DATOS!$C$1476)*CROQUIS_DATOS!$C$1561-(0)*CROQUIS_DATOS!$C$1561))/CROQUIS_DATOS!$C$1568-0.000001))),2)=1,IF(INT(($A8-1)/2)+1&gt;MAX(1,INT(((((CROQUIS_DATOS!$C$1515+CROQUIS_DATOS!$C$1516))-(CROQUIS_DATOS!$C$1515))+((CROQUIS_DATOS!$C$1476)*CROQUIS_DATOS!$C$1561-(0)*CROQUIS_DATOS!$C$1561))/CROQUIS_DATOS!$C$1568-0.000001)),1,MOD($A8-1,2)),1-IF(INT(($A8-1)/2)+1&gt;MAX(1,INT(((((CROQUIS_DATOS!$C$1515+CROQUIS_DATOS!$C$1516))-(CROQUIS_DATOS!$C$1515))+((CROQUIS_DATOS!$C$1476)*CROQUIS_DATOS!$C$1561-(0)*CROQUIS_DATOS!$C$1561))/CROQUIS_DATOS!$C$1568-0.000001)),1,MOD($A8-1,2)))=1,MIN((CROQUIS_DATOS!$C$1476)*CROQUIS_DATOS!$C$1561,((CROQUIS_DATOS!$C$1515+CROQUIS_DATOS!$C$1516)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">
        <f>IF(AND(CROQUIS_DATOS!$C$1472=1,CROQUIS_DATOS!$C$1478&gt;=1,((CROQUIS_DATOS!$C$1479+CROQUIS_DATOS!$C$1480))-(CROQUIS_DATOS!$C$1479)&gt;0.5,(CROQUIS_DATOS!$C$1481)-(0)&gt;0.5),(CROQUIS_DATOS!$C$1566+(IF(IF(MOD(MIN(INT(($A8-1)/2)+1,MAX(1,INT(((((CROQUIS_DATOS!$C$1479+CROQUIS_DATOS!$C$1480))-(CROQUIS_DATOS!$C$1479))+((CROQUIS_DATOS!$C$1481)*CROQUIS_DATOS!$C$1561-(0)*CROQUIS_DATOS!$C$1561))/CROQUIS_DATOS!$C$1568-0.000001))),2)=1,IF(INT(($A8-1)/2)+1&gt;MAX(1,INT(((((CROQUIS_DATOS!$C$1479+CROQUIS_DATOS!$C$1480))-(CROQUIS_DATOS!$C$1479))+((CROQUIS_DATOS!$C$1481)*CROQUIS_DATOS!$C$1561-(0)*CROQUIS_DATOS!$C$1561))/CROQUIS_DATOS!$C$1568-0.000001)),1,MOD($A8-1,2)),1-IF(INT(($A8-1)/2)+1&gt;MAX(1,INT(((((CROQUIS_DATOS!$C$1479+CROQUIS_DATOS!$C$1480))-(CROQUIS_DATOS!$C$1479))+((CROQUIS_DATOS!$C$1481)*CROQUIS_DATOS!$C$1561-(0)*CROQUIS_DATOS!$C$1561))/CROQUIS_DATOS!$C$1568-0.000001)),1,MOD($A8-1,2)))=1,MIN((CROQUIS_DATOS!$C$1481)*CROQUIS_DATOS!$C$1561,((CROQUIS_DATOS!$C$1479+CROQUIS_DATOS!$C$1480)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">
        <f>IF(AND(CROQUIS_DATOS!$C$1472=1,CROQUIS_DATOS!$C$1478&gt;=1,((CROQUIS_DATOS!$C$1479+CROQUIS_DATOS!$C$1480))-(CROQUIS_DATOS!$C$1479)&gt;0.5,(CROQUIS_DATOS!$C$1481)-(0)&gt;0.5),(CROQUIS_DATOS!$C$1567+(IF(IF(MOD(MIN(INT(($A8-1)/2)+1,MAX(1,INT(((((CROQUIS_DATOS!$C$1479+CROQUIS_DATOS!$C$1480))-(CROQUIS_DATOS!$C$1479))+((CROQUIS_DATOS!$C$1481)*CROQUIS_DATOS!$C$1561-(0)*CROQUIS_DATOS!$C$1561))/CROQUIS_DATOS!$C$1568-0.000001))),2)=1,IF(INT(($A8-1)/2)+1&gt;MAX(1,INT(((((CROQUIS_DATOS!$C$1479+CROQUIS_DATOS!$C$1480))-(CROQUIS_DATOS!$C$1479))+((CROQUIS_DATOS!$C$1481)*CROQUIS_DATOS!$C$1561-(0)*CROQUIS_DATOS!$C$1561))/CROQUIS_DATOS!$C$1568-0.000001)),1,MOD($A8-1,2)),1-IF(INT(($A8-1)/2)+1&gt;MAX(1,INT(((((CROQUIS_DATOS!$C$1479+CROQUIS_DATOS!$C$1480))-(CROQUIS_DATOS!$C$1479))+((CROQUIS_DATOS!$C$1481)*CROQUIS_DATOS!$C$1561-(0)*CROQUIS_DATOS!$C$1561))/CROQUIS_DATOS!$C$1568-0.000001)),1,MOD($A8-1,2)))=1,MIN((CROQUIS_DATOS!$C$1481)*CROQUIS_DATOS!$C$1561,((CROQUIS_DATOS!$C$1479+CROQUIS_DATOS!$C$1480)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">
        <f>IF(AND(CROQUIS_DATOS!$C$1472=1,CROQUIS_DATOS!$C$1478&gt;=1,((CROQUIS_DATOS!$C$1479+CROQUIS_DATOS!$C$1480))-(CROQUIS_DATOS!$C$1479)&gt;0.5,(CROQUIS_DATOS!$C$1476)-((CROQUIS_DATOS!$C$1481+CROQUIS_DATOS!$C$1482))&gt;0.5),(CROQUIS_DATOS!$C$1566+(IF(IF(MOD(MIN(INT(($A8-1)/2)+1,MAX(1,INT(((((CROQUIS_DATOS!$C$1479+CROQUIS_DATOS!$C$1480))-(CROQUIS_DATOS!$C$1479))+((CROQUIS_DATOS!$C$1476)*CROQUIS_DATOS!$C$1561-((CROQUIS_DATOS!$C$1481+CROQUIS_DATOS!$C$1482))*CROQUIS_DATOS!$C$1561))/CROQUIS_DATOS!$C$1568-0.000001))),2)=1,IF(INT(($A8-1)/2)+1&gt;MAX(1,INT(((((CROQUIS_DATOS!$C$1479+CROQUIS_DATOS!$C$1480))-(CROQUIS_DATOS!$C$1479))+((CROQUIS_DATOS!$C$1476)*CROQUIS_DATOS!$C$1561-((CROQUIS_DATOS!$C$1481+CROQUIS_DATOS!$C$1482))*CROQUIS_DATOS!$C$1561))/CROQUIS_DATOS!$C$1568-0.000001)),1,MOD($A8-1,2)),1-IF(INT(($A8-1)/2)+1&gt;MAX(1,INT(((((CROQUIS_DATOS!$C$1479+CROQUIS_DATOS!$C$1480))-(CROQUIS_DATOS!$C$1479))+((CROQUIS_DATOS!$C$1476)*CROQUIS_DATOS!$C$1561-((CROQUIS_DATOS!$C$1481+CROQUIS_DATOS!$C$1482))*CROQUIS_DATOS!$C$1561))/CROQUIS_DATOS!$C$1568-0.000001)),1,MOD($A8-1,2)))=1,MIN((CROQUIS_DATOS!$C$1476)*CROQUIS_DATOS!$C$1561,((CROQUIS_DATOS!$C$1479+CROQUIS_DATOS!$C$1480)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28.551724137931</v>
      </c>
      <c r="CM8">
        <f>IF(AND(CROQUIS_DATOS!$C$1472=1,CROQUIS_DATOS!$C$1478&gt;=1,((CROQUIS_DATOS!$C$1479+CROQUIS_DATOS!$C$1480))-(CROQUIS_DATOS!$C$1479)&gt;0.5,(CROQUIS_DATOS!$C$1476)-((CROQUIS_DATOS!$C$1481+CROQUIS_DATOS!$C$1482))&gt;0.5),(CROQUIS_DATOS!$C$1567+(IF(IF(MOD(MIN(INT(($A8-1)/2)+1,MAX(1,INT(((((CROQUIS_DATOS!$C$1479+CROQUIS_DATOS!$C$1480))-(CROQUIS_DATOS!$C$1479))+((CROQUIS_DATOS!$C$1476)*CROQUIS_DATOS!$C$1561-((CROQUIS_DATOS!$C$1481+CROQUIS_DATOS!$C$1482))*CROQUIS_DATOS!$C$1561))/CROQUIS_DATOS!$C$1568-0.000001))),2)=1,IF(INT(($A8-1)/2)+1&gt;MAX(1,INT(((((CROQUIS_DATOS!$C$1479+CROQUIS_DATOS!$C$1480))-(CROQUIS_DATOS!$C$1479))+((CROQUIS_DATOS!$C$1476)*CROQUIS_DATOS!$C$1561-((CROQUIS_DATOS!$C$1481+CROQUIS_DATOS!$C$1482))*CROQUIS_DATOS!$C$1561))/CROQUIS_DATOS!$C$1568-0.000001)),1,MOD($A8-1,2)),1-IF(INT(($A8-1)/2)+1&gt;MAX(1,INT(((((CROQUIS_DATOS!$C$1479+CROQUIS_DATOS!$C$1480))-(CROQUIS_DATOS!$C$1479))+((CROQUIS_DATOS!$C$1476)*CROQUIS_DATOS!$C$1561-((CROQUIS_DATOS!$C$1481+CROQUIS_DATOS!$C$1482))*CROQUIS_DATOS!$C$1561))/CROQUIS_DATOS!$C$1568-0.000001)),1,MOD($A8-1,2)))=1,MIN((CROQUIS_DATOS!$C$1476)*CROQUIS_DATOS!$C$1561,((CROQUIS_DATOS!$C$1479+CROQUIS_DATOS!$C$1480)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37.2620689655172</v>
      </c>
      <c r="CN8">
        <f>IF(AND(CROQUIS_DATOS!$C$1472=1,CROQUIS_DATOS!$C$1478&gt;=1),CHOOSE(MIN(MAX($A8,1)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28.551724137931</v>
      </c>
      <c r="CO8">
        <f>IF(AND(CROQUIS_DATOS!$C$1472=1,CROQUIS_DATOS!$C$1478&gt;=1),CHOOSE(MIN(MAX($A8,1)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12.1379310344828</v>
      </c>
      <c r="CP8">
        <f>IF(AND(CROQUIS_DATOS!$C$1472=1,CROQUIS_DATOS!$C$1478&gt;=1),(CROQUIS_DATOS!$C$1566+((CROQUIS_DATOS!$C$1479+(CROQUIS_DATOS!$C$1479+CROQUIS_DATOS!$C$1480))/2)*CROQUIS_DATOS!$C$1565),-1000)</f>
        <v>33.3620689655172</v>
      </c>
      <c r="CQ8">
        <f>IF(AND(CROQUIS_DATOS!$C$1472=1,CROQUIS_DATOS!$C$1478&gt;=1),(CROQUIS_DATOS!$C$1567+((CROQUIS_DATOS!$C$1481+(CROQUIS_DATOS!$C$1481+CROQUIS_DATOS!$C$1482))/2)*CROQUIS_DATOS!$C$1561*CROQUIS_DATOS!$C$1565),-1000)</f>
        <v>23.3620689655172</v>
      </c>
      <c r="CR8">
        <f>IF(AND(CROQUIS_DATOS!$C$1472=1,CROQUIS_DATOS!$C$1478&gt;=2,((CROQUIS_DATOS!$C$1484+CROQUIS_DATOS!$C$1485))-(CROQUIS_DATOS!$C$1484)&gt;0.5,(CROQUIS_DATOS!$C$1486)-(0)&gt;0.5),(CROQUIS_DATOS!$C$1566+(IF(IF(MOD(MIN(INT(($A8-1)/2)+1,MAX(1,INT(((((CROQUIS_DATOS!$C$1484+CROQUIS_DATOS!$C$1485))-(CROQUIS_DATOS!$C$1484))+((CROQUIS_DATOS!$C$1486)*CROQUIS_DATOS!$C$1561-(0)*CROQUIS_DATOS!$C$1561))/CROQUIS_DATOS!$C$1568-0.000001))),2)=1,IF(INT(($A8-1)/2)+1&gt;MAX(1,INT(((((CROQUIS_DATOS!$C$1484+CROQUIS_DATOS!$C$1485))-(CROQUIS_DATOS!$C$1484))+((CROQUIS_DATOS!$C$1486)*CROQUIS_DATOS!$C$1561-(0)*CROQUIS_DATOS!$C$1561))/CROQUIS_DATOS!$C$1568-0.000001)),1,MOD($A8-1,2)),1-IF(INT(($A8-1)/2)+1&gt;MAX(1,INT(((((CROQUIS_DATOS!$C$1484+CROQUIS_DATOS!$C$1485))-(CROQUIS_DATOS!$C$1484))+((CROQUIS_DATOS!$C$1486)*CROQUIS_DATOS!$C$1561-(0)*CROQUIS_DATOS!$C$1561))/CROQUIS_DATOS!$C$1568-0.000001)),1,MOD($A8-1,2)))=1,MIN((CROQUIS_DATOS!$C$1486)*CROQUIS_DATOS!$C$1561,((CROQUIS_DATOS!$C$1484+CROQUIS_DATOS!$C$1485)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*CROQUIS_DATOS!$C$1565),-1000)</f>
        <v>48.8620689655172</v>
      </c>
      <c r="CS8">
        <f>IF(AND(CROQUIS_DATOS!$C$1472=1,CROQUIS_DATOS!$C$1478&gt;=2,((CROQUIS_DATOS!$C$1484+CROQUIS_DATOS!$C$1485))-(CROQUIS_DATOS!$C$1484)&gt;0.5,(CROQUIS_DATOS!$C$1486)-(0)&gt;0.5),(CROQUIS_DATOS!$C$1567+(IF(IF(MOD(MIN(INT(($A8-1)/2)+1,MAX(1,INT(((((CROQUIS_DATOS!$C$1484+CROQUIS_DATOS!$C$1485))-(CROQUIS_DATOS!$C$1484))+((CROQUIS_DATOS!$C$1486)*CROQUIS_DATOS!$C$1561-(0)*CROQUIS_DATOS!$C$1561))/CROQUIS_DATOS!$C$1568-0.000001))),2)=1,IF(INT(($A8-1)/2)+1&gt;MAX(1,INT(((((CROQUIS_DATOS!$C$1484+CROQUIS_DATOS!$C$1485))-(CROQUIS_DATOS!$C$1484))+((CROQUIS_DATOS!$C$1486)*CROQUIS_DATOS!$C$1561-(0)*CROQUIS_DATOS!$C$1561))/CROQUIS_DATOS!$C$1568-0.000001)),1,MOD($A8-1,2)),1-IF(INT(($A8-1)/2)+1&gt;MAX(1,INT(((((CROQUIS_DATOS!$C$1484+CROQUIS_DATOS!$C$1485))-(CROQUIS_DATOS!$C$1484))+((CROQUIS_DATOS!$C$1486)*CROQUIS_DATOS!$C$1561-(0)*CROQUIS_DATOS!$C$1561))/CROQUIS_DATOS!$C$1568-0.000001)),1,MOD($A8-1,2)))=1,MIN((CROQUIS_DATOS!$C$1486)*CROQUIS_DATOS!$C$1561,((CROQUIS_DATOS!$C$1484+CROQUIS_DATOS!$C$1485)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8-1)/2)+1,MAX(1,INT(((((CROQUIS_DATOS!$C$1484+CROQUIS_DATOS!$C$1485))-(CROQUIS_DATOS!$C$1484))+((CROQUIS_DATOS!$C$1486)*CROQUIS_DATOS!$C$1561-(0)*CROQUIS_DATOS!$C$1561))/CROQUIS_DATOS!$C$1568-0.000001)))*CROQUIS_DATOS!$C$1568))))*CROQUIS_DATOS!$C$1565),-1000)</f>
        <v>20.1586206896552</v>
      </c>
      <c r="CT8">
        <f>IF(AND(CROQUIS_DATOS!$C$1472=1,CROQUIS_DATOS!$C$1478&gt;=2,((CROQUIS_DATOS!$C$1484+CROQUIS_DATOS!$C$1485))-(CROQUIS_DATOS!$C$1484)&gt;0.5,(CROQUIS_DATOS!$C$1476)-((CROQUIS_DATOS!$C$1486+CROQUIS_DATOS!$C$1487))&gt;0.5),(CROQUIS_DATOS!$C$1566+(IF(IF(MOD(MIN(INT(($A8-1)/2)+1,MAX(1,INT(((((CROQUIS_DATOS!$C$1484+CROQUIS_DATOS!$C$1485))-(CROQUIS_DATOS!$C$1484))+((CROQUIS_DATOS!$C$1476)*CROQUIS_DATOS!$C$1561-((CROQUIS_DATOS!$C$1486+CROQUIS_DATOS!$C$1487))*CROQUIS_DATOS!$C$1561))/CROQUIS_DATOS!$C$1568-0.000001))),2)=1,IF(INT(($A8-1)/2)+1&gt;MAX(1,INT(((((CROQUIS_DATOS!$C$1484+CROQUIS_DATOS!$C$1485))-(CROQUIS_DATOS!$C$1484))+((CROQUIS_DATOS!$C$1476)*CROQUIS_DATOS!$C$1561-((CROQUIS_DATOS!$C$1486+CROQUIS_DATOS!$C$1487))*CROQUIS_DATOS!$C$1561))/CROQUIS_DATOS!$C$1568-0.000001)),1,MOD($A8-1,2)),1-IF(INT(($A8-1)/2)+1&gt;MAX(1,INT(((((CROQUIS_DATOS!$C$1484+CROQUIS_DATOS!$C$1485))-(CROQUIS_DATOS!$C$1484))+((CROQUIS_DATOS!$C$1476)*CROQUIS_DATOS!$C$1561-((CROQUIS_DATOS!$C$1486+CROQUIS_DATOS!$C$1487))*CROQUIS_DATOS!$C$1561))/CROQUIS_DATOS!$C$1568-0.000001)),1,MOD($A8-1,2)))=1,MIN((CROQUIS_DATOS!$C$1476)*CROQUIS_DATOS!$C$1561,((CROQUIS_DATOS!$C$1484+CROQUIS_DATOS!$C$1485)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48.8620689655172</v>
      </c>
      <c r="CU8">
        <f>IF(AND(CROQUIS_DATOS!$C$1472=1,CROQUIS_DATOS!$C$1478&gt;=2,((CROQUIS_DATOS!$C$1484+CROQUIS_DATOS!$C$1485))-(CROQUIS_DATOS!$C$1484)&gt;0.5,(CROQUIS_DATOS!$C$1476)-((CROQUIS_DATOS!$C$1486+CROQUIS_DATOS!$C$1487))&gt;0.5),(CROQUIS_DATOS!$C$1567+(IF(IF(MOD(MIN(INT(($A8-1)/2)+1,MAX(1,INT(((((CROQUIS_DATOS!$C$1484+CROQUIS_DATOS!$C$1485))-(CROQUIS_DATOS!$C$1484))+((CROQUIS_DATOS!$C$1476)*CROQUIS_DATOS!$C$1561-((CROQUIS_DATOS!$C$1486+CROQUIS_DATOS!$C$1487))*CROQUIS_DATOS!$C$1561))/CROQUIS_DATOS!$C$1568-0.000001))),2)=1,IF(INT(($A8-1)/2)+1&gt;MAX(1,INT(((((CROQUIS_DATOS!$C$1484+CROQUIS_DATOS!$C$1485))-(CROQUIS_DATOS!$C$1484))+((CROQUIS_DATOS!$C$1476)*CROQUIS_DATOS!$C$1561-((CROQUIS_DATOS!$C$1486+CROQUIS_DATOS!$C$1487))*CROQUIS_DATOS!$C$1561))/CROQUIS_DATOS!$C$1568-0.000001)),1,MOD($A8-1,2)),1-IF(INT(($A8-1)/2)+1&gt;MAX(1,INT(((((CROQUIS_DATOS!$C$1484+CROQUIS_DATOS!$C$1485))-(CROQUIS_DATOS!$C$1484))+((CROQUIS_DATOS!$C$1476)*CROQUIS_DATOS!$C$1561-((CROQUIS_DATOS!$C$1486+CROQUIS_DATOS!$C$1487))*CROQUIS_DATOS!$C$1561))/CROQUIS_DATOS!$C$1568-0.000001)),1,MOD($A8-1,2)))=1,MIN((CROQUIS_DATOS!$C$1476)*CROQUIS_DATOS!$C$1561,((CROQUIS_DATOS!$C$1484+CROQUIS_DATOS!$C$1485)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37.2620689655172</v>
      </c>
      <c r="CV8">
        <f>IF(AND(CROQUIS_DATOS!$C$1472=1,CROQUIS_DATOS!$C$1478&gt;=2),CHOOSE(MIN(MAX($A8,1)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48.8620689655172</v>
      </c>
      <c r="CW8">
        <f>IF(AND(CROQUIS_DATOS!$C$1472=1,CROQUIS_DATOS!$C$1478&gt;=2),CHOOSE(MIN(MAX($A8,1)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21.7586206896552</v>
      </c>
      <c r="CX8">
        <f>IF(AND(CROQUIS_DATOS!$C$1472=1,CROQUIS_DATOS!$C$1478&gt;=2),(CROQUIS_DATOS!$C$1566+((CROQUIS_DATOS!$C$1484+(CROQUIS_DATOS!$C$1484+CROQUIS_DATOS!$C$1485))/2)*CROQUIS_DATOS!$C$1565),-1000)</f>
        <v>56.8793103448276</v>
      </c>
      <c r="CY8">
        <f>IF(AND(CROQUIS_DATOS!$C$1472=1,CROQUIS_DATOS!$C$1478&gt;=2),(CROQUIS_DATOS!$C$1567+((CROQUIS_DATOS!$C$1486+(CROQUIS_DATOS!$C$1486+CROQUIS_DATOS!$C$1487))/2)*CROQUIS_DATOS!$C$1561*CROQUIS_DATOS!$C$1565),-1000)</f>
        <v>28.1724137931035</v>
      </c>
      <c r="CZ8">
        <f>IF(AND(CROQUIS_DATOS!$C$1472=1,CROQUIS_DATOS!$C$1478&gt;=3,((CROQUIS_DATOS!$C$1489+CROQUIS_DATOS!$C$1490))-(CROQUIS_DATOS!$C$1489)&gt;0.5,(CROQUIS_DATOS!$C$1491)-(0)&gt;0.5),(CROQUIS_DATOS!$C$1566+(IF(IF(MOD(MIN(INT(($A8-1)/2)+1,MAX(1,INT(((((CROQUIS_DATOS!$C$1489+CROQUIS_DATOS!$C$1490))-(CROQUIS_DATOS!$C$1489))+((CROQUIS_DATOS!$C$1491)*CROQUIS_DATOS!$C$1561-(0)*CROQUIS_DATOS!$C$1561))/CROQUIS_DATOS!$C$1568-0.000001))),2)=1,IF(INT(($A8-1)/2)+1&gt;MAX(1,INT(((((CROQUIS_DATOS!$C$1489+CROQUIS_DATOS!$C$1490))-(CROQUIS_DATOS!$C$1489))+((CROQUIS_DATOS!$C$1491)*CROQUIS_DATOS!$C$1561-(0)*CROQUIS_DATOS!$C$1561))/CROQUIS_DATOS!$C$1568-0.000001)),1,MOD($A8-1,2)),1-IF(INT(($A8-1)/2)+1&gt;MAX(1,INT(((((CROQUIS_DATOS!$C$1489+CROQUIS_DATOS!$C$1490))-(CROQUIS_DATOS!$C$1489))+((CROQUIS_DATOS!$C$1491)*CROQUIS_DATOS!$C$1561-(0)*CROQUIS_DATOS!$C$1561))/CROQUIS_DATOS!$C$1568-0.000001)),1,MOD($A8-1,2)))=1,MIN((CROQUIS_DATOS!$C$1491)*CROQUIS_DATOS!$C$1561,((CROQUIS_DATOS!$C$1489+CROQUIS_DATOS!$C$1490)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">
        <f>IF(AND(CROQUIS_DATOS!$C$1472=1,CROQUIS_DATOS!$C$1478&gt;=3,((CROQUIS_DATOS!$C$1489+CROQUIS_DATOS!$C$1490))-(CROQUIS_DATOS!$C$1489)&gt;0.5,(CROQUIS_DATOS!$C$1491)-(0)&gt;0.5),(CROQUIS_DATOS!$C$1567+(IF(IF(MOD(MIN(INT(($A8-1)/2)+1,MAX(1,INT(((((CROQUIS_DATOS!$C$1489+CROQUIS_DATOS!$C$1490))-(CROQUIS_DATOS!$C$1489))+((CROQUIS_DATOS!$C$1491)*CROQUIS_DATOS!$C$1561-(0)*CROQUIS_DATOS!$C$1561))/CROQUIS_DATOS!$C$1568-0.000001))),2)=1,IF(INT(($A8-1)/2)+1&gt;MAX(1,INT(((((CROQUIS_DATOS!$C$1489+CROQUIS_DATOS!$C$1490))-(CROQUIS_DATOS!$C$1489))+((CROQUIS_DATOS!$C$1491)*CROQUIS_DATOS!$C$1561-(0)*CROQUIS_DATOS!$C$1561))/CROQUIS_DATOS!$C$1568-0.000001)),1,MOD($A8-1,2)),1-IF(INT(($A8-1)/2)+1&gt;MAX(1,INT(((((CROQUIS_DATOS!$C$1489+CROQUIS_DATOS!$C$1490))-(CROQUIS_DATOS!$C$1489))+((CROQUIS_DATOS!$C$1491)*CROQUIS_DATOS!$C$1561-(0)*CROQUIS_DATOS!$C$1561))/CROQUIS_DATOS!$C$1568-0.000001)),1,MOD($A8-1,2)))=1,MIN((CROQUIS_DATOS!$C$1491)*CROQUIS_DATOS!$C$1561,((CROQUIS_DATOS!$C$1489+CROQUIS_DATOS!$C$1490)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">
        <f>IF(AND(CROQUIS_DATOS!$C$1472=1,CROQUIS_DATOS!$C$1478&gt;=3,((CROQUIS_DATOS!$C$1489+CROQUIS_DATOS!$C$1490))-(CROQUIS_DATOS!$C$1489)&gt;0.5,(CROQUIS_DATOS!$C$1476)-((CROQUIS_DATOS!$C$1491+CROQUIS_DATOS!$C$1492))&gt;0.5),(CROQUIS_DATOS!$C$1566+(IF(IF(MOD(MIN(INT(($A8-1)/2)+1,MAX(1,INT(((((CROQUIS_DATOS!$C$1489+CROQUIS_DATOS!$C$1490))-(CROQUIS_DATOS!$C$1489))+((CROQUIS_DATOS!$C$1476)*CROQUIS_DATOS!$C$1561-((CROQUIS_DATOS!$C$1491+CROQUIS_DATOS!$C$1492))*CROQUIS_DATOS!$C$1561))/CROQUIS_DATOS!$C$1568-0.000001))),2)=1,IF(INT(($A8-1)/2)+1&gt;MAX(1,INT(((((CROQUIS_DATOS!$C$1489+CROQUIS_DATOS!$C$1490))-(CROQUIS_DATOS!$C$1489))+((CROQUIS_DATOS!$C$1476)*CROQUIS_DATOS!$C$1561-((CROQUIS_DATOS!$C$1491+CROQUIS_DATOS!$C$1492))*CROQUIS_DATOS!$C$1561))/CROQUIS_DATOS!$C$1568-0.000001)),1,MOD($A8-1,2)),1-IF(INT(($A8-1)/2)+1&gt;MAX(1,INT(((((CROQUIS_DATOS!$C$1489+CROQUIS_DATOS!$C$1490))-(CROQUIS_DATOS!$C$1489))+((CROQUIS_DATOS!$C$1476)*CROQUIS_DATOS!$C$1561-((CROQUIS_DATOS!$C$1491+CROQUIS_DATOS!$C$1492))*CROQUIS_DATOS!$C$1561))/CROQUIS_DATOS!$C$1568-0.000001)),1,MOD($A8-1,2)))=1,MIN((CROQUIS_DATOS!$C$1476)*CROQUIS_DATOS!$C$1561,((CROQUIS_DATOS!$C$1489+CROQUIS_DATOS!$C$1490)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">
        <f>IF(AND(CROQUIS_DATOS!$C$1472=1,CROQUIS_DATOS!$C$1478&gt;=3,((CROQUIS_DATOS!$C$1489+CROQUIS_DATOS!$C$1490))-(CROQUIS_DATOS!$C$1489)&gt;0.5,(CROQUIS_DATOS!$C$1476)-((CROQUIS_DATOS!$C$1491+CROQUIS_DATOS!$C$1492))&gt;0.5),(CROQUIS_DATOS!$C$1567+(IF(IF(MOD(MIN(INT(($A8-1)/2)+1,MAX(1,INT(((((CROQUIS_DATOS!$C$1489+CROQUIS_DATOS!$C$1490))-(CROQUIS_DATOS!$C$1489))+((CROQUIS_DATOS!$C$1476)*CROQUIS_DATOS!$C$1561-((CROQUIS_DATOS!$C$1491+CROQUIS_DATOS!$C$1492))*CROQUIS_DATOS!$C$1561))/CROQUIS_DATOS!$C$1568-0.000001))),2)=1,IF(INT(($A8-1)/2)+1&gt;MAX(1,INT(((((CROQUIS_DATOS!$C$1489+CROQUIS_DATOS!$C$1490))-(CROQUIS_DATOS!$C$1489))+((CROQUIS_DATOS!$C$1476)*CROQUIS_DATOS!$C$1561-((CROQUIS_DATOS!$C$1491+CROQUIS_DATOS!$C$1492))*CROQUIS_DATOS!$C$1561))/CROQUIS_DATOS!$C$1568-0.000001)),1,MOD($A8-1,2)),1-IF(INT(($A8-1)/2)+1&gt;MAX(1,INT(((((CROQUIS_DATOS!$C$1489+CROQUIS_DATOS!$C$1490))-(CROQUIS_DATOS!$C$1489))+((CROQUIS_DATOS!$C$1476)*CROQUIS_DATOS!$C$1561-((CROQUIS_DATOS!$C$1491+CROQUIS_DATOS!$C$1492))*CROQUIS_DATOS!$C$1561))/CROQUIS_DATOS!$C$1568-0.000001)),1,MOD($A8-1,2)))=1,MIN((CROQUIS_DATOS!$C$1476)*CROQUIS_DATOS!$C$1561,((CROQUIS_DATOS!$C$1489+CROQUIS_DATOS!$C$1490)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8">
        <f>IF(AND(CROQUIS_DATOS!$C$1472=1,CROQUIS_DATOS!$C$1478&gt;=3),CHOOSE(MIN(MAX($A8,1)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8">
        <f>IF(AND(CROQUIS_DATOS!$C$1472=1,CROQUIS_DATOS!$C$1478&gt;=3),CHOOSE(MIN(MAX($A8,1)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F8">
        <f>IF(AND(CROQUIS_DATOS!$C$1472=1,CROQUIS_DATOS!$C$1478&gt;=3),(CROQUIS_DATOS!$C$1566+((CROQUIS_DATOS!$C$1489+(CROQUIS_DATOS!$C$1489+CROQUIS_DATOS!$C$1490))/2)*CROQUIS_DATOS!$C$1565),-1000)</f>
        <v>-1000</v>
      </c>
      <c r="DG8">
        <f>IF(AND(CROQUIS_DATOS!$C$1472=1,CROQUIS_DATOS!$C$1478&gt;=3),(CROQUIS_DATOS!$C$1567+((CROQUIS_DATOS!$C$1491+(CROQUIS_DATOS!$C$1491+CROQUIS_DATOS!$C$1492))/2)*CROQUIS_DATOS!$C$1561*CROQUIS_DATOS!$C$1565),-1000)</f>
        <v>-1000</v>
      </c>
      <c r="DH8">
        <f>IF(AND(CROQUIS_DATOS!$C$1472=1,CROQUIS_DATOS!$C$1478&gt;=4,((CROQUIS_DATOS!$C$1494+CROQUIS_DATOS!$C$1495))-(CROQUIS_DATOS!$C$1494)&gt;0.5,(CROQUIS_DATOS!$C$1496)-(0)&gt;0.5),(CROQUIS_DATOS!$C$1566+(IF(IF(MOD(MIN(INT(($A8-1)/2)+1,MAX(1,INT(((((CROQUIS_DATOS!$C$1494+CROQUIS_DATOS!$C$1495))-(CROQUIS_DATOS!$C$1494))+((CROQUIS_DATOS!$C$1496)*CROQUIS_DATOS!$C$1561-(0)*CROQUIS_DATOS!$C$1561))/CROQUIS_DATOS!$C$1568-0.000001))),2)=1,IF(INT(($A8-1)/2)+1&gt;MAX(1,INT(((((CROQUIS_DATOS!$C$1494+CROQUIS_DATOS!$C$1495))-(CROQUIS_DATOS!$C$1494))+((CROQUIS_DATOS!$C$1496)*CROQUIS_DATOS!$C$1561-(0)*CROQUIS_DATOS!$C$1561))/CROQUIS_DATOS!$C$1568-0.000001)),1,MOD($A8-1,2)),1-IF(INT(($A8-1)/2)+1&gt;MAX(1,INT(((((CROQUIS_DATOS!$C$1494+CROQUIS_DATOS!$C$1495))-(CROQUIS_DATOS!$C$1494))+((CROQUIS_DATOS!$C$1496)*CROQUIS_DATOS!$C$1561-(0)*CROQUIS_DATOS!$C$1561))/CROQUIS_DATOS!$C$1568-0.000001)),1,MOD($A8-1,2)))=1,MIN((CROQUIS_DATOS!$C$1496)*CROQUIS_DATOS!$C$1561,((CROQUIS_DATOS!$C$1494+CROQUIS_DATOS!$C$1495)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">
        <f>IF(AND(CROQUIS_DATOS!$C$1472=1,CROQUIS_DATOS!$C$1478&gt;=4,((CROQUIS_DATOS!$C$1494+CROQUIS_DATOS!$C$1495))-(CROQUIS_DATOS!$C$1494)&gt;0.5,(CROQUIS_DATOS!$C$1496)-(0)&gt;0.5),(CROQUIS_DATOS!$C$1567+(IF(IF(MOD(MIN(INT(($A8-1)/2)+1,MAX(1,INT(((((CROQUIS_DATOS!$C$1494+CROQUIS_DATOS!$C$1495))-(CROQUIS_DATOS!$C$1494))+((CROQUIS_DATOS!$C$1496)*CROQUIS_DATOS!$C$1561-(0)*CROQUIS_DATOS!$C$1561))/CROQUIS_DATOS!$C$1568-0.000001))),2)=1,IF(INT(($A8-1)/2)+1&gt;MAX(1,INT(((((CROQUIS_DATOS!$C$1494+CROQUIS_DATOS!$C$1495))-(CROQUIS_DATOS!$C$1494))+((CROQUIS_DATOS!$C$1496)*CROQUIS_DATOS!$C$1561-(0)*CROQUIS_DATOS!$C$1561))/CROQUIS_DATOS!$C$1568-0.000001)),1,MOD($A8-1,2)),1-IF(INT(($A8-1)/2)+1&gt;MAX(1,INT(((((CROQUIS_DATOS!$C$1494+CROQUIS_DATOS!$C$1495))-(CROQUIS_DATOS!$C$1494))+((CROQUIS_DATOS!$C$1496)*CROQUIS_DATOS!$C$1561-(0)*CROQUIS_DATOS!$C$1561))/CROQUIS_DATOS!$C$1568-0.000001)),1,MOD($A8-1,2)))=1,MIN((CROQUIS_DATOS!$C$1496)*CROQUIS_DATOS!$C$1561,((CROQUIS_DATOS!$C$1494+CROQUIS_DATOS!$C$1495)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">
        <f>IF(AND(CROQUIS_DATOS!$C$1472=1,CROQUIS_DATOS!$C$1478&gt;=4,((CROQUIS_DATOS!$C$1494+CROQUIS_DATOS!$C$1495))-(CROQUIS_DATOS!$C$1494)&gt;0.5,(CROQUIS_DATOS!$C$1476)-((CROQUIS_DATOS!$C$1496+CROQUIS_DATOS!$C$1497))&gt;0.5),(CROQUIS_DATOS!$C$1566+(IF(IF(MOD(MIN(INT(($A8-1)/2)+1,MAX(1,INT(((((CROQUIS_DATOS!$C$1494+CROQUIS_DATOS!$C$1495))-(CROQUIS_DATOS!$C$1494))+((CROQUIS_DATOS!$C$1476)*CROQUIS_DATOS!$C$1561-((CROQUIS_DATOS!$C$1496+CROQUIS_DATOS!$C$1497))*CROQUIS_DATOS!$C$1561))/CROQUIS_DATOS!$C$1568-0.000001))),2)=1,IF(INT(($A8-1)/2)+1&gt;MAX(1,INT(((((CROQUIS_DATOS!$C$1494+CROQUIS_DATOS!$C$1495))-(CROQUIS_DATOS!$C$1494))+((CROQUIS_DATOS!$C$1476)*CROQUIS_DATOS!$C$1561-((CROQUIS_DATOS!$C$1496+CROQUIS_DATOS!$C$1497))*CROQUIS_DATOS!$C$1561))/CROQUIS_DATOS!$C$1568-0.000001)),1,MOD($A8-1,2)),1-IF(INT(($A8-1)/2)+1&gt;MAX(1,INT(((((CROQUIS_DATOS!$C$1494+CROQUIS_DATOS!$C$1495))-(CROQUIS_DATOS!$C$1494))+((CROQUIS_DATOS!$C$1476)*CROQUIS_DATOS!$C$1561-((CROQUIS_DATOS!$C$1496+CROQUIS_DATOS!$C$1497))*CROQUIS_DATOS!$C$1561))/CROQUIS_DATOS!$C$1568-0.000001)),1,MOD($A8-1,2)))=1,MIN((CROQUIS_DATOS!$C$1476)*CROQUIS_DATOS!$C$1561,((CROQUIS_DATOS!$C$1494+CROQUIS_DATOS!$C$1495)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">
        <f>IF(AND(CROQUIS_DATOS!$C$1472=1,CROQUIS_DATOS!$C$1478&gt;=4,((CROQUIS_DATOS!$C$1494+CROQUIS_DATOS!$C$1495))-(CROQUIS_DATOS!$C$1494)&gt;0.5,(CROQUIS_DATOS!$C$1476)-((CROQUIS_DATOS!$C$1496+CROQUIS_DATOS!$C$1497))&gt;0.5),(CROQUIS_DATOS!$C$1567+(IF(IF(MOD(MIN(INT(($A8-1)/2)+1,MAX(1,INT(((((CROQUIS_DATOS!$C$1494+CROQUIS_DATOS!$C$1495))-(CROQUIS_DATOS!$C$1494))+((CROQUIS_DATOS!$C$1476)*CROQUIS_DATOS!$C$1561-((CROQUIS_DATOS!$C$1496+CROQUIS_DATOS!$C$1497))*CROQUIS_DATOS!$C$1561))/CROQUIS_DATOS!$C$1568-0.000001))),2)=1,IF(INT(($A8-1)/2)+1&gt;MAX(1,INT(((((CROQUIS_DATOS!$C$1494+CROQUIS_DATOS!$C$1495))-(CROQUIS_DATOS!$C$1494))+((CROQUIS_DATOS!$C$1476)*CROQUIS_DATOS!$C$1561-((CROQUIS_DATOS!$C$1496+CROQUIS_DATOS!$C$1497))*CROQUIS_DATOS!$C$1561))/CROQUIS_DATOS!$C$1568-0.000001)),1,MOD($A8-1,2)),1-IF(INT(($A8-1)/2)+1&gt;MAX(1,INT(((((CROQUIS_DATOS!$C$1494+CROQUIS_DATOS!$C$1495))-(CROQUIS_DATOS!$C$1494))+((CROQUIS_DATOS!$C$1476)*CROQUIS_DATOS!$C$1561-((CROQUIS_DATOS!$C$1496+CROQUIS_DATOS!$C$1497))*CROQUIS_DATOS!$C$1561))/CROQUIS_DATOS!$C$1568-0.000001)),1,MOD($A8-1,2)))=1,MIN((CROQUIS_DATOS!$C$1476)*CROQUIS_DATOS!$C$1561,((CROQUIS_DATOS!$C$1494+CROQUIS_DATOS!$C$1495)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8">
        <f>IF(AND(CROQUIS_DATOS!$C$1472=1,CROQUIS_DATOS!$C$1478&gt;=4),CHOOSE(MIN(MAX($A8,1)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8">
        <f>IF(AND(CROQUIS_DATOS!$C$1472=1,CROQUIS_DATOS!$C$1478&gt;=4),CHOOSE(MIN(MAX($A8,1)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N8">
        <f>IF(AND(CROQUIS_DATOS!$C$1472=1,CROQUIS_DATOS!$C$1478&gt;=4),(CROQUIS_DATOS!$C$1566+((CROQUIS_DATOS!$C$1494+(CROQUIS_DATOS!$C$1494+CROQUIS_DATOS!$C$1495))/2)*CROQUIS_DATOS!$C$1565),-1000)</f>
        <v>-1000</v>
      </c>
      <c r="DO8">
        <f>IF(AND(CROQUIS_DATOS!$C$1472=1,CROQUIS_DATOS!$C$1478&gt;=4),(CROQUIS_DATOS!$C$1567+((CROQUIS_DATOS!$C$1496+(CROQUIS_DATOS!$C$1496+CROQUIS_DATOS!$C$1497))/2)*CROQUIS_DATOS!$C$1561*CROQUIS_DATOS!$C$1565),-1000)</f>
        <v>-1000</v>
      </c>
      <c r="DP8">
        <f>IF(AND(CROQUIS_DATOS!$C$1472=1,CROQUIS_DATOS!$C$1500&gt;0.5,CROQUIS_DATOS!$C$1478&gt;0),CHOOSE(MIN(MAX($A8,1)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24.2758620689655</v>
      </c>
      <c r="DQ8">
        <f>IF(AND(CROQUIS_DATOS!$C$1472=1,CROQUIS_DATOS!$C$1500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R8">
        <f>IF(AND(CROQUIS_DATOS!$C$1472=1,CROQUIS_DATOS!$C$1478&gt;=1),CHOOSE(MIN(MAX($A8,1)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28.551724137931</v>
      </c>
      <c r="DS8">
        <f>IF(AND(CROQUIS_DATOS!$C$1472=1,CROQUIS_DATOS!$C$1478&gt;=1)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T8">
        <f>IF(AND(CROQUIS_DATOS!$C$1472=1,CROQUIS_DATOS!$C$1504&gt;0.5,CROQUIS_DATOS!$C$1478&gt;0),CHOOSE(MIN(MAX($A8,1)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38.1724137931034</v>
      </c>
      <c r="DU8">
        <f>IF(AND(CROQUIS_DATOS!$C$1472=1,CROQUIS_DATOS!$C$1504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V8">
        <f>IF(AND(CROQUIS_DATOS!$C$1472=1,CROQUIS_DATOS!$C$1478&gt;=2),CHOOSE(MIN(MAX($A8,1)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48.8620689655172</v>
      </c>
      <c r="DW8">
        <f>IF(AND(CROQUIS_DATOS!$C$1472=1,CROQUIS_DATOS!$C$1478&gt;=2)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X8">
        <f>IF(AND(CROQUIS_DATOS!$C$1472=1,CROQUIS_DATOS!$C$1508&gt;0.5,CROQUIS_DATOS!$C$1478&gt;0),CHOOSE(MIN(MAX($A8,1)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64.8965517241379</v>
      </c>
      <c r="DY8">
        <f>IF(AND(CROQUIS_DATOS!$C$1472=1,CROQUIS_DATOS!$C$1508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Z8">
        <f>IF(AND(CROQUIS_DATOS!$C$1472=1,CROQUIS_DATOS!$C$1478&gt;=3),CHOOSE(MIN(MAX($A8,1)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8">
        <f>IF(AND(CROQUIS_DATOS!$C$1472=1,CROQUIS_DATOS!$C$1478&gt;=3)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8">
        <f>IF(AND(CROQUIS_DATOS!$C$1472=1,CROQUIS_DATOS!$C$1512&gt;0.5,CROQUIS_DATOS!$C$1478&gt;0),CHOOSE(MIN(MAX($A8,1)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8">
        <f>IF(AND(CROQUIS_DATOS!$C$1472=1,CROQUIS_DATOS!$C$1512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8">
        <f>IF(AND(CROQUIS_DATOS!$C$1472=1,CROQUIS_DATOS!$C$1478&gt;=4),CHOOSE(MIN(MAX($A8,1)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8">
        <f>IF(AND(CROQUIS_DATOS!$C$1472=1,CROQUIS_DATOS!$C$1478&gt;=4)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8">
        <f>IF(AND(CROQUIS_DATOS!$C$1472=1,CROQUIS_DATOS!$C$1516&gt;0.5,CROQUIS_DATOS!$C$1478&gt;0),CHOOSE(MIN(MAX($A8,1)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8">
        <f>IF(AND(CROQUIS_DATOS!$C$1472=1,CROQUIS_DATOS!$C$1516&gt;0.5,CROQUIS_DATOS!$C$1478&gt;0),CHOOSE(MIN(MAX($A8,1)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8">
        <f>IF(AND(CROQUIS_DATOS!$C$1472=1,1),CHOOSE(MIN(MAX($A8,1)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24.2758620689655</v>
      </c>
      <c r="EI8">
        <f>IF(AND(CROQUIS_DATOS!$C$1472=1,1),CHOOSE(MIN(MAX($A8,1)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1.6</v>
      </c>
      <c r="EJ8">
        <f>IF(AND(CROQUIS_DATOS!$C$1472=1,1),CHOOSE(MIN(MAX($A8,1)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20.3758620689655</v>
      </c>
      <c r="EK8">
        <f>IF(AND(CROQUIS_DATOS!$C$1472=1,1)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12.1379310344828</v>
      </c>
      <c r="EL8">
        <f>IF(AND(CROQUIS_DATOS!$C$1472=1,1),CHOOSE(MIN(MAX($A8,1)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78.8241379310345</v>
      </c>
      <c r="EM8">
        <f>IF(AND(CROQUIS_DATOS!$C$1472=1,1),CHOOSE(MIN(MAX($A8,1)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38.8620689655172</v>
      </c>
      <c r="EN8">
        <f>IF(AND(CROQUIS_DATOS!$C$1472=1,CROQUIS_DATOS!$C$1478&gt;=1,CROQUIS_DATOS!$C$1481&gt;0),CHOOSE(MIN(MAX($A8,1)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8">
        <f>IF(AND(CROQUIS_DATOS!$C$1472=1,CROQUIS_DATOS!$C$1478&gt;=1,CROQUIS_DATOS!$C$1481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8">
        <f>IF(AND(CROQUIS_DATOS!$C$1472=1,CROQUIS_DATOS!$C$1478&gt;=2,CROQUIS_DATOS!$C$1486&gt;0),CHOOSE(MIN(MAX($A8,1)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65.5965517241379</v>
      </c>
      <c r="EQ8">
        <f>IF(AND(CROQUIS_DATOS!$C$1472=1,CROQUIS_DATOS!$C$1478&gt;=2,CROQUIS_DATOS!$C$1486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12.1379310344828</v>
      </c>
      <c r="ER8">
        <f>IF(AND(CROQUIS_DATOS!$C$1472=1,CROQUIS_DATOS!$C$1478&gt;=3,CROQUIS_DATOS!$C$1491&gt;0),CHOOSE(MIN(MAX($A8,1)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8">
        <f>IF(AND(CROQUIS_DATOS!$C$1472=1,CROQUIS_DATOS!$C$1478&gt;=3,CROQUIS_DATOS!$C$1491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8">
        <f>IF(AND(CROQUIS_DATOS!$C$1472=1,CROQUIS_DATOS!$C$1478&gt;=4,CROQUIS_DATOS!$C$1496&gt;0),CHOOSE(MIN(MAX($A8,1)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8">
        <f>IF(AND(CROQUIS_DATOS!$C$1472=1,CROQUIS_DATOS!$C$1478&gt;=4,CROQUIS_DATOS!$C$1496&gt;0),CHOOSE(MIN(MAX($A8,1)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8">
        <f>IF(AND(CROQUIS_DATOS!$C$1472=1,1),(CROQUIS_DATOS!$C$1566+(INDEX($E$8:$E$23,MIN($A8,CROQUIS_DATOS!$C$1525)))*CROQUIS_DATOS!$C$1565),-1000)</f>
        <v>25.0775862068966</v>
      </c>
      <c r="EW8">
        <f>IF(AND(CROQUIS_DATOS!$C$1472=1,1),((CROQUIS_DATOS!$C$1567+(CROQUIS_DATOS!$C$1476+CROQUIS_DATOS!$C$1528)*CROQUIS_DATOS!$C$1561*CROQUIS_DATOS!$C$1565)+1.5),-1000)</f>
        <v>42.5</v>
      </c>
      <c r="EX8">
        <f>IF(AND(CROQUIS_DATOS!$C$1472=1,1),(CROQUIS_DATOS!$C$1566+(CHOOSE(MIN(MAX($A8,1),2),-25,CROQUIS_DATOS!$C$1475+25))*CROQUIS_DATOS!$C$1565),-1000)</f>
        <v>21.6034482758621</v>
      </c>
      <c r="EY8">
        <f>IF(AND(CROQUIS_DATOS!$C$1472=1,1),(CROQUIS_DATOS!$C$1567+(CHOOSE(MIN(MAX($A8,1),2),IF(CROQUIS_DATOS!$C$1478&gt;0,MAX(5,MIN(CROQUIS_DATOS!$C$1476-5,(CROQUIS_DATOS!$C$1481+CROQUIS_DATOS!$C$1482)/2)),CROQUIS_DATOS!$C$1476/2),IF(CROQUIS_DATOS!$C$1478&gt;0,MAX(5,MIN(CROQUIS_DATOS!$C$1476-5,(CROQUIS_DATOS!$C$1481+CROQUIS_DATOS!$C$1482)/2)),CROQUIS_DATOS!$C$1476/2)))*CROQUIS_DATOS!$C$1561*CROQUIS_DATOS!$C$1565),-1000)</f>
        <v>23.3620689655172</v>
      </c>
      <c r="EZ8">
        <f>IF(AND(CROQUIS_DATOS!$C$1472=1,CROQUIS_DATOS!$C$1500&gt;0.5,CROQUIS_DATOS!$C$1501=1),CHOOSE(MIN(MAX($A8,1)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6</v>
      </c>
      <c r="FA8">
        <f>IF(AND(CROQUIS_DATOS!$C$1472=1,CROQUIS_DATOS!$C$1500&gt;0.5,CROQUIS_DATOS!$C$1501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B8">
        <f>IF(AND(CROQUIS_DATOS!$C$1472=1,CROQUIS_DATOS!$C$1500&gt;0.5,CROQUIS_DATOS!$C$1501=0),CHOOSE(MIN(MAX($A8,1)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8">
        <f>IF(AND(CROQUIS_DATOS!$C$1472=1,CROQUIS_DATOS!$C$1500&gt;0.5,CROQUIS_DATOS!$C$1501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D8">
        <f>IF(AND(CROQUIS_DATOS!$C$1472=1,CROQUIS_DATOS!$C$1500&gt;0.5,CROQUIS_DATOS!$C$1501=1),(CROQUIS_DATOS!$C$1571+((CROQUIS_DATOS!$C$1499+(CROQUIS_DATOS!$C$1499+CROQUIS_DATOS!$C$1500))/2)*CROQUIS_DATOS!$C$1569),-1000)</f>
        <v>9.68</v>
      </c>
      <c r="FE8">
        <f>IF(AND(CROQUIS_DATOS!$C$1472=1,CROQUIS_DATOS!$C$1500&gt;0.5,CROQUIS_DATOS!$C$1501=1),((CROQUIS_DATOS!$C$1572+(CROQUIS_DATOS!$C$1477)*CROQUIS_DATOS!$C$1569*CROQUIS_DATOS!$C$1570)+3.2),-1000)</f>
        <v>17.2</v>
      </c>
      <c r="FF8">
        <f>IF(AND(CROQUIS_DATOS!$C$1472=1,CROQUIS_DATOS!$C$1504&gt;0.5,CROQUIS_DATOS!$C$1505=1),CHOOSE(MIN(MAX($A8,1)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29.92</v>
      </c>
      <c r="FG8">
        <f>IF(AND(CROQUIS_DATOS!$C$1472=1,CROQUIS_DATOS!$C$1504&gt;0.5,CROQUIS_DATOS!$C$1505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H8">
        <f>IF(AND(CROQUIS_DATOS!$C$1472=1,CROQUIS_DATOS!$C$1504&gt;0.5,CROQUIS_DATOS!$C$1505=0),CHOOSE(MIN(MAX($A8,1)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8">
        <f>IF(AND(CROQUIS_DATOS!$C$1472=1,CROQUIS_DATOS!$C$1504&gt;0.5,CROQUIS_DATOS!$C$1505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J8">
        <f>IF(AND(CROQUIS_DATOS!$C$1472=1,CROQUIS_DATOS!$C$1504&gt;0.5,CROQUIS_DATOS!$C$1505=1),(CROQUIS_DATOS!$C$1571+((CROQUIS_DATOS!$C$1503+(CROQUIS_DATOS!$C$1503+CROQUIS_DATOS!$C$1504))/2)*CROQUIS_DATOS!$C$1569),-1000)</f>
        <v>39.12</v>
      </c>
      <c r="FK8">
        <f>IF(AND(CROQUIS_DATOS!$C$1472=1,CROQUIS_DATOS!$C$1504&gt;0.5,CROQUIS_DATOS!$C$1505=1),((CROQUIS_DATOS!$C$1572+(CROQUIS_DATOS!$C$1477)*CROQUIS_DATOS!$C$1569*CROQUIS_DATOS!$C$1570)+3.2),-1000)</f>
        <v>17.2</v>
      </c>
      <c r="FL8">
        <f>IF(AND(CROQUIS_DATOS!$C$1472=1,CROQUIS_DATOS!$C$1508&gt;0.5,CROQUIS_DATOS!$C$1509=1),CHOOSE(MIN(MAX($A8,1)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75.92</v>
      </c>
      <c r="FM8">
        <f>IF(AND(CROQUIS_DATOS!$C$1472=1,CROQUIS_DATOS!$C$1508&gt;0.5,CROQUIS_DATOS!$C$1509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N8">
        <f>IF(AND(CROQUIS_DATOS!$C$1472=1,CROQUIS_DATOS!$C$1508&gt;0.5,CROQUIS_DATOS!$C$1509=0),CHOOSE(MIN(MAX($A8,1)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8">
        <f>IF(AND(CROQUIS_DATOS!$C$1472=1,CROQUIS_DATOS!$C$1508&gt;0.5,CROQUIS_DATOS!$C$1509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P8">
        <f>IF(AND(CROQUIS_DATOS!$C$1472=1,CROQUIS_DATOS!$C$1508&gt;0.5,CROQUIS_DATOS!$C$1509=1),(CROQUIS_DATOS!$C$1571+((CROQUIS_DATOS!$C$1507+(CROQUIS_DATOS!$C$1507+CROQUIS_DATOS!$C$1508))/2)*CROQUIS_DATOS!$C$1569),-1000)</f>
        <v>86.96</v>
      </c>
      <c r="FQ8">
        <f>IF(AND(CROQUIS_DATOS!$C$1472=1,CROQUIS_DATOS!$C$1508&gt;0.5,CROQUIS_DATOS!$C$1509=1),((CROQUIS_DATOS!$C$1572+(CROQUIS_DATOS!$C$1477)*CROQUIS_DATOS!$C$1569*CROQUIS_DATOS!$C$1570)+3.2),-1000)</f>
        <v>17.2</v>
      </c>
      <c r="FR8">
        <f>IF(AND(CROQUIS_DATOS!$C$1472=1,CROQUIS_DATOS!$C$1512&gt;0.5,CROQUIS_DATOS!$C$1513=1),CHOOSE(MIN(MAX($A8,1)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8">
        <f>IF(AND(CROQUIS_DATOS!$C$1472=1,CROQUIS_DATOS!$C$1512&gt;0.5,CROQUIS_DATOS!$C$1513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8">
        <f>IF(AND(CROQUIS_DATOS!$C$1472=1,CROQUIS_DATOS!$C$1512&gt;0.5,CROQUIS_DATOS!$C$1513=0),CHOOSE(MIN(MAX($A8,1)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8">
        <f>IF(AND(CROQUIS_DATOS!$C$1472=1,CROQUIS_DATOS!$C$1512&gt;0.5,CROQUIS_DATOS!$C$1513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V8">
        <f>IF(AND(CROQUIS_DATOS!$C$1472=1,CROQUIS_DATOS!$C$1512&gt;0.5,CROQUIS_DATOS!$C$1513=1),(CROQUIS_DATOS!$C$1571+((CROQUIS_DATOS!$C$1511+(CROQUIS_DATOS!$C$1511+CROQUIS_DATOS!$C$1512))/2)*CROQUIS_DATOS!$C$1569),-1000)</f>
        <v>-1000</v>
      </c>
      <c r="FW8">
        <f>IF(AND(CROQUIS_DATOS!$C$1472=1,CROQUIS_DATOS!$C$1512&gt;0.5,CROQUIS_DATOS!$C$1513=1),((CROQUIS_DATOS!$C$1572+(CROQUIS_DATOS!$C$1477)*CROQUIS_DATOS!$C$1569*CROQUIS_DATOS!$C$1570)+3.2),-1000)</f>
        <v>-1000</v>
      </c>
      <c r="FX8">
        <f>IF(AND(CROQUIS_DATOS!$C$1472=1,CROQUIS_DATOS!$C$1516&gt;0.5,CROQUIS_DATOS!$C$1517=1),CHOOSE(MIN(MAX($A8,1)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8">
        <f>IF(AND(CROQUIS_DATOS!$C$1472=1,CROQUIS_DATOS!$C$1516&gt;0.5,CROQUIS_DATOS!$C$1517=1)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8">
        <f>IF(AND(CROQUIS_DATOS!$C$1472=1,CROQUIS_DATOS!$C$1516&gt;0.5,CROQUIS_DATOS!$C$1517=0),CHOOSE(MIN(MAX($A8,1)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8">
        <f>IF(AND(CROQUIS_DATOS!$C$1472=1,CROQUIS_DATOS!$C$1516&gt;0.5,CROQUIS_DATOS!$C$1517=0),CHOOSE(MIN(MAX($A8,1)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B8">
        <f>IF(AND(CROQUIS_DATOS!$C$1472=1,CROQUIS_DATOS!$C$1516&gt;0.5,CROQUIS_DATOS!$C$1517=1),(CROQUIS_DATOS!$C$1571+((CROQUIS_DATOS!$C$1515+(CROQUIS_DATOS!$C$1515+CROQUIS_DATOS!$C$1516))/2)*CROQUIS_DATOS!$C$1569),-1000)</f>
        <v>-1000</v>
      </c>
      <c r="GC8">
        <f>IF(AND(CROQUIS_DATOS!$C$1472=1,CROQUIS_DATOS!$C$1516&gt;0.5,CROQUIS_DATOS!$C$1517=1),((CROQUIS_DATOS!$C$1572+(CROQUIS_DATOS!$C$1477)*CROQUIS_DATOS!$C$1569*CROQUIS_DATOS!$C$1570)+3.2),-1000)</f>
        <v>-1000</v>
      </c>
      <c r="GD8">
        <f>IF(AND(CROQUIS_DATOS!$C$1472=1,1),(CROQUIS_DATOS!$C$1571+(CHOOSE(MIN(MAX(IF(INT(($A8-1)/5)+1&gt;CROQUIS_DATOS!$C$1525,5,MOD($A8-1,5)+1),1),5),(INDEX($E$8:$E$23,MIN(INT(($A8-1)/5)+1,CROQUIS_DATOS!$C$1525))-INDEX($F$8:$F$23,MIN(INT(($A8-1)/5)+1,CROQUIS_DATOS!$C$1525))/2),(INDEX($E$8:$E$23,MIN(INT(($A8-1)/5)+1,CROQUIS_DATOS!$C$1525))+INDEX($F$8:$F$23,MIN(INT(($A8-1)/5)+1,CROQUIS_DATOS!$C$1525))/2),(INDEX($E$8:$E$23,MIN(INT(($A8-1)/5)+1,CROQUIS_DATOS!$C$1525))+INDEX($F$8:$F$23,MIN(INT(($A8-1)/5)+1,CROQUIS_DATOS!$C$1525))/2),(INDEX($E$8:$E$23,MIN(INT(($A8-1)/5)+1,CROQUIS_DATOS!$C$1525))-INDEX($F$8:$F$23,MIN(INT(($A8-1)/5)+1,CROQUIS_DATOS!$C$1525))/2),(INDEX($E$8:$E$23,MIN(INT(($A8-1)/5)+1,CROQUIS_DATOS!$C$1525))-INDEX($F$8:$F$23,MIN(INT(($A8-1)/5)+1,CROQUIS_DATOS!$C$1525))/2)))*CROQUIS_DATOS!$C$1569),-1000)</f>
        <v>6</v>
      </c>
      <c r="GE8">
        <f>IF(AND(CROQUIS_DATOS!$C$1472=1,1),(CROQUIS_DATOS!$C$1572+(CHOOSE(MIN(MAX(IF(INT(($A8-1)/5)+1&gt;CROQUIS_DATOS!$C$1525,5,MOD($A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8">
        <f>IF(AND(CROQUIS_DATOS!$C$1472=1,1),IF(INT(($A8-1)/4)+1&lt;=CROQUIS_DATOS!$C$1525,(CROQUIS_DATOS!$C$1571+((INDEX($E$8:$E$23,MIN(INT(($A8-1)/4)+1,16))+IF(OR(MOD($A8-1,4)=0,MOD($A8-1,4)=3),-1,1)*(INDEX($F$8:$F$23,MIN(INT(($A8-1)/4)+1,16))/2-(CROQUIS_DATOS!$C$1530+CROQUIS_DATOS!$C$1532+IF(OR(INT(($A8-1)/4)+1=1,INT(($A8-1)/4)+1=CROQUIS_DATOS!$C$1525),CROQUIS_DATOS!$C$1534,CROQUIS_DATOS!$C$1531)/2))))*CROQUIS_DATOS!$C$1569),-1000),-1000)</f>
        <v>6.572516</v>
      </c>
      <c r="GG8">
        <f>IF(AND(CROQUIS_DATOS!$C$1472=1,1),IF(INT(($A8-1)/4)+1&lt;=CROQUIS_DATOS!$C$1525,(CROQUIS_DATOS!$C$1572+((CROQUIS_DATOS!$C$1477/2+IF(MOD($A8-1,4)&lt;2,-1,1)*(CROQUIS_DATOS!$C$1527/2-(CROQUIS_DATOS!$C$1530+CROQUIS_DATOS!$C$1532+IF(OR(INT(($A8-1)/4)+1=1,INT(($A8-1)/4)+1=CROQUIS_DATOS!$C$1525),CROQUIS_DATOS!$C$1534,CROQUIS_DATOS!$C$1531)/2))))*CROQUIS_DATOS!$C$1569*CROQUIS_DATOS!$C$1570),-1000),-1000)</f>
        <v>10.43345</v>
      </c>
      <c r="GH8">
        <f>IF(AND(CROQUIS_DATOS!$C$1472=1,CROQUIS_DATOS!$C$1500&gt;0.5,CROQUIS_DATOS!$C$1478&gt;0),CHOOSE(MIN(MAX($A8,1)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6</v>
      </c>
      <c r="GI8">
        <f>IF(AND(CROQUIS_DATOS!$C$1472=1,CROQUIS_DATOS!$C$1500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5.1</v>
      </c>
      <c r="GJ8">
        <f>IF(AND(CROQUIS_DATOS!$C$1472=1,CROQUIS_DATOS!$C$1478&gt;=1),CHOOSE(MIN(MAX($A8,1)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13.36</v>
      </c>
      <c r="GK8">
        <f>IF(AND(CROQUIS_DATOS!$C$1472=1,CROQUIS_DATOS!$C$1478&gt;=1),CHOOSE(MIN(MAX($A8,1),7),(CROQUIS_DATOS!$C$1572-3.5)-0.9,(CROQUIS_DATOS!$C$1572-3.5)+0.9,(CROQUIS_DATOS!$C$1572-3.5),(CROQUIS_DATOS!$C$1572-3.5),(CROQUIS_DATOS!$C$1572-3.5),(CROQUIS_DATOS!$C$1572-3.5)+0.9,(CROQUIS_DATOS!$C$1572-3.5)-0.9),-1000)</f>
        <v>5.1</v>
      </c>
      <c r="GL8">
        <f>IF(AND(CROQUIS_DATOS!$C$1472=1,CROQUIS_DATOS!$C$1504&gt;0.5,CROQUIS_DATOS!$C$1478&gt;0),CHOOSE(MIN(MAX($A8,1)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29.92</v>
      </c>
      <c r="GM8">
        <f>IF(AND(CROQUIS_DATOS!$C$1472=1,CROQUIS_DATOS!$C$1504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5.1</v>
      </c>
      <c r="GN8">
        <f>IF(AND(CROQUIS_DATOS!$C$1472=1,CROQUIS_DATOS!$C$1478&gt;=2),CHOOSE(MIN(MAX($A8,1)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48.32</v>
      </c>
      <c r="GO8">
        <f>IF(AND(CROQUIS_DATOS!$C$1472=1,CROQUIS_DATOS!$C$1478&gt;=2),CHOOSE(MIN(MAX($A8,1),7),(CROQUIS_DATOS!$C$1572-3.5)-0.9,(CROQUIS_DATOS!$C$1572-3.5)+0.9,(CROQUIS_DATOS!$C$1572-3.5),(CROQUIS_DATOS!$C$1572-3.5),(CROQUIS_DATOS!$C$1572-3.5),(CROQUIS_DATOS!$C$1572-3.5)+0.9,(CROQUIS_DATOS!$C$1572-3.5)-0.9),-1000)</f>
        <v>5.1</v>
      </c>
      <c r="GP8">
        <f>IF(AND(CROQUIS_DATOS!$C$1472=1,CROQUIS_DATOS!$C$1508&gt;0.5,CROQUIS_DATOS!$C$1478&gt;0),CHOOSE(MIN(MAX($A8,1)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75.92</v>
      </c>
      <c r="GQ8">
        <f>IF(AND(CROQUIS_DATOS!$C$1472=1,CROQUIS_DATOS!$C$1508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5.1</v>
      </c>
      <c r="GR8">
        <f>IF(AND(CROQUIS_DATOS!$C$1472=1,CROQUIS_DATOS!$C$1478&gt;=3),CHOOSE(MIN(MAX($A8,1)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8">
        <f>IF(AND(CROQUIS_DATOS!$C$1472=1,CROQUIS_DATOS!$C$1478&gt;=3)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T8">
        <f>IF(AND(CROQUIS_DATOS!$C$1472=1,CROQUIS_DATOS!$C$1512&gt;0.5,CROQUIS_DATOS!$C$1478&gt;0),CHOOSE(MIN(MAX($A8,1)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8">
        <f>IF(AND(CROQUIS_DATOS!$C$1472=1,CROQUIS_DATOS!$C$1512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V8">
        <f>IF(AND(CROQUIS_DATOS!$C$1472=1,CROQUIS_DATOS!$C$1478&gt;=4),CHOOSE(MIN(MAX($A8,1)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8">
        <f>IF(AND(CROQUIS_DATOS!$C$1472=1,CROQUIS_DATOS!$C$1478&gt;=4)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X8">
        <f>IF(AND(CROQUIS_DATOS!$C$1472=1,CROQUIS_DATOS!$C$1516&gt;0.5,CROQUIS_DATOS!$C$1478&gt;0),CHOOSE(MIN(MAX($A8,1)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8">
        <f>IF(AND(CROQUIS_DATOS!$C$1472=1,CROQUIS_DATOS!$C$1516&gt;0.5,CROQUIS_DATOS!$C$1478&gt;0),CHOOSE(MIN(MAX($A8,1),7),(CROQUIS_DATOS!$C$1572-3.5)-0.9,(CROQUIS_DATOS!$C$1572-3.5)+0.9,(CROQUIS_DATOS!$C$1572-3.5),(CROQUIS_DATOS!$C$1572-3.5),(CROQUIS_DATOS!$C$1572-3.5),(CROQUIS_DATOS!$C$1572-3.5)+0.9,(CROQUIS_DATOS!$C$1572-3.5)-0.9),-1000)</f>
        <v>-1000</v>
      </c>
      <c r="GZ8">
        <f>IF(AND(CROQUIS_DATOS!$C$1472=1,1),CHOOSE(MIN(MAX($A8,1)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6</v>
      </c>
      <c r="HA8">
        <f>IF(AND(CROQUIS_DATOS!$C$1472=1,1),CHOOSE(MIN(MAX($A8,1),7),(CROQUIS_DATOS!$C$1572-7.5)-0.9,(CROQUIS_DATOS!$C$1572-7.5)+0.9,(CROQUIS_DATOS!$C$1572-7.5),(CROQUIS_DATOS!$C$1572-7.5),(CROQUIS_DATOS!$C$1572-7.5),(CROQUIS_DATOS!$C$1572-7.5)+0.9,(CROQUIS_DATOS!$C$1572-7.5)-0.9),-1000)</f>
        <v>1.1</v>
      </c>
      <c r="HB8">
        <f>IF(AND(CROQUIS_DATOS!$C$1472=1,1),CHOOSE(MIN(MAX($A8,1)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2.6</v>
      </c>
      <c r="HC8">
        <f>IF(AND(CROQUIS_DATOS!$C$1472=1,1),CHOOSE(MIN(MAX($A8,1)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9.5</v>
      </c>
      <c r="HD8">
        <f>IF(AND(CROQUIS_DATOS!$C$1472=1,1),CHOOSE(MIN(MAX($A8,1)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8</v>
      </c>
      <c r="HE8">
        <f>IF(AND(CROQUIS_DATOS!$C$1472=1,1),CHOOSE(MIN(MAX($A8,1)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12</v>
      </c>
      <c r="HF8">
        <f>IF(AND(CROQUIS_DATOS!$C$1472=1,1),CHOOSE(MIN(MAX($A8,1)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12.2293548387097</v>
      </c>
      <c r="HG8">
        <f>IF(AND(CROQUIS_DATOS!$C$1472=1,1),CHOOSE(MIN(MAX($A8,1)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8">
        <f>IF(AND(CROQUIS_DATOS!$C$1472=1,1),IF($A8&lt;=DATOS!$C$61,CHOOSE(MIN(MAX($A8,1)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10.8103870967742</v>
      </c>
      <c r="HI8">
        <f>IF(AND(CROQUIS_DATOS!$C$1472=1,1),IF($A8&lt;=DATOS!$C$61,CHOOSE(MIN(MAX($A8,1)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14.8103870967742</v>
      </c>
      <c r="HJ8">
        <f>IF(AND(CROQUIS_DATOS!$C$1472=1,1),CHOOSE(MIN(MAX($A8,1)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8</v>
      </c>
      <c r="HK8">
        <f>IF(AND(CROQUIS_DATOS!$C$1472=1,1),CHOOSE(MIN(MAX($A8,1)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L8">
        <f>IF(AND(CROQUIS_DATOS!$C$1472=1,1),CHOOSE(MIN(MAX($A8,1)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4.3</v>
      </c>
      <c r="HM8">
        <f>IF(AND(CROQUIS_DATOS!$C$1472=1,1),CHOOSE(MIN(MAX($A8,1)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12</v>
      </c>
      <c r="HN8">
        <f>IF(AND(CROQUIS_DATOS!$C$1472=1,1),CHOOSE(MIN(MAX($A8,1)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48.6451612903226</v>
      </c>
      <c r="HO8">
        <f>IF(AND(CROQUIS_DATOS!$C$1472=1,1),CHOOSE(MIN(MAX($A8,1)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12</v>
      </c>
      <c r="HP8">
        <f>IF(AND(CROQUIS_DATOS!$C$1472=1,1),CHOOSE(MIN(MAX($A8,1)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62.1935483870968</v>
      </c>
      <c r="HQ8">
        <f>IF(AND(CROQUIS_DATOS!$C$1472=1,1),CHOOSE(MIN(MAX($A8,1)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12</v>
      </c>
      <c r="HR8">
        <f>IF(AND(CROQUIS_DATOS!$C$1472=1,1),CHOOSE(MIN(MAX($A8,1)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66.4229032258065</v>
      </c>
      <c r="HS8">
        <f>IF(AND(CROQUIS_DATOS!$C$1472=1,1),CHOOSE(MIN(MAX($A8,1)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8">
        <f>IF(AND(CROQUIS_DATOS!$C$1472=1,1),IF($A8&lt;=DATOS!$C$69,CHOOSE(MIN(MAX($A8,1)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65.003935483871</v>
      </c>
      <c r="HU8">
        <f>IF(AND(CROQUIS_DATOS!$C$1472=1,1),IF($A8&lt;=DATOS!$C$69,CHOOSE(MIN(MAX($A8,1)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14.8103870967742</v>
      </c>
      <c r="HV8">
        <f>IF(AND(CROQUIS_DATOS!$C$1472=1,1),CHOOSE(MIN(MAX($A8,1)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62.1935483870968</v>
      </c>
      <c r="HW8">
        <f>IF(AND(CROQUIS_DATOS!$C$1472=1,1),CHOOSE(MIN(MAX($A8,1)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X8">
        <f>IF(AND(CROQUIS_DATOS!$C$1472=1,1),CHOOSE(MIN(MAX($A8,1)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78.041935483871</v>
      </c>
      <c r="HY8">
        <f>IF(AND(CROQUIS_DATOS!$C$1472=1,1),CHOOSE(MIN(MAX($A8,1)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12</v>
      </c>
      <c r="HZ8">
        <f>IF(AND(CROQUIS_DATOS!$C$1472=1,1),(CROQUIS_DATOS!$C$1574+(CROQUIS_DATOS!$C$1526/2)*CROQUIS_DATOS!$C$1573),-1000)</f>
        <v>14.7741935483871</v>
      </c>
      <c r="IA8">
        <f>IF(AND(CROQUIS_DATOS!$C$1472=1,1),((CROQUIS_DATOS!$C$1576+(MAX(CROQUIS_DATOS!$C$1527,CROQUIS_DATOS!$C$1528))*CROQUIS_DATOS!$C$1573)+5),-1000)</f>
        <v>35.0645161290323</v>
      </c>
    </row>
    <row r="9">
      <c r="A9" t="n">
        <v>2</v>
      </c>
      <c r="B9" t="n">
        <v>2</v>
      </c>
      <c r="C9">
        <f>1+(B9&gt;CROQUIS_DATOS!$C$1520)+(B9&gt;CROQUIS_DATOS!$C$1521)+(B9&gt;CROQUIS_DATOS!$C$1522)+(B9&gt;CROQUIS_DATOS!$C$1523)</f>
        <v>1</v>
      </c>
      <c r="D9">
        <f>B9-CHOOSE(MIN(C9,5),0,CROQUIS_DATOS!$C$1520,CROQUIS_DATOS!$C$1521,CROQUIS_DATOS!$C$1522,CROQUIS_DATOS!$C$1523)</f>
        <v>2</v>
      </c>
      <c r="E9">
        <f>IF(G9=0,0,CHOOSE(MIN(C9,5),CROQUIS_DATOS!$C$1499,CROQUIS_DATOS!$C$1503,CROQUIS_DATOS!$C$1507,CROQUIS_DATOS!$C$1511,CROQUIS_DATOS!$C$1515)+IF(CHOOSE(MIN(C9,5),CROQUIS_DATOS!$C$1502,CROQUIS_DATOS!$C$1506,CROQUIS_DATOS!$C$1510,CROQUIS_DATOS!$C$1514,CROQUIS_DATOS!$C$1518)=1,CHOOSE(MIN(C9,5),CROQUIS_DATOS!$C$1500,CROQUIS_DATOS!$C$1504,CROQUIS_DATOS!$C$1508,CROQUIS_DATOS!$C$1512,CROQUIS_DATOS!$C$1516)/2,CROQUIS_DATOS!$C$1526/2+(D9-1)*(CHOOSE(MIN(C9,5),CROQUIS_DATOS!$C$1500,CROQUIS_DATOS!$C$1504,CROQUIS_DATOS!$C$1508,CROQUIS_DATOS!$C$1512,CROQUIS_DATOS!$C$1516)-CROQUIS_DATOS!$C$1526)/MAX(CHOOSE(MIN(C9,5),CROQUIS_DATOS!$C$1502,CROQUIS_DATOS!$C$1506,CROQUIS_DATOS!$C$1510,CROQUIS_DATOS!$C$1514,CROQUIS_DATOS!$C$1518)-1,1)))</f>
        <v>32.5</v>
      </c>
      <c r="F9">
        <f>IF(G9=0,0,IF(CHOOSE(MIN(C9,5),CROQUIS_DATOS!$C$1502,CROQUIS_DATOS!$C$1506,CROQUIS_DATOS!$C$1510,CROQUIS_DATOS!$C$1514,CROQUIS_DATOS!$C$1518)=1,MIN(CROQUIS_DATOS!$C$1526,CHOOSE(MIN(C9,5),CROQUIS_DATOS!$C$1500,CROQUIS_DATOS!$C$1504,CROQUIS_DATOS!$C$1508,CROQUIS_DATOS!$C$1512,CROQUIS_DATOS!$C$1516)),CROQUIS_DATOS!$C$1526))</f>
        <v>15</v>
      </c>
      <c r="G9">
        <f>IF(AND(CROQUIS_DATOS!$C$1472=1,B9&lt;=CROQUIS_DATOS!$C$1525),1,0)</f>
        <v>1</v>
      </c>
      <c r="H9">
        <f>IF(2&lt;=CROQUIS_DATOS!$C$1539,2*CROQUIS_DATOS!$C$1536,IF(2&lt;=CROQUIS_DATOS!$C$1539+CROQUIS_DATOS!$C$1540,CROQUIS_DATOS!$C$1539*CROQUIS_DATOS!$C$1536+(2-CROQUIS_DATOS!$C$1539)*(CROQUIS_DATOS!$C$1476-2*CROQUIS_DATOS!$C$1539*CROQUIS_DATOS!$C$1536)/(CROQUIS_DATOS!$C$1540+1),CROQUIS_DATOS!$C$1476-(2*CROQUIS_DATOS!$C$1539+CROQUIS_DATOS!$C$1540+1-2)*CROQUIS_DATOS!$C$1536))</f>
        <v>15</v>
      </c>
      <c r="I9">
        <f>IF(AND(CROQUIS_DATOS!$C$1544=1,E9&gt;=CROQUIS_DATOS!$C$1549-1,E9&lt;=CROQUIS_DATOS!$C$1550+1),CROQUIS_DATOS!$C$1554,CROQUIS_DATOS!$C$1552)</f>
        <v>-16.8885</v>
      </c>
      <c r="J9">
        <f>IF(AND(CROQUIS_DATOS!$C$1472=1,1),(CROQUIS_DATOS!$C$1563+(CHOOSE(MIN(MAX(IF(INT(($A9-1)/4)+1&gt;CROQUIS_DATOS!$C$1525,4,MOD($A9-1,4)+1),1),4),(INDEX($E$8:$E$23,MIN(INT(($A9-1)/4)+1,CROQUIS_DATOS!$C$1525))-INDEX($F$8:$F$23,MIN(INT(($A9-1)/4)+1,CROQUIS_DATOS!$C$1525))/2),(INDEX($E$8:$E$23,MIN(INT(($A9-1)/4)+1,CROQUIS_DATOS!$C$1525))-INDEX($F$8:$F$23,MIN(INT(($A9-1)/4)+1,CROQUIS_DATOS!$C$1525))/2),(INDEX($E$8:$E$23,MIN(INT(($A9-1)/4)+1,CROQUIS_DATOS!$C$1525))+INDEX($F$8:$F$23,MIN(INT(($A9-1)/4)+1,CROQUIS_DATOS!$C$1525))/2),(INDEX($E$8:$E$23,MIN(INT(($A9-1)/4)+1,CROQUIS_DATOS!$C$1525))+INDEX($F$8:$F$23,MIN(INT(($A9-1)/4)+1,CROQUIS_DATOS!$C$1525))/2)))*CROQUIS_DATOS!$C$1562),-1000)</f>
        <v>15.0862068965517</v>
      </c>
      <c r="K9">
        <f>IF(AND(CROQUIS_DATOS!$C$1472=1,1),(CROQUIS_DATOS!$C$1564+(CHOOSE(MIN(MAX(IF(INT(($A9-1)/4)+1&gt;CROQUIS_DATOS!$C$1525,4,MOD($A9-1,4)+1),1),4),0,CROQUIS_DATOS!$C$1476,CROQUIS_DATOS!$C$1476,0))*CROQUIS_DATOS!$C$1561*CROQUIS_DATOS!$C$1562),-1000)</f>
        <v>40.2068965517241</v>
      </c>
      <c r="L9">
        <f>IF(AND(CROQUIS_DATOS!$C$1472=1,1),(CROQUIS_DATOS!$C$1563+(CHOOSE(MIN(MAX(IF(INT(($A9-1)/4)+1&gt;CROQUIS_DATOS!$C$1525,4,MOD($A9-1,4)+1),1),4),((INDEX($E$8:$E$23,MIN(INT(($A9-1)/4)+1,CROQUIS_DATOS!$C$1525))-INDEX($F$8:$F$23,MIN(INT(($A9-1)/4)+1,CROQUIS_DATOS!$C$1525))/2)+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,((INDEX($E$8:$E$23,MIN(INT(($A9-1)/4)+1,CROQUIS_DATOS!$C$1525))-INDEX($F$8:$F$23,MIN(INT(($A9-1)/4)+1,CROQUIS_DATOS!$C$1525))/2)+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,((INDEX($E$8:$E$23,MIN(INT(($A9-1)/4)+1,CROQUIS_DATOS!$C$1525))+INDEX($F$8:$F$23,MIN(INT(($A9-1)/4)+1,CROQUIS_DATOS!$C$1525))/2)-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,((INDEX($E$8:$E$23,MIN(INT(($A9-1)/4)+1,CROQUIS_DATOS!$C$1525))+INDEX($F$8:$F$23,MIN(INT(($A9-1)/4)+1,CROQUIS_DATOS!$C$1525))/2)-MIN((CROQUIS_DATOS!$C$1530+CROQUIS_DATOS!$C$1532+IF(OR(MIN(INT(($A9-1)/4)+1,CROQUIS_DATOS!$C$1525)=1,MIN(INT(($A9-1)/4)+1,CROQUIS_DATOS!$C$1525)=CROQUIS_DATOS!$C$1525),CROQUIS_DATOS!$C$1534,CROQUIS_DATOS!$C$1531)/2),INDEX($F$8:$F$23,MIN(INT(($A9-1)/4)+1,CROQUIS_DATOS!$C$1525))/2-0.5))))*CROQUIS_DATOS!$C$1562),-1000)</f>
        <v>15.5207439655172</v>
      </c>
      <c r="M9">
        <f>IF(AND(CROQUIS_DATOS!$C$1472=1,1),(CROQUIS_DATOS!$C$1564+(CHOOSE(MIN(MAX(IF(INT(($A9-1)/4)+1&gt;CROQUIS_DATOS!$C$1525,4,MOD($A9-1,4)+1),1),4),CROQUIS_DATOS!$C$1543,INDEX($I$8:$I$23,MIN(INT(($A9-1)/4)+1,CROQUIS_DATOS!$C$1525)),INDEX($I$8:$I$23,MIN(INT(($A9-1)/4)+1,CROQUIS_DATOS!$C$1525)),CROQUIS_DATOS!$C$1543))*CROQUIS_DATOS!$C$1561*CROQUIS_DATOS!$C$1562),-1000)</f>
        <v>2.93453706896552</v>
      </c>
      <c r="N9">
        <f>IF(AND(CROQUIS_DATOS!$C$1472=1,1),(CROQUIS_DATOS!$C$1563+(IF(IF(IF(INT(($A9-1)/70)+1&gt;CROQUIS_DATOS!$C$1525,70,MOD($A9-1,70)+1)=1,0,IF(IF(INT(($A9-1)/70)+1&gt;CROQUIS_DATOS!$C$1525,70,MOD($A9-1,70)+1)&gt;2*CROQUIS_DATOS!$C$1541+1,IF(MOD(CROQUIS_DATOS!$C$1541,2)=1,1,0),IF(MOD(MIN(INT((IF(INT(($A9-1)/70)+1&gt;CROQUIS_DATOS!$C$1525,70,MOD($A9-1,70)+1)-2)/2)+1,CROQUIS_DATOS!$C$1541),2)=1,IF(MOD(IF(INT(($A9-1)/70)+1&gt;CROQUIS_DATOS!$C$1525,70,MOD($A9-1,70)+1)-2,2)=0,0,1),IF(MOD(IF(INT(($A9-1)/70)+1&gt;CROQUIS_DATOS!$C$1525,70,MOD($A9-1,70)+1)-2,2)=0,1,0))))=0,(INDEX($E$8:$E$23,MIN(INT(($A9-1)/70)+1,CROQUIS_DATOS!$C$1525))-INDEX($F$8:$F$23,MIN(INT(($A9-1)/70)+1,CROQUIS_DATOS!$C$1525))/2),(INDEX($E$8:$E$23,MIN(INT(($A9-1)/70)+1,CROQUIS_DATOS!$C$1525))+INDEX($F$8:$F$23,MIN(INT(($A9-1)/70)+1,CROQUIS_DATOS!$C$1525))/2)))*CROQUIS_DATOS!$C$1562),-1000)</f>
        <v>15.0862068965517</v>
      </c>
      <c r="O9">
        <f>IF(AND(CROQUIS_DATOS!$C$1472=1,1),(CROQUIS_DATOS!$C$1564+(IF(OR(IF(INT(($A9-1)/70)+1&gt;CROQUIS_DATOS!$C$1525,70,MOD($A9-1,70)+1)=1,IF(INT(($A9-1)/70)+1&gt;CROQUIS_DATOS!$C$1525,70,MOD($A9-1,70)+1)&gt;2*CROQUIS_DATOS!$C$1541+1),CROQUIS_DATOS!$C$1476,INDEX($H$8:$H$41,MIN(INT((IF(INT(($A9-1)/70)+1&gt;CROQUIS_DATOS!$C$1525,70,MOD($A9-1,70)+1)-2)/2)+1,CROQUIS_DATOS!$C$1541))))*CROQUIS_DATOS!$C$1561*CROQUIS_DATOS!$C$1562),-1000)</f>
        <v>6.34051724137931</v>
      </c>
      <c r="P9">
        <f>IF(AND(CROQUIS_DATOS!$C$1472=1,CROQUIS_DATOS!$C$1555=1),(CROQUIS_DATOS!$C$1563+(IF(IF(OR(MOD($A9-1,62)+1=1,IF(CHOOSE(MIN(MAX(MIN(INT(($A9-1)/62)+1,5),1),5),CROQUIS_DATOS!$C$1501,CROQUIS_DATOS!$C$1505,CROQUIS_DATOS!$C$1509,CROQUIS_DATOS!$C$1513,CROQUIS_DATOS!$C$1517)=1,CROQUIS_DATOS!$C$1557,0)=0),0,IF(MOD($A9-1,62)+1&gt;2*IF(CHOOSE(MIN(MAX(MIN(INT(($A9-1)/62)+1,5),1),5),CROQUIS_DATOS!$C$1501,CROQUIS_DATOS!$C$1505,CROQUIS_DATOS!$C$1509,CROQUIS_DATOS!$C$1513,CROQUIS_DATOS!$C$1517)=1,CROQUIS_DATOS!$C$1557,0)+1,IF(MOD(IF(CHOOSE(MIN(MAX(MIN(INT(($A9-1)/62)+1,5),1),5),CROQUIS_DATOS!$C$1501,CROQUIS_DATOS!$C$1505,CROQUIS_DATOS!$C$1509,CROQUIS_DATOS!$C$1513,CROQUIS_DATOS!$C$1517)=1,CROQUIS_DATOS!$C$1557,0),2)=1,1,0),IF(MOD(MIN(INT((MOD($A9-1,62)+1-2)/2)+1,MAX(IF(CHOOSE(MIN(MAX(MIN(INT(($A9-1)/62)+1,5),1),5),CROQUIS_DATOS!$C$1501,CROQUIS_DATOS!$C$1505,CROQUIS_DATOS!$C$1509,CROQUIS_DATOS!$C$1513,CROQUIS_DATOS!$C$1517)=1,CROQUIS_DATOS!$C$1557,0),1)),2)=1,IF(MOD(MOD($A9-1,62)+1-2,2)=0,0,1),IF(MOD(MOD($A9-1,62)+1-2,2)=0,1,0))))=0,(CHOOSE(MIN(MAX(MIN(INT(($A9-1)/62)+1,5),1),5),CROQUIS_DATOS!$C$1499,CROQUIS_DATOS!$C$1503,CROQUIS_DATOS!$C$1507,CROQUIS_DATOS!$C$1511,CROQUIS_DATOS!$C$1515)+IF(CHOOSE(MIN(MAX(MIN(INT(($A9-1)/62)+1,5),1),5),CROQUIS_DATOS!$C$1501,CROQUIS_DATOS!$C$1505,CROQUIS_DATOS!$C$1509,CROQUIS_DATOS!$C$1513,CROQUIS_DATOS!$C$1517)=1,CROQUIS_DATOS!$C$1526,0)),(CHOOSE(MIN(MAX(MIN(INT(($A9-1)/62)+1,5),1),5),CROQUIS_DATOS!$C$1499,CROQUIS_DATOS!$C$1503,CROQUIS_DATOS!$C$1507,CROQUIS_DATOS!$C$1511,CROQUIS_DATOS!$C$1515)+CHOOSE(MIN(MAX(MIN(INT(($A9-1)/62)+1,5),1),5),CROQUIS_DATOS!$C$1500,CROQUIS_DATOS!$C$1504,CROQUIS_DATOS!$C$1508,CROQUIS_DATOS!$C$1512,CROQUIS_DATOS!$C$1516)-IF(CHOOSE(MIN(MAX(MIN(INT(($A9-1)/62)+1,5),1),5),CROQUIS_DATOS!$C$1501,CROQUIS_DATOS!$C$1505,CROQUIS_DATOS!$C$1509,CROQUIS_DATOS!$C$1513,CROQUIS_DATOS!$C$1517)=1,CROQUIS_DATOS!$C$1526,0))))*CROQUIS_DATOS!$C$1562),-1000)</f>
        <v>-1000</v>
      </c>
      <c r="Q9">
        <f>IF(AND(CROQUIS_DATOS!$C$1472=1,CROQUIS_DATOS!$C$1555=1),(CROQUIS_DATOS!$C$1564+(IF(OR(OR(MOD($A9-1,62)+1=1,IF(CHOOSE(MIN(MAX(MIN(INT(($A9-1)/62)+1,5),1),5),CROQUIS_DATOS!$C$1501,CROQUIS_DATOS!$C$1505,CROQUIS_DATOS!$C$1509,CROQUIS_DATOS!$C$1513,CROQUIS_DATOS!$C$1517)=1,CROQUIS_DATOS!$C$1557,0)=0),MOD($A9-1,62)+1&gt;2*IF(CHOOSE(MIN(MAX(MIN(INT(($A9-1)/62)+1,5),1),5),CROQUIS_DATOS!$C$1501,CROQUIS_DATOS!$C$1505,CROQUIS_DATOS!$C$1509,CROQUIS_DATOS!$C$1513,CROQUIS_DATOS!$C$1517)=1,CROQUIS_DATOS!$C$1557,0)+1),CROQUIS_DATOS!$C$1476,MIN(INT((MOD($A9-1,62)+1-2)/2)+1,MAX(IF(CHOOSE(MIN(MAX(MIN(INT(($A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9">
        <f>IF(AND(CROQUIS_DATOS!$C$1472=1,1),(CROQUIS_DATOS!$C$1563+(CHOOSE(MIN(MAX($A9,1),4),CROQUIS_DATOS!$C$1530,(CROQUIS_DATOS!$C$1475-CROQUIS_DATOS!$C$1530),(CROQUIS_DATOS!$C$1475-CROQUIS_DATOS!$C$1530),CROQUIS_DATOS!$C$1530))*CROQUIS_DATOS!$C$1562),-1000)</f>
        <v>84.6344827586207</v>
      </c>
      <c r="S9">
        <f>IF(AND(CROQUIS_DATOS!$C$1472=1,1),(CROQUIS_DATOS!$C$1564+(CHOOSE(MIN(MAX($A9,1),4),CROQUIS_DATOS!$C$1542,CROQUIS_DATOS!$C$1542,CROQUIS_DATOS!$C$1543,CROQUIS_DATOS!$C$1543))*CROQUIS_DATOS!$C$1561*CROQUIS_DATOS!$C$1562),-1000)</f>
        <v>40.6414336206897</v>
      </c>
      <c r="T9">
        <f>IF(AND(CROQUIS_DATOS!$C$1472=1,1),(CROQUIS_DATOS!$C$1563+(MIN(INT(($A9-1)/2)+1,CROQUIS_DATOS!$C$1558)*CROQUIS_DATOS!$C$1559)*CROQUIS_DATOS!$C$1562),-1000)</f>
        <v>17.7718832891247</v>
      </c>
      <c r="U9">
        <f>IF(AND(CROQUIS_DATOS!$C$1472=1,1),(CROQUIS_DATOS!$C$1564+(IF(INT(($A9-1)/2)+1&gt;CROQUIS_DATOS!$C$1558,IF(MOD(CROQUIS_DATOS!$C$1558,2)=1,CROQUIS_DATOS!$C$1476+CROQUIS_DATOS!$C$1528,CROQUIS_DATOS!$C$1476),IF(IF(MOD(MIN(INT(($A9-1)/2)+1,CROQUIS_DATOS!$C$1558),2)=1,MOD($A9-1,2),1-MOD($A9-1,2))=1,CROQUIS_DATOS!$C$1476+CROQUIS_DATOS!$C$1528,CROQUIS_DATOS!$C$1476)))*CROQUIS_DATOS!$C$1561*CROQUIS_DATOS!$C$1562),-1000)</f>
        <v>43</v>
      </c>
      <c r="V9">
        <f>IF(AND(CROQUIS_DATOS!$C$1472=1,1),CHOOSE(MIN(MAX($A9,1)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84.9137931034483</v>
      </c>
      <c r="W9">
        <f>IF(AND(CROQUIS_DATOS!$C$1472=1,1),CHOOSE(MIN(MAX($A9,1)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40.2068965517241</v>
      </c>
      <c r="X9">
        <f>IF(AND(CROQUIS_DATOS!$C$1472=1,1),(CROQUIS_DATOS!$C$1563+(CHOOSE(MIN(MAX($A9,1),4),CROQUIS_DATOS!$C$1530,(CROQUIS_DATOS!$C$1475-CROQUIS_DATOS!$C$1530),(CROQUIS_DATOS!$C$1475-CROQUIS_DATOS!$C$1530),CROQUIS_DATOS!$C$1530))*CROQUIS_DATOS!$C$1562),-1000)</f>
        <v>84.6344827586207</v>
      </c>
      <c r="Y9">
        <f>IF(AND(CROQUIS_DATOS!$C$1472=1,1),(CROQUIS_DATOS!$C$1564+(CHOOSE(MIN(MAX($A9,1),4),CROQUIS_DATOS!$C$1552,CROQUIS_DATOS!$C$1552,CROQUIS_DATOS!$C$1553,CROQUIS_DATOS!$C$1553))*CROQUIS_DATOS!$C$1561*CROQUIS_DATOS!$C$1562),-1000)</f>
        <v>2.93453706896552</v>
      </c>
      <c r="Z9">
        <f>IF(AND(CROQUIS_DATOS!$C$1472=1,CROQUIS_DATOS!$C$1544=1),(CROQUIS_DATOS!$C$1563+(CHOOSE(MIN(MAX($A9,1),2),(CROQUIS_DATOS!$C$1549+CROQUIS_DATOS!$C$1530),(CROQUIS_DATOS!$C$1550-CROQUIS_DATOS!$C$1530)))*CROQUIS_DATOS!$C$1562),-1000)</f>
        <v>-1000</v>
      </c>
      <c r="AA9">
        <f>IF(AND(CROQUIS_DATOS!$C$1472=1,CROQUIS_DATOS!$C$1544=1),(CROQUIS_DATOS!$C$1564+(CHOOSE(MIN(MAX($A9,1),2),CROQUIS_DATOS!$C$1554,CROQUIS_DATOS!$C$1554))*CROQUIS_DATOS!$C$1561*CROQUIS_DATOS!$C$1562),-1000)</f>
        <v>-1000</v>
      </c>
      <c r="AB9">
        <f>IF(AND(CROQUIS_DATOS!$C$1472=1,1),CHOOSE(MIN(MAX($A9,1)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84.9137931034483</v>
      </c>
      <c r="AC9">
        <f>IF(AND(CROQUIS_DATOS!$C$1472=1,1),CHOOSE(MIN(MAX($A9,1)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2.5</v>
      </c>
      <c r="AD9">
        <f>IF(AND(CROQUIS_DATOS!$C$1472=1,CROQUIS_DATOS!$C$1544=1),CHOOSE(MIN(MAX($A9,1)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-1000</v>
      </c>
      <c r="AE9">
        <f>IF(AND(CROQUIS_DATOS!$C$1472=1,CROQUIS_DATOS!$C$1544=1),CHOOSE(MIN(MAX($A9,1)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-1000</v>
      </c>
      <c r="AF9">
        <f>IF(AND(CROQUIS_DATOS!$C$1472=1,CROQUIS_DATOS!$C$1544=1),(CROQUIS_DATOS!$C$1563+(CHOOSE(MIN(MAX($A9,1),4),CROQUIS_DATOS!$C$1549,CROQUIS_DATOS!$C$1549-10,CROQUIS_DATOS!$C$1549+10,CROQUIS_DATOS!$C$1549))*CROQUIS_DATOS!$C$1562),-1000)</f>
        <v>-1000</v>
      </c>
      <c r="AG9">
        <f>IF(AND(CROQUIS_DATOS!$C$1472=1,CROQUIS_DATOS!$C$1544=1),(CROQUIS_DATOS!$C$1564+(CHOOSE(MIN(MAX($A9,1),4),-CROQUIS_DATOS!$C$1551,-CROQUIS_DATOS!$C$1551-14,-CROQUIS_DATOS!$C$1551-14,-CROQUIS_DATOS!$C$1551))*CROQUIS_DATOS!$C$1561*CROQUIS_DATOS!$C$1562),-1000)</f>
        <v>-1000</v>
      </c>
      <c r="AH9">
        <f>IF(AND(CROQUIS_DATOS!$C$1472=1,CROQUIS_DATOS!$C$1544=1),(CROQUIS_DATOS!$C$1563+(CHOOSE(MIN(MAX($A9,1),4),CROQUIS_DATOS!$C$1550,CROQUIS_DATOS!$C$1550-10,CROQUIS_DATOS!$C$1550+10,CROQUIS_DATOS!$C$1550))*CROQUIS_DATOS!$C$1562),-1000)</f>
        <v>-1000</v>
      </c>
      <c r="AI9">
        <f>IF(AND(CROQUIS_DATOS!$C$1472=1,CROQUIS_DATOS!$C$1544=1),(CROQUIS_DATOS!$C$1564+(CHOOSE(MIN(MAX($A9,1),4),-CROQUIS_DATOS!$C$1551,-CROQUIS_DATOS!$C$1551-14,-CROQUIS_DATOS!$C$1551-14,-CROQUIS_DATOS!$C$1551))*CROQUIS_DATOS!$C$1561*CROQUIS_DATOS!$C$1562),-1000)</f>
        <v>-1000</v>
      </c>
      <c r="AJ9">
        <f>IF(AND(CROQUIS_DATOS!$C$1472=1,CROQUIS_DATOS!$C$1478&gt;=1),CHOOSE(MIN(MAX($A9,1)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33.2413793103448</v>
      </c>
      <c r="AK9">
        <f>IF(AND(CROQUIS_DATOS!$C$1472=1,CROQUIS_DATOS!$C$1478&gt;=1),CHOOSE(MIN(MAX($A9,1)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5.29310344827586</v>
      </c>
      <c r="AL9">
        <f>IF(AND(CROQUIS_DATOS!$C$1472=1,CROQUIS_DATOS!$C$1478&gt;=1),(CROQUIS_DATOS!$C$1563+(CHOOSE(MIN(MAX($A9,1),5),CROQUIS_DATOS!$C$1479,(CROQUIS_DATOS!$C$1479+CROQUIS_DATOS!$C$1480),(CROQUIS_DATOS!$C$1479+CROQUIS_DATOS!$C$1480),CROQUIS_DATOS!$C$1479,(CROQUIS_DATOS!$C$1479+CROQUIS_DATOS!$C$1480)))*CROQUIS_DATOS!$C$1562),-1000)</f>
        <v>33.2413793103448</v>
      </c>
      <c r="AM9">
        <f>IF(AND(CROQUIS_DATOS!$C$1472=1,CROQUIS_DATOS!$C$1478&gt;=1),(CROQUIS_DATOS!$C$1564+(CHOOSE(MIN(MAX($A9,1),5),CROQUIS_DATOS!$C$1481,(CROQUIS_DATOS!$C$1481+CROQUIS_DATOS!$C$1482),(CROQUIS_DATOS!$C$1481+CROQUIS_DATOS!$C$1482),CROQUIS_DATOS!$C$1481,CROQUIS_DATOS!$C$1481))*CROQUIS_DATOS!$C$1561*CROQUIS_DATOS!$C$1562),-1000)</f>
        <v>34.6206896551724</v>
      </c>
      <c r="AN9">
        <f>IF(AND(CROQUIS_DATOS!$C$1472=1,CROQUIS_DATOS!$C$1478&gt;=1,(CROQUIS_DATOS!$C$1481+CROQUIS_DATOS!$C$1482)+CROQUIS_DATOS!$C$1528&lt;CROQUIS_DATOS!$C$1476-2),CHOOSE(MIN(MAX($A9,1)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35.3362068965517</v>
      </c>
      <c r="AO9">
        <f>IF(AND(CROQUIS_DATOS!$C$1472=1,CROQUIS_DATOS!$C$1478&gt;=1,(CROQUIS_DATOS!$C$1481+CROQUIS_DATOS!$C$1482)+CROQUIS_DATOS!$C$1528&lt;CROQUIS_DATOS!$C$1476-2),CHOOSE(MIN(MAX($A9,1)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34.6206896551724</v>
      </c>
      <c r="AP9">
        <f>IF(AND(CROQUIS_DATOS!$C$1472=1,CROQUIS_DATOS!$C$1478&gt;=1,CROQUIS_DATOS!$C$1481&gt;=12),CHOOSE(MIN(MAX($A9,1)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9">
        <f>IF(AND(CROQUIS_DATOS!$C$1472=1,CROQUIS_DATOS!$C$1478&gt;=1,CROQUIS_DATOS!$C$1481&gt;=12),CHOOSE(MIN(MAX($A9,1)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9">
        <f>IF(AND(CROQUIS_DATOS!$C$1472=1,CROQUIS_DATOS!$C$1478&gt;=2),CHOOSE(MIN(MAX($A9,1)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68.1551724137931</v>
      </c>
      <c r="AS9">
        <f>IF(AND(CROQUIS_DATOS!$C$1472=1,CROQUIS_DATOS!$C$1478&gt;=2),CHOOSE(MIN(MAX($A9,1)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17.8620689655172</v>
      </c>
      <c r="AT9">
        <f>IF(AND(CROQUIS_DATOS!$C$1472=1,CROQUIS_DATOS!$C$1478&gt;=2),(CROQUIS_DATOS!$C$1563+(CHOOSE(MIN(MAX($A9,1),5),CROQUIS_DATOS!$C$1484,(CROQUIS_DATOS!$C$1484+CROQUIS_DATOS!$C$1485),(CROQUIS_DATOS!$C$1484+CROQUIS_DATOS!$C$1485),CROQUIS_DATOS!$C$1484,(CROQUIS_DATOS!$C$1484+CROQUIS_DATOS!$C$1485)))*CROQUIS_DATOS!$C$1562),-1000)</f>
        <v>68.1551724137931</v>
      </c>
      <c r="AU9">
        <f>IF(AND(CROQUIS_DATOS!$C$1472=1,CROQUIS_DATOS!$C$1478&gt;=2),(CROQUIS_DATOS!$C$1564+(CHOOSE(MIN(MAX($A9,1),5),CROQUIS_DATOS!$C$1486,(CROQUIS_DATOS!$C$1486+CROQUIS_DATOS!$C$1487),(CROQUIS_DATOS!$C$1486+CROQUIS_DATOS!$C$1487),CROQUIS_DATOS!$C$1486,CROQUIS_DATOS!$C$1486))*CROQUIS_DATOS!$C$1561*CROQUIS_DATOS!$C$1562),-1000)</f>
        <v>34.6206896551724</v>
      </c>
      <c r="AV9">
        <f>IF(AND(CROQUIS_DATOS!$C$1472=1,CROQUIS_DATOS!$C$1478&gt;=2,(CROQUIS_DATOS!$C$1486+CROQUIS_DATOS!$C$1487)+CROQUIS_DATOS!$C$1528&lt;CROQUIS_DATOS!$C$1476-2),CHOOSE(MIN(MAX($A9,1)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70.25</v>
      </c>
      <c r="AW9">
        <f>IF(AND(CROQUIS_DATOS!$C$1472=1,CROQUIS_DATOS!$C$1478&gt;=2,(CROQUIS_DATOS!$C$1486+CROQUIS_DATOS!$C$1487)+CROQUIS_DATOS!$C$1528&lt;CROQUIS_DATOS!$C$1476-2),CHOOSE(MIN(MAX($A9,1)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34.6206896551724</v>
      </c>
      <c r="AX9">
        <f>IF(AND(CROQUIS_DATOS!$C$1472=1,CROQUIS_DATOS!$C$1478&gt;=2,CROQUIS_DATOS!$C$1486&gt;=12),CHOOSE(MIN(MAX($A9,1)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70.25</v>
      </c>
      <c r="AY9">
        <f>IF(AND(CROQUIS_DATOS!$C$1472=1,CROQUIS_DATOS!$C$1478&gt;=2,CROQUIS_DATOS!$C$1486&gt;=12),CHOOSE(MIN(MAX($A9,1)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16.4655172413793</v>
      </c>
      <c r="AZ9">
        <f>IF(AND(CROQUIS_DATOS!$C$1472=1,CROQUIS_DATOS!$C$1478&gt;=3),CHOOSE(MIN(MAX($A9,1)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9">
        <f>IF(AND(CROQUIS_DATOS!$C$1472=1,CROQUIS_DATOS!$C$1478&gt;=3),CHOOSE(MIN(MAX($A9,1)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9">
        <f>IF(AND(CROQUIS_DATOS!$C$1472=1,CROQUIS_DATOS!$C$1478&gt;=3),(CROQUIS_DATOS!$C$1563+(CHOOSE(MIN(MAX($A9,1),5),CROQUIS_DATOS!$C$1489,(CROQUIS_DATOS!$C$1489+CROQUIS_DATOS!$C$1490),(CROQUIS_DATOS!$C$1489+CROQUIS_DATOS!$C$1490),CROQUIS_DATOS!$C$1489,(CROQUIS_DATOS!$C$1489+CROQUIS_DATOS!$C$1490)))*CROQUIS_DATOS!$C$1562),-1000)</f>
        <v>-1000</v>
      </c>
      <c r="BC9">
        <f>IF(AND(CROQUIS_DATOS!$C$1472=1,CROQUIS_DATOS!$C$1478&gt;=3),(CROQUIS_DATOS!$C$1564+(CHOOSE(MIN(MAX($A9,1),5),CROQUIS_DATOS!$C$1491,(CROQUIS_DATOS!$C$1491+CROQUIS_DATOS!$C$1492),(CROQUIS_DATOS!$C$1491+CROQUIS_DATOS!$C$1492),CROQUIS_DATOS!$C$1491,CROQUIS_DATOS!$C$1491))*CROQUIS_DATOS!$C$1561*CROQUIS_DATOS!$C$1562),-1000)</f>
        <v>-1000</v>
      </c>
      <c r="BD9">
        <f>IF(AND(CROQUIS_DATOS!$C$1472=1,CROQUIS_DATOS!$C$1478&gt;=3,(CROQUIS_DATOS!$C$1491+CROQUIS_DATOS!$C$1492)+CROQUIS_DATOS!$C$1528&lt;CROQUIS_DATOS!$C$1476-2),CHOOSE(MIN(MAX($A9,1)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9">
        <f>IF(AND(CROQUIS_DATOS!$C$1472=1,CROQUIS_DATOS!$C$1478&gt;=3,(CROQUIS_DATOS!$C$1491+CROQUIS_DATOS!$C$1492)+CROQUIS_DATOS!$C$1528&lt;CROQUIS_DATOS!$C$1476-2),CHOOSE(MIN(MAX($A9,1)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9">
        <f>IF(AND(CROQUIS_DATOS!$C$1472=1,CROQUIS_DATOS!$C$1478&gt;=3,CROQUIS_DATOS!$C$1491&gt;=12),CHOOSE(MIN(MAX($A9,1)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9">
        <f>IF(AND(CROQUIS_DATOS!$C$1472=1,CROQUIS_DATOS!$C$1478&gt;=3,CROQUIS_DATOS!$C$1491&gt;=12),CHOOSE(MIN(MAX($A9,1)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9">
        <f>IF(AND(CROQUIS_DATOS!$C$1472=1,CROQUIS_DATOS!$C$1478&gt;=4),CHOOSE(MIN(MAX($A9,1)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9">
        <f>IF(AND(CROQUIS_DATOS!$C$1472=1,CROQUIS_DATOS!$C$1478&gt;=4),CHOOSE(MIN(MAX($A9,1)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9">
        <f>IF(AND(CROQUIS_DATOS!$C$1472=1,CROQUIS_DATOS!$C$1478&gt;=4),(CROQUIS_DATOS!$C$1563+(CHOOSE(MIN(MAX($A9,1),5),CROQUIS_DATOS!$C$1494,(CROQUIS_DATOS!$C$1494+CROQUIS_DATOS!$C$1495),(CROQUIS_DATOS!$C$1494+CROQUIS_DATOS!$C$1495),CROQUIS_DATOS!$C$1494,(CROQUIS_DATOS!$C$1494+CROQUIS_DATOS!$C$1495)))*CROQUIS_DATOS!$C$1562),-1000)</f>
        <v>-1000</v>
      </c>
      <c r="BK9">
        <f>IF(AND(CROQUIS_DATOS!$C$1472=1,CROQUIS_DATOS!$C$1478&gt;=4),(CROQUIS_DATOS!$C$1564+(CHOOSE(MIN(MAX($A9,1),5),CROQUIS_DATOS!$C$1496,(CROQUIS_DATOS!$C$1496+CROQUIS_DATOS!$C$1497),(CROQUIS_DATOS!$C$1496+CROQUIS_DATOS!$C$1497),CROQUIS_DATOS!$C$1496,CROQUIS_DATOS!$C$1496))*CROQUIS_DATOS!$C$1561*CROQUIS_DATOS!$C$1562),-1000)</f>
        <v>-1000</v>
      </c>
      <c r="BL9">
        <f>IF(AND(CROQUIS_DATOS!$C$1472=1,CROQUIS_DATOS!$C$1478&gt;=4,(CROQUIS_DATOS!$C$1496+CROQUIS_DATOS!$C$1497)+CROQUIS_DATOS!$C$1528&lt;CROQUIS_DATOS!$C$1476-2),CHOOSE(MIN(MAX($A9,1)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9">
        <f>IF(AND(CROQUIS_DATOS!$C$1472=1,CROQUIS_DATOS!$C$1478&gt;=4,(CROQUIS_DATOS!$C$1496+CROQUIS_DATOS!$C$1497)+CROQUIS_DATOS!$C$1528&lt;CROQUIS_DATOS!$C$1476-2),CHOOSE(MIN(MAX($A9,1)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9">
        <f>IF(AND(CROQUIS_DATOS!$C$1472=1,CROQUIS_DATOS!$C$1478&gt;=4,CROQUIS_DATOS!$C$1496&gt;=12),CHOOSE(MIN(MAX($A9,1)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9">
        <f>IF(AND(CROQUIS_DATOS!$C$1472=1,CROQUIS_DATOS!$C$1478&gt;=4,CROQUIS_DATOS!$C$1496&gt;=12),CHOOSE(MIN(MAX($A9,1)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9">
        <f>IF(AND(CROQUIS_DATOS!$C$1472=1,1),CHOOSE(MIN(MAX($A9,1)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84.9137931034483</v>
      </c>
      <c r="BQ9">
        <f>IF(AND(CROQUIS_DATOS!$C$1472=1,1),CHOOSE(MIN(MAX($A9,1)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5.29310344827586</v>
      </c>
      <c r="BR9">
        <f>IF(AND(CROQUIS_DATOS!$C$1472=1,1),CHOOSE(MIN(MAX($A9,1)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77.7241379310345</v>
      </c>
      <c r="BS9">
        <f>IF(AND(CROQUIS_DATOS!$C$1472=1,1),CHOOSE(MIN(MAX($A9,1)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12.1379310344828</v>
      </c>
      <c r="BT9">
        <f>IF(AND(CROQUIS_DATOS!$C$1472=1,1),CHOOSE(MIN(MAX($A9,1)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77.7241379310345</v>
      </c>
      <c r="BU9">
        <f>IF(AND(CROQUIS_DATOS!$C$1472=1,1),CHOOSE(MIN(MAX($A9,1)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38.8620689655172</v>
      </c>
      <c r="BV9">
        <f>IF(AND(CROQUIS_DATOS!$C$1472=1,1),CHOOSE(MIN(MAX($A9,1)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77.7241379310345</v>
      </c>
      <c r="BW9">
        <f>IF(AND(CROQUIS_DATOS!$C$1472=1,1),CHOOSE(MIN(MAX($A9,1)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10</v>
      </c>
      <c r="BX9">
        <f>IF(AND(CROQUIS_DATOS!$C$1472=1,CROQUIS_DATOS!$C$1544=1),CHOOSE(MIN(MAX($A9,1)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-1000</v>
      </c>
      <c r="BY9">
        <f>IF(AND(CROQUIS_DATOS!$C$1472=1,CROQUIS_DATOS!$C$1544=1),CHOOSE(MIN(MAX($A9,1)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-1000</v>
      </c>
      <c r="BZ9">
        <f>IF(AND(CROQUIS_DATOS!$C$1472=1,CROQUIS_DATOS!$C$1500&gt;0,((CROQUIS_DATOS!$C$1499+CROQUIS_DATOS!$C$1500))-(CROQUIS_DATOS!$C$1499)&gt;0.5,(CROQUIS_DATOS!$C$1476)-(0)&gt;0.5),(CROQUIS_DATOS!$C$1566+(IF(IF(MOD(MIN(INT(($A9-1)/2)+1,MAX(1,INT(((((CROQUIS_DATOS!$C$1499+CROQUIS_DATOS!$C$1500))-(CROQUIS_DATOS!$C$1499))+((CROQUIS_DATOS!$C$1476)*CROQUIS_DATOS!$C$1561-(0)*CROQUIS_DATOS!$C$1561))/CROQUIS_DATOS!$C$1568-0.000001))),2)=1,IF(INT(($A9-1)/2)+1&gt;MAX(1,INT(((((CROQUIS_DATOS!$C$1499+CROQUIS_DATOS!$C$1500))-(CROQUIS_DATOS!$C$1499))+((CROQUIS_DATOS!$C$1476)*CROQUIS_DATOS!$C$1561-(0)*CROQUIS_DATOS!$C$1561))/CROQUIS_DATOS!$C$1568-0.000001)),1,MOD($A9-1,2)),1-IF(INT(($A9-1)/2)+1&gt;MAX(1,INT(((((CROQUIS_DATOS!$C$1499+CROQUIS_DATOS!$C$1500))-(CROQUIS_DATOS!$C$1499))+((CROQUIS_DATOS!$C$1476)*CROQUIS_DATOS!$C$1561-(0)*CROQUIS_DATOS!$C$1561))/CROQUIS_DATOS!$C$1568-0.000001)),1,MOD($A9-1,2)))=1,MIN((CROQUIS_DATOS!$C$1476)*CROQUIS_DATOS!$C$1561,((CROQUIS_DATOS!$C$1499+CROQUIS_DATOS!$C$1500)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*CROQUIS_DATOS!$C$1565),-1000)</f>
        <v>25.8758620689655</v>
      </c>
      <c r="CA9">
        <f>IF(AND(CROQUIS_DATOS!$C$1472=1,CROQUIS_DATOS!$C$1500&gt;0,((CROQUIS_DATOS!$C$1499+CROQUIS_DATOS!$C$1500))-(CROQUIS_DATOS!$C$1499)&gt;0.5,(CROQUIS_DATOS!$C$1476)-(0)&gt;0.5),(CROQUIS_DATOS!$C$1567+(IF(IF(MOD(MIN(INT(($A9-1)/2)+1,MAX(1,INT(((((CROQUIS_DATOS!$C$1499+CROQUIS_DATOS!$C$1500))-(CROQUIS_DATOS!$C$1499))+((CROQUIS_DATOS!$C$1476)*CROQUIS_DATOS!$C$1561-(0)*CROQUIS_DATOS!$C$1561))/CROQUIS_DATOS!$C$1568-0.000001))),2)=1,IF(INT(($A9-1)/2)+1&gt;MAX(1,INT(((((CROQUIS_DATOS!$C$1499+CROQUIS_DATOS!$C$1500))-(CROQUIS_DATOS!$C$1499))+((CROQUIS_DATOS!$C$1476)*CROQUIS_DATOS!$C$1561-(0)*CROQUIS_DATOS!$C$1561))/CROQUIS_DATOS!$C$1568-0.000001)),1,MOD($A9-1,2)),1-IF(INT(($A9-1)/2)+1&gt;MAX(1,INT(((((CROQUIS_DATOS!$C$1499+CROQUIS_DATOS!$C$1500))-(CROQUIS_DATOS!$C$1499))+((CROQUIS_DATOS!$C$1476)*CROQUIS_DATOS!$C$1561-(0)*CROQUIS_DATOS!$C$1561))/CROQUIS_DATOS!$C$1568-0.000001)),1,MOD($A9-1,2)))=1,MIN((CROQUIS_DATOS!$C$1476)*CROQUIS_DATOS!$C$1561,((CROQUIS_DATOS!$C$1499+CROQUIS_DATOS!$C$1500)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9-1)/2)+1,MAX(1,INT(((((CROQUIS_DATOS!$C$1499+CROQUIS_DATOS!$C$1500))-(CROQUIS_DATOS!$C$1499))+((CROQUIS_DATOS!$C$1476)*CROQUIS_DATOS!$C$1561-(0)*CROQUIS_DATOS!$C$1561))/CROQUIS_DATOS!$C$1568-0.000001)))*CROQUIS_DATOS!$C$1568))))*CROQUIS_DATOS!$C$1565),-1000)</f>
        <v>38.8620689655172</v>
      </c>
      <c r="CB9">
        <f>IF(AND(CROQUIS_DATOS!$C$1472=1,CROQUIS_DATOS!$C$1504&gt;0,((CROQUIS_DATOS!$C$1503+CROQUIS_DATOS!$C$1504))-(CROQUIS_DATOS!$C$1503)&gt;0.5,(CROQUIS_DATOS!$C$1476)-(0)&gt;0.5),(CROQUIS_DATOS!$C$1566+(IF(IF(MOD(MIN(INT(($A9-1)/2)+1,MAX(1,INT(((((CROQUIS_DATOS!$C$1503+CROQUIS_DATOS!$C$1504))-(CROQUIS_DATOS!$C$1503))+((CROQUIS_DATOS!$C$1476)*CROQUIS_DATOS!$C$1561-(0)*CROQUIS_DATOS!$C$1561))/CROQUIS_DATOS!$C$1568-0.000001))),2)=1,IF(INT(($A9-1)/2)+1&gt;MAX(1,INT(((((CROQUIS_DATOS!$C$1503+CROQUIS_DATOS!$C$1504))-(CROQUIS_DATOS!$C$1503))+((CROQUIS_DATOS!$C$1476)*CROQUIS_DATOS!$C$1561-(0)*CROQUIS_DATOS!$C$1561))/CROQUIS_DATOS!$C$1568-0.000001)),1,MOD($A9-1,2)),1-IF(INT(($A9-1)/2)+1&gt;MAX(1,INT(((((CROQUIS_DATOS!$C$1503+CROQUIS_DATOS!$C$1504))-(CROQUIS_DATOS!$C$1503))+((CROQUIS_DATOS!$C$1476)*CROQUIS_DATOS!$C$1561-(0)*CROQUIS_DATOS!$C$1561))/CROQUIS_DATOS!$C$1568-0.000001)),1,MOD($A9-1,2)))=1,MIN((CROQUIS_DATOS!$C$1476)*CROQUIS_DATOS!$C$1561,((CROQUIS_DATOS!$C$1503+CROQUIS_DATOS!$C$1504)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*CROQUIS_DATOS!$C$1565),-1000)</f>
        <v>39.7724137931034</v>
      </c>
      <c r="CC9">
        <f>IF(AND(CROQUIS_DATOS!$C$1472=1,CROQUIS_DATOS!$C$1504&gt;0,((CROQUIS_DATOS!$C$1503+CROQUIS_DATOS!$C$1504))-(CROQUIS_DATOS!$C$1503)&gt;0.5,(CROQUIS_DATOS!$C$1476)-(0)&gt;0.5),(CROQUIS_DATOS!$C$1567+(IF(IF(MOD(MIN(INT(($A9-1)/2)+1,MAX(1,INT(((((CROQUIS_DATOS!$C$1503+CROQUIS_DATOS!$C$1504))-(CROQUIS_DATOS!$C$1503))+((CROQUIS_DATOS!$C$1476)*CROQUIS_DATOS!$C$1561-(0)*CROQUIS_DATOS!$C$1561))/CROQUIS_DATOS!$C$1568-0.000001))),2)=1,IF(INT(($A9-1)/2)+1&gt;MAX(1,INT(((((CROQUIS_DATOS!$C$1503+CROQUIS_DATOS!$C$1504))-(CROQUIS_DATOS!$C$1503))+((CROQUIS_DATOS!$C$1476)*CROQUIS_DATOS!$C$1561-(0)*CROQUIS_DATOS!$C$1561))/CROQUIS_DATOS!$C$1568-0.000001)),1,MOD($A9-1,2)),1-IF(INT(($A9-1)/2)+1&gt;MAX(1,INT(((((CROQUIS_DATOS!$C$1503+CROQUIS_DATOS!$C$1504))-(CROQUIS_DATOS!$C$1503))+((CROQUIS_DATOS!$C$1476)*CROQUIS_DATOS!$C$1561-(0)*CROQUIS_DATOS!$C$1561))/CROQUIS_DATOS!$C$1568-0.000001)),1,MOD($A9-1,2)))=1,MIN((CROQUIS_DATOS!$C$1476)*CROQUIS_DATOS!$C$1561,((CROQUIS_DATOS!$C$1503+CROQUIS_DATOS!$C$1504)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9-1)/2)+1,MAX(1,INT(((((CROQUIS_DATOS!$C$1503+CROQUIS_DATOS!$C$1504))-(CROQUIS_DATOS!$C$1503))+((CROQUIS_DATOS!$C$1476)*CROQUIS_DATOS!$C$1561-(0)*CROQUIS_DATOS!$C$1561))/CROQUIS_DATOS!$C$1568-0.000001)))*CROQUIS_DATOS!$C$1568))))*CROQUIS_DATOS!$C$1565),-1000)</f>
        <v>38.8620689655172</v>
      </c>
      <c r="CD9">
        <f>IF(AND(CROQUIS_DATOS!$C$1472=1,CROQUIS_DATOS!$C$1508&gt;0,((CROQUIS_DATOS!$C$1507+CROQUIS_DATOS!$C$1508))-(CROQUIS_DATOS!$C$1507)&gt;0.5,(CROQUIS_DATOS!$C$1476)-(0)&gt;0.5),(CROQUIS_DATOS!$C$1566+(IF(IF(MOD(MIN(INT(($A9-1)/2)+1,MAX(1,INT(((((CROQUIS_DATOS!$C$1507+CROQUIS_DATOS!$C$1508))-(CROQUIS_DATOS!$C$1507))+((CROQUIS_DATOS!$C$1476)*CROQUIS_DATOS!$C$1561-(0)*CROQUIS_DATOS!$C$1561))/CROQUIS_DATOS!$C$1568-0.000001))),2)=1,IF(INT(($A9-1)/2)+1&gt;MAX(1,INT(((((CROQUIS_DATOS!$C$1507+CROQUIS_DATOS!$C$1508))-(CROQUIS_DATOS!$C$1507))+((CROQUIS_DATOS!$C$1476)*CROQUIS_DATOS!$C$1561-(0)*CROQUIS_DATOS!$C$1561))/CROQUIS_DATOS!$C$1568-0.000001)),1,MOD($A9-1,2)),1-IF(INT(($A9-1)/2)+1&gt;MAX(1,INT(((((CROQUIS_DATOS!$C$1507+CROQUIS_DATOS!$C$1508))-(CROQUIS_DATOS!$C$1507))+((CROQUIS_DATOS!$C$1476)*CROQUIS_DATOS!$C$1561-(0)*CROQUIS_DATOS!$C$1561))/CROQUIS_DATOS!$C$1568-0.000001)),1,MOD($A9-1,2)))=1,MIN((CROQUIS_DATOS!$C$1476)*CROQUIS_DATOS!$C$1561,((CROQUIS_DATOS!$C$1507+CROQUIS_DATOS!$C$1508)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*CROQUIS_DATOS!$C$1565),-1000)</f>
        <v>66.4965517241379</v>
      </c>
      <c r="CE9">
        <f>IF(AND(CROQUIS_DATOS!$C$1472=1,CROQUIS_DATOS!$C$1508&gt;0,((CROQUIS_DATOS!$C$1507+CROQUIS_DATOS!$C$1508))-(CROQUIS_DATOS!$C$1507)&gt;0.5,(CROQUIS_DATOS!$C$1476)-(0)&gt;0.5),(CROQUIS_DATOS!$C$1567+(IF(IF(MOD(MIN(INT(($A9-1)/2)+1,MAX(1,INT(((((CROQUIS_DATOS!$C$1507+CROQUIS_DATOS!$C$1508))-(CROQUIS_DATOS!$C$1507))+((CROQUIS_DATOS!$C$1476)*CROQUIS_DATOS!$C$1561-(0)*CROQUIS_DATOS!$C$1561))/CROQUIS_DATOS!$C$1568-0.000001))),2)=1,IF(INT(($A9-1)/2)+1&gt;MAX(1,INT(((((CROQUIS_DATOS!$C$1507+CROQUIS_DATOS!$C$1508))-(CROQUIS_DATOS!$C$1507))+((CROQUIS_DATOS!$C$1476)*CROQUIS_DATOS!$C$1561-(0)*CROQUIS_DATOS!$C$1561))/CROQUIS_DATOS!$C$1568-0.000001)),1,MOD($A9-1,2)),1-IF(INT(($A9-1)/2)+1&gt;MAX(1,INT(((((CROQUIS_DATOS!$C$1507+CROQUIS_DATOS!$C$1508))-(CROQUIS_DATOS!$C$1507))+((CROQUIS_DATOS!$C$1476)*CROQUIS_DATOS!$C$1561-(0)*CROQUIS_DATOS!$C$1561))/CROQUIS_DATOS!$C$1568-0.000001)),1,MOD($A9-1,2)))=1,MIN((CROQUIS_DATOS!$C$1476)*CROQUIS_DATOS!$C$1561,((CROQUIS_DATOS!$C$1507+CROQUIS_DATOS!$C$1508)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9">
        <f>IF(AND(CROQUIS_DATOS!$C$1472=1,CROQUIS_DATOS!$C$1512&gt;0,((CROQUIS_DATOS!$C$1511+CROQUIS_DATOS!$C$1512))-(CROQUIS_DATOS!$C$1511)&gt;0.5,(CROQUIS_DATOS!$C$1476)-(0)&gt;0.5),(CROQUIS_DATOS!$C$1566+(IF(IF(MOD(MIN(INT(($A9-1)/2)+1,MAX(1,INT(((((CROQUIS_DATOS!$C$1511+CROQUIS_DATOS!$C$1512))-(CROQUIS_DATOS!$C$1511))+((CROQUIS_DATOS!$C$1476)*CROQUIS_DATOS!$C$1561-(0)*CROQUIS_DATOS!$C$1561))/CROQUIS_DATOS!$C$1568-0.000001))),2)=1,IF(INT(($A9-1)/2)+1&gt;MAX(1,INT(((((CROQUIS_DATOS!$C$1511+CROQUIS_DATOS!$C$1512))-(CROQUIS_DATOS!$C$1511))+((CROQUIS_DATOS!$C$1476)*CROQUIS_DATOS!$C$1561-(0)*CROQUIS_DATOS!$C$1561))/CROQUIS_DATOS!$C$1568-0.000001)),1,MOD($A9-1,2)),1-IF(INT(($A9-1)/2)+1&gt;MAX(1,INT(((((CROQUIS_DATOS!$C$1511+CROQUIS_DATOS!$C$1512))-(CROQUIS_DATOS!$C$1511))+((CROQUIS_DATOS!$C$1476)*CROQUIS_DATOS!$C$1561-(0)*CROQUIS_DATOS!$C$1561))/CROQUIS_DATOS!$C$1568-0.000001)),1,MOD($A9-1,2)))=1,MIN((CROQUIS_DATOS!$C$1476)*CROQUIS_DATOS!$C$1561,((CROQUIS_DATOS!$C$1511+CROQUIS_DATOS!$C$1512)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">
        <f>IF(AND(CROQUIS_DATOS!$C$1472=1,CROQUIS_DATOS!$C$1512&gt;0,((CROQUIS_DATOS!$C$1511+CROQUIS_DATOS!$C$1512))-(CROQUIS_DATOS!$C$1511)&gt;0.5,(CROQUIS_DATOS!$C$1476)-(0)&gt;0.5),(CROQUIS_DATOS!$C$1567+(IF(IF(MOD(MIN(INT(($A9-1)/2)+1,MAX(1,INT(((((CROQUIS_DATOS!$C$1511+CROQUIS_DATOS!$C$1512))-(CROQUIS_DATOS!$C$1511))+((CROQUIS_DATOS!$C$1476)*CROQUIS_DATOS!$C$1561-(0)*CROQUIS_DATOS!$C$1561))/CROQUIS_DATOS!$C$1568-0.000001))),2)=1,IF(INT(($A9-1)/2)+1&gt;MAX(1,INT(((((CROQUIS_DATOS!$C$1511+CROQUIS_DATOS!$C$1512))-(CROQUIS_DATOS!$C$1511))+((CROQUIS_DATOS!$C$1476)*CROQUIS_DATOS!$C$1561-(0)*CROQUIS_DATOS!$C$1561))/CROQUIS_DATOS!$C$1568-0.000001)),1,MOD($A9-1,2)),1-IF(INT(($A9-1)/2)+1&gt;MAX(1,INT(((((CROQUIS_DATOS!$C$1511+CROQUIS_DATOS!$C$1512))-(CROQUIS_DATOS!$C$1511))+((CROQUIS_DATOS!$C$1476)*CROQUIS_DATOS!$C$1561-(0)*CROQUIS_DATOS!$C$1561))/CROQUIS_DATOS!$C$1568-0.000001)),1,MOD($A9-1,2)))=1,MIN((CROQUIS_DATOS!$C$1476)*CROQUIS_DATOS!$C$1561,((CROQUIS_DATOS!$C$1511+CROQUIS_DATOS!$C$1512)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">
        <f>IF(AND(CROQUIS_DATOS!$C$1472=1,CROQUIS_DATOS!$C$1516&gt;0,((CROQUIS_DATOS!$C$1515+CROQUIS_DATOS!$C$1516))-(CROQUIS_DATOS!$C$1515)&gt;0.5,(CROQUIS_DATOS!$C$1476)-(0)&gt;0.5),(CROQUIS_DATOS!$C$1566+(IF(IF(MOD(MIN(INT(($A9-1)/2)+1,MAX(1,INT(((((CROQUIS_DATOS!$C$1515+CROQUIS_DATOS!$C$1516))-(CROQUIS_DATOS!$C$1515))+((CROQUIS_DATOS!$C$1476)*CROQUIS_DATOS!$C$1561-(0)*CROQUIS_DATOS!$C$1561))/CROQUIS_DATOS!$C$1568-0.000001))),2)=1,IF(INT(($A9-1)/2)+1&gt;MAX(1,INT(((((CROQUIS_DATOS!$C$1515+CROQUIS_DATOS!$C$1516))-(CROQUIS_DATOS!$C$1515))+((CROQUIS_DATOS!$C$1476)*CROQUIS_DATOS!$C$1561-(0)*CROQUIS_DATOS!$C$1561))/CROQUIS_DATOS!$C$1568-0.000001)),1,MOD($A9-1,2)),1-IF(INT(($A9-1)/2)+1&gt;MAX(1,INT(((((CROQUIS_DATOS!$C$1515+CROQUIS_DATOS!$C$1516))-(CROQUIS_DATOS!$C$1515))+((CROQUIS_DATOS!$C$1476)*CROQUIS_DATOS!$C$1561-(0)*CROQUIS_DATOS!$C$1561))/CROQUIS_DATOS!$C$1568-0.000001)),1,MOD($A9-1,2)))=1,MIN((CROQUIS_DATOS!$C$1476)*CROQUIS_DATOS!$C$1561,((CROQUIS_DATOS!$C$1515+CROQUIS_DATOS!$C$1516)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">
        <f>IF(AND(CROQUIS_DATOS!$C$1472=1,CROQUIS_DATOS!$C$1516&gt;0,((CROQUIS_DATOS!$C$1515+CROQUIS_DATOS!$C$1516))-(CROQUIS_DATOS!$C$1515)&gt;0.5,(CROQUIS_DATOS!$C$1476)-(0)&gt;0.5),(CROQUIS_DATOS!$C$1567+(IF(IF(MOD(MIN(INT(($A9-1)/2)+1,MAX(1,INT(((((CROQUIS_DATOS!$C$1515+CROQUIS_DATOS!$C$1516))-(CROQUIS_DATOS!$C$1515))+((CROQUIS_DATOS!$C$1476)*CROQUIS_DATOS!$C$1561-(0)*CROQUIS_DATOS!$C$1561))/CROQUIS_DATOS!$C$1568-0.000001))),2)=1,IF(INT(($A9-1)/2)+1&gt;MAX(1,INT(((((CROQUIS_DATOS!$C$1515+CROQUIS_DATOS!$C$1516))-(CROQUIS_DATOS!$C$1515))+((CROQUIS_DATOS!$C$1476)*CROQUIS_DATOS!$C$1561-(0)*CROQUIS_DATOS!$C$1561))/CROQUIS_DATOS!$C$1568-0.000001)),1,MOD($A9-1,2)),1-IF(INT(($A9-1)/2)+1&gt;MAX(1,INT(((((CROQUIS_DATOS!$C$1515+CROQUIS_DATOS!$C$1516))-(CROQUIS_DATOS!$C$1515))+((CROQUIS_DATOS!$C$1476)*CROQUIS_DATOS!$C$1561-(0)*CROQUIS_DATOS!$C$1561))/CROQUIS_DATOS!$C$1568-0.000001)),1,MOD($A9-1,2)))=1,MIN((CROQUIS_DATOS!$C$1476)*CROQUIS_DATOS!$C$1561,((CROQUIS_DATOS!$C$1515+CROQUIS_DATOS!$C$1516)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">
        <f>IF(AND(CROQUIS_DATOS!$C$1472=1,CROQUIS_DATOS!$C$1478&gt;=1,((CROQUIS_DATOS!$C$1479+CROQUIS_DATOS!$C$1480))-(CROQUIS_DATOS!$C$1479)&gt;0.5,(CROQUIS_DATOS!$C$1481)-(0)&gt;0.5),(CROQUIS_DATOS!$C$1566+(IF(IF(MOD(MIN(INT(($A9-1)/2)+1,MAX(1,INT(((((CROQUIS_DATOS!$C$1479+CROQUIS_DATOS!$C$1480))-(CROQUIS_DATOS!$C$1479))+((CROQUIS_DATOS!$C$1481)*CROQUIS_DATOS!$C$1561-(0)*CROQUIS_DATOS!$C$1561))/CROQUIS_DATOS!$C$1568-0.000001))),2)=1,IF(INT(($A9-1)/2)+1&gt;MAX(1,INT(((((CROQUIS_DATOS!$C$1479+CROQUIS_DATOS!$C$1480))-(CROQUIS_DATOS!$C$1479))+((CROQUIS_DATOS!$C$1481)*CROQUIS_DATOS!$C$1561-(0)*CROQUIS_DATOS!$C$1561))/CROQUIS_DATOS!$C$1568-0.000001)),1,MOD($A9-1,2)),1-IF(INT(($A9-1)/2)+1&gt;MAX(1,INT(((((CROQUIS_DATOS!$C$1479+CROQUIS_DATOS!$C$1480))-(CROQUIS_DATOS!$C$1479))+((CROQUIS_DATOS!$C$1481)*CROQUIS_DATOS!$C$1561-(0)*CROQUIS_DATOS!$C$1561))/CROQUIS_DATOS!$C$1568-0.000001)),1,MOD($A9-1,2)))=1,MIN((CROQUIS_DATOS!$C$1481)*CROQUIS_DATOS!$C$1561,((CROQUIS_DATOS!$C$1479+CROQUIS_DATOS!$C$1480)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">
        <f>IF(AND(CROQUIS_DATOS!$C$1472=1,CROQUIS_DATOS!$C$1478&gt;=1,((CROQUIS_DATOS!$C$1479+CROQUIS_DATOS!$C$1480))-(CROQUIS_DATOS!$C$1479)&gt;0.5,(CROQUIS_DATOS!$C$1481)-(0)&gt;0.5),(CROQUIS_DATOS!$C$1567+(IF(IF(MOD(MIN(INT(($A9-1)/2)+1,MAX(1,INT(((((CROQUIS_DATOS!$C$1479+CROQUIS_DATOS!$C$1480))-(CROQUIS_DATOS!$C$1479))+((CROQUIS_DATOS!$C$1481)*CROQUIS_DATOS!$C$1561-(0)*CROQUIS_DATOS!$C$1561))/CROQUIS_DATOS!$C$1568-0.000001))),2)=1,IF(INT(($A9-1)/2)+1&gt;MAX(1,INT(((((CROQUIS_DATOS!$C$1479+CROQUIS_DATOS!$C$1480))-(CROQUIS_DATOS!$C$1479))+((CROQUIS_DATOS!$C$1481)*CROQUIS_DATOS!$C$1561-(0)*CROQUIS_DATOS!$C$1561))/CROQUIS_DATOS!$C$1568-0.000001)),1,MOD($A9-1,2)),1-IF(INT(($A9-1)/2)+1&gt;MAX(1,INT(((((CROQUIS_DATOS!$C$1479+CROQUIS_DATOS!$C$1480))-(CROQUIS_DATOS!$C$1479))+((CROQUIS_DATOS!$C$1481)*CROQUIS_DATOS!$C$1561-(0)*CROQUIS_DATOS!$C$1561))/CROQUIS_DATOS!$C$1568-0.000001)),1,MOD($A9-1,2)))=1,MIN((CROQUIS_DATOS!$C$1481)*CROQUIS_DATOS!$C$1561,((CROQUIS_DATOS!$C$1479+CROQUIS_DATOS!$C$1480)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">
        <f>IF(AND(CROQUIS_DATOS!$C$1472=1,CROQUIS_DATOS!$C$1478&gt;=1,((CROQUIS_DATOS!$C$1479+CROQUIS_DATOS!$C$1480))-(CROQUIS_DATOS!$C$1479)&gt;0.5,(CROQUIS_DATOS!$C$1476)-((CROQUIS_DATOS!$C$1481+CROQUIS_DATOS!$C$1482))&gt;0.5),(CROQUIS_DATOS!$C$1566+(IF(IF(MOD(MIN(INT(($A9-1)/2)+1,MAX(1,INT(((((CROQUIS_DATOS!$C$1479+CROQUIS_DATOS!$C$1480))-(CROQUIS_DATOS!$C$1479))+((CROQUIS_DATOS!$C$1476)*CROQUIS_DATOS!$C$1561-((CROQUIS_DATOS!$C$1481+CROQUIS_DATOS!$C$1482))*CROQUIS_DATOS!$C$1561))/CROQUIS_DATOS!$C$1568-0.000001))),2)=1,IF(INT(($A9-1)/2)+1&gt;MAX(1,INT(((((CROQUIS_DATOS!$C$1479+CROQUIS_DATOS!$C$1480))-(CROQUIS_DATOS!$C$1479))+((CROQUIS_DATOS!$C$1476)*CROQUIS_DATOS!$C$1561-((CROQUIS_DATOS!$C$1481+CROQUIS_DATOS!$C$1482))*CROQUIS_DATOS!$C$1561))/CROQUIS_DATOS!$C$1568-0.000001)),1,MOD($A9-1,2)),1-IF(INT(($A9-1)/2)+1&gt;MAX(1,INT(((((CROQUIS_DATOS!$C$1479+CROQUIS_DATOS!$C$1480))-(CROQUIS_DATOS!$C$1479))+((CROQUIS_DATOS!$C$1476)*CROQUIS_DATOS!$C$1561-((CROQUIS_DATOS!$C$1481+CROQUIS_DATOS!$C$1482))*CROQUIS_DATOS!$C$1561))/CROQUIS_DATOS!$C$1568-0.000001)),1,MOD($A9-1,2)))=1,MIN((CROQUIS_DATOS!$C$1476)*CROQUIS_DATOS!$C$1561,((CROQUIS_DATOS!$C$1479+CROQUIS_DATOS!$C$1480)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30.151724137931</v>
      </c>
      <c r="CM9">
        <f>IF(AND(CROQUIS_DATOS!$C$1472=1,CROQUIS_DATOS!$C$1478&gt;=1,((CROQUIS_DATOS!$C$1479+CROQUIS_DATOS!$C$1480))-(CROQUIS_DATOS!$C$1479)&gt;0.5,(CROQUIS_DATOS!$C$1476)-((CROQUIS_DATOS!$C$1481+CROQUIS_DATOS!$C$1482))&gt;0.5),(CROQUIS_DATOS!$C$1567+(IF(IF(MOD(MIN(INT(($A9-1)/2)+1,MAX(1,INT(((((CROQUIS_DATOS!$C$1479+CROQUIS_DATOS!$C$1480))-(CROQUIS_DATOS!$C$1479))+((CROQUIS_DATOS!$C$1476)*CROQUIS_DATOS!$C$1561-((CROQUIS_DATOS!$C$1481+CROQUIS_DATOS!$C$1482))*CROQUIS_DATOS!$C$1561))/CROQUIS_DATOS!$C$1568-0.000001))),2)=1,IF(INT(($A9-1)/2)+1&gt;MAX(1,INT(((((CROQUIS_DATOS!$C$1479+CROQUIS_DATOS!$C$1480))-(CROQUIS_DATOS!$C$1479))+((CROQUIS_DATOS!$C$1476)*CROQUIS_DATOS!$C$1561-((CROQUIS_DATOS!$C$1481+CROQUIS_DATOS!$C$1482))*CROQUIS_DATOS!$C$1561))/CROQUIS_DATOS!$C$1568-0.000001)),1,MOD($A9-1,2)),1-IF(INT(($A9-1)/2)+1&gt;MAX(1,INT(((((CROQUIS_DATOS!$C$1479+CROQUIS_DATOS!$C$1480))-(CROQUIS_DATOS!$C$1479))+((CROQUIS_DATOS!$C$1476)*CROQUIS_DATOS!$C$1561-((CROQUIS_DATOS!$C$1481+CROQUIS_DATOS!$C$1482))*CROQUIS_DATOS!$C$1561))/CROQUIS_DATOS!$C$1568-0.000001)),1,MOD($A9-1,2)))=1,MIN((CROQUIS_DATOS!$C$1476)*CROQUIS_DATOS!$C$1561,((CROQUIS_DATOS!$C$1479+CROQUIS_DATOS!$C$1480)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38.8620689655172</v>
      </c>
      <c r="CN9">
        <f>IF(AND(CROQUIS_DATOS!$C$1472=1,CROQUIS_DATOS!$C$1478&gt;=1),CHOOSE(MIN(MAX($A9,1)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38.1724137931034</v>
      </c>
      <c r="CO9">
        <f>IF(AND(CROQUIS_DATOS!$C$1472=1,CROQUIS_DATOS!$C$1478&gt;=1),CHOOSE(MIN(MAX($A9,1)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12.1379310344828</v>
      </c>
      <c r="CR9">
        <f>IF(AND(CROQUIS_DATOS!$C$1472=1,CROQUIS_DATOS!$C$1478&gt;=2,((CROQUIS_DATOS!$C$1484+CROQUIS_DATOS!$C$1485))-(CROQUIS_DATOS!$C$1484)&gt;0.5,(CROQUIS_DATOS!$C$1486)-(0)&gt;0.5),(CROQUIS_DATOS!$C$1566+(IF(IF(MOD(MIN(INT(($A9-1)/2)+1,MAX(1,INT(((((CROQUIS_DATOS!$C$1484+CROQUIS_DATOS!$C$1485))-(CROQUIS_DATOS!$C$1484))+((CROQUIS_DATOS!$C$1486)*CROQUIS_DATOS!$C$1561-(0)*CROQUIS_DATOS!$C$1561))/CROQUIS_DATOS!$C$1568-0.000001))),2)=1,IF(INT(($A9-1)/2)+1&gt;MAX(1,INT(((((CROQUIS_DATOS!$C$1484+CROQUIS_DATOS!$C$1485))-(CROQUIS_DATOS!$C$1484))+((CROQUIS_DATOS!$C$1486)*CROQUIS_DATOS!$C$1561-(0)*CROQUIS_DATOS!$C$1561))/CROQUIS_DATOS!$C$1568-0.000001)),1,MOD($A9-1,2)),1-IF(INT(($A9-1)/2)+1&gt;MAX(1,INT(((((CROQUIS_DATOS!$C$1484+CROQUIS_DATOS!$C$1485))-(CROQUIS_DATOS!$C$1484))+((CROQUIS_DATOS!$C$1486)*CROQUIS_DATOS!$C$1561-(0)*CROQUIS_DATOS!$C$1561))/CROQUIS_DATOS!$C$1568-0.000001)),1,MOD($A9-1,2)))=1,MIN((CROQUIS_DATOS!$C$1486)*CROQUIS_DATOS!$C$1561,((CROQUIS_DATOS!$C$1484+CROQUIS_DATOS!$C$1485)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*CROQUIS_DATOS!$C$1565),-1000)</f>
        <v>50.4620689655172</v>
      </c>
      <c r="CS9">
        <f>IF(AND(CROQUIS_DATOS!$C$1472=1,CROQUIS_DATOS!$C$1478&gt;=2,((CROQUIS_DATOS!$C$1484+CROQUIS_DATOS!$C$1485))-(CROQUIS_DATOS!$C$1484)&gt;0.5,(CROQUIS_DATOS!$C$1486)-(0)&gt;0.5),(CROQUIS_DATOS!$C$1567+(IF(IF(MOD(MIN(INT(($A9-1)/2)+1,MAX(1,INT(((((CROQUIS_DATOS!$C$1484+CROQUIS_DATOS!$C$1485))-(CROQUIS_DATOS!$C$1484))+((CROQUIS_DATOS!$C$1486)*CROQUIS_DATOS!$C$1561-(0)*CROQUIS_DATOS!$C$1561))/CROQUIS_DATOS!$C$1568-0.000001))),2)=1,IF(INT(($A9-1)/2)+1&gt;MAX(1,INT(((((CROQUIS_DATOS!$C$1484+CROQUIS_DATOS!$C$1485))-(CROQUIS_DATOS!$C$1484))+((CROQUIS_DATOS!$C$1486)*CROQUIS_DATOS!$C$1561-(0)*CROQUIS_DATOS!$C$1561))/CROQUIS_DATOS!$C$1568-0.000001)),1,MOD($A9-1,2)),1-IF(INT(($A9-1)/2)+1&gt;MAX(1,INT(((((CROQUIS_DATOS!$C$1484+CROQUIS_DATOS!$C$1485))-(CROQUIS_DATOS!$C$1484))+((CROQUIS_DATOS!$C$1486)*CROQUIS_DATOS!$C$1561-(0)*CROQUIS_DATOS!$C$1561))/CROQUIS_DATOS!$C$1568-0.000001)),1,MOD($A9-1,2)))=1,MIN((CROQUIS_DATOS!$C$1486)*CROQUIS_DATOS!$C$1561,((CROQUIS_DATOS!$C$1484+CROQUIS_DATOS!$C$1485)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9">
        <f>IF(AND(CROQUIS_DATOS!$C$1472=1,CROQUIS_DATOS!$C$1478&gt;=2,((CROQUIS_DATOS!$C$1484+CROQUIS_DATOS!$C$1485))-(CROQUIS_DATOS!$C$1484)&gt;0.5,(CROQUIS_DATOS!$C$1476)-((CROQUIS_DATOS!$C$1486+CROQUIS_DATOS!$C$1487))&gt;0.5),(CROQUIS_DATOS!$C$1566+(IF(IF(MOD(MIN(INT(($A9-1)/2)+1,MAX(1,INT(((((CROQUIS_DATOS!$C$1484+CROQUIS_DATOS!$C$1485))-(CROQUIS_DATOS!$C$1484))+((CROQUIS_DATOS!$C$1476)*CROQUIS_DATOS!$C$1561-((CROQUIS_DATOS!$C$1486+CROQUIS_DATOS!$C$1487))*CROQUIS_DATOS!$C$1561))/CROQUIS_DATOS!$C$1568-0.000001))),2)=1,IF(INT(($A9-1)/2)+1&gt;MAX(1,INT(((((CROQUIS_DATOS!$C$1484+CROQUIS_DATOS!$C$1485))-(CROQUIS_DATOS!$C$1484))+((CROQUIS_DATOS!$C$1476)*CROQUIS_DATOS!$C$1561-((CROQUIS_DATOS!$C$1486+CROQUIS_DATOS!$C$1487))*CROQUIS_DATOS!$C$1561))/CROQUIS_DATOS!$C$1568-0.000001)),1,MOD($A9-1,2)),1-IF(INT(($A9-1)/2)+1&gt;MAX(1,INT(((((CROQUIS_DATOS!$C$1484+CROQUIS_DATOS!$C$1485))-(CROQUIS_DATOS!$C$1484))+((CROQUIS_DATOS!$C$1476)*CROQUIS_DATOS!$C$1561-((CROQUIS_DATOS!$C$1486+CROQUIS_DATOS!$C$1487))*CROQUIS_DATOS!$C$1561))/CROQUIS_DATOS!$C$1568-0.000001)),1,MOD($A9-1,2)))=1,MIN((CROQUIS_DATOS!$C$1476)*CROQUIS_DATOS!$C$1561,((CROQUIS_DATOS!$C$1484+CROQUIS_DATOS!$C$1485)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50.4620689655172</v>
      </c>
      <c r="CU9">
        <f>IF(AND(CROQUIS_DATOS!$C$1472=1,CROQUIS_DATOS!$C$1478&gt;=2,((CROQUIS_DATOS!$C$1484+CROQUIS_DATOS!$C$1485))-(CROQUIS_DATOS!$C$1484)&gt;0.5,(CROQUIS_DATOS!$C$1476)-((CROQUIS_DATOS!$C$1486+CROQUIS_DATOS!$C$1487))&gt;0.5),(CROQUIS_DATOS!$C$1567+(IF(IF(MOD(MIN(INT(($A9-1)/2)+1,MAX(1,INT(((((CROQUIS_DATOS!$C$1484+CROQUIS_DATOS!$C$1485))-(CROQUIS_DATOS!$C$1484))+((CROQUIS_DATOS!$C$1476)*CROQUIS_DATOS!$C$1561-((CROQUIS_DATOS!$C$1486+CROQUIS_DATOS!$C$1487))*CROQUIS_DATOS!$C$1561))/CROQUIS_DATOS!$C$1568-0.000001))),2)=1,IF(INT(($A9-1)/2)+1&gt;MAX(1,INT(((((CROQUIS_DATOS!$C$1484+CROQUIS_DATOS!$C$1485))-(CROQUIS_DATOS!$C$1484))+((CROQUIS_DATOS!$C$1476)*CROQUIS_DATOS!$C$1561-((CROQUIS_DATOS!$C$1486+CROQUIS_DATOS!$C$1487))*CROQUIS_DATOS!$C$1561))/CROQUIS_DATOS!$C$1568-0.000001)),1,MOD($A9-1,2)),1-IF(INT(($A9-1)/2)+1&gt;MAX(1,INT(((((CROQUIS_DATOS!$C$1484+CROQUIS_DATOS!$C$1485))-(CROQUIS_DATOS!$C$1484))+((CROQUIS_DATOS!$C$1476)*CROQUIS_DATOS!$C$1561-((CROQUIS_DATOS!$C$1486+CROQUIS_DATOS!$C$1487))*CROQUIS_DATOS!$C$1561))/CROQUIS_DATOS!$C$1568-0.000001)),1,MOD($A9-1,2)))=1,MIN((CROQUIS_DATOS!$C$1476)*CROQUIS_DATOS!$C$1561,((CROQUIS_DATOS!$C$1484+CROQUIS_DATOS!$C$1485)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V9">
        <f>IF(AND(CROQUIS_DATOS!$C$1472=1,CROQUIS_DATOS!$C$1478&gt;=2),CHOOSE(MIN(MAX($A9,1)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64.8965517241379</v>
      </c>
      <c r="CW9">
        <f>IF(AND(CROQUIS_DATOS!$C$1472=1,CROQUIS_DATOS!$C$1478&gt;=2),CHOOSE(MIN(MAX($A9,1)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21.7586206896552</v>
      </c>
      <c r="CZ9">
        <f>IF(AND(CROQUIS_DATOS!$C$1472=1,CROQUIS_DATOS!$C$1478&gt;=3,((CROQUIS_DATOS!$C$1489+CROQUIS_DATOS!$C$1490))-(CROQUIS_DATOS!$C$1489)&gt;0.5,(CROQUIS_DATOS!$C$1491)-(0)&gt;0.5),(CROQUIS_DATOS!$C$1566+(IF(IF(MOD(MIN(INT(($A9-1)/2)+1,MAX(1,INT(((((CROQUIS_DATOS!$C$1489+CROQUIS_DATOS!$C$1490))-(CROQUIS_DATOS!$C$1489))+((CROQUIS_DATOS!$C$1491)*CROQUIS_DATOS!$C$1561-(0)*CROQUIS_DATOS!$C$1561))/CROQUIS_DATOS!$C$1568-0.000001))),2)=1,IF(INT(($A9-1)/2)+1&gt;MAX(1,INT(((((CROQUIS_DATOS!$C$1489+CROQUIS_DATOS!$C$1490))-(CROQUIS_DATOS!$C$1489))+((CROQUIS_DATOS!$C$1491)*CROQUIS_DATOS!$C$1561-(0)*CROQUIS_DATOS!$C$1561))/CROQUIS_DATOS!$C$1568-0.000001)),1,MOD($A9-1,2)),1-IF(INT(($A9-1)/2)+1&gt;MAX(1,INT(((((CROQUIS_DATOS!$C$1489+CROQUIS_DATOS!$C$1490))-(CROQUIS_DATOS!$C$1489))+((CROQUIS_DATOS!$C$1491)*CROQUIS_DATOS!$C$1561-(0)*CROQUIS_DATOS!$C$1561))/CROQUIS_DATOS!$C$1568-0.000001)),1,MOD($A9-1,2)))=1,MIN((CROQUIS_DATOS!$C$1491)*CROQUIS_DATOS!$C$1561,((CROQUIS_DATOS!$C$1489+CROQUIS_DATOS!$C$1490)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">
        <f>IF(AND(CROQUIS_DATOS!$C$1472=1,CROQUIS_DATOS!$C$1478&gt;=3,((CROQUIS_DATOS!$C$1489+CROQUIS_DATOS!$C$1490))-(CROQUIS_DATOS!$C$1489)&gt;0.5,(CROQUIS_DATOS!$C$1491)-(0)&gt;0.5),(CROQUIS_DATOS!$C$1567+(IF(IF(MOD(MIN(INT(($A9-1)/2)+1,MAX(1,INT(((((CROQUIS_DATOS!$C$1489+CROQUIS_DATOS!$C$1490))-(CROQUIS_DATOS!$C$1489))+((CROQUIS_DATOS!$C$1491)*CROQUIS_DATOS!$C$1561-(0)*CROQUIS_DATOS!$C$1561))/CROQUIS_DATOS!$C$1568-0.000001))),2)=1,IF(INT(($A9-1)/2)+1&gt;MAX(1,INT(((((CROQUIS_DATOS!$C$1489+CROQUIS_DATOS!$C$1490))-(CROQUIS_DATOS!$C$1489))+((CROQUIS_DATOS!$C$1491)*CROQUIS_DATOS!$C$1561-(0)*CROQUIS_DATOS!$C$1561))/CROQUIS_DATOS!$C$1568-0.000001)),1,MOD($A9-1,2)),1-IF(INT(($A9-1)/2)+1&gt;MAX(1,INT(((((CROQUIS_DATOS!$C$1489+CROQUIS_DATOS!$C$1490))-(CROQUIS_DATOS!$C$1489))+((CROQUIS_DATOS!$C$1491)*CROQUIS_DATOS!$C$1561-(0)*CROQUIS_DATOS!$C$1561))/CROQUIS_DATOS!$C$1568-0.000001)),1,MOD($A9-1,2)))=1,MIN((CROQUIS_DATOS!$C$1491)*CROQUIS_DATOS!$C$1561,((CROQUIS_DATOS!$C$1489+CROQUIS_DATOS!$C$1490)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">
        <f>IF(AND(CROQUIS_DATOS!$C$1472=1,CROQUIS_DATOS!$C$1478&gt;=3,((CROQUIS_DATOS!$C$1489+CROQUIS_DATOS!$C$1490))-(CROQUIS_DATOS!$C$1489)&gt;0.5,(CROQUIS_DATOS!$C$1476)-((CROQUIS_DATOS!$C$1491+CROQUIS_DATOS!$C$1492))&gt;0.5),(CROQUIS_DATOS!$C$1566+(IF(IF(MOD(MIN(INT(($A9-1)/2)+1,MAX(1,INT(((((CROQUIS_DATOS!$C$1489+CROQUIS_DATOS!$C$1490))-(CROQUIS_DATOS!$C$1489))+((CROQUIS_DATOS!$C$1476)*CROQUIS_DATOS!$C$1561-((CROQUIS_DATOS!$C$1491+CROQUIS_DATOS!$C$1492))*CROQUIS_DATOS!$C$1561))/CROQUIS_DATOS!$C$1568-0.000001))),2)=1,IF(INT(($A9-1)/2)+1&gt;MAX(1,INT(((((CROQUIS_DATOS!$C$1489+CROQUIS_DATOS!$C$1490))-(CROQUIS_DATOS!$C$1489))+((CROQUIS_DATOS!$C$1476)*CROQUIS_DATOS!$C$1561-((CROQUIS_DATOS!$C$1491+CROQUIS_DATOS!$C$1492))*CROQUIS_DATOS!$C$1561))/CROQUIS_DATOS!$C$1568-0.000001)),1,MOD($A9-1,2)),1-IF(INT(($A9-1)/2)+1&gt;MAX(1,INT(((((CROQUIS_DATOS!$C$1489+CROQUIS_DATOS!$C$1490))-(CROQUIS_DATOS!$C$1489))+((CROQUIS_DATOS!$C$1476)*CROQUIS_DATOS!$C$1561-((CROQUIS_DATOS!$C$1491+CROQUIS_DATOS!$C$1492))*CROQUIS_DATOS!$C$1561))/CROQUIS_DATOS!$C$1568-0.000001)),1,MOD($A9-1,2)))=1,MIN((CROQUIS_DATOS!$C$1476)*CROQUIS_DATOS!$C$1561,((CROQUIS_DATOS!$C$1489+CROQUIS_DATOS!$C$1490)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">
        <f>IF(AND(CROQUIS_DATOS!$C$1472=1,CROQUIS_DATOS!$C$1478&gt;=3,((CROQUIS_DATOS!$C$1489+CROQUIS_DATOS!$C$1490))-(CROQUIS_DATOS!$C$1489)&gt;0.5,(CROQUIS_DATOS!$C$1476)-((CROQUIS_DATOS!$C$1491+CROQUIS_DATOS!$C$1492))&gt;0.5),(CROQUIS_DATOS!$C$1567+(IF(IF(MOD(MIN(INT(($A9-1)/2)+1,MAX(1,INT(((((CROQUIS_DATOS!$C$1489+CROQUIS_DATOS!$C$1490))-(CROQUIS_DATOS!$C$1489))+((CROQUIS_DATOS!$C$1476)*CROQUIS_DATOS!$C$1561-((CROQUIS_DATOS!$C$1491+CROQUIS_DATOS!$C$1492))*CROQUIS_DATOS!$C$1561))/CROQUIS_DATOS!$C$1568-0.000001))),2)=1,IF(INT(($A9-1)/2)+1&gt;MAX(1,INT(((((CROQUIS_DATOS!$C$1489+CROQUIS_DATOS!$C$1490))-(CROQUIS_DATOS!$C$1489))+((CROQUIS_DATOS!$C$1476)*CROQUIS_DATOS!$C$1561-((CROQUIS_DATOS!$C$1491+CROQUIS_DATOS!$C$1492))*CROQUIS_DATOS!$C$1561))/CROQUIS_DATOS!$C$1568-0.000001)),1,MOD($A9-1,2)),1-IF(INT(($A9-1)/2)+1&gt;MAX(1,INT(((((CROQUIS_DATOS!$C$1489+CROQUIS_DATOS!$C$1490))-(CROQUIS_DATOS!$C$1489))+((CROQUIS_DATOS!$C$1476)*CROQUIS_DATOS!$C$1561-((CROQUIS_DATOS!$C$1491+CROQUIS_DATOS!$C$1492))*CROQUIS_DATOS!$C$1561))/CROQUIS_DATOS!$C$1568-0.000001)),1,MOD($A9-1,2)))=1,MIN((CROQUIS_DATOS!$C$1476)*CROQUIS_DATOS!$C$1561,((CROQUIS_DATOS!$C$1489+CROQUIS_DATOS!$C$1490)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9">
        <f>IF(AND(CROQUIS_DATOS!$C$1472=1,CROQUIS_DATOS!$C$1478&gt;=3),CHOOSE(MIN(MAX($A9,1)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9">
        <f>IF(AND(CROQUIS_DATOS!$C$1472=1,CROQUIS_DATOS!$C$1478&gt;=3),CHOOSE(MIN(MAX($A9,1)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9">
        <f>IF(AND(CROQUIS_DATOS!$C$1472=1,CROQUIS_DATOS!$C$1478&gt;=4,((CROQUIS_DATOS!$C$1494+CROQUIS_DATOS!$C$1495))-(CROQUIS_DATOS!$C$1494)&gt;0.5,(CROQUIS_DATOS!$C$1496)-(0)&gt;0.5),(CROQUIS_DATOS!$C$1566+(IF(IF(MOD(MIN(INT(($A9-1)/2)+1,MAX(1,INT(((((CROQUIS_DATOS!$C$1494+CROQUIS_DATOS!$C$1495))-(CROQUIS_DATOS!$C$1494))+((CROQUIS_DATOS!$C$1496)*CROQUIS_DATOS!$C$1561-(0)*CROQUIS_DATOS!$C$1561))/CROQUIS_DATOS!$C$1568-0.000001))),2)=1,IF(INT(($A9-1)/2)+1&gt;MAX(1,INT(((((CROQUIS_DATOS!$C$1494+CROQUIS_DATOS!$C$1495))-(CROQUIS_DATOS!$C$1494))+((CROQUIS_DATOS!$C$1496)*CROQUIS_DATOS!$C$1561-(0)*CROQUIS_DATOS!$C$1561))/CROQUIS_DATOS!$C$1568-0.000001)),1,MOD($A9-1,2)),1-IF(INT(($A9-1)/2)+1&gt;MAX(1,INT(((((CROQUIS_DATOS!$C$1494+CROQUIS_DATOS!$C$1495))-(CROQUIS_DATOS!$C$1494))+((CROQUIS_DATOS!$C$1496)*CROQUIS_DATOS!$C$1561-(0)*CROQUIS_DATOS!$C$1561))/CROQUIS_DATOS!$C$1568-0.000001)),1,MOD($A9-1,2)))=1,MIN((CROQUIS_DATOS!$C$1496)*CROQUIS_DATOS!$C$1561,((CROQUIS_DATOS!$C$1494+CROQUIS_DATOS!$C$1495)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">
        <f>IF(AND(CROQUIS_DATOS!$C$1472=1,CROQUIS_DATOS!$C$1478&gt;=4,((CROQUIS_DATOS!$C$1494+CROQUIS_DATOS!$C$1495))-(CROQUIS_DATOS!$C$1494)&gt;0.5,(CROQUIS_DATOS!$C$1496)-(0)&gt;0.5),(CROQUIS_DATOS!$C$1567+(IF(IF(MOD(MIN(INT(($A9-1)/2)+1,MAX(1,INT(((((CROQUIS_DATOS!$C$1494+CROQUIS_DATOS!$C$1495))-(CROQUIS_DATOS!$C$1494))+((CROQUIS_DATOS!$C$1496)*CROQUIS_DATOS!$C$1561-(0)*CROQUIS_DATOS!$C$1561))/CROQUIS_DATOS!$C$1568-0.000001))),2)=1,IF(INT(($A9-1)/2)+1&gt;MAX(1,INT(((((CROQUIS_DATOS!$C$1494+CROQUIS_DATOS!$C$1495))-(CROQUIS_DATOS!$C$1494))+((CROQUIS_DATOS!$C$1496)*CROQUIS_DATOS!$C$1561-(0)*CROQUIS_DATOS!$C$1561))/CROQUIS_DATOS!$C$1568-0.000001)),1,MOD($A9-1,2)),1-IF(INT(($A9-1)/2)+1&gt;MAX(1,INT(((((CROQUIS_DATOS!$C$1494+CROQUIS_DATOS!$C$1495))-(CROQUIS_DATOS!$C$1494))+((CROQUIS_DATOS!$C$1496)*CROQUIS_DATOS!$C$1561-(0)*CROQUIS_DATOS!$C$1561))/CROQUIS_DATOS!$C$1568-0.000001)),1,MOD($A9-1,2)))=1,MIN((CROQUIS_DATOS!$C$1496)*CROQUIS_DATOS!$C$1561,((CROQUIS_DATOS!$C$1494+CROQUIS_DATOS!$C$1495)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">
        <f>IF(AND(CROQUIS_DATOS!$C$1472=1,CROQUIS_DATOS!$C$1478&gt;=4,((CROQUIS_DATOS!$C$1494+CROQUIS_DATOS!$C$1495))-(CROQUIS_DATOS!$C$1494)&gt;0.5,(CROQUIS_DATOS!$C$1476)-((CROQUIS_DATOS!$C$1496+CROQUIS_DATOS!$C$1497))&gt;0.5),(CROQUIS_DATOS!$C$1566+(IF(IF(MOD(MIN(INT(($A9-1)/2)+1,MAX(1,INT(((((CROQUIS_DATOS!$C$1494+CROQUIS_DATOS!$C$1495))-(CROQUIS_DATOS!$C$1494))+((CROQUIS_DATOS!$C$1476)*CROQUIS_DATOS!$C$1561-((CROQUIS_DATOS!$C$1496+CROQUIS_DATOS!$C$1497))*CROQUIS_DATOS!$C$1561))/CROQUIS_DATOS!$C$1568-0.000001))),2)=1,IF(INT(($A9-1)/2)+1&gt;MAX(1,INT(((((CROQUIS_DATOS!$C$1494+CROQUIS_DATOS!$C$1495))-(CROQUIS_DATOS!$C$1494))+((CROQUIS_DATOS!$C$1476)*CROQUIS_DATOS!$C$1561-((CROQUIS_DATOS!$C$1496+CROQUIS_DATOS!$C$1497))*CROQUIS_DATOS!$C$1561))/CROQUIS_DATOS!$C$1568-0.000001)),1,MOD($A9-1,2)),1-IF(INT(($A9-1)/2)+1&gt;MAX(1,INT(((((CROQUIS_DATOS!$C$1494+CROQUIS_DATOS!$C$1495))-(CROQUIS_DATOS!$C$1494))+((CROQUIS_DATOS!$C$1476)*CROQUIS_DATOS!$C$1561-((CROQUIS_DATOS!$C$1496+CROQUIS_DATOS!$C$1497))*CROQUIS_DATOS!$C$1561))/CROQUIS_DATOS!$C$1568-0.000001)),1,MOD($A9-1,2)))=1,MIN((CROQUIS_DATOS!$C$1476)*CROQUIS_DATOS!$C$1561,((CROQUIS_DATOS!$C$1494+CROQUIS_DATOS!$C$1495)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">
        <f>IF(AND(CROQUIS_DATOS!$C$1472=1,CROQUIS_DATOS!$C$1478&gt;=4,((CROQUIS_DATOS!$C$1494+CROQUIS_DATOS!$C$1495))-(CROQUIS_DATOS!$C$1494)&gt;0.5,(CROQUIS_DATOS!$C$1476)-((CROQUIS_DATOS!$C$1496+CROQUIS_DATOS!$C$1497))&gt;0.5),(CROQUIS_DATOS!$C$1567+(IF(IF(MOD(MIN(INT(($A9-1)/2)+1,MAX(1,INT(((((CROQUIS_DATOS!$C$1494+CROQUIS_DATOS!$C$1495))-(CROQUIS_DATOS!$C$1494))+((CROQUIS_DATOS!$C$1476)*CROQUIS_DATOS!$C$1561-((CROQUIS_DATOS!$C$1496+CROQUIS_DATOS!$C$1497))*CROQUIS_DATOS!$C$1561))/CROQUIS_DATOS!$C$1568-0.000001))),2)=1,IF(INT(($A9-1)/2)+1&gt;MAX(1,INT(((((CROQUIS_DATOS!$C$1494+CROQUIS_DATOS!$C$1495))-(CROQUIS_DATOS!$C$1494))+((CROQUIS_DATOS!$C$1476)*CROQUIS_DATOS!$C$1561-((CROQUIS_DATOS!$C$1496+CROQUIS_DATOS!$C$1497))*CROQUIS_DATOS!$C$1561))/CROQUIS_DATOS!$C$1568-0.000001)),1,MOD($A9-1,2)),1-IF(INT(($A9-1)/2)+1&gt;MAX(1,INT(((((CROQUIS_DATOS!$C$1494+CROQUIS_DATOS!$C$1495))-(CROQUIS_DATOS!$C$1494))+((CROQUIS_DATOS!$C$1476)*CROQUIS_DATOS!$C$1561-((CROQUIS_DATOS!$C$1496+CROQUIS_DATOS!$C$1497))*CROQUIS_DATOS!$C$1561))/CROQUIS_DATOS!$C$1568-0.000001)),1,MOD($A9-1,2)))=1,MIN((CROQUIS_DATOS!$C$1476)*CROQUIS_DATOS!$C$1561,((CROQUIS_DATOS!$C$1494+CROQUIS_DATOS!$C$1495)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9">
        <f>IF(AND(CROQUIS_DATOS!$C$1472=1,CROQUIS_DATOS!$C$1478&gt;=4),CHOOSE(MIN(MAX($A9,1)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9">
        <f>IF(AND(CROQUIS_DATOS!$C$1472=1,CROQUIS_DATOS!$C$1478&gt;=4),CHOOSE(MIN(MAX($A9,1)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9">
        <f>IF(AND(CROQUIS_DATOS!$C$1472=1,CROQUIS_DATOS!$C$1500&gt;0.5,CROQUIS_DATOS!$C$1478&gt;0),CHOOSE(MIN(MAX($A9,1)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24.2758620689655</v>
      </c>
      <c r="DQ9">
        <f>IF(AND(CROQUIS_DATOS!$C$1472=1,CROQUIS_DATOS!$C$1500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R9">
        <f>IF(AND(CROQUIS_DATOS!$C$1472=1,CROQUIS_DATOS!$C$1478&gt;=1),CHOOSE(MIN(MAX($A9,1)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28.551724137931</v>
      </c>
      <c r="DS9">
        <f>IF(AND(CROQUIS_DATOS!$C$1472=1,CROQUIS_DATOS!$C$1478&gt;=1)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T9">
        <f>IF(AND(CROQUIS_DATOS!$C$1472=1,CROQUIS_DATOS!$C$1504&gt;0.5,CROQUIS_DATOS!$C$1478&gt;0),CHOOSE(MIN(MAX($A9,1)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38.1724137931034</v>
      </c>
      <c r="DU9">
        <f>IF(AND(CROQUIS_DATOS!$C$1472=1,CROQUIS_DATOS!$C$1504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V9">
        <f>IF(AND(CROQUIS_DATOS!$C$1472=1,CROQUIS_DATOS!$C$1478&gt;=2),CHOOSE(MIN(MAX($A9,1)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48.8620689655172</v>
      </c>
      <c r="DW9">
        <f>IF(AND(CROQUIS_DATOS!$C$1472=1,CROQUIS_DATOS!$C$1478&gt;=2)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X9">
        <f>IF(AND(CROQUIS_DATOS!$C$1472=1,CROQUIS_DATOS!$C$1508&gt;0.5,CROQUIS_DATOS!$C$1478&gt;0),CHOOSE(MIN(MAX($A9,1)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64.8965517241379</v>
      </c>
      <c r="DY9">
        <f>IF(AND(CROQUIS_DATOS!$C$1472=1,CROQUIS_DATOS!$C$1508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Z9">
        <f>IF(AND(CROQUIS_DATOS!$C$1472=1,CROQUIS_DATOS!$C$1478&gt;=3),CHOOSE(MIN(MAX($A9,1)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9">
        <f>IF(AND(CROQUIS_DATOS!$C$1472=1,CROQUIS_DATOS!$C$1478&gt;=3)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9">
        <f>IF(AND(CROQUIS_DATOS!$C$1472=1,CROQUIS_DATOS!$C$1512&gt;0.5,CROQUIS_DATOS!$C$1478&gt;0),CHOOSE(MIN(MAX($A9,1)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9">
        <f>IF(AND(CROQUIS_DATOS!$C$1472=1,CROQUIS_DATOS!$C$1512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9">
        <f>IF(AND(CROQUIS_DATOS!$C$1472=1,CROQUIS_DATOS!$C$1478&gt;=4),CHOOSE(MIN(MAX($A9,1)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9">
        <f>IF(AND(CROQUIS_DATOS!$C$1472=1,CROQUIS_DATOS!$C$1478&gt;=4)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9">
        <f>IF(AND(CROQUIS_DATOS!$C$1472=1,CROQUIS_DATOS!$C$1516&gt;0.5,CROQUIS_DATOS!$C$1478&gt;0),CHOOSE(MIN(MAX($A9,1)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9">
        <f>IF(AND(CROQUIS_DATOS!$C$1472=1,CROQUIS_DATOS!$C$1516&gt;0.5,CROQUIS_DATOS!$C$1478&gt;0),CHOOSE(MIN(MAX($A9,1)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9">
        <f>IF(AND(CROQUIS_DATOS!$C$1472=1,1),CHOOSE(MIN(MAX($A9,1)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24.2758620689655</v>
      </c>
      <c r="EI9">
        <f>IF(AND(CROQUIS_DATOS!$C$1472=1,1),CHOOSE(MIN(MAX($A9,1)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3.4</v>
      </c>
      <c r="EJ9">
        <f>IF(AND(CROQUIS_DATOS!$C$1472=1,1),CHOOSE(MIN(MAX($A9,1)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22.1758620689655</v>
      </c>
      <c r="EK9">
        <f>IF(AND(CROQUIS_DATOS!$C$1472=1,1)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12.1379310344828</v>
      </c>
      <c r="EL9">
        <f>IF(AND(CROQUIS_DATOS!$C$1472=1,1),CHOOSE(MIN(MAX($A9,1)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80.6241379310345</v>
      </c>
      <c r="EM9">
        <f>IF(AND(CROQUIS_DATOS!$C$1472=1,1),CHOOSE(MIN(MAX($A9,1)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38.8620689655172</v>
      </c>
      <c r="EN9">
        <f>IF(AND(CROQUIS_DATOS!$C$1472=1,CROQUIS_DATOS!$C$1478&gt;=1,CROQUIS_DATOS!$C$1481&gt;0),CHOOSE(MIN(MAX($A9,1)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9">
        <f>IF(AND(CROQUIS_DATOS!$C$1472=1,CROQUIS_DATOS!$C$1478&gt;=1,CROQUIS_DATOS!$C$1481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9">
        <f>IF(AND(CROQUIS_DATOS!$C$1472=1,CROQUIS_DATOS!$C$1478&gt;=2,CROQUIS_DATOS!$C$1486&gt;0),CHOOSE(MIN(MAX($A9,1)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67.3965517241379</v>
      </c>
      <c r="EQ9">
        <f>IF(AND(CROQUIS_DATOS!$C$1472=1,CROQUIS_DATOS!$C$1478&gt;=2,CROQUIS_DATOS!$C$1486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12.1379310344828</v>
      </c>
      <c r="ER9">
        <f>IF(AND(CROQUIS_DATOS!$C$1472=1,CROQUIS_DATOS!$C$1478&gt;=3,CROQUIS_DATOS!$C$1491&gt;0),CHOOSE(MIN(MAX($A9,1)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9">
        <f>IF(AND(CROQUIS_DATOS!$C$1472=1,CROQUIS_DATOS!$C$1478&gt;=3,CROQUIS_DATOS!$C$1491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9">
        <f>IF(AND(CROQUIS_DATOS!$C$1472=1,CROQUIS_DATOS!$C$1478&gt;=4,CROQUIS_DATOS!$C$1496&gt;0),CHOOSE(MIN(MAX($A9,1)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9">
        <f>IF(AND(CROQUIS_DATOS!$C$1472=1,CROQUIS_DATOS!$C$1478&gt;=4,CROQUIS_DATOS!$C$1496&gt;0),CHOOSE(MIN(MAX($A9,1)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9">
        <f>IF(AND(CROQUIS_DATOS!$C$1472=1,1),(CROQUIS_DATOS!$C$1566+(INDEX($E$8:$E$23,MIN($A9,CROQUIS_DATOS!$C$1525)))*CROQUIS_DATOS!$C$1565),-1000)</f>
        <v>27.75</v>
      </c>
      <c r="EW9">
        <f>IF(AND(CROQUIS_DATOS!$C$1472=1,1),((CROQUIS_DATOS!$C$1567+(CROQUIS_DATOS!$C$1476+CROQUIS_DATOS!$C$1528)*CROQUIS_DATOS!$C$1561*CROQUIS_DATOS!$C$1565)+1.5),-1000)</f>
        <v>42.5</v>
      </c>
      <c r="EX9">
        <f>IF(AND(CROQUIS_DATOS!$C$1472=1,1),(CROQUIS_DATOS!$C$1566+(CHOOSE(MIN(MAX($A9,1),2),-25,CROQUIS_DATOS!$C$1475+25))*CROQUIS_DATOS!$C$1565),-1000)</f>
        <v>80.3965517241379</v>
      </c>
      <c r="EY9">
        <f>IF(AND(CROQUIS_DATOS!$C$1472=1,1),(CROQUIS_DATOS!$C$1567+(CHOOSE(MIN(MAX($A9,1),2),IF(CROQUIS_DATOS!$C$1478&gt;0,MAX(5,MIN(CROQUIS_DATOS!$C$1476-5,(CROQUIS_DATOS!$C$1481+CROQUIS_DATOS!$C$1482)/2)),CROQUIS_DATOS!$C$1476/2),IF(CROQUIS_DATOS!$C$1478&gt;0,MAX(5,MIN(CROQUIS_DATOS!$C$1476-5,(CROQUIS_DATOS!$C$1481+CROQUIS_DATOS!$C$1482)/2)),CROQUIS_DATOS!$C$1476/2)))*CROQUIS_DATOS!$C$1561*CROQUIS_DATOS!$C$1565),-1000)</f>
        <v>23.3620689655172</v>
      </c>
      <c r="EZ9">
        <f>IF(AND(CROQUIS_DATOS!$C$1472=1,CROQUIS_DATOS!$C$1500&gt;0.5,CROQUIS_DATOS!$C$1501=1),CHOOSE(MIN(MAX($A9,1)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13.36</v>
      </c>
      <c r="FA9">
        <f>IF(AND(CROQUIS_DATOS!$C$1472=1,CROQUIS_DATOS!$C$1500&gt;0.5,CROQUIS_DATOS!$C$1501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B9">
        <f>IF(AND(CROQUIS_DATOS!$C$1472=1,CROQUIS_DATOS!$C$1500&gt;0.5,CROQUIS_DATOS!$C$1501=0),CHOOSE(MIN(MAX($A9,1)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9">
        <f>IF(AND(CROQUIS_DATOS!$C$1472=1,CROQUIS_DATOS!$C$1500&gt;0.5,CROQUIS_DATOS!$C$1501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9">
        <f>IF(AND(CROQUIS_DATOS!$C$1472=1,CROQUIS_DATOS!$C$1504&gt;0.5,CROQUIS_DATOS!$C$1505=1),CHOOSE(MIN(MAX($A9,1)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48.32</v>
      </c>
      <c r="FG9">
        <f>IF(AND(CROQUIS_DATOS!$C$1472=1,CROQUIS_DATOS!$C$1504&gt;0.5,CROQUIS_DATOS!$C$1505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H9">
        <f>IF(AND(CROQUIS_DATOS!$C$1472=1,CROQUIS_DATOS!$C$1504&gt;0.5,CROQUIS_DATOS!$C$1505=0),CHOOSE(MIN(MAX($A9,1)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9">
        <f>IF(AND(CROQUIS_DATOS!$C$1472=1,CROQUIS_DATOS!$C$1504&gt;0.5,CROQUIS_DATOS!$C$1505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9">
        <f>IF(AND(CROQUIS_DATOS!$C$1472=1,CROQUIS_DATOS!$C$1508&gt;0.5,CROQUIS_DATOS!$C$1509=1),CHOOSE(MIN(MAX($A9,1)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98</v>
      </c>
      <c r="FM9">
        <f>IF(AND(CROQUIS_DATOS!$C$1472=1,CROQUIS_DATOS!$C$1508&gt;0.5,CROQUIS_DATOS!$C$1509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N9">
        <f>IF(AND(CROQUIS_DATOS!$C$1472=1,CROQUIS_DATOS!$C$1508&gt;0.5,CROQUIS_DATOS!$C$1509=0),CHOOSE(MIN(MAX($A9,1)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9">
        <f>IF(AND(CROQUIS_DATOS!$C$1472=1,CROQUIS_DATOS!$C$1508&gt;0.5,CROQUIS_DATOS!$C$1509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9">
        <f>IF(AND(CROQUIS_DATOS!$C$1472=1,CROQUIS_DATOS!$C$1512&gt;0.5,CROQUIS_DATOS!$C$1513=1),CHOOSE(MIN(MAX($A9,1)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9">
        <f>IF(AND(CROQUIS_DATOS!$C$1472=1,CROQUIS_DATOS!$C$1512&gt;0.5,CROQUIS_DATOS!$C$1513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9">
        <f>IF(AND(CROQUIS_DATOS!$C$1472=1,CROQUIS_DATOS!$C$1512&gt;0.5,CROQUIS_DATOS!$C$1513=0),CHOOSE(MIN(MAX($A9,1)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9">
        <f>IF(AND(CROQUIS_DATOS!$C$1472=1,CROQUIS_DATOS!$C$1512&gt;0.5,CROQUIS_DATOS!$C$1513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9">
        <f>IF(AND(CROQUIS_DATOS!$C$1472=1,CROQUIS_DATOS!$C$1516&gt;0.5,CROQUIS_DATOS!$C$1517=1),CHOOSE(MIN(MAX($A9,1)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9">
        <f>IF(AND(CROQUIS_DATOS!$C$1472=1,CROQUIS_DATOS!$C$1516&gt;0.5,CROQUIS_DATOS!$C$1517=1)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9">
        <f>IF(AND(CROQUIS_DATOS!$C$1472=1,CROQUIS_DATOS!$C$1516&gt;0.5,CROQUIS_DATOS!$C$1517=0),CHOOSE(MIN(MAX($A9,1)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9">
        <f>IF(AND(CROQUIS_DATOS!$C$1472=1,CROQUIS_DATOS!$C$1516&gt;0.5,CROQUIS_DATOS!$C$1517=0),CHOOSE(MIN(MAX($A9,1)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9">
        <f>IF(AND(CROQUIS_DATOS!$C$1472=1,1),(CROQUIS_DATOS!$C$1571+(CHOOSE(MIN(MAX(IF(INT(($A9-1)/5)+1&gt;CROQUIS_DATOS!$C$1525,5,MOD($A9-1,5)+1),1),5),(INDEX($E$8:$E$23,MIN(INT(($A9-1)/5)+1,CROQUIS_DATOS!$C$1525))-INDEX($F$8:$F$23,MIN(INT(($A9-1)/5)+1,CROQUIS_DATOS!$C$1525))/2),(INDEX($E$8:$E$23,MIN(INT(($A9-1)/5)+1,CROQUIS_DATOS!$C$1525))+INDEX($F$8:$F$23,MIN(INT(($A9-1)/5)+1,CROQUIS_DATOS!$C$1525))/2),(INDEX($E$8:$E$23,MIN(INT(($A9-1)/5)+1,CROQUIS_DATOS!$C$1525))+INDEX($F$8:$F$23,MIN(INT(($A9-1)/5)+1,CROQUIS_DATOS!$C$1525))/2),(INDEX($E$8:$E$23,MIN(INT(($A9-1)/5)+1,CROQUIS_DATOS!$C$1525))-INDEX($F$8:$F$23,MIN(INT(($A9-1)/5)+1,CROQUIS_DATOS!$C$1525))/2),(INDEX($E$8:$E$23,MIN(INT(($A9-1)/5)+1,CROQUIS_DATOS!$C$1525))-INDEX($F$8:$F$23,MIN(INT(($A9-1)/5)+1,CROQUIS_DATOS!$C$1525))/2)))*CROQUIS_DATOS!$C$1569),-1000)</f>
        <v>8.76</v>
      </c>
      <c r="GE9">
        <f>IF(AND(CROQUIS_DATOS!$C$1472=1,1),(CROQUIS_DATOS!$C$1572+(CHOOSE(MIN(MAX(IF(INT(($A9-1)/5)+1&gt;CROQUIS_DATOS!$C$1525,5,MOD($A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9">
        <f>IF(AND(CROQUIS_DATOS!$C$1472=1,1),IF(INT(($A9-1)/4)+1&lt;=CROQUIS_DATOS!$C$1525,(CROQUIS_DATOS!$C$1571+((INDEX($E$8:$E$23,MIN(INT(($A9-1)/4)+1,16))+IF(OR(MOD($A9-1,4)=0,MOD($A9-1,4)=3),-1,1)*(INDEX($F$8:$F$23,MIN(INT(($A9-1)/4)+1,16))/2-(CROQUIS_DATOS!$C$1530+CROQUIS_DATOS!$C$1532+IF(OR(INT(($A9-1)/4)+1=1,INT(($A9-1)/4)+1=CROQUIS_DATOS!$C$1525),CROQUIS_DATOS!$C$1534,CROQUIS_DATOS!$C$1531)/2))))*CROQUIS_DATOS!$C$1569),-1000),-1000)</f>
        <v>8.187484</v>
      </c>
      <c r="GG9">
        <f>IF(AND(CROQUIS_DATOS!$C$1472=1,1),IF(INT(($A9-1)/4)+1&lt;=CROQUIS_DATOS!$C$1525,(CROQUIS_DATOS!$C$1572+((CROQUIS_DATOS!$C$1477/2+IF(MOD($A9-1,4)&lt;2,-1,1)*(CROQUIS_DATOS!$C$1527/2-(CROQUIS_DATOS!$C$1530+CROQUIS_DATOS!$C$1532+IF(OR(INT(($A9-1)/4)+1=1,INT(($A9-1)/4)+1=CROQUIS_DATOS!$C$1525),CROQUIS_DATOS!$C$1534,CROQUIS_DATOS!$C$1531)/2))))*CROQUIS_DATOS!$C$1569*CROQUIS_DATOS!$C$1570),-1000),-1000)</f>
        <v>10.43345</v>
      </c>
      <c r="GH9">
        <f>IF(AND(CROQUIS_DATOS!$C$1472=1,CROQUIS_DATOS!$C$1500&gt;0.5,CROQUIS_DATOS!$C$1478&gt;0),CHOOSE(MIN(MAX($A9,1)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6</v>
      </c>
      <c r="GI9">
        <f>IF(AND(CROQUIS_DATOS!$C$1472=1,CROQUIS_DATOS!$C$1500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6.9</v>
      </c>
      <c r="GJ9">
        <f>IF(AND(CROQUIS_DATOS!$C$1472=1,CROQUIS_DATOS!$C$1478&gt;=1),CHOOSE(MIN(MAX($A9,1)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13.36</v>
      </c>
      <c r="GK9">
        <f>IF(AND(CROQUIS_DATOS!$C$1472=1,CROQUIS_DATOS!$C$1478&gt;=1),CHOOSE(MIN(MAX($A9,1),7),(CROQUIS_DATOS!$C$1572-3.5)-0.9,(CROQUIS_DATOS!$C$1572-3.5)+0.9,(CROQUIS_DATOS!$C$1572-3.5),(CROQUIS_DATOS!$C$1572-3.5),(CROQUIS_DATOS!$C$1572-3.5),(CROQUIS_DATOS!$C$1572-3.5)+0.9,(CROQUIS_DATOS!$C$1572-3.5)-0.9),-1000)</f>
        <v>6.9</v>
      </c>
      <c r="GL9">
        <f>IF(AND(CROQUIS_DATOS!$C$1472=1,CROQUIS_DATOS!$C$1504&gt;0.5,CROQUIS_DATOS!$C$1478&gt;0),CHOOSE(MIN(MAX($A9,1)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29.92</v>
      </c>
      <c r="GM9">
        <f>IF(AND(CROQUIS_DATOS!$C$1472=1,CROQUIS_DATOS!$C$1504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6.9</v>
      </c>
      <c r="GN9">
        <f>IF(AND(CROQUIS_DATOS!$C$1472=1,CROQUIS_DATOS!$C$1478&gt;=2),CHOOSE(MIN(MAX($A9,1)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48.32</v>
      </c>
      <c r="GO9">
        <f>IF(AND(CROQUIS_DATOS!$C$1472=1,CROQUIS_DATOS!$C$1478&gt;=2),CHOOSE(MIN(MAX($A9,1),7),(CROQUIS_DATOS!$C$1572-3.5)-0.9,(CROQUIS_DATOS!$C$1572-3.5)+0.9,(CROQUIS_DATOS!$C$1572-3.5),(CROQUIS_DATOS!$C$1572-3.5),(CROQUIS_DATOS!$C$1572-3.5),(CROQUIS_DATOS!$C$1572-3.5)+0.9,(CROQUIS_DATOS!$C$1572-3.5)-0.9),-1000)</f>
        <v>6.9</v>
      </c>
      <c r="GP9">
        <f>IF(AND(CROQUIS_DATOS!$C$1472=1,CROQUIS_DATOS!$C$1508&gt;0.5,CROQUIS_DATOS!$C$1478&gt;0),CHOOSE(MIN(MAX($A9,1)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75.92</v>
      </c>
      <c r="GQ9">
        <f>IF(AND(CROQUIS_DATOS!$C$1472=1,CROQUIS_DATOS!$C$1508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6.9</v>
      </c>
      <c r="GR9">
        <f>IF(AND(CROQUIS_DATOS!$C$1472=1,CROQUIS_DATOS!$C$1478&gt;=3),CHOOSE(MIN(MAX($A9,1)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9">
        <f>IF(AND(CROQUIS_DATOS!$C$1472=1,CROQUIS_DATOS!$C$1478&gt;=3)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T9">
        <f>IF(AND(CROQUIS_DATOS!$C$1472=1,CROQUIS_DATOS!$C$1512&gt;0.5,CROQUIS_DATOS!$C$1478&gt;0),CHOOSE(MIN(MAX($A9,1)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9">
        <f>IF(AND(CROQUIS_DATOS!$C$1472=1,CROQUIS_DATOS!$C$1512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V9">
        <f>IF(AND(CROQUIS_DATOS!$C$1472=1,CROQUIS_DATOS!$C$1478&gt;=4),CHOOSE(MIN(MAX($A9,1)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9">
        <f>IF(AND(CROQUIS_DATOS!$C$1472=1,CROQUIS_DATOS!$C$1478&gt;=4)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X9">
        <f>IF(AND(CROQUIS_DATOS!$C$1472=1,CROQUIS_DATOS!$C$1516&gt;0.5,CROQUIS_DATOS!$C$1478&gt;0),CHOOSE(MIN(MAX($A9,1)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9">
        <f>IF(AND(CROQUIS_DATOS!$C$1472=1,CROQUIS_DATOS!$C$1516&gt;0.5,CROQUIS_DATOS!$C$1478&gt;0),CHOOSE(MIN(MAX($A9,1),7),(CROQUIS_DATOS!$C$1572-3.5)-0.9,(CROQUIS_DATOS!$C$1572-3.5)+0.9,(CROQUIS_DATOS!$C$1572-3.5),(CROQUIS_DATOS!$C$1572-3.5),(CROQUIS_DATOS!$C$1572-3.5),(CROQUIS_DATOS!$C$1572-3.5)+0.9,(CROQUIS_DATOS!$C$1572-3.5)-0.9),-1000)</f>
        <v>-1000</v>
      </c>
      <c r="GZ9">
        <f>IF(AND(CROQUIS_DATOS!$C$1472=1,1),CHOOSE(MIN(MAX($A9,1)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6</v>
      </c>
      <c r="HA9">
        <f>IF(AND(CROQUIS_DATOS!$C$1472=1,1),CHOOSE(MIN(MAX($A9,1),7),(CROQUIS_DATOS!$C$1572-7.5)-0.9,(CROQUIS_DATOS!$C$1572-7.5)+0.9,(CROQUIS_DATOS!$C$1572-7.5),(CROQUIS_DATOS!$C$1572-7.5),(CROQUIS_DATOS!$C$1572-7.5),(CROQUIS_DATOS!$C$1572-7.5)+0.9,(CROQUIS_DATOS!$C$1572-7.5)-0.9),-1000)</f>
        <v>2.9</v>
      </c>
      <c r="HB9">
        <f>IF(AND(CROQUIS_DATOS!$C$1472=1,1),CHOOSE(MIN(MAX($A9,1)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4.4</v>
      </c>
      <c r="HC9">
        <f>IF(AND(CROQUIS_DATOS!$C$1472=1,1),CHOOSE(MIN(MAX($A9,1)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9.5</v>
      </c>
      <c r="HD9">
        <f>IF(AND(CROQUIS_DATOS!$C$1472=1,1),CHOOSE(MIN(MAX($A9,1)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21.5483870967742</v>
      </c>
      <c r="HE9">
        <f>IF(AND(CROQUIS_DATOS!$C$1472=1,1),CHOOSE(MIN(MAX($A9,1)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12</v>
      </c>
      <c r="HF9">
        <f>IF(AND(CROQUIS_DATOS!$C$1472=1,1),CHOOSE(MIN(MAX($A9,1)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9">
        <f>IF(AND(CROQUIS_DATOS!$C$1472=1,1),CHOOSE(MIN(MAX($A9,1)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9">
        <f>IF(AND(CROQUIS_DATOS!$C$1472=1,1),IF($A9&lt;=DATOS!$C$61,CHOOSE(MIN(MAX($A9,1)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18.738</v>
      </c>
      <c r="HI9">
        <f>IF(AND(CROQUIS_DATOS!$C$1472=1,1),IF($A9&lt;=DATOS!$C$61,CHOOSE(MIN(MAX($A9,1)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14.8103870967742</v>
      </c>
      <c r="HJ9">
        <f>IF(AND(CROQUIS_DATOS!$C$1472=1,1),CHOOSE(MIN(MAX($A9,1)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8</v>
      </c>
      <c r="HK9">
        <f>IF(AND(CROQUIS_DATOS!$C$1472=1,1),CHOOSE(MIN(MAX($A9,1)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L9">
        <f>IF(AND(CROQUIS_DATOS!$C$1472=1,1),CHOOSE(MIN(MAX($A9,1)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5.7</v>
      </c>
      <c r="HM9">
        <f>IF(AND(CROQUIS_DATOS!$C$1472=1,1),CHOOSE(MIN(MAX($A9,1)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12</v>
      </c>
      <c r="HN9">
        <f>IF(AND(CROQUIS_DATOS!$C$1472=1,1),CHOOSE(MIN(MAX($A9,1)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21.5483870967742</v>
      </c>
      <c r="HO9">
        <f>IF(AND(CROQUIS_DATOS!$C$1472=1,1),CHOOSE(MIN(MAX($A9,1)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12</v>
      </c>
      <c r="HP9">
        <f>IF(AND(CROQUIS_DATOS!$C$1472=1,1),CHOOSE(MIN(MAX($A9,1)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75.741935483871</v>
      </c>
      <c r="HQ9">
        <f>IF(AND(CROQUIS_DATOS!$C$1472=1,1),CHOOSE(MIN(MAX($A9,1)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12</v>
      </c>
      <c r="HR9">
        <f>IF(AND(CROQUIS_DATOS!$C$1472=1,1),CHOOSE(MIN(MAX($A9,1)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9">
        <f>IF(AND(CROQUIS_DATOS!$C$1472=1,1),CHOOSE(MIN(MAX($A9,1)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9">
        <f>IF(AND(CROQUIS_DATOS!$C$1472=1,1),IF($A9&lt;=DATOS!$C$69,CHOOSE(MIN(MAX($A9,1)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72.9315483870968</v>
      </c>
      <c r="HU9">
        <f>IF(AND(CROQUIS_DATOS!$C$1472=1,1),IF($A9&lt;=DATOS!$C$69,CHOOSE(MIN(MAX($A9,1)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14.8103870967742</v>
      </c>
      <c r="HV9">
        <f>IF(AND(CROQUIS_DATOS!$C$1472=1,1),CHOOSE(MIN(MAX($A9,1)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62.1935483870968</v>
      </c>
      <c r="HW9">
        <f>IF(AND(CROQUIS_DATOS!$C$1472=1,1),CHOOSE(MIN(MAX($A9,1)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X9">
        <f>IF(AND(CROQUIS_DATOS!$C$1472=1,1),CHOOSE(MIN(MAX($A9,1)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79.441935483871</v>
      </c>
      <c r="HY9">
        <f>IF(AND(CROQUIS_DATOS!$C$1472=1,1),CHOOSE(MIN(MAX($A9,1)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12</v>
      </c>
    </row>
    <row r="10">
      <c r="A10" t="n">
        <v>3</v>
      </c>
      <c r="B10" t="n">
        <v>3</v>
      </c>
      <c r="C10">
        <f>1+(B10&gt;CROQUIS_DATOS!$C$1520)+(B10&gt;CROQUIS_DATOS!$C$1521)+(B10&gt;CROQUIS_DATOS!$C$1522)+(B10&gt;CROQUIS_DATOS!$C$1523)</f>
        <v>2</v>
      </c>
      <c r="D10">
        <f>B10-CHOOSE(MIN(C10,5),0,CROQUIS_DATOS!$C$1520,CROQUIS_DATOS!$C$1521,CROQUIS_DATOS!$C$1522,CROQUIS_DATOS!$C$1523)</f>
        <v>1</v>
      </c>
      <c r="E10">
        <f>IF(G10=0,0,CHOOSE(MIN(C10,5),CROQUIS_DATOS!$C$1499,CROQUIS_DATOS!$C$1503,CROQUIS_DATOS!$C$1507,CROQUIS_DATOS!$C$1511,CROQUIS_DATOS!$C$1515)+IF(CHOOSE(MIN(C10,5),CROQUIS_DATOS!$C$1502,CROQUIS_DATOS!$C$1506,CROQUIS_DATOS!$C$1510,CROQUIS_DATOS!$C$1514,CROQUIS_DATOS!$C$1518)=1,CHOOSE(MIN(C10,5),CROQUIS_DATOS!$C$1500,CROQUIS_DATOS!$C$1504,CROQUIS_DATOS!$C$1508,CROQUIS_DATOS!$C$1512,CROQUIS_DATOS!$C$1516)/2,CROQUIS_DATOS!$C$1526/2+(D10-1)*(CHOOSE(MIN(C10,5),CROQUIS_DATOS!$C$1500,CROQUIS_DATOS!$C$1504,CROQUIS_DATOS!$C$1508,CROQUIS_DATOS!$C$1512,CROQUIS_DATOS!$C$1516)-CROQUIS_DATOS!$C$1526)/MAX(CHOOSE(MIN(C10,5),CROQUIS_DATOS!$C$1502,CROQUIS_DATOS!$C$1506,CROQUIS_DATOS!$C$1510,CROQUIS_DATOS!$C$1514,CROQUIS_DATOS!$C$1518)-1,1)))</f>
        <v>137.5</v>
      </c>
      <c r="F10">
        <f>IF(G10=0,0,IF(CHOOSE(MIN(C10,5),CROQUIS_DATOS!$C$1502,CROQUIS_DATOS!$C$1506,CROQUIS_DATOS!$C$1510,CROQUIS_DATOS!$C$1514,CROQUIS_DATOS!$C$1518)=1,MIN(CROQUIS_DATOS!$C$1526,CHOOSE(MIN(C10,5),CROQUIS_DATOS!$C$1500,CROQUIS_DATOS!$C$1504,CROQUIS_DATOS!$C$1508,CROQUIS_DATOS!$C$1512,CROQUIS_DATOS!$C$1516)),CROQUIS_DATOS!$C$1526))</f>
        <v>15</v>
      </c>
      <c r="G10">
        <f>IF(AND(CROQUIS_DATOS!$C$1472=1,B10&lt;=CROQUIS_DATOS!$C$1525),1,0)</f>
        <v>1</v>
      </c>
      <c r="H10">
        <f>IF(3&lt;=CROQUIS_DATOS!$C$1539,3*CROQUIS_DATOS!$C$1536,IF(3&lt;=CROQUIS_DATOS!$C$1539+CROQUIS_DATOS!$C$1540,CROQUIS_DATOS!$C$1539*CROQUIS_DATOS!$C$1536+(3-CROQUIS_DATOS!$C$1539)*(CROQUIS_DATOS!$C$1476-2*CROQUIS_DATOS!$C$1539*CROQUIS_DATOS!$C$1536)/(CROQUIS_DATOS!$C$1540+1),CROQUIS_DATOS!$C$1476-(2*CROQUIS_DATOS!$C$1539+CROQUIS_DATOS!$C$1540+1-3)*CROQUIS_DATOS!$C$1536))</f>
        <v>22.5</v>
      </c>
      <c r="I10">
        <f>IF(AND(CROQUIS_DATOS!$C$1544=1,E10&gt;=CROQUIS_DATOS!$C$1549-1,E10&lt;=CROQUIS_DATOS!$C$1550+1),CROQUIS_DATOS!$C$1554,CROQUIS_DATOS!$C$1552)</f>
        <v>-16.8885</v>
      </c>
      <c r="J10">
        <f>IF(AND(CROQUIS_DATOS!$C$1472=1,1),(CROQUIS_DATOS!$C$1563+(CHOOSE(MIN(MAX(IF(INT(($A10-1)/4)+1&gt;CROQUIS_DATOS!$C$1525,4,MOD($A10-1,4)+1),1),4),(INDEX($E$8:$E$23,MIN(INT(($A10-1)/4)+1,CROQUIS_DATOS!$C$1525))-INDEX($F$8:$F$23,MIN(INT(($A10-1)/4)+1,CROQUIS_DATOS!$C$1525))/2),(INDEX($E$8:$E$23,MIN(INT(($A10-1)/4)+1,CROQUIS_DATOS!$C$1525))-INDEX($F$8:$F$23,MIN(INT(($A10-1)/4)+1,CROQUIS_DATOS!$C$1525))/2),(INDEX($E$8:$E$23,MIN(INT(($A10-1)/4)+1,CROQUIS_DATOS!$C$1525))+INDEX($F$8:$F$23,MIN(INT(($A10-1)/4)+1,CROQUIS_DATOS!$C$1525))/2),(INDEX($E$8:$E$23,MIN(INT(($A10-1)/4)+1,CROQUIS_DATOS!$C$1525))+INDEX($F$8:$F$23,MIN(INT(($A10-1)/4)+1,CROQUIS_DATOS!$C$1525))/2)))*CROQUIS_DATOS!$C$1562),-1000)</f>
        <v>17.1810344827586</v>
      </c>
      <c r="K10">
        <f>IF(AND(CROQUIS_DATOS!$C$1472=1,1),(CROQUIS_DATOS!$C$1564+(CHOOSE(MIN(MAX(IF(INT(($A10-1)/4)+1&gt;CROQUIS_DATOS!$C$1525,4,MOD($A10-1,4)+1),1),4),0,CROQUIS_DATOS!$C$1476,CROQUIS_DATOS!$C$1476,0))*CROQUIS_DATOS!$C$1561*CROQUIS_DATOS!$C$1562),-1000)</f>
        <v>40.2068965517241</v>
      </c>
      <c r="L10">
        <f>IF(AND(CROQUIS_DATOS!$C$1472=1,1),(CROQUIS_DATOS!$C$1563+(CHOOSE(MIN(MAX(IF(INT(($A10-1)/4)+1&gt;CROQUIS_DATOS!$C$1525,4,MOD($A10-1,4)+1),1),4),((INDEX($E$8:$E$23,MIN(INT(($A10-1)/4)+1,CROQUIS_DATOS!$C$1525))-INDEX($F$8:$F$23,MIN(INT(($A10-1)/4)+1,CROQUIS_DATOS!$C$1525))/2)+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,((INDEX($E$8:$E$23,MIN(INT(($A10-1)/4)+1,CROQUIS_DATOS!$C$1525))-INDEX($F$8:$F$23,MIN(INT(($A10-1)/4)+1,CROQUIS_DATOS!$C$1525))/2)+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,((INDEX($E$8:$E$23,MIN(INT(($A10-1)/4)+1,CROQUIS_DATOS!$C$1525))+INDEX($F$8:$F$23,MIN(INT(($A10-1)/4)+1,CROQUIS_DATOS!$C$1525))/2)-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,((INDEX($E$8:$E$23,MIN(INT(($A10-1)/4)+1,CROQUIS_DATOS!$C$1525))+INDEX($F$8:$F$23,MIN(INT(($A10-1)/4)+1,CROQUIS_DATOS!$C$1525))/2)-MIN((CROQUIS_DATOS!$C$1530+CROQUIS_DATOS!$C$1532+IF(OR(MIN(INT(($A10-1)/4)+1,CROQUIS_DATOS!$C$1525)=1,MIN(INT(($A10-1)/4)+1,CROQUIS_DATOS!$C$1525)=CROQUIS_DATOS!$C$1525),CROQUIS_DATOS!$C$1534,CROQUIS_DATOS!$C$1531)/2),INDEX($F$8:$F$23,MIN(INT(($A10-1)/4)+1,CROQUIS_DATOS!$C$1525))/2-0.5))))*CROQUIS_DATOS!$C$1562),-1000)</f>
        <v>16.7464974137931</v>
      </c>
      <c r="M10">
        <f>IF(AND(CROQUIS_DATOS!$C$1472=1,1),(CROQUIS_DATOS!$C$1564+(CHOOSE(MIN(MAX(IF(INT(($A10-1)/4)+1&gt;CROQUIS_DATOS!$C$1525,4,MOD($A10-1,4)+1),1),4),CROQUIS_DATOS!$C$1543,INDEX($I$8:$I$23,MIN(INT(($A10-1)/4)+1,CROQUIS_DATOS!$C$1525)),INDEX($I$8:$I$23,MIN(INT(($A10-1)/4)+1,CROQUIS_DATOS!$C$1525)),CROQUIS_DATOS!$C$1543))*CROQUIS_DATOS!$C$1561*CROQUIS_DATOS!$C$1562),-1000)</f>
        <v>2.93453706896552</v>
      </c>
      <c r="N10">
        <f>IF(AND(CROQUIS_DATOS!$C$1472=1,1),(CROQUIS_DATOS!$C$1563+(IF(IF(IF(INT(($A10-1)/70)+1&gt;CROQUIS_DATOS!$C$1525,70,MOD($A10-1,70)+1)=1,0,IF(IF(INT(($A10-1)/70)+1&gt;CROQUIS_DATOS!$C$1525,70,MOD($A10-1,70)+1)&gt;2*CROQUIS_DATOS!$C$1541+1,IF(MOD(CROQUIS_DATOS!$C$1541,2)=1,1,0),IF(MOD(MIN(INT((IF(INT(($A10-1)/70)+1&gt;CROQUIS_DATOS!$C$1525,70,MOD($A10-1,70)+1)-2)/2)+1,CROQUIS_DATOS!$C$1541),2)=1,IF(MOD(IF(INT(($A10-1)/70)+1&gt;CROQUIS_DATOS!$C$1525,70,MOD($A10-1,70)+1)-2,2)=0,0,1),IF(MOD(IF(INT(($A10-1)/70)+1&gt;CROQUIS_DATOS!$C$1525,70,MOD($A10-1,70)+1)-2,2)=0,1,0))))=0,(INDEX($E$8:$E$23,MIN(INT(($A10-1)/70)+1,CROQUIS_DATOS!$C$1525))-INDEX($F$8:$F$23,MIN(INT(($A10-1)/70)+1,CROQUIS_DATOS!$C$1525))/2),(INDEX($E$8:$E$23,MIN(INT(($A10-1)/70)+1,CROQUIS_DATOS!$C$1525))+INDEX($F$8:$F$23,MIN(INT(($A10-1)/70)+1,CROQUIS_DATOS!$C$1525))/2)))*CROQUIS_DATOS!$C$1562),-1000)</f>
        <v>17.1810344827586</v>
      </c>
      <c r="O10">
        <f>IF(AND(CROQUIS_DATOS!$C$1472=1,1),(CROQUIS_DATOS!$C$1564+(IF(OR(IF(INT(($A10-1)/70)+1&gt;CROQUIS_DATOS!$C$1525,70,MOD($A10-1,70)+1)=1,IF(INT(($A10-1)/70)+1&gt;CROQUIS_DATOS!$C$1525,70,MOD($A10-1,70)+1)&gt;2*CROQUIS_DATOS!$C$1541+1),CROQUIS_DATOS!$C$1476,INDEX($H$8:$H$41,MIN(INT((IF(INT(($A10-1)/70)+1&gt;CROQUIS_DATOS!$C$1525,70,MOD($A10-1,70)+1)-2)/2)+1,CROQUIS_DATOS!$C$1541))))*CROQUIS_DATOS!$C$1561*CROQUIS_DATOS!$C$1562),-1000)</f>
        <v>6.34051724137931</v>
      </c>
      <c r="P10">
        <f>IF(AND(CROQUIS_DATOS!$C$1472=1,CROQUIS_DATOS!$C$1555=1),(CROQUIS_DATOS!$C$1563+(IF(IF(OR(MOD($A10-1,62)+1=1,IF(CHOOSE(MIN(MAX(MIN(INT(($A10-1)/62)+1,5),1),5),CROQUIS_DATOS!$C$1501,CROQUIS_DATOS!$C$1505,CROQUIS_DATOS!$C$1509,CROQUIS_DATOS!$C$1513,CROQUIS_DATOS!$C$1517)=1,CROQUIS_DATOS!$C$1557,0)=0),0,IF(MOD($A10-1,62)+1&gt;2*IF(CHOOSE(MIN(MAX(MIN(INT(($A10-1)/62)+1,5),1),5),CROQUIS_DATOS!$C$1501,CROQUIS_DATOS!$C$1505,CROQUIS_DATOS!$C$1509,CROQUIS_DATOS!$C$1513,CROQUIS_DATOS!$C$1517)=1,CROQUIS_DATOS!$C$1557,0)+1,IF(MOD(IF(CHOOSE(MIN(MAX(MIN(INT(($A10-1)/62)+1,5),1),5),CROQUIS_DATOS!$C$1501,CROQUIS_DATOS!$C$1505,CROQUIS_DATOS!$C$1509,CROQUIS_DATOS!$C$1513,CROQUIS_DATOS!$C$1517)=1,CROQUIS_DATOS!$C$1557,0),2)=1,1,0),IF(MOD(MIN(INT((MOD($A10-1,62)+1-2)/2)+1,MAX(IF(CHOOSE(MIN(MAX(MIN(INT(($A10-1)/62)+1,5),1),5),CROQUIS_DATOS!$C$1501,CROQUIS_DATOS!$C$1505,CROQUIS_DATOS!$C$1509,CROQUIS_DATOS!$C$1513,CROQUIS_DATOS!$C$1517)=1,CROQUIS_DATOS!$C$1557,0),1)),2)=1,IF(MOD(MOD($A10-1,62)+1-2,2)=0,0,1),IF(MOD(MOD($A10-1,62)+1-2,2)=0,1,0))))=0,(CHOOSE(MIN(MAX(MIN(INT(($A10-1)/62)+1,5),1),5),CROQUIS_DATOS!$C$1499,CROQUIS_DATOS!$C$1503,CROQUIS_DATOS!$C$1507,CROQUIS_DATOS!$C$1511,CROQUIS_DATOS!$C$1515)+IF(CHOOSE(MIN(MAX(MIN(INT(($A10-1)/62)+1,5),1),5),CROQUIS_DATOS!$C$1501,CROQUIS_DATOS!$C$1505,CROQUIS_DATOS!$C$1509,CROQUIS_DATOS!$C$1513,CROQUIS_DATOS!$C$1517)=1,CROQUIS_DATOS!$C$1526,0)),(CHOOSE(MIN(MAX(MIN(INT(($A10-1)/62)+1,5),1),5),CROQUIS_DATOS!$C$1499,CROQUIS_DATOS!$C$1503,CROQUIS_DATOS!$C$1507,CROQUIS_DATOS!$C$1511,CROQUIS_DATOS!$C$1515)+CHOOSE(MIN(MAX(MIN(INT(($A10-1)/62)+1,5),1),5),CROQUIS_DATOS!$C$1500,CROQUIS_DATOS!$C$1504,CROQUIS_DATOS!$C$1508,CROQUIS_DATOS!$C$1512,CROQUIS_DATOS!$C$1516)-IF(CHOOSE(MIN(MAX(MIN(INT(($A10-1)/62)+1,5),1),5),CROQUIS_DATOS!$C$1501,CROQUIS_DATOS!$C$1505,CROQUIS_DATOS!$C$1509,CROQUIS_DATOS!$C$1513,CROQUIS_DATOS!$C$1517)=1,CROQUIS_DATOS!$C$1526,0))))*CROQUIS_DATOS!$C$1562),-1000)</f>
        <v>-1000</v>
      </c>
      <c r="Q10">
        <f>IF(AND(CROQUIS_DATOS!$C$1472=1,CROQUIS_DATOS!$C$1555=1),(CROQUIS_DATOS!$C$1564+(IF(OR(OR(MOD($A10-1,62)+1=1,IF(CHOOSE(MIN(MAX(MIN(INT(($A10-1)/62)+1,5),1),5),CROQUIS_DATOS!$C$1501,CROQUIS_DATOS!$C$1505,CROQUIS_DATOS!$C$1509,CROQUIS_DATOS!$C$1513,CROQUIS_DATOS!$C$1517)=1,CROQUIS_DATOS!$C$1557,0)=0),MOD($A10-1,62)+1&gt;2*IF(CHOOSE(MIN(MAX(MIN(INT(($A10-1)/62)+1,5),1),5),CROQUIS_DATOS!$C$1501,CROQUIS_DATOS!$C$1505,CROQUIS_DATOS!$C$1509,CROQUIS_DATOS!$C$1513,CROQUIS_DATOS!$C$1517)=1,CROQUIS_DATOS!$C$1557,0)+1),CROQUIS_DATOS!$C$1476,MIN(INT((MOD($A10-1,62)+1-2)/2)+1,MAX(IF(CHOOSE(MIN(MAX(MIN(INT(($A10-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10">
        <f>IF(AND(CROQUIS_DATOS!$C$1472=1,1),(CROQUIS_DATOS!$C$1563+(CHOOSE(MIN(MAX($A10,1),4),CROQUIS_DATOS!$C$1530,(CROQUIS_DATOS!$C$1475-CROQUIS_DATOS!$C$1530),(CROQUIS_DATOS!$C$1475-CROQUIS_DATOS!$C$1530),CROQUIS_DATOS!$C$1530))*CROQUIS_DATOS!$C$1562),-1000)</f>
        <v>84.6344827586207</v>
      </c>
      <c r="S10">
        <f>IF(AND(CROQUIS_DATOS!$C$1472=1,1),(CROQUIS_DATOS!$C$1564+(CHOOSE(MIN(MAX($A10,1),4),CROQUIS_DATOS!$C$1542,CROQUIS_DATOS!$C$1542,CROQUIS_DATOS!$C$1543,CROQUIS_DATOS!$C$1543))*CROQUIS_DATOS!$C$1561*CROQUIS_DATOS!$C$1562),-1000)</f>
        <v>42.5654629310345</v>
      </c>
      <c r="T10">
        <f>IF(AND(CROQUIS_DATOS!$C$1472=1,1),(CROQUIS_DATOS!$C$1563+(MIN(INT(($A10-1)/2)+1,CROQUIS_DATOS!$C$1558)*CROQUIS_DATOS!$C$1559)*CROQUIS_DATOS!$C$1562),-1000)</f>
        <v>20.4575596816976</v>
      </c>
      <c r="U10">
        <f>IF(AND(CROQUIS_DATOS!$C$1472=1,1),(CROQUIS_DATOS!$C$1564+(IF(INT(($A10-1)/2)+1&gt;CROQUIS_DATOS!$C$1558,IF(MOD(CROQUIS_DATOS!$C$1558,2)=1,CROQUIS_DATOS!$C$1476+CROQUIS_DATOS!$C$1528,CROQUIS_DATOS!$C$1476),IF(IF(MOD(MIN(INT(($A10-1)/2)+1,CROQUIS_DATOS!$C$1558),2)=1,MOD($A10-1,2),1-MOD($A10-1,2))=1,CROQUIS_DATOS!$C$1476+CROQUIS_DATOS!$C$1528,CROQUIS_DATOS!$C$1476)))*CROQUIS_DATOS!$C$1561*CROQUIS_DATOS!$C$1562),-1000)</f>
        <v>43</v>
      </c>
      <c r="V10">
        <f>IF(AND(CROQUIS_DATOS!$C$1472=1,1),CHOOSE(MIN(MAX($A10,1)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84.9137931034483</v>
      </c>
      <c r="W10">
        <f>IF(AND(CROQUIS_DATOS!$C$1472=1,1),CHOOSE(MIN(MAX($A10,1)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43</v>
      </c>
      <c r="X10">
        <f>IF(AND(CROQUIS_DATOS!$C$1472=1,1),(CROQUIS_DATOS!$C$1563+(CHOOSE(MIN(MAX($A10,1),4),CROQUIS_DATOS!$C$1530,(CROQUIS_DATOS!$C$1475-CROQUIS_DATOS!$C$1530),(CROQUIS_DATOS!$C$1475-CROQUIS_DATOS!$C$1530),CROQUIS_DATOS!$C$1530))*CROQUIS_DATOS!$C$1562),-1000)</f>
        <v>84.6344827586207</v>
      </c>
      <c r="Y10">
        <f>IF(AND(CROQUIS_DATOS!$C$1472=1,1),(CROQUIS_DATOS!$C$1564+(CHOOSE(MIN(MAX($A10,1),4),CROQUIS_DATOS!$C$1552,CROQUIS_DATOS!$C$1552,CROQUIS_DATOS!$C$1553,CROQUIS_DATOS!$C$1553))*CROQUIS_DATOS!$C$1561*CROQUIS_DATOS!$C$1562),-1000)</f>
        <v>4.85856637931035</v>
      </c>
      <c r="AB10">
        <f>IF(AND(CROQUIS_DATOS!$C$1472=1,1),CHOOSE(MIN(MAX($A10,1)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84.9137931034483</v>
      </c>
      <c r="AC10">
        <f>IF(AND(CROQUIS_DATOS!$C$1472=1,1),CHOOSE(MIN(MAX($A10,1)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5.29310344827586</v>
      </c>
      <c r="AD10">
        <f>IF(AND(CROQUIS_DATOS!$C$1472=1,CROQUIS_DATOS!$C$1544=1),CHOOSE(MIN(MAX($A10,1)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-1000</v>
      </c>
      <c r="AE10">
        <f>IF(AND(CROQUIS_DATOS!$C$1472=1,CROQUIS_DATOS!$C$1544=1),CHOOSE(MIN(MAX($A10,1)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-1000</v>
      </c>
      <c r="AF10">
        <f>IF(AND(CROQUIS_DATOS!$C$1472=1,CROQUIS_DATOS!$C$1544=1),(CROQUIS_DATOS!$C$1563+(CHOOSE(MIN(MAX($A10,1),4),CROQUIS_DATOS!$C$1549,CROQUIS_DATOS!$C$1549-10,CROQUIS_DATOS!$C$1549+10,CROQUIS_DATOS!$C$1549))*CROQUIS_DATOS!$C$1562),-1000)</f>
        <v>-1000</v>
      </c>
      <c r="AG10">
        <f>IF(AND(CROQUIS_DATOS!$C$1472=1,CROQUIS_DATOS!$C$1544=1),(CROQUIS_DATOS!$C$1564+(CHOOSE(MIN(MAX($A10,1),4),-CROQUIS_DATOS!$C$1551,-CROQUIS_DATOS!$C$1551-14,-CROQUIS_DATOS!$C$1551-14,-CROQUIS_DATOS!$C$1551))*CROQUIS_DATOS!$C$1561*CROQUIS_DATOS!$C$1562),-1000)</f>
        <v>-1000</v>
      </c>
      <c r="AH10">
        <f>IF(AND(CROQUIS_DATOS!$C$1472=1,CROQUIS_DATOS!$C$1544=1),(CROQUIS_DATOS!$C$1563+(CHOOSE(MIN(MAX($A10,1),4),CROQUIS_DATOS!$C$1550,CROQUIS_DATOS!$C$1550-10,CROQUIS_DATOS!$C$1550+10,CROQUIS_DATOS!$C$1550))*CROQUIS_DATOS!$C$1562),-1000)</f>
        <v>-1000</v>
      </c>
      <c r="AI10">
        <f>IF(AND(CROQUIS_DATOS!$C$1472=1,CROQUIS_DATOS!$C$1544=1),(CROQUIS_DATOS!$C$1564+(CHOOSE(MIN(MAX($A10,1),4),-CROQUIS_DATOS!$C$1551,-CROQUIS_DATOS!$C$1551-14,-CROQUIS_DATOS!$C$1551-14,-CROQUIS_DATOS!$C$1551))*CROQUIS_DATOS!$C$1561*CROQUIS_DATOS!$C$1562),-1000)</f>
        <v>-1000</v>
      </c>
      <c r="AJ10">
        <f>IF(AND(CROQUIS_DATOS!$C$1472=1,CROQUIS_DATOS!$C$1478&gt;=1),CHOOSE(MIN(MAX($A10,1)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33.2413793103448</v>
      </c>
      <c r="AK10">
        <f>IF(AND(CROQUIS_DATOS!$C$1472=1,CROQUIS_DATOS!$C$1478&gt;=1),CHOOSE(MIN(MAX($A10,1)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34.6206896551724</v>
      </c>
      <c r="AL10">
        <f>IF(AND(CROQUIS_DATOS!$C$1472=1,CROQUIS_DATOS!$C$1478&gt;=1),(CROQUIS_DATOS!$C$1563+(CHOOSE(MIN(MAX($A10,1),5),CROQUIS_DATOS!$C$1479,(CROQUIS_DATOS!$C$1479+CROQUIS_DATOS!$C$1480),(CROQUIS_DATOS!$C$1479+CROQUIS_DATOS!$C$1480),CROQUIS_DATOS!$C$1479,(CROQUIS_DATOS!$C$1479+CROQUIS_DATOS!$C$1480)))*CROQUIS_DATOS!$C$1562),-1000)</f>
        <v>33.2413793103448</v>
      </c>
      <c r="AM10">
        <f>IF(AND(CROQUIS_DATOS!$C$1472=1,CROQUIS_DATOS!$C$1478&gt;=1),(CROQUIS_DATOS!$C$1564+(CHOOSE(MIN(MAX($A10,1),5),CROQUIS_DATOS!$C$1481,(CROQUIS_DATOS!$C$1481+CROQUIS_DATOS!$C$1482),(CROQUIS_DATOS!$C$1481+CROQUIS_DATOS!$C$1482),CROQUIS_DATOS!$C$1481,CROQUIS_DATOS!$C$1481))*CROQUIS_DATOS!$C$1561*CROQUIS_DATOS!$C$1562),-1000)</f>
        <v>34.6206896551724</v>
      </c>
      <c r="AN10">
        <f>IF(AND(CROQUIS_DATOS!$C$1472=1,CROQUIS_DATOS!$C$1478&gt;=1,(CROQUIS_DATOS!$C$1481+CROQUIS_DATOS!$C$1482)+CROQUIS_DATOS!$C$1528&lt;CROQUIS_DATOS!$C$1476-2),CHOOSE(MIN(MAX($A10,1)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35.3362068965517</v>
      </c>
      <c r="AO10">
        <f>IF(AND(CROQUIS_DATOS!$C$1472=1,CROQUIS_DATOS!$C$1478&gt;=1,(CROQUIS_DATOS!$C$1481+CROQUIS_DATOS!$C$1482)+CROQUIS_DATOS!$C$1528&lt;CROQUIS_DATOS!$C$1476-2),CHOOSE(MIN(MAX($A10,1)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37.4137931034483</v>
      </c>
      <c r="AP10">
        <f>IF(AND(CROQUIS_DATOS!$C$1472=1,CROQUIS_DATOS!$C$1478&gt;=1,CROQUIS_DATOS!$C$1481&gt;=12),CHOOSE(MIN(MAX($A10,1)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10">
        <f>IF(AND(CROQUIS_DATOS!$C$1472=1,CROQUIS_DATOS!$C$1478&gt;=1,CROQUIS_DATOS!$C$1481&gt;=12),CHOOSE(MIN(MAX($A10,1)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10">
        <f>IF(AND(CROQUIS_DATOS!$C$1472=1,CROQUIS_DATOS!$C$1478&gt;=2),CHOOSE(MIN(MAX($A10,1)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68.1551724137931</v>
      </c>
      <c r="AS10">
        <f>IF(AND(CROQUIS_DATOS!$C$1472=1,CROQUIS_DATOS!$C$1478&gt;=2),CHOOSE(MIN(MAX($A10,1)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34.6206896551724</v>
      </c>
      <c r="AT10">
        <f>IF(AND(CROQUIS_DATOS!$C$1472=1,CROQUIS_DATOS!$C$1478&gt;=2),(CROQUIS_DATOS!$C$1563+(CHOOSE(MIN(MAX($A10,1),5),CROQUIS_DATOS!$C$1484,(CROQUIS_DATOS!$C$1484+CROQUIS_DATOS!$C$1485),(CROQUIS_DATOS!$C$1484+CROQUIS_DATOS!$C$1485),CROQUIS_DATOS!$C$1484,(CROQUIS_DATOS!$C$1484+CROQUIS_DATOS!$C$1485)))*CROQUIS_DATOS!$C$1562),-1000)</f>
        <v>68.1551724137931</v>
      </c>
      <c r="AU10">
        <f>IF(AND(CROQUIS_DATOS!$C$1472=1,CROQUIS_DATOS!$C$1478&gt;=2),(CROQUIS_DATOS!$C$1564+(CHOOSE(MIN(MAX($A10,1),5),CROQUIS_DATOS!$C$1486,(CROQUIS_DATOS!$C$1486+CROQUIS_DATOS!$C$1487),(CROQUIS_DATOS!$C$1486+CROQUIS_DATOS!$C$1487),CROQUIS_DATOS!$C$1486,CROQUIS_DATOS!$C$1486))*CROQUIS_DATOS!$C$1561*CROQUIS_DATOS!$C$1562),-1000)</f>
        <v>34.6206896551724</v>
      </c>
      <c r="AV10">
        <f>IF(AND(CROQUIS_DATOS!$C$1472=1,CROQUIS_DATOS!$C$1478&gt;=2,(CROQUIS_DATOS!$C$1486+CROQUIS_DATOS!$C$1487)+CROQUIS_DATOS!$C$1528&lt;CROQUIS_DATOS!$C$1476-2),CHOOSE(MIN(MAX($A10,1)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70.25</v>
      </c>
      <c r="AW10">
        <f>IF(AND(CROQUIS_DATOS!$C$1472=1,CROQUIS_DATOS!$C$1478&gt;=2,(CROQUIS_DATOS!$C$1486+CROQUIS_DATOS!$C$1487)+CROQUIS_DATOS!$C$1528&lt;CROQUIS_DATOS!$C$1476-2),CHOOSE(MIN(MAX($A10,1)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37.4137931034483</v>
      </c>
      <c r="AX10">
        <f>IF(AND(CROQUIS_DATOS!$C$1472=1,CROQUIS_DATOS!$C$1478&gt;=2,CROQUIS_DATOS!$C$1486&gt;=12),CHOOSE(MIN(MAX($A10,1)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70.25</v>
      </c>
      <c r="AY10">
        <f>IF(AND(CROQUIS_DATOS!$C$1472=1,CROQUIS_DATOS!$C$1478&gt;=2,CROQUIS_DATOS!$C$1486&gt;=12),CHOOSE(MIN(MAX($A10,1)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17.8620689655172</v>
      </c>
      <c r="AZ10">
        <f>IF(AND(CROQUIS_DATOS!$C$1472=1,CROQUIS_DATOS!$C$1478&gt;=3),CHOOSE(MIN(MAX($A10,1)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10">
        <f>IF(AND(CROQUIS_DATOS!$C$1472=1,CROQUIS_DATOS!$C$1478&gt;=3),CHOOSE(MIN(MAX($A10,1)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10">
        <f>IF(AND(CROQUIS_DATOS!$C$1472=1,CROQUIS_DATOS!$C$1478&gt;=3),(CROQUIS_DATOS!$C$1563+(CHOOSE(MIN(MAX($A10,1),5),CROQUIS_DATOS!$C$1489,(CROQUIS_DATOS!$C$1489+CROQUIS_DATOS!$C$1490),(CROQUIS_DATOS!$C$1489+CROQUIS_DATOS!$C$1490),CROQUIS_DATOS!$C$1489,(CROQUIS_DATOS!$C$1489+CROQUIS_DATOS!$C$1490)))*CROQUIS_DATOS!$C$1562),-1000)</f>
        <v>-1000</v>
      </c>
      <c r="BC10">
        <f>IF(AND(CROQUIS_DATOS!$C$1472=1,CROQUIS_DATOS!$C$1478&gt;=3),(CROQUIS_DATOS!$C$1564+(CHOOSE(MIN(MAX($A10,1),5),CROQUIS_DATOS!$C$1491,(CROQUIS_DATOS!$C$1491+CROQUIS_DATOS!$C$1492),(CROQUIS_DATOS!$C$1491+CROQUIS_DATOS!$C$1492),CROQUIS_DATOS!$C$1491,CROQUIS_DATOS!$C$1491))*CROQUIS_DATOS!$C$1561*CROQUIS_DATOS!$C$1562),-1000)</f>
        <v>-1000</v>
      </c>
      <c r="BD10">
        <f>IF(AND(CROQUIS_DATOS!$C$1472=1,CROQUIS_DATOS!$C$1478&gt;=3,(CROQUIS_DATOS!$C$1491+CROQUIS_DATOS!$C$1492)+CROQUIS_DATOS!$C$1528&lt;CROQUIS_DATOS!$C$1476-2),CHOOSE(MIN(MAX($A10,1)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10">
        <f>IF(AND(CROQUIS_DATOS!$C$1472=1,CROQUIS_DATOS!$C$1478&gt;=3,(CROQUIS_DATOS!$C$1491+CROQUIS_DATOS!$C$1492)+CROQUIS_DATOS!$C$1528&lt;CROQUIS_DATOS!$C$1476-2),CHOOSE(MIN(MAX($A10,1)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10">
        <f>IF(AND(CROQUIS_DATOS!$C$1472=1,CROQUIS_DATOS!$C$1478&gt;=3,CROQUIS_DATOS!$C$1491&gt;=12),CHOOSE(MIN(MAX($A10,1)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10">
        <f>IF(AND(CROQUIS_DATOS!$C$1472=1,CROQUIS_DATOS!$C$1478&gt;=3,CROQUIS_DATOS!$C$1491&gt;=12),CHOOSE(MIN(MAX($A10,1)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10">
        <f>IF(AND(CROQUIS_DATOS!$C$1472=1,CROQUIS_DATOS!$C$1478&gt;=4),CHOOSE(MIN(MAX($A10,1)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10">
        <f>IF(AND(CROQUIS_DATOS!$C$1472=1,CROQUIS_DATOS!$C$1478&gt;=4),CHOOSE(MIN(MAX($A10,1)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10">
        <f>IF(AND(CROQUIS_DATOS!$C$1472=1,CROQUIS_DATOS!$C$1478&gt;=4),(CROQUIS_DATOS!$C$1563+(CHOOSE(MIN(MAX($A10,1),5),CROQUIS_DATOS!$C$1494,(CROQUIS_DATOS!$C$1494+CROQUIS_DATOS!$C$1495),(CROQUIS_DATOS!$C$1494+CROQUIS_DATOS!$C$1495),CROQUIS_DATOS!$C$1494,(CROQUIS_DATOS!$C$1494+CROQUIS_DATOS!$C$1495)))*CROQUIS_DATOS!$C$1562),-1000)</f>
        <v>-1000</v>
      </c>
      <c r="BK10">
        <f>IF(AND(CROQUIS_DATOS!$C$1472=1,CROQUIS_DATOS!$C$1478&gt;=4),(CROQUIS_DATOS!$C$1564+(CHOOSE(MIN(MAX($A10,1),5),CROQUIS_DATOS!$C$1496,(CROQUIS_DATOS!$C$1496+CROQUIS_DATOS!$C$1497),(CROQUIS_DATOS!$C$1496+CROQUIS_DATOS!$C$1497),CROQUIS_DATOS!$C$1496,CROQUIS_DATOS!$C$1496))*CROQUIS_DATOS!$C$1561*CROQUIS_DATOS!$C$1562),-1000)</f>
        <v>-1000</v>
      </c>
      <c r="BL10">
        <f>IF(AND(CROQUIS_DATOS!$C$1472=1,CROQUIS_DATOS!$C$1478&gt;=4,(CROQUIS_DATOS!$C$1496+CROQUIS_DATOS!$C$1497)+CROQUIS_DATOS!$C$1528&lt;CROQUIS_DATOS!$C$1476-2),CHOOSE(MIN(MAX($A10,1)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10">
        <f>IF(AND(CROQUIS_DATOS!$C$1472=1,CROQUIS_DATOS!$C$1478&gt;=4,(CROQUIS_DATOS!$C$1496+CROQUIS_DATOS!$C$1497)+CROQUIS_DATOS!$C$1528&lt;CROQUIS_DATOS!$C$1476-2),CHOOSE(MIN(MAX($A10,1)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10">
        <f>IF(AND(CROQUIS_DATOS!$C$1472=1,CROQUIS_DATOS!$C$1478&gt;=4,CROQUIS_DATOS!$C$1496&gt;=12),CHOOSE(MIN(MAX($A10,1)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10">
        <f>IF(AND(CROQUIS_DATOS!$C$1472=1,CROQUIS_DATOS!$C$1478&gt;=4,CROQUIS_DATOS!$C$1496&gt;=12),CHOOSE(MIN(MAX($A10,1)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10">
        <f>IF(AND(CROQUIS_DATOS!$C$1472=1,1),CHOOSE(MIN(MAX($A10,1)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84.9137931034483</v>
      </c>
      <c r="BQ10">
        <f>IF(AND(CROQUIS_DATOS!$C$1472=1,1),CHOOSE(MIN(MAX($A10,1)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40.2068965517241</v>
      </c>
      <c r="BR10">
        <f>IF(AND(CROQUIS_DATOS!$C$1472=1,1),CHOOSE(MIN(MAX($A10,1)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77.7241379310345</v>
      </c>
      <c r="BS10">
        <f>IF(AND(CROQUIS_DATOS!$C$1472=1,1),CHOOSE(MIN(MAX($A10,1)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38.8620689655172</v>
      </c>
      <c r="BT10">
        <f>IF(AND(CROQUIS_DATOS!$C$1472=1,1),CHOOSE(MIN(MAX($A10,1)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77.7241379310345</v>
      </c>
      <c r="BU10">
        <f>IF(AND(CROQUIS_DATOS!$C$1472=1,1),CHOOSE(MIN(MAX($A10,1)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41</v>
      </c>
      <c r="BV10">
        <f>IF(AND(CROQUIS_DATOS!$C$1472=1,1),CHOOSE(MIN(MAX($A10,1)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77.7241379310345</v>
      </c>
      <c r="BW10">
        <f>IF(AND(CROQUIS_DATOS!$C$1472=1,1),CHOOSE(MIN(MAX($A10,1)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12.1379310344828</v>
      </c>
      <c r="BX10">
        <f>IF(AND(CROQUIS_DATOS!$C$1472=1,CROQUIS_DATOS!$C$1544=1),CHOOSE(MIN(MAX($A10,1)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-1000</v>
      </c>
      <c r="BY10">
        <f>IF(AND(CROQUIS_DATOS!$C$1472=1,CROQUIS_DATOS!$C$1544=1),CHOOSE(MIN(MAX($A10,1)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-1000</v>
      </c>
      <c r="BZ10">
        <f>IF(AND(CROQUIS_DATOS!$C$1472=1,CROQUIS_DATOS!$C$1500&gt;0,((CROQUIS_DATOS!$C$1499+CROQUIS_DATOS!$C$1500))-(CROQUIS_DATOS!$C$1499)&gt;0.5,(CROQUIS_DATOS!$C$1476)-(0)&gt;0.5),(CROQUIS_DATOS!$C$1566+(IF(IF(MOD(MIN(INT(($A10-1)/2)+1,MAX(1,INT(((((CROQUIS_DATOS!$C$1499+CROQUIS_DATOS!$C$1500))-(CROQUIS_DATOS!$C$1499))+((CROQUIS_DATOS!$C$1476)*CROQUIS_DATOS!$C$1561-(0)*CROQUIS_DATOS!$C$1561))/CROQUIS_DATOS!$C$1568-0.000001))),2)=1,IF(INT(($A10-1)/2)+1&gt;MAX(1,INT(((((CROQUIS_DATOS!$C$1499+CROQUIS_DATOS!$C$1500))-(CROQUIS_DATOS!$C$1499))+((CROQUIS_DATOS!$C$1476)*CROQUIS_DATOS!$C$1561-(0)*CROQUIS_DATOS!$C$1561))/CROQUIS_DATOS!$C$1568-0.000001)),1,MOD($A10-1,2)),1-IF(INT(($A10-1)/2)+1&gt;MAX(1,INT(((((CROQUIS_DATOS!$C$1499+CROQUIS_DATOS!$C$1500))-(CROQUIS_DATOS!$C$1499))+((CROQUIS_DATOS!$C$1476)*CROQUIS_DATOS!$C$1561-(0)*CROQUIS_DATOS!$C$1561))/CROQUIS_DATOS!$C$1568-0.000001)),1,MOD($A10-1,2)))=1,MIN((CROQUIS_DATOS!$C$1476)*CROQUIS_DATOS!$C$1561,((CROQUIS_DATOS!$C$1499+CROQUIS_DATOS!$C$1500)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*CROQUIS_DATOS!$C$1565),-1000)</f>
        <v>27.4758620689655</v>
      </c>
      <c r="CA10">
        <f>IF(AND(CROQUIS_DATOS!$C$1472=1,CROQUIS_DATOS!$C$1500&gt;0,((CROQUIS_DATOS!$C$1499+CROQUIS_DATOS!$C$1500))-(CROQUIS_DATOS!$C$1499)&gt;0.5,(CROQUIS_DATOS!$C$1476)-(0)&gt;0.5),(CROQUIS_DATOS!$C$1567+(IF(IF(MOD(MIN(INT(($A10-1)/2)+1,MAX(1,INT(((((CROQUIS_DATOS!$C$1499+CROQUIS_DATOS!$C$1500))-(CROQUIS_DATOS!$C$1499))+((CROQUIS_DATOS!$C$1476)*CROQUIS_DATOS!$C$1561-(0)*CROQUIS_DATOS!$C$1561))/CROQUIS_DATOS!$C$1568-0.000001))),2)=1,IF(INT(($A10-1)/2)+1&gt;MAX(1,INT(((((CROQUIS_DATOS!$C$1499+CROQUIS_DATOS!$C$1500))-(CROQUIS_DATOS!$C$1499))+((CROQUIS_DATOS!$C$1476)*CROQUIS_DATOS!$C$1561-(0)*CROQUIS_DATOS!$C$1561))/CROQUIS_DATOS!$C$1568-0.000001)),1,MOD($A10-1,2)),1-IF(INT(($A10-1)/2)+1&gt;MAX(1,INT(((((CROQUIS_DATOS!$C$1499+CROQUIS_DATOS!$C$1500))-(CROQUIS_DATOS!$C$1499))+((CROQUIS_DATOS!$C$1476)*CROQUIS_DATOS!$C$1561-(0)*CROQUIS_DATOS!$C$1561))/CROQUIS_DATOS!$C$1568-0.000001)),1,MOD($A10-1,2)))=1,MIN((CROQUIS_DATOS!$C$1476)*CROQUIS_DATOS!$C$1561,((CROQUIS_DATOS!$C$1499+CROQUIS_DATOS!$C$1500)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10-1)/2)+1,MAX(1,INT(((((CROQUIS_DATOS!$C$1499+CROQUIS_DATOS!$C$1500))-(CROQUIS_DATOS!$C$1499))+((CROQUIS_DATOS!$C$1476)*CROQUIS_DATOS!$C$1561-(0)*CROQUIS_DATOS!$C$1561))/CROQUIS_DATOS!$C$1568-0.000001)))*CROQUIS_DATOS!$C$1568))))*CROQUIS_DATOS!$C$1565),-1000)</f>
        <v>38.8620689655172</v>
      </c>
      <c r="CB10">
        <f>IF(AND(CROQUIS_DATOS!$C$1472=1,CROQUIS_DATOS!$C$1504&gt;0,((CROQUIS_DATOS!$C$1503+CROQUIS_DATOS!$C$1504))-(CROQUIS_DATOS!$C$1503)&gt;0.5,(CROQUIS_DATOS!$C$1476)-(0)&gt;0.5),(CROQUIS_DATOS!$C$1566+(IF(IF(MOD(MIN(INT(($A10-1)/2)+1,MAX(1,INT(((((CROQUIS_DATOS!$C$1503+CROQUIS_DATOS!$C$1504))-(CROQUIS_DATOS!$C$1503))+((CROQUIS_DATOS!$C$1476)*CROQUIS_DATOS!$C$1561-(0)*CROQUIS_DATOS!$C$1561))/CROQUIS_DATOS!$C$1568-0.000001))),2)=1,IF(INT(($A10-1)/2)+1&gt;MAX(1,INT(((((CROQUIS_DATOS!$C$1503+CROQUIS_DATOS!$C$1504))-(CROQUIS_DATOS!$C$1503))+((CROQUIS_DATOS!$C$1476)*CROQUIS_DATOS!$C$1561-(0)*CROQUIS_DATOS!$C$1561))/CROQUIS_DATOS!$C$1568-0.000001)),1,MOD($A10-1,2)),1-IF(INT(($A10-1)/2)+1&gt;MAX(1,INT(((((CROQUIS_DATOS!$C$1503+CROQUIS_DATOS!$C$1504))-(CROQUIS_DATOS!$C$1503))+((CROQUIS_DATOS!$C$1476)*CROQUIS_DATOS!$C$1561-(0)*CROQUIS_DATOS!$C$1561))/CROQUIS_DATOS!$C$1568-0.000001)),1,MOD($A10-1,2)))=1,MIN((CROQUIS_DATOS!$C$1476)*CROQUIS_DATOS!$C$1561,((CROQUIS_DATOS!$C$1503+CROQUIS_DATOS!$C$1504)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*CROQUIS_DATOS!$C$1565),-1000)</f>
        <v>41.3724137931035</v>
      </c>
      <c r="CC10">
        <f>IF(AND(CROQUIS_DATOS!$C$1472=1,CROQUIS_DATOS!$C$1504&gt;0,((CROQUIS_DATOS!$C$1503+CROQUIS_DATOS!$C$1504))-(CROQUIS_DATOS!$C$1503)&gt;0.5,(CROQUIS_DATOS!$C$1476)-(0)&gt;0.5),(CROQUIS_DATOS!$C$1567+(IF(IF(MOD(MIN(INT(($A10-1)/2)+1,MAX(1,INT(((((CROQUIS_DATOS!$C$1503+CROQUIS_DATOS!$C$1504))-(CROQUIS_DATOS!$C$1503))+((CROQUIS_DATOS!$C$1476)*CROQUIS_DATOS!$C$1561-(0)*CROQUIS_DATOS!$C$1561))/CROQUIS_DATOS!$C$1568-0.000001))),2)=1,IF(INT(($A10-1)/2)+1&gt;MAX(1,INT(((((CROQUIS_DATOS!$C$1503+CROQUIS_DATOS!$C$1504))-(CROQUIS_DATOS!$C$1503))+((CROQUIS_DATOS!$C$1476)*CROQUIS_DATOS!$C$1561-(0)*CROQUIS_DATOS!$C$1561))/CROQUIS_DATOS!$C$1568-0.000001)),1,MOD($A10-1,2)),1-IF(INT(($A10-1)/2)+1&gt;MAX(1,INT(((((CROQUIS_DATOS!$C$1503+CROQUIS_DATOS!$C$1504))-(CROQUIS_DATOS!$C$1503))+((CROQUIS_DATOS!$C$1476)*CROQUIS_DATOS!$C$1561-(0)*CROQUIS_DATOS!$C$1561))/CROQUIS_DATOS!$C$1568-0.000001)),1,MOD($A10-1,2)))=1,MIN((CROQUIS_DATOS!$C$1476)*CROQUIS_DATOS!$C$1561,((CROQUIS_DATOS!$C$1503+CROQUIS_DATOS!$C$1504)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10-1)/2)+1,MAX(1,INT(((((CROQUIS_DATOS!$C$1503+CROQUIS_DATOS!$C$1504))-(CROQUIS_DATOS!$C$1503))+((CROQUIS_DATOS!$C$1476)*CROQUIS_DATOS!$C$1561-(0)*CROQUIS_DATOS!$C$1561))/CROQUIS_DATOS!$C$1568-0.000001)))*CROQUIS_DATOS!$C$1568))))*CROQUIS_DATOS!$C$1565),-1000)</f>
        <v>38.8620689655172</v>
      </c>
      <c r="CD10">
        <f>IF(AND(CROQUIS_DATOS!$C$1472=1,CROQUIS_DATOS!$C$1508&gt;0,((CROQUIS_DATOS!$C$1507+CROQUIS_DATOS!$C$1508))-(CROQUIS_DATOS!$C$1507)&gt;0.5,(CROQUIS_DATOS!$C$1476)-(0)&gt;0.5),(CROQUIS_DATOS!$C$1566+(IF(IF(MOD(MIN(INT(($A10-1)/2)+1,MAX(1,INT(((((CROQUIS_DATOS!$C$1507+CROQUIS_DATOS!$C$1508))-(CROQUIS_DATOS!$C$1507))+((CROQUIS_DATOS!$C$1476)*CROQUIS_DATOS!$C$1561-(0)*CROQUIS_DATOS!$C$1561))/CROQUIS_DATOS!$C$1568-0.000001))),2)=1,IF(INT(($A10-1)/2)+1&gt;MAX(1,INT(((((CROQUIS_DATOS!$C$1507+CROQUIS_DATOS!$C$1508))-(CROQUIS_DATOS!$C$1507))+((CROQUIS_DATOS!$C$1476)*CROQUIS_DATOS!$C$1561-(0)*CROQUIS_DATOS!$C$1561))/CROQUIS_DATOS!$C$1568-0.000001)),1,MOD($A10-1,2)),1-IF(INT(($A10-1)/2)+1&gt;MAX(1,INT(((((CROQUIS_DATOS!$C$1507+CROQUIS_DATOS!$C$1508))-(CROQUIS_DATOS!$C$1507))+((CROQUIS_DATOS!$C$1476)*CROQUIS_DATOS!$C$1561-(0)*CROQUIS_DATOS!$C$1561))/CROQUIS_DATOS!$C$1568-0.000001)),1,MOD($A10-1,2)))=1,MIN((CROQUIS_DATOS!$C$1476)*CROQUIS_DATOS!$C$1561,((CROQUIS_DATOS!$C$1507+CROQUIS_DATOS!$C$1508)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*CROQUIS_DATOS!$C$1565),-1000)</f>
        <v>68.0965517241379</v>
      </c>
      <c r="CE10">
        <f>IF(AND(CROQUIS_DATOS!$C$1472=1,CROQUIS_DATOS!$C$1508&gt;0,((CROQUIS_DATOS!$C$1507+CROQUIS_DATOS!$C$1508))-(CROQUIS_DATOS!$C$1507)&gt;0.5,(CROQUIS_DATOS!$C$1476)-(0)&gt;0.5),(CROQUIS_DATOS!$C$1567+(IF(IF(MOD(MIN(INT(($A10-1)/2)+1,MAX(1,INT(((((CROQUIS_DATOS!$C$1507+CROQUIS_DATOS!$C$1508))-(CROQUIS_DATOS!$C$1507))+((CROQUIS_DATOS!$C$1476)*CROQUIS_DATOS!$C$1561-(0)*CROQUIS_DATOS!$C$1561))/CROQUIS_DATOS!$C$1568-0.000001))),2)=1,IF(INT(($A10-1)/2)+1&gt;MAX(1,INT(((((CROQUIS_DATOS!$C$1507+CROQUIS_DATOS!$C$1508))-(CROQUIS_DATOS!$C$1507))+((CROQUIS_DATOS!$C$1476)*CROQUIS_DATOS!$C$1561-(0)*CROQUIS_DATOS!$C$1561))/CROQUIS_DATOS!$C$1568-0.000001)),1,MOD($A10-1,2)),1-IF(INT(($A10-1)/2)+1&gt;MAX(1,INT(((((CROQUIS_DATOS!$C$1507+CROQUIS_DATOS!$C$1508))-(CROQUIS_DATOS!$C$1507))+((CROQUIS_DATOS!$C$1476)*CROQUIS_DATOS!$C$1561-(0)*CROQUIS_DATOS!$C$1561))/CROQUIS_DATOS!$C$1568-0.000001)),1,MOD($A10-1,2)))=1,MIN((CROQUIS_DATOS!$C$1476)*CROQUIS_DATOS!$C$1561,((CROQUIS_DATOS!$C$1507+CROQUIS_DATOS!$C$1508)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10">
        <f>IF(AND(CROQUIS_DATOS!$C$1472=1,CROQUIS_DATOS!$C$1512&gt;0,((CROQUIS_DATOS!$C$1511+CROQUIS_DATOS!$C$1512))-(CROQUIS_DATOS!$C$1511)&gt;0.5,(CROQUIS_DATOS!$C$1476)-(0)&gt;0.5),(CROQUIS_DATOS!$C$1566+(IF(IF(MOD(MIN(INT(($A10-1)/2)+1,MAX(1,INT(((((CROQUIS_DATOS!$C$1511+CROQUIS_DATOS!$C$1512))-(CROQUIS_DATOS!$C$1511))+((CROQUIS_DATOS!$C$1476)*CROQUIS_DATOS!$C$1561-(0)*CROQUIS_DATOS!$C$1561))/CROQUIS_DATOS!$C$1568-0.000001))),2)=1,IF(INT(($A10-1)/2)+1&gt;MAX(1,INT(((((CROQUIS_DATOS!$C$1511+CROQUIS_DATOS!$C$1512))-(CROQUIS_DATOS!$C$1511))+((CROQUIS_DATOS!$C$1476)*CROQUIS_DATOS!$C$1561-(0)*CROQUIS_DATOS!$C$1561))/CROQUIS_DATOS!$C$1568-0.000001)),1,MOD($A10-1,2)),1-IF(INT(($A10-1)/2)+1&gt;MAX(1,INT(((((CROQUIS_DATOS!$C$1511+CROQUIS_DATOS!$C$1512))-(CROQUIS_DATOS!$C$1511))+((CROQUIS_DATOS!$C$1476)*CROQUIS_DATOS!$C$1561-(0)*CROQUIS_DATOS!$C$1561))/CROQUIS_DATOS!$C$1568-0.000001)),1,MOD($A10-1,2)))=1,MIN((CROQUIS_DATOS!$C$1476)*CROQUIS_DATOS!$C$1561,((CROQUIS_DATOS!$C$1511+CROQUIS_DATOS!$C$1512)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">
        <f>IF(AND(CROQUIS_DATOS!$C$1472=1,CROQUIS_DATOS!$C$1512&gt;0,((CROQUIS_DATOS!$C$1511+CROQUIS_DATOS!$C$1512))-(CROQUIS_DATOS!$C$1511)&gt;0.5,(CROQUIS_DATOS!$C$1476)-(0)&gt;0.5),(CROQUIS_DATOS!$C$1567+(IF(IF(MOD(MIN(INT(($A10-1)/2)+1,MAX(1,INT(((((CROQUIS_DATOS!$C$1511+CROQUIS_DATOS!$C$1512))-(CROQUIS_DATOS!$C$1511))+((CROQUIS_DATOS!$C$1476)*CROQUIS_DATOS!$C$1561-(0)*CROQUIS_DATOS!$C$1561))/CROQUIS_DATOS!$C$1568-0.000001))),2)=1,IF(INT(($A10-1)/2)+1&gt;MAX(1,INT(((((CROQUIS_DATOS!$C$1511+CROQUIS_DATOS!$C$1512))-(CROQUIS_DATOS!$C$1511))+((CROQUIS_DATOS!$C$1476)*CROQUIS_DATOS!$C$1561-(0)*CROQUIS_DATOS!$C$1561))/CROQUIS_DATOS!$C$1568-0.000001)),1,MOD($A10-1,2)),1-IF(INT(($A10-1)/2)+1&gt;MAX(1,INT(((((CROQUIS_DATOS!$C$1511+CROQUIS_DATOS!$C$1512))-(CROQUIS_DATOS!$C$1511))+((CROQUIS_DATOS!$C$1476)*CROQUIS_DATOS!$C$1561-(0)*CROQUIS_DATOS!$C$1561))/CROQUIS_DATOS!$C$1568-0.000001)),1,MOD($A10-1,2)))=1,MIN((CROQUIS_DATOS!$C$1476)*CROQUIS_DATOS!$C$1561,((CROQUIS_DATOS!$C$1511+CROQUIS_DATOS!$C$1512)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">
        <f>IF(AND(CROQUIS_DATOS!$C$1472=1,CROQUIS_DATOS!$C$1516&gt;0,((CROQUIS_DATOS!$C$1515+CROQUIS_DATOS!$C$1516))-(CROQUIS_DATOS!$C$1515)&gt;0.5,(CROQUIS_DATOS!$C$1476)-(0)&gt;0.5),(CROQUIS_DATOS!$C$1566+(IF(IF(MOD(MIN(INT(($A10-1)/2)+1,MAX(1,INT(((((CROQUIS_DATOS!$C$1515+CROQUIS_DATOS!$C$1516))-(CROQUIS_DATOS!$C$1515))+((CROQUIS_DATOS!$C$1476)*CROQUIS_DATOS!$C$1561-(0)*CROQUIS_DATOS!$C$1561))/CROQUIS_DATOS!$C$1568-0.000001))),2)=1,IF(INT(($A10-1)/2)+1&gt;MAX(1,INT(((((CROQUIS_DATOS!$C$1515+CROQUIS_DATOS!$C$1516))-(CROQUIS_DATOS!$C$1515))+((CROQUIS_DATOS!$C$1476)*CROQUIS_DATOS!$C$1561-(0)*CROQUIS_DATOS!$C$1561))/CROQUIS_DATOS!$C$1568-0.000001)),1,MOD($A10-1,2)),1-IF(INT(($A10-1)/2)+1&gt;MAX(1,INT(((((CROQUIS_DATOS!$C$1515+CROQUIS_DATOS!$C$1516))-(CROQUIS_DATOS!$C$1515))+((CROQUIS_DATOS!$C$1476)*CROQUIS_DATOS!$C$1561-(0)*CROQUIS_DATOS!$C$1561))/CROQUIS_DATOS!$C$1568-0.000001)),1,MOD($A10-1,2)))=1,MIN((CROQUIS_DATOS!$C$1476)*CROQUIS_DATOS!$C$1561,((CROQUIS_DATOS!$C$1515+CROQUIS_DATOS!$C$1516)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">
        <f>IF(AND(CROQUIS_DATOS!$C$1472=1,CROQUIS_DATOS!$C$1516&gt;0,((CROQUIS_DATOS!$C$1515+CROQUIS_DATOS!$C$1516))-(CROQUIS_DATOS!$C$1515)&gt;0.5,(CROQUIS_DATOS!$C$1476)-(0)&gt;0.5),(CROQUIS_DATOS!$C$1567+(IF(IF(MOD(MIN(INT(($A10-1)/2)+1,MAX(1,INT(((((CROQUIS_DATOS!$C$1515+CROQUIS_DATOS!$C$1516))-(CROQUIS_DATOS!$C$1515))+((CROQUIS_DATOS!$C$1476)*CROQUIS_DATOS!$C$1561-(0)*CROQUIS_DATOS!$C$1561))/CROQUIS_DATOS!$C$1568-0.000001))),2)=1,IF(INT(($A10-1)/2)+1&gt;MAX(1,INT(((((CROQUIS_DATOS!$C$1515+CROQUIS_DATOS!$C$1516))-(CROQUIS_DATOS!$C$1515))+((CROQUIS_DATOS!$C$1476)*CROQUIS_DATOS!$C$1561-(0)*CROQUIS_DATOS!$C$1561))/CROQUIS_DATOS!$C$1568-0.000001)),1,MOD($A10-1,2)),1-IF(INT(($A10-1)/2)+1&gt;MAX(1,INT(((((CROQUIS_DATOS!$C$1515+CROQUIS_DATOS!$C$1516))-(CROQUIS_DATOS!$C$1515))+((CROQUIS_DATOS!$C$1476)*CROQUIS_DATOS!$C$1561-(0)*CROQUIS_DATOS!$C$1561))/CROQUIS_DATOS!$C$1568-0.000001)),1,MOD($A10-1,2)))=1,MIN((CROQUIS_DATOS!$C$1476)*CROQUIS_DATOS!$C$1561,((CROQUIS_DATOS!$C$1515+CROQUIS_DATOS!$C$1516)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">
        <f>IF(AND(CROQUIS_DATOS!$C$1472=1,CROQUIS_DATOS!$C$1478&gt;=1,((CROQUIS_DATOS!$C$1479+CROQUIS_DATOS!$C$1480))-(CROQUIS_DATOS!$C$1479)&gt;0.5,(CROQUIS_DATOS!$C$1481)-(0)&gt;0.5),(CROQUIS_DATOS!$C$1566+(IF(IF(MOD(MIN(INT(($A10-1)/2)+1,MAX(1,INT(((((CROQUIS_DATOS!$C$1479+CROQUIS_DATOS!$C$1480))-(CROQUIS_DATOS!$C$1479))+((CROQUIS_DATOS!$C$1481)*CROQUIS_DATOS!$C$1561-(0)*CROQUIS_DATOS!$C$1561))/CROQUIS_DATOS!$C$1568-0.000001))),2)=1,IF(INT(($A10-1)/2)+1&gt;MAX(1,INT(((((CROQUIS_DATOS!$C$1479+CROQUIS_DATOS!$C$1480))-(CROQUIS_DATOS!$C$1479))+((CROQUIS_DATOS!$C$1481)*CROQUIS_DATOS!$C$1561-(0)*CROQUIS_DATOS!$C$1561))/CROQUIS_DATOS!$C$1568-0.000001)),1,MOD($A10-1,2)),1-IF(INT(($A10-1)/2)+1&gt;MAX(1,INT(((((CROQUIS_DATOS!$C$1479+CROQUIS_DATOS!$C$1480))-(CROQUIS_DATOS!$C$1479))+((CROQUIS_DATOS!$C$1481)*CROQUIS_DATOS!$C$1561-(0)*CROQUIS_DATOS!$C$1561))/CROQUIS_DATOS!$C$1568-0.000001)),1,MOD($A10-1,2)))=1,MIN((CROQUIS_DATOS!$C$1481)*CROQUIS_DATOS!$C$1561,((CROQUIS_DATOS!$C$1479+CROQUIS_DATOS!$C$1480)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">
        <f>IF(AND(CROQUIS_DATOS!$C$1472=1,CROQUIS_DATOS!$C$1478&gt;=1,((CROQUIS_DATOS!$C$1479+CROQUIS_DATOS!$C$1480))-(CROQUIS_DATOS!$C$1479)&gt;0.5,(CROQUIS_DATOS!$C$1481)-(0)&gt;0.5),(CROQUIS_DATOS!$C$1567+(IF(IF(MOD(MIN(INT(($A10-1)/2)+1,MAX(1,INT(((((CROQUIS_DATOS!$C$1479+CROQUIS_DATOS!$C$1480))-(CROQUIS_DATOS!$C$1479))+((CROQUIS_DATOS!$C$1481)*CROQUIS_DATOS!$C$1561-(0)*CROQUIS_DATOS!$C$1561))/CROQUIS_DATOS!$C$1568-0.000001))),2)=1,IF(INT(($A10-1)/2)+1&gt;MAX(1,INT(((((CROQUIS_DATOS!$C$1479+CROQUIS_DATOS!$C$1480))-(CROQUIS_DATOS!$C$1479))+((CROQUIS_DATOS!$C$1481)*CROQUIS_DATOS!$C$1561-(0)*CROQUIS_DATOS!$C$1561))/CROQUIS_DATOS!$C$1568-0.000001)),1,MOD($A10-1,2)),1-IF(INT(($A10-1)/2)+1&gt;MAX(1,INT(((((CROQUIS_DATOS!$C$1479+CROQUIS_DATOS!$C$1480))-(CROQUIS_DATOS!$C$1479))+((CROQUIS_DATOS!$C$1481)*CROQUIS_DATOS!$C$1561-(0)*CROQUIS_DATOS!$C$1561))/CROQUIS_DATOS!$C$1568-0.000001)),1,MOD($A10-1,2)))=1,MIN((CROQUIS_DATOS!$C$1481)*CROQUIS_DATOS!$C$1561,((CROQUIS_DATOS!$C$1479+CROQUIS_DATOS!$C$1480)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">
        <f>IF(AND(CROQUIS_DATOS!$C$1472=1,CROQUIS_DATOS!$C$1478&gt;=1,((CROQUIS_DATOS!$C$1479+CROQUIS_DATOS!$C$1480))-(CROQUIS_DATOS!$C$1479)&gt;0.5,(CROQUIS_DATOS!$C$1476)-((CROQUIS_DATOS!$C$1481+CROQUIS_DATOS!$C$1482))&gt;0.5),(CROQUIS_DATOS!$C$1566+(IF(IF(MOD(MIN(INT(($A10-1)/2)+1,MAX(1,INT(((((CROQUIS_DATOS!$C$1479+CROQUIS_DATOS!$C$1480))-(CROQUIS_DATOS!$C$1479))+((CROQUIS_DATOS!$C$1476)*CROQUIS_DATOS!$C$1561-((CROQUIS_DATOS!$C$1481+CROQUIS_DATOS!$C$1482))*CROQUIS_DATOS!$C$1561))/CROQUIS_DATOS!$C$1568-0.000001))),2)=1,IF(INT(($A10-1)/2)+1&gt;MAX(1,INT(((((CROQUIS_DATOS!$C$1479+CROQUIS_DATOS!$C$1480))-(CROQUIS_DATOS!$C$1479))+((CROQUIS_DATOS!$C$1476)*CROQUIS_DATOS!$C$1561-((CROQUIS_DATOS!$C$1481+CROQUIS_DATOS!$C$1482))*CROQUIS_DATOS!$C$1561))/CROQUIS_DATOS!$C$1568-0.000001)),1,MOD($A10-1,2)),1-IF(INT(($A10-1)/2)+1&gt;MAX(1,INT(((((CROQUIS_DATOS!$C$1479+CROQUIS_DATOS!$C$1480))-(CROQUIS_DATOS!$C$1479))+((CROQUIS_DATOS!$C$1476)*CROQUIS_DATOS!$C$1561-((CROQUIS_DATOS!$C$1481+CROQUIS_DATOS!$C$1482))*CROQUIS_DATOS!$C$1561))/CROQUIS_DATOS!$C$1568-0.000001)),1,MOD($A10-1,2)))=1,MIN((CROQUIS_DATOS!$C$1476)*CROQUIS_DATOS!$C$1561,((CROQUIS_DATOS!$C$1479+CROQUIS_DATOS!$C$1480)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31.751724137931</v>
      </c>
      <c r="CM10">
        <f>IF(AND(CROQUIS_DATOS!$C$1472=1,CROQUIS_DATOS!$C$1478&gt;=1,((CROQUIS_DATOS!$C$1479+CROQUIS_DATOS!$C$1480))-(CROQUIS_DATOS!$C$1479)&gt;0.5,(CROQUIS_DATOS!$C$1476)-((CROQUIS_DATOS!$C$1481+CROQUIS_DATOS!$C$1482))&gt;0.5),(CROQUIS_DATOS!$C$1567+(IF(IF(MOD(MIN(INT(($A10-1)/2)+1,MAX(1,INT(((((CROQUIS_DATOS!$C$1479+CROQUIS_DATOS!$C$1480))-(CROQUIS_DATOS!$C$1479))+((CROQUIS_DATOS!$C$1476)*CROQUIS_DATOS!$C$1561-((CROQUIS_DATOS!$C$1481+CROQUIS_DATOS!$C$1482))*CROQUIS_DATOS!$C$1561))/CROQUIS_DATOS!$C$1568-0.000001))),2)=1,IF(INT(($A10-1)/2)+1&gt;MAX(1,INT(((((CROQUIS_DATOS!$C$1479+CROQUIS_DATOS!$C$1480))-(CROQUIS_DATOS!$C$1479))+((CROQUIS_DATOS!$C$1476)*CROQUIS_DATOS!$C$1561-((CROQUIS_DATOS!$C$1481+CROQUIS_DATOS!$C$1482))*CROQUIS_DATOS!$C$1561))/CROQUIS_DATOS!$C$1568-0.000001)),1,MOD($A10-1,2)),1-IF(INT(($A10-1)/2)+1&gt;MAX(1,INT(((((CROQUIS_DATOS!$C$1479+CROQUIS_DATOS!$C$1480))-(CROQUIS_DATOS!$C$1479))+((CROQUIS_DATOS!$C$1476)*CROQUIS_DATOS!$C$1561-((CROQUIS_DATOS!$C$1481+CROQUIS_DATOS!$C$1482))*CROQUIS_DATOS!$C$1561))/CROQUIS_DATOS!$C$1568-0.000001)),1,MOD($A10-1,2)))=1,MIN((CROQUIS_DATOS!$C$1476)*CROQUIS_DATOS!$C$1561,((CROQUIS_DATOS!$C$1479+CROQUIS_DATOS!$C$1480)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38.8620689655172</v>
      </c>
      <c r="CN10">
        <f>IF(AND(CROQUIS_DATOS!$C$1472=1,CROQUIS_DATOS!$C$1478&gt;=1),CHOOSE(MIN(MAX($A10,1)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38.1724137931034</v>
      </c>
      <c r="CO10">
        <f>IF(AND(CROQUIS_DATOS!$C$1472=1,CROQUIS_DATOS!$C$1478&gt;=1),CHOOSE(MIN(MAX($A10,1)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34.5862068965517</v>
      </c>
      <c r="CR10">
        <f>IF(AND(CROQUIS_DATOS!$C$1472=1,CROQUIS_DATOS!$C$1478&gt;=2,((CROQUIS_DATOS!$C$1484+CROQUIS_DATOS!$C$1485))-(CROQUIS_DATOS!$C$1484)&gt;0.5,(CROQUIS_DATOS!$C$1486)-(0)&gt;0.5),(CROQUIS_DATOS!$C$1566+(IF(IF(MOD(MIN(INT(($A10-1)/2)+1,MAX(1,INT(((((CROQUIS_DATOS!$C$1484+CROQUIS_DATOS!$C$1485))-(CROQUIS_DATOS!$C$1484))+((CROQUIS_DATOS!$C$1486)*CROQUIS_DATOS!$C$1561-(0)*CROQUIS_DATOS!$C$1561))/CROQUIS_DATOS!$C$1568-0.000001))),2)=1,IF(INT(($A10-1)/2)+1&gt;MAX(1,INT(((((CROQUIS_DATOS!$C$1484+CROQUIS_DATOS!$C$1485))-(CROQUIS_DATOS!$C$1484))+((CROQUIS_DATOS!$C$1486)*CROQUIS_DATOS!$C$1561-(0)*CROQUIS_DATOS!$C$1561))/CROQUIS_DATOS!$C$1568-0.000001)),1,MOD($A10-1,2)),1-IF(INT(($A10-1)/2)+1&gt;MAX(1,INT(((((CROQUIS_DATOS!$C$1484+CROQUIS_DATOS!$C$1485))-(CROQUIS_DATOS!$C$1484))+((CROQUIS_DATOS!$C$1486)*CROQUIS_DATOS!$C$1561-(0)*CROQUIS_DATOS!$C$1561))/CROQUIS_DATOS!$C$1568-0.000001)),1,MOD($A10-1,2)))=1,MIN((CROQUIS_DATOS!$C$1486)*CROQUIS_DATOS!$C$1561,((CROQUIS_DATOS!$C$1484+CROQUIS_DATOS!$C$1485)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*CROQUIS_DATOS!$C$1565),-1000)</f>
        <v>52.0620689655172</v>
      </c>
      <c r="CS10">
        <f>IF(AND(CROQUIS_DATOS!$C$1472=1,CROQUIS_DATOS!$C$1478&gt;=2,((CROQUIS_DATOS!$C$1484+CROQUIS_DATOS!$C$1485))-(CROQUIS_DATOS!$C$1484)&gt;0.5,(CROQUIS_DATOS!$C$1486)-(0)&gt;0.5),(CROQUIS_DATOS!$C$1567+(IF(IF(MOD(MIN(INT(($A10-1)/2)+1,MAX(1,INT(((((CROQUIS_DATOS!$C$1484+CROQUIS_DATOS!$C$1485))-(CROQUIS_DATOS!$C$1484))+((CROQUIS_DATOS!$C$1486)*CROQUIS_DATOS!$C$1561-(0)*CROQUIS_DATOS!$C$1561))/CROQUIS_DATOS!$C$1568-0.000001))),2)=1,IF(INT(($A10-1)/2)+1&gt;MAX(1,INT(((((CROQUIS_DATOS!$C$1484+CROQUIS_DATOS!$C$1485))-(CROQUIS_DATOS!$C$1484))+((CROQUIS_DATOS!$C$1486)*CROQUIS_DATOS!$C$1561-(0)*CROQUIS_DATOS!$C$1561))/CROQUIS_DATOS!$C$1568-0.000001)),1,MOD($A10-1,2)),1-IF(INT(($A10-1)/2)+1&gt;MAX(1,INT(((((CROQUIS_DATOS!$C$1484+CROQUIS_DATOS!$C$1485))-(CROQUIS_DATOS!$C$1484))+((CROQUIS_DATOS!$C$1486)*CROQUIS_DATOS!$C$1561-(0)*CROQUIS_DATOS!$C$1561))/CROQUIS_DATOS!$C$1568-0.000001)),1,MOD($A10-1,2)))=1,MIN((CROQUIS_DATOS!$C$1486)*CROQUIS_DATOS!$C$1561,((CROQUIS_DATOS!$C$1484+CROQUIS_DATOS!$C$1485)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10">
        <f>IF(AND(CROQUIS_DATOS!$C$1472=1,CROQUIS_DATOS!$C$1478&gt;=2,((CROQUIS_DATOS!$C$1484+CROQUIS_DATOS!$C$1485))-(CROQUIS_DATOS!$C$1484)&gt;0.5,(CROQUIS_DATOS!$C$1476)-((CROQUIS_DATOS!$C$1486+CROQUIS_DATOS!$C$1487))&gt;0.5),(CROQUIS_DATOS!$C$1566+(IF(IF(MOD(MIN(INT(($A10-1)/2)+1,MAX(1,INT(((((CROQUIS_DATOS!$C$1484+CROQUIS_DATOS!$C$1485))-(CROQUIS_DATOS!$C$1484))+((CROQUIS_DATOS!$C$1476)*CROQUIS_DATOS!$C$1561-((CROQUIS_DATOS!$C$1486+CROQUIS_DATOS!$C$1487))*CROQUIS_DATOS!$C$1561))/CROQUIS_DATOS!$C$1568-0.000001))),2)=1,IF(INT(($A10-1)/2)+1&gt;MAX(1,INT(((((CROQUIS_DATOS!$C$1484+CROQUIS_DATOS!$C$1485))-(CROQUIS_DATOS!$C$1484))+((CROQUIS_DATOS!$C$1476)*CROQUIS_DATOS!$C$1561-((CROQUIS_DATOS!$C$1486+CROQUIS_DATOS!$C$1487))*CROQUIS_DATOS!$C$1561))/CROQUIS_DATOS!$C$1568-0.000001)),1,MOD($A10-1,2)),1-IF(INT(($A10-1)/2)+1&gt;MAX(1,INT(((((CROQUIS_DATOS!$C$1484+CROQUIS_DATOS!$C$1485))-(CROQUIS_DATOS!$C$1484))+((CROQUIS_DATOS!$C$1476)*CROQUIS_DATOS!$C$1561-((CROQUIS_DATOS!$C$1486+CROQUIS_DATOS!$C$1487))*CROQUIS_DATOS!$C$1561))/CROQUIS_DATOS!$C$1568-0.000001)),1,MOD($A10-1,2)))=1,MIN((CROQUIS_DATOS!$C$1476)*CROQUIS_DATOS!$C$1561,((CROQUIS_DATOS!$C$1484+CROQUIS_DATOS!$C$1485)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52.0620689655172</v>
      </c>
      <c r="CU10">
        <f>IF(AND(CROQUIS_DATOS!$C$1472=1,CROQUIS_DATOS!$C$1478&gt;=2,((CROQUIS_DATOS!$C$1484+CROQUIS_DATOS!$C$1485))-(CROQUIS_DATOS!$C$1484)&gt;0.5,(CROQUIS_DATOS!$C$1476)-((CROQUIS_DATOS!$C$1486+CROQUIS_DATOS!$C$1487))&gt;0.5),(CROQUIS_DATOS!$C$1567+(IF(IF(MOD(MIN(INT(($A10-1)/2)+1,MAX(1,INT(((((CROQUIS_DATOS!$C$1484+CROQUIS_DATOS!$C$1485))-(CROQUIS_DATOS!$C$1484))+((CROQUIS_DATOS!$C$1476)*CROQUIS_DATOS!$C$1561-((CROQUIS_DATOS!$C$1486+CROQUIS_DATOS!$C$1487))*CROQUIS_DATOS!$C$1561))/CROQUIS_DATOS!$C$1568-0.000001))),2)=1,IF(INT(($A10-1)/2)+1&gt;MAX(1,INT(((((CROQUIS_DATOS!$C$1484+CROQUIS_DATOS!$C$1485))-(CROQUIS_DATOS!$C$1484))+((CROQUIS_DATOS!$C$1476)*CROQUIS_DATOS!$C$1561-((CROQUIS_DATOS!$C$1486+CROQUIS_DATOS!$C$1487))*CROQUIS_DATOS!$C$1561))/CROQUIS_DATOS!$C$1568-0.000001)),1,MOD($A10-1,2)),1-IF(INT(($A10-1)/2)+1&gt;MAX(1,INT(((((CROQUIS_DATOS!$C$1484+CROQUIS_DATOS!$C$1485))-(CROQUIS_DATOS!$C$1484))+((CROQUIS_DATOS!$C$1476)*CROQUIS_DATOS!$C$1561-((CROQUIS_DATOS!$C$1486+CROQUIS_DATOS!$C$1487))*CROQUIS_DATOS!$C$1561))/CROQUIS_DATOS!$C$1568-0.000001)),1,MOD($A10-1,2)))=1,MIN((CROQUIS_DATOS!$C$1476)*CROQUIS_DATOS!$C$1561,((CROQUIS_DATOS!$C$1484+CROQUIS_DATOS!$C$1485)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V10">
        <f>IF(AND(CROQUIS_DATOS!$C$1472=1,CROQUIS_DATOS!$C$1478&gt;=2),CHOOSE(MIN(MAX($A10,1)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64.8965517241379</v>
      </c>
      <c r="CW10">
        <f>IF(AND(CROQUIS_DATOS!$C$1472=1,CROQUIS_DATOS!$C$1478&gt;=2),CHOOSE(MIN(MAX($A10,1)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34.5862068965517</v>
      </c>
      <c r="CZ10">
        <f>IF(AND(CROQUIS_DATOS!$C$1472=1,CROQUIS_DATOS!$C$1478&gt;=3,((CROQUIS_DATOS!$C$1489+CROQUIS_DATOS!$C$1490))-(CROQUIS_DATOS!$C$1489)&gt;0.5,(CROQUIS_DATOS!$C$1491)-(0)&gt;0.5),(CROQUIS_DATOS!$C$1566+(IF(IF(MOD(MIN(INT(($A10-1)/2)+1,MAX(1,INT(((((CROQUIS_DATOS!$C$1489+CROQUIS_DATOS!$C$1490))-(CROQUIS_DATOS!$C$1489))+((CROQUIS_DATOS!$C$1491)*CROQUIS_DATOS!$C$1561-(0)*CROQUIS_DATOS!$C$1561))/CROQUIS_DATOS!$C$1568-0.000001))),2)=1,IF(INT(($A10-1)/2)+1&gt;MAX(1,INT(((((CROQUIS_DATOS!$C$1489+CROQUIS_DATOS!$C$1490))-(CROQUIS_DATOS!$C$1489))+((CROQUIS_DATOS!$C$1491)*CROQUIS_DATOS!$C$1561-(0)*CROQUIS_DATOS!$C$1561))/CROQUIS_DATOS!$C$1568-0.000001)),1,MOD($A10-1,2)),1-IF(INT(($A10-1)/2)+1&gt;MAX(1,INT(((((CROQUIS_DATOS!$C$1489+CROQUIS_DATOS!$C$1490))-(CROQUIS_DATOS!$C$1489))+((CROQUIS_DATOS!$C$1491)*CROQUIS_DATOS!$C$1561-(0)*CROQUIS_DATOS!$C$1561))/CROQUIS_DATOS!$C$1568-0.000001)),1,MOD($A10-1,2)))=1,MIN((CROQUIS_DATOS!$C$1491)*CROQUIS_DATOS!$C$1561,((CROQUIS_DATOS!$C$1489+CROQUIS_DATOS!$C$1490)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">
        <f>IF(AND(CROQUIS_DATOS!$C$1472=1,CROQUIS_DATOS!$C$1478&gt;=3,((CROQUIS_DATOS!$C$1489+CROQUIS_DATOS!$C$1490))-(CROQUIS_DATOS!$C$1489)&gt;0.5,(CROQUIS_DATOS!$C$1491)-(0)&gt;0.5),(CROQUIS_DATOS!$C$1567+(IF(IF(MOD(MIN(INT(($A10-1)/2)+1,MAX(1,INT(((((CROQUIS_DATOS!$C$1489+CROQUIS_DATOS!$C$1490))-(CROQUIS_DATOS!$C$1489))+((CROQUIS_DATOS!$C$1491)*CROQUIS_DATOS!$C$1561-(0)*CROQUIS_DATOS!$C$1561))/CROQUIS_DATOS!$C$1568-0.000001))),2)=1,IF(INT(($A10-1)/2)+1&gt;MAX(1,INT(((((CROQUIS_DATOS!$C$1489+CROQUIS_DATOS!$C$1490))-(CROQUIS_DATOS!$C$1489))+((CROQUIS_DATOS!$C$1491)*CROQUIS_DATOS!$C$1561-(0)*CROQUIS_DATOS!$C$1561))/CROQUIS_DATOS!$C$1568-0.000001)),1,MOD($A10-1,2)),1-IF(INT(($A10-1)/2)+1&gt;MAX(1,INT(((((CROQUIS_DATOS!$C$1489+CROQUIS_DATOS!$C$1490))-(CROQUIS_DATOS!$C$1489))+((CROQUIS_DATOS!$C$1491)*CROQUIS_DATOS!$C$1561-(0)*CROQUIS_DATOS!$C$1561))/CROQUIS_DATOS!$C$1568-0.000001)),1,MOD($A10-1,2)))=1,MIN((CROQUIS_DATOS!$C$1491)*CROQUIS_DATOS!$C$1561,((CROQUIS_DATOS!$C$1489+CROQUIS_DATOS!$C$1490)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">
        <f>IF(AND(CROQUIS_DATOS!$C$1472=1,CROQUIS_DATOS!$C$1478&gt;=3,((CROQUIS_DATOS!$C$1489+CROQUIS_DATOS!$C$1490))-(CROQUIS_DATOS!$C$1489)&gt;0.5,(CROQUIS_DATOS!$C$1476)-((CROQUIS_DATOS!$C$1491+CROQUIS_DATOS!$C$1492))&gt;0.5),(CROQUIS_DATOS!$C$1566+(IF(IF(MOD(MIN(INT(($A10-1)/2)+1,MAX(1,INT(((((CROQUIS_DATOS!$C$1489+CROQUIS_DATOS!$C$1490))-(CROQUIS_DATOS!$C$1489))+((CROQUIS_DATOS!$C$1476)*CROQUIS_DATOS!$C$1561-((CROQUIS_DATOS!$C$1491+CROQUIS_DATOS!$C$1492))*CROQUIS_DATOS!$C$1561))/CROQUIS_DATOS!$C$1568-0.000001))),2)=1,IF(INT(($A10-1)/2)+1&gt;MAX(1,INT(((((CROQUIS_DATOS!$C$1489+CROQUIS_DATOS!$C$1490))-(CROQUIS_DATOS!$C$1489))+((CROQUIS_DATOS!$C$1476)*CROQUIS_DATOS!$C$1561-((CROQUIS_DATOS!$C$1491+CROQUIS_DATOS!$C$1492))*CROQUIS_DATOS!$C$1561))/CROQUIS_DATOS!$C$1568-0.000001)),1,MOD($A10-1,2)),1-IF(INT(($A10-1)/2)+1&gt;MAX(1,INT(((((CROQUIS_DATOS!$C$1489+CROQUIS_DATOS!$C$1490))-(CROQUIS_DATOS!$C$1489))+((CROQUIS_DATOS!$C$1476)*CROQUIS_DATOS!$C$1561-((CROQUIS_DATOS!$C$1491+CROQUIS_DATOS!$C$1492))*CROQUIS_DATOS!$C$1561))/CROQUIS_DATOS!$C$1568-0.000001)),1,MOD($A10-1,2)))=1,MIN((CROQUIS_DATOS!$C$1476)*CROQUIS_DATOS!$C$1561,((CROQUIS_DATOS!$C$1489+CROQUIS_DATOS!$C$1490)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">
        <f>IF(AND(CROQUIS_DATOS!$C$1472=1,CROQUIS_DATOS!$C$1478&gt;=3,((CROQUIS_DATOS!$C$1489+CROQUIS_DATOS!$C$1490))-(CROQUIS_DATOS!$C$1489)&gt;0.5,(CROQUIS_DATOS!$C$1476)-((CROQUIS_DATOS!$C$1491+CROQUIS_DATOS!$C$1492))&gt;0.5),(CROQUIS_DATOS!$C$1567+(IF(IF(MOD(MIN(INT(($A10-1)/2)+1,MAX(1,INT(((((CROQUIS_DATOS!$C$1489+CROQUIS_DATOS!$C$1490))-(CROQUIS_DATOS!$C$1489))+((CROQUIS_DATOS!$C$1476)*CROQUIS_DATOS!$C$1561-((CROQUIS_DATOS!$C$1491+CROQUIS_DATOS!$C$1492))*CROQUIS_DATOS!$C$1561))/CROQUIS_DATOS!$C$1568-0.000001))),2)=1,IF(INT(($A10-1)/2)+1&gt;MAX(1,INT(((((CROQUIS_DATOS!$C$1489+CROQUIS_DATOS!$C$1490))-(CROQUIS_DATOS!$C$1489))+((CROQUIS_DATOS!$C$1476)*CROQUIS_DATOS!$C$1561-((CROQUIS_DATOS!$C$1491+CROQUIS_DATOS!$C$1492))*CROQUIS_DATOS!$C$1561))/CROQUIS_DATOS!$C$1568-0.000001)),1,MOD($A10-1,2)),1-IF(INT(($A10-1)/2)+1&gt;MAX(1,INT(((((CROQUIS_DATOS!$C$1489+CROQUIS_DATOS!$C$1490))-(CROQUIS_DATOS!$C$1489))+((CROQUIS_DATOS!$C$1476)*CROQUIS_DATOS!$C$1561-((CROQUIS_DATOS!$C$1491+CROQUIS_DATOS!$C$1492))*CROQUIS_DATOS!$C$1561))/CROQUIS_DATOS!$C$1568-0.000001)),1,MOD($A10-1,2)))=1,MIN((CROQUIS_DATOS!$C$1476)*CROQUIS_DATOS!$C$1561,((CROQUIS_DATOS!$C$1489+CROQUIS_DATOS!$C$1490)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10">
        <f>IF(AND(CROQUIS_DATOS!$C$1472=1,CROQUIS_DATOS!$C$1478&gt;=3),CHOOSE(MIN(MAX($A10,1)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10">
        <f>IF(AND(CROQUIS_DATOS!$C$1472=1,CROQUIS_DATOS!$C$1478&gt;=3),CHOOSE(MIN(MAX($A10,1)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10">
        <f>IF(AND(CROQUIS_DATOS!$C$1472=1,CROQUIS_DATOS!$C$1478&gt;=4,((CROQUIS_DATOS!$C$1494+CROQUIS_DATOS!$C$1495))-(CROQUIS_DATOS!$C$1494)&gt;0.5,(CROQUIS_DATOS!$C$1496)-(0)&gt;0.5),(CROQUIS_DATOS!$C$1566+(IF(IF(MOD(MIN(INT(($A10-1)/2)+1,MAX(1,INT(((((CROQUIS_DATOS!$C$1494+CROQUIS_DATOS!$C$1495))-(CROQUIS_DATOS!$C$1494))+((CROQUIS_DATOS!$C$1496)*CROQUIS_DATOS!$C$1561-(0)*CROQUIS_DATOS!$C$1561))/CROQUIS_DATOS!$C$1568-0.000001))),2)=1,IF(INT(($A10-1)/2)+1&gt;MAX(1,INT(((((CROQUIS_DATOS!$C$1494+CROQUIS_DATOS!$C$1495))-(CROQUIS_DATOS!$C$1494))+((CROQUIS_DATOS!$C$1496)*CROQUIS_DATOS!$C$1561-(0)*CROQUIS_DATOS!$C$1561))/CROQUIS_DATOS!$C$1568-0.000001)),1,MOD($A10-1,2)),1-IF(INT(($A10-1)/2)+1&gt;MAX(1,INT(((((CROQUIS_DATOS!$C$1494+CROQUIS_DATOS!$C$1495))-(CROQUIS_DATOS!$C$1494))+((CROQUIS_DATOS!$C$1496)*CROQUIS_DATOS!$C$1561-(0)*CROQUIS_DATOS!$C$1561))/CROQUIS_DATOS!$C$1568-0.000001)),1,MOD($A10-1,2)))=1,MIN((CROQUIS_DATOS!$C$1496)*CROQUIS_DATOS!$C$1561,((CROQUIS_DATOS!$C$1494+CROQUIS_DATOS!$C$1495)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">
        <f>IF(AND(CROQUIS_DATOS!$C$1472=1,CROQUIS_DATOS!$C$1478&gt;=4,((CROQUIS_DATOS!$C$1494+CROQUIS_DATOS!$C$1495))-(CROQUIS_DATOS!$C$1494)&gt;0.5,(CROQUIS_DATOS!$C$1496)-(0)&gt;0.5),(CROQUIS_DATOS!$C$1567+(IF(IF(MOD(MIN(INT(($A10-1)/2)+1,MAX(1,INT(((((CROQUIS_DATOS!$C$1494+CROQUIS_DATOS!$C$1495))-(CROQUIS_DATOS!$C$1494))+((CROQUIS_DATOS!$C$1496)*CROQUIS_DATOS!$C$1561-(0)*CROQUIS_DATOS!$C$1561))/CROQUIS_DATOS!$C$1568-0.000001))),2)=1,IF(INT(($A10-1)/2)+1&gt;MAX(1,INT(((((CROQUIS_DATOS!$C$1494+CROQUIS_DATOS!$C$1495))-(CROQUIS_DATOS!$C$1494))+((CROQUIS_DATOS!$C$1496)*CROQUIS_DATOS!$C$1561-(0)*CROQUIS_DATOS!$C$1561))/CROQUIS_DATOS!$C$1568-0.000001)),1,MOD($A10-1,2)),1-IF(INT(($A10-1)/2)+1&gt;MAX(1,INT(((((CROQUIS_DATOS!$C$1494+CROQUIS_DATOS!$C$1495))-(CROQUIS_DATOS!$C$1494))+((CROQUIS_DATOS!$C$1496)*CROQUIS_DATOS!$C$1561-(0)*CROQUIS_DATOS!$C$1561))/CROQUIS_DATOS!$C$1568-0.000001)),1,MOD($A10-1,2)))=1,MIN((CROQUIS_DATOS!$C$1496)*CROQUIS_DATOS!$C$1561,((CROQUIS_DATOS!$C$1494+CROQUIS_DATOS!$C$1495)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">
        <f>IF(AND(CROQUIS_DATOS!$C$1472=1,CROQUIS_DATOS!$C$1478&gt;=4,((CROQUIS_DATOS!$C$1494+CROQUIS_DATOS!$C$1495))-(CROQUIS_DATOS!$C$1494)&gt;0.5,(CROQUIS_DATOS!$C$1476)-((CROQUIS_DATOS!$C$1496+CROQUIS_DATOS!$C$1497))&gt;0.5),(CROQUIS_DATOS!$C$1566+(IF(IF(MOD(MIN(INT(($A10-1)/2)+1,MAX(1,INT(((((CROQUIS_DATOS!$C$1494+CROQUIS_DATOS!$C$1495))-(CROQUIS_DATOS!$C$1494))+((CROQUIS_DATOS!$C$1476)*CROQUIS_DATOS!$C$1561-((CROQUIS_DATOS!$C$1496+CROQUIS_DATOS!$C$1497))*CROQUIS_DATOS!$C$1561))/CROQUIS_DATOS!$C$1568-0.000001))),2)=1,IF(INT(($A10-1)/2)+1&gt;MAX(1,INT(((((CROQUIS_DATOS!$C$1494+CROQUIS_DATOS!$C$1495))-(CROQUIS_DATOS!$C$1494))+((CROQUIS_DATOS!$C$1476)*CROQUIS_DATOS!$C$1561-((CROQUIS_DATOS!$C$1496+CROQUIS_DATOS!$C$1497))*CROQUIS_DATOS!$C$1561))/CROQUIS_DATOS!$C$1568-0.000001)),1,MOD($A10-1,2)),1-IF(INT(($A10-1)/2)+1&gt;MAX(1,INT(((((CROQUIS_DATOS!$C$1494+CROQUIS_DATOS!$C$1495))-(CROQUIS_DATOS!$C$1494))+((CROQUIS_DATOS!$C$1476)*CROQUIS_DATOS!$C$1561-((CROQUIS_DATOS!$C$1496+CROQUIS_DATOS!$C$1497))*CROQUIS_DATOS!$C$1561))/CROQUIS_DATOS!$C$1568-0.000001)),1,MOD($A10-1,2)))=1,MIN((CROQUIS_DATOS!$C$1476)*CROQUIS_DATOS!$C$1561,((CROQUIS_DATOS!$C$1494+CROQUIS_DATOS!$C$1495)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">
        <f>IF(AND(CROQUIS_DATOS!$C$1472=1,CROQUIS_DATOS!$C$1478&gt;=4,((CROQUIS_DATOS!$C$1494+CROQUIS_DATOS!$C$1495))-(CROQUIS_DATOS!$C$1494)&gt;0.5,(CROQUIS_DATOS!$C$1476)-((CROQUIS_DATOS!$C$1496+CROQUIS_DATOS!$C$1497))&gt;0.5),(CROQUIS_DATOS!$C$1567+(IF(IF(MOD(MIN(INT(($A10-1)/2)+1,MAX(1,INT(((((CROQUIS_DATOS!$C$1494+CROQUIS_DATOS!$C$1495))-(CROQUIS_DATOS!$C$1494))+((CROQUIS_DATOS!$C$1476)*CROQUIS_DATOS!$C$1561-((CROQUIS_DATOS!$C$1496+CROQUIS_DATOS!$C$1497))*CROQUIS_DATOS!$C$1561))/CROQUIS_DATOS!$C$1568-0.000001))),2)=1,IF(INT(($A10-1)/2)+1&gt;MAX(1,INT(((((CROQUIS_DATOS!$C$1494+CROQUIS_DATOS!$C$1495))-(CROQUIS_DATOS!$C$1494))+((CROQUIS_DATOS!$C$1476)*CROQUIS_DATOS!$C$1561-((CROQUIS_DATOS!$C$1496+CROQUIS_DATOS!$C$1497))*CROQUIS_DATOS!$C$1561))/CROQUIS_DATOS!$C$1568-0.000001)),1,MOD($A10-1,2)),1-IF(INT(($A10-1)/2)+1&gt;MAX(1,INT(((((CROQUIS_DATOS!$C$1494+CROQUIS_DATOS!$C$1495))-(CROQUIS_DATOS!$C$1494))+((CROQUIS_DATOS!$C$1476)*CROQUIS_DATOS!$C$1561-((CROQUIS_DATOS!$C$1496+CROQUIS_DATOS!$C$1497))*CROQUIS_DATOS!$C$1561))/CROQUIS_DATOS!$C$1568-0.000001)),1,MOD($A10-1,2)))=1,MIN((CROQUIS_DATOS!$C$1476)*CROQUIS_DATOS!$C$1561,((CROQUIS_DATOS!$C$1494+CROQUIS_DATOS!$C$1495)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10">
        <f>IF(AND(CROQUIS_DATOS!$C$1472=1,CROQUIS_DATOS!$C$1478&gt;=4),CHOOSE(MIN(MAX($A10,1)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10">
        <f>IF(AND(CROQUIS_DATOS!$C$1472=1,CROQUIS_DATOS!$C$1478&gt;=4),CHOOSE(MIN(MAX($A10,1)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10">
        <f>IF(AND(CROQUIS_DATOS!$C$1472=1,CROQUIS_DATOS!$C$1500&gt;0.5,CROQUIS_DATOS!$C$1478&gt;0),CHOOSE(MIN(MAX($A10,1)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24.2758620689655</v>
      </c>
      <c r="DQ10">
        <f>IF(AND(CROQUIS_DATOS!$C$1472=1,CROQUIS_DATOS!$C$1500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R10">
        <f>IF(AND(CROQUIS_DATOS!$C$1472=1,CROQUIS_DATOS!$C$1478&gt;=1),CHOOSE(MIN(MAX($A10,1)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28.551724137931</v>
      </c>
      <c r="DS10">
        <f>IF(AND(CROQUIS_DATOS!$C$1472=1,CROQUIS_DATOS!$C$1478&gt;=1)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T10">
        <f>IF(AND(CROQUIS_DATOS!$C$1472=1,CROQUIS_DATOS!$C$1504&gt;0.5,CROQUIS_DATOS!$C$1478&gt;0),CHOOSE(MIN(MAX($A10,1)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38.1724137931034</v>
      </c>
      <c r="DU10">
        <f>IF(AND(CROQUIS_DATOS!$C$1472=1,CROQUIS_DATOS!$C$1504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V10">
        <f>IF(AND(CROQUIS_DATOS!$C$1472=1,CROQUIS_DATOS!$C$1478&gt;=2),CHOOSE(MIN(MAX($A10,1)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48.8620689655172</v>
      </c>
      <c r="DW10">
        <f>IF(AND(CROQUIS_DATOS!$C$1472=1,CROQUIS_DATOS!$C$1478&gt;=2)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X10">
        <f>IF(AND(CROQUIS_DATOS!$C$1472=1,CROQUIS_DATOS!$C$1508&gt;0.5,CROQUIS_DATOS!$C$1478&gt;0),CHOOSE(MIN(MAX($A10,1)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64.8965517241379</v>
      </c>
      <c r="DY10">
        <f>IF(AND(CROQUIS_DATOS!$C$1472=1,CROQUIS_DATOS!$C$1508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Z10">
        <f>IF(AND(CROQUIS_DATOS!$C$1472=1,CROQUIS_DATOS!$C$1478&gt;=3),CHOOSE(MIN(MAX($A10,1)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0">
        <f>IF(AND(CROQUIS_DATOS!$C$1472=1,CROQUIS_DATOS!$C$1478&gt;=3)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0">
        <f>IF(AND(CROQUIS_DATOS!$C$1472=1,CROQUIS_DATOS!$C$1512&gt;0.5,CROQUIS_DATOS!$C$1478&gt;0),CHOOSE(MIN(MAX($A10,1)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0">
        <f>IF(AND(CROQUIS_DATOS!$C$1472=1,CROQUIS_DATOS!$C$1512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0">
        <f>IF(AND(CROQUIS_DATOS!$C$1472=1,CROQUIS_DATOS!$C$1478&gt;=4),CHOOSE(MIN(MAX($A10,1)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0">
        <f>IF(AND(CROQUIS_DATOS!$C$1472=1,CROQUIS_DATOS!$C$1478&gt;=4)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0">
        <f>IF(AND(CROQUIS_DATOS!$C$1472=1,CROQUIS_DATOS!$C$1516&gt;0.5,CROQUIS_DATOS!$C$1478&gt;0),CHOOSE(MIN(MAX($A10,1)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0">
        <f>IF(AND(CROQUIS_DATOS!$C$1472=1,CROQUIS_DATOS!$C$1516&gt;0.5,CROQUIS_DATOS!$C$1478&gt;0),CHOOSE(MIN(MAX($A10,1)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0">
        <f>IF(AND(CROQUIS_DATOS!$C$1472=1,1),CHOOSE(MIN(MAX($A10,1)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24.2758620689655</v>
      </c>
      <c r="EI10">
        <f>IF(AND(CROQUIS_DATOS!$C$1472=1,1),CHOOSE(MIN(MAX($A10,1)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2.5</v>
      </c>
      <c r="EJ10">
        <f>IF(AND(CROQUIS_DATOS!$C$1472=1,1),CHOOSE(MIN(MAX($A10,1)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21.2758620689655</v>
      </c>
      <c r="EK10">
        <f>IF(AND(CROQUIS_DATOS!$C$1472=1,1)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12.1379310344828</v>
      </c>
      <c r="EL10">
        <f>IF(AND(CROQUIS_DATOS!$C$1472=1,1),CHOOSE(MIN(MAX($A10,1)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79.7241379310345</v>
      </c>
      <c r="EM10">
        <f>IF(AND(CROQUIS_DATOS!$C$1472=1,1),CHOOSE(MIN(MAX($A10,1)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38.8620689655172</v>
      </c>
      <c r="EN10">
        <f>IF(AND(CROQUIS_DATOS!$C$1472=1,CROQUIS_DATOS!$C$1478&gt;=1,CROQUIS_DATOS!$C$1481&gt;0),CHOOSE(MIN(MAX($A10,1)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0">
        <f>IF(AND(CROQUIS_DATOS!$C$1472=1,CROQUIS_DATOS!$C$1478&gt;=1,CROQUIS_DATOS!$C$1481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0">
        <f>IF(AND(CROQUIS_DATOS!$C$1472=1,CROQUIS_DATOS!$C$1478&gt;=2,CROQUIS_DATOS!$C$1486&gt;0),CHOOSE(MIN(MAX($A10,1)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66.4965517241379</v>
      </c>
      <c r="EQ10">
        <f>IF(AND(CROQUIS_DATOS!$C$1472=1,CROQUIS_DATOS!$C$1478&gt;=2,CROQUIS_DATOS!$C$1486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12.1379310344828</v>
      </c>
      <c r="ER10">
        <f>IF(AND(CROQUIS_DATOS!$C$1472=1,CROQUIS_DATOS!$C$1478&gt;=3,CROQUIS_DATOS!$C$1491&gt;0),CHOOSE(MIN(MAX($A10,1)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0">
        <f>IF(AND(CROQUIS_DATOS!$C$1472=1,CROQUIS_DATOS!$C$1478&gt;=3,CROQUIS_DATOS!$C$1491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0">
        <f>IF(AND(CROQUIS_DATOS!$C$1472=1,CROQUIS_DATOS!$C$1478&gt;=4,CROQUIS_DATOS!$C$1496&gt;0),CHOOSE(MIN(MAX($A10,1)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0">
        <f>IF(AND(CROQUIS_DATOS!$C$1472=1,CROQUIS_DATOS!$C$1478&gt;=4,CROQUIS_DATOS!$C$1496&gt;0),CHOOSE(MIN(MAX($A10,1)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0">
        <f>IF(AND(CROQUIS_DATOS!$C$1472=1,1),(CROQUIS_DATOS!$C$1566+(INDEX($E$8:$E$23,MIN($A10,CROQUIS_DATOS!$C$1525)))*CROQUIS_DATOS!$C$1565),-1000)</f>
        <v>38.9741379310345</v>
      </c>
      <c r="EW10">
        <f>IF(AND(CROQUIS_DATOS!$C$1472=1,1),((CROQUIS_DATOS!$C$1567+(CROQUIS_DATOS!$C$1476+CROQUIS_DATOS!$C$1528)*CROQUIS_DATOS!$C$1561*CROQUIS_DATOS!$C$1565)+1.5),-1000)</f>
        <v>42.5</v>
      </c>
      <c r="EZ10">
        <f>IF(AND(CROQUIS_DATOS!$C$1472=1,CROQUIS_DATOS!$C$1500&gt;0.5,CROQUIS_DATOS!$C$1501=1),CHOOSE(MIN(MAX($A10,1)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13.36</v>
      </c>
      <c r="FA10">
        <f>IF(AND(CROQUIS_DATOS!$C$1472=1,CROQUIS_DATOS!$C$1500&gt;0.5,CROQUIS_DATOS!$C$1501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B10">
        <f>IF(AND(CROQUIS_DATOS!$C$1472=1,CROQUIS_DATOS!$C$1500&gt;0.5,CROQUIS_DATOS!$C$1501=0),CHOOSE(MIN(MAX($A10,1)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10">
        <f>IF(AND(CROQUIS_DATOS!$C$1472=1,CROQUIS_DATOS!$C$1500&gt;0.5,CROQUIS_DATOS!$C$1501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10">
        <f>IF(AND(CROQUIS_DATOS!$C$1472=1,CROQUIS_DATOS!$C$1504&gt;0.5,CROQUIS_DATOS!$C$1505=1),CHOOSE(MIN(MAX($A10,1)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48.32</v>
      </c>
      <c r="FG10">
        <f>IF(AND(CROQUIS_DATOS!$C$1472=1,CROQUIS_DATOS!$C$1504&gt;0.5,CROQUIS_DATOS!$C$1505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H10">
        <f>IF(AND(CROQUIS_DATOS!$C$1472=1,CROQUIS_DATOS!$C$1504&gt;0.5,CROQUIS_DATOS!$C$1505=0),CHOOSE(MIN(MAX($A10,1)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10">
        <f>IF(AND(CROQUIS_DATOS!$C$1472=1,CROQUIS_DATOS!$C$1504&gt;0.5,CROQUIS_DATOS!$C$1505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10">
        <f>IF(AND(CROQUIS_DATOS!$C$1472=1,CROQUIS_DATOS!$C$1508&gt;0.5,CROQUIS_DATOS!$C$1509=1),CHOOSE(MIN(MAX($A10,1)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98</v>
      </c>
      <c r="FM10">
        <f>IF(AND(CROQUIS_DATOS!$C$1472=1,CROQUIS_DATOS!$C$1508&gt;0.5,CROQUIS_DATOS!$C$1509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N10">
        <f>IF(AND(CROQUIS_DATOS!$C$1472=1,CROQUIS_DATOS!$C$1508&gt;0.5,CROQUIS_DATOS!$C$1509=0),CHOOSE(MIN(MAX($A10,1)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10">
        <f>IF(AND(CROQUIS_DATOS!$C$1472=1,CROQUIS_DATOS!$C$1508&gt;0.5,CROQUIS_DATOS!$C$1509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10">
        <f>IF(AND(CROQUIS_DATOS!$C$1472=1,CROQUIS_DATOS!$C$1512&gt;0.5,CROQUIS_DATOS!$C$1513=1),CHOOSE(MIN(MAX($A10,1)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10">
        <f>IF(AND(CROQUIS_DATOS!$C$1472=1,CROQUIS_DATOS!$C$1512&gt;0.5,CROQUIS_DATOS!$C$1513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10">
        <f>IF(AND(CROQUIS_DATOS!$C$1472=1,CROQUIS_DATOS!$C$1512&gt;0.5,CROQUIS_DATOS!$C$1513=0),CHOOSE(MIN(MAX($A10,1)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10">
        <f>IF(AND(CROQUIS_DATOS!$C$1472=1,CROQUIS_DATOS!$C$1512&gt;0.5,CROQUIS_DATOS!$C$1513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10">
        <f>IF(AND(CROQUIS_DATOS!$C$1472=1,CROQUIS_DATOS!$C$1516&gt;0.5,CROQUIS_DATOS!$C$1517=1),CHOOSE(MIN(MAX($A10,1)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10">
        <f>IF(AND(CROQUIS_DATOS!$C$1472=1,CROQUIS_DATOS!$C$1516&gt;0.5,CROQUIS_DATOS!$C$1517=1)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10">
        <f>IF(AND(CROQUIS_DATOS!$C$1472=1,CROQUIS_DATOS!$C$1516&gt;0.5,CROQUIS_DATOS!$C$1517=0),CHOOSE(MIN(MAX($A10,1)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10">
        <f>IF(AND(CROQUIS_DATOS!$C$1472=1,CROQUIS_DATOS!$C$1516&gt;0.5,CROQUIS_DATOS!$C$1517=0),CHOOSE(MIN(MAX($A10,1)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10">
        <f>IF(AND(CROQUIS_DATOS!$C$1472=1,1),(CROQUIS_DATOS!$C$1571+(CHOOSE(MIN(MAX(IF(INT(($A10-1)/5)+1&gt;CROQUIS_DATOS!$C$1525,5,MOD($A10-1,5)+1),1),5),(INDEX($E$8:$E$23,MIN(INT(($A10-1)/5)+1,CROQUIS_DATOS!$C$1525))-INDEX($F$8:$F$23,MIN(INT(($A10-1)/5)+1,CROQUIS_DATOS!$C$1525))/2),(INDEX($E$8:$E$23,MIN(INT(($A10-1)/5)+1,CROQUIS_DATOS!$C$1525))+INDEX($F$8:$F$23,MIN(INT(($A10-1)/5)+1,CROQUIS_DATOS!$C$1525))/2),(INDEX($E$8:$E$23,MIN(INT(($A10-1)/5)+1,CROQUIS_DATOS!$C$1525))+INDEX($F$8:$F$23,MIN(INT(($A10-1)/5)+1,CROQUIS_DATOS!$C$1525))/2),(INDEX($E$8:$E$23,MIN(INT(($A10-1)/5)+1,CROQUIS_DATOS!$C$1525))-INDEX($F$8:$F$23,MIN(INT(($A10-1)/5)+1,CROQUIS_DATOS!$C$1525))/2),(INDEX($E$8:$E$23,MIN(INT(($A10-1)/5)+1,CROQUIS_DATOS!$C$1525))-INDEX($F$8:$F$23,MIN(INT(($A10-1)/5)+1,CROQUIS_DATOS!$C$1525))/2)))*CROQUIS_DATOS!$C$1569),-1000)</f>
        <v>8.76</v>
      </c>
      <c r="GE10">
        <f>IF(AND(CROQUIS_DATOS!$C$1472=1,1),(CROQUIS_DATOS!$C$1572+(CHOOSE(MIN(MAX(IF(INT(($A10-1)/5)+1&gt;CROQUIS_DATOS!$C$1525,5,MOD($A10-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0">
        <f>IF(AND(CROQUIS_DATOS!$C$1472=1,1),IF(INT(($A10-1)/4)+1&lt;=CROQUIS_DATOS!$C$1525,(CROQUIS_DATOS!$C$1571+((INDEX($E$8:$E$23,MIN(INT(($A10-1)/4)+1,16))+IF(OR(MOD($A10-1,4)=0,MOD($A10-1,4)=3),-1,1)*(INDEX($F$8:$F$23,MIN(INT(($A10-1)/4)+1,16))/2-(CROQUIS_DATOS!$C$1530+CROQUIS_DATOS!$C$1532+IF(OR(INT(($A10-1)/4)+1=1,INT(($A10-1)/4)+1=CROQUIS_DATOS!$C$1525),CROQUIS_DATOS!$C$1534,CROQUIS_DATOS!$C$1531)/2))))*CROQUIS_DATOS!$C$1569),-1000),-1000)</f>
        <v>8.187484</v>
      </c>
      <c r="GG10">
        <f>IF(AND(CROQUIS_DATOS!$C$1472=1,1),IF(INT(($A10-1)/4)+1&lt;=CROQUIS_DATOS!$C$1525,(CROQUIS_DATOS!$C$1572+((CROQUIS_DATOS!$C$1477/2+IF(MOD($A10-1,4)&lt;2,-1,1)*(CROQUIS_DATOS!$C$1527/2-(CROQUIS_DATOS!$C$1530+CROQUIS_DATOS!$C$1532+IF(OR(INT(($A10-1)/4)+1=1,INT(($A10-1)/4)+1=CROQUIS_DATOS!$C$1525),CROQUIS_DATOS!$C$1534,CROQUIS_DATOS!$C$1531)/2))))*CROQUIS_DATOS!$C$1569*CROQUIS_DATOS!$C$1570),-1000),-1000)</f>
        <v>13.06655</v>
      </c>
      <c r="GH10">
        <f>IF(AND(CROQUIS_DATOS!$C$1472=1,CROQUIS_DATOS!$C$1500&gt;0.5,CROQUIS_DATOS!$C$1478&gt;0),CHOOSE(MIN(MAX($A10,1)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6</v>
      </c>
      <c r="GI10">
        <f>IF(AND(CROQUIS_DATOS!$C$1472=1,CROQUIS_DATOS!$C$1500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6</v>
      </c>
      <c r="GJ10">
        <f>IF(AND(CROQUIS_DATOS!$C$1472=1,CROQUIS_DATOS!$C$1478&gt;=1),CHOOSE(MIN(MAX($A10,1)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13.36</v>
      </c>
      <c r="GK10">
        <f>IF(AND(CROQUIS_DATOS!$C$1472=1,CROQUIS_DATOS!$C$1478&gt;=1),CHOOSE(MIN(MAX($A10,1),7),(CROQUIS_DATOS!$C$1572-3.5)-0.9,(CROQUIS_DATOS!$C$1572-3.5)+0.9,(CROQUIS_DATOS!$C$1572-3.5),(CROQUIS_DATOS!$C$1572-3.5),(CROQUIS_DATOS!$C$1572-3.5),(CROQUIS_DATOS!$C$1572-3.5)+0.9,(CROQUIS_DATOS!$C$1572-3.5)-0.9),-1000)</f>
        <v>6</v>
      </c>
      <c r="GL10">
        <f>IF(AND(CROQUIS_DATOS!$C$1472=1,CROQUIS_DATOS!$C$1504&gt;0.5,CROQUIS_DATOS!$C$1478&gt;0),CHOOSE(MIN(MAX($A10,1)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29.92</v>
      </c>
      <c r="GM10">
        <f>IF(AND(CROQUIS_DATOS!$C$1472=1,CROQUIS_DATOS!$C$1504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6</v>
      </c>
      <c r="GN10">
        <f>IF(AND(CROQUIS_DATOS!$C$1472=1,CROQUIS_DATOS!$C$1478&gt;=2),CHOOSE(MIN(MAX($A10,1)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48.32</v>
      </c>
      <c r="GO10">
        <f>IF(AND(CROQUIS_DATOS!$C$1472=1,CROQUIS_DATOS!$C$1478&gt;=2),CHOOSE(MIN(MAX($A10,1),7),(CROQUIS_DATOS!$C$1572-3.5)-0.9,(CROQUIS_DATOS!$C$1572-3.5)+0.9,(CROQUIS_DATOS!$C$1572-3.5),(CROQUIS_DATOS!$C$1572-3.5),(CROQUIS_DATOS!$C$1572-3.5),(CROQUIS_DATOS!$C$1572-3.5)+0.9,(CROQUIS_DATOS!$C$1572-3.5)-0.9),-1000)</f>
        <v>6</v>
      </c>
      <c r="GP10">
        <f>IF(AND(CROQUIS_DATOS!$C$1472=1,CROQUIS_DATOS!$C$1508&gt;0.5,CROQUIS_DATOS!$C$1478&gt;0),CHOOSE(MIN(MAX($A10,1)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75.92</v>
      </c>
      <c r="GQ10">
        <f>IF(AND(CROQUIS_DATOS!$C$1472=1,CROQUIS_DATOS!$C$1508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6</v>
      </c>
      <c r="GR10">
        <f>IF(AND(CROQUIS_DATOS!$C$1472=1,CROQUIS_DATOS!$C$1478&gt;=3),CHOOSE(MIN(MAX($A10,1)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0">
        <f>IF(AND(CROQUIS_DATOS!$C$1472=1,CROQUIS_DATOS!$C$1478&gt;=3)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T10">
        <f>IF(AND(CROQUIS_DATOS!$C$1472=1,CROQUIS_DATOS!$C$1512&gt;0.5,CROQUIS_DATOS!$C$1478&gt;0),CHOOSE(MIN(MAX($A10,1)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0">
        <f>IF(AND(CROQUIS_DATOS!$C$1472=1,CROQUIS_DATOS!$C$1512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V10">
        <f>IF(AND(CROQUIS_DATOS!$C$1472=1,CROQUIS_DATOS!$C$1478&gt;=4),CHOOSE(MIN(MAX($A10,1)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0">
        <f>IF(AND(CROQUIS_DATOS!$C$1472=1,CROQUIS_DATOS!$C$1478&gt;=4)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X10">
        <f>IF(AND(CROQUIS_DATOS!$C$1472=1,CROQUIS_DATOS!$C$1516&gt;0.5,CROQUIS_DATOS!$C$1478&gt;0),CHOOSE(MIN(MAX($A10,1)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0">
        <f>IF(AND(CROQUIS_DATOS!$C$1472=1,CROQUIS_DATOS!$C$1516&gt;0.5,CROQUIS_DATOS!$C$1478&gt;0),CHOOSE(MIN(MAX($A10,1),7),(CROQUIS_DATOS!$C$1572-3.5)-0.9,(CROQUIS_DATOS!$C$1572-3.5)+0.9,(CROQUIS_DATOS!$C$1572-3.5),(CROQUIS_DATOS!$C$1572-3.5),(CROQUIS_DATOS!$C$1572-3.5),(CROQUIS_DATOS!$C$1572-3.5)+0.9,(CROQUIS_DATOS!$C$1572-3.5)-0.9),-1000)</f>
        <v>-1000</v>
      </c>
      <c r="GZ10">
        <f>IF(AND(CROQUIS_DATOS!$C$1472=1,1),CHOOSE(MIN(MAX($A10,1)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6</v>
      </c>
      <c r="HA10">
        <f>IF(AND(CROQUIS_DATOS!$C$1472=1,1),CHOOSE(MIN(MAX($A10,1),7),(CROQUIS_DATOS!$C$1572-7.5)-0.9,(CROQUIS_DATOS!$C$1572-7.5)+0.9,(CROQUIS_DATOS!$C$1572-7.5),(CROQUIS_DATOS!$C$1572-7.5),(CROQUIS_DATOS!$C$1572-7.5),(CROQUIS_DATOS!$C$1572-7.5)+0.9,(CROQUIS_DATOS!$C$1572-7.5)-0.9),-1000)</f>
        <v>2</v>
      </c>
      <c r="HB10">
        <f>IF(AND(CROQUIS_DATOS!$C$1472=1,1),CHOOSE(MIN(MAX($A10,1)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3.5</v>
      </c>
      <c r="HC10">
        <f>IF(AND(CROQUIS_DATOS!$C$1472=1,1),CHOOSE(MIN(MAX($A10,1)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9.5</v>
      </c>
      <c r="HD10">
        <f>IF(AND(CROQUIS_DATOS!$C$1472=1,1),CHOOSE(MIN(MAX($A10,1)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21.5483870967742</v>
      </c>
      <c r="HE10">
        <f>IF(AND(CROQUIS_DATOS!$C$1472=1,1),CHOOSE(MIN(MAX($A10,1)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25.5483870967742</v>
      </c>
      <c r="HF10">
        <f>IF(AND(CROQUIS_DATOS!$C$1472=1,1),CHOOSE(MIN(MAX($A10,1)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10">
        <f>IF(AND(CROQUIS_DATOS!$C$1472=1,1),CHOOSE(MIN(MAX($A10,1)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13.5196774193548</v>
      </c>
      <c r="HH10">
        <f>IF(AND(CROQUIS_DATOS!$C$1472=1,1),IF($A10&lt;=DATOS!$C$61,CHOOSE(MIN(MAX($A10,1)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18.738</v>
      </c>
      <c r="HI10">
        <f>IF(AND(CROQUIS_DATOS!$C$1472=1,1),IF($A10&lt;=DATOS!$C$61,CHOOSE(MIN(MAX($A10,1)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22.738</v>
      </c>
      <c r="HJ10">
        <f>IF(AND(CROQUIS_DATOS!$C$1472=1,1),CHOOSE(MIN(MAX($A10,1)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8</v>
      </c>
      <c r="HK10">
        <f>IF(AND(CROQUIS_DATOS!$C$1472=1,1),CHOOSE(MIN(MAX($A10,1)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L10">
        <f>IF(AND(CROQUIS_DATOS!$C$1472=1,1),CHOOSE(MIN(MAX($A10,1)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</v>
      </c>
      <c r="HM10">
        <f>IF(AND(CROQUIS_DATOS!$C$1472=1,1),CHOOSE(MIN(MAX($A10,1)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12</v>
      </c>
      <c r="HN10">
        <f>IF(AND(CROQUIS_DATOS!$C$1472=1,1),CHOOSE(MIN(MAX($A10,1)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21.5483870967742</v>
      </c>
      <c r="HO10">
        <f>IF(AND(CROQUIS_DATOS!$C$1472=1,1),CHOOSE(MIN(MAX($A10,1)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25.5483870967742</v>
      </c>
      <c r="HP10">
        <f>IF(AND(CROQUIS_DATOS!$C$1472=1,1),CHOOSE(MIN(MAX($A10,1)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75.741935483871</v>
      </c>
      <c r="HQ10">
        <f>IF(AND(CROQUIS_DATOS!$C$1472=1,1),CHOOSE(MIN(MAX($A10,1)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30.0645161290323</v>
      </c>
      <c r="HR10">
        <f>IF(AND(CROQUIS_DATOS!$C$1472=1,1),CHOOSE(MIN(MAX($A10,1)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10">
        <f>IF(AND(CROQUIS_DATOS!$C$1472=1,1),CHOOSE(MIN(MAX($A10,1)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13.5196774193548</v>
      </c>
      <c r="HT10">
        <f>IF(AND(CROQUIS_DATOS!$C$1472=1,1),IF($A10&lt;=DATOS!$C$69,CHOOSE(MIN(MAX($A10,1)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72.9315483870968</v>
      </c>
      <c r="HU10">
        <f>IF(AND(CROQUIS_DATOS!$C$1472=1,1),IF($A10&lt;=DATOS!$C$69,CHOOSE(MIN(MAX($A10,1)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27.2541290322581</v>
      </c>
      <c r="HV10">
        <f>IF(AND(CROQUIS_DATOS!$C$1472=1,1),CHOOSE(MIN(MAX($A10,1)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62.1935483870968</v>
      </c>
      <c r="HW10">
        <f>IF(AND(CROQUIS_DATOS!$C$1472=1,1),CHOOSE(MIN(MAX($A10,1)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X10">
        <f>IF(AND(CROQUIS_DATOS!$C$1472=1,1),CHOOSE(MIN(MAX($A10,1)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78.741935483871</v>
      </c>
      <c r="HY10">
        <f>IF(AND(CROQUIS_DATOS!$C$1472=1,1),CHOOSE(MIN(MAX($A10,1)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12</v>
      </c>
    </row>
    <row r="11">
      <c r="A11" t="n">
        <v>4</v>
      </c>
      <c r="B11" t="n">
        <v>4</v>
      </c>
      <c r="C11">
        <f>1+(B11&gt;CROQUIS_DATOS!$C$1520)+(B11&gt;CROQUIS_DATOS!$C$1521)+(B11&gt;CROQUIS_DATOS!$C$1522)+(B11&gt;CROQUIS_DATOS!$C$1523)</f>
        <v>2</v>
      </c>
      <c r="D11">
        <f>B11-CHOOSE(MIN(C11,5),0,CROQUIS_DATOS!$C$1520,CROQUIS_DATOS!$C$1521,CROQUIS_DATOS!$C$1522,CROQUIS_DATOS!$C$1523)</f>
        <v>2</v>
      </c>
      <c r="E11">
        <f>IF(G11=0,0,CHOOSE(MIN(C11,5),CROQUIS_DATOS!$C$1499,CROQUIS_DATOS!$C$1503,CROQUIS_DATOS!$C$1507,CROQUIS_DATOS!$C$1511,CROQUIS_DATOS!$C$1515)+IF(CHOOSE(MIN(C11,5),CROQUIS_DATOS!$C$1502,CROQUIS_DATOS!$C$1506,CROQUIS_DATOS!$C$1510,CROQUIS_DATOS!$C$1514,CROQUIS_DATOS!$C$1518)=1,CHOOSE(MIN(C11,5),CROQUIS_DATOS!$C$1500,CROQUIS_DATOS!$C$1504,CROQUIS_DATOS!$C$1508,CROQUIS_DATOS!$C$1512,CROQUIS_DATOS!$C$1516)/2,CROQUIS_DATOS!$C$1526/2+(D11-1)*(CHOOSE(MIN(C11,5),CROQUIS_DATOS!$C$1500,CROQUIS_DATOS!$C$1504,CROQUIS_DATOS!$C$1508,CROQUIS_DATOS!$C$1512,CROQUIS_DATOS!$C$1516)-CROQUIS_DATOS!$C$1526)/MAX(CHOOSE(MIN(C11,5),CROQUIS_DATOS!$C$1502,CROQUIS_DATOS!$C$1506,CROQUIS_DATOS!$C$1510,CROQUIS_DATOS!$C$1514,CROQUIS_DATOS!$C$1518)-1,1)))</f>
        <v>222.5</v>
      </c>
      <c r="F11">
        <f>IF(G11=0,0,IF(CHOOSE(MIN(C11,5),CROQUIS_DATOS!$C$1502,CROQUIS_DATOS!$C$1506,CROQUIS_DATOS!$C$1510,CROQUIS_DATOS!$C$1514,CROQUIS_DATOS!$C$1518)=1,MIN(CROQUIS_DATOS!$C$1526,CHOOSE(MIN(C11,5),CROQUIS_DATOS!$C$1500,CROQUIS_DATOS!$C$1504,CROQUIS_DATOS!$C$1508,CROQUIS_DATOS!$C$1512,CROQUIS_DATOS!$C$1516)),CROQUIS_DATOS!$C$1526))</f>
        <v>15</v>
      </c>
      <c r="G11">
        <f>IF(AND(CROQUIS_DATOS!$C$1472=1,B11&lt;=CROQUIS_DATOS!$C$1525),1,0)</f>
        <v>1</v>
      </c>
      <c r="H11">
        <f>IF(4&lt;=CROQUIS_DATOS!$C$1539,4*CROQUIS_DATOS!$C$1536,IF(4&lt;=CROQUIS_DATOS!$C$1539+CROQUIS_DATOS!$C$1540,CROQUIS_DATOS!$C$1539*CROQUIS_DATOS!$C$1536+(4-CROQUIS_DATOS!$C$1539)*(CROQUIS_DATOS!$C$1476-2*CROQUIS_DATOS!$C$1539*CROQUIS_DATOS!$C$1536)/(CROQUIS_DATOS!$C$1540+1),CROQUIS_DATOS!$C$1476-(2*CROQUIS_DATOS!$C$1539+CROQUIS_DATOS!$C$1540+1-4)*CROQUIS_DATOS!$C$1536))</f>
        <v>30</v>
      </c>
      <c r="I11">
        <f>IF(AND(CROQUIS_DATOS!$C$1544=1,E11&gt;=CROQUIS_DATOS!$C$1549-1,E11&lt;=CROQUIS_DATOS!$C$1550+1),CROQUIS_DATOS!$C$1554,CROQUIS_DATOS!$C$1552)</f>
        <v>-16.8885</v>
      </c>
      <c r="J11">
        <f>IF(AND(CROQUIS_DATOS!$C$1472=1,1),(CROQUIS_DATOS!$C$1563+(CHOOSE(MIN(MAX(IF(INT(($A11-1)/4)+1&gt;CROQUIS_DATOS!$C$1525,4,MOD($A11-1,4)+1),1),4),(INDEX($E$8:$E$23,MIN(INT(($A11-1)/4)+1,CROQUIS_DATOS!$C$1525))-INDEX($F$8:$F$23,MIN(INT(($A11-1)/4)+1,CROQUIS_DATOS!$C$1525))/2),(INDEX($E$8:$E$23,MIN(INT(($A11-1)/4)+1,CROQUIS_DATOS!$C$1525))-INDEX($F$8:$F$23,MIN(INT(($A11-1)/4)+1,CROQUIS_DATOS!$C$1525))/2),(INDEX($E$8:$E$23,MIN(INT(($A11-1)/4)+1,CROQUIS_DATOS!$C$1525))+INDEX($F$8:$F$23,MIN(INT(($A11-1)/4)+1,CROQUIS_DATOS!$C$1525))/2),(INDEX($E$8:$E$23,MIN(INT(($A11-1)/4)+1,CROQUIS_DATOS!$C$1525))+INDEX($F$8:$F$23,MIN(INT(($A11-1)/4)+1,CROQUIS_DATOS!$C$1525))/2)))*CROQUIS_DATOS!$C$1562),-1000)</f>
        <v>17.1810344827586</v>
      </c>
      <c r="K11">
        <f>IF(AND(CROQUIS_DATOS!$C$1472=1,1),(CROQUIS_DATOS!$C$1564+(CHOOSE(MIN(MAX(IF(INT(($A11-1)/4)+1&gt;CROQUIS_DATOS!$C$1525,4,MOD($A11-1,4)+1),1),4),0,CROQUIS_DATOS!$C$1476,CROQUIS_DATOS!$C$1476,0))*CROQUIS_DATOS!$C$1561*CROQUIS_DATOS!$C$1562),-1000)</f>
        <v>5.29310344827586</v>
      </c>
      <c r="L11">
        <f>IF(AND(CROQUIS_DATOS!$C$1472=1,1),(CROQUIS_DATOS!$C$1563+(CHOOSE(MIN(MAX(IF(INT(($A11-1)/4)+1&gt;CROQUIS_DATOS!$C$1525,4,MOD($A11-1,4)+1),1),4),((INDEX($E$8:$E$23,MIN(INT(($A11-1)/4)+1,CROQUIS_DATOS!$C$1525))-INDEX($F$8:$F$23,MIN(INT(($A11-1)/4)+1,CROQUIS_DATOS!$C$1525))/2)+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,((INDEX($E$8:$E$23,MIN(INT(($A11-1)/4)+1,CROQUIS_DATOS!$C$1525))-INDEX($F$8:$F$23,MIN(INT(($A11-1)/4)+1,CROQUIS_DATOS!$C$1525))/2)+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,((INDEX($E$8:$E$23,MIN(INT(($A11-1)/4)+1,CROQUIS_DATOS!$C$1525))+INDEX($F$8:$F$23,MIN(INT(($A11-1)/4)+1,CROQUIS_DATOS!$C$1525))/2)-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,((INDEX($E$8:$E$23,MIN(INT(($A11-1)/4)+1,CROQUIS_DATOS!$C$1525))+INDEX($F$8:$F$23,MIN(INT(($A11-1)/4)+1,CROQUIS_DATOS!$C$1525))/2)-MIN((CROQUIS_DATOS!$C$1530+CROQUIS_DATOS!$C$1532+IF(OR(MIN(INT(($A11-1)/4)+1,CROQUIS_DATOS!$C$1525)=1,MIN(INT(($A11-1)/4)+1,CROQUIS_DATOS!$C$1525)=CROQUIS_DATOS!$C$1525),CROQUIS_DATOS!$C$1534,CROQUIS_DATOS!$C$1531)/2),INDEX($F$8:$F$23,MIN(INT(($A11-1)/4)+1,CROQUIS_DATOS!$C$1525))/2-0.5))))*CROQUIS_DATOS!$C$1562),-1000)</f>
        <v>16.7464974137931</v>
      </c>
      <c r="M11">
        <f>IF(AND(CROQUIS_DATOS!$C$1472=1,1),(CROQUIS_DATOS!$C$1564+(CHOOSE(MIN(MAX(IF(INT(($A11-1)/4)+1&gt;CROQUIS_DATOS!$C$1525,4,MOD($A11-1,4)+1),1),4),CROQUIS_DATOS!$C$1543,INDEX($I$8:$I$23,MIN(INT(($A11-1)/4)+1,CROQUIS_DATOS!$C$1525)),INDEX($I$8:$I$23,MIN(INT(($A11-1)/4)+1,CROQUIS_DATOS!$C$1525)),CROQUIS_DATOS!$C$1543))*CROQUIS_DATOS!$C$1561*CROQUIS_DATOS!$C$1562),-1000)</f>
        <v>42.5654629310345</v>
      </c>
      <c r="N11">
        <f>IF(AND(CROQUIS_DATOS!$C$1472=1,1),(CROQUIS_DATOS!$C$1563+(IF(IF(IF(INT(($A11-1)/70)+1&gt;CROQUIS_DATOS!$C$1525,70,MOD($A11-1,70)+1)=1,0,IF(IF(INT(($A11-1)/70)+1&gt;CROQUIS_DATOS!$C$1525,70,MOD($A11-1,70)+1)&gt;2*CROQUIS_DATOS!$C$1541+1,IF(MOD(CROQUIS_DATOS!$C$1541,2)=1,1,0),IF(MOD(MIN(INT((IF(INT(($A11-1)/70)+1&gt;CROQUIS_DATOS!$C$1525,70,MOD($A11-1,70)+1)-2)/2)+1,CROQUIS_DATOS!$C$1541),2)=1,IF(MOD(IF(INT(($A11-1)/70)+1&gt;CROQUIS_DATOS!$C$1525,70,MOD($A11-1,70)+1)-2,2)=0,0,1),IF(MOD(IF(INT(($A11-1)/70)+1&gt;CROQUIS_DATOS!$C$1525,70,MOD($A11-1,70)+1)-2,2)=0,1,0))))=0,(INDEX($E$8:$E$23,MIN(INT(($A11-1)/70)+1,CROQUIS_DATOS!$C$1525))-INDEX($F$8:$F$23,MIN(INT(($A11-1)/70)+1,CROQUIS_DATOS!$C$1525))/2),(INDEX($E$8:$E$23,MIN(INT(($A11-1)/70)+1,CROQUIS_DATOS!$C$1525))+INDEX($F$8:$F$23,MIN(INT(($A11-1)/70)+1,CROQUIS_DATOS!$C$1525))/2)))*CROQUIS_DATOS!$C$1562),-1000)</f>
        <v>17.1810344827586</v>
      </c>
      <c r="O11">
        <f>IF(AND(CROQUIS_DATOS!$C$1472=1,1),(CROQUIS_DATOS!$C$1564+(IF(OR(IF(INT(($A11-1)/70)+1&gt;CROQUIS_DATOS!$C$1525,70,MOD($A11-1,70)+1)=1,IF(INT(($A11-1)/70)+1&gt;CROQUIS_DATOS!$C$1525,70,MOD($A11-1,70)+1)&gt;2*CROQUIS_DATOS!$C$1541+1),CROQUIS_DATOS!$C$1476,INDEX($H$8:$H$41,MIN(INT((IF(INT(($A11-1)/70)+1&gt;CROQUIS_DATOS!$C$1525,70,MOD($A11-1,70)+1)-2)/2)+1,CROQUIS_DATOS!$C$1541))))*CROQUIS_DATOS!$C$1561*CROQUIS_DATOS!$C$1562),-1000)</f>
        <v>7.38793103448276</v>
      </c>
      <c r="P11">
        <f>IF(AND(CROQUIS_DATOS!$C$1472=1,CROQUIS_DATOS!$C$1555=1),(CROQUIS_DATOS!$C$1563+(IF(IF(OR(MOD($A11-1,62)+1=1,IF(CHOOSE(MIN(MAX(MIN(INT(($A11-1)/62)+1,5),1),5),CROQUIS_DATOS!$C$1501,CROQUIS_DATOS!$C$1505,CROQUIS_DATOS!$C$1509,CROQUIS_DATOS!$C$1513,CROQUIS_DATOS!$C$1517)=1,CROQUIS_DATOS!$C$1557,0)=0),0,IF(MOD($A11-1,62)+1&gt;2*IF(CHOOSE(MIN(MAX(MIN(INT(($A11-1)/62)+1,5),1),5),CROQUIS_DATOS!$C$1501,CROQUIS_DATOS!$C$1505,CROQUIS_DATOS!$C$1509,CROQUIS_DATOS!$C$1513,CROQUIS_DATOS!$C$1517)=1,CROQUIS_DATOS!$C$1557,0)+1,IF(MOD(IF(CHOOSE(MIN(MAX(MIN(INT(($A11-1)/62)+1,5),1),5),CROQUIS_DATOS!$C$1501,CROQUIS_DATOS!$C$1505,CROQUIS_DATOS!$C$1509,CROQUIS_DATOS!$C$1513,CROQUIS_DATOS!$C$1517)=1,CROQUIS_DATOS!$C$1557,0),2)=1,1,0),IF(MOD(MIN(INT((MOD($A11-1,62)+1-2)/2)+1,MAX(IF(CHOOSE(MIN(MAX(MIN(INT(($A11-1)/62)+1,5),1),5),CROQUIS_DATOS!$C$1501,CROQUIS_DATOS!$C$1505,CROQUIS_DATOS!$C$1509,CROQUIS_DATOS!$C$1513,CROQUIS_DATOS!$C$1517)=1,CROQUIS_DATOS!$C$1557,0),1)),2)=1,IF(MOD(MOD($A11-1,62)+1-2,2)=0,0,1),IF(MOD(MOD($A11-1,62)+1-2,2)=0,1,0))))=0,(CHOOSE(MIN(MAX(MIN(INT(($A11-1)/62)+1,5),1),5),CROQUIS_DATOS!$C$1499,CROQUIS_DATOS!$C$1503,CROQUIS_DATOS!$C$1507,CROQUIS_DATOS!$C$1511,CROQUIS_DATOS!$C$1515)+IF(CHOOSE(MIN(MAX(MIN(INT(($A11-1)/62)+1,5),1),5),CROQUIS_DATOS!$C$1501,CROQUIS_DATOS!$C$1505,CROQUIS_DATOS!$C$1509,CROQUIS_DATOS!$C$1513,CROQUIS_DATOS!$C$1517)=1,CROQUIS_DATOS!$C$1526,0)),(CHOOSE(MIN(MAX(MIN(INT(($A11-1)/62)+1,5),1),5),CROQUIS_DATOS!$C$1499,CROQUIS_DATOS!$C$1503,CROQUIS_DATOS!$C$1507,CROQUIS_DATOS!$C$1511,CROQUIS_DATOS!$C$1515)+CHOOSE(MIN(MAX(MIN(INT(($A11-1)/62)+1,5),1),5),CROQUIS_DATOS!$C$1500,CROQUIS_DATOS!$C$1504,CROQUIS_DATOS!$C$1508,CROQUIS_DATOS!$C$1512,CROQUIS_DATOS!$C$1516)-IF(CHOOSE(MIN(MAX(MIN(INT(($A11-1)/62)+1,5),1),5),CROQUIS_DATOS!$C$1501,CROQUIS_DATOS!$C$1505,CROQUIS_DATOS!$C$1509,CROQUIS_DATOS!$C$1513,CROQUIS_DATOS!$C$1517)=1,CROQUIS_DATOS!$C$1526,0))))*CROQUIS_DATOS!$C$1562),-1000)</f>
        <v>-1000</v>
      </c>
      <c r="Q11">
        <f>IF(AND(CROQUIS_DATOS!$C$1472=1,CROQUIS_DATOS!$C$1555=1),(CROQUIS_DATOS!$C$1564+(IF(OR(OR(MOD($A11-1,62)+1=1,IF(CHOOSE(MIN(MAX(MIN(INT(($A11-1)/62)+1,5),1),5),CROQUIS_DATOS!$C$1501,CROQUIS_DATOS!$C$1505,CROQUIS_DATOS!$C$1509,CROQUIS_DATOS!$C$1513,CROQUIS_DATOS!$C$1517)=1,CROQUIS_DATOS!$C$1557,0)=0),MOD($A11-1,62)+1&gt;2*IF(CHOOSE(MIN(MAX(MIN(INT(($A11-1)/62)+1,5),1),5),CROQUIS_DATOS!$C$1501,CROQUIS_DATOS!$C$1505,CROQUIS_DATOS!$C$1509,CROQUIS_DATOS!$C$1513,CROQUIS_DATOS!$C$1517)=1,CROQUIS_DATOS!$C$1557,0)+1),CROQUIS_DATOS!$C$1476,MIN(INT((MOD($A11-1,62)+1-2)/2)+1,MAX(IF(CHOOSE(MIN(MAX(MIN(INT(($A11-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R11">
        <f>IF(AND(CROQUIS_DATOS!$C$1472=1,1),(CROQUIS_DATOS!$C$1563+(CHOOSE(MIN(MAX($A11,1),4),CROQUIS_DATOS!$C$1530,(CROQUIS_DATOS!$C$1475-CROQUIS_DATOS!$C$1530),(CROQUIS_DATOS!$C$1475-CROQUIS_DATOS!$C$1530),CROQUIS_DATOS!$C$1530))*CROQUIS_DATOS!$C$1562),-1000)</f>
        <v>15.3655172413793</v>
      </c>
      <c r="S11">
        <f>IF(AND(CROQUIS_DATOS!$C$1472=1,1),(CROQUIS_DATOS!$C$1564+(CHOOSE(MIN(MAX($A11,1),4),CROQUIS_DATOS!$C$1542,CROQUIS_DATOS!$C$1542,CROQUIS_DATOS!$C$1543,CROQUIS_DATOS!$C$1543))*CROQUIS_DATOS!$C$1561*CROQUIS_DATOS!$C$1562),-1000)</f>
        <v>42.5654629310345</v>
      </c>
      <c r="T11">
        <f>IF(AND(CROQUIS_DATOS!$C$1472=1,1),(CROQUIS_DATOS!$C$1563+(MIN(INT(($A11-1)/2)+1,CROQUIS_DATOS!$C$1558)*CROQUIS_DATOS!$C$1559)*CROQUIS_DATOS!$C$1562),-1000)</f>
        <v>20.4575596816976</v>
      </c>
      <c r="U11">
        <f>IF(AND(CROQUIS_DATOS!$C$1472=1,1),(CROQUIS_DATOS!$C$1564+(IF(INT(($A11-1)/2)+1&gt;CROQUIS_DATOS!$C$1558,IF(MOD(CROQUIS_DATOS!$C$1558,2)=1,CROQUIS_DATOS!$C$1476+CROQUIS_DATOS!$C$1528,CROQUIS_DATOS!$C$1476),IF(IF(MOD(MIN(INT(($A11-1)/2)+1,CROQUIS_DATOS!$C$1558),2)=1,MOD($A11-1,2),1-MOD($A11-1,2))=1,CROQUIS_DATOS!$C$1476+CROQUIS_DATOS!$C$1528,CROQUIS_DATOS!$C$1476)))*CROQUIS_DATOS!$C$1561*CROQUIS_DATOS!$C$1562),-1000)</f>
        <v>40.2068965517241</v>
      </c>
      <c r="V11">
        <f>IF(AND(CROQUIS_DATOS!$C$1472=1,1),CHOOSE(MIN(MAX($A11,1)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W11">
        <f>IF(AND(CROQUIS_DATOS!$C$1472=1,1),CHOOSE(MIN(MAX($A11,1)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43</v>
      </c>
      <c r="X11">
        <f>IF(AND(CROQUIS_DATOS!$C$1472=1,1),(CROQUIS_DATOS!$C$1563+(CHOOSE(MIN(MAX($A11,1),4),CROQUIS_DATOS!$C$1530,(CROQUIS_DATOS!$C$1475-CROQUIS_DATOS!$C$1530),(CROQUIS_DATOS!$C$1475-CROQUIS_DATOS!$C$1530),CROQUIS_DATOS!$C$1530))*CROQUIS_DATOS!$C$1562),-1000)</f>
        <v>15.3655172413793</v>
      </c>
      <c r="Y11">
        <f>IF(AND(CROQUIS_DATOS!$C$1472=1,1),(CROQUIS_DATOS!$C$1564+(CHOOSE(MIN(MAX($A11,1),4),CROQUIS_DATOS!$C$1552,CROQUIS_DATOS!$C$1552,CROQUIS_DATOS!$C$1553,CROQUIS_DATOS!$C$1553))*CROQUIS_DATOS!$C$1561*CROQUIS_DATOS!$C$1562),-1000)</f>
        <v>4.85856637931035</v>
      </c>
      <c r="AB11">
        <f>IF(AND(CROQUIS_DATOS!$C$1472=1,1),CHOOSE(MIN(MAX($A11,1)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AC11">
        <f>IF(AND(CROQUIS_DATOS!$C$1472=1,1),CHOOSE(MIN(MAX($A11,1)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5.29310344827586</v>
      </c>
      <c r="AD11">
        <f>IF(AND(CROQUIS_DATOS!$C$1472=1,CROQUIS_DATOS!$C$1544=1),CHOOSE(MIN(MAX($A11,1)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-1000</v>
      </c>
      <c r="AE11">
        <f>IF(AND(CROQUIS_DATOS!$C$1472=1,CROQUIS_DATOS!$C$1544=1),CHOOSE(MIN(MAX($A11,1)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-1000</v>
      </c>
      <c r="AF11">
        <f>IF(AND(CROQUIS_DATOS!$C$1472=1,CROQUIS_DATOS!$C$1544=1),(CROQUIS_DATOS!$C$1563+(CHOOSE(MIN(MAX($A11,1),4),CROQUIS_DATOS!$C$1549,CROQUIS_DATOS!$C$1549-10,CROQUIS_DATOS!$C$1549+10,CROQUIS_DATOS!$C$1549))*CROQUIS_DATOS!$C$1562),-1000)</f>
        <v>-1000</v>
      </c>
      <c r="AG11">
        <f>IF(AND(CROQUIS_DATOS!$C$1472=1,CROQUIS_DATOS!$C$1544=1),(CROQUIS_DATOS!$C$1564+(CHOOSE(MIN(MAX($A11,1),4),-CROQUIS_DATOS!$C$1551,-CROQUIS_DATOS!$C$1551-14,-CROQUIS_DATOS!$C$1551-14,-CROQUIS_DATOS!$C$1551))*CROQUIS_DATOS!$C$1561*CROQUIS_DATOS!$C$1562),-1000)</f>
        <v>-1000</v>
      </c>
      <c r="AH11">
        <f>IF(AND(CROQUIS_DATOS!$C$1472=1,CROQUIS_DATOS!$C$1544=1),(CROQUIS_DATOS!$C$1563+(CHOOSE(MIN(MAX($A11,1),4),CROQUIS_DATOS!$C$1550,CROQUIS_DATOS!$C$1550-10,CROQUIS_DATOS!$C$1550+10,CROQUIS_DATOS!$C$1550))*CROQUIS_DATOS!$C$1562),-1000)</f>
        <v>-1000</v>
      </c>
      <c r="AI11">
        <f>IF(AND(CROQUIS_DATOS!$C$1472=1,CROQUIS_DATOS!$C$1544=1),(CROQUIS_DATOS!$C$1564+(CHOOSE(MIN(MAX($A11,1),4),-CROQUIS_DATOS!$C$1551,-CROQUIS_DATOS!$C$1551-14,-CROQUIS_DATOS!$C$1551-14,-CROQUIS_DATOS!$C$1551))*CROQUIS_DATOS!$C$1561*CROQUIS_DATOS!$C$1562),-1000)</f>
        <v>-1000</v>
      </c>
      <c r="AJ11">
        <f>IF(AND(CROQUIS_DATOS!$C$1472=1,CROQUIS_DATOS!$C$1478&gt;=1),CHOOSE(MIN(MAX($A11,1)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20.6724137931034</v>
      </c>
      <c r="AK11">
        <f>IF(AND(CROQUIS_DATOS!$C$1472=1,CROQUIS_DATOS!$C$1478&gt;=1),CHOOSE(MIN(MAX($A11,1)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34.6206896551724</v>
      </c>
      <c r="AL11">
        <f>IF(AND(CROQUIS_DATOS!$C$1472=1,CROQUIS_DATOS!$C$1478&gt;=1),(CROQUIS_DATOS!$C$1563+(CHOOSE(MIN(MAX($A11,1),5),CROQUIS_DATOS!$C$1479,(CROQUIS_DATOS!$C$1479+CROQUIS_DATOS!$C$1480),(CROQUIS_DATOS!$C$1479+CROQUIS_DATOS!$C$1480),CROQUIS_DATOS!$C$1479,(CROQUIS_DATOS!$C$1479+CROQUIS_DATOS!$C$1480)))*CROQUIS_DATOS!$C$1562),-1000)</f>
        <v>20.6724137931034</v>
      </c>
      <c r="AM11">
        <f>IF(AND(CROQUIS_DATOS!$C$1472=1,CROQUIS_DATOS!$C$1478&gt;=1),(CROQUIS_DATOS!$C$1564+(CHOOSE(MIN(MAX($A11,1),5),CROQUIS_DATOS!$C$1481,(CROQUIS_DATOS!$C$1481+CROQUIS_DATOS!$C$1482),(CROQUIS_DATOS!$C$1481+CROQUIS_DATOS!$C$1482),CROQUIS_DATOS!$C$1481,CROQUIS_DATOS!$C$1481))*CROQUIS_DATOS!$C$1561*CROQUIS_DATOS!$C$1562),-1000)</f>
        <v>5.29310344827586</v>
      </c>
      <c r="AN11">
        <f>IF(AND(CROQUIS_DATOS!$C$1472=1,CROQUIS_DATOS!$C$1478&gt;=1,(CROQUIS_DATOS!$C$1481+CROQUIS_DATOS!$C$1482)+CROQUIS_DATOS!$C$1528&lt;CROQUIS_DATOS!$C$1476-2),CHOOSE(MIN(MAX($A11,1)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18.5775862068965</v>
      </c>
      <c r="AO11">
        <f>IF(AND(CROQUIS_DATOS!$C$1472=1,CROQUIS_DATOS!$C$1478&gt;=1,(CROQUIS_DATOS!$C$1481+CROQUIS_DATOS!$C$1482)+CROQUIS_DATOS!$C$1528&lt;CROQUIS_DATOS!$C$1476-2),CHOOSE(MIN(MAX($A11,1)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37.4137931034483</v>
      </c>
      <c r="AP11">
        <f>IF(AND(CROQUIS_DATOS!$C$1472=1,CROQUIS_DATOS!$C$1478&gt;=1,CROQUIS_DATOS!$C$1481&gt;=12),CHOOSE(MIN(MAX($A11,1)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11">
        <f>IF(AND(CROQUIS_DATOS!$C$1472=1,CROQUIS_DATOS!$C$1478&gt;=1,CROQUIS_DATOS!$C$1481&gt;=12),CHOOSE(MIN(MAX($A11,1)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11">
        <f>IF(AND(CROQUIS_DATOS!$C$1472=1,CROQUIS_DATOS!$C$1478&gt;=2),CHOOSE(MIN(MAX($A11,1)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47.2068965517241</v>
      </c>
      <c r="AS11">
        <f>IF(AND(CROQUIS_DATOS!$C$1472=1,CROQUIS_DATOS!$C$1478&gt;=2),CHOOSE(MIN(MAX($A11,1)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34.6206896551724</v>
      </c>
      <c r="AT11">
        <f>IF(AND(CROQUIS_DATOS!$C$1472=1,CROQUIS_DATOS!$C$1478&gt;=2),(CROQUIS_DATOS!$C$1563+(CHOOSE(MIN(MAX($A11,1),5),CROQUIS_DATOS!$C$1484,(CROQUIS_DATOS!$C$1484+CROQUIS_DATOS!$C$1485),(CROQUIS_DATOS!$C$1484+CROQUIS_DATOS!$C$1485),CROQUIS_DATOS!$C$1484,(CROQUIS_DATOS!$C$1484+CROQUIS_DATOS!$C$1485)))*CROQUIS_DATOS!$C$1562),-1000)</f>
        <v>47.2068965517241</v>
      </c>
      <c r="AU11">
        <f>IF(AND(CROQUIS_DATOS!$C$1472=1,CROQUIS_DATOS!$C$1478&gt;=2),(CROQUIS_DATOS!$C$1564+(CHOOSE(MIN(MAX($A11,1),5),CROQUIS_DATOS!$C$1486,(CROQUIS_DATOS!$C$1486+CROQUIS_DATOS!$C$1487),(CROQUIS_DATOS!$C$1486+CROQUIS_DATOS!$C$1487),CROQUIS_DATOS!$C$1486,CROQUIS_DATOS!$C$1486))*CROQUIS_DATOS!$C$1561*CROQUIS_DATOS!$C$1562),-1000)</f>
        <v>17.8620689655172</v>
      </c>
      <c r="AV11">
        <f>IF(AND(CROQUIS_DATOS!$C$1472=1,CROQUIS_DATOS!$C$1478&gt;=2,(CROQUIS_DATOS!$C$1486+CROQUIS_DATOS!$C$1487)+CROQUIS_DATOS!$C$1528&lt;CROQUIS_DATOS!$C$1476-2),CHOOSE(MIN(MAX($A11,1)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45.1120689655172</v>
      </c>
      <c r="AW11">
        <f>IF(AND(CROQUIS_DATOS!$C$1472=1,CROQUIS_DATOS!$C$1478&gt;=2,(CROQUIS_DATOS!$C$1486+CROQUIS_DATOS!$C$1487)+CROQUIS_DATOS!$C$1528&lt;CROQUIS_DATOS!$C$1476-2),CHOOSE(MIN(MAX($A11,1)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37.4137931034483</v>
      </c>
      <c r="AX11">
        <f>IF(AND(CROQUIS_DATOS!$C$1472=1,CROQUIS_DATOS!$C$1478&gt;=2,CROQUIS_DATOS!$C$1486&gt;=12),CHOOSE(MIN(MAX($A11,1)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45.1120689655172</v>
      </c>
      <c r="AY11">
        <f>IF(AND(CROQUIS_DATOS!$C$1472=1,CROQUIS_DATOS!$C$1478&gt;=2,CROQUIS_DATOS!$C$1486&gt;=12),CHOOSE(MIN(MAX($A11,1)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17.8620689655172</v>
      </c>
      <c r="AZ11">
        <f>IF(AND(CROQUIS_DATOS!$C$1472=1,CROQUIS_DATOS!$C$1478&gt;=3),CHOOSE(MIN(MAX($A11,1)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11">
        <f>IF(AND(CROQUIS_DATOS!$C$1472=1,CROQUIS_DATOS!$C$1478&gt;=3),CHOOSE(MIN(MAX($A11,1)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11">
        <f>IF(AND(CROQUIS_DATOS!$C$1472=1,CROQUIS_DATOS!$C$1478&gt;=3),(CROQUIS_DATOS!$C$1563+(CHOOSE(MIN(MAX($A11,1),5),CROQUIS_DATOS!$C$1489,(CROQUIS_DATOS!$C$1489+CROQUIS_DATOS!$C$1490),(CROQUIS_DATOS!$C$1489+CROQUIS_DATOS!$C$1490),CROQUIS_DATOS!$C$1489,(CROQUIS_DATOS!$C$1489+CROQUIS_DATOS!$C$1490)))*CROQUIS_DATOS!$C$1562),-1000)</f>
        <v>-1000</v>
      </c>
      <c r="BC11">
        <f>IF(AND(CROQUIS_DATOS!$C$1472=1,CROQUIS_DATOS!$C$1478&gt;=3),(CROQUIS_DATOS!$C$1564+(CHOOSE(MIN(MAX($A11,1),5),CROQUIS_DATOS!$C$1491,(CROQUIS_DATOS!$C$1491+CROQUIS_DATOS!$C$1492),(CROQUIS_DATOS!$C$1491+CROQUIS_DATOS!$C$1492),CROQUIS_DATOS!$C$1491,CROQUIS_DATOS!$C$1491))*CROQUIS_DATOS!$C$1561*CROQUIS_DATOS!$C$1562),-1000)</f>
        <v>-1000</v>
      </c>
      <c r="BD11">
        <f>IF(AND(CROQUIS_DATOS!$C$1472=1,CROQUIS_DATOS!$C$1478&gt;=3,(CROQUIS_DATOS!$C$1491+CROQUIS_DATOS!$C$1492)+CROQUIS_DATOS!$C$1528&lt;CROQUIS_DATOS!$C$1476-2),CHOOSE(MIN(MAX($A11,1)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11">
        <f>IF(AND(CROQUIS_DATOS!$C$1472=1,CROQUIS_DATOS!$C$1478&gt;=3,(CROQUIS_DATOS!$C$1491+CROQUIS_DATOS!$C$1492)+CROQUIS_DATOS!$C$1528&lt;CROQUIS_DATOS!$C$1476-2),CHOOSE(MIN(MAX($A11,1)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11">
        <f>IF(AND(CROQUIS_DATOS!$C$1472=1,CROQUIS_DATOS!$C$1478&gt;=3,CROQUIS_DATOS!$C$1491&gt;=12),CHOOSE(MIN(MAX($A11,1)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11">
        <f>IF(AND(CROQUIS_DATOS!$C$1472=1,CROQUIS_DATOS!$C$1478&gt;=3,CROQUIS_DATOS!$C$1491&gt;=12),CHOOSE(MIN(MAX($A11,1)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11">
        <f>IF(AND(CROQUIS_DATOS!$C$1472=1,CROQUIS_DATOS!$C$1478&gt;=4),CHOOSE(MIN(MAX($A11,1)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11">
        <f>IF(AND(CROQUIS_DATOS!$C$1472=1,CROQUIS_DATOS!$C$1478&gt;=4),CHOOSE(MIN(MAX($A11,1)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11">
        <f>IF(AND(CROQUIS_DATOS!$C$1472=1,CROQUIS_DATOS!$C$1478&gt;=4),(CROQUIS_DATOS!$C$1563+(CHOOSE(MIN(MAX($A11,1),5),CROQUIS_DATOS!$C$1494,(CROQUIS_DATOS!$C$1494+CROQUIS_DATOS!$C$1495),(CROQUIS_DATOS!$C$1494+CROQUIS_DATOS!$C$1495),CROQUIS_DATOS!$C$1494,(CROQUIS_DATOS!$C$1494+CROQUIS_DATOS!$C$1495)))*CROQUIS_DATOS!$C$1562),-1000)</f>
        <v>-1000</v>
      </c>
      <c r="BK11">
        <f>IF(AND(CROQUIS_DATOS!$C$1472=1,CROQUIS_DATOS!$C$1478&gt;=4),(CROQUIS_DATOS!$C$1564+(CHOOSE(MIN(MAX($A11,1),5),CROQUIS_DATOS!$C$1496,(CROQUIS_DATOS!$C$1496+CROQUIS_DATOS!$C$1497),(CROQUIS_DATOS!$C$1496+CROQUIS_DATOS!$C$1497),CROQUIS_DATOS!$C$1496,CROQUIS_DATOS!$C$1496))*CROQUIS_DATOS!$C$1561*CROQUIS_DATOS!$C$1562),-1000)</f>
        <v>-1000</v>
      </c>
      <c r="BL11">
        <f>IF(AND(CROQUIS_DATOS!$C$1472=1,CROQUIS_DATOS!$C$1478&gt;=4,(CROQUIS_DATOS!$C$1496+CROQUIS_DATOS!$C$1497)+CROQUIS_DATOS!$C$1528&lt;CROQUIS_DATOS!$C$1476-2),CHOOSE(MIN(MAX($A11,1)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11">
        <f>IF(AND(CROQUIS_DATOS!$C$1472=1,CROQUIS_DATOS!$C$1478&gt;=4,(CROQUIS_DATOS!$C$1496+CROQUIS_DATOS!$C$1497)+CROQUIS_DATOS!$C$1528&lt;CROQUIS_DATOS!$C$1476-2),CHOOSE(MIN(MAX($A11,1)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11">
        <f>IF(AND(CROQUIS_DATOS!$C$1472=1,CROQUIS_DATOS!$C$1478&gt;=4,CROQUIS_DATOS!$C$1496&gt;=12),CHOOSE(MIN(MAX($A11,1)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11">
        <f>IF(AND(CROQUIS_DATOS!$C$1472=1,CROQUIS_DATOS!$C$1478&gt;=4,CROQUIS_DATOS!$C$1496&gt;=12),CHOOSE(MIN(MAX($A11,1)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11">
        <f>IF(AND(CROQUIS_DATOS!$C$1472=1,1),CHOOSE(MIN(MAX($A11,1)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BQ11">
        <f>IF(AND(CROQUIS_DATOS!$C$1472=1,1),CHOOSE(MIN(MAX($A11,1)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40.2068965517241</v>
      </c>
      <c r="BR11">
        <f>IF(AND(CROQUIS_DATOS!$C$1472=1,1),CHOOSE(MIN(MAX($A11,1)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S11">
        <f>IF(AND(CROQUIS_DATOS!$C$1472=1,1),CHOOSE(MIN(MAX($A11,1)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38.8620689655172</v>
      </c>
      <c r="BT11">
        <f>IF(AND(CROQUIS_DATOS!$C$1472=1,1),CHOOSE(MIN(MAX($A11,1)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U11">
        <f>IF(AND(CROQUIS_DATOS!$C$1472=1,1),CHOOSE(MIN(MAX($A11,1)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41</v>
      </c>
      <c r="BV11">
        <f>IF(AND(CROQUIS_DATOS!$C$1472=1,1),CHOOSE(MIN(MAX($A11,1)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W11">
        <f>IF(AND(CROQUIS_DATOS!$C$1472=1,1),CHOOSE(MIN(MAX($A11,1)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12.1379310344828</v>
      </c>
      <c r="BX11">
        <f>IF(AND(CROQUIS_DATOS!$C$1472=1,CROQUIS_DATOS!$C$1544=1),CHOOSE(MIN(MAX($A11,1)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-1000</v>
      </c>
      <c r="BY11">
        <f>IF(AND(CROQUIS_DATOS!$C$1472=1,CROQUIS_DATOS!$C$1544=1),CHOOSE(MIN(MAX($A11,1)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-1000</v>
      </c>
      <c r="BZ11">
        <f>IF(AND(CROQUIS_DATOS!$C$1472=1,CROQUIS_DATOS!$C$1500&gt;0,((CROQUIS_DATOS!$C$1499+CROQUIS_DATOS!$C$1500))-(CROQUIS_DATOS!$C$1499)&gt;0.5,(CROQUIS_DATOS!$C$1476)-(0)&gt;0.5),(CROQUIS_DATOS!$C$1566+(IF(IF(MOD(MIN(INT(($A11-1)/2)+1,MAX(1,INT(((((CROQUIS_DATOS!$C$1499+CROQUIS_DATOS!$C$1500))-(CROQUIS_DATOS!$C$1499))+((CROQUIS_DATOS!$C$1476)*CROQUIS_DATOS!$C$1561-(0)*CROQUIS_DATOS!$C$1561))/CROQUIS_DATOS!$C$1568-0.000001))),2)=1,IF(INT(($A11-1)/2)+1&gt;MAX(1,INT(((((CROQUIS_DATOS!$C$1499+CROQUIS_DATOS!$C$1500))-(CROQUIS_DATOS!$C$1499))+((CROQUIS_DATOS!$C$1476)*CROQUIS_DATOS!$C$1561-(0)*CROQUIS_DATOS!$C$1561))/CROQUIS_DATOS!$C$1568-0.000001)),1,MOD($A11-1,2)),1-IF(INT(($A11-1)/2)+1&gt;MAX(1,INT(((((CROQUIS_DATOS!$C$1499+CROQUIS_DATOS!$C$1500))-(CROQUIS_DATOS!$C$1499))+((CROQUIS_DATOS!$C$1476)*CROQUIS_DATOS!$C$1561-(0)*CROQUIS_DATOS!$C$1561))/CROQUIS_DATOS!$C$1568-0.000001)),1,MOD($A11-1,2)))=1,MIN((CROQUIS_DATOS!$C$1476)*CROQUIS_DATOS!$C$1561,((CROQUIS_DATOS!$C$1499+CROQUIS_DATOS!$C$1500)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11">
        <f>IF(AND(CROQUIS_DATOS!$C$1472=1,CROQUIS_DATOS!$C$1500&gt;0,((CROQUIS_DATOS!$C$1499+CROQUIS_DATOS!$C$1500))-(CROQUIS_DATOS!$C$1499)&gt;0.5,(CROQUIS_DATOS!$C$1476)-(0)&gt;0.5),(CROQUIS_DATOS!$C$1567+(IF(IF(MOD(MIN(INT(($A11-1)/2)+1,MAX(1,INT(((((CROQUIS_DATOS!$C$1499+CROQUIS_DATOS!$C$1500))-(CROQUIS_DATOS!$C$1499))+((CROQUIS_DATOS!$C$1476)*CROQUIS_DATOS!$C$1561-(0)*CROQUIS_DATOS!$C$1561))/CROQUIS_DATOS!$C$1568-0.000001))),2)=1,IF(INT(($A11-1)/2)+1&gt;MAX(1,INT(((((CROQUIS_DATOS!$C$1499+CROQUIS_DATOS!$C$1500))-(CROQUIS_DATOS!$C$1499))+((CROQUIS_DATOS!$C$1476)*CROQUIS_DATOS!$C$1561-(0)*CROQUIS_DATOS!$C$1561))/CROQUIS_DATOS!$C$1568-0.000001)),1,MOD($A11-1,2)),1-IF(INT(($A11-1)/2)+1&gt;MAX(1,INT(((((CROQUIS_DATOS!$C$1499+CROQUIS_DATOS!$C$1500))-(CROQUIS_DATOS!$C$1499))+((CROQUIS_DATOS!$C$1476)*CROQUIS_DATOS!$C$1561-(0)*CROQUIS_DATOS!$C$1561))/CROQUIS_DATOS!$C$1568-0.000001)),1,MOD($A11-1,2)))=1,MIN((CROQUIS_DATOS!$C$1476)*CROQUIS_DATOS!$C$1561,((CROQUIS_DATOS!$C$1499+CROQUIS_DATOS!$C$1500)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11-1)/2)+1,MAX(1,INT(((((CROQUIS_DATOS!$C$1499+CROQUIS_DATOS!$C$1500))-(CROQUIS_DATOS!$C$1499))+((CROQUIS_DATOS!$C$1476)*CROQUIS_DATOS!$C$1561-(0)*CROQUIS_DATOS!$C$1561))/CROQUIS_DATOS!$C$1568-0.000001)))*CROQUIS_DATOS!$C$1568))))*CROQUIS_DATOS!$C$1565),-1000)</f>
        <v>35.6620689655172</v>
      </c>
      <c r="CB11">
        <f>IF(AND(CROQUIS_DATOS!$C$1472=1,CROQUIS_DATOS!$C$1504&gt;0,((CROQUIS_DATOS!$C$1503+CROQUIS_DATOS!$C$1504))-(CROQUIS_DATOS!$C$1503)&gt;0.5,(CROQUIS_DATOS!$C$1476)-(0)&gt;0.5),(CROQUIS_DATOS!$C$1566+(IF(IF(MOD(MIN(INT(($A11-1)/2)+1,MAX(1,INT(((((CROQUIS_DATOS!$C$1503+CROQUIS_DATOS!$C$1504))-(CROQUIS_DATOS!$C$1503))+((CROQUIS_DATOS!$C$1476)*CROQUIS_DATOS!$C$1561-(0)*CROQUIS_DATOS!$C$1561))/CROQUIS_DATOS!$C$1568-0.000001))),2)=1,IF(INT(($A11-1)/2)+1&gt;MAX(1,INT(((((CROQUIS_DATOS!$C$1503+CROQUIS_DATOS!$C$1504))-(CROQUIS_DATOS!$C$1503))+((CROQUIS_DATOS!$C$1476)*CROQUIS_DATOS!$C$1561-(0)*CROQUIS_DATOS!$C$1561))/CROQUIS_DATOS!$C$1568-0.000001)),1,MOD($A11-1,2)),1-IF(INT(($A11-1)/2)+1&gt;MAX(1,INT(((((CROQUIS_DATOS!$C$1503+CROQUIS_DATOS!$C$1504))-(CROQUIS_DATOS!$C$1503))+((CROQUIS_DATOS!$C$1476)*CROQUIS_DATOS!$C$1561-(0)*CROQUIS_DATOS!$C$1561))/CROQUIS_DATOS!$C$1568-0.000001)),1,MOD($A11-1,2)))=1,MIN((CROQUIS_DATOS!$C$1476)*CROQUIS_DATOS!$C$1561,((CROQUIS_DATOS!$C$1503+CROQUIS_DATOS!$C$1504)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11">
        <f>IF(AND(CROQUIS_DATOS!$C$1472=1,CROQUIS_DATOS!$C$1504&gt;0,((CROQUIS_DATOS!$C$1503+CROQUIS_DATOS!$C$1504))-(CROQUIS_DATOS!$C$1503)&gt;0.5,(CROQUIS_DATOS!$C$1476)-(0)&gt;0.5),(CROQUIS_DATOS!$C$1567+(IF(IF(MOD(MIN(INT(($A11-1)/2)+1,MAX(1,INT(((((CROQUIS_DATOS!$C$1503+CROQUIS_DATOS!$C$1504))-(CROQUIS_DATOS!$C$1503))+((CROQUIS_DATOS!$C$1476)*CROQUIS_DATOS!$C$1561-(0)*CROQUIS_DATOS!$C$1561))/CROQUIS_DATOS!$C$1568-0.000001))),2)=1,IF(INT(($A11-1)/2)+1&gt;MAX(1,INT(((((CROQUIS_DATOS!$C$1503+CROQUIS_DATOS!$C$1504))-(CROQUIS_DATOS!$C$1503))+((CROQUIS_DATOS!$C$1476)*CROQUIS_DATOS!$C$1561-(0)*CROQUIS_DATOS!$C$1561))/CROQUIS_DATOS!$C$1568-0.000001)),1,MOD($A11-1,2)),1-IF(INT(($A11-1)/2)+1&gt;MAX(1,INT(((((CROQUIS_DATOS!$C$1503+CROQUIS_DATOS!$C$1504))-(CROQUIS_DATOS!$C$1503))+((CROQUIS_DATOS!$C$1476)*CROQUIS_DATOS!$C$1561-(0)*CROQUIS_DATOS!$C$1561))/CROQUIS_DATOS!$C$1568-0.000001)),1,MOD($A11-1,2)))=1,MIN((CROQUIS_DATOS!$C$1476)*CROQUIS_DATOS!$C$1561,((CROQUIS_DATOS!$C$1503+CROQUIS_DATOS!$C$1504)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11-1)/2)+1,MAX(1,INT(((((CROQUIS_DATOS!$C$1503+CROQUIS_DATOS!$C$1504))-(CROQUIS_DATOS!$C$1503))+((CROQUIS_DATOS!$C$1476)*CROQUIS_DATOS!$C$1561-(0)*CROQUIS_DATOS!$C$1561))/CROQUIS_DATOS!$C$1568-0.000001)))*CROQUIS_DATOS!$C$1568))))*CROQUIS_DATOS!$C$1565),-1000)</f>
        <v>35.6620689655172</v>
      </c>
      <c r="CD11">
        <f>IF(AND(CROQUIS_DATOS!$C$1472=1,CROQUIS_DATOS!$C$1508&gt;0,((CROQUIS_DATOS!$C$1507+CROQUIS_DATOS!$C$1508))-(CROQUIS_DATOS!$C$1507)&gt;0.5,(CROQUIS_DATOS!$C$1476)-(0)&gt;0.5),(CROQUIS_DATOS!$C$1566+(IF(IF(MOD(MIN(INT(($A11-1)/2)+1,MAX(1,INT(((((CROQUIS_DATOS!$C$1507+CROQUIS_DATOS!$C$1508))-(CROQUIS_DATOS!$C$1507))+((CROQUIS_DATOS!$C$1476)*CROQUIS_DATOS!$C$1561-(0)*CROQUIS_DATOS!$C$1561))/CROQUIS_DATOS!$C$1568-0.000001))),2)=1,IF(INT(($A11-1)/2)+1&gt;MAX(1,INT(((((CROQUIS_DATOS!$C$1507+CROQUIS_DATOS!$C$1508))-(CROQUIS_DATOS!$C$1507))+((CROQUIS_DATOS!$C$1476)*CROQUIS_DATOS!$C$1561-(0)*CROQUIS_DATOS!$C$1561))/CROQUIS_DATOS!$C$1568-0.000001)),1,MOD($A11-1,2)),1-IF(INT(($A11-1)/2)+1&gt;MAX(1,INT(((((CROQUIS_DATOS!$C$1507+CROQUIS_DATOS!$C$1508))-(CROQUIS_DATOS!$C$1507))+((CROQUIS_DATOS!$C$1476)*CROQUIS_DATOS!$C$1561-(0)*CROQUIS_DATOS!$C$1561))/CROQUIS_DATOS!$C$1568-0.000001)),1,MOD($A11-1,2)))=1,MIN((CROQUIS_DATOS!$C$1476)*CROQUIS_DATOS!$C$1561,((CROQUIS_DATOS!$C$1507+CROQUIS_DATOS!$C$1508)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11">
        <f>IF(AND(CROQUIS_DATOS!$C$1472=1,CROQUIS_DATOS!$C$1508&gt;0,((CROQUIS_DATOS!$C$1507+CROQUIS_DATOS!$C$1508))-(CROQUIS_DATOS!$C$1507)&gt;0.5,(CROQUIS_DATOS!$C$1476)-(0)&gt;0.5),(CROQUIS_DATOS!$C$1567+(IF(IF(MOD(MIN(INT(($A11-1)/2)+1,MAX(1,INT(((((CROQUIS_DATOS!$C$1507+CROQUIS_DATOS!$C$1508))-(CROQUIS_DATOS!$C$1507))+((CROQUIS_DATOS!$C$1476)*CROQUIS_DATOS!$C$1561-(0)*CROQUIS_DATOS!$C$1561))/CROQUIS_DATOS!$C$1568-0.000001))),2)=1,IF(INT(($A11-1)/2)+1&gt;MAX(1,INT(((((CROQUIS_DATOS!$C$1507+CROQUIS_DATOS!$C$1508))-(CROQUIS_DATOS!$C$1507))+((CROQUIS_DATOS!$C$1476)*CROQUIS_DATOS!$C$1561-(0)*CROQUIS_DATOS!$C$1561))/CROQUIS_DATOS!$C$1568-0.000001)),1,MOD($A11-1,2)),1-IF(INT(($A11-1)/2)+1&gt;MAX(1,INT(((((CROQUIS_DATOS!$C$1507+CROQUIS_DATOS!$C$1508))-(CROQUIS_DATOS!$C$1507))+((CROQUIS_DATOS!$C$1476)*CROQUIS_DATOS!$C$1561-(0)*CROQUIS_DATOS!$C$1561))/CROQUIS_DATOS!$C$1568-0.000001)),1,MOD($A11-1,2)))=1,MIN((CROQUIS_DATOS!$C$1476)*CROQUIS_DATOS!$C$1561,((CROQUIS_DATOS!$C$1507+CROQUIS_DATOS!$C$1508)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11-1)/2)+1,MAX(1,INT(((((CROQUIS_DATOS!$C$1507+CROQUIS_DATOS!$C$1508))-(CROQUIS_DATOS!$C$1507))+((CROQUIS_DATOS!$C$1476)*CROQUIS_DATOS!$C$1561-(0)*CROQUIS_DATOS!$C$1561))/CROQUIS_DATOS!$C$1568-0.000001)))*CROQUIS_DATOS!$C$1568))))*CROQUIS_DATOS!$C$1565),-1000)</f>
        <v>35.6620689655172</v>
      </c>
      <c r="CF11">
        <f>IF(AND(CROQUIS_DATOS!$C$1472=1,CROQUIS_DATOS!$C$1512&gt;0,((CROQUIS_DATOS!$C$1511+CROQUIS_DATOS!$C$1512))-(CROQUIS_DATOS!$C$1511)&gt;0.5,(CROQUIS_DATOS!$C$1476)-(0)&gt;0.5),(CROQUIS_DATOS!$C$1566+(IF(IF(MOD(MIN(INT(($A11-1)/2)+1,MAX(1,INT(((((CROQUIS_DATOS!$C$1511+CROQUIS_DATOS!$C$1512))-(CROQUIS_DATOS!$C$1511))+((CROQUIS_DATOS!$C$1476)*CROQUIS_DATOS!$C$1561-(0)*CROQUIS_DATOS!$C$1561))/CROQUIS_DATOS!$C$1568-0.000001))),2)=1,IF(INT(($A11-1)/2)+1&gt;MAX(1,INT(((((CROQUIS_DATOS!$C$1511+CROQUIS_DATOS!$C$1512))-(CROQUIS_DATOS!$C$1511))+((CROQUIS_DATOS!$C$1476)*CROQUIS_DATOS!$C$1561-(0)*CROQUIS_DATOS!$C$1561))/CROQUIS_DATOS!$C$1568-0.000001)),1,MOD($A11-1,2)),1-IF(INT(($A11-1)/2)+1&gt;MAX(1,INT(((((CROQUIS_DATOS!$C$1511+CROQUIS_DATOS!$C$1512))-(CROQUIS_DATOS!$C$1511))+((CROQUIS_DATOS!$C$1476)*CROQUIS_DATOS!$C$1561-(0)*CROQUIS_DATOS!$C$1561))/CROQUIS_DATOS!$C$1568-0.000001)),1,MOD($A11-1,2)))=1,MIN((CROQUIS_DATOS!$C$1476)*CROQUIS_DATOS!$C$1561,((CROQUIS_DATOS!$C$1511+CROQUIS_DATOS!$C$1512)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">
        <f>IF(AND(CROQUIS_DATOS!$C$1472=1,CROQUIS_DATOS!$C$1512&gt;0,((CROQUIS_DATOS!$C$1511+CROQUIS_DATOS!$C$1512))-(CROQUIS_DATOS!$C$1511)&gt;0.5,(CROQUIS_DATOS!$C$1476)-(0)&gt;0.5),(CROQUIS_DATOS!$C$1567+(IF(IF(MOD(MIN(INT(($A11-1)/2)+1,MAX(1,INT(((((CROQUIS_DATOS!$C$1511+CROQUIS_DATOS!$C$1512))-(CROQUIS_DATOS!$C$1511))+((CROQUIS_DATOS!$C$1476)*CROQUIS_DATOS!$C$1561-(0)*CROQUIS_DATOS!$C$1561))/CROQUIS_DATOS!$C$1568-0.000001))),2)=1,IF(INT(($A11-1)/2)+1&gt;MAX(1,INT(((((CROQUIS_DATOS!$C$1511+CROQUIS_DATOS!$C$1512))-(CROQUIS_DATOS!$C$1511))+((CROQUIS_DATOS!$C$1476)*CROQUIS_DATOS!$C$1561-(0)*CROQUIS_DATOS!$C$1561))/CROQUIS_DATOS!$C$1568-0.000001)),1,MOD($A11-1,2)),1-IF(INT(($A11-1)/2)+1&gt;MAX(1,INT(((((CROQUIS_DATOS!$C$1511+CROQUIS_DATOS!$C$1512))-(CROQUIS_DATOS!$C$1511))+((CROQUIS_DATOS!$C$1476)*CROQUIS_DATOS!$C$1561-(0)*CROQUIS_DATOS!$C$1561))/CROQUIS_DATOS!$C$1568-0.000001)),1,MOD($A11-1,2)))=1,MIN((CROQUIS_DATOS!$C$1476)*CROQUIS_DATOS!$C$1561,((CROQUIS_DATOS!$C$1511+CROQUIS_DATOS!$C$1512)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">
        <f>IF(AND(CROQUIS_DATOS!$C$1472=1,CROQUIS_DATOS!$C$1516&gt;0,((CROQUIS_DATOS!$C$1515+CROQUIS_DATOS!$C$1516))-(CROQUIS_DATOS!$C$1515)&gt;0.5,(CROQUIS_DATOS!$C$1476)-(0)&gt;0.5),(CROQUIS_DATOS!$C$1566+(IF(IF(MOD(MIN(INT(($A11-1)/2)+1,MAX(1,INT(((((CROQUIS_DATOS!$C$1515+CROQUIS_DATOS!$C$1516))-(CROQUIS_DATOS!$C$1515))+((CROQUIS_DATOS!$C$1476)*CROQUIS_DATOS!$C$1561-(0)*CROQUIS_DATOS!$C$1561))/CROQUIS_DATOS!$C$1568-0.000001))),2)=1,IF(INT(($A11-1)/2)+1&gt;MAX(1,INT(((((CROQUIS_DATOS!$C$1515+CROQUIS_DATOS!$C$1516))-(CROQUIS_DATOS!$C$1515))+((CROQUIS_DATOS!$C$1476)*CROQUIS_DATOS!$C$1561-(0)*CROQUIS_DATOS!$C$1561))/CROQUIS_DATOS!$C$1568-0.000001)),1,MOD($A11-1,2)),1-IF(INT(($A11-1)/2)+1&gt;MAX(1,INT(((((CROQUIS_DATOS!$C$1515+CROQUIS_DATOS!$C$1516))-(CROQUIS_DATOS!$C$1515))+((CROQUIS_DATOS!$C$1476)*CROQUIS_DATOS!$C$1561-(0)*CROQUIS_DATOS!$C$1561))/CROQUIS_DATOS!$C$1568-0.000001)),1,MOD($A11-1,2)))=1,MIN((CROQUIS_DATOS!$C$1476)*CROQUIS_DATOS!$C$1561,((CROQUIS_DATOS!$C$1515+CROQUIS_DATOS!$C$1516)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">
        <f>IF(AND(CROQUIS_DATOS!$C$1472=1,CROQUIS_DATOS!$C$1516&gt;0,((CROQUIS_DATOS!$C$1515+CROQUIS_DATOS!$C$1516))-(CROQUIS_DATOS!$C$1515)&gt;0.5,(CROQUIS_DATOS!$C$1476)-(0)&gt;0.5),(CROQUIS_DATOS!$C$1567+(IF(IF(MOD(MIN(INT(($A11-1)/2)+1,MAX(1,INT(((((CROQUIS_DATOS!$C$1515+CROQUIS_DATOS!$C$1516))-(CROQUIS_DATOS!$C$1515))+((CROQUIS_DATOS!$C$1476)*CROQUIS_DATOS!$C$1561-(0)*CROQUIS_DATOS!$C$1561))/CROQUIS_DATOS!$C$1568-0.000001))),2)=1,IF(INT(($A11-1)/2)+1&gt;MAX(1,INT(((((CROQUIS_DATOS!$C$1515+CROQUIS_DATOS!$C$1516))-(CROQUIS_DATOS!$C$1515))+((CROQUIS_DATOS!$C$1476)*CROQUIS_DATOS!$C$1561-(0)*CROQUIS_DATOS!$C$1561))/CROQUIS_DATOS!$C$1568-0.000001)),1,MOD($A11-1,2)),1-IF(INT(($A11-1)/2)+1&gt;MAX(1,INT(((((CROQUIS_DATOS!$C$1515+CROQUIS_DATOS!$C$1516))-(CROQUIS_DATOS!$C$1515))+((CROQUIS_DATOS!$C$1476)*CROQUIS_DATOS!$C$1561-(0)*CROQUIS_DATOS!$C$1561))/CROQUIS_DATOS!$C$1568-0.000001)),1,MOD($A11-1,2)))=1,MIN((CROQUIS_DATOS!$C$1476)*CROQUIS_DATOS!$C$1561,((CROQUIS_DATOS!$C$1515+CROQUIS_DATOS!$C$1516)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">
        <f>IF(AND(CROQUIS_DATOS!$C$1472=1,CROQUIS_DATOS!$C$1478&gt;=1,((CROQUIS_DATOS!$C$1479+CROQUIS_DATOS!$C$1480))-(CROQUIS_DATOS!$C$1479)&gt;0.5,(CROQUIS_DATOS!$C$1481)-(0)&gt;0.5),(CROQUIS_DATOS!$C$1566+(IF(IF(MOD(MIN(INT(($A11-1)/2)+1,MAX(1,INT(((((CROQUIS_DATOS!$C$1479+CROQUIS_DATOS!$C$1480))-(CROQUIS_DATOS!$C$1479))+((CROQUIS_DATOS!$C$1481)*CROQUIS_DATOS!$C$1561-(0)*CROQUIS_DATOS!$C$1561))/CROQUIS_DATOS!$C$1568-0.000001))),2)=1,IF(INT(($A11-1)/2)+1&gt;MAX(1,INT(((((CROQUIS_DATOS!$C$1479+CROQUIS_DATOS!$C$1480))-(CROQUIS_DATOS!$C$1479))+((CROQUIS_DATOS!$C$1481)*CROQUIS_DATOS!$C$1561-(0)*CROQUIS_DATOS!$C$1561))/CROQUIS_DATOS!$C$1568-0.000001)),1,MOD($A11-1,2)),1-IF(INT(($A11-1)/2)+1&gt;MAX(1,INT(((((CROQUIS_DATOS!$C$1479+CROQUIS_DATOS!$C$1480))-(CROQUIS_DATOS!$C$1479))+((CROQUIS_DATOS!$C$1481)*CROQUIS_DATOS!$C$1561-(0)*CROQUIS_DATOS!$C$1561))/CROQUIS_DATOS!$C$1568-0.000001)),1,MOD($A11-1,2)))=1,MIN((CROQUIS_DATOS!$C$1481)*CROQUIS_DATOS!$C$1561,((CROQUIS_DATOS!$C$1479+CROQUIS_DATOS!$C$1480)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">
        <f>IF(AND(CROQUIS_DATOS!$C$1472=1,CROQUIS_DATOS!$C$1478&gt;=1,((CROQUIS_DATOS!$C$1479+CROQUIS_DATOS!$C$1480))-(CROQUIS_DATOS!$C$1479)&gt;0.5,(CROQUIS_DATOS!$C$1481)-(0)&gt;0.5),(CROQUIS_DATOS!$C$1567+(IF(IF(MOD(MIN(INT(($A11-1)/2)+1,MAX(1,INT(((((CROQUIS_DATOS!$C$1479+CROQUIS_DATOS!$C$1480))-(CROQUIS_DATOS!$C$1479))+((CROQUIS_DATOS!$C$1481)*CROQUIS_DATOS!$C$1561-(0)*CROQUIS_DATOS!$C$1561))/CROQUIS_DATOS!$C$1568-0.000001))),2)=1,IF(INT(($A11-1)/2)+1&gt;MAX(1,INT(((((CROQUIS_DATOS!$C$1479+CROQUIS_DATOS!$C$1480))-(CROQUIS_DATOS!$C$1479))+((CROQUIS_DATOS!$C$1481)*CROQUIS_DATOS!$C$1561-(0)*CROQUIS_DATOS!$C$1561))/CROQUIS_DATOS!$C$1568-0.000001)),1,MOD($A11-1,2)),1-IF(INT(($A11-1)/2)+1&gt;MAX(1,INT(((((CROQUIS_DATOS!$C$1479+CROQUIS_DATOS!$C$1480))-(CROQUIS_DATOS!$C$1479))+((CROQUIS_DATOS!$C$1481)*CROQUIS_DATOS!$C$1561-(0)*CROQUIS_DATOS!$C$1561))/CROQUIS_DATOS!$C$1568-0.000001)),1,MOD($A11-1,2)))=1,MIN((CROQUIS_DATOS!$C$1481)*CROQUIS_DATOS!$C$1561,((CROQUIS_DATOS!$C$1479+CROQUIS_DATOS!$C$1480)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">
        <f>IF(AND(CROQUIS_DATOS!$C$1472=1,CROQUIS_DATOS!$C$1478&gt;=1,((CROQUIS_DATOS!$C$1479+CROQUIS_DATOS!$C$1480))-(CROQUIS_DATOS!$C$1479)&gt;0.5,(CROQUIS_DATOS!$C$1476)-((CROQUIS_DATOS!$C$1481+CROQUIS_DATOS!$C$1482))&gt;0.5),(CROQUIS_DATOS!$C$1566+(IF(IF(MOD(MIN(INT(($A11-1)/2)+1,MAX(1,INT(((((CROQUIS_DATOS!$C$1479+CROQUIS_DATOS!$C$1480))-(CROQUIS_DATOS!$C$1479))+((CROQUIS_DATOS!$C$1476)*CROQUIS_DATOS!$C$1561-((CROQUIS_DATOS!$C$1481+CROQUIS_DATOS!$C$1482))*CROQUIS_DATOS!$C$1561))/CROQUIS_DATOS!$C$1568-0.000001))),2)=1,IF(INT(($A11-1)/2)+1&gt;MAX(1,INT(((((CROQUIS_DATOS!$C$1479+CROQUIS_DATOS!$C$1480))-(CROQUIS_DATOS!$C$1479))+((CROQUIS_DATOS!$C$1476)*CROQUIS_DATOS!$C$1561-((CROQUIS_DATOS!$C$1481+CROQUIS_DATOS!$C$1482))*CROQUIS_DATOS!$C$1561))/CROQUIS_DATOS!$C$1568-0.000001)),1,MOD($A11-1,2)),1-IF(INT(($A11-1)/2)+1&gt;MAX(1,INT(((((CROQUIS_DATOS!$C$1479+CROQUIS_DATOS!$C$1480))-(CROQUIS_DATOS!$C$1479))+((CROQUIS_DATOS!$C$1476)*CROQUIS_DATOS!$C$1561-((CROQUIS_DATOS!$C$1481+CROQUIS_DATOS!$C$1482))*CROQUIS_DATOS!$C$1561))/CROQUIS_DATOS!$C$1568-0.000001)),1,MOD($A11-1,2)))=1,MIN((CROQUIS_DATOS!$C$1476)*CROQUIS_DATOS!$C$1561,((CROQUIS_DATOS!$C$1479+CROQUIS_DATOS!$C$1480)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28.551724137931</v>
      </c>
      <c r="CM11">
        <f>IF(AND(CROQUIS_DATOS!$C$1472=1,CROQUIS_DATOS!$C$1478&gt;=1,((CROQUIS_DATOS!$C$1479+CROQUIS_DATOS!$C$1480))-(CROQUIS_DATOS!$C$1479)&gt;0.5,(CROQUIS_DATOS!$C$1476)-((CROQUIS_DATOS!$C$1481+CROQUIS_DATOS!$C$1482))&gt;0.5),(CROQUIS_DATOS!$C$1567+(IF(IF(MOD(MIN(INT(($A11-1)/2)+1,MAX(1,INT(((((CROQUIS_DATOS!$C$1479+CROQUIS_DATOS!$C$1480))-(CROQUIS_DATOS!$C$1479))+((CROQUIS_DATOS!$C$1476)*CROQUIS_DATOS!$C$1561-((CROQUIS_DATOS!$C$1481+CROQUIS_DATOS!$C$1482))*CROQUIS_DATOS!$C$1561))/CROQUIS_DATOS!$C$1568-0.000001))),2)=1,IF(INT(($A11-1)/2)+1&gt;MAX(1,INT(((((CROQUIS_DATOS!$C$1479+CROQUIS_DATOS!$C$1480))-(CROQUIS_DATOS!$C$1479))+((CROQUIS_DATOS!$C$1476)*CROQUIS_DATOS!$C$1561-((CROQUIS_DATOS!$C$1481+CROQUIS_DATOS!$C$1482))*CROQUIS_DATOS!$C$1561))/CROQUIS_DATOS!$C$1568-0.000001)),1,MOD($A11-1,2)),1-IF(INT(($A11-1)/2)+1&gt;MAX(1,INT(((((CROQUIS_DATOS!$C$1479+CROQUIS_DATOS!$C$1480))-(CROQUIS_DATOS!$C$1479))+((CROQUIS_DATOS!$C$1476)*CROQUIS_DATOS!$C$1561-((CROQUIS_DATOS!$C$1481+CROQUIS_DATOS!$C$1482))*CROQUIS_DATOS!$C$1561))/CROQUIS_DATOS!$C$1568-0.000001)),1,MOD($A11-1,2)))=1,MIN((CROQUIS_DATOS!$C$1476)*CROQUIS_DATOS!$C$1561,((CROQUIS_DATOS!$C$1479+CROQUIS_DATOS!$C$1480)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35.6620689655172</v>
      </c>
      <c r="CN11">
        <f>IF(AND(CROQUIS_DATOS!$C$1472=1,CROQUIS_DATOS!$C$1478&gt;=1),CHOOSE(MIN(MAX($A11,1)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28.551724137931</v>
      </c>
      <c r="CO11">
        <f>IF(AND(CROQUIS_DATOS!$C$1472=1,CROQUIS_DATOS!$C$1478&gt;=1),CHOOSE(MIN(MAX($A11,1)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34.5862068965517</v>
      </c>
      <c r="CR11">
        <f>IF(AND(CROQUIS_DATOS!$C$1472=1,CROQUIS_DATOS!$C$1478&gt;=2,((CROQUIS_DATOS!$C$1484+CROQUIS_DATOS!$C$1485))-(CROQUIS_DATOS!$C$1484)&gt;0.5,(CROQUIS_DATOS!$C$1486)-(0)&gt;0.5),(CROQUIS_DATOS!$C$1566+(IF(IF(MOD(MIN(INT(($A11-1)/2)+1,MAX(1,INT(((((CROQUIS_DATOS!$C$1484+CROQUIS_DATOS!$C$1485))-(CROQUIS_DATOS!$C$1484))+((CROQUIS_DATOS!$C$1486)*CROQUIS_DATOS!$C$1561-(0)*CROQUIS_DATOS!$C$1561))/CROQUIS_DATOS!$C$1568-0.000001))),2)=1,IF(INT(($A11-1)/2)+1&gt;MAX(1,INT(((((CROQUIS_DATOS!$C$1484+CROQUIS_DATOS!$C$1485))-(CROQUIS_DATOS!$C$1484))+((CROQUIS_DATOS!$C$1486)*CROQUIS_DATOS!$C$1561-(0)*CROQUIS_DATOS!$C$1561))/CROQUIS_DATOS!$C$1568-0.000001)),1,MOD($A11-1,2)),1-IF(INT(($A11-1)/2)+1&gt;MAX(1,INT(((((CROQUIS_DATOS!$C$1484+CROQUIS_DATOS!$C$1485))-(CROQUIS_DATOS!$C$1484))+((CROQUIS_DATOS!$C$1486)*CROQUIS_DATOS!$C$1561-(0)*CROQUIS_DATOS!$C$1561))/CROQUIS_DATOS!$C$1568-0.000001)),1,MOD($A11-1,2)))=1,MIN((CROQUIS_DATOS!$C$1486)*CROQUIS_DATOS!$C$1561,((CROQUIS_DATOS!$C$1484+CROQUIS_DATOS!$C$1485)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*CROQUIS_DATOS!$C$1565),-1000)</f>
        <v>48.8620689655172</v>
      </c>
      <c r="CS11">
        <f>IF(AND(CROQUIS_DATOS!$C$1472=1,CROQUIS_DATOS!$C$1478&gt;=2,((CROQUIS_DATOS!$C$1484+CROQUIS_DATOS!$C$1485))-(CROQUIS_DATOS!$C$1484)&gt;0.5,(CROQUIS_DATOS!$C$1486)-(0)&gt;0.5),(CROQUIS_DATOS!$C$1567+(IF(IF(MOD(MIN(INT(($A11-1)/2)+1,MAX(1,INT(((((CROQUIS_DATOS!$C$1484+CROQUIS_DATOS!$C$1485))-(CROQUIS_DATOS!$C$1484))+((CROQUIS_DATOS!$C$1486)*CROQUIS_DATOS!$C$1561-(0)*CROQUIS_DATOS!$C$1561))/CROQUIS_DATOS!$C$1568-0.000001))),2)=1,IF(INT(($A11-1)/2)+1&gt;MAX(1,INT(((((CROQUIS_DATOS!$C$1484+CROQUIS_DATOS!$C$1485))-(CROQUIS_DATOS!$C$1484))+((CROQUIS_DATOS!$C$1486)*CROQUIS_DATOS!$C$1561-(0)*CROQUIS_DATOS!$C$1561))/CROQUIS_DATOS!$C$1568-0.000001)),1,MOD($A11-1,2)),1-IF(INT(($A11-1)/2)+1&gt;MAX(1,INT(((((CROQUIS_DATOS!$C$1484+CROQUIS_DATOS!$C$1485))-(CROQUIS_DATOS!$C$1484))+((CROQUIS_DATOS!$C$1486)*CROQUIS_DATOS!$C$1561-(0)*CROQUIS_DATOS!$C$1561))/CROQUIS_DATOS!$C$1568-0.000001)),1,MOD($A11-1,2)))=1,MIN((CROQUIS_DATOS!$C$1486)*CROQUIS_DATOS!$C$1561,((CROQUIS_DATOS!$C$1484+CROQUIS_DATOS!$C$1485)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11-1)/2)+1,MAX(1,INT(((((CROQUIS_DATOS!$C$1484+CROQUIS_DATOS!$C$1485))-(CROQUIS_DATOS!$C$1484))+((CROQUIS_DATOS!$C$1486)*CROQUIS_DATOS!$C$1561-(0)*CROQUIS_DATOS!$C$1561))/CROQUIS_DATOS!$C$1568-0.000001)))*CROQUIS_DATOS!$C$1568))))*CROQUIS_DATOS!$C$1565),-1000)</f>
        <v>18.5586206896552</v>
      </c>
      <c r="CT11">
        <f>IF(AND(CROQUIS_DATOS!$C$1472=1,CROQUIS_DATOS!$C$1478&gt;=2,((CROQUIS_DATOS!$C$1484+CROQUIS_DATOS!$C$1485))-(CROQUIS_DATOS!$C$1484)&gt;0.5,(CROQUIS_DATOS!$C$1476)-((CROQUIS_DATOS!$C$1486+CROQUIS_DATOS!$C$1487))&gt;0.5),(CROQUIS_DATOS!$C$1566+(IF(IF(MOD(MIN(INT(($A11-1)/2)+1,MAX(1,INT(((((CROQUIS_DATOS!$C$1484+CROQUIS_DATOS!$C$1485))-(CROQUIS_DATOS!$C$1484))+((CROQUIS_DATOS!$C$1476)*CROQUIS_DATOS!$C$1561-((CROQUIS_DATOS!$C$1486+CROQUIS_DATOS!$C$1487))*CROQUIS_DATOS!$C$1561))/CROQUIS_DATOS!$C$1568-0.000001))),2)=1,IF(INT(($A11-1)/2)+1&gt;MAX(1,INT(((((CROQUIS_DATOS!$C$1484+CROQUIS_DATOS!$C$1485))-(CROQUIS_DATOS!$C$1484))+((CROQUIS_DATOS!$C$1476)*CROQUIS_DATOS!$C$1561-((CROQUIS_DATOS!$C$1486+CROQUIS_DATOS!$C$1487))*CROQUIS_DATOS!$C$1561))/CROQUIS_DATOS!$C$1568-0.000001)),1,MOD($A11-1,2)),1-IF(INT(($A11-1)/2)+1&gt;MAX(1,INT(((((CROQUIS_DATOS!$C$1484+CROQUIS_DATOS!$C$1485))-(CROQUIS_DATOS!$C$1484))+((CROQUIS_DATOS!$C$1476)*CROQUIS_DATOS!$C$1561-((CROQUIS_DATOS!$C$1486+CROQUIS_DATOS!$C$1487))*CROQUIS_DATOS!$C$1561))/CROQUIS_DATOS!$C$1568-0.000001)),1,MOD($A11-1,2)))=1,MIN((CROQUIS_DATOS!$C$1476)*CROQUIS_DATOS!$C$1561,((CROQUIS_DATOS!$C$1484+CROQUIS_DATOS!$C$1485)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48.8620689655172</v>
      </c>
      <c r="CU11">
        <f>IF(AND(CROQUIS_DATOS!$C$1472=1,CROQUIS_DATOS!$C$1478&gt;=2,((CROQUIS_DATOS!$C$1484+CROQUIS_DATOS!$C$1485))-(CROQUIS_DATOS!$C$1484)&gt;0.5,(CROQUIS_DATOS!$C$1476)-((CROQUIS_DATOS!$C$1486+CROQUIS_DATOS!$C$1487))&gt;0.5),(CROQUIS_DATOS!$C$1567+(IF(IF(MOD(MIN(INT(($A11-1)/2)+1,MAX(1,INT(((((CROQUIS_DATOS!$C$1484+CROQUIS_DATOS!$C$1485))-(CROQUIS_DATOS!$C$1484))+((CROQUIS_DATOS!$C$1476)*CROQUIS_DATOS!$C$1561-((CROQUIS_DATOS!$C$1486+CROQUIS_DATOS!$C$1487))*CROQUIS_DATOS!$C$1561))/CROQUIS_DATOS!$C$1568-0.000001))),2)=1,IF(INT(($A11-1)/2)+1&gt;MAX(1,INT(((((CROQUIS_DATOS!$C$1484+CROQUIS_DATOS!$C$1485))-(CROQUIS_DATOS!$C$1484))+((CROQUIS_DATOS!$C$1476)*CROQUIS_DATOS!$C$1561-((CROQUIS_DATOS!$C$1486+CROQUIS_DATOS!$C$1487))*CROQUIS_DATOS!$C$1561))/CROQUIS_DATOS!$C$1568-0.000001)),1,MOD($A11-1,2)),1-IF(INT(($A11-1)/2)+1&gt;MAX(1,INT(((((CROQUIS_DATOS!$C$1484+CROQUIS_DATOS!$C$1485))-(CROQUIS_DATOS!$C$1484))+((CROQUIS_DATOS!$C$1476)*CROQUIS_DATOS!$C$1561-((CROQUIS_DATOS!$C$1486+CROQUIS_DATOS!$C$1487))*CROQUIS_DATOS!$C$1561))/CROQUIS_DATOS!$C$1568-0.000001)),1,MOD($A11-1,2)))=1,MIN((CROQUIS_DATOS!$C$1476)*CROQUIS_DATOS!$C$1561,((CROQUIS_DATOS!$C$1484+CROQUIS_DATOS!$C$1485)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35.6620689655172</v>
      </c>
      <c r="CV11">
        <f>IF(AND(CROQUIS_DATOS!$C$1472=1,CROQUIS_DATOS!$C$1478&gt;=2),CHOOSE(MIN(MAX($A11,1)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48.8620689655172</v>
      </c>
      <c r="CW11">
        <f>IF(AND(CROQUIS_DATOS!$C$1472=1,CROQUIS_DATOS!$C$1478&gt;=2),CHOOSE(MIN(MAX($A11,1)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34.5862068965517</v>
      </c>
      <c r="CZ11">
        <f>IF(AND(CROQUIS_DATOS!$C$1472=1,CROQUIS_DATOS!$C$1478&gt;=3,((CROQUIS_DATOS!$C$1489+CROQUIS_DATOS!$C$1490))-(CROQUIS_DATOS!$C$1489)&gt;0.5,(CROQUIS_DATOS!$C$1491)-(0)&gt;0.5),(CROQUIS_DATOS!$C$1566+(IF(IF(MOD(MIN(INT(($A11-1)/2)+1,MAX(1,INT(((((CROQUIS_DATOS!$C$1489+CROQUIS_DATOS!$C$1490))-(CROQUIS_DATOS!$C$1489))+((CROQUIS_DATOS!$C$1491)*CROQUIS_DATOS!$C$1561-(0)*CROQUIS_DATOS!$C$1561))/CROQUIS_DATOS!$C$1568-0.000001))),2)=1,IF(INT(($A11-1)/2)+1&gt;MAX(1,INT(((((CROQUIS_DATOS!$C$1489+CROQUIS_DATOS!$C$1490))-(CROQUIS_DATOS!$C$1489))+((CROQUIS_DATOS!$C$1491)*CROQUIS_DATOS!$C$1561-(0)*CROQUIS_DATOS!$C$1561))/CROQUIS_DATOS!$C$1568-0.000001)),1,MOD($A11-1,2)),1-IF(INT(($A11-1)/2)+1&gt;MAX(1,INT(((((CROQUIS_DATOS!$C$1489+CROQUIS_DATOS!$C$1490))-(CROQUIS_DATOS!$C$1489))+((CROQUIS_DATOS!$C$1491)*CROQUIS_DATOS!$C$1561-(0)*CROQUIS_DATOS!$C$1561))/CROQUIS_DATOS!$C$1568-0.000001)),1,MOD($A11-1,2)))=1,MIN((CROQUIS_DATOS!$C$1491)*CROQUIS_DATOS!$C$1561,((CROQUIS_DATOS!$C$1489+CROQUIS_DATOS!$C$1490)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">
        <f>IF(AND(CROQUIS_DATOS!$C$1472=1,CROQUIS_DATOS!$C$1478&gt;=3,((CROQUIS_DATOS!$C$1489+CROQUIS_DATOS!$C$1490))-(CROQUIS_DATOS!$C$1489)&gt;0.5,(CROQUIS_DATOS!$C$1491)-(0)&gt;0.5),(CROQUIS_DATOS!$C$1567+(IF(IF(MOD(MIN(INT(($A11-1)/2)+1,MAX(1,INT(((((CROQUIS_DATOS!$C$1489+CROQUIS_DATOS!$C$1490))-(CROQUIS_DATOS!$C$1489))+((CROQUIS_DATOS!$C$1491)*CROQUIS_DATOS!$C$1561-(0)*CROQUIS_DATOS!$C$1561))/CROQUIS_DATOS!$C$1568-0.000001))),2)=1,IF(INT(($A11-1)/2)+1&gt;MAX(1,INT(((((CROQUIS_DATOS!$C$1489+CROQUIS_DATOS!$C$1490))-(CROQUIS_DATOS!$C$1489))+((CROQUIS_DATOS!$C$1491)*CROQUIS_DATOS!$C$1561-(0)*CROQUIS_DATOS!$C$1561))/CROQUIS_DATOS!$C$1568-0.000001)),1,MOD($A11-1,2)),1-IF(INT(($A11-1)/2)+1&gt;MAX(1,INT(((((CROQUIS_DATOS!$C$1489+CROQUIS_DATOS!$C$1490))-(CROQUIS_DATOS!$C$1489))+((CROQUIS_DATOS!$C$1491)*CROQUIS_DATOS!$C$1561-(0)*CROQUIS_DATOS!$C$1561))/CROQUIS_DATOS!$C$1568-0.000001)),1,MOD($A11-1,2)))=1,MIN((CROQUIS_DATOS!$C$1491)*CROQUIS_DATOS!$C$1561,((CROQUIS_DATOS!$C$1489+CROQUIS_DATOS!$C$1490)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">
        <f>IF(AND(CROQUIS_DATOS!$C$1472=1,CROQUIS_DATOS!$C$1478&gt;=3,((CROQUIS_DATOS!$C$1489+CROQUIS_DATOS!$C$1490))-(CROQUIS_DATOS!$C$1489)&gt;0.5,(CROQUIS_DATOS!$C$1476)-((CROQUIS_DATOS!$C$1491+CROQUIS_DATOS!$C$1492))&gt;0.5),(CROQUIS_DATOS!$C$1566+(IF(IF(MOD(MIN(INT(($A11-1)/2)+1,MAX(1,INT(((((CROQUIS_DATOS!$C$1489+CROQUIS_DATOS!$C$1490))-(CROQUIS_DATOS!$C$1489))+((CROQUIS_DATOS!$C$1476)*CROQUIS_DATOS!$C$1561-((CROQUIS_DATOS!$C$1491+CROQUIS_DATOS!$C$1492))*CROQUIS_DATOS!$C$1561))/CROQUIS_DATOS!$C$1568-0.000001))),2)=1,IF(INT(($A11-1)/2)+1&gt;MAX(1,INT(((((CROQUIS_DATOS!$C$1489+CROQUIS_DATOS!$C$1490))-(CROQUIS_DATOS!$C$1489))+((CROQUIS_DATOS!$C$1476)*CROQUIS_DATOS!$C$1561-((CROQUIS_DATOS!$C$1491+CROQUIS_DATOS!$C$1492))*CROQUIS_DATOS!$C$1561))/CROQUIS_DATOS!$C$1568-0.000001)),1,MOD($A11-1,2)),1-IF(INT(($A11-1)/2)+1&gt;MAX(1,INT(((((CROQUIS_DATOS!$C$1489+CROQUIS_DATOS!$C$1490))-(CROQUIS_DATOS!$C$1489))+((CROQUIS_DATOS!$C$1476)*CROQUIS_DATOS!$C$1561-((CROQUIS_DATOS!$C$1491+CROQUIS_DATOS!$C$1492))*CROQUIS_DATOS!$C$1561))/CROQUIS_DATOS!$C$1568-0.000001)),1,MOD($A11-1,2)))=1,MIN((CROQUIS_DATOS!$C$1476)*CROQUIS_DATOS!$C$1561,((CROQUIS_DATOS!$C$1489+CROQUIS_DATOS!$C$1490)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">
        <f>IF(AND(CROQUIS_DATOS!$C$1472=1,CROQUIS_DATOS!$C$1478&gt;=3,((CROQUIS_DATOS!$C$1489+CROQUIS_DATOS!$C$1490))-(CROQUIS_DATOS!$C$1489)&gt;0.5,(CROQUIS_DATOS!$C$1476)-((CROQUIS_DATOS!$C$1491+CROQUIS_DATOS!$C$1492))&gt;0.5),(CROQUIS_DATOS!$C$1567+(IF(IF(MOD(MIN(INT(($A11-1)/2)+1,MAX(1,INT(((((CROQUIS_DATOS!$C$1489+CROQUIS_DATOS!$C$1490))-(CROQUIS_DATOS!$C$1489))+((CROQUIS_DATOS!$C$1476)*CROQUIS_DATOS!$C$1561-((CROQUIS_DATOS!$C$1491+CROQUIS_DATOS!$C$1492))*CROQUIS_DATOS!$C$1561))/CROQUIS_DATOS!$C$1568-0.000001))),2)=1,IF(INT(($A11-1)/2)+1&gt;MAX(1,INT(((((CROQUIS_DATOS!$C$1489+CROQUIS_DATOS!$C$1490))-(CROQUIS_DATOS!$C$1489))+((CROQUIS_DATOS!$C$1476)*CROQUIS_DATOS!$C$1561-((CROQUIS_DATOS!$C$1491+CROQUIS_DATOS!$C$1492))*CROQUIS_DATOS!$C$1561))/CROQUIS_DATOS!$C$1568-0.000001)),1,MOD($A11-1,2)),1-IF(INT(($A11-1)/2)+1&gt;MAX(1,INT(((((CROQUIS_DATOS!$C$1489+CROQUIS_DATOS!$C$1490))-(CROQUIS_DATOS!$C$1489))+((CROQUIS_DATOS!$C$1476)*CROQUIS_DATOS!$C$1561-((CROQUIS_DATOS!$C$1491+CROQUIS_DATOS!$C$1492))*CROQUIS_DATOS!$C$1561))/CROQUIS_DATOS!$C$1568-0.000001)),1,MOD($A11-1,2)))=1,MIN((CROQUIS_DATOS!$C$1476)*CROQUIS_DATOS!$C$1561,((CROQUIS_DATOS!$C$1489+CROQUIS_DATOS!$C$1490)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11">
        <f>IF(AND(CROQUIS_DATOS!$C$1472=1,CROQUIS_DATOS!$C$1478&gt;=3),CHOOSE(MIN(MAX($A11,1)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11">
        <f>IF(AND(CROQUIS_DATOS!$C$1472=1,CROQUIS_DATOS!$C$1478&gt;=3),CHOOSE(MIN(MAX($A11,1)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11">
        <f>IF(AND(CROQUIS_DATOS!$C$1472=1,CROQUIS_DATOS!$C$1478&gt;=4,((CROQUIS_DATOS!$C$1494+CROQUIS_DATOS!$C$1495))-(CROQUIS_DATOS!$C$1494)&gt;0.5,(CROQUIS_DATOS!$C$1496)-(0)&gt;0.5),(CROQUIS_DATOS!$C$1566+(IF(IF(MOD(MIN(INT(($A11-1)/2)+1,MAX(1,INT(((((CROQUIS_DATOS!$C$1494+CROQUIS_DATOS!$C$1495))-(CROQUIS_DATOS!$C$1494))+((CROQUIS_DATOS!$C$1496)*CROQUIS_DATOS!$C$1561-(0)*CROQUIS_DATOS!$C$1561))/CROQUIS_DATOS!$C$1568-0.000001))),2)=1,IF(INT(($A11-1)/2)+1&gt;MAX(1,INT(((((CROQUIS_DATOS!$C$1494+CROQUIS_DATOS!$C$1495))-(CROQUIS_DATOS!$C$1494))+((CROQUIS_DATOS!$C$1496)*CROQUIS_DATOS!$C$1561-(0)*CROQUIS_DATOS!$C$1561))/CROQUIS_DATOS!$C$1568-0.000001)),1,MOD($A11-1,2)),1-IF(INT(($A11-1)/2)+1&gt;MAX(1,INT(((((CROQUIS_DATOS!$C$1494+CROQUIS_DATOS!$C$1495))-(CROQUIS_DATOS!$C$1494))+((CROQUIS_DATOS!$C$1496)*CROQUIS_DATOS!$C$1561-(0)*CROQUIS_DATOS!$C$1561))/CROQUIS_DATOS!$C$1568-0.000001)),1,MOD($A11-1,2)))=1,MIN((CROQUIS_DATOS!$C$1496)*CROQUIS_DATOS!$C$1561,((CROQUIS_DATOS!$C$1494+CROQUIS_DATOS!$C$1495)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">
        <f>IF(AND(CROQUIS_DATOS!$C$1472=1,CROQUIS_DATOS!$C$1478&gt;=4,((CROQUIS_DATOS!$C$1494+CROQUIS_DATOS!$C$1495))-(CROQUIS_DATOS!$C$1494)&gt;0.5,(CROQUIS_DATOS!$C$1496)-(0)&gt;0.5),(CROQUIS_DATOS!$C$1567+(IF(IF(MOD(MIN(INT(($A11-1)/2)+1,MAX(1,INT(((((CROQUIS_DATOS!$C$1494+CROQUIS_DATOS!$C$1495))-(CROQUIS_DATOS!$C$1494))+((CROQUIS_DATOS!$C$1496)*CROQUIS_DATOS!$C$1561-(0)*CROQUIS_DATOS!$C$1561))/CROQUIS_DATOS!$C$1568-0.000001))),2)=1,IF(INT(($A11-1)/2)+1&gt;MAX(1,INT(((((CROQUIS_DATOS!$C$1494+CROQUIS_DATOS!$C$1495))-(CROQUIS_DATOS!$C$1494))+((CROQUIS_DATOS!$C$1496)*CROQUIS_DATOS!$C$1561-(0)*CROQUIS_DATOS!$C$1561))/CROQUIS_DATOS!$C$1568-0.000001)),1,MOD($A11-1,2)),1-IF(INT(($A11-1)/2)+1&gt;MAX(1,INT(((((CROQUIS_DATOS!$C$1494+CROQUIS_DATOS!$C$1495))-(CROQUIS_DATOS!$C$1494))+((CROQUIS_DATOS!$C$1496)*CROQUIS_DATOS!$C$1561-(0)*CROQUIS_DATOS!$C$1561))/CROQUIS_DATOS!$C$1568-0.000001)),1,MOD($A11-1,2)))=1,MIN((CROQUIS_DATOS!$C$1496)*CROQUIS_DATOS!$C$1561,((CROQUIS_DATOS!$C$1494+CROQUIS_DATOS!$C$1495)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">
        <f>IF(AND(CROQUIS_DATOS!$C$1472=1,CROQUIS_DATOS!$C$1478&gt;=4,((CROQUIS_DATOS!$C$1494+CROQUIS_DATOS!$C$1495))-(CROQUIS_DATOS!$C$1494)&gt;0.5,(CROQUIS_DATOS!$C$1476)-((CROQUIS_DATOS!$C$1496+CROQUIS_DATOS!$C$1497))&gt;0.5),(CROQUIS_DATOS!$C$1566+(IF(IF(MOD(MIN(INT(($A11-1)/2)+1,MAX(1,INT(((((CROQUIS_DATOS!$C$1494+CROQUIS_DATOS!$C$1495))-(CROQUIS_DATOS!$C$1494))+((CROQUIS_DATOS!$C$1476)*CROQUIS_DATOS!$C$1561-((CROQUIS_DATOS!$C$1496+CROQUIS_DATOS!$C$1497))*CROQUIS_DATOS!$C$1561))/CROQUIS_DATOS!$C$1568-0.000001))),2)=1,IF(INT(($A11-1)/2)+1&gt;MAX(1,INT(((((CROQUIS_DATOS!$C$1494+CROQUIS_DATOS!$C$1495))-(CROQUIS_DATOS!$C$1494))+((CROQUIS_DATOS!$C$1476)*CROQUIS_DATOS!$C$1561-((CROQUIS_DATOS!$C$1496+CROQUIS_DATOS!$C$1497))*CROQUIS_DATOS!$C$1561))/CROQUIS_DATOS!$C$1568-0.000001)),1,MOD($A11-1,2)),1-IF(INT(($A11-1)/2)+1&gt;MAX(1,INT(((((CROQUIS_DATOS!$C$1494+CROQUIS_DATOS!$C$1495))-(CROQUIS_DATOS!$C$1494))+((CROQUIS_DATOS!$C$1476)*CROQUIS_DATOS!$C$1561-((CROQUIS_DATOS!$C$1496+CROQUIS_DATOS!$C$1497))*CROQUIS_DATOS!$C$1561))/CROQUIS_DATOS!$C$1568-0.000001)),1,MOD($A11-1,2)))=1,MIN((CROQUIS_DATOS!$C$1476)*CROQUIS_DATOS!$C$1561,((CROQUIS_DATOS!$C$1494+CROQUIS_DATOS!$C$1495)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">
        <f>IF(AND(CROQUIS_DATOS!$C$1472=1,CROQUIS_DATOS!$C$1478&gt;=4,((CROQUIS_DATOS!$C$1494+CROQUIS_DATOS!$C$1495))-(CROQUIS_DATOS!$C$1494)&gt;0.5,(CROQUIS_DATOS!$C$1476)-((CROQUIS_DATOS!$C$1496+CROQUIS_DATOS!$C$1497))&gt;0.5),(CROQUIS_DATOS!$C$1567+(IF(IF(MOD(MIN(INT(($A11-1)/2)+1,MAX(1,INT(((((CROQUIS_DATOS!$C$1494+CROQUIS_DATOS!$C$1495))-(CROQUIS_DATOS!$C$1494))+((CROQUIS_DATOS!$C$1476)*CROQUIS_DATOS!$C$1561-((CROQUIS_DATOS!$C$1496+CROQUIS_DATOS!$C$1497))*CROQUIS_DATOS!$C$1561))/CROQUIS_DATOS!$C$1568-0.000001))),2)=1,IF(INT(($A11-1)/2)+1&gt;MAX(1,INT(((((CROQUIS_DATOS!$C$1494+CROQUIS_DATOS!$C$1495))-(CROQUIS_DATOS!$C$1494))+((CROQUIS_DATOS!$C$1476)*CROQUIS_DATOS!$C$1561-((CROQUIS_DATOS!$C$1496+CROQUIS_DATOS!$C$1497))*CROQUIS_DATOS!$C$1561))/CROQUIS_DATOS!$C$1568-0.000001)),1,MOD($A11-1,2)),1-IF(INT(($A11-1)/2)+1&gt;MAX(1,INT(((((CROQUIS_DATOS!$C$1494+CROQUIS_DATOS!$C$1495))-(CROQUIS_DATOS!$C$1494))+((CROQUIS_DATOS!$C$1476)*CROQUIS_DATOS!$C$1561-((CROQUIS_DATOS!$C$1496+CROQUIS_DATOS!$C$1497))*CROQUIS_DATOS!$C$1561))/CROQUIS_DATOS!$C$1568-0.000001)),1,MOD($A11-1,2)))=1,MIN((CROQUIS_DATOS!$C$1476)*CROQUIS_DATOS!$C$1561,((CROQUIS_DATOS!$C$1494+CROQUIS_DATOS!$C$1495)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11">
        <f>IF(AND(CROQUIS_DATOS!$C$1472=1,CROQUIS_DATOS!$C$1478&gt;=4),CHOOSE(MIN(MAX($A11,1)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11">
        <f>IF(AND(CROQUIS_DATOS!$C$1472=1,CROQUIS_DATOS!$C$1478&gt;=4),CHOOSE(MIN(MAX($A11,1)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11">
        <f>IF(AND(CROQUIS_DATOS!$C$1472=1,CROQUIS_DATOS!$C$1500&gt;0.5,CROQUIS_DATOS!$C$1478&gt;0),CHOOSE(MIN(MAX($A11,1)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26.4137931034483</v>
      </c>
      <c r="DQ11">
        <f>IF(AND(CROQUIS_DATOS!$C$1472=1,CROQUIS_DATOS!$C$1500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R11">
        <f>IF(AND(CROQUIS_DATOS!$C$1472=1,CROQUIS_DATOS!$C$1478&gt;=1),CHOOSE(MIN(MAX($A11,1)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33.3620689655172</v>
      </c>
      <c r="DS11">
        <f>IF(AND(CROQUIS_DATOS!$C$1472=1,CROQUIS_DATOS!$C$1478&gt;=1)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T11">
        <f>IF(AND(CROQUIS_DATOS!$C$1472=1,CROQUIS_DATOS!$C$1504&gt;0.5,CROQUIS_DATOS!$C$1478&gt;0),CHOOSE(MIN(MAX($A11,1)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43.5172413793103</v>
      </c>
      <c r="DU11">
        <f>IF(AND(CROQUIS_DATOS!$C$1472=1,CROQUIS_DATOS!$C$1504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V11">
        <f>IF(AND(CROQUIS_DATOS!$C$1472=1,CROQUIS_DATOS!$C$1478&gt;=2),CHOOSE(MIN(MAX($A11,1)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56.8793103448276</v>
      </c>
      <c r="DW11">
        <f>IF(AND(CROQUIS_DATOS!$C$1472=1,CROQUIS_DATOS!$C$1478&gt;=2)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X11">
        <f>IF(AND(CROQUIS_DATOS!$C$1472=1,CROQUIS_DATOS!$C$1508&gt;0.5,CROQUIS_DATOS!$C$1478&gt;0),CHOOSE(MIN(MAX($A11,1)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71.3103448275862</v>
      </c>
      <c r="DY11">
        <f>IF(AND(CROQUIS_DATOS!$C$1472=1,CROQUIS_DATOS!$C$1508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Z11">
        <f>IF(AND(CROQUIS_DATOS!$C$1472=1,CROQUIS_DATOS!$C$1478&gt;=3),CHOOSE(MIN(MAX($A11,1)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1">
        <f>IF(AND(CROQUIS_DATOS!$C$1472=1,CROQUIS_DATOS!$C$1478&gt;=3)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1">
        <f>IF(AND(CROQUIS_DATOS!$C$1472=1,CROQUIS_DATOS!$C$1512&gt;0.5,CROQUIS_DATOS!$C$1478&gt;0),CHOOSE(MIN(MAX($A11,1)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1">
        <f>IF(AND(CROQUIS_DATOS!$C$1472=1,CROQUIS_DATOS!$C$1512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1">
        <f>IF(AND(CROQUIS_DATOS!$C$1472=1,CROQUIS_DATOS!$C$1478&gt;=4),CHOOSE(MIN(MAX($A11,1)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1">
        <f>IF(AND(CROQUIS_DATOS!$C$1472=1,CROQUIS_DATOS!$C$1478&gt;=4)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1">
        <f>IF(AND(CROQUIS_DATOS!$C$1472=1,CROQUIS_DATOS!$C$1516&gt;0.5,CROQUIS_DATOS!$C$1478&gt;0),CHOOSE(MIN(MAX($A11,1)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1">
        <f>IF(AND(CROQUIS_DATOS!$C$1472=1,CROQUIS_DATOS!$C$1516&gt;0.5,CROQUIS_DATOS!$C$1478&gt;0),CHOOSE(MIN(MAX($A11,1)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1">
        <f>IF(AND(CROQUIS_DATOS!$C$1472=1,1),CHOOSE(MIN(MAX($A11,1)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51</v>
      </c>
      <c r="EI11">
        <f>IF(AND(CROQUIS_DATOS!$C$1472=1,1),CHOOSE(MIN(MAX($A11,1)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2.5</v>
      </c>
      <c r="EJ11">
        <f>IF(AND(CROQUIS_DATOS!$C$1472=1,1),CHOOSE(MIN(MAX($A11,1)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21.2758620689655</v>
      </c>
      <c r="EK11">
        <f>IF(AND(CROQUIS_DATOS!$C$1472=1,1)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25.5</v>
      </c>
      <c r="EL11">
        <f>IF(AND(CROQUIS_DATOS!$C$1472=1,1),CHOOSE(MIN(MAX($A11,1)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79.7241379310345</v>
      </c>
      <c r="EM11">
        <f>IF(AND(CROQUIS_DATOS!$C$1472=1,1),CHOOSE(MIN(MAX($A11,1)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39.9310344827586</v>
      </c>
      <c r="EN11">
        <f>IF(AND(CROQUIS_DATOS!$C$1472=1,CROQUIS_DATOS!$C$1478&gt;=1,CROQUIS_DATOS!$C$1481&gt;0),CHOOSE(MIN(MAX($A11,1)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1">
        <f>IF(AND(CROQUIS_DATOS!$C$1472=1,CROQUIS_DATOS!$C$1478&gt;=1,CROQUIS_DATOS!$C$1481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1">
        <f>IF(AND(CROQUIS_DATOS!$C$1472=1,CROQUIS_DATOS!$C$1478&gt;=2,CROQUIS_DATOS!$C$1486&gt;0),CHOOSE(MIN(MAX($A11,1)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66.4965517241379</v>
      </c>
      <c r="EQ11">
        <f>IF(AND(CROQUIS_DATOS!$C$1472=1,CROQUIS_DATOS!$C$1478&gt;=2,CROQUIS_DATOS!$C$1486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16.948275862069</v>
      </c>
      <c r="ER11">
        <f>IF(AND(CROQUIS_DATOS!$C$1472=1,CROQUIS_DATOS!$C$1478&gt;=3,CROQUIS_DATOS!$C$1491&gt;0),CHOOSE(MIN(MAX($A11,1)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1">
        <f>IF(AND(CROQUIS_DATOS!$C$1472=1,CROQUIS_DATOS!$C$1478&gt;=3,CROQUIS_DATOS!$C$1491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1">
        <f>IF(AND(CROQUIS_DATOS!$C$1472=1,CROQUIS_DATOS!$C$1478&gt;=4,CROQUIS_DATOS!$C$1496&gt;0),CHOOSE(MIN(MAX($A11,1)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1">
        <f>IF(AND(CROQUIS_DATOS!$C$1472=1,CROQUIS_DATOS!$C$1478&gt;=4,CROQUIS_DATOS!$C$1496&gt;0),CHOOSE(MIN(MAX($A11,1)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1">
        <f>IF(AND(CROQUIS_DATOS!$C$1472=1,1),(CROQUIS_DATOS!$C$1566+(INDEX($E$8:$E$23,MIN($A11,CROQUIS_DATOS!$C$1525)))*CROQUIS_DATOS!$C$1565),-1000)</f>
        <v>48.0603448275862</v>
      </c>
      <c r="EW11">
        <f>IF(AND(CROQUIS_DATOS!$C$1472=1,1),((CROQUIS_DATOS!$C$1567+(CROQUIS_DATOS!$C$1476+CROQUIS_DATOS!$C$1528)*CROQUIS_DATOS!$C$1561*CROQUIS_DATOS!$C$1565)+1.5),-1000)</f>
        <v>42.5</v>
      </c>
      <c r="EZ11">
        <f>IF(AND(CROQUIS_DATOS!$C$1472=1,CROQUIS_DATOS!$C$1500&gt;0.5,CROQUIS_DATOS!$C$1501=1),CHOOSE(MIN(MAX($A11,1)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6</v>
      </c>
      <c r="FA11">
        <f>IF(AND(CROQUIS_DATOS!$C$1472=1,CROQUIS_DATOS!$C$1500&gt;0.5,CROQUIS_DATOS!$C$1501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B11">
        <f>IF(AND(CROQUIS_DATOS!$C$1472=1,CROQUIS_DATOS!$C$1500&gt;0.5,CROQUIS_DATOS!$C$1501=0),CHOOSE(MIN(MAX($A11,1)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11">
        <f>IF(AND(CROQUIS_DATOS!$C$1472=1,CROQUIS_DATOS!$C$1500&gt;0.5,CROQUIS_DATOS!$C$1501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11">
        <f>IF(AND(CROQUIS_DATOS!$C$1472=1,CROQUIS_DATOS!$C$1504&gt;0.5,CROQUIS_DATOS!$C$1505=1),CHOOSE(MIN(MAX($A11,1)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29.92</v>
      </c>
      <c r="FG11">
        <f>IF(AND(CROQUIS_DATOS!$C$1472=1,CROQUIS_DATOS!$C$1504&gt;0.5,CROQUIS_DATOS!$C$1505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H11">
        <f>IF(AND(CROQUIS_DATOS!$C$1472=1,CROQUIS_DATOS!$C$1504&gt;0.5,CROQUIS_DATOS!$C$1505=0),CHOOSE(MIN(MAX($A11,1)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11">
        <f>IF(AND(CROQUIS_DATOS!$C$1472=1,CROQUIS_DATOS!$C$1504&gt;0.5,CROQUIS_DATOS!$C$1505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11">
        <f>IF(AND(CROQUIS_DATOS!$C$1472=1,CROQUIS_DATOS!$C$1508&gt;0.5,CROQUIS_DATOS!$C$1509=1),CHOOSE(MIN(MAX($A11,1)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75.92</v>
      </c>
      <c r="FM11">
        <f>IF(AND(CROQUIS_DATOS!$C$1472=1,CROQUIS_DATOS!$C$1508&gt;0.5,CROQUIS_DATOS!$C$1509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14</v>
      </c>
      <c r="FN11">
        <f>IF(AND(CROQUIS_DATOS!$C$1472=1,CROQUIS_DATOS!$C$1508&gt;0.5,CROQUIS_DATOS!$C$1509=0),CHOOSE(MIN(MAX($A11,1)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11">
        <f>IF(AND(CROQUIS_DATOS!$C$1472=1,CROQUIS_DATOS!$C$1508&gt;0.5,CROQUIS_DATOS!$C$1509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11">
        <f>IF(AND(CROQUIS_DATOS!$C$1472=1,CROQUIS_DATOS!$C$1512&gt;0.5,CROQUIS_DATOS!$C$1513=1),CHOOSE(MIN(MAX($A11,1)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11">
        <f>IF(AND(CROQUIS_DATOS!$C$1472=1,CROQUIS_DATOS!$C$1512&gt;0.5,CROQUIS_DATOS!$C$1513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11">
        <f>IF(AND(CROQUIS_DATOS!$C$1472=1,CROQUIS_DATOS!$C$1512&gt;0.5,CROQUIS_DATOS!$C$1513=0),CHOOSE(MIN(MAX($A11,1)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11">
        <f>IF(AND(CROQUIS_DATOS!$C$1472=1,CROQUIS_DATOS!$C$1512&gt;0.5,CROQUIS_DATOS!$C$1513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11">
        <f>IF(AND(CROQUIS_DATOS!$C$1472=1,CROQUIS_DATOS!$C$1516&gt;0.5,CROQUIS_DATOS!$C$1517=1),CHOOSE(MIN(MAX($A11,1)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11">
        <f>IF(AND(CROQUIS_DATOS!$C$1472=1,CROQUIS_DATOS!$C$1516&gt;0.5,CROQUIS_DATOS!$C$1517=1)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11">
        <f>IF(AND(CROQUIS_DATOS!$C$1472=1,CROQUIS_DATOS!$C$1516&gt;0.5,CROQUIS_DATOS!$C$1517=0),CHOOSE(MIN(MAX($A11,1)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11">
        <f>IF(AND(CROQUIS_DATOS!$C$1472=1,CROQUIS_DATOS!$C$1516&gt;0.5,CROQUIS_DATOS!$C$1517=0),CHOOSE(MIN(MAX($A11,1)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11">
        <f>IF(AND(CROQUIS_DATOS!$C$1472=1,1),(CROQUIS_DATOS!$C$1571+(CHOOSE(MIN(MAX(IF(INT(($A11-1)/5)+1&gt;CROQUIS_DATOS!$C$1525,5,MOD($A11-1,5)+1),1),5),(INDEX($E$8:$E$23,MIN(INT(($A11-1)/5)+1,CROQUIS_DATOS!$C$1525))-INDEX($F$8:$F$23,MIN(INT(($A11-1)/5)+1,CROQUIS_DATOS!$C$1525))/2),(INDEX($E$8:$E$23,MIN(INT(($A11-1)/5)+1,CROQUIS_DATOS!$C$1525))+INDEX($F$8:$F$23,MIN(INT(($A11-1)/5)+1,CROQUIS_DATOS!$C$1525))/2),(INDEX($E$8:$E$23,MIN(INT(($A11-1)/5)+1,CROQUIS_DATOS!$C$1525))+INDEX($F$8:$F$23,MIN(INT(($A11-1)/5)+1,CROQUIS_DATOS!$C$1525))/2),(INDEX($E$8:$E$23,MIN(INT(($A11-1)/5)+1,CROQUIS_DATOS!$C$1525))-INDEX($F$8:$F$23,MIN(INT(($A11-1)/5)+1,CROQUIS_DATOS!$C$1525))/2),(INDEX($E$8:$E$23,MIN(INT(($A11-1)/5)+1,CROQUIS_DATOS!$C$1525))-INDEX($F$8:$F$23,MIN(INT(($A11-1)/5)+1,CROQUIS_DATOS!$C$1525))/2)))*CROQUIS_DATOS!$C$1569),-1000)</f>
        <v>6</v>
      </c>
      <c r="GE11">
        <f>IF(AND(CROQUIS_DATOS!$C$1472=1,1),(CROQUIS_DATOS!$C$1572+(CHOOSE(MIN(MAX(IF(INT(($A11-1)/5)+1&gt;CROQUIS_DATOS!$C$1525,5,MOD($A11-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1">
        <f>IF(AND(CROQUIS_DATOS!$C$1472=1,1),IF(INT(($A11-1)/4)+1&lt;=CROQUIS_DATOS!$C$1525,(CROQUIS_DATOS!$C$1571+((INDEX($E$8:$E$23,MIN(INT(($A11-1)/4)+1,16))+IF(OR(MOD($A11-1,4)=0,MOD($A11-1,4)=3),-1,1)*(INDEX($F$8:$F$23,MIN(INT(($A11-1)/4)+1,16))/2-(CROQUIS_DATOS!$C$1530+CROQUIS_DATOS!$C$1532+IF(OR(INT(($A11-1)/4)+1=1,INT(($A11-1)/4)+1=CROQUIS_DATOS!$C$1525),CROQUIS_DATOS!$C$1534,CROQUIS_DATOS!$C$1531)/2))))*CROQUIS_DATOS!$C$1569),-1000),-1000)</f>
        <v>6.572516</v>
      </c>
      <c r="GG11">
        <f>IF(AND(CROQUIS_DATOS!$C$1472=1,1),IF(INT(($A11-1)/4)+1&lt;=CROQUIS_DATOS!$C$1525,(CROQUIS_DATOS!$C$1572+((CROQUIS_DATOS!$C$1477/2+IF(MOD($A11-1,4)&lt;2,-1,1)*(CROQUIS_DATOS!$C$1527/2-(CROQUIS_DATOS!$C$1530+CROQUIS_DATOS!$C$1532+IF(OR(INT(($A11-1)/4)+1=1,INT(($A11-1)/4)+1=CROQUIS_DATOS!$C$1525),CROQUIS_DATOS!$C$1534,CROQUIS_DATOS!$C$1531)/2))))*CROQUIS_DATOS!$C$1569*CROQUIS_DATOS!$C$1570),-1000),-1000)</f>
        <v>13.06655</v>
      </c>
      <c r="GH11">
        <f>IF(AND(CROQUIS_DATOS!$C$1472=1,CROQUIS_DATOS!$C$1500&gt;0.5,CROQUIS_DATOS!$C$1478&gt;0),CHOOSE(MIN(MAX($A11,1)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9.68</v>
      </c>
      <c r="GI11">
        <f>IF(AND(CROQUIS_DATOS!$C$1472=1,CROQUIS_DATOS!$C$1500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6</v>
      </c>
      <c r="GJ11">
        <f>IF(AND(CROQUIS_DATOS!$C$1472=1,CROQUIS_DATOS!$C$1478&gt;=1),CHOOSE(MIN(MAX($A11,1)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21.64</v>
      </c>
      <c r="GK11">
        <f>IF(AND(CROQUIS_DATOS!$C$1472=1,CROQUIS_DATOS!$C$1478&gt;=1),CHOOSE(MIN(MAX($A11,1),7),(CROQUIS_DATOS!$C$1572-3.5)-0.9,(CROQUIS_DATOS!$C$1572-3.5)+0.9,(CROQUIS_DATOS!$C$1572-3.5),(CROQUIS_DATOS!$C$1572-3.5),(CROQUIS_DATOS!$C$1572-3.5),(CROQUIS_DATOS!$C$1572-3.5)+0.9,(CROQUIS_DATOS!$C$1572-3.5)-0.9),-1000)</f>
        <v>6</v>
      </c>
      <c r="GL11">
        <f>IF(AND(CROQUIS_DATOS!$C$1472=1,CROQUIS_DATOS!$C$1504&gt;0.5,CROQUIS_DATOS!$C$1478&gt;0),CHOOSE(MIN(MAX($A11,1)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39.12</v>
      </c>
      <c r="GM11">
        <f>IF(AND(CROQUIS_DATOS!$C$1472=1,CROQUIS_DATOS!$C$1504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6</v>
      </c>
      <c r="GN11">
        <f>IF(AND(CROQUIS_DATOS!$C$1472=1,CROQUIS_DATOS!$C$1478&gt;=2),CHOOSE(MIN(MAX($A11,1)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62.12</v>
      </c>
      <c r="GO11">
        <f>IF(AND(CROQUIS_DATOS!$C$1472=1,CROQUIS_DATOS!$C$1478&gt;=2),CHOOSE(MIN(MAX($A11,1),7),(CROQUIS_DATOS!$C$1572-3.5)-0.9,(CROQUIS_DATOS!$C$1572-3.5)+0.9,(CROQUIS_DATOS!$C$1572-3.5),(CROQUIS_DATOS!$C$1572-3.5),(CROQUIS_DATOS!$C$1572-3.5),(CROQUIS_DATOS!$C$1572-3.5)+0.9,(CROQUIS_DATOS!$C$1572-3.5)-0.9),-1000)</f>
        <v>6</v>
      </c>
      <c r="GP11">
        <f>IF(AND(CROQUIS_DATOS!$C$1472=1,CROQUIS_DATOS!$C$1508&gt;0.5,CROQUIS_DATOS!$C$1478&gt;0),CHOOSE(MIN(MAX($A11,1)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86.96</v>
      </c>
      <c r="GQ11">
        <f>IF(AND(CROQUIS_DATOS!$C$1472=1,CROQUIS_DATOS!$C$1508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6</v>
      </c>
      <c r="GR11">
        <f>IF(AND(CROQUIS_DATOS!$C$1472=1,CROQUIS_DATOS!$C$1478&gt;=3),CHOOSE(MIN(MAX($A11,1)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1">
        <f>IF(AND(CROQUIS_DATOS!$C$1472=1,CROQUIS_DATOS!$C$1478&gt;=3)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T11">
        <f>IF(AND(CROQUIS_DATOS!$C$1472=1,CROQUIS_DATOS!$C$1512&gt;0.5,CROQUIS_DATOS!$C$1478&gt;0),CHOOSE(MIN(MAX($A11,1)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1">
        <f>IF(AND(CROQUIS_DATOS!$C$1472=1,CROQUIS_DATOS!$C$1512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V11">
        <f>IF(AND(CROQUIS_DATOS!$C$1472=1,CROQUIS_DATOS!$C$1478&gt;=4),CHOOSE(MIN(MAX($A11,1)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1">
        <f>IF(AND(CROQUIS_DATOS!$C$1472=1,CROQUIS_DATOS!$C$1478&gt;=4)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X11">
        <f>IF(AND(CROQUIS_DATOS!$C$1472=1,CROQUIS_DATOS!$C$1516&gt;0.5,CROQUIS_DATOS!$C$1478&gt;0),CHOOSE(MIN(MAX($A11,1)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1">
        <f>IF(AND(CROQUIS_DATOS!$C$1472=1,CROQUIS_DATOS!$C$1516&gt;0.5,CROQUIS_DATOS!$C$1478&gt;0),CHOOSE(MIN(MAX($A11,1),7),(CROQUIS_DATOS!$C$1572-3.5)-0.9,(CROQUIS_DATOS!$C$1572-3.5)+0.9,(CROQUIS_DATOS!$C$1572-3.5),(CROQUIS_DATOS!$C$1572-3.5),(CROQUIS_DATOS!$C$1572-3.5),(CROQUIS_DATOS!$C$1572-3.5)+0.9,(CROQUIS_DATOS!$C$1572-3.5)-0.9),-1000)</f>
        <v>-1000</v>
      </c>
      <c r="GZ11">
        <f>IF(AND(CROQUIS_DATOS!$C$1472=1,1),CHOOSE(MIN(MAX($A11,1)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52</v>
      </c>
      <c r="HA11">
        <f>IF(AND(CROQUIS_DATOS!$C$1472=1,1),CHOOSE(MIN(MAX($A11,1),7),(CROQUIS_DATOS!$C$1572-7.5)-0.9,(CROQUIS_DATOS!$C$1572-7.5)+0.9,(CROQUIS_DATOS!$C$1572-7.5),(CROQUIS_DATOS!$C$1572-7.5),(CROQUIS_DATOS!$C$1572-7.5),(CROQUIS_DATOS!$C$1572-7.5)+0.9,(CROQUIS_DATOS!$C$1572-7.5)-0.9),-1000)</f>
        <v>2</v>
      </c>
      <c r="HB11">
        <f>IF(AND(CROQUIS_DATOS!$C$1472=1,1),CHOOSE(MIN(MAX($A11,1)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3.5</v>
      </c>
      <c r="HC11">
        <f>IF(AND(CROQUIS_DATOS!$C$1472=1,1),CHOOSE(MIN(MAX($A11,1)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11.75</v>
      </c>
      <c r="HD11">
        <f>IF(AND(CROQUIS_DATOS!$C$1472=1,1),CHOOSE(MIN(MAX($A11,1)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8</v>
      </c>
      <c r="HE11">
        <f>IF(AND(CROQUIS_DATOS!$C$1472=1,1),CHOOSE(MIN(MAX($A11,1)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25.5483870967742</v>
      </c>
      <c r="HF11">
        <f>IF(AND(CROQUIS_DATOS!$C$1472=1,1),CHOOSE(MIN(MAX($A11,1)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20.0287096774194</v>
      </c>
      <c r="HG11">
        <f>IF(AND(CROQUIS_DATOS!$C$1472=1,1),CHOOSE(MIN(MAX($A11,1)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13.5196774193548</v>
      </c>
      <c r="HH11">
        <f>IF(AND(CROQUIS_DATOS!$C$1472=1,1),IF($A11&lt;=DATOS!$C$61,CHOOSE(MIN(MAX($A11,1)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10.8103870967742</v>
      </c>
      <c r="HI11">
        <f>IF(AND(CROQUIS_DATOS!$C$1472=1,1),IF($A11&lt;=DATOS!$C$61,CHOOSE(MIN(MAX($A11,1)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22.738</v>
      </c>
      <c r="HJ11">
        <f>IF(AND(CROQUIS_DATOS!$C$1472=1,1),CHOOSE(MIN(MAX($A11,1)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14.7741935483871</v>
      </c>
      <c r="HK11">
        <f>IF(AND(CROQUIS_DATOS!$C$1472=1,1),CHOOSE(MIN(MAX($A11,1)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L11">
        <f>IF(AND(CROQUIS_DATOS!$C$1472=1,1),CHOOSE(MIN(MAX($A11,1)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</v>
      </c>
      <c r="HM11">
        <f>IF(AND(CROQUIS_DATOS!$C$1472=1,1),CHOOSE(MIN(MAX($A11,1)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18.7741935483871</v>
      </c>
      <c r="HN11">
        <f>IF(AND(CROQUIS_DATOS!$C$1472=1,1),CHOOSE(MIN(MAX($A11,1),4),(CROQUIS_DATOS!$C$1574+(CROQUIS_DATOS!$C$1526+30)*CROQUIS_DATOS!$C$1573),(CROQUIS_DATOS!$C$1574+(CROQUIS_DATOS!$C$1526)*CROQUIS_DATOS!$C$1573),(CROQUIS_DATOS!$C$1574+(CROQUIS_DATOS!$C$1526)*CROQUIS_DATOS!$C$1573),(CROQUIS_DATOS!$C$1574+(CROQUIS_DATOS!$C$1526+30)*CROQUIS_DATOS!$C$1573)),-1000)</f>
        <v>48.6451612903226</v>
      </c>
      <c r="HO11">
        <f>IF(AND(CROQUIS_DATOS!$C$1472=1,1),CHOOSE(MIN(MAX($A11,1),4),(CROQUIS_DATOS!$C$1576+((CROQUIS_DATOS!$C$1527-CROQUIS_DATOS!$C$1477)/2)*CROQUIS_DATOS!$C$1573),(CROQUIS_DATOS!$C$1576+((CROQUIS_DATOS!$C$1527-CROQUIS_DATOS!$C$1477)/2)*CROQUIS_DATOS!$C$1573),(CROQUIS_DATOS!$C$1576+((CROQUIS_DATOS!$C$1527+CROQUIS_DATOS!$C$1477)/2)*CROQUIS_DATOS!$C$1573),(CROQUIS_DATOS!$C$1576+((CROQUIS_DATOS!$C$1527+CROQUIS_DATOS!$C$1477)/2)*CROQUIS_DATOS!$C$1573)),-1000)</f>
        <v>25.5483870967742</v>
      </c>
      <c r="HP11">
        <f>IF(AND(CROQUIS_DATOS!$C$1472=1,1),CHOOSE(MIN(MAX($A11,1)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62.1935483870968</v>
      </c>
      <c r="HQ11">
        <f>IF(AND(CROQUIS_DATOS!$C$1472=1,1),CHOOSE(MIN(MAX($A11,1)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30.0645161290323</v>
      </c>
      <c r="HR11">
        <f>IF(AND(CROQUIS_DATOS!$C$1472=1,1),CHOOSE(MIN(MAX($A11,1)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74.2222580645161</v>
      </c>
      <c r="HS11">
        <f>IF(AND(CROQUIS_DATOS!$C$1472=1,1),CHOOSE(MIN(MAX($A11,1)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13.5196774193548</v>
      </c>
      <c r="HT11">
        <f>IF(AND(CROQUIS_DATOS!$C$1472=1,1),IF($A11&lt;=DATOS!$C$69,CHOOSE(MIN(MAX($A11,1)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65.003935483871</v>
      </c>
      <c r="HU11">
        <f>IF(AND(CROQUIS_DATOS!$C$1472=1,1),IF($A11&lt;=DATOS!$C$69,CHOOSE(MIN(MAX($A11,1)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27.2541290322581</v>
      </c>
      <c r="HV11">
        <f>IF(AND(CROQUIS_DATOS!$C$1472=1,1),CHOOSE(MIN(MAX($A11,1)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68.9677419354839</v>
      </c>
      <c r="HW11">
        <f>IF(AND(CROQUIS_DATOS!$C$1472=1,1),CHOOSE(MIN(MAX($A11,1)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X11">
        <f>IF(AND(CROQUIS_DATOS!$C$1472=1,1),CHOOSE(MIN(MAX($A11,1)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78.741935483871</v>
      </c>
      <c r="HY11">
        <f>IF(AND(CROQUIS_DATOS!$C$1472=1,1),CHOOSE(MIN(MAX($A11,1)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21.0322580645161</v>
      </c>
    </row>
    <row r="12">
      <c r="A12" t="n">
        <v>5</v>
      </c>
      <c r="B12" t="n">
        <v>5</v>
      </c>
      <c r="C12">
        <f>1+(B12&gt;CROQUIS_DATOS!$C$1520)+(B12&gt;CROQUIS_DATOS!$C$1521)+(B12&gt;CROQUIS_DATOS!$C$1522)+(B12&gt;CROQUIS_DATOS!$C$1523)</f>
        <v>3</v>
      </c>
      <c r="D12">
        <f>B12-CHOOSE(MIN(C12,5),0,CROQUIS_DATOS!$C$1520,CROQUIS_DATOS!$C$1521,CROQUIS_DATOS!$C$1522,CROQUIS_DATOS!$C$1523)</f>
        <v>1</v>
      </c>
      <c r="E12">
        <f>IF(G12=0,0,CHOOSE(MIN(C12,5),CROQUIS_DATOS!$C$1499,CROQUIS_DATOS!$C$1503,CROQUIS_DATOS!$C$1507,CROQUIS_DATOS!$C$1511,CROQUIS_DATOS!$C$1515)+IF(CHOOSE(MIN(C12,5),CROQUIS_DATOS!$C$1502,CROQUIS_DATOS!$C$1506,CROQUIS_DATOS!$C$1510,CROQUIS_DATOS!$C$1514,CROQUIS_DATOS!$C$1518)=1,CHOOSE(MIN(C12,5),CROQUIS_DATOS!$C$1500,CROQUIS_DATOS!$C$1504,CROQUIS_DATOS!$C$1508,CROQUIS_DATOS!$C$1512,CROQUIS_DATOS!$C$1516)/2,CROQUIS_DATOS!$C$1526/2+(D12-1)*(CHOOSE(MIN(C12,5),CROQUIS_DATOS!$C$1500,CROQUIS_DATOS!$C$1504,CROQUIS_DATOS!$C$1508,CROQUIS_DATOS!$C$1512,CROQUIS_DATOS!$C$1516)-CROQUIS_DATOS!$C$1526)/MAX(CHOOSE(MIN(C12,5),CROQUIS_DATOS!$C$1502,CROQUIS_DATOS!$C$1506,CROQUIS_DATOS!$C$1510,CROQUIS_DATOS!$C$1514,CROQUIS_DATOS!$C$1518)-1,1)))</f>
        <v>387.5</v>
      </c>
      <c r="F12">
        <f>IF(G12=0,0,IF(CHOOSE(MIN(C12,5),CROQUIS_DATOS!$C$1502,CROQUIS_DATOS!$C$1506,CROQUIS_DATOS!$C$1510,CROQUIS_DATOS!$C$1514,CROQUIS_DATOS!$C$1518)=1,MIN(CROQUIS_DATOS!$C$1526,CHOOSE(MIN(C12,5),CROQUIS_DATOS!$C$1500,CROQUIS_DATOS!$C$1504,CROQUIS_DATOS!$C$1508,CROQUIS_DATOS!$C$1512,CROQUIS_DATOS!$C$1516)),CROQUIS_DATOS!$C$1526))</f>
        <v>15</v>
      </c>
      <c r="G12">
        <f>IF(AND(CROQUIS_DATOS!$C$1472=1,B12&lt;=CROQUIS_DATOS!$C$1525),1,0)</f>
        <v>1</v>
      </c>
      <c r="H12">
        <f>IF(5&lt;=CROQUIS_DATOS!$C$1539,5*CROQUIS_DATOS!$C$1536,IF(5&lt;=CROQUIS_DATOS!$C$1539+CROQUIS_DATOS!$C$1540,CROQUIS_DATOS!$C$1539*CROQUIS_DATOS!$C$1536+(5-CROQUIS_DATOS!$C$1539)*(CROQUIS_DATOS!$C$1476-2*CROQUIS_DATOS!$C$1539*CROQUIS_DATOS!$C$1536)/(CROQUIS_DATOS!$C$1540+1),CROQUIS_DATOS!$C$1476-(2*CROQUIS_DATOS!$C$1539+CROQUIS_DATOS!$C$1540+1-5)*CROQUIS_DATOS!$C$1536))</f>
        <v>37.5</v>
      </c>
      <c r="I12">
        <f>IF(AND(CROQUIS_DATOS!$C$1544=1,E12&gt;=CROQUIS_DATOS!$C$1549-1,E12&lt;=CROQUIS_DATOS!$C$1550+1),CROQUIS_DATOS!$C$1554,CROQUIS_DATOS!$C$1552)</f>
        <v>-16.8885</v>
      </c>
      <c r="J12">
        <f>IF(AND(CROQUIS_DATOS!$C$1472=1,1),(CROQUIS_DATOS!$C$1563+(CHOOSE(MIN(MAX(IF(INT(($A12-1)/4)+1&gt;CROQUIS_DATOS!$C$1525,4,MOD($A12-1,4)+1),1),4),(INDEX($E$8:$E$23,MIN(INT(($A12-1)/4)+1,CROQUIS_DATOS!$C$1525))-INDEX($F$8:$F$23,MIN(INT(($A12-1)/4)+1,CROQUIS_DATOS!$C$1525))/2),(INDEX($E$8:$E$23,MIN(INT(($A12-1)/4)+1,CROQUIS_DATOS!$C$1525))-INDEX($F$8:$F$23,MIN(INT(($A12-1)/4)+1,CROQUIS_DATOS!$C$1525))/2),(INDEX($E$8:$E$23,MIN(INT(($A12-1)/4)+1,CROQUIS_DATOS!$C$1525))+INDEX($F$8:$F$23,MIN(INT(($A12-1)/4)+1,CROQUIS_DATOS!$C$1525))/2),(INDEX($E$8:$E$23,MIN(INT(($A12-1)/4)+1,CROQUIS_DATOS!$C$1525))+INDEX($F$8:$F$23,MIN(INT(($A12-1)/4)+1,CROQUIS_DATOS!$C$1525))/2)))*CROQUIS_DATOS!$C$1562),-1000)</f>
        <v>18.5775862068965</v>
      </c>
      <c r="K12">
        <f>IF(AND(CROQUIS_DATOS!$C$1472=1,1),(CROQUIS_DATOS!$C$1564+(CHOOSE(MIN(MAX(IF(INT(($A12-1)/4)+1&gt;CROQUIS_DATOS!$C$1525,4,MOD($A12-1,4)+1),1),4),0,CROQUIS_DATOS!$C$1476,CROQUIS_DATOS!$C$1476,0))*CROQUIS_DATOS!$C$1561*CROQUIS_DATOS!$C$1562),-1000)</f>
        <v>5.29310344827586</v>
      </c>
      <c r="L12">
        <f>IF(AND(CROQUIS_DATOS!$C$1472=1,1),(CROQUIS_DATOS!$C$1563+(CHOOSE(MIN(MAX(IF(INT(($A12-1)/4)+1&gt;CROQUIS_DATOS!$C$1525,4,MOD($A12-1,4)+1),1),4),((INDEX($E$8:$E$23,MIN(INT(($A12-1)/4)+1,CROQUIS_DATOS!$C$1525))-INDEX($F$8:$F$23,MIN(INT(($A12-1)/4)+1,CROQUIS_DATOS!$C$1525))/2)+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,((INDEX($E$8:$E$23,MIN(INT(($A12-1)/4)+1,CROQUIS_DATOS!$C$1525))-INDEX($F$8:$F$23,MIN(INT(($A12-1)/4)+1,CROQUIS_DATOS!$C$1525))/2)+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,((INDEX($E$8:$E$23,MIN(INT(($A12-1)/4)+1,CROQUIS_DATOS!$C$1525))+INDEX($F$8:$F$23,MIN(INT(($A12-1)/4)+1,CROQUIS_DATOS!$C$1525))/2)-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,((INDEX($E$8:$E$23,MIN(INT(($A12-1)/4)+1,CROQUIS_DATOS!$C$1525))+INDEX($F$8:$F$23,MIN(INT(($A12-1)/4)+1,CROQUIS_DATOS!$C$1525))/2)-MIN((CROQUIS_DATOS!$C$1530+CROQUIS_DATOS!$C$1532+IF(OR(MIN(INT(($A12-1)/4)+1,CROQUIS_DATOS!$C$1525)=1,MIN(INT(($A12-1)/4)+1,CROQUIS_DATOS!$C$1525)=CROQUIS_DATOS!$C$1525),CROQUIS_DATOS!$C$1534,CROQUIS_DATOS!$C$1531)/2),INDEX($F$8:$F$23,MIN(INT(($A12-1)/4)+1,CROQUIS_DATOS!$C$1525))/2-0.5))))*CROQUIS_DATOS!$C$1562),-1000)</f>
        <v>19.0121232758621</v>
      </c>
      <c r="M12">
        <f>IF(AND(CROQUIS_DATOS!$C$1472=1,1),(CROQUIS_DATOS!$C$1564+(CHOOSE(MIN(MAX(IF(INT(($A12-1)/4)+1&gt;CROQUIS_DATOS!$C$1525,4,MOD($A12-1,4)+1),1),4),CROQUIS_DATOS!$C$1543,INDEX($I$8:$I$23,MIN(INT(($A12-1)/4)+1,CROQUIS_DATOS!$C$1525)),INDEX($I$8:$I$23,MIN(INT(($A12-1)/4)+1,CROQUIS_DATOS!$C$1525)),CROQUIS_DATOS!$C$1543))*CROQUIS_DATOS!$C$1561*CROQUIS_DATOS!$C$1562),-1000)</f>
        <v>42.5654629310345</v>
      </c>
      <c r="N12">
        <f>IF(AND(CROQUIS_DATOS!$C$1472=1,1),(CROQUIS_DATOS!$C$1563+(IF(IF(IF(INT(($A12-1)/70)+1&gt;CROQUIS_DATOS!$C$1525,70,MOD($A12-1,70)+1)=1,0,IF(IF(INT(($A12-1)/70)+1&gt;CROQUIS_DATOS!$C$1525,70,MOD($A12-1,70)+1)&gt;2*CROQUIS_DATOS!$C$1541+1,IF(MOD(CROQUIS_DATOS!$C$1541,2)=1,1,0),IF(MOD(MIN(INT((IF(INT(($A12-1)/70)+1&gt;CROQUIS_DATOS!$C$1525,70,MOD($A12-1,70)+1)-2)/2)+1,CROQUIS_DATOS!$C$1541),2)=1,IF(MOD(IF(INT(($A12-1)/70)+1&gt;CROQUIS_DATOS!$C$1525,70,MOD($A12-1,70)+1)-2,2)=0,0,1),IF(MOD(IF(INT(($A12-1)/70)+1&gt;CROQUIS_DATOS!$C$1525,70,MOD($A12-1,70)+1)-2,2)=0,1,0))))=0,(INDEX($E$8:$E$23,MIN(INT(($A12-1)/70)+1,CROQUIS_DATOS!$C$1525))-INDEX($F$8:$F$23,MIN(INT(($A12-1)/70)+1,CROQUIS_DATOS!$C$1525))/2),(INDEX($E$8:$E$23,MIN(INT(($A12-1)/70)+1,CROQUIS_DATOS!$C$1525))+INDEX($F$8:$F$23,MIN(INT(($A12-1)/70)+1,CROQUIS_DATOS!$C$1525))/2)))*CROQUIS_DATOS!$C$1562),-1000)</f>
        <v>15.0862068965517</v>
      </c>
      <c r="O12">
        <f>IF(AND(CROQUIS_DATOS!$C$1472=1,1),(CROQUIS_DATOS!$C$1564+(IF(OR(IF(INT(($A12-1)/70)+1&gt;CROQUIS_DATOS!$C$1525,70,MOD($A12-1,70)+1)=1,IF(INT(($A12-1)/70)+1&gt;CROQUIS_DATOS!$C$1525,70,MOD($A12-1,70)+1)&gt;2*CROQUIS_DATOS!$C$1541+1),CROQUIS_DATOS!$C$1476,INDEX($H$8:$H$41,MIN(INT((IF(INT(($A12-1)/70)+1&gt;CROQUIS_DATOS!$C$1525,70,MOD($A12-1,70)+1)-2)/2)+1,CROQUIS_DATOS!$C$1541))))*CROQUIS_DATOS!$C$1561*CROQUIS_DATOS!$C$1562),-1000)</f>
        <v>7.38793103448276</v>
      </c>
      <c r="P12">
        <f>IF(AND(CROQUIS_DATOS!$C$1472=1,CROQUIS_DATOS!$C$1555=1),(CROQUIS_DATOS!$C$1563+(IF(IF(OR(MOD($A12-1,62)+1=1,IF(CHOOSE(MIN(MAX(MIN(INT(($A12-1)/62)+1,5),1),5),CROQUIS_DATOS!$C$1501,CROQUIS_DATOS!$C$1505,CROQUIS_DATOS!$C$1509,CROQUIS_DATOS!$C$1513,CROQUIS_DATOS!$C$1517)=1,CROQUIS_DATOS!$C$1557,0)=0),0,IF(MOD($A12-1,62)+1&gt;2*IF(CHOOSE(MIN(MAX(MIN(INT(($A12-1)/62)+1,5),1),5),CROQUIS_DATOS!$C$1501,CROQUIS_DATOS!$C$1505,CROQUIS_DATOS!$C$1509,CROQUIS_DATOS!$C$1513,CROQUIS_DATOS!$C$1517)=1,CROQUIS_DATOS!$C$1557,0)+1,IF(MOD(IF(CHOOSE(MIN(MAX(MIN(INT(($A12-1)/62)+1,5),1),5),CROQUIS_DATOS!$C$1501,CROQUIS_DATOS!$C$1505,CROQUIS_DATOS!$C$1509,CROQUIS_DATOS!$C$1513,CROQUIS_DATOS!$C$1517)=1,CROQUIS_DATOS!$C$1557,0),2)=1,1,0),IF(MOD(MIN(INT((MOD($A12-1,62)+1-2)/2)+1,MAX(IF(CHOOSE(MIN(MAX(MIN(INT(($A12-1)/62)+1,5),1),5),CROQUIS_DATOS!$C$1501,CROQUIS_DATOS!$C$1505,CROQUIS_DATOS!$C$1509,CROQUIS_DATOS!$C$1513,CROQUIS_DATOS!$C$1517)=1,CROQUIS_DATOS!$C$1557,0),1)),2)=1,IF(MOD(MOD($A12-1,62)+1-2,2)=0,0,1),IF(MOD(MOD($A12-1,62)+1-2,2)=0,1,0))))=0,(CHOOSE(MIN(MAX(MIN(INT(($A12-1)/62)+1,5),1),5),CROQUIS_DATOS!$C$1499,CROQUIS_DATOS!$C$1503,CROQUIS_DATOS!$C$1507,CROQUIS_DATOS!$C$1511,CROQUIS_DATOS!$C$1515)+IF(CHOOSE(MIN(MAX(MIN(INT(($A12-1)/62)+1,5),1),5),CROQUIS_DATOS!$C$1501,CROQUIS_DATOS!$C$1505,CROQUIS_DATOS!$C$1509,CROQUIS_DATOS!$C$1513,CROQUIS_DATOS!$C$1517)=1,CROQUIS_DATOS!$C$1526,0)),(CHOOSE(MIN(MAX(MIN(INT(($A12-1)/62)+1,5),1),5),CROQUIS_DATOS!$C$1499,CROQUIS_DATOS!$C$1503,CROQUIS_DATOS!$C$1507,CROQUIS_DATOS!$C$1511,CROQUIS_DATOS!$C$1515)+CHOOSE(MIN(MAX(MIN(INT(($A12-1)/62)+1,5),1),5),CROQUIS_DATOS!$C$1500,CROQUIS_DATOS!$C$1504,CROQUIS_DATOS!$C$1508,CROQUIS_DATOS!$C$1512,CROQUIS_DATOS!$C$1516)-IF(CHOOSE(MIN(MAX(MIN(INT(($A12-1)/62)+1,5),1),5),CROQUIS_DATOS!$C$1501,CROQUIS_DATOS!$C$1505,CROQUIS_DATOS!$C$1509,CROQUIS_DATOS!$C$1513,CROQUIS_DATOS!$C$1517)=1,CROQUIS_DATOS!$C$1526,0))))*CROQUIS_DATOS!$C$1562),-1000)</f>
        <v>-1000</v>
      </c>
      <c r="Q12">
        <f>IF(AND(CROQUIS_DATOS!$C$1472=1,CROQUIS_DATOS!$C$1555=1),(CROQUIS_DATOS!$C$1564+(IF(OR(OR(MOD($A12-1,62)+1=1,IF(CHOOSE(MIN(MAX(MIN(INT(($A12-1)/62)+1,5),1),5),CROQUIS_DATOS!$C$1501,CROQUIS_DATOS!$C$1505,CROQUIS_DATOS!$C$1509,CROQUIS_DATOS!$C$1513,CROQUIS_DATOS!$C$1517)=1,CROQUIS_DATOS!$C$1557,0)=0),MOD($A12-1,62)+1&gt;2*IF(CHOOSE(MIN(MAX(MIN(INT(($A12-1)/62)+1,5),1),5),CROQUIS_DATOS!$C$1501,CROQUIS_DATOS!$C$1505,CROQUIS_DATOS!$C$1509,CROQUIS_DATOS!$C$1513,CROQUIS_DATOS!$C$1517)=1,CROQUIS_DATOS!$C$1557,0)+1),CROQUIS_DATOS!$C$1476,MIN(INT((MOD($A12-1,62)+1-2)/2)+1,MAX(IF(CHOOSE(MIN(MAX(MIN(INT(($A12-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">
        <f>IF(AND(CROQUIS_DATOS!$C$1472=1,1),(CROQUIS_DATOS!$C$1563+(MIN(INT(($A12-1)/2)+1,CROQUIS_DATOS!$C$1558)*CROQUIS_DATOS!$C$1559)*CROQUIS_DATOS!$C$1562),-1000)</f>
        <v>23.1432360742706</v>
      </c>
      <c r="U12">
        <f>IF(AND(CROQUIS_DATOS!$C$1472=1,1),(CROQUIS_DATOS!$C$1564+(IF(INT(($A12-1)/2)+1&gt;CROQUIS_DATOS!$C$1558,IF(MOD(CROQUIS_DATOS!$C$1558,2)=1,CROQUIS_DATOS!$C$1476+CROQUIS_DATOS!$C$1528,CROQUIS_DATOS!$C$1476),IF(IF(MOD(MIN(INT(($A12-1)/2)+1,CROQUIS_DATOS!$C$1558),2)=1,MOD($A12-1,2),1-MOD($A12-1,2))=1,CROQUIS_DATOS!$C$1476+CROQUIS_DATOS!$C$1528,CROQUIS_DATOS!$C$1476)))*CROQUIS_DATOS!$C$1561*CROQUIS_DATOS!$C$1562),-1000)</f>
        <v>40.2068965517241</v>
      </c>
      <c r="V12">
        <f>IF(AND(CROQUIS_DATOS!$C$1472=1,1),CHOOSE(MIN(MAX($A12,1)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W12">
        <f>IF(AND(CROQUIS_DATOS!$C$1472=1,1),CHOOSE(MIN(MAX($A12,1),5),(CROQUIS_DATOS!$C$1564+(CROQUIS_DATOS!$C$1476)*CROQUIS_DATOS!$C$1561*CROQUIS_DATOS!$C$1562),(CROQUIS_DATOS!$C$1564+(CROQUIS_DATOS!$C$1476)*CROQUIS_DATOS!$C$1561*CROQUIS_DATOS!$C$1562),(CROQUIS_DATOS!$C$1564+(CROQUIS_DATOS!$C$1476+CROQUIS_DATOS!$C$1528)*CROQUIS_DATOS!$C$1561*CROQUIS_DATOS!$C$1562),(CROQUIS_DATOS!$C$1564+(CROQUIS_DATOS!$C$1476+CROQUIS_DATOS!$C$1528)*CROQUIS_DATOS!$C$1561*CROQUIS_DATOS!$C$1562),(CROQUIS_DATOS!$C$1564+(CROQUIS_DATOS!$C$1476)*CROQUIS_DATOS!$C$1561*CROQUIS_DATOS!$C$1562)),-1000)</f>
        <v>40.2068965517241</v>
      </c>
      <c r="AB12">
        <f>IF(AND(CROQUIS_DATOS!$C$1472=1,1),CHOOSE(MIN(MAX($A12,1)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AC12">
        <f>IF(AND(CROQUIS_DATOS!$C$1472=1,1),CHOOSE(MIN(MAX($A12,1),5),(CROQUIS_DATOS!$C$1564+(-CROQUIS_DATOS!$C$1528)*CROQUIS_DATOS!$C$1561*CROQUIS_DATOS!$C$1562),(CROQUIS_DATOS!$C$1564+(-CROQUIS_DATOS!$C$1528)*CROQUIS_DATOS!$C$1561*CROQUIS_DATOS!$C$1562),(CROQUIS_DATOS!$C$1564+(0)*CROQUIS_DATOS!$C$1561*CROQUIS_DATOS!$C$1562),(CROQUIS_DATOS!$C$1564+(0)*CROQUIS_DATOS!$C$1561*CROQUIS_DATOS!$C$1562),(CROQUIS_DATOS!$C$1564+(-CROQUIS_DATOS!$C$1528)*CROQUIS_DATOS!$C$1561*CROQUIS_DATOS!$C$1562)),-1000)</f>
        <v>2.5</v>
      </c>
      <c r="AD12">
        <f>IF(AND(CROQUIS_DATOS!$C$1472=1,CROQUIS_DATOS!$C$1544=1),CHOOSE(MIN(MAX($A12,1),5),(CROQUIS_DATOS!$C$1563+(CROQUIS_DATOS!$C$1549)*CROQUIS_DATOS!$C$1562),(CROQUIS_DATOS!$C$1563+(CROQUIS_DATOS!$C$1550)*CROQUIS_DATOS!$C$1562),(CROQUIS_DATOS!$C$1563+(CROQUIS_DATOS!$C$1550)*CROQUIS_DATOS!$C$1562),(CROQUIS_DATOS!$C$1563+(CROQUIS_DATOS!$C$1549)*CROQUIS_DATOS!$C$1562),(CROQUIS_DATOS!$C$1563+(CROQUIS_DATOS!$C$1549)*CROQUIS_DATOS!$C$1562)),-1000)</f>
        <v>-1000</v>
      </c>
      <c r="AE12">
        <f>IF(AND(CROQUIS_DATOS!$C$1472=1,CROQUIS_DATOS!$C$1544=1),CHOOSE(MIN(MAX($A12,1),5),(CROQUIS_DATOS!$C$1564+(-CROQUIS_DATOS!$C$1551)*CROQUIS_DATOS!$C$1561*CROQUIS_DATOS!$C$1562),(CROQUIS_DATOS!$C$1564+(-CROQUIS_DATOS!$C$1551)*CROQUIS_DATOS!$C$1561*CROQUIS_DATOS!$C$1562),(CROQUIS_DATOS!$C$1564+(0)*CROQUIS_DATOS!$C$1561*CROQUIS_DATOS!$C$1562),(CROQUIS_DATOS!$C$1564+(0)*CROQUIS_DATOS!$C$1561*CROQUIS_DATOS!$C$1562),(CROQUIS_DATOS!$C$1564+(-CROQUIS_DATOS!$C$1551)*CROQUIS_DATOS!$C$1561*CROQUIS_DATOS!$C$1562)),-1000)</f>
        <v>-1000</v>
      </c>
      <c r="AJ12">
        <f>IF(AND(CROQUIS_DATOS!$C$1472=1,CROQUIS_DATOS!$C$1478&gt;=1),CHOOSE(MIN(MAX($A12,1),5),(CROQUIS_DATOS!$C$1563+(CROQUIS_DATOS!$C$1479)*CROQUIS_DATOS!$C$1562),(CROQUIS_DATOS!$C$1563+((CROQUIS_DATOS!$C$1479+CROQUIS_DATOS!$C$1480))*CROQUIS_DATOS!$C$1562),(CROQUIS_DATOS!$C$1563+((CROQUIS_DATOS!$C$1479+CROQUIS_DATOS!$C$1480))*CROQUIS_DATOS!$C$1562),(CROQUIS_DATOS!$C$1563+(CROQUIS_DATOS!$C$1479)*CROQUIS_DATOS!$C$1562),(CROQUIS_DATOS!$C$1563+(CROQUIS_DATOS!$C$1479)*CROQUIS_DATOS!$C$1562)),-1000)</f>
        <v>20.6724137931034</v>
      </c>
      <c r="AK12">
        <f>IF(AND(CROQUIS_DATOS!$C$1472=1,CROQUIS_DATOS!$C$1478&gt;=1),CHOOSE(MIN(MAX($A12,1),5),(CROQUIS_DATOS!$C$1564+(CROQUIS_DATOS!$C$1481)*CROQUIS_DATOS!$C$1561*CROQUIS_DATOS!$C$1562),(CROQUIS_DATOS!$C$1564+(CROQUIS_DATOS!$C$1481)*CROQUIS_DATOS!$C$1561*CROQUIS_DATOS!$C$1562),(CROQUIS_DATOS!$C$1564+((CROQUIS_DATOS!$C$1481+CROQUIS_DATOS!$C$1482))*CROQUIS_DATOS!$C$1561*CROQUIS_DATOS!$C$1562),(CROQUIS_DATOS!$C$1564+((CROQUIS_DATOS!$C$1481+CROQUIS_DATOS!$C$1482))*CROQUIS_DATOS!$C$1561*CROQUIS_DATOS!$C$1562),(CROQUIS_DATOS!$C$1564+(CROQUIS_DATOS!$C$1481)*CROQUIS_DATOS!$C$1561*CROQUIS_DATOS!$C$1562)),-1000)</f>
        <v>5.29310344827586</v>
      </c>
      <c r="AL12">
        <f>IF(AND(CROQUIS_DATOS!$C$1472=1,CROQUIS_DATOS!$C$1478&gt;=1),(CROQUIS_DATOS!$C$1563+(CHOOSE(MIN(MAX($A12,1),5),CROQUIS_DATOS!$C$1479,(CROQUIS_DATOS!$C$1479+CROQUIS_DATOS!$C$1480),(CROQUIS_DATOS!$C$1479+CROQUIS_DATOS!$C$1480),CROQUIS_DATOS!$C$1479,(CROQUIS_DATOS!$C$1479+CROQUIS_DATOS!$C$1480)))*CROQUIS_DATOS!$C$1562),-1000)</f>
        <v>33.2413793103448</v>
      </c>
      <c r="AM12">
        <f>IF(AND(CROQUIS_DATOS!$C$1472=1,CROQUIS_DATOS!$C$1478&gt;=1),(CROQUIS_DATOS!$C$1564+(CHOOSE(MIN(MAX($A12,1),5),CROQUIS_DATOS!$C$1481,(CROQUIS_DATOS!$C$1481+CROQUIS_DATOS!$C$1482),(CROQUIS_DATOS!$C$1481+CROQUIS_DATOS!$C$1482),CROQUIS_DATOS!$C$1481,CROQUIS_DATOS!$C$1481))*CROQUIS_DATOS!$C$1561*CROQUIS_DATOS!$C$1562),-1000)</f>
        <v>5.29310344827586</v>
      </c>
      <c r="AN12">
        <f>IF(AND(CROQUIS_DATOS!$C$1472=1,CROQUIS_DATOS!$C$1478&gt;=1,(CROQUIS_DATOS!$C$1481+CROQUIS_DATOS!$C$1482)+CROQUIS_DATOS!$C$1528&lt;CROQUIS_DATOS!$C$1476-2),CHOOSE(MIN(MAX($A12,1)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18.5775862068965</v>
      </c>
      <c r="AO12">
        <f>IF(AND(CROQUIS_DATOS!$C$1472=1,CROQUIS_DATOS!$C$1478&gt;=1,(CROQUIS_DATOS!$C$1481+CROQUIS_DATOS!$C$1482)+CROQUIS_DATOS!$C$1528&lt;CROQUIS_DATOS!$C$1476-2),CHOOSE(MIN(MAX($A12,1),5),(CROQUIS_DATOS!$C$1564+((CROQUIS_DATOS!$C$1481+CROQUIS_DATOS!$C$1482))*CROQUIS_DATOS!$C$1561*CROQUIS_DATOS!$C$1562),(CROQUIS_DATOS!$C$1564+((CROQUIS_DATOS!$C$1481+CROQUIS_DATOS!$C$1482))*CROQUIS_DATOS!$C$1561*CROQUIS_DATOS!$C$1562),(CROQUIS_DATOS!$C$1564+(((CROQUIS_DATOS!$C$1481+CROQUIS_DATOS!$C$1482)+CROQUIS_DATOS!$C$1528))*CROQUIS_DATOS!$C$1561*CROQUIS_DATOS!$C$1562),(CROQUIS_DATOS!$C$1564+(((CROQUIS_DATOS!$C$1481+CROQUIS_DATOS!$C$1482)+CROQUIS_DATOS!$C$1528))*CROQUIS_DATOS!$C$1561*CROQUIS_DATOS!$C$1562),(CROQUIS_DATOS!$C$1564+((CROQUIS_DATOS!$C$1481+CROQUIS_DATOS!$C$1482))*CROQUIS_DATOS!$C$1561*CROQUIS_DATOS!$C$1562)),-1000)</f>
        <v>34.6206896551724</v>
      </c>
      <c r="AP12">
        <f>IF(AND(CROQUIS_DATOS!$C$1472=1,CROQUIS_DATOS!$C$1478&gt;=1,CROQUIS_DATOS!$C$1481&gt;=12),CHOOSE(MIN(MAX($A12,1),5),(CROQUIS_DATOS!$C$1563+((CROQUIS_DATOS!$C$1479-CROQUIS_DATOS!$C$1526))*CROQUIS_DATOS!$C$1562),(CROQUIS_DATOS!$C$1563+(((CROQUIS_DATOS!$C$1479+CROQUIS_DATOS!$C$1480)+CROQUIS_DATOS!$C$1526))*CROQUIS_DATOS!$C$1562),(CROQUIS_DATOS!$C$1563+(((CROQUIS_DATOS!$C$1479+CROQUIS_DATOS!$C$1480)+CROQUIS_DATOS!$C$1526))*CROQUIS_DATOS!$C$1562),(CROQUIS_DATOS!$C$1563+((CROQUIS_DATOS!$C$1479-CROQUIS_DATOS!$C$1526))*CROQUIS_DATOS!$C$1562),(CROQUIS_DATOS!$C$1563+((CROQUIS_DATOS!$C$1479-CROQUIS_DATOS!$C$1526))*CROQUIS_DATOS!$C$1562)),-1000)</f>
        <v>-1000</v>
      </c>
      <c r="AQ12">
        <f>IF(AND(CROQUIS_DATOS!$C$1472=1,CROQUIS_DATOS!$C$1478&gt;=1,CROQUIS_DATOS!$C$1481&gt;=12),CHOOSE(MIN(MAX($A12,1),5),(CROQUIS_DATOS!$C$1564+((CROQUIS_DATOS!$C$1481-10))*CROQUIS_DATOS!$C$1561*CROQUIS_DATOS!$C$1562),(CROQUIS_DATOS!$C$1564+((CROQUIS_DATOS!$C$1481-10))*CROQUIS_DATOS!$C$1561*CROQUIS_DATOS!$C$1562),(CROQUIS_DATOS!$C$1564+(CROQUIS_DATOS!$C$1481)*CROQUIS_DATOS!$C$1561*CROQUIS_DATOS!$C$1562),(CROQUIS_DATOS!$C$1564+(CROQUIS_DATOS!$C$1481)*CROQUIS_DATOS!$C$1561*CROQUIS_DATOS!$C$1562),(CROQUIS_DATOS!$C$1564+((CROQUIS_DATOS!$C$1481-10))*CROQUIS_DATOS!$C$1561*CROQUIS_DATOS!$C$1562)),-1000)</f>
        <v>-1000</v>
      </c>
      <c r="AR12">
        <f>IF(AND(CROQUIS_DATOS!$C$1472=1,CROQUIS_DATOS!$C$1478&gt;=2),CHOOSE(MIN(MAX($A12,1),5),(CROQUIS_DATOS!$C$1563+(CROQUIS_DATOS!$C$1484)*CROQUIS_DATOS!$C$1562),(CROQUIS_DATOS!$C$1563+((CROQUIS_DATOS!$C$1484+CROQUIS_DATOS!$C$1485))*CROQUIS_DATOS!$C$1562),(CROQUIS_DATOS!$C$1563+((CROQUIS_DATOS!$C$1484+CROQUIS_DATOS!$C$1485))*CROQUIS_DATOS!$C$1562),(CROQUIS_DATOS!$C$1563+(CROQUIS_DATOS!$C$1484)*CROQUIS_DATOS!$C$1562),(CROQUIS_DATOS!$C$1563+(CROQUIS_DATOS!$C$1484)*CROQUIS_DATOS!$C$1562)),-1000)</f>
        <v>47.2068965517241</v>
      </c>
      <c r="AS12">
        <f>IF(AND(CROQUIS_DATOS!$C$1472=1,CROQUIS_DATOS!$C$1478&gt;=2),CHOOSE(MIN(MAX($A12,1),5),(CROQUIS_DATOS!$C$1564+(CROQUIS_DATOS!$C$1486)*CROQUIS_DATOS!$C$1561*CROQUIS_DATOS!$C$1562),(CROQUIS_DATOS!$C$1564+(CROQUIS_DATOS!$C$1486)*CROQUIS_DATOS!$C$1561*CROQUIS_DATOS!$C$1562),(CROQUIS_DATOS!$C$1564+((CROQUIS_DATOS!$C$1486+CROQUIS_DATOS!$C$1487))*CROQUIS_DATOS!$C$1561*CROQUIS_DATOS!$C$1562),(CROQUIS_DATOS!$C$1564+((CROQUIS_DATOS!$C$1486+CROQUIS_DATOS!$C$1487))*CROQUIS_DATOS!$C$1561*CROQUIS_DATOS!$C$1562),(CROQUIS_DATOS!$C$1564+(CROQUIS_DATOS!$C$1486)*CROQUIS_DATOS!$C$1561*CROQUIS_DATOS!$C$1562)),-1000)</f>
        <v>17.8620689655172</v>
      </c>
      <c r="AT12">
        <f>IF(AND(CROQUIS_DATOS!$C$1472=1,CROQUIS_DATOS!$C$1478&gt;=2),(CROQUIS_DATOS!$C$1563+(CHOOSE(MIN(MAX($A12,1),5),CROQUIS_DATOS!$C$1484,(CROQUIS_DATOS!$C$1484+CROQUIS_DATOS!$C$1485),(CROQUIS_DATOS!$C$1484+CROQUIS_DATOS!$C$1485),CROQUIS_DATOS!$C$1484,(CROQUIS_DATOS!$C$1484+CROQUIS_DATOS!$C$1485)))*CROQUIS_DATOS!$C$1562),-1000)</f>
        <v>68.1551724137931</v>
      </c>
      <c r="AU12">
        <f>IF(AND(CROQUIS_DATOS!$C$1472=1,CROQUIS_DATOS!$C$1478&gt;=2),(CROQUIS_DATOS!$C$1564+(CHOOSE(MIN(MAX($A12,1),5),CROQUIS_DATOS!$C$1486,(CROQUIS_DATOS!$C$1486+CROQUIS_DATOS!$C$1487),(CROQUIS_DATOS!$C$1486+CROQUIS_DATOS!$C$1487),CROQUIS_DATOS!$C$1486,CROQUIS_DATOS!$C$1486))*CROQUIS_DATOS!$C$1561*CROQUIS_DATOS!$C$1562),-1000)</f>
        <v>17.8620689655172</v>
      </c>
      <c r="AV12">
        <f>IF(AND(CROQUIS_DATOS!$C$1472=1,CROQUIS_DATOS!$C$1478&gt;=2,(CROQUIS_DATOS!$C$1486+CROQUIS_DATOS!$C$1487)+CROQUIS_DATOS!$C$1528&lt;CROQUIS_DATOS!$C$1476-2),CHOOSE(MIN(MAX($A12,1)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45.1120689655172</v>
      </c>
      <c r="AW12">
        <f>IF(AND(CROQUIS_DATOS!$C$1472=1,CROQUIS_DATOS!$C$1478&gt;=2,(CROQUIS_DATOS!$C$1486+CROQUIS_DATOS!$C$1487)+CROQUIS_DATOS!$C$1528&lt;CROQUIS_DATOS!$C$1476-2),CHOOSE(MIN(MAX($A12,1),5),(CROQUIS_DATOS!$C$1564+((CROQUIS_DATOS!$C$1486+CROQUIS_DATOS!$C$1487))*CROQUIS_DATOS!$C$1561*CROQUIS_DATOS!$C$1562),(CROQUIS_DATOS!$C$1564+((CROQUIS_DATOS!$C$1486+CROQUIS_DATOS!$C$1487))*CROQUIS_DATOS!$C$1561*CROQUIS_DATOS!$C$1562),(CROQUIS_DATOS!$C$1564+(((CROQUIS_DATOS!$C$1486+CROQUIS_DATOS!$C$1487)+CROQUIS_DATOS!$C$1528))*CROQUIS_DATOS!$C$1561*CROQUIS_DATOS!$C$1562),(CROQUIS_DATOS!$C$1564+(((CROQUIS_DATOS!$C$1486+CROQUIS_DATOS!$C$1487)+CROQUIS_DATOS!$C$1528))*CROQUIS_DATOS!$C$1561*CROQUIS_DATOS!$C$1562),(CROQUIS_DATOS!$C$1564+((CROQUIS_DATOS!$C$1486+CROQUIS_DATOS!$C$1487))*CROQUIS_DATOS!$C$1561*CROQUIS_DATOS!$C$1562)),-1000)</f>
        <v>34.6206896551724</v>
      </c>
      <c r="AX12">
        <f>IF(AND(CROQUIS_DATOS!$C$1472=1,CROQUIS_DATOS!$C$1478&gt;=2,CROQUIS_DATOS!$C$1486&gt;=12),CHOOSE(MIN(MAX($A12,1),5),(CROQUIS_DATOS!$C$1563+((CROQUIS_DATOS!$C$1484-CROQUIS_DATOS!$C$1526))*CROQUIS_DATOS!$C$1562),(CROQUIS_DATOS!$C$1563+(((CROQUIS_DATOS!$C$1484+CROQUIS_DATOS!$C$1485)+CROQUIS_DATOS!$C$1526))*CROQUIS_DATOS!$C$1562),(CROQUIS_DATOS!$C$1563+(((CROQUIS_DATOS!$C$1484+CROQUIS_DATOS!$C$1485)+CROQUIS_DATOS!$C$1526))*CROQUIS_DATOS!$C$1562),(CROQUIS_DATOS!$C$1563+((CROQUIS_DATOS!$C$1484-CROQUIS_DATOS!$C$1526))*CROQUIS_DATOS!$C$1562),(CROQUIS_DATOS!$C$1563+((CROQUIS_DATOS!$C$1484-CROQUIS_DATOS!$C$1526))*CROQUIS_DATOS!$C$1562)),-1000)</f>
        <v>45.1120689655172</v>
      </c>
      <c r="AY12">
        <f>IF(AND(CROQUIS_DATOS!$C$1472=1,CROQUIS_DATOS!$C$1478&gt;=2,CROQUIS_DATOS!$C$1486&gt;=12),CHOOSE(MIN(MAX($A12,1),5),(CROQUIS_DATOS!$C$1564+((CROQUIS_DATOS!$C$1486-10))*CROQUIS_DATOS!$C$1561*CROQUIS_DATOS!$C$1562),(CROQUIS_DATOS!$C$1564+((CROQUIS_DATOS!$C$1486-10))*CROQUIS_DATOS!$C$1561*CROQUIS_DATOS!$C$1562),(CROQUIS_DATOS!$C$1564+(CROQUIS_DATOS!$C$1486)*CROQUIS_DATOS!$C$1561*CROQUIS_DATOS!$C$1562),(CROQUIS_DATOS!$C$1564+(CROQUIS_DATOS!$C$1486)*CROQUIS_DATOS!$C$1561*CROQUIS_DATOS!$C$1562),(CROQUIS_DATOS!$C$1564+((CROQUIS_DATOS!$C$1486-10))*CROQUIS_DATOS!$C$1561*CROQUIS_DATOS!$C$1562)),-1000)</f>
        <v>16.4655172413793</v>
      </c>
      <c r="AZ12">
        <f>IF(AND(CROQUIS_DATOS!$C$1472=1,CROQUIS_DATOS!$C$1478&gt;=3),CHOOSE(MIN(MAX($A12,1),5),(CROQUIS_DATOS!$C$1563+(CROQUIS_DATOS!$C$1489)*CROQUIS_DATOS!$C$1562),(CROQUIS_DATOS!$C$1563+((CROQUIS_DATOS!$C$1489+CROQUIS_DATOS!$C$1490))*CROQUIS_DATOS!$C$1562),(CROQUIS_DATOS!$C$1563+((CROQUIS_DATOS!$C$1489+CROQUIS_DATOS!$C$1490))*CROQUIS_DATOS!$C$1562),(CROQUIS_DATOS!$C$1563+(CROQUIS_DATOS!$C$1489)*CROQUIS_DATOS!$C$1562),(CROQUIS_DATOS!$C$1563+(CROQUIS_DATOS!$C$1489)*CROQUIS_DATOS!$C$1562)),-1000)</f>
        <v>-1000</v>
      </c>
      <c r="BA12">
        <f>IF(AND(CROQUIS_DATOS!$C$1472=1,CROQUIS_DATOS!$C$1478&gt;=3),CHOOSE(MIN(MAX($A12,1),5),(CROQUIS_DATOS!$C$1564+(CROQUIS_DATOS!$C$1491)*CROQUIS_DATOS!$C$1561*CROQUIS_DATOS!$C$1562),(CROQUIS_DATOS!$C$1564+(CROQUIS_DATOS!$C$1491)*CROQUIS_DATOS!$C$1561*CROQUIS_DATOS!$C$1562),(CROQUIS_DATOS!$C$1564+((CROQUIS_DATOS!$C$1491+CROQUIS_DATOS!$C$1492))*CROQUIS_DATOS!$C$1561*CROQUIS_DATOS!$C$1562),(CROQUIS_DATOS!$C$1564+((CROQUIS_DATOS!$C$1491+CROQUIS_DATOS!$C$1492))*CROQUIS_DATOS!$C$1561*CROQUIS_DATOS!$C$1562),(CROQUIS_DATOS!$C$1564+(CROQUIS_DATOS!$C$1491)*CROQUIS_DATOS!$C$1561*CROQUIS_DATOS!$C$1562)),-1000)</f>
        <v>-1000</v>
      </c>
      <c r="BB12">
        <f>IF(AND(CROQUIS_DATOS!$C$1472=1,CROQUIS_DATOS!$C$1478&gt;=3),(CROQUIS_DATOS!$C$1563+(CHOOSE(MIN(MAX($A12,1),5),CROQUIS_DATOS!$C$1489,(CROQUIS_DATOS!$C$1489+CROQUIS_DATOS!$C$1490),(CROQUIS_DATOS!$C$1489+CROQUIS_DATOS!$C$1490),CROQUIS_DATOS!$C$1489,(CROQUIS_DATOS!$C$1489+CROQUIS_DATOS!$C$1490)))*CROQUIS_DATOS!$C$1562),-1000)</f>
        <v>-1000</v>
      </c>
      <c r="BC12">
        <f>IF(AND(CROQUIS_DATOS!$C$1472=1,CROQUIS_DATOS!$C$1478&gt;=3),(CROQUIS_DATOS!$C$1564+(CHOOSE(MIN(MAX($A12,1),5),CROQUIS_DATOS!$C$1491,(CROQUIS_DATOS!$C$1491+CROQUIS_DATOS!$C$1492),(CROQUIS_DATOS!$C$1491+CROQUIS_DATOS!$C$1492),CROQUIS_DATOS!$C$1491,CROQUIS_DATOS!$C$1491))*CROQUIS_DATOS!$C$1561*CROQUIS_DATOS!$C$1562),-1000)</f>
        <v>-1000</v>
      </c>
      <c r="BD12">
        <f>IF(AND(CROQUIS_DATOS!$C$1472=1,CROQUIS_DATOS!$C$1478&gt;=3,(CROQUIS_DATOS!$C$1491+CROQUIS_DATOS!$C$1492)+CROQUIS_DATOS!$C$1528&lt;CROQUIS_DATOS!$C$1476-2),CHOOSE(MIN(MAX($A12,1)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E12">
        <f>IF(AND(CROQUIS_DATOS!$C$1472=1,CROQUIS_DATOS!$C$1478&gt;=3,(CROQUIS_DATOS!$C$1491+CROQUIS_DATOS!$C$1492)+CROQUIS_DATOS!$C$1528&lt;CROQUIS_DATOS!$C$1476-2),CHOOSE(MIN(MAX($A12,1),5),(CROQUIS_DATOS!$C$1564+((CROQUIS_DATOS!$C$1491+CROQUIS_DATOS!$C$1492))*CROQUIS_DATOS!$C$1561*CROQUIS_DATOS!$C$1562),(CROQUIS_DATOS!$C$1564+((CROQUIS_DATOS!$C$1491+CROQUIS_DATOS!$C$1492))*CROQUIS_DATOS!$C$1561*CROQUIS_DATOS!$C$1562),(CROQUIS_DATOS!$C$1564+(((CROQUIS_DATOS!$C$1491+CROQUIS_DATOS!$C$1492)+CROQUIS_DATOS!$C$1528))*CROQUIS_DATOS!$C$1561*CROQUIS_DATOS!$C$1562),(CROQUIS_DATOS!$C$1564+(((CROQUIS_DATOS!$C$1491+CROQUIS_DATOS!$C$1492)+CROQUIS_DATOS!$C$1528))*CROQUIS_DATOS!$C$1561*CROQUIS_DATOS!$C$1562),(CROQUIS_DATOS!$C$1564+((CROQUIS_DATOS!$C$1491+CROQUIS_DATOS!$C$1492))*CROQUIS_DATOS!$C$1561*CROQUIS_DATOS!$C$1562)),-1000)</f>
        <v>-1000</v>
      </c>
      <c r="BF12">
        <f>IF(AND(CROQUIS_DATOS!$C$1472=1,CROQUIS_DATOS!$C$1478&gt;=3,CROQUIS_DATOS!$C$1491&gt;=12),CHOOSE(MIN(MAX($A12,1),5),(CROQUIS_DATOS!$C$1563+((CROQUIS_DATOS!$C$1489-CROQUIS_DATOS!$C$1526))*CROQUIS_DATOS!$C$1562),(CROQUIS_DATOS!$C$1563+(((CROQUIS_DATOS!$C$1489+CROQUIS_DATOS!$C$1490)+CROQUIS_DATOS!$C$1526))*CROQUIS_DATOS!$C$1562),(CROQUIS_DATOS!$C$1563+(((CROQUIS_DATOS!$C$1489+CROQUIS_DATOS!$C$1490)+CROQUIS_DATOS!$C$1526))*CROQUIS_DATOS!$C$1562),(CROQUIS_DATOS!$C$1563+((CROQUIS_DATOS!$C$1489-CROQUIS_DATOS!$C$1526))*CROQUIS_DATOS!$C$1562),(CROQUIS_DATOS!$C$1563+((CROQUIS_DATOS!$C$1489-CROQUIS_DATOS!$C$1526))*CROQUIS_DATOS!$C$1562)),-1000)</f>
        <v>-1000</v>
      </c>
      <c r="BG12">
        <f>IF(AND(CROQUIS_DATOS!$C$1472=1,CROQUIS_DATOS!$C$1478&gt;=3,CROQUIS_DATOS!$C$1491&gt;=12),CHOOSE(MIN(MAX($A12,1),5),(CROQUIS_DATOS!$C$1564+((CROQUIS_DATOS!$C$1491-10))*CROQUIS_DATOS!$C$1561*CROQUIS_DATOS!$C$1562),(CROQUIS_DATOS!$C$1564+((CROQUIS_DATOS!$C$1491-10))*CROQUIS_DATOS!$C$1561*CROQUIS_DATOS!$C$1562),(CROQUIS_DATOS!$C$1564+(CROQUIS_DATOS!$C$1491)*CROQUIS_DATOS!$C$1561*CROQUIS_DATOS!$C$1562),(CROQUIS_DATOS!$C$1564+(CROQUIS_DATOS!$C$1491)*CROQUIS_DATOS!$C$1561*CROQUIS_DATOS!$C$1562),(CROQUIS_DATOS!$C$1564+((CROQUIS_DATOS!$C$1491-10))*CROQUIS_DATOS!$C$1561*CROQUIS_DATOS!$C$1562)),-1000)</f>
        <v>-1000</v>
      </c>
      <c r="BH12">
        <f>IF(AND(CROQUIS_DATOS!$C$1472=1,CROQUIS_DATOS!$C$1478&gt;=4),CHOOSE(MIN(MAX($A12,1),5),(CROQUIS_DATOS!$C$1563+(CROQUIS_DATOS!$C$1494)*CROQUIS_DATOS!$C$1562),(CROQUIS_DATOS!$C$1563+((CROQUIS_DATOS!$C$1494+CROQUIS_DATOS!$C$1495))*CROQUIS_DATOS!$C$1562),(CROQUIS_DATOS!$C$1563+((CROQUIS_DATOS!$C$1494+CROQUIS_DATOS!$C$1495))*CROQUIS_DATOS!$C$1562),(CROQUIS_DATOS!$C$1563+(CROQUIS_DATOS!$C$1494)*CROQUIS_DATOS!$C$1562),(CROQUIS_DATOS!$C$1563+(CROQUIS_DATOS!$C$1494)*CROQUIS_DATOS!$C$1562)),-1000)</f>
        <v>-1000</v>
      </c>
      <c r="BI12">
        <f>IF(AND(CROQUIS_DATOS!$C$1472=1,CROQUIS_DATOS!$C$1478&gt;=4),CHOOSE(MIN(MAX($A12,1),5),(CROQUIS_DATOS!$C$1564+(CROQUIS_DATOS!$C$1496)*CROQUIS_DATOS!$C$1561*CROQUIS_DATOS!$C$1562),(CROQUIS_DATOS!$C$1564+(CROQUIS_DATOS!$C$1496)*CROQUIS_DATOS!$C$1561*CROQUIS_DATOS!$C$1562),(CROQUIS_DATOS!$C$1564+((CROQUIS_DATOS!$C$1496+CROQUIS_DATOS!$C$1497))*CROQUIS_DATOS!$C$1561*CROQUIS_DATOS!$C$1562),(CROQUIS_DATOS!$C$1564+((CROQUIS_DATOS!$C$1496+CROQUIS_DATOS!$C$1497))*CROQUIS_DATOS!$C$1561*CROQUIS_DATOS!$C$1562),(CROQUIS_DATOS!$C$1564+(CROQUIS_DATOS!$C$1496)*CROQUIS_DATOS!$C$1561*CROQUIS_DATOS!$C$1562)),-1000)</f>
        <v>-1000</v>
      </c>
      <c r="BJ12">
        <f>IF(AND(CROQUIS_DATOS!$C$1472=1,CROQUIS_DATOS!$C$1478&gt;=4),(CROQUIS_DATOS!$C$1563+(CHOOSE(MIN(MAX($A12,1),5),CROQUIS_DATOS!$C$1494,(CROQUIS_DATOS!$C$1494+CROQUIS_DATOS!$C$1495),(CROQUIS_DATOS!$C$1494+CROQUIS_DATOS!$C$1495),CROQUIS_DATOS!$C$1494,(CROQUIS_DATOS!$C$1494+CROQUIS_DATOS!$C$1495)))*CROQUIS_DATOS!$C$1562),-1000)</f>
        <v>-1000</v>
      </c>
      <c r="BK12">
        <f>IF(AND(CROQUIS_DATOS!$C$1472=1,CROQUIS_DATOS!$C$1478&gt;=4),(CROQUIS_DATOS!$C$1564+(CHOOSE(MIN(MAX($A12,1),5),CROQUIS_DATOS!$C$1496,(CROQUIS_DATOS!$C$1496+CROQUIS_DATOS!$C$1497),(CROQUIS_DATOS!$C$1496+CROQUIS_DATOS!$C$1497),CROQUIS_DATOS!$C$1496,CROQUIS_DATOS!$C$1496))*CROQUIS_DATOS!$C$1561*CROQUIS_DATOS!$C$1562),-1000)</f>
        <v>-1000</v>
      </c>
      <c r="BL12">
        <f>IF(AND(CROQUIS_DATOS!$C$1472=1,CROQUIS_DATOS!$C$1478&gt;=4,(CROQUIS_DATOS!$C$1496+CROQUIS_DATOS!$C$1497)+CROQUIS_DATOS!$C$1528&lt;CROQUIS_DATOS!$C$1476-2),CHOOSE(MIN(MAX($A12,1)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M12">
        <f>IF(AND(CROQUIS_DATOS!$C$1472=1,CROQUIS_DATOS!$C$1478&gt;=4,(CROQUIS_DATOS!$C$1496+CROQUIS_DATOS!$C$1497)+CROQUIS_DATOS!$C$1528&lt;CROQUIS_DATOS!$C$1476-2),CHOOSE(MIN(MAX($A12,1),5),(CROQUIS_DATOS!$C$1564+((CROQUIS_DATOS!$C$1496+CROQUIS_DATOS!$C$1497))*CROQUIS_DATOS!$C$1561*CROQUIS_DATOS!$C$1562),(CROQUIS_DATOS!$C$1564+((CROQUIS_DATOS!$C$1496+CROQUIS_DATOS!$C$1497))*CROQUIS_DATOS!$C$1561*CROQUIS_DATOS!$C$1562),(CROQUIS_DATOS!$C$1564+(((CROQUIS_DATOS!$C$1496+CROQUIS_DATOS!$C$1497)+CROQUIS_DATOS!$C$1528))*CROQUIS_DATOS!$C$1561*CROQUIS_DATOS!$C$1562),(CROQUIS_DATOS!$C$1564+(((CROQUIS_DATOS!$C$1496+CROQUIS_DATOS!$C$1497)+CROQUIS_DATOS!$C$1528))*CROQUIS_DATOS!$C$1561*CROQUIS_DATOS!$C$1562),(CROQUIS_DATOS!$C$1564+((CROQUIS_DATOS!$C$1496+CROQUIS_DATOS!$C$1497))*CROQUIS_DATOS!$C$1561*CROQUIS_DATOS!$C$1562)),-1000)</f>
        <v>-1000</v>
      </c>
      <c r="BN12">
        <f>IF(AND(CROQUIS_DATOS!$C$1472=1,CROQUIS_DATOS!$C$1478&gt;=4,CROQUIS_DATOS!$C$1496&gt;=12),CHOOSE(MIN(MAX($A12,1),5),(CROQUIS_DATOS!$C$1563+((CROQUIS_DATOS!$C$1494-CROQUIS_DATOS!$C$1526))*CROQUIS_DATOS!$C$1562),(CROQUIS_DATOS!$C$1563+(((CROQUIS_DATOS!$C$1494+CROQUIS_DATOS!$C$1495)+CROQUIS_DATOS!$C$1526))*CROQUIS_DATOS!$C$1562),(CROQUIS_DATOS!$C$1563+(((CROQUIS_DATOS!$C$1494+CROQUIS_DATOS!$C$1495)+CROQUIS_DATOS!$C$1526))*CROQUIS_DATOS!$C$1562),(CROQUIS_DATOS!$C$1563+((CROQUIS_DATOS!$C$1494-CROQUIS_DATOS!$C$1526))*CROQUIS_DATOS!$C$1562),(CROQUIS_DATOS!$C$1563+((CROQUIS_DATOS!$C$1494-CROQUIS_DATOS!$C$1526))*CROQUIS_DATOS!$C$1562)),-1000)</f>
        <v>-1000</v>
      </c>
      <c r="BO12">
        <f>IF(AND(CROQUIS_DATOS!$C$1472=1,CROQUIS_DATOS!$C$1478&gt;=4,CROQUIS_DATOS!$C$1496&gt;=12),CHOOSE(MIN(MAX($A12,1),5),(CROQUIS_DATOS!$C$1564+((CROQUIS_DATOS!$C$1496-10))*CROQUIS_DATOS!$C$1561*CROQUIS_DATOS!$C$1562),(CROQUIS_DATOS!$C$1564+((CROQUIS_DATOS!$C$1496-10))*CROQUIS_DATOS!$C$1561*CROQUIS_DATOS!$C$1562),(CROQUIS_DATOS!$C$1564+(CROQUIS_DATOS!$C$1496)*CROQUIS_DATOS!$C$1561*CROQUIS_DATOS!$C$1562),(CROQUIS_DATOS!$C$1564+(CROQUIS_DATOS!$C$1496)*CROQUIS_DATOS!$C$1561*CROQUIS_DATOS!$C$1562),(CROQUIS_DATOS!$C$1564+((CROQUIS_DATOS!$C$1496-10))*CROQUIS_DATOS!$C$1561*CROQUIS_DATOS!$C$1562)),-1000)</f>
        <v>-1000</v>
      </c>
      <c r="BP12">
        <f>IF(AND(CROQUIS_DATOS!$C$1472=1,1),CHOOSE(MIN(MAX($A12,1),5),(CROQUIS_DATOS!$C$1563+(0)*CROQUIS_DATOS!$C$1562),(CROQUIS_DATOS!$C$1563+(CROQUIS_DATOS!$C$1475)*CROQUIS_DATOS!$C$1562),(CROQUIS_DATOS!$C$1563+(CROQUIS_DATOS!$C$1475)*CROQUIS_DATOS!$C$1562),(CROQUIS_DATOS!$C$1563+(0)*CROQUIS_DATOS!$C$1562),(CROQUIS_DATOS!$C$1563+(0)*CROQUIS_DATOS!$C$1562)),-1000)</f>
        <v>15.0862068965517</v>
      </c>
      <c r="BQ12">
        <f>IF(AND(CROQUIS_DATOS!$C$1472=1,1),CHOOSE(MIN(MAX($A12,1),5),(CROQUIS_DATOS!$C$1564+(0)*CROQUIS_DATOS!$C$1561*CROQUIS_DATOS!$C$1562),(CROQUIS_DATOS!$C$1564+(0)*CROQUIS_DATOS!$C$1561*CROQUIS_DATOS!$C$1562),(CROQUIS_DATOS!$C$1564+(CROQUIS_DATOS!$C$1476)*CROQUIS_DATOS!$C$1561*CROQUIS_DATOS!$C$1562),(CROQUIS_DATOS!$C$1564+(CROQUIS_DATOS!$C$1476)*CROQUIS_DATOS!$C$1561*CROQUIS_DATOS!$C$1562),(CROQUIS_DATOS!$C$1564+(0)*CROQUIS_DATOS!$C$1561*CROQUIS_DATOS!$C$1562)),-1000)</f>
        <v>5.29310344827586</v>
      </c>
      <c r="BR12">
        <f>IF(AND(CROQUIS_DATOS!$C$1472=1,1),CHOOSE(MIN(MAX($A12,1)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S12">
        <f>IF(AND(CROQUIS_DATOS!$C$1472=1,1),CHOOSE(MIN(MAX($A12,1),5),(CROQUIS_DATOS!$C$1567+(0)*CROQUIS_DATOS!$C$1561*CROQUIS_DATOS!$C$1565),(CROQUIS_DATOS!$C$1567+(0)*CROQUIS_DATOS!$C$1561*CROQUIS_DATOS!$C$1565),(CROQUIS_DATOS!$C$1567+(CROQUIS_DATOS!$C$1476)*CROQUIS_DATOS!$C$1561*CROQUIS_DATOS!$C$1565),(CROQUIS_DATOS!$C$1567+(CROQUIS_DATOS!$C$1476)*CROQUIS_DATOS!$C$1561*CROQUIS_DATOS!$C$1565),(CROQUIS_DATOS!$C$1567+(0)*CROQUIS_DATOS!$C$1561*CROQUIS_DATOS!$C$1565)),-1000)</f>
        <v>12.1379310344828</v>
      </c>
      <c r="BT12">
        <f>IF(AND(CROQUIS_DATOS!$C$1472=1,1),CHOOSE(MIN(MAX($A12,1)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U12">
        <f>IF(AND(CROQUIS_DATOS!$C$1472=1,1),CHOOSE(MIN(MAX($A12,1),5),(CROQUIS_DATOS!$C$1567+(CROQUIS_DATOS!$C$1476)*CROQUIS_DATOS!$C$1561*CROQUIS_DATOS!$C$1565),(CROQUIS_DATOS!$C$1567+(CROQUIS_DATOS!$C$1476)*CROQUIS_DATOS!$C$1561*CROQUIS_DATOS!$C$1565),(CROQUIS_DATOS!$C$1567+(CROQUIS_DATOS!$C$1476+CROQUIS_DATOS!$C$1528)*CROQUIS_DATOS!$C$1561*CROQUIS_DATOS!$C$1565),(CROQUIS_DATOS!$C$1567+(CROQUIS_DATOS!$C$1476+CROQUIS_DATOS!$C$1528)*CROQUIS_DATOS!$C$1561*CROQUIS_DATOS!$C$1565),(CROQUIS_DATOS!$C$1567+(CROQUIS_DATOS!$C$1476)*CROQUIS_DATOS!$C$1561*CROQUIS_DATOS!$C$1565)),-1000)</f>
        <v>38.8620689655172</v>
      </c>
      <c r="BV12">
        <f>IF(AND(CROQUIS_DATOS!$C$1472=1,1),CHOOSE(MIN(MAX($A12,1),5),(CROQUIS_DATOS!$C$1566+(0)*CROQUIS_DATOS!$C$1565),(CROQUIS_DATOS!$C$1566+(CROQUIS_DATOS!$C$1475)*CROQUIS_DATOS!$C$1565),(CROQUIS_DATOS!$C$1566+(CROQUIS_DATOS!$C$1475)*CROQUIS_DATOS!$C$1565),(CROQUIS_DATOS!$C$1566+(0)*CROQUIS_DATOS!$C$1565),(CROQUIS_DATOS!$C$1566+(0)*CROQUIS_DATOS!$C$1565)),-1000)</f>
        <v>24.2758620689655</v>
      </c>
      <c r="BW12">
        <f>IF(AND(CROQUIS_DATOS!$C$1472=1,1),CHOOSE(MIN(MAX($A12,1),5),(CROQUIS_DATOS!$C$1567+(-CROQUIS_DATOS!$C$1528)*CROQUIS_DATOS!$C$1561*CROQUIS_DATOS!$C$1565),(CROQUIS_DATOS!$C$1567+(-CROQUIS_DATOS!$C$1528)*CROQUIS_DATOS!$C$1561*CROQUIS_DATOS!$C$1565),(CROQUIS_DATOS!$C$1567+(0)*CROQUIS_DATOS!$C$1561*CROQUIS_DATOS!$C$1565),(CROQUIS_DATOS!$C$1567+(0)*CROQUIS_DATOS!$C$1561*CROQUIS_DATOS!$C$1565),(CROQUIS_DATOS!$C$1567+(-CROQUIS_DATOS!$C$1528)*CROQUIS_DATOS!$C$1561*CROQUIS_DATOS!$C$1565)),-1000)</f>
        <v>10</v>
      </c>
      <c r="BX12">
        <f>IF(AND(CROQUIS_DATOS!$C$1472=1,CROQUIS_DATOS!$C$1544=1),CHOOSE(MIN(MAX($A12,1),5),(CROQUIS_DATOS!$C$1566+(CROQUIS_DATOS!$C$1549)*CROQUIS_DATOS!$C$1565),(CROQUIS_DATOS!$C$1566+(CROQUIS_DATOS!$C$1550)*CROQUIS_DATOS!$C$1565),(CROQUIS_DATOS!$C$1566+(CROQUIS_DATOS!$C$1550)*CROQUIS_DATOS!$C$1565),(CROQUIS_DATOS!$C$1566+(CROQUIS_DATOS!$C$1549)*CROQUIS_DATOS!$C$1565),(CROQUIS_DATOS!$C$1566+(CROQUIS_DATOS!$C$1549)*CROQUIS_DATOS!$C$1565)),-1000)</f>
        <v>-1000</v>
      </c>
      <c r="BY12">
        <f>IF(AND(CROQUIS_DATOS!$C$1472=1,CROQUIS_DATOS!$C$1544=1),CHOOSE(MIN(MAX($A12,1),5),(CROQUIS_DATOS!$C$1567+(-CROQUIS_DATOS!$C$1551)*CROQUIS_DATOS!$C$1561*CROQUIS_DATOS!$C$1565),(CROQUIS_DATOS!$C$1567+(-CROQUIS_DATOS!$C$1551)*CROQUIS_DATOS!$C$1561*CROQUIS_DATOS!$C$1565),(CROQUIS_DATOS!$C$1567+(0)*CROQUIS_DATOS!$C$1561*CROQUIS_DATOS!$C$1565),(CROQUIS_DATOS!$C$1567+(0)*CROQUIS_DATOS!$C$1561*CROQUIS_DATOS!$C$1565),(CROQUIS_DATOS!$C$1567+(-CROQUIS_DATOS!$C$1551)*CROQUIS_DATOS!$C$1561*CROQUIS_DATOS!$C$1565)),-1000)</f>
        <v>-1000</v>
      </c>
      <c r="BZ12">
        <f>IF(AND(CROQUIS_DATOS!$C$1472=1,CROQUIS_DATOS!$C$1500&gt;0,((CROQUIS_DATOS!$C$1499+CROQUIS_DATOS!$C$1500))-(CROQUIS_DATOS!$C$1499)&gt;0.5,(CROQUIS_DATOS!$C$1476)-(0)&gt;0.5),(CROQUIS_DATOS!$C$1566+(IF(IF(MOD(MIN(INT(($A12-1)/2)+1,MAX(1,INT(((((CROQUIS_DATOS!$C$1499+CROQUIS_DATOS!$C$1500))-(CROQUIS_DATOS!$C$1499))+((CROQUIS_DATOS!$C$1476)*CROQUIS_DATOS!$C$1561-(0)*CROQUIS_DATOS!$C$1561))/CROQUIS_DATOS!$C$1568-0.000001))),2)=1,IF(INT(($A12-1)/2)+1&gt;MAX(1,INT(((((CROQUIS_DATOS!$C$1499+CROQUIS_DATOS!$C$1500))-(CROQUIS_DATOS!$C$1499))+((CROQUIS_DATOS!$C$1476)*CROQUIS_DATOS!$C$1561-(0)*CROQUIS_DATOS!$C$1561))/CROQUIS_DATOS!$C$1568-0.000001)),1,MOD($A12-1,2)),1-IF(INT(($A12-1)/2)+1&gt;MAX(1,INT(((((CROQUIS_DATOS!$C$1499+CROQUIS_DATOS!$C$1500))-(CROQUIS_DATOS!$C$1499))+((CROQUIS_DATOS!$C$1476)*CROQUIS_DATOS!$C$1561-(0)*CROQUIS_DATOS!$C$1561))/CROQUIS_DATOS!$C$1568-0.000001)),1,MOD($A12-1,2)))=1,MIN((CROQUIS_DATOS!$C$1476)*CROQUIS_DATOS!$C$1561,((CROQUIS_DATOS!$C$1499+CROQUIS_DATOS!$C$1500)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12">
        <f>IF(AND(CROQUIS_DATOS!$C$1472=1,CROQUIS_DATOS!$C$1500&gt;0,((CROQUIS_DATOS!$C$1499+CROQUIS_DATOS!$C$1500))-(CROQUIS_DATOS!$C$1499)&gt;0.5,(CROQUIS_DATOS!$C$1476)-(0)&gt;0.5),(CROQUIS_DATOS!$C$1567+(IF(IF(MOD(MIN(INT(($A12-1)/2)+1,MAX(1,INT(((((CROQUIS_DATOS!$C$1499+CROQUIS_DATOS!$C$1500))-(CROQUIS_DATOS!$C$1499))+((CROQUIS_DATOS!$C$1476)*CROQUIS_DATOS!$C$1561-(0)*CROQUIS_DATOS!$C$1561))/CROQUIS_DATOS!$C$1568-0.000001))),2)=1,IF(INT(($A12-1)/2)+1&gt;MAX(1,INT(((((CROQUIS_DATOS!$C$1499+CROQUIS_DATOS!$C$1500))-(CROQUIS_DATOS!$C$1499))+((CROQUIS_DATOS!$C$1476)*CROQUIS_DATOS!$C$1561-(0)*CROQUIS_DATOS!$C$1561))/CROQUIS_DATOS!$C$1568-0.000001)),1,MOD($A12-1,2)),1-IF(INT(($A12-1)/2)+1&gt;MAX(1,INT(((((CROQUIS_DATOS!$C$1499+CROQUIS_DATOS!$C$1500))-(CROQUIS_DATOS!$C$1499))+((CROQUIS_DATOS!$C$1476)*CROQUIS_DATOS!$C$1561-(0)*CROQUIS_DATOS!$C$1561))/CROQUIS_DATOS!$C$1568-0.000001)),1,MOD($A12-1,2)))=1,MIN((CROQUIS_DATOS!$C$1476)*CROQUIS_DATOS!$C$1561,((CROQUIS_DATOS!$C$1499+CROQUIS_DATOS!$C$1500)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12-1)/2)+1,MAX(1,INT(((((CROQUIS_DATOS!$C$1499+CROQUIS_DATOS!$C$1500))-(CROQUIS_DATOS!$C$1499))+((CROQUIS_DATOS!$C$1476)*CROQUIS_DATOS!$C$1561-(0)*CROQUIS_DATOS!$C$1561))/CROQUIS_DATOS!$C$1568-0.000001)))*CROQUIS_DATOS!$C$1568))))*CROQUIS_DATOS!$C$1565),-1000)</f>
        <v>34.0620689655172</v>
      </c>
      <c r="CB12">
        <f>IF(AND(CROQUIS_DATOS!$C$1472=1,CROQUIS_DATOS!$C$1504&gt;0,((CROQUIS_DATOS!$C$1503+CROQUIS_DATOS!$C$1504))-(CROQUIS_DATOS!$C$1503)&gt;0.5,(CROQUIS_DATOS!$C$1476)-(0)&gt;0.5),(CROQUIS_DATOS!$C$1566+(IF(IF(MOD(MIN(INT(($A12-1)/2)+1,MAX(1,INT(((((CROQUIS_DATOS!$C$1503+CROQUIS_DATOS!$C$1504))-(CROQUIS_DATOS!$C$1503))+((CROQUIS_DATOS!$C$1476)*CROQUIS_DATOS!$C$1561-(0)*CROQUIS_DATOS!$C$1561))/CROQUIS_DATOS!$C$1568-0.000001))),2)=1,IF(INT(($A12-1)/2)+1&gt;MAX(1,INT(((((CROQUIS_DATOS!$C$1503+CROQUIS_DATOS!$C$1504))-(CROQUIS_DATOS!$C$1503))+((CROQUIS_DATOS!$C$1476)*CROQUIS_DATOS!$C$1561-(0)*CROQUIS_DATOS!$C$1561))/CROQUIS_DATOS!$C$1568-0.000001)),1,MOD($A12-1,2)),1-IF(INT(($A12-1)/2)+1&gt;MAX(1,INT(((((CROQUIS_DATOS!$C$1503+CROQUIS_DATOS!$C$1504))-(CROQUIS_DATOS!$C$1503))+((CROQUIS_DATOS!$C$1476)*CROQUIS_DATOS!$C$1561-(0)*CROQUIS_DATOS!$C$1561))/CROQUIS_DATOS!$C$1568-0.000001)),1,MOD($A12-1,2)))=1,MIN((CROQUIS_DATOS!$C$1476)*CROQUIS_DATOS!$C$1561,((CROQUIS_DATOS!$C$1503+CROQUIS_DATOS!$C$1504)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12">
        <f>IF(AND(CROQUIS_DATOS!$C$1472=1,CROQUIS_DATOS!$C$1504&gt;0,((CROQUIS_DATOS!$C$1503+CROQUIS_DATOS!$C$1504))-(CROQUIS_DATOS!$C$1503)&gt;0.5,(CROQUIS_DATOS!$C$1476)-(0)&gt;0.5),(CROQUIS_DATOS!$C$1567+(IF(IF(MOD(MIN(INT(($A12-1)/2)+1,MAX(1,INT(((((CROQUIS_DATOS!$C$1503+CROQUIS_DATOS!$C$1504))-(CROQUIS_DATOS!$C$1503))+((CROQUIS_DATOS!$C$1476)*CROQUIS_DATOS!$C$1561-(0)*CROQUIS_DATOS!$C$1561))/CROQUIS_DATOS!$C$1568-0.000001))),2)=1,IF(INT(($A12-1)/2)+1&gt;MAX(1,INT(((((CROQUIS_DATOS!$C$1503+CROQUIS_DATOS!$C$1504))-(CROQUIS_DATOS!$C$1503))+((CROQUIS_DATOS!$C$1476)*CROQUIS_DATOS!$C$1561-(0)*CROQUIS_DATOS!$C$1561))/CROQUIS_DATOS!$C$1568-0.000001)),1,MOD($A12-1,2)),1-IF(INT(($A12-1)/2)+1&gt;MAX(1,INT(((((CROQUIS_DATOS!$C$1503+CROQUIS_DATOS!$C$1504))-(CROQUIS_DATOS!$C$1503))+((CROQUIS_DATOS!$C$1476)*CROQUIS_DATOS!$C$1561-(0)*CROQUIS_DATOS!$C$1561))/CROQUIS_DATOS!$C$1568-0.000001)),1,MOD($A12-1,2)))=1,MIN((CROQUIS_DATOS!$C$1476)*CROQUIS_DATOS!$C$1561,((CROQUIS_DATOS!$C$1503+CROQUIS_DATOS!$C$1504)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12-1)/2)+1,MAX(1,INT(((((CROQUIS_DATOS!$C$1503+CROQUIS_DATOS!$C$1504))-(CROQUIS_DATOS!$C$1503))+((CROQUIS_DATOS!$C$1476)*CROQUIS_DATOS!$C$1561-(0)*CROQUIS_DATOS!$C$1561))/CROQUIS_DATOS!$C$1568-0.000001)))*CROQUIS_DATOS!$C$1568))))*CROQUIS_DATOS!$C$1565),-1000)</f>
        <v>34.0620689655172</v>
      </c>
      <c r="CD12">
        <f>IF(AND(CROQUIS_DATOS!$C$1472=1,CROQUIS_DATOS!$C$1508&gt;0,((CROQUIS_DATOS!$C$1507+CROQUIS_DATOS!$C$1508))-(CROQUIS_DATOS!$C$1507)&gt;0.5,(CROQUIS_DATOS!$C$1476)-(0)&gt;0.5),(CROQUIS_DATOS!$C$1566+(IF(IF(MOD(MIN(INT(($A12-1)/2)+1,MAX(1,INT(((((CROQUIS_DATOS!$C$1507+CROQUIS_DATOS!$C$1508))-(CROQUIS_DATOS!$C$1507))+((CROQUIS_DATOS!$C$1476)*CROQUIS_DATOS!$C$1561-(0)*CROQUIS_DATOS!$C$1561))/CROQUIS_DATOS!$C$1568-0.000001))),2)=1,IF(INT(($A12-1)/2)+1&gt;MAX(1,INT(((((CROQUIS_DATOS!$C$1507+CROQUIS_DATOS!$C$1508))-(CROQUIS_DATOS!$C$1507))+((CROQUIS_DATOS!$C$1476)*CROQUIS_DATOS!$C$1561-(0)*CROQUIS_DATOS!$C$1561))/CROQUIS_DATOS!$C$1568-0.000001)),1,MOD($A12-1,2)),1-IF(INT(($A12-1)/2)+1&gt;MAX(1,INT(((((CROQUIS_DATOS!$C$1507+CROQUIS_DATOS!$C$1508))-(CROQUIS_DATOS!$C$1507))+((CROQUIS_DATOS!$C$1476)*CROQUIS_DATOS!$C$1561-(0)*CROQUIS_DATOS!$C$1561))/CROQUIS_DATOS!$C$1568-0.000001)),1,MOD($A12-1,2)))=1,MIN((CROQUIS_DATOS!$C$1476)*CROQUIS_DATOS!$C$1561,((CROQUIS_DATOS!$C$1507+CROQUIS_DATOS!$C$1508)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12">
        <f>IF(AND(CROQUIS_DATOS!$C$1472=1,CROQUIS_DATOS!$C$1508&gt;0,((CROQUIS_DATOS!$C$1507+CROQUIS_DATOS!$C$1508))-(CROQUIS_DATOS!$C$1507)&gt;0.5,(CROQUIS_DATOS!$C$1476)-(0)&gt;0.5),(CROQUIS_DATOS!$C$1567+(IF(IF(MOD(MIN(INT(($A12-1)/2)+1,MAX(1,INT(((((CROQUIS_DATOS!$C$1507+CROQUIS_DATOS!$C$1508))-(CROQUIS_DATOS!$C$1507))+((CROQUIS_DATOS!$C$1476)*CROQUIS_DATOS!$C$1561-(0)*CROQUIS_DATOS!$C$1561))/CROQUIS_DATOS!$C$1568-0.000001))),2)=1,IF(INT(($A12-1)/2)+1&gt;MAX(1,INT(((((CROQUIS_DATOS!$C$1507+CROQUIS_DATOS!$C$1508))-(CROQUIS_DATOS!$C$1507))+((CROQUIS_DATOS!$C$1476)*CROQUIS_DATOS!$C$1561-(0)*CROQUIS_DATOS!$C$1561))/CROQUIS_DATOS!$C$1568-0.000001)),1,MOD($A12-1,2)),1-IF(INT(($A12-1)/2)+1&gt;MAX(1,INT(((((CROQUIS_DATOS!$C$1507+CROQUIS_DATOS!$C$1508))-(CROQUIS_DATOS!$C$1507))+((CROQUIS_DATOS!$C$1476)*CROQUIS_DATOS!$C$1561-(0)*CROQUIS_DATOS!$C$1561))/CROQUIS_DATOS!$C$1568-0.000001)),1,MOD($A12-1,2)))=1,MIN((CROQUIS_DATOS!$C$1476)*CROQUIS_DATOS!$C$1561,((CROQUIS_DATOS!$C$1507+CROQUIS_DATOS!$C$1508)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12-1)/2)+1,MAX(1,INT(((((CROQUIS_DATOS!$C$1507+CROQUIS_DATOS!$C$1508))-(CROQUIS_DATOS!$C$1507))+((CROQUIS_DATOS!$C$1476)*CROQUIS_DATOS!$C$1561-(0)*CROQUIS_DATOS!$C$1561))/CROQUIS_DATOS!$C$1568-0.000001)))*CROQUIS_DATOS!$C$1568))))*CROQUIS_DATOS!$C$1565),-1000)</f>
        <v>34.0620689655172</v>
      </c>
      <c r="CF12">
        <f>IF(AND(CROQUIS_DATOS!$C$1472=1,CROQUIS_DATOS!$C$1512&gt;0,((CROQUIS_DATOS!$C$1511+CROQUIS_DATOS!$C$1512))-(CROQUIS_DATOS!$C$1511)&gt;0.5,(CROQUIS_DATOS!$C$1476)-(0)&gt;0.5),(CROQUIS_DATOS!$C$1566+(IF(IF(MOD(MIN(INT(($A12-1)/2)+1,MAX(1,INT(((((CROQUIS_DATOS!$C$1511+CROQUIS_DATOS!$C$1512))-(CROQUIS_DATOS!$C$1511))+((CROQUIS_DATOS!$C$1476)*CROQUIS_DATOS!$C$1561-(0)*CROQUIS_DATOS!$C$1561))/CROQUIS_DATOS!$C$1568-0.000001))),2)=1,IF(INT(($A12-1)/2)+1&gt;MAX(1,INT(((((CROQUIS_DATOS!$C$1511+CROQUIS_DATOS!$C$1512))-(CROQUIS_DATOS!$C$1511))+((CROQUIS_DATOS!$C$1476)*CROQUIS_DATOS!$C$1561-(0)*CROQUIS_DATOS!$C$1561))/CROQUIS_DATOS!$C$1568-0.000001)),1,MOD($A12-1,2)),1-IF(INT(($A12-1)/2)+1&gt;MAX(1,INT(((((CROQUIS_DATOS!$C$1511+CROQUIS_DATOS!$C$1512))-(CROQUIS_DATOS!$C$1511))+((CROQUIS_DATOS!$C$1476)*CROQUIS_DATOS!$C$1561-(0)*CROQUIS_DATOS!$C$1561))/CROQUIS_DATOS!$C$1568-0.000001)),1,MOD($A12-1,2)))=1,MIN((CROQUIS_DATOS!$C$1476)*CROQUIS_DATOS!$C$1561,((CROQUIS_DATOS!$C$1511+CROQUIS_DATOS!$C$1512)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">
        <f>IF(AND(CROQUIS_DATOS!$C$1472=1,CROQUIS_DATOS!$C$1512&gt;0,((CROQUIS_DATOS!$C$1511+CROQUIS_DATOS!$C$1512))-(CROQUIS_DATOS!$C$1511)&gt;0.5,(CROQUIS_DATOS!$C$1476)-(0)&gt;0.5),(CROQUIS_DATOS!$C$1567+(IF(IF(MOD(MIN(INT(($A12-1)/2)+1,MAX(1,INT(((((CROQUIS_DATOS!$C$1511+CROQUIS_DATOS!$C$1512))-(CROQUIS_DATOS!$C$1511))+((CROQUIS_DATOS!$C$1476)*CROQUIS_DATOS!$C$1561-(0)*CROQUIS_DATOS!$C$1561))/CROQUIS_DATOS!$C$1568-0.000001))),2)=1,IF(INT(($A12-1)/2)+1&gt;MAX(1,INT(((((CROQUIS_DATOS!$C$1511+CROQUIS_DATOS!$C$1512))-(CROQUIS_DATOS!$C$1511))+((CROQUIS_DATOS!$C$1476)*CROQUIS_DATOS!$C$1561-(0)*CROQUIS_DATOS!$C$1561))/CROQUIS_DATOS!$C$1568-0.000001)),1,MOD($A12-1,2)),1-IF(INT(($A12-1)/2)+1&gt;MAX(1,INT(((((CROQUIS_DATOS!$C$1511+CROQUIS_DATOS!$C$1512))-(CROQUIS_DATOS!$C$1511))+((CROQUIS_DATOS!$C$1476)*CROQUIS_DATOS!$C$1561-(0)*CROQUIS_DATOS!$C$1561))/CROQUIS_DATOS!$C$1568-0.000001)),1,MOD($A12-1,2)))=1,MIN((CROQUIS_DATOS!$C$1476)*CROQUIS_DATOS!$C$1561,((CROQUIS_DATOS!$C$1511+CROQUIS_DATOS!$C$1512)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">
        <f>IF(AND(CROQUIS_DATOS!$C$1472=1,CROQUIS_DATOS!$C$1516&gt;0,((CROQUIS_DATOS!$C$1515+CROQUIS_DATOS!$C$1516))-(CROQUIS_DATOS!$C$1515)&gt;0.5,(CROQUIS_DATOS!$C$1476)-(0)&gt;0.5),(CROQUIS_DATOS!$C$1566+(IF(IF(MOD(MIN(INT(($A12-1)/2)+1,MAX(1,INT(((((CROQUIS_DATOS!$C$1515+CROQUIS_DATOS!$C$1516))-(CROQUIS_DATOS!$C$1515))+((CROQUIS_DATOS!$C$1476)*CROQUIS_DATOS!$C$1561-(0)*CROQUIS_DATOS!$C$1561))/CROQUIS_DATOS!$C$1568-0.000001))),2)=1,IF(INT(($A12-1)/2)+1&gt;MAX(1,INT(((((CROQUIS_DATOS!$C$1515+CROQUIS_DATOS!$C$1516))-(CROQUIS_DATOS!$C$1515))+((CROQUIS_DATOS!$C$1476)*CROQUIS_DATOS!$C$1561-(0)*CROQUIS_DATOS!$C$1561))/CROQUIS_DATOS!$C$1568-0.000001)),1,MOD($A12-1,2)),1-IF(INT(($A12-1)/2)+1&gt;MAX(1,INT(((((CROQUIS_DATOS!$C$1515+CROQUIS_DATOS!$C$1516))-(CROQUIS_DATOS!$C$1515))+((CROQUIS_DATOS!$C$1476)*CROQUIS_DATOS!$C$1561-(0)*CROQUIS_DATOS!$C$1561))/CROQUIS_DATOS!$C$1568-0.000001)),1,MOD($A12-1,2)))=1,MIN((CROQUIS_DATOS!$C$1476)*CROQUIS_DATOS!$C$1561,((CROQUIS_DATOS!$C$1515+CROQUIS_DATOS!$C$1516)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">
        <f>IF(AND(CROQUIS_DATOS!$C$1472=1,CROQUIS_DATOS!$C$1516&gt;0,((CROQUIS_DATOS!$C$1515+CROQUIS_DATOS!$C$1516))-(CROQUIS_DATOS!$C$1515)&gt;0.5,(CROQUIS_DATOS!$C$1476)-(0)&gt;0.5),(CROQUIS_DATOS!$C$1567+(IF(IF(MOD(MIN(INT(($A12-1)/2)+1,MAX(1,INT(((((CROQUIS_DATOS!$C$1515+CROQUIS_DATOS!$C$1516))-(CROQUIS_DATOS!$C$1515))+((CROQUIS_DATOS!$C$1476)*CROQUIS_DATOS!$C$1561-(0)*CROQUIS_DATOS!$C$1561))/CROQUIS_DATOS!$C$1568-0.000001))),2)=1,IF(INT(($A12-1)/2)+1&gt;MAX(1,INT(((((CROQUIS_DATOS!$C$1515+CROQUIS_DATOS!$C$1516))-(CROQUIS_DATOS!$C$1515))+((CROQUIS_DATOS!$C$1476)*CROQUIS_DATOS!$C$1561-(0)*CROQUIS_DATOS!$C$1561))/CROQUIS_DATOS!$C$1568-0.000001)),1,MOD($A12-1,2)),1-IF(INT(($A12-1)/2)+1&gt;MAX(1,INT(((((CROQUIS_DATOS!$C$1515+CROQUIS_DATOS!$C$1516))-(CROQUIS_DATOS!$C$1515))+((CROQUIS_DATOS!$C$1476)*CROQUIS_DATOS!$C$1561-(0)*CROQUIS_DATOS!$C$1561))/CROQUIS_DATOS!$C$1568-0.000001)),1,MOD($A12-1,2)))=1,MIN((CROQUIS_DATOS!$C$1476)*CROQUIS_DATOS!$C$1561,((CROQUIS_DATOS!$C$1515+CROQUIS_DATOS!$C$1516)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">
        <f>IF(AND(CROQUIS_DATOS!$C$1472=1,CROQUIS_DATOS!$C$1478&gt;=1,((CROQUIS_DATOS!$C$1479+CROQUIS_DATOS!$C$1480))-(CROQUIS_DATOS!$C$1479)&gt;0.5,(CROQUIS_DATOS!$C$1481)-(0)&gt;0.5),(CROQUIS_DATOS!$C$1566+(IF(IF(MOD(MIN(INT(($A12-1)/2)+1,MAX(1,INT(((((CROQUIS_DATOS!$C$1479+CROQUIS_DATOS!$C$1480))-(CROQUIS_DATOS!$C$1479))+((CROQUIS_DATOS!$C$1481)*CROQUIS_DATOS!$C$1561-(0)*CROQUIS_DATOS!$C$1561))/CROQUIS_DATOS!$C$1568-0.000001))),2)=1,IF(INT(($A12-1)/2)+1&gt;MAX(1,INT(((((CROQUIS_DATOS!$C$1479+CROQUIS_DATOS!$C$1480))-(CROQUIS_DATOS!$C$1479))+((CROQUIS_DATOS!$C$1481)*CROQUIS_DATOS!$C$1561-(0)*CROQUIS_DATOS!$C$1561))/CROQUIS_DATOS!$C$1568-0.000001)),1,MOD($A12-1,2)),1-IF(INT(($A12-1)/2)+1&gt;MAX(1,INT(((((CROQUIS_DATOS!$C$1479+CROQUIS_DATOS!$C$1480))-(CROQUIS_DATOS!$C$1479))+((CROQUIS_DATOS!$C$1481)*CROQUIS_DATOS!$C$1561-(0)*CROQUIS_DATOS!$C$1561))/CROQUIS_DATOS!$C$1568-0.000001)),1,MOD($A12-1,2)))=1,MIN((CROQUIS_DATOS!$C$1481)*CROQUIS_DATOS!$C$1561,((CROQUIS_DATOS!$C$1479+CROQUIS_DATOS!$C$1480)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">
        <f>IF(AND(CROQUIS_DATOS!$C$1472=1,CROQUIS_DATOS!$C$1478&gt;=1,((CROQUIS_DATOS!$C$1479+CROQUIS_DATOS!$C$1480))-(CROQUIS_DATOS!$C$1479)&gt;0.5,(CROQUIS_DATOS!$C$1481)-(0)&gt;0.5),(CROQUIS_DATOS!$C$1567+(IF(IF(MOD(MIN(INT(($A12-1)/2)+1,MAX(1,INT(((((CROQUIS_DATOS!$C$1479+CROQUIS_DATOS!$C$1480))-(CROQUIS_DATOS!$C$1479))+((CROQUIS_DATOS!$C$1481)*CROQUIS_DATOS!$C$1561-(0)*CROQUIS_DATOS!$C$1561))/CROQUIS_DATOS!$C$1568-0.000001))),2)=1,IF(INT(($A12-1)/2)+1&gt;MAX(1,INT(((((CROQUIS_DATOS!$C$1479+CROQUIS_DATOS!$C$1480))-(CROQUIS_DATOS!$C$1479))+((CROQUIS_DATOS!$C$1481)*CROQUIS_DATOS!$C$1561-(0)*CROQUIS_DATOS!$C$1561))/CROQUIS_DATOS!$C$1568-0.000001)),1,MOD($A12-1,2)),1-IF(INT(($A12-1)/2)+1&gt;MAX(1,INT(((((CROQUIS_DATOS!$C$1479+CROQUIS_DATOS!$C$1480))-(CROQUIS_DATOS!$C$1479))+((CROQUIS_DATOS!$C$1481)*CROQUIS_DATOS!$C$1561-(0)*CROQUIS_DATOS!$C$1561))/CROQUIS_DATOS!$C$1568-0.000001)),1,MOD($A12-1,2)))=1,MIN((CROQUIS_DATOS!$C$1481)*CROQUIS_DATOS!$C$1561,((CROQUIS_DATOS!$C$1479+CROQUIS_DATOS!$C$1480)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">
        <f>IF(AND(CROQUIS_DATOS!$C$1472=1,CROQUIS_DATOS!$C$1478&gt;=1,((CROQUIS_DATOS!$C$1479+CROQUIS_DATOS!$C$1480))-(CROQUIS_DATOS!$C$1479)&gt;0.5,(CROQUIS_DATOS!$C$1476)-((CROQUIS_DATOS!$C$1481+CROQUIS_DATOS!$C$1482))&gt;0.5),(CROQUIS_DATOS!$C$1566+(IF(IF(MOD(MIN(INT(($A12-1)/2)+1,MAX(1,INT(((((CROQUIS_DATOS!$C$1479+CROQUIS_DATOS!$C$1480))-(CROQUIS_DATOS!$C$1479))+((CROQUIS_DATOS!$C$1476)*CROQUIS_DATOS!$C$1561-((CROQUIS_DATOS!$C$1481+CROQUIS_DATOS!$C$1482))*CROQUIS_DATOS!$C$1561))/CROQUIS_DATOS!$C$1568-0.000001))),2)=1,IF(INT(($A12-1)/2)+1&gt;MAX(1,INT(((((CROQUIS_DATOS!$C$1479+CROQUIS_DATOS!$C$1480))-(CROQUIS_DATOS!$C$1479))+((CROQUIS_DATOS!$C$1476)*CROQUIS_DATOS!$C$1561-((CROQUIS_DATOS!$C$1481+CROQUIS_DATOS!$C$1482))*CROQUIS_DATOS!$C$1561))/CROQUIS_DATOS!$C$1568-0.000001)),1,MOD($A12-1,2)),1-IF(INT(($A12-1)/2)+1&gt;MAX(1,INT(((((CROQUIS_DATOS!$C$1479+CROQUIS_DATOS!$C$1480))-(CROQUIS_DATOS!$C$1479))+((CROQUIS_DATOS!$C$1476)*CROQUIS_DATOS!$C$1561-((CROQUIS_DATOS!$C$1481+CROQUIS_DATOS!$C$1482))*CROQUIS_DATOS!$C$1561))/CROQUIS_DATOS!$C$1568-0.000001)),1,MOD($A12-1,2)))=1,MIN((CROQUIS_DATOS!$C$1476)*CROQUIS_DATOS!$C$1561,((CROQUIS_DATOS!$C$1479+CROQUIS_DATOS!$C$1480)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29.0758620689655</v>
      </c>
      <c r="CM12">
        <f>IF(AND(CROQUIS_DATOS!$C$1472=1,CROQUIS_DATOS!$C$1478&gt;=1,((CROQUIS_DATOS!$C$1479+CROQUIS_DATOS!$C$1480))-(CROQUIS_DATOS!$C$1479)&gt;0.5,(CROQUIS_DATOS!$C$1476)-((CROQUIS_DATOS!$C$1481+CROQUIS_DATOS!$C$1482))&gt;0.5),(CROQUIS_DATOS!$C$1567+(IF(IF(MOD(MIN(INT(($A12-1)/2)+1,MAX(1,INT(((((CROQUIS_DATOS!$C$1479+CROQUIS_DATOS!$C$1480))-(CROQUIS_DATOS!$C$1479))+((CROQUIS_DATOS!$C$1476)*CROQUIS_DATOS!$C$1561-((CROQUIS_DATOS!$C$1481+CROQUIS_DATOS!$C$1482))*CROQUIS_DATOS!$C$1561))/CROQUIS_DATOS!$C$1568-0.000001))),2)=1,IF(INT(($A12-1)/2)+1&gt;MAX(1,INT(((((CROQUIS_DATOS!$C$1479+CROQUIS_DATOS!$C$1480))-(CROQUIS_DATOS!$C$1479))+((CROQUIS_DATOS!$C$1476)*CROQUIS_DATOS!$C$1561-((CROQUIS_DATOS!$C$1481+CROQUIS_DATOS!$C$1482))*CROQUIS_DATOS!$C$1561))/CROQUIS_DATOS!$C$1568-0.000001)),1,MOD($A12-1,2)),1-IF(INT(($A12-1)/2)+1&gt;MAX(1,INT(((((CROQUIS_DATOS!$C$1479+CROQUIS_DATOS!$C$1480))-(CROQUIS_DATOS!$C$1479))+((CROQUIS_DATOS!$C$1476)*CROQUIS_DATOS!$C$1561-((CROQUIS_DATOS!$C$1481+CROQUIS_DATOS!$C$1482))*CROQUIS_DATOS!$C$1561))/CROQUIS_DATOS!$C$1568-0.000001)),1,MOD($A12-1,2)))=1,MIN((CROQUIS_DATOS!$C$1476)*CROQUIS_DATOS!$C$1561,((CROQUIS_DATOS!$C$1479+CROQUIS_DATOS!$C$1480)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N12">
        <f>IF(AND(CROQUIS_DATOS!$C$1472=1,CROQUIS_DATOS!$C$1478&gt;=1),CHOOSE(MIN(MAX($A12,1),5),(CROQUIS_DATOS!$C$1566+(CROQUIS_DATOS!$C$1479)*CROQUIS_DATOS!$C$1565),(CROQUIS_DATOS!$C$1566+((CROQUIS_DATOS!$C$1479+CROQUIS_DATOS!$C$1480))*CROQUIS_DATOS!$C$1565),(CROQUIS_DATOS!$C$1566+((CROQUIS_DATOS!$C$1479+CROQUIS_DATOS!$C$1480))*CROQUIS_DATOS!$C$1565),(CROQUIS_DATOS!$C$1566+(CROQUIS_DATOS!$C$1479)*CROQUIS_DATOS!$C$1565),(CROQUIS_DATOS!$C$1566+(CROQUIS_DATOS!$C$1479)*CROQUIS_DATOS!$C$1565)),-1000)</f>
        <v>28.551724137931</v>
      </c>
      <c r="CO12">
        <f>IF(AND(CROQUIS_DATOS!$C$1472=1,CROQUIS_DATOS!$C$1478&gt;=1),CHOOSE(MIN(MAX($A12,1),5),(CROQUIS_DATOS!$C$1567+(CROQUIS_DATOS!$C$1481)*CROQUIS_DATOS!$C$1561*CROQUIS_DATOS!$C$1565),(CROQUIS_DATOS!$C$1567+(CROQUIS_DATOS!$C$1481)*CROQUIS_DATOS!$C$1561*CROQUIS_DATOS!$C$1565),(CROQUIS_DATOS!$C$1567+((CROQUIS_DATOS!$C$1481+CROQUIS_DATOS!$C$1482))*CROQUIS_DATOS!$C$1561*CROQUIS_DATOS!$C$1565),(CROQUIS_DATOS!$C$1567+((CROQUIS_DATOS!$C$1481+CROQUIS_DATOS!$C$1482))*CROQUIS_DATOS!$C$1561*CROQUIS_DATOS!$C$1565),(CROQUIS_DATOS!$C$1567+(CROQUIS_DATOS!$C$1481)*CROQUIS_DATOS!$C$1561*CROQUIS_DATOS!$C$1565)),-1000)</f>
        <v>12.1379310344828</v>
      </c>
      <c r="CR12">
        <f>IF(AND(CROQUIS_DATOS!$C$1472=1,CROQUIS_DATOS!$C$1478&gt;=2,((CROQUIS_DATOS!$C$1484+CROQUIS_DATOS!$C$1485))-(CROQUIS_DATOS!$C$1484)&gt;0.5,(CROQUIS_DATOS!$C$1486)-(0)&gt;0.5),(CROQUIS_DATOS!$C$1566+(IF(IF(MOD(MIN(INT(($A12-1)/2)+1,MAX(1,INT(((((CROQUIS_DATOS!$C$1484+CROQUIS_DATOS!$C$1485))-(CROQUIS_DATOS!$C$1484))+((CROQUIS_DATOS!$C$1486)*CROQUIS_DATOS!$C$1561-(0)*CROQUIS_DATOS!$C$1561))/CROQUIS_DATOS!$C$1568-0.000001))),2)=1,IF(INT(($A12-1)/2)+1&gt;MAX(1,INT(((((CROQUIS_DATOS!$C$1484+CROQUIS_DATOS!$C$1485))-(CROQUIS_DATOS!$C$1484))+((CROQUIS_DATOS!$C$1486)*CROQUIS_DATOS!$C$1561-(0)*CROQUIS_DATOS!$C$1561))/CROQUIS_DATOS!$C$1568-0.000001)),1,MOD($A12-1,2)),1-IF(INT(($A12-1)/2)+1&gt;MAX(1,INT(((((CROQUIS_DATOS!$C$1484+CROQUIS_DATOS!$C$1485))-(CROQUIS_DATOS!$C$1484))+((CROQUIS_DATOS!$C$1486)*CROQUIS_DATOS!$C$1561-(0)*CROQUIS_DATOS!$C$1561))/CROQUIS_DATOS!$C$1568-0.000001)),1,MOD($A12-1,2)))=1,MIN((CROQUIS_DATOS!$C$1486)*CROQUIS_DATOS!$C$1561,((CROQUIS_DATOS!$C$1484+CROQUIS_DATOS!$C$1485)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*CROQUIS_DATOS!$C$1565),-1000)</f>
        <v>48.8620689655172</v>
      </c>
      <c r="CS12">
        <f>IF(AND(CROQUIS_DATOS!$C$1472=1,CROQUIS_DATOS!$C$1478&gt;=2,((CROQUIS_DATOS!$C$1484+CROQUIS_DATOS!$C$1485))-(CROQUIS_DATOS!$C$1484)&gt;0.5,(CROQUIS_DATOS!$C$1486)-(0)&gt;0.5),(CROQUIS_DATOS!$C$1567+(IF(IF(MOD(MIN(INT(($A12-1)/2)+1,MAX(1,INT(((((CROQUIS_DATOS!$C$1484+CROQUIS_DATOS!$C$1485))-(CROQUIS_DATOS!$C$1484))+((CROQUIS_DATOS!$C$1486)*CROQUIS_DATOS!$C$1561-(0)*CROQUIS_DATOS!$C$1561))/CROQUIS_DATOS!$C$1568-0.000001))),2)=1,IF(INT(($A12-1)/2)+1&gt;MAX(1,INT(((((CROQUIS_DATOS!$C$1484+CROQUIS_DATOS!$C$1485))-(CROQUIS_DATOS!$C$1484))+((CROQUIS_DATOS!$C$1486)*CROQUIS_DATOS!$C$1561-(0)*CROQUIS_DATOS!$C$1561))/CROQUIS_DATOS!$C$1568-0.000001)),1,MOD($A12-1,2)),1-IF(INT(($A12-1)/2)+1&gt;MAX(1,INT(((((CROQUIS_DATOS!$C$1484+CROQUIS_DATOS!$C$1485))-(CROQUIS_DATOS!$C$1484))+((CROQUIS_DATOS!$C$1486)*CROQUIS_DATOS!$C$1561-(0)*CROQUIS_DATOS!$C$1561))/CROQUIS_DATOS!$C$1568-0.000001)),1,MOD($A12-1,2)))=1,MIN((CROQUIS_DATOS!$C$1486)*CROQUIS_DATOS!$C$1561,((CROQUIS_DATOS!$C$1484+CROQUIS_DATOS!$C$1485)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12-1)/2)+1,MAX(1,INT(((((CROQUIS_DATOS!$C$1484+CROQUIS_DATOS!$C$1485))-(CROQUIS_DATOS!$C$1484))+((CROQUIS_DATOS!$C$1486)*CROQUIS_DATOS!$C$1561-(0)*CROQUIS_DATOS!$C$1561))/CROQUIS_DATOS!$C$1568-0.000001)))*CROQUIS_DATOS!$C$1568))))*CROQUIS_DATOS!$C$1565),-1000)</f>
        <v>16.9586206896552</v>
      </c>
      <c r="CT12">
        <f>IF(AND(CROQUIS_DATOS!$C$1472=1,CROQUIS_DATOS!$C$1478&gt;=2,((CROQUIS_DATOS!$C$1484+CROQUIS_DATOS!$C$1485))-(CROQUIS_DATOS!$C$1484)&gt;0.5,(CROQUIS_DATOS!$C$1476)-((CROQUIS_DATOS!$C$1486+CROQUIS_DATOS!$C$1487))&gt;0.5),(CROQUIS_DATOS!$C$1566+(IF(IF(MOD(MIN(INT(($A12-1)/2)+1,MAX(1,INT(((((CROQUIS_DATOS!$C$1484+CROQUIS_DATOS!$C$1485))-(CROQUIS_DATOS!$C$1484))+((CROQUIS_DATOS!$C$1476)*CROQUIS_DATOS!$C$1561-((CROQUIS_DATOS!$C$1486+CROQUIS_DATOS!$C$1487))*CROQUIS_DATOS!$C$1561))/CROQUIS_DATOS!$C$1568-0.000001))),2)=1,IF(INT(($A12-1)/2)+1&gt;MAX(1,INT(((((CROQUIS_DATOS!$C$1484+CROQUIS_DATOS!$C$1485))-(CROQUIS_DATOS!$C$1484))+((CROQUIS_DATOS!$C$1476)*CROQUIS_DATOS!$C$1561-((CROQUIS_DATOS!$C$1486+CROQUIS_DATOS!$C$1487))*CROQUIS_DATOS!$C$1561))/CROQUIS_DATOS!$C$1568-0.000001)),1,MOD($A12-1,2)),1-IF(INT(($A12-1)/2)+1&gt;MAX(1,INT(((((CROQUIS_DATOS!$C$1484+CROQUIS_DATOS!$C$1485))-(CROQUIS_DATOS!$C$1484))+((CROQUIS_DATOS!$C$1476)*CROQUIS_DATOS!$C$1561-((CROQUIS_DATOS!$C$1486+CROQUIS_DATOS!$C$1487))*CROQUIS_DATOS!$C$1561))/CROQUIS_DATOS!$C$1568-0.000001)),1,MOD($A12-1,2)))=1,MIN((CROQUIS_DATOS!$C$1476)*CROQUIS_DATOS!$C$1561,((CROQUIS_DATOS!$C$1484+CROQUIS_DATOS!$C$1485)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49.3862068965517</v>
      </c>
      <c r="CU12">
        <f>IF(AND(CROQUIS_DATOS!$C$1472=1,CROQUIS_DATOS!$C$1478&gt;=2,((CROQUIS_DATOS!$C$1484+CROQUIS_DATOS!$C$1485))-(CROQUIS_DATOS!$C$1484)&gt;0.5,(CROQUIS_DATOS!$C$1476)-((CROQUIS_DATOS!$C$1486+CROQUIS_DATOS!$C$1487))&gt;0.5),(CROQUIS_DATOS!$C$1567+(IF(IF(MOD(MIN(INT(($A12-1)/2)+1,MAX(1,INT(((((CROQUIS_DATOS!$C$1484+CROQUIS_DATOS!$C$1485))-(CROQUIS_DATOS!$C$1484))+((CROQUIS_DATOS!$C$1476)*CROQUIS_DATOS!$C$1561-((CROQUIS_DATOS!$C$1486+CROQUIS_DATOS!$C$1487))*CROQUIS_DATOS!$C$1561))/CROQUIS_DATOS!$C$1568-0.000001))),2)=1,IF(INT(($A12-1)/2)+1&gt;MAX(1,INT(((((CROQUIS_DATOS!$C$1484+CROQUIS_DATOS!$C$1485))-(CROQUIS_DATOS!$C$1484))+((CROQUIS_DATOS!$C$1476)*CROQUIS_DATOS!$C$1561-((CROQUIS_DATOS!$C$1486+CROQUIS_DATOS!$C$1487))*CROQUIS_DATOS!$C$1561))/CROQUIS_DATOS!$C$1568-0.000001)),1,MOD($A12-1,2)),1-IF(INT(($A12-1)/2)+1&gt;MAX(1,INT(((((CROQUIS_DATOS!$C$1484+CROQUIS_DATOS!$C$1485))-(CROQUIS_DATOS!$C$1484))+((CROQUIS_DATOS!$C$1476)*CROQUIS_DATOS!$C$1561-((CROQUIS_DATOS!$C$1486+CROQUIS_DATOS!$C$1487))*CROQUIS_DATOS!$C$1561))/CROQUIS_DATOS!$C$1568-0.000001)),1,MOD($A12-1,2)))=1,MIN((CROQUIS_DATOS!$C$1476)*CROQUIS_DATOS!$C$1561,((CROQUIS_DATOS!$C$1484+CROQUIS_DATOS!$C$1485)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V12">
        <f>IF(AND(CROQUIS_DATOS!$C$1472=1,CROQUIS_DATOS!$C$1478&gt;=2),CHOOSE(MIN(MAX($A12,1),5),(CROQUIS_DATOS!$C$1566+(CROQUIS_DATOS!$C$1484)*CROQUIS_DATOS!$C$1565),(CROQUIS_DATOS!$C$1566+((CROQUIS_DATOS!$C$1484+CROQUIS_DATOS!$C$1485))*CROQUIS_DATOS!$C$1565),(CROQUIS_DATOS!$C$1566+((CROQUIS_DATOS!$C$1484+CROQUIS_DATOS!$C$1485))*CROQUIS_DATOS!$C$1565),(CROQUIS_DATOS!$C$1566+(CROQUIS_DATOS!$C$1484)*CROQUIS_DATOS!$C$1565),(CROQUIS_DATOS!$C$1566+(CROQUIS_DATOS!$C$1484)*CROQUIS_DATOS!$C$1565)),-1000)</f>
        <v>48.8620689655172</v>
      </c>
      <c r="CW12">
        <f>IF(AND(CROQUIS_DATOS!$C$1472=1,CROQUIS_DATOS!$C$1478&gt;=2),CHOOSE(MIN(MAX($A12,1),5),(CROQUIS_DATOS!$C$1567+(CROQUIS_DATOS!$C$1486)*CROQUIS_DATOS!$C$1561*CROQUIS_DATOS!$C$1565),(CROQUIS_DATOS!$C$1567+(CROQUIS_DATOS!$C$1486)*CROQUIS_DATOS!$C$1561*CROQUIS_DATOS!$C$1565),(CROQUIS_DATOS!$C$1567+((CROQUIS_DATOS!$C$1486+CROQUIS_DATOS!$C$1487))*CROQUIS_DATOS!$C$1561*CROQUIS_DATOS!$C$1565),(CROQUIS_DATOS!$C$1567+((CROQUIS_DATOS!$C$1486+CROQUIS_DATOS!$C$1487))*CROQUIS_DATOS!$C$1561*CROQUIS_DATOS!$C$1565),(CROQUIS_DATOS!$C$1567+(CROQUIS_DATOS!$C$1486)*CROQUIS_DATOS!$C$1561*CROQUIS_DATOS!$C$1565)),-1000)</f>
        <v>21.7586206896552</v>
      </c>
      <c r="CZ12">
        <f>IF(AND(CROQUIS_DATOS!$C$1472=1,CROQUIS_DATOS!$C$1478&gt;=3,((CROQUIS_DATOS!$C$1489+CROQUIS_DATOS!$C$1490))-(CROQUIS_DATOS!$C$1489)&gt;0.5,(CROQUIS_DATOS!$C$1491)-(0)&gt;0.5),(CROQUIS_DATOS!$C$1566+(IF(IF(MOD(MIN(INT(($A12-1)/2)+1,MAX(1,INT(((((CROQUIS_DATOS!$C$1489+CROQUIS_DATOS!$C$1490))-(CROQUIS_DATOS!$C$1489))+((CROQUIS_DATOS!$C$1491)*CROQUIS_DATOS!$C$1561-(0)*CROQUIS_DATOS!$C$1561))/CROQUIS_DATOS!$C$1568-0.000001))),2)=1,IF(INT(($A12-1)/2)+1&gt;MAX(1,INT(((((CROQUIS_DATOS!$C$1489+CROQUIS_DATOS!$C$1490))-(CROQUIS_DATOS!$C$1489))+((CROQUIS_DATOS!$C$1491)*CROQUIS_DATOS!$C$1561-(0)*CROQUIS_DATOS!$C$1561))/CROQUIS_DATOS!$C$1568-0.000001)),1,MOD($A12-1,2)),1-IF(INT(($A12-1)/2)+1&gt;MAX(1,INT(((((CROQUIS_DATOS!$C$1489+CROQUIS_DATOS!$C$1490))-(CROQUIS_DATOS!$C$1489))+((CROQUIS_DATOS!$C$1491)*CROQUIS_DATOS!$C$1561-(0)*CROQUIS_DATOS!$C$1561))/CROQUIS_DATOS!$C$1568-0.000001)),1,MOD($A12-1,2)))=1,MIN((CROQUIS_DATOS!$C$1491)*CROQUIS_DATOS!$C$1561,((CROQUIS_DATOS!$C$1489+CROQUIS_DATOS!$C$1490)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">
        <f>IF(AND(CROQUIS_DATOS!$C$1472=1,CROQUIS_DATOS!$C$1478&gt;=3,((CROQUIS_DATOS!$C$1489+CROQUIS_DATOS!$C$1490))-(CROQUIS_DATOS!$C$1489)&gt;0.5,(CROQUIS_DATOS!$C$1491)-(0)&gt;0.5),(CROQUIS_DATOS!$C$1567+(IF(IF(MOD(MIN(INT(($A12-1)/2)+1,MAX(1,INT(((((CROQUIS_DATOS!$C$1489+CROQUIS_DATOS!$C$1490))-(CROQUIS_DATOS!$C$1489))+((CROQUIS_DATOS!$C$1491)*CROQUIS_DATOS!$C$1561-(0)*CROQUIS_DATOS!$C$1561))/CROQUIS_DATOS!$C$1568-0.000001))),2)=1,IF(INT(($A12-1)/2)+1&gt;MAX(1,INT(((((CROQUIS_DATOS!$C$1489+CROQUIS_DATOS!$C$1490))-(CROQUIS_DATOS!$C$1489))+((CROQUIS_DATOS!$C$1491)*CROQUIS_DATOS!$C$1561-(0)*CROQUIS_DATOS!$C$1561))/CROQUIS_DATOS!$C$1568-0.000001)),1,MOD($A12-1,2)),1-IF(INT(($A12-1)/2)+1&gt;MAX(1,INT(((((CROQUIS_DATOS!$C$1489+CROQUIS_DATOS!$C$1490))-(CROQUIS_DATOS!$C$1489))+((CROQUIS_DATOS!$C$1491)*CROQUIS_DATOS!$C$1561-(0)*CROQUIS_DATOS!$C$1561))/CROQUIS_DATOS!$C$1568-0.000001)),1,MOD($A12-1,2)))=1,MIN((CROQUIS_DATOS!$C$1491)*CROQUIS_DATOS!$C$1561,((CROQUIS_DATOS!$C$1489+CROQUIS_DATOS!$C$1490)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">
        <f>IF(AND(CROQUIS_DATOS!$C$1472=1,CROQUIS_DATOS!$C$1478&gt;=3,((CROQUIS_DATOS!$C$1489+CROQUIS_DATOS!$C$1490))-(CROQUIS_DATOS!$C$1489)&gt;0.5,(CROQUIS_DATOS!$C$1476)-((CROQUIS_DATOS!$C$1491+CROQUIS_DATOS!$C$1492))&gt;0.5),(CROQUIS_DATOS!$C$1566+(IF(IF(MOD(MIN(INT(($A12-1)/2)+1,MAX(1,INT(((((CROQUIS_DATOS!$C$1489+CROQUIS_DATOS!$C$1490))-(CROQUIS_DATOS!$C$1489))+((CROQUIS_DATOS!$C$1476)*CROQUIS_DATOS!$C$1561-((CROQUIS_DATOS!$C$1491+CROQUIS_DATOS!$C$1492))*CROQUIS_DATOS!$C$1561))/CROQUIS_DATOS!$C$1568-0.000001))),2)=1,IF(INT(($A12-1)/2)+1&gt;MAX(1,INT(((((CROQUIS_DATOS!$C$1489+CROQUIS_DATOS!$C$1490))-(CROQUIS_DATOS!$C$1489))+((CROQUIS_DATOS!$C$1476)*CROQUIS_DATOS!$C$1561-((CROQUIS_DATOS!$C$1491+CROQUIS_DATOS!$C$1492))*CROQUIS_DATOS!$C$1561))/CROQUIS_DATOS!$C$1568-0.000001)),1,MOD($A12-1,2)),1-IF(INT(($A12-1)/2)+1&gt;MAX(1,INT(((((CROQUIS_DATOS!$C$1489+CROQUIS_DATOS!$C$1490))-(CROQUIS_DATOS!$C$1489))+((CROQUIS_DATOS!$C$1476)*CROQUIS_DATOS!$C$1561-((CROQUIS_DATOS!$C$1491+CROQUIS_DATOS!$C$1492))*CROQUIS_DATOS!$C$1561))/CROQUIS_DATOS!$C$1568-0.000001)),1,MOD($A12-1,2)))=1,MIN((CROQUIS_DATOS!$C$1476)*CROQUIS_DATOS!$C$1561,((CROQUIS_DATOS!$C$1489+CROQUIS_DATOS!$C$1490)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">
        <f>IF(AND(CROQUIS_DATOS!$C$1472=1,CROQUIS_DATOS!$C$1478&gt;=3,((CROQUIS_DATOS!$C$1489+CROQUIS_DATOS!$C$1490))-(CROQUIS_DATOS!$C$1489)&gt;0.5,(CROQUIS_DATOS!$C$1476)-((CROQUIS_DATOS!$C$1491+CROQUIS_DATOS!$C$1492))&gt;0.5),(CROQUIS_DATOS!$C$1567+(IF(IF(MOD(MIN(INT(($A12-1)/2)+1,MAX(1,INT(((((CROQUIS_DATOS!$C$1489+CROQUIS_DATOS!$C$1490))-(CROQUIS_DATOS!$C$1489))+((CROQUIS_DATOS!$C$1476)*CROQUIS_DATOS!$C$1561-((CROQUIS_DATOS!$C$1491+CROQUIS_DATOS!$C$1492))*CROQUIS_DATOS!$C$1561))/CROQUIS_DATOS!$C$1568-0.000001))),2)=1,IF(INT(($A12-1)/2)+1&gt;MAX(1,INT(((((CROQUIS_DATOS!$C$1489+CROQUIS_DATOS!$C$1490))-(CROQUIS_DATOS!$C$1489))+((CROQUIS_DATOS!$C$1476)*CROQUIS_DATOS!$C$1561-((CROQUIS_DATOS!$C$1491+CROQUIS_DATOS!$C$1492))*CROQUIS_DATOS!$C$1561))/CROQUIS_DATOS!$C$1568-0.000001)),1,MOD($A12-1,2)),1-IF(INT(($A12-1)/2)+1&gt;MAX(1,INT(((((CROQUIS_DATOS!$C$1489+CROQUIS_DATOS!$C$1490))-(CROQUIS_DATOS!$C$1489))+((CROQUIS_DATOS!$C$1476)*CROQUIS_DATOS!$C$1561-((CROQUIS_DATOS!$C$1491+CROQUIS_DATOS!$C$1492))*CROQUIS_DATOS!$C$1561))/CROQUIS_DATOS!$C$1568-0.000001)),1,MOD($A12-1,2)))=1,MIN((CROQUIS_DATOS!$C$1476)*CROQUIS_DATOS!$C$1561,((CROQUIS_DATOS!$C$1489+CROQUIS_DATOS!$C$1490)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D12">
        <f>IF(AND(CROQUIS_DATOS!$C$1472=1,CROQUIS_DATOS!$C$1478&gt;=3),CHOOSE(MIN(MAX($A12,1),5),(CROQUIS_DATOS!$C$1566+(CROQUIS_DATOS!$C$1489)*CROQUIS_DATOS!$C$1565),(CROQUIS_DATOS!$C$1566+((CROQUIS_DATOS!$C$1489+CROQUIS_DATOS!$C$1490))*CROQUIS_DATOS!$C$1565),(CROQUIS_DATOS!$C$1566+((CROQUIS_DATOS!$C$1489+CROQUIS_DATOS!$C$1490))*CROQUIS_DATOS!$C$1565),(CROQUIS_DATOS!$C$1566+(CROQUIS_DATOS!$C$1489)*CROQUIS_DATOS!$C$1565),(CROQUIS_DATOS!$C$1566+(CROQUIS_DATOS!$C$1489)*CROQUIS_DATOS!$C$1565)),-1000)</f>
        <v>-1000</v>
      </c>
      <c r="DE12">
        <f>IF(AND(CROQUIS_DATOS!$C$1472=1,CROQUIS_DATOS!$C$1478&gt;=3),CHOOSE(MIN(MAX($A12,1),5),(CROQUIS_DATOS!$C$1567+(CROQUIS_DATOS!$C$1491)*CROQUIS_DATOS!$C$1561*CROQUIS_DATOS!$C$1565),(CROQUIS_DATOS!$C$1567+(CROQUIS_DATOS!$C$1491)*CROQUIS_DATOS!$C$1561*CROQUIS_DATOS!$C$1565),(CROQUIS_DATOS!$C$1567+((CROQUIS_DATOS!$C$1491+CROQUIS_DATOS!$C$1492))*CROQUIS_DATOS!$C$1561*CROQUIS_DATOS!$C$1565),(CROQUIS_DATOS!$C$1567+((CROQUIS_DATOS!$C$1491+CROQUIS_DATOS!$C$1492))*CROQUIS_DATOS!$C$1561*CROQUIS_DATOS!$C$1565),(CROQUIS_DATOS!$C$1567+(CROQUIS_DATOS!$C$1491)*CROQUIS_DATOS!$C$1561*CROQUIS_DATOS!$C$1565)),-1000)</f>
        <v>-1000</v>
      </c>
      <c r="DH12">
        <f>IF(AND(CROQUIS_DATOS!$C$1472=1,CROQUIS_DATOS!$C$1478&gt;=4,((CROQUIS_DATOS!$C$1494+CROQUIS_DATOS!$C$1495))-(CROQUIS_DATOS!$C$1494)&gt;0.5,(CROQUIS_DATOS!$C$1496)-(0)&gt;0.5),(CROQUIS_DATOS!$C$1566+(IF(IF(MOD(MIN(INT(($A12-1)/2)+1,MAX(1,INT(((((CROQUIS_DATOS!$C$1494+CROQUIS_DATOS!$C$1495))-(CROQUIS_DATOS!$C$1494))+((CROQUIS_DATOS!$C$1496)*CROQUIS_DATOS!$C$1561-(0)*CROQUIS_DATOS!$C$1561))/CROQUIS_DATOS!$C$1568-0.000001))),2)=1,IF(INT(($A12-1)/2)+1&gt;MAX(1,INT(((((CROQUIS_DATOS!$C$1494+CROQUIS_DATOS!$C$1495))-(CROQUIS_DATOS!$C$1494))+((CROQUIS_DATOS!$C$1496)*CROQUIS_DATOS!$C$1561-(0)*CROQUIS_DATOS!$C$1561))/CROQUIS_DATOS!$C$1568-0.000001)),1,MOD($A12-1,2)),1-IF(INT(($A12-1)/2)+1&gt;MAX(1,INT(((((CROQUIS_DATOS!$C$1494+CROQUIS_DATOS!$C$1495))-(CROQUIS_DATOS!$C$1494))+((CROQUIS_DATOS!$C$1496)*CROQUIS_DATOS!$C$1561-(0)*CROQUIS_DATOS!$C$1561))/CROQUIS_DATOS!$C$1568-0.000001)),1,MOD($A12-1,2)))=1,MIN((CROQUIS_DATOS!$C$1496)*CROQUIS_DATOS!$C$1561,((CROQUIS_DATOS!$C$1494+CROQUIS_DATOS!$C$1495)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">
        <f>IF(AND(CROQUIS_DATOS!$C$1472=1,CROQUIS_DATOS!$C$1478&gt;=4,((CROQUIS_DATOS!$C$1494+CROQUIS_DATOS!$C$1495))-(CROQUIS_DATOS!$C$1494)&gt;0.5,(CROQUIS_DATOS!$C$1496)-(0)&gt;0.5),(CROQUIS_DATOS!$C$1567+(IF(IF(MOD(MIN(INT(($A12-1)/2)+1,MAX(1,INT(((((CROQUIS_DATOS!$C$1494+CROQUIS_DATOS!$C$1495))-(CROQUIS_DATOS!$C$1494))+((CROQUIS_DATOS!$C$1496)*CROQUIS_DATOS!$C$1561-(0)*CROQUIS_DATOS!$C$1561))/CROQUIS_DATOS!$C$1568-0.000001))),2)=1,IF(INT(($A12-1)/2)+1&gt;MAX(1,INT(((((CROQUIS_DATOS!$C$1494+CROQUIS_DATOS!$C$1495))-(CROQUIS_DATOS!$C$1494))+((CROQUIS_DATOS!$C$1496)*CROQUIS_DATOS!$C$1561-(0)*CROQUIS_DATOS!$C$1561))/CROQUIS_DATOS!$C$1568-0.000001)),1,MOD($A12-1,2)),1-IF(INT(($A12-1)/2)+1&gt;MAX(1,INT(((((CROQUIS_DATOS!$C$1494+CROQUIS_DATOS!$C$1495))-(CROQUIS_DATOS!$C$1494))+((CROQUIS_DATOS!$C$1496)*CROQUIS_DATOS!$C$1561-(0)*CROQUIS_DATOS!$C$1561))/CROQUIS_DATOS!$C$1568-0.000001)),1,MOD($A12-1,2)))=1,MIN((CROQUIS_DATOS!$C$1496)*CROQUIS_DATOS!$C$1561,((CROQUIS_DATOS!$C$1494+CROQUIS_DATOS!$C$1495)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">
        <f>IF(AND(CROQUIS_DATOS!$C$1472=1,CROQUIS_DATOS!$C$1478&gt;=4,((CROQUIS_DATOS!$C$1494+CROQUIS_DATOS!$C$1495))-(CROQUIS_DATOS!$C$1494)&gt;0.5,(CROQUIS_DATOS!$C$1476)-((CROQUIS_DATOS!$C$1496+CROQUIS_DATOS!$C$1497))&gt;0.5),(CROQUIS_DATOS!$C$1566+(IF(IF(MOD(MIN(INT(($A12-1)/2)+1,MAX(1,INT(((((CROQUIS_DATOS!$C$1494+CROQUIS_DATOS!$C$1495))-(CROQUIS_DATOS!$C$1494))+((CROQUIS_DATOS!$C$1476)*CROQUIS_DATOS!$C$1561-((CROQUIS_DATOS!$C$1496+CROQUIS_DATOS!$C$1497))*CROQUIS_DATOS!$C$1561))/CROQUIS_DATOS!$C$1568-0.000001))),2)=1,IF(INT(($A12-1)/2)+1&gt;MAX(1,INT(((((CROQUIS_DATOS!$C$1494+CROQUIS_DATOS!$C$1495))-(CROQUIS_DATOS!$C$1494))+((CROQUIS_DATOS!$C$1476)*CROQUIS_DATOS!$C$1561-((CROQUIS_DATOS!$C$1496+CROQUIS_DATOS!$C$1497))*CROQUIS_DATOS!$C$1561))/CROQUIS_DATOS!$C$1568-0.000001)),1,MOD($A12-1,2)),1-IF(INT(($A12-1)/2)+1&gt;MAX(1,INT(((((CROQUIS_DATOS!$C$1494+CROQUIS_DATOS!$C$1495))-(CROQUIS_DATOS!$C$1494))+((CROQUIS_DATOS!$C$1476)*CROQUIS_DATOS!$C$1561-((CROQUIS_DATOS!$C$1496+CROQUIS_DATOS!$C$1497))*CROQUIS_DATOS!$C$1561))/CROQUIS_DATOS!$C$1568-0.000001)),1,MOD($A12-1,2)))=1,MIN((CROQUIS_DATOS!$C$1476)*CROQUIS_DATOS!$C$1561,((CROQUIS_DATOS!$C$1494+CROQUIS_DATOS!$C$1495)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">
        <f>IF(AND(CROQUIS_DATOS!$C$1472=1,CROQUIS_DATOS!$C$1478&gt;=4,((CROQUIS_DATOS!$C$1494+CROQUIS_DATOS!$C$1495))-(CROQUIS_DATOS!$C$1494)&gt;0.5,(CROQUIS_DATOS!$C$1476)-((CROQUIS_DATOS!$C$1496+CROQUIS_DATOS!$C$1497))&gt;0.5),(CROQUIS_DATOS!$C$1567+(IF(IF(MOD(MIN(INT(($A12-1)/2)+1,MAX(1,INT(((((CROQUIS_DATOS!$C$1494+CROQUIS_DATOS!$C$1495))-(CROQUIS_DATOS!$C$1494))+((CROQUIS_DATOS!$C$1476)*CROQUIS_DATOS!$C$1561-((CROQUIS_DATOS!$C$1496+CROQUIS_DATOS!$C$1497))*CROQUIS_DATOS!$C$1561))/CROQUIS_DATOS!$C$1568-0.000001))),2)=1,IF(INT(($A12-1)/2)+1&gt;MAX(1,INT(((((CROQUIS_DATOS!$C$1494+CROQUIS_DATOS!$C$1495))-(CROQUIS_DATOS!$C$1494))+((CROQUIS_DATOS!$C$1476)*CROQUIS_DATOS!$C$1561-((CROQUIS_DATOS!$C$1496+CROQUIS_DATOS!$C$1497))*CROQUIS_DATOS!$C$1561))/CROQUIS_DATOS!$C$1568-0.000001)),1,MOD($A12-1,2)),1-IF(INT(($A12-1)/2)+1&gt;MAX(1,INT(((((CROQUIS_DATOS!$C$1494+CROQUIS_DATOS!$C$1495))-(CROQUIS_DATOS!$C$1494))+((CROQUIS_DATOS!$C$1476)*CROQUIS_DATOS!$C$1561-((CROQUIS_DATOS!$C$1496+CROQUIS_DATOS!$C$1497))*CROQUIS_DATOS!$C$1561))/CROQUIS_DATOS!$C$1568-0.000001)),1,MOD($A12-1,2)))=1,MIN((CROQUIS_DATOS!$C$1476)*CROQUIS_DATOS!$C$1561,((CROQUIS_DATOS!$C$1494+CROQUIS_DATOS!$C$1495)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L12">
        <f>IF(AND(CROQUIS_DATOS!$C$1472=1,CROQUIS_DATOS!$C$1478&gt;=4),CHOOSE(MIN(MAX($A12,1),5),(CROQUIS_DATOS!$C$1566+(CROQUIS_DATOS!$C$1494)*CROQUIS_DATOS!$C$1565),(CROQUIS_DATOS!$C$1566+((CROQUIS_DATOS!$C$1494+CROQUIS_DATOS!$C$1495))*CROQUIS_DATOS!$C$1565),(CROQUIS_DATOS!$C$1566+((CROQUIS_DATOS!$C$1494+CROQUIS_DATOS!$C$1495))*CROQUIS_DATOS!$C$1565),(CROQUIS_DATOS!$C$1566+(CROQUIS_DATOS!$C$1494)*CROQUIS_DATOS!$C$1565),(CROQUIS_DATOS!$C$1566+(CROQUIS_DATOS!$C$1494)*CROQUIS_DATOS!$C$1565)),-1000)</f>
        <v>-1000</v>
      </c>
      <c r="DM12">
        <f>IF(AND(CROQUIS_DATOS!$C$1472=1,CROQUIS_DATOS!$C$1478&gt;=4),CHOOSE(MIN(MAX($A12,1),5),(CROQUIS_DATOS!$C$1567+(CROQUIS_DATOS!$C$1496)*CROQUIS_DATOS!$C$1561*CROQUIS_DATOS!$C$1565),(CROQUIS_DATOS!$C$1567+(CROQUIS_DATOS!$C$1496)*CROQUIS_DATOS!$C$1561*CROQUIS_DATOS!$C$1565),(CROQUIS_DATOS!$C$1567+((CROQUIS_DATOS!$C$1496+CROQUIS_DATOS!$C$1497))*CROQUIS_DATOS!$C$1561*CROQUIS_DATOS!$C$1565),(CROQUIS_DATOS!$C$1567+((CROQUIS_DATOS!$C$1496+CROQUIS_DATOS!$C$1497))*CROQUIS_DATOS!$C$1561*CROQUIS_DATOS!$C$1565),(CROQUIS_DATOS!$C$1567+(CROQUIS_DATOS!$C$1496)*CROQUIS_DATOS!$C$1561*CROQUIS_DATOS!$C$1565)),-1000)</f>
        <v>-1000</v>
      </c>
      <c r="DP12">
        <f>IF(AND(CROQUIS_DATOS!$C$1472=1,CROQUIS_DATOS!$C$1500&gt;0.5,CROQUIS_DATOS!$C$1478&gt;0),CHOOSE(MIN(MAX($A12,1)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28.551724137931</v>
      </c>
      <c r="DQ12">
        <f>IF(AND(CROQUIS_DATOS!$C$1472=1,CROQUIS_DATOS!$C$1500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R12">
        <f>IF(AND(CROQUIS_DATOS!$C$1472=1,CROQUIS_DATOS!$C$1478&gt;=1),CHOOSE(MIN(MAX($A12,1)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38.1724137931034</v>
      </c>
      <c r="DS12">
        <f>IF(AND(CROQUIS_DATOS!$C$1472=1,CROQUIS_DATOS!$C$1478&gt;=1)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T12">
        <f>IF(AND(CROQUIS_DATOS!$C$1472=1,CROQUIS_DATOS!$C$1504&gt;0.5,CROQUIS_DATOS!$C$1478&gt;0),CHOOSE(MIN(MAX($A12,1)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48.8620689655172</v>
      </c>
      <c r="DU12">
        <f>IF(AND(CROQUIS_DATOS!$C$1472=1,CROQUIS_DATOS!$C$1504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V12">
        <f>IF(AND(CROQUIS_DATOS!$C$1472=1,CROQUIS_DATOS!$C$1478&gt;=2),CHOOSE(MIN(MAX($A12,1)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64.8965517241379</v>
      </c>
      <c r="DW12">
        <f>IF(AND(CROQUIS_DATOS!$C$1472=1,CROQUIS_DATOS!$C$1478&gt;=2)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X12">
        <f>IF(AND(CROQUIS_DATOS!$C$1472=1,CROQUIS_DATOS!$C$1508&gt;0.5,CROQUIS_DATOS!$C$1478&gt;0),CHOOSE(MIN(MAX($A12,1)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77.7241379310345</v>
      </c>
      <c r="DY12">
        <f>IF(AND(CROQUIS_DATOS!$C$1472=1,CROQUIS_DATOS!$C$1508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6.5</v>
      </c>
      <c r="DZ12">
        <f>IF(AND(CROQUIS_DATOS!$C$1472=1,CROQUIS_DATOS!$C$1478&gt;=3),CHOOSE(MIN(MAX($A12,1)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2">
        <f>IF(AND(CROQUIS_DATOS!$C$1472=1,CROQUIS_DATOS!$C$1478&gt;=3)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2">
        <f>IF(AND(CROQUIS_DATOS!$C$1472=1,CROQUIS_DATOS!$C$1512&gt;0.5,CROQUIS_DATOS!$C$1478&gt;0),CHOOSE(MIN(MAX($A12,1)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2">
        <f>IF(AND(CROQUIS_DATOS!$C$1472=1,CROQUIS_DATOS!$C$1512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2">
        <f>IF(AND(CROQUIS_DATOS!$C$1472=1,CROQUIS_DATOS!$C$1478&gt;=4),CHOOSE(MIN(MAX($A12,1)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2">
        <f>IF(AND(CROQUIS_DATOS!$C$1472=1,CROQUIS_DATOS!$C$1478&gt;=4)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2">
        <f>IF(AND(CROQUIS_DATOS!$C$1472=1,CROQUIS_DATOS!$C$1516&gt;0.5,CROQUIS_DATOS!$C$1478&gt;0),CHOOSE(MIN(MAX($A12,1)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2">
        <f>IF(AND(CROQUIS_DATOS!$C$1472=1,CROQUIS_DATOS!$C$1516&gt;0.5,CROQUIS_DATOS!$C$1478&gt;0),CHOOSE(MIN(MAX($A12,1)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2">
        <f>IF(AND(CROQUIS_DATOS!$C$1472=1,1),CHOOSE(MIN(MAX($A12,1)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77.7241379310345</v>
      </c>
      <c r="EI12">
        <f>IF(AND(CROQUIS_DATOS!$C$1472=1,1),CHOOSE(MIN(MAX($A12,1)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2.5</v>
      </c>
      <c r="EJ12">
        <f>IF(AND(CROQUIS_DATOS!$C$1472=1,1),CHOOSE(MIN(MAX($A12,1)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21.2758620689655</v>
      </c>
      <c r="EK12">
        <f>IF(AND(CROQUIS_DATOS!$C$1472=1,1)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38.8620689655172</v>
      </c>
      <c r="EL12">
        <f>IF(AND(CROQUIS_DATOS!$C$1472=1,1),CHOOSE(MIN(MAX($A12,1)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79.7241379310345</v>
      </c>
      <c r="EM12">
        <f>IF(AND(CROQUIS_DATOS!$C$1472=1,1),CHOOSE(MIN(MAX($A12,1)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41</v>
      </c>
      <c r="EN12">
        <f>IF(AND(CROQUIS_DATOS!$C$1472=1,CROQUIS_DATOS!$C$1478&gt;=1,CROQUIS_DATOS!$C$1481&gt;0),CHOOSE(MIN(MAX($A12,1)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2">
        <f>IF(AND(CROQUIS_DATOS!$C$1472=1,CROQUIS_DATOS!$C$1478&gt;=1,CROQUIS_DATOS!$C$1481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2">
        <f>IF(AND(CROQUIS_DATOS!$C$1472=1,CROQUIS_DATOS!$C$1478&gt;=2,CROQUIS_DATOS!$C$1486&gt;0),CHOOSE(MIN(MAX($A12,1)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66.4965517241379</v>
      </c>
      <c r="EQ12">
        <f>IF(AND(CROQUIS_DATOS!$C$1472=1,CROQUIS_DATOS!$C$1478&gt;=2,CROQUIS_DATOS!$C$1486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21.7586206896552</v>
      </c>
      <c r="ER12">
        <f>IF(AND(CROQUIS_DATOS!$C$1472=1,CROQUIS_DATOS!$C$1478&gt;=3,CROQUIS_DATOS!$C$1491&gt;0),CHOOSE(MIN(MAX($A12,1)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2">
        <f>IF(AND(CROQUIS_DATOS!$C$1472=1,CROQUIS_DATOS!$C$1478&gt;=3,CROQUIS_DATOS!$C$1491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2">
        <f>IF(AND(CROQUIS_DATOS!$C$1472=1,CROQUIS_DATOS!$C$1478&gt;=4,CROQUIS_DATOS!$C$1496&gt;0),CHOOSE(MIN(MAX($A12,1)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2">
        <f>IF(AND(CROQUIS_DATOS!$C$1472=1,CROQUIS_DATOS!$C$1478&gt;=4,CROQUIS_DATOS!$C$1496&gt;0),CHOOSE(MIN(MAX($A12,1)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2">
        <f>IF(AND(CROQUIS_DATOS!$C$1472=1,1),(CROQUIS_DATOS!$C$1566+(INDEX($E$8:$E$23,MIN($A12,CROQUIS_DATOS!$C$1525)))*CROQUIS_DATOS!$C$1565),-1000)</f>
        <v>65.698275862069</v>
      </c>
      <c r="EW12">
        <f>IF(AND(CROQUIS_DATOS!$C$1472=1,1),((CROQUIS_DATOS!$C$1567+(CROQUIS_DATOS!$C$1476+CROQUIS_DATOS!$C$1528)*CROQUIS_DATOS!$C$1561*CROQUIS_DATOS!$C$1565)+1.5),-1000)</f>
        <v>42.5</v>
      </c>
      <c r="EZ12">
        <f>IF(AND(CROQUIS_DATOS!$C$1472=1,CROQUIS_DATOS!$C$1500&gt;0.5,CROQUIS_DATOS!$C$1501=1),CHOOSE(MIN(MAX($A12,1)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6</v>
      </c>
      <c r="FA12">
        <f>IF(AND(CROQUIS_DATOS!$C$1472=1,CROQUIS_DATOS!$C$1500&gt;0.5,CROQUIS_DATOS!$C$1501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B12">
        <f>IF(AND(CROQUIS_DATOS!$C$1472=1,CROQUIS_DATOS!$C$1500&gt;0.5,CROQUIS_DATOS!$C$1501=0),CHOOSE(MIN(MAX($A12,1),5),(CROQUIS_DATOS!$C$1571+(CROQUIS_DATOS!$C$1499)*CROQUIS_DATOS!$C$1569),(CROQUIS_DATOS!$C$1571+((CROQUIS_DATOS!$C$1499+CROQUIS_DATOS!$C$1500))*CROQUIS_DATOS!$C$1569),(CROQUIS_DATOS!$C$1571+((CROQUIS_DATOS!$C$1499+CROQUIS_DATOS!$C$1500))*CROQUIS_DATOS!$C$1569),(CROQUIS_DATOS!$C$1571+(CROQUIS_DATOS!$C$1499)*CROQUIS_DATOS!$C$1569),(CROQUIS_DATOS!$C$1571+(CROQUIS_DATOS!$C$1499)*CROQUIS_DATOS!$C$1569)),-1000)</f>
        <v>-1000</v>
      </c>
      <c r="FC12">
        <f>IF(AND(CROQUIS_DATOS!$C$1472=1,CROQUIS_DATOS!$C$1500&gt;0.5,CROQUIS_DATOS!$C$1501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F12">
        <f>IF(AND(CROQUIS_DATOS!$C$1472=1,CROQUIS_DATOS!$C$1504&gt;0.5,CROQUIS_DATOS!$C$1505=1),CHOOSE(MIN(MAX($A12,1)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29.92</v>
      </c>
      <c r="FG12">
        <f>IF(AND(CROQUIS_DATOS!$C$1472=1,CROQUIS_DATOS!$C$1504&gt;0.5,CROQUIS_DATOS!$C$1505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H12">
        <f>IF(AND(CROQUIS_DATOS!$C$1472=1,CROQUIS_DATOS!$C$1504&gt;0.5,CROQUIS_DATOS!$C$1505=0),CHOOSE(MIN(MAX($A12,1),5),(CROQUIS_DATOS!$C$1571+(CROQUIS_DATOS!$C$1503)*CROQUIS_DATOS!$C$1569),(CROQUIS_DATOS!$C$1571+((CROQUIS_DATOS!$C$1503+CROQUIS_DATOS!$C$1504))*CROQUIS_DATOS!$C$1569),(CROQUIS_DATOS!$C$1571+((CROQUIS_DATOS!$C$1503+CROQUIS_DATOS!$C$1504))*CROQUIS_DATOS!$C$1569),(CROQUIS_DATOS!$C$1571+(CROQUIS_DATOS!$C$1503)*CROQUIS_DATOS!$C$1569),(CROQUIS_DATOS!$C$1571+(CROQUIS_DATOS!$C$1503)*CROQUIS_DATOS!$C$1569)),-1000)</f>
        <v>-1000</v>
      </c>
      <c r="FI12">
        <f>IF(AND(CROQUIS_DATOS!$C$1472=1,CROQUIS_DATOS!$C$1504&gt;0.5,CROQUIS_DATOS!$C$1505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L12">
        <f>IF(AND(CROQUIS_DATOS!$C$1472=1,CROQUIS_DATOS!$C$1508&gt;0.5,CROQUIS_DATOS!$C$1509=1),CHOOSE(MIN(MAX($A12,1)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75.92</v>
      </c>
      <c r="FM12">
        <f>IF(AND(CROQUIS_DATOS!$C$1472=1,CROQUIS_DATOS!$C$1508&gt;0.5,CROQUIS_DATOS!$C$1509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9.5</v>
      </c>
      <c r="FN12">
        <f>IF(AND(CROQUIS_DATOS!$C$1472=1,CROQUIS_DATOS!$C$1508&gt;0.5,CROQUIS_DATOS!$C$1509=0),CHOOSE(MIN(MAX($A12,1),5),(CROQUIS_DATOS!$C$1571+(CROQUIS_DATOS!$C$1507)*CROQUIS_DATOS!$C$1569),(CROQUIS_DATOS!$C$1571+((CROQUIS_DATOS!$C$1507+CROQUIS_DATOS!$C$1508))*CROQUIS_DATOS!$C$1569),(CROQUIS_DATOS!$C$1571+((CROQUIS_DATOS!$C$1507+CROQUIS_DATOS!$C$1508))*CROQUIS_DATOS!$C$1569),(CROQUIS_DATOS!$C$1571+(CROQUIS_DATOS!$C$1507)*CROQUIS_DATOS!$C$1569),(CROQUIS_DATOS!$C$1571+(CROQUIS_DATOS!$C$1507)*CROQUIS_DATOS!$C$1569)),-1000)</f>
        <v>-1000</v>
      </c>
      <c r="FO12">
        <f>IF(AND(CROQUIS_DATOS!$C$1472=1,CROQUIS_DATOS!$C$1508&gt;0.5,CROQUIS_DATOS!$C$1509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R12">
        <f>IF(AND(CROQUIS_DATOS!$C$1472=1,CROQUIS_DATOS!$C$1512&gt;0.5,CROQUIS_DATOS!$C$1513=1),CHOOSE(MIN(MAX($A12,1)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S12">
        <f>IF(AND(CROQUIS_DATOS!$C$1472=1,CROQUIS_DATOS!$C$1512&gt;0.5,CROQUIS_DATOS!$C$1513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T12">
        <f>IF(AND(CROQUIS_DATOS!$C$1472=1,CROQUIS_DATOS!$C$1512&gt;0.5,CROQUIS_DATOS!$C$1513=0),CHOOSE(MIN(MAX($A12,1),5),(CROQUIS_DATOS!$C$1571+(CROQUIS_DATOS!$C$1511)*CROQUIS_DATOS!$C$1569),(CROQUIS_DATOS!$C$1571+((CROQUIS_DATOS!$C$1511+CROQUIS_DATOS!$C$1512))*CROQUIS_DATOS!$C$1569),(CROQUIS_DATOS!$C$1571+((CROQUIS_DATOS!$C$1511+CROQUIS_DATOS!$C$1512))*CROQUIS_DATOS!$C$1569),(CROQUIS_DATOS!$C$1571+(CROQUIS_DATOS!$C$1511)*CROQUIS_DATOS!$C$1569),(CROQUIS_DATOS!$C$1571+(CROQUIS_DATOS!$C$1511)*CROQUIS_DATOS!$C$1569)),-1000)</f>
        <v>-1000</v>
      </c>
      <c r="FU12">
        <f>IF(AND(CROQUIS_DATOS!$C$1472=1,CROQUIS_DATOS!$C$1512&gt;0.5,CROQUIS_DATOS!$C$1513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X12">
        <f>IF(AND(CROQUIS_DATOS!$C$1472=1,CROQUIS_DATOS!$C$1516&gt;0.5,CROQUIS_DATOS!$C$1517=1),CHOOSE(MIN(MAX($A12,1)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FY12">
        <f>IF(AND(CROQUIS_DATOS!$C$1472=1,CROQUIS_DATOS!$C$1516&gt;0.5,CROQUIS_DATOS!$C$1517=1)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FZ12">
        <f>IF(AND(CROQUIS_DATOS!$C$1472=1,CROQUIS_DATOS!$C$1516&gt;0.5,CROQUIS_DATOS!$C$1517=0),CHOOSE(MIN(MAX($A12,1),5),(CROQUIS_DATOS!$C$1571+(CROQUIS_DATOS!$C$1515)*CROQUIS_DATOS!$C$1569),(CROQUIS_DATOS!$C$1571+((CROQUIS_DATOS!$C$1515+CROQUIS_DATOS!$C$1516))*CROQUIS_DATOS!$C$1569),(CROQUIS_DATOS!$C$1571+((CROQUIS_DATOS!$C$1515+CROQUIS_DATOS!$C$1516))*CROQUIS_DATOS!$C$1569),(CROQUIS_DATOS!$C$1571+(CROQUIS_DATOS!$C$1515)*CROQUIS_DATOS!$C$1569),(CROQUIS_DATOS!$C$1571+(CROQUIS_DATOS!$C$1515)*CROQUIS_DATOS!$C$1569)),-1000)</f>
        <v>-1000</v>
      </c>
      <c r="GA12">
        <f>IF(AND(CROQUIS_DATOS!$C$1472=1,CROQUIS_DATOS!$C$1516&gt;0.5,CROQUIS_DATOS!$C$1517=0),CHOOSE(MIN(MAX($A12,1),5),(CROQUIS_DATOS!$C$1572+(0)*CROQUIS_DATOS!$C$1569*CROQUIS_DATOS!$C$1570),(CROQUIS_DATOS!$C$1572+(0)*CROQUIS_DATOS!$C$1569*CROQUIS_DATOS!$C$1570),(CROQUIS_DATOS!$C$1572+(CROQUIS_DATOS!$C$1477)*CROQUIS_DATOS!$C$1569*CROQUIS_DATOS!$C$1570),(CROQUIS_DATOS!$C$1572+(CROQUIS_DATOS!$C$1477)*CROQUIS_DATOS!$C$1569*CROQUIS_DATOS!$C$1570),(CROQUIS_DATOS!$C$1572+(0)*CROQUIS_DATOS!$C$1569*CROQUIS_DATOS!$C$1570)),-1000)</f>
        <v>-1000</v>
      </c>
      <c r="GD12">
        <f>IF(AND(CROQUIS_DATOS!$C$1472=1,1),(CROQUIS_DATOS!$C$1571+(CHOOSE(MIN(MAX(IF(INT(($A12-1)/5)+1&gt;CROQUIS_DATOS!$C$1525,5,MOD($A12-1,5)+1),1),5),(INDEX($E$8:$E$23,MIN(INT(($A12-1)/5)+1,CROQUIS_DATOS!$C$1525))-INDEX($F$8:$F$23,MIN(INT(($A12-1)/5)+1,CROQUIS_DATOS!$C$1525))/2),(INDEX($E$8:$E$23,MIN(INT(($A12-1)/5)+1,CROQUIS_DATOS!$C$1525))+INDEX($F$8:$F$23,MIN(INT(($A12-1)/5)+1,CROQUIS_DATOS!$C$1525))/2),(INDEX($E$8:$E$23,MIN(INT(($A12-1)/5)+1,CROQUIS_DATOS!$C$1525))+INDEX($F$8:$F$23,MIN(INT(($A12-1)/5)+1,CROQUIS_DATOS!$C$1525))/2),(INDEX($E$8:$E$23,MIN(INT(($A12-1)/5)+1,CROQUIS_DATOS!$C$1525))-INDEX($F$8:$F$23,MIN(INT(($A12-1)/5)+1,CROQUIS_DATOS!$C$1525))/2),(INDEX($E$8:$E$23,MIN(INT(($A12-1)/5)+1,CROQUIS_DATOS!$C$1525))-INDEX($F$8:$F$23,MIN(INT(($A12-1)/5)+1,CROQUIS_DATOS!$C$1525))/2)))*CROQUIS_DATOS!$C$1569),-1000)</f>
        <v>6</v>
      </c>
      <c r="GE12">
        <f>IF(AND(CROQUIS_DATOS!$C$1472=1,1),(CROQUIS_DATOS!$C$1572+(CHOOSE(MIN(MAX(IF(INT(($A12-1)/5)+1&gt;CROQUIS_DATOS!$C$1525,5,MOD($A12-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2">
        <f>IF(AND(CROQUIS_DATOS!$C$1472=1,1),IF(INT(($A12-1)/4)+1&lt;=CROQUIS_DATOS!$C$1525,(CROQUIS_DATOS!$C$1571+((INDEX($E$8:$E$23,MIN(INT(($A12-1)/4)+1,16))+IF(OR(MOD($A12-1,4)=0,MOD($A12-1,4)=3),-1,1)*(INDEX($F$8:$F$23,MIN(INT(($A12-1)/4)+1,16))/2-(CROQUIS_DATOS!$C$1530+CROQUIS_DATOS!$C$1532+IF(OR(INT(($A12-1)/4)+1=1,INT(($A12-1)/4)+1=CROQUIS_DATOS!$C$1525),CROQUIS_DATOS!$C$1534,CROQUIS_DATOS!$C$1531)/2))))*CROQUIS_DATOS!$C$1569),-1000),-1000)</f>
        <v>11.172516</v>
      </c>
      <c r="GG12">
        <f>IF(AND(CROQUIS_DATOS!$C$1472=1,1),IF(INT(($A12-1)/4)+1&lt;=CROQUIS_DATOS!$C$1525,(CROQUIS_DATOS!$C$1572+((CROQUIS_DATOS!$C$1477/2+IF(MOD($A12-1,4)&lt;2,-1,1)*(CROQUIS_DATOS!$C$1527/2-(CROQUIS_DATOS!$C$1530+CROQUIS_DATOS!$C$1532+IF(OR(INT(($A12-1)/4)+1=1,INT(($A12-1)/4)+1=CROQUIS_DATOS!$C$1525),CROQUIS_DATOS!$C$1534,CROQUIS_DATOS!$C$1531)/2))))*CROQUIS_DATOS!$C$1569*CROQUIS_DATOS!$C$1570),-1000),-1000)</f>
        <v>10.43345</v>
      </c>
      <c r="GH12">
        <f>IF(AND(CROQUIS_DATOS!$C$1472=1,CROQUIS_DATOS!$C$1500&gt;0.5,CROQUIS_DATOS!$C$1478&gt;0),CHOOSE(MIN(MAX($A12,1)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13.36</v>
      </c>
      <c r="GI12">
        <f>IF(AND(CROQUIS_DATOS!$C$1472=1,CROQUIS_DATOS!$C$1500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6</v>
      </c>
      <c r="GJ12">
        <f>IF(AND(CROQUIS_DATOS!$C$1472=1,CROQUIS_DATOS!$C$1478&gt;=1),CHOOSE(MIN(MAX($A12,1)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29.92</v>
      </c>
      <c r="GK12">
        <f>IF(AND(CROQUIS_DATOS!$C$1472=1,CROQUIS_DATOS!$C$1478&gt;=1),CHOOSE(MIN(MAX($A12,1),7),(CROQUIS_DATOS!$C$1572-3.5)-0.9,(CROQUIS_DATOS!$C$1572-3.5)+0.9,(CROQUIS_DATOS!$C$1572-3.5),(CROQUIS_DATOS!$C$1572-3.5),(CROQUIS_DATOS!$C$1572-3.5),(CROQUIS_DATOS!$C$1572-3.5)+0.9,(CROQUIS_DATOS!$C$1572-3.5)-0.9),-1000)</f>
        <v>6</v>
      </c>
      <c r="GL12">
        <f>IF(AND(CROQUIS_DATOS!$C$1472=1,CROQUIS_DATOS!$C$1504&gt;0.5,CROQUIS_DATOS!$C$1478&gt;0),CHOOSE(MIN(MAX($A12,1)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48.32</v>
      </c>
      <c r="GM12">
        <f>IF(AND(CROQUIS_DATOS!$C$1472=1,CROQUIS_DATOS!$C$1504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6</v>
      </c>
      <c r="GN12">
        <f>IF(AND(CROQUIS_DATOS!$C$1472=1,CROQUIS_DATOS!$C$1478&gt;=2),CHOOSE(MIN(MAX($A12,1)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75.92</v>
      </c>
      <c r="GO12">
        <f>IF(AND(CROQUIS_DATOS!$C$1472=1,CROQUIS_DATOS!$C$1478&gt;=2),CHOOSE(MIN(MAX($A12,1),7),(CROQUIS_DATOS!$C$1572-3.5)-0.9,(CROQUIS_DATOS!$C$1572-3.5)+0.9,(CROQUIS_DATOS!$C$1572-3.5),(CROQUIS_DATOS!$C$1572-3.5),(CROQUIS_DATOS!$C$1572-3.5),(CROQUIS_DATOS!$C$1572-3.5)+0.9,(CROQUIS_DATOS!$C$1572-3.5)-0.9),-1000)</f>
        <v>6</v>
      </c>
      <c r="GP12">
        <f>IF(AND(CROQUIS_DATOS!$C$1472=1,CROQUIS_DATOS!$C$1508&gt;0.5,CROQUIS_DATOS!$C$1478&gt;0),CHOOSE(MIN(MAX($A12,1)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98</v>
      </c>
      <c r="GQ12">
        <f>IF(AND(CROQUIS_DATOS!$C$1472=1,CROQUIS_DATOS!$C$1508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6</v>
      </c>
      <c r="GR12">
        <f>IF(AND(CROQUIS_DATOS!$C$1472=1,CROQUIS_DATOS!$C$1478&gt;=3),CHOOSE(MIN(MAX($A12,1)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2">
        <f>IF(AND(CROQUIS_DATOS!$C$1472=1,CROQUIS_DATOS!$C$1478&gt;=3)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T12">
        <f>IF(AND(CROQUIS_DATOS!$C$1472=1,CROQUIS_DATOS!$C$1512&gt;0.5,CROQUIS_DATOS!$C$1478&gt;0),CHOOSE(MIN(MAX($A12,1)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2">
        <f>IF(AND(CROQUIS_DATOS!$C$1472=1,CROQUIS_DATOS!$C$1512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V12">
        <f>IF(AND(CROQUIS_DATOS!$C$1472=1,CROQUIS_DATOS!$C$1478&gt;=4),CHOOSE(MIN(MAX($A12,1)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2">
        <f>IF(AND(CROQUIS_DATOS!$C$1472=1,CROQUIS_DATOS!$C$1478&gt;=4)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X12">
        <f>IF(AND(CROQUIS_DATOS!$C$1472=1,CROQUIS_DATOS!$C$1516&gt;0.5,CROQUIS_DATOS!$C$1478&gt;0),CHOOSE(MIN(MAX($A12,1)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2">
        <f>IF(AND(CROQUIS_DATOS!$C$1472=1,CROQUIS_DATOS!$C$1516&gt;0.5,CROQUIS_DATOS!$C$1478&gt;0),CHOOSE(MIN(MAX($A12,1),7),(CROQUIS_DATOS!$C$1572-3.5)-0.9,(CROQUIS_DATOS!$C$1572-3.5)+0.9,(CROQUIS_DATOS!$C$1572-3.5),(CROQUIS_DATOS!$C$1572-3.5),(CROQUIS_DATOS!$C$1572-3.5),(CROQUIS_DATOS!$C$1572-3.5)+0.9,(CROQUIS_DATOS!$C$1572-3.5)-0.9),-1000)</f>
        <v>-1000</v>
      </c>
      <c r="GZ12">
        <f>IF(AND(CROQUIS_DATOS!$C$1472=1,1),CHOOSE(MIN(MAX($A12,1)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98</v>
      </c>
      <c r="HA12">
        <f>IF(AND(CROQUIS_DATOS!$C$1472=1,1),CHOOSE(MIN(MAX($A12,1),7),(CROQUIS_DATOS!$C$1572-7.5)-0.9,(CROQUIS_DATOS!$C$1572-7.5)+0.9,(CROQUIS_DATOS!$C$1572-7.5),(CROQUIS_DATOS!$C$1572-7.5),(CROQUIS_DATOS!$C$1572-7.5),(CROQUIS_DATOS!$C$1572-7.5)+0.9,(CROQUIS_DATOS!$C$1572-7.5)-0.9),-1000)</f>
        <v>2</v>
      </c>
      <c r="HB12">
        <f>IF(AND(CROQUIS_DATOS!$C$1472=1,1),CHOOSE(MIN(MAX($A12,1)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3.5</v>
      </c>
      <c r="HC12">
        <f>IF(AND(CROQUIS_DATOS!$C$1472=1,1),CHOOSE(MIN(MAX($A12,1)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14</v>
      </c>
      <c r="HD12">
        <f>IF(AND(CROQUIS_DATOS!$C$1472=1,1),CHOOSE(MIN(MAX($A12,1),5),(CROQUIS_DATOS!$C$1574+(0)*CROQUIS_DATOS!$C$1573),(CROQUIS_DATOS!$C$1574+(CROQUIS_DATOS!$C$1526)*CROQUIS_DATOS!$C$1573),(CROQUIS_DATOS!$C$1574+(CROQUIS_DATOS!$C$1526)*CROQUIS_DATOS!$C$1573),(CROQUIS_DATOS!$C$1574+(0)*CROQUIS_DATOS!$C$1573),(CROQUIS_DATOS!$C$1574+(0)*CROQUIS_DATOS!$C$1573)),-1000)</f>
        <v>8</v>
      </c>
      <c r="HE12">
        <f>IF(AND(CROQUIS_DATOS!$C$1472=1,1),CHOOSE(MIN(MAX($A12,1),5),(CROQUIS_DATOS!$C$1576+(0)*CROQUIS_DATOS!$C$1573),(CROQUIS_DATOS!$C$1576+(0)*CROQUIS_DATOS!$C$1573),(CROQUIS_DATOS!$C$1576+(CROQUIS_DATOS!$C$1527)*CROQUIS_DATOS!$C$1573),(CROQUIS_DATOS!$C$1576+(CROQUIS_DATOS!$C$1527)*CROQUIS_DATOS!$C$1573),(CROQUIS_DATOS!$C$1576+(0)*CROQUIS_DATOS!$C$1573)),-1000)</f>
        <v>12</v>
      </c>
      <c r="HF12">
        <f>IF(AND(CROQUIS_DATOS!$C$1472=1,1),CHOOSE(MIN(MAX($A12,1)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20.0287096774194</v>
      </c>
      <c r="HG12">
        <f>IF(AND(CROQUIS_DATOS!$C$1472=1,1),CHOOSE(MIN(MAX($A12,1)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12">
        <f>IF(AND(CROQUIS_DATOS!$C$1472=1,1),IF($A12&lt;=DATOS!$C$61,CHOOSE(MIN(MAX($A12,1)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2">
        <f>IF(AND(CROQUIS_DATOS!$C$1472=1,1),IF($A12&lt;=DATOS!$C$61,CHOOSE(MIN(MAX($A12,1)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J12">
        <f>IF(AND(CROQUIS_DATOS!$C$1472=1,1),CHOOSE(MIN(MAX($A12,1)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21.5483870967742</v>
      </c>
      <c r="HK12">
        <f>IF(AND(CROQUIS_DATOS!$C$1472=1,1),CHOOSE(MIN(MAX($A12,1)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L12">
        <f>IF(AND(CROQUIS_DATOS!$C$1472=1,1),CHOOSE(MIN(MAX($A12,1)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</v>
      </c>
      <c r="HM12">
        <f>IF(AND(CROQUIS_DATOS!$C$1472=1,1),CHOOSE(MIN(MAX($A12,1)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25.5483870967742</v>
      </c>
      <c r="HP12">
        <f>IF(AND(CROQUIS_DATOS!$C$1472=1,1),CHOOSE(MIN(MAX($A12,1),5),(CROQUIS_DATOS!$C$1575+(0)*CROQUIS_DATOS!$C$1573),(CROQUIS_DATOS!$C$1575+(CROQUIS_DATOS!$C$1529)*CROQUIS_DATOS!$C$1573),(CROQUIS_DATOS!$C$1575+(CROQUIS_DATOS!$C$1529)*CROQUIS_DATOS!$C$1573),(CROQUIS_DATOS!$C$1575+(0)*CROQUIS_DATOS!$C$1573),(CROQUIS_DATOS!$C$1575+(0)*CROQUIS_DATOS!$C$1573)),-1000)</f>
        <v>62.1935483870968</v>
      </c>
      <c r="HQ12">
        <f>IF(AND(CROQUIS_DATOS!$C$1472=1,1),CHOOSE(MIN(MAX($A12,1),5),(CROQUIS_DATOS!$C$1576+(0)*CROQUIS_DATOS!$C$1573),(CROQUIS_DATOS!$C$1576+(0)*CROQUIS_DATOS!$C$1573),(CROQUIS_DATOS!$C$1576+(CROQUIS_DATOS!$C$1528)*CROQUIS_DATOS!$C$1573),(CROQUIS_DATOS!$C$1576+(CROQUIS_DATOS!$C$1528)*CROQUIS_DATOS!$C$1573),(CROQUIS_DATOS!$C$1576+(0)*CROQUIS_DATOS!$C$1573)),-1000)</f>
        <v>12</v>
      </c>
      <c r="HR12">
        <f>IF(AND(CROQUIS_DATOS!$C$1472=1,1),CHOOSE(MIN(MAX($A12,1)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74.2222580645161</v>
      </c>
      <c r="HS12">
        <f>IF(AND(CROQUIS_DATOS!$C$1472=1,1),CHOOSE(MIN(MAX($A12,1)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12">
        <f>IF(AND(CROQUIS_DATOS!$C$1472=1,1),IF($A12&lt;=DATOS!$C$69,CHOOSE(MIN(MAX($A12,1)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2">
        <f>IF(AND(CROQUIS_DATOS!$C$1472=1,1),IF($A12&lt;=DATOS!$C$69,CHOOSE(MIN(MAX($A12,1)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  <c r="HV12">
        <f>IF(AND(CROQUIS_DATOS!$C$1472=1,1),CHOOSE(MIN(MAX($A12,1)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75.741935483871</v>
      </c>
      <c r="HW12">
        <f>IF(AND(CROQUIS_DATOS!$C$1472=1,1),CHOOSE(MIN(MAX($A12,1)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</v>
      </c>
      <c r="HX12">
        <f>IF(AND(CROQUIS_DATOS!$C$1472=1,1),CHOOSE(MIN(MAX($A12,1)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78.741935483871</v>
      </c>
      <c r="HY12">
        <f>IF(AND(CROQUIS_DATOS!$C$1472=1,1),CHOOSE(MIN(MAX($A12,1)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30.0645161290323</v>
      </c>
    </row>
    <row r="13">
      <c r="A13" t="n">
        <v>6</v>
      </c>
      <c r="B13" t="n">
        <v>6</v>
      </c>
      <c r="C13">
        <f>1+(B13&gt;CROQUIS_DATOS!$C$1520)+(B13&gt;CROQUIS_DATOS!$C$1521)+(B13&gt;CROQUIS_DATOS!$C$1522)+(B13&gt;CROQUIS_DATOS!$C$1523)</f>
        <v>3</v>
      </c>
      <c r="D13">
        <f>B13-CHOOSE(MIN(C13,5),0,CROQUIS_DATOS!$C$1520,CROQUIS_DATOS!$C$1521,CROQUIS_DATOS!$C$1522,CROQUIS_DATOS!$C$1523)</f>
        <v>2</v>
      </c>
      <c r="E13">
        <f>IF(G13=0,0,CHOOSE(MIN(C13,5),CROQUIS_DATOS!$C$1499,CROQUIS_DATOS!$C$1503,CROQUIS_DATOS!$C$1507,CROQUIS_DATOS!$C$1511,CROQUIS_DATOS!$C$1515)+IF(CHOOSE(MIN(C13,5),CROQUIS_DATOS!$C$1502,CROQUIS_DATOS!$C$1506,CROQUIS_DATOS!$C$1510,CROQUIS_DATOS!$C$1514,CROQUIS_DATOS!$C$1518)=1,CHOOSE(MIN(C13,5),CROQUIS_DATOS!$C$1500,CROQUIS_DATOS!$C$1504,CROQUIS_DATOS!$C$1508,CROQUIS_DATOS!$C$1512,CROQUIS_DATOS!$C$1516)/2,CROQUIS_DATOS!$C$1526/2+(D13-1)*(CHOOSE(MIN(C13,5),CROQUIS_DATOS!$C$1500,CROQUIS_DATOS!$C$1504,CROQUIS_DATOS!$C$1508,CROQUIS_DATOS!$C$1512,CROQUIS_DATOS!$C$1516)-CROQUIS_DATOS!$C$1526)/MAX(CHOOSE(MIN(C13,5),CROQUIS_DATOS!$C$1502,CROQUIS_DATOS!$C$1506,CROQUIS_DATOS!$C$1510,CROQUIS_DATOS!$C$1514,CROQUIS_DATOS!$C$1518)-1,1)))</f>
        <v>492.5</v>
      </c>
      <c r="F13">
        <f>IF(G13=0,0,IF(CHOOSE(MIN(C13,5),CROQUIS_DATOS!$C$1502,CROQUIS_DATOS!$C$1506,CROQUIS_DATOS!$C$1510,CROQUIS_DATOS!$C$1514,CROQUIS_DATOS!$C$1518)=1,MIN(CROQUIS_DATOS!$C$1526,CHOOSE(MIN(C13,5),CROQUIS_DATOS!$C$1500,CROQUIS_DATOS!$C$1504,CROQUIS_DATOS!$C$1508,CROQUIS_DATOS!$C$1512,CROQUIS_DATOS!$C$1516)),CROQUIS_DATOS!$C$1526))</f>
        <v>15</v>
      </c>
      <c r="G13">
        <f>IF(AND(CROQUIS_DATOS!$C$1472=1,B13&lt;=CROQUIS_DATOS!$C$1525),1,0)</f>
        <v>1</v>
      </c>
      <c r="H13">
        <f>IF(6&lt;=CROQUIS_DATOS!$C$1539,6*CROQUIS_DATOS!$C$1536,IF(6&lt;=CROQUIS_DATOS!$C$1539+CROQUIS_DATOS!$C$1540,CROQUIS_DATOS!$C$1539*CROQUIS_DATOS!$C$1536+(6-CROQUIS_DATOS!$C$1539)*(CROQUIS_DATOS!$C$1476-2*CROQUIS_DATOS!$C$1539*CROQUIS_DATOS!$C$1536)/(CROQUIS_DATOS!$C$1540+1),CROQUIS_DATOS!$C$1476-(2*CROQUIS_DATOS!$C$1539+CROQUIS_DATOS!$C$1540+1-6)*CROQUIS_DATOS!$C$1536))</f>
        <v>56.9444444444444</v>
      </c>
      <c r="I13">
        <f>IF(AND(CROQUIS_DATOS!$C$1544=1,E13&gt;=CROQUIS_DATOS!$C$1549-1,E13&lt;=CROQUIS_DATOS!$C$1550+1),CROQUIS_DATOS!$C$1554,CROQUIS_DATOS!$C$1552)</f>
        <v>-16.8885</v>
      </c>
      <c r="J13">
        <f>IF(AND(CROQUIS_DATOS!$C$1472=1,1),(CROQUIS_DATOS!$C$1563+(CHOOSE(MIN(MAX(IF(INT(($A13-1)/4)+1&gt;CROQUIS_DATOS!$C$1525,4,MOD($A13-1,4)+1),1),4),(INDEX($E$8:$E$23,MIN(INT(($A13-1)/4)+1,CROQUIS_DATOS!$C$1525))-INDEX($F$8:$F$23,MIN(INT(($A13-1)/4)+1,CROQUIS_DATOS!$C$1525))/2),(INDEX($E$8:$E$23,MIN(INT(($A13-1)/4)+1,CROQUIS_DATOS!$C$1525))-INDEX($F$8:$F$23,MIN(INT(($A13-1)/4)+1,CROQUIS_DATOS!$C$1525))/2),(INDEX($E$8:$E$23,MIN(INT(($A13-1)/4)+1,CROQUIS_DATOS!$C$1525))+INDEX($F$8:$F$23,MIN(INT(($A13-1)/4)+1,CROQUIS_DATOS!$C$1525))/2),(INDEX($E$8:$E$23,MIN(INT(($A13-1)/4)+1,CROQUIS_DATOS!$C$1525))+INDEX($F$8:$F$23,MIN(INT(($A13-1)/4)+1,CROQUIS_DATOS!$C$1525))/2)))*CROQUIS_DATOS!$C$1562),-1000)</f>
        <v>18.5775862068965</v>
      </c>
      <c r="K13">
        <f>IF(AND(CROQUIS_DATOS!$C$1472=1,1),(CROQUIS_DATOS!$C$1564+(CHOOSE(MIN(MAX(IF(INT(($A13-1)/4)+1&gt;CROQUIS_DATOS!$C$1525,4,MOD($A13-1,4)+1),1),4),0,CROQUIS_DATOS!$C$1476,CROQUIS_DATOS!$C$1476,0))*CROQUIS_DATOS!$C$1561*CROQUIS_DATOS!$C$1562),-1000)</f>
        <v>40.2068965517241</v>
      </c>
      <c r="L13">
        <f>IF(AND(CROQUIS_DATOS!$C$1472=1,1),(CROQUIS_DATOS!$C$1563+(CHOOSE(MIN(MAX(IF(INT(($A13-1)/4)+1&gt;CROQUIS_DATOS!$C$1525,4,MOD($A13-1,4)+1),1),4),((INDEX($E$8:$E$23,MIN(INT(($A13-1)/4)+1,CROQUIS_DATOS!$C$1525))-INDEX($F$8:$F$23,MIN(INT(($A13-1)/4)+1,CROQUIS_DATOS!$C$1525))/2)+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,((INDEX($E$8:$E$23,MIN(INT(($A13-1)/4)+1,CROQUIS_DATOS!$C$1525))-INDEX($F$8:$F$23,MIN(INT(($A13-1)/4)+1,CROQUIS_DATOS!$C$1525))/2)+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,((INDEX($E$8:$E$23,MIN(INT(($A13-1)/4)+1,CROQUIS_DATOS!$C$1525))+INDEX($F$8:$F$23,MIN(INT(($A13-1)/4)+1,CROQUIS_DATOS!$C$1525))/2)-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,((INDEX($E$8:$E$23,MIN(INT(($A13-1)/4)+1,CROQUIS_DATOS!$C$1525))+INDEX($F$8:$F$23,MIN(INT(($A13-1)/4)+1,CROQUIS_DATOS!$C$1525))/2)-MIN((CROQUIS_DATOS!$C$1530+CROQUIS_DATOS!$C$1532+IF(OR(MIN(INT(($A13-1)/4)+1,CROQUIS_DATOS!$C$1525)=1,MIN(INT(($A13-1)/4)+1,CROQUIS_DATOS!$C$1525)=CROQUIS_DATOS!$C$1525),CROQUIS_DATOS!$C$1534,CROQUIS_DATOS!$C$1531)/2),INDEX($F$8:$F$23,MIN(INT(($A13-1)/4)+1,CROQUIS_DATOS!$C$1525))/2-0.5))))*CROQUIS_DATOS!$C$1562),-1000)</f>
        <v>19.0121232758621</v>
      </c>
      <c r="M13">
        <f>IF(AND(CROQUIS_DATOS!$C$1472=1,1),(CROQUIS_DATOS!$C$1564+(CHOOSE(MIN(MAX(IF(INT(($A13-1)/4)+1&gt;CROQUIS_DATOS!$C$1525,4,MOD($A13-1,4)+1),1),4),CROQUIS_DATOS!$C$1543,INDEX($I$8:$I$23,MIN(INT(($A13-1)/4)+1,CROQUIS_DATOS!$C$1525)),INDEX($I$8:$I$23,MIN(INT(($A13-1)/4)+1,CROQUIS_DATOS!$C$1525)),CROQUIS_DATOS!$C$1543))*CROQUIS_DATOS!$C$1561*CROQUIS_DATOS!$C$1562),-1000)</f>
        <v>2.93453706896552</v>
      </c>
      <c r="N13">
        <f>IF(AND(CROQUIS_DATOS!$C$1472=1,1),(CROQUIS_DATOS!$C$1563+(IF(IF(IF(INT(($A13-1)/70)+1&gt;CROQUIS_DATOS!$C$1525,70,MOD($A13-1,70)+1)=1,0,IF(IF(INT(($A13-1)/70)+1&gt;CROQUIS_DATOS!$C$1525,70,MOD($A13-1,70)+1)&gt;2*CROQUIS_DATOS!$C$1541+1,IF(MOD(CROQUIS_DATOS!$C$1541,2)=1,1,0),IF(MOD(MIN(INT((IF(INT(($A13-1)/70)+1&gt;CROQUIS_DATOS!$C$1525,70,MOD($A13-1,70)+1)-2)/2)+1,CROQUIS_DATOS!$C$1541),2)=1,IF(MOD(IF(INT(($A13-1)/70)+1&gt;CROQUIS_DATOS!$C$1525,70,MOD($A13-1,70)+1)-2,2)=0,0,1),IF(MOD(IF(INT(($A13-1)/70)+1&gt;CROQUIS_DATOS!$C$1525,70,MOD($A13-1,70)+1)-2,2)=0,1,0))))=0,(INDEX($E$8:$E$23,MIN(INT(($A13-1)/70)+1,CROQUIS_DATOS!$C$1525))-INDEX($F$8:$F$23,MIN(INT(($A13-1)/70)+1,CROQUIS_DATOS!$C$1525))/2),(INDEX($E$8:$E$23,MIN(INT(($A13-1)/70)+1,CROQUIS_DATOS!$C$1525))+INDEX($F$8:$F$23,MIN(INT(($A13-1)/70)+1,CROQUIS_DATOS!$C$1525))/2)))*CROQUIS_DATOS!$C$1562),-1000)</f>
        <v>15.0862068965517</v>
      </c>
      <c r="O13">
        <f>IF(AND(CROQUIS_DATOS!$C$1472=1,1),(CROQUIS_DATOS!$C$1564+(IF(OR(IF(INT(($A13-1)/70)+1&gt;CROQUIS_DATOS!$C$1525,70,MOD($A13-1,70)+1)=1,IF(INT(($A13-1)/70)+1&gt;CROQUIS_DATOS!$C$1525,70,MOD($A13-1,70)+1)&gt;2*CROQUIS_DATOS!$C$1541+1),CROQUIS_DATOS!$C$1476,INDEX($H$8:$H$41,MIN(INT((IF(INT(($A13-1)/70)+1&gt;CROQUIS_DATOS!$C$1525,70,MOD($A13-1,70)+1)-2)/2)+1,CROQUIS_DATOS!$C$1541))))*CROQUIS_DATOS!$C$1561*CROQUIS_DATOS!$C$1562),-1000)</f>
        <v>8.43534482758621</v>
      </c>
      <c r="P13">
        <f>IF(AND(CROQUIS_DATOS!$C$1472=1,CROQUIS_DATOS!$C$1555=1),(CROQUIS_DATOS!$C$1563+(IF(IF(OR(MOD($A13-1,62)+1=1,IF(CHOOSE(MIN(MAX(MIN(INT(($A13-1)/62)+1,5),1),5),CROQUIS_DATOS!$C$1501,CROQUIS_DATOS!$C$1505,CROQUIS_DATOS!$C$1509,CROQUIS_DATOS!$C$1513,CROQUIS_DATOS!$C$1517)=1,CROQUIS_DATOS!$C$1557,0)=0),0,IF(MOD($A13-1,62)+1&gt;2*IF(CHOOSE(MIN(MAX(MIN(INT(($A13-1)/62)+1,5),1),5),CROQUIS_DATOS!$C$1501,CROQUIS_DATOS!$C$1505,CROQUIS_DATOS!$C$1509,CROQUIS_DATOS!$C$1513,CROQUIS_DATOS!$C$1517)=1,CROQUIS_DATOS!$C$1557,0)+1,IF(MOD(IF(CHOOSE(MIN(MAX(MIN(INT(($A13-1)/62)+1,5),1),5),CROQUIS_DATOS!$C$1501,CROQUIS_DATOS!$C$1505,CROQUIS_DATOS!$C$1509,CROQUIS_DATOS!$C$1513,CROQUIS_DATOS!$C$1517)=1,CROQUIS_DATOS!$C$1557,0),2)=1,1,0),IF(MOD(MIN(INT((MOD($A13-1,62)+1-2)/2)+1,MAX(IF(CHOOSE(MIN(MAX(MIN(INT(($A13-1)/62)+1,5),1),5),CROQUIS_DATOS!$C$1501,CROQUIS_DATOS!$C$1505,CROQUIS_DATOS!$C$1509,CROQUIS_DATOS!$C$1513,CROQUIS_DATOS!$C$1517)=1,CROQUIS_DATOS!$C$1557,0),1)),2)=1,IF(MOD(MOD($A13-1,62)+1-2,2)=0,0,1),IF(MOD(MOD($A13-1,62)+1-2,2)=0,1,0))))=0,(CHOOSE(MIN(MAX(MIN(INT(($A13-1)/62)+1,5),1),5),CROQUIS_DATOS!$C$1499,CROQUIS_DATOS!$C$1503,CROQUIS_DATOS!$C$1507,CROQUIS_DATOS!$C$1511,CROQUIS_DATOS!$C$1515)+IF(CHOOSE(MIN(MAX(MIN(INT(($A13-1)/62)+1,5),1),5),CROQUIS_DATOS!$C$1501,CROQUIS_DATOS!$C$1505,CROQUIS_DATOS!$C$1509,CROQUIS_DATOS!$C$1513,CROQUIS_DATOS!$C$1517)=1,CROQUIS_DATOS!$C$1526,0)),(CHOOSE(MIN(MAX(MIN(INT(($A13-1)/62)+1,5),1),5),CROQUIS_DATOS!$C$1499,CROQUIS_DATOS!$C$1503,CROQUIS_DATOS!$C$1507,CROQUIS_DATOS!$C$1511,CROQUIS_DATOS!$C$1515)+CHOOSE(MIN(MAX(MIN(INT(($A13-1)/62)+1,5),1),5),CROQUIS_DATOS!$C$1500,CROQUIS_DATOS!$C$1504,CROQUIS_DATOS!$C$1508,CROQUIS_DATOS!$C$1512,CROQUIS_DATOS!$C$1516)-IF(CHOOSE(MIN(MAX(MIN(INT(($A13-1)/62)+1,5),1),5),CROQUIS_DATOS!$C$1501,CROQUIS_DATOS!$C$1505,CROQUIS_DATOS!$C$1509,CROQUIS_DATOS!$C$1513,CROQUIS_DATOS!$C$1517)=1,CROQUIS_DATOS!$C$1526,0))))*CROQUIS_DATOS!$C$1562),-1000)</f>
        <v>-1000</v>
      </c>
      <c r="Q13">
        <f>IF(AND(CROQUIS_DATOS!$C$1472=1,CROQUIS_DATOS!$C$1555=1),(CROQUIS_DATOS!$C$1564+(IF(OR(OR(MOD($A13-1,62)+1=1,IF(CHOOSE(MIN(MAX(MIN(INT(($A13-1)/62)+1,5),1),5),CROQUIS_DATOS!$C$1501,CROQUIS_DATOS!$C$1505,CROQUIS_DATOS!$C$1509,CROQUIS_DATOS!$C$1513,CROQUIS_DATOS!$C$1517)=1,CROQUIS_DATOS!$C$1557,0)=0),MOD($A13-1,62)+1&gt;2*IF(CHOOSE(MIN(MAX(MIN(INT(($A13-1)/62)+1,5),1),5),CROQUIS_DATOS!$C$1501,CROQUIS_DATOS!$C$1505,CROQUIS_DATOS!$C$1509,CROQUIS_DATOS!$C$1513,CROQUIS_DATOS!$C$1517)=1,CROQUIS_DATOS!$C$1557,0)+1),CROQUIS_DATOS!$C$1476,MIN(INT((MOD($A13-1,62)+1-2)/2)+1,MAX(IF(CHOOSE(MIN(MAX(MIN(INT(($A13-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">
        <f>IF(AND(CROQUIS_DATOS!$C$1472=1,1),(CROQUIS_DATOS!$C$1563+(MIN(INT(($A13-1)/2)+1,CROQUIS_DATOS!$C$1558)*CROQUIS_DATOS!$C$1559)*CROQUIS_DATOS!$C$1562),-1000)</f>
        <v>23.1432360742706</v>
      </c>
      <c r="U13">
        <f>IF(AND(CROQUIS_DATOS!$C$1472=1,1),(CROQUIS_DATOS!$C$1564+(IF(INT(($A13-1)/2)+1&gt;CROQUIS_DATOS!$C$1558,IF(MOD(CROQUIS_DATOS!$C$1558,2)=1,CROQUIS_DATOS!$C$1476+CROQUIS_DATOS!$C$1528,CROQUIS_DATOS!$C$1476),IF(IF(MOD(MIN(INT(($A13-1)/2)+1,CROQUIS_DATOS!$C$1558),2)=1,MOD($A13-1,2),1-MOD($A13-1,2))=1,CROQUIS_DATOS!$C$1476+CROQUIS_DATOS!$C$1528,CROQUIS_DATOS!$C$1476)))*CROQUIS_DATOS!$C$1561*CROQUIS_DATOS!$C$1562),-1000)</f>
        <v>43</v>
      </c>
      <c r="BZ13">
        <f>IF(AND(CROQUIS_DATOS!$C$1472=1,CROQUIS_DATOS!$C$1500&gt;0,((CROQUIS_DATOS!$C$1499+CROQUIS_DATOS!$C$1500))-(CROQUIS_DATOS!$C$1499)&gt;0.5,(CROQUIS_DATOS!$C$1476)-(0)&gt;0.5),(CROQUIS_DATOS!$C$1566+(IF(IF(MOD(MIN(INT(($A13-1)/2)+1,MAX(1,INT(((((CROQUIS_DATOS!$C$1499+CROQUIS_DATOS!$C$1500))-(CROQUIS_DATOS!$C$1499))+((CROQUIS_DATOS!$C$1476)*CROQUIS_DATOS!$C$1561-(0)*CROQUIS_DATOS!$C$1561))/CROQUIS_DATOS!$C$1568-0.000001))),2)=1,IF(INT(($A13-1)/2)+1&gt;MAX(1,INT(((((CROQUIS_DATOS!$C$1499+CROQUIS_DATOS!$C$1500))-(CROQUIS_DATOS!$C$1499))+((CROQUIS_DATOS!$C$1476)*CROQUIS_DATOS!$C$1561-(0)*CROQUIS_DATOS!$C$1561))/CROQUIS_DATOS!$C$1568-0.000001)),1,MOD($A13-1,2)),1-IF(INT(($A13-1)/2)+1&gt;MAX(1,INT(((((CROQUIS_DATOS!$C$1499+CROQUIS_DATOS!$C$1500))-(CROQUIS_DATOS!$C$1499))+((CROQUIS_DATOS!$C$1476)*CROQUIS_DATOS!$C$1561-(0)*CROQUIS_DATOS!$C$1561))/CROQUIS_DATOS!$C$1568-0.000001)),1,MOD($A13-1,2)))=1,MIN((CROQUIS_DATOS!$C$1476)*CROQUIS_DATOS!$C$1561,((CROQUIS_DATOS!$C$1499+CROQUIS_DATOS!$C$1500)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">
        <f>IF(AND(CROQUIS_DATOS!$C$1472=1,CROQUIS_DATOS!$C$1500&gt;0,((CROQUIS_DATOS!$C$1499+CROQUIS_DATOS!$C$1500))-(CROQUIS_DATOS!$C$1499)&gt;0.5,(CROQUIS_DATOS!$C$1476)-(0)&gt;0.5),(CROQUIS_DATOS!$C$1567+(IF(IF(MOD(MIN(INT(($A13-1)/2)+1,MAX(1,INT(((((CROQUIS_DATOS!$C$1499+CROQUIS_DATOS!$C$1500))-(CROQUIS_DATOS!$C$1499))+((CROQUIS_DATOS!$C$1476)*CROQUIS_DATOS!$C$1561-(0)*CROQUIS_DATOS!$C$1561))/CROQUIS_DATOS!$C$1568-0.000001))),2)=1,IF(INT(($A13-1)/2)+1&gt;MAX(1,INT(((((CROQUIS_DATOS!$C$1499+CROQUIS_DATOS!$C$1500))-(CROQUIS_DATOS!$C$1499))+((CROQUIS_DATOS!$C$1476)*CROQUIS_DATOS!$C$1561-(0)*CROQUIS_DATOS!$C$1561))/CROQUIS_DATOS!$C$1568-0.000001)),1,MOD($A13-1,2)),1-IF(INT(($A13-1)/2)+1&gt;MAX(1,INT(((((CROQUIS_DATOS!$C$1499+CROQUIS_DATOS!$C$1500))-(CROQUIS_DATOS!$C$1499))+((CROQUIS_DATOS!$C$1476)*CROQUIS_DATOS!$C$1561-(0)*CROQUIS_DATOS!$C$1561))/CROQUIS_DATOS!$C$1568-0.000001)),1,MOD($A13-1,2)))=1,MIN((CROQUIS_DATOS!$C$1476)*CROQUIS_DATOS!$C$1561,((CROQUIS_DATOS!$C$1499+CROQUIS_DATOS!$C$1500)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13-1)/2)+1,MAX(1,INT(((((CROQUIS_DATOS!$C$1499+CROQUIS_DATOS!$C$1500))-(CROQUIS_DATOS!$C$1499))+((CROQUIS_DATOS!$C$1476)*CROQUIS_DATOS!$C$1561-(0)*CROQUIS_DATOS!$C$1561))/CROQUIS_DATOS!$C$1568-0.000001)))*CROQUIS_DATOS!$C$1568))))*CROQUIS_DATOS!$C$1565),-1000)</f>
        <v>38.3379310344828</v>
      </c>
      <c r="CB13">
        <f>IF(AND(CROQUIS_DATOS!$C$1472=1,CROQUIS_DATOS!$C$1504&gt;0,((CROQUIS_DATOS!$C$1503+CROQUIS_DATOS!$C$1504))-(CROQUIS_DATOS!$C$1503)&gt;0.5,(CROQUIS_DATOS!$C$1476)-(0)&gt;0.5),(CROQUIS_DATOS!$C$1566+(IF(IF(MOD(MIN(INT(($A13-1)/2)+1,MAX(1,INT(((((CROQUIS_DATOS!$C$1503+CROQUIS_DATOS!$C$1504))-(CROQUIS_DATOS!$C$1503))+((CROQUIS_DATOS!$C$1476)*CROQUIS_DATOS!$C$1561-(0)*CROQUIS_DATOS!$C$1561))/CROQUIS_DATOS!$C$1568-0.000001))),2)=1,IF(INT(($A13-1)/2)+1&gt;MAX(1,INT(((((CROQUIS_DATOS!$C$1503+CROQUIS_DATOS!$C$1504))-(CROQUIS_DATOS!$C$1503))+((CROQUIS_DATOS!$C$1476)*CROQUIS_DATOS!$C$1561-(0)*CROQUIS_DATOS!$C$1561))/CROQUIS_DATOS!$C$1568-0.000001)),1,MOD($A13-1,2)),1-IF(INT(($A13-1)/2)+1&gt;MAX(1,INT(((((CROQUIS_DATOS!$C$1503+CROQUIS_DATOS!$C$1504))-(CROQUIS_DATOS!$C$1503))+((CROQUIS_DATOS!$C$1476)*CROQUIS_DATOS!$C$1561-(0)*CROQUIS_DATOS!$C$1561))/CROQUIS_DATOS!$C$1568-0.000001)),1,MOD($A13-1,2)))=1,MIN((CROQUIS_DATOS!$C$1476)*CROQUIS_DATOS!$C$1561,((CROQUIS_DATOS!$C$1503+CROQUIS_DATOS!$C$1504)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*CROQUIS_DATOS!$C$1565),-1000)</f>
        <v>42.9724137931035</v>
      </c>
      <c r="CC13">
        <f>IF(AND(CROQUIS_DATOS!$C$1472=1,CROQUIS_DATOS!$C$1504&gt;0,((CROQUIS_DATOS!$C$1503+CROQUIS_DATOS!$C$1504))-(CROQUIS_DATOS!$C$1503)&gt;0.5,(CROQUIS_DATOS!$C$1476)-(0)&gt;0.5),(CROQUIS_DATOS!$C$1567+(IF(IF(MOD(MIN(INT(($A13-1)/2)+1,MAX(1,INT(((((CROQUIS_DATOS!$C$1503+CROQUIS_DATOS!$C$1504))-(CROQUIS_DATOS!$C$1503))+((CROQUIS_DATOS!$C$1476)*CROQUIS_DATOS!$C$1561-(0)*CROQUIS_DATOS!$C$1561))/CROQUIS_DATOS!$C$1568-0.000001))),2)=1,IF(INT(($A13-1)/2)+1&gt;MAX(1,INT(((((CROQUIS_DATOS!$C$1503+CROQUIS_DATOS!$C$1504))-(CROQUIS_DATOS!$C$1503))+((CROQUIS_DATOS!$C$1476)*CROQUIS_DATOS!$C$1561-(0)*CROQUIS_DATOS!$C$1561))/CROQUIS_DATOS!$C$1568-0.000001)),1,MOD($A13-1,2)),1-IF(INT(($A13-1)/2)+1&gt;MAX(1,INT(((((CROQUIS_DATOS!$C$1503+CROQUIS_DATOS!$C$1504))-(CROQUIS_DATOS!$C$1503))+((CROQUIS_DATOS!$C$1476)*CROQUIS_DATOS!$C$1561-(0)*CROQUIS_DATOS!$C$1561))/CROQUIS_DATOS!$C$1568-0.000001)),1,MOD($A13-1,2)))=1,MIN((CROQUIS_DATOS!$C$1476)*CROQUIS_DATOS!$C$1561,((CROQUIS_DATOS!$C$1503+CROQUIS_DATOS!$C$1504)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13-1)/2)+1,MAX(1,INT(((((CROQUIS_DATOS!$C$1503+CROQUIS_DATOS!$C$1504))-(CROQUIS_DATOS!$C$1503))+((CROQUIS_DATOS!$C$1476)*CROQUIS_DATOS!$C$1561-(0)*CROQUIS_DATOS!$C$1561))/CROQUIS_DATOS!$C$1568-0.000001)))*CROQUIS_DATOS!$C$1568))))*CROQUIS_DATOS!$C$1565),-1000)</f>
        <v>38.8620689655172</v>
      </c>
      <c r="CD13">
        <f>IF(AND(CROQUIS_DATOS!$C$1472=1,CROQUIS_DATOS!$C$1508&gt;0,((CROQUIS_DATOS!$C$1507+CROQUIS_DATOS!$C$1508))-(CROQUIS_DATOS!$C$1507)&gt;0.5,(CROQUIS_DATOS!$C$1476)-(0)&gt;0.5),(CROQUIS_DATOS!$C$1566+(IF(IF(MOD(MIN(INT(($A13-1)/2)+1,MAX(1,INT(((((CROQUIS_DATOS!$C$1507+CROQUIS_DATOS!$C$1508))-(CROQUIS_DATOS!$C$1507))+((CROQUIS_DATOS!$C$1476)*CROQUIS_DATOS!$C$1561-(0)*CROQUIS_DATOS!$C$1561))/CROQUIS_DATOS!$C$1568-0.000001))),2)=1,IF(INT(($A13-1)/2)+1&gt;MAX(1,INT(((((CROQUIS_DATOS!$C$1507+CROQUIS_DATOS!$C$1508))-(CROQUIS_DATOS!$C$1507))+((CROQUIS_DATOS!$C$1476)*CROQUIS_DATOS!$C$1561-(0)*CROQUIS_DATOS!$C$1561))/CROQUIS_DATOS!$C$1568-0.000001)),1,MOD($A13-1,2)),1-IF(INT(($A13-1)/2)+1&gt;MAX(1,INT(((((CROQUIS_DATOS!$C$1507+CROQUIS_DATOS!$C$1508))-(CROQUIS_DATOS!$C$1507))+((CROQUIS_DATOS!$C$1476)*CROQUIS_DATOS!$C$1561-(0)*CROQUIS_DATOS!$C$1561))/CROQUIS_DATOS!$C$1568-0.000001)),1,MOD($A13-1,2)))=1,MIN((CROQUIS_DATOS!$C$1476)*CROQUIS_DATOS!$C$1561,((CROQUIS_DATOS!$C$1507+CROQUIS_DATOS!$C$1508)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*CROQUIS_DATOS!$C$1565),-1000)</f>
        <v>69.6965517241379</v>
      </c>
      <c r="CE13">
        <f>IF(AND(CROQUIS_DATOS!$C$1472=1,CROQUIS_DATOS!$C$1508&gt;0,((CROQUIS_DATOS!$C$1507+CROQUIS_DATOS!$C$1508))-(CROQUIS_DATOS!$C$1507)&gt;0.5,(CROQUIS_DATOS!$C$1476)-(0)&gt;0.5),(CROQUIS_DATOS!$C$1567+(IF(IF(MOD(MIN(INT(($A13-1)/2)+1,MAX(1,INT(((((CROQUIS_DATOS!$C$1507+CROQUIS_DATOS!$C$1508))-(CROQUIS_DATOS!$C$1507))+((CROQUIS_DATOS!$C$1476)*CROQUIS_DATOS!$C$1561-(0)*CROQUIS_DATOS!$C$1561))/CROQUIS_DATOS!$C$1568-0.000001))),2)=1,IF(INT(($A13-1)/2)+1&gt;MAX(1,INT(((((CROQUIS_DATOS!$C$1507+CROQUIS_DATOS!$C$1508))-(CROQUIS_DATOS!$C$1507))+((CROQUIS_DATOS!$C$1476)*CROQUIS_DATOS!$C$1561-(0)*CROQUIS_DATOS!$C$1561))/CROQUIS_DATOS!$C$1568-0.000001)),1,MOD($A13-1,2)),1-IF(INT(($A13-1)/2)+1&gt;MAX(1,INT(((((CROQUIS_DATOS!$C$1507+CROQUIS_DATOS!$C$1508))-(CROQUIS_DATOS!$C$1507))+((CROQUIS_DATOS!$C$1476)*CROQUIS_DATOS!$C$1561-(0)*CROQUIS_DATOS!$C$1561))/CROQUIS_DATOS!$C$1568-0.000001)),1,MOD($A13-1,2)))=1,MIN((CROQUIS_DATOS!$C$1476)*CROQUIS_DATOS!$C$1561,((CROQUIS_DATOS!$C$1507+CROQUIS_DATOS!$C$1508)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13">
        <f>IF(AND(CROQUIS_DATOS!$C$1472=1,CROQUIS_DATOS!$C$1512&gt;0,((CROQUIS_DATOS!$C$1511+CROQUIS_DATOS!$C$1512))-(CROQUIS_DATOS!$C$1511)&gt;0.5,(CROQUIS_DATOS!$C$1476)-(0)&gt;0.5),(CROQUIS_DATOS!$C$1566+(IF(IF(MOD(MIN(INT(($A13-1)/2)+1,MAX(1,INT(((((CROQUIS_DATOS!$C$1511+CROQUIS_DATOS!$C$1512))-(CROQUIS_DATOS!$C$1511))+((CROQUIS_DATOS!$C$1476)*CROQUIS_DATOS!$C$1561-(0)*CROQUIS_DATOS!$C$1561))/CROQUIS_DATOS!$C$1568-0.000001))),2)=1,IF(INT(($A13-1)/2)+1&gt;MAX(1,INT(((((CROQUIS_DATOS!$C$1511+CROQUIS_DATOS!$C$1512))-(CROQUIS_DATOS!$C$1511))+((CROQUIS_DATOS!$C$1476)*CROQUIS_DATOS!$C$1561-(0)*CROQUIS_DATOS!$C$1561))/CROQUIS_DATOS!$C$1568-0.000001)),1,MOD($A13-1,2)),1-IF(INT(($A13-1)/2)+1&gt;MAX(1,INT(((((CROQUIS_DATOS!$C$1511+CROQUIS_DATOS!$C$1512))-(CROQUIS_DATOS!$C$1511))+((CROQUIS_DATOS!$C$1476)*CROQUIS_DATOS!$C$1561-(0)*CROQUIS_DATOS!$C$1561))/CROQUIS_DATOS!$C$1568-0.000001)),1,MOD($A13-1,2)))=1,MIN((CROQUIS_DATOS!$C$1476)*CROQUIS_DATOS!$C$1561,((CROQUIS_DATOS!$C$1511+CROQUIS_DATOS!$C$1512)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">
        <f>IF(AND(CROQUIS_DATOS!$C$1472=1,CROQUIS_DATOS!$C$1512&gt;0,((CROQUIS_DATOS!$C$1511+CROQUIS_DATOS!$C$1512))-(CROQUIS_DATOS!$C$1511)&gt;0.5,(CROQUIS_DATOS!$C$1476)-(0)&gt;0.5),(CROQUIS_DATOS!$C$1567+(IF(IF(MOD(MIN(INT(($A13-1)/2)+1,MAX(1,INT(((((CROQUIS_DATOS!$C$1511+CROQUIS_DATOS!$C$1512))-(CROQUIS_DATOS!$C$1511))+((CROQUIS_DATOS!$C$1476)*CROQUIS_DATOS!$C$1561-(0)*CROQUIS_DATOS!$C$1561))/CROQUIS_DATOS!$C$1568-0.000001))),2)=1,IF(INT(($A13-1)/2)+1&gt;MAX(1,INT(((((CROQUIS_DATOS!$C$1511+CROQUIS_DATOS!$C$1512))-(CROQUIS_DATOS!$C$1511))+((CROQUIS_DATOS!$C$1476)*CROQUIS_DATOS!$C$1561-(0)*CROQUIS_DATOS!$C$1561))/CROQUIS_DATOS!$C$1568-0.000001)),1,MOD($A13-1,2)),1-IF(INT(($A13-1)/2)+1&gt;MAX(1,INT(((((CROQUIS_DATOS!$C$1511+CROQUIS_DATOS!$C$1512))-(CROQUIS_DATOS!$C$1511))+((CROQUIS_DATOS!$C$1476)*CROQUIS_DATOS!$C$1561-(0)*CROQUIS_DATOS!$C$1561))/CROQUIS_DATOS!$C$1568-0.000001)),1,MOD($A13-1,2)))=1,MIN((CROQUIS_DATOS!$C$1476)*CROQUIS_DATOS!$C$1561,((CROQUIS_DATOS!$C$1511+CROQUIS_DATOS!$C$1512)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">
        <f>IF(AND(CROQUIS_DATOS!$C$1472=1,CROQUIS_DATOS!$C$1516&gt;0,((CROQUIS_DATOS!$C$1515+CROQUIS_DATOS!$C$1516))-(CROQUIS_DATOS!$C$1515)&gt;0.5,(CROQUIS_DATOS!$C$1476)-(0)&gt;0.5),(CROQUIS_DATOS!$C$1566+(IF(IF(MOD(MIN(INT(($A13-1)/2)+1,MAX(1,INT(((((CROQUIS_DATOS!$C$1515+CROQUIS_DATOS!$C$1516))-(CROQUIS_DATOS!$C$1515))+((CROQUIS_DATOS!$C$1476)*CROQUIS_DATOS!$C$1561-(0)*CROQUIS_DATOS!$C$1561))/CROQUIS_DATOS!$C$1568-0.000001))),2)=1,IF(INT(($A13-1)/2)+1&gt;MAX(1,INT(((((CROQUIS_DATOS!$C$1515+CROQUIS_DATOS!$C$1516))-(CROQUIS_DATOS!$C$1515))+((CROQUIS_DATOS!$C$1476)*CROQUIS_DATOS!$C$1561-(0)*CROQUIS_DATOS!$C$1561))/CROQUIS_DATOS!$C$1568-0.000001)),1,MOD($A13-1,2)),1-IF(INT(($A13-1)/2)+1&gt;MAX(1,INT(((((CROQUIS_DATOS!$C$1515+CROQUIS_DATOS!$C$1516))-(CROQUIS_DATOS!$C$1515))+((CROQUIS_DATOS!$C$1476)*CROQUIS_DATOS!$C$1561-(0)*CROQUIS_DATOS!$C$1561))/CROQUIS_DATOS!$C$1568-0.000001)),1,MOD($A13-1,2)))=1,MIN((CROQUIS_DATOS!$C$1476)*CROQUIS_DATOS!$C$1561,((CROQUIS_DATOS!$C$1515+CROQUIS_DATOS!$C$1516)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">
        <f>IF(AND(CROQUIS_DATOS!$C$1472=1,CROQUIS_DATOS!$C$1516&gt;0,((CROQUIS_DATOS!$C$1515+CROQUIS_DATOS!$C$1516))-(CROQUIS_DATOS!$C$1515)&gt;0.5,(CROQUIS_DATOS!$C$1476)-(0)&gt;0.5),(CROQUIS_DATOS!$C$1567+(IF(IF(MOD(MIN(INT(($A13-1)/2)+1,MAX(1,INT(((((CROQUIS_DATOS!$C$1515+CROQUIS_DATOS!$C$1516))-(CROQUIS_DATOS!$C$1515))+((CROQUIS_DATOS!$C$1476)*CROQUIS_DATOS!$C$1561-(0)*CROQUIS_DATOS!$C$1561))/CROQUIS_DATOS!$C$1568-0.000001))),2)=1,IF(INT(($A13-1)/2)+1&gt;MAX(1,INT(((((CROQUIS_DATOS!$C$1515+CROQUIS_DATOS!$C$1516))-(CROQUIS_DATOS!$C$1515))+((CROQUIS_DATOS!$C$1476)*CROQUIS_DATOS!$C$1561-(0)*CROQUIS_DATOS!$C$1561))/CROQUIS_DATOS!$C$1568-0.000001)),1,MOD($A13-1,2)),1-IF(INT(($A13-1)/2)+1&gt;MAX(1,INT(((((CROQUIS_DATOS!$C$1515+CROQUIS_DATOS!$C$1516))-(CROQUIS_DATOS!$C$1515))+((CROQUIS_DATOS!$C$1476)*CROQUIS_DATOS!$C$1561-(0)*CROQUIS_DATOS!$C$1561))/CROQUIS_DATOS!$C$1568-0.000001)),1,MOD($A13-1,2)))=1,MIN((CROQUIS_DATOS!$C$1476)*CROQUIS_DATOS!$C$1561,((CROQUIS_DATOS!$C$1515+CROQUIS_DATOS!$C$1516)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">
        <f>IF(AND(CROQUIS_DATOS!$C$1472=1,CROQUIS_DATOS!$C$1478&gt;=1,((CROQUIS_DATOS!$C$1479+CROQUIS_DATOS!$C$1480))-(CROQUIS_DATOS!$C$1479)&gt;0.5,(CROQUIS_DATOS!$C$1481)-(0)&gt;0.5),(CROQUIS_DATOS!$C$1566+(IF(IF(MOD(MIN(INT(($A13-1)/2)+1,MAX(1,INT(((((CROQUIS_DATOS!$C$1479+CROQUIS_DATOS!$C$1480))-(CROQUIS_DATOS!$C$1479))+((CROQUIS_DATOS!$C$1481)*CROQUIS_DATOS!$C$1561-(0)*CROQUIS_DATOS!$C$1561))/CROQUIS_DATOS!$C$1568-0.000001))),2)=1,IF(INT(($A13-1)/2)+1&gt;MAX(1,INT(((((CROQUIS_DATOS!$C$1479+CROQUIS_DATOS!$C$1480))-(CROQUIS_DATOS!$C$1479))+((CROQUIS_DATOS!$C$1481)*CROQUIS_DATOS!$C$1561-(0)*CROQUIS_DATOS!$C$1561))/CROQUIS_DATOS!$C$1568-0.000001)),1,MOD($A13-1,2)),1-IF(INT(($A13-1)/2)+1&gt;MAX(1,INT(((((CROQUIS_DATOS!$C$1479+CROQUIS_DATOS!$C$1480))-(CROQUIS_DATOS!$C$1479))+((CROQUIS_DATOS!$C$1481)*CROQUIS_DATOS!$C$1561-(0)*CROQUIS_DATOS!$C$1561))/CROQUIS_DATOS!$C$1568-0.000001)),1,MOD($A13-1,2)))=1,MIN((CROQUIS_DATOS!$C$1481)*CROQUIS_DATOS!$C$1561,((CROQUIS_DATOS!$C$1479+CROQUIS_DATOS!$C$1480)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">
        <f>IF(AND(CROQUIS_DATOS!$C$1472=1,CROQUIS_DATOS!$C$1478&gt;=1,((CROQUIS_DATOS!$C$1479+CROQUIS_DATOS!$C$1480))-(CROQUIS_DATOS!$C$1479)&gt;0.5,(CROQUIS_DATOS!$C$1481)-(0)&gt;0.5),(CROQUIS_DATOS!$C$1567+(IF(IF(MOD(MIN(INT(($A13-1)/2)+1,MAX(1,INT(((((CROQUIS_DATOS!$C$1479+CROQUIS_DATOS!$C$1480))-(CROQUIS_DATOS!$C$1479))+((CROQUIS_DATOS!$C$1481)*CROQUIS_DATOS!$C$1561-(0)*CROQUIS_DATOS!$C$1561))/CROQUIS_DATOS!$C$1568-0.000001))),2)=1,IF(INT(($A13-1)/2)+1&gt;MAX(1,INT(((((CROQUIS_DATOS!$C$1479+CROQUIS_DATOS!$C$1480))-(CROQUIS_DATOS!$C$1479))+((CROQUIS_DATOS!$C$1481)*CROQUIS_DATOS!$C$1561-(0)*CROQUIS_DATOS!$C$1561))/CROQUIS_DATOS!$C$1568-0.000001)),1,MOD($A13-1,2)),1-IF(INT(($A13-1)/2)+1&gt;MAX(1,INT(((((CROQUIS_DATOS!$C$1479+CROQUIS_DATOS!$C$1480))-(CROQUIS_DATOS!$C$1479))+((CROQUIS_DATOS!$C$1481)*CROQUIS_DATOS!$C$1561-(0)*CROQUIS_DATOS!$C$1561))/CROQUIS_DATOS!$C$1568-0.000001)),1,MOD($A13-1,2)))=1,MIN((CROQUIS_DATOS!$C$1481)*CROQUIS_DATOS!$C$1561,((CROQUIS_DATOS!$C$1479+CROQUIS_DATOS!$C$1480)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">
        <f>IF(AND(CROQUIS_DATOS!$C$1472=1,CROQUIS_DATOS!$C$1478&gt;=1,((CROQUIS_DATOS!$C$1479+CROQUIS_DATOS!$C$1480))-(CROQUIS_DATOS!$C$1479)&gt;0.5,(CROQUIS_DATOS!$C$1476)-((CROQUIS_DATOS!$C$1481+CROQUIS_DATOS!$C$1482))&gt;0.5),(CROQUIS_DATOS!$C$1566+(IF(IF(MOD(MIN(INT(($A13-1)/2)+1,MAX(1,INT(((((CROQUIS_DATOS!$C$1479+CROQUIS_DATOS!$C$1480))-(CROQUIS_DATOS!$C$1479))+((CROQUIS_DATOS!$C$1476)*CROQUIS_DATOS!$C$1561-((CROQUIS_DATOS!$C$1481+CROQUIS_DATOS!$C$1482))*CROQUIS_DATOS!$C$1561))/CROQUIS_DATOS!$C$1568-0.000001))),2)=1,IF(INT(($A13-1)/2)+1&gt;MAX(1,INT(((((CROQUIS_DATOS!$C$1479+CROQUIS_DATOS!$C$1480))-(CROQUIS_DATOS!$C$1479))+((CROQUIS_DATOS!$C$1476)*CROQUIS_DATOS!$C$1561-((CROQUIS_DATOS!$C$1481+CROQUIS_DATOS!$C$1482))*CROQUIS_DATOS!$C$1561))/CROQUIS_DATOS!$C$1568-0.000001)),1,MOD($A13-1,2)),1-IF(INT(($A13-1)/2)+1&gt;MAX(1,INT(((((CROQUIS_DATOS!$C$1479+CROQUIS_DATOS!$C$1480))-(CROQUIS_DATOS!$C$1479))+((CROQUIS_DATOS!$C$1476)*CROQUIS_DATOS!$C$1561-((CROQUIS_DATOS!$C$1481+CROQUIS_DATOS!$C$1482))*CROQUIS_DATOS!$C$1561))/CROQUIS_DATOS!$C$1568-0.000001)),1,MOD($A13-1,2)))=1,MIN((CROQUIS_DATOS!$C$1476)*CROQUIS_DATOS!$C$1561,((CROQUIS_DATOS!$C$1479+CROQUIS_DATOS!$C$1480)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33.351724137931</v>
      </c>
      <c r="CM13">
        <f>IF(AND(CROQUIS_DATOS!$C$1472=1,CROQUIS_DATOS!$C$1478&gt;=1,((CROQUIS_DATOS!$C$1479+CROQUIS_DATOS!$C$1480))-(CROQUIS_DATOS!$C$1479)&gt;0.5,(CROQUIS_DATOS!$C$1476)-((CROQUIS_DATOS!$C$1481+CROQUIS_DATOS!$C$1482))&gt;0.5),(CROQUIS_DATOS!$C$1567+(IF(IF(MOD(MIN(INT(($A13-1)/2)+1,MAX(1,INT(((((CROQUIS_DATOS!$C$1479+CROQUIS_DATOS!$C$1480))-(CROQUIS_DATOS!$C$1479))+((CROQUIS_DATOS!$C$1476)*CROQUIS_DATOS!$C$1561-((CROQUIS_DATOS!$C$1481+CROQUIS_DATOS!$C$1482))*CROQUIS_DATOS!$C$1561))/CROQUIS_DATOS!$C$1568-0.000001))),2)=1,IF(INT(($A13-1)/2)+1&gt;MAX(1,INT(((((CROQUIS_DATOS!$C$1479+CROQUIS_DATOS!$C$1480))-(CROQUIS_DATOS!$C$1479))+((CROQUIS_DATOS!$C$1476)*CROQUIS_DATOS!$C$1561-((CROQUIS_DATOS!$C$1481+CROQUIS_DATOS!$C$1482))*CROQUIS_DATOS!$C$1561))/CROQUIS_DATOS!$C$1568-0.000001)),1,MOD($A13-1,2)),1-IF(INT(($A13-1)/2)+1&gt;MAX(1,INT(((((CROQUIS_DATOS!$C$1479+CROQUIS_DATOS!$C$1480))-(CROQUIS_DATOS!$C$1479))+((CROQUIS_DATOS!$C$1476)*CROQUIS_DATOS!$C$1561-((CROQUIS_DATOS!$C$1481+CROQUIS_DATOS!$C$1482))*CROQUIS_DATOS!$C$1561))/CROQUIS_DATOS!$C$1568-0.000001)),1,MOD($A13-1,2)))=1,MIN((CROQUIS_DATOS!$C$1476)*CROQUIS_DATOS!$C$1561,((CROQUIS_DATOS!$C$1479+CROQUIS_DATOS!$C$1480)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38.8620689655172</v>
      </c>
      <c r="CR13">
        <f>IF(AND(CROQUIS_DATOS!$C$1472=1,CROQUIS_DATOS!$C$1478&gt;=2,((CROQUIS_DATOS!$C$1484+CROQUIS_DATOS!$C$1485))-(CROQUIS_DATOS!$C$1484)&gt;0.5,(CROQUIS_DATOS!$C$1486)-(0)&gt;0.5),(CROQUIS_DATOS!$C$1566+(IF(IF(MOD(MIN(INT(($A13-1)/2)+1,MAX(1,INT(((((CROQUIS_DATOS!$C$1484+CROQUIS_DATOS!$C$1485))-(CROQUIS_DATOS!$C$1484))+((CROQUIS_DATOS!$C$1486)*CROQUIS_DATOS!$C$1561-(0)*CROQUIS_DATOS!$C$1561))/CROQUIS_DATOS!$C$1568-0.000001))),2)=1,IF(INT(($A13-1)/2)+1&gt;MAX(1,INT(((((CROQUIS_DATOS!$C$1484+CROQUIS_DATOS!$C$1485))-(CROQUIS_DATOS!$C$1484))+((CROQUIS_DATOS!$C$1486)*CROQUIS_DATOS!$C$1561-(0)*CROQUIS_DATOS!$C$1561))/CROQUIS_DATOS!$C$1568-0.000001)),1,MOD($A13-1,2)),1-IF(INT(($A13-1)/2)+1&gt;MAX(1,INT(((((CROQUIS_DATOS!$C$1484+CROQUIS_DATOS!$C$1485))-(CROQUIS_DATOS!$C$1484))+((CROQUIS_DATOS!$C$1486)*CROQUIS_DATOS!$C$1561-(0)*CROQUIS_DATOS!$C$1561))/CROQUIS_DATOS!$C$1568-0.000001)),1,MOD($A13-1,2)))=1,MIN((CROQUIS_DATOS!$C$1486)*CROQUIS_DATOS!$C$1561,((CROQUIS_DATOS!$C$1484+CROQUIS_DATOS!$C$1485)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*CROQUIS_DATOS!$C$1565),-1000)</f>
        <v>53.6620689655172</v>
      </c>
      <c r="CS13">
        <f>IF(AND(CROQUIS_DATOS!$C$1472=1,CROQUIS_DATOS!$C$1478&gt;=2,((CROQUIS_DATOS!$C$1484+CROQUIS_DATOS!$C$1485))-(CROQUIS_DATOS!$C$1484)&gt;0.5,(CROQUIS_DATOS!$C$1486)-(0)&gt;0.5),(CROQUIS_DATOS!$C$1567+(IF(IF(MOD(MIN(INT(($A13-1)/2)+1,MAX(1,INT(((((CROQUIS_DATOS!$C$1484+CROQUIS_DATOS!$C$1485))-(CROQUIS_DATOS!$C$1484))+((CROQUIS_DATOS!$C$1486)*CROQUIS_DATOS!$C$1561-(0)*CROQUIS_DATOS!$C$1561))/CROQUIS_DATOS!$C$1568-0.000001))),2)=1,IF(INT(($A13-1)/2)+1&gt;MAX(1,INT(((((CROQUIS_DATOS!$C$1484+CROQUIS_DATOS!$C$1485))-(CROQUIS_DATOS!$C$1484))+((CROQUIS_DATOS!$C$1486)*CROQUIS_DATOS!$C$1561-(0)*CROQUIS_DATOS!$C$1561))/CROQUIS_DATOS!$C$1568-0.000001)),1,MOD($A13-1,2)),1-IF(INT(($A13-1)/2)+1&gt;MAX(1,INT(((((CROQUIS_DATOS!$C$1484+CROQUIS_DATOS!$C$1485))-(CROQUIS_DATOS!$C$1484))+((CROQUIS_DATOS!$C$1486)*CROQUIS_DATOS!$C$1561-(0)*CROQUIS_DATOS!$C$1561))/CROQUIS_DATOS!$C$1568-0.000001)),1,MOD($A13-1,2)))=1,MIN((CROQUIS_DATOS!$C$1486)*CROQUIS_DATOS!$C$1561,((CROQUIS_DATOS!$C$1484+CROQUIS_DATOS!$C$1485)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13">
        <f>IF(AND(CROQUIS_DATOS!$C$1472=1,CROQUIS_DATOS!$C$1478&gt;=2,((CROQUIS_DATOS!$C$1484+CROQUIS_DATOS!$C$1485))-(CROQUIS_DATOS!$C$1484)&gt;0.5,(CROQUIS_DATOS!$C$1476)-((CROQUIS_DATOS!$C$1486+CROQUIS_DATOS!$C$1487))&gt;0.5),(CROQUIS_DATOS!$C$1566+(IF(IF(MOD(MIN(INT(($A13-1)/2)+1,MAX(1,INT(((((CROQUIS_DATOS!$C$1484+CROQUIS_DATOS!$C$1485))-(CROQUIS_DATOS!$C$1484))+((CROQUIS_DATOS!$C$1476)*CROQUIS_DATOS!$C$1561-((CROQUIS_DATOS!$C$1486+CROQUIS_DATOS!$C$1487))*CROQUIS_DATOS!$C$1561))/CROQUIS_DATOS!$C$1568-0.000001))),2)=1,IF(INT(($A13-1)/2)+1&gt;MAX(1,INT(((((CROQUIS_DATOS!$C$1484+CROQUIS_DATOS!$C$1485))-(CROQUIS_DATOS!$C$1484))+((CROQUIS_DATOS!$C$1476)*CROQUIS_DATOS!$C$1561-((CROQUIS_DATOS!$C$1486+CROQUIS_DATOS!$C$1487))*CROQUIS_DATOS!$C$1561))/CROQUIS_DATOS!$C$1568-0.000001)),1,MOD($A13-1,2)),1-IF(INT(($A13-1)/2)+1&gt;MAX(1,INT(((((CROQUIS_DATOS!$C$1484+CROQUIS_DATOS!$C$1485))-(CROQUIS_DATOS!$C$1484))+((CROQUIS_DATOS!$C$1476)*CROQUIS_DATOS!$C$1561-((CROQUIS_DATOS!$C$1486+CROQUIS_DATOS!$C$1487))*CROQUIS_DATOS!$C$1561))/CROQUIS_DATOS!$C$1568-0.000001)),1,MOD($A13-1,2)))=1,MIN((CROQUIS_DATOS!$C$1476)*CROQUIS_DATOS!$C$1561,((CROQUIS_DATOS!$C$1484+CROQUIS_DATOS!$C$1485)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53.6620689655172</v>
      </c>
      <c r="CU13">
        <f>IF(AND(CROQUIS_DATOS!$C$1472=1,CROQUIS_DATOS!$C$1478&gt;=2,((CROQUIS_DATOS!$C$1484+CROQUIS_DATOS!$C$1485))-(CROQUIS_DATOS!$C$1484)&gt;0.5,(CROQUIS_DATOS!$C$1476)-((CROQUIS_DATOS!$C$1486+CROQUIS_DATOS!$C$1487))&gt;0.5),(CROQUIS_DATOS!$C$1567+(IF(IF(MOD(MIN(INT(($A13-1)/2)+1,MAX(1,INT(((((CROQUIS_DATOS!$C$1484+CROQUIS_DATOS!$C$1485))-(CROQUIS_DATOS!$C$1484))+((CROQUIS_DATOS!$C$1476)*CROQUIS_DATOS!$C$1561-((CROQUIS_DATOS!$C$1486+CROQUIS_DATOS!$C$1487))*CROQUIS_DATOS!$C$1561))/CROQUIS_DATOS!$C$1568-0.000001))),2)=1,IF(INT(($A13-1)/2)+1&gt;MAX(1,INT(((((CROQUIS_DATOS!$C$1484+CROQUIS_DATOS!$C$1485))-(CROQUIS_DATOS!$C$1484))+((CROQUIS_DATOS!$C$1476)*CROQUIS_DATOS!$C$1561-((CROQUIS_DATOS!$C$1486+CROQUIS_DATOS!$C$1487))*CROQUIS_DATOS!$C$1561))/CROQUIS_DATOS!$C$1568-0.000001)),1,MOD($A13-1,2)),1-IF(INT(($A13-1)/2)+1&gt;MAX(1,INT(((((CROQUIS_DATOS!$C$1484+CROQUIS_DATOS!$C$1485))-(CROQUIS_DATOS!$C$1484))+((CROQUIS_DATOS!$C$1476)*CROQUIS_DATOS!$C$1561-((CROQUIS_DATOS!$C$1486+CROQUIS_DATOS!$C$1487))*CROQUIS_DATOS!$C$1561))/CROQUIS_DATOS!$C$1568-0.000001)),1,MOD($A13-1,2)))=1,MIN((CROQUIS_DATOS!$C$1476)*CROQUIS_DATOS!$C$1561,((CROQUIS_DATOS!$C$1484+CROQUIS_DATOS!$C$1485)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13">
        <f>IF(AND(CROQUIS_DATOS!$C$1472=1,CROQUIS_DATOS!$C$1478&gt;=3,((CROQUIS_DATOS!$C$1489+CROQUIS_DATOS!$C$1490))-(CROQUIS_DATOS!$C$1489)&gt;0.5,(CROQUIS_DATOS!$C$1491)-(0)&gt;0.5),(CROQUIS_DATOS!$C$1566+(IF(IF(MOD(MIN(INT(($A13-1)/2)+1,MAX(1,INT(((((CROQUIS_DATOS!$C$1489+CROQUIS_DATOS!$C$1490))-(CROQUIS_DATOS!$C$1489))+((CROQUIS_DATOS!$C$1491)*CROQUIS_DATOS!$C$1561-(0)*CROQUIS_DATOS!$C$1561))/CROQUIS_DATOS!$C$1568-0.000001))),2)=1,IF(INT(($A13-1)/2)+1&gt;MAX(1,INT(((((CROQUIS_DATOS!$C$1489+CROQUIS_DATOS!$C$1490))-(CROQUIS_DATOS!$C$1489))+((CROQUIS_DATOS!$C$1491)*CROQUIS_DATOS!$C$1561-(0)*CROQUIS_DATOS!$C$1561))/CROQUIS_DATOS!$C$1568-0.000001)),1,MOD($A13-1,2)),1-IF(INT(($A13-1)/2)+1&gt;MAX(1,INT(((((CROQUIS_DATOS!$C$1489+CROQUIS_DATOS!$C$1490))-(CROQUIS_DATOS!$C$1489))+((CROQUIS_DATOS!$C$1491)*CROQUIS_DATOS!$C$1561-(0)*CROQUIS_DATOS!$C$1561))/CROQUIS_DATOS!$C$1568-0.000001)),1,MOD($A13-1,2)))=1,MIN((CROQUIS_DATOS!$C$1491)*CROQUIS_DATOS!$C$1561,((CROQUIS_DATOS!$C$1489+CROQUIS_DATOS!$C$1490)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">
        <f>IF(AND(CROQUIS_DATOS!$C$1472=1,CROQUIS_DATOS!$C$1478&gt;=3,((CROQUIS_DATOS!$C$1489+CROQUIS_DATOS!$C$1490))-(CROQUIS_DATOS!$C$1489)&gt;0.5,(CROQUIS_DATOS!$C$1491)-(0)&gt;0.5),(CROQUIS_DATOS!$C$1567+(IF(IF(MOD(MIN(INT(($A13-1)/2)+1,MAX(1,INT(((((CROQUIS_DATOS!$C$1489+CROQUIS_DATOS!$C$1490))-(CROQUIS_DATOS!$C$1489))+((CROQUIS_DATOS!$C$1491)*CROQUIS_DATOS!$C$1561-(0)*CROQUIS_DATOS!$C$1561))/CROQUIS_DATOS!$C$1568-0.000001))),2)=1,IF(INT(($A13-1)/2)+1&gt;MAX(1,INT(((((CROQUIS_DATOS!$C$1489+CROQUIS_DATOS!$C$1490))-(CROQUIS_DATOS!$C$1489))+((CROQUIS_DATOS!$C$1491)*CROQUIS_DATOS!$C$1561-(0)*CROQUIS_DATOS!$C$1561))/CROQUIS_DATOS!$C$1568-0.000001)),1,MOD($A13-1,2)),1-IF(INT(($A13-1)/2)+1&gt;MAX(1,INT(((((CROQUIS_DATOS!$C$1489+CROQUIS_DATOS!$C$1490))-(CROQUIS_DATOS!$C$1489))+((CROQUIS_DATOS!$C$1491)*CROQUIS_DATOS!$C$1561-(0)*CROQUIS_DATOS!$C$1561))/CROQUIS_DATOS!$C$1568-0.000001)),1,MOD($A13-1,2)))=1,MIN((CROQUIS_DATOS!$C$1491)*CROQUIS_DATOS!$C$1561,((CROQUIS_DATOS!$C$1489+CROQUIS_DATOS!$C$1490)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">
        <f>IF(AND(CROQUIS_DATOS!$C$1472=1,CROQUIS_DATOS!$C$1478&gt;=3,((CROQUIS_DATOS!$C$1489+CROQUIS_DATOS!$C$1490))-(CROQUIS_DATOS!$C$1489)&gt;0.5,(CROQUIS_DATOS!$C$1476)-((CROQUIS_DATOS!$C$1491+CROQUIS_DATOS!$C$1492))&gt;0.5),(CROQUIS_DATOS!$C$1566+(IF(IF(MOD(MIN(INT(($A13-1)/2)+1,MAX(1,INT(((((CROQUIS_DATOS!$C$1489+CROQUIS_DATOS!$C$1490))-(CROQUIS_DATOS!$C$1489))+((CROQUIS_DATOS!$C$1476)*CROQUIS_DATOS!$C$1561-((CROQUIS_DATOS!$C$1491+CROQUIS_DATOS!$C$1492))*CROQUIS_DATOS!$C$1561))/CROQUIS_DATOS!$C$1568-0.000001))),2)=1,IF(INT(($A13-1)/2)+1&gt;MAX(1,INT(((((CROQUIS_DATOS!$C$1489+CROQUIS_DATOS!$C$1490))-(CROQUIS_DATOS!$C$1489))+((CROQUIS_DATOS!$C$1476)*CROQUIS_DATOS!$C$1561-((CROQUIS_DATOS!$C$1491+CROQUIS_DATOS!$C$1492))*CROQUIS_DATOS!$C$1561))/CROQUIS_DATOS!$C$1568-0.000001)),1,MOD($A13-1,2)),1-IF(INT(($A13-1)/2)+1&gt;MAX(1,INT(((((CROQUIS_DATOS!$C$1489+CROQUIS_DATOS!$C$1490))-(CROQUIS_DATOS!$C$1489))+((CROQUIS_DATOS!$C$1476)*CROQUIS_DATOS!$C$1561-((CROQUIS_DATOS!$C$1491+CROQUIS_DATOS!$C$1492))*CROQUIS_DATOS!$C$1561))/CROQUIS_DATOS!$C$1568-0.000001)),1,MOD($A13-1,2)))=1,MIN((CROQUIS_DATOS!$C$1476)*CROQUIS_DATOS!$C$1561,((CROQUIS_DATOS!$C$1489+CROQUIS_DATOS!$C$1490)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">
        <f>IF(AND(CROQUIS_DATOS!$C$1472=1,CROQUIS_DATOS!$C$1478&gt;=3,((CROQUIS_DATOS!$C$1489+CROQUIS_DATOS!$C$1490))-(CROQUIS_DATOS!$C$1489)&gt;0.5,(CROQUIS_DATOS!$C$1476)-((CROQUIS_DATOS!$C$1491+CROQUIS_DATOS!$C$1492))&gt;0.5),(CROQUIS_DATOS!$C$1567+(IF(IF(MOD(MIN(INT(($A13-1)/2)+1,MAX(1,INT(((((CROQUIS_DATOS!$C$1489+CROQUIS_DATOS!$C$1490))-(CROQUIS_DATOS!$C$1489))+((CROQUIS_DATOS!$C$1476)*CROQUIS_DATOS!$C$1561-((CROQUIS_DATOS!$C$1491+CROQUIS_DATOS!$C$1492))*CROQUIS_DATOS!$C$1561))/CROQUIS_DATOS!$C$1568-0.000001))),2)=1,IF(INT(($A13-1)/2)+1&gt;MAX(1,INT(((((CROQUIS_DATOS!$C$1489+CROQUIS_DATOS!$C$1490))-(CROQUIS_DATOS!$C$1489))+((CROQUIS_DATOS!$C$1476)*CROQUIS_DATOS!$C$1561-((CROQUIS_DATOS!$C$1491+CROQUIS_DATOS!$C$1492))*CROQUIS_DATOS!$C$1561))/CROQUIS_DATOS!$C$1568-0.000001)),1,MOD($A13-1,2)),1-IF(INT(($A13-1)/2)+1&gt;MAX(1,INT(((((CROQUIS_DATOS!$C$1489+CROQUIS_DATOS!$C$1490))-(CROQUIS_DATOS!$C$1489))+((CROQUIS_DATOS!$C$1476)*CROQUIS_DATOS!$C$1561-((CROQUIS_DATOS!$C$1491+CROQUIS_DATOS!$C$1492))*CROQUIS_DATOS!$C$1561))/CROQUIS_DATOS!$C$1568-0.000001)),1,MOD($A13-1,2)))=1,MIN((CROQUIS_DATOS!$C$1476)*CROQUIS_DATOS!$C$1561,((CROQUIS_DATOS!$C$1489+CROQUIS_DATOS!$C$1490)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">
        <f>IF(AND(CROQUIS_DATOS!$C$1472=1,CROQUIS_DATOS!$C$1478&gt;=4,((CROQUIS_DATOS!$C$1494+CROQUIS_DATOS!$C$1495))-(CROQUIS_DATOS!$C$1494)&gt;0.5,(CROQUIS_DATOS!$C$1496)-(0)&gt;0.5),(CROQUIS_DATOS!$C$1566+(IF(IF(MOD(MIN(INT(($A13-1)/2)+1,MAX(1,INT(((((CROQUIS_DATOS!$C$1494+CROQUIS_DATOS!$C$1495))-(CROQUIS_DATOS!$C$1494))+((CROQUIS_DATOS!$C$1496)*CROQUIS_DATOS!$C$1561-(0)*CROQUIS_DATOS!$C$1561))/CROQUIS_DATOS!$C$1568-0.000001))),2)=1,IF(INT(($A13-1)/2)+1&gt;MAX(1,INT(((((CROQUIS_DATOS!$C$1494+CROQUIS_DATOS!$C$1495))-(CROQUIS_DATOS!$C$1494))+((CROQUIS_DATOS!$C$1496)*CROQUIS_DATOS!$C$1561-(0)*CROQUIS_DATOS!$C$1561))/CROQUIS_DATOS!$C$1568-0.000001)),1,MOD($A13-1,2)),1-IF(INT(($A13-1)/2)+1&gt;MAX(1,INT(((((CROQUIS_DATOS!$C$1494+CROQUIS_DATOS!$C$1495))-(CROQUIS_DATOS!$C$1494))+((CROQUIS_DATOS!$C$1496)*CROQUIS_DATOS!$C$1561-(0)*CROQUIS_DATOS!$C$1561))/CROQUIS_DATOS!$C$1568-0.000001)),1,MOD($A13-1,2)))=1,MIN((CROQUIS_DATOS!$C$1496)*CROQUIS_DATOS!$C$1561,((CROQUIS_DATOS!$C$1494+CROQUIS_DATOS!$C$1495)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">
        <f>IF(AND(CROQUIS_DATOS!$C$1472=1,CROQUIS_DATOS!$C$1478&gt;=4,((CROQUIS_DATOS!$C$1494+CROQUIS_DATOS!$C$1495))-(CROQUIS_DATOS!$C$1494)&gt;0.5,(CROQUIS_DATOS!$C$1496)-(0)&gt;0.5),(CROQUIS_DATOS!$C$1567+(IF(IF(MOD(MIN(INT(($A13-1)/2)+1,MAX(1,INT(((((CROQUIS_DATOS!$C$1494+CROQUIS_DATOS!$C$1495))-(CROQUIS_DATOS!$C$1494))+((CROQUIS_DATOS!$C$1496)*CROQUIS_DATOS!$C$1561-(0)*CROQUIS_DATOS!$C$1561))/CROQUIS_DATOS!$C$1568-0.000001))),2)=1,IF(INT(($A13-1)/2)+1&gt;MAX(1,INT(((((CROQUIS_DATOS!$C$1494+CROQUIS_DATOS!$C$1495))-(CROQUIS_DATOS!$C$1494))+((CROQUIS_DATOS!$C$1496)*CROQUIS_DATOS!$C$1561-(0)*CROQUIS_DATOS!$C$1561))/CROQUIS_DATOS!$C$1568-0.000001)),1,MOD($A13-1,2)),1-IF(INT(($A13-1)/2)+1&gt;MAX(1,INT(((((CROQUIS_DATOS!$C$1494+CROQUIS_DATOS!$C$1495))-(CROQUIS_DATOS!$C$1494))+((CROQUIS_DATOS!$C$1496)*CROQUIS_DATOS!$C$1561-(0)*CROQUIS_DATOS!$C$1561))/CROQUIS_DATOS!$C$1568-0.000001)),1,MOD($A13-1,2)))=1,MIN((CROQUIS_DATOS!$C$1496)*CROQUIS_DATOS!$C$1561,((CROQUIS_DATOS!$C$1494+CROQUIS_DATOS!$C$1495)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">
        <f>IF(AND(CROQUIS_DATOS!$C$1472=1,CROQUIS_DATOS!$C$1478&gt;=4,((CROQUIS_DATOS!$C$1494+CROQUIS_DATOS!$C$1495))-(CROQUIS_DATOS!$C$1494)&gt;0.5,(CROQUIS_DATOS!$C$1476)-((CROQUIS_DATOS!$C$1496+CROQUIS_DATOS!$C$1497))&gt;0.5),(CROQUIS_DATOS!$C$1566+(IF(IF(MOD(MIN(INT(($A13-1)/2)+1,MAX(1,INT(((((CROQUIS_DATOS!$C$1494+CROQUIS_DATOS!$C$1495))-(CROQUIS_DATOS!$C$1494))+((CROQUIS_DATOS!$C$1476)*CROQUIS_DATOS!$C$1561-((CROQUIS_DATOS!$C$1496+CROQUIS_DATOS!$C$1497))*CROQUIS_DATOS!$C$1561))/CROQUIS_DATOS!$C$1568-0.000001))),2)=1,IF(INT(($A13-1)/2)+1&gt;MAX(1,INT(((((CROQUIS_DATOS!$C$1494+CROQUIS_DATOS!$C$1495))-(CROQUIS_DATOS!$C$1494))+((CROQUIS_DATOS!$C$1476)*CROQUIS_DATOS!$C$1561-((CROQUIS_DATOS!$C$1496+CROQUIS_DATOS!$C$1497))*CROQUIS_DATOS!$C$1561))/CROQUIS_DATOS!$C$1568-0.000001)),1,MOD($A13-1,2)),1-IF(INT(($A13-1)/2)+1&gt;MAX(1,INT(((((CROQUIS_DATOS!$C$1494+CROQUIS_DATOS!$C$1495))-(CROQUIS_DATOS!$C$1494))+((CROQUIS_DATOS!$C$1476)*CROQUIS_DATOS!$C$1561-((CROQUIS_DATOS!$C$1496+CROQUIS_DATOS!$C$1497))*CROQUIS_DATOS!$C$1561))/CROQUIS_DATOS!$C$1568-0.000001)),1,MOD($A13-1,2)))=1,MIN((CROQUIS_DATOS!$C$1476)*CROQUIS_DATOS!$C$1561,((CROQUIS_DATOS!$C$1494+CROQUIS_DATOS!$C$1495)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">
        <f>IF(AND(CROQUIS_DATOS!$C$1472=1,CROQUIS_DATOS!$C$1478&gt;=4,((CROQUIS_DATOS!$C$1494+CROQUIS_DATOS!$C$1495))-(CROQUIS_DATOS!$C$1494)&gt;0.5,(CROQUIS_DATOS!$C$1476)-((CROQUIS_DATOS!$C$1496+CROQUIS_DATOS!$C$1497))&gt;0.5),(CROQUIS_DATOS!$C$1567+(IF(IF(MOD(MIN(INT(($A13-1)/2)+1,MAX(1,INT(((((CROQUIS_DATOS!$C$1494+CROQUIS_DATOS!$C$1495))-(CROQUIS_DATOS!$C$1494))+((CROQUIS_DATOS!$C$1476)*CROQUIS_DATOS!$C$1561-((CROQUIS_DATOS!$C$1496+CROQUIS_DATOS!$C$1497))*CROQUIS_DATOS!$C$1561))/CROQUIS_DATOS!$C$1568-0.000001))),2)=1,IF(INT(($A13-1)/2)+1&gt;MAX(1,INT(((((CROQUIS_DATOS!$C$1494+CROQUIS_DATOS!$C$1495))-(CROQUIS_DATOS!$C$1494))+((CROQUIS_DATOS!$C$1476)*CROQUIS_DATOS!$C$1561-((CROQUIS_DATOS!$C$1496+CROQUIS_DATOS!$C$1497))*CROQUIS_DATOS!$C$1561))/CROQUIS_DATOS!$C$1568-0.000001)),1,MOD($A13-1,2)),1-IF(INT(($A13-1)/2)+1&gt;MAX(1,INT(((((CROQUIS_DATOS!$C$1494+CROQUIS_DATOS!$C$1495))-(CROQUIS_DATOS!$C$1494))+((CROQUIS_DATOS!$C$1476)*CROQUIS_DATOS!$C$1561-((CROQUIS_DATOS!$C$1496+CROQUIS_DATOS!$C$1497))*CROQUIS_DATOS!$C$1561))/CROQUIS_DATOS!$C$1568-0.000001)),1,MOD($A13-1,2)))=1,MIN((CROQUIS_DATOS!$C$1476)*CROQUIS_DATOS!$C$1561,((CROQUIS_DATOS!$C$1494+CROQUIS_DATOS!$C$1495)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P13">
        <f>IF(AND(CROQUIS_DATOS!$C$1472=1,CROQUIS_DATOS!$C$1500&gt;0.5,CROQUIS_DATOS!$C$1478&gt;0),CHOOSE(MIN(MAX($A13,1)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28.551724137931</v>
      </c>
      <c r="DQ13">
        <f>IF(AND(CROQUIS_DATOS!$C$1472=1,CROQUIS_DATOS!$C$1500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R13">
        <f>IF(AND(CROQUIS_DATOS!$C$1472=1,CROQUIS_DATOS!$C$1478&gt;=1),CHOOSE(MIN(MAX($A13,1)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38.1724137931034</v>
      </c>
      <c r="DS13">
        <f>IF(AND(CROQUIS_DATOS!$C$1472=1,CROQUIS_DATOS!$C$1478&gt;=1)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T13">
        <f>IF(AND(CROQUIS_DATOS!$C$1472=1,CROQUIS_DATOS!$C$1504&gt;0.5,CROQUIS_DATOS!$C$1478&gt;0),CHOOSE(MIN(MAX($A13,1)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48.8620689655172</v>
      </c>
      <c r="DU13">
        <f>IF(AND(CROQUIS_DATOS!$C$1472=1,CROQUIS_DATOS!$C$1504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V13">
        <f>IF(AND(CROQUIS_DATOS!$C$1472=1,CROQUIS_DATOS!$C$1478&gt;=2),CHOOSE(MIN(MAX($A13,1)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64.8965517241379</v>
      </c>
      <c r="DW13">
        <f>IF(AND(CROQUIS_DATOS!$C$1472=1,CROQUIS_DATOS!$C$1478&gt;=2)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X13">
        <f>IF(AND(CROQUIS_DATOS!$C$1472=1,CROQUIS_DATOS!$C$1508&gt;0.5,CROQUIS_DATOS!$C$1478&gt;0),CHOOSE(MIN(MAX($A13,1)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77.7241379310345</v>
      </c>
      <c r="DY13">
        <f>IF(AND(CROQUIS_DATOS!$C$1472=1,CROQUIS_DATOS!$C$1508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7.4</v>
      </c>
      <c r="DZ13">
        <f>IF(AND(CROQUIS_DATOS!$C$1472=1,CROQUIS_DATOS!$C$1478&gt;=3),CHOOSE(MIN(MAX($A13,1)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3">
        <f>IF(AND(CROQUIS_DATOS!$C$1472=1,CROQUIS_DATOS!$C$1478&gt;=3)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3">
        <f>IF(AND(CROQUIS_DATOS!$C$1472=1,CROQUIS_DATOS!$C$1512&gt;0.5,CROQUIS_DATOS!$C$1478&gt;0),CHOOSE(MIN(MAX($A13,1)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3">
        <f>IF(AND(CROQUIS_DATOS!$C$1472=1,CROQUIS_DATOS!$C$1512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3">
        <f>IF(AND(CROQUIS_DATOS!$C$1472=1,CROQUIS_DATOS!$C$1478&gt;=4),CHOOSE(MIN(MAX($A13,1)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3">
        <f>IF(AND(CROQUIS_DATOS!$C$1472=1,CROQUIS_DATOS!$C$1478&gt;=4)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3">
        <f>IF(AND(CROQUIS_DATOS!$C$1472=1,CROQUIS_DATOS!$C$1516&gt;0.5,CROQUIS_DATOS!$C$1478&gt;0),CHOOSE(MIN(MAX($A13,1)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3">
        <f>IF(AND(CROQUIS_DATOS!$C$1472=1,CROQUIS_DATOS!$C$1516&gt;0.5,CROQUIS_DATOS!$C$1478&gt;0),CHOOSE(MIN(MAX($A13,1)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3">
        <f>IF(AND(CROQUIS_DATOS!$C$1472=1,1),CHOOSE(MIN(MAX($A13,1)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77.7241379310345</v>
      </c>
      <c r="EI13">
        <f>IF(AND(CROQUIS_DATOS!$C$1472=1,1),CHOOSE(MIN(MAX($A13,1)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3.4</v>
      </c>
      <c r="EJ13">
        <f>IF(AND(CROQUIS_DATOS!$C$1472=1,1),CHOOSE(MIN(MAX($A13,1)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22.1758620689655</v>
      </c>
      <c r="EK13">
        <f>IF(AND(CROQUIS_DATOS!$C$1472=1,1)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38.8620689655172</v>
      </c>
      <c r="EL13">
        <f>IF(AND(CROQUIS_DATOS!$C$1472=1,1),CHOOSE(MIN(MAX($A13,1)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80.6241379310345</v>
      </c>
      <c r="EM13">
        <f>IF(AND(CROQUIS_DATOS!$C$1472=1,1),CHOOSE(MIN(MAX($A13,1)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41</v>
      </c>
      <c r="EN13">
        <f>IF(AND(CROQUIS_DATOS!$C$1472=1,CROQUIS_DATOS!$C$1478&gt;=1,CROQUIS_DATOS!$C$1481&gt;0),CHOOSE(MIN(MAX($A13,1)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3">
        <f>IF(AND(CROQUIS_DATOS!$C$1472=1,CROQUIS_DATOS!$C$1478&gt;=1,CROQUIS_DATOS!$C$1481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3">
        <f>IF(AND(CROQUIS_DATOS!$C$1472=1,CROQUIS_DATOS!$C$1478&gt;=2,CROQUIS_DATOS!$C$1486&gt;0),CHOOSE(MIN(MAX($A13,1)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67.3965517241379</v>
      </c>
      <c r="EQ13">
        <f>IF(AND(CROQUIS_DATOS!$C$1472=1,CROQUIS_DATOS!$C$1478&gt;=2,CROQUIS_DATOS!$C$1486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21.7586206896552</v>
      </c>
      <c r="ER13">
        <f>IF(AND(CROQUIS_DATOS!$C$1472=1,CROQUIS_DATOS!$C$1478&gt;=3,CROQUIS_DATOS!$C$1491&gt;0),CHOOSE(MIN(MAX($A13,1)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3">
        <f>IF(AND(CROQUIS_DATOS!$C$1472=1,CROQUIS_DATOS!$C$1478&gt;=3,CROQUIS_DATOS!$C$1491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3">
        <f>IF(AND(CROQUIS_DATOS!$C$1472=1,CROQUIS_DATOS!$C$1478&gt;=4,CROQUIS_DATOS!$C$1496&gt;0),CHOOSE(MIN(MAX($A13,1)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3">
        <f>IF(AND(CROQUIS_DATOS!$C$1472=1,CROQUIS_DATOS!$C$1478&gt;=4,CROQUIS_DATOS!$C$1496&gt;0),CHOOSE(MIN(MAX($A13,1)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3">
        <f>IF(AND(CROQUIS_DATOS!$C$1472=1,1),(CROQUIS_DATOS!$C$1566+(INDEX($E$8:$E$23,MIN($A13,CROQUIS_DATOS!$C$1525)))*CROQUIS_DATOS!$C$1565),-1000)</f>
        <v>76.9224137931035</v>
      </c>
      <c r="EW13">
        <f>IF(AND(CROQUIS_DATOS!$C$1472=1,1),((CROQUIS_DATOS!$C$1567+(CROQUIS_DATOS!$C$1476+CROQUIS_DATOS!$C$1528)*CROQUIS_DATOS!$C$1561*CROQUIS_DATOS!$C$1565)+1.5),-1000)</f>
        <v>42.5</v>
      </c>
      <c r="GD13">
        <f>IF(AND(CROQUIS_DATOS!$C$1472=1,1),(CROQUIS_DATOS!$C$1571+(CHOOSE(MIN(MAX(IF(INT(($A13-1)/5)+1&gt;CROQUIS_DATOS!$C$1525,5,MOD($A13-1,5)+1),1),5),(INDEX($E$8:$E$23,MIN(INT(($A13-1)/5)+1,CROQUIS_DATOS!$C$1525))-INDEX($F$8:$F$23,MIN(INT(($A13-1)/5)+1,CROQUIS_DATOS!$C$1525))/2),(INDEX($E$8:$E$23,MIN(INT(($A13-1)/5)+1,CROQUIS_DATOS!$C$1525))+INDEX($F$8:$F$23,MIN(INT(($A13-1)/5)+1,CROQUIS_DATOS!$C$1525))/2),(INDEX($E$8:$E$23,MIN(INT(($A13-1)/5)+1,CROQUIS_DATOS!$C$1525))+INDEX($F$8:$F$23,MIN(INT(($A13-1)/5)+1,CROQUIS_DATOS!$C$1525))/2),(INDEX($E$8:$E$23,MIN(INT(($A13-1)/5)+1,CROQUIS_DATOS!$C$1525))-INDEX($F$8:$F$23,MIN(INT(($A13-1)/5)+1,CROQUIS_DATOS!$C$1525))/2),(INDEX($E$8:$E$23,MIN(INT(($A13-1)/5)+1,CROQUIS_DATOS!$C$1525))-INDEX($F$8:$F$23,MIN(INT(($A13-1)/5)+1,CROQUIS_DATOS!$C$1525))/2)))*CROQUIS_DATOS!$C$1569),-1000)</f>
        <v>10.6</v>
      </c>
      <c r="GE13">
        <f>IF(AND(CROQUIS_DATOS!$C$1472=1,1),(CROQUIS_DATOS!$C$1572+(CHOOSE(MIN(MAX(IF(INT(($A13-1)/5)+1&gt;CROQUIS_DATOS!$C$1525,5,MOD($A13-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3">
        <f>IF(AND(CROQUIS_DATOS!$C$1472=1,1),IF(INT(($A13-1)/4)+1&lt;=CROQUIS_DATOS!$C$1525,(CROQUIS_DATOS!$C$1571+((INDEX($E$8:$E$23,MIN(INT(($A13-1)/4)+1,16))+IF(OR(MOD($A13-1,4)=0,MOD($A13-1,4)=3),-1,1)*(INDEX($F$8:$F$23,MIN(INT(($A13-1)/4)+1,16))/2-(CROQUIS_DATOS!$C$1530+CROQUIS_DATOS!$C$1532+IF(OR(INT(($A13-1)/4)+1=1,INT(($A13-1)/4)+1=CROQUIS_DATOS!$C$1525),CROQUIS_DATOS!$C$1534,CROQUIS_DATOS!$C$1531)/2))))*CROQUIS_DATOS!$C$1569),-1000),-1000)</f>
        <v>12.787484</v>
      </c>
      <c r="GG13">
        <f>IF(AND(CROQUIS_DATOS!$C$1472=1,1),IF(INT(($A13-1)/4)+1&lt;=CROQUIS_DATOS!$C$1525,(CROQUIS_DATOS!$C$1572+((CROQUIS_DATOS!$C$1477/2+IF(MOD($A13-1,4)&lt;2,-1,1)*(CROQUIS_DATOS!$C$1527/2-(CROQUIS_DATOS!$C$1530+CROQUIS_DATOS!$C$1532+IF(OR(INT(($A13-1)/4)+1=1,INT(($A13-1)/4)+1=CROQUIS_DATOS!$C$1525),CROQUIS_DATOS!$C$1534,CROQUIS_DATOS!$C$1531)/2))))*CROQUIS_DATOS!$C$1569*CROQUIS_DATOS!$C$1570),-1000),-1000)</f>
        <v>10.43345</v>
      </c>
      <c r="GH13">
        <f>IF(AND(CROQUIS_DATOS!$C$1472=1,CROQUIS_DATOS!$C$1500&gt;0.5,CROQUIS_DATOS!$C$1478&gt;0),CHOOSE(MIN(MAX($A13,1)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13.36</v>
      </c>
      <c r="GI13">
        <f>IF(AND(CROQUIS_DATOS!$C$1472=1,CROQUIS_DATOS!$C$1500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6.9</v>
      </c>
      <c r="GJ13">
        <f>IF(AND(CROQUIS_DATOS!$C$1472=1,CROQUIS_DATOS!$C$1478&gt;=1),CHOOSE(MIN(MAX($A13,1)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29.92</v>
      </c>
      <c r="GK13">
        <f>IF(AND(CROQUIS_DATOS!$C$1472=1,CROQUIS_DATOS!$C$1478&gt;=1),CHOOSE(MIN(MAX($A13,1),7),(CROQUIS_DATOS!$C$1572-3.5)-0.9,(CROQUIS_DATOS!$C$1572-3.5)+0.9,(CROQUIS_DATOS!$C$1572-3.5),(CROQUIS_DATOS!$C$1572-3.5),(CROQUIS_DATOS!$C$1572-3.5),(CROQUIS_DATOS!$C$1572-3.5)+0.9,(CROQUIS_DATOS!$C$1572-3.5)-0.9),-1000)</f>
        <v>6.9</v>
      </c>
      <c r="GL13">
        <f>IF(AND(CROQUIS_DATOS!$C$1472=1,CROQUIS_DATOS!$C$1504&gt;0.5,CROQUIS_DATOS!$C$1478&gt;0),CHOOSE(MIN(MAX($A13,1)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48.32</v>
      </c>
      <c r="GM13">
        <f>IF(AND(CROQUIS_DATOS!$C$1472=1,CROQUIS_DATOS!$C$1504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6.9</v>
      </c>
      <c r="GN13">
        <f>IF(AND(CROQUIS_DATOS!$C$1472=1,CROQUIS_DATOS!$C$1478&gt;=2),CHOOSE(MIN(MAX($A13,1)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75.92</v>
      </c>
      <c r="GO13">
        <f>IF(AND(CROQUIS_DATOS!$C$1472=1,CROQUIS_DATOS!$C$1478&gt;=2),CHOOSE(MIN(MAX($A13,1),7),(CROQUIS_DATOS!$C$1572-3.5)-0.9,(CROQUIS_DATOS!$C$1572-3.5)+0.9,(CROQUIS_DATOS!$C$1572-3.5),(CROQUIS_DATOS!$C$1572-3.5),(CROQUIS_DATOS!$C$1572-3.5),(CROQUIS_DATOS!$C$1572-3.5)+0.9,(CROQUIS_DATOS!$C$1572-3.5)-0.9),-1000)</f>
        <v>6.9</v>
      </c>
      <c r="GP13">
        <f>IF(AND(CROQUIS_DATOS!$C$1472=1,CROQUIS_DATOS!$C$1508&gt;0.5,CROQUIS_DATOS!$C$1478&gt;0),CHOOSE(MIN(MAX($A13,1)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98</v>
      </c>
      <c r="GQ13">
        <f>IF(AND(CROQUIS_DATOS!$C$1472=1,CROQUIS_DATOS!$C$1508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6.9</v>
      </c>
      <c r="GR13">
        <f>IF(AND(CROQUIS_DATOS!$C$1472=1,CROQUIS_DATOS!$C$1478&gt;=3),CHOOSE(MIN(MAX($A13,1)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3">
        <f>IF(AND(CROQUIS_DATOS!$C$1472=1,CROQUIS_DATOS!$C$1478&gt;=3)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T13">
        <f>IF(AND(CROQUIS_DATOS!$C$1472=1,CROQUIS_DATOS!$C$1512&gt;0.5,CROQUIS_DATOS!$C$1478&gt;0),CHOOSE(MIN(MAX($A13,1)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3">
        <f>IF(AND(CROQUIS_DATOS!$C$1472=1,CROQUIS_DATOS!$C$1512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V13">
        <f>IF(AND(CROQUIS_DATOS!$C$1472=1,CROQUIS_DATOS!$C$1478&gt;=4),CHOOSE(MIN(MAX($A13,1)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3">
        <f>IF(AND(CROQUIS_DATOS!$C$1472=1,CROQUIS_DATOS!$C$1478&gt;=4)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X13">
        <f>IF(AND(CROQUIS_DATOS!$C$1472=1,CROQUIS_DATOS!$C$1516&gt;0.5,CROQUIS_DATOS!$C$1478&gt;0),CHOOSE(MIN(MAX($A13,1)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3">
        <f>IF(AND(CROQUIS_DATOS!$C$1472=1,CROQUIS_DATOS!$C$1516&gt;0.5,CROQUIS_DATOS!$C$1478&gt;0),CHOOSE(MIN(MAX($A13,1),7),(CROQUIS_DATOS!$C$1572-3.5)-0.9,(CROQUIS_DATOS!$C$1572-3.5)+0.9,(CROQUIS_DATOS!$C$1572-3.5),(CROQUIS_DATOS!$C$1572-3.5),(CROQUIS_DATOS!$C$1572-3.5),(CROQUIS_DATOS!$C$1572-3.5)+0.9,(CROQUIS_DATOS!$C$1572-3.5)-0.9),-1000)</f>
        <v>-1000</v>
      </c>
      <c r="GZ13">
        <f>IF(AND(CROQUIS_DATOS!$C$1472=1,1),CHOOSE(MIN(MAX($A13,1)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98</v>
      </c>
      <c r="HA13">
        <f>IF(AND(CROQUIS_DATOS!$C$1472=1,1),CHOOSE(MIN(MAX($A13,1),7),(CROQUIS_DATOS!$C$1572-7.5)-0.9,(CROQUIS_DATOS!$C$1572-7.5)+0.9,(CROQUIS_DATOS!$C$1572-7.5),(CROQUIS_DATOS!$C$1572-7.5),(CROQUIS_DATOS!$C$1572-7.5),(CROQUIS_DATOS!$C$1572-7.5)+0.9,(CROQUIS_DATOS!$C$1572-7.5)-0.9),-1000)</f>
        <v>2.9</v>
      </c>
      <c r="HB13">
        <f>IF(AND(CROQUIS_DATOS!$C$1472=1,1),CHOOSE(MIN(MAX($A13,1)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4.4</v>
      </c>
      <c r="HC13">
        <f>IF(AND(CROQUIS_DATOS!$C$1472=1,1),CHOOSE(MIN(MAX($A13,1)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14</v>
      </c>
      <c r="HF13">
        <f>IF(AND(CROQUIS_DATOS!$C$1472=1,1),CHOOSE(MIN(MAX($A13,1)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13">
        <f>IF(AND(CROQUIS_DATOS!$C$1472=1,1),CHOOSE(MIN(MAX($A13,1)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24.0287096774194</v>
      </c>
      <c r="HH13">
        <f>IF(AND(CROQUIS_DATOS!$C$1472=1,1),IF($A13&lt;=DATOS!$C$61,CHOOSE(MIN(MAX($A13,1)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3">
        <f>IF(AND(CROQUIS_DATOS!$C$1472=1,1),IF($A13&lt;=DATOS!$C$61,CHOOSE(MIN(MAX($A13,1)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J13">
        <f>IF(AND(CROQUIS_DATOS!$C$1472=1,1),CHOOSE(MIN(MAX($A13,1)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21.5483870967742</v>
      </c>
      <c r="HK13">
        <f>IF(AND(CROQUIS_DATOS!$C$1472=1,1),CHOOSE(MIN(MAX($A13,1)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L13">
        <f>IF(AND(CROQUIS_DATOS!$C$1472=1,1),CHOOSE(MIN(MAX($A13,1)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5.7</v>
      </c>
      <c r="HM13">
        <f>IF(AND(CROQUIS_DATOS!$C$1472=1,1),CHOOSE(MIN(MAX($A13,1)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25.5483870967742</v>
      </c>
      <c r="HR13">
        <f>IF(AND(CROQUIS_DATOS!$C$1472=1,1),CHOOSE(MIN(MAX($A13,1)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13">
        <f>IF(AND(CROQUIS_DATOS!$C$1472=1,1),CHOOSE(MIN(MAX($A13,1)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28.5448387096774</v>
      </c>
      <c r="HT13">
        <f>IF(AND(CROQUIS_DATOS!$C$1472=1,1),IF($A13&lt;=DATOS!$C$69,CHOOSE(MIN(MAX($A13,1)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3">
        <f>IF(AND(CROQUIS_DATOS!$C$1472=1,1),IF($A13&lt;=DATOS!$C$69,CHOOSE(MIN(MAX($A13,1)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  <c r="HV13">
        <f>IF(AND(CROQUIS_DATOS!$C$1472=1,1),CHOOSE(MIN(MAX($A13,1)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75.741935483871</v>
      </c>
      <c r="HW13">
        <f>IF(AND(CROQUIS_DATOS!$C$1472=1,1),CHOOSE(MIN(MAX($A13,1)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9.9</v>
      </c>
      <c r="HX13">
        <f>IF(AND(CROQUIS_DATOS!$C$1472=1,1),CHOOSE(MIN(MAX($A13,1)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79.441935483871</v>
      </c>
      <c r="HY13">
        <f>IF(AND(CROQUIS_DATOS!$C$1472=1,1),CHOOSE(MIN(MAX($A13,1)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30.0645161290323</v>
      </c>
    </row>
    <row r="14">
      <c r="A14" t="n">
        <v>7</v>
      </c>
      <c r="B14" t="n">
        <v>7</v>
      </c>
      <c r="C14">
        <f>1+(B14&gt;CROQUIS_DATOS!$C$1520)+(B14&gt;CROQUIS_DATOS!$C$1521)+(B14&gt;CROQUIS_DATOS!$C$1522)+(B14&gt;CROQUIS_DATOS!$C$1523)</f>
        <v>5</v>
      </c>
      <c r="D14">
        <f>B14-CHOOSE(MIN(C14,5),0,CROQUIS_DATOS!$C$1520,CROQUIS_DATOS!$C$1521,CROQUIS_DATOS!$C$1522,CROQUIS_DATOS!$C$1523)</f>
        <v>1</v>
      </c>
      <c r="E14">
        <f>IF(G14=0,0,CHOOSE(MIN(C14,5),CROQUIS_DATOS!$C$1499,CROQUIS_DATOS!$C$1503,CROQUIS_DATOS!$C$1507,CROQUIS_DATOS!$C$1511,CROQUIS_DATOS!$C$1515)+IF(CHOOSE(MIN(C14,5),CROQUIS_DATOS!$C$1502,CROQUIS_DATOS!$C$1506,CROQUIS_DATOS!$C$1510,CROQUIS_DATOS!$C$1514,CROQUIS_DATOS!$C$1518)=1,CHOOSE(MIN(C14,5),CROQUIS_DATOS!$C$1500,CROQUIS_DATOS!$C$1504,CROQUIS_DATOS!$C$1508,CROQUIS_DATOS!$C$1512,CROQUIS_DATOS!$C$1516)/2,CROQUIS_DATOS!$C$1526/2+(D14-1)*(CHOOSE(MIN(C14,5),CROQUIS_DATOS!$C$1500,CROQUIS_DATOS!$C$1504,CROQUIS_DATOS!$C$1508,CROQUIS_DATOS!$C$1512,CROQUIS_DATOS!$C$1516)-CROQUIS_DATOS!$C$1526)/MAX(CHOOSE(MIN(C14,5),CROQUIS_DATOS!$C$1502,CROQUIS_DATOS!$C$1506,CROQUIS_DATOS!$C$1510,CROQUIS_DATOS!$C$1514,CROQUIS_DATOS!$C$1518)-1,1)))</f>
        <v>0</v>
      </c>
      <c r="F14">
        <f>IF(G14=0,0,IF(CHOOSE(MIN(C14,5),CROQUIS_DATOS!$C$1502,CROQUIS_DATOS!$C$1506,CROQUIS_DATOS!$C$1510,CROQUIS_DATOS!$C$1514,CROQUIS_DATOS!$C$1518)=1,MIN(CROQUIS_DATOS!$C$1526,CHOOSE(MIN(C14,5),CROQUIS_DATOS!$C$1500,CROQUIS_DATOS!$C$1504,CROQUIS_DATOS!$C$1508,CROQUIS_DATOS!$C$1512,CROQUIS_DATOS!$C$1516)),CROQUIS_DATOS!$C$1526))</f>
        <v>0</v>
      </c>
      <c r="G14">
        <f>IF(AND(CROQUIS_DATOS!$C$1472=1,B14&lt;=CROQUIS_DATOS!$C$1525),1,0)</f>
        <v>0</v>
      </c>
      <c r="H14">
        <f>IF(7&lt;=CROQUIS_DATOS!$C$1539,7*CROQUIS_DATOS!$C$1536,IF(7&lt;=CROQUIS_DATOS!$C$1539+CROQUIS_DATOS!$C$1540,CROQUIS_DATOS!$C$1539*CROQUIS_DATOS!$C$1536+(7-CROQUIS_DATOS!$C$1539)*(CROQUIS_DATOS!$C$1476-2*CROQUIS_DATOS!$C$1539*CROQUIS_DATOS!$C$1536)/(CROQUIS_DATOS!$C$1540+1),CROQUIS_DATOS!$C$1476-(2*CROQUIS_DATOS!$C$1539+CROQUIS_DATOS!$C$1540+1-7)*CROQUIS_DATOS!$C$1536))</f>
        <v>76.3888888888889</v>
      </c>
      <c r="I14">
        <f>IF(AND(CROQUIS_DATOS!$C$1544=1,E14&gt;=CROQUIS_DATOS!$C$1549-1,E14&lt;=CROQUIS_DATOS!$C$1550+1),CROQUIS_DATOS!$C$1554,CROQUIS_DATOS!$C$1552)</f>
        <v>-16.8885</v>
      </c>
      <c r="J14">
        <f>IF(AND(CROQUIS_DATOS!$C$1472=1,1),(CROQUIS_DATOS!$C$1563+(CHOOSE(MIN(MAX(IF(INT(($A14-1)/4)+1&gt;CROQUIS_DATOS!$C$1525,4,MOD($A14-1,4)+1),1),4),(INDEX($E$8:$E$23,MIN(INT(($A14-1)/4)+1,CROQUIS_DATOS!$C$1525))-INDEX($F$8:$F$23,MIN(INT(($A14-1)/4)+1,CROQUIS_DATOS!$C$1525))/2),(INDEX($E$8:$E$23,MIN(INT(($A14-1)/4)+1,CROQUIS_DATOS!$C$1525))-INDEX($F$8:$F$23,MIN(INT(($A14-1)/4)+1,CROQUIS_DATOS!$C$1525))/2),(INDEX($E$8:$E$23,MIN(INT(($A14-1)/4)+1,CROQUIS_DATOS!$C$1525))+INDEX($F$8:$F$23,MIN(INT(($A14-1)/4)+1,CROQUIS_DATOS!$C$1525))/2),(INDEX($E$8:$E$23,MIN(INT(($A14-1)/4)+1,CROQUIS_DATOS!$C$1525))+INDEX($F$8:$F$23,MIN(INT(($A14-1)/4)+1,CROQUIS_DATOS!$C$1525))/2)))*CROQUIS_DATOS!$C$1562),-1000)</f>
        <v>20.6724137931034</v>
      </c>
      <c r="K14">
        <f>IF(AND(CROQUIS_DATOS!$C$1472=1,1),(CROQUIS_DATOS!$C$1564+(CHOOSE(MIN(MAX(IF(INT(($A14-1)/4)+1&gt;CROQUIS_DATOS!$C$1525,4,MOD($A14-1,4)+1),1),4),0,CROQUIS_DATOS!$C$1476,CROQUIS_DATOS!$C$1476,0))*CROQUIS_DATOS!$C$1561*CROQUIS_DATOS!$C$1562),-1000)</f>
        <v>40.2068965517241</v>
      </c>
      <c r="L14">
        <f>IF(AND(CROQUIS_DATOS!$C$1472=1,1),(CROQUIS_DATOS!$C$1563+(CHOOSE(MIN(MAX(IF(INT(($A14-1)/4)+1&gt;CROQUIS_DATOS!$C$1525,4,MOD($A14-1,4)+1),1),4),((INDEX($E$8:$E$23,MIN(INT(($A14-1)/4)+1,CROQUIS_DATOS!$C$1525))-INDEX($F$8:$F$23,MIN(INT(($A14-1)/4)+1,CROQUIS_DATOS!$C$1525))/2)+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,((INDEX($E$8:$E$23,MIN(INT(($A14-1)/4)+1,CROQUIS_DATOS!$C$1525))-INDEX($F$8:$F$23,MIN(INT(($A14-1)/4)+1,CROQUIS_DATOS!$C$1525))/2)+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,((INDEX($E$8:$E$23,MIN(INT(($A14-1)/4)+1,CROQUIS_DATOS!$C$1525))+INDEX($F$8:$F$23,MIN(INT(($A14-1)/4)+1,CROQUIS_DATOS!$C$1525))/2)-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,((INDEX($E$8:$E$23,MIN(INT(($A14-1)/4)+1,CROQUIS_DATOS!$C$1525))+INDEX($F$8:$F$23,MIN(INT(($A14-1)/4)+1,CROQUIS_DATOS!$C$1525))/2)-MIN((CROQUIS_DATOS!$C$1530+CROQUIS_DATOS!$C$1532+IF(OR(MIN(INT(($A14-1)/4)+1,CROQUIS_DATOS!$C$1525)=1,MIN(INT(($A14-1)/4)+1,CROQUIS_DATOS!$C$1525)=CROQUIS_DATOS!$C$1525),CROQUIS_DATOS!$C$1534,CROQUIS_DATOS!$C$1531)/2),INDEX($F$8:$F$23,MIN(INT(($A14-1)/4)+1,CROQUIS_DATOS!$C$1525))/2-0.5))))*CROQUIS_DATOS!$C$1562),-1000)</f>
        <v>20.2378767241379</v>
      </c>
      <c r="M14">
        <f>IF(AND(CROQUIS_DATOS!$C$1472=1,1),(CROQUIS_DATOS!$C$1564+(CHOOSE(MIN(MAX(IF(INT(($A14-1)/4)+1&gt;CROQUIS_DATOS!$C$1525,4,MOD($A14-1,4)+1),1),4),CROQUIS_DATOS!$C$1543,INDEX($I$8:$I$23,MIN(INT(($A14-1)/4)+1,CROQUIS_DATOS!$C$1525)),INDEX($I$8:$I$23,MIN(INT(($A14-1)/4)+1,CROQUIS_DATOS!$C$1525)),CROQUIS_DATOS!$C$1543))*CROQUIS_DATOS!$C$1561*CROQUIS_DATOS!$C$1562),-1000)</f>
        <v>2.93453706896552</v>
      </c>
      <c r="N14">
        <f>IF(AND(CROQUIS_DATOS!$C$1472=1,1),(CROQUIS_DATOS!$C$1563+(IF(IF(IF(INT(($A14-1)/70)+1&gt;CROQUIS_DATOS!$C$1525,70,MOD($A14-1,70)+1)=1,0,IF(IF(INT(($A14-1)/70)+1&gt;CROQUIS_DATOS!$C$1525,70,MOD($A14-1,70)+1)&gt;2*CROQUIS_DATOS!$C$1541+1,IF(MOD(CROQUIS_DATOS!$C$1541,2)=1,1,0),IF(MOD(MIN(INT((IF(INT(($A14-1)/70)+1&gt;CROQUIS_DATOS!$C$1525,70,MOD($A14-1,70)+1)-2)/2)+1,CROQUIS_DATOS!$C$1541),2)=1,IF(MOD(IF(INT(($A14-1)/70)+1&gt;CROQUIS_DATOS!$C$1525,70,MOD($A14-1,70)+1)-2,2)=0,0,1),IF(MOD(IF(INT(($A14-1)/70)+1&gt;CROQUIS_DATOS!$C$1525,70,MOD($A14-1,70)+1)-2,2)=0,1,0))))=0,(INDEX($E$8:$E$23,MIN(INT(($A14-1)/70)+1,CROQUIS_DATOS!$C$1525))-INDEX($F$8:$F$23,MIN(INT(($A14-1)/70)+1,CROQUIS_DATOS!$C$1525))/2),(INDEX($E$8:$E$23,MIN(INT(($A14-1)/70)+1,CROQUIS_DATOS!$C$1525))+INDEX($F$8:$F$23,MIN(INT(($A14-1)/70)+1,CROQUIS_DATOS!$C$1525))/2)))*CROQUIS_DATOS!$C$1562),-1000)</f>
        <v>17.1810344827586</v>
      </c>
      <c r="O14">
        <f>IF(AND(CROQUIS_DATOS!$C$1472=1,1),(CROQUIS_DATOS!$C$1564+(IF(OR(IF(INT(($A14-1)/70)+1&gt;CROQUIS_DATOS!$C$1525,70,MOD($A14-1,70)+1)=1,IF(INT(($A14-1)/70)+1&gt;CROQUIS_DATOS!$C$1525,70,MOD($A14-1,70)+1)&gt;2*CROQUIS_DATOS!$C$1541+1),CROQUIS_DATOS!$C$1476,INDEX($H$8:$H$41,MIN(INT((IF(INT(($A14-1)/70)+1&gt;CROQUIS_DATOS!$C$1525,70,MOD($A14-1,70)+1)-2)/2)+1,CROQUIS_DATOS!$C$1541))))*CROQUIS_DATOS!$C$1561*CROQUIS_DATOS!$C$1562),-1000)</f>
        <v>8.43534482758621</v>
      </c>
      <c r="P14">
        <f>IF(AND(CROQUIS_DATOS!$C$1472=1,CROQUIS_DATOS!$C$1555=1),(CROQUIS_DATOS!$C$1563+(IF(IF(OR(MOD($A14-1,62)+1=1,IF(CHOOSE(MIN(MAX(MIN(INT(($A14-1)/62)+1,5),1),5),CROQUIS_DATOS!$C$1501,CROQUIS_DATOS!$C$1505,CROQUIS_DATOS!$C$1509,CROQUIS_DATOS!$C$1513,CROQUIS_DATOS!$C$1517)=1,CROQUIS_DATOS!$C$1557,0)=0),0,IF(MOD($A14-1,62)+1&gt;2*IF(CHOOSE(MIN(MAX(MIN(INT(($A14-1)/62)+1,5),1),5),CROQUIS_DATOS!$C$1501,CROQUIS_DATOS!$C$1505,CROQUIS_DATOS!$C$1509,CROQUIS_DATOS!$C$1513,CROQUIS_DATOS!$C$1517)=1,CROQUIS_DATOS!$C$1557,0)+1,IF(MOD(IF(CHOOSE(MIN(MAX(MIN(INT(($A14-1)/62)+1,5),1),5),CROQUIS_DATOS!$C$1501,CROQUIS_DATOS!$C$1505,CROQUIS_DATOS!$C$1509,CROQUIS_DATOS!$C$1513,CROQUIS_DATOS!$C$1517)=1,CROQUIS_DATOS!$C$1557,0),2)=1,1,0),IF(MOD(MIN(INT((MOD($A14-1,62)+1-2)/2)+1,MAX(IF(CHOOSE(MIN(MAX(MIN(INT(($A14-1)/62)+1,5),1),5),CROQUIS_DATOS!$C$1501,CROQUIS_DATOS!$C$1505,CROQUIS_DATOS!$C$1509,CROQUIS_DATOS!$C$1513,CROQUIS_DATOS!$C$1517)=1,CROQUIS_DATOS!$C$1557,0),1)),2)=1,IF(MOD(MOD($A14-1,62)+1-2,2)=0,0,1),IF(MOD(MOD($A14-1,62)+1-2,2)=0,1,0))))=0,(CHOOSE(MIN(MAX(MIN(INT(($A14-1)/62)+1,5),1),5),CROQUIS_DATOS!$C$1499,CROQUIS_DATOS!$C$1503,CROQUIS_DATOS!$C$1507,CROQUIS_DATOS!$C$1511,CROQUIS_DATOS!$C$1515)+IF(CHOOSE(MIN(MAX(MIN(INT(($A14-1)/62)+1,5),1),5),CROQUIS_DATOS!$C$1501,CROQUIS_DATOS!$C$1505,CROQUIS_DATOS!$C$1509,CROQUIS_DATOS!$C$1513,CROQUIS_DATOS!$C$1517)=1,CROQUIS_DATOS!$C$1526,0)),(CHOOSE(MIN(MAX(MIN(INT(($A14-1)/62)+1,5),1),5),CROQUIS_DATOS!$C$1499,CROQUIS_DATOS!$C$1503,CROQUIS_DATOS!$C$1507,CROQUIS_DATOS!$C$1511,CROQUIS_DATOS!$C$1515)+CHOOSE(MIN(MAX(MIN(INT(($A14-1)/62)+1,5),1),5),CROQUIS_DATOS!$C$1500,CROQUIS_DATOS!$C$1504,CROQUIS_DATOS!$C$1508,CROQUIS_DATOS!$C$1512,CROQUIS_DATOS!$C$1516)-IF(CHOOSE(MIN(MAX(MIN(INT(($A14-1)/62)+1,5),1),5),CROQUIS_DATOS!$C$1501,CROQUIS_DATOS!$C$1505,CROQUIS_DATOS!$C$1509,CROQUIS_DATOS!$C$1513,CROQUIS_DATOS!$C$1517)=1,CROQUIS_DATOS!$C$1526,0))))*CROQUIS_DATOS!$C$1562),-1000)</f>
        <v>-1000</v>
      </c>
      <c r="Q14">
        <f>IF(AND(CROQUIS_DATOS!$C$1472=1,CROQUIS_DATOS!$C$1555=1),(CROQUIS_DATOS!$C$1564+(IF(OR(OR(MOD($A14-1,62)+1=1,IF(CHOOSE(MIN(MAX(MIN(INT(($A14-1)/62)+1,5),1),5),CROQUIS_DATOS!$C$1501,CROQUIS_DATOS!$C$1505,CROQUIS_DATOS!$C$1509,CROQUIS_DATOS!$C$1513,CROQUIS_DATOS!$C$1517)=1,CROQUIS_DATOS!$C$1557,0)=0),MOD($A14-1,62)+1&gt;2*IF(CHOOSE(MIN(MAX(MIN(INT(($A14-1)/62)+1,5),1),5),CROQUIS_DATOS!$C$1501,CROQUIS_DATOS!$C$1505,CROQUIS_DATOS!$C$1509,CROQUIS_DATOS!$C$1513,CROQUIS_DATOS!$C$1517)=1,CROQUIS_DATOS!$C$1557,0)+1),CROQUIS_DATOS!$C$1476,MIN(INT((MOD($A14-1,62)+1-2)/2)+1,MAX(IF(CHOOSE(MIN(MAX(MIN(INT(($A14-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">
        <f>IF(AND(CROQUIS_DATOS!$C$1472=1,1),(CROQUIS_DATOS!$C$1563+(MIN(INT(($A14-1)/2)+1,CROQUIS_DATOS!$C$1558)*CROQUIS_DATOS!$C$1559)*CROQUIS_DATOS!$C$1562),-1000)</f>
        <v>25.8289124668435</v>
      </c>
      <c r="U14">
        <f>IF(AND(CROQUIS_DATOS!$C$1472=1,1),(CROQUIS_DATOS!$C$1564+(IF(INT(($A14-1)/2)+1&gt;CROQUIS_DATOS!$C$1558,IF(MOD(CROQUIS_DATOS!$C$1558,2)=1,CROQUIS_DATOS!$C$1476+CROQUIS_DATOS!$C$1528,CROQUIS_DATOS!$C$1476),IF(IF(MOD(MIN(INT(($A14-1)/2)+1,CROQUIS_DATOS!$C$1558),2)=1,MOD($A14-1,2),1-MOD($A14-1,2))=1,CROQUIS_DATOS!$C$1476+CROQUIS_DATOS!$C$1528,CROQUIS_DATOS!$C$1476)))*CROQUIS_DATOS!$C$1561*CROQUIS_DATOS!$C$1562),-1000)</f>
        <v>43</v>
      </c>
      <c r="BZ14">
        <f>IF(AND(CROQUIS_DATOS!$C$1472=1,CROQUIS_DATOS!$C$1500&gt;0,((CROQUIS_DATOS!$C$1499+CROQUIS_DATOS!$C$1500))-(CROQUIS_DATOS!$C$1499)&gt;0.5,(CROQUIS_DATOS!$C$1476)-(0)&gt;0.5),(CROQUIS_DATOS!$C$1566+(IF(IF(MOD(MIN(INT(($A14-1)/2)+1,MAX(1,INT(((((CROQUIS_DATOS!$C$1499+CROQUIS_DATOS!$C$1500))-(CROQUIS_DATOS!$C$1499))+((CROQUIS_DATOS!$C$1476)*CROQUIS_DATOS!$C$1561-(0)*CROQUIS_DATOS!$C$1561))/CROQUIS_DATOS!$C$1568-0.000001))),2)=1,IF(INT(($A14-1)/2)+1&gt;MAX(1,INT(((((CROQUIS_DATOS!$C$1499+CROQUIS_DATOS!$C$1500))-(CROQUIS_DATOS!$C$1499))+((CROQUIS_DATOS!$C$1476)*CROQUIS_DATOS!$C$1561-(0)*CROQUIS_DATOS!$C$1561))/CROQUIS_DATOS!$C$1568-0.000001)),1,MOD($A14-1,2)),1-IF(INT(($A14-1)/2)+1&gt;MAX(1,INT(((((CROQUIS_DATOS!$C$1499+CROQUIS_DATOS!$C$1500))-(CROQUIS_DATOS!$C$1499))+((CROQUIS_DATOS!$C$1476)*CROQUIS_DATOS!$C$1561-(0)*CROQUIS_DATOS!$C$1561))/CROQUIS_DATOS!$C$1568-0.000001)),1,MOD($A14-1,2)))=1,MIN((CROQUIS_DATOS!$C$1476)*CROQUIS_DATOS!$C$1561,((CROQUIS_DATOS!$C$1499+CROQUIS_DATOS!$C$1500)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">
        <f>IF(AND(CROQUIS_DATOS!$C$1472=1,CROQUIS_DATOS!$C$1500&gt;0,((CROQUIS_DATOS!$C$1499+CROQUIS_DATOS!$C$1500))-(CROQUIS_DATOS!$C$1499)&gt;0.5,(CROQUIS_DATOS!$C$1476)-(0)&gt;0.5),(CROQUIS_DATOS!$C$1567+(IF(IF(MOD(MIN(INT(($A14-1)/2)+1,MAX(1,INT(((((CROQUIS_DATOS!$C$1499+CROQUIS_DATOS!$C$1500))-(CROQUIS_DATOS!$C$1499))+((CROQUIS_DATOS!$C$1476)*CROQUIS_DATOS!$C$1561-(0)*CROQUIS_DATOS!$C$1561))/CROQUIS_DATOS!$C$1568-0.000001))),2)=1,IF(INT(($A14-1)/2)+1&gt;MAX(1,INT(((((CROQUIS_DATOS!$C$1499+CROQUIS_DATOS!$C$1500))-(CROQUIS_DATOS!$C$1499))+((CROQUIS_DATOS!$C$1476)*CROQUIS_DATOS!$C$1561-(0)*CROQUIS_DATOS!$C$1561))/CROQUIS_DATOS!$C$1568-0.000001)),1,MOD($A14-1,2)),1-IF(INT(($A14-1)/2)+1&gt;MAX(1,INT(((((CROQUIS_DATOS!$C$1499+CROQUIS_DATOS!$C$1500))-(CROQUIS_DATOS!$C$1499))+((CROQUIS_DATOS!$C$1476)*CROQUIS_DATOS!$C$1561-(0)*CROQUIS_DATOS!$C$1561))/CROQUIS_DATOS!$C$1568-0.000001)),1,MOD($A14-1,2)))=1,MIN((CROQUIS_DATOS!$C$1476)*CROQUIS_DATOS!$C$1561,((CROQUIS_DATOS!$C$1499+CROQUIS_DATOS!$C$1500)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14-1)/2)+1,MAX(1,INT(((((CROQUIS_DATOS!$C$1499+CROQUIS_DATOS!$C$1500))-(CROQUIS_DATOS!$C$1499))+((CROQUIS_DATOS!$C$1476)*CROQUIS_DATOS!$C$1561-(0)*CROQUIS_DATOS!$C$1561))/CROQUIS_DATOS!$C$1568-0.000001)))*CROQUIS_DATOS!$C$1568))))*CROQUIS_DATOS!$C$1565),-1000)</f>
        <v>36.7379310344828</v>
      </c>
      <c r="CB14">
        <f>IF(AND(CROQUIS_DATOS!$C$1472=1,CROQUIS_DATOS!$C$1504&gt;0,((CROQUIS_DATOS!$C$1503+CROQUIS_DATOS!$C$1504))-(CROQUIS_DATOS!$C$1503)&gt;0.5,(CROQUIS_DATOS!$C$1476)-(0)&gt;0.5),(CROQUIS_DATOS!$C$1566+(IF(IF(MOD(MIN(INT(($A14-1)/2)+1,MAX(1,INT(((((CROQUIS_DATOS!$C$1503+CROQUIS_DATOS!$C$1504))-(CROQUIS_DATOS!$C$1503))+((CROQUIS_DATOS!$C$1476)*CROQUIS_DATOS!$C$1561-(0)*CROQUIS_DATOS!$C$1561))/CROQUIS_DATOS!$C$1568-0.000001))),2)=1,IF(INT(($A14-1)/2)+1&gt;MAX(1,INT(((((CROQUIS_DATOS!$C$1503+CROQUIS_DATOS!$C$1504))-(CROQUIS_DATOS!$C$1503))+((CROQUIS_DATOS!$C$1476)*CROQUIS_DATOS!$C$1561-(0)*CROQUIS_DATOS!$C$1561))/CROQUIS_DATOS!$C$1568-0.000001)),1,MOD($A14-1,2)),1-IF(INT(($A14-1)/2)+1&gt;MAX(1,INT(((((CROQUIS_DATOS!$C$1503+CROQUIS_DATOS!$C$1504))-(CROQUIS_DATOS!$C$1503))+((CROQUIS_DATOS!$C$1476)*CROQUIS_DATOS!$C$1561-(0)*CROQUIS_DATOS!$C$1561))/CROQUIS_DATOS!$C$1568-0.000001)),1,MOD($A14-1,2)))=1,MIN((CROQUIS_DATOS!$C$1476)*CROQUIS_DATOS!$C$1561,((CROQUIS_DATOS!$C$1503+CROQUIS_DATOS!$C$1504)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*CROQUIS_DATOS!$C$1565),-1000)</f>
        <v>44.5724137931035</v>
      </c>
      <c r="CC14">
        <f>IF(AND(CROQUIS_DATOS!$C$1472=1,CROQUIS_DATOS!$C$1504&gt;0,((CROQUIS_DATOS!$C$1503+CROQUIS_DATOS!$C$1504))-(CROQUIS_DATOS!$C$1503)&gt;0.5,(CROQUIS_DATOS!$C$1476)-(0)&gt;0.5),(CROQUIS_DATOS!$C$1567+(IF(IF(MOD(MIN(INT(($A14-1)/2)+1,MAX(1,INT(((((CROQUIS_DATOS!$C$1503+CROQUIS_DATOS!$C$1504))-(CROQUIS_DATOS!$C$1503))+((CROQUIS_DATOS!$C$1476)*CROQUIS_DATOS!$C$1561-(0)*CROQUIS_DATOS!$C$1561))/CROQUIS_DATOS!$C$1568-0.000001))),2)=1,IF(INT(($A14-1)/2)+1&gt;MAX(1,INT(((((CROQUIS_DATOS!$C$1503+CROQUIS_DATOS!$C$1504))-(CROQUIS_DATOS!$C$1503))+((CROQUIS_DATOS!$C$1476)*CROQUIS_DATOS!$C$1561-(0)*CROQUIS_DATOS!$C$1561))/CROQUIS_DATOS!$C$1568-0.000001)),1,MOD($A14-1,2)),1-IF(INT(($A14-1)/2)+1&gt;MAX(1,INT(((((CROQUIS_DATOS!$C$1503+CROQUIS_DATOS!$C$1504))-(CROQUIS_DATOS!$C$1503))+((CROQUIS_DATOS!$C$1476)*CROQUIS_DATOS!$C$1561-(0)*CROQUIS_DATOS!$C$1561))/CROQUIS_DATOS!$C$1568-0.000001)),1,MOD($A14-1,2)))=1,MIN((CROQUIS_DATOS!$C$1476)*CROQUIS_DATOS!$C$1561,((CROQUIS_DATOS!$C$1503+CROQUIS_DATOS!$C$1504)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14-1)/2)+1,MAX(1,INT(((((CROQUIS_DATOS!$C$1503+CROQUIS_DATOS!$C$1504))-(CROQUIS_DATOS!$C$1503))+((CROQUIS_DATOS!$C$1476)*CROQUIS_DATOS!$C$1561-(0)*CROQUIS_DATOS!$C$1561))/CROQUIS_DATOS!$C$1568-0.000001)))*CROQUIS_DATOS!$C$1568))))*CROQUIS_DATOS!$C$1565),-1000)</f>
        <v>38.8620689655172</v>
      </c>
      <c r="CD14">
        <f>IF(AND(CROQUIS_DATOS!$C$1472=1,CROQUIS_DATOS!$C$1508&gt;0,((CROQUIS_DATOS!$C$1507+CROQUIS_DATOS!$C$1508))-(CROQUIS_DATOS!$C$1507)&gt;0.5,(CROQUIS_DATOS!$C$1476)-(0)&gt;0.5),(CROQUIS_DATOS!$C$1566+(IF(IF(MOD(MIN(INT(($A14-1)/2)+1,MAX(1,INT(((((CROQUIS_DATOS!$C$1507+CROQUIS_DATOS!$C$1508))-(CROQUIS_DATOS!$C$1507))+((CROQUIS_DATOS!$C$1476)*CROQUIS_DATOS!$C$1561-(0)*CROQUIS_DATOS!$C$1561))/CROQUIS_DATOS!$C$1568-0.000001))),2)=1,IF(INT(($A14-1)/2)+1&gt;MAX(1,INT(((((CROQUIS_DATOS!$C$1507+CROQUIS_DATOS!$C$1508))-(CROQUIS_DATOS!$C$1507))+((CROQUIS_DATOS!$C$1476)*CROQUIS_DATOS!$C$1561-(0)*CROQUIS_DATOS!$C$1561))/CROQUIS_DATOS!$C$1568-0.000001)),1,MOD($A14-1,2)),1-IF(INT(($A14-1)/2)+1&gt;MAX(1,INT(((((CROQUIS_DATOS!$C$1507+CROQUIS_DATOS!$C$1508))-(CROQUIS_DATOS!$C$1507))+((CROQUIS_DATOS!$C$1476)*CROQUIS_DATOS!$C$1561-(0)*CROQUIS_DATOS!$C$1561))/CROQUIS_DATOS!$C$1568-0.000001)),1,MOD($A14-1,2)))=1,MIN((CROQUIS_DATOS!$C$1476)*CROQUIS_DATOS!$C$1561,((CROQUIS_DATOS!$C$1507+CROQUIS_DATOS!$C$1508)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*CROQUIS_DATOS!$C$1565),-1000)</f>
        <v>71.2965517241379</v>
      </c>
      <c r="CE14">
        <f>IF(AND(CROQUIS_DATOS!$C$1472=1,CROQUIS_DATOS!$C$1508&gt;0,((CROQUIS_DATOS!$C$1507+CROQUIS_DATOS!$C$1508))-(CROQUIS_DATOS!$C$1507)&gt;0.5,(CROQUIS_DATOS!$C$1476)-(0)&gt;0.5),(CROQUIS_DATOS!$C$1567+(IF(IF(MOD(MIN(INT(($A14-1)/2)+1,MAX(1,INT(((((CROQUIS_DATOS!$C$1507+CROQUIS_DATOS!$C$1508))-(CROQUIS_DATOS!$C$1507))+((CROQUIS_DATOS!$C$1476)*CROQUIS_DATOS!$C$1561-(0)*CROQUIS_DATOS!$C$1561))/CROQUIS_DATOS!$C$1568-0.000001))),2)=1,IF(INT(($A14-1)/2)+1&gt;MAX(1,INT(((((CROQUIS_DATOS!$C$1507+CROQUIS_DATOS!$C$1508))-(CROQUIS_DATOS!$C$1507))+((CROQUIS_DATOS!$C$1476)*CROQUIS_DATOS!$C$1561-(0)*CROQUIS_DATOS!$C$1561))/CROQUIS_DATOS!$C$1568-0.000001)),1,MOD($A14-1,2)),1-IF(INT(($A14-1)/2)+1&gt;MAX(1,INT(((((CROQUIS_DATOS!$C$1507+CROQUIS_DATOS!$C$1508))-(CROQUIS_DATOS!$C$1507))+((CROQUIS_DATOS!$C$1476)*CROQUIS_DATOS!$C$1561-(0)*CROQUIS_DATOS!$C$1561))/CROQUIS_DATOS!$C$1568-0.000001)),1,MOD($A14-1,2)))=1,MIN((CROQUIS_DATOS!$C$1476)*CROQUIS_DATOS!$C$1561,((CROQUIS_DATOS!$C$1507+CROQUIS_DATOS!$C$1508)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14">
        <f>IF(AND(CROQUIS_DATOS!$C$1472=1,CROQUIS_DATOS!$C$1512&gt;0,((CROQUIS_DATOS!$C$1511+CROQUIS_DATOS!$C$1512))-(CROQUIS_DATOS!$C$1511)&gt;0.5,(CROQUIS_DATOS!$C$1476)-(0)&gt;0.5),(CROQUIS_DATOS!$C$1566+(IF(IF(MOD(MIN(INT(($A14-1)/2)+1,MAX(1,INT(((((CROQUIS_DATOS!$C$1511+CROQUIS_DATOS!$C$1512))-(CROQUIS_DATOS!$C$1511))+((CROQUIS_DATOS!$C$1476)*CROQUIS_DATOS!$C$1561-(0)*CROQUIS_DATOS!$C$1561))/CROQUIS_DATOS!$C$1568-0.000001))),2)=1,IF(INT(($A14-1)/2)+1&gt;MAX(1,INT(((((CROQUIS_DATOS!$C$1511+CROQUIS_DATOS!$C$1512))-(CROQUIS_DATOS!$C$1511))+((CROQUIS_DATOS!$C$1476)*CROQUIS_DATOS!$C$1561-(0)*CROQUIS_DATOS!$C$1561))/CROQUIS_DATOS!$C$1568-0.000001)),1,MOD($A14-1,2)),1-IF(INT(($A14-1)/2)+1&gt;MAX(1,INT(((((CROQUIS_DATOS!$C$1511+CROQUIS_DATOS!$C$1512))-(CROQUIS_DATOS!$C$1511))+((CROQUIS_DATOS!$C$1476)*CROQUIS_DATOS!$C$1561-(0)*CROQUIS_DATOS!$C$1561))/CROQUIS_DATOS!$C$1568-0.000001)),1,MOD($A14-1,2)))=1,MIN((CROQUIS_DATOS!$C$1476)*CROQUIS_DATOS!$C$1561,((CROQUIS_DATOS!$C$1511+CROQUIS_DATOS!$C$1512)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">
        <f>IF(AND(CROQUIS_DATOS!$C$1472=1,CROQUIS_DATOS!$C$1512&gt;0,((CROQUIS_DATOS!$C$1511+CROQUIS_DATOS!$C$1512))-(CROQUIS_DATOS!$C$1511)&gt;0.5,(CROQUIS_DATOS!$C$1476)-(0)&gt;0.5),(CROQUIS_DATOS!$C$1567+(IF(IF(MOD(MIN(INT(($A14-1)/2)+1,MAX(1,INT(((((CROQUIS_DATOS!$C$1511+CROQUIS_DATOS!$C$1512))-(CROQUIS_DATOS!$C$1511))+((CROQUIS_DATOS!$C$1476)*CROQUIS_DATOS!$C$1561-(0)*CROQUIS_DATOS!$C$1561))/CROQUIS_DATOS!$C$1568-0.000001))),2)=1,IF(INT(($A14-1)/2)+1&gt;MAX(1,INT(((((CROQUIS_DATOS!$C$1511+CROQUIS_DATOS!$C$1512))-(CROQUIS_DATOS!$C$1511))+((CROQUIS_DATOS!$C$1476)*CROQUIS_DATOS!$C$1561-(0)*CROQUIS_DATOS!$C$1561))/CROQUIS_DATOS!$C$1568-0.000001)),1,MOD($A14-1,2)),1-IF(INT(($A14-1)/2)+1&gt;MAX(1,INT(((((CROQUIS_DATOS!$C$1511+CROQUIS_DATOS!$C$1512))-(CROQUIS_DATOS!$C$1511))+((CROQUIS_DATOS!$C$1476)*CROQUIS_DATOS!$C$1561-(0)*CROQUIS_DATOS!$C$1561))/CROQUIS_DATOS!$C$1568-0.000001)),1,MOD($A14-1,2)))=1,MIN((CROQUIS_DATOS!$C$1476)*CROQUIS_DATOS!$C$1561,((CROQUIS_DATOS!$C$1511+CROQUIS_DATOS!$C$1512)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">
        <f>IF(AND(CROQUIS_DATOS!$C$1472=1,CROQUIS_DATOS!$C$1516&gt;0,((CROQUIS_DATOS!$C$1515+CROQUIS_DATOS!$C$1516))-(CROQUIS_DATOS!$C$1515)&gt;0.5,(CROQUIS_DATOS!$C$1476)-(0)&gt;0.5),(CROQUIS_DATOS!$C$1566+(IF(IF(MOD(MIN(INT(($A14-1)/2)+1,MAX(1,INT(((((CROQUIS_DATOS!$C$1515+CROQUIS_DATOS!$C$1516))-(CROQUIS_DATOS!$C$1515))+((CROQUIS_DATOS!$C$1476)*CROQUIS_DATOS!$C$1561-(0)*CROQUIS_DATOS!$C$1561))/CROQUIS_DATOS!$C$1568-0.000001))),2)=1,IF(INT(($A14-1)/2)+1&gt;MAX(1,INT(((((CROQUIS_DATOS!$C$1515+CROQUIS_DATOS!$C$1516))-(CROQUIS_DATOS!$C$1515))+((CROQUIS_DATOS!$C$1476)*CROQUIS_DATOS!$C$1561-(0)*CROQUIS_DATOS!$C$1561))/CROQUIS_DATOS!$C$1568-0.000001)),1,MOD($A14-1,2)),1-IF(INT(($A14-1)/2)+1&gt;MAX(1,INT(((((CROQUIS_DATOS!$C$1515+CROQUIS_DATOS!$C$1516))-(CROQUIS_DATOS!$C$1515))+((CROQUIS_DATOS!$C$1476)*CROQUIS_DATOS!$C$1561-(0)*CROQUIS_DATOS!$C$1561))/CROQUIS_DATOS!$C$1568-0.000001)),1,MOD($A14-1,2)))=1,MIN((CROQUIS_DATOS!$C$1476)*CROQUIS_DATOS!$C$1561,((CROQUIS_DATOS!$C$1515+CROQUIS_DATOS!$C$1516)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">
        <f>IF(AND(CROQUIS_DATOS!$C$1472=1,CROQUIS_DATOS!$C$1516&gt;0,((CROQUIS_DATOS!$C$1515+CROQUIS_DATOS!$C$1516))-(CROQUIS_DATOS!$C$1515)&gt;0.5,(CROQUIS_DATOS!$C$1476)-(0)&gt;0.5),(CROQUIS_DATOS!$C$1567+(IF(IF(MOD(MIN(INT(($A14-1)/2)+1,MAX(1,INT(((((CROQUIS_DATOS!$C$1515+CROQUIS_DATOS!$C$1516))-(CROQUIS_DATOS!$C$1515))+((CROQUIS_DATOS!$C$1476)*CROQUIS_DATOS!$C$1561-(0)*CROQUIS_DATOS!$C$1561))/CROQUIS_DATOS!$C$1568-0.000001))),2)=1,IF(INT(($A14-1)/2)+1&gt;MAX(1,INT(((((CROQUIS_DATOS!$C$1515+CROQUIS_DATOS!$C$1516))-(CROQUIS_DATOS!$C$1515))+((CROQUIS_DATOS!$C$1476)*CROQUIS_DATOS!$C$1561-(0)*CROQUIS_DATOS!$C$1561))/CROQUIS_DATOS!$C$1568-0.000001)),1,MOD($A14-1,2)),1-IF(INT(($A14-1)/2)+1&gt;MAX(1,INT(((((CROQUIS_DATOS!$C$1515+CROQUIS_DATOS!$C$1516))-(CROQUIS_DATOS!$C$1515))+((CROQUIS_DATOS!$C$1476)*CROQUIS_DATOS!$C$1561-(0)*CROQUIS_DATOS!$C$1561))/CROQUIS_DATOS!$C$1568-0.000001)),1,MOD($A14-1,2)))=1,MIN((CROQUIS_DATOS!$C$1476)*CROQUIS_DATOS!$C$1561,((CROQUIS_DATOS!$C$1515+CROQUIS_DATOS!$C$1516)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">
        <f>IF(AND(CROQUIS_DATOS!$C$1472=1,CROQUIS_DATOS!$C$1478&gt;=1,((CROQUIS_DATOS!$C$1479+CROQUIS_DATOS!$C$1480))-(CROQUIS_DATOS!$C$1479)&gt;0.5,(CROQUIS_DATOS!$C$1481)-(0)&gt;0.5),(CROQUIS_DATOS!$C$1566+(IF(IF(MOD(MIN(INT(($A14-1)/2)+1,MAX(1,INT(((((CROQUIS_DATOS!$C$1479+CROQUIS_DATOS!$C$1480))-(CROQUIS_DATOS!$C$1479))+((CROQUIS_DATOS!$C$1481)*CROQUIS_DATOS!$C$1561-(0)*CROQUIS_DATOS!$C$1561))/CROQUIS_DATOS!$C$1568-0.000001))),2)=1,IF(INT(($A14-1)/2)+1&gt;MAX(1,INT(((((CROQUIS_DATOS!$C$1479+CROQUIS_DATOS!$C$1480))-(CROQUIS_DATOS!$C$1479))+((CROQUIS_DATOS!$C$1481)*CROQUIS_DATOS!$C$1561-(0)*CROQUIS_DATOS!$C$1561))/CROQUIS_DATOS!$C$1568-0.000001)),1,MOD($A14-1,2)),1-IF(INT(($A14-1)/2)+1&gt;MAX(1,INT(((((CROQUIS_DATOS!$C$1479+CROQUIS_DATOS!$C$1480))-(CROQUIS_DATOS!$C$1479))+((CROQUIS_DATOS!$C$1481)*CROQUIS_DATOS!$C$1561-(0)*CROQUIS_DATOS!$C$1561))/CROQUIS_DATOS!$C$1568-0.000001)),1,MOD($A14-1,2)))=1,MIN((CROQUIS_DATOS!$C$1481)*CROQUIS_DATOS!$C$1561,((CROQUIS_DATOS!$C$1479+CROQUIS_DATOS!$C$1480)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">
        <f>IF(AND(CROQUIS_DATOS!$C$1472=1,CROQUIS_DATOS!$C$1478&gt;=1,((CROQUIS_DATOS!$C$1479+CROQUIS_DATOS!$C$1480))-(CROQUIS_DATOS!$C$1479)&gt;0.5,(CROQUIS_DATOS!$C$1481)-(0)&gt;0.5),(CROQUIS_DATOS!$C$1567+(IF(IF(MOD(MIN(INT(($A14-1)/2)+1,MAX(1,INT(((((CROQUIS_DATOS!$C$1479+CROQUIS_DATOS!$C$1480))-(CROQUIS_DATOS!$C$1479))+((CROQUIS_DATOS!$C$1481)*CROQUIS_DATOS!$C$1561-(0)*CROQUIS_DATOS!$C$1561))/CROQUIS_DATOS!$C$1568-0.000001))),2)=1,IF(INT(($A14-1)/2)+1&gt;MAX(1,INT(((((CROQUIS_DATOS!$C$1479+CROQUIS_DATOS!$C$1480))-(CROQUIS_DATOS!$C$1479))+((CROQUIS_DATOS!$C$1481)*CROQUIS_DATOS!$C$1561-(0)*CROQUIS_DATOS!$C$1561))/CROQUIS_DATOS!$C$1568-0.000001)),1,MOD($A14-1,2)),1-IF(INT(($A14-1)/2)+1&gt;MAX(1,INT(((((CROQUIS_DATOS!$C$1479+CROQUIS_DATOS!$C$1480))-(CROQUIS_DATOS!$C$1479))+((CROQUIS_DATOS!$C$1481)*CROQUIS_DATOS!$C$1561-(0)*CROQUIS_DATOS!$C$1561))/CROQUIS_DATOS!$C$1568-0.000001)),1,MOD($A14-1,2)))=1,MIN((CROQUIS_DATOS!$C$1481)*CROQUIS_DATOS!$C$1561,((CROQUIS_DATOS!$C$1479+CROQUIS_DATOS!$C$1480)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">
        <f>IF(AND(CROQUIS_DATOS!$C$1472=1,CROQUIS_DATOS!$C$1478&gt;=1,((CROQUIS_DATOS!$C$1479+CROQUIS_DATOS!$C$1480))-(CROQUIS_DATOS!$C$1479)&gt;0.5,(CROQUIS_DATOS!$C$1476)-((CROQUIS_DATOS!$C$1481+CROQUIS_DATOS!$C$1482))&gt;0.5),(CROQUIS_DATOS!$C$1566+(IF(IF(MOD(MIN(INT(($A14-1)/2)+1,MAX(1,INT(((((CROQUIS_DATOS!$C$1479+CROQUIS_DATOS!$C$1480))-(CROQUIS_DATOS!$C$1479))+((CROQUIS_DATOS!$C$1476)*CROQUIS_DATOS!$C$1561-((CROQUIS_DATOS!$C$1481+CROQUIS_DATOS!$C$1482))*CROQUIS_DATOS!$C$1561))/CROQUIS_DATOS!$C$1568-0.000001))),2)=1,IF(INT(($A14-1)/2)+1&gt;MAX(1,INT(((((CROQUIS_DATOS!$C$1479+CROQUIS_DATOS!$C$1480))-(CROQUIS_DATOS!$C$1479))+((CROQUIS_DATOS!$C$1476)*CROQUIS_DATOS!$C$1561-((CROQUIS_DATOS!$C$1481+CROQUIS_DATOS!$C$1482))*CROQUIS_DATOS!$C$1561))/CROQUIS_DATOS!$C$1568-0.000001)),1,MOD($A14-1,2)),1-IF(INT(($A14-1)/2)+1&gt;MAX(1,INT(((((CROQUIS_DATOS!$C$1479+CROQUIS_DATOS!$C$1480))-(CROQUIS_DATOS!$C$1479))+((CROQUIS_DATOS!$C$1476)*CROQUIS_DATOS!$C$1561-((CROQUIS_DATOS!$C$1481+CROQUIS_DATOS!$C$1482))*CROQUIS_DATOS!$C$1561))/CROQUIS_DATOS!$C$1568-0.000001)),1,MOD($A14-1,2)))=1,MIN((CROQUIS_DATOS!$C$1476)*CROQUIS_DATOS!$C$1561,((CROQUIS_DATOS!$C$1479+CROQUIS_DATOS!$C$1480)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34.951724137931</v>
      </c>
      <c r="CM14">
        <f>IF(AND(CROQUIS_DATOS!$C$1472=1,CROQUIS_DATOS!$C$1478&gt;=1,((CROQUIS_DATOS!$C$1479+CROQUIS_DATOS!$C$1480))-(CROQUIS_DATOS!$C$1479)&gt;0.5,(CROQUIS_DATOS!$C$1476)-((CROQUIS_DATOS!$C$1481+CROQUIS_DATOS!$C$1482))&gt;0.5),(CROQUIS_DATOS!$C$1567+(IF(IF(MOD(MIN(INT(($A14-1)/2)+1,MAX(1,INT(((((CROQUIS_DATOS!$C$1479+CROQUIS_DATOS!$C$1480))-(CROQUIS_DATOS!$C$1479))+((CROQUIS_DATOS!$C$1476)*CROQUIS_DATOS!$C$1561-((CROQUIS_DATOS!$C$1481+CROQUIS_DATOS!$C$1482))*CROQUIS_DATOS!$C$1561))/CROQUIS_DATOS!$C$1568-0.000001))),2)=1,IF(INT(($A14-1)/2)+1&gt;MAX(1,INT(((((CROQUIS_DATOS!$C$1479+CROQUIS_DATOS!$C$1480))-(CROQUIS_DATOS!$C$1479))+((CROQUIS_DATOS!$C$1476)*CROQUIS_DATOS!$C$1561-((CROQUIS_DATOS!$C$1481+CROQUIS_DATOS!$C$1482))*CROQUIS_DATOS!$C$1561))/CROQUIS_DATOS!$C$1568-0.000001)),1,MOD($A14-1,2)),1-IF(INT(($A14-1)/2)+1&gt;MAX(1,INT(((((CROQUIS_DATOS!$C$1479+CROQUIS_DATOS!$C$1480))-(CROQUIS_DATOS!$C$1479))+((CROQUIS_DATOS!$C$1476)*CROQUIS_DATOS!$C$1561-((CROQUIS_DATOS!$C$1481+CROQUIS_DATOS!$C$1482))*CROQUIS_DATOS!$C$1561))/CROQUIS_DATOS!$C$1568-0.000001)),1,MOD($A14-1,2)))=1,MIN((CROQUIS_DATOS!$C$1476)*CROQUIS_DATOS!$C$1561,((CROQUIS_DATOS!$C$1479+CROQUIS_DATOS!$C$1480)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38.8620689655172</v>
      </c>
      <c r="CR14">
        <f>IF(AND(CROQUIS_DATOS!$C$1472=1,CROQUIS_DATOS!$C$1478&gt;=2,((CROQUIS_DATOS!$C$1484+CROQUIS_DATOS!$C$1485))-(CROQUIS_DATOS!$C$1484)&gt;0.5,(CROQUIS_DATOS!$C$1486)-(0)&gt;0.5),(CROQUIS_DATOS!$C$1566+(IF(IF(MOD(MIN(INT(($A14-1)/2)+1,MAX(1,INT(((((CROQUIS_DATOS!$C$1484+CROQUIS_DATOS!$C$1485))-(CROQUIS_DATOS!$C$1484))+((CROQUIS_DATOS!$C$1486)*CROQUIS_DATOS!$C$1561-(0)*CROQUIS_DATOS!$C$1561))/CROQUIS_DATOS!$C$1568-0.000001))),2)=1,IF(INT(($A14-1)/2)+1&gt;MAX(1,INT(((((CROQUIS_DATOS!$C$1484+CROQUIS_DATOS!$C$1485))-(CROQUIS_DATOS!$C$1484))+((CROQUIS_DATOS!$C$1486)*CROQUIS_DATOS!$C$1561-(0)*CROQUIS_DATOS!$C$1561))/CROQUIS_DATOS!$C$1568-0.000001)),1,MOD($A14-1,2)),1-IF(INT(($A14-1)/2)+1&gt;MAX(1,INT(((((CROQUIS_DATOS!$C$1484+CROQUIS_DATOS!$C$1485))-(CROQUIS_DATOS!$C$1484))+((CROQUIS_DATOS!$C$1486)*CROQUIS_DATOS!$C$1561-(0)*CROQUIS_DATOS!$C$1561))/CROQUIS_DATOS!$C$1568-0.000001)),1,MOD($A14-1,2)))=1,MIN((CROQUIS_DATOS!$C$1486)*CROQUIS_DATOS!$C$1561,((CROQUIS_DATOS!$C$1484+CROQUIS_DATOS!$C$1485)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*CROQUIS_DATOS!$C$1565),-1000)</f>
        <v>55.2620689655172</v>
      </c>
      <c r="CS14">
        <f>IF(AND(CROQUIS_DATOS!$C$1472=1,CROQUIS_DATOS!$C$1478&gt;=2,((CROQUIS_DATOS!$C$1484+CROQUIS_DATOS!$C$1485))-(CROQUIS_DATOS!$C$1484)&gt;0.5,(CROQUIS_DATOS!$C$1486)-(0)&gt;0.5),(CROQUIS_DATOS!$C$1567+(IF(IF(MOD(MIN(INT(($A14-1)/2)+1,MAX(1,INT(((((CROQUIS_DATOS!$C$1484+CROQUIS_DATOS!$C$1485))-(CROQUIS_DATOS!$C$1484))+((CROQUIS_DATOS!$C$1486)*CROQUIS_DATOS!$C$1561-(0)*CROQUIS_DATOS!$C$1561))/CROQUIS_DATOS!$C$1568-0.000001))),2)=1,IF(INT(($A14-1)/2)+1&gt;MAX(1,INT(((((CROQUIS_DATOS!$C$1484+CROQUIS_DATOS!$C$1485))-(CROQUIS_DATOS!$C$1484))+((CROQUIS_DATOS!$C$1486)*CROQUIS_DATOS!$C$1561-(0)*CROQUIS_DATOS!$C$1561))/CROQUIS_DATOS!$C$1568-0.000001)),1,MOD($A14-1,2)),1-IF(INT(($A14-1)/2)+1&gt;MAX(1,INT(((((CROQUIS_DATOS!$C$1484+CROQUIS_DATOS!$C$1485))-(CROQUIS_DATOS!$C$1484))+((CROQUIS_DATOS!$C$1486)*CROQUIS_DATOS!$C$1561-(0)*CROQUIS_DATOS!$C$1561))/CROQUIS_DATOS!$C$1568-0.000001)),1,MOD($A14-1,2)))=1,MIN((CROQUIS_DATOS!$C$1486)*CROQUIS_DATOS!$C$1561,((CROQUIS_DATOS!$C$1484+CROQUIS_DATOS!$C$1485)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14">
        <f>IF(AND(CROQUIS_DATOS!$C$1472=1,CROQUIS_DATOS!$C$1478&gt;=2,((CROQUIS_DATOS!$C$1484+CROQUIS_DATOS!$C$1485))-(CROQUIS_DATOS!$C$1484)&gt;0.5,(CROQUIS_DATOS!$C$1476)-((CROQUIS_DATOS!$C$1486+CROQUIS_DATOS!$C$1487))&gt;0.5),(CROQUIS_DATOS!$C$1566+(IF(IF(MOD(MIN(INT(($A14-1)/2)+1,MAX(1,INT(((((CROQUIS_DATOS!$C$1484+CROQUIS_DATOS!$C$1485))-(CROQUIS_DATOS!$C$1484))+((CROQUIS_DATOS!$C$1476)*CROQUIS_DATOS!$C$1561-((CROQUIS_DATOS!$C$1486+CROQUIS_DATOS!$C$1487))*CROQUIS_DATOS!$C$1561))/CROQUIS_DATOS!$C$1568-0.000001))),2)=1,IF(INT(($A14-1)/2)+1&gt;MAX(1,INT(((((CROQUIS_DATOS!$C$1484+CROQUIS_DATOS!$C$1485))-(CROQUIS_DATOS!$C$1484))+((CROQUIS_DATOS!$C$1476)*CROQUIS_DATOS!$C$1561-((CROQUIS_DATOS!$C$1486+CROQUIS_DATOS!$C$1487))*CROQUIS_DATOS!$C$1561))/CROQUIS_DATOS!$C$1568-0.000001)),1,MOD($A14-1,2)),1-IF(INT(($A14-1)/2)+1&gt;MAX(1,INT(((((CROQUIS_DATOS!$C$1484+CROQUIS_DATOS!$C$1485))-(CROQUIS_DATOS!$C$1484))+((CROQUIS_DATOS!$C$1476)*CROQUIS_DATOS!$C$1561-((CROQUIS_DATOS!$C$1486+CROQUIS_DATOS!$C$1487))*CROQUIS_DATOS!$C$1561))/CROQUIS_DATOS!$C$1568-0.000001)),1,MOD($A14-1,2)))=1,MIN((CROQUIS_DATOS!$C$1476)*CROQUIS_DATOS!$C$1561,((CROQUIS_DATOS!$C$1484+CROQUIS_DATOS!$C$1485)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55.2620689655172</v>
      </c>
      <c r="CU14">
        <f>IF(AND(CROQUIS_DATOS!$C$1472=1,CROQUIS_DATOS!$C$1478&gt;=2,((CROQUIS_DATOS!$C$1484+CROQUIS_DATOS!$C$1485))-(CROQUIS_DATOS!$C$1484)&gt;0.5,(CROQUIS_DATOS!$C$1476)-((CROQUIS_DATOS!$C$1486+CROQUIS_DATOS!$C$1487))&gt;0.5),(CROQUIS_DATOS!$C$1567+(IF(IF(MOD(MIN(INT(($A14-1)/2)+1,MAX(1,INT(((((CROQUIS_DATOS!$C$1484+CROQUIS_DATOS!$C$1485))-(CROQUIS_DATOS!$C$1484))+((CROQUIS_DATOS!$C$1476)*CROQUIS_DATOS!$C$1561-((CROQUIS_DATOS!$C$1486+CROQUIS_DATOS!$C$1487))*CROQUIS_DATOS!$C$1561))/CROQUIS_DATOS!$C$1568-0.000001))),2)=1,IF(INT(($A14-1)/2)+1&gt;MAX(1,INT(((((CROQUIS_DATOS!$C$1484+CROQUIS_DATOS!$C$1485))-(CROQUIS_DATOS!$C$1484))+((CROQUIS_DATOS!$C$1476)*CROQUIS_DATOS!$C$1561-((CROQUIS_DATOS!$C$1486+CROQUIS_DATOS!$C$1487))*CROQUIS_DATOS!$C$1561))/CROQUIS_DATOS!$C$1568-0.000001)),1,MOD($A14-1,2)),1-IF(INT(($A14-1)/2)+1&gt;MAX(1,INT(((((CROQUIS_DATOS!$C$1484+CROQUIS_DATOS!$C$1485))-(CROQUIS_DATOS!$C$1484))+((CROQUIS_DATOS!$C$1476)*CROQUIS_DATOS!$C$1561-((CROQUIS_DATOS!$C$1486+CROQUIS_DATOS!$C$1487))*CROQUIS_DATOS!$C$1561))/CROQUIS_DATOS!$C$1568-0.000001)),1,MOD($A14-1,2)))=1,MIN((CROQUIS_DATOS!$C$1476)*CROQUIS_DATOS!$C$1561,((CROQUIS_DATOS!$C$1484+CROQUIS_DATOS!$C$1485)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14">
        <f>IF(AND(CROQUIS_DATOS!$C$1472=1,CROQUIS_DATOS!$C$1478&gt;=3,((CROQUIS_DATOS!$C$1489+CROQUIS_DATOS!$C$1490))-(CROQUIS_DATOS!$C$1489)&gt;0.5,(CROQUIS_DATOS!$C$1491)-(0)&gt;0.5),(CROQUIS_DATOS!$C$1566+(IF(IF(MOD(MIN(INT(($A14-1)/2)+1,MAX(1,INT(((((CROQUIS_DATOS!$C$1489+CROQUIS_DATOS!$C$1490))-(CROQUIS_DATOS!$C$1489))+((CROQUIS_DATOS!$C$1491)*CROQUIS_DATOS!$C$1561-(0)*CROQUIS_DATOS!$C$1561))/CROQUIS_DATOS!$C$1568-0.000001))),2)=1,IF(INT(($A14-1)/2)+1&gt;MAX(1,INT(((((CROQUIS_DATOS!$C$1489+CROQUIS_DATOS!$C$1490))-(CROQUIS_DATOS!$C$1489))+((CROQUIS_DATOS!$C$1491)*CROQUIS_DATOS!$C$1561-(0)*CROQUIS_DATOS!$C$1561))/CROQUIS_DATOS!$C$1568-0.000001)),1,MOD($A14-1,2)),1-IF(INT(($A14-1)/2)+1&gt;MAX(1,INT(((((CROQUIS_DATOS!$C$1489+CROQUIS_DATOS!$C$1490))-(CROQUIS_DATOS!$C$1489))+((CROQUIS_DATOS!$C$1491)*CROQUIS_DATOS!$C$1561-(0)*CROQUIS_DATOS!$C$1561))/CROQUIS_DATOS!$C$1568-0.000001)),1,MOD($A14-1,2)))=1,MIN((CROQUIS_DATOS!$C$1491)*CROQUIS_DATOS!$C$1561,((CROQUIS_DATOS!$C$1489+CROQUIS_DATOS!$C$1490)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">
        <f>IF(AND(CROQUIS_DATOS!$C$1472=1,CROQUIS_DATOS!$C$1478&gt;=3,((CROQUIS_DATOS!$C$1489+CROQUIS_DATOS!$C$1490))-(CROQUIS_DATOS!$C$1489)&gt;0.5,(CROQUIS_DATOS!$C$1491)-(0)&gt;0.5),(CROQUIS_DATOS!$C$1567+(IF(IF(MOD(MIN(INT(($A14-1)/2)+1,MAX(1,INT(((((CROQUIS_DATOS!$C$1489+CROQUIS_DATOS!$C$1490))-(CROQUIS_DATOS!$C$1489))+((CROQUIS_DATOS!$C$1491)*CROQUIS_DATOS!$C$1561-(0)*CROQUIS_DATOS!$C$1561))/CROQUIS_DATOS!$C$1568-0.000001))),2)=1,IF(INT(($A14-1)/2)+1&gt;MAX(1,INT(((((CROQUIS_DATOS!$C$1489+CROQUIS_DATOS!$C$1490))-(CROQUIS_DATOS!$C$1489))+((CROQUIS_DATOS!$C$1491)*CROQUIS_DATOS!$C$1561-(0)*CROQUIS_DATOS!$C$1561))/CROQUIS_DATOS!$C$1568-0.000001)),1,MOD($A14-1,2)),1-IF(INT(($A14-1)/2)+1&gt;MAX(1,INT(((((CROQUIS_DATOS!$C$1489+CROQUIS_DATOS!$C$1490))-(CROQUIS_DATOS!$C$1489))+((CROQUIS_DATOS!$C$1491)*CROQUIS_DATOS!$C$1561-(0)*CROQUIS_DATOS!$C$1561))/CROQUIS_DATOS!$C$1568-0.000001)),1,MOD($A14-1,2)))=1,MIN((CROQUIS_DATOS!$C$1491)*CROQUIS_DATOS!$C$1561,((CROQUIS_DATOS!$C$1489+CROQUIS_DATOS!$C$1490)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">
        <f>IF(AND(CROQUIS_DATOS!$C$1472=1,CROQUIS_DATOS!$C$1478&gt;=3,((CROQUIS_DATOS!$C$1489+CROQUIS_DATOS!$C$1490))-(CROQUIS_DATOS!$C$1489)&gt;0.5,(CROQUIS_DATOS!$C$1476)-((CROQUIS_DATOS!$C$1491+CROQUIS_DATOS!$C$1492))&gt;0.5),(CROQUIS_DATOS!$C$1566+(IF(IF(MOD(MIN(INT(($A14-1)/2)+1,MAX(1,INT(((((CROQUIS_DATOS!$C$1489+CROQUIS_DATOS!$C$1490))-(CROQUIS_DATOS!$C$1489))+((CROQUIS_DATOS!$C$1476)*CROQUIS_DATOS!$C$1561-((CROQUIS_DATOS!$C$1491+CROQUIS_DATOS!$C$1492))*CROQUIS_DATOS!$C$1561))/CROQUIS_DATOS!$C$1568-0.000001))),2)=1,IF(INT(($A14-1)/2)+1&gt;MAX(1,INT(((((CROQUIS_DATOS!$C$1489+CROQUIS_DATOS!$C$1490))-(CROQUIS_DATOS!$C$1489))+((CROQUIS_DATOS!$C$1476)*CROQUIS_DATOS!$C$1561-((CROQUIS_DATOS!$C$1491+CROQUIS_DATOS!$C$1492))*CROQUIS_DATOS!$C$1561))/CROQUIS_DATOS!$C$1568-0.000001)),1,MOD($A14-1,2)),1-IF(INT(($A14-1)/2)+1&gt;MAX(1,INT(((((CROQUIS_DATOS!$C$1489+CROQUIS_DATOS!$C$1490))-(CROQUIS_DATOS!$C$1489))+((CROQUIS_DATOS!$C$1476)*CROQUIS_DATOS!$C$1561-((CROQUIS_DATOS!$C$1491+CROQUIS_DATOS!$C$1492))*CROQUIS_DATOS!$C$1561))/CROQUIS_DATOS!$C$1568-0.000001)),1,MOD($A14-1,2)))=1,MIN((CROQUIS_DATOS!$C$1476)*CROQUIS_DATOS!$C$1561,((CROQUIS_DATOS!$C$1489+CROQUIS_DATOS!$C$1490)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">
        <f>IF(AND(CROQUIS_DATOS!$C$1472=1,CROQUIS_DATOS!$C$1478&gt;=3,((CROQUIS_DATOS!$C$1489+CROQUIS_DATOS!$C$1490))-(CROQUIS_DATOS!$C$1489)&gt;0.5,(CROQUIS_DATOS!$C$1476)-((CROQUIS_DATOS!$C$1491+CROQUIS_DATOS!$C$1492))&gt;0.5),(CROQUIS_DATOS!$C$1567+(IF(IF(MOD(MIN(INT(($A14-1)/2)+1,MAX(1,INT(((((CROQUIS_DATOS!$C$1489+CROQUIS_DATOS!$C$1490))-(CROQUIS_DATOS!$C$1489))+((CROQUIS_DATOS!$C$1476)*CROQUIS_DATOS!$C$1561-((CROQUIS_DATOS!$C$1491+CROQUIS_DATOS!$C$1492))*CROQUIS_DATOS!$C$1561))/CROQUIS_DATOS!$C$1568-0.000001))),2)=1,IF(INT(($A14-1)/2)+1&gt;MAX(1,INT(((((CROQUIS_DATOS!$C$1489+CROQUIS_DATOS!$C$1490))-(CROQUIS_DATOS!$C$1489))+((CROQUIS_DATOS!$C$1476)*CROQUIS_DATOS!$C$1561-((CROQUIS_DATOS!$C$1491+CROQUIS_DATOS!$C$1492))*CROQUIS_DATOS!$C$1561))/CROQUIS_DATOS!$C$1568-0.000001)),1,MOD($A14-1,2)),1-IF(INT(($A14-1)/2)+1&gt;MAX(1,INT(((((CROQUIS_DATOS!$C$1489+CROQUIS_DATOS!$C$1490))-(CROQUIS_DATOS!$C$1489))+((CROQUIS_DATOS!$C$1476)*CROQUIS_DATOS!$C$1561-((CROQUIS_DATOS!$C$1491+CROQUIS_DATOS!$C$1492))*CROQUIS_DATOS!$C$1561))/CROQUIS_DATOS!$C$1568-0.000001)),1,MOD($A14-1,2)))=1,MIN((CROQUIS_DATOS!$C$1476)*CROQUIS_DATOS!$C$1561,((CROQUIS_DATOS!$C$1489+CROQUIS_DATOS!$C$1490)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">
        <f>IF(AND(CROQUIS_DATOS!$C$1472=1,CROQUIS_DATOS!$C$1478&gt;=4,((CROQUIS_DATOS!$C$1494+CROQUIS_DATOS!$C$1495))-(CROQUIS_DATOS!$C$1494)&gt;0.5,(CROQUIS_DATOS!$C$1496)-(0)&gt;0.5),(CROQUIS_DATOS!$C$1566+(IF(IF(MOD(MIN(INT(($A14-1)/2)+1,MAX(1,INT(((((CROQUIS_DATOS!$C$1494+CROQUIS_DATOS!$C$1495))-(CROQUIS_DATOS!$C$1494))+((CROQUIS_DATOS!$C$1496)*CROQUIS_DATOS!$C$1561-(0)*CROQUIS_DATOS!$C$1561))/CROQUIS_DATOS!$C$1568-0.000001))),2)=1,IF(INT(($A14-1)/2)+1&gt;MAX(1,INT(((((CROQUIS_DATOS!$C$1494+CROQUIS_DATOS!$C$1495))-(CROQUIS_DATOS!$C$1494))+((CROQUIS_DATOS!$C$1496)*CROQUIS_DATOS!$C$1561-(0)*CROQUIS_DATOS!$C$1561))/CROQUIS_DATOS!$C$1568-0.000001)),1,MOD($A14-1,2)),1-IF(INT(($A14-1)/2)+1&gt;MAX(1,INT(((((CROQUIS_DATOS!$C$1494+CROQUIS_DATOS!$C$1495))-(CROQUIS_DATOS!$C$1494))+((CROQUIS_DATOS!$C$1496)*CROQUIS_DATOS!$C$1561-(0)*CROQUIS_DATOS!$C$1561))/CROQUIS_DATOS!$C$1568-0.000001)),1,MOD($A14-1,2)))=1,MIN((CROQUIS_DATOS!$C$1496)*CROQUIS_DATOS!$C$1561,((CROQUIS_DATOS!$C$1494+CROQUIS_DATOS!$C$1495)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">
        <f>IF(AND(CROQUIS_DATOS!$C$1472=1,CROQUIS_DATOS!$C$1478&gt;=4,((CROQUIS_DATOS!$C$1494+CROQUIS_DATOS!$C$1495))-(CROQUIS_DATOS!$C$1494)&gt;0.5,(CROQUIS_DATOS!$C$1496)-(0)&gt;0.5),(CROQUIS_DATOS!$C$1567+(IF(IF(MOD(MIN(INT(($A14-1)/2)+1,MAX(1,INT(((((CROQUIS_DATOS!$C$1494+CROQUIS_DATOS!$C$1495))-(CROQUIS_DATOS!$C$1494))+((CROQUIS_DATOS!$C$1496)*CROQUIS_DATOS!$C$1561-(0)*CROQUIS_DATOS!$C$1561))/CROQUIS_DATOS!$C$1568-0.000001))),2)=1,IF(INT(($A14-1)/2)+1&gt;MAX(1,INT(((((CROQUIS_DATOS!$C$1494+CROQUIS_DATOS!$C$1495))-(CROQUIS_DATOS!$C$1494))+((CROQUIS_DATOS!$C$1496)*CROQUIS_DATOS!$C$1561-(0)*CROQUIS_DATOS!$C$1561))/CROQUIS_DATOS!$C$1568-0.000001)),1,MOD($A14-1,2)),1-IF(INT(($A14-1)/2)+1&gt;MAX(1,INT(((((CROQUIS_DATOS!$C$1494+CROQUIS_DATOS!$C$1495))-(CROQUIS_DATOS!$C$1494))+((CROQUIS_DATOS!$C$1496)*CROQUIS_DATOS!$C$1561-(0)*CROQUIS_DATOS!$C$1561))/CROQUIS_DATOS!$C$1568-0.000001)),1,MOD($A14-1,2)))=1,MIN((CROQUIS_DATOS!$C$1496)*CROQUIS_DATOS!$C$1561,((CROQUIS_DATOS!$C$1494+CROQUIS_DATOS!$C$1495)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">
        <f>IF(AND(CROQUIS_DATOS!$C$1472=1,CROQUIS_DATOS!$C$1478&gt;=4,((CROQUIS_DATOS!$C$1494+CROQUIS_DATOS!$C$1495))-(CROQUIS_DATOS!$C$1494)&gt;0.5,(CROQUIS_DATOS!$C$1476)-((CROQUIS_DATOS!$C$1496+CROQUIS_DATOS!$C$1497))&gt;0.5),(CROQUIS_DATOS!$C$1566+(IF(IF(MOD(MIN(INT(($A14-1)/2)+1,MAX(1,INT(((((CROQUIS_DATOS!$C$1494+CROQUIS_DATOS!$C$1495))-(CROQUIS_DATOS!$C$1494))+((CROQUIS_DATOS!$C$1476)*CROQUIS_DATOS!$C$1561-((CROQUIS_DATOS!$C$1496+CROQUIS_DATOS!$C$1497))*CROQUIS_DATOS!$C$1561))/CROQUIS_DATOS!$C$1568-0.000001))),2)=1,IF(INT(($A14-1)/2)+1&gt;MAX(1,INT(((((CROQUIS_DATOS!$C$1494+CROQUIS_DATOS!$C$1495))-(CROQUIS_DATOS!$C$1494))+((CROQUIS_DATOS!$C$1476)*CROQUIS_DATOS!$C$1561-((CROQUIS_DATOS!$C$1496+CROQUIS_DATOS!$C$1497))*CROQUIS_DATOS!$C$1561))/CROQUIS_DATOS!$C$1568-0.000001)),1,MOD($A14-1,2)),1-IF(INT(($A14-1)/2)+1&gt;MAX(1,INT(((((CROQUIS_DATOS!$C$1494+CROQUIS_DATOS!$C$1495))-(CROQUIS_DATOS!$C$1494))+((CROQUIS_DATOS!$C$1476)*CROQUIS_DATOS!$C$1561-((CROQUIS_DATOS!$C$1496+CROQUIS_DATOS!$C$1497))*CROQUIS_DATOS!$C$1561))/CROQUIS_DATOS!$C$1568-0.000001)),1,MOD($A14-1,2)))=1,MIN((CROQUIS_DATOS!$C$1476)*CROQUIS_DATOS!$C$1561,((CROQUIS_DATOS!$C$1494+CROQUIS_DATOS!$C$1495)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">
        <f>IF(AND(CROQUIS_DATOS!$C$1472=1,CROQUIS_DATOS!$C$1478&gt;=4,((CROQUIS_DATOS!$C$1494+CROQUIS_DATOS!$C$1495))-(CROQUIS_DATOS!$C$1494)&gt;0.5,(CROQUIS_DATOS!$C$1476)-((CROQUIS_DATOS!$C$1496+CROQUIS_DATOS!$C$1497))&gt;0.5),(CROQUIS_DATOS!$C$1567+(IF(IF(MOD(MIN(INT(($A14-1)/2)+1,MAX(1,INT(((((CROQUIS_DATOS!$C$1494+CROQUIS_DATOS!$C$1495))-(CROQUIS_DATOS!$C$1494))+((CROQUIS_DATOS!$C$1476)*CROQUIS_DATOS!$C$1561-((CROQUIS_DATOS!$C$1496+CROQUIS_DATOS!$C$1497))*CROQUIS_DATOS!$C$1561))/CROQUIS_DATOS!$C$1568-0.000001))),2)=1,IF(INT(($A14-1)/2)+1&gt;MAX(1,INT(((((CROQUIS_DATOS!$C$1494+CROQUIS_DATOS!$C$1495))-(CROQUIS_DATOS!$C$1494))+((CROQUIS_DATOS!$C$1476)*CROQUIS_DATOS!$C$1561-((CROQUIS_DATOS!$C$1496+CROQUIS_DATOS!$C$1497))*CROQUIS_DATOS!$C$1561))/CROQUIS_DATOS!$C$1568-0.000001)),1,MOD($A14-1,2)),1-IF(INT(($A14-1)/2)+1&gt;MAX(1,INT(((((CROQUIS_DATOS!$C$1494+CROQUIS_DATOS!$C$1495))-(CROQUIS_DATOS!$C$1494))+((CROQUIS_DATOS!$C$1476)*CROQUIS_DATOS!$C$1561-((CROQUIS_DATOS!$C$1496+CROQUIS_DATOS!$C$1497))*CROQUIS_DATOS!$C$1561))/CROQUIS_DATOS!$C$1568-0.000001)),1,MOD($A14-1,2)))=1,MIN((CROQUIS_DATOS!$C$1476)*CROQUIS_DATOS!$C$1561,((CROQUIS_DATOS!$C$1494+CROQUIS_DATOS!$C$1495)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DP14">
        <f>IF(AND(CROQUIS_DATOS!$C$1472=1,CROQUIS_DATOS!$C$1500&gt;0.5,CROQUIS_DATOS!$C$1478&gt;0),CHOOSE(MIN(MAX($A14,1),7),(CROQUIS_DATOS!$C$1566+(CROQUIS_DATOS!$C$1499)*CROQUIS_DATOS!$C$1565),(CROQUIS_DATOS!$C$1566+(CROQUIS_DATOS!$C$1499)*CROQUIS_DATOS!$C$1565),(CROQUIS_DATOS!$C$1566+(CROQUIS_DATOS!$C$1499)*CROQUIS_DATOS!$C$1565),((CROQUIS_DATOS!$C$1566+(CROQUIS_DATOS!$C$1499)*CROQUIS_DATOS!$C$1565)+(CROQUIS_DATOS!$C$1566+((CROQUIS_DATOS!$C$1499+CROQUIS_DATOS!$C$1500))*CROQUIS_DATOS!$C$1565))/2,(CROQUIS_DATOS!$C$1566+((CROQUIS_DATOS!$C$1499+CROQUIS_DATOS!$C$1500))*CROQUIS_DATOS!$C$1565),(CROQUIS_DATOS!$C$1566+((CROQUIS_DATOS!$C$1499+CROQUIS_DATOS!$C$1500))*CROQUIS_DATOS!$C$1565),(CROQUIS_DATOS!$C$1566+((CROQUIS_DATOS!$C$1499+CROQUIS_DATOS!$C$1500))*CROQUIS_DATOS!$C$1565)),-1000)</f>
        <v>28.551724137931</v>
      </c>
      <c r="DQ14">
        <f>IF(AND(CROQUIS_DATOS!$C$1472=1,CROQUIS_DATOS!$C$1500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R14">
        <f>IF(AND(CROQUIS_DATOS!$C$1472=1,CROQUIS_DATOS!$C$1478&gt;=1),CHOOSE(MIN(MAX($A14,1),7),(CROQUIS_DATOS!$C$1566+(CROQUIS_DATOS!$C$1479)*CROQUIS_DATOS!$C$1565),(CROQUIS_DATOS!$C$1566+(CROQUIS_DATOS!$C$1479)*CROQUIS_DATOS!$C$1565),(CROQUIS_DATOS!$C$1566+(CROQUIS_DATOS!$C$1479)*CROQUIS_DATOS!$C$1565),((CROQUIS_DATOS!$C$1566+(CROQUIS_DATOS!$C$1479)*CROQUIS_DATOS!$C$1565)+(CROQUIS_DATOS!$C$1566+((CROQUIS_DATOS!$C$1479+CROQUIS_DATOS!$C$1480))*CROQUIS_DATOS!$C$1565))/2,(CROQUIS_DATOS!$C$1566+((CROQUIS_DATOS!$C$1479+CROQUIS_DATOS!$C$1480))*CROQUIS_DATOS!$C$1565),(CROQUIS_DATOS!$C$1566+((CROQUIS_DATOS!$C$1479+CROQUIS_DATOS!$C$1480))*CROQUIS_DATOS!$C$1565),(CROQUIS_DATOS!$C$1566+((CROQUIS_DATOS!$C$1479+CROQUIS_DATOS!$C$1480))*CROQUIS_DATOS!$C$1565)),-1000)</f>
        <v>38.1724137931034</v>
      </c>
      <c r="DS14">
        <f>IF(AND(CROQUIS_DATOS!$C$1472=1,CROQUIS_DATOS!$C$1478&gt;=1)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T14">
        <f>IF(AND(CROQUIS_DATOS!$C$1472=1,CROQUIS_DATOS!$C$1504&gt;0.5,CROQUIS_DATOS!$C$1478&gt;0),CHOOSE(MIN(MAX($A14,1),7),(CROQUIS_DATOS!$C$1566+(CROQUIS_DATOS!$C$1503)*CROQUIS_DATOS!$C$1565),(CROQUIS_DATOS!$C$1566+(CROQUIS_DATOS!$C$1503)*CROQUIS_DATOS!$C$1565),(CROQUIS_DATOS!$C$1566+(CROQUIS_DATOS!$C$1503)*CROQUIS_DATOS!$C$1565),((CROQUIS_DATOS!$C$1566+(CROQUIS_DATOS!$C$1503)*CROQUIS_DATOS!$C$1565)+(CROQUIS_DATOS!$C$1566+((CROQUIS_DATOS!$C$1503+CROQUIS_DATOS!$C$1504))*CROQUIS_DATOS!$C$1565))/2,(CROQUIS_DATOS!$C$1566+((CROQUIS_DATOS!$C$1503+CROQUIS_DATOS!$C$1504))*CROQUIS_DATOS!$C$1565),(CROQUIS_DATOS!$C$1566+((CROQUIS_DATOS!$C$1503+CROQUIS_DATOS!$C$1504))*CROQUIS_DATOS!$C$1565),(CROQUIS_DATOS!$C$1566+((CROQUIS_DATOS!$C$1503+CROQUIS_DATOS!$C$1504))*CROQUIS_DATOS!$C$1565)),-1000)</f>
        <v>48.8620689655172</v>
      </c>
      <c r="DU14">
        <f>IF(AND(CROQUIS_DATOS!$C$1472=1,CROQUIS_DATOS!$C$1504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V14">
        <f>IF(AND(CROQUIS_DATOS!$C$1472=1,CROQUIS_DATOS!$C$1478&gt;=2),CHOOSE(MIN(MAX($A14,1),7),(CROQUIS_DATOS!$C$1566+(CROQUIS_DATOS!$C$1484)*CROQUIS_DATOS!$C$1565),(CROQUIS_DATOS!$C$1566+(CROQUIS_DATOS!$C$1484)*CROQUIS_DATOS!$C$1565),(CROQUIS_DATOS!$C$1566+(CROQUIS_DATOS!$C$1484)*CROQUIS_DATOS!$C$1565),((CROQUIS_DATOS!$C$1566+(CROQUIS_DATOS!$C$1484)*CROQUIS_DATOS!$C$1565)+(CROQUIS_DATOS!$C$1566+((CROQUIS_DATOS!$C$1484+CROQUIS_DATOS!$C$1485))*CROQUIS_DATOS!$C$1565))/2,(CROQUIS_DATOS!$C$1566+((CROQUIS_DATOS!$C$1484+CROQUIS_DATOS!$C$1485))*CROQUIS_DATOS!$C$1565),(CROQUIS_DATOS!$C$1566+((CROQUIS_DATOS!$C$1484+CROQUIS_DATOS!$C$1485))*CROQUIS_DATOS!$C$1565),(CROQUIS_DATOS!$C$1566+((CROQUIS_DATOS!$C$1484+CROQUIS_DATOS!$C$1485))*CROQUIS_DATOS!$C$1565)),-1000)</f>
        <v>64.8965517241379</v>
      </c>
      <c r="DW14">
        <f>IF(AND(CROQUIS_DATOS!$C$1472=1,CROQUIS_DATOS!$C$1478&gt;=2)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X14">
        <f>IF(AND(CROQUIS_DATOS!$C$1472=1,CROQUIS_DATOS!$C$1508&gt;0.5,CROQUIS_DATOS!$C$1478&gt;0),CHOOSE(MIN(MAX($A14,1),7),(CROQUIS_DATOS!$C$1566+(CROQUIS_DATOS!$C$1507)*CROQUIS_DATOS!$C$1565),(CROQUIS_DATOS!$C$1566+(CROQUIS_DATOS!$C$1507)*CROQUIS_DATOS!$C$1565),(CROQUIS_DATOS!$C$1566+(CROQUIS_DATOS!$C$1507)*CROQUIS_DATOS!$C$1565),((CROQUIS_DATOS!$C$1566+(CROQUIS_DATOS!$C$1507)*CROQUIS_DATOS!$C$1565)+(CROQUIS_DATOS!$C$1566+((CROQUIS_DATOS!$C$1507+CROQUIS_DATOS!$C$1508))*CROQUIS_DATOS!$C$1565))/2,(CROQUIS_DATOS!$C$1566+((CROQUIS_DATOS!$C$1507+CROQUIS_DATOS!$C$1508))*CROQUIS_DATOS!$C$1565),(CROQUIS_DATOS!$C$1566+((CROQUIS_DATOS!$C$1507+CROQUIS_DATOS!$C$1508))*CROQUIS_DATOS!$C$1565),(CROQUIS_DATOS!$C$1566+((CROQUIS_DATOS!$C$1507+CROQUIS_DATOS!$C$1508))*CROQUIS_DATOS!$C$1565)),-1000)</f>
        <v>77.7241379310345</v>
      </c>
      <c r="DY14">
        <f>IF(AND(CROQUIS_DATOS!$C$1472=1,CROQUIS_DATOS!$C$1508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5.6</v>
      </c>
      <c r="DZ14">
        <f>IF(AND(CROQUIS_DATOS!$C$1472=1,CROQUIS_DATOS!$C$1478&gt;=3),CHOOSE(MIN(MAX($A14,1),7),(CROQUIS_DATOS!$C$1566+(CROQUIS_DATOS!$C$1489)*CROQUIS_DATOS!$C$1565),(CROQUIS_DATOS!$C$1566+(CROQUIS_DATOS!$C$1489)*CROQUIS_DATOS!$C$1565),(CROQUIS_DATOS!$C$1566+(CROQUIS_DATOS!$C$1489)*CROQUIS_DATOS!$C$1565),((CROQUIS_DATOS!$C$1566+(CROQUIS_DATOS!$C$1489)*CROQUIS_DATOS!$C$1565)+(CROQUIS_DATOS!$C$1566+((CROQUIS_DATOS!$C$1489+CROQUIS_DATOS!$C$1490))*CROQUIS_DATOS!$C$1565))/2,(CROQUIS_DATOS!$C$1566+((CROQUIS_DATOS!$C$1489+CROQUIS_DATOS!$C$1490))*CROQUIS_DATOS!$C$1565),(CROQUIS_DATOS!$C$1566+((CROQUIS_DATOS!$C$1489+CROQUIS_DATOS!$C$1490))*CROQUIS_DATOS!$C$1565),(CROQUIS_DATOS!$C$1566+((CROQUIS_DATOS!$C$1489+CROQUIS_DATOS!$C$1490))*CROQUIS_DATOS!$C$1565)),-1000)</f>
        <v>-1000</v>
      </c>
      <c r="EA14">
        <f>IF(AND(CROQUIS_DATOS!$C$1472=1,CROQUIS_DATOS!$C$1478&gt;=3)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B14">
        <f>IF(AND(CROQUIS_DATOS!$C$1472=1,CROQUIS_DATOS!$C$1512&gt;0.5,CROQUIS_DATOS!$C$1478&gt;0),CHOOSE(MIN(MAX($A14,1),7),(CROQUIS_DATOS!$C$1566+(CROQUIS_DATOS!$C$1511)*CROQUIS_DATOS!$C$1565),(CROQUIS_DATOS!$C$1566+(CROQUIS_DATOS!$C$1511)*CROQUIS_DATOS!$C$1565),(CROQUIS_DATOS!$C$1566+(CROQUIS_DATOS!$C$1511)*CROQUIS_DATOS!$C$1565),((CROQUIS_DATOS!$C$1566+(CROQUIS_DATOS!$C$1511)*CROQUIS_DATOS!$C$1565)+(CROQUIS_DATOS!$C$1566+((CROQUIS_DATOS!$C$1511+CROQUIS_DATOS!$C$1512))*CROQUIS_DATOS!$C$1565))/2,(CROQUIS_DATOS!$C$1566+((CROQUIS_DATOS!$C$1511+CROQUIS_DATOS!$C$1512))*CROQUIS_DATOS!$C$1565),(CROQUIS_DATOS!$C$1566+((CROQUIS_DATOS!$C$1511+CROQUIS_DATOS!$C$1512))*CROQUIS_DATOS!$C$1565),(CROQUIS_DATOS!$C$1566+((CROQUIS_DATOS!$C$1511+CROQUIS_DATOS!$C$1512))*CROQUIS_DATOS!$C$1565)),-1000)</f>
        <v>-1000</v>
      </c>
      <c r="EC14">
        <f>IF(AND(CROQUIS_DATOS!$C$1472=1,CROQUIS_DATOS!$C$1512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D14">
        <f>IF(AND(CROQUIS_DATOS!$C$1472=1,CROQUIS_DATOS!$C$1478&gt;=4),CHOOSE(MIN(MAX($A14,1),7),(CROQUIS_DATOS!$C$1566+(CROQUIS_DATOS!$C$1494)*CROQUIS_DATOS!$C$1565),(CROQUIS_DATOS!$C$1566+(CROQUIS_DATOS!$C$1494)*CROQUIS_DATOS!$C$1565),(CROQUIS_DATOS!$C$1566+(CROQUIS_DATOS!$C$1494)*CROQUIS_DATOS!$C$1565),((CROQUIS_DATOS!$C$1566+(CROQUIS_DATOS!$C$1494)*CROQUIS_DATOS!$C$1565)+(CROQUIS_DATOS!$C$1566+((CROQUIS_DATOS!$C$1494+CROQUIS_DATOS!$C$1495))*CROQUIS_DATOS!$C$1565))/2,(CROQUIS_DATOS!$C$1566+((CROQUIS_DATOS!$C$1494+CROQUIS_DATOS!$C$1495))*CROQUIS_DATOS!$C$1565),(CROQUIS_DATOS!$C$1566+((CROQUIS_DATOS!$C$1494+CROQUIS_DATOS!$C$1495))*CROQUIS_DATOS!$C$1565),(CROQUIS_DATOS!$C$1566+((CROQUIS_DATOS!$C$1494+CROQUIS_DATOS!$C$1495))*CROQUIS_DATOS!$C$1565)),-1000)</f>
        <v>-1000</v>
      </c>
      <c r="EE14">
        <f>IF(AND(CROQUIS_DATOS!$C$1472=1,CROQUIS_DATOS!$C$1478&gt;=4)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F14">
        <f>IF(AND(CROQUIS_DATOS!$C$1472=1,CROQUIS_DATOS!$C$1516&gt;0.5,CROQUIS_DATOS!$C$1478&gt;0),CHOOSE(MIN(MAX($A14,1),7),(CROQUIS_DATOS!$C$1566+(CROQUIS_DATOS!$C$1515)*CROQUIS_DATOS!$C$1565),(CROQUIS_DATOS!$C$1566+(CROQUIS_DATOS!$C$1515)*CROQUIS_DATOS!$C$1565),(CROQUIS_DATOS!$C$1566+(CROQUIS_DATOS!$C$1515)*CROQUIS_DATOS!$C$1565),((CROQUIS_DATOS!$C$1566+(CROQUIS_DATOS!$C$1515)*CROQUIS_DATOS!$C$1565)+(CROQUIS_DATOS!$C$1566+((CROQUIS_DATOS!$C$1515+CROQUIS_DATOS!$C$1516))*CROQUIS_DATOS!$C$1565))/2,(CROQUIS_DATOS!$C$1566+((CROQUIS_DATOS!$C$1515+CROQUIS_DATOS!$C$1516))*CROQUIS_DATOS!$C$1565),(CROQUIS_DATOS!$C$1566+((CROQUIS_DATOS!$C$1515+CROQUIS_DATOS!$C$1516))*CROQUIS_DATOS!$C$1565),(CROQUIS_DATOS!$C$1566+((CROQUIS_DATOS!$C$1515+CROQUIS_DATOS!$C$1516))*CROQUIS_DATOS!$C$1565)),-1000)</f>
        <v>-1000</v>
      </c>
      <c r="EG14">
        <f>IF(AND(CROQUIS_DATOS!$C$1472=1,CROQUIS_DATOS!$C$1516&gt;0.5,CROQUIS_DATOS!$C$1478&gt;0),CHOOSE(MIN(MAX($A14,1),7),((CROQUIS_DATOS!$C$1567+(-CROQUIS_DATOS!$C$1551)*CROQUIS_DATOS!$C$1561*CROQUIS_DATOS!$C$1565)-3.5)-0.9,((CROQUIS_DATOS!$C$1567+(-CROQUIS_DATOS!$C$1551)*CROQUIS_DATOS!$C$1561*CROQUIS_DATOS!$C$1565)-3.5)+0.9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,((CROQUIS_DATOS!$C$1567+(-CROQUIS_DATOS!$C$1551)*CROQUIS_DATOS!$C$1561*CROQUIS_DATOS!$C$1565)-3.5)+0.9,((CROQUIS_DATOS!$C$1567+(-CROQUIS_DATOS!$C$1551)*CROQUIS_DATOS!$C$1561*CROQUIS_DATOS!$C$1565)-3.5)-0.9),-1000)</f>
        <v>-1000</v>
      </c>
      <c r="EH14">
        <f>IF(AND(CROQUIS_DATOS!$C$1472=1,1),CHOOSE(MIN(MAX($A14,1),7),(CROQUIS_DATOS!$C$1566+(0)*CROQUIS_DATOS!$C$1565),(CROQUIS_DATOS!$C$1566+(0)*CROQUIS_DATOS!$C$1565),(CROQUIS_DATOS!$C$1566+(0)*CROQUIS_DATOS!$C$1565),((CROQUIS_DATOS!$C$1566+(0)*CROQUIS_DATOS!$C$1565)+(CROQUIS_DATOS!$C$1566+(CROQUIS_DATOS!$C$1475)*CROQUIS_DATOS!$C$1565))/2,(CROQUIS_DATOS!$C$1566+(CROQUIS_DATOS!$C$1475)*CROQUIS_DATOS!$C$1565),(CROQUIS_DATOS!$C$1566+(CROQUIS_DATOS!$C$1475)*CROQUIS_DATOS!$C$1565),(CROQUIS_DATOS!$C$1566+(CROQUIS_DATOS!$C$1475)*CROQUIS_DATOS!$C$1565)),-1000)</f>
        <v>77.7241379310345</v>
      </c>
      <c r="EI14">
        <f>IF(AND(CROQUIS_DATOS!$C$1472=1,1),CHOOSE(MIN(MAX($A14,1),7),((CROQUIS_DATOS!$C$1567+(-CROQUIS_DATOS!$C$1551)*CROQUIS_DATOS!$C$1561*CROQUIS_DATOS!$C$1565)-7.5)-0.9,((CROQUIS_DATOS!$C$1567+(-CROQUIS_DATOS!$C$1551)*CROQUIS_DATOS!$C$1561*CROQUIS_DATOS!$C$1565)-7.5)+0.9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,((CROQUIS_DATOS!$C$1567+(-CROQUIS_DATOS!$C$1551)*CROQUIS_DATOS!$C$1561*CROQUIS_DATOS!$C$1565)-7.5)+0.9,((CROQUIS_DATOS!$C$1567+(-CROQUIS_DATOS!$C$1551)*CROQUIS_DATOS!$C$1561*CROQUIS_DATOS!$C$1565)-7.5)-0.9),-1000)</f>
        <v>1.6</v>
      </c>
      <c r="EJ14">
        <f>IF(AND(CROQUIS_DATOS!$C$1472=1,1),CHOOSE(MIN(MAX($A14,1),7),((CROQUIS_DATOS!$C$1566+(0)*CROQUIS_DATOS!$C$1565)-3)-0.9,((CROQUIS_DATOS!$C$1566+(0)*CROQUIS_DATOS!$C$1565)-3)+0.9,((CROQUIS_DATOS!$C$1566+(0)*CROQUIS_DATOS!$C$1565)-3),((CROQUIS_DATOS!$C$1566+(0)*CROQUIS_DATOS!$C$1565)-3),((CROQUIS_DATOS!$C$1566+(0)*CROQUIS_DATOS!$C$1565)-3),((CROQUIS_DATOS!$C$1566+(0)*CROQUIS_DATOS!$C$1565)-3)+0.9,((CROQUIS_DATOS!$C$1566+(0)*CROQUIS_DATOS!$C$1565)-3)-0.9),-1000)</f>
        <v>20.3758620689655</v>
      </c>
      <c r="EK14">
        <f>IF(AND(CROQUIS_DATOS!$C$1472=1,1)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$1476)*CROQUIS_DATOS!$C$1561*CROQUIS_DATOS!$C$1565))/2,(CROQUIS_DATOS!$C$1567+(CROQUIS_DATOS!$C$1476)*CROQUIS_DATOS!$C$1561*CROQUIS_DATOS!$C$1565),(CROQUIS_DATOS!$C$1567+(CROQUIS_DATOS!$C$1476)*CROQUIS_DATOS!$C$1561*CROQUIS_DATOS!$C$1565),(CROQUIS_DATOS!$C$1567+(CROQUIS_DATOS!$C$1476)*CROQUIS_DATOS!$C$1561*CROQUIS_DATOS!$C$1565)),-1000)</f>
        <v>38.8620689655172</v>
      </c>
      <c r="EL14">
        <f>IF(AND(CROQUIS_DATOS!$C$1472=1,1),CHOOSE(MIN(MAX($A14,1),7),((CROQUIS_DATOS!$C$1566+(CROQUIS_DATOS!$C$1475)*CROQUIS_DATOS!$C$1565)+2)-0.9,((CROQUIS_DATOS!$C$1566+(CROQUIS_DATOS!$C$1475)*CROQUIS_DATOS!$C$1565)+2)+0.9,((CROQUIS_DATOS!$C$1566+(CROQUIS_DATOS!$C$1475)*CROQUIS_DATOS!$C$1565)+2),((CROQUIS_DATOS!$C$1566+(CROQUIS_DATOS!$C$1475)*CROQUIS_DATOS!$C$1565)+2),((CROQUIS_DATOS!$C$1566+(CROQUIS_DATOS!$C$1475)*CROQUIS_DATOS!$C$1565)+2),((CROQUIS_DATOS!$C$1566+(CROQUIS_DATOS!$C$1475)*CROQUIS_DATOS!$C$1565)+2)+0.9,((CROQUIS_DATOS!$C$1566+(CROQUIS_DATOS!$C$1475)*CROQUIS_DATOS!$C$1565)+2)-0.9),-1000)</f>
        <v>78.8241379310345</v>
      </c>
      <c r="EM14">
        <f>IF(AND(CROQUIS_DATOS!$C$1472=1,1),CHOOSE(MIN(MAX($A14,1),7),(CROQUIS_DATOS!$C$1567+(CROQUIS_DATOS!$C$1476)*CROQUIS_DATOS!$C$1561*CROQUIS_DATOS!$C$1565),(CROQUIS_DATOS!$C$1567+(CROQUIS_DATOS!$C$1476)*CROQUIS_DATOS!$C$1561*CROQUIS_DATOS!$C$1565),(CROQUIS_DATOS!$C$1567+(CROQUIS_DATOS!$C$1476)*CROQUIS_DATOS!$C$1561*CROQUIS_DATOS!$C$1565),((CROQUIS_DATOS!$C$1567+(CROQUIS_DATOS!$C$1476)*CROQUIS_DATOS!$C$1561*CROQUIS_DATOS!$C$1565)+(CROQUIS_DATOS!$C$1567+(CROQUIS_DATOS!$C$1476+CROQUIS_DATOS!$C$1528)*CROQUIS_DATOS!$C$1561*CROQUIS_DATOS!$C$1565))/2,(CROQUIS_DATOS!$C$1567+(CROQUIS_DATOS!$C$1476+CROQUIS_DATOS!$C$1528)*CROQUIS_DATOS!$C$1561*CROQUIS_DATOS!$C$1565),(CROQUIS_DATOS!$C$1567+(CROQUIS_DATOS!$C$1476+CROQUIS_DATOS!$C$1528)*CROQUIS_DATOS!$C$1561*CROQUIS_DATOS!$C$1565),(CROQUIS_DATOS!$C$1567+(CROQUIS_DATOS!$C$1476+CROQUIS_DATOS!$C$1528)*CROQUIS_DATOS!$C$1561*CROQUIS_DATOS!$C$1565)),-1000)</f>
        <v>41</v>
      </c>
      <c r="EN14">
        <f>IF(AND(CROQUIS_DATOS!$C$1472=1,CROQUIS_DATOS!$C$1478&gt;=1,CROQUIS_DATOS!$C$1481&gt;0),CHOOSE(MIN(MAX($A14,1),7),((CROQUIS_DATOS!$C$1566+((CROQUIS_DATOS!$C$1479+CROQUIS_DATOS!$C$1480))*CROQUIS_DATOS!$C$1565)+1.6)-0.9,((CROQUIS_DATOS!$C$1566+((CROQUIS_DATOS!$C$1479+CROQUIS_DATOS!$C$1480))*CROQUIS_DATOS!$C$1565)+1.6)+0.9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,((CROQUIS_DATOS!$C$1566+((CROQUIS_DATOS!$C$1479+CROQUIS_DATOS!$C$1480))*CROQUIS_DATOS!$C$1565)+1.6)+0.9,((CROQUIS_DATOS!$C$1566+((CROQUIS_DATOS!$C$1479+CROQUIS_DATOS!$C$1480))*CROQUIS_DATOS!$C$1565)+1.6)-0.9),-1000)</f>
        <v>-1000</v>
      </c>
      <c r="EO14">
        <f>IF(AND(CROQUIS_DATOS!$C$1472=1,CROQUIS_DATOS!$C$1478&gt;=1,CROQUIS_DATOS!$C$1481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$1481)*CROQUIS_DATOS!$C$1561*CROQUIS_DATOS!$C$1565))/2,(CROQUIS_DATOS!$C$1567+(CROQUIS_DATOS!$C$1481)*CROQUIS_DATOS!$C$1561*CROQUIS_DATOS!$C$1565),(CROQUIS_DATOS!$C$1567+(CROQUIS_DATOS!$C$1481)*CROQUIS_DATOS!$C$1561*CROQUIS_DATOS!$C$1565),(CROQUIS_DATOS!$C$1567+(CROQUIS_DATOS!$C$1481)*CROQUIS_DATOS!$C$1561*CROQUIS_DATOS!$C$1565)),-1000)</f>
        <v>-1000</v>
      </c>
      <c r="EP14">
        <f>IF(AND(CROQUIS_DATOS!$C$1472=1,CROQUIS_DATOS!$C$1478&gt;=2,CROQUIS_DATOS!$C$1486&gt;0),CHOOSE(MIN(MAX($A14,1),7),((CROQUIS_DATOS!$C$1566+((CROQUIS_DATOS!$C$1484+CROQUIS_DATOS!$C$1485))*CROQUIS_DATOS!$C$1565)+1.6)-0.9,((CROQUIS_DATOS!$C$1566+((CROQUIS_DATOS!$C$1484+CROQUIS_DATOS!$C$1485))*CROQUIS_DATOS!$C$1565)+1.6)+0.9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,((CROQUIS_DATOS!$C$1566+((CROQUIS_DATOS!$C$1484+CROQUIS_DATOS!$C$1485))*CROQUIS_DATOS!$C$1565)+1.6)+0.9,((CROQUIS_DATOS!$C$1566+((CROQUIS_DATOS!$C$1484+CROQUIS_DATOS!$C$1485))*CROQUIS_DATOS!$C$1565)+1.6)-0.9),-1000)</f>
        <v>65.5965517241379</v>
      </c>
      <c r="EQ14">
        <f>IF(AND(CROQUIS_DATOS!$C$1472=1,CROQUIS_DATOS!$C$1478&gt;=2,CROQUIS_DATOS!$C$1486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$1486)*CROQUIS_DATOS!$C$1561*CROQUIS_DATOS!$C$1565))/2,(CROQUIS_DATOS!$C$1567+(CROQUIS_DATOS!$C$1486)*CROQUIS_DATOS!$C$1561*CROQUIS_DATOS!$C$1565),(CROQUIS_DATOS!$C$1567+(CROQUIS_DATOS!$C$1486)*CROQUIS_DATOS!$C$1561*CROQUIS_DATOS!$C$1565),(CROQUIS_DATOS!$C$1567+(CROQUIS_DATOS!$C$1486)*CROQUIS_DATOS!$C$1561*CROQUIS_DATOS!$C$1565)),-1000)</f>
        <v>21.7586206896552</v>
      </c>
      <c r="ER14">
        <f>IF(AND(CROQUIS_DATOS!$C$1472=1,CROQUIS_DATOS!$C$1478&gt;=3,CROQUIS_DATOS!$C$1491&gt;0),CHOOSE(MIN(MAX($A14,1),7),((CROQUIS_DATOS!$C$1566+((CROQUIS_DATOS!$C$1489+CROQUIS_DATOS!$C$1490))*CROQUIS_DATOS!$C$1565)+1.6)-0.9,((CROQUIS_DATOS!$C$1566+((CROQUIS_DATOS!$C$1489+CROQUIS_DATOS!$C$1490))*CROQUIS_DATOS!$C$1565)+1.6)+0.9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,((CROQUIS_DATOS!$C$1566+((CROQUIS_DATOS!$C$1489+CROQUIS_DATOS!$C$1490))*CROQUIS_DATOS!$C$1565)+1.6)+0.9,((CROQUIS_DATOS!$C$1566+((CROQUIS_DATOS!$C$1489+CROQUIS_DATOS!$C$1490))*CROQUIS_DATOS!$C$1565)+1.6)-0.9),-1000)</f>
        <v>-1000</v>
      </c>
      <c r="ES14">
        <f>IF(AND(CROQUIS_DATOS!$C$1472=1,CROQUIS_DATOS!$C$1478&gt;=3,CROQUIS_DATOS!$C$1491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$1491)*CROQUIS_DATOS!$C$1561*CROQUIS_DATOS!$C$1565))/2,(CROQUIS_DATOS!$C$1567+(CROQUIS_DATOS!$C$1491)*CROQUIS_DATOS!$C$1561*CROQUIS_DATOS!$C$1565),(CROQUIS_DATOS!$C$1567+(CROQUIS_DATOS!$C$1491)*CROQUIS_DATOS!$C$1561*CROQUIS_DATOS!$C$1565),(CROQUIS_DATOS!$C$1567+(CROQUIS_DATOS!$C$1491)*CROQUIS_DATOS!$C$1561*CROQUIS_DATOS!$C$1565)),-1000)</f>
        <v>-1000</v>
      </c>
      <c r="ET14">
        <f>IF(AND(CROQUIS_DATOS!$C$1472=1,CROQUIS_DATOS!$C$1478&gt;=4,CROQUIS_DATOS!$C$1496&gt;0),CHOOSE(MIN(MAX($A14,1),7),((CROQUIS_DATOS!$C$1566+((CROQUIS_DATOS!$C$1494+CROQUIS_DATOS!$C$1495))*CROQUIS_DATOS!$C$1565)+1.6)-0.9,((CROQUIS_DATOS!$C$1566+((CROQUIS_DATOS!$C$1494+CROQUIS_DATOS!$C$1495))*CROQUIS_DATOS!$C$1565)+1.6)+0.9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,((CROQUIS_DATOS!$C$1566+((CROQUIS_DATOS!$C$1494+CROQUIS_DATOS!$C$1495))*CROQUIS_DATOS!$C$1565)+1.6)+0.9,((CROQUIS_DATOS!$C$1566+((CROQUIS_DATOS!$C$1494+CROQUIS_DATOS!$C$1495))*CROQUIS_DATOS!$C$1565)+1.6)-0.9),-1000)</f>
        <v>-1000</v>
      </c>
      <c r="EU14">
        <f>IF(AND(CROQUIS_DATOS!$C$1472=1,CROQUIS_DATOS!$C$1478&gt;=4,CROQUIS_DATOS!$C$1496&gt;0),CHOOSE(MIN(MAX($A14,1),7),(CROQUIS_DATOS!$C$1567+(0)*CROQUIS_DATOS!$C$1561*CROQUIS_DATOS!$C$1565),(CROQUIS_DATOS!$C$1567+(0)*CROQUIS_DATOS!$C$1561*CROQUIS_DATOS!$C$1565),(CROQUIS_DATOS!$C$1567+(0)*CROQUIS_DATOS!$C$1561*CROQUIS_DATOS!$C$1565),((CROQUIS_DATOS!$C$1567+(0)*CROQUIS_DATOS!$C$1561*CROQUIS_DATOS!$C$1565)+(CROQUIS_DATOS!$C$1567+(CROQUIS_DATOS!$C$1496)*CROQUIS_DATOS!$C$1561*CROQUIS_DATOS!$C$1565))/2,(CROQUIS_DATOS!$C$1567+(CROQUIS_DATOS!$C$1496)*CROQUIS_DATOS!$C$1561*CROQUIS_DATOS!$C$1565),(CROQUIS_DATOS!$C$1567+(CROQUIS_DATOS!$C$1496)*CROQUIS_DATOS!$C$1561*CROQUIS_DATOS!$C$1565),(CROQUIS_DATOS!$C$1567+(CROQUIS_DATOS!$C$1496)*CROQUIS_DATOS!$C$1561*CROQUIS_DATOS!$C$1565)),-1000)</f>
        <v>-1000</v>
      </c>
      <c r="EV14">
        <f>IF(AND(CROQUIS_DATOS!$C$1472=1,1),(CROQUIS_DATOS!$C$1566+(INDEX($E$8:$E$23,MIN($A14,CROQUIS_DATOS!$C$1525)))*CROQUIS_DATOS!$C$1565),-1000)</f>
        <v>76.9224137931035</v>
      </c>
      <c r="EW14">
        <f>IF(AND(CROQUIS_DATOS!$C$1472=1,1),((CROQUIS_DATOS!$C$1567+(CROQUIS_DATOS!$C$1476+CROQUIS_DATOS!$C$1528)*CROQUIS_DATOS!$C$1561*CROQUIS_DATOS!$C$1565)+1.5),-1000)</f>
        <v>42.5</v>
      </c>
      <c r="GD14">
        <f>IF(AND(CROQUIS_DATOS!$C$1472=1,1),(CROQUIS_DATOS!$C$1571+(CHOOSE(MIN(MAX(IF(INT(($A14-1)/5)+1&gt;CROQUIS_DATOS!$C$1525,5,MOD($A14-1,5)+1),1),5),(INDEX($E$8:$E$23,MIN(INT(($A14-1)/5)+1,CROQUIS_DATOS!$C$1525))-INDEX($F$8:$F$23,MIN(INT(($A14-1)/5)+1,CROQUIS_DATOS!$C$1525))/2),(INDEX($E$8:$E$23,MIN(INT(($A14-1)/5)+1,CROQUIS_DATOS!$C$1525))+INDEX($F$8:$F$23,MIN(INT(($A14-1)/5)+1,CROQUIS_DATOS!$C$1525))/2),(INDEX($E$8:$E$23,MIN(INT(($A14-1)/5)+1,CROQUIS_DATOS!$C$1525))+INDEX($F$8:$F$23,MIN(INT(($A14-1)/5)+1,CROQUIS_DATOS!$C$1525))/2),(INDEX($E$8:$E$23,MIN(INT(($A14-1)/5)+1,CROQUIS_DATOS!$C$1525))-INDEX($F$8:$F$23,MIN(INT(($A14-1)/5)+1,CROQUIS_DATOS!$C$1525))/2),(INDEX($E$8:$E$23,MIN(INT(($A14-1)/5)+1,CROQUIS_DATOS!$C$1525))-INDEX($F$8:$F$23,MIN(INT(($A14-1)/5)+1,CROQUIS_DATOS!$C$1525))/2)))*CROQUIS_DATOS!$C$1569),-1000)</f>
        <v>13.36</v>
      </c>
      <c r="GE14">
        <f>IF(AND(CROQUIS_DATOS!$C$1472=1,1),(CROQUIS_DATOS!$C$1572+(CHOOSE(MIN(MAX(IF(INT(($A14-1)/5)+1&gt;CROQUIS_DATOS!$C$1525,5,MOD($A14-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4">
        <f>IF(AND(CROQUIS_DATOS!$C$1472=1,1),IF(INT(($A14-1)/4)+1&lt;=CROQUIS_DATOS!$C$1525,(CROQUIS_DATOS!$C$1571+((INDEX($E$8:$E$23,MIN(INT(($A14-1)/4)+1,16))+IF(OR(MOD($A14-1,4)=0,MOD($A14-1,4)=3),-1,1)*(INDEX($F$8:$F$23,MIN(INT(($A14-1)/4)+1,16))/2-(CROQUIS_DATOS!$C$1530+CROQUIS_DATOS!$C$1532+IF(OR(INT(($A14-1)/4)+1=1,INT(($A14-1)/4)+1=CROQUIS_DATOS!$C$1525),CROQUIS_DATOS!$C$1534,CROQUIS_DATOS!$C$1531)/2))))*CROQUIS_DATOS!$C$1569),-1000),-1000)</f>
        <v>12.787484</v>
      </c>
      <c r="GG14">
        <f>IF(AND(CROQUIS_DATOS!$C$1472=1,1),IF(INT(($A14-1)/4)+1&lt;=CROQUIS_DATOS!$C$1525,(CROQUIS_DATOS!$C$1572+((CROQUIS_DATOS!$C$1477/2+IF(MOD($A14-1,4)&lt;2,-1,1)*(CROQUIS_DATOS!$C$1527/2-(CROQUIS_DATOS!$C$1530+CROQUIS_DATOS!$C$1532+IF(OR(INT(($A14-1)/4)+1=1,INT(($A14-1)/4)+1=CROQUIS_DATOS!$C$1525),CROQUIS_DATOS!$C$1534,CROQUIS_DATOS!$C$1531)/2))))*CROQUIS_DATOS!$C$1569*CROQUIS_DATOS!$C$1570),-1000),-1000)</f>
        <v>13.06655</v>
      </c>
      <c r="GH14">
        <f>IF(AND(CROQUIS_DATOS!$C$1472=1,CROQUIS_DATOS!$C$1500&gt;0.5,CROQUIS_DATOS!$C$1478&gt;0),CHOOSE(MIN(MAX($A14,1),7),(CROQUIS_DATOS!$C$1571+(CROQUIS_DATOS!$C$1499)*CROQUIS_DATOS!$C$1569),(CROQUIS_DATOS!$C$1571+(CROQUIS_DATOS!$C$1499)*CROQUIS_DATOS!$C$1569),(CROQUIS_DATOS!$C$1571+(CROQUIS_DATOS!$C$1499)*CROQUIS_DATOS!$C$1569),((CROQUIS_DATOS!$C$1571+(CROQUIS_DATOS!$C$1499)*CROQUIS_DATOS!$C$1569)+(CROQUIS_DATOS!$C$1571+((CROQUIS_DATOS!$C$1499+CROQUIS_DATOS!$C$1500))*CROQUIS_DATOS!$C$1569))/2,(CROQUIS_DATOS!$C$1571+((CROQUIS_DATOS!$C$1499+CROQUIS_DATOS!$C$1500))*CROQUIS_DATOS!$C$1569),(CROQUIS_DATOS!$C$1571+((CROQUIS_DATOS!$C$1499+CROQUIS_DATOS!$C$1500))*CROQUIS_DATOS!$C$1569),(CROQUIS_DATOS!$C$1571+((CROQUIS_DATOS!$C$1499+CROQUIS_DATOS!$C$1500))*CROQUIS_DATOS!$C$1569)),-1000)</f>
        <v>13.36</v>
      </c>
      <c r="GI14">
        <f>IF(AND(CROQUIS_DATOS!$C$1472=1,CROQUIS_DATOS!$C$1500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5.1</v>
      </c>
      <c r="GJ14">
        <f>IF(AND(CROQUIS_DATOS!$C$1472=1,CROQUIS_DATOS!$C$1478&gt;=1),CHOOSE(MIN(MAX($A14,1),7),(CROQUIS_DATOS!$C$1571+(CROQUIS_DATOS!$C$1479)*CROQUIS_DATOS!$C$1569),(CROQUIS_DATOS!$C$1571+(CROQUIS_DATOS!$C$1479)*CROQUIS_DATOS!$C$1569),(CROQUIS_DATOS!$C$1571+(CROQUIS_DATOS!$C$1479)*CROQUIS_DATOS!$C$1569),((CROQUIS_DATOS!$C$1571+(CROQUIS_DATOS!$C$1479)*CROQUIS_DATOS!$C$1569)+(CROQUIS_DATOS!$C$1571+((CROQUIS_DATOS!$C$1479+CROQUIS_DATOS!$C$1480))*CROQUIS_DATOS!$C$1569))/2,(CROQUIS_DATOS!$C$1571+((CROQUIS_DATOS!$C$1479+CROQUIS_DATOS!$C$1480))*CROQUIS_DATOS!$C$1569),(CROQUIS_DATOS!$C$1571+((CROQUIS_DATOS!$C$1479+CROQUIS_DATOS!$C$1480))*CROQUIS_DATOS!$C$1569),(CROQUIS_DATOS!$C$1571+((CROQUIS_DATOS!$C$1479+CROQUIS_DATOS!$C$1480))*CROQUIS_DATOS!$C$1569)),-1000)</f>
        <v>29.92</v>
      </c>
      <c r="GK14">
        <f>IF(AND(CROQUIS_DATOS!$C$1472=1,CROQUIS_DATOS!$C$1478&gt;=1),CHOOSE(MIN(MAX($A14,1),7),(CROQUIS_DATOS!$C$1572-3.5)-0.9,(CROQUIS_DATOS!$C$1572-3.5)+0.9,(CROQUIS_DATOS!$C$1572-3.5),(CROQUIS_DATOS!$C$1572-3.5),(CROQUIS_DATOS!$C$1572-3.5),(CROQUIS_DATOS!$C$1572-3.5)+0.9,(CROQUIS_DATOS!$C$1572-3.5)-0.9),-1000)</f>
        <v>5.1</v>
      </c>
      <c r="GL14">
        <f>IF(AND(CROQUIS_DATOS!$C$1472=1,CROQUIS_DATOS!$C$1504&gt;0.5,CROQUIS_DATOS!$C$1478&gt;0),CHOOSE(MIN(MAX($A14,1),7),(CROQUIS_DATOS!$C$1571+(CROQUIS_DATOS!$C$1503)*CROQUIS_DATOS!$C$1569),(CROQUIS_DATOS!$C$1571+(CROQUIS_DATOS!$C$1503)*CROQUIS_DATOS!$C$1569),(CROQUIS_DATOS!$C$1571+(CROQUIS_DATOS!$C$1503)*CROQUIS_DATOS!$C$1569),((CROQUIS_DATOS!$C$1571+(CROQUIS_DATOS!$C$1503)*CROQUIS_DATOS!$C$1569)+(CROQUIS_DATOS!$C$1571+((CROQUIS_DATOS!$C$1503+CROQUIS_DATOS!$C$1504))*CROQUIS_DATOS!$C$1569))/2,(CROQUIS_DATOS!$C$1571+((CROQUIS_DATOS!$C$1503+CROQUIS_DATOS!$C$1504))*CROQUIS_DATOS!$C$1569),(CROQUIS_DATOS!$C$1571+((CROQUIS_DATOS!$C$1503+CROQUIS_DATOS!$C$1504))*CROQUIS_DATOS!$C$1569),(CROQUIS_DATOS!$C$1571+((CROQUIS_DATOS!$C$1503+CROQUIS_DATOS!$C$1504))*CROQUIS_DATOS!$C$1569)),-1000)</f>
        <v>48.32</v>
      </c>
      <c r="GM14">
        <f>IF(AND(CROQUIS_DATOS!$C$1472=1,CROQUIS_DATOS!$C$1504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5.1</v>
      </c>
      <c r="GN14">
        <f>IF(AND(CROQUIS_DATOS!$C$1472=1,CROQUIS_DATOS!$C$1478&gt;=2),CHOOSE(MIN(MAX($A14,1),7),(CROQUIS_DATOS!$C$1571+(CROQUIS_DATOS!$C$1484)*CROQUIS_DATOS!$C$1569),(CROQUIS_DATOS!$C$1571+(CROQUIS_DATOS!$C$1484)*CROQUIS_DATOS!$C$1569),(CROQUIS_DATOS!$C$1571+(CROQUIS_DATOS!$C$1484)*CROQUIS_DATOS!$C$1569),((CROQUIS_DATOS!$C$1571+(CROQUIS_DATOS!$C$1484)*CROQUIS_DATOS!$C$1569)+(CROQUIS_DATOS!$C$1571+((CROQUIS_DATOS!$C$1484+CROQUIS_DATOS!$C$1485))*CROQUIS_DATOS!$C$1569))/2,(CROQUIS_DATOS!$C$1571+((CROQUIS_DATOS!$C$1484+CROQUIS_DATOS!$C$1485))*CROQUIS_DATOS!$C$1569),(CROQUIS_DATOS!$C$1571+((CROQUIS_DATOS!$C$1484+CROQUIS_DATOS!$C$1485))*CROQUIS_DATOS!$C$1569),(CROQUIS_DATOS!$C$1571+((CROQUIS_DATOS!$C$1484+CROQUIS_DATOS!$C$1485))*CROQUIS_DATOS!$C$1569)),-1000)</f>
        <v>75.92</v>
      </c>
      <c r="GO14">
        <f>IF(AND(CROQUIS_DATOS!$C$1472=1,CROQUIS_DATOS!$C$1478&gt;=2),CHOOSE(MIN(MAX($A14,1),7),(CROQUIS_DATOS!$C$1572-3.5)-0.9,(CROQUIS_DATOS!$C$1572-3.5)+0.9,(CROQUIS_DATOS!$C$1572-3.5),(CROQUIS_DATOS!$C$1572-3.5),(CROQUIS_DATOS!$C$1572-3.5),(CROQUIS_DATOS!$C$1572-3.5)+0.9,(CROQUIS_DATOS!$C$1572-3.5)-0.9),-1000)</f>
        <v>5.1</v>
      </c>
      <c r="GP14">
        <f>IF(AND(CROQUIS_DATOS!$C$1472=1,CROQUIS_DATOS!$C$1508&gt;0.5,CROQUIS_DATOS!$C$1478&gt;0),CHOOSE(MIN(MAX($A14,1),7),(CROQUIS_DATOS!$C$1571+(CROQUIS_DATOS!$C$1507)*CROQUIS_DATOS!$C$1569),(CROQUIS_DATOS!$C$1571+(CROQUIS_DATOS!$C$1507)*CROQUIS_DATOS!$C$1569),(CROQUIS_DATOS!$C$1571+(CROQUIS_DATOS!$C$1507)*CROQUIS_DATOS!$C$1569),((CROQUIS_DATOS!$C$1571+(CROQUIS_DATOS!$C$1507)*CROQUIS_DATOS!$C$1569)+(CROQUIS_DATOS!$C$1571+((CROQUIS_DATOS!$C$1507+CROQUIS_DATOS!$C$1508))*CROQUIS_DATOS!$C$1569))/2,(CROQUIS_DATOS!$C$1571+((CROQUIS_DATOS!$C$1507+CROQUIS_DATOS!$C$1508))*CROQUIS_DATOS!$C$1569),(CROQUIS_DATOS!$C$1571+((CROQUIS_DATOS!$C$1507+CROQUIS_DATOS!$C$1508))*CROQUIS_DATOS!$C$1569),(CROQUIS_DATOS!$C$1571+((CROQUIS_DATOS!$C$1507+CROQUIS_DATOS!$C$1508))*CROQUIS_DATOS!$C$1569)),-1000)</f>
        <v>98</v>
      </c>
      <c r="GQ14">
        <f>IF(AND(CROQUIS_DATOS!$C$1472=1,CROQUIS_DATOS!$C$1508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5.1</v>
      </c>
      <c r="GR14">
        <f>IF(AND(CROQUIS_DATOS!$C$1472=1,CROQUIS_DATOS!$C$1478&gt;=3),CHOOSE(MIN(MAX($A14,1),7),(CROQUIS_DATOS!$C$1571+(CROQUIS_DATOS!$C$1489)*CROQUIS_DATOS!$C$1569),(CROQUIS_DATOS!$C$1571+(CROQUIS_DATOS!$C$1489)*CROQUIS_DATOS!$C$1569),(CROQUIS_DATOS!$C$1571+(CROQUIS_DATOS!$C$1489)*CROQUIS_DATOS!$C$1569),((CROQUIS_DATOS!$C$1571+(CROQUIS_DATOS!$C$1489)*CROQUIS_DATOS!$C$1569)+(CROQUIS_DATOS!$C$1571+((CROQUIS_DATOS!$C$1489+CROQUIS_DATOS!$C$1490))*CROQUIS_DATOS!$C$1569))/2,(CROQUIS_DATOS!$C$1571+((CROQUIS_DATOS!$C$1489+CROQUIS_DATOS!$C$1490))*CROQUIS_DATOS!$C$1569),(CROQUIS_DATOS!$C$1571+((CROQUIS_DATOS!$C$1489+CROQUIS_DATOS!$C$1490))*CROQUIS_DATOS!$C$1569),(CROQUIS_DATOS!$C$1571+((CROQUIS_DATOS!$C$1489+CROQUIS_DATOS!$C$1490))*CROQUIS_DATOS!$C$1569)),-1000)</f>
        <v>-1000</v>
      </c>
      <c r="GS14">
        <f>IF(AND(CROQUIS_DATOS!$C$1472=1,CROQUIS_DATOS!$C$1478&gt;=3)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T14">
        <f>IF(AND(CROQUIS_DATOS!$C$1472=1,CROQUIS_DATOS!$C$1512&gt;0.5,CROQUIS_DATOS!$C$1478&gt;0),CHOOSE(MIN(MAX($A14,1),7),(CROQUIS_DATOS!$C$1571+(CROQUIS_DATOS!$C$1511)*CROQUIS_DATOS!$C$1569),(CROQUIS_DATOS!$C$1571+(CROQUIS_DATOS!$C$1511)*CROQUIS_DATOS!$C$1569),(CROQUIS_DATOS!$C$1571+(CROQUIS_DATOS!$C$1511)*CROQUIS_DATOS!$C$1569),((CROQUIS_DATOS!$C$1571+(CROQUIS_DATOS!$C$1511)*CROQUIS_DATOS!$C$1569)+(CROQUIS_DATOS!$C$1571+((CROQUIS_DATOS!$C$1511+CROQUIS_DATOS!$C$1512))*CROQUIS_DATOS!$C$1569))/2,(CROQUIS_DATOS!$C$1571+((CROQUIS_DATOS!$C$1511+CROQUIS_DATOS!$C$1512))*CROQUIS_DATOS!$C$1569),(CROQUIS_DATOS!$C$1571+((CROQUIS_DATOS!$C$1511+CROQUIS_DATOS!$C$1512))*CROQUIS_DATOS!$C$1569),(CROQUIS_DATOS!$C$1571+((CROQUIS_DATOS!$C$1511+CROQUIS_DATOS!$C$1512))*CROQUIS_DATOS!$C$1569)),-1000)</f>
        <v>-1000</v>
      </c>
      <c r="GU14">
        <f>IF(AND(CROQUIS_DATOS!$C$1472=1,CROQUIS_DATOS!$C$1512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V14">
        <f>IF(AND(CROQUIS_DATOS!$C$1472=1,CROQUIS_DATOS!$C$1478&gt;=4),CHOOSE(MIN(MAX($A14,1),7),(CROQUIS_DATOS!$C$1571+(CROQUIS_DATOS!$C$1494)*CROQUIS_DATOS!$C$1569),(CROQUIS_DATOS!$C$1571+(CROQUIS_DATOS!$C$1494)*CROQUIS_DATOS!$C$1569),(CROQUIS_DATOS!$C$1571+(CROQUIS_DATOS!$C$1494)*CROQUIS_DATOS!$C$1569),((CROQUIS_DATOS!$C$1571+(CROQUIS_DATOS!$C$1494)*CROQUIS_DATOS!$C$1569)+(CROQUIS_DATOS!$C$1571+((CROQUIS_DATOS!$C$1494+CROQUIS_DATOS!$C$1495))*CROQUIS_DATOS!$C$1569))/2,(CROQUIS_DATOS!$C$1571+((CROQUIS_DATOS!$C$1494+CROQUIS_DATOS!$C$1495))*CROQUIS_DATOS!$C$1569),(CROQUIS_DATOS!$C$1571+((CROQUIS_DATOS!$C$1494+CROQUIS_DATOS!$C$1495))*CROQUIS_DATOS!$C$1569),(CROQUIS_DATOS!$C$1571+((CROQUIS_DATOS!$C$1494+CROQUIS_DATOS!$C$1495))*CROQUIS_DATOS!$C$1569)),-1000)</f>
        <v>-1000</v>
      </c>
      <c r="GW14">
        <f>IF(AND(CROQUIS_DATOS!$C$1472=1,CROQUIS_DATOS!$C$1478&gt;=4)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X14">
        <f>IF(AND(CROQUIS_DATOS!$C$1472=1,CROQUIS_DATOS!$C$1516&gt;0.5,CROQUIS_DATOS!$C$1478&gt;0),CHOOSE(MIN(MAX($A14,1),7),(CROQUIS_DATOS!$C$1571+(CROQUIS_DATOS!$C$1515)*CROQUIS_DATOS!$C$1569),(CROQUIS_DATOS!$C$1571+(CROQUIS_DATOS!$C$1515)*CROQUIS_DATOS!$C$1569),(CROQUIS_DATOS!$C$1571+(CROQUIS_DATOS!$C$1515)*CROQUIS_DATOS!$C$1569),((CROQUIS_DATOS!$C$1571+(CROQUIS_DATOS!$C$1515)*CROQUIS_DATOS!$C$1569)+(CROQUIS_DATOS!$C$1571+((CROQUIS_DATOS!$C$1515+CROQUIS_DATOS!$C$1516))*CROQUIS_DATOS!$C$1569))/2,(CROQUIS_DATOS!$C$1571+((CROQUIS_DATOS!$C$1515+CROQUIS_DATOS!$C$1516))*CROQUIS_DATOS!$C$1569),(CROQUIS_DATOS!$C$1571+((CROQUIS_DATOS!$C$1515+CROQUIS_DATOS!$C$1516))*CROQUIS_DATOS!$C$1569),(CROQUIS_DATOS!$C$1571+((CROQUIS_DATOS!$C$1515+CROQUIS_DATOS!$C$1516))*CROQUIS_DATOS!$C$1569)),-1000)</f>
        <v>-1000</v>
      </c>
      <c r="GY14">
        <f>IF(AND(CROQUIS_DATOS!$C$1472=1,CROQUIS_DATOS!$C$1516&gt;0.5,CROQUIS_DATOS!$C$1478&gt;0),CHOOSE(MIN(MAX($A14,1),7),(CROQUIS_DATOS!$C$1572-3.5)-0.9,(CROQUIS_DATOS!$C$1572-3.5)+0.9,(CROQUIS_DATOS!$C$1572-3.5),(CROQUIS_DATOS!$C$1572-3.5),(CROQUIS_DATOS!$C$1572-3.5),(CROQUIS_DATOS!$C$1572-3.5)+0.9,(CROQUIS_DATOS!$C$1572-3.5)-0.9),-1000)</f>
        <v>-1000</v>
      </c>
      <c r="GZ14">
        <f>IF(AND(CROQUIS_DATOS!$C$1472=1,1),CHOOSE(MIN(MAX($A14,1),7),(CROQUIS_DATOS!$C$1571+(0)*CROQUIS_DATOS!$C$1569),(CROQUIS_DATOS!$C$1571+(0)*CROQUIS_DATOS!$C$1569),(CROQUIS_DATOS!$C$1571+(0)*CROQUIS_DATOS!$C$1569),((CROQUIS_DATOS!$C$1571+(0)*CROQUIS_DATOS!$C$1569)+(CROQUIS_DATOS!$C$1571+(CROQUIS_DATOS!$C$1475)*CROQUIS_DATOS!$C$1569))/2,(CROQUIS_DATOS!$C$1571+(CROQUIS_DATOS!$C$1475)*CROQUIS_DATOS!$C$1569),(CROQUIS_DATOS!$C$1571+(CROQUIS_DATOS!$C$1475)*CROQUIS_DATOS!$C$1569),(CROQUIS_DATOS!$C$1571+(CROQUIS_DATOS!$C$1475)*CROQUIS_DATOS!$C$1569)),-1000)</f>
        <v>98</v>
      </c>
      <c r="HA14">
        <f>IF(AND(CROQUIS_DATOS!$C$1472=1,1),CHOOSE(MIN(MAX($A14,1),7),(CROQUIS_DATOS!$C$1572-7.5)-0.9,(CROQUIS_DATOS!$C$1572-7.5)+0.9,(CROQUIS_DATOS!$C$1572-7.5),(CROQUIS_DATOS!$C$1572-7.5),(CROQUIS_DATOS!$C$1572-7.5),(CROQUIS_DATOS!$C$1572-7.5)+0.9,(CROQUIS_DATOS!$C$1572-7.5)-0.9),-1000)</f>
        <v>1.1</v>
      </c>
      <c r="HB14">
        <f>IF(AND(CROQUIS_DATOS!$C$1472=1,1),CHOOSE(MIN(MAX($A14,1),7),((CROQUIS_DATOS!$C$1571+(0)*CROQUIS_DATOS!$C$1569)-2.5)-0.9,((CROQUIS_DATOS!$C$1571+(0)*CROQUIS_DATOS!$C$1569)-2.5)+0.9,((CROQUIS_DATOS!$C$1571+(0)*CROQUIS_DATOS!$C$1569)-2.5),((CROQUIS_DATOS!$C$1571+(0)*CROQUIS_DATOS!$C$1569)-2.5),((CROQUIS_DATOS!$C$1571+(0)*CROQUIS_DATOS!$C$1569)-2.5),((CROQUIS_DATOS!$C$1571+(0)*CROQUIS_DATOS!$C$1569)-2.5)+0.9,((CROQUIS_DATOS!$C$1571+(0)*CROQUIS_DATOS!$C$1569)-2.5)-0.9),-1000)</f>
        <v>2.6</v>
      </c>
      <c r="HC14">
        <f>IF(AND(CROQUIS_DATOS!$C$1472=1,1),CHOOSE(MIN(MAX($A14,1),7),(CROQUIS_DATOS!$C$1572+(0)*CROQUIS_DATOS!$C$1569*CROQUIS_DATOS!$C$1570),(CROQUIS_DATOS!$C$1572+(0)*CROQUIS_DATOS!$C$1569*CROQUIS_DATOS!$C$1570),(CROQUIS_DATOS!$C$1572+(0)*CROQUIS_DATOS!$C$1569*CROQUIS_DATOS!$C$1570),((CROQUIS_DATOS!$C$1572+(0)*CROQUIS_DATOS!$C$1569*CROQUIS_DATOS!$C$1570)+(CROQUIS_DATOS!$C$1572+(CROQUIS_DATOS!$C$1477)*CROQUIS_DATOS!$C$1569*CROQUIS_DATOS!$C$1570))/2,(CROQUIS_DATOS!$C$1572+(CROQUIS_DATOS!$C$1477)*CROQUIS_DATOS!$C$1569*CROQUIS_DATOS!$C$1570),(CROQUIS_DATOS!$C$1572+(CROQUIS_DATOS!$C$1477)*CROQUIS_DATOS!$C$1569*CROQUIS_DATOS!$C$1570),(CROQUIS_DATOS!$C$1572+(CROQUIS_DATOS!$C$1477)*CROQUIS_DATOS!$C$1569*CROQUIS_DATOS!$C$1570)),-1000)</f>
        <v>14</v>
      </c>
      <c r="HF14">
        <f>IF(AND(CROQUIS_DATOS!$C$1472=1,1),CHOOSE(MIN(MAX($A14,1)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9.51967741935484</v>
      </c>
      <c r="HG14">
        <f>IF(AND(CROQUIS_DATOS!$C$1472=1,1),CHOOSE(MIN(MAX($A14,1)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20.8674193548387</v>
      </c>
      <c r="HH14">
        <f>IF(AND(CROQUIS_DATOS!$C$1472=1,1),IF($A14&lt;=DATOS!$C$61,CHOOSE(MIN(MAX($A14,1)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4">
        <f>IF(AND(CROQUIS_DATOS!$C$1472=1,1),IF($A14&lt;=DATOS!$C$61,CHOOSE(MIN(MAX($A14,1)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J14">
        <f>IF(AND(CROQUIS_DATOS!$C$1472=1,1),CHOOSE(MIN(MAX($A14,1),7),(CROQUIS_DATOS!$C$1574+(0)*CROQUIS_DATOS!$C$1573),(CROQUIS_DATOS!$C$1574+(0)*CROQUIS_DATOS!$C$1573),(CROQUIS_DATOS!$C$1574+(0)*CROQUIS_DATOS!$C$1573),((CROQUIS_DATOS!$C$1574+(0)*CROQUIS_DATOS!$C$1573)+(CROQUIS_DATOS!$C$1574+(CROQUIS_DATOS!$C$1526)*CROQUIS_DATOS!$C$1573))/2,(CROQUIS_DATOS!$C$1574+(CROQUIS_DATOS!$C$1526)*CROQUIS_DATOS!$C$1573),(CROQUIS_DATOS!$C$1574+(CROQUIS_DATOS!$C$1526)*CROQUIS_DATOS!$C$1573),(CROQUIS_DATOS!$C$1574+(CROQUIS_DATOS!$C$1526)*CROQUIS_DATOS!$C$1573)),-1000)</f>
        <v>21.5483870967742</v>
      </c>
      <c r="HK14">
        <f>IF(AND(CROQUIS_DATOS!$C$1472=1,1),CHOOSE(MIN(MAX($A14,1)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L14">
        <f>IF(AND(CROQUIS_DATOS!$C$1472=1,1),CHOOSE(MIN(MAX($A14,1),7),((CROQUIS_DATOS!$C$1574+(0)*CROQUIS_DATOS!$C$1573)-3)-0.7,((CROQUIS_DATOS!$C$1574+(0)*CROQUIS_DATOS!$C$1573)-3)+0.7,((CROQUIS_DATOS!$C$1574+(0)*CROQUIS_DATOS!$C$1573)-3),((CROQUIS_DATOS!$C$1574+(0)*CROQUIS_DATOS!$C$1573)-3),((CROQUIS_DATOS!$C$1574+(0)*CROQUIS_DATOS!$C$1573)-3),((CROQUIS_DATOS!$C$1574+(0)*CROQUIS_DATOS!$C$1573)-3)+0.7,((CROQUIS_DATOS!$C$1574+(0)*CROQUIS_DATOS!$C$1573)-3)-0.7),-1000)</f>
        <v>4.3</v>
      </c>
      <c r="HM14">
        <f>IF(AND(CROQUIS_DATOS!$C$1472=1,1),CHOOSE(MIN(MAX($A14,1),7),(CROQUIS_DATOS!$C$1576+(0)*CROQUIS_DATOS!$C$1573),(CROQUIS_DATOS!$C$1576+(0)*CROQUIS_DATOS!$C$1573),(CROQUIS_DATOS!$C$1576+(0)*CROQUIS_DATOS!$C$1573),((CROQUIS_DATOS!$C$1576+(0)*CROQUIS_DATOS!$C$1573)+(CROQUIS_DATOS!$C$1576+(CROQUIS_DATOS!$C$1527)*CROQUIS_DATOS!$C$1573))/2,(CROQUIS_DATOS!$C$1576+(CROQUIS_DATOS!$C$1527)*CROQUIS_DATOS!$C$1573),(CROQUIS_DATOS!$C$1576+(CROQUIS_DATOS!$C$1527)*CROQUIS_DATOS!$C$1573),(CROQUIS_DATOS!$C$1576+(CROQUIS_DATOS!$C$1527)*CROQUIS_DATOS!$C$1573)),-1000)</f>
        <v>25.5483870967742</v>
      </c>
      <c r="HR14">
        <f>IF(AND(CROQUIS_DATOS!$C$1472=1,1),CHOOSE(MIN(MAX($A14,1)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63.7132258064516</v>
      </c>
      <c r="HS14">
        <f>IF(AND(CROQUIS_DATOS!$C$1472=1,1),CHOOSE(MIN(MAX($A14,1)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25.3835483870968</v>
      </c>
      <c r="HT14">
        <f>IF(AND(CROQUIS_DATOS!$C$1472=1,1),IF($A14&lt;=DATOS!$C$69,CHOOSE(MIN(MAX($A14,1)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4">
        <f>IF(AND(CROQUIS_DATOS!$C$1472=1,1),IF($A14&lt;=DATOS!$C$69,CHOOSE(MIN(MAX($A14,1)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  <c r="HV14">
        <f>IF(AND(CROQUIS_DATOS!$C$1472=1,1),CHOOSE(MIN(MAX($A14,1),7),(CROQUIS_DATOS!$C$1575+(0)*CROQUIS_DATOS!$C$1573),(CROQUIS_DATOS!$C$1575+(0)*CROQUIS_DATOS!$C$1573),(CROQUIS_DATOS!$C$1575+(0)*CROQUIS_DATOS!$C$1573),((CROQUIS_DATOS!$C$1575+(0)*CROQUIS_DATOS!$C$1573)+(CROQUIS_DATOS!$C$1575+(CROQUIS_DATOS!$C$1529)*CROQUIS_DATOS!$C$1573))/2,(CROQUIS_DATOS!$C$1575+(CROQUIS_DATOS!$C$1529)*CROQUIS_DATOS!$C$1573),(CROQUIS_DATOS!$C$1575+(CROQUIS_DATOS!$C$1529)*CROQUIS_DATOS!$C$1573),(CROQUIS_DATOS!$C$1575+(CROQUIS_DATOS!$C$1529)*CROQUIS_DATOS!$C$1573)),-1000)</f>
        <v>75.741935483871</v>
      </c>
      <c r="HW14">
        <f>IF(AND(CROQUIS_DATOS!$C$1472=1,1),CHOOSE(MIN(MAX($A14,1),7),((CROQUIS_DATOS!$C$1576+(0)*CROQUIS_DATOS!$C$1573)-3)-0.9,((CROQUIS_DATOS!$C$1576+(0)*CROQUIS_DATOS!$C$1573)-3)+0.9,((CROQUIS_DATOS!$C$1576+(0)*CROQUIS_DATOS!$C$1573)-3),((CROQUIS_DATOS!$C$1576+(0)*CROQUIS_DATOS!$C$1573)-3),((CROQUIS_DATOS!$C$1576+(0)*CROQUIS_DATOS!$C$1573)-3),((CROQUIS_DATOS!$C$1576+(0)*CROQUIS_DATOS!$C$1573)-3)+0.9,((CROQUIS_DATOS!$C$1576+(0)*CROQUIS_DATOS!$C$1573)-3)-0.9),-1000)</f>
        <v>8.1</v>
      </c>
      <c r="HX14">
        <f>IF(AND(CROQUIS_DATOS!$C$1472=1,1),CHOOSE(MIN(MAX($A14,1),7),((CROQUIS_DATOS!$C$1575+(CROQUIS_DATOS!$C$1529)*CROQUIS_DATOS!$C$1573)+3)-0.7,((CROQUIS_DATOS!$C$1575+(CROQUIS_DATOS!$C$1529)*CROQUIS_DATOS!$C$1573)+3)+0.7,((CROQUIS_DATOS!$C$1575+(CROQUIS_DATOS!$C$1529)*CROQUIS_DATOS!$C$1573)+3),((CROQUIS_DATOS!$C$1575+(CROQUIS_DATOS!$C$1529)*CROQUIS_DATOS!$C$1573)+3),((CROQUIS_DATOS!$C$1575+(CROQUIS_DATOS!$C$1529)*CROQUIS_DATOS!$C$1573)+3),((CROQUIS_DATOS!$C$1575+(CROQUIS_DATOS!$C$1529)*CROQUIS_DATOS!$C$1573)+3)+0.7,((CROQUIS_DATOS!$C$1575+(CROQUIS_DATOS!$C$1529)*CROQUIS_DATOS!$C$1573)+3)-0.7),-1000)</f>
        <v>78.041935483871</v>
      </c>
      <c r="HY14">
        <f>IF(AND(CROQUIS_DATOS!$C$1472=1,1),CHOOSE(MIN(MAX($A14,1),7),(CROQUIS_DATOS!$C$1576+(0)*CROQUIS_DATOS!$C$1573),(CROQUIS_DATOS!$C$1576+(0)*CROQUIS_DATOS!$C$1573),(CROQUIS_DATOS!$C$1576+(0)*CROQUIS_DATOS!$C$1573),((CROQUIS_DATOS!$C$1576+(0)*CROQUIS_DATOS!$C$1573)+(CROQUIS_DATOS!$C$1576+(CROQUIS_DATOS!$C$1528)*CROQUIS_DATOS!$C$1573))/2,(CROQUIS_DATOS!$C$1576+(CROQUIS_DATOS!$C$1528)*CROQUIS_DATOS!$C$1573),(CROQUIS_DATOS!$C$1576+(CROQUIS_DATOS!$C$1528)*CROQUIS_DATOS!$C$1573),(CROQUIS_DATOS!$C$1576+(CROQUIS_DATOS!$C$1528)*CROQUIS_DATOS!$C$1573)),-1000)</f>
        <v>30.0645161290323</v>
      </c>
    </row>
    <row r="15">
      <c r="A15" t="n">
        <v>8</v>
      </c>
      <c r="B15" t="n">
        <v>8</v>
      </c>
      <c r="C15">
        <f>1+(B15&gt;CROQUIS_DATOS!$C$1520)+(B15&gt;CROQUIS_DATOS!$C$1521)+(B15&gt;CROQUIS_DATOS!$C$1522)+(B15&gt;CROQUIS_DATOS!$C$1523)</f>
        <v>5</v>
      </c>
      <c r="D15">
        <f>B15-CHOOSE(MIN(C15,5),0,CROQUIS_DATOS!$C$1520,CROQUIS_DATOS!$C$1521,CROQUIS_DATOS!$C$1522,CROQUIS_DATOS!$C$1523)</f>
        <v>2</v>
      </c>
      <c r="E15">
        <f>IF(G15=0,0,CHOOSE(MIN(C15,5),CROQUIS_DATOS!$C$1499,CROQUIS_DATOS!$C$1503,CROQUIS_DATOS!$C$1507,CROQUIS_DATOS!$C$1511,CROQUIS_DATOS!$C$1515)+IF(CHOOSE(MIN(C15,5),CROQUIS_DATOS!$C$1502,CROQUIS_DATOS!$C$1506,CROQUIS_DATOS!$C$1510,CROQUIS_DATOS!$C$1514,CROQUIS_DATOS!$C$1518)=1,CHOOSE(MIN(C15,5),CROQUIS_DATOS!$C$1500,CROQUIS_DATOS!$C$1504,CROQUIS_DATOS!$C$1508,CROQUIS_DATOS!$C$1512,CROQUIS_DATOS!$C$1516)/2,CROQUIS_DATOS!$C$1526/2+(D15-1)*(CHOOSE(MIN(C15,5),CROQUIS_DATOS!$C$1500,CROQUIS_DATOS!$C$1504,CROQUIS_DATOS!$C$1508,CROQUIS_DATOS!$C$1512,CROQUIS_DATOS!$C$1516)-CROQUIS_DATOS!$C$1526)/MAX(CHOOSE(MIN(C15,5),CROQUIS_DATOS!$C$1502,CROQUIS_DATOS!$C$1506,CROQUIS_DATOS!$C$1510,CROQUIS_DATOS!$C$1514,CROQUIS_DATOS!$C$1518)-1,1)))</f>
        <v>0</v>
      </c>
      <c r="F15">
        <f>IF(G15=0,0,IF(CHOOSE(MIN(C15,5),CROQUIS_DATOS!$C$1502,CROQUIS_DATOS!$C$1506,CROQUIS_DATOS!$C$1510,CROQUIS_DATOS!$C$1514,CROQUIS_DATOS!$C$1518)=1,MIN(CROQUIS_DATOS!$C$1526,CHOOSE(MIN(C15,5),CROQUIS_DATOS!$C$1500,CROQUIS_DATOS!$C$1504,CROQUIS_DATOS!$C$1508,CROQUIS_DATOS!$C$1512,CROQUIS_DATOS!$C$1516)),CROQUIS_DATOS!$C$1526))</f>
        <v>0</v>
      </c>
      <c r="G15">
        <f>IF(AND(CROQUIS_DATOS!$C$1472=1,B15&lt;=CROQUIS_DATOS!$C$1525),1,0)</f>
        <v>0</v>
      </c>
      <c r="H15">
        <f>IF(8&lt;=CROQUIS_DATOS!$C$1539,8*CROQUIS_DATOS!$C$1536,IF(8&lt;=CROQUIS_DATOS!$C$1539+CROQUIS_DATOS!$C$1540,CROQUIS_DATOS!$C$1539*CROQUIS_DATOS!$C$1536+(8-CROQUIS_DATOS!$C$1539)*(CROQUIS_DATOS!$C$1476-2*CROQUIS_DATOS!$C$1539*CROQUIS_DATOS!$C$1536)/(CROQUIS_DATOS!$C$1540+1),CROQUIS_DATOS!$C$1476-(2*CROQUIS_DATOS!$C$1539+CROQUIS_DATOS!$C$1540+1-8)*CROQUIS_DATOS!$C$1536))</f>
        <v>95.8333333333333</v>
      </c>
      <c r="I15">
        <f>IF(AND(CROQUIS_DATOS!$C$1544=1,E15&gt;=CROQUIS_DATOS!$C$1549-1,E15&lt;=CROQUIS_DATOS!$C$1550+1),CROQUIS_DATOS!$C$1554,CROQUIS_DATOS!$C$1552)</f>
        <v>-16.8885</v>
      </c>
      <c r="J15">
        <f>IF(AND(CROQUIS_DATOS!$C$1472=1,1),(CROQUIS_DATOS!$C$1563+(CHOOSE(MIN(MAX(IF(INT(($A15-1)/4)+1&gt;CROQUIS_DATOS!$C$1525,4,MOD($A15-1,4)+1),1),4),(INDEX($E$8:$E$23,MIN(INT(($A15-1)/4)+1,CROQUIS_DATOS!$C$1525))-INDEX($F$8:$F$23,MIN(INT(($A15-1)/4)+1,CROQUIS_DATOS!$C$1525))/2),(INDEX($E$8:$E$23,MIN(INT(($A15-1)/4)+1,CROQUIS_DATOS!$C$1525))-INDEX($F$8:$F$23,MIN(INT(($A15-1)/4)+1,CROQUIS_DATOS!$C$1525))/2),(INDEX($E$8:$E$23,MIN(INT(($A15-1)/4)+1,CROQUIS_DATOS!$C$1525))+INDEX($F$8:$F$23,MIN(INT(($A15-1)/4)+1,CROQUIS_DATOS!$C$1525))/2),(INDEX($E$8:$E$23,MIN(INT(($A15-1)/4)+1,CROQUIS_DATOS!$C$1525))+INDEX($F$8:$F$23,MIN(INT(($A15-1)/4)+1,CROQUIS_DATOS!$C$1525))/2)))*CROQUIS_DATOS!$C$1562),-1000)</f>
        <v>20.6724137931034</v>
      </c>
      <c r="K15">
        <f>IF(AND(CROQUIS_DATOS!$C$1472=1,1),(CROQUIS_DATOS!$C$1564+(CHOOSE(MIN(MAX(IF(INT(($A15-1)/4)+1&gt;CROQUIS_DATOS!$C$1525,4,MOD($A15-1,4)+1),1),4),0,CROQUIS_DATOS!$C$1476,CROQUIS_DATOS!$C$1476,0))*CROQUIS_DATOS!$C$1561*CROQUIS_DATOS!$C$1562),-1000)</f>
        <v>5.29310344827586</v>
      </c>
      <c r="L15">
        <f>IF(AND(CROQUIS_DATOS!$C$1472=1,1),(CROQUIS_DATOS!$C$1563+(CHOOSE(MIN(MAX(IF(INT(($A15-1)/4)+1&gt;CROQUIS_DATOS!$C$1525,4,MOD($A15-1,4)+1),1),4),((INDEX($E$8:$E$23,MIN(INT(($A15-1)/4)+1,CROQUIS_DATOS!$C$1525))-INDEX($F$8:$F$23,MIN(INT(($A15-1)/4)+1,CROQUIS_DATOS!$C$1525))/2)+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,((INDEX($E$8:$E$23,MIN(INT(($A15-1)/4)+1,CROQUIS_DATOS!$C$1525))-INDEX($F$8:$F$23,MIN(INT(($A15-1)/4)+1,CROQUIS_DATOS!$C$1525))/2)+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,((INDEX($E$8:$E$23,MIN(INT(($A15-1)/4)+1,CROQUIS_DATOS!$C$1525))+INDEX($F$8:$F$23,MIN(INT(($A15-1)/4)+1,CROQUIS_DATOS!$C$1525))/2)-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,((INDEX($E$8:$E$23,MIN(INT(($A15-1)/4)+1,CROQUIS_DATOS!$C$1525))+INDEX($F$8:$F$23,MIN(INT(($A15-1)/4)+1,CROQUIS_DATOS!$C$1525))/2)-MIN((CROQUIS_DATOS!$C$1530+CROQUIS_DATOS!$C$1532+IF(OR(MIN(INT(($A15-1)/4)+1,CROQUIS_DATOS!$C$1525)=1,MIN(INT(($A15-1)/4)+1,CROQUIS_DATOS!$C$1525)=CROQUIS_DATOS!$C$1525),CROQUIS_DATOS!$C$1534,CROQUIS_DATOS!$C$1531)/2),INDEX($F$8:$F$23,MIN(INT(($A15-1)/4)+1,CROQUIS_DATOS!$C$1525))/2-0.5))))*CROQUIS_DATOS!$C$1562),-1000)</f>
        <v>20.2378767241379</v>
      </c>
      <c r="M15">
        <f>IF(AND(CROQUIS_DATOS!$C$1472=1,1),(CROQUIS_DATOS!$C$1564+(CHOOSE(MIN(MAX(IF(INT(($A15-1)/4)+1&gt;CROQUIS_DATOS!$C$1525,4,MOD($A15-1,4)+1),1),4),CROQUIS_DATOS!$C$1543,INDEX($I$8:$I$23,MIN(INT(($A15-1)/4)+1,CROQUIS_DATOS!$C$1525)),INDEX($I$8:$I$23,MIN(INT(($A15-1)/4)+1,CROQUIS_DATOS!$C$1525)),CROQUIS_DATOS!$C$1543))*CROQUIS_DATOS!$C$1561*CROQUIS_DATOS!$C$1562),-1000)</f>
        <v>42.5654629310345</v>
      </c>
      <c r="N15">
        <f>IF(AND(CROQUIS_DATOS!$C$1472=1,1),(CROQUIS_DATOS!$C$1563+(IF(IF(IF(INT(($A15-1)/70)+1&gt;CROQUIS_DATOS!$C$1525,70,MOD($A15-1,70)+1)=1,0,IF(IF(INT(($A15-1)/70)+1&gt;CROQUIS_DATOS!$C$1525,70,MOD($A15-1,70)+1)&gt;2*CROQUIS_DATOS!$C$1541+1,IF(MOD(CROQUIS_DATOS!$C$1541,2)=1,1,0),IF(MOD(MIN(INT((IF(INT(($A15-1)/70)+1&gt;CROQUIS_DATOS!$C$1525,70,MOD($A15-1,70)+1)-2)/2)+1,CROQUIS_DATOS!$C$1541),2)=1,IF(MOD(IF(INT(($A15-1)/70)+1&gt;CROQUIS_DATOS!$C$1525,70,MOD($A15-1,70)+1)-2,2)=0,0,1),IF(MOD(IF(INT(($A15-1)/70)+1&gt;CROQUIS_DATOS!$C$1525,70,MOD($A15-1,70)+1)-2,2)=0,1,0))))=0,(INDEX($E$8:$E$23,MIN(INT(($A15-1)/70)+1,CROQUIS_DATOS!$C$1525))-INDEX($F$8:$F$23,MIN(INT(($A15-1)/70)+1,CROQUIS_DATOS!$C$1525))/2),(INDEX($E$8:$E$23,MIN(INT(($A15-1)/70)+1,CROQUIS_DATOS!$C$1525))+INDEX($F$8:$F$23,MIN(INT(($A15-1)/70)+1,CROQUIS_DATOS!$C$1525))/2)))*CROQUIS_DATOS!$C$1562),-1000)</f>
        <v>17.1810344827586</v>
      </c>
      <c r="O15">
        <f>IF(AND(CROQUIS_DATOS!$C$1472=1,1),(CROQUIS_DATOS!$C$1564+(IF(OR(IF(INT(($A15-1)/70)+1&gt;CROQUIS_DATOS!$C$1525,70,MOD($A15-1,70)+1)=1,IF(INT(($A15-1)/70)+1&gt;CROQUIS_DATOS!$C$1525,70,MOD($A15-1,70)+1)&gt;2*CROQUIS_DATOS!$C$1541+1),CROQUIS_DATOS!$C$1476,INDEX($H$8:$H$41,MIN(INT((IF(INT(($A15-1)/70)+1&gt;CROQUIS_DATOS!$C$1525,70,MOD($A15-1,70)+1)-2)/2)+1,CROQUIS_DATOS!$C$1541))))*CROQUIS_DATOS!$C$1561*CROQUIS_DATOS!$C$1562),-1000)</f>
        <v>9.48275862068966</v>
      </c>
      <c r="P15">
        <f>IF(AND(CROQUIS_DATOS!$C$1472=1,CROQUIS_DATOS!$C$1555=1),(CROQUIS_DATOS!$C$1563+(IF(IF(OR(MOD($A15-1,62)+1=1,IF(CHOOSE(MIN(MAX(MIN(INT(($A15-1)/62)+1,5),1),5),CROQUIS_DATOS!$C$1501,CROQUIS_DATOS!$C$1505,CROQUIS_DATOS!$C$1509,CROQUIS_DATOS!$C$1513,CROQUIS_DATOS!$C$1517)=1,CROQUIS_DATOS!$C$1557,0)=0),0,IF(MOD($A15-1,62)+1&gt;2*IF(CHOOSE(MIN(MAX(MIN(INT(($A15-1)/62)+1,5),1),5),CROQUIS_DATOS!$C$1501,CROQUIS_DATOS!$C$1505,CROQUIS_DATOS!$C$1509,CROQUIS_DATOS!$C$1513,CROQUIS_DATOS!$C$1517)=1,CROQUIS_DATOS!$C$1557,0)+1,IF(MOD(IF(CHOOSE(MIN(MAX(MIN(INT(($A15-1)/62)+1,5),1),5),CROQUIS_DATOS!$C$1501,CROQUIS_DATOS!$C$1505,CROQUIS_DATOS!$C$1509,CROQUIS_DATOS!$C$1513,CROQUIS_DATOS!$C$1517)=1,CROQUIS_DATOS!$C$1557,0),2)=1,1,0),IF(MOD(MIN(INT((MOD($A15-1,62)+1-2)/2)+1,MAX(IF(CHOOSE(MIN(MAX(MIN(INT(($A15-1)/62)+1,5),1),5),CROQUIS_DATOS!$C$1501,CROQUIS_DATOS!$C$1505,CROQUIS_DATOS!$C$1509,CROQUIS_DATOS!$C$1513,CROQUIS_DATOS!$C$1517)=1,CROQUIS_DATOS!$C$1557,0),1)),2)=1,IF(MOD(MOD($A15-1,62)+1-2,2)=0,0,1),IF(MOD(MOD($A15-1,62)+1-2,2)=0,1,0))))=0,(CHOOSE(MIN(MAX(MIN(INT(($A15-1)/62)+1,5),1),5),CROQUIS_DATOS!$C$1499,CROQUIS_DATOS!$C$1503,CROQUIS_DATOS!$C$1507,CROQUIS_DATOS!$C$1511,CROQUIS_DATOS!$C$1515)+IF(CHOOSE(MIN(MAX(MIN(INT(($A15-1)/62)+1,5),1),5),CROQUIS_DATOS!$C$1501,CROQUIS_DATOS!$C$1505,CROQUIS_DATOS!$C$1509,CROQUIS_DATOS!$C$1513,CROQUIS_DATOS!$C$1517)=1,CROQUIS_DATOS!$C$1526,0)),(CHOOSE(MIN(MAX(MIN(INT(($A15-1)/62)+1,5),1),5),CROQUIS_DATOS!$C$1499,CROQUIS_DATOS!$C$1503,CROQUIS_DATOS!$C$1507,CROQUIS_DATOS!$C$1511,CROQUIS_DATOS!$C$1515)+CHOOSE(MIN(MAX(MIN(INT(($A15-1)/62)+1,5),1),5),CROQUIS_DATOS!$C$1500,CROQUIS_DATOS!$C$1504,CROQUIS_DATOS!$C$1508,CROQUIS_DATOS!$C$1512,CROQUIS_DATOS!$C$1516)-IF(CHOOSE(MIN(MAX(MIN(INT(($A15-1)/62)+1,5),1),5),CROQUIS_DATOS!$C$1501,CROQUIS_DATOS!$C$1505,CROQUIS_DATOS!$C$1509,CROQUIS_DATOS!$C$1513,CROQUIS_DATOS!$C$1517)=1,CROQUIS_DATOS!$C$1526,0))))*CROQUIS_DATOS!$C$1562),-1000)</f>
        <v>-1000</v>
      </c>
      <c r="Q15">
        <f>IF(AND(CROQUIS_DATOS!$C$1472=1,CROQUIS_DATOS!$C$1555=1),(CROQUIS_DATOS!$C$1564+(IF(OR(OR(MOD($A15-1,62)+1=1,IF(CHOOSE(MIN(MAX(MIN(INT(($A15-1)/62)+1,5),1),5),CROQUIS_DATOS!$C$1501,CROQUIS_DATOS!$C$1505,CROQUIS_DATOS!$C$1509,CROQUIS_DATOS!$C$1513,CROQUIS_DATOS!$C$1517)=1,CROQUIS_DATOS!$C$1557,0)=0),MOD($A15-1,62)+1&gt;2*IF(CHOOSE(MIN(MAX(MIN(INT(($A15-1)/62)+1,5),1),5),CROQUIS_DATOS!$C$1501,CROQUIS_DATOS!$C$1505,CROQUIS_DATOS!$C$1509,CROQUIS_DATOS!$C$1513,CROQUIS_DATOS!$C$1517)=1,CROQUIS_DATOS!$C$1557,0)+1),CROQUIS_DATOS!$C$1476,MIN(INT((MOD($A15-1,62)+1-2)/2)+1,MAX(IF(CHOOSE(MIN(MAX(MIN(INT(($A15-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">
        <f>IF(AND(CROQUIS_DATOS!$C$1472=1,1),(CROQUIS_DATOS!$C$1563+(MIN(INT(($A15-1)/2)+1,CROQUIS_DATOS!$C$1558)*CROQUIS_DATOS!$C$1559)*CROQUIS_DATOS!$C$1562),-1000)</f>
        <v>25.8289124668435</v>
      </c>
      <c r="U15">
        <f>IF(AND(CROQUIS_DATOS!$C$1472=1,1),(CROQUIS_DATOS!$C$1564+(IF(INT(($A15-1)/2)+1&gt;CROQUIS_DATOS!$C$1558,IF(MOD(CROQUIS_DATOS!$C$1558,2)=1,CROQUIS_DATOS!$C$1476+CROQUIS_DATOS!$C$1528,CROQUIS_DATOS!$C$1476),IF(IF(MOD(MIN(INT(($A15-1)/2)+1,CROQUIS_DATOS!$C$1558),2)=1,MOD($A15-1,2),1-MOD($A15-1,2))=1,CROQUIS_DATOS!$C$1476+CROQUIS_DATOS!$C$1528,CROQUIS_DATOS!$C$1476)))*CROQUIS_DATOS!$C$1561*CROQUIS_DATOS!$C$1562),-1000)</f>
        <v>40.2068965517241</v>
      </c>
      <c r="BZ15">
        <f>IF(AND(CROQUIS_DATOS!$C$1472=1,CROQUIS_DATOS!$C$1500&gt;0,((CROQUIS_DATOS!$C$1499+CROQUIS_DATOS!$C$1500))-(CROQUIS_DATOS!$C$1499)&gt;0.5,(CROQUIS_DATOS!$C$1476)-(0)&gt;0.5),(CROQUIS_DATOS!$C$1566+(IF(IF(MOD(MIN(INT(($A15-1)/2)+1,MAX(1,INT(((((CROQUIS_DATOS!$C$1499+CROQUIS_DATOS!$C$1500))-(CROQUIS_DATOS!$C$1499))+((CROQUIS_DATOS!$C$1476)*CROQUIS_DATOS!$C$1561-(0)*CROQUIS_DATOS!$C$1561))/CROQUIS_DATOS!$C$1568-0.000001))),2)=1,IF(INT(($A15-1)/2)+1&gt;MAX(1,INT(((((CROQUIS_DATOS!$C$1499+CROQUIS_DATOS!$C$1500))-(CROQUIS_DATOS!$C$1499))+((CROQUIS_DATOS!$C$1476)*CROQUIS_DATOS!$C$1561-(0)*CROQUIS_DATOS!$C$1561))/CROQUIS_DATOS!$C$1568-0.000001)),1,MOD($A15-1,2)),1-IF(INT(($A15-1)/2)+1&gt;MAX(1,INT(((((CROQUIS_DATOS!$C$1499+CROQUIS_DATOS!$C$1500))-(CROQUIS_DATOS!$C$1499))+((CROQUIS_DATOS!$C$1476)*CROQUIS_DATOS!$C$1561-(0)*CROQUIS_DATOS!$C$1561))/CROQUIS_DATOS!$C$1568-0.000001)),1,MOD($A15-1,2)))=1,MIN((CROQUIS_DATOS!$C$1476)*CROQUIS_DATOS!$C$1561,((CROQUIS_DATOS!$C$1499+CROQUIS_DATOS!$C$1500)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15">
        <f>IF(AND(CROQUIS_DATOS!$C$1472=1,CROQUIS_DATOS!$C$1500&gt;0,((CROQUIS_DATOS!$C$1499+CROQUIS_DATOS!$C$1500))-(CROQUIS_DATOS!$C$1499)&gt;0.5,(CROQUIS_DATOS!$C$1476)-(0)&gt;0.5),(CROQUIS_DATOS!$C$1567+(IF(IF(MOD(MIN(INT(($A15-1)/2)+1,MAX(1,INT(((((CROQUIS_DATOS!$C$1499+CROQUIS_DATOS!$C$1500))-(CROQUIS_DATOS!$C$1499))+((CROQUIS_DATOS!$C$1476)*CROQUIS_DATOS!$C$1561-(0)*CROQUIS_DATOS!$C$1561))/CROQUIS_DATOS!$C$1568-0.000001))),2)=1,IF(INT(($A15-1)/2)+1&gt;MAX(1,INT(((((CROQUIS_DATOS!$C$1499+CROQUIS_DATOS!$C$1500))-(CROQUIS_DATOS!$C$1499))+((CROQUIS_DATOS!$C$1476)*CROQUIS_DATOS!$C$1561-(0)*CROQUIS_DATOS!$C$1561))/CROQUIS_DATOS!$C$1568-0.000001)),1,MOD($A15-1,2)),1-IF(INT(($A15-1)/2)+1&gt;MAX(1,INT(((((CROQUIS_DATOS!$C$1499+CROQUIS_DATOS!$C$1500))-(CROQUIS_DATOS!$C$1499))+((CROQUIS_DATOS!$C$1476)*CROQUIS_DATOS!$C$1561-(0)*CROQUIS_DATOS!$C$1561))/CROQUIS_DATOS!$C$1568-0.000001)),1,MOD($A15-1,2)))=1,MIN((CROQUIS_DATOS!$C$1476)*CROQUIS_DATOS!$C$1561,((CROQUIS_DATOS!$C$1499+CROQUIS_DATOS!$C$1500)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15-1)/2)+1,MAX(1,INT(((((CROQUIS_DATOS!$C$1499+CROQUIS_DATOS!$C$1500))-(CROQUIS_DATOS!$C$1499))+((CROQUIS_DATOS!$C$1476)*CROQUIS_DATOS!$C$1561-(0)*CROQUIS_DATOS!$C$1561))/CROQUIS_DATOS!$C$1568-0.000001)))*CROQUIS_DATOS!$C$1568))))*CROQUIS_DATOS!$C$1565),-1000)</f>
        <v>32.4620689655172</v>
      </c>
      <c r="CB15">
        <f>IF(AND(CROQUIS_DATOS!$C$1472=1,CROQUIS_DATOS!$C$1504&gt;0,((CROQUIS_DATOS!$C$1503+CROQUIS_DATOS!$C$1504))-(CROQUIS_DATOS!$C$1503)&gt;0.5,(CROQUIS_DATOS!$C$1476)-(0)&gt;0.5),(CROQUIS_DATOS!$C$1566+(IF(IF(MOD(MIN(INT(($A15-1)/2)+1,MAX(1,INT(((((CROQUIS_DATOS!$C$1503+CROQUIS_DATOS!$C$1504))-(CROQUIS_DATOS!$C$1503))+((CROQUIS_DATOS!$C$1476)*CROQUIS_DATOS!$C$1561-(0)*CROQUIS_DATOS!$C$1561))/CROQUIS_DATOS!$C$1568-0.000001))),2)=1,IF(INT(($A15-1)/2)+1&gt;MAX(1,INT(((((CROQUIS_DATOS!$C$1503+CROQUIS_DATOS!$C$1504))-(CROQUIS_DATOS!$C$1503))+((CROQUIS_DATOS!$C$1476)*CROQUIS_DATOS!$C$1561-(0)*CROQUIS_DATOS!$C$1561))/CROQUIS_DATOS!$C$1568-0.000001)),1,MOD($A15-1,2)),1-IF(INT(($A15-1)/2)+1&gt;MAX(1,INT(((((CROQUIS_DATOS!$C$1503+CROQUIS_DATOS!$C$1504))-(CROQUIS_DATOS!$C$1503))+((CROQUIS_DATOS!$C$1476)*CROQUIS_DATOS!$C$1561-(0)*CROQUIS_DATOS!$C$1561))/CROQUIS_DATOS!$C$1568-0.000001)),1,MOD($A15-1,2)))=1,MIN((CROQUIS_DATOS!$C$1476)*CROQUIS_DATOS!$C$1561,((CROQUIS_DATOS!$C$1503+CROQUIS_DATOS!$C$1504)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15">
        <f>IF(AND(CROQUIS_DATOS!$C$1472=1,CROQUIS_DATOS!$C$1504&gt;0,((CROQUIS_DATOS!$C$1503+CROQUIS_DATOS!$C$1504))-(CROQUIS_DATOS!$C$1503)&gt;0.5,(CROQUIS_DATOS!$C$1476)-(0)&gt;0.5),(CROQUIS_DATOS!$C$1567+(IF(IF(MOD(MIN(INT(($A15-1)/2)+1,MAX(1,INT(((((CROQUIS_DATOS!$C$1503+CROQUIS_DATOS!$C$1504))-(CROQUIS_DATOS!$C$1503))+((CROQUIS_DATOS!$C$1476)*CROQUIS_DATOS!$C$1561-(0)*CROQUIS_DATOS!$C$1561))/CROQUIS_DATOS!$C$1568-0.000001))),2)=1,IF(INT(($A15-1)/2)+1&gt;MAX(1,INT(((((CROQUIS_DATOS!$C$1503+CROQUIS_DATOS!$C$1504))-(CROQUIS_DATOS!$C$1503))+((CROQUIS_DATOS!$C$1476)*CROQUIS_DATOS!$C$1561-(0)*CROQUIS_DATOS!$C$1561))/CROQUIS_DATOS!$C$1568-0.000001)),1,MOD($A15-1,2)),1-IF(INT(($A15-1)/2)+1&gt;MAX(1,INT(((((CROQUIS_DATOS!$C$1503+CROQUIS_DATOS!$C$1504))-(CROQUIS_DATOS!$C$1503))+((CROQUIS_DATOS!$C$1476)*CROQUIS_DATOS!$C$1561-(0)*CROQUIS_DATOS!$C$1561))/CROQUIS_DATOS!$C$1568-0.000001)),1,MOD($A15-1,2)))=1,MIN((CROQUIS_DATOS!$C$1476)*CROQUIS_DATOS!$C$1561,((CROQUIS_DATOS!$C$1503+CROQUIS_DATOS!$C$1504)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15-1)/2)+1,MAX(1,INT(((((CROQUIS_DATOS!$C$1503+CROQUIS_DATOS!$C$1504))-(CROQUIS_DATOS!$C$1503))+((CROQUIS_DATOS!$C$1476)*CROQUIS_DATOS!$C$1561-(0)*CROQUIS_DATOS!$C$1561))/CROQUIS_DATOS!$C$1568-0.000001)))*CROQUIS_DATOS!$C$1568))))*CROQUIS_DATOS!$C$1565),-1000)</f>
        <v>32.4620689655172</v>
      </c>
      <c r="CD15">
        <f>IF(AND(CROQUIS_DATOS!$C$1472=1,CROQUIS_DATOS!$C$1508&gt;0,((CROQUIS_DATOS!$C$1507+CROQUIS_DATOS!$C$1508))-(CROQUIS_DATOS!$C$1507)&gt;0.5,(CROQUIS_DATOS!$C$1476)-(0)&gt;0.5),(CROQUIS_DATOS!$C$1566+(IF(IF(MOD(MIN(INT(($A15-1)/2)+1,MAX(1,INT(((((CROQUIS_DATOS!$C$1507+CROQUIS_DATOS!$C$1508))-(CROQUIS_DATOS!$C$1507))+((CROQUIS_DATOS!$C$1476)*CROQUIS_DATOS!$C$1561-(0)*CROQUIS_DATOS!$C$1561))/CROQUIS_DATOS!$C$1568-0.000001))),2)=1,IF(INT(($A15-1)/2)+1&gt;MAX(1,INT(((((CROQUIS_DATOS!$C$1507+CROQUIS_DATOS!$C$1508))-(CROQUIS_DATOS!$C$1507))+((CROQUIS_DATOS!$C$1476)*CROQUIS_DATOS!$C$1561-(0)*CROQUIS_DATOS!$C$1561))/CROQUIS_DATOS!$C$1568-0.000001)),1,MOD($A15-1,2)),1-IF(INT(($A15-1)/2)+1&gt;MAX(1,INT(((((CROQUIS_DATOS!$C$1507+CROQUIS_DATOS!$C$1508))-(CROQUIS_DATOS!$C$1507))+((CROQUIS_DATOS!$C$1476)*CROQUIS_DATOS!$C$1561-(0)*CROQUIS_DATOS!$C$1561))/CROQUIS_DATOS!$C$1568-0.000001)),1,MOD($A15-1,2)))=1,MIN((CROQUIS_DATOS!$C$1476)*CROQUIS_DATOS!$C$1561,((CROQUIS_DATOS!$C$1507+CROQUIS_DATOS!$C$1508)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15">
        <f>IF(AND(CROQUIS_DATOS!$C$1472=1,CROQUIS_DATOS!$C$1508&gt;0,((CROQUIS_DATOS!$C$1507+CROQUIS_DATOS!$C$1508))-(CROQUIS_DATOS!$C$1507)&gt;0.5,(CROQUIS_DATOS!$C$1476)-(0)&gt;0.5),(CROQUIS_DATOS!$C$1567+(IF(IF(MOD(MIN(INT(($A15-1)/2)+1,MAX(1,INT(((((CROQUIS_DATOS!$C$1507+CROQUIS_DATOS!$C$1508))-(CROQUIS_DATOS!$C$1507))+((CROQUIS_DATOS!$C$1476)*CROQUIS_DATOS!$C$1561-(0)*CROQUIS_DATOS!$C$1561))/CROQUIS_DATOS!$C$1568-0.000001))),2)=1,IF(INT(($A15-1)/2)+1&gt;MAX(1,INT(((((CROQUIS_DATOS!$C$1507+CROQUIS_DATOS!$C$1508))-(CROQUIS_DATOS!$C$1507))+((CROQUIS_DATOS!$C$1476)*CROQUIS_DATOS!$C$1561-(0)*CROQUIS_DATOS!$C$1561))/CROQUIS_DATOS!$C$1568-0.000001)),1,MOD($A15-1,2)),1-IF(INT(($A15-1)/2)+1&gt;MAX(1,INT(((((CROQUIS_DATOS!$C$1507+CROQUIS_DATOS!$C$1508))-(CROQUIS_DATOS!$C$1507))+((CROQUIS_DATOS!$C$1476)*CROQUIS_DATOS!$C$1561-(0)*CROQUIS_DATOS!$C$1561))/CROQUIS_DATOS!$C$1568-0.000001)),1,MOD($A15-1,2)))=1,MIN((CROQUIS_DATOS!$C$1476)*CROQUIS_DATOS!$C$1561,((CROQUIS_DATOS!$C$1507+CROQUIS_DATOS!$C$1508)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15-1)/2)+1,MAX(1,INT(((((CROQUIS_DATOS!$C$1507+CROQUIS_DATOS!$C$1508))-(CROQUIS_DATOS!$C$1507))+((CROQUIS_DATOS!$C$1476)*CROQUIS_DATOS!$C$1561-(0)*CROQUIS_DATOS!$C$1561))/CROQUIS_DATOS!$C$1568-0.000001)))*CROQUIS_DATOS!$C$1568))))*CROQUIS_DATOS!$C$1565),-1000)</f>
        <v>32.4620689655172</v>
      </c>
      <c r="CF15">
        <f>IF(AND(CROQUIS_DATOS!$C$1472=1,CROQUIS_DATOS!$C$1512&gt;0,((CROQUIS_DATOS!$C$1511+CROQUIS_DATOS!$C$1512))-(CROQUIS_DATOS!$C$1511)&gt;0.5,(CROQUIS_DATOS!$C$1476)-(0)&gt;0.5),(CROQUIS_DATOS!$C$1566+(IF(IF(MOD(MIN(INT(($A15-1)/2)+1,MAX(1,INT(((((CROQUIS_DATOS!$C$1511+CROQUIS_DATOS!$C$1512))-(CROQUIS_DATOS!$C$1511))+((CROQUIS_DATOS!$C$1476)*CROQUIS_DATOS!$C$1561-(0)*CROQUIS_DATOS!$C$1561))/CROQUIS_DATOS!$C$1568-0.000001))),2)=1,IF(INT(($A15-1)/2)+1&gt;MAX(1,INT(((((CROQUIS_DATOS!$C$1511+CROQUIS_DATOS!$C$1512))-(CROQUIS_DATOS!$C$1511))+((CROQUIS_DATOS!$C$1476)*CROQUIS_DATOS!$C$1561-(0)*CROQUIS_DATOS!$C$1561))/CROQUIS_DATOS!$C$1568-0.000001)),1,MOD($A15-1,2)),1-IF(INT(($A15-1)/2)+1&gt;MAX(1,INT(((((CROQUIS_DATOS!$C$1511+CROQUIS_DATOS!$C$1512))-(CROQUIS_DATOS!$C$1511))+((CROQUIS_DATOS!$C$1476)*CROQUIS_DATOS!$C$1561-(0)*CROQUIS_DATOS!$C$1561))/CROQUIS_DATOS!$C$1568-0.000001)),1,MOD($A15-1,2)))=1,MIN((CROQUIS_DATOS!$C$1476)*CROQUIS_DATOS!$C$1561,((CROQUIS_DATOS!$C$1511+CROQUIS_DATOS!$C$1512)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5">
        <f>IF(AND(CROQUIS_DATOS!$C$1472=1,CROQUIS_DATOS!$C$1512&gt;0,((CROQUIS_DATOS!$C$1511+CROQUIS_DATOS!$C$1512))-(CROQUIS_DATOS!$C$1511)&gt;0.5,(CROQUIS_DATOS!$C$1476)-(0)&gt;0.5),(CROQUIS_DATOS!$C$1567+(IF(IF(MOD(MIN(INT(($A15-1)/2)+1,MAX(1,INT(((((CROQUIS_DATOS!$C$1511+CROQUIS_DATOS!$C$1512))-(CROQUIS_DATOS!$C$1511))+((CROQUIS_DATOS!$C$1476)*CROQUIS_DATOS!$C$1561-(0)*CROQUIS_DATOS!$C$1561))/CROQUIS_DATOS!$C$1568-0.000001))),2)=1,IF(INT(($A15-1)/2)+1&gt;MAX(1,INT(((((CROQUIS_DATOS!$C$1511+CROQUIS_DATOS!$C$1512))-(CROQUIS_DATOS!$C$1511))+((CROQUIS_DATOS!$C$1476)*CROQUIS_DATOS!$C$1561-(0)*CROQUIS_DATOS!$C$1561))/CROQUIS_DATOS!$C$1568-0.000001)),1,MOD($A15-1,2)),1-IF(INT(($A15-1)/2)+1&gt;MAX(1,INT(((((CROQUIS_DATOS!$C$1511+CROQUIS_DATOS!$C$1512))-(CROQUIS_DATOS!$C$1511))+((CROQUIS_DATOS!$C$1476)*CROQUIS_DATOS!$C$1561-(0)*CROQUIS_DATOS!$C$1561))/CROQUIS_DATOS!$C$1568-0.000001)),1,MOD($A15-1,2)))=1,MIN((CROQUIS_DATOS!$C$1476)*CROQUIS_DATOS!$C$1561,((CROQUIS_DATOS!$C$1511+CROQUIS_DATOS!$C$1512)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5">
        <f>IF(AND(CROQUIS_DATOS!$C$1472=1,CROQUIS_DATOS!$C$1516&gt;0,((CROQUIS_DATOS!$C$1515+CROQUIS_DATOS!$C$1516))-(CROQUIS_DATOS!$C$1515)&gt;0.5,(CROQUIS_DATOS!$C$1476)-(0)&gt;0.5),(CROQUIS_DATOS!$C$1566+(IF(IF(MOD(MIN(INT(($A15-1)/2)+1,MAX(1,INT(((((CROQUIS_DATOS!$C$1515+CROQUIS_DATOS!$C$1516))-(CROQUIS_DATOS!$C$1515))+((CROQUIS_DATOS!$C$1476)*CROQUIS_DATOS!$C$1561-(0)*CROQUIS_DATOS!$C$1561))/CROQUIS_DATOS!$C$1568-0.000001))),2)=1,IF(INT(($A15-1)/2)+1&gt;MAX(1,INT(((((CROQUIS_DATOS!$C$1515+CROQUIS_DATOS!$C$1516))-(CROQUIS_DATOS!$C$1515))+((CROQUIS_DATOS!$C$1476)*CROQUIS_DATOS!$C$1561-(0)*CROQUIS_DATOS!$C$1561))/CROQUIS_DATOS!$C$1568-0.000001)),1,MOD($A15-1,2)),1-IF(INT(($A15-1)/2)+1&gt;MAX(1,INT(((((CROQUIS_DATOS!$C$1515+CROQUIS_DATOS!$C$1516))-(CROQUIS_DATOS!$C$1515))+((CROQUIS_DATOS!$C$1476)*CROQUIS_DATOS!$C$1561-(0)*CROQUIS_DATOS!$C$1561))/CROQUIS_DATOS!$C$1568-0.000001)),1,MOD($A15-1,2)))=1,MIN((CROQUIS_DATOS!$C$1476)*CROQUIS_DATOS!$C$1561,((CROQUIS_DATOS!$C$1515+CROQUIS_DATOS!$C$1516)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5">
        <f>IF(AND(CROQUIS_DATOS!$C$1472=1,CROQUIS_DATOS!$C$1516&gt;0,((CROQUIS_DATOS!$C$1515+CROQUIS_DATOS!$C$1516))-(CROQUIS_DATOS!$C$1515)&gt;0.5,(CROQUIS_DATOS!$C$1476)-(0)&gt;0.5),(CROQUIS_DATOS!$C$1567+(IF(IF(MOD(MIN(INT(($A15-1)/2)+1,MAX(1,INT(((((CROQUIS_DATOS!$C$1515+CROQUIS_DATOS!$C$1516))-(CROQUIS_DATOS!$C$1515))+((CROQUIS_DATOS!$C$1476)*CROQUIS_DATOS!$C$1561-(0)*CROQUIS_DATOS!$C$1561))/CROQUIS_DATOS!$C$1568-0.000001))),2)=1,IF(INT(($A15-1)/2)+1&gt;MAX(1,INT(((((CROQUIS_DATOS!$C$1515+CROQUIS_DATOS!$C$1516))-(CROQUIS_DATOS!$C$1515))+((CROQUIS_DATOS!$C$1476)*CROQUIS_DATOS!$C$1561-(0)*CROQUIS_DATOS!$C$1561))/CROQUIS_DATOS!$C$1568-0.000001)),1,MOD($A15-1,2)),1-IF(INT(($A15-1)/2)+1&gt;MAX(1,INT(((((CROQUIS_DATOS!$C$1515+CROQUIS_DATOS!$C$1516))-(CROQUIS_DATOS!$C$1515))+((CROQUIS_DATOS!$C$1476)*CROQUIS_DATOS!$C$1561-(0)*CROQUIS_DATOS!$C$1561))/CROQUIS_DATOS!$C$1568-0.000001)),1,MOD($A15-1,2)))=1,MIN((CROQUIS_DATOS!$C$1476)*CROQUIS_DATOS!$C$1561,((CROQUIS_DATOS!$C$1515+CROQUIS_DATOS!$C$1516)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5">
        <f>IF(AND(CROQUIS_DATOS!$C$1472=1,CROQUIS_DATOS!$C$1478&gt;=1,((CROQUIS_DATOS!$C$1479+CROQUIS_DATOS!$C$1480))-(CROQUIS_DATOS!$C$1479)&gt;0.5,(CROQUIS_DATOS!$C$1481)-(0)&gt;0.5),(CROQUIS_DATOS!$C$1566+(IF(IF(MOD(MIN(INT(($A15-1)/2)+1,MAX(1,INT(((((CROQUIS_DATOS!$C$1479+CROQUIS_DATOS!$C$1480))-(CROQUIS_DATOS!$C$1479))+((CROQUIS_DATOS!$C$1481)*CROQUIS_DATOS!$C$1561-(0)*CROQUIS_DATOS!$C$1561))/CROQUIS_DATOS!$C$1568-0.000001))),2)=1,IF(INT(($A15-1)/2)+1&gt;MAX(1,INT(((((CROQUIS_DATOS!$C$1479+CROQUIS_DATOS!$C$1480))-(CROQUIS_DATOS!$C$1479))+((CROQUIS_DATOS!$C$1481)*CROQUIS_DATOS!$C$1561-(0)*CROQUIS_DATOS!$C$1561))/CROQUIS_DATOS!$C$1568-0.000001)),1,MOD($A15-1,2)),1-IF(INT(($A15-1)/2)+1&gt;MAX(1,INT(((((CROQUIS_DATOS!$C$1479+CROQUIS_DATOS!$C$1480))-(CROQUIS_DATOS!$C$1479))+((CROQUIS_DATOS!$C$1481)*CROQUIS_DATOS!$C$1561-(0)*CROQUIS_DATOS!$C$1561))/CROQUIS_DATOS!$C$1568-0.000001)),1,MOD($A15-1,2)))=1,MIN((CROQUIS_DATOS!$C$1481)*CROQUIS_DATOS!$C$1561,((CROQUIS_DATOS!$C$1479+CROQUIS_DATOS!$C$1480)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5">
        <f>IF(AND(CROQUIS_DATOS!$C$1472=1,CROQUIS_DATOS!$C$1478&gt;=1,((CROQUIS_DATOS!$C$1479+CROQUIS_DATOS!$C$1480))-(CROQUIS_DATOS!$C$1479)&gt;0.5,(CROQUIS_DATOS!$C$1481)-(0)&gt;0.5),(CROQUIS_DATOS!$C$1567+(IF(IF(MOD(MIN(INT(($A15-1)/2)+1,MAX(1,INT(((((CROQUIS_DATOS!$C$1479+CROQUIS_DATOS!$C$1480))-(CROQUIS_DATOS!$C$1479))+((CROQUIS_DATOS!$C$1481)*CROQUIS_DATOS!$C$1561-(0)*CROQUIS_DATOS!$C$1561))/CROQUIS_DATOS!$C$1568-0.000001))),2)=1,IF(INT(($A15-1)/2)+1&gt;MAX(1,INT(((((CROQUIS_DATOS!$C$1479+CROQUIS_DATOS!$C$1480))-(CROQUIS_DATOS!$C$1479))+((CROQUIS_DATOS!$C$1481)*CROQUIS_DATOS!$C$1561-(0)*CROQUIS_DATOS!$C$1561))/CROQUIS_DATOS!$C$1568-0.000001)),1,MOD($A15-1,2)),1-IF(INT(($A15-1)/2)+1&gt;MAX(1,INT(((((CROQUIS_DATOS!$C$1479+CROQUIS_DATOS!$C$1480))-(CROQUIS_DATOS!$C$1479))+((CROQUIS_DATOS!$C$1481)*CROQUIS_DATOS!$C$1561-(0)*CROQUIS_DATOS!$C$1561))/CROQUIS_DATOS!$C$1568-0.000001)),1,MOD($A15-1,2)))=1,MIN((CROQUIS_DATOS!$C$1481)*CROQUIS_DATOS!$C$1561,((CROQUIS_DATOS!$C$1479+CROQUIS_DATOS!$C$1480)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5">
        <f>IF(AND(CROQUIS_DATOS!$C$1472=1,CROQUIS_DATOS!$C$1478&gt;=1,((CROQUIS_DATOS!$C$1479+CROQUIS_DATOS!$C$1480))-(CROQUIS_DATOS!$C$1479)&gt;0.5,(CROQUIS_DATOS!$C$1476)-((CROQUIS_DATOS!$C$1481+CROQUIS_DATOS!$C$1482))&gt;0.5),(CROQUIS_DATOS!$C$1566+(IF(IF(MOD(MIN(INT(($A15-1)/2)+1,MAX(1,INT(((((CROQUIS_DATOS!$C$1479+CROQUIS_DATOS!$C$1480))-(CROQUIS_DATOS!$C$1479))+((CROQUIS_DATOS!$C$1476)*CROQUIS_DATOS!$C$1561-((CROQUIS_DATOS!$C$1481+CROQUIS_DATOS!$C$1482))*CROQUIS_DATOS!$C$1561))/CROQUIS_DATOS!$C$1568-0.000001))),2)=1,IF(INT(($A15-1)/2)+1&gt;MAX(1,INT(((((CROQUIS_DATOS!$C$1479+CROQUIS_DATOS!$C$1480))-(CROQUIS_DATOS!$C$1479))+((CROQUIS_DATOS!$C$1476)*CROQUIS_DATOS!$C$1561-((CROQUIS_DATOS!$C$1481+CROQUIS_DATOS!$C$1482))*CROQUIS_DATOS!$C$1561))/CROQUIS_DATOS!$C$1568-0.000001)),1,MOD($A15-1,2)),1-IF(INT(($A15-1)/2)+1&gt;MAX(1,INT(((((CROQUIS_DATOS!$C$1479+CROQUIS_DATOS!$C$1480))-(CROQUIS_DATOS!$C$1479))+((CROQUIS_DATOS!$C$1476)*CROQUIS_DATOS!$C$1561-((CROQUIS_DATOS!$C$1481+CROQUIS_DATOS!$C$1482))*CROQUIS_DATOS!$C$1561))/CROQUIS_DATOS!$C$1568-0.000001)),1,MOD($A15-1,2)))=1,MIN((CROQUIS_DATOS!$C$1476)*CROQUIS_DATOS!$C$1561,((CROQUIS_DATOS!$C$1479+CROQUIS_DATOS!$C$1480)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30.6758620689655</v>
      </c>
      <c r="CM15">
        <f>IF(AND(CROQUIS_DATOS!$C$1472=1,CROQUIS_DATOS!$C$1478&gt;=1,((CROQUIS_DATOS!$C$1479+CROQUIS_DATOS!$C$1480))-(CROQUIS_DATOS!$C$1479)&gt;0.5,(CROQUIS_DATOS!$C$1476)-((CROQUIS_DATOS!$C$1481+CROQUIS_DATOS!$C$1482))&gt;0.5),(CROQUIS_DATOS!$C$1567+(IF(IF(MOD(MIN(INT(($A15-1)/2)+1,MAX(1,INT(((((CROQUIS_DATOS!$C$1479+CROQUIS_DATOS!$C$1480))-(CROQUIS_DATOS!$C$1479))+((CROQUIS_DATOS!$C$1476)*CROQUIS_DATOS!$C$1561-((CROQUIS_DATOS!$C$1481+CROQUIS_DATOS!$C$1482))*CROQUIS_DATOS!$C$1561))/CROQUIS_DATOS!$C$1568-0.000001))),2)=1,IF(INT(($A15-1)/2)+1&gt;MAX(1,INT(((((CROQUIS_DATOS!$C$1479+CROQUIS_DATOS!$C$1480))-(CROQUIS_DATOS!$C$1479))+((CROQUIS_DATOS!$C$1476)*CROQUIS_DATOS!$C$1561-((CROQUIS_DATOS!$C$1481+CROQUIS_DATOS!$C$1482))*CROQUIS_DATOS!$C$1561))/CROQUIS_DATOS!$C$1568-0.000001)),1,MOD($A15-1,2)),1-IF(INT(($A15-1)/2)+1&gt;MAX(1,INT(((((CROQUIS_DATOS!$C$1479+CROQUIS_DATOS!$C$1480))-(CROQUIS_DATOS!$C$1479))+((CROQUIS_DATOS!$C$1476)*CROQUIS_DATOS!$C$1561-((CROQUIS_DATOS!$C$1481+CROQUIS_DATOS!$C$1482))*CROQUIS_DATOS!$C$1561))/CROQUIS_DATOS!$C$1568-0.000001)),1,MOD($A15-1,2)))=1,MIN((CROQUIS_DATOS!$C$1476)*CROQUIS_DATOS!$C$1561,((CROQUIS_DATOS!$C$1479+CROQUIS_DATOS!$C$1480)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5">
        <f>IF(AND(CROQUIS_DATOS!$C$1472=1,CROQUIS_DATOS!$C$1478&gt;=2,((CROQUIS_DATOS!$C$1484+CROQUIS_DATOS!$C$1485))-(CROQUIS_DATOS!$C$1484)&gt;0.5,(CROQUIS_DATOS!$C$1486)-(0)&gt;0.5),(CROQUIS_DATOS!$C$1566+(IF(IF(MOD(MIN(INT(($A15-1)/2)+1,MAX(1,INT(((((CROQUIS_DATOS!$C$1484+CROQUIS_DATOS!$C$1485))-(CROQUIS_DATOS!$C$1484))+((CROQUIS_DATOS!$C$1486)*CROQUIS_DATOS!$C$1561-(0)*CROQUIS_DATOS!$C$1561))/CROQUIS_DATOS!$C$1568-0.000001))),2)=1,IF(INT(($A15-1)/2)+1&gt;MAX(1,INT(((((CROQUIS_DATOS!$C$1484+CROQUIS_DATOS!$C$1485))-(CROQUIS_DATOS!$C$1484))+((CROQUIS_DATOS!$C$1486)*CROQUIS_DATOS!$C$1561-(0)*CROQUIS_DATOS!$C$1561))/CROQUIS_DATOS!$C$1568-0.000001)),1,MOD($A15-1,2)),1-IF(INT(($A15-1)/2)+1&gt;MAX(1,INT(((((CROQUIS_DATOS!$C$1484+CROQUIS_DATOS!$C$1485))-(CROQUIS_DATOS!$C$1484))+((CROQUIS_DATOS!$C$1486)*CROQUIS_DATOS!$C$1561-(0)*CROQUIS_DATOS!$C$1561))/CROQUIS_DATOS!$C$1568-0.000001)),1,MOD($A15-1,2)))=1,MIN((CROQUIS_DATOS!$C$1486)*CROQUIS_DATOS!$C$1561,((CROQUIS_DATOS!$C$1484+CROQUIS_DATOS!$C$1485)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*CROQUIS_DATOS!$C$1565),-1000)</f>
        <v>48.8620689655172</v>
      </c>
      <c r="CS15">
        <f>IF(AND(CROQUIS_DATOS!$C$1472=1,CROQUIS_DATOS!$C$1478&gt;=2,((CROQUIS_DATOS!$C$1484+CROQUIS_DATOS!$C$1485))-(CROQUIS_DATOS!$C$1484)&gt;0.5,(CROQUIS_DATOS!$C$1486)-(0)&gt;0.5),(CROQUIS_DATOS!$C$1567+(IF(IF(MOD(MIN(INT(($A15-1)/2)+1,MAX(1,INT(((((CROQUIS_DATOS!$C$1484+CROQUIS_DATOS!$C$1485))-(CROQUIS_DATOS!$C$1484))+((CROQUIS_DATOS!$C$1486)*CROQUIS_DATOS!$C$1561-(0)*CROQUIS_DATOS!$C$1561))/CROQUIS_DATOS!$C$1568-0.000001))),2)=1,IF(INT(($A15-1)/2)+1&gt;MAX(1,INT(((((CROQUIS_DATOS!$C$1484+CROQUIS_DATOS!$C$1485))-(CROQUIS_DATOS!$C$1484))+((CROQUIS_DATOS!$C$1486)*CROQUIS_DATOS!$C$1561-(0)*CROQUIS_DATOS!$C$1561))/CROQUIS_DATOS!$C$1568-0.000001)),1,MOD($A15-1,2)),1-IF(INT(($A15-1)/2)+1&gt;MAX(1,INT(((((CROQUIS_DATOS!$C$1484+CROQUIS_DATOS!$C$1485))-(CROQUIS_DATOS!$C$1484))+((CROQUIS_DATOS!$C$1486)*CROQUIS_DATOS!$C$1561-(0)*CROQUIS_DATOS!$C$1561))/CROQUIS_DATOS!$C$1568-0.000001)),1,MOD($A15-1,2)))=1,MIN((CROQUIS_DATOS!$C$1486)*CROQUIS_DATOS!$C$1561,((CROQUIS_DATOS!$C$1484+CROQUIS_DATOS!$C$1485)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15-1)/2)+1,MAX(1,INT(((((CROQUIS_DATOS!$C$1484+CROQUIS_DATOS!$C$1485))-(CROQUIS_DATOS!$C$1484))+((CROQUIS_DATOS!$C$1486)*CROQUIS_DATOS!$C$1561-(0)*CROQUIS_DATOS!$C$1561))/CROQUIS_DATOS!$C$1568-0.000001)))*CROQUIS_DATOS!$C$1568))))*CROQUIS_DATOS!$C$1565),-1000)</f>
        <v>15.3586206896552</v>
      </c>
      <c r="CT15">
        <f>IF(AND(CROQUIS_DATOS!$C$1472=1,CROQUIS_DATOS!$C$1478&gt;=2,((CROQUIS_DATOS!$C$1484+CROQUIS_DATOS!$C$1485))-(CROQUIS_DATOS!$C$1484)&gt;0.5,(CROQUIS_DATOS!$C$1476)-((CROQUIS_DATOS!$C$1486+CROQUIS_DATOS!$C$1487))&gt;0.5),(CROQUIS_DATOS!$C$1566+(IF(IF(MOD(MIN(INT(($A15-1)/2)+1,MAX(1,INT(((((CROQUIS_DATOS!$C$1484+CROQUIS_DATOS!$C$1485))-(CROQUIS_DATOS!$C$1484))+((CROQUIS_DATOS!$C$1476)*CROQUIS_DATOS!$C$1561-((CROQUIS_DATOS!$C$1486+CROQUIS_DATOS!$C$1487))*CROQUIS_DATOS!$C$1561))/CROQUIS_DATOS!$C$1568-0.000001))),2)=1,IF(INT(($A15-1)/2)+1&gt;MAX(1,INT(((((CROQUIS_DATOS!$C$1484+CROQUIS_DATOS!$C$1485))-(CROQUIS_DATOS!$C$1484))+((CROQUIS_DATOS!$C$1476)*CROQUIS_DATOS!$C$1561-((CROQUIS_DATOS!$C$1486+CROQUIS_DATOS!$C$1487))*CROQUIS_DATOS!$C$1561))/CROQUIS_DATOS!$C$1568-0.000001)),1,MOD($A15-1,2)),1-IF(INT(($A15-1)/2)+1&gt;MAX(1,INT(((((CROQUIS_DATOS!$C$1484+CROQUIS_DATOS!$C$1485))-(CROQUIS_DATOS!$C$1484))+((CROQUIS_DATOS!$C$1476)*CROQUIS_DATOS!$C$1561-((CROQUIS_DATOS!$C$1486+CROQUIS_DATOS!$C$1487))*CROQUIS_DATOS!$C$1561))/CROQUIS_DATOS!$C$1568-0.000001)),1,MOD($A15-1,2)))=1,MIN((CROQUIS_DATOS!$C$1476)*CROQUIS_DATOS!$C$1561,((CROQUIS_DATOS!$C$1484+CROQUIS_DATOS!$C$1485)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50.9862068965517</v>
      </c>
      <c r="CU15">
        <f>IF(AND(CROQUIS_DATOS!$C$1472=1,CROQUIS_DATOS!$C$1478&gt;=2,((CROQUIS_DATOS!$C$1484+CROQUIS_DATOS!$C$1485))-(CROQUIS_DATOS!$C$1484)&gt;0.5,(CROQUIS_DATOS!$C$1476)-((CROQUIS_DATOS!$C$1486+CROQUIS_DATOS!$C$1487))&gt;0.5),(CROQUIS_DATOS!$C$1567+(IF(IF(MOD(MIN(INT(($A15-1)/2)+1,MAX(1,INT(((((CROQUIS_DATOS!$C$1484+CROQUIS_DATOS!$C$1485))-(CROQUIS_DATOS!$C$1484))+((CROQUIS_DATOS!$C$1476)*CROQUIS_DATOS!$C$1561-((CROQUIS_DATOS!$C$1486+CROQUIS_DATOS!$C$1487))*CROQUIS_DATOS!$C$1561))/CROQUIS_DATOS!$C$1568-0.000001))),2)=1,IF(INT(($A15-1)/2)+1&gt;MAX(1,INT(((((CROQUIS_DATOS!$C$1484+CROQUIS_DATOS!$C$1485))-(CROQUIS_DATOS!$C$1484))+((CROQUIS_DATOS!$C$1476)*CROQUIS_DATOS!$C$1561-((CROQUIS_DATOS!$C$1486+CROQUIS_DATOS!$C$1487))*CROQUIS_DATOS!$C$1561))/CROQUIS_DATOS!$C$1568-0.000001)),1,MOD($A15-1,2)),1-IF(INT(($A15-1)/2)+1&gt;MAX(1,INT(((((CROQUIS_DATOS!$C$1484+CROQUIS_DATOS!$C$1485))-(CROQUIS_DATOS!$C$1484))+((CROQUIS_DATOS!$C$1476)*CROQUIS_DATOS!$C$1561-((CROQUIS_DATOS!$C$1486+CROQUIS_DATOS!$C$1487))*CROQUIS_DATOS!$C$1561))/CROQUIS_DATOS!$C$1568-0.000001)),1,MOD($A15-1,2)))=1,MIN((CROQUIS_DATOS!$C$1476)*CROQUIS_DATOS!$C$1561,((CROQUIS_DATOS!$C$1484+CROQUIS_DATOS!$C$1485)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5">
        <f>IF(AND(CROQUIS_DATOS!$C$1472=1,CROQUIS_DATOS!$C$1478&gt;=3,((CROQUIS_DATOS!$C$1489+CROQUIS_DATOS!$C$1490))-(CROQUIS_DATOS!$C$1489)&gt;0.5,(CROQUIS_DATOS!$C$1491)-(0)&gt;0.5),(CROQUIS_DATOS!$C$1566+(IF(IF(MOD(MIN(INT(($A15-1)/2)+1,MAX(1,INT(((((CROQUIS_DATOS!$C$1489+CROQUIS_DATOS!$C$1490))-(CROQUIS_DATOS!$C$1489))+((CROQUIS_DATOS!$C$1491)*CROQUIS_DATOS!$C$1561-(0)*CROQUIS_DATOS!$C$1561))/CROQUIS_DATOS!$C$1568-0.000001))),2)=1,IF(INT(($A15-1)/2)+1&gt;MAX(1,INT(((((CROQUIS_DATOS!$C$1489+CROQUIS_DATOS!$C$1490))-(CROQUIS_DATOS!$C$1489))+((CROQUIS_DATOS!$C$1491)*CROQUIS_DATOS!$C$1561-(0)*CROQUIS_DATOS!$C$1561))/CROQUIS_DATOS!$C$1568-0.000001)),1,MOD($A15-1,2)),1-IF(INT(($A15-1)/2)+1&gt;MAX(1,INT(((((CROQUIS_DATOS!$C$1489+CROQUIS_DATOS!$C$1490))-(CROQUIS_DATOS!$C$1489))+((CROQUIS_DATOS!$C$1491)*CROQUIS_DATOS!$C$1561-(0)*CROQUIS_DATOS!$C$1561))/CROQUIS_DATOS!$C$1568-0.000001)),1,MOD($A15-1,2)))=1,MIN((CROQUIS_DATOS!$C$1491)*CROQUIS_DATOS!$C$1561,((CROQUIS_DATOS!$C$1489+CROQUIS_DATOS!$C$1490)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5">
        <f>IF(AND(CROQUIS_DATOS!$C$1472=1,CROQUIS_DATOS!$C$1478&gt;=3,((CROQUIS_DATOS!$C$1489+CROQUIS_DATOS!$C$1490))-(CROQUIS_DATOS!$C$1489)&gt;0.5,(CROQUIS_DATOS!$C$1491)-(0)&gt;0.5),(CROQUIS_DATOS!$C$1567+(IF(IF(MOD(MIN(INT(($A15-1)/2)+1,MAX(1,INT(((((CROQUIS_DATOS!$C$1489+CROQUIS_DATOS!$C$1490))-(CROQUIS_DATOS!$C$1489))+((CROQUIS_DATOS!$C$1491)*CROQUIS_DATOS!$C$1561-(0)*CROQUIS_DATOS!$C$1561))/CROQUIS_DATOS!$C$1568-0.000001))),2)=1,IF(INT(($A15-1)/2)+1&gt;MAX(1,INT(((((CROQUIS_DATOS!$C$1489+CROQUIS_DATOS!$C$1490))-(CROQUIS_DATOS!$C$1489))+((CROQUIS_DATOS!$C$1491)*CROQUIS_DATOS!$C$1561-(0)*CROQUIS_DATOS!$C$1561))/CROQUIS_DATOS!$C$1568-0.000001)),1,MOD($A15-1,2)),1-IF(INT(($A15-1)/2)+1&gt;MAX(1,INT(((((CROQUIS_DATOS!$C$1489+CROQUIS_DATOS!$C$1490))-(CROQUIS_DATOS!$C$1489))+((CROQUIS_DATOS!$C$1491)*CROQUIS_DATOS!$C$1561-(0)*CROQUIS_DATOS!$C$1561))/CROQUIS_DATOS!$C$1568-0.000001)),1,MOD($A15-1,2)))=1,MIN((CROQUIS_DATOS!$C$1491)*CROQUIS_DATOS!$C$1561,((CROQUIS_DATOS!$C$1489+CROQUIS_DATOS!$C$1490)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5">
        <f>IF(AND(CROQUIS_DATOS!$C$1472=1,CROQUIS_DATOS!$C$1478&gt;=3,((CROQUIS_DATOS!$C$1489+CROQUIS_DATOS!$C$1490))-(CROQUIS_DATOS!$C$1489)&gt;0.5,(CROQUIS_DATOS!$C$1476)-((CROQUIS_DATOS!$C$1491+CROQUIS_DATOS!$C$1492))&gt;0.5),(CROQUIS_DATOS!$C$1566+(IF(IF(MOD(MIN(INT(($A15-1)/2)+1,MAX(1,INT(((((CROQUIS_DATOS!$C$1489+CROQUIS_DATOS!$C$1490))-(CROQUIS_DATOS!$C$1489))+((CROQUIS_DATOS!$C$1476)*CROQUIS_DATOS!$C$1561-((CROQUIS_DATOS!$C$1491+CROQUIS_DATOS!$C$1492))*CROQUIS_DATOS!$C$1561))/CROQUIS_DATOS!$C$1568-0.000001))),2)=1,IF(INT(($A15-1)/2)+1&gt;MAX(1,INT(((((CROQUIS_DATOS!$C$1489+CROQUIS_DATOS!$C$1490))-(CROQUIS_DATOS!$C$1489))+((CROQUIS_DATOS!$C$1476)*CROQUIS_DATOS!$C$1561-((CROQUIS_DATOS!$C$1491+CROQUIS_DATOS!$C$1492))*CROQUIS_DATOS!$C$1561))/CROQUIS_DATOS!$C$1568-0.000001)),1,MOD($A15-1,2)),1-IF(INT(($A15-1)/2)+1&gt;MAX(1,INT(((((CROQUIS_DATOS!$C$1489+CROQUIS_DATOS!$C$1490))-(CROQUIS_DATOS!$C$1489))+((CROQUIS_DATOS!$C$1476)*CROQUIS_DATOS!$C$1561-((CROQUIS_DATOS!$C$1491+CROQUIS_DATOS!$C$1492))*CROQUIS_DATOS!$C$1561))/CROQUIS_DATOS!$C$1568-0.000001)),1,MOD($A15-1,2)))=1,MIN((CROQUIS_DATOS!$C$1476)*CROQUIS_DATOS!$C$1561,((CROQUIS_DATOS!$C$1489+CROQUIS_DATOS!$C$1490)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5">
        <f>IF(AND(CROQUIS_DATOS!$C$1472=1,CROQUIS_DATOS!$C$1478&gt;=3,((CROQUIS_DATOS!$C$1489+CROQUIS_DATOS!$C$1490))-(CROQUIS_DATOS!$C$1489)&gt;0.5,(CROQUIS_DATOS!$C$1476)-((CROQUIS_DATOS!$C$1491+CROQUIS_DATOS!$C$1492))&gt;0.5),(CROQUIS_DATOS!$C$1567+(IF(IF(MOD(MIN(INT(($A15-1)/2)+1,MAX(1,INT(((((CROQUIS_DATOS!$C$1489+CROQUIS_DATOS!$C$1490))-(CROQUIS_DATOS!$C$1489))+((CROQUIS_DATOS!$C$1476)*CROQUIS_DATOS!$C$1561-((CROQUIS_DATOS!$C$1491+CROQUIS_DATOS!$C$1492))*CROQUIS_DATOS!$C$1561))/CROQUIS_DATOS!$C$1568-0.000001))),2)=1,IF(INT(($A15-1)/2)+1&gt;MAX(1,INT(((((CROQUIS_DATOS!$C$1489+CROQUIS_DATOS!$C$1490))-(CROQUIS_DATOS!$C$1489))+((CROQUIS_DATOS!$C$1476)*CROQUIS_DATOS!$C$1561-((CROQUIS_DATOS!$C$1491+CROQUIS_DATOS!$C$1492))*CROQUIS_DATOS!$C$1561))/CROQUIS_DATOS!$C$1568-0.000001)),1,MOD($A15-1,2)),1-IF(INT(($A15-1)/2)+1&gt;MAX(1,INT(((((CROQUIS_DATOS!$C$1489+CROQUIS_DATOS!$C$1490))-(CROQUIS_DATOS!$C$1489))+((CROQUIS_DATOS!$C$1476)*CROQUIS_DATOS!$C$1561-((CROQUIS_DATOS!$C$1491+CROQUIS_DATOS!$C$1492))*CROQUIS_DATOS!$C$1561))/CROQUIS_DATOS!$C$1568-0.000001)),1,MOD($A15-1,2)))=1,MIN((CROQUIS_DATOS!$C$1476)*CROQUIS_DATOS!$C$1561,((CROQUIS_DATOS!$C$1489+CROQUIS_DATOS!$C$1490)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5">
        <f>IF(AND(CROQUIS_DATOS!$C$1472=1,CROQUIS_DATOS!$C$1478&gt;=4,((CROQUIS_DATOS!$C$1494+CROQUIS_DATOS!$C$1495))-(CROQUIS_DATOS!$C$1494)&gt;0.5,(CROQUIS_DATOS!$C$1496)-(0)&gt;0.5),(CROQUIS_DATOS!$C$1566+(IF(IF(MOD(MIN(INT(($A15-1)/2)+1,MAX(1,INT(((((CROQUIS_DATOS!$C$1494+CROQUIS_DATOS!$C$1495))-(CROQUIS_DATOS!$C$1494))+((CROQUIS_DATOS!$C$1496)*CROQUIS_DATOS!$C$1561-(0)*CROQUIS_DATOS!$C$1561))/CROQUIS_DATOS!$C$1568-0.000001))),2)=1,IF(INT(($A15-1)/2)+1&gt;MAX(1,INT(((((CROQUIS_DATOS!$C$1494+CROQUIS_DATOS!$C$1495))-(CROQUIS_DATOS!$C$1494))+((CROQUIS_DATOS!$C$1496)*CROQUIS_DATOS!$C$1561-(0)*CROQUIS_DATOS!$C$1561))/CROQUIS_DATOS!$C$1568-0.000001)),1,MOD($A15-1,2)),1-IF(INT(($A15-1)/2)+1&gt;MAX(1,INT(((((CROQUIS_DATOS!$C$1494+CROQUIS_DATOS!$C$1495))-(CROQUIS_DATOS!$C$1494))+((CROQUIS_DATOS!$C$1496)*CROQUIS_DATOS!$C$1561-(0)*CROQUIS_DATOS!$C$1561))/CROQUIS_DATOS!$C$1568-0.000001)),1,MOD($A15-1,2)))=1,MIN((CROQUIS_DATOS!$C$1496)*CROQUIS_DATOS!$C$1561,((CROQUIS_DATOS!$C$1494+CROQUIS_DATOS!$C$1495)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5">
        <f>IF(AND(CROQUIS_DATOS!$C$1472=1,CROQUIS_DATOS!$C$1478&gt;=4,((CROQUIS_DATOS!$C$1494+CROQUIS_DATOS!$C$1495))-(CROQUIS_DATOS!$C$1494)&gt;0.5,(CROQUIS_DATOS!$C$1496)-(0)&gt;0.5),(CROQUIS_DATOS!$C$1567+(IF(IF(MOD(MIN(INT(($A15-1)/2)+1,MAX(1,INT(((((CROQUIS_DATOS!$C$1494+CROQUIS_DATOS!$C$1495))-(CROQUIS_DATOS!$C$1494))+((CROQUIS_DATOS!$C$1496)*CROQUIS_DATOS!$C$1561-(0)*CROQUIS_DATOS!$C$1561))/CROQUIS_DATOS!$C$1568-0.000001))),2)=1,IF(INT(($A15-1)/2)+1&gt;MAX(1,INT(((((CROQUIS_DATOS!$C$1494+CROQUIS_DATOS!$C$1495))-(CROQUIS_DATOS!$C$1494))+((CROQUIS_DATOS!$C$1496)*CROQUIS_DATOS!$C$1561-(0)*CROQUIS_DATOS!$C$1561))/CROQUIS_DATOS!$C$1568-0.000001)),1,MOD($A15-1,2)),1-IF(INT(($A15-1)/2)+1&gt;MAX(1,INT(((((CROQUIS_DATOS!$C$1494+CROQUIS_DATOS!$C$1495))-(CROQUIS_DATOS!$C$1494))+((CROQUIS_DATOS!$C$1496)*CROQUIS_DATOS!$C$1561-(0)*CROQUIS_DATOS!$C$1561))/CROQUIS_DATOS!$C$1568-0.000001)),1,MOD($A15-1,2)))=1,MIN((CROQUIS_DATOS!$C$1496)*CROQUIS_DATOS!$C$1561,((CROQUIS_DATOS!$C$1494+CROQUIS_DATOS!$C$1495)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5">
        <f>IF(AND(CROQUIS_DATOS!$C$1472=1,CROQUIS_DATOS!$C$1478&gt;=4,((CROQUIS_DATOS!$C$1494+CROQUIS_DATOS!$C$1495))-(CROQUIS_DATOS!$C$1494)&gt;0.5,(CROQUIS_DATOS!$C$1476)-((CROQUIS_DATOS!$C$1496+CROQUIS_DATOS!$C$1497))&gt;0.5),(CROQUIS_DATOS!$C$1566+(IF(IF(MOD(MIN(INT(($A15-1)/2)+1,MAX(1,INT(((((CROQUIS_DATOS!$C$1494+CROQUIS_DATOS!$C$1495))-(CROQUIS_DATOS!$C$1494))+((CROQUIS_DATOS!$C$1476)*CROQUIS_DATOS!$C$1561-((CROQUIS_DATOS!$C$1496+CROQUIS_DATOS!$C$1497))*CROQUIS_DATOS!$C$1561))/CROQUIS_DATOS!$C$1568-0.000001))),2)=1,IF(INT(($A15-1)/2)+1&gt;MAX(1,INT(((((CROQUIS_DATOS!$C$1494+CROQUIS_DATOS!$C$1495))-(CROQUIS_DATOS!$C$1494))+((CROQUIS_DATOS!$C$1476)*CROQUIS_DATOS!$C$1561-((CROQUIS_DATOS!$C$1496+CROQUIS_DATOS!$C$1497))*CROQUIS_DATOS!$C$1561))/CROQUIS_DATOS!$C$1568-0.000001)),1,MOD($A15-1,2)),1-IF(INT(($A15-1)/2)+1&gt;MAX(1,INT(((((CROQUIS_DATOS!$C$1494+CROQUIS_DATOS!$C$1495))-(CROQUIS_DATOS!$C$1494))+((CROQUIS_DATOS!$C$1476)*CROQUIS_DATOS!$C$1561-((CROQUIS_DATOS!$C$1496+CROQUIS_DATOS!$C$1497))*CROQUIS_DATOS!$C$1561))/CROQUIS_DATOS!$C$1568-0.000001)),1,MOD($A15-1,2)))=1,MIN((CROQUIS_DATOS!$C$1476)*CROQUIS_DATOS!$C$1561,((CROQUIS_DATOS!$C$1494+CROQUIS_DATOS!$C$1495)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5">
        <f>IF(AND(CROQUIS_DATOS!$C$1472=1,CROQUIS_DATOS!$C$1478&gt;=4,((CROQUIS_DATOS!$C$1494+CROQUIS_DATOS!$C$1495))-(CROQUIS_DATOS!$C$1494)&gt;0.5,(CROQUIS_DATOS!$C$1476)-((CROQUIS_DATOS!$C$1496+CROQUIS_DATOS!$C$1497))&gt;0.5),(CROQUIS_DATOS!$C$1567+(IF(IF(MOD(MIN(INT(($A15-1)/2)+1,MAX(1,INT(((((CROQUIS_DATOS!$C$1494+CROQUIS_DATOS!$C$1495))-(CROQUIS_DATOS!$C$1494))+((CROQUIS_DATOS!$C$1476)*CROQUIS_DATOS!$C$1561-((CROQUIS_DATOS!$C$1496+CROQUIS_DATOS!$C$1497))*CROQUIS_DATOS!$C$1561))/CROQUIS_DATOS!$C$1568-0.000001))),2)=1,IF(INT(($A15-1)/2)+1&gt;MAX(1,INT(((((CROQUIS_DATOS!$C$1494+CROQUIS_DATOS!$C$1495))-(CROQUIS_DATOS!$C$1494))+((CROQUIS_DATOS!$C$1476)*CROQUIS_DATOS!$C$1561-((CROQUIS_DATOS!$C$1496+CROQUIS_DATOS!$C$1497))*CROQUIS_DATOS!$C$1561))/CROQUIS_DATOS!$C$1568-0.000001)),1,MOD($A15-1,2)),1-IF(INT(($A15-1)/2)+1&gt;MAX(1,INT(((((CROQUIS_DATOS!$C$1494+CROQUIS_DATOS!$C$1495))-(CROQUIS_DATOS!$C$1494))+((CROQUIS_DATOS!$C$1476)*CROQUIS_DATOS!$C$1561-((CROQUIS_DATOS!$C$1496+CROQUIS_DATOS!$C$1497))*CROQUIS_DATOS!$C$1561))/CROQUIS_DATOS!$C$1568-0.000001)),1,MOD($A15-1,2)))=1,MIN((CROQUIS_DATOS!$C$1476)*CROQUIS_DATOS!$C$1561,((CROQUIS_DATOS!$C$1494+CROQUIS_DATOS!$C$1495)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5">
        <f>IF(AND(CROQUIS_DATOS!$C$1472=1,1),(CROQUIS_DATOS!$C$1566+(INDEX($E$8:$E$23,MIN($A15,CROQUIS_DATOS!$C$1525)))*CROQUIS_DATOS!$C$1565),-1000)</f>
        <v>76.9224137931035</v>
      </c>
      <c r="EW15">
        <f>IF(AND(CROQUIS_DATOS!$C$1472=1,1),((CROQUIS_DATOS!$C$1567+(CROQUIS_DATOS!$C$1476+CROQUIS_DATOS!$C$1528)*CROQUIS_DATOS!$C$1561*CROQUIS_DATOS!$C$1565)+1.5),-1000)</f>
        <v>42.5</v>
      </c>
      <c r="GD15">
        <f>IF(AND(CROQUIS_DATOS!$C$1472=1,1),(CROQUIS_DATOS!$C$1571+(CHOOSE(MIN(MAX(IF(INT(($A15-1)/5)+1&gt;CROQUIS_DATOS!$C$1525,5,MOD($A15-1,5)+1),1),5),(INDEX($E$8:$E$23,MIN(INT(($A15-1)/5)+1,CROQUIS_DATOS!$C$1525))-INDEX($F$8:$F$23,MIN(INT(($A15-1)/5)+1,CROQUIS_DATOS!$C$1525))/2),(INDEX($E$8:$E$23,MIN(INT(($A15-1)/5)+1,CROQUIS_DATOS!$C$1525))+INDEX($F$8:$F$23,MIN(INT(($A15-1)/5)+1,CROQUIS_DATOS!$C$1525))/2),(INDEX($E$8:$E$23,MIN(INT(($A15-1)/5)+1,CROQUIS_DATOS!$C$1525))+INDEX($F$8:$F$23,MIN(INT(($A15-1)/5)+1,CROQUIS_DATOS!$C$1525))/2),(INDEX($E$8:$E$23,MIN(INT(($A15-1)/5)+1,CROQUIS_DATOS!$C$1525))-INDEX($F$8:$F$23,MIN(INT(($A15-1)/5)+1,CROQUIS_DATOS!$C$1525))/2),(INDEX($E$8:$E$23,MIN(INT(($A15-1)/5)+1,CROQUIS_DATOS!$C$1525))-INDEX($F$8:$F$23,MIN(INT(($A15-1)/5)+1,CROQUIS_DATOS!$C$1525))/2)))*CROQUIS_DATOS!$C$1569),-1000)</f>
        <v>13.36</v>
      </c>
      <c r="GE15">
        <f>IF(AND(CROQUIS_DATOS!$C$1472=1,1),(CROQUIS_DATOS!$C$1572+(CHOOSE(MIN(MAX(IF(INT(($A15-1)/5)+1&gt;CROQUIS_DATOS!$C$1525,5,MOD($A15-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5">
        <f>IF(AND(CROQUIS_DATOS!$C$1472=1,1),IF(INT(($A15-1)/4)+1&lt;=CROQUIS_DATOS!$C$1525,(CROQUIS_DATOS!$C$1571+((INDEX($E$8:$E$23,MIN(INT(($A15-1)/4)+1,16))+IF(OR(MOD($A15-1,4)=0,MOD($A15-1,4)=3),-1,1)*(INDEX($F$8:$F$23,MIN(INT(($A15-1)/4)+1,16))/2-(CROQUIS_DATOS!$C$1530+CROQUIS_DATOS!$C$1532+IF(OR(INT(($A15-1)/4)+1=1,INT(($A15-1)/4)+1=CROQUIS_DATOS!$C$1525),CROQUIS_DATOS!$C$1534,CROQUIS_DATOS!$C$1531)/2))))*CROQUIS_DATOS!$C$1569),-1000),-1000)</f>
        <v>11.172516</v>
      </c>
      <c r="GG15">
        <f>IF(AND(CROQUIS_DATOS!$C$1472=1,1),IF(INT(($A15-1)/4)+1&lt;=CROQUIS_DATOS!$C$1525,(CROQUIS_DATOS!$C$1572+((CROQUIS_DATOS!$C$1477/2+IF(MOD($A15-1,4)&lt;2,-1,1)*(CROQUIS_DATOS!$C$1527/2-(CROQUIS_DATOS!$C$1530+CROQUIS_DATOS!$C$1532+IF(OR(INT(($A15-1)/4)+1=1,INT(($A15-1)/4)+1=CROQUIS_DATOS!$C$1525),CROQUIS_DATOS!$C$1534,CROQUIS_DATOS!$C$1531)/2))))*CROQUIS_DATOS!$C$1569*CROQUIS_DATOS!$C$1570),-1000),-1000)</f>
        <v>13.06655</v>
      </c>
      <c r="HF15">
        <f>IF(AND(CROQUIS_DATOS!$C$1472=1,1),CHOOSE(MIN(MAX($A15,1),8),(CROQUIS_DATOS!$C$1574+((CROQUIS_DATOS!$C$1530-CROQUIS_DATOS!$C$1532/2)+3)*CROQUIS_DATOS!$C$1573),(CROQUIS_DATOS!$C$1574+((CROQUIS_DATOS!$C$1530-CROQUIS_DATOS!$C$1532/2))*CROQUIS_DATOS!$C$1573),(CROQUIS_DATOS!$C$1574+((CROQUIS_DATOS!$C$1530-CROQUIS_DATOS!$C$1532/2))*CROQUIS_DATOS!$C$1573),(CROQUIS_DATOS!$C$1574+(CROQUIS_DATOS!$C$1526-(CROQUIS_DATOS!$C$1530-CROQUIS_DATOS!$C$1532/2))*CROQUIS_DATOS!$C$1573),(CROQUIS_DATOS!$C$1574+(CROQUIS_DATOS!$C$1526-(CROQUIS_DATOS!$C$1530-CROQUIS_DATOS!$C$1532/2))*CROQUIS_DATOS!$C$1573),(CROQUIS_DATOS!$C$1574+((CROQUIS_DATOS!$C$1530-CROQUIS_DATOS!$C$1532/2))*CROQUIS_DATOS!$C$1573),(CROQUIS_DATOS!$C$1574+((CROQUIS_DATOS!$C$1530-CROQUIS_DATOS!$C$1532/2))*CROQUIS_DATOS!$C$1573),(CROQUIS_DATOS!$C$1574+((CROQUIS_DATOS!$C$1530-CROQUIS_DATOS!$C$1532/2)+3.5)*CROQUIS_DATOS!$C$1573)),-1000)</f>
        <v>12.6809677419355</v>
      </c>
      <c r="HG15">
        <f>IF(AND(CROQUIS_DATOS!$C$1472=1,1),CHOOSE(MIN(MAX($A15,1),8)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$1527-(CROQUIS_DATOS!$C$1530-CROQUIS_DATOS!$C$1532/2))*CROQUIS_DATOS!$C$1573),(CROQUIS_DATOS!$C$1576+(CROQUIS_DATOS!$C$1527-(CROQUIS_DATOS!$C$1530-CROQUIS_DATOS!$C$1532/2))*CROQUIS_DATOS!$C$1573),(CROQUIS_DATOS!$C$1576+((CROQUIS_DATOS!$C$1527-(CROQUIS_DATOS!$C$1530-CROQUIS_DATOS!$C$1532/2))-3.5)*CROQUIS_DATOS!$C$1573),(CROQUIS_DATOS!$C$1576+(CROQUIS_DATOS!$C$1527-(CROQUIS_DATOS!$C$1530-CROQUIS_DATOS!$C$1532/2)-0.5)*CROQUIS_DATOS!$C$1573)),-1000)</f>
        <v>23.5770967741936</v>
      </c>
      <c r="HH15">
        <f>IF(AND(CROQUIS_DATOS!$C$1472=1,1),IF($A15&lt;=DATOS!$C$61,CHOOSE(MIN(MAX($A15,1),8),(CROQUIS_DATOS!$C$1574+((CROQUIS_DATOS!$C$1530+CROQUIS_DATOS!$C$1532+CROQUIS_DATOS!$C$1531/2))*CROQUIS_DATOS!$C$1573),(CROQUIS_DATOS!$C$1574+(CROQUIS_DATOS!$C$1526-(CROQUIS_DATOS!$C$1530+CROQUIS_DATOS!$C$1532+CROQUIS_DATOS!$C$1531/2))*CROQUIS_DATOS!$C$1573),(CROQUIS_DATOS!$C$1574+(CROQUIS_DATOS!$C$1526-(CROQUIS_DATOS!$C$1530+CROQUIS_DATOS!$C$1532+CROQUIS_DATOS!$C$1531/2))*CROQUIS_DATOS!$C$1573),(CROQUIS_DATOS!$C$1574+((CROQUIS_DATOS!$C$1530+CROQUIS_DATOS!$C$1532+CROQUIS_DATOS!$C$1531/2))*CROQUIS_DATOS!$C$1573),(CROQUIS_DATOS!$C$1574+(CROQUIS_DATOS!$C$1526/2)*CROQUIS_DATOS!$C$1573),(CROQUIS_DATOS!$C$1574+(CROQUIS_DATOS!$C$1526/2)*CROQUIS_DATOS!$C$1573),(CROQUIS_DATOS!$C$1574+((CROQUIS_DATOS!$C$1530+CROQUIS_DATOS!$C$1532+CROQUIS_DATOS!$C$1531/2))*CROQUIS_DATOS!$C$1573),(CROQUIS_DATOS!$C$1574+(CROQUIS_DATOS!$C$1526-(CROQUIS_DATOS!$C$1530+CROQUIS_DATOS!$C$1532+CROQUIS_DATOS!$C$1531/2))*CROQUIS_DATOS!$C$1573)),-1000),-1000)</f>
        <v>-1000</v>
      </c>
      <c r="HI15">
        <f>IF(AND(CROQUIS_DATOS!$C$1472=1,1),IF($A15&lt;=DATOS!$C$61,CHOOSE(MIN(MAX($A15,1),8),(CROQUIS_DATOS!$C$1576+(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$1527-(CROQUIS_DATOS!$C$1530+CROQUIS_DATOS!$C$1532+CROQUIS_DATOS!$C$1531/2))*CROQUIS_DATOS!$C$1573),(CROQUIS_DATOS!$C$1576+((CROQUIS_DATOS!$C$1530+CROQUIS_DATOS!$C$1532+CROQUIS_DATOS!$C$1531/2))*CROQUIS_DATOS!$C$1573),(CROQUIS_DATOS!$C$1576+(CROQUIS_DATOS!$C$1527-(CROQUIS_DATOS!$C$1530+CROQUIS_DATOS!$C$1532+CROQUIS_DATOS!$C$1531/2))*CROQUIS_DATOS!$C$1573),(CROQUIS_DATOS!$C$1576+(CROQUIS_DATOS!$C$1527/2)*CROQUIS_DATOS!$C$1573),(CROQUIS_DATOS!$C$1576+(CROQUIS_DATOS!$C$1527/2)*CROQUIS_DATOS!$C$1573)),-1000),-1000)</f>
        <v>-1000</v>
      </c>
      <c r="HR15">
        <f>IF(AND(CROQUIS_DATOS!$C$1472=1,1),CHOOSE(MIN(MAX($A15,1),8),(CROQUIS_DATOS!$C$1575+((CROQUIS_DATOS!$C$1530-CROQUIS_DATOS!$C$1532/2)+3)*CROQUIS_DATOS!$C$1573),(CROQUIS_DATOS!$C$1575+((CROQUIS_DATOS!$C$1530-CROQUIS_DATOS!$C$1532/2))*CROQUIS_DATOS!$C$1573),(CROQUIS_DATOS!$C$1575+((CROQUIS_DATOS!$C$1530-CROQUIS_DATOS!$C$1532/2))*CROQUIS_DATOS!$C$1573),(CROQUIS_DATOS!$C$1575+(CROQUIS_DATOS!$C$1529-(CROQUIS_DATOS!$C$1530-CROQUIS_DATOS!$C$1532/2))*CROQUIS_DATOS!$C$1573),(CROQUIS_DATOS!$C$1575+(CROQUIS_DATOS!$C$1529-(CROQUIS_DATOS!$C$1530-CROQUIS_DATOS!$C$1532/2))*CROQUIS_DATOS!$C$1573),(CROQUIS_DATOS!$C$1575+((CROQUIS_DATOS!$C$1530-CROQUIS_DATOS!$C$1532/2))*CROQUIS_DATOS!$C$1573),(CROQUIS_DATOS!$C$1575+((CROQUIS_DATOS!$C$1530-CROQUIS_DATOS!$C$1532/2))*CROQUIS_DATOS!$C$1573),(CROQUIS_DATOS!$C$1575+((CROQUIS_DATOS!$C$1530-CROQUIS_DATOS!$C$1532/2)+3.5)*CROQUIS_DATOS!$C$1573)),-1000)</f>
        <v>66.8745161290323</v>
      </c>
      <c r="HS15">
        <f>IF(AND(CROQUIS_DATOS!$C$1472=1,1),CHOOSE(MIN(MAX($A15,1),8)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$1530-CROQUIS_DATOS!$C$1532/2))*CROQUIS_DATOS!$C$1573),(CROQUIS_DATOS!$C$1576+((CROQUIS_DATOS!$C$1530-CROQUIS_DATOS!$C$1532/2))*CROQUIS_DATOS!$C$1573),(CROQUIS_DATOS!$C$1576+(CROQUIS_DATOS!$C$1528-(CROQUIS_DATOS!$C$1530-CROQUIS_DATOS!$C$1532/2))*CROQUIS_DATOS!$C$1573),(CROQUIS_DATOS!$C$1576+(CROQUIS_DATOS!$C$1528-(CROQUIS_DATOS!$C$1530-CROQUIS_DATOS!$C$1532/2))*CROQUIS_DATOS!$C$1573),(CROQUIS_DATOS!$C$1576+((CROQUIS_DATOS!$C$1528-(CROQUIS_DATOS!$C$1530-CROQUIS_DATOS!$C$1532/2))-3.5)*CROQUIS_DATOS!$C$1573),(CROQUIS_DATOS!$C$1576+(CROQUIS_DATOS!$C$1528-(CROQUIS_DATOS!$C$1530-CROQUIS_DATOS!$C$1532/2)-0.5)*CROQUIS_DATOS!$C$1573)),-1000)</f>
        <v>28.0932258064516</v>
      </c>
      <c r="HT15">
        <f>IF(AND(CROQUIS_DATOS!$C$1472=1,1),IF($A15&lt;=DATOS!$C$69,CHOOSE(MIN(MAX($A15,1),8),(CROQUIS_DATOS!$C$1575+((CROQUIS_DATOS!$C$1530+CROQUIS_DATOS!$C$1532+CROQUIS_DATOS!$C$1533/2))*CROQUIS_DATOS!$C$1573),(CROQUIS_DATOS!$C$1575+(CROQUIS_DATOS!$C$1529-(CROQUIS_DATOS!$C$1530+CROQUIS_DATOS!$C$1532+CROQUIS_DATOS!$C$1533/2))*CROQUIS_DATOS!$C$1573),(CROQUIS_DATOS!$C$1575+(CROQUIS_DATOS!$C$1529-(CROQUIS_DATOS!$C$1530+CROQUIS_DATOS!$C$1532+CROQUIS_DATOS!$C$1533/2))*CROQUIS_DATOS!$C$1573),(CROQUIS_DATOS!$C$1575+((CROQUIS_DATOS!$C$1530+CROQUIS_DATOS!$C$1532+CROQUIS_DATOS!$C$1533/2))*CROQUIS_DATOS!$C$1573),(CROQUIS_DATOS!$C$1575+(CROQUIS_DATOS!$C$1529/2)*CROQUIS_DATOS!$C$1573),(CROQUIS_DATOS!$C$1575+(CROQUIS_DATOS!$C$1529/2)*CROQUIS_DATOS!$C$1573),(CROQUIS_DATOS!$C$1575+((CROQUIS_DATOS!$C$1530+CROQUIS_DATOS!$C$1532+CROQUIS_DATOS!$C$1533/2))*CROQUIS_DATOS!$C$1573),(CROQUIS_DATOS!$C$1575+(CROQUIS_DATOS!$C$1529-(CROQUIS_DATOS!$C$1530+CROQUIS_DATOS!$C$1532+CROQUIS_DATOS!$C$1533/2))*CROQUIS_DATOS!$C$1573)),-1000),-1000)</f>
        <v>-1000</v>
      </c>
      <c r="HU15">
        <f>IF(AND(CROQUIS_DATOS!$C$1472=1,1),IF($A15&lt;=DATOS!$C$69,CHOOSE(MIN(MAX($A15,1),8),(CROQUIS_DATOS!$C$1576+(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$1528-(CROQUIS_DATOS!$C$1530+CROQUIS_DATOS!$C$1532+CROQUIS_DATOS!$C$1533/2))*CROQUIS_DATOS!$C$1573),(CROQUIS_DATOS!$C$1576+((CROQUIS_DATOS!$C$1530+CROQUIS_DATOS!$C$1532+CROQUIS_DATOS!$C$1533/2))*CROQUIS_DATOS!$C$1573),(CROQUIS_DATOS!$C$1576+(CROQUIS_DATOS!$C$1528-(CROQUIS_DATOS!$C$1530+CROQUIS_DATOS!$C$1532+CROQUIS_DATOS!$C$1533/2))*CROQUIS_DATOS!$C$1573),(CROQUIS_DATOS!$C$1576+(CROQUIS_DATOS!$C$1528/2)*CROQUIS_DATOS!$C$1573),(CROQUIS_DATOS!$C$1576+(CROQUIS_DATOS!$C$1528/2)*CROQUIS_DATOS!$C$1573)),-1000),-1000)</f>
        <v>-1000</v>
      </c>
    </row>
    <row r="16">
      <c r="A16" t="n">
        <v>9</v>
      </c>
      <c r="B16" t="n">
        <v>9</v>
      </c>
      <c r="C16">
        <f>1+(B16&gt;CROQUIS_DATOS!$C$1520)+(B16&gt;CROQUIS_DATOS!$C$1521)+(B16&gt;CROQUIS_DATOS!$C$1522)+(B16&gt;CROQUIS_DATOS!$C$1523)</f>
        <v>5</v>
      </c>
      <c r="D16">
        <f>B16-CHOOSE(MIN(C16,5),0,CROQUIS_DATOS!$C$1520,CROQUIS_DATOS!$C$1521,CROQUIS_DATOS!$C$1522,CROQUIS_DATOS!$C$1523)</f>
        <v>3</v>
      </c>
      <c r="E16">
        <f>IF(G16=0,0,CHOOSE(MIN(C16,5),CROQUIS_DATOS!$C$1499,CROQUIS_DATOS!$C$1503,CROQUIS_DATOS!$C$1507,CROQUIS_DATOS!$C$1511,CROQUIS_DATOS!$C$1515)+IF(CHOOSE(MIN(C16,5),CROQUIS_DATOS!$C$1502,CROQUIS_DATOS!$C$1506,CROQUIS_DATOS!$C$1510,CROQUIS_DATOS!$C$1514,CROQUIS_DATOS!$C$1518)=1,CHOOSE(MIN(C16,5),CROQUIS_DATOS!$C$1500,CROQUIS_DATOS!$C$1504,CROQUIS_DATOS!$C$1508,CROQUIS_DATOS!$C$1512,CROQUIS_DATOS!$C$1516)/2,CROQUIS_DATOS!$C$1526/2+(D16-1)*(CHOOSE(MIN(C16,5),CROQUIS_DATOS!$C$1500,CROQUIS_DATOS!$C$1504,CROQUIS_DATOS!$C$1508,CROQUIS_DATOS!$C$1512,CROQUIS_DATOS!$C$1516)-CROQUIS_DATOS!$C$1526)/MAX(CHOOSE(MIN(C16,5),CROQUIS_DATOS!$C$1502,CROQUIS_DATOS!$C$1506,CROQUIS_DATOS!$C$1510,CROQUIS_DATOS!$C$1514,CROQUIS_DATOS!$C$1518)-1,1)))</f>
        <v>0</v>
      </c>
      <c r="F16">
        <f>IF(G16=0,0,IF(CHOOSE(MIN(C16,5),CROQUIS_DATOS!$C$1502,CROQUIS_DATOS!$C$1506,CROQUIS_DATOS!$C$1510,CROQUIS_DATOS!$C$1514,CROQUIS_DATOS!$C$1518)=1,MIN(CROQUIS_DATOS!$C$1526,CHOOSE(MIN(C16,5),CROQUIS_DATOS!$C$1500,CROQUIS_DATOS!$C$1504,CROQUIS_DATOS!$C$1508,CROQUIS_DATOS!$C$1512,CROQUIS_DATOS!$C$1516)),CROQUIS_DATOS!$C$1526))</f>
        <v>0</v>
      </c>
      <c r="G16">
        <f>IF(AND(CROQUIS_DATOS!$C$1472=1,B16&lt;=CROQUIS_DATOS!$C$1525),1,0)</f>
        <v>0</v>
      </c>
      <c r="H16">
        <f>IF(9&lt;=CROQUIS_DATOS!$C$1539,9*CROQUIS_DATOS!$C$1536,IF(9&lt;=CROQUIS_DATOS!$C$1539+CROQUIS_DATOS!$C$1540,CROQUIS_DATOS!$C$1539*CROQUIS_DATOS!$C$1536+(9-CROQUIS_DATOS!$C$1539)*(CROQUIS_DATOS!$C$1476-2*CROQUIS_DATOS!$C$1539*CROQUIS_DATOS!$C$1536)/(CROQUIS_DATOS!$C$1540+1),CROQUIS_DATOS!$C$1476-(2*CROQUIS_DATOS!$C$1539+CROQUIS_DATOS!$C$1540+1-9)*CROQUIS_DATOS!$C$1536))</f>
        <v>115.277777777778</v>
      </c>
      <c r="I16">
        <f>IF(AND(CROQUIS_DATOS!$C$1544=1,E16&gt;=CROQUIS_DATOS!$C$1549-1,E16&lt;=CROQUIS_DATOS!$C$1550+1),CROQUIS_DATOS!$C$1554,CROQUIS_DATOS!$C$1552)</f>
        <v>-16.8885</v>
      </c>
      <c r="J16">
        <f>IF(AND(CROQUIS_DATOS!$C$1472=1,1),(CROQUIS_DATOS!$C$1563+(CHOOSE(MIN(MAX(IF(INT(($A16-1)/4)+1&gt;CROQUIS_DATOS!$C$1525,4,MOD($A16-1,4)+1),1),4),(INDEX($E$8:$E$23,MIN(INT(($A16-1)/4)+1,CROQUIS_DATOS!$C$1525))-INDEX($F$8:$F$23,MIN(INT(($A16-1)/4)+1,CROQUIS_DATOS!$C$1525))/2),(INDEX($E$8:$E$23,MIN(INT(($A16-1)/4)+1,CROQUIS_DATOS!$C$1525))-INDEX($F$8:$F$23,MIN(INT(($A16-1)/4)+1,CROQUIS_DATOS!$C$1525))/2),(INDEX($E$8:$E$23,MIN(INT(($A16-1)/4)+1,CROQUIS_DATOS!$C$1525))+INDEX($F$8:$F$23,MIN(INT(($A16-1)/4)+1,CROQUIS_DATOS!$C$1525))/2),(INDEX($E$8:$E$23,MIN(INT(($A16-1)/4)+1,CROQUIS_DATOS!$C$1525))+INDEX($F$8:$F$23,MIN(INT(($A16-1)/4)+1,CROQUIS_DATOS!$C$1525))/2)))*CROQUIS_DATOS!$C$1562),-1000)</f>
        <v>33.2413793103448</v>
      </c>
      <c r="K16">
        <f>IF(AND(CROQUIS_DATOS!$C$1472=1,1),(CROQUIS_DATOS!$C$1564+(CHOOSE(MIN(MAX(IF(INT(($A16-1)/4)+1&gt;CROQUIS_DATOS!$C$1525,4,MOD($A16-1,4)+1),1),4),0,CROQUIS_DATOS!$C$1476,CROQUIS_DATOS!$C$1476,0))*CROQUIS_DATOS!$C$1561*CROQUIS_DATOS!$C$1562),-1000)</f>
        <v>5.29310344827586</v>
      </c>
      <c r="L16">
        <f>IF(AND(CROQUIS_DATOS!$C$1472=1,1),(CROQUIS_DATOS!$C$1563+(CHOOSE(MIN(MAX(IF(INT(($A16-1)/4)+1&gt;CROQUIS_DATOS!$C$1525,4,MOD($A16-1,4)+1),1),4),((INDEX($E$8:$E$23,MIN(INT(($A16-1)/4)+1,CROQUIS_DATOS!$C$1525))-INDEX($F$8:$F$23,MIN(INT(($A16-1)/4)+1,CROQUIS_DATOS!$C$1525))/2)+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,((INDEX($E$8:$E$23,MIN(INT(($A16-1)/4)+1,CROQUIS_DATOS!$C$1525))-INDEX($F$8:$F$23,MIN(INT(($A16-1)/4)+1,CROQUIS_DATOS!$C$1525))/2)+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,((INDEX($E$8:$E$23,MIN(INT(($A16-1)/4)+1,CROQUIS_DATOS!$C$1525))+INDEX($F$8:$F$23,MIN(INT(($A16-1)/4)+1,CROQUIS_DATOS!$C$1525))/2)-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,((INDEX($E$8:$E$23,MIN(INT(($A16-1)/4)+1,CROQUIS_DATOS!$C$1525))+INDEX($F$8:$F$23,MIN(INT(($A16-1)/4)+1,CROQUIS_DATOS!$C$1525))/2)-MIN((CROQUIS_DATOS!$C$1530+CROQUIS_DATOS!$C$1532+IF(OR(MIN(INT(($A16-1)/4)+1,CROQUIS_DATOS!$C$1525)=1,MIN(INT(($A16-1)/4)+1,CROQUIS_DATOS!$C$1525)=CROQUIS_DATOS!$C$1525),CROQUIS_DATOS!$C$1534,CROQUIS_DATOS!$C$1531)/2),INDEX($F$8:$F$23,MIN(INT(($A16-1)/4)+1,CROQUIS_DATOS!$C$1525))/2-0.5))))*CROQUIS_DATOS!$C$1562),-1000)</f>
        <v>33.6759163793103</v>
      </c>
      <c r="M16">
        <f>IF(AND(CROQUIS_DATOS!$C$1472=1,1),(CROQUIS_DATOS!$C$1564+(CHOOSE(MIN(MAX(IF(INT(($A16-1)/4)+1&gt;CROQUIS_DATOS!$C$1525,4,MOD($A16-1,4)+1),1),4),CROQUIS_DATOS!$C$1543,INDEX($I$8:$I$23,MIN(INT(($A16-1)/4)+1,CROQUIS_DATOS!$C$1525)),INDEX($I$8:$I$23,MIN(INT(($A16-1)/4)+1,CROQUIS_DATOS!$C$1525)),CROQUIS_DATOS!$C$1543))*CROQUIS_DATOS!$C$1561*CROQUIS_DATOS!$C$1562),-1000)</f>
        <v>42.5654629310345</v>
      </c>
      <c r="N16">
        <f>IF(AND(CROQUIS_DATOS!$C$1472=1,1),(CROQUIS_DATOS!$C$1563+(IF(IF(IF(INT(($A16-1)/70)+1&gt;CROQUIS_DATOS!$C$1525,70,MOD($A16-1,70)+1)=1,0,IF(IF(INT(($A16-1)/70)+1&gt;CROQUIS_DATOS!$C$1525,70,MOD($A16-1,70)+1)&gt;2*CROQUIS_DATOS!$C$1541+1,IF(MOD(CROQUIS_DATOS!$C$1541,2)=1,1,0),IF(MOD(MIN(INT((IF(INT(($A16-1)/70)+1&gt;CROQUIS_DATOS!$C$1525,70,MOD($A16-1,70)+1)-2)/2)+1,CROQUIS_DATOS!$C$1541),2)=1,IF(MOD(IF(INT(($A16-1)/70)+1&gt;CROQUIS_DATOS!$C$1525,70,MOD($A16-1,70)+1)-2,2)=0,0,1),IF(MOD(IF(INT(($A16-1)/70)+1&gt;CROQUIS_DATOS!$C$1525,70,MOD($A16-1,70)+1)-2,2)=0,1,0))))=0,(INDEX($E$8:$E$23,MIN(INT(($A16-1)/70)+1,CROQUIS_DATOS!$C$1525))-INDEX($F$8:$F$23,MIN(INT(($A16-1)/70)+1,CROQUIS_DATOS!$C$1525))/2),(INDEX($E$8:$E$23,MIN(INT(($A16-1)/70)+1,CROQUIS_DATOS!$C$1525))+INDEX($F$8:$F$23,MIN(INT(($A16-1)/70)+1,CROQUIS_DATOS!$C$1525))/2)))*CROQUIS_DATOS!$C$1562),-1000)</f>
        <v>15.0862068965517</v>
      </c>
      <c r="O16">
        <f>IF(AND(CROQUIS_DATOS!$C$1472=1,1),(CROQUIS_DATOS!$C$1564+(IF(OR(IF(INT(($A16-1)/70)+1&gt;CROQUIS_DATOS!$C$1525,70,MOD($A16-1,70)+1)=1,IF(INT(($A16-1)/70)+1&gt;CROQUIS_DATOS!$C$1525,70,MOD($A16-1,70)+1)&gt;2*CROQUIS_DATOS!$C$1541+1),CROQUIS_DATOS!$C$1476,INDEX($H$8:$H$41,MIN(INT((IF(INT(($A16-1)/70)+1&gt;CROQUIS_DATOS!$C$1525,70,MOD($A16-1,70)+1)-2)/2)+1,CROQUIS_DATOS!$C$1541))))*CROQUIS_DATOS!$C$1561*CROQUIS_DATOS!$C$1562),-1000)</f>
        <v>9.48275862068966</v>
      </c>
      <c r="P16">
        <f>IF(AND(CROQUIS_DATOS!$C$1472=1,CROQUIS_DATOS!$C$1555=1),(CROQUIS_DATOS!$C$1563+(IF(IF(OR(MOD($A16-1,62)+1=1,IF(CHOOSE(MIN(MAX(MIN(INT(($A16-1)/62)+1,5),1),5),CROQUIS_DATOS!$C$1501,CROQUIS_DATOS!$C$1505,CROQUIS_DATOS!$C$1509,CROQUIS_DATOS!$C$1513,CROQUIS_DATOS!$C$1517)=1,CROQUIS_DATOS!$C$1557,0)=0),0,IF(MOD($A16-1,62)+1&gt;2*IF(CHOOSE(MIN(MAX(MIN(INT(($A16-1)/62)+1,5),1),5),CROQUIS_DATOS!$C$1501,CROQUIS_DATOS!$C$1505,CROQUIS_DATOS!$C$1509,CROQUIS_DATOS!$C$1513,CROQUIS_DATOS!$C$1517)=1,CROQUIS_DATOS!$C$1557,0)+1,IF(MOD(IF(CHOOSE(MIN(MAX(MIN(INT(($A16-1)/62)+1,5),1),5),CROQUIS_DATOS!$C$1501,CROQUIS_DATOS!$C$1505,CROQUIS_DATOS!$C$1509,CROQUIS_DATOS!$C$1513,CROQUIS_DATOS!$C$1517)=1,CROQUIS_DATOS!$C$1557,0),2)=1,1,0),IF(MOD(MIN(INT((MOD($A16-1,62)+1-2)/2)+1,MAX(IF(CHOOSE(MIN(MAX(MIN(INT(($A16-1)/62)+1,5),1),5),CROQUIS_DATOS!$C$1501,CROQUIS_DATOS!$C$1505,CROQUIS_DATOS!$C$1509,CROQUIS_DATOS!$C$1513,CROQUIS_DATOS!$C$1517)=1,CROQUIS_DATOS!$C$1557,0),1)),2)=1,IF(MOD(MOD($A16-1,62)+1-2,2)=0,0,1),IF(MOD(MOD($A16-1,62)+1-2,2)=0,1,0))))=0,(CHOOSE(MIN(MAX(MIN(INT(($A16-1)/62)+1,5),1),5),CROQUIS_DATOS!$C$1499,CROQUIS_DATOS!$C$1503,CROQUIS_DATOS!$C$1507,CROQUIS_DATOS!$C$1511,CROQUIS_DATOS!$C$1515)+IF(CHOOSE(MIN(MAX(MIN(INT(($A16-1)/62)+1,5),1),5),CROQUIS_DATOS!$C$1501,CROQUIS_DATOS!$C$1505,CROQUIS_DATOS!$C$1509,CROQUIS_DATOS!$C$1513,CROQUIS_DATOS!$C$1517)=1,CROQUIS_DATOS!$C$1526,0)),(CHOOSE(MIN(MAX(MIN(INT(($A16-1)/62)+1,5),1),5),CROQUIS_DATOS!$C$1499,CROQUIS_DATOS!$C$1503,CROQUIS_DATOS!$C$1507,CROQUIS_DATOS!$C$1511,CROQUIS_DATOS!$C$1515)+CHOOSE(MIN(MAX(MIN(INT(($A16-1)/62)+1,5),1),5),CROQUIS_DATOS!$C$1500,CROQUIS_DATOS!$C$1504,CROQUIS_DATOS!$C$1508,CROQUIS_DATOS!$C$1512,CROQUIS_DATOS!$C$1516)-IF(CHOOSE(MIN(MAX(MIN(INT(($A16-1)/62)+1,5),1),5),CROQUIS_DATOS!$C$1501,CROQUIS_DATOS!$C$1505,CROQUIS_DATOS!$C$1509,CROQUIS_DATOS!$C$1513,CROQUIS_DATOS!$C$1517)=1,CROQUIS_DATOS!$C$1526,0))))*CROQUIS_DATOS!$C$1562),-1000)</f>
        <v>-1000</v>
      </c>
      <c r="Q16">
        <f>IF(AND(CROQUIS_DATOS!$C$1472=1,CROQUIS_DATOS!$C$1555=1),(CROQUIS_DATOS!$C$1564+(IF(OR(OR(MOD($A16-1,62)+1=1,IF(CHOOSE(MIN(MAX(MIN(INT(($A16-1)/62)+1,5),1),5),CROQUIS_DATOS!$C$1501,CROQUIS_DATOS!$C$1505,CROQUIS_DATOS!$C$1509,CROQUIS_DATOS!$C$1513,CROQUIS_DATOS!$C$1517)=1,CROQUIS_DATOS!$C$1557,0)=0),MOD($A16-1,62)+1&gt;2*IF(CHOOSE(MIN(MAX(MIN(INT(($A16-1)/62)+1,5),1),5),CROQUIS_DATOS!$C$1501,CROQUIS_DATOS!$C$1505,CROQUIS_DATOS!$C$1509,CROQUIS_DATOS!$C$1513,CROQUIS_DATOS!$C$1517)=1,CROQUIS_DATOS!$C$1557,0)+1),CROQUIS_DATOS!$C$1476,MIN(INT((MOD($A16-1,62)+1-2)/2)+1,MAX(IF(CHOOSE(MIN(MAX(MIN(INT(($A16-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">
        <f>IF(AND(CROQUIS_DATOS!$C$1472=1,1),(CROQUIS_DATOS!$C$1563+(MIN(INT(($A16-1)/2)+1,CROQUIS_DATOS!$C$1558)*CROQUIS_DATOS!$C$1559)*CROQUIS_DATOS!$C$1562),-1000)</f>
        <v>28.5145888594164</v>
      </c>
      <c r="U16">
        <f>IF(AND(CROQUIS_DATOS!$C$1472=1,1),(CROQUIS_DATOS!$C$1564+(IF(INT(($A16-1)/2)+1&gt;CROQUIS_DATOS!$C$1558,IF(MOD(CROQUIS_DATOS!$C$1558,2)=1,CROQUIS_DATOS!$C$1476+CROQUIS_DATOS!$C$1528,CROQUIS_DATOS!$C$1476),IF(IF(MOD(MIN(INT(($A16-1)/2)+1,CROQUIS_DATOS!$C$1558),2)=1,MOD($A16-1,2),1-MOD($A16-1,2))=1,CROQUIS_DATOS!$C$1476+CROQUIS_DATOS!$C$1528,CROQUIS_DATOS!$C$1476)))*CROQUIS_DATOS!$C$1561*CROQUIS_DATOS!$C$1562),-1000)</f>
        <v>40.2068965517241</v>
      </c>
      <c r="BZ16">
        <f>IF(AND(CROQUIS_DATOS!$C$1472=1,CROQUIS_DATOS!$C$1500&gt;0,((CROQUIS_DATOS!$C$1499+CROQUIS_DATOS!$C$1500))-(CROQUIS_DATOS!$C$1499)&gt;0.5,(CROQUIS_DATOS!$C$1476)-(0)&gt;0.5),(CROQUIS_DATOS!$C$1566+(IF(IF(MOD(MIN(INT(($A16-1)/2)+1,MAX(1,INT(((((CROQUIS_DATOS!$C$1499+CROQUIS_DATOS!$C$1500))-(CROQUIS_DATOS!$C$1499))+((CROQUIS_DATOS!$C$1476)*CROQUIS_DATOS!$C$1561-(0)*CROQUIS_DATOS!$C$1561))/CROQUIS_DATOS!$C$1568-0.000001))),2)=1,IF(INT(($A16-1)/2)+1&gt;MAX(1,INT(((((CROQUIS_DATOS!$C$1499+CROQUIS_DATOS!$C$1500))-(CROQUIS_DATOS!$C$1499))+((CROQUIS_DATOS!$C$1476)*CROQUIS_DATOS!$C$1561-(0)*CROQUIS_DATOS!$C$1561))/CROQUIS_DATOS!$C$1568-0.000001)),1,MOD($A16-1,2)),1-IF(INT(($A16-1)/2)+1&gt;MAX(1,INT(((((CROQUIS_DATOS!$C$1499+CROQUIS_DATOS!$C$1500))-(CROQUIS_DATOS!$C$1499))+((CROQUIS_DATOS!$C$1476)*CROQUIS_DATOS!$C$1561-(0)*CROQUIS_DATOS!$C$1561))/CROQUIS_DATOS!$C$1568-0.000001)),1,MOD($A16-1,2)))=1,MIN((CROQUIS_DATOS!$C$1476)*CROQUIS_DATOS!$C$1561,((CROQUIS_DATOS!$C$1499+CROQUIS_DATOS!$C$1500)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16">
        <f>IF(AND(CROQUIS_DATOS!$C$1472=1,CROQUIS_DATOS!$C$1500&gt;0,((CROQUIS_DATOS!$C$1499+CROQUIS_DATOS!$C$1500))-(CROQUIS_DATOS!$C$1499)&gt;0.5,(CROQUIS_DATOS!$C$1476)-(0)&gt;0.5),(CROQUIS_DATOS!$C$1567+(IF(IF(MOD(MIN(INT(($A16-1)/2)+1,MAX(1,INT(((((CROQUIS_DATOS!$C$1499+CROQUIS_DATOS!$C$1500))-(CROQUIS_DATOS!$C$1499))+((CROQUIS_DATOS!$C$1476)*CROQUIS_DATOS!$C$1561-(0)*CROQUIS_DATOS!$C$1561))/CROQUIS_DATOS!$C$1568-0.000001))),2)=1,IF(INT(($A16-1)/2)+1&gt;MAX(1,INT(((((CROQUIS_DATOS!$C$1499+CROQUIS_DATOS!$C$1500))-(CROQUIS_DATOS!$C$1499))+((CROQUIS_DATOS!$C$1476)*CROQUIS_DATOS!$C$1561-(0)*CROQUIS_DATOS!$C$1561))/CROQUIS_DATOS!$C$1568-0.000001)),1,MOD($A16-1,2)),1-IF(INT(($A16-1)/2)+1&gt;MAX(1,INT(((((CROQUIS_DATOS!$C$1499+CROQUIS_DATOS!$C$1500))-(CROQUIS_DATOS!$C$1499))+((CROQUIS_DATOS!$C$1476)*CROQUIS_DATOS!$C$1561-(0)*CROQUIS_DATOS!$C$1561))/CROQUIS_DATOS!$C$1568-0.000001)),1,MOD($A16-1,2)))=1,MIN((CROQUIS_DATOS!$C$1476)*CROQUIS_DATOS!$C$1561,((CROQUIS_DATOS!$C$1499+CROQUIS_DATOS!$C$1500)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16-1)/2)+1,MAX(1,INT(((((CROQUIS_DATOS!$C$1499+CROQUIS_DATOS!$C$1500))-(CROQUIS_DATOS!$C$1499))+((CROQUIS_DATOS!$C$1476)*CROQUIS_DATOS!$C$1561-(0)*CROQUIS_DATOS!$C$1561))/CROQUIS_DATOS!$C$1568-0.000001)))*CROQUIS_DATOS!$C$1568))))*CROQUIS_DATOS!$C$1565),-1000)</f>
        <v>30.8620689655172</v>
      </c>
      <c r="CB16">
        <f>IF(AND(CROQUIS_DATOS!$C$1472=1,CROQUIS_DATOS!$C$1504&gt;0,((CROQUIS_DATOS!$C$1503+CROQUIS_DATOS!$C$1504))-(CROQUIS_DATOS!$C$1503)&gt;0.5,(CROQUIS_DATOS!$C$1476)-(0)&gt;0.5),(CROQUIS_DATOS!$C$1566+(IF(IF(MOD(MIN(INT(($A16-1)/2)+1,MAX(1,INT(((((CROQUIS_DATOS!$C$1503+CROQUIS_DATOS!$C$1504))-(CROQUIS_DATOS!$C$1503))+((CROQUIS_DATOS!$C$1476)*CROQUIS_DATOS!$C$1561-(0)*CROQUIS_DATOS!$C$1561))/CROQUIS_DATOS!$C$1568-0.000001))),2)=1,IF(INT(($A16-1)/2)+1&gt;MAX(1,INT(((((CROQUIS_DATOS!$C$1503+CROQUIS_DATOS!$C$1504))-(CROQUIS_DATOS!$C$1503))+((CROQUIS_DATOS!$C$1476)*CROQUIS_DATOS!$C$1561-(0)*CROQUIS_DATOS!$C$1561))/CROQUIS_DATOS!$C$1568-0.000001)),1,MOD($A16-1,2)),1-IF(INT(($A16-1)/2)+1&gt;MAX(1,INT(((((CROQUIS_DATOS!$C$1503+CROQUIS_DATOS!$C$1504))-(CROQUIS_DATOS!$C$1503))+((CROQUIS_DATOS!$C$1476)*CROQUIS_DATOS!$C$1561-(0)*CROQUIS_DATOS!$C$1561))/CROQUIS_DATOS!$C$1568-0.000001)),1,MOD($A16-1,2)))=1,MIN((CROQUIS_DATOS!$C$1476)*CROQUIS_DATOS!$C$1561,((CROQUIS_DATOS!$C$1503+CROQUIS_DATOS!$C$1504)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16">
        <f>IF(AND(CROQUIS_DATOS!$C$1472=1,CROQUIS_DATOS!$C$1504&gt;0,((CROQUIS_DATOS!$C$1503+CROQUIS_DATOS!$C$1504))-(CROQUIS_DATOS!$C$1503)&gt;0.5,(CROQUIS_DATOS!$C$1476)-(0)&gt;0.5),(CROQUIS_DATOS!$C$1567+(IF(IF(MOD(MIN(INT(($A16-1)/2)+1,MAX(1,INT(((((CROQUIS_DATOS!$C$1503+CROQUIS_DATOS!$C$1504))-(CROQUIS_DATOS!$C$1503))+((CROQUIS_DATOS!$C$1476)*CROQUIS_DATOS!$C$1561-(0)*CROQUIS_DATOS!$C$1561))/CROQUIS_DATOS!$C$1568-0.000001))),2)=1,IF(INT(($A16-1)/2)+1&gt;MAX(1,INT(((((CROQUIS_DATOS!$C$1503+CROQUIS_DATOS!$C$1504))-(CROQUIS_DATOS!$C$1503))+((CROQUIS_DATOS!$C$1476)*CROQUIS_DATOS!$C$1561-(0)*CROQUIS_DATOS!$C$1561))/CROQUIS_DATOS!$C$1568-0.000001)),1,MOD($A16-1,2)),1-IF(INT(($A16-1)/2)+1&gt;MAX(1,INT(((((CROQUIS_DATOS!$C$1503+CROQUIS_DATOS!$C$1504))-(CROQUIS_DATOS!$C$1503))+((CROQUIS_DATOS!$C$1476)*CROQUIS_DATOS!$C$1561-(0)*CROQUIS_DATOS!$C$1561))/CROQUIS_DATOS!$C$1568-0.000001)),1,MOD($A16-1,2)))=1,MIN((CROQUIS_DATOS!$C$1476)*CROQUIS_DATOS!$C$1561,((CROQUIS_DATOS!$C$1503+CROQUIS_DATOS!$C$1504)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16-1)/2)+1,MAX(1,INT(((((CROQUIS_DATOS!$C$1503+CROQUIS_DATOS!$C$1504))-(CROQUIS_DATOS!$C$1503))+((CROQUIS_DATOS!$C$1476)*CROQUIS_DATOS!$C$1561-(0)*CROQUIS_DATOS!$C$1561))/CROQUIS_DATOS!$C$1568-0.000001)))*CROQUIS_DATOS!$C$1568))))*CROQUIS_DATOS!$C$1565),-1000)</f>
        <v>30.8620689655172</v>
      </c>
      <c r="CD16">
        <f>IF(AND(CROQUIS_DATOS!$C$1472=1,CROQUIS_DATOS!$C$1508&gt;0,((CROQUIS_DATOS!$C$1507+CROQUIS_DATOS!$C$1508))-(CROQUIS_DATOS!$C$1507)&gt;0.5,(CROQUIS_DATOS!$C$1476)-(0)&gt;0.5),(CROQUIS_DATOS!$C$1566+(IF(IF(MOD(MIN(INT(($A16-1)/2)+1,MAX(1,INT(((((CROQUIS_DATOS!$C$1507+CROQUIS_DATOS!$C$1508))-(CROQUIS_DATOS!$C$1507))+((CROQUIS_DATOS!$C$1476)*CROQUIS_DATOS!$C$1561-(0)*CROQUIS_DATOS!$C$1561))/CROQUIS_DATOS!$C$1568-0.000001))),2)=1,IF(INT(($A16-1)/2)+1&gt;MAX(1,INT(((((CROQUIS_DATOS!$C$1507+CROQUIS_DATOS!$C$1508))-(CROQUIS_DATOS!$C$1507))+((CROQUIS_DATOS!$C$1476)*CROQUIS_DATOS!$C$1561-(0)*CROQUIS_DATOS!$C$1561))/CROQUIS_DATOS!$C$1568-0.000001)),1,MOD($A16-1,2)),1-IF(INT(($A16-1)/2)+1&gt;MAX(1,INT(((((CROQUIS_DATOS!$C$1507+CROQUIS_DATOS!$C$1508))-(CROQUIS_DATOS!$C$1507))+((CROQUIS_DATOS!$C$1476)*CROQUIS_DATOS!$C$1561-(0)*CROQUIS_DATOS!$C$1561))/CROQUIS_DATOS!$C$1568-0.000001)),1,MOD($A16-1,2)))=1,MIN((CROQUIS_DATOS!$C$1476)*CROQUIS_DATOS!$C$1561,((CROQUIS_DATOS!$C$1507+CROQUIS_DATOS!$C$1508)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16">
        <f>IF(AND(CROQUIS_DATOS!$C$1472=1,CROQUIS_DATOS!$C$1508&gt;0,((CROQUIS_DATOS!$C$1507+CROQUIS_DATOS!$C$1508))-(CROQUIS_DATOS!$C$1507)&gt;0.5,(CROQUIS_DATOS!$C$1476)-(0)&gt;0.5),(CROQUIS_DATOS!$C$1567+(IF(IF(MOD(MIN(INT(($A16-1)/2)+1,MAX(1,INT(((((CROQUIS_DATOS!$C$1507+CROQUIS_DATOS!$C$1508))-(CROQUIS_DATOS!$C$1507))+((CROQUIS_DATOS!$C$1476)*CROQUIS_DATOS!$C$1561-(0)*CROQUIS_DATOS!$C$1561))/CROQUIS_DATOS!$C$1568-0.000001))),2)=1,IF(INT(($A16-1)/2)+1&gt;MAX(1,INT(((((CROQUIS_DATOS!$C$1507+CROQUIS_DATOS!$C$1508))-(CROQUIS_DATOS!$C$1507))+((CROQUIS_DATOS!$C$1476)*CROQUIS_DATOS!$C$1561-(0)*CROQUIS_DATOS!$C$1561))/CROQUIS_DATOS!$C$1568-0.000001)),1,MOD($A16-1,2)),1-IF(INT(($A16-1)/2)+1&gt;MAX(1,INT(((((CROQUIS_DATOS!$C$1507+CROQUIS_DATOS!$C$1508))-(CROQUIS_DATOS!$C$1507))+((CROQUIS_DATOS!$C$1476)*CROQUIS_DATOS!$C$1561-(0)*CROQUIS_DATOS!$C$1561))/CROQUIS_DATOS!$C$1568-0.000001)),1,MOD($A16-1,2)))=1,MIN((CROQUIS_DATOS!$C$1476)*CROQUIS_DATOS!$C$1561,((CROQUIS_DATOS!$C$1507+CROQUIS_DATOS!$C$1508)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16-1)/2)+1,MAX(1,INT(((((CROQUIS_DATOS!$C$1507+CROQUIS_DATOS!$C$1508))-(CROQUIS_DATOS!$C$1507))+((CROQUIS_DATOS!$C$1476)*CROQUIS_DATOS!$C$1561-(0)*CROQUIS_DATOS!$C$1561))/CROQUIS_DATOS!$C$1568-0.000001)))*CROQUIS_DATOS!$C$1568))))*CROQUIS_DATOS!$C$1565),-1000)</f>
        <v>30.8620689655172</v>
      </c>
      <c r="CF16">
        <f>IF(AND(CROQUIS_DATOS!$C$1472=1,CROQUIS_DATOS!$C$1512&gt;0,((CROQUIS_DATOS!$C$1511+CROQUIS_DATOS!$C$1512))-(CROQUIS_DATOS!$C$1511)&gt;0.5,(CROQUIS_DATOS!$C$1476)-(0)&gt;0.5),(CROQUIS_DATOS!$C$1566+(IF(IF(MOD(MIN(INT(($A16-1)/2)+1,MAX(1,INT(((((CROQUIS_DATOS!$C$1511+CROQUIS_DATOS!$C$1512))-(CROQUIS_DATOS!$C$1511))+((CROQUIS_DATOS!$C$1476)*CROQUIS_DATOS!$C$1561-(0)*CROQUIS_DATOS!$C$1561))/CROQUIS_DATOS!$C$1568-0.000001))),2)=1,IF(INT(($A16-1)/2)+1&gt;MAX(1,INT(((((CROQUIS_DATOS!$C$1511+CROQUIS_DATOS!$C$1512))-(CROQUIS_DATOS!$C$1511))+((CROQUIS_DATOS!$C$1476)*CROQUIS_DATOS!$C$1561-(0)*CROQUIS_DATOS!$C$1561))/CROQUIS_DATOS!$C$1568-0.000001)),1,MOD($A16-1,2)),1-IF(INT(($A16-1)/2)+1&gt;MAX(1,INT(((((CROQUIS_DATOS!$C$1511+CROQUIS_DATOS!$C$1512))-(CROQUIS_DATOS!$C$1511))+((CROQUIS_DATOS!$C$1476)*CROQUIS_DATOS!$C$1561-(0)*CROQUIS_DATOS!$C$1561))/CROQUIS_DATOS!$C$1568-0.000001)),1,MOD($A16-1,2)))=1,MIN((CROQUIS_DATOS!$C$1476)*CROQUIS_DATOS!$C$1561,((CROQUIS_DATOS!$C$1511+CROQUIS_DATOS!$C$1512)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6">
        <f>IF(AND(CROQUIS_DATOS!$C$1472=1,CROQUIS_DATOS!$C$1512&gt;0,((CROQUIS_DATOS!$C$1511+CROQUIS_DATOS!$C$1512))-(CROQUIS_DATOS!$C$1511)&gt;0.5,(CROQUIS_DATOS!$C$1476)-(0)&gt;0.5),(CROQUIS_DATOS!$C$1567+(IF(IF(MOD(MIN(INT(($A16-1)/2)+1,MAX(1,INT(((((CROQUIS_DATOS!$C$1511+CROQUIS_DATOS!$C$1512))-(CROQUIS_DATOS!$C$1511))+((CROQUIS_DATOS!$C$1476)*CROQUIS_DATOS!$C$1561-(0)*CROQUIS_DATOS!$C$1561))/CROQUIS_DATOS!$C$1568-0.000001))),2)=1,IF(INT(($A16-1)/2)+1&gt;MAX(1,INT(((((CROQUIS_DATOS!$C$1511+CROQUIS_DATOS!$C$1512))-(CROQUIS_DATOS!$C$1511))+((CROQUIS_DATOS!$C$1476)*CROQUIS_DATOS!$C$1561-(0)*CROQUIS_DATOS!$C$1561))/CROQUIS_DATOS!$C$1568-0.000001)),1,MOD($A16-1,2)),1-IF(INT(($A16-1)/2)+1&gt;MAX(1,INT(((((CROQUIS_DATOS!$C$1511+CROQUIS_DATOS!$C$1512))-(CROQUIS_DATOS!$C$1511))+((CROQUIS_DATOS!$C$1476)*CROQUIS_DATOS!$C$1561-(0)*CROQUIS_DATOS!$C$1561))/CROQUIS_DATOS!$C$1568-0.000001)),1,MOD($A16-1,2)))=1,MIN((CROQUIS_DATOS!$C$1476)*CROQUIS_DATOS!$C$1561,((CROQUIS_DATOS!$C$1511+CROQUIS_DATOS!$C$1512)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6">
        <f>IF(AND(CROQUIS_DATOS!$C$1472=1,CROQUIS_DATOS!$C$1516&gt;0,((CROQUIS_DATOS!$C$1515+CROQUIS_DATOS!$C$1516))-(CROQUIS_DATOS!$C$1515)&gt;0.5,(CROQUIS_DATOS!$C$1476)-(0)&gt;0.5),(CROQUIS_DATOS!$C$1566+(IF(IF(MOD(MIN(INT(($A16-1)/2)+1,MAX(1,INT(((((CROQUIS_DATOS!$C$1515+CROQUIS_DATOS!$C$1516))-(CROQUIS_DATOS!$C$1515))+((CROQUIS_DATOS!$C$1476)*CROQUIS_DATOS!$C$1561-(0)*CROQUIS_DATOS!$C$1561))/CROQUIS_DATOS!$C$1568-0.000001))),2)=1,IF(INT(($A16-1)/2)+1&gt;MAX(1,INT(((((CROQUIS_DATOS!$C$1515+CROQUIS_DATOS!$C$1516))-(CROQUIS_DATOS!$C$1515))+((CROQUIS_DATOS!$C$1476)*CROQUIS_DATOS!$C$1561-(0)*CROQUIS_DATOS!$C$1561))/CROQUIS_DATOS!$C$1568-0.000001)),1,MOD($A16-1,2)),1-IF(INT(($A16-1)/2)+1&gt;MAX(1,INT(((((CROQUIS_DATOS!$C$1515+CROQUIS_DATOS!$C$1516))-(CROQUIS_DATOS!$C$1515))+((CROQUIS_DATOS!$C$1476)*CROQUIS_DATOS!$C$1561-(0)*CROQUIS_DATOS!$C$1561))/CROQUIS_DATOS!$C$1568-0.000001)),1,MOD($A16-1,2)))=1,MIN((CROQUIS_DATOS!$C$1476)*CROQUIS_DATOS!$C$1561,((CROQUIS_DATOS!$C$1515+CROQUIS_DATOS!$C$1516)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6">
        <f>IF(AND(CROQUIS_DATOS!$C$1472=1,CROQUIS_DATOS!$C$1516&gt;0,((CROQUIS_DATOS!$C$1515+CROQUIS_DATOS!$C$1516))-(CROQUIS_DATOS!$C$1515)&gt;0.5,(CROQUIS_DATOS!$C$1476)-(0)&gt;0.5),(CROQUIS_DATOS!$C$1567+(IF(IF(MOD(MIN(INT(($A16-1)/2)+1,MAX(1,INT(((((CROQUIS_DATOS!$C$1515+CROQUIS_DATOS!$C$1516))-(CROQUIS_DATOS!$C$1515))+((CROQUIS_DATOS!$C$1476)*CROQUIS_DATOS!$C$1561-(0)*CROQUIS_DATOS!$C$1561))/CROQUIS_DATOS!$C$1568-0.000001))),2)=1,IF(INT(($A16-1)/2)+1&gt;MAX(1,INT(((((CROQUIS_DATOS!$C$1515+CROQUIS_DATOS!$C$1516))-(CROQUIS_DATOS!$C$1515))+((CROQUIS_DATOS!$C$1476)*CROQUIS_DATOS!$C$1561-(0)*CROQUIS_DATOS!$C$1561))/CROQUIS_DATOS!$C$1568-0.000001)),1,MOD($A16-1,2)),1-IF(INT(($A16-1)/2)+1&gt;MAX(1,INT(((((CROQUIS_DATOS!$C$1515+CROQUIS_DATOS!$C$1516))-(CROQUIS_DATOS!$C$1515))+((CROQUIS_DATOS!$C$1476)*CROQUIS_DATOS!$C$1561-(0)*CROQUIS_DATOS!$C$1561))/CROQUIS_DATOS!$C$1568-0.000001)),1,MOD($A16-1,2)))=1,MIN((CROQUIS_DATOS!$C$1476)*CROQUIS_DATOS!$C$1561,((CROQUIS_DATOS!$C$1515+CROQUIS_DATOS!$C$1516)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6">
        <f>IF(AND(CROQUIS_DATOS!$C$1472=1,CROQUIS_DATOS!$C$1478&gt;=1,((CROQUIS_DATOS!$C$1479+CROQUIS_DATOS!$C$1480))-(CROQUIS_DATOS!$C$1479)&gt;0.5,(CROQUIS_DATOS!$C$1481)-(0)&gt;0.5),(CROQUIS_DATOS!$C$1566+(IF(IF(MOD(MIN(INT(($A16-1)/2)+1,MAX(1,INT(((((CROQUIS_DATOS!$C$1479+CROQUIS_DATOS!$C$1480))-(CROQUIS_DATOS!$C$1479))+((CROQUIS_DATOS!$C$1481)*CROQUIS_DATOS!$C$1561-(0)*CROQUIS_DATOS!$C$1561))/CROQUIS_DATOS!$C$1568-0.000001))),2)=1,IF(INT(($A16-1)/2)+1&gt;MAX(1,INT(((((CROQUIS_DATOS!$C$1479+CROQUIS_DATOS!$C$1480))-(CROQUIS_DATOS!$C$1479))+((CROQUIS_DATOS!$C$1481)*CROQUIS_DATOS!$C$1561-(0)*CROQUIS_DATOS!$C$1561))/CROQUIS_DATOS!$C$1568-0.000001)),1,MOD($A16-1,2)),1-IF(INT(($A16-1)/2)+1&gt;MAX(1,INT(((((CROQUIS_DATOS!$C$1479+CROQUIS_DATOS!$C$1480))-(CROQUIS_DATOS!$C$1479))+((CROQUIS_DATOS!$C$1481)*CROQUIS_DATOS!$C$1561-(0)*CROQUIS_DATOS!$C$1561))/CROQUIS_DATOS!$C$1568-0.000001)),1,MOD($A16-1,2)))=1,MIN((CROQUIS_DATOS!$C$1481)*CROQUIS_DATOS!$C$1561,((CROQUIS_DATOS!$C$1479+CROQUIS_DATOS!$C$1480)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6">
        <f>IF(AND(CROQUIS_DATOS!$C$1472=1,CROQUIS_DATOS!$C$1478&gt;=1,((CROQUIS_DATOS!$C$1479+CROQUIS_DATOS!$C$1480))-(CROQUIS_DATOS!$C$1479)&gt;0.5,(CROQUIS_DATOS!$C$1481)-(0)&gt;0.5),(CROQUIS_DATOS!$C$1567+(IF(IF(MOD(MIN(INT(($A16-1)/2)+1,MAX(1,INT(((((CROQUIS_DATOS!$C$1479+CROQUIS_DATOS!$C$1480))-(CROQUIS_DATOS!$C$1479))+((CROQUIS_DATOS!$C$1481)*CROQUIS_DATOS!$C$1561-(0)*CROQUIS_DATOS!$C$1561))/CROQUIS_DATOS!$C$1568-0.000001))),2)=1,IF(INT(($A16-1)/2)+1&gt;MAX(1,INT(((((CROQUIS_DATOS!$C$1479+CROQUIS_DATOS!$C$1480))-(CROQUIS_DATOS!$C$1479))+((CROQUIS_DATOS!$C$1481)*CROQUIS_DATOS!$C$1561-(0)*CROQUIS_DATOS!$C$1561))/CROQUIS_DATOS!$C$1568-0.000001)),1,MOD($A16-1,2)),1-IF(INT(($A16-1)/2)+1&gt;MAX(1,INT(((((CROQUIS_DATOS!$C$1479+CROQUIS_DATOS!$C$1480))-(CROQUIS_DATOS!$C$1479))+((CROQUIS_DATOS!$C$1481)*CROQUIS_DATOS!$C$1561-(0)*CROQUIS_DATOS!$C$1561))/CROQUIS_DATOS!$C$1568-0.000001)),1,MOD($A16-1,2)))=1,MIN((CROQUIS_DATOS!$C$1481)*CROQUIS_DATOS!$C$1561,((CROQUIS_DATOS!$C$1479+CROQUIS_DATOS!$C$1480)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6">
        <f>IF(AND(CROQUIS_DATOS!$C$1472=1,CROQUIS_DATOS!$C$1478&gt;=1,((CROQUIS_DATOS!$C$1479+CROQUIS_DATOS!$C$1480))-(CROQUIS_DATOS!$C$1479)&gt;0.5,(CROQUIS_DATOS!$C$1476)-((CROQUIS_DATOS!$C$1481+CROQUIS_DATOS!$C$1482))&gt;0.5),(CROQUIS_DATOS!$C$1566+(IF(IF(MOD(MIN(INT(($A16-1)/2)+1,MAX(1,INT(((((CROQUIS_DATOS!$C$1479+CROQUIS_DATOS!$C$1480))-(CROQUIS_DATOS!$C$1479))+((CROQUIS_DATOS!$C$1476)*CROQUIS_DATOS!$C$1561-((CROQUIS_DATOS!$C$1481+CROQUIS_DATOS!$C$1482))*CROQUIS_DATOS!$C$1561))/CROQUIS_DATOS!$C$1568-0.000001))),2)=1,IF(INT(($A16-1)/2)+1&gt;MAX(1,INT(((((CROQUIS_DATOS!$C$1479+CROQUIS_DATOS!$C$1480))-(CROQUIS_DATOS!$C$1479))+((CROQUIS_DATOS!$C$1476)*CROQUIS_DATOS!$C$1561-((CROQUIS_DATOS!$C$1481+CROQUIS_DATOS!$C$1482))*CROQUIS_DATOS!$C$1561))/CROQUIS_DATOS!$C$1568-0.000001)),1,MOD($A16-1,2)),1-IF(INT(($A16-1)/2)+1&gt;MAX(1,INT(((((CROQUIS_DATOS!$C$1479+CROQUIS_DATOS!$C$1480))-(CROQUIS_DATOS!$C$1479))+((CROQUIS_DATOS!$C$1476)*CROQUIS_DATOS!$C$1561-((CROQUIS_DATOS!$C$1481+CROQUIS_DATOS!$C$1482))*CROQUIS_DATOS!$C$1561))/CROQUIS_DATOS!$C$1568-0.000001)),1,MOD($A16-1,2)))=1,MIN((CROQUIS_DATOS!$C$1476)*CROQUIS_DATOS!$C$1561,((CROQUIS_DATOS!$C$1479+CROQUIS_DATOS!$C$1480)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32.2758620689655</v>
      </c>
      <c r="CM16">
        <f>IF(AND(CROQUIS_DATOS!$C$1472=1,CROQUIS_DATOS!$C$1478&gt;=1,((CROQUIS_DATOS!$C$1479+CROQUIS_DATOS!$C$1480))-(CROQUIS_DATOS!$C$1479)&gt;0.5,(CROQUIS_DATOS!$C$1476)-((CROQUIS_DATOS!$C$1481+CROQUIS_DATOS!$C$1482))&gt;0.5),(CROQUIS_DATOS!$C$1567+(IF(IF(MOD(MIN(INT(($A16-1)/2)+1,MAX(1,INT(((((CROQUIS_DATOS!$C$1479+CROQUIS_DATOS!$C$1480))-(CROQUIS_DATOS!$C$1479))+((CROQUIS_DATOS!$C$1476)*CROQUIS_DATOS!$C$1561-((CROQUIS_DATOS!$C$1481+CROQUIS_DATOS!$C$1482))*CROQUIS_DATOS!$C$1561))/CROQUIS_DATOS!$C$1568-0.000001))),2)=1,IF(INT(($A16-1)/2)+1&gt;MAX(1,INT(((((CROQUIS_DATOS!$C$1479+CROQUIS_DATOS!$C$1480))-(CROQUIS_DATOS!$C$1479))+((CROQUIS_DATOS!$C$1476)*CROQUIS_DATOS!$C$1561-((CROQUIS_DATOS!$C$1481+CROQUIS_DATOS!$C$1482))*CROQUIS_DATOS!$C$1561))/CROQUIS_DATOS!$C$1568-0.000001)),1,MOD($A16-1,2)),1-IF(INT(($A16-1)/2)+1&gt;MAX(1,INT(((((CROQUIS_DATOS!$C$1479+CROQUIS_DATOS!$C$1480))-(CROQUIS_DATOS!$C$1479))+((CROQUIS_DATOS!$C$1476)*CROQUIS_DATOS!$C$1561-((CROQUIS_DATOS!$C$1481+CROQUIS_DATOS!$C$1482))*CROQUIS_DATOS!$C$1561))/CROQUIS_DATOS!$C$1568-0.000001)),1,MOD($A16-1,2)))=1,MIN((CROQUIS_DATOS!$C$1476)*CROQUIS_DATOS!$C$1561,((CROQUIS_DATOS!$C$1479+CROQUIS_DATOS!$C$1480)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6">
        <f>IF(AND(CROQUIS_DATOS!$C$1472=1,CROQUIS_DATOS!$C$1478&gt;=2,((CROQUIS_DATOS!$C$1484+CROQUIS_DATOS!$C$1485))-(CROQUIS_DATOS!$C$1484)&gt;0.5,(CROQUIS_DATOS!$C$1486)-(0)&gt;0.5),(CROQUIS_DATOS!$C$1566+(IF(IF(MOD(MIN(INT(($A16-1)/2)+1,MAX(1,INT(((((CROQUIS_DATOS!$C$1484+CROQUIS_DATOS!$C$1485))-(CROQUIS_DATOS!$C$1484))+((CROQUIS_DATOS!$C$1486)*CROQUIS_DATOS!$C$1561-(0)*CROQUIS_DATOS!$C$1561))/CROQUIS_DATOS!$C$1568-0.000001))),2)=1,IF(INT(($A16-1)/2)+1&gt;MAX(1,INT(((((CROQUIS_DATOS!$C$1484+CROQUIS_DATOS!$C$1485))-(CROQUIS_DATOS!$C$1484))+((CROQUIS_DATOS!$C$1486)*CROQUIS_DATOS!$C$1561-(0)*CROQUIS_DATOS!$C$1561))/CROQUIS_DATOS!$C$1568-0.000001)),1,MOD($A16-1,2)),1-IF(INT(($A16-1)/2)+1&gt;MAX(1,INT(((((CROQUIS_DATOS!$C$1484+CROQUIS_DATOS!$C$1485))-(CROQUIS_DATOS!$C$1484))+((CROQUIS_DATOS!$C$1486)*CROQUIS_DATOS!$C$1561-(0)*CROQUIS_DATOS!$C$1561))/CROQUIS_DATOS!$C$1568-0.000001)),1,MOD($A16-1,2)))=1,MIN((CROQUIS_DATOS!$C$1486)*CROQUIS_DATOS!$C$1561,((CROQUIS_DATOS!$C$1484+CROQUIS_DATOS!$C$1485)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*CROQUIS_DATOS!$C$1565),-1000)</f>
        <v>48.8620689655172</v>
      </c>
      <c r="CS16">
        <f>IF(AND(CROQUIS_DATOS!$C$1472=1,CROQUIS_DATOS!$C$1478&gt;=2,((CROQUIS_DATOS!$C$1484+CROQUIS_DATOS!$C$1485))-(CROQUIS_DATOS!$C$1484)&gt;0.5,(CROQUIS_DATOS!$C$1486)-(0)&gt;0.5),(CROQUIS_DATOS!$C$1567+(IF(IF(MOD(MIN(INT(($A16-1)/2)+1,MAX(1,INT(((((CROQUIS_DATOS!$C$1484+CROQUIS_DATOS!$C$1485))-(CROQUIS_DATOS!$C$1484))+((CROQUIS_DATOS!$C$1486)*CROQUIS_DATOS!$C$1561-(0)*CROQUIS_DATOS!$C$1561))/CROQUIS_DATOS!$C$1568-0.000001))),2)=1,IF(INT(($A16-1)/2)+1&gt;MAX(1,INT(((((CROQUIS_DATOS!$C$1484+CROQUIS_DATOS!$C$1485))-(CROQUIS_DATOS!$C$1484))+((CROQUIS_DATOS!$C$1486)*CROQUIS_DATOS!$C$1561-(0)*CROQUIS_DATOS!$C$1561))/CROQUIS_DATOS!$C$1568-0.000001)),1,MOD($A16-1,2)),1-IF(INT(($A16-1)/2)+1&gt;MAX(1,INT(((((CROQUIS_DATOS!$C$1484+CROQUIS_DATOS!$C$1485))-(CROQUIS_DATOS!$C$1484))+((CROQUIS_DATOS!$C$1486)*CROQUIS_DATOS!$C$1561-(0)*CROQUIS_DATOS!$C$1561))/CROQUIS_DATOS!$C$1568-0.000001)),1,MOD($A16-1,2)))=1,MIN((CROQUIS_DATOS!$C$1486)*CROQUIS_DATOS!$C$1561,((CROQUIS_DATOS!$C$1484+CROQUIS_DATOS!$C$1485)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16-1)/2)+1,MAX(1,INT(((((CROQUIS_DATOS!$C$1484+CROQUIS_DATOS!$C$1485))-(CROQUIS_DATOS!$C$1484))+((CROQUIS_DATOS!$C$1486)*CROQUIS_DATOS!$C$1561-(0)*CROQUIS_DATOS!$C$1561))/CROQUIS_DATOS!$C$1568-0.000001)))*CROQUIS_DATOS!$C$1568))))*CROQUIS_DATOS!$C$1565),-1000)</f>
        <v>13.7586206896552</v>
      </c>
      <c r="CT16">
        <f>IF(AND(CROQUIS_DATOS!$C$1472=1,CROQUIS_DATOS!$C$1478&gt;=2,((CROQUIS_DATOS!$C$1484+CROQUIS_DATOS!$C$1485))-(CROQUIS_DATOS!$C$1484)&gt;0.5,(CROQUIS_DATOS!$C$1476)-((CROQUIS_DATOS!$C$1486+CROQUIS_DATOS!$C$1487))&gt;0.5),(CROQUIS_DATOS!$C$1566+(IF(IF(MOD(MIN(INT(($A16-1)/2)+1,MAX(1,INT(((((CROQUIS_DATOS!$C$1484+CROQUIS_DATOS!$C$1485))-(CROQUIS_DATOS!$C$1484))+((CROQUIS_DATOS!$C$1476)*CROQUIS_DATOS!$C$1561-((CROQUIS_DATOS!$C$1486+CROQUIS_DATOS!$C$1487))*CROQUIS_DATOS!$C$1561))/CROQUIS_DATOS!$C$1568-0.000001))),2)=1,IF(INT(($A16-1)/2)+1&gt;MAX(1,INT(((((CROQUIS_DATOS!$C$1484+CROQUIS_DATOS!$C$1485))-(CROQUIS_DATOS!$C$1484))+((CROQUIS_DATOS!$C$1476)*CROQUIS_DATOS!$C$1561-((CROQUIS_DATOS!$C$1486+CROQUIS_DATOS!$C$1487))*CROQUIS_DATOS!$C$1561))/CROQUIS_DATOS!$C$1568-0.000001)),1,MOD($A16-1,2)),1-IF(INT(($A16-1)/2)+1&gt;MAX(1,INT(((((CROQUIS_DATOS!$C$1484+CROQUIS_DATOS!$C$1485))-(CROQUIS_DATOS!$C$1484))+((CROQUIS_DATOS!$C$1476)*CROQUIS_DATOS!$C$1561-((CROQUIS_DATOS!$C$1486+CROQUIS_DATOS!$C$1487))*CROQUIS_DATOS!$C$1561))/CROQUIS_DATOS!$C$1568-0.000001)),1,MOD($A16-1,2)))=1,MIN((CROQUIS_DATOS!$C$1476)*CROQUIS_DATOS!$C$1561,((CROQUIS_DATOS!$C$1484+CROQUIS_DATOS!$C$1485)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52.5862068965517</v>
      </c>
      <c r="CU16">
        <f>IF(AND(CROQUIS_DATOS!$C$1472=1,CROQUIS_DATOS!$C$1478&gt;=2,((CROQUIS_DATOS!$C$1484+CROQUIS_DATOS!$C$1485))-(CROQUIS_DATOS!$C$1484)&gt;0.5,(CROQUIS_DATOS!$C$1476)-((CROQUIS_DATOS!$C$1486+CROQUIS_DATOS!$C$1487))&gt;0.5),(CROQUIS_DATOS!$C$1567+(IF(IF(MOD(MIN(INT(($A16-1)/2)+1,MAX(1,INT(((((CROQUIS_DATOS!$C$1484+CROQUIS_DATOS!$C$1485))-(CROQUIS_DATOS!$C$1484))+((CROQUIS_DATOS!$C$1476)*CROQUIS_DATOS!$C$1561-((CROQUIS_DATOS!$C$1486+CROQUIS_DATOS!$C$1487))*CROQUIS_DATOS!$C$1561))/CROQUIS_DATOS!$C$1568-0.000001))),2)=1,IF(INT(($A16-1)/2)+1&gt;MAX(1,INT(((((CROQUIS_DATOS!$C$1484+CROQUIS_DATOS!$C$1485))-(CROQUIS_DATOS!$C$1484))+((CROQUIS_DATOS!$C$1476)*CROQUIS_DATOS!$C$1561-((CROQUIS_DATOS!$C$1486+CROQUIS_DATOS!$C$1487))*CROQUIS_DATOS!$C$1561))/CROQUIS_DATOS!$C$1568-0.000001)),1,MOD($A16-1,2)),1-IF(INT(($A16-1)/2)+1&gt;MAX(1,INT(((((CROQUIS_DATOS!$C$1484+CROQUIS_DATOS!$C$1485))-(CROQUIS_DATOS!$C$1484))+((CROQUIS_DATOS!$C$1476)*CROQUIS_DATOS!$C$1561-((CROQUIS_DATOS!$C$1486+CROQUIS_DATOS!$C$1487))*CROQUIS_DATOS!$C$1561))/CROQUIS_DATOS!$C$1568-0.000001)),1,MOD($A16-1,2)))=1,MIN((CROQUIS_DATOS!$C$1476)*CROQUIS_DATOS!$C$1561,((CROQUIS_DATOS!$C$1484+CROQUIS_DATOS!$C$1485)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6">
        <f>IF(AND(CROQUIS_DATOS!$C$1472=1,CROQUIS_DATOS!$C$1478&gt;=3,((CROQUIS_DATOS!$C$1489+CROQUIS_DATOS!$C$1490))-(CROQUIS_DATOS!$C$1489)&gt;0.5,(CROQUIS_DATOS!$C$1491)-(0)&gt;0.5),(CROQUIS_DATOS!$C$1566+(IF(IF(MOD(MIN(INT(($A16-1)/2)+1,MAX(1,INT(((((CROQUIS_DATOS!$C$1489+CROQUIS_DATOS!$C$1490))-(CROQUIS_DATOS!$C$1489))+((CROQUIS_DATOS!$C$1491)*CROQUIS_DATOS!$C$1561-(0)*CROQUIS_DATOS!$C$1561))/CROQUIS_DATOS!$C$1568-0.000001))),2)=1,IF(INT(($A16-1)/2)+1&gt;MAX(1,INT(((((CROQUIS_DATOS!$C$1489+CROQUIS_DATOS!$C$1490))-(CROQUIS_DATOS!$C$1489))+((CROQUIS_DATOS!$C$1491)*CROQUIS_DATOS!$C$1561-(0)*CROQUIS_DATOS!$C$1561))/CROQUIS_DATOS!$C$1568-0.000001)),1,MOD($A16-1,2)),1-IF(INT(($A16-1)/2)+1&gt;MAX(1,INT(((((CROQUIS_DATOS!$C$1489+CROQUIS_DATOS!$C$1490))-(CROQUIS_DATOS!$C$1489))+((CROQUIS_DATOS!$C$1491)*CROQUIS_DATOS!$C$1561-(0)*CROQUIS_DATOS!$C$1561))/CROQUIS_DATOS!$C$1568-0.000001)),1,MOD($A16-1,2)))=1,MIN((CROQUIS_DATOS!$C$1491)*CROQUIS_DATOS!$C$1561,((CROQUIS_DATOS!$C$1489+CROQUIS_DATOS!$C$1490)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6">
        <f>IF(AND(CROQUIS_DATOS!$C$1472=1,CROQUIS_DATOS!$C$1478&gt;=3,((CROQUIS_DATOS!$C$1489+CROQUIS_DATOS!$C$1490))-(CROQUIS_DATOS!$C$1489)&gt;0.5,(CROQUIS_DATOS!$C$1491)-(0)&gt;0.5),(CROQUIS_DATOS!$C$1567+(IF(IF(MOD(MIN(INT(($A16-1)/2)+1,MAX(1,INT(((((CROQUIS_DATOS!$C$1489+CROQUIS_DATOS!$C$1490))-(CROQUIS_DATOS!$C$1489))+((CROQUIS_DATOS!$C$1491)*CROQUIS_DATOS!$C$1561-(0)*CROQUIS_DATOS!$C$1561))/CROQUIS_DATOS!$C$1568-0.000001))),2)=1,IF(INT(($A16-1)/2)+1&gt;MAX(1,INT(((((CROQUIS_DATOS!$C$1489+CROQUIS_DATOS!$C$1490))-(CROQUIS_DATOS!$C$1489))+((CROQUIS_DATOS!$C$1491)*CROQUIS_DATOS!$C$1561-(0)*CROQUIS_DATOS!$C$1561))/CROQUIS_DATOS!$C$1568-0.000001)),1,MOD($A16-1,2)),1-IF(INT(($A16-1)/2)+1&gt;MAX(1,INT(((((CROQUIS_DATOS!$C$1489+CROQUIS_DATOS!$C$1490))-(CROQUIS_DATOS!$C$1489))+((CROQUIS_DATOS!$C$1491)*CROQUIS_DATOS!$C$1561-(0)*CROQUIS_DATOS!$C$1561))/CROQUIS_DATOS!$C$1568-0.000001)),1,MOD($A16-1,2)))=1,MIN((CROQUIS_DATOS!$C$1491)*CROQUIS_DATOS!$C$1561,((CROQUIS_DATOS!$C$1489+CROQUIS_DATOS!$C$1490)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6">
        <f>IF(AND(CROQUIS_DATOS!$C$1472=1,CROQUIS_DATOS!$C$1478&gt;=3,((CROQUIS_DATOS!$C$1489+CROQUIS_DATOS!$C$1490))-(CROQUIS_DATOS!$C$1489)&gt;0.5,(CROQUIS_DATOS!$C$1476)-((CROQUIS_DATOS!$C$1491+CROQUIS_DATOS!$C$1492))&gt;0.5),(CROQUIS_DATOS!$C$1566+(IF(IF(MOD(MIN(INT(($A16-1)/2)+1,MAX(1,INT(((((CROQUIS_DATOS!$C$1489+CROQUIS_DATOS!$C$1490))-(CROQUIS_DATOS!$C$1489))+((CROQUIS_DATOS!$C$1476)*CROQUIS_DATOS!$C$1561-((CROQUIS_DATOS!$C$1491+CROQUIS_DATOS!$C$1492))*CROQUIS_DATOS!$C$1561))/CROQUIS_DATOS!$C$1568-0.000001))),2)=1,IF(INT(($A16-1)/2)+1&gt;MAX(1,INT(((((CROQUIS_DATOS!$C$1489+CROQUIS_DATOS!$C$1490))-(CROQUIS_DATOS!$C$1489))+((CROQUIS_DATOS!$C$1476)*CROQUIS_DATOS!$C$1561-((CROQUIS_DATOS!$C$1491+CROQUIS_DATOS!$C$1492))*CROQUIS_DATOS!$C$1561))/CROQUIS_DATOS!$C$1568-0.000001)),1,MOD($A16-1,2)),1-IF(INT(($A16-1)/2)+1&gt;MAX(1,INT(((((CROQUIS_DATOS!$C$1489+CROQUIS_DATOS!$C$1490))-(CROQUIS_DATOS!$C$1489))+((CROQUIS_DATOS!$C$1476)*CROQUIS_DATOS!$C$1561-((CROQUIS_DATOS!$C$1491+CROQUIS_DATOS!$C$1492))*CROQUIS_DATOS!$C$1561))/CROQUIS_DATOS!$C$1568-0.000001)),1,MOD($A16-1,2)))=1,MIN((CROQUIS_DATOS!$C$1476)*CROQUIS_DATOS!$C$1561,((CROQUIS_DATOS!$C$1489+CROQUIS_DATOS!$C$1490)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6">
        <f>IF(AND(CROQUIS_DATOS!$C$1472=1,CROQUIS_DATOS!$C$1478&gt;=3,((CROQUIS_DATOS!$C$1489+CROQUIS_DATOS!$C$1490))-(CROQUIS_DATOS!$C$1489)&gt;0.5,(CROQUIS_DATOS!$C$1476)-((CROQUIS_DATOS!$C$1491+CROQUIS_DATOS!$C$1492))&gt;0.5),(CROQUIS_DATOS!$C$1567+(IF(IF(MOD(MIN(INT(($A16-1)/2)+1,MAX(1,INT(((((CROQUIS_DATOS!$C$1489+CROQUIS_DATOS!$C$1490))-(CROQUIS_DATOS!$C$1489))+((CROQUIS_DATOS!$C$1476)*CROQUIS_DATOS!$C$1561-((CROQUIS_DATOS!$C$1491+CROQUIS_DATOS!$C$1492))*CROQUIS_DATOS!$C$1561))/CROQUIS_DATOS!$C$1568-0.000001))),2)=1,IF(INT(($A16-1)/2)+1&gt;MAX(1,INT(((((CROQUIS_DATOS!$C$1489+CROQUIS_DATOS!$C$1490))-(CROQUIS_DATOS!$C$1489))+((CROQUIS_DATOS!$C$1476)*CROQUIS_DATOS!$C$1561-((CROQUIS_DATOS!$C$1491+CROQUIS_DATOS!$C$1492))*CROQUIS_DATOS!$C$1561))/CROQUIS_DATOS!$C$1568-0.000001)),1,MOD($A16-1,2)),1-IF(INT(($A16-1)/2)+1&gt;MAX(1,INT(((((CROQUIS_DATOS!$C$1489+CROQUIS_DATOS!$C$1490))-(CROQUIS_DATOS!$C$1489))+((CROQUIS_DATOS!$C$1476)*CROQUIS_DATOS!$C$1561-((CROQUIS_DATOS!$C$1491+CROQUIS_DATOS!$C$1492))*CROQUIS_DATOS!$C$1561))/CROQUIS_DATOS!$C$1568-0.000001)),1,MOD($A16-1,2)))=1,MIN((CROQUIS_DATOS!$C$1476)*CROQUIS_DATOS!$C$1561,((CROQUIS_DATOS!$C$1489+CROQUIS_DATOS!$C$1490)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6">
        <f>IF(AND(CROQUIS_DATOS!$C$1472=1,CROQUIS_DATOS!$C$1478&gt;=4,((CROQUIS_DATOS!$C$1494+CROQUIS_DATOS!$C$1495))-(CROQUIS_DATOS!$C$1494)&gt;0.5,(CROQUIS_DATOS!$C$1496)-(0)&gt;0.5),(CROQUIS_DATOS!$C$1566+(IF(IF(MOD(MIN(INT(($A16-1)/2)+1,MAX(1,INT(((((CROQUIS_DATOS!$C$1494+CROQUIS_DATOS!$C$1495))-(CROQUIS_DATOS!$C$1494))+((CROQUIS_DATOS!$C$1496)*CROQUIS_DATOS!$C$1561-(0)*CROQUIS_DATOS!$C$1561))/CROQUIS_DATOS!$C$1568-0.000001))),2)=1,IF(INT(($A16-1)/2)+1&gt;MAX(1,INT(((((CROQUIS_DATOS!$C$1494+CROQUIS_DATOS!$C$1495))-(CROQUIS_DATOS!$C$1494))+((CROQUIS_DATOS!$C$1496)*CROQUIS_DATOS!$C$1561-(0)*CROQUIS_DATOS!$C$1561))/CROQUIS_DATOS!$C$1568-0.000001)),1,MOD($A16-1,2)),1-IF(INT(($A16-1)/2)+1&gt;MAX(1,INT(((((CROQUIS_DATOS!$C$1494+CROQUIS_DATOS!$C$1495))-(CROQUIS_DATOS!$C$1494))+((CROQUIS_DATOS!$C$1496)*CROQUIS_DATOS!$C$1561-(0)*CROQUIS_DATOS!$C$1561))/CROQUIS_DATOS!$C$1568-0.000001)),1,MOD($A16-1,2)))=1,MIN((CROQUIS_DATOS!$C$1496)*CROQUIS_DATOS!$C$1561,((CROQUIS_DATOS!$C$1494+CROQUIS_DATOS!$C$1495)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6">
        <f>IF(AND(CROQUIS_DATOS!$C$1472=1,CROQUIS_DATOS!$C$1478&gt;=4,((CROQUIS_DATOS!$C$1494+CROQUIS_DATOS!$C$1495))-(CROQUIS_DATOS!$C$1494)&gt;0.5,(CROQUIS_DATOS!$C$1496)-(0)&gt;0.5),(CROQUIS_DATOS!$C$1567+(IF(IF(MOD(MIN(INT(($A16-1)/2)+1,MAX(1,INT(((((CROQUIS_DATOS!$C$1494+CROQUIS_DATOS!$C$1495))-(CROQUIS_DATOS!$C$1494))+((CROQUIS_DATOS!$C$1496)*CROQUIS_DATOS!$C$1561-(0)*CROQUIS_DATOS!$C$1561))/CROQUIS_DATOS!$C$1568-0.000001))),2)=1,IF(INT(($A16-1)/2)+1&gt;MAX(1,INT(((((CROQUIS_DATOS!$C$1494+CROQUIS_DATOS!$C$1495))-(CROQUIS_DATOS!$C$1494))+((CROQUIS_DATOS!$C$1496)*CROQUIS_DATOS!$C$1561-(0)*CROQUIS_DATOS!$C$1561))/CROQUIS_DATOS!$C$1568-0.000001)),1,MOD($A16-1,2)),1-IF(INT(($A16-1)/2)+1&gt;MAX(1,INT(((((CROQUIS_DATOS!$C$1494+CROQUIS_DATOS!$C$1495))-(CROQUIS_DATOS!$C$1494))+((CROQUIS_DATOS!$C$1496)*CROQUIS_DATOS!$C$1561-(0)*CROQUIS_DATOS!$C$1561))/CROQUIS_DATOS!$C$1568-0.000001)),1,MOD($A16-1,2)))=1,MIN((CROQUIS_DATOS!$C$1496)*CROQUIS_DATOS!$C$1561,((CROQUIS_DATOS!$C$1494+CROQUIS_DATOS!$C$1495)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6">
        <f>IF(AND(CROQUIS_DATOS!$C$1472=1,CROQUIS_DATOS!$C$1478&gt;=4,((CROQUIS_DATOS!$C$1494+CROQUIS_DATOS!$C$1495))-(CROQUIS_DATOS!$C$1494)&gt;0.5,(CROQUIS_DATOS!$C$1476)-((CROQUIS_DATOS!$C$1496+CROQUIS_DATOS!$C$1497))&gt;0.5),(CROQUIS_DATOS!$C$1566+(IF(IF(MOD(MIN(INT(($A16-1)/2)+1,MAX(1,INT(((((CROQUIS_DATOS!$C$1494+CROQUIS_DATOS!$C$1495))-(CROQUIS_DATOS!$C$1494))+((CROQUIS_DATOS!$C$1476)*CROQUIS_DATOS!$C$1561-((CROQUIS_DATOS!$C$1496+CROQUIS_DATOS!$C$1497))*CROQUIS_DATOS!$C$1561))/CROQUIS_DATOS!$C$1568-0.000001))),2)=1,IF(INT(($A16-1)/2)+1&gt;MAX(1,INT(((((CROQUIS_DATOS!$C$1494+CROQUIS_DATOS!$C$1495))-(CROQUIS_DATOS!$C$1494))+((CROQUIS_DATOS!$C$1476)*CROQUIS_DATOS!$C$1561-((CROQUIS_DATOS!$C$1496+CROQUIS_DATOS!$C$1497))*CROQUIS_DATOS!$C$1561))/CROQUIS_DATOS!$C$1568-0.000001)),1,MOD($A16-1,2)),1-IF(INT(($A16-1)/2)+1&gt;MAX(1,INT(((((CROQUIS_DATOS!$C$1494+CROQUIS_DATOS!$C$1495))-(CROQUIS_DATOS!$C$1494))+((CROQUIS_DATOS!$C$1476)*CROQUIS_DATOS!$C$1561-((CROQUIS_DATOS!$C$1496+CROQUIS_DATOS!$C$1497))*CROQUIS_DATOS!$C$1561))/CROQUIS_DATOS!$C$1568-0.000001)),1,MOD($A16-1,2)))=1,MIN((CROQUIS_DATOS!$C$1476)*CROQUIS_DATOS!$C$1561,((CROQUIS_DATOS!$C$1494+CROQUIS_DATOS!$C$1495)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6">
        <f>IF(AND(CROQUIS_DATOS!$C$1472=1,CROQUIS_DATOS!$C$1478&gt;=4,((CROQUIS_DATOS!$C$1494+CROQUIS_DATOS!$C$1495))-(CROQUIS_DATOS!$C$1494)&gt;0.5,(CROQUIS_DATOS!$C$1476)-((CROQUIS_DATOS!$C$1496+CROQUIS_DATOS!$C$1497))&gt;0.5),(CROQUIS_DATOS!$C$1567+(IF(IF(MOD(MIN(INT(($A16-1)/2)+1,MAX(1,INT(((((CROQUIS_DATOS!$C$1494+CROQUIS_DATOS!$C$1495))-(CROQUIS_DATOS!$C$1494))+((CROQUIS_DATOS!$C$1476)*CROQUIS_DATOS!$C$1561-((CROQUIS_DATOS!$C$1496+CROQUIS_DATOS!$C$1497))*CROQUIS_DATOS!$C$1561))/CROQUIS_DATOS!$C$1568-0.000001))),2)=1,IF(INT(($A16-1)/2)+1&gt;MAX(1,INT(((((CROQUIS_DATOS!$C$1494+CROQUIS_DATOS!$C$1495))-(CROQUIS_DATOS!$C$1494))+((CROQUIS_DATOS!$C$1476)*CROQUIS_DATOS!$C$1561-((CROQUIS_DATOS!$C$1496+CROQUIS_DATOS!$C$1497))*CROQUIS_DATOS!$C$1561))/CROQUIS_DATOS!$C$1568-0.000001)),1,MOD($A16-1,2)),1-IF(INT(($A16-1)/2)+1&gt;MAX(1,INT(((((CROQUIS_DATOS!$C$1494+CROQUIS_DATOS!$C$1495))-(CROQUIS_DATOS!$C$1494))+((CROQUIS_DATOS!$C$1476)*CROQUIS_DATOS!$C$1561-((CROQUIS_DATOS!$C$1496+CROQUIS_DATOS!$C$1497))*CROQUIS_DATOS!$C$1561))/CROQUIS_DATOS!$C$1568-0.000001)),1,MOD($A16-1,2)))=1,MIN((CROQUIS_DATOS!$C$1476)*CROQUIS_DATOS!$C$1561,((CROQUIS_DATOS!$C$1494+CROQUIS_DATOS!$C$1495)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6">
        <f>IF(AND(CROQUIS_DATOS!$C$1472=1,1),(CROQUIS_DATOS!$C$1566+(INDEX($E$8:$E$23,MIN($A16,CROQUIS_DATOS!$C$1525)))*CROQUIS_DATOS!$C$1565),-1000)</f>
        <v>76.9224137931035</v>
      </c>
      <c r="EW16">
        <f>IF(AND(CROQUIS_DATOS!$C$1472=1,1),((CROQUIS_DATOS!$C$1567+(CROQUIS_DATOS!$C$1476+CROQUIS_DATOS!$C$1528)*CROQUIS_DATOS!$C$1561*CROQUIS_DATOS!$C$1565)+1.5),-1000)</f>
        <v>42.5</v>
      </c>
      <c r="GD16">
        <f>IF(AND(CROQUIS_DATOS!$C$1472=1,1),(CROQUIS_DATOS!$C$1571+(CHOOSE(MIN(MAX(IF(INT(($A16-1)/5)+1&gt;CROQUIS_DATOS!$C$1525,5,MOD($A16-1,5)+1),1),5),(INDEX($E$8:$E$23,MIN(INT(($A16-1)/5)+1,CROQUIS_DATOS!$C$1525))-INDEX($F$8:$F$23,MIN(INT(($A16-1)/5)+1,CROQUIS_DATOS!$C$1525))/2),(INDEX($E$8:$E$23,MIN(INT(($A16-1)/5)+1,CROQUIS_DATOS!$C$1525))+INDEX($F$8:$F$23,MIN(INT(($A16-1)/5)+1,CROQUIS_DATOS!$C$1525))/2),(INDEX($E$8:$E$23,MIN(INT(($A16-1)/5)+1,CROQUIS_DATOS!$C$1525))+INDEX($F$8:$F$23,MIN(INT(($A16-1)/5)+1,CROQUIS_DATOS!$C$1525))/2),(INDEX($E$8:$E$23,MIN(INT(($A16-1)/5)+1,CROQUIS_DATOS!$C$1525))-INDEX($F$8:$F$23,MIN(INT(($A16-1)/5)+1,CROQUIS_DATOS!$C$1525))/2),(INDEX($E$8:$E$23,MIN(INT(($A16-1)/5)+1,CROQUIS_DATOS!$C$1525))-INDEX($F$8:$F$23,MIN(INT(($A16-1)/5)+1,CROQUIS_DATOS!$C$1525))/2)))*CROQUIS_DATOS!$C$1569),-1000)</f>
        <v>10.6</v>
      </c>
      <c r="GE16">
        <f>IF(AND(CROQUIS_DATOS!$C$1472=1,1),(CROQUIS_DATOS!$C$1572+(CHOOSE(MIN(MAX(IF(INT(($A16-1)/5)+1&gt;CROQUIS_DATOS!$C$1525,5,MOD($A16-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16">
        <f>IF(AND(CROQUIS_DATOS!$C$1472=1,1),IF(INT(($A16-1)/4)+1&lt;=CROQUIS_DATOS!$C$1525,(CROQUIS_DATOS!$C$1571+((INDEX($E$8:$E$23,MIN(INT(($A16-1)/4)+1,16))+IF(OR(MOD($A16-1,4)=0,MOD($A16-1,4)=3),-1,1)*(INDEX($F$8:$F$23,MIN(INT(($A16-1)/4)+1,16))/2-(CROQUIS_DATOS!$C$1530+CROQUIS_DATOS!$C$1532+IF(OR(INT(($A16-1)/4)+1=1,INT(($A16-1)/4)+1=CROQUIS_DATOS!$C$1525),CROQUIS_DATOS!$C$1534,CROQUIS_DATOS!$C$1531)/2))))*CROQUIS_DATOS!$C$1569),-1000),-1000)</f>
        <v>30.492516</v>
      </c>
      <c r="GG16">
        <f>IF(AND(CROQUIS_DATOS!$C$1472=1,1),IF(INT(($A16-1)/4)+1&lt;=CROQUIS_DATOS!$C$1525,(CROQUIS_DATOS!$C$1572+((CROQUIS_DATOS!$C$1477/2+IF(MOD($A16-1,4)&lt;2,-1,1)*(CROQUIS_DATOS!$C$1527/2-(CROQUIS_DATOS!$C$1530+CROQUIS_DATOS!$C$1532+IF(OR(INT(($A16-1)/4)+1=1,INT(($A16-1)/4)+1=CROQUIS_DATOS!$C$1525),CROQUIS_DATOS!$C$1534,CROQUIS_DATOS!$C$1531)/2))))*CROQUIS_DATOS!$C$1569*CROQUIS_DATOS!$C$1570),-1000),-1000)</f>
        <v>10.43345</v>
      </c>
    </row>
    <row r="17">
      <c r="A17" t="n">
        <v>10</v>
      </c>
      <c r="B17" t="n">
        <v>10</v>
      </c>
      <c r="C17">
        <f>1+(B17&gt;CROQUIS_DATOS!$C$1520)+(B17&gt;CROQUIS_DATOS!$C$1521)+(B17&gt;CROQUIS_DATOS!$C$1522)+(B17&gt;CROQUIS_DATOS!$C$1523)</f>
        <v>5</v>
      </c>
      <c r="D17">
        <f>B17-CHOOSE(MIN(C17,5),0,CROQUIS_DATOS!$C$1520,CROQUIS_DATOS!$C$1521,CROQUIS_DATOS!$C$1522,CROQUIS_DATOS!$C$1523)</f>
        <v>4</v>
      </c>
      <c r="E17">
        <f>IF(G17=0,0,CHOOSE(MIN(C17,5),CROQUIS_DATOS!$C$1499,CROQUIS_DATOS!$C$1503,CROQUIS_DATOS!$C$1507,CROQUIS_DATOS!$C$1511,CROQUIS_DATOS!$C$1515)+IF(CHOOSE(MIN(C17,5),CROQUIS_DATOS!$C$1502,CROQUIS_DATOS!$C$1506,CROQUIS_DATOS!$C$1510,CROQUIS_DATOS!$C$1514,CROQUIS_DATOS!$C$1518)=1,CHOOSE(MIN(C17,5),CROQUIS_DATOS!$C$1500,CROQUIS_DATOS!$C$1504,CROQUIS_DATOS!$C$1508,CROQUIS_DATOS!$C$1512,CROQUIS_DATOS!$C$1516)/2,CROQUIS_DATOS!$C$1526/2+(D17-1)*(CHOOSE(MIN(C17,5),CROQUIS_DATOS!$C$1500,CROQUIS_DATOS!$C$1504,CROQUIS_DATOS!$C$1508,CROQUIS_DATOS!$C$1512,CROQUIS_DATOS!$C$1516)-CROQUIS_DATOS!$C$1526)/MAX(CHOOSE(MIN(C17,5),CROQUIS_DATOS!$C$1502,CROQUIS_DATOS!$C$1506,CROQUIS_DATOS!$C$1510,CROQUIS_DATOS!$C$1514,CROQUIS_DATOS!$C$1518)-1,1)))</f>
        <v>0</v>
      </c>
      <c r="F17">
        <f>IF(G17=0,0,IF(CHOOSE(MIN(C17,5),CROQUIS_DATOS!$C$1502,CROQUIS_DATOS!$C$1506,CROQUIS_DATOS!$C$1510,CROQUIS_DATOS!$C$1514,CROQUIS_DATOS!$C$1518)=1,MIN(CROQUIS_DATOS!$C$1526,CHOOSE(MIN(C17,5),CROQUIS_DATOS!$C$1500,CROQUIS_DATOS!$C$1504,CROQUIS_DATOS!$C$1508,CROQUIS_DATOS!$C$1512,CROQUIS_DATOS!$C$1516)),CROQUIS_DATOS!$C$1526))</f>
        <v>0</v>
      </c>
      <c r="G17">
        <f>IF(AND(CROQUIS_DATOS!$C$1472=1,B17&lt;=CROQUIS_DATOS!$C$1525),1,0)</f>
        <v>0</v>
      </c>
      <c r="H17">
        <f>IF(10&lt;=CROQUIS_DATOS!$C$1539,10*CROQUIS_DATOS!$C$1536,IF(10&lt;=CROQUIS_DATOS!$C$1539+CROQUIS_DATOS!$C$1540,CROQUIS_DATOS!$C$1539*CROQUIS_DATOS!$C$1536+(10-CROQUIS_DATOS!$C$1539)*(CROQUIS_DATOS!$C$1476-2*CROQUIS_DATOS!$C$1539*CROQUIS_DATOS!$C$1536)/(CROQUIS_DATOS!$C$1540+1),CROQUIS_DATOS!$C$1476-(2*CROQUIS_DATOS!$C$1539+CROQUIS_DATOS!$C$1540+1-10)*CROQUIS_DATOS!$C$1536))</f>
        <v>134.722222222222</v>
      </c>
      <c r="I17">
        <f>IF(AND(CROQUIS_DATOS!$C$1544=1,E17&gt;=CROQUIS_DATOS!$C$1549-1,E17&lt;=CROQUIS_DATOS!$C$1550+1),CROQUIS_DATOS!$C$1554,CROQUIS_DATOS!$C$1552)</f>
        <v>-16.8885</v>
      </c>
      <c r="J17">
        <f>IF(AND(CROQUIS_DATOS!$C$1472=1,1),(CROQUIS_DATOS!$C$1563+(CHOOSE(MIN(MAX(IF(INT(($A17-1)/4)+1&gt;CROQUIS_DATOS!$C$1525,4,MOD($A17-1,4)+1),1),4),(INDEX($E$8:$E$23,MIN(INT(($A17-1)/4)+1,CROQUIS_DATOS!$C$1525))-INDEX($F$8:$F$23,MIN(INT(($A17-1)/4)+1,CROQUIS_DATOS!$C$1525))/2),(INDEX($E$8:$E$23,MIN(INT(($A17-1)/4)+1,CROQUIS_DATOS!$C$1525))-INDEX($F$8:$F$23,MIN(INT(($A17-1)/4)+1,CROQUIS_DATOS!$C$1525))/2),(INDEX($E$8:$E$23,MIN(INT(($A17-1)/4)+1,CROQUIS_DATOS!$C$1525))+INDEX($F$8:$F$23,MIN(INT(($A17-1)/4)+1,CROQUIS_DATOS!$C$1525))/2),(INDEX($E$8:$E$23,MIN(INT(($A17-1)/4)+1,CROQUIS_DATOS!$C$1525))+INDEX($F$8:$F$23,MIN(INT(($A17-1)/4)+1,CROQUIS_DATOS!$C$1525))/2)))*CROQUIS_DATOS!$C$1562),-1000)</f>
        <v>33.2413793103448</v>
      </c>
      <c r="K17">
        <f>IF(AND(CROQUIS_DATOS!$C$1472=1,1),(CROQUIS_DATOS!$C$1564+(CHOOSE(MIN(MAX(IF(INT(($A17-1)/4)+1&gt;CROQUIS_DATOS!$C$1525,4,MOD($A17-1,4)+1),1),4),0,CROQUIS_DATOS!$C$1476,CROQUIS_DATOS!$C$1476,0))*CROQUIS_DATOS!$C$1561*CROQUIS_DATOS!$C$1562),-1000)</f>
        <v>40.2068965517241</v>
      </c>
      <c r="L17">
        <f>IF(AND(CROQUIS_DATOS!$C$1472=1,1),(CROQUIS_DATOS!$C$1563+(CHOOSE(MIN(MAX(IF(INT(($A17-1)/4)+1&gt;CROQUIS_DATOS!$C$1525,4,MOD($A17-1,4)+1),1),4),((INDEX($E$8:$E$23,MIN(INT(($A17-1)/4)+1,CROQUIS_DATOS!$C$1525))-INDEX($F$8:$F$23,MIN(INT(($A17-1)/4)+1,CROQUIS_DATOS!$C$1525))/2)+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,((INDEX($E$8:$E$23,MIN(INT(($A17-1)/4)+1,CROQUIS_DATOS!$C$1525))-INDEX($F$8:$F$23,MIN(INT(($A17-1)/4)+1,CROQUIS_DATOS!$C$1525))/2)+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,((INDEX($E$8:$E$23,MIN(INT(($A17-1)/4)+1,CROQUIS_DATOS!$C$1525))+INDEX($F$8:$F$23,MIN(INT(($A17-1)/4)+1,CROQUIS_DATOS!$C$1525))/2)-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,((INDEX($E$8:$E$23,MIN(INT(($A17-1)/4)+1,CROQUIS_DATOS!$C$1525))+INDEX($F$8:$F$23,MIN(INT(($A17-1)/4)+1,CROQUIS_DATOS!$C$1525))/2)-MIN((CROQUIS_DATOS!$C$1530+CROQUIS_DATOS!$C$1532+IF(OR(MIN(INT(($A17-1)/4)+1,CROQUIS_DATOS!$C$1525)=1,MIN(INT(($A17-1)/4)+1,CROQUIS_DATOS!$C$1525)=CROQUIS_DATOS!$C$1525),CROQUIS_DATOS!$C$1534,CROQUIS_DATOS!$C$1531)/2),INDEX($F$8:$F$23,MIN(INT(($A17-1)/4)+1,CROQUIS_DATOS!$C$1525))/2-0.5))))*CROQUIS_DATOS!$C$1562),-1000)</f>
        <v>33.6759163793103</v>
      </c>
      <c r="M17">
        <f>IF(AND(CROQUIS_DATOS!$C$1472=1,1),(CROQUIS_DATOS!$C$1564+(CHOOSE(MIN(MAX(IF(INT(($A17-1)/4)+1&gt;CROQUIS_DATOS!$C$1525,4,MOD($A17-1,4)+1),1),4),CROQUIS_DATOS!$C$1543,INDEX($I$8:$I$23,MIN(INT(($A17-1)/4)+1,CROQUIS_DATOS!$C$1525)),INDEX($I$8:$I$23,MIN(INT(($A17-1)/4)+1,CROQUIS_DATOS!$C$1525)),CROQUIS_DATOS!$C$1543))*CROQUIS_DATOS!$C$1561*CROQUIS_DATOS!$C$1562),-1000)</f>
        <v>2.93453706896552</v>
      </c>
      <c r="N17">
        <f>IF(AND(CROQUIS_DATOS!$C$1472=1,1),(CROQUIS_DATOS!$C$1563+(IF(IF(IF(INT(($A17-1)/70)+1&gt;CROQUIS_DATOS!$C$1525,70,MOD($A17-1,70)+1)=1,0,IF(IF(INT(($A17-1)/70)+1&gt;CROQUIS_DATOS!$C$1525,70,MOD($A17-1,70)+1)&gt;2*CROQUIS_DATOS!$C$1541+1,IF(MOD(CROQUIS_DATOS!$C$1541,2)=1,1,0),IF(MOD(MIN(INT((IF(INT(($A17-1)/70)+1&gt;CROQUIS_DATOS!$C$1525,70,MOD($A17-1,70)+1)-2)/2)+1,CROQUIS_DATOS!$C$1541),2)=1,IF(MOD(IF(INT(($A17-1)/70)+1&gt;CROQUIS_DATOS!$C$1525,70,MOD($A17-1,70)+1)-2,2)=0,0,1),IF(MOD(IF(INT(($A17-1)/70)+1&gt;CROQUIS_DATOS!$C$1525,70,MOD($A17-1,70)+1)-2,2)=0,1,0))))=0,(INDEX($E$8:$E$23,MIN(INT(($A17-1)/70)+1,CROQUIS_DATOS!$C$1525))-INDEX($F$8:$F$23,MIN(INT(($A17-1)/70)+1,CROQUIS_DATOS!$C$1525))/2),(INDEX($E$8:$E$23,MIN(INT(($A17-1)/70)+1,CROQUIS_DATOS!$C$1525))+INDEX($F$8:$F$23,MIN(INT(($A17-1)/70)+1,CROQUIS_DATOS!$C$1525))/2)))*CROQUIS_DATOS!$C$1562),-1000)</f>
        <v>15.0862068965517</v>
      </c>
      <c r="O17">
        <f>IF(AND(CROQUIS_DATOS!$C$1472=1,1),(CROQUIS_DATOS!$C$1564+(IF(OR(IF(INT(($A17-1)/70)+1&gt;CROQUIS_DATOS!$C$1525,70,MOD($A17-1,70)+1)=1,IF(INT(($A17-1)/70)+1&gt;CROQUIS_DATOS!$C$1525,70,MOD($A17-1,70)+1)&gt;2*CROQUIS_DATOS!$C$1541+1),CROQUIS_DATOS!$C$1476,INDEX($H$8:$H$41,MIN(INT((IF(INT(($A17-1)/70)+1&gt;CROQUIS_DATOS!$C$1525,70,MOD($A17-1,70)+1)-2)/2)+1,CROQUIS_DATOS!$C$1541))))*CROQUIS_DATOS!$C$1561*CROQUIS_DATOS!$C$1562),-1000)</f>
        <v>10.5301724137931</v>
      </c>
      <c r="P17">
        <f>IF(AND(CROQUIS_DATOS!$C$1472=1,CROQUIS_DATOS!$C$1555=1),(CROQUIS_DATOS!$C$1563+(IF(IF(OR(MOD($A17-1,62)+1=1,IF(CHOOSE(MIN(MAX(MIN(INT(($A17-1)/62)+1,5),1),5),CROQUIS_DATOS!$C$1501,CROQUIS_DATOS!$C$1505,CROQUIS_DATOS!$C$1509,CROQUIS_DATOS!$C$1513,CROQUIS_DATOS!$C$1517)=1,CROQUIS_DATOS!$C$1557,0)=0),0,IF(MOD($A17-1,62)+1&gt;2*IF(CHOOSE(MIN(MAX(MIN(INT(($A17-1)/62)+1,5),1),5),CROQUIS_DATOS!$C$1501,CROQUIS_DATOS!$C$1505,CROQUIS_DATOS!$C$1509,CROQUIS_DATOS!$C$1513,CROQUIS_DATOS!$C$1517)=1,CROQUIS_DATOS!$C$1557,0)+1,IF(MOD(IF(CHOOSE(MIN(MAX(MIN(INT(($A17-1)/62)+1,5),1),5),CROQUIS_DATOS!$C$1501,CROQUIS_DATOS!$C$1505,CROQUIS_DATOS!$C$1509,CROQUIS_DATOS!$C$1513,CROQUIS_DATOS!$C$1517)=1,CROQUIS_DATOS!$C$1557,0),2)=1,1,0),IF(MOD(MIN(INT((MOD($A17-1,62)+1-2)/2)+1,MAX(IF(CHOOSE(MIN(MAX(MIN(INT(($A17-1)/62)+1,5),1),5),CROQUIS_DATOS!$C$1501,CROQUIS_DATOS!$C$1505,CROQUIS_DATOS!$C$1509,CROQUIS_DATOS!$C$1513,CROQUIS_DATOS!$C$1517)=1,CROQUIS_DATOS!$C$1557,0),1)),2)=1,IF(MOD(MOD($A17-1,62)+1-2,2)=0,0,1),IF(MOD(MOD($A17-1,62)+1-2,2)=0,1,0))))=0,(CHOOSE(MIN(MAX(MIN(INT(($A17-1)/62)+1,5),1),5),CROQUIS_DATOS!$C$1499,CROQUIS_DATOS!$C$1503,CROQUIS_DATOS!$C$1507,CROQUIS_DATOS!$C$1511,CROQUIS_DATOS!$C$1515)+IF(CHOOSE(MIN(MAX(MIN(INT(($A17-1)/62)+1,5),1),5),CROQUIS_DATOS!$C$1501,CROQUIS_DATOS!$C$1505,CROQUIS_DATOS!$C$1509,CROQUIS_DATOS!$C$1513,CROQUIS_DATOS!$C$1517)=1,CROQUIS_DATOS!$C$1526,0)),(CHOOSE(MIN(MAX(MIN(INT(($A17-1)/62)+1,5),1),5),CROQUIS_DATOS!$C$1499,CROQUIS_DATOS!$C$1503,CROQUIS_DATOS!$C$1507,CROQUIS_DATOS!$C$1511,CROQUIS_DATOS!$C$1515)+CHOOSE(MIN(MAX(MIN(INT(($A17-1)/62)+1,5),1),5),CROQUIS_DATOS!$C$1500,CROQUIS_DATOS!$C$1504,CROQUIS_DATOS!$C$1508,CROQUIS_DATOS!$C$1512,CROQUIS_DATOS!$C$1516)-IF(CHOOSE(MIN(MAX(MIN(INT(($A17-1)/62)+1,5),1),5),CROQUIS_DATOS!$C$1501,CROQUIS_DATOS!$C$1505,CROQUIS_DATOS!$C$1509,CROQUIS_DATOS!$C$1513,CROQUIS_DATOS!$C$1517)=1,CROQUIS_DATOS!$C$1526,0))))*CROQUIS_DATOS!$C$1562),-1000)</f>
        <v>-1000</v>
      </c>
      <c r="Q17">
        <f>IF(AND(CROQUIS_DATOS!$C$1472=1,CROQUIS_DATOS!$C$1555=1),(CROQUIS_DATOS!$C$1564+(IF(OR(OR(MOD($A17-1,62)+1=1,IF(CHOOSE(MIN(MAX(MIN(INT(($A17-1)/62)+1,5),1),5),CROQUIS_DATOS!$C$1501,CROQUIS_DATOS!$C$1505,CROQUIS_DATOS!$C$1509,CROQUIS_DATOS!$C$1513,CROQUIS_DATOS!$C$1517)=1,CROQUIS_DATOS!$C$1557,0)=0),MOD($A17-1,62)+1&gt;2*IF(CHOOSE(MIN(MAX(MIN(INT(($A17-1)/62)+1,5),1),5),CROQUIS_DATOS!$C$1501,CROQUIS_DATOS!$C$1505,CROQUIS_DATOS!$C$1509,CROQUIS_DATOS!$C$1513,CROQUIS_DATOS!$C$1517)=1,CROQUIS_DATOS!$C$1557,0)+1),CROQUIS_DATOS!$C$1476,MIN(INT((MOD($A17-1,62)+1-2)/2)+1,MAX(IF(CHOOSE(MIN(MAX(MIN(INT(($A17-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">
        <f>IF(AND(CROQUIS_DATOS!$C$1472=1,1),(CROQUIS_DATOS!$C$1563+(MIN(INT(($A17-1)/2)+1,CROQUIS_DATOS!$C$1558)*CROQUIS_DATOS!$C$1559)*CROQUIS_DATOS!$C$1562),-1000)</f>
        <v>28.5145888594164</v>
      </c>
      <c r="U17">
        <f>IF(AND(CROQUIS_DATOS!$C$1472=1,1),(CROQUIS_DATOS!$C$1564+(IF(INT(($A17-1)/2)+1&gt;CROQUIS_DATOS!$C$1558,IF(MOD(CROQUIS_DATOS!$C$1558,2)=1,CROQUIS_DATOS!$C$1476+CROQUIS_DATOS!$C$1528,CROQUIS_DATOS!$C$1476),IF(IF(MOD(MIN(INT(($A17-1)/2)+1,CROQUIS_DATOS!$C$1558),2)=1,MOD($A17-1,2),1-MOD($A17-1,2))=1,CROQUIS_DATOS!$C$1476+CROQUIS_DATOS!$C$1528,CROQUIS_DATOS!$C$1476)))*CROQUIS_DATOS!$C$1561*CROQUIS_DATOS!$C$1562),-1000)</f>
        <v>43</v>
      </c>
      <c r="BZ17">
        <f>IF(AND(CROQUIS_DATOS!$C$1472=1,CROQUIS_DATOS!$C$1500&gt;0,((CROQUIS_DATOS!$C$1499+CROQUIS_DATOS!$C$1500))-(CROQUIS_DATOS!$C$1499)&gt;0.5,(CROQUIS_DATOS!$C$1476)-(0)&gt;0.5),(CROQUIS_DATOS!$C$1566+(IF(IF(MOD(MIN(INT(($A17-1)/2)+1,MAX(1,INT(((((CROQUIS_DATOS!$C$1499+CROQUIS_DATOS!$C$1500))-(CROQUIS_DATOS!$C$1499))+((CROQUIS_DATOS!$C$1476)*CROQUIS_DATOS!$C$1561-(0)*CROQUIS_DATOS!$C$1561))/CROQUIS_DATOS!$C$1568-0.000001))),2)=1,IF(INT(($A17-1)/2)+1&gt;MAX(1,INT(((((CROQUIS_DATOS!$C$1499+CROQUIS_DATOS!$C$1500))-(CROQUIS_DATOS!$C$1499))+((CROQUIS_DATOS!$C$1476)*CROQUIS_DATOS!$C$1561-(0)*CROQUIS_DATOS!$C$1561))/CROQUIS_DATOS!$C$1568-0.000001)),1,MOD($A17-1,2)),1-IF(INT(($A17-1)/2)+1&gt;MAX(1,INT(((((CROQUIS_DATOS!$C$1499+CROQUIS_DATOS!$C$1500))-(CROQUIS_DATOS!$C$1499))+((CROQUIS_DATOS!$C$1476)*CROQUIS_DATOS!$C$1561-(0)*CROQUIS_DATOS!$C$1561))/CROQUIS_DATOS!$C$1568-0.000001)),1,MOD($A17-1,2)))=1,MIN((CROQUIS_DATOS!$C$1476)*CROQUIS_DATOS!$C$1561,((CROQUIS_DATOS!$C$1499+CROQUIS_DATOS!$C$1500)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7">
        <f>IF(AND(CROQUIS_DATOS!$C$1472=1,CROQUIS_DATOS!$C$1500&gt;0,((CROQUIS_DATOS!$C$1499+CROQUIS_DATOS!$C$1500))-(CROQUIS_DATOS!$C$1499)&gt;0.5,(CROQUIS_DATOS!$C$1476)-(0)&gt;0.5),(CROQUIS_DATOS!$C$1567+(IF(IF(MOD(MIN(INT(($A17-1)/2)+1,MAX(1,INT(((((CROQUIS_DATOS!$C$1499+CROQUIS_DATOS!$C$1500))-(CROQUIS_DATOS!$C$1499))+((CROQUIS_DATOS!$C$1476)*CROQUIS_DATOS!$C$1561-(0)*CROQUIS_DATOS!$C$1561))/CROQUIS_DATOS!$C$1568-0.000001))),2)=1,IF(INT(($A17-1)/2)+1&gt;MAX(1,INT(((((CROQUIS_DATOS!$C$1499+CROQUIS_DATOS!$C$1500))-(CROQUIS_DATOS!$C$1499))+((CROQUIS_DATOS!$C$1476)*CROQUIS_DATOS!$C$1561-(0)*CROQUIS_DATOS!$C$1561))/CROQUIS_DATOS!$C$1568-0.000001)),1,MOD($A17-1,2)),1-IF(INT(($A17-1)/2)+1&gt;MAX(1,INT(((((CROQUIS_DATOS!$C$1499+CROQUIS_DATOS!$C$1500))-(CROQUIS_DATOS!$C$1499))+((CROQUIS_DATOS!$C$1476)*CROQUIS_DATOS!$C$1561-(0)*CROQUIS_DATOS!$C$1561))/CROQUIS_DATOS!$C$1568-0.000001)),1,MOD($A17-1,2)))=1,MIN((CROQUIS_DATOS!$C$1476)*CROQUIS_DATOS!$C$1561,((CROQUIS_DATOS!$C$1499+CROQUIS_DATOS!$C$1500)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17-1)/2)+1,MAX(1,INT(((((CROQUIS_DATOS!$C$1499+CROQUIS_DATOS!$C$1500))-(CROQUIS_DATOS!$C$1499))+((CROQUIS_DATOS!$C$1476)*CROQUIS_DATOS!$C$1561-(0)*CROQUIS_DATOS!$C$1561))/CROQUIS_DATOS!$C$1568-0.000001)))*CROQUIS_DATOS!$C$1568))))*CROQUIS_DATOS!$C$1565),-1000)</f>
        <v>35.1379310344828</v>
      </c>
      <c r="CB17">
        <f>IF(AND(CROQUIS_DATOS!$C$1472=1,CROQUIS_DATOS!$C$1504&gt;0,((CROQUIS_DATOS!$C$1503+CROQUIS_DATOS!$C$1504))-(CROQUIS_DATOS!$C$1503)&gt;0.5,(CROQUIS_DATOS!$C$1476)-(0)&gt;0.5),(CROQUIS_DATOS!$C$1566+(IF(IF(MOD(MIN(INT(($A17-1)/2)+1,MAX(1,INT(((((CROQUIS_DATOS!$C$1503+CROQUIS_DATOS!$C$1504))-(CROQUIS_DATOS!$C$1503))+((CROQUIS_DATOS!$C$1476)*CROQUIS_DATOS!$C$1561-(0)*CROQUIS_DATOS!$C$1561))/CROQUIS_DATOS!$C$1568-0.000001))),2)=1,IF(INT(($A17-1)/2)+1&gt;MAX(1,INT(((((CROQUIS_DATOS!$C$1503+CROQUIS_DATOS!$C$1504))-(CROQUIS_DATOS!$C$1503))+((CROQUIS_DATOS!$C$1476)*CROQUIS_DATOS!$C$1561-(0)*CROQUIS_DATOS!$C$1561))/CROQUIS_DATOS!$C$1568-0.000001)),1,MOD($A17-1,2)),1-IF(INT(($A17-1)/2)+1&gt;MAX(1,INT(((((CROQUIS_DATOS!$C$1503+CROQUIS_DATOS!$C$1504))-(CROQUIS_DATOS!$C$1503))+((CROQUIS_DATOS!$C$1476)*CROQUIS_DATOS!$C$1561-(0)*CROQUIS_DATOS!$C$1561))/CROQUIS_DATOS!$C$1568-0.000001)),1,MOD($A17-1,2)))=1,MIN((CROQUIS_DATOS!$C$1476)*CROQUIS_DATOS!$C$1561,((CROQUIS_DATOS!$C$1503+CROQUIS_DATOS!$C$1504)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*CROQUIS_DATOS!$C$1565),-1000)</f>
        <v>46.1724137931034</v>
      </c>
      <c r="CC17">
        <f>IF(AND(CROQUIS_DATOS!$C$1472=1,CROQUIS_DATOS!$C$1504&gt;0,((CROQUIS_DATOS!$C$1503+CROQUIS_DATOS!$C$1504))-(CROQUIS_DATOS!$C$1503)&gt;0.5,(CROQUIS_DATOS!$C$1476)-(0)&gt;0.5),(CROQUIS_DATOS!$C$1567+(IF(IF(MOD(MIN(INT(($A17-1)/2)+1,MAX(1,INT(((((CROQUIS_DATOS!$C$1503+CROQUIS_DATOS!$C$1504))-(CROQUIS_DATOS!$C$1503))+((CROQUIS_DATOS!$C$1476)*CROQUIS_DATOS!$C$1561-(0)*CROQUIS_DATOS!$C$1561))/CROQUIS_DATOS!$C$1568-0.000001))),2)=1,IF(INT(($A17-1)/2)+1&gt;MAX(1,INT(((((CROQUIS_DATOS!$C$1503+CROQUIS_DATOS!$C$1504))-(CROQUIS_DATOS!$C$1503))+((CROQUIS_DATOS!$C$1476)*CROQUIS_DATOS!$C$1561-(0)*CROQUIS_DATOS!$C$1561))/CROQUIS_DATOS!$C$1568-0.000001)),1,MOD($A17-1,2)),1-IF(INT(($A17-1)/2)+1&gt;MAX(1,INT(((((CROQUIS_DATOS!$C$1503+CROQUIS_DATOS!$C$1504))-(CROQUIS_DATOS!$C$1503))+((CROQUIS_DATOS!$C$1476)*CROQUIS_DATOS!$C$1561-(0)*CROQUIS_DATOS!$C$1561))/CROQUIS_DATOS!$C$1568-0.000001)),1,MOD($A17-1,2)))=1,MIN((CROQUIS_DATOS!$C$1476)*CROQUIS_DATOS!$C$1561,((CROQUIS_DATOS!$C$1503+CROQUIS_DATOS!$C$1504)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17-1)/2)+1,MAX(1,INT(((((CROQUIS_DATOS!$C$1503+CROQUIS_DATOS!$C$1504))-(CROQUIS_DATOS!$C$1503))+((CROQUIS_DATOS!$C$1476)*CROQUIS_DATOS!$C$1561-(0)*CROQUIS_DATOS!$C$1561))/CROQUIS_DATOS!$C$1568-0.000001)))*CROQUIS_DATOS!$C$1568))))*CROQUIS_DATOS!$C$1565),-1000)</f>
        <v>38.8620689655172</v>
      </c>
      <c r="CD17">
        <f>IF(AND(CROQUIS_DATOS!$C$1472=1,CROQUIS_DATOS!$C$1508&gt;0,((CROQUIS_DATOS!$C$1507+CROQUIS_DATOS!$C$1508))-(CROQUIS_DATOS!$C$1507)&gt;0.5,(CROQUIS_DATOS!$C$1476)-(0)&gt;0.5),(CROQUIS_DATOS!$C$1566+(IF(IF(MOD(MIN(INT(($A17-1)/2)+1,MAX(1,INT(((((CROQUIS_DATOS!$C$1507+CROQUIS_DATOS!$C$1508))-(CROQUIS_DATOS!$C$1507))+((CROQUIS_DATOS!$C$1476)*CROQUIS_DATOS!$C$1561-(0)*CROQUIS_DATOS!$C$1561))/CROQUIS_DATOS!$C$1568-0.000001))),2)=1,IF(INT(($A17-1)/2)+1&gt;MAX(1,INT(((((CROQUIS_DATOS!$C$1507+CROQUIS_DATOS!$C$1508))-(CROQUIS_DATOS!$C$1507))+((CROQUIS_DATOS!$C$1476)*CROQUIS_DATOS!$C$1561-(0)*CROQUIS_DATOS!$C$1561))/CROQUIS_DATOS!$C$1568-0.000001)),1,MOD($A17-1,2)),1-IF(INT(($A17-1)/2)+1&gt;MAX(1,INT(((((CROQUIS_DATOS!$C$1507+CROQUIS_DATOS!$C$1508))-(CROQUIS_DATOS!$C$1507))+((CROQUIS_DATOS!$C$1476)*CROQUIS_DATOS!$C$1561-(0)*CROQUIS_DATOS!$C$1561))/CROQUIS_DATOS!$C$1568-0.000001)),1,MOD($A17-1,2)))=1,MIN((CROQUIS_DATOS!$C$1476)*CROQUIS_DATOS!$C$1561,((CROQUIS_DATOS!$C$1507+CROQUIS_DATOS!$C$1508)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*CROQUIS_DATOS!$C$1565),-1000)</f>
        <v>72.8965517241379</v>
      </c>
      <c r="CE17">
        <f>IF(AND(CROQUIS_DATOS!$C$1472=1,CROQUIS_DATOS!$C$1508&gt;0,((CROQUIS_DATOS!$C$1507+CROQUIS_DATOS!$C$1508))-(CROQUIS_DATOS!$C$1507)&gt;0.5,(CROQUIS_DATOS!$C$1476)-(0)&gt;0.5),(CROQUIS_DATOS!$C$1567+(IF(IF(MOD(MIN(INT(($A17-1)/2)+1,MAX(1,INT(((((CROQUIS_DATOS!$C$1507+CROQUIS_DATOS!$C$1508))-(CROQUIS_DATOS!$C$1507))+((CROQUIS_DATOS!$C$1476)*CROQUIS_DATOS!$C$1561-(0)*CROQUIS_DATOS!$C$1561))/CROQUIS_DATOS!$C$1568-0.000001))),2)=1,IF(INT(($A17-1)/2)+1&gt;MAX(1,INT(((((CROQUIS_DATOS!$C$1507+CROQUIS_DATOS!$C$1508))-(CROQUIS_DATOS!$C$1507))+((CROQUIS_DATOS!$C$1476)*CROQUIS_DATOS!$C$1561-(0)*CROQUIS_DATOS!$C$1561))/CROQUIS_DATOS!$C$1568-0.000001)),1,MOD($A17-1,2)),1-IF(INT(($A17-1)/2)+1&gt;MAX(1,INT(((((CROQUIS_DATOS!$C$1507+CROQUIS_DATOS!$C$1508))-(CROQUIS_DATOS!$C$1507))+((CROQUIS_DATOS!$C$1476)*CROQUIS_DATOS!$C$1561-(0)*CROQUIS_DATOS!$C$1561))/CROQUIS_DATOS!$C$1568-0.000001)),1,MOD($A17-1,2)))=1,MIN((CROQUIS_DATOS!$C$1476)*CROQUIS_DATOS!$C$1561,((CROQUIS_DATOS!$C$1507+CROQUIS_DATOS!$C$1508)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17-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17">
        <f>IF(AND(CROQUIS_DATOS!$C$1472=1,CROQUIS_DATOS!$C$1512&gt;0,((CROQUIS_DATOS!$C$1511+CROQUIS_DATOS!$C$1512))-(CROQUIS_DATOS!$C$1511)&gt;0.5,(CROQUIS_DATOS!$C$1476)-(0)&gt;0.5),(CROQUIS_DATOS!$C$1566+(IF(IF(MOD(MIN(INT(($A17-1)/2)+1,MAX(1,INT(((((CROQUIS_DATOS!$C$1511+CROQUIS_DATOS!$C$1512))-(CROQUIS_DATOS!$C$1511))+((CROQUIS_DATOS!$C$1476)*CROQUIS_DATOS!$C$1561-(0)*CROQUIS_DATOS!$C$1561))/CROQUIS_DATOS!$C$1568-0.000001))),2)=1,IF(INT(($A17-1)/2)+1&gt;MAX(1,INT(((((CROQUIS_DATOS!$C$1511+CROQUIS_DATOS!$C$1512))-(CROQUIS_DATOS!$C$1511))+((CROQUIS_DATOS!$C$1476)*CROQUIS_DATOS!$C$1561-(0)*CROQUIS_DATOS!$C$1561))/CROQUIS_DATOS!$C$1568-0.000001)),1,MOD($A17-1,2)),1-IF(INT(($A17-1)/2)+1&gt;MAX(1,INT(((((CROQUIS_DATOS!$C$1511+CROQUIS_DATOS!$C$1512))-(CROQUIS_DATOS!$C$1511))+((CROQUIS_DATOS!$C$1476)*CROQUIS_DATOS!$C$1561-(0)*CROQUIS_DATOS!$C$1561))/CROQUIS_DATOS!$C$1568-0.000001)),1,MOD($A17-1,2)))=1,MIN((CROQUIS_DATOS!$C$1476)*CROQUIS_DATOS!$C$1561,((CROQUIS_DATOS!$C$1511+CROQUIS_DATOS!$C$1512)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7">
        <f>IF(AND(CROQUIS_DATOS!$C$1472=1,CROQUIS_DATOS!$C$1512&gt;0,((CROQUIS_DATOS!$C$1511+CROQUIS_DATOS!$C$1512))-(CROQUIS_DATOS!$C$1511)&gt;0.5,(CROQUIS_DATOS!$C$1476)-(0)&gt;0.5),(CROQUIS_DATOS!$C$1567+(IF(IF(MOD(MIN(INT(($A17-1)/2)+1,MAX(1,INT(((((CROQUIS_DATOS!$C$1511+CROQUIS_DATOS!$C$1512))-(CROQUIS_DATOS!$C$1511))+((CROQUIS_DATOS!$C$1476)*CROQUIS_DATOS!$C$1561-(0)*CROQUIS_DATOS!$C$1561))/CROQUIS_DATOS!$C$1568-0.000001))),2)=1,IF(INT(($A17-1)/2)+1&gt;MAX(1,INT(((((CROQUIS_DATOS!$C$1511+CROQUIS_DATOS!$C$1512))-(CROQUIS_DATOS!$C$1511))+((CROQUIS_DATOS!$C$1476)*CROQUIS_DATOS!$C$1561-(0)*CROQUIS_DATOS!$C$1561))/CROQUIS_DATOS!$C$1568-0.000001)),1,MOD($A17-1,2)),1-IF(INT(($A17-1)/2)+1&gt;MAX(1,INT(((((CROQUIS_DATOS!$C$1511+CROQUIS_DATOS!$C$1512))-(CROQUIS_DATOS!$C$1511))+((CROQUIS_DATOS!$C$1476)*CROQUIS_DATOS!$C$1561-(0)*CROQUIS_DATOS!$C$1561))/CROQUIS_DATOS!$C$1568-0.000001)),1,MOD($A17-1,2)))=1,MIN((CROQUIS_DATOS!$C$1476)*CROQUIS_DATOS!$C$1561,((CROQUIS_DATOS!$C$1511+CROQUIS_DATOS!$C$1512)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7">
        <f>IF(AND(CROQUIS_DATOS!$C$1472=1,CROQUIS_DATOS!$C$1516&gt;0,((CROQUIS_DATOS!$C$1515+CROQUIS_DATOS!$C$1516))-(CROQUIS_DATOS!$C$1515)&gt;0.5,(CROQUIS_DATOS!$C$1476)-(0)&gt;0.5),(CROQUIS_DATOS!$C$1566+(IF(IF(MOD(MIN(INT(($A17-1)/2)+1,MAX(1,INT(((((CROQUIS_DATOS!$C$1515+CROQUIS_DATOS!$C$1516))-(CROQUIS_DATOS!$C$1515))+((CROQUIS_DATOS!$C$1476)*CROQUIS_DATOS!$C$1561-(0)*CROQUIS_DATOS!$C$1561))/CROQUIS_DATOS!$C$1568-0.000001))),2)=1,IF(INT(($A17-1)/2)+1&gt;MAX(1,INT(((((CROQUIS_DATOS!$C$1515+CROQUIS_DATOS!$C$1516))-(CROQUIS_DATOS!$C$1515))+((CROQUIS_DATOS!$C$1476)*CROQUIS_DATOS!$C$1561-(0)*CROQUIS_DATOS!$C$1561))/CROQUIS_DATOS!$C$1568-0.000001)),1,MOD($A17-1,2)),1-IF(INT(($A17-1)/2)+1&gt;MAX(1,INT(((((CROQUIS_DATOS!$C$1515+CROQUIS_DATOS!$C$1516))-(CROQUIS_DATOS!$C$1515))+((CROQUIS_DATOS!$C$1476)*CROQUIS_DATOS!$C$1561-(0)*CROQUIS_DATOS!$C$1561))/CROQUIS_DATOS!$C$1568-0.000001)),1,MOD($A17-1,2)))=1,MIN((CROQUIS_DATOS!$C$1476)*CROQUIS_DATOS!$C$1561,((CROQUIS_DATOS!$C$1515+CROQUIS_DATOS!$C$1516)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7">
        <f>IF(AND(CROQUIS_DATOS!$C$1472=1,CROQUIS_DATOS!$C$1516&gt;0,((CROQUIS_DATOS!$C$1515+CROQUIS_DATOS!$C$1516))-(CROQUIS_DATOS!$C$1515)&gt;0.5,(CROQUIS_DATOS!$C$1476)-(0)&gt;0.5),(CROQUIS_DATOS!$C$1567+(IF(IF(MOD(MIN(INT(($A17-1)/2)+1,MAX(1,INT(((((CROQUIS_DATOS!$C$1515+CROQUIS_DATOS!$C$1516))-(CROQUIS_DATOS!$C$1515))+((CROQUIS_DATOS!$C$1476)*CROQUIS_DATOS!$C$1561-(0)*CROQUIS_DATOS!$C$1561))/CROQUIS_DATOS!$C$1568-0.000001))),2)=1,IF(INT(($A17-1)/2)+1&gt;MAX(1,INT(((((CROQUIS_DATOS!$C$1515+CROQUIS_DATOS!$C$1516))-(CROQUIS_DATOS!$C$1515))+((CROQUIS_DATOS!$C$1476)*CROQUIS_DATOS!$C$1561-(0)*CROQUIS_DATOS!$C$1561))/CROQUIS_DATOS!$C$1568-0.000001)),1,MOD($A17-1,2)),1-IF(INT(($A17-1)/2)+1&gt;MAX(1,INT(((((CROQUIS_DATOS!$C$1515+CROQUIS_DATOS!$C$1516))-(CROQUIS_DATOS!$C$1515))+((CROQUIS_DATOS!$C$1476)*CROQUIS_DATOS!$C$1561-(0)*CROQUIS_DATOS!$C$1561))/CROQUIS_DATOS!$C$1568-0.000001)),1,MOD($A17-1,2)))=1,MIN((CROQUIS_DATOS!$C$1476)*CROQUIS_DATOS!$C$1561,((CROQUIS_DATOS!$C$1515+CROQUIS_DATOS!$C$1516)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7">
        <f>IF(AND(CROQUIS_DATOS!$C$1472=1,CROQUIS_DATOS!$C$1478&gt;=1,((CROQUIS_DATOS!$C$1479+CROQUIS_DATOS!$C$1480))-(CROQUIS_DATOS!$C$1479)&gt;0.5,(CROQUIS_DATOS!$C$1481)-(0)&gt;0.5),(CROQUIS_DATOS!$C$1566+(IF(IF(MOD(MIN(INT(($A17-1)/2)+1,MAX(1,INT(((((CROQUIS_DATOS!$C$1479+CROQUIS_DATOS!$C$1480))-(CROQUIS_DATOS!$C$1479))+((CROQUIS_DATOS!$C$1481)*CROQUIS_DATOS!$C$1561-(0)*CROQUIS_DATOS!$C$1561))/CROQUIS_DATOS!$C$1568-0.000001))),2)=1,IF(INT(($A17-1)/2)+1&gt;MAX(1,INT(((((CROQUIS_DATOS!$C$1479+CROQUIS_DATOS!$C$1480))-(CROQUIS_DATOS!$C$1479))+((CROQUIS_DATOS!$C$1481)*CROQUIS_DATOS!$C$1561-(0)*CROQUIS_DATOS!$C$1561))/CROQUIS_DATOS!$C$1568-0.000001)),1,MOD($A17-1,2)),1-IF(INT(($A17-1)/2)+1&gt;MAX(1,INT(((((CROQUIS_DATOS!$C$1479+CROQUIS_DATOS!$C$1480))-(CROQUIS_DATOS!$C$1479))+((CROQUIS_DATOS!$C$1481)*CROQUIS_DATOS!$C$1561-(0)*CROQUIS_DATOS!$C$1561))/CROQUIS_DATOS!$C$1568-0.000001)),1,MOD($A17-1,2)))=1,MIN((CROQUIS_DATOS!$C$1481)*CROQUIS_DATOS!$C$1561,((CROQUIS_DATOS!$C$1479+CROQUIS_DATOS!$C$1480)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7">
        <f>IF(AND(CROQUIS_DATOS!$C$1472=1,CROQUIS_DATOS!$C$1478&gt;=1,((CROQUIS_DATOS!$C$1479+CROQUIS_DATOS!$C$1480))-(CROQUIS_DATOS!$C$1479)&gt;0.5,(CROQUIS_DATOS!$C$1481)-(0)&gt;0.5),(CROQUIS_DATOS!$C$1567+(IF(IF(MOD(MIN(INT(($A17-1)/2)+1,MAX(1,INT(((((CROQUIS_DATOS!$C$1479+CROQUIS_DATOS!$C$1480))-(CROQUIS_DATOS!$C$1479))+((CROQUIS_DATOS!$C$1481)*CROQUIS_DATOS!$C$1561-(0)*CROQUIS_DATOS!$C$1561))/CROQUIS_DATOS!$C$1568-0.000001))),2)=1,IF(INT(($A17-1)/2)+1&gt;MAX(1,INT(((((CROQUIS_DATOS!$C$1479+CROQUIS_DATOS!$C$1480))-(CROQUIS_DATOS!$C$1479))+((CROQUIS_DATOS!$C$1481)*CROQUIS_DATOS!$C$1561-(0)*CROQUIS_DATOS!$C$1561))/CROQUIS_DATOS!$C$1568-0.000001)),1,MOD($A17-1,2)),1-IF(INT(($A17-1)/2)+1&gt;MAX(1,INT(((((CROQUIS_DATOS!$C$1479+CROQUIS_DATOS!$C$1480))-(CROQUIS_DATOS!$C$1479))+((CROQUIS_DATOS!$C$1481)*CROQUIS_DATOS!$C$1561-(0)*CROQUIS_DATOS!$C$1561))/CROQUIS_DATOS!$C$1568-0.000001)),1,MOD($A17-1,2)))=1,MIN((CROQUIS_DATOS!$C$1481)*CROQUIS_DATOS!$C$1561,((CROQUIS_DATOS!$C$1479+CROQUIS_DATOS!$C$1480)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7">
        <f>IF(AND(CROQUIS_DATOS!$C$1472=1,CROQUIS_DATOS!$C$1478&gt;=1,((CROQUIS_DATOS!$C$1479+CROQUIS_DATOS!$C$1480))-(CROQUIS_DATOS!$C$1479)&gt;0.5,(CROQUIS_DATOS!$C$1476)-((CROQUIS_DATOS!$C$1481+CROQUIS_DATOS!$C$1482))&gt;0.5),(CROQUIS_DATOS!$C$1566+(IF(IF(MOD(MIN(INT(($A17-1)/2)+1,MAX(1,INT(((((CROQUIS_DATOS!$C$1479+CROQUIS_DATOS!$C$1480))-(CROQUIS_DATOS!$C$1479))+((CROQUIS_DATOS!$C$1476)*CROQUIS_DATOS!$C$1561-((CROQUIS_DATOS!$C$1481+CROQUIS_DATOS!$C$1482))*CROQUIS_DATOS!$C$1561))/CROQUIS_DATOS!$C$1568-0.000001))),2)=1,IF(INT(($A17-1)/2)+1&gt;MAX(1,INT(((((CROQUIS_DATOS!$C$1479+CROQUIS_DATOS!$C$1480))-(CROQUIS_DATOS!$C$1479))+((CROQUIS_DATOS!$C$1476)*CROQUIS_DATOS!$C$1561-((CROQUIS_DATOS!$C$1481+CROQUIS_DATOS!$C$1482))*CROQUIS_DATOS!$C$1561))/CROQUIS_DATOS!$C$1568-0.000001)),1,MOD($A17-1,2)),1-IF(INT(($A17-1)/2)+1&gt;MAX(1,INT(((((CROQUIS_DATOS!$C$1479+CROQUIS_DATOS!$C$1480))-(CROQUIS_DATOS!$C$1479))+((CROQUIS_DATOS!$C$1476)*CROQUIS_DATOS!$C$1561-((CROQUIS_DATOS!$C$1481+CROQUIS_DATOS!$C$1482))*CROQUIS_DATOS!$C$1561))/CROQUIS_DATOS!$C$1568-0.000001)),1,MOD($A17-1,2)))=1,MIN((CROQUIS_DATOS!$C$1476)*CROQUIS_DATOS!$C$1561,((CROQUIS_DATOS!$C$1479+CROQUIS_DATOS!$C$1480)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36.551724137931</v>
      </c>
      <c r="CM17">
        <f>IF(AND(CROQUIS_DATOS!$C$1472=1,CROQUIS_DATOS!$C$1478&gt;=1,((CROQUIS_DATOS!$C$1479+CROQUIS_DATOS!$C$1480))-(CROQUIS_DATOS!$C$1479)&gt;0.5,(CROQUIS_DATOS!$C$1476)-((CROQUIS_DATOS!$C$1481+CROQUIS_DATOS!$C$1482))&gt;0.5),(CROQUIS_DATOS!$C$1567+(IF(IF(MOD(MIN(INT(($A17-1)/2)+1,MAX(1,INT(((((CROQUIS_DATOS!$C$1479+CROQUIS_DATOS!$C$1480))-(CROQUIS_DATOS!$C$1479))+((CROQUIS_DATOS!$C$1476)*CROQUIS_DATOS!$C$1561-((CROQUIS_DATOS!$C$1481+CROQUIS_DATOS!$C$1482))*CROQUIS_DATOS!$C$1561))/CROQUIS_DATOS!$C$1568-0.000001))),2)=1,IF(INT(($A17-1)/2)+1&gt;MAX(1,INT(((((CROQUIS_DATOS!$C$1479+CROQUIS_DATOS!$C$1480))-(CROQUIS_DATOS!$C$1479))+((CROQUIS_DATOS!$C$1476)*CROQUIS_DATOS!$C$1561-((CROQUIS_DATOS!$C$1481+CROQUIS_DATOS!$C$1482))*CROQUIS_DATOS!$C$1561))/CROQUIS_DATOS!$C$1568-0.000001)),1,MOD($A17-1,2)),1-IF(INT(($A17-1)/2)+1&gt;MAX(1,INT(((((CROQUIS_DATOS!$C$1479+CROQUIS_DATOS!$C$1480))-(CROQUIS_DATOS!$C$1479))+((CROQUIS_DATOS!$C$1476)*CROQUIS_DATOS!$C$1561-((CROQUIS_DATOS!$C$1481+CROQUIS_DATOS!$C$1482))*CROQUIS_DATOS!$C$1561))/CROQUIS_DATOS!$C$1568-0.000001)),1,MOD($A17-1,2)))=1,MIN((CROQUIS_DATOS!$C$1476)*CROQUIS_DATOS!$C$1561,((CROQUIS_DATOS!$C$1479+CROQUIS_DATOS!$C$1480)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38.8620689655172</v>
      </c>
      <c r="CR17">
        <f>IF(AND(CROQUIS_DATOS!$C$1472=1,CROQUIS_DATOS!$C$1478&gt;=2,((CROQUIS_DATOS!$C$1484+CROQUIS_DATOS!$C$1485))-(CROQUIS_DATOS!$C$1484)&gt;0.5,(CROQUIS_DATOS!$C$1486)-(0)&gt;0.5),(CROQUIS_DATOS!$C$1566+(IF(IF(MOD(MIN(INT(($A17-1)/2)+1,MAX(1,INT(((((CROQUIS_DATOS!$C$1484+CROQUIS_DATOS!$C$1485))-(CROQUIS_DATOS!$C$1484))+((CROQUIS_DATOS!$C$1486)*CROQUIS_DATOS!$C$1561-(0)*CROQUIS_DATOS!$C$1561))/CROQUIS_DATOS!$C$1568-0.000001))),2)=1,IF(INT(($A17-1)/2)+1&gt;MAX(1,INT(((((CROQUIS_DATOS!$C$1484+CROQUIS_DATOS!$C$1485))-(CROQUIS_DATOS!$C$1484))+((CROQUIS_DATOS!$C$1486)*CROQUIS_DATOS!$C$1561-(0)*CROQUIS_DATOS!$C$1561))/CROQUIS_DATOS!$C$1568-0.000001)),1,MOD($A17-1,2)),1-IF(INT(($A17-1)/2)+1&gt;MAX(1,INT(((((CROQUIS_DATOS!$C$1484+CROQUIS_DATOS!$C$1485))-(CROQUIS_DATOS!$C$1484))+((CROQUIS_DATOS!$C$1486)*CROQUIS_DATOS!$C$1561-(0)*CROQUIS_DATOS!$C$1561))/CROQUIS_DATOS!$C$1568-0.000001)),1,MOD($A17-1,2)))=1,MIN((CROQUIS_DATOS!$C$1486)*CROQUIS_DATOS!$C$1561,((CROQUIS_DATOS!$C$1484+CROQUIS_DATOS!$C$1485)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*CROQUIS_DATOS!$C$1565),-1000)</f>
        <v>56.8620689655172</v>
      </c>
      <c r="CS17">
        <f>IF(AND(CROQUIS_DATOS!$C$1472=1,CROQUIS_DATOS!$C$1478&gt;=2,((CROQUIS_DATOS!$C$1484+CROQUIS_DATOS!$C$1485))-(CROQUIS_DATOS!$C$1484)&gt;0.5,(CROQUIS_DATOS!$C$1486)-(0)&gt;0.5),(CROQUIS_DATOS!$C$1567+(IF(IF(MOD(MIN(INT(($A17-1)/2)+1,MAX(1,INT(((((CROQUIS_DATOS!$C$1484+CROQUIS_DATOS!$C$1485))-(CROQUIS_DATOS!$C$1484))+((CROQUIS_DATOS!$C$1486)*CROQUIS_DATOS!$C$1561-(0)*CROQUIS_DATOS!$C$1561))/CROQUIS_DATOS!$C$1568-0.000001))),2)=1,IF(INT(($A17-1)/2)+1&gt;MAX(1,INT(((((CROQUIS_DATOS!$C$1484+CROQUIS_DATOS!$C$1485))-(CROQUIS_DATOS!$C$1484))+((CROQUIS_DATOS!$C$1486)*CROQUIS_DATOS!$C$1561-(0)*CROQUIS_DATOS!$C$1561))/CROQUIS_DATOS!$C$1568-0.000001)),1,MOD($A17-1,2)),1-IF(INT(($A17-1)/2)+1&gt;MAX(1,INT(((((CROQUIS_DATOS!$C$1484+CROQUIS_DATOS!$C$1485))-(CROQUIS_DATOS!$C$1484))+((CROQUIS_DATOS!$C$1486)*CROQUIS_DATOS!$C$1561-(0)*CROQUIS_DATOS!$C$1561))/CROQUIS_DATOS!$C$1568-0.000001)),1,MOD($A17-1,2)))=1,MIN((CROQUIS_DATOS!$C$1486)*CROQUIS_DATOS!$C$1561,((CROQUIS_DATOS!$C$1484+CROQUIS_DATOS!$C$1485)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17-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17">
        <f>IF(AND(CROQUIS_DATOS!$C$1472=1,CROQUIS_DATOS!$C$1478&gt;=2,((CROQUIS_DATOS!$C$1484+CROQUIS_DATOS!$C$1485))-(CROQUIS_DATOS!$C$1484)&gt;0.5,(CROQUIS_DATOS!$C$1476)-((CROQUIS_DATOS!$C$1486+CROQUIS_DATOS!$C$1487))&gt;0.5),(CROQUIS_DATOS!$C$1566+(IF(IF(MOD(MIN(INT(($A17-1)/2)+1,MAX(1,INT(((((CROQUIS_DATOS!$C$1484+CROQUIS_DATOS!$C$1485))-(CROQUIS_DATOS!$C$1484))+((CROQUIS_DATOS!$C$1476)*CROQUIS_DATOS!$C$1561-((CROQUIS_DATOS!$C$1486+CROQUIS_DATOS!$C$1487))*CROQUIS_DATOS!$C$1561))/CROQUIS_DATOS!$C$1568-0.000001))),2)=1,IF(INT(($A17-1)/2)+1&gt;MAX(1,INT(((((CROQUIS_DATOS!$C$1484+CROQUIS_DATOS!$C$1485))-(CROQUIS_DATOS!$C$1484))+((CROQUIS_DATOS!$C$1476)*CROQUIS_DATOS!$C$1561-((CROQUIS_DATOS!$C$1486+CROQUIS_DATOS!$C$1487))*CROQUIS_DATOS!$C$1561))/CROQUIS_DATOS!$C$1568-0.000001)),1,MOD($A17-1,2)),1-IF(INT(($A17-1)/2)+1&gt;MAX(1,INT(((((CROQUIS_DATOS!$C$1484+CROQUIS_DATOS!$C$1485))-(CROQUIS_DATOS!$C$1484))+((CROQUIS_DATOS!$C$1476)*CROQUIS_DATOS!$C$1561-((CROQUIS_DATOS!$C$1486+CROQUIS_DATOS!$C$1487))*CROQUIS_DATOS!$C$1561))/CROQUIS_DATOS!$C$1568-0.000001)),1,MOD($A17-1,2)))=1,MIN((CROQUIS_DATOS!$C$1476)*CROQUIS_DATOS!$C$1561,((CROQUIS_DATOS!$C$1484+CROQUIS_DATOS!$C$1485)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56.8620689655172</v>
      </c>
      <c r="CU17">
        <f>IF(AND(CROQUIS_DATOS!$C$1472=1,CROQUIS_DATOS!$C$1478&gt;=2,((CROQUIS_DATOS!$C$1484+CROQUIS_DATOS!$C$1485))-(CROQUIS_DATOS!$C$1484)&gt;0.5,(CROQUIS_DATOS!$C$1476)-((CROQUIS_DATOS!$C$1486+CROQUIS_DATOS!$C$1487))&gt;0.5),(CROQUIS_DATOS!$C$1567+(IF(IF(MOD(MIN(INT(($A17-1)/2)+1,MAX(1,INT(((((CROQUIS_DATOS!$C$1484+CROQUIS_DATOS!$C$1485))-(CROQUIS_DATOS!$C$1484))+((CROQUIS_DATOS!$C$1476)*CROQUIS_DATOS!$C$1561-((CROQUIS_DATOS!$C$1486+CROQUIS_DATOS!$C$1487))*CROQUIS_DATOS!$C$1561))/CROQUIS_DATOS!$C$1568-0.000001))),2)=1,IF(INT(($A17-1)/2)+1&gt;MAX(1,INT(((((CROQUIS_DATOS!$C$1484+CROQUIS_DATOS!$C$1485))-(CROQUIS_DATOS!$C$1484))+((CROQUIS_DATOS!$C$1476)*CROQUIS_DATOS!$C$1561-((CROQUIS_DATOS!$C$1486+CROQUIS_DATOS!$C$1487))*CROQUIS_DATOS!$C$1561))/CROQUIS_DATOS!$C$1568-0.000001)),1,MOD($A17-1,2)),1-IF(INT(($A17-1)/2)+1&gt;MAX(1,INT(((((CROQUIS_DATOS!$C$1484+CROQUIS_DATOS!$C$1485))-(CROQUIS_DATOS!$C$1484))+((CROQUIS_DATOS!$C$1476)*CROQUIS_DATOS!$C$1561-((CROQUIS_DATOS!$C$1486+CROQUIS_DATOS!$C$1487))*CROQUIS_DATOS!$C$1561))/CROQUIS_DATOS!$C$1568-0.000001)),1,MOD($A17-1,2)))=1,MIN((CROQUIS_DATOS!$C$1476)*CROQUIS_DATOS!$C$1561,((CROQUIS_DATOS!$C$1484+CROQUIS_DATOS!$C$1485)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17">
        <f>IF(AND(CROQUIS_DATOS!$C$1472=1,CROQUIS_DATOS!$C$1478&gt;=3,((CROQUIS_DATOS!$C$1489+CROQUIS_DATOS!$C$1490))-(CROQUIS_DATOS!$C$1489)&gt;0.5,(CROQUIS_DATOS!$C$1491)-(0)&gt;0.5),(CROQUIS_DATOS!$C$1566+(IF(IF(MOD(MIN(INT(($A17-1)/2)+1,MAX(1,INT(((((CROQUIS_DATOS!$C$1489+CROQUIS_DATOS!$C$1490))-(CROQUIS_DATOS!$C$1489))+((CROQUIS_DATOS!$C$1491)*CROQUIS_DATOS!$C$1561-(0)*CROQUIS_DATOS!$C$1561))/CROQUIS_DATOS!$C$1568-0.000001))),2)=1,IF(INT(($A17-1)/2)+1&gt;MAX(1,INT(((((CROQUIS_DATOS!$C$1489+CROQUIS_DATOS!$C$1490))-(CROQUIS_DATOS!$C$1489))+((CROQUIS_DATOS!$C$1491)*CROQUIS_DATOS!$C$1561-(0)*CROQUIS_DATOS!$C$1561))/CROQUIS_DATOS!$C$1568-0.000001)),1,MOD($A17-1,2)),1-IF(INT(($A17-1)/2)+1&gt;MAX(1,INT(((((CROQUIS_DATOS!$C$1489+CROQUIS_DATOS!$C$1490))-(CROQUIS_DATOS!$C$1489))+((CROQUIS_DATOS!$C$1491)*CROQUIS_DATOS!$C$1561-(0)*CROQUIS_DATOS!$C$1561))/CROQUIS_DATOS!$C$1568-0.000001)),1,MOD($A17-1,2)))=1,MIN((CROQUIS_DATOS!$C$1491)*CROQUIS_DATOS!$C$1561,((CROQUIS_DATOS!$C$1489+CROQUIS_DATOS!$C$1490)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7">
        <f>IF(AND(CROQUIS_DATOS!$C$1472=1,CROQUIS_DATOS!$C$1478&gt;=3,((CROQUIS_DATOS!$C$1489+CROQUIS_DATOS!$C$1490))-(CROQUIS_DATOS!$C$1489)&gt;0.5,(CROQUIS_DATOS!$C$1491)-(0)&gt;0.5),(CROQUIS_DATOS!$C$1567+(IF(IF(MOD(MIN(INT(($A17-1)/2)+1,MAX(1,INT(((((CROQUIS_DATOS!$C$1489+CROQUIS_DATOS!$C$1490))-(CROQUIS_DATOS!$C$1489))+((CROQUIS_DATOS!$C$1491)*CROQUIS_DATOS!$C$1561-(0)*CROQUIS_DATOS!$C$1561))/CROQUIS_DATOS!$C$1568-0.000001))),2)=1,IF(INT(($A17-1)/2)+1&gt;MAX(1,INT(((((CROQUIS_DATOS!$C$1489+CROQUIS_DATOS!$C$1490))-(CROQUIS_DATOS!$C$1489))+((CROQUIS_DATOS!$C$1491)*CROQUIS_DATOS!$C$1561-(0)*CROQUIS_DATOS!$C$1561))/CROQUIS_DATOS!$C$1568-0.000001)),1,MOD($A17-1,2)),1-IF(INT(($A17-1)/2)+1&gt;MAX(1,INT(((((CROQUIS_DATOS!$C$1489+CROQUIS_DATOS!$C$1490))-(CROQUIS_DATOS!$C$1489))+((CROQUIS_DATOS!$C$1491)*CROQUIS_DATOS!$C$1561-(0)*CROQUIS_DATOS!$C$1561))/CROQUIS_DATOS!$C$1568-0.000001)),1,MOD($A17-1,2)))=1,MIN((CROQUIS_DATOS!$C$1491)*CROQUIS_DATOS!$C$1561,((CROQUIS_DATOS!$C$1489+CROQUIS_DATOS!$C$1490)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7">
        <f>IF(AND(CROQUIS_DATOS!$C$1472=1,CROQUIS_DATOS!$C$1478&gt;=3,((CROQUIS_DATOS!$C$1489+CROQUIS_DATOS!$C$1490))-(CROQUIS_DATOS!$C$1489)&gt;0.5,(CROQUIS_DATOS!$C$1476)-((CROQUIS_DATOS!$C$1491+CROQUIS_DATOS!$C$1492))&gt;0.5),(CROQUIS_DATOS!$C$1566+(IF(IF(MOD(MIN(INT(($A17-1)/2)+1,MAX(1,INT(((((CROQUIS_DATOS!$C$1489+CROQUIS_DATOS!$C$1490))-(CROQUIS_DATOS!$C$1489))+((CROQUIS_DATOS!$C$1476)*CROQUIS_DATOS!$C$1561-((CROQUIS_DATOS!$C$1491+CROQUIS_DATOS!$C$1492))*CROQUIS_DATOS!$C$1561))/CROQUIS_DATOS!$C$1568-0.000001))),2)=1,IF(INT(($A17-1)/2)+1&gt;MAX(1,INT(((((CROQUIS_DATOS!$C$1489+CROQUIS_DATOS!$C$1490))-(CROQUIS_DATOS!$C$1489))+((CROQUIS_DATOS!$C$1476)*CROQUIS_DATOS!$C$1561-((CROQUIS_DATOS!$C$1491+CROQUIS_DATOS!$C$1492))*CROQUIS_DATOS!$C$1561))/CROQUIS_DATOS!$C$1568-0.000001)),1,MOD($A17-1,2)),1-IF(INT(($A17-1)/2)+1&gt;MAX(1,INT(((((CROQUIS_DATOS!$C$1489+CROQUIS_DATOS!$C$1490))-(CROQUIS_DATOS!$C$1489))+((CROQUIS_DATOS!$C$1476)*CROQUIS_DATOS!$C$1561-((CROQUIS_DATOS!$C$1491+CROQUIS_DATOS!$C$1492))*CROQUIS_DATOS!$C$1561))/CROQUIS_DATOS!$C$1568-0.000001)),1,MOD($A17-1,2)))=1,MIN((CROQUIS_DATOS!$C$1476)*CROQUIS_DATOS!$C$1561,((CROQUIS_DATOS!$C$1489+CROQUIS_DATOS!$C$1490)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7">
        <f>IF(AND(CROQUIS_DATOS!$C$1472=1,CROQUIS_DATOS!$C$1478&gt;=3,((CROQUIS_DATOS!$C$1489+CROQUIS_DATOS!$C$1490))-(CROQUIS_DATOS!$C$1489)&gt;0.5,(CROQUIS_DATOS!$C$1476)-((CROQUIS_DATOS!$C$1491+CROQUIS_DATOS!$C$1492))&gt;0.5),(CROQUIS_DATOS!$C$1567+(IF(IF(MOD(MIN(INT(($A17-1)/2)+1,MAX(1,INT(((((CROQUIS_DATOS!$C$1489+CROQUIS_DATOS!$C$1490))-(CROQUIS_DATOS!$C$1489))+((CROQUIS_DATOS!$C$1476)*CROQUIS_DATOS!$C$1561-((CROQUIS_DATOS!$C$1491+CROQUIS_DATOS!$C$1492))*CROQUIS_DATOS!$C$1561))/CROQUIS_DATOS!$C$1568-0.000001))),2)=1,IF(INT(($A17-1)/2)+1&gt;MAX(1,INT(((((CROQUIS_DATOS!$C$1489+CROQUIS_DATOS!$C$1490))-(CROQUIS_DATOS!$C$1489))+((CROQUIS_DATOS!$C$1476)*CROQUIS_DATOS!$C$1561-((CROQUIS_DATOS!$C$1491+CROQUIS_DATOS!$C$1492))*CROQUIS_DATOS!$C$1561))/CROQUIS_DATOS!$C$1568-0.000001)),1,MOD($A17-1,2)),1-IF(INT(($A17-1)/2)+1&gt;MAX(1,INT(((((CROQUIS_DATOS!$C$1489+CROQUIS_DATOS!$C$1490))-(CROQUIS_DATOS!$C$1489))+((CROQUIS_DATOS!$C$1476)*CROQUIS_DATOS!$C$1561-((CROQUIS_DATOS!$C$1491+CROQUIS_DATOS!$C$1492))*CROQUIS_DATOS!$C$1561))/CROQUIS_DATOS!$C$1568-0.000001)),1,MOD($A17-1,2)))=1,MIN((CROQUIS_DATOS!$C$1476)*CROQUIS_DATOS!$C$1561,((CROQUIS_DATOS!$C$1489+CROQUIS_DATOS!$C$1490)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7">
        <f>IF(AND(CROQUIS_DATOS!$C$1472=1,CROQUIS_DATOS!$C$1478&gt;=4,((CROQUIS_DATOS!$C$1494+CROQUIS_DATOS!$C$1495))-(CROQUIS_DATOS!$C$1494)&gt;0.5,(CROQUIS_DATOS!$C$1496)-(0)&gt;0.5),(CROQUIS_DATOS!$C$1566+(IF(IF(MOD(MIN(INT(($A17-1)/2)+1,MAX(1,INT(((((CROQUIS_DATOS!$C$1494+CROQUIS_DATOS!$C$1495))-(CROQUIS_DATOS!$C$1494))+((CROQUIS_DATOS!$C$1496)*CROQUIS_DATOS!$C$1561-(0)*CROQUIS_DATOS!$C$1561))/CROQUIS_DATOS!$C$1568-0.000001))),2)=1,IF(INT(($A17-1)/2)+1&gt;MAX(1,INT(((((CROQUIS_DATOS!$C$1494+CROQUIS_DATOS!$C$1495))-(CROQUIS_DATOS!$C$1494))+((CROQUIS_DATOS!$C$1496)*CROQUIS_DATOS!$C$1561-(0)*CROQUIS_DATOS!$C$1561))/CROQUIS_DATOS!$C$1568-0.000001)),1,MOD($A17-1,2)),1-IF(INT(($A17-1)/2)+1&gt;MAX(1,INT(((((CROQUIS_DATOS!$C$1494+CROQUIS_DATOS!$C$1495))-(CROQUIS_DATOS!$C$1494))+((CROQUIS_DATOS!$C$1496)*CROQUIS_DATOS!$C$1561-(0)*CROQUIS_DATOS!$C$1561))/CROQUIS_DATOS!$C$1568-0.000001)),1,MOD($A17-1,2)))=1,MIN((CROQUIS_DATOS!$C$1496)*CROQUIS_DATOS!$C$1561,((CROQUIS_DATOS!$C$1494+CROQUIS_DATOS!$C$1495)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7">
        <f>IF(AND(CROQUIS_DATOS!$C$1472=1,CROQUIS_DATOS!$C$1478&gt;=4,((CROQUIS_DATOS!$C$1494+CROQUIS_DATOS!$C$1495))-(CROQUIS_DATOS!$C$1494)&gt;0.5,(CROQUIS_DATOS!$C$1496)-(0)&gt;0.5),(CROQUIS_DATOS!$C$1567+(IF(IF(MOD(MIN(INT(($A17-1)/2)+1,MAX(1,INT(((((CROQUIS_DATOS!$C$1494+CROQUIS_DATOS!$C$1495))-(CROQUIS_DATOS!$C$1494))+((CROQUIS_DATOS!$C$1496)*CROQUIS_DATOS!$C$1561-(0)*CROQUIS_DATOS!$C$1561))/CROQUIS_DATOS!$C$1568-0.000001))),2)=1,IF(INT(($A17-1)/2)+1&gt;MAX(1,INT(((((CROQUIS_DATOS!$C$1494+CROQUIS_DATOS!$C$1495))-(CROQUIS_DATOS!$C$1494))+((CROQUIS_DATOS!$C$1496)*CROQUIS_DATOS!$C$1561-(0)*CROQUIS_DATOS!$C$1561))/CROQUIS_DATOS!$C$1568-0.000001)),1,MOD($A17-1,2)),1-IF(INT(($A17-1)/2)+1&gt;MAX(1,INT(((((CROQUIS_DATOS!$C$1494+CROQUIS_DATOS!$C$1495))-(CROQUIS_DATOS!$C$1494))+((CROQUIS_DATOS!$C$1496)*CROQUIS_DATOS!$C$1561-(0)*CROQUIS_DATOS!$C$1561))/CROQUIS_DATOS!$C$1568-0.000001)),1,MOD($A17-1,2)))=1,MIN((CROQUIS_DATOS!$C$1496)*CROQUIS_DATOS!$C$1561,((CROQUIS_DATOS!$C$1494+CROQUIS_DATOS!$C$1495)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7">
        <f>IF(AND(CROQUIS_DATOS!$C$1472=1,CROQUIS_DATOS!$C$1478&gt;=4,((CROQUIS_DATOS!$C$1494+CROQUIS_DATOS!$C$1495))-(CROQUIS_DATOS!$C$1494)&gt;0.5,(CROQUIS_DATOS!$C$1476)-((CROQUIS_DATOS!$C$1496+CROQUIS_DATOS!$C$1497))&gt;0.5),(CROQUIS_DATOS!$C$1566+(IF(IF(MOD(MIN(INT(($A17-1)/2)+1,MAX(1,INT(((((CROQUIS_DATOS!$C$1494+CROQUIS_DATOS!$C$1495))-(CROQUIS_DATOS!$C$1494))+((CROQUIS_DATOS!$C$1476)*CROQUIS_DATOS!$C$1561-((CROQUIS_DATOS!$C$1496+CROQUIS_DATOS!$C$1497))*CROQUIS_DATOS!$C$1561))/CROQUIS_DATOS!$C$1568-0.000001))),2)=1,IF(INT(($A17-1)/2)+1&gt;MAX(1,INT(((((CROQUIS_DATOS!$C$1494+CROQUIS_DATOS!$C$1495))-(CROQUIS_DATOS!$C$1494))+((CROQUIS_DATOS!$C$1476)*CROQUIS_DATOS!$C$1561-((CROQUIS_DATOS!$C$1496+CROQUIS_DATOS!$C$1497))*CROQUIS_DATOS!$C$1561))/CROQUIS_DATOS!$C$1568-0.000001)),1,MOD($A17-1,2)),1-IF(INT(($A17-1)/2)+1&gt;MAX(1,INT(((((CROQUIS_DATOS!$C$1494+CROQUIS_DATOS!$C$1495))-(CROQUIS_DATOS!$C$1494))+((CROQUIS_DATOS!$C$1476)*CROQUIS_DATOS!$C$1561-((CROQUIS_DATOS!$C$1496+CROQUIS_DATOS!$C$1497))*CROQUIS_DATOS!$C$1561))/CROQUIS_DATOS!$C$1568-0.000001)),1,MOD($A17-1,2)))=1,MIN((CROQUIS_DATOS!$C$1476)*CROQUIS_DATOS!$C$1561,((CROQUIS_DATOS!$C$1494+CROQUIS_DATOS!$C$1495)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7">
        <f>IF(AND(CROQUIS_DATOS!$C$1472=1,CROQUIS_DATOS!$C$1478&gt;=4,((CROQUIS_DATOS!$C$1494+CROQUIS_DATOS!$C$1495))-(CROQUIS_DATOS!$C$1494)&gt;0.5,(CROQUIS_DATOS!$C$1476)-((CROQUIS_DATOS!$C$1496+CROQUIS_DATOS!$C$1497))&gt;0.5),(CROQUIS_DATOS!$C$1567+(IF(IF(MOD(MIN(INT(($A17-1)/2)+1,MAX(1,INT(((((CROQUIS_DATOS!$C$1494+CROQUIS_DATOS!$C$1495))-(CROQUIS_DATOS!$C$1494))+((CROQUIS_DATOS!$C$1476)*CROQUIS_DATOS!$C$1561-((CROQUIS_DATOS!$C$1496+CROQUIS_DATOS!$C$1497))*CROQUIS_DATOS!$C$1561))/CROQUIS_DATOS!$C$1568-0.000001))),2)=1,IF(INT(($A17-1)/2)+1&gt;MAX(1,INT(((((CROQUIS_DATOS!$C$1494+CROQUIS_DATOS!$C$1495))-(CROQUIS_DATOS!$C$1494))+((CROQUIS_DATOS!$C$1476)*CROQUIS_DATOS!$C$1561-((CROQUIS_DATOS!$C$1496+CROQUIS_DATOS!$C$1497))*CROQUIS_DATOS!$C$1561))/CROQUIS_DATOS!$C$1568-0.000001)),1,MOD($A17-1,2)),1-IF(INT(($A17-1)/2)+1&gt;MAX(1,INT(((((CROQUIS_DATOS!$C$1494+CROQUIS_DATOS!$C$1495))-(CROQUIS_DATOS!$C$1494))+((CROQUIS_DATOS!$C$1476)*CROQUIS_DATOS!$C$1561-((CROQUIS_DATOS!$C$1496+CROQUIS_DATOS!$C$1497))*CROQUIS_DATOS!$C$1561))/CROQUIS_DATOS!$C$1568-0.000001)),1,MOD($A17-1,2)))=1,MIN((CROQUIS_DATOS!$C$1476)*CROQUIS_DATOS!$C$1561,((CROQUIS_DATOS!$C$1494+CROQUIS_DATOS!$C$1495)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7">
        <f>IF(AND(CROQUIS_DATOS!$C$1472=1,1),(CROQUIS_DATOS!$C$1566+(INDEX($E$8:$E$23,MIN($A17,CROQUIS_DATOS!$C$1525)))*CROQUIS_DATOS!$C$1565),-1000)</f>
        <v>76.9224137931035</v>
      </c>
      <c r="EW17">
        <f>IF(AND(CROQUIS_DATOS!$C$1472=1,1),((CROQUIS_DATOS!$C$1567+(CROQUIS_DATOS!$C$1476+CROQUIS_DATOS!$C$1528)*CROQUIS_DATOS!$C$1561*CROQUIS_DATOS!$C$1565)+1.5),-1000)</f>
        <v>42.5</v>
      </c>
      <c r="GD17">
        <f>IF(AND(CROQUIS_DATOS!$C$1472=1,1),(CROQUIS_DATOS!$C$1571+(CHOOSE(MIN(MAX(IF(INT(($A17-1)/5)+1&gt;CROQUIS_DATOS!$C$1525,5,MOD($A17-1,5)+1),1),5),(INDEX($E$8:$E$23,MIN(INT(($A17-1)/5)+1,CROQUIS_DATOS!$C$1525))-INDEX($F$8:$F$23,MIN(INT(($A17-1)/5)+1,CROQUIS_DATOS!$C$1525))/2),(INDEX($E$8:$E$23,MIN(INT(($A17-1)/5)+1,CROQUIS_DATOS!$C$1525))+INDEX($F$8:$F$23,MIN(INT(($A17-1)/5)+1,CROQUIS_DATOS!$C$1525))/2),(INDEX($E$8:$E$23,MIN(INT(($A17-1)/5)+1,CROQUIS_DATOS!$C$1525))+INDEX($F$8:$F$23,MIN(INT(($A17-1)/5)+1,CROQUIS_DATOS!$C$1525))/2),(INDEX($E$8:$E$23,MIN(INT(($A17-1)/5)+1,CROQUIS_DATOS!$C$1525))-INDEX($F$8:$F$23,MIN(INT(($A17-1)/5)+1,CROQUIS_DATOS!$C$1525))/2),(INDEX($E$8:$E$23,MIN(INT(($A17-1)/5)+1,CROQUIS_DATOS!$C$1525))-INDEX($F$8:$F$23,MIN(INT(($A17-1)/5)+1,CROQUIS_DATOS!$C$1525))/2)))*CROQUIS_DATOS!$C$1569),-1000)</f>
        <v>10.6</v>
      </c>
      <c r="GE17">
        <f>IF(AND(CROQUIS_DATOS!$C$1472=1,1),(CROQUIS_DATOS!$C$1572+(CHOOSE(MIN(MAX(IF(INT(($A17-1)/5)+1&gt;CROQUIS_DATOS!$C$1525,5,MOD($A17-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7">
        <f>IF(AND(CROQUIS_DATOS!$C$1472=1,1),IF(INT(($A17-1)/4)+1&lt;=CROQUIS_DATOS!$C$1525,(CROQUIS_DATOS!$C$1571+((INDEX($E$8:$E$23,MIN(INT(($A17-1)/4)+1,16))+IF(OR(MOD($A17-1,4)=0,MOD($A17-1,4)=3),-1,1)*(INDEX($F$8:$F$23,MIN(INT(($A17-1)/4)+1,16))/2-(CROQUIS_DATOS!$C$1530+CROQUIS_DATOS!$C$1532+IF(OR(INT(($A17-1)/4)+1=1,INT(($A17-1)/4)+1=CROQUIS_DATOS!$C$1525),CROQUIS_DATOS!$C$1534,CROQUIS_DATOS!$C$1531)/2))))*CROQUIS_DATOS!$C$1569),-1000),-1000)</f>
        <v>32.107484</v>
      </c>
      <c r="GG17">
        <f>IF(AND(CROQUIS_DATOS!$C$1472=1,1),IF(INT(($A17-1)/4)+1&lt;=CROQUIS_DATOS!$C$1525,(CROQUIS_DATOS!$C$1572+((CROQUIS_DATOS!$C$1477/2+IF(MOD($A17-1,4)&lt;2,-1,1)*(CROQUIS_DATOS!$C$1527/2-(CROQUIS_DATOS!$C$1530+CROQUIS_DATOS!$C$1532+IF(OR(INT(($A17-1)/4)+1=1,INT(($A17-1)/4)+1=CROQUIS_DATOS!$C$1525),CROQUIS_DATOS!$C$1534,CROQUIS_DATOS!$C$1531)/2))))*CROQUIS_DATOS!$C$1569*CROQUIS_DATOS!$C$1570),-1000),-1000)</f>
        <v>10.43345</v>
      </c>
    </row>
    <row r="18">
      <c r="A18" t="n">
        <v>11</v>
      </c>
      <c r="B18" t="n">
        <v>11</v>
      </c>
      <c r="C18">
        <f>1+(B18&gt;CROQUIS_DATOS!$C$1520)+(B18&gt;CROQUIS_DATOS!$C$1521)+(B18&gt;CROQUIS_DATOS!$C$1522)+(B18&gt;CROQUIS_DATOS!$C$1523)</f>
        <v>5</v>
      </c>
      <c r="D18">
        <f>B18-CHOOSE(MIN(C18,5),0,CROQUIS_DATOS!$C$1520,CROQUIS_DATOS!$C$1521,CROQUIS_DATOS!$C$1522,CROQUIS_DATOS!$C$1523)</f>
        <v>5</v>
      </c>
      <c r="E18">
        <f>IF(G18=0,0,CHOOSE(MIN(C18,5),CROQUIS_DATOS!$C$1499,CROQUIS_DATOS!$C$1503,CROQUIS_DATOS!$C$1507,CROQUIS_DATOS!$C$1511,CROQUIS_DATOS!$C$1515)+IF(CHOOSE(MIN(C18,5),CROQUIS_DATOS!$C$1502,CROQUIS_DATOS!$C$1506,CROQUIS_DATOS!$C$1510,CROQUIS_DATOS!$C$1514,CROQUIS_DATOS!$C$1518)=1,CHOOSE(MIN(C18,5),CROQUIS_DATOS!$C$1500,CROQUIS_DATOS!$C$1504,CROQUIS_DATOS!$C$1508,CROQUIS_DATOS!$C$1512,CROQUIS_DATOS!$C$1516)/2,CROQUIS_DATOS!$C$1526/2+(D18-1)*(CHOOSE(MIN(C18,5),CROQUIS_DATOS!$C$1500,CROQUIS_DATOS!$C$1504,CROQUIS_DATOS!$C$1508,CROQUIS_DATOS!$C$1512,CROQUIS_DATOS!$C$1516)-CROQUIS_DATOS!$C$1526)/MAX(CHOOSE(MIN(C18,5),CROQUIS_DATOS!$C$1502,CROQUIS_DATOS!$C$1506,CROQUIS_DATOS!$C$1510,CROQUIS_DATOS!$C$1514,CROQUIS_DATOS!$C$1518)-1,1)))</f>
        <v>0</v>
      </c>
      <c r="F18">
        <f>IF(G18=0,0,IF(CHOOSE(MIN(C18,5),CROQUIS_DATOS!$C$1502,CROQUIS_DATOS!$C$1506,CROQUIS_DATOS!$C$1510,CROQUIS_DATOS!$C$1514,CROQUIS_DATOS!$C$1518)=1,MIN(CROQUIS_DATOS!$C$1526,CHOOSE(MIN(C18,5),CROQUIS_DATOS!$C$1500,CROQUIS_DATOS!$C$1504,CROQUIS_DATOS!$C$1508,CROQUIS_DATOS!$C$1512,CROQUIS_DATOS!$C$1516)),CROQUIS_DATOS!$C$1526))</f>
        <v>0</v>
      </c>
      <c r="G18">
        <f>IF(AND(CROQUIS_DATOS!$C$1472=1,B18&lt;=CROQUIS_DATOS!$C$1525),1,0)</f>
        <v>0</v>
      </c>
      <c r="H18">
        <f>IF(11&lt;=CROQUIS_DATOS!$C$1539,11*CROQUIS_DATOS!$C$1536,IF(11&lt;=CROQUIS_DATOS!$C$1539+CROQUIS_DATOS!$C$1540,CROQUIS_DATOS!$C$1539*CROQUIS_DATOS!$C$1536+(11-CROQUIS_DATOS!$C$1539)*(CROQUIS_DATOS!$C$1476-2*CROQUIS_DATOS!$C$1539*CROQUIS_DATOS!$C$1536)/(CROQUIS_DATOS!$C$1540+1),CROQUIS_DATOS!$C$1476-(2*CROQUIS_DATOS!$C$1539+CROQUIS_DATOS!$C$1540+1-11)*CROQUIS_DATOS!$C$1536))</f>
        <v>154.166666666667</v>
      </c>
      <c r="I18">
        <f>IF(AND(CROQUIS_DATOS!$C$1544=1,E18&gt;=CROQUIS_DATOS!$C$1549-1,E18&lt;=CROQUIS_DATOS!$C$1550+1),CROQUIS_DATOS!$C$1554,CROQUIS_DATOS!$C$1552)</f>
        <v>-16.8885</v>
      </c>
      <c r="J18">
        <f>IF(AND(CROQUIS_DATOS!$C$1472=1,1),(CROQUIS_DATOS!$C$1563+(CHOOSE(MIN(MAX(IF(INT(($A18-1)/4)+1&gt;CROQUIS_DATOS!$C$1525,4,MOD($A18-1,4)+1),1),4),(INDEX($E$8:$E$23,MIN(INT(($A18-1)/4)+1,CROQUIS_DATOS!$C$1525))-INDEX($F$8:$F$23,MIN(INT(($A18-1)/4)+1,CROQUIS_DATOS!$C$1525))/2),(INDEX($E$8:$E$23,MIN(INT(($A18-1)/4)+1,CROQUIS_DATOS!$C$1525))-INDEX($F$8:$F$23,MIN(INT(($A18-1)/4)+1,CROQUIS_DATOS!$C$1525))/2),(INDEX($E$8:$E$23,MIN(INT(($A18-1)/4)+1,CROQUIS_DATOS!$C$1525))+INDEX($F$8:$F$23,MIN(INT(($A18-1)/4)+1,CROQUIS_DATOS!$C$1525))/2),(INDEX($E$8:$E$23,MIN(INT(($A18-1)/4)+1,CROQUIS_DATOS!$C$1525))+INDEX($F$8:$F$23,MIN(INT(($A18-1)/4)+1,CROQUIS_DATOS!$C$1525))/2)))*CROQUIS_DATOS!$C$1562),-1000)</f>
        <v>35.3362068965517</v>
      </c>
      <c r="K18">
        <f>IF(AND(CROQUIS_DATOS!$C$1472=1,1),(CROQUIS_DATOS!$C$1564+(CHOOSE(MIN(MAX(IF(INT(($A18-1)/4)+1&gt;CROQUIS_DATOS!$C$1525,4,MOD($A18-1,4)+1),1),4),0,CROQUIS_DATOS!$C$1476,CROQUIS_DATOS!$C$1476,0))*CROQUIS_DATOS!$C$1561*CROQUIS_DATOS!$C$1562),-1000)</f>
        <v>40.2068965517241</v>
      </c>
      <c r="L18">
        <f>IF(AND(CROQUIS_DATOS!$C$1472=1,1),(CROQUIS_DATOS!$C$1563+(CHOOSE(MIN(MAX(IF(INT(($A18-1)/4)+1&gt;CROQUIS_DATOS!$C$1525,4,MOD($A18-1,4)+1),1),4),((INDEX($E$8:$E$23,MIN(INT(($A18-1)/4)+1,CROQUIS_DATOS!$C$1525))-INDEX($F$8:$F$23,MIN(INT(($A18-1)/4)+1,CROQUIS_DATOS!$C$1525))/2)+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,((INDEX($E$8:$E$23,MIN(INT(($A18-1)/4)+1,CROQUIS_DATOS!$C$1525))-INDEX($F$8:$F$23,MIN(INT(($A18-1)/4)+1,CROQUIS_DATOS!$C$1525))/2)+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,((INDEX($E$8:$E$23,MIN(INT(($A18-1)/4)+1,CROQUIS_DATOS!$C$1525))+INDEX($F$8:$F$23,MIN(INT(($A18-1)/4)+1,CROQUIS_DATOS!$C$1525))/2)-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,((INDEX($E$8:$E$23,MIN(INT(($A18-1)/4)+1,CROQUIS_DATOS!$C$1525))+INDEX($F$8:$F$23,MIN(INT(($A18-1)/4)+1,CROQUIS_DATOS!$C$1525))/2)-MIN((CROQUIS_DATOS!$C$1530+CROQUIS_DATOS!$C$1532+IF(OR(MIN(INT(($A18-1)/4)+1,CROQUIS_DATOS!$C$1525)=1,MIN(INT(($A18-1)/4)+1,CROQUIS_DATOS!$C$1525)=CROQUIS_DATOS!$C$1525),CROQUIS_DATOS!$C$1534,CROQUIS_DATOS!$C$1531)/2),INDEX($F$8:$F$23,MIN(INT(($A18-1)/4)+1,CROQUIS_DATOS!$C$1525))/2-0.5))))*CROQUIS_DATOS!$C$1562),-1000)</f>
        <v>34.9016698275862</v>
      </c>
      <c r="M18">
        <f>IF(AND(CROQUIS_DATOS!$C$1472=1,1),(CROQUIS_DATOS!$C$1564+(CHOOSE(MIN(MAX(IF(INT(($A18-1)/4)+1&gt;CROQUIS_DATOS!$C$1525,4,MOD($A18-1,4)+1),1),4),CROQUIS_DATOS!$C$1543,INDEX($I$8:$I$23,MIN(INT(($A18-1)/4)+1,CROQUIS_DATOS!$C$1525)),INDEX($I$8:$I$23,MIN(INT(($A18-1)/4)+1,CROQUIS_DATOS!$C$1525)),CROQUIS_DATOS!$C$1543))*CROQUIS_DATOS!$C$1561*CROQUIS_DATOS!$C$1562),-1000)</f>
        <v>2.93453706896552</v>
      </c>
      <c r="N18">
        <f>IF(AND(CROQUIS_DATOS!$C$1472=1,1),(CROQUIS_DATOS!$C$1563+(IF(IF(IF(INT(($A18-1)/70)+1&gt;CROQUIS_DATOS!$C$1525,70,MOD($A18-1,70)+1)=1,0,IF(IF(INT(($A18-1)/70)+1&gt;CROQUIS_DATOS!$C$1525,70,MOD($A18-1,70)+1)&gt;2*CROQUIS_DATOS!$C$1541+1,IF(MOD(CROQUIS_DATOS!$C$1541,2)=1,1,0),IF(MOD(MIN(INT((IF(INT(($A18-1)/70)+1&gt;CROQUIS_DATOS!$C$1525,70,MOD($A18-1,70)+1)-2)/2)+1,CROQUIS_DATOS!$C$1541),2)=1,IF(MOD(IF(INT(($A18-1)/70)+1&gt;CROQUIS_DATOS!$C$1525,70,MOD($A18-1,70)+1)-2,2)=0,0,1),IF(MOD(IF(INT(($A18-1)/70)+1&gt;CROQUIS_DATOS!$C$1525,70,MOD($A18-1,70)+1)-2,2)=0,1,0))))=0,(INDEX($E$8:$E$23,MIN(INT(($A18-1)/70)+1,CROQUIS_DATOS!$C$1525))-INDEX($F$8:$F$23,MIN(INT(($A18-1)/70)+1,CROQUIS_DATOS!$C$1525))/2),(INDEX($E$8:$E$23,MIN(INT(($A18-1)/70)+1,CROQUIS_DATOS!$C$1525))+INDEX($F$8:$F$23,MIN(INT(($A18-1)/70)+1,CROQUIS_DATOS!$C$1525))/2)))*CROQUIS_DATOS!$C$1562),-1000)</f>
        <v>17.1810344827586</v>
      </c>
      <c r="O18">
        <f>IF(AND(CROQUIS_DATOS!$C$1472=1,1),(CROQUIS_DATOS!$C$1564+(IF(OR(IF(INT(($A18-1)/70)+1&gt;CROQUIS_DATOS!$C$1525,70,MOD($A18-1,70)+1)=1,IF(INT(($A18-1)/70)+1&gt;CROQUIS_DATOS!$C$1525,70,MOD($A18-1,70)+1)&gt;2*CROQUIS_DATOS!$C$1541+1),CROQUIS_DATOS!$C$1476,INDEX($H$8:$H$41,MIN(INT((IF(INT(($A18-1)/70)+1&gt;CROQUIS_DATOS!$C$1525,70,MOD($A18-1,70)+1)-2)/2)+1,CROQUIS_DATOS!$C$1541))))*CROQUIS_DATOS!$C$1561*CROQUIS_DATOS!$C$1562),-1000)</f>
        <v>10.5301724137931</v>
      </c>
      <c r="P18">
        <f>IF(AND(CROQUIS_DATOS!$C$1472=1,CROQUIS_DATOS!$C$1555=1),(CROQUIS_DATOS!$C$1563+(IF(IF(OR(MOD($A18-1,62)+1=1,IF(CHOOSE(MIN(MAX(MIN(INT(($A18-1)/62)+1,5),1),5),CROQUIS_DATOS!$C$1501,CROQUIS_DATOS!$C$1505,CROQUIS_DATOS!$C$1509,CROQUIS_DATOS!$C$1513,CROQUIS_DATOS!$C$1517)=1,CROQUIS_DATOS!$C$1557,0)=0),0,IF(MOD($A18-1,62)+1&gt;2*IF(CHOOSE(MIN(MAX(MIN(INT(($A18-1)/62)+1,5),1),5),CROQUIS_DATOS!$C$1501,CROQUIS_DATOS!$C$1505,CROQUIS_DATOS!$C$1509,CROQUIS_DATOS!$C$1513,CROQUIS_DATOS!$C$1517)=1,CROQUIS_DATOS!$C$1557,0)+1,IF(MOD(IF(CHOOSE(MIN(MAX(MIN(INT(($A18-1)/62)+1,5),1),5),CROQUIS_DATOS!$C$1501,CROQUIS_DATOS!$C$1505,CROQUIS_DATOS!$C$1509,CROQUIS_DATOS!$C$1513,CROQUIS_DATOS!$C$1517)=1,CROQUIS_DATOS!$C$1557,0),2)=1,1,0),IF(MOD(MIN(INT((MOD($A18-1,62)+1-2)/2)+1,MAX(IF(CHOOSE(MIN(MAX(MIN(INT(($A18-1)/62)+1,5),1),5),CROQUIS_DATOS!$C$1501,CROQUIS_DATOS!$C$1505,CROQUIS_DATOS!$C$1509,CROQUIS_DATOS!$C$1513,CROQUIS_DATOS!$C$1517)=1,CROQUIS_DATOS!$C$1557,0),1)),2)=1,IF(MOD(MOD($A18-1,62)+1-2,2)=0,0,1),IF(MOD(MOD($A18-1,62)+1-2,2)=0,1,0))))=0,(CHOOSE(MIN(MAX(MIN(INT(($A18-1)/62)+1,5),1),5),CROQUIS_DATOS!$C$1499,CROQUIS_DATOS!$C$1503,CROQUIS_DATOS!$C$1507,CROQUIS_DATOS!$C$1511,CROQUIS_DATOS!$C$1515)+IF(CHOOSE(MIN(MAX(MIN(INT(($A18-1)/62)+1,5),1),5),CROQUIS_DATOS!$C$1501,CROQUIS_DATOS!$C$1505,CROQUIS_DATOS!$C$1509,CROQUIS_DATOS!$C$1513,CROQUIS_DATOS!$C$1517)=1,CROQUIS_DATOS!$C$1526,0)),(CHOOSE(MIN(MAX(MIN(INT(($A18-1)/62)+1,5),1),5),CROQUIS_DATOS!$C$1499,CROQUIS_DATOS!$C$1503,CROQUIS_DATOS!$C$1507,CROQUIS_DATOS!$C$1511,CROQUIS_DATOS!$C$1515)+CHOOSE(MIN(MAX(MIN(INT(($A18-1)/62)+1,5),1),5),CROQUIS_DATOS!$C$1500,CROQUIS_DATOS!$C$1504,CROQUIS_DATOS!$C$1508,CROQUIS_DATOS!$C$1512,CROQUIS_DATOS!$C$1516)-IF(CHOOSE(MIN(MAX(MIN(INT(($A18-1)/62)+1,5),1),5),CROQUIS_DATOS!$C$1501,CROQUIS_DATOS!$C$1505,CROQUIS_DATOS!$C$1509,CROQUIS_DATOS!$C$1513,CROQUIS_DATOS!$C$1517)=1,CROQUIS_DATOS!$C$1526,0))))*CROQUIS_DATOS!$C$1562),-1000)</f>
        <v>-1000</v>
      </c>
      <c r="Q18">
        <f>IF(AND(CROQUIS_DATOS!$C$1472=1,CROQUIS_DATOS!$C$1555=1),(CROQUIS_DATOS!$C$1564+(IF(OR(OR(MOD($A18-1,62)+1=1,IF(CHOOSE(MIN(MAX(MIN(INT(($A18-1)/62)+1,5),1),5),CROQUIS_DATOS!$C$1501,CROQUIS_DATOS!$C$1505,CROQUIS_DATOS!$C$1509,CROQUIS_DATOS!$C$1513,CROQUIS_DATOS!$C$1517)=1,CROQUIS_DATOS!$C$1557,0)=0),MOD($A18-1,62)+1&gt;2*IF(CHOOSE(MIN(MAX(MIN(INT(($A18-1)/62)+1,5),1),5),CROQUIS_DATOS!$C$1501,CROQUIS_DATOS!$C$1505,CROQUIS_DATOS!$C$1509,CROQUIS_DATOS!$C$1513,CROQUIS_DATOS!$C$1517)=1,CROQUIS_DATOS!$C$1557,0)+1),CROQUIS_DATOS!$C$1476,MIN(INT((MOD($A18-1,62)+1-2)/2)+1,MAX(IF(CHOOSE(MIN(MAX(MIN(INT(($A18-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">
        <f>IF(AND(CROQUIS_DATOS!$C$1472=1,1),(CROQUIS_DATOS!$C$1563+(MIN(INT(($A18-1)/2)+1,CROQUIS_DATOS!$C$1558)*CROQUIS_DATOS!$C$1559)*CROQUIS_DATOS!$C$1562),-1000)</f>
        <v>31.2002652519894</v>
      </c>
      <c r="U18">
        <f>IF(AND(CROQUIS_DATOS!$C$1472=1,1),(CROQUIS_DATOS!$C$1564+(IF(INT(($A18-1)/2)+1&gt;CROQUIS_DATOS!$C$1558,IF(MOD(CROQUIS_DATOS!$C$1558,2)=1,CROQUIS_DATOS!$C$1476+CROQUIS_DATOS!$C$1528,CROQUIS_DATOS!$C$1476),IF(IF(MOD(MIN(INT(($A18-1)/2)+1,CROQUIS_DATOS!$C$1558),2)=1,MOD($A18-1,2),1-MOD($A18-1,2))=1,CROQUIS_DATOS!$C$1476+CROQUIS_DATOS!$C$1528,CROQUIS_DATOS!$C$1476)))*CROQUIS_DATOS!$C$1561*CROQUIS_DATOS!$C$1562),-1000)</f>
        <v>43</v>
      </c>
      <c r="BZ18">
        <f>IF(AND(CROQUIS_DATOS!$C$1472=1,CROQUIS_DATOS!$C$1500&gt;0,((CROQUIS_DATOS!$C$1499+CROQUIS_DATOS!$C$1500))-(CROQUIS_DATOS!$C$1499)&gt;0.5,(CROQUIS_DATOS!$C$1476)-(0)&gt;0.5),(CROQUIS_DATOS!$C$1566+(IF(IF(MOD(MIN(INT(($A18-1)/2)+1,MAX(1,INT(((((CROQUIS_DATOS!$C$1499+CROQUIS_DATOS!$C$1500))-(CROQUIS_DATOS!$C$1499))+((CROQUIS_DATOS!$C$1476)*CROQUIS_DATOS!$C$1561-(0)*CROQUIS_DATOS!$C$1561))/CROQUIS_DATOS!$C$1568-0.000001))),2)=1,IF(INT(($A18-1)/2)+1&gt;MAX(1,INT(((((CROQUIS_DATOS!$C$1499+CROQUIS_DATOS!$C$1500))-(CROQUIS_DATOS!$C$1499))+((CROQUIS_DATOS!$C$1476)*CROQUIS_DATOS!$C$1561-(0)*CROQUIS_DATOS!$C$1561))/CROQUIS_DATOS!$C$1568-0.000001)),1,MOD($A18-1,2)),1-IF(INT(($A18-1)/2)+1&gt;MAX(1,INT(((((CROQUIS_DATOS!$C$1499+CROQUIS_DATOS!$C$1500))-(CROQUIS_DATOS!$C$1499))+((CROQUIS_DATOS!$C$1476)*CROQUIS_DATOS!$C$1561-(0)*CROQUIS_DATOS!$C$1561))/CROQUIS_DATOS!$C$1568-0.000001)),1,MOD($A18-1,2)))=1,MIN((CROQUIS_DATOS!$C$1476)*CROQUIS_DATOS!$C$1561,((CROQUIS_DATOS!$C$1499+CROQUIS_DATOS!$C$1500)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8">
        <f>IF(AND(CROQUIS_DATOS!$C$1472=1,CROQUIS_DATOS!$C$1500&gt;0,((CROQUIS_DATOS!$C$1499+CROQUIS_DATOS!$C$1500))-(CROQUIS_DATOS!$C$1499)&gt;0.5,(CROQUIS_DATOS!$C$1476)-(0)&gt;0.5),(CROQUIS_DATOS!$C$1567+(IF(IF(MOD(MIN(INT(($A18-1)/2)+1,MAX(1,INT(((((CROQUIS_DATOS!$C$1499+CROQUIS_DATOS!$C$1500))-(CROQUIS_DATOS!$C$1499))+((CROQUIS_DATOS!$C$1476)*CROQUIS_DATOS!$C$1561-(0)*CROQUIS_DATOS!$C$1561))/CROQUIS_DATOS!$C$1568-0.000001))),2)=1,IF(INT(($A18-1)/2)+1&gt;MAX(1,INT(((((CROQUIS_DATOS!$C$1499+CROQUIS_DATOS!$C$1500))-(CROQUIS_DATOS!$C$1499))+((CROQUIS_DATOS!$C$1476)*CROQUIS_DATOS!$C$1561-(0)*CROQUIS_DATOS!$C$1561))/CROQUIS_DATOS!$C$1568-0.000001)),1,MOD($A18-1,2)),1-IF(INT(($A18-1)/2)+1&gt;MAX(1,INT(((((CROQUIS_DATOS!$C$1499+CROQUIS_DATOS!$C$1500))-(CROQUIS_DATOS!$C$1499))+((CROQUIS_DATOS!$C$1476)*CROQUIS_DATOS!$C$1561-(0)*CROQUIS_DATOS!$C$1561))/CROQUIS_DATOS!$C$1568-0.000001)),1,MOD($A18-1,2)))=1,MIN((CROQUIS_DATOS!$C$1476)*CROQUIS_DATOS!$C$1561,((CROQUIS_DATOS!$C$1499+CROQUIS_DATOS!$C$1500)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18-1)/2)+1,MAX(1,INT(((((CROQUIS_DATOS!$C$1499+CROQUIS_DATOS!$C$1500))-(CROQUIS_DATOS!$C$1499))+((CROQUIS_DATOS!$C$1476)*CROQUIS_DATOS!$C$1561-(0)*CROQUIS_DATOS!$C$1561))/CROQUIS_DATOS!$C$1568-0.000001)))*CROQUIS_DATOS!$C$1568))))*CROQUIS_DATOS!$C$1565),-1000)</f>
        <v>33.5379310344828</v>
      </c>
      <c r="CB18">
        <f>IF(AND(CROQUIS_DATOS!$C$1472=1,CROQUIS_DATOS!$C$1504&gt;0,((CROQUIS_DATOS!$C$1503+CROQUIS_DATOS!$C$1504))-(CROQUIS_DATOS!$C$1503)&gt;0.5,(CROQUIS_DATOS!$C$1476)-(0)&gt;0.5),(CROQUIS_DATOS!$C$1566+(IF(IF(MOD(MIN(INT(($A18-1)/2)+1,MAX(1,INT(((((CROQUIS_DATOS!$C$1503+CROQUIS_DATOS!$C$1504))-(CROQUIS_DATOS!$C$1503))+((CROQUIS_DATOS!$C$1476)*CROQUIS_DATOS!$C$1561-(0)*CROQUIS_DATOS!$C$1561))/CROQUIS_DATOS!$C$1568-0.000001))),2)=1,IF(INT(($A18-1)/2)+1&gt;MAX(1,INT(((((CROQUIS_DATOS!$C$1503+CROQUIS_DATOS!$C$1504))-(CROQUIS_DATOS!$C$1503))+((CROQUIS_DATOS!$C$1476)*CROQUIS_DATOS!$C$1561-(0)*CROQUIS_DATOS!$C$1561))/CROQUIS_DATOS!$C$1568-0.000001)),1,MOD($A18-1,2)),1-IF(INT(($A18-1)/2)+1&gt;MAX(1,INT(((((CROQUIS_DATOS!$C$1503+CROQUIS_DATOS!$C$1504))-(CROQUIS_DATOS!$C$1503))+((CROQUIS_DATOS!$C$1476)*CROQUIS_DATOS!$C$1561-(0)*CROQUIS_DATOS!$C$1561))/CROQUIS_DATOS!$C$1568-0.000001)),1,MOD($A18-1,2)))=1,MIN((CROQUIS_DATOS!$C$1476)*CROQUIS_DATOS!$C$1561,((CROQUIS_DATOS!$C$1503+CROQUIS_DATOS!$C$1504)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*CROQUIS_DATOS!$C$1565),-1000)</f>
        <v>47.7724137931035</v>
      </c>
      <c r="CC18">
        <f>IF(AND(CROQUIS_DATOS!$C$1472=1,CROQUIS_DATOS!$C$1504&gt;0,((CROQUIS_DATOS!$C$1503+CROQUIS_DATOS!$C$1504))-(CROQUIS_DATOS!$C$1503)&gt;0.5,(CROQUIS_DATOS!$C$1476)-(0)&gt;0.5),(CROQUIS_DATOS!$C$1567+(IF(IF(MOD(MIN(INT(($A18-1)/2)+1,MAX(1,INT(((((CROQUIS_DATOS!$C$1503+CROQUIS_DATOS!$C$1504))-(CROQUIS_DATOS!$C$1503))+((CROQUIS_DATOS!$C$1476)*CROQUIS_DATOS!$C$1561-(0)*CROQUIS_DATOS!$C$1561))/CROQUIS_DATOS!$C$1568-0.000001))),2)=1,IF(INT(($A18-1)/2)+1&gt;MAX(1,INT(((((CROQUIS_DATOS!$C$1503+CROQUIS_DATOS!$C$1504))-(CROQUIS_DATOS!$C$1503))+((CROQUIS_DATOS!$C$1476)*CROQUIS_DATOS!$C$1561-(0)*CROQUIS_DATOS!$C$1561))/CROQUIS_DATOS!$C$1568-0.000001)),1,MOD($A18-1,2)),1-IF(INT(($A18-1)/2)+1&gt;MAX(1,INT(((((CROQUIS_DATOS!$C$1503+CROQUIS_DATOS!$C$1504))-(CROQUIS_DATOS!$C$1503))+((CROQUIS_DATOS!$C$1476)*CROQUIS_DATOS!$C$1561-(0)*CROQUIS_DATOS!$C$1561))/CROQUIS_DATOS!$C$1568-0.000001)),1,MOD($A18-1,2)))=1,MIN((CROQUIS_DATOS!$C$1476)*CROQUIS_DATOS!$C$1561,((CROQUIS_DATOS!$C$1503+CROQUIS_DATOS!$C$1504)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18-1)/2)+1,MAX(1,INT(((((CROQUIS_DATOS!$C$1503+CROQUIS_DATOS!$C$1504))-(CROQUIS_DATOS!$C$1503))+((CROQUIS_DATOS!$C$1476)*CROQUIS_DATOS!$C$1561-(0)*CROQUIS_DATOS!$C$1561))/CROQUIS_DATOS!$C$1568-0.000001)))*CROQUIS_DATOS!$C$1568))))*CROQUIS_DATOS!$C$1565),-1000)</f>
        <v>38.8620689655172</v>
      </c>
      <c r="CD18">
        <f>IF(AND(CROQUIS_DATOS!$C$1472=1,CROQUIS_DATOS!$C$1508&gt;0,((CROQUIS_DATOS!$C$1507+CROQUIS_DATOS!$C$1508))-(CROQUIS_DATOS!$C$1507)&gt;0.5,(CROQUIS_DATOS!$C$1476)-(0)&gt;0.5),(CROQUIS_DATOS!$C$1566+(IF(IF(MOD(MIN(INT(($A18-1)/2)+1,MAX(1,INT(((((CROQUIS_DATOS!$C$1507+CROQUIS_DATOS!$C$1508))-(CROQUIS_DATOS!$C$1507))+((CROQUIS_DATOS!$C$1476)*CROQUIS_DATOS!$C$1561-(0)*CROQUIS_DATOS!$C$1561))/CROQUIS_DATOS!$C$1568-0.000001))),2)=1,IF(INT(($A18-1)/2)+1&gt;MAX(1,INT(((((CROQUIS_DATOS!$C$1507+CROQUIS_DATOS!$C$1508))-(CROQUIS_DATOS!$C$1507))+((CROQUIS_DATOS!$C$1476)*CROQUIS_DATOS!$C$1561-(0)*CROQUIS_DATOS!$C$1561))/CROQUIS_DATOS!$C$1568-0.000001)),1,MOD($A18-1,2)),1-IF(INT(($A18-1)/2)+1&gt;MAX(1,INT(((((CROQUIS_DATOS!$C$1507+CROQUIS_DATOS!$C$1508))-(CROQUIS_DATOS!$C$1507))+((CROQUIS_DATOS!$C$1476)*CROQUIS_DATOS!$C$1561-(0)*CROQUIS_DATOS!$C$1561))/CROQUIS_DATOS!$C$1568-0.000001)),1,MOD($A18-1,2)))=1,MIN((CROQUIS_DATOS!$C$1476)*CROQUIS_DATOS!$C$1561,((CROQUIS_DATOS!$C$1507+CROQUIS_DATOS!$C$1508)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*CROQUIS_DATOS!$C$1565),-1000)</f>
        <v>74.4965517241379</v>
      </c>
      <c r="CE18">
        <f>IF(AND(CROQUIS_DATOS!$C$1472=1,CROQUIS_DATOS!$C$1508&gt;0,((CROQUIS_DATOS!$C$1507+CROQUIS_DATOS!$C$1508))-(CROQUIS_DATOS!$C$1507)&gt;0.5,(CROQUIS_DATOS!$C$1476)-(0)&gt;0.5),(CROQUIS_DATOS!$C$1567+(IF(IF(MOD(MIN(INT(($A18-1)/2)+1,MAX(1,INT(((((CROQUIS_DATOS!$C$1507+CROQUIS_DATOS!$C$1508))-(CROQUIS_DATOS!$C$1507))+((CROQUIS_DATOS!$C$1476)*CROQUIS_DATOS!$C$1561-(0)*CROQUIS_DATOS!$C$1561))/CROQUIS_DATOS!$C$1568-0.000001))),2)=1,IF(INT(($A18-1)/2)+1&gt;MAX(1,INT(((((CROQUIS_DATOS!$C$1507+CROQUIS_DATOS!$C$1508))-(CROQUIS_DATOS!$C$1507))+((CROQUIS_DATOS!$C$1476)*CROQUIS_DATOS!$C$1561-(0)*CROQUIS_DATOS!$C$1561))/CROQUIS_DATOS!$C$1568-0.000001)),1,MOD($A18-1,2)),1-IF(INT(($A18-1)/2)+1&gt;MAX(1,INT(((((CROQUIS_DATOS!$C$1507+CROQUIS_DATOS!$C$1508))-(CROQUIS_DATOS!$C$1507))+((CROQUIS_DATOS!$C$1476)*CROQUIS_DATOS!$C$1561-(0)*CROQUIS_DATOS!$C$1561))/CROQUIS_DATOS!$C$1568-0.000001)),1,MOD($A18-1,2)))=1,MIN((CROQUIS_DATOS!$C$1476)*CROQUIS_DATOS!$C$1561,((CROQUIS_DATOS!$C$1507+CROQUIS_DATOS!$C$1508)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18-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18">
        <f>IF(AND(CROQUIS_DATOS!$C$1472=1,CROQUIS_DATOS!$C$1512&gt;0,((CROQUIS_DATOS!$C$1511+CROQUIS_DATOS!$C$1512))-(CROQUIS_DATOS!$C$1511)&gt;0.5,(CROQUIS_DATOS!$C$1476)-(0)&gt;0.5),(CROQUIS_DATOS!$C$1566+(IF(IF(MOD(MIN(INT(($A18-1)/2)+1,MAX(1,INT(((((CROQUIS_DATOS!$C$1511+CROQUIS_DATOS!$C$1512))-(CROQUIS_DATOS!$C$1511))+((CROQUIS_DATOS!$C$1476)*CROQUIS_DATOS!$C$1561-(0)*CROQUIS_DATOS!$C$1561))/CROQUIS_DATOS!$C$1568-0.000001))),2)=1,IF(INT(($A18-1)/2)+1&gt;MAX(1,INT(((((CROQUIS_DATOS!$C$1511+CROQUIS_DATOS!$C$1512))-(CROQUIS_DATOS!$C$1511))+((CROQUIS_DATOS!$C$1476)*CROQUIS_DATOS!$C$1561-(0)*CROQUIS_DATOS!$C$1561))/CROQUIS_DATOS!$C$1568-0.000001)),1,MOD($A18-1,2)),1-IF(INT(($A18-1)/2)+1&gt;MAX(1,INT(((((CROQUIS_DATOS!$C$1511+CROQUIS_DATOS!$C$1512))-(CROQUIS_DATOS!$C$1511))+((CROQUIS_DATOS!$C$1476)*CROQUIS_DATOS!$C$1561-(0)*CROQUIS_DATOS!$C$1561))/CROQUIS_DATOS!$C$1568-0.000001)),1,MOD($A18-1,2)))=1,MIN((CROQUIS_DATOS!$C$1476)*CROQUIS_DATOS!$C$1561,((CROQUIS_DATOS!$C$1511+CROQUIS_DATOS!$C$1512)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8">
        <f>IF(AND(CROQUIS_DATOS!$C$1472=1,CROQUIS_DATOS!$C$1512&gt;0,((CROQUIS_DATOS!$C$1511+CROQUIS_DATOS!$C$1512))-(CROQUIS_DATOS!$C$1511)&gt;0.5,(CROQUIS_DATOS!$C$1476)-(0)&gt;0.5),(CROQUIS_DATOS!$C$1567+(IF(IF(MOD(MIN(INT(($A18-1)/2)+1,MAX(1,INT(((((CROQUIS_DATOS!$C$1511+CROQUIS_DATOS!$C$1512))-(CROQUIS_DATOS!$C$1511))+((CROQUIS_DATOS!$C$1476)*CROQUIS_DATOS!$C$1561-(0)*CROQUIS_DATOS!$C$1561))/CROQUIS_DATOS!$C$1568-0.000001))),2)=1,IF(INT(($A18-1)/2)+1&gt;MAX(1,INT(((((CROQUIS_DATOS!$C$1511+CROQUIS_DATOS!$C$1512))-(CROQUIS_DATOS!$C$1511))+((CROQUIS_DATOS!$C$1476)*CROQUIS_DATOS!$C$1561-(0)*CROQUIS_DATOS!$C$1561))/CROQUIS_DATOS!$C$1568-0.000001)),1,MOD($A18-1,2)),1-IF(INT(($A18-1)/2)+1&gt;MAX(1,INT(((((CROQUIS_DATOS!$C$1511+CROQUIS_DATOS!$C$1512))-(CROQUIS_DATOS!$C$1511))+((CROQUIS_DATOS!$C$1476)*CROQUIS_DATOS!$C$1561-(0)*CROQUIS_DATOS!$C$1561))/CROQUIS_DATOS!$C$1568-0.000001)),1,MOD($A18-1,2)))=1,MIN((CROQUIS_DATOS!$C$1476)*CROQUIS_DATOS!$C$1561,((CROQUIS_DATOS!$C$1511+CROQUIS_DATOS!$C$1512)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8">
        <f>IF(AND(CROQUIS_DATOS!$C$1472=1,CROQUIS_DATOS!$C$1516&gt;0,((CROQUIS_DATOS!$C$1515+CROQUIS_DATOS!$C$1516))-(CROQUIS_DATOS!$C$1515)&gt;0.5,(CROQUIS_DATOS!$C$1476)-(0)&gt;0.5),(CROQUIS_DATOS!$C$1566+(IF(IF(MOD(MIN(INT(($A18-1)/2)+1,MAX(1,INT(((((CROQUIS_DATOS!$C$1515+CROQUIS_DATOS!$C$1516))-(CROQUIS_DATOS!$C$1515))+((CROQUIS_DATOS!$C$1476)*CROQUIS_DATOS!$C$1561-(0)*CROQUIS_DATOS!$C$1561))/CROQUIS_DATOS!$C$1568-0.000001))),2)=1,IF(INT(($A18-1)/2)+1&gt;MAX(1,INT(((((CROQUIS_DATOS!$C$1515+CROQUIS_DATOS!$C$1516))-(CROQUIS_DATOS!$C$1515))+((CROQUIS_DATOS!$C$1476)*CROQUIS_DATOS!$C$1561-(0)*CROQUIS_DATOS!$C$1561))/CROQUIS_DATOS!$C$1568-0.000001)),1,MOD($A18-1,2)),1-IF(INT(($A18-1)/2)+1&gt;MAX(1,INT(((((CROQUIS_DATOS!$C$1515+CROQUIS_DATOS!$C$1516))-(CROQUIS_DATOS!$C$1515))+((CROQUIS_DATOS!$C$1476)*CROQUIS_DATOS!$C$1561-(0)*CROQUIS_DATOS!$C$1561))/CROQUIS_DATOS!$C$1568-0.000001)),1,MOD($A18-1,2)))=1,MIN((CROQUIS_DATOS!$C$1476)*CROQUIS_DATOS!$C$1561,((CROQUIS_DATOS!$C$1515+CROQUIS_DATOS!$C$1516)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8">
        <f>IF(AND(CROQUIS_DATOS!$C$1472=1,CROQUIS_DATOS!$C$1516&gt;0,((CROQUIS_DATOS!$C$1515+CROQUIS_DATOS!$C$1516))-(CROQUIS_DATOS!$C$1515)&gt;0.5,(CROQUIS_DATOS!$C$1476)-(0)&gt;0.5),(CROQUIS_DATOS!$C$1567+(IF(IF(MOD(MIN(INT(($A18-1)/2)+1,MAX(1,INT(((((CROQUIS_DATOS!$C$1515+CROQUIS_DATOS!$C$1516))-(CROQUIS_DATOS!$C$1515))+((CROQUIS_DATOS!$C$1476)*CROQUIS_DATOS!$C$1561-(0)*CROQUIS_DATOS!$C$1561))/CROQUIS_DATOS!$C$1568-0.000001))),2)=1,IF(INT(($A18-1)/2)+1&gt;MAX(1,INT(((((CROQUIS_DATOS!$C$1515+CROQUIS_DATOS!$C$1516))-(CROQUIS_DATOS!$C$1515))+((CROQUIS_DATOS!$C$1476)*CROQUIS_DATOS!$C$1561-(0)*CROQUIS_DATOS!$C$1561))/CROQUIS_DATOS!$C$1568-0.000001)),1,MOD($A18-1,2)),1-IF(INT(($A18-1)/2)+1&gt;MAX(1,INT(((((CROQUIS_DATOS!$C$1515+CROQUIS_DATOS!$C$1516))-(CROQUIS_DATOS!$C$1515))+((CROQUIS_DATOS!$C$1476)*CROQUIS_DATOS!$C$1561-(0)*CROQUIS_DATOS!$C$1561))/CROQUIS_DATOS!$C$1568-0.000001)),1,MOD($A18-1,2)))=1,MIN((CROQUIS_DATOS!$C$1476)*CROQUIS_DATOS!$C$1561,((CROQUIS_DATOS!$C$1515+CROQUIS_DATOS!$C$1516)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8">
        <f>IF(AND(CROQUIS_DATOS!$C$1472=1,CROQUIS_DATOS!$C$1478&gt;=1,((CROQUIS_DATOS!$C$1479+CROQUIS_DATOS!$C$1480))-(CROQUIS_DATOS!$C$1479)&gt;0.5,(CROQUIS_DATOS!$C$1481)-(0)&gt;0.5),(CROQUIS_DATOS!$C$1566+(IF(IF(MOD(MIN(INT(($A18-1)/2)+1,MAX(1,INT(((((CROQUIS_DATOS!$C$1479+CROQUIS_DATOS!$C$1480))-(CROQUIS_DATOS!$C$1479))+((CROQUIS_DATOS!$C$1481)*CROQUIS_DATOS!$C$1561-(0)*CROQUIS_DATOS!$C$1561))/CROQUIS_DATOS!$C$1568-0.000001))),2)=1,IF(INT(($A18-1)/2)+1&gt;MAX(1,INT(((((CROQUIS_DATOS!$C$1479+CROQUIS_DATOS!$C$1480))-(CROQUIS_DATOS!$C$1479))+((CROQUIS_DATOS!$C$1481)*CROQUIS_DATOS!$C$1561-(0)*CROQUIS_DATOS!$C$1561))/CROQUIS_DATOS!$C$1568-0.000001)),1,MOD($A18-1,2)),1-IF(INT(($A18-1)/2)+1&gt;MAX(1,INT(((((CROQUIS_DATOS!$C$1479+CROQUIS_DATOS!$C$1480))-(CROQUIS_DATOS!$C$1479))+((CROQUIS_DATOS!$C$1481)*CROQUIS_DATOS!$C$1561-(0)*CROQUIS_DATOS!$C$1561))/CROQUIS_DATOS!$C$1568-0.000001)),1,MOD($A18-1,2)))=1,MIN((CROQUIS_DATOS!$C$1481)*CROQUIS_DATOS!$C$1561,((CROQUIS_DATOS!$C$1479+CROQUIS_DATOS!$C$1480)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8">
        <f>IF(AND(CROQUIS_DATOS!$C$1472=1,CROQUIS_DATOS!$C$1478&gt;=1,((CROQUIS_DATOS!$C$1479+CROQUIS_DATOS!$C$1480))-(CROQUIS_DATOS!$C$1479)&gt;0.5,(CROQUIS_DATOS!$C$1481)-(0)&gt;0.5),(CROQUIS_DATOS!$C$1567+(IF(IF(MOD(MIN(INT(($A18-1)/2)+1,MAX(1,INT(((((CROQUIS_DATOS!$C$1479+CROQUIS_DATOS!$C$1480))-(CROQUIS_DATOS!$C$1479))+((CROQUIS_DATOS!$C$1481)*CROQUIS_DATOS!$C$1561-(0)*CROQUIS_DATOS!$C$1561))/CROQUIS_DATOS!$C$1568-0.000001))),2)=1,IF(INT(($A18-1)/2)+1&gt;MAX(1,INT(((((CROQUIS_DATOS!$C$1479+CROQUIS_DATOS!$C$1480))-(CROQUIS_DATOS!$C$1479))+((CROQUIS_DATOS!$C$1481)*CROQUIS_DATOS!$C$1561-(0)*CROQUIS_DATOS!$C$1561))/CROQUIS_DATOS!$C$1568-0.000001)),1,MOD($A18-1,2)),1-IF(INT(($A18-1)/2)+1&gt;MAX(1,INT(((((CROQUIS_DATOS!$C$1479+CROQUIS_DATOS!$C$1480))-(CROQUIS_DATOS!$C$1479))+((CROQUIS_DATOS!$C$1481)*CROQUIS_DATOS!$C$1561-(0)*CROQUIS_DATOS!$C$1561))/CROQUIS_DATOS!$C$1568-0.000001)),1,MOD($A18-1,2)))=1,MIN((CROQUIS_DATOS!$C$1481)*CROQUIS_DATOS!$C$1561,((CROQUIS_DATOS!$C$1479+CROQUIS_DATOS!$C$1480)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8">
        <f>IF(AND(CROQUIS_DATOS!$C$1472=1,CROQUIS_DATOS!$C$1478&gt;=1,((CROQUIS_DATOS!$C$1479+CROQUIS_DATOS!$C$1480))-(CROQUIS_DATOS!$C$1479)&gt;0.5,(CROQUIS_DATOS!$C$1476)-((CROQUIS_DATOS!$C$1481+CROQUIS_DATOS!$C$1482))&gt;0.5),(CROQUIS_DATOS!$C$1566+(IF(IF(MOD(MIN(INT(($A18-1)/2)+1,MAX(1,INT(((((CROQUIS_DATOS!$C$1479+CROQUIS_DATOS!$C$1480))-(CROQUIS_DATOS!$C$1479))+((CROQUIS_DATOS!$C$1476)*CROQUIS_DATOS!$C$1561-((CROQUIS_DATOS!$C$1481+CROQUIS_DATOS!$C$1482))*CROQUIS_DATOS!$C$1561))/CROQUIS_DATOS!$C$1568-0.000001))),2)=1,IF(INT(($A18-1)/2)+1&gt;MAX(1,INT(((((CROQUIS_DATOS!$C$1479+CROQUIS_DATOS!$C$1480))-(CROQUIS_DATOS!$C$1479))+((CROQUIS_DATOS!$C$1476)*CROQUIS_DATOS!$C$1561-((CROQUIS_DATOS!$C$1481+CROQUIS_DATOS!$C$1482))*CROQUIS_DATOS!$C$1561))/CROQUIS_DATOS!$C$1568-0.000001)),1,MOD($A18-1,2)),1-IF(INT(($A18-1)/2)+1&gt;MAX(1,INT(((((CROQUIS_DATOS!$C$1479+CROQUIS_DATOS!$C$1480))-(CROQUIS_DATOS!$C$1479))+((CROQUIS_DATOS!$C$1476)*CROQUIS_DATOS!$C$1561-((CROQUIS_DATOS!$C$1481+CROQUIS_DATOS!$C$1482))*CROQUIS_DATOS!$C$1561))/CROQUIS_DATOS!$C$1568-0.000001)),1,MOD($A18-1,2)))=1,MIN((CROQUIS_DATOS!$C$1476)*CROQUIS_DATOS!$C$1561,((CROQUIS_DATOS!$C$1479+CROQUIS_DATOS!$C$1480)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38.151724137931</v>
      </c>
      <c r="CM18">
        <f>IF(AND(CROQUIS_DATOS!$C$1472=1,CROQUIS_DATOS!$C$1478&gt;=1,((CROQUIS_DATOS!$C$1479+CROQUIS_DATOS!$C$1480))-(CROQUIS_DATOS!$C$1479)&gt;0.5,(CROQUIS_DATOS!$C$1476)-((CROQUIS_DATOS!$C$1481+CROQUIS_DATOS!$C$1482))&gt;0.5),(CROQUIS_DATOS!$C$1567+(IF(IF(MOD(MIN(INT(($A18-1)/2)+1,MAX(1,INT(((((CROQUIS_DATOS!$C$1479+CROQUIS_DATOS!$C$1480))-(CROQUIS_DATOS!$C$1479))+((CROQUIS_DATOS!$C$1476)*CROQUIS_DATOS!$C$1561-((CROQUIS_DATOS!$C$1481+CROQUIS_DATOS!$C$1482))*CROQUIS_DATOS!$C$1561))/CROQUIS_DATOS!$C$1568-0.000001))),2)=1,IF(INT(($A18-1)/2)+1&gt;MAX(1,INT(((((CROQUIS_DATOS!$C$1479+CROQUIS_DATOS!$C$1480))-(CROQUIS_DATOS!$C$1479))+((CROQUIS_DATOS!$C$1476)*CROQUIS_DATOS!$C$1561-((CROQUIS_DATOS!$C$1481+CROQUIS_DATOS!$C$1482))*CROQUIS_DATOS!$C$1561))/CROQUIS_DATOS!$C$1568-0.000001)),1,MOD($A18-1,2)),1-IF(INT(($A18-1)/2)+1&gt;MAX(1,INT(((((CROQUIS_DATOS!$C$1479+CROQUIS_DATOS!$C$1480))-(CROQUIS_DATOS!$C$1479))+((CROQUIS_DATOS!$C$1476)*CROQUIS_DATOS!$C$1561-((CROQUIS_DATOS!$C$1481+CROQUIS_DATOS!$C$1482))*CROQUIS_DATOS!$C$1561))/CROQUIS_DATOS!$C$1568-0.000001)),1,MOD($A18-1,2)))=1,MIN((CROQUIS_DATOS!$C$1476)*CROQUIS_DATOS!$C$1561,((CROQUIS_DATOS!$C$1479+CROQUIS_DATOS!$C$1480)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38.8620689655172</v>
      </c>
      <c r="CR18">
        <f>IF(AND(CROQUIS_DATOS!$C$1472=1,CROQUIS_DATOS!$C$1478&gt;=2,((CROQUIS_DATOS!$C$1484+CROQUIS_DATOS!$C$1485))-(CROQUIS_DATOS!$C$1484)&gt;0.5,(CROQUIS_DATOS!$C$1486)-(0)&gt;0.5),(CROQUIS_DATOS!$C$1566+(IF(IF(MOD(MIN(INT(($A18-1)/2)+1,MAX(1,INT(((((CROQUIS_DATOS!$C$1484+CROQUIS_DATOS!$C$1485))-(CROQUIS_DATOS!$C$1484))+((CROQUIS_DATOS!$C$1486)*CROQUIS_DATOS!$C$1561-(0)*CROQUIS_DATOS!$C$1561))/CROQUIS_DATOS!$C$1568-0.000001))),2)=1,IF(INT(($A18-1)/2)+1&gt;MAX(1,INT(((((CROQUIS_DATOS!$C$1484+CROQUIS_DATOS!$C$1485))-(CROQUIS_DATOS!$C$1484))+((CROQUIS_DATOS!$C$1486)*CROQUIS_DATOS!$C$1561-(0)*CROQUIS_DATOS!$C$1561))/CROQUIS_DATOS!$C$1568-0.000001)),1,MOD($A18-1,2)),1-IF(INT(($A18-1)/2)+1&gt;MAX(1,INT(((((CROQUIS_DATOS!$C$1484+CROQUIS_DATOS!$C$1485))-(CROQUIS_DATOS!$C$1484))+((CROQUIS_DATOS!$C$1486)*CROQUIS_DATOS!$C$1561-(0)*CROQUIS_DATOS!$C$1561))/CROQUIS_DATOS!$C$1568-0.000001)),1,MOD($A18-1,2)))=1,MIN((CROQUIS_DATOS!$C$1486)*CROQUIS_DATOS!$C$1561,((CROQUIS_DATOS!$C$1484+CROQUIS_DATOS!$C$1485)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*CROQUIS_DATOS!$C$1565),-1000)</f>
        <v>58.4620689655172</v>
      </c>
      <c r="CS18">
        <f>IF(AND(CROQUIS_DATOS!$C$1472=1,CROQUIS_DATOS!$C$1478&gt;=2,((CROQUIS_DATOS!$C$1484+CROQUIS_DATOS!$C$1485))-(CROQUIS_DATOS!$C$1484)&gt;0.5,(CROQUIS_DATOS!$C$1486)-(0)&gt;0.5),(CROQUIS_DATOS!$C$1567+(IF(IF(MOD(MIN(INT(($A18-1)/2)+1,MAX(1,INT(((((CROQUIS_DATOS!$C$1484+CROQUIS_DATOS!$C$1485))-(CROQUIS_DATOS!$C$1484))+((CROQUIS_DATOS!$C$1486)*CROQUIS_DATOS!$C$1561-(0)*CROQUIS_DATOS!$C$1561))/CROQUIS_DATOS!$C$1568-0.000001))),2)=1,IF(INT(($A18-1)/2)+1&gt;MAX(1,INT(((((CROQUIS_DATOS!$C$1484+CROQUIS_DATOS!$C$1485))-(CROQUIS_DATOS!$C$1484))+((CROQUIS_DATOS!$C$1486)*CROQUIS_DATOS!$C$1561-(0)*CROQUIS_DATOS!$C$1561))/CROQUIS_DATOS!$C$1568-0.000001)),1,MOD($A18-1,2)),1-IF(INT(($A18-1)/2)+1&gt;MAX(1,INT(((((CROQUIS_DATOS!$C$1484+CROQUIS_DATOS!$C$1485))-(CROQUIS_DATOS!$C$1484))+((CROQUIS_DATOS!$C$1486)*CROQUIS_DATOS!$C$1561-(0)*CROQUIS_DATOS!$C$1561))/CROQUIS_DATOS!$C$1568-0.000001)),1,MOD($A18-1,2)))=1,MIN((CROQUIS_DATOS!$C$1486)*CROQUIS_DATOS!$C$1561,((CROQUIS_DATOS!$C$1484+CROQUIS_DATOS!$C$1485)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18-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18">
        <f>IF(AND(CROQUIS_DATOS!$C$1472=1,CROQUIS_DATOS!$C$1478&gt;=2,((CROQUIS_DATOS!$C$1484+CROQUIS_DATOS!$C$1485))-(CROQUIS_DATOS!$C$1484)&gt;0.5,(CROQUIS_DATOS!$C$1476)-((CROQUIS_DATOS!$C$1486+CROQUIS_DATOS!$C$1487))&gt;0.5),(CROQUIS_DATOS!$C$1566+(IF(IF(MOD(MIN(INT(($A18-1)/2)+1,MAX(1,INT(((((CROQUIS_DATOS!$C$1484+CROQUIS_DATOS!$C$1485))-(CROQUIS_DATOS!$C$1484))+((CROQUIS_DATOS!$C$1476)*CROQUIS_DATOS!$C$1561-((CROQUIS_DATOS!$C$1486+CROQUIS_DATOS!$C$1487))*CROQUIS_DATOS!$C$1561))/CROQUIS_DATOS!$C$1568-0.000001))),2)=1,IF(INT(($A18-1)/2)+1&gt;MAX(1,INT(((((CROQUIS_DATOS!$C$1484+CROQUIS_DATOS!$C$1485))-(CROQUIS_DATOS!$C$1484))+((CROQUIS_DATOS!$C$1476)*CROQUIS_DATOS!$C$1561-((CROQUIS_DATOS!$C$1486+CROQUIS_DATOS!$C$1487))*CROQUIS_DATOS!$C$1561))/CROQUIS_DATOS!$C$1568-0.000001)),1,MOD($A18-1,2)),1-IF(INT(($A18-1)/2)+1&gt;MAX(1,INT(((((CROQUIS_DATOS!$C$1484+CROQUIS_DATOS!$C$1485))-(CROQUIS_DATOS!$C$1484))+((CROQUIS_DATOS!$C$1476)*CROQUIS_DATOS!$C$1561-((CROQUIS_DATOS!$C$1486+CROQUIS_DATOS!$C$1487))*CROQUIS_DATOS!$C$1561))/CROQUIS_DATOS!$C$1568-0.000001)),1,MOD($A18-1,2)))=1,MIN((CROQUIS_DATOS!$C$1476)*CROQUIS_DATOS!$C$1561,((CROQUIS_DATOS!$C$1484+CROQUIS_DATOS!$C$1485)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58.4620689655172</v>
      </c>
      <c r="CU18">
        <f>IF(AND(CROQUIS_DATOS!$C$1472=1,CROQUIS_DATOS!$C$1478&gt;=2,((CROQUIS_DATOS!$C$1484+CROQUIS_DATOS!$C$1485))-(CROQUIS_DATOS!$C$1484)&gt;0.5,(CROQUIS_DATOS!$C$1476)-((CROQUIS_DATOS!$C$1486+CROQUIS_DATOS!$C$1487))&gt;0.5),(CROQUIS_DATOS!$C$1567+(IF(IF(MOD(MIN(INT(($A18-1)/2)+1,MAX(1,INT(((((CROQUIS_DATOS!$C$1484+CROQUIS_DATOS!$C$1485))-(CROQUIS_DATOS!$C$1484))+((CROQUIS_DATOS!$C$1476)*CROQUIS_DATOS!$C$1561-((CROQUIS_DATOS!$C$1486+CROQUIS_DATOS!$C$1487))*CROQUIS_DATOS!$C$1561))/CROQUIS_DATOS!$C$1568-0.000001))),2)=1,IF(INT(($A18-1)/2)+1&gt;MAX(1,INT(((((CROQUIS_DATOS!$C$1484+CROQUIS_DATOS!$C$1485))-(CROQUIS_DATOS!$C$1484))+((CROQUIS_DATOS!$C$1476)*CROQUIS_DATOS!$C$1561-((CROQUIS_DATOS!$C$1486+CROQUIS_DATOS!$C$1487))*CROQUIS_DATOS!$C$1561))/CROQUIS_DATOS!$C$1568-0.000001)),1,MOD($A18-1,2)),1-IF(INT(($A18-1)/2)+1&gt;MAX(1,INT(((((CROQUIS_DATOS!$C$1484+CROQUIS_DATOS!$C$1485))-(CROQUIS_DATOS!$C$1484))+((CROQUIS_DATOS!$C$1476)*CROQUIS_DATOS!$C$1561-((CROQUIS_DATOS!$C$1486+CROQUIS_DATOS!$C$1487))*CROQUIS_DATOS!$C$1561))/CROQUIS_DATOS!$C$1568-0.000001)),1,MOD($A18-1,2)))=1,MIN((CROQUIS_DATOS!$C$1476)*CROQUIS_DATOS!$C$1561,((CROQUIS_DATOS!$C$1484+CROQUIS_DATOS!$C$1485)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18">
        <f>IF(AND(CROQUIS_DATOS!$C$1472=1,CROQUIS_DATOS!$C$1478&gt;=3,((CROQUIS_DATOS!$C$1489+CROQUIS_DATOS!$C$1490))-(CROQUIS_DATOS!$C$1489)&gt;0.5,(CROQUIS_DATOS!$C$1491)-(0)&gt;0.5),(CROQUIS_DATOS!$C$1566+(IF(IF(MOD(MIN(INT(($A18-1)/2)+1,MAX(1,INT(((((CROQUIS_DATOS!$C$1489+CROQUIS_DATOS!$C$1490))-(CROQUIS_DATOS!$C$1489))+((CROQUIS_DATOS!$C$1491)*CROQUIS_DATOS!$C$1561-(0)*CROQUIS_DATOS!$C$1561))/CROQUIS_DATOS!$C$1568-0.000001))),2)=1,IF(INT(($A18-1)/2)+1&gt;MAX(1,INT(((((CROQUIS_DATOS!$C$1489+CROQUIS_DATOS!$C$1490))-(CROQUIS_DATOS!$C$1489))+((CROQUIS_DATOS!$C$1491)*CROQUIS_DATOS!$C$1561-(0)*CROQUIS_DATOS!$C$1561))/CROQUIS_DATOS!$C$1568-0.000001)),1,MOD($A18-1,2)),1-IF(INT(($A18-1)/2)+1&gt;MAX(1,INT(((((CROQUIS_DATOS!$C$1489+CROQUIS_DATOS!$C$1490))-(CROQUIS_DATOS!$C$1489))+((CROQUIS_DATOS!$C$1491)*CROQUIS_DATOS!$C$1561-(0)*CROQUIS_DATOS!$C$1561))/CROQUIS_DATOS!$C$1568-0.000001)),1,MOD($A18-1,2)))=1,MIN((CROQUIS_DATOS!$C$1491)*CROQUIS_DATOS!$C$1561,((CROQUIS_DATOS!$C$1489+CROQUIS_DATOS!$C$1490)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8">
        <f>IF(AND(CROQUIS_DATOS!$C$1472=1,CROQUIS_DATOS!$C$1478&gt;=3,((CROQUIS_DATOS!$C$1489+CROQUIS_DATOS!$C$1490))-(CROQUIS_DATOS!$C$1489)&gt;0.5,(CROQUIS_DATOS!$C$1491)-(0)&gt;0.5),(CROQUIS_DATOS!$C$1567+(IF(IF(MOD(MIN(INT(($A18-1)/2)+1,MAX(1,INT(((((CROQUIS_DATOS!$C$1489+CROQUIS_DATOS!$C$1490))-(CROQUIS_DATOS!$C$1489))+((CROQUIS_DATOS!$C$1491)*CROQUIS_DATOS!$C$1561-(0)*CROQUIS_DATOS!$C$1561))/CROQUIS_DATOS!$C$1568-0.000001))),2)=1,IF(INT(($A18-1)/2)+1&gt;MAX(1,INT(((((CROQUIS_DATOS!$C$1489+CROQUIS_DATOS!$C$1490))-(CROQUIS_DATOS!$C$1489))+((CROQUIS_DATOS!$C$1491)*CROQUIS_DATOS!$C$1561-(0)*CROQUIS_DATOS!$C$1561))/CROQUIS_DATOS!$C$1568-0.000001)),1,MOD($A18-1,2)),1-IF(INT(($A18-1)/2)+1&gt;MAX(1,INT(((((CROQUIS_DATOS!$C$1489+CROQUIS_DATOS!$C$1490))-(CROQUIS_DATOS!$C$1489))+((CROQUIS_DATOS!$C$1491)*CROQUIS_DATOS!$C$1561-(0)*CROQUIS_DATOS!$C$1561))/CROQUIS_DATOS!$C$1568-0.000001)),1,MOD($A18-1,2)))=1,MIN((CROQUIS_DATOS!$C$1491)*CROQUIS_DATOS!$C$1561,((CROQUIS_DATOS!$C$1489+CROQUIS_DATOS!$C$1490)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8">
        <f>IF(AND(CROQUIS_DATOS!$C$1472=1,CROQUIS_DATOS!$C$1478&gt;=3,((CROQUIS_DATOS!$C$1489+CROQUIS_DATOS!$C$1490))-(CROQUIS_DATOS!$C$1489)&gt;0.5,(CROQUIS_DATOS!$C$1476)-((CROQUIS_DATOS!$C$1491+CROQUIS_DATOS!$C$1492))&gt;0.5),(CROQUIS_DATOS!$C$1566+(IF(IF(MOD(MIN(INT(($A18-1)/2)+1,MAX(1,INT(((((CROQUIS_DATOS!$C$1489+CROQUIS_DATOS!$C$1490))-(CROQUIS_DATOS!$C$1489))+((CROQUIS_DATOS!$C$1476)*CROQUIS_DATOS!$C$1561-((CROQUIS_DATOS!$C$1491+CROQUIS_DATOS!$C$1492))*CROQUIS_DATOS!$C$1561))/CROQUIS_DATOS!$C$1568-0.000001))),2)=1,IF(INT(($A18-1)/2)+1&gt;MAX(1,INT(((((CROQUIS_DATOS!$C$1489+CROQUIS_DATOS!$C$1490))-(CROQUIS_DATOS!$C$1489))+((CROQUIS_DATOS!$C$1476)*CROQUIS_DATOS!$C$1561-((CROQUIS_DATOS!$C$1491+CROQUIS_DATOS!$C$1492))*CROQUIS_DATOS!$C$1561))/CROQUIS_DATOS!$C$1568-0.000001)),1,MOD($A18-1,2)),1-IF(INT(($A18-1)/2)+1&gt;MAX(1,INT(((((CROQUIS_DATOS!$C$1489+CROQUIS_DATOS!$C$1490))-(CROQUIS_DATOS!$C$1489))+((CROQUIS_DATOS!$C$1476)*CROQUIS_DATOS!$C$1561-((CROQUIS_DATOS!$C$1491+CROQUIS_DATOS!$C$1492))*CROQUIS_DATOS!$C$1561))/CROQUIS_DATOS!$C$1568-0.000001)),1,MOD($A18-1,2)))=1,MIN((CROQUIS_DATOS!$C$1476)*CROQUIS_DATOS!$C$1561,((CROQUIS_DATOS!$C$1489+CROQUIS_DATOS!$C$1490)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8">
        <f>IF(AND(CROQUIS_DATOS!$C$1472=1,CROQUIS_DATOS!$C$1478&gt;=3,((CROQUIS_DATOS!$C$1489+CROQUIS_DATOS!$C$1490))-(CROQUIS_DATOS!$C$1489)&gt;0.5,(CROQUIS_DATOS!$C$1476)-((CROQUIS_DATOS!$C$1491+CROQUIS_DATOS!$C$1492))&gt;0.5),(CROQUIS_DATOS!$C$1567+(IF(IF(MOD(MIN(INT(($A18-1)/2)+1,MAX(1,INT(((((CROQUIS_DATOS!$C$1489+CROQUIS_DATOS!$C$1490))-(CROQUIS_DATOS!$C$1489))+((CROQUIS_DATOS!$C$1476)*CROQUIS_DATOS!$C$1561-((CROQUIS_DATOS!$C$1491+CROQUIS_DATOS!$C$1492))*CROQUIS_DATOS!$C$1561))/CROQUIS_DATOS!$C$1568-0.000001))),2)=1,IF(INT(($A18-1)/2)+1&gt;MAX(1,INT(((((CROQUIS_DATOS!$C$1489+CROQUIS_DATOS!$C$1490))-(CROQUIS_DATOS!$C$1489))+((CROQUIS_DATOS!$C$1476)*CROQUIS_DATOS!$C$1561-((CROQUIS_DATOS!$C$1491+CROQUIS_DATOS!$C$1492))*CROQUIS_DATOS!$C$1561))/CROQUIS_DATOS!$C$1568-0.000001)),1,MOD($A18-1,2)),1-IF(INT(($A18-1)/2)+1&gt;MAX(1,INT(((((CROQUIS_DATOS!$C$1489+CROQUIS_DATOS!$C$1490))-(CROQUIS_DATOS!$C$1489))+((CROQUIS_DATOS!$C$1476)*CROQUIS_DATOS!$C$1561-((CROQUIS_DATOS!$C$1491+CROQUIS_DATOS!$C$1492))*CROQUIS_DATOS!$C$1561))/CROQUIS_DATOS!$C$1568-0.000001)),1,MOD($A18-1,2)))=1,MIN((CROQUIS_DATOS!$C$1476)*CROQUIS_DATOS!$C$1561,((CROQUIS_DATOS!$C$1489+CROQUIS_DATOS!$C$1490)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8">
        <f>IF(AND(CROQUIS_DATOS!$C$1472=1,CROQUIS_DATOS!$C$1478&gt;=4,((CROQUIS_DATOS!$C$1494+CROQUIS_DATOS!$C$1495))-(CROQUIS_DATOS!$C$1494)&gt;0.5,(CROQUIS_DATOS!$C$1496)-(0)&gt;0.5),(CROQUIS_DATOS!$C$1566+(IF(IF(MOD(MIN(INT(($A18-1)/2)+1,MAX(1,INT(((((CROQUIS_DATOS!$C$1494+CROQUIS_DATOS!$C$1495))-(CROQUIS_DATOS!$C$1494))+((CROQUIS_DATOS!$C$1496)*CROQUIS_DATOS!$C$1561-(0)*CROQUIS_DATOS!$C$1561))/CROQUIS_DATOS!$C$1568-0.000001))),2)=1,IF(INT(($A18-1)/2)+1&gt;MAX(1,INT(((((CROQUIS_DATOS!$C$1494+CROQUIS_DATOS!$C$1495))-(CROQUIS_DATOS!$C$1494))+((CROQUIS_DATOS!$C$1496)*CROQUIS_DATOS!$C$1561-(0)*CROQUIS_DATOS!$C$1561))/CROQUIS_DATOS!$C$1568-0.000001)),1,MOD($A18-1,2)),1-IF(INT(($A18-1)/2)+1&gt;MAX(1,INT(((((CROQUIS_DATOS!$C$1494+CROQUIS_DATOS!$C$1495))-(CROQUIS_DATOS!$C$1494))+((CROQUIS_DATOS!$C$1496)*CROQUIS_DATOS!$C$1561-(0)*CROQUIS_DATOS!$C$1561))/CROQUIS_DATOS!$C$1568-0.000001)),1,MOD($A18-1,2)))=1,MIN((CROQUIS_DATOS!$C$1496)*CROQUIS_DATOS!$C$1561,((CROQUIS_DATOS!$C$1494+CROQUIS_DATOS!$C$1495)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8">
        <f>IF(AND(CROQUIS_DATOS!$C$1472=1,CROQUIS_DATOS!$C$1478&gt;=4,((CROQUIS_DATOS!$C$1494+CROQUIS_DATOS!$C$1495))-(CROQUIS_DATOS!$C$1494)&gt;0.5,(CROQUIS_DATOS!$C$1496)-(0)&gt;0.5),(CROQUIS_DATOS!$C$1567+(IF(IF(MOD(MIN(INT(($A18-1)/2)+1,MAX(1,INT(((((CROQUIS_DATOS!$C$1494+CROQUIS_DATOS!$C$1495))-(CROQUIS_DATOS!$C$1494))+((CROQUIS_DATOS!$C$1496)*CROQUIS_DATOS!$C$1561-(0)*CROQUIS_DATOS!$C$1561))/CROQUIS_DATOS!$C$1568-0.000001))),2)=1,IF(INT(($A18-1)/2)+1&gt;MAX(1,INT(((((CROQUIS_DATOS!$C$1494+CROQUIS_DATOS!$C$1495))-(CROQUIS_DATOS!$C$1494))+((CROQUIS_DATOS!$C$1496)*CROQUIS_DATOS!$C$1561-(0)*CROQUIS_DATOS!$C$1561))/CROQUIS_DATOS!$C$1568-0.000001)),1,MOD($A18-1,2)),1-IF(INT(($A18-1)/2)+1&gt;MAX(1,INT(((((CROQUIS_DATOS!$C$1494+CROQUIS_DATOS!$C$1495))-(CROQUIS_DATOS!$C$1494))+((CROQUIS_DATOS!$C$1496)*CROQUIS_DATOS!$C$1561-(0)*CROQUIS_DATOS!$C$1561))/CROQUIS_DATOS!$C$1568-0.000001)),1,MOD($A18-1,2)))=1,MIN((CROQUIS_DATOS!$C$1496)*CROQUIS_DATOS!$C$1561,((CROQUIS_DATOS!$C$1494+CROQUIS_DATOS!$C$1495)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8">
        <f>IF(AND(CROQUIS_DATOS!$C$1472=1,CROQUIS_DATOS!$C$1478&gt;=4,((CROQUIS_DATOS!$C$1494+CROQUIS_DATOS!$C$1495))-(CROQUIS_DATOS!$C$1494)&gt;0.5,(CROQUIS_DATOS!$C$1476)-((CROQUIS_DATOS!$C$1496+CROQUIS_DATOS!$C$1497))&gt;0.5),(CROQUIS_DATOS!$C$1566+(IF(IF(MOD(MIN(INT(($A18-1)/2)+1,MAX(1,INT(((((CROQUIS_DATOS!$C$1494+CROQUIS_DATOS!$C$1495))-(CROQUIS_DATOS!$C$1494))+((CROQUIS_DATOS!$C$1476)*CROQUIS_DATOS!$C$1561-((CROQUIS_DATOS!$C$1496+CROQUIS_DATOS!$C$1497))*CROQUIS_DATOS!$C$1561))/CROQUIS_DATOS!$C$1568-0.000001))),2)=1,IF(INT(($A18-1)/2)+1&gt;MAX(1,INT(((((CROQUIS_DATOS!$C$1494+CROQUIS_DATOS!$C$1495))-(CROQUIS_DATOS!$C$1494))+((CROQUIS_DATOS!$C$1476)*CROQUIS_DATOS!$C$1561-((CROQUIS_DATOS!$C$1496+CROQUIS_DATOS!$C$1497))*CROQUIS_DATOS!$C$1561))/CROQUIS_DATOS!$C$1568-0.000001)),1,MOD($A18-1,2)),1-IF(INT(($A18-1)/2)+1&gt;MAX(1,INT(((((CROQUIS_DATOS!$C$1494+CROQUIS_DATOS!$C$1495))-(CROQUIS_DATOS!$C$1494))+((CROQUIS_DATOS!$C$1476)*CROQUIS_DATOS!$C$1561-((CROQUIS_DATOS!$C$1496+CROQUIS_DATOS!$C$1497))*CROQUIS_DATOS!$C$1561))/CROQUIS_DATOS!$C$1568-0.000001)),1,MOD($A18-1,2)))=1,MIN((CROQUIS_DATOS!$C$1476)*CROQUIS_DATOS!$C$1561,((CROQUIS_DATOS!$C$1494+CROQUIS_DATOS!$C$1495)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8">
        <f>IF(AND(CROQUIS_DATOS!$C$1472=1,CROQUIS_DATOS!$C$1478&gt;=4,((CROQUIS_DATOS!$C$1494+CROQUIS_DATOS!$C$1495))-(CROQUIS_DATOS!$C$1494)&gt;0.5,(CROQUIS_DATOS!$C$1476)-((CROQUIS_DATOS!$C$1496+CROQUIS_DATOS!$C$1497))&gt;0.5),(CROQUIS_DATOS!$C$1567+(IF(IF(MOD(MIN(INT(($A18-1)/2)+1,MAX(1,INT(((((CROQUIS_DATOS!$C$1494+CROQUIS_DATOS!$C$1495))-(CROQUIS_DATOS!$C$1494))+((CROQUIS_DATOS!$C$1476)*CROQUIS_DATOS!$C$1561-((CROQUIS_DATOS!$C$1496+CROQUIS_DATOS!$C$1497))*CROQUIS_DATOS!$C$1561))/CROQUIS_DATOS!$C$1568-0.000001))),2)=1,IF(INT(($A18-1)/2)+1&gt;MAX(1,INT(((((CROQUIS_DATOS!$C$1494+CROQUIS_DATOS!$C$1495))-(CROQUIS_DATOS!$C$1494))+((CROQUIS_DATOS!$C$1476)*CROQUIS_DATOS!$C$1561-((CROQUIS_DATOS!$C$1496+CROQUIS_DATOS!$C$1497))*CROQUIS_DATOS!$C$1561))/CROQUIS_DATOS!$C$1568-0.000001)),1,MOD($A18-1,2)),1-IF(INT(($A18-1)/2)+1&gt;MAX(1,INT(((((CROQUIS_DATOS!$C$1494+CROQUIS_DATOS!$C$1495))-(CROQUIS_DATOS!$C$1494))+((CROQUIS_DATOS!$C$1476)*CROQUIS_DATOS!$C$1561-((CROQUIS_DATOS!$C$1496+CROQUIS_DATOS!$C$1497))*CROQUIS_DATOS!$C$1561))/CROQUIS_DATOS!$C$1568-0.000001)),1,MOD($A18-1,2)))=1,MIN((CROQUIS_DATOS!$C$1476)*CROQUIS_DATOS!$C$1561,((CROQUIS_DATOS!$C$1494+CROQUIS_DATOS!$C$1495)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8">
        <f>IF(AND(CROQUIS_DATOS!$C$1472=1,1),(CROQUIS_DATOS!$C$1566+(INDEX($E$8:$E$23,MIN($A18,CROQUIS_DATOS!$C$1525)))*CROQUIS_DATOS!$C$1565),-1000)</f>
        <v>76.9224137931035</v>
      </c>
      <c r="EW18">
        <f>IF(AND(CROQUIS_DATOS!$C$1472=1,1),((CROQUIS_DATOS!$C$1567+(CROQUIS_DATOS!$C$1476+CROQUIS_DATOS!$C$1528)*CROQUIS_DATOS!$C$1561*CROQUIS_DATOS!$C$1565)+1.5),-1000)</f>
        <v>42.5</v>
      </c>
      <c r="GD18">
        <f>IF(AND(CROQUIS_DATOS!$C$1472=1,1),(CROQUIS_DATOS!$C$1571+(CHOOSE(MIN(MAX(IF(INT(($A18-1)/5)+1&gt;CROQUIS_DATOS!$C$1525,5,MOD($A18-1,5)+1),1),5),(INDEX($E$8:$E$23,MIN(INT(($A18-1)/5)+1,CROQUIS_DATOS!$C$1525))-INDEX($F$8:$F$23,MIN(INT(($A18-1)/5)+1,CROQUIS_DATOS!$C$1525))/2),(INDEX($E$8:$E$23,MIN(INT(($A18-1)/5)+1,CROQUIS_DATOS!$C$1525))+INDEX($F$8:$F$23,MIN(INT(($A18-1)/5)+1,CROQUIS_DATOS!$C$1525))/2),(INDEX($E$8:$E$23,MIN(INT(($A18-1)/5)+1,CROQUIS_DATOS!$C$1525))+INDEX($F$8:$F$23,MIN(INT(($A18-1)/5)+1,CROQUIS_DATOS!$C$1525))/2),(INDEX($E$8:$E$23,MIN(INT(($A18-1)/5)+1,CROQUIS_DATOS!$C$1525))-INDEX($F$8:$F$23,MIN(INT(($A18-1)/5)+1,CROQUIS_DATOS!$C$1525))/2),(INDEX($E$8:$E$23,MIN(INT(($A18-1)/5)+1,CROQUIS_DATOS!$C$1525))-INDEX($F$8:$F$23,MIN(INT(($A18-1)/5)+1,CROQUIS_DATOS!$C$1525))/2)))*CROQUIS_DATOS!$C$1569),-1000)</f>
        <v>29.92</v>
      </c>
      <c r="GE18">
        <f>IF(AND(CROQUIS_DATOS!$C$1472=1,1),(CROQUIS_DATOS!$C$1572+(CHOOSE(MIN(MAX(IF(INT(($A18-1)/5)+1&gt;CROQUIS_DATOS!$C$1525,5,MOD($A18-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8">
        <f>IF(AND(CROQUIS_DATOS!$C$1472=1,1),IF(INT(($A18-1)/4)+1&lt;=CROQUIS_DATOS!$C$1525,(CROQUIS_DATOS!$C$1571+((INDEX($E$8:$E$23,MIN(INT(($A18-1)/4)+1,16))+IF(OR(MOD($A18-1,4)=0,MOD($A18-1,4)=3),-1,1)*(INDEX($F$8:$F$23,MIN(INT(($A18-1)/4)+1,16))/2-(CROQUIS_DATOS!$C$1530+CROQUIS_DATOS!$C$1532+IF(OR(INT(($A18-1)/4)+1=1,INT(($A18-1)/4)+1=CROQUIS_DATOS!$C$1525),CROQUIS_DATOS!$C$1534,CROQUIS_DATOS!$C$1531)/2))))*CROQUIS_DATOS!$C$1569),-1000),-1000)</f>
        <v>32.107484</v>
      </c>
      <c r="GG18">
        <f>IF(AND(CROQUIS_DATOS!$C$1472=1,1),IF(INT(($A18-1)/4)+1&lt;=CROQUIS_DATOS!$C$1525,(CROQUIS_DATOS!$C$1572+((CROQUIS_DATOS!$C$1477/2+IF(MOD($A18-1,4)&lt;2,-1,1)*(CROQUIS_DATOS!$C$1527/2-(CROQUIS_DATOS!$C$1530+CROQUIS_DATOS!$C$1532+IF(OR(INT(($A18-1)/4)+1=1,INT(($A18-1)/4)+1=CROQUIS_DATOS!$C$1525),CROQUIS_DATOS!$C$1534,CROQUIS_DATOS!$C$1531)/2))))*CROQUIS_DATOS!$C$1569*CROQUIS_DATOS!$C$1570),-1000),-1000)</f>
        <v>13.06655</v>
      </c>
    </row>
    <row r="19">
      <c r="A19" t="n">
        <v>12</v>
      </c>
      <c r="B19" t="n">
        <v>12</v>
      </c>
      <c r="C19">
        <f>1+(B19&gt;CROQUIS_DATOS!$C$1520)+(B19&gt;CROQUIS_DATOS!$C$1521)+(B19&gt;CROQUIS_DATOS!$C$1522)+(B19&gt;CROQUIS_DATOS!$C$1523)</f>
        <v>5</v>
      </c>
      <c r="D19">
        <f>B19-CHOOSE(MIN(C19,5),0,CROQUIS_DATOS!$C$1520,CROQUIS_DATOS!$C$1521,CROQUIS_DATOS!$C$1522,CROQUIS_DATOS!$C$1523)</f>
        <v>6</v>
      </c>
      <c r="E19">
        <f>IF(G19=0,0,CHOOSE(MIN(C19,5),CROQUIS_DATOS!$C$1499,CROQUIS_DATOS!$C$1503,CROQUIS_DATOS!$C$1507,CROQUIS_DATOS!$C$1511,CROQUIS_DATOS!$C$1515)+IF(CHOOSE(MIN(C19,5),CROQUIS_DATOS!$C$1502,CROQUIS_DATOS!$C$1506,CROQUIS_DATOS!$C$1510,CROQUIS_DATOS!$C$1514,CROQUIS_DATOS!$C$1518)=1,CHOOSE(MIN(C19,5),CROQUIS_DATOS!$C$1500,CROQUIS_DATOS!$C$1504,CROQUIS_DATOS!$C$1508,CROQUIS_DATOS!$C$1512,CROQUIS_DATOS!$C$1516)/2,CROQUIS_DATOS!$C$1526/2+(D19-1)*(CHOOSE(MIN(C19,5),CROQUIS_DATOS!$C$1500,CROQUIS_DATOS!$C$1504,CROQUIS_DATOS!$C$1508,CROQUIS_DATOS!$C$1512,CROQUIS_DATOS!$C$1516)-CROQUIS_DATOS!$C$1526)/MAX(CHOOSE(MIN(C19,5),CROQUIS_DATOS!$C$1502,CROQUIS_DATOS!$C$1506,CROQUIS_DATOS!$C$1510,CROQUIS_DATOS!$C$1514,CROQUIS_DATOS!$C$1518)-1,1)))</f>
        <v>0</v>
      </c>
      <c r="F19">
        <f>IF(G19=0,0,IF(CHOOSE(MIN(C19,5),CROQUIS_DATOS!$C$1502,CROQUIS_DATOS!$C$1506,CROQUIS_DATOS!$C$1510,CROQUIS_DATOS!$C$1514,CROQUIS_DATOS!$C$1518)=1,MIN(CROQUIS_DATOS!$C$1526,CHOOSE(MIN(C19,5),CROQUIS_DATOS!$C$1500,CROQUIS_DATOS!$C$1504,CROQUIS_DATOS!$C$1508,CROQUIS_DATOS!$C$1512,CROQUIS_DATOS!$C$1516)),CROQUIS_DATOS!$C$1526))</f>
        <v>0</v>
      </c>
      <c r="G19">
        <f>IF(AND(CROQUIS_DATOS!$C$1472=1,B19&lt;=CROQUIS_DATOS!$C$1525),1,0)</f>
        <v>0</v>
      </c>
      <c r="H19">
        <f>IF(12&lt;=CROQUIS_DATOS!$C$1539,12*CROQUIS_DATOS!$C$1536,IF(12&lt;=CROQUIS_DATOS!$C$1539+CROQUIS_DATOS!$C$1540,CROQUIS_DATOS!$C$1539*CROQUIS_DATOS!$C$1536+(12-CROQUIS_DATOS!$C$1539)*(CROQUIS_DATOS!$C$1476-2*CROQUIS_DATOS!$C$1539*CROQUIS_DATOS!$C$1536)/(CROQUIS_DATOS!$C$1540+1),CROQUIS_DATOS!$C$1476-(2*CROQUIS_DATOS!$C$1539+CROQUIS_DATOS!$C$1540+1-12)*CROQUIS_DATOS!$C$1536))</f>
        <v>173.611111111111</v>
      </c>
      <c r="I19">
        <f>IF(AND(CROQUIS_DATOS!$C$1544=1,E19&gt;=CROQUIS_DATOS!$C$1549-1,E19&lt;=CROQUIS_DATOS!$C$1550+1),CROQUIS_DATOS!$C$1554,CROQUIS_DATOS!$C$1552)</f>
        <v>-16.8885</v>
      </c>
      <c r="J19">
        <f>IF(AND(CROQUIS_DATOS!$C$1472=1,1),(CROQUIS_DATOS!$C$1563+(CHOOSE(MIN(MAX(IF(INT(($A19-1)/4)+1&gt;CROQUIS_DATOS!$C$1525,4,MOD($A19-1,4)+1),1),4),(INDEX($E$8:$E$23,MIN(INT(($A19-1)/4)+1,CROQUIS_DATOS!$C$1525))-INDEX($F$8:$F$23,MIN(INT(($A19-1)/4)+1,CROQUIS_DATOS!$C$1525))/2),(INDEX($E$8:$E$23,MIN(INT(($A19-1)/4)+1,CROQUIS_DATOS!$C$1525))-INDEX($F$8:$F$23,MIN(INT(($A19-1)/4)+1,CROQUIS_DATOS!$C$1525))/2),(INDEX($E$8:$E$23,MIN(INT(($A19-1)/4)+1,CROQUIS_DATOS!$C$1525))+INDEX($F$8:$F$23,MIN(INT(($A19-1)/4)+1,CROQUIS_DATOS!$C$1525))/2),(INDEX($E$8:$E$23,MIN(INT(($A19-1)/4)+1,CROQUIS_DATOS!$C$1525))+INDEX($F$8:$F$23,MIN(INT(($A19-1)/4)+1,CROQUIS_DATOS!$C$1525))/2)))*CROQUIS_DATOS!$C$1562),-1000)</f>
        <v>35.3362068965517</v>
      </c>
      <c r="K19">
        <f>IF(AND(CROQUIS_DATOS!$C$1472=1,1),(CROQUIS_DATOS!$C$1564+(CHOOSE(MIN(MAX(IF(INT(($A19-1)/4)+1&gt;CROQUIS_DATOS!$C$1525,4,MOD($A19-1,4)+1),1),4),0,CROQUIS_DATOS!$C$1476,CROQUIS_DATOS!$C$1476,0))*CROQUIS_DATOS!$C$1561*CROQUIS_DATOS!$C$1562),-1000)</f>
        <v>5.29310344827586</v>
      </c>
      <c r="L19">
        <f>IF(AND(CROQUIS_DATOS!$C$1472=1,1),(CROQUIS_DATOS!$C$1563+(CHOOSE(MIN(MAX(IF(INT(($A19-1)/4)+1&gt;CROQUIS_DATOS!$C$1525,4,MOD($A19-1,4)+1),1),4),((INDEX($E$8:$E$23,MIN(INT(($A19-1)/4)+1,CROQUIS_DATOS!$C$1525))-INDEX($F$8:$F$23,MIN(INT(($A19-1)/4)+1,CROQUIS_DATOS!$C$1525))/2)+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,((INDEX($E$8:$E$23,MIN(INT(($A19-1)/4)+1,CROQUIS_DATOS!$C$1525))-INDEX($F$8:$F$23,MIN(INT(($A19-1)/4)+1,CROQUIS_DATOS!$C$1525))/2)+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,((INDEX($E$8:$E$23,MIN(INT(($A19-1)/4)+1,CROQUIS_DATOS!$C$1525))+INDEX($F$8:$F$23,MIN(INT(($A19-1)/4)+1,CROQUIS_DATOS!$C$1525))/2)-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,((INDEX($E$8:$E$23,MIN(INT(($A19-1)/4)+1,CROQUIS_DATOS!$C$1525))+INDEX($F$8:$F$23,MIN(INT(($A19-1)/4)+1,CROQUIS_DATOS!$C$1525))/2)-MIN((CROQUIS_DATOS!$C$1530+CROQUIS_DATOS!$C$1532+IF(OR(MIN(INT(($A19-1)/4)+1,CROQUIS_DATOS!$C$1525)=1,MIN(INT(($A19-1)/4)+1,CROQUIS_DATOS!$C$1525)=CROQUIS_DATOS!$C$1525),CROQUIS_DATOS!$C$1534,CROQUIS_DATOS!$C$1531)/2),INDEX($F$8:$F$23,MIN(INT(($A19-1)/4)+1,CROQUIS_DATOS!$C$1525))/2-0.5))))*CROQUIS_DATOS!$C$1562),-1000)</f>
        <v>34.9016698275862</v>
      </c>
      <c r="M19">
        <f>IF(AND(CROQUIS_DATOS!$C$1472=1,1),(CROQUIS_DATOS!$C$1564+(CHOOSE(MIN(MAX(IF(INT(($A19-1)/4)+1&gt;CROQUIS_DATOS!$C$1525,4,MOD($A19-1,4)+1),1),4),CROQUIS_DATOS!$C$1543,INDEX($I$8:$I$23,MIN(INT(($A19-1)/4)+1,CROQUIS_DATOS!$C$1525)),INDEX($I$8:$I$23,MIN(INT(($A19-1)/4)+1,CROQUIS_DATOS!$C$1525)),CROQUIS_DATOS!$C$1543))*CROQUIS_DATOS!$C$1561*CROQUIS_DATOS!$C$1562),-1000)</f>
        <v>42.5654629310345</v>
      </c>
      <c r="N19">
        <f>IF(AND(CROQUIS_DATOS!$C$1472=1,1),(CROQUIS_DATOS!$C$1563+(IF(IF(IF(INT(($A19-1)/70)+1&gt;CROQUIS_DATOS!$C$1525,70,MOD($A19-1,70)+1)=1,0,IF(IF(INT(($A19-1)/70)+1&gt;CROQUIS_DATOS!$C$1525,70,MOD($A19-1,70)+1)&gt;2*CROQUIS_DATOS!$C$1541+1,IF(MOD(CROQUIS_DATOS!$C$1541,2)=1,1,0),IF(MOD(MIN(INT((IF(INT(($A19-1)/70)+1&gt;CROQUIS_DATOS!$C$1525,70,MOD($A19-1,70)+1)-2)/2)+1,CROQUIS_DATOS!$C$1541),2)=1,IF(MOD(IF(INT(($A19-1)/70)+1&gt;CROQUIS_DATOS!$C$1525,70,MOD($A19-1,70)+1)-2,2)=0,0,1),IF(MOD(IF(INT(($A19-1)/70)+1&gt;CROQUIS_DATOS!$C$1525,70,MOD($A19-1,70)+1)-2,2)=0,1,0))))=0,(INDEX($E$8:$E$23,MIN(INT(($A19-1)/70)+1,CROQUIS_DATOS!$C$1525))-INDEX($F$8:$F$23,MIN(INT(($A19-1)/70)+1,CROQUIS_DATOS!$C$1525))/2),(INDEX($E$8:$E$23,MIN(INT(($A19-1)/70)+1,CROQUIS_DATOS!$C$1525))+INDEX($F$8:$F$23,MIN(INT(($A19-1)/70)+1,CROQUIS_DATOS!$C$1525))/2)))*CROQUIS_DATOS!$C$1562),-1000)</f>
        <v>17.1810344827586</v>
      </c>
      <c r="O19">
        <f>IF(AND(CROQUIS_DATOS!$C$1472=1,1),(CROQUIS_DATOS!$C$1564+(IF(OR(IF(INT(($A19-1)/70)+1&gt;CROQUIS_DATOS!$C$1525,70,MOD($A19-1,70)+1)=1,IF(INT(($A19-1)/70)+1&gt;CROQUIS_DATOS!$C$1525,70,MOD($A19-1,70)+1)&gt;2*CROQUIS_DATOS!$C$1541+1),CROQUIS_DATOS!$C$1476,INDEX($H$8:$H$41,MIN(INT((IF(INT(($A19-1)/70)+1&gt;CROQUIS_DATOS!$C$1525,70,MOD($A19-1,70)+1)-2)/2)+1,CROQUIS_DATOS!$C$1541))))*CROQUIS_DATOS!$C$1561*CROQUIS_DATOS!$C$1562),-1000)</f>
        <v>13.2456896551724</v>
      </c>
      <c r="P19">
        <f>IF(AND(CROQUIS_DATOS!$C$1472=1,CROQUIS_DATOS!$C$1555=1),(CROQUIS_DATOS!$C$1563+(IF(IF(OR(MOD($A19-1,62)+1=1,IF(CHOOSE(MIN(MAX(MIN(INT(($A19-1)/62)+1,5),1),5),CROQUIS_DATOS!$C$1501,CROQUIS_DATOS!$C$1505,CROQUIS_DATOS!$C$1509,CROQUIS_DATOS!$C$1513,CROQUIS_DATOS!$C$1517)=1,CROQUIS_DATOS!$C$1557,0)=0),0,IF(MOD($A19-1,62)+1&gt;2*IF(CHOOSE(MIN(MAX(MIN(INT(($A19-1)/62)+1,5),1),5),CROQUIS_DATOS!$C$1501,CROQUIS_DATOS!$C$1505,CROQUIS_DATOS!$C$1509,CROQUIS_DATOS!$C$1513,CROQUIS_DATOS!$C$1517)=1,CROQUIS_DATOS!$C$1557,0)+1,IF(MOD(IF(CHOOSE(MIN(MAX(MIN(INT(($A19-1)/62)+1,5),1),5),CROQUIS_DATOS!$C$1501,CROQUIS_DATOS!$C$1505,CROQUIS_DATOS!$C$1509,CROQUIS_DATOS!$C$1513,CROQUIS_DATOS!$C$1517)=1,CROQUIS_DATOS!$C$1557,0),2)=1,1,0),IF(MOD(MIN(INT((MOD($A19-1,62)+1-2)/2)+1,MAX(IF(CHOOSE(MIN(MAX(MIN(INT(($A19-1)/62)+1,5),1),5),CROQUIS_DATOS!$C$1501,CROQUIS_DATOS!$C$1505,CROQUIS_DATOS!$C$1509,CROQUIS_DATOS!$C$1513,CROQUIS_DATOS!$C$1517)=1,CROQUIS_DATOS!$C$1557,0),1)),2)=1,IF(MOD(MOD($A19-1,62)+1-2,2)=0,0,1),IF(MOD(MOD($A19-1,62)+1-2,2)=0,1,0))))=0,(CHOOSE(MIN(MAX(MIN(INT(($A19-1)/62)+1,5),1),5),CROQUIS_DATOS!$C$1499,CROQUIS_DATOS!$C$1503,CROQUIS_DATOS!$C$1507,CROQUIS_DATOS!$C$1511,CROQUIS_DATOS!$C$1515)+IF(CHOOSE(MIN(MAX(MIN(INT(($A19-1)/62)+1,5),1),5),CROQUIS_DATOS!$C$1501,CROQUIS_DATOS!$C$1505,CROQUIS_DATOS!$C$1509,CROQUIS_DATOS!$C$1513,CROQUIS_DATOS!$C$1517)=1,CROQUIS_DATOS!$C$1526,0)),(CHOOSE(MIN(MAX(MIN(INT(($A19-1)/62)+1,5),1),5),CROQUIS_DATOS!$C$1499,CROQUIS_DATOS!$C$1503,CROQUIS_DATOS!$C$1507,CROQUIS_DATOS!$C$1511,CROQUIS_DATOS!$C$1515)+CHOOSE(MIN(MAX(MIN(INT(($A19-1)/62)+1,5),1),5),CROQUIS_DATOS!$C$1500,CROQUIS_DATOS!$C$1504,CROQUIS_DATOS!$C$1508,CROQUIS_DATOS!$C$1512,CROQUIS_DATOS!$C$1516)-IF(CHOOSE(MIN(MAX(MIN(INT(($A19-1)/62)+1,5),1),5),CROQUIS_DATOS!$C$1501,CROQUIS_DATOS!$C$1505,CROQUIS_DATOS!$C$1509,CROQUIS_DATOS!$C$1513,CROQUIS_DATOS!$C$1517)=1,CROQUIS_DATOS!$C$1526,0))))*CROQUIS_DATOS!$C$1562),-1000)</f>
        <v>-1000</v>
      </c>
      <c r="Q19">
        <f>IF(AND(CROQUIS_DATOS!$C$1472=1,CROQUIS_DATOS!$C$1555=1),(CROQUIS_DATOS!$C$1564+(IF(OR(OR(MOD($A19-1,62)+1=1,IF(CHOOSE(MIN(MAX(MIN(INT(($A19-1)/62)+1,5),1),5),CROQUIS_DATOS!$C$1501,CROQUIS_DATOS!$C$1505,CROQUIS_DATOS!$C$1509,CROQUIS_DATOS!$C$1513,CROQUIS_DATOS!$C$1517)=1,CROQUIS_DATOS!$C$1557,0)=0),MOD($A19-1,62)+1&gt;2*IF(CHOOSE(MIN(MAX(MIN(INT(($A19-1)/62)+1,5),1),5),CROQUIS_DATOS!$C$1501,CROQUIS_DATOS!$C$1505,CROQUIS_DATOS!$C$1509,CROQUIS_DATOS!$C$1513,CROQUIS_DATOS!$C$1517)=1,CROQUIS_DATOS!$C$1557,0)+1),CROQUIS_DATOS!$C$1476,MIN(INT((MOD($A19-1,62)+1-2)/2)+1,MAX(IF(CHOOSE(MIN(MAX(MIN(INT(($A19-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">
        <f>IF(AND(CROQUIS_DATOS!$C$1472=1,1),(CROQUIS_DATOS!$C$1563+(MIN(INT(($A19-1)/2)+1,CROQUIS_DATOS!$C$1558)*CROQUIS_DATOS!$C$1559)*CROQUIS_DATOS!$C$1562),-1000)</f>
        <v>31.2002652519894</v>
      </c>
      <c r="U19">
        <f>IF(AND(CROQUIS_DATOS!$C$1472=1,1),(CROQUIS_DATOS!$C$1564+(IF(INT(($A19-1)/2)+1&gt;CROQUIS_DATOS!$C$1558,IF(MOD(CROQUIS_DATOS!$C$1558,2)=1,CROQUIS_DATOS!$C$1476+CROQUIS_DATOS!$C$1528,CROQUIS_DATOS!$C$1476),IF(IF(MOD(MIN(INT(($A19-1)/2)+1,CROQUIS_DATOS!$C$1558),2)=1,MOD($A19-1,2),1-MOD($A19-1,2))=1,CROQUIS_DATOS!$C$1476+CROQUIS_DATOS!$C$1528,CROQUIS_DATOS!$C$1476)))*CROQUIS_DATOS!$C$1561*CROQUIS_DATOS!$C$1562),-1000)</f>
        <v>40.2068965517241</v>
      </c>
      <c r="BZ19">
        <f>IF(AND(CROQUIS_DATOS!$C$1472=1,CROQUIS_DATOS!$C$1500&gt;0,((CROQUIS_DATOS!$C$1499+CROQUIS_DATOS!$C$1500))-(CROQUIS_DATOS!$C$1499)&gt;0.5,(CROQUIS_DATOS!$C$1476)-(0)&gt;0.5),(CROQUIS_DATOS!$C$1566+(IF(IF(MOD(MIN(INT(($A19-1)/2)+1,MAX(1,INT(((((CROQUIS_DATOS!$C$1499+CROQUIS_DATOS!$C$1500))-(CROQUIS_DATOS!$C$1499))+((CROQUIS_DATOS!$C$1476)*CROQUIS_DATOS!$C$1561-(0)*CROQUIS_DATOS!$C$1561))/CROQUIS_DATOS!$C$1568-0.000001))),2)=1,IF(INT(($A19-1)/2)+1&gt;MAX(1,INT(((((CROQUIS_DATOS!$C$1499+CROQUIS_DATOS!$C$1500))-(CROQUIS_DATOS!$C$1499))+((CROQUIS_DATOS!$C$1476)*CROQUIS_DATOS!$C$1561-(0)*CROQUIS_DATOS!$C$1561))/CROQUIS_DATOS!$C$1568-0.000001)),1,MOD($A19-1,2)),1-IF(INT(($A19-1)/2)+1&gt;MAX(1,INT(((((CROQUIS_DATOS!$C$1499+CROQUIS_DATOS!$C$1500))-(CROQUIS_DATOS!$C$1499))+((CROQUIS_DATOS!$C$1476)*CROQUIS_DATOS!$C$1561-(0)*CROQUIS_DATOS!$C$1561))/CROQUIS_DATOS!$C$1568-0.000001)),1,MOD($A19-1,2)))=1,MIN((CROQUIS_DATOS!$C$1476)*CROQUIS_DATOS!$C$1561,((CROQUIS_DATOS!$C$1499+CROQUIS_DATOS!$C$1500)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19">
        <f>IF(AND(CROQUIS_DATOS!$C$1472=1,CROQUIS_DATOS!$C$1500&gt;0,((CROQUIS_DATOS!$C$1499+CROQUIS_DATOS!$C$1500))-(CROQUIS_DATOS!$C$1499)&gt;0.5,(CROQUIS_DATOS!$C$1476)-(0)&gt;0.5),(CROQUIS_DATOS!$C$1567+(IF(IF(MOD(MIN(INT(($A19-1)/2)+1,MAX(1,INT(((((CROQUIS_DATOS!$C$1499+CROQUIS_DATOS!$C$1500))-(CROQUIS_DATOS!$C$1499))+((CROQUIS_DATOS!$C$1476)*CROQUIS_DATOS!$C$1561-(0)*CROQUIS_DATOS!$C$1561))/CROQUIS_DATOS!$C$1568-0.000001))),2)=1,IF(INT(($A19-1)/2)+1&gt;MAX(1,INT(((((CROQUIS_DATOS!$C$1499+CROQUIS_DATOS!$C$1500))-(CROQUIS_DATOS!$C$1499))+((CROQUIS_DATOS!$C$1476)*CROQUIS_DATOS!$C$1561-(0)*CROQUIS_DATOS!$C$1561))/CROQUIS_DATOS!$C$1568-0.000001)),1,MOD($A19-1,2)),1-IF(INT(($A19-1)/2)+1&gt;MAX(1,INT(((((CROQUIS_DATOS!$C$1499+CROQUIS_DATOS!$C$1500))-(CROQUIS_DATOS!$C$1499))+((CROQUIS_DATOS!$C$1476)*CROQUIS_DATOS!$C$1561-(0)*CROQUIS_DATOS!$C$1561))/CROQUIS_DATOS!$C$1568-0.000001)),1,MOD($A19-1,2)))=1,MIN((CROQUIS_DATOS!$C$1476)*CROQUIS_DATOS!$C$1561,((CROQUIS_DATOS!$C$1499+CROQUIS_DATOS!$C$1500)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19-1)/2)+1,MAX(1,INT(((((CROQUIS_DATOS!$C$1499+CROQUIS_DATOS!$C$1500))-(CROQUIS_DATOS!$C$1499))+((CROQUIS_DATOS!$C$1476)*CROQUIS_DATOS!$C$1561-(0)*CROQUIS_DATOS!$C$1561))/CROQUIS_DATOS!$C$1568-0.000001)))*CROQUIS_DATOS!$C$1568))))*CROQUIS_DATOS!$C$1565),-1000)</f>
        <v>29.2620689655172</v>
      </c>
      <c r="CB19">
        <f>IF(AND(CROQUIS_DATOS!$C$1472=1,CROQUIS_DATOS!$C$1504&gt;0,((CROQUIS_DATOS!$C$1503+CROQUIS_DATOS!$C$1504))-(CROQUIS_DATOS!$C$1503)&gt;0.5,(CROQUIS_DATOS!$C$1476)-(0)&gt;0.5),(CROQUIS_DATOS!$C$1566+(IF(IF(MOD(MIN(INT(($A19-1)/2)+1,MAX(1,INT(((((CROQUIS_DATOS!$C$1503+CROQUIS_DATOS!$C$1504))-(CROQUIS_DATOS!$C$1503))+((CROQUIS_DATOS!$C$1476)*CROQUIS_DATOS!$C$1561-(0)*CROQUIS_DATOS!$C$1561))/CROQUIS_DATOS!$C$1568-0.000001))),2)=1,IF(INT(($A19-1)/2)+1&gt;MAX(1,INT(((((CROQUIS_DATOS!$C$1503+CROQUIS_DATOS!$C$1504))-(CROQUIS_DATOS!$C$1503))+((CROQUIS_DATOS!$C$1476)*CROQUIS_DATOS!$C$1561-(0)*CROQUIS_DATOS!$C$1561))/CROQUIS_DATOS!$C$1568-0.000001)),1,MOD($A19-1,2)),1-IF(INT(($A19-1)/2)+1&gt;MAX(1,INT(((((CROQUIS_DATOS!$C$1503+CROQUIS_DATOS!$C$1504))-(CROQUIS_DATOS!$C$1503))+((CROQUIS_DATOS!$C$1476)*CROQUIS_DATOS!$C$1561-(0)*CROQUIS_DATOS!$C$1561))/CROQUIS_DATOS!$C$1568-0.000001)),1,MOD($A19-1,2)))=1,MIN((CROQUIS_DATOS!$C$1476)*CROQUIS_DATOS!$C$1561,((CROQUIS_DATOS!$C$1503+CROQUIS_DATOS!$C$1504)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19">
        <f>IF(AND(CROQUIS_DATOS!$C$1472=1,CROQUIS_DATOS!$C$1504&gt;0,((CROQUIS_DATOS!$C$1503+CROQUIS_DATOS!$C$1504))-(CROQUIS_DATOS!$C$1503)&gt;0.5,(CROQUIS_DATOS!$C$1476)-(0)&gt;0.5),(CROQUIS_DATOS!$C$1567+(IF(IF(MOD(MIN(INT(($A19-1)/2)+1,MAX(1,INT(((((CROQUIS_DATOS!$C$1503+CROQUIS_DATOS!$C$1504))-(CROQUIS_DATOS!$C$1503))+((CROQUIS_DATOS!$C$1476)*CROQUIS_DATOS!$C$1561-(0)*CROQUIS_DATOS!$C$1561))/CROQUIS_DATOS!$C$1568-0.000001))),2)=1,IF(INT(($A19-1)/2)+1&gt;MAX(1,INT(((((CROQUIS_DATOS!$C$1503+CROQUIS_DATOS!$C$1504))-(CROQUIS_DATOS!$C$1503))+((CROQUIS_DATOS!$C$1476)*CROQUIS_DATOS!$C$1561-(0)*CROQUIS_DATOS!$C$1561))/CROQUIS_DATOS!$C$1568-0.000001)),1,MOD($A19-1,2)),1-IF(INT(($A19-1)/2)+1&gt;MAX(1,INT(((((CROQUIS_DATOS!$C$1503+CROQUIS_DATOS!$C$1504))-(CROQUIS_DATOS!$C$1503))+((CROQUIS_DATOS!$C$1476)*CROQUIS_DATOS!$C$1561-(0)*CROQUIS_DATOS!$C$1561))/CROQUIS_DATOS!$C$1568-0.000001)),1,MOD($A19-1,2)))=1,MIN((CROQUIS_DATOS!$C$1476)*CROQUIS_DATOS!$C$1561,((CROQUIS_DATOS!$C$1503+CROQUIS_DATOS!$C$1504)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19-1)/2)+1,MAX(1,INT(((((CROQUIS_DATOS!$C$1503+CROQUIS_DATOS!$C$1504))-(CROQUIS_DATOS!$C$1503))+((CROQUIS_DATOS!$C$1476)*CROQUIS_DATOS!$C$1561-(0)*CROQUIS_DATOS!$C$1561))/CROQUIS_DATOS!$C$1568-0.000001)))*CROQUIS_DATOS!$C$1568))))*CROQUIS_DATOS!$C$1565),-1000)</f>
        <v>29.2620689655172</v>
      </c>
      <c r="CD19">
        <f>IF(AND(CROQUIS_DATOS!$C$1472=1,CROQUIS_DATOS!$C$1508&gt;0,((CROQUIS_DATOS!$C$1507+CROQUIS_DATOS!$C$1508))-(CROQUIS_DATOS!$C$1507)&gt;0.5,(CROQUIS_DATOS!$C$1476)-(0)&gt;0.5),(CROQUIS_DATOS!$C$1566+(IF(IF(MOD(MIN(INT(($A19-1)/2)+1,MAX(1,INT(((((CROQUIS_DATOS!$C$1507+CROQUIS_DATOS!$C$1508))-(CROQUIS_DATOS!$C$1507))+((CROQUIS_DATOS!$C$1476)*CROQUIS_DATOS!$C$1561-(0)*CROQUIS_DATOS!$C$1561))/CROQUIS_DATOS!$C$1568-0.000001))),2)=1,IF(INT(($A19-1)/2)+1&gt;MAX(1,INT(((((CROQUIS_DATOS!$C$1507+CROQUIS_DATOS!$C$1508))-(CROQUIS_DATOS!$C$1507))+((CROQUIS_DATOS!$C$1476)*CROQUIS_DATOS!$C$1561-(0)*CROQUIS_DATOS!$C$1561))/CROQUIS_DATOS!$C$1568-0.000001)),1,MOD($A19-1,2)),1-IF(INT(($A19-1)/2)+1&gt;MAX(1,INT(((((CROQUIS_DATOS!$C$1507+CROQUIS_DATOS!$C$1508))-(CROQUIS_DATOS!$C$1507))+((CROQUIS_DATOS!$C$1476)*CROQUIS_DATOS!$C$1561-(0)*CROQUIS_DATOS!$C$1561))/CROQUIS_DATOS!$C$1568-0.000001)),1,MOD($A19-1,2)))=1,MIN((CROQUIS_DATOS!$C$1476)*CROQUIS_DATOS!$C$1561,((CROQUIS_DATOS!$C$1507+CROQUIS_DATOS!$C$1508)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19">
        <f>IF(AND(CROQUIS_DATOS!$C$1472=1,CROQUIS_DATOS!$C$1508&gt;0,((CROQUIS_DATOS!$C$1507+CROQUIS_DATOS!$C$1508))-(CROQUIS_DATOS!$C$1507)&gt;0.5,(CROQUIS_DATOS!$C$1476)-(0)&gt;0.5),(CROQUIS_DATOS!$C$1567+(IF(IF(MOD(MIN(INT(($A19-1)/2)+1,MAX(1,INT(((((CROQUIS_DATOS!$C$1507+CROQUIS_DATOS!$C$1508))-(CROQUIS_DATOS!$C$1507))+((CROQUIS_DATOS!$C$1476)*CROQUIS_DATOS!$C$1561-(0)*CROQUIS_DATOS!$C$1561))/CROQUIS_DATOS!$C$1568-0.000001))),2)=1,IF(INT(($A19-1)/2)+1&gt;MAX(1,INT(((((CROQUIS_DATOS!$C$1507+CROQUIS_DATOS!$C$1508))-(CROQUIS_DATOS!$C$1507))+((CROQUIS_DATOS!$C$1476)*CROQUIS_DATOS!$C$1561-(0)*CROQUIS_DATOS!$C$1561))/CROQUIS_DATOS!$C$1568-0.000001)),1,MOD($A19-1,2)),1-IF(INT(($A19-1)/2)+1&gt;MAX(1,INT(((((CROQUIS_DATOS!$C$1507+CROQUIS_DATOS!$C$1508))-(CROQUIS_DATOS!$C$1507))+((CROQUIS_DATOS!$C$1476)*CROQUIS_DATOS!$C$1561-(0)*CROQUIS_DATOS!$C$1561))/CROQUIS_DATOS!$C$1568-0.000001)),1,MOD($A19-1,2)))=1,MIN((CROQUIS_DATOS!$C$1476)*CROQUIS_DATOS!$C$1561,((CROQUIS_DATOS!$C$1507+CROQUIS_DATOS!$C$1508)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19-1)/2)+1,MAX(1,INT(((((CROQUIS_DATOS!$C$1507+CROQUIS_DATOS!$C$1508))-(CROQUIS_DATOS!$C$1507))+((CROQUIS_DATOS!$C$1476)*CROQUIS_DATOS!$C$1561-(0)*CROQUIS_DATOS!$C$1561))/CROQUIS_DATOS!$C$1568-0.000001)))*CROQUIS_DATOS!$C$1568))))*CROQUIS_DATOS!$C$1565),-1000)</f>
        <v>29.2620689655172</v>
      </c>
      <c r="CF19">
        <f>IF(AND(CROQUIS_DATOS!$C$1472=1,CROQUIS_DATOS!$C$1512&gt;0,((CROQUIS_DATOS!$C$1511+CROQUIS_DATOS!$C$1512))-(CROQUIS_DATOS!$C$1511)&gt;0.5,(CROQUIS_DATOS!$C$1476)-(0)&gt;0.5),(CROQUIS_DATOS!$C$1566+(IF(IF(MOD(MIN(INT(($A19-1)/2)+1,MAX(1,INT(((((CROQUIS_DATOS!$C$1511+CROQUIS_DATOS!$C$1512))-(CROQUIS_DATOS!$C$1511))+((CROQUIS_DATOS!$C$1476)*CROQUIS_DATOS!$C$1561-(0)*CROQUIS_DATOS!$C$1561))/CROQUIS_DATOS!$C$1568-0.000001))),2)=1,IF(INT(($A19-1)/2)+1&gt;MAX(1,INT(((((CROQUIS_DATOS!$C$1511+CROQUIS_DATOS!$C$1512))-(CROQUIS_DATOS!$C$1511))+((CROQUIS_DATOS!$C$1476)*CROQUIS_DATOS!$C$1561-(0)*CROQUIS_DATOS!$C$1561))/CROQUIS_DATOS!$C$1568-0.000001)),1,MOD($A19-1,2)),1-IF(INT(($A19-1)/2)+1&gt;MAX(1,INT(((((CROQUIS_DATOS!$C$1511+CROQUIS_DATOS!$C$1512))-(CROQUIS_DATOS!$C$1511))+((CROQUIS_DATOS!$C$1476)*CROQUIS_DATOS!$C$1561-(0)*CROQUIS_DATOS!$C$1561))/CROQUIS_DATOS!$C$1568-0.000001)),1,MOD($A19-1,2)))=1,MIN((CROQUIS_DATOS!$C$1476)*CROQUIS_DATOS!$C$1561,((CROQUIS_DATOS!$C$1511+CROQUIS_DATOS!$C$1512)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9">
        <f>IF(AND(CROQUIS_DATOS!$C$1472=1,CROQUIS_DATOS!$C$1512&gt;0,((CROQUIS_DATOS!$C$1511+CROQUIS_DATOS!$C$1512))-(CROQUIS_DATOS!$C$1511)&gt;0.5,(CROQUIS_DATOS!$C$1476)-(0)&gt;0.5),(CROQUIS_DATOS!$C$1567+(IF(IF(MOD(MIN(INT(($A19-1)/2)+1,MAX(1,INT(((((CROQUIS_DATOS!$C$1511+CROQUIS_DATOS!$C$1512))-(CROQUIS_DATOS!$C$1511))+((CROQUIS_DATOS!$C$1476)*CROQUIS_DATOS!$C$1561-(0)*CROQUIS_DATOS!$C$1561))/CROQUIS_DATOS!$C$1568-0.000001))),2)=1,IF(INT(($A19-1)/2)+1&gt;MAX(1,INT(((((CROQUIS_DATOS!$C$1511+CROQUIS_DATOS!$C$1512))-(CROQUIS_DATOS!$C$1511))+((CROQUIS_DATOS!$C$1476)*CROQUIS_DATOS!$C$1561-(0)*CROQUIS_DATOS!$C$1561))/CROQUIS_DATOS!$C$1568-0.000001)),1,MOD($A19-1,2)),1-IF(INT(($A19-1)/2)+1&gt;MAX(1,INT(((((CROQUIS_DATOS!$C$1511+CROQUIS_DATOS!$C$1512))-(CROQUIS_DATOS!$C$1511))+((CROQUIS_DATOS!$C$1476)*CROQUIS_DATOS!$C$1561-(0)*CROQUIS_DATOS!$C$1561))/CROQUIS_DATOS!$C$1568-0.000001)),1,MOD($A19-1,2)))=1,MIN((CROQUIS_DATOS!$C$1476)*CROQUIS_DATOS!$C$1561,((CROQUIS_DATOS!$C$1511+CROQUIS_DATOS!$C$1512)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9">
        <f>IF(AND(CROQUIS_DATOS!$C$1472=1,CROQUIS_DATOS!$C$1516&gt;0,((CROQUIS_DATOS!$C$1515+CROQUIS_DATOS!$C$1516))-(CROQUIS_DATOS!$C$1515)&gt;0.5,(CROQUIS_DATOS!$C$1476)-(0)&gt;0.5),(CROQUIS_DATOS!$C$1566+(IF(IF(MOD(MIN(INT(($A19-1)/2)+1,MAX(1,INT(((((CROQUIS_DATOS!$C$1515+CROQUIS_DATOS!$C$1516))-(CROQUIS_DATOS!$C$1515))+((CROQUIS_DATOS!$C$1476)*CROQUIS_DATOS!$C$1561-(0)*CROQUIS_DATOS!$C$1561))/CROQUIS_DATOS!$C$1568-0.000001))),2)=1,IF(INT(($A19-1)/2)+1&gt;MAX(1,INT(((((CROQUIS_DATOS!$C$1515+CROQUIS_DATOS!$C$1516))-(CROQUIS_DATOS!$C$1515))+((CROQUIS_DATOS!$C$1476)*CROQUIS_DATOS!$C$1561-(0)*CROQUIS_DATOS!$C$1561))/CROQUIS_DATOS!$C$1568-0.000001)),1,MOD($A19-1,2)),1-IF(INT(($A19-1)/2)+1&gt;MAX(1,INT(((((CROQUIS_DATOS!$C$1515+CROQUIS_DATOS!$C$1516))-(CROQUIS_DATOS!$C$1515))+((CROQUIS_DATOS!$C$1476)*CROQUIS_DATOS!$C$1561-(0)*CROQUIS_DATOS!$C$1561))/CROQUIS_DATOS!$C$1568-0.000001)),1,MOD($A19-1,2)))=1,MIN((CROQUIS_DATOS!$C$1476)*CROQUIS_DATOS!$C$1561,((CROQUIS_DATOS!$C$1515+CROQUIS_DATOS!$C$1516)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9">
        <f>IF(AND(CROQUIS_DATOS!$C$1472=1,CROQUIS_DATOS!$C$1516&gt;0,((CROQUIS_DATOS!$C$1515+CROQUIS_DATOS!$C$1516))-(CROQUIS_DATOS!$C$1515)&gt;0.5,(CROQUIS_DATOS!$C$1476)-(0)&gt;0.5),(CROQUIS_DATOS!$C$1567+(IF(IF(MOD(MIN(INT(($A19-1)/2)+1,MAX(1,INT(((((CROQUIS_DATOS!$C$1515+CROQUIS_DATOS!$C$1516))-(CROQUIS_DATOS!$C$1515))+((CROQUIS_DATOS!$C$1476)*CROQUIS_DATOS!$C$1561-(0)*CROQUIS_DATOS!$C$1561))/CROQUIS_DATOS!$C$1568-0.000001))),2)=1,IF(INT(($A19-1)/2)+1&gt;MAX(1,INT(((((CROQUIS_DATOS!$C$1515+CROQUIS_DATOS!$C$1516))-(CROQUIS_DATOS!$C$1515))+((CROQUIS_DATOS!$C$1476)*CROQUIS_DATOS!$C$1561-(0)*CROQUIS_DATOS!$C$1561))/CROQUIS_DATOS!$C$1568-0.000001)),1,MOD($A19-1,2)),1-IF(INT(($A19-1)/2)+1&gt;MAX(1,INT(((((CROQUIS_DATOS!$C$1515+CROQUIS_DATOS!$C$1516))-(CROQUIS_DATOS!$C$1515))+((CROQUIS_DATOS!$C$1476)*CROQUIS_DATOS!$C$1561-(0)*CROQUIS_DATOS!$C$1561))/CROQUIS_DATOS!$C$1568-0.000001)),1,MOD($A19-1,2)))=1,MIN((CROQUIS_DATOS!$C$1476)*CROQUIS_DATOS!$C$1561,((CROQUIS_DATOS!$C$1515+CROQUIS_DATOS!$C$1516)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9">
        <f>IF(AND(CROQUIS_DATOS!$C$1472=1,CROQUIS_DATOS!$C$1478&gt;=1,((CROQUIS_DATOS!$C$1479+CROQUIS_DATOS!$C$1480))-(CROQUIS_DATOS!$C$1479)&gt;0.5,(CROQUIS_DATOS!$C$1481)-(0)&gt;0.5),(CROQUIS_DATOS!$C$1566+(IF(IF(MOD(MIN(INT(($A19-1)/2)+1,MAX(1,INT(((((CROQUIS_DATOS!$C$1479+CROQUIS_DATOS!$C$1480))-(CROQUIS_DATOS!$C$1479))+((CROQUIS_DATOS!$C$1481)*CROQUIS_DATOS!$C$1561-(0)*CROQUIS_DATOS!$C$1561))/CROQUIS_DATOS!$C$1568-0.000001))),2)=1,IF(INT(($A19-1)/2)+1&gt;MAX(1,INT(((((CROQUIS_DATOS!$C$1479+CROQUIS_DATOS!$C$1480))-(CROQUIS_DATOS!$C$1479))+((CROQUIS_DATOS!$C$1481)*CROQUIS_DATOS!$C$1561-(0)*CROQUIS_DATOS!$C$1561))/CROQUIS_DATOS!$C$1568-0.000001)),1,MOD($A19-1,2)),1-IF(INT(($A19-1)/2)+1&gt;MAX(1,INT(((((CROQUIS_DATOS!$C$1479+CROQUIS_DATOS!$C$1480))-(CROQUIS_DATOS!$C$1479))+((CROQUIS_DATOS!$C$1481)*CROQUIS_DATOS!$C$1561-(0)*CROQUIS_DATOS!$C$1561))/CROQUIS_DATOS!$C$1568-0.000001)),1,MOD($A19-1,2)))=1,MIN((CROQUIS_DATOS!$C$1481)*CROQUIS_DATOS!$C$1561,((CROQUIS_DATOS!$C$1479+CROQUIS_DATOS!$C$1480)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9">
        <f>IF(AND(CROQUIS_DATOS!$C$1472=1,CROQUIS_DATOS!$C$1478&gt;=1,((CROQUIS_DATOS!$C$1479+CROQUIS_DATOS!$C$1480))-(CROQUIS_DATOS!$C$1479)&gt;0.5,(CROQUIS_DATOS!$C$1481)-(0)&gt;0.5),(CROQUIS_DATOS!$C$1567+(IF(IF(MOD(MIN(INT(($A19-1)/2)+1,MAX(1,INT(((((CROQUIS_DATOS!$C$1479+CROQUIS_DATOS!$C$1480))-(CROQUIS_DATOS!$C$1479))+((CROQUIS_DATOS!$C$1481)*CROQUIS_DATOS!$C$1561-(0)*CROQUIS_DATOS!$C$1561))/CROQUIS_DATOS!$C$1568-0.000001))),2)=1,IF(INT(($A19-1)/2)+1&gt;MAX(1,INT(((((CROQUIS_DATOS!$C$1479+CROQUIS_DATOS!$C$1480))-(CROQUIS_DATOS!$C$1479))+((CROQUIS_DATOS!$C$1481)*CROQUIS_DATOS!$C$1561-(0)*CROQUIS_DATOS!$C$1561))/CROQUIS_DATOS!$C$1568-0.000001)),1,MOD($A19-1,2)),1-IF(INT(($A19-1)/2)+1&gt;MAX(1,INT(((((CROQUIS_DATOS!$C$1479+CROQUIS_DATOS!$C$1480))-(CROQUIS_DATOS!$C$1479))+((CROQUIS_DATOS!$C$1481)*CROQUIS_DATOS!$C$1561-(0)*CROQUIS_DATOS!$C$1561))/CROQUIS_DATOS!$C$1568-0.000001)),1,MOD($A19-1,2)))=1,MIN((CROQUIS_DATOS!$C$1481)*CROQUIS_DATOS!$C$1561,((CROQUIS_DATOS!$C$1479+CROQUIS_DATOS!$C$1480)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9">
        <f>IF(AND(CROQUIS_DATOS!$C$1472=1,CROQUIS_DATOS!$C$1478&gt;=1,((CROQUIS_DATOS!$C$1479+CROQUIS_DATOS!$C$1480))-(CROQUIS_DATOS!$C$1479)&gt;0.5,(CROQUIS_DATOS!$C$1476)-((CROQUIS_DATOS!$C$1481+CROQUIS_DATOS!$C$1482))&gt;0.5),(CROQUIS_DATOS!$C$1566+(IF(IF(MOD(MIN(INT(($A19-1)/2)+1,MAX(1,INT(((((CROQUIS_DATOS!$C$1479+CROQUIS_DATOS!$C$1480))-(CROQUIS_DATOS!$C$1479))+((CROQUIS_DATOS!$C$1476)*CROQUIS_DATOS!$C$1561-((CROQUIS_DATOS!$C$1481+CROQUIS_DATOS!$C$1482))*CROQUIS_DATOS!$C$1561))/CROQUIS_DATOS!$C$1568-0.000001))),2)=1,IF(INT(($A19-1)/2)+1&gt;MAX(1,INT(((((CROQUIS_DATOS!$C$1479+CROQUIS_DATOS!$C$1480))-(CROQUIS_DATOS!$C$1479))+((CROQUIS_DATOS!$C$1476)*CROQUIS_DATOS!$C$1561-((CROQUIS_DATOS!$C$1481+CROQUIS_DATOS!$C$1482))*CROQUIS_DATOS!$C$1561))/CROQUIS_DATOS!$C$1568-0.000001)),1,MOD($A19-1,2)),1-IF(INT(($A19-1)/2)+1&gt;MAX(1,INT(((((CROQUIS_DATOS!$C$1479+CROQUIS_DATOS!$C$1480))-(CROQUIS_DATOS!$C$1479))+((CROQUIS_DATOS!$C$1476)*CROQUIS_DATOS!$C$1561-((CROQUIS_DATOS!$C$1481+CROQUIS_DATOS!$C$1482))*CROQUIS_DATOS!$C$1561))/CROQUIS_DATOS!$C$1568-0.000001)),1,MOD($A19-1,2)))=1,MIN((CROQUIS_DATOS!$C$1476)*CROQUIS_DATOS!$C$1561,((CROQUIS_DATOS!$C$1479+CROQUIS_DATOS!$C$1480)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33.8758620689655</v>
      </c>
      <c r="CM19">
        <f>IF(AND(CROQUIS_DATOS!$C$1472=1,CROQUIS_DATOS!$C$1478&gt;=1,((CROQUIS_DATOS!$C$1479+CROQUIS_DATOS!$C$1480))-(CROQUIS_DATOS!$C$1479)&gt;0.5,(CROQUIS_DATOS!$C$1476)-((CROQUIS_DATOS!$C$1481+CROQUIS_DATOS!$C$1482))&gt;0.5),(CROQUIS_DATOS!$C$1567+(IF(IF(MOD(MIN(INT(($A19-1)/2)+1,MAX(1,INT(((((CROQUIS_DATOS!$C$1479+CROQUIS_DATOS!$C$1480))-(CROQUIS_DATOS!$C$1479))+((CROQUIS_DATOS!$C$1476)*CROQUIS_DATOS!$C$1561-((CROQUIS_DATOS!$C$1481+CROQUIS_DATOS!$C$1482))*CROQUIS_DATOS!$C$1561))/CROQUIS_DATOS!$C$1568-0.000001))),2)=1,IF(INT(($A19-1)/2)+1&gt;MAX(1,INT(((((CROQUIS_DATOS!$C$1479+CROQUIS_DATOS!$C$1480))-(CROQUIS_DATOS!$C$1479))+((CROQUIS_DATOS!$C$1476)*CROQUIS_DATOS!$C$1561-((CROQUIS_DATOS!$C$1481+CROQUIS_DATOS!$C$1482))*CROQUIS_DATOS!$C$1561))/CROQUIS_DATOS!$C$1568-0.000001)),1,MOD($A19-1,2)),1-IF(INT(($A19-1)/2)+1&gt;MAX(1,INT(((((CROQUIS_DATOS!$C$1479+CROQUIS_DATOS!$C$1480))-(CROQUIS_DATOS!$C$1479))+((CROQUIS_DATOS!$C$1476)*CROQUIS_DATOS!$C$1561-((CROQUIS_DATOS!$C$1481+CROQUIS_DATOS!$C$1482))*CROQUIS_DATOS!$C$1561))/CROQUIS_DATOS!$C$1568-0.000001)),1,MOD($A19-1,2)))=1,MIN((CROQUIS_DATOS!$C$1476)*CROQUIS_DATOS!$C$1561,((CROQUIS_DATOS!$C$1479+CROQUIS_DATOS!$C$1480)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9">
        <f>IF(AND(CROQUIS_DATOS!$C$1472=1,CROQUIS_DATOS!$C$1478&gt;=2,((CROQUIS_DATOS!$C$1484+CROQUIS_DATOS!$C$1485))-(CROQUIS_DATOS!$C$1484)&gt;0.5,(CROQUIS_DATOS!$C$1486)-(0)&gt;0.5),(CROQUIS_DATOS!$C$1566+(IF(IF(MOD(MIN(INT(($A19-1)/2)+1,MAX(1,INT(((((CROQUIS_DATOS!$C$1484+CROQUIS_DATOS!$C$1485))-(CROQUIS_DATOS!$C$1484))+((CROQUIS_DATOS!$C$1486)*CROQUIS_DATOS!$C$1561-(0)*CROQUIS_DATOS!$C$1561))/CROQUIS_DATOS!$C$1568-0.000001))),2)=1,IF(INT(($A19-1)/2)+1&gt;MAX(1,INT(((((CROQUIS_DATOS!$C$1484+CROQUIS_DATOS!$C$1485))-(CROQUIS_DATOS!$C$1484))+((CROQUIS_DATOS!$C$1486)*CROQUIS_DATOS!$C$1561-(0)*CROQUIS_DATOS!$C$1561))/CROQUIS_DATOS!$C$1568-0.000001)),1,MOD($A19-1,2)),1-IF(INT(($A19-1)/2)+1&gt;MAX(1,INT(((((CROQUIS_DATOS!$C$1484+CROQUIS_DATOS!$C$1485))-(CROQUIS_DATOS!$C$1484))+((CROQUIS_DATOS!$C$1486)*CROQUIS_DATOS!$C$1561-(0)*CROQUIS_DATOS!$C$1561))/CROQUIS_DATOS!$C$1568-0.000001)),1,MOD($A19-1,2)))=1,MIN((CROQUIS_DATOS!$C$1486)*CROQUIS_DATOS!$C$1561,((CROQUIS_DATOS!$C$1484+CROQUIS_DATOS!$C$1485)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*CROQUIS_DATOS!$C$1565),-1000)</f>
        <v>48.8620689655172</v>
      </c>
      <c r="CS19">
        <f>IF(AND(CROQUIS_DATOS!$C$1472=1,CROQUIS_DATOS!$C$1478&gt;=2,((CROQUIS_DATOS!$C$1484+CROQUIS_DATOS!$C$1485))-(CROQUIS_DATOS!$C$1484)&gt;0.5,(CROQUIS_DATOS!$C$1486)-(0)&gt;0.5),(CROQUIS_DATOS!$C$1567+(IF(IF(MOD(MIN(INT(($A19-1)/2)+1,MAX(1,INT(((((CROQUIS_DATOS!$C$1484+CROQUIS_DATOS!$C$1485))-(CROQUIS_DATOS!$C$1484))+((CROQUIS_DATOS!$C$1486)*CROQUIS_DATOS!$C$1561-(0)*CROQUIS_DATOS!$C$1561))/CROQUIS_DATOS!$C$1568-0.000001))),2)=1,IF(INT(($A19-1)/2)+1&gt;MAX(1,INT(((((CROQUIS_DATOS!$C$1484+CROQUIS_DATOS!$C$1485))-(CROQUIS_DATOS!$C$1484))+((CROQUIS_DATOS!$C$1486)*CROQUIS_DATOS!$C$1561-(0)*CROQUIS_DATOS!$C$1561))/CROQUIS_DATOS!$C$1568-0.000001)),1,MOD($A19-1,2)),1-IF(INT(($A19-1)/2)+1&gt;MAX(1,INT(((((CROQUIS_DATOS!$C$1484+CROQUIS_DATOS!$C$1485))-(CROQUIS_DATOS!$C$1484))+((CROQUIS_DATOS!$C$1486)*CROQUIS_DATOS!$C$1561-(0)*CROQUIS_DATOS!$C$1561))/CROQUIS_DATOS!$C$1568-0.000001)),1,MOD($A19-1,2)))=1,MIN((CROQUIS_DATOS!$C$1486)*CROQUIS_DATOS!$C$1561,((CROQUIS_DATOS!$C$1484+CROQUIS_DATOS!$C$1485)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19-1)/2)+1,MAX(1,INT(((((CROQUIS_DATOS!$C$1484+CROQUIS_DATOS!$C$1485))-(CROQUIS_DATOS!$C$1484))+((CROQUIS_DATOS!$C$1486)*CROQUIS_DATOS!$C$1561-(0)*CROQUIS_DATOS!$C$1561))/CROQUIS_DATOS!$C$1568-0.000001)))*CROQUIS_DATOS!$C$1568))))*CROQUIS_DATOS!$C$1565),-1000)</f>
        <v>12.1586206896552</v>
      </c>
      <c r="CT19">
        <f>IF(AND(CROQUIS_DATOS!$C$1472=1,CROQUIS_DATOS!$C$1478&gt;=2,((CROQUIS_DATOS!$C$1484+CROQUIS_DATOS!$C$1485))-(CROQUIS_DATOS!$C$1484)&gt;0.5,(CROQUIS_DATOS!$C$1476)-((CROQUIS_DATOS!$C$1486+CROQUIS_DATOS!$C$1487))&gt;0.5),(CROQUIS_DATOS!$C$1566+(IF(IF(MOD(MIN(INT(($A19-1)/2)+1,MAX(1,INT(((((CROQUIS_DATOS!$C$1484+CROQUIS_DATOS!$C$1485))-(CROQUIS_DATOS!$C$1484))+((CROQUIS_DATOS!$C$1476)*CROQUIS_DATOS!$C$1561-((CROQUIS_DATOS!$C$1486+CROQUIS_DATOS!$C$1487))*CROQUIS_DATOS!$C$1561))/CROQUIS_DATOS!$C$1568-0.000001))),2)=1,IF(INT(($A19-1)/2)+1&gt;MAX(1,INT(((((CROQUIS_DATOS!$C$1484+CROQUIS_DATOS!$C$1485))-(CROQUIS_DATOS!$C$1484))+((CROQUIS_DATOS!$C$1476)*CROQUIS_DATOS!$C$1561-((CROQUIS_DATOS!$C$1486+CROQUIS_DATOS!$C$1487))*CROQUIS_DATOS!$C$1561))/CROQUIS_DATOS!$C$1568-0.000001)),1,MOD($A19-1,2)),1-IF(INT(($A19-1)/2)+1&gt;MAX(1,INT(((((CROQUIS_DATOS!$C$1484+CROQUIS_DATOS!$C$1485))-(CROQUIS_DATOS!$C$1484))+((CROQUIS_DATOS!$C$1476)*CROQUIS_DATOS!$C$1561-((CROQUIS_DATOS!$C$1486+CROQUIS_DATOS!$C$1487))*CROQUIS_DATOS!$C$1561))/CROQUIS_DATOS!$C$1568-0.000001)),1,MOD($A19-1,2)))=1,MIN((CROQUIS_DATOS!$C$1476)*CROQUIS_DATOS!$C$1561,((CROQUIS_DATOS!$C$1484+CROQUIS_DATOS!$C$1485)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54.1862068965517</v>
      </c>
      <c r="CU19">
        <f>IF(AND(CROQUIS_DATOS!$C$1472=1,CROQUIS_DATOS!$C$1478&gt;=2,((CROQUIS_DATOS!$C$1484+CROQUIS_DATOS!$C$1485))-(CROQUIS_DATOS!$C$1484)&gt;0.5,(CROQUIS_DATOS!$C$1476)-((CROQUIS_DATOS!$C$1486+CROQUIS_DATOS!$C$1487))&gt;0.5),(CROQUIS_DATOS!$C$1567+(IF(IF(MOD(MIN(INT(($A19-1)/2)+1,MAX(1,INT(((((CROQUIS_DATOS!$C$1484+CROQUIS_DATOS!$C$1485))-(CROQUIS_DATOS!$C$1484))+((CROQUIS_DATOS!$C$1476)*CROQUIS_DATOS!$C$1561-((CROQUIS_DATOS!$C$1486+CROQUIS_DATOS!$C$1487))*CROQUIS_DATOS!$C$1561))/CROQUIS_DATOS!$C$1568-0.000001))),2)=1,IF(INT(($A19-1)/2)+1&gt;MAX(1,INT(((((CROQUIS_DATOS!$C$1484+CROQUIS_DATOS!$C$1485))-(CROQUIS_DATOS!$C$1484))+((CROQUIS_DATOS!$C$1476)*CROQUIS_DATOS!$C$1561-((CROQUIS_DATOS!$C$1486+CROQUIS_DATOS!$C$1487))*CROQUIS_DATOS!$C$1561))/CROQUIS_DATOS!$C$1568-0.000001)),1,MOD($A19-1,2)),1-IF(INT(($A19-1)/2)+1&gt;MAX(1,INT(((((CROQUIS_DATOS!$C$1484+CROQUIS_DATOS!$C$1485))-(CROQUIS_DATOS!$C$1484))+((CROQUIS_DATOS!$C$1476)*CROQUIS_DATOS!$C$1561-((CROQUIS_DATOS!$C$1486+CROQUIS_DATOS!$C$1487))*CROQUIS_DATOS!$C$1561))/CROQUIS_DATOS!$C$1568-0.000001)),1,MOD($A19-1,2)))=1,MIN((CROQUIS_DATOS!$C$1476)*CROQUIS_DATOS!$C$1561,((CROQUIS_DATOS!$C$1484+CROQUIS_DATOS!$C$1485)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9">
        <f>IF(AND(CROQUIS_DATOS!$C$1472=1,CROQUIS_DATOS!$C$1478&gt;=3,((CROQUIS_DATOS!$C$1489+CROQUIS_DATOS!$C$1490))-(CROQUIS_DATOS!$C$1489)&gt;0.5,(CROQUIS_DATOS!$C$1491)-(0)&gt;0.5),(CROQUIS_DATOS!$C$1566+(IF(IF(MOD(MIN(INT(($A19-1)/2)+1,MAX(1,INT(((((CROQUIS_DATOS!$C$1489+CROQUIS_DATOS!$C$1490))-(CROQUIS_DATOS!$C$1489))+((CROQUIS_DATOS!$C$1491)*CROQUIS_DATOS!$C$1561-(0)*CROQUIS_DATOS!$C$1561))/CROQUIS_DATOS!$C$1568-0.000001))),2)=1,IF(INT(($A19-1)/2)+1&gt;MAX(1,INT(((((CROQUIS_DATOS!$C$1489+CROQUIS_DATOS!$C$1490))-(CROQUIS_DATOS!$C$1489))+((CROQUIS_DATOS!$C$1491)*CROQUIS_DATOS!$C$1561-(0)*CROQUIS_DATOS!$C$1561))/CROQUIS_DATOS!$C$1568-0.000001)),1,MOD($A19-1,2)),1-IF(INT(($A19-1)/2)+1&gt;MAX(1,INT(((((CROQUIS_DATOS!$C$1489+CROQUIS_DATOS!$C$1490))-(CROQUIS_DATOS!$C$1489))+((CROQUIS_DATOS!$C$1491)*CROQUIS_DATOS!$C$1561-(0)*CROQUIS_DATOS!$C$1561))/CROQUIS_DATOS!$C$1568-0.000001)),1,MOD($A19-1,2)))=1,MIN((CROQUIS_DATOS!$C$1491)*CROQUIS_DATOS!$C$1561,((CROQUIS_DATOS!$C$1489+CROQUIS_DATOS!$C$1490)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9">
        <f>IF(AND(CROQUIS_DATOS!$C$1472=1,CROQUIS_DATOS!$C$1478&gt;=3,((CROQUIS_DATOS!$C$1489+CROQUIS_DATOS!$C$1490))-(CROQUIS_DATOS!$C$1489)&gt;0.5,(CROQUIS_DATOS!$C$1491)-(0)&gt;0.5),(CROQUIS_DATOS!$C$1567+(IF(IF(MOD(MIN(INT(($A19-1)/2)+1,MAX(1,INT(((((CROQUIS_DATOS!$C$1489+CROQUIS_DATOS!$C$1490))-(CROQUIS_DATOS!$C$1489))+((CROQUIS_DATOS!$C$1491)*CROQUIS_DATOS!$C$1561-(0)*CROQUIS_DATOS!$C$1561))/CROQUIS_DATOS!$C$1568-0.000001))),2)=1,IF(INT(($A19-1)/2)+1&gt;MAX(1,INT(((((CROQUIS_DATOS!$C$1489+CROQUIS_DATOS!$C$1490))-(CROQUIS_DATOS!$C$1489))+((CROQUIS_DATOS!$C$1491)*CROQUIS_DATOS!$C$1561-(0)*CROQUIS_DATOS!$C$1561))/CROQUIS_DATOS!$C$1568-0.000001)),1,MOD($A19-1,2)),1-IF(INT(($A19-1)/2)+1&gt;MAX(1,INT(((((CROQUIS_DATOS!$C$1489+CROQUIS_DATOS!$C$1490))-(CROQUIS_DATOS!$C$1489))+((CROQUIS_DATOS!$C$1491)*CROQUIS_DATOS!$C$1561-(0)*CROQUIS_DATOS!$C$1561))/CROQUIS_DATOS!$C$1568-0.000001)),1,MOD($A19-1,2)))=1,MIN((CROQUIS_DATOS!$C$1491)*CROQUIS_DATOS!$C$1561,((CROQUIS_DATOS!$C$1489+CROQUIS_DATOS!$C$1490)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9">
        <f>IF(AND(CROQUIS_DATOS!$C$1472=1,CROQUIS_DATOS!$C$1478&gt;=3,((CROQUIS_DATOS!$C$1489+CROQUIS_DATOS!$C$1490))-(CROQUIS_DATOS!$C$1489)&gt;0.5,(CROQUIS_DATOS!$C$1476)-((CROQUIS_DATOS!$C$1491+CROQUIS_DATOS!$C$1492))&gt;0.5),(CROQUIS_DATOS!$C$1566+(IF(IF(MOD(MIN(INT(($A19-1)/2)+1,MAX(1,INT(((((CROQUIS_DATOS!$C$1489+CROQUIS_DATOS!$C$1490))-(CROQUIS_DATOS!$C$1489))+((CROQUIS_DATOS!$C$1476)*CROQUIS_DATOS!$C$1561-((CROQUIS_DATOS!$C$1491+CROQUIS_DATOS!$C$1492))*CROQUIS_DATOS!$C$1561))/CROQUIS_DATOS!$C$1568-0.000001))),2)=1,IF(INT(($A19-1)/2)+1&gt;MAX(1,INT(((((CROQUIS_DATOS!$C$1489+CROQUIS_DATOS!$C$1490))-(CROQUIS_DATOS!$C$1489))+((CROQUIS_DATOS!$C$1476)*CROQUIS_DATOS!$C$1561-((CROQUIS_DATOS!$C$1491+CROQUIS_DATOS!$C$1492))*CROQUIS_DATOS!$C$1561))/CROQUIS_DATOS!$C$1568-0.000001)),1,MOD($A19-1,2)),1-IF(INT(($A19-1)/2)+1&gt;MAX(1,INT(((((CROQUIS_DATOS!$C$1489+CROQUIS_DATOS!$C$1490))-(CROQUIS_DATOS!$C$1489))+((CROQUIS_DATOS!$C$1476)*CROQUIS_DATOS!$C$1561-((CROQUIS_DATOS!$C$1491+CROQUIS_DATOS!$C$1492))*CROQUIS_DATOS!$C$1561))/CROQUIS_DATOS!$C$1568-0.000001)),1,MOD($A19-1,2)))=1,MIN((CROQUIS_DATOS!$C$1476)*CROQUIS_DATOS!$C$1561,((CROQUIS_DATOS!$C$1489+CROQUIS_DATOS!$C$1490)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9">
        <f>IF(AND(CROQUIS_DATOS!$C$1472=1,CROQUIS_DATOS!$C$1478&gt;=3,((CROQUIS_DATOS!$C$1489+CROQUIS_DATOS!$C$1490))-(CROQUIS_DATOS!$C$1489)&gt;0.5,(CROQUIS_DATOS!$C$1476)-((CROQUIS_DATOS!$C$1491+CROQUIS_DATOS!$C$1492))&gt;0.5),(CROQUIS_DATOS!$C$1567+(IF(IF(MOD(MIN(INT(($A19-1)/2)+1,MAX(1,INT(((((CROQUIS_DATOS!$C$1489+CROQUIS_DATOS!$C$1490))-(CROQUIS_DATOS!$C$1489))+((CROQUIS_DATOS!$C$1476)*CROQUIS_DATOS!$C$1561-((CROQUIS_DATOS!$C$1491+CROQUIS_DATOS!$C$1492))*CROQUIS_DATOS!$C$1561))/CROQUIS_DATOS!$C$1568-0.000001))),2)=1,IF(INT(($A19-1)/2)+1&gt;MAX(1,INT(((((CROQUIS_DATOS!$C$1489+CROQUIS_DATOS!$C$1490))-(CROQUIS_DATOS!$C$1489))+((CROQUIS_DATOS!$C$1476)*CROQUIS_DATOS!$C$1561-((CROQUIS_DATOS!$C$1491+CROQUIS_DATOS!$C$1492))*CROQUIS_DATOS!$C$1561))/CROQUIS_DATOS!$C$1568-0.000001)),1,MOD($A19-1,2)),1-IF(INT(($A19-1)/2)+1&gt;MAX(1,INT(((((CROQUIS_DATOS!$C$1489+CROQUIS_DATOS!$C$1490))-(CROQUIS_DATOS!$C$1489))+((CROQUIS_DATOS!$C$1476)*CROQUIS_DATOS!$C$1561-((CROQUIS_DATOS!$C$1491+CROQUIS_DATOS!$C$1492))*CROQUIS_DATOS!$C$1561))/CROQUIS_DATOS!$C$1568-0.000001)),1,MOD($A19-1,2)))=1,MIN((CROQUIS_DATOS!$C$1476)*CROQUIS_DATOS!$C$1561,((CROQUIS_DATOS!$C$1489+CROQUIS_DATOS!$C$1490)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9">
        <f>IF(AND(CROQUIS_DATOS!$C$1472=1,CROQUIS_DATOS!$C$1478&gt;=4,((CROQUIS_DATOS!$C$1494+CROQUIS_DATOS!$C$1495))-(CROQUIS_DATOS!$C$1494)&gt;0.5,(CROQUIS_DATOS!$C$1496)-(0)&gt;0.5),(CROQUIS_DATOS!$C$1566+(IF(IF(MOD(MIN(INT(($A19-1)/2)+1,MAX(1,INT(((((CROQUIS_DATOS!$C$1494+CROQUIS_DATOS!$C$1495))-(CROQUIS_DATOS!$C$1494))+((CROQUIS_DATOS!$C$1496)*CROQUIS_DATOS!$C$1561-(0)*CROQUIS_DATOS!$C$1561))/CROQUIS_DATOS!$C$1568-0.000001))),2)=1,IF(INT(($A19-1)/2)+1&gt;MAX(1,INT(((((CROQUIS_DATOS!$C$1494+CROQUIS_DATOS!$C$1495))-(CROQUIS_DATOS!$C$1494))+((CROQUIS_DATOS!$C$1496)*CROQUIS_DATOS!$C$1561-(0)*CROQUIS_DATOS!$C$1561))/CROQUIS_DATOS!$C$1568-0.000001)),1,MOD($A19-1,2)),1-IF(INT(($A19-1)/2)+1&gt;MAX(1,INT(((((CROQUIS_DATOS!$C$1494+CROQUIS_DATOS!$C$1495))-(CROQUIS_DATOS!$C$1494))+((CROQUIS_DATOS!$C$1496)*CROQUIS_DATOS!$C$1561-(0)*CROQUIS_DATOS!$C$1561))/CROQUIS_DATOS!$C$1568-0.000001)),1,MOD($A19-1,2)))=1,MIN((CROQUIS_DATOS!$C$1496)*CROQUIS_DATOS!$C$1561,((CROQUIS_DATOS!$C$1494+CROQUIS_DATOS!$C$1495)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9">
        <f>IF(AND(CROQUIS_DATOS!$C$1472=1,CROQUIS_DATOS!$C$1478&gt;=4,((CROQUIS_DATOS!$C$1494+CROQUIS_DATOS!$C$1495))-(CROQUIS_DATOS!$C$1494)&gt;0.5,(CROQUIS_DATOS!$C$1496)-(0)&gt;0.5),(CROQUIS_DATOS!$C$1567+(IF(IF(MOD(MIN(INT(($A19-1)/2)+1,MAX(1,INT(((((CROQUIS_DATOS!$C$1494+CROQUIS_DATOS!$C$1495))-(CROQUIS_DATOS!$C$1494))+((CROQUIS_DATOS!$C$1496)*CROQUIS_DATOS!$C$1561-(0)*CROQUIS_DATOS!$C$1561))/CROQUIS_DATOS!$C$1568-0.000001))),2)=1,IF(INT(($A19-1)/2)+1&gt;MAX(1,INT(((((CROQUIS_DATOS!$C$1494+CROQUIS_DATOS!$C$1495))-(CROQUIS_DATOS!$C$1494))+((CROQUIS_DATOS!$C$1496)*CROQUIS_DATOS!$C$1561-(0)*CROQUIS_DATOS!$C$1561))/CROQUIS_DATOS!$C$1568-0.000001)),1,MOD($A19-1,2)),1-IF(INT(($A19-1)/2)+1&gt;MAX(1,INT(((((CROQUIS_DATOS!$C$1494+CROQUIS_DATOS!$C$1495))-(CROQUIS_DATOS!$C$1494))+((CROQUIS_DATOS!$C$1496)*CROQUIS_DATOS!$C$1561-(0)*CROQUIS_DATOS!$C$1561))/CROQUIS_DATOS!$C$1568-0.000001)),1,MOD($A19-1,2)))=1,MIN((CROQUIS_DATOS!$C$1496)*CROQUIS_DATOS!$C$1561,((CROQUIS_DATOS!$C$1494+CROQUIS_DATOS!$C$1495)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9">
        <f>IF(AND(CROQUIS_DATOS!$C$1472=1,CROQUIS_DATOS!$C$1478&gt;=4,((CROQUIS_DATOS!$C$1494+CROQUIS_DATOS!$C$1495))-(CROQUIS_DATOS!$C$1494)&gt;0.5,(CROQUIS_DATOS!$C$1476)-((CROQUIS_DATOS!$C$1496+CROQUIS_DATOS!$C$1497))&gt;0.5),(CROQUIS_DATOS!$C$1566+(IF(IF(MOD(MIN(INT(($A19-1)/2)+1,MAX(1,INT(((((CROQUIS_DATOS!$C$1494+CROQUIS_DATOS!$C$1495))-(CROQUIS_DATOS!$C$1494))+((CROQUIS_DATOS!$C$1476)*CROQUIS_DATOS!$C$1561-((CROQUIS_DATOS!$C$1496+CROQUIS_DATOS!$C$1497))*CROQUIS_DATOS!$C$1561))/CROQUIS_DATOS!$C$1568-0.000001))),2)=1,IF(INT(($A19-1)/2)+1&gt;MAX(1,INT(((((CROQUIS_DATOS!$C$1494+CROQUIS_DATOS!$C$1495))-(CROQUIS_DATOS!$C$1494))+((CROQUIS_DATOS!$C$1476)*CROQUIS_DATOS!$C$1561-((CROQUIS_DATOS!$C$1496+CROQUIS_DATOS!$C$1497))*CROQUIS_DATOS!$C$1561))/CROQUIS_DATOS!$C$1568-0.000001)),1,MOD($A19-1,2)),1-IF(INT(($A19-1)/2)+1&gt;MAX(1,INT(((((CROQUIS_DATOS!$C$1494+CROQUIS_DATOS!$C$1495))-(CROQUIS_DATOS!$C$1494))+((CROQUIS_DATOS!$C$1476)*CROQUIS_DATOS!$C$1561-((CROQUIS_DATOS!$C$1496+CROQUIS_DATOS!$C$1497))*CROQUIS_DATOS!$C$1561))/CROQUIS_DATOS!$C$1568-0.000001)),1,MOD($A19-1,2)))=1,MIN((CROQUIS_DATOS!$C$1476)*CROQUIS_DATOS!$C$1561,((CROQUIS_DATOS!$C$1494+CROQUIS_DATOS!$C$1495)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9">
        <f>IF(AND(CROQUIS_DATOS!$C$1472=1,CROQUIS_DATOS!$C$1478&gt;=4,((CROQUIS_DATOS!$C$1494+CROQUIS_DATOS!$C$1495))-(CROQUIS_DATOS!$C$1494)&gt;0.5,(CROQUIS_DATOS!$C$1476)-((CROQUIS_DATOS!$C$1496+CROQUIS_DATOS!$C$1497))&gt;0.5),(CROQUIS_DATOS!$C$1567+(IF(IF(MOD(MIN(INT(($A19-1)/2)+1,MAX(1,INT(((((CROQUIS_DATOS!$C$1494+CROQUIS_DATOS!$C$1495))-(CROQUIS_DATOS!$C$1494))+((CROQUIS_DATOS!$C$1476)*CROQUIS_DATOS!$C$1561-((CROQUIS_DATOS!$C$1496+CROQUIS_DATOS!$C$1497))*CROQUIS_DATOS!$C$1561))/CROQUIS_DATOS!$C$1568-0.000001))),2)=1,IF(INT(($A19-1)/2)+1&gt;MAX(1,INT(((((CROQUIS_DATOS!$C$1494+CROQUIS_DATOS!$C$1495))-(CROQUIS_DATOS!$C$1494))+((CROQUIS_DATOS!$C$1476)*CROQUIS_DATOS!$C$1561-((CROQUIS_DATOS!$C$1496+CROQUIS_DATOS!$C$1497))*CROQUIS_DATOS!$C$1561))/CROQUIS_DATOS!$C$1568-0.000001)),1,MOD($A19-1,2)),1-IF(INT(($A19-1)/2)+1&gt;MAX(1,INT(((((CROQUIS_DATOS!$C$1494+CROQUIS_DATOS!$C$1495))-(CROQUIS_DATOS!$C$1494))+((CROQUIS_DATOS!$C$1476)*CROQUIS_DATOS!$C$1561-((CROQUIS_DATOS!$C$1496+CROQUIS_DATOS!$C$1497))*CROQUIS_DATOS!$C$1561))/CROQUIS_DATOS!$C$1568-0.000001)),1,MOD($A19-1,2)))=1,MIN((CROQUIS_DATOS!$C$1476)*CROQUIS_DATOS!$C$1561,((CROQUIS_DATOS!$C$1494+CROQUIS_DATOS!$C$1495)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19">
        <f>IF(AND(CROQUIS_DATOS!$C$1472=1,1),(CROQUIS_DATOS!$C$1566+(INDEX($E$8:$E$23,MIN($A19,CROQUIS_DATOS!$C$1525)))*CROQUIS_DATOS!$C$1565),-1000)</f>
        <v>76.9224137931035</v>
      </c>
      <c r="EW19">
        <f>IF(AND(CROQUIS_DATOS!$C$1472=1,1),((CROQUIS_DATOS!$C$1567+(CROQUIS_DATOS!$C$1476+CROQUIS_DATOS!$C$1528)*CROQUIS_DATOS!$C$1561*CROQUIS_DATOS!$C$1565)+1.5),-1000)</f>
        <v>42.5</v>
      </c>
      <c r="GD19">
        <f>IF(AND(CROQUIS_DATOS!$C$1472=1,1),(CROQUIS_DATOS!$C$1571+(CHOOSE(MIN(MAX(IF(INT(($A19-1)/5)+1&gt;CROQUIS_DATOS!$C$1525,5,MOD($A19-1,5)+1),1),5),(INDEX($E$8:$E$23,MIN(INT(($A19-1)/5)+1,CROQUIS_DATOS!$C$1525))-INDEX($F$8:$F$23,MIN(INT(($A19-1)/5)+1,CROQUIS_DATOS!$C$1525))/2),(INDEX($E$8:$E$23,MIN(INT(($A19-1)/5)+1,CROQUIS_DATOS!$C$1525))+INDEX($F$8:$F$23,MIN(INT(($A19-1)/5)+1,CROQUIS_DATOS!$C$1525))/2),(INDEX($E$8:$E$23,MIN(INT(($A19-1)/5)+1,CROQUIS_DATOS!$C$1525))+INDEX($F$8:$F$23,MIN(INT(($A19-1)/5)+1,CROQUIS_DATOS!$C$1525))/2),(INDEX($E$8:$E$23,MIN(INT(($A19-1)/5)+1,CROQUIS_DATOS!$C$1525))-INDEX($F$8:$F$23,MIN(INT(($A19-1)/5)+1,CROQUIS_DATOS!$C$1525))/2),(INDEX($E$8:$E$23,MIN(INT(($A19-1)/5)+1,CROQUIS_DATOS!$C$1525))-INDEX($F$8:$F$23,MIN(INT(($A19-1)/5)+1,CROQUIS_DATOS!$C$1525))/2)))*CROQUIS_DATOS!$C$1569),-1000)</f>
        <v>32.68</v>
      </c>
      <c r="GE19">
        <f>IF(AND(CROQUIS_DATOS!$C$1472=1,1),(CROQUIS_DATOS!$C$1572+(CHOOSE(MIN(MAX(IF(INT(($A19-1)/5)+1&gt;CROQUIS_DATOS!$C$1525,5,MOD($A19-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19">
        <f>IF(AND(CROQUIS_DATOS!$C$1472=1,1),IF(INT(($A19-1)/4)+1&lt;=CROQUIS_DATOS!$C$1525,(CROQUIS_DATOS!$C$1571+((INDEX($E$8:$E$23,MIN(INT(($A19-1)/4)+1,16))+IF(OR(MOD($A19-1,4)=0,MOD($A19-1,4)=3),-1,1)*(INDEX($F$8:$F$23,MIN(INT(($A19-1)/4)+1,16))/2-(CROQUIS_DATOS!$C$1530+CROQUIS_DATOS!$C$1532+IF(OR(INT(($A19-1)/4)+1=1,INT(($A19-1)/4)+1=CROQUIS_DATOS!$C$1525),CROQUIS_DATOS!$C$1534,CROQUIS_DATOS!$C$1531)/2))))*CROQUIS_DATOS!$C$1569),-1000),-1000)</f>
        <v>30.492516</v>
      </c>
      <c r="GG19">
        <f>IF(AND(CROQUIS_DATOS!$C$1472=1,1),IF(INT(($A19-1)/4)+1&lt;=CROQUIS_DATOS!$C$1525,(CROQUIS_DATOS!$C$1572+((CROQUIS_DATOS!$C$1477/2+IF(MOD($A19-1,4)&lt;2,-1,1)*(CROQUIS_DATOS!$C$1527/2-(CROQUIS_DATOS!$C$1530+CROQUIS_DATOS!$C$1532+IF(OR(INT(($A19-1)/4)+1=1,INT(($A19-1)/4)+1=CROQUIS_DATOS!$C$1525),CROQUIS_DATOS!$C$1534,CROQUIS_DATOS!$C$1531)/2))))*CROQUIS_DATOS!$C$1569*CROQUIS_DATOS!$C$1570),-1000),-1000)</f>
        <v>13.06655</v>
      </c>
    </row>
    <row r="20">
      <c r="A20" t="n">
        <v>13</v>
      </c>
      <c r="B20" t="n">
        <v>13</v>
      </c>
      <c r="C20">
        <f>1+(B20&gt;CROQUIS_DATOS!$C$1520)+(B20&gt;CROQUIS_DATOS!$C$1521)+(B20&gt;CROQUIS_DATOS!$C$1522)+(B20&gt;CROQUIS_DATOS!$C$1523)</f>
        <v>5</v>
      </c>
      <c r="D20">
        <f>B20-CHOOSE(MIN(C20,5),0,CROQUIS_DATOS!$C$1520,CROQUIS_DATOS!$C$1521,CROQUIS_DATOS!$C$1522,CROQUIS_DATOS!$C$1523)</f>
        <v>7</v>
      </c>
      <c r="E20">
        <f>IF(G20=0,0,CHOOSE(MIN(C20,5),CROQUIS_DATOS!$C$1499,CROQUIS_DATOS!$C$1503,CROQUIS_DATOS!$C$1507,CROQUIS_DATOS!$C$1511,CROQUIS_DATOS!$C$1515)+IF(CHOOSE(MIN(C20,5),CROQUIS_DATOS!$C$1502,CROQUIS_DATOS!$C$1506,CROQUIS_DATOS!$C$1510,CROQUIS_DATOS!$C$1514,CROQUIS_DATOS!$C$1518)=1,CHOOSE(MIN(C20,5),CROQUIS_DATOS!$C$1500,CROQUIS_DATOS!$C$1504,CROQUIS_DATOS!$C$1508,CROQUIS_DATOS!$C$1512,CROQUIS_DATOS!$C$1516)/2,CROQUIS_DATOS!$C$1526/2+(D20-1)*(CHOOSE(MIN(C20,5),CROQUIS_DATOS!$C$1500,CROQUIS_DATOS!$C$1504,CROQUIS_DATOS!$C$1508,CROQUIS_DATOS!$C$1512,CROQUIS_DATOS!$C$1516)-CROQUIS_DATOS!$C$1526)/MAX(CHOOSE(MIN(C20,5),CROQUIS_DATOS!$C$1502,CROQUIS_DATOS!$C$1506,CROQUIS_DATOS!$C$1510,CROQUIS_DATOS!$C$1514,CROQUIS_DATOS!$C$1518)-1,1)))</f>
        <v>0</v>
      </c>
      <c r="F20">
        <f>IF(G20=0,0,IF(CHOOSE(MIN(C20,5),CROQUIS_DATOS!$C$1502,CROQUIS_DATOS!$C$1506,CROQUIS_DATOS!$C$1510,CROQUIS_DATOS!$C$1514,CROQUIS_DATOS!$C$1518)=1,MIN(CROQUIS_DATOS!$C$1526,CHOOSE(MIN(C20,5),CROQUIS_DATOS!$C$1500,CROQUIS_DATOS!$C$1504,CROQUIS_DATOS!$C$1508,CROQUIS_DATOS!$C$1512,CROQUIS_DATOS!$C$1516)),CROQUIS_DATOS!$C$1526))</f>
        <v>0</v>
      </c>
      <c r="G20">
        <f>IF(AND(CROQUIS_DATOS!$C$1472=1,B20&lt;=CROQUIS_DATOS!$C$1525),1,0)</f>
        <v>0</v>
      </c>
      <c r="H20">
        <f>IF(13&lt;=CROQUIS_DATOS!$C$1539,13*CROQUIS_DATOS!$C$1536,IF(13&lt;=CROQUIS_DATOS!$C$1539+CROQUIS_DATOS!$C$1540,CROQUIS_DATOS!$C$1539*CROQUIS_DATOS!$C$1536+(13-CROQUIS_DATOS!$C$1539)*(CROQUIS_DATOS!$C$1476-2*CROQUIS_DATOS!$C$1539*CROQUIS_DATOS!$C$1536)/(CROQUIS_DATOS!$C$1540+1),CROQUIS_DATOS!$C$1476-(2*CROQUIS_DATOS!$C$1539+CROQUIS_DATOS!$C$1540+1-13)*CROQUIS_DATOS!$C$1536))</f>
        <v>193.055555555556</v>
      </c>
      <c r="I20">
        <f>IF(AND(CROQUIS_DATOS!$C$1544=1,E20&gt;=CROQUIS_DATOS!$C$1549-1,E20&lt;=CROQUIS_DATOS!$C$1550+1),CROQUIS_DATOS!$C$1554,CROQUIS_DATOS!$C$1552)</f>
        <v>-16.8885</v>
      </c>
      <c r="J20">
        <f>IF(AND(CROQUIS_DATOS!$C$1472=1,1),(CROQUIS_DATOS!$C$1563+(CHOOSE(MIN(MAX(IF(INT(($A20-1)/4)+1&gt;CROQUIS_DATOS!$C$1525,4,MOD($A20-1,4)+1),1),4),(INDEX($E$8:$E$23,MIN(INT(($A20-1)/4)+1,CROQUIS_DATOS!$C$1525))-INDEX($F$8:$F$23,MIN(INT(($A20-1)/4)+1,CROQUIS_DATOS!$C$1525))/2),(INDEX($E$8:$E$23,MIN(INT(($A20-1)/4)+1,CROQUIS_DATOS!$C$1525))-INDEX($F$8:$F$23,MIN(INT(($A20-1)/4)+1,CROQUIS_DATOS!$C$1525))/2),(INDEX($E$8:$E$23,MIN(INT(($A20-1)/4)+1,CROQUIS_DATOS!$C$1525))+INDEX($F$8:$F$23,MIN(INT(($A20-1)/4)+1,CROQUIS_DATOS!$C$1525))/2),(INDEX($E$8:$E$23,MIN(INT(($A20-1)/4)+1,CROQUIS_DATOS!$C$1525))+INDEX($F$8:$F$23,MIN(INT(($A20-1)/4)+1,CROQUIS_DATOS!$C$1525))/2)))*CROQUIS_DATOS!$C$1562),-1000)</f>
        <v>45.1120689655172</v>
      </c>
      <c r="K20">
        <f>IF(AND(CROQUIS_DATOS!$C$1472=1,1),(CROQUIS_DATOS!$C$1564+(CHOOSE(MIN(MAX(IF(INT(($A20-1)/4)+1&gt;CROQUIS_DATOS!$C$1525,4,MOD($A20-1,4)+1),1),4),0,CROQUIS_DATOS!$C$1476,CROQUIS_DATOS!$C$1476,0))*CROQUIS_DATOS!$C$1561*CROQUIS_DATOS!$C$1562),-1000)</f>
        <v>5.29310344827586</v>
      </c>
      <c r="L20">
        <f>IF(AND(CROQUIS_DATOS!$C$1472=1,1),(CROQUIS_DATOS!$C$1563+(CHOOSE(MIN(MAX(IF(INT(($A20-1)/4)+1&gt;CROQUIS_DATOS!$C$1525,4,MOD($A20-1,4)+1),1),4),((INDEX($E$8:$E$23,MIN(INT(($A20-1)/4)+1,CROQUIS_DATOS!$C$1525))-INDEX($F$8:$F$23,MIN(INT(($A20-1)/4)+1,CROQUIS_DATOS!$C$1525))/2)+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,((INDEX($E$8:$E$23,MIN(INT(($A20-1)/4)+1,CROQUIS_DATOS!$C$1525))-INDEX($F$8:$F$23,MIN(INT(($A20-1)/4)+1,CROQUIS_DATOS!$C$1525))/2)+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,((INDEX($E$8:$E$23,MIN(INT(($A20-1)/4)+1,CROQUIS_DATOS!$C$1525))+INDEX($F$8:$F$23,MIN(INT(($A20-1)/4)+1,CROQUIS_DATOS!$C$1525))/2)-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,((INDEX($E$8:$E$23,MIN(INT(($A20-1)/4)+1,CROQUIS_DATOS!$C$1525))+INDEX($F$8:$F$23,MIN(INT(($A20-1)/4)+1,CROQUIS_DATOS!$C$1525))/2)-MIN((CROQUIS_DATOS!$C$1530+CROQUIS_DATOS!$C$1532+IF(OR(MIN(INT(($A20-1)/4)+1,CROQUIS_DATOS!$C$1525)=1,MIN(INT(($A20-1)/4)+1,CROQUIS_DATOS!$C$1525)=CROQUIS_DATOS!$C$1525),CROQUIS_DATOS!$C$1534,CROQUIS_DATOS!$C$1531)/2),INDEX($F$8:$F$23,MIN(INT(($A20-1)/4)+1,CROQUIS_DATOS!$C$1525))/2-0.5))))*CROQUIS_DATOS!$C$1562),-1000)</f>
        <v>45.5466060344828</v>
      </c>
      <c r="M20">
        <f>IF(AND(CROQUIS_DATOS!$C$1472=1,1),(CROQUIS_DATOS!$C$1564+(CHOOSE(MIN(MAX(IF(INT(($A20-1)/4)+1&gt;CROQUIS_DATOS!$C$1525,4,MOD($A20-1,4)+1),1),4),CROQUIS_DATOS!$C$1543,INDEX($I$8:$I$23,MIN(INT(($A20-1)/4)+1,CROQUIS_DATOS!$C$1525)),INDEX($I$8:$I$23,MIN(INT(($A20-1)/4)+1,CROQUIS_DATOS!$C$1525)),CROQUIS_DATOS!$C$1543))*CROQUIS_DATOS!$C$1561*CROQUIS_DATOS!$C$1562),-1000)</f>
        <v>42.5654629310345</v>
      </c>
      <c r="N20">
        <f>IF(AND(CROQUIS_DATOS!$C$1472=1,1),(CROQUIS_DATOS!$C$1563+(IF(IF(IF(INT(($A20-1)/70)+1&gt;CROQUIS_DATOS!$C$1525,70,MOD($A20-1,70)+1)=1,0,IF(IF(INT(($A20-1)/70)+1&gt;CROQUIS_DATOS!$C$1525,70,MOD($A20-1,70)+1)&gt;2*CROQUIS_DATOS!$C$1541+1,IF(MOD(CROQUIS_DATOS!$C$1541,2)=1,1,0),IF(MOD(MIN(INT((IF(INT(($A20-1)/70)+1&gt;CROQUIS_DATOS!$C$1525,70,MOD($A20-1,70)+1)-2)/2)+1,CROQUIS_DATOS!$C$1541),2)=1,IF(MOD(IF(INT(($A20-1)/70)+1&gt;CROQUIS_DATOS!$C$1525,70,MOD($A20-1,70)+1)-2,2)=0,0,1),IF(MOD(IF(INT(($A20-1)/70)+1&gt;CROQUIS_DATOS!$C$1525,70,MOD($A20-1,70)+1)-2,2)=0,1,0))))=0,(INDEX($E$8:$E$23,MIN(INT(($A20-1)/70)+1,CROQUIS_DATOS!$C$1525))-INDEX($F$8:$F$23,MIN(INT(($A20-1)/70)+1,CROQUIS_DATOS!$C$1525))/2),(INDEX($E$8:$E$23,MIN(INT(($A20-1)/70)+1,CROQUIS_DATOS!$C$1525))+INDEX($F$8:$F$23,MIN(INT(($A20-1)/70)+1,CROQUIS_DATOS!$C$1525))/2)))*CROQUIS_DATOS!$C$1562),-1000)</f>
        <v>15.0862068965517</v>
      </c>
      <c r="O20">
        <f>IF(AND(CROQUIS_DATOS!$C$1472=1,1),(CROQUIS_DATOS!$C$1564+(IF(OR(IF(INT(($A20-1)/70)+1&gt;CROQUIS_DATOS!$C$1525,70,MOD($A20-1,70)+1)=1,IF(INT(($A20-1)/70)+1&gt;CROQUIS_DATOS!$C$1525,70,MOD($A20-1,70)+1)&gt;2*CROQUIS_DATOS!$C$1541+1),CROQUIS_DATOS!$C$1476,INDEX($H$8:$H$41,MIN(INT((IF(INT(($A20-1)/70)+1&gt;CROQUIS_DATOS!$C$1525,70,MOD($A20-1,70)+1)-2)/2)+1,CROQUIS_DATOS!$C$1541))))*CROQUIS_DATOS!$C$1561*CROQUIS_DATOS!$C$1562),-1000)</f>
        <v>13.2456896551724</v>
      </c>
      <c r="P20">
        <f>IF(AND(CROQUIS_DATOS!$C$1472=1,CROQUIS_DATOS!$C$1555=1),(CROQUIS_DATOS!$C$1563+(IF(IF(OR(MOD($A20-1,62)+1=1,IF(CHOOSE(MIN(MAX(MIN(INT(($A20-1)/62)+1,5),1),5),CROQUIS_DATOS!$C$1501,CROQUIS_DATOS!$C$1505,CROQUIS_DATOS!$C$1509,CROQUIS_DATOS!$C$1513,CROQUIS_DATOS!$C$1517)=1,CROQUIS_DATOS!$C$1557,0)=0),0,IF(MOD($A20-1,62)+1&gt;2*IF(CHOOSE(MIN(MAX(MIN(INT(($A20-1)/62)+1,5),1),5),CROQUIS_DATOS!$C$1501,CROQUIS_DATOS!$C$1505,CROQUIS_DATOS!$C$1509,CROQUIS_DATOS!$C$1513,CROQUIS_DATOS!$C$1517)=1,CROQUIS_DATOS!$C$1557,0)+1,IF(MOD(IF(CHOOSE(MIN(MAX(MIN(INT(($A20-1)/62)+1,5),1),5),CROQUIS_DATOS!$C$1501,CROQUIS_DATOS!$C$1505,CROQUIS_DATOS!$C$1509,CROQUIS_DATOS!$C$1513,CROQUIS_DATOS!$C$1517)=1,CROQUIS_DATOS!$C$1557,0),2)=1,1,0),IF(MOD(MIN(INT((MOD($A20-1,62)+1-2)/2)+1,MAX(IF(CHOOSE(MIN(MAX(MIN(INT(($A20-1)/62)+1,5),1),5),CROQUIS_DATOS!$C$1501,CROQUIS_DATOS!$C$1505,CROQUIS_DATOS!$C$1509,CROQUIS_DATOS!$C$1513,CROQUIS_DATOS!$C$1517)=1,CROQUIS_DATOS!$C$1557,0),1)),2)=1,IF(MOD(MOD($A20-1,62)+1-2,2)=0,0,1),IF(MOD(MOD($A20-1,62)+1-2,2)=0,1,0))))=0,(CHOOSE(MIN(MAX(MIN(INT(($A20-1)/62)+1,5),1),5),CROQUIS_DATOS!$C$1499,CROQUIS_DATOS!$C$1503,CROQUIS_DATOS!$C$1507,CROQUIS_DATOS!$C$1511,CROQUIS_DATOS!$C$1515)+IF(CHOOSE(MIN(MAX(MIN(INT(($A20-1)/62)+1,5),1),5),CROQUIS_DATOS!$C$1501,CROQUIS_DATOS!$C$1505,CROQUIS_DATOS!$C$1509,CROQUIS_DATOS!$C$1513,CROQUIS_DATOS!$C$1517)=1,CROQUIS_DATOS!$C$1526,0)),(CHOOSE(MIN(MAX(MIN(INT(($A20-1)/62)+1,5),1),5),CROQUIS_DATOS!$C$1499,CROQUIS_DATOS!$C$1503,CROQUIS_DATOS!$C$1507,CROQUIS_DATOS!$C$1511,CROQUIS_DATOS!$C$1515)+CHOOSE(MIN(MAX(MIN(INT(($A20-1)/62)+1,5),1),5),CROQUIS_DATOS!$C$1500,CROQUIS_DATOS!$C$1504,CROQUIS_DATOS!$C$1508,CROQUIS_DATOS!$C$1512,CROQUIS_DATOS!$C$1516)-IF(CHOOSE(MIN(MAX(MIN(INT(($A20-1)/62)+1,5),1),5),CROQUIS_DATOS!$C$1501,CROQUIS_DATOS!$C$1505,CROQUIS_DATOS!$C$1509,CROQUIS_DATOS!$C$1513,CROQUIS_DATOS!$C$1517)=1,CROQUIS_DATOS!$C$1526,0))))*CROQUIS_DATOS!$C$1562),-1000)</f>
        <v>-1000</v>
      </c>
      <c r="Q20">
        <f>IF(AND(CROQUIS_DATOS!$C$1472=1,CROQUIS_DATOS!$C$1555=1),(CROQUIS_DATOS!$C$1564+(IF(OR(OR(MOD($A20-1,62)+1=1,IF(CHOOSE(MIN(MAX(MIN(INT(($A20-1)/62)+1,5),1),5),CROQUIS_DATOS!$C$1501,CROQUIS_DATOS!$C$1505,CROQUIS_DATOS!$C$1509,CROQUIS_DATOS!$C$1513,CROQUIS_DATOS!$C$1517)=1,CROQUIS_DATOS!$C$1557,0)=0),MOD($A20-1,62)+1&gt;2*IF(CHOOSE(MIN(MAX(MIN(INT(($A20-1)/62)+1,5),1),5),CROQUIS_DATOS!$C$1501,CROQUIS_DATOS!$C$1505,CROQUIS_DATOS!$C$1509,CROQUIS_DATOS!$C$1513,CROQUIS_DATOS!$C$1517)=1,CROQUIS_DATOS!$C$1557,0)+1),CROQUIS_DATOS!$C$1476,MIN(INT((MOD($A20-1,62)+1-2)/2)+1,MAX(IF(CHOOSE(MIN(MAX(MIN(INT(($A20-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">
        <f>IF(AND(CROQUIS_DATOS!$C$1472=1,1),(CROQUIS_DATOS!$C$1563+(MIN(INT(($A20-1)/2)+1,CROQUIS_DATOS!$C$1558)*CROQUIS_DATOS!$C$1559)*CROQUIS_DATOS!$C$1562),-1000)</f>
        <v>33.8859416445623</v>
      </c>
      <c r="U20">
        <f>IF(AND(CROQUIS_DATOS!$C$1472=1,1),(CROQUIS_DATOS!$C$1564+(IF(INT(($A20-1)/2)+1&gt;CROQUIS_DATOS!$C$1558,IF(MOD(CROQUIS_DATOS!$C$1558,2)=1,CROQUIS_DATOS!$C$1476+CROQUIS_DATOS!$C$1528,CROQUIS_DATOS!$C$1476),IF(IF(MOD(MIN(INT(($A20-1)/2)+1,CROQUIS_DATOS!$C$1558),2)=1,MOD($A20-1,2),1-MOD($A20-1,2))=1,CROQUIS_DATOS!$C$1476+CROQUIS_DATOS!$C$1528,CROQUIS_DATOS!$C$1476)))*CROQUIS_DATOS!$C$1561*CROQUIS_DATOS!$C$1562),-1000)</f>
        <v>40.2068965517241</v>
      </c>
      <c r="BZ20">
        <f>IF(AND(CROQUIS_DATOS!$C$1472=1,CROQUIS_DATOS!$C$1500&gt;0,((CROQUIS_DATOS!$C$1499+CROQUIS_DATOS!$C$1500))-(CROQUIS_DATOS!$C$1499)&gt;0.5,(CROQUIS_DATOS!$C$1476)-(0)&gt;0.5),(CROQUIS_DATOS!$C$1566+(IF(IF(MOD(MIN(INT(($A20-1)/2)+1,MAX(1,INT(((((CROQUIS_DATOS!$C$1499+CROQUIS_DATOS!$C$1500))-(CROQUIS_DATOS!$C$1499))+((CROQUIS_DATOS!$C$1476)*CROQUIS_DATOS!$C$1561-(0)*CROQUIS_DATOS!$C$1561))/CROQUIS_DATOS!$C$1568-0.000001))),2)=1,IF(INT(($A20-1)/2)+1&gt;MAX(1,INT(((((CROQUIS_DATOS!$C$1499+CROQUIS_DATOS!$C$1500))-(CROQUIS_DATOS!$C$1499))+((CROQUIS_DATOS!$C$1476)*CROQUIS_DATOS!$C$1561-(0)*CROQUIS_DATOS!$C$1561))/CROQUIS_DATOS!$C$1568-0.000001)),1,MOD($A20-1,2)),1-IF(INT(($A20-1)/2)+1&gt;MAX(1,INT(((((CROQUIS_DATOS!$C$1499+CROQUIS_DATOS!$C$1500))-(CROQUIS_DATOS!$C$1499))+((CROQUIS_DATOS!$C$1476)*CROQUIS_DATOS!$C$1561-(0)*CROQUIS_DATOS!$C$1561))/CROQUIS_DATOS!$C$1568-0.000001)),1,MOD($A20-1,2)))=1,MIN((CROQUIS_DATOS!$C$1476)*CROQUIS_DATOS!$C$1561,((CROQUIS_DATOS!$C$1499+CROQUIS_DATOS!$C$1500)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20">
        <f>IF(AND(CROQUIS_DATOS!$C$1472=1,CROQUIS_DATOS!$C$1500&gt;0,((CROQUIS_DATOS!$C$1499+CROQUIS_DATOS!$C$1500))-(CROQUIS_DATOS!$C$1499)&gt;0.5,(CROQUIS_DATOS!$C$1476)-(0)&gt;0.5),(CROQUIS_DATOS!$C$1567+(IF(IF(MOD(MIN(INT(($A20-1)/2)+1,MAX(1,INT(((((CROQUIS_DATOS!$C$1499+CROQUIS_DATOS!$C$1500))-(CROQUIS_DATOS!$C$1499))+((CROQUIS_DATOS!$C$1476)*CROQUIS_DATOS!$C$1561-(0)*CROQUIS_DATOS!$C$1561))/CROQUIS_DATOS!$C$1568-0.000001))),2)=1,IF(INT(($A20-1)/2)+1&gt;MAX(1,INT(((((CROQUIS_DATOS!$C$1499+CROQUIS_DATOS!$C$1500))-(CROQUIS_DATOS!$C$1499))+((CROQUIS_DATOS!$C$1476)*CROQUIS_DATOS!$C$1561-(0)*CROQUIS_DATOS!$C$1561))/CROQUIS_DATOS!$C$1568-0.000001)),1,MOD($A20-1,2)),1-IF(INT(($A20-1)/2)+1&gt;MAX(1,INT(((((CROQUIS_DATOS!$C$1499+CROQUIS_DATOS!$C$1500))-(CROQUIS_DATOS!$C$1499))+((CROQUIS_DATOS!$C$1476)*CROQUIS_DATOS!$C$1561-(0)*CROQUIS_DATOS!$C$1561))/CROQUIS_DATOS!$C$1568-0.000001)),1,MOD($A20-1,2)))=1,MIN((CROQUIS_DATOS!$C$1476)*CROQUIS_DATOS!$C$1561,((CROQUIS_DATOS!$C$1499+CROQUIS_DATOS!$C$1500)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20-1)/2)+1,MAX(1,INT(((((CROQUIS_DATOS!$C$1499+CROQUIS_DATOS!$C$1500))-(CROQUIS_DATOS!$C$1499))+((CROQUIS_DATOS!$C$1476)*CROQUIS_DATOS!$C$1561-(0)*CROQUIS_DATOS!$C$1561))/CROQUIS_DATOS!$C$1568-0.000001)))*CROQUIS_DATOS!$C$1568))))*CROQUIS_DATOS!$C$1565),-1000)</f>
        <v>27.6620689655172</v>
      </c>
      <c r="CB20">
        <f>IF(AND(CROQUIS_DATOS!$C$1472=1,CROQUIS_DATOS!$C$1504&gt;0,((CROQUIS_DATOS!$C$1503+CROQUIS_DATOS!$C$1504))-(CROQUIS_DATOS!$C$1503)&gt;0.5,(CROQUIS_DATOS!$C$1476)-(0)&gt;0.5),(CROQUIS_DATOS!$C$1566+(IF(IF(MOD(MIN(INT(($A20-1)/2)+1,MAX(1,INT(((((CROQUIS_DATOS!$C$1503+CROQUIS_DATOS!$C$1504))-(CROQUIS_DATOS!$C$1503))+((CROQUIS_DATOS!$C$1476)*CROQUIS_DATOS!$C$1561-(0)*CROQUIS_DATOS!$C$1561))/CROQUIS_DATOS!$C$1568-0.000001))),2)=1,IF(INT(($A20-1)/2)+1&gt;MAX(1,INT(((((CROQUIS_DATOS!$C$1503+CROQUIS_DATOS!$C$1504))-(CROQUIS_DATOS!$C$1503))+((CROQUIS_DATOS!$C$1476)*CROQUIS_DATOS!$C$1561-(0)*CROQUIS_DATOS!$C$1561))/CROQUIS_DATOS!$C$1568-0.000001)),1,MOD($A20-1,2)),1-IF(INT(($A20-1)/2)+1&gt;MAX(1,INT(((((CROQUIS_DATOS!$C$1503+CROQUIS_DATOS!$C$1504))-(CROQUIS_DATOS!$C$1503))+((CROQUIS_DATOS!$C$1476)*CROQUIS_DATOS!$C$1561-(0)*CROQUIS_DATOS!$C$1561))/CROQUIS_DATOS!$C$1568-0.000001)),1,MOD($A20-1,2)))=1,MIN((CROQUIS_DATOS!$C$1476)*CROQUIS_DATOS!$C$1561,((CROQUIS_DATOS!$C$1503+CROQUIS_DATOS!$C$1504)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20">
        <f>IF(AND(CROQUIS_DATOS!$C$1472=1,CROQUIS_DATOS!$C$1504&gt;0,((CROQUIS_DATOS!$C$1503+CROQUIS_DATOS!$C$1504))-(CROQUIS_DATOS!$C$1503)&gt;0.5,(CROQUIS_DATOS!$C$1476)-(0)&gt;0.5),(CROQUIS_DATOS!$C$1567+(IF(IF(MOD(MIN(INT(($A20-1)/2)+1,MAX(1,INT(((((CROQUIS_DATOS!$C$1503+CROQUIS_DATOS!$C$1504))-(CROQUIS_DATOS!$C$1503))+((CROQUIS_DATOS!$C$1476)*CROQUIS_DATOS!$C$1561-(0)*CROQUIS_DATOS!$C$1561))/CROQUIS_DATOS!$C$1568-0.000001))),2)=1,IF(INT(($A20-1)/2)+1&gt;MAX(1,INT(((((CROQUIS_DATOS!$C$1503+CROQUIS_DATOS!$C$1504))-(CROQUIS_DATOS!$C$1503))+((CROQUIS_DATOS!$C$1476)*CROQUIS_DATOS!$C$1561-(0)*CROQUIS_DATOS!$C$1561))/CROQUIS_DATOS!$C$1568-0.000001)),1,MOD($A20-1,2)),1-IF(INT(($A20-1)/2)+1&gt;MAX(1,INT(((((CROQUIS_DATOS!$C$1503+CROQUIS_DATOS!$C$1504))-(CROQUIS_DATOS!$C$1503))+((CROQUIS_DATOS!$C$1476)*CROQUIS_DATOS!$C$1561-(0)*CROQUIS_DATOS!$C$1561))/CROQUIS_DATOS!$C$1568-0.000001)),1,MOD($A20-1,2)))=1,MIN((CROQUIS_DATOS!$C$1476)*CROQUIS_DATOS!$C$1561,((CROQUIS_DATOS!$C$1503+CROQUIS_DATOS!$C$1504)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20-1)/2)+1,MAX(1,INT(((((CROQUIS_DATOS!$C$1503+CROQUIS_DATOS!$C$1504))-(CROQUIS_DATOS!$C$1503))+((CROQUIS_DATOS!$C$1476)*CROQUIS_DATOS!$C$1561-(0)*CROQUIS_DATOS!$C$1561))/CROQUIS_DATOS!$C$1568-0.000001)))*CROQUIS_DATOS!$C$1568))))*CROQUIS_DATOS!$C$1565),-1000)</f>
        <v>27.6620689655172</v>
      </c>
      <c r="CD20">
        <f>IF(AND(CROQUIS_DATOS!$C$1472=1,CROQUIS_DATOS!$C$1508&gt;0,((CROQUIS_DATOS!$C$1507+CROQUIS_DATOS!$C$1508))-(CROQUIS_DATOS!$C$1507)&gt;0.5,(CROQUIS_DATOS!$C$1476)-(0)&gt;0.5),(CROQUIS_DATOS!$C$1566+(IF(IF(MOD(MIN(INT(($A20-1)/2)+1,MAX(1,INT(((((CROQUIS_DATOS!$C$1507+CROQUIS_DATOS!$C$1508))-(CROQUIS_DATOS!$C$1507))+((CROQUIS_DATOS!$C$1476)*CROQUIS_DATOS!$C$1561-(0)*CROQUIS_DATOS!$C$1561))/CROQUIS_DATOS!$C$1568-0.000001))),2)=1,IF(INT(($A20-1)/2)+1&gt;MAX(1,INT(((((CROQUIS_DATOS!$C$1507+CROQUIS_DATOS!$C$1508))-(CROQUIS_DATOS!$C$1507))+((CROQUIS_DATOS!$C$1476)*CROQUIS_DATOS!$C$1561-(0)*CROQUIS_DATOS!$C$1561))/CROQUIS_DATOS!$C$1568-0.000001)),1,MOD($A20-1,2)),1-IF(INT(($A20-1)/2)+1&gt;MAX(1,INT(((((CROQUIS_DATOS!$C$1507+CROQUIS_DATOS!$C$1508))-(CROQUIS_DATOS!$C$1507))+((CROQUIS_DATOS!$C$1476)*CROQUIS_DATOS!$C$1561-(0)*CROQUIS_DATOS!$C$1561))/CROQUIS_DATOS!$C$1568-0.000001)),1,MOD($A20-1,2)))=1,MIN((CROQUIS_DATOS!$C$1476)*CROQUIS_DATOS!$C$1561,((CROQUIS_DATOS!$C$1507+CROQUIS_DATOS!$C$1508)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20">
        <f>IF(AND(CROQUIS_DATOS!$C$1472=1,CROQUIS_DATOS!$C$1508&gt;0,((CROQUIS_DATOS!$C$1507+CROQUIS_DATOS!$C$1508))-(CROQUIS_DATOS!$C$1507)&gt;0.5,(CROQUIS_DATOS!$C$1476)-(0)&gt;0.5),(CROQUIS_DATOS!$C$1567+(IF(IF(MOD(MIN(INT(($A20-1)/2)+1,MAX(1,INT(((((CROQUIS_DATOS!$C$1507+CROQUIS_DATOS!$C$1508))-(CROQUIS_DATOS!$C$1507))+((CROQUIS_DATOS!$C$1476)*CROQUIS_DATOS!$C$1561-(0)*CROQUIS_DATOS!$C$1561))/CROQUIS_DATOS!$C$1568-0.000001))),2)=1,IF(INT(($A20-1)/2)+1&gt;MAX(1,INT(((((CROQUIS_DATOS!$C$1507+CROQUIS_DATOS!$C$1508))-(CROQUIS_DATOS!$C$1507))+((CROQUIS_DATOS!$C$1476)*CROQUIS_DATOS!$C$1561-(0)*CROQUIS_DATOS!$C$1561))/CROQUIS_DATOS!$C$1568-0.000001)),1,MOD($A20-1,2)),1-IF(INT(($A20-1)/2)+1&gt;MAX(1,INT(((((CROQUIS_DATOS!$C$1507+CROQUIS_DATOS!$C$1508))-(CROQUIS_DATOS!$C$1507))+((CROQUIS_DATOS!$C$1476)*CROQUIS_DATOS!$C$1561-(0)*CROQUIS_DATOS!$C$1561))/CROQUIS_DATOS!$C$1568-0.000001)),1,MOD($A20-1,2)))=1,MIN((CROQUIS_DATOS!$C$1476)*CROQUIS_DATOS!$C$1561,((CROQUIS_DATOS!$C$1507+CROQUIS_DATOS!$C$1508)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20-1)/2)+1,MAX(1,INT(((((CROQUIS_DATOS!$C$1507+CROQUIS_DATOS!$C$1508))-(CROQUIS_DATOS!$C$1507))+((CROQUIS_DATOS!$C$1476)*CROQUIS_DATOS!$C$1561-(0)*CROQUIS_DATOS!$C$1561))/CROQUIS_DATOS!$C$1568-0.000001)))*CROQUIS_DATOS!$C$1568))))*CROQUIS_DATOS!$C$1565),-1000)</f>
        <v>27.6620689655172</v>
      </c>
      <c r="CF20">
        <f>IF(AND(CROQUIS_DATOS!$C$1472=1,CROQUIS_DATOS!$C$1512&gt;0,((CROQUIS_DATOS!$C$1511+CROQUIS_DATOS!$C$1512))-(CROQUIS_DATOS!$C$1511)&gt;0.5,(CROQUIS_DATOS!$C$1476)-(0)&gt;0.5),(CROQUIS_DATOS!$C$1566+(IF(IF(MOD(MIN(INT(($A20-1)/2)+1,MAX(1,INT(((((CROQUIS_DATOS!$C$1511+CROQUIS_DATOS!$C$1512))-(CROQUIS_DATOS!$C$1511))+((CROQUIS_DATOS!$C$1476)*CROQUIS_DATOS!$C$1561-(0)*CROQUIS_DATOS!$C$1561))/CROQUIS_DATOS!$C$1568-0.000001))),2)=1,IF(INT(($A20-1)/2)+1&gt;MAX(1,INT(((((CROQUIS_DATOS!$C$1511+CROQUIS_DATOS!$C$1512))-(CROQUIS_DATOS!$C$1511))+((CROQUIS_DATOS!$C$1476)*CROQUIS_DATOS!$C$1561-(0)*CROQUIS_DATOS!$C$1561))/CROQUIS_DATOS!$C$1568-0.000001)),1,MOD($A20-1,2)),1-IF(INT(($A20-1)/2)+1&gt;MAX(1,INT(((((CROQUIS_DATOS!$C$1511+CROQUIS_DATOS!$C$1512))-(CROQUIS_DATOS!$C$1511))+((CROQUIS_DATOS!$C$1476)*CROQUIS_DATOS!$C$1561-(0)*CROQUIS_DATOS!$C$1561))/CROQUIS_DATOS!$C$1568-0.000001)),1,MOD($A20-1,2)))=1,MIN((CROQUIS_DATOS!$C$1476)*CROQUIS_DATOS!$C$1561,((CROQUIS_DATOS!$C$1511+CROQUIS_DATOS!$C$1512)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0">
        <f>IF(AND(CROQUIS_DATOS!$C$1472=1,CROQUIS_DATOS!$C$1512&gt;0,((CROQUIS_DATOS!$C$1511+CROQUIS_DATOS!$C$1512))-(CROQUIS_DATOS!$C$1511)&gt;0.5,(CROQUIS_DATOS!$C$1476)-(0)&gt;0.5),(CROQUIS_DATOS!$C$1567+(IF(IF(MOD(MIN(INT(($A20-1)/2)+1,MAX(1,INT(((((CROQUIS_DATOS!$C$1511+CROQUIS_DATOS!$C$1512))-(CROQUIS_DATOS!$C$1511))+((CROQUIS_DATOS!$C$1476)*CROQUIS_DATOS!$C$1561-(0)*CROQUIS_DATOS!$C$1561))/CROQUIS_DATOS!$C$1568-0.000001))),2)=1,IF(INT(($A20-1)/2)+1&gt;MAX(1,INT(((((CROQUIS_DATOS!$C$1511+CROQUIS_DATOS!$C$1512))-(CROQUIS_DATOS!$C$1511))+((CROQUIS_DATOS!$C$1476)*CROQUIS_DATOS!$C$1561-(0)*CROQUIS_DATOS!$C$1561))/CROQUIS_DATOS!$C$1568-0.000001)),1,MOD($A20-1,2)),1-IF(INT(($A20-1)/2)+1&gt;MAX(1,INT(((((CROQUIS_DATOS!$C$1511+CROQUIS_DATOS!$C$1512))-(CROQUIS_DATOS!$C$1511))+((CROQUIS_DATOS!$C$1476)*CROQUIS_DATOS!$C$1561-(0)*CROQUIS_DATOS!$C$1561))/CROQUIS_DATOS!$C$1568-0.000001)),1,MOD($A20-1,2)))=1,MIN((CROQUIS_DATOS!$C$1476)*CROQUIS_DATOS!$C$1561,((CROQUIS_DATOS!$C$1511+CROQUIS_DATOS!$C$1512)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0">
        <f>IF(AND(CROQUIS_DATOS!$C$1472=1,CROQUIS_DATOS!$C$1516&gt;0,((CROQUIS_DATOS!$C$1515+CROQUIS_DATOS!$C$1516))-(CROQUIS_DATOS!$C$1515)&gt;0.5,(CROQUIS_DATOS!$C$1476)-(0)&gt;0.5),(CROQUIS_DATOS!$C$1566+(IF(IF(MOD(MIN(INT(($A20-1)/2)+1,MAX(1,INT(((((CROQUIS_DATOS!$C$1515+CROQUIS_DATOS!$C$1516))-(CROQUIS_DATOS!$C$1515))+((CROQUIS_DATOS!$C$1476)*CROQUIS_DATOS!$C$1561-(0)*CROQUIS_DATOS!$C$1561))/CROQUIS_DATOS!$C$1568-0.000001))),2)=1,IF(INT(($A20-1)/2)+1&gt;MAX(1,INT(((((CROQUIS_DATOS!$C$1515+CROQUIS_DATOS!$C$1516))-(CROQUIS_DATOS!$C$1515))+((CROQUIS_DATOS!$C$1476)*CROQUIS_DATOS!$C$1561-(0)*CROQUIS_DATOS!$C$1561))/CROQUIS_DATOS!$C$1568-0.000001)),1,MOD($A20-1,2)),1-IF(INT(($A20-1)/2)+1&gt;MAX(1,INT(((((CROQUIS_DATOS!$C$1515+CROQUIS_DATOS!$C$1516))-(CROQUIS_DATOS!$C$1515))+((CROQUIS_DATOS!$C$1476)*CROQUIS_DATOS!$C$1561-(0)*CROQUIS_DATOS!$C$1561))/CROQUIS_DATOS!$C$1568-0.000001)),1,MOD($A20-1,2)))=1,MIN((CROQUIS_DATOS!$C$1476)*CROQUIS_DATOS!$C$1561,((CROQUIS_DATOS!$C$1515+CROQUIS_DATOS!$C$1516)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0">
        <f>IF(AND(CROQUIS_DATOS!$C$1472=1,CROQUIS_DATOS!$C$1516&gt;0,((CROQUIS_DATOS!$C$1515+CROQUIS_DATOS!$C$1516))-(CROQUIS_DATOS!$C$1515)&gt;0.5,(CROQUIS_DATOS!$C$1476)-(0)&gt;0.5),(CROQUIS_DATOS!$C$1567+(IF(IF(MOD(MIN(INT(($A20-1)/2)+1,MAX(1,INT(((((CROQUIS_DATOS!$C$1515+CROQUIS_DATOS!$C$1516))-(CROQUIS_DATOS!$C$1515))+((CROQUIS_DATOS!$C$1476)*CROQUIS_DATOS!$C$1561-(0)*CROQUIS_DATOS!$C$1561))/CROQUIS_DATOS!$C$1568-0.000001))),2)=1,IF(INT(($A20-1)/2)+1&gt;MAX(1,INT(((((CROQUIS_DATOS!$C$1515+CROQUIS_DATOS!$C$1516))-(CROQUIS_DATOS!$C$1515))+((CROQUIS_DATOS!$C$1476)*CROQUIS_DATOS!$C$1561-(0)*CROQUIS_DATOS!$C$1561))/CROQUIS_DATOS!$C$1568-0.000001)),1,MOD($A20-1,2)),1-IF(INT(($A20-1)/2)+1&gt;MAX(1,INT(((((CROQUIS_DATOS!$C$1515+CROQUIS_DATOS!$C$1516))-(CROQUIS_DATOS!$C$1515))+((CROQUIS_DATOS!$C$1476)*CROQUIS_DATOS!$C$1561-(0)*CROQUIS_DATOS!$C$1561))/CROQUIS_DATOS!$C$1568-0.000001)),1,MOD($A20-1,2)))=1,MIN((CROQUIS_DATOS!$C$1476)*CROQUIS_DATOS!$C$1561,((CROQUIS_DATOS!$C$1515+CROQUIS_DATOS!$C$1516)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0">
        <f>IF(AND(CROQUIS_DATOS!$C$1472=1,CROQUIS_DATOS!$C$1478&gt;=1,((CROQUIS_DATOS!$C$1479+CROQUIS_DATOS!$C$1480))-(CROQUIS_DATOS!$C$1479)&gt;0.5,(CROQUIS_DATOS!$C$1481)-(0)&gt;0.5),(CROQUIS_DATOS!$C$1566+(IF(IF(MOD(MIN(INT(($A20-1)/2)+1,MAX(1,INT(((((CROQUIS_DATOS!$C$1479+CROQUIS_DATOS!$C$1480))-(CROQUIS_DATOS!$C$1479))+((CROQUIS_DATOS!$C$1481)*CROQUIS_DATOS!$C$1561-(0)*CROQUIS_DATOS!$C$1561))/CROQUIS_DATOS!$C$1568-0.000001))),2)=1,IF(INT(($A20-1)/2)+1&gt;MAX(1,INT(((((CROQUIS_DATOS!$C$1479+CROQUIS_DATOS!$C$1480))-(CROQUIS_DATOS!$C$1479))+((CROQUIS_DATOS!$C$1481)*CROQUIS_DATOS!$C$1561-(0)*CROQUIS_DATOS!$C$1561))/CROQUIS_DATOS!$C$1568-0.000001)),1,MOD($A20-1,2)),1-IF(INT(($A20-1)/2)+1&gt;MAX(1,INT(((((CROQUIS_DATOS!$C$1479+CROQUIS_DATOS!$C$1480))-(CROQUIS_DATOS!$C$1479))+((CROQUIS_DATOS!$C$1481)*CROQUIS_DATOS!$C$1561-(0)*CROQUIS_DATOS!$C$1561))/CROQUIS_DATOS!$C$1568-0.000001)),1,MOD($A20-1,2)))=1,MIN((CROQUIS_DATOS!$C$1481)*CROQUIS_DATOS!$C$1561,((CROQUIS_DATOS!$C$1479+CROQUIS_DATOS!$C$1480)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0">
        <f>IF(AND(CROQUIS_DATOS!$C$1472=1,CROQUIS_DATOS!$C$1478&gt;=1,((CROQUIS_DATOS!$C$1479+CROQUIS_DATOS!$C$1480))-(CROQUIS_DATOS!$C$1479)&gt;0.5,(CROQUIS_DATOS!$C$1481)-(0)&gt;0.5),(CROQUIS_DATOS!$C$1567+(IF(IF(MOD(MIN(INT(($A20-1)/2)+1,MAX(1,INT(((((CROQUIS_DATOS!$C$1479+CROQUIS_DATOS!$C$1480))-(CROQUIS_DATOS!$C$1479))+((CROQUIS_DATOS!$C$1481)*CROQUIS_DATOS!$C$1561-(0)*CROQUIS_DATOS!$C$1561))/CROQUIS_DATOS!$C$1568-0.000001))),2)=1,IF(INT(($A20-1)/2)+1&gt;MAX(1,INT(((((CROQUIS_DATOS!$C$1479+CROQUIS_DATOS!$C$1480))-(CROQUIS_DATOS!$C$1479))+((CROQUIS_DATOS!$C$1481)*CROQUIS_DATOS!$C$1561-(0)*CROQUIS_DATOS!$C$1561))/CROQUIS_DATOS!$C$1568-0.000001)),1,MOD($A20-1,2)),1-IF(INT(($A20-1)/2)+1&gt;MAX(1,INT(((((CROQUIS_DATOS!$C$1479+CROQUIS_DATOS!$C$1480))-(CROQUIS_DATOS!$C$1479))+((CROQUIS_DATOS!$C$1481)*CROQUIS_DATOS!$C$1561-(0)*CROQUIS_DATOS!$C$1561))/CROQUIS_DATOS!$C$1568-0.000001)),1,MOD($A20-1,2)))=1,MIN((CROQUIS_DATOS!$C$1481)*CROQUIS_DATOS!$C$1561,((CROQUIS_DATOS!$C$1479+CROQUIS_DATOS!$C$1480)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0">
        <f>IF(AND(CROQUIS_DATOS!$C$1472=1,CROQUIS_DATOS!$C$1478&gt;=1,((CROQUIS_DATOS!$C$1479+CROQUIS_DATOS!$C$1480))-(CROQUIS_DATOS!$C$1479)&gt;0.5,(CROQUIS_DATOS!$C$1476)-((CROQUIS_DATOS!$C$1481+CROQUIS_DATOS!$C$1482))&gt;0.5),(CROQUIS_DATOS!$C$1566+(IF(IF(MOD(MIN(INT(($A20-1)/2)+1,MAX(1,INT(((((CROQUIS_DATOS!$C$1479+CROQUIS_DATOS!$C$1480))-(CROQUIS_DATOS!$C$1479))+((CROQUIS_DATOS!$C$1476)*CROQUIS_DATOS!$C$1561-((CROQUIS_DATOS!$C$1481+CROQUIS_DATOS!$C$1482))*CROQUIS_DATOS!$C$1561))/CROQUIS_DATOS!$C$1568-0.000001))),2)=1,IF(INT(($A20-1)/2)+1&gt;MAX(1,INT(((((CROQUIS_DATOS!$C$1479+CROQUIS_DATOS!$C$1480))-(CROQUIS_DATOS!$C$1479))+((CROQUIS_DATOS!$C$1476)*CROQUIS_DATOS!$C$1561-((CROQUIS_DATOS!$C$1481+CROQUIS_DATOS!$C$1482))*CROQUIS_DATOS!$C$1561))/CROQUIS_DATOS!$C$1568-0.000001)),1,MOD($A20-1,2)),1-IF(INT(($A20-1)/2)+1&gt;MAX(1,INT(((((CROQUIS_DATOS!$C$1479+CROQUIS_DATOS!$C$1480))-(CROQUIS_DATOS!$C$1479))+((CROQUIS_DATOS!$C$1476)*CROQUIS_DATOS!$C$1561-((CROQUIS_DATOS!$C$1481+CROQUIS_DATOS!$C$1482))*CROQUIS_DATOS!$C$1561))/CROQUIS_DATOS!$C$1568-0.000001)),1,MOD($A20-1,2)))=1,MIN((CROQUIS_DATOS!$C$1476)*CROQUIS_DATOS!$C$1561,((CROQUIS_DATOS!$C$1479+CROQUIS_DATOS!$C$1480)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35.4758620689655</v>
      </c>
      <c r="CM20">
        <f>IF(AND(CROQUIS_DATOS!$C$1472=1,CROQUIS_DATOS!$C$1478&gt;=1,((CROQUIS_DATOS!$C$1479+CROQUIS_DATOS!$C$1480))-(CROQUIS_DATOS!$C$1479)&gt;0.5,(CROQUIS_DATOS!$C$1476)-((CROQUIS_DATOS!$C$1481+CROQUIS_DATOS!$C$1482))&gt;0.5),(CROQUIS_DATOS!$C$1567+(IF(IF(MOD(MIN(INT(($A20-1)/2)+1,MAX(1,INT(((((CROQUIS_DATOS!$C$1479+CROQUIS_DATOS!$C$1480))-(CROQUIS_DATOS!$C$1479))+((CROQUIS_DATOS!$C$1476)*CROQUIS_DATOS!$C$1561-((CROQUIS_DATOS!$C$1481+CROQUIS_DATOS!$C$1482))*CROQUIS_DATOS!$C$1561))/CROQUIS_DATOS!$C$1568-0.000001))),2)=1,IF(INT(($A20-1)/2)+1&gt;MAX(1,INT(((((CROQUIS_DATOS!$C$1479+CROQUIS_DATOS!$C$1480))-(CROQUIS_DATOS!$C$1479))+((CROQUIS_DATOS!$C$1476)*CROQUIS_DATOS!$C$1561-((CROQUIS_DATOS!$C$1481+CROQUIS_DATOS!$C$1482))*CROQUIS_DATOS!$C$1561))/CROQUIS_DATOS!$C$1568-0.000001)),1,MOD($A20-1,2)),1-IF(INT(($A20-1)/2)+1&gt;MAX(1,INT(((((CROQUIS_DATOS!$C$1479+CROQUIS_DATOS!$C$1480))-(CROQUIS_DATOS!$C$1479))+((CROQUIS_DATOS!$C$1476)*CROQUIS_DATOS!$C$1561-((CROQUIS_DATOS!$C$1481+CROQUIS_DATOS!$C$1482))*CROQUIS_DATOS!$C$1561))/CROQUIS_DATOS!$C$1568-0.000001)),1,MOD($A20-1,2)))=1,MIN((CROQUIS_DATOS!$C$1476)*CROQUIS_DATOS!$C$1561,((CROQUIS_DATOS!$C$1479+CROQUIS_DATOS!$C$1480)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0">
        <f>IF(AND(CROQUIS_DATOS!$C$1472=1,CROQUIS_DATOS!$C$1478&gt;=2,((CROQUIS_DATOS!$C$1484+CROQUIS_DATOS!$C$1485))-(CROQUIS_DATOS!$C$1484)&gt;0.5,(CROQUIS_DATOS!$C$1486)-(0)&gt;0.5),(CROQUIS_DATOS!$C$1566+(IF(IF(MOD(MIN(INT(($A20-1)/2)+1,MAX(1,INT(((((CROQUIS_DATOS!$C$1484+CROQUIS_DATOS!$C$1485))-(CROQUIS_DATOS!$C$1484))+((CROQUIS_DATOS!$C$1486)*CROQUIS_DATOS!$C$1561-(0)*CROQUIS_DATOS!$C$1561))/CROQUIS_DATOS!$C$1568-0.000001))),2)=1,IF(INT(($A20-1)/2)+1&gt;MAX(1,INT(((((CROQUIS_DATOS!$C$1484+CROQUIS_DATOS!$C$1485))-(CROQUIS_DATOS!$C$1484))+((CROQUIS_DATOS!$C$1486)*CROQUIS_DATOS!$C$1561-(0)*CROQUIS_DATOS!$C$1561))/CROQUIS_DATOS!$C$1568-0.000001)),1,MOD($A20-1,2)),1-IF(INT(($A20-1)/2)+1&gt;MAX(1,INT(((((CROQUIS_DATOS!$C$1484+CROQUIS_DATOS!$C$1485))-(CROQUIS_DATOS!$C$1484))+((CROQUIS_DATOS!$C$1486)*CROQUIS_DATOS!$C$1561-(0)*CROQUIS_DATOS!$C$1561))/CROQUIS_DATOS!$C$1568-0.000001)),1,MOD($A20-1,2)))=1,MIN((CROQUIS_DATOS!$C$1486)*CROQUIS_DATOS!$C$1561,((CROQUIS_DATOS!$C$1484+CROQUIS_DATOS!$C$1485)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*CROQUIS_DATOS!$C$1565),-1000)</f>
        <v>50.4413793103448</v>
      </c>
      <c r="CS20">
        <f>IF(AND(CROQUIS_DATOS!$C$1472=1,CROQUIS_DATOS!$C$1478&gt;=2,((CROQUIS_DATOS!$C$1484+CROQUIS_DATOS!$C$1485))-(CROQUIS_DATOS!$C$1484)&gt;0.5,(CROQUIS_DATOS!$C$1486)-(0)&gt;0.5),(CROQUIS_DATOS!$C$1567+(IF(IF(MOD(MIN(INT(($A20-1)/2)+1,MAX(1,INT(((((CROQUIS_DATOS!$C$1484+CROQUIS_DATOS!$C$1485))-(CROQUIS_DATOS!$C$1484))+((CROQUIS_DATOS!$C$1486)*CROQUIS_DATOS!$C$1561-(0)*CROQUIS_DATOS!$C$1561))/CROQUIS_DATOS!$C$1568-0.000001))),2)=1,IF(INT(($A20-1)/2)+1&gt;MAX(1,INT(((((CROQUIS_DATOS!$C$1484+CROQUIS_DATOS!$C$1485))-(CROQUIS_DATOS!$C$1484))+((CROQUIS_DATOS!$C$1486)*CROQUIS_DATOS!$C$1561-(0)*CROQUIS_DATOS!$C$1561))/CROQUIS_DATOS!$C$1568-0.000001)),1,MOD($A20-1,2)),1-IF(INT(($A20-1)/2)+1&gt;MAX(1,INT(((((CROQUIS_DATOS!$C$1484+CROQUIS_DATOS!$C$1485))-(CROQUIS_DATOS!$C$1484))+((CROQUIS_DATOS!$C$1486)*CROQUIS_DATOS!$C$1561-(0)*CROQUIS_DATOS!$C$1561))/CROQUIS_DATOS!$C$1568-0.000001)),1,MOD($A20-1,2)))=1,MIN((CROQUIS_DATOS!$C$1486)*CROQUIS_DATOS!$C$1561,((CROQUIS_DATOS!$C$1484+CROQUIS_DATOS!$C$1485)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20">
        <f>IF(AND(CROQUIS_DATOS!$C$1472=1,CROQUIS_DATOS!$C$1478&gt;=2,((CROQUIS_DATOS!$C$1484+CROQUIS_DATOS!$C$1485))-(CROQUIS_DATOS!$C$1484)&gt;0.5,(CROQUIS_DATOS!$C$1476)-((CROQUIS_DATOS!$C$1486+CROQUIS_DATOS!$C$1487))&gt;0.5),(CROQUIS_DATOS!$C$1566+(IF(IF(MOD(MIN(INT(($A20-1)/2)+1,MAX(1,INT(((((CROQUIS_DATOS!$C$1484+CROQUIS_DATOS!$C$1485))-(CROQUIS_DATOS!$C$1484))+((CROQUIS_DATOS!$C$1476)*CROQUIS_DATOS!$C$1561-((CROQUIS_DATOS!$C$1486+CROQUIS_DATOS!$C$1487))*CROQUIS_DATOS!$C$1561))/CROQUIS_DATOS!$C$1568-0.000001))),2)=1,IF(INT(($A20-1)/2)+1&gt;MAX(1,INT(((((CROQUIS_DATOS!$C$1484+CROQUIS_DATOS!$C$1485))-(CROQUIS_DATOS!$C$1484))+((CROQUIS_DATOS!$C$1476)*CROQUIS_DATOS!$C$1561-((CROQUIS_DATOS!$C$1486+CROQUIS_DATOS!$C$1487))*CROQUIS_DATOS!$C$1561))/CROQUIS_DATOS!$C$1568-0.000001)),1,MOD($A20-1,2)),1-IF(INT(($A20-1)/2)+1&gt;MAX(1,INT(((((CROQUIS_DATOS!$C$1484+CROQUIS_DATOS!$C$1485))-(CROQUIS_DATOS!$C$1484))+((CROQUIS_DATOS!$C$1476)*CROQUIS_DATOS!$C$1561-((CROQUIS_DATOS!$C$1486+CROQUIS_DATOS!$C$1487))*CROQUIS_DATOS!$C$1561))/CROQUIS_DATOS!$C$1568-0.000001)),1,MOD($A20-1,2)))=1,MIN((CROQUIS_DATOS!$C$1476)*CROQUIS_DATOS!$C$1561,((CROQUIS_DATOS!$C$1484+CROQUIS_DATOS!$C$1485)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55.7862068965517</v>
      </c>
      <c r="CU20">
        <f>IF(AND(CROQUIS_DATOS!$C$1472=1,CROQUIS_DATOS!$C$1478&gt;=2,((CROQUIS_DATOS!$C$1484+CROQUIS_DATOS!$C$1485))-(CROQUIS_DATOS!$C$1484)&gt;0.5,(CROQUIS_DATOS!$C$1476)-((CROQUIS_DATOS!$C$1486+CROQUIS_DATOS!$C$1487))&gt;0.5),(CROQUIS_DATOS!$C$1567+(IF(IF(MOD(MIN(INT(($A20-1)/2)+1,MAX(1,INT(((((CROQUIS_DATOS!$C$1484+CROQUIS_DATOS!$C$1485))-(CROQUIS_DATOS!$C$1484))+((CROQUIS_DATOS!$C$1476)*CROQUIS_DATOS!$C$1561-((CROQUIS_DATOS!$C$1486+CROQUIS_DATOS!$C$1487))*CROQUIS_DATOS!$C$1561))/CROQUIS_DATOS!$C$1568-0.000001))),2)=1,IF(INT(($A20-1)/2)+1&gt;MAX(1,INT(((((CROQUIS_DATOS!$C$1484+CROQUIS_DATOS!$C$1485))-(CROQUIS_DATOS!$C$1484))+((CROQUIS_DATOS!$C$1476)*CROQUIS_DATOS!$C$1561-((CROQUIS_DATOS!$C$1486+CROQUIS_DATOS!$C$1487))*CROQUIS_DATOS!$C$1561))/CROQUIS_DATOS!$C$1568-0.000001)),1,MOD($A20-1,2)),1-IF(INT(($A20-1)/2)+1&gt;MAX(1,INT(((((CROQUIS_DATOS!$C$1484+CROQUIS_DATOS!$C$1485))-(CROQUIS_DATOS!$C$1484))+((CROQUIS_DATOS!$C$1476)*CROQUIS_DATOS!$C$1561-((CROQUIS_DATOS!$C$1486+CROQUIS_DATOS!$C$1487))*CROQUIS_DATOS!$C$1561))/CROQUIS_DATOS!$C$1568-0.000001)),1,MOD($A20-1,2)))=1,MIN((CROQUIS_DATOS!$C$1476)*CROQUIS_DATOS!$C$1561,((CROQUIS_DATOS!$C$1484+CROQUIS_DATOS!$C$1485)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20">
        <f>IF(AND(CROQUIS_DATOS!$C$1472=1,CROQUIS_DATOS!$C$1478&gt;=3,((CROQUIS_DATOS!$C$1489+CROQUIS_DATOS!$C$1490))-(CROQUIS_DATOS!$C$1489)&gt;0.5,(CROQUIS_DATOS!$C$1491)-(0)&gt;0.5),(CROQUIS_DATOS!$C$1566+(IF(IF(MOD(MIN(INT(($A20-1)/2)+1,MAX(1,INT(((((CROQUIS_DATOS!$C$1489+CROQUIS_DATOS!$C$1490))-(CROQUIS_DATOS!$C$1489))+((CROQUIS_DATOS!$C$1491)*CROQUIS_DATOS!$C$1561-(0)*CROQUIS_DATOS!$C$1561))/CROQUIS_DATOS!$C$1568-0.000001))),2)=1,IF(INT(($A20-1)/2)+1&gt;MAX(1,INT(((((CROQUIS_DATOS!$C$1489+CROQUIS_DATOS!$C$1490))-(CROQUIS_DATOS!$C$1489))+((CROQUIS_DATOS!$C$1491)*CROQUIS_DATOS!$C$1561-(0)*CROQUIS_DATOS!$C$1561))/CROQUIS_DATOS!$C$1568-0.000001)),1,MOD($A20-1,2)),1-IF(INT(($A20-1)/2)+1&gt;MAX(1,INT(((((CROQUIS_DATOS!$C$1489+CROQUIS_DATOS!$C$1490))-(CROQUIS_DATOS!$C$1489))+((CROQUIS_DATOS!$C$1491)*CROQUIS_DATOS!$C$1561-(0)*CROQUIS_DATOS!$C$1561))/CROQUIS_DATOS!$C$1568-0.000001)),1,MOD($A20-1,2)))=1,MIN((CROQUIS_DATOS!$C$1491)*CROQUIS_DATOS!$C$1561,((CROQUIS_DATOS!$C$1489+CROQUIS_DATOS!$C$1490)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0">
        <f>IF(AND(CROQUIS_DATOS!$C$1472=1,CROQUIS_DATOS!$C$1478&gt;=3,((CROQUIS_DATOS!$C$1489+CROQUIS_DATOS!$C$1490))-(CROQUIS_DATOS!$C$1489)&gt;0.5,(CROQUIS_DATOS!$C$1491)-(0)&gt;0.5),(CROQUIS_DATOS!$C$1567+(IF(IF(MOD(MIN(INT(($A20-1)/2)+1,MAX(1,INT(((((CROQUIS_DATOS!$C$1489+CROQUIS_DATOS!$C$1490))-(CROQUIS_DATOS!$C$1489))+((CROQUIS_DATOS!$C$1491)*CROQUIS_DATOS!$C$1561-(0)*CROQUIS_DATOS!$C$1561))/CROQUIS_DATOS!$C$1568-0.000001))),2)=1,IF(INT(($A20-1)/2)+1&gt;MAX(1,INT(((((CROQUIS_DATOS!$C$1489+CROQUIS_DATOS!$C$1490))-(CROQUIS_DATOS!$C$1489))+((CROQUIS_DATOS!$C$1491)*CROQUIS_DATOS!$C$1561-(0)*CROQUIS_DATOS!$C$1561))/CROQUIS_DATOS!$C$1568-0.000001)),1,MOD($A20-1,2)),1-IF(INT(($A20-1)/2)+1&gt;MAX(1,INT(((((CROQUIS_DATOS!$C$1489+CROQUIS_DATOS!$C$1490))-(CROQUIS_DATOS!$C$1489))+((CROQUIS_DATOS!$C$1491)*CROQUIS_DATOS!$C$1561-(0)*CROQUIS_DATOS!$C$1561))/CROQUIS_DATOS!$C$1568-0.000001)),1,MOD($A20-1,2)))=1,MIN((CROQUIS_DATOS!$C$1491)*CROQUIS_DATOS!$C$1561,((CROQUIS_DATOS!$C$1489+CROQUIS_DATOS!$C$1490)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0">
        <f>IF(AND(CROQUIS_DATOS!$C$1472=1,CROQUIS_DATOS!$C$1478&gt;=3,((CROQUIS_DATOS!$C$1489+CROQUIS_DATOS!$C$1490))-(CROQUIS_DATOS!$C$1489)&gt;0.5,(CROQUIS_DATOS!$C$1476)-((CROQUIS_DATOS!$C$1491+CROQUIS_DATOS!$C$1492))&gt;0.5),(CROQUIS_DATOS!$C$1566+(IF(IF(MOD(MIN(INT(($A20-1)/2)+1,MAX(1,INT(((((CROQUIS_DATOS!$C$1489+CROQUIS_DATOS!$C$1490))-(CROQUIS_DATOS!$C$1489))+((CROQUIS_DATOS!$C$1476)*CROQUIS_DATOS!$C$1561-((CROQUIS_DATOS!$C$1491+CROQUIS_DATOS!$C$1492))*CROQUIS_DATOS!$C$1561))/CROQUIS_DATOS!$C$1568-0.000001))),2)=1,IF(INT(($A20-1)/2)+1&gt;MAX(1,INT(((((CROQUIS_DATOS!$C$1489+CROQUIS_DATOS!$C$1490))-(CROQUIS_DATOS!$C$1489))+((CROQUIS_DATOS!$C$1476)*CROQUIS_DATOS!$C$1561-((CROQUIS_DATOS!$C$1491+CROQUIS_DATOS!$C$1492))*CROQUIS_DATOS!$C$1561))/CROQUIS_DATOS!$C$1568-0.000001)),1,MOD($A20-1,2)),1-IF(INT(($A20-1)/2)+1&gt;MAX(1,INT(((((CROQUIS_DATOS!$C$1489+CROQUIS_DATOS!$C$1490))-(CROQUIS_DATOS!$C$1489))+((CROQUIS_DATOS!$C$1476)*CROQUIS_DATOS!$C$1561-((CROQUIS_DATOS!$C$1491+CROQUIS_DATOS!$C$1492))*CROQUIS_DATOS!$C$1561))/CROQUIS_DATOS!$C$1568-0.000001)),1,MOD($A20-1,2)))=1,MIN((CROQUIS_DATOS!$C$1476)*CROQUIS_DATOS!$C$1561,((CROQUIS_DATOS!$C$1489+CROQUIS_DATOS!$C$1490)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0">
        <f>IF(AND(CROQUIS_DATOS!$C$1472=1,CROQUIS_DATOS!$C$1478&gt;=3,((CROQUIS_DATOS!$C$1489+CROQUIS_DATOS!$C$1490))-(CROQUIS_DATOS!$C$1489)&gt;0.5,(CROQUIS_DATOS!$C$1476)-((CROQUIS_DATOS!$C$1491+CROQUIS_DATOS!$C$1492))&gt;0.5),(CROQUIS_DATOS!$C$1567+(IF(IF(MOD(MIN(INT(($A20-1)/2)+1,MAX(1,INT(((((CROQUIS_DATOS!$C$1489+CROQUIS_DATOS!$C$1490))-(CROQUIS_DATOS!$C$1489))+((CROQUIS_DATOS!$C$1476)*CROQUIS_DATOS!$C$1561-((CROQUIS_DATOS!$C$1491+CROQUIS_DATOS!$C$1492))*CROQUIS_DATOS!$C$1561))/CROQUIS_DATOS!$C$1568-0.000001))),2)=1,IF(INT(($A20-1)/2)+1&gt;MAX(1,INT(((((CROQUIS_DATOS!$C$1489+CROQUIS_DATOS!$C$1490))-(CROQUIS_DATOS!$C$1489))+((CROQUIS_DATOS!$C$1476)*CROQUIS_DATOS!$C$1561-((CROQUIS_DATOS!$C$1491+CROQUIS_DATOS!$C$1492))*CROQUIS_DATOS!$C$1561))/CROQUIS_DATOS!$C$1568-0.000001)),1,MOD($A20-1,2)),1-IF(INT(($A20-1)/2)+1&gt;MAX(1,INT(((((CROQUIS_DATOS!$C$1489+CROQUIS_DATOS!$C$1490))-(CROQUIS_DATOS!$C$1489))+((CROQUIS_DATOS!$C$1476)*CROQUIS_DATOS!$C$1561-((CROQUIS_DATOS!$C$1491+CROQUIS_DATOS!$C$1492))*CROQUIS_DATOS!$C$1561))/CROQUIS_DATOS!$C$1568-0.000001)),1,MOD($A20-1,2)))=1,MIN((CROQUIS_DATOS!$C$1476)*CROQUIS_DATOS!$C$1561,((CROQUIS_DATOS!$C$1489+CROQUIS_DATOS!$C$1490)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0">
        <f>IF(AND(CROQUIS_DATOS!$C$1472=1,CROQUIS_DATOS!$C$1478&gt;=4,((CROQUIS_DATOS!$C$1494+CROQUIS_DATOS!$C$1495))-(CROQUIS_DATOS!$C$1494)&gt;0.5,(CROQUIS_DATOS!$C$1496)-(0)&gt;0.5),(CROQUIS_DATOS!$C$1566+(IF(IF(MOD(MIN(INT(($A20-1)/2)+1,MAX(1,INT(((((CROQUIS_DATOS!$C$1494+CROQUIS_DATOS!$C$1495))-(CROQUIS_DATOS!$C$1494))+((CROQUIS_DATOS!$C$1496)*CROQUIS_DATOS!$C$1561-(0)*CROQUIS_DATOS!$C$1561))/CROQUIS_DATOS!$C$1568-0.000001))),2)=1,IF(INT(($A20-1)/2)+1&gt;MAX(1,INT(((((CROQUIS_DATOS!$C$1494+CROQUIS_DATOS!$C$1495))-(CROQUIS_DATOS!$C$1494))+((CROQUIS_DATOS!$C$1496)*CROQUIS_DATOS!$C$1561-(0)*CROQUIS_DATOS!$C$1561))/CROQUIS_DATOS!$C$1568-0.000001)),1,MOD($A20-1,2)),1-IF(INT(($A20-1)/2)+1&gt;MAX(1,INT(((((CROQUIS_DATOS!$C$1494+CROQUIS_DATOS!$C$1495))-(CROQUIS_DATOS!$C$1494))+((CROQUIS_DATOS!$C$1496)*CROQUIS_DATOS!$C$1561-(0)*CROQUIS_DATOS!$C$1561))/CROQUIS_DATOS!$C$1568-0.000001)),1,MOD($A20-1,2)))=1,MIN((CROQUIS_DATOS!$C$1496)*CROQUIS_DATOS!$C$1561,((CROQUIS_DATOS!$C$1494+CROQUIS_DATOS!$C$1495)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0">
        <f>IF(AND(CROQUIS_DATOS!$C$1472=1,CROQUIS_DATOS!$C$1478&gt;=4,((CROQUIS_DATOS!$C$1494+CROQUIS_DATOS!$C$1495))-(CROQUIS_DATOS!$C$1494)&gt;0.5,(CROQUIS_DATOS!$C$1496)-(0)&gt;0.5),(CROQUIS_DATOS!$C$1567+(IF(IF(MOD(MIN(INT(($A20-1)/2)+1,MAX(1,INT(((((CROQUIS_DATOS!$C$1494+CROQUIS_DATOS!$C$1495))-(CROQUIS_DATOS!$C$1494))+((CROQUIS_DATOS!$C$1496)*CROQUIS_DATOS!$C$1561-(0)*CROQUIS_DATOS!$C$1561))/CROQUIS_DATOS!$C$1568-0.000001))),2)=1,IF(INT(($A20-1)/2)+1&gt;MAX(1,INT(((((CROQUIS_DATOS!$C$1494+CROQUIS_DATOS!$C$1495))-(CROQUIS_DATOS!$C$1494))+((CROQUIS_DATOS!$C$1496)*CROQUIS_DATOS!$C$1561-(0)*CROQUIS_DATOS!$C$1561))/CROQUIS_DATOS!$C$1568-0.000001)),1,MOD($A20-1,2)),1-IF(INT(($A20-1)/2)+1&gt;MAX(1,INT(((((CROQUIS_DATOS!$C$1494+CROQUIS_DATOS!$C$1495))-(CROQUIS_DATOS!$C$1494))+((CROQUIS_DATOS!$C$1496)*CROQUIS_DATOS!$C$1561-(0)*CROQUIS_DATOS!$C$1561))/CROQUIS_DATOS!$C$1568-0.000001)),1,MOD($A20-1,2)))=1,MIN((CROQUIS_DATOS!$C$1496)*CROQUIS_DATOS!$C$1561,((CROQUIS_DATOS!$C$1494+CROQUIS_DATOS!$C$1495)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0">
        <f>IF(AND(CROQUIS_DATOS!$C$1472=1,CROQUIS_DATOS!$C$1478&gt;=4,((CROQUIS_DATOS!$C$1494+CROQUIS_DATOS!$C$1495))-(CROQUIS_DATOS!$C$1494)&gt;0.5,(CROQUIS_DATOS!$C$1476)-((CROQUIS_DATOS!$C$1496+CROQUIS_DATOS!$C$1497))&gt;0.5),(CROQUIS_DATOS!$C$1566+(IF(IF(MOD(MIN(INT(($A20-1)/2)+1,MAX(1,INT(((((CROQUIS_DATOS!$C$1494+CROQUIS_DATOS!$C$1495))-(CROQUIS_DATOS!$C$1494))+((CROQUIS_DATOS!$C$1476)*CROQUIS_DATOS!$C$1561-((CROQUIS_DATOS!$C$1496+CROQUIS_DATOS!$C$1497))*CROQUIS_DATOS!$C$1561))/CROQUIS_DATOS!$C$1568-0.000001))),2)=1,IF(INT(($A20-1)/2)+1&gt;MAX(1,INT(((((CROQUIS_DATOS!$C$1494+CROQUIS_DATOS!$C$1495))-(CROQUIS_DATOS!$C$1494))+((CROQUIS_DATOS!$C$1476)*CROQUIS_DATOS!$C$1561-((CROQUIS_DATOS!$C$1496+CROQUIS_DATOS!$C$1497))*CROQUIS_DATOS!$C$1561))/CROQUIS_DATOS!$C$1568-0.000001)),1,MOD($A20-1,2)),1-IF(INT(($A20-1)/2)+1&gt;MAX(1,INT(((((CROQUIS_DATOS!$C$1494+CROQUIS_DATOS!$C$1495))-(CROQUIS_DATOS!$C$1494))+((CROQUIS_DATOS!$C$1476)*CROQUIS_DATOS!$C$1561-((CROQUIS_DATOS!$C$1496+CROQUIS_DATOS!$C$1497))*CROQUIS_DATOS!$C$1561))/CROQUIS_DATOS!$C$1568-0.000001)),1,MOD($A20-1,2)))=1,MIN((CROQUIS_DATOS!$C$1476)*CROQUIS_DATOS!$C$1561,((CROQUIS_DATOS!$C$1494+CROQUIS_DATOS!$C$1495)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0">
        <f>IF(AND(CROQUIS_DATOS!$C$1472=1,CROQUIS_DATOS!$C$1478&gt;=4,((CROQUIS_DATOS!$C$1494+CROQUIS_DATOS!$C$1495))-(CROQUIS_DATOS!$C$1494)&gt;0.5,(CROQUIS_DATOS!$C$1476)-((CROQUIS_DATOS!$C$1496+CROQUIS_DATOS!$C$1497))&gt;0.5),(CROQUIS_DATOS!$C$1567+(IF(IF(MOD(MIN(INT(($A20-1)/2)+1,MAX(1,INT(((((CROQUIS_DATOS!$C$1494+CROQUIS_DATOS!$C$1495))-(CROQUIS_DATOS!$C$1494))+((CROQUIS_DATOS!$C$1476)*CROQUIS_DATOS!$C$1561-((CROQUIS_DATOS!$C$1496+CROQUIS_DATOS!$C$1497))*CROQUIS_DATOS!$C$1561))/CROQUIS_DATOS!$C$1568-0.000001))),2)=1,IF(INT(($A20-1)/2)+1&gt;MAX(1,INT(((((CROQUIS_DATOS!$C$1494+CROQUIS_DATOS!$C$1495))-(CROQUIS_DATOS!$C$1494))+((CROQUIS_DATOS!$C$1476)*CROQUIS_DATOS!$C$1561-((CROQUIS_DATOS!$C$1496+CROQUIS_DATOS!$C$1497))*CROQUIS_DATOS!$C$1561))/CROQUIS_DATOS!$C$1568-0.000001)),1,MOD($A20-1,2)),1-IF(INT(($A20-1)/2)+1&gt;MAX(1,INT(((((CROQUIS_DATOS!$C$1494+CROQUIS_DATOS!$C$1495))-(CROQUIS_DATOS!$C$1494))+((CROQUIS_DATOS!$C$1476)*CROQUIS_DATOS!$C$1561-((CROQUIS_DATOS!$C$1496+CROQUIS_DATOS!$C$1497))*CROQUIS_DATOS!$C$1561))/CROQUIS_DATOS!$C$1568-0.000001)),1,MOD($A20-1,2)))=1,MIN((CROQUIS_DATOS!$C$1476)*CROQUIS_DATOS!$C$1561,((CROQUIS_DATOS!$C$1494+CROQUIS_DATOS!$C$1495)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0">
        <f>IF(AND(CROQUIS_DATOS!$C$1472=1,1),(CROQUIS_DATOS!$C$1566+(INDEX($E$8:$E$23,MIN($A20,CROQUIS_DATOS!$C$1525)))*CROQUIS_DATOS!$C$1565),-1000)</f>
        <v>76.9224137931035</v>
      </c>
      <c r="EW20">
        <f>IF(AND(CROQUIS_DATOS!$C$1472=1,1),((CROQUIS_DATOS!$C$1567+(CROQUIS_DATOS!$C$1476+CROQUIS_DATOS!$C$1528)*CROQUIS_DATOS!$C$1561*CROQUIS_DATOS!$C$1565)+1.5),-1000)</f>
        <v>42.5</v>
      </c>
      <c r="GD20">
        <f>IF(AND(CROQUIS_DATOS!$C$1472=1,1),(CROQUIS_DATOS!$C$1571+(CHOOSE(MIN(MAX(IF(INT(($A20-1)/5)+1&gt;CROQUIS_DATOS!$C$1525,5,MOD($A20-1,5)+1),1),5),(INDEX($E$8:$E$23,MIN(INT(($A20-1)/5)+1,CROQUIS_DATOS!$C$1525))-INDEX($F$8:$F$23,MIN(INT(($A20-1)/5)+1,CROQUIS_DATOS!$C$1525))/2),(INDEX($E$8:$E$23,MIN(INT(($A20-1)/5)+1,CROQUIS_DATOS!$C$1525))+INDEX($F$8:$F$23,MIN(INT(($A20-1)/5)+1,CROQUIS_DATOS!$C$1525))/2),(INDEX($E$8:$E$23,MIN(INT(($A20-1)/5)+1,CROQUIS_DATOS!$C$1525))+INDEX($F$8:$F$23,MIN(INT(($A20-1)/5)+1,CROQUIS_DATOS!$C$1525))/2),(INDEX($E$8:$E$23,MIN(INT(($A20-1)/5)+1,CROQUIS_DATOS!$C$1525))-INDEX($F$8:$F$23,MIN(INT(($A20-1)/5)+1,CROQUIS_DATOS!$C$1525))/2),(INDEX($E$8:$E$23,MIN(INT(($A20-1)/5)+1,CROQUIS_DATOS!$C$1525))-INDEX($F$8:$F$23,MIN(INT(($A20-1)/5)+1,CROQUIS_DATOS!$C$1525))/2)))*CROQUIS_DATOS!$C$1569),-1000)</f>
        <v>32.68</v>
      </c>
      <c r="GE20">
        <f>IF(AND(CROQUIS_DATOS!$C$1472=1,1),(CROQUIS_DATOS!$C$1572+(CHOOSE(MIN(MAX(IF(INT(($A20-1)/5)+1&gt;CROQUIS_DATOS!$C$1525,5,MOD($A20-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20">
        <f>IF(AND(CROQUIS_DATOS!$C$1472=1,1),IF(INT(($A20-1)/4)+1&lt;=CROQUIS_DATOS!$C$1525,(CROQUIS_DATOS!$C$1571+((INDEX($E$8:$E$23,MIN(INT(($A20-1)/4)+1,16))+IF(OR(MOD($A20-1,4)=0,MOD($A20-1,4)=3),-1,1)*(INDEX($F$8:$F$23,MIN(INT(($A20-1)/4)+1,16))/2-(CROQUIS_DATOS!$C$1530+CROQUIS_DATOS!$C$1532+IF(OR(INT(($A20-1)/4)+1=1,INT(($A20-1)/4)+1=CROQUIS_DATOS!$C$1525),CROQUIS_DATOS!$C$1534,CROQUIS_DATOS!$C$1531)/2))))*CROQUIS_DATOS!$C$1569),-1000),-1000)</f>
        <v>46.132516</v>
      </c>
      <c r="GG20">
        <f>IF(AND(CROQUIS_DATOS!$C$1472=1,1),IF(INT(($A20-1)/4)+1&lt;=CROQUIS_DATOS!$C$1525,(CROQUIS_DATOS!$C$1572+((CROQUIS_DATOS!$C$1477/2+IF(MOD($A20-1,4)&lt;2,-1,1)*(CROQUIS_DATOS!$C$1527/2-(CROQUIS_DATOS!$C$1530+CROQUIS_DATOS!$C$1532+IF(OR(INT(($A20-1)/4)+1=1,INT(($A20-1)/4)+1=CROQUIS_DATOS!$C$1525),CROQUIS_DATOS!$C$1534,CROQUIS_DATOS!$C$1531)/2))))*CROQUIS_DATOS!$C$1569*CROQUIS_DATOS!$C$1570),-1000),-1000)</f>
        <v>10.43345</v>
      </c>
    </row>
    <row r="21">
      <c r="A21" t="n">
        <v>14</v>
      </c>
      <c r="B21" t="n">
        <v>14</v>
      </c>
      <c r="C21">
        <f>1+(B21&gt;CROQUIS_DATOS!$C$1520)+(B21&gt;CROQUIS_DATOS!$C$1521)+(B21&gt;CROQUIS_DATOS!$C$1522)+(B21&gt;CROQUIS_DATOS!$C$1523)</f>
        <v>5</v>
      </c>
      <c r="D21">
        <f>B21-CHOOSE(MIN(C21,5),0,CROQUIS_DATOS!$C$1520,CROQUIS_DATOS!$C$1521,CROQUIS_DATOS!$C$1522,CROQUIS_DATOS!$C$1523)</f>
        <v>8</v>
      </c>
      <c r="E21">
        <f>IF(G21=0,0,CHOOSE(MIN(C21,5),CROQUIS_DATOS!$C$1499,CROQUIS_DATOS!$C$1503,CROQUIS_DATOS!$C$1507,CROQUIS_DATOS!$C$1511,CROQUIS_DATOS!$C$1515)+IF(CHOOSE(MIN(C21,5),CROQUIS_DATOS!$C$1502,CROQUIS_DATOS!$C$1506,CROQUIS_DATOS!$C$1510,CROQUIS_DATOS!$C$1514,CROQUIS_DATOS!$C$1518)=1,CHOOSE(MIN(C21,5),CROQUIS_DATOS!$C$1500,CROQUIS_DATOS!$C$1504,CROQUIS_DATOS!$C$1508,CROQUIS_DATOS!$C$1512,CROQUIS_DATOS!$C$1516)/2,CROQUIS_DATOS!$C$1526/2+(D21-1)*(CHOOSE(MIN(C21,5),CROQUIS_DATOS!$C$1500,CROQUIS_DATOS!$C$1504,CROQUIS_DATOS!$C$1508,CROQUIS_DATOS!$C$1512,CROQUIS_DATOS!$C$1516)-CROQUIS_DATOS!$C$1526)/MAX(CHOOSE(MIN(C21,5),CROQUIS_DATOS!$C$1502,CROQUIS_DATOS!$C$1506,CROQUIS_DATOS!$C$1510,CROQUIS_DATOS!$C$1514,CROQUIS_DATOS!$C$1518)-1,1)))</f>
        <v>0</v>
      </c>
      <c r="F21">
        <f>IF(G21=0,0,IF(CHOOSE(MIN(C21,5),CROQUIS_DATOS!$C$1502,CROQUIS_DATOS!$C$1506,CROQUIS_DATOS!$C$1510,CROQUIS_DATOS!$C$1514,CROQUIS_DATOS!$C$1518)=1,MIN(CROQUIS_DATOS!$C$1526,CHOOSE(MIN(C21,5),CROQUIS_DATOS!$C$1500,CROQUIS_DATOS!$C$1504,CROQUIS_DATOS!$C$1508,CROQUIS_DATOS!$C$1512,CROQUIS_DATOS!$C$1516)),CROQUIS_DATOS!$C$1526))</f>
        <v>0</v>
      </c>
      <c r="G21">
        <f>IF(AND(CROQUIS_DATOS!$C$1472=1,B21&lt;=CROQUIS_DATOS!$C$1525),1,0)</f>
        <v>0</v>
      </c>
      <c r="H21">
        <f>IF(14&lt;=CROQUIS_DATOS!$C$1539,14*CROQUIS_DATOS!$C$1536,IF(14&lt;=CROQUIS_DATOS!$C$1539+CROQUIS_DATOS!$C$1540,CROQUIS_DATOS!$C$1539*CROQUIS_DATOS!$C$1536+(14-CROQUIS_DATOS!$C$1539)*(CROQUIS_DATOS!$C$1476-2*CROQUIS_DATOS!$C$1539*CROQUIS_DATOS!$C$1536)/(CROQUIS_DATOS!$C$1540+1),CROQUIS_DATOS!$C$1476-(2*CROQUIS_DATOS!$C$1539+CROQUIS_DATOS!$C$1540+1-14)*CROQUIS_DATOS!$C$1536))</f>
        <v>212.5</v>
      </c>
      <c r="I21">
        <f>IF(AND(CROQUIS_DATOS!$C$1544=1,E21&gt;=CROQUIS_DATOS!$C$1549-1,E21&lt;=CROQUIS_DATOS!$C$1550+1),CROQUIS_DATOS!$C$1554,CROQUIS_DATOS!$C$1552)</f>
        <v>-16.8885</v>
      </c>
      <c r="J21">
        <f>IF(AND(CROQUIS_DATOS!$C$1472=1,1),(CROQUIS_DATOS!$C$1563+(CHOOSE(MIN(MAX(IF(INT(($A21-1)/4)+1&gt;CROQUIS_DATOS!$C$1525,4,MOD($A21-1,4)+1),1),4),(INDEX($E$8:$E$23,MIN(INT(($A21-1)/4)+1,CROQUIS_DATOS!$C$1525))-INDEX($F$8:$F$23,MIN(INT(($A21-1)/4)+1,CROQUIS_DATOS!$C$1525))/2),(INDEX($E$8:$E$23,MIN(INT(($A21-1)/4)+1,CROQUIS_DATOS!$C$1525))-INDEX($F$8:$F$23,MIN(INT(($A21-1)/4)+1,CROQUIS_DATOS!$C$1525))/2),(INDEX($E$8:$E$23,MIN(INT(($A21-1)/4)+1,CROQUIS_DATOS!$C$1525))+INDEX($F$8:$F$23,MIN(INT(($A21-1)/4)+1,CROQUIS_DATOS!$C$1525))/2),(INDEX($E$8:$E$23,MIN(INT(($A21-1)/4)+1,CROQUIS_DATOS!$C$1525))+INDEX($F$8:$F$23,MIN(INT(($A21-1)/4)+1,CROQUIS_DATOS!$C$1525))/2)))*CROQUIS_DATOS!$C$1562),-1000)</f>
        <v>45.1120689655172</v>
      </c>
      <c r="K21">
        <f>IF(AND(CROQUIS_DATOS!$C$1472=1,1),(CROQUIS_DATOS!$C$1564+(CHOOSE(MIN(MAX(IF(INT(($A21-1)/4)+1&gt;CROQUIS_DATOS!$C$1525,4,MOD($A21-1,4)+1),1),4),0,CROQUIS_DATOS!$C$1476,CROQUIS_DATOS!$C$1476,0))*CROQUIS_DATOS!$C$1561*CROQUIS_DATOS!$C$1562),-1000)</f>
        <v>40.2068965517241</v>
      </c>
      <c r="L21">
        <f>IF(AND(CROQUIS_DATOS!$C$1472=1,1),(CROQUIS_DATOS!$C$1563+(CHOOSE(MIN(MAX(IF(INT(($A21-1)/4)+1&gt;CROQUIS_DATOS!$C$1525,4,MOD($A21-1,4)+1),1),4),((INDEX($E$8:$E$23,MIN(INT(($A21-1)/4)+1,CROQUIS_DATOS!$C$1525))-INDEX($F$8:$F$23,MIN(INT(($A21-1)/4)+1,CROQUIS_DATOS!$C$1525))/2)+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,((INDEX($E$8:$E$23,MIN(INT(($A21-1)/4)+1,CROQUIS_DATOS!$C$1525))-INDEX($F$8:$F$23,MIN(INT(($A21-1)/4)+1,CROQUIS_DATOS!$C$1525))/2)+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,((INDEX($E$8:$E$23,MIN(INT(($A21-1)/4)+1,CROQUIS_DATOS!$C$1525))+INDEX($F$8:$F$23,MIN(INT(($A21-1)/4)+1,CROQUIS_DATOS!$C$1525))/2)-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,((INDEX($E$8:$E$23,MIN(INT(($A21-1)/4)+1,CROQUIS_DATOS!$C$1525))+INDEX($F$8:$F$23,MIN(INT(($A21-1)/4)+1,CROQUIS_DATOS!$C$1525))/2)-MIN((CROQUIS_DATOS!$C$1530+CROQUIS_DATOS!$C$1532+IF(OR(MIN(INT(($A21-1)/4)+1,CROQUIS_DATOS!$C$1525)=1,MIN(INT(($A21-1)/4)+1,CROQUIS_DATOS!$C$1525)=CROQUIS_DATOS!$C$1525),CROQUIS_DATOS!$C$1534,CROQUIS_DATOS!$C$1531)/2),INDEX($F$8:$F$23,MIN(INT(($A21-1)/4)+1,CROQUIS_DATOS!$C$1525))/2-0.5))))*CROQUIS_DATOS!$C$1562),-1000)</f>
        <v>45.5466060344828</v>
      </c>
      <c r="M21">
        <f>IF(AND(CROQUIS_DATOS!$C$1472=1,1),(CROQUIS_DATOS!$C$1564+(CHOOSE(MIN(MAX(IF(INT(($A21-1)/4)+1&gt;CROQUIS_DATOS!$C$1525,4,MOD($A21-1,4)+1),1),4),CROQUIS_DATOS!$C$1543,INDEX($I$8:$I$23,MIN(INT(($A21-1)/4)+1,CROQUIS_DATOS!$C$1525)),INDEX($I$8:$I$23,MIN(INT(($A21-1)/4)+1,CROQUIS_DATOS!$C$1525)),CROQUIS_DATOS!$C$1543))*CROQUIS_DATOS!$C$1561*CROQUIS_DATOS!$C$1562),-1000)</f>
        <v>2.93453706896552</v>
      </c>
      <c r="N21">
        <f>IF(AND(CROQUIS_DATOS!$C$1472=1,1),(CROQUIS_DATOS!$C$1563+(IF(IF(IF(INT(($A21-1)/70)+1&gt;CROQUIS_DATOS!$C$1525,70,MOD($A21-1,70)+1)=1,0,IF(IF(INT(($A21-1)/70)+1&gt;CROQUIS_DATOS!$C$1525,70,MOD($A21-1,70)+1)&gt;2*CROQUIS_DATOS!$C$1541+1,IF(MOD(CROQUIS_DATOS!$C$1541,2)=1,1,0),IF(MOD(MIN(INT((IF(INT(($A21-1)/70)+1&gt;CROQUIS_DATOS!$C$1525,70,MOD($A21-1,70)+1)-2)/2)+1,CROQUIS_DATOS!$C$1541),2)=1,IF(MOD(IF(INT(($A21-1)/70)+1&gt;CROQUIS_DATOS!$C$1525,70,MOD($A21-1,70)+1)-2,2)=0,0,1),IF(MOD(IF(INT(($A21-1)/70)+1&gt;CROQUIS_DATOS!$C$1525,70,MOD($A21-1,70)+1)-2,2)=0,1,0))))=0,(INDEX($E$8:$E$23,MIN(INT(($A21-1)/70)+1,CROQUIS_DATOS!$C$1525))-INDEX($F$8:$F$23,MIN(INT(($A21-1)/70)+1,CROQUIS_DATOS!$C$1525))/2),(INDEX($E$8:$E$23,MIN(INT(($A21-1)/70)+1,CROQUIS_DATOS!$C$1525))+INDEX($F$8:$F$23,MIN(INT(($A21-1)/70)+1,CROQUIS_DATOS!$C$1525))/2)))*CROQUIS_DATOS!$C$1562),-1000)</f>
        <v>15.0862068965517</v>
      </c>
      <c r="O21">
        <f>IF(AND(CROQUIS_DATOS!$C$1472=1,1),(CROQUIS_DATOS!$C$1564+(IF(OR(IF(INT(($A21-1)/70)+1&gt;CROQUIS_DATOS!$C$1525,70,MOD($A21-1,70)+1)=1,IF(INT(($A21-1)/70)+1&gt;CROQUIS_DATOS!$C$1525,70,MOD($A21-1,70)+1)&gt;2*CROQUIS_DATOS!$C$1541+1),CROQUIS_DATOS!$C$1476,INDEX($H$8:$H$41,MIN(INT((IF(INT(($A21-1)/70)+1&gt;CROQUIS_DATOS!$C$1525,70,MOD($A21-1,70)+1)-2)/2)+1,CROQUIS_DATOS!$C$1541))))*CROQUIS_DATOS!$C$1561*CROQUIS_DATOS!$C$1562),-1000)</f>
        <v>15.9612068965517</v>
      </c>
      <c r="P21">
        <f>IF(AND(CROQUIS_DATOS!$C$1472=1,CROQUIS_DATOS!$C$1555=1),(CROQUIS_DATOS!$C$1563+(IF(IF(OR(MOD($A21-1,62)+1=1,IF(CHOOSE(MIN(MAX(MIN(INT(($A21-1)/62)+1,5),1),5),CROQUIS_DATOS!$C$1501,CROQUIS_DATOS!$C$1505,CROQUIS_DATOS!$C$1509,CROQUIS_DATOS!$C$1513,CROQUIS_DATOS!$C$1517)=1,CROQUIS_DATOS!$C$1557,0)=0),0,IF(MOD($A21-1,62)+1&gt;2*IF(CHOOSE(MIN(MAX(MIN(INT(($A21-1)/62)+1,5),1),5),CROQUIS_DATOS!$C$1501,CROQUIS_DATOS!$C$1505,CROQUIS_DATOS!$C$1509,CROQUIS_DATOS!$C$1513,CROQUIS_DATOS!$C$1517)=1,CROQUIS_DATOS!$C$1557,0)+1,IF(MOD(IF(CHOOSE(MIN(MAX(MIN(INT(($A21-1)/62)+1,5),1),5),CROQUIS_DATOS!$C$1501,CROQUIS_DATOS!$C$1505,CROQUIS_DATOS!$C$1509,CROQUIS_DATOS!$C$1513,CROQUIS_DATOS!$C$1517)=1,CROQUIS_DATOS!$C$1557,0),2)=1,1,0),IF(MOD(MIN(INT((MOD($A21-1,62)+1-2)/2)+1,MAX(IF(CHOOSE(MIN(MAX(MIN(INT(($A21-1)/62)+1,5),1),5),CROQUIS_DATOS!$C$1501,CROQUIS_DATOS!$C$1505,CROQUIS_DATOS!$C$1509,CROQUIS_DATOS!$C$1513,CROQUIS_DATOS!$C$1517)=1,CROQUIS_DATOS!$C$1557,0),1)),2)=1,IF(MOD(MOD($A21-1,62)+1-2,2)=0,0,1),IF(MOD(MOD($A21-1,62)+1-2,2)=0,1,0))))=0,(CHOOSE(MIN(MAX(MIN(INT(($A21-1)/62)+1,5),1),5),CROQUIS_DATOS!$C$1499,CROQUIS_DATOS!$C$1503,CROQUIS_DATOS!$C$1507,CROQUIS_DATOS!$C$1511,CROQUIS_DATOS!$C$1515)+IF(CHOOSE(MIN(MAX(MIN(INT(($A21-1)/62)+1,5),1),5),CROQUIS_DATOS!$C$1501,CROQUIS_DATOS!$C$1505,CROQUIS_DATOS!$C$1509,CROQUIS_DATOS!$C$1513,CROQUIS_DATOS!$C$1517)=1,CROQUIS_DATOS!$C$1526,0)),(CHOOSE(MIN(MAX(MIN(INT(($A21-1)/62)+1,5),1),5),CROQUIS_DATOS!$C$1499,CROQUIS_DATOS!$C$1503,CROQUIS_DATOS!$C$1507,CROQUIS_DATOS!$C$1511,CROQUIS_DATOS!$C$1515)+CHOOSE(MIN(MAX(MIN(INT(($A21-1)/62)+1,5),1),5),CROQUIS_DATOS!$C$1500,CROQUIS_DATOS!$C$1504,CROQUIS_DATOS!$C$1508,CROQUIS_DATOS!$C$1512,CROQUIS_DATOS!$C$1516)-IF(CHOOSE(MIN(MAX(MIN(INT(($A21-1)/62)+1,5),1),5),CROQUIS_DATOS!$C$1501,CROQUIS_DATOS!$C$1505,CROQUIS_DATOS!$C$1509,CROQUIS_DATOS!$C$1513,CROQUIS_DATOS!$C$1517)=1,CROQUIS_DATOS!$C$1526,0))))*CROQUIS_DATOS!$C$1562),-1000)</f>
        <v>-1000</v>
      </c>
      <c r="Q21">
        <f>IF(AND(CROQUIS_DATOS!$C$1472=1,CROQUIS_DATOS!$C$1555=1),(CROQUIS_DATOS!$C$1564+(IF(OR(OR(MOD($A21-1,62)+1=1,IF(CHOOSE(MIN(MAX(MIN(INT(($A21-1)/62)+1,5),1),5),CROQUIS_DATOS!$C$1501,CROQUIS_DATOS!$C$1505,CROQUIS_DATOS!$C$1509,CROQUIS_DATOS!$C$1513,CROQUIS_DATOS!$C$1517)=1,CROQUIS_DATOS!$C$1557,0)=0),MOD($A21-1,62)+1&gt;2*IF(CHOOSE(MIN(MAX(MIN(INT(($A21-1)/62)+1,5),1),5),CROQUIS_DATOS!$C$1501,CROQUIS_DATOS!$C$1505,CROQUIS_DATOS!$C$1509,CROQUIS_DATOS!$C$1513,CROQUIS_DATOS!$C$1517)=1,CROQUIS_DATOS!$C$1557,0)+1),CROQUIS_DATOS!$C$1476,MIN(INT((MOD($A21-1,62)+1-2)/2)+1,MAX(IF(CHOOSE(MIN(MAX(MIN(INT(($A21-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">
        <f>IF(AND(CROQUIS_DATOS!$C$1472=1,1),(CROQUIS_DATOS!$C$1563+(MIN(INT(($A21-1)/2)+1,CROQUIS_DATOS!$C$1558)*CROQUIS_DATOS!$C$1559)*CROQUIS_DATOS!$C$1562),-1000)</f>
        <v>33.8859416445623</v>
      </c>
      <c r="U21">
        <f>IF(AND(CROQUIS_DATOS!$C$1472=1,1),(CROQUIS_DATOS!$C$1564+(IF(INT(($A21-1)/2)+1&gt;CROQUIS_DATOS!$C$1558,IF(MOD(CROQUIS_DATOS!$C$1558,2)=1,CROQUIS_DATOS!$C$1476+CROQUIS_DATOS!$C$1528,CROQUIS_DATOS!$C$1476),IF(IF(MOD(MIN(INT(($A21-1)/2)+1,CROQUIS_DATOS!$C$1558),2)=1,MOD($A21-1,2),1-MOD($A21-1,2))=1,CROQUIS_DATOS!$C$1476+CROQUIS_DATOS!$C$1528,CROQUIS_DATOS!$C$1476)))*CROQUIS_DATOS!$C$1561*CROQUIS_DATOS!$C$1562),-1000)</f>
        <v>43</v>
      </c>
      <c r="BZ21">
        <f>IF(AND(CROQUIS_DATOS!$C$1472=1,CROQUIS_DATOS!$C$1500&gt;0,((CROQUIS_DATOS!$C$1499+CROQUIS_DATOS!$C$1500))-(CROQUIS_DATOS!$C$1499)&gt;0.5,(CROQUIS_DATOS!$C$1476)-(0)&gt;0.5),(CROQUIS_DATOS!$C$1566+(IF(IF(MOD(MIN(INT(($A21-1)/2)+1,MAX(1,INT(((((CROQUIS_DATOS!$C$1499+CROQUIS_DATOS!$C$1500))-(CROQUIS_DATOS!$C$1499))+((CROQUIS_DATOS!$C$1476)*CROQUIS_DATOS!$C$1561-(0)*CROQUIS_DATOS!$C$1561))/CROQUIS_DATOS!$C$1568-0.000001))),2)=1,IF(INT(($A21-1)/2)+1&gt;MAX(1,INT(((((CROQUIS_DATOS!$C$1499+CROQUIS_DATOS!$C$1500))-(CROQUIS_DATOS!$C$1499))+((CROQUIS_DATOS!$C$1476)*CROQUIS_DATOS!$C$1561-(0)*CROQUIS_DATOS!$C$1561))/CROQUIS_DATOS!$C$1568-0.000001)),1,MOD($A21-1,2)),1-IF(INT(($A21-1)/2)+1&gt;MAX(1,INT(((((CROQUIS_DATOS!$C$1499+CROQUIS_DATOS!$C$1500))-(CROQUIS_DATOS!$C$1499))+((CROQUIS_DATOS!$C$1476)*CROQUIS_DATOS!$C$1561-(0)*CROQUIS_DATOS!$C$1561))/CROQUIS_DATOS!$C$1568-0.000001)),1,MOD($A21-1,2)))=1,MIN((CROQUIS_DATOS!$C$1476)*CROQUIS_DATOS!$C$1561,((CROQUIS_DATOS!$C$1499+CROQUIS_DATOS!$C$1500)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21">
        <f>IF(AND(CROQUIS_DATOS!$C$1472=1,CROQUIS_DATOS!$C$1500&gt;0,((CROQUIS_DATOS!$C$1499+CROQUIS_DATOS!$C$1500))-(CROQUIS_DATOS!$C$1499)&gt;0.5,(CROQUIS_DATOS!$C$1476)-(0)&gt;0.5),(CROQUIS_DATOS!$C$1567+(IF(IF(MOD(MIN(INT(($A21-1)/2)+1,MAX(1,INT(((((CROQUIS_DATOS!$C$1499+CROQUIS_DATOS!$C$1500))-(CROQUIS_DATOS!$C$1499))+((CROQUIS_DATOS!$C$1476)*CROQUIS_DATOS!$C$1561-(0)*CROQUIS_DATOS!$C$1561))/CROQUIS_DATOS!$C$1568-0.000001))),2)=1,IF(INT(($A21-1)/2)+1&gt;MAX(1,INT(((((CROQUIS_DATOS!$C$1499+CROQUIS_DATOS!$C$1500))-(CROQUIS_DATOS!$C$1499))+((CROQUIS_DATOS!$C$1476)*CROQUIS_DATOS!$C$1561-(0)*CROQUIS_DATOS!$C$1561))/CROQUIS_DATOS!$C$1568-0.000001)),1,MOD($A21-1,2)),1-IF(INT(($A21-1)/2)+1&gt;MAX(1,INT(((((CROQUIS_DATOS!$C$1499+CROQUIS_DATOS!$C$1500))-(CROQUIS_DATOS!$C$1499))+((CROQUIS_DATOS!$C$1476)*CROQUIS_DATOS!$C$1561-(0)*CROQUIS_DATOS!$C$1561))/CROQUIS_DATOS!$C$1568-0.000001)),1,MOD($A21-1,2)))=1,MIN((CROQUIS_DATOS!$C$1476)*CROQUIS_DATOS!$C$1561,((CROQUIS_DATOS!$C$1499+CROQUIS_DATOS!$C$1500)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21-1)/2)+1,MAX(1,INT(((((CROQUIS_DATOS!$C$1499+CROQUIS_DATOS!$C$1500))-(CROQUIS_DATOS!$C$1499))+((CROQUIS_DATOS!$C$1476)*CROQUIS_DATOS!$C$1561-(0)*CROQUIS_DATOS!$C$1561))/CROQUIS_DATOS!$C$1568-0.000001)))*CROQUIS_DATOS!$C$1568))))*CROQUIS_DATOS!$C$1565),-1000)</f>
        <v>31.9379310344828</v>
      </c>
      <c r="CB21">
        <f>IF(AND(CROQUIS_DATOS!$C$1472=1,CROQUIS_DATOS!$C$1504&gt;0,((CROQUIS_DATOS!$C$1503+CROQUIS_DATOS!$C$1504))-(CROQUIS_DATOS!$C$1503)&gt;0.5,(CROQUIS_DATOS!$C$1476)-(0)&gt;0.5),(CROQUIS_DATOS!$C$1566+(IF(IF(MOD(MIN(INT(($A21-1)/2)+1,MAX(1,INT(((((CROQUIS_DATOS!$C$1503+CROQUIS_DATOS!$C$1504))-(CROQUIS_DATOS!$C$1503))+((CROQUIS_DATOS!$C$1476)*CROQUIS_DATOS!$C$1561-(0)*CROQUIS_DATOS!$C$1561))/CROQUIS_DATOS!$C$1568-0.000001))),2)=1,IF(INT(($A21-1)/2)+1&gt;MAX(1,INT(((((CROQUIS_DATOS!$C$1503+CROQUIS_DATOS!$C$1504))-(CROQUIS_DATOS!$C$1503))+((CROQUIS_DATOS!$C$1476)*CROQUIS_DATOS!$C$1561-(0)*CROQUIS_DATOS!$C$1561))/CROQUIS_DATOS!$C$1568-0.000001)),1,MOD($A21-1,2)),1-IF(INT(($A21-1)/2)+1&gt;MAX(1,INT(((((CROQUIS_DATOS!$C$1503+CROQUIS_DATOS!$C$1504))-(CROQUIS_DATOS!$C$1503))+((CROQUIS_DATOS!$C$1476)*CROQUIS_DATOS!$C$1561-(0)*CROQUIS_DATOS!$C$1561))/CROQUIS_DATOS!$C$1568-0.000001)),1,MOD($A21-1,2)))=1,MIN((CROQUIS_DATOS!$C$1476)*CROQUIS_DATOS!$C$1561,((CROQUIS_DATOS!$C$1503+CROQUIS_DATOS!$C$1504)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21">
        <f>IF(AND(CROQUIS_DATOS!$C$1472=1,CROQUIS_DATOS!$C$1504&gt;0,((CROQUIS_DATOS!$C$1503+CROQUIS_DATOS!$C$1504))-(CROQUIS_DATOS!$C$1503)&gt;0.5,(CROQUIS_DATOS!$C$1476)-(0)&gt;0.5),(CROQUIS_DATOS!$C$1567+(IF(IF(MOD(MIN(INT(($A21-1)/2)+1,MAX(1,INT(((((CROQUIS_DATOS!$C$1503+CROQUIS_DATOS!$C$1504))-(CROQUIS_DATOS!$C$1503))+((CROQUIS_DATOS!$C$1476)*CROQUIS_DATOS!$C$1561-(0)*CROQUIS_DATOS!$C$1561))/CROQUIS_DATOS!$C$1568-0.000001))),2)=1,IF(INT(($A21-1)/2)+1&gt;MAX(1,INT(((((CROQUIS_DATOS!$C$1503+CROQUIS_DATOS!$C$1504))-(CROQUIS_DATOS!$C$1503))+((CROQUIS_DATOS!$C$1476)*CROQUIS_DATOS!$C$1561-(0)*CROQUIS_DATOS!$C$1561))/CROQUIS_DATOS!$C$1568-0.000001)),1,MOD($A21-1,2)),1-IF(INT(($A21-1)/2)+1&gt;MAX(1,INT(((((CROQUIS_DATOS!$C$1503+CROQUIS_DATOS!$C$1504))-(CROQUIS_DATOS!$C$1503))+((CROQUIS_DATOS!$C$1476)*CROQUIS_DATOS!$C$1561-(0)*CROQUIS_DATOS!$C$1561))/CROQUIS_DATOS!$C$1568-0.000001)),1,MOD($A21-1,2)))=1,MIN((CROQUIS_DATOS!$C$1476)*CROQUIS_DATOS!$C$1561,((CROQUIS_DATOS!$C$1503+CROQUIS_DATOS!$C$1504)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21-1)/2)+1,MAX(1,INT(((((CROQUIS_DATOS!$C$1503+CROQUIS_DATOS!$C$1504))-(CROQUIS_DATOS!$C$1503))+((CROQUIS_DATOS!$C$1476)*CROQUIS_DATOS!$C$1561-(0)*CROQUIS_DATOS!$C$1561))/CROQUIS_DATOS!$C$1568-0.000001)))*CROQUIS_DATOS!$C$1568))))*CROQUIS_DATOS!$C$1565),-1000)</f>
        <v>38.351724137931</v>
      </c>
      <c r="CD21">
        <f>IF(AND(CROQUIS_DATOS!$C$1472=1,CROQUIS_DATOS!$C$1508&gt;0,((CROQUIS_DATOS!$C$1507+CROQUIS_DATOS!$C$1508))-(CROQUIS_DATOS!$C$1507)&gt;0.5,(CROQUIS_DATOS!$C$1476)-(0)&gt;0.5),(CROQUIS_DATOS!$C$1566+(IF(IF(MOD(MIN(INT(($A21-1)/2)+1,MAX(1,INT(((((CROQUIS_DATOS!$C$1507+CROQUIS_DATOS!$C$1508))-(CROQUIS_DATOS!$C$1507))+((CROQUIS_DATOS!$C$1476)*CROQUIS_DATOS!$C$1561-(0)*CROQUIS_DATOS!$C$1561))/CROQUIS_DATOS!$C$1568-0.000001))),2)=1,IF(INT(($A21-1)/2)+1&gt;MAX(1,INT(((((CROQUIS_DATOS!$C$1507+CROQUIS_DATOS!$C$1508))-(CROQUIS_DATOS!$C$1507))+((CROQUIS_DATOS!$C$1476)*CROQUIS_DATOS!$C$1561-(0)*CROQUIS_DATOS!$C$1561))/CROQUIS_DATOS!$C$1568-0.000001)),1,MOD($A21-1,2)),1-IF(INT(($A21-1)/2)+1&gt;MAX(1,INT(((((CROQUIS_DATOS!$C$1507+CROQUIS_DATOS!$C$1508))-(CROQUIS_DATOS!$C$1507))+((CROQUIS_DATOS!$C$1476)*CROQUIS_DATOS!$C$1561-(0)*CROQUIS_DATOS!$C$1561))/CROQUIS_DATOS!$C$1568-0.000001)),1,MOD($A21-1,2)))=1,MIN((CROQUIS_DATOS!$C$1476)*CROQUIS_DATOS!$C$1561,((CROQUIS_DATOS!$C$1507+CROQUIS_DATOS!$C$1508)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*CROQUIS_DATOS!$C$1565),-1000)</f>
        <v>76.0965517241379</v>
      </c>
      <c r="CE21">
        <f>IF(AND(CROQUIS_DATOS!$C$1472=1,CROQUIS_DATOS!$C$1508&gt;0,((CROQUIS_DATOS!$C$1507+CROQUIS_DATOS!$C$1508))-(CROQUIS_DATOS!$C$1507)&gt;0.5,(CROQUIS_DATOS!$C$1476)-(0)&gt;0.5),(CROQUIS_DATOS!$C$1567+(IF(IF(MOD(MIN(INT(($A21-1)/2)+1,MAX(1,INT(((((CROQUIS_DATOS!$C$1507+CROQUIS_DATOS!$C$1508))-(CROQUIS_DATOS!$C$1507))+((CROQUIS_DATOS!$C$1476)*CROQUIS_DATOS!$C$1561-(0)*CROQUIS_DATOS!$C$1561))/CROQUIS_DATOS!$C$1568-0.000001))),2)=1,IF(INT(($A21-1)/2)+1&gt;MAX(1,INT(((((CROQUIS_DATOS!$C$1507+CROQUIS_DATOS!$C$1508))-(CROQUIS_DATOS!$C$1507))+((CROQUIS_DATOS!$C$1476)*CROQUIS_DATOS!$C$1561-(0)*CROQUIS_DATOS!$C$1561))/CROQUIS_DATOS!$C$1568-0.000001)),1,MOD($A21-1,2)),1-IF(INT(($A21-1)/2)+1&gt;MAX(1,INT(((((CROQUIS_DATOS!$C$1507+CROQUIS_DATOS!$C$1508))-(CROQUIS_DATOS!$C$1507))+((CROQUIS_DATOS!$C$1476)*CROQUIS_DATOS!$C$1561-(0)*CROQUIS_DATOS!$C$1561))/CROQUIS_DATOS!$C$1568-0.000001)),1,MOD($A21-1,2)))=1,MIN((CROQUIS_DATOS!$C$1476)*CROQUIS_DATOS!$C$1561,((CROQUIS_DATOS!$C$1507+CROQUIS_DATOS!$C$1508)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21-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21">
        <f>IF(AND(CROQUIS_DATOS!$C$1472=1,CROQUIS_DATOS!$C$1512&gt;0,((CROQUIS_DATOS!$C$1511+CROQUIS_DATOS!$C$1512))-(CROQUIS_DATOS!$C$1511)&gt;0.5,(CROQUIS_DATOS!$C$1476)-(0)&gt;0.5),(CROQUIS_DATOS!$C$1566+(IF(IF(MOD(MIN(INT(($A21-1)/2)+1,MAX(1,INT(((((CROQUIS_DATOS!$C$1511+CROQUIS_DATOS!$C$1512))-(CROQUIS_DATOS!$C$1511))+((CROQUIS_DATOS!$C$1476)*CROQUIS_DATOS!$C$1561-(0)*CROQUIS_DATOS!$C$1561))/CROQUIS_DATOS!$C$1568-0.000001))),2)=1,IF(INT(($A21-1)/2)+1&gt;MAX(1,INT(((((CROQUIS_DATOS!$C$1511+CROQUIS_DATOS!$C$1512))-(CROQUIS_DATOS!$C$1511))+((CROQUIS_DATOS!$C$1476)*CROQUIS_DATOS!$C$1561-(0)*CROQUIS_DATOS!$C$1561))/CROQUIS_DATOS!$C$1568-0.000001)),1,MOD($A21-1,2)),1-IF(INT(($A21-1)/2)+1&gt;MAX(1,INT(((((CROQUIS_DATOS!$C$1511+CROQUIS_DATOS!$C$1512))-(CROQUIS_DATOS!$C$1511))+((CROQUIS_DATOS!$C$1476)*CROQUIS_DATOS!$C$1561-(0)*CROQUIS_DATOS!$C$1561))/CROQUIS_DATOS!$C$1568-0.000001)),1,MOD($A21-1,2)))=1,MIN((CROQUIS_DATOS!$C$1476)*CROQUIS_DATOS!$C$1561,((CROQUIS_DATOS!$C$1511+CROQUIS_DATOS!$C$1512)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1">
        <f>IF(AND(CROQUIS_DATOS!$C$1472=1,CROQUIS_DATOS!$C$1512&gt;0,((CROQUIS_DATOS!$C$1511+CROQUIS_DATOS!$C$1512))-(CROQUIS_DATOS!$C$1511)&gt;0.5,(CROQUIS_DATOS!$C$1476)-(0)&gt;0.5),(CROQUIS_DATOS!$C$1567+(IF(IF(MOD(MIN(INT(($A21-1)/2)+1,MAX(1,INT(((((CROQUIS_DATOS!$C$1511+CROQUIS_DATOS!$C$1512))-(CROQUIS_DATOS!$C$1511))+((CROQUIS_DATOS!$C$1476)*CROQUIS_DATOS!$C$1561-(0)*CROQUIS_DATOS!$C$1561))/CROQUIS_DATOS!$C$1568-0.000001))),2)=1,IF(INT(($A21-1)/2)+1&gt;MAX(1,INT(((((CROQUIS_DATOS!$C$1511+CROQUIS_DATOS!$C$1512))-(CROQUIS_DATOS!$C$1511))+((CROQUIS_DATOS!$C$1476)*CROQUIS_DATOS!$C$1561-(0)*CROQUIS_DATOS!$C$1561))/CROQUIS_DATOS!$C$1568-0.000001)),1,MOD($A21-1,2)),1-IF(INT(($A21-1)/2)+1&gt;MAX(1,INT(((((CROQUIS_DATOS!$C$1511+CROQUIS_DATOS!$C$1512))-(CROQUIS_DATOS!$C$1511))+((CROQUIS_DATOS!$C$1476)*CROQUIS_DATOS!$C$1561-(0)*CROQUIS_DATOS!$C$1561))/CROQUIS_DATOS!$C$1568-0.000001)),1,MOD($A21-1,2)))=1,MIN((CROQUIS_DATOS!$C$1476)*CROQUIS_DATOS!$C$1561,((CROQUIS_DATOS!$C$1511+CROQUIS_DATOS!$C$1512)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1">
        <f>IF(AND(CROQUIS_DATOS!$C$1472=1,CROQUIS_DATOS!$C$1516&gt;0,((CROQUIS_DATOS!$C$1515+CROQUIS_DATOS!$C$1516))-(CROQUIS_DATOS!$C$1515)&gt;0.5,(CROQUIS_DATOS!$C$1476)-(0)&gt;0.5),(CROQUIS_DATOS!$C$1566+(IF(IF(MOD(MIN(INT(($A21-1)/2)+1,MAX(1,INT(((((CROQUIS_DATOS!$C$1515+CROQUIS_DATOS!$C$1516))-(CROQUIS_DATOS!$C$1515))+((CROQUIS_DATOS!$C$1476)*CROQUIS_DATOS!$C$1561-(0)*CROQUIS_DATOS!$C$1561))/CROQUIS_DATOS!$C$1568-0.000001))),2)=1,IF(INT(($A21-1)/2)+1&gt;MAX(1,INT(((((CROQUIS_DATOS!$C$1515+CROQUIS_DATOS!$C$1516))-(CROQUIS_DATOS!$C$1515))+((CROQUIS_DATOS!$C$1476)*CROQUIS_DATOS!$C$1561-(0)*CROQUIS_DATOS!$C$1561))/CROQUIS_DATOS!$C$1568-0.000001)),1,MOD($A21-1,2)),1-IF(INT(($A21-1)/2)+1&gt;MAX(1,INT(((((CROQUIS_DATOS!$C$1515+CROQUIS_DATOS!$C$1516))-(CROQUIS_DATOS!$C$1515))+((CROQUIS_DATOS!$C$1476)*CROQUIS_DATOS!$C$1561-(0)*CROQUIS_DATOS!$C$1561))/CROQUIS_DATOS!$C$1568-0.000001)),1,MOD($A21-1,2)))=1,MIN((CROQUIS_DATOS!$C$1476)*CROQUIS_DATOS!$C$1561,((CROQUIS_DATOS!$C$1515+CROQUIS_DATOS!$C$1516)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1">
        <f>IF(AND(CROQUIS_DATOS!$C$1472=1,CROQUIS_DATOS!$C$1516&gt;0,((CROQUIS_DATOS!$C$1515+CROQUIS_DATOS!$C$1516))-(CROQUIS_DATOS!$C$1515)&gt;0.5,(CROQUIS_DATOS!$C$1476)-(0)&gt;0.5),(CROQUIS_DATOS!$C$1567+(IF(IF(MOD(MIN(INT(($A21-1)/2)+1,MAX(1,INT(((((CROQUIS_DATOS!$C$1515+CROQUIS_DATOS!$C$1516))-(CROQUIS_DATOS!$C$1515))+((CROQUIS_DATOS!$C$1476)*CROQUIS_DATOS!$C$1561-(0)*CROQUIS_DATOS!$C$1561))/CROQUIS_DATOS!$C$1568-0.000001))),2)=1,IF(INT(($A21-1)/2)+1&gt;MAX(1,INT(((((CROQUIS_DATOS!$C$1515+CROQUIS_DATOS!$C$1516))-(CROQUIS_DATOS!$C$1515))+((CROQUIS_DATOS!$C$1476)*CROQUIS_DATOS!$C$1561-(0)*CROQUIS_DATOS!$C$1561))/CROQUIS_DATOS!$C$1568-0.000001)),1,MOD($A21-1,2)),1-IF(INT(($A21-1)/2)+1&gt;MAX(1,INT(((((CROQUIS_DATOS!$C$1515+CROQUIS_DATOS!$C$1516))-(CROQUIS_DATOS!$C$1515))+((CROQUIS_DATOS!$C$1476)*CROQUIS_DATOS!$C$1561-(0)*CROQUIS_DATOS!$C$1561))/CROQUIS_DATOS!$C$1568-0.000001)),1,MOD($A21-1,2)))=1,MIN((CROQUIS_DATOS!$C$1476)*CROQUIS_DATOS!$C$1561,((CROQUIS_DATOS!$C$1515+CROQUIS_DATOS!$C$1516)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1">
        <f>IF(AND(CROQUIS_DATOS!$C$1472=1,CROQUIS_DATOS!$C$1478&gt;=1,((CROQUIS_DATOS!$C$1479+CROQUIS_DATOS!$C$1480))-(CROQUIS_DATOS!$C$1479)&gt;0.5,(CROQUIS_DATOS!$C$1481)-(0)&gt;0.5),(CROQUIS_DATOS!$C$1566+(IF(IF(MOD(MIN(INT(($A21-1)/2)+1,MAX(1,INT(((((CROQUIS_DATOS!$C$1479+CROQUIS_DATOS!$C$1480))-(CROQUIS_DATOS!$C$1479))+((CROQUIS_DATOS!$C$1481)*CROQUIS_DATOS!$C$1561-(0)*CROQUIS_DATOS!$C$1561))/CROQUIS_DATOS!$C$1568-0.000001))),2)=1,IF(INT(($A21-1)/2)+1&gt;MAX(1,INT(((((CROQUIS_DATOS!$C$1479+CROQUIS_DATOS!$C$1480))-(CROQUIS_DATOS!$C$1479))+((CROQUIS_DATOS!$C$1481)*CROQUIS_DATOS!$C$1561-(0)*CROQUIS_DATOS!$C$1561))/CROQUIS_DATOS!$C$1568-0.000001)),1,MOD($A21-1,2)),1-IF(INT(($A21-1)/2)+1&gt;MAX(1,INT(((((CROQUIS_DATOS!$C$1479+CROQUIS_DATOS!$C$1480))-(CROQUIS_DATOS!$C$1479))+((CROQUIS_DATOS!$C$1481)*CROQUIS_DATOS!$C$1561-(0)*CROQUIS_DATOS!$C$1561))/CROQUIS_DATOS!$C$1568-0.000001)),1,MOD($A21-1,2)))=1,MIN((CROQUIS_DATOS!$C$1481)*CROQUIS_DATOS!$C$1561,((CROQUIS_DATOS!$C$1479+CROQUIS_DATOS!$C$1480)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1">
        <f>IF(AND(CROQUIS_DATOS!$C$1472=1,CROQUIS_DATOS!$C$1478&gt;=1,((CROQUIS_DATOS!$C$1479+CROQUIS_DATOS!$C$1480))-(CROQUIS_DATOS!$C$1479)&gt;0.5,(CROQUIS_DATOS!$C$1481)-(0)&gt;0.5),(CROQUIS_DATOS!$C$1567+(IF(IF(MOD(MIN(INT(($A21-1)/2)+1,MAX(1,INT(((((CROQUIS_DATOS!$C$1479+CROQUIS_DATOS!$C$1480))-(CROQUIS_DATOS!$C$1479))+((CROQUIS_DATOS!$C$1481)*CROQUIS_DATOS!$C$1561-(0)*CROQUIS_DATOS!$C$1561))/CROQUIS_DATOS!$C$1568-0.000001))),2)=1,IF(INT(($A21-1)/2)+1&gt;MAX(1,INT(((((CROQUIS_DATOS!$C$1479+CROQUIS_DATOS!$C$1480))-(CROQUIS_DATOS!$C$1479))+((CROQUIS_DATOS!$C$1481)*CROQUIS_DATOS!$C$1561-(0)*CROQUIS_DATOS!$C$1561))/CROQUIS_DATOS!$C$1568-0.000001)),1,MOD($A21-1,2)),1-IF(INT(($A21-1)/2)+1&gt;MAX(1,INT(((((CROQUIS_DATOS!$C$1479+CROQUIS_DATOS!$C$1480))-(CROQUIS_DATOS!$C$1479))+((CROQUIS_DATOS!$C$1481)*CROQUIS_DATOS!$C$1561-(0)*CROQUIS_DATOS!$C$1561))/CROQUIS_DATOS!$C$1568-0.000001)),1,MOD($A21-1,2)))=1,MIN((CROQUIS_DATOS!$C$1481)*CROQUIS_DATOS!$C$1561,((CROQUIS_DATOS!$C$1479+CROQUIS_DATOS!$C$1480)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1">
        <f>IF(AND(CROQUIS_DATOS!$C$1472=1,CROQUIS_DATOS!$C$1478&gt;=1,((CROQUIS_DATOS!$C$1479+CROQUIS_DATOS!$C$1480))-(CROQUIS_DATOS!$C$1479)&gt;0.5,(CROQUIS_DATOS!$C$1476)-((CROQUIS_DATOS!$C$1481+CROQUIS_DATOS!$C$1482))&gt;0.5),(CROQUIS_DATOS!$C$1566+(IF(IF(MOD(MIN(INT(($A21-1)/2)+1,MAX(1,INT(((((CROQUIS_DATOS!$C$1479+CROQUIS_DATOS!$C$1480))-(CROQUIS_DATOS!$C$1479))+((CROQUIS_DATOS!$C$1476)*CROQUIS_DATOS!$C$1561-((CROQUIS_DATOS!$C$1481+CROQUIS_DATOS!$C$1482))*CROQUIS_DATOS!$C$1561))/CROQUIS_DATOS!$C$1568-0.000001))),2)=1,IF(INT(($A21-1)/2)+1&gt;MAX(1,INT(((((CROQUIS_DATOS!$C$1479+CROQUIS_DATOS!$C$1480))-(CROQUIS_DATOS!$C$1479))+((CROQUIS_DATOS!$C$1476)*CROQUIS_DATOS!$C$1561-((CROQUIS_DATOS!$C$1481+CROQUIS_DATOS!$C$1482))*CROQUIS_DATOS!$C$1561))/CROQUIS_DATOS!$C$1568-0.000001)),1,MOD($A21-1,2)),1-IF(INT(($A21-1)/2)+1&gt;MAX(1,INT(((((CROQUIS_DATOS!$C$1479+CROQUIS_DATOS!$C$1480))-(CROQUIS_DATOS!$C$1479))+((CROQUIS_DATOS!$C$1476)*CROQUIS_DATOS!$C$1561-((CROQUIS_DATOS!$C$1481+CROQUIS_DATOS!$C$1482))*CROQUIS_DATOS!$C$1561))/CROQUIS_DATOS!$C$1568-0.000001)),1,MOD($A21-1,2)))=1,MIN((CROQUIS_DATOS!$C$1476)*CROQUIS_DATOS!$C$1561,((CROQUIS_DATOS!$C$1479+CROQUIS_DATOS!$C$1480)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38.1724137931034</v>
      </c>
      <c r="CM21">
        <f>IF(AND(CROQUIS_DATOS!$C$1472=1,CROQUIS_DATOS!$C$1478&gt;=1,((CROQUIS_DATOS!$C$1479+CROQUIS_DATOS!$C$1480))-(CROQUIS_DATOS!$C$1479)&gt;0.5,(CROQUIS_DATOS!$C$1476)-((CROQUIS_DATOS!$C$1481+CROQUIS_DATOS!$C$1482))&gt;0.5),(CROQUIS_DATOS!$C$1567+(IF(IF(MOD(MIN(INT(($A21-1)/2)+1,MAX(1,INT(((((CROQUIS_DATOS!$C$1479+CROQUIS_DATOS!$C$1480))-(CROQUIS_DATOS!$C$1479))+((CROQUIS_DATOS!$C$1476)*CROQUIS_DATOS!$C$1561-((CROQUIS_DATOS!$C$1481+CROQUIS_DATOS!$C$1482))*CROQUIS_DATOS!$C$1561))/CROQUIS_DATOS!$C$1568-0.000001))),2)=1,IF(INT(($A21-1)/2)+1&gt;MAX(1,INT(((((CROQUIS_DATOS!$C$1479+CROQUIS_DATOS!$C$1480))-(CROQUIS_DATOS!$C$1479))+((CROQUIS_DATOS!$C$1476)*CROQUIS_DATOS!$C$1561-((CROQUIS_DATOS!$C$1481+CROQUIS_DATOS!$C$1482))*CROQUIS_DATOS!$C$1561))/CROQUIS_DATOS!$C$1568-0.000001)),1,MOD($A21-1,2)),1-IF(INT(($A21-1)/2)+1&gt;MAX(1,INT(((((CROQUIS_DATOS!$C$1479+CROQUIS_DATOS!$C$1480))-(CROQUIS_DATOS!$C$1479))+((CROQUIS_DATOS!$C$1476)*CROQUIS_DATOS!$C$1561-((CROQUIS_DATOS!$C$1481+CROQUIS_DATOS!$C$1482))*CROQUIS_DATOS!$C$1561))/CROQUIS_DATOS!$C$1568-0.000001)),1,MOD($A21-1,2)))=1,MIN((CROQUIS_DATOS!$C$1476)*CROQUIS_DATOS!$C$1561,((CROQUIS_DATOS!$C$1479+CROQUIS_DATOS!$C$1480)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37.2827586206897</v>
      </c>
      <c r="CR21">
        <f>IF(AND(CROQUIS_DATOS!$C$1472=1,CROQUIS_DATOS!$C$1478&gt;=2,((CROQUIS_DATOS!$C$1484+CROQUIS_DATOS!$C$1485))-(CROQUIS_DATOS!$C$1484)&gt;0.5,(CROQUIS_DATOS!$C$1486)-(0)&gt;0.5),(CROQUIS_DATOS!$C$1566+(IF(IF(MOD(MIN(INT(($A21-1)/2)+1,MAX(1,INT(((((CROQUIS_DATOS!$C$1484+CROQUIS_DATOS!$C$1485))-(CROQUIS_DATOS!$C$1484))+((CROQUIS_DATOS!$C$1486)*CROQUIS_DATOS!$C$1561-(0)*CROQUIS_DATOS!$C$1561))/CROQUIS_DATOS!$C$1568-0.000001))),2)=1,IF(INT(($A21-1)/2)+1&gt;MAX(1,INT(((((CROQUIS_DATOS!$C$1484+CROQUIS_DATOS!$C$1485))-(CROQUIS_DATOS!$C$1484))+((CROQUIS_DATOS!$C$1486)*CROQUIS_DATOS!$C$1561-(0)*CROQUIS_DATOS!$C$1561))/CROQUIS_DATOS!$C$1568-0.000001)),1,MOD($A21-1,2)),1-IF(INT(($A21-1)/2)+1&gt;MAX(1,INT(((((CROQUIS_DATOS!$C$1484+CROQUIS_DATOS!$C$1485))-(CROQUIS_DATOS!$C$1484))+((CROQUIS_DATOS!$C$1486)*CROQUIS_DATOS!$C$1561-(0)*CROQUIS_DATOS!$C$1561))/CROQUIS_DATOS!$C$1568-0.000001)),1,MOD($A21-1,2)))=1,MIN((CROQUIS_DATOS!$C$1486)*CROQUIS_DATOS!$C$1561,((CROQUIS_DATOS!$C$1484+CROQUIS_DATOS!$C$1485)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*CROQUIS_DATOS!$C$1565),-1000)</f>
        <v>60.0620689655172</v>
      </c>
      <c r="CS21">
        <f>IF(AND(CROQUIS_DATOS!$C$1472=1,CROQUIS_DATOS!$C$1478&gt;=2,((CROQUIS_DATOS!$C$1484+CROQUIS_DATOS!$C$1485))-(CROQUIS_DATOS!$C$1484)&gt;0.5,(CROQUIS_DATOS!$C$1486)-(0)&gt;0.5),(CROQUIS_DATOS!$C$1567+(IF(IF(MOD(MIN(INT(($A21-1)/2)+1,MAX(1,INT(((((CROQUIS_DATOS!$C$1484+CROQUIS_DATOS!$C$1485))-(CROQUIS_DATOS!$C$1484))+((CROQUIS_DATOS!$C$1486)*CROQUIS_DATOS!$C$1561-(0)*CROQUIS_DATOS!$C$1561))/CROQUIS_DATOS!$C$1568-0.000001))),2)=1,IF(INT(($A21-1)/2)+1&gt;MAX(1,INT(((((CROQUIS_DATOS!$C$1484+CROQUIS_DATOS!$C$1485))-(CROQUIS_DATOS!$C$1484))+((CROQUIS_DATOS!$C$1486)*CROQUIS_DATOS!$C$1561-(0)*CROQUIS_DATOS!$C$1561))/CROQUIS_DATOS!$C$1568-0.000001)),1,MOD($A21-1,2)),1-IF(INT(($A21-1)/2)+1&gt;MAX(1,INT(((((CROQUIS_DATOS!$C$1484+CROQUIS_DATOS!$C$1485))-(CROQUIS_DATOS!$C$1484))+((CROQUIS_DATOS!$C$1486)*CROQUIS_DATOS!$C$1561-(0)*CROQUIS_DATOS!$C$1561))/CROQUIS_DATOS!$C$1568-0.000001)),1,MOD($A21-1,2)))=1,MIN((CROQUIS_DATOS!$C$1486)*CROQUIS_DATOS!$C$1561,((CROQUIS_DATOS!$C$1484+CROQUIS_DATOS!$C$1485)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21-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21">
        <f>IF(AND(CROQUIS_DATOS!$C$1472=1,CROQUIS_DATOS!$C$1478&gt;=2,((CROQUIS_DATOS!$C$1484+CROQUIS_DATOS!$C$1485))-(CROQUIS_DATOS!$C$1484)&gt;0.5,(CROQUIS_DATOS!$C$1476)-((CROQUIS_DATOS!$C$1486+CROQUIS_DATOS!$C$1487))&gt;0.5),(CROQUIS_DATOS!$C$1566+(IF(IF(MOD(MIN(INT(($A21-1)/2)+1,MAX(1,INT(((((CROQUIS_DATOS!$C$1484+CROQUIS_DATOS!$C$1485))-(CROQUIS_DATOS!$C$1484))+((CROQUIS_DATOS!$C$1476)*CROQUIS_DATOS!$C$1561-((CROQUIS_DATOS!$C$1486+CROQUIS_DATOS!$C$1487))*CROQUIS_DATOS!$C$1561))/CROQUIS_DATOS!$C$1568-0.000001))),2)=1,IF(INT(($A21-1)/2)+1&gt;MAX(1,INT(((((CROQUIS_DATOS!$C$1484+CROQUIS_DATOS!$C$1485))-(CROQUIS_DATOS!$C$1484))+((CROQUIS_DATOS!$C$1476)*CROQUIS_DATOS!$C$1561-((CROQUIS_DATOS!$C$1486+CROQUIS_DATOS!$C$1487))*CROQUIS_DATOS!$C$1561))/CROQUIS_DATOS!$C$1568-0.000001)),1,MOD($A21-1,2)),1-IF(INT(($A21-1)/2)+1&gt;MAX(1,INT(((((CROQUIS_DATOS!$C$1484+CROQUIS_DATOS!$C$1485))-(CROQUIS_DATOS!$C$1484))+((CROQUIS_DATOS!$C$1476)*CROQUIS_DATOS!$C$1561-((CROQUIS_DATOS!$C$1486+CROQUIS_DATOS!$C$1487))*CROQUIS_DATOS!$C$1561))/CROQUIS_DATOS!$C$1568-0.000001)),1,MOD($A21-1,2)))=1,MIN((CROQUIS_DATOS!$C$1476)*CROQUIS_DATOS!$C$1561,((CROQUIS_DATOS!$C$1484+CROQUIS_DATOS!$C$1485)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60.0620689655172</v>
      </c>
      <c r="CU21">
        <f>IF(AND(CROQUIS_DATOS!$C$1472=1,CROQUIS_DATOS!$C$1478&gt;=2,((CROQUIS_DATOS!$C$1484+CROQUIS_DATOS!$C$1485))-(CROQUIS_DATOS!$C$1484)&gt;0.5,(CROQUIS_DATOS!$C$1476)-((CROQUIS_DATOS!$C$1486+CROQUIS_DATOS!$C$1487))&gt;0.5),(CROQUIS_DATOS!$C$1567+(IF(IF(MOD(MIN(INT(($A21-1)/2)+1,MAX(1,INT(((((CROQUIS_DATOS!$C$1484+CROQUIS_DATOS!$C$1485))-(CROQUIS_DATOS!$C$1484))+((CROQUIS_DATOS!$C$1476)*CROQUIS_DATOS!$C$1561-((CROQUIS_DATOS!$C$1486+CROQUIS_DATOS!$C$1487))*CROQUIS_DATOS!$C$1561))/CROQUIS_DATOS!$C$1568-0.000001))),2)=1,IF(INT(($A21-1)/2)+1&gt;MAX(1,INT(((((CROQUIS_DATOS!$C$1484+CROQUIS_DATOS!$C$1485))-(CROQUIS_DATOS!$C$1484))+((CROQUIS_DATOS!$C$1476)*CROQUIS_DATOS!$C$1561-((CROQUIS_DATOS!$C$1486+CROQUIS_DATOS!$C$1487))*CROQUIS_DATOS!$C$1561))/CROQUIS_DATOS!$C$1568-0.000001)),1,MOD($A21-1,2)),1-IF(INT(($A21-1)/2)+1&gt;MAX(1,INT(((((CROQUIS_DATOS!$C$1484+CROQUIS_DATOS!$C$1485))-(CROQUIS_DATOS!$C$1484))+((CROQUIS_DATOS!$C$1476)*CROQUIS_DATOS!$C$1561-((CROQUIS_DATOS!$C$1486+CROQUIS_DATOS!$C$1487))*CROQUIS_DATOS!$C$1561))/CROQUIS_DATOS!$C$1568-0.000001)),1,MOD($A21-1,2)))=1,MIN((CROQUIS_DATOS!$C$1476)*CROQUIS_DATOS!$C$1561,((CROQUIS_DATOS!$C$1484+CROQUIS_DATOS!$C$1485)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21">
        <f>IF(AND(CROQUIS_DATOS!$C$1472=1,CROQUIS_DATOS!$C$1478&gt;=3,((CROQUIS_DATOS!$C$1489+CROQUIS_DATOS!$C$1490))-(CROQUIS_DATOS!$C$1489)&gt;0.5,(CROQUIS_DATOS!$C$1491)-(0)&gt;0.5),(CROQUIS_DATOS!$C$1566+(IF(IF(MOD(MIN(INT(($A21-1)/2)+1,MAX(1,INT(((((CROQUIS_DATOS!$C$1489+CROQUIS_DATOS!$C$1490))-(CROQUIS_DATOS!$C$1489))+((CROQUIS_DATOS!$C$1491)*CROQUIS_DATOS!$C$1561-(0)*CROQUIS_DATOS!$C$1561))/CROQUIS_DATOS!$C$1568-0.000001))),2)=1,IF(INT(($A21-1)/2)+1&gt;MAX(1,INT(((((CROQUIS_DATOS!$C$1489+CROQUIS_DATOS!$C$1490))-(CROQUIS_DATOS!$C$1489))+((CROQUIS_DATOS!$C$1491)*CROQUIS_DATOS!$C$1561-(0)*CROQUIS_DATOS!$C$1561))/CROQUIS_DATOS!$C$1568-0.000001)),1,MOD($A21-1,2)),1-IF(INT(($A21-1)/2)+1&gt;MAX(1,INT(((((CROQUIS_DATOS!$C$1489+CROQUIS_DATOS!$C$1490))-(CROQUIS_DATOS!$C$1489))+((CROQUIS_DATOS!$C$1491)*CROQUIS_DATOS!$C$1561-(0)*CROQUIS_DATOS!$C$1561))/CROQUIS_DATOS!$C$1568-0.000001)),1,MOD($A21-1,2)))=1,MIN((CROQUIS_DATOS!$C$1491)*CROQUIS_DATOS!$C$1561,((CROQUIS_DATOS!$C$1489+CROQUIS_DATOS!$C$1490)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1">
        <f>IF(AND(CROQUIS_DATOS!$C$1472=1,CROQUIS_DATOS!$C$1478&gt;=3,((CROQUIS_DATOS!$C$1489+CROQUIS_DATOS!$C$1490))-(CROQUIS_DATOS!$C$1489)&gt;0.5,(CROQUIS_DATOS!$C$1491)-(0)&gt;0.5),(CROQUIS_DATOS!$C$1567+(IF(IF(MOD(MIN(INT(($A21-1)/2)+1,MAX(1,INT(((((CROQUIS_DATOS!$C$1489+CROQUIS_DATOS!$C$1490))-(CROQUIS_DATOS!$C$1489))+((CROQUIS_DATOS!$C$1491)*CROQUIS_DATOS!$C$1561-(0)*CROQUIS_DATOS!$C$1561))/CROQUIS_DATOS!$C$1568-0.000001))),2)=1,IF(INT(($A21-1)/2)+1&gt;MAX(1,INT(((((CROQUIS_DATOS!$C$1489+CROQUIS_DATOS!$C$1490))-(CROQUIS_DATOS!$C$1489))+((CROQUIS_DATOS!$C$1491)*CROQUIS_DATOS!$C$1561-(0)*CROQUIS_DATOS!$C$1561))/CROQUIS_DATOS!$C$1568-0.000001)),1,MOD($A21-1,2)),1-IF(INT(($A21-1)/2)+1&gt;MAX(1,INT(((((CROQUIS_DATOS!$C$1489+CROQUIS_DATOS!$C$1490))-(CROQUIS_DATOS!$C$1489))+((CROQUIS_DATOS!$C$1491)*CROQUIS_DATOS!$C$1561-(0)*CROQUIS_DATOS!$C$1561))/CROQUIS_DATOS!$C$1568-0.000001)),1,MOD($A21-1,2)))=1,MIN((CROQUIS_DATOS!$C$1491)*CROQUIS_DATOS!$C$1561,((CROQUIS_DATOS!$C$1489+CROQUIS_DATOS!$C$1490)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1">
        <f>IF(AND(CROQUIS_DATOS!$C$1472=1,CROQUIS_DATOS!$C$1478&gt;=3,((CROQUIS_DATOS!$C$1489+CROQUIS_DATOS!$C$1490))-(CROQUIS_DATOS!$C$1489)&gt;0.5,(CROQUIS_DATOS!$C$1476)-((CROQUIS_DATOS!$C$1491+CROQUIS_DATOS!$C$1492))&gt;0.5),(CROQUIS_DATOS!$C$1566+(IF(IF(MOD(MIN(INT(($A21-1)/2)+1,MAX(1,INT(((((CROQUIS_DATOS!$C$1489+CROQUIS_DATOS!$C$1490))-(CROQUIS_DATOS!$C$1489))+((CROQUIS_DATOS!$C$1476)*CROQUIS_DATOS!$C$1561-((CROQUIS_DATOS!$C$1491+CROQUIS_DATOS!$C$1492))*CROQUIS_DATOS!$C$1561))/CROQUIS_DATOS!$C$1568-0.000001))),2)=1,IF(INT(($A21-1)/2)+1&gt;MAX(1,INT(((((CROQUIS_DATOS!$C$1489+CROQUIS_DATOS!$C$1490))-(CROQUIS_DATOS!$C$1489))+((CROQUIS_DATOS!$C$1476)*CROQUIS_DATOS!$C$1561-((CROQUIS_DATOS!$C$1491+CROQUIS_DATOS!$C$1492))*CROQUIS_DATOS!$C$1561))/CROQUIS_DATOS!$C$1568-0.000001)),1,MOD($A21-1,2)),1-IF(INT(($A21-1)/2)+1&gt;MAX(1,INT(((((CROQUIS_DATOS!$C$1489+CROQUIS_DATOS!$C$1490))-(CROQUIS_DATOS!$C$1489))+((CROQUIS_DATOS!$C$1476)*CROQUIS_DATOS!$C$1561-((CROQUIS_DATOS!$C$1491+CROQUIS_DATOS!$C$1492))*CROQUIS_DATOS!$C$1561))/CROQUIS_DATOS!$C$1568-0.000001)),1,MOD($A21-1,2)))=1,MIN((CROQUIS_DATOS!$C$1476)*CROQUIS_DATOS!$C$1561,((CROQUIS_DATOS!$C$1489+CROQUIS_DATOS!$C$1490)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1">
        <f>IF(AND(CROQUIS_DATOS!$C$1472=1,CROQUIS_DATOS!$C$1478&gt;=3,((CROQUIS_DATOS!$C$1489+CROQUIS_DATOS!$C$1490))-(CROQUIS_DATOS!$C$1489)&gt;0.5,(CROQUIS_DATOS!$C$1476)-((CROQUIS_DATOS!$C$1491+CROQUIS_DATOS!$C$1492))&gt;0.5),(CROQUIS_DATOS!$C$1567+(IF(IF(MOD(MIN(INT(($A21-1)/2)+1,MAX(1,INT(((((CROQUIS_DATOS!$C$1489+CROQUIS_DATOS!$C$1490))-(CROQUIS_DATOS!$C$1489))+((CROQUIS_DATOS!$C$1476)*CROQUIS_DATOS!$C$1561-((CROQUIS_DATOS!$C$1491+CROQUIS_DATOS!$C$1492))*CROQUIS_DATOS!$C$1561))/CROQUIS_DATOS!$C$1568-0.000001))),2)=1,IF(INT(($A21-1)/2)+1&gt;MAX(1,INT(((((CROQUIS_DATOS!$C$1489+CROQUIS_DATOS!$C$1490))-(CROQUIS_DATOS!$C$1489))+((CROQUIS_DATOS!$C$1476)*CROQUIS_DATOS!$C$1561-((CROQUIS_DATOS!$C$1491+CROQUIS_DATOS!$C$1492))*CROQUIS_DATOS!$C$1561))/CROQUIS_DATOS!$C$1568-0.000001)),1,MOD($A21-1,2)),1-IF(INT(($A21-1)/2)+1&gt;MAX(1,INT(((((CROQUIS_DATOS!$C$1489+CROQUIS_DATOS!$C$1490))-(CROQUIS_DATOS!$C$1489))+((CROQUIS_DATOS!$C$1476)*CROQUIS_DATOS!$C$1561-((CROQUIS_DATOS!$C$1491+CROQUIS_DATOS!$C$1492))*CROQUIS_DATOS!$C$1561))/CROQUIS_DATOS!$C$1568-0.000001)),1,MOD($A21-1,2)))=1,MIN((CROQUIS_DATOS!$C$1476)*CROQUIS_DATOS!$C$1561,((CROQUIS_DATOS!$C$1489+CROQUIS_DATOS!$C$1490)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1">
        <f>IF(AND(CROQUIS_DATOS!$C$1472=1,CROQUIS_DATOS!$C$1478&gt;=4,((CROQUIS_DATOS!$C$1494+CROQUIS_DATOS!$C$1495))-(CROQUIS_DATOS!$C$1494)&gt;0.5,(CROQUIS_DATOS!$C$1496)-(0)&gt;0.5),(CROQUIS_DATOS!$C$1566+(IF(IF(MOD(MIN(INT(($A21-1)/2)+1,MAX(1,INT(((((CROQUIS_DATOS!$C$1494+CROQUIS_DATOS!$C$1495))-(CROQUIS_DATOS!$C$1494))+((CROQUIS_DATOS!$C$1496)*CROQUIS_DATOS!$C$1561-(0)*CROQUIS_DATOS!$C$1561))/CROQUIS_DATOS!$C$1568-0.000001))),2)=1,IF(INT(($A21-1)/2)+1&gt;MAX(1,INT(((((CROQUIS_DATOS!$C$1494+CROQUIS_DATOS!$C$1495))-(CROQUIS_DATOS!$C$1494))+((CROQUIS_DATOS!$C$1496)*CROQUIS_DATOS!$C$1561-(0)*CROQUIS_DATOS!$C$1561))/CROQUIS_DATOS!$C$1568-0.000001)),1,MOD($A21-1,2)),1-IF(INT(($A21-1)/2)+1&gt;MAX(1,INT(((((CROQUIS_DATOS!$C$1494+CROQUIS_DATOS!$C$1495))-(CROQUIS_DATOS!$C$1494))+((CROQUIS_DATOS!$C$1496)*CROQUIS_DATOS!$C$1561-(0)*CROQUIS_DATOS!$C$1561))/CROQUIS_DATOS!$C$1568-0.000001)),1,MOD($A21-1,2)))=1,MIN((CROQUIS_DATOS!$C$1496)*CROQUIS_DATOS!$C$1561,((CROQUIS_DATOS!$C$1494+CROQUIS_DATOS!$C$1495)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1">
        <f>IF(AND(CROQUIS_DATOS!$C$1472=1,CROQUIS_DATOS!$C$1478&gt;=4,((CROQUIS_DATOS!$C$1494+CROQUIS_DATOS!$C$1495))-(CROQUIS_DATOS!$C$1494)&gt;0.5,(CROQUIS_DATOS!$C$1496)-(0)&gt;0.5),(CROQUIS_DATOS!$C$1567+(IF(IF(MOD(MIN(INT(($A21-1)/2)+1,MAX(1,INT(((((CROQUIS_DATOS!$C$1494+CROQUIS_DATOS!$C$1495))-(CROQUIS_DATOS!$C$1494))+((CROQUIS_DATOS!$C$1496)*CROQUIS_DATOS!$C$1561-(0)*CROQUIS_DATOS!$C$1561))/CROQUIS_DATOS!$C$1568-0.000001))),2)=1,IF(INT(($A21-1)/2)+1&gt;MAX(1,INT(((((CROQUIS_DATOS!$C$1494+CROQUIS_DATOS!$C$1495))-(CROQUIS_DATOS!$C$1494))+((CROQUIS_DATOS!$C$1496)*CROQUIS_DATOS!$C$1561-(0)*CROQUIS_DATOS!$C$1561))/CROQUIS_DATOS!$C$1568-0.000001)),1,MOD($A21-1,2)),1-IF(INT(($A21-1)/2)+1&gt;MAX(1,INT(((((CROQUIS_DATOS!$C$1494+CROQUIS_DATOS!$C$1495))-(CROQUIS_DATOS!$C$1494))+((CROQUIS_DATOS!$C$1496)*CROQUIS_DATOS!$C$1561-(0)*CROQUIS_DATOS!$C$1561))/CROQUIS_DATOS!$C$1568-0.000001)),1,MOD($A21-1,2)))=1,MIN((CROQUIS_DATOS!$C$1496)*CROQUIS_DATOS!$C$1561,((CROQUIS_DATOS!$C$1494+CROQUIS_DATOS!$C$1495)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1">
        <f>IF(AND(CROQUIS_DATOS!$C$1472=1,CROQUIS_DATOS!$C$1478&gt;=4,((CROQUIS_DATOS!$C$1494+CROQUIS_DATOS!$C$1495))-(CROQUIS_DATOS!$C$1494)&gt;0.5,(CROQUIS_DATOS!$C$1476)-((CROQUIS_DATOS!$C$1496+CROQUIS_DATOS!$C$1497))&gt;0.5),(CROQUIS_DATOS!$C$1566+(IF(IF(MOD(MIN(INT(($A21-1)/2)+1,MAX(1,INT(((((CROQUIS_DATOS!$C$1494+CROQUIS_DATOS!$C$1495))-(CROQUIS_DATOS!$C$1494))+((CROQUIS_DATOS!$C$1476)*CROQUIS_DATOS!$C$1561-((CROQUIS_DATOS!$C$1496+CROQUIS_DATOS!$C$1497))*CROQUIS_DATOS!$C$1561))/CROQUIS_DATOS!$C$1568-0.000001))),2)=1,IF(INT(($A21-1)/2)+1&gt;MAX(1,INT(((((CROQUIS_DATOS!$C$1494+CROQUIS_DATOS!$C$1495))-(CROQUIS_DATOS!$C$1494))+((CROQUIS_DATOS!$C$1476)*CROQUIS_DATOS!$C$1561-((CROQUIS_DATOS!$C$1496+CROQUIS_DATOS!$C$1497))*CROQUIS_DATOS!$C$1561))/CROQUIS_DATOS!$C$1568-0.000001)),1,MOD($A21-1,2)),1-IF(INT(($A21-1)/2)+1&gt;MAX(1,INT(((((CROQUIS_DATOS!$C$1494+CROQUIS_DATOS!$C$1495))-(CROQUIS_DATOS!$C$1494))+((CROQUIS_DATOS!$C$1476)*CROQUIS_DATOS!$C$1561-((CROQUIS_DATOS!$C$1496+CROQUIS_DATOS!$C$1497))*CROQUIS_DATOS!$C$1561))/CROQUIS_DATOS!$C$1568-0.000001)),1,MOD($A21-1,2)))=1,MIN((CROQUIS_DATOS!$C$1476)*CROQUIS_DATOS!$C$1561,((CROQUIS_DATOS!$C$1494+CROQUIS_DATOS!$C$1495)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1">
        <f>IF(AND(CROQUIS_DATOS!$C$1472=1,CROQUIS_DATOS!$C$1478&gt;=4,((CROQUIS_DATOS!$C$1494+CROQUIS_DATOS!$C$1495))-(CROQUIS_DATOS!$C$1494)&gt;0.5,(CROQUIS_DATOS!$C$1476)-((CROQUIS_DATOS!$C$1496+CROQUIS_DATOS!$C$1497))&gt;0.5),(CROQUIS_DATOS!$C$1567+(IF(IF(MOD(MIN(INT(($A21-1)/2)+1,MAX(1,INT(((((CROQUIS_DATOS!$C$1494+CROQUIS_DATOS!$C$1495))-(CROQUIS_DATOS!$C$1494))+((CROQUIS_DATOS!$C$1476)*CROQUIS_DATOS!$C$1561-((CROQUIS_DATOS!$C$1496+CROQUIS_DATOS!$C$1497))*CROQUIS_DATOS!$C$1561))/CROQUIS_DATOS!$C$1568-0.000001))),2)=1,IF(INT(($A21-1)/2)+1&gt;MAX(1,INT(((((CROQUIS_DATOS!$C$1494+CROQUIS_DATOS!$C$1495))-(CROQUIS_DATOS!$C$1494))+((CROQUIS_DATOS!$C$1476)*CROQUIS_DATOS!$C$1561-((CROQUIS_DATOS!$C$1496+CROQUIS_DATOS!$C$1497))*CROQUIS_DATOS!$C$1561))/CROQUIS_DATOS!$C$1568-0.000001)),1,MOD($A21-1,2)),1-IF(INT(($A21-1)/2)+1&gt;MAX(1,INT(((((CROQUIS_DATOS!$C$1494+CROQUIS_DATOS!$C$1495))-(CROQUIS_DATOS!$C$1494))+((CROQUIS_DATOS!$C$1476)*CROQUIS_DATOS!$C$1561-((CROQUIS_DATOS!$C$1496+CROQUIS_DATOS!$C$1497))*CROQUIS_DATOS!$C$1561))/CROQUIS_DATOS!$C$1568-0.000001)),1,MOD($A21-1,2)))=1,MIN((CROQUIS_DATOS!$C$1476)*CROQUIS_DATOS!$C$1561,((CROQUIS_DATOS!$C$1494+CROQUIS_DATOS!$C$1495)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1">
        <f>IF(AND(CROQUIS_DATOS!$C$1472=1,1),(CROQUIS_DATOS!$C$1566+(INDEX($E$8:$E$23,MIN($A21,CROQUIS_DATOS!$C$1525)))*CROQUIS_DATOS!$C$1565),-1000)</f>
        <v>76.9224137931035</v>
      </c>
      <c r="EW21">
        <f>IF(AND(CROQUIS_DATOS!$C$1472=1,1),((CROQUIS_DATOS!$C$1567+(CROQUIS_DATOS!$C$1476+CROQUIS_DATOS!$C$1528)*CROQUIS_DATOS!$C$1561*CROQUIS_DATOS!$C$1565)+1.5),-1000)</f>
        <v>42.5</v>
      </c>
      <c r="GD21">
        <f>IF(AND(CROQUIS_DATOS!$C$1472=1,1),(CROQUIS_DATOS!$C$1571+(CHOOSE(MIN(MAX(IF(INT(($A21-1)/5)+1&gt;CROQUIS_DATOS!$C$1525,5,MOD($A21-1,5)+1),1),5),(INDEX($E$8:$E$23,MIN(INT(($A21-1)/5)+1,CROQUIS_DATOS!$C$1525))-INDEX($F$8:$F$23,MIN(INT(($A21-1)/5)+1,CROQUIS_DATOS!$C$1525))/2),(INDEX($E$8:$E$23,MIN(INT(($A21-1)/5)+1,CROQUIS_DATOS!$C$1525))+INDEX($F$8:$F$23,MIN(INT(($A21-1)/5)+1,CROQUIS_DATOS!$C$1525))/2),(INDEX($E$8:$E$23,MIN(INT(($A21-1)/5)+1,CROQUIS_DATOS!$C$1525))+INDEX($F$8:$F$23,MIN(INT(($A21-1)/5)+1,CROQUIS_DATOS!$C$1525))/2),(INDEX($E$8:$E$23,MIN(INT(($A21-1)/5)+1,CROQUIS_DATOS!$C$1525))-INDEX($F$8:$F$23,MIN(INT(($A21-1)/5)+1,CROQUIS_DATOS!$C$1525))/2),(INDEX($E$8:$E$23,MIN(INT(($A21-1)/5)+1,CROQUIS_DATOS!$C$1525))-INDEX($F$8:$F$23,MIN(INT(($A21-1)/5)+1,CROQUIS_DATOS!$C$1525))/2)))*CROQUIS_DATOS!$C$1569),-1000)</f>
        <v>29.92</v>
      </c>
      <c r="GE21">
        <f>IF(AND(CROQUIS_DATOS!$C$1472=1,1),(CROQUIS_DATOS!$C$1572+(CHOOSE(MIN(MAX(IF(INT(($A21-1)/5)+1&gt;CROQUIS_DATOS!$C$1525,5,MOD($A21-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21">
        <f>IF(AND(CROQUIS_DATOS!$C$1472=1,1),IF(INT(($A21-1)/4)+1&lt;=CROQUIS_DATOS!$C$1525,(CROQUIS_DATOS!$C$1571+((INDEX($E$8:$E$23,MIN(INT(($A21-1)/4)+1,16))+IF(OR(MOD($A21-1,4)=0,MOD($A21-1,4)=3),-1,1)*(INDEX($F$8:$F$23,MIN(INT(($A21-1)/4)+1,16))/2-(CROQUIS_DATOS!$C$1530+CROQUIS_DATOS!$C$1532+IF(OR(INT(($A21-1)/4)+1=1,INT(($A21-1)/4)+1=CROQUIS_DATOS!$C$1525),CROQUIS_DATOS!$C$1534,CROQUIS_DATOS!$C$1531)/2))))*CROQUIS_DATOS!$C$1569),-1000),-1000)</f>
        <v>47.747484</v>
      </c>
      <c r="GG21">
        <f>IF(AND(CROQUIS_DATOS!$C$1472=1,1),IF(INT(($A21-1)/4)+1&lt;=CROQUIS_DATOS!$C$1525,(CROQUIS_DATOS!$C$1572+((CROQUIS_DATOS!$C$1477/2+IF(MOD($A21-1,4)&lt;2,-1,1)*(CROQUIS_DATOS!$C$1527/2-(CROQUIS_DATOS!$C$1530+CROQUIS_DATOS!$C$1532+IF(OR(INT(($A21-1)/4)+1=1,INT(($A21-1)/4)+1=CROQUIS_DATOS!$C$1525),CROQUIS_DATOS!$C$1534,CROQUIS_DATOS!$C$1531)/2))))*CROQUIS_DATOS!$C$1569*CROQUIS_DATOS!$C$1570),-1000),-1000)</f>
        <v>10.43345</v>
      </c>
    </row>
    <row r="22">
      <c r="A22" t="n">
        <v>15</v>
      </c>
      <c r="B22" t="n">
        <v>15</v>
      </c>
      <c r="C22">
        <f>1+(B22&gt;CROQUIS_DATOS!$C$1520)+(B22&gt;CROQUIS_DATOS!$C$1521)+(B22&gt;CROQUIS_DATOS!$C$1522)+(B22&gt;CROQUIS_DATOS!$C$1523)</f>
        <v>5</v>
      </c>
      <c r="D22">
        <f>B22-CHOOSE(MIN(C22,5),0,CROQUIS_DATOS!$C$1520,CROQUIS_DATOS!$C$1521,CROQUIS_DATOS!$C$1522,CROQUIS_DATOS!$C$1523)</f>
        <v>9</v>
      </c>
      <c r="E22">
        <f>IF(G22=0,0,CHOOSE(MIN(C22,5),CROQUIS_DATOS!$C$1499,CROQUIS_DATOS!$C$1503,CROQUIS_DATOS!$C$1507,CROQUIS_DATOS!$C$1511,CROQUIS_DATOS!$C$1515)+IF(CHOOSE(MIN(C22,5),CROQUIS_DATOS!$C$1502,CROQUIS_DATOS!$C$1506,CROQUIS_DATOS!$C$1510,CROQUIS_DATOS!$C$1514,CROQUIS_DATOS!$C$1518)=1,CHOOSE(MIN(C22,5),CROQUIS_DATOS!$C$1500,CROQUIS_DATOS!$C$1504,CROQUIS_DATOS!$C$1508,CROQUIS_DATOS!$C$1512,CROQUIS_DATOS!$C$1516)/2,CROQUIS_DATOS!$C$1526/2+(D22-1)*(CHOOSE(MIN(C22,5),CROQUIS_DATOS!$C$1500,CROQUIS_DATOS!$C$1504,CROQUIS_DATOS!$C$1508,CROQUIS_DATOS!$C$1512,CROQUIS_DATOS!$C$1516)-CROQUIS_DATOS!$C$1526)/MAX(CHOOSE(MIN(C22,5),CROQUIS_DATOS!$C$1502,CROQUIS_DATOS!$C$1506,CROQUIS_DATOS!$C$1510,CROQUIS_DATOS!$C$1514,CROQUIS_DATOS!$C$1518)-1,1)))</f>
        <v>0</v>
      </c>
      <c r="F22">
        <f>IF(G22=0,0,IF(CHOOSE(MIN(C22,5),CROQUIS_DATOS!$C$1502,CROQUIS_DATOS!$C$1506,CROQUIS_DATOS!$C$1510,CROQUIS_DATOS!$C$1514,CROQUIS_DATOS!$C$1518)=1,MIN(CROQUIS_DATOS!$C$1526,CHOOSE(MIN(C22,5),CROQUIS_DATOS!$C$1500,CROQUIS_DATOS!$C$1504,CROQUIS_DATOS!$C$1508,CROQUIS_DATOS!$C$1512,CROQUIS_DATOS!$C$1516)),CROQUIS_DATOS!$C$1526))</f>
        <v>0</v>
      </c>
      <c r="G22">
        <f>IF(AND(CROQUIS_DATOS!$C$1472=1,B22&lt;=CROQUIS_DATOS!$C$1525),1,0)</f>
        <v>0</v>
      </c>
      <c r="H22">
        <f>IF(15&lt;=CROQUIS_DATOS!$C$1539,15*CROQUIS_DATOS!$C$1536,IF(15&lt;=CROQUIS_DATOS!$C$1539+CROQUIS_DATOS!$C$1540,CROQUIS_DATOS!$C$1539*CROQUIS_DATOS!$C$1536+(15-CROQUIS_DATOS!$C$1539)*(CROQUIS_DATOS!$C$1476-2*CROQUIS_DATOS!$C$1539*CROQUIS_DATOS!$C$1536)/(CROQUIS_DATOS!$C$1540+1),CROQUIS_DATOS!$C$1476-(2*CROQUIS_DATOS!$C$1539+CROQUIS_DATOS!$C$1540+1-15)*CROQUIS_DATOS!$C$1536))</f>
        <v>220</v>
      </c>
      <c r="I22">
        <f>IF(AND(CROQUIS_DATOS!$C$1544=1,E22&gt;=CROQUIS_DATOS!$C$1549-1,E22&lt;=CROQUIS_DATOS!$C$1550+1),CROQUIS_DATOS!$C$1554,CROQUIS_DATOS!$C$1552)</f>
        <v>-16.8885</v>
      </c>
      <c r="J22">
        <f>IF(AND(CROQUIS_DATOS!$C$1472=1,1),(CROQUIS_DATOS!$C$1563+(CHOOSE(MIN(MAX(IF(INT(($A22-1)/4)+1&gt;CROQUIS_DATOS!$C$1525,4,MOD($A22-1,4)+1),1),4),(INDEX($E$8:$E$23,MIN(INT(($A22-1)/4)+1,CROQUIS_DATOS!$C$1525))-INDEX($F$8:$F$23,MIN(INT(($A22-1)/4)+1,CROQUIS_DATOS!$C$1525))/2),(INDEX($E$8:$E$23,MIN(INT(($A22-1)/4)+1,CROQUIS_DATOS!$C$1525))-INDEX($F$8:$F$23,MIN(INT(($A22-1)/4)+1,CROQUIS_DATOS!$C$1525))/2),(INDEX($E$8:$E$23,MIN(INT(($A22-1)/4)+1,CROQUIS_DATOS!$C$1525))+INDEX($F$8:$F$23,MIN(INT(($A22-1)/4)+1,CROQUIS_DATOS!$C$1525))/2),(INDEX($E$8:$E$23,MIN(INT(($A22-1)/4)+1,CROQUIS_DATOS!$C$1525))+INDEX($F$8:$F$23,MIN(INT(($A22-1)/4)+1,CROQUIS_DATOS!$C$1525))/2)))*CROQUIS_DATOS!$C$1562),-1000)</f>
        <v>47.2068965517241</v>
      </c>
      <c r="K22">
        <f>IF(AND(CROQUIS_DATOS!$C$1472=1,1),(CROQUIS_DATOS!$C$1564+(CHOOSE(MIN(MAX(IF(INT(($A22-1)/4)+1&gt;CROQUIS_DATOS!$C$1525,4,MOD($A22-1,4)+1),1),4),0,CROQUIS_DATOS!$C$1476,CROQUIS_DATOS!$C$1476,0))*CROQUIS_DATOS!$C$1561*CROQUIS_DATOS!$C$1562),-1000)</f>
        <v>40.2068965517241</v>
      </c>
      <c r="L22">
        <f>IF(AND(CROQUIS_DATOS!$C$1472=1,1),(CROQUIS_DATOS!$C$1563+(CHOOSE(MIN(MAX(IF(INT(($A22-1)/4)+1&gt;CROQUIS_DATOS!$C$1525,4,MOD($A22-1,4)+1),1),4),((INDEX($E$8:$E$23,MIN(INT(($A22-1)/4)+1,CROQUIS_DATOS!$C$1525))-INDEX($F$8:$F$23,MIN(INT(($A22-1)/4)+1,CROQUIS_DATOS!$C$1525))/2)+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,((INDEX($E$8:$E$23,MIN(INT(($A22-1)/4)+1,CROQUIS_DATOS!$C$1525))-INDEX($F$8:$F$23,MIN(INT(($A22-1)/4)+1,CROQUIS_DATOS!$C$1525))/2)+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,((INDEX($E$8:$E$23,MIN(INT(($A22-1)/4)+1,CROQUIS_DATOS!$C$1525))+INDEX($F$8:$F$23,MIN(INT(($A22-1)/4)+1,CROQUIS_DATOS!$C$1525))/2)-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,((INDEX($E$8:$E$23,MIN(INT(($A22-1)/4)+1,CROQUIS_DATOS!$C$1525))+INDEX($F$8:$F$23,MIN(INT(($A22-1)/4)+1,CROQUIS_DATOS!$C$1525))/2)-MIN((CROQUIS_DATOS!$C$1530+CROQUIS_DATOS!$C$1532+IF(OR(MIN(INT(($A22-1)/4)+1,CROQUIS_DATOS!$C$1525)=1,MIN(INT(($A22-1)/4)+1,CROQUIS_DATOS!$C$1525)=CROQUIS_DATOS!$C$1525),CROQUIS_DATOS!$C$1534,CROQUIS_DATOS!$C$1531)/2),INDEX($F$8:$F$23,MIN(INT(($A22-1)/4)+1,CROQUIS_DATOS!$C$1525))/2-0.5))))*CROQUIS_DATOS!$C$1562),-1000)</f>
        <v>46.7723594827586</v>
      </c>
      <c r="M22">
        <f>IF(AND(CROQUIS_DATOS!$C$1472=1,1),(CROQUIS_DATOS!$C$1564+(CHOOSE(MIN(MAX(IF(INT(($A22-1)/4)+1&gt;CROQUIS_DATOS!$C$1525,4,MOD($A22-1,4)+1),1),4),CROQUIS_DATOS!$C$1543,INDEX($I$8:$I$23,MIN(INT(($A22-1)/4)+1,CROQUIS_DATOS!$C$1525)),INDEX($I$8:$I$23,MIN(INT(($A22-1)/4)+1,CROQUIS_DATOS!$C$1525)),CROQUIS_DATOS!$C$1543))*CROQUIS_DATOS!$C$1561*CROQUIS_DATOS!$C$1562),-1000)</f>
        <v>2.93453706896552</v>
      </c>
      <c r="N22">
        <f>IF(AND(CROQUIS_DATOS!$C$1472=1,1),(CROQUIS_DATOS!$C$1563+(IF(IF(IF(INT(($A22-1)/70)+1&gt;CROQUIS_DATOS!$C$1525,70,MOD($A22-1,70)+1)=1,0,IF(IF(INT(($A22-1)/70)+1&gt;CROQUIS_DATOS!$C$1525,70,MOD($A22-1,70)+1)&gt;2*CROQUIS_DATOS!$C$1541+1,IF(MOD(CROQUIS_DATOS!$C$1541,2)=1,1,0),IF(MOD(MIN(INT((IF(INT(($A22-1)/70)+1&gt;CROQUIS_DATOS!$C$1525,70,MOD($A22-1,70)+1)-2)/2)+1,CROQUIS_DATOS!$C$1541),2)=1,IF(MOD(IF(INT(($A22-1)/70)+1&gt;CROQUIS_DATOS!$C$1525,70,MOD($A22-1,70)+1)-2,2)=0,0,1),IF(MOD(IF(INT(($A22-1)/70)+1&gt;CROQUIS_DATOS!$C$1525,70,MOD($A22-1,70)+1)-2,2)=0,1,0))))=0,(INDEX($E$8:$E$23,MIN(INT(($A22-1)/70)+1,CROQUIS_DATOS!$C$1525))-INDEX($F$8:$F$23,MIN(INT(($A22-1)/70)+1,CROQUIS_DATOS!$C$1525))/2),(INDEX($E$8:$E$23,MIN(INT(($A22-1)/70)+1,CROQUIS_DATOS!$C$1525))+INDEX($F$8:$F$23,MIN(INT(($A22-1)/70)+1,CROQUIS_DATOS!$C$1525))/2)))*CROQUIS_DATOS!$C$1562),-1000)</f>
        <v>17.1810344827586</v>
      </c>
      <c r="O22">
        <f>IF(AND(CROQUIS_DATOS!$C$1472=1,1),(CROQUIS_DATOS!$C$1564+(IF(OR(IF(INT(($A22-1)/70)+1&gt;CROQUIS_DATOS!$C$1525,70,MOD($A22-1,70)+1)=1,IF(INT(($A22-1)/70)+1&gt;CROQUIS_DATOS!$C$1525,70,MOD($A22-1,70)+1)&gt;2*CROQUIS_DATOS!$C$1541+1),CROQUIS_DATOS!$C$1476,INDEX($H$8:$H$41,MIN(INT((IF(INT(($A22-1)/70)+1&gt;CROQUIS_DATOS!$C$1525,70,MOD($A22-1,70)+1)-2)/2)+1,CROQUIS_DATOS!$C$1541))))*CROQUIS_DATOS!$C$1561*CROQUIS_DATOS!$C$1562),-1000)</f>
        <v>15.9612068965517</v>
      </c>
      <c r="P22">
        <f>IF(AND(CROQUIS_DATOS!$C$1472=1,CROQUIS_DATOS!$C$1555=1),(CROQUIS_DATOS!$C$1563+(IF(IF(OR(MOD($A22-1,62)+1=1,IF(CHOOSE(MIN(MAX(MIN(INT(($A22-1)/62)+1,5),1),5),CROQUIS_DATOS!$C$1501,CROQUIS_DATOS!$C$1505,CROQUIS_DATOS!$C$1509,CROQUIS_DATOS!$C$1513,CROQUIS_DATOS!$C$1517)=1,CROQUIS_DATOS!$C$1557,0)=0),0,IF(MOD($A22-1,62)+1&gt;2*IF(CHOOSE(MIN(MAX(MIN(INT(($A22-1)/62)+1,5),1),5),CROQUIS_DATOS!$C$1501,CROQUIS_DATOS!$C$1505,CROQUIS_DATOS!$C$1509,CROQUIS_DATOS!$C$1513,CROQUIS_DATOS!$C$1517)=1,CROQUIS_DATOS!$C$1557,0)+1,IF(MOD(IF(CHOOSE(MIN(MAX(MIN(INT(($A22-1)/62)+1,5),1),5),CROQUIS_DATOS!$C$1501,CROQUIS_DATOS!$C$1505,CROQUIS_DATOS!$C$1509,CROQUIS_DATOS!$C$1513,CROQUIS_DATOS!$C$1517)=1,CROQUIS_DATOS!$C$1557,0),2)=1,1,0),IF(MOD(MIN(INT((MOD($A22-1,62)+1-2)/2)+1,MAX(IF(CHOOSE(MIN(MAX(MIN(INT(($A22-1)/62)+1,5),1),5),CROQUIS_DATOS!$C$1501,CROQUIS_DATOS!$C$1505,CROQUIS_DATOS!$C$1509,CROQUIS_DATOS!$C$1513,CROQUIS_DATOS!$C$1517)=1,CROQUIS_DATOS!$C$1557,0),1)),2)=1,IF(MOD(MOD($A22-1,62)+1-2,2)=0,0,1),IF(MOD(MOD($A22-1,62)+1-2,2)=0,1,0))))=0,(CHOOSE(MIN(MAX(MIN(INT(($A22-1)/62)+1,5),1),5),CROQUIS_DATOS!$C$1499,CROQUIS_DATOS!$C$1503,CROQUIS_DATOS!$C$1507,CROQUIS_DATOS!$C$1511,CROQUIS_DATOS!$C$1515)+IF(CHOOSE(MIN(MAX(MIN(INT(($A22-1)/62)+1,5),1),5),CROQUIS_DATOS!$C$1501,CROQUIS_DATOS!$C$1505,CROQUIS_DATOS!$C$1509,CROQUIS_DATOS!$C$1513,CROQUIS_DATOS!$C$1517)=1,CROQUIS_DATOS!$C$1526,0)),(CHOOSE(MIN(MAX(MIN(INT(($A22-1)/62)+1,5),1),5),CROQUIS_DATOS!$C$1499,CROQUIS_DATOS!$C$1503,CROQUIS_DATOS!$C$1507,CROQUIS_DATOS!$C$1511,CROQUIS_DATOS!$C$1515)+CHOOSE(MIN(MAX(MIN(INT(($A22-1)/62)+1,5),1),5),CROQUIS_DATOS!$C$1500,CROQUIS_DATOS!$C$1504,CROQUIS_DATOS!$C$1508,CROQUIS_DATOS!$C$1512,CROQUIS_DATOS!$C$1516)-IF(CHOOSE(MIN(MAX(MIN(INT(($A22-1)/62)+1,5),1),5),CROQUIS_DATOS!$C$1501,CROQUIS_DATOS!$C$1505,CROQUIS_DATOS!$C$1509,CROQUIS_DATOS!$C$1513,CROQUIS_DATOS!$C$1517)=1,CROQUIS_DATOS!$C$1526,0))))*CROQUIS_DATOS!$C$1562),-1000)</f>
        <v>-1000</v>
      </c>
      <c r="Q22">
        <f>IF(AND(CROQUIS_DATOS!$C$1472=1,CROQUIS_DATOS!$C$1555=1),(CROQUIS_DATOS!$C$1564+(IF(OR(OR(MOD($A22-1,62)+1=1,IF(CHOOSE(MIN(MAX(MIN(INT(($A22-1)/62)+1,5),1),5),CROQUIS_DATOS!$C$1501,CROQUIS_DATOS!$C$1505,CROQUIS_DATOS!$C$1509,CROQUIS_DATOS!$C$1513,CROQUIS_DATOS!$C$1517)=1,CROQUIS_DATOS!$C$1557,0)=0),MOD($A22-1,62)+1&gt;2*IF(CHOOSE(MIN(MAX(MIN(INT(($A22-1)/62)+1,5),1),5),CROQUIS_DATOS!$C$1501,CROQUIS_DATOS!$C$1505,CROQUIS_DATOS!$C$1509,CROQUIS_DATOS!$C$1513,CROQUIS_DATOS!$C$1517)=1,CROQUIS_DATOS!$C$1557,0)+1),CROQUIS_DATOS!$C$1476,MIN(INT((MOD($A22-1,62)+1-2)/2)+1,MAX(IF(CHOOSE(MIN(MAX(MIN(INT(($A22-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">
        <f>IF(AND(CROQUIS_DATOS!$C$1472=1,1),(CROQUIS_DATOS!$C$1563+(MIN(INT(($A22-1)/2)+1,CROQUIS_DATOS!$C$1558)*CROQUIS_DATOS!$C$1559)*CROQUIS_DATOS!$C$1562),-1000)</f>
        <v>36.5716180371353</v>
      </c>
      <c r="U22">
        <f>IF(AND(CROQUIS_DATOS!$C$1472=1,1),(CROQUIS_DATOS!$C$1564+(IF(INT(($A22-1)/2)+1&gt;CROQUIS_DATOS!$C$1558,IF(MOD(CROQUIS_DATOS!$C$1558,2)=1,CROQUIS_DATOS!$C$1476+CROQUIS_DATOS!$C$1528,CROQUIS_DATOS!$C$1476),IF(IF(MOD(MIN(INT(($A22-1)/2)+1,CROQUIS_DATOS!$C$1558),2)=1,MOD($A22-1,2),1-MOD($A22-1,2))=1,CROQUIS_DATOS!$C$1476+CROQUIS_DATOS!$C$1528,CROQUIS_DATOS!$C$1476)))*CROQUIS_DATOS!$C$1561*CROQUIS_DATOS!$C$1562),-1000)</f>
        <v>43</v>
      </c>
      <c r="BZ22">
        <f>IF(AND(CROQUIS_DATOS!$C$1472=1,CROQUIS_DATOS!$C$1500&gt;0,((CROQUIS_DATOS!$C$1499+CROQUIS_DATOS!$C$1500))-(CROQUIS_DATOS!$C$1499)&gt;0.5,(CROQUIS_DATOS!$C$1476)-(0)&gt;0.5),(CROQUIS_DATOS!$C$1566+(IF(IF(MOD(MIN(INT(($A22-1)/2)+1,MAX(1,INT(((((CROQUIS_DATOS!$C$1499+CROQUIS_DATOS!$C$1500))-(CROQUIS_DATOS!$C$1499))+((CROQUIS_DATOS!$C$1476)*CROQUIS_DATOS!$C$1561-(0)*CROQUIS_DATOS!$C$1561))/CROQUIS_DATOS!$C$1568-0.000001))),2)=1,IF(INT(($A22-1)/2)+1&gt;MAX(1,INT(((((CROQUIS_DATOS!$C$1499+CROQUIS_DATOS!$C$1500))-(CROQUIS_DATOS!$C$1499))+((CROQUIS_DATOS!$C$1476)*CROQUIS_DATOS!$C$1561-(0)*CROQUIS_DATOS!$C$1561))/CROQUIS_DATOS!$C$1568-0.000001)),1,MOD($A22-1,2)),1-IF(INT(($A22-1)/2)+1&gt;MAX(1,INT(((((CROQUIS_DATOS!$C$1499+CROQUIS_DATOS!$C$1500))-(CROQUIS_DATOS!$C$1499))+((CROQUIS_DATOS!$C$1476)*CROQUIS_DATOS!$C$1561-(0)*CROQUIS_DATOS!$C$1561))/CROQUIS_DATOS!$C$1568-0.000001)),1,MOD($A22-1,2)))=1,MIN((CROQUIS_DATOS!$C$1476)*CROQUIS_DATOS!$C$1561,((CROQUIS_DATOS!$C$1499+CROQUIS_DATOS!$C$1500)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22">
        <f>IF(AND(CROQUIS_DATOS!$C$1472=1,CROQUIS_DATOS!$C$1500&gt;0,((CROQUIS_DATOS!$C$1499+CROQUIS_DATOS!$C$1500))-(CROQUIS_DATOS!$C$1499)&gt;0.5,(CROQUIS_DATOS!$C$1476)-(0)&gt;0.5),(CROQUIS_DATOS!$C$1567+(IF(IF(MOD(MIN(INT(($A22-1)/2)+1,MAX(1,INT(((((CROQUIS_DATOS!$C$1499+CROQUIS_DATOS!$C$1500))-(CROQUIS_DATOS!$C$1499))+((CROQUIS_DATOS!$C$1476)*CROQUIS_DATOS!$C$1561-(0)*CROQUIS_DATOS!$C$1561))/CROQUIS_DATOS!$C$1568-0.000001))),2)=1,IF(INT(($A22-1)/2)+1&gt;MAX(1,INT(((((CROQUIS_DATOS!$C$1499+CROQUIS_DATOS!$C$1500))-(CROQUIS_DATOS!$C$1499))+((CROQUIS_DATOS!$C$1476)*CROQUIS_DATOS!$C$1561-(0)*CROQUIS_DATOS!$C$1561))/CROQUIS_DATOS!$C$1568-0.000001)),1,MOD($A22-1,2)),1-IF(INT(($A22-1)/2)+1&gt;MAX(1,INT(((((CROQUIS_DATOS!$C$1499+CROQUIS_DATOS!$C$1500))-(CROQUIS_DATOS!$C$1499))+((CROQUIS_DATOS!$C$1476)*CROQUIS_DATOS!$C$1561-(0)*CROQUIS_DATOS!$C$1561))/CROQUIS_DATOS!$C$1568-0.000001)),1,MOD($A22-1,2)))=1,MIN((CROQUIS_DATOS!$C$1476)*CROQUIS_DATOS!$C$1561,((CROQUIS_DATOS!$C$1499+CROQUIS_DATOS!$C$1500)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22-1)/2)+1,MAX(1,INT(((((CROQUIS_DATOS!$C$1499+CROQUIS_DATOS!$C$1500))-(CROQUIS_DATOS!$C$1499))+((CROQUIS_DATOS!$C$1476)*CROQUIS_DATOS!$C$1561-(0)*CROQUIS_DATOS!$C$1561))/CROQUIS_DATOS!$C$1568-0.000001)))*CROQUIS_DATOS!$C$1568))))*CROQUIS_DATOS!$C$1565),-1000)</f>
        <v>30.3379310344828</v>
      </c>
      <c r="CB22">
        <f>IF(AND(CROQUIS_DATOS!$C$1472=1,CROQUIS_DATOS!$C$1504&gt;0,((CROQUIS_DATOS!$C$1503+CROQUIS_DATOS!$C$1504))-(CROQUIS_DATOS!$C$1503)&gt;0.5,(CROQUIS_DATOS!$C$1476)-(0)&gt;0.5),(CROQUIS_DATOS!$C$1566+(IF(IF(MOD(MIN(INT(($A22-1)/2)+1,MAX(1,INT(((((CROQUIS_DATOS!$C$1503+CROQUIS_DATOS!$C$1504))-(CROQUIS_DATOS!$C$1503))+((CROQUIS_DATOS!$C$1476)*CROQUIS_DATOS!$C$1561-(0)*CROQUIS_DATOS!$C$1561))/CROQUIS_DATOS!$C$1568-0.000001))),2)=1,IF(INT(($A22-1)/2)+1&gt;MAX(1,INT(((((CROQUIS_DATOS!$C$1503+CROQUIS_DATOS!$C$1504))-(CROQUIS_DATOS!$C$1503))+((CROQUIS_DATOS!$C$1476)*CROQUIS_DATOS!$C$1561-(0)*CROQUIS_DATOS!$C$1561))/CROQUIS_DATOS!$C$1568-0.000001)),1,MOD($A22-1,2)),1-IF(INT(($A22-1)/2)+1&gt;MAX(1,INT(((((CROQUIS_DATOS!$C$1503+CROQUIS_DATOS!$C$1504))-(CROQUIS_DATOS!$C$1503))+((CROQUIS_DATOS!$C$1476)*CROQUIS_DATOS!$C$1561-(0)*CROQUIS_DATOS!$C$1561))/CROQUIS_DATOS!$C$1568-0.000001)),1,MOD($A22-1,2)))=1,MIN((CROQUIS_DATOS!$C$1476)*CROQUIS_DATOS!$C$1561,((CROQUIS_DATOS!$C$1503+CROQUIS_DATOS!$C$1504)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22">
        <f>IF(AND(CROQUIS_DATOS!$C$1472=1,CROQUIS_DATOS!$C$1504&gt;0,((CROQUIS_DATOS!$C$1503+CROQUIS_DATOS!$C$1504))-(CROQUIS_DATOS!$C$1503)&gt;0.5,(CROQUIS_DATOS!$C$1476)-(0)&gt;0.5),(CROQUIS_DATOS!$C$1567+(IF(IF(MOD(MIN(INT(($A22-1)/2)+1,MAX(1,INT(((((CROQUIS_DATOS!$C$1503+CROQUIS_DATOS!$C$1504))-(CROQUIS_DATOS!$C$1503))+((CROQUIS_DATOS!$C$1476)*CROQUIS_DATOS!$C$1561-(0)*CROQUIS_DATOS!$C$1561))/CROQUIS_DATOS!$C$1568-0.000001))),2)=1,IF(INT(($A22-1)/2)+1&gt;MAX(1,INT(((((CROQUIS_DATOS!$C$1503+CROQUIS_DATOS!$C$1504))-(CROQUIS_DATOS!$C$1503))+((CROQUIS_DATOS!$C$1476)*CROQUIS_DATOS!$C$1561-(0)*CROQUIS_DATOS!$C$1561))/CROQUIS_DATOS!$C$1568-0.000001)),1,MOD($A22-1,2)),1-IF(INT(($A22-1)/2)+1&gt;MAX(1,INT(((((CROQUIS_DATOS!$C$1503+CROQUIS_DATOS!$C$1504))-(CROQUIS_DATOS!$C$1503))+((CROQUIS_DATOS!$C$1476)*CROQUIS_DATOS!$C$1561-(0)*CROQUIS_DATOS!$C$1561))/CROQUIS_DATOS!$C$1568-0.000001)),1,MOD($A22-1,2)))=1,MIN((CROQUIS_DATOS!$C$1476)*CROQUIS_DATOS!$C$1561,((CROQUIS_DATOS!$C$1503+CROQUIS_DATOS!$C$1504)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22-1)/2)+1,MAX(1,INT(((((CROQUIS_DATOS!$C$1503+CROQUIS_DATOS!$C$1504))-(CROQUIS_DATOS!$C$1503))+((CROQUIS_DATOS!$C$1476)*CROQUIS_DATOS!$C$1561-(0)*CROQUIS_DATOS!$C$1561))/CROQUIS_DATOS!$C$1568-0.000001)))*CROQUIS_DATOS!$C$1568))))*CROQUIS_DATOS!$C$1565),-1000)</f>
        <v>36.751724137931</v>
      </c>
      <c r="CD22">
        <f>IF(AND(CROQUIS_DATOS!$C$1472=1,CROQUIS_DATOS!$C$1508&gt;0,((CROQUIS_DATOS!$C$1507+CROQUIS_DATOS!$C$1508))-(CROQUIS_DATOS!$C$1507)&gt;0.5,(CROQUIS_DATOS!$C$1476)-(0)&gt;0.5),(CROQUIS_DATOS!$C$1566+(IF(IF(MOD(MIN(INT(($A22-1)/2)+1,MAX(1,INT(((((CROQUIS_DATOS!$C$1507+CROQUIS_DATOS!$C$1508))-(CROQUIS_DATOS!$C$1507))+((CROQUIS_DATOS!$C$1476)*CROQUIS_DATOS!$C$1561-(0)*CROQUIS_DATOS!$C$1561))/CROQUIS_DATOS!$C$1568-0.000001))),2)=1,IF(INT(($A22-1)/2)+1&gt;MAX(1,INT(((((CROQUIS_DATOS!$C$1507+CROQUIS_DATOS!$C$1508))-(CROQUIS_DATOS!$C$1507))+((CROQUIS_DATOS!$C$1476)*CROQUIS_DATOS!$C$1561-(0)*CROQUIS_DATOS!$C$1561))/CROQUIS_DATOS!$C$1568-0.000001)),1,MOD($A22-1,2)),1-IF(INT(($A22-1)/2)+1&gt;MAX(1,INT(((((CROQUIS_DATOS!$C$1507+CROQUIS_DATOS!$C$1508))-(CROQUIS_DATOS!$C$1507))+((CROQUIS_DATOS!$C$1476)*CROQUIS_DATOS!$C$1561-(0)*CROQUIS_DATOS!$C$1561))/CROQUIS_DATOS!$C$1568-0.000001)),1,MOD($A22-1,2)))=1,MIN((CROQUIS_DATOS!$C$1476)*CROQUIS_DATOS!$C$1561,((CROQUIS_DATOS!$C$1507+CROQUIS_DATOS!$C$1508)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*CROQUIS_DATOS!$C$1565),-1000)</f>
        <v>77.6965517241379</v>
      </c>
      <c r="CE22">
        <f>IF(AND(CROQUIS_DATOS!$C$1472=1,CROQUIS_DATOS!$C$1508&gt;0,((CROQUIS_DATOS!$C$1507+CROQUIS_DATOS!$C$1508))-(CROQUIS_DATOS!$C$1507)&gt;0.5,(CROQUIS_DATOS!$C$1476)-(0)&gt;0.5),(CROQUIS_DATOS!$C$1567+(IF(IF(MOD(MIN(INT(($A22-1)/2)+1,MAX(1,INT(((((CROQUIS_DATOS!$C$1507+CROQUIS_DATOS!$C$1508))-(CROQUIS_DATOS!$C$1507))+((CROQUIS_DATOS!$C$1476)*CROQUIS_DATOS!$C$1561-(0)*CROQUIS_DATOS!$C$1561))/CROQUIS_DATOS!$C$1568-0.000001))),2)=1,IF(INT(($A22-1)/2)+1&gt;MAX(1,INT(((((CROQUIS_DATOS!$C$1507+CROQUIS_DATOS!$C$1508))-(CROQUIS_DATOS!$C$1507))+((CROQUIS_DATOS!$C$1476)*CROQUIS_DATOS!$C$1561-(0)*CROQUIS_DATOS!$C$1561))/CROQUIS_DATOS!$C$1568-0.000001)),1,MOD($A22-1,2)),1-IF(INT(($A22-1)/2)+1&gt;MAX(1,INT(((((CROQUIS_DATOS!$C$1507+CROQUIS_DATOS!$C$1508))-(CROQUIS_DATOS!$C$1507))+((CROQUIS_DATOS!$C$1476)*CROQUIS_DATOS!$C$1561-(0)*CROQUIS_DATOS!$C$1561))/CROQUIS_DATOS!$C$1568-0.000001)),1,MOD($A22-1,2)))=1,MIN((CROQUIS_DATOS!$C$1476)*CROQUIS_DATOS!$C$1561,((CROQUIS_DATOS!$C$1507+CROQUIS_DATOS!$C$1508)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22-1)/2)+1,MAX(1,INT(((((CROQUIS_DATOS!$C$1507+CROQUIS_DATOS!$C$1508))-(CROQUIS_DATOS!$C$1507))+((CROQUIS_DATOS!$C$1476)*CROQUIS_DATOS!$C$1561-(0)*CROQUIS_DATOS!$C$1561))/CROQUIS_DATOS!$C$1568-0.000001)))*CROQUIS_DATOS!$C$1568))))*CROQUIS_DATOS!$C$1565),-1000)</f>
        <v>38.8620689655172</v>
      </c>
      <c r="CF22">
        <f>IF(AND(CROQUIS_DATOS!$C$1472=1,CROQUIS_DATOS!$C$1512&gt;0,((CROQUIS_DATOS!$C$1511+CROQUIS_DATOS!$C$1512))-(CROQUIS_DATOS!$C$1511)&gt;0.5,(CROQUIS_DATOS!$C$1476)-(0)&gt;0.5),(CROQUIS_DATOS!$C$1566+(IF(IF(MOD(MIN(INT(($A22-1)/2)+1,MAX(1,INT(((((CROQUIS_DATOS!$C$1511+CROQUIS_DATOS!$C$1512))-(CROQUIS_DATOS!$C$1511))+((CROQUIS_DATOS!$C$1476)*CROQUIS_DATOS!$C$1561-(0)*CROQUIS_DATOS!$C$1561))/CROQUIS_DATOS!$C$1568-0.000001))),2)=1,IF(INT(($A22-1)/2)+1&gt;MAX(1,INT(((((CROQUIS_DATOS!$C$1511+CROQUIS_DATOS!$C$1512))-(CROQUIS_DATOS!$C$1511))+((CROQUIS_DATOS!$C$1476)*CROQUIS_DATOS!$C$1561-(0)*CROQUIS_DATOS!$C$1561))/CROQUIS_DATOS!$C$1568-0.000001)),1,MOD($A22-1,2)),1-IF(INT(($A22-1)/2)+1&gt;MAX(1,INT(((((CROQUIS_DATOS!$C$1511+CROQUIS_DATOS!$C$1512))-(CROQUIS_DATOS!$C$1511))+((CROQUIS_DATOS!$C$1476)*CROQUIS_DATOS!$C$1561-(0)*CROQUIS_DATOS!$C$1561))/CROQUIS_DATOS!$C$1568-0.000001)),1,MOD($A22-1,2)))=1,MIN((CROQUIS_DATOS!$C$1476)*CROQUIS_DATOS!$C$1561,((CROQUIS_DATOS!$C$1511+CROQUIS_DATOS!$C$1512)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2">
        <f>IF(AND(CROQUIS_DATOS!$C$1472=1,CROQUIS_DATOS!$C$1512&gt;0,((CROQUIS_DATOS!$C$1511+CROQUIS_DATOS!$C$1512))-(CROQUIS_DATOS!$C$1511)&gt;0.5,(CROQUIS_DATOS!$C$1476)-(0)&gt;0.5),(CROQUIS_DATOS!$C$1567+(IF(IF(MOD(MIN(INT(($A22-1)/2)+1,MAX(1,INT(((((CROQUIS_DATOS!$C$1511+CROQUIS_DATOS!$C$1512))-(CROQUIS_DATOS!$C$1511))+((CROQUIS_DATOS!$C$1476)*CROQUIS_DATOS!$C$1561-(0)*CROQUIS_DATOS!$C$1561))/CROQUIS_DATOS!$C$1568-0.000001))),2)=1,IF(INT(($A22-1)/2)+1&gt;MAX(1,INT(((((CROQUIS_DATOS!$C$1511+CROQUIS_DATOS!$C$1512))-(CROQUIS_DATOS!$C$1511))+((CROQUIS_DATOS!$C$1476)*CROQUIS_DATOS!$C$1561-(0)*CROQUIS_DATOS!$C$1561))/CROQUIS_DATOS!$C$1568-0.000001)),1,MOD($A22-1,2)),1-IF(INT(($A22-1)/2)+1&gt;MAX(1,INT(((((CROQUIS_DATOS!$C$1511+CROQUIS_DATOS!$C$1512))-(CROQUIS_DATOS!$C$1511))+((CROQUIS_DATOS!$C$1476)*CROQUIS_DATOS!$C$1561-(0)*CROQUIS_DATOS!$C$1561))/CROQUIS_DATOS!$C$1568-0.000001)),1,MOD($A22-1,2)))=1,MIN((CROQUIS_DATOS!$C$1476)*CROQUIS_DATOS!$C$1561,((CROQUIS_DATOS!$C$1511+CROQUIS_DATOS!$C$1512)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2">
        <f>IF(AND(CROQUIS_DATOS!$C$1472=1,CROQUIS_DATOS!$C$1516&gt;0,((CROQUIS_DATOS!$C$1515+CROQUIS_DATOS!$C$1516))-(CROQUIS_DATOS!$C$1515)&gt;0.5,(CROQUIS_DATOS!$C$1476)-(0)&gt;0.5),(CROQUIS_DATOS!$C$1566+(IF(IF(MOD(MIN(INT(($A22-1)/2)+1,MAX(1,INT(((((CROQUIS_DATOS!$C$1515+CROQUIS_DATOS!$C$1516))-(CROQUIS_DATOS!$C$1515))+((CROQUIS_DATOS!$C$1476)*CROQUIS_DATOS!$C$1561-(0)*CROQUIS_DATOS!$C$1561))/CROQUIS_DATOS!$C$1568-0.000001))),2)=1,IF(INT(($A22-1)/2)+1&gt;MAX(1,INT(((((CROQUIS_DATOS!$C$1515+CROQUIS_DATOS!$C$1516))-(CROQUIS_DATOS!$C$1515))+((CROQUIS_DATOS!$C$1476)*CROQUIS_DATOS!$C$1561-(0)*CROQUIS_DATOS!$C$1561))/CROQUIS_DATOS!$C$1568-0.000001)),1,MOD($A22-1,2)),1-IF(INT(($A22-1)/2)+1&gt;MAX(1,INT(((((CROQUIS_DATOS!$C$1515+CROQUIS_DATOS!$C$1516))-(CROQUIS_DATOS!$C$1515))+((CROQUIS_DATOS!$C$1476)*CROQUIS_DATOS!$C$1561-(0)*CROQUIS_DATOS!$C$1561))/CROQUIS_DATOS!$C$1568-0.000001)),1,MOD($A22-1,2)))=1,MIN((CROQUIS_DATOS!$C$1476)*CROQUIS_DATOS!$C$1561,((CROQUIS_DATOS!$C$1515+CROQUIS_DATOS!$C$1516)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2">
        <f>IF(AND(CROQUIS_DATOS!$C$1472=1,CROQUIS_DATOS!$C$1516&gt;0,((CROQUIS_DATOS!$C$1515+CROQUIS_DATOS!$C$1516))-(CROQUIS_DATOS!$C$1515)&gt;0.5,(CROQUIS_DATOS!$C$1476)-(0)&gt;0.5),(CROQUIS_DATOS!$C$1567+(IF(IF(MOD(MIN(INT(($A22-1)/2)+1,MAX(1,INT(((((CROQUIS_DATOS!$C$1515+CROQUIS_DATOS!$C$1516))-(CROQUIS_DATOS!$C$1515))+((CROQUIS_DATOS!$C$1476)*CROQUIS_DATOS!$C$1561-(0)*CROQUIS_DATOS!$C$1561))/CROQUIS_DATOS!$C$1568-0.000001))),2)=1,IF(INT(($A22-1)/2)+1&gt;MAX(1,INT(((((CROQUIS_DATOS!$C$1515+CROQUIS_DATOS!$C$1516))-(CROQUIS_DATOS!$C$1515))+((CROQUIS_DATOS!$C$1476)*CROQUIS_DATOS!$C$1561-(0)*CROQUIS_DATOS!$C$1561))/CROQUIS_DATOS!$C$1568-0.000001)),1,MOD($A22-1,2)),1-IF(INT(($A22-1)/2)+1&gt;MAX(1,INT(((((CROQUIS_DATOS!$C$1515+CROQUIS_DATOS!$C$1516))-(CROQUIS_DATOS!$C$1515))+((CROQUIS_DATOS!$C$1476)*CROQUIS_DATOS!$C$1561-(0)*CROQUIS_DATOS!$C$1561))/CROQUIS_DATOS!$C$1568-0.000001)),1,MOD($A22-1,2)))=1,MIN((CROQUIS_DATOS!$C$1476)*CROQUIS_DATOS!$C$1561,((CROQUIS_DATOS!$C$1515+CROQUIS_DATOS!$C$1516)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2">
        <f>IF(AND(CROQUIS_DATOS!$C$1472=1,CROQUIS_DATOS!$C$1478&gt;=1,((CROQUIS_DATOS!$C$1479+CROQUIS_DATOS!$C$1480))-(CROQUIS_DATOS!$C$1479)&gt;0.5,(CROQUIS_DATOS!$C$1481)-(0)&gt;0.5),(CROQUIS_DATOS!$C$1566+(IF(IF(MOD(MIN(INT(($A22-1)/2)+1,MAX(1,INT(((((CROQUIS_DATOS!$C$1479+CROQUIS_DATOS!$C$1480))-(CROQUIS_DATOS!$C$1479))+((CROQUIS_DATOS!$C$1481)*CROQUIS_DATOS!$C$1561-(0)*CROQUIS_DATOS!$C$1561))/CROQUIS_DATOS!$C$1568-0.000001))),2)=1,IF(INT(($A22-1)/2)+1&gt;MAX(1,INT(((((CROQUIS_DATOS!$C$1479+CROQUIS_DATOS!$C$1480))-(CROQUIS_DATOS!$C$1479))+((CROQUIS_DATOS!$C$1481)*CROQUIS_DATOS!$C$1561-(0)*CROQUIS_DATOS!$C$1561))/CROQUIS_DATOS!$C$1568-0.000001)),1,MOD($A22-1,2)),1-IF(INT(($A22-1)/2)+1&gt;MAX(1,INT(((((CROQUIS_DATOS!$C$1479+CROQUIS_DATOS!$C$1480))-(CROQUIS_DATOS!$C$1479))+((CROQUIS_DATOS!$C$1481)*CROQUIS_DATOS!$C$1561-(0)*CROQUIS_DATOS!$C$1561))/CROQUIS_DATOS!$C$1568-0.000001)),1,MOD($A22-1,2)))=1,MIN((CROQUIS_DATOS!$C$1481)*CROQUIS_DATOS!$C$1561,((CROQUIS_DATOS!$C$1479+CROQUIS_DATOS!$C$1480)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2">
        <f>IF(AND(CROQUIS_DATOS!$C$1472=1,CROQUIS_DATOS!$C$1478&gt;=1,((CROQUIS_DATOS!$C$1479+CROQUIS_DATOS!$C$1480))-(CROQUIS_DATOS!$C$1479)&gt;0.5,(CROQUIS_DATOS!$C$1481)-(0)&gt;0.5),(CROQUIS_DATOS!$C$1567+(IF(IF(MOD(MIN(INT(($A22-1)/2)+1,MAX(1,INT(((((CROQUIS_DATOS!$C$1479+CROQUIS_DATOS!$C$1480))-(CROQUIS_DATOS!$C$1479))+((CROQUIS_DATOS!$C$1481)*CROQUIS_DATOS!$C$1561-(0)*CROQUIS_DATOS!$C$1561))/CROQUIS_DATOS!$C$1568-0.000001))),2)=1,IF(INT(($A22-1)/2)+1&gt;MAX(1,INT(((((CROQUIS_DATOS!$C$1479+CROQUIS_DATOS!$C$1480))-(CROQUIS_DATOS!$C$1479))+((CROQUIS_DATOS!$C$1481)*CROQUIS_DATOS!$C$1561-(0)*CROQUIS_DATOS!$C$1561))/CROQUIS_DATOS!$C$1568-0.000001)),1,MOD($A22-1,2)),1-IF(INT(($A22-1)/2)+1&gt;MAX(1,INT(((((CROQUIS_DATOS!$C$1479+CROQUIS_DATOS!$C$1480))-(CROQUIS_DATOS!$C$1479))+((CROQUIS_DATOS!$C$1481)*CROQUIS_DATOS!$C$1561-(0)*CROQUIS_DATOS!$C$1561))/CROQUIS_DATOS!$C$1568-0.000001)),1,MOD($A22-1,2)))=1,MIN((CROQUIS_DATOS!$C$1481)*CROQUIS_DATOS!$C$1561,((CROQUIS_DATOS!$C$1479+CROQUIS_DATOS!$C$1480)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2">
        <f>IF(AND(CROQUIS_DATOS!$C$1472=1,CROQUIS_DATOS!$C$1478&gt;=1,((CROQUIS_DATOS!$C$1479+CROQUIS_DATOS!$C$1480))-(CROQUIS_DATOS!$C$1479)&gt;0.5,(CROQUIS_DATOS!$C$1476)-((CROQUIS_DATOS!$C$1481+CROQUIS_DATOS!$C$1482))&gt;0.5),(CROQUIS_DATOS!$C$1566+(IF(IF(MOD(MIN(INT(($A22-1)/2)+1,MAX(1,INT(((((CROQUIS_DATOS!$C$1479+CROQUIS_DATOS!$C$1480))-(CROQUIS_DATOS!$C$1479))+((CROQUIS_DATOS!$C$1476)*CROQUIS_DATOS!$C$1561-((CROQUIS_DATOS!$C$1481+CROQUIS_DATOS!$C$1482))*CROQUIS_DATOS!$C$1561))/CROQUIS_DATOS!$C$1568-0.000001))),2)=1,IF(INT(($A22-1)/2)+1&gt;MAX(1,INT(((((CROQUIS_DATOS!$C$1479+CROQUIS_DATOS!$C$1480))-(CROQUIS_DATOS!$C$1479))+((CROQUIS_DATOS!$C$1476)*CROQUIS_DATOS!$C$1561-((CROQUIS_DATOS!$C$1481+CROQUIS_DATOS!$C$1482))*CROQUIS_DATOS!$C$1561))/CROQUIS_DATOS!$C$1568-0.000001)),1,MOD($A22-1,2)),1-IF(INT(($A22-1)/2)+1&gt;MAX(1,INT(((((CROQUIS_DATOS!$C$1479+CROQUIS_DATOS!$C$1480))-(CROQUIS_DATOS!$C$1479))+((CROQUIS_DATOS!$C$1476)*CROQUIS_DATOS!$C$1561-((CROQUIS_DATOS!$C$1481+CROQUIS_DATOS!$C$1482))*CROQUIS_DATOS!$C$1561))/CROQUIS_DATOS!$C$1568-0.000001)),1,MOD($A22-1,2)))=1,MIN((CROQUIS_DATOS!$C$1476)*CROQUIS_DATOS!$C$1561,((CROQUIS_DATOS!$C$1479+CROQUIS_DATOS!$C$1480)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38.1724137931034</v>
      </c>
      <c r="CM22">
        <f>IF(AND(CROQUIS_DATOS!$C$1472=1,CROQUIS_DATOS!$C$1478&gt;=1,((CROQUIS_DATOS!$C$1479+CROQUIS_DATOS!$C$1480))-(CROQUIS_DATOS!$C$1479)&gt;0.5,(CROQUIS_DATOS!$C$1476)-((CROQUIS_DATOS!$C$1481+CROQUIS_DATOS!$C$1482))&gt;0.5),(CROQUIS_DATOS!$C$1567+(IF(IF(MOD(MIN(INT(($A22-1)/2)+1,MAX(1,INT(((((CROQUIS_DATOS!$C$1479+CROQUIS_DATOS!$C$1480))-(CROQUIS_DATOS!$C$1479))+((CROQUIS_DATOS!$C$1476)*CROQUIS_DATOS!$C$1561-((CROQUIS_DATOS!$C$1481+CROQUIS_DATOS!$C$1482))*CROQUIS_DATOS!$C$1561))/CROQUIS_DATOS!$C$1568-0.000001))),2)=1,IF(INT(($A22-1)/2)+1&gt;MAX(1,INT(((((CROQUIS_DATOS!$C$1479+CROQUIS_DATOS!$C$1480))-(CROQUIS_DATOS!$C$1479))+((CROQUIS_DATOS!$C$1476)*CROQUIS_DATOS!$C$1561-((CROQUIS_DATOS!$C$1481+CROQUIS_DATOS!$C$1482))*CROQUIS_DATOS!$C$1561))/CROQUIS_DATOS!$C$1568-0.000001)),1,MOD($A22-1,2)),1-IF(INT(($A22-1)/2)+1&gt;MAX(1,INT(((((CROQUIS_DATOS!$C$1479+CROQUIS_DATOS!$C$1480))-(CROQUIS_DATOS!$C$1479))+((CROQUIS_DATOS!$C$1476)*CROQUIS_DATOS!$C$1561-((CROQUIS_DATOS!$C$1481+CROQUIS_DATOS!$C$1482))*CROQUIS_DATOS!$C$1561))/CROQUIS_DATOS!$C$1568-0.000001)),1,MOD($A22-1,2)))=1,MIN((CROQUIS_DATOS!$C$1476)*CROQUIS_DATOS!$C$1561,((CROQUIS_DATOS!$C$1479+CROQUIS_DATOS!$C$1480)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35.6827586206897</v>
      </c>
      <c r="CR22">
        <f>IF(AND(CROQUIS_DATOS!$C$1472=1,CROQUIS_DATOS!$C$1478&gt;=2,((CROQUIS_DATOS!$C$1484+CROQUIS_DATOS!$C$1485))-(CROQUIS_DATOS!$C$1484)&gt;0.5,(CROQUIS_DATOS!$C$1486)-(0)&gt;0.5),(CROQUIS_DATOS!$C$1566+(IF(IF(MOD(MIN(INT(($A22-1)/2)+1,MAX(1,INT(((((CROQUIS_DATOS!$C$1484+CROQUIS_DATOS!$C$1485))-(CROQUIS_DATOS!$C$1484))+((CROQUIS_DATOS!$C$1486)*CROQUIS_DATOS!$C$1561-(0)*CROQUIS_DATOS!$C$1561))/CROQUIS_DATOS!$C$1568-0.000001))),2)=1,IF(INT(($A22-1)/2)+1&gt;MAX(1,INT(((((CROQUIS_DATOS!$C$1484+CROQUIS_DATOS!$C$1485))-(CROQUIS_DATOS!$C$1484))+((CROQUIS_DATOS!$C$1486)*CROQUIS_DATOS!$C$1561-(0)*CROQUIS_DATOS!$C$1561))/CROQUIS_DATOS!$C$1568-0.000001)),1,MOD($A22-1,2)),1-IF(INT(($A22-1)/2)+1&gt;MAX(1,INT(((((CROQUIS_DATOS!$C$1484+CROQUIS_DATOS!$C$1485))-(CROQUIS_DATOS!$C$1484))+((CROQUIS_DATOS!$C$1486)*CROQUIS_DATOS!$C$1561-(0)*CROQUIS_DATOS!$C$1561))/CROQUIS_DATOS!$C$1568-0.000001)),1,MOD($A22-1,2)))=1,MIN((CROQUIS_DATOS!$C$1486)*CROQUIS_DATOS!$C$1561,((CROQUIS_DATOS!$C$1484+CROQUIS_DATOS!$C$1485)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*CROQUIS_DATOS!$C$1565),-1000)</f>
        <v>61.6620689655172</v>
      </c>
      <c r="CS22">
        <f>IF(AND(CROQUIS_DATOS!$C$1472=1,CROQUIS_DATOS!$C$1478&gt;=2,((CROQUIS_DATOS!$C$1484+CROQUIS_DATOS!$C$1485))-(CROQUIS_DATOS!$C$1484)&gt;0.5,(CROQUIS_DATOS!$C$1486)-(0)&gt;0.5),(CROQUIS_DATOS!$C$1567+(IF(IF(MOD(MIN(INT(($A22-1)/2)+1,MAX(1,INT(((((CROQUIS_DATOS!$C$1484+CROQUIS_DATOS!$C$1485))-(CROQUIS_DATOS!$C$1484))+((CROQUIS_DATOS!$C$1486)*CROQUIS_DATOS!$C$1561-(0)*CROQUIS_DATOS!$C$1561))/CROQUIS_DATOS!$C$1568-0.000001))),2)=1,IF(INT(($A22-1)/2)+1&gt;MAX(1,INT(((((CROQUIS_DATOS!$C$1484+CROQUIS_DATOS!$C$1485))-(CROQUIS_DATOS!$C$1484))+((CROQUIS_DATOS!$C$1486)*CROQUIS_DATOS!$C$1561-(0)*CROQUIS_DATOS!$C$1561))/CROQUIS_DATOS!$C$1568-0.000001)),1,MOD($A22-1,2)),1-IF(INT(($A22-1)/2)+1&gt;MAX(1,INT(((((CROQUIS_DATOS!$C$1484+CROQUIS_DATOS!$C$1485))-(CROQUIS_DATOS!$C$1484))+((CROQUIS_DATOS!$C$1486)*CROQUIS_DATOS!$C$1561-(0)*CROQUIS_DATOS!$C$1561))/CROQUIS_DATOS!$C$1568-0.000001)),1,MOD($A22-1,2)))=1,MIN((CROQUIS_DATOS!$C$1486)*CROQUIS_DATOS!$C$1561,((CROQUIS_DATOS!$C$1484+CROQUIS_DATOS!$C$1485)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22-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22">
        <f>IF(AND(CROQUIS_DATOS!$C$1472=1,CROQUIS_DATOS!$C$1478&gt;=2,((CROQUIS_DATOS!$C$1484+CROQUIS_DATOS!$C$1485))-(CROQUIS_DATOS!$C$1484)&gt;0.5,(CROQUIS_DATOS!$C$1476)-((CROQUIS_DATOS!$C$1486+CROQUIS_DATOS!$C$1487))&gt;0.5),(CROQUIS_DATOS!$C$1566+(IF(IF(MOD(MIN(INT(($A22-1)/2)+1,MAX(1,INT(((((CROQUIS_DATOS!$C$1484+CROQUIS_DATOS!$C$1485))-(CROQUIS_DATOS!$C$1484))+((CROQUIS_DATOS!$C$1476)*CROQUIS_DATOS!$C$1561-((CROQUIS_DATOS!$C$1486+CROQUIS_DATOS!$C$1487))*CROQUIS_DATOS!$C$1561))/CROQUIS_DATOS!$C$1568-0.000001))),2)=1,IF(INT(($A22-1)/2)+1&gt;MAX(1,INT(((((CROQUIS_DATOS!$C$1484+CROQUIS_DATOS!$C$1485))-(CROQUIS_DATOS!$C$1484))+((CROQUIS_DATOS!$C$1476)*CROQUIS_DATOS!$C$1561-((CROQUIS_DATOS!$C$1486+CROQUIS_DATOS!$C$1487))*CROQUIS_DATOS!$C$1561))/CROQUIS_DATOS!$C$1568-0.000001)),1,MOD($A22-1,2)),1-IF(INT(($A22-1)/2)+1&gt;MAX(1,INT(((((CROQUIS_DATOS!$C$1484+CROQUIS_DATOS!$C$1485))-(CROQUIS_DATOS!$C$1484))+((CROQUIS_DATOS!$C$1476)*CROQUIS_DATOS!$C$1561-((CROQUIS_DATOS!$C$1486+CROQUIS_DATOS!$C$1487))*CROQUIS_DATOS!$C$1561))/CROQUIS_DATOS!$C$1568-0.000001)),1,MOD($A22-1,2)))=1,MIN((CROQUIS_DATOS!$C$1476)*CROQUIS_DATOS!$C$1561,((CROQUIS_DATOS!$C$1484+CROQUIS_DATOS!$C$1485)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61.6620689655172</v>
      </c>
      <c r="CU22">
        <f>IF(AND(CROQUIS_DATOS!$C$1472=1,CROQUIS_DATOS!$C$1478&gt;=2,((CROQUIS_DATOS!$C$1484+CROQUIS_DATOS!$C$1485))-(CROQUIS_DATOS!$C$1484)&gt;0.5,(CROQUIS_DATOS!$C$1476)-((CROQUIS_DATOS!$C$1486+CROQUIS_DATOS!$C$1487))&gt;0.5),(CROQUIS_DATOS!$C$1567+(IF(IF(MOD(MIN(INT(($A22-1)/2)+1,MAX(1,INT(((((CROQUIS_DATOS!$C$1484+CROQUIS_DATOS!$C$1485))-(CROQUIS_DATOS!$C$1484))+((CROQUIS_DATOS!$C$1476)*CROQUIS_DATOS!$C$1561-((CROQUIS_DATOS!$C$1486+CROQUIS_DATOS!$C$1487))*CROQUIS_DATOS!$C$1561))/CROQUIS_DATOS!$C$1568-0.000001))),2)=1,IF(INT(($A22-1)/2)+1&gt;MAX(1,INT(((((CROQUIS_DATOS!$C$1484+CROQUIS_DATOS!$C$1485))-(CROQUIS_DATOS!$C$1484))+((CROQUIS_DATOS!$C$1476)*CROQUIS_DATOS!$C$1561-((CROQUIS_DATOS!$C$1486+CROQUIS_DATOS!$C$1487))*CROQUIS_DATOS!$C$1561))/CROQUIS_DATOS!$C$1568-0.000001)),1,MOD($A22-1,2)),1-IF(INT(($A22-1)/2)+1&gt;MAX(1,INT(((((CROQUIS_DATOS!$C$1484+CROQUIS_DATOS!$C$1485))-(CROQUIS_DATOS!$C$1484))+((CROQUIS_DATOS!$C$1476)*CROQUIS_DATOS!$C$1561-((CROQUIS_DATOS!$C$1486+CROQUIS_DATOS!$C$1487))*CROQUIS_DATOS!$C$1561))/CROQUIS_DATOS!$C$1568-0.000001)),1,MOD($A22-1,2)))=1,MIN((CROQUIS_DATOS!$C$1476)*CROQUIS_DATOS!$C$1561,((CROQUIS_DATOS!$C$1484+CROQUIS_DATOS!$C$1485)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22">
        <f>IF(AND(CROQUIS_DATOS!$C$1472=1,CROQUIS_DATOS!$C$1478&gt;=3,((CROQUIS_DATOS!$C$1489+CROQUIS_DATOS!$C$1490))-(CROQUIS_DATOS!$C$1489)&gt;0.5,(CROQUIS_DATOS!$C$1491)-(0)&gt;0.5),(CROQUIS_DATOS!$C$1566+(IF(IF(MOD(MIN(INT(($A22-1)/2)+1,MAX(1,INT(((((CROQUIS_DATOS!$C$1489+CROQUIS_DATOS!$C$1490))-(CROQUIS_DATOS!$C$1489))+((CROQUIS_DATOS!$C$1491)*CROQUIS_DATOS!$C$1561-(0)*CROQUIS_DATOS!$C$1561))/CROQUIS_DATOS!$C$1568-0.000001))),2)=1,IF(INT(($A22-1)/2)+1&gt;MAX(1,INT(((((CROQUIS_DATOS!$C$1489+CROQUIS_DATOS!$C$1490))-(CROQUIS_DATOS!$C$1489))+((CROQUIS_DATOS!$C$1491)*CROQUIS_DATOS!$C$1561-(0)*CROQUIS_DATOS!$C$1561))/CROQUIS_DATOS!$C$1568-0.000001)),1,MOD($A22-1,2)),1-IF(INT(($A22-1)/2)+1&gt;MAX(1,INT(((((CROQUIS_DATOS!$C$1489+CROQUIS_DATOS!$C$1490))-(CROQUIS_DATOS!$C$1489))+((CROQUIS_DATOS!$C$1491)*CROQUIS_DATOS!$C$1561-(0)*CROQUIS_DATOS!$C$1561))/CROQUIS_DATOS!$C$1568-0.000001)),1,MOD($A22-1,2)))=1,MIN((CROQUIS_DATOS!$C$1491)*CROQUIS_DATOS!$C$1561,((CROQUIS_DATOS!$C$1489+CROQUIS_DATOS!$C$1490)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2">
        <f>IF(AND(CROQUIS_DATOS!$C$1472=1,CROQUIS_DATOS!$C$1478&gt;=3,((CROQUIS_DATOS!$C$1489+CROQUIS_DATOS!$C$1490))-(CROQUIS_DATOS!$C$1489)&gt;0.5,(CROQUIS_DATOS!$C$1491)-(0)&gt;0.5),(CROQUIS_DATOS!$C$1567+(IF(IF(MOD(MIN(INT(($A22-1)/2)+1,MAX(1,INT(((((CROQUIS_DATOS!$C$1489+CROQUIS_DATOS!$C$1490))-(CROQUIS_DATOS!$C$1489))+((CROQUIS_DATOS!$C$1491)*CROQUIS_DATOS!$C$1561-(0)*CROQUIS_DATOS!$C$1561))/CROQUIS_DATOS!$C$1568-0.000001))),2)=1,IF(INT(($A22-1)/2)+1&gt;MAX(1,INT(((((CROQUIS_DATOS!$C$1489+CROQUIS_DATOS!$C$1490))-(CROQUIS_DATOS!$C$1489))+((CROQUIS_DATOS!$C$1491)*CROQUIS_DATOS!$C$1561-(0)*CROQUIS_DATOS!$C$1561))/CROQUIS_DATOS!$C$1568-0.000001)),1,MOD($A22-1,2)),1-IF(INT(($A22-1)/2)+1&gt;MAX(1,INT(((((CROQUIS_DATOS!$C$1489+CROQUIS_DATOS!$C$1490))-(CROQUIS_DATOS!$C$1489))+((CROQUIS_DATOS!$C$1491)*CROQUIS_DATOS!$C$1561-(0)*CROQUIS_DATOS!$C$1561))/CROQUIS_DATOS!$C$1568-0.000001)),1,MOD($A22-1,2)))=1,MIN((CROQUIS_DATOS!$C$1491)*CROQUIS_DATOS!$C$1561,((CROQUIS_DATOS!$C$1489+CROQUIS_DATOS!$C$1490)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2">
        <f>IF(AND(CROQUIS_DATOS!$C$1472=1,CROQUIS_DATOS!$C$1478&gt;=3,((CROQUIS_DATOS!$C$1489+CROQUIS_DATOS!$C$1490))-(CROQUIS_DATOS!$C$1489)&gt;0.5,(CROQUIS_DATOS!$C$1476)-((CROQUIS_DATOS!$C$1491+CROQUIS_DATOS!$C$1492))&gt;0.5),(CROQUIS_DATOS!$C$1566+(IF(IF(MOD(MIN(INT(($A22-1)/2)+1,MAX(1,INT(((((CROQUIS_DATOS!$C$1489+CROQUIS_DATOS!$C$1490))-(CROQUIS_DATOS!$C$1489))+((CROQUIS_DATOS!$C$1476)*CROQUIS_DATOS!$C$1561-((CROQUIS_DATOS!$C$1491+CROQUIS_DATOS!$C$1492))*CROQUIS_DATOS!$C$1561))/CROQUIS_DATOS!$C$1568-0.000001))),2)=1,IF(INT(($A22-1)/2)+1&gt;MAX(1,INT(((((CROQUIS_DATOS!$C$1489+CROQUIS_DATOS!$C$1490))-(CROQUIS_DATOS!$C$1489))+((CROQUIS_DATOS!$C$1476)*CROQUIS_DATOS!$C$1561-((CROQUIS_DATOS!$C$1491+CROQUIS_DATOS!$C$1492))*CROQUIS_DATOS!$C$1561))/CROQUIS_DATOS!$C$1568-0.000001)),1,MOD($A22-1,2)),1-IF(INT(($A22-1)/2)+1&gt;MAX(1,INT(((((CROQUIS_DATOS!$C$1489+CROQUIS_DATOS!$C$1490))-(CROQUIS_DATOS!$C$1489))+((CROQUIS_DATOS!$C$1476)*CROQUIS_DATOS!$C$1561-((CROQUIS_DATOS!$C$1491+CROQUIS_DATOS!$C$1492))*CROQUIS_DATOS!$C$1561))/CROQUIS_DATOS!$C$1568-0.000001)),1,MOD($A22-1,2)))=1,MIN((CROQUIS_DATOS!$C$1476)*CROQUIS_DATOS!$C$1561,((CROQUIS_DATOS!$C$1489+CROQUIS_DATOS!$C$1490)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2">
        <f>IF(AND(CROQUIS_DATOS!$C$1472=1,CROQUIS_DATOS!$C$1478&gt;=3,((CROQUIS_DATOS!$C$1489+CROQUIS_DATOS!$C$1490))-(CROQUIS_DATOS!$C$1489)&gt;0.5,(CROQUIS_DATOS!$C$1476)-((CROQUIS_DATOS!$C$1491+CROQUIS_DATOS!$C$1492))&gt;0.5),(CROQUIS_DATOS!$C$1567+(IF(IF(MOD(MIN(INT(($A22-1)/2)+1,MAX(1,INT(((((CROQUIS_DATOS!$C$1489+CROQUIS_DATOS!$C$1490))-(CROQUIS_DATOS!$C$1489))+((CROQUIS_DATOS!$C$1476)*CROQUIS_DATOS!$C$1561-((CROQUIS_DATOS!$C$1491+CROQUIS_DATOS!$C$1492))*CROQUIS_DATOS!$C$1561))/CROQUIS_DATOS!$C$1568-0.000001))),2)=1,IF(INT(($A22-1)/2)+1&gt;MAX(1,INT(((((CROQUIS_DATOS!$C$1489+CROQUIS_DATOS!$C$1490))-(CROQUIS_DATOS!$C$1489))+((CROQUIS_DATOS!$C$1476)*CROQUIS_DATOS!$C$1561-((CROQUIS_DATOS!$C$1491+CROQUIS_DATOS!$C$1492))*CROQUIS_DATOS!$C$1561))/CROQUIS_DATOS!$C$1568-0.000001)),1,MOD($A22-1,2)),1-IF(INT(($A22-1)/2)+1&gt;MAX(1,INT(((((CROQUIS_DATOS!$C$1489+CROQUIS_DATOS!$C$1490))-(CROQUIS_DATOS!$C$1489))+((CROQUIS_DATOS!$C$1476)*CROQUIS_DATOS!$C$1561-((CROQUIS_DATOS!$C$1491+CROQUIS_DATOS!$C$1492))*CROQUIS_DATOS!$C$1561))/CROQUIS_DATOS!$C$1568-0.000001)),1,MOD($A22-1,2)))=1,MIN((CROQUIS_DATOS!$C$1476)*CROQUIS_DATOS!$C$1561,((CROQUIS_DATOS!$C$1489+CROQUIS_DATOS!$C$1490)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2">
        <f>IF(AND(CROQUIS_DATOS!$C$1472=1,CROQUIS_DATOS!$C$1478&gt;=4,((CROQUIS_DATOS!$C$1494+CROQUIS_DATOS!$C$1495))-(CROQUIS_DATOS!$C$1494)&gt;0.5,(CROQUIS_DATOS!$C$1496)-(0)&gt;0.5),(CROQUIS_DATOS!$C$1566+(IF(IF(MOD(MIN(INT(($A22-1)/2)+1,MAX(1,INT(((((CROQUIS_DATOS!$C$1494+CROQUIS_DATOS!$C$1495))-(CROQUIS_DATOS!$C$1494))+((CROQUIS_DATOS!$C$1496)*CROQUIS_DATOS!$C$1561-(0)*CROQUIS_DATOS!$C$1561))/CROQUIS_DATOS!$C$1568-0.000001))),2)=1,IF(INT(($A22-1)/2)+1&gt;MAX(1,INT(((((CROQUIS_DATOS!$C$1494+CROQUIS_DATOS!$C$1495))-(CROQUIS_DATOS!$C$1494))+((CROQUIS_DATOS!$C$1496)*CROQUIS_DATOS!$C$1561-(0)*CROQUIS_DATOS!$C$1561))/CROQUIS_DATOS!$C$1568-0.000001)),1,MOD($A22-1,2)),1-IF(INT(($A22-1)/2)+1&gt;MAX(1,INT(((((CROQUIS_DATOS!$C$1494+CROQUIS_DATOS!$C$1495))-(CROQUIS_DATOS!$C$1494))+((CROQUIS_DATOS!$C$1496)*CROQUIS_DATOS!$C$1561-(0)*CROQUIS_DATOS!$C$1561))/CROQUIS_DATOS!$C$1568-0.000001)),1,MOD($A22-1,2)))=1,MIN((CROQUIS_DATOS!$C$1496)*CROQUIS_DATOS!$C$1561,((CROQUIS_DATOS!$C$1494+CROQUIS_DATOS!$C$1495)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2">
        <f>IF(AND(CROQUIS_DATOS!$C$1472=1,CROQUIS_DATOS!$C$1478&gt;=4,((CROQUIS_DATOS!$C$1494+CROQUIS_DATOS!$C$1495))-(CROQUIS_DATOS!$C$1494)&gt;0.5,(CROQUIS_DATOS!$C$1496)-(0)&gt;0.5),(CROQUIS_DATOS!$C$1567+(IF(IF(MOD(MIN(INT(($A22-1)/2)+1,MAX(1,INT(((((CROQUIS_DATOS!$C$1494+CROQUIS_DATOS!$C$1495))-(CROQUIS_DATOS!$C$1494))+((CROQUIS_DATOS!$C$1496)*CROQUIS_DATOS!$C$1561-(0)*CROQUIS_DATOS!$C$1561))/CROQUIS_DATOS!$C$1568-0.000001))),2)=1,IF(INT(($A22-1)/2)+1&gt;MAX(1,INT(((((CROQUIS_DATOS!$C$1494+CROQUIS_DATOS!$C$1495))-(CROQUIS_DATOS!$C$1494))+((CROQUIS_DATOS!$C$1496)*CROQUIS_DATOS!$C$1561-(0)*CROQUIS_DATOS!$C$1561))/CROQUIS_DATOS!$C$1568-0.000001)),1,MOD($A22-1,2)),1-IF(INT(($A22-1)/2)+1&gt;MAX(1,INT(((((CROQUIS_DATOS!$C$1494+CROQUIS_DATOS!$C$1495))-(CROQUIS_DATOS!$C$1494))+((CROQUIS_DATOS!$C$1496)*CROQUIS_DATOS!$C$1561-(0)*CROQUIS_DATOS!$C$1561))/CROQUIS_DATOS!$C$1568-0.000001)),1,MOD($A22-1,2)))=1,MIN((CROQUIS_DATOS!$C$1496)*CROQUIS_DATOS!$C$1561,((CROQUIS_DATOS!$C$1494+CROQUIS_DATOS!$C$1495)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2">
        <f>IF(AND(CROQUIS_DATOS!$C$1472=1,CROQUIS_DATOS!$C$1478&gt;=4,((CROQUIS_DATOS!$C$1494+CROQUIS_DATOS!$C$1495))-(CROQUIS_DATOS!$C$1494)&gt;0.5,(CROQUIS_DATOS!$C$1476)-((CROQUIS_DATOS!$C$1496+CROQUIS_DATOS!$C$1497))&gt;0.5),(CROQUIS_DATOS!$C$1566+(IF(IF(MOD(MIN(INT(($A22-1)/2)+1,MAX(1,INT(((((CROQUIS_DATOS!$C$1494+CROQUIS_DATOS!$C$1495))-(CROQUIS_DATOS!$C$1494))+((CROQUIS_DATOS!$C$1476)*CROQUIS_DATOS!$C$1561-((CROQUIS_DATOS!$C$1496+CROQUIS_DATOS!$C$1497))*CROQUIS_DATOS!$C$1561))/CROQUIS_DATOS!$C$1568-0.000001))),2)=1,IF(INT(($A22-1)/2)+1&gt;MAX(1,INT(((((CROQUIS_DATOS!$C$1494+CROQUIS_DATOS!$C$1495))-(CROQUIS_DATOS!$C$1494))+((CROQUIS_DATOS!$C$1476)*CROQUIS_DATOS!$C$1561-((CROQUIS_DATOS!$C$1496+CROQUIS_DATOS!$C$1497))*CROQUIS_DATOS!$C$1561))/CROQUIS_DATOS!$C$1568-0.000001)),1,MOD($A22-1,2)),1-IF(INT(($A22-1)/2)+1&gt;MAX(1,INT(((((CROQUIS_DATOS!$C$1494+CROQUIS_DATOS!$C$1495))-(CROQUIS_DATOS!$C$1494))+((CROQUIS_DATOS!$C$1476)*CROQUIS_DATOS!$C$1561-((CROQUIS_DATOS!$C$1496+CROQUIS_DATOS!$C$1497))*CROQUIS_DATOS!$C$1561))/CROQUIS_DATOS!$C$1568-0.000001)),1,MOD($A22-1,2)))=1,MIN((CROQUIS_DATOS!$C$1476)*CROQUIS_DATOS!$C$1561,((CROQUIS_DATOS!$C$1494+CROQUIS_DATOS!$C$1495)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2">
        <f>IF(AND(CROQUIS_DATOS!$C$1472=1,CROQUIS_DATOS!$C$1478&gt;=4,((CROQUIS_DATOS!$C$1494+CROQUIS_DATOS!$C$1495))-(CROQUIS_DATOS!$C$1494)&gt;0.5,(CROQUIS_DATOS!$C$1476)-((CROQUIS_DATOS!$C$1496+CROQUIS_DATOS!$C$1497))&gt;0.5),(CROQUIS_DATOS!$C$1567+(IF(IF(MOD(MIN(INT(($A22-1)/2)+1,MAX(1,INT(((((CROQUIS_DATOS!$C$1494+CROQUIS_DATOS!$C$1495))-(CROQUIS_DATOS!$C$1494))+((CROQUIS_DATOS!$C$1476)*CROQUIS_DATOS!$C$1561-((CROQUIS_DATOS!$C$1496+CROQUIS_DATOS!$C$1497))*CROQUIS_DATOS!$C$1561))/CROQUIS_DATOS!$C$1568-0.000001))),2)=1,IF(INT(($A22-1)/2)+1&gt;MAX(1,INT(((((CROQUIS_DATOS!$C$1494+CROQUIS_DATOS!$C$1495))-(CROQUIS_DATOS!$C$1494))+((CROQUIS_DATOS!$C$1476)*CROQUIS_DATOS!$C$1561-((CROQUIS_DATOS!$C$1496+CROQUIS_DATOS!$C$1497))*CROQUIS_DATOS!$C$1561))/CROQUIS_DATOS!$C$1568-0.000001)),1,MOD($A22-1,2)),1-IF(INT(($A22-1)/2)+1&gt;MAX(1,INT(((((CROQUIS_DATOS!$C$1494+CROQUIS_DATOS!$C$1495))-(CROQUIS_DATOS!$C$1494))+((CROQUIS_DATOS!$C$1476)*CROQUIS_DATOS!$C$1561-((CROQUIS_DATOS!$C$1496+CROQUIS_DATOS!$C$1497))*CROQUIS_DATOS!$C$1561))/CROQUIS_DATOS!$C$1568-0.000001)),1,MOD($A22-1,2)))=1,MIN((CROQUIS_DATOS!$C$1476)*CROQUIS_DATOS!$C$1561,((CROQUIS_DATOS!$C$1494+CROQUIS_DATOS!$C$1495)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2">
        <f>IF(AND(CROQUIS_DATOS!$C$1472=1,1),(CROQUIS_DATOS!$C$1566+(INDEX($E$8:$E$23,MIN($A22,CROQUIS_DATOS!$C$1525)))*CROQUIS_DATOS!$C$1565),-1000)</f>
        <v>76.9224137931035</v>
      </c>
      <c r="EW22">
        <f>IF(AND(CROQUIS_DATOS!$C$1472=1,1),((CROQUIS_DATOS!$C$1567+(CROQUIS_DATOS!$C$1476+CROQUIS_DATOS!$C$1528)*CROQUIS_DATOS!$C$1561*CROQUIS_DATOS!$C$1565)+1.5),-1000)</f>
        <v>42.5</v>
      </c>
      <c r="GD22">
        <f>IF(AND(CROQUIS_DATOS!$C$1472=1,1),(CROQUIS_DATOS!$C$1571+(CHOOSE(MIN(MAX(IF(INT(($A22-1)/5)+1&gt;CROQUIS_DATOS!$C$1525,5,MOD($A22-1,5)+1),1),5),(INDEX($E$8:$E$23,MIN(INT(($A22-1)/5)+1,CROQUIS_DATOS!$C$1525))-INDEX($F$8:$F$23,MIN(INT(($A22-1)/5)+1,CROQUIS_DATOS!$C$1525))/2),(INDEX($E$8:$E$23,MIN(INT(($A22-1)/5)+1,CROQUIS_DATOS!$C$1525))+INDEX($F$8:$F$23,MIN(INT(($A22-1)/5)+1,CROQUIS_DATOS!$C$1525))/2),(INDEX($E$8:$E$23,MIN(INT(($A22-1)/5)+1,CROQUIS_DATOS!$C$1525))+INDEX($F$8:$F$23,MIN(INT(($A22-1)/5)+1,CROQUIS_DATOS!$C$1525))/2),(INDEX($E$8:$E$23,MIN(INT(($A22-1)/5)+1,CROQUIS_DATOS!$C$1525))-INDEX($F$8:$F$23,MIN(INT(($A22-1)/5)+1,CROQUIS_DATOS!$C$1525))/2),(INDEX($E$8:$E$23,MIN(INT(($A22-1)/5)+1,CROQUIS_DATOS!$C$1525))-INDEX($F$8:$F$23,MIN(INT(($A22-1)/5)+1,CROQUIS_DATOS!$C$1525))/2)))*CROQUIS_DATOS!$C$1569),-1000)</f>
        <v>29.92</v>
      </c>
      <c r="GE22">
        <f>IF(AND(CROQUIS_DATOS!$C$1472=1,1),(CROQUIS_DATOS!$C$1572+(CHOOSE(MIN(MAX(IF(INT(($A22-1)/5)+1&gt;CROQUIS_DATOS!$C$1525,5,MOD($A22-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2">
        <f>IF(AND(CROQUIS_DATOS!$C$1472=1,1),IF(INT(($A22-1)/4)+1&lt;=CROQUIS_DATOS!$C$1525,(CROQUIS_DATOS!$C$1571+((INDEX($E$8:$E$23,MIN(INT(($A22-1)/4)+1,16))+IF(OR(MOD($A22-1,4)=0,MOD($A22-1,4)=3),-1,1)*(INDEX($F$8:$F$23,MIN(INT(($A22-1)/4)+1,16))/2-(CROQUIS_DATOS!$C$1530+CROQUIS_DATOS!$C$1532+IF(OR(INT(($A22-1)/4)+1=1,INT(($A22-1)/4)+1=CROQUIS_DATOS!$C$1525),CROQUIS_DATOS!$C$1534,CROQUIS_DATOS!$C$1531)/2))))*CROQUIS_DATOS!$C$1569),-1000),-1000)</f>
        <v>47.747484</v>
      </c>
      <c r="GG22">
        <f>IF(AND(CROQUIS_DATOS!$C$1472=1,1),IF(INT(($A22-1)/4)+1&lt;=CROQUIS_DATOS!$C$1525,(CROQUIS_DATOS!$C$1572+((CROQUIS_DATOS!$C$1477/2+IF(MOD($A22-1,4)&lt;2,-1,1)*(CROQUIS_DATOS!$C$1527/2-(CROQUIS_DATOS!$C$1530+CROQUIS_DATOS!$C$1532+IF(OR(INT(($A22-1)/4)+1=1,INT(($A22-1)/4)+1=CROQUIS_DATOS!$C$1525),CROQUIS_DATOS!$C$1534,CROQUIS_DATOS!$C$1531)/2))))*CROQUIS_DATOS!$C$1569*CROQUIS_DATOS!$C$1570),-1000),-1000)</f>
        <v>13.06655</v>
      </c>
    </row>
    <row r="23">
      <c r="A23" t="n">
        <v>16</v>
      </c>
      <c r="B23" t="n">
        <v>16</v>
      </c>
      <c r="C23">
        <f>1+(B23&gt;CROQUIS_DATOS!$C$1520)+(B23&gt;CROQUIS_DATOS!$C$1521)+(B23&gt;CROQUIS_DATOS!$C$1522)+(B23&gt;CROQUIS_DATOS!$C$1523)</f>
        <v>5</v>
      </c>
      <c r="D23">
        <f>B23-CHOOSE(MIN(C23,5),0,CROQUIS_DATOS!$C$1520,CROQUIS_DATOS!$C$1521,CROQUIS_DATOS!$C$1522,CROQUIS_DATOS!$C$1523)</f>
        <v>10</v>
      </c>
      <c r="E23">
        <f>IF(G23=0,0,CHOOSE(MIN(C23,5),CROQUIS_DATOS!$C$1499,CROQUIS_DATOS!$C$1503,CROQUIS_DATOS!$C$1507,CROQUIS_DATOS!$C$1511,CROQUIS_DATOS!$C$1515)+IF(CHOOSE(MIN(C23,5),CROQUIS_DATOS!$C$1502,CROQUIS_DATOS!$C$1506,CROQUIS_DATOS!$C$1510,CROQUIS_DATOS!$C$1514,CROQUIS_DATOS!$C$1518)=1,CHOOSE(MIN(C23,5),CROQUIS_DATOS!$C$1500,CROQUIS_DATOS!$C$1504,CROQUIS_DATOS!$C$1508,CROQUIS_DATOS!$C$1512,CROQUIS_DATOS!$C$1516)/2,CROQUIS_DATOS!$C$1526/2+(D23-1)*(CHOOSE(MIN(C23,5),CROQUIS_DATOS!$C$1500,CROQUIS_DATOS!$C$1504,CROQUIS_DATOS!$C$1508,CROQUIS_DATOS!$C$1512,CROQUIS_DATOS!$C$1516)-CROQUIS_DATOS!$C$1526)/MAX(CHOOSE(MIN(C23,5),CROQUIS_DATOS!$C$1502,CROQUIS_DATOS!$C$1506,CROQUIS_DATOS!$C$1510,CROQUIS_DATOS!$C$1514,CROQUIS_DATOS!$C$1518)-1,1)))</f>
        <v>0</v>
      </c>
      <c r="F23">
        <f>IF(G23=0,0,IF(CHOOSE(MIN(C23,5),CROQUIS_DATOS!$C$1502,CROQUIS_DATOS!$C$1506,CROQUIS_DATOS!$C$1510,CROQUIS_DATOS!$C$1514,CROQUIS_DATOS!$C$1518)=1,MIN(CROQUIS_DATOS!$C$1526,CHOOSE(MIN(C23,5),CROQUIS_DATOS!$C$1500,CROQUIS_DATOS!$C$1504,CROQUIS_DATOS!$C$1508,CROQUIS_DATOS!$C$1512,CROQUIS_DATOS!$C$1516)),CROQUIS_DATOS!$C$1526))</f>
        <v>0</v>
      </c>
      <c r="G23">
        <f>IF(AND(CROQUIS_DATOS!$C$1472=1,B23&lt;=CROQUIS_DATOS!$C$1525),1,0)</f>
        <v>0</v>
      </c>
      <c r="H23">
        <f>IF(16&lt;=CROQUIS_DATOS!$C$1539,16*CROQUIS_DATOS!$C$1536,IF(16&lt;=CROQUIS_DATOS!$C$1539+CROQUIS_DATOS!$C$1540,CROQUIS_DATOS!$C$1539*CROQUIS_DATOS!$C$1536+(16-CROQUIS_DATOS!$C$1539)*(CROQUIS_DATOS!$C$1476-2*CROQUIS_DATOS!$C$1539*CROQUIS_DATOS!$C$1536)/(CROQUIS_DATOS!$C$1540+1),CROQUIS_DATOS!$C$1476-(2*CROQUIS_DATOS!$C$1539+CROQUIS_DATOS!$C$1540+1-16)*CROQUIS_DATOS!$C$1536))</f>
        <v>227.5</v>
      </c>
      <c r="I23">
        <f>IF(AND(CROQUIS_DATOS!$C$1544=1,E23&gt;=CROQUIS_DATOS!$C$1549-1,E23&lt;=CROQUIS_DATOS!$C$1550+1),CROQUIS_DATOS!$C$1554,CROQUIS_DATOS!$C$1552)</f>
        <v>-16.8885</v>
      </c>
      <c r="J23">
        <f>IF(AND(CROQUIS_DATOS!$C$1472=1,1),(CROQUIS_DATOS!$C$1563+(CHOOSE(MIN(MAX(IF(INT(($A23-1)/4)+1&gt;CROQUIS_DATOS!$C$1525,4,MOD($A23-1,4)+1),1),4),(INDEX($E$8:$E$23,MIN(INT(($A23-1)/4)+1,CROQUIS_DATOS!$C$1525))-INDEX($F$8:$F$23,MIN(INT(($A23-1)/4)+1,CROQUIS_DATOS!$C$1525))/2),(INDEX($E$8:$E$23,MIN(INT(($A23-1)/4)+1,CROQUIS_DATOS!$C$1525))-INDEX($F$8:$F$23,MIN(INT(($A23-1)/4)+1,CROQUIS_DATOS!$C$1525))/2),(INDEX($E$8:$E$23,MIN(INT(($A23-1)/4)+1,CROQUIS_DATOS!$C$1525))+INDEX($F$8:$F$23,MIN(INT(($A23-1)/4)+1,CROQUIS_DATOS!$C$1525))/2),(INDEX($E$8:$E$23,MIN(INT(($A23-1)/4)+1,CROQUIS_DATOS!$C$1525))+INDEX($F$8:$F$23,MIN(INT(($A23-1)/4)+1,CROQUIS_DATOS!$C$1525))/2)))*CROQUIS_DATOS!$C$1562),-1000)</f>
        <v>47.2068965517241</v>
      </c>
      <c r="K23">
        <f>IF(AND(CROQUIS_DATOS!$C$1472=1,1),(CROQUIS_DATOS!$C$1564+(CHOOSE(MIN(MAX(IF(INT(($A23-1)/4)+1&gt;CROQUIS_DATOS!$C$1525,4,MOD($A23-1,4)+1),1),4),0,CROQUIS_DATOS!$C$1476,CROQUIS_DATOS!$C$1476,0))*CROQUIS_DATOS!$C$1561*CROQUIS_DATOS!$C$1562),-1000)</f>
        <v>5.29310344827586</v>
      </c>
      <c r="L23">
        <f>IF(AND(CROQUIS_DATOS!$C$1472=1,1),(CROQUIS_DATOS!$C$1563+(CHOOSE(MIN(MAX(IF(INT(($A23-1)/4)+1&gt;CROQUIS_DATOS!$C$1525,4,MOD($A23-1,4)+1),1),4),((INDEX($E$8:$E$23,MIN(INT(($A23-1)/4)+1,CROQUIS_DATOS!$C$1525))-INDEX($F$8:$F$23,MIN(INT(($A23-1)/4)+1,CROQUIS_DATOS!$C$1525))/2)+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,((INDEX($E$8:$E$23,MIN(INT(($A23-1)/4)+1,CROQUIS_DATOS!$C$1525))-INDEX($F$8:$F$23,MIN(INT(($A23-1)/4)+1,CROQUIS_DATOS!$C$1525))/2)+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,((INDEX($E$8:$E$23,MIN(INT(($A23-1)/4)+1,CROQUIS_DATOS!$C$1525))+INDEX($F$8:$F$23,MIN(INT(($A23-1)/4)+1,CROQUIS_DATOS!$C$1525))/2)-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,((INDEX($E$8:$E$23,MIN(INT(($A23-1)/4)+1,CROQUIS_DATOS!$C$1525))+INDEX($F$8:$F$23,MIN(INT(($A23-1)/4)+1,CROQUIS_DATOS!$C$1525))/2)-MIN((CROQUIS_DATOS!$C$1530+CROQUIS_DATOS!$C$1532+IF(OR(MIN(INT(($A23-1)/4)+1,CROQUIS_DATOS!$C$1525)=1,MIN(INT(($A23-1)/4)+1,CROQUIS_DATOS!$C$1525)=CROQUIS_DATOS!$C$1525),CROQUIS_DATOS!$C$1534,CROQUIS_DATOS!$C$1531)/2),INDEX($F$8:$F$23,MIN(INT(($A23-1)/4)+1,CROQUIS_DATOS!$C$1525))/2-0.5))))*CROQUIS_DATOS!$C$1562),-1000)</f>
        <v>46.7723594827586</v>
      </c>
      <c r="M23">
        <f>IF(AND(CROQUIS_DATOS!$C$1472=1,1),(CROQUIS_DATOS!$C$1564+(CHOOSE(MIN(MAX(IF(INT(($A23-1)/4)+1&gt;CROQUIS_DATOS!$C$1525,4,MOD($A23-1,4)+1),1),4),CROQUIS_DATOS!$C$1543,INDEX($I$8:$I$23,MIN(INT(($A23-1)/4)+1,CROQUIS_DATOS!$C$1525)),INDEX($I$8:$I$23,MIN(INT(($A23-1)/4)+1,CROQUIS_DATOS!$C$1525)),CROQUIS_DATOS!$C$1543))*CROQUIS_DATOS!$C$1561*CROQUIS_DATOS!$C$1562),-1000)</f>
        <v>42.5654629310345</v>
      </c>
      <c r="N23">
        <f>IF(AND(CROQUIS_DATOS!$C$1472=1,1),(CROQUIS_DATOS!$C$1563+(IF(IF(IF(INT(($A23-1)/70)+1&gt;CROQUIS_DATOS!$C$1525,70,MOD($A23-1,70)+1)=1,0,IF(IF(INT(($A23-1)/70)+1&gt;CROQUIS_DATOS!$C$1525,70,MOD($A23-1,70)+1)&gt;2*CROQUIS_DATOS!$C$1541+1,IF(MOD(CROQUIS_DATOS!$C$1541,2)=1,1,0),IF(MOD(MIN(INT((IF(INT(($A23-1)/70)+1&gt;CROQUIS_DATOS!$C$1525,70,MOD($A23-1,70)+1)-2)/2)+1,CROQUIS_DATOS!$C$1541),2)=1,IF(MOD(IF(INT(($A23-1)/70)+1&gt;CROQUIS_DATOS!$C$1525,70,MOD($A23-1,70)+1)-2,2)=0,0,1),IF(MOD(IF(INT(($A23-1)/70)+1&gt;CROQUIS_DATOS!$C$1525,70,MOD($A23-1,70)+1)-2,2)=0,1,0))))=0,(INDEX($E$8:$E$23,MIN(INT(($A23-1)/70)+1,CROQUIS_DATOS!$C$1525))-INDEX($F$8:$F$23,MIN(INT(($A23-1)/70)+1,CROQUIS_DATOS!$C$1525))/2),(INDEX($E$8:$E$23,MIN(INT(($A23-1)/70)+1,CROQUIS_DATOS!$C$1525))+INDEX($F$8:$F$23,MIN(INT(($A23-1)/70)+1,CROQUIS_DATOS!$C$1525))/2)))*CROQUIS_DATOS!$C$1562),-1000)</f>
        <v>17.1810344827586</v>
      </c>
      <c r="O23">
        <f>IF(AND(CROQUIS_DATOS!$C$1472=1,1),(CROQUIS_DATOS!$C$1564+(IF(OR(IF(INT(($A23-1)/70)+1&gt;CROQUIS_DATOS!$C$1525,70,MOD($A23-1,70)+1)=1,IF(INT(($A23-1)/70)+1&gt;CROQUIS_DATOS!$C$1525,70,MOD($A23-1,70)+1)&gt;2*CROQUIS_DATOS!$C$1541+1),CROQUIS_DATOS!$C$1476,INDEX($H$8:$H$41,MIN(INT((IF(INT(($A23-1)/70)+1&gt;CROQUIS_DATOS!$C$1525,70,MOD($A23-1,70)+1)-2)/2)+1,CROQUIS_DATOS!$C$1541))))*CROQUIS_DATOS!$C$1561*CROQUIS_DATOS!$C$1562),-1000)</f>
        <v>18.676724137931</v>
      </c>
      <c r="P23">
        <f>IF(AND(CROQUIS_DATOS!$C$1472=1,CROQUIS_DATOS!$C$1555=1),(CROQUIS_DATOS!$C$1563+(IF(IF(OR(MOD($A23-1,62)+1=1,IF(CHOOSE(MIN(MAX(MIN(INT(($A23-1)/62)+1,5),1),5),CROQUIS_DATOS!$C$1501,CROQUIS_DATOS!$C$1505,CROQUIS_DATOS!$C$1509,CROQUIS_DATOS!$C$1513,CROQUIS_DATOS!$C$1517)=1,CROQUIS_DATOS!$C$1557,0)=0),0,IF(MOD($A23-1,62)+1&gt;2*IF(CHOOSE(MIN(MAX(MIN(INT(($A23-1)/62)+1,5),1),5),CROQUIS_DATOS!$C$1501,CROQUIS_DATOS!$C$1505,CROQUIS_DATOS!$C$1509,CROQUIS_DATOS!$C$1513,CROQUIS_DATOS!$C$1517)=1,CROQUIS_DATOS!$C$1557,0)+1,IF(MOD(IF(CHOOSE(MIN(MAX(MIN(INT(($A23-1)/62)+1,5),1),5),CROQUIS_DATOS!$C$1501,CROQUIS_DATOS!$C$1505,CROQUIS_DATOS!$C$1509,CROQUIS_DATOS!$C$1513,CROQUIS_DATOS!$C$1517)=1,CROQUIS_DATOS!$C$1557,0),2)=1,1,0),IF(MOD(MIN(INT((MOD($A23-1,62)+1-2)/2)+1,MAX(IF(CHOOSE(MIN(MAX(MIN(INT(($A23-1)/62)+1,5),1),5),CROQUIS_DATOS!$C$1501,CROQUIS_DATOS!$C$1505,CROQUIS_DATOS!$C$1509,CROQUIS_DATOS!$C$1513,CROQUIS_DATOS!$C$1517)=1,CROQUIS_DATOS!$C$1557,0),1)),2)=1,IF(MOD(MOD($A23-1,62)+1-2,2)=0,0,1),IF(MOD(MOD($A23-1,62)+1-2,2)=0,1,0))))=0,(CHOOSE(MIN(MAX(MIN(INT(($A23-1)/62)+1,5),1),5),CROQUIS_DATOS!$C$1499,CROQUIS_DATOS!$C$1503,CROQUIS_DATOS!$C$1507,CROQUIS_DATOS!$C$1511,CROQUIS_DATOS!$C$1515)+IF(CHOOSE(MIN(MAX(MIN(INT(($A23-1)/62)+1,5),1),5),CROQUIS_DATOS!$C$1501,CROQUIS_DATOS!$C$1505,CROQUIS_DATOS!$C$1509,CROQUIS_DATOS!$C$1513,CROQUIS_DATOS!$C$1517)=1,CROQUIS_DATOS!$C$1526,0)),(CHOOSE(MIN(MAX(MIN(INT(($A23-1)/62)+1,5),1),5),CROQUIS_DATOS!$C$1499,CROQUIS_DATOS!$C$1503,CROQUIS_DATOS!$C$1507,CROQUIS_DATOS!$C$1511,CROQUIS_DATOS!$C$1515)+CHOOSE(MIN(MAX(MIN(INT(($A23-1)/62)+1,5),1),5),CROQUIS_DATOS!$C$1500,CROQUIS_DATOS!$C$1504,CROQUIS_DATOS!$C$1508,CROQUIS_DATOS!$C$1512,CROQUIS_DATOS!$C$1516)-IF(CHOOSE(MIN(MAX(MIN(INT(($A23-1)/62)+1,5),1),5),CROQUIS_DATOS!$C$1501,CROQUIS_DATOS!$C$1505,CROQUIS_DATOS!$C$1509,CROQUIS_DATOS!$C$1513,CROQUIS_DATOS!$C$1517)=1,CROQUIS_DATOS!$C$1526,0))))*CROQUIS_DATOS!$C$1562),-1000)</f>
        <v>-1000</v>
      </c>
      <c r="Q23">
        <f>IF(AND(CROQUIS_DATOS!$C$1472=1,CROQUIS_DATOS!$C$1555=1),(CROQUIS_DATOS!$C$1564+(IF(OR(OR(MOD($A23-1,62)+1=1,IF(CHOOSE(MIN(MAX(MIN(INT(($A23-1)/62)+1,5),1),5),CROQUIS_DATOS!$C$1501,CROQUIS_DATOS!$C$1505,CROQUIS_DATOS!$C$1509,CROQUIS_DATOS!$C$1513,CROQUIS_DATOS!$C$1517)=1,CROQUIS_DATOS!$C$1557,0)=0),MOD($A23-1,62)+1&gt;2*IF(CHOOSE(MIN(MAX(MIN(INT(($A23-1)/62)+1,5),1),5),CROQUIS_DATOS!$C$1501,CROQUIS_DATOS!$C$1505,CROQUIS_DATOS!$C$1509,CROQUIS_DATOS!$C$1513,CROQUIS_DATOS!$C$1517)=1,CROQUIS_DATOS!$C$1557,0)+1),CROQUIS_DATOS!$C$1476,MIN(INT((MOD($A23-1,62)+1-2)/2)+1,MAX(IF(CHOOSE(MIN(MAX(MIN(INT(($A23-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">
        <f>IF(AND(CROQUIS_DATOS!$C$1472=1,1),(CROQUIS_DATOS!$C$1563+(MIN(INT(($A23-1)/2)+1,CROQUIS_DATOS!$C$1558)*CROQUIS_DATOS!$C$1559)*CROQUIS_DATOS!$C$1562),-1000)</f>
        <v>36.5716180371353</v>
      </c>
      <c r="U23">
        <f>IF(AND(CROQUIS_DATOS!$C$1472=1,1),(CROQUIS_DATOS!$C$1564+(IF(INT(($A23-1)/2)+1&gt;CROQUIS_DATOS!$C$1558,IF(MOD(CROQUIS_DATOS!$C$1558,2)=1,CROQUIS_DATOS!$C$1476+CROQUIS_DATOS!$C$1528,CROQUIS_DATOS!$C$1476),IF(IF(MOD(MIN(INT(($A23-1)/2)+1,CROQUIS_DATOS!$C$1558),2)=1,MOD($A23-1,2),1-MOD($A23-1,2))=1,CROQUIS_DATOS!$C$1476+CROQUIS_DATOS!$C$1528,CROQUIS_DATOS!$C$1476)))*CROQUIS_DATOS!$C$1561*CROQUIS_DATOS!$C$1562),-1000)</f>
        <v>40.2068965517241</v>
      </c>
      <c r="BZ23">
        <f>IF(AND(CROQUIS_DATOS!$C$1472=1,CROQUIS_DATOS!$C$1500&gt;0,((CROQUIS_DATOS!$C$1499+CROQUIS_DATOS!$C$1500))-(CROQUIS_DATOS!$C$1499)&gt;0.5,(CROQUIS_DATOS!$C$1476)-(0)&gt;0.5),(CROQUIS_DATOS!$C$1566+(IF(IF(MOD(MIN(INT(($A23-1)/2)+1,MAX(1,INT(((((CROQUIS_DATOS!$C$1499+CROQUIS_DATOS!$C$1500))-(CROQUIS_DATOS!$C$1499))+((CROQUIS_DATOS!$C$1476)*CROQUIS_DATOS!$C$1561-(0)*CROQUIS_DATOS!$C$1561))/CROQUIS_DATOS!$C$1568-0.000001))),2)=1,IF(INT(($A23-1)/2)+1&gt;MAX(1,INT(((((CROQUIS_DATOS!$C$1499+CROQUIS_DATOS!$C$1500))-(CROQUIS_DATOS!$C$1499))+((CROQUIS_DATOS!$C$1476)*CROQUIS_DATOS!$C$1561-(0)*CROQUIS_DATOS!$C$1561))/CROQUIS_DATOS!$C$1568-0.000001)),1,MOD($A23-1,2)),1-IF(INT(($A23-1)/2)+1&gt;MAX(1,INT(((((CROQUIS_DATOS!$C$1499+CROQUIS_DATOS!$C$1500))-(CROQUIS_DATOS!$C$1499))+((CROQUIS_DATOS!$C$1476)*CROQUIS_DATOS!$C$1561-(0)*CROQUIS_DATOS!$C$1561))/CROQUIS_DATOS!$C$1568-0.000001)),1,MOD($A23-1,2)))=1,MIN((CROQUIS_DATOS!$C$1476)*CROQUIS_DATOS!$C$1561,((CROQUIS_DATOS!$C$1499+CROQUIS_DATOS!$C$1500)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23">
        <f>IF(AND(CROQUIS_DATOS!$C$1472=1,CROQUIS_DATOS!$C$1500&gt;0,((CROQUIS_DATOS!$C$1499+CROQUIS_DATOS!$C$1500))-(CROQUIS_DATOS!$C$1499)&gt;0.5,(CROQUIS_DATOS!$C$1476)-(0)&gt;0.5),(CROQUIS_DATOS!$C$1567+(IF(IF(MOD(MIN(INT(($A23-1)/2)+1,MAX(1,INT(((((CROQUIS_DATOS!$C$1499+CROQUIS_DATOS!$C$1500))-(CROQUIS_DATOS!$C$1499))+((CROQUIS_DATOS!$C$1476)*CROQUIS_DATOS!$C$1561-(0)*CROQUIS_DATOS!$C$1561))/CROQUIS_DATOS!$C$1568-0.000001))),2)=1,IF(INT(($A23-1)/2)+1&gt;MAX(1,INT(((((CROQUIS_DATOS!$C$1499+CROQUIS_DATOS!$C$1500))-(CROQUIS_DATOS!$C$1499))+((CROQUIS_DATOS!$C$1476)*CROQUIS_DATOS!$C$1561-(0)*CROQUIS_DATOS!$C$1561))/CROQUIS_DATOS!$C$1568-0.000001)),1,MOD($A23-1,2)),1-IF(INT(($A23-1)/2)+1&gt;MAX(1,INT(((((CROQUIS_DATOS!$C$1499+CROQUIS_DATOS!$C$1500))-(CROQUIS_DATOS!$C$1499))+((CROQUIS_DATOS!$C$1476)*CROQUIS_DATOS!$C$1561-(0)*CROQUIS_DATOS!$C$1561))/CROQUIS_DATOS!$C$1568-0.000001)),1,MOD($A23-1,2)))=1,MIN((CROQUIS_DATOS!$C$1476)*CROQUIS_DATOS!$C$1561,((CROQUIS_DATOS!$C$1499+CROQUIS_DATOS!$C$1500)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23-1)/2)+1,MAX(1,INT(((((CROQUIS_DATOS!$C$1499+CROQUIS_DATOS!$C$1500))-(CROQUIS_DATOS!$C$1499))+((CROQUIS_DATOS!$C$1476)*CROQUIS_DATOS!$C$1561-(0)*CROQUIS_DATOS!$C$1561))/CROQUIS_DATOS!$C$1568-0.000001)))*CROQUIS_DATOS!$C$1568))))*CROQUIS_DATOS!$C$1565),-1000)</f>
        <v>26.0620689655172</v>
      </c>
      <c r="CB23">
        <f>IF(AND(CROQUIS_DATOS!$C$1472=1,CROQUIS_DATOS!$C$1504&gt;0,((CROQUIS_DATOS!$C$1503+CROQUIS_DATOS!$C$1504))-(CROQUIS_DATOS!$C$1503)&gt;0.5,(CROQUIS_DATOS!$C$1476)-(0)&gt;0.5),(CROQUIS_DATOS!$C$1566+(IF(IF(MOD(MIN(INT(($A23-1)/2)+1,MAX(1,INT(((((CROQUIS_DATOS!$C$1503+CROQUIS_DATOS!$C$1504))-(CROQUIS_DATOS!$C$1503))+((CROQUIS_DATOS!$C$1476)*CROQUIS_DATOS!$C$1561-(0)*CROQUIS_DATOS!$C$1561))/CROQUIS_DATOS!$C$1568-0.000001))),2)=1,IF(INT(($A23-1)/2)+1&gt;MAX(1,INT(((((CROQUIS_DATOS!$C$1503+CROQUIS_DATOS!$C$1504))-(CROQUIS_DATOS!$C$1503))+((CROQUIS_DATOS!$C$1476)*CROQUIS_DATOS!$C$1561-(0)*CROQUIS_DATOS!$C$1561))/CROQUIS_DATOS!$C$1568-0.000001)),1,MOD($A23-1,2)),1-IF(INT(($A23-1)/2)+1&gt;MAX(1,INT(((((CROQUIS_DATOS!$C$1503+CROQUIS_DATOS!$C$1504))-(CROQUIS_DATOS!$C$1503))+((CROQUIS_DATOS!$C$1476)*CROQUIS_DATOS!$C$1561-(0)*CROQUIS_DATOS!$C$1561))/CROQUIS_DATOS!$C$1568-0.000001)),1,MOD($A23-1,2)))=1,MIN((CROQUIS_DATOS!$C$1476)*CROQUIS_DATOS!$C$1561,((CROQUIS_DATOS!$C$1503+CROQUIS_DATOS!$C$1504)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23">
        <f>IF(AND(CROQUIS_DATOS!$C$1472=1,CROQUIS_DATOS!$C$1504&gt;0,((CROQUIS_DATOS!$C$1503+CROQUIS_DATOS!$C$1504))-(CROQUIS_DATOS!$C$1503)&gt;0.5,(CROQUIS_DATOS!$C$1476)-(0)&gt;0.5),(CROQUIS_DATOS!$C$1567+(IF(IF(MOD(MIN(INT(($A23-1)/2)+1,MAX(1,INT(((((CROQUIS_DATOS!$C$1503+CROQUIS_DATOS!$C$1504))-(CROQUIS_DATOS!$C$1503))+((CROQUIS_DATOS!$C$1476)*CROQUIS_DATOS!$C$1561-(0)*CROQUIS_DATOS!$C$1561))/CROQUIS_DATOS!$C$1568-0.000001))),2)=1,IF(INT(($A23-1)/2)+1&gt;MAX(1,INT(((((CROQUIS_DATOS!$C$1503+CROQUIS_DATOS!$C$1504))-(CROQUIS_DATOS!$C$1503))+((CROQUIS_DATOS!$C$1476)*CROQUIS_DATOS!$C$1561-(0)*CROQUIS_DATOS!$C$1561))/CROQUIS_DATOS!$C$1568-0.000001)),1,MOD($A23-1,2)),1-IF(INT(($A23-1)/2)+1&gt;MAX(1,INT(((((CROQUIS_DATOS!$C$1503+CROQUIS_DATOS!$C$1504))-(CROQUIS_DATOS!$C$1503))+((CROQUIS_DATOS!$C$1476)*CROQUIS_DATOS!$C$1561-(0)*CROQUIS_DATOS!$C$1561))/CROQUIS_DATOS!$C$1568-0.000001)),1,MOD($A23-1,2)))=1,MIN((CROQUIS_DATOS!$C$1476)*CROQUIS_DATOS!$C$1561,((CROQUIS_DATOS!$C$1503+CROQUIS_DATOS!$C$1504)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23-1)/2)+1,MAX(1,INT(((((CROQUIS_DATOS!$C$1503+CROQUIS_DATOS!$C$1504))-(CROQUIS_DATOS!$C$1503))+((CROQUIS_DATOS!$C$1476)*CROQUIS_DATOS!$C$1561-(0)*CROQUIS_DATOS!$C$1561))/CROQUIS_DATOS!$C$1568-0.000001)))*CROQUIS_DATOS!$C$1568))))*CROQUIS_DATOS!$C$1565),-1000)</f>
        <v>26.0620689655172</v>
      </c>
      <c r="CD23">
        <f>IF(AND(CROQUIS_DATOS!$C$1472=1,CROQUIS_DATOS!$C$1508&gt;0,((CROQUIS_DATOS!$C$1507+CROQUIS_DATOS!$C$1508))-(CROQUIS_DATOS!$C$1507)&gt;0.5,(CROQUIS_DATOS!$C$1476)-(0)&gt;0.5),(CROQUIS_DATOS!$C$1566+(IF(IF(MOD(MIN(INT(($A23-1)/2)+1,MAX(1,INT(((((CROQUIS_DATOS!$C$1507+CROQUIS_DATOS!$C$1508))-(CROQUIS_DATOS!$C$1507))+((CROQUIS_DATOS!$C$1476)*CROQUIS_DATOS!$C$1561-(0)*CROQUIS_DATOS!$C$1561))/CROQUIS_DATOS!$C$1568-0.000001))),2)=1,IF(INT(($A23-1)/2)+1&gt;MAX(1,INT(((((CROQUIS_DATOS!$C$1507+CROQUIS_DATOS!$C$1508))-(CROQUIS_DATOS!$C$1507))+((CROQUIS_DATOS!$C$1476)*CROQUIS_DATOS!$C$1561-(0)*CROQUIS_DATOS!$C$1561))/CROQUIS_DATOS!$C$1568-0.000001)),1,MOD($A23-1,2)),1-IF(INT(($A23-1)/2)+1&gt;MAX(1,INT(((((CROQUIS_DATOS!$C$1507+CROQUIS_DATOS!$C$1508))-(CROQUIS_DATOS!$C$1507))+((CROQUIS_DATOS!$C$1476)*CROQUIS_DATOS!$C$1561-(0)*CROQUIS_DATOS!$C$1561))/CROQUIS_DATOS!$C$1568-0.000001)),1,MOD($A23-1,2)))=1,MIN((CROQUIS_DATOS!$C$1476)*CROQUIS_DATOS!$C$1561,((CROQUIS_DATOS!$C$1507+CROQUIS_DATOS!$C$1508)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23">
        <f>IF(AND(CROQUIS_DATOS!$C$1472=1,CROQUIS_DATOS!$C$1508&gt;0,((CROQUIS_DATOS!$C$1507+CROQUIS_DATOS!$C$1508))-(CROQUIS_DATOS!$C$1507)&gt;0.5,(CROQUIS_DATOS!$C$1476)-(0)&gt;0.5),(CROQUIS_DATOS!$C$1567+(IF(IF(MOD(MIN(INT(($A23-1)/2)+1,MAX(1,INT(((((CROQUIS_DATOS!$C$1507+CROQUIS_DATOS!$C$1508))-(CROQUIS_DATOS!$C$1507))+((CROQUIS_DATOS!$C$1476)*CROQUIS_DATOS!$C$1561-(0)*CROQUIS_DATOS!$C$1561))/CROQUIS_DATOS!$C$1568-0.000001))),2)=1,IF(INT(($A23-1)/2)+1&gt;MAX(1,INT(((((CROQUIS_DATOS!$C$1507+CROQUIS_DATOS!$C$1508))-(CROQUIS_DATOS!$C$1507))+((CROQUIS_DATOS!$C$1476)*CROQUIS_DATOS!$C$1561-(0)*CROQUIS_DATOS!$C$1561))/CROQUIS_DATOS!$C$1568-0.000001)),1,MOD($A23-1,2)),1-IF(INT(($A23-1)/2)+1&gt;MAX(1,INT(((((CROQUIS_DATOS!$C$1507+CROQUIS_DATOS!$C$1508))-(CROQUIS_DATOS!$C$1507))+((CROQUIS_DATOS!$C$1476)*CROQUIS_DATOS!$C$1561-(0)*CROQUIS_DATOS!$C$1561))/CROQUIS_DATOS!$C$1568-0.000001)),1,MOD($A23-1,2)))=1,MIN((CROQUIS_DATOS!$C$1476)*CROQUIS_DATOS!$C$1561,((CROQUIS_DATOS!$C$1507+CROQUIS_DATOS!$C$1508)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23-1)/2)+1,MAX(1,INT(((((CROQUIS_DATOS!$C$1507+CROQUIS_DATOS!$C$1508))-(CROQUIS_DATOS!$C$1507))+((CROQUIS_DATOS!$C$1476)*CROQUIS_DATOS!$C$1561-(0)*CROQUIS_DATOS!$C$1561))/CROQUIS_DATOS!$C$1568-0.000001)))*CROQUIS_DATOS!$C$1568))))*CROQUIS_DATOS!$C$1565),-1000)</f>
        <v>26.0620689655172</v>
      </c>
      <c r="CF23">
        <f>IF(AND(CROQUIS_DATOS!$C$1472=1,CROQUIS_DATOS!$C$1512&gt;0,((CROQUIS_DATOS!$C$1511+CROQUIS_DATOS!$C$1512))-(CROQUIS_DATOS!$C$1511)&gt;0.5,(CROQUIS_DATOS!$C$1476)-(0)&gt;0.5),(CROQUIS_DATOS!$C$1566+(IF(IF(MOD(MIN(INT(($A23-1)/2)+1,MAX(1,INT(((((CROQUIS_DATOS!$C$1511+CROQUIS_DATOS!$C$1512))-(CROQUIS_DATOS!$C$1511))+((CROQUIS_DATOS!$C$1476)*CROQUIS_DATOS!$C$1561-(0)*CROQUIS_DATOS!$C$1561))/CROQUIS_DATOS!$C$1568-0.000001))),2)=1,IF(INT(($A23-1)/2)+1&gt;MAX(1,INT(((((CROQUIS_DATOS!$C$1511+CROQUIS_DATOS!$C$1512))-(CROQUIS_DATOS!$C$1511))+((CROQUIS_DATOS!$C$1476)*CROQUIS_DATOS!$C$1561-(0)*CROQUIS_DATOS!$C$1561))/CROQUIS_DATOS!$C$1568-0.000001)),1,MOD($A23-1,2)),1-IF(INT(($A23-1)/2)+1&gt;MAX(1,INT(((((CROQUIS_DATOS!$C$1511+CROQUIS_DATOS!$C$1512))-(CROQUIS_DATOS!$C$1511))+((CROQUIS_DATOS!$C$1476)*CROQUIS_DATOS!$C$1561-(0)*CROQUIS_DATOS!$C$1561))/CROQUIS_DATOS!$C$1568-0.000001)),1,MOD($A23-1,2)))=1,MIN((CROQUIS_DATOS!$C$1476)*CROQUIS_DATOS!$C$1561,((CROQUIS_DATOS!$C$1511+CROQUIS_DATOS!$C$1512)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3">
        <f>IF(AND(CROQUIS_DATOS!$C$1472=1,CROQUIS_DATOS!$C$1512&gt;0,((CROQUIS_DATOS!$C$1511+CROQUIS_DATOS!$C$1512))-(CROQUIS_DATOS!$C$1511)&gt;0.5,(CROQUIS_DATOS!$C$1476)-(0)&gt;0.5),(CROQUIS_DATOS!$C$1567+(IF(IF(MOD(MIN(INT(($A23-1)/2)+1,MAX(1,INT(((((CROQUIS_DATOS!$C$1511+CROQUIS_DATOS!$C$1512))-(CROQUIS_DATOS!$C$1511))+((CROQUIS_DATOS!$C$1476)*CROQUIS_DATOS!$C$1561-(0)*CROQUIS_DATOS!$C$1561))/CROQUIS_DATOS!$C$1568-0.000001))),2)=1,IF(INT(($A23-1)/2)+1&gt;MAX(1,INT(((((CROQUIS_DATOS!$C$1511+CROQUIS_DATOS!$C$1512))-(CROQUIS_DATOS!$C$1511))+((CROQUIS_DATOS!$C$1476)*CROQUIS_DATOS!$C$1561-(0)*CROQUIS_DATOS!$C$1561))/CROQUIS_DATOS!$C$1568-0.000001)),1,MOD($A23-1,2)),1-IF(INT(($A23-1)/2)+1&gt;MAX(1,INT(((((CROQUIS_DATOS!$C$1511+CROQUIS_DATOS!$C$1512))-(CROQUIS_DATOS!$C$1511))+((CROQUIS_DATOS!$C$1476)*CROQUIS_DATOS!$C$1561-(0)*CROQUIS_DATOS!$C$1561))/CROQUIS_DATOS!$C$1568-0.000001)),1,MOD($A23-1,2)))=1,MIN((CROQUIS_DATOS!$C$1476)*CROQUIS_DATOS!$C$1561,((CROQUIS_DATOS!$C$1511+CROQUIS_DATOS!$C$1512)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3">
        <f>IF(AND(CROQUIS_DATOS!$C$1472=1,CROQUIS_DATOS!$C$1516&gt;0,((CROQUIS_DATOS!$C$1515+CROQUIS_DATOS!$C$1516))-(CROQUIS_DATOS!$C$1515)&gt;0.5,(CROQUIS_DATOS!$C$1476)-(0)&gt;0.5),(CROQUIS_DATOS!$C$1566+(IF(IF(MOD(MIN(INT(($A23-1)/2)+1,MAX(1,INT(((((CROQUIS_DATOS!$C$1515+CROQUIS_DATOS!$C$1516))-(CROQUIS_DATOS!$C$1515))+((CROQUIS_DATOS!$C$1476)*CROQUIS_DATOS!$C$1561-(0)*CROQUIS_DATOS!$C$1561))/CROQUIS_DATOS!$C$1568-0.000001))),2)=1,IF(INT(($A23-1)/2)+1&gt;MAX(1,INT(((((CROQUIS_DATOS!$C$1515+CROQUIS_DATOS!$C$1516))-(CROQUIS_DATOS!$C$1515))+((CROQUIS_DATOS!$C$1476)*CROQUIS_DATOS!$C$1561-(0)*CROQUIS_DATOS!$C$1561))/CROQUIS_DATOS!$C$1568-0.000001)),1,MOD($A23-1,2)),1-IF(INT(($A23-1)/2)+1&gt;MAX(1,INT(((((CROQUIS_DATOS!$C$1515+CROQUIS_DATOS!$C$1516))-(CROQUIS_DATOS!$C$1515))+((CROQUIS_DATOS!$C$1476)*CROQUIS_DATOS!$C$1561-(0)*CROQUIS_DATOS!$C$1561))/CROQUIS_DATOS!$C$1568-0.000001)),1,MOD($A23-1,2)))=1,MIN((CROQUIS_DATOS!$C$1476)*CROQUIS_DATOS!$C$1561,((CROQUIS_DATOS!$C$1515+CROQUIS_DATOS!$C$1516)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3">
        <f>IF(AND(CROQUIS_DATOS!$C$1472=1,CROQUIS_DATOS!$C$1516&gt;0,((CROQUIS_DATOS!$C$1515+CROQUIS_DATOS!$C$1516))-(CROQUIS_DATOS!$C$1515)&gt;0.5,(CROQUIS_DATOS!$C$1476)-(0)&gt;0.5),(CROQUIS_DATOS!$C$1567+(IF(IF(MOD(MIN(INT(($A23-1)/2)+1,MAX(1,INT(((((CROQUIS_DATOS!$C$1515+CROQUIS_DATOS!$C$1516))-(CROQUIS_DATOS!$C$1515))+((CROQUIS_DATOS!$C$1476)*CROQUIS_DATOS!$C$1561-(0)*CROQUIS_DATOS!$C$1561))/CROQUIS_DATOS!$C$1568-0.000001))),2)=1,IF(INT(($A23-1)/2)+1&gt;MAX(1,INT(((((CROQUIS_DATOS!$C$1515+CROQUIS_DATOS!$C$1516))-(CROQUIS_DATOS!$C$1515))+((CROQUIS_DATOS!$C$1476)*CROQUIS_DATOS!$C$1561-(0)*CROQUIS_DATOS!$C$1561))/CROQUIS_DATOS!$C$1568-0.000001)),1,MOD($A23-1,2)),1-IF(INT(($A23-1)/2)+1&gt;MAX(1,INT(((((CROQUIS_DATOS!$C$1515+CROQUIS_DATOS!$C$1516))-(CROQUIS_DATOS!$C$1515))+((CROQUIS_DATOS!$C$1476)*CROQUIS_DATOS!$C$1561-(0)*CROQUIS_DATOS!$C$1561))/CROQUIS_DATOS!$C$1568-0.000001)),1,MOD($A23-1,2)))=1,MIN((CROQUIS_DATOS!$C$1476)*CROQUIS_DATOS!$C$1561,((CROQUIS_DATOS!$C$1515+CROQUIS_DATOS!$C$1516)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3">
        <f>IF(AND(CROQUIS_DATOS!$C$1472=1,CROQUIS_DATOS!$C$1478&gt;=1,((CROQUIS_DATOS!$C$1479+CROQUIS_DATOS!$C$1480))-(CROQUIS_DATOS!$C$1479)&gt;0.5,(CROQUIS_DATOS!$C$1481)-(0)&gt;0.5),(CROQUIS_DATOS!$C$1566+(IF(IF(MOD(MIN(INT(($A23-1)/2)+1,MAX(1,INT(((((CROQUIS_DATOS!$C$1479+CROQUIS_DATOS!$C$1480))-(CROQUIS_DATOS!$C$1479))+((CROQUIS_DATOS!$C$1481)*CROQUIS_DATOS!$C$1561-(0)*CROQUIS_DATOS!$C$1561))/CROQUIS_DATOS!$C$1568-0.000001))),2)=1,IF(INT(($A23-1)/2)+1&gt;MAX(1,INT(((((CROQUIS_DATOS!$C$1479+CROQUIS_DATOS!$C$1480))-(CROQUIS_DATOS!$C$1479))+((CROQUIS_DATOS!$C$1481)*CROQUIS_DATOS!$C$1561-(0)*CROQUIS_DATOS!$C$1561))/CROQUIS_DATOS!$C$1568-0.000001)),1,MOD($A23-1,2)),1-IF(INT(($A23-1)/2)+1&gt;MAX(1,INT(((((CROQUIS_DATOS!$C$1479+CROQUIS_DATOS!$C$1480))-(CROQUIS_DATOS!$C$1479))+((CROQUIS_DATOS!$C$1481)*CROQUIS_DATOS!$C$1561-(0)*CROQUIS_DATOS!$C$1561))/CROQUIS_DATOS!$C$1568-0.000001)),1,MOD($A23-1,2)))=1,MIN((CROQUIS_DATOS!$C$1481)*CROQUIS_DATOS!$C$1561,((CROQUIS_DATOS!$C$1479+CROQUIS_DATOS!$C$1480)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3">
        <f>IF(AND(CROQUIS_DATOS!$C$1472=1,CROQUIS_DATOS!$C$1478&gt;=1,((CROQUIS_DATOS!$C$1479+CROQUIS_DATOS!$C$1480))-(CROQUIS_DATOS!$C$1479)&gt;0.5,(CROQUIS_DATOS!$C$1481)-(0)&gt;0.5),(CROQUIS_DATOS!$C$1567+(IF(IF(MOD(MIN(INT(($A23-1)/2)+1,MAX(1,INT(((((CROQUIS_DATOS!$C$1479+CROQUIS_DATOS!$C$1480))-(CROQUIS_DATOS!$C$1479))+((CROQUIS_DATOS!$C$1481)*CROQUIS_DATOS!$C$1561-(0)*CROQUIS_DATOS!$C$1561))/CROQUIS_DATOS!$C$1568-0.000001))),2)=1,IF(INT(($A23-1)/2)+1&gt;MAX(1,INT(((((CROQUIS_DATOS!$C$1479+CROQUIS_DATOS!$C$1480))-(CROQUIS_DATOS!$C$1479))+((CROQUIS_DATOS!$C$1481)*CROQUIS_DATOS!$C$1561-(0)*CROQUIS_DATOS!$C$1561))/CROQUIS_DATOS!$C$1568-0.000001)),1,MOD($A23-1,2)),1-IF(INT(($A23-1)/2)+1&gt;MAX(1,INT(((((CROQUIS_DATOS!$C$1479+CROQUIS_DATOS!$C$1480))-(CROQUIS_DATOS!$C$1479))+((CROQUIS_DATOS!$C$1481)*CROQUIS_DATOS!$C$1561-(0)*CROQUIS_DATOS!$C$1561))/CROQUIS_DATOS!$C$1568-0.000001)),1,MOD($A23-1,2)))=1,MIN((CROQUIS_DATOS!$C$1481)*CROQUIS_DATOS!$C$1561,((CROQUIS_DATOS!$C$1479+CROQUIS_DATOS!$C$1480)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3">
        <f>IF(AND(CROQUIS_DATOS!$C$1472=1,CROQUIS_DATOS!$C$1478&gt;=1,((CROQUIS_DATOS!$C$1479+CROQUIS_DATOS!$C$1480))-(CROQUIS_DATOS!$C$1479)&gt;0.5,(CROQUIS_DATOS!$C$1476)-((CROQUIS_DATOS!$C$1481+CROQUIS_DATOS!$C$1482))&gt;0.5),(CROQUIS_DATOS!$C$1566+(IF(IF(MOD(MIN(INT(($A23-1)/2)+1,MAX(1,INT(((((CROQUIS_DATOS!$C$1479+CROQUIS_DATOS!$C$1480))-(CROQUIS_DATOS!$C$1479))+((CROQUIS_DATOS!$C$1476)*CROQUIS_DATOS!$C$1561-((CROQUIS_DATOS!$C$1481+CROQUIS_DATOS!$C$1482))*CROQUIS_DATOS!$C$1561))/CROQUIS_DATOS!$C$1568-0.000001))),2)=1,IF(INT(($A23-1)/2)+1&gt;MAX(1,INT(((((CROQUIS_DATOS!$C$1479+CROQUIS_DATOS!$C$1480))-(CROQUIS_DATOS!$C$1479))+((CROQUIS_DATOS!$C$1476)*CROQUIS_DATOS!$C$1561-((CROQUIS_DATOS!$C$1481+CROQUIS_DATOS!$C$1482))*CROQUIS_DATOS!$C$1561))/CROQUIS_DATOS!$C$1568-0.000001)),1,MOD($A23-1,2)),1-IF(INT(($A23-1)/2)+1&gt;MAX(1,INT(((((CROQUIS_DATOS!$C$1479+CROQUIS_DATOS!$C$1480))-(CROQUIS_DATOS!$C$1479))+((CROQUIS_DATOS!$C$1476)*CROQUIS_DATOS!$C$1561-((CROQUIS_DATOS!$C$1481+CROQUIS_DATOS!$C$1482))*CROQUIS_DATOS!$C$1561))/CROQUIS_DATOS!$C$1568-0.000001)),1,MOD($A23-1,2)))=1,MIN((CROQUIS_DATOS!$C$1476)*CROQUIS_DATOS!$C$1561,((CROQUIS_DATOS!$C$1479+CROQUIS_DATOS!$C$1480)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23">
        <f>IF(AND(CROQUIS_DATOS!$C$1472=1,CROQUIS_DATOS!$C$1478&gt;=1,((CROQUIS_DATOS!$C$1479+CROQUIS_DATOS!$C$1480))-(CROQUIS_DATOS!$C$1479)&gt;0.5,(CROQUIS_DATOS!$C$1476)-((CROQUIS_DATOS!$C$1481+CROQUIS_DATOS!$C$1482))&gt;0.5),(CROQUIS_DATOS!$C$1567+(IF(IF(MOD(MIN(INT(($A23-1)/2)+1,MAX(1,INT(((((CROQUIS_DATOS!$C$1479+CROQUIS_DATOS!$C$1480))-(CROQUIS_DATOS!$C$1479))+((CROQUIS_DATOS!$C$1476)*CROQUIS_DATOS!$C$1561-((CROQUIS_DATOS!$C$1481+CROQUIS_DATOS!$C$1482))*CROQUIS_DATOS!$C$1561))/CROQUIS_DATOS!$C$1568-0.000001))),2)=1,IF(INT(($A23-1)/2)+1&gt;MAX(1,INT(((((CROQUIS_DATOS!$C$1479+CROQUIS_DATOS!$C$1480))-(CROQUIS_DATOS!$C$1479))+((CROQUIS_DATOS!$C$1476)*CROQUIS_DATOS!$C$1561-((CROQUIS_DATOS!$C$1481+CROQUIS_DATOS!$C$1482))*CROQUIS_DATOS!$C$1561))/CROQUIS_DATOS!$C$1568-0.000001)),1,MOD($A23-1,2)),1-IF(INT(($A23-1)/2)+1&gt;MAX(1,INT(((((CROQUIS_DATOS!$C$1479+CROQUIS_DATOS!$C$1480))-(CROQUIS_DATOS!$C$1479))+((CROQUIS_DATOS!$C$1476)*CROQUIS_DATOS!$C$1561-((CROQUIS_DATOS!$C$1481+CROQUIS_DATOS!$C$1482))*CROQUIS_DATOS!$C$1561))/CROQUIS_DATOS!$C$1568-0.000001)),1,MOD($A23-1,2)))=1,MIN((CROQUIS_DATOS!$C$1476)*CROQUIS_DATOS!$C$1561,((CROQUIS_DATOS!$C$1479+CROQUIS_DATOS!$C$1480)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3">
        <f>IF(AND(CROQUIS_DATOS!$C$1472=1,CROQUIS_DATOS!$C$1478&gt;=2,((CROQUIS_DATOS!$C$1484+CROQUIS_DATOS!$C$1485))-(CROQUIS_DATOS!$C$1484)&gt;0.5,(CROQUIS_DATOS!$C$1486)-(0)&gt;0.5),(CROQUIS_DATOS!$C$1566+(IF(IF(MOD(MIN(INT(($A23-1)/2)+1,MAX(1,INT(((((CROQUIS_DATOS!$C$1484+CROQUIS_DATOS!$C$1485))-(CROQUIS_DATOS!$C$1484))+((CROQUIS_DATOS!$C$1486)*CROQUIS_DATOS!$C$1561-(0)*CROQUIS_DATOS!$C$1561))/CROQUIS_DATOS!$C$1568-0.000001))),2)=1,IF(INT(($A23-1)/2)+1&gt;MAX(1,INT(((((CROQUIS_DATOS!$C$1484+CROQUIS_DATOS!$C$1485))-(CROQUIS_DATOS!$C$1484))+((CROQUIS_DATOS!$C$1486)*CROQUIS_DATOS!$C$1561-(0)*CROQUIS_DATOS!$C$1561))/CROQUIS_DATOS!$C$1568-0.000001)),1,MOD($A23-1,2)),1-IF(INT(($A23-1)/2)+1&gt;MAX(1,INT(((((CROQUIS_DATOS!$C$1484+CROQUIS_DATOS!$C$1485))-(CROQUIS_DATOS!$C$1484))+((CROQUIS_DATOS!$C$1486)*CROQUIS_DATOS!$C$1561-(0)*CROQUIS_DATOS!$C$1561))/CROQUIS_DATOS!$C$1568-0.000001)),1,MOD($A23-1,2)))=1,MIN((CROQUIS_DATOS!$C$1486)*CROQUIS_DATOS!$C$1561,((CROQUIS_DATOS!$C$1484+CROQUIS_DATOS!$C$1485)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*CROQUIS_DATOS!$C$1565),-1000)</f>
        <v>52.0413793103448</v>
      </c>
      <c r="CS23">
        <f>IF(AND(CROQUIS_DATOS!$C$1472=1,CROQUIS_DATOS!$C$1478&gt;=2,((CROQUIS_DATOS!$C$1484+CROQUIS_DATOS!$C$1485))-(CROQUIS_DATOS!$C$1484)&gt;0.5,(CROQUIS_DATOS!$C$1486)-(0)&gt;0.5),(CROQUIS_DATOS!$C$1567+(IF(IF(MOD(MIN(INT(($A23-1)/2)+1,MAX(1,INT(((((CROQUIS_DATOS!$C$1484+CROQUIS_DATOS!$C$1485))-(CROQUIS_DATOS!$C$1484))+((CROQUIS_DATOS!$C$1486)*CROQUIS_DATOS!$C$1561-(0)*CROQUIS_DATOS!$C$1561))/CROQUIS_DATOS!$C$1568-0.000001))),2)=1,IF(INT(($A23-1)/2)+1&gt;MAX(1,INT(((((CROQUIS_DATOS!$C$1484+CROQUIS_DATOS!$C$1485))-(CROQUIS_DATOS!$C$1484))+((CROQUIS_DATOS!$C$1486)*CROQUIS_DATOS!$C$1561-(0)*CROQUIS_DATOS!$C$1561))/CROQUIS_DATOS!$C$1568-0.000001)),1,MOD($A23-1,2)),1-IF(INT(($A23-1)/2)+1&gt;MAX(1,INT(((((CROQUIS_DATOS!$C$1484+CROQUIS_DATOS!$C$1485))-(CROQUIS_DATOS!$C$1484))+((CROQUIS_DATOS!$C$1486)*CROQUIS_DATOS!$C$1561-(0)*CROQUIS_DATOS!$C$1561))/CROQUIS_DATOS!$C$1568-0.000001)),1,MOD($A23-1,2)))=1,MIN((CROQUIS_DATOS!$C$1486)*CROQUIS_DATOS!$C$1561,((CROQUIS_DATOS!$C$1484+CROQUIS_DATOS!$C$1485)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23">
        <f>IF(AND(CROQUIS_DATOS!$C$1472=1,CROQUIS_DATOS!$C$1478&gt;=2,((CROQUIS_DATOS!$C$1484+CROQUIS_DATOS!$C$1485))-(CROQUIS_DATOS!$C$1484)&gt;0.5,(CROQUIS_DATOS!$C$1476)-((CROQUIS_DATOS!$C$1486+CROQUIS_DATOS!$C$1487))&gt;0.5),(CROQUIS_DATOS!$C$1566+(IF(IF(MOD(MIN(INT(($A23-1)/2)+1,MAX(1,INT(((((CROQUIS_DATOS!$C$1484+CROQUIS_DATOS!$C$1485))-(CROQUIS_DATOS!$C$1484))+((CROQUIS_DATOS!$C$1476)*CROQUIS_DATOS!$C$1561-((CROQUIS_DATOS!$C$1486+CROQUIS_DATOS!$C$1487))*CROQUIS_DATOS!$C$1561))/CROQUIS_DATOS!$C$1568-0.000001))),2)=1,IF(INT(($A23-1)/2)+1&gt;MAX(1,INT(((((CROQUIS_DATOS!$C$1484+CROQUIS_DATOS!$C$1485))-(CROQUIS_DATOS!$C$1484))+((CROQUIS_DATOS!$C$1476)*CROQUIS_DATOS!$C$1561-((CROQUIS_DATOS!$C$1486+CROQUIS_DATOS!$C$1487))*CROQUIS_DATOS!$C$1561))/CROQUIS_DATOS!$C$1568-0.000001)),1,MOD($A23-1,2)),1-IF(INT(($A23-1)/2)+1&gt;MAX(1,INT(((((CROQUIS_DATOS!$C$1484+CROQUIS_DATOS!$C$1485))-(CROQUIS_DATOS!$C$1484))+((CROQUIS_DATOS!$C$1476)*CROQUIS_DATOS!$C$1561-((CROQUIS_DATOS!$C$1486+CROQUIS_DATOS!$C$1487))*CROQUIS_DATOS!$C$1561))/CROQUIS_DATOS!$C$1568-0.000001)),1,MOD($A23-1,2)))=1,MIN((CROQUIS_DATOS!$C$1476)*CROQUIS_DATOS!$C$1561,((CROQUIS_DATOS!$C$1484+CROQUIS_DATOS!$C$1485)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57.3862068965517</v>
      </c>
      <c r="CU23">
        <f>IF(AND(CROQUIS_DATOS!$C$1472=1,CROQUIS_DATOS!$C$1478&gt;=2,((CROQUIS_DATOS!$C$1484+CROQUIS_DATOS!$C$1485))-(CROQUIS_DATOS!$C$1484)&gt;0.5,(CROQUIS_DATOS!$C$1476)-((CROQUIS_DATOS!$C$1486+CROQUIS_DATOS!$C$1487))&gt;0.5),(CROQUIS_DATOS!$C$1567+(IF(IF(MOD(MIN(INT(($A23-1)/2)+1,MAX(1,INT(((((CROQUIS_DATOS!$C$1484+CROQUIS_DATOS!$C$1485))-(CROQUIS_DATOS!$C$1484))+((CROQUIS_DATOS!$C$1476)*CROQUIS_DATOS!$C$1561-((CROQUIS_DATOS!$C$1486+CROQUIS_DATOS!$C$1487))*CROQUIS_DATOS!$C$1561))/CROQUIS_DATOS!$C$1568-0.000001))),2)=1,IF(INT(($A23-1)/2)+1&gt;MAX(1,INT(((((CROQUIS_DATOS!$C$1484+CROQUIS_DATOS!$C$1485))-(CROQUIS_DATOS!$C$1484))+((CROQUIS_DATOS!$C$1476)*CROQUIS_DATOS!$C$1561-((CROQUIS_DATOS!$C$1486+CROQUIS_DATOS!$C$1487))*CROQUIS_DATOS!$C$1561))/CROQUIS_DATOS!$C$1568-0.000001)),1,MOD($A23-1,2)),1-IF(INT(($A23-1)/2)+1&gt;MAX(1,INT(((((CROQUIS_DATOS!$C$1484+CROQUIS_DATOS!$C$1485))-(CROQUIS_DATOS!$C$1484))+((CROQUIS_DATOS!$C$1476)*CROQUIS_DATOS!$C$1561-((CROQUIS_DATOS!$C$1486+CROQUIS_DATOS!$C$1487))*CROQUIS_DATOS!$C$1561))/CROQUIS_DATOS!$C$1568-0.000001)),1,MOD($A23-1,2)))=1,MIN((CROQUIS_DATOS!$C$1476)*CROQUIS_DATOS!$C$1561,((CROQUIS_DATOS!$C$1484+CROQUIS_DATOS!$C$1485)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23">
        <f>IF(AND(CROQUIS_DATOS!$C$1472=1,CROQUIS_DATOS!$C$1478&gt;=3,((CROQUIS_DATOS!$C$1489+CROQUIS_DATOS!$C$1490))-(CROQUIS_DATOS!$C$1489)&gt;0.5,(CROQUIS_DATOS!$C$1491)-(0)&gt;0.5),(CROQUIS_DATOS!$C$1566+(IF(IF(MOD(MIN(INT(($A23-1)/2)+1,MAX(1,INT(((((CROQUIS_DATOS!$C$1489+CROQUIS_DATOS!$C$1490))-(CROQUIS_DATOS!$C$1489))+((CROQUIS_DATOS!$C$1491)*CROQUIS_DATOS!$C$1561-(0)*CROQUIS_DATOS!$C$1561))/CROQUIS_DATOS!$C$1568-0.000001))),2)=1,IF(INT(($A23-1)/2)+1&gt;MAX(1,INT(((((CROQUIS_DATOS!$C$1489+CROQUIS_DATOS!$C$1490))-(CROQUIS_DATOS!$C$1489))+((CROQUIS_DATOS!$C$1491)*CROQUIS_DATOS!$C$1561-(0)*CROQUIS_DATOS!$C$1561))/CROQUIS_DATOS!$C$1568-0.000001)),1,MOD($A23-1,2)),1-IF(INT(($A23-1)/2)+1&gt;MAX(1,INT(((((CROQUIS_DATOS!$C$1489+CROQUIS_DATOS!$C$1490))-(CROQUIS_DATOS!$C$1489))+((CROQUIS_DATOS!$C$1491)*CROQUIS_DATOS!$C$1561-(0)*CROQUIS_DATOS!$C$1561))/CROQUIS_DATOS!$C$1568-0.000001)),1,MOD($A23-1,2)))=1,MIN((CROQUIS_DATOS!$C$1491)*CROQUIS_DATOS!$C$1561,((CROQUIS_DATOS!$C$1489+CROQUIS_DATOS!$C$1490)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3">
        <f>IF(AND(CROQUIS_DATOS!$C$1472=1,CROQUIS_DATOS!$C$1478&gt;=3,((CROQUIS_DATOS!$C$1489+CROQUIS_DATOS!$C$1490))-(CROQUIS_DATOS!$C$1489)&gt;0.5,(CROQUIS_DATOS!$C$1491)-(0)&gt;0.5),(CROQUIS_DATOS!$C$1567+(IF(IF(MOD(MIN(INT(($A23-1)/2)+1,MAX(1,INT(((((CROQUIS_DATOS!$C$1489+CROQUIS_DATOS!$C$1490))-(CROQUIS_DATOS!$C$1489))+((CROQUIS_DATOS!$C$1491)*CROQUIS_DATOS!$C$1561-(0)*CROQUIS_DATOS!$C$1561))/CROQUIS_DATOS!$C$1568-0.000001))),2)=1,IF(INT(($A23-1)/2)+1&gt;MAX(1,INT(((((CROQUIS_DATOS!$C$1489+CROQUIS_DATOS!$C$1490))-(CROQUIS_DATOS!$C$1489))+((CROQUIS_DATOS!$C$1491)*CROQUIS_DATOS!$C$1561-(0)*CROQUIS_DATOS!$C$1561))/CROQUIS_DATOS!$C$1568-0.000001)),1,MOD($A23-1,2)),1-IF(INT(($A23-1)/2)+1&gt;MAX(1,INT(((((CROQUIS_DATOS!$C$1489+CROQUIS_DATOS!$C$1490))-(CROQUIS_DATOS!$C$1489))+((CROQUIS_DATOS!$C$1491)*CROQUIS_DATOS!$C$1561-(0)*CROQUIS_DATOS!$C$1561))/CROQUIS_DATOS!$C$1568-0.000001)),1,MOD($A23-1,2)))=1,MIN((CROQUIS_DATOS!$C$1491)*CROQUIS_DATOS!$C$1561,((CROQUIS_DATOS!$C$1489+CROQUIS_DATOS!$C$1490)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3">
        <f>IF(AND(CROQUIS_DATOS!$C$1472=1,CROQUIS_DATOS!$C$1478&gt;=3,((CROQUIS_DATOS!$C$1489+CROQUIS_DATOS!$C$1490))-(CROQUIS_DATOS!$C$1489)&gt;0.5,(CROQUIS_DATOS!$C$1476)-((CROQUIS_DATOS!$C$1491+CROQUIS_DATOS!$C$1492))&gt;0.5),(CROQUIS_DATOS!$C$1566+(IF(IF(MOD(MIN(INT(($A23-1)/2)+1,MAX(1,INT(((((CROQUIS_DATOS!$C$1489+CROQUIS_DATOS!$C$1490))-(CROQUIS_DATOS!$C$1489))+((CROQUIS_DATOS!$C$1476)*CROQUIS_DATOS!$C$1561-((CROQUIS_DATOS!$C$1491+CROQUIS_DATOS!$C$1492))*CROQUIS_DATOS!$C$1561))/CROQUIS_DATOS!$C$1568-0.000001))),2)=1,IF(INT(($A23-1)/2)+1&gt;MAX(1,INT(((((CROQUIS_DATOS!$C$1489+CROQUIS_DATOS!$C$1490))-(CROQUIS_DATOS!$C$1489))+((CROQUIS_DATOS!$C$1476)*CROQUIS_DATOS!$C$1561-((CROQUIS_DATOS!$C$1491+CROQUIS_DATOS!$C$1492))*CROQUIS_DATOS!$C$1561))/CROQUIS_DATOS!$C$1568-0.000001)),1,MOD($A23-1,2)),1-IF(INT(($A23-1)/2)+1&gt;MAX(1,INT(((((CROQUIS_DATOS!$C$1489+CROQUIS_DATOS!$C$1490))-(CROQUIS_DATOS!$C$1489))+((CROQUIS_DATOS!$C$1476)*CROQUIS_DATOS!$C$1561-((CROQUIS_DATOS!$C$1491+CROQUIS_DATOS!$C$1492))*CROQUIS_DATOS!$C$1561))/CROQUIS_DATOS!$C$1568-0.000001)),1,MOD($A23-1,2)))=1,MIN((CROQUIS_DATOS!$C$1476)*CROQUIS_DATOS!$C$1561,((CROQUIS_DATOS!$C$1489+CROQUIS_DATOS!$C$1490)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3">
        <f>IF(AND(CROQUIS_DATOS!$C$1472=1,CROQUIS_DATOS!$C$1478&gt;=3,((CROQUIS_DATOS!$C$1489+CROQUIS_DATOS!$C$1490))-(CROQUIS_DATOS!$C$1489)&gt;0.5,(CROQUIS_DATOS!$C$1476)-((CROQUIS_DATOS!$C$1491+CROQUIS_DATOS!$C$1492))&gt;0.5),(CROQUIS_DATOS!$C$1567+(IF(IF(MOD(MIN(INT(($A23-1)/2)+1,MAX(1,INT(((((CROQUIS_DATOS!$C$1489+CROQUIS_DATOS!$C$1490))-(CROQUIS_DATOS!$C$1489))+((CROQUIS_DATOS!$C$1476)*CROQUIS_DATOS!$C$1561-((CROQUIS_DATOS!$C$1491+CROQUIS_DATOS!$C$1492))*CROQUIS_DATOS!$C$1561))/CROQUIS_DATOS!$C$1568-0.000001))),2)=1,IF(INT(($A23-1)/2)+1&gt;MAX(1,INT(((((CROQUIS_DATOS!$C$1489+CROQUIS_DATOS!$C$1490))-(CROQUIS_DATOS!$C$1489))+((CROQUIS_DATOS!$C$1476)*CROQUIS_DATOS!$C$1561-((CROQUIS_DATOS!$C$1491+CROQUIS_DATOS!$C$1492))*CROQUIS_DATOS!$C$1561))/CROQUIS_DATOS!$C$1568-0.000001)),1,MOD($A23-1,2)),1-IF(INT(($A23-1)/2)+1&gt;MAX(1,INT(((((CROQUIS_DATOS!$C$1489+CROQUIS_DATOS!$C$1490))-(CROQUIS_DATOS!$C$1489))+((CROQUIS_DATOS!$C$1476)*CROQUIS_DATOS!$C$1561-((CROQUIS_DATOS!$C$1491+CROQUIS_DATOS!$C$1492))*CROQUIS_DATOS!$C$1561))/CROQUIS_DATOS!$C$1568-0.000001)),1,MOD($A23-1,2)))=1,MIN((CROQUIS_DATOS!$C$1476)*CROQUIS_DATOS!$C$1561,((CROQUIS_DATOS!$C$1489+CROQUIS_DATOS!$C$1490)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3">
        <f>IF(AND(CROQUIS_DATOS!$C$1472=1,CROQUIS_DATOS!$C$1478&gt;=4,((CROQUIS_DATOS!$C$1494+CROQUIS_DATOS!$C$1495))-(CROQUIS_DATOS!$C$1494)&gt;0.5,(CROQUIS_DATOS!$C$1496)-(0)&gt;0.5),(CROQUIS_DATOS!$C$1566+(IF(IF(MOD(MIN(INT(($A23-1)/2)+1,MAX(1,INT(((((CROQUIS_DATOS!$C$1494+CROQUIS_DATOS!$C$1495))-(CROQUIS_DATOS!$C$1494))+((CROQUIS_DATOS!$C$1496)*CROQUIS_DATOS!$C$1561-(0)*CROQUIS_DATOS!$C$1561))/CROQUIS_DATOS!$C$1568-0.000001))),2)=1,IF(INT(($A23-1)/2)+1&gt;MAX(1,INT(((((CROQUIS_DATOS!$C$1494+CROQUIS_DATOS!$C$1495))-(CROQUIS_DATOS!$C$1494))+((CROQUIS_DATOS!$C$1496)*CROQUIS_DATOS!$C$1561-(0)*CROQUIS_DATOS!$C$1561))/CROQUIS_DATOS!$C$1568-0.000001)),1,MOD($A23-1,2)),1-IF(INT(($A23-1)/2)+1&gt;MAX(1,INT(((((CROQUIS_DATOS!$C$1494+CROQUIS_DATOS!$C$1495))-(CROQUIS_DATOS!$C$1494))+((CROQUIS_DATOS!$C$1496)*CROQUIS_DATOS!$C$1561-(0)*CROQUIS_DATOS!$C$1561))/CROQUIS_DATOS!$C$1568-0.000001)),1,MOD($A23-1,2)))=1,MIN((CROQUIS_DATOS!$C$1496)*CROQUIS_DATOS!$C$1561,((CROQUIS_DATOS!$C$1494+CROQUIS_DATOS!$C$1495)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3">
        <f>IF(AND(CROQUIS_DATOS!$C$1472=1,CROQUIS_DATOS!$C$1478&gt;=4,((CROQUIS_DATOS!$C$1494+CROQUIS_DATOS!$C$1495))-(CROQUIS_DATOS!$C$1494)&gt;0.5,(CROQUIS_DATOS!$C$1496)-(0)&gt;0.5),(CROQUIS_DATOS!$C$1567+(IF(IF(MOD(MIN(INT(($A23-1)/2)+1,MAX(1,INT(((((CROQUIS_DATOS!$C$1494+CROQUIS_DATOS!$C$1495))-(CROQUIS_DATOS!$C$1494))+((CROQUIS_DATOS!$C$1496)*CROQUIS_DATOS!$C$1561-(0)*CROQUIS_DATOS!$C$1561))/CROQUIS_DATOS!$C$1568-0.000001))),2)=1,IF(INT(($A23-1)/2)+1&gt;MAX(1,INT(((((CROQUIS_DATOS!$C$1494+CROQUIS_DATOS!$C$1495))-(CROQUIS_DATOS!$C$1494))+((CROQUIS_DATOS!$C$1496)*CROQUIS_DATOS!$C$1561-(0)*CROQUIS_DATOS!$C$1561))/CROQUIS_DATOS!$C$1568-0.000001)),1,MOD($A23-1,2)),1-IF(INT(($A23-1)/2)+1&gt;MAX(1,INT(((((CROQUIS_DATOS!$C$1494+CROQUIS_DATOS!$C$1495))-(CROQUIS_DATOS!$C$1494))+((CROQUIS_DATOS!$C$1496)*CROQUIS_DATOS!$C$1561-(0)*CROQUIS_DATOS!$C$1561))/CROQUIS_DATOS!$C$1568-0.000001)),1,MOD($A23-1,2)))=1,MIN((CROQUIS_DATOS!$C$1496)*CROQUIS_DATOS!$C$1561,((CROQUIS_DATOS!$C$1494+CROQUIS_DATOS!$C$1495)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3">
        <f>IF(AND(CROQUIS_DATOS!$C$1472=1,CROQUIS_DATOS!$C$1478&gt;=4,((CROQUIS_DATOS!$C$1494+CROQUIS_DATOS!$C$1495))-(CROQUIS_DATOS!$C$1494)&gt;0.5,(CROQUIS_DATOS!$C$1476)-((CROQUIS_DATOS!$C$1496+CROQUIS_DATOS!$C$1497))&gt;0.5),(CROQUIS_DATOS!$C$1566+(IF(IF(MOD(MIN(INT(($A23-1)/2)+1,MAX(1,INT(((((CROQUIS_DATOS!$C$1494+CROQUIS_DATOS!$C$1495))-(CROQUIS_DATOS!$C$1494))+((CROQUIS_DATOS!$C$1476)*CROQUIS_DATOS!$C$1561-((CROQUIS_DATOS!$C$1496+CROQUIS_DATOS!$C$1497))*CROQUIS_DATOS!$C$1561))/CROQUIS_DATOS!$C$1568-0.000001))),2)=1,IF(INT(($A23-1)/2)+1&gt;MAX(1,INT(((((CROQUIS_DATOS!$C$1494+CROQUIS_DATOS!$C$1495))-(CROQUIS_DATOS!$C$1494))+((CROQUIS_DATOS!$C$1476)*CROQUIS_DATOS!$C$1561-((CROQUIS_DATOS!$C$1496+CROQUIS_DATOS!$C$1497))*CROQUIS_DATOS!$C$1561))/CROQUIS_DATOS!$C$1568-0.000001)),1,MOD($A23-1,2)),1-IF(INT(($A23-1)/2)+1&gt;MAX(1,INT(((((CROQUIS_DATOS!$C$1494+CROQUIS_DATOS!$C$1495))-(CROQUIS_DATOS!$C$1494))+((CROQUIS_DATOS!$C$1476)*CROQUIS_DATOS!$C$1561-((CROQUIS_DATOS!$C$1496+CROQUIS_DATOS!$C$1497))*CROQUIS_DATOS!$C$1561))/CROQUIS_DATOS!$C$1568-0.000001)),1,MOD($A23-1,2)))=1,MIN((CROQUIS_DATOS!$C$1476)*CROQUIS_DATOS!$C$1561,((CROQUIS_DATOS!$C$1494+CROQUIS_DATOS!$C$1495)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3">
        <f>IF(AND(CROQUIS_DATOS!$C$1472=1,CROQUIS_DATOS!$C$1478&gt;=4,((CROQUIS_DATOS!$C$1494+CROQUIS_DATOS!$C$1495))-(CROQUIS_DATOS!$C$1494)&gt;0.5,(CROQUIS_DATOS!$C$1476)-((CROQUIS_DATOS!$C$1496+CROQUIS_DATOS!$C$1497))&gt;0.5),(CROQUIS_DATOS!$C$1567+(IF(IF(MOD(MIN(INT(($A23-1)/2)+1,MAX(1,INT(((((CROQUIS_DATOS!$C$1494+CROQUIS_DATOS!$C$1495))-(CROQUIS_DATOS!$C$1494))+((CROQUIS_DATOS!$C$1476)*CROQUIS_DATOS!$C$1561-((CROQUIS_DATOS!$C$1496+CROQUIS_DATOS!$C$1497))*CROQUIS_DATOS!$C$1561))/CROQUIS_DATOS!$C$1568-0.000001))),2)=1,IF(INT(($A23-1)/2)+1&gt;MAX(1,INT(((((CROQUIS_DATOS!$C$1494+CROQUIS_DATOS!$C$1495))-(CROQUIS_DATOS!$C$1494))+((CROQUIS_DATOS!$C$1476)*CROQUIS_DATOS!$C$1561-((CROQUIS_DATOS!$C$1496+CROQUIS_DATOS!$C$1497))*CROQUIS_DATOS!$C$1561))/CROQUIS_DATOS!$C$1568-0.000001)),1,MOD($A23-1,2)),1-IF(INT(($A23-1)/2)+1&gt;MAX(1,INT(((((CROQUIS_DATOS!$C$1494+CROQUIS_DATOS!$C$1495))-(CROQUIS_DATOS!$C$1494))+((CROQUIS_DATOS!$C$1476)*CROQUIS_DATOS!$C$1561-((CROQUIS_DATOS!$C$1496+CROQUIS_DATOS!$C$1497))*CROQUIS_DATOS!$C$1561))/CROQUIS_DATOS!$C$1568-0.000001)),1,MOD($A23-1,2)))=1,MIN((CROQUIS_DATOS!$C$1476)*CROQUIS_DATOS!$C$1561,((CROQUIS_DATOS!$C$1494+CROQUIS_DATOS!$C$1495)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EV23">
        <f>IF(AND(CROQUIS_DATOS!$C$1472=1,1),(CROQUIS_DATOS!$C$1566+(INDEX($E$8:$E$23,MIN($A23,CROQUIS_DATOS!$C$1525)))*CROQUIS_DATOS!$C$1565),-1000)</f>
        <v>76.9224137931035</v>
      </c>
      <c r="EW23">
        <f>IF(AND(CROQUIS_DATOS!$C$1472=1,1),((CROQUIS_DATOS!$C$1567+(CROQUIS_DATOS!$C$1476+CROQUIS_DATOS!$C$1528)*CROQUIS_DATOS!$C$1561*CROQUIS_DATOS!$C$1565)+1.5),-1000)</f>
        <v>42.5</v>
      </c>
      <c r="GD23">
        <f>IF(AND(CROQUIS_DATOS!$C$1472=1,1),(CROQUIS_DATOS!$C$1571+(CHOOSE(MIN(MAX(IF(INT(($A23-1)/5)+1&gt;CROQUIS_DATOS!$C$1525,5,MOD($A23-1,5)+1),1),5),(INDEX($E$8:$E$23,MIN(INT(($A23-1)/5)+1,CROQUIS_DATOS!$C$1525))-INDEX($F$8:$F$23,MIN(INT(($A23-1)/5)+1,CROQUIS_DATOS!$C$1525))/2),(INDEX($E$8:$E$23,MIN(INT(($A23-1)/5)+1,CROQUIS_DATOS!$C$1525))+INDEX($F$8:$F$23,MIN(INT(($A23-1)/5)+1,CROQUIS_DATOS!$C$1525))/2),(INDEX($E$8:$E$23,MIN(INT(($A23-1)/5)+1,CROQUIS_DATOS!$C$1525))+INDEX($F$8:$F$23,MIN(INT(($A23-1)/5)+1,CROQUIS_DATOS!$C$1525))/2),(INDEX($E$8:$E$23,MIN(INT(($A23-1)/5)+1,CROQUIS_DATOS!$C$1525))-INDEX($F$8:$F$23,MIN(INT(($A23-1)/5)+1,CROQUIS_DATOS!$C$1525))/2),(INDEX($E$8:$E$23,MIN(INT(($A23-1)/5)+1,CROQUIS_DATOS!$C$1525))-INDEX($F$8:$F$23,MIN(INT(($A23-1)/5)+1,CROQUIS_DATOS!$C$1525))/2)))*CROQUIS_DATOS!$C$1569),-1000)</f>
        <v>45.56</v>
      </c>
      <c r="GE23">
        <f>IF(AND(CROQUIS_DATOS!$C$1472=1,1),(CROQUIS_DATOS!$C$1572+(CHOOSE(MIN(MAX(IF(INT(($A23-1)/5)+1&gt;CROQUIS_DATOS!$C$1525,5,MOD($A23-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3">
        <f>IF(AND(CROQUIS_DATOS!$C$1472=1,1),IF(INT(($A23-1)/4)+1&lt;=CROQUIS_DATOS!$C$1525,(CROQUIS_DATOS!$C$1571+((INDEX($E$8:$E$23,MIN(INT(($A23-1)/4)+1,16))+IF(OR(MOD($A23-1,4)=0,MOD($A23-1,4)=3),-1,1)*(INDEX($F$8:$F$23,MIN(INT(($A23-1)/4)+1,16))/2-(CROQUIS_DATOS!$C$1530+CROQUIS_DATOS!$C$1532+IF(OR(INT(($A23-1)/4)+1=1,INT(($A23-1)/4)+1=CROQUIS_DATOS!$C$1525),CROQUIS_DATOS!$C$1534,CROQUIS_DATOS!$C$1531)/2))))*CROQUIS_DATOS!$C$1569),-1000),-1000)</f>
        <v>46.132516</v>
      </c>
      <c r="GG23">
        <f>IF(AND(CROQUIS_DATOS!$C$1472=1,1),IF(INT(($A23-1)/4)+1&lt;=CROQUIS_DATOS!$C$1525,(CROQUIS_DATOS!$C$1572+((CROQUIS_DATOS!$C$1477/2+IF(MOD($A23-1,4)&lt;2,-1,1)*(CROQUIS_DATOS!$C$1527/2-(CROQUIS_DATOS!$C$1530+CROQUIS_DATOS!$C$1532+IF(OR(INT(($A23-1)/4)+1=1,INT(($A23-1)/4)+1=CROQUIS_DATOS!$C$1525),CROQUIS_DATOS!$C$1534,CROQUIS_DATOS!$C$1531)/2))))*CROQUIS_DATOS!$C$1569*CROQUIS_DATOS!$C$1570),-1000),-1000)</f>
        <v>13.06655</v>
      </c>
    </row>
    <row r="24">
      <c r="A24" t="n">
        <v>17</v>
      </c>
      <c r="H24">
        <f>IF(17&lt;=CROQUIS_DATOS!$C$1539,17*CROQUIS_DATOS!$C$1536,IF(17&lt;=CROQUIS_DATOS!$C$1539+CROQUIS_DATOS!$C$1540,CROQUIS_DATOS!$C$1539*CROQUIS_DATOS!$C$1536+(17-CROQUIS_DATOS!$C$1539)*(CROQUIS_DATOS!$C$1476-2*CROQUIS_DATOS!$C$1539*CROQUIS_DATOS!$C$1536)/(CROQUIS_DATOS!$C$1540+1),CROQUIS_DATOS!$C$1476-(2*CROQUIS_DATOS!$C$1539+CROQUIS_DATOS!$C$1540+1-17)*CROQUIS_DATOS!$C$1536))</f>
        <v>235</v>
      </c>
      <c r="J24">
        <f>IF(AND(CROQUIS_DATOS!$C$1472=1,1),(CROQUIS_DATOS!$C$1563+(CHOOSE(MIN(MAX(IF(INT(($A24-1)/4)+1&gt;CROQUIS_DATOS!$C$1525,4,MOD($A24-1,4)+1),1),4),(INDEX($E$8:$E$23,MIN(INT(($A24-1)/4)+1,CROQUIS_DATOS!$C$1525))-INDEX($F$8:$F$23,MIN(INT(($A24-1)/4)+1,CROQUIS_DATOS!$C$1525))/2),(INDEX($E$8:$E$23,MIN(INT(($A24-1)/4)+1,CROQUIS_DATOS!$C$1525))-INDEX($F$8:$F$23,MIN(INT(($A24-1)/4)+1,CROQUIS_DATOS!$C$1525))/2),(INDEX($E$8:$E$23,MIN(INT(($A24-1)/4)+1,CROQUIS_DATOS!$C$1525))+INDEX($F$8:$F$23,MIN(INT(($A24-1)/4)+1,CROQUIS_DATOS!$C$1525))/2),(INDEX($E$8:$E$23,MIN(INT(($A24-1)/4)+1,CROQUIS_DATOS!$C$1525))+INDEX($F$8:$F$23,MIN(INT(($A24-1)/4)+1,CROQUIS_DATOS!$C$1525))/2)))*CROQUIS_DATOS!$C$1562),-1000)</f>
        <v>68.1551724137931</v>
      </c>
      <c r="K24">
        <f>IF(AND(CROQUIS_DATOS!$C$1472=1,1),(CROQUIS_DATOS!$C$1564+(CHOOSE(MIN(MAX(IF(INT(($A24-1)/4)+1&gt;CROQUIS_DATOS!$C$1525,4,MOD($A24-1,4)+1),1),4),0,CROQUIS_DATOS!$C$1476,CROQUIS_DATOS!$C$1476,0))*CROQUIS_DATOS!$C$1561*CROQUIS_DATOS!$C$1562),-1000)</f>
        <v>5.29310344827586</v>
      </c>
      <c r="L24">
        <f>IF(AND(CROQUIS_DATOS!$C$1472=1,1),(CROQUIS_DATOS!$C$1563+(CHOOSE(MIN(MAX(IF(INT(($A24-1)/4)+1&gt;CROQUIS_DATOS!$C$1525,4,MOD($A24-1,4)+1),1),4),((INDEX($E$8:$E$23,MIN(INT(($A24-1)/4)+1,CROQUIS_DATOS!$C$1525))-INDEX($F$8:$F$23,MIN(INT(($A24-1)/4)+1,CROQUIS_DATOS!$C$1525))/2)+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,((INDEX($E$8:$E$23,MIN(INT(($A24-1)/4)+1,CROQUIS_DATOS!$C$1525))-INDEX($F$8:$F$23,MIN(INT(($A24-1)/4)+1,CROQUIS_DATOS!$C$1525))/2)+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,((INDEX($E$8:$E$23,MIN(INT(($A24-1)/4)+1,CROQUIS_DATOS!$C$1525))+INDEX($F$8:$F$23,MIN(INT(($A24-1)/4)+1,CROQUIS_DATOS!$C$1525))/2)-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,((INDEX($E$8:$E$23,MIN(INT(($A24-1)/4)+1,CROQUIS_DATOS!$C$1525))+INDEX($F$8:$F$23,MIN(INT(($A24-1)/4)+1,CROQUIS_DATOS!$C$1525))/2)-MIN((CROQUIS_DATOS!$C$1530+CROQUIS_DATOS!$C$1532+IF(OR(MIN(INT(($A24-1)/4)+1,CROQUIS_DATOS!$C$1525)=1,MIN(INT(($A24-1)/4)+1,CROQUIS_DATOS!$C$1525)=CROQUIS_DATOS!$C$1525),CROQUIS_DATOS!$C$1534,CROQUIS_DATOS!$C$1531)/2),INDEX($F$8:$F$23,MIN(INT(($A24-1)/4)+1,CROQUIS_DATOS!$C$1525))/2-0.5))))*CROQUIS_DATOS!$C$1562),-1000)</f>
        <v>68.5897094827586</v>
      </c>
      <c r="M24">
        <f>IF(AND(CROQUIS_DATOS!$C$1472=1,1),(CROQUIS_DATOS!$C$1564+(CHOOSE(MIN(MAX(IF(INT(($A24-1)/4)+1&gt;CROQUIS_DATOS!$C$1525,4,MOD($A24-1,4)+1),1),4),CROQUIS_DATOS!$C$1543,INDEX($I$8:$I$23,MIN(INT(($A24-1)/4)+1,CROQUIS_DATOS!$C$1525)),INDEX($I$8:$I$23,MIN(INT(($A24-1)/4)+1,CROQUIS_DATOS!$C$1525)),CROQUIS_DATOS!$C$1543))*CROQUIS_DATOS!$C$1561*CROQUIS_DATOS!$C$1562),-1000)</f>
        <v>42.5654629310345</v>
      </c>
      <c r="N24">
        <f>IF(AND(CROQUIS_DATOS!$C$1472=1,1),(CROQUIS_DATOS!$C$1563+(IF(IF(IF(INT(($A24-1)/70)+1&gt;CROQUIS_DATOS!$C$1525,70,MOD($A24-1,70)+1)=1,0,IF(IF(INT(($A24-1)/70)+1&gt;CROQUIS_DATOS!$C$1525,70,MOD($A24-1,70)+1)&gt;2*CROQUIS_DATOS!$C$1541+1,IF(MOD(CROQUIS_DATOS!$C$1541,2)=1,1,0),IF(MOD(MIN(INT((IF(INT(($A24-1)/70)+1&gt;CROQUIS_DATOS!$C$1525,70,MOD($A24-1,70)+1)-2)/2)+1,CROQUIS_DATOS!$C$1541),2)=1,IF(MOD(IF(INT(($A24-1)/70)+1&gt;CROQUIS_DATOS!$C$1525,70,MOD($A24-1,70)+1)-2,2)=0,0,1),IF(MOD(IF(INT(($A24-1)/70)+1&gt;CROQUIS_DATOS!$C$1525,70,MOD($A24-1,70)+1)-2,2)=0,1,0))))=0,(INDEX($E$8:$E$23,MIN(INT(($A24-1)/70)+1,CROQUIS_DATOS!$C$1525))-INDEX($F$8:$F$23,MIN(INT(($A24-1)/70)+1,CROQUIS_DATOS!$C$1525))/2),(INDEX($E$8:$E$23,MIN(INT(($A24-1)/70)+1,CROQUIS_DATOS!$C$1525))+INDEX($F$8:$F$23,MIN(INT(($A24-1)/70)+1,CROQUIS_DATOS!$C$1525))/2)))*CROQUIS_DATOS!$C$1562),-1000)</f>
        <v>15.0862068965517</v>
      </c>
      <c r="O24">
        <f>IF(AND(CROQUIS_DATOS!$C$1472=1,1),(CROQUIS_DATOS!$C$1564+(IF(OR(IF(INT(($A24-1)/70)+1&gt;CROQUIS_DATOS!$C$1525,70,MOD($A24-1,70)+1)=1,IF(INT(($A24-1)/70)+1&gt;CROQUIS_DATOS!$C$1525,70,MOD($A24-1,70)+1)&gt;2*CROQUIS_DATOS!$C$1541+1),CROQUIS_DATOS!$C$1476,INDEX($H$8:$H$41,MIN(INT((IF(INT(($A24-1)/70)+1&gt;CROQUIS_DATOS!$C$1525,70,MOD($A24-1,70)+1)-2)/2)+1,CROQUIS_DATOS!$C$1541))))*CROQUIS_DATOS!$C$1561*CROQUIS_DATOS!$C$1562),-1000)</f>
        <v>18.676724137931</v>
      </c>
      <c r="P24">
        <f>IF(AND(CROQUIS_DATOS!$C$1472=1,CROQUIS_DATOS!$C$1555=1),(CROQUIS_DATOS!$C$1563+(IF(IF(OR(MOD($A24-1,62)+1=1,IF(CHOOSE(MIN(MAX(MIN(INT(($A24-1)/62)+1,5),1),5),CROQUIS_DATOS!$C$1501,CROQUIS_DATOS!$C$1505,CROQUIS_DATOS!$C$1509,CROQUIS_DATOS!$C$1513,CROQUIS_DATOS!$C$1517)=1,CROQUIS_DATOS!$C$1557,0)=0),0,IF(MOD($A24-1,62)+1&gt;2*IF(CHOOSE(MIN(MAX(MIN(INT(($A24-1)/62)+1,5),1),5),CROQUIS_DATOS!$C$1501,CROQUIS_DATOS!$C$1505,CROQUIS_DATOS!$C$1509,CROQUIS_DATOS!$C$1513,CROQUIS_DATOS!$C$1517)=1,CROQUIS_DATOS!$C$1557,0)+1,IF(MOD(IF(CHOOSE(MIN(MAX(MIN(INT(($A24-1)/62)+1,5),1),5),CROQUIS_DATOS!$C$1501,CROQUIS_DATOS!$C$1505,CROQUIS_DATOS!$C$1509,CROQUIS_DATOS!$C$1513,CROQUIS_DATOS!$C$1517)=1,CROQUIS_DATOS!$C$1557,0),2)=1,1,0),IF(MOD(MIN(INT((MOD($A24-1,62)+1-2)/2)+1,MAX(IF(CHOOSE(MIN(MAX(MIN(INT(($A24-1)/62)+1,5),1),5),CROQUIS_DATOS!$C$1501,CROQUIS_DATOS!$C$1505,CROQUIS_DATOS!$C$1509,CROQUIS_DATOS!$C$1513,CROQUIS_DATOS!$C$1517)=1,CROQUIS_DATOS!$C$1557,0),1)),2)=1,IF(MOD(MOD($A24-1,62)+1-2,2)=0,0,1),IF(MOD(MOD($A24-1,62)+1-2,2)=0,1,0))))=0,(CHOOSE(MIN(MAX(MIN(INT(($A24-1)/62)+1,5),1),5),CROQUIS_DATOS!$C$1499,CROQUIS_DATOS!$C$1503,CROQUIS_DATOS!$C$1507,CROQUIS_DATOS!$C$1511,CROQUIS_DATOS!$C$1515)+IF(CHOOSE(MIN(MAX(MIN(INT(($A24-1)/62)+1,5),1),5),CROQUIS_DATOS!$C$1501,CROQUIS_DATOS!$C$1505,CROQUIS_DATOS!$C$1509,CROQUIS_DATOS!$C$1513,CROQUIS_DATOS!$C$1517)=1,CROQUIS_DATOS!$C$1526,0)),(CHOOSE(MIN(MAX(MIN(INT(($A24-1)/62)+1,5),1),5),CROQUIS_DATOS!$C$1499,CROQUIS_DATOS!$C$1503,CROQUIS_DATOS!$C$1507,CROQUIS_DATOS!$C$1511,CROQUIS_DATOS!$C$1515)+CHOOSE(MIN(MAX(MIN(INT(($A24-1)/62)+1,5),1),5),CROQUIS_DATOS!$C$1500,CROQUIS_DATOS!$C$1504,CROQUIS_DATOS!$C$1508,CROQUIS_DATOS!$C$1512,CROQUIS_DATOS!$C$1516)-IF(CHOOSE(MIN(MAX(MIN(INT(($A24-1)/62)+1,5),1),5),CROQUIS_DATOS!$C$1501,CROQUIS_DATOS!$C$1505,CROQUIS_DATOS!$C$1509,CROQUIS_DATOS!$C$1513,CROQUIS_DATOS!$C$1517)=1,CROQUIS_DATOS!$C$1526,0))))*CROQUIS_DATOS!$C$1562),-1000)</f>
        <v>-1000</v>
      </c>
      <c r="Q24">
        <f>IF(AND(CROQUIS_DATOS!$C$1472=1,CROQUIS_DATOS!$C$1555=1),(CROQUIS_DATOS!$C$1564+(IF(OR(OR(MOD($A24-1,62)+1=1,IF(CHOOSE(MIN(MAX(MIN(INT(($A24-1)/62)+1,5),1),5),CROQUIS_DATOS!$C$1501,CROQUIS_DATOS!$C$1505,CROQUIS_DATOS!$C$1509,CROQUIS_DATOS!$C$1513,CROQUIS_DATOS!$C$1517)=1,CROQUIS_DATOS!$C$1557,0)=0),MOD($A24-1,62)+1&gt;2*IF(CHOOSE(MIN(MAX(MIN(INT(($A24-1)/62)+1,5),1),5),CROQUIS_DATOS!$C$1501,CROQUIS_DATOS!$C$1505,CROQUIS_DATOS!$C$1509,CROQUIS_DATOS!$C$1513,CROQUIS_DATOS!$C$1517)=1,CROQUIS_DATOS!$C$1557,0)+1),CROQUIS_DATOS!$C$1476,MIN(INT((MOD($A24-1,62)+1-2)/2)+1,MAX(IF(CHOOSE(MIN(MAX(MIN(INT(($A24-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">
        <f>IF(AND(CROQUIS_DATOS!$C$1472=1,1),(CROQUIS_DATOS!$C$1563+(MIN(INT(($A24-1)/2)+1,CROQUIS_DATOS!$C$1558)*CROQUIS_DATOS!$C$1559)*CROQUIS_DATOS!$C$1562),-1000)</f>
        <v>39.2572944297082</v>
      </c>
      <c r="U24">
        <f>IF(AND(CROQUIS_DATOS!$C$1472=1,1),(CROQUIS_DATOS!$C$1564+(IF(INT(($A24-1)/2)+1&gt;CROQUIS_DATOS!$C$1558,IF(MOD(CROQUIS_DATOS!$C$1558,2)=1,CROQUIS_DATOS!$C$1476+CROQUIS_DATOS!$C$1528,CROQUIS_DATOS!$C$1476),IF(IF(MOD(MIN(INT(($A24-1)/2)+1,CROQUIS_DATOS!$C$1558),2)=1,MOD($A24-1,2),1-MOD($A24-1,2))=1,CROQUIS_DATOS!$C$1476+CROQUIS_DATOS!$C$1528,CROQUIS_DATOS!$C$1476)))*CROQUIS_DATOS!$C$1561*CROQUIS_DATOS!$C$1562),-1000)</f>
        <v>40.2068965517241</v>
      </c>
      <c r="BZ24">
        <f>IF(AND(CROQUIS_DATOS!$C$1472=1,CROQUIS_DATOS!$C$1500&gt;0,((CROQUIS_DATOS!$C$1499+CROQUIS_DATOS!$C$1500))-(CROQUIS_DATOS!$C$1499)&gt;0.5,(CROQUIS_DATOS!$C$1476)-(0)&gt;0.5),(CROQUIS_DATOS!$C$1566+(IF(IF(MOD(MIN(INT(($A24-1)/2)+1,MAX(1,INT(((((CROQUIS_DATOS!$C$1499+CROQUIS_DATOS!$C$1500))-(CROQUIS_DATOS!$C$1499))+((CROQUIS_DATOS!$C$1476)*CROQUIS_DATOS!$C$1561-(0)*CROQUIS_DATOS!$C$1561))/CROQUIS_DATOS!$C$1568-0.000001))),2)=1,IF(INT(($A24-1)/2)+1&gt;MAX(1,INT(((((CROQUIS_DATOS!$C$1499+CROQUIS_DATOS!$C$1500))-(CROQUIS_DATOS!$C$1499))+((CROQUIS_DATOS!$C$1476)*CROQUIS_DATOS!$C$1561-(0)*CROQUIS_DATOS!$C$1561))/CROQUIS_DATOS!$C$1568-0.000001)),1,MOD($A24-1,2)),1-IF(INT(($A24-1)/2)+1&gt;MAX(1,INT(((((CROQUIS_DATOS!$C$1499+CROQUIS_DATOS!$C$1500))-(CROQUIS_DATOS!$C$1499))+((CROQUIS_DATOS!$C$1476)*CROQUIS_DATOS!$C$1561-(0)*CROQUIS_DATOS!$C$1561))/CROQUIS_DATOS!$C$1568-0.000001)),1,MOD($A24-1,2)))=1,MIN((CROQUIS_DATOS!$C$1476)*CROQUIS_DATOS!$C$1561,((CROQUIS_DATOS!$C$1499+CROQUIS_DATOS!$C$1500)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24">
        <f>IF(AND(CROQUIS_DATOS!$C$1472=1,CROQUIS_DATOS!$C$1500&gt;0,((CROQUIS_DATOS!$C$1499+CROQUIS_DATOS!$C$1500))-(CROQUIS_DATOS!$C$1499)&gt;0.5,(CROQUIS_DATOS!$C$1476)-(0)&gt;0.5),(CROQUIS_DATOS!$C$1567+(IF(IF(MOD(MIN(INT(($A24-1)/2)+1,MAX(1,INT(((((CROQUIS_DATOS!$C$1499+CROQUIS_DATOS!$C$1500))-(CROQUIS_DATOS!$C$1499))+((CROQUIS_DATOS!$C$1476)*CROQUIS_DATOS!$C$1561-(0)*CROQUIS_DATOS!$C$1561))/CROQUIS_DATOS!$C$1568-0.000001))),2)=1,IF(INT(($A24-1)/2)+1&gt;MAX(1,INT(((((CROQUIS_DATOS!$C$1499+CROQUIS_DATOS!$C$1500))-(CROQUIS_DATOS!$C$1499))+((CROQUIS_DATOS!$C$1476)*CROQUIS_DATOS!$C$1561-(0)*CROQUIS_DATOS!$C$1561))/CROQUIS_DATOS!$C$1568-0.000001)),1,MOD($A24-1,2)),1-IF(INT(($A24-1)/2)+1&gt;MAX(1,INT(((((CROQUIS_DATOS!$C$1499+CROQUIS_DATOS!$C$1500))-(CROQUIS_DATOS!$C$1499))+((CROQUIS_DATOS!$C$1476)*CROQUIS_DATOS!$C$1561-(0)*CROQUIS_DATOS!$C$1561))/CROQUIS_DATOS!$C$1568-0.000001)),1,MOD($A24-1,2)))=1,MIN((CROQUIS_DATOS!$C$1476)*CROQUIS_DATOS!$C$1561,((CROQUIS_DATOS!$C$1499+CROQUIS_DATOS!$C$1500)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24-1)/2)+1,MAX(1,INT(((((CROQUIS_DATOS!$C$1499+CROQUIS_DATOS!$C$1500))-(CROQUIS_DATOS!$C$1499))+((CROQUIS_DATOS!$C$1476)*CROQUIS_DATOS!$C$1561-(0)*CROQUIS_DATOS!$C$1561))/CROQUIS_DATOS!$C$1568-0.000001)))*CROQUIS_DATOS!$C$1568))))*CROQUIS_DATOS!$C$1565),-1000)</f>
        <v>24.4620689655172</v>
      </c>
      <c r="CB24">
        <f>IF(AND(CROQUIS_DATOS!$C$1472=1,CROQUIS_DATOS!$C$1504&gt;0,((CROQUIS_DATOS!$C$1503+CROQUIS_DATOS!$C$1504))-(CROQUIS_DATOS!$C$1503)&gt;0.5,(CROQUIS_DATOS!$C$1476)-(0)&gt;0.5),(CROQUIS_DATOS!$C$1566+(IF(IF(MOD(MIN(INT(($A24-1)/2)+1,MAX(1,INT(((((CROQUIS_DATOS!$C$1503+CROQUIS_DATOS!$C$1504))-(CROQUIS_DATOS!$C$1503))+((CROQUIS_DATOS!$C$1476)*CROQUIS_DATOS!$C$1561-(0)*CROQUIS_DATOS!$C$1561))/CROQUIS_DATOS!$C$1568-0.000001))),2)=1,IF(INT(($A24-1)/2)+1&gt;MAX(1,INT(((((CROQUIS_DATOS!$C$1503+CROQUIS_DATOS!$C$1504))-(CROQUIS_DATOS!$C$1503))+((CROQUIS_DATOS!$C$1476)*CROQUIS_DATOS!$C$1561-(0)*CROQUIS_DATOS!$C$1561))/CROQUIS_DATOS!$C$1568-0.000001)),1,MOD($A24-1,2)),1-IF(INT(($A24-1)/2)+1&gt;MAX(1,INT(((((CROQUIS_DATOS!$C$1503+CROQUIS_DATOS!$C$1504))-(CROQUIS_DATOS!$C$1503))+((CROQUIS_DATOS!$C$1476)*CROQUIS_DATOS!$C$1561-(0)*CROQUIS_DATOS!$C$1561))/CROQUIS_DATOS!$C$1568-0.000001)),1,MOD($A24-1,2)))=1,MIN((CROQUIS_DATOS!$C$1476)*CROQUIS_DATOS!$C$1561,((CROQUIS_DATOS!$C$1503+CROQUIS_DATOS!$C$1504)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24">
        <f>IF(AND(CROQUIS_DATOS!$C$1472=1,CROQUIS_DATOS!$C$1504&gt;0,((CROQUIS_DATOS!$C$1503+CROQUIS_DATOS!$C$1504))-(CROQUIS_DATOS!$C$1503)&gt;0.5,(CROQUIS_DATOS!$C$1476)-(0)&gt;0.5),(CROQUIS_DATOS!$C$1567+(IF(IF(MOD(MIN(INT(($A24-1)/2)+1,MAX(1,INT(((((CROQUIS_DATOS!$C$1503+CROQUIS_DATOS!$C$1504))-(CROQUIS_DATOS!$C$1503))+((CROQUIS_DATOS!$C$1476)*CROQUIS_DATOS!$C$1561-(0)*CROQUIS_DATOS!$C$1561))/CROQUIS_DATOS!$C$1568-0.000001))),2)=1,IF(INT(($A24-1)/2)+1&gt;MAX(1,INT(((((CROQUIS_DATOS!$C$1503+CROQUIS_DATOS!$C$1504))-(CROQUIS_DATOS!$C$1503))+((CROQUIS_DATOS!$C$1476)*CROQUIS_DATOS!$C$1561-(0)*CROQUIS_DATOS!$C$1561))/CROQUIS_DATOS!$C$1568-0.000001)),1,MOD($A24-1,2)),1-IF(INT(($A24-1)/2)+1&gt;MAX(1,INT(((((CROQUIS_DATOS!$C$1503+CROQUIS_DATOS!$C$1504))-(CROQUIS_DATOS!$C$1503))+((CROQUIS_DATOS!$C$1476)*CROQUIS_DATOS!$C$1561-(0)*CROQUIS_DATOS!$C$1561))/CROQUIS_DATOS!$C$1568-0.000001)),1,MOD($A24-1,2)))=1,MIN((CROQUIS_DATOS!$C$1476)*CROQUIS_DATOS!$C$1561,((CROQUIS_DATOS!$C$1503+CROQUIS_DATOS!$C$1504)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24-1)/2)+1,MAX(1,INT(((((CROQUIS_DATOS!$C$1503+CROQUIS_DATOS!$C$1504))-(CROQUIS_DATOS!$C$1503))+((CROQUIS_DATOS!$C$1476)*CROQUIS_DATOS!$C$1561-(0)*CROQUIS_DATOS!$C$1561))/CROQUIS_DATOS!$C$1568-0.000001)))*CROQUIS_DATOS!$C$1568))))*CROQUIS_DATOS!$C$1565),-1000)</f>
        <v>24.4620689655172</v>
      </c>
      <c r="CD24">
        <f>IF(AND(CROQUIS_DATOS!$C$1472=1,CROQUIS_DATOS!$C$1508&gt;0,((CROQUIS_DATOS!$C$1507+CROQUIS_DATOS!$C$1508))-(CROQUIS_DATOS!$C$1507)&gt;0.5,(CROQUIS_DATOS!$C$1476)-(0)&gt;0.5),(CROQUIS_DATOS!$C$1566+(IF(IF(MOD(MIN(INT(($A24-1)/2)+1,MAX(1,INT(((((CROQUIS_DATOS!$C$1507+CROQUIS_DATOS!$C$1508))-(CROQUIS_DATOS!$C$1507))+((CROQUIS_DATOS!$C$1476)*CROQUIS_DATOS!$C$1561-(0)*CROQUIS_DATOS!$C$1561))/CROQUIS_DATOS!$C$1568-0.000001))),2)=1,IF(INT(($A24-1)/2)+1&gt;MAX(1,INT(((((CROQUIS_DATOS!$C$1507+CROQUIS_DATOS!$C$1508))-(CROQUIS_DATOS!$C$1507))+((CROQUIS_DATOS!$C$1476)*CROQUIS_DATOS!$C$1561-(0)*CROQUIS_DATOS!$C$1561))/CROQUIS_DATOS!$C$1568-0.000001)),1,MOD($A24-1,2)),1-IF(INT(($A24-1)/2)+1&gt;MAX(1,INT(((((CROQUIS_DATOS!$C$1507+CROQUIS_DATOS!$C$1508))-(CROQUIS_DATOS!$C$1507))+((CROQUIS_DATOS!$C$1476)*CROQUIS_DATOS!$C$1561-(0)*CROQUIS_DATOS!$C$1561))/CROQUIS_DATOS!$C$1568-0.000001)),1,MOD($A24-1,2)))=1,MIN((CROQUIS_DATOS!$C$1476)*CROQUIS_DATOS!$C$1561,((CROQUIS_DATOS!$C$1507+CROQUIS_DATOS!$C$1508)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24">
        <f>IF(AND(CROQUIS_DATOS!$C$1472=1,CROQUIS_DATOS!$C$1508&gt;0,((CROQUIS_DATOS!$C$1507+CROQUIS_DATOS!$C$1508))-(CROQUIS_DATOS!$C$1507)&gt;0.5,(CROQUIS_DATOS!$C$1476)-(0)&gt;0.5),(CROQUIS_DATOS!$C$1567+(IF(IF(MOD(MIN(INT(($A24-1)/2)+1,MAX(1,INT(((((CROQUIS_DATOS!$C$1507+CROQUIS_DATOS!$C$1508))-(CROQUIS_DATOS!$C$1507))+((CROQUIS_DATOS!$C$1476)*CROQUIS_DATOS!$C$1561-(0)*CROQUIS_DATOS!$C$1561))/CROQUIS_DATOS!$C$1568-0.000001))),2)=1,IF(INT(($A24-1)/2)+1&gt;MAX(1,INT(((((CROQUIS_DATOS!$C$1507+CROQUIS_DATOS!$C$1508))-(CROQUIS_DATOS!$C$1507))+((CROQUIS_DATOS!$C$1476)*CROQUIS_DATOS!$C$1561-(0)*CROQUIS_DATOS!$C$1561))/CROQUIS_DATOS!$C$1568-0.000001)),1,MOD($A24-1,2)),1-IF(INT(($A24-1)/2)+1&gt;MAX(1,INT(((((CROQUIS_DATOS!$C$1507+CROQUIS_DATOS!$C$1508))-(CROQUIS_DATOS!$C$1507))+((CROQUIS_DATOS!$C$1476)*CROQUIS_DATOS!$C$1561-(0)*CROQUIS_DATOS!$C$1561))/CROQUIS_DATOS!$C$1568-0.000001)),1,MOD($A24-1,2)))=1,MIN((CROQUIS_DATOS!$C$1476)*CROQUIS_DATOS!$C$1561,((CROQUIS_DATOS!$C$1507+CROQUIS_DATOS!$C$1508)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24-1)/2)+1,MAX(1,INT(((((CROQUIS_DATOS!$C$1507+CROQUIS_DATOS!$C$1508))-(CROQUIS_DATOS!$C$1507))+((CROQUIS_DATOS!$C$1476)*CROQUIS_DATOS!$C$1561-(0)*CROQUIS_DATOS!$C$1561))/CROQUIS_DATOS!$C$1568-0.000001)))*CROQUIS_DATOS!$C$1568))))*CROQUIS_DATOS!$C$1565),-1000)</f>
        <v>24.4620689655172</v>
      </c>
      <c r="CF24">
        <f>IF(AND(CROQUIS_DATOS!$C$1472=1,CROQUIS_DATOS!$C$1512&gt;0,((CROQUIS_DATOS!$C$1511+CROQUIS_DATOS!$C$1512))-(CROQUIS_DATOS!$C$1511)&gt;0.5,(CROQUIS_DATOS!$C$1476)-(0)&gt;0.5),(CROQUIS_DATOS!$C$1566+(IF(IF(MOD(MIN(INT(($A24-1)/2)+1,MAX(1,INT(((((CROQUIS_DATOS!$C$1511+CROQUIS_DATOS!$C$1512))-(CROQUIS_DATOS!$C$1511))+((CROQUIS_DATOS!$C$1476)*CROQUIS_DATOS!$C$1561-(0)*CROQUIS_DATOS!$C$1561))/CROQUIS_DATOS!$C$1568-0.000001))),2)=1,IF(INT(($A24-1)/2)+1&gt;MAX(1,INT(((((CROQUIS_DATOS!$C$1511+CROQUIS_DATOS!$C$1512))-(CROQUIS_DATOS!$C$1511))+((CROQUIS_DATOS!$C$1476)*CROQUIS_DATOS!$C$1561-(0)*CROQUIS_DATOS!$C$1561))/CROQUIS_DATOS!$C$1568-0.000001)),1,MOD($A24-1,2)),1-IF(INT(($A24-1)/2)+1&gt;MAX(1,INT(((((CROQUIS_DATOS!$C$1511+CROQUIS_DATOS!$C$1512))-(CROQUIS_DATOS!$C$1511))+((CROQUIS_DATOS!$C$1476)*CROQUIS_DATOS!$C$1561-(0)*CROQUIS_DATOS!$C$1561))/CROQUIS_DATOS!$C$1568-0.000001)),1,MOD($A24-1,2)))=1,MIN((CROQUIS_DATOS!$C$1476)*CROQUIS_DATOS!$C$1561,((CROQUIS_DATOS!$C$1511+CROQUIS_DATOS!$C$1512)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4">
        <f>IF(AND(CROQUIS_DATOS!$C$1472=1,CROQUIS_DATOS!$C$1512&gt;0,((CROQUIS_DATOS!$C$1511+CROQUIS_DATOS!$C$1512))-(CROQUIS_DATOS!$C$1511)&gt;0.5,(CROQUIS_DATOS!$C$1476)-(0)&gt;0.5),(CROQUIS_DATOS!$C$1567+(IF(IF(MOD(MIN(INT(($A24-1)/2)+1,MAX(1,INT(((((CROQUIS_DATOS!$C$1511+CROQUIS_DATOS!$C$1512))-(CROQUIS_DATOS!$C$1511))+((CROQUIS_DATOS!$C$1476)*CROQUIS_DATOS!$C$1561-(0)*CROQUIS_DATOS!$C$1561))/CROQUIS_DATOS!$C$1568-0.000001))),2)=1,IF(INT(($A24-1)/2)+1&gt;MAX(1,INT(((((CROQUIS_DATOS!$C$1511+CROQUIS_DATOS!$C$1512))-(CROQUIS_DATOS!$C$1511))+((CROQUIS_DATOS!$C$1476)*CROQUIS_DATOS!$C$1561-(0)*CROQUIS_DATOS!$C$1561))/CROQUIS_DATOS!$C$1568-0.000001)),1,MOD($A24-1,2)),1-IF(INT(($A24-1)/2)+1&gt;MAX(1,INT(((((CROQUIS_DATOS!$C$1511+CROQUIS_DATOS!$C$1512))-(CROQUIS_DATOS!$C$1511))+((CROQUIS_DATOS!$C$1476)*CROQUIS_DATOS!$C$1561-(0)*CROQUIS_DATOS!$C$1561))/CROQUIS_DATOS!$C$1568-0.000001)),1,MOD($A24-1,2)))=1,MIN((CROQUIS_DATOS!$C$1476)*CROQUIS_DATOS!$C$1561,((CROQUIS_DATOS!$C$1511+CROQUIS_DATOS!$C$1512)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4">
        <f>IF(AND(CROQUIS_DATOS!$C$1472=1,CROQUIS_DATOS!$C$1516&gt;0,((CROQUIS_DATOS!$C$1515+CROQUIS_DATOS!$C$1516))-(CROQUIS_DATOS!$C$1515)&gt;0.5,(CROQUIS_DATOS!$C$1476)-(0)&gt;0.5),(CROQUIS_DATOS!$C$1566+(IF(IF(MOD(MIN(INT(($A24-1)/2)+1,MAX(1,INT(((((CROQUIS_DATOS!$C$1515+CROQUIS_DATOS!$C$1516))-(CROQUIS_DATOS!$C$1515))+((CROQUIS_DATOS!$C$1476)*CROQUIS_DATOS!$C$1561-(0)*CROQUIS_DATOS!$C$1561))/CROQUIS_DATOS!$C$1568-0.000001))),2)=1,IF(INT(($A24-1)/2)+1&gt;MAX(1,INT(((((CROQUIS_DATOS!$C$1515+CROQUIS_DATOS!$C$1516))-(CROQUIS_DATOS!$C$1515))+((CROQUIS_DATOS!$C$1476)*CROQUIS_DATOS!$C$1561-(0)*CROQUIS_DATOS!$C$1561))/CROQUIS_DATOS!$C$1568-0.000001)),1,MOD($A24-1,2)),1-IF(INT(($A24-1)/2)+1&gt;MAX(1,INT(((((CROQUIS_DATOS!$C$1515+CROQUIS_DATOS!$C$1516))-(CROQUIS_DATOS!$C$1515))+((CROQUIS_DATOS!$C$1476)*CROQUIS_DATOS!$C$1561-(0)*CROQUIS_DATOS!$C$1561))/CROQUIS_DATOS!$C$1568-0.000001)),1,MOD($A24-1,2)))=1,MIN((CROQUIS_DATOS!$C$1476)*CROQUIS_DATOS!$C$1561,((CROQUIS_DATOS!$C$1515+CROQUIS_DATOS!$C$1516)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4">
        <f>IF(AND(CROQUIS_DATOS!$C$1472=1,CROQUIS_DATOS!$C$1516&gt;0,((CROQUIS_DATOS!$C$1515+CROQUIS_DATOS!$C$1516))-(CROQUIS_DATOS!$C$1515)&gt;0.5,(CROQUIS_DATOS!$C$1476)-(0)&gt;0.5),(CROQUIS_DATOS!$C$1567+(IF(IF(MOD(MIN(INT(($A24-1)/2)+1,MAX(1,INT(((((CROQUIS_DATOS!$C$1515+CROQUIS_DATOS!$C$1516))-(CROQUIS_DATOS!$C$1515))+((CROQUIS_DATOS!$C$1476)*CROQUIS_DATOS!$C$1561-(0)*CROQUIS_DATOS!$C$1561))/CROQUIS_DATOS!$C$1568-0.000001))),2)=1,IF(INT(($A24-1)/2)+1&gt;MAX(1,INT(((((CROQUIS_DATOS!$C$1515+CROQUIS_DATOS!$C$1516))-(CROQUIS_DATOS!$C$1515))+((CROQUIS_DATOS!$C$1476)*CROQUIS_DATOS!$C$1561-(0)*CROQUIS_DATOS!$C$1561))/CROQUIS_DATOS!$C$1568-0.000001)),1,MOD($A24-1,2)),1-IF(INT(($A24-1)/2)+1&gt;MAX(1,INT(((((CROQUIS_DATOS!$C$1515+CROQUIS_DATOS!$C$1516))-(CROQUIS_DATOS!$C$1515))+((CROQUIS_DATOS!$C$1476)*CROQUIS_DATOS!$C$1561-(0)*CROQUIS_DATOS!$C$1561))/CROQUIS_DATOS!$C$1568-0.000001)),1,MOD($A24-1,2)))=1,MIN((CROQUIS_DATOS!$C$1476)*CROQUIS_DATOS!$C$1561,((CROQUIS_DATOS!$C$1515+CROQUIS_DATOS!$C$1516)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4">
        <f>IF(AND(CROQUIS_DATOS!$C$1472=1,CROQUIS_DATOS!$C$1478&gt;=1,((CROQUIS_DATOS!$C$1479+CROQUIS_DATOS!$C$1480))-(CROQUIS_DATOS!$C$1479)&gt;0.5,(CROQUIS_DATOS!$C$1481)-(0)&gt;0.5),(CROQUIS_DATOS!$C$1566+(IF(IF(MOD(MIN(INT(($A24-1)/2)+1,MAX(1,INT(((((CROQUIS_DATOS!$C$1479+CROQUIS_DATOS!$C$1480))-(CROQUIS_DATOS!$C$1479))+((CROQUIS_DATOS!$C$1481)*CROQUIS_DATOS!$C$1561-(0)*CROQUIS_DATOS!$C$1561))/CROQUIS_DATOS!$C$1568-0.000001))),2)=1,IF(INT(($A24-1)/2)+1&gt;MAX(1,INT(((((CROQUIS_DATOS!$C$1479+CROQUIS_DATOS!$C$1480))-(CROQUIS_DATOS!$C$1479))+((CROQUIS_DATOS!$C$1481)*CROQUIS_DATOS!$C$1561-(0)*CROQUIS_DATOS!$C$1561))/CROQUIS_DATOS!$C$1568-0.000001)),1,MOD($A24-1,2)),1-IF(INT(($A24-1)/2)+1&gt;MAX(1,INT(((((CROQUIS_DATOS!$C$1479+CROQUIS_DATOS!$C$1480))-(CROQUIS_DATOS!$C$1479))+((CROQUIS_DATOS!$C$1481)*CROQUIS_DATOS!$C$1561-(0)*CROQUIS_DATOS!$C$1561))/CROQUIS_DATOS!$C$1568-0.000001)),1,MOD($A24-1,2)))=1,MIN((CROQUIS_DATOS!$C$1481)*CROQUIS_DATOS!$C$1561,((CROQUIS_DATOS!$C$1479+CROQUIS_DATOS!$C$1480)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4">
        <f>IF(AND(CROQUIS_DATOS!$C$1472=1,CROQUIS_DATOS!$C$1478&gt;=1,((CROQUIS_DATOS!$C$1479+CROQUIS_DATOS!$C$1480))-(CROQUIS_DATOS!$C$1479)&gt;0.5,(CROQUIS_DATOS!$C$1481)-(0)&gt;0.5),(CROQUIS_DATOS!$C$1567+(IF(IF(MOD(MIN(INT(($A24-1)/2)+1,MAX(1,INT(((((CROQUIS_DATOS!$C$1479+CROQUIS_DATOS!$C$1480))-(CROQUIS_DATOS!$C$1479))+((CROQUIS_DATOS!$C$1481)*CROQUIS_DATOS!$C$1561-(0)*CROQUIS_DATOS!$C$1561))/CROQUIS_DATOS!$C$1568-0.000001))),2)=1,IF(INT(($A24-1)/2)+1&gt;MAX(1,INT(((((CROQUIS_DATOS!$C$1479+CROQUIS_DATOS!$C$1480))-(CROQUIS_DATOS!$C$1479))+((CROQUIS_DATOS!$C$1481)*CROQUIS_DATOS!$C$1561-(0)*CROQUIS_DATOS!$C$1561))/CROQUIS_DATOS!$C$1568-0.000001)),1,MOD($A24-1,2)),1-IF(INT(($A24-1)/2)+1&gt;MAX(1,INT(((((CROQUIS_DATOS!$C$1479+CROQUIS_DATOS!$C$1480))-(CROQUIS_DATOS!$C$1479))+((CROQUIS_DATOS!$C$1481)*CROQUIS_DATOS!$C$1561-(0)*CROQUIS_DATOS!$C$1561))/CROQUIS_DATOS!$C$1568-0.000001)),1,MOD($A24-1,2)))=1,MIN((CROQUIS_DATOS!$C$1481)*CROQUIS_DATOS!$C$1561,((CROQUIS_DATOS!$C$1479+CROQUIS_DATOS!$C$1480)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4">
        <f>IF(AND(CROQUIS_DATOS!$C$1472=1,CROQUIS_DATOS!$C$1478&gt;=1,((CROQUIS_DATOS!$C$1479+CROQUIS_DATOS!$C$1480))-(CROQUIS_DATOS!$C$1479)&gt;0.5,(CROQUIS_DATOS!$C$1476)-((CROQUIS_DATOS!$C$1481+CROQUIS_DATOS!$C$1482))&gt;0.5),(CROQUIS_DATOS!$C$1566+(IF(IF(MOD(MIN(INT(($A24-1)/2)+1,MAX(1,INT(((((CROQUIS_DATOS!$C$1479+CROQUIS_DATOS!$C$1480))-(CROQUIS_DATOS!$C$1479))+((CROQUIS_DATOS!$C$1476)*CROQUIS_DATOS!$C$1561-((CROQUIS_DATOS!$C$1481+CROQUIS_DATOS!$C$1482))*CROQUIS_DATOS!$C$1561))/CROQUIS_DATOS!$C$1568-0.000001))),2)=1,IF(INT(($A24-1)/2)+1&gt;MAX(1,INT(((((CROQUIS_DATOS!$C$1479+CROQUIS_DATOS!$C$1480))-(CROQUIS_DATOS!$C$1479))+((CROQUIS_DATOS!$C$1476)*CROQUIS_DATOS!$C$1561-((CROQUIS_DATOS!$C$1481+CROQUIS_DATOS!$C$1482))*CROQUIS_DATOS!$C$1561))/CROQUIS_DATOS!$C$1568-0.000001)),1,MOD($A24-1,2)),1-IF(INT(($A24-1)/2)+1&gt;MAX(1,INT(((((CROQUIS_DATOS!$C$1479+CROQUIS_DATOS!$C$1480))-(CROQUIS_DATOS!$C$1479))+((CROQUIS_DATOS!$C$1476)*CROQUIS_DATOS!$C$1561-((CROQUIS_DATOS!$C$1481+CROQUIS_DATOS!$C$1482))*CROQUIS_DATOS!$C$1561))/CROQUIS_DATOS!$C$1568-0.000001)),1,MOD($A24-1,2)))=1,MIN((CROQUIS_DATOS!$C$1476)*CROQUIS_DATOS!$C$1561,((CROQUIS_DATOS!$C$1479+CROQUIS_DATOS!$C$1480)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24">
        <f>IF(AND(CROQUIS_DATOS!$C$1472=1,CROQUIS_DATOS!$C$1478&gt;=1,((CROQUIS_DATOS!$C$1479+CROQUIS_DATOS!$C$1480))-(CROQUIS_DATOS!$C$1479)&gt;0.5,(CROQUIS_DATOS!$C$1476)-((CROQUIS_DATOS!$C$1481+CROQUIS_DATOS!$C$1482))&gt;0.5),(CROQUIS_DATOS!$C$1567+(IF(IF(MOD(MIN(INT(($A24-1)/2)+1,MAX(1,INT(((((CROQUIS_DATOS!$C$1479+CROQUIS_DATOS!$C$1480))-(CROQUIS_DATOS!$C$1479))+((CROQUIS_DATOS!$C$1476)*CROQUIS_DATOS!$C$1561-((CROQUIS_DATOS!$C$1481+CROQUIS_DATOS!$C$1482))*CROQUIS_DATOS!$C$1561))/CROQUIS_DATOS!$C$1568-0.000001))),2)=1,IF(INT(($A24-1)/2)+1&gt;MAX(1,INT(((((CROQUIS_DATOS!$C$1479+CROQUIS_DATOS!$C$1480))-(CROQUIS_DATOS!$C$1479))+((CROQUIS_DATOS!$C$1476)*CROQUIS_DATOS!$C$1561-((CROQUIS_DATOS!$C$1481+CROQUIS_DATOS!$C$1482))*CROQUIS_DATOS!$C$1561))/CROQUIS_DATOS!$C$1568-0.000001)),1,MOD($A24-1,2)),1-IF(INT(($A24-1)/2)+1&gt;MAX(1,INT(((((CROQUIS_DATOS!$C$1479+CROQUIS_DATOS!$C$1480))-(CROQUIS_DATOS!$C$1479))+((CROQUIS_DATOS!$C$1476)*CROQUIS_DATOS!$C$1561-((CROQUIS_DATOS!$C$1481+CROQUIS_DATOS!$C$1482))*CROQUIS_DATOS!$C$1561))/CROQUIS_DATOS!$C$1568-0.000001)),1,MOD($A24-1,2)))=1,MIN((CROQUIS_DATOS!$C$1476)*CROQUIS_DATOS!$C$1561,((CROQUIS_DATOS!$C$1479+CROQUIS_DATOS!$C$1480)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4">
        <f>IF(AND(CROQUIS_DATOS!$C$1472=1,CROQUIS_DATOS!$C$1478&gt;=2,((CROQUIS_DATOS!$C$1484+CROQUIS_DATOS!$C$1485))-(CROQUIS_DATOS!$C$1484)&gt;0.5,(CROQUIS_DATOS!$C$1486)-(0)&gt;0.5),(CROQUIS_DATOS!$C$1566+(IF(IF(MOD(MIN(INT(($A24-1)/2)+1,MAX(1,INT(((((CROQUIS_DATOS!$C$1484+CROQUIS_DATOS!$C$1485))-(CROQUIS_DATOS!$C$1484))+((CROQUIS_DATOS!$C$1486)*CROQUIS_DATOS!$C$1561-(0)*CROQUIS_DATOS!$C$1561))/CROQUIS_DATOS!$C$1568-0.000001))),2)=1,IF(INT(($A24-1)/2)+1&gt;MAX(1,INT(((((CROQUIS_DATOS!$C$1484+CROQUIS_DATOS!$C$1485))-(CROQUIS_DATOS!$C$1484))+((CROQUIS_DATOS!$C$1486)*CROQUIS_DATOS!$C$1561-(0)*CROQUIS_DATOS!$C$1561))/CROQUIS_DATOS!$C$1568-0.000001)),1,MOD($A24-1,2)),1-IF(INT(($A24-1)/2)+1&gt;MAX(1,INT(((((CROQUIS_DATOS!$C$1484+CROQUIS_DATOS!$C$1485))-(CROQUIS_DATOS!$C$1484))+((CROQUIS_DATOS!$C$1486)*CROQUIS_DATOS!$C$1561-(0)*CROQUIS_DATOS!$C$1561))/CROQUIS_DATOS!$C$1568-0.000001)),1,MOD($A24-1,2)))=1,MIN((CROQUIS_DATOS!$C$1486)*CROQUIS_DATOS!$C$1561,((CROQUIS_DATOS!$C$1484+CROQUIS_DATOS!$C$1485)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*CROQUIS_DATOS!$C$1565),-1000)</f>
        <v>53.6413793103448</v>
      </c>
      <c r="CS24">
        <f>IF(AND(CROQUIS_DATOS!$C$1472=1,CROQUIS_DATOS!$C$1478&gt;=2,((CROQUIS_DATOS!$C$1484+CROQUIS_DATOS!$C$1485))-(CROQUIS_DATOS!$C$1484)&gt;0.5,(CROQUIS_DATOS!$C$1486)-(0)&gt;0.5),(CROQUIS_DATOS!$C$1567+(IF(IF(MOD(MIN(INT(($A24-1)/2)+1,MAX(1,INT(((((CROQUIS_DATOS!$C$1484+CROQUIS_DATOS!$C$1485))-(CROQUIS_DATOS!$C$1484))+((CROQUIS_DATOS!$C$1486)*CROQUIS_DATOS!$C$1561-(0)*CROQUIS_DATOS!$C$1561))/CROQUIS_DATOS!$C$1568-0.000001))),2)=1,IF(INT(($A24-1)/2)+1&gt;MAX(1,INT(((((CROQUIS_DATOS!$C$1484+CROQUIS_DATOS!$C$1485))-(CROQUIS_DATOS!$C$1484))+((CROQUIS_DATOS!$C$1486)*CROQUIS_DATOS!$C$1561-(0)*CROQUIS_DATOS!$C$1561))/CROQUIS_DATOS!$C$1568-0.000001)),1,MOD($A24-1,2)),1-IF(INT(($A24-1)/2)+1&gt;MAX(1,INT(((((CROQUIS_DATOS!$C$1484+CROQUIS_DATOS!$C$1485))-(CROQUIS_DATOS!$C$1484))+((CROQUIS_DATOS!$C$1486)*CROQUIS_DATOS!$C$1561-(0)*CROQUIS_DATOS!$C$1561))/CROQUIS_DATOS!$C$1568-0.000001)),1,MOD($A24-1,2)))=1,MIN((CROQUIS_DATOS!$C$1486)*CROQUIS_DATOS!$C$1561,((CROQUIS_DATOS!$C$1484+CROQUIS_DATOS!$C$1485)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24">
        <f>IF(AND(CROQUIS_DATOS!$C$1472=1,CROQUIS_DATOS!$C$1478&gt;=2,((CROQUIS_DATOS!$C$1484+CROQUIS_DATOS!$C$1485))-(CROQUIS_DATOS!$C$1484)&gt;0.5,(CROQUIS_DATOS!$C$1476)-((CROQUIS_DATOS!$C$1486+CROQUIS_DATOS!$C$1487))&gt;0.5),(CROQUIS_DATOS!$C$1566+(IF(IF(MOD(MIN(INT(($A24-1)/2)+1,MAX(1,INT(((((CROQUIS_DATOS!$C$1484+CROQUIS_DATOS!$C$1485))-(CROQUIS_DATOS!$C$1484))+((CROQUIS_DATOS!$C$1476)*CROQUIS_DATOS!$C$1561-((CROQUIS_DATOS!$C$1486+CROQUIS_DATOS!$C$1487))*CROQUIS_DATOS!$C$1561))/CROQUIS_DATOS!$C$1568-0.000001))),2)=1,IF(INT(($A24-1)/2)+1&gt;MAX(1,INT(((((CROQUIS_DATOS!$C$1484+CROQUIS_DATOS!$C$1485))-(CROQUIS_DATOS!$C$1484))+((CROQUIS_DATOS!$C$1476)*CROQUIS_DATOS!$C$1561-((CROQUIS_DATOS!$C$1486+CROQUIS_DATOS!$C$1487))*CROQUIS_DATOS!$C$1561))/CROQUIS_DATOS!$C$1568-0.000001)),1,MOD($A24-1,2)),1-IF(INT(($A24-1)/2)+1&gt;MAX(1,INT(((((CROQUIS_DATOS!$C$1484+CROQUIS_DATOS!$C$1485))-(CROQUIS_DATOS!$C$1484))+((CROQUIS_DATOS!$C$1476)*CROQUIS_DATOS!$C$1561-((CROQUIS_DATOS!$C$1486+CROQUIS_DATOS!$C$1487))*CROQUIS_DATOS!$C$1561))/CROQUIS_DATOS!$C$1568-0.000001)),1,MOD($A24-1,2)))=1,MIN((CROQUIS_DATOS!$C$1476)*CROQUIS_DATOS!$C$1561,((CROQUIS_DATOS!$C$1484+CROQUIS_DATOS!$C$1485)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58.9862068965517</v>
      </c>
      <c r="CU24">
        <f>IF(AND(CROQUIS_DATOS!$C$1472=1,CROQUIS_DATOS!$C$1478&gt;=2,((CROQUIS_DATOS!$C$1484+CROQUIS_DATOS!$C$1485))-(CROQUIS_DATOS!$C$1484)&gt;0.5,(CROQUIS_DATOS!$C$1476)-((CROQUIS_DATOS!$C$1486+CROQUIS_DATOS!$C$1487))&gt;0.5),(CROQUIS_DATOS!$C$1567+(IF(IF(MOD(MIN(INT(($A24-1)/2)+1,MAX(1,INT(((((CROQUIS_DATOS!$C$1484+CROQUIS_DATOS!$C$1485))-(CROQUIS_DATOS!$C$1484))+((CROQUIS_DATOS!$C$1476)*CROQUIS_DATOS!$C$1561-((CROQUIS_DATOS!$C$1486+CROQUIS_DATOS!$C$1487))*CROQUIS_DATOS!$C$1561))/CROQUIS_DATOS!$C$1568-0.000001))),2)=1,IF(INT(($A24-1)/2)+1&gt;MAX(1,INT(((((CROQUIS_DATOS!$C$1484+CROQUIS_DATOS!$C$1485))-(CROQUIS_DATOS!$C$1484))+((CROQUIS_DATOS!$C$1476)*CROQUIS_DATOS!$C$1561-((CROQUIS_DATOS!$C$1486+CROQUIS_DATOS!$C$1487))*CROQUIS_DATOS!$C$1561))/CROQUIS_DATOS!$C$1568-0.000001)),1,MOD($A24-1,2)),1-IF(INT(($A24-1)/2)+1&gt;MAX(1,INT(((((CROQUIS_DATOS!$C$1484+CROQUIS_DATOS!$C$1485))-(CROQUIS_DATOS!$C$1484))+((CROQUIS_DATOS!$C$1476)*CROQUIS_DATOS!$C$1561-((CROQUIS_DATOS!$C$1486+CROQUIS_DATOS!$C$1487))*CROQUIS_DATOS!$C$1561))/CROQUIS_DATOS!$C$1568-0.000001)),1,MOD($A24-1,2)))=1,MIN((CROQUIS_DATOS!$C$1476)*CROQUIS_DATOS!$C$1561,((CROQUIS_DATOS!$C$1484+CROQUIS_DATOS!$C$1485)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24">
        <f>IF(AND(CROQUIS_DATOS!$C$1472=1,CROQUIS_DATOS!$C$1478&gt;=3,((CROQUIS_DATOS!$C$1489+CROQUIS_DATOS!$C$1490))-(CROQUIS_DATOS!$C$1489)&gt;0.5,(CROQUIS_DATOS!$C$1491)-(0)&gt;0.5),(CROQUIS_DATOS!$C$1566+(IF(IF(MOD(MIN(INT(($A24-1)/2)+1,MAX(1,INT(((((CROQUIS_DATOS!$C$1489+CROQUIS_DATOS!$C$1490))-(CROQUIS_DATOS!$C$1489))+((CROQUIS_DATOS!$C$1491)*CROQUIS_DATOS!$C$1561-(0)*CROQUIS_DATOS!$C$1561))/CROQUIS_DATOS!$C$1568-0.000001))),2)=1,IF(INT(($A24-1)/2)+1&gt;MAX(1,INT(((((CROQUIS_DATOS!$C$1489+CROQUIS_DATOS!$C$1490))-(CROQUIS_DATOS!$C$1489))+((CROQUIS_DATOS!$C$1491)*CROQUIS_DATOS!$C$1561-(0)*CROQUIS_DATOS!$C$1561))/CROQUIS_DATOS!$C$1568-0.000001)),1,MOD($A24-1,2)),1-IF(INT(($A24-1)/2)+1&gt;MAX(1,INT(((((CROQUIS_DATOS!$C$1489+CROQUIS_DATOS!$C$1490))-(CROQUIS_DATOS!$C$1489))+((CROQUIS_DATOS!$C$1491)*CROQUIS_DATOS!$C$1561-(0)*CROQUIS_DATOS!$C$1561))/CROQUIS_DATOS!$C$1568-0.000001)),1,MOD($A24-1,2)))=1,MIN((CROQUIS_DATOS!$C$1491)*CROQUIS_DATOS!$C$1561,((CROQUIS_DATOS!$C$1489+CROQUIS_DATOS!$C$1490)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4">
        <f>IF(AND(CROQUIS_DATOS!$C$1472=1,CROQUIS_DATOS!$C$1478&gt;=3,((CROQUIS_DATOS!$C$1489+CROQUIS_DATOS!$C$1490))-(CROQUIS_DATOS!$C$1489)&gt;0.5,(CROQUIS_DATOS!$C$1491)-(0)&gt;0.5),(CROQUIS_DATOS!$C$1567+(IF(IF(MOD(MIN(INT(($A24-1)/2)+1,MAX(1,INT(((((CROQUIS_DATOS!$C$1489+CROQUIS_DATOS!$C$1490))-(CROQUIS_DATOS!$C$1489))+((CROQUIS_DATOS!$C$1491)*CROQUIS_DATOS!$C$1561-(0)*CROQUIS_DATOS!$C$1561))/CROQUIS_DATOS!$C$1568-0.000001))),2)=1,IF(INT(($A24-1)/2)+1&gt;MAX(1,INT(((((CROQUIS_DATOS!$C$1489+CROQUIS_DATOS!$C$1490))-(CROQUIS_DATOS!$C$1489))+((CROQUIS_DATOS!$C$1491)*CROQUIS_DATOS!$C$1561-(0)*CROQUIS_DATOS!$C$1561))/CROQUIS_DATOS!$C$1568-0.000001)),1,MOD($A24-1,2)),1-IF(INT(($A24-1)/2)+1&gt;MAX(1,INT(((((CROQUIS_DATOS!$C$1489+CROQUIS_DATOS!$C$1490))-(CROQUIS_DATOS!$C$1489))+((CROQUIS_DATOS!$C$1491)*CROQUIS_DATOS!$C$1561-(0)*CROQUIS_DATOS!$C$1561))/CROQUIS_DATOS!$C$1568-0.000001)),1,MOD($A24-1,2)))=1,MIN((CROQUIS_DATOS!$C$1491)*CROQUIS_DATOS!$C$1561,((CROQUIS_DATOS!$C$1489+CROQUIS_DATOS!$C$1490)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4">
        <f>IF(AND(CROQUIS_DATOS!$C$1472=1,CROQUIS_DATOS!$C$1478&gt;=3,((CROQUIS_DATOS!$C$1489+CROQUIS_DATOS!$C$1490))-(CROQUIS_DATOS!$C$1489)&gt;0.5,(CROQUIS_DATOS!$C$1476)-((CROQUIS_DATOS!$C$1491+CROQUIS_DATOS!$C$1492))&gt;0.5),(CROQUIS_DATOS!$C$1566+(IF(IF(MOD(MIN(INT(($A24-1)/2)+1,MAX(1,INT(((((CROQUIS_DATOS!$C$1489+CROQUIS_DATOS!$C$1490))-(CROQUIS_DATOS!$C$1489))+((CROQUIS_DATOS!$C$1476)*CROQUIS_DATOS!$C$1561-((CROQUIS_DATOS!$C$1491+CROQUIS_DATOS!$C$1492))*CROQUIS_DATOS!$C$1561))/CROQUIS_DATOS!$C$1568-0.000001))),2)=1,IF(INT(($A24-1)/2)+1&gt;MAX(1,INT(((((CROQUIS_DATOS!$C$1489+CROQUIS_DATOS!$C$1490))-(CROQUIS_DATOS!$C$1489))+((CROQUIS_DATOS!$C$1476)*CROQUIS_DATOS!$C$1561-((CROQUIS_DATOS!$C$1491+CROQUIS_DATOS!$C$1492))*CROQUIS_DATOS!$C$1561))/CROQUIS_DATOS!$C$1568-0.000001)),1,MOD($A24-1,2)),1-IF(INT(($A24-1)/2)+1&gt;MAX(1,INT(((((CROQUIS_DATOS!$C$1489+CROQUIS_DATOS!$C$1490))-(CROQUIS_DATOS!$C$1489))+((CROQUIS_DATOS!$C$1476)*CROQUIS_DATOS!$C$1561-((CROQUIS_DATOS!$C$1491+CROQUIS_DATOS!$C$1492))*CROQUIS_DATOS!$C$1561))/CROQUIS_DATOS!$C$1568-0.000001)),1,MOD($A24-1,2)))=1,MIN((CROQUIS_DATOS!$C$1476)*CROQUIS_DATOS!$C$1561,((CROQUIS_DATOS!$C$1489+CROQUIS_DATOS!$C$1490)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4">
        <f>IF(AND(CROQUIS_DATOS!$C$1472=1,CROQUIS_DATOS!$C$1478&gt;=3,((CROQUIS_DATOS!$C$1489+CROQUIS_DATOS!$C$1490))-(CROQUIS_DATOS!$C$1489)&gt;0.5,(CROQUIS_DATOS!$C$1476)-((CROQUIS_DATOS!$C$1491+CROQUIS_DATOS!$C$1492))&gt;0.5),(CROQUIS_DATOS!$C$1567+(IF(IF(MOD(MIN(INT(($A24-1)/2)+1,MAX(1,INT(((((CROQUIS_DATOS!$C$1489+CROQUIS_DATOS!$C$1490))-(CROQUIS_DATOS!$C$1489))+((CROQUIS_DATOS!$C$1476)*CROQUIS_DATOS!$C$1561-((CROQUIS_DATOS!$C$1491+CROQUIS_DATOS!$C$1492))*CROQUIS_DATOS!$C$1561))/CROQUIS_DATOS!$C$1568-0.000001))),2)=1,IF(INT(($A24-1)/2)+1&gt;MAX(1,INT(((((CROQUIS_DATOS!$C$1489+CROQUIS_DATOS!$C$1490))-(CROQUIS_DATOS!$C$1489))+((CROQUIS_DATOS!$C$1476)*CROQUIS_DATOS!$C$1561-((CROQUIS_DATOS!$C$1491+CROQUIS_DATOS!$C$1492))*CROQUIS_DATOS!$C$1561))/CROQUIS_DATOS!$C$1568-0.000001)),1,MOD($A24-1,2)),1-IF(INT(($A24-1)/2)+1&gt;MAX(1,INT(((((CROQUIS_DATOS!$C$1489+CROQUIS_DATOS!$C$1490))-(CROQUIS_DATOS!$C$1489))+((CROQUIS_DATOS!$C$1476)*CROQUIS_DATOS!$C$1561-((CROQUIS_DATOS!$C$1491+CROQUIS_DATOS!$C$1492))*CROQUIS_DATOS!$C$1561))/CROQUIS_DATOS!$C$1568-0.000001)),1,MOD($A24-1,2)))=1,MIN((CROQUIS_DATOS!$C$1476)*CROQUIS_DATOS!$C$1561,((CROQUIS_DATOS!$C$1489+CROQUIS_DATOS!$C$1490)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4">
        <f>IF(AND(CROQUIS_DATOS!$C$1472=1,CROQUIS_DATOS!$C$1478&gt;=4,((CROQUIS_DATOS!$C$1494+CROQUIS_DATOS!$C$1495))-(CROQUIS_DATOS!$C$1494)&gt;0.5,(CROQUIS_DATOS!$C$1496)-(0)&gt;0.5),(CROQUIS_DATOS!$C$1566+(IF(IF(MOD(MIN(INT(($A24-1)/2)+1,MAX(1,INT(((((CROQUIS_DATOS!$C$1494+CROQUIS_DATOS!$C$1495))-(CROQUIS_DATOS!$C$1494))+((CROQUIS_DATOS!$C$1496)*CROQUIS_DATOS!$C$1561-(0)*CROQUIS_DATOS!$C$1561))/CROQUIS_DATOS!$C$1568-0.000001))),2)=1,IF(INT(($A24-1)/2)+1&gt;MAX(1,INT(((((CROQUIS_DATOS!$C$1494+CROQUIS_DATOS!$C$1495))-(CROQUIS_DATOS!$C$1494))+((CROQUIS_DATOS!$C$1496)*CROQUIS_DATOS!$C$1561-(0)*CROQUIS_DATOS!$C$1561))/CROQUIS_DATOS!$C$1568-0.000001)),1,MOD($A24-1,2)),1-IF(INT(($A24-1)/2)+1&gt;MAX(1,INT(((((CROQUIS_DATOS!$C$1494+CROQUIS_DATOS!$C$1495))-(CROQUIS_DATOS!$C$1494))+((CROQUIS_DATOS!$C$1496)*CROQUIS_DATOS!$C$1561-(0)*CROQUIS_DATOS!$C$1561))/CROQUIS_DATOS!$C$1568-0.000001)),1,MOD($A24-1,2)))=1,MIN((CROQUIS_DATOS!$C$1496)*CROQUIS_DATOS!$C$1561,((CROQUIS_DATOS!$C$1494+CROQUIS_DATOS!$C$1495)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4">
        <f>IF(AND(CROQUIS_DATOS!$C$1472=1,CROQUIS_DATOS!$C$1478&gt;=4,((CROQUIS_DATOS!$C$1494+CROQUIS_DATOS!$C$1495))-(CROQUIS_DATOS!$C$1494)&gt;0.5,(CROQUIS_DATOS!$C$1496)-(0)&gt;0.5),(CROQUIS_DATOS!$C$1567+(IF(IF(MOD(MIN(INT(($A24-1)/2)+1,MAX(1,INT(((((CROQUIS_DATOS!$C$1494+CROQUIS_DATOS!$C$1495))-(CROQUIS_DATOS!$C$1494))+((CROQUIS_DATOS!$C$1496)*CROQUIS_DATOS!$C$1561-(0)*CROQUIS_DATOS!$C$1561))/CROQUIS_DATOS!$C$1568-0.000001))),2)=1,IF(INT(($A24-1)/2)+1&gt;MAX(1,INT(((((CROQUIS_DATOS!$C$1494+CROQUIS_DATOS!$C$1495))-(CROQUIS_DATOS!$C$1494))+((CROQUIS_DATOS!$C$1496)*CROQUIS_DATOS!$C$1561-(0)*CROQUIS_DATOS!$C$1561))/CROQUIS_DATOS!$C$1568-0.000001)),1,MOD($A24-1,2)),1-IF(INT(($A24-1)/2)+1&gt;MAX(1,INT(((((CROQUIS_DATOS!$C$1494+CROQUIS_DATOS!$C$1495))-(CROQUIS_DATOS!$C$1494))+((CROQUIS_DATOS!$C$1496)*CROQUIS_DATOS!$C$1561-(0)*CROQUIS_DATOS!$C$1561))/CROQUIS_DATOS!$C$1568-0.000001)),1,MOD($A24-1,2)))=1,MIN((CROQUIS_DATOS!$C$1496)*CROQUIS_DATOS!$C$1561,((CROQUIS_DATOS!$C$1494+CROQUIS_DATOS!$C$1495)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4">
        <f>IF(AND(CROQUIS_DATOS!$C$1472=1,CROQUIS_DATOS!$C$1478&gt;=4,((CROQUIS_DATOS!$C$1494+CROQUIS_DATOS!$C$1495))-(CROQUIS_DATOS!$C$1494)&gt;0.5,(CROQUIS_DATOS!$C$1476)-((CROQUIS_DATOS!$C$1496+CROQUIS_DATOS!$C$1497))&gt;0.5),(CROQUIS_DATOS!$C$1566+(IF(IF(MOD(MIN(INT(($A24-1)/2)+1,MAX(1,INT(((((CROQUIS_DATOS!$C$1494+CROQUIS_DATOS!$C$1495))-(CROQUIS_DATOS!$C$1494))+((CROQUIS_DATOS!$C$1476)*CROQUIS_DATOS!$C$1561-((CROQUIS_DATOS!$C$1496+CROQUIS_DATOS!$C$1497))*CROQUIS_DATOS!$C$1561))/CROQUIS_DATOS!$C$1568-0.000001))),2)=1,IF(INT(($A24-1)/2)+1&gt;MAX(1,INT(((((CROQUIS_DATOS!$C$1494+CROQUIS_DATOS!$C$1495))-(CROQUIS_DATOS!$C$1494))+((CROQUIS_DATOS!$C$1476)*CROQUIS_DATOS!$C$1561-((CROQUIS_DATOS!$C$1496+CROQUIS_DATOS!$C$1497))*CROQUIS_DATOS!$C$1561))/CROQUIS_DATOS!$C$1568-0.000001)),1,MOD($A24-1,2)),1-IF(INT(($A24-1)/2)+1&gt;MAX(1,INT(((((CROQUIS_DATOS!$C$1494+CROQUIS_DATOS!$C$1495))-(CROQUIS_DATOS!$C$1494))+((CROQUIS_DATOS!$C$1476)*CROQUIS_DATOS!$C$1561-((CROQUIS_DATOS!$C$1496+CROQUIS_DATOS!$C$1497))*CROQUIS_DATOS!$C$1561))/CROQUIS_DATOS!$C$1568-0.000001)),1,MOD($A24-1,2)))=1,MIN((CROQUIS_DATOS!$C$1476)*CROQUIS_DATOS!$C$1561,((CROQUIS_DATOS!$C$1494+CROQUIS_DATOS!$C$1495)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4">
        <f>IF(AND(CROQUIS_DATOS!$C$1472=1,CROQUIS_DATOS!$C$1478&gt;=4,((CROQUIS_DATOS!$C$1494+CROQUIS_DATOS!$C$1495))-(CROQUIS_DATOS!$C$1494)&gt;0.5,(CROQUIS_DATOS!$C$1476)-((CROQUIS_DATOS!$C$1496+CROQUIS_DATOS!$C$1497))&gt;0.5),(CROQUIS_DATOS!$C$1567+(IF(IF(MOD(MIN(INT(($A24-1)/2)+1,MAX(1,INT(((((CROQUIS_DATOS!$C$1494+CROQUIS_DATOS!$C$1495))-(CROQUIS_DATOS!$C$1494))+((CROQUIS_DATOS!$C$1476)*CROQUIS_DATOS!$C$1561-((CROQUIS_DATOS!$C$1496+CROQUIS_DATOS!$C$1497))*CROQUIS_DATOS!$C$1561))/CROQUIS_DATOS!$C$1568-0.000001))),2)=1,IF(INT(($A24-1)/2)+1&gt;MAX(1,INT(((((CROQUIS_DATOS!$C$1494+CROQUIS_DATOS!$C$1495))-(CROQUIS_DATOS!$C$1494))+((CROQUIS_DATOS!$C$1476)*CROQUIS_DATOS!$C$1561-((CROQUIS_DATOS!$C$1496+CROQUIS_DATOS!$C$1497))*CROQUIS_DATOS!$C$1561))/CROQUIS_DATOS!$C$1568-0.000001)),1,MOD($A24-1,2)),1-IF(INT(($A24-1)/2)+1&gt;MAX(1,INT(((((CROQUIS_DATOS!$C$1494+CROQUIS_DATOS!$C$1495))-(CROQUIS_DATOS!$C$1494))+((CROQUIS_DATOS!$C$1476)*CROQUIS_DATOS!$C$1561-((CROQUIS_DATOS!$C$1496+CROQUIS_DATOS!$C$1497))*CROQUIS_DATOS!$C$1561))/CROQUIS_DATOS!$C$1568-0.000001)),1,MOD($A24-1,2)))=1,MIN((CROQUIS_DATOS!$C$1476)*CROQUIS_DATOS!$C$1561,((CROQUIS_DATOS!$C$1494+CROQUIS_DATOS!$C$1495)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4">
        <f>IF(AND(CROQUIS_DATOS!$C$1472=1,1),(CROQUIS_DATOS!$C$1571+(CHOOSE(MIN(MAX(IF(INT(($A24-1)/5)+1&gt;CROQUIS_DATOS!$C$1525,5,MOD($A24-1,5)+1),1),5),(INDEX($E$8:$E$23,MIN(INT(($A24-1)/5)+1,CROQUIS_DATOS!$C$1525))-INDEX($F$8:$F$23,MIN(INT(($A24-1)/5)+1,CROQUIS_DATOS!$C$1525))/2),(INDEX($E$8:$E$23,MIN(INT(($A24-1)/5)+1,CROQUIS_DATOS!$C$1525))+INDEX($F$8:$F$23,MIN(INT(($A24-1)/5)+1,CROQUIS_DATOS!$C$1525))/2),(INDEX($E$8:$E$23,MIN(INT(($A24-1)/5)+1,CROQUIS_DATOS!$C$1525))+INDEX($F$8:$F$23,MIN(INT(($A24-1)/5)+1,CROQUIS_DATOS!$C$1525))/2),(INDEX($E$8:$E$23,MIN(INT(($A24-1)/5)+1,CROQUIS_DATOS!$C$1525))-INDEX($F$8:$F$23,MIN(INT(($A24-1)/5)+1,CROQUIS_DATOS!$C$1525))/2),(INDEX($E$8:$E$23,MIN(INT(($A24-1)/5)+1,CROQUIS_DATOS!$C$1525))-INDEX($F$8:$F$23,MIN(INT(($A24-1)/5)+1,CROQUIS_DATOS!$C$1525))/2)))*CROQUIS_DATOS!$C$1569),-1000)</f>
        <v>48.32</v>
      </c>
      <c r="GE24">
        <f>IF(AND(CROQUIS_DATOS!$C$1472=1,1),(CROQUIS_DATOS!$C$1572+(CHOOSE(MIN(MAX(IF(INT(($A24-1)/5)+1&gt;CROQUIS_DATOS!$C$1525,5,MOD($A24-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4">
        <f>IF(AND(CROQUIS_DATOS!$C$1472=1,1),IF(INT(($A24-1)/4)+1&lt;=CROQUIS_DATOS!$C$1525,(CROQUIS_DATOS!$C$1571+((INDEX($E$8:$E$23,MIN(INT(($A24-1)/4)+1,16))+IF(OR(MOD($A24-1,4)=0,MOD($A24-1,4)=3),-1,1)*(INDEX($F$8:$F$23,MIN(INT(($A24-1)/4)+1,16))/2-(CROQUIS_DATOS!$C$1530+CROQUIS_DATOS!$C$1532+IF(OR(INT(($A24-1)/4)+1=1,INT(($A24-1)/4)+1=CROQUIS_DATOS!$C$1525),CROQUIS_DATOS!$C$1534,CROQUIS_DATOS!$C$1531)/2))))*CROQUIS_DATOS!$C$1569),-1000),-1000)</f>
        <v>76.492516</v>
      </c>
      <c r="GG24">
        <f>IF(AND(CROQUIS_DATOS!$C$1472=1,1),IF(INT(($A24-1)/4)+1&lt;=CROQUIS_DATOS!$C$1525,(CROQUIS_DATOS!$C$1572+((CROQUIS_DATOS!$C$1477/2+IF(MOD($A24-1,4)&lt;2,-1,1)*(CROQUIS_DATOS!$C$1527/2-(CROQUIS_DATOS!$C$1530+CROQUIS_DATOS!$C$1532+IF(OR(INT(($A24-1)/4)+1=1,INT(($A24-1)/4)+1=CROQUIS_DATOS!$C$1525),CROQUIS_DATOS!$C$1534,CROQUIS_DATOS!$C$1531)/2))))*CROQUIS_DATOS!$C$1569*CROQUIS_DATOS!$C$1570),-1000),-1000)</f>
        <v>10.43345</v>
      </c>
    </row>
    <row r="25">
      <c r="A25" t="n">
        <v>18</v>
      </c>
      <c r="H25">
        <f>IF(18&lt;=CROQUIS_DATOS!$C$1539,18*CROQUIS_DATOS!$C$1536,IF(18&lt;=CROQUIS_DATOS!$C$1539+CROQUIS_DATOS!$C$1540,CROQUIS_DATOS!$C$1539*CROQUIS_DATOS!$C$1536+(18-CROQUIS_DATOS!$C$1539)*(CROQUIS_DATOS!$C$1476-2*CROQUIS_DATOS!$C$1539*CROQUIS_DATOS!$C$1536)/(CROQUIS_DATOS!$C$1540+1),CROQUIS_DATOS!$C$1476-(2*CROQUIS_DATOS!$C$1539+CROQUIS_DATOS!$C$1540+1-18)*CROQUIS_DATOS!$C$1536))</f>
        <v>242.5</v>
      </c>
      <c r="J25">
        <f>IF(AND(CROQUIS_DATOS!$C$1472=1,1),(CROQUIS_DATOS!$C$1563+(CHOOSE(MIN(MAX(IF(INT(($A25-1)/4)+1&gt;CROQUIS_DATOS!$C$1525,4,MOD($A25-1,4)+1),1),4),(INDEX($E$8:$E$23,MIN(INT(($A25-1)/4)+1,CROQUIS_DATOS!$C$1525))-INDEX($F$8:$F$23,MIN(INT(($A25-1)/4)+1,CROQUIS_DATOS!$C$1525))/2),(INDEX($E$8:$E$23,MIN(INT(($A25-1)/4)+1,CROQUIS_DATOS!$C$1525))-INDEX($F$8:$F$23,MIN(INT(($A25-1)/4)+1,CROQUIS_DATOS!$C$1525))/2),(INDEX($E$8:$E$23,MIN(INT(($A25-1)/4)+1,CROQUIS_DATOS!$C$1525))+INDEX($F$8:$F$23,MIN(INT(($A25-1)/4)+1,CROQUIS_DATOS!$C$1525))/2),(INDEX($E$8:$E$23,MIN(INT(($A25-1)/4)+1,CROQUIS_DATOS!$C$1525))+INDEX($F$8:$F$23,MIN(INT(($A25-1)/4)+1,CROQUIS_DATOS!$C$1525))/2)))*CROQUIS_DATOS!$C$1562),-1000)</f>
        <v>68.1551724137931</v>
      </c>
      <c r="K25">
        <f>IF(AND(CROQUIS_DATOS!$C$1472=1,1),(CROQUIS_DATOS!$C$1564+(CHOOSE(MIN(MAX(IF(INT(($A25-1)/4)+1&gt;CROQUIS_DATOS!$C$1525,4,MOD($A25-1,4)+1),1),4),0,CROQUIS_DATOS!$C$1476,CROQUIS_DATOS!$C$1476,0))*CROQUIS_DATOS!$C$1561*CROQUIS_DATOS!$C$1562),-1000)</f>
        <v>40.2068965517241</v>
      </c>
      <c r="L25">
        <f>IF(AND(CROQUIS_DATOS!$C$1472=1,1),(CROQUIS_DATOS!$C$1563+(CHOOSE(MIN(MAX(IF(INT(($A25-1)/4)+1&gt;CROQUIS_DATOS!$C$1525,4,MOD($A25-1,4)+1),1),4),((INDEX($E$8:$E$23,MIN(INT(($A25-1)/4)+1,CROQUIS_DATOS!$C$1525))-INDEX($F$8:$F$23,MIN(INT(($A25-1)/4)+1,CROQUIS_DATOS!$C$1525))/2)+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,((INDEX($E$8:$E$23,MIN(INT(($A25-1)/4)+1,CROQUIS_DATOS!$C$1525))-INDEX($F$8:$F$23,MIN(INT(($A25-1)/4)+1,CROQUIS_DATOS!$C$1525))/2)+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,((INDEX($E$8:$E$23,MIN(INT(($A25-1)/4)+1,CROQUIS_DATOS!$C$1525))+INDEX($F$8:$F$23,MIN(INT(($A25-1)/4)+1,CROQUIS_DATOS!$C$1525))/2)-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,((INDEX($E$8:$E$23,MIN(INT(($A25-1)/4)+1,CROQUIS_DATOS!$C$1525))+INDEX($F$8:$F$23,MIN(INT(($A25-1)/4)+1,CROQUIS_DATOS!$C$1525))/2)-MIN((CROQUIS_DATOS!$C$1530+CROQUIS_DATOS!$C$1532+IF(OR(MIN(INT(($A25-1)/4)+1,CROQUIS_DATOS!$C$1525)=1,MIN(INT(($A25-1)/4)+1,CROQUIS_DATOS!$C$1525)=CROQUIS_DATOS!$C$1525),CROQUIS_DATOS!$C$1534,CROQUIS_DATOS!$C$1531)/2),INDEX($F$8:$F$23,MIN(INT(($A25-1)/4)+1,CROQUIS_DATOS!$C$1525))/2-0.5))))*CROQUIS_DATOS!$C$1562),-1000)</f>
        <v>68.5897094827586</v>
      </c>
      <c r="M25">
        <f>IF(AND(CROQUIS_DATOS!$C$1472=1,1),(CROQUIS_DATOS!$C$1564+(CHOOSE(MIN(MAX(IF(INT(($A25-1)/4)+1&gt;CROQUIS_DATOS!$C$1525,4,MOD($A25-1,4)+1),1),4),CROQUIS_DATOS!$C$1543,INDEX($I$8:$I$23,MIN(INT(($A25-1)/4)+1,CROQUIS_DATOS!$C$1525)),INDEX($I$8:$I$23,MIN(INT(($A25-1)/4)+1,CROQUIS_DATOS!$C$1525)),CROQUIS_DATOS!$C$1543))*CROQUIS_DATOS!$C$1561*CROQUIS_DATOS!$C$1562),-1000)</f>
        <v>2.93453706896552</v>
      </c>
      <c r="N25">
        <f>IF(AND(CROQUIS_DATOS!$C$1472=1,1),(CROQUIS_DATOS!$C$1563+(IF(IF(IF(INT(($A25-1)/70)+1&gt;CROQUIS_DATOS!$C$1525,70,MOD($A25-1,70)+1)=1,0,IF(IF(INT(($A25-1)/70)+1&gt;CROQUIS_DATOS!$C$1525,70,MOD($A25-1,70)+1)&gt;2*CROQUIS_DATOS!$C$1541+1,IF(MOD(CROQUIS_DATOS!$C$1541,2)=1,1,0),IF(MOD(MIN(INT((IF(INT(($A25-1)/70)+1&gt;CROQUIS_DATOS!$C$1525,70,MOD($A25-1,70)+1)-2)/2)+1,CROQUIS_DATOS!$C$1541),2)=1,IF(MOD(IF(INT(($A25-1)/70)+1&gt;CROQUIS_DATOS!$C$1525,70,MOD($A25-1,70)+1)-2,2)=0,0,1),IF(MOD(IF(INT(($A25-1)/70)+1&gt;CROQUIS_DATOS!$C$1525,70,MOD($A25-1,70)+1)-2,2)=0,1,0))))=0,(INDEX($E$8:$E$23,MIN(INT(($A25-1)/70)+1,CROQUIS_DATOS!$C$1525))-INDEX($F$8:$F$23,MIN(INT(($A25-1)/70)+1,CROQUIS_DATOS!$C$1525))/2),(INDEX($E$8:$E$23,MIN(INT(($A25-1)/70)+1,CROQUIS_DATOS!$C$1525))+INDEX($F$8:$F$23,MIN(INT(($A25-1)/70)+1,CROQUIS_DATOS!$C$1525))/2)))*CROQUIS_DATOS!$C$1562),-1000)</f>
        <v>15.0862068965517</v>
      </c>
      <c r="O25">
        <f>IF(AND(CROQUIS_DATOS!$C$1472=1,1),(CROQUIS_DATOS!$C$1564+(IF(OR(IF(INT(($A25-1)/70)+1&gt;CROQUIS_DATOS!$C$1525,70,MOD($A25-1,70)+1)=1,IF(INT(($A25-1)/70)+1&gt;CROQUIS_DATOS!$C$1525,70,MOD($A25-1,70)+1)&gt;2*CROQUIS_DATOS!$C$1541+1),CROQUIS_DATOS!$C$1476,INDEX($H$8:$H$41,MIN(INT((IF(INT(($A25-1)/70)+1&gt;CROQUIS_DATOS!$C$1525,70,MOD($A25-1,70)+1)-2)/2)+1,CROQUIS_DATOS!$C$1541))))*CROQUIS_DATOS!$C$1561*CROQUIS_DATOS!$C$1562),-1000)</f>
        <v>21.3922413793103</v>
      </c>
      <c r="P25">
        <f>IF(AND(CROQUIS_DATOS!$C$1472=1,CROQUIS_DATOS!$C$1555=1),(CROQUIS_DATOS!$C$1563+(IF(IF(OR(MOD($A25-1,62)+1=1,IF(CHOOSE(MIN(MAX(MIN(INT(($A25-1)/62)+1,5),1),5),CROQUIS_DATOS!$C$1501,CROQUIS_DATOS!$C$1505,CROQUIS_DATOS!$C$1509,CROQUIS_DATOS!$C$1513,CROQUIS_DATOS!$C$1517)=1,CROQUIS_DATOS!$C$1557,0)=0),0,IF(MOD($A25-1,62)+1&gt;2*IF(CHOOSE(MIN(MAX(MIN(INT(($A25-1)/62)+1,5),1),5),CROQUIS_DATOS!$C$1501,CROQUIS_DATOS!$C$1505,CROQUIS_DATOS!$C$1509,CROQUIS_DATOS!$C$1513,CROQUIS_DATOS!$C$1517)=1,CROQUIS_DATOS!$C$1557,0)+1,IF(MOD(IF(CHOOSE(MIN(MAX(MIN(INT(($A25-1)/62)+1,5),1),5),CROQUIS_DATOS!$C$1501,CROQUIS_DATOS!$C$1505,CROQUIS_DATOS!$C$1509,CROQUIS_DATOS!$C$1513,CROQUIS_DATOS!$C$1517)=1,CROQUIS_DATOS!$C$1557,0),2)=1,1,0),IF(MOD(MIN(INT((MOD($A25-1,62)+1-2)/2)+1,MAX(IF(CHOOSE(MIN(MAX(MIN(INT(($A25-1)/62)+1,5),1),5),CROQUIS_DATOS!$C$1501,CROQUIS_DATOS!$C$1505,CROQUIS_DATOS!$C$1509,CROQUIS_DATOS!$C$1513,CROQUIS_DATOS!$C$1517)=1,CROQUIS_DATOS!$C$1557,0),1)),2)=1,IF(MOD(MOD($A25-1,62)+1-2,2)=0,0,1),IF(MOD(MOD($A25-1,62)+1-2,2)=0,1,0))))=0,(CHOOSE(MIN(MAX(MIN(INT(($A25-1)/62)+1,5),1),5),CROQUIS_DATOS!$C$1499,CROQUIS_DATOS!$C$1503,CROQUIS_DATOS!$C$1507,CROQUIS_DATOS!$C$1511,CROQUIS_DATOS!$C$1515)+IF(CHOOSE(MIN(MAX(MIN(INT(($A25-1)/62)+1,5),1),5),CROQUIS_DATOS!$C$1501,CROQUIS_DATOS!$C$1505,CROQUIS_DATOS!$C$1509,CROQUIS_DATOS!$C$1513,CROQUIS_DATOS!$C$1517)=1,CROQUIS_DATOS!$C$1526,0)),(CHOOSE(MIN(MAX(MIN(INT(($A25-1)/62)+1,5),1),5),CROQUIS_DATOS!$C$1499,CROQUIS_DATOS!$C$1503,CROQUIS_DATOS!$C$1507,CROQUIS_DATOS!$C$1511,CROQUIS_DATOS!$C$1515)+CHOOSE(MIN(MAX(MIN(INT(($A25-1)/62)+1,5),1),5),CROQUIS_DATOS!$C$1500,CROQUIS_DATOS!$C$1504,CROQUIS_DATOS!$C$1508,CROQUIS_DATOS!$C$1512,CROQUIS_DATOS!$C$1516)-IF(CHOOSE(MIN(MAX(MIN(INT(($A25-1)/62)+1,5),1),5),CROQUIS_DATOS!$C$1501,CROQUIS_DATOS!$C$1505,CROQUIS_DATOS!$C$1509,CROQUIS_DATOS!$C$1513,CROQUIS_DATOS!$C$1517)=1,CROQUIS_DATOS!$C$1526,0))))*CROQUIS_DATOS!$C$1562),-1000)</f>
        <v>-1000</v>
      </c>
      <c r="Q25">
        <f>IF(AND(CROQUIS_DATOS!$C$1472=1,CROQUIS_DATOS!$C$1555=1),(CROQUIS_DATOS!$C$1564+(IF(OR(OR(MOD($A25-1,62)+1=1,IF(CHOOSE(MIN(MAX(MIN(INT(($A25-1)/62)+1,5),1),5),CROQUIS_DATOS!$C$1501,CROQUIS_DATOS!$C$1505,CROQUIS_DATOS!$C$1509,CROQUIS_DATOS!$C$1513,CROQUIS_DATOS!$C$1517)=1,CROQUIS_DATOS!$C$1557,0)=0),MOD($A25-1,62)+1&gt;2*IF(CHOOSE(MIN(MAX(MIN(INT(($A25-1)/62)+1,5),1),5),CROQUIS_DATOS!$C$1501,CROQUIS_DATOS!$C$1505,CROQUIS_DATOS!$C$1509,CROQUIS_DATOS!$C$1513,CROQUIS_DATOS!$C$1517)=1,CROQUIS_DATOS!$C$1557,0)+1),CROQUIS_DATOS!$C$1476,MIN(INT((MOD($A25-1,62)+1-2)/2)+1,MAX(IF(CHOOSE(MIN(MAX(MIN(INT(($A25-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">
        <f>IF(AND(CROQUIS_DATOS!$C$1472=1,1),(CROQUIS_DATOS!$C$1563+(MIN(INT(($A25-1)/2)+1,CROQUIS_DATOS!$C$1558)*CROQUIS_DATOS!$C$1559)*CROQUIS_DATOS!$C$1562),-1000)</f>
        <v>39.2572944297082</v>
      </c>
      <c r="U25">
        <f>IF(AND(CROQUIS_DATOS!$C$1472=1,1),(CROQUIS_DATOS!$C$1564+(IF(INT(($A25-1)/2)+1&gt;CROQUIS_DATOS!$C$1558,IF(MOD(CROQUIS_DATOS!$C$1558,2)=1,CROQUIS_DATOS!$C$1476+CROQUIS_DATOS!$C$1528,CROQUIS_DATOS!$C$1476),IF(IF(MOD(MIN(INT(($A25-1)/2)+1,CROQUIS_DATOS!$C$1558),2)=1,MOD($A25-1,2),1-MOD($A25-1,2))=1,CROQUIS_DATOS!$C$1476+CROQUIS_DATOS!$C$1528,CROQUIS_DATOS!$C$1476)))*CROQUIS_DATOS!$C$1561*CROQUIS_DATOS!$C$1562),-1000)</f>
        <v>43</v>
      </c>
      <c r="BZ25">
        <f>IF(AND(CROQUIS_DATOS!$C$1472=1,CROQUIS_DATOS!$C$1500&gt;0,((CROQUIS_DATOS!$C$1499+CROQUIS_DATOS!$C$1500))-(CROQUIS_DATOS!$C$1499)&gt;0.5,(CROQUIS_DATOS!$C$1476)-(0)&gt;0.5),(CROQUIS_DATOS!$C$1566+(IF(IF(MOD(MIN(INT(($A25-1)/2)+1,MAX(1,INT(((((CROQUIS_DATOS!$C$1499+CROQUIS_DATOS!$C$1500))-(CROQUIS_DATOS!$C$1499))+((CROQUIS_DATOS!$C$1476)*CROQUIS_DATOS!$C$1561-(0)*CROQUIS_DATOS!$C$1561))/CROQUIS_DATOS!$C$1568-0.000001))),2)=1,IF(INT(($A25-1)/2)+1&gt;MAX(1,INT(((((CROQUIS_DATOS!$C$1499+CROQUIS_DATOS!$C$1500))-(CROQUIS_DATOS!$C$1499))+((CROQUIS_DATOS!$C$1476)*CROQUIS_DATOS!$C$1561-(0)*CROQUIS_DATOS!$C$1561))/CROQUIS_DATOS!$C$1568-0.000001)),1,MOD($A25-1,2)),1-IF(INT(($A25-1)/2)+1&gt;MAX(1,INT(((((CROQUIS_DATOS!$C$1499+CROQUIS_DATOS!$C$1500))-(CROQUIS_DATOS!$C$1499))+((CROQUIS_DATOS!$C$1476)*CROQUIS_DATOS!$C$1561-(0)*CROQUIS_DATOS!$C$1561))/CROQUIS_DATOS!$C$1568-0.000001)),1,MOD($A25-1,2)))=1,MIN((CROQUIS_DATOS!$C$1476)*CROQUIS_DATOS!$C$1561,((CROQUIS_DATOS!$C$1499+CROQUIS_DATOS!$C$1500)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25">
        <f>IF(AND(CROQUIS_DATOS!$C$1472=1,CROQUIS_DATOS!$C$1500&gt;0,((CROQUIS_DATOS!$C$1499+CROQUIS_DATOS!$C$1500))-(CROQUIS_DATOS!$C$1499)&gt;0.5,(CROQUIS_DATOS!$C$1476)-(0)&gt;0.5),(CROQUIS_DATOS!$C$1567+(IF(IF(MOD(MIN(INT(($A25-1)/2)+1,MAX(1,INT(((((CROQUIS_DATOS!$C$1499+CROQUIS_DATOS!$C$1500))-(CROQUIS_DATOS!$C$1499))+((CROQUIS_DATOS!$C$1476)*CROQUIS_DATOS!$C$1561-(0)*CROQUIS_DATOS!$C$1561))/CROQUIS_DATOS!$C$1568-0.000001))),2)=1,IF(INT(($A25-1)/2)+1&gt;MAX(1,INT(((((CROQUIS_DATOS!$C$1499+CROQUIS_DATOS!$C$1500))-(CROQUIS_DATOS!$C$1499))+((CROQUIS_DATOS!$C$1476)*CROQUIS_DATOS!$C$1561-(0)*CROQUIS_DATOS!$C$1561))/CROQUIS_DATOS!$C$1568-0.000001)),1,MOD($A25-1,2)),1-IF(INT(($A25-1)/2)+1&gt;MAX(1,INT(((((CROQUIS_DATOS!$C$1499+CROQUIS_DATOS!$C$1500))-(CROQUIS_DATOS!$C$1499))+((CROQUIS_DATOS!$C$1476)*CROQUIS_DATOS!$C$1561-(0)*CROQUIS_DATOS!$C$1561))/CROQUIS_DATOS!$C$1568-0.000001)),1,MOD($A25-1,2)))=1,MIN((CROQUIS_DATOS!$C$1476)*CROQUIS_DATOS!$C$1561,((CROQUIS_DATOS!$C$1499+CROQUIS_DATOS!$C$1500)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25-1)/2)+1,MAX(1,INT(((((CROQUIS_DATOS!$C$1499+CROQUIS_DATOS!$C$1500))-(CROQUIS_DATOS!$C$1499))+((CROQUIS_DATOS!$C$1476)*CROQUIS_DATOS!$C$1561-(0)*CROQUIS_DATOS!$C$1561))/CROQUIS_DATOS!$C$1568-0.000001)))*CROQUIS_DATOS!$C$1568))))*CROQUIS_DATOS!$C$1565),-1000)</f>
        <v>28.7379310344828</v>
      </c>
      <c r="CB25">
        <f>IF(AND(CROQUIS_DATOS!$C$1472=1,CROQUIS_DATOS!$C$1504&gt;0,((CROQUIS_DATOS!$C$1503+CROQUIS_DATOS!$C$1504))-(CROQUIS_DATOS!$C$1503)&gt;0.5,(CROQUIS_DATOS!$C$1476)-(0)&gt;0.5),(CROQUIS_DATOS!$C$1566+(IF(IF(MOD(MIN(INT(($A25-1)/2)+1,MAX(1,INT(((((CROQUIS_DATOS!$C$1503+CROQUIS_DATOS!$C$1504))-(CROQUIS_DATOS!$C$1503))+((CROQUIS_DATOS!$C$1476)*CROQUIS_DATOS!$C$1561-(0)*CROQUIS_DATOS!$C$1561))/CROQUIS_DATOS!$C$1568-0.000001))),2)=1,IF(INT(($A25-1)/2)+1&gt;MAX(1,INT(((((CROQUIS_DATOS!$C$1503+CROQUIS_DATOS!$C$1504))-(CROQUIS_DATOS!$C$1503))+((CROQUIS_DATOS!$C$1476)*CROQUIS_DATOS!$C$1561-(0)*CROQUIS_DATOS!$C$1561))/CROQUIS_DATOS!$C$1568-0.000001)),1,MOD($A25-1,2)),1-IF(INT(($A25-1)/2)+1&gt;MAX(1,INT(((((CROQUIS_DATOS!$C$1503+CROQUIS_DATOS!$C$1504))-(CROQUIS_DATOS!$C$1503))+((CROQUIS_DATOS!$C$1476)*CROQUIS_DATOS!$C$1561-(0)*CROQUIS_DATOS!$C$1561))/CROQUIS_DATOS!$C$1568-0.000001)),1,MOD($A25-1,2)))=1,MIN((CROQUIS_DATOS!$C$1476)*CROQUIS_DATOS!$C$1561,((CROQUIS_DATOS!$C$1503+CROQUIS_DATOS!$C$1504)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25">
        <f>IF(AND(CROQUIS_DATOS!$C$1472=1,CROQUIS_DATOS!$C$1504&gt;0,((CROQUIS_DATOS!$C$1503+CROQUIS_DATOS!$C$1504))-(CROQUIS_DATOS!$C$1503)&gt;0.5,(CROQUIS_DATOS!$C$1476)-(0)&gt;0.5),(CROQUIS_DATOS!$C$1567+(IF(IF(MOD(MIN(INT(($A25-1)/2)+1,MAX(1,INT(((((CROQUIS_DATOS!$C$1503+CROQUIS_DATOS!$C$1504))-(CROQUIS_DATOS!$C$1503))+((CROQUIS_DATOS!$C$1476)*CROQUIS_DATOS!$C$1561-(0)*CROQUIS_DATOS!$C$1561))/CROQUIS_DATOS!$C$1568-0.000001))),2)=1,IF(INT(($A25-1)/2)+1&gt;MAX(1,INT(((((CROQUIS_DATOS!$C$1503+CROQUIS_DATOS!$C$1504))-(CROQUIS_DATOS!$C$1503))+((CROQUIS_DATOS!$C$1476)*CROQUIS_DATOS!$C$1561-(0)*CROQUIS_DATOS!$C$1561))/CROQUIS_DATOS!$C$1568-0.000001)),1,MOD($A25-1,2)),1-IF(INT(($A25-1)/2)+1&gt;MAX(1,INT(((((CROQUIS_DATOS!$C$1503+CROQUIS_DATOS!$C$1504))-(CROQUIS_DATOS!$C$1503))+((CROQUIS_DATOS!$C$1476)*CROQUIS_DATOS!$C$1561-(0)*CROQUIS_DATOS!$C$1561))/CROQUIS_DATOS!$C$1568-0.000001)),1,MOD($A25-1,2)))=1,MIN((CROQUIS_DATOS!$C$1476)*CROQUIS_DATOS!$C$1561,((CROQUIS_DATOS!$C$1503+CROQUIS_DATOS!$C$1504)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25-1)/2)+1,MAX(1,INT(((((CROQUIS_DATOS!$C$1503+CROQUIS_DATOS!$C$1504))-(CROQUIS_DATOS!$C$1503))+((CROQUIS_DATOS!$C$1476)*CROQUIS_DATOS!$C$1561-(0)*CROQUIS_DATOS!$C$1561))/CROQUIS_DATOS!$C$1568-0.000001)))*CROQUIS_DATOS!$C$1568))))*CROQUIS_DATOS!$C$1565),-1000)</f>
        <v>35.151724137931</v>
      </c>
      <c r="CD25">
        <f>IF(AND(CROQUIS_DATOS!$C$1472=1,CROQUIS_DATOS!$C$1508&gt;0,((CROQUIS_DATOS!$C$1507+CROQUIS_DATOS!$C$1508))-(CROQUIS_DATOS!$C$1507)&gt;0.5,(CROQUIS_DATOS!$C$1476)-(0)&gt;0.5),(CROQUIS_DATOS!$C$1566+(IF(IF(MOD(MIN(INT(($A25-1)/2)+1,MAX(1,INT(((((CROQUIS_DATOS!$C$1507+CROQUIS_DATOS!$C$1508))-(CROQUIS_DATOS!$C$1507))+((CROQUIS_DATOS!$C$1476)*CROQUIS_DATOS!$C$1561-(0)*CROQUIS_DATOS!$C$1561))/CROQUIS_DATOS!$C$1568-0.000001))),2)=1,IF(INT(($A25-1)/2)+1&gt;MAX(1,INT(((((CROQUIS_DATOS!$C$1507+CROQUIS_DATOS!$C$1508))-(CROQUIS_DATOS!$C$1507))+((CROQUIS_DATOS!$C$1476)*CROQUIS_DATOS!$C$1561-(0)*CROQUIS_DATOS!$C$1561))/CROQUIS_DATOS!$C$1568-0.000001)),1,MOD($A25-1,2)),1-IF(INT(($A25-1)/2)+1&gt;MAX(1,INT(((((CROQUIS_DATOS!$C$1507+CROQUIS_DATOS!$C$1508))-(CROQUIS_DATOS!$C$1507))+((CROQUIS_DATOS!$C$1476)*CROQUIS_DATOS!$C$1561-(0)*CROQUIS_DATOS!$C$1561))/CROQUIS_DATOS!$C$1568-0.000001)),1,MOD($A25-1,2)))=1,MIN((CROQUIS_DATOS!$C$1476)*CROQUIS_DATOS!$C$1561,((CROQUIS_DATOS!$C$1507+CROQUIS_DATOS!$C$1508)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25">
        <f>IF(AND(CROQUIS_DATOS!$C$1472=1,CROQUIS_DATOS!$C$1508&gt;0,((CROQUIS_DATOS!$C$1507+CROQUIS_DATOS!$C$1508))-(CROQUIS_DATOS!$C$1507)&gt;0.5,(CROQUIS_DATOS!$C$1476)-(0)&gt;0.5),(CROQUIS_DATOS!$C$1567+(IF(IF(MOD(MIN(INT(($A25-1)/2)+1,MAX(1,INT(((((CROQUIS_DATOS!$C$1507+CROQUIS_DATOS!$C$1508))-(CROQUIS_DATOS!$C$1507))+((CROQUIS_DATOS!$C$1476)*CROQUIS_DATOS!$C$1561-(0)*CROQUIS_DATOS!$C$1561))/CROQUIS_DATOS!$C$1568-0.000001))),2)=1,IF(INT(($A25-1)/2)+1&gt;MAX(1,INT(((((CROQUIS_DATOS!$C$1507+CROQUIS_DATOS!$C$1508))-(CROQUIS_DATOS!$C$1507))+((CROQUIS_DATOS!$C$1476)*CROQUIS_DATOS!$C$1561-(0)*CROQUIS_DATOS!$C$1561))/CROQUIS_DATOS!$C$1568-0.000001)),1,MOD($A25-1,2)),1-IF(INT(($A25-1)/2)+1&gt;MAX(1,INT(((((CROQUIS_DATOS!$C$1507+CROQUIS_DATOS!$C$1508))-(CROQUIS_DATOS!$C$1507))+((CROQUIS_DATOS!$C$1476)*CROQUIS_DATOS!$C$1561-(0)*CROQUIS_DATOS!$C$1561))/CROQUIS_DATOS!$C$1568-0.000001)),1,MOD($A25-1,2)))=1,MIN((CROQUIS_DATOS!$C$1476)*CROQUIS_DATOS!$C$1561,((CROQUIS_DATOS!$C$1507+CROQUIS_DATOS!$C$1508)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25-1)/2)+1,MAX(1,INT(((((CROQUIS_DATOS!$C$1507+CROQUIS_DATOS!$C$1508))-(CROQUIS_DATOS!$C$1507))+((CROQUIS_DATOS!$C$1476)*CROQUIS_DATOS!$C$1561-(0)*CROQUIS_DATOS!$C$1561))/CROQUIS_DATOS!$C$1568-0.000001)))*CROQUIS_DATOS!$C$1568))))*CROQUIS_DATOS!$C$1565),-1000)</f>
        <v>37.2896551724138</v>
      </c>
      <c r="CF25">
        <f>IF(AND(CROQUIS_DATOS!$C$1472=1,CROQUIS_DATOS!$C$1512&gt;0,((CROQUIS_DATOS!$C$1511+CROQUIS_DATOS!$C$1512))-(CROQUIS_DATOS!$C$1511)&gt;0.5,(CROQUIS_DATOS!$C$1476)-(0)&gt;0.5),(CROQUIS_DATOS!$C$1566+(IF(IF(MOD(MIN(INT(($A25-1)/2)+1,MAX(1,INT(((((CROQUIS_DATOS!$C$1511+CROQUIS_DATOS!$C$1512))-(CROQUIS_DATOS!$C$1511))+((CROQUIS_DATOS!$C$1476)*CROQUIS_DATOS!$C$1561-(0)*CROQUIS_DATOS!$C$1561))/CROQUIS_DATOS!$C$1568-0.000001))),2)=1,IF(INT(($A25-1)/2)+1&gt;MAX(1,INT(((((CROQUIS_DATOS!$C$1511+CROQUIS_DATOS!$C$1512))-(CROQUIS_DATOS!$C$1511))+((CROQUIS_DATOS!$C$1476)*CROQUIS_DATOS!$C$1561-(0)*CROQUIS_DATOS!$C$1561))/CROQUIS_DATOS!$C$1568-0.000001)),1,MOD($A25-1,2)),1-IF(INT(($A25-1)/2)+1&gt;MAX(1,INT(((((CROQUIS_DATOS!$C$1511+CROQUIS_DATOS!$C$1512))-(CROQUIS_DATOS!$C$1511))+((CROQUIS_DATOS!$C$1476)*CROQUIS_DATOS!$C$1561-(0)*CROQUIS_DATOS!$C$1561))/CROQUIS_DATOS!$C$1568-0.000001)),1,MOD($A25-1,2)))=1,MIN((CROQUIS_DATOS!$C$1476)*CROQUIS_DATOS!$C$1561,((CROQUIS_DATOS!$C$1511+CROQUIS_DATOS!$C$1512)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5">
        <f>IF(AND(CROQUIS_DATOS!$C$1472=1,CROQUIS_DATOS!$C$1512&gt;0,((CROQUIS_DATOS!$C$1511+CROQUIS_DATOS!$C$1512))-(CROQUIS_DATOS!$C$1511)&gt;0.5,(CROQUIS_DATOS!$C$1476)-(0)&gt;0.5),(CROQUIS_DATOS!$C$1567+(IF(IF(MOD(MIN(INT(($A25-1)/2)+1,MAX(1,INT(((((CROQUIS_DATOS!$C$1511+CROQUIS_DATOS!$C$1512))-(CROQUIS_DATOS!$C$1511))+((CROQUIS_DATOS!$C$1476)*CROQUIS_DATOS!$C$1561-(0)*CROQUIS_DATOS!$C$1561))/CROQUIS_DATOS!$C$1568-0.000001))),2)=1,IF(INT(($A25-1)/2)+1&gt;MAX(1,INT(((((CROQUIS_DATOS!$C$1511+CROQUIS_DATOS!$C$1512))-(CROQUIS_DATOS!$C$1511))+((CROQUIS_DATOS!$C$1476)*CROQUIS_DATOS!$C$1561-(0)*CROQUIS_DATOS!$C$1561))/CROQUIS_DATOS!$C$1568-0.000001)),1,MOD($A25-1,2)),1-IF(INT(($A25-1)/2)+1&gt;MAX(1,INT(((((CROQUIS_DATOS!$C$1511+CROQUIS_DATOS!$C$1512))-(CROQUIS_DATOS!$C$1511))+((CROQUIS_DATOS!$C$1476)*CROQUIS_DATOS!$C$1561-(0)*CROQUIS_DATOS!$C$1561))/CROQUIS_DATOS!$C$1568-0.000001)),1,MOD($A25-1,2)))=1,MIN((CROQUIS_DATOS!$C$1476)*CROQUIS_DATOS!$C$1561,((CROQUIS_DATOS!$C$1511+CROQUIS_DATOS!$C$1512)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5">
        <f>IF(AND(CROQUIS_DATOS!$C$1472=1,CROQUIS_DATOS!$C$1516&gt;0,((CROQUIS_DATOS!$C$1515+CROQUIS_DATOS!$C$1516))-(CROQUIS_DATOS!$C$1515)&gt;0.5,(CROQUIS_DATOS!$C$1476)-(0)&gt;0.5),(CROQUIS_DATOS!$C$1566+(IF(IF(MOD(MIN(INT(($A25-1)/2)+1,MAX(1,INT(((((CROQUIS_DATOS!$C$1515+CROQUIS_DATOS!$C$1516))-(CROQUIS_DATOS!$C$1515))+((CROQUIS_DATOS!$C$1476)*CROQUIS_DATOS!$C$1561-(0)*CROQUIS_DATOS!$C$1561))/CROQUIS_DATOS!$C$1568-0.000001))),2)=1,IF(INT(($A25-1)/2)+1&gt;MAX(1,INT(((((CROQUIS_DATOS!$C$1515+CROQUIS_DATOS!$C$1516))-(CROQUIS_DATOS!$C$1515))+((CROQUIS_DATOS!$C$1476)*CROQUIS_DATOS!$C$1561-(0)*CROQUIS_DATOS!$C$1561))/CROQUIS_DATOS!$C$1568-0.000001)),1,MOD($A25-1,2)),1-IF(INT(($A25-1)/2)+1&gt;MAX(1,INT(((((CROQUIS_DATOS!$C$1515+CROQUIS_DATOS!$C$1516))-(CROQUIS_DATOS!$C$1515))+((CROQUIS_DATOS!$C$1476)*CROQUIS_DATOS!$C$1561-(0)*CROQUIS_DATOS!$C$1561))/CROQUIS_DATOS!$C$1568-0.000001)),1,MOD($A25-1,2)))=1,MIN((CROQUIS_DATOS!$C$1476)*CROQUIS_DATOS!$C$1561,((CROQUIS_DATOS!$C$1515+CROQUIS_DATOS!$C$1516)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5">
        <f>IF(AND(CROQUIS_DATOS!$C$1472=1,CROQUIS_DATOS!$C$1516&gt;0,((CROQUIS_DATOS!$C$1515+CROQUIS_DATOS!$C$1516))-(CROQUIS_DATOS!$C$1515)&gt;0.5,(CROQUIS_DATOS!$C$1476)-(0)&gt;0.5),(CROQUIS_DATOS!$C$1567+(IF(IF(MOD(MIN(INT(($A25-1)/2)+1,MAX(1,INT(((((CROQUIS_DATOS!$C$1515+CROQUIS_DATOS!$C$1516))-(CROQUIS_DATOS!$C$1515))+((CROQUIS_DATOS!$C$1476)*CROQUIS_DATOS!$C$1561-(0)*CROQUIS_DATOS!$C$1561))/CROQUIS_DATOS!$C$1568-0.000001))),2)=1,IF(INT(($A25-1)/2)+1&gt;MAX(1,INT(((((CROQUIS_DATOS!$C$1515+CROQUIS_DATOS!$C$1516))-(CROQUIS_DATOS!$C$1515))+((CROQUIS_DATOS!$C$1476)*CROQUIS_DATOS!$C$1561-(0)*CROQUIS_DATOS!$C$1561))/CROQUIS_DATOS!$C$1568-0.000001)),1,MOD($A25-1,2)),1-IF(INT(($A25-1)/2)+1&gt;MAX(1,INT(((((CROQUIS_DATOS!$C$1515+CROQUIS_DATOS!$C$1516))-(CROQUIS_DATOS!$C$1515))+((CROQUIS_DATOS!$C$1476)*CROQUIS_DATOS!$C$1561-(0)*CROQUIS_DATOS!$C$1561))/CROQUIS_DATOS!$C$1568-0.000001)),1,MOD($A25-1,2)))=1,MIN((CROQUIS_DATOS!$C$1476)*CROQUIS_DATOS!$C$1561,((CROQUIS_DATOS!$C$1515+CROQUIS_DATOS!$C$1516)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5">
        <f>IF(AND(CROQUIS_DATOS!$C$1472=1,CROQUIS_DATOS!$C$1478&gt;=1,((CROQUIS_DATOS!$C$1479+CROQUIS_DATOS!$C$1480))-(CROQUIS_DATOS!$C$1479)&gt;0.5,(CROQUIS_DATOS!$C$1481)-(0)&gt;0.5),(CROQUIS_DATOS!$C$1566+(IF(IF(MOD(MIN(INT(($A25-1)/2)+1,MAX(1,INT(((((CROQUIS_DATOS!$C$1479+CROQUIS_DATOS!$C$1480))-(CROQUIS_DATOS!$C$1479))+((CROQUIS_DATOS!$C$1481)*CROQUIS_DATOS!$C$1561-(0)*CROQUIS_DATOS!$C$1561))/CROQUIS_DATOS!$C$1568-0.000001))),2)=1,IF(INT(($A25-1)/2)+1&gt;MAX(1,INT(((((CROQUIS_DATOS!$C$1479+CROQUIS_DATOS!$C$1480))-(CROQUIS_DATOS!$C$1479))+((CROQUIS_DATOS!$C$1481)*CROQUIS_DATOS!$C$1561-(0)*CROQUIS_DATOS!$C$1561))/CROQUIS_DATOS!$C$1568-0.000001)),1,MOD($A25-1,2)),1-IF(INT(($A25-1)/2)+1&gt;MAX(1,INT(((((CROQUIS_DATOS!$C$1479+CROQUIS_DATOS!$C$1480))-(CROQUIS_DATOS!$C$1479))+((CROQUIS_DATOS!$C$1481)*CROQUIS_DATOS!$C$1561-(0)*CROQUIS_DATOS!$C$1561))/CROQUIS_DATOS!$C$1568-0.000001)),1,MOD($A25-1,2)))=1,MIN((CROQUIS_DATOS!$C$1481)*CROQUIS_DATOS!$C$1561,((CROQUIS_DATOS!$C$1479+CROQUIS_DATOS!$C$1480)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5">
        <f>IF(AND(CROQUIS_DATOS!$C$1472=1,CROQUIS_DATOS!$C$1478&gt;=1,((CROQUIS_DATOS!$C$1479+CROQUIS_DATOS!$C$1480))-(CROQUIS_DATOS!$C$1479)&gt;0.5,(CROQUIS_DATOS!$C$1481)-(0)&gt;0.5),(CROQUIS_DATOS!$C$1567+(IF(IF(MOD(MIN(INT(($A25-1)/2)+1,MAX(1,INT(((((CROQUIS_DATOS!$C$1479+CROQUIS_DATOS!$C$1480))-(CROQUIS_DATOS!$C$1479))+((CROQUIS_DATOS!$C$1481)*CROQUIS_DATOS!$C$1561-(0)*CROQUIS_DATOS!$C$1561))/CROQUIS_DATOS!$C$1568-0.000001))),2)=1,IF(INT(($A25-1)/2)+1&gt;MAX(1,INT(((((CROQUIS_DATOS!$C$1479+CROQUIS_DATOS!$C$1480))-(CROQUIS_DATOS!$C$1479))+((CROQUIS_DATOS!$C$1481)*CROQUIS_DATOS!$C$1561-(0)*CROQUIS_DATOS!$C$1561))/CROQUIS_DATOS!$C$1568-0.000001)),1,MOD($A25-1,2)),1-IF(INT(($A25-1)/2)+1&gt;MAX(1,INT(((((CROQUIS_DATOS!$C$1479+CROQUIS_DATOS!$C$1480))-(CROQUIS_DATOS!$C$1479))+((CROQUIS_DATOS!$C$1481)*CROQUIS_DATOS!$C$1561-(0)*CROQUIS_DATOS!$C$1561))/CROQUIS_DATOS!$C$1568-0.000001)),1,MOD($A25-1,2)))=1,MIN((CROQUIS_DATOS!$C$1481)*CROQUIS_DATOS!$C$1561,((CROQUIS_DATOS!$C$1479+CROQUIS_DATOS!$C$1480)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5">
        <f>IF(AND(CROQUIS_DATOS!$C$1472=1,CROQUIS_DATOS!$C$1478&gt;=1,((CROQUIS_DATOS!$C$1479+CROQUIS_DATOS!$C$1480))-(CROQUIS_DATOS!$C$1479)&gt;0.5,(CROQUIS_DATOS!$C$1476)-((CROQUIS_DATOS!$C$1481+CROQUIS_DATOS!$C$1482))&gt;0.5),(CROQUIS_DATOS!$C$1566+(IF(IF(MOD(MIN(INT(($A25-1)/2)+1,MAX(1,INT(((((CROQUIS_DATOS!$C$1479+CROQUIS_DATOS!$C$1480))-(CROQUIS_DATOS!$C$1479))+((CROQUIS_DATOS!$C$1476)*CROQUIS_DATOS!$C$1561-((CROQUIS_DATOS!$C$1481+CROQUIS_DATOS!$C$1482))*CROQUIS_DATOS!$C$1561))/CROQUIS_DATOS!$C$1568-0.000001))),2)=1,IF(INT(($A25-1)/2)+1&gt;MAX(1,INT(((((CROQUIS_DATOS!$C$1479+CROQUIS_DATOS!$C$1480))-(CROQUIS_DATOS!$C$1479))+((CROQUIS_DATOS!$C$1476)*CROQUIS_DATOS!$C$1561-((CROQUIS_DATOS!$C$1481+CROQUIS_DATOS!$C$1482))*CROQUIS_DATOS!$C$1561))/CROQUIS_DATOS!$C$1568-0.000001)),1,MOD($A25-1,2)),1-IF(INT(($A25-1)/2)+1&gt;MAX(1,INT(((((CROQUIS_DATOS!$C$1479+CROQUIS_DATOS!$C$1480))-(CROQUIS_DATOS!$C$1479))+((CROQUIS_DATOS!$C$1476)*CROQUIS_DATOS!$C$1561-((CROQUIS_DATOS!$C$1481+CROQUIS_DATOS!$C$1482))*CROQUIS_DATOS!$C$1561))/CROQUIS_DATOS!$C$1568-0.000001)),1,MOD($A25-1,2)))=1,MIN((CROQUIS_DATOS!$C$1476)*CROQUIS_DATOS!$C$1561,((CROQUIS_DATOS!$C$1479+CROQUIS_DATOS!$C$1480)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25">
        <f>IF(AND(CROQUIS_DATOS!$C$1472=1,CROQUIS_DATOS!$C$1478&gt;=1,((CROQUIS_DATOS!$C$1479+CROQUIS_DATOS!$C$1480))-(CROQUIS_DATOS!$C$1479)&gt;0.5,(CROQUIS_DATOS!$C$1476)-((CROQUIS_DATOS!$C$1481+CROQUIS_DATOS!$C$1482))&gt;0.5),(CROQUIS_DATOS!$C$1567+(IF(IF(MOD(MIN(INT(($A25-1)/2)+1,MAX(1,INT(((((CROQUIS_DATOS!$C$1479+CROQUIS_DATOS!$C$1480))-(CROQUIS_DATOS!$C$1479))+((CROQUIS_DATOS!$C$1476)*CROQUIS_DATOS!$C$1561-((CROQUIS_DATOS!$C$1481+CROQUIS_DATOS!$C$1482))*CROQUIS_DATOS!$C$1561))/CROQUIS_DATOS!$C$1568-0.000001))),2)=1,IF(INT(($A25-1)/2)+1&gt;MAX(1,INT(((((CROQUIS_DATOS!$C$1479+CROQUIS_DATOS!$C$1480))-(CROQUIS_DATOS!$C$1479))+((CROQUIS_DATOS!$C$1476)*CROQUIS_DATOS!$C$1561-((CROQUIS_DATOS!$C$1481+CROQUIS_DATOS!$C$1482))*CROQUIS_DATOS!$C$1561))/CROQUIS_DATOS!$C$1568-0.000001)),1,MOD($A25-1,2)),1-IF(INT(($A25-1)/2)+1&gt;MAX(1,INT(((((CROQUIS_DATOS!$C$1479+CROQUIS_DATOS!$C$1480))-(CROQUIS_DATOS!$C$1479))+((CROQUIS_DATOS!$C$1476)*CROQUIS_DATOS!$C$1561-((CROQUIS_DATOS!$C$1481+CROQUIS_DATOS!$C$1482))*CROQUIS_DATOS!$C$1561))/CROQUIS_DATOS!$C$1568-0.000001)),1,MOD($A25-1,2)))=1,MIN((CROQUIS_DATOS!$C$1476)*CROQUIS_DATOS!$C$1561,((CROQUIS_DATOS!$C$1479+CROQUIS_DATOS!$C$1480)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5">
        <f>IF(AND(CROQUIS_DATOS!$C$1472=1,CROQUIS_DATOS!$C$1478&gt;=2,((CROQUIS_DATOS!$C$1484+CROQUIS_DATOS!$C$1485))-(CROQUIS_DATOS!$C$1484)&gt;0.5,(CROQUIS_DATOS!$C$1486)-(0)&gt;0.5),(CROQUIS_DATOS!$C$1566+(IF(IF(MOD(MIN(INT(($A25-1)/2)+1,MAX(1,INT(((((CROQUIS_DATOS!$C$1484+CROQUIS_DATOS!$C$1485))-(CROQUIS_DATOS!$C$1484))+((CROQUIS_DATOS!$C$1486)*CROQUIS_DATOS!$C$1561-(0)*CROQUIS_DATOS!$C$1561))/CROQUIS_DATOS!$C$1568-0.000001))),2)=1,IF(INT(($A25-1)/2)+1&gt;MAX(1,INT(((((CROQUIS_DATOS!$C$1484+CROQUIS_DATOS!$C$1485))-(CROQUIS_DATOS!$C$1484))+((CROQUIS_DATOS!$C$1486)*CROQUIS_DATOS!$C$1561-(0)*CROQUIS_DATOS!$C$1561))/CROQUIS_DATOS!$C$1568-0.000001)),1,MOD($A25-1,2)),1-IF(INT(($A25-1)/2)+1&gt;MAX(1,INT(((((CROQUIS_DATOS!$C$1484+CROQUIS_DATOS!$C$1485))-(CROQUIS_DATOS!$C$1484))+((CROQUIS_DATOS!$C$1486)*CROQUIS_DATOS!$C$1561-(0)*CROQUIS_DATOS!$C$1561))/CROQUIS_DATOS!$C$1568-0.000001)),1,MOD($A25-1,2)))=1,MIN((CROQUIS_DATOS!$C$1486)*CROQUIS_DATOS!$C$1561,((CROQUIS_DATOS!$C$1484+CROQUIS_DATOS!$C$1485)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*CROQUIS_DATOS!$C$1565),-1000)</f>
        <v>63.2620689655172</v>
      </c>
      <c r="CS25">
        <f>IF(AND(CROQUIS_DATOS!$C$1472=1,CROQUIS_DATOS!$C$1478&gt;=2,((CROQUIS_DATOS!$C$1484+CROQUIS_DATOS!$C$1485))-(CROQUIS_DATOS!$C$1484)&gt;0.5,(CROQUIS_DATOS!$C$1486)-(0)&gt;0.5),(CROQUIS_DATOS!$C$1567+(IF(IF(MOD(MIN(INT(($A25-1)/2)+1,MAX(1,INT(((((CROQUIS_DATOS!$C$1484+CROQUIS_DATOS!$C$1485))-(CROQUIS_DATOS!$C$1484))+((CROQUIS_DATOS!$C$1486)*CROQUIS_DATOS!$C$1561-(0)*CROQUIS_DATOS!$C$1561))/CROQUIS_DATOS!$C$1568-0.000001))),2)=1,IF(INT(($A25-1)/2)+1&gt;MAX(1,INT(((((CROQUIS_DATOS!$C$1484+CROQUIS_DATOS!$C$1485))-(CROQUIS_DATOS!$C$1484))+((CROQUIS_DATOS!$C$1486)*CROQUIS_DATOS!$C$1561-(0)*CROQUIS_DATOS!$C$1561))/CROQUIS_DATOS!$C$1568-0.000001)),1,MOD($A25-1,2)),1-IF(INT(($A25-1)/2)+1&gt;MAX(1,INT(((((CROQUIS_DATOS!$C$1484+CROQUIS_DATOS!$C$1485))-(CROQUIS_DATOS!$C$1484))+((CROQUIS_DATOS!$C$1486)*CROQUIS_DATOS!$C$1561-(0)*CROQUIS_DATOS!$C$1561))/CROQUIS_DATOS!$C$1568-0.000001)),1,MOD($A25-1,2)))=1,MIN((CROQUIS_DATOS!$C$1486)*CROQUIS_DATOS!$C$1561,((CROQUIS_DATOS!$C$1484+CROQUIS_DATOS!$C$1485)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25-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25">
        <f>IF(AND(CROQUIS_DATOS!$C$1472=1,CROQUIS_DATOS!$C$1478&gt;=2,((CROQUIS_DATOS!$C$1484+CROQUIS_DATOS!$C$1485))-(CROQUIS_DATOS!$C$1484)&gt;0.5,(CROQUIS_DATOS!$C$1476)-((CROQUIS_DATOS!$C$1486+CROQUIS_DATOS!$C$1487))&gt;0.5),(CROQUIS_DATOS!$C$1566+(IF(IF(MOD(MIN(INT(($A25-1)/2)+1,MAX(1,INT(((((CROQUIS_DATOS!$C$1484+CROQUIS_DATOS!$C$1485))-(CROQUIS_DATOS!$C$1484))+((CROQUIS_DATOS!$C$1476)*CROQUIS_DATOS!$C$1561-((CROQUIS_DATOS!$C$1486+CROQUIS_DATOS!$C$1487))*CROQUIS_DATOS!$C$1561))/CROQUIS_DATOS!$C$1568-0.000001))),2)=1,IF(INT(($A25-1)/2)+1&gt;MAX(1,INT(((((CROQUIS_DATOS!$C$1484+CROQUIS_DATOS!$C$1485))-(CROQUIS_DATOS!$C$1484))+((CROQUIS_DATOS!$C$1476)*CROQUIS_DATOS!$C$1561-((CROQUIS_DATOS!$C$1486+CROQUIS_DATOS!$C$1487))*CROQUIS_DATOS!$C$1561))/CROQUIS_DATOS!$C$1568-0.000001)),1,MOD($A25-1,2)),1-IF(INT(($A25-1)/2)+1&gt;MAX(1,INT(((((CROQUIS_DATOS!$C$1484+CROQUIS_DATOS!$C$1485))-(CROQUIS_DATOS!$C$1484))+((CROQUIS_DATOS!$C$1476)*CROQUIS_DATOS!$C$1561-((CROQUIS_DATOS!$C$1486+CROQUIS_DATOS!$C$1487))*CROQUIS_DATOS!$C$1561))/CROQUIS_DATOS!$C$1568-0.000001)),1,MOD($A25-1,2)))=1,MIN((CROQUIS_DATOS!$C$1476)*CROQUIS_DATOS!$C$1561,((CROQUIS_DATOS!$C$1484+CROQUIS_DATOS!$C$1485)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63.2620689655172</v>
      </c>
      <c r="CU25">
        <f>IF(AND(CROQUIS_DATOS!$C$1472=1,CROQUIS_DATOS!$C$1478&gt;=2,((CROQUIS_DATOS!$C$1484+CROQUIS_DATOS!$C$1485))-(CROQUIS_DATOS!$C$1484)&gt;0.5,(CROQUIS_DATOS!$C$1476)-((CROQUIS_DATOS!$C$1486+CROQUIS_DATOS!$C$1487))&gt;0.5),(CROQUIS_DATOS!$C$1567+(IF(IF(MOD(MIN(INT(($A25-1)/2)+1,MAX(1,INT(((((CROQUIS_DATOS!$C$1484+CROQUIS_DATOS!$C$1485))-(CROQUIS_DATOS!$C$1484))+((CROQUIS_DATOS!$C$1476)*CROQUIS_DATOS!$C$1561-((CROQUIS_DATOS!$C$1486+CROQUIS_DATOS!$C$1487))*CROQUIS_DATOS!$C$1561))/CROQUIS_DATOS!$C$1568-0.000001))),2)=1,IF(INT(($A25-1)/2)+1&gt;MAX(1,INT(((((CROQUIS_DATOS!$C$1484+CROQUIS_DATOS!$C$1485))-(CROQUIS_DATOS!$C$1484))+((CROQUIS_DATOS!$C$1476)*CROQUIS_DATOS!$C$1561-((CROQUIS_DATOS!$C$1486+CROQUIS_DATOS!$C$1487))*CROQUIS_DATOS!$C$1561))/CROQUIS_DATOS!$C$1568-0.000001)),1,MOD($A25-1,2)),1-IF(INT(($A25-1)/2)+1&gt;MAX(1,INT(((((CROQUIS_DATOS!$C$1484+CROQUIS_DATOS!$C$1485))-(CROQUIS_DATOS!$C$1484))+((CROQUIS_DATOS!$C$1476)*CROQUIS_DATOS!$C$1561-((CROQUIS_DATOS!$C$1486+CROQUIS_DATOS!$C$1487))*CROQUIS_DATOS!$C$1561))/CROQUIS_DATOS!$C$1568-0.000001)),1,MOD($A25-1,2)))=1,MIN((CROQUIS_DATOS!$C$1476)*CROQUIS_DATOS!$C$1561,((CROQUIS_DATOS!$C$1484+CROQUIS_DATOS!$C$1485)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25">
        <f>IF(AND(CROQUIS_DATOS!$C$1472=1,CROQUIS_DATOS!$C$1478&gt;=3,((CROQUIS_DATOS!$C$1489+CROQUIS_DATOS!$C$1490))-(CROQUIS_DATOS!$C$1489)&gt;0.5,(CROQUIS_DATOS!$C$1491)-(0)&gt;0.5),(CROQUIS_DATOS!$C$1566+(IF(IF(MOD(MIN(INT(($A25-1)/2)+1,MAX(1,INT(((((CROQUIS_DATOS!$C$1489+CROQUIS_DATOS!$C$1490))-(CROQUIS_DATOS!$C$1489))+((CROQUIS_DATOS!$C$1491)*CROQUIS_DATOS!$C$1561-(0)*CROQUIS_DATOS!$C$1561))/CROQUIS_DATOS!$C$1568-0.000001))),2)=1,IF(INT(($A25-1)/2)+1&gt;MAX(1,INT(((((CROQUIS_DATOS!$C$1489+CROQUIS_DATOS!$C$1490))-(CROQUIS_DATOS!$C$1489))+((CROQUIS_DATOS!$C$1491)*CROQUIS_DATOS!$C$1561-(0)*CROQUIS_DATOS!$C$1561))/CROQUIS_DATOS!$C$1568-0.000001)),1,MOD($A25-1,2)),1-IF(INT(($A25-1)/2)+1&gt;MAX(1,INT(((((CROQUIS_DATOS!$C$1489+CROQUIS_DATOS!$C$1490))-(CROQUIS_DATOS!$C$1489))+((CROQUIS_DATOS!$C$1491)*CROQUIS_DATOS!$C$1561-(0)*CROQUIS_DATOS!$C$1561))/CROQUIS_DATOS!$C$1568-0.000001)),1,MOD($A25-1,2)))=1,MIN((CROQUIS_DATOS!$C$1491)*CROQUIS_DATOS!$C$1561,((CROQUIS_DATOS!$C$1489+CROQUIS_DATOS!$C$1490)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5">
        <f>IF(AND(CROQUIS_DATOS!$C$1472=1,CROQUIS_DATOS!$C$1478&gt;=3,((CROQUIS_DATOS!$C$1489+CROQUIS_DATOS!$C$1490))-(CROQUIS_DATOS!$C$1489)&gt;0.5,(CROQUIS_DATOS!$C$1491)-(0)&gt;0.5),(CROQUIS_DATOS!$C$1567+(IF(IF(MOD(MIN(INT(($A25-1)/2)+1,MAX(1,INT(((((CROQUIS_DATOS!$C$1489+CROQUIS_DATOS!$C$1490))-(CROQUIS_DATOS!$C$1489))+((CROQUIS_DATOS!$C$1491)*CROQUIS_DATOS!$C$1561-(0)*CROQUIS_DATOS!$C$1561))/CROQUIS_DATOS!$C$1568-0.000001))),2)=1,IF(INT(($A25-1)/2)+1&gt;MAX(1,INT(((((CROQUIS_DATOS!$C$1489+CROQUIS_DATOS!$C$1490))-(CROQUIS_DATOS!$C$1489))+((CROQUIS_DATOS!$C$1491)*CROQUIS_DATOS!$C$1561-(0)*CROQUIS_DATOS!$C$1561))/CROQUIS_DATOS!$C$1568-0.000001)),1,MOD($A25-1,2)),1-IF(INT(($A25-1)/2)+1&gt;MAX(1,INT(((((CROQUIS_DATOS!$C$1489+CROQUIS_DATOS!$C$1490))-(CROQUIS_DATOS!$C$1489))+((CROQUIS_DATOS!$C$1491)*CROQUIS_DATOS!$C$1561-(0)*CROQUIS_DATOS!$C$1561))/CROQUIS_DATOS!$C$1568-0.000001)),1,MOD($A25-1,2)))=1,MIN((CROQUIS_DATOS!$C$1491)*CROQUIS_DATOS!$C$1561,((CROQUIS_DATOS!$C$1489+CROQUIS_DATOS!$C$1490)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5">
        <f>IF(AND(CROQUIS_DATOS!$C$1472=1,CROQUIS_DATOS!$C$1478&gt;=3,((CROQUIS_DATOS!$C$1489+CROQUIS_DATOS!$C$1490))-(CROQUIS_DATOS!$C$1489)&gt;0.5,(CROQUIS_DATOS!$C$1476)-((CROQUIS_DATOS!$C$1491+CROQUIS_DATOS!$C$1492))&gt;0.5),(CROQUIS_DATOS!$C$1566+(IF(IF(MOD(MIN(INT(($A25-1)/2)+1,MAX(1,INT(((((CROQUIS_DATOS!$C$1489+CROQUIS_DATOS!$C$1490))-(CROQUIS_DATOS!$C$1489))+((CROQUIS_DATOS!$C$1476)*CROQUIS_DATOS!$C$1561-((CROQUIS_DATOS!$C$1491+CROQUIS_DATOS!$C$1492))*CROQUIS_DATOS!$C$1561))/CROQUIS_DATOS!$C$1568-0.000001))),2)=1,IF(INT(($A25-1)/2)+1&gt;MAX(1,INT(((((CROQUIS_DATOS!$C$1489+CROQUIS_DATOS!$C$1490))-(CROQUIS_DATOS!$C$1489))+((CROQUIS_DATOS!$C$1476)*CROQUIS_DATOS!$C$1561-((CROQUIS_DATOS!$C$1491+CROQUIS_DATOS!$C$1492))*CROQUIS_DATOS!$C$1561))/CROQUIS_DATOS!$C$1568-0.000001)),1,MOD($A25-1,2)),1-IF(INT(($A25-1)/2)+1&gt;MAX(1,INT(((((CROQUIS_DATOS!$C$1489+CROQUIS_DATOS!$C$1490))-(CROQUIS_DATOS!$C$1489))+((CROQUIS_DATOS!$C$1476)*CROQUIS_DATOS!$C$1561-((CROQUIS_DATOS!$C$1491+CROQUIS_DATOS!$C$1492))*CROQUIS_DATOS!$C$1561))/CROQUIS_DATOS!$C$1568-0.000001)),1,MOD($A25-1,2)))=1,MIN((CROQUIS_DATOS!$C$1476)*CROQUIS_DATOS!$C$1561,((CROQUIS_DATOS!$C$1489+CROQUIS_DATOS!$C$1490)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5">
        <f>IF(AND(CROQUIS_DATOS!$C$1472=1,CROQUIS_DATOS!$C$1478&gt;=3,((CROQUIS_DATOS!$C$1489+CROQUIS_DATOS!$C$1490))-(CROQUIS_DATOS!$C$1489)&gt;0.5,(CROQUIS_DATOS!$C$1476)-((CROQUIS_DATOS!$C$1491+CROQUIS_DATOS!$C$1492))&gt;0.5),(CROQUIS_DATOS!$C$1567+(IF(IF(MOD(MIN(INT(($A25-1)/2)+1,MAX(1,INT(((((CROQUIS_DATOS!$C$1489+CROQUIS_DATOS!$C$1490))-(CROQUIS_DATOS!$C$1489))+((CROQUIS_DATOS!$C$1476)*CROQUIS_DATOS!$C$1561-((CROQUIS_DATOS!$C$1491+CROQUIS_DATOS!$C$1492))*CROQUIS_DATOS!$C$1561))/CROQUIS_DATOS!$C$1568-0.000001))),2)=1,IF(INT(($A25-1)/2)+1&gt;MAX(1,INT(((((CROQUIS_DATOS!$C$1489+CROQUIS_DATOS!$C$1490))-(CROQUIS_DATOS!$C$1489))+((CROQUIS_DATOS!$C$1476)*CROQUIS_DATOS!$C$1561-((CROQUIS_DATOS!$C$1491+CROQUIS_DATOS!$C$1492))*CROQUIS_DATOS!$C$1561))/CROQUIS_DATOS!$C$1568-0.000001)),1,MOD($A25-1,2)),1-IF(INT(($A25-1)/2)+1&gt;MAX(1,INT(((((CROQUIS_DATOS!$C$1489+CROQUIS_DATOS!$C$1490))-(CROQUIS_DATOS!$C$1489))+((CROQUIS_DATOS!$C$1476)*CROQUIS_DATOS!$C$1561-((CROQUIS_DATOS!$C$1491+CROQUIS_DATOS!$C$1492))*CROQUIS_DATOS!$C$1561))/CROQUIS_DATOS!$C$1568-0.000001)),1,MOD($A25-1,2)))=1,MIN((CROQUIS_DATOS!$C$1476)*CROQUIS_DATOS!$C$1561,((CROQUIS_DATOS!$C$1489+CROQUIS_DATOS!$C$1490)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5">
        <f>IF(AND(CROQUIS_DATOS!$C$1472=1,CROQUIS_DATOS!$C$1478&gt;=4,((CROQUIS_DATOS!$C$1494+CROQUIS_DATOS!$C$1495))-(CROQUIS_DATOS!$C$1494)&gt;0.5,(CROQUIS_DATOS!$C$1496)-(0)&gt;0.5),(CROQUIS_DATOS!$C$1566+(IF(IF(MOD(MIN(INT(($A25-1)/2)+1,MAX(1,INT(((((CROQUIS_DATOS!$C$1494+CROQUIS_DATOS!$C$1495))-(CROQUIS_DATOS!$C$1494))+((CROQUIS_DATOS!$C$1496)*CROQUIS_DATOS!$C$1561-(0)*CROQUIS_DATOS!$C$1561))/CROQUIS_DATOS!$C$1568-0.000001))),2)=1,IF(INT(($A25-1)/2)+1&gt;MAX(1,INT(((((CROQUIS_DATOS!$C$1494+CROQUIS_DATOS!$C$1495))-(CROQUIS_DATOS!$C$1494))+((CROQUIS_DATOS!$C$1496)*CROQUIS_DATOS!$C$1561-(0)*CROQUIS_DATOS!$C$1561))/CROQUIS_DATOS!$C$1568-0.000001)),1,MOD($A25-1,2)),1-IF(INT(($A25-1)/2)+1&gt;MAX(1,INT(((((CROQUIS_DATOS!$C$1494+CROQUIS_DATOS!$C$1495))-(CROQUIS_DATOS!$C$1494))+((CROQUIS_DATOS!$C$1496)*CROQUIS_DATOS!$C$1561-(0)*CROQUIS_DATOS!$C$1561))/CROQUIS_DATOS!$C$1568-0.000001)),1,MOD($A25-1,2)))=1,MIN((CROQUIS_DATOS!$C$1496)*CROQUIS_DATOS!$C$1561,((CROQUIS_DATOS!$C$1494+CROQUIS_DATOS!$C$1495)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5">
        <f>IF(AND(CROQUIS_DATOS!$C$1472=1,CROQUIS_DATOS!$C$1478&gt;=4,((CROQUIS_DATOS!$C$1494+CROQUIS_DATOS!$C$1495))-(CROQUIS_DATOS!$C$1494)&gt;0.5,(CROQUIS_DATOS!$C$1496)-(0)&gt;0.5),(CROQUIS_DATOS!$C$1567+(IF(IF(MOD(MIN(INT(($A25-1)/2)+1,MAX(1,INT(((((CROQUIS_DATOS!$C$1494+CROQUIS_DATOS!$C$1495))-(CROQUIS_DATOS!$C$1494))+((CROQUIS_DATOS!$C$1496)*CROQUIS_DATOS!$C$1561-(0)*CROQUIS_DATOS!$C$1561))/CROQUIS_DATOS!$C$1568-0.000001))),2)=1,IF(INT(($A25-1)/2)+1&gt;MAX(1,INT(((((CROQUIS_DATOS!$C$1494+CROQUIS_DATOS!$C$1495))-(CROQUIS_DATOS!$C$1494))+((CROQUIS_DATOS!$C$1496)*CROQUIS_DATOS!$C$1561-(0)*CROQUIS_DATOS!$C$1561))/CROQUIS_DATOS!$C$1568-0.000001)),1,MOD($A25-1,2)),1-IF(INT(($A25-1)/2)+1&gt;MAX(1,INT(((((CROQUIS_DATOS!$C$1494+CROQUIS_DATOS!$C$1495))-(CROQUIS_DATOS!$C$1494))+((CROQUIS_DATOS!$C$1496)*CROQUIS_DATOS!$C$1561-(0)*CROQUIS_DATOS!$C$1561))/CROQUIS_DATOS!$C$1568-0.000001)),1,MOD($A25-1,2)))=1,MIN((CROQUIS_DATOS!$C$1496)*CROQUIS_DATOS!$C$1561,((CROQUIS_DATOS!$C$1494+CROQUIS_DATOS!$C$1495)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5">
        <f>IF(AND(CROQUIS_DATOS!$C$1472=1,CROQUIS_DATOS!$C$1478&gt;=4,((CROQUIS_DATOS!$C$1494+CROQUIS_DATOS!$C$1495))-(CROQUIS_DATOS!$C$1494)&gt;0.5,(CROQUIS_DATOS!$C$1476)-((CROQUIS_DATOS!$C$1496+CROQUIS_DATOS!$C$1497))&gt;0.5),(CROQUIS_DATOS!$C$1566+(IF(IF(MOD(MIN(INT(($A25-1)/2)+1,MAX(1,INT(((((CROQUIS_DATOS!$C$1494+CROQUIS_DATOS!$C$1495))-(CROQUIS_DATOS!$C$1494))+((CROQUIS_DATOS!$C$1476)*CROQUIS_DATOS!$C$1561-((CROQUIS_DATOS!$C$1496+CROQUIS_DATOS!$C$1497))*CROQUIS_DATOS!$C$1561))/CROQUIS_DATOS!$C$1568-0.000001))),2)=1,IF(INT(($A25-1)/2)+1&gt;MAX(1,INT(((((CROQUIS_DATOS!$C$1494+CROQUIS_DATOS!$C$1495))-(CROQUIS_DATOS!$C$1494))+((CROQUIS_DATOS!$C$1476)*CROQUIS_DATOS!$C$1561-((CROQUIS_DATOS!$C$1496+CROQUIS_DATOS!$C$1497))*CROQUIS_DATOS!$C$1561))/CROQUIS_DATOS!$C$1568-0.000001)),1,MOD($A25-1,2)),1-IF(INT(($A25-1)/2)+1&gt;MAX(1,INT(((((CROQUIS_DATOS!$C$1494+CROQUIS_DATOS!$C$1495))-(CROQUIS_DATOS!$C$1494))+((CROQUIS_DATOS!$C$1476)*CROQUIS_DATOS!$C$1561-((CROQUIS_DATOS!$C$1496+CROQUIS_DATOS!$C$1497))*CROQUIS_DATOS!$C$1561))/CROQUIS_DATOS!$C$1568-0.000001)),1,MOD($A25-1,2)))=1,MIN((CROQUIS_DATOS!$C$1476)*CROQUIS_DATOS!$C$1561,((CROQUIS_DATOS!$C$1494+CROQUIS_DATOS!$C$1495)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5">
        <f>IF(AND(CROQUIS_DATOS!$C$1472=1,CROQUIS_DATOS!$C$1478&gt;=4,((CROQUIS_DATOS!$C$1494+CROQUIS_DATOS!$C$1495))-(CROQUIS_DATOS!$C$1494)&gt;0.5,(CROQUIS_DATOS!$C$1476)-((CROQUIS_DATOS!$C$1496+CROQUIS_DATOS!$C$1497))&gt;0.5),(CROQUIS_DATOS!$C$1567+(IF(IF(MOD(MIN(INT(($A25-1)/2)+1,MAX(1,INT(((((CROQUIS_DATOS!$C$1494+CROQUIS_DATOS!$C$1495))-(CROQUIS_DATOS!$C$1494))+((CROQUIS_DATOS!$C$1476)*CROQUIS_DATOS!$C$1561-((CROQUIS_DATOS!$C$1496+CROQUIS_DATOS!$C$1497))*CROQUIS_DATOS!$C$1561))/CROQUIS_DATOS!$C$1568-0.000001))),2)=1,IF(INT(($A25-1)/2)+1&gt;MAX(1,INT(((((CROQUIS_DATOS!$C$1494+CROQUIS_DATOS!$C$1495))-(CROQUIS_DATOS!$C$1494))+((CROQUIS_DATOS!$C$1476)*CROQUIS_DATOS!$C$1561-((CROQUIS_DATOS!$C$1496+CROQUIS_DATOS!$C$1497))*CROQUIS_DATOS!$C$1561))/CROQUIS_DATOS!$C$1568-0.000001)),1,MOD($A25-1,2)),1-IF(INT(($A25-1)/2)+1&gt;MAX(1,INT(((((CROQUIS_DATOS!$C$1494+CROQUIS_DATOS!$C$1495))-(CROQUIS_DATOS!$C$1494))+((CROQUIS_DATOS!$C$1476)*CROQUIS_DATOS!$C$1561-((CROQUIS_DATOS!$C$1496+CROQUIS_DATOS!$C$1497))*CROQUIS_DATOS!$C$1561))/CROQUIS_DATOS!$C$1568-0.000001)),1,MOD($A25-1,2)))=1,MIN((CROQUIS_DATOS!$C$1476)*CROQUIS_DATOS!$C$1561,((CROQUIS_DATOS!$C$1494+CROQUIS_DATOS!$C$1495)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5">
        <f>IF(AND(CROQUIS_DATOS!$C$1472=1,1),(CROQUIS_DATOS!$C$1571+(CHOOSE(MIN(MAX(IF(INT(($A25-1)/5)+1&gt;CROQUIS_DATOS!$C$1525,5,MOD($A25-1,5)+1),1),5),(INDEX($E$8:$E$23,MIN(INT(($A25-1)/5)+1,CROQUIS_DATOS!$C$1525))-INDEX($F$8:$F$23,MIN(INT(($A25-1)/5)+1,CROQUIS_DATOS!$C$1525))/2),(INDEX($E$8:$E$23,MIN(INT(($A25-1)/5)+1,CROQUIS_DATOS!$C$1525))+INDEX($F$8:$F$23,MIN(INT(($A25-1)/5)+1,CROQUIS_DATOS!$C$1525))/2),(INDEX($E$8:$E$23,MIN(INT(($A25-1)/5)+1,CROQUIS_DATOS!$C$1525))+INDEX($F$8:$F$23,MIN(INT(($A25-1)/5)+1,CROQUIS_DATOS!$C$1525))/2),(INDEX($E$8:$E$23,MIN(INT(($A25-1)/5)+1,CROQUIS_DATOS!$C$1525))-INDEX($F$8:$F$23,MIN(INT(($A25-1)/5)+1,CROQUIS_DATOS!$C$1525))/2),(INDEX($E$8:$E$23,MIN(INT(($A25-1)/5)+1,CROQUIS_DATOS!$C$1525))-INDEX($F$8:$F$23,MIN(INT(($A25-1)/5)+1,CROQUIS_DATOS!$C$1525))/2)))*CROQUIS_DATOS!$C$1569),-1000)</f>
        <v>48.32</v>
      </c>
      <c r="GE25">
        <f>IF(AND(CROQUIS_DATOS!$C$1472=1,1),(CROQUIS_DATOS!$C$1572+(CHOOSE(MIN(MAX(IF(INT(($A25-1)/5)+1&gt;CROQUIS_DATOS!$C$1525,5,MOD($A25-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25">
        <f>IF(AND(CROQUIS_DATOS!$C$1472=1,1),IF(INT(($A25-1)/4)+1&lt;=CROQUIS_DATOS!$C$1525,(CROQUIS_DATOS!$C$1571+((INDEX($E$8:$E$23,MIN(INT(($A25-1)/4)+1,16))+IF(OR(MOD($A25-1,4)=0,MOD($A25-1,4)=3),-1,1)*(INDEX($F$8:$F$23,MIN(INT(($A25-1)/4)+1,16))/2-(CROQUIS_DATOS!$C$1530+CROQUIS_DATOS!$C$1532+IF(OR(INT(($A25-1)/4)+1=1,INT(($A25-1)/4)+1=CROQUIS_DATOS!$C$1525),CROQUIS_DATOS!$C$1534,CROQUIS_DATOS!$C$1531)/2))))*CROQUIS_DATOS!$C$1569),-1000),-1000)</f>
        <v>78.107484</v>
      </c>
      <c r="GG25">
        <f>IF(AND(CROQUIS_DATOS!$C$1472=1,1),IF(INT(($A25-1)/4)+1&lt;=CROQUIS_DATOS!$C$1525,(CROQUIS_DATOS!$C$1572+((CROQUIS_DATOS!$C$1477/2+IF(MOD($A25-1,4)&lt;2,-1,1)*(CROQUIS_DATOS!$C$1527/2-(CROQUIS_DATOS!$C$1530+CROQUIS_DATOS!$C$1532+IF(OR(INT(($A25-1)/4)+1=1,INT(($A25-1)/4)+1=CROQUIS_DATOS!$C$1525),CROQUIS_DATOS!$C$1534,CROQUIS_DATOS!$C$1531)/2))))*CROQUIS_DATOS!$C$1569*CROQUIS_DATOS!$C$1570),-1000),-1000)</f>
        <v>10.43345</v>
      </c>
    </row>
    <row r="26">
      <c r="A26" t="n">
        <v>19</v>
      </c>
      <c r="H26">
        <f>IF(19&lt;=CROQUIS_DATOS!$C$1539,19*CROQUIS_DATOS!$C$1536,IF(19&lt;=CROQUIS_DATOS!$C$1539+CROQUIS_DATOS!$C$1540,CROQUIS_DATOS!$C$1539*CROQUIS_DATOS!$C$1536+(19-CROQUIS_DATOS!$C$1539)*(CROQUIS_DATOS!$C$1476-2*CROQUIS_DATOS!$C$1539*CROQUIS_DATOS!$C$1536)/(CROQUIS_DATOS!$C$1540+1),CROQUIS_DATOS!$C$1476-(2*CROQUIS_DATOS!$C$1539+CROQUIS_DATOS!$C$1540+1-19)*CROQUIS_DATOS!$C$1536))</f>
        <v>250</v>
      </c>
      <c r="J26">
        <f>IF(AND(CROQUIS_DATOS!$C$1472=1,1),(CROQUIS_DATOS!$C$1563+(CHOOSE(MIN(MAX(IF(INT(($A26-1)/4)+1&gt;CROQUIS_DATOS!$C$1525,4,MOD($A26-1,4)+1),1),4),(INDEX($E$8:$E$23,MIN(INT(($A26-1)/4)+1,CROQUIS_DATOS!$C$1525))-INDEX($F$8:$F$23,MIN(INT(($A26-1)/4)+1,CROQUIS_DATOS!$C$1525))/2),(INDEX($E$8:$E$23,MIN(INT(($A26-1)/4)+1,CROQUIS_DATOS!$C$1525))-INDEX($F$8:$F$23,MIN(INT(($A26-1)/4)+1,CROQUIS_DATOS!$C$1525))/2),(INDEX($E$8:$E$23,MIN(INT(($A26-1)/4)+1,CROQUIS_DATOS!$C$1525))+INDEX($F$8:$F$23,MIN(INT(($A26-1)/4)+1,CROQUIS_DATOS!$C$1525))/2),(INDEX($E$8:$E$23,MIN(INT(($A26-1)/4)+1,CROQUIS_DATOS!$C$1525))+INDEX($F$8:$F$23,MIN(INT(($A26-1)/4)+1,CROQUIS_DATOS!$C$1525))/2)))*CROQUIS_DATOS!$C$1562),-1000)</f>
        <v>70.25</v>
      </c>
      <c r="K26">
        <f>IF(AND(CROQUIS_DATOS!$C$1472=1,1),(CROQUIS_DATOS!$C$1564+(CHOOSE(MIN(MAX(IF(INT(($A26-1)/4)+1&gt;CROQUIS_DATOS!$C$1525,4,MOD($A26-1,4)+1),1),4),0,CROQUIS_DATOS!$C$1476,CROQUIS_DATOS!$C$1476,0))*CROQUIS_DATOS!$C$1561*CROQUIS_DATOS!$C$1562),-1000)</f>
        <v>40.2068965517241</v>
      </c>
      <c r="L26">
        <f>IF(AND(CROQUIS_DATOS!$C$1472=1,1),(CROQUIS_DATOS!$C$1563+(CHOOSE(MIN(MAX(IF(INT(($A26-1)/4)+1&gt;CROQUIS_DATOS!$C$1525,4,MOD($A26-1,4)+1),1),4),((INDEX($E$8:$E$23,MIN(INT(($A26-1)/4)+1,CROQUIS_DATOS!$C$1525))-INDEX($F$8:$F$23,MIN(INT(($A26-1)/4)+1,CROQUIS_DATOS!$C$1525))/2)+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,((INDEX($E$8:$E$23,MIN(INT(($A26-1)/4)+1,CROQUIS_DATOS!$C$1525))-INDEX($F$8:$F$23,MIN(INT(($A26-1)/4)+1,CROQUIS_DATOS!$C$1525))/2)+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,((INDEX($E$8:$E$23,MIN(INT(($A26-1)/4)+1,CROQUIS_DATOS!$C$1525))+INDEX($F$8:$F$23,MIN(INT(($A26-1)/4)+1,CROQUIS_DATOS!$C$1525))/2)-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,((INDEX($E$8:$E$23,MIN(INT(($A26-1)/4)+1,CROQUIS_DATOS!$C$1525))+INDEX($F$8:$F$23,MIN(INT(($A26-1)/4)+1,CROQUIS_DATOS!$C$1525))/2)-MIN((CROQUIS_DATOS!$C$1530+CROQUIS_DATOS!$C$1532+IF(OR(MIN(INT(($A26-1)/4)+1,CROQUIS_DATOS!$C$1525)=1,MIN(INT(($A26-1)/4)+1,CROQUIS_DATOS!$C$1525)=CROQUIS_DATOS!$C$1525),CROQUIS_DATOS!$C$1534,CROQUIS_DATOS!$C$1531)/2),INDEX($F$8:$F$23,MIN(INT(($A26-1)/4)+1,CROQUIS_DATOS!$C$1525))/2-0.5))))*CROQUIS_DATOS!$C$1562),-1000)</f>
        <v>69.8154629310345</v>
      </c>
      <c r="M26">
        <f>IF(AND(CROQUIS_DATOS!$C$1472=1,1),(CROQUIS_DATOS!$C$1564+(CHOOSE(MIN(MAX(IF(INT(($A26-1)/4)+1&gt;CROQUIS_DATOS!$C$1525,4,MOD($A26-1,4)+1),1),4),CROQUIS_DATOS!$C$1543,INDEX($I$8:$I$23,MIN(INT(($A26-1)/4)+1,CROQUIS_DATOS!$C$1525)),INDEX($I$8:$I$23,MIN(INT(($A26-1)/4)+1,CROQUIS_DATOS!$C$1525)),CROQUIS_DATOS!$C$1543))*CROQUIS_DATOS!$C$1561*CROQUIS_DATOS!$C$1562),-1000)</f>
        <v>2.93453706896552</v>
      </c>
      <c r="N26">
        <f>IF(AND(CROQUIS_DATOS!$C$1472=1,1),(CROQUIS_DATOS!$C$1563+(IF(IF(IF(INT(($A26-1)/70)+1&gt;CROQUIS_DATOS!$C$1525,70,MOD($A26-1,70)+1)=1,0,IF(IF(INT(($A26-1)/70)+1&gt;CROQUIS_DATOS!$C$1525,70,MOD($A26-1,70)+1)&gt;2*CROQUIS_DATOS!$C$1541+1,IF(MOD(CROQUIS_DATOS!$C$1541,2)=1,1,0),IF(MOD(MIN(INT((IF(INT(($A26-1)/70)+1&gt;CROQUIS_DATOS!$C$1525,70,MOD($A26-1,70)+1)-2)/2)+1,CROQUIS_DATOS!$C$1541),2)=1,IF(MOD(IF(INT(($A26-1)/70)+1&gt;CROQUIS_DATOS!$C$1525,70,MOD($A26-1,70)+1)-2,2)=0,0,1),IF(MOD(IF(INT(($A26-1)/70)+1&gt;CROQUIS_DATOS!$C$1525,70,MOD($A26-1,70)+1)-2,2)=0,1,0))))=0,(INDEX($E$8:$E$23,MIN(INT(($A26-1)/70)+1,CROQUIS_DATOS!$C$1525))-INDEX($F$8:$F$23,MIN(INT(($A26-1)/70)+1,CROQUIS_DATOS!$C$1525))/2),(INDEX($E$8:$E$23,MIN(INT(($A26-1)/70)+1,CROQUIS_DATOS!$C$1525))+INDEX($F$8:$F$23,MIN(INT(($A26-1)/70)+1,CROQUIS_DATOS!$C$1525))/2)))*CROQUIS_DATOS!$C$1562),-1000)</f>
        <v>17.1810344827586</v>
      </c>
      <c r="O26">
        <f>IF(AND(CROQUIS_DATOS!$C$1472=1,1),(CROQUIS_DATOS!$C$1564+(IF(OR(IF(INT(($A26-1)/70)+1&gt;CROQUIS_DATOS!$C$1525,70,MOD($A26-1,70)+1)=1,IF(INT(($A26-1)/70)+1&gt;CROQUIS_DATOS!$C$1525,70,MOD($A26-1,70)+1)&gt;2*CROQUIS_DATOS!$C$1541+1),CROQUIS_DATOS!$C$1476,INDEX($H$8:$H$41,MIN(INT((IF(INT(($A26-1)/70)+1&gt;CROQUIS_DATOS!$C$1525,70,MOD($A26-1,70)+1)-2)/2)+1,CROQUIS_DATOS!$C$1541))))*CROQUIS_DATOS!$C$1561*CROQUIS_DATOS!$C$1562),-1000)</f>
        <v>21.3922413793103</v>
      </c>
      <c r="P26">
        <f>IF(AND(CROQUIS_DATOS!$C$1472=1,CROQUIS_DATOS!$C$1555=1),(CROQUIS_DATOS!$C$1563+(IF(IF(OR(MOD($A26-1,62)+1=1,IF(CHOOSE(MIN(MAX(MIN(INT(($A26-1)/62)+1,5),1),5),CROQUIS_DATOS!$C$1501,CROQUIS_DATOS!$C$1505,CROQUIS_DATOS!$C$1509,CROQUIS_DATOS!$C$1513,CROQUIS_DATOS!$C$1517)=1,CROQUIS_DATOS!$C$1557,0)=0),0,IF(MOD($A26-1,62)+1&gt;2*IF(CHOOSE(MIN(MAX(MIN(INT(($A26-1)/62)+1,5),1),5),CROQUIS_DATOS!$C$1501,CROQUIS_DATOS!$C$1505,CROQUIS_DATOS!$C$1509,CROQUIS_DATOS!$C$1513,CROQUIS_DATOS!$C$1517)=1,CROQUIS_DATOS!$C$1557,0)+1,IF(MOD(IF(CHOOSE(MIN(MAX(MIN(INT(($A26-1)/62)+1,5),1),5),CROQUIS_DATOS!$C$1501,CROQUIS_DATOS!$C$1505,CROQUIS_DATOS!$C$1509,CROQUIS_DATOS!$C$1513,CROQUIS_DATOS!$C$1517)=1,CROQUIS_DATOS!$C$1557,0),2)=1,1,0),IF(MOD(MIN(INT((MOD($A26-1,62)+1-2)/2)+1,MAX(IF(CHOOSE(MIN(MAX(MIN(INT(($A26-1)/62)+1,5),1),5),CROQUIS_DATOS!$C$1501,CROQUIS_DATOS!$C$1505,CROQUIS_DATOS!$C$1509,CROQUIS_DATOS!$C$1513,CROQUIS_DATOS!$C$1517)=1,CROQUIS_DATOS!$C$1557,0),1)),2)=1,IF(MOD(MOD($A26-1,62)+1-2,2)=0,0,1),IF(MOD(MOD($A26-1,62)+1-2,2)=0,1,0))))=0,(CHOOSE(MIN(MAX(MIN(INT(($A26-1)/62)+1,5),1),5),CROQUIS_DATOS!$C$1499,CROQUIS_DATOS!$C$1503,CROQUIS_DATOS!$C$1507,CROQUIS_DATOS!$C$1511,CROQUIS_DATOS!$C$1515)+IF(CHOOSE(MIN(MAX(MIN(INT(($A26-1)/62)+1,5),1),5),CROQUIS_DATOS!$C$1501,CROQUIS_DATOS!$C$1505,CROQUIS_DATOS!$C$1509,CROQUIS_DATOS!$C$1513,CROQUIS_DATOS!$C$1517)=1,CROQUIS_DATOS!$C$1526,0)),(CHOOSE(MIN(MAX(MIN(INT(($A26-1)/62)+1,5),1),5),CROQUIS_DATOS!$C$1499,CROQUIS_DATOS!$C$1503,CROQUIS_DATOS!$C$1507,CROQUIS_DATOS!$C$1511,CROQUIS_DATOS!$C$1515)+CHOOSE(MIN(MAX(MIN(INT(($A26-1)/62)+1,5),1),5),CROQUIS_DATOS!$C$1500,CROQUIS_DATOS!$C$1504,CROQUIS_DATOS!$C$1508,CROQUIS_DATOS!$C$1512,CROQUIS_DATOS!$C$1516)-IF(CHOOSE(MIN(MAX(MIN(INT(($A26-1)/62)+1,5),1),5),CROQUIS_DATOS!$C$1501,CROQUIS_DATOS!$C$1505,CROQUIS_DATOS!$C$1509,CROQUIS_DATOS!$C$1513,CROQUIS_DATOS!$C$1517)=1,CROQUIS_DATOS!$C$1526,0))))*CROQUIS_DATOS!$C$1562),-1000)</f>
        <v>-1000</v>
      </c>
      <c r="Q26">
        <f>IF(AND(CROQUIS_DATOS!$C$1472=1,CROQUIS_DATOS!$C$1555=1),(CROQUIS_DATOS!$C$1564+(IF(OR(OR(MOD($A26-1,62)+1=1,IF(CHOOSE(MIN(MAX(MIN(INT(($A26-1)/62)+1,5),1),5),CROQUIS_DATOS!$C$1501,CROQUIS_DATOS!$C$1505,CROQUIS_DATOS!$C$1509,CROQUIS_DATOS!$C$1513,CROQUIS_DATOS!$C$1517)=1,CROQUIS_DATOS!$C$1557,0)=0),MOD($A26-1,62)+1&gt;2*IF(CHOOSE(MIN(MAX(MIN(INT(($A26-1)/62)+1,5),1),5),CROQUIS_DATOS!$C$1501,CROQUIS_DATOS!$C$1505,CROQUIS_DATOS!$C$1509,CROQUIS_DATOS!$C$1513,CROQUIS_DATOS!$C$1517)=1,CROQUIS_DATOS!$C$1557,0)+1),CROQUIS_DATOS!$C$1476,MIN(INT((MOD($A26-1,62)+1-2)/2)+1,MAX(IF(CHOOSE(MIN(MAX(MIN(INT(($A26-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">
        <f>IF(AND(CROQUIS_DATOS!$C$1472=1,1),(CROQUIS_DATOS!$C$1563+(MIN(INT(($A26-1)/2)+1,CROQUIS_DATOS!$C$1558)*CROQUIS_DATOS!$C$1559)*CROQUIS_DATOS!$C$1562),-1000)</f>
        <v>41.9429708222812</v>
      </c>
      <c r="U26">
        <f>IF(AND(CROQUIS_DATOS!$C$1472=1,1),(CROQUIS_DATOS!$C$1564+(IF(INT(($A26-1)/2)+1&gt;CROQUIS_DATOS!$C$1558,IF(MOD(CROQUIS_DATOS!$C$1558,2)=1,CROQUIS_DATOS!$C$1476+CROQUIS_DATOS!$C$1528,CROQUIS_DATOS!$C$1476),IF(IF(MOD(MIN(INT(($A26-1)/2)+1,CROQUIS_DATOS!$C$1558),2)=1,MOD($A26-1,2),1-MOD($A26-1,2))=1,CROQUIS_DATOS!$C$1476+CROQUIS_DATOS!$C$1528,CROQUIS_DATOS!$C$1476)))*CROQUIS_DATOS!$C$1561*CROQUIS_DATOS!$C$1562),-1000)</f>
        <v>43</v>
      </c>
      <c r="BZ26">
        <f>IF(AND(CROQUIS_DATOS!$C$1472=1,CROQUIS_DATOS!$C$1500&gt;0,((CROQUIS_DATOS!$C$1499+CROQUIS_DATOS!$C$1500))-(CROQUIS_DATOS!$C$1499)&gt;0.5,(CROQUIS_DATOS!$C$1476)-(0)&gt;0.5),(CROQUIS_DATOS!$C$1566+(IF(IF(MOD(MIN(INT(($A26-1)/2)+1,MAX(1,INT(((((CROQUIS_DATOS!$C$1499+CROQUIS_DATOS!$C$1500))-(CROQUIS_DATOS!$C$1499))+((CROQUIS_DATOS!$C$1476)*CROQUIS_DATOS!$C$1561-(0)*CROQUIS_DATOS!$C$1561))/CROQUIS_DATOS!$C$1568-0.000001))),2)=1,IF(INT(($A26-1)/2)+1&gt;MAX(1,INT(((((CROQUIS_DATOS!$C$1499+CROQUIS_DATOS!$C$1500))-(CROQUIS_DATOS!$C$1499))+((CROQUIS_DATOS!$C$1476)*CROQUIS_DATOS!$C$1561-(0)*CROQUIS_DATOS!$C$1561))/CROQUIS_DATOS!$C$1568-0.000001)),1,MOD($A26-1,2)),1-IF(INT(($A26-1)/2)+1&gt;MAX(1,INT(((((CROQUIS_DATOS!$C$1499+CROQUIS_DATOS!$C$1500))-(CROQUIS_DATOS!$C$1499))+((CROQUIS_DATOS!$C$1476)*CROQUIS_DATOS!$C$1561-(0)*CROQUIS_DATOS!$C$1561))/CROQUIS_DATOS!$C$1568-0.000001)),1,MOD($A26-1,2)))=1,MIN((CROQUIS_DATOS!$C$1476)*CROQUIS_DATOS!$C$1561,((CROQUIS_DATOS!$C$1499+CROQUIS_DATOS!$C$1500)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26">
        <f>IF(AND(CROQUIS_DATOS!$C$1472=1,CROQUIS_DATOS!$C$1500&gt;0,((CROQUIS_DATOS!$C$1499+CROQUIS_DATOS!$C$1500))-(CROQUIS_DATOS!$C$1499)&gt;0.5,(CROQUIS_DATOS!$C$1476)-(0)&gt;0.5),(CROQUIS_DATOS!$C$1567+(IF(IF(MOD(MIN(INT(($A26-1)/2)+1,MAX(1,INT(((((CROQUIS_DATOS!$C$1499+CROQUIS_DATOS!$C$1500))-(CROQUIS_DATOS!$C$1499))+((CROQUIS_DATOS!$C$1476)*CROQUIS_DATOS!$C$1561-(0)*CROQUIS_DATOS!$C$1561))/CROQUIS_DATOS!$C$1568-0.000001))),2)=1,IF(INT(($A26-1)/2)+1&gt;MAX(1,INT(((((CROQUIS_DATOS!$C$1499+CROQUIS_DATOS!$C$1500))-(CROQUIS_DATOS!$C$1499))+((CROQUIS_DATOS!$C$1476)*CROQUIS_DATOS!$C$1561-(0)*CROQUIS_DATOS!$C$1561))/CROQUIS_DATOS!$C$1568-0.000001)),1,MOD($A26-1,2)),1-IF(INT(($A26-1)/2)+1&gt;MAX(1,INT(((((CROQUIS_DATOS!$C$1499+CROQUIS_DATOS!$C$1500))-(CROQUIS_DATOS!$C$1499))+((CROQUIS_DATOS!$C$1476)*CROQUIS_DATOS!$C$1561-(0)*CROQUIS_DATOS!$C$1561))/CROQUIS_DATOS!$C$1568-0.000001)),1,MOD($A26-1,2)))=1,MIN((CROQUIS_DATOS!$C$1476)*CROQUIS_DATOS!$C$1561,((CROQUIS_DATOS!$C$1499+CROQUIS_DATOS!$C$1500)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26-1)/2)+1,MAX(1,INT(((((CROQUIS_DATOS!$C$1499+CROQUIS_DATOS!$C$1500))-(CROQUIS_DATOS!$C$1499))+((CROQUIS_DATOS!$C$1476)*CROQUIS_DATOS!$C$1561-(0)*CROQUIS_DATOS!$C$1561))/CROQUIS_DATOS!$C$1568-0.000001)))*CROQUIS_DATOS!$C$1568))))*CROQUIS_DATOS!$C$1565),-1000)</f>
        <v>27.1379310344828</v>
      </c>
      <c r="CB26">
        <f>IF(AND(CROQUIS_DATOS!$C$1472=1,CROQUIS_DATOS!$C$1504&gt;0,((CROQUIS_DATOS!$C$1503+CROQUIS_DATOS!$C$1504))-(CROQUIS_DATOS!$C$1503)&gt;0.5,(CROQUIS_DATOS!$C$1476)-(0)&gt;0.5),(CROQUIS_DATOS!$C$1566+(IF(IF(MOD(MIN(INT(($A26-1)/2)+1,MAX(1,INT(((((CROQUIS_DATOS!$C$1503+CROQUIS_DATOS!$C$1504))-(CROQUIS_DATOS!$C$1503))+((CROQUIS_DATOS!$C$1476)*CROQUIS_DATOS!$C$1561-(0)*CROQUIS_DATOS!$C$1561))/CROQUIS_DATOS!$C$1568-0.000001))),2)=1,IF(INT(($A26-1)/2)+1&gt;MAX(1,INT(((((CROQUIS_DATOS!$C$1503+CROQUIS_DATOS!$C$1504))-(CROQUIS_DATOS!$C$1503))+((CROQUIS_DATOS!$C$1476)*CROQUIS_DATOS!$C$1561-(0)*CROQUIS_DATOS!$C$1561))/CROQUIS_DATOS!$C$1568-0.000001)),1,MOD($A26-1,2)),1-IF(INT(($A26-1)/2)+1&gt;MAX(1,INT(((((CROQUIS_DATOS!$C$1503+CROQUIS_DATOS!$C$1504))-(CROQUIS_DATOS!$C$1503))+((CROQUIS_DATOS!$C$1476)*CROQUIS_DATOS!$C$1561-(0)*CROQUIS_DATOS!$C$1561))/CROQUIS_DATOS!$C$1568-0.000001)),1,MOD($A26-1,2)))=1,MIN((CROQUIS_DATOS!$C$1476)*CROQUIS_DATOS!$C$1561,((CROQUIS_DATOS!$C$1503+CROQUIS_DATOS!$C$1504)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26">
        <f>IF(AND(CROQUIS_DATOS!$C$1472=1,CROQUIS_DATOS!$C$1504&gt;0,((CROQUIS_DATOS!$C$1503+CROQUIS_DATOS!$C$1504))-(CROQUIS_DATOS!$C$1503)&gt;0.5,(CROQUIS_DATOS!$C$1476)-(0)&gt;0.5),(CROQUIS_DATOS!$C$1567+(IF(IF(MOD(MIN(INT(($A26-1)/2)+1,MAX(1,INT(((((CROQUIS_DATOS!$C$1503+CROQUIS_DATOS!$C$1504))-(CROQUIS_DATOS!$C$1503))+((CROQUIS_DATOS!$C$1476)*CROQUIS_DATOS!$C$1561-(0)*CROQUIS_DATOS!$C$1561))/CROQUIS_DATOS!$C$1568-0.000001))),2)=1,IF(INT(($A26-1)/2)+1&gt;MAX(1,INT(((((CROQUIS_DATOS!$C$1503+CROQUIS_DATOS!$C$1504))-(CROQUIS_DATOS!$C$1503))+((CROQUIS_DATOS!$C$1476)*CROQUIS_DATOS!$C$1561-(0)*CROQUIS_DATOS!$C$1561))/CROQUIS_DATOS!$C$1568-0.000001)),1,MOD($A26-1,2)),1-IF(INT(($A26-1)/2)+1&gt;MAX(1,INT(((((CROQUIS_DATOS!$C$1503+CROQUIS_DATOS!$C$1504))-(CROQUIS_DATOS!$C$1503))+((CROQUIS_DATOS!$C$1476)*CROQUIS_DATOS!$C$1561-(0)*CROQUIS_DATOS!$C$1561))/CROQUIS_DATOS!$C$1568-0.000001)),1,MOD($A26-1,2)))=1,MIN((CROQUIS_DATOS!$C$1476)*CROQUIS_DATOS!$C$1561,((CROQUIS_DATOS!$C$1503+CROQUIS_DATOS!$C$1504)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26-1)/2)+1,MAX(1,INT(((((CROQUIS_DATOS!$C$1503+CROQUIS_DATOS!$C$1504))-(CROQUIS_DATOS!$C$1503))+((CROQUIS_DATOS!$C$1476)*CROQUIS_DATOS!$C$1561-(0)*CROQUIS_DATOS!$C$1561))/CROQUIS_DATOS!$C$1568-0.000001)))*CROQUIS_DATOS!$C$1568))))*CROQUIS_DATOS!$C$1565),-1000)</f>
        <v>33.551724137931</v>
      </c>
      <c r="CD26">
        <f>IF(AND(CROQUIS_DATOS!$C$1472=1,CROQUIS_DATOS!$C$1508&gt;0,((CROQUIS_DATOS!$C$1507+CROQUIS_DATOS!$C$1508))-(CROQUIS_DATOS!$C$1507)&gt;0.5,(CROQUIS_DATOS!$C$1476)-(0)&gt;0.5),(CROQUIS_DATOS!$C$1566+(IF(IF(MOD(MIN(INT(($A26-1)/2)+1,MAX(1,INT(((((CROQUIS_DATOS!$C$1507+CROQUIS_DATOS!$C$1508))-(CROQUIS_DATOS!$C$1507))+((CROQUIS_DATOS!$C$1476)*CROQUIS_DATOS!$C$1561-(0)*CROQUIS_DATOS!$C$1561))/CROQUIS_DATOS!$C$1568-0.000001))),2)=1,IF(INT(($A26-1)/2)+1&gt;MAX(1,INT(((((CROQUIS_DATOS!$C$1507+CROQUIS_DATOS!$C$1508))-(CROQUIS_DATOS!$C$1507))+((CROQUIS_DATOS!$C$1476)*CROQUIS_DATOS!$C$1561-(0)*CROQUIS_DATOS!$C$1561))/CROQUIS_DATOS!$C$1568-0.000001)),1,MOD($A26-1,2)),1-IF(INT(($A26-1)/2)+1&gt;MAX(1,INT(((((CROQUIS_DATOS!$C$1507+CROQUIS_DATOS!$C$1508))-(CROQUIS_DATOS!$C$1507))+((CROQUIS_DATOS!$C$1476)*CROQUIS_DATOS!$C$1561-(0)*CROQUIS_DATOS!$C$1561))/CROQUIS_DATOS!$C$1568-0.000001)),1,MOD($A26-1,2)))=1,MIN((CROQUIS_DATOS!$C$1476)*CROQUIS_DATOS!$C$1561,((CROQUIS_DATOS!$C$1507+CROQUIS_DATOS!$C$1508)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26">
        <f>IF(AND(CROQUIS_DATOS!$C$1472=1,CROQUIS_DATOS!$C$1508&gt;0,((CROQUIS_DATOS!$C$1507+CROQUIS_DATOS!$C$1508))-(CROQUIS_DATOS!$C$1507)&gt;0.5,(CROQUIS_DATOS!$C$1476)-(0)&gt;0.5),(CROQUIS_DATOS!$C$1567+(IF(IF(MOD(MIN(INT(($A26-1)/2)+1,MAX(1,INT(((((CROQUIS_DATOS!$C$1507+CROQUIS_DATOS!$C$1508))-(CROQUIS_DATOS!$C$1507))+((CROQUIS_DATOS!$C$1476)*CROQUIS_DATOS!$C$1561-(0)*CROQUIS_DATOS!$C$1561))/CROQUIS_DATOS!$C$1568-0.000001))),2)=1,IF(INT(($A26-1)/2)+1&gt;MAX(1,INT(((((CROQUIS_DATOS!$C$1507+CROQUIS_DATOS!$C$1508))-(CROQUIS_DATOS!$C$1507))+((CROQUIS_DATOS!$C$1476)*CROQUIS_DATOS!$C$1561-(0)*CROQUIS_DATOS!$C$1561))/CROQUIS_DATOS!$C$1568-0.000001)),1,MOD($A26-1,2)),1-IF(INT(($A26-1)/2)+1&gt;MAX(1,INT(((((CROQUIS_DATOS!$C$1507+CROQUIS_DATOS!$C$1508))-(CROQUIS_DATOS!$C$1507))+((CROQUIS_DATOS!$C$1476)*CROQUIS_DATOS!$C$1561-(0)*CROQUIS_DATOS!$C$1561))/CROQUIS_DATOS!$C$1568-0.000001)),1,MOD($A26-1,2)))=1,MIN((CROQUIS_DATOS!$C$1476)*CROQUIS_DATOS!$C$1561,((CROQUIS_DATOS!$C$1507+CROQUIS_DATOS!$C$1508)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26-1)/2)+1,MAX(1,INT(((((CROQUIS_DATOS!$C$1507+CROQUIS_DATOS!$C$1508))-(CROQUIS_DATOS!$C$1507))+((CROQUIS_DATOS!$C$1476)*CROQUIS_DATOS!$C$1561-(0)*CROQUIS_DATOS!$C$1561))/CROQUIS_DATOS!$C$1568-0.000001)))*CROQUIS_DATOS!$C$1568))))*CROQUIS_DATOS!$C$1565),-1000)</f>
        <v>35.6896551724138</v>
      </c>
      <c r="CF26">
        <f>IF(AND(CROQUIS_DATOS!$C$1472=1,CROQUIS_DATOS!$C$1512&gt;0,((CROQUIS_DATOS!$C$1511+CROQUIS_DATOS!$C$1512))-(CROQUIS_DATOS!$C$1511)&gt;0.5,(CROQUIS_DATOS!$C$1476)-(0)&gt;0.5),(CROQUIS_DATOS!$C$1566+(IF(IF(MOD(MIN(INT(($A26-1)/2)+1,MAX(1,INT(((((CROQUIS_DATOS!$C$1511+CROQUIS_DATOS!$C$1512))-(CROQUIS_DATOS!$C$1511))+((CROQUIS_DATOS!$C$1476)*CROQUIS_DATOS!$C$1561-(0)*CROQUIS_DATOS!$C$1561))/CROQUIS_DATOS!$C$1568-0.000001))),2)=1,IF(INT(($A26-1)/2)+1&gt;MAX(1,INT(((((CROQUIS_DATOS!$C$1511+CROQUIS_DATOS!$C$1512))-(CROQUIS_DATOS!$C$1511))+((CROQUIS_DATOS!$C$1476)*CROQUIS_DATOS!$C$1561-(0)*CROQUIS_DATOS!$C$1561))/CROQUIS_DATOS!$C$1568-0.000001)),1,MOD($A26-1,2)),1-IF(INT(($A26-1)/2)+1&gt;MAX(1,INT(((((CROQUIS_DATOS!$C$1511+CROQUIS_DATOS!$C$1512))-(CROQUIS_DATOS!$C$1511))+((CROQUIS_DATOS!$C$1476)*CROQUIS_DATOS!$C$1561-(0)*CROQUIS_DATOS!$C$1561))/CROQUIS_DATOS!$C$1568-0.000001)),1,MOD($A26-1,2)))=1,MIN((CROQUIS_DATOS!$C$1476)*CROQUIS_DATOS!$C$1561,((CROQUIS_DATOS!$C$1511+CROQUIS_DATOS!$C$1512)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6">
        <f>IF(AND(CROQUIS_DATOS!$C$1472=1,CROQUIS_DATOS!$C$1512&gt;0,((CROQUIS_DATOS!$C$1511+CROQUIS_DATOS!$C$1512))-(CROQUIS_DATOS!$C$1511)&gt;0.5,(CROQUIS_DATOS!$C$1476)-(0)&gt;0.5),(CROQUIS_DATOS!$C$1567+(IF(IF(MOD(MIN(INT(($A26-1)/2)+1,MAX(1,INT(((((CROQUIS_DATOS!$C$1511+CROQUIS_DATOS!$C$1512))-(CROQUIS_DATOS!$C$1511))+((CROQUIS_DATOS!$C$1476)*CROQUIS_DATOS!$C$1561-(0)*CROQUIS_DATOS!$C$1561))/CROQUIS_DATOS!$C$1568-0.000001))),2)=1,IF(INT(($A26-1)/2)+1&gt;MAX(1,INT(((((CROQUIS_DATOS!$C$1511+CROQUIS_DATOS!$C$1512))-(CROQUIS_DATOS!$C$1511))+((CROQUIS_DATOS!$C$1476)*CROQUIS_DATOS!$C$1561-(0)*CROQUIS_DATOS!$C$1561))/CROQUIS_DATOS!$C$1568-0.000001)),1,MOD($A26-1,2)),1-IF(INT(($A26-1)/2)+1&gt;MAX(1,INT(((((CROQUIS_DATOS!$C$1511+CROQUIS_DATOS!$C$1512))-(CROQUIS_DATOS!$C$1511))+((CROQUIS_DATOS!$C$1476)*CROQUIS_DATOS!$C$1561-(0)*CROQUIS_DATOS!$C$1561))/CROQUIS_DATOS!$C$1568-0.000001)),1,MOD($A26-1,2)))=1,MIN((CROQUIS_DATOS!$C$1476)*CROQUIS_DATOS!$C$1561,((CROQUIS_DATOS!$C$1511+CROQUIS_DATOS!$C$1512)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6">
        <f>IF(AND(CROQUIS_DATOS!$C$1472=1,CROQUIS_DATOS!$C$1516&gt;0,((CROQUIS_DATOS!$C$1515+CROQUIS_DATOS!$C$1516))-(CROQUIS_DATOS!$C$1515)&gt;0.5,(CROQUIS_DATOS!$C$1476)-(0)&gt;0.5),(CROQUIS_DATOS!$C$1566+(IF(IF(MOD(MIN(INT(($A26-1)/2)+1,MAX(1,INT(((((CROQUIS_DATOS!$C$1515+CROQUIS_DATOS!$C$1516))-(CROQUIS_DATOS!$C$1515))+((CROQUIS_DATOS!$C$1476)*CROQUIS_DATOS!$C$1561-(0)*CROQUIS_DATOS!$C$1561))/CROQUIS_DATOS!$C$1568-0.000001))),2)=1,IF(INT(($A26-1)/2)+1&gt;MAX(1,INT(((((CROQUIS_DATOS!$C$1515+CROQUIS_DATOS!$C$1516))-(CROQUIS_DATOS!$C$1515))+((CROQUIS_DATOS!$C$1476)*CROQUIS_DATOS!$C$1561-(0)*CROQUIS_DATOS!$C$1561))/CROQUIS_DATOS!$C$1568-0.000001)),1,MOD($A26-1,2)),1-IF(INT(($A26-1)/2)+1&gt;MAX(1,INT(((((CROQUIS_DATOS!$C$1515+CROQUIS_DATOS!$C$1516))-(CROQUIS_DATOS!$C$1515))+((CROQUIS_DATOS!$C$1476)*CROQUIS_DATOS!$C$1561-(0)*CROQUIS_DATOS!$C$1561))/CROQUIS_DATOS!$C$1568-0.000001)),1,MOD($A26-1,2)))=1,MIN((CROQUIS_DATOS!$C$1476)*CROQUIS_DATOS!$C$1561,((CROQUIS_DATOS!$C$1515+CROQUIS_DATOS!$C$1516)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6">
        <f>IF(AND(CROQUIS_DATOS!$C$1472=1,CROQUIS_DATOS!$C$1516&gt;0,((CROQUIS_DATOS!$C$1515+CROQUIS_DATOS!$C$1516))-(CROQUIS_DATOS!$C$1515)&gt;0.5,(CROQUIS_DATOS!$C$1476)-(0)&gt;0.5),(CROQUIS_DATOS!$C$1567+(IF(IF(MOD(MIN(INT(($A26-1)/2)+1,MAX(1,INT(((((CROQUIS_DATOS!$C$1515+CROQUIS_DATOS!$C$1516))-(CROQUIS_DATOS!$C$1515))+((CROQUIS_DATOS!$C$1476)*CROQUIS_DATOS!$C$1561-(0)*CROQUIS_DATOS!$C$1561))/CROQUIS_DATOS!$C$1568-0.000001))),2)=1,IF(INT(($A26-1)/2)+1&gt;MAX(1,INT(((((CROQUIS_DATOS!$C$1515+CROQUIS_DATOS!$C$1516))-(CROQUIS_DATOS!$C$1515))+((CROQUIS_DATOS!$C$1476)*CROQUIS_DATOS!$C$1561-(0)*CROQUIS_DATOS!$C$1561))/CROQUIS_DATOS!$C$1568-0.000001)),1,MOD($A26-1,2)),1-IF(INT(($A26-1)/2)+1&gt;MAX(1,INT(((((CROQUIS_DATOS!$C$1515+CROQUIS_DATOS!$C$1516))-(CROQUIS_DATOS!$C$1515))+((CROQUIS_DATOS!$C$1476)*CROQUIS_DATOS!$C$1561-(0)*CROQUIS_DATOS!$C$1561))/CROQUIS_DATOS!$C$1568-0.000001)),1,MOD($A26-1,2)))=1,MIN((CROQUIS_DATOS!$C$1476)*CROQUIS_DATOS!$C$1561,((CROQUIS_DATOS!$C$1515+CROQUIS_DATOS!$C$1516)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6">
        <f>IF(AND(CROQUIS_DATOS!$C$1472=1,CROQUIS_DATOS!$C$1478&gt;=1,((CROQUIS_DATOS!$C$1479+CROQUIS_DATOS!$C$1480))-(CROQUIS_DATOS!$C$1479)&gt;0.5,(CROQUIS_DATOS!$C$1481)-(0)&gt;0.5),(CROQUIS_DATOS!$C$1566+(IF(IF(MOD(MIN(INT(($A26-1)/2)+1,MAX(1,INT(((((CROQUIS_DATOS!$C$1479+CROQUIS_DATOS!$C$1480))-(CROQUIS_DATOS!$C$1479))+((CROQUIS_DATOS!$C$1481)*CROQUIS_DATOS!$C$1561-(0)*CROQUIS_DATOS!$C$1561))/CROQUIS_DATOS!$C$1568-0.000001))),2)=1,IF(INT(($A26-1)/2)+1&gt;MAX(1,INT(((((CROQUIS_DATOS!$C$1479+CROQUIS_DATOS!$C$1480))-(CROQUIS_DATOS!$C$1479))+((CROQUIS_DATOS!$C$1481)*CROQUIS_DATOS!$C$1561-(0)*CROQUIS_DATOS!$C$1561))/CROQUIS_DATOS!$C$1568-0.000001)),1,MOD($A26-1,2)),1-IF(INT(($A26-1)/2)+1&gt;MAX(1,INT(((((CROQUIS_DATOS!$C$1479+CROQUIS_DATOS!$C$1480))-(CROQUIS_DATOS!$C$1479))+((CROQUIS_DATOS!$C$1481)*CROQUIS_DATOS!$C$1561-(0)*CROQUIS_DATOS!$C$1561))/CROQUIS_DATOS!$C$1568-0.000001)),1,MOD($A26-1,2)))=1,MIN((CROQUIS_DATOS!$C$1481)*CROQUIS_DATOS!$C$1561,((CROQUIS_DATOS!$C$1479+CROQUIS_DATOS!$C$1480)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6">
        <f>IF(AND(CROQUIS_DATOS!$C$1472=1,CROQUIS_DATOS!$C$1478&gt;=1,((CROQUIS_DATOS!$C$1479+CROQUIS_DATOS!$C$1480))-(CROQUIS_DATOS!$C$1479)&gt;0.5,(CROQUIS_DATOS!$C$1481)-(0)&gt;0.5),(CROQUIS_DATOS!$C$1567+(IF(IF(MOD(MIN(INT(($A26-1)/2)+1,MAX(1,INT(((((CROQUIS_DATOS!$C$1479+CROQUIS_DATOS!$C$1480))-(CROQUIS_DATOS!$C$1479))+((CROQUIS_DATOS!$C$1481)*CROQUIS_DATOS!$C$1561-(0)*CROQUIS_DATOS!$C$1561))/CROQUIS_DATOS!$C$1568-0.000001))),2)=1,IF(INT(($A26-1)/2)+1&gt;MAX(1,INT(((((CROQUIS_DATOS!$C$1479+CROQUIS_DATOS!$C$1480))-(CROQUIS_DATOS!$C$1479))+((CROQUIS_DATOS!$C$1481)*CROQUIS_DATOS!$C$1561-(0)*CROQUIS_DATOS!$C$1561))/CROQUIS_DATOS!$C$1568-0.000001)),1,MOD($A26-1,2)),1-IF(INT(($A26-1)/2)+1&gt;MAX(1,INT(((((CROQUIS_DATOS!$C$1479+CROQUIS_DATOS!$C$1480))-(CROQUIS_DATOS!$C$1479))+((CROQUIS_DATOS!$C$1481)*CROQUIS_DATOS!$C$1561-(0)*CROQUIS_DATOS!$C$1561))/CROQUIS_DATOS!$C$1568-0.000001)),1,MOD($A26-1,2)))=1,MIN((CROQUIS_DATOS!$C$1481)*CROQUIS_DATOS!$C$1561,((CROQUIS_DATOS!$C$1479+CROQUIS_DATOS!$C$1480)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6">
        <f>IF(AND(CROQUIS_DATOS!$C$1472=1,CROQUIS_DATOS!$C$1478&gt;=1,((CROQUIS_DATOS!$C$1479+CROQUIS_DATOS!$C$1480))-(CROQUIS_DATOS!$C$1479)&gt;0.5,(CROQUIS_DATOS!$C$1476)-((CROQUIS_DATOS!$C$1481+CROQUIS_DATOS!$C$1482))&gt;0.5),(CROQUIS_DATOS!$C$1566+(IF(IF(MOD(MIN(INT(($A26-1)/2)+1,MAX(1,INT(((((CROQUIS_DATOS!$C$1479+CROQUIS_DATOS!$C$1480))-(CROQUIS_DATOS!$C$1479))+((CROQUIS_DATOS!$C$1476)*CROQUIS_DATOS!$C$1561-((CROQUIS_DATOS!$C$1481+CROQUIS_DATOS!$C$1482))*CROQUIS_DATOS!$C$1561))/CROQUIS_DATOS!$C$1568-0.000001))),2)=1,IF(INT(($A26-1)/2)+1&gt;MAX(1,INT(((((CROQUIS_DATOS!$C$1479+CROQUIS_DATOS!$C$1480))-(CROQUIS_DATOS!$C$1479))+((CROQUIS_DATOS!$C$1476)*CROQUIS_DATOS!$C$1561-((CROQUIS_DATOS!$C$1481+CROQUIS_DATOS!$C$1482))*CROQUIS_DATOS!$C$1561))/CROQUIS_DATOS!$C$1568-0.000001)),1,MOD($A26-1,2)),1-IF(INT(($A26-1)/2)+1&gt;MAX(1,INT(((((CROQUIS_DATOS!$C$1479+CROQUIS_DATOS!$C$1480))-(CROQUIS_DATOS!$C$1479))+((CROQUIS_DATOS!$C$1476)*CROQUIS_DATOS!$C$1561-((CROQUIS_DATOS!$C$1481+CROQUIS_DATOS!$C$1482))*CROQUIS_DATOS!$C$1561))/CROQUIS_DATOS!$C$1568-0.000001)),1,MOD($A26-1,2)))=1,MIN((CROQUIS_DATOS!$C$1476)*CROQUIS_DATOS!$C$1561,((CROQUIS_DATOS!$C$1479+CROQUIS_DATOS!$C$1480)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26">
        <f>IF(AND(CROQUIS_DATOS!$C$1472=1,CROQUIS_DATOS!$C$1478&gt;=1,((CROQUIS_DATOS!$C$1479+CROQUIS_DATOS!$C$1480))-(CROQUIS_DATOS!$C$1479)&gt;0.5,(CROQUIS_DATOS!$C$1476)-((CROQUIS_DATOS!$C$1481+CROQUIS_DATOS!$C$1482))&gt;0.5),(CROQUIS_DATOS!$C$1567+(IF(IF(MOD(MIN(INT(($A26-1)/2)+1,MAX(1,INT(((((CROQUIS_DATOS!$C$1479+CROQUIS_DATOS!$C$1480))-(CROQUIS_DATOS!$C$1479))+((CROQUIS_DATOS!$C$1476)*CROQUIS_DATOS!$C$1561-((CROQUIS_DATOS!$C$1481+CROQUIS_DATOS!$C$1482))*CROQUIS_DATOS!$C$1561))/CROQUIS_DATOS!$C$1568-0.000001))),2)=1,IF(INT(($A26-1)/2)+1&gt;MAX(1,INT(((((CROQUIS_DATOS!$C$1479+CROQUIS_DATOS!$C$1480))-(CROQUIS_DATOS!$C$1479))+((CROQUIS_DATOS!$C$1476)*CROQUIS_DATOS!$C$1561-((CROQUIS_DATOS!$C$1481+CROQUIS_DATOS!$C$1482))*CROQUIS_DATOS!$C$1561))/CROQUIS_DATOS!$C$1568-0.000001)),1,MOD($A26-1,2)),1-IF(INT(($A26-1)/2)+1&gt;MAX(1,INT(((((CROQUIS_DATOS!$C$1479+CROQUIS_DATOS!$C$1480))-(CROQUIS_DATOS!$C$1479))+((CROQUIS_DATOS!$C$1476)*CROQUIS_DATOS!$C$1561-((CROQUIS_DATOS!$C$1481+CROQUIS_DATOS!$C$1482))*CROQUIS_DATOS!$C$1561))/CROQUIS_DATOS!$C$1568-0.000001)),1,MOD($A26-1,2)))=1,MIN((CROQUIS_DATOS!$C$1476)*CROQUIS_DATOS!$C$1561,((CROQUIS_DATOS!$C$1479+CROQUIS_DATOS!$C$1480)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6">
        <f>IF(AND(CROQUIS_DATOS!$C$1472=1,CROQUIS_DATOS!$C$1478&gt;=2,((CROQUIS_DATOS!$C$1484+CROQUIS_DATOS!$C$1485))-(CROQUIS_DATOS!$C$1484)&gt;0.5,(CROQUIS_DATOS!$C$1486)-(0)&gt;0.5),(CROQUIS_DATOS!$C$1566+(IF(IF(MOD(MIN(INT(($A26-1)/2)+1,MAX(1,INT(((((CROQUIS_DATOS!$C$1484+CROQUIS_DATOS!$C$1485))-(CROQUIS_DATOS!$C$1484))+((CROQUIS_DATOS!$C$1486)*CROQUIS_DATOS!$C$1561-(0)*CROQUIS_DATOS!$C$1561))/CROQUIS_DATOS!$C$1568-0.000001))),2)=1,IF(INT(($A26-1)/2)+1&gt;MAX(1,INT(((((CROQUIS_DATOS!$C$1484+CROQUIS_DATOS!$C$1485))-(CROQUIS_DATOS!$C$1484))+((CROQUIS_DATOS!$C$1486)*CROQUIS_DATOS!$C$1561-(0)*CROQUIS_DATOS!$C$1561))/CROQUIS_DATOS!$C$1568-0.000001)),1,MOD($A26-1,2)),1-IF(INT(($A26-1)/2)+1&gt;MAX(1,INT(((((CROQUIS_DATOS!$C$1484+CROQUIS_DATOS!$C$1485))-(CROQUIS_DATOS!$C$1484))+((CROQUIS_DATOS!$C$1486)*CROQUIS_DATOS!$C$1561-(0)*CROQUIS_DATOS!$C$1561))/CROQUIS_DATOS!$C$1568-0.000001)),1,MOD($A26-1,2)))=1,MIN((CROQUIS_DATOS!$C$1486)*CROQUIS_DATOS!$C$1561,((CROQUIS_DATOS!$C$1484+CROQUIS_DATOS!$C$1485)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*CROQUIS_DATOS!$C$1565),-1000)</f>
        <v>64.8620689655172</v>
      </c>
      <c r="CS26">
        <f>IF(AND(CROQUIS_DATOS!$C$1472=1,CROQUIS_DATOS!$C$1478&gt;=2,((CROQUIS_DATOS!$C$1484+CROQUIS_DATOS!$C$1485))-(CROQUIS_DATOS!$C$1484)&gt;0.5,(CROQUIS_DATOS!$C$1486)-(0)&gt;0.5),(CROQUIS_DATOS!$C$1567+(IF(IF(MOD(MIN(INT(($A26-1)/2)+1,MAX(1,INT(((((CROQUIS_DATOS!$C$1484+CROQUIS_DATOS!$C$1485))-(CROQUIS_DATOS!$C$1484))+((CROQUIS_DATOS!$C$1486)*CROQUIS_DATOS!$C$1561-(0)*CROQUIS_DATOS!$C$1561))/CROQUIS_DATOS!$C$1568-0.000001))),2)=1,IF(INT(($A26-1)/2)+1&gt;MAX(1,INT(((((CROQUIS_DATOS!$C$1484+CROQUIS_DATOS!$C$1485))-(CROQUIS_DATOS!$C$1484))+((CROQUIS_DATOS!$C$1486)*CROQUIS_DATOS!$C$1561-(0)*CROQUIS_DATOS!$C$1561))/CROQUIS_DATOS!$C$1568-0.000001)),1,MOD($A26-1,2)),1-IF(INT(($A26-1)/2)+1&gt;MAX(1,INT(((((CROQUIS_DATOS!$C$1484+CROQUIS_DATOS!$C$1485))-(CROQUIS_DATOS!$C$1484))+((CROQUIS_DATOS!$C$1486)*CROQUIS_DATOS!$C$1561-(0)*CROQUIS_DATOS!$C$1561))/CROQUIS_DATOS!$C$1568-0.000001)),1,MOD($A26-1,2)))=1,MIN((CROQUIS_DATOS!$C$1486)*CROQUIS_DATOS!$C$1561,((CROQUIS_DATOS!$C$1484+CROQUIS_DATOS!$C$1485)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26-1)/2)+1,MAX(1,INT(((((CROQUIS_DATOS!$C$1484+CROQUIS_DATOS!$C$1485))-(CROQUIS_DATOS!$C$1484))+((CROQUIS_DATOS!$C$1486)*CROQUIS_DATOS!$C$1561-(0)*CROQUIS_DATOS!$C$1561))/CROQUIS_DATOS!$C$1568-0.000001)))*CROQUIS_DATOS!$C$1568))))*CROQUIS_DATOS!$C$1565),-1000)</f>
        <v>21.7586206896552</v>
      </c>
      <c r="CT26">
        <f>IF(AND(CROQUIS_DATOS!$C$1472=1,CROQUIS_DATOS!$C$1478&gt;=2,((CROQUIS_DATOS!$C$1484+CROQUIS_DATOS!$C$1485))-(CROQUIS_DATOS!$C$1484)&gt;0.5,(CROQUIS_DATOS!$C$1476)-((CROQUIS_DATOS!$C$1486+CROQUIS_DATOS!$C$1487))&gt;0.5),(CROQUIS_DATOS!$C$1566+(IF(IF(MOD(MIN(INT(($A26-1)/2)+1,MAX(1,INT(((((CROQUIS_DATOS!$C$1484+CROQUIS_DATOS!$C$1485))-(CROQUIS_DATOS!$C$1484))+((CROQUIS_DATOS!$C$1476)*CROQUIS_DATOS!$C$1561-((CROQUIS_DATOS!$C$1486+CROQUIS_DATOS!$C$1487))*CROQUIS_DATOS!$C$1561))/CROQUIS_DATOS!$C$1568-0.000001))),2)=1,IF(INT(($A26-1)/2)+1&gt;MAX(1,INT(((((CROQUIS_DATOS!$C$1484+CROQUIS_DATOS!$C$1485))-(CROQUIS_DATOS!$C$1484))+((CROQUIS_DATOS!$C$1476)*CROQUIS_DATOS!$C$1561-((CROQUIS_DATOS!$C$1486+CROQUIS_DATOS!$C$1487))*CROQUIS_DATOS!$C$1561))/CROQUIS_DATOS!$C$1568-0.000001)),1,MOD($A26-1,2)),1-IF(INT(($A26-1)/2)+1&gt;MAX(1,INT(((((CROQUIS_DATOS!$C$1484+CROQUIS_DATOS!$C$1485))-(CROQUIS_DATOS!$C$1484))+((CROQUIS_DATOS!$C$1476)*CROQUIS_DATOS!$C$1561-((CROQUIS_DATOS!$C$1486+CROQUIS_DATOS!$C$1487))*CROQUIS_DATOS!$C$1561))/CROQUIS_DATOS!$C$1568-0.000001)),1,MOD($A26-1,2)))=1,MIN((CROQUIS_DATOS!$C$1476)*CROQUIS_DATOS!$C$1561,((CROQUIS_DATOS!$C$1484+CROQUIS_DATOS!$C$1485)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64.8620689655172</v>
      </c>
      <c r="CU26">
        <f>IF(AND(CROQUIS_DATOS!$C$1472=1,CROQUIS_DATOS!$C$1478&gt;=2,((CROQUIS_DATOS!$C$1484+CROQUIS_DATOS!$C$1485))-(CROQUIS_DATOS!$C$1484)&gt;0.5,(CROQUIS_DATOS!$C$1476)-((CROQUIS_DATOS!$C$1486+CROQUIS_DATOS!$C$1487))&gt;0.5),(CROQUIS_DATOS!$C$1567+(IF(IF(MOD(MIN(INT(($A26-1)/2)+1,MAX(1,INT(((((CROQUIS_DATOS!$C$1484+CROQUIS_DATOS!$C$1485))-(CROQUIS_DATOS!$C$1484))+((CROQUIS_DATOS!$C$1476)*CROQUIS_DATOS!$C$1561-((CROQUIS_DATOS!$C$1486+CROQUIS_DATOS!$C$1487))*CROQUIS_DATOS!$C$1561))/CROQUIS_DATOS!$C$1568-0.000001))),2)=1,IF(INT(($A26-1)/2)+1&gt;MAX(1,INT(((((CROQUIS_DATOS!$C$1484+CROQUIS_DATOS!$C$1485))-(CROQUIS_DATOS!$C$1484))+((CROQUIS_DATOS!$C$1476)*CROQUIS_DATOS!$C$1561-((CROQUIS_DATOS!$C$1486+CROQUIS_DATOS!$C$1487))*CROQUIS_DATOS!$C$1561))/CROQUIS_DATOS!$C$1568-0.000001)),1,MOD($A26-1,2)),1-IF(INT(($A26-1)/2)+1&gt;MAX(1,INT(((((CROQUIS_DATOS!$C$1484+CROQUIS_DATOS!$C$1485))-(CROQUIS_DATOS!$C$1484))+((CROQUIS_DATOS!$C$1476)*CROQUIS_DATOS!$C$1561-((CROQUIS_DATOS!$C$1486+CROQUIS_DATOS!$C$1487))*CROQUIS_DATOS!$C$1561))/CROQUIS_DATOS!$C$1568-0.000001)),1,MOD($A26-1,2)))=1,MIN((CROQUIS_DATOS!$C$1476)*CROQUIS_DATOS!$C$1561,((CROQUIS_DATOS!$C$1484+CROQUIS_DATOS!$C$1485)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38.8620689655172</v>
      </c>
      <c r="CZ26">
        <f>IF(AND(CROQUIS_DATOS!$C$1472=1,CROQUIS_DATOS!$C$1478&gt;=3,((CROQUIS_DATOS!$C$1489+CROQUIS_DATOS!$C$1490))-(CROQUIS_DATOS!$C$1489)&gt;0.5,(CROQUIS_DATOS!$C$1491)-(0)&gt;0.5),(CROQUIS_DATOS!$C$1566+(IF(IF(MOD(MIN(INT(($A26-1)/2)+1,MAX(1,INT(((((CROQUIS_DATOS!$C$1489+CROQUIS_DATOS!$C$1490))-(CROQUIS_DATOS!$C$1489))+((CROQUIS_DATOS!$C$1491)*CROQUIS_DATOS!$C$1561-(0)*CROQUIS_DATOS!$C$1561))/CROQUIS_DATOS!$C$1568-0.000001))),2)=1,IF(INT(($A26-1)/2)+1&gt;MAX(1,INT(((((CROQUIS_DATOS!$C$1489+CROQUIS_DATOS!$C$1490))-(CROQUIS_DATOS!$C$1489))+((CROQUIS_DATOS!$C$1491)*CROQUIS_DATOS!$C$1561-(0)*CROQUIS_DATOS!$C$1561))/CROQUIS_DATOS!$C$1568-0.000001)),1,MOD($A26-1,2)),1-IF(INT(($A26-1)/2)+1&gt;MAX(1,INT(((((CROQUIS_DATOS!$C$1489+CROQUIS_DATOS!$C$1490))-(CROQUIS_DATOS!$C$1489))+((CROQUIS_DATOS!$C$1491)*CROQUIS_DATOS!$C$1561-(0)*CROQUIS_DATOS!$C$1561))/CROQUIS_DATOS!$C$1568-0.000001)),1,MOD($A26-1,2)))=1,MIN((CROQUIS_DATOS!$C$1491)*CROQUIS_DATOS!$C$1561,((CROQUIS_DATOS!$C$1489+CROQUIS_DATOS!$C$1490)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6">
        <f>IF(AND(CROQUIS_DATOS!$C$1472=1,CROQUIS_DATOS!$C$1478&gt;=3,((CROQUIS_DATOS!$C$1489+CROQUIS_DATOS!$C$1490))-(CROQUIS_DATOS!$C$1489)&gt;0.5,(CROQUIS_DATOS!$C$1491)-(0)&gt;0.5),(CROQUIS_DATOS!$C$1567+(IF(IF(MOD(MIN(INT(($A26-1)/2)+1,MAX(1,INT(((((CROQUIS_DATOS!$C$1489+CROQUIS_DATOS!$C$1490))-(CROQUIS_DATOS!$C$1489))+((CROQUIS_DATOS!$C$1491)*CROQUIS_DATOS!$C$1561-(0)*CROQUIS_DATOS!$C$1561))/CROQUIS_DATOS!$C$1568-0.000001))),2)=1,IF(INT(($A26-1)/2)+1&gt;MAX(1,INT(((((CROQUIS_DATOS!$C$1489+CROQUIS_DATOS!$C$1490))-(CROQUIS_DATOS!$C$1489))+((CROQUIS_DATOS!$C$1491)*CROQUIS_DATOS!$C$1561-(0)*CROQUIS_DATOS!$C$1561))/CROQUIS_DATOS!$C$1568-0.000001)),1,MOD($A26-1,2)),1-IF(INT(($A26-1)/2)+1&gt;MAX(1,INT(((((CROQUIS_DATOS!$C$1489+CROQUIS_DATOS!$C$1490))-(CROQUIS_DATOS!$C$1489))+((CROQUIS_DATOS!$C$1491)*CROQUIS_DATOS!$C$1561-(0)*CROQUIS_DATOS!$C$1561))/CROQUIS_DATOS!$C$1568-0.000001)),1,MOD($A26-1,2)))=1,MIN((CROQUIS_DATOS!$C$1491)*CROQUIS_DATOS!$C$1561,((CROQUIS_DATOS!$C$1489+CROQUIS_DATOS!$C$1490)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6">
        <f>IF(AND(CROQUIS_DATOS!$C$1472=1,CROQUIS_DATOS!$C$1478&gt;=3,((CROQUIS_DATOS!$C$1489+CROQUIS_DATOS!$C$1490))-(CROQUIS_DATOS!$C$1489)&gt;0.5,(CROQUIS_DATOS!$C$1476)-((CROQUIS_DATOS!$C$1491+CROQUIS_DATOS!$C$1492))&gt;0.5),(CROQUIS_DATOS!$C$1566+(IF(IF(MOD(MIN(INT(($A26-1)/2)+1,MAX(1,INT(((((CROQUIS_DATOS!$C$1489+CROQUIS_DATOS!$C$1490))-(CROQUIS_DATOS!$C$1489))+((CROQUIS_DATOS!$C$1476)*CROQUIS_DATOS!$C$1561-((CROQUIS_DATOS!$C$1491+CROQUIS_DATOS!$C$1492))*CROQUIS_DATOS!$C$1561))/CROQUIS_DATOS!$C$1568-0.000001))),2)=1,IF(INT(($A26-1)/2)+1&gt;MAX(1,INT(((((CROQUIS_DATOS!$C$1489+CROQUIS_DATOS!$C$1490))-(CROQUIS_DATOS!$C$1489))+((CROQUIS_DATOS!$C$1476)*CROQUIS_DATOS!$C$1561-((CROQUIS_DATOS!$C$1491+CROQUIS_DATOS!$C$1492))*CROQUIS_DATOS!$C$1561))/CROQUIS_DATOS!$C$1568-0.000001)),1,MOD($A26-1,2)),1-IF(INT(($A26-1)/2)+1&gt;MAX(1,INT(((((CROQUIS_DATOS!$C$1489+CROQUIS_DATOS!$C$1490))-(CROQUIS_DATOS!$C$1489))+((CROQUIS_DATOS!$C$1476)*CROQUIS_DATOS!$C$1561-((CROQUIS_DATOS!$C$1491+CROQUIS_DATOS!$C$1492))*CROQUIS_DATOS!$C$1561))/CROQUIS_DATOS!$C$1568-0.000001)),1,MOD($A26-1,2)))=1,MIN((CROQUIS_DATOS!$C$1476)*CROQUIS_DATOS!$C$1561,((CROQUIS_DATOS!$C$1489+CROQUIS_DATOS!$C$1490)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6">
        <f>IF(AND(CROQUIS_DATOS!$C$1472=1,CROQUIS_DATOS!$C$1478&gt;=3,((CROQUIS_DATOS!$C$1489+CROQUIS_DATOS!$C$1490))-(CROQUIS_DATOS!$C$1489)&gt;0.5,(CROQUIS_DATOS!$C$1476)-((CROQUIS_DATOS!$C$1491+CROQUIS_DATOS!$C$1492))&gt;0.5),(CROQUIS_DATOS!$C$1567+(IF(IF(MOD(MIN(INT(($A26-1)/2)+1,MAX(1,INT(((((CROQUIS_DATOS!$C$1489+CROQUIS_DATOS!$C$1490))-(CROQUIS_DATOS!$C$1489))+((CROQUIS_DATOS!$C$1476)*CROQUIS_DATOS!$C$1561-((CROQUIS_DATOS!$C$1491+CROQUIS_DATOS!$C$1492))*CROQUIS_DATOS!$C$1561))/CROQUIS_DATOS!$C$1568-0.000001))),2)=1,IF(INT(($A26-1)/2)+1&gt;MAX(1,INT(((((CROQUIS_DATOS!$C$1489+CROQUIS_DATOS!$C$1490))-(CROQUIS_DATOS!$C$1489))+((CROQUIS_DATOS!$C$1476)*CROQUIS_DATOS!$C$1561-((CROQUIS_DATOS!$C$1491+CROQUIS_DATOS!$C$1492))*CROQUIS_DATOS!$C$1561))/CROQUIS_DATOS!$C$1568-0.000001)),1,MOD($A26-1,2)),1-IF(INT(($A26-1)/2)+1&gt;MAX(1,INT(((((CROQUIS_DATOS!$C$1489+CROQUIS_DATOS!$C$1490))-(CROQUIS_DATOS!$C$1489))+((CROQUIS_DATOS!$C$1476)*CROQUIS_DATOS!$C$1561-((CROQUIS_DATOS!$C$1491+CROQUIS_DATOS!$C$1492))*CROQUIS_DATOS!$C$1561))/CROQUIS_DATOS!$C$1568-0.000001)),1,MOD($A26-1,2)))=1,MIN((CROQUIS_DATOS!$C$1476)*CROQUIS_DATOS!$C$1561,((CROQUIS_DATOS!$C$1489+CROQUIS_DATOS!$C$1490)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6">
        <f>IF(AND(CROQUIS_DATOS!$C$1472=1,CROQUIS_DATOS!$C$1478&gt;=4,((CROQUIS_DATOS!$C$1494+CROQUIS_DATOS!$C$1495))-(CROQUIS_DATOS!$C$1494)&gt;0.5,(CROQUIS_DATOS!$C$1496)-(0)&gt;0.5),(CROQUIS_DATOS!$C$1566+(IF(IF(MOD(MIN(INT(($A26-1)/2)+1,MAX(1,INT(((((CROQUIS_DATOS!$C$1494+CROQUIS_DATOS!$C$1495))-(CROQUIS_DATOS!$C$1494))+((CROQUIS_DATOS!$C$1496)*CROQUIS_DATOS!$C$1561-(0)*CROQUIS_DATOS!$C$1561))/CROQUIS_DATOS!$C$1568-0.000001))),2)=1,IF(INT(($A26-1)/2)+1&gt;MAX(1,INT(((((CROQUIS_DATOS!$C$1494+CROQUIS_DATOS!$C$1495))-(CROQUIS_DATOS!$C$1494))+((CROQUIS_DATOS!$C$1496)*CROQUIS_DATOS!$C$1561-(0)*CROQUIS_DATOS!$C$1561))/CROQUIS_DATOS!$C$1568-0.000001)),1,MOD($A26-1,2)),1-IF(INT(($A26-1)/2)+1&gt;MAX(1,INT(((((CROQUIS_DATOS!$C$1494+CROQUIS_DATOS!$C$1495))-(CROQUIS_DATOS!$C$1494))+((CROQUIS_DATOS!$C$1496)*CROQUIS_DATOS!$C$1561-(0)*CROQUIS_DATOS!$C$1561))/CROQUIS_DATOS!$C$1568-0.000001)),1,MOD($A26-1,2)))=1,MIN((CROQUIS_DATOS!$C$1496)*CROQUIS_DATOS!$C$1561,((CROQUIS_DATOS!$C$1494+CROQUIS_DATOS!$C$1495)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6">
        <f>IF(AND(CROQUIS_DATOS!$C$1472=1,CROQUIS_DATOS!$C$1478&gt;=4,((CROQUIS_DATOS!$C$1494+CROQUIS_DATOS!$C$1495))-(CROQUIS_DATOS!$C$1494)&gt;0.5,(CROQUIS_DATOS!$C$1496)-(0)&gt;0.5),(CROQUIS_DATOS!$C$1567+(IF(IF(MOD(MIN(INT(($A26-1)/2)+1,MAX(1,INT(((((CROQUIS_DATOS!$C$1494+CROQUIS_DATOS!$C$1495))-(CROQUIS_DATOS!$C$1494))+((CROQUIS_DATOS!$C$1496)*CROQUIS_DATOS!$C$1561-(0)*CROQUIS_DATOS!$C$1561))/CROQUIS_DATOS!$C$1568-0.000001))),2)=1,IF(INT(($A26-1)/2)+1&gt;MAX(1,INT(((((CROQUIS_DATOS!$C$1494+CROQUIS_DATOS!$C$1495))-(CROQUIS_DATOS!$C$1494))+((CROQUIS_DATOS!$C$1496)*CROQUIS_DATOS!$C$1561-(0)*CROQUIS_DATOS!$C$1561))/CROQUIS_DATOS!$C$1568-0.000001)),1,MOD($A26-1,2)),1-IF(INT(($A26-1)/2)+1&gt;MAX(1,INT(((((CROQUIS_DATOS!$C$1494+CROQUIS_DATOS!$C$1495))-(CROQUIS_DATOS!$C$1494))+((CROQUIS_DATOS!$C$1496)*CROQUIS_DATOS!$C$1561-(0)*CROQUIS_DATOS!$C$1561))/CROQUIS_DATOS!$C$1568-0.000001)),1,MOD($A26-1,2)))=1,MIN((CROQUIS_DATOS!$C$1496)*CROQUIS_DATOS!$C$1561,((CROQUIS_DATOS!$C$1494+CROQUIS_DATOS!$C$1495)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6">
        <f>IF(AND(CROQUIS_DATOS!$C$1472=1,CROQUIS_DATOS!$C$1478&gt;=4,((CROQUIS_DATOS!$C$1494+CROQUIS_DATOS!$C$1495))-(CROQUIS_DATOS!$C$1494)&gt;0.5,(CROQUIS_DATOS!$C$1476)-((CROQUIS_DATOS!$C$1496+CROQUIS_DATOS!$C$1497))&gt;0.5),(CROQUIS_DATOS!$C$1566+(IF(IF(MOD(MIN(INT(($A26-1)/2)+1,MAX(1,INT(((((CROQUIS_DATOS!$C$1494+CROQUIS_DATOS!$C$1495))-(CROQUIS_DATOS!$C$1494))+((CROQUIS_DATOS!$C$1476)*CROQUIS_DATOS!$C$1561-((CROQUIS_DATOS!$C$1496+CROQUIS_DATOS!$C$1497))*CROQUIS_DATOS!$C$1561))/CROQUIS_DATOS!$C$1568-0.000001))),2)=1,IF(INT(($A26-1)/2)+1&gt;MAX(1,INT(((((CROQUIS_DATOS!$C$1494+CROQUIS_DATOS!$C$1495))-(CROQUIS_DATOS!$C$1494))+((CROQUIS_DATOS!$C$1476)*CROQUIS_DATOS!$C$1561-((CROQUIS_DATOS!$C$1496+CROQUIS_DATOS!$C$1497))*CROQUIS_DATOS!$C$1561))/CROQUIS_DATOS!$C$1568-0.000001)),1,MOD($A26-1,2)),1-IF(INT(($A26-1)/2)+1&gt;MAX(1,INT(((((CROQUIS_DATOS!$C$1494+CROQUIS_DATOS!$C$1495))-(CROQUIS_DATOS!$C$1494))+((CROQUIS_DATOS!$C$1476)*CROQUIS_DATOS!$C$1561-((CROQUIS_DATOS!$C$1496+CROQUIS_DATOS!$C$1497))*CROQUIS_DATOS!$C$1561))/CROQUIS_DATOS!$C$1568-0.000001)),1,MOD($A26-1,2)))=1,MIN((CROQUIS_DATOS!$C$1476)*CROQUIS_DATOS!$C$1561,((CROQUIS_DATOS!$C$1494+CROQUIS_DATOS!$C$1495)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6">
        <f>IF(AND(CROQUIS_DATOS!$C$1472=1,CROQUIS_DATOS!$C$1478&gt;=4,((CROQUIS_DATOS!$C$1494+CROQUIS_DATOS!$C$1495))-(CROQUIS_DATOS!$C$1494)&gt;0.5,(CROQUIS_DATOS!$C$1476)-((CROQUIS_DATOS!$C$1496+CROQUIS_DATOS!$C$1497))&gt;0.5),(CROQUIS_DATOS!$C$1567+(IF(IF(MOD(MIN(INT(($A26-1)/2)+1,MAX(1,INT(((((CROQUIS_DATOS!$C$1494+CROQUIS_DATOS!$C$1495))-(CROQUIS_DATOS!$C$1494))+((CROQUIS_DATOS!$C$1476)*CROQUIS_DATOS!$C$1561-((CROQUIS_DATOS!$C$1496+CROQUIS_DATOS!$C$1497))*CROQUIS_DATOS!$C$1561))/CROQUIS_DATOS!$C$1568-0.000001))),2)=1,IF(INT(($A26-1)/2)+1&gt;MAX(1,INT(((((CROQUIS_DATOS!$C$1494+CROQUIS_DATOS!$C$1495))-(CROQUIS_DATOS!$C$1494))+((CROQUIS_DATOS!$C$1476)*CROQUIS_DATOS!$C$1561-((CROQUIS_DATOS!$C$1496+CROQUIS_DATOS!$C$1497))*CROQUIS_DATOS!$C$1561))/CROQUIS_DATOS!$C$1568-0.000001)),1,MOD($A26-1,2)),1-IF(INT(($A26-1)/2)+1&gt;MAX(1,INT(((((CROQUIS_DATOS!$C$1494+CROQUIS_DATOS!$C$1495))-(CROQUIS_DATOS!$C$1494))+((CROQUIS_DATOS!$C$1476)*CROQUIS_DATOS!$C$1561-((CROQUIS_DATOS!$C$1496+CROQUIS_DATOS!$C$1497))*CROQUIS_DATOS!$C$1561))/CROQUIS_DATOS!$C$1568-0.000001)),1,MOD($A26-1,2)))=1,MIN((CROQUIS_DATOS!$C$1476)*CROQUIS_DATOS!$C$1561,((CROQUIS_DATOS!$C$1494+CROQUIS_DATOS!$C$1495)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6">
        <f>IF(AND(CROQUIS_DATOS!$C$1472=1,1),(CROQUIS_DATOS!$C$1571+(CHOOSE(MIN(MAX(IF(INT(($A26-1)/5)+1&gt;CROQUIS_DATOS!$C$1525,5,MOD($A26-1,5)+1),1),5),(INDEX($E$8:$E$23,MIN(INT(($A26-1)/5)+1,CROQUIS_DATOS!$C$1525))-INDEX($F$8:$F$23,MIN(INT(($A26-1)/5)+1,CROQUIS_DATOS!$C$1525))/2),(INDEX($E$8:$E$23,MIN(INT(($A26-1)/5)+1,CROQUIS_DATOS!$C$1525))+INDEX($F$8:$F$23,MIN(INT(($A26-1)/5)+1,CROQUIS_DATOS!$C$1525))/2),(INDEX($E$8:$E$23,MIN(INT(($A26-1)/5)+1,CROQUIS_DATOS!$C$1525))+INDEX($F$8:$F$23,MIN(INT(($A26-1)/5)+1,CROQUIS_DATOS!$C$1525))/2),(INDEX($E$8:$E$23,MIN(INT(($A26-1)/5)+1,CROQUIS_DATOS!$C$1525))-INDEX($F$8:$F$23,MIN(INT(($A26-1)/5)+1,CROQUIS_DATOS!$C$1525))/2),(INDEX($E$8:$E$23,MIN(INT(($A26-1)/5)+1,CROQUIS_DATOS!$C$1525))-INDEX($F$8:$F$23,MIN(INT(($A26-1)/5)+1,CROQUIS_DATOS!$C$1525))/2)))*CROQUIS_DATOS!$C$1569),-1000)</f>
        <v>45.56</v>
      </c>
      <c r="GE26">
        <f>IF(AND(CROQUIS_DATOS!$C$1472=1,1),(CROQUIS_DATOS!$C$1572+(CHOOSE(MIN(MAX(IF(INT(($A26-1)/5)+1&gt;CROQUIS_DATOS!$C$1525,5,MOD($A26-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26">
        <f>IF(AND(CROQUIS_DATOS!$C$1472=1,1),IF(INT(($A26-1)/4)+1&lt;=CROQUIS_DATOS!$C$1525,(CROQUIS_DATOS!$C$1571+((INDEX($E$8:$E$23,MIN(INT(($A26-1)/4)+1,16))+IF(OR(MOD($A26-1,4)=0,MOD($A26-1,4)=3),-1,1)*(INDEX($F$8:$F$23,MIN(INT(($A26-1)/4)+1,16))/2-(CROQUIS_DATOS!$C$1530+CROQUIS_DATOS!$C$1532+IF(OR(INT(($A26-1)/4)+1=1,INT(($A26-1)/4)+1=CROQUIS_DATOS!$C$1525),CROQUIS_DATOS!$C$1534,CROQUIS_DATOS!$C$1531)/2))))*CROQUIS_DATOS!$C$1569),-1000),-1000)</f>
        <v>78.107484</v>
      </c>
      <c r="GG26">
        <f>IF(AND(CROQUIS_DATOS!$C$1472=1,1),IF(INT(($A26-1)/4)+1&lt;=CROQUIS_DATOS!$C$1525,(CROQUIS_DATOS!$C$1572+((CROQUIS_DATOS!$C$1477/2+IF(MOD($A26-1,4)&lt;2,-1,1)*(CROQUIS_DATOS!$C$1527/2-(CROQUIS_DATOS!$C$1530+CROQUIS_DATOS!$C$1532+IF(OR(INT(($A26-1)/4)+1=1,INT(($A26-1)/4)+1=CROQUIS_DATOS!$C$1525),CROQUIS_DATOS!$C$1534,CROQUIS_DATOS!$C$1531)/2))))*CROQUIS_DATOS!$C$1569*CROQUIS_DATOS!$C$1570),-1000),-1000)</f>
        <v>13.06655</v>
      </c>
    </row>
    <row r="27">
      <c r="A27" t="n">
        <v>20</v>
      </c>
      <c r="H27">
        <f>IF(20&lt;=CROQUIS_DATOS!$C$1539,20*CROQUIS_DATOS!$C$1536,IF(20&lt;=CROQUIS_DATOS!$C$1539+CROQUIS_DATOS!$C$1540,CROQUIS_DATOS!$C$1539*CROQUIS_DATOS!$C$1536+(20-CROQUIS_DATOS!$C$1539)*(CROQUIS_DATOS!$C$1476-2*CROQUIS_DATOS!$C$1539*CROQUIS_DATOS!$C$1536)/(CROQUIS_DATOS!$C$1540+1),CROQUIS_DATOS!$C$1476-(2*CROQUIS_DATOS!$C$1539+CROQUIS_DATOS!$C$1540+1-20)*CROQUIS_DATOS!$C$1536))</f>
        <v>257.5</v>
      </c>
      <c r="J27">
        <f>IF(AND(CROQUIS_DATOS!$C$1472=1,1),(CROQUIS_DATOS!$C$1563+(CHOOSE(MIN(MAX(IF(INT(($A27-1)/4)+1&gt;CROQUIS_DATOS!$C$1525,4,MOD($A27-1,4)+1),1),4),(INDEX($E$8:$E$23,MIN(INT(($A27-1)/4)+1,CROQUIS_DATOS!$C$1525))-INDEX($F$8:$F$23,MIN(INT(($A27-1)/4)+1,CROQUIS_DATOS!$C$1525))/2),(INDEX($E$8:$E$23,MIN(INT(($A27-1)/4)+1,CROQUIS_DATOS!$C$1525))-INDEX($F$8:$F$23,MIN(INT(($A27-1)/4)+1,CROQUIS_DATOS!$C$1525))/2),(INDEX($E$8:$E$23,MIN(INT(($A27-1)/4)+1,CROQUIS_DATOS!$C$1525))+INDEX($F$8:$F$23,MIN(INT(($A27-1)/4)+1,CROQUIS_DATOS!$C$1525))/2),(INDEX($E$8:$E$23,MIN(INT(($A27-1)/4)+1,CROQUIS_DATOS!$C$1525))+INDEX($F$8:$F$23,MIN(INT(($A27-1)/4)+1,CROQUIS_DATOS!$C$1525))/2)))*CROQUIS_DATOS!$C$1562),-1000)</f>
        <v>70.25</v>
      </c>
      <c r="K27">
        <f>IF(AND(CROQUIS_DATOS!$C$1472=1,1),(CROQUIS_DATOS!$C$1564+(CHOOSE(MIN(MAX(IF(INT(($A27-1)/4)+1&gt;CROQUIS_DATOS!$C$1525,4,MOD($A27-1,4)+1),1),4),0,CROQUIS_DATOS!$C$1476,CROQUIS_DATOS!$C$1476,0))*CROQUIS_DATOS!$C$1561*CROQUIS_DATOS!$C$1562),-1000)</f>
        <v>5.29310344827586</v>
      </c>
      <c r="L27">
        <f>IF(AND(CROQUIS_DATOS!$C$1472=1,1),(CROQUIS_DATOS!$C$1563+(CHOOSE(MIN(MAX(IF(INT(($A27-1)/4)+1&gt;CROQUIS_DATOS!$C$1525,4,MOD($A27-1,4)+1),1),4),((INDEX($E$8:$E$23,MIN(INT(($A27-1)/4)+1,CROQUIS_DATOS!$C$1525))-INDEX($F$8:$F$23,MIN(INT(($A27-1)/4)+1,CROQUIS_DATOS!$C$1525))/2)+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,((INDEX($E$8:$E$23,MIN(INT(($A27-1)/4)+1,CROQUIS_DATOS!$C$1525))-INDEX($F$8:$F$23,MIN(INT(($A27-1)/4)+1,CROQUIS_DATOS!$C$1525))/2)+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,((INDEX($E$8:$E$23,MIN(INT(($A27-1)/4)+1,CROQUIS_DATOS!$C$1525))+INDEX($F$8:$F$23,MIN(INT(($A27-1)/4)+1,CROQUIS_DATOS!$C$1525))/2)-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,((INDEX($E$8:$E$23,MIN(INT(($A27-1)/4)+1,CROQUIS_DATOS!$C$1525))+INDEX($F$8:$F$23,MIN(INT(($A27-1)/4)+1,CROQUIS_DATOS!$C$1525))/2)-MIN((CROQUIS_DATOS!$C$1530+CROQUIS_DATOS!$C$1532+IF(OR(MIN(INT(($A27-1)/4)+1,CROQUIS_DATOS!$C$1525)=1,MIN(INT(($A27-1)/4)+1,CROQUIS_DATOS!$C$1525)=CROQUIS_DATOS!$C$1525),CROQUIS_DATOS!$C$1534,CROQUIS_DATOS!$C$1531)/2),INDEX($F$8:$F$23,MIN(INT(($A27-1)/4)+1,CROQUIS_DATOS!$C$1525))/2-0.5))))*CROQUIS_DATOS!$C$1562),-1000)</f>
        <v>69.8154629310345</v>
      </c>
      <c r="M27">
        <f>IF(AND(CROQUIS_DATOS!$C$1472=1,1),(CROQUIS_DATOS!$C$1564+(CHOOSE(MIN(MAX(IF(INT(($A27-1)/4)+1&gt;CROQUIS_DATOS!$C$1525,4,MOD($A27-1,4)+1),1),4),CROQUIS_DATOS!$C$1543,INDEX($I$8:$I$23,MIN(INT(($A27-1)/4)+1,CROQUIS_DATOS!$C$1525)),INDEX($I$8:$I$23,MIN(INT(($A27-1)/4)+1,CROQUIS_DATOS!$C$1525)),CROQUIS_DATOS!$C$1543))*CROQUIS_DATOS!$C$1561*CROQUIS_DATOS!$C$1562),-1000)</f>
        <v>42.5654629310345</v>
      </c>
      <c r="N27">
        <f>IF(AND(CROQUIS_DATOS!$C$1472=1,1),(CROQUIS_DATOS!$C$1563+(IF(IF(IF(INT(($A27-1)/70)+1&gt;CROQUIS_DATOS!$C$1525,70,MOD($A27-1,70)+1)=1,0,IF(IF(INT(($A27-1)/70)+1&gt;CROQUIS_DATOS!$C$1525,70,MOD($A27-1,70)+1)&gt;2*CROQUIS_DATOS!$C$1541+1,IF(MOD(CROQUIS_DATOS!$C$1541,2)=1,1,0),IF(MOD(MIN(INT((IF(INT(($A27-1)/70)+1&gt;CROQUIS_DATOS!$C$1525,70,MOD($A27-1,70)+1)-2)/2)+1,CROQUIS_DATOS!$C$1541),2)=1,IF(MOD(IF(INT(($A27-1)/70)+1&gt;CROQUIS_DATOS!$C$1525,70,MOD($A27-1,70)+1)-2,2)=0,0,1),IF(MOD(IF(INT(($A27-1)/70)+1&gt;CROQUIS_DATOS!$C$1525,70,MOD($A27-1,70)+1)-2,2)=0,1,0))))=0,(INDEX($E$8:$E$23,MIN(INT(($A27-1)/70)+1,CROQUIS_DATOS!$C$1525))-INDEX($F$8:$F$23,MIN(INT(($A27-1)/70)+1,CROQUIS_DATOS!$C$1525))/2),(INDEX($E$8:$E$23,MIN(INT(($A27-1)/70)+1,CROQUIS_DATOS!$C$1525))+INDEX($F$8:$F$23,MIN(INT(($A27-1)/70)+1,CROQUIS_DATOS!$C$1525))/2)))*CROQUIS_DATOS!$C$1562),-1000)</f>
        <v>17.1810344827586</v>
      </c>
      <c r="O27">
        <f>IF(AND(CROQUIS_DATOS!$C$1472=1,1),(CROQUIS_DATOS!$C$1564+(IF(OR(IF(INT(($A27-1)/70)+1&gt;CROQUIS_DATOS!$C$1525,70,MOD($A27-1,70)+1)=1,IF(INT(($A27-1)/70)+1&gt;CROQUIS_DATOS!$C$1525,70,MOD($A27-1,70)+1)&gt;2*CROQUIS_DATOS!$C$1541+1),CROQUIS_DATOS!$C$1476,INDEX($H$8:$H$41,MIN(INT((IF(INT(($A27-1)/70)+1&gt;CROQUIS_DATOS!$C$1525,70,MOD($A27-1,70)+1)-2)/2)+1,CROQUIS_DATOS!$C$1541))))*CROQUIS_DATOS!$C$1561*CROQUIS_DATOS!$C$1562),-1000)</f>
        <v>24.1077586206897</v>
      </c>
      <c r="P27">
        <f>IF(AND(CROQUIS_DATOS!$C$1472=1,CROQUIS_DATOS!$C$1555=1),(CROQUIS_DATOS!$C$1563+(IF(IF(OR(MOD($A27-1,62)+1=1,IF(CHOOSE(MIN(MAX(MIN(INT(($A27-1)/62)+1,5),1),5),CROQUIS_DATOS!$C$1501,CROQUIS_DATOS!$C$1505,CROQUIS_DATOS!$C$1509,CROQUIS_DATOS!$C$1513,CROQUIS_DATOS!$C$1517)=1,CROQUIS_DATOS!$C$1557,0)=0),0,IF(MOD($A27-1,62)+1&gt;2*IF(CHOOSE(MIN(MAX(MIN(INT(($A27-1)/62)+1,5),1),5),CROQUIS_DATOS!$C$1501,CROQUIS_DATOS!$C$1505,CROQUIS_DATOS!$C$1509,CROQUIS_DATOS!$C$1513,CROQUIS_DATOS!$C$1517)=1,CROQUIS_DATOS!$C$1557,0)+1,IF(MOD(IF(CHOOSE(MIN(MAX(MIN(INT(($A27-1)/62)+1,5),1),5),CROQUIS_DATOS!$C$1501,CROQUIS_DATOS!$C$1505,CROQUIS_DATOS!$C$1509,CROQUIS_DATOS!$C$1513,CROQUIS_DATOS!$C$1517)=1,CROQUIS_DATOS!$C$1557,0),2)=1,1,0),IF(MOD(MIN(INT((MOD($A27-1,62)+1-2)/2)+1,MAX(IF(CHOOSE(MIN(MAX(MIN(INT(($A27-1)/62)+1,5),1),5),CROQUIS_DATOS!$C$1501,CROQUIS_DATOS!$C$1505,CROQUIS_DATOS!$C$1509,CROQUIS_DATOS!$C$1513,CROQUIS_DATOS!$C$1517)=1,CROQUIS_DATOS!$C$1557,0),1)),2)=1,IF(MOD(MOD($A27-1,62)+1-2,2)=0,0,1),IF(MOD(MOD($A27-1,62)+1-2,2)=0,1,0))))=0,(CHOOSE(MIN(MAX(MIN(INT(($A27-1)/62)+1,5),1),5),CROQUIS_DATOS!$C$1499,CROQUIS_DATOS!$C$1503,CROQUIS_DATOS!$C$1507,CROQUIS_DATOS!$C$1511,CROQUIS_DATOS!$C$1515)+IF(CHOOSE(MIN(MAX(MIN(INT(($A27-1)/62)+1,5),1),5),CROQUIS_DATOS!$C$1501,CROQUIS_DATOS!$C$1505,CROQUIS_DATOS!$C$1509,CROQUIS_DATOS!$C$1513,CROQUIS_DATOS!$C$1517)=1,CROQUIS_DATOS!$C$1526,0)),(CHOOSE(MIN(MAX(MIN(INT(($A27-1)/62)+1,5),1),5),CROQUIS_DATOS!$C$1499,CROQUIS_DATOS!$C$1503,CROQUIS_DATOS!$C$1507,CROQUIS_DATOS!$C$1511,CROQUIS_DATOS!$C$1515)+CHOOSE(MIN(MAX(MIN(INT(($A27-1)/62)+1,5),1),5),CROQUIS_DATOS!$C$1500,CROQUIS_DATOS!$C$1504,CROQUIS_DATOS!$C$1508,CROQUIS_DATOS!$C$1512,CROQUIS_DATOS!$C$1516)-IF(CHOOSE(MIN(MAX(MIN(INT(($A27-1)/62)+1,5),1),5),CROQUIS_DATOS!$C$1501,CROQUIS_DATOS!$C$1505,CROQUIS_DATOS!$C$1509,CROQUIS_DATOS!$C$1513,CROQUIS_DATOS!$C$1517)=1,CROQUIS_DATOS!$C$1526,0))))*CROQUIS_DATOS!$C$1562),-1000)</f>
        <v>-1000</v>
      </c>
      <c r="Q27">
        <f>IF(AND(CROQUIS_DATOS!$C$1472=1,CROQUIS_DATOS!$C$1555=1),(CROQUIS_DATOS!$C$1564+(IF(OR(OR(MOD($A27-1,62)+1=1,IF(CHOOSE(MIN(MAX(MIN(INT(($A27-1)/62)+1,5),1),5),CROQUIS_DATOS!$C$1501,CROQUIS_DATOS!$C$1505,CROQUIS_DATOS!$C$1509,CROQUIS_DATOS!$C$1513,CROQUIS_DATOS!$C$1517)=1,CROQUIS_DATOS!$C$1557,0)=0),MOD($A27-1,62)+1&gt;2*IF(CHOOSE(MIN(MAX(MIN(INT(($A27-1)/62)+1,5),1),5),CROQUIS_DATOS!$C$1501,CROQUIS_DATOS!$C$1505,CROQUIS_DATOS!$C$1509,CROQUIS_DATOS!$C$1513,CROQUIS_DATOS!$C$1517)=1,CROQUIS_DATOS!$C$1557,0)+1),CROQUIS_DATOS!$C$1476,MIN(INT((MOD($A27-1,62)+1-2)/2)+1,MAX(IF(CHOOSE(MIN(MAX(MIN(INT(($A27-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">
        <f>IF(AND(CROQUIS_DATOS!$C$1472=1,1),(CROQUIS_DATOS!$C$1563+(MIN(INT(($A27-1)/2)+1,CROQUIS_DATOS!$C$1558)*CROQUIS_DATOS!$C$1559)*CROQUIS_DATOS!$C$1562),-1000)</f>
        <v>41.9429708222812</v>
      </c>
      <c r="U27">
        <f>IF(AND(CROQUIS_DATOS!$C$1472=1,1),(CROQUIS_DATOS!$C$1564+(IF(INT(($A27-1)/2)+1&gt;CROQUIS_DATOS!$C$1558,IF(MOD(CROQUIS_DATOS!$C$1558,2)=1,CROQUIS_DATOS!$C$1476+CROQUIS_DATOS!$C$1528,CROQUIS_DATOS!$C$1476),IF(IF(MOD(MIN(INT(($A27-1)/2)+1,CROQUIS_DATOS!$C$1558),2)=1,MOD($A27-1,2),1-MOD($A27-1,2))=1,CROQUIS_DATOS!$C$1476+CROQUIS_DATOS!$C$1528,CROQUIS_DATOS!$C$1476)))*CROQUIS_DATOS!$C$1561*CROQUIS_DATOS!$C$1562),-1000)</f>
        <v>40.2068965517241</v>
      </c>
      <c r="BZ27">
        <f>IF(AND(CROQUIS_DATOS!$C$1472=1,CROQUIS_DATOS!$C$1500&gt;0,((CROQUIS_DATOS!$C$1499+CROQUIS_DATOS!$C$1500))-(CROQUIS_DATOS!$C$1499)&gt;0.5,(CROQUIS_DATOS!$C$1476)-(0)&gt;0.5),(CROQUIS_DATOS!$C$1566+(IF(IF(MOD(MIN(INT(($A27-1)/2)+1,MAX(1,INT(((((CROQUIS_DATOS!$C$1499+CROQUIS_DATOS!$C$1500))-(CROQUIS_DATOS!$C$1499))+((CROQUIS_DATOS!$C$1476)*CROQUIS_DATOS!$C$1561-(0)*CROQUIS_DATOS!$C$1561))/CROQUIS_DATOS!$C$1568-0.000001))),2)=1,IF(INT(($A27-1)/2)+1&gt;MAX(1,INT(((((CROQUIS_DATOS!$C$1499+CROQUIS_DATOS!$C$1500))-(CROQUIS_DATOS!$C$1499))+((CROQUIS_DATOS!$C$1476)*CROQUIS_DATOS!$C$1561-(0)*CROQUIS_DATOS!$C$1561))/CROQUIS_DATOS!$C$1568-0.000001)),1,MOD($A27-1,2)),1-IF(INT(($A27-1)/2)+1&gt;MAX(1,INT(((((CROQUIS_DATOS!$C$1499+CROQUIS_DATOS!$C$1500))-(CROQUIS_DATOS!$C$1499))+((CROQUIS_DATOS!$C$1476)*CROQUIS_DATOS!$C$1561-(0)*CROQUIS_DATOS!$C$1561))/CROQUIS_DATOS!$C$1568-0.000001)),1,MOD($A27-1,2)))=1,MIN((CROQUIS_DATOS!$C$1476)*CROQUIS_DATOS!$C$1561,((CROQUIS_DATOS!$C$1499+CROQUIS_DATOS!$C$1500)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27">
        <f>IF(AND(CROQUIS_DATOS!$C$1472=1,CROQUIS_DATOS!$C$1500&gt;0,((CROQUIS_DATOS!$C$1499+CROQUIS_DATOS!$C$1500))-(CROQUIS_DATOS!$C$1499)&gt;0.5,(CROQUIS_DATOS!$C$1476)-(0)&gt;0.5),(CROQUIS_DATOS!$C$1567+(IF(IF(MOD(MIN(INT(($A27-1)/2)+1,MAX(1,INT(((((CROQUIS_DATOS!$C$1499+CROQUIS_DATOS!$C$1500))-(CROQUIS_DATOS!$C$1499))+((CROQUIS_DATOS!$C$1476)*CROQUIS_DATOS!$C$1561-(0)*CROQUIS_DATOS!$C$1561))/CROQUIS_DATOS!$C$1568-0.000001))),2)=1,IF(INT(($A27-1)/2)+1&gt;MAX(1,INT(((((CROQUIS_DATOS!$C$1499+CROQUIS_DATOS!$C$1500))-(CROQUIS_DATOS!$C$1499))+((CROQUIS_DATOS!$C$1476)*CROQUIS_DATOS!$C$1561-(0)*CROQUIS_DATOS!$C$1561))/CROQUIS_DATOS!$C$1568-0.000001)),1,MOD($A27-1,2)),1-IF(INT(($A27-1)/2)+1&gt;MAX(1,INT(((((CROQUIS_DATOS!$C$1499+CROQUIS_DATOS!$C$1500))-(CROQUIS_DATOS!$C$1499))+((CROQUIS_DATOS!$C$1476)*CROQUIS_DATOS!$C$1561-(0)*CROQUIS_DATOS!$C$1561))/CROQUIS_DATOS!$C$1568-0.000001)),1,MOD($A27-1,2)))=1,MIN((CROQUIS_DATOS!$C$1476)*CROQUIS_DATOS!$C$1561,((CROQUIS_DATOS!$C$1499+CROQUIS_DATOS!$C$1500)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27-1)/2)+1,MAX(1,INT(((((CROQUIS_DATOS!$C$1499+CROQUIS_DATOS!$C$1500))-(CROQUIS_DATOS!$C$1499))+((CROQUIS_DATOS!$C$1476)*CROQUIS_DATOS!$C$1561-(0)*CROQUIS_DATOS!$C$1561))/CROQUIS_DATOS!$C$1568-0.000001)))*CROQUIS_DATOS!$C$1568))))*CROQUIS_DATOS!$C$1565),-1000)</f>
        <v>22.8620689655172</v>
      </c>
      <c r="CB27">
        <f>IF(AND(CROQUIS_DATOS!$C$1472=1,CROQUIS_DATOS!$C$1504&gt;0,((CROQUIS_DATOS!$C$1503+CROQUIS_DATOS!$C$1504))-(CROQUIS_DATOS!$C$1503)&gt;0.5,(CROQUIS_DATOS!$C$1476)-(0)&gt;0.5),(CROQUIS_DATOS!$C$1566+(IF(IF(MOD(MIN(INT(($A27-1)/2)+1,MAX(1,INT(((((CROQUIS_DATOS!$C$1503+CROQUIS_DATOS!$C$1504))-(CROQUIS_DATOS!$C$1503))+((CROQUIS_DATOS!$C$1476)*CROQUIS_DATOS!$C$1561-(0)*CROQUIS_DATOS!$C$1561))/CROQUIS_DATOS!$C$1568-0.000001))),2)=1,IF(INT(($A27-1)/2)+1&gt;MAX(1,INT(((((CROQUIS_DATOS!$C$1503+CROQUIS_DATOS!$C$1504))-(CROQUIS_DATOS!$C$1503))+((CROQUIS_DATOS!$C$1476)*CROQUIS_DATOS!$C$1561-(0)*CROQUIS_DATOS!$C$1561))/CROQUIS_DATOS!$C$1568-0.000001)),1,MOD($A27-1,2)),1-IF(INT(($A27-1)/2)+1&gt;MAX(1,INT(((((CROQUIS_DATOS!$C$1503+CROQUIS_DATOS!$C$1504))-(CROQUIS_DATOS!$C$1503))+((CROQUIS_DATOS!$C$1476)*CROQUIS_DATOS!$C$1561-(0)*CROQUIS_DATOS!$C$1561))/CROQUIS_DATOS!$C$1568-0.000001)),1,MOD($A27-1,2)))=1,MIN((CROQUIS_DATOS!$C$1476)*CROQUIS_DATOS!$C$1561,((CROQUIS_DATOS!$C$1503+CROQUIS_DATOS!$C$1504)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27">
        <f>IF(AND(CROQUIS_DATOS!$C$1472=1,CROQUIS_DATOS!$C$1504&gt;0,((CROQUIS_DATOS!$C$1503+CROQUIS_DATOS!$C$1504))-(CROQUIS_DATOS!$C$1503)&gt;0.5,(CROQUIS_DATOS!$C$1476)-(0)&gt;0.5),(CROQUIS_DATOS!$C$1567+(IF(IF(MOD(MIN(INT(($A27-1)/2)+1,MAX(1,INT(((((CROQUIS_DATOS!$C$1503+CROQUIS_DATOS!$C$1504))-(CROQUIS_DATOS!$C$1503))+((CROQUIS_DATOS!$C$1476)*CROQUIS_DATOS!$C$1561-(0)*CROQUIS_DATOS!$C$1561))/CROQUIS_DATOS!$C$1568-0.000001))),2)=1,IF(INT(($A27-1)/2)+1&gt;MAX(1,INT(((((CROQUIS_DATOS!$C$1503+CROQUIS_DATOS!$C$1504))-(CROQUIS_DATOS!$C$1503))+((CROQUIS_DATOS!$C$1476)*CROQUIS_DATOS!$C$1561-(0)*CROQUIS_DATOS!$C$1561))/CROQUIS_DATOS!$C$1568-0.000001)),1,MOD($A27-1,2)),1-IF(INT(($A27-1)/2)+1&gt;MAX(1,INT(((((CROQUIS_DATOS!$C$1503+CROQUIS_DATOS!$C$1504))-(CROQUIS_DATOS!$C$1503))+((CROQUIS_DATOS!$C$1476)*CROQUIS_DATOS!$C$1561-(0)*CROQUIS_DATOS!$C$1561))/CROQUIS_DATOS!$C$1568-0.000001)),1,MOD($A27-1,2)))=1,MIN((CROQUIS_DATOS!$C$1476)*CROQUIS_DATOS!$C$1561,((CROQUIS_DATOS!$C$1503+CROQUIS_DATOS!$C$1504)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27-1)/2)+1,MAX(1,INT(((((CROQUIS_DATOS!$C$1503+CROQUIS_DATOS!$C$1504))-(CROQUIS_DATOS!$C$1503))+((CROQUIS_DATOS!$C$1476)*CROQUIS_DATOS!$C$1561-(0)*CROQUIS_DATOS!$C$1561))/CROQUIS_DATOS!$C$1568-0.000001)))*CROQUIS_DATOS!$C$1568))))*CROQUIS_DATOS!$C$1565),-1000)</f>
        <v>22.8620689655172</v>
      </c>
      <c r="CD27">
        <f>IF(AND(CROQUIS_DATOS!$C$1472=1,CROQUIS_DATOS!$C$1508&gt;0,((CROQUIS_DATOS!$C$1507+CROQUIS_DATOS!$C$1508))-(CROQUIS_DATOS!$C$1507)&gt;0.5,(CROQUIS_DATOS!$C$1476)-(0)&gt;0.5),(CROQUIS_DATOS!$C$1566+(IF(IF(MOD(MIN(INT(($A27-1)/2)+1,MAX(1,INT(((((CROQUIS_DATOS!$C$1507+CROQUIS_DATOS!$C$1508))-(CROQUIS_DATOS!$C$1507))+((CROQUIS_DATOS!$C$1476)*CROQUIS_DATOS!$C$1561-(0)*CROQUIS_DATOS!$C$1561))/CROQUIS_DATOS!$C$1568-0.000001))),2)=1,IF(INT(($A27-1)/2)+1&gt;MAX(1,INT(((((CROQUIS_DATOS!$C$1507+CROQUIS_DATOS!$C$1508))-(CROQUIS_DATOS!$C$1507))+((CROQUIS_DATOS!$C$1476)*CROQUIS_DATOS!$C$1561-(0)*CROQUIS_DATOS!$C$1561))/CROQUIS_DATOS!$C$1568-0.000001)),1,MOD($A27-1,2)),1-IF(INT(($A27-1)/2)+1&gt;MAX(1,INT(((((CROQUIS_DATOS!$C$1507+CROQUIS_DATOS!$C$1508))-(CROQUIS_DATOS!$C$1507))+((CROQUIS_DATOS!$C$1476)*CROQUIS_DATOS!$C$1561-(0)*CROQUIS_DATOS!$C$1561))/CROQUIS_DATOS!$C$1568-0.000001)),1,MOD($A27-1,2)))=1,MIN((CROQUIS_DATOS!$C$1476)*CROQUIS_DATOS!$C$1561,((CROQUIS_DATOS!$C$1507+CROQUIS_DATOS!$C$1508)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27">
        <f>IF(AND(CROQUIS_DATOS!$C$1472=1,CROQUIS_DATOS!$C$1508&gt;0,((CROQUIS_DATOS!$C$1507+CROQUIS_DATOS!$C$1508))-(CROQUIS_DATOS!$C$1507)&gt;0.5,(CROQUIS_DATOS!$C$1476)-(0)&gt;0.5),(CROQUIS_DATOS!$C$1567+(IF(IF(MOD(MIN(INT(($A27-1)/2)+1,MAX(1,INT(((((CROQUIS_DATOS!$C$1507+CROQUIS_DATOS!$C$1508))-(CROQUIS_DATOS!$C$1507))+((CROQUIS_DATOS!$C$1476)*CROQUIS_DATOS!$C$1561-(0)*CROQUIS_DATOS!$C$1561))/CROQUIS_DATOS!$C$1568-0.000001))),2)=1,IF(INT(($A27-1)/2)+1&gt;MAX(1,INT(((((CROQUIS_DATOS!$C$1507+CROQUIS_DATOS!$C$1508))-(CROQUIS_DATOS!$C$1507))+((CROQUIS_DATOS!$C$1476)*CROQUIS_DATOS!$C$1561-(0)*CROQUIS_DATOS!$C$1561))/CROQUIS_DATOS!$C$1568-0.000001)),1,MOD($A27-1,2)),1-IF(INT(($A27-1)/2)+1&gt;MAX(1,INT(((((CROQUIS_DATOS!$C$1507+CROQUIS_DATOS!$C$1508))-(CROQUIS_DATOS!$C$1507))+((CROQUIS_DATOS!$C$1476)*CROQUIS_DATOS!$C$1561-(0)*CROQUIS_DATOS!$C$1561))/CROQUIS_DATOS!$C$1568-0.000001)),1,MOD($A27-1,2)))=1,MIN((CROQUIS_DATOS!$C$1476)*CROQUIS_DATOS!$C$1561,((CROQUIS_DATOS!$C$1507+CROQUIS_DATOS!$C$1508)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27-1)/2)+1,MAX(1,INT(((((CROQUIS_DATOS!$C$1507+CROQUIS_DATOS!$C$1508))-(CROQUIS_DATOS!$C$1507))+((CROQUIS_DATOS!$C$1476)*CROQUIS_DATOS!$C$1561-(0)*CROQUIS_DATOS!$C$1561))/CROQUIS_DATOS!$C$1568-0.000001)))*CROQUIS_DATOS!$C$1568))))*CROQUIS_DATOS!$C$1565),-1000)</f>
        <v>22.8620689655172</v>
      </c>
      <c r="CF27">
        <f>IF(AND(CROQUIS_DATOS!$C$1472=1,CROQUIS_DATOS!$C$1512&gt;0,((CROQUIS_DATOS!$C$1511+CROQUIS_DATOS!$C$1512))-(CROQUIS_DATOS!$C$1511)&gt;0.5,(CROQUIS_DATOS!$C$1476)-(0)&gt;0.5),(CROQUIS_DATOS!$C$1566+(IF(IF(MOD(MIN(INT(($A27-1)/2)+1,MAX(1,INT(((((CROQUIS_DATOS!$C$1511+CROQUIS_DATOS!$C$1512))-(CROQUIS_DATOS!$C$1511))+((CROQUIS_DATOS!$C$1476)*CROQUIS_DATOS!$C$1561-(0)*CROQUIS_DATOS!$C$1561))/CROQUIS_DATOS!$C$1568-0.000001))),2)=1,IF(INT(($A27-1)/2)+1&gt;MAX(1,INT(((((CROQUIS_DATOS!$C$1511+CROQUIS_DATOS!$C$1512))-(CROQUIS_DATOS!$C$1511))+((CROQUIS_DATOS!$C$1476)*CROQUIS_DATOS!$C$1561-(0)*CROQUIS_DATOS!$C$1561))/CROQUIS_DATOS!$C$1568-0.000001)),1,MOD($A27-1,2)),1-IF(INT(($A27-1)/2)+1&gt;MAX(1,INT(((((CROQUIS_DATOS!$C$1511+CROQUIS_DATOS!$C$1512))-(CROQUIS_DATOS!$C$1511))+((CROQUIS_DATOS!$C$1476)*CROQUIS_DATOS!$C$1561-(0)*CROQUIS_DATOS!$C$1561))/CROQUIS_DATOS!$C$1568-0.000001)),1,MOD($A27-1,2)))=1,MIN((CROQUIS_DATOS!$C$1476)*CROQUIS_DATOS!$C$1561,((CROQUIS_DATOS!$C$1511+CROQUIS_DATOS!$C$1512)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7">
        <f>IF(AND(CROQUIS_DATOS!$C$1472=1,CROQUIS_DATOS!$C$1512&gt;0,((CROQUIS_DATOS!$C$1511+CROQUIS_DATOS!$C$1512))-(CROQUIS_DATOS!$C$1511)&gt;0.5,(CROQUIS_DATOS!$C$1476)-(0)&gt;0.5),(CROQUIS_DATOS!$C$1567+(IF(IF(MOD(MIN(INT(($A27-1)/2)+1,MAX(1,INT(((((CROQUIS_DATOS!$C$1511+CROQUIS_DATOS!$C$1512))-(CROQUIS_DATOS!$C$1511))+((CROQUIS_DATOS!$C$1476)*CROQUIS_DATOS!$C$1561-(0)*CROQUIS_DATOS!$C$1561))/CROQUIS_DATOS!$C$1568-0.000001))),2)=1,IF(INT(($A27-1)/2)+1&gt;MAX(1,INT(((((CROQUIS_DATOS!$C$1511+CROQUIS_DATOS!$C$1512))-(CROQUIS_DATOS!$C$1511))+((CROQUIS_DATOS!$C$1476)*CROQUIS_DATOS!$C$1561-(0)*CROQUIS_DATOS!$C$1561))/CROQUIS_DATOS!$C$1568-0.000001)),1,MOD($A27-1,2)),1-IF(INT(($A27-1)/2)+1&gt;MAX(1,INT(((((CROQUIS_DATOS!$C$1511+CROQUIS_DATOS!$C$1512))-(CROQUIS_DATOS!$C$1511))+((CROQUIS_DATOS!$C$1476)*CROQUIS_DATOS!$C$1561-(0)*CROQUIS_DATOS!$C$1561))/CROQUIS_DATOS!$C$1568-0.000001)),1,MOD($A27-1,2)))=1,MIN((CROQUIS_DATOS!$C$1476)*CROQUIS_DATOS!$C$1561,((CROQUIS_DATOS!$C$1511+CROQUIS_DATOS!$C$1512)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7">
        <f>IF(AND(CROQUIS_DATOS!$C$1472=1,CROQUIS_DATOS!$C$1516&gt;0,((CROQUIS_DATOS!$C$1515+CROQUIS_DATOS!$C$1516))-(CROQUIS_DATOS!$C$1515)&gt;0.5,(CROQUIS_DATOS!$C$1476)-(0)&gt;0.5),(CROQUIS_DATOS!$C$1566+(IF(IF(MOD(MIN(INT(($A27-1)/2)+1,MAX(1,INT(((((CROQUIS_DATOS!$C$1515+CROQUIS_DATOS!$C$1516))-(CROQUIS_DATOS!$C$1515))+((CROQUIS_DATOS!$C$1476)*CROQUIS_DATOS!$C$1561-(0)*CROQUIS_DATOS!$C$1561))/CROQUIS_DATOS!$C$1568-0.000001))),2)=1,IF(INT(($A27-1)/2)+1&gt;MAX(1,INT(((((CROQUIS_DATOS!$C$1515+CROQUIS_DATOS!$C$1516))-(CROQUIS_DATOS!$C$1515))+((CROQUIS_DATOS!$C$1476)*CROQUIS_DATOS!$C$1561-(0)*CROQUIS_DATOS!$C$1561))/CROQUIS_DATOS!$C$1568-0.000001)),1,MOD($A27-1,2)),1-IF(INT(($A27-1)/2)+1&gt;MAX(1,INT(((((CROQUIS_DATOS!$C$1515+CROQUIS_DATOS!$C$1516))-(CROQUIS_DATOS!$C$1515))+((CROQUIS_DATOS!$C$1476)*CROQUIS_DATOS!$C$1561-(0)*CROQUIS_DATOS!$C$1561))/CROQUIS_DATOS!$C$1568-0.000001)),1,MOD($A27-1,2)))=1,MIN((CROQUIS_DATOS!$C$1476)*CROQUIS_DATOS!$C$1561,((CROQUIS_DATOS!$C$1515+CROQUIS_DATOS!$C$1516)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7">
        <f>IF(AND(CROQUIS_DATOS!$C$1472=1,CROQUIS_DATOS!$C$1516&gt;0,((CROQUIS_DATOS!$C$1515+CROQUIS_DATOS!$C$1516))-(CROQUIS_DATOS!$C$1515)&gt;0.5,(CROQUIS_DATOS!$C$1476)-(0)&gt;0.5),(CROQUIS_DATOS!$C$1567+(IF(IF(MOD(MIN(INT(($A27-1)/2)+1,MAX(1,INT(((((CROQUIS_DATOS!$C$1515+CROQUIS_DATOS!$C$1516))-(CROQUIS_DATOS!$C$1515))+((CROQUIS_DATOS!$C$1476)*CROQUIS_DATOS!$C$1561-(0)*CROQUIS_DATOS!$C$1561))/CROQUIS_DATOS!$C$1568-0.000001))),2)=1,IF(INT(($A27-1)/2)+1&gt;MAX(1,INT(((((CROQUIS_DATOS!$C$1515+CROQUIS_DATOS!$C$1516))-(CROQUIS_DATOS!$C$1515))+((CROQUIS_DATOS!$C$1476)*CROQUIS_DATOS!$C$1561-(0)*CROQUIS_DATOS!$C$1561))/CROQUIS_DATOS!$C$1568-0.000001)),1,MOD($A27-1,2)),1-IF(INT(($A27-1)/2)+1&gt;MAX(1,INT(((((CROQUIS_DATOS!$C$1515+CROQUIS_DATOS!$C$1516))-(CROQUIS_DATOS!$C$1515))+((CROQUIS_DATOS!$C$1476)*CROQUIS_DATOS!$C$1561-(0)*CROQUIS_DATOS!$C$1561))/CROQUIS_DATOS!$C$1568-0.000001)),1,MOD($A27-1,2)))=1,MIN((CROQUIS_DATOS!$C$1476)*CROQUIS_DATOS!$C$1561,((CROQUIS_DATOS!$C$1515+CROQUIS_DATOS!$C$1516)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7">
        <f>IF(AND(CROQUIS_DATOS!$C$1472=1,CROQUIS_DATOS!$C$1478&gt;=1,((CROQUIS_DATOS!$C$1479+CROQUIS_DATOS!$C$1480))-(CROQUIS_DATOS!$C$1479)&gt;0.5,(CROQUIS_DATOS!$C$1481)-(0)&gt;0.5),(CROQUIS_DATOS!$C$1566+(IF(IF(MOD(MIN(INT(($A27-1)/2)+1,MAX(1,INT(((((CROQUIS_DATOS!$C$1479+CROQUIS_DATOS!$C$1480))-(CROQUIS_DATOS!$C$1479))+((CROQUIS_DATOS!$C$1481)*CROQUIS_DATOS!$C$1561-(0)*CROQUIS_DATOS!$C$1561))/CROQUIS_DATOS!$C$1568-0.000001))),2)=1,IF(INT(($A27-1)/2)+1&gt;MAX(1,INT(((((CROQUIS_DATOS!$C$1479+CROQUIS_DATOS!$C$1480))-(CROQUIS_DATOS!$C$1479))+((CROQUIS_DATOS!$C$1481)*CROQUIS_DATOS!$C$1561-(0)*CROQUIS_DATOS!$C$1561))/CROQUIS_DATOS!$C$1568-0.000001)),1,MOD($A27-1,2)),1-IF(INT(($A27-1)/2)+1&gt;MAX(1,INT(((((CROQUIS_DATOS!$C$1479+CROQUIS_DATOS!$C$1480))-(CROQUIS_DATOS!$C$1479))+((CROQUIS_DATOS!$C$1481)*CROQUIS_DATOS!$C$1561-(0)*CROQUIS_DATOS!$C$1561))/CROQUIS_DATOS!$C$1568-0.000001)),1,MOD($A27-1,2)))=1,MIN((CROQUIS_DATOS!$C$1481)*CROQUIS_DATOS!$C$1561,((CROQUIS_DATOS!$C$1479+CROQUIS_DATOS!$C$1480)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7">
        <f>IF(AND(CROQUIS_DATOS!$C$1472=1,CROQUIS_DATOS!$C$1478&gt;=1,((CROQUIS_DATOS!$C$1479+CROQUIS_DATOS!$C$1480))-(CROQUIS_DATOS!$C$1479)&gt;0.5,(CROQUIS_DATOS!$C$1481)-(0)&gt;0.5),(CROQUIS_DATOS!$C$1567+(IF(IF(MOD(MIN(INT(($A27-1)/2)+1,MAX(1,INT(((((CROQUIS_DATOS!$C$1479+CROQUIS_DATOS!$C$1480))-(CROQUIS_DATOS!$C$1479))+((CROQUIS_DATOS!$C$1481)*CROQUIS_DATOS!$C$1561-(0)*CROQUIS_DATOS!$C$1561))/CROQUIS_DATOS!$C$1568-0.000001))),2)=1,IF(INT(($A27-1)/2)+1&gt;MAX(1,INT(((((CROQUIS_DATOS!$C$1479+CROQUIS_DATOS!$C$1480))-(CROQUIS_DATOS!$C$1479))+((CROQUIS_DATOS!$C$1481)*CROQUIS_DATOS!$C$1561-(0)*CROQUIS_DATOS!$C$1561))/CROQUIS_DATOS!$C$1568-0.000001)),1,MOD($A27-1,2)),1-IF(INT(($A27-1)/2)+1&gt;MAX(1,INT(((((CROQUIS_DATOS!$C$1479+CROQUIS_DATOS!$C$1480))-(CROQUIS_DATOS!$C$1479))+((CROQUIS_DATOS!$C$1481)*CROQUIS_DATOS!$C$1561-(0)*CROQUIS_DATOS!$C$1561))/CROQUIS_DATOS!$C$1568-0.000001)),1,MOD($A27-1,2)))=1,MIN((CROQUIS_DATOS!$C$1481)*CROQUIS_DATOS!$C$1561,((CROQUIS_DATOS!$C$1479+CROQUIS_DATOS!$C$1480)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7">
        <f>IF(AND(CROQUIS_DATOS!$C$1472=1,CROQUIS_DATOS!$C$1478&gt;=1,((CROQUIS_DATOS!$C$1479+CROQUIS_DATOS!$C$1480))-(CROQUIS_DATOS!$C$1479)&gt;0.5,(CROQUIS_DATOS!$C$1476)-((CROQUIS_DATOS!$C$1481+CROQUIS_DATOS!$C$1482))&gt;0.5),(CROQUIS_DATOS!$C$1566+(IF(IF(MOD(MIN(INT(($A27-1)/2)+1,MAX(1,INT(((((CROQUIS_DATOS!$C$1479+CROQUIS_DATOS!$C$1480))-(CROQUIS_DATOS!$C$1479))+((CROQUIS_DATOS!$C$1476)*CROQUIS_DATOS!$C$1561-((CROQUIS_DATOS!$C$1481+CROQUIS_DATOS!$C$1482))*CROQUIS_DATOS!$C$1561))/CROQUIS_DATOS!$C$1568-0.000001))),2)=1,IF(INT(($A27-1)/2)+1&gt;MAX(1,INT(((((CROQUIS_DATOS!$C$1479+CROQUIS_DATOS!$C$1480))-(CROQUIS_DATOS!$C$1479))+((CROQUIS_DATOS!$C$1476)*CROQUIS_DATOS!$C$1561-((CROQUIS_DATOS!$C$1481+CROQUIS_DATOS!$C$1482))*CROQUIS_DATOS!$C$1561))/CROQUIS_DATOS!$C$1568-0.000001)),1,MOD($A27-1,2)),1-IF(INT(($A27-1)/2)+1&gt;MAX(1,INT(((((CROQUIS_DATOS!$C$1479+CROQUIS_DATOS!$C$1480))-(CROQUIS_DATOS!$C$1479))+((CROQUIS_DATOS!$C$1476)*CROQUIS_DATOS!$C$1561-((CROQUIS_DATOS!$C$1481+CROQUIS_DATOS!$C$1482))*CROQUIS_DATOS!$C$1561))/CROQUIS_DATOS!$C$1568-0.000001)),1,MOD($A27-1,2)))=1,MIN((CROQUIS_DATOS!$C$1476)*CROQUIS_DATOS!$C$1561,((CROQUIS_DATOS!$C$1479+CROQUIS_DATOS!$C$1480)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27">
        <f>IF(AND(CROQUIS_DATOS!$C$1472=1,CROQUIS_DATOS!$C$1478&gt;=1,((CROQUIS_DATOS!$C$1479+CROQUIS_DATOS!$C$1480))-(CROQUIS_DATOS!$C$1479)&gt;0.5,(CROQUIS_DATOS!$C$1476)-((CROQUIS_DATOS!$C$1481+CROQUIS_DATOS!$C$1482))&gt;0.5),(CROQUIS_DATOS!$C$1567+(IF(IF(MOD(MIN(INT(($A27-1)/2)+1,MAX(1,INT(((((CROQUIS_DATOS!$C$1479+CROQUIS_DATOS!$C$1480))-(CROQUIS_DATOS!$C$1479))+((CROQUIS_DATOS!$C$1476)*CROQUIS_DATOS!$C$1561-((CROQUIS_DATOS!$C$1481+CROQUIS_DATOS!$C$1482))*CROQUIS_DATOS!$C$1561))/CROQUIS_DATOS!$C$1568-0.000001))),2)=1,IF(INT(($A27-1)/2)+1&gt;MAX(1,INT(((((CROQUIS_DATOS!$C$1479+CROQUIS_DATOS!$C$1480))-(CROQUIS_DATOS!$C$1479))+((CROQUIS_DATOS!$C$1476)*CROQUIS_DATOS!$C$1561-((CROQUIS_DATOS!$C$1481+CROQUIS_DATOS!$C$1482))*CROQUIS_DATOS!$C$1561))/CROQUIS_DATOS!$C$1568-0.000001)),1,MOD($A27-1,2)),1-IF(INT(($A27-1)/2)+1&gt;MAX(1,INT(((((CROQUIS_DATOS!$C$1479+CROQUIS_DATOS!$C$1480))-(CROQUIS_DATOS!$C$1479))+((CROQUIS_DATOS!$C$1476)*CROQUIS_DATOS!$C$1561-((CROQUIS_DATOS!$C$1481+CROQUIS_DATOS!$C$1482))*CROQUIS_DATOS!$C$1561))/CROQUIS_DATOS!$C$1568-0.000001)),1,MOD($A27-1,2)))=1,MIN((CROQUIS_DATOS!$C$1476)*CROQUIS_DATOS!$C$1561,((CROQUIS_DATOS!$C$1479+CROQUIS_DATOS!$C$1480)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7">
        <f>IF(AND(CROQUIS_DATOS!$C$1472=1,CROQUIS_DATOS!$C$1478&gt;=2,((CROQUIS_DATOS!$C$1484+CROQUIS_DATOS!$C$1485))-(CROQUIS_DATOS!$C$1484)&gt;0.5,(CROQUIS_DATOS!$C$1486)-(0)&gt;0.5),(CROQUIS_DATOS!$C$1566+(IF(IF(MOD(MIN(INT(($A27-1)/2)+1,MAX(1,INT(((((CROQUIS_DATOS!$C$1484+CROQUIS_DATOS!$C$1485))-(CROQUIS_DATOS!$C$1484))+((CROQUIS_DATOS!$C$1486)*CROQUIS_DATOS!$C$1561-(0)*CROQUIS_DATOS!$C$1561))/CROQUIS_DATOS!$C$1568-0.000001))),2)=1,IF(INT(($A27-1)/2)+1&gt;MAX(1,INT(((((CROQUIS_DATOS!$C$1484+CROQUIS_DATOS!$C$1485))-(CROQUIS_DATOS!$C$1484))+((CROQUIS_DATOS!$C$1486)*CROQUIS_DATOS!$C$1561-(0)*CROQUIS_DATOS!$C$1561))/CROQUIS_DATOS!$C$1568-0.000001)),1,MOD($A27-1,2)),1-IF(INT(($A27-1)/2)+1&gt;MAX(1,INT(((((CROQUIS_DATOS!$C$1484+CROQUIS_DATOS!$C$1485))-(CROQUIS_DATOS!$C$1484))+((CROQUIS_DATOS!$C$1486)*CROQUIS_DATOS!$C$1561-(0)*CROQUIS_DATOS!$C$1561))/CROQUIS_DATOS!$C$1568-0.000001)),1,MOD($A27-1,2)))=1,MIN((CROQUIS_DATOS!$C$1486)*CROQUIS_DATOS!$C$1561,((CROQUIS_DATOS!$C$1484+CROQUIS_DATOS!$C$1485)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*CROQUIS_DATOS!$C$1565),-1000)</f>
        <v>55.2413793103448</v>
      </c>
      <c r="CS27">
        <f>IF(AND(CROQUIS_DATOS!$C$1472=1,CROQUIS_DATOS!$C$1478&gt;=2,((CROQUIS_DATOS!$C$1484+CROQUIS_DATOS!$C$1485))-(CROQUIS_DATOS!$C$1484)&gt;0.5,(CROQUIS_DATOS!$C$1486)-(0)&gt;0.5),(CROQUIS_DATOS!$C$1567+(IF(IF(MOD(MIN(INT(($A27-1)/2)+1,MAX(1,INT(((((CROQUIS_DATOS!$C$1484+CROQUIS_DATOS!$C$1485))-(CROQUIS_DATOS!$C$1484))+((CROQUIS_DATOS!$C$1486)*CROQUIS_DATOS!$C$1561-(0)*CROQUIS_DATOS!$C$1561))/CROQUIS_DATOS!$C$1568-0.000001))),2)=1,IF(INT(($A27-1)/2)+1&gt;MAX(1,INT(((((CROQUIS_DATOS!$C$1484+CROQUIS_DATOS!$C$1485))-(CROQUIS_DATOS!$C$1484))+((CROQUIS_DATOS!$C$1486)*CROQUIS_DATOS!$C$1561-(0)*CROQUIS_DATOS!$C$1561))/CROQUIS_DATOS!$C$1568-0.000001)),1,MOD($A27-1,2)),1-IF(INT(($A27-1)/2)+1&gt;MAX(1,INT(((((CROQUIS_DATOS!$C$1484+CROQUIS_DATOS!$C$1485))-(CROQUIS_DATOS!$C$1484))+((CROQUIS_DATOS!$C$1486)*CROQUIS_DATOS!$C$1561-(0)*CROQUIS_DATOS!$C$1561))/CROQUIS_DATOS!$C$1568-0.000001)),1,MOD($A27-1,2)))=1,MIN((CROQUIS_DATOS!$C$1486)*CROQUIS_DATOS!$C$1561,((CROQUIS_DATOS!$C$1484+CROQUIS_DATOS!$C$1485)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27">
        <f>IF(AND(CROQUIS_DATOS!$C$1472=1,CROQUIS_DATOS!$C$1478&gt;=2,((CROQUIS_DATOS!$C$1484+CROQUIS_DATOS!$C$1485))-(CROQUIS_DATOS!$C$1484)&gt;0.5,(CROQUIS_DATOS!$C$1476)-((CROQUIS_DATOS!$C$1486+CROQUIS_DATOS!$C$1487))&gt;0.5),(CROQUIS_DATOS!$C$1566+(IF(IF(MOD(MIN(INT(($A27-1)/2)+1,MAX(1,INT(((((CROQUIS_DATOS!$C$1484+CROQUIS_DATOS!$C$1485))-(CROQUIS_DATOS!$C$1484))+((CROQUIS_DATOS!$C$1476)*CROQUIS_DATOS!$C$1561-((CROQUIS_DATOS!$C$1486+CROQUIS_DATOS!$C$1487))*CROQUIS_DATOS!$C$1561))/CROQUIS_DATOS!$C$1568-0.000001))),2)=1,IF(INT(($A27-1)/2)+1&gt;MAX(1,INT(((((CROQUIS_DATOS!$C$1484+CROQUIS_DATOS!$C$1485))-(CROQUIS_DATOS!$C$1484))+((CROQUIS_DATOS!$C$1476)*CROQUIS_DATOS!$C$1561-((CROQUIS_DATOS!$C$1486+CROQUIS_DATOS!$C$1487))*CROQUIS_DATOS!$C$1561))/CROQUIS_DATOS!$C$1568-0.000001)),1,MOD($A27-1,2)),1-IF(INT(($A27-1)/2)+1&gt;MAX(1,INT(((((CROQUIS_DATOS!$C$1484+CROQUIS_DATOS!$C$1485))-(CROQUIS_DATOS!$C$1484))+((CROQUIS_DATOS!$C$1476)*CROQUIS_DATOS!$C$1561-((CROQUIS_DATOS!$C$1486+CROQUIS_DATOS!$C$1487))*CROQUIS_DATOS!$C$1561))/CROQUIS_DATOS!$C$1568-0.000001)),1,MOD($A27-1,2)))=1,MIN((CROQUIS_DATOS!$C$1476)*CROQUIS_DATOS!$C$1561,((CROQUIS_DATOS!$C$1484+CROQUIS_DATOS!$C$1485)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60.5862068965517</v>
      </c>
      <c r="CU27">
        <f>IF(AND(CROQUIS_DATOS!$C$1472=1,CROQUIS_DATOS!$C$1478&gt;=2,((CROQUIS_DATOS!$C$1484+CROQUIS_DATOS!$C$1485))-(CROQUIS_DATOS!$C$1484)&gt;0.5,(CROQUIS_DATOS!$C$1476)-((CROQUIS_DATOS!$C$1486+CROQUIS_DATOS!$C$1487))&gt;0.5),(CROQUIS_DATOS!$C$1567+(IF(IF(MOD(MIN(INT(($A27-1)/2)+1,MAX(1,INT(((((CROQUIS_DATOS!$C$1484+CROQUIS_DATOS!$C$1485))-(CROQUIS_DATOS!$C$1484))+((CROQUIS_DATOS!$C$1476)*CROQUIS_DATOS!$C$1561-((CROQUIS_DATOS!$C$1486+CROQUIS_DATOS!$C$1487))*CROQUIS_DATOS!$C$1561))/CROQUIS_DATOS!$C$1568-0.000001))),2)=1,IF(INT(($A27-1)/2)+1&gt;MAX(1,INT(((((CROQUIS_DATOS!$C$1484+CROQUIS_DATOS!$C$1485))-(CROQUIS_DATOS!$C$1484))+((CROQUIS_DATOS!$C$1476)*CROQUIS_DATOS!$C$1561-((CROQUIS_DATOS!$C$1486+CROQUIS_DATOS!$C$1487))*CROQUIS_DATOS!$C$1561))/CROQUIS_DATOS!$C$1568-0.000001)),1,MOD($A27-1,2)),1-IF(INT(($A27-1)/2)+1&gt;MAX(1,INT(((((CROQUIS_DATOS!$C$1484+CROQUIS_DATOS!$C$1485))-(CROQUIS_DATOS!$C$1484))+((CROQUIS_DATOS!$C$1476)*CROQUIS_DATOS!$C$1561-((CROQUIS_DATOS!$C$1486+CROQUIS_DATOS!$C$1487))*CROQUIS_DATOS!$C$1561))/CROQUIS_DATOS!$C$1568-0.000001)),1,MOD($A27-1,2)))=1,MIN((CROQUIS_DATOS!$C$1476)*CROQUIS_DATOS!$C$1561,((CROQUIS_DATOS!$C$1484+CROQUIS_DATOS!$C$1485)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27">
        <f>IF(AND(CROQUIS_DATOS!$C$1472=1,CROQUIS_DATOS!$C$1478&gt;=3,((CROQUIS_DATOS!$C$1489+CROQUIS_DATOS!$C$1490))-(CROQUIS_DATOS!$C$1489)&gt;0.5,(CROQUIS_DATOS!$C$1491)-(0)&gt;0.5),(CROQUIS_DATOS!$C$1566+(IF(IF(MOD(MIN(INT(($A27-1)/2)+1,MAX(1,INT(((((CROQUIS_DATOS!$C$1489+CROQUIS_DATOS!$C$1490))-(CROQUIS_DATOS!$C$1489))+((CROQUIS_DATOS!$C$1491)*CROQUIS_DATOS!$C$1561-(0)*CROQUIS_DATOS!$C$1561))/CROQUIS_DATOS!$C$1568-0.000001))),2)=1,IF(INT(($A27-1)/2)+1&gt;MAX(1,INT(((((CROQUIS_DATOS!$C$1489+CROQUIS_DATOS!$C$1490))-(CROQUIS_DATOS!$C$1489))+((CROQUIS_DATOS!$C$1491)*CROQUIS_DATOS!$C$1561-(0)*CROQUIS_DATOS!$C$1561))/CROQUIS_DATOS!$C$1568-0.000001)),1,MOD($A27-1,2)),1-IF(INT(($A27-1)/2)+1&gt;MAX(1,INT(((((CROQUIS_DATOS!$C$1489+CROQUIS_DATOS!$C$1490))-(CROQUIS_DATOS!$C$1489))+((CROQUIS_DATOS!$C$1491)*CROQUIS_DATOS!$C$1561-(0)*CROQUIS_DATOS!$C$1561))/CROQUIS_DATOS!$C$1568-0.000001)),1,MOD($A27-1,2)))=1,MIN((CROQUIS_DATOS!$C$1491)*CROQUIS_DATOS!$C$1561,((CROQUIS_DATOS!$C$1489+CROQUIS_DATOS!$C$1490)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7">
        <f>IF(AND(CROQUIS_DATOS!$C$1472=1,CROQUIS_DATOS!$C$1478&gt;=3,((CROQUIS_DATOS!$C$1489+CROQUIS_DATOS!$C$1490))-(CROQUIS_DATOS!$C$1489)&gt;0.5,(CROQUIS_DATOS!$C$1491)-(0)&gt;0.5),(CROQUIS_DATOS!$C$1567+(IF(IF(MOD(MIN(INT(($A27-1)/2)+1,MAX(1,INT(((((CROQUIS_DATOS!$C$1489+CROQUIS_DATOS!$C$1490))-(CROQUIS_DATOS!$C$1489))+((CROQUIS_DATOS!$C$1491)*CROQUIS_DATOS!$C$1561-(0)*CROQUIS_DATOS!$C$1561))/CROQUIS_DATOS!$C$1568-0.000001))),2)=1,IF(INT(($A27-1)/2)+1&gt;MAX(1,INT(((((CROQUIS_DATOS!$C$1489+CROQUIS_DATOS!$C$1490))-(CROQUIS_DATOS!$C$1489))+((CROQUIS_DATOS!$C$1491)*CROQUIS_DATOS!$C$1561-(0)*CROQUIS_DATOS!$C$1561))/CROQUIS_DATOS!$C$1568-0.000001)),1,MOD($A27-1,2)),1-IF(INT(($A27-1)/2)+1&gt;MAX(1,INT(((((CROQUIS_DATOS!$C$1489+CROQUIS_DATOS!$C$1490))-(CROQUIS_DATOS!$C$1489))+((CROQUIS_DATOS!$C$1491)*CROQUIS_DATOS!$C$1561-(0)*CROQUIS_DATOS!$C$1561))/CROQUIS_DATOS!$C$1568-0.000001)),1,MOD($A27-1,2)))=1,MIN((CROQUIS_DATOS!$C$1491)*CROQUIS_DATOS!$C$1561,((CROQUIS_DATOS!$C$1489+CROQUIS_DATOS!$C$1490)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7">
        <f>IF(AND(CROQUIS_DATOS!$C$1472=1,CROQUIS_DATOS!$C$1478&gt;=3,((CROQUIS_DATOS!$C$1489+CROQUIS_DATOS!$C$1490))-(CROQUIS_DATOS!$C$1489)&gt;0.5,(CROQUIS_DATOS!$C$1476)-((CROQUIS_DATOS!$C$1491+CROQUIS_DATOS!$C$1492))&gt;0.5),(CROQUIS_DATOS!$C$1566+(IF(IF(MOD(MIN(INT(($A27-1)/2)+1,MAX(1,INT(((((CROQUIS_DATOS!$C$1489+CROQUIS_DATOS!$C$1490))-(CROQUIS_DATOS!$C$1489))+((CROQUIS_DATOS!$C$1476)*CROQUIS_DATOS!$C$1561-((CROQUIS_DATOS!$C$1491+CROQUIS_DATOS!$C$1492))*CROQUIS_DATOS!$C$1561))/CROQUIS_DATOS!$C$1568-0.000001))),2)=1,IF(INT(($A27-1)/2)+1&gt;MAX(1,INT(((((CROQUIS_DATOS!$C$1489+CROQUIS_DATOS!$C$1490))-(CROQUIS_DATOS!$C$1489))+((CROQUIS_DATOS!$C$1476)*CROQUIS_DATOS!$C$1561-((CROQUIS_DATOS!$C$1491+CROQUIS_DATOS!$C$1492))*CROQUIS_DATOS!$C$1561))/CROQUIS_DATOS!$C$1568-0.000001)),1,MOD($A27-1,2)),1-IF(INT(($A27-1)/2)+1&gt;MAX(1,INT(((((CROQUIS_DATOS!$C$1489+CROQUIS_DATOS!$C$1490))-(CROQUIS_DATOS!$C$1489))+((CROQUIS_DATOS!$C$1476)*CROQUIS_DATOS!$C$1561-((CROQUIS_DATOS!$C$1491+CROQUIS_DATOS!$C$1492))*CROQUIS_DATOS!$C$1561))/CROQUIS_DATOS!$C$1568-0.000001)),1,MOD($A27-1,2)))=1,MIN((CROQUIS_DATOS!$C$1476)*CROQUIS_DATOS!$C$1561,((CROQUIS_DATOS!$C$1489+CROQUIS_DATOS!$C$1490)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7">
        <f>IF(AND(CROQUIS_DATOS!$C$1472=1,CROQUIS_DATOS!$C$1478&gt;=3,((CROQUIS_DATOS!$C$1489+CROQUIS_DATOS!$C$1490))-(CROQUIS_DATOS!$C$1489)&gt;0.5,(CROQUIS_DATOS!$C$1476)-((CROQUIS_DATOS!$C$1491+CROQUIS_DATOS!$C$1492))&gt;0.5),(CROQUIS_DATOS!$C$1567+(IF(IF(MOD(MIN(INT(($A27-1)/2)+1,MAX(1,INT(((((CROQUIS_DATOS!$C$1489+CROQUIS_DATOS!$C$1490))-(CROQUIS_DATOS!$C$1489))+((CROQUIS_DATOS!$C$1476)*CROQUIS_DATOS!$C$1561-((CROQUIS_DATOS!$C$1491+CROQUIS_DATOS!$C$1492))*CROQUIS_DATOS!$C$1561))/CROQUIS_DATOS!$C$1568-0.000001))),2)=1,IF(INT(($A27-1)/2)+1&gt;MAX(1,INT(((((CROQUIS_DATOS!$C$1489+CROQUIS_DATOS!$C$1490))-(CROQUIS_DATOS!$C$1489))+((CROQUIS_DATOS!$C$1476)*CROQUIS_DATOS!$C$1561-((CROQUIS_DATOS!$C$1491+CROQUIS_DATOS!$C$1492))*CROQUIS_DATOS!$C$1561))/CROQUIS_DATOS!$C$1568-0.000001)),1,MOD($A27-1,2)),1-IF(INT(($A27-1)/2)+1&gt;MAX(1,INT(((((CROQUIS_DATOS!$C$1489+CROQUIS_DATOS!$C$1490))-(CROQUIS_DATOS!$C$1489))+((CROQUIS_DATOS!$C$1476)*CROQUIS_DATOS!$C$1561-((CROQUIS_DATOS!$C$1491+CROQUIS_DATOS!$C$1492))*CROQUIS_DATOS!$C$1561))/CROQUIS_DATOS!$C$1568-0.000001)),1,MOD($A27-1,2)))=1,MIN((CROQUIS_DATOS!$C$1476)*CROQUIS_DATOS!$C$1561,((CROQUIS_DATOS!$C$1489+CROQUIS_DATOS!$C$1490)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7">
        <f>IF(AND(CROQUIS_DATOS!$C$1472=1,CROQUIS_DATOS!$C$1478&gt;=4,((CROQUIS_DATOS!$C$1494+CROQUIS_DATOS!$C$1495))-(CROQUIS_DATOS!$C$1494)&gt;0.5,(CROQUIS_DATOS!$C$1496)-(0)&gt;0.5),(CROQUIS_DATOS!$C$1566+(IF(IF(MOD(MIN(INT(($A27-1)/2)+1,MAX(1,INT(((((CROQUIS_DATOS!$C$1494+CROQUIS_DATOS!$C$1495))-(CROQUIS_DATOS!$C$1494))+((CROQUIS_DATOS!$C$1496)*CROQUIS_DATOS!$C$1561-(0)*CROQUIS_DATOS!$C$1561))/CROQUIS_DATOS!$C$1568-0.000001))),2)=1,IF(INT(($A27-1)/2)+1&gt;MAX(1,INT(((((CROQUIS_DATOS!$C$1494+CROQUIS_DATOS!$C$1495))-(CROQUIS_DATOS!$C$1494))+((CROQUIS_DATOS!$C$1496)*CROQUIS_DATOS!$C$1561-(0)*CROQUIS_DATOS!$C$1561))/CROQUIS_DATOS!$C$1568-0.000001)),1,MOD($A27-1,2)),1-IF(INT(($A27-1)/2)+1&gt;MAX(1,INT(((((CROQUIS_DATOS!$C$1494+CROQUIS_DATOS!$C$1495))-(CROQUIS_DATOS!$C$1494))+((CROQUIS_DATOS!$C$1496)*CROQUIS_DATOS!$C$1561-(0)*CROQUIS_DATOS!$C$1561))/CROQUIS_DATOS!$C$1568-0.000001)),1,MOD($A27-1,2)))=1,MIN((CROQUIS_DATOS!$C$1496)*CROQUIS_DATOS!$C$1561,((CROQUIS_DATOS!$C$1494+CROQUIS_DATOS!$C$1495)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7">
        <f>IF(AND(CROQUIS_DATOS!$C$1472=1,CROQUIS_DATOS!$C$1478&gt;=4,((CROQUIS_DATOS!$C$1494+CROQUIS_DATOS!$C$1495))-(CROQUIS_DATOS!$C$1494)&gt;0.5,(CROQUIS_DATOS!$C$1496)-(0)&gt;0.5),(CROQUIS_DATOS!$C$1567+(IF(IF(MOD(MIN(INT(($A27-1)/2)+1,MAX(1,INT(((((CROQUIS_DATOS!$C$1494+CROQUIS_DATOS!$C$1495))-(CROQUIS_DATOS!$C$1494))+((CROQUIS_DATOS!$C$1496)*CROQUIS_DATOS!$C$1561-(0)*CROQUIS_DATOS!$C$1561))/CROQUIS_DATOS!$C$1568-0.000001))),2)=1,IF(INT(($A27-1)/2)+1&gt;MAX(1,INT(((((CROQUIS_DATOS!$C$1494+CROQUIS_DATOS!$C$1495))-(CROQUIS_DATOS!$C$1494))+((CROQUIS_DATOS!$C$1496)*CROQUIS_DATOS!$C$1561-(0)*CROQUIS_DATOS!$C$1561))/CROQUIS_DATOS!$C$1568-0.000001)),1,MOD($A27-1,2)),1-IF(INT(($A27-1)/2)+1&gt;MAX(1,INT(((((CROQUIS_DATOS!$C$1494+CROQUIS_DATOS!$C$1495))-(CROQUIS_DATOS!$C$1494))+((CROQUIS_DATOS!$C$1496)*CROQUIS_DATOS!$C$1561-(0)*CROQUIS_DATOS!$C$1561))/CROQUIS_DATOS!$C$1568-0.000001)),1,MOD($A27-1,2)))=1,MIN((CROQUIS_DATOS!$C$1496)*CROQUIS_DATOS!$C$1561,((CROQUIS_DATOS!$C$1494+CROQUIS_DATOS!$C$1495)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7">
        <f>IF(AND(CROQUIS_DATOS!$C$1472=1,CROQUIS_DATOS!$C$1478&gt;=4,((CROQUIS_DATOS!$C$1494+CROQUIS_DATOS!$C$1495))-(CROQUIS_DATOS!$C$1494)&gt;0.5,(CROQUIS_DATOS!$C$1476)-((CROQUIS_DATOS!$C$1496+CROQUIS_DATOS!$C$1497))&gt;0.5),(CROQUIS_DATOS!$C$1566+(IF(IF(MOD(MIN(INT(($A27-1)/2)+1,MAX(1,INT(((((CROQUIS_DATOS!$C$1494+CROQUIS_DATOS!$C$1495))-(CROQUIS_DATOS!$C$1494))+((CROQUIS_DATOS!$C$1476)*CROQUIS_DATOS!$C$1561-((CROQUIS_DATOS!$C$1496+CROQUIS_DATOS!$C$1497))*CROQUIS_DATOS!$C$1561))/CROQUIS_DATOS!$C$1568-0.000001))),2)=1,IF(INT(($A27-1)/2)+1&gt;MAX(1,INT(((((CROQUIS_DATOS!$C$1494+CROQUIS_DATOS!$C$1495))-(CROQUIS_DATOS!$C$1494))+((CROQUIS_DATOS!$C$1476)*CROQUIS_DATOS!$C$1561-((CROQUIS_DATOS!$C$1496+CROQUIS_DATOS!$C$1497))*CROQUIS_DATOS!$C$1561))/CROQUIS_DATOS!$C$1568-0.000001)),1,MOD($A27-1,2)),1-IF(INT(($A27-1)/2)+1&gt;MAX(1,INT(((((CROQUIS_DATOS!$C$1494+CROQUIS_DATOS!$C$1495))-(CROQUIS_DATOS!$C$1494))+((CROQUIS_DATOS!$C$1476)*CROQUIS_DATOS!$C$1561-((CROQUIS_DATOS!$C$1496+CROQUIS_DATOS!$C$1497))*CROQUIS_DATOS!$C$1561))/CROQUIS_DATOS!$C$1568-0.000001)),1,MOD($A27-1,2)))=1,MIN((CROQUIS_DATOS!$C$1476)*CROQUIS_DATOS!$C$1561,((CROQUIS_DATOS!$C$1494+CROQUIS_DATOS!$C$1495)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7">
        <f>IF(AND(CROQUIS_DATOS!$C$1472=1,CROQUIS_DATOS!$C$1478&gt;=4,((CROQUIS_DATOS!$C$1494+CROQUIS_DATOS!$C$1495))-(CROQUIS_DATOS!$C$1494)&gt;0.5,(CROQUIS_DATOS!$C$1476)-((CROQUIS_DATOS!$C$1496+CROQUIS_DATOS!$C$1497))&gt;0.5),(CROQUIS_DATOS!$C$1567+(IF(IF(MOD(MIN(INT(($A27-1)/2)+1,MAX(1,INT(((((CROQUIS_DATOS!$C$1494+CROQUIS_DATOS!$C$1495))-(CROQUIS_DATOS!$C$1494))+((CROQUIS_DATOS!$C$1476)*CROQUIS_DATOS!$C$1561-((CROQUIS_DATOS!$C$1496+CROQUIS_DATOS!$C$1497))*CROQUIS_DATOS!$C$1561))/CROQUIS_DATOS!$C$1568-0.000001))),2)=1,IF(INT(($A27-1)/2)+1&gt;MAX(1,INT(((((CROQUIS_DATOS!$C$1494+CROQUIS_DATOS!$C$1495))-(CROQUIS_DATOS!$C$1494))+((CROQUIS_DATOS!$C$1476)*CROQUIS_DATOS!$C$1561-((CROQUIS_DATOS!$C$1496+CROQUIS_DATOS!$C$1497))*CROQUIS_DATOS!$C$1561))/CROQUIS_DATOS!$C$1568-0.000001)),1,MOD($A27-1,2)),1-IF(INT(($A27-1)/2)+1&gt;MAX(1,INT(((((CROQUIS_DATOS!$C$1494+CROQUIS_DATOS!$C$1495))-(CROQUIS_DATOS!$C$1494))+((CROQUIS_DATOS!$C$1476)*CROQUIS_DATOS!$C$1561-((CROQUIS_DATOS!$C$1496+CROQUIS_DATOS!$C$1497))*CROQUIS_DATOS!$C$1561))/CROQUIS_DATOS!$C$1568-0.000001)),1,MOD($A27-1,2)))=1,MIN((CROQUIS_DATOS!$C$1476)*CROQUIS_DATOS!$C$1561,((CROQUIS_DATOS!$C$1494+CROQUIS_DATOS!$C$1495)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7">
        <f>IF(AND(CROQUIS_DATOS!$C$1472=1,1),(CROQUIS_DATOS!$C$1571+(CHOOSE(MIN(MAX(IF(INT(($A27-1)/5)+1&gt;CROQUIS_DATOS!$C$1525,5,MOD($A27-1,5)+1),1),5),(INDEX($E$8:$E$23,MIN(INT(($A27-1)/5)+1,CROQUIS_DATOS!$C$1525))-INDEX($F$8:$F$23,MIN(INT(($A27-1)/5)+1,CROQUIS_DATOS!$C$1525))/2),(INDEX($E$8:$E$23,MIN(INT(($A27-1)/5)+1,CROQUIS_DATOS!$C$1525))+INDEX($F$8:$F$23,MIN(INT(($A27-1)/5)+1,CROQUIS_DATOS!$C$1525))/2),(INDEX($E$8:$E$23,MIN(INT(($A27-1)/5)+1,CROQUIS_DATOS!$C$1525))+INDEX($F$8:$F$23,MIN(INT(($A27-1)/5)+1,CROQUIS_DATOS!$C$1525))/2),(INDEX($E$8:$E$23,MIN(INT(($A27-1)/5)+1,CROQUIS_DATOS!$C$1525))-INDEX($F$8:$F$23,MIN(INT(($A27-1)/5)+1,CROQUIS_DATOS!$C$1525))/2),(INDEX($E$8:$E$23,MIN(INT(($A27-1)/5)+1,CROQUIS_DATOS!$C$1525))-INDEX($F$8:$F$23,MIN(INT(($A27-1)/5)+1,CROQUIS_DATOS!$C$1525))/2)))*CROQUIS_DATOS!$C$1569),-1000)</f>
        <v>45.56</v>
      </c>
      <c r="GE27">
        <f>IF(AND(CROQUIS_DATOS!$C$1472=1,1),(CROQUIS_DATOS!$C$1572+(CHOOSE(MIN(MAX(IF(INT(($A27-1)/5)+1&gt;CROQUIS_DATOS!$C$1525,5,MOD($A27-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7">
        <f>IF(AND(CROQUIS_DATOS!$C$1472=1,1),IF(INT(($A27-1)/4)+1&lt;=CROQUIS_DATOS!$C$1525,(CROQUIS_DATOS!$C$1571+((INDEX($E$8:$E$23,MIN(INT(($A27-1)/4)+1,16))+IF(OR(MOD($A27-1,4)=0,MOD($A27-1,4)=3),-1,1)*(INDEX($F$8:$F$23,MIN(INT(($A27-1)/4)+1,16))/2-(CROQUIS_DATOS!$C$1530+CROQUIS_DATOS!$C$1532+IF(OR(INT(($A27-1)/4)+1=1,INT(($A27-1)/4)+1=CROQUIS_DATOS!$C$1525),CROQUIS_DATOS!$C$1534,CROQUIS_DATOS!$C$1531)/2))))*CROQUIS_DATOS!$C$1569),-1000),-1000)</f>
        <v>76.492516</v>
      </c>
      <c r="GG27">
        <f>IF(AND(CROQUIS_DATOS!$C$1472=1,1),IF(INT(($A27-1)/4)+1&lt;=CROQUIS_DATOS!$C$1525,(CROQUIS_DATOS!$C$1572+((CROQUIS_DATOS!$C$1477/2+IF(MOD($A27-1,4)&lt;2,-1,1)*(CROQUIS_DATOS!$C$1527/2-(CROQUIS_DATOS!$C$1530+CROQUIS_DATOS!$C$1532+IF(OR(INT(($A27-1)/4)+1=1,INT(($A27-1)/4)+1=CROQUIS_DATOS!$C$1525),CROQUIS_DATOS!$C$1534,CROQUIS_DATOS!$C$1531)/2))))*CROQUIS_DATOS!$C$1569*CROQUIS_DATOS!$C$1570),-1000),-1000)</f>
        <v>13.06655</v>
      </c>
    </row>
    <row r="28">
      <c r="A28" t="n">
        <v>21</v>
      </c>
      <c r="H28">
        <f>IF(21&lt;=CROQUIS_DATOS!$C$1539,21*CROQUIS_DATOS!$C$1536,IF(21&lt;=CROQUIS_DATOS!$C$1539+CROQUIS_DATOS!$C$1540,CROQUIS_DATOS!$C$1539*CROQUIS_DATOS!$C$1536+(21-CROQUIS_DATOS!$C$1539)*(CROQUIS_DATOS!$C$1476-2*CROQUIS_DATOS!$C$1539*CROQUIS_DATOS!$C$1536)/(CROQUIS_DATOS!$C$1540+1),CROQUIS_DATOS!$C$1476-(2*CROQUIS_DATOS!$C$1539+CROQUIS_DATOS!$C$1540+1-21)*CROQUIS_DATOS!$C$1536))</f>
        <v>265</v>
      </c>
      <c r="J28">
        <f>IF(AND(CROQUIS_DATOS!$C$1472=1,1),(CROQUIS_DATOS!$C$1563+(CHOOSE(MIN(MAX(IF(INT(($A28-1)/4)+1&gt;CROQUIS_DATOS!$C$1525,4,MOD($A28-1,4)+1),1),4),(INDEX($E$8:$E$23,MIN(INT(($A28-1)/4)+1,CROQUIS_DATOS!$C$1525))-INDEX($F$8:$F$23,MIN(INT(($A28-1)/4)+1,CROQUIS_DATOS!$C$1525))/2),(INDEX($E$8:$E$23,MIN(INT(($A28-1)/4)+1,CROQUIS_DATOS!$C$1525))-INDEX($F$8:$F$23,MIN(INT(($A28-1)/4)+1,CROQUIS_DATOS!$C$1525))/2),(INDEX($E$8:$E$23,MIN(INT(($A28-1)/4)+1,CROQUIS_DATOS!$C$1525))+INDEX($F$8:$F$23,MIN(INT(($A28-1)/4)+1,CROQUIS_DATOS!$C$1525))/2),(INDEX($E$8:$E$23,MIN(INT(($A28-1)/4)+1,CROQUIS_DATOS!$C$1525))+INDEX($F$8:$F$23,MIN(INT(($A28-1)/4)+1,CROQUIS_DATOS!$C$1525))/2)))*CROQUIS_DATOS!$C$1562),-1000)</f>
        <v>82.8189655172414</v>
      </c>
      <c r="K28">
        <f>IF(AND(CROQUIS_DATOS!$C$1472=1,1),(CROQUIS_DATOS!$C$1564+(CHOOSE(MIN(MAX(IF(INT(($A28-1)/4)+1&gt;CROQUIS_DATOS!$C$1525,4,MOD($A28-1,4)+1),1),4),0,CROQUIS_DATOS!$C$1476,CROQUIS_DATOS!$C$1476,0))*CROQUIS_DATOS!$C$1561*CROQUIS_DATOS!$C$1562),-1000)</f>
        <v>5.29310344827586</v>
      </c>
      <c r="L28">
        <f>IF(AND(CROQUIS_DATOS!$C$1472=1,1),(CROQUIS_DATOS!$C$1563+(CHOOSE(MIN(MAX(IF(INT(($A28-1)/4)+1&gt;CROQUIS_DATOS!$C$1525,4,MOD($A28-1,4)+1),1),4),((INDEX($E$8:$E$23,MIN(INT(($A28-1)/4)+1,CROQUIS_DATOS!$C$1525))-INDEX($F$8:$F$23,MIN(INT(($A28-1)/4)+1,CROQUIS_DATOS!$C$1525))/2)+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,((INDEX($E$8:$E$23,MIN(INT(($A28-1)/4)+1,CROQUIS_DATOS!$C$1525))-INDEX($F$8:$F$23,MIN(INT(($A28-1)/4)+1,CROQUIS_DATOS!$C$1525))/2)+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,((INDEX($E$8:$E$23,MIN(INT(($A28-1)/4)+1,CROQUIS_DATOS!$C$1525))+INDEX($F$8:$F$23,MIN(INT(($A28-1)/4)+1,CROQUIS_DATOS!$C$1525))/2)-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,((INDEX($E$8:$E$23,MIN(INT(($A28-1)/4)+1,CROQUIS_DATOS!$C$1525))+INDEX($F$8:$F$23,MIN(INT(($A28-1)/4)+1,CROQUIS_DATOS!$C$1525))/2)-MIN((CROQUIS_DATOS!$C$1530+CROQUIS_DATOS!$C$1532+IF(OR(MIN(INT(($A28-1)/4)+1,CROQUIS_DATOS!$C$1525)=1,MIN(INT(($A28-1)/4)+1,CROQUIS_DATOS!$C$1525)=CROQUIS_DATOS!$C$1525),CROQUIS_DATOS!$C$1534,CROQUIS_DATOS!$C$1531)/2),INDEX($F$8:$F$23,MIN(INT(($A28-1)/4)+1,CROQUIS_DATOS!$C$1525))/2-0.5))))*CROQUIS_DATOS!$C$1562),-1000)</f>
        <v>83.2535025862069</v>
      </c>
      <c r="M28">
        <f>IF(AND(CROQUIS_DATOS!$C$1472=1,1),(CROQUIS_DATOS!$C$1564+(CHOOSE(MIN(MAX(IF(INT(($A28-1)/4)+1&gt;CROQUIS_DATOS!$C$1525,4,MOD($A28-1,4)+1),1),4),CROQUIS_DATOS!$C$1543,INDEX($I$8:$I$23,MIN(INT(($A28-1)/4)+1,CROQUIS_DATOS!$C$1525)),INDEX($I$8:$I$23,MIN(INT(($A28-1)/4)+1,CROQUIS_DATOS!$C$1525)),CROQUIS_DATOS!$C$1543))*CROQUIS_DATOS!$C$1561*CROQUIS_DATOS!$C$1562),-1000)</f>
        <v>42.5654629310345</v>
      </c>
      <c r="N28">
        <f>IF(AND(CROQUIS_DATOS!$C$1472=1,1),(CROQUIS_DATOS!$C$1563+(IF(IF(IF(INT(($A28-1)/70)+1&gt;CROQUIS_DATOS!$C$1525,70,MOD($A28-1,70)+1)=1,0,IF(IF(INT(($A28-1)/70)+1&gt;CROQUIS_DATOS!$C$1525,70,MOD($A28-1,70)+1)&gt;2*CROQUIS_DATOS!$C$1541+1,IF(MOD(CROQUIS_DATOS!$C$1541,2)=1,1,0),IF(MOD(MIN(INT((IF(INT(($A28-1)/70)+1&gt;CROQUIS_DATOS!$C$1525,70,MOD($A28-1,70)+1)-2)/2)+1,CROQUIS_DATOS!$C$1541),2)=1,IF(MOD(IF(INT(($A28-1)/70)+1&gt;CROQUIS_DATOS!$C$1525,70,MOD($A28-1,70)+1)-2,2)=0,0,1),IF(MOD(IF(INT(($A28-1)/70)+1&gt;CROQUIS_DATOS!$C$1525,70,MOD($A28-1,70)+1)-2,2)=0,1,0))))=0,(INDEX($E$8:$E$23,MIN(INT(($A28-1)/70)+1,CROQUIS_DATOS!$C$1525))-INDEX($F$8:$F$23,MIN(INT(($A28-1)/70)+1,CROQUIS_DATOS!$C$1525))/2),(INDEX($E$8:$E$23,MIN(INT(($A28-1)/70)+1,CROQUIS_DATOS!$C$1525))+INDEX($F$8:$F$23,MIN(INT(($A28-1)/70)+1,CROQUIS_DATOS!$C$1525))/2)))*CROQUIS_DATOS!$C$1562),-1000)</f>
        <v>15.0862068965517</v>
      </c>
      <c r="O28">
        <f>IF(AND(CROQUIS_DATOS!$C$1472=1,1),(CROQUIS_DATOS!$C$1564+(IF(OR(IF(INT(($A28-1)/70)+1&gt;CROQUIS_DATOS!$C$1525,70,MOD($A28-1,70)+1)=1,IF(INT(($A28-1)/70)+1&gt;CROQUIS_DATOS!$C$1525,70,MOD($A28-1,70)+1)&gt;2*CROQUIS_DATOS!$C$1541+1),CROQUIS_DATOS!$C$1476,INDEX($H$8:$H$41,MIN(INT((IF(INT(($A28-1)/70)+1&gt;CROQUIS_DATOS!$C$1525,70,MOD($A28-1,70)+1)-2)/2)+1,CROQUIS_DATOS!$C$1541))))*CROQUIS_DATOS!$C$1561*CROQUIS_DATOS!$C$1562),-1000)</f>
        <v>24.1077586206897</v>
      </c>
      <c r="P28">
        <f>IF(AND(CROQUIS_DATOS!$C$1472=1,CROQUIS_DATOS!$C$1555=1),(CROQUIS_DATOS!$C$1563+(IF(IF(OR(MOD($A28-1,62)+1=1,IF(CHOOSE(MIN(MAX(MIN(INT(($A28-1)/62)+1,5),1),5),CROQUIS_DATOS!$C$1501,CROQUIS_DATOS!$C$1505,CROQUIS_DATOS!$C$1509,CROQUIS_DATOS!$C$1513,CROQUIS_DATOS!$C$1517)=1,CROQUIS_DATOS!$C$1557,0)=0),0,IF(MOD($A28-1,62)+1&gt;2*IF(CHOOSE(MIN(MAX(MIN(INT(($A28-1)/62)+1,5),1),5),CROQUIS_DATOS!$C$1501,CROQUIS_DATOS!$C$1505,CROQUIS_DATOS!$C$1509,CROQUIS_DATOS!$C$1513,CROQUIS_DATOS!$C$1517)=1,CROQUIS_DATOS!$C$1557,0)+1,IF(MOD(IF(CHOOSE(MIN(MAX(MIN(INT(($A28-1)/62)+1,5),1),5),CROQUIS_DATOS!$C$1501,CROQUIS_DATOS!$C$1505,CROQUIS_DATOS!$C$1509,CROQUIS_DATOS!$C$1513,CROQUIS_DATOS!$C$1517)=1,CROQUIS_DATOS!$C$1557,0),2)=1,1,0),IF(MOD(MIN(INT((MOD($A28-1,62)+1-2)/2)+1,MAX(IF(CHOOSE(MIN(MAX(MIN(INT(($A28-1)/62)+1,5),1),5),CROQUIS_DATOS!$C$1501,CROQUIS_DATOS!$C$1505,CROQUIS_DATOS!$C$1509,CROQUIS_DATOS!$C$1513,CROQUIS_DATOS!$C$1517)=1,CROQUIS_DATOS!$C$1557,0),1)),2)=1,IF(MOD(MOD($A28-1,62)+1-2,2)=0,0,1),IF(MOD(MOD($A28-1,62)+1-2,2)=0,1,0))))=0,(CHOOSE(MIN(MAX(MIN(INT(($A28-1)/62)+1,5),1),5),CROQUIS_DATOS!$C$1499,CROQUIS_DATOS!$C$1503,CROQUIS_DATOS!$C$1507,CROQUIS_DATOS!$C$1511,CROQUIS_DATOS!$C$1515)+IF(CHOOSE(MIN(MAX(MIN(INT(($A28-1)/62)+1,5),1),5),CROQUIS_DATOS!$C$1501,CROQUIS_DATOS!$C$1505,CROQUIS_DATOS!$C$1509,CROQUIS_DATOS!$C$1513,CROQUIS_DATOS!$C$1517)=1,CROQUIS_DATOS!$C$1526,0)),(CHOOSE(MIN(MAX(MIN(INT(($A28-1)/62)+1,5),1),5),CROQUIS_DATOS!$C$1499,CROQUIS_DATOS!$C$1503,CROQUIS_DATOS!$C$1507,CROQUIS_DATOS!$C$1511,CROQUIS_DATOS!$C$1515)+CHOOSE(MIN(MAX(MIN(INT(($A28-1)/62)+1,5),1),5),CROQUIS_DATOS!$C$1500,CROQUIS_DATOS!$C$1504,CROQUIS_DATOS!$C$1508,CROQUIS_DATOS!$C$1512,CROQUIS_DATOS!$C$1516)-IF(CHOOSE(MIN(MAX(MIN(INT(($A28-1)/62)+1,5),1),5),CROQUIS_DATOS!$C$1501,CROQUIS_DATOS!$C$1505,CROQUIS_DATOS!$C$1509,CROQUIS_DATOS!$C$1513,CROQUIS_DATOS!$C$1517)=1,CROQUIS_DATOS!$C$1526,0))))*CROQUIS_DATOS!$C$1562),-1000)</f>
        <v>-1000</v>
      </c>
      <c r="Q28">
        <f>IF(AND(CROQUIS_DATOS!$C$1472=1,CROQUIS_DATOS!$C$1555=1),(CROQUIS_DATOS!$C$1564+(IF(OR(OR(MOD($A28-1,62)+1=1,IF(CHOOSE(MIN(MAX(MIN(INT(($A28-1)/62)+1,5),1),5),CROQUIS_DATOS!$C$1501,CROQUIS_DATOS!$C$1505,CROQUIS_DATOS!$C$1509,CROQUIS_DATOS!$C$1513,CROQUIS_DATOS!$C$1517)=1,CROQUIS_DATOS!$C$1557,0)=0),MOD($A28-1,62)+1&gt;2*IF(CHOOSE(MIN(MAX(MIN(INT(($A28-1)/62)+1,5),1),5),CROQUIS_DATOS!$C$1501,CROQUIS_DATOS!$C$1505,CROQUIS_DATOS!$C$1509,CROQUIS_DATOS!$C$1513,CROQUIS_DATOS!$C$1517)=1,CROQUIS_DATOS!$C$1557,0)+1),CROQUIS_DATOS!$C$1476,MIN(INT((MOD($A28-1,62)+1-2)/2)+1,MAX(IF(CHOOSE(MIN(MAX(MIN(INT(($A28-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">
        <f>IF(AND(CROQUIS_DATOS!$C$1472=1,1),(CROQUIS_DATOS!$C$1563+(MIN(INT(($A28-1)/2)+1,CROQUIS_DATOS!$C$1558)*CROQUIS_DATOS!$C$1559)*CROQUIS_DATOS!$C$1562),-1000)</f>
        <v>44.6286472148541</v>
      </c>
      <c r="U28">
        <f>IF(AND(CROQUIS_DATOS!$C$1472=1,1),(CROQUIS_DATOS!$C$1564+(IF(INT(($A28-1)/2)+1&gt;CROQUIS_DATOS!$C$1558,IF(MOD(CROQUIS_DATOS!$C$1558,2)=1,CROQUIS_DATOS!$C$1476+CROQUIS_DATOS!$C$1528,CROQUIS_DATOS!$C$1476),IF(IF(MOD(MIN(INT(($A28-1)/2)+1,CROQUIS_DATOS!$C$1558),2)=1,MOD($A28-1,2),1-MOD($A28-1,2))=1,CROQUIS_DATOS!$C$1476+CROQUIS_DATOS!$C$1528,CROQUIS_DATOS!$C$1476)))*CROQUIS_DATOS!$C$1561*CROQUIS_DATOS!$C$1562),-1000)</f>
        <v>40.2068965517241</v>
      </c>
      <c r="BZ28">
        <f>IF(AND(CROQUIS_DATOS!$C$1472=1,CROQUIS_DATOS!$C$1500&gt;0,((CROQUIS_DATOS!$C$1499+CROQUIS_DATOS!$C$1500))-(CROQUIS_DATOS!$C$1499)&gt;0.5,(CROQUIS_DATOS!$C$1476)-(0)&gt;0.5),(CROQUIS_DATOS!$C$1566+(IF(IF(MOD(MIN(INT(($A28-1)/2)+1,MAX(1,INT(((((CROQUIS_DATOS!$C$1499+CROQUIS_DATOS!$C$1500))-(CROQUIS_DATOS!$C$1499))+((CROQUIS_DATOS!$C$1476)*CROQUIS_DATOS!$C$1561-(0)*CROQUIS_DATOS!$C$1561))/CROQUIS_DATOS!$C$1568-0.000001))),2)=1,IF(INT(($A28-1)/2)+1&gt;MAX(1,INT(((((CROQUIS_DATOS!$C$1499+CROQUIS_DATOS!$C$1500))-(CROQUIS_DATOS!$C$1499))+((CROQUIS_DATOS!$C$1476)*CROQUIS_DATOS!$C$1561-(0)*CROQUIS_DATOS!$C$1561))/CROQUIS_DATOS!$C$1568-0.000001)),1,MOD($A28-1,2)),1-IF(INT(($A28-1)/2)+1&gt;MAX(1,INT(((((CROQUIS_DATOS!$C$1499+CROQUIS_DATOS!$C$1500))-(CROQUIS_DATOS!$C$1499))+((CROQUIS_DATOS!$C$1476)*CROQUIS_DATOS!$C$1561-(0)*CROQUIS_DATOS!$C$1561))/CROQUIS_DATOS!$C$1568-0.000001)),1,MOD($A28-1,2)))=1,MIN((CROQUIS_DATOS!$C$1476)*CROQUIS_DATOS!$C$1561,((CROQUIS_DATOS!$C$1499+CROQUIS_DATOS!$C$1500)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28">
        <f>IF(AND(CROQUIS_DATOS!$C$1472=1,CROQUIS_DATOS!$C$1500&gt;0,((CROQUIS_DATOS!$C$1499+CROQUIS_DATOS!$C$1500))-(CROQUIS_DATOS!$C$1499)&gt;0.5,(CROQUIS_DATOS!$C$1476)-(0)&gt;0.5),(CROQUIS_DATOS!$C$1567+(IF(IF(MOD(MIN(INT(($A28-1)/2)+1,MAX(1,INT(((((CROQUIS_DATOS!$C$1499+CROQUIS_DATOS!$C$1500))-(CROQUIS_DATOS!$C$1499))+((CROQUIS_DATOS!$C$1476)*CROQUIS_DATOS!$C$1561-(0)*CROQUIS_DATOS!$C$1561))/CROQUIS_DATOS!$C$1568-0.000001))),2)=1,IF(INT(($A28-1)/2)+1&gt;MAX(1,INT(((((CROQUIS_DATOS!$C$1499+CROQUIS_DATOS!$C$1500))-(CROQUIS_DATOS!$C$1499))+((CROQUIS_DATOS!$C$1476)*CROQUIS_DATOS!$C$1561-(0)*CROQUIS_DATOS!$C$1561))/CROQUIS_DATOS!$C$1568-0.000001)),1,MOD($A28-1,2)),1-IF(INT(($A28-1)/2)+1&gt;MAX(1,INT(((((CROQUIS_DATOS!$C$1499+CROQUIS_DATOS!$C$1500))-(CROQUIS_DATOS!$C$1499))+((CROQUIS_DATOS!$C$1476)*CROQUIS_DATOS!$C$1561-(0)*CROQUIS_DATOS!$C$1561))/CROQUIS_DATOS!$C$1568-0.000001)),1,MOD($A28-1,2)))=1,MIN((CROQUIS_DATOS!$C$1476)*CROQUIS_DATOS!$C$1561,((CROQUIS_DATOS!$C$1499+CROQUIS_DATOS!$C$1500)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28-1)/2)+1,MAX(1,INT(((((CROQUIS_DATOS!$C$1499+CROQUIS_DATOS!$C$1500))-(CROQUIS_DATOS!$C$1499))+((CROQUIS_DATOS!$C$1476)*CROQUIS_DATOS!$C$1561-(0)*CROQUIS_DATOS!$C$1561))/CROQUIS_DATOS!$C$1568-0.000001)))*CROQUIS_DATOS!$C$1568))))*CROQUIS_DATOS!$C$1565),-1000)</f>
        <v>21.2620689655172</v>
      </c>
      <c r="CB28">
        <f>IF(AND(CROQUIS_DATOS!$C$1472=1,CROQUIS_DATOS!$C$1504&gt;0,((CROQUIS_DATOS!$C$1503+CROQUIS_DATOS!$C$1504))-(CROQUIS_DATOS!$C$1503)&gt;0.5,(CROQUIS_DATOS!$C$1476)-(0)&gt;0.5),(CROQUIS_DATOS!$C$1566+(IF(IF(MOD(MIN(INT(($A28-1)/2)+1,MAX(1,INT(((((CROQUIS_DATOS!$C$1503+CROQUIS_DATOS!$C$1504))-(CROQUIS_DATOS!$C$1503))+((CROQUIS_DATOS!$C$1476)*CROQUIS_DATOS!$C$1561-(0)*CROQUIS_DATOS!$C$1561))/CROQUIS_DATOS!$C$1568-0.000001))),2)=1,IF(INT(($A28-1)/2)+1&gt;MAX(1,INT(((((CROQUIS_DATOS!$C$1503+CROQUIS_DATOS!$C$1504))-(CROQUIS_DATOS!$C$1503))+((CROQUIS_DATOS!$C$1476)*CROQUIS_DATOS!$C$1561-(0)*CROQUIS_DATOS!$C$1561))/CROQUIS_DATOS!$C$1568-0.000001)),1,MOD($A28-1,2)),1-IF(INT(($A28-1)/2)+1&gt;MAX(1,INT(((((CROQUIS_DATOS!$C$1503+CROQUIS_DATOS!$C$1504))-(CROQUIS_DATOS!$C$1503))+((CROQUIS_DATOS!$C$1476)*CROQUIS_DATOS!$C$1561-(0)*CROQUIS_DATOS!$C$1561))/CROQUIS_DATOS!$C$1568-0.000001)),1,MOD($A28-1,2)))=1,MIN((CROQUIS_DATOS!$C$1476)*CROQUIS_DATOS!$C$1561,((CROQUIS_DATOS!$C$1503+CROQUIS_DATOS!$C$1504)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28">
        <f>IF(AND(CROQUIS_DATOS!$C$1472=1,CROQUIS_DATOS!$C$1504&gt;0,((CROQUIS_DATOS!$C$1503+CROQUIS_DATOS!$C$1504))-(CROQUIS_DATOS!$C$1503)&gt;0.5,(CROQUIS_DATOS!$C$1476)-(0)&gt;0.5),(CROQUIS_DATOS!$C$1567+(IF(IF(MOD(MIN(INT(($A28-1)/2)+1,MAX(1,INT(((((CROQUIS_DATOS!$C$1503+CROQUIS_DATOS!$C$1504))-(CROQUIS_DATOS!$C$1503))+((CROQUIS_DATOS!$C$1476)*CROQUIS_DATOS!$C$1561-(0)*CROQUIS_DATOS!$C$1561))/CROQUIS_DATOS!$C$1568-0.000001))),2)=1,IF(INT(($A28-1)/2)+1&gt;MAX(1,INT(((((CROQUIS_DATOS!$C$1503+CROQUIS_DATOS!$C$1504))-(CROQUIS_DATOS!$C$1503))+((CROQUIS_DATOS!$C$1476)*CROQUIS_DATOS!$C$1561-(0)*CROQUIS_DATOS!$C$1561))/CROQUIS_DATOS!$C$1568-0.000001)),1,MOD($A28-1,2)),1-IF(INT(($A28-1)/2)+1&gt;MAX(1,INT(((((CROQUIS_DATOS!$C$1503+CROQUIS_DATOS!$C$1504))-(CROQUIS_DATOS!$C$1503))+((CROQUIS_DATOS!$C$1476)*CROQUIS_DATOS!$C$1561-(0)*CROQUIS_DATOS!$C$1561))/CROQUIS_DATOS!$C$1568-0.000001)),1,MOD($A28-1,2)))=1,MIN((CROQUIS_DATOS!$C$1476)*CROQUIS_DATOS!$C$1561,((CROQUIS_DATOS!$C$1503+CROQUIS_DATOS!$C$1504)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28-1)/2)+1,MAX(1,INT(((((CROQUIS_DATOS!$C$1503+CROQUIS_DATOS!$C$1504))-(CROQUIS_DATOS!$C$1503))+((CROQUIS_DATOS!$C$1476)*CROQUIS_DATOS!$C$1561-(0)*CROQUIS_DATOS!$C$1561))/CROQUIS_DATOS!$C$1568-0.000001)))*CROQUIS_DATOS!$C$1568))))*CROQUIS_DATOS!$C$1565),-1000)</f>
        <v>21.2620689655172</v>
      </c>
      <c r="CD28">
        <f>IF(AND(CROQUIS_DATOS!$C$1472=1,CROQUIS_DATOS!$C$1508&gt;0,((CROQUIS_DATOS!$C$1507+CROQUIS_DATOS!$C$1508))-(CROQUIS_DATOS!$C$1507)&gt;0.5,(CROQUIS_DATOS!$C$1476)-(0)&gt;0.5),(CROQUIS_DATOS!$C$1566+(IF(IF(MOD(MIN(INT(($A28-1)/2)+1,MAX(1,INT(((((CROQUIS_DATOS!$C$1507+CROQUIS_DATOS!$C$1508))-(CROQUIS_DATOS!$C$1507))+((CROQUIS_DATOS!$C$1476)*CROQUIS_DATOS!$C$1561-(0)*CROQUIS_DATOS!$C$1561))/CROQUIS_DATOS!$C$1568-0.000001))),2)=1,IF(INT(($A28-1)/2)+1&gt;MAX(1,INT(((((CROQUIS_DATOS!$C$1507+CROQUIS_DATOS!$C$1508))-(CROQUIS_DATOS!$C$1507))+((CROQUIS_DATOS!$C$1476)*CROQUIS_DATOS!$C$1561-(0)*CROQUIS_DATOS!$C$1561))/CROQUIS_DATOS!$C$1568-0.000001)),1,MOD($A28-1,2)),1-IF(INT(($A28-1)/2)+1&gt;MAX(1,INT(((((CROQUIS_DATOS!$C$1507+CROQUIS_DATOS!$C$1508))-(CROQUIS_DATOS!$C$1507))+((CROQUIS_DATOS!$C$1476)*CROQUIS_DATOS!$C$1561-(0)*CROQUIS_DATOS!$C$1561))/CROQUIS_DATOS!$C$1568-0.000001)),1,MOD($A28-1,2)))=1,MIN((CROQUIS_DATOS!$C$1476)*CROQUIS_DATOS!$C$1561,((CROQUIS_DATOS!$C$1507+CROQUIS_DATOS!$C$1508)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28">
        <f>IF(AND(CROQUIS_DATOS!$C$1472=1,CROQUIS_DATOS!$C$1508&gt;0,((CROQUIS_DATOS!$C$1507+CROQUIS_DATOS!$C$1508))-(CROQUIS_DATOS!$C$1507)&gt;0.5,(CROQUIS_DATOS!$C$1476)-(0)&gt;0.5),(CROQUIS_DATOS!$C$1567+(IF(IF(MOD(MIN(INT(($A28-1)/2)+1,MAX(1,INT(((((CROQUIS_DATOS!$C$1507+CROQUIS_DATOS!$C$1508))-(CROQUIS_DATOS!$C$1507))+((CROQUIS_DATOS!$C$1476)*CROQUIS_DATOS!$C$1561-(0)*CROQUIS_DATOS!$C$1561))/CROQUIS_DATOS!$C$1568-0.000001))),2)=1,IF(INT(($A28-1)/2)+1&gt;MAX(1,INT(((((CROQUIS_DATOS!$C$1507+CROQUIS_DATOS!$C$1508))-(CROQUIS_DATOS!$C$1507))+((CROQUIS_DATOS!$C$1476)*CROQUIS_DATOS!$C$1561-(0)*CROQUIS_DATOS!$C$1561))/CROQUIS_DATOS!$C$1568-0.000001)),1,MOD($A28-1,2)),1-IF(INT(($A28-1)/2)+1&gt;MAX(1,INT(((((CROQUIS_DATOS!$C$1507+CROQUIS_DATOS!$C$1508))-(CROQUIS_DATOS!$C$1507))+((CROQUIS_DATOS!$C$1476)*CROQUIS_DATOS!$C$1561-(0)*CROQUIS_DATOS!$C$1561))/CROQUIS_DATOS!$C$1568-0.000001)),1,MOD($A28-1,2)))=1,MIN((CROQUIS_DATOS!$C$1476)*CROQUIS_DATOS!$C$1561,((CROQUIS_DATOS!$C$1507+CROQUIS_DATOS!$C$1508)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28-1)/2)+1,MAX(1,INT(((((CROQUIS_DATOS!$C$1507+CROQUIS_DATOS!$C$1508))-(CROQUIS_DATOS!$C$1507))+((CROQUIS_DATOS!$C$1476)*CROQUIS_DATOS!$C$1561-(0)*CROQUIS_DATOS!$C$1561))/CROQUIS_DATOS!$C$1568-0.000001)))*CROQUIS_DATOS!$C$1568))))*CROQUIS_DATOS!$C$1565),-1000)</f>
        <v>21.2620689655172</v>
      </c>
      <c r="CF28">
        <f>IF(AND(CROQUIS_DATOS!$C$1472=1,CROQUIS_DATOS!$C$1512&gt;0,((CROQUIS_DATOS!$C$1511+CROQUIS_DATOS!$C$1512))-(CROQUIS_DATOS!$C$1511)&gt;0.5,(CROQUIS_DATOS!$C$1476)-(0)&gt;0.5),(CROQUIS_DATOS!$C$1566+(IF(IF(MOD(MIN(INT(($A28-1)/2)+1,MAX(1,INT(((((CROQUIS_DATOS!$C$1511+CROQUIS_DATOS!$C$1512))-(CROQUIS_DATOS!$C$1511))+((CROQUIS_DATOS!$C$1476)*CROQUIS_DATOS!$C$1561-(0)*CROQUIS_DATOS!$C$1561))/CROQUIS_DATOS!$C$1568-0.000001))),2)=1,IF(INT(($A28-1)/2)+1&gt;MAX(1,INT(((((CROQUIS_DATOS!$C$1511+CROQUIS_DATOS!$C$1512))-(CROQUIS_DATOS!$C$1511))+((CROQUIS_DATOS!$C$1476)*CROQUIS_DATOS!$C$1561-(0)*CROQUIS_DATOS!$C$1561))/CROQUIS_DATOS!$C$1568-0.000001)),1,MOD($A28-1,2)),1-IF(INT(($A28-1)/2)+1&gt;MAX(1,INT(((((CROQUIS_DATOS!$C$1511+CROQUIS_DATOS!$C$1512))-(CROQUIS_DATOS!$C$1511))+((CROQUIS_DATOS!$C$1476)*CROQUIS_DATOS!$C$1561-(0)*CROQUIS_DATOS!$C$1561))/CROQUIS_DATOS!$C$1568-0.000001)),1,MOD($A28-1,2)))=1,MIN((CROQUIS_DATOS!$C$1476)*CROQUIS_DATOS!$C$1561,((CROQUIS_DATOS!$C$1511+CROQUIS_DATOS!$C$1512)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8">
        <f>IF(AND(CROQUIS_DATOS!$C$1472=1,CROQUIS_DATOS!$C$1512&gt;0,((CROQUIS_DATOS!$C$1511+CROQUIS_DATOS!$C$1512))-(CROQUIS_DATOS!$C$1511)&gt;0.5,(CROQUIS_DATOS!$C$1476)-(0)&gt;0.5),(CROQUIS_DATOS!$C$1567+(IF(IF(MOD(MIN(INT(($A28-1)/2)+1,MAX(1,INT(((((CROQUIS_DATOS!$C$1511+CROQUIS_DATOS!$C$1512))-(CROQUIS_DATOS!$C$1511))+((CROQUIS_DATOS!$C$1476)*CROQUIS_DATOS!$C$1561-(0)*CROQUIS_DATOS!$C$1561))/CROQUIS_DATOS!$C$1568-0.000001))),2)=1,IF(INT(($A28-1)/2)+1&gt;MAX(1,INT(((((CROQUIS_DATOS!$C$1511+CROQUIS_DATOS!$C$1512))-(CROQUIS_DATOS!$C$1511))+((CROQUIS_DATOS!$C$1476)*CROQUIS_DATOS!$C$1561-(0)*CROQUIS_DATOS!$C$1561))/CROQUIS_DATOS!$C$1568-0.000001)),1,MOD($A28-1,2)),1-IF(INT(($A28-1)/2)+1&gt;MAX(1,INT(((((CROQUIS_DATOS!$C$1511+CROQUIS_DATOS!$C$1512))-(CROQUIS_DATOS!$C$1511))+((CROQUIS_DATOS!$C$1476)*CROQUIS_DATOS!$C$1561-(0)*CROQUIS_DATOS!$C$1561))/CROQUIS_DATOS!$C$1568-0.000001)),1,MOD($A28-1,2)))=1,MIN((CROQUIS_DATOS!$C$1476)*CROQUIS_DATOS!$C$1561,((CROQUIS_DATOS!$C$1511+CROQUIS_DATOS!$C$1512)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8">
        <f>IF(AND(CROQUIS_DATOS!$C$1472=1,CROQUIS_DATOS!$C$1516&gt;0,((CROQUIS_DATOS!$C$1515+CROQUIS_DATOS!$C$1516))-(CROQUIS_DATOS!$C$1515)&gt;0.5,(CROQUIS_DATOS!$C$1476)-(0)&gt;0.5),(CROQUIS_DATOS!$C$1566+(IF(IF(MOD(MIN(INT(($A28-1)/2)+1,MAX(1,INT(((((CROQUIS_DATOS!$C$1515+CROQUIS_DATOS!$C$1516))-(CROQUIS_DATOS!$C$1515))+((CROQUIS_DATOS!$C$1476)*CROQUIS_DATOS!$C$1561-(0)*CROQUIS_DATOS!$C$1561))/CROQUIS_DATOS!$C$1568-0.000001))),2)=1,IF(INT(($A28-1)/2)+1&gt;MAX(1,INT(((((CROQUIS_DATOS!$C$1515+CROQUIS_DATOS!$C$1516))-(CROQUIS_DATOS!$C$1515))+((CROQUIS_DATOS!$C$1476)*CROQUIS_DATOS!$C$1561-(0)*CROQUIS_DATOS!$C$1561))/CROQUIS_DATOS!$C$1568-0.000001)),1,MOD($A28-1,2)),1-IF(INT(($A28-1)/2)+1&gt;MAX(1,INT(((((CROQUIS_DATOS!$C$1515+CROQUIS_DATOS!$C$1516))-(CROQUIS_DATOS!$C$1515))+((CROQUIS_DATOS!$C$1476)*CROQUIS_DATOS!$C$1561-(0)*CROQUIS_DATOS!$C$1561))/CROQUIS_DATOS!$C$1568-0.000001)),1,MOD($A28-1,2)))=1,MIN((CROQUIS_DATOS!$C$1476)*CROQUIS_DATOS!$C$1561,((CROQUIS_DATOS!$C$1515+CROQUIS_DATOS!$C$1516)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8">
        <f>IF(AND(CROQUIS_DATOS!$C$1472=1,CROQUIS_DATOS!$C$1516&gt;0,((CROQUIS_DATOS!$C$1515+CROQUIS_DATOS!$C$1516))-(CROQUIS_DATOS!$C$1515)&gt;0.5,(CROQUIS_DATOS!$C$1476)-(0)&gt;0.5),(CROQUIS_DATOS!$C$1567+(IF(IF(MOD(MIN(INT(($A28-1)/2)+1,MAX(1,INT(((((CROQUIS_DATOS!$C$1515+CROQUIS_DATOS!$C$1516))-(CROQUIS_DATOS!$C$1515))+((CROQUIS_DATOS!$C$1476)*CROQUIS_DATOS!$C$1561-(0)*CROQUIS_DATOS!$C$1561))/CROQUIS_DATOS!$C$1568-0.000001))),2)=1,IF(INT(($A28-1)/2)+1&gt;MAX(1,INT(((((CROQUIS_DATOS!$C$1515+CROQUIS_DATOS!$C$1516))-(CROQUIS_DATOS!$C$1515))+((CROQUIS_DATOS!$C$1476)*CROQUIS_DATOS!$C$1561-(0)*CROQUIS_DATOS!$C$1561))/CROQUIS_DATOS!$C$1568-0.000001)),1,MOD($A28-1,2)),1-IF(INT(($A28-1)/2)+1&gt;MAX(1,INT(((((CROQUIS_DATOS!$C$1515+CROQUIS_DATOS!$C$1516))-(CROQUIS_DATOS!$C$1515))+((CROQUIS_DATOS!$C$1476)*CROQUIS_DATOS!$C$1561-(0)*CROQUIS_DATOS!$C$1561))/CROQUIS_DATOS!$C$1568-0.000001)),1,MOD($A28-1,2)))=1,MIN((CROQUIS_DATOS!$C$1476)*CROQUIS_DATOS!$C$1561,((CROQUIS_DATOS!$C$1515+CROQUIS_DATOS!$C$1516)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8">
        <f>IF(AND(CROQUIS_DATOS!$C$1472=1,CROQUIS_DATOS!$C$1478&gt;=1,((CROQUIS_DATOS!$C$1479+CROQUIS_DATOS!$C$1480))-(CROQUIS_DATOS!$C$1479)&gt;0.5,(CROQUIS_DATOS!$C$1481)-(0)&gt;0.5),(CROQUIS_DATOS!$C$1566+(IF(IF(MOD(MIN(INT(($A28-1)/2)+1,MAX(1,INT(((((CROQUIS_DATOS!$C$1479+CROQUIS_DATOS!$C$1480))-(CROQUIS_DATOS!$C$1479))+((CROQUIS_DATOS!$C$1481)*CROQUIS_DATOS!$C$1561-(0)*CROQUIS_DATOS!$C$1561))/CROQUIS_DATOS!$C$1568-0.000001))),2)=1,IF(INT(($A28-1)/2)+1&gt;MAX(1,INT(((((CROQUIS_DATOS!$C$1479+CROQUIS_DATOS!$C$1480))-(CROQUIS_DATOS!$C$1479))+((CROQUIS_DATOS!$C$1481)*CROQUIS_DATOS!$C$1561-(0)*CROQUIS_DATOS!$C$1561))/CROQUIS_DATOS!$C$1568-0.000001)),1,MOD($A28-1,2)),1-IF(INT(($A28-1)/2)+1&gt;MAX(1,INT(((((CROQUIS_DATOS!$C$1479+CROQUIS_DATOS!$C$1480))-(CROQUIS_DATOS!$C$1479))+((CROQUIS_DATOS!$C$1481)*CROQUIS_DATOS!$C$1561-(0)*CROQUIS_DATOS!$C$1561))/CROQUIS_DATOS!$C$1568-0.000001)),1,MOD($A28-1,2)))=1,MIN((CROQUIS_DATOS!$C$1481)*CROQUIS_DATOS!$C$1561,((CROQUIS_DATOS!$C$1479+CROQUIS_DATOS!$C$1480)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8">
        <f>IF(AND(CROQUIS_DATOS!$C$1472=1,CROQUIS_DATOS!$C$1478&gt;=1,((CROQUIS_DATOS!$C$1479+CROQUIS_DATOS!$C$1480))-(CROQUIS_DATOS!$C$1479)&gt;0.5,(CROQUIS_DATOS!$C$1481)-(0)&gt;0.5),(CROQUIS_DATOS!$C$1567+(IF(IF(MOD(MIN(INT(($A28-1)/2)+1,MAX(1,INT(((((CROQUIS_DATOS!$C$1479+CROQUIS_DATOS!$C$1480))-(CROQUIS_DATOS!$C$1479))+((CROQUIS_DATOS!$C$1481)*CROQUIS_DATOS!$C$1561-(0)*CROQUIS_DATOS!$C$1561))/CROQUIS_DATOS!$C$1568-0.000001))),2)=1,IF(INT(($A28-1)/2)+1&gt;MAX(1,INT(((((CROQUIS_DATOS!$C$1479+CROQUIS_DATOS!$C$1480))-(CROQUIS_DATOS!$C$1479))+((CROQUIS_DATOS!$C$1481)*CROQUIS_DATOS!$C$1561-(0)*CROQUIS_DATOS!$C$1561))/CROQUIS_DATOS!$C$1568-0.000001)),1,MOD($A28-1,2)),1-IF(INT(($A28-1)/2)+1&gt;MAX(1,INT(((((CROQUIS_DATOS!$C$1479+CROQUIS_DATOS!$C$1480))-(CROQUIS_DATOS!$C$1479))+((CROQUIS_DATOS!$C$1481)*CROQUIS_DATOS!$C$1561-(0)*CROQUIS_DATOS!$C$1561))/CROQUIS_DATOS!$C$1568-0.000001)),1,MOD($A28-1,2)))=1,MIN((CROQUIS_DATOS!$C$1481)*CROQUIS_DATOS!$C$1561,((CROQUIS_DATOS!$C$1479+CROQUIS_DATOS!$C$1480)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8">
        <f>IF(AND(CROQUIS_DATOS!$C$1472=1,CROQUIS_DATOS!$C$1478&gt;=1,((CROQUIS_DATOS!$C$1479+CROQUIS_DATOS!$C$1480))-(CROQUIS_DATOS!$C$1479)&gt;0.5,(CROQUIS_DATOS!$C$1476)-((CROQUIS_DATOS!$C$1481+CROQUIS_DATOS!$C$1482))&gt;0.5),(CROQUIS_DATOS!$C$1566+(IF(IF(MOD(MIN(INT(($A28-1)/2)+1,MAX(1,INT(((((CROQUIS_DATOS!$C$1479+CROQUIS_DATOS!$C$1480))-(CROQUIS_DATOS!$C$1479))+((CROQUIS_DATOS!$C$1476)*CROQUIS_DATOS!$C$1561-((CROQUIS_DATOS!$C$1481+CROQUIS_DATOS!$C$1482))*CROQUIS_DATOS!$C$1561))/CROQUIS_DATOS!$C$1568-0.000001))),2)=1,IF(INT(($A28-1)/2)+1&gt;MAX(1,INT(((((CROQUIS_DATOS!$C$1479+CROQUIS_DATOS!$C$1480))-(CROQUIS_DATOS!$C$1479))+((CROQUIS_DATOS!$C$1476)*CROQUIS_DATOS!$C$1561-((CROQUIS_DATOS!$C$1481+CROQUIS_DATOS!$C$1482))*CROQUIS_DATOS!$C$1561))/CROQUIS_DATOS!$C$1568-0.000001)),1,MOD($A28-1,2)),1-IF(INT(($A28-1)/2)+1&gt;MAX(1,INT(((((CROQUIS_DATOS!$C$1479+CROQUIS_DATOS!$C$1480))-(CROQUIS_DATOS!$C$1479))+((CROQUIS_DATOS!$C$1476)*CROQUIS_DATOS!$C$1561-((CROQUIS_DATOS!$C$1481+CROQUIS_DATOS!$C$1482))*CROQUIS_DATOS!$C$1561))/CROQUIS_DATOS!$C$1568-0.000001)),1,MOD($A28-1,2)))=1,MIN((CROQUIS_DATOS!$C$1476)*CROQUIS_DATOS!$C$1561,((CROQUIS_DATOS!$C$1479+CROQUIS_DATOS!$C$1480)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28">
        <f>IF(AND(CROQUIS_DATOS!$C$1472=1,CROQUIS_DATOS!$C$1478&gt;=1,((CROQUIS_DATOS!$C$1479+CROQUIS_DATOS!$C$1480))-(CROQUIS_DATOS!$C$1479)&gt;0.5,(CROQUIS_DATOS!$C$1476)-((CROQUIS_DATOS!$C$1481+CROQUIS_DATOS!$C$1482))&gt;0.5),(CROQUIS_DATOS!$C$1567+(IF(IF(MOD(MIN(INT(($A28-1)/2)+1,MAX(1,INT(((((CROQUIS_DATOS!$C$1479+CROQUIS_DATOS!$C$1480))-(CROQUIS_DATOS!$C$1479))+((CROQUIS_DATOS!$C$1476)*CROQUIS_DATOS!$C$1561-((CROQUIS_DATOS!$C$1481+CROQUIS_DATOS!$C$1482))*CROQUIS_DATOS!$C$1561))/CROQUIS_DATOS!$C$1568-0.000001))),2)=1,IF(INT(($A28-1)/2)+1&gt;MAX(1,INT(((((CROQUIS_DATOS!$C$1479+CROQUIS_DATOS!$C$1480))-(CROQUIS_DATOS!$C$1479))+((CROQUIS_DATOS!$C$1476)*CROQUIS_DATOS!$C$1561-((CROQUIS_DATOS!$C$1481+CROQUIS_DATOS!$C$1482))*CROQUIS_DATOS!$C$1561))/CROQUIS_DATOS!$C$1568-0.000001)),1,MOD($A28-1,2)),1-IF(INT(($A28-1)/2)+1&gt;MAX(1,INT(((((CROQUIS_DATOS!$C$1479+CROQUIS_DATOS!$C$1480))-(CROQUIS_DATOS!$C$1479))+((CROQUIS_DATOS!$C$1476)*CROQUIS_DATOS!$C$1561-((CROQUIS_DATOS!$C$1481+CROQUIS_DATOS!$C$1482))*CROQUIS_DATOS!$C$1561))/CROQUIS_DATOS!$C$1568-0.000001)),1,MOD($A28-1,2)))=1,MIN((CROQUIS_DATOS!$C$1476)*CROQUIS_DATOS!$C$1561,((CROQUIS_DATOS!$C$1479+CROQUIS_DATOS!$C$1480)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8">
        <f>IF(AND(CROQUIS_DATOS!$C$1472=1,CROQUIS_DATOS!$C$1478&gt;=2,((CROQUIS_DATOS!$C$1484+CROQUIS_DATOS!$C$1485))-(CROQUIS_DATOS!$C$1484)&gt;0.5,(CROQUIS_DATOS!$C$1486)-(0)&gt;0.5),(CROQUIS_DATOS!$C$1566+(IF(IF(MOD(MIN(INT(($A28-1)/2)+1,MAX(1,INT(((((CROQUIS_DATOS!$C$1484+CROQUIS_DATOS!$C$1485))-(CROQUIS_DATOS!$C$1484))+((CROQUIS_DATOS!$C$1486)*CROQUIS_DATOS!$C$1561-(0)*CROQUIS_DATOS!$C$1561))/CROQUIS_DATOS!$C$1568-0.000001))),2)=1,IF(INT(($A28-1)/2)+1&gt;MAX(1,INT(((((CROQUIS_DATOS!$C$1484+CROQUIS_DATOS!$C$1485))-(CROQUIS_DATOS!$C$1484))+((CROQUIS_DATOS!$C$1486)*CROQUIS_DATOS!$C$1561-(0)*CROQUIS_DATOS!$C$1561))/CROQUIS_DATOS!$C$1568-0.000001)),1,MOD($A28-1,2)),1-IF(INT(($A28-1)/2)+1&gt;MAX(1,INT(((((CROQUIS_DATOS!$C$1484+CROQUIS_DATOS!$C$1485))-(CROQUIS_DATOS!$C$1484))+((CROQUIS_DATOS!$C$1486)*CROQUIS_DATOS!$C$1561-(0)*CROQUIS_DATOS!$C$1561))/CROQUIS_DATOS!$C$1568-0.000001)),1,MOD($A28-1,2)))=1,MIN((CROQUIS_DATOS!$C$1486)*CROQUIS_DATOS!$C$1561,((CROQUIS_DATOS!$C$1484+CROQUIS_DATOS!$C$1485)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*CROQUIS_DATOS!$C$1565),-1000)</f>
        <v>56.8413793103448</v>
      </c>
      <c r="CS28">
        <f>IF(AND(CROQUIS_DATOS!$C$1472=1,CROQUIS_DATOS!$C$1478&gt;=2,((CROQUIS_DATOS!$C$1484+CROQUIS_DATOS!$C$1485))-(CROQUIS_DATOS!$C$1484)&gt;0.5,(CROQUIS_DATOS!$C$1486)-(0)&gt;0.5),(CROQUIS_DATOS!$C$1567+(IF(IF(MOD(MIN(INT(($A28-1)/2)+1,MAX(1,INT(((((CROQUIS_DATOS!$C$1484+CROQUIS_DATOS!$C$1485))-(CROQUIS_DATOS!$C$1484))+((CROQUIS_DATOS!$C$1486)*CROQUIS_DATOS!$C$1561-(0)*CROQUIS_DATOS!$C$1561))/CROQUIS_DATOS!$C$1568-0.000001))),2)=1,IF(INT(($A28-1)/2)+1&gt;MAX(1,INT(((((CROQUIS_DATOS!$C$1484+CROQUIS_DATOS!$C$1485))-(CROQUIS_DATOS!$C$1484))+((CROQUIS_DATOS!$C$1486)*CROQUIS_DATOS!$C$1561-(0)*CROQUIS_DATOS!$C$1561))/CROQUIS_DATOS!$C$1568-0.000001)),1,MOD($A28-1,2)),1-IF(INT(($A28-1)/2)+1&gt;MAX(1,INT(((((CROQUIS_DATOS!$C$1484+CROQUIS_DATOS!$C$1485))-(CROQUIS_DATOS!$C$1484))+((CROQUIS_DATOS!$C$1486)*CROQUIS_DATOS!$C$1561-(0)*CROQUIS_DATOS!$C$1561))/CROQUIS_DATOS!$C$1568-0.000001)),1,MOD($A28-1,2)))=1,MIN((CROQUIS_DATOS!$C$1486)*CROQUIS_DATOS!$C$1561,((CROQUIS_DATOS!$C$1484+CROQUIS_DATOS!$C$1485)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28">
        <f>IF(AND(CROQUIS_DATOS!$C$1472=1,CROQUIS_DATOS!$C$1478&gt;=2,((CROQUIS_DATOS!$C$1484+CROQUIS_DATOS!$C$1485))-(CROQUIS_DATOS!$C$1484)&gt;0.5,(CROQUIS_DATOS!$C$1476)-((CROQUIS_DATOS!$C$1486+CROQUIS_DATOS!$C$1487))&gt;0.5),(CROQUIS_DATOS!$C$1566+(IF(IF(MOD(MIN(INT(($A28-1)/2)+1,MAX(1,INT(((((CROQUIS_DATOS!$C$1484+CROQUIS_DATOS!$C$1485))-(CROQUIS_DATOS!$C$1484))+((CROQUIS_DATOS!$C$1476)*CROQUIS_DATOS!$C$1561-((CROQUIS_DATOS!$C$1486+CROQUIS_DATOS!$C$1487))*CROQUIS_DATOS!$C$1561))/CROQUIS_DATOS!$C$1568-0.000001))),2)=1,IF(INT(($A28-1)/2)+1&gt;MAX(1,INT(((((CROQUIS_DATOS!$C$1484+CROQUIS_DATOS!$C$1485))-(CROQUIS_DATOS!$C$1484))+((CROQUIS_DATOS!$C$1476)*CROQUIS_DATOS!$C$1561-((CROQUIS_DATOS!$C$1486+CROQUIS_DATOS!$C$1487))*CROQUIS_DATOS!$C$1561))/CROQUIS_DATOS!$C$1568-0.000001)),1,MOD($A28-1,2)),1-IF(INT(($A28-1)/2)+1&gt;MAX(1,INT(((((CROQUIS_DATOS!$C$1484+CROQUIS_DATOS!$C$1485))-(CROQUIS_DATOS!$C$1484))+((CROQUIS_DATOS!$C$1476)*CROQUIS_DATOS!$C$1561-((CROQUIS_DATOS!$C$1486+CROQUIS_DATOS!$C$1487))*CROQUIS_DATOS!$C$1561))/CROQUIS_DATOS!$C$1568-0.000001)),1,MOD($A28-1,2)))=1,MIN((CROQUIS_DATOS!$C$1476)*CROQUIS_DATOS!$C$1561,((CROQUIS_DATOS!$C$1484+CROQUIS_DATOS!$C$1485)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62.1862068965517</v>
      </c>
      <c r="CU28">
        <f>IF(AND(CROQUIS_DATOS!$C$1472=1,CROQUIS_DATOS!$C$1478&gt;=2,((CROQUIS_DATOS!$C$1484+CROQUIS_DATOS!$C$1485))-(CROQUIS_DATOS!$C$1484)&gt;0.5,(CROQUIS_DATOS!$C$1476)-((CROQUIS_DATOS!$C$1486+CROQUIS_DATOS!$C$1487))&gt;0.5),(CROQUIS_DATOS!$C$1567+(IF(IF(MOD(MIN(INT(($A28-1)/2)+1,MAX(1,INT(((((CROQUIS_DATOS!$C$1484+CROQUIS_DATOS!$C$1485))-(CROQUIS_DATOS!$C$1484))+((CROQUIS_DATOS!$C$1476)*CROQUIS_DATOS!$C$1561-((CROQUIS_DATOS!$C$1486+CROQUIS_DATOS!$C$1487))*CROQUIS_DATOS!$C$1561))/CROQUIS_DATOS!$C$1568-0.000001))),2)=1,IF(INT(($A28-1)/2)+1&gt;MAX(1,INT(((((CROQUIS_DATOS!$C$1484+CROQUIS_DATOS!$C$1485))-(CROQUIS_DATOS!$C$1484))+((CROQUIS_DATOS!$C$1476)*CROQUIS_DATOS!$C$1561-((CROQUIS_DATOS!$C$1486+CROQUIS_DATOS!$C$1487))*CROQUIS_DATOS!$C$1561))/CROQUIS_DATOS!$C$1568-0.000001)),1,MOD($A28-1,2)),1-IF(INT(($A28-1)/2)+1&gt;MAX(1,INT(((((CROQUIS_DATOS!$C$1484+CROQUIS_DATOS!$C$1485))-(CROQUIS_DATOS!$C$1484))+((CROQUIS_DATOS!$C$1476)*CROQUIS_DATOS!$C$1561-((CROQUIS_DATOS!$C$1486+CROQUIS_DATOS!$C$1487))*CROQUIS_DATOS!$C$1561))/CROQUIS_DATOS!$C$1568-0.000001)),1,MOD($A28-1,2)))=1,MIN((CROQUIS_DATOS!$C$1476)*CROQUIS_DATOS!$C$1561,((CROQUIS_DATOS!$C$1484+CROQUIS_DATOS!$C$1485)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28">
        <f>IF(AND(CROQUIS_DATOS!$C$1472=1,CROQUIS_DATOS!$C$1478&gt;=3,((CROQUIS_DATOS!$C$1489+CROQUIS_DATOS!$C$1490))-(CROQUIS_DATOS!$C$1489)&gt;0.5,(CROQUIS_DATOS!$C$1491)-(0)&gt;0.5),(CROQUIS_DATOS!$C$1566+(IF(IF(MOD(MIN(INT(($A28-1)/2)+1,MAX(1,INT(((((CROQUIS_DATOS!$C$1489+CROQUIS_DATOS!$C$1490))-(CROQUIS_DATOS!$C$1489))+((CROQUIS_DATOS!$C$1491)*CROQUIS_DATOS!$C$1561-(0)*CROQUIS_DATOS!$C$1561))/CROQUIS_DATOS!$C$1568-0.000001))),2)=1,IF(INT(($A28-1)/2)+1&gt;MAX(1,INT(((((CROQUIS_DATOS!$C$1489+CROQUIS_DATOS!$C$1490))-(CROQUIS_DATOS!$C$1489))+((CROQUIS_DATOS!$C$1491)*CROQUIS_DATOS!$C$1561-(0)*CROQUIS_DATOS!$C$1561))/CROQUIS_DATOS!$C$1568-0.000001)),1,MOD($A28-1,2)),1-IF(INT(($A28-1)/2)+1&gt;MAX(1,INT(((((CROQUIS_DATOS!$C$1489+CROQUIS_DATOS!$C$1490))-(CROQUIS_DATOS!$C$1489))+((CROQUIS_DATOS!$C$1491)*CROQUIS_DATOS!$C$1561-(0)*CROQUIS_DATOS!$C$1561))/CROQUIS_DATOS!$C$1568-0.000001)),1,MOD($A28-1,2)))=1,MIN((CROQUIS_DATOS!$C$1491)*CROQUIS_DATOS!$C$1561,((CROQUIS_DATOS!$C$1489+CROQUIS_DATOS!$C$1490)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8">
        <f>IF(AND(CROQUIS_DATOS!$C$1472=1,CROQUIS_DATOS!$C$1478&gt;=3,((CROQUIS_DATOS!$C$1489+CROQUIS_DATOS!$C$1490))-(CROQUIS_DATOS!$C$1489)&gt;0.5,(CROQUIS_DATOS!$C$1491)-(0)&gt;0.5),(CROQUIS_DATOS!$C$1567+(IF(IF(MOD(MIN(INT(($A28-1)/2)+1,MAX(1,INT(((((CROQUIS_DATOS!$C$1489+CROQUIS_DATOS!$C$1490))-(CROQUIS_DATOS!$C$1489))+((CROQUIS_DATOS!$C$1491)*CROQUIS_DATOS!$C$1561-(0)*CROQUIS_DATOS!$C$1561))/CROQUIS_DATOS!$C$1568-0.000001))),2)=1,IF(INT(($A28-1)/2)+1&gt;MAX(1,INT(((((CROQUIS_DATOS!$C$1489+CROQUIS_DATOS!$C$1490))-(CROQUIS_DATOS!$C$1489))+((CROQUIS_DATOS!$C$1491)*CROQUIS_DATOS!$C$1561-(0)*CROQUIS_DATOS!$C$1561))/CROQUIS_DATOS!$C$1568-0.000001)),1,MOD($A28-1,2)),1-IF(INT(($A28-1)/2)+1&gt;MAX(1,INT(((((CROQUIS_DATOS!$C$1489+CROQUIS_DATOS!$C$1490))-(CROQUIS_DATOS!$C$1489))+((CROQUIS_DATOS!$C$1491)*CROQUIS_DATOS!$C$1561-(0)*CROQUIS_DATOS!$C$1561))/CROQUIS_DATOS!$C$1568-0.000001)),1,MOD($A28-1,2)))=1,MIN((CROQUIS_DATOS!$C$1491)*CROQUIS_DATOS!$C$1561,((CROQUIS_DATOS!$C$1489+CROQUIS_DATOS!$C$1490)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8">
        <f>IF(AND(CROQUIS_DATOS!$C$1472=1,CROQUIS_DATOS!$C$1478&gt;=3,((CROQUIS_DATOS!$C$1489+CROQUIS_DATOS!$C$1490))-(CROQUIS_DATOS!$C$1489)&gt;0.5,(CROQUIS_DATOS!$C$1476)-((CROQUIS_DATOS!$C$1491+CROQUIS_DATOS!$C$1492))&gt;0.5),(CROQUIS_DATOS!$C$1566+(IF(IF(MOD(MIN(INT(($A28-1)/2)+1,MAX(1,INT(((((CROQUIS_DATOS!$C$1489+CROQUIS_DATOS!$C$1490))-(CROQUIS_DATOS!$C$1489))+((CROQUIS_DATOS!$C$1476)*CROQUIS_DATOS!$C$1561-((CROQUIS_DATOS!$C$1491+CROQUIS_DATOS!$C$1492))*CROQUIS_DATOS!$C$1561))/CROQUIS_DATOS!$C$1568-0.000001))),2)=1,IF(INT(($A28-1)/2)+1&gt;MAX(1,INT(((((CROQUIS_DATOS!$C$1489+CROQUIS_DATOS!$C$1490))-(CROQUIS_DATOS!$C$1489))+((CROQUIS_DATOS!$C$1476)*CROQUIS_DATOS!$C$1561-((CROQUIS_DATOS!$C$1491+CROQUIS_DATOS!$C$1492))*CROQUIS_DATOS!$C$1561))/CROQUIS_DATOS!$C$1568-0.000001)),1,MOD($A28-1,2)),1-IF(INT(($A28-1)/2)+1&gt;MAX(1,INT(((((CROQUIS_DATOS!$C$1489+CROQUIS_DATOS!$C$1490))-(CROQUIS_DATOS!$C$1489))+((CROQUIS_DATOS!$C$1476)*CROQUIS_DATOS!$C$1561-((CROQUIS_DATOS!$C$1491+CROQUIS_DATOS!$C$1492))*CROQUIS_DATOS!$C$1561))/CROQUIS_DATOS!$C$1568-0.000001)),1,MOD($A28-1,2)))=1,MIN((CROQUIS_DATOS!$C$1476)*CROQUIS_DATOS!$C$1561,((CROQUIS_DATOS!$C$1489+CROQUIS_DATOS!$C$1490)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8">
        <f>IF(AND(CROQUIS_DATOS!$C$1472=1,CROQUIS_DATOS!$C$1478&gt;=3,((CROQUIS_DATOS!$C$1489+CROQUIS_DATOS!$C$1490))-(CROQUIS_DATOS!$C$1489)&gt;0.5,(CROQUIS_DATOS!$C$1476)-((CROQUIS_DATOS!$C$1491+CROQUIS_DATOS!$C$1492))&gt;0.5),(CROQUIS_DATOS!$C$1567+(IF(IF(MOD(MIN(INT(($A28-1)/2)+1,MAX(1,INT(((((CROQUIS_DATOS!$C$1489+CROQUIS_DATOS!$C$1490))-(CROQUIS_DATOS!$C$1489))+((CROQUIS_DATOS!$C$1476)*CROQUIS_DATOS!$C$1561-((CROQUIS_DATOS!$C$1491+CROQUIS_DATOS!$C$1492))*CROQUIS_DATOS!$C$1561))/CROQUIS_DATOS!$C$1568-0.000001))),2)=1,IF(INT(($A28-1)/2)+1&gt;MAX(1,INT(((((CROQUIS_DATOS!$C$1489+CROQUIS_DATOS!$C$1490))-(CROQUIS_DATOS!$C$1489))+((CROQUIS_DATOS!$C$1476)*CROQUIS_DATOS!$C$1561-((CROQUIS_DATOS!$C$1491+CROQUIS_DATOS!$C$1492))*CROQUIS_DATOS!$C$1561))/CROQUIS_DATOS!$C$1568-0.000001)),1,MOD($A28-1,2)),1-IF(INT(($A28-1)/2)+1&gt;MAX(1,INT(((((CROQUIS_DATOS!$C$1489+CROQUIS_DATOS!$C$1490))-(CROQUIS_DATOS!$C$1489))+((CROQUIS_DATOS!$C$1476)*CROQUIS_DATOS!$C$1561-((CROQUIS_DATOS!$C$1491+CROQUIS_DATOS!$C$1492))*CROQUIS_DATOS!$C$1561))/CROQUIS_DATOS!$C$1568-0.000001)),1,MOD($A28-1,2)))=1,MIN((CROQUIS_DATOS!$C$1476)*CROQUIS_DATOS!$C$1561,((CROQUIS_DATOS!$C$1489+CROQUIS_DATOS!$C$1490)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8">
        <f>IF(AND(CROQUIS_DATOS!$C$1472=1,CROQUIS_DATOS!$C$1478&gt;=4,((CROQUIS_DATOS!$C$1494+CROQUIS_DATOS!$C$1495))-(CROQUIS_DATOS!$C$1494)&gt;0.5,(CROQUIS_DATOS!$C$1496)-(0)&gt;0.5),(CROQUIS_DATOS!$C$1566+(IF(IF(MOD(MIN(INT(($A28-1)/2)+1,MAX(1,INT(((((CROQUIS_DATOS!$C$1494+CROQUIS_DATOS!$C$1495))-(CROQUIS_DATOS!$C$1494))+((CROQUIS_DATOS!$C$1496)*CROQUIS_DATOS!$C$1561-(0)*CROQUIS_DATOS!$C$1561))/CROQUIS_DATOS!$C$1568-0.000001))),2)=1,IF(INT(($A28-1)/2)+1&gt;MAX(1,INT(((((CROQUIS_DATOS!$C$1494+CROQUIS_DATOS!$C$1495))-(CROQUIS_DATOS!$C$1494))+((CROQUIS_DATOS!$C$1496)*CROQUIS_DATOS!$C$1561-(0)*CROQUIS_DATOS!$C$1561))/CROQUIS_DATOS!$C$1568-0.000001)),1,MOD($A28-1,2)),1-IF(INT(($A28-1)/2)+1&gt;MAX(1,INT(((((CROQUIS_DATOS!$C$1494+CROQUIS_DATOS!$C$1495))-(CROQUIS_DATOS!$C$1494))+((CROQUIS_DATOS!$C$1496)*CROQUIS_DATOS!$C$1561-(0)*CROQUIS_DATOS!$C$1561))/CROQUIS_DATOS!$C$1568-0.000001)),1,MOD($A28-1,2)))=1,MIN((CROQUIS_DATOS!$C$1496)*CROQUIS_DATOS!$C$1561,((CROQUIS_DATOS!$C$1494+CROQUIS_DATOS!$C$1495)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8">
        <f>IF(AND(CROQUIS_DATOS!$C$1472=1,CROQUIS_DATOS!$C$1478&gt;=4,((CROQUIS_DATOS!$C$1494+CROQUIS_DATOS!$C$1495))-(CROQUIS_DATOS!$C$1494)&gt;0.5,(CROQUIS_DATOS!$C$1496)-(0)&gt;0.5),(CROQUIS_DATOS!$C$1567+(IF(IF(MOD(MIN(INT(($A28-1)/2)+1,MAX(1,INT(((((CROQUIS_DATOS!$C$1494+CROQUIS_DATOS!$C$1495))-(CROQUIS_DATOS!$C$1494))+((CROQUIS_DATOS!$C$1496)*CROQUIS_DATOS!$C$1561-(0)*CROQUIS_DATOS!$C$1561))/CROQUIS_DATOS!$C$1568-0.000001))),2)=1,IF(INT(($A28-1)/2)+1&gt;MAX(1,INT(((((CROQUIS_DATOS!$C$1494+CROQUIS_DATOS!$C$1495))-(CROQUIS_DATOS!$C$1494))+((CROQUIS_DATOS!$C$1496)*CROQUIS_DATOS!$C$1561-(0)*CROQUIS_DATOS!$C$1561))/CROQUIS_DATOS!$C$1568-0.000001)),1,MOD($A28-1,2)),1-IF(INT(($A28-1)/2)+1&gt;MAX(1,INT(((((CROQUIS_DATOS!$C$1494+CROQUIS_DATOS!$C$1495))-(CROQUIS_DATOS!$C$1494))+((CROQUIS_DATOS!$C$1496)*CROQUIS_DATOS!$C$1561-(0)*CROQUIS_DATOS!$C$1561))/CROQUIS_DATOS!$C$1568-0.000001)),1,MOD($A28-1,2)))=1,MIN((CROQUIS_DATOS!$C$1496)*CROQUIS_DATOS!$C$1561,((CROQUIS_DATOS!$C$1494+CROQUIS_DATOS!$C$1495)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8">
        <f>IF(AND(CROQUIS_DATOS!$C$1472=1,CROQUIS_DATOS!$C$1478&gt;=4,((CROQUIS_DATOS!$C$1494+CROQUIS_DATOS!$C$1495))-(CROQUIS_DATOS!$C$1494)&gt;0.5,(CROQUIS_DATOS!$C$1476)-((CROQUIS_DATOS!$C$1496+CROQUIS_DATOS!$C$1497))&gt;0.5),(CROQUIS_DATOS!$C$1566+(IF(IF(MOD(MIN(INT(($A28-1)/2)+1,MAX(1,INT(((((CROQUIS_DATOS!$C$1494+CROQUIS_DATOS!$C$1495))-(CROQUIS_DATOS!$C$1494))+((CROQUIS_DATOS!$C$1476)*CROQUIS_DATOS!$C$1561-((CROQUIS_DATOS!$C$1496+CROQUIS_DATOS!$C$1497))*CROQUIS_DATOS!$C$1561))/CROQUIS_DATOS!$C$1568-0.000001))),2)=1,IF(INT(($A28-1)/2)+1&gt;MAX(1,INT(((((CROQUIS_DATOS!$C$1494+CROQUIS_DATOS!$C$1495))-(CROQUIS_DATOS!$C$1494))+((CROQUIS_DATOS!$C$1476)*CROQUIS_DATOS!$C$1561-((CROQUIS_DATOS!$C$1496+CROQUIS_DATOS!$C$1497))*CROQUIS_DATOS!$C$1561))/CROQUIS_DATOS!$C$1568-0.000001)),1,MOD($A28-1,2)),1-IF(INT(($A28-1)/2)+1&gt;MAX(1,INT(((((CROQUIS_DATOS!$C$1494+CROQUIS_DATOS!$C$1495))-(CROQUIS_DATOS!$C$1494))+((CROQUIS_DATOS!$C$1476)*CROQUIS_DATOS!$C$1561-((CROQUIS_DATOS!$C$1496+CROQUIS_DATOS!$C$1497))*CROQUIS_DATOS!$C$1561))/CROQUIS_DATOS!$C$1568-0.000001)),1,MOD($A28-1,2)))=1,MIN((CROQUIS_DATOS!$C$1476)*CROQUIS_DATOS!$C$1561,((CROQUIS_DATOS!$C$1494+CROQUIS_DATOS!$C$1495)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8">
        <f>IF(AND(CROQUIS_DATOS!$C$1472=1,CROQUIS_DATOS!$C$1478&gt;=4,((CROQUIS_DATOS!$C$1494+CROQUIS_DATOS!$C$1495))-(CROQUIS_DATOS!$C$1494)&gt;0.5,(CROQUIS_DATOS!$C$1476)-((CROQUIS_DATOS!$C$1496+CROQUIS_DATOS!$C$1497))&gt;0.5),(CROQUIS_DATOS!$C$1567+(IF(IF(MOD(MIN(INT(($A28-1)/2)+1,MAX(1,INT(((((CROQUIS_DATOS!$C$1494+CROQUIS_DATOS!$C$1495))-(CROQUIS_DATOS!$C$1494))+((CROQUIS_DATOS!$C$1476)*CROQUIS_DATOS!$C$1561-((CROQUIS_DATOS!$C$1496+CROQUIS_DATOS!$C$1497))*CROQUIS_DATOS!$C$1561))/CROQUIS_DATOS!$C$1568-0.000001))),2)=1,IF(INT(($A28-1)/2)+1&gt;MAX(1,INT(((((CROQUIS_DATOS!$C$1494+CROQUIS_DATOS!$C$1495))-(CROQUIS_DATOS!$C$1494))+((CROQUIS_DATOS!$C$1476)*CROQUIS_DATOS!$C$1561-((CROQUIS_DATOS!$C$1496+CROQUIS_DATOS!$C$1497))*CROQUIS_DATOS!$C$1561))/CROQUIS_DATOS!$C$1568-0.000001)),1,MOD($A28-1,2)),1-IF(INT(($A28-1)/2)+1&gt;MAX(1,INT(((((CROQUIS_DATOS!$C$1494+CROQUIS_DATOS!$C$1495))-(CROQUIS_DATOS!$C$1494))+((CROQUIS_DATOS!$C$1476)*CROQUIS_DATOS!$C$1561-((CROQUIS_DATOS!$C$1496+CROQUIS_DATOS!$C$1497))*CROQUIS_DATOS!$C$1561))/CROQUIS_DATOS!$C$1568-0.000001)),1,MOD($A28-1,2)))=1,MIN((CROQUIS_DATOS!$C$1476)*CROQUIS_DATOS!$C$1561,((CROQUIS_DATOS!$C$1494+CROQUIS_DATOS!$C$1495)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8">
        <f>IF(AND(CROQUIS_DATOS!$C$1472=1,1),(CROQUIS_DATOS!$C$1571+(CHOOSE(MIN(MAX(IF(INT(($A28-1)/5)+1&gt;CROQUIS_DATOS!$C$1525,5,MOD($A28-1,5)+1),1),5),(INDEX($E$8:$E$23,MIN(INT(($A28-1)/5)+1,CROQUIS_DATOS!$C$1525))-INDEX($F$8:$F$23,MIN(INT(($A28-1)/5)+1,CROQUIS_DATOS!$C$1525))/2),(INDEX($E$8:$E$23,MIN(INT(($A28-1)/5)+1,CROQUIS_DATOS!$C$1525))+INDEX($F$8:$F$23,MIN(INT(($A28-1)/5)+1,CROQUIS_DATOS!$C$1525))/2),(INDEX($E$8:$E$23,MIN(INT(($A28-1)/5)+1,CROQUIS_DATOS!$C$1525))+INDEX($F$8:$F$23,MIN(INT(($A28-1)/5)+1,CROQUIS_DATOS!$C$1525))/2),(INDEX($E$8:$E$23,MIN(INT(($A28-1)/5)+1,CROQUIS_DATOS!$C$1525))-INDEX($F$8:$F$23,MIN(INT(($A28-1)/5)+1,CROQUIS_DATOS!$C$1525))/2),(INDEX($E$8:$E$23,MIN(INT(($A28-1)/5)+1,CROQUIS_DATOS!$C$1525))-INDEX($F$8:$F$23,MIN(INT(($A28-1)/5)+1,CROQUIS_DATOS!$C$1525))/2)))*CROQUIS_DATOS!$C$1569),-1000)</f>
        <v>75.92</v>
      </c>
      <c r="GE28">
        <f>IF(AND(CROQUIS_DATOS!$C$1472=1,1),(CROQUIS_DATOS!$C$1572+(CHOOSE(MIN(MAX(IF(INT(($A28-1)/5)+1&gt;CROQUIS_DATOS!$C$1525,5,MOD($A28-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8">
        <f>IF(AND(CROQUIS_DATOS!$C$1472=1,1),IF(INT(($A28-1)/4)+1&lt;=CROQUIS_DATOS!$C$1525,(CROQUIS_DATOS!$C$1571+((INDEX($E$8:$E$23,MIN(INT(($A28-1)/4)+1,16))+IF(OR(MOD($A28-1,4)=0,MOD($A28-1,4)=3),-1,1)*(INDEX($F$8:$F$23,MIN(INT(($A28-1)/4)+1,16))/2-(CROQUIS_DATOS!$C$1530+CROQUIS_DATOS!$C$1532+IF(OR(INT(($A28-1)/4)+1=1,INT(($A28-1)/4)+1=CROQUIS_DATOS!$C$1525),CROQUIS_DATOS!$C$1534,CROQUIS_DATOS!$C$1531)/2))))*CROQUIS_DATOS!$C$1569),-1000),-1000)</f>
        <v>95.812516</v>
      </c>
      <c r="GG28">
        <f>IF(AND(CROQUIS_DATOS!$C$1472=1,1),IF(INT(($A28-1)/4)+1&lt;=CROQUIS_DATOS!$C$1525,(CROQUIS_DATOS!$C$1572+((CROQUIS_DATOS!$C$1477/2+IF(MOD($A28-1,4)&lt;2,-1,1)*(CROQUIS_DATOS!$C$1527/2-(CROQUIS_DATOS!$C$1530+CROQUIS_DATOS!$C$1532+IF(OR(INT(($A28-1)/4)+1=1,INT(($A28-1)/4)+1=CROQUIS_DATOS!$C$1525),CROQUIS_DATOS!$C$1534,CROQUIS_DATOS!$C$1531)/2))))*CROQUIS_DATOS!$C$1569*CROQUIS_DATOS!$C$1570),-1000),-1000)</f>
        <v>10.43345</v>
      </c>
    </row>
    <row r="29">
      <c r="A29" t="n">
        <v>22</v>
      </c>
      <c r="H29">
        <f>IF(22&lt;=CROQUIS_DATOS!$C$1539,22*CROQUIS_DATOS!$C$1536,IF(22&lt;=CROQUIS_DATOS!$C$1539+CROQUIS_DATOS!$C$1540,CROQUIS_DATOS!$C$1539*CROQUIS_DATOS!$C$1536+(22-CROQUIS_DATOS!$C$1539)*(CROQUIS_DATOS!$C$1476-2*CROQUIS_DATOS!$C$1539*CROQUIS_DATOS!$C$1536)/(CROQUIS_DATOS!$C$1540+1),CROQUIS_DATOS!$C$1476-(2*CROQUIS_DATOS!$C$1539+CROQUIS_DATOS!$C$1540+1-22)*CROQUIS_DATOS!$C$1536))</f>
        <v>272.5</v>
      </c>
      <c r="J29">
        <f>IF(AND(CROQUIS_DATOS!$C$1472=1,1),(CROQUIS_DATOS!$C$1563+(CHOOSE(MIN(MAX(IF(INT(($A29-1)/4)+1&gt;CROQUIS_DATOS!$C$1525,4,MOD($A29-1,4)+1),1),4),(INDEX($E$8:$E$23,MIN(INT(($A29-1)/4)+1,CROQUIS_DATOS!$C$1525))-INDEX($F$8:$F$23,MIN(INT(($A29-1)/4)+1,CROQUIS_DATOS!$C$1525))/2),(INDEX($E$8:$E$23,MIN(INT(($A29-1)/4)+1,CROQUIS_DATOS!$C$1525))-INDEX($F$8:$F$23,MIN(INT(($A29-1)/4)+1,CROQUIS_DATOS!$C$1525))/2),(INDEX($E$8:$E$23,MIN(INT(($A29-1)/4)+1,CROQUIS_DATOS!$C$1525))+INDEX($F$8:$F$23,MIN(INT(($A29-1)/4)+1,CROQUIS_DATOS!$C$1525))/2),(INDEX($E$8:$E$23,MIN(INT(($A29-1)/4)+1,CROQUIS_DATOS!$C$1525))+INDEX($F$8:$F$23,MIN(INT(($A29-1)/4)+1,CROQUIS_DATOS!$C$1525))/2)))*CROQUIS_DATOS!$C$1562),-1000)</f>
        <v>82.8189655172414</v>
      </c>
      <c r="K29">
        <f>IF(AND(CROQUIS_DATOS!$C$1472=1,1),(CROQUIS_DATOS!$C$1564+(CHOOSE(MIN(MAX(IF(INT(($A29-1)/4)+1&gt;CROQUIS_DATOS!$C$1525,4,MOD($A29-1,4)+1),1),4),0,CROQUIS_DATOS!$C$1476,CROQUIS_DATOS!$C$1476,0))*CROQUIS_DATOS!$C$1561*CROQUIS_DATOS!$C$1562),-1000)</f>
        <v>40.2068965517241</v>
      </c>
      <c r="L29">
        <f>IF(AND(CROQUIS_DATOS!$C$1472=1,1),(CROQUIS_DATOS!$C$1563+(CHOOSE(MIN(MAX(IF(INT(($A29-1)/4)+1&gt;CROQUIS_DATOS!$C$1525,4,MOD($A29-1,4)+1),1),4),((INDEX($E$8:$E$23,MIN(INT(($A29-1)/4)+1,CROQUIS_DATOS!$C$1525))-INDEX($F$8:$F$23,MIN(INT(($A29-1)/4)+1,CROQUIS_DATOS!$C$1525))/2)+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,((INDEX($E$8:$E$23,MIN(INT(($A29-1)/4)+1,CROQUIS_DATOS!$C$1525))-INDEX($F$8:$F$23,MIN(INT(($A29-1)/4)+1,CROQUIS_DATOS!$C$1525))/2)+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,((INDEX($E$8:$E$23,MIN(INT(($A29-1)/4)+1,CROQUIS_DATOS!$C$1525))+INDEX($F$8:$F$23,MIN(INT(($A29-1)/4)+1,CROQUIS_DATOS!$C$1525))/2)-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,((INDEX($E$8:$E$23,MIN(INT(($A29-1)/4)+1,CROQUIS_DATOS!$C$1525))+INDEX($F$8:$F$23,MIN(INT(($A29-1)/4)+1,CROQUIS_DATOS!$C$1525))/2)-MIN((CROQUIS_DATOS!$C$1530+CROQUIS_DATOS!$C$1532+IF(OR(MIN(INT(($A29-1)/4)+1,CROQUIS_DATOS!$C$1525)=1,MIN(INT(($A29-1)/4)+1,CROQUIS_DATOS!$C$1525)=CROQUIS_DATOS!$C$1525),CROQUIS_DATOS!$C$1534,CROQUIS_DATOS!$C$1531)/2),INDEX($F$8:$F$23,MIN(INT(($A29-1)/4)+1,CROQUIS_DATOS!$C$1525))/2-0.5))))*CROQUIS_DATOS!$C$1562),-1000)</f>
        <v>83.2535025862069</v>
      </c>
      <c r="M29">
        <f>IF(AND(CROQUIS_DATOS!$C$1472=1,1),(CROQUIS_DATOS!$C$1564+(CHOOSE(MIN(MAX(IF(INT(($A29-1)/4)+1&gt;CROQUIS_DATOS!$C$1525,4,MOD($A29-1,4)+1),1),4),CROQUIS_DATOS!$C$1543,INDEX($I$8:$I$23,MIN(INT(($A29-1)/4)+1,CROQUIS_DATOS!$C$1525)),INDEX($I$8:$I$23,MIN(INT(($A29-1)/4)+1,CROQUIS_DATOS!$C$1525)),CROQUIS_DATOS!$C$1543))*CROQUIS_DATOS!$C$1561*CROQUIS_DATOS!$C$1562),-1000)</f>
        <v>2.93453706896552</v>
      </c>
      <c r="N29">
        <f>IF(AND(CROQUIS_DATOS!$C$1472=1,1),(CROQUIS_DATOS!$C$1563+(IF(IF(IF(INT(($A29-1)/70)+1&gt;CROQUIS_DATOS!$C$1525,70,MOD($A29-1,70)+1)=1,0,IF(IF(INT(($A29-1)/70)+1&gt;CROQUIS_DATOS!$C$1525,70,MOD($A29-1,70)+1)&gt;2*CROQUIS_DATOS!$C$1541+1,IF(MOD(CROQUIS_DATOS!$C$1541,2)=1,1,0),IF(MOD(MIN(INT((IF(INT(($A29-1)/70)+1&gt;CROQUIS_DATOS!$C$1525,70,MOD($A29-1,70)+1)-2)/2)+1,CROQUIS_DATOS!$C$1541),2)=1,IF(MOD(IF(INT(($A29-1)/70)+1&gt;CROQUIS_DATOS!$C$1525,70,MOD($A29-1,70)+1)-2,2)=0,0,1),IF(MOD(IF(INT(($A29-1)/70)+1&gt;CROQUIS_DATOS!$C$1525,70,MOD($A29-1,70)+1)-2,2)=0,1,0))))=0,(INDEX($E$8:$E$23,MIN(INT(($A29-1)/70)+1,CROQUIS_DATOS!$C$1525))-INDEX($F$8:$F$23,MIN(INT(($A29-1)/70)+1,CROQUIS_DATOS!$C$1525))/2),(INDEX($E$8:$E$23,MIN(INT(($A29-1)/70)+1,CROQUIS_DATOS!$C$1525))+INDEX($F$8:$F$23,MIN(INT(($A29-1)/70)+1,CROQUIS_DATOS!$C$1525))/2)))*CROQUIS_DATOS!$C$1562),-1000)</f>
        <v>15.0862068965517</v>
      </c>
      <c r="O29">
        <f>IF(AND(CROQUIS_DATOS!$C$1472=1,1),(CROQUIS_DATOS!$C$1564+(IF(OR(IF(INT(($A29-1)/70)+1&gt;CROQUIS_DATOS!$C$1525,70,MOD($A29-1,70)+1)=1,IF(INT(($A29-1)/70)+1&gt;CROQUIS_DATOS!$C$1525,70,MOD($A29-1,70)+1)&gt;2*CROQUIS_DATOS!$C$1541+1),CROQUIS_DATOS!$C$1476,INDEX($H$8:$H$41,MIN(INT((IF(INT(($A29-1)/70)+1&gt;CROQUIS_DATOS!$C$1525,70,MOD($A29-1,70)+1)-2)/2)+1,CROQUIS_DATOS!$C$1541))))*CROQUIS_DATOS!$C$1561*CROQUIS_DATOS!$C$1562),-1000)</f>
        <v>26.823275862069</v>
      </c>
      <c r="P29">
        <f>IF(AND(CROQUIS_DATOS!$C$1472=1,CROQUIS_DATOS!$C$1555=1),(CROQUIS_DATOS!$C$1563+(IF(IF(OR(MOD($A29-1,62)+1=1,IF(CHOOSE(MIN(MAX(MIN(INT(($A29-1)/62)+1,5),1),5),CROQUIS_DATOS!$C$1501,CROQUIS_DATOS!$C$1505,CROQUIS_DATOS!$C$1509,CROQUIS_DATOS!$C$1513,CROQUIS_DATOS!$C$1517)=1,CROQUIS_DATOS!$C$1557,0)=0),0,IF(MOD($A29-1,62)+1&gt;2*IF(CHOOSE(MIN(MAX(MIN(INT(($A29-1)/62)+1,5),1),5),CROQUIS_DATOS!$C$1501,CROQUIS_DATOS!$C$1505,CROQUIS_DATOS!$C$1509,CROQUIS_DATOS!$C$1513,CROQUIS_DATOS!$C$1517)=1,CROQUIS_DATOS!$C$1557,0)+1,IF(MOD(IF(CHOOSE(MIN(MAX(MIN(INT(($A29-1)/62)+1,5),1),5),CROQUIS_DATOS!$C$1501,CROQUIS_DATOS!$C$1505,CROQUIS_DATOS!$C$1509,CROQUIS_DATOS!$C$1513,CROQUIS_DATOS!$C$1517)=1,CROQUIS_DATOS!$C$1557,0),2)=1,1,0),IF(MOD(MIN(INT((MOD($A29-1,62)+1-2)/2)+1,MAX(IF(CHOOSE(MIN(MAX(MIN(INT(($A29-1)/62)+1,5),1),5),CROQUIS_DATOS!$C$1501,CROQUIS_DATOS!$C$1505,CROQUIS_DATOS!$C$1509,CROQUIS_DATOS!$C$1513,CROQUIS_DATOS!$C$1517)=1,CROQUIS_DATOS!$C$1557,0),1)),2)=1,IF(MOD(MOD($A29-1,62)+1-2,2)=0,0,1),IF(MOD(MOD($A29-1,62)+1-2,2)=0,1,0))))=0,(CHOOSE(MIN(MAX(MIN(INT(($A29-1)/62)+1,5),1),5),CROQUIS_DATOS!$C$1499,CROQUIS_DATOS!$C$1503,CROQUIS_DATOS!$C$1507,CROQUIS_DATOS!$C$1511,CROQUIS_DATOS!$C$1515)+IF(CHOOSE(MIN(MAX(MIN(INT(($A29-1)/62)+1,5),1),5),CROQUIS_DATOS!$C$1501,CROQUIS_DATOS!$C$1505,CROQUIS_DATOS!$C$1509,CROQUIS_DATOS!$C$1513,CROQUIS_DATOS!$C$1517)=1,CROQUIS_DATOS!$C$1526,0)),(CHOOSE(MIN(MAX(MIN(INT(($A29-1)/62)+1,5),1),5),CROQUIS_DATOS!$C$1499,CROQUIS_DATOS!$C$1503,CROQUIS_DATOS!$C$1507,CROQUIS_DATOS!$C$1511,CROQUIS_DATOS!$C$1515)+CHOOSE(MIN(MAX(MIN(INT(($A29-1)/62)+1,5),1),5),CROQUIS_DATOS!$C$1500,CROQUIS_DATOS!$C$1504,CROQUIS_DATOS!$C$1508,CROQUIS_DATOS!$C$1512,CROQUIS_DATOS!$C$1516)-IF(CHOOSE(MIN(MAX(MIN(INT(($A29-1)/62)+1,5),1),5),CROQUIS_DATOS!$C$1501,CROQUIS_DATOS!$C$1505,CROQUIS_DATOS!$C$1509,CROQUIS_DATOS!$C$1513,CROQUIS_DATOS!$C$1517)=1,CROQUIS_DATOS!$C$1526,0))))*CROQUIS_DATOS!$C$1562),-1000)</f>
        <v>-1000</v>
      </c>
      <c r="Q29">
        <f>IF(AND(CROQUIS_DATOS!$C$1472=1,CROQUIS_DATOS!$C$1555=1),(CROQUIS_DATOS!$C$1564+(IF(OR(OR(MOD($A29-1,62)+1=1,IF(CHOOSE(MIN(MAX(MIN(INT(($A29-1)/62)+1,5),1),5),CROQUIS_DATOS!$C$1501,CROQUIS_DATOS!$C$1505,CROQUIS_DATOS!$C$1509,CROQUIS_DATOS!$C$1513,CROQUIS_DATOS!$C$1517)=1,CROQUIS_DATOS!$C$1557,0)=0),MOD($A29-1,62)+1&gt;2*IF(CHOOSE(MIN(MAX(MIN(INT(($A29-1)/62)+1,5),1),5),CROQUIS_DATOS!$C$1501,CROQUIS_DATOS!$C$1505,CROQUIS_DATOS!$C$1509,CROQUIS_DATOS!$C$1513,CROQUIS_DATOS!$C$1517)=1,CROQUIS_DATOS!$C$1557,0)+1),CROQUIS_DATOS!$C$1476,MIN(INT((MOD($A29-1,62)+1-2)/2)+1,MAX(IF(CHOOSE(MIN(MAX(MIN(INT(($A29-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9">
        <f>IF(AND(CROQUIS_DATOS!$C$1472=1,1),(CROQUIS_DATOS!$C$1563+(MIN(INT(($A29-1)/2)+1,CROQUIS_DATOS!$C$1558)*CROQUIS_DATOS!$C$1559)*CROQUIS_DATOS!$C$1562),-1000)</f>
        <v>44.6286472148541</v>
      </c>
      <c r="U29">
        <f>IF(AND(CROQUIS_DATOS!$C$1472=1,1),(CROQUIS_DATOS!$C$1564+(IF(INT(($A29-1)/2)+1&gt;CROQUIS_DATOS!$C$1558,IF(MOD(CROQUIS_DATOS!$C$1558,2)=1,CROQUIS_DATOS!$C$1476+CROQUIS_DATOS!$C$1528,CROQUIS_DATOS!$C$1476),IF(IF(MOD(MIN(INT(($A29-1)/2)+1,CROQUIS_DATOS!$C$1558),2)=1,MOD($A29-1,2),1-MOD($A29-1,2))=1,CROQUIS_DATOS!$C$1476+CROQUIS_DATOS!$C$1528,CROQUIS_DATOS!$C$1476)))*CROQUIS_DATOS!$C$1561*CROQUIS_DATOS!$C$1562),-1000)</f>
        <v>43</v>
      </c>
      <c r="BZ29">
        <f>IF(AND(CROQUIS_DATOS!$C$1472=1,CROQUIS_DATOS!$C$1500&gt;0,((CROQUIS_DATOS!$C$1499+CROQUIS_DATOS!$C$1500))-(CROQUIS_DATOS!$C$1499)&gt;0.5,(CROQUIS_DATOS!$C$1476)-(0)&gt;0.5),(CROQUIS_DATOS!$C$1566+(IF(IF(MOD(MIN(INT(($A29-1)/2)+1,MAX(1,INT(((((CROQUIS_DATOS!$C$1499+CROQUIS_DATOS!$C$1500))-(CROQUIS_DATOS!$C$1499))+((CROQUIS_DATOS!$C$1476)*CROQUIS_DATOS!$C$1561-(0)*CROQUIS_DATOS!$C$1561))/CROQUIS_DATOS!$C$1568-0.000001))),2)=1,IF(INT(($A29-1)/2)+1&gt;MAX(1,INT(((((CROQUIS_DATOS!$C$1499+CROQUIS_DATOS!$C$1500))-(CROQUIS_DATOS!$C$1499))+((CROQUIS_DATOS!$C$1476)*CROQUIS_DATOS!$C$1561-(0)*CROQUIS_DATOS!$C$1561))/CROQUIS_DATOS!$C$1568-0.000001)),1,MOD($A29-1,2)),1-IF(INT(($A29-1)/2)+1&gt;MAX(1,INT(((((CROQUIS_DATOS!$C$1499+CROQUIS_DATOS!$C$1500))-(CROQUIS_DATOS!$C$1499))+((CROQUIS_DATOS!$C$1476)*CROQUIS_DATOS!$C$1561-(0)*CROQUIS_DATOS!$C$1561))/CROQUIS_DATOS!$C$1568-0.000001)),1,MOD($A29-1,2)))=1,MIN((CROQUIS_DATOS!$C$1476)*CROQUIS_DATOS!$C$1561,((CROQUIS_DATOS!$C$1499+CROQUIS_DATOS!$C$1500)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29">
        <f>IF(AND(CROQUIS_DATOS!$C$1472=1,CROQUIS_DATOS!$C$1500&gt;0,((CROQUIS_DATOS!$C$1499+CROQUIS_DATOS!$C$1500))-(CROQUIS_DATOS!$C$1499)&gt;0.5,(CROQUIS_DATOS!$C$1476)-(0)&gt;0.5),(CROQUIS_DATOS!$C$1567+(IF(IF(MOD(MIN(INT(($A29-1)/2)+1,MAX(1,INT(((((CROQUIS_DATOS!$C$1499+CROQUIS_DATOS!$C$1500))-(CROQUIS_DATOS!$C$1499))+((CROQUIS_DATOS!$C$1476)*CROQUIS_DATOS!$C$1561-(0)*CROQUIS_DATOS!$C$1561))/CROQUIS_DATOS!$C$1568-0.000001))),2)=1,IF(INT(($A29-1)/2)+1&gt;MAX(1,INT(((((CROQUIS_DATOS!$C$1499+CROQUIS_DATOS!$C$1500))-(CROQUIS_DATOS!$C$1499))+((CROQUIS_DATOS!$C$1476)*CROQUIS_DATOS!$C$1561-(0)*CROQUIS_DATOS!$C$1561))/CROQUIS_DATOS!$C$1568-0.000001)),1,MOD($A29-1,2)),1-IF(INT(($A29-1)/2)+1&gt;MAX(1,INT(((((CROQUIS_DATOS!$C$1499+CROQUIS_DATOS!$C$1500))-(CROQUIS_DATOS!$C$1499))+((CROQUIS_DATOS!$C$1476)*CROQUIS_DATOS!$C$1561-(0)*CROQUIS_DATOS!$C$1561))/CROQUIS_DATOS!$C$1568-0.000001)),1,MOD($A29-1,2)))=1,MIN((CROQUIS_DATOS!$C$1476)*CROQUIS_DATOS!$C$1561,((CROQUIS_DATOS!$C$1499+CROQUIS_DATOS!$C$1500)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29-1)/2)+1,MAX(1,INT(((((CROQUIS_DATOS!$C$1499+CROQUIS_DATOS!$C$1500))-(CROQUIS_DATOS!$C$1499))+((CROQUIS_DATOS!$C$1476)*CROQUIS_DATOS!$C$1561-(0)*CROQUIS_DATOS!$C$1561))/CROQUIS_DATOS!$C$1568-0.000001)))*CROQUIS_DATOS!$C$1568))))*CROQUIS_DATOS!$C$1565),-1000)</f>
        <v>25.5379310344828</v>
      </c>
      <c r="CB29">
        <f>IF(AND(CROQUIS_DATOS!$C$1472=1,CROQUIS_DATOS!$C$1504&gt;0,((CROQUIS_DATOS!$C$1503+CROQUIS_DATOS!$C$1504))-(CROQUIS_DATOS!$C$1503)&gt;0.5,(CROQUIS_DATOS!$C$1476)-(0)&gt;0.5),(CROQUIS_DATOS!$C$1566+(IF(IF(MOD(MIN(INT(($A29-1)/2)+1,MAX(1,INT(((((CROQUIS_DATOS!$C$1503+CROQUIS_DATOS!$C$1504))-(CROQUIS_DATOS!$C$1503))+((CROQUIS_DATOS!$C$1476)*CROQUIS_DATOS!$C$1561-(0)*CROQUIS_DATOS!$C$1561))/CROQUIS_DATOS!$C$1568-0.000001))),2)=1,IF(INT(($A29-1)/2)+1&gt;MAX(1,INT(((((CROQUIS_DATOS!$C$1503+CROQUIS_DATOS!$C$1504))-(CROQUIS_DATOS!$C$1503))+((CROQUIS_DATOS!$C$1476)*CROQUIS_DATOS!$C$1561-(0)*CROQUIS_DATOS!$C$1561))/CROQUIS_DATOS!$C$1568-0.000001)),1,MOD($A29-1,2)),1-IF(INT(($A29-1)/2)+1&gt;MAX(1,INT(((((CROQUIS_DATOS!$C$1503+CROQUIS_DATOS!$C$1504))-(CROQUIS_DATOS!$C$1503))+((CROQUIS_DATOS!$C$1476)*CROQUIS_DATOS!$C$1561-(0)*CROQUIS_DATOS!$C$1561))/CROQUIS_DATOS!$C$1568-0.000001)),1,MOD($A29-1,2)))=1,MIN((CROQUIS_DATOS!$C$1476)*CROQUIS_DATOS!$C$1561,((CROQUIS_DATOS!$C$1503+CROQUIS_DATOS!$C$1504)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29">
        <f>IF(AND(CROQUIS_DATOS!$C$1472=1,CROQUIS_DATOS!$C$1504&gt;0,((CROQUIS_DATOS!$C$1503+CROQUIS_DATOS!$C$1504))-(CROQUIS_DATOS!$C$1503)&gt;0.5,(CROQUIS_DATOS!$C$1476)-(0)&gt;0.5),(CROQUIS_DATOS!$C$1567+(IF(IF(MOD(MIN(INT(($A29-1)/2)+1,MAX(1,INT(((((CROQUIS_DATOS!$C$1503+CROQUIS_DATOS!$C$1504))-(CROQUIS_DATOS!$C$1503))+((CROQUIS_DATOS!$C$1476)*CROQUIS_DATOS!$C$1561-(0)*CROQUIS_DATOS!$C$1561))/CROQUIS_DATOS!$C$1568-0.000001))),2)=1,IF(INT(($A29-1)/2)+1&gt;MAX(1,INT(((((CROQUIS_DATOS!$C$1503+CROQUIS_DATOS!$C$1504))-(CROQUIS_DATOS!$C$1503))+((CROQUIS_DATOS!$C$1476)*CROQUIS_DATOS!$C$1561-(0)*CROQUIS_DATOS!$C$1561))/CROQUIS_DATOS!$C$1568-0.000001)),1,MOD($A29-1,2)),1-IF(INT(($A29-1)/2)+1&gt;MAX(1,INT(((((CROQUIS_DATOS!$C$1503+CROQUIS_DATOS!$C$1504))-(CROQUIS_DATOS!$C$1503))+((CROQUIS_DATOS!$C$1476)*CROQUIS_DATOS!$C$1561-(0)*CROQUIS_DATOS!$C$1561))/CROQUIS_DATOS!$C$1568-0.000001)),1,MOD($A29-1,2)))=1,MIN((CROQUIS_DATOS!$C$1476)*CROQUIS_DATOS!$C$1561,((CROQUIS_DATOS!$C$1503+CROQUIS_DATOS!$C$1504)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29-1)/2)+1,MAX(1,INT(((((CROQUIS_DATOS!$C$1503+CROQUIS_DATOS!$C$1504))-(CROQUIS_DATOS!$C$1503))+((CROQUIS_DATOS!$C$1476)*CROQUIS_DATOS!$C$1561-(0)*CROQUIS_DATOS!$C$1561))/CROQUIS_DATOS!$C$1568-0.000001)))*CROQUIS_DATOS!$C$1568))))*CROQUIS_DATOS!$C$1565),-1000)</f>
        <v>31.951724137931</v>
      </c>
      <c r="CD29">
        <f>IF(AND(CROQUIS_DATOS!$C$1472=1,CROQUIS_DATOS!$C$1508&gt;0,((CROQUIS_DATOS!$C$1507+CROQUIS_DATOS!$C$1508))-(CROQUIS_DATOS!$C$1507)&gt;0.5,(CROQUIS_DATOS!$C$1476)-(0)&gt;0.5),(CROQUIS_DATOS!$C$1566+(IF(IF(MOD(MIN(INT(($A29-1)/2)+1,MAX(1,INT(((((CROQUIS_DATOS!$C$1507+CROQUIS_DATOS!$C$1508))-(CROQUIS_DATOS!$C$1507))+((CROQUIS_DATOS!$C$1476)*CROQUIS_DATOS!$C$1561-(0)*CROQUIS_DATOS!$C$1561))/CROQUIS_DATOS!$C$1568-0.000001))),2)=1,IF(INT(($A29-1)/2)+1&gt;MAX(1,INT(((((CROQUIS_DATOS!$C$1507+CROQUIS_DATOS!$C$1508))-(CROQUIS_DATOS!$C$1507))+((CROQUIS_DATOS!$C$1476)*CROQUIS_DATOS!$C$1561-(0)*CROQUIS_DATOS!$C$1561))/CROQUIS_DATOS!$C$1568-0.000001)),1,MOD($A29-1,2)),1-IF(INT(($A29-1)/2)+1&gt;MAX(1,INT(((((CROQUIS_DATOS!$C$1507+CROQUIS_DATOS!$C$1508))-(CROQUIS_DATOS!$C$1507))+((CROQUIS_DATOS!$C$1476)*CROQUIS_DATOS!$C$1561-(0)*CROQUIS_DATOS!$C$1561))/CROQUIS_DATOS!$C$1568-0.000001)),1,MOD($A29-1,2)))=1,MIN((CROQUIS_DATOS!$C$1476)*CROQUIS_DATOS!$C$1561,((CROQUIS_DATOS!$C$1507+CROQUIS_DATOS!$C$1508)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29">
        <f>IF(AND(CROQUIS_DATOS!$C$1472=1,CROQUIS_DATOS!$C$1508&gt;0,((CROQUIS_DATOS!$C$1507+CROQUIS_DATOS!$C$1508))-(CROQUIS_DATOS!$C$1507)&gt;0.5,(CROQUIS_DATOS!$C$1476)-(0)&gt;0.5),(CROQUIS_DATOS!$C$1567+(IF(IF(MOD(MIN(INT(($A29-1)/2)+1,MAX(1,INT(((((CROQUIS_DATOS!$C$1507+CROQUIS_DATOS!$C$1508))-(CROQUIS_DATOS!$C$1507))+((CROQUIS_DATOS!$C$1476)*CROQUIS_DATOS!$C$1561-(0)*CROQUIS_DATOS!$C$1561))/CROQUIS_DATOS!$C$1568-0.000001))),2)=1,IF(INT(($A29-1)/2)+1&gt;MAX(1,INT(((((CROQUIS_DATOS!$C$1507+CROQUIS_DATOS!$C$1508))-(CROQUIS_DATOS!$C$1507))+((CROQUIS_DATOS!$C$1476)*CROQUIS_DATOS!$C$1561-(0)*CROQUIS_DATOS!$C$1561))/CROQUIS_DATOS!$C$1568-0.000001)),1,MOD($A29-1,2)),1-IF(INT(($A29-1)/2)+1&gt;MAX(1,INT(((((CROQUIS_DATOS!$C$1507+CROQUIS_DATOS!$C$1508))-(CROQUIS_DATOS!$C$1507))+((CROQUIS_DATOS!$C$1476)*CROQUIS_DATOS!$C$1561-(0)*CROQUIS_DATOS!$C$1561))/CROQUIS_DATOS!$C$1568-0.000001)),1,MOD($A29-1,2)))=1,MIN((CROQUIS_DATOS!$C$1476)*CROQUIS_DATOS!$C$1561,((CROQUIS_DATOS!$C$1507+CROQUIS_DATOS!$C$1508)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29-1)/2)+1,MAX(1,INT(((((CROQUIS_DATOS!$C$1507+CROQUIS_DATOS!$C$1508))-(CROQUIS_DATOS!$C$1507))+((CROQUIS_DATOS!$C$1476)*CROQUIS_DATOS!$C$1561-(0)*CROQUIS_DATOS!$C$1561))/CROQUIS_DATOS!$C$1568-0.000001)))*CROQUIS_DATOS!$C$1568))))*CROQUIS_DATOS!$C$1565),-1000)</f>
        <v>34.0896551724138</v>
      </c>
      <c r="CF29">
        <f>IF(AND(CROQUIS_DATOS!$C$1472=1,CROQUIS_DATOS!$C$1512&gt;0,((CROQUIS_DATOS!$C$1511+CROQUIS_DATOS!$C$1512))-(CROQUIS_DATOS!$C$1511)&gt;0.5,(CROQUIS_DATOS!$C$1476)-(0)&gt;0.5),(CROQUIS_DATOS!$C$1566+(IF(IF(MOD(MIN(INT(($A29-1)/2)+1,MAX(1,INT(((((CROQUIS_DATOS!$C$1511+CROQUIS_DATOS!$C$1512))-(CROQUIS_DATOS!$C$1511))+((CROQUIS_DATOS!$C$1476)*CROQUIS_DATOS!$C$1561-(0)*CROQUIS_DATOS!$C$1561))/CROQUIS_DATOS!$C$1568-0.000001))),2)=1,IF(INT(($A29-1)/2)+1&gt;MAX(1,INT(((((CROQUIS_DATOS!$C$1511+CROQUIS_DATOS!$C$1512))-(CROQUIS_DATOS!$C$1511))+((CROQUIS_DATOS!$C$1476)*CROQUIS_DATOS!$C$1561-(0)*CROQUIS_DATOS!$C$1561))/CROQUIS_DATOS!$C$1568-0.000001)),1,MOD($A29-1,2)),1-IF(INT(($A29-1)/2)+1&gt;MAX(1,INT(((((CROQUIS_DATOS!$C$1511+CROQUIS_DATOS!$C$1512))-(CROQUIS_DATOS!$C$1511))+((CROQUIS_DATOS!$C$1476)*CROQUIS_DATOS!$C$1561-(0)*CROQUIS_DATOS!$C$1561))/CROQUIS_DATOS!$C$1568-0.000001)),1,MOD($A29-1,2)))=1,MIN((CROQUIS_DATOS!$C$1476)*CROQUIS_DATOS!$C$1561,((CROQUIS_DATOS!$C$1511+CROQUIS_DATOS!$C$1512)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29">
        <f>IF(AND(CROQUIS_DATOS!$C$1472=1,CROQUIS_DATOS!$C$1512&gt;0,((CROQUIS_DATOS!$C$1511+CROQUIS_DATOS!$C$1512))-(CROQUIS_DATOS!$C$1511)&gt;0.5,(CROQUIS_DATOS!$C$1476)-(0)&gt;0.5),(CROQUIS_DATOS!$C$1567+(IF(IF(MOD(MIN(INT(($A29-1)/2)+1,MAX(1,INT(((((CROQUIS_DATOS!$C$1511+CROQUIS_DATOS!$C$1512))-(CROQUIS_DATOS!$C$1511))+((CROQUIS_DATOS!$C$1476)*CROQUIS_DATOS!$C$1561-(0)*CROQUIS_DATOS!$C$1561))/CROQUIS_DATOS!$C$1568-0.000001))),2)=1,IF(INT(($A29-1)/2)+1&gt;MAX(1,INT(((((CROQUIS_DATOS!$C$1511+CROQUIS_DATOS!$C$1512))-(CROQUIS_DATOS!$C$1511))+((CROQUIS_DATOS!$C$1476)*CROQUIS_DATOS!$C$1561-(0)*CROQUIS_DATOS!$C$1561))/CROQUIS_DATOS!$C$1568-0.000001)),1,MOD($A29-1,2)),1-IF(INT(($A29-1)/2)+1&gt;MAX(1,INT(((((CROQUIS_DATOS!$C$1511+CROQUIS_DATOS!$C$1512))-(CROQUIS_DATOS!$C$1511))+((CROQUIS_DATOS!$C$1476)*CROQUIS_DATOS!$C$1561-(0)*CROQUIS_DATOS!$C$1561))/CROQUIS_DATOS!$C$1568-0.000001)),1,MOD($A29-1,2)))=1,MIN((CROQUIS_DATOS!$C$1476)*CROQUIS_DATOS!$C$1561,((CROQUIS_DATOS!$C$1511+CROQUIS_DATOS!$C$1512)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29-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29">
        <f>IF(AND(CROQUIS_DATOS!$C$1472=1,CROQUIS_DATOS!$C$1516&gt;0,((CROQUIS_DATOS!$C$1515+CROQUIS_DATOS!$C$1516))-(CROQUIS_DATOS!$C$1515)&gt;0.5,(CROQUIS_DATOS!$C$1476)-(0)&gt;0.5),(CROQUIS_DATOS!$C$1566+(IF(IF(MOD(MIN(INT(($A29-1)/2)+1,MAX(1,INT(((((CROQUIS_DATOS!$C$1515+CROQUIS_DATOS!$C$1516))-(CROQUIS_DATOS!$C$1515))+((CROQUIS_DATOS!$C$1476)*CROQUIS_DATOS!$C$1561-(0)*CROQUIS_DATOS!$C$1561))/CROQUIS_DATOS!$C$1568-0.000001))),2)=1,IF(INT(($A29-1)/2)+1&gt;MAX(1,INT(((((CROQUIS_DATOS!$C$1515+CROQUIS_DATOS!$C$1516))-(CROQUIS_DATOS!$C$1515))+((CROQUIS_DATOS!$C$1476)*CROQUIS_DATOS!$C$1561-(0)*CROQUIS_DATOS!$C$1561))/CROQUIS_DATOS!$C$1568-0.000001)),1,MOD($A29-1,2)),1-IF(INT(($A29-1)/2)+1&gt;MAX(1,INT(((((CROQUIS_DATOS!$C$1515+CROQUIS_DATOS!$C$1516))-(CROQUIS_DATOS!$C$1515))+((CROQUIS_DATOS!$C$1476)*CROQUIS_DATOS!$C$1561-(0)*CROQUIS_DATOS!$C$1561))/CROQUIS_DATOS!$C$1568-0.000001)),1,MOD($A29-1,2)))=1,MIN((CROQUIS_DATOS!$C$1476)*CROQUIS_DATOS!$C$1561,((CROQUIS_DATOS!$C$1515+CROQUIS_DATOS!$C$1516)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29">
        <f>IF(AND(CROQUIS_DATOS!$C$1472=1,CROQUIS_DATOS!$C$1516&gt;0,((CROQUIS_DATOS!$C$1515+CROQUIS_DATOS!$C$1516))-(CROQUIS_DATOS!$C$1515)&gt;0.5,(CROQUIS_DATOS!$C$1476)-(0)&gt;0.5),(CROQUIS_DATOS!$C$1567+(IF(IF(MOD(MIN(INT(($A29-1)/2)+1,MAX(1,INT(((((CROQUIS_DATOS!$C$1515+CROQUIS_DATOS!$C$1516))-(CROQUIS_DATOS!$C$1515))+((CROQUIS_DATOS!$C$1476)*CROQUIS_DATOS!$C$1561-(0)*CROQUIS_DATOS!$C$1561))/CROQUIS_DATOS!$C$1568-0.000001))),2)=1,IF(INT(($A29-1)/2)+1&gt;MAX(1,INT(((((CROQUIS_DATOS!$C$1515+CROQUIS_DATOS!$C$1516))-(CROQUIS_DATOS!$C$1515))+((CROQUIS_DATOS!$C$1476)*CROQUIS_DATOS!$C$1561-(0)*CROQUIS_DATOS!$C$1561))/CROQUIS_DATOS!$C$1568-0.000001)),1,MOD($A29-1,2)),1-IF(INT(($A29-1)/2)+1&gt;MAX(1,INT(((((CROQUIS_DATOS!$C$1515+CROQUIS_DATOS!$C$1516))-(CROQUIS_DATOS!$C$1515))+((CROQUIS_DATOS!$C$1476)*CROQUIS_DATOS!$C$1561-(0)*CROQUIS_DATOS!$C$1561))/CROQUIS_DATOS!$C$1568-0.000001)),1,MOD($A29-1,2)))=1,MIN((CROQUIS_DATOS!$C$1476)*CROQUIS_DATOS!$C$1561,((CROQUIS_DATOS!$C$1515+CROQUIS_DATOS!$C$1516)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29-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29">
        <f>IF(AND(CROQUIS_DATOS!$C$1472=1,CROQUIS_DATOS!$C$1478&gt;=1,((CROQUIS_DATOS!$C$1479+CROQUIS_DATOS!$C$1480))-(CROQUIS_DATOS!$C$1479)&gt;0.5,(CROQUIS_DATOS!$C$1481)-(0)&gt;0.5),(CROQUIS_DATOS!$C$1566+(IF(IF(MOD(MIN(INT(($A29-1)/2)+1,MAX(1,INT(((((CROQUIS_DATOS!$C$1479+CROQUIS_DATOS!$C$1480))-(CROQUIS_DATOS!$C$1479))+((CROQUIS_DATOS!$C$1481)*CROQUIS_DATOS!$C$1561-(0)*CROQUIS_DATOS!$C$1561))/CROQUIS_DATOS!$C$1568-0.000001))),2)=1,IF(INT(($A29-1)/2)+1&gt;MAX(1,INT(((((CROQUIS_DATOS!$C$1479+CROQUIS_DATOS!$C$1480))-(CROQUIS_DATOS!$C$1479))+((CROQUIS_DATOS!$C$1481)*CROQUIS_DATOS!$C$1561-(0)*CROQUIS_DATOS!$C$1561))/CROQUIS_DATOS!$C$1568-0.000001)),1,MOD($A29-1,2)),1-IF(INT(($A29-1)/2)+1&gt;MAX(1,INT(((((CROQUIS_DATOS!$C$1479+CROQUIS_DATOS!$C$1480))-(CROQUIS_DATOS!$C$1479))+((CROQUIS_DATOS!$C$1481)*CROQUIS_DATOS!$C$1561-(0)*CROQUIS_DATOS!$C$1561))/CROQUIS_DATOS!$C$1568-0.000001)),1,MOD($A29-1,2)))=1,MIN((CROQUIS_DATOS!$C$1481)*CROQUIS_DATOS!$C$1561,((CROQUIS_DATOS!$C$1479+CROQUIS_DATOS!$C$1480)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29">
        <f>IF(AND(CROQUIS_DATOS!$C$1472=1,CROQUIS_DATOS!$C$1478&gt;=1,((CROQUIS_DATOS!$C$1479+CROQUIS_DATOS!$C$1480))-(CROQUIS_DATOS!$C$1479)&gt;0.5,(CROQUIS_DATOS!$C$1481)-(0)&gt;0.5),(CROQUIS_DATOS!$C$1567+(IF(IF(MOD(MIN(INT(($A29-1)/2)+1,MAX(1,INT(((((CROQUIS_DATOS!$C$1479+CROQUIS_DATOS!$C$1480))-(CROQUIS_DATOS!$C$1479))+((CROQUIS_DATOS!$C$1481)*CROQUIS_DATOS!$C$1561-(0)*CROQUIS_DATOS!$C$1561))/CROQUIS_DATOS!$C$1568-0.000001))),2)=1,IF(INT(($A29-1)/2)+1&gt;MAX(1,INT(((((CROQUIS_DATOS!$C$1479+CROQUIS_DATOS!$C$1480))-(CROQUIS_DATOS!$C$1479))+((CROQUIS_DATOS!$C$1481)*CROQUIS_DATOS!$C$1561-(0)*CROQUIS_DATOS!$C$1561))/CROQUIS_DATOS!$C$1568-0.000001)),1,MOD($A29-1,2)),1-IF(INT(($A29-1)/2)+1&gt;MAX(1,INT(((((CROQUIS_DATOS!$C$1479+CROQUIS_DATOS!$C$1480))-(CROQUIS_DATOS!$C$1479))+((CROQUIS_DATOS!$C$1481)*CROQUIS_DATOS!$C$1561-(0)*CROQUIS_DATOS!$C$1561))/CROQUIS_DATOS!$C$1568-0.000001)),1,MOD($A29-1,2)))=1,MIN((CROQUIS_DATOS!$C$1481)*CROQUIS_DATOS!$C$1561,((CROQUIS_DATOS!$C$1479+CROQUIS_DATOS!$C$1480)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29-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29">
        <f>IF(AND(CROQUIS_DATOS!$C$1472=1,CROQUIS_DATOS!$C$1478&gt;=1,((CROQUIS_DATOS!$C$1479+CROQUIS_DATOS!$C$1480))-(CROQUIS_DATOS!$C$1479)&gt;0.5,(CROQUIS_DATOS!$C$1476)-((CROQUIS_DATOS!$C$1481+CROQUIS_DATOS!$C$1482))&gt;0.5),(CROQUIS_DATOS!$C$1566+(IF(IF(MOD(MIN(INT(($A29-1)/2)+1,MAX(1,INT(((((CROQUIS_DATOS!$C$1479+CROQUIS_DATOS!$C$1480))-(CROQUIS_DATOS!$C$1479))+((CROQUIS_DATOS!$C$1476)*CROQUIS_DATOS!$C$1561-((CROQUIS_DATOS!$C$1481+CROQUIS_DATOS!$C$1482))*CROQUIS_DATOS!$C$1561))/CROQUIS_DATOS!$C$1568-0.000001))),2)=1,IF(INT(($A29-1)/2)+1&gt;MAX(1,INT(((((CROQUIS_DATOS!$C$1479+CROQUIS_DATOS!$C$1480))-(CROQUIS_DATOS!$C$1479))+((CROQUIS_DATOS!$C$1476)*CROQUIS_DATOS!$C$1561-((CROQUIS_DATOS!$C$1481+CROQUIS_DATOS!$C$1482))*CROQUIS_DATOS!$C$1561))/CROQUIS_DATOS!$C$1568-0.000001)),1,MOD($A29-1,2)),1-IF(INT(($A29-1)/2)+1&gt;MAX(1,INT(((((CROQUIS_DATOS!$C$1479+CROQUIS_DATOS!$C$1480))-(CROQUIS_DATOS!$C$1479))+((CROQUIS_DATOS!$C$1476)*CROQUIS_DATOS!$C$1561-((CROQUIS_DATOS!$C$1481+CROQUIS_DATOS!$C$1482))*CROQUIS_DATOS!$C$1561))/CROQUIS_DATOS!$C$1568-0.000001)),1,MOD($A29-1,2)))=1,MIN((CROQUIS_DATOS!$C$1476)*CROQUIS_DATOS!$C$1561,((CROQUIS_DATOS!$C$1479+CROQUIS_DATOS!$C$1480)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29">
        <f>IF(AND(CROQUIS_DATOS!$C$1472=1,CROQUIS_DATOS!$C$1478&gt;=1,((CROQUIS_DATOS!$C$1479+CROQUIS_DATOS!$C$1480))-(CROQUIS_DATOS!$C$1479)&gt;0.5,(CROQUIS_DATOS!$C$1476)-((CROQUIS_DATOS!$C$1481+CROQUIS_DATOS!$C$1482))&gt;0.5),(CROQUIS_DATOS!$C$1567+(IF(IF(MOD(MIN(INT(($A29-1)/2)+1,MAX(1,INT(((((CROQUIS_DATOS!$C$1479+CROQUIS_DATOS!$C$1480))-(CROQUIS_DATOS!$C$1479))+((CROQUIS_DATOS!$C$1476)*CROQUIS_DATOS!$C$1561-((CROQUIS_DATOS!$C$1481+CROQUIS_DATOS!$C$1482))*CROQUIS_DATOS!$C$1561))/CROQUIS_DATOS!$C$1568-0.000001))),2)=1,IF(INT(($A29-1)/2)+1&gt;MAX(1,INT(((((CROQUIS_DATOS!$C$1479+CROQUIS_DATOS!$C$1480))-(CROQUIS_DATOS!$C$1479))+((CROQUIS_DATOS!$C$1476)*CROQUIS_DATOS!$C$1561-((CROQUIS_DATOS!$C$1481+CROQUIS_DATOS!$C$1482))*CROQUIS_DATOS!$C$1561))/CROQUIS_DATOS!$C$1568-0.000001)),1,MOD($A29-1,2)),1-IF(INT(($A29-1)/2)+1&gt;MAX(1,INT(((((CROQUIS_DATOS!$C$1479+CROQUIS_DATOS!$C$1480))-(CROQUIS_DATOS!$C$1479))+((CROQUIS_DATOS!$C$1476)*CROQUIS_DATOS!$C$1561-((CROQUIS_DATOS!$C$1481+CROQUIS_DATOS!$C$1482))*CROQUIS_DATOS!$C$1561))/CROQUIS_DATOS!$C$1568-0.000001)),1,MOD($A29-1,2)))=1,MIN((CROQUIS_DATOS!$C$1476)*CROQUIS_DATOS!$C$1561,((CROQUIS_DATOS!$C$1479+CROQUIS_DATOS!$C$1480)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29-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29">
        <f>IF(AND(CROQUIS_DATOS!$C$1472=1,CROQUIS_DATOS!$C$1478&gt;=2,((CROQUIS_DATOS!$C$1484+CROQUIS_DATOS!$C$1485))-(CROQUIS_DATOS!$C$1484)&gt;0.5,(CROQUIS_DATOS!$C$1486)-(0)&gt;0.5),(CROQUIS_DATOS!$C$1566+(IF(IF(MOD(MIN(INT(($A29-1)/2)+1,MAX(1,INT(((((CROQUIS_DATOS!$C$1484+CROQUIS_DATOS!$C$1485))-(CROQUIS_DATOS!$C$1484))+((CROQUIS_DATOS!$C$1486)*CROQUIS_DATOS!$C$1561-(0)*CROQUIS_DATOS!$C$1561))/CROQUIS_DATOS!$C$1568-0.000001))),2)=1,IF(INT(($A29-1)/2)+1&gt;MAX(1,INT(((((CROQUIS_DATOS!$C$1484+CROQUIS_DATOS!$C$1485))-(CROQUIS_DATOS!$C$1484))+((CROQUIS_DATOS!$C$1486)*CROQUIS_DATOS!$C$1561-(0)*CROQUIS_DATOS!$C$1561))/CROQUIS_DATOS!$C$1568-0.000001)),1,MOD($A29-1,2)),1-IF(INT(($A29-1)/2)+1&gt;MAX(1,INT(((((CROQUIS_DATOS!$C$1484+CROQUIS_DATOS!$C$1485))-(CROQUIS_DATOS!$C$1484))+((CROQUIS_DATOS!$C$1486)*CROQUIS_DATOS!$C$1561-(0)*CROQUIS_DATOS!$C$1561))/CROQUIS_DATOS!$C$1568-0.000001)),1,MOD($A29-1,2)))=1,MIN((CROQUIS_DATOS!$C$1486)*CROQUIS_DATOS!$C$1561,((CROQUIS_DATOS!$C$1484+CROQUIS_DATOS!$C$1485)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*CROQUIS_DATOS!$C$1565),-1000)</f>
        <v>64.8965517241379</v>
      </c>
      <c r="CS29">
        <f>IF(AND(CROQUIS_DATOS!$C$1472=1,CROQUIS_DATOS!$C$1478&gt;=2,((CROQUIS_DATOS!$C$1484+CROQUIS_DATOS!$C$1485))-(CROQUIS_DATOS!$C$1484)&gt;0.5,(CROQUIS_DATOS!$C$1486)-(0)&gt;0.5),(CROQUIS_DATOS!$C$1567+(IF(IF(MOD(MIN(INT(($A29-1)/2)+1,MAX(1,INT(((((CROQUIS_DATOS!$C$1484+CROQUIS_DATOS!$C$1485))-(CROQUIS_DATOS!$C$1484))+((CROQUIS_DATOS!$C$1486)*CROQUIS_DATOS!$C$1561-(0)*CROQUIS_DATOS!$C$1561))/CROQUIS_DATOS!$C$1568-0.000001))),2)=1,IF(INT(($A29-1)/2)+1&gt;MAX(1,INT(((((CROQUIS_DATOS!$C$1484+CROQUIS_DATOS!$C$1485))-(CROQUIS_DATOS!$C$1484))+((CROQUIS_DATOS!$C$1486)*CROQUIS_DATOS!$C$1561-(0)*CROQUIS_DATOS!$C$1561))/CROQUIS_DATOS!$C$1568-0.000001)),1,MOD($A29-1,2)),1-IF(INT(($A29-1)/2)+1&gt;MAX(1,INT(((((CROQUIS_DATOS!$C$1484+CROQUIS_DATOS!$C$1485))-(CROQUIS_DATOS!$C$1484))+((CROQUIS_DATOS!$C$1486)*CROQUIS_DATOS!$C$1561-(0)*CROQUIS_DATOS!$C$1561))/CROQUIS_DATOS!$C$1568-0.000001)),1,MOD($A29-1,2)))=1,MIN((CROQUIS_DATOS!$C$1486)*CROQUIS_DATOS!$C$1561,((CROQUIS_DATOS!$C$1484+CROQUIS_DATOS!$C$1485)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29-1)/2)+1,MAX(1,INT(((((CROQUIS_DATOS!$C$1484+CROQUIS_DATOS!$C$1485))-(CROQUIS_DATOS!$C$1484))+((CROQUIS_DATOS!$C$1486)*CROQUIS_DATOS!$C$1561-(0)*CROQUIS_DATOS!$C$1561))/CROQUIS_DATOS!$C$1568-0.000001)))*CROQUIS_DATOS!$C$1568))))*CROQUIS_DATOS!$C$1565),-1000)</f>
        <v>20.1931034482759</v>
      </c>
      <c r="CT29">
        <f>IF(AND(CROQUIS_DATOS!$C$1472=1,CROQUIS_DATOS!$C$1478&gt;=2,((CROQUIS_DATOS!$C$1484+CROQUIS_DATOS!$C$1485))-(CROQUIS_DATOS!$C$1484)&gt;0.5,(CROQUIS_DATOS!$C$1476)-((CROQUIS_DATOS!$C$1486+CROQUIS_DATOS!$C$1487))&gt;0.5),(CROQUIS_DATOS!$C$1566+(IF(IF(MOD(MIN(INT(($A29-1)/2)+1,MAX(1,INT(((((CROQUIS_DATOS!$C$1484+CROQUIS_DATOS!$C$1485))-(CROQUIS_DATOS!$C$1484))+((CROQUIS_DATOS!$C$1476)*CROQUIS_DATOS!$C$1561-((CROQUIS_DATOS!$C$1486+CROQUIS_DATOS!$C$1487))*CROQUIS_DATOS!$C$1561))/CROQUIS_DATOS!$C$1568-0.000001))),2)=1,IF(INT(($A29-1)/2)+1&gt;MAX(1,INT(((((CROQUIS_DATOS!$C$1484+CROQUIS_DATOS!$C$1485))-(CROQUIS_DATOS!$C$1484))+((CROQUIS_DATOS!$C$1476)*CROQUIS_DATOS!$C$1561-((CROQUIS_DATOS!$C$1486+CROQUIS_DATOS!$C$1487))*CROQUIS_DATOS!$C$1561))/CROQUIS_DATOS!$C$1568-0.000001)),1,MOD($A29-1,2)),1-IF(INT(($A29-1)/2)+1&gt;MAX(1,INT(((((CROQUIS_DATOS!$C$1484+CROQUIS_DATOS!$C$1485))-(CROQUIS_DATOS!$C$1484))+((CROQUIS_DATOS!$C$1476)*CROQUIS_DATOS!$C$1561-((CROQUIS_DATOS!$C$1486+CROQUIS_DATOS!$C$1487))*CROQUIS_DATOS!$C$1561))/CROQUIS_DATOS!$C$1568-0.000001)),1,MOD($A29-1,2)))=1,MIN((CROQUIS_DATOS!$C$1476)*CROQUIS_DATOS!$C$1561,((CROQUIS_DATOS!$C$1484+CROQUIS_DATOS!$C$1485)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64.8965517241379</v>
      </c>
      <c r="CU29">
        <f>IF(AND(CROQUIS_DATOS!$C$1472=1,CROQUIS_DATOS!$C$1478&gt;=2,((CROQUIS_DATOS!$C$1484+CROQUIS_DATOS!$C$1485))-(CROQUIS_DATOS!$C$1484)&gt;0.5,(CROQUIS_DATOS!$C$1476)-((CROQUIS_DATOS!$C$1486+CROQUIS_DATOS!$C$1487))&gt;0.5),(CROQUIS_DATOS!$C$1567+(IF(IF(MOD(MIN(INT(($A29-1)/2)+1,MAX(1,INT(((((CROQUIS_DATOS!$C$1484+CROQUIS_DATOS!$C$1485))-(CROQUIS_DATOS!$C$1484))+((CROQUIS_DATOS!$C$1476)*CROQUIS_DATOS!$C$1561-((CROQUIS_DATOS!$C$1486+CROQUIS_DATOS!$C$1487))*CROQUIS_DATOS!$C$1561))/CROQUIS_DATOS!$C$1568-0.000001))),2)=1,IF(INT(($A29-1)/2)+1&gt;MAX(1,INT(((((CROQUIS_DATOS!$C$1484+CROQUIS_DATOS!$C$1485))-(CROQUIS_DATOS!$C$1484))+((CROQUIS_DATOS!$C$1476)*CROQUIS_DATOS!$C$1561-((CROQUIS_DATOS!$C$1486+CROQUIS_DATOS!$C$1487))*CROQUIS_DATOS!$C$1561))/CROQUIS_DATOS!$C$1568-0.000001)),1,MOD($A29-1,2)),1-IF(INT(($A29-1)/2)+1&gt;MAX(1,INT(((((CROQUIS_DATOS!$C$1484+CROQUIS_DATOS!$C$1485))-(CROQUIS_DATOS!$C$1484))+((CROQUIS_DATOS!$C$1476)*CROQUIS_DATOS!$C$1561-((CROQUIS_DATOS!$C$1486+CROQUIS_DATOS!$C$1487))*CROQUIS_DATOS!$C$1561))/CROQUIS_DATOS!$C$1568-0.000001)),1,MOD($A29-1,2)))=1,MIN((CROQUIS_DATOS!$C$1476)*CROQUIS_DATOS!$C$1561,((CROQUIS_DATOS!$C$1484+CROQUIS_DATOS!$C$1485)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29-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37.2965517241379</v>
      </c>
      <c r="CZ29">
        <f>IF(AND(CROQUIS_DATOS!$C$1472=1,CROQUIS_DATOS!$C$1478&gt;=3,((CROQUIS_DATOS!$C$1489+CROQUIS_DATOS!$C$1490))-(CROQUIS_DATOS!$C$1489)&gt;0.5,(CROQUIS_DATOS!$C$1491)-(0)&gt;0.5),(CROQUIS_DATOS!$C$1566+(IF(IF(MOD(MIN(INT(($A29-1)/2)+1,MAX(1,INT(((((CROQUIS_DATOS!$C$1489+CROQUIS_DATOS!$C$1490))-(CROQUIS_DATOS!$C$1489))+((CROQUIS_DATOS!$C$1491)*CROQUIS_DATOS!$C$1561-(0)*CROQUIS_DATOS!$C$1561))/CROQUIS_DATOS!$C$1568-0.000001))),2)=1,IF(INT(($A29-1)/2)+1&gt;MAX(1,INT(((((CROQUIS_DATOS!$C$1489+CROQUIS_DATOS!$C$1490))-(CROQUIS_DATOS!$C$1489))+((CROQUIS_DATOS!$C$1491)*CROQUIS_DATOS!$C$1561-(0)*CROQUIS_DATOS!$C$1561))/CROQUIS_DATOS!$C$1568-0.000001)),1,MOD($A29-1,2)),1-IF(INT(($A29-1)/2)+1&gt;MAX(1,INT(((((CROQUIS_DATOS!$C$1489+CROQUIS_DATOS!$C$1490))-(CROQUIS_DATOS!$C$1489))+((CROQUIS_DATOS!$C$1491)*CROQUIS_DATOS!$C$1561-(0)*CROQUIS_DATOS!$C$1561))/CROQUIS_DATOS!$C$1568-0.000001)),1,MOD($A29-1,2)))=1,MIN((CROQUIS_DATOS!$C$1491)*CROQUIS_DATOS!$C$1561,((CROQUIS_DATOS!$C$1489+CROQUIS_DATOS!$C$1490)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29">
        <f>IF(AND(CROQUIS_DATOS!$C$1472=1,CROQUIS_DATOS!$C$1478&gt;=3,((CROQUIS_DATOS!$C$1489+CROQUIS_DATOS!$C$1490))-(CROQUIS_DATOS!$C$1489)&gt;0.5,(CROQUIS_DATOS!$C$1491)-(0)&gt;0.5),(CROQUIS_DATOS!$C$1567+(IF(IF(MOD(MIN(INT(($A29-1)/2)+1,MAX(1,INT(((((CROQUIS_DATOS!$C$1489+CROQUIS_DATOS!$C$1490))-(CROQUIS_DATOS!$C$1489))+((CROQUIS_DATOS!$C$1491)*CROQUIS_DATOS!$C$1561-(0)*CROQUIS_DATOS!$C$1561))/CROQUIS_DATOS!$C$1568-0.000001))),2)=1,IF(INT(($A29-1)/2)+1&gt;MAX(1,INT(((((CROQUIS_DATOS!$C$1489+CROQUIS_DATOS!$C$1490))-(CROQUIS_DATOS!$C$1489))+((CROQUIS_DATOS!$C$1491)*CROQUIS_DATOS!$C$1561-(0)*CROQUIS_DATOS!$C$1561))/CROQUIS_DATOS!$C$1568-0.000001)),1,MOD($A29-1,2)),1-IF(INT(($A29-1)/2)+1&gt;MAX(1,INT(((((CROQUIS_DATOS!$C$1489+CROQUIS_DATOS!$C$1490))-(CROQUIS_DATOS!$C$1489))+((CROQUIS_DATOS!$C$1491)*CROQUIS_DATOS!$C$1561-(0)*CROQUIS_DATOS!$C$1561))/CROQUIS_DATOS!$C$1568-0.000001)),1,MOD($A29-1,2)))=1,MIN((CROQUIS_DATOS!$C$1491)*CROQUIS_DATOS!$C$1561,((CROQUIS_DATOS!$C$1489+CROQUIS_DATOS!$C$1490)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29-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29">
        <f>IF(AND(CROQUIS_DATOS!$C$1472=1,CROQUIS_DATOS!$C$1478&gt;=3,((CROQUIS_DATOS!$C$1489+CROQUIS_DATOS!$C$1490))-(CROQUIS_DATOS!$C$1489)&gt;0.5,(CROQUIS_DATOS!$C$1476)-((CROQUIS_DATOS!$C$1491+CROQUIS_DATOS!$C$1492))&gt;0.5),(CROQUIS_DATOS!$C$1566+(IF(IF(MOD(MIN(INT(($A29-1)/2)+1,MAX(1,INT(((((CROQUIS_DATOS!$C$1489+CROQUIS_DATOS!$C$1490))-(CROQUIS_DATOS!$C$1489))+((CROQUIS_DATOS!$C$1476)*CROQUIS_DATOS!$C$1561-((CROQUIS_DATOS!$C$1491+CROQUIS_DATOS!$C$1492))*CROQUIS_DATOS!$C$1561))/CROQUIS_DATOS!$C$1568-0.000001))),2)=1,IF(INT(($A29-1)/2)+1&gt;MAX(1,INT(((((CROQUIS_DATOS!$C$1489+CROQUIS_DATOS!$C$1490))-(CROQUIS_DATOS!$C$1489))+((CROQUIS_DATOS!$C$1476)*CROQUIS_DATOS!$C$1561-((CROQUIS_DATOS!$C$1491+CROQUIS_DATOS!$C$1492))*CROQUIS_DATOS!$C$1561))/CROQUIS_DATOS!$C$1568-0.000001)),1,MOD($A29-1,2)),1-IF(INT(($A29-1)/2)+1&gt;MAX(1,INT(((((CROQUIS_DATOS!$C$1489+CROQUIS_DATOS!$C$1490))-(CROQUIS_DATOS!$C$1489))+((CROQUIS_DATOS!$C$1476)*CROQUIS_DATOS!$C$1561-((CROQUIS_DATOS!$C$1491+CROQUIS_DATOS!$C$1492))*CROQUIS_DATOS!$C$1561))/CROQUIS_DATOS!$C$1568-0.000001)),1,MOD($A29-1,2)))=1,MIN((CROQUIS_DATOS!$C$1476)*CROQUIS_DATOS!$C$1561,((CROQUIS_DATOS!$C$1489+CROQUIS_DATOS!$C$1490)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29">
        <f>IF(AND(CROQUIS_DATOS!$C$1472=1,CROQUIS_DATOS!$C$1478&gt;=3,((CROQUIS_DATOS!$C$1489+CROQUIS_DATOS!$C$1490))-(CROQUIS_DATOS!$C$1489)&gt;0.5,(CROQUIS_DATOS!$C$1476)-((CROQUIS_DATOS!$C$1491+CROQUIS_DATOS!$C$1492))&gt;0.5),(CROQUIS_DATOS!$C$1567+(IF(IF(MOD(MIN(INT(($A29-1)/2)+1,MAX(1,INT(((((CROQUIS_DATOS!$C$1489+CROQUIS_DATOS!$C$1490))-(CROQUIS_DATOS!$C$1489))+((CROQUIS_DATOS!$C$1476)*CROQUIS_DATOS!$C$1561-((CROQUIS_DATOS!$C$1491+CROQUIS_DATOS!$C$1492))*CROQUIS_DATOS!$C$1561))/CROQUIS_DATOS!$C$1568-0.000001))),2)=1,IF(INT(($A29-1)/2)+1&gt;MAX(1,INT(((((CROQUIS_DATOS!$C$1489+CROQUIS_DATOS!$C$1490))-(CROQUIS_DATOS!$C$1489))+((CROQUIS_DATOS!$C$1476)*CROQUIS_DATOS!$C$1561-((CROQUIS_DATOS!$C$1491+CROQUIS_DATOS!$C$1492))*CROQUIS_DATOS!$C$1561))/CROQUIS_DATOS!$C$1568-0.000001)),1,MOD($A29-1,2)),1-IF(INT(($A29-1)/2)+1&gt;MAX(1,INT(((((CROQUIS_DATOS!$C$1489+CROQUIS_DATOS!$C$1490))-(CROQUIS_DATOS!$C$1489))+((CROQUIS_DATOS!$C$1476)*CROQUIS_DATOS!$C$1561-((CROQUIS_DATOS!$C$1491+CROQUIS_DATOS!$C$1492))*CROQUIS_DATOS!$C$1561))/CROQUIS_DATOS!$C$1568-0.000001)),1,MOD($A29-1,2)))=1,MIN((CROQUIS_DATOS!$C$1476)*CROQUIS_DATOS!$C$1561,((CROQUIS_DATOS!$C$1489+CROQUIS_DATOS!$C$1490)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29-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29">
        <f>IF(AND(CROQUIS_DATOS!$C$1472=1,CROQUIS_DATOS!$C$1478&gt;=4,((CROQUIS_DATOS!$C$1494+CROQUIS_DATOS!$C$1495))-(CROQUIS_DATOS!$C$1494)&gt;0.5,(CROQUIS_DATOS!$C$1496)-(0)&gt;0.5),(CROQUIS_DATOS!$C$1566+(IF(IF(MOD(MIN(INT(($A29-1)/2)+1,MAX(1,INT(((((CROQUIS_DATOS!$C$1494+CROQUIS_DATOS!$C$1495))-(CROQUIS_DATOS!$C$1494))+((CROQUIS_DATOS!$C$1496)*CROQUIS_DATOS!$C$1561-(0)*CROQUIS_DATOS!$C$1561))/CROQUIS_DATOS!$C$1568-0.000001))),2)=1,IF(INT(($A29-1)/2)+1&gt;MAX(1,INT(((((CROQUIS_DATOS!$C$1494+CROQUIS_DATOS!$C$1495))-(CROQUIS_DATOS!$C$1494))+((CROQUIS_DATOS!$C$1496)*CROQUIS_DATOS!$C$1561-(0)*CROQUIS_DATOS!$C$1561))/CROQUIS_DATOS!$C$1568-0.000001)),1,MOD($A29-1,2)),1-IF(INT(($A29-1)/2)+1&gt;MAX(1,INT(((((CROQUIS_DATOS!$C$1494+CROQUIS_DATOS!$C$1495))-(CROQUIS_DATOS!$C$1494))+((CROQUIS_DATOS!$C$1496)*CROQUIS_DATOS!$C$1561-(0)*CROQUIS_DATOS!$C$1561))/CROQUIS_DATOS!$C$1568-0.000001)),1,MOD($A29-1,2)))=1,MIN((CROQUIS_DATOS!$C$1496)*CROQUIS_DATOS!$C$1561,((CROQUIS_DATOS!$C$1494+CROQUIS_DATOS!$C$1495)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29">
        <f>IF(AND(CROQUIS_DATOS!$C$1472=1,CROQUIS_DATOS!$C$1478&gt;=4,((CROQUIS_DATOS!$C$1494+CROQUIS_DATOS!$C$1495))-(CROQUIS_DATOS!$C$1494)&gt;0.5,(CROQUIS_DATOS!$C$1496)-(0)&gt;0.5),(CROQUIS_DATOS!$C$1567+(IF(IF(MOD(MIN(INT(($A29-1)/2)+1,MAX(1,INT(((((CROQUIS_DATOS!$C$1494+CROQUIS_DATOS!$C$1495))-(CROQUIS_DATOS!$C$1494))+((CROQUIS_DATOS!$C$1496)*CROQUIS_DATOS!$C$1561-(0)*CROQUIS_DATOS!$C$1561))/CROQUIS_DATOS!$C$1568-0.000001))),2)=1,IF(INT(($A29-1)/2)+1&gt;MAX(1,INT(((((CROQUIS_DATOS!$C$1494+CROQUIS_DATOS!$C$1495))-(CROQUIS_DATOS!$C$1494))+((CROQUIS_DATOS!$C$1496)*CROQUIS_DATOS!$C$1561-(0)*CROQUIS_DATOS!$C$1561))/CROQUIS_DATOS!$C$1568-0.000001)),1,MOD($A29-1,2)),1-IF(INT(($A29-1)/2)+1&gt;MAX(1,INT(((((CROQUIS_DATOS!$C$1494+CROQUIS_DATOS!$C$1495))-(CROQUIS_DATOS!$C$1494))+((CROQUIS_DATOS!$C$1496)*CROQUIS_DATOS!$C$1561-(0)*CROQUIS_DATOS!$C$1561))/CROQUIS_DATOS!$C$1568-0.000001)),1,MOD($A29-1,2)))=1,MIN((CROQUIS_DATOS!$C$1496)*CROQUIS_DATOS!$C$1561,((CROQUIS_DATOS!$C$1494+CROQUIS_DATOS!$C$1495)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29-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29">
        <f>IF(AND(CROQUIS_DATOS!$C$1472=1,CROQUIS_DATOS!$C$1478&gt;=4,((CROQUIS_DATOS!$C$1494+CROQUIS_DATOS!$C$1495))-(CROQUIS_DATOS!$C$1494)&gt;0.5,(CROQUIS_DATOS!$C$1476)-((CROQUIS_DATOS!$C$1496+CROQUIS_DATOS!$C$1497))&gt;0.5),(CROQUIS_DATOS!$C$1566+(IF(IF(MOD(MIN(INT(($A29-1)/2)+1,MAX(1,INT(((((CROQUIS_DATOS!$C$1494+CROQUIS_DATOS!$C$1495))-(CROQUIS_DATOS!$C$1494))+((CROQUIS_DATOS!$C$1476)*CROQUIS_DATOS!$C$1561-((CROQUIS_DATOS!$C$1496+CROQUIS_DATOS!$C$1497))*CROQUIS_DATOS!$C$1561))/CROQUIS_DATOS!$C$1568-0.000001))),2)=1,IF(INT(($A29-1)/2)+1&gt;MAX(1,INT(((((CROQUIS_DATOS!$C$1494+CROQUIS_DATOS!$C$1495))-(CROQUIS_DATOS!$C$1494))+((CROQUIS_DATOS!$C$1476)*CROQUIS_DATOS!$C$1561-((CROQUIS_DATOS!$C$1496+CROQUIS_DATOS!$C$1497))*CROQUIS_DATOS!$C$1561))/CROQUIS_DATOS!$C$1568-0.000001)),1,MOD($A29-1,2)),1-IF(INT(($A29-1)/2)+1&gt;MAX(1,INT(((((CROQUIS_DATOS!$C$1494+CROQUIS_DATOS!$C$1495))-(CROQUIS_DATOS!$C$1494))+((CROQUIS_DATOS!$C$1476)*CROQUIS_DATOS!$C$1561-((CROQUIS_DATOS!$C$1496+CROQUIS_DATOS!$C$1497))*CROQUIS_DATOS!$C$1561))/CROQUIS_DATOS!$C$1568-0.000001)),1,MOD($A29-1,2)))=1,MIN((CROQUIS_DATOS!$C$1476)*CROQUIS_DATOS!$C$1561,((CROQUIS_DATOS!$C$1494+CROQUIS_DATOS!$C$1495)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29">
        <f>IF(AND(CROQUIS_DATOS!$C$1472=1,CROQUIS_DATOS!$C$1478&gt;=4,((CROQUIS_DATOS!$C$1494+CROQUIS_DATOS!$C$1495))-(CROQUIS_DATOS!$C$1494)&gt;0.5,(CROQUIS_DATOS!$C$1476)-((CROQUIS_DATOS!$C$1496+CROQUIS_DATOS!$C$1497))&gt;0.5),(CROQUIS_DATOS!$C$1567+(IF(IF(MOD(MIN(INT(($A29-1)/2)+1,MAX(1,INT(((((CROQUIS_DATOS!$C$1494+CROQUIS_DATOS!$C$1495))-(CROQUIS_DATOS!$C$1494))+((CROQUIS_DATOS!$C$1476)*CROQUIS_DATOS!$C$1561-((CROQUIS_DATOS!$C$1496+CROQUIS_DATOS!$C$1497))*CROQUIS_DATOS!$C$1561))/CROQUIS_DATOS!$C$1568-0.000001))),2)=1,IF(INT(($A29-1)/2)+1&gt;MAX(1,INT(((((CROQUIS_DATOS!$C$1494+CROQUIS_DATOS!$C$1495))-(CROQUIS_DATOS!$C$1494))+((CROQUIS_DATOS!$C$1476)*CROQUIS_DATOS!$C$1561-((CROQUIS_DATOS!$C$1496+CROQUIS_DATOS!$C$1497))*CROQUIS_DATOS!$C$1561))/CROQUIS_DATOS!$C$1568-0.000001)),1,MOD($A29-1,2)),1-IF(INT(($A29-1)/2)+1&gt;MAX(1,INT(((((CROQUIS_DATOS!$C$1494+CROQUIS_DATOS!$C$1495))-(CROQUIS_DATOS!$C$1494))+((CROQUIS_DATOS!$C$1476)*CROQUIS_DATOS!$C$1561-((CROQUIS_DATOS!$C$1496+CROQUIS_DATOS!$C$1497))*CROQUIS_DATOS!$C$1561))/CROQUIS_DATOS!$C$1568-0.000001)),1,MOD($A29-1,2)))=1,MIN((CROQUIS_DATOS!$C$1476)*CROQUIS_DATOS!$C$1561,((CROQUIS_DATOS!$C$1494+CROQUIS_DATOS!$C$1495)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29-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29">
        <f>IF(AND(CROQUIS_DATOS!$C$1472=1,1),(CROQUIS_DATOS!$C$1571+(CHOOSE(MIN(MAX(IF(INT(($A29-1)/5)+1&gt;CROQUIS_DATOS!$C$1525,5,MOD($A29-1,5)+1),1),5),(INDEX($E$8:$E$23,MIN(INT(($A29-1)/5)+1,CROQUIS_DATOS!$C$1525))-INDEX($F$8:$F$23,MIN(INT(($A29-1)/5)+1,CROQUIS_DATOS!$C$1525))/2),(INDEX($E$8:$E$23,MIN(INT(($A29-1)/5)+1,CROQUIS_DATOS!$C$1525))+INDEX($F$8:$F$23,MIN(INT(($A29-1)/5)+1,CROQUIS_DATOS!$C$1525))/2),(INDEX($E$8:$E$23,MIN(INT(($A29-1)/5)+1,CROQUIS_DATOS!$C$1525))+INDEX($F$8:$F$23,MIN(INT(($A29-1)/5)+1,CROQUIS_DATOS!$C$1525))/2),(INDEX($E$8:$E$23,MIN(INT(($A29-1)/5)+1,CROQUIS_DATOS!$C$1525))-INDEX($F$8:$F$23,MIN(INT(($A29-1)/5)+1,CROQUIS_DATOS!$C$1525))/2),(INDEX($E$8:$E$23,MIN(INT(($A29-1)/5)+1,CROQUIS_DATOS!$C$1525))-INDEX($F$8:$F$23,MIN(INT(($A29-1)/5)+1,CROQUIS_DATOS!$C$1525))/2)))*CROQUIS_DATOS!$C$1569),-1000)</f>
        <v>78.68</v>
      </c>
      <c r="GE29">
        <f>IF(AND(CROQUIS_DATOS!$C$1472=1,1),(CROQUIS_DATOS!$C$1572+(CHOOSE(MIN(MAX(IF(INT(($A29-1)/5)+1&gt;CROQUIS_DATOS!$C$1525,5,MOD($A29-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29">
        <f>IF(AND(CROQUIS_DATOS!$C$1472=1,1),IF(INT(($A29-1)/4)+1&lt;=CROQUIS_DATOS!$C$1525,(CROQUIS_DATOS!$C$1571+((INDEX($E$8:$E$23,MIN(INT(($A29-1)/4)+1,16))+IF(OR(MOD($A29-1,4)=0,MOD($A29-1,4)=3),-1,1)*(INDEX($F$8:$F$23,MIN(INT(($A29-1)/4)+1,16))/2-(CROQUIS_DATOS!$C$1530+CROQUIS_DATOS!$C$1532+IF(OR(INT(($A29-1)/4)+1=1,INT(($A29-1)/4)+1=CROQUIS_DATOS!$C$1525),CROQUIS_DATOS!$C$1534,CROQUIS_DATOS!$C$1531)/2))))*CROQUIS_DATOS!$C$1569),-1000),-1000)</f>
        <v>97.427484</v>
      </c>
      <c r="GG29">
        <f>IF(AND(CROQUIS_DATOS!$C$1472=1,1),IF(INT(($A29-1)/4)+1&lt;=CROQUIS_DATOS!$C$1525,(CROQUIS_DATOS!$C$1572+((CROQUIS_DATOS!$C$1477/2+IF(MOD($A29-1,4)&lt;2,-1,1)*(CROQUIS_DATOS!$C$1527/2-(CROQUIS_DATOS!$C$1530+CROQUIS_DATOS!$C$1532+IF(OR(INT(($A29-1)/4)+1=1,INT(($A29-1)/4)+1=CROQUIS_DATOS!$C$1525),CROQUIS_DATOS!$C$1534,CROQUIS_DATOS!$C$1531)/2))))*CROQUIS_DATOS!$C$1569*CROQUIS_DATOS!$C$1570),-1000),-1000)</f>
        <v>10.43345</v>
      </c>
    </row>
    <row r="30">
      <c r="A30" t="n">
        <v>23</v>
      </c>
      <c r="H30">
        <f>IF(23&lt;=CROQUIS_DATOS!$C$1539,23*CROQUIS_DATOS!$C$1536,IF(23&lt;=CROQUIS_DATOS!$C$1539+CROQUIS_DATOS!$C$1540,CROQUIS_DATOS!$C$1539*CROQUIS_DATOS!$C$1536+(23-CROQUIS_DATOS!$C$1539)*(CROQUIS_DATOS!$C$1476-2*CROQUIS_DATOS!$C$1539*CROQUIS_DATOS!$C$1536)/(CROQUIS_DATOS!$C$1540+1),CROQUIS_DATOS!$C$1476-(2*CROQUIS_DATOS!$C$1539+CROQUIS_DATOS!$C$1540+1-23)*CROQUIS_DATOS!$C$1536))</f>
        <v>280</v>
      </c>
      <c r="J30">
        <f>IF(AND(CROQUIS_DATOS!$C$1472=1,1),(CROQUIS_DATOS!$C$1563+(CHOOSE(MIN(MAX(IF(INT(($A30-1)/4)+1&gt;CROQUIS_DATOS!$C$1525,4,MOD($A30-1,4)+1),1),4),(INDEX($E$8:$E$23,MIN(INT(($A30-1)/4)+1,CROQUIS_DATOS!$C$1525))-INDEX($F$8:$F$23,MIN(INT(($A30-1)/4)+1,CROQUIS_DATOS!$C$1525))/2),(INDEX($E$8:$E$23,MIN(INT(($A30-1)/4)+1,CROQUIS_DATOS!$C$1525))-INDEX($F$8:$F$23,MIN(INT(($A30-1)/4)+1,CROQUIS_DATOS!$C$1525))/2),(INDEX($E$8:$E$23,MIN(INT(($A30-1)/4)+1,CROQUIS_DATOS!$C$1525))+INDEX($F$8:$F$23,MIN(INT(($A30-1)/4)+1,CROQUIS_DATOS!$C$1525))/2),(INDEX($E$8:$E$23,MIN(INT(($A30-1)/4)+1,CROQUIS_DATOS!$C$1525))+INDEX($F$8:$F$23,MIN(INT(($A30-1)/4)+1,CROQUIS_DATOS!$C$1525))/2)))*CROQUIS_DATOS!$C$1562),-1000)</f>
        <v>84.9137931034483</v>
      </c>
      <c r="K30">
        <f>IF(AND(CROQUIS_DATOS!$C$1472=1,1),(CROQUIS_DATOS!$C$1564+(CHOOSE(MIN(MAX(IF(INT(($A30-1)/4)+1&gt;CROQUIS_DATOS!$C$1525,4,MOD($A30-1,4)+1),1),4),0,CROQUIS_DATOS!$C$1476,CROQUIS_DATOS!$C$1476,0))*CROQUIS_DATOS!$C$1561*CROQUIS_DATOS!$C$1562),-1000)</f>
        <v>40.2068965517241</v>
      </c>
      <c r="L30">
        <f>IF(AND(CROQUIS_DATOS!$C$1472=1,1),(CROQUIS_DATOS!$C$1563+(CHOOSE(MIN(MAX(IF(INT(($A30-1)/4)+1&gt;CROQUIS_DATOS!$C$1525,4,MOD($A30-1,4)+1),1),4),((INDEX($E$8:$E$23,MIN(INT(($A30-1)/4)+1,CROQUIS_DATOS!$C$1525))-INDEX($F$8:$F$23,MIN(INT(($A30-1)/4)+1,CROQUIS_DATOS!$C$1525))/2)+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,((INDEX($E$8:$E$23,MIN(INT(($A30-1)/4)+1,CROQUIS_DATOS!$C$1525))-INDEX($F$8:$F$23,MIN(INT(($A30-1)/4)+1,CROQUIS_DATOS!$C$1525))/2)+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,((INDEX($E$8:$E$23,MIN(INT(($A30-1)/4)+1,CROQUIS_DATOS!$C$1525))+INDEX($F$8:$F$23,MIN(INT(($A30-1)/4)+1,CROQUIS_DATOS!$C$1525))/2)-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,((INDEX($E$8:$E$23,MIN(INT(($A30-1)/4)+1,CROQUIS_DATOS!$C$1525))+INDEX($F$8:$F$23,MIN(INT(($A30-1)/4)+1,CROQUIS_DATOS!$C$1525))/2)-MIN((CROQUIS_DATOS!$C$1530+CROQUIS_DATOS!$C$1532+IF(OR(MIN(INT(($A30-1)/4)+1,CROQUIS_DATOS!$C$1525)=1,MIN(INT(($A30-1)/4)+1,CROQUIS_DATOS!$C$1525)=CROQUIS_DATOS!$C$1525),CROQUIS_DATOS!$C$1534,CROQUIS_DATOS!$C$1531)/2),INDEX($F$8:$F$23,MIN(INT(($A30-1)/4)+1,CROQUIS_DATOS!$C$1525))/2-0.5))))*CROQUIS_DATOS!$C$1562),-1000)</f>
        <v>84.4792560344828</v>
      </c>
      <c r="M30">
        <f>IF(AND(CROQUIS_DATOS!$C$1472=1,1),(CROQUIS_DATOS!$C$1564+(CHOOSE(MIN(MAX(IF(INT(($A30-1)/4)+1&gt;CROQUIS_DATOS!$C$1525,4,MOD($A30-1,4)+1),1),4),CROQUIS_DATOS!$C$1543,INDEX($I$8:$I$23,MIN(INT(($A30-1)/4)+1,CROQUIS_DATOS!$C$1525)),INDEX($I$8:$I$23,MIN(INT(($A30-1)/4)+1,CROQUIS_DATOS!$C$1525)),CROQUIS_DATOS!$C$1543))*CROQUIS_DATOS!$C$1561*CROQUIS_DATOS!$C$1562),-1000)</f>
        <v>2.93453706896552</v>
      </c>
      <c r="N30">
        <f>IF(AND(CROQUIS_DATOS!$C$1472=1,1),(CROQUIS_DATOS!$C$1563+(IF(IF(IF(INT(($A30-1)/70)+1&gt;CROQUIS_DATOS!$C$1525,70,MOD($A30-1,70)+1)=1,0,IF(IF(INT(($A30-1)/70)+1&gt;CROQUIS_DATOS!$C$1525,70,MOD($A30-1,70)+1)&gt;2*CROQUIS_DATOS!$C$1541+1,IF(MOD(CROQUIS_DATOS!$C$1541,2)=1,1,0),IF(MOD(MIN(INT((IF(INT(($A30-1)/70)+1&gt;CROQUIS_DATOS!$C$1525,70,MOD($A30-1,70)+1)-2)/2)+1,CROQUIS_DATOS!$C$1541),2)=1,IF(MOD(IF(INT(($A30-1)/70)+1&gt;CROQUIS_DATOS!$C$1525,70,MOD($A30-1,70)+1)-2,2)=0,0,1),IF(MOD(IF(INT(($A30-1)/70)+1&gt;CROQUIS_DATOS!$C$1525,70,MOD($A30-1,70)+1)-2,2)=0,1,0))))=0,(INDEX($E$8:$E$23,MIN(INT(($A30-1)/70)+1,CROQUIS_DATOS!$C$1525))-INDEX($F$8:$F$23,MIN(INT(($A30-1)/70)+1,CROQUIS_DATOS!$C$1525))/2),(INDEX($E$8:$E$23,MIN(INT(($A30-1)/70)+1,CROQUIS_DATOS!$C$1525))+INDEX($F$8:$F$23,MIN(INT(($A30-1)/70)+1,CROQUIS_DATOS!$C$1525))/2)))*CROQUIS_DATOS!$C$1562),-1000)</f>
        <v>17.1810344827586</v>
      </c>
      <c r="O30">
        <f>IF(AND(CROQUIS_DATOS!$C$1472=1,1),(CROQUIS_DATOS!$C$1564+(IF(OR(IF(INT(($A30-1)/70)+1&gt;CROQUIS_DATOS!$C$1525,70,MOD($A30-1,70)+1)=1,IF(INT(($A30-1)/70)+1&gt;CROQUIS_DATOS!$C$1525,70,MOD($A30-1,70)+1)&gt;2*CROQUIS_DATOS!$C$1541+1),CROQUIS_DATOS!$C$1476,INDEX($H$8:$H$41,MIN(INT((IF(INT(($A30-1)/70)+1&gt;CROQUIS_DATOS!$C$1525,70,MOD($A30-1,70)+1)-2)/2)+1,CROQUIS_DATOS!$C$1541))))*CROQUIS_DATOS!$C$1561*CROQUIS_DATOS!$C$1562),-1000)</f>
        <v>26.823275862069</v>
      </c>
      <c r="P30">
        <f>IF(AND(CROQUIS_DATOS!$C$1472=1,CROQUIS_DATOS!$C$1555=1),(CROQUIS_DATOS!$C$1563+(IF(IF(OR(MOD($A30-1,62)+1=1,IF(CHOOSE(MIN(MAX(MIN(INT(($A30-1)/62)+1,5),1),5),CROQUIS_DATOS!$C$1501,CROQUIS_DATOS!$C$1505,CROQUIS_DATOS!$C$1509,CROQUIS_DATOS!$C$1513,CROQUIS_DATOS!$C$1517)=1,CROQUIS_DATOS!$C$1557,0)=0),0,IF(MOD($A30-1,62)+1&gt;2*IF(CHOOSE(MIN(MAX(MIN(INT(($A30-1)/62)+1,5),1),5),CROQUIS_DATOS!$C$1501,CROQUIS_DATOS!$C$1505,CROQUIS_DATOS!$C$1509,CROQUIS_DATOS!$C$1513,CROQUIS_DATOS!$C$1517)=1,CROQUIS_DATOS!$C$1557,0)+1,IF(MOD(IF(CHOOSE(MIN(MAX(MIN(INT(($A30-1)/62)+1,5),1),5),CROQUIS_DATOS!$C$1501,CROQUIS_DATOS!$C$1505,CROQUIS_DATOS!$C$1509,CROQUIS_DATOS!$C$1513,CROQUIS_DATOS!$C$1517)=1,CROQUIS_DATOS!$C$1557,0),2)=1,1,0),IF(MOD(MIN(INT((MOD($A30-1,62)+1-2)/2)+1,MAX(IF(CHOOSE(MIN(MAX(MIN(INT(($A30-1)/62)+1,5),1),5),CROQUIS_DATOS!$C$1501,CROQUIS_DATOS!$C$1505,CROQUIS_DATOS!$C$1509,CROQUIS_DATOS!$C$1513,CROQUIS_DATOS!$C$1517)=1,CROQUIS_DATOS!$C$1557,0),1)),2)=1,IF(MOD(MOD($A30-1,62)+1-2,2)=0,0,1),IF(MOD(MOD($A30-1,62)+1-2,2)=0,1,0))))=0,(CHOOSE(MIN(MAX(MIN(INT(($A30-1)/62)+1,5),1),5),CROQUIS_DATOS!$C$1499,CROQUIS_DATOS!$C$1503,CROQUIS_DATOS!$C$1507,CROQUIS_DATOS!$C$1511,CROQUIS_DATOS!$C$1515)+IF(CHOOSE(MIN(MAX(MIN(INT(($A30-1)/62)+1,5),1),5),CROQUIS_DATOS!$C$1501,CROQUIS_DATOS!$C$1505,CROQUIS_DATOS!$C$1509,CROQUIS_DATOS!$C$1513,CROQUIS_DATOS!$C$1517)=1,CROQUIS_DATOS!$C$1526,0)),(CHOOSE(MIN(MAX(MIN(INT(($A30-1)/62)+1,5),1),5),CROQUIS_DATOS!$C$1499,CROQUIS_DATOS!$C$1503,CROQUIS_DATOS!$C$1507,CROQUIS_DATOS!$C$1511,CROQUIS_DATOS!$C$1515)+CHOOSE(MIN(MAX(MIN(INT(($A30-1)/62)+1,5),1),5),CROQUIS_DATOS!$C$1500,CROQUIS_DATOS!$C$1504,CROQUIS_DATOS!$C$1508,CROQUIS_DATOS!$C$1512,CROQUIS_DATOS!$C$1516)-IF(CHOOSE(MIN(MAX(MIN(INT(($A30-1)/62)+1,5),1),5),CROQUIS_DATOS!$C$1501,CROQUIS_DATOS!$C$1505,CROQUIS_DATOS!$C$1509,CROQUIS_DATOS!$C$1513,CROQUIS_DATOS!$C$1517)=1,CROQUIS_DATOS!$C$1526,0))))*CROQUIS_DATOS!$C$1562),-1000)</f>
        <v>-1000</v>
      </c>
      <c r="Q30">
        <f>IF(AND(CROQUIS_DATOS!$C$1472=1,CROQUIS_DATOS!$C$1555=1),(CROQUIS_DATOS!$C$1564+(IF(OR(OR(MOD($A30-1,62)+1=1,IF(CHOOSE(MIN(MAX(MIN(INT(($A30-1)/62)+1,5),1),5),CROQUIS_DATOS!$C$1501,CROQUIS_DATOS!$C$1505,CROQUIS_DATOS!$C$1509,CROQUIS_DATOS!$C$1513,CROQUIS_DATOS!$C$1517)=1,CROQUIS_DATOS!$C$1557,0)=0),MOD($A30-1,62)+1&gt;2*IF(CHOOSE(MIN(MAX(MIN(INT(($A30-1)/62)+1,5),1),5),CROQUIS_DATOS!$C$1501,CROQUIS_DATOS!$C$1505,CROQUIS_DATOS!$C$1509,CROQUIS_DATOS!$C$1513,CROQUIS_DATOS!$C$1517)=1,CROQUIS_DATOS!$C$1557,0)+1),CROQUIS_DATOS!$C$1476,MIN(INT((MOD($A30-1,62)+1-2)/2)+1,MAX(IF(CHOOSE(MIN(MAX(MIN(INT(($A30-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0">
        <f>IF(AND(CROQUIS_DATOS!$C$1472=1,1),(CROQUIS_DATOS!$C$1563+(MIN(INT(($A30-1)/2)+1,CROQUIS_DATOS!$C$1558)*CROQUIS_DATOS!$C$1559)*CROQUIS_DATOS!$C$1562),-1000)</f>
        <v>47.3143236074271</v>
      </c>
      <c r="U30">
        <f>IF(AND(CROQUIS_DATOS!$C$1472=1,1),(CROQUIS_DATOS!$C$1564+(IF(INT(($A30-1)/2)+1&gt;CROQUIS_DATOS!$C$1558,IF(MOD(CROQUIS_DATOS!$C$1558,2)=1,CROQUIS_DATOS!$C$1476+CROQUIS_DATOS!$C$1528,CROQUIS_DATOS!$C$1476),IF(IF(MOD(MIN(INT(($A30-1)/2)+1,CROQUIS_DATOS!$C$1558),2)=1,MOD($A30-1,2),1-MOD($A30-1,2))=1,CROQUIS_DATOS!$C$1476+CROQUIS_DATOS!$C$1528,CROQUIS_DATOS!$C$1476)))*CROQUIS_DATOS!$C$1561*CROQUIS_DATOS!$C$1562),-1000)</f>
        <v>43</v>
      </c>
      <c r="BZ30">
        <f>IF(AND(CROQUIS_DATOS!$C$1472=1,CROQUIS_DATOS!$C$1500&gt;0,((CROQUIS_DATOS!$C$1499+CROQUIS_DATOS!$C$1500))-(CROQUIS_DATOS!$C$1499)&gt;0.5,(CROQUIS_DATOS!$C$1476)-(0)&gt;0.5),(CROQUIS_DATOS!$C$1566+(IF(IF(MOD(MIN(INT(($A30-1)/2)+1,MAX(1,INT(((((CROQUIS_DATOS!$C$1499+CROQUIS_DATOS!$C$1500))-(CROQUIS_DATOS!$C$1499))+((CROQUIS_DATOS!$C$1476)*CROQUIS_DATOS!$C$1561-(0)*CROQUIS_DATOS!$C$1561))/CROQUIS_DATOS!$C$1568-0.000001))),2)=1,IF(INT(($A30-1)/2)+1&gt;MAX(1,INT(((((CROQUIS_DATOS!$C$1499+CROQUIS_DATOS!$C$1500))-(CROQUIS_DATOS!$C$1499))+((CROQUIS_DATOS!$C$1476)*CROQUIS_DATOS!$C$1561-(0)*CROQUIS_DATOS!$C$1561))/CROQUIS_DATOS!$C$1568-0.000001)),1,MOD($A30-1,2)),1-IF(INT(($A30-1)/2)+1&gt;MAX(1,INT(((((CROQUIS_DATOS!$C$1499+CROQUIS_DATOS!$C$1500))-(CROQUIS_DATOS!$C$1499))+((CROQUIS_DATOS!$C$1476)*CROQUIS_DATOS!$C$1561-(0)*CROQUIS_DATOS!$C$1561))/CROQUIS_DATOS!$C$1568-0.000001)),1,MOD($A30-1,2)))=1,MIN((CROQUIS_DATOS!$C$1476)*CROQUIS_DATOS!$C$1561,((CROQUIS_DATOS!$C$1499+CROQUIS_DATOS!$C$1500)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30">
        <f>IF(AND(CROQUIS_DATOS!$C$1472=1,CROQUIS_DATOS!$C$1500&gt;0,((CROQUIS_DATOS!$C$1499+CROQUIS_DATOS!$C$1500))-(CROQUIS_DATOS!$C$1499)&gt;0.5,(CROQUIS_DATOS!$C$1476)-(0)&gt;0.5),(CROQUIS_DATOS!$C$1567+(IF(IF(MOD(MIN(INT(($A30-1)/2)+1,MAX(1,INT(((((CROQUIS_DATOS!$C$1499+CROQUIS_DATOS!$C$1500))-(CROQUIS_DATOS!$C$1499))+((CROQUIS_DATOS!$C$1476)*CROQUIS_DATOS!$C$1561-(0)*CROQUIS_DATOS!$C$1561))/CROQUIS_DATOS!$C$1568-0.000001))),2)=1,IF(INT(($A30-1)/2)+1&gt;MAX(1,INT(((((CROQUIS_DATOS!$C$1499+CROQUIS_DATOS!$C$1500))-(CROQUIS_DATOS!$C$1499))+((CROQUIS_DATOS!$C$1476)*CROQUIS_DATOS!$C$1561-(0)*CROQUIS_DATOS!$C$1561))/CROQUIS_DATOS!$C$1568-0.000001)),1,MOD($A30-1,2)),1-IF(INT(($A30-1)/2)+1&gt;MAX(1,INT(((((CROQUIS_DATOS!$C$1499+CROQUIS_DATOS!$C$1500))-(CROQUIS_DATOS!$C$1499))+((CROQUIS_DATOS!$C$1476)*CROQUIS_DATOS!$C$1561-(0)*CROQUIS_DATOS!$C$1561))/CROQUIS_DATOS!$C$1568-0.000001)),1,MOD($A30-1,2)))=1,MIN((CROQUIS_DATOS!$C$1476)*CROQUIS_DATOS!$C$1561,((CROQUIS_DATOS!$C$1499+CROQUIS_DATOS!$C$1500)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30-1)/2)+1,MAX(1,INT(((((CROQUIS_DATOS!$C$1499+CROQUIS_DATOS!$C$1500))-(CROQUIS_DATOS!$C$1499))+((CROQUIS_DATOS!$C$1476)*CROQUIS_DATOS!$C$1561-(0)*CROQUIS_DATOS!$C$1561))/CROQUIS_DATOS!$C$1568-0.000001)))*CROQUIS_DATOS!$C$1568))))*CROQUIS_DATOS!$C$1565),-1000)</f>
        <v>23.9379310344828</v>
      </c>
      <c r="CB30">
        <f>IF(AND(CROQUIS_DATOS!$C$1472=1,CROQUIS_DATOS!$C$1504&gt;0,((CROQUIS_DATOS!$C$1503+CROQUIS_DATOS!$C$1504))-(CROQUIS_DATOS!$C$1503)&gt;0.5,(CROQUIS_DATOS!$C$1476)-(0)&gt;0.5),(CROQUIS_DATOS!$C$1566+(IF(IF(MOD(MIN(INT(($A30-1)/2)+1,MAX(1,INT(((((CROQUIS_DATOS!$C$1503+CROQUIS_DATOS!$C$1504))-(CROQUIS_DATOS!$C$1503))+((CROQUIS_DATOS!$C$1476)*CROQUIS_DATOS!$C$1561-(0)*CROQUIS_DATOS!$C$1561))/CROQUIS_DATOS!$C$1568-0.000001))),2)=1,IF(INT(($A30-1)/2)+1&gt;MAX(1,INT(((((CROQUIS_DATOS!$C$1503+CROQUIS_DATOS!$C$1504))-(CROQUIS_DATOS!$C$1503))+((CROQUIS_DATOS!$C$1476)*CROQUIS_DATOS!$C$1561-(0)*CROQUIS_DATOS!$C$1561))/CROQUIS_DATOS!$C$1568-0.000001)),1,MOD($A30-1,2)),1-IF(INT(($A30-1)/2)+1&gt;MAX(1,INT(((((CROQUIS_DATOS!$C$1503+CROQUIS_DATOS!$C$1504))-(CROQUIS_DATOS!$C$1503))+((CROQUIS_DATOS!$C$1476)*CROQUIS_DATOS!$C$1561-(0)*CROQUIS_DATOS!$C$1561))/CROQUIS_DATOS!$C$1568-0.000001)),1,MOD($A30-1,2)))=1,MIN((CROQUIS_DATOS!$C$1476)*CROQUIS_DATOS!$C$1561,((CROQUIS_DATOS!$C$1503+CROQUIS_DATOS!$C$1504)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30">
        <f>IF(AND(CROQUIS_DATOS!$C$1472=1,CROQUIS_DATOS!$C$1504&gt;0,((CROQUIS_DATOS!$C$1503+CROQUIS_DATOS!$C$1504))-(CROQUIS_DATOS!$C$1503)&gt;0.5,(CROQUIS_DATOS!$C$1476)-(0)&gt;0.5),(CROQUIS_DATOS!$C$1567+(IF(IF(MOD(MIN(INT(($A30-1)/2)+1,MAX(1,INT(((((CROQUIS_DATOS!$C$1503+CROQUIS_DATOS!$C$1504))-(CROQUIS_DATOS!$C$1503))+((CROQUIS_DATOS!$C$1476)*CROQUIS_DATOS!$C$1561-(0)*CROQUIS_DATOS!$C$1561))/CROQUIS_DATOS!$C$1568-0.000001))),2)=1,IF(INT(($A30-1)/2)+1&gt;MAX(1,INT(((((CROQUIS_DATOS!$C$1503+CROQUIS_DATOS!$C$1504))-(CROQUIS_DATOS!$C$1503))+((CROQUIS_DATOS!$C$1476)*CROQUIS_DATOS!$C$1561-(0)*CROQUIS_DATOS!$C$1561))/CROQUIS_DATOS!$C$1568-0.000001)),1,MOD($A30-1,2)),1-IF(INT(($A30-1)/2)+1&gt;MAX(1,INT(((((CROQUIS_DATOS!$C$1503+CROQUIS_DATOS!$C$1504))-(CROQUIS_DATOS!$C$1503))+((CROQUIS_DATOS!$C$1476)*CROQUIS_DATOS!$C$1561-(0)*CROQUIS_DATOS!$C$1561))/CROQUIS_DATOS!$C$1568-0.000001)),1,MOD($A30-1,2)))=1,MIN((CROQUIS_DATOS!$C$1476)*CROQUIS_DATOS!$C$1561,((CROQUIS_DATOS!$C$1503+CROQUIS_DATOS!$C$1504)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30-1)/2)+1,MAX(1,INT(((((CROQUIS_DATOS!$C$1503+CROQUIS_DATOS!$C$1504))-(CROQUIS_DATOS!$C$1503))+((CROQUIS_DATOS!$C$1476)*CROQUIS_DATOS!$C$1561-(0)*CROQUIS_DATOS!$C$1561))/CROQUIS_DATOS!$C$1568-0.000001)))*CROQUIS_DATOS!$C$1568))))*CROQUIS_DATOS!$C$1565),-1000)</f>
        <v>30.351724137931</v>
      </c>
      <c r="CD30">
        <f>IF(AND(CROQUIS_DATOS!$C$1472=1,CROQUIS_DATOS!$C$1508&gt;0,((CROQUIS_DATOS!$C$1507+CROQUIS_DATOS!$C$1508))-(CROQUIS_DATOS!$C$1507)&gt;0.5,(CROQUIS_DATOS!$C$1476)-(0)&gt;0.5),(CROQUIS_DATOS!$C$1566+(IF(IF(MOD(MIN(INT(($A30-1)/2)+1,MAX(1,INT(((((CROQUIS_DATOS!$C$1507+CROQUIS_DATOS!$C$1508))-(CROQUIS_DATOS!$C$1507))+((CROQUIS_DATOS!$C$1476)*CROQUIS_DATOS!$C$1561-(0)*CROQUIS_DATOS!$C$1561))/CROQUIS_DATOS!$C$1568-0.000001))),2)=1,IF(INT(($A30-1)/2)+1&gt;MAX(1,INT(((((CROQUIS_DATOS!$C$1507+CROQUIS_DATOS!$C$1508))-(CROQUIS_DATOS!$C$1507))+((CROQUIS_DATOS!$C$1476)*CROQUIS_DATOS!$C$1561-(0)*CROQUIS_DATOS!$C$1561))/CROQUIS_DATOS!$C$1568-0.000001)),1,MOD($A30-1,2)),1-IF(INT(($A30-1)/2)+1&gt;MAX(1,INT(((((CROQUIS_DATOS!$C$1507+CROQUIS_DATOS!$C$1508))-(CROQUIS_DATOS!$C$1507))+((CROQUIS_DATOS!$C$1476)*CROQUIS_DATOS!$C$1561-(0)*CROQUIS_DATOS!$C$1561))/CROQUIS_DATOS!$C$1568-0.000001)),1,MOD($A30-1,2)))=1,MIN((CROQUIS_DATOS!$C$1476)*CROQUIS_DATOS!$C$1561,((CROQUIS_DATOS!$C$1507+CROQUIS_DATOS!$C$1508)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30">
        <f>IF(AND(CROQUIS_DATOS!$C$1472=1,CROQUIS_DATOS!$C$1508&gt;0,((CROQUIS_DATOS!$C$1507+CROQUIS_DATOS!$C$1508))-(CROQUIS_DATOS!$C$1507)&gt;0.5,(CROQUIS_DATOS!$C$1476)-(0)&gt;0.5),(CROQUIS_DATOS!$C$1567+(IF(IF(MOD(MIN(INT(($A30-1)/2)+1,MAX(1,INT(((((CROQUIS_DATOS!$C$1507+CROQUIS_DATOS!$C$1508))-(CROQUIS_DATOS!$C$1507))+((CROQUIS_DATOS!$C$1476)*CROQUIS_DATOS!$C$1561-(0)*CROQUIS_DATOS!$C$1561))/CROQUIS_DATOS!$C$1568-0.000001))),2)=1,IF(INT(($A30-1)/2)+1&gt;MAX(1,INT(((((CROQUIS_DATOS!$C$1507+CROQUIS_DATOS!$C$1508))-(CROQUIS_DATOS!$C$1507))+((CROQUIS_DATOS!$C$1476)*CROQUIS_DATOS!$C$1561-(0)*CROQUIS_DATOS!$C$1561))/CROQUIS_DATOS!$C$1568-0.000001)),1,MOD($A30-1,2)),1-IF(INT(($A30-1)/2)+1&gt;MAX(1,INT(((((CROQUIS_DATOS!$C$1507+CROQUIS_DATOS!$C$1508))-(CROQUIS_DATOS!$C$1507))+((CROQUIS_DATOS!$C$1476)*CROQUIS_DATOS!$C$1561-(0)*CROQUIS_DATOS!$C$1561))/CROQUIS_DATOS!$C$1568-0.000001)),1,MOD($A30-1,2)))=1,MIN((CROQUIS_DATOS!$C$1476)*CROQUIS_DATOS!$C$1561,((CROQUIS_DATOS!$C$1507+CROQUIS_DATOS!$C$1508)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30-1)/2)+1,MAX(1,INT(((((CROQUIS_DATOS!$C$1507+CROQUIS_DATOS!$C$1508))-(CROQUIS_DATOS!$C$1507))+((CROQUIS_DATOS!$C$1476)*CROQUIS_DATOS!$C$1561-(0)*CROQUIS_DATOS!$C$1561))/CROQUIS_DATOS!$C$1568-0.000001)))*CROQUIS_DATOS!$C$1568))))*CROQUIS_DATOS!$C$1565),-1000)</f>
        <v>32.4896551724138</v>
      </c>
      <c r="CF30">
        <f>IF(AND(CROQUIS_DATOS!$C$1472=1,CROQUIS_DATOS!$C$1512&gt;0,((CROQUIS_DATOS!$C$1511+CROQUIS_DATOS!$C$1512))-(CROQUIS_DATOS!$C$1511)&gt;0.5,(CROQUIS_DATOS!$C$1476)-(0)&gt;0.5),(CROQUIS_DATOS!$C$1566+(IF(IF(MOD(MIN(INT(($A30-1)/2)+1,MAX(1,INT(((((CROQUIS_DATOS!$C$1511+CROQUIS_DATOS!$C$1512))-(CROQUIS_DATOS!$C$1511))+((CROQUIS_DATOS!$C$1476)*CROQUIS_DATOS!$C$1561-(0)*CROQUIS_DATOS!$C$1561))/CROQUIS_DATOS!$C$1568-0.000001))),2)=1,IF(INT(($A30-1)/2)+1&gt;MAX(1,INT(((((CROQUIS_DATOS!$C$1511+CROQUIS_DATOS!$C$1512))-(CROQUIS_DATOS!$C$1511))+((CROQUIS_DATOS!$C$1476)*CROQUIS_DATOS!$C$1561-(0)*CROQUIS_DATOS!$C$1561))/CROQUIS_DATOS!$C$1568-0.000001)),1,MOD($A30-1,2)),1-IF(INT(($A30-1)/2)+1&gt;MAX(1,INT(((((CROQUIS_DATOS!$C$1511+CROQUIS_DATOS!$C$1512))-(CROQUIS_DATOS!$C$1511))+((CROQUIS_DATOS!$C$1476)*CROQUIS_DATOS!$C$1561-(0)*CROQUIS_DATOS!$C$1561))/CROQUIS_DATOS!$C$1568-0.000001)),1,MOD($A30-1,2)))=1,MIN((CROQUIS_DATOS!$C$1476)*CROQUIS_DATOS!$C$1561,((CROQUIS_DATOS!$C$1511+CROQUIS_DATOS!$C$1512)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0">
        <f>IF(AND(CROQUIS_DATOS!$C$1472=1,CROQUIS_DATOS!$C$1512&gt;0,((CROQUIS_DATOS!$C$1511+CROQUIS_DATOS!$C$1512))-(CROQUIS_DATOS!$C$1511)&gt;0.5,(CROQUIS_DATOS!$C$1476)-(0)&gt;0.5),(CROQUIS_DATOS!$C$1567+(IF(IF(MOD(MIN(INT(($A30-1)/2)+1,MAX(1,INT(((((CROQUIS_DATOS!$C$1511+CROQUIS_DATOS!$C$1512))-(CROQUIS_DATOS!$C$1511))+((CROQUIS_DATOS!$C$1476)*CROQUIS_DATOS!$C$1561-(0)*CROQUIS_DATOS!$C$1561))/CROQUIS_DATOS!$C$1568-0.000001))),2)=1,IF(INT(($A30-1)/2)+1&gt;MAX(1,INT(((((CROQUIS_DATOS!$C$1511+CROQUIS_DATOS!$C$1512))-(CROQUIS_DATOS!$C$1511))+((CROQUIS_DATOS!$C$1476)*CROQUIS_DATOS!$C$1561-(0)*CROQUIS_DATOS!$C$1561))/CROQUIS_DATOS!$C$1568-0.000001)),1,MOD($A30-1,2)),1-IF(INT(($A30-1)/2)+1&gt;MAX(1,INT(((((CROQUIS_DATOS!$C$1511+CROQUIS_DATOS!$C$1512))-(CROQUIS_DATOS!$C$1511))+((CROQUIS_DATOS!$C$1476)*CROQUIS_DATOS!$C$1561-(0)*CROQUIS_DATOS!$C$1561))/CROQUIS_DATOS!$C$1568-0.000001)),1,MOD($A30-1,2)))=1,MIN((CROQUIS_DATOS!$C$1476)*CROQUIS_DATOS!$C$1561,((CROQUIS_DATOS!$C$1511+CROQUIS_DATOS!$C$1512)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0">
        <f>IF(AND(CROQUIS_DATOS!$C$1472=1,CROQUIS_DATOS!$C$1516&gt;0,((CROQUIS_DATOS!$C$1515+CROQUIS_DATOS!$C$1516))-(CROQUIS_DATOS!$C$1515)&gt;0.5,(CROQUIS_DATOS!$C$1476)-(0)&gt;0.5),(CROQUIS_DATOS!$C$1566+(IF(IF(MOD(MIN(INT(($A30-1)/2)+1,MAX(1,INT(((((CROQUIS_DATOS!$C$1515+CROQUIS_DATOS!$C$1516))-(CROQUIS_DATOS!$C$1515))+((CROQUIS_DATOS!$C$1476)*CROQUIS_DATOS!$C$1561-(0)*CROQUIS_DATOS!$C$1561))/CROQUIS_DATOS!$C$1568-0.000001))),2)=1,IF(INT(($A30-1)/2)+1&gt;MAX(1,INT(((((CROQUIS_DATOS!$C$1515+CROQUIS_DATOS!$C$1516))-(CROQUIS_DATOS!$C$1515))+((CROQUIS_DATOS!$C$1476)*CROQUIS_DATOS!$C$1561-(0)*CROQUIS_DATOS!$C$1561))/CROQUIS_DATOS!$C$1568-0.000001)),1,MOD($A30-1,2)),1-IF(INT(($A30-1)/2)+1&gt;MAX(1,INT(((((CROQUIS_DATOS!$C$1515+CROQUIS_DATOS!$C$1516))-(CROQUIS_DATOS!$C$1515))+((CROQUIS_DATOS!$C$1476)*CROQUIS_DATOS!$C$1561-(0)*CROQUIS_DATOS!$C$1561))/CROQUIS_DATOS!$C$1568-0.000001)),1,MOD($A30-1,2)))=1,MIN((CROQUIS_DATOS!$C$1476)*CROQUIS_DATOS!$C$1561,((CROQUIS_DATOS!$C$1515+CROQUIS_DATOS!$C$1516)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0">
        <f>IF(AND(CROQUIS_DATOS!$C$1472=1,CROQUIS_DATOS!$C$1516&gt;0,((CROQUIS_DATOS!$C$1515+CROQUIS_DATOS!$C$1516))-(CROQUIS_DATOS!$C$1515)&gt;0.5,(CROQUIS_DATOS!$C$1476)-(0)&gt;0.5),(CROQUIS_DATOS!$C$1567+(IF(IF(MOD(MIN(INT(($A30-1)/2)+1,MAX(1,INT(((((CROQUIS_DATOS!$C$1515+CROQUIS_DATOS!$C$1516))-(CROQUIS_DATOS!$C$1515))+((CROQUIS_DATOS!$C$1476)*CROQUIS_DATOS!$C$1561-(0)*CROQUIS_DATOS!$C$1561))/CROQUIS_DATOS!$C$1568-0.000001))),2)=1,IF(INT(($A30-1)/2)+1&gt;MAX(1,INT(((((CROQUIS_DATOS!$C$1515+CROQUIS_DATOS!$C$1516))-(CROQUIS_DATOS!$C$1515))+((CROQUIS_DATOS!$C$1476)*CROQUIS_DATOS!$C$1561-(0)*CROQUIS_DATOS!$C$1561))/CROQUIS_DATOS!$C$1568-0.000001)),1,MOD($A30-1,2)),1-IF(INT(($A30-1)/2)+1&gt;MAX(1,INT(((((CROQUIS_DATOS!$C$1515+CROQUIS_DATOS!$C$1516))-(CROQUIS_DATOS!$C$1515))+((CROQUIS_DATOS!$C$1476)*CROQUIS_DATOS!$C$1561-(0)*CROQUIS_DATOS!$C$1561))/CROQUIS_DATOS!$C$1568-0.000001)),1,MOD($A30-1,2)))=1,MIN((CROQUIS_DATOS!$C$1476)*CROQUIS_DATOS!$C$1561,((CROQUIS_DATOS!$C$1515+CROQUIS_DATOS!$C$1516)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0">
        <f>IF(AND(CROQUIS_DATOS!$C$1472=1,CROQUIS_DATOS!$C$1478&gt;=1,((CROQUIS_DATOS!$C$1479+CROQUIS_DATOS!$C$1480))-(CROQUIS_DATOS!$C$1479)&gt;0.5,(CROQUIS_DATOS!$C$1481)-(0)&gt;0.5),(CROQUIS_DATOS!$C$1566+(IF(IF(MOD(MIN(INT(($A30-1)/2)+1,MAX(1,INT(((((CROQUIS_DATOS!$C$1479+CROQUIS_DATOS!$C$1480))-(CROQUIS_DATOS!$C$1479))+((CROQUIS_DATOS!$C$1481)*CROQUIS_DATOS!$C$1561-(0)*CROQUIS_DATOS!$C$1561))/CROQUIS_DATOS!$C$1568-0.000001))),2)=1,IF(INT(($A30-1)/2)+1&gt;MAX(1,INT(((((CROQUIS_DATOS!$C$1479+CROQUIS_DATOS!$C$1480))-(CROQUIS_DATOS!$C$1479))+((CROQUIS_DATOS!$C$1481)*CROQUIS_DATOS!$C$1561-(0)*CROQUIS_DATOS!$C$1561))/CROQUIS_DATOS!$C$1568-0.000001)),1,MOD($A30-1,2)),1-IF(INT(($A30-1)/2)+1&gt;MAX(1,INT(((((CROQUIS_DATOS!$C$1479+CROQUIS_DATOS!$C$1480))-(CROQUIS_DATOS!$C$1479))+((CROQUIS_DATOS!$C$1481)*CROQUIS_DATOS!$C$1561-(0)*CROQUIS_DATOS!$C$1561))/CROQUIS_DATOS!$C$1568-0.000001)),1,MOD($A30-1,2)))=1,MIN((CROQUIS_DATOS!$C$1481)*CROQUIS_DATOS!$C$1561,((CROQUIS_DATOS!$C$1479+CROQUIS_DATOS!$C$1480)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0">
        <f>IF(AND(CROQUIS_DATOS!$C$1472=1,CROQUIS_DATOS!$C$1478&gt;=1,((CROQUIS_DATOS!$C$1479+CROQUIS_DATOS!$C$1480))-(CROQUIS_DATOS!$C$1479)&gt;0.5,(CROQUIS_DATOS!$C$1481)-(0)&gt;0.5),(CROQUIS_DATOS!$C$1567+(IF(IF(MOD(MIN(INT(($A30-1)/2)+1,MAX(1,INT(((((CROQUIS_DATOS!$C$1479+CROQUIS_DATOS!$C$1480))-(CROQUIS_DATOS!$C$1479))+((CROQUIS_DATOS!$C$1481)*CROQUIS_DATOS!$C$1561-(0)*CROQUIS_DATOS!$C$1561))/CROQUIS_DATOS!$C$1568-0.000001))),2)=1,IF(INT(($A30-1)/2)+1&gt;MAX(1,INT(((((CROQUIS_DATOS!$C$1479+CROQUIS_DATOS!$C$1480))-(CROQUIS_DATOS!$C$1479))+((CROQUIS_DATOS!$C$1481)*CROQUIS_DATOS!$C$1561-(0)*CROQUIS_DATOS!$C$1561))/CROQUIS_DATOS!$C$1568-0.000001)),1,MOD($A30-1,2)),1-IF(INT(($A30-1)/2)+1&gt;MAX(1,INT(((((CROQUIS_DATOS!$C$1479+CROQUIS_DATOS!$C$1480))-(CROQUIS_DATOS!$C$1479))+((CROQUIS_DATOS!$C$1481)*CROQUIS_DATOS!$C$1561-(0)*CROQUIS_DATOS!$C$1561))/CROQUIS_DATOS!$C$1568-0.000001)),1,MOD($A30-1,2)))=1,MIN((CROQUIS_DATOS!$C$1481)*CROQUIS_DATOS!$C$1561,((CROQUIS_DATOS!$C$1479+CROQUIS_DATOS!$C$1480)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0">
        <f>IF(AND(CROQUIS_DATOS!$C$1472=1,CROQUIS_DATOS!$C$1478&gt;=1,((CROQUIS_DATOS!$C$1479+CROQUIS_DATOS!$C$1480))-(CROQUIS_DATOS!$C$1479)&gt;0.5,(CROQUIS_DATOS!$C$1476)-((CROQUIS_DATOS!$C$1481+CROQUIS_DATOS!$C$1482))&gt;0.5),(CROQUIS_DATOS!$C$1566+(IF(IF(MOD(MIN(INT(($A30-1)/2)+1,MAX(1,INT(((((CROQUIS_DATOS!$C$1479+CROQUIS_DATOS!$C$1480))-(CROQUIS_DATOS!$C$1479))+((CROQUIS_DATOS!$C$1476)*CROQUIS_DATOS!$C$1561-((CROQUIS_DATOS!$C$1481+CROQUIS_DATOS!$C$1482))*CROQUIS_DATOS!$C$1561))/CROQUIS_DATOS!$C$1568-0.000001))),2)=1,IF(INT(($A30-1)/2)+1&gt;MAX(1,INT(((((CROQUIS_DATOS!$C$1479+CROQUIS_DATOS!$C$1480))-(CROQUIS_DATOS!$C$1479))+((CROQUIS_DATOS!$C$1476)*CROQUIS_DATOS!$C$1561-((CROQUIS_DATOS!$C$1481+CROQUIS_DATOS!$C$1482))*CROQUIS_DATOS!$C$1561))/CROQUIS_DATOS!$C$1568-0.000001)),1,MOD($A30-1,2)),1-IF(INT(($A30-1)/2)+1&gt;MAX(1,INT(((((CROQUIS_DATOS!$C$1479+CROQUIS_DATOS!$C$1480))-(CROQUIS_DATOS!$C$1479))+((CROQUIS_DATOS!$C$1476)*CROQUIS_DATOS!$C$1561-((CROQUIS_DATOS!$C$1481+CROQUIS_DATOS!$C$1482))*CROQUIS_DATOS!$C$1561))/CROQUIS_DATOS!$C$1568-0.000001)),1,MOD($A30-1,2)))=1,MIN((CROQUIS_DATOS!$C$1476)*CROQUIS_DATOS!$C$1561,((CROQUIS_DATOS!$C$1479+CROQUIS_DATOS!$C$1480)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0">
        <f>IF(AND(CROQUIS_DATOS!$C$1472=1,CROQUIS_DATOS!$C$1478&gt;=1,((CROQUIS_DATOS!$C$1479+CROQUIS_DATOS!$C$1480))-(CROQUIS_DATOS!$C$1479)&gt;0.5,(CROQUIS_DATOS!$C$1476)-((CROQUIS_DATOS!$C$1481+CROQUIS_DATOS!$C$1482))&gt;0.5),(CROQUIS_DATOS!$C$1567+(IF(IF(MOD(MIN(INT(($A30-1)/2)+1,MAX(1,INT(((((CROQUIS_DATOS!$C$1479+CROQUIS_DATOS!$C$1480))-(CROQUIS_DATOS!$C$1479))+((CROQUIS_DATOS!$C$1476)*CROQUIS_DATOS!$C$1561-((CROQUIS_DATOS!$C$1481+CROQUIS_DATOS!$C$1482))*CROQUIS_DATOS!$C$1561))/CROQUIS_DATOS!$C$1568-0.000001))),2)=1,IF(INT(($A30-1)/2)+1&gt;MAX(1,INT(((((CROQUIS_DATOS!$C$1479+CROQUIS_DATOS!$C$1480))-(CROQUIS_DATOS!$C$1479))+((CROQUIS_DATOS!$C$1476)*CROQUIS_DATOS!$C$1561-((CROQUIS_DATOS!$C$1481+CROQUIS_DATOS!$C$1482))*CROQUIS_DATOS!$C$1561))/CROQUIS_DATOS!$C$1568-0.000001)),1,MOD($A30-1,2)),1-IF(INT(($A30-1)/2)+1&gt;MAX(1,INT(((((CROQUIS_DATOS!$C$1479+CROQUIS_DATOS!$C$1480))-(CROQUIS_DATOS!$C$1479))+((CROQUIS_DATOS!$C$1476)*CROQUIS_DATOS!$C$1561-((CROQUIS_DATOS!$C$1481+CROQUIS_DATOS!$C$1482))*CROQUIS_DATOS!$C$1561))/CROQUIS_DATOS!$C$1568-0.000001)),1,MOD($A30-1,2)))=1,MIN((CROQUIS_DATOS!$C$1476)*CROQUIS_DATOS!$C$1561,((CROQUIS_DATOS!$C$1479+CROQUIS_DATOS!$C$1480)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0">
        <f>IF(AND(CROQUIS_DATOS!$C$1472=1,CROQUIS_DATOS!$C$1478&gt;=2,((CROQUIS_DATOS!$C$1484+CROQUIS_DATOS!$C$1485))-(CROQUIS_DATOS!$C$1484)&gt;0.5,(CROQUIS_DATOS!$C$1486)-(0)&gt;0.5),(CROQUIS_DATOS!$C$1566+(IF(IF(MOD(MIN(INT(($A30-1)/2)+1,MAX(1,INT(((((CROQUIS_DATOS!$C$1484+CROQUIS_DATOS!$C$1485))-(CROQUIS_DATOS!$C$1484))+((CROQUIS_DATOS!$C$1486)*CROQUIS_DATOS!$C$1561-(0)*CROQUIS_DATOS!$C$1561))/CROQUIS_DATOS!$C$1568-0.000001))),2)=1,IF(INT(($A30-1)/2)+1&gt;MAX(1,INT(((((CROQUIS_DATOS!$C$1484+CROQUIS_DATOS!$C$1485))-(CROQUIS_DATOS!$C$1484))+((CROQUIS_DATOS!$C$1486)*CROQUIS_DATOS!$C$1561-(0)*CROQUIS_DATOS!$C$1561))/CROQUIS_DATOS!$C$1568-0.000001)),1,MOD($A30-1,2)),1-IF(INT(($A30-1)/2)+1&gt;MAX(1,INT(((((CROQUIS_DATOS!$C$1484+CROQUIS_DATOS!$C$1485))-(CROQUIS_DATOS!$C$1484))+((CROQUIS_DATOS!$C$1486)*CROQUIS_DATOS!$C$1561-(0)*CROQUIS_DATOS!$C$1561))/CROQUIS_DATOS!$C$1568-0.000001)),1,MOD($A30-1,2)))=1,MIN((CROQUIS_DATOS!$C$1486)*CROQUIS_DATOS!$C$1561,((CROQUIS_DATOS!$C$1484+CROQUIS_DATOS!$C$1485)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*CROQUIS_DATOS!$C$1565),-1000)</f>
        <v>64.8965517241379</v>
      </c>
      <c r="CS30">
        <f>IF(AND(CROQUIS_DATOS!$C$1472=1,CROQUIS_DATOS!$C$1478&gt;=2,((CROQUIS_DATOS!$C$1484+CROQUIS_DATOS!$C$1485))-(CROQUIS_DATOS!$C$1484)&gt;0.5,(CROQUIS_DATOS!$C$1486)-(0)&gt;0.5),(CROQUIS_DATOS!$C$1567+(IF(IF(MOD(MIN(INT(($A30-1)/2)+1,MAX(1,INT(((((CROQUIS_DATOS!$C$1484+CROQUIS_DATOS!$C$1485))-(CROQUIS_DATOS!$C$1484))+((CROQUIS_DATOS!$C$1486)*CROQUIS_DATOS!$C$1561-(0)*CROQUIS_DATOS!$C$1561))/CROQUIS_DATOS!$C$1568-0.000001))),2)=1,IF(INT(($A30-1)/2)+1&gt;MAX(1,INT(((((CROQUIS_DATOS!$C$1484+CROQUIS_DATOS!$C$1485))-(CROQUIS_DATOS!$C$1484))+((CROQUIS_DATOS!$C$1486)*CROQUIS_DATOS!$C$1561-(0)*CROQUIS_DATOS!$C$1561))/CROQUIS_DATOS!$C$1568-0.000001)),1,MOD($A30-1,2)),1-IF(INT(($A30-1)/2)+1&gt;MAX(1,INT(((((CROQUIS_DATOS!$C$1484+CROQUIS_DATOS!$C$1485))-(CROQUIS_DATOS!$C$1484))+((CROQUIS_DATOS!$C$1486)*CROQUIS_DATOS!$C$1561-(0)*CROQUIS_DATOS!$C$1561))/CROQUIS_DATOS!$C$1568-0.000001)),1,MOD($A30-1,2)))=1,MIN((CROQUIS_DATOS!$C$1486)*CROQUIS_DATOS!$C$1561,((CROQUIS_DATOS!$C$1484+CROQUIS_DATOS!$C$1485)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30-1)/2)+1,MAX(1,INT(((((CROQUIS_DATOS!$C$1484+CROQUIS_DATOS!$C$1485))-(CROQUIS_DATOS!$C$1484))+((CROQUIS_DATOS!$C$1486)*CROQUIS_DATOS!$C$1561-(0)*CROQUIS_DATOS!$C$1561))/CROQUIS_DATOS!$C$1568-0.000001)))*CROQUIS_DATOS!$C$1568))))*CROQUIS_DATOS!$C$1565),-1000)</f>
        <v>18.5931034482759</v>
      </c>
      <c r="CT30">
        <f>IF(AND(CROQUIS_DATOS!$C$1472=1,CROQUIS_DATOS!$C$1478&gt;=2,((CROQUIS_DATOS!$C$1484+CROQUIS_DATOS!$C$1485))-(CROQUIS_DATOS!$C$1484)&gt;0.5,(CROQUIS_DATOS!$C$1476)-((CROQUIS_DATOS!$C$1486+CROQUIS_DATOS!$C$1487))&gt;0.5),(CROQUIS_DATOS!$C$1566+(IF(IF(MOD(MIN(INT(($A30-1)/2)+1,MAX(1,INT(((((CROQUIS_DATOS!$C$1484+CROQUIS_DATOS!$C$1485))-(CROQUIS_DATOS!$C$1484))+((CROQUIS_DATOS!$C$1476)*CROQUIS_DATOS!$C$1561-((CROQUIS_DATOS!$C$1486+CROQUIS_DATOS!$C$1487))*CROQUIS_DATOS!$C$1561))/CROQUIS_DATOS!$C$1568-0.000001))),2)=1,IF(INT(($A30-1)/2)+1&gt;MAX(1,INT(((((CROQUIS_DATOS!$C$1484+CROQUIS_DATOS!$C$1485))-(CROQUIS_DATOS!$C$1484))+((CROQUIS_DATOS!$C$1476)*CROQUIS_DATOS!$C$1561-((CROQUIS_DATOS!$C$1486+CROQUIS_DATOS!$C$1487))*CROQUIS_DATOS!$C$1561))/CROQUIS_DATOS!$C$1568-0.000001)),1,MOD($A30-1,2)),1-IF(INT(($A30-1)/2)+1&gt;MAX(1,INT(((((CROQUIS_DATOS!$C$1484+CROQUIS_DATOS!$C$1485))-(CROQUIS_DATOS!$C$1484))+((CROQUIS_DATOS!$C$1476)*CROQUIS_DATOS!$C$1561-((CROQUIS_DATOS!$C$1486+CROQUIS_DATOS!$C$1487))*CROQUIS_DATOS!$C$1561))/CROQUIS_DATOS!$C$1568-0.000001)),1,MOD($A30-1,2)))=1,MIN((CROQUIS_DATOS!$C$1476)*CROQUIS_DATOS!$C$1561,((CROQUIS_DATOS!$C$1484+CROQUIS_DATOS!$C$1485)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64.8965517241379</v>
      </c>
      <c r="CU30">
        <f>IF(AND(CROQUIS_DATOS!$C$1472=1,CROQUIS_DATOS!$C$1478&gt;=2,((CROQUIS_DATOS!$C$1484+CROQUIS_DATOS!$C$1485))-(CROQUIS_DATOS!$C$1484)&gt;0.5,(CROQUIS_DATOS!$C$1476)-((CROQUIS_DATOS!$C$1486+CROQUIS_DATOS!$C$1487))&gt;0.5),(CROQUIS_DATOS!$C$1567+(IF(IF(MOD(MIN(INT(($A30-1)/2)+1,MAX(1,INT(((((CROQUIS_DATOS!$C$1484+CROQUIS_DATOS!$C$1485))-(CROQUIS_DATOS!$C$1484))+((CROQUIS_DATOS!$C$1476)*CROQUIS_DATOS!$C$1561-((CROQUIS_DATOS!$C$1486+CROQUIS_DATOS!$C$1487))*CROQUIS_DATOS!$C$1561))/CROQUIS_DATOS!$C$1568-0.000001))),2)=1,IF(INT(($A30-1)/2)+1&gt;MAX(1,INT(((((CROQUIS_DATOS!$C$1484+CROQUIS_DATOS!$C$1485))-(CROQUIS_DATOS!$C$1484))+((CROQUIS_DATOS!$C$1476)*CROQUIS_DATOS!$C$1561-((CROQUIS_DATOS!$C$1486+CROQUIS_DATOS!$C$1487))*CROQUIS_DATOS!$C$1561))/CROQUIS_DATOS!$C$1568-0.000001)),1,MOD($A30-1,2)),1-IF(INT(($A30-1)/2)+1&gt;MAX(1,INT(((((CROQUIS_DATOS!$C$1484+CROQUIS_DATOS!$C$1485))-(CROQUIS_DATOS!$C$1484))+((CROQUIS_DATOS!$C$1476)*CROQUIS_DATOS!$C$1561-((CROQUIS_DATOS!$C$1486+CROQUIS_DATOS!$C$1487))*CROQUIS_DATOS!$C$1561))/CROQUIS_DATOS!$C$1568-0.000001)),1,MOD($A30-1,2)))=1,MIN((CROQUIS_DATOS!$C$1476)*CROQUIS_DATOS!$C$1561,((CROQUIS_DATOS!$C$1484+CROQUIS_DATOS!$C$1485)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35.6965517241379</v>
      </c>
      <c r="CZ30">
        <f>IF(AND(CROQUIS_DATOS!$C$1472=1,CROQUIS_DATOS!$C$1478&gt;=3,((CROQUIS_DATOS!$C$1489+CROQUIS_DATOS!$C$1490))-(CROQUIS_DATOS!$C$1489)&gt;0.5,(CROQUIS_DATOS!$C$1491)-(0)&gt;0.5),(CROQUIS_DATOS!$C$1566+(IF(IF(MOD(MIN(INT(($A30-1)/2)+1,MAX(1,INT(((((CROQUIS_DATOS!$C$1489+CROQUIS_DATOS!$C$1490))-(CROQUIS_DATOS!$C$1489))+((CROQUIS_DATOS!$C$1491)*CROQUIS_DATOS!$C$1561-(0)*CROQUIS_DATOS!$C$1561))/CROQUIS_DATOS!$C$1568-0.000001))),2)=1,IF(INT(($A30-1)/2)+1&gt;MAX(1,INT(((((CROQUIS_DATOS!$C$1489+CROQUIS_DATOS!$C$1490))-(CROQUIS_DATOS!$C$1489))+((CROQUIS_DATOS!$C$1491)*CROQUIS_DATOS!$C$1561-(0)*CROQUIS_DATOS!$C$1561))/CROQUIS_DATOS!$C$1568-0.000001)),1,MOD($A30-1,2)),1-IF(INT(($A30-1)/2)+1&gt;MAX(1,INT(((((CROQUIS_DATOS!$C$1489+CROQUIS_DATOS!$C$1490))-(CROQUIS_DATOS!$C$1489))+((CROQUIS_DATOS!$C$1491)*CROQUIS_DATOS!$C$1561-(0)*CROQUIS_DATOS!$C$1561))/CROQUIS_DATOS!$C$1568-0.000001)),1,MOD($A30-1,2)))=1,MIN((CROQUIS_DATOS!$C$1491)*CROQUIS_DATOS!$C$1561,((CROQUIS_DATOS!$C$1489+CROQUIS_DATOS!$C$1490)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0">
        <f>IF(AND(CROQUIS_DATOS!$C$1472=1,CROQUIS_DATOS!$C$1478&gt;=3,((CROQUIS_DATOS!$C$1489+CROQUIS_DATOS!$C$1490))-(CROQUIS_DATOS!$C$1489)&gt;0.5,(CROQUIS_DATOS!$C$1491)-(0)&gt;0.5),(CROQUIS_DATOS!$C$1567+(IF(IF(MOD(MIN(INT(($A30-1)/2)+1,MAX(1,INT(((((CROQUIS_DATOS!$C$1489+CROQUIS_DATOS!$C$1490))-(CROQUIS_DATOS!$C$1489))+((CROQUIS_DATOS!$C$1491)*CROQUIS_DATOS!$C$1561-(0)*CROQUIS_DATOS!$C$1561))/CROQUIS_DATOS!$C$1568-0.000001))),2)=1,IF(INT(($A30-1)/2)+1&gt;MAX(1,INT(((((CROQUIS_DATOS!$C$1489+CROQUIS_DATOS!$C$1490))-(CROQUIS_DATOS!$C$1489))+((CROQUIS_DATOS!$C$1491)*CROQUIS_DATOS!$C$1561-(0)*CROQUIS_DATOS!$C$1561))/CROQUIS_DATOS!$C$1568-0.000001)),1,MOD($A30-1,2)),1-IF(INT(($A30-1)/2)+1&gt;MAX(1,INT(((((CROQUIS_DATOS!$C$1489+CROQUIS_DATOS!$C$1490))-(CROQUIS_DATOS!$C$1489))+((CROQUIS_DATOS!$C$1491)*CROQUIS_DATOS!$C$1561-(0)*CROQUIS_DATOS!$C$1561))/CROQUIS_DATOS!$C$1568-0.000001)),1,MOD($A30-1,2)))=1,MIN((CROQUIS_DATOS!$C$1491)*CROQUIS_DATOS!$C$1561,((CROQUIS_DATOS!$C$1489+CROQUIS_DATOS!$C$1490)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0">
        <f>IF(AND(CROQUIS_DATOS!$C$1472=1,CROQUIS_DATOS!$C$1478&gt;=3,((CROQUIS_DATOS!$C$1489+CROQUIS_DATOS!$C$1490))-(CROQUIS_DATOS!$C$1489)&gt;0.5,(CROQUIS_DATOS!$C$1476)-((CROQUIS_DATOS!$C$1491+CROQUIS_DATOS!$C$1492))&gt;0.5),(CROQUIS_DATOS!$C$1566+(IF(IF(MOD(MIN(INT(($A30-1)/2)+1,MAX(1,INT(((((CROQUIS_DATOS!$C$1489+CROQUIS_DATOS!$C$1490))-(CROQUIS_DATOS!$C$1489))+((CROQUIS_DATOS!$C$1476)*CROQUIS_DATOS!$C$1561-((CROQUIS_DATOS!$C$1491+CROQUIS_DATOS!$C$1492))*CROQUIS_DATOS!$C$1561))/CROQUIS_DATOS!$C$1568-0.000001))),2)=1,IF(INT(($A30-1)/2)+1&gt;MAX(1,INT(((((CROQUIS_DATOS!$C$1489+CROQUIS_DATOS!$C$1490))-(CROQUIS_DATOS!$C$1489))+((CROQUIS_DATOS!$C$1476)*CROQUIS_DATOS!$C$1561-((CROQUIS_DATOS!$C$1491+CROQUIS_DATOS!$C$1492))*CROQUIS_DATOS!$C$1561))/CROQUIS_DATOS!$C$1568-0.000001)),1,MOD($A30-1,2)),1-IF(INT(($A30-1)/2)+1&gt;MAX(1,INT(((((CROQUIS_DATOS!$C$1489+CROQUIS_DATOS!$C$1490))-(CROQUIS_DATOS!$C$1489))+((CROQUIS_DATOS!$C$1476)*CROQUIS_DATOS!$C$1561-((CROQUIS_DATOS!$C$1491+CROQUIS_DATOS!$C$1492))*CROQUIS_DATOS!$C$1561))/CROQUIS_DATOS!$C$1568-0.000001)),1,MOD($A30-1,2)))=1,MIN((CROQUIS_DATOS!$C$1476)*CROQUIS_DATOS!$C$1561,((CROQUIS_DATOS!$C$1489+CROQUIS_DATOS!$C$1490)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0">
        <f>IF(AND(CROQUIS_DATOS!$C$1472=1,CROQUIS_DATOS!$C$1478&gt;=3,((CROQUIS_DATOS!$C$1489+CROQUIS_DATOS!$C$1490))-(CROQUIS_DATOS!$C$1489)&gt;0.5,(CROQUIS_DATOS!$C$1476)-((CROQUIS_DATOS!$C$1491+CROQUIS_DATOS!$C$1492))&gt;0.5),(CROQUIS_DATOS!$C$1567+(IF(IF(MOD(MIN(INT(($A30-1)/2)+1,MAX(1,INT(((((CROQUIS_DATOS!$C$1489+CROQUIS_DATOS!$C$1490))-(CROQUIS_DATOS!$C$1489))+((CROQUIS_DATOS!$C$1476)*CROQUIS_DATOS!$C$1561-((CROQUIS_DATOS!$C$1491+CROQUIS_DATOS!$C$1492))*CROQUIS_DATOS!$C$1561))/CROQUIS_DATOS!$C$1568-0.000001))),2)=1,IF(INT(($A30-1)/2)+1&gt;MAX(1,INT(((((CROQUIS_DATOS!$C$1489+CROQUIS_DATOS!$C$1490))-(CROQUIS_DATOS!$C$1489))+((CROQUIS_DATOS!$C$1476)*CROQUIS_DATOS!$C$1561-((CROQUIS_DATOS!$C$1491+CROQUIS_DATOS!$C$1492))*CROQUIS_DATOS!$C$1561))/CROQUIS_DATOS!$C$1568-0.000001)),1,MOD($A30-1,2)),1-IF(INT(($A30-1)/2)+1&gt;MAX(1,INT(((((CROQUIS_DATOS!$C$1489+CROQUIS_DATOS!$C$1490))-(CROQUIS_DATOS!$C$1489))+((CROQUIS_DATOS!$C$1476)*CROQUIS_DATOS!$C$1561-((CROQUIS_DATOS!$C$1491+CROQUIS_DATOS!$C$1492))*CROQUIS_DATOS!$C$1561))/CROQUIS_DATOS!$C$1568-0.000001)),1,MOD($A30-1,2)))=1,MIN((CROQUIS_DATOS!$C$1476)*CROQUIS_DATOS!$C$1561,((CROQUIS_DATOS!$C$1489+CROQUIS_DATOS!$C$1490)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0">
        <f>IF(AND(CROQUIS_DATOS!$C$1472=1,CROQUIS_DATOS!$C$1478&gt;=4,((CROQUIS_DATOS!$C$1494+CROQUIS_DATOS!$C$1495))-(CROQUIS_DATOS!$C$1494)&gt;0.5,(CROQUIS_DATOS!$C$1496)-(0)&gt;0.5),(CROQUIS_DATOS!$C$1566+(IF(IF(MOD(MIN(INT(($A30-1)/2)+1,MAX(1,INT(((((CROQUIS_DATOS!$C$1494+CROQUIS_DATOS!$C$1495))-(CROQUIS_DATOS!$C$1494))+((CROQUIS_DATOS!$C$1496)*CROQUIS_DATOS!$C$1561-(0)*CROQUIS_DATOS!$C$1561))/CROQUIS_DATOS!$C$1568-0.000001))),2)=1,IF(INT(($A30-1)/2)+1&gt;MAX(1,INT(((((CROQUIS_DATOS!$C$1494+CROQUIS_DATOS!$C$1495))-(CROQUIS_DATOS!$C$1494))+((CROQUIS_DATOS!$C$1496)*CROQUIS_DATOS!$C$1561-(0)*CROQUIS_DATOS!$C$1561))/CROQUIS_DATOS!$C$1568-0.000001)),1,MOD($A30-1,2)),1-IF(INT(($A30-1)/2)+1&gt;MAX(1,INT(((((CROQUIS_DATOS!$C$1494+CROQUIS_DATOS!$C$1495))-(CROQUIS_DATOS!$C$1494))+((CROQUIS_DATOS!$C$1496)*CROQUIS_DATOS!$C$1561-(0)*CROQUIS_DATOS!$C$1561))/CROQUIS_DATOS!$C$1568-0.000001)),1,MOD($A30-1,2)))=1,MIN((CROQUIS_DATOS!$C$1496)*CROQUIS_DATOS!$C$1561,((CROQUIS_DATOS!$C$1494+CROQUIS_DATOS!$C$1495)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0">
        <f>IF(AND(CROQUIS_DATOS!$C$1472=1,CROQUIS_DATOS!$C$1478&gt;=4,((CROQUIS_DATOS!$C$1494+CROQUIS_DATOS!$C$1495))-(CROQUIS_DATOS!$C$1494)&gt;0.5,(CROQUIS_DATOS!$C$1496)-(0)&gt;0.5),(CROQUIS_DATOS!$C$1567+(IF(IF(MOD(MIN(INT(($A30-1)/2)+1,MAX(1,INT(((((CROQUIS_DATOS!$C$1494+CROQUIS_DATOS!$C$1495))-(CROQUIS_DATOS!$C$1494))+((CROQUIS_DATOS!$C$1496)*CROQUIS_DATOS!$C$1561-(0)*CROQUIS_DATOS!$C$1561))/CROQUIS_DATOS!$C$1568-0.000001))),2)=1,IF(INT(($A30-1)/2)+1&gt;MAX(1,INT(((((CROQUIS_DATOS!$C$1494+CROQUIS_DATOS!$C$1495))-(CROQUIS_DATOS!$C$1494))+((CROQUIS_DATOS!$C$1496)*CROQUIS_DATOS!$C$1561-(0)*CROQUIS_DATOS!$C$1561))/CROQUIS_DATOS!$C$1568-0.000001)),1,MOD($A30-1,2)),1-IF(INT(($A30-1)/2)+1&gt;MAX(1,INT(((((CROQUIS_DATOS!$C$1494+CROQUIS_DATOS!$C$1495))-(CROQUIS_DATOS!$C$1494))+((CROQUIS_DATOS!$C$1496)*CROQUIS_DATOS!$C$1561-(0)*CROQUIS_DATOS!$C$1561))/CROQUIS_DATOS!$C$1568-0.000001)),1,MOD($A30-1,2)))=1,MIN((CROQUIS_DATOS!$C$1496)*CROQUIS_DATOS!$C$1561,((CROQUIS_DATOS!$C$1494+CROQUIS_DATOS!$C$1495)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0">
        <f>IF(AND(CROQUIS_DATOS!$C$1472=1,CROQUIS_DATOS!$C$1478&gt;=4,((CROQUIS_DATOS!$C$1494+CROQUIS_DATOS!$C$1495))-(CROQUIS_DATOS!$C$1494)&gt;0.5,(CROQUIS_DATOS!$C$1476)-((CROQUIS_DATOS!$C$1496+CROQUIS_DATOS!$C$1497))&gt;0.5),(CROQUIS_DATOS!$C$1566+(IF(IF(MOD(MIN(INT(($A30-1)/2)+1,MAX(1,INT(((((CROQUIS_DATOS!$C$1494+CROQUIS_DATOS!$C$1495))-(CROQUIS_DATOS!$C$1494))+((CROQUIS_DATOS!$C$1476)*CROQUIS_DATOS!$C$1561-((CROQUIS_DATOS!$C$1496+CROQUIS_DATOS!$C$1497))*CROQUIS_DATOS!$C$1561))/CROQUIS_DATOS!$C$1568-0.000001))),2)=1,IF(INT(($A30-1)/2)+1&gt;MAX(1,INT(((((CROQUIS_DATOS!$C$1494+CROQUIS_DATOS!$C$1495))-(CROQUIS_DATOS!$C$1494))+((CROQUIS_DATOS!$C$1476)*CROQUIS_DATOS!$C$1561-((CROQUIS_DATOS!$C$1496+CROQUIS_DATOS!$C$1497))*CROQUIS_DATOS!$C$1561))/CROQUIS_DATOS!$C$1568-0.000001)),1,MOD($A30-1,2)),1-IF(INT(($A30-1)/2)+1&gt;MAX(1,INT(((((CROQUIS_DATOS!$C$1494+CROQUIS_DATOS!$C$1495))-(CROQUIS_DATOS!$C$1494))+((CROQUIS_DATOS!$C$1476)*CROQUIS_DATOS!$C$1561-((CROQUIS_DATOS!$C$1496+CROQUIS_DATOS!$C$1497))*CROQUIS_DATOS!$C$1561))/CROQUIS_DATOS!$C$1568-0.000001)),1,MOD($A30-1,2)))=1,MIN((CROQUIS_DATOS!$C$1476)*CROQUIS_DATOS!$C$1561,((CROQUIS_DATOS!$C$1494+CROQUIS_DATOS!$C$1495)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0">
        <f>IF(AND(CROQUIS_DATOS!$C$1472=1,CROQUIS_DATOS!$C$1478&gt;=4,((CROQUIS_DATOS!$C$1494+CROQUIS_DATOS!$C$1495))-(CROQUIS_DATOS!$C$1494)&gt;0.5,(CROQUIS_DATOS!$C$1476)-((CROQUIS_DATOS!$C$1496+CROQUIS_DATOS!$C$1497))&gt;0.5),(CROQUIS_DATOS!$C$1567+(IF(IF(MOD(MIN(INT(($A30-1)/2)+1,MAX(1,INT(((((CROQUIS_DATOS!$C$1494+CROQUIS_DATOS!$C$1495))-(CROQUIS_DATOS!$C$1494))+((CROQUIS_DATOS!$C$1476)*CROQUIS_DATOS!$C$1561-((CROQUIS_DATOS!$C$1496+CROQUIS_DATOS!$C$1497))*CROQUIS_DATOS!$C$1561))/CROQUIS_DATOS!$C$1568-0.000001))),2)=1,IF(INT(($A30-1)/2)+1&gt;MAX(1,INT(((((CROQUIS_DATOS!$C$1494+CROQUIS_DATOS!$C$1495))-(CROQUIS_DATOS!$C$1494))+((CROQUIS_DATOS!$C$1476)*CROQUIS_DATOS!$C$1561-((CROQUIS_DATOS!$C$1496+CROQUIS_DATOS!$C$1497))*CROQUIS_DATOS!$C$1561))/CROQUIS_DATOS!$C$1568-0.000001)),1,MOD($A30-1,2)),1-IF(INT(($A30-1)/2)+1&gt;MAX(1,INT(((((CROQUIS_DATOS!$C$1494+CROQUIS_DATOS!$C$1495))-(CROQUIS_DATOS!$C$1494))+((CROQUIS_DATOS!$C$1476)*CROQUIS_DATOS!$C$1561-((CROQUIS_DATOS!$C$1496+CROQUIS_DATOS!$C$1497))*CROQUIS_DATOS!$C$1561))/CROQUIS_DATOS!$C$1568-0.000001)),1,MOD($A30-1,2)))=1,MIN((CROQUIS_DATOS!$C$1476)*CROQUIS_DATOS!$C$1561,((CROQUIS_DATOS!$C$1494+CROQUIS_DATOS!$C$1495)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0">
        <f>IF(AND(CROQUIS_DATOS!$C$1472=1,1),(CROQUIS_DATOS!$C$1571+(CHOOSE(MIN(MAX(IF(INT(($A30-1)/5)+1&gt;CROQUIS_DATOS!$C$1525,5,MOD($A30-1,5)+1),1),5),(INDEX($E$8:$E$23,MIN(INT(($A30-1)/5)+1,CROQUIS_DATOS!$C$1525))-INDEX($F$8:$F$23,MIN(INT(($A30-1)/5)+1,CROQUIS_DATOS!$C$1525))/2),(INDEX($E$8:$E$23,MIN(INT(($A30-1)/5)+1,CROQUIS_DATOS!$C$1525))+INDEX($F$8:$F$23,MIN(INT(($A30-1)/5)+1,CROQUIS_DATOS!$C$1525))/2),(INDEX($E$8:$E$23,MIN(INT(($A30-1)/5)+1,CROQUIS_DATOS!$C$1525))+INDEX($F$8:$F$23,MIN(INT(($A30-1)/5)+1,CROQUIS_DATOS!$C$1525))/2),(INDEX($E$8:$E$23,MIN(INT(($A30-1)/5)+1,CROQUIS_DATOS!$C$1525))-INDEX($F$8:$F$23,MIN(INT(($A30-1)/5)+1,CROQUIS_DATOS!$C$1525))/2),(INDEX($E$8:$E$23,MIN(INT(($A30-1)/5)+1,CROQUIS_DATOS!$C$1525))-INDEX($F$8:$F$23,MIN(INT(($A30-1)/5)+1,CROQUIS_DATOS!$C$1525))/2)))*CROQUIS_DATOS!$C$1569),-1000)</f>
        <v>78.68</v>
      </c>
      <c r="GE30">
        <f>IF(AND(CROQUIS_DATOS!$C$1472=1,1),(CROQUIS_DATOS!$C$1572+(CHOOSE(MIN(MAX(IF(INT(($A30-1)/5)+1&gt;CROQUIS_DATOS!$C$1525,5,MOD($A30-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30">
        <f>IF(AND(CROQUIS_DATOS!$C$1472=1,1),IF(INT(($A30-1)/4)+1&lt;=CROQUIS_DATOS!$C$1525,(CROQUIS_DATOS!$C$1571+((INDEX($E$8:$E$23,MIN(INT(($A30-1)/4)+1,16))+IF(OR(MOD($A30-1,4)=0,MOD($A30-1,4)=3),-1,1)*(INDEX($F$8:$F$23,MIN(INT(($A30-1)/4)+1,16))/2-(CROQUIS_DATOS!$C$1530+CROQUIS_DATOS!$C$1532+IF(OR(INT(($A30-1)/4)+1=1,INT(($A30-1)/4)+1=CROQUIS_DATOS!$C$1525),CROQUIS_DATOS!$C$1534,CROQUIS_DATOS!$C$1531)/2))))*CROQUIS_DATOS!$C$1569),-1000),-1000)</f>
        <v>97.427484</v>
      </c>
      <c r="GG30">
        <f>IF(AND(CROQUIS_DATOS!$C$1472=1,1),IF(INT(($A30-1)/4)+1&lt;=CROQUIS_DATOS!$C$1525,(CROQUIS_DATOS!$C$1572+((CROQUIS_DATOS!$C$1477/2+IF(MOD($A30-1,4)&lt;2,-1,1)*(CROQUIS_DATOS!$C$1527/2-(CROQUIS_DATOS!$C$1530+CROQUIS_DATOS!$C$1532+IF(OR(INT(($A30-1)/4)+1=1,INT(($A30-1)/4)+1=CROQUIS_DATOS!$C$1525),CROQUIS_DATOS!$C$1534,CROQUIS_DATOS!$C$1531)/2))))*CROQUIS_DATOS!$C$1569*CROQUIS_DATOS!$C$1570),-1000),-1000)</f>
        <v>13.06655</v>
      </c>
    </row>
    <row r="31">
      <c r="A31" t="n">
        <v>24</v>
      </c>
      <c r="H31">
        <f>IF(24&lt;=CROQUIS_DATOS!$C$1539,24*CROQUIS_DATOS!$C$1536,IF(24&lt;=CROQUIS_DATOS!$C$1539+CROQUIS_DATOS!$C$1540,CROQUIS_DATOS!$C$1539*CROQUIS_DATOS!$C$1536+(24-CROQUIS_DATOS!$C$1539)*(CROQUIS_DATOS!$C$1476-2*CROQUIS_DATOS!$C$1539*CROQUIS_DATOS!$C$1536)/(CROQUIS_DATOS!$C$1540+1),CROQUIS_DATOS!$C$1476-(2*CROQUIS_DATOS!$C$1539+CROQUIS_DATOS!$C$1540+1-24)*CROQUIS_DATOS!$C$1536))</f>
        <v>287.5</v>
      </c>
      <c r="J31">
        <f>IF(AND(CROQUIS_DATOS!$C$1472=1,1),(CROQUIS_DATOS!$C$1563+(CHOOSE(MIN(MAX(IF(INT(($A31-1)/4)+1&gt;CROQUIS_DATOS!$C$1525,4,MOD($A31-1,4)+1),1),4),(INDEX($E$8:$E$23,MIN(INT(($A31-1)/4)+1,CROQUIS_DATOS!$C$1525))-INDEX($F$8:$F$23,MIN(INT(($A31-1)/4)+1,CROQUIS_DATOS!$C$1525))/2),(INDEX($E$8:$E$23,MIN(INT(($A31-1)/4)+1,CROQUIS_DATOS!$C$1525))-INDEX($F$8:$F$23,MIN(INT(($A31-1)/4)+1,CROQUIS_DATOS!$C$1525))/2),(INDEX($E$8:$E$23,MIN(INT(($A31-1)/4)+1,CROQUIS_DATOS!$C$1525))+INDEX($F$8:$F$23,MIN(INT(($A31-1)/4)+1,CROQUIS_DATOS!$C$1525))/2),(INDEX($E$8:$E$23,MIN(INT(($A31-1)/4)+1,CROQUIS_DATOS!$C$1525))+INDEX($F$8:$F$23,MIN(INT(($A31-1)/4)+1,CROQUIS_DATOS!$C$1525))/2)))*CROQUIS_DATOS!$C$1562),-1000)</f>
        <v>84.9137931034483</v>
      </c>
      <c r="K31">
        <f>IF(AND(CROQUIS_DATOS!$C$1472=1,1),(CROQUIS_DATOS!$C$1564+(CHOOSE(MIN(MAX(IF(INT(($A31-1)/4)+1&gt;CROQUIS_DATOS!$C$1525,4,MOD($A31-1,4)+1),1),4),0,CROQUIS_DATOS!$C$1476,CROQUIS_DATOS!$C$1476,0))*CROQUIS_DATOS!$C$1561*CROQUIS_DATOS!$C$1562),-1000)</f>
        <v>5.29310344827586</v>
      </c>
      <c r="L31">
        <f>IF(AND(CROQUIS_DATOS!$C$1472=1,1),(CROQUIS_DATOS!$C$1563+(CHOOSE(MIN(MAX(IF(INT(($A31-1)/4)+1&gt;CROQUIS_DATOS!$C$1525,4,MOD($A31-1,4)+1),1),4),((INDEX($E$8:$E$23,MIN(INT(($A31-1)/4)+1,CROQUIS_DATOS!$C$1525))-INDEX($F$8:$F$23,MIN(INT(($A31-1)/4)+1,CROQUIS_DATOS!$C$1525))/2)+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,((INDEX($E$8:$E$23,MIN(INT(($A31-1)/4)+1,CROQUIS_DATOS!$C$1525))-INDEX($F$8:$F$23,MIN(INT(($A31-1)/4)+1,CROQUIS_DATOS!$C$1525))/2)+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,((INDEX($E$8:$E$23,MIN(INT(($A31-1)/4)+1,CROQUIS_DATOS!$C$1525))+INDEX($F$8:$F$23,MIN(INT(($A31-1)/4)+1,CROQUIS_DATOS!$C$1525))/2)-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,((INDEX($E$8:$E$23,MIN(INT(($A31-1)/4)+1,CROQUIS_DATOS!$C$1525))+INDEX($F$8:$F$23,MIN(INT(($A31-1)/4)+1,CROQUIS_DATOS!$C$1525))/2)-MIN((CROQUIS_DATOS!$C$1530+CROQUIS_DATOS!$C$1532+IF(OR(MIN(INT(($A31-1)/4)+1,CROQUIS_DATOS!$C$1525)=1,MIN(INT(($A31-1)/4)+1,CROQUIS_DATOS!$C$1525)=CROQUIS_DATOS!$C$1525),CROQUIS_DATOS!$C$1534,CROQUIS_DATOS!$C$1531)/2),INDEX($F$8:$F$23,MIN(INT(($A31-1)/4)+1,CROQUIS_DATOS!$C$1525))/2-0.5))))*CROQUIS_DATOS!$C$1562),-1000)</f>
        <v>84.4792560344828</v>
      </c>
      <c r="M31">
        <f>IF(AND(CROQUIS_DATOS!$C$1472=1,1),(CROQUIS_DATOS!$C$1564+(CHOOSE(MIN(MAX(IF(INT(($A31-1)/4)+1&gt;CROQUIS_DATOS!$C$1525,4,MOD($A31-1,4)+1),1),4),CROQUIS_DATOS!$C$1543,INDEX($I$8:$I$23,MIN(INT(($A31-1)/4)+1,CROQUIS_DATOS!$C$1525)),INDEX($I$8:$I$23,MIN(INT(($A31-1)/4)+1,CROQUIS_DATOS!$C$1525)),CROQUIS_DATOS!$C$1543))*CROQUIS_DATOS!$C$1561*CROQUIS_DATOS!$C$1562),-1000)</f>
        <v>42.5654629310345</v>
      </c>
      <c r="N31">
        <f>IF(AND(CROQUIS_DATOS!$C$1472=1,1),(CROQUIS_DATOS!$C$1563+(IF(IF(IF(INT(($A31-1)/70)+1&gt;CROQUIS_DATOS!$C$1525,70,MOD($A31-1,70)+1)=1,0,IF(IF(INT(($A31-1)/70)+1&gt;CROQUIS_DATOS!$C$1525,70,MOD($A31-1,70)+1)&gt;2*CROQUIS_DATOS!$C$1541+1,IF(MOD(CROQUIS_DATOS!$C$1541,2)=1,1,0),IF(MOD(MIN(INT((IF(INT(($A31-1)/70)+1&gt;CROQUIS_DATOS!$C$1525,70,MOD($A31-1,70)+1)-2)/2)+1,CROQUIS_DATOS!$C$1541),2)=1,IF(MOD(IF(INT(($A31-1)/70)+1&gt;CROQUIS_DATOS!$C$1525,70,MOD($A31-1,70)+1)-2,2)=0,0,1),IF(MOD(IF(INT(($A31-1)/70)+1&gt;CROQUIS_DATOS!$C$1525,70,MOD($A31-1,70)+1)-2,2)=0,1,0))))=0,(INDEX($E$8:$E$23,MIN(INT(($A31-1)/70)+1,CROQUIS_DATOS!$C$1525))-INDEX($F$8:$F$23,MIN(INT(($A31-1)/70)+1,CROQUIS_DATOS!$C$1525))/2),(INDEX($E$8:$E$23,MIN(INT(($A31-1)/70)+1,CROQUIS_DATOS!$C$1525))+INDEX($F$8:$F$23,MIN(INT(($A31-1)/70)+1,CROQUIS_DATOS!$C$1525))/2)))*CROQUIS_DATOS!$C$1562),-1000)</f>
        <v>17.1810344827586</v>
      </c>
      <c r="O31">
        <f>IF(AND(CROQUIS_DATOS!$C$1472=1,1),(CROQUIS_DATOS!$C$1564+(IF(OR(IF(INT(($A31-1)/70)+1&gt;CROQUIS_DATOS!$C$1525,70,MOD($A31-1,70)+1)=1,IF(INT(($A31-1)/70)+1&gt;CROQUIS_DATOS!$C$1525,70,MOD($A31-1,70)+1)&gt;2*CROQUIS_DATOS!$C$1541+1),CROQUIS_DATOS!$C$1476,INDEX($H$8:$H$41,MIN(INT((IF(INT(($A31-1)/70)+1&gt;CROQUIS_DATOS!$C$1525,70,MOD($A31-1,70)+1)-2)/2)+1,CROQUIS_DATOS!$C$1541))))*CROQUIS_DATOS!$C$1561*CROQUIS_DATOS!$C$1562),-1000)</f>
        <v>29.5387931034483</v>
      </c>
      <c r="P31">
        <f>IF(AND(CROQUIS_DATOS!$C$1472=1,CROQUIS_DATOS!$C$1555=1),(CROQUIS_DATOS!$C$1563+(IF(IF(OR(MOD($A31-1,62)+1=1,IF(CHOOSE(MIN(MAX(MIN(INT(($A31-1)/62)+1,5),1),5),CROQUIS_DATOS!$C$1501,CROQUIS_DATOS!$C$1505,CROQUIS_DATOS!$C$1509,CROQUIS_DATOS!$C$1513,CROQUIS_DATOS!$C$1517)=1,CROQUIS_DATOS!$C$1557,0)=0),0,IF(MOD($A31-1,62)+1&gt;2*IF(CHOOSE(MIN(MAX(MIN(INT(($A31-1)/62)+1,5),1),5),CROQUIS_DATOS!$C$1501,CROQUIS_DATOS!$C$1505,CROQUIS_DATOS!$C$1509,CROQUIS_DATOS!$C$1513,CROQUIS_DATOS!$C$1517)=1,CROQUIS_DATOS!$C$1557,0)+1,IF(MOD(IF(CHOOSE(MIN(MAX(MIN(INT(($A31-1)/62)+1,5),1),5),CROQUIS_DATOS!$C$1501,CROQUIS_DATOS!$C$1505,CROQUIS_DATOS!$C$1509,CROQUIS_DATOS!$C$1513,CROQUIS_DATOS!$C$1517)=1,CROQUIS_DATOS!$C$1557,0),2)=1,1,0),IF(MOD(MIN(INT((MOD($A31-1,62)+1-2)/2)+1,MAX(IF(CHOOSE(MIN(MAX(MIN(INT(($A31-1)/62)+1,5),1),5),CROQUIS_DATOS!$C$1501,CROQUIS_DATOS!$C$1505,CROQUIS_DATOS!$C$1509,CROQUIS_DATOS!$C$1513,CROQUIS_DATOS!$C$1517)=1,CROQUIS_DATOS!$C$1557,0),1)),2)=1,IF(MOD(MOD($A31-1,62)+1-2,2)=0,0,1),IF(MOD(MOD($A31-1,62)+1-2,2)=0,1,0))))=0,(CHOOSE(MIN(MAX(MIN(INT(($A31-1)/62)+1,5),1),5),CROQUIS_DATOS!$C$1499,CROQUIS_DATOS!$C$1503,CROQUIS_DATOS!$C$1507,CROQUIS_DATOS!$C$1511,CROQUIS_DATOS!$C$1515)+IF(CHOOSE(MIN(MAX(MIN(INT(($A31-1)/62)+1,5),1),5),CROQUIS_DATOS!$C$1501,CROQUIS_DATOS!$C$1505,CROQUIS_DATOS!$C$1509,CROQUIS_DATOS!$C$1513,CROQUIS_DATOS!$C$1517)=1,CROQUIS_DATOS!$C$1526,0)),(CHOOSE(MIN(MAX(MIN(INT(($A31-1)/62)+1,5),1),5),CROQUIS_DATOS!$C$1499,CROQUIS_DATOS!$C$1503,CROQUIS_DATOS!$C$1507,CROQUIS_DATOS!$C$1511,CROQUIS_DATOS!$C$1515)+CHOOSE(MIN(MAX(MIN(INT(($A31-1)/62)+1,5),1),5),CROQUIS_DATOS!$C$1500,CROQUIS_DATOS!$C$1504,CROQUIS_DATOS!$C$1508,CROQUIS_DATOS!$C$1512,CROQUIS_DATOS!$C$1516)-IF(CHOOSE(MIN(MAX(MIN(INT(($A31-1)/62)+1,5),1),5),CROQUIS_DATOS!$C$1501,CROQUIS_DATOS!$C$1505,CROQUIS_DATOS!$C$1509,CROQUIS_DATOS!$C$1513,CROQUIS_DATOS!$C$1517)=1,CROQUIS_DATOS!$C$1526,0))))*CROQUIS_DATOS!$C$1562),-1000)</f>
        <v>-1000</v>
      </c>
      <c r="Q31">
        <f>IF(AND(CROQUIS_DATOS!$C$1472=1,CROQUIS_DATOS!$C$1555=1),(CROQUIS_DATOS!$C$1564+(IF(OR(OR(MOD($A31-1,62)+1=1,IF(CHOOSE(MIN(MAX(MIN(INT(($A31-1)/62)+1,5),1),5),CROQUIS_DATOS!$C$1501,CROQUIS_DATOS!$C$1505,CROQUIS_DATOS!$C$1509,CROQUIS_DATOS!$C$1513,CROQUIS_DATOS!$C$1517)=1,CROQUIS_DATOS!$C$1557,0)=0),MOD($A31-1,62)+1&gt;2*IF(CHOOSE(MIN(MAX(MIN(INT(($A31-1)/62)+1,5),1),5),CROQUIS_DATOS!$C$1501,CROQUIS_DATOS!$C$1505,CROQUIS_DATOS!$C$1509,CROQUIS_DATOS!$C$1513,CROQUIS_DATOS!$C$1517)=1,CROQUIS_DATOS!$C$1557,0)+1),CROQUIS_DATOS!$C$1476,MIN(INT((MOD($A31-1,62)+1-2)/2)+1,MAX(IF(CHOOSE(MIN(MAX(MIN(INT(($A31-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1">
        <f>IF(AND(CROQUIS_DATOS!$C$1472=1,1),(CROQUIS_DATOS!$C$1563+(MIN(INT(($A31-1)/2)+1,CROQUIS_DATOS!$C$1558)*CROQUIS_DATOS!$C$1559)*CROQUIS_DATOS!$C$1562),-1000)</f>
        <v>47.3143236074271</v>
      </c>
      <c r="U31">
        <f>IF(AND(CROQUIS_DATOS!$C$1472=1,1),(CROQUIS_DATOS!$C$1564+(IF(INT(($A31-1)/2)+1&gt;CROQUIS_DATOS!$C$1558,IF(MOD(CROQUIS_DATOS!$C$1558,2)=1,CROQUIS_DATOS!$C$1476+CROQUIS_DATOS!$C$1528,CROQUIS_DATOS!$C$1476),IF(IF(MOD(MIN(INT(($A31-1)/2)+1,CROQUIS_DATOS!$C$1558),2)=1,MOD($A31-1,2),1-MOD($A31-1,2))=1,CROQUIS_DATOS!$C$1476+CROQUIS_DATOS!$C$1528,CROQUIS_DATOS!$C$1476)))*CROQUIS_DATOS!$C$1561*CROQUIS_DATOS!$C$1562),-1000)</f>
        <v>40.2068965517241</v>
      </c>
      <c r="BZ31">
        <f>IF(AND(CROQUIS_DATOS!$C$1472=1,CROQUIS_DATOS!$C$1500&gt;0,((CROQUIS_DATOS!$C$1499+CROQUIS_DATOS!$C$1500))-(CROQUIS_DATOS!$C$1499)&gt;0.5,(CROQUIS_DATOS!$C$1476)-(0)&gt;0.5),(CROQUIS_DATOS!$C$1566+(IF(IF(MOD(MIN(INT(($A31-1)/2)+1,MAX(1,INT(((((CROQUIS_DATOS!$C$1499+CROQUIS_DATOS!$C$1500))-(CROQUIS_DATOS!$C$1499))+((CROQUIS_DATOS!$C$1476)*CROQUIS_DATOS!$C$1561-(0)*CROQUIS_DATOS!$C$1561))/CROQUIS_DATOS!$C$1568-0.000001))),2)=1,IF(INT(($A31-1)/2)+1&gt;MAX(1,INT(((((CROQUIS_DATOS!$C$1499+CROQUIS_DATOS!$C$1500))-(CROQUIS_DATOS!$C$1499))+((CROQUIS_DATOS!$C$1476)*CROQUIS_DATOS!$C$1561-(0)*CROQUIS_DATOS!$C$1561))/CROQUIS_DATOS!$C$1568-0.000001)),1,MOD($A31-1,2)),1-IF(INT(($A31-1)/2)+1&gt;MAX(1,INT(((((CROQUIS_DATOS!$C$1499+CROQUIS_DATOS!$C$1500))-(CROQUIS_DATOS!$C$1499))+((CROQUIS_DATOS!$C$1476)*CROQUIS_DATOS!$C$1561-(0)*CROQUIS_DATOS!$C$1561))/CROQUIS_DATOS!$C$1568-0.000001)),1,MOD($A31-1,2)))=1,MIN((CROQUIS_DATOS!$C$1476)*CROQUIS_DATOS!$C$1561,((CROQUIS_DATOS!$C$1499+CROQUIS_DATOS!$C$1500)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31">
        <f>IF(AND(CROQUIS_DATOS!$C$1472=1,CROQUIS_DATOS!$C$1500&gt;0,((CROQUIS_DATOS!$C$1499+CROQUIS_DATOS!$C$1500))-(CROQUIS_DATOS!$C$1499)&gt;0.5,(CROQUIS_DATOS!$C$1476)-(0)&gt;0.5),(CROQUIS_DATOS!$C$1567+(IF(IF(MOD(MIN(INT(($A31-1)/2)+1,MAX(1,INT(((((CROQUIS_DATOS!$C$1499+CROQUIS_DATOS!$C$1500))-(CROQUIS_DATOS!$C$1499))+((CROQUIS_DATOS!$C$1476)*CROQUIS_DATOS!$C$1561-(0)*CROQUIS_DATOS!$C$1561))/CROQUIS_DATOS!$C$1568-0.000001))),2)=1,IF(INT(($A31-1)/2)+1&gt;MAX(1,INT(((((CROQUIS_DATOS!$C$1499+CROQUIS_DATOS!$C$1500))-(CROQUIS_DATOS!$C$1499))+((CROQUIS_DATOS!$C$1476)*CROQUIS_DATOS!$C$1561-(0)*CROQUIS_DATOS!$C$1561))/CROQUIS_DATOS!$C$1568-0.000001)),1,MOD($A31-1,2)),1-IF(INT(($A31-1)/2)+1&gt;MAX(1,INT(((((CROQUIS_DATOS!$C$1499+CROQUIS_DATOS!$C$1500))-(CROQUIS_DATOS!$C$1499))+((CROQUIS_DATOS!$C$1476)*CROQUIS_DATOS!$C$1561-(0)*CROQUIS_DATOS!$C$1561))/CROQUIS_DATOS!$C$1568-0.000001)),1,MOD($A31-1,2)))=1,MIN((CROQUIS_DATOS!$C$1476)*CROQUIS_DATOS!$C$1561,((CROQUIS_DATOS!$C$1499+CROQUIS_DATOS!$C$1500)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31-1)/2)+1,MAX(1,INT(((((CROQUIS_DATOS!$C$1499+CROQUIS_DATOS!$C$1500))-(CROQUIS_DATOS!$C$1499))+((CROQUIS_DATOS!$C$1476)*CROQUIS_DATOS!$C$1561-(0)*CROQUIS_DATOS!$C$1561))/CROQUIS_DATOS!$C$1568-0.000001)))*CROQUIS_DATOS!$C$1568))))*CROQUIS_DATOS!$C$1565),-1000)</f>
        <v>19.6620689655172</v>
      </c>
      <c r="CB31">
        <f>IF(AND(CROQUIS_DATOS!$C$1472=1,CROQUIS_DATOS!$C$1504&gt;0,((CROQUIS_DATOS!$C$1503+CROQUIS_DATOS!$C$1504))-(CROQUIS_DATOS!$C$1503)&gt;0.5,(CROQUIS_DATOS!$C$1476)-(0)&gt;0.5),(CROQUIS_DATOS!$C$1566+(IF(IF(MOD(MIN(INT(($A31-1)/2)+1,MAX(1,INT(((((CROQUIS_DATOS!$C$1503+CROQUIS_DATOS!$C$1504))-(CROQUIS_DATOS!$C$1503))+((CROQUIS_DATOS!$C$1476)*CROQUIS_DATOS!$C$1561-(0)*CROQUIS_DATOS!$C$1561))/CROQUIS_DATOS!$C$1568-0.000001))),2)=1,IF(INT(($A31-1)/2)+1&gt;MAX(1,INT(((((CROQUIS_DATOS!$C$1503+CROQUIS_DATOS!$C$1504))-(CROQUIS_DATOS!$C$1503))+((CROQUIS_DATOS!$C$1476)*CROQUIS_DATOS!$C$1561-(0)*CROQUIS_DATOS!$C$1561))/CROQUIS_DATOS!$C$1568-0.000001)),1,MOD($A31-1,2)),1-IF(INT(($A31-1)/2)+1&gt;MAX(1,INT(((((CROQUIS_DATOS!$C$1503+CROQUIS_DATOS!$C$1504))-(CROQUIS_DATOS!$C$1503))+((CROQUIS_DATOS!$C$1476)*CROQUIS_DATOS!$C$1561-(0)*CROQUIS_DATOS!$C$1561))/CROQUIS_DATOS!$C$1568-0.000001)),1,MOD($A31-1,2)))=1,MIN((CROQUIS_DATOS!$C$1476)*CROQUIS_DATOS!$C$1561,((CROQUIS_DATOS!$C$1503+CROQUIS_DATOS!$C$1504)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31">
        <f>IF(AND(CROQUIS_DATOS!$C$1472=1,CROQUIS_DATOS!$C$1504&gt;0,((CROQUIS_DATOS!$C$1503+CROQUIS_DATOS!$C$1504))-(CROQUIS_DATOS!$C$1503)&gt;0.5,(CROQUIS_DATOS!$C$1476)-(0)&gt;0.5),(CROQUIS_DATOS!$C$1567+(IF(IF(MOD(MIN(INT(($A31-1)/2)+1,MAX(1,INT(((((CROQUIS_DATOS!$C$1503+CROQUIS_DATOS!$C$1504))-(CROQUIS_DATOS!$C$1503))+((CROQUIS_DATOS!$C$1476)*CROQUIS_DATOS!$C$1561-(0)*CROQUIS_DATOS!$C$1561))/CROQUIS_DATOS!$C$1568-0.000001))),2)=1,IF(INT(($A31-1)/2)+1&gt;MAX(1,INT(((((CROQUIS_DATOS!$C$1503+CROQUIS_DATOS!$C$1504))-(CROQUIS_DATOS!$C$1503))+((CROQUIS_DATOS!$C$1476)*CROQUIS_DATOS!$C$1561-(0)*CROQUIS_DATOS!$C$1561))/CROQUIS_DATOS!$C$1568-0.000001)),1,MOD($A31-1,2)),1-IF(INT(($A31-1)/2)+1&gt;MAX(1,INT(((((CROQUIS_DATOS!$C$1503+CROQUIS_DATOS!$C$1504))-(CROQUIS_DATOS!$C$1503))+((CROQUIS_DATOS!$C$1476)*CROQUIS_DATOS!$C$1561-(0)*CROQUIS_DATOS!$C$1561))/CROQUIS_DATOS!$C$1568-0.000001)),1,MOD($A31-1,2)))=1,MIN((CROQUIS_DATOS!$C$1476)*CROQUIS_DATOS!$C$1561,((CROQUIS_DATOS!$C$1503+CROQUIS_DATOS!$C$1504)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31-1)/2)+1,MAX(1,INT(((((CROQUIS_DATOS!$C$1503+CROQUIS_DATOS!$C$1504))-(CROQUIS_DATOS!$C$1503))+((CROQUIS_DATOS!$C$1476)*CROQUIS_DATOS!$C$1561-(0)*CROQUIS_DATOS!$C$1561))/CROQUIS_DATOS!$C$1568-0.000001)))*CROQUIS_DATOS!$C$1568))))*CROQUIS_DATOS!$C$1565),-1000)</f>
        <v>19.6620689655172</v>
      </c>
      <c r="CD31">
        <f>IF(AND(CROQUIS_DATOS!$C$1472=1,CROQUIS_DATOS!$C$1508&gt;0,((CROQUIS_DATOS!$C$1507+CROQUIS_DATOS!$C$1508))-(CROQUIS_DATOS!$C$1507)&gt;0.5,(CROQUIS_DATOS!$C$1476)-(0)&gt;0.5),(CROQUIS_DATOS!$C$1566+(IF(IF(MOD(MIN(INT(($A31-1)/2)+1,MAX(1,INT(((((CROQUIS_DATOS!$C$1507+CROQUIS_DATOS!$C$1508))-(CROQUIS_DATOS!$C$1507))+((CROQUIS_DATOS!$C$1476)*CROQUIS_DATOS!$C$1561-(0)*CROQUIS_DATOS!$C$1561))/CROQUIS_DATOS!$C$1568-0.000001))),2)=1,IF(INT(($A31-1)/2)+1&gt;MAX(1,INT(((((CROQUIS_DATOS!$C$1507+CROQUIS_DATOS!$C$1508))-(CROQUIS_DATOS!$C$1507))+((CROQUIS_DATOS!$C$1476)*CROQUIS_DATOS!$C$1561-(0)*CROQUIS_DATOS!$C$1561))/CROQUIS_DATOS!$C$1568-0.000001)),1,MOD($A31-1,2)),1-IF(INT(($A31-1)/2)+1&gt;MAX(1,INT(((((CROQUIS_DATOS!$C$1507+CROQUIS_DATOS!$C$1508))-(CROQUIS_DATOS!$C$1507))+((CROQUIS_DATOS!$C$1476)*CROQUIS_DATOS!$C$1561-(0)*CROQUIS_DATOS!$C$1561))/CROQUIS_DATOS!$C$1568-0.000001)),1,MOD($A31-1,2)))=1,MIN((CROQUIS_DATOS!$C$1476)*CROQUIS_DATOS!$C$1561,((CROQUIS_DATOS!$C$1507+CROQUIS_DATOS!$C$1508)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31">
        <f>IF(AND(CROQUIS_DATOS!$C$1472=1,CROQUIS_DATOS!$C$1508&gt;0,((CROQUIS_DATOS!$C$1507+CROQUIS_DATOS!$C$1508))-(CROQUIS_DATOS!$C$1507)&gt;0.5,(CROQUIS_DATOS!$C$1476)-(0)&gt;0.5),(CROQUIS_DATOS!$C$1567+(IF(IF(MOD(MIN(INT(($A31-1)/2)+1,MAX(1,INT(((((CROQUIS_DATOS!$C$1507+CROQUIS_DATOS!$C$1508))-(CROQUIS_DATOS!$C$1507))+((CROQUIS_DATOS!$C$1476)*CROQUIS_DATOS!$C$1561-(0)*CROQUIS_DATOS!$C$1561))/CROQUIS_DATOS!$C$1568-0.000001))),2)=1,IF(INT(($A31-1)/2)+1&gt;MAX(1,INT(((((CROQUIS_DATOS!$C$1507+CROQUIS_DATOS!$C$1508))-(CROQUIS_DATOS!$C$1507))+((CROQUIS_DATOS!$C$1476)*CROQUIS_DATOS!$C$1561-(0)*CROQUIS_DATOS!$C$1561))/CROQUIS_DATOS!$C$1568-0.000001)),1,MOD($A31-1,2)),1-IF(INT(($A31-1)/2)+1&gt;MAX(1,INT(((((CROQUIS_DATOS!$C$1507+CROQUIS_DATOS!$C$1508))-(CROQUIS_DATOS!$C$1507))+((CROQUIS_DATOS!$C$1476)*CROQUIS_DATOS!$C$1561-(0)*CROQUIS_DATOS!$C$1561))/CROQUIS_DATOS!$C$1568-0.000001)),1,MOD($A31-1,2)))=1,MIN((CROQUIS_DATOS!$C$1476)*CROQUIS_DATOS!$C$1561,((CROQUIS_DATOS!$C$1507+CROQUIS_DATOS!$C$1508)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31-1)/2)+1,MAX(1,INT(((((CROQUIS_DATOS!$C$1507+CROQUIS_DATOS!$C$1508))-(CROQUIS_DATOS!$C$1507))+((CROQUIS_DATOS!$C$1476)*CROQUIS_DATOS!$C$1561-(0)*CROQUIS_DATOS!$C$1561))/CROQUIS_DATOS!$C$1568-0.000001)))*CROQUIS_DATOS!$C$1568))))*CROQUIS_DATOS!$C$1565),-1000)</f>
        <v>19.6620689655172</v>
      </c>
      <c r="CF31">
        <f>IF(AND(CROQUIS_DATOS!$C$1472=1,CROQUIS_DATOS!$C$1512&gt;0,((CROQUIS_DATOS!$C$1511+CROQUIS_DATOS!$C$1512))-(CROQUIS_DATOS!$C$1511)&gt;0.5,(CROQUIS_DATOS!$C$1476)-(0)&gt;0.5),(CROQUIS_DATOS!$C$1566+(IF(IF(MOD(MIN(INT(($A31-1)/2)+1,MAX(1,INT(((((CROQUIS_DATOS!$C$1511+CROQUIS_DATOS!$C$1512))-(CROQUIS_DATOS!$C$1511))+((CROQUIS_DATOS!$C$1476)*CROQUIS_DATOS!$C$1561-(0)*CROQUIS_DATOS!$C$1561))/CROQUIS_DATOS!$C$1568-0.000001))),2)=1,IF(INT(($A31-1)/2)+1&gt;MAX(1,INT(((((CROQUIS_DATOS!$C$1511+CROQUIS_DATOS!$C$1512))-(CROQUIS_DATOS!$C$1511))+((CROQUIS_DATOS!$C$1476)*CROQUIS_DATOS!$C$1561-(0)*CROQUIS_DATOS!$C$1561))/CROQUIS_DATOS!$C$1568-0.000001)),1,MOD($A31-1,2)),1-IF(INT(($A31-1)/2)+1&gt;MAX(1,INT(((((CROQUIS_DATOS!$C$1511+CROQUIS_DATOS!$C$1512))-(CROQUIS_DATOS!$C$1511))+((CROQUIS_DATOS!$C$1476)*CROQUIS_DATOS!$C$1561-(0)*CROQUIS_DATOS!$C$1561))/CROQUIS_DATOS!$C$1568-0.000001)),1,MOD($A31-1,2)))=1,MIN((CROQUIS_DATOS!$C$1476)*CROQUIS_DATOS!$C$1561,((CROQUIS_DATOS!$C$1511+CROQUIS_DATOS!$C$1512)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1">
        <f>IF(AND(CROQUIS_DATOS!$C$1472=1,CROQUIS_DATOS!$C$1512&gt;0,((CROQUIS_DATOS!$C$1511+CROQUIS_DATOS!$C$1512))-(CROQUIS_DATOS!$C$1511)&gt;0.5,(CROQUIS_DATOS!$C$1476)-(0)&gt;0.5),(CROQUIS_DATOS!$C$1567+(IF(IF(MOD(MIN(INT(($A31-1)/2)+1,MAX(1,INT(((((CROQUIS_DATOS!$C$1511+CROQUIS_DATOS!$C$1512))-(CROQUIS_DATOS!$C$1511))+((CROQUIS_DATOS!$C$1476)*CROQUIS_DATOS!$C$1561-(0)*CROQUIS_DATOS!$C$1561))/CROQUIS_DATOS!$C$1568-0.000001))),2)=1,IF(INT(($A31-1)/2)+1&gt;MAX(1,INT(((((CROQUIS_DATOS!$C$1511+CROQUIS_DATOS!$C$1512))-(CROQUIS_DATOS!$C$1511))+((CROQUIS_DATOS!$C$1476)*CROQUIS_DATOS!$C$1561-(0)*CROQUIS_DATOS!$C$1561))/CROQUIS_DATOS!$C$1568-0.000001)),1,MOD($A31-1,2)),1-IF(INT(($A31-1)/2)+1&gt;MAX(1,INT(((((CROQUIS_DATOS!$C$1511+CROQUIS_DATOS!$C$1512))-(CROQUIS_DATOS!$C$1511))+((CROQUIS_DATOS!$C$1476)*CROQUIS_DATOS!$C$1561-(0)*CROQUIS_DATOS!$C$1561))/CROQUIS_DATOS!$C$1568-0.000001)),1,MOD($A31-1,2)))=1,MIN((CROQUIS_DATOS!$C$1476)*CROQUIS_DATOS!$C$1561,((CROQUIS_DATOS!$C$1511+CROQUIS_DATOS!$C$1512)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1">
        <f>IF(AND(CROQUIS_DATOS!$C$1472=1,CROQUIS_DATOS!$C$1516&gt;0,((CROQUIS_DATOS!$C$1515+CROQUIS_DATOS!$C$1516))-(CROQUIS_DATOS!$C$1515)&gt;0.5,(CROQUIS_DATOS!$C$1476)-(0)&gt;0.5),(CROQUIS_DATOS!$C$1566+(IF(IF(MOD(MIN(INT(($A31-1)/2)+1,MAX(1,INT(((((CROQUIS_DATOS!$C$1515+CROQUIS_DATOS!$C$1516))-(CROQUIS_DATOS!$C$1515))+((CROQUIS_DATOS!$C$1476)*CROQUIS_DATOS!$C$1561-(0)*CROQUIS_DATOS!$C$1561))/CROQUIS_DATOS!$C$1568-0.000001))),2)=1,IF(INT(($A31-1)/2)+1&gt;MAX(1,INT(((((CROQUIS_DATOS!$C$1515+CROQUIS_DATOS!$C$1516))-(CROQUIS_DATOS!$C$1515))+((CROQUIS_DATOS!$C$1476)*CROQUIS_DATOS!$C$1561-(0)*CROQUIS_DATOS!$C$1561))/CROQUIS_DATOS!$C$1568-0.000001)),1,MOD($A31-1,2)),1-IF(INT(($A31-1)/2)+1&gt;MAX(1,INT(((((CROQUIS_DATOS!$C$1515+CROQUIS_DATOS!$C$1516))-(CROQUIS_DATOS!$C$1515))+((CROQUIS_DATOS!$C$1476)*CROQUIS_DATOS!$C$1561-(0)*CROQUIS_DATOS!$C$1561))/CROQUIS_DATOS!$C$1568-0.000001)),1,MOD($A31-1,2)))=1,MIN((CROQUIS_DATOS!$C$1476)*CROQUIS_DATOS!$C$1561,((CROQUIS_DATOS!$C$1515+CROQUIS_DATOS!$C$1516)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1">
        <f>IF(AND(CROQUIS_DATOS!$C$1472=1,CROQUIS_DATOS!$C$1516&gt;0,((CROQUIS_DATOS!$C$1515+CROQUIS_DATOS!$C$1516))-(CROQUIS_DATOS!$C$1515)&gt;0.5,(CROQUIS_DATOS!$C$1476)-(0)&gt;0.5),(CROQUIS_DATOS!$C$1567+(IF(IF(MOD(MIN(INT(($A31-1)/2)+1,MAX(1,INT(((((CROQUIS_DATOS!$C$1515+CROQUIS_DATOS!$C$1516))-(CROQUIS_DATOS!$C$1515))+((CROQUIS_DATOS!$C$1476)*CROQUIS_DATOS!$C$1561-(0)*CROQUIS_DATOS!$C$1561))/CROQUIS_DATOS!$C$1568-0.000001))),2)=1,IF(INT(($A31-1)/2)+1&gt;MAX(1,INT(((((CROQUIS_DATOS!$C$1515+CROQUIS_DATOS!$C$1516))-(CROQUIS_DATOS!$C$1515))+((CROQUIS_DATOS!$C$1476)*CROQUIS_DATOS!$C$1561-(0)*CROQUIS_DATOS!$C$1561))/CROQUIS_DATOS!$C$1568-0.000001)),1,MOD($A31-1,2)),1-IF(INT(($A31-1)/2)+1&gt;MAX(1,INT(((((CROQUIS_DATOS!$C$1515+CROQUIS_DATOS!$C$1516))-(CROQUIS_DATOS!$C$1515))+((CROQUIS_DATOS!$C$1476)*CROQUIS_DATOS!$C$1561-(0)*CROQUIS_DATOS!$C$1561))/CROQUIS_DATOS!$C$1568-0.000001)),1,MOD($A31-1,2)))=1,MIN((CROQUIS_DATOS!$C$1476)*CROQUIS_DATOS!$C$1561,((CROQUIS_DATOS!$C$1515+CROQUIS_DATOS!$C$1516)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1">
        <f>IF(AND(CROQUIS_DATOS!$C$1472=1,CROQUIS_DATOS!$C$1478&gt;=1,((CROQUIS_DATOS!$C$1479+CROQUIS_DATOS!$C$1480))-(CROQUIS_DATOS!$C$1479)&gt;0.5,(CROQUIS_DATOS!$C$1481)-(0)&gt;0.5),(CROQUIS_DATOS!$C$1566+(IF(IF(MOD(MIN(INT(($A31-1)/2)+1,MAX(1,INT(((((CROQUIS_DATOS!$C$1479+CROQUIS_DATOS!$C$1480))-(CROQUIS_DATOS!$C$1479))+((CROQUIS_DATOS!$C$1481)*CROQUIS_DATOS!$C$1561-(0)*CROQUIS_DATOS!$C$1561))/CROQUIS_DATOS!$C$1568-0.000001))),2)=1,IF(INT(($A31-1)/2)+1&gt;MAX(1,INT(((((CROQUIS_DATOS!$C$1479+CROQUIS_DATOS!$C$1480))-(CROQUIS_DATOS!$C$1479))+((CROQUIS_DATOS!$C$1481)*CROQUIS_DATOS!$C$1561-(0)*CROQUIS_DATOS!$C$1561))/CROQUIS_DATOS!$C$1568-0.000001)),1,MOD($A31-1,2)),1-IF(INT(($A31-1)/2)+1&gt;MAX(1,INT(((((CROQUIS_DATOS!$C$1479+CROQUIS_DATOS!$C$1480))-(CROQUIS_DATOS!$C$1479))+((CROQUIS_DATOS!$C$1481)*CROQUIS_DATOS!$C$1561-(0)*CROQUIS_DATOS!$C$1561))/CROQUIS_DATOS!$C$1568-0.000001)),1,MOD($A31-1,2)))=1,MIN((CROQUIS_DATOS!$C$1481)*CROQUIS_DATOS!$C$1561,((CROQUIS_DATOS!$C$1479+CROQUIS_DATOS!$C$1480)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1">
        <f>IF(AND(CROQUIS_DATOS!$C$1472=1,CROQUIS_DATOS!$C$1478&gt;=1,((CROQUIS_DATOS!$C$1479+CROQUIS_DATOS!$C$1480))-(CROQUIS_DATOS!$C$1479)&gt;0.5,(CROQUIS_DATOS!$C$1481)-(0)&gt;0.5),(CROQUIS_DATOS!$C$1567+(IF(IF(MOD(MIN(INT(($A31-1)/2)+1,MAX(1,INT(((((CROQUIS_DATOS!$C$1479+CROQUIS_DATOS!$C$1480))-(CROQUIS_DATOS!$C$1479))+((CROQUIS_DATOS!$C$1481)*CROQUIS_DATOS!$C$1561-(0)*CROQUIS_DATOS!$C$1561))/CROQUIS_DATOS!$C$1568-0.000001))),2)=1,IF(INT(($A31-1)/2)+1&gt;MAX(1,INT(((((CROQUIS_DATOS!$C$1479+CROQUIS_DATOS!$C$1480))-(CROQUIS_DATOS!$C$1479))+((CROQUIS_DATOS!$C$1481)*CROQUIS_DATOS!$C$1561-(0)*CROQUIS_DATOS!$C$1561))/CROQUIS_DATOS!$C$1568-0.000001)),1,MOD($A31-1,2)),1-IF(INT(($A31-1)/2)+1&gt;MAX(1,INT(((((CROQUIS_DATOS!$C$1479+CROQUIS_DATOS!$C$1480))-(CROQUIS_DATOS!$C$1479))+((CROQUIS_DATOS!$C$1481)*CROQUIS_DATOS!$C$1561-(0)*CROQUIS_DATOS!$C$1561))/CROQUIS_DATOS!$C$1568-0.000001)),1,MOD($A31-1,2)))=1,MIN((CROQUIS_DATOS!$C$1481)*CROQUIS_DATOS!$C$1561,((CROQUIS_DATOS!$C$1479+CROQUIS_DATOS!$C$1480)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1">
        <f>IF(AND(CROQUIS_DATOS!$C$1472=1,CROQUIS_DATOS!$C$1478&gt;=1,((CROQUIS_DATOS!$C$1479+CROQUIS_DATOS!$C$1480))-(CROQUIS_DATOS!$C$1479)&gt;0.5,(CROQUIS_DATOS!$C$1476)-((CROQUIS_DATOS!$C$1481+CROQUIS_DATOS!$C$1482))&gt;0.5),(CROQUIS_DATOS!$C$1566+(IF(IF(MOD(MIN(INT(($A31-1)/2)+1,MAX(1,INT(((((CROQUIS_DATOS!$C$1479+CROQUIS_DATOS!$C$1480))-(CROQUIS_DATOS!$C$1479))+((CROQUIS_DATOS!$C$1476)*CROQUIS_DATOS!$C$1561-((CROQUIS_DATOS!$C$1481+CROQUIS_DATOS!$C$1482))*CROQUIS_DATOS!$C$1561))/CROQUIS_DATOS!$C$1568-0.000001))),2)=1,IF(INT(($A31-1)/2)+1&gt;MAX(1,INT(((((CROQUIS_DATOS!$C$1479+CROQUIS_DATOS!$C$1480))-(CROQUIS_DATOS!$C$1479))+((CROQUIS_DATOS!$C$1476)*CROQUIS_DATOS!$C$1561-((CROQUIS_DATOS!$C$1481+CROQUIS_DATOS!$C$1482))*CROQUIS_DATOS!$C$1561))/CROQUIS_DATOS!$C$1568-0.000001)),1,MOD($A31-1,2)),1-IF(INT(($A31-1)/2)+1&gt;MAX(1,INT(((((CROQUIS_DATOS!$C$1479+CROQUIS_DATOS!$C$1480))-(CROQUIS_DATOS!$C$1479))+((CROQUIS_DATOS!$C$1476)*CROQUIS_DATOS!$C$1561-((CROQUIS_DATOS!$C$1481+CROQUIS_DATOS!$C$1482))*CROQUIS_DATOS!$C$1561))/CROQUIS_DATOS!$C$1568-0.000001)),1,MOD($A31-1,2)))=1,MIN((CROQUIS_DATOS!$C$1476)*CROQUIS_DATOS!$C$1561,((CROQUIS_DATOS!$C$1479+CROQUIS_DATOS!$C$1480)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1">
        <f>IF(AND(CROQUIS_DATOS!$C$1472=1,CROQUIS_DATOS!$C$1478&gt;=1,((CROQUIS_DATOS!$C$1479+CROQUIS_DATOS!$C$1480))-(CROQUIS_DATOS!$C$1479)&gt;0.5,(CROQUIS_DATOS!$C$1476)-((CROQUIS_DATOS!$C$1481+CROQUIS_DATOS!$C$1482))&gt;0.5),(CROQUIS_DATOS!$C$1567+(IF(IF(MOD(MIN(INT(($A31-1)/2)+1,MAX(1,INT(((((CROQUIS_DATOS!$C$1479+CROQUIS_DATOS!$C$1480))-(CROQUIS_DATOS!$C$1479))+((CROQUIS_DATOS!$C$1476)*CROQUIS_DATOS!$C$1561-((CROQUIS_DATOS!$C$1481+CROQUIS_DATOS!$C$1482))*CROQUIS_DATOS!$C$1561))/CROQUIS_DATOS!$C$1568-0.000001))),2)=1,IF(INT(($A31-1)/2)+1&gt;MAX(1,INT(((((CROQUIS_DATOS!$C$1479+CROQUIS_DATOS!$C$1480))-(CROQUIS_DATOS!$C$1479))+((CROQUIS_DATOS!$C$1476)*CROQUIS_DATOS!$C$1561-((CROQUIS_DATOS!$C$1481+CROQUIS_DATOS!$C$1482))*CROQUIS_DATOS!$C$1561))/CROQUIS_DATOS!$C$1568-0.000001)),1,MOD($A31-1,2)),1-IF(INT(($A31-1)/2)+1&gt;MAX(1,INT(((((CROQUIS_DATOS!$C$1479+CROQUIS_DATOS!$C$1480))-(CROQUIS_DATOS!$C$1479))+((CROQUIS_DATOS!$C$1476)*CROQUIS_DATOS!$C$1561-((CROQUIS_DATOS!$C$1481+CROQUIS_DATOS!$C$1482))*CROQUIS_DATOS!$C$1561))/CROQUIS_DATOS!$C$1568-0.000001)),1,MOD($A31-1,2)))=1,MIN((CROQUIS_DATOS!$C$1476)*CROQUIS_DATOS!$C$1561,((CROQUIS_DATOS!$C$1479+CROQUIS_DATOS!$C$1480)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1">
        <f>IF(AND(CROQUIS_DATOS!$C$1472=1,CROQUIS_DATOS!$C$1478&gt;=2,((CROQUIS_DATOS!$C$1484+CROQUIS_DATOS!$C$1485))-(CROQUIS_DATOS!$C$1484)&gt;0.5,(CROQUIS_DATOS!$C$1486)-(0)&gt;0.5),(CROQUIS_DATOS!$C$1566+(IF(IF(MOD(MIN(INT(($A31-1)/2)+1,MAX(1,INT(((((CROQUIS_DATOS!$C$1484+CROQUIS_DATOS!$C$1485))-(CROQUIS_DATOS!$C$1484))+((CROQUIS_DATOS!$C$1486)*CROQUIS_DATOS!$C$1561-(0)*CROQUIS_DATOS!$C$1561))/CROQUIS_DATOS!$C$1568-0.000001))),2)=1,IF(INT(($A31-1)/2)+1&gt;MAX(1,INT(((((CROQUIS_DATOS!$C$1484+CROQUIS_DATOS!$C$1485))-(CROQUIS_DATOS!$C$1484))+((CROQUIS_DATOS!$C$1486)*CROQUIS_DATOS!$C$1561-(0)*CROQUIS_DATOS!$C$1561))/CROQUIS_DATOS!$C$1568-0.000001)),1,MOD($A31-1,2)),1-IF(INT(($A31-1)/2)+1&gt;MAX(1,INT(((((CROQUIS_DATOS!$C$1484+CROQUIS_DATOS!$C$1485))-(CROQUIS_DATOS!$C$1484))+((CROQUIS_DATOS!$C$1486)*CROQUIS_DATOS!$C$1561-(0)*CROQUIS_DATOS!$C$1561))/CROQUIS_DATOS!$C$1568-0.000001)),1,MOD($A31-1,2)))=1,MIN((CROQUIS_DATOS!$C$1486)*CROQUIS_DATOS!$C$1561,((CROQUIS_DATOS!$C$1484+CROQUIS_DATOS!$C$1485)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*CROQUIS_DATOS!$C$1565),-1000)</f>
        <v>58.4413793103448</v>
      </c>
      <c r="CS31">
        <f>IF(AND(CROQUIS_DATOS!$C$1472=1,CROQUIS_DATOS!$C$1478&gt;=2,((CROQUIS_DATOS!$C$1484+CROQUIS_DATOS!$C$1485))-(CROQUIS_DATOS!$C$1484)&gt;0.5,(CROQUIS_DATOS!$C$1486)-(0)&gt;0.5),(CROQUIS_DATOS!$C$1567+(IF(IF(MOD(MIN(INT(($A31-1)/2)+1,MAX(1,INT(((((CROQUIS_DATOS!$C$1484+CROQUIS_DATOS!$C$1485))-(CROQUIS_DATOS!$C$1484))+((CROQUIS_DATOS!$C$1486)*CROQUIS_DATOS!$C$1561-(0)*CROQUIS_DATOS!$C$1561))/CROQUIS_DATOS!$C$1568-0.000001))),2)=1,IF(INT(($A31-1)/2)+1&gt;MAX(1,INT(((((CROQUIS_DATOS!$C$1484+CROQUIS_DATOS!$C$1485))-(CROQUIS_DATOS!$C$1484))+((CROQUIS_DATOS!$C$1486)*CROQUIS_DATOS!$C$1561-(0)*CROQUIS_DATOS!$C$1561))/CROQUIS_DATOS!$C$1568-0.000001)),1,MOD($A31-1,2)),1-IF(INT(($A31-1)/2)+1&gt;MAX(1,INT(((((CROQUIS_DATOS!$C$1484+CROQUIS_DATOS!$C$1485))-(CROQUIS_DATOS!$C$1484))+((CROQUIS_DATOS!$C$1486)*CROQUIS_DATOS!$C$1561-(0)*CROQUIS_DATOS!$C$1561))/CROQUIS_DATOS!$C$1568-0.000001)),1,MOD($A31-1,2)))=1,MIN((CROQUIS_DATOS!$C$1486)*CROQUIS_DATOS!$C$1561,((CROQUIS_DATOS!$C$1484+CROQUIS_DATOS!$C$1485)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31">
        <f>IF(AND(CROQUIS_DATOS!$C$1472=1,CROQUIS_DATOS!$C$1478&gt;=2,((CROQUIS_DATOS!$C$1484+CROQUIS_DATOS!$C$1485))-(CROQUIS_DATOS!$C$1484)&gt;0.5,(CROQUIS_DATOS!$C$1476)-((CROQUIS_DATOS!$C$1486+CROQUIS_DATOS!$C$1487))&gt;0.5),(CROQUIS_DATOS!$C$1566+(IF(IF(MOD(MIN(INT(($A31-1)/2)+1,MAX(1,INT(((((CROQUIS_DATOS!$C$1484+CROQUIS_DATOS!$C$1485))-(CROQUIS_DATOS!$C$1484))+((CROQUIS_DATOS!$C$1476)*CROQUIS_DATOS!$C$1561-((CROQUIS_DATOS!$C$1486+CROQUIS_DATOS!$C$1487))*CROQUIS_DATOS!$C$1561))/CROQUIS_DATOS!$C$1568-0.000001))),2)=1,IF(INT(($A31-1)/2)+1&gt;MAX(1,INT(((((CROQUIS_DATOS!$C$1484+CROQUIS_DATOS!$C$1485))-(CROQUIS_DATOS!$C$1484))+((CROQUIS_DATOS!$C$1476)*CROQUIS_DATOS!$C$1561-((CROQUIS_DATOS!$C$1486+CROQUIS_DATOS!$C$1487))*CROQUIS_DATOS!$C$1561))/CROQUIS_DATOS!$C$1568-0.000001)),1,MOD($A31-1,2)),1-IF(INT(($A31-1)/2)+1&gt;MAX(1,INT(((((CROQUIS_DATOS!$C$1484+CROQUIS_DATOS!$C$1485))-(CROQUIS_DATOS!$C$1484))+((CROQUIS_DATOS!$C$1476)*CROQUIS_DATOS!$C$1561-((CROQUIS_DATOS!$C$1486+CROQUIS_DATOS!$C$1487))*CROQUIS_DATOS!$C$1561))/CROQUIS_DATOS!$C$1568-0.000001)),1,MOD($A31-1,2)))=1,MIN((CROQUIS_DATOS!$C$1476)*CROQUIS_DATOS!$C$1561,((CROQUIS_DATOS!$C$1484+CROQUIS_DATOS!$C$1485)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1">
        <f>IF(AND(CROQUIS_DATOS!$C$1472=1,CROQUIS_DATOS!$C$1478&gt;=2,((CROQUIS_DATOS!$C$1484+CROQUIS_DATOS!$C$1485))-(CROQUIS_DATOS!$C$1484)&gt;0.5,(CROQUIS_DATOS!$C$1476)-((CROQUIS_DATOS!$C$1486+CROQUIS_DATOS!$C$1487))&gt;0.5),(CROQUIS_DATOS!$C$1567+(IF(IF(MOD(MIN(INT(($A31-1)/2)+1,MAX(1,INT(((((CROQUIS_DATOS!$C$1484+CROQUIS_DATOS!$C$1485))-(CROQUIS_DATOS!$C$1484))+((CROQUIS_DATOS!$C$1476)*CROQUIS_DATOS!$C$1561-((CROQUIS_DATOS!$C$1486+CROQUIS_DATOS!$C$1487))*CROQUIS_DATOS!$C$1561))/CROQUIS_DATOS!$C$1568-0.000001))),2)=1,IF(INT(($A31-1)/2)+1&gt;MAX(1,INT(((((CROQUIS_DATOS!$C$1484+CROQUIS_DATOS!$C$1485))-(CROQUIS_DATOS!$C$1484))+((CROQUIS_DATOS!$C$1476)*CROQUIS_DATOS!$C$1561-((CROQUIS_DATOS!$C$1486+CROQUIS_DATOS!$C$1487))*CROQUIS_DATOS!$C$1561))/CROQUIS_DATOS!$C$1568-0.000001)),1,MOD($A31-1,2)),1-IF(INT(($A31-1)/2)+1&gt;MAX(1,INT(((((CROQUIS_DATOS!$C$1484+CROQUIS_DATOS!$C$1485))-(CROQUIS_DATOS!$C$1484))+((CROQUIS_DATOS!$C$1476)*CROQUIS_DATOS!$C$1561-((CROQUIS_DATOS!$C$1486+CROQUIS_DATOS!$C$1487))*CROQUIS_DATOS!$C$1561))/CROQUIS_DATOS!$C$1568-0.000001)),1,MOD($A31-1,2)))=1,MIN((CROQUIS_DATOS!$C$1476)*CROQUIS_DATOS!$C$1561,((CROQUIS_DATOS!$C$1484+CROQUIS_DATOS!$C$1485)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1">
        <f>IF(AND(CROQUIS_DATOS!$C$1472=1,CROQUIS_DATOS!$C$1478&gt;=3,((CROQUIS_DATOS!$C$1489+CROQUIS_DATOS!$C$1490))-(CROQUIS_DATOS!$C$1489)&gt;0.5,(CROQUIS_DATOS!$C$1491)-(0)&gt;0.5),(CROQUIS_DATOS!$C$1566+(IF(IF(MOD(MIN(INT(($A31-1)/2)+1,MAX(1,INT(((((CROQUIS_DATOS!$C$1489+CROQUIS_DATOS!$C$1490))-(CROQUIS_DATOS!$C$1489))+((CROQUIS_DATOS!$C$1491)*CROQUIS_DATOS!$C$1561-(0)*CROQUIS_DATOS!$C$1561))/CROQUIS_DATOS!$C$1568-0.000001))),2)=1,IF(INT(($A31-1)/2)+1&gt;MAX(1,INT(((((CROQUIS_DATOS!$C$1489+CROQUIS_DATOS!$C$1490))-(CROQUIS_DATOS!$C$1489))+((CROQUIS_DATOS!$C$1491)*CROQUIS_DATOS!$C$1561-(0)*CROQUIS_DATOS!$C$1561))/CROQUIS_DATOS!$C$1568-0.000001)),1,MOD($A31-1,2)),1-IF(INT(($A31-1)/2)+1&gt;MAX(1,INT(((((CROQUIS_DATOS!$C$1489+CROQUIS_DATOS!$C$1490))-(CROQUIS_DATOS!$C$1489))+((CROQUIS_DATOS!$C$1491)*CROQUIS_DATOS!$C$1561-(0)*CROQUIS_DATOS!$C$1561))/CROQUIS_DATOS!$C$1568-0.000001)),1,MOD($A31-1,2)))=1,MIN((CROQUIS_DATOS!$C$1491)*CROQUIS_DATOS!$C$1561,((CROQUIS_DATOS!$C$1489+CROQUIS_DATOS!$C$1490)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1">
        <f>IF(AND(CROQUIS_DATOS!$C$1472=1,CROQUIS_DATOS!$C$1478&gt;=3,((CROQUIS_DATOS!$C$1489+CROQUIS_DATOS!$C$1490))-(CROQUIS_DATOS!$C$1489)&gt;0.5,(CROQUIS_DATOS!$C$1491)-(0)&gt;0.5),(CROQUIS_DATOS!$C$1567+(IF(IF(MOD(MIN(INT(($A31-1)/2)+1,MAX(1,INT(((((CROQUIS_DATOS!$C$1489+CROQUIS_DATOS!$C$1490))-(CROQUIS_DATOS!$C$1489))+((CROQUIS_DATOS!$C$1491)*CROQUIS_DATOS!$C$1561-(0)*CROQUIS_DATOS!$C$1561))/CROQUIS_DATOS!$C$1568-0.000001))),2)=1,IF(INT(($A31-1)/2)+1&gt;MAX(1,INT(((((CROQUIS_DATOS!$C$1489+CROQUIS_DATOS!$C$1490))-(CROQUIS_DATOS!$C$1489))+((CROQUIS_DATOS!$C$1491)*CROQUIS_DATOS!$C$1561-(0)*CROQUIS_DATOS!$C$1561))/CROQUIS_DATOS!$C$1568-0.000001)),1,MOD($A31-1,2)),1-IF(INT(($A31-1)/2)+1&gt;MAX(1,INT(((((CROQUIS_DATOS!$C$1489+CROQUIS_DATOS!$C$1490))-(CROQUIS_DATOS!$C$1489))+((CROQUIS_DATOS!$C$1491)*CROQUIS_DATOS!$C$1561-(0)*CROQUIS_DATOS!$C$1561))/CROQUIS_DATOS!$C$1568-0.000001)),1,MOD($A31-1,2)))=1,MIN((CROQUIS_DATOS!$C$1491)*CROQUIS_DATOS!$C$1561,((CROQUIS_DATOS!$C$1489+CROQUIS_DATOS!$C$1490)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1">
        <f>IF(AND(CROQUIS_DATOS!$C$1472=1,CROQUIS_DATOS!$C$1478&gt;=3,((CROQUIS_DATOS!$C$1489+CROQUIS_DATOS!$C$1490))-(CROQUIS_DATOS!$C$1489)&gt;0.5,(CROQUIS_DATOS!$C$1476)-((CROQUIS_DATOS!$C$1491+CROQUIS_DATOS!$C$1492))&gt;0.5),(CROQUIS_DATOS!$C$1566+(IF(IF(MOD(MIN(INT(($A31-1)/2)+1,MAX(1,INT(((((CROQUIS_DATOS!$C$1489+CROQUIS_DATOS!$C$1490))-(CROQUIS_DATOS!$C$1489))+((CROQUIS_DATOS!$C$1476)*CROQUIS_DATOS!$C$1561-((CROQUIS_DATOS!$C$1491+CROQUIS_DATOS!$C$1492))*CROQUIS_DATOS!$C$1561))/CROQUIS_DATOS!$C$1568-0.000001))),2)=1,IF(INT(($A31-1)/2)+1&gt;MAX(1,INT(((((CROQUIS_DATOS!$C$1489+CROQUIS_DATOS!$C$1490))-(CROQUIS_DATOS!$C$1489))+((CROQUIS_DATOS!$C$1476)*CROQUIS_DATOS!$C$1561-((CROQUIS_DATOS!$C$1491+CROQUIS_DATOS!$C$1492))*CROQUIS_DATOS!$C$1561))/CROQUIS_DATOS!$C$1568-0.000001)),1,MOD($A31-1,2)),1-IF(INT(($A31-1)/2)+1&gt;MAX(1,INT(((((CROQUIS_DATOS!$C$1489+CROQUIS_DATOS!$C$1490))-(CROQUIS_DATOS!$C$1489))+((CROQUIS_DATOS!$C$1476)*CROQUIS_DATOS!$C$1561-((CROQUIS_DATOS!$C$1491+CROQUIS_DATOS!$C$1492))*CROQUIS_DATOS!$C$1561))/CROQUIS_DATOS!$C$1568-0.000001)),1,MOD($A31-1,2)))=1,MIN((CROQUIS_DATOS!$C$1476)*CROQUIS_DATOS!$C$1561,((CROQUIS_DATOS!$C$1489+CROQUIS_DATOS!$C$1490)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1">
        <f>IF(AND(CROQUIS_DATOS!$C$1472=1,CROQUIS_DATOS!$C$1478&gt;=3,((CROQUIS_DATOS!$C$1489+CROQUIS_DATOS!$C$1490))-(CROQUIS_DATOS!$C$1489)&gt;0.5,(CROQUIS_DATOS!$C$1476)-((CROQUIS_DATOS!$C$1491+CROQUIS_DATOS!$C$1492))&gt;0.5),(CROQUIS_DATOS!$C$1567+(IF(IF(MOD(MIN(INT(($A31-1)/2)+1,MAX(1,INT(((((CROQUIS_DATOS!$C$1489+CROQUIS_DATOS!$C$1490))-(CROQUIS_DATOS!$C$1489))+((CROQUIS_DATOS!$C$1476)*CROQUIS_DATOS!$C$1561-((CROQUIS_DATOS!$C$1491+CROQUIS_DATOS!$C$1492))*CROQUIS_DATOS!$C$1561))/CROQUIS_DATOS!$C$1568-0.000001))),2)=1,IF(INT(($A31-1)/2)+1&gt;MAX(1,INT(((((CROQUIS_DATOS!$C$1489+CROQUIS_DATOS!$C$1490))-(CROQUIS_DATOS!$C$1489))+((CROQUIS_DATOS!$C$1476)*CROQUIS_DATOS!$C$1561-((CROQUIS_DATOS!$C$1491+CROQUIS_DATOS!$C$1492))*CROQUIS_DATOS!$C$1561))/CROQUIS_DATOS!$C$1568-0.000001)),1,MOD($A31-1,2)),1-IF(INT(($A31-1)/2)+1&gt;MAX(1,INT(((((CROQUIS_DATOS!$C$1489+CROQUIS_DATOS!$C$1490))-(CROQUIS_DATOS!$C$1489))+((CROQUIS_DATOS!$C$1476)*CROQUIS_DATOS!$C$1561-((CROQUIS_DATOS!$C$1491+CROQUIS_DATOS!$C$1492))*CROQUIS_DATOS!$C$1561))/CROQUIS_DATOS!$C$1568-0.000001)),1,MOD($A31-1,2)))=1,MIN((CROQUIS_DATOS!$C$1476)*CROQUIS_DATOS!$C$1561,((CROQUIS_DATOS!$C$1489+CROQUIS_DATOS!$C$1490)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1">
        <f>IF(AND(CROQUIS_DATOS!$C$1472=1,CROQUIS_DATOS!$C$1478&gt;=4,((CROQUIS_DATOS!$C$1494+CROQUIS_DATOS!$C$1495))-(CROQUIS_DATOS!$C$1494)&gt;0.5,(CROQUIS_DATOS!$C$1496)-(0)&gt;0.5),(CROQUIS_DATOS!$C$1566+(IF(IF(MOD(MIN(INT(($A31-1)/2)+1,MAX(1,INT(((((CROQUIS_DATOS!$C$1494+CROQUIS_DATOS!$C$1495))-(CROQUIS_DATOS!$C$1494))+((CROQUIS_DATOS!$C$1496)*CROQUIS_DATOS!$C$1561-(0)*CROQUIS_DATOS!$C$1561))/CROQUIS_DATOS!$C$1568-0.000001))),2)=1,IF(INT(($A31-1)/2)+1&gt;MAX(1,INT(((((CROQUIS_DATOS!$C$1494+CROQUIS_DATOS!$C$1495))-(CROQUIS_DATOS!$C$1494))+((CROQUIS_DATOS!$C$1496)*CROQUIS_DATOS!$C$1561-(0)*CROQUIS_DATOS!$C$1561))/CROQUIS_DATOS!$C$1568-0.000001)),1,MOD($A31-1,2)),1-IF(INT(($A31-1)/2)+1&gt;MAX(1,INT(((((CROQUIS_DATOS!$C$1494+CROQUIS_DATOS!$C$1495))-(CROQUIS_DATOS!$C$1494))+((CROQUIS_DATOS!$C$1496)*CROQUIS_DATOS!$C$1561-(0)*CROQUIS_DATOS!$C$1561))/CROQUIS_DATOS!$C$1568-0.000001)),1,MOD($A31-1,2)))=1,MIN((CROQUIS_DATOS!$C$1496)*CROQUIS_DATOS!$C$1561,((CROQUIS_DATOS!$C$1494+CROQUIS_DATOS!$C$1495)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1">
        <f>IF(AND(CROQUIS_DATOS!$C$1472=1,CROQUIS_DATOS!$C$1478&gt;=4,((CROQUIS_DATOS!$C$1494+CROQUIS_DATOS!$C$1495))-(CROQUIS_DATOS!$C$1494)&gt;0.5,(CROQUIS_DATOS!$C$1496)-(0)&gt;0.5),(CROQUIS_DATOS!$C$1567+(IF(IF(MOD(MIN(INT(($A31-1)/2)+1,MAX(1,INT(((((CROQUIS_DATOS!$C$1494+CROQUIS_DATOS!$C$1495))-(CROQUIS_DATOS!$C$1494))+((CROQUIS_DATOS!$C$1496)*CROQUIS_DATOS!$C$1561-(0)*CROQUIS_DATOS!$C$1561))/CROQUIS_DATOS!$C$1568-0.000001))),2)=1,IF(INT(($A31-1)/2)+1&gt;MAX(1,INT(((((CROQUIS_DATOS!$C$1494+CROQUIS_DATOS!$C$1495))-(CROQUIS_DATOS!$C$1494))+((CROQUIS_DATOS!$C$1496)*CROQUIS_DATOS!$C$1561-(0)*CROQUIS_DATOS!$C$1561))/CROQUIS_DATOS!$C$1568-0.000001)),1,MOD($A31-1,2)),1-IF(INT(($A31-1)/2)+1&gt;MAX(1,INT(((((CROQUIS_DATOS!$C$1494+CROQUIS_DATOS!$C$1495))-(CROQUIS_DATOS!$C$1494))+((CROQUIS_DATOS!$C$1496)*CROQUIS_DATOS!$C$1561-(0)*CROQUIS_DATOS!$C$1561))/CROQUIS_DATOS!$C$1568-0.000001)),1,MOD($A31-1,2)))=1,MIN((CROQUIS_DATOS!$C$1496)*CROQUIS_DATOS!$C$1561,((CROQUIS_DATOS!$C$1494+CROQUIS_DATOS!$C$1495)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1">
        <f>IF(AND(CROQUIS_DATOS!$C$1472=1,CROQUIS_DATOS!$C$1478&gt;=4,((CROQUIS_DATOS!$C$1494+CROQUIS_DATOS!$C$1495))-(CROQUIS_DATOS!$C$1494)&gt;0.5,(CROQUIS_DATOS!$C$1476)-((CROQUIS_DATOS!$C$1496+CROQUIS_DATOS!$C$1497))&gt;0.5),(CROQUIS_DATOS!$C$1566+(IF(IF(MOD(MIN(INT(($A31-1)/2)+1,MAX(1,INT(((((CROQUIS_DATOS!$C$1494+CROQUIS_DATOS!$C$1495))-(CROQUIS_DATOS!$C$1494))+((CROQUIS_DATOS!$C$1476)*CROQUIS_DATOS!$C$1561-((CROQUIS_DATOS!$C$1496+CROQUIS_DATOS!$C$1497))*CROQUIS_DATOS!$C$1561))/CROQUIS_DATOS!$C$1568-0.000001))),2)=1,IF(INT(($A31-1)/2)+1&gt;MAX(1,INT(((((CROQUIS_DATOS!$C$1494+CROQUIS_DATOS!$C$1495))-(CROQUIS_DATOS!$C$1494))+((CROQUIS_DATOS!$C$1476)*CROQUIS_DATOS!$C$1561-((CROQUIS_DATOS!$C$1496+CROQUIS_DATOS!$C$1497))*CROQUIS_DATOS!$C$1561))/CROQUIS_DATOS!$C$1568-0.000001)),1,MOD($A31-1,2)),1-IF(INT(($A31-1)/2)+1&gt;MAX(1,INT(((((CROQUIS_DATOS!$C$1494+CROQUIS_DATOS!$C$1495))-(CROQUIS_DATOS!$C$1494))+((CROQUIS_DATOS!$C$1476)*CROQUIS_DATOS!$C$1561-((CROQUIS_DATOS!$C$1496+CROQUIS_DATOS!$C$1497))*CROQUIS_DATOS!$C$1561))/CROQUIS_DATOS!$C$1568-0.000001)),1,MOD($A31-1,2)))=1,MIN((CROQUIS_DATOS!$C$1476)*CROQUIS_DATOS!$C$1561,((CROQUIS_DATOS!$C$1494+CROQUIS_DATOS!$C$1495)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1">
        <f>IF(AND(CROQUIS_DATOS!$C$1472=1,CROQUIS_DATOS!$C$1478&gt;=4,((CROQUIS_DATOS!$C$1494+CROQUIS_DATOS!$C$1495))-(CROQUIS_DATOS!$C$1494)&gt;0.5,(CROQUIS_DATOS!$C$1476)-((CROQUIS_DATOS!$C$1496+CROQUIS_DATOS!$C$1497))&gt;0.5),(CROQUIS_DATOS!$C$1567+(IF(IF(MOD(MIN(INT(($A31-1)/2)+1,MAX(1,INT(((((CROQUIS_DATOS!$C$1494+CROQUIS_DATOS!$C$1495))-(CROQUIS_DATOS!$C$1494))+((CROQUIS_DATOS!$C$1476)*CROQUIS_DATOS!$C$1561-((CROQUIS_DATOS!$C$1496+CROQUIS_DATOS!$C$1497))*CROQUIS_DATOS!$C$1561))/CROQUIS_DATOS!$C$1568-0.000001))),2)=1,IF(INT(($A31-1)/2)+1&gt;MAX(1,INT(((((CROQUIS_DATOS!$C$1494+CROQUIS_DATOS!$C$1495))-(CROQUIS_DATOS!$C$1494))+((CROQUIS_DATOS!$C$1476)*CROQUIS_DATOS!$C$1561-((CROQUIS_DATOS!$C$1496+CROQUIS_DATOS!$C$1497))*CROQUIS_DATOS!$C$1561))/CROQUIS_DATOS!$C$1568-0.000001)),1,MOD($A31-1,2)),1-IF(INT(($A31-1)/2)+1&gt;MAX(1,INT(((((CROQUIS_DATOS!$C$1494+CROQUIS_DATOS!$C$1495))-(CROQUIS_DATOS!$C$1494))+((CROQUIS_DATOS!$C$1476)*CROQUIS_DATOS!$C$1561-((CROQUIS_DATOS!$C$1496+CROQUIS_DATOS!$C$1497))*CROQUIS_DATOS!$C$1561))/CROQUIS_DATOS!$C$1568-0.000001)),1,MOD($A31-1,2)))=1,MIN((CROQUIS_DATOS!$C$1476)*CROQUIS_DATOS!$C$1561,((CROQUIS_DATOS!$C$1494+CROQUIS_DATOS!$C$1495)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1">
        <f>IF(AND(CROQUIS_DATOS!$C$1472=1,1),(CROQUIS_DATOS!$C$1571+(CHOOSE(MIN(MAX(IF(INT(($A31-1)/5)+1&gt;CROQUIS_DATOS!$C$1525,5,MOD($A31-1,5)+1),1),5),(INDEX($E$8:$E$23,MIN(INT(($A31-1)/5)+1,CROQUIS_DATOS!$C$1525))-INDEX($F$8:$F$23,MIN(INT(($A31-1)/5)+1,CROQUIS_DATOS!$C$1525))/2),(INDEX($E$8:$E$23,MIN(INT(($A31-1)/5)+1,CROQUIS_DATOS!$C$1525))+INDEX($F$8:$F$23,MIN(INT(($A31-1)/5)+1,CROQUIS_DATOS!$C$1525))/2),(INDEX($E$8:$E$23,MIN(INT(($A31-1)/5)+1,CROQUIS_DATOS!$C$1525))+INDEX($F$8:$F$23,MIN(INT(($A31-1)/5)+1,CROQUIS_DATOS!$C$1525))/2),(INDEX($E$8:$E$23,MIN(INT(($A31-1)/5)+1,CROQUIS_DATOS!$C$1525))-INDEX($F$8:$F$23,MIN(INT(($A31-1)/5)+1,CROQUIS_DATOS!$C$1525))/2),(INDEX($E$8:$E$23,MIN(INT(($A31-1)/5)+1,CROQUIS_DATOS!$C$1525))-INDEX($F$8:$F$23,MIN(INT(($A31-1)/5)+1,CROQUIS_DATOS!$C$1525))/2)))*CROQUIS_DATOS!$C$1569),-1000)</f>
        <v>75.92</v>
      </c>
      <c r="GE31">
        <f>IF(AND(CROQUIS_DATOS!$C$1472=1,1),(CROQUIS_DATOS!$C$1572+(CHOOSE(MIN(MAX(IF(INT(($A31-1)/5)+1&gt;CROQUIS_DATOS!$C$1525,5,MOD($A31-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31">
        <f>IF(AND(CROQUIS_DATOS!$C$1472=1,1),IF(INT(($A31-1)/4)+1&lt;=CROQUIS_DATOS!$C$1525,(CROQUIS_DATOS!$C$1571+((INDEX($E$8:$E$23,MIN(INT(($A31-1)/4)+1,16))+IF(OR(MOD($A31-1,4)=0,MOD($A31-1,4)=3),-1,1)*(INDEX($F$8:$F$23,MIN(INT(($A31-1)/4)+1,16))/2-(CROQUIS_DATOS!$C$1530+CROQUIS_DATOS!$C$1532+IF(OR(INT(($A31-1)/4)+1=1,INT(($A31-1)/4)+1=CROQUIS_DATOS!$C$1525),CROQUIS_DATOS!$C$1534,CROQUIS_DATOS!$C$1531)/2))))*CROQUIS_DATOS!$C$1569),-1000),-1000)</f>
        <v>95.812516</v>
      </c>
      <c r="GG31">
        <f>IF(AND(CROQUIS_DATOS!$C$1472=1,1),IF(INT(($A31-1)/4)+1&lt;=CROQUIS_DATOS!$C$1525,(CROQUIS_DATOS!$C$1572+((CROQUIS_DATOS!$C$1477/2+IF(MOD($A31-1,4)&lt;2,-1,1)*(CROQUIS_DATOS!$C$1527/2-(CROQUIS_DATOS!$C$1530+CROQUIS_DATOS!$C$1532+IF(OR(INT(($A31-1)/4)+1=1,INT(($A31-1)/4)+1=CROQUIS_DATOS!$C$1525),CROQUIS_DATOS!$C$1534,CROQUIS_DATOS!$C$1531)/2))))*CROQUIS_DATOS!$C$1569*CROQUIS_DATOS!$C$1570),-1000),-1000)</f>
        <v>13.06655</v>
      </c>
    </row>
    <row r="32">
      <c r="A32" t="n">
        <v>25</v>
      </c>
      <c r="H32">
        <f>IF(25&lt;=CROQUIS_DATOS!$C$1539,25*CROQUIS_DATOS!$C$1536,IF(25&lt;=CROQUIS_DATOS!$C$1539+CROQUIS_DATOS!$C$1540,CROQUIS_DATOS!$C$1539*CROQUIS_DATOS!$C$1536+(25-CROQUIS_DATOS!$C$1539)*(CROQUIS_DATOS!$C$1476-2*CROQUIS_DATOS!$C$1539*CROQUIS_DATOS!$C$1536)/(CROQUIS_DATOS!$C$1540+1),CROQUIS_DATOS!$C$1476-(2*CROQUIS_DATOS!$C$1539+CROQUIS_DATOS!$C$1540+1-25)*CROQUIS_DATOS!$C$1536))</f>
        <v>295</v>
      </c>
      <c r="J32">
        <f>IF(AND(CROQUIS_DATOS!$C$1472=1,1),(CROQUIS_DATOS!$C$1563+(CHOOSE(MIN(MAX(IF(INT(($A32-1)/4)+1&gt;CROQUIS_DATOS!$C$1525,4,MOD($A32-1,4)+1),1),4),(INDEX($E$8:$E$23,MIN(INT(($A32-1)/4)+1,CROQUIS_DATOS!$C$1525))-INDEX($F$8:$F$23,MIN(INT(($A32-1)/4)+1,CROQUIS_DATOS!$C$1525))/2),(INDEX($E$8:$E$23,MIN(INT(($A32-1)/4)+1,CROQUIS_DATOS!$C$1525))-INDEX($F$8:$F$23,MIN(INT(($A32-1)/4)+1,CROQUIS_DATOS!$C$1525))/2),(INDEX($E$8:$E$23,MIN(INT(($A32-1)/4)+1,CROQUIS_DATOS!$C$1525))+INDEX($F$8:$F$23,MIN(INT(($A32-1)/4)+1,CROQUIS_DATOS!$C$1525))/2),(INDEX($E$8:$E$23,MIN(INT(($A32-1)/4)+1,CROQUIS_DATOS!$C$1525))+INDEX($F$8:$F$23,MIN(INT(($A32-1)/4)+1,CROQUIS_DATOS!$C$1525))/2)))*CROQUIS_DATOS!$C$1562),-1000)</f>
        <v>84.9137931034483</v>
      </c>
      <c r="K32">
        <f>IF(AND(CROQUIS_DATOS!$C$1472=1,1),(CROQUIS_DATOS!$C$1564+(CHOOSE(MIN(MAX(IF(INT(($A32-1)/4)+1&gt;CROQUIS_DATOS!$C$1525,4,MOD($A32-1,4)+1),1),4),0,CROQUIS_DATOS!$C$1476,CROQUIS_DATOS!$C$1476,0))*CROQUIS_DATOS!$C$1561*CROQUIS_DATOS!$C$1562),-1000)</f>
        <v>5.29310344827586</v>
      </c>
      <c r="L32">
        <f>IF(AND(CROQUIS_DATOS!$C$1472=1,1),(CROQUIS_DATOS!$C$1563+(CHOOSE(MIN(MAX(IF(INT(($A32-1)/4)+1&gt;CROQUIS_DATOS!$C$1525,4,MOD($A32-1,4)+1),1),4),((INDEX($E$8:$E$23,MIN(INT(($A32-1)/4)+1,CROQUIS_DATOS!$C$1525))-INDEX($F$8:$F$23,MIN(INT(($A32-1)/4)+1,CROQUIS_DATOS!$C$1525))/2)+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,((INDEX($E$8:$E$23,MIN(INT(($A32-1)/4)+1,CROQUIS_DATOS!$C$1525))-INDEX($F$8:$F$23,MIN(INT(($A32-1)/4)+1,CROQUIS_DATOS!$C$1525))/2)+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,((INDEX($E$8:$E$23,MIN(INT(($A32-1)/4)+1,CROQUIS_DATOS!$C$1525))+INDEX($F$8:$F$23,MIN(INT(($A32-1)/4)+1,CROQUIS_DATOS!$C$1525))/2)-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,((INDEX($E$8:$E$23,MIN(INT(($A32-1)/4)+1,CROQUIS_DATOS!$C$1525))+INDEX($F$8:$F$23,MIN(INT(($A32-1)/4)+1,CROQUIS_DATOS!$C$1525))/2)-MIN((CROQUIS_DATOS!$C$1530+CROQUIS_DATOS!$C$1532+IF(OR(MIN(INT(($A32-1)/4)+1,CROQUIS_DATOS!$C$1525)=1,MIN(INT(($A32-1)/4)+1,CROQUIS_DATOS!$C$1525)=CROQUIS_DATOS!$C$1525),CROQUIS_DATOS!$C$1534,CROQUIS_DATOS!$C$1531)/2),INDEX($F$8:$F$23,MIN(INT(($A32-1)/4)+1,CROQUIS_DATOS!$C$1525))/2-0.5))))*CROQUIS_DATOS!$C$1562),-1000)</f>
        <v>84.4792560344828</v>
      </c>
      <c r="M32">
        <f>IF(AND(CROQUIS_DATOS!$C$1472=1,1),(CROQUIS_DATOS!$C$1564+(CHOOSE(MIN(MAX(IF(INT(($A32-1)/4)+1&gt;CROQUIS_DATOS!$C$1525,4,MOD($A32-1,4)+1),1),4),CROQUIS_DATOS!$C$1543,INDEX($I$8:$I$23,MIN(INT(($A32-1)/4)+1,CROQUIS_DATOS!$C$1525)),INDEX($I$8:$I$23,MIN(INT(($A32-1)/4)+1,CROQUIS_DATOS!$C$1525)),CROQUIS_DATOS!$C$1543))*CROQUIS_DATOS!$C$1561*CROQUIS_DATOS!$C$1562),-1000)</f>
        <v>42.5654629310345</v>
      </c>
      <c r="N32">
        <f>IF(AND(CROQUIS_DATOS!$C$1472=1,1),(CROQUIS_DATOS!$C$1563+(IF(IF(IF(INT(($A32-1)/70)+1&gt;CROQUIS_DATOS!$C$1525,70,MOD($A32-1,70)+1)=1,0,IF(IF(INT(($A32-1)/70)+1&gt;CROQUIS_DATOS!$C$1525,70,MOD($A32-1,70)+1)&gt;2*CROQUIS_DATOS!$C$1541+1,IF(MOD(CROQUIS_DATOS!$C$1541,2)=1,1,0),IF(MOD(MIN(INT((IF(INT(($A32-1)/70)+1&gt;CROQUIS_DATOS!$C$1525,70,MOD($A32-1,70)+1)-2)/2)+1,CROQUIS_DATOS!$C$1541),2)=1,IF(MOD(IF(INT(($A32-1)/70)+1&gt;CROQUIS_DATOS!$C$1525,70,MOD($A32-1,70)+1)-2,2)=0,0,1),IF(MOD(IF(INT(($A32-1)/70)+1&gt;CROQUIS_DATOS!$C$1525,70,MOD($A32-1,70)+1)-2,2)=0,1,0))))=0,(INDEX($E$8:$E$23,MIN(INT(($A32-1)/70)+1,CROQUIS_DATOS!$C$1525))-INDEX($F$8:$F$23,MIN(INT(($A32-1)/70)+1,CROQUIS_DATOS!$C$1525))/2),(INDEX($E$8:$E$23,MIN(INT(($A32-1)/70)+1,CROQUIS_DATOS!$C$1525))+INDEX($F$8:$F$23,MIN(INT(($A32-1)/70)+1,CROQUIS_DATOS!$C$1525))/2)))*CROQUIS_DATOS!$C$1562),-1000)</f>
        <v>15.0862068965517</v>
      </c>
      <c r="O32">
        <f>IF(AND(CROQUIS_DATOS!$C$1472=1,1),(CROQUIS_DATOS!$C$1564+(IF(OR(IF(INT(($A32-1)/70)+1&gt;CROQUIS_DATOS!$C$1525,70,MOD($A32-1,70)+1)=1,IF(INT(($A32-1)/70)+1&gt;CROQUIS_DATOS!$C$1525,70,MOD($A32-1,70)+1)&gt;2*CROQUIS_DATOS!$C$1541+1),CROQUIS_DATOS!$C$1476,INDEX($H$8:$H$41,MIN(INT((IF(INT(($A32-1)/70)+1&gt;CROQUIS_DATOS!$C$1525,70,MOD($A32-1,70)+1)-2)/2)+1,CROQUIS_DATOS!$C$1541))))*CROQUIS_DATOS!$C$1561*CROQUIS_DATOS!$C$1562),-1000)</f>
        <v>29.5387931034483</v>
      </c>
      <c r="P32">
        <f>IF(AND(CROQUIS_DATOS!$C$1472=1,CROQUIS_DATOS!$C$1555=1),(CROQUIS_DATOS!$C$1563+(IF(IF(OR(MOD($A32-1,62)+1=1,IF(CHOOSE(MIN(MAX(MIN(INT(($A32-1)/62)+1,5),1),5),CROQUIS_DATOS!$C$1501,CROQUIS_DATOS!$C$1505,CROQUIS_DATOS!$C$1509,CROQUIS_DATOS!$C$1513,CROQUIS_DATOS!$C$1517)=1,CROQUIS_DATOS!$C$1557,0)=0),0,IF(MOD($A32-1,62)+1&gt;2*IF(CHOOSE(MIN(MAX(MIN(INT(($A32-1)/62)+1,5),1),5),CROQUIS_DATOS!$C$1501,CROQUIS_DATOS!$C$1505,CROQUIS_DATOS!$C$1509,CROQUIS_DATOS!$C$1513,CROQUIS_DATOS!$C$1517)=1,CROQUIS_DATOS!$C$1557,0)+1,IF(MOD(IF(CHOOSE(MIN(MAX(MIN(INT(($A32-1)/62)+1,5),1),5),CROQUIS_DATOS!$C$1501,CROQUIS_DATOS!$C$1505,CROQUIS_DATOS!$C$1509,CROQUIS_DATOS!$C$1513,CROQUIS_DATOS!$C$1517)=1,CROQUIS_DATOS!$C$1557,0),2)=1,1,0),IF(MOD(MIN(INT((MOD($A32-1,62)+1-2)/2)+1,MAX(IF(CHOOSE(MIN(MAX(MIN(INT(($A32-1)/62)+1,5),1),5),CROQUIS_DATOS!$C$1501,CROQUIS_DATOS!$C$1505,CROQUIS_DATOS!$C$1509,CROQUIS_DATOS!$C$1513,CROQUIS_DATOS!$C$1517)=1,CROQUIS_DATOS!$C$1557,0),1)),2)=1,IF(MOD(MOD($A32-1,62)+1-2,2)=0,0,1),IF(MOD(MOD($A32-1,62)+1-2,2)=0,1,0))))=0,(CHOOSE(MIN(MAX(MIN(INT(($A32-1)/62)+1,5),1),5),CROQUIS_DATOS!$C$1499,CROQUIS_DATOS!$C$1503,CROQUIS_DATOS!$C$1507,CROQUIS_DATOS!$C$1511,CROQUIS_DATOS!$C$1515)+IF(CHOOSE(MIN(MAX(MIN(INT(($A32-1)/62)+1,5),1),5),CROQUIS_DATOS!$C$1501,CROQUIS_DATOS!$C$1505,CROQUIS_DATOS!$C$1509,CROQUIS_DATOS!$C$1513,CROQUIS_DATOS!$C$1517)=1,CROQUIS_DATOS!$C$1526,0)),(CHOOSE(MIN(MAX(MIN(INT(($A32-1)/62)+1,5),1),5),CROQUIS_DATOS!$C$1499,CROQUIS_DATOS!$C$1503,CROQUIS_DATOS!$C$1507,CROQUIS_DATOS!$C$1511,CROQUIS_DATOS!$C$1515)+CHOOSE(MIN(MAX(MIN(INT(($A32-1)/62)+1,5),1),5),CROQUIS_DATOS!$C$1500,CROQUIS_DATOS!$C$1504,CROQUIS_DATOS!$C$1508,CROQUIS_DATOS!$C$1512,CROQUIS_DATOS!$C$1516)-IF(CHOOSE(MIN(MAX(MIN(INT(($A32-1)/62)+1,5),1),5),CROQUIS_DATOS!$C$1501,CROQUIS_DATOS!$C$1505,CROQUIS_DATOS!$C$1509,CROQUIS_DATOS!$C$1513,CROQUIS_DATOS!$C$1517)=1,CROQUIS_DATOS!$C$1526,0))))*CROQUIS_DATOS!$C$1562),-1000)</f>
        <v>-1000</v>
      </c>
      <c r="Q32">
        <f>IF(AND(CROQUIS_DATOS!$C$1472=1,CROQUIS_DATOS!$C$1555=1),(CROQUIS_DATOS!$C$1564+(IF(OR(OR(MOD($A32-1,62)+1=1,IF(CHOOSE(MIN(MAX(MIN(INT(($A32-1)/62)+1,5),1),5),CROQUIS_DATOS!$C$1501,CROQUIS_DATOS!$C$1505,CROQUIS_DATOS!$C$1509,CROQUIS_DATOS!$C$1513,CROQUIS_DATOS!$C$1517)=1,CROQUIS_DATOS!$C$1557,0)=0),MOD($A32-1,62)+1&gt;2*IF(CHOOSE(MIN(MAX(MIN(INT(($A32-1)/62)+1,5),1),5),CROQUIS_DATOS!$C$1501,CROQUIS_DATOS!$C$1505,CROQUIS_DATOS!$C$1509,CROQUIS_DATOS!$C$1513,CROQUIS_DATOS!$C$1517)=1,CROQUIS_DATOS!$C$1557,0)+1),CROQUIS_DATOS!$C$1476,MIN(INT((MOD($A32-1,62)+1-2)/2)+1,MAX(IF(CHOOSE(MIN(MAX(MIN(INT(($A32-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2">
        <f>IF(AND(CROQUIS_DATOS!$C$1472=1,1),(CROQUIS_DATOS!$C$1563+(MIN(INT(($A32-1)/2)+1,CROQUIS_DATOS!$C$1558)*CROQUIS_DATOS!$C$1559)*CROQUIS_DATOS!$C$1562),-1000)</f>
        <v>50</v>
      </c>
      <c r="U32">
        <f>IF(AND(CROQUIS_DATOS!$C$1472=1,1),(CROQUIS_DATOS!$C$1564+(IF(INT(($A32-1)/2)+1&gt;CROQUIS_DATOS!$C$1558,IF(MOD(CROQUIS_DATOS!$C$1558,2)=1,CROQUIS_DATOS!$C$1476+CROQUIS_DATOS!$C$1528,CROQUIS_DATOS!$C$1476),IF(IF(MOD(MIN(INT(($A32-1)/2)+1,CROQUIS_DATOS!$C$1558),2)=1,MOD($A32-1,2),1-MOD($A32-1,2))=1,CROQUIS_DATOS!$C$1476+CROQUIS_DATOS!$C$1528,CROQUIS_DATOS!$C$1476)))*CROQUIS_DATOS!$C$1561*CROQUIS_DATOS!$C$1562),-1000)</f>
        <v>40.2068965517241</v>
      </c>
      <c r="BZ32">
        <f>IF(AND(CROQUIS_DATOS!$C$1472=1,CROQUIS_DATOS!$C$1500&gt;0,((CROQUIS_DATOS!$C$1499+CROQUIS_DATOS!$C$1500))-(CROQUIS_DATOS!$C$1499)&gt;0.5,(CROQUIS_DATOS!$C$1476)-(0)&gt;0.5),(CROQUIS_DATOS!$C$1566+(IF(IF(MOD(MIN(INT(($A32-1)/2)+1,MAX(1,INT(((((CROQUIS_DATOS!$C$1499+CROQUIS_DATOS!$C$1500))-(CROQUIS_DATOS!$C$1499))+((CROQUIS_DATOS!$C$1476)*CROQUIS_DATOS!$C$1561-(0)*CROQUIS_DATOS!$C$1561))/CROQUIS_DATOS!$C$1568-0.000001))),2)=1,IF(INT(($A32-1)/2)+1&gt;MAX(1,INT(((((CROQUIS_DATOS!$C$1499+CROQUIS_DATOS!$C$1500))-(CROQUIS_DATOS!$C$1499))+((CROQUIS_DATOS!$C$1476)*CROQUIS_DATOS!$C$1561-(0)*CROQUIS_DATOS!$C$1561))/CROQUIS_DATOS!$C$1568-0.000001)),1,MOD($A32-1,2)),1-IF(INT(($A32-1)/2)+1&gt;MAX(1,INT(((((CROQUIS_DATOS!$C$1499+CROQUIS_DATOS!$C$1500))-(CROQUIS_DATOS!$C$1499))+((CROQUIS_DATOS!$C$1476)*CROQUIS_DATOS!$C$1561-(0)*CROQUIS_DATOS!$C$1561))/CROQUIS_DATOS!$C$1568-0.000001)),1,MOD($A32-1,2)))=1,MIN((CROQUIS_DATOS!$C$1476)*CROQUIS_DATOS!$C$1561,((CROQUIS_DATOS!$C$1499+CROQUIS_DATOS!$C$1500)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32">
        <f>IF(AND(CROQUIS_DATOS!$C$1472=1,CROQUIS_DATOS!$C$1500&gt;0,((CROQUIS_DATOS!$C$1499+CROQUIS_DATOS!$C$1500))-(CROQUIS_DATOS!$C$1499)&gt;0.5,(CROQUIS_DATOS!$C$1476)-(0)&gt;0.5),(CROQUIS_DATOS!$C$1567+(IF(IF(MOD(MIN(INT(($A32-1)/2)+1,MAX(1,INT(((((CROQUIS_DATOS!$C$1499+CROQUIS_DATOS!$C$1500))-(CROQUIS_DATOS!$C$1499))+((CROQUIS_DATOS!$C$1476)*CROQUIS_DATOS!$C$1561-(0)*CROQUIS_DATOS!$C$1561))/CROQUIS_DATOS!$C$1568-0.000001))),2)=1,IF(INT(($A32-1)/2)+1&gt;MAX(1,INT(((((CROQUIS_DATOS!$C$1499+CROQUIS_DATOS!$C$1500))-(CROQUIS_DATOS!$C$1499))+((CROQUIS_DATOS!$C$1476)*CROQUIS_DATOS!$C$1561-(0)*CROQUIS_DATOS!$C$1561))/CROQUIS_DATOS!$C$1568-0.000001)),1,MOD($A32-1,2)),1-IF(INT(($A32-1)/2)+1&gt;MAX(1,INT(((((CROQUIS_DATOS!$C$1499+CROQUIS_DATOS!$C$1500))-(CROQUIS_DATOS!$C$1499))+((CROQUIS_DATOS!$C$1476)*CROQUIS_DATOS!$C$1561-(0)*CROQUIS_DATOS!$C$1561))/CROQUIS_DATOS!$C$1568-0.000001)),1,MOD($A32-1,2)))=1,MIN((CROQUIS_DATOS!$C$1476)*CROQUIS_DATOS!$C$1561,((CROQUIS_DATOS!$C$1499+CROQUIS_DATOS!$C$1500)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32-1)/2)+1,MAX(1,INT(((((CROQUIS_DATOS!$C$1499+CROQUIS_DATOS!$C$1500))-(CROQUIS_DATOS!$C$1499))+((CROQUIS_DATOS!$C$1476)*CROQUIS_DATOS!$C$1561-(0)*CROQUIS_DATOS!$C$1561))/CROQUIS_DATOS!$C$1568-0.000001)))*CROQUIS_DATOS!$C$1568))))*CROQUIS_DATOS!$C$1565),-1000)</f>
        <v>18.0620689655172</v>
      </c>
      <c r="CB32">
        <f>IF(AND(CROQUIS_DATOS!$C$1472=1,CROQUIS_DATOS!$C$1504&gt;0,((CROQUIS_DATOS!$C$1503+CROQUIS_DATOS!$C$1504))-(CROQUIS_DATOS!$C$1503)&gt;0.5,(CROQUIS_DATOS!$C$1476)-(0)&gt;0.5),(CROQUIS_DATOS!$C$1566+(IF(IF(MOD(MIN(INT(($A32-1)/2)+1,MAX(1,INT(((((CROQUIS_DATOS!$C$1503+CROQUIS_DATOS!$C$1504))-(CROQUIS_DATOS!$C$1503))+((CROQUIS_DATOS!$C$1476)*CROQUIS_DATOS!$C$1561-(0)*CROQUIS_DATOS!$C$1561))/CROQUIS_DATOS!$C$1568-0.000001))),2)=1,IF(INT(($A32-1)/2)+1&gt;MAX(1,INT(((((CROQUIS_DATOS!$C$1503+CROQUIS_DATOS!$C$1504))-(CROQUIS_DATOS!$C$1503))+((CROQUIS_DATOS!$C$1476)*CROQUIS_DATOS!$C$1561-(0)*CROQUIS_DATOS!$C$1561))/CROQUIS_DATOS!$C$1568-0.000001)),1,MOD($A32-1,2)),1-IF(INT(($A32-1)/2)+1&gt;MAX(1,INT(((((CROQUIS_DATOS!$C$1503+CROQUIS_DATOS!$C$1504))-(CROQUIS_DATOS!$C$1503))+((CROQUIS_DATOS!$C$1476)*CROQUIS_DATOS!$C$1561-(0)*CROQUIS_DATOS!$C$1561))/CROQUIS_DATOS!$C$1568-0.000001)),1,MOD($A32-1,2)))=1,MIN((CROQUIS_DATOS!$C$1476)*CROQUIS_DATOS!$C$1561,((CROQUIS_DATOS!$C$1503+CROQUIS_DATOS!$C$1504)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32">
        <f>IF(AND(CROQUIS_DATOS!$C$1472=1,CROQUIS_DATOS!$C$1504&gt;0,((CROQUIS_DATOS!$C$1503+CROQUIS_DATOS!$C$1504))-(CROQUIS_DATOS!$C$1503)&gt;0.5,(CROQUIS_DATOS!$C$1476)-(0)&gt;0.5),(CROQUIS_DATOS!$C$1567+(IF(IF(MOD(MIN(INT(($A32-1)/2)+1,MAX(1,INT(((((CROQUIS_DATOS!$C$1503+CROQUIS_DATOS!$C$1504))-(CROQUIS_DATOS!$C$1503))+((CROQUIS_DATOS!$C$1476)*CROQUIS_DATOS!$C$1561-(0)*CROQUIS_DATOS!$C$1561))/CROQUIS_DATOS!$C$1568-0.000001))),2)=1,IF(INT(($A32-1)/2)+1&gt;MAX(1,INT(((((CROQUIS_DATOS!$C$1503+CROQUIS_DATOS!$C$1504))-(CROQUIS_DATOS!$C$1503))+((CROQUIS_DATOS!$C$1476)*CROQUIS_DATOS!$C$1561-(0)*CROQUIS_DATOS!$C$1561))/CROQUIS_DATOS!$C$1568-0.000001)),1,MOD($A32-1,2)),1-IF(INT(($A32-1)/2)+1&gt;MAX(1,INT(((((CROQUIS_DATOS!$C$1503+CROQUIS_DATOS!$C$1504))-(CROQUIS_DATOS!$C$1503))+((CROQUIS_DATOS!$C$1476)*CROQUIS_DATOS!$C$1561-(0)*CROQUIS_DATOS!$C$1561))/CROQUIS_DATOS!$C$1568-0.000001)),1,MOD($A32-1,2)))=1,MIN((CROQUIS_DATOS!$C$1476)*CROQUIS_DATOS!$C$1561,((CROQUIS_DATOS!$C$1503+CROQUIS_DATOS!$C$1504)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32-1)/2)+1,MAX(1,INT(((((CROQUIS_DATOS!$C$1503+CROQUIS_DATOS!$C$1504))-(CROQUIS_DATOS!$C$1503))+((CROQUIS_DATOS!$C$1476)*CROQUIS_DATOS!$C$1561-(0)*CROQUIS_DATOS!$C$1561))/CROQUIS_DATOS!$C$1568-0.000001)))*CROQUIS_DATOS!$C$1568))))*CROQUIS_DATOS!$C$1565),-1000)</f>
        <v>18.0620689655172</v>
      </c>
      <c r="CD32">
        <f>IF(AND(CROQUIS_DATOS!$C$1472=1,CROQUIS_DATOS!$C$1508&gt;0,((CROQUIS_DATOS!$C$1507+CROQUIS_DATOS!$C$1508))-(CROQUIS_DATOS!$C$1507)&gt;0.5,(CROQUIS_DATOS!$C$1476)-(0)&gt;0.5),(CROQUIS_DATOS!$C$1566+(IF(IF(MOD(MIN(INT(($A32-1)/2)+1,MAX(1,INT(((((CROQUIS_DATOS!$C$1507+CROQUIS_DATOS!$C$1508))-(CROQUIS_DATOS!$C$1507))+((CROQUIS_DATOS!$C$1476)*CROQUIS_DATOS!$C$1561-(0)*CROQUIS_DATOS!$C$1561))/CROQUIS_DATOS!$C$1568-0.000001))),2)=1,IF(INT(($A32-1)/2)+1&gt;MAX(1,INT(((((CROQUIS_DATOS!$C$1507+CROQUIS_DATOS!$C$1508))-(CROQUIS_DATOS!$C$1507))+((CROQUIS_DATOS!$C$1476)*CROQUIS_DATOS!$C$1561-(0)*CROQUIS_DATOS!$C$1561))/CROQUIS_DATOS!$C$1568-0.000001)),1,MOD($A32-1,2)),1-IF(INT(($A32-1)/2)+1&gt;MAX(1,INT(((((CROQUIS_DATOS!$C$1507+CROQUIS_DATOS!$C$1508))-(CROQUIS_DATOS!$C$1507))+((CROQUIS_DATOS!$C$1476)*CROQUIS_DATOS!$C$1561-(0)*CROQUIS_DATOS!$C$1561))/CROQUIS_DATOS!$C$1568-0.000001)),1,MOD($A32-1,2)))=1,MIN((CROQUIS_DATOS!$C$1476)*CROQUIS_DATOS!$C$1561,((CROQUIS_DATOS!$C$1507+CROQUIS_DATOS!$C$1508)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32">
        <f>IF(AND(CROQUIS_DATOS!$C$1472=1,CROQUIS_DATOS!$C$1508&gt;0,((CROQUIS_DATOS!$C$1507+CROQUIS_DATOS!$C$1508))-(CROQUIS_DATOS!$C$1507)&gt;0.5,(CROQUIS_DATOS!$C$1476)-(0)&gt;0.5),(CROQUIS_DATOS!$C$1567+(IF(IF(MOD(MIN(INT(($A32-1)/2)+1,MAX(1,INT(((((CROQUIS_DATOS!$C$1507+CROQUIS_DATOS!$C$1508))-(CROQUIS_DATOS!$C$1507))+((CROQUIS_DATOS!$C$1476)*CROQUIS_DATOS!$C$1561-(0)*CROQUIS_DATOS!$C$1561))/CROQUIS_DATOS!$C$1568-0.000001))),2)=1,IF(INT(($A32-1)/2)+1&gt;MAX(1,INT(((((CROQUIS_DATOS!$C$1507+CROQUIS_DATOS!$C$1508))-(CROQUIS_DATOS!$C$1507))+((CROQUIS_DATOS!$C$1476)*CROQUIS_DATOS!$C$1561-(0)*CROQUIS_DATOS!$C$1561))/CROQUIS_DATOS!$C$1568-0.000001)),1,MOD($A32-1,2)),1-IF(INT(($A32-1)/2)+1&gt;MAX(1,INT(((((CROQUIS_DATOS!$C$1507+CROQUIS_DATOS!$C$1508))-(CROQUIS_DATOS!$C$1507))+((CROQUIS_DATOS!$C$1476)*CROQUIS_DATOS!$C$1561-(0)*CROQUIS_DATOS!$C$1561))/CROQUIS_DATOS!$C$1568-0.000001)),1,MOD($A32-1,2)))=1,MIN((CROQUIS_DATOS!$C$1476)*CROQUIS_DATOS!$C$1561,((CROQUIS_DATOS!$C$1507+CROQUIS_DATOS!$C$1508)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32-1)/2)+1,MAX(1,INT(((((CROQUIS_DATOS!$C$1507+CROQUIS_DATOS!$C$1508))-(CROQUIS_DATOS!$C$1507))+((CROQUIS_DATOS!$C$1476)*CROQUIS_DATOS!$C$1561-(0)*CROQUIS_DATOS!$C$1561))/CROQUIS_DATOS!$C$1568-0.000001)))*CROQUIS_DATOS!$C$1568))))*CROQUIS_DATOS!$C$1565),-1000)</f>
        <v>18.0620689655172</v>
      </c>
      <c r="CF32">
        <f>IF(AND(CROQUIS_DATOS!$C$1472=1,CROQUIS_DATOS!$C$1512&gt;0,((CROQUIS_DATOS!$C$1511+CROQUIS_DATOS!$C$1512))-(CROQUIS_DATOS!$C$1511)&gt;0.5,(CROQUIS_DATOS!$C$1476)-(0)&gt;0.5),(CROQUIS_DATOS!$C$1566+(IF(IF(MOD(MIN(INT(($A32-1)/2)+1,MAX(1,INT(((((CROQUIS_DATOS!$C$1511+CROQUIS_DATOS!$C$1512))-(CROQUIS_DATOS!$C$1511))+((CROQUIS_DATOS!$C$1476)*CROQUIS_DATOS!$C$1561-(0)*CROQUIS_DATOS!$C$1561))/CROQUIS_DATOS!$C$1568-0.000001))),2)=1,IF(INT(($A32-1)/2)+1&gt;MAX(1,INT(((((CROQUIS_DATOS!$C$1511+CROQUIS_DATOS!$C$1512))-(CROQUIS_DATOS!$C$1511))+((CROQUIS_DATOS!$C$1476)*CROQUIS_DATOS!$C$1561-(0)*CROQUIS_DATOS!$C$1561))/CROQUIS_DATOS!$C$1568-0.000001)),1,MOD($A32-1,2)),1-IF(INT(($A32-1)/2)+1&gt;MAX(1,INT(((((CROQUIS_DATOS!$C$1511+CROQUIS_DATOS!$C$1512))-(CROQUIS_DATOS!$C$1511))+((CROQUIS_DATOS!$C$1476)*CROQUIS_DATOS!$C$1561-(0)*CROQUIS_DATOS!$C$1561))/CROQUIS_DATOS!$C$1568-0.000001)),1,MOD($A32-1,2)))=1,MIN((CROQUIS_DATOS!$C$1476)*CROQUIS_DATOS!$C$1561,((CROQUIS_DATOS!$C$1511+CROQUIS_DATOS!$C$1512)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2">
        <f>IF(AND(CROQUIS_DATOS!$C$1472=1,CROQUIS_DATOS!$C$1512&gt;0,((CROQUIS_DATOS!$C$1511+CROQUIS_DATOS!$C$1512))-(CROQUIS_DATOS!$C$1511)&gt;0.5,(CROQUIS_DATOS!$C$1476)-(0)&gt;0.5),(CROQUIS_DATOS!$C$1567+(IF(IF(MOD(MIN(INT(($A32-1)/2)+1,MAX(1,INT(((((CROQUIS_DATOS!$C$1511+CROQUIS_DATOS!$C$1512))-(CROQUIS_DATOS!$C$1511))+((CROQUIS_DATOS!$C$1476)*CROQUIS_DATOS!$C$1561-(0)*CROQUIS_DATOS!$C$1561))/CROQUIS_DATOS!$C$1568-0.000001))),2)=1,IF(INT(($A32-1)/2)+1&gt;MAX(1,INT(((((CROQUIS_DATOS!$C$1511+CROQUIS_DATOS!$C$1512))-(CROQUIS_DATOS!$C$1511))+((CROQUIS_DATOS!$C$1476)*CROQUIS_DATOS!$C$1561-(0)*CROQUIS_DATOS!$C$1561))/CROQUIS_DATOS!$C$1568-0.000001)),1,MOD($A32-1,2)),1-IF(INT(($A32-1)/2)+1&gt;MAX(1,INT(((((CROQUIS_DATOS!$C$1511+CROQUIS_DATOS!$C$1512))-(CROQUIS_DATOS!$C$1511))+((CROQUIS_DATOS!$C$1476)*CROQUIS_DATOS!$C$1561-(0)*CROQUIS_DATOS!$C$1561))/CROQUIS_DATOS!$C$1568-0.000001)),1,MOD($A32-1,2)))=1,MIN((CROQUIS_DATOS!$C$1476)*CROQUIS_DATOS!$C$1561,((CROQUIS_DATOS!$C$1511+CROQUIS_DATOS!$C$1512)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2">
        <f>IF(AND(CROQUIS_DATOS!$C$1472=1,CROQUIS_DATOS!$C$1516&gt;0,((CROQUIS_DATOS!$C$1515+CROQUIS_DATOS!$C$1516))-(CROQUIS_DATOS!$C$1515)&gt;0.5,(CROQUIS_DATOS!$C$1476)-(0)&gt;0.5),(CROQUIS_DATOS!$C$1566+(IF(IF(MOD(MIN(INT(($A32-1)/2)+1,MAX(1,INT(((((CROQUIS_DATOS!$C$1515+CROQUIS_DATOS!$C$1516))-(CROQUIS_DATOS!$C$1515))+((CROQUIS_DATOS!$C$1476)*CROQUIS_DATOS!$C$1561-(0)*CROQUIS_DATOS!$C$1561))/CROQUIS_DATOS!$C$1568-0.000001))),2)=1,IF(INT(($A32-1)/2)+1&gt;MAX(1,INT(((((CROQUIS_DATOS!$C$1515+CROQUIS_DATOS!$C$1516))-(CROQUIS_DATOS!$C$1515))+((CROQUIS_DATOS!$C$1476)*CROQUIS_DATOS!$C$1561-(0)*CROQUIS_DATOS!$C$1561))/CROQUIS_DATOS!$C$1568-0.000001)),1,MOD($A32-1,2)),1-IF(INT(($A32-1)/2)+1&gt;MAX(1,INT(((((CROQUIS_DATOS!$C$1515+CROQUIS_DATOS!$C$1516))-(CROQUIS_DATOS!$C$1515))+((CROQUIS_DATOS!$C$1476)*CROQUIS_DATOS!$C$1561-(0)*CROQUIS_DATOS!$C$1561))/CROQUIS_DATOS!$C$1568-0.000001)),1,MOD($A32-1,2)))=1,MIN((CROQUIS_DATOS!$C$1476)*CROQUIS_DATOS!$C$1561,((CROQUIS_DATOS!$C$1515+CROQUIS_DATOS!$C$1516)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2">
        <f>IF(AND(CROQUIS_DATOS!$C$1472=1,CROQUIS_DATOS!$C$1516&gt;0,((CROQUIS_DATOS!$C$1515+CROQUIS_DATOS!$C$1516))-(CROQUIS_DATOS!$C$1515)&gt;0.5,(CROQUIS_DATOS!$C$1476)-(0)&gt;0.5),(CROQUIS_DATOS!$C$1567+(IF(IF(MOD(MIN(INT(($A32-1)/2)+1,MAX(1,INT(((((CROQUIS_DATOS!$C$1515+CROQUIS_DATOS!$C$1516))-(CROQUIS_DATOS!$C$1515))+((CROQUIS_DATOS!$C$1476)*CROQUIS_DATOS!$C$1561-(0)*CROQUIS_DATOS!$C$1561))/CROQUIS_DATOS!$C$1568-0.000001))),2)=1,IF(INT(($A32-1)/2)+1&gt;MAX(1,INT(((((CROQUIS_DATOS!$C$1515+CROQUIS_DATOS!$C$1516))-(CROQUIS_DATOS!$C$1515))+((CROQUIS_DATOS!$C$1476)*CROQUIS_DATOS!$C$1561-(0)*CROQUIS_DATOS!$C$1561))/CROQUIS_DATOS!$C$1568-0.000001)),1,MOD($A32-1,2)),1-IF(INT(($A32-1)/2)+1&gt;MAX(1,INT(((((CROQUIS_DATOS!$C$1515+CROQUIS_DATOS!$C$1516))-(CROQUIS_DATOS!$C$1515))+((CROQUIS_DATOS!$C$1476)*CROQUIS_DATOS!$C$1561-(0)*CROQUIS_DATOS!$C$1561))/CROQUIS_DATOS!$C$1568-0.000001)),1,MOD($A32-1,2)))=1,MIN((CROQUIS_DATOS!$C$1476)*CROQUIS_DATOS!$C$1561,((CROQUIS_DATOS!$C$1515+CROQUIS_DATOS!$C$1516)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2">
        <f>IF(AND(CROQUIS_DATOS!$C$1472=1,CROQUIS_DATOS!$C$1478&gt;=1,((CROQUIS_DATOS!$C$1479+CROQUIS_DATOS!$C$1480))-(CROQUIS_DATOS!$C$1479)&gt;0.5,(CROQUIS_DATOS!$C$1481)-(0)&gt;0.5),(CROQUIS_DATOS!$C$1566+(IF(IF(MOD(MIN(INT(($A32-1)/2)+1,MAX(1,INT(((((CROQUIS_DATOS!$C$1479+CROQUIS_DATOS!$C$1480))-(CROQUIS_DATOS!$C$1479))+((CROQUIS_DATOS!$C$1481)*CROQUIS_DATOS!$C$1561-(0)*CROQUIS_DATOS!$C$1561))/CROQUIS_DATOS!$C$1568-0.000001))),2)=1,IF(INT(($A32-1)/2)+1&gt;MAX(1,INT(((((CROQUIS_DATOS!$C$1479+CROQUIS_DATOS!$C$1480))-(CROQUIS_DATOS!$C$1479))+((CROQUIS_DATOS!$C$1481)*CROQUIS_DATOS!$C$1561-(0)*CROQUIS_DATOS!$C$1561))/CROQUIS_DATOS!$C$1568-0.000001)),1,MOD($A32-1,2)),1-IF(INT(($A32-1)/2)+1&gt;MAX(1,INT(((((CROQUIS_DATOS!$C$1479+CROQUIS_DATOS!$C$1480))-(CROQUIS_DATOS!$C$1479))+((CROQUIS_DATOS!$C$1481)*CROQUIS_DATOS!$C$1561-(0)*CROQUIS_DATOS!$C$1561))/CROQUIS_DATOS!$C$1568-0.000001)),1,MOD($A32-1,2)))=1,MIN((CROQUIS_DATOS!$C$1481)*CROQUIS_DATOS!$C$1561,((CROQUIS_DATOS!$C$1479+CROQUIS_DATOS!$C$1480)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2">
        <f>IF(AND(CROQUIS_DATOS!$C$1472=1,CROQUIS_DATOS!$C$1478&gt;=1,((CROQUIS_DATOS!$C$1479+CROQUIS_DATOS!$C$1480))-(CROQUIS_DATOS!$C$1479)&gt;0.5,(CROQUIS_DATOS!$C$1481)-(0)&gt;0.5),(CROQUIS_DATOS!$C$1567+(IF(IF(MOD(MIN(INT(($A32-1)/2)+1,MAX(1,INT(((((CROQUIS_DATOS!$C$1479+CROQUIS_DATOS!$C$1480))-(CROQUIS_DATOS!$C$1479))+((CROQUIS_DATOS!$C$1481)*CROQUIS_DATOS!$C$1561-(0)*CROQUIS_DATOS!$C$1561))/CROQUIS_DATOS!$C$1568-0.000001))),2)=1,IF(INT(($A32-1)/2)+1&gt;MAX(1,INT(((((CROQUIS_DATOS!$C$1479+CROQUIS_DATOS!$C$1480))-(CROQUIS_DATOS!$C$1479))+((CROQUIS_DATOS!$C$1481)*CROQUIS_DATOS!$C$1561-(0)*CROQUIS_DATOS!$C$1561))/CROQUIS_DATOS!$C$1568-0.000001)),1,MOD($A32-1,2)),1-IF(INT(($A32-1)/2)+1&gt;MAX(1,INT(((((CROQUIS_DATOS!$C$1479+CROQUIS_DATOS!$C$1480))-(CROQUIS_DATOS!$C$1479))+((CROQUIS_DATOS!$C$1481)*CROQUIS_DATOS!$C$1561-(0)*CROQUIS_DATOS!$C$1561))/CROQUIS_DATOS!$C$1568-0.000001)),1,MOD($A32-1,2)))=1,MIN((CROQUIS_DATOS!$C$1481)*CROQUIS_DATOS!$C$1561,((CROQUIS_DATOS!$C$1479+CROQUIS_DATOS!$C$1480)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2">
        <f>IF(AND(CROQUIS_DATOS!$C$1472=1,CROQUIS_DATOS!$C$1478&gt;=1,((CROQUIS_DATOS!$C$1479+CROQUIS_DATOS!$C$1480))-(CROQUIS_DATOS!$C$1479)&gt;0.5,(CROQUIS_DATOS!$C$1476)-((CROQUIS_DATOS!$C$1481+CROQUIS_DATOS!$C$1482))&gt;0.5),(CROQUIS_DATOS!$C$1566+(IF(IF(MOD(MIN(INT(($A32-1)/2)+1,MAX(1,INT(((((CROQUIS_DATOS!$C$1479+CROQUIS_DATOS!$C$1480))-(CROQUIS_DATOS!$C$1479))+((CROQUIS_DATOS!$C$1476)*CROQUIS_DATOS!$C$1561-((CROQUIS_DATOS!$C$1481+CROQUIS_DATOS!$C$1482))*CROQUIS_DATOS!$C$1561))/CROQUIS_DATOS!$C$1568-0.000001))),2)=1,IF(INT(($A32-1)/2)+1&gt;MAX(1,INT(((((CROQUIS_DATOS!$C$1479+CROQUIS_DATOS!$C$1480))-(CROQUIS_DATOS!$C$1479))+((CROQUIS_DATOS!$C$1476)*CROQUIS_DATOS!$C$1561-((CROQUIS_DATOS!$C$1481+CROQUIS_DATOS!$C$1482))*CROQUIS_DATOS!$C$1561))/CROQUIS_DATOS!$C$1568-0.000001)),1,MOD($A32-1,2)),1-IF(INT(($A32-1)/2)+1&gt;MAX(1,INT(((((CROQUIS_DATOS!$C$1479+CROQUIS_DATOS!$C$1480))-(CROQUIS_DATOS!$C$1479))+((CROQUIS_DATOS!$C$1476)*CROQUIS_DATOS!$C$1561-((CROQUIS_DATOS!$C$1481+CROQUIS_DATOS!$C$1482))*CROQUIS_DATOS!$C$1561))/CROQUIS_DATOS!$C$1568-0.000001)),1,MOD($A32-1,2)))=1,MIN((CROQUIS_DATOS!$C$1476)*CROQUIS_DATOS!$C$1561,((CROQUIS_DATOS!$C$1479+CROQUIS_DATOS!$C$1480)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2">
        <f>IF(AND(CROQUIS_DATOS!$C$1472=1,CROQUIS_DATOS!$C$1478&gt;=1,((CROQUIS_DATOS!$C$1479+CROQUIS_DATOS!$C$1480))-(CROQUIS_DATOS!$C$1479)&gt;0.5,(CROQUIS_DATOS!$C$1476)-((CROQUIS_DATOS!$C$1481+CROQUIS_DATOS!$C$1482))&gt;0.5),(CROQUIS_DATOS!$C$1567+(IF(IF(MOD(MIN(INT(($A32-1)/2)+1,MAX(1,INT(((((CROQUIS_DATOS!$C$1479+CROQUIS_DATOS!$C$1480))-(CROQUIS_DATOS!$C$1479))+((CROQUIS_DATOS!$C$1476)*CROQUIS_DATOS!$C$1561-((CROQUIS_DATOS!$C$1481+CROQUIS_DATOS!$C$1482))*CROQUIS_DATOS!$C$1561))/CROQUIS_DATOS!$C$1568-0.000001))),2)=1,IF(INT(($A32-1)/2)+1&gt;MAX(1,INT(((((CROQUIS_DATOS!$C$1479+CROQUIS_DATOS!$C$1480))-(CROQUIS_DATOS!$C$1479))+((CROQUIS_DATOS!$C$1476)*CROQUIS_DATOS!$C$1561-((CROQUIS_DATOS!$C$1481+CROQUIS_DATOS!$C$1482))*CROQUIS_DATOS!$C$1561))/CROQUIS_DATOS!$C$1568-0.000001)),1,MOD($A32-1,2)),1-IF(INT(($A32-1)/2)+1&gt;MAX(1,INT(((((CROQUIS_DATOS!$C$1479+CROQUIS_DATOS!$C$1480))-(CROQUIS_DATOS!$C$1479))+((CROQUIS_DATOS!$C$1476)*CROQUIS_DATOS!$C$1561-((CROQUIS_DATOS!$C$1481+CROQUIS_DATOS!$C$1482))*CROQUIS_DATOS!$C$1561))/CROQUIS_DATOS!$C$1568-0.000001)),1,MOD($A32-1,2)))=1,MIN((CROQUIS_DATOS!$C$1476)*CROQUIS_DATOS!$C$1561,((CROQUIS_DATOS!$C$1479+CROQUIS_DATOS!$C$1480)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2">
        <f>IF(AND(CROQUIS_DATOS!$C$1472=1,CROQUIS_DATOS!$C$1478&gt;=2,((CROQUIS_DATOS!$C$1484+CROQUIS_DATOS!$C$1485))-(CROQUIS_DATOS!$C$1484)&gt;0.5,(CROQUIS_DATOS!$C$1486)-(0)&gt;0.5),(CROQUIS_DATOS!$C$1566+(IF(IF(MOD(MIN(INT(($A32-1)/2)+1,MAX(1,INT(((((CROQUIS_DATOS!$C$1484+CROQUIS_DATOS!$C$1485))-(CROQUIS_DATOS!$C$1484))+((CROQUIS_DATOS!$C$1486)*CROQUIS_DATOS!$C$1561-(0)*CROQUIS_DATOS!$C$1561))/CROQUIS_DATOS!$C$1568-0.000001))),2)=1,IF(INT(($A32-1)/2)+1&gt;MAX(1,INT(((((CROQUIS_DATOS!$C$1484+CROQUIS_DATOS!$C$1485))-(CROQUIS_DATOS!$C$1484))+((CROQUIS_DATOS!$C$1486)*CROQUIS_DATOS!$C$1561-(0)*CROQUIS_DATOS!$C$1561))/CROQUIS_DATOS!$C$1568-0.000001)),1,MOD($A32-1,2)),1-IF(INT(($A32-1)/2)+1&gt;MAX(1,INT(((((CROQUIS_DATOS!$C$1484+CROQUIS_DATOS!$C$1485))-(CROQUIS_DATOS!$C$1484))+((CROQUIS_DATOS!$C$1486)*CROQUIS_DATOS!$C$1561-(0)*CROQUIS_DATOS!$C$1561))/CROQUIS_DATOS!$C$1568-0.000001)),1,MOD($A32-1,2)))=1,MIN((CROQUIS_DATOS!$C$1486)*CROQUIS_DATOS!$C$1561,((CROQUIS_DATOS!$C$1484+CROQUIS_DATOS!$C$1485)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*CROQUIS_DATOS!$C$1565),-1000)</f>
        <v>60.0413793103448</v>
      </c>
      <c r="CS32">
        <f>IF(AND(CROQUIS_DATOS!$C$1472=1,CROQUIS_DATOS!$C$1478&gt;=2,((CROQUIS_DATOS!$C$1484+CROQUIS_DATOS!$C$1485))-(CROQUIS_DATOS!$C$1484)&gt;0.5,(CROQUIS_DATOS!$C$1486)-(0)&gt;0.5),(CROQUIS_DATOS!$C$1567+(IF(IF(MOD(MIN(INT(($A32-1)/2)+1,MAX(1,INT(((((CROQUIS_DATOS!$C$1484+CROQUIS_DATOS!$C$1485))-(CROQUIS_DATOS!$C$1484))+((CROQUIS_DATOS!$C$1486)*CROQUIS_DATOS!$C$1561-(0)*CROQUIS_DATOS!$C$1561))/CROQUIS_DATOS!$C$1568-0.000001))),2)=1,IF(INT(($A32-1)/2)+1&gt;MAX(1,INT(((((CROQUIS_DATOS!$C$1484+CROQUIS_DATOS!$C$1485))-(CROQUIS_DATOS!$C$1484))+((CROQUIS_DATOS!$C$1486)*CROQUIS_DATOS!$C$1561-(0)*CROQUIS_DATOS!$C$1561))/CROQUIS_DATOS!$C$1568-0.000001)),1,MOD($A32-1,2)),1-IF(INT(($A32-1)/2)+1&gt;MAX(1,INT(((((CROQUIS_DATOS!$C$1484+CROQUIS_DATOS!$C$1485))-(CROQUIS_DATOS!$C$1484))+((CROQUIS_DATOS!$C$1486)*CROQUIS_DATOS!$C$1561-(0)*CROQUIS_DATOS!$C$1561))/CROQUIS_DATOS!$C$1568-0.000001)),1,MOD($A32-1,2)))=1,MIN((CROQUIS_DATOS!$C$1486)*CROQUIS_DATOS!$C$1561,((CROQUIS_DATOS!$C$1484+CROQUIS_DATOS!$C$1485)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32">
        <f>IF(AND(CROQUIS_DATOS!$C$1472=1,CROQUIS_DATOS!$C$1478&gt;=2,((CROQUIS_DATOS!$C$1484+CROQUIS_DATOS!$C$1485))-(CROQUIS_DATOS!$C$1484)&gt;0.5,(CROQUIS_DATOS!$C$1476)-((CROQUIS_DATOS!$C$1486+CROQUIS_DATOS!$C$1487))&gt;0.5),(CROQUIS_DATOS!$C$1566+(IF(IF(MOD(MIN(INT(($A32-1)/2)+1,MAX(1,INT(((((CROQUIS_DATOS!$C$1484+CROQUIS_DATOS!$C$1485))-(CROQUIS_DATOS!$C$1484))+((CROQUIS_DATOS!$C$1476)*CROQUIS_DATOS!$C$1561-((CROQUIS_DATOS!$C$1486+CROQUIS_DATOS!$C$1487))*CROQUIS_DATOS!$C$1561))/CROQUIS_DATOS!$C$1568-0.000001))),2)=1,IF(INT(($A32-1)/2)+1&gt;MAX(1,INT(((((CROQUIS_DATOS!$C$1484+CROQUIS_DATOS!$C$1485))-(CROQUIS_DATOS!$C$1484))+((CROQUIS_DATOS!$C$1476)*CROQUIS_DATOS!$C$1561-((CROQUIS_DATOS!$C$1486+CROQUIS_DATOS!$C$1487))*CROQUIS_DATOS!$C$1561))/CROQUIS_DATOS!$C$1568-0.000001)),1,MOD($A32-1,2)),1-IF(INT(($A32-1)/2)+1&gt;MAX(1,INT(((((CROQUIS_DATOS!$C$1484+CROQUIS_DATOS!$C$1485))-(CROQUIS_DATOS!$C$1484))+((CROQUIS_DATOS!$C$1476)*CROQUIS_DATOS!$C$1561-((CROQUIS_DATOS!$C$1486+CROQUIS_DATOS!$C$1487))*CROQUIS_DATOS!$C$1561))/CROQUIS_DATOS!$C$1568-0.000001)),1,MOD($A32-1,2)))=1,MIN((CROQUIS_DATOS!$C$1476)*CROQUIS_DATOS!$C$1561,((CROQUIS_DATOS!$C$1484+CROQUIS_DATOS!$C$1485)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2">
        <f>IF(AND(CROQUIS_DATOS!$C$1472=1,CROQUIS_DATOS!$C$1478&gt;=2,((CROQUIS_DATOS!$C$1484+CROQUIS_DATOS!$C$1485))-(CROQUIS_DATOS!$C$1484)&gt;0.5,(CROQUIS_DATOS!$C$1476)-((CROQUIS_DATOS!$C$1486+CROQUIS_DATOS!$C$1487))&gt;0.5),(CROQUIS_DATOS!$C$1567+(IF(IF(MOD(MIN(INT(($A32-1)/2)+1,MAX(1,INT(((((CROQUIS_DATOS!$C$1484+CROQUIS_DATOS!$C$1485))-(CROQUIS_DATOS!$C$1484))+((CROQUIS_DATOS!$C$1476)*CROQUIS_DATOS!$C$1561-((CROQUIS_DATOS!$C$1486+CROQUIS_DATOS!$C$1487))*CROQUIS_DATOS!$C$1561))/CROQUIS_DATOS!$C$1568-0.000001))),2)=1,IF(INT(($A32-1)/2)+1&gt;MAX(1,INT(((((CROQUIS_DATOS!$C$1484+CROQUIS_DATOS!$C$1485))-(CROQUIS_DATOS!$C$1484))+((CROQUIS_DATOS!$C$1476)*CROQUIS_DATOS!$C$1561-((CROQUIS_DATOS!$C$1486+CROQUIS_DATOS!$C$1487))*CROQUIS_DATOS!$C$1561))/CROQUIS_DATOS!$C$1568-0.000001)),1,MOD($A32-1,2)),1-IF(INT(($A32-1)/2)+1&gt;MAX(1,INT(((((CROQUIS_DATOS!$C$1484+CROQUIS_DATOS!$C$1485))-(CROQUIS_DATOS!$C$1484))+((CROQUIS_DATOS!$C$1476)*CROQUIS_DATOS!$C$1561-((CROQUIS_DATOS!$C$1486+CROQUIS_DATOS!$C$1487))*CROQUIS_DATOS!$C$1561))/CROQUIS_DATOS!$C$1568-0.000001)),1,MOD($A32-1,2)))=1,MIN((CROQUIS_DATOS!$C$1476)*CROQUIS_DATOS!$C$1561,((CROQUIS_DATOS!$C$1484+CROQUIS_DATOS!$C$1485)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2">
        <f>IF(AND(CROQUIS_DATOS!$C$1472=1,CROQUIS_DATOS!$C$1478&gt;=3,((CROQUIS_DATOS!$C$1489+CROQUIS_DATOS!$C$1490))-(CROQUIS_DATOS!$C$1489)&gt;0.5,(CROQUIS_DATOS!$C$1491)-(0)&gt;0.5),(CROQUIS_DATOS!$C$1566+(IF(IF(MOD(MIN(INT(($A32-1)/2)+1,MAX(1,INT(((((CROQUIS_DATOS!$C$1489+CROQUIS_DATOS!$C$1490))-(CROQUIS_DATOS!$C$1489))+((CROQUIS_DATOS!$C$1491)*CROQUIS_DATOS!$C$1561-(0)*CROQUIS_DATOS!$C$1561))/CROQUIS_DATOS!$C$1568-0.000001))),2)=1,IF(INT(($A32-1)/2)+1&gt;MAX(1,INT(((((CROQUIS_DATOS!$C$1489+CROQUIS_DATOS!$C$1490))-(CROQUIS_DATOS!$C$1489))+((CROQUIS_DATOS!$C$1491)*CROQUIS_DATOS!$C$1561-(0)*CROQUIS_DATOS!$C$1561))/CROQUIS_DATOS!$C$1568-0.000001)),1,MOD($A32-1,2)),1-IF(INT(($A32-1)/2)+1&gt;MAX(1,INT(((((CROQUIS_DATOS!$C$1489+CROQUIS_DATOS!$C$1490))-(CROQUIS_DATOS!$C$1489))+((CROQUIS_DATOS!$C$1491)*CROQUIS_DATOS!$C$1561-(0)*CROQUIS_DATOS!$C$1561))/CROQUIS_DATOS!$C$1568-0.000001)),1,MOD($A32-1,2)))=1,MIN((CROQUIS_DATOS!$C$1491)*CROQUIS_DATOS!$C$1561,((CROQUIS_DATOS!$C$1489+CROQUIS_DATOS!$C$1490)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2">
        <f>IF(AND(CROQUIS_DATOS!$C$1472=1,CROQUIS_DATOS!$C$1478&gt;=3,((CROQUIS_DATOS!$C$1489+CROQUIS_DATOS!$C$1490))-(CROQUIS_DATOS!$C$1489)&gt;0.5,(CROQUIS_DATOS!$C$1491)-(0)&gt;0.5),(CROQUIS_DATOS!$C$1567+(IF(IF(MOD(MIN(INT(($A32-1)/2)+1,MAX(1,INT(((((CROQUIS_DATOS!$C$1489+CROQUIS_DATOS!$C$1490))-(CROQUIS_DATOS!$C$1489))+((CROQUIS_DATOS!$C$1491)*CROQUIS_DATOS!$C$1561-(0)*CROQUIS_DATOS!$C$1561))/CROQUIS_DATOS!$C$1568-0.000001))),2)=1,IF(INT(($A32-1)/2)+1&gt;MAX(1,INT(((((CROQUIS_DATOS!$C$1489+CROQUIS_DATOS!$C$1490))-(CROQUIS_DATOS!$C$1489))+((CROQUIS_DATOS!$C$1491)*CROQUIS_DATOS!$C$1561-(0)*CROQUIS_DATOS!$C$1561))/CROQUIS_DATOS!$C$1568-0.000001)),1,MOD($A32-1,2)),1-IF(INT(($A32-1)/2)+1&gt;MAX(1,INT(((((CROQUIS_DATOS!$C$1489+CROQUIS_DATOS!$C$1490))-(CROQUIS_DATOS!$C$1489))+((CROQUIS_DATOS!$C$1491)*CROQUIS_DATOS!$C$1561-(0)*CROQUIS_DATOS!$C$1561))/CROQUIS_DATOS!$C$1568-0.000001)),1,MOD($A32-1,2)))=1,MIN((CROQUIS_DATOS!$C$1491)*CROQUIS_DATOS!$C$1561,((CROQUIS_DATOS!$C$1489+CROQUIS_DATOS!$C$1490)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2">
        <f>IF(AND(CROQUIS_DATOS!$C$1472=1,CROQUIS_DATOS!$C$1478&gt;=3,((CROQUIS_DATOS!$C$1489+CROQUIS_DATOS!$C$1490))-(CROQUIS_DATOS!$C$1489)&gt;0.5,(CROQUIS_DATOS!$C$1476)-((CROQUIS_DATOS!$C$1491+CROQUIS_DATOS!$C$1492))&gt;0.5),(CROQUIS_DATOS!$C$1566+(IF(IF(MOD(MIN(INT(($A32-1)/2)+1,MAX(1,INT(((((CROQUIS_DATOS!$C$1489+CROQUIS_DATOS!$C$1490))-(CROQUIS_DATOS!$C$1489))+((CROQUIS_DATOS!$C$1476)*CROQUIS_DATOS!$C$1561-((CROQUIS_DATOS!$C$1491+CROQUIS_DATOS!$C$1492))*CROQUIS_DATOS!$C$1561))/CROQUIS_DATOS!$C$1568-0.000001))),2)=1,IF(INT(($A32-1)/2)+1&gt;MAX(1,INT(((((CROQUIS_DATOS!$C$1489+CROQUIS_DATOS!$C$1490))-(CROQUIS_DATOS!$C$1489))+((CROQUIS_DATOS!$C$1476)*CROQUIS_DATOS!$C$1561-((CROQUIS_DATOS!$C$1491+CROQUIS_DATOS!$C$1492))*CROQUIS_DATOS!$C$1561))/CROQUIS_DATOS!$C$1568-0.000001)),1,MOD($A32-1,2)),1-IF(INT(($A32-1)/2)+1&gt;MAX(1,INT(((((CROQUIS_DATOS!$C$1489+CROQUIS_DATOS!$C$1490))-(CROQUIS_DATOS!$C$1489))+((CROQUIS_DATOS!$C$1476)*CROQUIS_DATOS!$C$1561-((CROQUIS_DATOS!$C$1491+CROQUIS_DATOS!$C$1492))*CROQUIS_DATOS!$C$1561))/CROQUIS_DATOS!$C$1568-0.000001)),1,MOD($A32-1,2)))=1,MIN((CROQUIS_DATOS!$C$1476)*CROQUIS_DATOS!$C$1561,((CROQUIS_DATOS!$C$1489+CROQUIS_DATOS!$C$1490)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2">
        <f>IF(AND(CROQUIS_DATOS!$C$1472=1,CROQUIS_DATOS!$C$1478&gt;=3,((CROQUIS_DATOS!$C$1489+CROQUIS_DATOS!$C$1490))-(CROQUIS_DATOS!$C$1489)&gt;0.5,(CROQUIS_DATOS!$C$1476)-((CROQUIS_DATOS!$C$1491+CROQUIS_DATOS!$C$1492))&gt;0.5),(CROQUIS_DATOS!$C$1567+(IF(IF(MOD(MIN(INT(($A32-1)/2)+1,MAX(1,INT(((((CROQUIS_DATOS!$C$1489+CROQUIS_DATOS!$C$1490))-(CROQUIS_DATOS!$C$1489))+((CROQUIS_DATOS!$C$1476)*CROQUIS_DATOS!$C$1561-((CROQUIS_DATOS!$C$1491+CROQUIS_DATOS!$C$1492))*CROQUIS_DATOS!$C$1561))/CROQUIS_DATOS!$C$1568-0.000001))),2)=1,IF(INT(($A32-1)/2)+1&gt;MAX(1,INT(((((CROQUIS_DATOS!$C$1489+CROQUIS_DATOS!$C$1490))-(CROQUIS_DATOS!$C$1489))+((CROQUIS_DATOS!$C$1476)*CROQUIS_DATOS!$C$1561-((CROQUIS_DATOS!$C$1491+CROQUIS_DATOS!$C$1492))*CROQUIS_DATOS!$C$1561))/CROQUIS_DATOS!$C$1568-0.000001)),1,MOD($A32-1,2)),1-IF(INT(($A32-1)/2)+1&gt;MAX(1,INT(((((CROQUIS_DATOS!$C$1489+CROQUIS_DATOS!$C$1490))-(CROQUIS_DATOS!$C$1489))+((CROQUIS_DATOS!$C$1476)*CROQUIS_DATOS!$C$1561-((CROQUIS_DATOS!$C$1491+CROQUIS_DATOS!$C$1492))*CROQUIS_DATOS!$C$1561))/CROQUIS_DATOS!$C$1568-0.000001)),1,MOD($A32-1,2)))=1,MIN((CROQUIS_DATOS!$C$1476)*CROQUIS_DATOS!$C$1561,((CROQUIS_DATOS!$C$1489+CROQUIS_DATOS!$C$1490)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2">
        <f>IF(AND(CROQUIS_DATOS!$C$1472=1,CROQUIS_DATOS!$C$1478&gt;=4,((CROQUIS_DATOS!$C$1494+CROQUIS_DATOS!$C$1495))-(CROQUIS_DATOS!$C$1494)&gt;0.5,(CROQUIS_DATOS!$C$1496)-(0)&gt;0.5),(CROQUIS_DATOS!$C$1566+(IF(IF(MOD(MIN(INT(($A32-1)/2)+1,MAX(1,INT(((((CROQUIS_DATOS!$C$1494+CROQUIS_DATOS!$C$1495))-(CROQUIS_DATOS!$C$1494))+((CROQUIS_DATOS!$C$1496)*CROQUIS_DATOS!$C$1561-(0)*CROQUIS_DATOS!$C$1561))/CROQUIS_DATOS!$C$1568-0.000001))),2)=1,IF(INT(($A32-1)/2)+1&gt;MAX(1,INT(((((CROQUIS_DATOS!$C$1494+CROQUIS_DATOS!$C$1495))-(CROQUIS_DATOS!$C$1494))+((CROQUIS_DATOS!$C$1496)*CROQUIS_DATOS!$C$1561-(0)*CROQUIS_DATOS!$C$1561))/CROQUIS_DATOS!$C$1568-0.000001)),1,MOD($A32-1,2)),1-IF(INT(($A32-1)/2)+1&gt;MAX(1,INT(((((CROQUIS_DATOS!$C$1494+CROQUIS_DATOS!$C$1495))-(CROQUIS_DATOS!$C$1494))+((CROQUIS_DATOS!$C$1496)*CROQUIS_DATOS!$C$1561-(0)*CROQUIS_DATOS!$C$1561))/CROQUIS_DATOS!$C$1568-0.000001)),1,MOD($A32-1,2)))=1,MIN((CROQUIS_DATOS!$C$1496)*CROQUIS_DATOS!$C$1561,((CROQUIS_DATOS!$C$1494+CROQUIS_DATOS!$C$1495)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2">
        <f>IF(AND(CROQUIS_DATOS!$C$1472=1,CROQUIS_DATOS!$C$1478&gt;=4,((CROQUIS_DATOS!$C$1494+CROQUIS_DATOS!$C$1495))-(CROQUIS_DATOS!$C$1494)&gt;0.5,(CROQUIS_DATOS!$C$1496)-(0)&gt;0.5),(CROQUIS_DATOS!$C$1567+(IF(IF(MOD(MIN(INT(($A32-1)/2)+1,MAX(1,INT(((((CROQUIS_DATOS!$C$1494+CROQUIS_DATOS!$C$1495))-(CROQUIS_DATOS!$C$1494))+((CROQUIS_DATOS!$C$1496)*CROQUIS_DATOS!$C$1561-(0)*CROQUIS_DATOS!$C$1561))/CROQUIS_DATOS!$C$1568-0.000001))),2)=1,IF(INT(($A32-1)/2)+1&gt;MAX(1,INT(((((CROQUIS_DATOS!$C$1494+CROQUIS_DATOS!$C$1495))-(CROQUIS_DATOS!$C$1494))+((CROQUIS_DATOS!$C$1496)*CROQUIS_DATOS!$C$1561-(0)*CROQUIS_DATOS!$C$1561))/CROQUIS_DATOS!$C$1568-0.000001)),1,MOD($A32-1,2)),1-IF(INT(($A32-1)/2)+1&gt;MAX(1,INT(((((CROQUIS_DATOS!$C$1494+CROQUIS_DATOS!$C$1495))-(CROQUIS_DATOS!$C$1494))+((CROQUIS_DATOS!$C$1496)*CROQUIS_DATOS!$C$1561-(0)*CROQUIS_DATOS!$C$1561))/CROQUIS_DATOS!$C$1568-0.000001)),1,MOD($A32-1,2)))=1,MIN((CROQUIS_DATOS!$C$1496)*CROQUIS_DATOS!$C$1561,((CROQUIS_DATOS!$C$1494+CROQUIS_DATOS!$C$1495)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2">
        <f>IF(AND(CROQUIS_DATOS!$C$1472=1,CROQUIS_DATOS!$C$1478&gt;=4,((CROQUIS_DATOS!$C$1494+CROQUIS_DATOS!$C$1495))-(CROQUIS_DATOS!$C$1494)&gt;0.5,(CROQUIS_DATOS!$C$1476)-((CROQUIS_DATOS!$C$1496+CROQUIS_DATOS!$C$1497))&gt;0.5),(CROQUIS_DATOS!$C$1566+(IF(IF(MOD(MIN(INT(($A32-1)/2)+1,MAX(1,INT(((((CROQUIS_DATOS!$C$1494+CROQUIS_DATOS!$C$1495))-(CROQUIS_DATOS!$C$1494))+((CROQUIS_DATOS!$C$1476)*CROQUIS_DATOS!$C$1561-((CROQUIS_DATOS!$C$1496+CROQUIS_DATOS!$C$1497))*CROQUIS_DATOS!$C$1561))/CROQUIS_DATOS!$C$1568-0.000001))),2)=1,IF(INT(($A32-1)/2)+1&gt;MAX(1,INT(((((CROQUIS_DATOS!$C$1494+CROQUIS_DATOS!$C$1495))-(CROQUIS_DATOS!$C$1494))+((CROQUIS_DATOS!$C$1476)*CROQUIS_DATOS!$C$1561-((CROQUIS_DATOS!$C$1496+CROQUIS_DATOS!$C$1497))*CROQUIS_DATOS!$C$1561))/CROQUIS_DATOS!$C$1568-0.000001)),1,MOD($A32-1,2)),1-IF(INT(($A32-1)/2)+1&gt;MAX(1,INT(((((CROQUIS_DATOS!$C$1494+CROQUIS_DATOS!$C$1495))-(CROQUIS_DATOS!$C$1494))+((CROQUIS_DATOS!$C$1476)*CROQUIS_DATOS!$C$1561-((CROQUIS_DATOS!$C$1496+CROQUIS_DATOS!$C$1497))*CROQUIS_DATOS!$C$1561))/CROQUIS_DATOS!$C$1568-0.000001)),1,MOD($A32-1,2)))=1,MIN((CROQUIS_DATOS!$C$1476)*CROQUIS_DATOS!$C$1561,((CROQUIS_DATOS!$C$1494+CROQUIS_DATOS!$C$1495)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2">
        <f>IF(AND(CROQUIS_DATOS!$C$1472=1,CROQUIS_DATOS!$C$1478&gt;=4,((CROQUIS_DATOS!$C$1494+CROQUIS_DATOS!$C$1495))-(CROQUIS_DATOS!$C$1494)&gt;0.5,(CROQUIS_DATOS!$C$1476)-((CROQUIS_DATOS!$C$1496+CROQUIS_DATOS!$C$1497))&gt;0.5),(CROQUIS_DATOS!$C$1567+(IF(IF(MOD(MIN(INT(($A32-1)/2)+1,MAX(1,INT(((((CROQUIS_DATOS!$C$1494+CROQUIS_DATOS!$C$1495))-(CROQUIS_DATOS!$C$1494))+((CROQUIS_DATOS!$C$1476)*CROQUIS_DATOS!$C$1561-((CROQUIS_DATOS!$C$1496+CROQUIS_DATOS!$C$1497))*CROQUIS_DATOS!$C$1561))/CROQUIS_DATOS!$C$1568-0.000001))),2)=1,IF(INT(($A32-1)/2)+1&gt;MAX(1,INT(((((CROQUIS_DATOS!$C$1494+CROQUIS_DATOS!$C$1495))-(CROQUIS_DATOS!$C$1494))+((CROQUIS_DATOS!$C$1476)*CROQUIS_DATOS!$C$1561-((CROQUIS_DATOS!$C$1496+CROQUIS_DATOS!$C$1497))*CROQUIS_DATOS!$C$1561))/CROQUIS_DATOS!$C$1568-0.000001)),1,MOD($A32-1,2)),1-IF(INT(($A32-1)/2)+1&gt;MAX(1,INT(((((CROQUIS_DATOS!$C$1494+CROQUIS_DATOS!$C$1495))-(CROQUIS_DATOS!$C$1494))+((CROQUIS_DATOS!$C$1476)*CROQUIS_DATOS!$C$1561-((CROQUIS_DATOS!$C$1496+CROQUIS_DATOS!$C$1497))*CROQUIS_DATOS!$C$1561))/CROQUIS_DATOS!$C$1568-0.000001)),1,MOD($A32-1,2)))=1,MIN((CROQUIS_DATOS!$C$1476)*CROQUIS_DATOS!$C$1561,((CROQUIS_DATOS!$C$1494+CROQUIS_DATOS!$C$1495)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2">
        <f>IF(AND(CROQUIS_DATOS!$C$1472=1,1),(CROQUIS_DATOS!$C$1571+(CHOOSE(MIN(MAX(IF(INT(($A32-1)/5)+1&gt;CROQUIS_DATOS!$C$1525,5,MOD($A32-1,5)+1),1),5),(INDEX($E$8:$E$23,MIN(INT(($A32-1)/5)+1,CROQUIS_DATOS!$C$1525))-INDEX($F$8:$F$23,MIN(INT(($A32-1)/5)+1,CROQUIS_DATOS!$C$1525))/2),(INDEX($E$8:$E$23,MIN(INT(($A32-1)/5)+1,CROQUIS_DATOS!$C$1525))+INDEX($F$8:$F$23,MIN(INT(($A32-1)/5)+1,CROQUIS_DATOS!$C$1525))/2),(INDEX($E$8:$E$23,MIN(INT(($A32-1)/5)+1,CROQUIS_DATOS!$C$1525))+INDEX($F$8:$F$23,MIN(INT(($A32-1)/5)+1,CROQUIS_DATOS!$C$1525))/2),(INDEX($E$8:$E$23,MIN(INT(($A32-1)/5)+1,CROQUIS_DATOS!$C$1525))-INDEX($F$8:$F$23,MIN(INT(($A32-1)/5)+1,CROQUIS_DATOS!$C$1525))/2),(INDEX($E$8:$E$23,MIN(INT(($A32-1)/5)+1,CROQUIS_DATOS!$C$1525))-INDEX($F$8:$F$23,MIN(INT(($A32-1)/5)+1,CROQUIS_DATOS!$C$1525))/2)))*CROQUIS_DATOS!$C$1569),-1000)</f>
        <v>75.92</v>
      </c>
      <c r="GE32">
        <f>IF(AND(CROQUIS_DATOS!$C$1472=1,1),(CROQUIS_DATOS!$C$1572+(CHOOSE(MIN(MAX(IF(INT(($A32-1)/5)+1&gt;CROQUIS_DATOS!$C$1525,5,MOD($A32-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2">
        <f>IF(AND(CROQUIS_DATOS!$C$1472=1,1),IF(INT(($A32-1)/4)+1&lt;=CROQUIS_DATOS!$C$1525,(CROQUIS_DATOS!$C$1571+((INDEX($E$8:$E$23,MIN(INT(($A32-1)/4)+1,16))+IF(OR(MOD($A32-1,4)=0,MOD($A32-1,4)=3),-1,1)*(INDEX($F$8:$F$23,MIN(INT(($A32-1)/4)+1,16))/2-(CROQUIS_DATOS!$C$1530+CROQUIS_DATOS!$C$1532+IF(OR(INT(($A32-1)/4)+1=1,INT(($A32-1)/4)+1=CROQUIS_DATOS!$C$1525),CROQUIS_DATOS!$C$1534,CROQUIS_DATOS!$C$1531)/2))))*CROQUIS_DATOS!$C$1569),-1000),-1000)</f>
        <v>-1000</v>
      </c>
      <c r="GG32">
        <f>IF(AND(CROQUIS_DATOS!$C$1472=1,1),IF(INT(($A32-1)/4)+1&lt;=CROQUIS_DATOS!$C$1525,(CROQUIS_DATOS!$C$1572+((CROQUIS_DATOS!$C$1477/2+IF(MOD($A32-1,4)&lt;2,-1,1)*(CROQUIS_DATOS!$C$1527/2-(CROQUIS_DATOS!$C$1530+CROQUIS_DATOS!$C$1532+IF(OR(INT(($A32-1)/4)+1=1,INT(($A32-1)/4)+1=CROQUIS_DATOS!$C$1525),CROQUIS_DATOS!$C$1534,CROQUIS_DATOS!$C$1531)/2))))*CROQUIS_DATOS!$C$1569*CROQUIS_DATOS!$C$1570),-1000),-1000)</f>
        <v>-1000</v>
      </c>
    </row>
    <row r="33">
      <c r="A33" t="n">
        <v>26</v>
      </c>
      <c r="H33">
        <f>IF(26&lt;=CROQUIS_DATOS!$C$1539,26*CROQUIS_DATOS!$C$1536,IF(26&lt;=CROQUIS_DATOS!$C$1539+CROQUIS_DATOS!$C$1540,CROQUIS_DATOS!$C$1539*CROQUIS_DATOS!$C$1536+(26-CROQUIS_DATOS!$C$1539)*(CROQUIS_DATOS!$C$1476-2*CROQUIS_DATOS!$C$1539*CROQUIS_DATOS!$C$1536)/(CROQUIS_DATOS!$C$1540+1),CROQUIS_DATOS!$C$1476-(2*CROQUIS_DATOS!$C$1539+CROQUIS_DATOS!$C$1540+1-26)*CROQUIS_DATOS!$C$1536))</f>
        <v>302.5</v>
      </c>
      <c r="J33">
        <f>IF(AND(CROQUIS_DATOS!$C$1472=1,1),(CROQUIS_DATOS!$C$1563+(CHOOSE(MIN(MAX(IF(INT(($A33-1)/4)+1&gt;CROQUIS_DATOS!$C$1525,4,MOD($A33-1,4)+1),1),4),(INDEX($E$8:$E$23,MIN(INT(($A33-1)/4)+1,CROQUIS_DATOS!$C$1525))-INDEX($F$8:$F$23,MIN(INT(($A33-1)/4)+1,CROQUIS_DATOS!$C$1525))/2),(INDEX($E$8:$E$23,MIN(INT(($A33-1)/4)+1,CROQUIS_DATOS!$C$1525))-INDEX($F$8:$F$23,MIN(INT(($A33-1)/4)+1,CROQUIS_DATOS!$C$1525))/2),(INDEX($E$8:$E$23,MIN(INT(($A33-1)/4)+1,CROQUIS_DATOS!$C$1525))+INDEX($F$8:$F$23,MIN(INT(($A33-1)/4)+1,CROQUIS_DATOS!$C$1525))/2),(INDEX($E$8:$E$23,MIN(INT(($A33-1)/4)+1,CROQUIS_DATOS!$C$1525))+INDEX($F$8:$F$23,MIN(INT(($A33-1)/4)+1,CROQUIS_DATOS!$C$1525))/2)))*CROQUIS_DATOS!$C$1562),-1000)</f>
        <v>84.9137931034483</v>
      </c>
      <c r="K33">
        <f>IF(AND(CROQUIS_DATOS!$C$1472=1,1),(CROQUIS_DATOS!$C$1564+(CHOOSE(MIN(MAX(IF(INT(($A33-1)/4)+1&gt;CROQUIS_DATOS!$C$1525,4,MOD($A33-1,4)+1),1),4),0,CROQUIS_DATOS!$C$1476,CROQUIS_DATOS!$C$1476,0))*CROQUIS_DATOS!$C$1561*CROQUIS_DATOS!$C$1562),-1000)</f>
        <v>5.29310344827586</v>
      </c>
      <c r="L33">
        <f>IF(AND(CROQUIS_DATOS!$C$1472=1,1),(CROQUIS_DATOS!$C$1563+(CHOOSE(MIN(MAX(IF(INT(($A33-1)/4)+1&gt;CROQUIS_DATOS!$C$1525,4,MOD($A33-1,4)+1),1),4),((INDEX($E$8:$E$23,MIN(INT(($A33-1)/4)+1,CROQUIS_DATOS!$C$1525))-INDEX($F$8:$F$23,MIN(INT(($A33-1)/4)+1,CROQUIS_DATOS!$C$1525))/2)+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,((INDEX($E$8:$E$23,MIN(INT(($A33-1)/4)+1,CROQUIS_DATOS!$C$1525))-INDEX($F$8:$F$23,MIN(INT(($A33-1)/4)+1,CROQUIS_DATOS!$C$1525))/2)+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,((INDEX($E$8:$E$23,MIN(INT(($A33-1)/4)+1,CROQUIS_DATOS!$C$1525))+INDEX($F$8:$F$23,MIN(INT(($A33-1)/4)+1,CROQUIS_DATOS!$C$1525))/2)-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,((INDEX($E$8:$E$23,MIN(INT(($A33-1)/4)+1,CROQUIS_DATOS!$C$1525))+INDEX($F$8:$F$23,MIN(INT(($A33-1)/4)+1,CROQUIS_DATOS!$C$1525))/2)-MIN((CROQUIS_DATOS!$C$1530+CROQUIS_DATOS!$C$1532+IF(OR(MIN(INT(($A33-1)/4)+1,CROQUIS_DATOS!$C$1525)=1,MIN(INT(($A33-1)/4)+1,CROQUIS_DATOS!$C$1525)=CROQUIS_DATOS!$C$1525),CROQUIS_DATOS!$C$1534,CROQUIS_DATOS!$C$1531)/2),INDEX($F$8:$F$23,MIN(INT(($A33-1)/4)+1,CROQUIS_DATOS!$C$1525))/2-0.5))))*CROQUIS_DATOS!$C$1562),-1000)</f>
        <v>84.4792560344828</v>
      </c>
      <c r="M33">
        <f>IF(AND(CROQUIS_DATOS!$C$1472=1,1),(CROQUIS_DATOS!$C$1564+(CHOOSE(MIN(MAX(IF(INT(($A33-1)/4)+1&gt;CROQUIS_DATOS!$C$1525,4,MOD($A33-1,4)+1),1),4),CROQUIS_DATOS!$C$1543,INDEX($I$8:$I$23,MIN(INT(($A33-1)/4)+1,CROQUIS_DATOS!$C$1525)),INDEX($I$8:$I$23,MIN(INT(($A33-1)/4)+1,CROQUIS_DATOS!$C$1525)),CROQUIS_DATOS!$C$1543))*CROQUIS_DATOS!$C$1561*CROQUIS_DATOS!$C$1562),-1000)</f>
        <v>42.5654629310345</v>
      </c>
      <c r="N33">
        <f>IF(AND(CROQUIS_DATOS!$C$1472=1,1),(CROQUIS_DATOS!$C$1563+(IF(IF(IF(INT(($A33-1)/70)+1&gt;CROQUIS_DATOS!$C$1525,70,MOD($A33-1,70)+1)=1,0,IF(IF(INT(($A33-1)/70)+1&gt;CROQUIS_DATOS!$C$1525,70,MOD($A33-1,70)+1)&gt;2*CROQUIS_DATOS!$C$1541+1,IF(MOD(CROQUIS_DATOS!$C$1541,2)=1,1,0),IF(MOD(MIN(INT((IF(INT(($A33-1)/70)+1&gt;CROQUIS_DATOS!$C$1525,70,MOD($A33-1,70)+1)-2)/2)+1,CROQUIS_DATOS!$C$1541),2)=1,IF(MOD(IF(INT(($A33-1)/70)+1&gt;CROQUIS_DATOS!$C$1525,70,MOD($A33-1,70)+1)-2,2)=0,0,1),IF(MOD(IF(INT(($A33-1)/70)+1&gt;CROQUIS_DATOS!$C$1525,70,MOD($A33-1,70)+1)-2,2)=0,1,0))))=0,(INDEX($E$8:$E$23,MIN(INT(($A33-1)/70)+1,CROQUIS_DATOS!$C$1525))-INDEX($F$8:$F$23,MIN(INT(($A33-1)/70)+1,CROQUIS_DATOS!$C$1525))/2),(INDEX($E$8:$E$23,MIN(INT(($A33-1)/70)+1,CROQUIS_DATOS!$C$1525))+INDEX($F$8:$F$23,MIN(INT(($A33-1)/70)+1,CROQUIS_DATOS!$C$1525))/2)))*CROQUIS_DATOS!$C$1562),-1000)</f>
        <v>15.0862068965517</v>
      </c>
      <c r="O33">
        <f>IF(AND(CROQUIS_DATOS!$C$1472=1,1),(CROQUIS_DATOS!$C$1564+(IF(OR(IF(INT(($A33-1)/70)+1&gt;CROQUIS_DATOS!$C$1525,70,MOD($A33-1,70)+1)=1,IF(INT(($A33-1)/70)+1&gt;CROQUIS_DATOS!$C$1525,70,MOD($A33-1,70)+1)&gt;2*CROQUIS_DATOS!$C$1541+1),CROQUIS_DATOS!$C$1476,INDEX($H$8:$H$41,MIN(INT((IF(INT(($A33-1)/70)+1&gt;CROQUIS_DATOS!$C$1525,70,MOD($A33-1,70)+1)-2)/2)+1,CROQUIS_DATOS!$C$1541))))*CROQUIS_DATOS!$C$1561*CROQUIS_DATOS!$C$1562),-1000)</f>
        <v>32.2543103448276</v>
      </c>
      <c r="P33">
        <f>IF(AND(CROQUIS_DATOS!$C$1472=1,CROQUIS_DATOS!$C$1555=1),(CROQUIS_DATOS!$C$1563+(IF(IF(OR(MOD($A33-1,62)+1=1,IF(CHOOSE(MIN(MAX(MIN(INT(($A33-1)/62)+1,5),1),5),CROQUIS_DATOS!$C$1501,CROQUIS_DATOS!$C$1505,CROQUIS_DATOS!$C$1509,CROQUIS_DATOS!$C$1513,CROQUIS_DATOS!$C$1517)=1,CROQUIS_DATOS!$C$1557,0)=0),0,IF(MOD($A33-1,62)+1&gt;2*IF(CHOOSE(MIN(MAX(MIN(INT(($A33-1)/62)+1,5),1),5),CROQUIS_DATOS!$C$1501,CROQUIS_DATOS!$C$1505,CROQUIS_DATOS!$C$1509,CROQUIS_DATOS!$C$1513,CROQUIS_DATOS!$C$1517)=1,CROQUIS_DATOS!$C$1557,0)+1,IF(MOD(IF(CHOOSE(MIN(MAX(MIN(INT(($A33-1)/62)+1,5),1),5),CROQUIS_DATOS!$C$1501,CROQUIS_DATOS!$C$1505,CROQUIS_DATOS!$C$1509,CROQUIS_DATOS!$C$1513,CROQUIS_DATOS!$C$1517)=1,CROQUIS_DATOS!$C$1557,0),2)=1,1,0),IF(MOD(MIN(INT((MOD($A33-1,62)+1-2)/2)+1,MAX(IF(CHOOSE(MIN(MAX(MIN(INT(($A33-1)/62)+1,5),1),5),CROQUIS_DATOS!$C$1501,CROQUIS_DATOS!$C$1505,CROQUIS_DATOS!$C$1509,CROQUIS_DATOS!$C$1513,CROQUIS_DATOS!$C$1517)=1,CROQUIS_DATOS!$C$1557,0),1)),2)=1,IF(MOD(MOD($A33-1,62)+1-2,2)=0,0,1),IF(MOD(MOD($A33-1,62)+1-2,2)=0,1,0))))=0,(CHOOSE(MIN(MAX(MIN(INT(($A33-1)/62)+1,5),1),5),CROQUIS_DATOS!$C$1499,CROQUIS_DATOS!$C$1503,CROQUIS_DATOS!$C$1507,CROQUIS_DATOS!$C$1511,CROQUIS_DATOS!$C$1515)+IF(CHOOSE(MIN(MAX(MIN(INT(($A33-1)/62)+1,5),1),5),CROQUIS_DATOS!$C$1501,CROQUIS_DATOS!$C$1505,CROQUIS_DATOS!$C$1509,CROQUIS_DATOS!$C$1513,CROQUIS_DATOS!$C$1517)=1,CROQUIS_DATOS!$C$1526,0)),(CHOOSE(MIN(MAX(MIN(INT(($A33-1)/62)+1,5),1),5),CROQUIS_DATOS!$C$1499,CROQUIS_DATOS!$C$1503,CROQUIS_DATOS!$C$1507,CROQUIS_DATOS!$C$1511,CROQUIS_DATOS!$C$1515)+CHOOSE(MIN(MAX(MIN(INT(($A33-1)/62)+1,5),1),5),CROQUIS_DATOS!$C$1500,CROQUIS_DATOS!$C$1504,CROQUIS_DATOS!$C$1508,CROQUIS_DATOS!$C$1512,CROQUIS_DATOS!$C$1516)-IF(CHOOSE(MIN(MAX(MIN(INT(($A33-1)/62)+1,5),1),5),CROQUIS_DATOS!$C$1501,CROQUIS_DATOS!$C$1505,CROQUIS_DATOS!$C$1509,CROQUIS_DATOS!$C$1513,CROQUIS_DATOS!$C$1517)=1,CROQUIS_DATOS!$C$1526,0))))*CROQUIS_DATOS!$C$1562),-1000)</f>
        <v>-1000</v>
      </c>
      <c r="Q33">
        <f>IF(AND(CROQUIS_DATOS!$C$1472=1,CROQUIS_DATOS!$C$1555=1),(CROQUIS_DATOS!$C$1564+(IF(OR(OR(MOD($A33-1,62)+1=1,IF(CHOOSE(MIN(MAX(MIN(INT(($A33-1)/62)+1,5),1),5),CROQUIS_DATOS!$C$1501,CROQUIS_DATOS!$C$1505,CROQUIS_DATOS!$C$1509,CROQUIS_DATOS!$C$1513,CROQUIS_DATOS!$C$1517)=1,CROQUIS_DATOS!$C$1557,0)=0),MOD($A33-1,62)+1&gt;2*IF(CHOOSE(MIN(MAX(MIN(INT(($A33-1)/62)+1,5),1),5),CROQUIS_DATOS!$C$1501,CROQUIS_DATOS!$C$1505,CROQUIS_DATOS!$C$1509,CROQUIS_DATOS!$C$1513,CROQUIS_DATOS!$C$1517)=1,CROQUIS_DATOS!$C$1557,0)+1),CROQUIS_DATOS!$C$1476,MIN(INT((MOD($A33-1,62)+1-2)/2)+1,MAX(IF(CHOOSE(MIN(MAX(MIN(INT(($A33-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3">
        <f>IF(AND(CROQUIS_DATOS!$C$1472=1,1),(CROQUIS_DATOS!$C$1563+(MIN(INT(($A33-1)/2)+1,CROQUIS_DATOS!$C$1558)*CROQUIS_DATOS!$C$1559)*CROQUIS_DATOS!$C$1562),-1000)</f>
        <v>50</v>
      </c>
      <c r="U33">
        <f>IF(AND(CROQUIS_DATOS!$C$1472=1,1),(CROQUIS_DATOS!$C$1564+(IF(INT(($A33-1)/2)+1&gt;CROQUIS_DATOS!$C$1558,IF(MOD(CROQUIS_DATOS!$C$1558,2)=1,CROQUIS_DATOS!$C$1476+CROQUIS_DATOS!$C$1528,CROQUIS_DATOS!$C$1476),IF(IF(MOD(MIN(INT(($A33-1)/2)+1,CROQUIS_DATOS!$C$1558),2)=1,MOD($A33-1,2),1-MOD($A33-1,2))=1,CROQUIS_DATOS!$C$1476+CROQUIS_DATOS!$C$1528,CROQUIS_DATOS!$C$1476)))*CROQUIS_DATOS!$C$1561*CROQUIS_DATOS!$C$1562),-1000)</f>
        <v>43</v>
      </c>
      <c r="BZ33">
        <f>IF(AND(CROQUIS_DATOS!$C$1472=1,CROQUIS_DATOS!$C$1500&gt;0,((CROQUIS_DATOS!$C$1499+CROQUIS_DATOS!$C$1500))-(CROQUIS_DATOS!$C$1499)&gt;0.5,(CROQUIS_DATOS!$C$1476)-(0)&gt;0.5),(CROQUIS_DATOS!$C$1566+(IF(IF(MOD(MIN(INT(($A33-1)/2)+1,MAX(1,INT(((((CROQUIS_DATOS!$C$1499+CROQUIS_DATOS!$C$1500))-(CROQUIS_DATOS!$C$1499))+((CROQUIS_DATOS!$C$1476)*CROQUIS_DATOS!$C$1561-(0)*CROQUIS_DATOS!$C$1561))/CROQUIS_DATOS!$C$1568-0.000001))),2)=1,IF(INT(($A33-1)/2)+1&gt;MAX(1,INT(((((CROQUIS_DATOS!$C$1499+CROQUIS_DATOS!$C$1500))-(CROQUIS_DATOS!$C$1499))+((CROQUIS_DATOS!$C$1476)*CROQUIS_DATOS!$C$1561-(0)*CROQUIS_DATOS!$C$1561))/CROQUIS_DATOS!$C$1568-0.000001)),1,MOD($A33-1,2)),1-IF(INT(($A33-1)/2)+1&gt;MAX(1,INT(((((CROQUIS_DATOS!$C$1499+CROQUIS_DATOS!$C$1500))-(CROQUIS_DATOS!$C$1499))+((CROQUIS_DATOS!$C$1476)*CROQUIS_DATOS!$C$1561-(0)*CROQUIS_DATOS!$C$1561))/CROQUIS_DATOS!$C$1568-0.000001)),1,MOD($A33-1,2)))=1,MIN((CROQUIS_DATOS!$C$1476)*CROQUIS_DATOS!$C$1561,((CROQUIS_DATOS!$C$1499+CROQUIS_DATOS!$C$1500)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33">
        <f>IF(AND(CROQUIS_DATOS!$C$1472=1,CROQUIS_DATOS!$C$1500&gt;0,((CROQUIS_DATOS!$C$1499+CROQUIS_DATOS!$C$1500))-(CROQUIS_DATOS!$C$1499)&gt;0.5,(CROQUIS_DATOS!$C$1476)-(0)&gt;0.5),(CROQUIS_DATOS!$C$1567+(IF(IF(MOD(MIN(INT(($A33-1)/2)+1,MAX(1,INT(((((CROQUIS_DATOS!$C$1499+CROQUIS_DATOS!$C$1500))-(CROQUIS_DATOS!$C$1499))+((CROQUIS_DATOS!$C$1476)*CROQUIS_DATOS!$C$1561-(0)*CROQUIS_DATOS!$C$1561))/CROQUIS_DATOS!$C$1568-0.000001))),2)=1,IF(INT(($A33-1)/2)+1&gt;MAX(1,INT(((((CROQUIS_DATOS!$C$1499+CROQUIS_DATOS!$C$1500))-(CROQUIS_DATOS!$C$1499))+((CROQUIS_DATOS!$C$1476)*CROQUIS_DATOS!$C$1561-(0)*CROQUIS_DATOS!$C$1561))/CROQUIS_DATOS!$C$1568-0.000001)),1,MOD($A33-1,2)),1-IF(INT(($A33-1)/2)+1&gt;MAX(1,INT(((((CROQUIS_DATOS!$C$1499+CROQUIS_DATOS!$C$1500))-(CROQUIS_DATOS!$C$1499))+((CROQUIS_DATOS!$C$1476)*CROQUIS_DATOS!$C$1561-(0)*CROQUIS_DATOS!$C$1561))/CROQUIS_DATOS!$C$1568-0.000001)),1,MOD($A33-1,2)))=1,MIN((CROQUIS_DATOS!$C$1476)*CROQUIS_DATOS!$C$1561,((CROQUIS_DATOS!$C$1499+CROQUIS_DATOS!$C$1500)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33-1)/2)+1,MAX(1,INT(((((CROQUIS_DATOS!$C$1499+CROQUIS_DATOS!$C$1500))-(CROQUIS_DATOS!$C$1499))+((CROQUIS_DATOS!$C$1476)*CROQUIS_DATOS!$C$1561-(0)*CROQUIS_DATOS!$C$1561))/CROQUIS_DATOS!$C$1568-0.000001)))*CROQUIS_DATOS!$C$1568))))*CROQUIS_DATOS!$C$1565),-1000)</f>
        <v>22.3379310344828</v>
      </c>
      <c r="CB33">
        <f>IF(AND(CROQUIS_DATOS!$C$1472=1,CROQUIS_DATOS!$C$1504&gt;0,((CROQUIS_DATOS!$C$1503+CROQUIS_DATOS!$C$1504))-(CROQUIS_DATOS!$C$1503)&gt;0.5,(CROQUIS_DATOS!$C$1476)-(0)&gt;0.5),(CROQUIS_DATOS!$C$1566+(IF(IF(MOD(MIN(INT(($A33-1)/2)+1,MAX(1,INT(((((CROQUIS_DATOS!$C$1503+CROQUIS_DATOS!$C$1504))-(CROQUIS_DATOS!$C$1503))+((CROQUIS_DATOS!$C$1476)*CROQUIS_DATOS!$C$1561-(0)*CROQUIS_DATOS!$C$1561))/CROQUIS_DATOS!$C$1568-0.000001))),2)=1,IF(INT(($A33-1)/2)+1&gt;MAX(1,INT(((((CROQUIS_DATOS!$C$1503+CROQUIS_DATOS!$C$1504))-(CROQUIS_DATOS!$C$1503))+((CROQUIS_DATOS!$C$1476)*CROQUIS_DATOS!$C$1561-(0)*CROQUIS_DATOS!$C$1561))/CROQUIS_DATOS!$C$1568-0.000001)),1,MOD($A33-1,2)),1-IF(INT(($A33-1)/2)+1&gt;MAX(1,INT(((((CROQUIS_DATOS!$C$1503+CROQUIS_DATOS!$C$1504))-(CROQUIS_DATOS!$C$1503))+((CROQUIS_DATOS!$C$1476)*CROQUIS_DATOS!$C$1561-(0)*CROQUIS_DATOS!$C$1561))/CROQUIS_DATOS!$C$1568-0.000001)),1,MOD($A33-1,2)))=1,MIN((CROQUIS_DATOS!$C$1476)*CROQUIS_DATOS!$C$1561,((CROQUIS_DATOS!$C$1503+CROQUIS_DATOS!$C$1504)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33">
        <f>IF(AND(CROQUIS_DATOS!$C$1472=1,CROQUIS_DATOS!$C$1504&gt;0,((CROQUIS_DATOS!$C$1503+CROQUIS_DATOS!$C$1504))-(CROQUIS_DATOS!$C$1503)&gt;0.5,(CROQUIS_DATOS!$C$1476)-(0)&gt;0.5),(CROQUIS_DATOS!$C$1567+(IF(IF(MOD(MIN(INT(($A33-1)/2)+1,MAX(1,INT(((((CROQUIS_DATOS!$C$1503+CROQUIS_DATOS!$C$1504))-(CROQUIS_DATOS!$C$1503))+((CROQUIS_DATOS!$C$1476)*CROQUIS_DATOS!$C$1561-(0)*CROQUIS_DATOS!$C$1561))/CROQUIS_DATOS!$C$1568-0.000001))),2)=1,IF(INT(($A33-1)/2)+1&gt;MAX(1,INT(((((CROQUIS_DATOS!$C$1503+CROQUIS_DATOS!$C$1504))-(CROQUIS_DATOS!$C$1503))+((CROQUIS_DATOS!$C$1476)*CROQUIS_DATOS!$C$1561-(0)*CROQUIS_DATOS!$C$1561))/CROQUIS_DATOS!$C$1568-0.000001)),1,MOD($A33-1,2)),1-IF(INT(($A33-1)/2)+1&gt;MAX(1,INT(((((CROQUIS_DATOS!$C$1503+CROQUIS_DATOS!$C$1504))-(CROQUIS_DATOS!$C$1503))+((CROQUIS_DATOS!$C$1476)*CROQUIS_DATOS!$C$1561-(0)*CROQUIS_DATOS!$C$1561))/CROQUIS_DATOS!$C$1568-0.000001)),1,MOD($A33-1,2)))=1,MIN((CROQUIS_DATOS!$C$1476)*CROQUIS_DATOS!$C$1561,((CROQUIS_DATOS!$C$1503+CROQUIS_DATOS!$C$1504)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33-1)/2)+1,MAX(1,INT(((((CROQUIS_DATOS!$C$1503+CROQUIS_DATOS!$C$1504))-(CROQUIS_DATOS!$C$1503))+((CROQUIS_DATOS!$C$1476)*CROQUIS_DATOS!$C$1561-(0)*CROQUIS_DATOS!$C$1561))/CROQUIS_DATOS!$C$1568-0.000001)))*CROQUIS_DATOS!$C$1568))))*CROQUIS_DATOS!$C$1565),-1000)</f>
        <v>28.751724137931</v>
      </c>
      <c r="CD33">
        <f>IF(AND(CROQUIS_DATOS!$C$1472=1,CROQUIS_DATOS!$C$1508&gt;0,((CROQUIS_DATOS!$C$1507+CROQUIS_DATOS!$C$1508))-(CROQUIS_DATOS!$C$1507)&gt;0.5,(CROQUIS_DATOS!$C$1476)-(0)&gt;0.5),(CROQUIS_DATOS!$C$1566+(IF(IF(MOD(MIN(INT(($A33-1)/2)+1,MAX(1,INT(((((CROQUIS_DATOS!$C$1507+CROQUIS_DATOS!$C$1508))-(CROQUIS_DATOS!$C$1507))+((CROQUIS_DATOS!$C$1476)*CROQUIS_DATOS!$C$1561-(0)*CROQUIS_DATOS!$C$1561))/CROQUIS_DATOS!$C$1568-0.000001))),2)=1,IF(INT(($A33-1)/2)+1&gt;MAX(1,INT(((((CROQUIS_DATOS!$C$1507+CROQUIS_DATOS!$C$1508))-(CROQUIS_DATOS!$C$1507))+((CROQUIS_DATOS!$C$1476)*CROQUIS_DATOS!$C$1561-(0)*CROQUIS_DATOS!$C$1561))/CROQUIS_DATOS!$C$1568-0.000001)),1,MOD($A33-1,2)),1-IF(INT(($A33-1)/2)+1&gt;MAX(1,INT(((((CROQUIS_DATOS!$C$1507+CROQUIS_DATOS!$C$1508))-(CROQUIS_DATOS!$C$1507))+((CROQUIS_DATOS!$C$1476)*CROQUIS_DATOS!$C$1561-(0)*CROQUIS_DATOS!$C$1561))/CROQUIS_DATOS!$C$1568-0.000001)),1,MOD($A33-1,2)))=1,MIN((CROQUIS_DATOS!$C$1476)*CROQUIS_DATOS!$C$1561,((CROQUIS_DATOS!$C$1507+CROQUIS_DATOS!$C$1508)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33">
        <f>IF(AND(CROQUIS_DATOS!$C$1472=1,CROQUIS_DATOS!$C$1508&gt;0,((CROQUIS_DATOS!$C$1507+CROQUIS_DATOS!$C$1508))-(CROQUIS_DATOS!$C$1507)&gt;0.5,(CROQUIS_DATOS!$C$1476)-(0)&gt;0.5),(CROQUIS_DATOS!$C$1567+(IF(IF(MOD(MIN(INT(($A33-1)/2)+1,MAX(1,INT(((((CROQUIS_DATOS!$C$1507+CROQUIS_DATOS!$C$1508))-(CROQUIS_DATOS!$C$1507))+((CROQUIS_DATOS!$C$1476)*CROQUIS_DATOS!$C$1561-(0)*CROQUIS_DATOS!$C$1561))/CROQUIS_DATOS!$C$1568-0.000001))),2)=1,IF(INT(($A33-1)/2)+1&gt;MAX(1,INT(((((CROQUIS_DATOS!$C$1507+CROQUIS_DATOS!$C$1508))-(CROQUIS_DATOS!$C$1507))+((CROQUIS_DATOS!$C$1476)*CROQUIS_DATOS!$C$1561-(0)*CROQUIS_DATOS!$C$1561))/CROQUIS_DATOS!$C$1568-0.000001)),1,MOD($A33-1,2)),1-IF(INT(($A33-1)/2)+1&gt;MAX(1,INT(((((CROQUIS_DATOS!$C$1507+CROQUIS_DATOS!$C$1508))-(CROQUIS_DATOS!$C$1507))+((CROQUIS_DATOS!$C$1476)*CROQUIS_DATOS!$C$1561-(0)*CROQUIS_DATOS!$C$1561))/CROQUIS_DATOS!$C$1568-0.000001)),1,MOD($A33-1,2)))=1,MIN((CROQUIS_DATOS!$C$1476)*CROQUIS_DATOS!$C$1561,((CROQUIS_DATOS!$C$1507+CROQUIS_DATOS!$C$1508)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33-1)/2)+1,MAX(1,INT(((((CROQUIS_DATOS!$C$1507+CROQUIS_DATOS!$C$1508))-(CROQUIS_DATOS!$C$1507))+((CROQUIS_DATOS!$C$1476)*CROQUIS_DATOS!$C$1561-(0)*CROQUIS_DATOS!$C$1561))/CROQUIS_DATOS!$C$1568-0.000001)))*CROQUIS_DATOS!$C$1568))))*CROQUIS_DATOS!$C$1565),-1000)</f>
        <v>30.8896551724138</v>
      </c>
      <c r="CF33">
        <f>IF(AND(CROQUIS_DATOS!$C$1472=1,CROQUIS_DATOS!$C$1512&gt;0,((CROQUIS_DATOS!$C$1511+CROQUIS_DATOS!$C$1512))-(CROQUIS_DATOS!$C$1511)&gt;0.5,(CROQUIS_DATOS!$C$1476)-(0)&gt;0.5),(CROQUIS_DATOS!$C$1566+(IF(IF(MOD(MIN(INT(($A33-1)/2)+1,MAX(1,INT(((((CROQUIS_DATOS!$C$1511+CROQUIS_DATOS!$C$1512))-(CROQUIS_DATOS!$C$1511))+((CROQUIS_DATOS!$C$1476)*CROQUIS_DATOS!$C$1561-(0)*CROQUIS_DATOS!$C$1561))/CROQUIS_DATOS!$C$1568-0.000001))),2)=1,IF(INT(($A33-1)/2)+1&gt;MAX(1,INT(((((CROQUIS_DATOS!$C$1511+CROQUIS_DATOS!$C$1512))-(CROQUIS_DATOS!$C$1511))+((CROQUIS_DATOS!$C$1476)*CROQUIS_DATOS!$C$1561-(0)*CROQUIS_DATOS!$C$1561))/CROQUIS_DATOS!$C$1568-0.000001)),1,MOD($A33-1,2)),1-IF(INT(($A33-1)/2)+1&gt;MAX(1,INT(((((CROQUIS_DATOS!$C$1511+CROQUIS_DATOS!$C$1512))-(CROQUIS_DATOS!$C$1511))+((CROQUIS_DATOS!$C$1476)*CROQUIS_DATOS!$C$1561-(0)*CROQUIS_DATOS!$C$1561))/CROQUIS_DATOS!$C$1568-0.000001)),1,MOD($A33-1,2)))=1,MIN((CROQUIS_DATOS!$C$1476)*CROQUIS_DATOS!$C$1561,((CROQUIS_DATOS!$C$1511+CROQUIS_DATOS!$C$1512)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3">
        <f>IF(AND(CROQUIS_DATOS!$C$1472=1,CROQUIS_DATOS!$C$1512&gt;0,((CROQUIS_DATOS!$C$1511+CROQUIS_DATOS!$C$1512))-(CROQUIS_DATOS!$C$1511)&gt;0.5,(CROQUIS_DATOS!$C$1476)-(0)&gt;0.5),(CROQUIS_DATOS!$C$1567+(IF(IF(MOD(MIN(INT(($A33-1)/2)+1,MAX(1,INT(((((CROQUIS_DATOS!$C$1511+CROQUIS_DATOS!$C$1512))-(CROQUIS_DATOS!$C$1511))+((CROQUIS_DATOS!$C$1476)*CROQUIS_DATOS!$C$1561-(0)*CROQUIS_DATOS!$C$1561))/CROQUIS_DATOS!$C$1568-0.000001))),2)=1,IF(INT(($A33-1)/2)+1&gt;MAX(1,INT(((((CROQUIS_DATOS!$C$1511+CROQUIS_DATOS!$C$1512))-(CROQUIS_DATOS!$C$1511))+((CROQUIS_DATOS!$C$1476)*CROQUIS_DATOS!$C$1561-(0)*CROQUIS_DATOS!$C$1561))/CROQUIS_DATOS!$C$1568-0.000001)),1,MOD($A33-1,2)),1-IF(INT(($A33-1)/2)+1&gt;MAX(1,INT(((((CROQUIS_DATOS!$C$1511+CROQUIS_DATOS!$C$1512))-(CROQUIS_DATOS!$C$1511))+((CROQUIS_DATOS!$C$1476)*CROQUIS_DATOS!$C$1561-(0)*CROQUIS_DATOS!$C$1561))/CROQUIS_DATOS!$C$1568-0.000001)),1,MOD($A33-1,2)))=1,MIN((CROQUIS_DATOS!$C$1476)*CROQUIS_DATOS!$C$1561,((CROQUIS_DATOS!$C$1511+CROQUIS_DATOS!$C$1512)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3">
        <f>IF(AND(CROQUIS_DATOS!$C$1472=1,CROQUIS_DATOS!$C$1516&gt;0,((CROQUIS_DATOS!$C$1515+CROQUIS_DATOS!$C$1516))-(CROQUIS_DATOS!$C$1515)&gt;0.5,(CROQUIS_DATOS!$C$1476)-(0)&gt;0.5),(CROQUIS_DATOS!$C$1566+(IF(IF(MOD(MIN(INT(($A33-1)/2)+1,MAX(1,INT(((((CROQUIS_DATOS!$C$1515+CROQUIS_DATOS!$C$1516))-(CROQUIS_DATOS!$C$1515))+((CROQUIS_DATOS!$C$1476)*CROQUIS_DATOS!$C$1561-(0)*CROQUIS_DATOS!$C$1561))/CROQUIS_DATOS!$C$1568-0.000001))),2)=1,IF(INT(($A33-1)/2)+1&gt;MAX(1,INT(((((CROQUIS_DATOS!$C$1515+CROQUIS_DATOS!$C$1516))-(CROQUIS_DATOS!$C$1515))+((CROQUIS_DATOS!$C$1476)*CROQUIS_DATOS!$C$1561-(0)*CROQUIS_DATOS!$C$1561))/CROQUIS_DATOS!$C$1568-0.000001)),1,MOD($A33-1,2)),1-IF(INT(($A33-1)/2)+1&gt;MAX(1,INT(((((CROQUIS_DATOS!$C$1515+CROQUIS_DATOS!$C$1516))-(CROQUIS_DATOS!$C$1515))+((CROQUIS_DATOS!$C$1476)*CROQUIS_DATOS!$C$1561-(0)*CROQUIS_DATOS!$C$1561))/CROQUIS_DATOS!$C$1568-0.000001)),1,MOD($A33-1,2)))=1,MIN((CROQUIS_DATOS!$C$1476)*CROQUIS_DATOS!$C$1561,((CROQUIS_DATOS!$C$1515+CROQUIS_DATOS!$C$1516)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3">
        <f>IF(AND(CROQUIS_DATOS!$C$1472=1,CROQUIS_DATOS!$C$1516&gt;0,((CROQUIS_DATOS!$C$1515+CROQUIS_DATOS!$C$1516))-(CROQUIS_DATOS!$C$1515)&gt;0.5,(CROQUIS_DATOS!$C$1476)-(0)&gt;0.5),(CROQUIS_DATOS!$C$1567+(IF(IF(MOD(MIN(INT(($A33-1)/2)+1,MAX(1,INT(((((CROQUIS_DATOS!$C$1515+CROQUIS_DATOS!$C$1516))-(CROQUIS_DATOS!$C$1515))+((CROQUIS_DATOS!$C$1476)*CROQUIS_DATOS!$C$1561-(0)*CROQUIS_DATOS!$C$1561))/CROQUIS_DATOS!$C$1568-0.000001))),2)=1,IF(INT(($A33-1)/2)+1&gt;MAX(1,INT(((((CROQUIS_DATOS!$C$1515+CROQUIS_DATOS!$C$1516))-(CROQUIS_DATOS!$C$1515))+((CROQUIS_DATOS!$C$1476)*CROQUIS_DATOS!$C$1561-(0)*CROQUIS_DATOS!$C$1561))/CROQUIS_DATOS!$C$1568-0.000001)),1,MOD($A33-1,2)),1-IF(INT(($A33-1)/2)+1&gt;MAX(1,INT(((((CROQUIS_DATOS!$C$1515+CROQUIS_DATOS!$C$1516))-(CROQUIS_DATOS!$C$1515))+((CROQUIS_DATOS!$C$1476)*CROQUIS_DATOS!$C$1561-(0)*CROQUIS_DATOS!$C$1561))/CROQUIS_DATOS!$C$1568-0.000001)),1,MOD($A33-1,2)))=1,MIN((CROQUIS_DATOS!$C$1476)*CROQUIS_DATOS!$C$1561,((CROQUIS_DATOS!$C$1515+CROQUIS_DATOS!$C$1516)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3">
        <f>IF(AND(CROQUIS_DATOS!$C$1472=1,CROQUIS_DATOS!$C$1478&gt;=1,((CROQUIS_DATOS!$C$1479+CROQUIS_DATOS!$C$1480))-(CROQUIS_DATOS!$C$1479)&gt;0.5,(CROQUIS_DATOS!$C$1481)-(0)&gt;0.5),(CROQUIS_DATOS!$C$1566+(IF(IF(MOD(MIN(INT(($A33-1)/2)+1,MAX(1,INT(((((CROQUIS_DATOS!$C$1479+CROQUIS_DATOS!$C$1480))-(CROQUIS_DATOS!$C$1479))+((CROQUIS_DATOS!$C$1481)*CROQUIS_DATOS!$C$1561-(0)*CROQUIS_DATOS!$C$1561))/CROQUIS_DATOS!$C$1568-0.000001))),2)=1,IF(INT(($A33-1)/2)+1&gt;MAX(1,INT(((((CROQUIS_DATOS!$C$1479+CROQUIS_DATOS!$C$1480))-(CROQUIS_DATOS!$C$1479))+((CROQUIS_DATOS!$C$1481)*CROQUIS_DATOS!$C$1561-(0)*CROQUIS_DATOS!$C$1561))/CROQUIS_DATOS!$C$1568-0.000001)),1,MOD($A33-1,2)),1-IF(INT(($A33-1)/2)+1&gt;MAX(1,INT(((((CROQUIS_DATOS!$C$1479+CROQUIS_DATOS!$C$1480))-(CROQUIS_DATOS!$C$1479))+((CROQUIS_DATOS!$C$1481)*CROQUIS_DATOS!$C$1561-(0)*CROQUIS_DATOS!$C$1561))/CROQUIS_DATOS!$C$1568-0.000001)),1,MOD($A33-1,2)))=1,MIN((CROQUIS_DATOS!$C$1481)*CROQUIS_DATOS!$C$1561,((CROQUIS_DATOS!$C$1479+CROQUIS_DATOS!$C$1480)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3">
        <f>IF(AND(CROQUIS_DATOS!$C$1472=1,CROQUIS_DATOS!$C$1478&gt;=1,((CROQUIS_DATOS!$C$1479+CROQUIS_DATOS!$C$1480))-(CROQUIS_DATOS!$C$1479)&gt;0.5,(CROQUIS_DATOS!$C$1481)-(0)&gt;0.5),(CROQUIS_DATOS!$C$1567+(IF(IF(MOD(MIN(INT(($A33-1)/2)+1,MAX(1,INT(((((CROQUIS_DATOS!$C$1479+CROQUIS_DATOS!$C$1480))-(CROQUIS_DATOS!$C$1479))+((CROQUIS_DATOS!$C$1481)*CROQUIS_DATOS!$C$1561-(0)*CROQUIS_DATOS!$C$1561))/CROQUIS_DATOS!$C$1568-0.000001))),2)=1,IF(INT(($A33-1)/2)+1&gt;MAX(1,INT(((((CROQUIS_DATOS!$C$1479+CROQUIS_DATOS!$C$1480))-(CROQUIS_DATOS!$C$1479))+((CROQUIS_DATOS!$C$1481)*CROQUIS_DATOS!$C$1561-(0)*CROQUIS_DATOS!$C$1561))/CROQUIS_DATOS!$C$1568-0.000001)),1,MOD($A33-1,2)),1-IF(INT(($A33-1)/2)+1&gt;MAX(1,INT(((((CROQUIS_DATOS!$C$1479+CROQUIS_DATOS!$C$1480))-(CROQUIS_DATOS!$C$1479))+((CROQUIS_DATOS!$C$1481)*CROQUIS_DATOS!$C$1561-(0)*CROQUIS_DATOS!$C$1561))/CROQUIS_DATOS!$C$1568-0.000001)),1,MOD($A33-1,2)))=1,MIN((CROQUIS_DATOS!$C$1481)*CROQUIS_DATOS!$C$1561,((CROQUIS_DATOS!$C$1479+CROQUIS_DATOS!$C$1480)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3">
        <f>IF(AND(CROQUIS_DATOS!$C$1472=1,CROQUIS_DATOS!$C$1478&gt;=1,((CROQUIS_DATOS!$C$1479+CROQUIS_DATOS!$C$1480))-(CROQUIS_DATOS!$C$1479)&gt;0.5,(CROQUIS_DATOS!$C$1476)-((CROQUIS_DATOS!$C$1481+CROQUIS_DATOS!$C$1482))&gt;0.5),(CROQUIS_DATOS!$C$1566+(IF(IF(MOD(MIN(INT(($A33-1)/2)+1,MAX(1,INT(((((CROQUIS_DATOS!$C$1479+CROQUIS_DATOS!$C$1480))-(CROQUIS_DATOS!$C$1479))+((CROQUIS_DATOS!$C$1476)*CROQUIS_DATOS!$C$1561-((CROQUIS_DATOS!$C$1481+CROQUIS_DATOS!$C$1482))*CROQUIS_DATOS!$C$1561))/CROQUIS_DATOS!$C$1568-0.000001))),2)=1,IF(INT(($A33-1)/2)+1&gt;MAX(1,INT(((((CROQUIS_DATOS!$C$1479+CROQUIS_DATOS!$C$1480))-(CROQUIS_DATOS!$C$1479))+((CROQUIS_DATOS!$C$1476)*CROQUIS_DATOS!$C$1561-((CROQUIS_DATOS!$C$1481+CROQUIS_DATOS!$C$1482))*CROQUIS_DATOS!$C$1561))/CROQUIS_DATOS!$C$1568-0.000001)),1,MOD($A33-1,2)),1-IF(INT(($A33-1)/2)+1&gt;MAX(1,INT(((((CROQUIS_DATOS!$C$1479+CROQUIS_DATOS!$C$1480))-(CROQUIS_DATOS!$C$1479))+((CROQUIS_DATOS!$C$1476)*CROQUIS_DATOS!$C$1561-((CROQUIS_DATOS!$C$1481+CROQUIS_DATOS!$C$1482))*CROQUIS_DATOS!$C$1561))/CROQUIS_DATOS!$C$1568-0.000001)),1,MOD($A33-1,2)))=1,MIN((CROQUIS_DATOS!$C$1476)*CROQUIS_DATOS!$C$1561,((CROQUIS_DATOS!$C$1479+CROQUIS_DATOS!$C$1480)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3">
        <f>IF(AND(CROQUIS_DATOS!$C$1472=1,CROQUIS_DATOS!$C$1478&gt;=1,((CROQUIS_DATOS!$C$1479+CROQUIS_DATOS!$C$1480))-(CROQUIS_DATOS!$C$1479)&gt;0.5,(CROQUIS_DATOS!$C$1476)-((CROQUIS_DATOS!$C$1481+CROQUIS_DATOS!$C$1482))&gt;0.5),(CROQUIS_DATOS!$C$1567+(IF(IF(MOD(MIN(INT(($A33-1)/2)+1,MAX(1,INT(((((CROQUIS_DATOS!$C$1479+CROQUIS_DATOS!$C$1480))-(CROQUIS_DATOS!$C$1479))+((CROQUIS_DATOS!$C$1476)*CROQUIS_DATOS!$C$1561-((CROQUIS_DATOS!$C$1481+CROQUIS_DATOS!$C$1482))*CROQUIS_DATOS!$C$1561))/CROQUIS_DATOS!$C$1568-0.000001))),2)=1,IF(INT(($A33-1)/2)+1&gt;MAX(1,INT(((((CROQUIS_DATOS!$C$1479+CROQUIS_DATOS!$C$1480))-(CROQUIS_DATOS!$C$1479))+((CROQUIS_DATOS!$C$1476)*CROQUIS_DATOS!$C$1561-((CROQUIS_DATOS!$C$1481+CROQUIS_DATOS!$C$1482))*CROQUIS_DATOS!$C$1561))/CROQUIS_DATOS!$C$1568-0.000001)),1,MOD($A33-1,2)),1-IF(INT(($A33-1)/2)+1&gt;MAX(1,INT(((((CROQUIS_DATOS!$C$1479+CROQUIS_DATOS!$C$1480))-(CROQUIS_DATOS!$C$1479))+((CROQUIS_DATOS!$C$1476)*CROQUIS_DATOS!$C$1561-((CROQUIS_DATOS!$C$1481+CROQUIS_DATOS!$C$1482))*CROQUIS_DATOS!$C$1561))/CROQUIS_DATOS!$C$1568-0.000001)),1,MOD($A33-1,2)))=1,MIN((CROQUIS_DATOS!$C$1476)*CROQUIS_DATOS!$C$1561,((CROQUIS_DATOS!$C$1479+CROQUIS_DATOS!$C$1480)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3">
        <f>IF(AND(CROQUIS_DATOS!$C$1472=1,CROQUIS_DATOS!$C$1478&gt;=2,((CROQUIS_DATOS!$C$1484+CROQUIS_DATOS!$C$1485))-(CROQUIS_DATOS!$C$1484)&gt;0.5,(CROQUIS_DATOS!$C$1486)-(0)&gt;0.5),(CROQUIS_DATOS!$C$1566+(IF(IF(MOD(MIN(INT(($A33-1)/2)+1,MAX(1,INT(((((CROQUIS_DATOS!$C$1484+CROQUIS_DATOS!$C$1485))-(CROQUIS_DATOS!$C$1484))+((CROQUIS_DATOS!$C$1486)*CROQUIS_DATOS!$C$1561-(0)*CROQUIS_DATOS!$C$1561))/CROQUIS_DATOS!$C$1568-0.000001))),2)=1,IF(INT(($A33-1)/2)+1&gt;MAX(1,INT(((((CROQUIS_DATOS!$C$1484+CROQUIS_DATOS!$C$1485))-(CROQUIS_DATOS!$C$1484))+((CROQUIS_DATOS!$C$1486)*CROQUIS_DATOS!$C$1561-(0)*CROQUIS_DATOS!$C$1561))/CROQUIS_DATOS!$C$1568-0.000001)),1,MOD($A33-1,2)),1-IF(INT(($A33-1)/2)+1&gt;MAX(1,INT(((((CROQUIS_DATOS!$C$1484+CROQUIS_DATOS!$C$1485))-(CROQUIS_DATOS!$C$1484))+((CROQUIS_DATOS!$C$1486)*CROQUIS_DATOS!$C$1561-(0)*CROQUIS_DATOS!$C$1561))/CROQUIS_DATOS!$C$1568-0.000001)),1,MOD($A33-1,2)))=1,MIN((CROQUIS_DATOS!$C$1486)*CROQUIS_DATOS!$C$1561,((CROQUIS_DATOS!$C$1484+CROQUIS_DATOS!$C$1485)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*CROQUIS_DATOS!$C$1565),-1000)</f>
        <v>64.8965517241379</v>
      </c>
      <c r="CS33">
        <f>IF(AND(CROQUIS_DATOS!$C$1472=1,CROQUIS_DATOS!$C$1478&gt;=2,((CROQUIS_DATOS!$C$1484+CROQUIS_DATOS!$C$1485))-(CROQUIS_DATOS!$C$1484)&gt;0.5,(CROQUIS_DATOS!$C$1486)-(0)&gt;0.5),(CROQUIS_DATOS!$C$1567+(IF(IF(MOD(MIN(INT(($A33-1)/2)+1,MAX(1,INT(((((CROQUIS_DATOS!$C$1484+CROQUIS_DATOS!$C$1485))-(CROQUIS_DATOS!$C$1484))+((CROQUIS_DATOS!$C$1486)*CROQUIS_DATOS!$C$1561-(0)*CROQUIS_DATOS!$C$1561))/CROQUIS_DATOS!$C$1568-0.000001))),2)=1,IF(INT(($A33-1)/2)+1&gt;MAX(1,INT(((((CROQUIS_DATOS!$C$1484+CROQUIS_DATOS!$C$1485))-(CROQUIS_DATOS!$C$1484))+((CROQUIS_DATOS!$C$1486)*CROQUIS_DATOS!$C$1561-(0)*CROQUIS_DATOS!$C$1561))/CROQUIS_DATOS!$C$1568-0.000001)),1,MOD($A33-1,2)),1-IF(INT(($A33-1)/2)+1&gt;MAX(1,INT(((((CROQUIS_DATOS!$C$1484+CROQUIS_DATOS!$C$1485))-(CROQUIS_DATOS!$C$1484))+((CROQUIS_DATOS!$C$1486)*CROQUIS_DATOS!$C$1561-(0)*CROQUIS_DATOS!$C$1561))/CROQUIS_DATOS!$C$1568-0.000001)),1,MOD($A33-1,2)))=1,MIN((CROQUIS_DATOS!$C$1486)*CROQUIS_DATOS!$C$1561,((CROQUIS_DATOS!$C$1484+CROQUIS_DATOS!$C$1485)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33-1)/2)+1,MAX(1,INT(((((CROQUIS_DATOS!$C$1484+CROQUIS_DATOS!$C$1485))-(CROQUIS_DATOS!$C$1484))+((CROQUIS_DATOS!$C$1486)*CROQUIS_DATOS!$C$1561-(0)*CROQUIS_DATOS!$C$1561))/CROQUIS_DATOS!$C$1568-0.000001)))*CROQUIS_DATOS!$C$1568))))*CROQUIS_DATOS!$C$1565),-1000)</f>
        <v>16.9931034482759</v>
      </c>
      <c r="CT33">
        <f>IF(AND(CROQUIS_DATOS!$C$1472=1,CROQUIS_DATOS!$C$1478&gt;=2,((CROQUIS_DATOS!$C$1484+CROQUIS_DATOS!$C$1485))-(CROQUIS_DATOS!$C$1484)&gt;0.5,(CROQUIS_DATOS!$C$1476)-((CROQUIS_DATOS!$C$1486+CROQUIS_DATOS!$C$1487))&gt;0.5),(CROQUIS_DATOS!$C$1566+(IF(IF(MOD(MIN(INT(($A33-1)/2)+1,MAX(1,INT(((((CROQUIS_DATOS!$C$1484+CROQUIS_DATOS!$C$1485))-(CROQUIS_DATOS!$C$1484))+((CROQUIS_DATOS!$C$1476)*CROQUIS_DATOS!$C$1561-((CROQUIS_DATOS!$C$1486+CROQUIS_DATOS!$C$1487))*CROQUIS_DATOS!$C$1561))/CROQUIS_DATOS!$C$1568-0.000001))),2)=1,IF(INT(($A33-1)/2)+1&gt;MAX(1,INT(((((CROQUIS_DATOS!$C$1484+CROQUIS_DATOS!$C$1485))-(CROQUIS_DATOS!$C$1484))+((CROQUIS_DATOS!$C$1476)*CROQUIS_DATOS!$C$1561-((CROQUIS_DATOS!$C$1486+CROQUIS_DATOS!$C$1487))*CROQUIS_DATOS!$C$1561))/CROQUIS_DATOS!$C$1568-0.000001)),1,MOD($A33-1,2)),1-IF(INT(($A33-1)/2)+1&gt;MAX(1,INT(((((CROQUIS_DATOS!$C$1484+CROQUIS_DATOS!$C$1485))-(CROQUIS_DATOS!$C$1484))+((CROQUIS_DATOS!$C$1476)*CROQUIS_DATOS!$C$1561-((CROQUIS_DATOS!$C$1486+CROQUIS_DATOS!$C$1487))*CROQUIS_DATOS!$C$1561))/CROQUIS_DATOS!$C$1568-0.000001)),1,MOD($A33-1,2)))=1,MIN((CROQUIS_DATOS!$C$1476)*CROQUIS_DATOS!$C$1561,((CROQUIS_DATOS!$C$1484+CROQUIS_DATOS!$C$1485)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3">
        <f>IF(AND(CROQUIS_DATOS!$C$1472=1,CROQUIS_DATOS!$C$1478&gt;=2,((CROQUIS_DATOS!$C$1484+CROQUIS_DATOS!$C$1485))-(CROQUIS_DATOS!$C$1484)&gt;0.5,(CROQUIS_DATOS!$C$1476)-((CROQUIS_DATOS!$C$1486+CROQUIS_DATOS!$C$1487))&gt;0.5),(CROQUIS_DATOS!$C$1567+(IF(IF(MOD(MIN(INT(($A33-1)/2)+1,MAX(1,INT(((((CROQUIS_DATOS!$C$1484+CROQUIS_DATOS!$C$1485))-(CROQUIS_DATOS!$C$1484))+((CROQUIS_DATOS!$C$1476)*CROQUIS_DATOS!$C$1561-((CROQUIS_DATOS!$C$1486+CROQUIS_DATOS!$C$1487))*CROQUIS_DATOS!$C$1561))/CROQUIS_DATOS!$C$1568-0.000001))),2)=1,IF(INT(($A33-1)/2)+1&gt;MAX(1,INT(((((CROQUIS_DATOS!$C$1484+CROQUIS_DATOS!$C$1485))-(CROQUIS_DATOS!$C$1484))+((CROQUIS_DATOS!$C$1476)*CROQUIS_DATOS!$C$1561-((CROQUIS_DATOS!$C$1486+CROQUIS_DATOS!$C$1487))*CROQUIS_DATOS!$C$1561))/CROQUIS_DATOS!$C$1568-0.000001)),1,MOD($A33-1,2)),1-IF(INT(($A33-1)/2)+1&gt;MAX(1,INT(((((CROQUIS_DATOS!$C$1484+CROQUIS_DATOS!$C$1485))-(CROQUIS_DATOS!$C$1484))+((CROQUIS_DATOS!$C$1476)*CROQUIS_DATOS!$C$1561-((CROQUIS_DATOS!$C$1486+CROQUIS_DATOS!$C$1487))*CROQUIS_DATOS!$C$1561))/CROQUIS_DATOS!$C$1568-0.000001)),1,MOD($A33-1,2)))=1,MIN((CROQUIS_DATOS!$C$1476)*CROQUIS_DATOS!$C$1561,((CROQUIS_DATOS!$C$1484+CROQUIS_DATOS!$C$1485)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3">
        <f>IF(AND(CROQUIS_DATOS!$C$1472=1,CROQUIS_DATOS!$C$1478&gt;=3,((CROQUIS_DATOS!$C$1489+CROQUIS_DATOS!$C$1490))-(CROQUIS_DATOS!$C$1489)&gt;0.5,(CROQUIS_DATOS!$C$1491)-(0)&gt;0.5),(CROQUIS_DATOS!$C$1566+(IF(IF(MOD(MIN(INT(($A33-1)/2)+1,MAX(1,INT(((((CROQUIS_DATOS!$C$1489+CROQUIS_DATOS!$C$1490))-(CROQUIS_DATOS!$C$1489))+((CROQUIS_DATOS!$C$1491)*CROQUIS_DATOS!$C$1561-(0)*CROQUIS_DATOS!$C$1561))/CROQUIS_DATOS!$C$1568-0.000001))),2)=1,IF(INT(($A33-1)/2)+1&gt;MAX(1,INT(((((CROQUIS_DATOS!$C$1489+CROQUIS_DATOS!$C$1490))-(CROQUIS_DATOS!$C$1489))+((CROQUIS_DATOS!$C$1491)*CROQUIS_DATOS!$C$1561-(0)*CROQUIS_DATOS!$C$1561))/CROQUIS_DATOS!$C$1568-0.000001)),1,MOD($A33-1,2)),1-IF(INT(($A33-1)/2)+1&gt;MAX(1,INT(((((CROQUIS_DATOS!$C$1489+CROQUIS_DATOS!$C$1490))-(CROQUIS_DATOS!$C$1489))+((CROQUIS_DATOS!$C$1491)*CROQUIS_DATOS!$C$1561-(0)*CROQUIS_DATOS!$C$1561))/CROQUIS_DATOS!$C$1568-0.000001)),1,MOD($A33-1,2)))=1,MIN((CROQUIS_DATOS!$C$1491)*CROQUIS_DATOS!$C$1561,((CROQUIS_DATOS!$C$1489+CROQUIS_DATOS!$C$1490)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3">
        <f>IF(AND(CROQUIS_DATOS!$C$1472=1,CROQUIS_DATOS!$C$1478&gt;=3,((CROQUIS_DATOS!$C$1489+CROQUIS_DATOS!$C$1490))-(CROQUIS_DATOS!$C$1489)&gt;0.5,(CROQUIS_DATOS!$C$1491)-(0)&gt;0.5),(CROQUIS_DATOS!$C$1567+(IF(IF(MOD(MIN(INT(($A33-1)/2)+1,MAX(1,INT(((((CROQUIS_DATOS!$C$1489+CROQUIS_DATOS!$C$1490))-(CROQUIS_DATOS!$C$1489))+((CROQUIS_DATOS!$C$1491)*CROQUIS_DATOS!$C$1561-(0)*CROQUIS_DATOS!$C$1561))/CROQUIS_DATOS!$C$1568-0.000001))),2)=1,IF(INT(($A33-1)/2)+1&gt;MAX(1,INT(((((CROQUIS_DATOS!$C$1489+CROQUIS_DATOS!$C$1490))-(CROQUIS_DATOS!$C$1489))+((CROQUIS_DATOS!$C$1491)*CROQUIS_DATOS!$C$1561-(0)*CROQUIS_DATOS!$C$1561))/CROQUIS_DATOS!$C$1568-0.000001)),1,MOD($A33-1,2)),1-IF(INT(($A33-1)/2)+1&gt;MAX(1,INT(((((CROQUIS_DATOS!$C$1489+CROQUIS_DATOS!$C$1490))-(CROQUIS_DATOS!$C$1489))+((CROQUIS_DATOS!$C$1491)*CROQUIS_DATOS!$C$1561-(0)*CROQUIS_DATOS!$C$1561))/CROQUIS_DATOS!$C$1568-0.000001)),1,MOD($A33-1,2)))=1,MIN((CROQUIS_DATOS!$C$1491)*CROQUIS_DATOS!$C$1561,((CROQUIS_DATOS!$C$1489+CROQUIS_DATOS!$C$1490)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3">
        <f>IF(AND(CROQUIS_DATOS!$C$1472=1,CROQUIS_DATOS!$C$1478&gt;=3,((CROQUIS_DATOS!$C$1489+CROQUIS_DATOS!$C$1490))-(CROQUIS_DATOS!$C$1489)&gt;0.5,(CROQUIS_DATOS!$C$1476)-((CROQUIS_DATOS!$C$1491+CROQUIS_DATOS!$C$1492))&gt;0.5),(CROQUIS_DATOS!$C$1566+(IF(IF(MOD(MIN(INT(($A33-1)/2)+1,MAX(1,INT(((((CROQUIS_DATOS!$C$1489+CROQUIS_DATOS!$C$1490))-(CROQUIS_DATOS!$C$1489))+((CROQUIS_DATOS!$C$1476)*CROQUIS_DATOS!$C$1561-((CROQUIS_DATOS!$C$1491+CROQUIS_DATOS!$C$1492))*CROQUIS_DATOS!$C$1561))/CROQUIS_DATOS!$C$1568-0.000001))),2)=1,IF(INT(($A33-1)/2)+1&gt;MAX(1,INT(((((CROQUIS_DATOS!$C$1489+CROQUIS_DATOS!$C$1490))-(CROQUIS_DATOS!$C$1489))+((CROQUIS_DATOS!$C$1476)*CROQUIS_DATOS!$C$1561-((CROQUIS_DATOS!$C$1491+CROQUIS_DATOS!$C$1492))*CROQUIS_DATOS!$C$1561))/CROQUIS_DATOS!$C$1568-0.000001)),1,MOD($A33-1,2)),1-IF(INT(($A33-1)/2)+1&gt;MAX(1,INT(((((CROQUIS_DATOS!$C$1489+CROQUIS_DATOS!$C$1490))-(CROQUIS_DATOS!$C$1489))+((CROQUIS_DATOS!$C$1476)*CROQUIS_DATOS!$C$1561-((CROQUIS_DATOS!$C$1491+CROQUIS_DATOS!$C$1492))*CROQUIS_DATOS!$C$1561))/CROQUIS_DATOS!$C$1568-0.000001)),1,MOD($A33-1,2)))=1,MIN((CROQUIS_DATOS!$C$1476)*CROQUIS_DATOS!$C$1561,((CROQUIS_DATOS!$C$1489+CROQUIS_DATOS!$C$1490)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3">
        <f>IF(AND(CROQUIS_DATOS!$C$1472=1,CROQUIS_DATOS!$C$1478&gt;=3,((CROQUIS_DATOS!$C$1489+CROQUIS_DATOS!$C$1490))-(CROQUIS_DATOS!$C$1489)&gt;0.5,(CROQUIS_DATOS!$C$1476)-((CROQUIS_DATOS!$C$1491+CROQUIS_DATOS!$C$1492))&gt;0.5),(CROQUIS_DATOS!$C$1567+(IF(IF(MOD(MIN(INT(($A33-1)/2)+1,MAX(1,INT(((((CROQUIS_DATOS!$C$1489+CROQUIS_DATOS!$C$1490))-(CROQUIS_DATOS!$C$1489))+((CROQUIS_DATOS!$C$1476)*CROQUIS_DATOS!$C$1561-((CROQUIS_DATOS!$C$1491+CROQUIS_DATOS!$C$1492))*CROQUIS_DATOS!$C$1561))/CROQUIS_DATOS!$C$1568-0.000001))),2)=1,IF(INT(($A33-1)/2)+1&gt;MAX(1,INT(((((CROQUIS_DATOS!$C$1489+CROQUIS_DATOS!$C$1490))-(CROQUIS_DATOS!$C$1489))+((CROQUIS_DATOS!$C$1476)*CROQUIS_DATOS!$C$1561-((CROQUIS_DATOS!$C$1491+CROQUIS_DATOS!$C$1492))*CROQUIS_DATOS!$C$1561))/CROQUIS_DATOS!$C$1568-0.000001)),1,MOD($A33-1,2)),1-IF(INT(($A33-1)/2)+1&gt;MAX(1,INT(((((CROQUIS_DATOS!$C$1489+CROQUIS_DATOS!$C$1490))-(CROQUIS_DATOS!$C$1489))+((CROQUIS_DATOS!$C$1476)*CROQUIS_DATOS!$C$1561-((CROQUIS_DATOS!$C$1491+CROQUIS_DATOS!$C$1492))*CROQUIS_DATOS!$C$1561))/CROQUIS_DATOS!$C$1568-0.000001)),1,MOD($A33-1,2)))=1,MIN((CROQUIS_DATOS!$C$1476)*CROQUIS_DATOS!$C$1561,((CROQUIS_DATOS!$C$1489+CROQUIS_DATOS!$C$1490)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3">
        <f>IF(AND(CROQUIS_DATOS!$C$1472=1,CROQUIS_DATOS!$C$1478&gt;=4,((CROQUIS_DATOS!$C$1494+CROQUIS_DATOS!$C$1495))-(CROQUIS_DATOS!$C$1494)&gt;0.5,(CROQUIS_DATOS!$C$1496)-(0)&gt;0.5),(CROQUIS_DATOS!$C$1566+(IF(IF(MOD(MIN(INT(($A33-1)/2)+1,MAX(1,INT(((((CROQUIS_DATOS!$C$1494+CROQUIS_DATOS!$C$1495))-(CROQUIS_DATOS!$C$1494))+((CROQUIS_DATOS!$C$1496)*CROQUIS_DATOS!$C$1561-(0)*CROQUIS_DATOS!$C$1561))/CROQUIS_DATOS!$C$1568-0.000001))),2)=1,IF(INT(($A33-1)/2)+1&gt;MAX(1,INT(((((CROQUIS_DATOS!$C$1494+CROQUIS_DATOS!$C$1495))-(CROQUIS_DATOS!$C$1494))+((CROQUIS_DATOS!$C$1496)*CROQUIS_DATOS!$C$1561-(0)*CROQUIS_DATOS!$C$1561))/CROQUIS_DATOS!$C$1568-0.000001)),1,MOD($A33-1,2)),1-IF(INT(($A33-1)/2)+1&gt;MAX(1,INT(((((CROQUIS_DATOS!$C$1494+CROQUIS_DATOS!$C$1495))-(CROQUIS_DATOS!$C$1494))+((CROQUIS_DATOS!$C$1496)*CROQUIS_DATOS!$C$1561-(0)*CROQUIS_DATOS!$C$1561))/CROQUIS_DATOS!$C$1568-0.000001)),1,MOD($A33-1,2)))=1,MIN((CROQUIS_DATOS!$C$1496)*CROQUIS_DATOS!$C$1561,((CROQUIS_DATOS!$C$1494+CROQUIS_DATOS!$C$1495)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3">
        <f>IF(AND(CROQUIS_DATOS!$C$1472=1,CROQUIS_DATOS!$C$1478&gt;=4,((CROQUIS_DATOS!$C$1494+CROQUIS_DATOS!$C$1495))-(CROQUIS_DATOS!$C$1494)&gt;0.5,(CROQUIS_DATOS!$C$1496)-(0)&gt;0.5),(CROQUIS_DATOS!$C$1567+(IF(IF(MOD(MIN(INT(($A33-1)/2)+1,MAX(1,INT(((((CROQUIS_DATOS!$C$1494+CROQUIS_DATOS!$C$1495))-(CROQUIS_DATOS!$C$1494))+((CROQUIS_DATOS!$C$1496)*CROQUIS_DATOS!$C$1561-(0)*CROQUIS_DATOS!$C$1561))/CROQUIS_DATOS!$C$1568-0.000001))),2)=1,IF(INT(($A33-1)/2)+1&gt;MAX(1,INT(((((CROQUIS_DATOS!$C$1494+CROQUIS_DATOS!$C$1495))-(CROQUIS_DATOS!$C$1494))+((CROQUIS_DATOS!$C$1496)*CROQUIS_DATOS!$C$1561-(0)*CROQUIS_DATOS!$C$1561))/CROQUIS_DATOS!$C$1568-0.000001)),1,MOD($A33-1,2)),1-IF(INT(($A33-1)/2)+1&gt;MAX(1,INT(((((CROQUIS_DATOS!$C$1494+CROQUIS_DATOS!$C$1495))-(CROQUIS_DATOS!$C$1494))+((CROQUIS_DATOS!$C$1496)*CROQUIS_DATOS!$C$1561-(0)*CROQUIS_DATOS!$C$1561))/CROQUIS_DATOS!$C$1568-0.000001)),1,MOD($A33-1,2)))=1,MIN((CROQUIS_DATOS!$C$1496)*CROQUIS_DATOS!$C$1561,((CROQUIS_DATOS!$C$1494+CROQUIS_DATOS!$C$1495)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3">
        <f>IF(AND(CROQUIS_DATOS!$C$1472=1,CROQUIS_DATOS!$C$1478&gt;=4,((CROQUIS_DATOS!$C$1494+CROQUIS_DATOS!$C$1495))-(CROQUIS_DATOS!$C$1494)&gt;0.5,(CROQUIS_DATOS!$C$1476)-((CROQUIS_DATOS!$C$1496+CROQUIS_DATOS!$C$1497))&gt;0.5),(CROQUIS_DATOS!$C$1566+(IF(IF(MOD(MIN(INT(($A33-1)/2)+1,MAX(1,INT(((((CROQUIS_DATOS!$C$1494+CROQUIS_DATOS!$C$1495))-(CROQUIS_DATOS!$C$1494))+((CROQUIS_DATOS!$C$1476)*CROQUIS_DATOS!$C$1561-((CROQUIS_DATOS!$C$1496+CROQUIS_DATOS!$C$1497))*CROQUIS_DATOS!$C$1561))/CROQUIS_DATOS!$C$1568-0.000001))),2)=1,IF(INT(($A33-1)/2)+1&gt;MAX(1,INT(((((CROQUIS_DATOS!$C$1494+CROQUIS_DATOS!$C$1495))-(CROQUIS_DATOS!$C$1494))+((CROQUIS_DATOS!$C$1476)*CROQUIS_DATOS!$C$1561-((CROQUIS_DATOS!$C$1496+CROQUIS_DATOS!$C$1497))*CROQUIS_DATOS!$C$1561))/CROQUIS_DATOS!$C$1568-0.000001)),1,MOD($A33-1,2)),1-IF(INT(($A33-1)/2)+1&gt;MAX(1,INT(((((CROQUIS_DATOS!$C$1494+CROQUIS_DATOS!$C$1495))-(CROQUIS_DATOS!$C$1494))+((CROQUIS_DATOS!$C$1476)*CROQUIS_DATOS!$C$1561-((CROQUIS_DATOS!$C$1496+CROQUIS_DATOS!$C$1497))*CROQUIS_DATOS!$C$1561))/CROQUIS_DATOS!$C$1568-0.000001)),1,MOD($A33-1,2)))=1,MIN((CROQUIS_DATOS!$C$1476)*CROQUIS_DATOS!$C$1561,((CROQUIS_DATOS!$C$1494+CROQUIS_DATOS!$C$1495)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3">
        <f>IF(AND(CROQUIS_DATOS!$C$1472=1,CROQUIS_DATOS!$C$1478&gt;=4,((CROQUIS_DATOS!$C$1494+CROQUIS_DATOS!$C$1495))-(CROQUIS_DATOS!$C$1494)&gt;0.5,(CROQUIS_DATOS!$C$1476)-((CROQUIS_DATOS!$C$1496+CROQUIS_DATOS!$C$1497))&gt;0.5),(CROQUIS_DATOS!$C$1567+(IF(IF(MOD(MIN(INT(($A33-1)/2)+1,MAX(1,INT(((((CROQUIS_DATOS!$C$1494+CROQUIS_DATOS!$C$1495))-(CROQUIS_DATOS!$C$1494))+((CROQUIS_DATOS!$C$1476)*CROQUIS_DATOS!$C$1561-((CROQUIS_DATOS!$C$1496+CROQUIS_DATOS!$C$1497))*CROQUIS_DATOS!$C$1561))/CROQUIS_DATOS!$C$1568-0.000001))),2)=1,IF(INT(($A33-1)/2)+1&gt;MAX(1,INT(((((CROQUIS_DATOS!$C$1494+CROQUIS_DATOS!$C$1495))-(CROQUIS_DATOS!$C$1494))+((CROQUIS_DATOS!$C$1476)*CROQUIS_DATOS!$C$1561-((CROQUIS_DATOS!$C$1496+CROQUIS_DATOS!$C$1497))*CROQUIS_DATOS!$C$1561))/CROQUIS_DATOS!$C$1568-0.000001)),1,MOD($A33-1,2)),1-IF(INT(($A33-1)/2)+1&gt;MAX(1,INT(((((CROQUIS_DATOS!$C$1494+CROQUIS_DATOS!$C$1495))-(CROQUIS_DATOS!$C$1494))+((CROQUIS_DATOS!$C$1476)*CROQUIS_DATOS!$C$1561-((CROQUIS_DATOS!$C$1496+CROQUIS_DATOS!$C$1497))*CROQUIS_DATOS!$C$1561))/CROQUIS_DATOS!$C$1568-0.000001)),1,MOD($A33-1,2)))=1,MIN((CROQUIS_DATOS!$C$1476)*CROQUIS_DATOS!$C$1561,((CROQUIS_DATOS!$C$1494+CROQUIS_DATOS!$C$1495)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3">
        <f>IF(AND(CROQUIS_DATOS!$C$1472=1,1),(CROQUIS_DATOS!$C$1571+(CHOOSE(MIN(MAX(IF(INT(($A33-1)/5)+1&gt;CROQUIS_DATOS!$C$1525,5,MOD($A33-1,5)+1),1),5),(INDEX($E$8:$E$23,MIN(INT(($A33-1)/5)+1,CROQUIS_DATOS!$C$1525))-INDEX($F$8:$F$23,MIN(INT(($A33-1)/5)+1,CROQUIS_DATOS!$C$1525))/2),(INDEX($E$8:$E$23,MIN(INT(($A33-1)/5)+1,CROQUIS_DATOS!$C$1525))+INDEX($F$8:$F$23,MIN(INT(($A33-1)/5)+1,CROQUIS_DATOS!$C$1525))/2),(INDEX($E$8:$E$23,MIN(INT(($A33-1)/5)+1,CROQUIS_DATOS!$C$1525))+INDEX($F$8:$F$23,MIN(INT(($A33-1)/5)+1,CROQUIS_DATOS!$C$1525))/2),(INDEX($E$8:$E$23,MIN(INT(($A33-1)/5)+1,CROQUIS_DATOS!$C$1525))-INDEX($F$8:$F$23,MIN(INT(($A33-1)/5)+1,CROQUIS_DATOS!$C$1525))/2),(INDEX($E$8:$E$23,MIN(INT(($A33-1)/5)+1,CROQUIS_DATOS!$C$1525))-INDEX($F$8:$F$23,MIN(INT(($A33-1)/5)+1,CROQUIS_DATOS!$C$1525))/2)))*CROQUIS_DATOS!$C$1569),-1000)</f>
        <v>95.24</v>
      </c>
      <c r="GE33">
        <f>IF(AND(CROQUIS_DATOS!$C$1472=1,1),(CROQUIS_DATOS!$C$1572+(CHOOSE(MIN(MAX(IF(INT(($A33-1)/5)+1&gt;CROQUIS_DATOS!$C$1525,5,MOD($A33-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3">
        <f>IF(AND(CROQUIS_DATOS!$C$1472=1,1),IF(INT(($A33-1)/4)+1&lt;=CROQUIS_DATOS!$C$1525,(CROQUIS_DATOS!$C$1571+((INDEX($E$8:$E$23,MIN(INT(($A33-1)/4)+1,16))+IF(OR(MOD($A33-1,4)=0,MOD($A33-1,4)=3),-1,1)*(INDEX($F$8:$F$23,MIN(INT(($A33-1)/4)+1,16))/2-(CROQUIS_DATOS!$C$1530+CROQUIS_DATOS!$C$1532+IF(OR(INT(($A33-1)/4)+1=1,INT(($A33-1)/4)+1=CROQUIS_DATOS!$C$1525),CROQUIS_DATOS!$C$1534,CROQUIS_DATOS!$C$1531)/2))))*CROQUIS_DATOS!$C$1569),-1000),-1000)</f>
        <v>-1000</v>
      </c>
      <c r="GG33">
        <f>IF(AND(CROQUIS_DATOS!$C$1472=1,1),IF(INT(($A33-1)/4)+1&lt;=CROQUIS_DATOS!$C$1525,(CROQUIS_DATOS!$C$1572+((CROQUIS_DATOS!$C$1477/2+IF(MOD($A33-1,4)&lt;2,-1,1)*(CROQUIS_DATOS!$C$1527/2-(CROQUIS_DATOS!$C$1530+CROQUIS_DATOS!$C$1532+IF(OR(INT(($A33-1)/4)+1=1,INT(($A33-1)/4)+1=CROQUIS_DATOS!$C$1525),CROQUIS_DATOS!$C$1534,CROQUIS_DATOS!$C$1531)/2))))*CROQUIS_DATOS!$C$1569*CROQUIS_DATOS!$C$1570),-1000),-1000)</f>
        <v>-1000</v>
      </c>
    </row>
    <row r="34">
      <c r="A34" t="n">
        <v>27</v>
      </c>
      <c r="H34">
        <f>IF(27&lt;=CROQUIS_DATOS!$C$1539,27*CROQUIS_DATOS!$C$1536,IF(27&lt;=CROQUIS_DATOS!$C$1539+CROQUIS_DATOS!$C$1540,CROQUIS_DATOS!$C$1539*CROQUIS_DATOS!$C$1536+(27-CROQUIS_DATOS!$C$1539)*(CROQUIS_DATOS!$C$1476-2*CROQUIS_DATOS!$C$1539*CROQUIS_DATOS!$C$1536)/(CROQUIS_DATOS!$C$1540+1),CROQUIS_DATOS!$C$1476-(2*CROQUIS_DATOS!$C$1539+CROQUIS_DATOS!$C$1540+1-27)*CROQUIS_DATOS!$C$1536))</f>
        <v>310</v>
      </c>
      <c r="J34">
        <f>IF(AND(CROQUIS_DATOS!$C$1472=1,1),(CROQUIS_DATOS!$C$1563+(CHOOSE(MIN(MAX(IF(INT(($A34-1)/4)+1&gt;CROQUIS_DATOS!$C$1525,4,MOD($A34-1,4)+1),1),4),(INDEX($E$8:$E$23,MIN(INT(($A34-1)/4)+1,CROQUIS_DATOS!$C$1525))-INDEX($F$8:$F$23,MIN(INT(($A34-1)/4)+1,CROQUIS_DATOS!$C$1525))/2),(INDEX($E$8:$E$23,MIN(INT(($A34-1)/4)+1,CROQUIS_DATOS!$C$1525))-INDEX($F$8:$F$23,MIN(INT(($A34-1)/4)+1,CROQUIS_DATOS!$C$1525))/2),(INDEX($E$8:$E$23,MIN(INT(($A34-1)/4)+1,CROQUIS_DATOS!$C$1525))+INDEX($F$8:$F$23,MIN(INT(($A34-1)/4)+1,CROQUIS_DATOS!$C$1525))/2),(INDEX($E$8:$E$23,MIN(INT(($A34-1)/4)+1,CROQUIS_DATOS!$C$1525))+INDEX($F$8:$F$23,MIN(INT(($A34-1)/4)+1,CROQUIS_DATOS!$C$1525))/2)))*CROQUIS_DATOS!$C$1562),-1000)</f>
        <v>84.9137931034483</v>
      </c>
      <c r="K34">
        <f>IF(AND(CROQUIS_DATOS!$C$1472=1,1),(CROQUIS_DATOS!$C$1564+(CHOOSE(MIN(MAX(IF(INT(($A34-1)/4)+1&gt;CROQUIS_DATOS!$C$1525,4,MOD($A34-1,4)+1),1),4),0,CROQUIS_DATOS!$C$1476,CROQUIS_DATOS!$C$1476,0))*CROQUIS_DATOS!$C$1561*CROQUIS_DATOS!$C$1562),-1000)</f>
        <v>5.29310344827586</v>
      </c>
      <c r="L34">
        <f>IF(AND(CROQUIS_DATOS!$C$1472=1,1),(CROQUIS_DATOS!$C$1563+(CHOOSE(MIN(MAX(IF(INT(($A34-1)/4)+1&gt;CROQUIS_DATOS!$C$1525,4,MOD($A34-1,4)+1),1),4),((INDEX($E$8:$E$23,MIN(INT(($A34-1)/4)+1,CROQUIS_DATOS!$C$1525))-INDEX($F$8:$F$23,MIN(INT(($A34-1)/4)+1,CROQUIS_DATOS!$C$1525))/2)+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,((INDEX($E$8:$E$23,MIN(INT(($A34-1)/4)+1,CROQUIS_DATOS!$C$1525))-INDEX($F$8:$F$23,MIN(INT(($A34-1)/4)+1,CROQUIS_DATOS!$C$1525))/2)+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,((INDEX($E$8:$E$23,MIN(INT(($A34-1)/4)+1,CROQUIS_DATOS!$C$1525))+INDEX($F$8:$F$23,MIN(INT(($A34-1)/4)+1,CROQUIS_DATOS!$C$1525))/2)-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,((INDEX($E$8:$E$23,MIN(INT(($A34-1)/4)+1,CROQUIS_DATOS!$C$1525))+INDEX($F$8:$F$23,MIN(INT(($A34-1)/4)+1,CROQUIS_DATOS!$C$1525))/2)-MIN((CROQUIS_DATOS!$C$1530+CROQUIS_DATOS!$C$1532+IF(OR(MIN(INT(($A34-1)/4)+1,CROQUIS_DATOS!$C$1525)=1,MIN(INT(($A34-1)/4)+1,CROQUIS_DATOS!$C$1525)=CROQUIS_DATOS!$C$1525),CROQUIS_DATOS!$C$1534,CROQUIS_DATOS!$C$1531)/2),INDEX($F$8:$F$23,MIN(INT(($A34-1)/4)+1,CROQUIS_DATOS!$C$1525))/2-0.5))))*CROQUIS_DATOS!$C$1562),-1000)</f>
        <v>84.4792560344828</v>
      </c>
      <c r="M34">
        <f>IF(AND(CROQUIS_DATOS!$C$1472=1,1),(CROQUIS_DATOS!$C$1564+(CHOOSE(MIN(MAX(IF(INT(($A34-1)/4)+1&gt;CROQUIS_DATOS!$C$1525,4,MOD($A34-1,4)+1),1),4),CROQUIS_DATOS!$C$1543,INDEX($I$8:$I$23,MIN(INT(($A34-1)/4)+1,CROQUIS_DATOS!$C$1525)),INDEX($I$8:$I$23,MIN(INT(($A34-1)/4)+1,CROQUIS_DATOS!$C$1525)),CROQUIS_DATOS!$C$1543))*CROQUIS_DATOS!$C$1561*CROQUIS_DATOS!$C$1562),-1000)</f>
        <v>42.5654629310345</v>
      </c>
      <c r="N34">
        <f>IF(AND(CROQUIS_DATOS!$C$1472=1,1),(CROQUIS_DATOS!$C$1563+(IF(IF(IF(INT(($A34-1)/70)+1&gt;CROQUIS_DATOS!$C$1525,70,MOD($A34-1,70)+1)=1,0,IF(IF(INT(($A34-1)/70)+1&gt;CROQUIS_DATOS!$C$1525,70,MOD($A34-1,70)+1)&gt;2*CROQUIS_DATOS!$C$1541+1,IF(MOD(CROQUIS_DATOS!$C$1541,2)=1,1,0),IF(MOD(MIN(INT((IF(INT(($A34-1)/70)+1&gt;CROQUIS_DATOS!$C$1525,70,MOD($A34-1,70)+1)-2)/2)+1,CROQUIS_DATOS!$C$1541),2)=1,IF(MOD(IF(INT(($A34-1)/70)+1&gt;CROQUIS_DATOS!$C$1525,70,MOD($A34-1,70)+1)-2,2)=0,0,1),IF(MOD(IF(INT(($A34-1)/70)+1&gt;CROQUIS_DATOS!$C$1525,70,MOD($A34-1,70)+1)-2,2)=0,1,0))))=0,(INDEX($E$8:$E$23,MIN(INT(($A34-1)/70)+1,CROQUIS_DATOS!$C$1525))-INDEX($F$8:$F$23,MIN(INT(($A34-1)/70)+1,CROQUIS_DATOS!$C$1525))/2),(INDEX($E$8:$E$23,MIN(INT(($A34-1)/70)+1,CROQUIS_DATOS!$C$1525))+INDEX($F$8:$F$23,MIN(INT(($A34-1)/70)+1,CROQUIS_DATOS!$C$1525))/2)))*CROQUIS_DATOS!$C$1562),-1000)</f>
        <v>17.1810344827586</v>
      </c>
      <c r="O34">
        <f>IF(AND(CROQUIS_DATOS!$C$1472=1,1),(CROQUIS_DATOS!$C$1564+(IF(OR(IF(INT(($A34-1)/70)+1&gt;CROQUIS_DATOS!$C$1525,70,MOD($A34-1,70)+1)=1,IF(INT(($A34-1)/70)+1&gt;CROQUIS_DATOS!$C$1525,70,MOD($A34-1,70)+1)&gt;2*CROQUIS_DATOS!$C$1541+1),CROQUIS_DATOS!$C$1476,INDEX($H$8:$H$41,MIN(INT((IF(INT(($A34-1)/70)+1&gt;CROQUIS_DATOS!$C$1525,70,MOD($A34-1,70)+1)-2)/2)+1,CROQUIS_DATOS!$C$1541))))*CROQUIS_DATOS!$C$1561*CROQUIS_DATOS!$C$1562),-1000)</f>
        <v>32.2543103448276</v>
      </c>
      <c r="P34">
        <f>IF(AND(CROQUIS_DATOS!$C$1472=1,CROQUIS_DATOS!$C$1555=1),(CROQUIS_DATOS!$C$1563+(IF(IF(OR(MOD($A34-1,62)+1=1,IF(CHOOSE(MIN(MAX(MIN(INT(($A34-1)/62)+1,5),1),5),CROQUIS_DATOS!$C$1501,CROQUIS_DATOS!$C$1505,CROQUIS_DATOS!$C$1509,CROQUIS_DATOS!$C$1513,CROQUIS_DATOS!$C$1517)=1,CROQUIS_DATOS!$C$1557,0)=0),0,IF(MOD($A34-1,62)+1&gt;2*IF(CHOOSE(MIN(MAX(MIN(INT(($A34-1)/62)+1,5),1),5),CROQUIS_DATOS!$C$1501,CROQUIS_DATOS!$C$1505,CROQUIS_DATOS!$C$1509,CROQUIS_DATOS!$C$1513,CROQUIS_DATOS!$C$1517)=1,CROQUIS_DATOS!$C$1557,0)+1,IF(MOD(IF(CHOOSE(MIN(MAX(MIN(INT(($A34-1)/62)+1,5),1),5),CROQUIS_DATOS!$C$1501,CROQUIS_DATOS!$C$1505,CROQUIS_DATOS!$C$1509,CROQUIS_DATOS!$C$1513,CROQUIS_DATOS!$C$1517)=1,CROQUIS_DATOS!$C$1557,0),2)=1,1,0),IF(MOD(MIN(INT((MOD($A34-1,62)+1-2)/2)+1,MAX(IF(CHOOSE(MIN(MAX(MIN(INT(($A34-1)/62)+1,5),1),5),CROQUIS_DATOS!$C$1501,CROQUIS_DATOS!$C$1505,CROQUIS_DATOS!$C$1509,CROQUIS_DATOS!$C$1513,CROQUIS_DATOS!$C$1517)=1,CROQUIS_DATOS!$C$1557,0),1)),2)=1,IF(MOD(MOD($A34-1,62)+1-2,2)=0,0,1),IF(MOD(MOD($A34-1,62)+1-2,2)=0,1,0))))=0,(CHOOSE(MIN(MAX(MIN(INT(($A34-1)/62)+1,5),1),5),CROQUIS_DATOS!$C$1499,CROQUIS_DATOS!$C$1503,CROQUIS_DATOS!$C$1507,CROQUIS_DATOS!$C$1511,CROQUIS_DATOS!$C$1515)+IF(CHOOSE(MIN(MAX(MIN(INT(($A34-1)/62)+1,5),1),5),CROQUIS_DATOS!$C$1501,CROQUIS_DATOS!$C$1505,CROQUIS_DATOS!$C$1509,CROQUIS_DATOS!$C$1513,CROQUIS_DATOS!$C$1517)=1,CROQUIS_DATOS!$C$1526,0)),(CHOOSE(MIN(MAX(MIN(INT(($A34-1)/62)+1,5),1),5),CROQUIS_DATOS!$C$1499,CROQUIS_DATOS!$C$1503,CROQUIS_DATOS!$C$1507,CROQUIS_DATOS!$C$1511,CROQUIS_DATOS!$C$1515)+CHOOSE(MIN(MAX(MIN(INT(($A34-1)/62)+1,5),1),5),CROQUIS_DATOS!$C$1500,CROQUIS_DATOS!$C$1504,CROQUIS_DATOS!$C$1508,CROQUIS_DATOS!$C$1512,CROQUIS_DATOS!$C$1516)-IF(CHOOSE(MIN(MAX(MIN(INT(($A34-1)/62)+1,5),1),5),CROQUIS_DATOS!$C$1501,CROQUIS_DATOS!$C$1505,CROQUIS_DATOS!$C$1509,CROQUIS_DATOS!$C$1513,CROQUIS_DATOS!$C$1517)=1,CROQUIS_DATOS!$C$1526,0))))*CROQUIS_DATOS!$C$1562),-1000)</f>
        <v>-1000</v>
      </c>
      <c r="Q34">
        <f>IF(AND(CROQUIS_DATOS!$C$1472=1,CROQUIS_DATOS!$C$1555=1),(CROQUIS_DATOS!$C$1564+(IF(OR(OR(MOD($A34-1,62)+1=1,IF(CHOOSE(MIN(MAX(MIN(INT(($A34-1)/62)+1,5),1),5),CROQUIS_DATOS!$C$1501,CROQUIS_DATOS!$C$1505,CROQUIS_DATOS!$C$1509,CROQUIS_DATOS!$C$1513,CROQUIS_DATOS!$C$1517)=1,CROQUIS_DATOS!$C$1557,0)=0),MOD($A34-1,62)+1&gt;2*IF(CHOOSE(MIN(MAX(MIN(INT(($A34-1)/62)+1,5),1),5),CROQUIS_DATOS!$C$1501,CROQUIS_DATOS!$C$1505,CROQUIS_DATOS!$C$1509,CROQUIS_DATOS!$C$1513,CROQUIS_DATOS!$C$1517)=1,CROQUIS_DATOS!$C$1557,0)+1),CROQUIS_DATOS!$C$1476,MIN(INT((MOD($A34-1,62)+1-2)/2)+1,MAX(IF(CHOOSE(MIN(MAX(MIN(INT(($A34-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4">
        <f>IF(AND(CROQUIS_DATOS!$C$1472=1,1),(CROQUIS_DATOS!$C$1563+(MIN(INT(($A34-1)/2)+1,CROQUIS_DATOS!$C$1558)*CROQUIS_DATOS!$C$1559)*CROQUIS_DATOS!$C$1562),-1000)</f>
        <v>52.6856763925729</v>
      </c>
      <c r="U34">
        <f>IF(AND(CROQUIS_DATOS!$C$1472=1,1),(CROQUIS_DATOS!$C$1564+(IF(INT(($A34-1)/2)+1&gt;CROQUIS_DATOS!$C$1558,IF(MOD(CROQUIS_DATOS!$C$1558,2)=1,CROQUIS_DATOS!$C$1476+CROQUIS_DATOS!$C$1528,CROQUIS_DATOS!$C$1476),IF(IF(MOD(MIN(INT(($A34-1)/2)+1,CROQUIS_DATOS!$C$1558),2)=1,MOD($A34-1,2),1-MOD($A34-1,2))=1,CROQUIS_DATOS!$C$1476+CROQUIS_DATOS!$C$1528,CROQUIS_DATOS!$C$1476)))*CROQUIS_DATOS!$C$1561*CROQUIS_DATOS!$C$1562),-1000)</f>
        <v>43</v>
      </c>
      <c r="BZ34">
        <f>IF(AND(CROQUIS_DATOS!$C$1472=1,CROQUIS_DATOS!$C$1500&gt;0,((CROQUIS_DATOS!$C$1499+CROQUIS_DATOS!$C$1500))-(CROQUIS_DATOS!$C$1499)&gt;0.5,(CROQUIS_DATOS!$C$1476)-(0)&gt;0.5),(CROQUIS_DATOS!$C$1566+(IF(IF(MOD(MIN(INT(($A34-1)/2)+1,MAX(1,INT(((((CROQUIS_DATOS!$C$1499+CROQUIS_DATOS!$C$1500))-(CROQUIS_DATOS!$C$1499))+((CROQUIS_DATOS!$C$1476)*CROQUIS_DATOS!$C$1561-(0)*CROQUIS_DATOS!$C$1561))/CROQUIS_DATOS!$C$1568-0.000001))),2)=1,IF(INT(($A34-1)/2)+1&gt;MAX(1,INT(((((CROQUIS_DATOS!$C$1499+CROQUIS_DATOS!$C$1500))-(CROQUIS_DATOS!$C$1499))+((CROQUIS_DATOS!$C$1476)*CROQUIS_DATOS!$C$1561-(0)*CROQUIS_DATOS!$C$1561))/CROQUIS_DATOS!$C$1568-0.000001)),1,MOD($A34-1,2)),1-IF(INT(($A34-1)/2)+1&gt;MAX(1,INT(((((CROQUIS_DATOS!$C$1499+CROQUIS_DATOS!$C$1500))-(CROQUIS_DATOS!$C$1499))+((CROQUIS_DATOS!$C$1476)*CROQUIS_DATOS!$C$1561-(0)*CROQUIS_DATOS!$C$1561))/CROQUIS_DATOS!$C$1568-0.000001)),1,MOD($A34-1,2)))=1,MIN((CROQUIS_DATOS!$C$1476)*CROQUIS_DATOS!$C$1561,((CROQUIS_DATOS!$C$1499+CROQUIS_DATOS!$C$1500)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34">
        <f>IF(AND(CROQUIS_DATOS!$C$1472=1,CROQUIS_DATOS!$C$1500&gt;0,((CROQUIS_DATOS!$C$1499+CROQUIS_DATOS!$C$1500))-(CROQUIS_DATOS!$C$1499)&gt;0.5,(CROQUIS_DATOS!$C$1476)-(0)&gt;0.5),(CROQUIS_DATOS!$C$1567+(IF(IF(MOD(MIN(INT(($A34-1)/2)+1,MAX(1,INT(((((CROQUIS_DATOS!$C$1499+CROQUIS_DATOS!$C$1500))-(CROQUIS_DATOS!$C$1499))+((CROQUIS_DATOS!$C$1476)*CROQUIS_DATOS!$C$1561-(0)*CROQUIS_DATOS!$C$1561))/CROQUIS_DATOS!$C$1568-0.000001))),2)=1,IF(INT(($A34-1)/2)+1&gt;MAX(1,INT(((((CROQUIS_DATOS!$C$1499+CROQUIS_DATOS!$C$1500))-(CROQUIS_DATOS!$C$1499))+((CROQUIS_DATOS!$C$1476)*CROQUIS_DATOS!$C$1561-(0)*CROQUIS_DATOS!$C$1561))/CROQUIS_DATOS!$C$1568-0.000001)),1,MOD($A34-1,2)),1-IF(INT(($A34-1)/2)+1&gt;MAX(1,INT(((((CROQUIS_DATOS!$C$1499+CROQUIS_DATOS!$C$1500))-(CROQUIS_DATOS!$C$1499))+((CROQUIS_DATOS!$C$1476)*CROQUIS_DATOS!$C$1561-(0)*CROQUIS_DATOS!$C$1561))/CROQUIS_DATOS!$C$1568-0.000001)),1,MOD($A34-1,2)))=1,MIN((CROQUIS_DATOS!$C$1476)*CROQUIS_DATOS!$C$1561,((CROQUIS_DATOS!$C$1499+CROQUIS_DATOS!$C$1500)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34-1)/2)+1,MAX(1,INT(((((CROQUIS_DATOS!$C$1499+CROQUIS_DATOS!$C$1500))-(CROQUIS_DATOS!$C$1499))+((CROQUIS_DATOS!$C$1476)*CROQUIS_DATOS!$C$1561-(0)*CROQUIS_DATOS!$C$1561))/CROQUIS_DATOS!$C$1568-0.000001)))*CROQUIS_DATOS!$C$1568))))*CROQUIS_DATOS!$C$1565),-1000)</f>
        <v>20.7379310344828</v>
      </c>
      <c r="CB34">
        <f>IF(AND(CROQUIS_DATOS!$C$1472=1,CROQUIS_DATOS!$C$1504&gt;0,((CROQUIS_DATOS!$C$1503+CROQUIS_DATOS!$C$1504))-(CROQUIS_DATOS!$C$1503)&gt;0.5,(CROQUIS_DATOS!$C$1476)-(0)&gt;0.5),(CROQUIS_DATOS!$C$1566+(IF(IF(MOD(MIN(INT(($A34-1)/2)+1,MAX(1,INT(((((CROQUIS_DATOS!$C$1503+CROQUIS_DATOS!$C$1504))-(CROQUIS_DATOS!$C$1503))+((CROQUIS_DATOS!$C$1476)*CROQUIS_DATOS!$C$1561-(0)*CROQUIS_DATOS!$C$1561))/CROQUIS_DATOS!$C$1568-0.000001))),2)=1,IF(INT(($A34-1)/2)+1&gt;MAX(1,INT(((((CROQUIS_DATOS!$C$1503+CROQUIS_DATOS!$C$1504))-(CROQUIS_DATOS!$C$1503))+((CROQUIS_DATOS!$C$1476)*CROQUIS_DATOS!$C$1561-(0)*CROQUIS_DATOS!$C$1561))/CROQUIS_DATOS!$C$1568-0.000001)),1,MOD($A34-1,2)),1-IF(INT(($A34-1)/2)+1&gt;MAX(1,INT(((((CROQUIS_DATOS!$C$1503+CROQUIS_DATOS!$C$1504))-(CROQUIS_DATOS!$C$1503))+((CROQUIS_DATOS!$C$1476)*CROQUIS_DATOS!$C$1561-(0)*CROQUIS_DATOS!$C$1561))/CROQUIS_DATOS!$C$1568-0.000001)),1,MOD($A34-1,2)))=1,MIN((CROQUIS_DATOS!$C$1476)*CROQUIS_DATOS!$C$1561,((CROQUIS_DATOS!$C$1503+CROQUIS_DATOS!$C$1504)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34">
        <f>IF(AND(CROQUIS_DATOS!$C$1472=1,CROQUIS_DATOS!$C$1504&gt;0,((CROQUIS_DATOS!$C$1503+CROQUIS_DATOS!$C$1504))-(CROQUIS_DATOS!$C$1503)&gt;0.5,(CROQUIS_DATOS!$C$1476)-(0)&gt;0.5),(CROQUIS_DATOS!$C$1567+(IF(IF(MOD(MIN(INT(($A34-1)/2)+1,MAX(1,INT(((((CROQUIS_DATOS!$C$1503+CROQUIS_DATOS!$C$1504))-(CROQUIS_DATOS!$C$1503))+((CROQUIS_DATOS!$C$1476)*CROQUIS_DATOS!$C$1561-(0)*CROQUIS_DATOS!$C$1561))/CROQUIS_DATOS!$C$1568-0.000001))),2)=1,IF(INT(($A34-1)/2)+1&gt;MAX(1,INT(((((CROQUIS_DATOS!$C$1503+CROQUIS_DATOS!$C$1504))-(CROQUIS_DATOS!$C$1503))+((CROQUIS_DATOS!$C$1476)*CROQUIS_DATOS!$C$1561-(0)*CROQUIS_DATOS!$C$1561))/CROQUIS_DATOS!$C$1568-0.000001)),1,MOD($A34-1,2)),1-IF(INT(($A34-1)/2)+1&gt;MAX(1,INT(((((CROQUIS_DATOS!$C$1503+CROQUIS_DATOS!$C$1504))-(CROQUIS_DATOS!$C$1503))+((CROQUIS_DATOS!$C$1476)*CROQUIS_DATOS!$C$1561-(0)*CROQUIS_DATOS!$C$1561))/CROQUIS_DATOS!$C$1568-0.000001)),1,MOD($A34-1,2)))=1,MIN((CROQUIS_DATOS!$C$1476)*CROQUIS_DATOS!$C$1561,((CROQUIS_DATOS!$C$1503+CROQUIS_DATOS!$C$1504)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34-1)/2)+1,MAX(1,INT(((((CROQUIS_DATOS!$C$1503+CROQUIS_DATOS!$C$1504))-(CROQUIS_DATOS!$C$1503))+((CROQUIS_DATOS!$C$1476)*CROQUIS_DATOS!$C$1561-(0)*CROQUIS_DATOS!$C$1561))/CROQUIS_DATOS!$C$1568-0.000001)))*CROQUIS_DATOS!$C$1568))))*CROQUIS_DATOS!$C$1565),-1000)</f>
        <v>27.151724137931</v>
      </c>
      <c r="CD34">
        <f>IF(AND(CROQUIS_DATOS!$C$1472=1,CROQUIS_DATOS!$C$1508&gt;0,((CROQUIS_DATOS!$C$1507+CROQUIS_DATOS!$C$1508))-(CROQUIS_DATOS!$C$1507)&gt;0.5,(CROQUIS_DATOS!$C$1476)-(0)&gt;0.5),(CROQUIS_DATOS!$C$1566+(IF(IF(MOD(MIN(INT(($A34-1)/2)+1,MAX(1,INT(((((CROQUIS_DATOS!$C$1507+CROQUIS_DATOS!$C$1508))-(CROQUIS_DATOS!$C$1507))+((CROQUIS_DATOS!$C$1476)*CROQUIS_DATOS!$C$1561-(0)*CROQUIS_DATOS!$C$1561))/CROQUIS_DATOS!$C$1568-0.000001))),2)=1,IF(INT(($A34-1)/2)+1&gt;MAX(1,INT(((((CROQUIS_DATOS!$C$1507+CROQUIS_DATOS!$C$1508))-(CROQUIS_DATOS!$C$1507))+((CROQUIS_DATOS!$C$1476)*CROQUIS_DATOS!$C$1561-(0)*CROQUIS_DATOS!$C$1561))/CROQUIS_DATOS!$C$1568-0.000001)),1,MOD($A34-1,2)),1-IF(INT(($A34-1)/2)+1&gt;MAX(1,INT(((((CROQUIS_DATOS!$C$1507+CROQUIS_DATOS!$C$1508))-(CROQUIS_DATOS!$C$1507))+((CROQUIS_DATOS!$C$1476)*CROQUIS_DATOS!$C$1561-(0)*CROQUIS_DATOS!$C$1561))/CROQUIS_DATOS!$C$1568-0.000001)),1,MOD($A34-1,2)))=1,MIN((CROQUIS_DATOS!$C$1476)*CROQUIS_DATOS!$C$1561,((CROQUIS_DATOS!$C$1507+CROQUIS_DATOS!$C$1508)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34">
        <f>IF(AND(CROQUIS_DATOS!$C$1472=1,CROQUIS_DATOS!$C$1508&gt;0,((CROQUIS_DATOS!$C$1507+CROQUIS_DATOS!$C$1508))-(CROQUIS_DATOS!$C$1507)&gt;0.5,(CROQUIS_DATOS!$C$1476)-(0)&gt;0.5),(CROQUIS_DATOS!$C$1567+(IF(IF(MOD(MIN(INT(($A34-1)/2)+1,MAX(1,INT(((((CROQUIS_DATOS!$C$1507+CROQUIS_DATOS!$C$1508))-(CROQUIS_DATOS!$C$1507))+((CROQUIS_DATOS!$C$1476)*CROQUIS_DATOS!$C$1561-(0)*CROQUIS_DATOS!$C$1561))/CROQUIS_DATOS!$C$1568-0.000001))),2)=1,IF(INT(($A34-1)/2)+1&gt;MAX(1,INT(((((CROQUIS_DATOS!$C$1507+CROQUIS_DATOS!$C$1508))-(CROQUIS_DATOS!$C$1507))+((CROQUIS_DATOS!$C$1476)*CROQUIS_DATOS!$C$1561-(0)*CROQUIS_DATOS!$C$1561))/CROQUIS_DATOS!$C$1568-0.000001)),1,MOD($A34-1,2)),1-IF(INT(($A34-1)/2)+1&gt;MAX(1,INT(((((CROQUIS_DATOS!$C$1507+CROQUIS_DATOS!$C$1508))-(CROQUIS_DATOS!$C$1507))+((CROQUIS_DATOS!$C$1476)*CROQUIS_DATOS!$C$1561-(0)*CROQUIS_DATOS!$C$1561))/CROQUIS_DATOS!$C$1568-0.000001)),1,MOD($A34-1,2)))=1,MIN((CROQUIS_DATOS!$C$1476)*CROQUIS_DATOS!$C$1561,((CROQUIS_DATOS!$C$1507+CROQUIS_DATOS!$C$1508)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34-1)/2)+1,MAX(1,INT(((((CROQUIS_DATOS!$C$1507+CROQUIS_DATOS!$C$1508))-(CROQUIS_DATOS!$C$1507))+((CROQUIS_DATOS!$C$1476)*CROQUIS_DATOS!$C$1561-(0)*CROQUIS_DATOS!$C$1561))/CROQUIS_DATOS!$C$1568-0.000001)))*CROQUIS_DATOS!$C$1568))))*CROQUIS_DATOS!$C$1565),-1000)</f>
        <v>29.2896551724138</v>
      </c>
      <c r="CF34">
        <f>IF(AND(CROQUIS_DATOS!$C$1472=1,CROQUIS_DATOS!$C$1512&gt;0,((CROQUIS_DATOS!$C$1511+CROQUIS_DATOS!$C$1512))-(CROQUIS_DATOS!$C$1511)&gt;0.5,(CROQUIS_DATOS!$C$1476)-(0)&gt;0.5),(CROQUIS_DATOS!$C$1566+(IF(IF(MOD(MIN(INT(($A34-1)/2)+1,MAX(1,INT(((((CROQUIS_DATOS!$C$1511+CROQUIS_DATOS!$C$1512))-(CROQUIS_DATOS!$C$1511))+((CROQUIS_DATOS!$C$1476)*CROQUIS_DATOS!$C$1561-(0)*CROQUIS_DATOS!$C$1561))/CROQUIS_DATOS!$C$1568-0.000001))),2)=1,IF(INT(($A34-1)/2)+1&gt;MAX(1,INT(((((CROQUIS_DATOS!$C$1511+CROQUIS_DATOS!$C$1512))-(CROQUIS_DATOS!$C$1511))+((CROQUIS_DATOS!$C$1476)*CROQUIS_DATOS!$C$1561-(0)*CROQUIS_DATOS!$C$1561))/CROQUIS_DATOS!$C$1568-0.000001)),1,MOD($A34-1,2)),1-IF(INT(($A34-1)/2)+1&gt;MAX(1,INT(((((CROQUIS_DATOS!$C$1511+CROQUIS_DATOS!$C$1512))-(CROQUIS_DATOS!$C$1511))+((CROQUIS_DATOS!$C$1476)*CROQUIS_DATOS!$C$1561-(0)*CROQUIS_DATOS!$C$1561))/CROQUIS_DATOS!$C$1568-0.000001)),1,MOD($A34-1,2)))=1,MIN((CROQUIS_DATOS!$C$1476)*CROQUIS_DATOS!$C$1561,((CROQUIS_DATOS!$C$1511+CROQUIS_DATOS!$C$1512)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4">
        <f>IF(AND(CROQUIS_DATOS!$C$1472=1,CROQUIS_DATOS!$C$1512&gt;0,((CROQUIS_DATOS!$C$1511+CROQUIS_DATOS!$C$1512))-(CROQUIS_DATOS!$C$1511)&gt;0.5,(CROQUIS_DATOS!$C$1476)-(0)&gt;0.5),(CROQUIS_DATOS!$C$1567+(IF(IF(MOD(MIN(INT(($A34-1)/2)+1,MAX(1,INT(((((CROQUIS_DATOS!$C$1511+CROQUIS_DATOS!$C$1512))-(CROQUIS_DATOS!$C$1511))+((CROQUIS_DATOS!$C$1476)*CROQUIS_DATOS!$C$1561-(0)*CROQUIS_DATOS!$C$1561))/CROQUIS_DATOS!$C$1568-0.000001))),2)=1,IF(INT(($A34-1)/2)+1&gt;MAX(1,INT(((((CROQUIS_DATOS!$C$1511+CROQUIS_DATOS!$C$1512))-(CROQUIS_DATOS!$C$1511))+((CROQUIS_DATOS!$C$1476)*CROQUIS_DATOS!$C$1561-(0)*CROQUIS_DATOS!$C$1561))/CROQUIS_DATOS!$C$1568-0.000001)),1,MOD($A34-1,2)),1-IF(INT(($A34-1)/2)+1&gt;MAX(1,INT(((((CROQUIS_DATOS!$C$1511+CROQUIS_DATOS!$C$1512))-(CROQUIS_DATOS!$C$1511))+((CROQUIS_DATOS!$C$1476)*CROQUIS_DATOS!$C$1561-(0)*CROQUIS_DATOS!$C$1561))/CROQUIS_DATOS!$C$1568-0.000001)),1,MOD($A34-1,2)))=1,MIN((CROQUIS_DATOS!$C$1476)*CROQUIS_DATOS!$C$1561,((CROQUIS_DATOS!$C$1511+CROQUIS_DATOS!$C$1512)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4">
        <f>IF(AND(CROQUIS_DATOS!$C$1472=1,CROQUIS_DATOS!$C$1516&gt;0,((CROQUIS_DATOS!$C$1515+CROQUIS_DATOS!$C$1516))-(CROQUIS_DATOS!$C$1515)&gt;0.5,(CROQUIS_DATOS!$C$1476)-(0)&gt;0.5),(CROQUIS_DATOS!$C$1566+(IF(IF(MOD(MIN(INT(($A34-1)/2)+1,MAX(1,INT(((((CROQUIS_DATOS!$C$1515+CROQUIS_DATOS!$C$1516))-(CROQUIS_DATOS!$C$1515))+((CROQUIS_DATOS!$C$1476)*CROQUIS_DATOS!$C$1561-(0)*CROQUIS_DATOS!$C$1561))/CROQUIS_DATOS!$C$1568-0.000001))),2)=1,IF(INT(($A34-1)/2)+1&gt;MAX(1,INT(((((CROQUIS_DATOS!$C$1515+CROQUIS_DATOS!$C$1516))-(CROQUIS_DATOS!$C$1515))+((CROQUIS_DATOS!$C$1476)*CROQUIS_DATOS!$C$1561-(0)*CROQUIS_DATOS!$C$1561))/CROQUIS_DATOS!$C$1568-0.000001)),1,MOD($A34-1,2)),1-IF(INT(($A34-1)/2)+1&gt;MAX(1,INT(((((CROQUIS_DATOS!$C$1515+CROQUIS_DATOS!$C$1516))-(CROQUIS_DATOS!$C$1515))+((CROQUIS_DATOS!$C$1476)*CROQUIS_DATOS!$C$1561-(0)*CROQUIS_DATOS!$C$1561))/CROQUIS_DATOS!$C$1568-0.000001)),1,MOD($A34-1,2)))=1,MIN((CROQUIS_DATOS!$C$1476)*CROQUIS_DATOS!$C$1561,((CROQUIS_DATOS!$C$1515+CROQUIS_DATOS!$C$1516)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4">
        <f>IF(AND(CROQUIS_DATOS!$C$1472=1,CROQUIS_DATOS!$C$1516&gt;0,((CROQUIS_DATOS!$C$1515+CROQUIS_DATOS!$C$1516))-(CROQUIS_DATOS!$C$1515)&gt;0.5,(CROQUIS_DATOS!$C$1476)-(0)&gt;0.5),(CROQUIS_DATOS!$C$1567+(IF(IF(MOD(MIN(INT(($A34-1)/2)+1,MAX(1,INT(((((CROQUIS_DATOS!$C$1515+CROQUIS_DATOS!$C$1516))-(CROQUIS_DATOS!$C$1515))+((CROQUIS_DATOS!$C$1476)*CROQUIS_DATOS!$C$1561-(0)*CROQUIS_DATOS!$C$1561))/CROQUIS_DATOS!$C$1568-0.000001))),2)=1,IF(INT(($A34-1)/2)+1&gt;MAX(1,INT(((((CROQUIS_DATOS!$C$1515+CROQUIS_DATOS!$C$1516))-(CROQUIS_DATOS!$C$1515))+((CROQUIS_DATOS!$C$1476)*CROQUIS_DATOS!$C$1561-(0)*CROQUIS_DATOS!$C$1561))/CROQUIS_DATOS!$C$1568-0.000001)),1,MOD($A34-1,2)),1-IF(INT(($A34-1)/2)+1&gt;MAX(1,INT(((((CROQUIS_DATOS!$C$1515+CROQUIS_DATOS!$C$1516))-(CROQUIS_DATOS!$C$1515))+((CROQUIS_DATOS!$C$1476)*CROQUIS_DATOS!$C$1561-(0)*CROQUIS_DATOS!$C$1561))/CROQUIS_DATOS!$C$1568-0.000001)),1,MOD($A34-1,2)))=1,MIN((CROQUIS_DATOS!$C$1476)*CROQUIS_DATOS!$C$1561,((CROQUIS_DATOS!$C$1515+CROQUIS_DATOS!$C$1516)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4">
        <f>IF(AND(CROQUIS_DATOS!$C$1472=1,CROQUIS_DATOS!$C$1478&gt;=1,((CROQUIS_DATOS!$C$1479+CROQUIS_DATOS!$C$1480))-(CROQUIS_DATOS!$C$1479)&gt;0.5,(CROQUIS_DATOS!$C$1481)-(0)&gt;0.5),(CROQUIS_DATOS!$C$1566+(IF(IF(MOD(MIN(INT(($A34-1)/2)+1,MAX(1,INT(((((CROQUIS_DATOS!$C$1479+CROQUIS_DATOS!$C$1480))-(CROQUIS_DATOS!$C$1479))+((CROQUIS_DATOS!$C$1481)*CROQUIS_DATOS!$C$1561-(0)*CROQUIS_DATOS!$C$1561))/CROQUIS_DATOS!$C$1568-0.000001))),2)=1,IF(INT(($A34-1)/2)+1&gt;MAX(1,INT(((((CROQUIS_DATOS!$C$1479+CROQUIS_DATOS!$C$1480))-(CROQUIS_DATOS!$C$1479))+((CROQUIS_DATOS!$C$1481)*CROQUIS_DATOS!$C$1561-(0)*CROQUIS_DATOS!$C$1561))/CROQUIS_DATOS!$C$1568-0.000001)),1,MOD($A34-1,2)),1-IF(INT(($A34-1)/2)+1&gt;MAX(1,INT(((((CROQUIS_DATOS!$C$1479+CROQUIS_DATOS!$C$1480))-(CROQUIS_DATOS!$C$1479))+((CROQUIS_DATOS!$C$1481)*CROQUIS_DATOS!$C$1561-(0)*CROQUIS_DATOS!$C$1561))/CROQUIS_DATOS!$C$1568-0.000001)),1,MOD($A34-1,2)))=1,MIN((CROQUIS_DATOS!$C$1481)*CROQUIS_DATOS!$C$1561,((CROQUIS_DATOS!$C$1479+CROQUIS_DATOS!$C$1480)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4">
        <f>IF(AND(CROQUIS_DATOS!$C$1472=1,CROQUIS_DATOS!$C$1478&gt;=1,((CROQUIS_DATOS!$C$1479+CROQUIS_DATOS!$C$1480))-(CROQUIS_DATOS!$C$1479)&gt;0.5,(CROQUIS_DATOS!$C$1481)-(0)&gt;0.5),(CROQUIS_DATOS!$C$1567+(IF(IF(MOD(MIN(INT(($A34-1)/2)+1,MAX(1,INT(((((CROQUIS_DATOS!$C$1479+CROQUIS_DATOS!$C$1480))-(CROQUIS_DATOS!$C$1479))+((CROQUIS_DATOS!$C$1481)*CROQUIS_DATOS!$C$1561-(0)*CROQUIS_DATOS!$C$1561))/CROQUIS_DATOS!$C$1568-0.000001))),2)=1,IF(INT(($A34-1)/2)+1&gt;MAX(1,INT(((((CROQUIS_DATOS!$C$1479+CROQUIS_DATOS!$C$1480))-(CROQUIS_DATOS!$C$1479))+((CROQUIS_DATOS!$C$1481)*CROQUIS_DATOS!$C$1561-(0)*CROQUIS_DATOS!$C$1561))/CROQUIS_DATOS!$C$1568-0.000001)),1,MOD($A34-1,2)),1-IF(INT(($A34-1)/2)+1&gt;MAX(1,INT(((((CROQUIS_DATOS!$C$1479+CROQUIS_DATOS!$C$1480))-(CROQUIS_DATOS!$C$1479))+((CROQUIS_DATOS!$C$1481)*CROQUIS_DATOS!$C$1561-(0)*CROQUIS_DATOS!$C$1561))/CROQUIS_DATOS!$C$1568-0.000001)),1,MOD($A34-1,2)))=1,MIN((CROQUIS_DATOS!$C$1481)*CROQUIS_DATOS!$C$1561,((CROQUIS_DATOS!$C$1479+CROQUIS_DATOS!$C$1480)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4">
        <f>IF(AND(CROQUIS_DATOS!$C$1472=1,CROQUIS_DATOS!$C$1478&gt;=1,((CROQUIS_DATOS!$C$1479+CROQUIS_DATOS!$C$1480))-(CROQUIS_DATOS!$C$1479)&gt;0.5,(CROQUIS_DATOS!$C$1476)-((CROQUIS_DATOS!$C$1481+CROQUIS_DATOS!$C$1482))&gt;0.5),(CROQUIS_DATOS!$C$1566+(IF(IF(MOD(MIN(INT(($A34-1)/2)+1,MAX(1,INT(((((CROQUIS_DATOS!$C$1479+CROQUIS_DATOS!$C$1480))-(CROQUIS_DATOS!$C$1479))+((CROQUIS_DATOS!$C$1476)*CROQUIS_DATOS!$C$1561-((CROQUIS_DATOS!$C$1481+CROQUIS_DATOS!$C$1482))*CROQUIS_DATOS!$C$1561))/CROQUIS_DATOS!$C$1568-0.000001))),2)=1,IF(INT(($A34-1)/2)+1&gt;MAX(1,INT(((((CROQUIS_DATOS!$C$1479+CROQUIS_DATOS!$C$1480))-(CROQUIS_DATOS!$C$1479))+((CROQUIS_DATOS!$C$1476)*CROQUIS_DATOS!$C$1561-((CROQUIS_DATOS!$C$1481+CROQUIS_DATOS!$C$1482))*CROQUIS_DATOS!$C$1561))/CROQUIS_DATOS!$C$1568-0.000001)),1,MOD($A34-1,2)),1-IF(INT(($A34-1)/2)+1&gt;MAX(1,INT(((((CROQUIS_DATOS!$C$1479+CROQUIS_DATOS!$C$1480))-(CROQUIS_DATOS!$C$1479))+((CROQUIS_DATOS!$C$1476)*CROQUIS_DATOS!$C$1561-((CROQUIS_DATOS!$C$1481+CROQUIS_DATOS!$C$1482))*CROQUIS_DATOS!$C$1561))/CROQUIS_DATOS!$C$1568-0.000001)),1,MOD($A34-1,2)))=1,MIN((CROQUIS_DATOS!$C$1476)*CROQUIS_DATOS!$C$1561,((CROQUIS_DATOS!$C$1479+CROQUIS_DATOS!$C$1480)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4">
        <f>IF(AND(CROQUIS_DATOS!$C$1472=1,CROQUIS_DATOS!$C$1478&gt;=1,((CROQUIS_DATOS!$C$1479+CROQUIS_DATOS!$C$1480))-(CROQUIS_DATOS!$C$1479)&gt;0.5,(CROQUIS_DATOS!$C$1476)-((CROQUIS_DATOS!$C$1481+CROQUIS_DATOS!$C$1482))&gt;0.5),(CROQUIS_DATOS!$C$1567+(IF(IF(MOD(MIN(INT(($A34-1)/2)+1,MAX(1,INT(((((CROQUIS_DATOS!$C$1479+CROQUIS_DATOS!$C$1480))-(CROQUIS_DATOS!$C$1479))+((CROQUIS_DATOS!$C$1476)*CROQUIS_DATOS!$C$1561-((CROQUIS_DATOS!$C$1481+CROQUIS_DATOS!$C$1482))*CROQUIS_DATOS!$C$1561))/CROQUIS_DATOS!$C$1568-0.000001))),2)=1,IF(INT(($A34-1)/2)+1&gt;MAX(1,INT(((((CROQUIS_DATOS!$C$1479+CROQUIS_DATOS!$C$1480))-(CROQUIS_DATOS!$C$1479))+((CROQUIS_DATOS!$C$1476)*CROQUIS_DATOS!$C$1561-((CROQUIS_DATOS!$C$1481+CROQUIS_DATOS!$C$1482))*CROQUIS_DATOS!$C$1561))/CROQUIS_DATOS!$C$1568-0.000001)),1,MOD($A34-1,2)),1-IF(INT(($A34-1)/2)+1&gt;MAX(1,INT(((((CROQUIS_DATOS!$C$1479+CROQUIS_DATOS!$C$1480))-(CROQUIS_DATOS!$C$1479))+((CROQUIS_DATOS!$C$1476)*CROQUIS_DATOS!$C$1561-((CROQUIS_DATOS!$C$1481+CROQUIS_DATOS!$C$1482))*CROQUIS_DATOS!$C$1561))/CROQUIS_DATOS!$C$1568-0.000001)),1,MOD($A34-1,2)))=1,MIN((CROQUIS_DATOS!$C$1476)*CROQUIS_DATOS!$C$1561,((CROQUIS_DATOS!$C$1479+CROQUIS_DATOS!$C$1480)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4">
        <f>IF(AND(CROQUIS_DATOS!$C$1472=1,CROQUIS_DATOS!$C$1478&gt;=2,((CROQUIS_DATOS!$C$1484+CROQUIS_DATOS!$C$1485))-(CROQUIS_DATOS!$C$1484)&gt;0.5,(CROQUIS_DATOS!$C$1486)-(0)&gt;0.5),(CROQUIS_DATOS!$C$1566+(IF(IF(MOD(MIN(INT(($A34-1)/2)+1,MAX(1,INT(((((CROQUIS_DATOS!$C$1484+CROQUIS_DATOS!$C$1485))-(CROQUIS_DATOS!$C$1484))+((CROQUIS_DATOS!$C$1486)*CROQUIS_DATOS!$C$1561-(0)*CROQUIS_DATOS!$C$1561))/CROQUIS_DATOS!$C$1568-0.000001))),2)=1,IF(INT(($A34-1)/2)+1&gt;MAX(1,INT(((((CROQUIS_DATOS!$C$1484+CROQUIS_DATOS!$C$1485))-(CROQUIS_DATOS!$C$1484))+((CROQUIS_DATOS!$C$1486)*CROQUIS_DATOS!$C$1561-(0)*CROQUIS_DATOS!$C$1561))/CROQUIS_DATOS!$C$1568-0.000001)),1,MOD($A34-1,2)),1-IF(INT(($A34-1)/2)+1&gt;MAX(1,INT(((((CROQUIS_DATOS!$C$1484+CROQUIS_DATOS!$C$1485))-(CROQUIS_DATOS!$C$1484))+((CROQUIS_DATOS!$C$1486)*CROQUIS_DATOS!$C$1561-(0)*CROQUIS_DATOS!$C$1561))/CROQUIS_DATOS!$C$1568-0.000001)),1,MOD($A34-1,2)))=1,MIN((CROQUIS_DATOS!$C$1486)*CROQUIS_DATOS!$C$1561,((CROQUIS_DATOS!$C$1484+CROQUIS_DATOS!$C$1485)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*CROQUIS_DATOS!$C$1565),-1000)</f>
        <v>64.8965517241379</v>
      </c>
      <c r="CS34">
        <f>IF(AND(CROQUIS_DATOS!$C$1472=1,CROQUIS_DATOS!$C$1478&gt;=2,((CROQUIS_DATOS!$C$1484+CROQUIS_DATOS!$C$1485))-(CROQUIS_DATOS!$C$1484)&gt;0.5,(CROQUIS_DATOS!$C$1486)-(0)&gt;0.5),(CROQUIS_DATOS!$C$1567+(IF(IF(MOD(MIN(INT(($A34-1)/2)+1,MAX(1,INT(((((CROQUIS_DATOS!$C$1484+CROQUIS_DATOS!$C$1485))-(CROQUIS_DATOS!$C$1484))+((CROQUIS_DATOS!$C$1486)*CROQUIS_DATOS!$C$1561-(0)*CROQUIS_DATOS!$C$1561))/CROQUIS_DATOS!$C$1568-0.000001))),2)=1,IF(INT(($A34-1)/2)+1&gt;MAX(1,INT(((((CROQUIS_DATOS!$C$1484+CROQUIS_DATOS!$C$1485))-(CROQUIS_DATOS!$C$1484))+((CROQUIS_DATOS!$C$1486)*CROQUIS_DATOS!$C$1561-(0)*CROQUIS_DATOS!$C$1561))/CROQUIS_DATOS!$C$1568-0.000001)),1,MOD($A34-1,2)),1-IF(INT(($A34-1)/2)+1&gt;MAX(1,INT(((((CROQUIS_DATOS!$C$1484+CROQUIS_DATOS!$C$1485))-(CROQUIS_DATOS!$C$1484))+((CROQUIS_DATOS!$C$1486)*CROQUIS_DATOS!$C$1561-(0)*CROQUIS_DATOS!$C$1561))/CROQUIS_DATOS!$C$1568-0.000001)),1,MOD($A34-1,2)))=1,MIN((CROQUIS_DATOS!$C$1486)*CROQUIS_DATOS!$C$1561,((CROQUIS_DATOS!$C$1484+CROQUIS_DATOS!$C$1485)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34-1)/2)+1,MAX(1,INT(((((CROQUIS_DATOS!$C$1484+CROQUIS_DATOS!$C$1485))-(CROQUIS_DATOS!$C$1484))+((CROQUIS_DATOS!$C$1486)*CROQUIS_DATOS!$C$1561-(0)*CROQUIS_DATOS!$C$1561))/CROQUIS_DATOS!$C$1568-0.000001)))*CROQUIS_DATOS!$C$1568))))*CROQUIS_DATOS!$C$1565),-1000)</f>
        <v>15.3931034482759</v>
      </c>
      <c r="CT34">
        <f>IF(AND(CROQUIS_DATOS!$C$1472=1,CROQUIS_DATOS!$C$1478&gt;=2,((CROQUIS_DATOS!$C$1484+CROQUIS_DATOS!$C$1485))-(CROQUIS_DATOS!$C$1484)&gt;0.5,(CROQUIS_DATOS!$C$1476)-((CROQUIS_DATOS!$C$1486+CROQUIS_DATOS!$C$1487))&gt;0.5),(CROQUIS_DATOS!$C$1566+(IF(IF(MOD(MIN(INT(($A34-1)/2)+1,MAX(1,INT(((((CROQUIS_DATOS!$C$1484+CROQUIS_DATOS!$C$1485))-(CROQUIS_DATOS!$C$1484))+((CROQUIS_DATOS!$C$1476)*CROQUIS_DATOS!$C$1561-((CROQUIS_DATOS!$C$1486+CROQUIS_DATOS!$C$1487))*CROQUIS_DATOS!$C$1561))/CROQUIS_DATOS!$C$1568-0.000001))),2)=1,IF(INT(($A34-1)/2)+1&gt;MAX(1,INT(((((CROQUIS_DATOS!$C$1484+CROQUIS_DATOS!$C$1485))-(CROQUIS_DATOS!$C$1484))+((CROQUIS_DATOS!$C$1476)*CROQUIS_DATOS!$C$1561-((CROQUIS_DATOS!$C$1486+CROQUIS_DATOS!$C$1487))*CROQUIS_DATOS!$C$1561))/CROQUIS_DATOS!$C$1568-0.000001)),1,MOD($A34-1,2)),1-IF(INT(($A34-1)/2)+1&gt;MAX(1,INT(((((CROQUIS_DATOS!$C$1484+CROQUIS_DATOS!$C$1485))-(CROQUIS_DATOS!$C$1484))+((CROQUIS_DATOS!$C$1476)*CROQUIS_DATOS!$C$1561-((CROQUIS_DATOS!$C$1486+CROQUIS_DATOS!$C$1487))*CROQUIS_DATOS!$C$1561))/CROQUIS_DATOS!$C$1568-0.000001)),1,MOD($A34-1,2)))=1,MIN((CROQUIS_DATOS!$C$1476)*CROQUIS_DATOS!$C$1561,((CROQUIS_DATOS!$C$1484+CROQUIS_DATOS!$C$1485)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4">
        <f>IF(AND(CROQUIS_DATOS!$C$1472=1,CROQUIS_DATOS!$C$1478&gt;=2,((CROQUIS_DATOS!$C$1484+CROQUIS_DATOS!$C$1485))-(CROQUIS_DATOS!$C$1484)&gt;0.5,(CROQUIS_DATOS!$C$1476)-((CROQUIS_DATOS!$C$1486+CROQUIS_DATOS!$C$1487))&gt;0.5),(CROQUIS_DATOS!$C$1567+(IF(IF(MOD(MIN(INT(($A34-1)/2)+1,MAX(1,INT(((((CROQUIS_DATOS!$C$1484+CROQUIS_DATOS!$C$1485))-(CROQUIS_DATOS!$C$1484))+((CROQUIS_DATOS!$C$1476)*CROQUIS_DATOS!$C$1561-((CROQUIS_DATOS!$C$1486+CROQUIS_DATOS!$C$1487))*CROQUIS_DATOS!$C$1561))/CROQUIS_DATOS!$C$1568-0.000001))),2)=1,IF(INT(($A34-1)/2)+1&gt;MAX(1,INT(((((CROQUIS_DATOS!$C$1484+CROQUIS_DATOS!$C$1485))-(CROQUIS_DATOS!$C$1484))+((CROQUIS_DATOS!$C$1476)*CROQUIS_DATOS!$C$1561-((CROQUIS_DATOS!$C$1486+CROQUIS_DATOS!$C$1487))*CROQUIS_DATOS!$C$1561))/CROQUIS_DATOS!$C$1568-0.000001)),1,MOD($A34-1,2)),1-IF(INT(($A34-1)/2)+1&gt;MAX(1,INT(((((CROQUIS_DATOS!$C$1484+CROQUIS_DATOS!$C$1485))-(CROQUIS_DATOS!$C$1484))+((CROQUIS_DATOS!$C$1476)*CROQUIS_DATOS!$C$1561-((CROQUIS_DATOS!$C$1486+CROQUIS_DATOS!$C$1487))*CROQUIS_DATOS!$C$1561))/CROQUIS_DATOS!$C$1568-0.000001)),1,MOD($A34-1,2)))=1,MIN((CROQUIS_DATOS!$C$1476)*CROQUIS_DATOS!$C$1561,((CROQUIS_DATOS!$C$1484+CROQUIS_DATOS!$C$1485)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4">
        <f>IF(AND(CROQUIS_DATOS!$C$1472=1,CROQUIS_DATOS!$C$1478&gt;=3,((CROQUIS_DATOS!$C$1489+CROQUIS_DATOS!$C$1490))-(CROQUIS_DATOS!$C$1489)&gt;0.5,(CROQUIS_DATOS!$C$1491)-(0)&gt;0.5),(CROQUIS_DATOS!$C$1566+(IF(IF(MOD(MIN(INT(($A34-1)/2)+1,MAX(1,INT(((((CROQUIS_DATOS!$C$1489+CROQUIS_DATOS!$C$1490))-(CROQUIS_DATOS!$C$1489))+((CROQUIS_DATOS!$C$1491)*CROQUIS_DATOS!$C$1561-(0)*CROQUIS_DATOS!$C$1561))/CROQUIS_DATOS!$C$1568-0.000001))),2)=1,IF(INT(($A34-1)/2)+1&gt;MAX(1,INT(((((CROQUIS_DATOS!$C$1489+CROQUIS_DATOS!$C$1490))-(CROQUIS_DATOS!$C$1489))+((CROQUIS_DATOS!$C$1491)*CROQUIS_DATOS!$C$1561-(0)*CROQUIS_DATOS!$C$1561))/CROQUIS_DATOS!$C$1568-0.000001)),1,MOD($A34-1,2)),1-IF(INT(($A34-1)/2)+1&gt;MAX(1,INT(((((CROQUIS_DATOS!$C$1489+CROQUIS_DATOS!$C$1490))-(CROQUIS_DATOS!$C$1489))+((CROQUIS_DATOS!$C$1491)*CROQUIS_DATOS!$C$1561-(0)*CROQUIS_DATOS!$C$1561))/CROQUIS_DATOS!$C$1568-0.000001)),1,MOD($A34-1,2)))=1,MIN((CROQUIS_DATOS!$C$1491)*CROQUIS_DATOS!$C$1561,((CROQUIS_DATOS!$C$1489+CROQUIS_DATOS!$C$1490)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4">
        <f>IF(AND(CROQUIS_DATOS!$C$1472=1,CROQUIS_DATOS!$C$1478&gt;=3,((CROQUIS_DATOS!$C$1489+CROQUIS_DATOS!$C$1490))-(CROQUIS_DATOS!$C$1489)&gt;0.5,(CROQUIS_DATOS!$C$1491)-(0)&gt;0.5),(CROQUIS_DATOS!$C$1567+(IF(IF(MOD(MIN(INT(($A34-1)/2)+1,MAX(1,INT(((((CROQUIS_DATOS!$C$1489+CROQUIS_DATOS!$C$1490))-(CROQUIS_DATOS!$C$1489))+((CROQUIS_DATOS!$C$1491)*CROQUIS_DATOS!$C$1561-(0)*CROQUIS_DATOS!$C$1561))/CROQUIS_DATOS!$C$1568-0.000001))),2)=1,IF(INT(($A34-1)/2)+1&gt;MAX(1,INT(((((CROQUIS_DATOS!$C$1489+CROQUIS_DATOS!$C$1490))-(CROQUIS_DATOS!$C$1489))+((CROQUIS_DATOS!$C$1491)*CROQUIS_DATOS!$C$1561-(0)*CROQUIS_DATOS!$C$1561))/CROQUIS_DATOS!$C$1568-0.000001)),1,MOD($A34-1,2)),1-IF(INT(($A34-1)/2)+1&gt;MAX(1,INT(((((CROQUIS_DATOS!$C$1489+CROQUIS_DATOS!$C$1490))-(CROQUIS_DATOS!$C$1489))+((CROQUIS_DATOS!$C$1491)*CROQUIS_DATOS!$C$1561-(0)*CROQUIS_DATOS!$C$1561))/CROQUIS_DATOS!$C$1568-0.000001)),1,MOD($A34-1,2)))=1,MIN((CROQUIS_DATOS!$C$1491)*CROQUIS_DATOS!$C$1561,((CROQUIS_DATOS!$C$1489+CROQUIS_DATOS!$C$1490)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4">
        <f>IF(AND(CROQUIS_DATOS!$C$1472=1,CROQUIS_DATOS!$C$1478&gt;=3,((CROQUIS_DATOS!$C$1489+CROQUIS_DATOS!$C$1490))-(CROQUIS_DATOS!$C$1489)&gt;0.5,(CROQUIS_DATOS!$C$1476)-((CROQUIS_DATOS!$C$1491+CROQUIS_DATOS!$C$1492))&gt;0.5),(CROQUIS_DATOS!$C$1566+(IF(IF(MOD(MIN(INT(($A34-1)/2)+1,MAX(1,INT(((((CROQUIS_DATOS!$C$1489+CROQUIS_DATOS!$C$1490))-(CROQUIS_DATOS!$C$1489))+((CROQUIS_DATOS!$C$1476)*CROQUIS_DATOS!$C$1561-((CROQUIS_DATOS!$C$1491+CROQUIS_DATOS!$C$1492))*CROQUIS_DATOS!$C$1561))/CROQUIS_DATOS!$C$1568-0.000001))),2)=1,IF(INT(($A34-1)/2)+1&gt;MAX(1,INT(((((CROQUIS_DATOS!$C$1489+CROQUIS_DATOS!$C$1490))-(CROQUIS_DATOS!$C$1489))+((CROQUIS_DATOS!$C$1476)*CROQUIS_DATOS!$C$1561-((CROQUIS_DATOS!$C$1491+CROQUIS_DATOS!$C$1492))*CROQUIS_DATOS!$C$1561))/CROQUIS_DATOS!$C$1568-0.000001)),1,MOD($A34-1,2)),1-IF(INT(($A34-1)/2)+1&gt;MAX(1,INT(((((CROQUIS_DATOS!$C$1489+CROQUIS_DATOS!$C$1490))-(CROQUIS_DATOS!$C$1489))+((CROQUIS_DATOS!$C$1476)*CROQUIS_DATOS!$C$1561-((CROQUIS_DATOS!$C$1491+CROQUIS_DATOS!$C$1492))*CROQUIS_DATOS!$C$1561))/CROQUIS_DATOS!$C$1568-0.000001)),1,MOD($A34-1,2)))=1,MIN((CROQUIS_DATOS!$C$1476)*CROQUIS_DATOS!$C$1561,((CROQUIS_DATOS!$C$1489+CROQUIS_DATOS!$C$1490)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4">
        <f>IF(AND(CROQUIS_DATOS!$C$1472=1,CROQUIS_DATOS!$C$1478&gt;=3,((CROQUIS_DATOS!$C$1489+CROQUIS_DATOS!$C$1490))-(CROQUIS_DATOS!$C$1489)&gt;0.5,(CROQUIS_DATOS!$C$1476)-((CROQUIS_DATOS!$C$1491+CROQUIS_DATOS!$C$1492))&gt;0.5),(CROQUIS_DATOS!$C$1567+(IF(IF(MOD(MIN(INT(($A34-1)/2)+1,MAX(1,INT(((((CROQUIS_DATOS!$C$1489+CROQUIS_DATOS!$C$1490))-(CROQUIS_DATOS!$C$1489))+((CROQUIS_DATOS!$C$1476)*CROQUIS_DATOS!$C$1561-((CROQUIS_DATOS!$C$1491+CROQUIS_DATOS!$C$1492))*CROQUIS_DATOS!$C$1561))/CROQUIS_DATOS!$C$1568-0.000001))),2)=1,IF(INT(($A34-1)/2)+1&gt;MAX(1,INT(((((CROQUIS_DATOS!$C$1489+CROQUIS_DATOS!$C$1490))-(CROQUIS_DATOS!$C$1489))+((CROQUIS_DATOS!$C$1476)*CROQUIS_DATOS!$C$1561-((CROQUIS_DATOS!$C$1491+CROQUIS_DATOS!$C$1492))*CROQUIS_DATOS!$C$1561))/CROQUIS_DATOS!$C$1568-0.000001)),1,MOD($A34-1,2)),1-IF(INT(($A34-1)/2)+1&gt;MAX(1,INT(((((CROQUIS_DATOS!$C$1489+CROQUIS_DATOS!$C$1490))-(CROQUIS_DATOS!$C$1489))+((CROQUIS_DATOS!$C$1476)*CROQUIS_DATOS!$C$1561-((CROQUIS_DATOS!$C$1491+CROQUIS_DATOS!$C$1492))*CROQUIS_DATOS!$C$1561))/CROQUIS_DATOS!$C$1568-0.000001)),1,MOD($A34-1,2)))=1,MIN((CROQUIS_DATOS!$C$1476)*CROQUIS_DATOS!$C$1561,((CROQUIS_DATOS!$C$1489+CROQUIS_DATOS!$C$1490)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4">
        <f>IF(AND(CROQUIS_DATOS!$C$1472=1,CROQUIS_DATOS!$C$1478&gt;=4,((CROQUIS_DATOS!$C$1494+CROQUIS_DATOS!$C$1495))-(CROQUIS_DATOS!$C$1494)&gt;0.5,(CROQUIS_DATOS!$C$1496)-(0)&gt;0.5),(CROQUIS_DATOS!$C$1566+(IF(IF(MOD(MIN(INT(($A34-1)/2)+1,MAX(1,INT(((((CROQUIS_DATOS!$C$1494+CROQUIS_DATOS!$C$1495))-(CROQUIS_DATOS!$C$1494))+((CROQUIS_DATOS!$C$1496)*CROQUIS_DATOS!$C$1561-(0)*CROQUIS_DATOS!$C$1561))/CROQUIS_DATOS!$C$1568-0.000001))),2)=1,IF(INT(($A34-1)/2)+1&gt;MAX(1,INT(((((CROQUIS_DATOS!$C$1494+CROQUIS_DATOS!$C$1495))-(CROQUIS_DATOS!$C$1494))+((CROQUIS_DATOS!$C$1496)*CROQUIS_DATOS!$C$1561-(0)*CROQUIS_DATOS!$C$1561))/CROQUIS_DATOS!$C$1568-0.000001)),1,MOD($A34-1,2)),1-IF(INT(($A34-1)/2)+1&gt;MAX(1,INT(((((CROQUIS_DATOS!$C$1494+CROQUIS_DATOS!$C$1495))-(CROQUIS_DATOS!$C$1494))+((CROQUIS_DATOS!$C$1496)*CROQUIS_DATOS!$C$1561-(0)*CROQUIS_DATOS!$C$1561))/CROQUIS_DATOS!$C$1568-0.000001)),1,MOD($A34-1,2)))=1,MIN((CROQUIS_DATOS!$C$1496)*CROQUIS_DATOS!$C$1561,((CROQUIS_DATOS!$C$1494+CROQUIS_DATOS!$C$1495)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4">
        <f>IF(AND(CROQUIS_DATOS!$C$1472=1,CROQUIS_DATOS!$C$1478&gt;=4,((CROQUIS_DATOS!$C$1494+CROQUIS_DATOS!$C$1495))-(CROQUIS_DATOS!$C$1494)&gt;0.5,(CROQUIS_DATOS!$C$1496)-(0)&gt;0.5),(CROQUIS_DATOS!$C$1567+(IF(IF(MOD(MIN(INT(($A34-1)/2)+1,MAX(1,INT(((((CROQUIS_DATOS!$C$1494+CROQUIS_DATOS!$C$1495))-(CROQUIS_DATOS!$C$1494))+((CROQUIS_DATOS!$C$1496)*CROQUIS_DATOS!$C$1561-(0)*CROQUIS_DATOS!$C$1561))/CROQUIS_DATOS!$C$1568-0.000001))),2)=1,IF(INT(($A34-1)/2)+1&gt;MAX(1,INT(((((CROQUIS_DATOS!$C$1494+CROQUIS_DATOS!$C$1495))-(CROQUIS_DATOS!$C$1494))+((CROQUIS_DATOS!$C$1496)*CROQUIS_DATOS!$C$1561-(0)*CROQUIS_DATOS!$C$1561))/CROQUIS_DATOS!$C$1568-0.000001)),1,MOD($A34-1,2)),1-IF(INT(($A34-1)/2)+1&gt;MAX(1,INT(((((CROQUIS_DATOS!$C$1494+CROQUIS_DATOS!$C$1495))-(CROQUIS_DATOS!$C$1494))+((CROQUIS_DATOS!$C$1496)*CROQUIS_DATOS!$C$1561-(0)*CROQUIS_DATOS!$C$1561))/CROQUIS_DATOS!$C$1568-0.000001)),1,MOD($A34-1,2)))=1,MIN((CROQUIS_DATOS!$C$1496)*CROQUIS_DATOS!$C$1561,((CROQUIS_DATOS!$C$1494+CROQUIS_DATOS!$C$1495)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4">
        <f>IF(AND(CROQUIS_DATOS!$C$1472=1,CROQUIS_DATOS!$C$1478&gt;=4,((CROQUIS_DATOS!$C$1494+CROQUIS_DATOS!$C$1495))-(CROQUIS_DATOS!$C$1494)&gt;0.5,(CROQUIS_DATOS!$C$1476)-((CROQUIS_DATOS!$C$1496+CROQUIS_DATOS!$C$1497))&gt;0.5),(CROQUIS_DATOS!$C$1566+(IF(IF(MOD(MIN(INT(($A34-1)/2)+1,MAX(1,INT(((((CROQUIS_DATOS!$C$1494+CROQUIS_DATOS!$C$1495))-(CROQUIS_DATOS!$C$1494))+((CROQUIS_DATOS!$C$1476)*CROQUIS_DATOS!$C$1561-((CROQUIS_DATOS!$C$1496+CROQUIS_DATOS!$C$1497))*CROQUIS_DATOS!$C$1561))/CROQUIS_DATOS!$C$1568-0.000001))),2)=1,IF(INT(($A34-1)/2)+1&gt;MAX(1,INT(((((CROQUIS_DATOS!$C$1494+CROQUIS_DATOS!$C$1495))-(CROQUIS_DATOS!$C$1494))+((CROQUIS_DATOS!$C$1476)*CROQUIS_DATOS!$C$1561-((CROQUIS_DATOS!$C$1496+CROQUIS_DATOS!$C$1497))*CROQUIS_DATOS!$C$1561))/CROQUIS_DATOS!$C$1568-0.000001)),1,MOD($A34-1,2)),1-IF(INT(($A34-1)/2)+1&gt;MAX(1,INT(((((CROQUIS_DATOS!$C$1494+CROQUIS_DATOS!$C$1495))-(CROQUIS_DATOS!$C$1494))+((CROQUIS_DATOS!$C$1476)*CROQUIS_DATOS!$C$1561-((CROQUIS_DATOS!$C$1496+CROQUIS_DATOS!$C$1497))*CROQUIS_DATOS!$C$1561))/CROQUIS_DATOS!$C$1568-0.000001)),1,MOD($A34-1,2)))=1,MIN((CROQUIS_DATOS!$C$1476)*CROQUIS_DATOS!$C$1561,((CROQUIS_DATOS!$C$1494+CROQUIS_DATOS!$C$1495)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4">
        <f>IF(AND(CROQUIS_DATOS!$C$1472=1,CROQUIS_DATOS!$C$1478&gt;=4,((CROQUIS_DATOS!$C$1494+CROQUIS_DATOS!$C$1495))-(CROQUIS_DATOS!$C$1494)&gt;0.5,(CROQUIS_DATOS!$C$1476)-((CROQUIS_DATOS!$C$1496+CROQUIS_DATOS!$C$1497))&gt;0.5),(CROQUIS_DATOS!$C$1567+(IF(IF(MOD(MIN(INT(($A34-1)/2)+1,MAX(1,INT(((((CROQUIS_DATOS!$C$1494+CROQUIS_DATOS!$C$1495))-(CROQUIS_DATOS!$C$1494))+((CROQUIS_DATOS!$C$1476)*CROQUIS_DATOS!$C$1561-((CROQUIS_DATOS!$C$1496+CROQUIS_DATOS!$C$1497))*CROQUIS_DATOS!$C$1561))/CROQUIS_DATOS!$C$1568-0.000001))),2)=1,IF(INT(($A34-1)/2)+1&gt;MAX(1,INT(((((CROQUIS_DATOS!$C$1494+CROQUIS_DATOS!$C$1495))-(CROQUIS_DATOS!$C$1494))+((CROQUIS_DATOS!$C$1476)*CROQUIS_DATOS!$C$1561-((CROQUIS_DATOS!$C$1496+CROQUIS_DATOS!$C$1497))*CROQUIS_DATOS!$C$1561))/CROQUIS_DATOS!$C$1568-0.000001)),1,MOD($A34-1,2)),1-IF(INT(($A34-1)/2)+1&gt;MAX(1,INT(((((CROQUIS_DATOS!$C$1494+CROQUIS_DATOS!$C$1495))-(CROQUIS_DATOS!$C$1494))+((CROQUIS_DATOS!$C$1476)*CROQUIS_DATOS!$C$1561-((CROQUIS_DATOS!$C$1496+CROQUIS_DATOS!$C$1497))*CROQUIS_DATOS!$C$1561))/CROQUIS_DATOS!$C$1568-0.000001)),1,MOD($A34-1,2)))=1,MIN((CROQUIS_DATOS!$C$1476)*CROQUIS_DATOS!$C$1561,((CROQUIS_DATOS!$C$1494+CROQUIS_DATOS!$C$1495)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4">
        <f>IF(AND(CROQUIS_DATOS!$C$1472=1,1),(CROQUIS_DATOS!$C$1571+(CHOOSE(MIN(MAX(IF(INT(($A34-1)/5)+1&gt;CROQUIS_DATOS!$C$1525,5,MOD($A34-1,5)+1),1),5),(INDEX($E$8:$E$23,MIN(INT(($A34-1)/5)+1,CROQUIS_DATOS!$C$1525))-INDEX($F$8:$F$23,MIN(INT(($A34-1)/5)+1,CROQUIS_DATOS!$C$1525))/2),(INDEX($E$8:$E$23,MIN(INT(($A34-1)/5)+1,CROQUIS_DATOS!$C$1525))+INDEX($F$8:$F$23,MIN(INT(($A34-1)/5)+1,CROQUIS_DATOS!$C$1525))/2),(INDEX($E$8:$E$23,MIN(INT(($A34-1)/5)+1,CROQUIS_DATOS!$C$1525))+INDEX($F$8:$F$23,MIN(INT(($A34-1)/5)+1,CROQUIS_DATOS!$C$1525))/2),(INDEX($E$8:$E$23,MIN(INT(($A34-1)/5)+1,CROQUIS_DATOS!$C$1525))-INDEX($F$8:$F$23,MIN(INT(($A34-1)/5)+1,CROQUIS_DATOS!$C$1525))/2),(INDEX($E$8:$E$23,MIN(INT(($A34-1)/5)+1,CROQUIS_DATOS!$C$1525))-INDEX($F$8:$F$23,MIN(INT(($A34-1)/5)+1,CROQUIS_DATOS!$C$1525))/2)))*CROQUIS_DATOS!$C$1569),-1000)</f>
        <v>98</v>
      </c>
      <c r="GE34">
        <f>IF(AND(CROQUIS_DATOS!$C$1472=1,1),(CROQUIS_DATOS!$C$1572+(CHOOSE(MIN(MAX(IF(INT(($A34-1)/5)+1&gt;CROQUIS_DATOS!$C$1525,5,MOD($A34-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4">
        <f>IF(AND(CROQUIS_DATOS!$C$1472=1,1),IF(INT(($A34-1)/4)+1&lt;=CROQUIS_DATOS!$C$1525,(CROQUIS_DATOS!$C$1571+((INDEX($E$8:$E$23,MIN(INT(($A34-1)/4)+1,16))+IF(OR(MOD($A34-1,4)=0,MOD($A34-1,4)=3),-1,1)*(INDEX($F$8:$F$23,MIN(INT(($A34-1)/4)+1,16))/2-(CROQUIS_DATOS!$C$1530+CROQUIS_DATOS!$C$1532+IF(OR(INT(($A34-1)/4)+1=1,INT(($A34-1)/4)+1=CROQUIS_DATOS!$C$1525),CROQUIS_DATOS!$C$1534,CROQUIS_DATOS!$C$1531)/2))))*CROQUIS_DATOS!$C$1569),-1000),-1000)</f>
        <v>-1000</v>
      </c>
      <c r="GG34">
        <f>IF(AND(CROQUIS_DATOS!$C$1472=1,1),IF(INT(($A34-1)/4)+1&lt;=CROQUIS_DATOS!$C$1525,(CROQUIS_DATOS!$C$1572+((CROQUIS_DATOS!$C$1477/2+IF(MOD($A34-1,4)&lt;2,-1,1)*(CROQUIS_DATOS!$C$1527/2-(CROQUIS_DATOS!$C$1530+CROQUIS_DATOS!$C$1532+IF(OR(INT(($A34-1)/4)+1=1,INT(($A34-1)/4)+1=CROQUIS_DATOS!$C$1525),CROQUIS_DATOS!$C$1534,CROQUIS_DATOS!$C$1531)/2))))*CROQUIS_DATOS!$C$1569*CROQUIS_DATOS!$C$1570),-1000),-1000)</f>
        <v>-1000</v>
      </c>
    </row>
    <row r="35">
      <c r="A35" t="n">
        <v>28</v>
      </c>
      <c r="H35">
        <f>IF(28&lt;=CROQUIS_DATOS!$C$1539,28*CROQUIS_DATOS!$C$1536,IF(28&lt;=CROQUIS_DATOS!$C$1539+CROQUIS_DATOS!$C$1540,CROQUIS_DATOS!$C$1539*CROQUIS_DATOS!$C$1536+(28-CROQUIS_DATOS!$C$1539)*(CROQUIS_DATOS!$C$1476-2*CROQUIS_DATOS!$C$1539*CROQUIS_DATOS!$C$1536)/(CROQUIS_DATOS!$C$1540+1),CROQUIS_DATOS!$C$1476-(2*CROQUIS_DATOS!$C$1539+CROQUIS_DATOS!$C$1540+1-28)*CROQUIS_DATOS!$C$1536))</f>
        <v>317.5</v>
      </c>
      <c r="J35">
        <f>IF(AND(CROQUIS_DATOS!$C$1472=1,1),(CROQUIS_DATOS!$C$1563+(CHOOSE(MIN(MAX(IF(INT(($A35-1)/4)+1&gt;CROQUIS_DATOS!$C$1525,4,MOD($A35-1,4)+1),1),4),(INDEX($E$8:$E$23,MIN(INT(($A35-1)/4)+1,CROQUIS_DATOS!$C$1525))-INDEX($F$8:$F$23,MIN(INT(($A35-1)/4)+1,CROQUIS_DATOS!$C$1525))/2),(INDEX($E$8:$E$23,MIN(INT(($A35-1)/4)+1,CROQUIS_DATOS!$C$1525))-INDEX($F$8:$F$23,MIN(INT(($A35-1)/4)+1,CROQUIS_DATOS!$C$1525))/2),(INDEX($E$8:$E$23,MIN(INT(($A35-1)/4)+1,CROQUIS_DATOS!$C$1525))+INDEX($F$8:$F$23,MIN(INT(($A35-1)/4)+1,CROQUIS_DATOS!$C$1525))/2),(INDEX($E$8:$E$23,MIN(INT(($A35-1)/4)+1,CROQUIS_DATOS!$C$1525))+INDEX($F$8:$F$23,MIN(INT(($A35-1)/4)+1,CROQUIS_DATOS!$C$1525))/2)))*CROQUIS_DATOS!$C$1562),-1000)</f>
        <v>84.9137931034483</v>
      </c>
      <c r="K35">
        <f>IF(AND(CROQUIS_DATOS!$C$1472=1,1),(CROQUIS_DATOS!$C$1564+(CHOOSE(MIN(MAX(IF(INT(($A35-1)/4)+1&gt;CROQUIS_DATOS!$C$1525,4,MOD($A35-1,4)+1),1),4),0,CROQUIS_DATOS!$C$1476,CROQUIS_DATOS!$C$1476,0))*CROQUIS_DATOS!$C$1561*CROQUIS_DATOS!$C$1562),-1000)</f>
        <v>5.29310344827586</v>
      </c>
      <c r="L35">
        <f>IF(AND(CROQUIS_DATOS!$C$1472=1,1),(CROQUIS_DATOS!$C$1563+(CHOOSE(MIN(MAX(IF(INT(($A35-1)/4)+1&gt;CROQUIS_DATOS!$C$1525,4,MOD($A35-1,4)+1),1),4),((INDEX($E$8:$E$23,MIN(INT(($A35-1)/4)+1,CROQUIS_DATOS!$C$1525))-INDEX($F$8:$F$23,MIN(INT(($A35-1)/4)+1,CROQUIS_DATOS!$C$1525))/2)+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,((INDEX($E$8:$E$23,MIN(INT(($A35-1)/4)+1,CROQUIS_DATOS!$C$1525))-INDEX($F$8:$F$23,MIN(INT(($A35-1)/4)+1,CROQUIS_DATOS!$C$1525))/2)+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,((INDEX($E$8:$E$23,MIN(INT(($A35-1)/4)+1,CROQUIS_DATOS!$C$1525))+INDEX($F$8:$F$23,MIN(INT(($A35-1)/4)+1,CROQUIS_DATOS!$C$1525))/2)-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,((INDEX($E$8:$E$23,MIN(INT(($A35-1)/4)+1,CROQUIS_DATOS!$C$1525))+INDEX($F$8:$F$23,MIN(INT(($A35-1)/4)+1,CROQUIS_DATOS!$C$1525))/2)-MIN((CROQUIS_DATOS!$C$1530+CROQUIS_DATOS!$C$1532+IF(OR(MIN(INT(($A35-1)/4)+1,CROQUIS_DATOS!$C$1525)=1,MIN(INT(($A35-1)/4)+1,CROQUIS_DATOS!$C$1525)=CROQUIS_DATOS!$C$1525),CROQUIS_DATOS!$C$1534,CROQUIS_DATOS!$C$1531)/2),INDEX($F$8:$F$23,MIN(INT(($A35-1)/4)+1,CROQUIS_DATOS!$C$1525))/2-0.5))))*CROQUIS_DATOS!$C$1562),-1000)</f>
        <v>84.4792560344828</v>
      </c>
      <c r="M35">
        <f>IF(AND(CROQUIS_DATOS!$C$1472=1,1),(CROQUIS_DATOS!$C$1564+(CHOOSE(MIN(MAX(IF(INT(($A35-1)/4)+1&gt;CROQUIS_DATOS!$C$1525,4,MOD($A35-1,4)+1),1),4),CROQUIS_DATOS!$C$1543,INDEX($I$8:$I$23,MIN(INT(($A35-1)/4)+1,CROQUIS_DATOS!$C$1525)),INDEX($I$8:$I$23,MIN(INT(($A35-1)/4)+1,CROQUIS_DATOS!$C$1525)),CROQUIS_DATOS!$C$1543))*CROQUIS_DATOS!$C$1561*CROQUIS_DATOS!$C$1562),-1000)</f>
        <v>42.5654629310345</v>
      </c>
      <c r="N35">
        <f>IF(AND(CROQUIS_DATOS!$C$1472=1,1),(CROQUIS_DATOS!$C$1563+(IF(IF(IF(INT(($A35-1)/70)+1&gt;CROQUIS_DATOS!$C$1525,70,MOD($A35-1,70)+1)=1,0,IF(IF(INT(($A35-1)/70)+1&gt;CROQUIS_DATOS!$C$1525,70,MOD($A35-1,70)+1)&gt;2*CROQUIS_DATOS!$C$1541+1,IF(MOD(CROQUIS_DATOS!$C$1541,2)=1,1,0),IF(MOD(MIN(INT((IF(INT(($A35-1)/70)+1&gt;CROQUIS_DATOS!$C$1525,70,MOD($A35-1,70)+1)-2)/2)+1,CROQUIS_DATOS!$C$1541),2)=1,IF(MOD(IF(INT(($A35-1)/70)+1&gt;CROQUIS_DATOS!$C$1525,70,MOD($A35-1,70)+1)-2,2)=0,0,1),IF(MOD(IF(INT(($A35-1)/70)+1&gt;CROQUIS_DATOS!$C$1525,70,MOD($A35-1,70)+1)-2,2)=0,1,0))))=0,(INDEX($E$8:$E$23,MIN(INT(($A35-1)/70)+1,CROQUIS_DATOS!$C$1525))-INDEX($F$8:$F$23,MIN(INT(($A35-1)/70)+1,CROQUIS_DATOS!$C$1525))/2),(INDEX($E$8:$E$23,MIN(INT(($A35-1)/70)+1,CROQUIS_DATOS!$C$1525))+INDEX($F$8:$F$23,MIN(INT(($A35-1)/70)+1,CROQUIS_DATOS!$C$1525))/2)))*CROQUIS_DATOS!$C$1562),-1000)</f>
        <v>17.1810344827586</v>
      </c>
      <c r="O35">
        <f>IF(AND(CROQUIS_DATOS!$C$1472=1,1),(CROQUIS_DATOS!$C$1564+(IF(OR(IF(INT(($A35-1)/70)+1&gt;CROQUIS_DATOS!$C$1525,70,MOD($A35-1,70)+1)=1,IF(INT(($A35-1)/70)+1&gt;CROQUIS_DATOS!$C$1525,70,MOD($A35-1,70)+1)&gt;2*CROQUIS_DATOS!$C$1541+1),CROQUIS_DATOS!$C$1476,INDEX($H$8:$H$41,MIN(INT((IF(INT(($A35-1)/70)+1&gt;CROQUIS_DATOS!$C$1525,70,MOD($A35-1,70)+1)-2)/2)+1,CROQUIS_DATOS!$C$1541))))*CROQUIS_DATOS!$C$1561*CROQUIS_DATOS!$C$1562),-1000)</f>
        <v>34.9698275862069</v>
      </c>
      <c r="P35">
        <f>IF(AND(CROQUIS_DATOS!$C$1472=1,CROQUIS_DATOS!$C$1555=1),(CROQUIS_DATOS!$C$1563+(IF(IF(OR(MOD($A35-1,62)+1=1,IF(CHOOSE(MIN(MAX(MIN(INT(($A35-1)/62)+1,5),1),5),CROQUIS_DATOS!$C$1501,CROQUIS_DATOS!$C$1505,CROQUIS_DATOS!$C$1509,CROQUIS_DATOS!$C$1513,CROQUIS_DATOS!$C$1517)=1,CROQUIS_DATOS!$C$1557,0)=0),0,IF(MOD($A35-1,62)+1&gt;2*IF(CHOOSE(MIN(MAX(MIN(INT(($A35-1)/62)+1,5),1),5),CROQUIS_DATOS!$C$1501,CROQUIS_DATOS!$C$1505,CROQUIS_DATOS!$C$1509,CROQUIS_DATOS!$C$1513,CROQUIS_DATOS!$C$1517)=1,CROQUIS_DATOS!$C$1557,0)+1,IF(MOD(IF(CHOOSE(MIN(MAX(MIN(INT(($A35-1)/62)+1,5),1),5),CROQUIS_DATOS!$C$1501,CROQUIS_DATOS!$C$1505,CROQUIS_DATOS!$C$1509,CROQUIS_DATOS!$C$1513,CROQUIS_DATOS!$C$1517)=1,CROQUIS_DATOS!$C$1557,0),2)=1,1,0),IF(MOD(MIN(INT((MOD($A35-1,62)+1-2)/2)+1,MAX(IF(CHOOSE(MIN(MAX(MIN(INT(($A35-1)/62)+1,5),1),5),CROQUIS_DATOS!$C$1501,CROQUIS_DATOS!$C$1505,CROQUIS_DATOS!$C$1509,CROQUIS_DATOS!$C$1513,CROQUIS_DATOS!$C$1517)=1,CROQUIS_DATOS!$C$1557,0),1)),2)=1,IF(MOD(MOD($A35-1,62)+1-2,2)=0,0,1),IF(MOD(MOD($A35-1,62)+1-2,2)=0,1,0))))=0,(CHOOSE(MIN(MAX(MIN(INT(($A35-1)/62)+1,5),1),5),CROQUIS_DATOS!$C$1499,CROQUIS_DATOS!$C$1503,CROQUIS_DATOS!$C$1507,CROQUIS_DATOS!$C$1511,CROQUIS_DATOS!$C$1515)+IF(CHOOSE(MIN(MAX(MIN(INT(($A35-1)/62)+1,5),1),5),CROQUIS_DATOS!$C$1501,CROQUIS_DATOS!$C$1505,CROQUIS_DATOS!$C$1509,CROQUIS_DATOS!$C$1513,CROQUIS_DATOS!$C$1517)=1,CROQUIS_DATOS!$C$1526,0)),(CHOOSE(MIN(MAX(MIN(INT(($A35-1)/62)+1,5),1),5),CROQUIS_DATOS!$C$1499,CROQUIS_DATOS!$C$1503,CROQUIS_DATOS!$C$1507,CROQUIS_DATOS!$C$1511,CROQUIS_DATOS!$C$1515)+CHOOSE(MIN(MAX(MIN(INT(($A35-1)/62)+1,5),1),5),CROQUIS_DATOS!$C$1500,CROQUIS_DATOS!$C$1504,CROQUIS_DATOS!$C$1508,CROQUIS_DATOS!$C$1512,CROQUIS_DATOS!$C$1516)-IF(CHOOSE(MIN(MAX(MIN(INT(($A35-1)/62)+1,5),1),5),CROQUIS_DATOS!$C$1501,CROQUIS_DATOS!$C$1505,CROQUIS_DATOS!$C$1509,CROQUIS_DATOS!$C$1513,CROQUIS_DATOS!$C$1517)=1,CROQUIS_DATOS!$C$1526,0))))*CROQUIS_DATOS!$C$1562),-1000)</f>
        <v>-1000</v>
      </c>
      <c r="Q35">
        <f>IF(AND(CROQUIS_DATOS!$C$1472=1,CROQUIS_DATOS!$C$1555=1),(CROQUIS_DATOS!$C$1564+(IF(OR(OR(MOD($A35-1,62)+1=1,IF(CHOOSE(MIN(MAX(MIN(INT(($A35-1)/62)+1,5),1),5),CROQUIS_DATOS!$C$1501,CROQUIS_DATOS!$C$1505,CROQUIS_DATOS!$C$1509,CROQUIS_DATOS!$C$1513,CROQUIS_DATOS!$C$1517)=1,CROQUIS_DATOS!$C$1557,0)=0),MOD($A35-1,62)+1&gt;2*IF(CHOOSE(MIN(MAX(MIN(INT(($A35-1)/62)+1,5),1),5),CROQUIS_DATOS!$C$1501,CROQUIS_DATOS!$C$1505,CROQUIS_DATOS!$C$1509,CROQUIS_DATOS!$C$1513,CROQUIS_DATOS!$C$1517)=1,CROQUIS_DATOS!$C$1557,0)+1),CROQUIS_DATOS!$C$1476,MIN(INT((MOD($A35-1,62)+1-2)/2)+1,MAX(IF(CHOOSE(MIN(MAX(MIN(INT(($A35-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5">
        <f>IF(AND(CROQUIS_DATOS!$C$1472=1,1),(CROQUIS_DATOS!$C$1563+(MIN(INT(($A35-1)/2)+1,CROQUIS_DATOS!$C$1558)*CROQUIS_DATOS!$C$1559)*CROQUIS_DATOS!$C$1562),-1000)</f>
        <v>52.6856763925729</v>
      </c>
      <c r="U35">
        <f>IF(AND(CROQUIS_DATOS!$C$1472=1,1),(CROQUIS_DATOS!$C$1564+(IF(INT(($A35-1)/2)+1&gt;CROQUIS_DATOS!$C$1558,IF(MOD(CROQUIS_DATOS!$C$1558,2)=1,CROQUIS_DATOS!$C$1476+CROQUIS_DATOS!$C$1528,CROQUIS_DATOS!$C$1476),IF(IF(MOD(MIN(INT(($A35-1)/2)+1,CROQUIS_DATOS!$C$1558),2)=1,MOD($A35-1,2),1-MOD($A35-1,2))=1,CROQUIS_DATOS!$C$1476+CROQUIS_DATOS!$C$1528,CROQUIS_DATOS!$C$1476)))*CROQUIS_DATOS!$C$1561*CROQUIS_DATOS!$C$1562),-1000)</f>
        <v>40.2068965517241</v>
      </c>
      <c r="BZ35">
        <f>IF(AND(CROQUIS_DATOS!$C$1472=1,CROQUIS_DATOS!$C$1500&gt;0,((CROQUIS_DATOS!$C$1499+CROQUIS_DATOS!$C$1500))-(CROQUIS_DATOS!$C$1499)&gt;0.5,(CROQUIS_DATOS!$C$1476)-(0)&gt;0.5),(CROQUIS_DATOS!$C$1566+(IF(IF(MOD(MIN(INT(($A35-1)/2)+1,MAX(1,INT(((((CROQUIS_DATOS!$C$1499+CROQUIS_DATOS!$C$1500))-(CROQUIS_DATOS!$C$1499))+((CROQUIS_DATOS!$C$1476)*CROQUIS_DATOS!$C$1561-(0)*CROQUIS_DATOS!$C$1561))/CROQUIS_DATOS!$C$1568-0.000001))),2)=1,IF(INT(($A35-1)/2)+1&gt;MAX(1,INT(((((CROQUIS_DATOS!$C$1499+CROQUIS_DATOS!$C$1500))-(CROQUIS_DATOS!$C$1499))+((CROQUIS_DATOS!$C$1476)*CROQUIS_DATOS!$C$1561-(0)*CROQUIS_DATOS!$C$1561))/CROQUIS_DATOS!$C$1568-0.000001)),1,MOD($A35-1,2)),1-IF(INT(($A35-1)/2)+1&gt;MAX(1,INT(((((CROQUIS_DATOS!$C$1499+CROQUIS_DATOS!$C$1500))-(CROQUIS_DATOS!$C$1499))+((CROQUIS_DATOS!$C$1476)*CROQUIS_DATOS!$C$1561-(0)*CROQUIS_DATOS!$C$1561))/CROQUIS_DATOS!$C$1568-0.000001)),1,MOD($A35-1,2)))=1,MIN((CROQUIS_DATOS!$C$1476)*CROQUIS_DATOS!$C$1561,((CROQUIS_DATOS!$C$1499+CROQUIS_DATOS!$C$1500)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35">
        <f>IF(AND(CROQUIS_DATOS!$C$1472=1,CROQUIS_DATOS!$C$1500&gt;0,((CROQUIS_DATOS!$C$1499+CROQUIS_DATOS!$C$1500))-(CROQUIS_DATOS!$C$1499)&gt;0.5,(CROQUIS_DATOS!$C$1476)-(0)&gt;0.5),(CROQUIS_DATOS!$C$1567+(IF(IF(MOD(MIN(INT(($A35-1)/2)+1,MAX(1,INT(((((CROQUIS_DATOS!$C$1499+CROQUIS_DATOS!$C$1500))-(CROQUIS_DATOS!$C$1499))+((CROQUIS_DATOS!$C$1476)*CROQUIS_DATOS!$C$1561-(0)*CROQUIS_DATOS!$C$1561))/CROQUIS_DATOS!$C$1568-0.000001))),2)=1,IF(INT(($A35-1)/2)+1&gt;MAX(1,INT(((((CROQUIS_DATOS!$C$1499+CROQUIS_DATOS!$C$1500))-(CROQUIS_DATOS!$C$1499))+((CROQUIS_DATOS!$C$1476)*CROQUIS_DATOS!$C$1561-(0)*CROQUIS_DATOS!$C$1561))/CROQUIS_DATOS!$C$1568-0.000001)),1,MOD($A35-1,2)),1-IF(INT(($A35-1)/2)+1&gt;MAX(1,INT(((((CROQUIS_DATOS!$C$1499+CROQUIS_DATOS!$C$1500))-(CROQUIS_DATOS!$C$1499))+((CROQUIS_DATOS!$C$1476)*CROQUIS_DATOS!$C$1561-(0)*CROQUIS_DATOS!$C$1561))/CROQUIS_DATOS!$C$1568-0.000001)),1,MOD($A35-1,2)))=1,MIN((CROQUIS_DATOS!$C$1476)*CROQUIS_DATOS!$C$1561,((CROQUIS_DATOS!$C$1499+CROQUIS_DATOS!$C$1500)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35-1)/2)+1,MAX(1,INT(((((CROQUIS_DATOS!$C$1499+CROQUIS_DATOS!$C$1500))-(CROQUIS_DATOS!$C$1499))+((CROQUIS_DATOS!$C$1476)*CROQUIS_DATOS!$C$1561-(0)*CROQUIS_DATOS!$C$1561))/CROQUIS_DATOS!$C$1568-0.000001)))*CROQUIS_DATOS!$C$1568))))*CROQUIS_DATOS!$C$1565),-1000)</f>
        <v>16.4620689655172</v>
      </c>
      <c r="CB35">
        <f>IF(AND(CROQUIS_DATOS!$C$1472=1,CROQUIS_DATOS!$C$1504&gt;0,((CROQUIS_DATOS!$C$1503+CROQUIS_DATOS!$C$1504))-(CROQUIS_DATOS!$C$1503)&gt;0.5,(CROQUIS_DATOS!$C$1476)-(0)&gt;0.5),(CROQUIS_DATOS!$C$1566+(IF(IF(MOD(MIN(INT(($A35-1)/2)+1,MAX(1,INT(((((CROQUIS_DATOS!$C$1503+CROQUIS_DATOS!$C$1504))-(CROQUIS_DATOS!$C$1503))+((CROQUIS_DATOS!$C$1476)*CROQUIS_DATOS!$C$1561-(0)*CROQUIS_DATOS!$C$1561))/CROQUIS_DATOS!$C$1568-0.000001))),2)=1,IF(INT(($A35-1)/2)+1&gt;MAX(1,INT(((((CROQUIS_DATOS!$C$1503+CROQUIS_DATOS!$C$1504))-(CROQUIS_DATOS!$C$1503))+((CROQUIS_DATOS!$C$1476)*CROQUIS_DATOS!$C$1561-(0)*CROQUIS_DATOS!$C$1561))/CROQUIS_DATOS!$C$1568-0.000001)),1,MOD($A35-1,2)),1-IF(INT(($A35-1)/2)+1&gt;MAX(1,INT(((((CROQUIS_DATOS!$C$1503+CROQUIS_DATOS!$C$1504))-(CROQUIS_DATOS!$C$1503))+((CROQUIS_DATOS!$C$1476)*CROQUIS_DATOS!$C$1561-(0)*CROQUIS_DATOS!$C$1561))/CROQUIS_DATOS!$C$1568-0.000001)),1,MOD($A35-1,2)))=1,MIN((CROQUIS_DATOS!$C$1476)*CROQUIS_DATOS!$C$1561,((CROQUIS_DATOS!$C$1503+CROQUIS_DATOS!$C$1504)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35">
        <f>IF(AND(CROQUIS_DATOS!$C$1472=1,CROQUIS_DATOS!$C$1504&gt;0,((CROQUIS_DATOS!$C$1503+CROQUIS_DATOS!$C$1504))-(CROQUIS_DATOS!$C$1503)&gt;0.5,(CROQUIS_DATOS!$C$1476)-(0)&gt;0.5),(CROQUIS_DATOS!$C$1567+(IF(IF(MOD(MIN(INT(($A35-1)/2)+1,MAX(1,INT(((((CROQUIS_DATOS!$C$1503+CROQUIS_DATOS!$C$1504))-(CROQUIS_DATOS!$C$1503))+((CROQUIS_DATOS!$C$1476)*CROQUIS_DATOS!$C$1561-(0)*CROQUIS_DATOS!$C$1561))/CROQUIS_DATOS!$C$1568-0.000001))),2)=1,IF(INT(($A35-1)/2)+1&gt;MAX(1,INT(((((CROQUIS_DATOS!$C$1503+CROQUIS_DATOS!$C$1504))-(CROQUIS_DATOS!$C$1503))+((CROQUIS_DATOS!$C$1476)*CROQUIS_DATOS!$C$1561-(0)*CROQUIS_DATOS!$C$1561))/CROQUIS_DATOS!$C$1568-0.000001)),1,MOD($A35-1,2)),1-IF(INT(($A35-1)/2)+1&gt;MAX(1,INT(((((CROQUIS_DATOS!$C$1503+CROQUIS_DATOS!$C$1504))-(CROQUIS_DATOS!$C$1503))+((CROQUIS_DATOS!$C$1476)*CROQUIS_DATOS!$C$1561-(0)*CROQUIS_DATOS!$C$1561))/CROQUIS_DATOS!$C$1568-0.000001)),1,MOD($A35-1,2)))=1,MIN((CROQUIS_DATOS!$C$1476)*CROQUIS_DATOS!$C$1561,((CROQUIS_DATOS!$C$1503+CROQUIS_DATOS!$C$1504)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35-1)/2)+1,MAX(1,INT(((((CROQUIS_DATOS!$C$1503+CROQUIS_DATOS!$C$1504))-(CROQUIS_DATOS!$C$1503))+((CROQUIS_DATOS!$C$1476)*CROQUIS_DATOS!$C$1561-(0)*CROQUIS_DATOS!$C$1561))/CROQUIS_DATOS!$C$1568-0.000001)))*CROQUIS_DATOS!$C$1568))))*CROQUIS_DATOS!$C$1565),-1000)</f>
        <v>16.4620689655172</v>
      </c>
      <c r="CD35">
        <f>IF(AND(CROQUIS_DATOS!$C$1472=1,CROQUIS_DATOS!$C$1508&gt;0,((CROQUIS_DATOS!$C$1507+CROQUIS_DATOS!$C$1508))-(CROQUIS_DATOS!$C$1507)&gt;0.5,(CROQUIS_DATOS!$C$1476)-(0)&gt;0.5),(CROQUIS_DATOS!$C$1566+(IF(IF(MOD(MIN(INT(($A35-1)/2)+1,MAX(1,INT(((((CROQUIS_DATOS!$C$1507+CROQUIS_DATOS!$C$1508))-(CROQUIS_DATOS!$C$1507))+((CROQUIS_DATOS!$C$1476)*CROQUIS_DATOS!$C$1561-(0)*CROQUIS_DATOS!$C$1561))/CROQUIS_DATOS!$C$1568-0.000001))),2)=1,IF(INT(($A35-1)/2)+1&gt;MAX(1,INT(((((CROQUIS_DATOS!$C$1507+CROQUIS_DATOS!$C$1508))-(CROQUIS_DATOS!$C$1507))+((CROQUIS_DATOS!$C$1476)*CROQUIS_DATOS!$C$1561-(0)*CROQUIS_DATOS!$C$1561))/CROQUIS_DATOS!$C$1568-0.000001)),1,MOD($A35-1,2)),1-IF(INT(($A35-1)/2)+1&gt;MAX(1,INT(((((CROQUIS_DATOS!$C$1507+CROQUIS_DATOS!$C$1508))-(CROQUIS_DATOS!$C$1507))+((CROQUIS_DATOS!$C$1476)*CROQUIS_DATOS!$C$1561-(0)*CROQUIS_DATOS!$C$1561))/CROQUIS_DATOS!$C$1568-0.000001)),1,MOD($A35-1,2)))=1,MIN((CROQUIS_DATOS!$C$1476)*CROQUIS_DATOS!$C$1561,((CROQUIS_DATOS!$C$1507+CROQUIS_DATOS!$C$1508)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35">
        <f>IF(AND(CROQUIS_DATOS!$C$1472=1,CROQUIS_DATOS!$C$1508&gt;0,((CROQUIS_DATOS!$C$1507+CROQUIS_DATOS!$C$1508))-(CROQUIS_DATOS!$C$1507)&gt;0.5,(CROQUIS_DATOS!$C$1476)-(0)&gt;0.5),(CROQUIS_DATOS!$C$1567+(IF(IF(MOD(MIN(INT(($A35-1)/2)+1,MAX(1,INT(((((CROQUIS_DATOS!$C$1507+CROQUIS_DATOS!$C$1508))-(CROQUIS_DATOS!$C$1507))+((CROQUIS_DATOS!$C$1476)*CROQUIS_DATOS!$C$1561-(0)*CROQUIS_DATOS!$C$1561))/CROQUIS_DATOS!$C$1568-0.000001))),2)=1,IF(INT(($A35-1)/2)+1&gt;MAX(1,INT(((((CROQUIS_DATOS!$C$1507+CROQUIS_DATOS!$C$1508))-(CROQUIS_DATOS!$C$1507))+((CROQUIS_DATOS!$C$1476)*CROQUIS_DATOS!$C$1561-(0)*CROQUIS_DATOS!$C$1561))/CROQUIS_DATOS!$C$1568-0.000001)),1,MOD($A35-1,2)),1-IF(INT(($A35-1)/2)+1&gt;MAX(1,INT(((((CROQUIS_DATOS!$C$1507+CROQUIS_DATOS!$C$1508))-(CROQUIS_DATOS!$C$1507))+((CROQUIS_DATOS!$C$1476)*CROQUIS_DATOS!$C$1561-(0)*CROQUIS_DATOS!$C$1561))/CROQUIS_DATOS!$C$1568-0.000001)),1,MOD($A35-1,2)))=1,MIN((CROQUIS_DATOS!$C$1476)*CROQUIS_DATOS!$C$1561,((CROQUIS_DATOS!$C$1507+CROQUIS_DATOS!$C$1508)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35-1)/2)+1,MAX(1,INT(((((CROQUIS_DATOS!$C$1507+CROQUIS_DATOS!$C$1508))-(CROQUIS_DATOS!$C$1507))+((CROQUIS_DATOS!$C$1476)*CROQUIS_DATOS!$C$1561-(0)*CROQUIS_DATOS!$C$1561))/CROQUIS_DATOS!$C$1568-0.000001)))*CROQUIS_DATOS!$C$1568))))*CROQUIS_DATOS!$C$1565),-1000)</f>
        <v>16.4620689655172</v>
      </c>
      <c r="CF35">
        <f>IF(AND(CROQUIS_DATOS!$C$1472=1,CROQUIS_DATOS!$C$1512&gt;0,((CROQUIS_DATOS!$C$1511+CROQUIS_DATOS!$C$1512))-(CROQUIS_DATOS!$C$1511)&gt;0.5,(CROQUIS_DATOS!$C$1476)-(0)&gt;0.5),(CROQUIS_DATOS!$C$1566+(IF(IF(MOD(MIN(INT(($A35-1)/2)+1,MAX(1,INT(((((CROQUIS_DATOS!$C$1511+CROQUIS_DATOS!$C$1512))-(CROQUIS_DATOS!$C$1511))+((CROQUIS_DATOS!$C$1476)*CROQUIS_DATOS!$C$1561-(0)*CROQUIS_DATOS!$C$1561))/CROQUIS_DATOS!$C$1568-0.000001))),2)=1,IF(INT(($A35-1)/2)+1&gt;MAX(1,INT(((((CROQUIS_DATOS!$C$1511+CROQUIS_DATOS!$C$1512))-(CROQUIS_DATOS!$C$1511))+((CROQUIS_DATOS!$C$1476)*CROQUIS_DATOS!$C$1561-(0)*CROQUIS_DATOS!$C$1561))/CROQUIS_DATOS!$C$1568-0.000001)),1,MOD($A35-1,2)),1-IF(INT(($A35-1)/2)+1&gt;MAX(1,INT(((((CROQUIS_DATOS!$C$1511+CROQUIS_DATOS!$C$1512))-(CROQUIS_DATOS!$C$1511))+((CROQUIS_DATOS!$C$1476)*CROQUIS_DATOS!$C$1561-(0)*CROQUIS_DATOS!$C$1561))/CROQUIS_DATOS!$C$1568-0.000001)),1,MOD($A35-1,2)))=1,MIN((CROQUIS_DATOS!$C$1476)*CROQUIS_DATOS!$C$1561,((CROQUIS_DATOS!$C$1511+CROQUIS_DATOS!$C$1512)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5">
        <f>IF(AND(CROQUIS_DATOS!$C$1472=1,CROQUIS_DATOS!$C$1512&gt;0,((CROQUIS_DATOS!$C$1511+CROQUIS_DATOS!$C$1512))-(CROQUIS_DATOS!$C$1511)&gt;0.5,(CROQUIS_DATOS!$C$1476)-(0)&gt;0.5),(CROQUIS_DATOS!$C$1567+(IF(IF(MOD(MIN(INT(($A35-1)/2)+1,MAX(1,INT(((((CROQUIS_DATOS!$C$1511+CROQUIS_DATOS!$C$1512))-(CROQUIS_DATOS!$C$1511))+((CROQUIS_DATOS!$C$1476)*CROQUIS_DATOS!$C$1561-(0)*CROQUIS_DATOS!$C$1561))/CROQUIS_DATOS!$C$1568-0.000001))),2)=1,IF(INT(($A35-1)/2)+1&gt;MAX(1,INT(((((CROQUIS_DATOS!$C$1511+CROQUIS_DATOS!$C$1512))-(CROQUIS_DATOS!$C$1511))+((CROQUIS_DATOS!$C$1476)*CROQUIS_DATOS!$C$1561-(0)*CROQUIS_DATOS!$C$1561))/CROQUIS_DATOS!$C$1568-0.000001)),1,MOD($A35-1,2)),1-IF(INT(($A35-1)/2)+1&gt;MAX(1,INT(((((CROQUIS_DATOS!$C$1511+CROQUIS_DATOS!$C$1512))-(CROQUIS_DATOS!$C$1511))+((CROQUIS_DATOS!$C$1476)*CROQUIS_DATOS!$C$1561-(0)*CROQUIS_DATOS!$C$1561))/CROQUIS_DATOS!$C$1568-0.000001)),1,MOD($A35-1,2)))=1,MIN((CROQUIS_DATOS!$C$1476)*CROQUIS_DATOS!$C$1561,((CROQUIS_DATOS!$C$1511+CROQUIS_DATOS!$C$1512)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5">
        <f>IF(AND(CROQUIS_DATOS!$C$1472=1,CROQUIS_DATOS!$C$1516&gt;0,((CROQUIS_DATOS!$C$1515+CROQUIS_DATOS!$C$1516))-(CROQUIS_DATOS!$C$1515)&gt;0.5,(CROQUIS_DATOS!$C$1476)-(0)&gt;0.5),(CROQUIS_DATOS!$C$1566+(IF(IF(MOD(MIN(INT(($A35-1)/2)+1,MAX(1,INT(((((CROQUIS_DATOS!$C$1515+CROQUIS_DATOS!$C$1516))-(CROQUIS_DATOS!$C$1515))+((CROQUIS_DATOS!$C$1476)*CROQUIS_DATOS!$C$1561-(0)*CROQUIS_DATOS!$C$1561))/CROQUIS_DATOS!$C$1568-0.000001))),2)=1,IF(INT(($A35-1)/2)+1&gt;MAX(1,INT(((((CROQUIS_DATOS!$C$1515+CROQUIS_DATOS!$C$1516))-(CROQUIS_DATOS!$C$1515))+((CROQUIS_DATOS!$C$1476)*CROQUIS_DATOS!$C$1561-(0)*CROQUIS_DATOS!$C$1561))/CROQUIS_DATOS!$C$1568-0.000001)),1,MOD($A35-1,2)),1-IF(INT(($A35-1)/2)+1&gt;MAX(1,INT(((((CROQUIS_DATOS!$C$1515+CROQUIS_DATOS!$C$1516))-(CROQUIS_DATOS!$C$1515))+((CROQUIS_DATOS!$C$1476)*CROQUIS_DATOS!$C$1561-(0)*CROQUIS_DATOS!$C$1561))/CROQUIS_DATOS!$C$1568-0.000001)),1,MOD($A35-1,2)))=1,MIN((CROQUIS_DATOS!$C$1476)*CROQUIS_DATOS!$C$1561,((CROQUIS_DATOS!$C$1515+CROQUIS_DATOS!$C$1516)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5">
        <f>IF(AND(CROQUIS_DATOS!$C$1472=1,CROQUIS_DATOS!$C$1516&gt;0,((CROQUIS_DATOS!$C$1515+CROQUIS_DATOS!$C$1516))-(CROQUIS_DATOS!$C$1515)&gt;0.5,(CROQUIS_DATOS!$C$1476)-(0)&gt;0.5),(CROQUIS_DATOS!$C$1567+(IF(IF(MOD(MIN(INT(($A35-1)/2)+1,MAX(1,INT(((((CROQUIS_DATOS!$C$1515+CROQUIS_DATOS!$C$1516))-(CROQUIS_DATOS!$C$1515))+((CROQUIS_DATOS!$C$1476)*CROQUIS_DATOS!$C$1561-(0)*CROQUIS_DATOS!$C$1561))/CROQUIS_DATOS!$C$1568-0.000001))),2)=1,IF(INT(($A35-1)/2)+1&gt;MAX(1,INT(((((CROQUIS_DATOS!$C$1515+CROQUIS_DATOS!$C$1516))-(CROQUIS_DATOS!$C$1515))+((CROQUIS_DATOS!$C$1476)*CROQUIS_DATOS!$C$1561-(0)*CROQUIS_DATOS!$C$1561))/CROQUIS_DATOS!$C$1568-0.000001)),1,MOD($A35-1,2)),1-IF(INT(($A35-1)/2)+1&gt;MAX(1,INT(((((CROQUIS_DATOS!$C$1515+CROQUIS_DATOS!$C$1516))-(CROQUIS_DATOS!$C$1515))+((CROQUIS_DATOS!$C$1476)*CROQUIS_DATOS!$C$1561-(0)*CROQUIS_DATOS!$C$1561))/CROQUIS_DATOS!$C$1568-0.000001)),1,MOD($A35-1,2)))=1,MIN((CROQUIS_DATOS!$C$1476)*CROQUIS_DATOS!$C$1561,((CROQUIS_DATOS!$C$1515+CROQUIS_DATOS!$C$1516)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5">
        <f>IF(AND(CROQUIS_DATOS!$C$1472=1,CROQUIS_DATOS!$C$1478&gt;=1,((CROQUIS_DATOS!$C$1479+CROQUIS_DATOS!$C$1480))-(CROQUIS_DATOS!$C$1479)&gt;0.5,(CROQUIS_DATOS!$C$1481)-(0)&gt;0.5),(CROQUIS_DATOS!$C$1566+(IF(IF(MOD(MIN(INT(($A35-1)/2)+1,MAX(1,INT(((((CROQUIS_DATOS!$C$1479+CROQUIS_DATOS!$C$1480))-(CROQUIS_DATOS!$C$1479))+((CROQUIS_DATOS!$C$1481)*CROQUIS_DATOS!$C$1561-(0)*CROQUIS_DATOS!$C$1561))/CROQUIS_DATOS!$C$1568-0.000001))),2)=1,IF(INT(($A35-1)/2)+1&gt;MAX(1,INT(((((CROQUIS_DATOS!$C$1479+CROQUIS_DATOS!$C$1480))-(CROQUIS_DATOS!$C$1479))+((CROQUIS_DATOS!$C$1481)*CROQUIS_DATOS!$C$1561-(0)*CROQUIS_DATOS!$C$1561))/CROQUIS_DATOS!$C$1568-0.000001)),1,MOD($A35-1,2)),1-IF(INT(($A35-1)/2)+1&gt;MAX(1,INT(((((CROQUIS_DATOS!$C$1479+CROQUIS_DATOS!$C$1480))-(CROQUIS_DATOS!$C$1479))+((CROQUIS_DATOS!$C$1481)*CROQUIS_DATOS!$C$1561-(0)*CROQUIS_DATOS!$C$1561))/CROQUIS_DATOS!$C$1568-0.000001)),1,MOD($A35-1,2)))=1,MIN((CROQUIS_DATOS!$C$1481)*CROQUIS_DATOS!$C$1561,((CROQUIS_DATOS!$C$1479+CROQUIS_DATOS!$C$1480)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5">
        <f>IF(AND(CROQUIS_DATOS!$C$1472=1,CROQUIS_DATOS!$C$1478&gt;=1,((CROQUIS_DATOS!$C$1479+CROQUIS_DATOS!$C$1480))-(CROQUIS_DATOS!$C$1479)&gt;0.5,(CROQUIS_DATOS!$C$1481)-(0)&gt;0.5),(CROQUIS_DATOS!$C$1567+(IF(IF(MOD(MIN(INT(($A35-1)/2)+1,MAX(1,INT(((((CROQUIS_DATOS!$C$1479+CROQUIS_DATOS!$C$1480))-(CROQUIS_DATOS!$C$1479))+((CROQUIS_DATOS!$C$1481)*CROQUIS_DATOS!$C$1561-(0)*CROQUIS_DATOS!$C$1561))/CROQUIS_DATOS!$C$1568-0.000001))),2)=1,IF(INT(($A35-1)/2)+1&gt;MAX(1,INT(((((CROQUIS_DATOS!$C$1479+CROQUIS_DATOS!$C$1480))-(CROQUIS_DATOS!$C$1479))+((CROQUIS_DATOS!$C$1481)*CROQUIS_DATOS!$C$1561-(0)*CROQUIS_DATOS!$C$1561))/CROQUIS_DATOS!$C$1568-0.000001)),1,MOD($A35-1,2)),1-IF(INT(($A35-1)/2)+1&gt;MAX(1,INT(((((CROQUIS_DATOS!$C$1479+CROQUIS_DATOS!$C$1480))-(CROQUIS_DATOS!$C$1479))+((CROQUIS_DATOS!$C$1481)*CROQUIS_DATOS!$C$1561-(0)*CROQUIS_DATOS!$C$1561))/CROQUIS_DATOS!$C$1568-0.000001)),1,MOD($A35-1,2)))=1,MIN((CROQUIS_DATOS!$C$1481)*CROQUIS_DATOS!$C$1561,((CROQUIS_DATOS!$C$1479+CROQUIS_DATOS!$C$1480)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5">
        <f>IF(AND(CROQUIS_DATOS!$C$1472=1,CROQUIS_DATOS!$C$1478&gt;=1,((CROQUIS_DATOS!$C$1479+CROQUIS_DATOS!$C$1480))-(CROQUIS_DATOS!$C$1479)&gt;0.5,(CROQUIS_DATOS!$C$1476)-((CROQUIS_DATOS!$C$1481+CROQUIS_DATOS!$C$1482))&gt;0.5),(CROQUIS_DATOS!$C$1566+(IF(IF(MOD(MIN(INT(($A35-1)/2)+1,MAX(1,INT(((((CROQUIS_DATOS!$C$1479+CROQUIS_DATOS!$C$1480))-(CROQUIS_DATOS!$C$1479))+((CROQUIS_DATOS!$C$1476)*CROQUIS_DATOS!$C$1561-((CROQUIS_DATOS!$C$1481+CROQUIS_DATOS!$C$1482))*CROQUIS_DATOS!$C$1561))/CROQUIS_DATOS!$C$1568-0.000001))),2)=1,IF(INT(($A35-1)/2)+1&gt;MAX(1,INT(((((CROQUIS_DATOS!$C$1479+CROQUIS_DATOS!$C$1480))-(CROQUIS_DATOS!$C$1479))+((CROQUIS_DATOS!$C$1476)*CROQUIS_DATOS!$C$1561-((CROQUIS_DATOS!$C$1481+CROQUIS_DATOS!$C$1482))*CROQUIS_DATOS!$C$1561))/CROQUIS_DATOS!$C$1568-0.000001)),1,MOD($A35-1,2)),1-IF(INT(($A35-1)/2)+1&gt;MAX(1,INT(((((CROQUIS_DATOS!$C$1479+CROQUIS_DATOS!$C$1480))-(CROQUIS_DATOS!$C$1479))+((CROQUIS_DATOS!$C$1476)*CROQUIS_DATOS!$C$1561-((CROQUIS_DATOS!$C$1481+CROQUIS_DATOS!$C$1482))*CROQUIS_DATOS!$C$1561))/CROQUIS_DATOS!$C$1568-0.000001)),1,MOD($A35-1,2)))=1,MIN((CROQUIS_DATOS!$C$1476)*CROQUIS_DATOS!$C$1561,((CROQUIS_DATOS!$C$1479+CROQUIS_DATOS!$C$1480)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5">
        <f>IF(AND(CROQUIS_DATOS!$C$1472=1,CROQUIS_DATOS!$C$1478&gt;=1,((CROQUIS_DATOS!$C$1479+CROQUIS_DATOS!$C$1480))-(CROQUIS_DATOS!$C$1479)&gt;0.5,(CROQUIS_DATOS!$C$1476)-((CROQUIS_DATOS!$C$1481+CROQUIS_DATOS!$C$1482))&gt;0.5),(CROQUIS_DATOS!$C$1567+(IF(IF(MOD(MIN(INT(($A35-1)/2)+1,MAX(1,INT(((((CROQUIS_DATOS!$C$1479+CROQUIS_DATOS!$C$1480))-(CROQUIS_DATOS!$C$1479))+((CROQUIS_DATOS!$C$1476)*CROQUIS_DATOS!$C$1561-((CROQUIS_DATOS!$C$1481+CROQUIS_DATOS!$C$1482))*CROQUIS_DATOS!$C$1561))/CROQUIS_DATOS!$C$1568-0.000001))),2)=1,IF(INT(($A35-1)/2)+1&gt;MAX(1,INT(((((CROQUIS_DATOS!$C$1479+CROQUIS_DATOS!$C$1480))-(CROQUIS_DATOS!$C$1479))+((CROQUIS_DATOS!$C$1476)*CROQUIS_DATOS!$C$1561-((CROQUIS_DATOS!$C$1481+CROQUIS_DATOS!$C$1482))*CROQUIS_DATOS!$C$1561))/CROQUIS_DATOS!$C$1568-0.000001)),1,MOD($A35-1,2)),1-IF(INT(($A35-1)/2)+1&gt;MAX(1,INT(((((CROQUIS_DATOS!$C$1479+CROQUIS_DATOS!$C$1480))-(CROQUIS_DATOS!$C$1479))+((CROQUIS_DATOS!$C$1476)*CROQUIS_DATOS!$C$1561-((CROQUIS_DATOS!$C$1481+CROQUIS_DATOS!$C$1482))*CROQUIS_DATOS!$C$1561))/CROQUIS_DATOS!$C$1568-0.000001)),1,MOD($A35-1,2)))=1,MIN((CROQUIS_DATOS!$C$1476)*CROQUIS_DATOS!$C$1561,((CROQUIS_DATOS!$C$1479+CROQUIS_DATOS!$C$1480)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5">
        <f>IF(AND(CROQUIS_DATOS!$C$1472=1,CROQUIS_DATOS!$C$1478&gt;=2,((CROQUIS_DATOS!$C$1484+CROQUIS_DATOS!$C$1485))-(CROQUIS_DATOS!$C$1484)&gt;0.5,(CROQUIS_DATOS!$C$1486)-(0)&gt;0.5),(CROQUIS_DATOS!$C$1566+(IF(IF(MOD(MIN(INT(($A35-1)/2)+1,MAX(1,INT(((((CROQUIS_DATOS!$C$1484+CROQUIS_DATOS!$C$1485))-(CROQUIS_DATOS!$C$1484))+((CROQUIS_DATOS!$C$1486)*CROQUIS_DATOS!$C$1561-(0)*CROQUIS_DATOS!$C$1561))/CROQUIS_DATOS!$C$1568-0.000001))),2)=1,IF(INT(($A35-1)/2)+1&gt;MAX(1,INT(((((CROQUIS_DATOS!$C$1484+CROQUIS_DATOS!$C$1485))-(CROQUIS_DATOS!$C$1484))+((CROQUIS_DATOS!$C$1486)*CROQUIS_DATOS!$C$1561-(0)*CROQUIS_DATOS!$C$1561))/CROQUIS_DATOS!$C$1568-0.000001)),1,MOD($A35-1,2)),1-IF(INT(($A35-1)/2)+1&gt;MAX(1,INT(((((CROQUIS_DATOS!$C$1484+CROQUIS_DATOS!$C$1485))-(CROQUIS_DATOS!$C$1484))+((CROQUIS_DATOS!$C$1486)*CROQUIS_DATOS!$C$1561-(0)*CROQUIS_DATOS!$C$1561))/CROQUIS_DATOS!$C$1568-0.000001)),1,MOD($A35-1,2)))=1,MIN((CROQUIS_DATOS!$C$1486)*CROQUIS_DATOS!$C$1561,((CROQUIS_DATOS!$C$1484+CROQUIS_DATOS!$C$1485)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*CROQUIS_DATOS!$C$1565),-1000)</f>
        <v>61.6413793103448</v>
      </c>
      <c r="CS35">
        <f>IF(AND(CROQUIS_DATOS!$C$1472=1,CROQUIS_DATOS!$C$1478&gt;=2,((CROQUIS_DATOS!$C$1484+CROQUIS_DATOS!$C$1485))-(CROQUIS_DATOS!$C$1484)&gt;0.5,(CROQUIS_DATOS!$C$1486)-(0)&gt;0.5),(CROQUIS_DATOS!$C$1567+(IF(IF(MOD(MIN(INT(($A35-1)/2)+1,MAX(1,INT(((((CROQUIS_DATOS!$C$1484+CROQUIS_DATOS!$C$1485))-(CROQUIS_DATOS!$C$1484))+((CROQUIS_DATOS!$C$1486)*CROQUIS_DATOS!$C$1561-(0)*CROQUIS_DATOS!$C$1561))/CROQUIS_DATOS!$C$1568-0.000001))),2)=1,IF(INT(($A35-1)/2)+1&gt;MAX(1,INT(((((CROQUIS_DATOS!$C$1484+CROQUIS_DATOS!$C$1485))-(CROQUIS_DATOS!$C$1484))+((CROQUIS_DATOS!$C$1486)*CROQUIS_DATOS!$C$1561-(0)*CROQUIS_DATOS!$C$1561))/CROQUIS_DATOS!$C$1568-0.000001)),1,MOD($A35-1,2)),1-IF(INT(($A35-1)/2)+1&gt;MAX(1,INT(((((CROQUIS_DATOS!$C$1484+CROQUIS_DATOS!$C$1485))-(CROQUIS_DATOS!$C$1484))+((CROQUIS_DATOS!$C$1486)*CROQUIS_DATOS!$C$1561-(0)*CROQUIS_DATOS!$C$1561))/CROQUIS_DATOS!$C$1568-0.000001)),1,MOD($A35-1,2)))=1,MIN((CROQUIS_DATOS!$C$1486)*CROQUIS_DATOS!$C$1561,((CROQUIS_DATOS!$C$1484+CROQUIS_DATOS!$C$1485)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35">
        <f>IF(AND(CROQUIS_DATOS!$C$1472=1,CROQUIS_DATOS!$C$1478&gt;=2,((CROQUIS_DATOS!$C$1484+CROQUIS_DATOS!$C$1485))-(CROQUIS_DATOS!$C$1484)&gt;0.5,(CROQUIS_DATOS!$C$1476)-((CROQUIS_DATOS!$C$1486+CROQUIS_DATOS!$C$1487))&gt;0.5),(CROQUIS_DATOS!$C$1566+(IF(IF(MOD(MIN(INT(($A35-1)/2)+1,MAX(1,INT(((((CROQUIS_DATOS!$C$1484+CROQUIS_DATOS!$C$1485))-(CROQUIS_DATOS!$C$1484))+((CROQUIS_DATOS!$C$1476)*CROQUIS_DATOS!$C$1561-((CROQUIS_DATOS!$C$1486+CROQUIS_DATOS!$C$1487))*CROQUIS_DATOS!$C$1561))/CROQUIS_DATOS!$C$1568-0.000001))),2)=1,IF(INT(($A35-1)/2)+1&gt;MAX(1,INT(((((CROQUIS_DATOS!$C$1484+CROQUIS_DATOS!$C$1485))-(CROQUIS_DATOS!$C$1484))+((CROQUIS_DATOS!$C$1476)*CROQUIS_DATOS!$C$1561-((CROQUIS_DATOS!$C$1486+CROQUIS_DATOS!$C$1487))*CROQUIS_DATOS!$C$1561))/CROQUIS_DATOS!$C$1568-0.000001)),1,MOD($A35-1,2)),1-IF(INT(($A35-1)/2)+1&gt;MAX(1,INT(((((CROQUIS_DATOS!$C$1484+CROQUIS_DATOS!$C$1485))-(CROQUIS_DATOS!$C$1484))+((CROQUIS_DATOS!$C$1476)*CROQUIS_DATOS!$C$1561-((CROQUIS_DATOS!$C$1486+CROQUIS_DATOS!$C$1487))*CROQUIS_DATOS!$C$1561))/CROQUIS_DATOS!$C$1568-0.000001)),1,MOD($A35-1,2)))=1,MIN((CROQUIS_DATOS!$C$1476)*CROQUIS_DATOS!$C$1561,((CROQUIS_DATOS!$C$1484+CROQUIS_DATOS!$C$1485)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5">
        <f>IF(AND(CROQUIS_DATOS!$C$1472=1,CROQUIS_DATOS!$C$1478&gt;=2,((CROQUIS_DATOS!$C$1484+CROQUIS_DATOS!$C$1485))-(CROQUIS_DATOS!$C$1484)&gt;0.5,(CROQUIS_DATOS!$C$1476)-((CROQUIS_DATOS!$C$1486+CROQUIS_DATOS!$C$1487))&gt;0.5),(CROQUIS_DATOS!$C$1567+(IF(IF(MOD(MIN(INT(($A35-1)/2)+1,MAX(1,INT(((((CROQUIS_DATOS!$C$1484+CROQUIS_DATOS!$C$1485))-(CROQUIS_DATOS!$C$1484))+((CROQUIS_DATOS!$C$1476)*CROQUIS_DATOS!$C$1561-((CROQUIS_DATOS!$C$1486+CROQUIS_DATOS!$C$1487))*CROQUIS_DATOS!$C$1561))/CROQUIS_DATOS!$C$1568-0.000001))),2)=1,IF(INT(($A35-1)/2)+1&gt;MAX(1,INT(((((CROQUIS_DATOS!$C$1484+CROQUIS_DATOS!$C$1485))-(CROQUIS_DATOS!$C$1484))+((CROQUIS_DATOS!$C$1476)*CROQUIS_DATOS!$C$1561-((CROQUIS_DATOS!$C$1486+CROQUIS_DATOS!$C$1487))*CROQUIS_DATOS!$C$1561))/CROQUIS_DATOS!$C$1568-0.000001)),1,MOD($A35-1,2)),1-IF(INT(($A35-1)/2)+1&gt;MAX(1,INT(((((CROQUIS_DATOS!$C$1484+CROQUIS_DATOS!$C$1485))-(CROQUIS_DATOS!$C$1484))+((CROQUIS_DATOS!$C$1476)*CROQUIS_DATOS!$C$1561-((CROQUIS_DATOS!$C$1486+CROQUIS_DATOS!$C$1487))*CROQUIS_DATOS!$C$1561))/CROQUIS_DATOS!$C$1568-0.000001)),1,MOD($A35-1,2)))=1,MIN((CROQUIS_DATOS!$C$1476)*CROQUIS_DATOS!$C$1561,((CROQUIS_DATOS!$C$1484+CROQUIS_DATOS!$C$1485)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5">
        <f>IF(AND(CROQUIS_DATOS!$C$1472=1,CROQUIS_DATOS!$C$1478&gt;=3,((CROQUIS_DATOS!$C$1489+CROQUIS_DATOS!$C$1490))-(CROQUIS_DATOS!$C$1489)&gt;0.5,(CROQUIS_DATOS!$C$1491)-(0)&gt;0.5),(CROQUIS_DATOS!$C$1566+(IF(IF(MOD(MIN(INT(($A35-1)/2)+1,MAX(1,INT(((((CROQUIS_DATOS!$C$1489+CROQUIS_DATOS!$C$1490))-(CROQUIS_DATOS!$C$1489))+((CROQUIS_DATOS!$C$1491)*CROQUIS_DATOS!$C$1561-(0)*CROQUIS_DATOS!$C$1561))/CROQUIS_DATOS!$C$1568-0.000001))),2)=1,IF(INT(($A35-1)/2)+1&gt;MAX(1,INT(((((CROQUIS_DATOS!$C$1489+CROQUIS_DATOS!$C$1490))-(CROQUIS_DATOS!$C$1489))+((CROQUIS_DATOS!$C$1491)*CROQUIS_DATOS!$C$1561-(0)*CROQUIS_DATOS!$C$1561))/CROQUIS_DATOS!$C$1568-0.000001)),1,MOD($A35-1,2)),1-IF(INT(($A35-1)/2)+1&gt;MAX(1,INT(((((CROQUIS_DATOS!$C$1489+CROQUIS_DATOS!$C$1490))-(CROQUIS_DATOS!$C$1489))+((CROQUIS_DATOS!$C$1491)*CROQUIS_DATOS!$C$1561-(0)*CROQUIS_DATOS!$C$1561))/CROQUIS_DATOS!$C$1568-0.000001)),1,MOD($A35-1,2)))=1,MIN((CROQUIS_DATOS!$C$1491)*CROQUIS_DATOS!$C$1561,((CROQUIS_DATOS!$C$1489+CROQUIS_DATOS!$C$1490)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5">
        <f>IF(AND(CROQUIS_DATOS!$C$1472=1,CROQUIS_DATOS!$C$1478&gt;=3,((CROQUIS_DATOS!$C$1489+CROQUIS_DATOS!$C$1490))-(CROQUIS_DATOS!$C$1489)&gt;0.5,(CROQUIS_DATOS!$C$1491)-(0)&gt;0.5),(CROQUIS_DATOS!$C$1567+(IF(IF(MOD(MIN(INT(($A35-1)/2)+1,MAX(1,INT(((((CROQUIS_DATOS!$C$1489+CROQUIS_DATOS!$C$1490))-(CROQUIS_DATOS!$C$1489))+((CROQUIS_DATOS!$C$1491)*CROQUIS_DATOS!$C$1561-(0)*CROQUIS_DATOS!$C$1561))/CROQUIS_DATOS!$C$1568-0.000001))),2)=1,IF(INT(($A35-1)/2)+1&gt;MAX(1,INT(((((CROQUIS_DATOS!$C$1489+CROQUIS_DATOS!$C$1490))-(CROQUIS_DATOS!$C$1489))+((CROQUIS_DATOS!$C$1491)*CROQUIS_DATOS!$C$1561-(0)*CROQUIS_DATOS!$C$1561))/CROQUIS_DATOS!$C$1568-0.000001)),1,MOD($A35-1,2)),1-IF(INT(($A35-1)/2)+1&gt;MAX(1,INT(((((CROQUIS_DATOS!$C$1489+CROQUIS_DATOS!$C$1490))-(CROQUIS_DATOS!$C$1489))+((CROQUIS_DATOS!$C$1491)*CROQUIS_DATOS!$C$1561-(0)*CROQUIS_DATOS!$C$1561))/CROQUIS_DATOS!$C$1568-0.000001)),1,MOD($A35-1,2)))=1,MIN((CROQUIS_DATOS!$C$1491)*CROQUIS_DATOS!$C$1561,((CROQUIS_DATOS!$C$1489+CROQUIS_DATOS!$C$1490)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5">
        <f>IF(AND(CROQUIS_DATOS!$C$1472=1,CROQUIS_DATOS!$C$1478&gt;=3,((CROQUIS_DATOS!$C$1489+CROQUIS_DATOS!$C$1490))-(CROQUIS_DATOS!$C$1489)&gt;0.5,(CROQUIS_DATOS!$C$1476)-((CROQUIS_DATOS!$C$1491+CROQUIS_DATOS!$C$1492))&gt;0.5),(CROQUIS_DATOS!$C$1566+(IF(IF(MOD(MIN(INT(($A35-1)/2)+1,MAX(1,INT(((((CROQUIS_DATOS!$C$1489+CROQUIS_DATOS!$C$1490))-(CROQUIS_DATOS!$C$1489))+((CROQUIS_DATOS!$C$1476)*CROQUIS_DATOS!$C$1561-((CROQUIS_DATOS!$C$1491+CROQUIS_DATOS!$C$1492))*CROQUIS_DATOS!$C$1561))/CROQUIS_DATOS!$C$1568-0.000001))),2)=1,IF(INT(($A35-1)/2)+1&gt;MAX(1,INT(((((CROQUIS_DATOS!$C$1489+CROQUIS_DATOS!$C$1490))-(CROQUIS_DATOS!$C$1489))+((CROQUIS_DATOS!$C$1476)*CROQUIS_DATOS!$C$1561-((CROQUIS_DATOS!$C$1491+CROQUIS_DATOS!$C$1492))*CROQUIS_DATOS!$C$1561))/CROQUIS_DATOS!$C$1568-0.000001)),1,MOD($A35-1,2)),1-IF(INT(($A35-1)/2)+1&gt;MAX(1,INT(((((CROQUIS_DATOS!$C$1489+CROQUIS_DATOS!$C$1490))-(CROQUIS_DATOS!$C$1489))+((CROQUIS_DATOS!$C$1476)*CROQUIS_DATOS!$C$1561-((CROQUIS_DATOS!$C$1491+CROQUIS_DATOS!$C$1492))*CROQUIS_DATOS!$C$1561))/CROQUIS_DATOS!$C$1568-0.000001)),1,MOD($A35-1,2)))=1,MIN((CROQUIS_DATOS!$C$1476)*CROQUIS_DATOS!$C$1561,((CROQUIS_DATOS!$C$1489+CROQUIS_DATOS!$C$1490)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5">
        <f>IF(AND(CROQUIS_DATOS!$C$1472=1,CROQUIS_DATOS!$C$1478&gt;=3,((CROQUIS_DATOS!$C$1489+CROQUIS_DATOS!$C$1490))-(CROQUIS_DATOS!$C$1489)&gt;0.5,(CROQUIS_DATOS!$C$1476)-((CROQUIS_DATOS!$C$1491+CROQUIS_DATOS!$C$1492))&gt;0.5),(CROQUIS_DATOS!$C$1567+(IF(IF(MOD(MIN(INT(($A35-1)/2)+1,MAX(1,INT(((((CROQUIS_DATOS!$C$1489+CROQUIS_DATOS!$C$1490))-(CROQUIS_DATOS!$C$1489))+((CROQUIS_DATOS!$C$1476)*CROQUIS_DATOS!$C$1561-((CROQUIS_DATOS!$C$1491+CROQUIS_DATOS!$C$1492))*CROQUIS_DATOS!$C$1561))/CROQUIS_DATOS!$C$1568-0.000001))),2)=1,IF(INT(($A35-1)/2)+1&gt;MAX(1,INT(((((CROQUIS_DATOS!$C$1489+CROQUIS_DATOS!$C$1490))-(CROQUIS_DATOS!$C$1489))+((CROQUIS_DATOS!$C$1476)*CROQUIS_DATOS!$C$1561-((CROQUIS_DATOS!$C$1491+CROQUIS_DATOS!$C$1492))*CROQUIS_DATOS!$C$1561))/CROQUIS_DATOS!$C$1568-0.000001)),1,MOD($A35-1,2)),1-IF(INT(($A35-1)/2)+1&gt;MAX(1,INT(((((CROQUIS_DATOS!$C$1489+CROQUIS_DATOS!$C$1490))-(CROQUIS_DATOS!$C$1489))+((CROQUIS_DATOS!$C$1476)*CROQUIS_DATOS!$C$1561-((CROQUIS_DATOS!$C$1491+CROQUIS_DATOS!$C$1492))*CROQUIS_DATOS!$C$1561))/CROQUIS_DATOS!$C$1568-0.000001)),1,MOD($A35-1,2)))=1,MIN((CROQUIS_DATOS!$C$1476)*CROQUIS_DATOS!$C$1561,((CROQUIS_DATOS!$C$1489+CROQUIS_DATOS!$C$1490)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5">
        <f>IF(AND(CROQUIS_DATOS!$C$1472=1,CROQUIS_DATOS!$C$1478&gt;=4,((CROQUIS_DATOS!$C$1494+CROQUIS_DATOS!$C$1495))-(CROQUIS_DATOS!$C$1494)&gt;0.5,(CROQUIS_DATOS!$C$1496)-(0)&gt;0.5),(CROQUIS_DATOS!$C$1566+(IF(IF(MOD(MIN(INT(($A35-1)/2)+1,MAX(1,INT(((((CROQUIS_DATOS!$C$1494+CROQUIS_DATOS!$C$1495))-(CROQUIS_DATOS!$C$1494))+((CROQUIS_DATOS!$C$1496)*CROQUIS_DATOS!$C$1561-(0)*CROQUIS_DATOS!$C$1561))/CROQUIS_DATOS!$C$1568-0.000001))),2)=1,IF(INT(($A35-1)/2)+1&gt;MAX(1,INT(((((CROQUIS_DATOS!$C$1494+CROQUIS_DATOS!$C$1495))-(CROQUIS_DATOS!$C$1494))+((CROQUIS_DATOS!$C$1496)*CROQUIS_DATOS!$C$1561-(0)*CROQUIS_DATOS!$C$1561))/CROQUIS_DATOS!$C$1568-0.000001)),1,MOD($A35-1,2)),1-IF(INT(($A35-1)/2)+1&gt;MAX(1,INT(((((CROQUIS_DATOS!$C$1494+CROQUIS_DATOS!$C$1495))-(CROQUIS_DATOS!$C$1494))+((CROQUIS_DATOS!$C$1496)*CROQUIS_DATOS!$C$1561-(0)*CROQUIS_DATOS!$C$1561))/CROQUIS_DATOS!$C$1568-0.000001)),1,MOD($A35-1,2)))=1,MIN((CROQUIS_DATOS!$C$1496)*CROQUIS_DATOS!$C$1561,((CROQUIS_DATOS!$C$1494+CROQUIS_DATOS!$C$1495)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5">
        <f>IF(AND(CROQUIS_DATOS!$C$1472=1,CROQUIS_DATOS!$C$1478&gt;=4,((CROQUIS_DATOS!$C$1494+CROQUIS_DATOS!$C$1495))-(CROQUIS_DATOS!$C$1494)&gt;0.5,(CROQUIS_DATOS!$C$1496)-(0)&gt;0.5),(CROQUIS_DATOS!$C$1567+(IF(IF(MOD(MIN(INT(($A35-1)/2)+1,MAX(1,INT(((((CROQUIS_DATOS!$C$1494+CROQUIS_DATOS!$C$1495))-(CROQUIS_DATOS!$C$1494))+((CROQUIS_DATOS!$C$1496)*CROQUIS_DATOS!$C$1561-(0)*CROQUIS_DATOS!$C$1561))/CROQUIS_DATOS!$C$1568-0.000001))),2)=1,IF(INT(($A35-1)/2)+1&gt;MAX(1,INT(((((CROQUIS_DATOS!$C$1494+CROQUIS_DATOS!$C$1495))-(CROQUIS_DATOS!$C$1494))+((CROQUIS_DATOS!$C$1496)*CROQUIS_DATOS!$C$1561-(0)*CROQUIS_DATOS!$C$1561))/CROQUIS_DATOS!$C$1568-0.000001)),1,MOD($A35-1,2)),1-IF(INT(($A35-1)/2)+1&gt;MAX(1,INT(((((CROQUIS_DATOS!$C$1494+CROQUIS_DATOS!$C$1495))-(CROQUIS_DATOS!$C$1494))+((CROQUIS_DATOS!$C$1496)*CROQUIS_DATOS!$C$1561-(0)*CROQUIS_DATOS!$C$1561))/CROQUIS_DATOS!$C$1568-0.000001)),1,MOD($A35-1,2)))=1,MIN((CROQUIS_DATOS!$C$1496)*CROQUIS_DATOS!$C$1561,((CROQUIS_DATOS!$C$1494+CROQUIS_DATOS!$C$1495)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5">
        <f>IF(AND(CROQUIS_DATOS!$C$1472=1,CROQUIS_DATOS!$C$1478&gt;=4,((CROQUIS_DATOS!$C$1494+CROQUIS_DATOS!$C$1495))-(CROQUIS_DATOS!$C$1494)&gt;0.5,(CROQUIS_DATOS!$C$1476)-((CROQUIS_DATOS!$C$1496+CROQUIS_DATOS!$C$1497))&gt;0.5),(CROQUIS_DATOS!$C$1566+(IF(IF(MOD(MIN(INT(($A35-1)/2)+1,MAX(1,INT(((((CROQUIS_DATOS!$C$1494+CROQUIS_DATOS!$C$1495))-(CROQUIS_DATOS!$C$1494))+((CROQUIS_DATOS!$C$1476)*CROQUIS_DATOS!$C$1561-((CROQUIS_DATOS!$C$1496+CROQUIS_DATOS!$C$1497))*CROQUIS_DATOS!$C$1561))/CROQUIS_DATOS!$C$1568-0.000001))),2)=1,IF(INT(($A35-1)/2)+1&gt;MAX(1,INT(((((CROQUIS_DATOS!$C$1494+CROQUIS_DATOS!$C$1495))-(CROQUIS_DATOS!$C$1494))+((CROQUIS_DATOS!$C$1476)*CROQUIS_DATOS!$C$1561-((CROQUIS_DATOS!$C$1496+CROQUIS_DATOS!$C$1497))*CROQUIS_DATOS!$C$1561))/CROQUIS_DATOS!$C$1568-0.000001)),1,MOD($A35-1,2)),1-IF(INT(($A35-1)/2)+1&gt;MAX(1,INT(((((CROQUIS_DATOS!$C$1494+CROQUIS_DATOS!$C$1495))-(CROQUIS_DATOS!$C$1494))+((CROQUIS_DATOS!$C$1476)*CROQUIS_DATOS!$C$1561-((CROQUIS_DATOS!$C$1496+CROQUIS_DATOS!$C$1497))*CROQUIS_DATOS!$C$1561))/CROQUIS_DATOS!$C$1568-0.000001)),1,MOD($A35-1,2)))=1,MIN((CROQUIS_DATOS!$C$1476)*CROQUIS_DATOS!$C$1561,((CROQUIS_DATOS!$C$1494+CROQUIS_DATOS!$C$1495)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5">
        <f>IF(AND(CROQUIS_DATOS!$C$1472=1,CROQUIS_DATOS!$C$1478&gt;=4,((CROQUIS_DATOS!$C$1494+CROQUIS_DATOS!$C$1495))-(CROQUIS_DATOS!$C$1494)&gt;0.5,(CROQUIS_DATOS!$C$1476)-((CROQUIS_DATOS!$C$1496+CROQUIS_DATOS!$C$1497))&gt;0.5),(CROQUIS_DATOS!$C$1567+(IF(IF(MOD(MIN(INT(($A35-1)/2)+1,MAX(1,INT(((((CROQUIS_DATOS!$C$1494+CROQUIS_DATOS!$C$1495))-(CROQUIS_DATOS!$C$1494))+((CROQUIS_DATOS!$C$1476)*CROQUIS_DATOS!$C$1561-((CROQUIS_DATOS!$C$1496+CROQUIS_DATOS!$C$1497))*CROQUIS_DATOS!$C$1561))/CROQUIS_DATOS!$C$1568-0.000001))),2)=1,IF(INT(($A35-1)/2)+1&gt;MAX(1,INT(((((CROQUIS_DATOS!$C$1494+CROQUIS_DATOS!$C$1495))-(CROQUIS_DATOS!$C$1494))+((CROQUIS_DATOS!$C$1476)*CROQUIS_DATOS!$C$1561-((CROQUIS_DATOS!$C$1496+CROQUIS_DATOS!$C$1497))*CROQUIS_DATOS!$C$1561))/CROQUIS_DATOS!$C$1568-0.000001)),1,MOD($A35-1,2)),1-IF(INT(($A35-1)/2)+1&gt;MAX(1,INT(((((CROQUIS_DATOS!$C$1494+CROQUIS_DATOS!$C$1495))-(CROQUIS_DATOS!$C$1494))+((CROQUIS_DATOS!$C$1476)*CROQUIS_DATOS!$C$1561-((CROQUIS_DATOS!$C$1496+CROQUIS_DATOS!$C$1497))*CROQUIS_DATOS!$C$1561))/CROQUIS_DATOS!$C$1568-0.000001)),1,MOD($A35-1,2)))=1,MIN((CROQUIS_DATOS!$C$1476)*CROQUIS_DATOS!$C$1561,((CROQUIS_DATOS!$C$1494+CROQUIS_DATOS!$C$1495)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5">
        <f>IF(AND(CROQUIS_DATOS!$C$1472=1,1),(CROQUIS_DATOS!$C$1571+(CHOOSE(MIN(MAX(IF(INT(($A35-1)/5)+1&gt;CROQUIS_DATOS!$C$1525,5,MOD($A35-1,5)+1),1),5),(INDEX($E$8:$E$23,MIN(INT(($A35-1)/5)+1,CROQUIS_DATOS!$C$1525))-INDEX($F$8:$F$23,MIN(INT(($A35-1)/5)+1,CROQUIS_DATOS!$C$1525))/2),(INDEX($E$8:$E$23,MIN(INT(($A35-1)/5)+1,CROQUIS_DATOS!$C$1525))+INDEX($F$8:$F$23,MIN(INT(($A35-1)/5)+1,CROQUIS_DATOS!$C$1525))/2),(INDEX($E$8:$E$23,MIN(INT(($A35-1)/5)+1,CROQUIS_DATOS!$C$1525))+INDEX($F$8:$F$23,MIN(INT(($A35-1)/5)+1,CROQUIS_DATOS!$C$1525))/2),(INDEX($E$8:$E$23,MIN(INT(($A35-1)/5)+1,CROQUIS_DATOS!$C$1525))-INDEX($F$8:$F$23,MIN(INT(($A35-1)/5)+1,CROQUIS_DATOS!$C$1525))/2),(INDEX($E$8:$E$23,MIN(INT(($A35-1)/5)+1,CROQUIS_DATOS!$C$1525))-INDEX($F$8:$F$23,MIN(INT(($A35-1)/5)+1,CROQUIS_DATOS!$C$1525))/2)))*CROQUIS_DATOS!$C$1569),-1000)</f>
        <v>98</v>
      </c>
      <c r="GE35">
        <f>IF(AND(CROQUIS_DATOS!$C$1472=1,1),(CROQUIS_DATOS!$C$1572+(CHOOSE(MIN(MAX(IF(INT(($A35-1)/5)+1&gt;CROQUIS_DATOS!$C$1525,5,MOD($A35-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35">
        <f>IF(AND(CROQUIS_DATOS!$C$1472=1,1),IF(INT(($A35-1)/4)+1&lt;=CROQUIS_DATOS!$C$1525,(CROQUIS_DATOS!$C$1571+((INDEX($E$8:$E$23,MIN(INT(($A35-1)/4)+1,16))+IF(OR(MOD($A35-1,4)=0,MOD($A35-1,4)=3),-1,1)*(INDEX($F$8:$F$23,MIN(INT(($A35-1)/4)+1,16))/2-(CROQUIS_DATOS!$C$1530+CROQUIS_DATOS!$C$1532+IF(OR(INT(($A35-1)/4)+1=1,INT(($A35-1)/4)+1=CROQUIS_DATOS!$C$1525),CROQUIS_DATOS!$C$1534,CROQUIS_DATOS!$C$1531)/2))))*CROQUIS_DATOS!$C$1569),-1000),-1000)</f>
        <v>-1000</v>
      </c>
      <c r="GG35">
        <f>IF(AND(CROQUIS_DATOS!$C$1472=1,1),IF(INT(($A35-1)/4)+1&lt;=CROQUIS_DATOS!$C$1525,(CROQUIS_DATOS!$C$1572+((CROQUIS_DATOS!$C$1477/2+IF(MOD($A35-1,4)&lt;2,-1,1)*(CROQUIS_DATOS!$C$1527/2-(CROQUIS_DATOS!$C$1530+CROQUIS_DATOS!$C$1532+IF(OR(INT(($A35-1)/4)+1=1,INT(($A35-1)/4)+1=CROQUIS_DATOS!$C$1525),CROQUIS_DATOS!$C$1534,CROQUIS_DATOS!$C$1531)/2))))*CROQUIS_DATOS!$C$1569*CROQUIS_DATOS!$C$1570),-1000),-1000)</f>
        <v>-1000</v>
      </c>
    </row>
    <row r="36">
      <c r="A36" t="n">
        <v>29</v>
      </c>
      <c r="H36">
        <f>IF(29&lt;=CROQUIS_DATOS!$C$1539,29*CROQUIS_DATOS!$C$1536,IF(29&lt;=CROQUIS_DATOS!$C$1539+CROQUIS_DATOS!$C$1540,CROQUIS_DATOS!$C$1539*CROQUIS_DATOS!$C$1536+(29-CROQUIS_DATOS!$C$1539)*(CROQUIS_DATOS!$C$1476-2*CROQUIS_DATOS!$C$1539*CROQUIS_DATOS!$C$1536)/(CROQUIS_DATOS!$C$1540+1),CROQUIS_DATOS!$C$1476-(2*CROQUIS_DATOS!$C$1539+CROQUIS_DATOS!$C$1540+1-29)*CROQUIS_DATOS!$C$1536))</f>
        <v>325</v>
      </c>
      <c r="J36">
        <f>IF(AND(CROQUIS_DATOS!$C$1472=1,1),(CROQUIS_DATOS!$C$1563+(CHOOSE(MIN(MAX(IF(INT(($A36-1)/4)+1&gt;CROQUIS_DATOS!$C$1525,4,MOD($A36-1,4)+1),1),4),(INDEX($E$8:$E$23,MIN(INT(($A36-1)/4)+1,CROQUIS_DATOS!$C$1525))-INDEX($F$8:$F$23,MIN(INT(($A36-1)/4)+1,CROQUIS_DATOS!$C$1525))/2),(INDEX($E$8:$E$23,MIN(INT(($A36-1)/4)+1,CROQUIS_DATOS!$C$1525))-INDEX($F$8:$F$23,MIN(INT(($A36-1)/4)+1,CROQUIS_DATOS!$C$1525))/2),(INDEX($E$8:$E$23,MIN(INT(($A36-1)/4)+1,CROQUIS_DATOS!$C$1525))+INDEX($F$8:$F$23,MIN(INT(($A36-1)/4)+1,CROQUIS_DATOS!$C$1525))/2),(INDEX($E$8:$E$23,MIN(INT(($A36-1)/4)+1,CROQUIS_DATOS!$C$1525))+INDEX($F$8:$F$23,MIN(INT(($A36-1)/4)+1,CROQUIS_DATOS!$C$1525))/2)))*CROQUIS_DATOS!$C$1562),-1000)</f>
        <v>84.9137931034483</v>
      </c>
      <c r="K36">
        <f>IF(AND(CROQUIS_DATOS!$C$1472=1,1),(CROQUIS_DATOS!$C$1564+(CHOOSE(MIN(MAX(IF(INT(($A36-1)/4)+1&gt;CROQUIS_DATOS!$C$1525,4,MOD($A36-1,4)+1),1),4),0,CROQUIS_DATOS!$C$1476,CROQUIS_DATOS!$C$1476,0))*CROQUIS_DATOS!$C$1561*CROQUIS_DATOS!$C$1562),-1000)</f>
        <v>5.29310344827586</v>
      </c>
      <c r="L36">
        <f>IF(AND(CROQUIS_DATOS!$C$1472=1,1),(CROQUIS_DATOS!$C$1563+(CHOOSE(MIN(MAX(IF(INT(($A36-1)/4)+1&gt;CROQUIS_DATOS!$C$1525,4,MOD($A36-1,4)+1),1),4),((INDEX($E$8:$E$23,MIN(INT(($A36-1)/4)+1,CROQUIS_DATOS!$C$1525))-INDEX($F$8:$F$23,MIN(INT(($A36-1)/4)+1,CROQUIS_DATOS!$C$1525))/2)+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,((INDEX($E$8:$E$23,MIN(INT(($A36-1)/4)+1,CROQUIS_DATOS!$C$1525))-INDEX($F$8:$F$23,MIN(INT(($A36-1)/4)+1,CROQUIS_DATOS!$C$1525))/2)+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,((INDEX($E$8:$E$23,MIN(INT(($A36-1)/4)+1,CROQUIS_DATOS!$C$1525))+INDEX($F$8:$F$23,MIN(INT(($A36-1)/4)+1,CROQUIS_DATOS!$C$1525))/2)-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,((INDEX($E$8:$E$23,MIN(INT(($A36-1)/4)+1,CROQUIS_DATOS!$C$1525))+INDEX($F$8:$F$23,MIN(INT(($A36-1)/4)+1,CROQUIS_DATOS!$C$1525))/2)-MIN((CROQUIS_DATOS!$C$1530+CROQUIS_DATOS!$C$1532+IF(OR(MIN(INT(($A36-1)/4)+1,CROQUIS_DATOS!$C$1525)=1,MIN(INT(($A36-1)/4)+1,CROQUIS_DATOS!$C$1525)=CROQUIS_DATOS!$C$1525),CROQUIS_DATOS!$C$1534,CROQUIS_DATOS!$C$1531)/2),INDEX($F$8:$F$23,MIN(INT(($A36-1)/4)+1,CROQUIS_DATOS!$C$1525))/2-0.5))))*CROQUIS_DATOS!$C$1562),-1000)</f>
        <v>84.4792560344828</v>
      </c>
      <c r="M36">
        <f>IF(AND(CROQUIS_DATOS!$C$1472=1,1),(CROQUIS_DATOS!$C$1564+(CHOOSE(MIN(MAX(IF(INT(($A36-1)/4)+1&gt;CROQUIS_DATOS!$C$1525,4,MOD($A36-1,4)+1),1),4),CROQUIS_DATOS!$C$1543,INDEX($I$8:$I$23,MIN(INT(($A36-1)/4)+1,CROQUIS_DATOS!$C$1525)),INDEX($I$8:$I$23,MIN(INT(($A36-1)/4)+1,CROQUIS_DATOS!$C$1525)),CROQUIS_DATOS!$C$1543))*CROQUIS_DATOS!$C$1561*CROQUIS_DATOS!$C$1562),-1000)</f>
        <v>42.5654629310345</v>
      </c>
      <c r="N36">
        <f>IF(AND(CROQUIS_DATOS!$C$1472=1,1),(CROQUIS_DATOS!$C$1563+(IF(IF(IF(INT(($A36-1)/70)+1&gt;CROQUIS_DATOS!$C$1525,70,MOD($A36-1,70)+1)=1,0,IF(IF(INT(($A36-1)/70)+1&gt;CROQUIS_DATOS!$C$1525,70,MOD($A36-1,70)+1)&gt;2*CROQUIS_DATOS!$C$1541+1,IF(MOD(CROQUIS_DATOS!$C$1541,2)=1,1,0),IF(MOD(MIN(INT((IF(INT(($A36-1)/70)+1&gt;CROQUIS_DATOS!$C$1525,70,MOD($A36-1,70)+1)-2)/2)+1,CROQUIS_DATOS!$C$1541),2)=1,IF(MOD(IF(INT(($A36-1)/70)+1&gt;CROQUIS_DATOS!$C$1525,70,MOD($A36-1,70)+1)-2,2)=0,0,1),IF(MOD(IF(INT(($A36-1)/70)+1&gt;CROQUIS_DATOS!$C$1525,70,MOD($A36-1,70)+1)-2,2)=0,1,0))))=0,(INDEX($E$8:$E$23,MIN(INT(($A36-1)/70)+1,CROQUIS_DATOS!$C$1525))-INDEX($F$8:$F$23,MIN(INT(($A36-1)/70)+1,CROQUIS_DATOS!$C$1525))/2),(INDEX($E$8:$E$23,MIN(INT(($A36-1)/70)+1,CROQUIS_DATOS!$C$1525))+INDEX($F$8:$F$23,MIN(INT(($A36-1)/70)+1,CROQUIS_DATOS!$C$1525))/2)))*CROQUIS_DATOS!$C$1562),-1000)</f>
        <v>15.0862068965517</v>
      </c>
      <c r="O36">
        <f>IF(AND(CROQUIS_DATOS!$C$1472=1,1),(CROQUIS_DATOS!$C$1564+(IF(OR(IF(INT(($A36-1)/70)+1&gt;CROQUIS_DATOS!$C$1525,70,MOD($A36-1,70)+1)=1,IF(INT(($A36-1)/70)+1&gt;CROQUIS_DATOS!$C$1525,70,MOD($A36-1,70)+1)&gt;2*CROQUIS_DATOS!$C$1541+1),CROQUIS_DATOS!$C$1476,INDEX($H$8:$H$41,MIN(INT((IF(INT(($A36-1)/70)+1&gt;CROQUIS_DATOS!$C$1525,70,MOD($A36-1,70)+1)-2)/2)+1,CROQUIS_DATOS!$C$1541))))*CROQUIS_DATOS!$C$1561*CROQUIS_DATOS!$C$1562),-1000)</f>
        <v>34.9698275862069</v>
      </c>
      <c r="P36">
        <f>IF(AND(CROQUIS_DATOS!$C$1472=1,CROQUIS_DATOS!$C$1555=1),(CROQUIS_DATOS!$C$1563+(IF(IF(OR(MOD($A36-1,62)+1=1,IF(CHOOSE(MIN(MAX(MIN(INT(($A36-1)/62)+1,5),1),5),CROQUIS_DATOS!$C$1501,CROQUIS_DATOS!$C$1505,CROQUIS_DATOS!$C$1509,CROQUIS_DATOS!$C$1513,CROQUIS_DATOS!$C$1517)=1,CROQUIS_DATOS!$C$1557,0)=0),0,IF(MOD($A36-1,62)+1&gt;2*IF(CHOOSE(MIN(MAX(MIN(INT(($A36-1)/62)+1,5),1),5),CROQUIS_DATOS!$C$1501,CROQUIS_DATOS!$C$1505,CROQUIS_DATOS!$C$1509,CROQUIS_DATOS!$C$1513,CROQUIS_DATOS!$C$1517)=1,CROQUIS_DATOS!$C$1557,0)+1,IF(MOD(IF(CHOOSE(MIN(MAX(MIN(INT(($A36-1)/62)+1,5),1),5),CROQUIS_DATOS!$C$1501,CROQUIS_DATOS!$C$1505,CROQUIS_DATOS!$C$1509,CROQUIS_DATOS!$C$1513,CROQUIS_DATOS!$C$1517)=1,CROQUIS_DATOS!$C$1557,0),2)=1,1,0),IF(MOD(MIN(INT((MOD($A36-1,62)+1-2)/2)+1,MAX(IF(CHOOSE(MIN(MAX(MIN(INT(($A36-1)/62)+1,5),1),5),CROQUIS_DATOS!$C$1501,CROQUIS_DATOS!$C$1505,CROQUIS_DATOS!$C$1509,CROQUIS_DATOS!$C$1513,CROQUIS_DATOS!$C$1517)=1,CROQUIS_DATOS!$C$1557,0),1)),2)=1,IF(MOD(MOD($A36-1,62)+1-2,2)=0,0,1),IF(MOD(MOD($A36-1,62)+1-2,2)=0,1,0))))=0,(CHOOSE(MIN(MAX(MIN(INT(($A36-1)/62)+1,5),1),5),CROQUIS_DATOS!$C$1499,CROQUIS_DATOS!$C$1503,CROQUIS_DATOS!$C$1507,CROQUIS_DATOS!$C$1511,CROQUIS_DATOS!$C$1515)+IF(CHOOSE(MIN(MAX(MIN(INT(($A36-1)/62)+1,5),1),5),CROQUIS_DATOS!$C$1501,CROQUIS_DATOS!$C$1505,CROQUIS_DATOS!$C$1509,CROQUIS_DATOS!$C$1513,CROQUIS_DATOS!$C$1517)=1,CROQUIS_DATOS!$C$1526,0)),(CHOOSE(MIN(MAX(MIN(INT(($A36-1)/62)+1,5),1),5),CROQUIS_DATOS!$C$1499,CROQUIS_DATOS!$C$1503,CROQUIS_DATOS!$C$1507,CROQUIS_DATOS!$C$1511,CROQUIS_DATOS!$C$1515)+CHOOSE(MIN(MAX(MIN(INT(($A36-1)/62)+1,5),1),5),CROQUIS_DATOS!$C$1500,CROQUIS_DATOS!$C$1504,CROQUIS_DATOS!$C$1508,CROQUIS_DATOS!$C$1512,CROQUIS_DATOS!$C$1516)-IF(CHOOSE(MIN(MAX(MIN(INT(($A36-1)/62)+1,5),1),5),CROQUIS_DATOS!$C$1501,CROQUIS_DATOS!$C$1505,CROQUIS_DATOS!$C$1509,CROQUIS_DATOS!$C$1513,CROQUIS_DATOS!$C$1517)=1,CROQUIS_DATOS!$C$1526,0))))*CROQUIS_DATOS!$C$1562),-1000)</f>
        <v>-1000</v>
      </c>
      <c r="Q36">
        <f>IF(AND(CROQUIS_DATOS!$C$1472=1,CROQUIS_DATOS!$C$1555=1),(CROQUIS_DATOS!$C$1564+(IF(OR(OR(MOD($A36-1,62)+1=1,IF(CHOOSE(MIN(MAX(MIN(INT(($A36-1)/62)+1,5),1),5),CROQUIS_DATOS!$C$1501,CROQUIS_DATOS!$C$1505,CROQUIS_DATOS!$C$1509,CROQUIS_DATOS!$C$1513,CROQUIS_DATOS!$C$1517)=1,CROQUIS_DATOS!$C$1557,0)=0),MOD($A36-1,62)+1&gt;2*IF(CHOOSE(MIN(MAX(MIN(INT(($A36-1)/62)+1,5),1),5),CROQUIS_DATOS!$C$1501,CROQUIS_DATOS!$C$1505,CROQUIS_DATOS!$C$1509,CROQUIS_DATOS!$C$1513,CROQUIS_DATOS!$C$1517)=1,CROQUIS_DATOS!$C$1557,0)+1),CROQUIS_DATOS!$C$1476,MIN(INT((MOD($A36-1,62)+1-2)/2)+1,MAX(IF(CHOOSE(MIN(MAX(MIN(INT(($A36-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6">
        <f>IF(AND(CROQUIS_DATOS!$C$1472=1,1),(CROQUIS_DATOS!$C$1563+(MIN(INT(($A36-1)/2)+1,CROQUIS_DATOS!$C$1558)*CROQUIS_DATOS!$C$1559)*CROQUIS_DATOS!$C$1562),-1000)</f>
        <v>55.3713527851459</v>
      </c>
      <c r="U36">
        <f>IF(AND(CROQUIS_DATOS!$C$1472=1,1),(CROQUIS_DATOS!$C$1564+(IF(INT(($A36-1)/2)+1&gt;CROQUIS_DATOS!$C$1558,IF(MOD(CROQUIS_DATOS!$C$1558,2)=1,CROQUIS_DATOS!$C$1476+CROQUIS_DATOS!$C$1528,CROQUIS_DATOS!$C$1476),IF(IF(MOD(MIN(INT(($A36-1)/2)+1,CROQUIS_DATOS!$C$1558),2)=1,MOD($A36-1,2),1-MOD($A36-1,2))=1,CROQUIS_DATOS!$C$1476+CROQUIS_DATOS!$C$1528,CROQUIS_DATOS!$C$1476)))*CROQUIS_DATOS!$C$1561*CROQUIS_DATOS!$C$1562),-1000)</f>
        <v>40.2068965517241</v>
      </c>
      <c r="BZ36">
        <f>IF(AND(CROQUIS_DATOS!$C$1472=1,CROQUIS_DATOS!$C$1500&gt;0,((CROQUIS_DATOS!$C$1499+CROQUIS_DATOS!$C$1500))-(CROQUIS_DATOS!$C$1499)&gt;0.5,(CROQUIS_DATOS!$C$1476)-(0)&gt;0.5),(CROQUIS_DATOS!$C$1566+(IF(IF(MOD(MIN(INT(($A36-1)/2)+1,MAX(1,INT(((((CROQUIS_DATOS!$C$1499+CROQUIS_DATOS!$C$1500))-(CROQUIS_DATOS!$C$1499))+((CROQUIS_DATOS!$C$1476)*CROQUIS_DATOS!$C$1561-(0)*CROQUIS_DATOS!$C$1561))/CROQUIS_DATOS!$C$1568-0.000001))),2)=1,IF(INT(($A36-1)/2)+1&gt;MAX(1,INT(((((CROQUIS_DATOS!$C$1499+CROQUIS_DATOS!$C$1500))-(CROQUIS_DATOS!$C$1499))+((CROQUIS_DATOS!$C$1476)*CROQUIS_DATOS!$C$1561-(0)*CROQUIS_DATOS!$C$1561))/CROQUIS_DATOS!$C$1568-0.000001)),1,MOD($A36-1,2)),1-IF(INT(($A36-1)/2)+1&gt;MAX(1,INT(((((CROQUIS_DATOS!$C$1499+CROQUIS_DATOS!$C$1500))-(CROQUIS_DATOS!$C$1499))+((CROQUIS_DATOS!$C$1476)*CROQUIS_DATOS!$C$1561-(0)*CROQUIS_DATOS!$C$1561))/CROQUIS_DATOS!$C$1568-0.000001)),1,MOD($A36-1,2)))=1,MIN((CROQUIS_DATOS!$C$1476)*CROQUIS_DATOS!$C$1561,((CROQUIS_DATOS!$C$1499+CROQUIS_DATOS!$C$1500)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36">
        <f>IF(AND(CROQUIS_DATOS!$C$1472=1,CROQUIS_DATOS!$C$1500&gt;0,((CROQUIS_DATOS!$C$1499+CROQUIS_DATOS!$C$1500))-(CROQUIS_DATOS!$C$1499)&gt;0.5,(CROQUIS_DATOS!$C$1476)-(0)&gt;0.5),(CROQUIS_DATOS!$C$1567+(IF(IF(MOD(MIN(INT(($A36-1)/2)+1,MAX(1,INT(((((CROQUIS_DATOS!$C$1499+CROQUIS_DATOS!$C$1500))-(CROQUIS_DATOS!$C$1499))+((CROQUIS_DATOS!$C$1476)*CROQUIS_DATOS!$C$1561-(0)*CROQUIS_DATOS!$C$1561))/CROQUIS_DATOS!$C$1568-0.000001))),2)=1,IF(INT(($A36-1)/2)+1&gt;MAX(1,INT(((((CROQUIS_DATOS!$C$1499+CROQUIS_DATOS!$C$1500))-(CROQUIS_DATOS!$C$1499))+((CROQUIS_DATOS!$C$1476)*CROQUIS_DATOS!$C$1561-(0)*CROQUIS_DATOS!$C$1561))/CROQUIS_DATOS!$C$1568-0.000001)),1,MOD($A36-1,2)),1-IF(INT(($A36-1)/2)+1&gt;MAX(1,INT(((((CROQUIS_DATOS!$C$1499+CROQUIS_DATOS!$C$1500))-(CROQUIS_DATOS!$C$1499))+((CROQUIS_DATOS!$C$1476)*CROQUIS_DATOS!$C$1561-(0)*CROQUIS_DATOS!$C$1561))/CROQUIS_DATOS!$C$1568-0.000001)),1,MOD($A36-1,2)))=1,MIN((CROQUIS_DATOS!$C$1476)*CROQUIS_DATOS!$C$1561,((CROQUIS_DATOS!$C$1499+CROQUIS_DATOS!$C$1500)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36-1)/2)+1,MAX(1,INT(((((CROQUIS_DATOS!$C$1499+CROQUIS_DATOS!$C$1500))-(CROQUIS_DATOS!$C$1499))+((CROQUIS_DATOS!$C$1476)*CROQUIS_DATOS!$C$1561-(0)*CROQUIS_DATOS!$C$1561))/CROQUIS_DATOS!$C$1568-0.000001)))*CROQUIS_DATOS!$C$1568))))*CROQUIS_DATOS!$C$1565),-1000)</f>
        <v>14.8620689655172</v>
      </c>
      <c r="CB36">
        <f>IF(AND(CROQUIS_DATOS!$C$1472=1,CROQUIS_DATOS!$C$1504&gt;0,((CROQUIS_DATOS!$C$1503+CROQUIS_DATOS!$C$1504))-(CROQUIS_DATOS!$C$1503)&gt;0.5,(CROQUIS_DATOS!$C$1476)-(0)&gt;0.5),(CROQUIS_DATOS!$C$1566+(IF(IF(MOD(MIN(INT(($A36-1)/2)+1,MAX(1,INT(((((CROQUIS_DATOS!$C$1503+CROQUIS_DATOS!$C$1504))-(CROQUIS_DATOS!$C$1503))+((CROQUIS_DATOS!$C$1476)*CROQUIS_DATOS!$C$1561-(0)*CROQUIS_DATOS!$C$1561))/CROQUIS_DATOS!$C$1568-0.000001))),2)=1,IF(INT(($A36-1)/2)+1&gt;MAX(1,INT(((((CROQUIS_DATOS!$C$1503+CROQUIS_DATOS!$C$1504))-(CROQUIS_DATOS!$C$1503))+((CROQUIS_DATOS!$C$1476)*CROQUIS_DATOS!$C$1561-(0)*CROQUIS_DATOS!$C$1561))/CROQUIS_DATOS!$C$1568-0.000001)),1,MOD($A36-1,2)),1-IF(INT(($A36-1)/2)+1&gt;MAX(1,INT(((((CROQUIS_DATOS!$C$1503+CROQUIS_DATOS!$C$1504))-(CROQUIS_DATOS!$C$1503))+((CROQUIS_DATOS!$C$1476)*CROQUIS_DATOS!$C$1561-(0)*CROQUIS_DATOS!$C$1561))/CROQUIS_DATOS!$C$1568-0.000001)),1,MOD($A36-1,2)))=1,MIN((CROQUIS_DATOS!$C$1476)*CROQUIS_DATOS!$C$1561,((CROQUIS_DATOS!$C$1503+CROQUIS_DATOS!$C$1504)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36">
        <f>IF(AND(CROQUIS_DATOS!$C$1472=1,CROQUIS_DATOS!$C$1504&gt;0,((CROQUIS_DATOS!$C$1503+CROQUIS_DATOS!$C$1504))-(CROQUIS_DATOS!$C$1503)&gt;0.5,(CROQUIS_DATOS!$C$1476)-(0)&gt;0.5),(CROQUIS_DATOS!$C$1567+(IF(IF(MOD(MIN(INT(($A36-1)/2)+1,MAX(1,INT(((((CROQUIS_DATOS!$C$1503+CROQUIS_DATOS!$C$1504))-(CROQUIS_DATOS!$C$1503))+((CROQUIS_DATOS!$C$1476)*CROQUIS_DATOS!$C$1561-(0)*CROQUIS_DATOS!$C$1561))/CROQUIS_DATOS!$C$1568-0.000001))),2)=1,IF(INT(($A36-1)/2)+1&gt;MAX(1,INT(((((CROQUIS_DATOS!$C$1503+CROQUIS_DATOS!$C$1504))-(CROQUIS_DATOS!$C$1503))+((CROQUIS_DATOS!$C$1476)*CROQUIS_DATOS!$C$1561-(0)*CROQUIS_DATOS!$C$1561))/CROQUIS_DATOS!$C$1568-0.000001)),1,MOD($A36-1,2)),1-IF(INT(($A36-1)/2)+1&gt;MAX(1,INT(((((CROQUIS_DATOS!$C$1503+CROQUIS_DATOS!$C$1504))-(CROQUIS_DATOS!$C$1503))+((CROQUIS_DATOS!$C$1476)*CROQUIS_DATOS!$C$1561-(0)*CROQUIS_DATOS!$C$1561))/CROQUIS_DATOS!$C$1568-0.000001)),1,MOD($A36-1,2)))=1,MIN((CROQUIS_DATOS!$C$1476)*CROQUIS_DATOS!$C$1561,((CROQUIS_DATOS!$C$1503+CROQUIS_DATOS!$C$1504)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36-1)/2)+1,MAX(1,INT(((((CROQUIS_DATOS!$C$1503+CROQUIS_DATOS!$C$1504))-(CROQUIS_DATOS!$C$1503))+((CROQUIS_DATOS!$C$1476)*CROQUIS_DATOS!$C$1561-(0)*CROQUIS_DATOS!$C$1561))/CROQUIS_DATOS!$C$1568-0.000001)))*CROQUIS_DATOS!$C$1568))))*CROQUIS_DATOS!$C$1565),-1000)</f>
        <v>14.8620689655172</v>
      </c>
      <c r="CD36">
        <f>IF(AND(CROQUIS_DATOS!$C$1472=1,CROQUIS_DATOS!$C$1508&gt;0,((CROQUIS_DATOS!$C$1507+CROQUIS_DATOS!$C$1508))-(CROQUIS_DATOS!$C$1507)&gt;0.5,(CROQUIS_DATOS!$C$1476)-(0)&gt;0.5),(CROQUIS_DATOS!$C$1566+(IF(IF(MOD(MIN(INT(($A36-1)/2)+1,MAX(1,INT(((((CROQUIS_DATOS!$C$1507+CROQUIS_DATOS!$C$1508))-(CROQUIS_DATOS!$C$1507))+((CROQUIS_DATOS!$C$1476)*CROQUIS_DATOS!$C$1561-(0)*CROQUIS_DATOS!$C$1561))/CROQUIS_DATOS!$C$1568-0.000001))),2)=1,IF(INT(($A36-1)/2)+1&gt;MAX(1,INT(((((CROQUIS_DATOS!$C$1507+CROQUIS_DATOS!$C$1508))-(CROQUIS_DATOS!$C$1507))+((CROQUIS_DATOS!$C$1476)*CROQUIS_DATOS!$C$1561-(0)*CROQUIS_DATOS!$C$1561))/CROQUIS_DATOS!$C$1568-0.000001)),1,MOD($A36-1,2)),1-IF(INT(($A36-1)/2)+1&gt;MAX(1,INT(((((CROQUIS_DATOS!$C$1507+CROQUIS_DATOS!$C$1508))-(CROQUIS_DATOS!$C$1507))+((CROQUIS_DATOS!$C$1476)*CROQUIS_DATOS!$C$1561-(0)*CROQUIS_DATOS!$C$1561))/CROQUIS_DATOS!$C$1568-0.000001)),1,MOD($A36-1,2)))=1,MIN((CROQUIS_DATOS!$C$1476)*CROQUIS_DATOS!$C$1561,((CROQUIS_DATOS!$C$1507+CROQUIS_DATOS!$C$1508)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36">
        <f>IF(AND(CROQUIS_DATOS!$C$1472=1,CROQUIS_DATOS!$C$1508&gt;0,((CROQUIS_DATOS!$C$1507+CROQUIS_DATOS!$C$1508))-(CROQUIS_DATOS!$C$1507)&gt;0.5,(CROQUIS_DATOS!$C$1476)-(0)&gt;0.5),(CROQUIS_DATOS!$C$1567+(IF(IF(MOD(MIN(INT(($A36-1)/2)+1,MAX(1,INT(((((CROQUIS_DATOS!$C$1507+CROQUIS_DATOS!$C$1508))-(CROQUIS_DATOS!$C$1507))+((CROQUIS_DATOS!$C$1476)*CROQUIS_DATOS!$C$1561-(0)*CROQUIS_DATOS!$C$1561))/CROQUIS_DATOS!$C$1568-0.000001))),2)=1,IF(INT(($A36-1)/2)+1&gt;MAX(1,INT(((((CROQUIS_DATOS!$C$1507+CROQUIS_DATOS!$C$1508))-(CROQUIS_DATOS!$C$1507))+((CROQUIS_DATOS!$C$1476)*CROQUIS_DATOS!$C$1561-(0)*CROQUIS_DATOS!$C$1561))/CROQUIS_DATOS!$C$1568-0.000001)),1,MOD($A36-1,2)),1-IF(INT(($A36-1)/2)+1&gt;MAX(1,INT(((((CROQUIS_DATOS!$C$1507+CROQUIS_DATOS!$C$1508))-(CROQUIS_DATOS!$C$1507))+((CROQUIS_DATOS!$C$1476)*CROQUIS_DATOS!$C$1561-(0)*CROQUIS_DATOS!$C$1561))/CROQUIS_DATOS!$C$1568-0.000001)),1,MOD($A36-1,2)))=1,MIN((CROQUIS_DATOS!$C$1476)*CROQUIS_DATOS!$C$1561,((CROQUIS_DATOS!$C$1507+CROQUIS_DATOS!$C$1508)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36-1)/2)+1,MAX(1,INT(((((CROQUIS_DATOS!$C$1507+CROQUIS_DATOS!$C$1508))-(CROQUIS_DATOS!$C$1507))+((CROQUIS_DATOS!$C$1476)*CROQUIS_DATOS!$C$1561-(0)*CROQUIS_DATOS!$C$1561))/CROQUIS_DATOS!$C$1568-0.000001)))*CROQUIS_DATOS!$C$1568))))*CROQUIS_DATOS!$C$1565),-1000)</f>
        <v>14.8620689655172</v>
      </c>
      <c r="CF36">
        <f>IF(AND(CROQUIS_DATOS!$C$1472=1,CROQUIS_DATOS!$C$1512&gt;0,((CROQUIS_DATOS!$C$1511+CROQUIS_DATOS!$C$1512))-(CROQUIS_DATOS!$C$1511)&gt;0.5,(CROQUIS_DATOS!$C$1476)-(0)&gt;0.5),(CROQUIS_DATOS!$C$1566+(IF(IF(MOD(MIN(INT(($A36-1)/2)+1,MAX(1,INT(((((CROQUIS_DATOS!$C$1511+CROQUIS_DATOS!$C$1512))-(CROQUIS_DATOS!$C$1511))+((CROQUIS_DATOS!$C$1476)*CROQUIS_DATOS!$C$1561-(0)*CROQUIS_DATOS!$C$1561))/CROQUIS_DATOS!$C$1568-0.000001))),2)=1,IF(INT(($A36-1)/2)+1&gt;MAX(1,INT(((((CROQUIS_DATOS!$C$1511+CROQUIS_DATOS!$C$1512))-(CROQUIS_DATOS!$C$1511))+((CROQUIS_DATOS!$C$1476)*CROQUIS_DATOS!$C$1561-(0)*CROQUIS_DATOS!$C$1561))/CROQUIS_DATOS!$C$1568-0.000001)),1,MOD($A36-1,2)),1-IF(INT(($A36-1)/2)+1&gt;MAX(1,INT(((((CROQUIS_DATOS!$C$1511+CROQUIS_DATOS!$C$1512))-(CROQUIS_DATOS!$C$1511))+((CROQUIS_DATOS!$C$1476)*CROQUIS_DATOS!$C$1561-(0)*CROQUIS_DATOS!$C$1561))/CROQUIS_DATOS!$C$1568-0.000001)),1,MOD($A36-1,2)))=1,MIN((CROQUIS_DATOS!$C$1476)*CROQUIS_DATOS!$C$1561,((CROQUIS_DATOS!$C$1511+CROQUIS_DATOS!$C$1512)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6">
        <f>IF(AND(CROQUIS_DATOS!$C$1472=1,CROQUIS_DATOS!$C$1512&gt;0,((CROQUIS_DATOS!$C$1511+CROQUIS_DATOS!$C$1512))-(CROQUIS_DATOS!$C$1511)&gt;0.5,(CROQUIS_DATOS!$C$1476)-(0)&gt;0.5),(CROQUIS_DATOS!$C$1567+(IF(IF(MOD(MIN(INT(($A36-1)/2)+1,MAX(1,INT(((((CROQUIS_DATOS!$C$1511+CROQUIS_DATOS!$C$1512))-(CROQUIS_DATOS!$C$1511))+((CROQUIS_DATOS!$C$1476)*CROQUIS_DATOS!$C$1561-(0)*CROQUIS_DATOS!$C$1561))/CROQUIS_DATOS!$C$1568-0.000001))),2)=1,IF(INT(($A36-1)/2)+1&gt;MAX(1,INT(((((CROQUIS_DATOS!$C$1511+CROQUIS_DATOS!$C$1512))-(CROQUIS_DATOS!$C$1511))+((CROQUIS_DATOS!$C$1476)*CROQUIS_DATOS!$C$1561-(0)*CROQUIS_DATOS!$C$1561))/CROQUIS_DATOS!$C$1568-0.000001)),1,MOD($A36-1,2)),1-IF(INT(($A36-1)/2)+1&gt;MAX(1,INT(((((CROQUIS_DATOS!$C$1511+CROQUIS_DATOS!$C$1512))-(CROQUIS_DATOS!$C$1511))+((CROQUIS_DATOS!$C$1476)*CROQUIS_DATOS!$C$1561-(0)*CROQUIS_DATOS!$C$1561))/CROQUIS_DATOS!$C$1568-0.000001)),1,MOD($A36-1,2)))=1,MIN((CROQUIS_DATOS!$C$1476)*CROQUIS_DATOS!$C$1561,((CROQUIS_DATOS!$C$1511+CROQUIS_DATOS!$C$1512)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6">
        <f>IF(AND(CROQUIS_DATOS!$C$1472=1,CROQUIS_DATOS!$C$1516&gt;0,((CROQUIS_DATOS!$C$1515+CROQUIS_DATOS!$C$1516))-(CROQUIS_DATOS!$C$1515)&gt;0.5,(CROQUIS_DATOS!$C$1476)-(0)&gt;0.5),(CROQUIS_DATOS!$C$1566+(IF(IF(MOD(MIN(INT(($A36-1)/2)+1,MAX(1,INT(((((CROQUIS_DATOS!$C$1515+CROQUIS_DATOS!$C$1516))-(CROQUIS_DATOS!$C$1515))+((CROQUIS_DATOS!$C$1476)*CROQUIS_DATOS!$C$1561-(0)*CROQUIS_DATOS!$C$1561))/CROQUIS_DATOS!$C$1568-0.000001))),2)=1,IF(INT(($A36-1)/2)+1&gt;MAX(1,INT(((((CROQUIS_DATOS!$C$1515+CROQUIS_DATOS!$C$1516))-(CROQUIS_DATOS!$C$1515))+((CROQUIS_DATOS!$C$1476)*CROQUIS_DATOS!$C$1561-(0)*CROQUIS_DATOS!$C$1561))/CROQUIS_DATOS!$C$1568-0.000001)),1,MOD($A36-1,2)),1-IF(INT(($A36-1)/2)+1&gt;MAX(1,INT(((((CROQUIS_DATOS!$C$1515+CROQUIS_DATOS!$C$1516))-(CROQUIS_DATOS!$C$1515))+((CROQUIS_DATOS!$C$1476)*CROQUIS_DATOS!$C$1561-(0)*CROQUIS_DATOS!$C$1561))/CROQUIS_DATOS!$C$1568-0.000001)),1,MOD($A36-1,2)))=1,MIN((CROQUIS_DATOS!$C$1476)*CROQUIS_DATOS!$C$1561,((CROQUIS_DATOS!$C$1515+CROQUIS_DATOS!$C$1516)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6">
        <f>IF(AND(CROQUIS_DATOS!$C$1472=1,CROQUIS_DATOS!$C$1516&gt;0,((CROQUIS_DATOS!$C$1515+CROQUIS_DATOS!$C$1516))-(CROQUIS_DATOS!$C$1515)&gt;0.5,(CROQUIS_DATOS!$C$1476)-(0)&gt;0.5),(CROQUIS_DATOS!$C$1567+(IF(IF(MOD(MIN(INT(($A36-1)/2)+1,MAX(1,INT(((((CROQUIS_DATOS!$C$1515+CROQUIS_DATOS!$C$1516))-(CROQUIS_DATOS!$C$1515))+((CROQUIS_DATOS!$C$1476)*CROQUIS_DATOS!$C$1561-(0)*CROQUIS_DATOS!$C$1561))/CROQUIS_DATOS!$C$1568-0.000001))),2)=1,IF(INT(($A36-1)/2)+1&gt;MAX(1,INT(((((CROQUIS_DATOS!$C$1515+CROQUIS_DATOS!$C$1516))-(CROQUIS_DATOS!$C$1515))+((CROQUIS_DATOS!$C$1476)*CROQUIS_DATOS!$C$1561-(0)*CROQUIS_DATOS!$C$1561))/CROQUIS_DATOS!$C$1568-0.000001)),1,MOD($A36-1,2)),1-IF(INT(($A36-1)/2)+1&gt;MAX(1,INT(((((CROQUIS_DATOS!$C$1515+CROQUIS_DATOS!$C$1516))-(CROQUIS_DATOS!$C$1515))+((CROQUIS_DATOS!$C$1476)*CROQUIS_DATOS!$C$1561-(0)*CROQUIS_DATOS!$C$1561))/CROQUIS_DATOS!$C$1568-0.000001)),1,MOD($A36-1,2)))=1,MIN((CROQUIS_DATOS!$C$1476)*CROQUIS_DATOS!$C$1561,((CROQUIS_DATOS!$C$1515+CROQUIS_DATOS!$C$1516)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6">
        <f>IF(AND(CROQUIS_DATOS!$C$1472=1,CROQUIS_DATOS!$C$1478&gt;=1,((CROQUIS_DATOS!$C$1479+CROQUIS_DATOS!$C$1480))-(CROQUIS_DATOS!$C$1479)&gt;0.5,(CROQUIS_DATOS!$C$1481)-(0)&gt;0.5),(CROQUIS_DATOS!$C$1566+(IF(IF(MOD(MIN(INT(($A36-1)/2)+1,MAX(1,INT(((((CROQUIS_DATOS!$C$1479+CROQUIS_DATOS!$C$1480))-(CROQUIS_DATOS!$C$1479))+((CROQUIS_DATOS!$C$1481)*CROQUIS_DATOS!$C$1561-(0)*CROQUIS_DATOS!$C$1561))/CROQUIS_DATOS!$C$1568-0.000001))),2)=1,IF(INT(($A36-1)/2)+1&gt;MAX(1,INT(((((CROQUIS_DATOS!$C$1479+CROQUIS_DATOS!$C$1480))-(CROQUIS_DATOS!$C$1479))+((CROQUIS_DATOS!$C$1481)*CROQUIS_DATOS!$C$1561-(0)*CROQUIS_DATOS!$C$1561))/CROQUIS_DATOS!$C$1568-0.000001)),1,MOD($A36-1,2)),1-IF(INT(($A36-1)/2)+1&gt;MAX(1,INT(((((CROQUIS_DATOS!$C$1479+CROQUIS_DATOS!$C$1480))-(CROQUIS_DATOS!$C$1479))+((CROQUIS_DATOS!$C$1481)*CROQUIS_DATOS!$C$1561-(0)*CROQUIS_DATOS!$C$1561))/CROQUIS_DATOS!$C$1568-0.000001)),1,MOD($A36-1,2)))=1,MIN((CROQUIS_DATOS!$C$1481)*CROQUIS_DATOS!$C$1561,((CROQUIS_DATOS!$C$1479+CROQUIS_DATOS!$C$1480)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6">
        <f>IF(AND(CROQUIS_DATOS!$C$1472=1,CROQUIS_DATOS!$C$1478&gt;=1,((CROQUIS_DATOS!$C$1479+CROQUIS_DATOS!$C$1480))-(CROQUIS_DATOS!$C$1479)&gt;0.5,(CROQUIS_DATOS!$C$1481)-(0)&gt;0.5),(CROQUIS_DATOS!$C$1567+(IF(IF(MOD(MIN(INT(($A36-1)/2)+1,MAX(1,INT(((((CROQUIS_DATOS!$C$1479+CROQUIS_DATOS!$C$1480))-(CROQUIS_DATOS!$C$1479))+((CROQUIS_DATOS!$C$1481)*CROQUIS_DATOS!$C$1561-(0)*CROQUIS_DATOS!$C$1561))/CROQUIS_DATOS!$C$1568-0.000001))),2)=1,IF(INT(($A36-1)/2)+1&gt;MAX(1,INT(((((CROQUIS_DATOS!$C$1479+CROQUIS_DATOS!$C$1480))-(CROQUIS_DATOS!$C$1479))+((CROQUIS_DATOS!$C$1481)*CROQUIS_DATOS!$C$1561-(0)*CROQUIS_DATOS!$C$1561))/CROQUIS_DATOS!$C$1568-0.000001)),1,MOD($A36-1,2)),1-IF(INT(($A36-1)/2)+1&gt;MAX(1,INT(((((CROQUIS_DATOS!$C$1479+CROQUIS_DATOS!$C$1480))-(CROQUIS_DATOS!$C$1479))+((CROQUIS_DATOS!$C$1481)*CROQUIS_DATOS!$C$1561-(0)*CROQUIS_DATOS!$C$1561))/CROQUIS_DATOS!$C$1568-0.000001)),1,MOD($A36-1,2)))=1,MIN((CROQUIS_DATOS!$C$1481)*CROQUIS_DATOS!$C$1561,((CROQUIS_DATOS!$C$1479+CROQUIS_DATOS!$C$1480)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6">
        <f>IF(AND(CROQUIS_DATOS!$C$1472=1,CROQUIS_DATOS!$C$1478&gt;=1,((CROQUIS_DATOS!$C$1479+CROQUIS_DATOS!$C$1480))-(CROQUIS_DATOS!$C$1479)&gt;0.5,(CROQUIS_DATOS!$C$1476)-((CROQUIS_DATOS!$C$1481+CROQUIS_DATOS!$C$1482))&gt;0.5),(CROQUIS_DATOS!$C$1566+(IF(IF(MOD(MIN(INT(($A36-1)/2)+1,MAX(1,INT(((((CROQUIS_DATOS!$C$1479+CROQUIS_DATOS!$C$1480))-(CROQUIS_DATOS!$C$1479))+((CROQUIS_DATOS!$C$1476)*CROQUIS_DATOS!$C$1561-((CROQUIS_DATOS!$C$1481+CROQUIS_DATOS!$C$1482))*CROQUIS_DATOS!$C$1561))/CROQUIS_DATOS!$C$1568-0.000001))),2)=1,IF(INT(($A36-1)/2)+1&gt;MAX(1,INT(((((CROQUIS_DATOS!$C$1479+CROQUIS_DATOS!$C$1480))-(CROQUIS_DATOS!$C$1479))+((CROQUIS_DATOS!$C$1476)*CROQUIS_DATOS!$C$1561-((CROQUIS_DATOS!$C$1481+CROQUIS_DATOS!$C$1482))*CROQUIS_DATOS!$C$1561))/CROQUIS_DATOS!$C$1568-0.000001)),1,MOD($A36-1,2)),1-IF(INT(($A36-1)/2)+1&gt;MAX(1,INT(((((CROQUIS_DATOS!$C$1479+CROQUIS_DATOS!$C$1480))-(CROQUIS_DATOS!$C$1479))+((CROQUIS_DATOS!$C$1476)*CROQUIS_DATOS!$C$1561-((CROQUIS_DATOS!$C$1481+CROQUIS_DATOS!$C$1482))*CROQUIS_DATOS!$C$1561))/CROQUIS_DATOS!$C$1568-0.000001)),1,MOD($A36-1,2)))=1,MIN((CROQUIS_DATOS!$C$1476)*CROQUIS_DATOS!$C$1561,((CROQUIS_DATOS!$C$1479+CROQUIS_DATOS!$C$1480)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6">
        <f>IF(AND(CROQUIS_DATOS!$C$1472=1,CROQUIS_DATOS!$C$1478&gt;=1,((CROQUIS_DATOS!$C$1479+CROQUIS_DATOS!$C$1480))-(CROQUIS_DATOS!$C$1479)&gt;0.5,(CROQUIS_DATOS!$C$1476)-((CROQUIS_DATOS!$C$1481+CROQUIS_DATOS!$C$1482))&gt;0.5),(CROQUIS_DATOS!$C$1567+(IF(IF(MOD(MIN(INT(($A36-1)/2)+1,MAX(1,INT(((((CROQUIS_DATOS!$C$1479+CROQUIS_DATOS!$C$1480))-(CROQUIS_DATOS!$C$1479))+((CROQUIS_DATOS!$C$1476)*CROQUIS_DATOS!$C$1561-((CROQUIS_DATOS!$C$1481+CROQUIS_DATOS!$C$1482))*CROQUIS_DATOS!$C$1561))/CROQUIS_DATOS!$C$1568-0.000001))),2)=1,IF(INT(($A36-1)/2)+1&gt;MAX(1,INT(((((CROQUIS_DATOS!$C$1479+CROQUIS_DATOS!$C$1480))-(CROQUIS_DATOS!$C$1479))+((CROQUIS_DATOS!$C$1476)*CROQUIS_DATOS!$C$1561-((CROQUIS_DATOS!$C$1481+CROQUIS_DATOS!$C$1482))*CROQUIS_DATOS!$C$1561))/CROQUIS_DATOS!$C$1568-0.000001)),1,MOD($A36-1,2)),1-IF(INT(($A36-1)/2)+1&gt;MAX(1,INT(((((CROQUIS_DATOS!$C$1479+CROQUIS_DATOS!$C$1480))-(CROQUIS_DATOS!$C$1479))+((CROQUIS_DATOS!$C$1476)*CROQUIS_DATOS!$C$1561-((CROQUIS_DATOS!$C$1481+CROQUIS_DATOS!$C$1482))*CROQUIS_DATOS!$C$1561))/CROQUIS_DATOS!$C$1568-0.000001)),1,MOD($A36-1,2)))=1,MIN((CROQUIS_DATOS!$C$1476)*CROQUIS_DATOS!$C$1561,((CROQUIS_DATOS!$C$1479+CROQUIS_DATOS!$C$1480)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6">
        <f>IF(AND(CROQUIS_DATOS!$C$1472=1,CROQUIS_DATOS!$C$1478&gt;=2,((CROQUIS_DATOS!$C$1484+CROQUIS_DATOS!$C$1485))-(CROQUIS_DATOS!$C$1484)&gt;0.5,(CROQUIS_DATOS!$C$1486)-(0)&gt;0.5),(CROQUIS_DATOS!$C$1566+(IF(IF(MOD(MIN(INT(($A36-1)/2)+1,MAX(1,INT(((((CROQUIS_DATOS!$C$1484+CROQUIS_DATOS!$C$1485))-(CROQUIS_DATOS!$C$1484))+((CROQUIS_DATOS!$C$1486)*CROQUIS_DATOS!$C$1561-(0)*CROQUIS_DATOS!$C$1561))/CROQUIS_DATOS!$C$1568-0.000001))),2)=1,IF(INT(($A36-1)/2)+1&gt;MAX(1,INT(((((CROQUIS_DATOS!$C$1484+CROQUIS_DATOS!$C$1485))-(CROQUIS_DATOS!$C$1484))+((CROQUIS_DATOS!$C$1486)*CROQUIS_DATOS!$C$1561-(0)*CROQUIS_DATOS!$C$1561))/CROQUIS_DATOS!$C$1568-0.000001)),1,MOD($A36-1,2)),1-IF(INT(($A36-1)/2)+1&gt;MAX(1,INT(((((CROQUIS_DATOS!$C$1484+CROQUIS_DATOS!$C$1485))-(CROQUIS_DATOS!$C$1484))+((CROQUIS_DATOS!$C$1486)*CROQUIS_DATOS!$C$1561-(0)*CROQUIS_DATOS!$C$1561))/CROQUIS_DATOS!$C$1568-0.000001)),1,MOD($A36-1,2)))=1,MIN((CROQUIS_DATOS!$C$1486)*CROQUIS_DATOS!$C$1561,((CROQUIS_DATOS!$C$1484+CROQUIS_DATOS!$C$1485)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*CROQUIS_DATOS!$C$1565),-1000)</f>
        <v>63.2413793103448</v>
      </c>
      <c r="CS36">
        <f>IF(AND(CROQUIS_DATOS!$C$1472=1,CROQUIS_DATOS!$C$1478&gt;=2,((CROQUIS_DATOS!$C$1484+CROQUIS_DATOS!$C$1485))-(CROQUIS_DATOS!$C$1484)&gt;0.5,(CROQUIS_DATOS!$C$1486)-(0)&gt;0.5),(CROQUIS_DATOS!$C$1567+(IF(IF(MOD(MIN(INT(($A36-1)/2)+1,MAX(1,INT(((((CROQUIS_DATOS!$C$1484+CROQUIS_DATOS!$C$1485))-(CROQUIS_DATOS!$C$1484))+((CROQUIS_DATOS!$C$1486)*CROQUIS_DATOS!$C$1561-(0)*CROQUIS_DATOS!$C$1561))/CROQUIS_DATOS!$C$1568-0.000001))),2)=1,IF(INT(($A36-1)/2)+1&gt;MAX(1,INT(((((CROQUIS_DATOS!$C$1484+CROQUIS_DATOS!$C$1485))-(CROQUIS_DATOS!$C$1484))+((CROQUIS_DATOS!$C$1486)*CROQUIS_DATOS!$C$1561-(0)*CROQUIS_DATOS!$C$1561))/CROQUIS_DATOS!$C$1568-0.000001)),1,MOD($A36-1,2)),1-IF(INT(($A36-1)/2)+1&gt;MAX(1,INT(((((CROQUIS_DATOS!$C$1484+CROQUIS_DATOS!$C$1485))-(CROQUIS_DATOS!$C$1484))+((CROQUIS_DATOS!$C$1486)*CROQUIS_DATOS!$C$1561-(0)*CROQUIS_DATOS!$C$1561))/CROQUIS_DATOS!$C$1568-0.000001)),1,MOD($A36-1,2)))=1,MIN((CROQUIS_DATOS!$C$1486)*CROQUIS_DATOS!$C$1561,((CROQUIS_DATOS!$C$1484+CROQUIS_DATOS!$C$1485)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36">
        <f>IF(AND(CROQUIS_DATOS!$C$1472=1,CROQUIS_DATOS!$C$1478&gt;=2,((CROQUIS_DATOS!$C$1484+CROQUIS_DATOS!$C$1485))-(CROQUIS_DATOS!$C$1484)&gt;0.5,(CROQUIS_DATOS!$C$1476)-((CROQUIS_DATOS!$C$1486+CROQUIS_DATOS!$C$1487))&gt;0.5),(CROQUIS_DATOS!$C$1566+(IF(IF(MOD(MIN(INT(($A36-1)/2)+1,MAX(1,INT(((((CROQUIS_DATOS!$C$1484+CROQUIS_DATOS!$C$1485))-(CROQUIS_DATOS!$C$1484))+((CROQUIS_DATOS!$C$1476)*CROQUIS_DATOS!$C$1561-((CROQUIS_DATOS!$C$1486+CROQUIS_DATOS!$C$1487))*CROQUIS_DATOS!$C$1561))/CROQUIS_DATOS!$C$1568-0.000001))),2)=1,IF(INT(($A36-1)/2)+1&gt;MAX(1,INT(((((CROQUIS_DATOS!$C$1484+CROQUIS_DATOS!$C$1485))-(CROQUIS_DATOS!$C$1484))+((CROQUIS_DATOS!$C$1476)*CROQUIS_DATOS!$C$1561-((CROQUIS_DATOS!$C$1486+CROQUIS_DATOS!$C$1487))*CROQUIS_DATOS!$C$1561))/CROQUIS_DATOS!$C$1568-0.000001)),1,MOD($A36-1,2)),1-IF(INT(($A36-1)/2)+1&gt;MAX(1,INT(((((CROQUIS_DATOS!$C$1484+CROQUIS_DATOS!$C$1485))-(CROQUIS_DATOS!$C$1484))+((CROQUIS_DATOS!$C$1476)*CROQUIS_DATOS!$C$1561-((CROQUIS_DATOS!$C$1486+CROQUIS_DATOS!$C$1487))*CROQUIS_DATOS!$C$1561))/CROQUIS_DATOS!$C$1568-0.000001)),1,MOD($A36-1,2)))=1,MIN((CROQUIS_DATOS!$C$1476)*CROQUIS_DATOS!$C$1561,((CROQUIS_DATOS!$C$1484+CROQUIS_DATOS!$C$1485)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6">
        <f>IF(AND(CROQUIS_DATOS!$C$1472=1,CROQUIS_DATOS!$C$1478&gt;=2,((CROQUIS_DATOS!$C$1484+CROQUIS_DATOS!$C$1485))-(CROQUIS_DATOS!$C$1484)&gt;0.5,(CROQUIS_DATOS!$C$1476)-((CROQUIS_DATOS!$C$1486+CROQUIS_DATOS!$C$1487))&gt;0.5),(CROQUIS_DATOS!$C$1567+(IF(IF(MOD(MIN(INT(($A36-1)/2)+1,MAX(1,INT(((((CROQUIS_DATOS!$C$1484+CROQUIS_DATOS!$C$1485))-(CROQUIS_DATOS!$C$1484))+((CROQUIS_DATOS!$C$1476)*CROQUIS_DATOS!$C$1561-((CROQUIS_DATOS!$C$1486+CROQUIS_DATOS!$C$1487))*CROQUIS_DATOS!$C$1561))/CROQUIS_DATOS!$C$1568-0.000001))),2)=1,IF(INT(($A36-1)/2)+1&gt;MAX(1,INT(((((CROQUIS_DATOS!$C$1484+CROQUIS_DATOS!$C$1485))-(CROQUIS_DATOS!$C$1484))+((CROQUIS_DATOS!$C$1476)*CROQUIS_DATOS!$C$1561-((CROQUIS_DATOS!$C$1486+CROQUIS_DATOS!$C$1487))*CROQUIS_DATOS!$C$1561))/CROQUIS_DATOS!$C$1568-0.000001)),1,MOD($A36-1,2)),1-IF(INT(($A36-1)/2)+1&gt;MAX(1,INT(((((CROQUIS_DATOS!$C$1484+CROQUIS_DATOS!$C$1485))-(CROQUIS_DATOS!$C$1484))+((CROQUIS_DATOS!$C$1476)*CROQUIS_DATOS!$C$1561-((CROQUIS_DATOS!$C$1486+CROQUIS_DATOS!$C$1487))*CROQUIS_DATOS!$C$1561))/CROQUIS_DATOS!$C$1568-0.000001)),1,MOD($A36-1,2)))=1,MIN((CROQUIS_DATOS!$C$1476)*CROQUIS_DATOS!$C$1561,((CROQUIS_DATOS!$C$1484+CROQUIS_DATOS!$C$1485)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6">
        <f>IF(AND(CROQUIS_DATOS!$C$1472=1,CROQUIS_DATOS!$C$1478&gt;=3,((CROQUIS_DATOS!$C$1489+CROQUIS_DATOS!$C$1490))-(CROQUIS_DATOS!$C$1489)&gt;0.5,(CROQUIS_DATOS!$C$1491)-(0)&gt;0.5),(CROQUIS_DATOS!$C$1566+(IF(IF(MOD(MIN(INT(($A36-1)/2)+1,MAX(1,INT(((((CROQUIS_DATOS!$C$1489+CROQUIS_DATOS!$C$1490))-(CROQUIS_DATOS!$C$1489))+((CROQUIS_DATOS!$C$1491)*CROQUIS_DATOS!$C$1561-(0)*CROQUIS_DATOS!$C$1561))/CROQUIS_DATOS!$C$1568-0.000001))),2)=1,IF(INT(($A36-1)/2)+1&gt;MAX(1,INT(((((CROQUIS_DATOS!$C$1489+CROQUIS_DATOS!$C$1490))-(CROQUIS_DATOS!$C$1489))+((CROQUIS_DATOS!$C$1491)*CROQUIS_DATOS!$C$1561-(0)*CROQUIS_DATOS!$C$1561))/CROQUIS_DATOS!$C$1568-0.000001)),1,MOD($A36-1,2)),1-IF(INT(($A36-1)/2)+1&gt;MAX(1,INT(((((CROQUIS_DATOS!$C$1489+CROQUIS_DATOS!$C$1490))-(CROQUIS_DATOS!$C$1489))+((CROQUIS_DATOS!$C$1491)*CROQUIS_DATOS!$C$1561-(0)*CROQUIS_DATOS!$C$1561))/CROQUIS_DATOS!$C$1568-0.000001)),1,MOD($A36-1,2)))=1,MIN((CROQUIS_DATOS!$C$1491)*CROQUIS_DATOS!$C$1561,((CROQUIS_DATOS!$C$1489+CROQUIS_DATOS!$C$1490)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6">
        <f>IF(AND(CROQUIS_DATOS!$C$1472=1,CROQUIS_DATOS!$C$1478&gt;=3,((CROQUIS_DATOS!$C$1489+CROQUIS_DATOS!$C$1490))-(CROQUIS_DATOS!$C$1489)&gt;0.5,(CROQUIS_DATOS!$C$1491)-(0)&gt;0.5),(CROQUIS_DATOS!$C$1567+(IF(IF(MOD(MIN(INT(($A36-1)/2)+1,MAX(1,INT(((((CROQUIS_DATOS!$C$1489+CROQUIS_DATOS!$C$1490))-(CROQUIS_DATOS!$C$1489))+((CROQUIS_DATOS!$C$1491)*CROQUIS_DATOS!$C$1561-(0)*CROQUIS_DATOS!$C$1561))/CROQUIS_DATOS!$C$1568-0.000001))),2)=1,IF(INT(($A36-1)/2)+1&gt;MAX(1,INT(((((CROQUIS_DATOS!$C$1489+CROQUIS_DATOS!$C$1490))-(CROQUIS_DATOS!$C$1489))+((CROQUIS_DATOS!$C$1491)*CROQUIS_DATOS!$C$1561-(0)*CROQUIS_DATOS!$C$1561))/CROQUIS_DATOS!$C$1568-0.000001)),1,MOD($A36-1,2)),1-IF(INT(($A36-1)/2)+1&gt;MAX(1,INT(((((CROQUIS_DATOS!$C$1489+CROQUIS_DATOS!$C$1490))-(CROQUIS_DATOS!$C$1489))+((CROQUIS_DATOS!$C$1491)*CROQUIS_DATOS!$C$1561-(0)*CROQUIS_DATOS!$C$1561))/CROQUIS_DATOS!$C$1568-0.000001)),1,MOD($A36-1,2)))=1,MIN((CROQUIS_DATOS!$C$1491)*CROQUIS_DATOS!$C$1561,((CROQUIS_DATOS!$C$1489+CROQUIS_DATOS!$C$1490)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6">
        <f>IF(AND(CROQUIS_DATOS!$C$1472=1,CROQUIS_DATOS!$C$1478&gt;=3,((CROQUIS_DATOS!$C$1489+CROQUIS_DATOS!$C$1490))-(CROQUIS_DATOS!$C$1489)&gt;0.5,(CROQUIS_DATOS!$C$1476)-((CROQUIS_DATOS!$C$1491+CROQUIS_DATOS!$C$1492))&gt;0.5),(CROQUIS_DATOS!$C$1566+(IF(IF(MOD(MIN(INT(($A36-1)/2)+1,MAX(1,INT(((((CROQUIS_DATOS!$C$1489+CROQUIS_DATOS!$C$1490))-(CROQUIS_DATOS!$C$1489))+((CROQUIS_DATOS!$C$1476)*CROQUIS_DATOS!$C$1561-((CROQUIS_DATOS!$C$1491+CROQUIS_DATOS!$C$1492))*CROQUIS_DATOS!$C$1561))/CROQUIS_DATOS!$C$1568-0.000001))),2)=1,IF(INT(($A36-1)/2)+1&gt;MAX(1,INT(((((CROQUIS_DATOS!$C$1489+CROQUIS_DATOS!$C$1490))-(CROQUIS_DATOS!$C$1489))+((CROQUIS_DATOS!$C$1476)*CROQUIS_DATOS!$C$1561-((CROQUIS_DATOS!$C$1491+CROQUIS_DATOS!$C$1492))*CROQUIS_DATOS!$C$1561))/CROQUIS_DATOS!$C$1568-0.000001)),1,MOD($A36-1,2)),1-IF(INT(($A36-1)/2)+1&gt;MAX(1,INT(((((CROQUIS_DATOS!$C$1489+CROQUIS_DATOS!$C$1490))-(CROQUIS_DATOS!$C$1489))+((CROQUIS_DATOS!$C$1476)*CROQUIS_DATOS!$C$1561-((CROQUIS_DATOS!$C$1491+CROQUIS_DATOS!$C$1492))*CROQUIS_DATOS!$C$1561))/CROQUIS_DATOS!$C$1568-0.000001)),1,MOD($A36-1,2)))=1,MIN((CROQUIS_DATOS!$C$1476)*CROQUIS_DATOS!$C$1561,((CROQUIS_DATOS!$C$1489+CROQUIS_DATOS!$C$1490)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6">
        <f>IF(AND(CROQUIS_DATOS!$C$1472=1,CROQUIS_DATOS!$C$1478&gt;=3,((CROQUIS_DATOS!$C$1489+CROQUIS_DATOS!$C$1490))-(CROQUIS_DATOS!$C$1489)&gt;0.5,(CROQUIS_DATOS!$C$1476)-((CROQUIS_DATOS!$C$1491+CROQUIS_DATOS!$C$1492))&gt;0.5),(CROQUIS_DATOS!$C$1567+(IF(IF(MOD(MIN(INT(($A36-1)/2)+1,MAX(1,INT(((((CROQUIS_DATOS!$C$1489+CROQUIS_DATOS!$C$1490))-(CROQUIS_DATOS!$C$1489))+((CROQUIS_DATOS!$C$1476)*CROQUIS_DATOS!$C$1561-((CROQUIS_DATOS!$C$1491+CROQUIS_DATOS!$C$1492))*CROQUIS_DATOS!$C$1561))/CROQUIS_DATOS!$C$1568-0.000001))),2)=1,IF(INT(($A36-1)/2)+1&gt;MAX(1,INT(((((CROQUIS_DATOS!$C$1489+CROQUIS_DATOS!$C$1490))-(CROQUIS_DATOS!$C$1489))+((CROQUIS_DATOS!$C$1476)*CROQUIS_DATOS!$C$1561-((CROQUIS_DATOS!$C$1491+CROQUIS_DATOS!$C$1492))*CROQUIS_DATOS!$C$1561))/CROQUIS_DATOS!$C$1568-0.000001)),1,MOD($A36-1,2)),1-IF(INT(($A36-1)/2)+1&gt;MAX(1,INT(((((CROQUIS_DATOS!$C$1489+CROQUIS_DATOS!$C$1490))-(CROQUIS_DATOS!$C$1489))+((CROQUIS_DATOS!$C$1476)*CROQUIS_DATOS!$C$1561-((CROQUIS_DATOS!$C$1491+CROQUIS_DATOS!$C$1492))*CROQUIS_DATOS!$C$1561))/CROQUIS_DATOS!$C$1568-0.000001)),1,MOD($A36-1,2)))=1,MIN((CROQUIS_DATOS!$C$1476)*CROQUIS_DATOS!$C$1561,((CROQUIS_DATOS!$C$1489+CROQUIS_DATOS!$C$1490)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6">
        <f>IF(AND(CROQUIS_DATOS!$C$1472=1,CROQUIS_DATOS!$C$1478&gt;=4,((CROQUIS_DATOS!$C$1494+CROQUIS_DATOS!$C$1495))-(CROQUIS_DATOS!$C$1494)&gt;0.5,(CROQUIS_DATOS!$C$1496)-(0)&gt;0.5),(CROQUIS_DATOS!$C$1566+(IF(IF(MOD(MIN(INT(($A36-1)/2)+1,MAX(1,INT(((((CROQUIS_DATOS!$C$1494+CROQUIS_DATOS!$C$1495))-(CROQUIS_DATOS!$C$1494))+((CROQUIS_DATOS!$C$1496)*CROQUIS_DATOS!$C$1561-(0)*CROQUIS_DATOS!$C$1561))/CROQUIS_DATOS!$C$1568-0.000001))),2)=1,IF(INT(($A36-1)/2)+1&gt;MAX(1,INT(((((CROQUIS_DATOS!$C$1494+CROQUIS_DATOS!$C$1495))-(CROQUIS_DATOS!$C$1494))+((CROQUIS_DATOS!$C$1496)*CROQUIS_DATOS!$C$1561-(0)*CROQUIS_DATOS!$C$1561))/CROQUIS_DATOS!$C$1568-0.000001)),1,MOD($A36-1,2)),1-IF(INT(($A36-1)/2)+1&gt;MAX(1,INT(((((CROQUIS_DATOS!$C$1494+CROQUIS_DATOS!$C$1495))-(CROQUIS_DATOS!$C$1494))+((CROQUIS_DATOS!$C$1496)*CROQUIS_DATOS!$C$1561-(0)*CROQUIS_DATOS!$C$1561))/CROQUIS_DATOS!$C$1568-0.000001)),1,MOD($A36-1,2)))=1,MIN((CROQUIS_DATOS!$C$1496)*CROQUIS_DATOS!$C$1561,((CROQUIS_DATOS!$C$1494+CROQUIS_DATOS!$C$1495)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6">
        <f>IF(AND(CROQUIS_DATOS!$C$1472=1,CROQUIS_DATOS!$C$1478&gt;=4,((CROQUIS_DATOS!$C$1494+CROQUIS_DATOS!$C$1495))-(CROQUIS_DATOS!$C$1494)&gt;0.5,(CROQUIS_DATOS!$C$1496)-(0)&gt;0.5),(CROQUIS_DATOS!$C$1567+(IF(IF(MOD(MIN(INT(($A36-1)/2)+1,MAX(1,INT(((((CROQUIS_DATOS!$C$1494+CROQUIS_DATOS!$C$1495))-(CROQUIS_DATOS!$C$1494))+((CROQUIS_DATOS!$C$1496)*CROQUIS_DATOS!$C$1561-(0)*CROQUIS_DATOS!$C$1561))/CROQUIS_DATOS!$C$1568-0.000001))),2)=1,IF(INT(($A36-1)/2)+1&gt;MAX(1,INT(((((CROQUIS_DATOS!$C$1494+CROQUIS_DATOS!$C$1495))-(CROQUIS_DATOS!$C$1494))+((CROQUIS_DATOS!$C$1496)*CROQUIS_DATOS!$C$1561-(0)*CROQUIS_DATOS!$C$1561))/CROQUIS_DATOS!$C$1568-0.000001)),1,MOD($A36-1,2)),1-IF(INT(($A36-1)/2)+1&gt;MAX(1,INT(((((CROQUIS_DATOS!$C$1494+CROQUIS_DATOS!$C$1495))-(CROQUIS_DATOS!$C$1494))+((CROQUIS_DATOS!$C$1496)*CROQUIS_DATOS!$C$1561-(0)*CROQUIS_DATOS!$C$1561))/CROQUIS_DATOS!$C$1568-0.000001)),1,MOD($A36-1,2)))=1,MIN((CROQUIS_DATOS!$C$1496)*CROQUIS_DATOS!$C$1561,((CROQUIS_DATOS!$C$1494+CROQUIS_DATOS!$C$1495)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6">
        <f>IF(AND(CROQUIS_DATOS!$C$1472=1,CROQUIS_DATOS!$C$1478&gt;=4,((CROQUIS_DATOS!$C$1494+CROQUIS_DATOS!$C$1495))-(CROQUIS_DATOS!$C$1494)&gt;0.5,(CROQUIS_DATOS!$C$1476)-((CROQUIS_DATOS!$C$1496+CROQUIS_DATOS!$C$1497))&gt;0.5),(CROQUIS_DATOS!$C$1566+(IF(IF(MOD(MIN(INT(($A36-1)/2)+1,MAX(1,INT(((((CROQUIS_DATOS!$C$1494+CROQUIS_DATOS!$C$1495))-(CROQUIS_DATOS!$C$1494))+((CROQUIS_DATOS!$C$1476)*CROQUIS_DATOS!$C$1561-((CROQUIS_DATOS!$C$1496+CROQUIS_DATOS!$C$1497))*CROQUIS_DATOS!$C$1561))/CROQUIS_DATOS!$C$1568-0.000001))),2)=1,IF(INT(($A36-1)/2)+1&gt;MAX(1,INT(((((CROQUIS_DATOS!$C$1494+CROQUIS_DATOS!$C$1495))-(CROQUIS_DATOS!$C$1494))+((CROQUIS_DATOS!$C$1476)*CROQUIS_DATOS!$C$1561-((CROQUIS_DATOS!$C$1496+CROQUIS_DATOS!$C$1497))*CROQUIS_DATOS!$C$1561))/CROQUIS_DATOS!$C$1568-0.000001)),1,MOD($A36-1,2)),1-IF(INT(($A36-1)/2)+1&gt;MAX(1,INT(((((CROQUIS_DATOS!$C$1494+CROQUIS_DATOS!$C$1495))-(CROQUIS_DATOS!$C$1494))+((CROQUIS_DATOS!$C$1476)*CROQUIS_DATOS!$C$1561-((CROQUIS_DATOS!$C$1496+CROQUIS_DATOS!$C$1497))*CROQUIS_DATOS!$C$1561))/CROQUIS_DATOS!$C$1568-0.000001)),1,MOD($A36-1,2)))=1,MIN((CROQUIS_DATOS!$C$1476)*CROQUIS_DATOS!$C$1561,((CROQUIS_DATOS!$C$1494+CROQUIS_DATOS!$C$1495)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6">
        <f>IF(AND(CROQUIS_DATOS!$C$1472=1,CROQUIS_DATOS!$C$1478&gt;=4,((CROQUIS_DATOS!$C$1494+CROQUIS_DATOS!$C$1495))-(CROQUIS_DATOS!$C$1494)&gt;0.5,(CROQUIS_DATOS!$C$1476)-((CROQUIS_DATOS!$C$1496+CROQUIS_DATOS!$C$1497))&gt;0.5),(CROQUIS_DATOS!$C$1567+(IF(IF(MOD(MIN(INT(($A36-1)/2)+1,MAX(1,INT(((((CROQUIS_DATOS!$C$1494+CROQUIS_DATOS!$C$1495))-(CROQUIS_DATOS!$C$1494))+((CROQUIS_DATOS!$C$1476)*CROQUIS_DATOS!$C$1561-((CROQUIS_DATOS!$C$1496+CROQUIS_DATOS!$C$1497))*CROQUIS_DATOS!$C$1561))/CROQUIS_DATOS!$C$1568-0.000001))),2)=1,IF(INT(($A36-1)/2)+1&gt;MAX(1,INT(((((CROQUIS_DATOS!$C$1494+CROQUIS_DATOS!$C$1495))-(CROQUIS_DATOS!$C$1494))+((CROQUIS_DATOS!$C$1476)*CROQUIS_DATOS!$C$1561-((CROQUIS_DATOS!$C$1496+CROQUIS_DATOS!$C$1497))*CROQUIS_DATOS!$C$1561))/CROQUIS_DATOS!$C$1568-0.000001)),1,MOD($A36-1,2)),1-IF(INT(($A36-1)/2)+1&gt;MAX(1,INT(((((CROQUIS_DATOS!$C$1494+CROQUIS_DATOS!$C$1495))-(CROQUIS_DATOS!$C$1494))+((CROQUIS_DATOS!$C$1476)*CROQUIS_DATOS!$C$1561-((CROQUIS_DATOS!$C$1496+CROQUIS_DATOS!$C$1497))*CROQUIS_DATOS!$C$1561))/CROQUIS_DATOS!$C$1568-0.000001)),1,MOD($A36-1,2)))=1,MIN((CROQUIS_DATOS!$C$1476)*CROQUIS_DATOS!$C$1561,((CROQUIS_DATOS!$C$1494+CROQUIS_DATOS!$C$1495)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6">
        <f>IF(AND(CROQUIS_DATOS!$C$1472=1,1),(CROQUIS_DATOS!$C$1571+(CHOOSE(MIN(MAX(IF(INT(($A36-1)/5)+1&gt;CROQUIS_DATOS!$C$1525,5,MOD($A36-1,5)+1),1),5),(INDEX($E$8:$E$23,MIN(INT(($A36-1)/5)+1,CROQUIS_DATOS!$C$1525))-INDEX($F$8:$F$23,MIN(INT(($A36-1)/5)+1,CROQUIS_DATOS!$C$1525))/2),(INDEX($E$8:$E$23,MIN(INT(($A36-1)/5)+1,CROQUIS_DATOS!$C$1525))+INDEX($F$8:$F$23,MIN(INT(($A36-1)/5)+1,CROQUIS_DATOS!$C$1525))/2),(INDEX($E$8:$E$23,MIN(INT(($A36-1)/5)+1,CROQUIS_DATOS!$C$1525))+INDEX($F$8:$F$23,MIN(INT(($A36-1)/5)+1,CROQUIS_DATOS!$C$1525))/2),(INDEX($E$8:$E$23,MIN(INT(($A36-1)/5)+1,CROQUIS_DATOS!$C$1525))-INDEX($F$8:$F$23,MIN(INT(($A36-1)/5)+1,CROQUIS_DATOS!$C$1525))/2),(INDEX($E$8:$E$23,MIN(INT(($A36-1)/5)+1,CROQUIS_DATOS!$C$1525))-INDEX($F$8:$F$23,MIN(INT(($A36-1)/5)+1,CROQUIS_DATOS!$C$1525))/2)))*CROQUIS_DATOS!$C$1569),-1000)</f>
        <v>95.24</v>
      </c>
      <c r="GE36">
        <f>IF(AND(CROQUIS_DATOS!$C$1472=1,1),(CROQUIS_DATOS!$C$1572+(CHOOSE(MIN(MAX(IF(INT(($A36-1)/5)+1&gt;CROQUIS_DATOS!$C$1525,5,MOD($A36-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14</v>
      </c>
      <c r="GF36">
        <f>IF(AND(CROQUIS_DATOS!$C$1472=1,1),IF(INT(($A36-1)/4)+1&lt;=CROQUIS_DATOS!$C$1525,(CROQUIS_DATOS!$C$1571+((INDEX($E$8:$E$23,MIN(INT(($A36-1)/4)+1,16))+IF(OR(MOD($A36-1,4)=0,MOD($A36-1,4)=3),-1,1)*(INDEX($F$8:$F$23,MIN(INT(($A36-1)/4)+1,16))/2-(CROQUIS_DATOS!$C$1530+CROQUIS_DATOS!$C$1532+IF(OR(INT(($A36-1)/4)+1=1,INT(($A36-1)/4)+1=CROQUIS_DATOS!$C$1525),CROQUIS_DATOS!$C$1534,CROQUIS_DATOS!$C$1531)/2))))*CROQUIS_DATOS!$C$1569),-1000),-1000)</f>
        <v>-1000</v>
      </c>
      <c r="GG36">
        <f>IF(AND(CROQUIS_DATOS!$C$1472=1,1),IF(INT(($A36-1)/4)+1&lt;=CROQUIS_DATOS!$C$1525,(CROQUIS_DATOS!$C$1572+((CROQUIS_DATOS!$C$1477/2+IF(MOD($A36-1,4)&lt;2,-1,1)*(CROQUIS_DATOS!$C$1527/2-(CROQUIS_DATOS!$C$1530+CROQUIS_DATOS!$C$1532+IF(OR(INT(($A36-1)/4)+1=1,INT(($A36-1)/4)+1=CROQUIS_DATOS!$C$1525),CROQUIS_DATOS!$C$1534,CROQUIS_DATOS!$C$1531)/2))))*CROQUIS_DATOS!$C$1569*CROQUIS_DATOS!$C$1570),-1000),-1000)</f>
        <v>-1000</v>
      </c>
    </row>
    <row r="37">
      <c r="A37" t="n">
        <v>30</v>
      </c>
      <c r="H37">
        <f>IF(30&lt;=CROQUIS_DATOS!$C$1539,30*CROQUIS_DATOS!$C$1536,IF(30&lt;=CROQUIS_DATOS!$C$1539+CROQUIS_DATOS!$C$1540,CROQUIS_DATOS!$C$1539*CROQUIS_DATOS!$C$1536+(30-CROQUIS_DATOS!$C$1539)*(CROQUIS_DATOS!$C$1476-2*CROQUIS_DATOS!$C$1539*CROQUIS_DATOS!$C$1536)/(CROQUIS_DATOS!$C$1540+1),CROQUIS_DATOS!$C$1476-(2*CROQUIS_DATOS!$C$1539+CROQUIS_DATOS!$C$1540+1-30)*CROQUIS_DATOS!$C$1536))</f>
        <v>332.5</v>
      </c>
      <c r="J37">
        <f>IF(AND(CROQUIS_DATOS!$C$1472=1,1),(CROQUIS_DATOS!$C$1563+(CHOOSE(MIN(MAX(IF(INT(($A37-1)/4)+1&gt;CROQUIS_DATOS!$C$1525,4,MOD($A37-1,4)+1),1),4),(INDEX($E$8:$E$23,MIN(INT(($A37-1)/4)+1,CROQUIS_DATOS!$C$1525))-INDEX($F$8:$F$23,MIN(INT(($A37-1)/4)+1,CROQUIS_DATOS!$C$1525))/2),(INDEX($E$8:$E$23,MIN(INT(($A37-1)/4)+1,CROQUIS_DATOS!$C$1525))-INDEX($F$8:$F$23,MIN(INT(($A37-1)/4)+1,CROQUIS_DATOS!$C$1525))/2),(INDEX($E$8:$E$23,MIN(INT(($A37-1)/4)+1,CROQUIS_DATOS!$C$1525))+INDEX($F$8:$F$23,MIN(INT(($A37-1)/4)+1,CROQUIS_DATOS!$C$1525))/2),(INDEX($E$8:$E$23,MIN(INT(($A37-1)/4)+1,CROQUIS_DATOS!$C$1525))+INDEX($F$8:$F$23,MIN(INT(($A37-1)/4)+1,CROQUIS_DATOS!$C$1525))/2)))*CROQUIS_DATOS!$C$1562),-1000)</f>
        <v>84.9137931034483</v>
      </c>
      <c r="K37">
        <f>IF(AND(CROQUIS_DATOS!$C$1472=1,1),(CROQUIS_DATOS!$C$1564+(CHOOSE(MIN(MAX(IF(INT(($A37-1)/4)+1&gt;CROQUIS_DATOS!$C$1525,4,MOD($A37-1,4)+1),1),4),0,CROQUIS_DATOS!$C$1476,CROQUIS_DATOS!$C$1476,0))*CROQUIS_DATOS!$C$1561*CROQUIS_DATOS!$C$1562),-1000)</f>
        <v>5.29310344827586</v>
      </c>
      <c r="L37">
        <f>IF(AND(CROQUIS_DATOS!$C$1472=1,1),(CROQUIS_DATOS!$C$1563+(CHOOSE(MIN(MAX(IF(INT(($A37-1)/4)+1&gt;CROQUIS_DATOS!$C$1525,4,MOD($A37-1,4)+1),1),4),((INDEX($E$8:$E$23,MIN(INT(($A37-1)/4)+1,CROQUIS_DATOS!$C$1525))-INDEX($F$8:$F$23,MIN(INT(($A37-1)/4)+1,CROQUIS_DATOS!$C$1525))/2)+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,((INDEX($E$8:$E$23,MIN(INT(($A37-1)/4)+1,CROQUIS_DATOS!$C$1525))-INDEX($F$8:$F$23,MIN(INT(($A37-1)/4)+1,CROQUIS_DATOS!$C$1525))/2)+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,((INDEX($E$8:$E$23,MIN(INT(($A37-1)/4)+1,CROQUIS_DATOS!$C$1525))+INDEX($F$8:$F$23,MIN(INT(($A37-1)/4)+1,CROQUIS_DATOS!$C$1525))/2)-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,((INDEX($E$8:$E$23,MIN(INT(($A37-1)/4)+1,CROQUIS_DATOS!$C$1525))+INDEX($F$8:$F$23,MIN(INT(($A37-1)/4)+1,CROQUIS_DATOS!$C$1525))/2)-MIN((CROQUIS_DATOS!$C$1530+CROQUIS_DATOS!$C$1532+IF(OR(MIN(INT(($A37-1)/4)+1,CROQUIS_DATOS!$C$1525)=1,MIN(INT(($A37-1)/4)+1,CROQUIS_DATOS!$C$1525)=CROQUIS_DATOS!$C$1525),CROQUIS_DATOS!$C$1534,CROQUIS_DATOS!$C$1531)/2),INDEX($F$8:$F$23,MIN(INT(($A37-1)/4)+1,CROQUIS_DATOS!$C$1525))/2-0.5))))*CROQUIS_DATOS!$C$1562),-1000)</f>
        <v>84.4792560344828</v>
      </c>
      <c r="M37">
        <f>IF(AND(CROQUIS_DATOS!$C$1472=1,1),(CROQUIS_DATOS!$C$1564+(CHOOSE(MIN(MAX(IF(INT(($A37-1)/4)+1&gt;CROQUIS_DATOS!$C$1525,4,MOD($A37-1,4)+1),1),4),CROQUIS_DATOS!$C$1543,INDEX($I$8:$I$23,MIN(INT(($A37-1)/4)+1,CROQUIS_DATOS!$C$1525)),INDEX($I$8:$I$23,MIN(INT(($A37-1)/4)+1,CROQUIS_DATOS!$C$1525)),CROQUIS_DATOS!$C$1543))*CROQUIS_DATOS!$C$1561*CROQUIS_DATOS!$C$1562),-1000)</f>
        <v>42.5654629310345</v>
      </c>
      <c r="N37">
        <f>IF(AND(CROQUIS_DATOS!$C$1472=1,1),(CROQUIS_DATOS!$C$1563+(IF(IF(IF(INT(($A37-1)/70)+1&gt;CROQUIS_DATOS!$C$1525,70,MOD($A37-1,70)+1)=1,0,IF(IF(INT(($A37-1)/70)+1&gt;CROQUIS_DATOS!$C$1525,70,MOD($A37-1,70)+1)&gt;2*CROQUIS_DATOS!$C$1541+1,IF(MOD(CROQUIS_DATOS!$C$1541,2)=1,1,0),IF(MOD(MIN(INT((IF(INT(($A37-1)/70)+1&gt;CROQUIS_DATOS!$C$1525,70,MOD($A37-1,70)+1)-2)/2)+1,CROQUIS_DATOS!$C$1541),2)=1,IF(MOD(IF(INT(($A37-1)/70)+1&gt;CROQUIS_DATOS!$C$1525,70,MOD($A37-1,70)+1)-2,2)=0,0,1),IF(MOD(IF(INT(($A37-1)/70)+1&gt;CROQUIS_DATOS!$C$1525,70,MOD($A37-1,70)+1)-2,2)=0,1,0))))=0,(INDEX($E$8:$E$23,MIN(INT(($A37-1)/70)+1,CROQUIS_DATOS!$C$1525))-INDEX($F$8:$F$23,MIN(INT(($A37-1)/70)+1,CROQUIS_DATOS!$C$1525))/2),(INDEX($E$8:$E$23,MIN(INT(($A37-1)/70)+1,CROQUIS_DATOS!$C$1525))+INDEX($F$8:$F$23,MIN(INT(($A37-1)/70)+1,CROQUIS_DATOS!$C$1525))/2)))*CROQUIS_DATOS!$C$1562),-1000)</f>
        <v>15.0862068965517</v>
      </c>
      <c r="O37">
        <f>IF(AND(CROQUIS_DATOS!$C$1472=1,1),(CROQUIS_DATOS!$C$1564+(IF(OR(IF(INT(($A37-1)/70)+1&gt;CROQUIS_DATOS!$C$1525,70,MOD($A37-1,70)+1)=1,IF(INT(($A37-1)/70)+1&gt;CROQUIS_DATOS!$C$1525,70,MOD($A37-1,70)+1)&gt;2*CROQUIS_DATOS!$C$1541+1),CROQUIS_DATOS!$C$1476,INDEX($H$8:$H$41,MIN(INT((IF(INT(($A37-1)/70)+1&gt;CROQUIS_DATOS!$C$1525,70,MOD($A37-1,70)+1)-2)/2)+1,CROQUIS_DATOS!$C$1541))))*CROQUIS_DATOS!$C$1561*CROQUIS_DATOS!$C$1562),-1000)</f>
        <v>36.0172413793104</v>
      </c>
      <c r="P37">
        <f>IF(AND(CROQUIS_DATOS!$C$1472=1,CROQUIS_DATOS!$C$1555=1),(CROQUIS_DATOS!$C$1563+(IF(IF(OR(MOD($A37-1,62)+1=1,IF(CHOOSE(MIN(MAX(MIN(INT(($A37-1)/62)+1,5),1),5),CROQUIS_DATOS!$C$1501,CROQUIS_DATOS!$C$1505,CROQUIS_DATOS!$C$1509,CROQUIS_DATOS!$C$1513,CROQUIS_DATOS!$C$1517)=1,CROQUIS_DATOS!$C$1557,0)=0),0,IF(MOD($A37-1,62)+1&gt;2*IF(CHOOSE(MIN(MAX(MIN(INT(($A37-1)/62)+1,5),1),5),CROQUIS_DATOS!$C$1501,CROQUIS_DATOS!$C$1505,CROQUIS_DATOS!$C$1509,CROQUIS_DATOS!$C$1513,CROQUIS_DATOS!$C$1517)=1,CROQUIS_DATOS!$C$1557,0)+1,IF(MOD(IF(CHOOSE(MIN(MAX(MIN(INT(($A37-1)/62)+1,5),1),5),CROQUIS_DATOS!$C$1501,CROQUIS_DATOS!$C$1505,CROQUIS_DATOS!$C$1509,CROQUIS_DATOS!$C$1513,CROQUIS_DATOS!$C$1517)=1,CROQUIS_DATOS!$C$1557,0),2)=1,1,0),IF(MOD(MIN(INT((MOD($A37-1,62)+1-2)/2)+1,MAX(IF(CHOOSE(MIN(MAX(MIN(INT(($A37-1)/62)+1,5),1),5),CROQUIS_DATOS!$C$1501,CROQUIS_DATOS!$C$1505,CROQUIS_DATOS!$C$1509,CROQUIS_DATOS!$C$1513,CROQUIS_DATOS!$C$1517)=1,CROQUIS_DATOS!$C$1557,0),1)),2)=1,IF(MOD(MOD($A37-1,62)+1-2,2)=0,0,1),IF(MOD(MOD($A37-1,62)+1-2,2)=0,1,0))))=0,(CHOOSE(MIN(MAX(MIN(INT(($A37-1)/62)+1,5),1),5),CROQUIS_DATOS!$C$1499,CROQUIS_DATOS!$C$1503,CROQUIS_DATOS!$C$1507,CROQUIS_DATOS!$C$1511,CROQUIS_DATOS!$C$1515)+IF(CHOOSE(MIN(MAX(MIN(INT(($A37-1)/62)+1,5),1),5),CROQUIS_DATOS!$C$1501,CROQUIS_DATOS!$C$1505,CROQUIS_DATOS!$C$1509,CROQUIS_DATOS!$C$1513,CROQUIS_DATOS!$C$1517)=1,CROQUIS_DATOS!$C$1526,0)),(CHOOSE(MIN(MAX(MIN(INT(($A37-1)/62)+1,5),1),5),CROQUIS_DATOS!$C$1499,CROQUIS_DATOS!$C$1503,CROQUIS_DATOS!$C$1507,CROQUIS_DATOS!$C$1511,CROQUIS_DATOS!$C$1515)+CHOOSE(MIN(MAX(MIN(INT(($A37-1)/62)+1,5),1),5),CROQUIS_DATOS!$C$1500,CROQUIS_DATOS!$C$1504,CROQUIS_DATOS!$C$1508,CROQUIS_DATOS!$C$1512,CROQUIS_DATOS!$C$1516)-IF(CHOOSE(MIN(MAX(MIN(INT(($A37-1)/62)+1,5),1),5),CROQUIS_DATOS!$C$1501,CROQUIS_DATOS!$C$1505,CROQUIS_DATOS!$C$1509,CROQUIS_DATOS!$C$1513,CROQUIS_DATOS!$C$1517)=1,CROQUIS_DATOS!$C$1526,0))))*CROQUIS_DATOS!$C$1562),-1000)</f>
        <v>-1000</v>
      </c>
      <c r="Q37">
        <f>IF(AND(CROQUIS_DATOS!$C$1472=1,CROQUIS_DATOS!$C$1555=1),(CROQUIS_DATOS!$C$1564+(IF(OR(OR(MOD($A37-1,62)+1=1,IF(CHOOSE(MIN(MAX(MIN(INT(($A37-1)/62)+1,5),1),5),CROQUIS_DATOS!$C$1501,CROQUIS_DATOS!$C$1505,CROQUIS_DATOS!$C$1509,CROQUIS_DATOS!$C$1513,CROQUIS_DATOS!$C$1517)=1,CROQUIS_DATOS!$C$1557,0)=0),MOD($A37-1,62)+1&gt;2*IF(CHOOSE(MIN(MAX(MIN(INT(($A37-1)/62)+1,5),1),5),CROQUIS_DATOS!$C$1501,CROQUIS_DATOS!$C$1505,CROQUIS_DATOS!$C$1509,CROQUIS_DATOS!$C$1513,CROQUIS_DATOS!$C$1517)=1,CROQUIS_DATOS!$C$1557,0)+1),CROQUIS_DATOS!$C$1476,MIN(INT((MOD($A37-1,62)+1-2)/2)+1,MAX(IF(CHOOSE(MIN(MAX(MIN(INT(($A37-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7">
        <f>IF(AND(CROQUIS_DATOS!$C$1472=1,1),(CROQUIS_DATOS!$C$1563+(MIN(INT(($A37-1)/2)+1,CROQUIS_DATOS!$C$1558)*CROQUIS_DATOS!$C$1559)*CROQUIS_DATOS!$C$1562),-1000)</f>
        <v>55.3713527851459</v>
      </c>
      <c r="U37">
        <f>IF(AND(CROQUIS_DATOS!$C$1472=1,1),(CROQUIS_DATOS!$C$1564+(IF(INT(($A37-1)/2)+1&gt;CROQUIS_DATOS!$C$1558,IF(MOD(CROQUIS_DATOS!$C$1558,2)=1,CROQUIS_DATOS!$C$1476+CROQUIS_DATOS!$C$1528,CROQUIS_DATOS!$C$1476),IF(IF(MOD(MIN(INT(($A37-1)/2)+1,CROQUIS_DATOS!$C$1558),2)=1,MOD($A37-1,2),1-MOD($A37-1,2))=1,CROQUIS_DATOS!$C$1476+CROQUIS_DATOS!$C$1528,CROQUIS_DATOS!$C$1476)))*CROQUIS_DATOS!$C$1561*CROQUIS_DATOS!$C$1562),-1000)</f>
        <v>43</v>
      </c>
      <c r="BZ37">
        <f>IF(AND(CROQUIS_DATOS!$C$1472=1,CROQUIS_DATOS!$C$1500&gt;0,((CROQUIS_DATOS!$C$1499+CROQUIS_DATOS!$C$1500))-(CROQUIS_DATOS!$C$1499)&gt;0.5,(CROQUIS_DATOS!$C$1476)-(0)&gt;0.5),(CROQUIS_DATOS!$C$1566+(IF(IF(MOD(MIN(INT(($A37-1)/2)+1,MAX(1,INT(((((CROQUIS_DATOS!$C$1499+CROQUIS_DATOS!$C$1500))-(CROQUIS_DATOS!$C$1499))+((CROQUIS_DATOS!$C$1476)*CROQUIS_DATOS!$C$1561-(0)*CROQUIS_DATOS!$C$1561))/CROQUIS_DATOS!$C$1568-0.000001))),2)=1,IF(INT(($A37-1)/2)+1&gt;MAX(1,INT(((((CROQUIS_DATOS!$C$1499+CROQUIS_DATOS!$C$1500))-(CROQUIS_DATOS!$C$1499))+((CROQUIS_DATOS!$C$1476)*CROQUIS_DATOS!$C$1561-(0)*CROQUIS_DATOS!$C$1561))/CROQUIS_DATOS!$C$1568-0.000001)),1,MOD($A37-1,2)),1-IF(INT(($A37-1)/2)+1&gt;MAX(1,INT(((((CROQUIS_DATOS!$C$1499+CROQUIS_DATOS!$C$1500))-(CROQUIS_DATOS!$C$1499))+((CROQUIS_DATOS!$C$1476)*CROQUIS_DATOS!$C$1561-(0)*CROQUIS_DATOS!$C$1561))/CROQUIS_DATOS!$C$1568-0.000001)),1,MOD($A37-1,2)))=1,MIN((CROQUIS_DATOS!$C$1476)*CROQUIS_DATOS!$C$1561,((CROQUIS_DATOS!$C$1499+CROQUIS_DATOS!$C$1500)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37">
        <f>IF(AND(CROQUIS_DATOS!$C$1472=1,CROQUIS_DATOS!$C$1500&gt;0,((CROQUIS_DATOS!$C$1499+CROQUIS_DATOS!$C$1500))-(CROQUIS_DATOS!$C$1499)&gt;0.5,(CROQUIS_DATOS!$C$1476)-(0)&gt;0.5),(CROQUIS_DATOS!$C$1567+(IF(IF(MOD(MIN(INT(($A37-1)/2)+1,MAX(1,INT(((((CROQUIS_DATOS!$C$1499+CROQUIS_DATOS!$C$1500))-(CROQUIS_DATOS!$C$1499))+((CROQUIS_DATOS!$C$1476)*CROQUIS_DATOS!$C$1561-(0)*CROQUIS_DATOS!$C$1561))/CROQUIS_DATOS!$C$1568-0.000001))),2)=1,IF(INT(($A37-1)/2)+1&gt;MAX(1,INT(((((CROQUIS_DATOS!$C$1499+CROQUIS_DATOS!$C$1500))-(CROQUIS_DATOS!$C$1499))+((CROQUIS_DATOS!$C$1476)*CROQUIS_DATOS!$C$1561-(0)*CROQUIS_DATOS!$C$1561))/CROQUIS_DATOS!$C$1568-0.000001)),1,MOD($A37-1,2)),1-IF(INT(($A37-1)/2)+1&gt;MAX(1,INT(((((CROQUIS_DATOS!$C$1499+CROQUIS_DATOS!$C$1500))-(CROQUIS_DATOS!$C$1499))+((CROQUIS_DATOS!$C$1476)*CROQUIS_DATOS!$C$1561-(0)*CROQUIS_DATOS!$C$1561))/CROQUIS_DATOS!$C$1568-0.000001)),1,MOD($A37-1,2)))=1,MIN((CROQUIS_DATOS!$C$1476)*CROQUIS_DATOS!$C$1561,((CROQUIS_DATOS!$C$1499+CROQUIS_DATOS!$C$1500)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37-1)/2)+1,MAX(1,INT(((((CROQUIS_DATOS!$C$1499+CROQUIS_DATOS!$C$1500))-(CROQUIS_DATOS!$C$1499))+((CROQUIS_DATOS!$C$1476)*CROQUIS_DATOS!$C$1561-(0)*CROQUIS_DATOS!$C$1561))/CROQUIS_DATOS!$C$1568-0.000001)))*CROQUIS_DATOS!$C$1568))))*CROQUIS_DATOS!$C$1565),-1000)</f>
        <v>19.1379310344828</v>
      </c>
      <c r="CB37">
        <f>IF(AND(CROQUIS_DATOS!$C$1472=1,CROQUIS_DATOS!$C$1504&gt;0,((CROQUIS_DATOS!$C$1503+CROQUIS_DATOS!$C$1504))-(CROQUIS_DATOS!$C$1503)&gt;0.5,(CROQUIS_DATOS!$C$1476)-(0)&gt;0.5),(CROQUIS_DATOS!$C$1566+(IF(IF(MOD(MIN(INT(($A37-1)/2)+1,MAX(1,INT(((((CROQUIS_DATOS!$C$1503+CROQUIS_DATOS!$C$1504))-(CROQUIS_DATOS!$C$1503))+((CROQUIS_DATOS!$C$1476)*CROQUIS_DATOS!$C$1561-(0)*CROQUIS_DATOS!$C$1561))/CROQUIS_DATOS!$C$1568-0.000001))),2)=1,IF(INT(($A37-1)/2)+1&gt;MAX(1,INT(((((CROQUIS_DATOS!$C$1503+CROQUIS_DATOS!$C$1504))-(CROQUIS_DATOS!$C$1503))+((CROQUIS_DATOS!$C$1476)*CROQUIS_DATOS!$C$1561-(0)*CROQUIS_DATOS!$C$1561))/CROQUIS_DATOS!$C$1568-0.000001)),1,MOD($A37-1,2)),1-IF(INT(($A37-1)/2)+1&gt;MAX(1,INT(((((CROQUIS_DATOS!$C$1503+CROQUIS_DATOS!$C$1504))-(CROQUIS_DATOS!$C$1503))+((CROQUIS_DATOS!$C$1476)*CROQUIS_DATOS!$C$1561-(0)*CROQUIS_DATOS!$C$1561))/CROQUIS_DATOS!$C$1568-0.000001)),1,MOD($A37-1,2)))=1,MIN((CROQUIS_DATOS!$C$1476)*CROQUIS_DATOS!$C$1561,((CROQUIS_DATOS!$C$1503+CROQUIS_DATOS!$C$1504)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37">
        <f>IF(AND(CROQUIS_DATOS!$C$1472=1,CROQUIS_DATOS!$C$1504&gt;0,((CROQUIS_DATOS!$C$1503+CROQUIS_DATOS!$C$1504))-(CROQUIS_DATOS!$C$1503)&gt;0.5,(CROQUIS_DATOS!$C$1476)-(0)&gt;0.5),(CROQUIS_DATOS!$C$1567+(IF(IF(MOD(MIN(INT(($A37-1)/2)+1,MAX(1,INT(((((CROQUIS_DATOS!$C$1503+CROQUIS_DATOS!$C$1504))-(CROQUIS_DATOS!$C$1503))+((CROQUIS_DATOS!$C$1476)*CROQUIS_DATOS!$C$1561-(0)*CROQUIS_DATOS!$C$1561))/CROQUIS_DATOS!$C$1568-0.000001))),2)=1,IF(INT(($A37-1)/2)+1&gt;MAX(1,INT(((((CROQUIS_DATOS!$C$1503+CROQUIS_DATOS!$C$1504))-(CROQUIS_DATOS!$C$1503))+((CROQUIS_DATOS!$C$1476)*CROQUIS_DATOS!$C$1561-(0)*CROQUIS_DATOS!$C$1561))/CROQUIS_DATOS!$C$1568-0.000001)),1,MOD($A37-1,2)),1-IF(INT(($A37-1)/2)+1&gt;MAX(1,INT(((((CROQUIS_DATOS!$C$1503+CROQUIS_DATOS!$C$1504))-(CROQUIS_DATOS!$C$1503))+((CROQUIS_DATOS!$C$1476)*CROQUIS_DATOS!$C$1561-(0)*CROQUIS_DATOS!$C$1561))/CROQUIS_DATOS!$C$1568-0.000001)),1,MOD($A37-1,2)))=1,MIN((CROQUIS_DATOS!$C$1476)*CROQUIS_DATOS!$C$1561,((CROQUIS_DATOS!$C$1503+CROQUIS_DATOS!$C$1504)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37-1)/2)+1,MAX(1,INT(((((CROQUIS_DATOS!$C$1503+CROQUIS_DATOS!$C$1504))-(CROQUIS_DATOS!$C$1503))+((CROQUIS_DATOS!$C$1476)*CROQUIS_DATOS!$C$1561-(0)*CROQUIS_DATOS!$C$1561))/CROQUIS_DATOS!$C$1568-0.000001)))*CROQUIS_DATOS!$C$1568))))*CROQUIS_DATOS!$C$1565),-1000)</f>
        <v>25.551724137931</v>
      </c>
      <c r="CD37">
        <f>IF(AND(CROQUIS_DATOS!$C$1472=1,CROQUIS_DATOS!$C$1508&gt;0,((CROQUIS_DATOS!$C$1507+CROQUIS_DATOS!$C$1508))-(CROQUIS_DATOS!$C$1507)&gt;0.5,(CROQUIS_DATOS!$C$1476)-(0)&gt;0.5),(CROQUIS_DATOS!$C$1566+(IF(IF(MOD(MIN(INT(($A37-1)/2)+1,MAX(1,INT(((((CROQUIS_DATOS!$C$1507+CROQUIS_DATOS!$C$1508))-(CROQUIS_DATOS!$C$1507))+((CROQUIS_DATOS!$C$1476)*CROQUIS_DATOS!$C$1561-(0)*CROQUIS_DATOS!$C$1561))/CROQUIS_DATOS!$C$1568-0.000001))),2)=1,IF(INT(($A37-1)/2)+1&gt;MAX(1,INT(((((CROQUIS_DATOS!$C$1507+CROQUIS_DATOS!$C$1508))-(CROQUIS_DATOS!$C$1507))+((CROQUIS_DATOS!$C$1476)*CROQUIS_DATOS!$C$1561-(0)*CROQUIS_DATOS!$C$1561))/CROQUIS_DATOS!$C$1568-0.000001)),1,MOD($A37-1,2)),1-IF(INT(($A37-1)/2)+1&gt;MAX(1,INT(((((CROQUIS_DATOS!$C$1507+CROQUIS_DATOS!$C$1508))-(CROQUIS_DATOS!$C$1507))+((CROQUIS_DATOS!$C$1476)*CROQUIS_DATOS!$C$1561-(0)*CROQUIS_DATOS!$C$1561))/CROQUIS_DATOS!$C$1568-0.000001)),1,MOD($A37-1,2)))=1,MIN((CROQUIS_DATOS!$C$1476)*CROQUIS_DATOS!$C$1561,((CROQUIS_DATOS!$C$1507+CROQUIS_DATOS!$C$1508)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37">
        <f>IF(AND(CROQUIS_DATOS!$C$1472=1,CROQUIS_DATOS!$C$1508&gt;0,((CROQUIS_DATOS!$C$1507+CROQUIS_DATOS!$C$1508))-(CROQUIS_DATOS!$C$1507)&gt;0.5,(CROQUIS_DATOS!$C$1476)-(0)&gt;0.5),(CROQUIS_DATOS!$C$1567+(IF(IF(MOD(MIN(INT(($A37-1)/2)+1,MAX(1,INT(((((CROQUIS_DATOS!$C$1507+CROQUIS_DATOS!$C$1508))-(CROQUIS_DATOS!$C$1507))+((CROQUIS_DATOS!$C$1476)*CROQUIS_DATOS!$C$1561-(0)*CROQUIS_DATOS!$C$1561))/CROQUIS_DATOS!$C$1568-0.000001))),2)=1,IF(INT(($A37-1)/2)+1&gt;MAX(1,INT(((((CROQUIS_DATOS!$C$1507+CROQUIS_DATOS!$C$1508))-(CROQUIS_DATOS!$C$1507))+((CROQUIS_DATOS!$C$1476)*CROQUIS_DATOS!$C$1561-(0)*CROQUIS_DATOS!$C$1561))/CROQUIS_DATOS!$C$1568-0.000001)),1,MOD($A37-1,2)),1-IF(INT(($A37-1)/2)+1&gt;MAX(1,INT(((((CROQUIS_DATOS!$C$1507+CROQUIS_DATOS!$C$1508))-(CROQUIS_DATOS!$C$1507))+((CROQUIS_DATOS!$C$1476)*CROQUIS_DATOS!$C$1561-(0)*CROQUIS_DATOS!$C$1561))/CROQUIS_DATOS!$C$1568-0.000001)),1,MOD($A37-1,2)))=1,MIN((CROQUIS_DATOS!$C$1476)*CROQUIS_DATOS!$C$1561,((CROQUIS_DATOS!$C$1507+CROQUIS_DATOS!$C$1508)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37-1)/2)+1,MAX(1,INT(((((CROQUIS_DATOS!$C$1507+CROQUIS_DATOS!$C$1508))-(CROQUIS_DATOS!$C$1507))+((CROQUIS_DATOS!$C$1476)*CROQUIS_DATOS!$C$1561-(0)*CROQUIS_DATOS!$C$1561))/CROQUIS_DATOS!$C$1568-0.000001)))*CROQUIS_DATOS!$C$1568))))*CROQUIS_DATOS!$C$1565),-1000)</f>
        <v>27.6896551724138</v>
      </c>
      <c r="CF37">
        <f>IF(AND(CROQUIS_DATOS!$C$1472=1,CROQUIS_DATOS!$C$1512&gt;0,((CROQUIS_DATOS!$C$1511+CROQUIS_DATOS!$C$1512))-(CROQUIS_DATOS!$C$1511)&gt;0.5,(CROQUIS_DATOS!$C$1476)-(0)&gt;0.5),(CROQUIS_DATOS!$C$1566+(IF(IF(MOD(MIN(INT(($A37-1)/2)+1,MAX(1,INT(((((CROQUIS_DATOS!$C$1511+CROQUIS_DATOS!$C$1512))-(CROQUIS_DATOS!$C$1511))+((CROQUIS_DATOS!$C$1476)*CROQUIS_DATOS!$C$1561-(0)*CROQUIS_DATOS!$C$1561))/CROQUIS_DATOS!$C$1568-0.000001))),2)=1,IF(INT(($A37-1)/2)+1&gt;MAX(1,INT(((((CROQUIS_DATOS!$C$1511+CROQUIS_DATOS!$C$1512))-(CROQUIS_DATOS!$C$1511))+((CROQUIS_DATOS!$C$1476)*CROQUIS_DATOS!$C$1561-(0)*CROQUIS_DATOS!$C$1561))/CROQUIS_DATOS!$C$1568-0.000001)),1,MOD($A37-1,2)),1-IF(INT(($A37-1)/2)+1&gt;MAX(1,INT(((((CROQUIS_DATOS!$C$1511+CROQUIS_DATOS!$C$1512))-(CROQUIS_DATOS!$C$1511))+((CROQUIS_DATOS!$C$1476)*CROQUIS_DATOS!$C$1561-(0)*CROQUIS_DATOS!$C$1561))/CROQUIS_DATOS!$C$1568-0.000001)),1,MOD($A37-1,2)))=1,MIN((CROQUIS_DATOS!$C$1476)*CROQUIS_DATOS!$C$1561,((CROQUIS_DATOS!$C$1511+CROQUIS_DATOS!$C$1512)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7">
        <f>IF(AND(CROQUIS_DATOS!$C$1472=1,CROQUIS_DATOS!$C$1512&gt;0,((CROQUIS_DATOS!$C$1511+CROQUIS_DATOS!$C$1512))-(CROQUIS_DATOS!$C$1511)&gt;0.5,(CROQUIS_DATOS!$C$1476)-(0)&gt;0.5),(CROQUIS_DATOS!$C$1567+(IF(IF(MOD(MIN(INT(($A37-1)/2)+1,MAX(1,INT(((((CROQUIS_DATOS!$C$1511+CROQUIS_DATOS!$C$1512))-(CROQUIS_DATOS!$C$1511))+((CROQUIS_DATOS!$C$1476)*CROQUIS_DATOS!$C$1561-(0)*CROQUIS_DATOS!$C$1561))/CROQUIS_DATOS!$C$1568-0.000001))),2)=1,IF(INT(($A37-1)/2)+1&gt;MAX(1,INT(((((CROQUIS_DATOS!$C$1511+CROQUIS_DATOS!$C$1512))-(CROQUIS_DATOS!$C$1511))+((CROQUIS_DATOS!$C$1476)*CROQUIS_DATOS!$C$1561-(0)*CROQUIS_DATOS!$C$1561))/CROQUIS_DATOS!$C$1568-0.000001)),1,MOD($A37-1,2)),1-IF(INT(($A37-1)/2)+1&gt;MAX(1,INT(((((CROQUIS_DATOS!$C$1511+CROQUIS_DATOS!$C$1512))-(CROQUIS_DATOS!$C$1511))+((CROQUIS_DATOS!$C$1476)*CROQUIS_DATOS!$C$1561-(0)*CROQUIS_DATOS!$C$1561))/CROQUIS_DATOS!$C$1568-0.000001)),1,MOD($A37-1,2)))=1,MIN((CROQUIS_DATOS!$C$1476)*CROQUIS_DATOS!$C$1561,((CROQUIS_DATOS!$C$1511+CROQUIS_DATOS!$C$1512)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7">
        <f>IF(AND(CROQUIS_DATOS!$C$1472=1,CROQUIS_DATOS!$C$1516&gt;0,((CROQUIS_DATOS!$C$1515+CROQUIS_DATOS!$C$1516))-(CROQUIS_DATOS!$C$1515)&gt;0.5,(CROQUIS_DATOS!$C$1476)-(0)&gt;0.5),(CROQUIS_DATOS!$C$1566+(IF(IF(MOD(MIN(INT(($A37-1)/2)+1,MAX(1,INT(((((CROQUIS_DATOS!$C$1515+CROQUIS_DATOS!$C$1516))-(CROQUIS_DATOS!$C$1515))+((CROQUIS_DATOS!$C$1476)*CROQUIS_DATOS!$C$1561-(0)*CROQUIS_DATOS!$C$1561))/CROQUIS_DATOS!$C$1568-0.000001))),2)=1,IF(INT(($A37-1)/2)+1&gt;MAX(1,INT(((((CROQUIS_DATOS!$C$1515+CROQUIS_DATOS!$C$1516))-(CROQUIS_DATOS!$C$1515))+((CROQUIS_DATOS!$C$1476)*CROQUIS_DATOS!$C$1561-(0)*CROQUIS_DATOS!$C$1561))/CROQUIS_DATOS!$C$1568-0.000001)),1,MOD($A37-1,2)),1-IF(INT(($A37-1)/2)+1&gt;MAX(1,INT(((((CROQUIS_DATOS!$C$1515+CROQUIS_DATOS!$C$1516))-(CROQUIS_DATOS!$C$1515))+((CROQUIS_DATOS!$C$1476)*CROQUIS_DATOS!$C$1561-(0)*CROQUIS_DATOS!$C$1561))/CROQUIS_DATOS!$C$1568-0.000001)),1,MOD($A37-1,2)))=1,MIN((CROQUIS_DATOS!$C$1476)*CROQUIS_DATOS!$C$1561,((CROQUIS_DATOS!$C$1515+CROQUIS_DATOS!$C$1516)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7">
        <f>IF(AND(CROQUIS_DATOS!$C$1472=1,CROQUIS_DATOS!$C$1516&gt;0,((CROQUIS_DATOS!$C$1515+CROQUIS_DATOS!$C$1516))-(CROQUIS_DATOS!$C$1515)&gt;0.5,(CROQUIS_DATOS!$C$1476)-(0)&gt;0.5),(CROQUIS_DATOS!$C$1567+(IF(IF(MOD(MIN(INT(($A37-1)/2)+1,MAX(1,INT(((((CROQUIS_DATOS!$C$1515+CROQUIS_DATOS!$C$1516))-(CROQUIS_DATOS!$C$1515))+((CROQUIS_DATOS!$C$1476)*CROQUIS_DATOS!$C$1561-(0)*CROQUIS_DATOS!$C$1561))/CROQUIS_DATOS!$C$1568-0.000001))),2)=1,IF(INT(($A37-1)/2)+1&gt;MAX(1,INT(((((CROQUIS_DATOS!$C$1515+CROQUIS_DATOS!$C$1516))-(CROQUIS_DATOS!$C$1515))+((CROQUIS_DATOS!$C$1476)*CROQUIS_DATOS!$C$1561-(0)*CROQUIS_DATOS!$C$1561))/CROQUIS_DATOS!$C$1568-0.000001)),1,MOD($A37-1,2)),1-IF(INT(($A37-1)/2)+1&gt;MAX(1,INT(((((CROQUIS_DATOS!$C$1515+CROQUIS_DATOS!$C$1516))-(CROQUIS_DATOS!$C$1515))+((CROQUIS_DATOS!$C$1476)*CROQUIS_DATOS!$C$1561-(0)*CROQUIS_DATOS!$C$1561))/CROQUIS_DATOS!$C$1568-0.000001)),1,MOD($A37-1,2)))=1,MIN((CROQUIS_DATOS!$C$1476)*CROQUIS_DATOS!$C$1561,((CROQUIS_DATOS!$C$1515+CROQUIS_DATOS!$C$1516)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7">
        <f>IF(AND(CROQUIS_DATOS!$C$1472=1,CROQUIS_DATOS!$C$1478&gt;=1,((CROQUIS_DATOS!$C$1479+CROQUIS_DATOS!$C$1480))-(CROQUIS_DATOS!$C$1479)&gt;0.5,(CROQUIS_DATOS!$C$1481)-(0)&gt;0.5),(CROQUIS_DATOS!$C$1566+(IF(IF(MOD(MIN(INT(($A37-1)/2)+1,MAX(1,INT(((((CROQUIS_DATOS!$C$1479+CROQUIS_DATOS!$C$1480))-(CROQUIS_DATOS!$C$1479))+((CROQUIS_DATOS!$C$1481)*CROQUIS_DATOS!$C$1561-(0)*CROQUIS_DATOS!$C$1561))/CROQUIS_DATOS!$C$1568-0.000001))),2)=1,IF(INT(($A37-1)/2)+1&gt;MAX(1,INT(((((CROQUIS_DATOS!$C$1479+CROQUIS_DATOS!$C$1480))-(CROQUIS_DATOS!$C$1479))+((CROQUIS_DATOS!$C$1481)*CROQUIS_DATOS!$C$1561-(0)*CROQUIS_DATOS!$C$1561))/CROQUIS_DATOS!$C$1568-0.000001)),1,MOD($A37-1,2)),1-IF(INT(($A37-1)/2)+1&gt;MAX(1,INT(((((CROQUIS_DATOS!$C$1479+CROQUIS_DATOS!$C$1480))-(CROQUIS_DATOS!$C$1479))+((CROQUIS_DATOS!$C$1481)*CROQUIS_DATOS!$C$1561-(0)*CROQUIS_DATOS!$C$1561))/CROQUIS_DATOS!$C$1568-0.000001)),1,MOD($A37-1,2)))=1,MIN((CROQUIS_DATOS!$C$1481)*CROQUIS_DATOS!$C$1561,((CROQUIS_DATOS!$C$1479+CROQUIS_DATOS!$C$1480)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7">
        <f>IF(AND(CROQUIS_DATOS!$C$1472=1,CROQUIS_DATOS!$C$1478&gt;=1,((CROQUIS_DATOS!$C$1479+CROQUIS_DATOS!$C$1480))-(CROQUIS_DATOS!$C$1479)&gt;0.5,(CROQUIS_DATOS!$C$1481)-(0)&gt;0.5),(CROQUIS_DATOS!$C$1567+(IF(IF(MOD(MIN(INT(($A37-1)/2)+1,MAX(1,INT(((((CROQUIS_DATOS!$C$1479+CROQUIS_DATOS!$C$1480))-(CROQUIS_DATOS!$C$1479))+((CROQUIS_DATOS!$C$1481)*CROQUIS_DATOS!$C$1561-(0)*CROQUIS_DATOS!$C$1561))/CROQUIS_DATOS!$C$1568-0.000001))),2)=1,IF(INT(($A37-1)/2)+1&gt;MAX(1,INT(((((CROQUIS_DATOS!$C$1479+CROQUIS_DATOS!$C$1480))-(CROQUIS_DATOS!$C$1479))+((CROQUIS_DATOS!$C$1481)*CROQUIS_DATOS!$C$1561-(0)*CROQUIS_DATOS!$C$1561))/CROQUIS_DATOS!$C$1568-0.000001)),1,MOD($A37-1,2)),1-IF(INT(($A37-1)/2)+1&gt;MAX(1,INT(((((CROQUIS_DATOS!$C$1479+CROQUIS_DATOS!$C$1480))-(CROQUIS_DATOS!$C$1479))+((CROQUIS_DATOS!$C$1481)*CROQUIS_DATOS!$C$1561-(0)*CROQUIS_DATOS!$C$1561))/CROQUIS_DATOS!$C$1568-0.000001)),1,MOD($A37-1,2)))=1,MIN((CROQUIS_DATOS!$C$1481)*CROQUIS_DATOS!$C$1561,((CROQUIS_DATOS!$C$1479+CROQUIS_DATOS!$C$1480)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7">
        <f>IF(AND(CROQUIS_DATOS!$C$1472=1,CROQUIS_DATOS!$C$1478&gt;=1,((CROQUIS_DATOS!$C$1479+CROQUIS_DATOS!$C$1480))-(CROQUIS_DATOS!$C$1479)&gt;0.5,(CROQUIS_DATOS!$C$1476)-((CROQUIS_DATOS!$C$1481+CROQUIS_DATOS!$C$1482))&gt;0.5),(CROQUIS_DATOS!$C$1566+(IF(IF(MOD(MIN(INT(($A37-1)/2)+1,MAX(1,INT(((((CROQUIS_DATOS!$C$1479+CROQUIS_DATOS!$C$1480))-(CROQUIS_DATOS!$C$1479))+((CROQUIS_DATOS!$C$1476)*CROQUIS_DATOS!$C$1561-((CROQUIS_DATOS!$C$1481+CROQUIS_DATOS!$C$1482))*CROQUIS_DATOS!$C$1561))/CROQUIS_DATOS!$C$1568-0.000001))),2)=1,IF(INT(($A37-1)/2)+1&gt;MAX(1,INT(((((CROQUIS_DATOS!$C$1479+CROQUIS_DATOS!$C$1480))-(CROQUIS_DATOS!$C$1479))+((CROQUIS_DATOS!$C$1476)*CROQUIS_DATOS!$C$1561-((CROQUIS_DATOS!$C$1481+CROQUIS_DATOS!$C$1482))*CROQUIS_DATOS!$C$1561))/CROQUIS_DATOS!$C$1568-0.000001)),1,MOD($A37-1,2)),1-IF(INT(($A37-1)/2)+1&gt;MAX(1,INT(((((CROQUIS_DATOS!$C$1479+CROQUIS_DATOS!$C$1480))-(CROQUIS_DATOS!$C$1479))+((CROQUIS_DATOS!$C$1476)*CROQUIS_DATOS!$C$1561-((CROQUIS_DATOS!$C$1481+CROQUIS_DATOS!$C$1482))*CROQUIS_DATOS!$C$1561))/CROQUIS_DATOS!$C$1568-0.000001)),1,MOD($A37-1,2)))=1,MIN((CROQUIS_DATOS!$C$1476)*CROQUIS_DATOS!$C$1561,((CROQUIS_DATOS!$C$1479+CROQUIS_DATOS!$C$1480)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7">
        <f>IF(AND(CROQUIS_DATOS!$C$1472=1,CROQUIS_DATOS!$C$1478&gt;=1,((CROQUIS_DATOS!$C$1479+CROQUIS_DATOS!$C$1480))-(CROQUIS_DATOS!$C$1479)&gt;0.5,(CROQUIS_DATOS!$C$1476)-((CROQUIS_DATOS!$C$1481+CROQUIS_DATOS!$C$1482))&gt;0.5),(CROQUIS_DATOS!$C$1567+(IF(IF(MOD(MIN(INT(($A37-1)/2)+1,MAX(1,INT(((((CROQUIS_DATOS!$C$1479+CROQUIS_DATOS!$C$1480))-(CROQUIS_DATOS!$C$1479))+((CROQUIS_DATOS!$C$1476)*CROQUIS_DATOS!$C$1561-((CROQUIS_DATOS!$C$1481+CROQUIS_DATOS!$C$1482))*CROQUIS_DATOS!$C$1561))/CROQUIS_DATOS!$C$1568-0.000001))),2)=1,IF(INT(($A37-1)/2)+1&gt;MAX(1,INT(((((CROQUIS_DATOS!$C$1479+CROQUIS_DATOS!$C$1480))-(CROQUIS_DATOS!$C$1479))+((CROQUIS_DATOS!$C$1476)*CROQUIS_DATOS!$C$1561-((CROQUIS_DATOS!$C$1481+CROQUIS_DATOS!$C$1482))*CROQUIS_DATOS!$C$1561))/CROQUIS_DATOS!$C$1568-0.000001)),1,MOD($A37-1,2)),1-IF(INT(($A37-1)/2)+1&gt;MAX(1,INT(((((CROQUIS_DATOS!$C$1479+CROQUIS_DATOS!$C$1480))-(CROQUIS_DATOS!$C$1479))+((CROQUIS_DATOS!$C$1476)*CROQUIS_DATOS!$C$1561-((CROQUIS_DATOS!$C$1481+CROQUIS_DATOS!$C$1482))*CROQUIS_DATOS!$C$1561))/CROQUIS_DATOS!$C$1568-0.000001)),1,MOD($A37-1,2)))=1,MIN((CROQUIS_DATOS!$C$1476)*CROQUIS_DATOS!$C$1561,((CROQUIS_DATOS!$C$1479+CROQUIS_DATOS!$C$1480)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7">
        <f>IF(AND(CROQUIS_DATOS!$C$1472=1,CROQUIS_DATOS!$C$1478&gt;=2,((CROQUIS_DATOS!$C$1484+CROQUIS_DATOS!$C$1485))-(CROQUIS_DATOS!$C$1484)&gt;0.5,(CROQUIS_DATOS!$C$1486)-(0)&gt;0.5),(CROQUIS_DATOS!$C$1566+(IF(IF(MOD(MIN(INT(($A37-1)/2)+1,MAX(1,INT(((((CROQUIS_DATOS!$C$1484+CROQUIS_DATOS!$C$1485))-(CROQUIS_DATOS!$C$1484))+((CROQUIS_DATOS!$C$1486)*CROQUIS_DATOS!$C$1561-(0)*CROQUIS_DATOS!$C$1561))/CROQUIS_DATOS!$C$1568-0.000001))),2)=1,IF(INT(($A37-1)/2)+1&gt;MAX(1,INT(((((CROQUIS_DATOS!$C$1484+CROQUIS_DATOS!$C$1485))-(CROQUIS_DATOS!$C$1484))+((CROQUIS_DATOS!$C$1486)*CROQUIS_DATOS!$C$1561-(0)*CROQUIS_DATOS!$C$1561))/CROQUIS_DATOS!$C$1568-0.000001)),1,MOD($A37-1,2)),1-IF(INT(($A37-1)/2)+1&gt;MAX(1,INT(((((CROQUIS_DATOS!$C$1484+CROQUIS_DATOS!$C$1485))-(CROQUIS_DATOS!$C$1484))+((CROQUIS_DATOS!$C$1486)*CROQUIS_DATOS!$C$1561-(0)*CROQUIS_DATOS!$C$1561))/CROQUIS_DATOS!$C$1568-0.000001)),1,MOD($A37-1,2)))=1,MIN((CROQUIS_DATOS!$C$1486)*CROQUIS_DATOS!$C$1561,((CROQUIS_DATOS!$C$1484+CROQUIS_DATOS!$C$1485)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*CROQUIS_DATOS!$C$1565),-1000)</f>
        <v>64.8965517241379</v>
      </c>
      <c r="CS37">
        <f>IF(AND(CROQUIS_DATOS!$C$1472=1,CROQUIS_DATOS!$C$1478&gt;=2,((CROQUIS_DATOS!$C$1484+CROQUIS_DATOS!$C$1485))-(CROQUIS_DATOS!$C$1484)&gt;0.5,(CROQUIS_DATOS!$C$1486)-(0)&gt;0.5),(CROQUIS_DATOS!$C$1567+(IF(IF(MOD(MIN(INT(($A37-1)/2)+1,MAX(1,INT(((((CROQUIS_DATOS!$C$1484+CROQUIS_DATOS!$C$1485))-(CROQUIS_DATOS!$C$1484))+((CROQUIS_DATOS!$C$1486)*CROQUIS_DATOS!$C$1561-(0)*CROQUIS_DATOS!$C$1561))/CROQUIS_DATOS!$C$1568-0.000001))),2)=1,IF(INT(($A37-1)/2)+1&gt;MAX(1,INT(((((CROQUIS_DATOS!$C$1484+CROQUIS_DATOS!$C$1485))-(CROQUIS_DATOS!$C$1484))+((CROQUIS_DATOS!$C$1486)*CROQUIS_DATOS!$C$1561-(0)*CROQUIS_DATOS!$C$1561))/CROQUIS_DATOS!$C$1568-0.000001)),1,MOD($A37-1,2)),1-IF(INT(($A37-1)/2)+1&gt;MAX(1,INT(((((CROQUIS_DATOS!$C$1484+CROQUIS_DATOS!$C$1485))-(CROQUIS_DATOS!$C$1484))+((CROQUIS_DATOS!$C$1486)*CROQUIS_DATOS!$C$1561-(0)*CROQUIS_DATOS!$C$1561))/CROQUIS_DATOS!$C$1568-0.000001)),1,MOD($A37-1,2)))=1,MIN((CROQUIS_DATOS!$C$1486)*CROQUIS_DATOS!$C$1561,((CROQUIS_DATOS!$C$1484+CROQUIS_DATOS!$C$1485)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37-1)/2)+1,MAX(1,INT(((((CROQUIS_DATOS!$C$1484+CROQUIS_DATOS!$C$1485))-(CROQUIS_DATOS!$C$1484))+((CROQUIS_DATOS!$C$1486)*CROQUIS_DATOS!$C$1561-(0)*CROQUIS_DATOS!$C$1561))/CROQUIS_DATOS!$C$1568-0.000001)))*CROQUIS_DATOS!$C$1568))))*CROQUIS_DATOS!$C$1565),-1000)</f>
        <v>13.7931034482759</v>
      </c>
      <c r="CT37">
        <f>IF(AND(CROQUIS_DATOS!$C$1472=1,CROQUIS_DATOS!$C$1478&gt;=2,((CROQUIS_DATOS!$C$1484+CROQUIS_DATOS!$C$1485))-(CROQUIS_DATOS!$C$1484)&gt;0.5,(CROQUIS_DATOS!$C$1476)-((CROQUIS_DATOS!$C$1486+CROQUIS_DATOS!$C$1487))&gt;0.5),(CROQUIS_DATOS!$C$1566+(IF(IF(MOD(MIN(INT(($A37-1)/2)+1,MAX(1,INT(((((CROQUIS_DATOS!$C$1484+CROQUIS_DATOS!$C$1485))-(CROQUIS_DATOS!$C$1484))+((CROQUIS_DATOS!$C$1476)*CROQUIS_DATOS!$C$1561-((CROQUIS_DATOS!$C$1486+CROQUIS_DATOS!$C$1487))*CROQUIS_DATOS!$C$1561))/CROQUIS_DATOS!$C$1568-0.000001))),2)=1,IF(INT(($A37-1)/2)+1&gt;MAX(1,INT(((((CROQUIS_DATOS!$C$1484+CROQUIS_DATOS!$C$1485))-(CROQUIS_DATOS!$C$1484))+((CROQUIS_DATOS!$C$1476)*CROQUIS_DATOS!$C$1561-((CROQUIS_DATOS!$C$1486+CROQUIS_DATOS!$C$1487))*CROQUIS_DATOS!$C$1561))/CROQUIS_DATOS!$C$1568-0.000001)),1,MOD($A37-1,2)),1-IF(INT(($A37-1)/2)+1&gt;MAX(1,INT(((((CROQUIS_DATOS!$C$1484+CROQUIS_DATOS!$C$1485))-(CROQUIS_DATOS!$C$1484))+((CROQUIS_DATOS!$C$1476)*CROQUIS_DATOS!$C$1561-((CROQUIS_DATOS!$C$1486+CROQUIS_DATOS!$C$1487))*CROQUIS_DATOS!$C$1561))/CROQUIS_DATOS!$C$1568-0.000001)),1,MOD($A37-1,2)))=1,MIN((CROQUIS_DATOS!$C$1476)*CROQUIS_DATOS!$C$1561,((CROQUIS_DATOS!$C$1484+CROQUIS_DATOS!$C$1485)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7">
        <f>IF(AND(CROQUIS_DATOS!$C$1472=1,CROQUIS_DATOS!$C$1478&gt;=2,((CROQUIS_DATOS!$C$1484+CROQUIS_DATOS!$C$1485))-(CROQUIS_DATOS!$C$1484)&gt;0.5,(CROQUIS_DATOS!$C$1476)-((CROQUIS_DATOS!$C$1486+CROQUIS_DATOS!$C$1487))&gt;0.5),(CROQUIS_DATOS!$C$1567+(IF(IF(MOD(MIN(INT(($A37-1)/2)+1,MAX(1,INT(((((CROQUIS_DATOS!$C$1484+CROQUIS_DATOS!$C$1485))-(CROQUIS_DATOS!$C$1484))+((CROQUIS_DATOS!$C$1476)*CROQUIS_DATOS!$C$1561-((CROQUIS_DATOS!$C$1486+CROQUIS_DATOS!$C$1487))*CROQUIS_DATOS!$C$1561))/CROQUIS_DATOS!$C$1568-0.000001))),2)=1,IF(INT(($A37-1)/2)+1&gt;MAX(1,INT(((((CROQUIS_DATOS!$C$1484+CROQUIS_DATOS!$C$1485))-(CROQUIS_DATOS!$C$1484))+((CROQUIS_DATOS!$C$1476)*CROQUIS_DATOS!$C$1561-((CROQUIS_DATOS!$C$1486+CROQUIS_DATOS!$C$1487))*CROQUIS_DATOS!$C$1561))/CROQUIS_DATOS!$C$1568-0.000001)),1,MOD($A37-1,2)),1-IF(INT(($A37-1)/2)+1&gt;MAX(1,INT(((((CROQUIS_DATOS!$C$1484+CROQUIS_DATOS!$C$1485))-(CROQUIS_DATOS!$C$1484))+((CROQUIS_DATOS!$C$1476)*CROQUIS_DATOS!$C$1561-((CROQUIS_DATOS!$C$1486+CROQUIS_DATOS!$C$1487))*CROQUIS_DATOS!$C$1561))/CROQUIS_DATOS!$C$1568-0.000001)),1,MOD($A37-1,2)))=1,MIN((CROQUIS_DATOS!$C$1476)*CROQUIS_DATOS!$C$1561,((CROQUIS_DATOS!$C$1484+CROQUIS_DATOS!$C$1485)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7">
        <f>IF(AND(CROQUIS_DATOS!$C$1472=1,CROQUIS_DATOS!$C$1478&gt;=3,((CROQUIS_DATOS!$C$1489+CROQUIS_DATOS!$C$1490))-(CROQUIS_DATOS!$C$1489)&gt;0.5,(CROQUIS_DATOS!$C$1491)-(0)&gt;0.5),(CROQUIS_DATOS!$C$1566+(IF(IF(MOD(MIN(INT(($A37-1)/2)+1,MAX(1,INT(((((CROQUIS_DATOS!$C$1489+CROQUIS_DATOS!$C$1490))-(CROQUIS_DATOS!$C$1489))+((CROQUIS_DATOS!$C$1491)*CROQUIS_DATOS!$C$1561-(0)*CROQUIS_DATOS!$C$1561))/CROQUIS_DATOS!$C$1568-0.000001))),2)=1,IF(INT(($A37-1)/2)+1&gt;MAX(1,INT(((((CROQUIS_DATOS!$C$1489+CROQUIS_DATOS!$C$1490))-(CROQUIS_DATOS!$C$1489))+((CROQUIS_DATOS!$C$1491)*CROQUIS_DATOS!$C$1561-(0)*CROQUIS_DATOS!$C$1561))/CROQUIS_DATOS!$C$1568-0.000001)),1,MOD($A37-1,2)),1-IF(INT(($A37-1)/2)+1&gt;MAX(1,INT(((((CROQUIS_DATOS!$C$1489+CROQUIS_DATOS!$C$1490))-(CROQUIS_DATOS!$C$1489))+((CROQUIS_DATOS!$C$1491)*CROQUIS_DATOS!$C$1561-(0)*CROQUIS_DATOS!$C$1561))/CROQUIS_DATOS!$C$1568-0.000001)),1,MOD($A37-1,2)))=1,MIN((CROQUIS_DATOS!$C$1491)*CROQUIS_DATOS!$C$1561,((CROQUIS_DATOS!$C$1489+CROQUIS_DATOS!$C$1490)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7">
        <f>IF(AND(CROQUIS_DATOS!$C$1472=1,CROQUIS_DATOS!$C$1478&gt;=3,((CROQUIS_DATOS!$C$1489+CROQUIS_DATOS!$C$1490))-(CROQUIS_DATOS!$C$1489)&gt;0.5,(CROQUIS_DATOS!$C$1491)-(0)&gt;0.5),(CROQUIS_DATOS!$C$1567+(IF(IF(MOD(MIN(INT(($A37-1)/2)+1,MAX(1,INT(((((CROQUIS_DATOS!$C$1489+CROQUIS_DATOS!$C$1490))-(CROQUIS_DATOS!$C$1489))+((CROQUIS_DATOS!$C$1491)*CROQUIS_DATOS!$C$1561-(0)*CROQUIS_DATOS!$C$1561))/CROQUIS_DATOS!$C$1568-0.000001))),2)=1,IF(INT(($A37-1)/2)+1&gt;MAX(1,INT(((((CROQUIS_DATOS!$C$1489+CROQUIS_DATOS!$C$1490))-(CROQUIS_DATOS!$C$1489))+((CROQUIS_DATOS!$C$1491)*CROQUIS_DATOS!$C$1561-(0)*CROQUIS_DATOS!$C$1561))/CROQUIS_DATOS!$C$1568-0.000001)),1,MOD($A37-1,2)),1-IF(INT(($A37-1)/2)+1&gt;MAX(1,INT(((((CROQUIS_DATOS!$C$1489+CROQUIS_DATOS!$C$1490))-(CROQUIS_DATOS!$C$1489))+((CROQUIS_DATOS!$C$1491)*CROQUIS_DATOS!$C$1561-(0)*CROQUIS_DATOS!$C$1561))/CROQUIS_DATOS!$C$1568-0.000001)),1,MOD($A37-1,2)))=1,MIN((CROQUIS_DATOS!$C$1491)*CROQUIS_DATOS!$C$1561,((CROQUIS_DATOS!$C$1489+CROQUIS_DATOS!$C$1490)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7">
        <f>IF(AND(CROQUIS_DATOS!$C$1472=1,CROQUIS_DATOS!$C$1478&gt;=3,((CROQUIS_DATOS!$C$1489+CROQUIS_DATOS!$C$1490))-(CROQUIS_DATOS!$C$1489)&gt;0.5,(CROQUIS_DATOS!$C$1476)-((CROQUIS_DATOS!$C$1491+CROQUIS_DATOS!$C$1492))&gt;0.5),(CROQUIS_DATOS!$C$1566+(IF(IF(MOD(MIN(INT(($A37-1)/2)+1,MAX(1,INT(((((CROQUIS_DATOS!$C$1489+CROQUIS_DATOS!$C$1490))-(CROQUIS_DATOS!$C$1489))+((CROQUIS_DATOS!$C$1476)*CROQUIS_DATOS!$C$1561-((CROQUIS_DATOS!$C$1491+CROQUIS_DATOS!$C$1492))*CROQUIS_DATOS!$C$1561))/CROQUIS_DATOS!$C$1568-0.000001))),2)=1,IF(INT(($A37-1)/2)+1&gt;MAX(1,INT(((((CROQUIS_DATOS!$C$1489+CROQUIS_DATOS!$C$1490))-(CROQUIS_DATOS!$C$1489))+((CROQUIS_DATOS!$C$1476)*CROQUIS_DATOS!$C$1561-((CROQUIS_DATOS!$C$1491+CROQUIS_DATOS!$C$1492))*CROQUIS_DATOS!$C$1561))/CROQUIS_DATOS!$C$1568-0.000001)),1,MOD($A37-1,2)),1-IF(INT(($A37-1)/2)+1&gt;MAX(1,INT(((((CROQUIS_DATOS!$C$1489+CROQUIS_DATOS!$C$1490))-(CROQUIS_DATOS!$C$1489))+((CROQUIS_DATOS!$C$1476)*CROQUIS_DATOS!$C$1561-((CROQUIS_DATOS!$C$1491+CROQUIS_DATOS!$C$1492))*CROQUIS_DATOS!$C$1561))/CROQUIS_DATOS!$C$1568-0.000001)),1,MOD($A37-1,2)))=1,MIN((CROQUIS_DATOS!$C$1476)*CROQUIS_DATOS!$C$1561,((CROQUIS_DATOS!$C$1489+CROQUIS_DATOS!$C$1490)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7">
        <f>IF(AND(CROQUIS_DATOS!$C$1472=1,CROQUIS_DATOS!$C$1478&gt;=3,((CROQUIS_DATOS!$C$1489+CROQUIS_DATOS!$C$1490))-(CROQUIS_DATOS!$C$1489)&gt;0.5,(CROQUIS_DATOS!$C$1476)-((CROQUIS_DATOS!$C$1491+CROQUIS_DATOS!$C$1492))&gt;0.5),(CROQUIS_DATOS!$C$1567+(IF(IF(MOD(MIN(INT(($A37-1)/2)+1,MAX(1,INT(((((CROQUIS_DATOS!$C$1489+CROQUIS_DATOS!$C$1490))-(CROQUIS_DATOS!$C$1489))+((CROQUIS_DATOS!$C$1476)*CROQUIS_DATOS!$C$1561-((CROQUIS_DATOS!$C$1491+CROQUIS_DATOS!$C$1492))*CROQUIS_DATOS!$C$1561))/CROQUIS_DATOS!$C$1568-0.000001))),2)=1,IF(INT(($A37-1)/2)+1&gt;MAX(1,INT(((((CROQUIS_DATOS!$C$1489+CROQUIS_DATOS!$C$1490))-(CROQUIS_DATOS!$C$1489))+((CROQUIS_DATOS!$C$1476)*CROQUIS_DATOS!$C$1561-((CROQUIS_DATOS!$C$1491+CROQUIS_DATOS!$C$1492))*CROQUIS_DATOS!$C$1561))/CROQUIS_DATOS!$C$1568-0.000001)),1,MOD($A37-1,2)),1-IF(INT(($A37-1)/2)+1&gt;MAX(1,INT(((((CROQUIS_DATOS!$C$1489+CROQUIS_DATOS!$C$1490))-(CROQUIS_DATOS!$C$1489))+((CROQUIS_DATOS!$C$1476)*CROQUIS_DATOS!$C$1561-((CROQUIS_DATOS!$C$1491+CROQUIS_DATOS!$C$1492))*CROQUIS_DATOS!$C$1561))/CROQUIS_DATOS!$C$1568-0.000001)),1,MOD($A37-1,2)))=1,MIN((CROQUIS_DATOS!$C$1476)*CROQUIS_DATOS!$C$1561,((CROQUIS_DATOS!$C$1489+CROQUIS_DATOS!$C$1490)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7">
        <f>IF(AND(CROQUIS_DATOS!$C$1472=1,CROQUIS_DATOS!$C$1478&gt;=4,((CROQUIS_DATOS!$C$1494+CROQUIS_DATOS!$C$1495))-(CROQUIS_DATOS!$C$1494)&gt;0.5,(CROQUIS_DATOS!$C$1496)-(0)&gt;0.5),(CROQUIS_DATOS!$C$1566+(IF(IF(MOD(MIN(INT(($A37-1)/2)+1,MAX(1,INT(((((CROQUIS_DATOS!$C$1494+CROQUIS_DATOS!$C$1495))-(CROQUIS_DATOS!$C$1494))+((CROQUIS_DATOS!$C$1496)*CROQUIS_DATOS!$C$1561-(0)*CROQUIS_DATOS!$C$1561))/CROQUIS_DATOS!$C$1568-0.000001))),2)=1,IF(INT(($A37-1)/2)+1&gt;MAX(1,INT(((((CROQUIS_DATOS!$C$1494+CROQUIS_DATOS!$C$1495))-(CROQUIS_DATOS!$C$1494))+((CROQUIS_DATOS!$C$1496)*CROQUIS_DATOS!$C$1561-(0)*CROQUIS_DATOS!$C$1561))/CROQUIS_DATOS!$C$1568-0.000001)),1,MOD($A37-1,2)),1-IF(INT(($A37-1)/2)+1&gt;MAX(1,INT(((((CROQUIS_DATOS!$C$1494+CROQUIS_DATOS!$C$1495))-(CROQUIS_DATOS!$C$1494))+((CROQUIS_DATOS!$C$1496)*CROQUIS_DATOS!$C$1561-(0)*CROQUIS_DATOS!$C$1561))/CROQUIS_DATOS!$C$1568-0.000001)),1,MOD($A37-1,2)))=1,MIN((CROQUIS_DATOS!$C$1496)*CROQUIS_DATOS!$C$1561,((CROQUIS_DATOS!$C$1494+CROQUIS_DATOS!$C$1495)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7">
        <f>IF(AND(CROQUIS_DATOS!$C$1472=1,CROQUIS_DATOS!$C$1478&gt;=4,((CROQUIS_DATOS!$C$1494+CROQUIS_DATOS!$C$1495))-(CROQUIS_DATOS!$C$1494)&gt;0.5,(CROQUIS_DATOS!$C$1496)-(0)&gt;0.5),(CROQUIS_DATOS!$C$1567+(IF(IF(MOD(MIN(INT(($A37-1)/2)+1,MAX(1,INT(((((CROQUIS_DATOS!$C$1494+CROQUIS_DATOS!$C$1495))-(CROQUIS_DATOS!$C$1494))+((CROQUIS_DATOS!$C$1496)*CROQUIS_DATOS!$C$1561-(0)*CROQUIS_DATOS!$C$1561))/CROQUIS_DATOS!$C$1568-0.000001))),2)=1,IF(INT(($A37-1)/2)+1&gt;MAX(1,INT(((((CROQUIS_DATOS!$C$1494+CROQUIS_DATOS!$C$1495))-(CROQUIS_DATOS!$C$1494))+((CROQUIS_DATOS!$C$1496)*CROQUIS_DATOS!$C$1561-(0)*CROQUIS_DATOS!$C$1561))/CROQUIS_DATOS!$C$1568-0.000001)),1,MOD($A37-1,2)),1-IF(INT(($A37-1)/2)+1&gt;MAX(1,INT(((((CROQUIS_DATOS!$C$1494+CROQUIS_DATOS!$C$1495))-(CROQUIS_DATOS!$C$1494))+((CROQUIS_DATOS!$C$1496)*CROQUIS_DATOS!$C$1561-(0)*CROQUIS_DATOS!$C$1561))/CROQUIS_DATOS!$C$1568-0.000001)),1,MOD($A37-1,2)))=1,MIN((CROQUIS_DATOS!$C$1496)*CROQUIS_DATOS!$C$1561,((CROQUIS_DATOS!$C$1494+CROQUIS_DATOS!$C$1495)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7">
        <f>IF(AND(CROQUIS_DATOS!$C$1472=1,CROQUIS_DATOS!$C$1478&gt;=4,((CROQUIS_DATOS!$C$1494+CROQUIS_DATOS!$C$1495))-(CROQUIS_DATOS!$C$1494)&gt;0.5,(CROQUIS_DATOS!$C$1476)-((CROQUIS_DATOS!$C$1496+CROQUIS_DATOS!$C$1497))&gt;0.5),(CROQUIS_DATOS!$C$1566+(IF(IF(MOD(MIN(INT(($A37-1)/2)+1,MAX(1,INT(((((CROQUIS_DATOS!$C$1494+CROQUIS_DATOS!$C$1495))-(CROQUIS_DATOS!$C$1494))+((CROQUIS_DATOS!$C$1476)*CROQUIS_DATOS!$C$1561-((CROQUIS_DATOS!$C$1496+CROQUIS_DATOS!$C$1497))*CROQUIS_DATOS!$C$1561))/CROQUIS_DATOS!$C$1568-0.000001))),2)=1,IF(INT(($A37-1)/2)+1&gt;MAX(1,INT(((((CROQUIS_DATOS!$C$1494+CROQUIS_DATOS!$C$1495))-(CROQUIS_DATOS!$C$1494))+((CROQUIS_DATOS!$C$1476)*CROQUIS_DATOS!$C$1561-((CROQUIS_DATOS!$C$1496+CROQUIS_DATOS!$C$1497))*CROQUIS_DATOS!$C$1561))/CROQUIS_DATOS!$C$1568-0.000001)),1,MOD($A37-1,2)),1-IF(INT(($A37-1)/2)+1&gt;MAX(1,INT(((((CROQUIS_DATOS!$C$1494+CROQUIS_DATOS!$C$1495))-(CROQUIS_DATOS!$C$1494))+((CROQUIS_DATOS!$C$1476)*CROQUIS_DATOS!$C$1561-((CROQUIS_DATOS!$C$1496+CROQUIS_DATOS!$C$1497))*CROQUIS_DATOS!$C$1561))/CROQUIS_DATOS!$C$1568-0.000001)),1,MOD($A37-1,2)))=1,MIN((CROQUIS_DATOS!$C$1476)*CROQUIS_DATOS!$C$1561,((CROQUIS_DATOS!$C$1494+CROQUIS_DATOS!$C$1495)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7">
        <f>IF(AND(CROQUIS_DATOS!$C$1472=1,CROQUIS_DATOS!$C$1478&gt;=4,((CROQUIS_DATOS!$C$1494+CROQUIS_DATOS!$C$1495))-(CROQUIS_DATOS!$C$1494)&gt;0.5,(CROQUIS_DATOS!$C$1476)-((CROQUIS_DATOS!$C$1496+CROQUIS_DATOS!$C$1497))&gt;0.5),(CROQUIS_DATOS!$C$1567+(IF(IF(MOD(MIN(INT(($A37-1)/2)+1,MAX(1,INT(((((CROQUIS_DATOS!$C$1494+CROQUIS_DATOS!$C$1495))-(CROQUIS_DATOS!$C$1494))+((CROQUIS_DATOS!$C$1476)*CROQUIS_DATOS!$C$1561-((CROQUIS_DATOS!$C$1496+CROQUIS_DATOS!$C$1497))*CROQUIS_DATOS!$C$1561))/CROQUIS_DATOS!$C$1568-0.000001))),2)=1,IF(INT(($A37-1)/2)+1&gt;MAX(1,INT(((((CROQUIS_DATOS!$C$1494+CROQUIS_DATOS!$C$1495))-(CROQUIS_DATOS!$C$1494))+((CROQUIS_DATOS!$C$1476)*CROQUIS_DATOS!$C$1561-((CROQUIS_DATOS!$C$1496+CROQUIS_DATOS!$C$1497))*CROQUIS_DATOS!$C$1561))/CROQUIS_DATOS!$C$1568-0.000001)),1,MOD($A37-1,2)),1-IF(INT(($A37-1)/2)+1&gt;MAX(1,INT(((((CROQUIS_DATOS!$C$1494+CROQUIS_DATOS!$C$1495))-(CROQUIS_DATOS!$C$1494))+((CROQUIS_DATOS!$C$1476)*CROQUIS_DATOS!$C$1561-((CROQUIS_DATOS!$C$1496+CROQUIS_DATOS!$C$1497))*CROQUIS_DATOS!$C$1561))/CROQUIS_DATOS!$C$1568-0.000001)),1,MOD($A37-1,2)))=1,MIN((CROQUIS_DATOS!$C$1476)*CROQUIS_DATOS!$C$1561,((CROQUIS_DATOS!$C$1494+CROQUIS_DATOS!$C$1495)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7">
        <f>IF(AND(CROQUIS_DATOS!$C$1472=1,1),(CROQUIS_DATOS!$C$1571+(CHOOSE(MIN(MAX(IF(INT(($A37-1)/5)+1&gt;CROQUIS_DATOS!$C$1525,5,MOD($A37-1,5)+1),1),5),(INDEX($E$8:$E$23,MIN(INT(($A37-1)/5)+1,CROQUIS_DATOS!$C$1525))-INDEX($F$8:$F$23,MIN(INT(($A37-1)/5)+1,CROQUIS_DATOS!$C$1525))/2),(INDEX($E$8:$E$23,MIN(INT(($A37-1)/5)+1,CROQUIS_DATOS!$C$1525))+INDEX($F$8:$F$23,MIN(INT(($A37-1)/5)+1,CROQUIS_DATOS!$C$1525))/2),(INDEX($E$8:$E$23,MIN(INT(($A37-1)/5)+1,CROQUIS_DATOS!$C$1525))+INDEX($F$8:$F$23,MIN(INT(($A37-1)/5)+1,CROQUIS_DATOS!$C$1525))/2),(INDEX($E$8:$E$23,MIN(INT(($A37-1)/5)+1,CROQUIS_DATOS!$C$1525))-INDEX($F$8:$F$23,MIN(INT(($A37-1)/5)+1,CROQUIS_DATOS!$C$1525))/2),(INDEX($E$8:$E$23,MIN(INT(($A37-1)/5)+1,CROQUIS_DATOS!$C$1525))-INDEX($F$8:$F$23,MIN(INT(($A37-1)/5)+1,CROQUIS_DATOS!$C$1525))/2)))*CROQUIS_DATOS!$C$1569),-1000)</f>
        <v>95.24</v>
      </c>
      <c r="GE37">
        <f>IF(AND(CROQUIS_DATOS!$C$1472=1,1),(CROQUIS_DATOS!$C$1572+(CHOOSE(MIN(MAX(IF(INT(($A37-1)/5)+1&gt;CROQUIS_DATOS!$C$1525,5,MOD($A37-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7">
        <f>IF(AND(CROQUIS_DATOS!$C$1472=1,1),IF(INT(($A37-1)/4)+1&lt;=CROQUIS_DATOS!$C$1525,(CROQUIS_DATOS!$C$1571+((INDEX($E$8:$E$23,MIN(INT(($A37-1)/4)+1,16))+IF(OR(MOD($A37-1,4)=0,MOD($A37-1,4)=3),-1,1)*(INDEX($F$8:$F$23,MIN(INT(($A37-1)/4)+1,16))/2-(CROQUIS_DATOS!$C$1530+CROQUIS_DATOS!$C$1532+IF(OR(INT(($A37-1)/4)+1=1,INT(($A37-1)/4)+1=CROQUIS_DATOS!$C$1525),CROQUIS_DATOS!$C$1534,CROQUIS_DATOS!$C$1531)/2))))*CROQUIS_DATOS!$C$1569),-1000),-1000)</f>
        <v>-1000</v>
      </c>
      <c r="GG37">
        <f>IF(AND(CROQUIS_DATOS!$C$1472=1,1),IF(INT(($A37-1)/4)+1&lt;=CROQUIS_DATOS!$C$1525,(CROQUIS_DATOS!$C$1572+((CROQUIS_DATOS!$C$1477/2+IF(MOD($A37-1,4)&lt;2,-1,1)*(CROQUIS_DATOS!$C$1527/2-(CROQUIS_DATOS!$C$1530+CROQUIS_DATOS!$C$1532+IF(OR(INT(($A37-1)/4)+1=1,INT(($A37-1)/4)+1=CROQUIS_DATOS!$C$1525),CROQUIS_DATOS!$C$1534,CROQUIS_DATOS!$C$1531)/2))))*CROQUIS_DATOS!$C$1569*CROQUIS_DATOS!$C$1570),-1000),-1000)</f>
        <v>-1000</v>
      </c>
    </row>
    <row r="38">
      <c r="A38" t="n">
        <v>31</v>
      </c>
      <c r="H38">
        <f>IF(31&lt;=CROQUIS_DATOS!$C$1539,31*CROQUIS_DATOS!$C$1536,IF(31&lt;=CROQUIS_DATOS!$C$1539+CROQUIS_DATOS!$C$1540,CROQUIS_DATOS!$C$1539*CROQUIS_DATOS!$C$1536+(31-CROQUIS_DATOS!$C$1539)*(CROQUIS_DATOS!$C$1476-2*CROQUIS_DATOS!$C$1539*CROQUIS_DATOS!$C$1536)/(CROQUIS_DATOS!$C$1540+1),CROQUIS_DATOS!$C$1476-(2*CROQUIS_DATOS!$C$1539+CROQUIS_DATOS!$C$1540+1-31)*CROQUIS_DATOS!$C$1536))</f>
        <v>340</v>
      </c>
      <c r="J38">
        <f>IF(AND(CROQUIS_DATOS!$C$1472=1,1),(CROQUIS_DATOS!$C$1563+(CHOOSE(MIN(MAX(IF(INT(($A38-1)/4)+1&gt;CROQUIS_DATOS!$C$1525,4,MOD($A38-1,4)+1),1),4),(INDEX($E$8:$E$23,MIN(INT(($A38-1)/4)+1,CROQUIS_DATOS!$C$1525))-INDEX($F$8:$F$23,MIN(INT(($A38-1)/4)+1,CROQUIS_DATOS!$C$1525))/2),(INDEX($E$8:$E$23,MIN(INT(($A38-1)/4)+1,CROQUIS_DATOS!$C$1525))-INDEX($F$8:$F$23,MIN(INT(($A38-1)/4)+1,CROQUIS_DATOS!$C$1525))/2),(INDEX($E$8:$E$23,MIN(INT(($A38-1)/4)+1,CROQUIS_DATOS!$C$1525))+INDEX($F$8:$F$23,MIN(INT(($A38-1)/4)+1,CROQUIS_DATOS!$C$1525))/2),(INDEX($E$8:$E$23,MIN(INT(($A38-1)/4)+1,CROQUIS_DATOS!$C$1525))+INDEX($F$8:$F$23,MIN(INT(($A38-1)/4)+1,CROQUIS_DATOS!$C$1525))/2)))*CROQUIS_DATOS!$C$1562),-1000)</f>
        <v>84.9137931034483</v>
      </c>
      <c r="K38">
        <f>IF(AND(CROQUIS_DATOS!$C$1472=1,1),(CROQUIS_DATOS!$C$1564+(CHOOSE(MIN(MAX(IF(INT(($A38-1)/4)+1&gt;CROQUIS_DATOS!$C$1525,4,MOD($A38-1,4)+1),1),4),0,CROQUIS_DATOS!$C$1476,CROQUIS_DATOS!$C$1476,0))*CROQUIS_DATOS!$C$1561*CROQUIS_DATOS!$C$1562),-1000)</f>
        <v>5.29310344827586</v>
      </c>
      <c r="L38">
        <f>IF(AND(CROQUIS_DATOS!$C$1472=1,1),(CROQUIS_DATOS!$C$1563+(CHOOSE(MIN(MAX(IF(INT(($A38-1)/4)+1&gt;CROQUIS_DATOS!$C$1525,4,MOD($A38-1,4)+1),1),4),((INDEX($E$8:$E$23,MIN(INT(($A38-1)/4)+1,CROQUIS_DATOS!$C$1525))-INDEX($F$8:$F$23,MIN(INT(($A38-1)/4)+1,CROQUIS_DATOS!$C$1525))/2)+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,((INDEX($E$8:$E$23,MIN(INT(($A38-1)/4)+1,CROQUIS_DATOS!$C$1525))-INDEX($F$8:$F$23,MIN(INT(($A38-1)/4)+1,CROQUIS_DATOS!$C$1525))/2)+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,((INDEX($E$8:$E$23,MIN(INT(($A38-1)/4)+1,CROQUIS_DATOS!$C$1525))+INDEX($F$8:$F$23,MIN(INT(($A38-1)/4)+1,CROQUIS_DATOS!$C$1525))/2)-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,((INDEX($E$8:$E$23,MIN(INT(($A38-1)/4)+1,CROQUIS_DATOS!$C$1525))+INDEX($F$8:$F$23,MIN(INT(($A38-1)/4)+1,CROQUIS_DATOS!$C$1525))/2)-MIN((CROQUIS_DATOS!$C$1530+CROQUIS_DATOS!$C$1532+IF(OR(MIN(INT(($A38-1)/4)+1,CROQUIS_DATOS!$C$1525)=1,MIN(INT(($A38-1)/4)+1,CROQUIS_DATOS!$C$1525)=CROQUIS_DATOS!$C$1525),CROQUIS_DATOS!$C$1534,CROQUIS_DATOS!$C$1531)/2),INDEX($F$8:$F$23,MIN(INT(($A38-1)/4)+1,CROQUIS_DATOS!$C$1525))/2-0.5))))*CROQUIS_DATOS!$C$1562),-1000)</f>
        <v>84.4792560344828</v>
      </c>
      <c r="M38">
        <f>IF(AND(CROQUIS_DATOS!$C$1472=1,1),(CROQUIS_DATOS!$C$1564+(CHOOSE(MIN(MAX(IF(INT(($A38-1)/4)+1&gt;CROQUIS_DATOS!$C$1525,4,MOD($A38-1,4)+1),1),4),CROQUIS_DATOS!$C$1543,INDEX($I$8:$I$23,MIN(INT(($A38-1)/4)+1,CROQUIS_DATOS!$C$1525)),INDEX($I$8:$I$23,MIN(INT(($A38-1)/4)+1,CROQUIS_DATOS!$C$1525)),CROQUIS_DATOS!$C$1543))*CROQUIS_DATOS!$C$1561*CROQUIS_DATOS!$C$1562),-1000)</f>
        <v>42.5654629310345</v>
      </c>
      <c r="N38">
        <f>IF(AND(CROQUIS_DATOS!$C$1472=1,1),(CROQUIS_DATOS!$C$1563+(IF(IF(IF(INT(($A38-1)/70)+1&gt;CROQUIS_DATOS!$C$1525,70,MOD($A38-1,70)+1)=1,0,IF(IF(INT(($A38-1)/70)+1&gt;CROQUIS_DATOS!$C$1525,70,MOD($A38-1,70)+1)&gt;2*CROQUIS_DATOS!$C$1541+1,IF(MOD(CROQUIS_DATOS!$C$1541,2)=1,1,0),IF(MOD(MIN(INT((IF(INT(($A38-1)/70)+1&gt;CROQUIS_DATOS!$C$1525,70,MOD($A38-1,70)+1)-2)/2)+1,CROQUIS_DATOS!$C$1541),2)=1,IF(MOD(IF(INT(($A38-1)/70)+1&gt;CROQUIS_DATOS!$C$1525,70,MOD($A38-1,70)+1)-2,2)=0,0,1),IF(MOD(IF(INT(($A38-1)/70)+1&gt;CROQUIS_DATOS!$C$1525,70,MOD($A38-1,70)+1)-2,2)=0,1,0))))=0,(INDEX($E$8:$E$23,MIN(INT(($A38-1)/70)+1,CROQUIS_DATOS!$C$1525))-INDEX($F$8:$F$23,MIN(INT(($A38-1)/70)+1,CROQUIS_DATOS!$C$1525))/2),(INDEX($E$8:$E$23,MIN(INT(($A38-1)/70)+1,CROQUIS_DATOS!$C$1525))+INDEX($F$8:$F$23,MIN(INT(($A38-1)/70)+1,CROQUIS_DATOS!$C$1525))/2)))*CROQUIS_DATOS!$C$1562),-1000)</f>
        <v>17.1810344827586</v>
      </c>
      <c r="O38">
        <f>IF(AND(CROQUIS_DATOS!$C$1472=1,1),(CROQUIS_DATOS!$C$1564+(IF(OR(IF(INT(($A38-1)/70)+1&gt;CROQUIS_DATOS!$C$1525,70,MOD($A38-1,70)+1)=1,IF(INT(($A38-1)/70)+1&gt;CROQUIS_DATOS!$C$1525,70,MOD($A38-1,70)+1)&gt;2*CROQUIS_DATOS!$C$1541+1),CROQUIS_DATOS!$C$1476,INDEX($H$8:$H$41,MIN(INT((IF(INT(($A38-1)/70)+1&gt;CROQUIS_DATOS!$C$1525,70,MOD($A38-1,70)+1)-2)/2)+1,CROQUIS_DATOS!$C$1541))))*CROQUIS_DATOS!$C$1561*CROQUIS_DATOS!$C$1562),-1000)</f>
        <v>36.0172413793104</v>
      </c>
      <c r="P38">
        <f>IF(AND(CROQUIS_DATOS!$C$1472=1,CROQUIS_DATOS!$C$1555=1),(CROQUIS_DATOS!$C$1563+(IF(IF(OR(MOD($A38-1,62)+1=1,IF(CHOOSE(MIN(MAX(MIN(INT(($A38-1)/62)+1,5),1),5),CROQUIS_DATOS!$C$1501,CROQUIS_DATOS!$C$1505,CROQUIS_DATOS!$C$1509,CROQUIS_DATOS!$C$1513,CROQUIS_DATOS!$C$1517)=1,CROQUIS_DATOS!$C$1557,0)=0),0,IF(MOD($A38-1,62)+1&gt;2*IF(CHOOSE(MIN(MAX(MIN(INT(($A38-1)/62)+1,5),1),5),CROQUIS_DATOS!$C$1501,CROQUIS_DATOS!$C$1505,CROQUIS_DATOS!$C$1509,CROQUIS_DATOS!$C$1513,CROQUIS_DATOS!$C$1517)=1,CROQUIS_DATOS!$C$1557,0)+1,IF(MOD(IF(CHOOSE(MIN(MAX(MIN(INT(($A38-1)/62)+1,5),1),5),CROQUIS_DATOS!$C$1501,CROQUIS_DATOS!$C$1505,CROQUIS_DATOS!$C$1509,CROQUIS_DATOS!$C$1513,CROQUIS_DATOS!$C$1517)=1,CROQUIS_DATOS!$C$1557,0),2)=1,1,0),IF(MOD(MIN(INT((MOD($A38-1,62)+1-2)/2)+1,MAX(IF(CHOOSE(MIN(MAX(MIN(INT(($A38-1)/62)+1,5),1),5),CROQUIS_DATOS!$C$1501,CROQUIS_DATOS!$C$1505,CROQUIS_DATOS!$C$1509,CROQUIS_DATOS!$C$1513,CROQUIS_DATOS!$C$1517)=1,CROQUIS_DATOS!$C$1557,0),1)),2)=1,IF(MOD(MOD($A38-1,62)+1-2,2)=0,0,1),IF(MOD(MOD($A38-1,62)+1-2,2)=0,1,0))))=0,(CHOOSE(MIN(MAX(MIN(INT(($A38-1)/62)+1,5),1),5),CROQUIS_DATOS!$C$1499,CROQUIS_DATOS!$C$1503,CROQUIS_DATOS!$C$1507,CROQUIS_DATOS!$C$1511,CROQUIS_DATOS!$C$1515)+IF(CHOOSE(MIN(MAX(MIN(INT(($A38-1)/62)+1,5),1),5),CROQUIS_DATOS!$C$1501,CROQUIS_DATOS!$C$1505,CROQUIS_DATOS!$C$1509,CROQUIS_DATOS!$C$1513,CROQUIS_DATOS!$C$1517)=1,CROQUIS_DATOS!$C$1526,0)),(CHOOSE(MIN(MAX(MIN(INT(($A38-1)/62)+1,5),1),5),CROQUIS_DATOS!$C$1499,CROQUIS_DATOS!$C$1503,CROQUIS_DATOS!$C$1507,CROQUIS_DATOS!$C$1511,CROQUIS_DATOS!$C$1515)+CHOOSE(MIN(MAX(MIN(INT(($A38-1)/62)+1,5),1),5),CROQUIS_DATOS!$C$1500,CROQUIS_DATOS!$C$1504,CROQUIS_DATOS!$C$1508,CROQUIS_DATOS!$C$1512,CROQUIS_DATOS!$C$1516)-IF(CHOOSE(MIN(MAX(MIN(INT(($A38-1)/62)+1,5),1),5),CROQUIS_DATOS!$C$1501,CROQUIS_DATOS!$C$1505,CROQUIS_DATOS!$C$1509,CROQUIS_DATOS!$C$1513,CROQUIS_DATOS!$C$1517)=1,CROQUIS_DATOS!$C$1526,0))))*CROQUIS_DATOS!$C$1562),-1000)</f>
        <v>-1000</v>
      </c>
      <c r="Q38">
        <f>IF(AND(CROQUIS_DATOS!$C$1472=1,CROQUIS_DATOS!$C$1555=1),(CROQUIS_DATOS!$C$1564+(IF(OR(OR(MOD($A38-1,62)+1=1,IF(CHOOSE(MIN(MAX(MIN(INT(($A38-1)/62)+1,5),1),5),CROQUIS_DATOS!$C$1501,CROQUIS_DATOS!$C$1505,CROQUIS_DATOS!$C$1509,CROQUIS_DATOS!$C$1513,CROQUIS_DATOS!$C$1517)=1,CROQUIS_DATOS!$C$1557,0)=0),MOD($A38-1,62)+1&gt;2*IF(CHOOSE(MIN(MAX(MIN(INT(($A38-1)/62)+1,5),1),5),CROQUIS_DATOS!$C$1501,CROQUIS_DATOS!$C$1505,CROQUIS_DATOS!$C$1509,CROQUIS_DATOS!$C$1513,CROQUIS_DATOS!$C$1517)=1,CROQUIS_DATOS!$C$1557,0)+1),CROQUIS_DATOS!$C$1476,MIN(INT((MOD($A38-1,62)+1-2)/2)+1,MAX(IF(CHOOSE(MIN(MAX(MIN(INT(($A38-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8">
        <f>IF(AND(CROQUIS_DATOS!$C$1472=1,1),(CROQUIS_DATOS!$C$1563+(MIN(INT(($A38-1)/2)+1,CROQUIS_DATOS!$C$1558)*CROQUIS_DATOS!$C$1559)*CROQUIS_DATOS!$C$1562),-1000)</f>
        <v>58.0570291777188</v>
      </c>
      <c r="U38">
        <f>IF(AND(CROQUIS_DATOS!$C$1472=1,1),(CROQUIS_DATOS!$C$1564+(IF(INT(($A38-1)/2)+1&gt;CROQUIS_DATOS!$C$1558,IF(MOD(CROQUIS_DATOS!$C$1558,2)=1,CROQUIS_DATOS!$C$1476+CROQUIS_DATOS!$C$1528,CROQUIS_DATOS!$C$1476),IF(IF(MOD(MIN(INT(($A38-1)/2)+1,CROQUIS_DATOS!$C$1558),2)=1,MOD($A38-1,2),1-MOD($A38-1,2))=1,CROQUIS_DATOS!$C$1476+CROQUIS_DATOS!$C$1528,CROQUIS_DATOS!$C$1476)))*CROQUIS_DATOS!$C$1561*CROQUIS_DATOS!$C$1562),-1000)</f>
        <v>43</v>
      </c>
      <c r="BZ38">
        <f>IF(AND(CROQUIS_DATOS!$C$1472=1,CROQUIS_DATOS!$C$1500&gt;0,((CROQUIS_DATOS!$C$1499+CROQUIS_DATOS!$C$1500))-(CROQUIS_DATOS!$C$1499)&gt;0.5,(CROQUIS_DATOS!$C$1476)-(0)&gt;0.5),(CROQUIS_DATOS!$C$1566+(IF(IF(MOD(MIN(INT(($A38-1)/2)+1,MAX(1,INT(((((CROQUIS_DATOS!$C$1499+CROQUIS_DATOS!$C$1500))-(CROQUIS_DATOS!$C$1499))+((CROQUIS_DATOS!$C$1476)*CROQUIS_DATOS!$C$1561-(0)*CROQUIS_DATOS!$C$1561))/CROQUIS_DATOS!$C$1568-0.000001))),2)=1,IF(INT(($A38-1)/2)+1&gt;MAX(1,INT(((((CROQUIS_DATOS!$C$1499+CROQUIS_DATOS!$C$1500))-(CROQUIS_DATOS!$C$1499))+((CROQUIS_DATOS!$C$1476)*CROQUIS_DATOS!$C$1561-(0)*CROQUIS_DATOS!$C$1561))/CROQUIS_DATOS!$C$1568-0.000001)),1,MOD($A38-1,2)),1-IF(INT(($A38-1)/2)+1&gt;MAX(1,INT(((((CROQUIS_DATOS!$C$1499+CROQUIS_DATOS!$C$1500))-(CROQUIS_DATOS!$C$1499))+((CROQUIS_DATOS!$C$1476)*CROQUIS_DATOS!$C$1561-(0)*CROQUIS_DATOS!$C$1561))/CROQUIS_DATOS!$C$1568-0.000001)),1,MOD($A38-1,2)))=1,MIN((CROQUIS_DATOS!$C$1476)*CROQUIS_DATOS!$C$1561,((CROQUIS_DATOS!$C$1499+CROQUIS_DATOS!$C$1500)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38">
        <f>IF(AND(CROQUIS_DATOS!$C$1472=1,CROQUIS_DATOS!$C$1500&gt;0,((CROQUIS_DATOS!$C$1499+CROQUIS_DATOS!$C$1500))-(CROQUIS_DATOS!$C$1499)&gt;0.5,(CROQUIS_DATOS!$C$1476)-(0)&gt;0.5),(CROQUIS_DATOS!$C$1567+(IF(IF(MOD(MIN(INT(($A38-1)/2)+1,MAX(1,INT(((((CROQUIS_DATOS!$C$1499+CROQUIS_DATOS!$C$1500))-(CROQUIS_DATOS!$C$1499))+((CROQUIS_DATOS!$C$1476)*CROQUIS_DATOS!$C$1561-(0)*CROQUIS_DATOS!$C$1561))/CROQUIS_DATOS!$C$1568-0.000001))),2)=1,IF(INT(($A38-1)/2)+1&gt;MAX(1,INT(((((CROQUIS_DATOS!$C$1499+CROQUIS_DATOS!$C$1500))-(CROQUIS_DATOS!$C$1499))+((CROQUIS_DATOS!$C$1476)*CROQUIS_DATOS!$C$1561-(0)*CROQUIS_DATOS!$C$1561))/CROQUIS_DATOS!$C$1568-0.000001)),1,MOD($A38-1,2)),1-IF(INT(($A38-1)/2)+1&gt;MAX(1,INT(((((CROQUIS_DATOS!$C$1499+CROQUIS_DATOS!$C$1500))-(CROQUIS_DATOS!$C$1499))+((CROQUIS_DATOS!$C$1476)*CROQUIS_DATOS!$C$1561-(0)*CROQUIS_DATOS!$C$1561))/CROQUIS_DATOS!$C$1568-0.000001)),1,MOD($A38-1,2)))=1,MIN((CROQUIS_DATOS!$C$1476)*CROQUIS_DATOS!$C$1561,((CROQUIS_DATOS!$C$1499+CROQUIS_DATOS!$C$1500)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38-1)/2)+1,MAX(1,INT(((((CROQUIS_DATOS!$C$1499+CROQUIS_DATOS!$C$1500))-(CROQUIS_DATOS!$C$1499))+((CROQUIS_DATOS!$C$1476)*CROQUIS_DATOS!$C$1561-(0)*CROQUIS_DATOS!$C$1561))/CROQUIS_DATOS!$C$1568-0.000001)))*CROQUIS_DATOS!$C$1568))))*CROQUIS_DATOS!$C$1565),-1000)</f>
        <v>17.5379310344828</v>
      </c>
      <c r="CB38">
        <f>IF(AND(CROQUIS_DATOS!$C$1472=1,CROQUIS_DATOS!$C$1504&gt;0,((CROQUIS_DATOS!$C$1503+CROQUIS_DATOS!$C$1504))-(CROQUIS_DATOS!$C$1503)&gt;0.5,(CROQUIS_DATOS!$C$1476)-(0)&gt;0.5),(CROQUIS_DATOS!$C$1566+(IF(IF(MOD(MIN(INT(($A38-1)/2)+1,MAX(1,INT(((((CROQUIS_DATOS!$C$1503+CROQUIS_DATOS!$C$1504))-(CROQUIS_DATOS!$C$1503))+((CROQUIS_DATOS!$C$1476)*CROQUIS_DATOS!$C$1561-(0)*CROQUIS_DATOS!$C$1561))/CROQUIS_DATOS!$C$1568-0.000001))),2)=1,IF(INT(($A38-1)/2)+1&gt;MAX(1,INT(((((CROQUIS_DATOS!$C$1503+CROQUIS_DATOS!$C$1504))-(CROQUIS_DATOS!$C$1503))+((CROQUIS_DATOS!$C$1476)*CROQUIS_DATOS!$C$1561-(0)*CROQUIS_DATOS!$C$1561))/CROQUIS_DATOS!$C$1568-0.000001)),1,MOD($A38-1,2)),1-IF(INT(($A38-1)/2)+1&gt;MAX(1,INT(((((CROQUIS_DATOS!$C$1503+CROQUIS_DATOS!$C$1504))-(CROQUIS_DATOS!$C$1503))+((CROQUIS_DATOS!$C$1476)*CROQUIS_DATOS!$C$1561-(0)*CROQUIS_DATOS!$C$1561))/CROQUIS_DATOS!$C$1568-0.000001)),1,MOD($A38-1,2)))=1,MIN((CROQUIS_DATOS!$C$1476)*CROQUIS_DATOS!$C$1561,((CROQUIS_DATOS!$C$1503+CROQUIS_DATOS!$C$1504)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38">
        <f>IF(AND(CROQUIS_DATOS!$C$1472=1,CROQUIS_DATOS!$C$1504&gt;0,((CROQUIS_DATOS!$C$1503+CROQUIS_DATOS!$C$1504))-(CROQUIS_DATOS!$C$1503)&gt;0.5,(CROQUIS_DATOS!$C$1476)-(0)&gt;0.5),(CROQUIS_DATOS!$C$1567+(IF(IF(MOD(MIN(INT(($A38-1)/2)+1,MAX(1,INT(((((CROQUIS_DATOS!$C$1503+CROQUIS_DATOS!$C$1504))-(CROQUIS_DATOS!$C$1503))+((CROQUIS_DATOS!$C$1476)*CROQUIS_DATOS!$C$1561-(0)*CROQUIS_DATOS!$C$1561))/CROQUIS_DATOS!$C$1568-0.000001))),2)=1,IF(INT(($A38-1)/2)+1&gt;MAX(1,INT(((((CROQUIS_DATOS!$C$1503+CROQUIS_DATOS!$C$1504))-(CROQUIS_DATOS!$C$1503))+((CROQUIS_DATOS!$C$1476)*CROQUIS_DATOS!$C$1561-(0)*CROQUIS_DATOS!$C$1561))/CROQUIS_DATOS!$C$1568-0.000001)),1,MOD($A38-1,2)),1-IF(INT(($A38-1)/2)+1&gt;MAX(1,INT(((((CROQUIS_DATOS!$C$1503+CROQUIS_DATOS!$C$1504))-(CROQUIS_DATOS!$C$1503))+((CROQUIS_DATOS!$C$1476)*CROQUIS_DATOS!$C$1561-(0)*CROQUIS_DATOS!$C$1561))/CROQUIS_DATOS!$C$1568-0.000001)),1,MOD($A38-1,2)))=1,MIN((CROQUIS_DATOS!$C$1476)*CROQUIS_DATOS!$C$1561,((CROQUIS_DATOS!$C$1503+CROQUIS_DATOS!$C$1504)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38-1)/2)+1,MAX(1,INT(((((CROQUIS_DATOS!$C$1503+CROQUIS_DATOS!$C$1504))-(CROQUIS_DATOS!$C$1503))+((CROQUIS_DATOS!$C$1476)*CROQUIS_DATOS!$C$1561-(0)*CROQUIS_DATOS!$C$1561))/CROQUIS_DATOS!$C$1568-0.000001)))*CROQUIS_DATOS!$C$1568))))*CROQUIS_DATOS!$C$1565),-1000)</f>
        <v>23.951724137931</v>
      </c>
      <c r="CD38">
        <f>IF(AND(CROQUIS_DATOS!$C$1472=1,CROQUIS_DATOS!$C$1508&gt;0,((CROQUIS_DATOS!$C$1507+CROQUIS_DATOS!$C$1508))-(CROQUIS_DATOS!$C$1507)&gt;0.5,(CROQUIS_DATOS!$C$1476)-(0)&gt;0.5),(CROQUIS_DATOS!$C$1566+(IF(IF(MOD(MIN(INT(($A38-1)/2)+1,MAX(1,INT(((((CROQUIS_DATOS!$C$1507+CROQUIS_DATOS!$C$1508))-(CROQUIS_DATOS!$C$1507))+((CROQUIS_DATOS!$C$1476)*CROQUIS_DATOS!$C$1561-(0)*CROQUIS_DATOS!$C$1561))/CROQUIS_DATOS!$C$1568-0.000001))),2)=1,IF(INT(($A38-1)/2)+1&gt;MAX(1,INT(((((CROQUIS_DATOS!$C$1507+CROQUIS_DATOS!$C$1508))-(CROQUIS_DATOS!$C$1507))+((CROQUIS_DATOS!$C$1476)*CROQUIS_DATOS!$C$1561-(0)*CROQUIS_DATOS!$C$1561))/CROQUIS_DATOS!$C$1568-0.000001)),1,MOD($A38-1,2)),1-IF(INT(($A38-1)/2)+1&gt;MAX(1,INT(((((CROQUIS_DATOS!$C$1507+CROQUIS_DATOS!$C$1508))-(CROQUIS_DATOS!$C$1507))+((CROQUIS_DATOS!$C$1476)*CROQUIS_DATOS!$C$1561-(0)*CROQUIS_DATOS!$C$1561))/CROQUIS_DATOS!$C$1568-0.000001)),1,MOD($A38-1,2)))=1,MIN((CROQUIS_DATOS!$C$1476)*CROQUIS_DATOS!$C$1561,((CROQUIS_DATOS!$C$1507+CROQUIS_DATOS!$C$1508)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38">
        <f>IF(AND(CROQUIS_DATOS!$C$1472=1,CROQUIS_DATOS!$C$1508&gt;0,((CROQUIS_DATOS!$C$1507+CROQUIS_DATOS!$C$1508))-(CROQUIS_DATOS!$C$1507)&gt;0.5,(CROQUIS_DATOS!$C$1476)-(0)&gt;0.5),(CROQUIS_DATOS!$C$1567+(IF(IF(MOD(MIN(INT(($A38-1)/2)+1,MAX(1,INT(((((CROQUIS_DATOS!$C$1507+CROQUIS_DATOS!$C$1508))-(CROQUIS_DATOS!$C$1507))+((CROQUIS_DATOS!$C$1476)*CROQUIS_DATOS!$C$1561-(0)*CROQUIS_DATOS!$C$1561))/CROQUIS_DATOS!$C$1568-0.000001))),2)=1,IF(INT(($A38-1)/2)+1&gt;MAX(1,INT(((((CROQUIS_DATOS!$C$1507+CROQUIS_DATOS!$C$1508))-(CROQUIS_DATOS!$C$1507))+((CROQUIS_DATOS!$C$1476)*CROQUIS_DATOS!$C$1561-(0)*CROQUIS_DATOS!$C$1561))/CROQUIS_DATOS!$C$1568-0.000001)),1,MOD($A38-1,2)),1-IF(INT(($A38-1)/2)+1&gt;MAX(1,INT(((((CROQUIS_DATOS!$C$1507+CROQUIS_DATOS!$C$1508))-(CROQUIS_DATOS!$C$1507))+((CROQUIS_DATOS!$C$1476)*CROQUIS_DATOS!$C$1561-(0)*CROQUIS_DATOS!$C$1561))/CROQUIS_DATOS!$C$1568-0.000001)),1,MOD($A38-1,2)))=1,MIN((CROQUIS_DATOS!$C$1476)*CROQUIS_DATOS!$C$1561,((CROQUIS_DATOS!$C$1507+CROQUIS_DATOS!$C$1508)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38-1)/2)+1,MAX(1,INT(((((CROQUIS_DATOS!$C$1507+CROQUIS_DATOS!$C$1508))-(CROQUIS_DATOS!$C$1507))+((CROQUIS_DATOS!$C$1476)*CROQUIS_DATOS!$C$1561-(0)*CROQUIS_DATOS!$C$1561))/CROQUIS_DATOS!$C$1568-0.000001)))*CROQUIS_DATOS!$C$1568))))*CROQUIS_DATOS!$C$1565),-1000)</f>
        <v>26.0896551724138</v>
      </c>
      <c r="CF38">
        <f>IF(AND(CROQUIS_DATOS!$C$1472=1,CROQUIS_DATOS!$C$1512&gt;0,((CROQUIS_DATOS!$C$1511+CROQUIS_DATOS!$C$1512))-(CROQUIS_DATOS!$C$1511)&gt;0.5,(CROQUIS_DATOS!$C$1476)-(0)&gt;0.5),(CROQUIS_DATOS!$C$1566+(IF(IF(MOD(MIN(INT(($A38-1)/2)+1,MAX(1,INT(((((CROQUIS_DATOS!$C$1511+CROQUIS_DATOS!$C$1512))-(CROQUIS_DATOS!$C$1511))+((CROQUIS_DATOS!$C$1476)*CROQUIS_DATOS!$C$1561-(0)*CROQUIS_DATOS!$C$1561))/CROQUIS_DATOS!$C$1568-0.000001))),2)=1,IF(INT(($A38-1)/2)+1&gt;MAX(1,INT(((((CROQUIS_DATOS!$C$1511+CROQUIS_DATOS!$C$1512))-(CROQUIS_DATOS!$C$1511))+((CROQUIS_DATOS!$C$1476)*CROQUIS_DATOS!$C$1561-(0)*CROQUIS_DATOS!$C$1561))/CROQUIS_DATOS!$C$1568-0.000001)),1,MOD($A38-1,2)),1-IF(INT(($A38-1)/2)+1&gt;MAX(1,INT(((((CROQUIS_DATOS!$C$1511+CROQUIS_DATOS!$C$1512))-(CROQUIS_DATOS!$C$1511))+((CROQUIS_DATOS!$C$1476)*CROQUIS_DATOS!$C$1561-(0)*CROQUIS_DATOS!$C$1561))/CROQUIS_DATOS!$C$1568-0.000001)),1,MOD($A38-1,2)))=1,MIN((CROQUIS_DATOS!$C$1476)*CROQUIS_DATOS!$C$1561,((CROQUIS_DATOS!$C$1511+CROQUIS_DATOS!$C$1512)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8">
        <f>IF(AND(CROQUIS_DATOS!$C$1472=1,CROQUIS_DATOS!$C$1512&gt;0,((CROQUIS_DATOS!$C$1511+CROQUIS_DATOS!$C$1512))-(CROQUIS_DATOS!$C$1511)&gt;0.5,(CROQUIS_DATOS!$C$1476)-(0)&gt;0.5),(CROQUIS_DATOS!$C$1567+(IF(IF(MOD(MIN(INT(($A38-1)/2)+1,MAX(1,INT(((((CROQUIS_DATOS!$C$1511+CROQUIS_DATOS!$C$1512))-(CROQUIS_DATOS!$C$1511))+((CROQUIS_DATOS!$C$1476)*CROQUIS_DATOS!$C$1561-(0)*CROQUIS_DATOS!$C$1561))/CROQUIS_DATOS!$C$1568-0.000001))),2)=1,IF(INT(($A38-1)/2)+1&gt;MAX(1,INT(((((CROQUIS_DATOS!$C$1511+CROQUIS_DATOS!$C$1512))-(CROQUIS_DATOS!$C$1511))+((CROQUIS_DATOS!$C$1476)*CROQUIS_DATOS!$C$1561-(0)*CROQUIS_DATOS!$C$1561))/CROQUIS_DATOS!$C$1568-0.000001)),1,MOD($A38-1,2)),1-IF(INT(($A38-1)/2)+1&gt;MAX(1,INT(((((CROQUIS_DATOS!$C$1511+CROQUIS_DATOS!$C$1512))-(CROQUIS_DATOS!$C$1511))+((CROQUIS_DATOS!$C$1476)*CROQUIS_DATOS!$C$1561-(0)*CROQUIS_DATOS!$C$1561))/CROQUIS_DATOS!$C$1568-0.000001)),1,MOD($A38-1,2)))=1,MIN((CROQUIS_DATOS!$C$1476)*CROQUIS_DATOS!$C$1561,((CROQUIS_DATOS!$C$1511+CROQUIS_DATOS!$C$1512)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8">
        <f>IF(AND(CROQUIS_DATOS!$C$1472=1,CROQUIS_DATOS!$C$1516&gt;0,((CROQUIS_DATOS!$C$1515+CROQUIS_DATOS!$C$1516))-(CROQUIS_DATOS!$C$1515)&gt;0.5,(CROQUIS_DATOS!$C$1476)-(0)&gt;0.5),(CROQUIS_DATOS!$C$1566+(IF(IF(MOD(MIN(INT(($A38-1)/2)+1,MAX(1,INT(((((CROQUIS_DATOS!$C$1515+CROQUIS_DATOS!$C$1516))-(CROQUIS_DATOS!$C$1515))+((CROQUIS_DATOS!$C$1476)*CROQUIS_DATOS!$C$1561-(0)*CROQUIS_DATOS!$C$1561))/CROQUIS_DATOS!$C$1568-0.000001))),2)=1,IF(INT(($A38-1)/2)+1&gt;MAX(1,INT(((((CROQUIS_DATOS!$C$1515+CROQUIS_DATOS!$C$1516))-(CROQUIS_DATOS!$C$1515))+((CROQUIS_DATOS!$C$1476)*CROQUIS_DATOS!$C$1561-(0)*CROQUIS_DATOS!$C$1561))/CROQUIS_DATOS!$C$1568-0.000001)),1,MOD($A38-1,2)),1-IF(INT(($A38-1)/2)+1&gt;MAX(1,INT(((((CROQUIS_DATOS!$C$1515+CROQUIS_DATOS!$C$1516))-(CROQUIS_DATOS!$C$1515))+((CROQUIS_DATOS!$C$1476)*CROQUIS_DATOS!$C$1561-(0)*CROQUIS_DATOS!$C$1561))/CROQUIS_DATOS!$C$1568-0.000001)),1,MOD($A38-1,2)))=1,MIN((CROQUIS_DATOS!$C$1476)*CROQUIS_DATOS!$C$1561,((CROQUIS_DATOS!$C$1515+CROQUIS_DATOS!$C$1516)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8">
        <f>IF(AND(CROQUIS_DATOS!$C$1472=1,CROQUIS_DATOS!$C$1516&gt;0,((CROQUIS_DATOS!$C$1515+CROQUIS_DATOS!$C$1516))-(CROQUIS_DATOS!$C$1515)&gt;0.5,(CROQUIS_DATOS!$C$1476)-(0)&gt;0.5),(CROQUIS_DATOS!$C$1567+(IF(IF(MOD(MIN(INT(($A38-1)/2)+1,MAX(1,INT(((((CROQUIS_DATOS!$C$1515+CROQUIS_DATOS!$C$1516))-(CROQUIS_DATOS!$C$1515))+((CROQUIS_DATOS!$C$1476)*CROQUIS_DATOS!$C$1561-(0)*CROQUIS_DATOS!$C$1561))/CROQUIS_DATOS!$C$1568-0.000001))),2)=1,IF(INT(($A38-1)/2)+1&gt;MAX(1,INT(((((CROQUIS_DATOS!$C$1515+CROQUIS_DATOS!$C$1516))-(CROQUIS_DATOS!$C$1515))+((CROQUIS_DATOS!$C$1476)*CROQUIS_DATOS!$C$1561-(0)*CROQUIS_DATOS!$C$1561))/CROQUIS_DATOS!$C$1568-0.000001)),1,MOD($A38-1,2)),1-IF(INT(($A38-1)/2)+1&gt;MAX(1,INT(((((CROQUIS_DATOS!$C$1515+CROQUIS_DATOS!$C$1516))-(CROQUIS_DATOS!$C$1515))+((CROQUIS_DATOS!$C$1476)*CROQUIS_DATOS!$C$1561-(0)*CROQUIS_DATOS!$C$1561))/CROQUIS_DATOS!$C$1568-0.000001)),1,MOD($A38-1,2)))=1,MIN((CROQUIS_DATOS!$C$1476)*CROQUIS_DATOS!$C$1561,((CROQUIS_DATOS!$C$1515+CROQUIS_DATOS!$C$1516)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8">
        <f>IF(AND(CROQUIS_DATOS!$C$1472=1,CROQUIS_DATOS!$C$1478&gt;=1,((CROQUIS_DATOS!$C$1479+CROQUIS_DATOS!$C$1480))-(CROQUIS_DATOS!$C$1479)&gt;0.5,(CROQUIS_DATOS!$C$1481)-(0)&gt;0.5),(CROQUIS_DATOS!$C$1566+(IF(IF(MOD(MIN(INT(($A38-1)/2)+1,MAX(1,INT(((((CROQUIS_DATOS!$C$1479+CROQUIS_DATOS!$C$1480))-(CROQUIS_DATOS!$C$1479))+((CROQUIS_DATOS!$C$1481)*CROQUIS_DATOS!$C$1561-(0)*CROQUIS_DATOS!$C$1561))/CROQUIS_DATOS!$C$1568-0.000001))),2)=1,IF(INT(($A38-1)/2)+1&gt;MAX(1,INT(((((CROQUIS_DATOS!$C$1479+CROQUIS_DATOS!$C$1480))-(CROQUIS_DATOS!$C$1479))+((CROQUIS_DATOS!$C$1481)*CROQUIS_DATOS!$C$1561-(0)*CROQUIS_DATOS!$C$1561))/CROQUIS_DATOS!$C$1568-0.000001)),1,MOD($A38-1,2)),1-IF(INT(($A38-1)/2)+1&gt;MAX(1,INT(((((CROQUIS_DATOS!$C$1479+CROQUIS_DATOS!$C$1480))-(CROQUIS_DATOS!$C$1479))+((CROQUIS_DATOS!$C$1481)*CROQUIS_DATOS!$C$1561-(0)*CROQUIS_DATOS!$C$1561))/CROQUIS_DATOS!$C$1568-0.000001)),1,MOD($A38-1,2)))=1,MIN((CROQUIS_DATOS!$C$1481)*CROQUIS_DATOS!$C$1561,((CROQUIS_DATOS!$C$1479+CROQUIS_DATOS!$C$1480)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8">
        <f>IF(AND(CROQUIS_DATOS!$C$1472=1,CROQUIS_DATOS!$C$1478&gt;=1,((CROQUIS_DATOS!$C$1479+CROQUIS_DATOS!$C$1480))-(CROQUIS_DATOS!$C$1479)&gt;0.5,(CROQUIS_DATOS!$C$1481)-(0)&gt;0.5),(CROQUIS_DATOS!$C$1567+(IF(IF(MOD(MIN(INT(($A38-1)/2)+1,MAX(1,INT(((((CROQUIS_DATOS!$C$1479+CROQUIS_DATOS!$C$1480))-(CROQUIS_DATOS!$C$1479))+((CROQUIS_DATOS!$C$1481)*CROQUIS_DATOS!$C$1561-(0)*CROQUIS_DATOS!$C$1561))/CROQUIS_DATOS!$C$1568-0.000001))),2)=1,IF(INT(($A38-1)/2)+1&gt;MAX(1,INT(((((CROQUIS_DATOS!$C$1479+CROQUIS_DATOS!$C$1480))-(CROQUIS_DATOS!$C$1479))+((CROQUIS_DATOS!$C$1481)*CROQUIS_DATOS!$C$1561-(0)*CROQUIS_DATOS!$C$1561))/CROQUIS_DATOS!$C$1568-0.000001)),1,MOD($A38-1,2)),1-IF(INT(($A38-1)/2)+1&gt;MAX(1,INT(((((CROQUIS_DATOS!$C$1479+CROQUIS_DATOS!$C$1480))-(CROQUIS_DATOS!$C$1479))+((CROQUIS_DATOS!$C$1481)*CROQUIS_DATOS!$C$1561-(0)*CROQUIS_DATOS!$C$1561))/CROQUIS_DATOS!$C$1568-0.000001)),1,MOD($A38-1,2)))=1,MIN((CROQUIS_DATOS!$C$1481)*CROQUIS_DATOS!$C$1561,((CROQUIS_DATOS!$C$1479+CROQUIS_DATOS!$C$1480)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8">
        <f>IF(AND(CROQUIS_DATOS!$C$1472=1,CROQUIS_DATOS!$C$1478&gt;=1,((CROQUIS_DATOS!$C$1479+CROQUIS_DATOS!$C$1480))-(CROQUIS_DATOS!$C$1479)&gt;0.5,(CROQUIS_DATOS!$C$1476)-((CROQUIS_DATOS!$C$1481+CROQUIS_DATOS!$C$1482))&gt;0.5),(CROQUIS_DATOS!$C$1566+(IF(IF(MOD(MIN(INT(($A38-1)/2)+1,MAX(1,INT(((((CROQUIS_DATOS!$C$1479+CROQUIS_DATOS!$C$1480))-(CROQUIS_DATOS!$C$1479))+((CROQUIS_DATOS!$C$1476)*CROQUIS_DATOS!$C$1561-((CROQUIS_DATOS!$C$1481+CROQUIS_DATOS!$C$1482))*CROQUIS_DATOS!$C$1561))/CROQUIS_DATOS!$C$1568-0.000001))),2)=1,IF(INT(($A38-1)/2)+1&gt;MAX(1,INT(((((CROQUIS_DATOS!$C$1479+CROQUIS_DATOS!$C$1480))-(CROQUIS_DATOS!$C$1479))+((CROQUIS_DATOS!$C$1476)*CROQUIS_DATOS!$C$1561-((CROQUIS_DATOS!$C$1481+CROQUIS_DATOS!$C$1482))*CROQUIS_DATOS!$C$1561))/CROQUIS_DATOS!$C$1568-0.000001)),1,MOD($A38-1,2)),1-IF(INT(($A38-1)/2)+1&gt;MAX(1,INT(((((CROQUIS_DATOS!$C$1479+CROQUIS_DATOS!$C$1480))-(CROQUIS_DATOS!$C$1479))+((CROQUIS_DATOS!$C$1476)*CROQUIS_DATOS!$C$1561-((CROQUIS_DATOS!$C$1481+CROQUIS_DATOS!$C$1482))*CROQUIS_DATOS!$C$1561))/CROQUIS_DATOS!$C$1568-0.000001)),1,MOD($A38-1,2)))=1,MIN((CROQUIS_DATOS!$C$1476)*CROQUIS_DATOS!$C$1561,((CROQUIS_DATOS!$C$1479+CROQUIS_DATOS!$C$1480)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8">
        <f>IF(AND(CROQUIS_DATOS!$C$1472=1,CROQUIS_DATOS!$C$1478&gt;=1,((CROQUIS_DATOS!$C$1479+CROQUIS_DATOS!$C$1480))-(CROQUIS_DATOS!$C$1479)&gt;0.5,(CROQUIS_DATOS!$C$1476)-((CROQUIS_DATOS!$C$1481+CROQUIS_DATOS!$C$1482))&gt;0.5),(CROQUIS_DATOS!$C$1567+(IF(IF(MOD(MIN(INT(($A38-1)/2)+1,MAX(1,INT(((((CROQUIS_DATOS!$C$1479+CROQUIS_DATOS!$C$1480))-(CROQUIS_DATOS!$C$1479))+((CROQUIS_DATOS!$C$1476)*CROQUIS_DATOS!$C$1561-((CROQUIS_DATOS!$C$1481+CROQUIS_DATOS!$C$1482))*CROQUIS_DATOS!$C$1561))/CROQUIS_DATOS!$C$1568-0.000001))),2)=1,IF(INT(($A38-1)/2)+1&gt;MAX(1,INT(((((CROQUIS_DATOS!$C$1479+CROQUIS_DATOS!$C$1480))-(CROQUIS_DATOS!$C$1479))+((CROQUIS_DATOS!$C$1476)*CROQUIS_DATOS!$C$1561-((CROQUIS_DATOS!$C$1481+CROQUIS_DATOS!$C$1482))*CROQUIS_DATOS!$C$1561))/CROQUIS_DATOS!$C$1568-0.000001)),1,MOD($A38-1,2)),1-IF(INT(($A38-1)/2)+1&gt;MAX(1,INT(((((CROQUIS_DATOS!$C$1479+CROQUIS_DATOS!$C$1480))-(CROQUIS_DATOS!$C$1479))+((CROQUIS_DATOS!$C$1476)*CROQUIS_DATOS!$C$1561-((CROQUIS_DATOS!$C$1481+CROQUIS_DATOS!$C$1482))*CROQUIS_DATOS!$C$1561))/CROQUIS_DATOS!$C$1568-0.000001)),1,MOD($A38-1,2)))=1,MIN((CROQUIS_DATOS!$C$1476)*CROQUIS_DATOS!$C$1561,((CROQUIS_DATOS!$C$1479+CROQUIS_DATOS!$C$1480)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8">
        <f>IF(AND(CROQUIS_DATOS!$C$1472=1,CROQUIS_DATOS!$C$1478&gt;=2,((CROQUIS_DATOS!$C$1484+CROQUIS_DATOS!$C$1485))-(CROQUIS_DATOS!$C$1484)&gt;0.5,(CROQUIS_DATOS!$C$1486)-(0)&gt;0.5),(CROQUIS_DATOS!$C$1566+(IF(IF(MOD(MIN(INT(($A38-1)/2)+1,MAX(1,INT(((((CROQUIS_DATOS!$C$1484+CROQUIS_DATOS!$C$1485))-(CROQUIS_DATOS!$C$1484))+((CROQUIS_DATOS!$C$1486)*CROQUIS_DATOS!$C$1561-(0)*CROQUIS_DATOS!$C$1561))/CROQUIS_DATOS!$C$1568-0.000001))),2)=1,IF(INT(($A38-1)/2)+1&gt;MAX(1,INT(((((CROQUIS_DATOS!$C$1484+CROQUIS_DATOS!$C$1485))-(CROQUIS_DATOS!$C$1484))+((CROQUIS_DATOS!$C$1486)*CROQUIS_DATOS!$C$1561-(0)*CROQUIS_DATOS!$C$1561))/CROQUIS_DATOS!$C$1568-0.000001)),1,MOD($A38-1,2)),1-IF(INT(($A38-1)/2)+1&gt;MAX(1,INT(((((CROQUIS_DATOS!$C$1484+CROQUIS_DATOS!$C$1485))-(CROQUIS_DATOS!$C$1484))+((CROQUIS_DATOS!$C$1486)*CROQUIS_DATOS!$C$1561-(0)*CROQUIS_DATOS!$C$1561))/CROQUIS_DATOS!$C$1568-0.000001)),1,MOD($A38-1,2)))=1,MIN((CROQUIS_DATOS!$C$1486)*CROQUIS_DATOS!$C$1561,((CROQUIS_DATOS!$C$1484+CROQUIS_DATOS!$C$1485)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*CROQUIS_DATOS!$C$1565),-1000)</f>
        <v>64.8965517241379</v>
      </c>
      <c r="CS38">
        <f>IF(AND(CROQUIS_DATOS!$C$1472=1,CROQUIS_DATOS!$C$1478&gt;=2,((CROQUIS_DATOS!$C$1484+CROQUIS_DATOS!$C$1485))-(CROQUIS_DATOS!$C$1484)&gt;0.5,(CROQUIS_DATOS!$C$1486)-(0)&gt;0.5),(CROQUIS_DATOS!$C$1567+(IF(IF(MOD(MIN(INT(($A38-1)/2)+1,MAX(1,INT(((((CROQUIS_DATOS!$C$1484+CROQUIS_DATOS!$C$1485))-(CROQUIS_DATOS!$C$1484))+((CROQUIS_DATOS!$C$1486)*CROQUIS_DATOS!$C$1561-(0)*CROQUIS_DATOS!$C$1561))/CROQUIS_DATOS!$C$1568-0.000001))),2)=1,IF(INT(($A38-1)/2)+1&gt;MAX(1,INT(((((CROQUIS_DATOS!$C$1484+CROQUIS_DATOS!$C$1485))-(CROQUIS_DATOS!$C$1484))+((CROQUIS_DATOS!$C$1486)*CROQUIS_DATOS!$C$1561-(0)*CROQUIS_DATOS!$C$1561))/CROQUIS_DATOS!$C$1568-0.000001)),1,MOD($A38-1,2)),1-IF(INT(($A38-1)/2)+1&gt;MAX(1,INT(((((CROQUIS_DATOS!$C$1484+CROQUIS_DATOS!$C$1485))-(CROQUIS_DATOS!$C$1484))+((CROQUIS_DATOS!$C$1486)*CROQUIS_DATOS!$C$1561-(0)*CROQUIS_DATOS!$C$1561))/CROQUIS_DATOS!$C$1568-0.000001)),1,MOD($A38-1,2)))=1,MIN((CROQUIS_DATOS!$C$1486)*CROQUIS_DATOS!$C$1561,((CROQUIS_DATOS!$C$1484+CROQUIS_DATOS!$C$1485)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38-1)/2)+1,MAX(1,INT(((((CROQUIS_DATOS!$C$1484+CROQUIS_DATOS!$C$1485))-(CROQUIS_DATOS!$C$1484))+((CROQUIS_DATOS!$C$1486)*CROQUIS_DATOS!$C$1561-(0)*CROQUIS_DATOS!$C$1561))/CROQUIS_DATOS!$C$1568-0.000001)))*CROQUIS_DATOS!$C$1568))))*CROQUIS_DATOS!$C$1565),-1000)</f>
        <v>12.1931034482759</v>
      </c>
      <c r="CT38">
        <f>IF(AND(CROQUIS_DATOS!$C$1472=1,CROQUIS_DATOS!$C$1478&gt;=2,((CROQUIS_DATOS!$C$1484+CROQUIS_DATOS!$C$1485))-(CROQUIS_DATOS!$C$1484)&gt;0.5,(CROQUIS_DATOS!$C$1476)-((CROQUIS_DATOS!$C$1486+CROQUIS_DATOS!$C$1487))&gt;0.5),(CROQUIS_DATOS!$C$1566+(IF(IF(MOD(MIN(INT(($A38-1)/2)+1,MAX(1,INT(((((CROQUIS_DATOS!$C$1484+CROQUIS_DATOS!$C$1485))-(CROQUIS_DATOS!$C$1484))+((CROQUIS_DATOS!$C$1476)*CROQUIS_DATOS!$C$1561-((CROQUIS_DATOS!$C$1486+CROQUIS_DATOS!$C$1487))*CROQUIS_DATOS!$C$1561))/CROQUIS_DATOS!$C$1568-0.000001))),2)=1,IF(INT(($A38-1)/2)+1&gt;MAX(1,INT(((((CROQUIS_DATOS!$C$1484+CROQUIS_DATOS!$C$1485))-(CROQUIS_DATOS!$C$1484))+((CROQUIS_DATOS!$C$1476)*CROQUIS_DATOS!$C$1561-((CROQUIS_DATOS!$C$1486+CROQUIS_DATOS!$C$1487))*CROQUIS_DATOS!$C$1561))/CROQUIS_DATOS!$C$1568-0.000001)),1,MOD($A38-1,2)),1-IF(INT(($A38-1)/2)+1&gt;MAX(1,INT(((((CROQUIS_DATOS!$C$1484+CROQUIS_DATOS!$C$1485))-(CROQUIS_DATOS!$C$1484))+((CROQUIS_DATOS!$C$1476)*CROQUIS_DATOS!$C$1561-((CROQUIS_DATOS!$C$1486+CROQUIS_DATOS!$C$1487))*CROQUIS_DATOS!$C$1561))/CROQUIS_DATOS!$C$1568-0.000001)),1,MOD($A38-1,2)))=1,MIN((CROQUIS_DATOS!$C$1476)*CROQUIS_DATOS!$C$1561,((CROQUIS_DATOS!$C$1484+CROQUIS_DATOS!$C$1485)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8">
        <f>IF(AND(CROQUIS_DATOS!$C$1472=1,CROQUIS_DATOS!$C$1478&gt;=2,((CROQUIS_DATOS!$C$1484+CROQUIS_DATOS!$C$1485))-(CROQUIS_DATOS!$C$1484)&gt;0.5,(CROQUIS_DATOS!$C$1476)-((CROQUIS_DATOS!$C$1486+CROQUIS_DATOS!$C$1487))&gt;0.5),(CROQUIS_DATOS!$C$1567+(IF(IF(MOD(MIN(INT(($A38-1)/2)+1,MAX(1,INT(((((CROQUIS_DATOS!$C$1484+CROQUIS_DATOS!$C$1485))-(CROQUIS_DATOS!$C$1484))+((CROQUIS_DATOS!$C$1476)*CROQUIS_DATOS!$C$1561-((CROQUIS_DATOS!$C$1486+CROQUIS_DATOS!$C$1487))*CROQUIS_DATOS!$C$1561))/CROQUIS_DATOS!$C$1568-0.000001))),2)=1,IF(INT(($A38-1)/2)+1&gt;MAX(1,INT(((((CROQUIS_DATOS!$C$1484+CROQUIS_DATOS!$C$1485))-(CROQUIS_DATOS!$C$1484))+((CROQUIS_DATOS!$C$1476)*CROQUIS_DATOS!$C$1561-((CROQUIS_DATOS!$C$1486+CROQUIS_DATOS!$C$1487))*CROQUIS_DATOS!$C$1561))/CROQUIS_DATOS!$C$1568-0.000001)),1,MOD($A38-1,2)),1-IF(INT(($A38-1)/2)+1&gt;MAX(1,INT(((((CROQUIS_DATOS!$C$1484+CROQUIS_DATOS!$C$1485))-(CROQUIS_DATOS!$C$1484))+((CROQUIS_DATOS!$C$1476)*CROQUIS_DATOS!$C$1561-((CROQUIS_DATOS!$C$1486+CROQUIS_DATOS!$C$1487))*CROQUIS_DATOS!$C$1561))/CROQUIS_DATOS!$C$1568-0.000001)),1,MOD($A38-1,2)))=1,MIN((CROQUIS_DATOS!$C$1476)*CROQUIS_DATOS!$C$1561,((CROQUIS_DATOS!$C$1484+CROQUIS_DATOS!$C$1485)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8">
        <f>IF(AND(CROQUIS_DATOS!$C$1472=1,CROQUIS_DATOS!$C$1478&gt;=3,((CROQUIS_DATOS!$C$1489+CROQUIS_DATOS!$C$1490))-(CROQUIS_DATOS!$C$1489)&gt;0.5,(CROQUIS_DATOS!$C$1491)-(0)&gt;0.5),(CROQUIS_DATOS!$C$1566+(IF(IF(MOD(MIN(INT(($A38-1)/2)+1,MAX(1,INT(((((CROQUIS_DATOS!$C$1489+CROQUIS_DATOS!$C$1490))-(CROQUIS_DATOS!$C$1489))+((CROQUIS_DATOS!$C$1491)*CROQUIS_DATOS!$C$1561-(0)*CROQUIS_DATOS!$C$1561))/CROQUIS_DATOS!$C$1568-0.000001))),2)=1,IF(INT(($A38-1)/2)+1&gt;MAX(1,INT(((((CROQUIS_DATOS!$C$1489+CROQUIS_DATOS!$C$1490))-(CROQUIS_DATOS!$C$1489))+((CROQUIS_DATOS!$C$1491)*CROQUIS_DATOS!$C$1561-(0)*CROQUIS_DATOS!$C$1561))/CROQUIS_DATOS!$C$1568-0.000001)),1,MOD($A38-1,2)),1-IF(INT(($A38-1)/2)+1&gt;MAX(1,INT(((((CROQUIS_DATOS!$C$1489+CROQUIS_DATOS!$C$1490))-(CROQUIS_DATOS!$C$1489))+((CROQUIS_DATOS!$C$1491)*CROQUIS_DATOS!$C$1561-(0)*CROQUIS_DATOS!$C$1561))/CROQUIS_DATOS!$C$1568-0.000001)),1,MOD($A38-1,2)))=1,MIN((CROQUIS_DATOS!$C$1491)*CROQUIS_DATOS!$C$1561,((CROQUIS_DATOS!$C$1489+CROQUIS_DATOS!$C$1490)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8">
        <f>IF(AND(CROQUIS_DATOS!$C$1472=1,CROQUIS_DATOS!$C$1478&gt;=3,((CROQUIS_DATOS!$C$1489+CROQUIS_DATOS!$C$1490))-(CROQUIS_DATOS!$C$1489)&gt;0.5,(CROQUIS_DATOS!$C$1491)-(0)&gt;0.5),(CROQUIS_DATOS!$C$1567+(IF(IF(MOD(MIN(INT(($A38-1)/2)+1,MAX(1,INT(((((CROQUIS_DATOS!$C$1489+CROQUIS_DATOS!$C$1490))-(CROQUIS_DATOS!$C$1489))+((CROQUIS_DATOS!$C$1491)*CROQUIS_DATOS!$C$1561-(0)*CROQUIS_DATOS!$C$1561))/CROQUIS_DATOS!$C$1568-0.000001))),2)=1,IF(INT(($A38-1)/2)+1&gt;MAX(1,INT(((((CROQUIS_DATOS!$C$1489+CROQUIS_DATOS!$C$1490))-(CROQUIS_DATOS!$C$1489))+((CROQUIS_DATOS!$C$1491)*CROQUIS_DATOS!$C$1561-(0)*CROQUIS_DATOS!$C$1561))/CROQUIS_DATOS!$C$1568-0.000001)),1,MOD($A38-1,2)),1-IF(INT(($A38-1)/2)+1&gt;MAX(1,INT(((((CROQUIS_DATOS!$C$1489+CROQUIS_DATOS!$C$1490))-(CROQUIS_DATOS!$C$1489))+((CROQUIS_DATOS!$C$1491)*CROQUIS_DATOS!$C$1561-(0)*CROQUIS_DATOS!$C$1561))/CROQUIS_DATOS!$C$1568-0.000001)),1,MOD($A38-1,2)))=1,MIN((CROQUIS_DATOS!$C$1491)*CROQUIS_DATOS!$C$1561,((CROQUIS_DATOS!$C$1489+CROQUIS_DATOS!$C$1490)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8">
        <f>IF(AND(CROQUIS_DATOS!$C$1472=1,CROQUIS_DATOS!$C$1478&gt;=3,((CROQUIS_DATOS!$C$1489+CROQUIS_DATOS!$C$1490))-(CROQUIS_DATOS!$C$1489)&gt;0.5,(CROQUIS_DATOS!$C$1476)-((CROQUIS_DATOS!$C$1491+CROQUIS_DATOS!$C$1492))&gt;0.5),(CROQUIS_DATOS!$C$1566+(IF(IF(MOD(MIN(INT(($A38-1)/2)+1,MAX(1,INT(((((CROQUIS_DATOS!$C$1489+CROQUIS_DATOS!$C$1490))-(CROQUIS_DATOS!$C$1489))+((CROQUIS_DATOS!$C$1476)*CROQUIS_DATOS!$C$1561-((CROQUIS_DATOS!$C$1491+CROQUIS_DATOS!$C$1492))*CROQUIS_DATOS!$C$1561))/CROQUIS_DATOS!$C$1568-0.000001))),2)=1,IF(INT(($A38-1)/2)+1&gt;MAX(1,INT(((((CROQUIS_DATOS!$C$1489+CROQUIS_DATOS!$C$1490))-(CROQUIS_DATOS!$C$1489))+((CROQUIS_DATOS!$C$1476)*CROQUIS_DATOS!$C$1561-((CROQUIS_DATOS!$C$1491+CROQUIS_DATOS!$C$1492))*CROQUIS_DATOS!$C$1561))/CROQUIS_DATOS!$C$1568-0.000001)),1,MOD($A38-1,2)),1-IF(INT(($A38-1)/2)+1&gt;MAX(1,INT(((((CROQUIS_DATOS!$C$1489+CROQUIS_DATOS!$C$1490))-(CROQUIS_DATOS!$C$1489))+((CROQUIS_DATOS!$C$1476)*CROQUIS_DATOS!$C$1561-((CROQUIS_DATOS!$C$1491+CROQUIS_DATOS!$C$1492))*CROQUIS_DATOS!$C$1561))/CROQUIS_DATOS!$C$1568-0.000001)),1,MOD($A38-1,2)))=1,MIN((CROQUIS_DATOS!$C$1476)*CROQUIS_DATOS!$C$1561,((CROQUIS_DATOS!$C$1489+CROQUIS_DATOS!$C$1490)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8">
        <f>IF(AND(CROQUIS_DATOS!$C$1472=1,CROQUIS_DATOS!$C$1478&gt;=3,((CROQUIS_DATOS!$C$1489+CROQUIS_DATOS!$C$1490))-(CROQUIS_DATOS!$C$1489)&gt;0.5,(CROQUIS_DATOS!$C$1476)-((CROQUIS_DATOS!$C$1491+CROQUIS_DATOS!$C$1492))&gt;0.5),(CROQUIS_DATOS!$C$1567+(IF(IF(MOD(MIN(INT(($A38-1)/2)+1,MAX(1,INT(((((CROQUIS_DATOS!$C$1489+CROQUIS_DATOS!$C$1490))-(CROQUIS_DATOS!$C$1489))+((CROQUIS_DATOS!$C$1476)*CROQUIS_DATOS!$C$1561-((CROQUIS_DATOS!$C$1491+CROQUIS_DATOS!$C$1492))*CROQUIS_DATOS!$C$1561))/CROQUIS_DATOS!$C$1568-0.000001))),2)=1,IF(INT(($A38-1)/2)+1&gt;MAX(1,INT(((((CROQUIS_DATOS!$C$1489+CROQUIS_DATOS!$C$1490))-(CROQUIS_DATOS!$C$1489))+((CROQUIS_DATOS!$C$1476)*CROQUIS_DATOS!$C$1561-((CROQUIS_DATOS!$C$1491+CROQUIS_DATOS!$C$1492))*CROQUIS_DATOS!$C$1561))/CROQUIS_DATOS!$C$1568-0.000001)),1,MOD($A38-1,2)),1-IF(INT(($A38-1)/2)+1&gt;MAX(1,INT(((((CROQUIS_DATOS!$C$1489+CROQUIS_DATOS!$C$1490))-(CROQUIS_DATOS!$C$1489))+((CROQUIS_DATOS!$C$1476)*CROQUIS_DATOS!$C$1561-((CROQUIS_DATOS!$C$1491+CROQUIS_DATOS!$C$1492))*CROQUIS_DATOS!$C$1561))/CROQUIS_DATOS!$C$1568-0.000001)),1,MOD($A38-1,2)))=1,MIN((CROQUIS_DATOS!$C$1476)*CROQUIS_DATOS!$C$1561,((CROQUIS_DATOS!$C$1489+CROQUIS_DATOS!$C$1490)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8">
        <f>IF(AND(CROQUIS_DATOS!$C$1472=1,CROQUIS_DATOS!$C$1478&gt;=4,((CROQUIS_DATOS!$C$1494+CROQUIS_DATOS!$C$1495))-(CROQUIS_DATOS!$C$1494)&gt;0.5,(CROQUIS_DATOS!$C$1496)-(0)&gt;0.5),(CROQUIS_DATOS!$C$1566+(IF(IF(MOD(MIN(INT(($A38-1)/2)+1,MAX(1,INT(((((CROQUIS_DATOS!$C$1494+CROQUIS_DATOS!$C$1495))-(CROQUIS_DATOS!$C$1494))+((CROQUIS_DATOS!$C$1496)*CROQUIS_DATOS!$C$1561-(0)*CROQUIS_DATOS!$C$1561))/CROQUIS_DATOS!$C$1568-0.000001))),2)=1,IF(INT(($A38-1)/2)+1&gt;MAX(1,INT(((((CROQUIS_DATOS!$C$1494+CROQUIS_DATOS!$C$1495))-(CROQUIS_DATOS!$C$1494))+((CROQUIS_DATOS!$C$1496)*CROQUIS_DATOS!$C$1561-(0)*CROQUIS_DATOS!$C$1561))/CROQUIS_DATOS!$C$1568-0.000001)),1,MOD($A38-1,2)),1-IF(INT(($A38-1)/2)+1&gt;MAX(1,INT(((((CROQUIS_DATOS!$C$1494+CROQUIS_DATOS!$C$1495))-(CROQUIS_DATOS!$C$1494))+((CROQUIS_DATOS!$C$1496)*CROQUIS_DATOS!$C$1561-(0)*CROQUIS_DATOS!$C$1561))/CROQUIS_DATOS!$C$1568-0.000001)),1,MOD($A38-1,2)))=1,MIN((CROQUIS_DATOS!$C$1496)*CROQUIS_DATOS!$C$1561,((CROQUIS_DATOS!$C$1494+CROQUIS_DATOS!$C$1495)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8">
        <f>IF(AND(CROQUIS_DATOS!$C$1472=1,CROQUIS_DATOS!$C$1478&gt;=4,((CROQUIS_DATOS!$C$1494+CROQUIS_DATOS!$C$1495))-(CROQUIS_DATOS!$C$1494)&gt;0.5,(CROQUIS_DATOS!$C$1496)-(0)&gt;0.5),(CROQUIS_DATOS!$C$1567+(IF(IF(MOD(MIN(INT(($A38-1)/2)+1,MAX(1,INT(((((CROQUIS_DATOS!$C$1494+CROQUIS_DATOS!$C$1495))-(CROQUIS_DATOS!$C$1494))+((CROQUIS_DATOS!$C$1496)*CROQUIS_DATOS!$C$1561-(0)*CROQUIS_DATOS!$C$1561))/CROQUIS_DATOS!$C$1568-0.000001))),2)=1,IF(INT(($A38-1)/2)+1&gt;MAX(1,INT(((((CROQUIS_DATOS!$C$1494+CROQUIS_DATOS!$C$1495))-(CROQUIS_DATOS!$C$1494))+((CROQUIS_DATOS!$C$1496)*CROQUIS_DATOS!$C$1561-(0)*CROQUIS_DATOS!$C$1561))/CROQUIS_DATOS!$C$1568-0.000001)),1,MOD($A38-1,2)),1-IF(INT(($A38-1)/2)+1&gt;MAX(1,INT(((((CROQUIS_DATOS!$C$1494+CROQUIS_DATOS!$C$1495))-(CROQUIS_DATOS!$C$1494))+((CROQUIS_DATOS!$C$1496)*CROQUIS_DATOS!$C$1561-(0)*CROQUIS_DATOS!$C$1561))/CROQUIS_DATOS!$C$1568-0.000001)),1,MOD($A38-1,2)))=1,MIN((CROQUIS_DATOS!$C$1496)*CROQUIS_DATOS!$C$1561,((CROQUIS_DATOS!$C$1494+CROQUIS_DATOS!$C$1495)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8">
        <f>IF(AND(CROQUIS_DATOS!$C$1472=1,CROQUIS_DATOS!$C$1478&gt;=4,((CROQUIS_DATOS!$C$1494+CROQUIS_DATOS!$C$1495))-(CROQUIS_DATOS!$C$1494)&gt;0.5,(CROQUIS_DATOS!$C$1476)-((CROQUIS_DATOS!$C$1496+CROQUIS_DATOS!$C$1497))&gt;0.5),(CROQUIS_DATOS!$C$1566+(IF(IF(MOD(MIN(INT(($A38-1)/2)+1,MAX(1,INT(((((CROQUIS_DATOS!$C$1494+CROQUIS_DATOS!$C$1495))-(CROQUIS_DATOS!$C$1494))+((CROQUIS_DATOS!$C$1476)*CROQUIS_DATOS!$C$1561-((CROQUIS_DATOS!$C$1496+CROQUIS_DATOS!$C$1497))*CROQUIS_DATOS!$C$1561))/CROQUIS_DATOS!$C$1568-0.000001))),2)=1,IF(INT(($A38-1)/2)+1&gt;MAX(1,INT(((((CROQUIS_DATOS!$C$1494+CROQUIS_DATOS!$C$1495))-(CROQUIS_DATOS!$C$1494))+((CROQUIS_DATOS!$C$1476)*CROQUIS_DATOS!$C$1561-((CROQUIS_DATOS!$C$1496+CROQUIS_DATOS!$C$1497))*CROQUIS_DATOS!$C$1561))/CROQUIS_DATOS!$C$1568-0.000001)),1,MOD($A38-1,2)),1-IF(INT(($A38-1)/2)+1&gt;MAX(1,INT(((((CROQUIS_DATOS!$C$1494+CROQUIS_DATOS!$C$1495))-(CROQUIS_DATOS!$C$1494))+((CROQUIS_DATOS!$C$1476)*CROQUIS_DATOS!$C$1561-((CROQUIS_DATOS!$C$1496+CROQUIS_DATOS!$C$1497))*CROQUIS_DATOS!$C$1561))/CROQUIS_DATOS!$C$1568-0.000001)),1,MOD($A38-1,2)))=1,MIN((CROQUIS_DATOS!$C$1476)*CROQUIS_DATOS!$C$1561,((CROQUIS_DATOS!$C$1494+CROQUIS_DATOS!$C$1495)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8">
        <f>IF(AND(CROQUIS_DATOS!$C$1472=1,CROQUIS_DATOS!$C$1478&gt;=4,((CROQUIS_DATOS!$C$1494+CROQUIS_DATOS!$C$1495))-(CROQUIS_DATOS!$C$1494)&gt;0.5,(CROQUIS_DATOS!$C$1476)-((CROQUIS_DATOS!$C$1496+CROQUIS_DATOS!$C$1497))&gt;0.5),(CROQUIS_DATOS!$C$1567+(IF(IF(MOD(MIN(INT(($A38-1)/2)+1,MAX(1,INT(((((CROQUIS_DATOS!$C$1494+CROQUIS_DATOS!$C$1495))-(CROQUIS_DATOS!$C$1494))+((CROQUIS_DATOS!$C$1476)*CROQUIS_DATOS!$C$1561-((CROQUIS_DATOS!$C$1496+CROQUIS_DATOS!$C$1497))*CROQUIS_DATOS!$C$1561))/CROQUIS_DATOS!$C$1568-0.000001))),2)=1,IF(INT(($A38-1)/2)+1&gt;MAX(1,INT(((((CROQUIS_DATOS!$C$1494+CROQUIS_DATOS!$C$1495))-(CROQUIS_DATOS!$C$1494))+((CROQUIS_DATOS!$C$1476)*CROQUIS_DATOS!$C$1561-((CROQUIS_DATOS!$C$1496+CROQUIS_DATOS!$C$1497))*CROQUIS_DATOS!$C$1561))/CROQUIS_DATOS!$C$1568-0.000001)),1,MOD($A38-1,2)),1-IF(INT(($A38-1)/2)+1&gt;MAX(1,INT(((((CROQUIS_DATOS!$C$1494+CROQUIS_DATOS!$C$1495))-(CROQUIS_DATOS!$C$1494))+((CROQUIS_DATOS!$C$1476)*CROQUIS_DATOS!$C$1561-((CROQUIS_DATOS!$C$1496+CROQUIS_DATOS!$C$1497))*CROQUIS_DATOS!$C$1561))/CROQUIS_DATOS!$C$1568-0.000001)),1,MOD($A38-1,2)))=1,MIN((CROQUIS_DATOS!$C$1476)*CROQUIS_DATOS!$C$1561,((CROQUIS_DATOS!$C$1494+CROQUIS_DATOS!$C$1495)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8">
        <f>IF(AND(CROQUIS_DATOS!$C$1472=1,1),(CROQUIS_DATOS!$C$1571+(CHOOSE(MIN(MAX(IF(INT(($A38-1)/5)+1&gt;CROQUIS_DATOS!$C$1525,5,MOD($A38-1,5)+1),1),5),(INDEX($E$8:$E$23,MIN(INT(($A38-1)/5)+1,CROQUIS_DATOS!$C$1525))-INDEX($F$8:$F$23,MIN(INT(($A38-1)/5)+1,CROQUIS_DATOS!$C$1525))/2),(INDEX($E$8:$E$23,MIN(INT(($A38-1)/5)+1,CROQUIS_DATOS!$C$1525))+INDEX($F$8:$F$23,MIN(INT(($A38-1)/5)+1,CROQUIS_DATOS!$C$1525))/2),(INDEX($E$8:$E$23,MIN(INT(($A38-1)/5)+1,CROQUIS_DATOS!$C$1525))+INDEX($F$8:$F$23,MIN(INT(($A38-1)/5)+1,CROQUIS_DATOS!$C$1525))/2),(INDEX($E$8:$E$23,MIN(INT(($A38-1)/5)+1,CROQUIS_DATOS!$C$1525))-INDEX($F$8:$F$23,MIN(INT(($A38-1)/5)+1,CROQUIS_DATOS!$C$1525))/2),(INDEX($E$8:$E$23,MIN(INT(($A38-1)/5)+1,CROQUIS_DATOS!$C$1525))-INDEX($F$8:$F$23,MIN(INT(($A38-1)/5)+1,CROQUIS_DATOS!$C$1525))/2)))*CROQUIS_DATOS!$C$1569),-1000)</f>
        <v>95.24</v>
      </c>
      <c r="GE38">
        <f>IF(AND(CROQUIS_DATOS!$C$1472=1,1),(CROQUIS_DATOS!$C$1572+(CHOOSE(MIN(MAX(IF(INT(($A38-1)/5)+1&gt;CROQUIS_DATOS!$C$1525,5,MOD($A38-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8">
        <f>IF(AND(CROQUIS_DATOS!$C$1472=1,1),IF(INT(($A38-1)/4)+1&lt;=CROQUIS_DATOS!$C$1525,(CROQUIS_DATOS!$C$1571+((INDEX($E$8:$E$23,MIN(INT(($A38-1)/4)+1,16))+IF(OR(MOD($A38-1,4)=0,MOD($A38-1,4)=3),-1,1)*(INDEX($F$8:$F$23,MIN(INT(($A38-1)/4)+1,16))/2-(CROQUIS_DATOS!$C$1530+CROQUIS_DATOS!$C$1532+IF(OR(INT(($A38-1)/4)+1=1,INT(($A38-1)/4)+1=CROQUIS_DATOS!$C$1525),CROQUIS_DATOS!$C$1534,CROQUIS_DATOS!$C$1531)/2))))*CROQUIS_DATOS!$C$1569),-1000),-1000)</f>
        <v>-1000</v>
      </c>
      <c r="GG38">
        <f>IF(AND(CROQUIS_DATOS!$C$1472=1,1),IF(INT(($A38-1)/4)+1&lt;=CROQUIS_DATOS!$C$1525,(CROQUIS_DATOS!$C$1572+((CROQUIS_DATOS!$C$1477/2+IF(MOD($A38-1,4)&lt;2,-1,1)*(CROQUIS_DATOS!$C$1527/2-(CROQUIS_DATOS!$C$1530+CROQUIS_DATOS!$C$1532+IF(OR(INT(($A38-1)/4)+1=1,INT(($A38-1)/4)+1=CROQUIS_DATOS!$C$1525),CROQUIS_DATOS!$C$1534,CROQUIS_DATOS!$C$1531)/2))))*CROQUIS_DATOS!$C$1569*CROQUIS_DATOS!$C$1570),-1000),-1000)</f>
        <v>-1000</v>
      </c>
    </row>
    <row r="39">
      <c r="A39" t="n">
        <v>32</v>
      </c>
      <c r="H39">
        <f>IF(32&lt;=CROQUIS_DATOS!$C$1539,32*CROQUIS_DATOS!$C$1536,IF(32&lt;=CROQUIS_DATOS!$C$1539+CROQUIS_DATOS!$C$1540,CROQUIS_DATOS!$C$1539*CROQUIS_DATOS!$C$1536+(32-CROQUIS_DATOS!$C$1539)*(CROQUIS_DATOS!$C$1476-2*CROQUIS_DATOS!$C$1539*CROQUIS_DATOS!$C$1536)/(CROQUIS_DATOS!$C$1540+1),CROQUIS_DATOS!$C$1476-(2*CROQUIS_DATOS!$C$1539+CROQUIS_DATOS!$C$1540+1-32)*CROQUIS_DATOS!$C$1536))</f>
        <v>347.5</v>
      </c>
      <c r="J39">
        <f>IF(AND(CROQUIS_DATOS!$C$1472=1,1),(CROQUIS_DATOS!$C$1563+(CHOOSE(MIN(MAX(IF(INT(($A39-1)/4)+1&gt;CROQUIS_DATOS!$C$1525,4,MOD($A39-1,4)+1),1),4),(INDEX($E$8:$E$23,MIN(INT(($A39-1)/4)+1,CROQUIS_DATOS!$C$1525))-INDEX($F$8:$F$23,MIN(INT(($A39-1)/4)+1,CROQUIS_DATOS!$C$1525))/2),(INDEX($E$8:$E$23,MIN(INT(($A39-1)/4)+1,CROQUIS_DATOS!$C$1525))-INDEX($F$8:$F$23,MIN(INT(($A39-1)/4)+1,CROQUIS_DATOS!$C$1525))/2),(INDEX($E$8:$E$23,MIN(INT(($A39-1)/4)+1,CROQUIS_DATOS!$C$1525))+INDEX($F$8:$F$23,MIN(INT(($A39-1)/4)+1,CROQUIS_DATOS!$C$1525))/2),(INDEX($E$8:$E$23,MIN(INT(($A39-1)/4)+1,CROQUIS_DATOS!$C$1525))+INDEX($F$8:$F$23,MIN(INT(($A39-1)/4)+1,CROQUIS_DATOS!$C$1525))/2)))*CROQUIS_DATOS!$C$1562),-1000)</f>
        <v>84.9137931034483</v>
      </c>
      <c r="K39">
        <f>IF(AND(CROQUIS_DATOS!$C$1472=1,1),(CROQUIS_DATOS!$C$1564+(CHOOSE(MIN(MAX(IF(INT(($A39-1)/4)+1&gt;CROQUIS_DATOS!$C$1525,4,MOD($A39-1,4)+1),1),4),0,CROQUIS_DATOS!$C$1476,CROQUIS_DATOS!$C$1476,0))*CROQUIS_DATOS!$C$1561*CROQUIS_DATOS!$C$1562),-1000)</f>
        <v>5.29310344827586</v>
      </c>
      <c r="L39">
        <f>IF(AND(CROQUIS_DATOS!$C$1472=1,1),(CROQUIS_DATOS!$C$1563+(CHOOSE(MIN(MAX(IF(INT(($A39-1)/4)+1&gt;CROQUIS_DATOS!$C$1525,4,MOD($A39-1,4)+1),1),4),((INDEX($E$8:$E$23,MIN(INT(($A39-1)/4)+1,CROQUIS_DATOS!$C$1525))-INDEX($F$8:$F$23,MIN(INT(($A39-1)/4)+1,CROQUIS_DATOS!$C$1525))/2)+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,((INDEX($E$8:$E$23,MIN(INT(($A39-1)/4)+1,CROQUIS_DATOS!$C$1525))-INDEX($F$8:$F$23,MIN(INT(($A39-1)/4)+1,CROQUIS_DATOS!$C$1525))/2)+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,((INDEX($E$8:$E$23,MIN(INT(($A39-1)/4)+1,CROQUIS_DATOS!$C$1525))+INDEX($F$8:$F$23,MIN(INT(($A39-1)/4)+1,CROQUIS_DATOS!$C$1525))/2)-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,((INDEX($E$8:$E$23,MIN(INT(($A39-1)/4)+1,CROQUIS_DATOS!$C$1525))+INDEX($F$8:$F$23,MIN(INT(($A39-1)/4)+1,CROQUIS_DATOS!$C$1525))/2)-MIN((CROQUIS_DATOS!$C$1530+CROQUIS_DATOS!$C$1532+IF(OR(MIN(INT(($A39-1)/4)+1,CROQUIS_DATOS!$C$1525)=1,MIN(INT(($A39-1)/4)+1,CROQUIS_DATOS!$C$1525)=CROQUIS_DATOS!$C$1525),CROQUIS_DATOS!$C$1534,CROQUIS_DATOS!$C$1531)/2),INDEX($F$8:$F$23,MIN(INT(($A39-1)/4)+1,CROQUIS_DATOS!$C$1525))/2-0.5))))*CROQUIS_DATOS!$C$1562),-1000)</f>
        <v>84.4792560344828</v>
      </c>
      <c r="M39">
        <f>IF(AND(CROQUIS_DATOS!$C$1472=1,1),(CROQUIS_DATOS!$C$1564+(CHOOSE(MIN(MAX(IF(INT(($A39-1)/4)+1&gt;CROQUIS_DATOS!$C$1525,4,MOD($A39-1,4)+1),1),4),CROQUIS_DATOS!$C$1543,INDEX($I$8:$I$23,MIN(INT(($A39-1)/4)+1,CROQUIS_DATOS!$C$1525)),INDEX($I$8:$I$23,MIN(INT(($A39-1)/4)+1,CROQUIS_DATOS!$C$1525)),CROQUIS_DATOS!$C$1543))*CROQUIS_DATOS!$C$1561*CROQUIS_DATOS!$C$1562),-1000)</f>
        <v>42.5654629310345</v>
      </c>
      <c r="N39">
        <f>IF(AND(CROQUIS_DATOS!$C$1472=1,1),(CROQUIS_DATOS!$C$1563+(IF(IF(IF(INT(($A39-1)/70)+1&gt;CROQUIS_DATOS!$C$1525,70,MOD($A39-1,70)+1)=1,0,IF(IF(INT(($A39-1)/70)+1&gt;CROQUIS_DATOS!$C$1525,70,MOD($A39-1,70)+1)&gt;2*CROQUIS_DATOS!$C$1541+1,IF(MOD(CROQUIS_DATOS!$C$1541,2)=1,1,0),IF(MOD(MIN(INT((IF(INT(($A39-1)/70)+1&gt;CROQUIS_DATOS!$C$1525,70,MOD($A39-1,70)+1)-2)/2)+1,CROQUIS_DATOS!$C$1541),2)=1,IF(MOD(IF(INT(($A39-1)/70)+1&gt;CROQUIS_DATOS!$C$1525,70,MOD($A39-1,70)+1)-2,2)=0,0,1),IF(MOD(IF(INT(($A39-1)/70)+1&gt;CROQUIS_DATOS!$C$1525,70,MOD($A39-1,70)+1)-2,2)=0,1,0))))=0,(INDEX($E$8:$E$23,MIN(INT(($A39-1)/70)+1,CROQUIS_DATOS!$C$1525))-INDEX($F$8:$F$23,MIN(INT(($A39-1)/70)+1,CROQUIS_DATOS!$C$1525))/2),(INDEX($E$8:$E$23,MIN(INT(($A39-1)/70)+1,CROQUIS_DATOS!$C$1525))+INDEX($F$8:$F$23,MIN(INT(($A39-1)/70)+1,CROQUIS_DATOS!$C$1525))/2)))*CROQUIS_DATOS!$C$1562),-1000)</f>
        <v>17.1810344827586</v>
      </c>
      <c r="O39">
        <f>IF(AND(CROQUIS_DATOS!$C$1472=1,1),(CROQUIS_DATOS!$C$1564+(IF(OR(IF(INT(($A39-1)/70)+1&gt;CROQUIS_DATOS!$C$1525,70,MOD($A39-1,70)+1)=1,IF(INT(($A39-1)/70)+1&gt;CROQUIS_DATOS!$C$1525,70,MOD($A39-1,70)+1)&gt;2*CROQUIS_DATOS!$C$1541+1),CROQUIS_DATOS!$C$1476,INDEX($H$8:$H$41,MIN(INT((IF(INT(($A39-1)/70)+1&gt;CROQUIS_DATOS!$C$1525,70,MOD($A39-1,70)+1)-2)/2)+1,CROQUIS_DATOS!$C$1541))))*CROQUIS_DATOS!$C$1561*CROQUIS_DATOS!$C$1562),-1000)</f>
        <v>37.0646551724138</v>
      </c>
      <c r="P39">
        <f>IF(AND(CROQUIS_DATOS!$C$1472=1,CROQUIS_DATOS!$C$1555=1),(CROQUIS_DATOS!$C$1563+(IF(IF(OR(MOD($A39-1,62)+1=1,IF(CHOOSE(MIN(MAX(MIN(INT(($A39-1)/62)+1,5),1),5),CROQUIS_DATOS!$C$1501,CROQUIS_DATOS!$C$1505,CROQUIS_DATOS!$C$1509,CROQUIS_DATOS!$C$1513,CROQUIS_DATOS!$C$1517)=1,CROQUIS_DATOS!$C$1557,0)=0),0,IF(MOD($A39-1,62)+1&gt;2*IF(CHOOSE(MIN(MAX(MIN(INT(($A39-1)/62)+1,5),1),5),CROQUIS_DATOS!$C$1501,CROQUIS_DATOS!$C$1505,CROQUIS_DATOS!$C$1509,CROQUIS_DATOS!$C$1513,CROQUIS_DATOS!$C$1517)=1,CROQUIS_DATOS!$C$1557,0)+1,IF(MOD(IF(CHOOSE(MIN(MAX(MIN(INT(($A39-1)/62)+1,5),1),5),CROQUIS_DATOS!$C$1501,CROQUIS_DATOS!$C$1505,CROQUIS_DATOS!$C$1509,CROQUIS_DATOS!$C$1513,CROQUIS_DATOS!$C$1517)=1,CROQUIS_DATOS!$C$1557,0),2)=1,1,0),IF(MOD(MIN(INT((MOD($A39-1,62)+1-2)/2)+1,MAX(IF(CHOOSE(MIN(MAX(MIN(INT(($A39-1)/62)+1,5),1),5),CROQUIS_DATOS!$C$1501,CROQUIS_DATOS!$C$1505,CROQUIS_DATOS!$C$1509,CROQUIS_DATOS!$C$1513,CROQUIS_DATOS!$C$1517)=1,CROQUIS_DATOS!$C$1557,0),1)),2)=1,IF(MOD(MOD($A39-1,62)+1-2,2)=0,0,1),IF(MOD(MOD($A39-1,62)+1-2,2)=0,1,0))))=0,(CHOOSE(MIN(MAX(MIN(INT(($A39-1)/62)+1,5),1),5),CROQUIS_DATOS!$C$1499,CROQUIS_DATOS!$C$1503,CROQUIS_DATOS!$C$1507,CROQUIS_DATOS!$C$1511,CROQUIS_DATOS!$C$1515)+IF(CHOOSE(MIN(MAX(MIN(INT(($A39-1)/62)+1,5),1),5),CROQUIS_DATOS!$C$1501,CROQUIS_DATOS!$C$1505,CROQUIS_DATOS!$C$1509,CROQUIS_DATOS!$C$1513,CROQUIS_DATOS!$C$1517)=1,CROQUIS_DATOS!$C$1526,0)),(CHOOSE(MIN(MAX(MIN(INT(($A39-1)/62)+1,5),1),5),CROQUIS_DATOS!$C$1499,CROQUIS_DATOS!$C$1503,CROQUIS_DATOS!$C$1507,CROQUIS_DATOS!$C$1511,CROQUIS_DATOS!$C$1515)+CHOOSE(MIN(MAX(MIN(INT(($A39-1)/62)+1,5),1),5),CROQUIS_DATOS!$C$1500,CROQUIS_DATOS!$C$1504,CROQUIS_DATOS!$C$1508,CROQUIS_DATOS!$C$1512,CROQUIS_DATOS!$C$1516)-IF(CHOOSE(MIN(MAX(MIN(INT(($A39-1)/62)+1,5),1),5),CROQUIS_DATOS!$C$1501,CROQUIS_DATOS!$C$1505,CROQUIS_DATOS!$C$1509,CROQUIS_DATOS!$C$1513,CROQUIS_DATOS!$C$1517)=1,CROQUIS_DATOS!$C$1526,0))))*CROQUIS_DATOS!$C$1562),-1000)</f>
        <v>-1000</v>
      </c>
      <c r="Q39">
        <f>IF(AND(CROQUIS_DATOS!$C$1472=1,CROQUIS_DATOS!$C$1555=1),(CROQUIS_DATOS!$C$1564+(IF(OR(OR(MOD($A39-1,62)+1=1,IF(CHOOSE(MIN(MAX(MIN(INT(($A39-1)/62)+1,5),1),5),CROQUIS_DATOS!$C$1501,CROQUIS_DATOS!$C$1505,CROQUIS_DATOS!$C$1509,CROQUIS_DATOS!$C$1513,CROQUIS_DATOS!$C$1517)=1,CROQUIS_DATOS!$C$1557,0)=0),MOD($A39-1,62)+1&gt;2*IF(CHOOSE(MIN(MAX(MIN(INT(($A39-1)/62)+1,5),1),5),CROQUIS_DATOS!$C$1501,CROQUIS_DATOS!$C$1505,CROQUIS_DATOS!$C$1509,CROQUIS_DATOS!$C$1513,CROQUIS_DATOS!$C$1517)=1,CROQUIS_DATOS!$C$1557,0)+1),CROQUIS_DATOS!$C$1476,MIN(INT((MOD($A39-1,62)+1-2)/2)+1,MAX(IF(CHOOSE(MIN(MAX(MIN(INT(($A39-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39">
        <f>IF(AND(CROQUIS_DATOS!$C$1472=1,1),(CROQUIS_DATOS!$C$1563+(MIN(INT(($A39-1)/2)+1,CROQUIS_DATOS!$C$1558)*CROQUIS_DATOS!$C$1559)*CROQUIS_DATOS!$C$1562),-1000)</f>
        <v>58.0570291777188</v>
      </c>
      <c r="U39">
        <f>IF(AND(CROQUIS_DATOS!$C$1472=1,1),(CROQUIS_DATOS!$C$1564+(IF(INT(($A39-1)/2)+1&gt;CROQUIS_DATOS!$C$1558,IF(MOD(CROQUIS_DATOS!$C$1558,2)=1,CROQUIS_DATOS!$C$1476+CROQUIS_DATOS!$C$1528,CROQUIS_DATOS!$C$1476),IF(IF(MOD(MIN(INT(($A39-1)/2)+1,CROQUIS_DATOS!$C$1558),2)=1,MOD($A39-1,2),1-MOD($A39-1,2))=1,CROQUIS_DATOS!$C$1476+CROQUIS_DATOS!$C$1528,CROQUIS_DATOS!$C$1476)))*CROQUIS_DATOS!$C$1561*CROQUIS_DATOS!$C$1562),-1000)</f>
        <v>40.2068965517241</v>
      </c>
      <c r="BZ39">
        <f>IF(AND(CROQUIS_DATOS!$C$1472=1,CROQUIS_DATOS!$C$1500&gt;0,((CROQUIS_DATOS!$C$1499+CROQUIS_DATOS!$C$1500))-(CROQUIS_DATOS!$C$1499)&gt;0.5,(CROQUIS_DATOS!$C$1476)-(0)&gt;0.5),(CROQUIS_DATOS!$C$1566+(IF(IF(MOD(MIN(INT(($A39-1)/2)+1,MAX(1,INT(((((CROQUIS_DATOS!$C$1499+CROQUIS_DATOS!$C$1500))-(CROQUIS_DATOS!$C$1499))+((CROQUIS_DATOS!$C$1476)*CROQUIS_DATOS!$C$1561-(0)*CROQUIS_DATOS!$C$1561))/CROQUIS_DATOS!$C$1568-0.000001))),2)=1,IF(INT(($A39-1)/2)+1&gt;MAX(1,INT(((((CROQUIS_DATOS!$C$1499+CROQUIS_DATOS!$C$1500))-(CROQUIS_DATOS!$C$1499))+((CROQUIS_DATOS!$C$1476)*CROQUIS_DATOS!$C$1561-(0)*CROQUIS_DATOS!$C$1561))/CROQUIS_DATOS!$C$1568-0.000001)),1,MOD($A39-1,2)),1-IF(INT(($A39-1)/2)+1&gt;MAX(1,INT(((((CROQUIS_DATOS!$C$1499+CROQUIS_DATOS!$C$1500))-(CROQUIS_DATOS!$C$1499))+((CROQUIS_DATOS!$C$1476)*CROQUIS_DATOS!$C$1561-(0)*CROQUIS_DATOS!$C$1561))/CROQUIS_DATOS!$C$1568-0.000001)),1,MOD($A39-1,2)))=1,MIN((CROQUIS_DATOS!$C$1476)*CROQUIS_DATOS!$C$1561,((CROQUIS_DATOS!$C$1499+CROQUIS_DATOS!$C$1500)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*CROQUIS_DATOS!$C$1565),-1000)</f>
        <v>24.2758620689655</v>
      </c>
      <c r="CA39">
        <f>IF(AND(CROQUIS_DATOS!$C$1472=1,CROQUIS_DATOS!$C$1500&gt;0,((CROQUIS_DATOS!$C$1499+CROQUIS_DATOS!$C$1500))-(CROQUIS_DATOS!$C$1499)&gt;0.5,(CROQUIS_DATOS!$C$1476)-(0)&gt;0.5),(CROQUIS_DATOS!$C$1567+(IF(IF(MOD(MIN(INT(($A39-1)/2)+1,MAX(1,INT(((((CROQUIS_DATOS!$C$1499+CROQUIS_DATOS!$C$1500))-(CROQUIS_DATOS!$C$1499))+((CROQUIS_DATOS!$C$1476)*CROQUIS_DATOS!$C$1561-(0)*CROQUIS_DATOS!$C$1561))/CROQUIS_DATOS!$C$1568-0.000001))),2)=1,IF(INT(($A39-1)/2)+1&gt;MAX(1,INT(((((CROQUIS_DATOS!$C$1499+CROQUIS_DATOS!$C$1500))-(CROQUIS_DATOS!$C$1499))+((CROQUIS_DATOS!$C$1476)*CROQUIS_DATOS!$C$1561-(0)*CROQUIS_DATOS!$C$1561))/CROQUIS_DATOS!$C$1568-0.000001)),1,MOD($A39-1,2)),1-IF(INT(($A39-1)/2)+1&gt;MAX(1,INT(((((CROQUIS_DATOS!$C$1499+CROQUIS_DATOS!$C$1500))-(CROQUIS_DATOS!$C$1499))+((CROQUIS_DATOS!$C$1476)*CROQUIS_DATOS!$C$1561-(0)*CROQUIS_DATOS!$C$1561))/CROQUIS_DATOS!$C$1568-0.000001)),1,MOD($A39-1,2)))=1,MIN((CROQUIS_DATOS!$C$1476)*CROQUIS_DATOS!$C$1561,((CROQUIS_DATOS!$C$1499+CROQUIS_DATOS!$C$1500)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39-1)/2)+1,MAX(1,INT(((((CROQUIS_DATOS!$C$1499+CROQUIS_DATOS!$C$1500))-(CROQUIS_DATOS!$C$1499))+((CROQUIS_DATOS!$C$1476)*CROQUIS_DATOS!$C$1561-(0)*CROQUIS_DATOS!$C$1561))/CROQUIS_DATOS!$C$1568-0.000001)))*CROQUIS_DATOS!$C$1568))))*CROQUIS_DATOS!$C$1565),-1000)</f>
        <v>13.2620689655172</v>
      </c>
      <c r="CB39">
        <f>IF(AND(CROQUIS_DATOS!$C$1472=1,CROQUIS_DATOS!$C$1504&gt;0,((CROQUIS_DATOS!$C$1503+CROQUIS_DATOS!$C$1504))-(CROQUIS_DATOS!$C$1503)&gt;0.5,(CROQUIS_DATOS!$C$1476)-(0)&gt;0.5),(CROQUIS_DATOS!$C$1566+(IF(IF(MOD(MIN(INT(($A39-1)/2)+1,MAX(1,INT(((((CROQUIS_DATOS!$C$1503+CROQUIS_DATOS!$C$1504))-(CROQUIS_DATOS!$C$1503))+((CROQUIS_DATOS!$C$1476)*CROQUIS_DATOS!$C$1561-(0)*CROQUIS_DATOS!$C$1561))/CROQUIS_DATOS!$C$1568-0.000001))),2)=1,IF(INT(($A39-1)/2)+1&gt;MAX(1,INT(((((CROQUIS_DATOS!$C$1503+CROQUIS_DATOS!$C$1504))-(CROQUIS_DATOS!$C$1503))+((CROQUIS_DATOS!$C$1476)*CROQUIS_DATOS!$C$1561-(0)*CROQUIS_DATOS!$C$1561))/CROQUIS_DATOS!$C$1568-0.000001)),1,MOD($A39-1,2)),1-IF(INT(($A39-1)/2)+1&gt;MAX(1,INT(((((CROQUIS_DATOS!$C$1503+CROQUIS_DATOS!$C$1504))-(CROQUIS_DATOS!$C$1503))+((CROQUIS_DATOS!$C$1476)*CROQUIS_DATOS!$C$1561-(0)*CROQUIS_DATOS!$C$1561))/CROQUIS_DATOS!$C$1568-0.000001)),1,MOD($A39-1,2)))=1,MIN((CROQUIS_DATOS!$C$1476)*CROQUIS_DATOS!$C$1561,((CROQUIS_DATOS!$C$1503+CROQUIS_DATOS!$C$1504)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*CROQUIS_DATOS!$C$1565),-1000)</f>
        <v>38.1724137931034</v>
      </c>
      <c r="CC39">
        <f>IF(AND(CROQUIS_DATOS!$C$1472=1,CROQUIS_DATOS!$C$1504&gt;0,((CROQUIS_DATOS!$C$1503+CROQUIS_DATOS!$C$1504))-(CROQUIS_DATOS!$C$1503)&gt;0.5,(CROQUIS_DATOS!$C$1476)-(0)&gt;0.5),(CROQUIS_DATOS!$C$1567+(IF(IF(MOD(MIN(INT(($A39-1)/2)+1,MAX(1,INT(((((CROQUIS_DATOS!$C$1503+CROQUIS_DATOS!$C$1504))-(CROQUIS_DATOS!$C$1503))+((CROQUIS_DATOS!$C$1476)*CROQUIS_DATOS!$C$1561-(0)*CROQUIS_DATOS!$C$1561))/CROQUIS_DATOS!$C$1568-0.000001))),2)=1,IF(INT(($A39-1)/2)+1&gt;MAX(1,INT(((((CROQUIS_DATOS!$C$1503+CROQUIS_DATOS!$C$1504))-(CROQUIS_DATOS!$C$1503))+((CROQUIS_DATOS!$C$1476)*CROQUIS_DATOS!$C$1561-(0)*CROQUIS_DATOS!$C$1561))/CROQUIS_DATOS!$C$1568-0.000001)),1,MOD($A39-1,2)),1-IF(INT(($A39-1)/2)+1&gt;MAX(1,INT(((((CROQUIS_DATOS!$C$1503+CROQUIS_DATOS!$C$1504))-(CROQUIS_DATOS!$C$1503))+((CROQUIS_DATOS!$C$1476)*CROQUIS_DATOS!$C$1561-(0)*CROQUIS_DATOS!$C$1561))/CROQUIS_DATOS!$C$1568-0.000001)),1,MOD($A39-1,2)))=1,MIN((CROQUIS_DATOS!$C$1476)*CROQUIS_DATOS!$C$1561,((CROQUIS_DATOS!$C$1503+CROQUIS_DATOS!$C$1504)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39-1)/2)+1,MAX(1,INT(((((CROQUIS_DATOS!$C$1503+CROQUIS_DATOS!$C$1504))-(CROQUIS_DATOS!$C$1503))+((CROQUIS_DATOS!$C$1476)*CROQUIS_DATOS!$C$1561-(0)*CROQUIS_DATOS!$C$1561))/CROQUIS_DATOS!$C$1568-0.000001)))*CROQUIS_DATOS!$C$1568))))*CROQUIS_DATOS!$C$1565),-1000)</f>
        <v>13.2620689655172</v>
      </c>
      <c r="CD39">
        <f>IF(AND(CROQUIS_DATOS!$C$1472=1,CROQUIS_DATOS!$C$1508&gt;0,((CROQUIS_DATOS!$C$1507+CROQUIS_DATOS!$C$1508))-(CROQUIS_DATOS!$C$1507)&gt;0.5,(CROQUIS_DATOS!$C$1476)-(0)&gt;0.5),(CROQUIS_DATOS!$C$1566+(IF(IF(MOD(MIN(INT(($A39-1)/2)+1,MAX(1,INT(((((CROQUIS_DATOS!$C$1507+CROQUIS_DATOS!$C$1508))-(CROQUIS_DATOS!$C$1507))+((CROQUIS_DATOS!$C$1476)*CROQUIS_DATOS!$C$1561-(0)*CROQUIS_DATOS!$C$1561))/CROQUIS_DATOS!$C$1568-0.000001))),2)=1,IF(INT(($A39-1)/2)+1&gt;MAX(1,INT(((((CROQUIS_DATOS!$C$1507+CROQUIS_DATOS!$C$1508))-(CROQUIS_DATOS!$C$1507))+((CROQUIS_DATOS!$C$1476)*CROQUIS_DATOS!$C$1561-(0)*CROQUIS_DATOS!$C$1561))/CROQUIS_DATOS!$C$1568-0.000001)),1,MOD($A39-1,2)),1-IF(INT(($A39-1)/2)+1&gt;MAX(1,INT(((((CROQUIS_DATOS!$C$1507+CROQUIS_DATOS!$C$1508))-(CROQUIS_DATOS!$C$1507))+((CROQUIS_DATOS!$C$1476)*CROQUIS_DATOS!$C$1561-(0)*CROQUIS_DATOS!$C$1561))/CROQUIS_DATOS!$C$1568-0.000001)),1,MOD($A39-1,2)))=1,MIN((CROQUIS_DATOS!$C$1476)*CROQUIS_DATOS!$C$1561,((CROQUIS_DATOS!$C$1507+CROQUIS_DATOS!$C$1508)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*CROQUIS_DATOS!$C$1565),-1000)</f>
        <v>64.8965517241379</v>
      </c>
      <c r="CE39">
        <f>IF(AND(CROQUIS_DATOS!$C$1472=1,CROQUIS_DATOS!$C$1508&gt;0,((CROQUIS_DATOS!$C$1507+CROQUIS_DATOS!$C$1508))-(CROQUIS_DATOS!$C$1507)&gt;0.5,(CROQUIS_DATOS!$C$1476)-(0)&gt;0.5),(CROQUIS_DATOS!$C$1567+(IF(IF(MOD(MIN(INT(($A39-1)/2)+1,MAX(1,INT(((((CROQUIS_DATOS!$C$1507+CROQUIS_DATOS!$C$1508))-(CROQUIS_DATOS!$C$1507))+((CROQUIS_DATOS!$C$1476)*CROQUIS_DATOS!$C$1561-(0)*CROQUIS_DATOS!$C$1561))/CROQUIS_DATOS!$C$1568-0.000001))),2)=1,IF(INT(($A39-1)/2)+1&gt;MAX(1,INT(((((CROQUIS_DATOS!$C$1507+CROQUIS_DATOS!$C$1508))-(CROQUIS_DATOS!$C$1507))+((CROQUIS_DATOS!$C$1476)*CROQUIS_DATOS!$C$1561-(0)*CROQUIS_DATOS!$C$1561))/CROQUIS_DATOS!$C$1568-0.000001)),1,MOD($A39-1,2)),1-IF(INT(($A39-1)/2)+1&gt;MAX(1,INT(((((CROQUIS_DATOS!$C$1507+CROQUIS_DATOS!$C$1508))-(CROQUIS_DATOS!$C$1507))+((CROQUIS_DATOS!$C$1476)*CROQUIS_DATOS!$C$1561-(0)*CROQUIS_DATOS!$C$1561))/CROQUIS_DATOS!$C$1568-0.000001)),1,MOD($A39-1,2)))=1,MIN((CROQUIS_DATOS!$C$1476)*CROQUIS_DATOS!$C$1561,((CROQUIS_DATOS!$C$1507+CROQUIS_DATOS!$C$1508)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39-1)/2)+1,MAX(1,INT(((((CROQUIS_DATOS!$C$1507+CROQUIS_DATOS!$C$1508))-(CROQUIS_DATOS!$C$1507))+((CROQUIS_DATOS!$C$1476)*CROQUIS_DATOS!$C$1561-(0)*CROQUIS_DATOS!$C$1561))/CROQUIS_DATOS!$C$1568-0.000001)))*CROQUIS_DATOS!$C$1568))))*CROQUIS_DATOS!$C$1565),-1000)</f>
        <v>13.2620689655172</v>
      </c>
      <c r="CF39">
        <f>IF(AND(CROQUIS_DATOS!$C$1472=1,CROQUIS_DATOS!$C$1512&gt;0,((CROQUIS_DATOS!$C$1511+CROQUIS_DATOS!$C$1512))-(CROQUIS_DATOS!$C$1511)&gt;0.5,(CROQUIS_DATOS!$C$1476)-(0)&gt;0.5),(CROQUIS_DATOS!$C$1566+(IF(IF(MOD(MIN(INT(($A39-1)/2)+1,MAX(1,INT(((((CROQUIS_DATOS!$C$1511+CROQUIS_DATOS!$C$1512))-(CROQUIS_DATOS!$C$1511))+((CROQUIS_DATOS!$C$1476)*CROQUIS_DATOS!$C$1561-(0)*CROQUIS_DATOS!$C$1561))/CROQUIS_DATOS!$C$1568-0.000001))),2)=1,IF(INT(($A39-1)/2)+1&gt;MAX(1,INT(((((CROQUIS_DATOS!$C$1511+CROQUIS_DATOS!$C$1512))-(CROQUIS_DATOS!$C$1511))+((CROQUIS_DATOS!$C$1476)*CROQUIS_DATOS!$C$1561-(0)*CROQUIS_DATOS!$C$1561))/CROQUIS_DATOS!$C$1568-0.000001)),1,MOD($A39-1,2)),1-IF(INT(($A39-1)/2)+1&gt;MAX(1,INT(((((CROQUIS_DATOS!$C$1511+CROQUIS_DATOS!$C$1512))-(CROQUIS_DATOS!$C$1511))+((CROQUIS_DATOS!$C$1476)*CROQUIS_DATOS!$C$1561-(0)*CROQUIS_DATOS!$C$1561))/CROQUIS_DATOS!$C$1568-0.000001)),1,MOD($A39-1,2)))=1,MIN((CROQUIS_DATOS!$C$1476)*CROQUIS_DATOS!$C$1561,((CROQUIS_DATOS!$C$1511+CROQUIS_DATOS!$C$1512)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39">
        <f>IF(AND(CROQUIS_DATOS!$C$1472=1,CROQUIS_DATOS!$C$1512&gt;0,((CROQUIS_DATOS!$C$1511+CROQUIS_DATOS!$C$1512))-(CROQUIS_DATOS!$C$1511)&gt;0.5,(CROQUIS_DATOS!$C$1476)-(0)&gt;0.5),(CROQUIS_DATOS!$C$1567+(IF(IF(MOD(MIN(INT(($A39-1)/2)+1,MAX(1,INT(((((CROQUIS_DATOS!$C$1511+CROQUIS_DATOS!$C$1512))-(CROQUIS_DATOS!$C$1511))+((CROQUIS_DATOS!$C$1476)*CROQUIS_DATOS!$C$1561-(0)*CROQUIS_DATOS!$C$1561))/CROQUIS_DATOS!$C$1568-0.000001))),2)=1,IF(INT(($A39-1)/2)+1&gt;MAX(1,INT(((((CROQUIS_DATOS!$C$1511+CROQUIS_DATOS!$C$1512))-(CROQUIS_DATOS!$C$1511))+((CROQUIS_DATOS!$C$1476)*CROQUIS_DATOS!$C$1561-(0)*CROQUIS_DATOS!$C$1561))/CROQUIS_DATOS!$C$1568-0.000001)),1,MOD($A39-1,2)),1-IF(INT(($A39-1)/2)+1&gt;MAX(1,INT(((((CROQUIS_DATOS!$C$1511+CROQUIS_DATOS!$C$1512))-(CROQUIS_DATOS!$C$1511))+((CROQUIS_DATOS!$C$1476)*CROQUIS_DATOS!$C$1561-(0)*CROQUIS_DATOS!$C$1561))/CROQUIS_DATOS!$C$1568-0.000001)),1,MOD($A39-1,2)))=1,MIN((CROQUIS_DATOS!$C$1476)*CROQUIS_DATOS!$C$1561,((CROQUIS_DATOS!$C$1511+CROQUIS_DATOS!$C$1512)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39-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39">
        <f>IF(AND(CROQUIS_DATOS!$C$1472=1,CROQUIS_DATOS!$C$1516&gt;0,((CROQUIS_DATOS!$C$1515+CROQUIS_DATOS!$C$1516))-(CROQUIS_DATOS!$C$1515)&gt;0.5,(CROQUIS_DATOS!$C$1476)-(0)&gt;0.5),(CROQUIS_DATOS!$C$1566+(IF(IF(MOD(MIN(INT(($A39-1)/2)+1,MAX(1,INT(((((CROQUIS_DATOS!$C$1515+CROQUIS_DATOS!$C$1516))-(CROQUIS_DATOS!$C$1515))+((CROQUIS_DATOS!$C$1476)*CROQUIS_DATOS!$C$1561-(0)*CROQUIS_DATOS!$C$1561))/CROQUIS_DATOS!$C$1568-0.000001))),2)=1,IF(INT(($A39-1)/2)+1&gt;MAX(1,INT(((((CROQUIS_DATOS!$C$1515+CROQUIS_DATOS!$C$1516))-(CROQUIS_DATOS!$C$1515))+((CROQUIS_DATOS!$C$1476)*CROQUIS_DATOS!$C$1561-(0)*CROQUIS_DATOS!$C$1561))/CROQUIS_DATOS!$C$1568-0.000001)),1,MOD($A39-1,2)),1-IF(INT(($A39-1)/2)+1&gt;MAX(1,INT(((((CROQUIS_DATOS!$C$1515+CROQUIS_DATOS!$C$1516))-(CROQUIS_DATOS!$C$1515))+((CROQUIS_DATOS!$C$1476)*CROQUIS_DATOS!$C$1561-(0)*CROQUIS_DATOS!$C$1561))/CROQUIS_DATOS!$C$1568-0.000001)),1,MOD($A39-1,2)))=1,MIN((CROQUIS_DATOS!$C$1476)*CROQUIS_DATOS!$C$1561,((CROQUIS_DATOS!$C$1515+CROQUIS_DATOS!$C$1516)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39">
        <f>IF(AND(CROQUIS_DATOS!$C$1472=1,CROQUIS_DATOS!$C$1516&gt;0,((CROQUIS_DATOS!$C$1515+CROQUIS_DATOS!$C$1516))-(CROQUIS_DATOS!$C$1515)&gt;0.5,(CROQUIS_DATOS!$C$1476)-(0)&gt;0.5),(CROQUIS_DATOS!$C$1567+(IF(IF(MOD(MIN(INT(($A39-1)/2)+1,MAX(1,INT(((((CROQUIS_DATOS!$C$1515+CROQUIS_DATOS!$C$1516))-(CROQUIS_DATOS!$C$1515))+((CROQUIS_DATOS!$C$1476)*CROQUIS_DATOS!$C$1561-(0)*CROQUIS_DATOS!$C$1561))/CROQUIS_DATOS!$C$1568-0.000001))),2)=1,IF(INT(($A39-1)/2)+1&gt;MAX(1,INT(((((CROQUIS_DATOS!$C$1515+CROQUIS_DATOS!$C$1516))-(CROQUIS_DATOS!$C$1515))+((CROQUIS_DATOS!$C$1476)*CROQUIS_DATOS!$C$1561-(0)*CROQUIS_DATOS!$C$1561))/CROQUIS_DATOS!$C$1568-0.000001)),1,MOD($A39-1,2)),1-IF(INT(($A39-1)/2)+1&gt;MAX(1,INT(((((CROQUIS_DATOS!$C$1515+CROQUIS_DATOS!$C$1516))-(CROQUIS_DATOS!$C$1515))+((CROQUIS_DATOS!$C$1476)*CROQUIS_DATOS!$C$1561-(0)*CROQUIS_DATOS!$C$1561))/CROQUIS_DATOS!$C$1568-0.000001)),1,MOD($A39-1,2)))=1,MIN((CROQUIS_DATOS!$C$1476)*CROQUIS_DATOS!$C$1561,((CROQUIS_DATOS!$C$1515+CROQUIS_DATOS!$C$1516)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39-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39">
        <f>IF(AND(CROQUIS_DATOS!$C$1472=1,CROQUIS_DATOS!$C$1478&gt;=1,((CROQUIS_DATOS!$C$1479+CROQUIS_DATOS!$C$1480))-(CROQUIS_DATOS!$C$1479)&gt;0.5,(CROQUIS_DATOS!$C$1481)-(0)&gt;0.5),(CROQUIS_DATOS!$C$1566+(IF(IF(MOD(MIN(INT(($A39-1)/2)+1,MAX(1,INT(((((CROQUIS_DATOS!$C$1479+CROQUIS_DATOS!$C$1480))-(CROQUIS_DATOS!$C$1479))+((CROQUIS_DATOS!$C$1481)*CROQUIS_DATOS!$C$1561-(0)*CROQUIS_DATOS!$C$1561))/CROQUIS_DATOS!$C$1568-0.000001))),2)=1,IF(INT(($A39-1)/2)+1&gt;MAX(1,INT(((((CROQUIS_DATOS!$C$1479+CROQUIS_DATOS!$C$1480))-(CROQUIS_DATOS!$C$1479))+((CROQUIS_DATOS!$C$1481)*CROQUIS_DATOS!$C$1561-(0)*CROQUIS_DATOS!$C$1561))/CROQUIS_DATOS!$C$1568-0.000001)),1,MOD($A39-1,2)),1-IF(INT(($A39-1)/2)+1&gt;MAX(1,INT(((((CROQUIS_DATOS!$C$1479+CROQUIS_DATOS!$C$1480))-(CROQUIS_DATOS!$C$1479))+((CROQUIS_DATOS!$C$1481)*CROQUIS_DATOS!$C$1561-(0)*CROQUIS_DATOS!$C$1561))/CROQUIS_DATOS!$C$1568-0.000001)),1,MOD($A39-1,2)))=1,MIN((CROQUIS_DATOS!$C$1481)*CROQUIS_DATOS!$C$1561,((CROQUIS_DATOS!$C$1479+CROQUIS_DATOS!$C$1480)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39">
        <f>IF(AND(CROQUIS_DATOS!$C$1472=1,CROQUIS_DATOS!$C$1478&gt;=1,((CROQUIS_DATOS!$C$1479+CROQUIS_DATOS!$C$1480))-(CROQUIS_DATOS!$C$1479)&gt;0.5,(CROQUIS_DATOS!$C$1481)-(0)&gt;0.5),(CROQUIS_DATOS!$C$1567+(IF(IF(MOD(MIN(INT(($A39-1)/2)+1,MAX(1,INT(((((CROQUIS_DATOS!$C$1479+CROQUIS_DATOS!$C$1480))-(CROQUIS_DATOS!$C$1479))+((CROQUIS_DATOS!$C$1481)*CROQUIS_DATOS!$C$1561-(0)*CROQUIS_DATOS!$C$1561))/CROQUIS_DATOS!$C$1568-0.000001))),2)=1,IF(INT(($A39-1)/2)+1&gt;MAX(1,INT(((((CROQUIS_DATOS!$C$1479+CROQUIS_DATOS!$C$1480))-(CROQUIS_DATOS!$C$1479))+((CROQUIS_DATOS!$C$1481)*CROQUIS_DATOS!$C$1561-(0)*CROQUIS_DATOS!$C$1561))/CROQUIS_DATOS!$C$1568-0.000001)),1,MOD($A39-1,2)),1-IF(INT(($A39-1)/2)+1&gt;MAX(1,INT(((((CROQUIS_DATOS!$C$1479+CROQUIS_DATOS!$C$1480))-(CROQUIS_DATOS!$C$1479))+((CROQUIS_DATOS!$C$1481)*CROQUIS_DATOS!$C$1561-(0)*CROQUIS_DATOS!$C$1561))/CROQUIS_DATOS!$C$1568-0.000001)),1,MOD($A39-1,2)))=1,MIN((CROQUIS_DATOS!$C$1481)*CROQUIS_DATOS!$C$1561,((CROQUIS_DATOS!$C$1479+CROQUIS_DATOS!$C$1480)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39-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39">
        <f>IF(AND(CROQUIS_DATOS!$C$1472=1,CROQUIS_DATOS!$C$1478&gt;=1,((CROQUIS_DATOS!$C$1479+CROQUIS_DATOS!$C$1480))-(CROQUIS_DATOS!$C$1479)&gt;0.5,(CROQUIS_DATOS!$C$1476)-((CROQUIS_DATOS!$C$1481+CROQUIS_DATOS!$C$1482))&gt;0.5),(CROQUIS_DATOS!$C$1566+(IF(IF(MOD(MIN(INT(($A39-1)/2)+1,MAX(1,INT(((((CROQUIS_DATOS!$C$1479+CROQUIS_DATOS!$C$1480))-(CROQUIS_DATOS!$C$1479))+((CROQUIS_DATOS!$C$1476)*CROQUIS_DATOS!$C$1561-((CROQUIS_DATOS!$C$1481+CROQUIS_DATOS!$C$1482))*CROQUIS_DATOS!$C$1561))/CROQUIS_DATOS!$C$1568-0.000001))),2)=1,IF(INT(($A39-1)/2)+1&gt;MAX(1,INT(((((CROQUIS_DATOS!$C$1479+CROQUIS_DATOS!$C$1480))-(CROQUIS_DATOS!$C$1479))+((CROQUIS_DATOS!$C$1476)*CROQUIS_DATOS!$C$1561-((CROQUIS_DATOS!$C$1481+CROQUIS_DATOS!$C$1482))*CROQUIS_DATOS!$C$1561))/CROQUIS_DATOS!$C$1568-0.000001)),1,MOD($A39-1,2)),1-IF(INT(($A39-1)/2)+1&gt;MAX(1,INT(((((CROQUIS_DATOS!$C$1479+CROQUIS_DATOS!$C$1480))-(CROQUIS_DATOS!$C$1479))+((CROQUIS_DATOS!$C$1476)*CROQUIS_DATOS!$C$1561-((CROQUIS_DATOS!$C$1481+CROQUIS_DATOS!$C$1482))*CROQUIS_DATOS!$C$1561))/CROQUIS_DATOS!$C$1568-0.000001)),1,MOD($A39-1,2)))=1,MIN((CROQUIS_DATOS!$C$1476)*CROQUIS_DATOS!$C$1561,((CROQUIS_DATOS!$C$1479+CROQUIS_DATOS!$C$1480)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39">
        <f>IF(AND(CROQUIS_DATOS!$C$1472=1,CROQUIS_DATOS!$C$1478&gt;=1,((CROQUIS_DATOS!$C$1479+CROQUIS_DATOS!$C$1480))-(CROQUIS_DATOS!$C$1479)&gt;0.5,(CROQUIS_DATOS!$C$1476)-((CROQUIS_DATOS!$C$1481+CROQUIS_DATOS!$C$1482))&gt;0.5),(CROQUIS_DATOS!$C$1567+(IF(IF(MOD(MIN(INT(($A39-1)/2)+1,MAX(1,INT(((((CROQUIS_DATOS!$C$1479+CROQUIS_DATOS!$C$1480))-(CROQUIS_DATOS!$C$1479))+((CROQUIS_DATOS!$C$1476)*CROQUIS_DATOS!$C$1561-((CROQUIS_DATOS!$C$1481+CROQUIS_DATOS!$C$1482))*CROQUIS_DATOS!$C$1561))/CROQUIS_DATOS!$C$1568-0.000001))),2)=1,IF(INT(($A39-1)/2)+1&gt;MAX(1,INT(((((CROQUIS_DATOS!$C$1479+CROQUIS_DATOS!$C$1480))-(CROQUIS_DATOS!$C$1479))+((CROQUIS_DATOS!$C$1476)*CROQUIS_DATOS!$C$1561-((CROQUIS_DATOS!$C$1481+CROQUIS_DATOS!$C$1482))*CROQUIS_DATOS!$C$1561))/CROQUIS_DATOS!$C$1568-0.000001)),1,MOD($A39-1,2)),1-IF(INT(($A39-1)/2)+1&gt;MAX(1,INT(((((CROQUIS_DATOS!$C$1479+CROQUIS_DATOS!$C$1480))-(CROQUIS_DATOS!$C$1479))+((CROQUIS_DATOS!$C$1476)*CROQUIS_DATOS!$C$1561-((CROQUIS_DATOS!$C$1481+CROQUIS_DATOS!$C$1482))*CROQUIS_DATOS!$C$1561))/CROQUIS_DATOS!$C$1568-0.000001)),1,MOD($A39-1,2)))=1,MIN((CROQUIS_DATOS!$C$1476)*CROQUIS_DATOS!$C$1561,((CROQUIS_DATOS!$C$1479+CROQUIS_DATOS!$C$1480)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39-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39">
        <f>IF(AND(CROQUIS_DATOS!$C$1472=1,CROQUIS_DATOS!$C$1478&gt;=2,((CROQUIS_DATOS!$C$1484+CROQUIS_DATOS!$C$1485))-(CROQUIS_DATOS!$C$1484)&gt;0.5,(CROQUIS_DATOS!$C$1486)-(0)&gt;0.5),(CROQUIS_DATOS!$C$1566+(IF(IF(MOD(MIN(INT(($A39-1)/2)+1,MAX(1,INT(((((CROQUIS_DATOS!$C$1484+CROQUIS_DATOS!$C$1485))-(CROQUIS_DATOS!$C$1484))+((CROQUIS_DATOS!$C$1486)*CROQUIS_DATOS!$C$1561-(0)*CROQUIS_DATOS!$C$1561))/CROQUIS_DATOS!$C$1568-0.000001))),2)=1,IF(INT(($A39-1)/2)+1&gt;MAX(1,INT(((((CROQUIS_DATOS!$C$1484+CROQUIS_DATOS!$C$1485))-(CROQUIS_DATOS!$C$1484))+((CROQUIS_DATOS!$C$1486)*CROQUIS_DATOS!$C$1561-(0)*CROQUIS_DATOS!$C$1561))/CROQUIS_DATOS!$C$1568-0.000001)),1,MOD($A39-1,2)),1-IF(INT(($A39-1)/2)+1&gt;MAX(1,INT(((((CROQUIS_DATOS!$C$1484+CROQUIS_DATOS!$C$1485))-(CROQUIS_DATOS!$C$1484))+((CROQUIS_DATOS!$C$1486)*CROQUIS_DATOS!$C$1561-(0)*CROQUIS_DATOS!$C$1561))/CROQUIS_DATOS!$C$1568-0.000001)),1,MOD($A39-1,2)))=1,MIN((CROQUIS_DATOS!$C$1486)*CROQUIS_DATOS!$C$1561,((CROQUIS_DATOS!$C$1484+CROQUIS_DATOS!$C$1485)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39">
        <f>IF(AND(CROQUIS_DATOS!$C$1472=1,CROQUIS_DATOS!$C$1478&gt;=2,((CROQUIS_DATOS!$C$1484+CROQUIS_DATOS!$C$1485))-(CROQUIS_DATOS!$C$1484)&gt;0.5,(CROQUIS_DATOS!$C$1486)-(0)&gt;0.5),(CROQUIS_DATOS!$C$1567+(IF(IF(MOD(MIN(INT(($A39-1)/2)+1,MAX(1,INT(((((CROQUIS_DATOS!$C$1484+CROQUIS_DATOS!$C$1485))-(CROQUIS_DATOS!$C$1484))+((CROQUIS_DATOS!$C$1486)*CROQUIS_DATOS!$C$1561-(0)*CROQUIS_DATOS!$C$1561))/CROQUIS_DATOS!$C$1568-0.000001))),2)=1,IF(INT(($A39-1)/2)+1&gt;MAX(1,INT(((((CROQUIS_DATOS!$C$1484+CROQUIS_DATOS!$C$1485))-(CROQUIS_DATOS!$C$1484))+((CROQUIS_DATOS!$C$1486)*CROQUIS_DATOS!$C$1561-(0)*CROQUIS_DATOS!$C$1561))/CROQUIS_DATOS!$C$1568-0.000001)),1,MOD($A39-1,2)),1-IF(INT(($A39-1)/2)+1&gt;MAX(1,INT(((((CROQUIS_DATOS!$C$1484+CROQUIS_DATOS!$C$1485))-(CROQUIS_DATOS!$C$1484))+((CROQUIS_DATOS!$C$1486)*CROQUIS_DATOS!$C$1561-(0)*CROQUIS_DATOS!$C$1561))/CROQUIS_DATOS!$C$1568-0.000001)),1,MOD($A39-1,2)))=1,MIN((CROQUIS_DATOS!$C$1486)*CROQUIS_DATOS!$C$1561,((CROQUIS_DATOS!$C$1484+CROQUIS_DATOS!$C$1485)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39-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39">
        <f>IF(AND(CROQUIS_DATOS!$C$1472=1,CROQUIS_DATOS!$C$1478&gt;=2,((CROQUIS_DATOS!$C$1484+CROQUIS_DATOS!$C$1485))-(CROQUIS_DATOS!$C$1484)&gt;0.5,(CROQUIS_DATOS!$C$1476)-((CROQUIS_DATOS!$C$1486+CROQUIS_DATOS!$C$1487))&gt;0.5),(CROQUIS_DATOS!$C$1566+(IF(IF(MOD(MIN(INT(($A39-1)/2)+1,MAX(1,INT(((((CROQUIS_DATOS!$C$1484+CROQUIS_DATOS!$C$1485))-(CROQUIS_DATOS!$C$1484))+((CROQUIS_DATOS!$C$1476)*CROQUIS_DATOS!$C$1561-((CROQUIS_DATOS!$C$1486+CROQUIS_DATOS!$C$1487))*CROQUIS_DATOS!$C$1561))/CROQUIS_DATOS!$C$1568-0.000001))),2)=1,IF(INT(($A39-1)/2)+1&gt;MAX(1,INT(((((CROQUIS_DATOS!$C$1484+CROQUIS_DATOS!$C$1485))-(CROQUIS_DATOS!$C$1484))+((CROQUIS_DATOS!$C$1476)*CROQUIS_DATOS!$C$1561-((CROQUIS_DATOS!$C$1486+CROQUIS_DATOS!$C$1487))*CROQUIS_DATOS!$C$1561))/CROQUIS_DATOS!$C$1568-0.000001)),1,MOD($A39-1,2)),1-IF(INT(($A39-1)/2)+1&gt;MAX(1,INT(((((CROQUIS_DATOS!$C$1484+CROQUIS_DATOS!$C$1485))-(CROQUIS_DATOS!$C$1484))+((CROQUIS_DATOS!$C$1476)*CROQUIS_DATOS!$C$1561-((CROQUIS_DATOS!$C$1486+CROQUIS_DATOS!$C$1487))*CROQUIS_DATOS!$C$1561))/CROQUIS_DATOS!$C$1568-0.000001)),1,MOD($A39-1,2)))=1,MIN((CROQUIS_DATOS!$C$1476)*CROQUIS_DATOS!$C$1561,((CROQUIS_DATOS!$C$1484+CROQUIS_DATOS!$C$1485)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39">
        <f>IF(AND(CROQUIS_DATOS!$C$1472=1,CROQUIS_DATOS!$C$1478&gt;=2,((CROQUIS_DATOS!$C$1484+CROQUIS_DATOS!$C$1485))-(CROQUIS_DATOS!$C$1484)&gt;0.5,(CROQUIS_DATOS!$C$1476)-((CROQUIS_DATOS!$C$1486+CROQUIS_DATOS!$C$1487))&gt;0.5),(CROQUIS_DATOS!$C$1567+(IF(IF(MOD(MIN(INT(($A39-1)/2)+1,MAX(1,INT(((((CROQUIS_DATOS!$C$1484+CROQUIS_DATOS!$C$1485))-(CROQUIS_DATOS!$C$1484))+((CROQUIS_DATOS!$C$1476)*CROQUIS_DATOS!$C$1561-((CROQUIS_DATOS!$C$1486+CROQUIS_DATOS!$C$1487))*CROQUIS_DATOS!$C$1561))/CROQUIS_DATOS!$C$1568-0.000001))),2)=1,IF(INT(($A39-1)/2)+1&gt;MAX(1,INT(((((CROQUIS_DATOS!$C$1484+CROQUIS_DATOS!$C$1485))-(CROQUIS_DATOS!$C$1484))+((CROQUIS_DATOS!$C$1476)*CROQUIS_DATOS!$C$1561-((CROQUIS_DATOS!$C$1486+CROQUIS_DATOS!$C$1487))*CROQUIS_DATOS!$C$1561))/CROQUIS_DATOS!$C$1568-0.000001)),1,MOD($A39-1,2)),1-IF(INT(($A39-1)/2)+1&gt;MAX(1,INT(((((CROQUIS_DATOS!$C$1484+CROQUIS_DATOS!$C$1485))-(CROQUIS_DATOS!$C$1484))+((CROQUIS_DATOS!$C$1476)*CROQUIS_DATOS!$C$1561-((CROQUIS_DATOS!$C$1486+CROQUIS_DATOS!$C$1487))*CROQUIS_DATOS!$C$1561))/CROQUIS_DATOS!$C$1568-0.000001)),1,MOD($A39-1,2)))=1,MIN((CROQUIS_DATOS!$C$1476)*CROQUIS_DATOS!$C$1561,((CROQUIS_DATOS!$C$1484+CROQUIS_DATOS!$C$1485)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39-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39">
        <f>IF(AND(CROQUIS_DATOS!$C$1472=1,CROQUIS_DATOS!$C$1478&gt;=3,((CROQUIS_DATOS!$C$1489+CROQUIS_DATOS!$C$1490))-(CROQUIS_DATOS!$C$1489)&gt;0.5,(CROQUIS_DATOS!$C$1491)-(0)&gt;0.5),(CROQUIS_DATOS!$C$1566+(IF(IF(MOD(MIN(INT(($A39-1)/2)+1,MAX(1,INT(((((CROQUIS_DATOS!$C$1489+CROQUIS_DATOS!$C$1490))-(CROQUIS_DATOS!$C$1489))+((CROQUIS_DATOS!$C$1491)*CROQUIS_DATOS!$C$1561-(0)*CROQUIS_DATOS!$C$1561))/CROQUIS_DATOS!$C$1568-0.000001))),2)=1,IF(INT(($A39-1)/2)+1&gt;MAX(1,INT(((((CROQUIS_DATOS!$C$1489+CROQUIS_DATOS!$C$1490))-(CROQUIS_DATOS!$C$1489))+((CROQUIS_DATOS!$C$1491)*CROQUIS_DATOS!$C$1561-(0)*CROQUIS_DATOS!$C$1561))/CROQUIS_DATOS!$C$1568-0.000001)),1,MOD($A39-1,2)),1-IF(INT(($A39-1)/2)+1&gt;MAX(1,INT(((((CROQUIS_DATOS!$C$1489+CROQUIS_DATOS!$C$1490))-(CROQUIS_DATOS!$C$1489))+((CROQUIS_DATOS!$C$1491)*CROQUIS_DATOS!$C$1561-(0)*CROQUIS_DATOS!$C$1561))/CROQUIS_DATOS!$C$1568-0.000001)),1,MOD($A39-1,2)))=1,MIN((CROQUIS_DATOS!$C$1491)*CROQUIS_DATOS!$C$1561,((CROQUIS_DATOS!$C$1489+CROQUIS_DATOS!$C$1490)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39">
        <f>IF(AND(CROQUIS_DATOS!$C$1472=1,CROQUIS_DATOS!$C$1478&gt;=3,((CROQUIS_DATOS!$C$1489+CROQUIS_DATOS!$C$1490))-(CROQUIS_DATOS!$C$1489)&gt;0.5,(CROQUIS_DATOS!$C$1491)-(0)&gt;0.5),(CROQUIS_DATOS!$C$1567+(IF(IF(MOD(MIN(INT(($A39-1)/2)+1,MAX(1,INT(((((CROQUIS_DATOS!$C$1489+CROQUIS_DATOS!$C$1490))-(CROQUIS_DATOS!$C$1489))+((CROQUIS_DATOS!$C$1491)*CROQUIS_DATOS!$C$1561-(0)*CROQUIS_DATOS!$C$1561))/CROQUIS_DATOS!$C$1568-0.000001))),2)=1,IF(INT(($A39-1)/2)+1&gt;MAX(1,INT(((((CROQUIS_DATOS!$C$1489+CROQUIS_DATOS!$C$1490))-(CROQUIS_DATOS!$C$1489))+((CROQUIS_DATOS!$C$1491)*CROQUIS_DATOS!$C$1561-(0)*CROQUIS_DATOS!$C$1561))/CROQUIS_DATOS!$C$1568-0.000001)),1,MOD($A39-1,2)),1-IF(INT(($A39-1)/2)+1&gt;MAX(1,INT(((((CROQUIS_DATOS!$C$1489+CROQUIS_DATOS!$C$1490))-(CROQUIS_DATOS!$C$1489))+((CROQUIS_DATOS!$C$1491)*CROQUIS_DATOS!$C$1561-(0)*CROQUIS_DATOS!$C$1561))/CROQUIS_DATOS!$C$1568-0.000001)),1,MOD($A39-1,2)))=1,MIN((CROQUIS_DATOS!$C$1491)*CROQUIS_DATOS!$C$1561,((CROQUIS_DATOS!$C$1489+CROQUIS_DATOS!$C$1490)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39-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39">
        <f>IF(AND(CROQUIS_DATOS!$C$1472=1,CROQUIS_DATOS!$C$1478&gt;=3,((CROQUIS_DATOS!$C$1489+CROQUIS_DATOS!$C$1490))-(CROQUIS_DATOS!$C$1489)&gt;0.5,(CROQUIS_DATOS!$C$1476)-((CROQUIS_DATOS!$C$1491+CROQUIS_DATOS!$C$1492))&gt;0.5),(CROQUIS_DATOS!$C$1566+(IF(IF(MOD(MIN(INT(($A39-1)/2)+1,MAX(1,INT(((((CROQUIS_DATOS!$C$1489+CROQUIS_DATOS!$C$1490))-(CROQUIS_DATOS!$C$1489))+((CROQUIS_DATOS!$C$1476)*CROQUIS_DATOS!$C$1561-((CROQUIS_DATOS!$C$1491+CROQUIS_DATOS!$C$1492))*CROQUIS_DATOS!$C$1561))/CROQUIS_DATOS!$C$1568-0.000001))),2)=1,IF(INT(($A39-1)/2)+1&gt;MAX(1,INT(((((CROQUIS_DATOS!$C$1489+CROQUIS_DATOS!$C$1490))-(CROQUIS_DATOS!$C$1489))+((CROQUIS_DATOS!$C$1476)*CROQUIS_DATOS!$C$1561-((CROQUIS_DATOS!$C$1491+CROQUIS_DATOS!$C$1492))*CROQUIS_DATOS!$C$1561))/CROQUIS_DATOS!$C$1568-0.000001)),1,MOD($A39-1,2)),1-IF(INT(($A39-1)/2)+1&gt;MAX(1,INT(((((CROQUIS_DATOS!$C$1489+CROQUIS_DATOS!$C$1490))-(CROQUIS_DATOS!$C$1489))+((CROQUIS_DATOS!$C$1476)*CROQUIS_DATOS!$C$1561-((CROQUIS_DATOS!$C$1491+CROQUIS_DATOS!$C$1492))*CROQUIS_DATOS!$C$1561))/CROQUIS_DATOS!$C$1568-0.000001)),1,MOD($A39-1,2)))=1,MIN((CROQUIS_DATOS!$C$1476)*CROQUIS_DATOS!$C$1561,((CROQUIS_DATOS!$C$1489+CROQUIS_DATOS!$C$1490)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39">
        <f>IF(AND(CROQUIS_DATOS!$C$1472=1,CROQUIS_DATOS!$C$1478&gt;=3,((CROQUIS_DATOS!$C$1489+CROQUIS_DATOS!$C$1490))-(CROQUIS_DATOS!$C$1489)&gt;0.5,(CROQUIS_DATOS!$C$1476)-((CROQUIS_DATOS!$C$1491+CROQUIS_DATOS!$C$1492))&gt;0.5),(CROQUIS_DATOS!$C$1567+(IF(IF(MOD(MIN(INT(($A39-1)/2)+1,MAX(1,INT(((((CROQUIS_DATOS!$C$1489+CROQUIS_DATOS!$C$1490))-(CROQUIS_DATOS!$C$1489))+((CROQUIS_DATOS!$C$1476)*CROQUIS_DATOS!$C$1561-((CROQUIS_DATOS!$C$1491+CROQUIS_DATOS!$C$1492))*CROQUIS_DATOS!$C$1561))/CROQUIS_DATOS!$C$1568-0.000001))),2)=1,IF(INT(($A39-1)/2)+1&gt;MAX(1,INT(((((CROQUIS_DATOS!$C$1489+CROQUIS_DATOS!$C$1490))-(CROQUIS_DATOS!$C$1489))+((CROQUIS_DATOS!$C$1476)*CROQUIS_DATOS!$C$1561-((CROQUIS_DATOS!$C$1491+CROQUIS_DATOS!$C$1492))*CROQUIS_DATOS!$C$1561))/CROQUIS_DATOS!$C$1568-0.000001)),1,MOD($A39-1,2)),1-IF(INT(($A39-1)/2)+1&gt;MAX(1,INT(((((CROQUIS_DATOS!$C$1489+CROQUIS_DATOS!$C$1490))-(CROQUIS_DATOS!$C$1489))+((CROQUIS_DATOS!$C$1476)*CROQUIS_DATOS!$C$1561-((CROQUIS_DATOS!$C$1491+CROQUIS_DATOS!$C$1492))*CROQUIS_DATOS!$C$1561))/CROQUIS_DATOS!$C$1568-0.000001)),1,MOD($A39-1,2)))=1,MIN((CROQUIS_DATOS!$C$1476)*CROQUIS_DATOS!$C$1561,((CROQUIS_DATOS!$C$1489+CROQUIS_DATOS!$C$1490)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39-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39">
        <f>IF(AND(CROQUIS_DATOS!$C$1472=1,CROQUIS_DATOS!$C$1478&gt;=4,((CROQUIS_DATOS!$C$1494+CROQUIS_DATOS!$C$1495))-(CROQUIS_DATOS!$C$1494)&gt;0.5,(CROQUIS_DATOS!$C$1496)-(0)&gt;0.5),(CROQUIS_DATOS!$C$1566+(IF(IF(MOD(MIN(INT(($A39-1)/2)+1,MAX(1,INT(((((CROQUIS_DATOS!$C$1494+CROQUIS_DATOS!$C$1495))-(CROQUIS_DATOS!$C$1494))+((CROQUIS_DATOS!$C$1496)*CROQUIS_DATOS!$C$1561-(0)*CROQUIS_DATOS!$C$1561))/CROQUIS_DATOS!$C$1568-0.000001))),2)=1,IF(INT(($A39-1)/2)+1&gt;MAX(1,INT(((((CROQUIS_DATOS!$C$1494+CROQUIS_DATOS!$C$1495))-(CROQUIS_DATOS!$C$1494))+((CROQUIS_DATOS!$C$1496)*CROQUIS_DATOS!$C$1561-(0)*CROQUIS_DATOS!$C$1561))/CROQUIS_DATOS!$C$1568-0.000001)),1,MOD($A39-1,2)),1-IF(INT(($A39-1)/2)+1&gt;MAX(1,INT(((((CROQUIS_DATOS!$C$1494+CROQUIS_DATOS!$C$1495))-(CROQUIS_DATOS!$C$1494))+((CROQUIS_DATOS!$C$1496)*CROQUIS_DATOS!$C$1561-(0)*CROQUIS_DATOS!$C$1561))/CROQUIS_DATOS!$C$1568-0.000001)),1,MOD($A39-1,2)))=1,MIN((CROQUIS_DATOS!$C$1496)*CROQUIS_DATOS!$C$1561,((CROQUIS_DATOS!$C$1494+CROQUIS_DATOS!$C$1495)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39">
        <f>IF(AND(CROQUIS_DATOS!$C$1472=1,CROQUIS_DATOS!$C$1478&gt;=4,((CROQUIS_DATOS!$C$1494+CROQUIS_DATOS!$C$1495))-(CROQUIS_DATOS!$C$1494)&gt;0.5,(CROQUIS_DATOS!$C$1496)-(0)&gt;0.5),(CROQUIS_DATOS!$C$1567+(IF(IF(MOD(MIN(INT(($A39-1)/2)+1,MAX(1,INT(((((CROQUIS_DATOS!$C$1494+CROQUIS_DATOS!$C$1495))-(CROQUIS_DATOS!$C$1494))+((CROQUIS_DATOS!$C$1496)*CROQUIS_DATOS!$C$1561-(0)*CROQUIS_DATOS!$C$1561))/CROQUIS_DATOS!$C$1568-0.000001))),2)=1,IF(INT(($A39-1)/2)+1&gt;MAX(1,INT(((((CROQUIS_DATOS!$C$1494+CROQUIS_DATOS!$C$1495))-(CROQUIS_DATOS!$C$1494))+((CROQUIS_DATOS!$C$1496)*CROQUIS_DATOS!$C$1561-(0)*CROQUIS_DATOS!$C$1561))/CROQUIS_DATOS!$C$1568-0.000001)),1,MOD($A39-1,2)),1-IF(INT(($A39-1)/2)+1&gt;MAX(1,INT(((((CROQUIS_DATOS!$C$1494+CROQUIS_DATOS!$C$1495))-(CROQUIS_DATOS!$C$1494))+((CROQUIS_DATOS!$C$1496)*CROQUIS_DATOS!$C$1561-(0)*CROQUIS_DATOS!$C$1561))/CROQUIS_DATOS!$C$1568-0.000001)),1,MOD($A39-1,2)))=1,MIN((CROQUIS_DATOS!$C$1496)*CROQUIS_DATOS!$C$1561,((CROQUIS_DATOS!$C$1494+CROQUIS_DATOS!$C$1495)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39-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39">
        <f>IF(AND(CROQUIS_DATOS!$C$1472=1,CROQUIS_DATOS!$C$1478&gt;=4,((CROQUIS_DATOS!$C$1494+CROQUIS_DATOS!$C$1495))-(CROQUIS_DATOS!$C$1494)&gt;0.5,(CROQUIS_DATOS!$C$1476)-((CROQUIS_DATOS!$C$1496+CROQUIS_DATOS!$C$1497))&gt;0.5),(CROQUIS_DATOS!$C$1566+(IF(IF(MOD(MIN(INT(($A39-1)/2)+1,MAX(1,INT(((((CROQUIS_DATOS!$C$1494+CROQUIS_DATOS!$C$1495))-(CROQUIS_DATOS!$C$1494))+((CROQUIS_DATOS!$C$1476)*CROQUIS_DATOS!$C$1561-((CROQUIS_DATOS!$C$1496+CROQUIS_DATOS!$C$1497))*CROQUIS_DATOS!$C$1561))/CROQUIS_DATOS!$C$1568-0.000001))),2)=1,IF(INT(($A39-1)/2)+1&gt;MAX(1,INT(((((CROQUIS_DATOS!$C$1494+CROQUIS_DATOS!$C$1495))-(CROQUIS_DATOS!$C$1494))+((CROQUIS_DATOS!$C$1476)*CROQUIS_DATOS!$C$1561-((CROQUIS_DATOS!$C$1496+CROQUIS_DATOS!$C$1497))*CROQUIS_DATOS!$C$1561))/CROQUIS_DATOS!$C$1568-0.000001)),1,MOD($A39-1,2)),1-IF(INT(($A39-1)/2)+1&gt;MAX(1,INT(((((CROQUIS_DATOS!$C$1494+CROQUIS_DATOS!$C$1495))-(CROQUIS_DATOS!$C$1494))+((CROQUIS_DATOS!$C$1476)*CROQUIS_DATOS!$C$1561-((CROQUIS_DATOS!$C$1496+CROQUIS_DATOS!$C$1497))*CROQUIS_DATOS!$C$1561))/CROQUIS_DATOS!$C$1568-0.000001)),1,MOD($A39-1,2)))=1,MIN((CROQUIS_DATOS!$C$1476)*CROQUIS_DATOS!$C$1561,((CROQUIS_DATOS!$C$1494+CROQUIS_DATOS!$C$1495)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39">
        <f>IF(AND(CROQUIS_DATOS!$C$1472=1,CROQUIS_DATOS!$C$1478&gt;=4,((CROQUIS_DATOS!$C$1494+CROQUIS_DATOS!$C$1495))-(CROQUIS_DATOS!$C$1494)&gt;0.5,(CROQUIS_DATOS!$C$1476)-((CROQUIS_DATOS!$C$1496+CROQUIS_DATOS!$C$1497))&gt;0.5),(CROQUIS_DATOS!$C$1567+(IF(IF(MOD(MIN(INT(($A39-1)/2)+1,MAX(1,INT(((((CROQUIS_DATOS!$C$1494+CROQUIS_DATOS!$C$1495))-(CROQUIS_DATOS!$C$1494))+((CROQUIS_DATOS!$C$1476)*CROQUIS_DATOS!$C$1561-((CROQUIS_DATOS!$C$1496+CROQUIS_DATOS!$C$1497))*CROQUIS_DATOS!$C$1561))/CROQUIS_DATOS!$C$1568-0.000001))),2)=1,IF(INT(($A39-1)/2)+1&gt;MAX(1,INT(((((CROQUIS_DATOS!$C$1494+CROQUIS_DATOS!$C$1495))-(CROQUIS_DATOS!$C$1494))+((CROQUIS_DATOS!$C$1476)*CROQUIS_DATOS!$C$1561-((CROQUIS_DATOS!$C$1496+CROQUIS_DATOS!$C$1497))*CROQUIS_DATOS!$C$1561))/CROQUIS_DATOS!$C$1568-0.000001)),1,MOD($A39-1,2)),1-IF(INT(($A39-1)/2)+1&gt;MAX(1,INT(((((CROQUIS_DATOS!$C$1494+CROQUIS_DATOS!$C$1495))-(CROQUIS_DATOS!$C$1494))+((CROQUIS_DATOS!$C$1476)*CROQUIS_DATOS!$C$1561-((CROQUIS_DATOS!$C$1496+CROQUIS_DATOS!$C$1497))*CROQUIS_DATOS!$C$1561))/CROQUIS_DATOS!$C$1568-0.000001)),1,MOD($A39-1,2)))=1,MIN((CROQUIS_DATOS!$C$1476)*CROQUIS_DATOS!$C$1561,((CROQUIS_DATOS!$C$1494+CROQUIS_DATOS!$C$1495)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39-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39">
        <f>IF(AND(CROQUIS_DATOS!$C$1472=1,1),(CROQUIS_DATOS!$C$1571+(CHOOSE(MIN(MAX(IF(INT(($A39-1)/5)+1&gt;CROQUIS_DATOS!$C$1525,5,MOD($A39-1,5)+1),1),5),(INDEX($E$8:$E$23,MIN(INT(($A39-1)/5)+1,CROQUIS_DATOS!$C$1525))-INDEX($F$8:$F$23,MIN(INT(($A39-1)/5)+1,CROQUIS_DATOS!$C$1525))/2),(INDEX($E$8:$E$23,MIN(INT(($A39-1)/5)+1,CROQUIS_DATOS!$C$1525))+INDEX($F$8:$F$23,MIN(INT(($A39-1)/5)+1,CROQUIS_DATOS!$C$1525))/2),(INDEX($E$8:$E$23,MIN(INT(($A39-1)/5)+1,CROQUIS_DATOS!$C$1525))+INDEX($F$8:$F$23,MIN(INT(($A39-1)/5)+1,CROQUIS_DATOS!$C$1525))/2),(INDEX($E$8:$E$23,MIN(INT(($A39-1)/5)+1,CROQUIS_DATOS!$C$1525))-INDEX($F$8:$F$23,MIN(INT(($A39-1)/5)+1,CROQUIS_DATOS!$C$1525))/2),(INDEX($E$8:$E$23,MIN(INT(($A39-1)/5)+1,CROQUIS_DATOS!$C$1525))-INDEX($F$8:$F$23,MIN(INT(($A39-1)/5)+1,CROQUIS_DATOS!$C$1525))/2)))*CROQUIS_DATOS!$C$1569),-1000)</f>
        <v>95.24</v>
      </c>
      <c r="GE39">
        <f>IF(AND(CROQUIS_DATOS!$C$1472=1,1),(CROQUIS_DATOS!$C$1572+(CHOOSE(MIN(MAX(IF(INT(($A39-1)/5)+1&gt;CROQUIS_DATOS!$C$1525,5,MOD($A39-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39">
        <f>IF(AND(CROQUIS_DATOS!$C$1472=1,1),IF(INT(($A39-1)/4)+1&lt;=CROQUIS_DATOS!$C$1525,(CROQUIS_DATOS!$C$1571+((INDEX($E$8:$E$23,MIN(INT(($A39-1)/4)+1,16))+IF(OR(MOD($A39-1,4)=0,MOD($A39-1,4)=3),-1,1)*(INDEX($F$8:$F$23,MIN(INT(($A39-1)/4)+1,16))/2-(CROQUIS_DATOS!$C$1530+CROQUIS_DATOS!$C$1532+IF(OR(INT(($A39-1)/4)+1=1,INT(($A39-1)/4)+1=CROQUIS_DATOS!$C$1525),CROQUIS_DATOS!$C$1534,CROQUIS_DATOS!$C$1531)/2))))*CROQUIS_DATOS!$C$1569),-1000),-1000)</f>
        <v>-1000</v>
      </c>
      <c r="GG39">
        <f>IF(AND(CROQUIS_DATOS!$C$1472=1,1),IF(INT(($A39-1)/4)+1&lt;=CROQUIS_DATOS!$C$1525,(CROQUIS_DATOS!$C$1572+((CROQUIS_DATOS!$C$1477/2+IF(MOD($A39-1,4)&lt;2,-1,1)*(CROQUIS_DATOS!$C$1527/2-(CROQUIS_DATOS!$C$1530+CROQUIS_DATOS!$C$1532+IF(OR(INT(($A39-1)/4)+1=1,INT(($A39-1)/4)+1=CROQUIS_DATOS!$C$1525),CROQUIS_DATOS!$C$1534,CROQUIS_DATOS!$C$1531)/2))))*CROQUIS_DATOS!$C$1569*CROQUIS_DATOS!$C$1570),-1000),-1000)</f>
        <v>-1000</v>
      </c>
    </row>
    <row r="40">
      <c r="A40" t="n">
        <v>33</v>
      </c>
      <c r="H40">
        <f>IF(33&lt;=CROQUIS_DATOS!$C$1539,33*CROQUIS_DATOS!$C$1536,IF(33&lt;=CROQUIS_DATOS!$C$1539+CROQUIS_DATOS!$C$1540,CROQUIS_DATOS!$C$1539*CROQUIS_DATOS!$C$1536+(33-CROQUIS_DATOS!$C$1539)*(CROQUIS_DATOS!$C$1476-2*CROQUIS_DATOS!$C$1539*CROQUIS_DATOS!$C$1536)/(CROQUIS_DATOS!$C$1540+1),CROQUIS_DATOS!$C$1476-(2*CROQUIS_DATOS!$C$1539+CROQUIS_DATOS!$C$1540+1-33)*CROQUIS_DATOS!$C$1536))</f>
        <v>355</v>
      </c>
      <c r="J40">
        <f>IF(AND(CROQUIS_DATOS!$C$1472=1,1),(CROQUIS_DATOS!$C$1563+(CHOOSE(MIN(MAX(IF(INT(($A40-1)/4)+1&gt;CROQUIS_DATOS!$C$1525,4,MOD($A40-1,4)+1),1),4),(INDEX($E$8:$E$23,MIN(INT(($A40-1)/4)+1,CROQUIS_DATOS!$C$1525))-INDEX($F$8:$F$23,MIN(INT(($A40-1)/4)+1,CROQUIS_DATOS!$C$1525))/2),(INDEX($E$8:$E$23,MIN(INT(($A40-1)/4)+1,CROQUIS_DATOS!$C$1525))-INDEX($F$8:$F$23,MIN(INT(($A40-1)/4)+1,CROQUIS_DATOS!$C$1525))/2),(INDEX($E$8:$E$23,MIN(INT(($A40-1)/4)+1,CROQUIS_DATOS!$C$1525))+INDEX($F$8:$F$23,MIN(INT(($A40-1)/4)+1,CROQUIS_DATOS!$C$1525))/2),(INDEX($E$8:$E$23,MIN(INT(($A40-1)/4)+1,CROQUIS_DATOS!$C$1525))+INDEX($F$8:$F$23,MIN(INT(($A40-1)/4)+1,CROQUIS_DATOS!$C$1525))/2)))*CROQUIS_DATOS!$C$1562),-1000)</f>
        <v>84.9137931034483</v>
      </c>
      <c r="K40">
        <f>IF(AND(CROQUIS_DATOS!$C$1472=1,1),(CROQUIS_DATOS!$C$1564+(CHOOSE(MIN(MAX(IF(INT(($A40-1)/4)+1&gt;CROQUIS_DATOS!$C$1525,4,MOD($A40-1,4)+1),1),4),0,CROQUIS_DATOS!$C$1476,CROQUIS_DATOS!$C$1476,0))*CROQUIS_DATOS!$C$1561*CROQUIS_DATOS!$C$1562),-1000)</f>
        <v>5.29310344827586</v>
      </c>
      <c r="L40">
        <f>IF(AND(CROQUIS_DATOS!$C$1472=1,1),(CROQUIS_DATOS!$C$1563+(CHOOSE(MIN(MAX(IF(INT(($A40-1)/4)+1&gt;CROQUIS_DATOS!$C$1525,4,MOD($A40-1,4)+1),1),4),((INDEX($E$8:$E$23,MIN(INT(($A40-1)/4)+1,CROQUIS_DATOS!$C$1525))-INDEX($F$8:$F$23,MIN(INT(($A40-1)/4)+1,CROQUIS_DATOS!$C$1525))/2)+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,((INDEX($E$8:$E$23,MIN(INT(($A40-1)/4)+1,CROQUIS_DATOS!$C$1525))-INDEX($F$8:$F$23,MIN(INT(($A40-1)/4)+1,CROQUIS_DATOS!$C$1525))/2)+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,((INDEX($E$8:$E$23,MIN(INT(($A40-1)/4)+1,CROQUIS_DATOS!$C$1525))+INDEX($F$8:$F$23,MIN(INT(($A40-1)/4)+1,CROQUIS_DATOS!$C$1525))/2)-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,((INDEX($E$8:$E$23,MIN(INT(($A40-1)/4)+1,CROQUIS_DATOS!$C$1525))+INDEX($F$8:$F$23,MIN(INT(($A40-1)/4)+1,CROQUIS_DATOS!$C$1525))/2)-MIN((CROQUIS_DATOS!$C$1530+CROQUIS_DATOS!$C$1532+IF(OR(MIN(INT(($A40-1)/4)+1,CROQUIS_DATOS!$C$1525)=1,MIN(INT(($A40-1)/4)+1,CROQUIS_DATOS!$C$1525)=CROQUIS_DATOS!$C$1525),CROQUIS_DATOS!$C$1534,CROQUIS_DATOS!$C$1531)/2),INDEX($F$8:$F$23,MIN(INT(($A40-1)/4)+1,CROQUIS_DATOS!$C$1525))/2-0.5))))*CROQUIS_DATOS!$C$1562),-1000)</f>
        <v>84.4792560344828</v>
      </c>
      <c r="M40">
        <f>IF(AND(CROQUIS_DATOS!$C$1472=1,1),(CROQUIS_DATOS!$C$1564+(CHOOSE(MIN(MAX(IF(INT(($A40-1)/4)+1&gt;CROQUIS_DATOS!$C$1525,4,MOD($A40-1,4)+1),1),4),CROQUIS_DATOS!$C$1543,INDEX($I$8:$I$23,MIN(INT(($A40-1)/4)+1,CROQUIS_DATOS!$C$1525)),INDEX($I$8:$I$23,MIN(INT(($A40-1)/4)+1,CROQUIS_DATOS!$C$1525)),CROQUIS_DATOS!$C$1543))*CROQUIS_DATOS!$C$1561*CROQUIS_DATOS!$C$1562),-1000)</f>
        <v>42.5654629310345</v>
      </c>
      <c r="N40">
        <f>IF(AND(CROQUIS_DATOS!$C$1472=1,1),(CROQUIS_DATOS!$C$1563+(IF(IF(IF(INT(($A40-1)/70)+1&gt;CROQUIS_DATOS!$C$1525,70,MOD($A40-1,70)+1)=1,0,IF(IF(INT(($A40-1)/70)+1&gt;CROQUIS_DATOS!$C$1525,70,MOD($A40-1,70)+1)&gt;2*CROQUIS_DATOS!$C$1541+1,IF(MOD(CROQUIS_DATOS!$C$1541,2)=1,1,0),IF(MOD(MIN(INT((IF(INT(($A40-1)/70)+1&gt;CROQUIS_DATOS!$C$1525,70,MOD($A40-1,70)+1)-2)/2)+1,CROQUIS_DATOS!$C$1541),2)=1,IF(MOD(IF(INT(($A40-1)/70)+1&gt;CROQUIS_DATOS!$C$1525,70,MOD($A40-1,70)+1)-2,2)=0,0,1),IF(MOD(IF(INT(($A40-1)/70)+1&gt;CROQUIS_DATOS!$C$1525,70,MOD($A40-1,70)+1)-2,2)=0,1,0))))=0,(INDEX($E$8:$E$23,MIN(INT(($A40-1)/70)+1,CROQUIS_DATOS!$C$1525))-INDEX($F$8:$F$23,MIN(INT(($A40-1)/70)+1,CROQUIS_DATOS!$C$1525))/2),(INDEX($E$8:$E$23,MIN(INT(($A40-1)/70)+1,CROQUIS_DATOS!$C$1525))+INDEX($F$8:$F$23,MIN(INT(($A40-1)/70)+1,CROQUIS_DATOS!$C$1525))/2)))*CROQUIS_DATOS!$C$1562),-1000)</f>
        <v>15.0862068965517</v>
      </c>
      <c r="O40">
        <f>IF(AND(CROQUIS_DATOS!$C$1472=1,1),(CROQUIS_DATOS!$C$1564+(IF(OR(IF(INT(($A40-1)/70)+1&gt;CROQUIS_DATOS!$C$1525,70,MOD($A40-1,70)+1)=1,IF(INT(($A40-1)/70)+1&gt;CROQUIS_DATOS!$C$1525,70,MOD($A40-1,70)+1)&gt;2*CROQUIS_DATOS!$C$1541+1),CROQUIS_DATOS!$C$1476,INDEX($H$8:$H$41,MIN(INT((IF(INT(($A40-1)/70)+1&gt;CROQUIS_DATOS!$C$1525,70,MOD($A40-1,70)+1)-2)/2)+1,CROQUIS_DATOS!$C$1541))))*CROQUIS_DATOS!$C$1561*CROQUIS_DATOS!$C$1562),-1000)</f>
        <v>37.0646551724138</v>
      </c>
      <c r="P40">
        <f>IF(AND(CROQUIS_DATOS!$C$1472=1,CROQUIS_DATOS!$C$1555=1),(CROQUIS_DATOS!$C$1563+(IF(IF(OR(MOD($A40-1,62)+1=1,IF(CHOOSE(MIN(MAX(MIN(INT(($A40-1)/62)+1,5),1),5),CROQUIS_DATOS!$C$1501,CROQUIS_DATOS!$C$1505,CROQUIS_DATOS!$C$1509,CROQUIS_DATOS!$C$1513,CROQUIS_DATOS!$C$1517)=1,CROQUIS_DATOS!$C$1557,0)=0),0,IF(MOD($A40-1,62)+1&gt;2*IF(CHOOSE(MIN(MAX(MIN(INT(($A40-1)/62)+1,5),1),5),CROQUIS_DATOS!$C$1501,CROQUIS_DATOS!$C$1505,CROQUIS_DATOS!$C$1509,CROQUIS_DATOS!$C$1513,CROQUIS_DATOS!$C$1517)=1,CROQUIS_DATOS!$C$1557,0)+1,IF(MOD(IF(CHOOSE(MIN(MAX(MIN(INT(($A40-1)/62)+1,5),1),5),CROQUIS_DATOS!$C$1501,CROQUIS_DATOS!$C$1505,CROQUIS_DATOS!$C$1509,CROQUIS_DATOS!$C$1513,CROQUIS_DATOS!$C$1517)=1,CROQUIS_DATOS!$C$1557,0),2)=1,1,0),IF(MOD(MIN(INT((MOD($A40-1,62)+1-2)/2)+1,MAX(IF(CHOOSE(MIN(MAX(MIN(INT(($A40-1)/62)+1,5),1),5),CROQUIS_DATOS!$C$1501,CROQUIS_DATOS!$C$1505,CROQUIS_DATOS!$C$1509,CROQUIS_DATOS!$C$1513,CROQUIS_DATOS!$C$1517)=1,CROQUIS_DATOS!$C$1557,0),1)),2)=1,IF(MOD(MOD($A40-1,62)+1-2,2)=0,0,1),IF(MOD(MOD($A40-1,62)+1-2,2)=0,1,0))))=0,(CHOOSE(MIN(MAX(MIN(INT(($A40-1)/62)+1,5),1),5),CROQUIS_DATOS!$C$1499,CROQUIS_DATOS!$C$1503,CROQUIS_DATOS!$C$1507,CROQUIS_DATOS!$C$1511,CROQUIS_DATOS!$C$1515)+IF(CHOOSE(MIN(MAX(MIN(INT(($A40-1)/62)+1,5),1),5),CROQUIS_DATOS!$C$1501,CROQUIS_DATOS!$C$1505,CROQUIS_DATOS!$C$1509,CROQUIS_DATOS!$C$1513,CROQUIS_DATOS!$C$1517)=1,CROQUIS_DATOS!$C$1526,0)),(CHOOSE(MIN(MAX(MIN(INT(($A40-1)/62)+1,5),1),5),CROQUIS_DATOS!$C$1499,CROQUIS_DATOS!$C$1503,CROQUIS_DATOS!$C$1507,CROQUIS_DATOS!$C$1511,CROQUIS_DATOS!$C$1515)+CHOOSE(MIN(MAX(MIN(INT(($A40-1)/62)+1,5),1),5),CROQUIS_DATOS!$C$1500,CROQUIS_DATOS!$C$1504,CROQUIS_DATOS!$C$1508,CROQUIS_DATOS!$C$1512,CROQUIS_DATOS!$C$1516)-IF(CHOOSE(MIN(MAX(MIN(INT(($A40-1)/62)+1,5),1),5),CROQUIS_DATOS!$C$1501,CROQUIS_DATOS!$C$1505,CROQUIS_DATOS!$C$1509,CROQUIS_DATOS!$C$1513,CROQUIS_DATOS!$C$1517)=1,CROQUIS_DATOS!$C$1526,0))))*CROQUIS_DATOS!$C$1562),-1000)</f>
        <v>-1000</v>
      </c>
      <c r="Q40">
        <f>IF(AND(CROQUIS_DATOS!$C$1472=1,CROQUIS_DATOS!$C$1555=1),(CROQUIS_DATOS!$C$1564+(IF(OR(OR(MOD($A40-1,62)+1=1,IF(CHOOSE(MIN(MAX(MIN(INT(($A40-1)/62)+1,5),1),5),CROQUIS_DATOS!$C$1501,CROQUIS_DATOS!$C$1505,CROQUIS_DATOS!$C$1509,CROQUIS_DATOS!$C$1513,CROQUIS_DATOS!$C$1517)=1,CROQUIS_DATOS!$C$1557,0)=0),MOD($A40-1,62)+1&gt;2*IF(CHOOSE(MIN(MAX(MIN(INT(($A40-1)/62)+1,5),1),5),CROQUIS_DATOS!$C$1501,CROQUIS_DATOS!$C$1505,CROQUIS_DATOS!$C$1509,CROQUIS_DATOS!$C$1513,CROQUIS_DATOS!$C$1517)=1,CROQUIS_DATOS!$C$1557,0)+1),CROQUIS_DATOS!$C$1476,MIN(INT((MOD($A40-1,62)+1-2)/2)+1,MAX(IF(CHOOSE(MIN(MAX(MIN(INT(($A40-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0">
        <f>IF(AND(CROQUIS_DATOS!$C$1472=1,1),(CROQUIS_DATOS!$C$1563+(MIN(INT(($A40-1)/2)+1,CROQUIS_DATOS!$C$1558)*CROQUIS_DATOS!$C$1559)*CROQUIS_DATOS!$C$1562),-1000)</f>
        <v>60.7427055702918</v>
      </c>
      <c r="U40">
        <f>IF(AND(CROQUIS_DATOS!$C$1472=1,1),(CROQUIS_DATOS!$C$1564+(IF(INT(($A40-1)/2)+1&gt;CROQUIS_DATOS!$C$1558,IF(MOD(CROQUIS_DATOS!$C$1558,2)=1,CROQUIS_DATOS!$C$1476+CROQUIS_DATOS!$C$1528,CROQUIS_DATOS!$C$1476),IF(IF(MOD(MIN(INT(($A40-1)/2)+1,CROQUIS_DATOS!$C$1558),2)=1,MOD($A40-1,2),1-MOD($A40-1,2))=1,CROQUIS_DATOS!$C$1476+CROQUIS_DATOS!$C$1528,CROQUIS_DATOS!$C$1476)))*CROQUIS_DATOS!$C$1561*CROQUIS_DATOS!$C$1562),-1000)</f>
        <v>40.2068965517241</v>
      </c>
      <c r="BZ40">
        <f>IF(AND(CROQUIS_DATOS!$C$1472=1,CROQUIS_DATOS!$C$1500&gt;0,((CROQUIS_DATOS!$C$1499+CROQUIS_DATOS!$C$1500))-(CROQUIS_DATOS!$C$1499)&gt;0.5,(CROQUIS_DATOS!$C$1476)-(0)&gt;0.5),(CROQUIS_DATOS!$C$1566+(IF(IF(MOD(MIN(INT(($A40-1)/2)+1,MAX(1,INT(((((CROQUIS_DATOS!$C$1499+CROQUIS_DATOS!$C$1500))-(CROQUIS_DATOS!$C$1499))+((CROQUIS_DATOS!$C$1476)*CROQUIS_DATOS!$C$1561-(0)*CROQUIS_DATOS!$C$1561))/CROQUIS_DATOS!$C$1568-0.000001))),2)=1,IF(INT(($A40-1)/2)+1&gt;MAX(1,INT(((((CROQUIS_DATOS!$C$1499+CROQUIS_DATOS!$C$1500))-(CROQUIS_DATOS!$C$1499))+((CROQUIS_DATOS!$C$1476)*CROQUIS_DATOS!$C$1561-(0)*CROQUIS_DATOS!$C$1561))/CROQUIS_DATOS!$C$1568-0.000001)),1,MOD($A40-1,2)),1-IF(INT(($A40-1)/2)+1&gt;MAX(1,INT(((((CROQUIS_DATOS!$C$1499+CROQUIS_DATOS!$C$1500))-(CROQUIS_DATOS!$C$1499))+((CROQUIS_DATOS!$C$1476)*CROQUIS_DATOS!$C$1561-(0)*CROQUIS_DATOS!$C$1561))/CROQUIS_DATOS!$C$1568-0.000001)),1,MOD($A40-1,2)))=1,MIN((CROQUIS_DATOS!$C$1476)*CROQUIS_DATOS!$C$1561,((CROQUIS_DATOS!$C$1499+CROQUIS_DATOS!$C$1500)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*CROQUIS_DATOS!$C$1565),-1000)</f>
        <v>24.751724137931</v>
      </c>
      <c r="CA40">
        <f>IF(AND(CROQUIS_DATOS!$C$1472=1,CROQUIS_DATOS!$C$1500&gt;0,((CROQUIS_DATOS!$C$1499+CROQUIS_DATOS!$C$1500))-(CROQUIS_DATOS!$C$1499)&gt;0.5,(CROQUIS_DATOS!$C$1476)-(0)&gt;0.5),(CROQUIS_DATOS!$C$1567+(IF(IF(MOD(MIN(INT(($A40-1)/2)+1,MAX(1,INT(((((CROQUIS_DATOS!$C$1499+CROQUIS_DATOS!$C$1500))-(CROQUIS_DATOS!$C$1499))+((CROQUIS_DATOS!$C$1476)*CROQUIS_DATOS!$C$1561-(0)*CROQUIS_DATOS!$C$1561))/CROQUIS_DATOS!$C$1568-0.000001))),2)=1,IF(INT(($A40-1)/2)+1&gt;MAX(1,INT(((((CROQUIS_DATOS!$C$1499+CROQUIS_DATOS!$C$1500))-(CROQUIS_DATOS!$C$1499))+((CROQUIS_DATOS!$C$1476)*CROQUIS_DATOS!$C$1561-(0)*CROQUIS_DATOS!$C$1561))/CROQUIS_DATOS!$C$1568-0.000001)),1,MOD($A40-1,2)),1-IF(INT(($A40-1)/2)+1&gt;MAX(1,INT(((((CROQUIS_DATOS!$C$1499+CROQUIS_DATOS!$C$1500))-(CROQUIS_DATOS!$C$1499))+((CROQUIS_DATOS!$C$1476)*CROQUIS_DATOS!$C$1561-(0)*CROQUIS_DATOS!$C$1561))/CROQUIS_DATOS!$C$1568-0.000001)),1,MOD($A40-1,2)))=1,MIN((CROQUIS_DATOS!$C$1476)*CROQUIS_DATOS!$C$1561,((CROQUIS_DATOS!$C$1499+CROQUIS_DATOS!$C$1500)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40-1)/2)+1,MAX(1,INT(((((CROQUIS_DATOS!$C$1499+CROQUIS_DATOS!$C$1500))-(CROQUIS_DATOS!$C$1499))+((CROQUIS_DATOS!$C$1476)*CROQUIS_DATOS!$C$1561-(0)*CROQUIS_DATOS!$C$1561))/CROQUIS_DATOS!$C$1568-0.000001)))*CROQUIS_DATOS!$C$1568))))*CROQUIS_DATOS!$C$1565),-1000)</f>
        <v>12.1379310344828</v>
      </c>
      <c r="CB40">
        <f>IF(AND(CROQUIS_DATOS!$C$1472=1,CROQUIS_DATOS!$C$1504&gt;0,((CROQUIS_DATOS!$C$1503+CROQUIS_DATOS!$C$1504))-(CROQUIS_DATOS!$C$1503)&gt;0.5,(CROQUIS_DATOS!$C$1476)-(0)&gt;0.5),(CROQUIS_DATOS!$C$1566+(IF(IF(MOD(MIN(INT(($A40-1)/2)+1,MAX(1,INT(((((CROQUIS_DATOS!$C$1503+CROQUIS_DATOS!$C$1504))-(CROQUIS_DATOS!$C$1503))+((CROQUIS_DATOS!$C$1476)*CROQUIS_DATOS!$C$1561-(0)*CROQUIS_DATOS!$C$1561))/CROQUIS_DATOS!$C$1568-0.000001))),2)=1,IF(INT(($A40-1)/2)+1&gt;MAX(1,INT(((((CROQUIS_DATOS!$C$1503+CROQUIS_DATOS!$C$1504))-(CROQUIS_DATOS!$C$1503))+((CROQUIS_DATOS!$C$1476)*CROQUIS_DATOS!$C$1561-(0)*CROQUIS_DATOS!$C$1561))/CROQUIS_DATOS!$C$1568-0.000001)),1,MOD($A40-1,2)),1-IF(INT(($A40-1)/2)+1&gt;MAX(1,INT(((((CROQUIS_DATOS!$C$1503+CROQUIS_DATOS!$C$1504))-(CROQUIS_DATOS!$C$1503))+((CROQUIS_DATOS!$C$1476)*CROQUIS_DATOS!$C$1561-(0)*CROQUIS_DATOS!$C$1561))/CROQUIS_DATOS!$C$1568-0.000001)),1,MOD($A40-1,2)))=1,MIN((CROQUIS_DATOS!$C$1476)*CROQUIS_DATOS!$C$1561,((CROQUIS_DATOS!$C$1503+CROQUIS_DATOS!$C$1504)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*CROQUIS_DATOS!$C$1565),-1000)</f>
        <v>38.648275862069</v>
      </c>
      <c r="CC40">
        <f>IF(AND(CROQUIS_DATOS!$C$1472=1,CROQUIS_DATOS!$C$1504&gt;0,((CROQUIS_DATOS!$C$1503+CROQUIS_DATOS!$C$1504))-(CROQUIS_DATOS!$C$1503)&gt;0.5,(CROQUIS_DATOS!$C$1476)-(0)&gt;0.5),(CROQUIS_DATOS!$C$1567+(IF(IF(MOD(MIN(INT(($A40-1)/2)+1,MAX(1,INT(((((CROQUIS_DATOS!$C$1503+CROQUIS_DATOS!$C$1504))-(CROQUIS_DATOS!$C$1503))+((CROQUIS_DATOS!$C$1476)*CROQUIS_DATOS!$C$1561-(0)*CROQUIS_DATOS!$C$1561))/CROQUIS_DATOS!$C$1568-0.000001))),2)=1,IF(INT(($A40-1)/2)+1&gt;MAX(1,INT(((((CROQUIS_DATOS!$C$1503+CROQUIS_DATOS!$C$1504))-(CROQUIS_DATOS!$C$1503))+((CROQUIS_DATOS!$C$1476)*CROQUIS_DATOS!$C$1561-(0)*CROQUIS_DATOS!$C$1561))/CROQUIS_DATOS!$C$1568-0.000001)),1,MOD($A40-1,2)),1-IF(INT(($A40-1)/2)+1&gt;MAX(1,INT(((((CROQUIS_DATOS!$C$1503+CROQUIS_DATOS!$C$1504))-(CROQUIS_DATOS!$C$1503))+((CROQUIS_DATOS!$C$1476)*CROQUIS_DATOS!$C$1561-(0)*CROQUIS_DATOS!$C$1561))/CROQUIS_DATOS!$C$1568-0.000001)),1,MOD($A40-1,2)))=1,MIN((CROQUIS_DATOS!$C$1476)*CROQUIS_DATOS!$C$1561,((CROQUIS_DATOS!$C$1503+CROQUIS_DATOS!$C$1504)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40-1)/2)+1,MAX(1,INT(((((CROQUIS_DATOS!$C$1503+CROQUIS_DATOS!$C$1504))-(CROQUIS_DATOS!$C$1503))+((CROQUIS_DATOS!$C$1476)*CROQUIS_DATOS!$C$1561-(0)*CROQUIS_DATOS!$C$1561))/CROQUIS_DATOS!$C$1568-0.000001)))*CROQUIS_DATOS!$C$1568))))*CROQUIS_DATOS!$C$1565),-1000)</f>
        <v>12.1379310344828</v>
      </c>
      <c r="CD40">
        <f>IF(AND(CROQUIS_DATOS!$C$1472=1,CROQUIS_DATOS!$C$1508&gt;0,((CROQUIS_DATOS!$C$1507+CROQUIS_DATOS!$C$1508))-(CROQUIS_DATOS!$C$1507)&gt;0.5,(CROQUIS_DATOS!$C$1476)-(0)&gt;0.5),(CROQUIS_DATOS!$C$1566+(IF(IF(MOD(MIN(INT(($A40-1)/2)+1,MAX(1,INT(((((CROQUIS_DATOS!$C$1507+CROQUIS_DATOS!$C$1508))-(CROQUIS_DATOS!$C$1507))+((CROQUIS_DATOS!$C$1476)*CROQUIS_DATOS!$C$1561-(0)*CROQUIS_DATOS!$C$1561))/CROQUIS_DATOS!$C$1568-0.000001))),2)=1,IF(INT(($A40-1)/2)+1&gt;MAX(1,INT(((((CROQUIS_DATOS!$C$1507+CROQUIS_DATOS!$C$1508))-(CROQUIS_DATOS!$C$1507))+((CROQUIS_DATOS!$C$1476)*CROQUIS_DATOS!$C$1561-(0)*CROQUIS_DATOS!$C$1561))/CROQUIS_DATOS!$C$1568-0.000001)),1,MOD($A40-1,2)),1-IF(INT(($A40-1)/2)+1&gt;MAX(1,INT(((((CROQUIS_DATOS!$C$1507+CROQUIS_DATOS!$C$1508))-(CROQUIS_DATOS!$C$1507))+((CROQUIS_DATOS!$C$1476)*CROQUIS_DATOS!$C$1561-(0)*CROQUIS_DATOS!$C$1561))/CROQUIS_DATOS!$C$1568-0.000001)),1,MOD($A40-1,2)))=1,MIN((CROQUIS_DATOS!$C$1476)*CROQUIS_DATOS!$C$1561,((CROQUIS_DATOS!$C$1507+CROQUIS_DATOS!$C$1508)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*CROQUIS_DATOS!$C$1565),-1000)</f>
        <v>65.3724137931035</v>
      </c>
      <c r="CE40">
        <f>IF(AND(CROQUIS_DATOS!$C$1472=1,CROQUIS_DATOS!$C$1508&gt;0,((CROQUIS_DATOS!$C$1507+CROQUIS_DATOS!$C$1508))-(CROQUIS_DATOS!$C$1507)&gt;0.5,(CROQUIS_DATOS!$C$1476)-(0)&gt;0.5),(CROQUIS_DATOS!$C$1567+(IF(IF(MOD(MIN(INT(($A40-1)/2)+1,MAX(1,INT(((((CROQUIS_DATOS!$C$1507+CROQUIS_DATOS!$C$1508))-(CROQUIS_DATOS!$C$1507))+((CROQUIS_DATOS!$C$1476)*CROQUIS_DATOS!$C$1561-(0)*CROQUIS_DATOS!$C$1561))/CROQUIS_DATOS!$C$1568-0.000001))),2)=1,IF(INT(($A40-1)/2)+1&gt;MAX(1,INT(((((CROQUIS_DATOS!$C$1507+CROQUIS_DATOS!$C$1508))-(CROQUIS_DATOS!$C$1507))+((CROQUIS_DATOS!$C$1476)*CROQUIS_DATOS!$C$1561-(0)*CROQUIS_DATOS!$C$1561))/CROQUIS_DATOS!$C$1568-0.000001)),1,MOD($A40-1,2)),1-IF(INT(($A40-1)/2)+1&gt;MAX(1,INT(((((CROQUIS_DATOS!$C$1507+CROQUIS_DATOS!$C$1508))-(CROQUIS_DATOS!$C$1507))+((CROQUIS_DATOS!$C$1476)*CROQUIS_DATOS!$C$1561-(0)*CROQUIS_DATOS!$C$1561))/CROQUIS_DATOS!$C$1568-0.000001)),1,MOD($A40-1,2)))=1,MIN((CROQUIS_DATOS!$C$1476)*CROQUIS_DATOS!$C$1561,((CROQUIS_DATOS!$C$1507+CROQUIS_DATOS!$C$1508)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40">
        <f>IF(AND(CROQUIS_DATOS!$C$1472=1,CROQUIS_DATOS!$C$1512&gt;0,((CROQUIS_DATOS!$C$1511+CROQUIS_DATOS!$C$1512))-(CROQUIS_DATOS!$C$1511)&gt;0.5,(CROQUIS_DATOS!$C$1476)-(0)&gt;0.5),(CROQUIS_DATOS!$C$1566+(IF(IF(MOD(MIN(INT(($A40-1)/2)+1,MAX(1,INT(((((CROQUIS_DATOS!$C$1511+CROQUIS_DATOS!$C$1512))-(CROQUIS_DATOS!$C$1511))+((CROQUIS_DATOS!$C$1476)*CROQUIS_DATOS!$C$1561-(0)*CROQUIS_DATOS!$C$1561))/CROQUIS_DATOS!$C$1568-0.000001))),2)=1,IF(INT(($A40-1)/2)+1&gt;MAX(1,INT(((((CROQUIS_DATOS!$C$1511+CROQUIS_DATOS!$C$1512))-(CROQUIS_DATOS!$C$1511))+((CROQUIS_DATOS!$C$1476)*CROQUIS_DATOS!$C$1561-(0)*CROQUIS_DATOS!$C$1561))/CROQUIS_DATOS!$C$1568-0.000001)),1,MOD($A40-1,2)),1-IF(INT(($A40-1)/2)+1&gt;MAX(1,INT(((((CROQUIS_DATOS!$C$1511+CROQUIS_DATOS!$C$1512))-(CROQUIS_DATOS!$C$1511))+((CROQUIS_DATOS!$C$1476)*CROQUIS_DATOS!$C$1561-(0)*CROQUIS_DATOS!$C$1561))/CROQUIS_DATOS!$C$1568-0.000001)),1,MOD($A40-1,2)))=1,MIN((CROQUIS_DATOS!$C$1476)*CROQUIS_DATOS!$C$1561,((CROQUIS_DATOS!$C$1511+CROQUIS_DATOS!$C$1512)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0">
        <f>IF(AND(CROQUIS_DATOS!$C$1472=1,CROQUIS_DATOS!$C$1512&gt;0,((CROQUIS_DATOS!$C$1511+CROQUIS_DATOS!$C$1512))-(CROQUIS_DATOS!$C$1511)&gt;0.5,(CROQUIS_DATOS!$C$1476)-(0)&gt;0.5),(CROQUIS_DATOS!$C$1567+(IF(IF(MOD(MIN(INT(($A40-1)/2)+1,MAX(1,INT(((((CROQUIS_DATOS!$C$1511+CROQUIS_DATOS!$C$1512))-(CROQUIS_DATOS!$C$1511))+((CROQUIS_DATOS!$C$1476)*CROQUIS_DATOS!$C$1561-(0)*CROQUIS_DATOS!$C$1561))/CROQUIS_DATOS!$C$1568-0.000001))),2)=1,IF(INT(($A40-1)/2)+1&gt;MAX(1,INT(((((CROQUIS_DATOS!$C$1511+CROQUIS_DATOS!$C$1512))-(CROQUIS_DATOS!$C$1511))+((CROQUIS_DATOS!$C$1476)*CROQUIS_DATOS!$C$1561-(0)*CROQUIS_DATOS!$C$1561))/CROQUIS_DATOS!$C$1568-0.000001)),1,MOD($A40-1,2)),1-IF(INT(($A40-1)/2)+1&gt;MAX(1,INT(((((CROQUIS_DATOS!$C$1511+CROQUIS_DATOS!$C$1512))-(CROQUIS_DATOS!$C$1511))+((CROQUIS_DATOS!$C$1476)*CROQUIS_DATOS!$C$1561-(0)*CROQUIS_DATOS!$C$1561))/CROQUIS_DATOS!$C$1568-0.000001)),1,MOD($A40-1,2)))=1,MIN((CROQUIS_DATOS!$C$1476)*CROQUIS_DATOS!$C$1561,((CROQUIS_DATOS!$C$1511+CROQUIS_DATOS!$C$1512)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0">
        <f>IF(AND(CROQUIS_DATOS!$C$1472=1,CROQUIS_DATOS!$C$1516&gt;0,((CROQUIS_DATOS!$C$1515+CROQUIS_DATOS!$C$1516))-(CROQUIS_DATOS!$C$1515)&gt;0.5,(CROQUIS_DATOS!$C$1476)-(0)&gt;0.5),(CROQUIS_DATOS!$C$1566+(IF(IF(MOD(MIN(INT(($A40-1)/2)+1,MAX(1,INT(((((CROQUIS_DATOS!$C$1515+CROQUIS_DATOS!$C$1516))-(CROQUIS_DATOS!$C$1515))+((CROQUIS_DATOS!$C$1476)*CROQUIS_DATOS!$C$1561-(0)*CROQUIS_DATOS!$C$1561))/CROQUIS_DATOS!$C$1568-0.000001))),2)=1,IF(INT(($A40-1)/2)+1&gt;MAX(1,INT(((((CROQUIS_DATOS!$C$1515+CROQUIS_DATOS!$C$1516))-(CROQUIS_DATOS!$C$1515))+((CROQUIS_DATOS!$C$1476)*CROQUIS_DATOS!$C$1561-(0)*CROQUIS_DATOS!$C$1561))/CROQUIS_DATOS!$C$1568-0.000001)),1,MOD($A40-1,2)),1-IF(INT(($A40-1)/2)+1&gt;MAX(1,INT(((((CROQUIS_DATOS!$C$1515+CROQUIS_DATOS!$C$1516))-(CROQUIS_DATOS!$C$1515))+((CROQUIS_DATOS!$C$1476)*CROQUIS_DATOS!$C$1561-(0)*CROQUIS_DATOS!$C$1561))/CROQUIS_DATOS!$C$1568-0.000001)),1,MOD($A40-1,2)))=1,MIN((CROQUIS_DATOS!$C$1476)*CROQUIS_DATOS!$C$1561,((CROQUIS_DATOS!$C$1515+CROQUIS_DATOS!$C$1516)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0">
        <f>IF(AND(CROQUIS_DATOS!$C$1472=1,CROQUIS_DATOS!$C$1516&gt;0,((CROQUIS_DATOS!$C$1515+CROQUIS_DATOS!$C$1516))-(CROQUIS_DATOS!$C$1515)&gt;0.5,(CROQUIS_DATOS!$C$1476)-(0)&gt;0.5),(CROQUIS_DATOS!$C$1567+(IF(IF(MOD(MIN(INT(($A40-1)/2)+1,MAX(1,INT(((((CROQUIS_DATOS!$C$1515+CROQUIS_DATOS!$C$1516))-(CROQUIS_DATOS!$C$1515))+((CROQUIS_DATOS!$C$1476)*CROQUIS_DATOS!$C$1561-(0)*CROQUIS_DATOS!$C$1561))/CROQUIS_DATOS!$C$1568-0.000001))),2)=1,IF(INT(($A40-1)/2)+1&gt;MAX(1,INT(((((CROQUIS_DATOS!$C$1515+CROQUIS_DATOS!$C$1516))-(CROQUIS_DATOS!$C$1515))+((CROQUIS_DATOS!$C$1476)*CROQUIS_DATOS!$C$1561-(0)*CROQUIS_DATOS!$C$1561))/CROQUIS_DATOS!$C$1568-0.000001)),1,MOD($A40-1,2)),1-IF(INT(($A40-1)/2)+1&gt;MAX(1,INT(((((CROQUIS_DATOS!$C$1515+CROQUIS_DATOS!$C$1516))-(CROQUIS_DATOS!$C$1515))+((CROQUIS_DATOS!$C$1476)*CROQUIS_DATOS!$C$1561-(0)*CROQUIS_DATOS!$C$1561))/CROQUIS_DATOS!$C$1568-0.000001)),1,MOD($A40-1,2)))=1,MIN((CROQUIS_DATOS!$C$1476)*CROQUIS_DATOS!$C$1561,((CROQUIS_DATOS!$C$1515+CROQUIS_DATOS!$C$1516)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0">
        <f>IF(AND(CROQUIS_DATOS!$C$1472=1,CROQUIS_DATOS!$C$1478&gt;=1,((CROQUIS_DATOS!$C$1479+CROQUIS_DATOS!$C$1480))-(CROQUIS_DATOS!$C$1479)&gt;0.5,(CROQUIS_DATOS!$C$1481)-(0)&gt;0.5),(CROQUIS_DATOS!$C$1566+(IF(IF(MOD(MIN(INT(($A40-1)/2)+1,MAX(1,INT(((((CROQUIS_DATOS!$C$1479+CROQUIS_DATOS!$C$1480))-(CROQUIS_DATOS!$C$1479))+((CROQUIS_DATOS!$C$1481)*CROQUIS_DATOS!$C$1561-(0)*CROQUIS_DATOS!$C$1561))/CROQUIS_DATOS!$C$1568-0.000001))),2)=1,IF(INT(($A40-1)/2)+1&gt;MAX(1,INT(((((CROQUIS_DATOS!$C$1479+CROQUIS_DATOS!$C$1480))-(CROQUIS_DATOS!$C$1479))+((CROQUIS_DATOS!$C$1481)*CROQUIS_DATOS!$C$1561-(0)*CROQUIS_DATOS!$C$1561))/CROQUIS_DATOS!$C$1568-0.000001)),1,MOD($A40-1,2)),1-IF(INT(($A40-1)/2)+1&gt;MAX(1,INT(((((CROQUIS_DATOS!$C$1479+CROQUIS_DATOS!$C$1480))-(CROQUIS_DATOS!$C$1479))+((CROQUIS_DATOS!$C$1481)*CROQUIS_DATOS!$C$1561-(0)*CROQUIS_DATOS!$C$1561))/CROQUIS_DATOS!$C$1568-0.000001)),1,MOD($A40-1,2)))=1,MIN((CROQUIS_DATOS!$C$1481)*CROQUIS_DATOS!$C$1561,((CROQUIS_DATOS!$C$1479+CROQUIS_DATOS!$C$1480)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0">
        <f>IF(AND(CROQUIS_DATOS!$C$1472=1,CROQUIS_DATOS!$C$1478&gt;=1,((CROQUIS_DATOS!$C$1479+CROQUIS_DATOS!$C$1480))-(CROQUIS_DATOS!$C$1479)&gt;0.5,(CROQUIS_DATOS!$C$1481)-(0)&gt;0.5),(CROQUIS_DATOS!$C$1567+(IF(IF(MOD(MIN(INT(($A40-1)/2)+1,MAX(1,INT(((((CROQUIS_DATOS!$C$1479+CROQUIS_DATOS!$C$1480))-(CROQUIS_DATOS!$C$1479))+((CROQUIS_DATOS!$C$1481)*CROQUIS_DATOS!$C$1561-(0)*CROQUIS_DATOS!$C$1561))/CROQUIS_DATOS!$C$1568-0.000001))),2)=1,IF(INT(($A40-1)/2)+1&gt;MAX(1,INT(((((CROQUIS_DATOS!$C$1479+CROQUIS_DATOS!$C$1480))-(CROQUIS_DATOS!$C$1479))+((CROQUIS_DATOS!$C$1481)*CROQUIS_DATOS!$C$1561-(0)*CROQUIS_DATOS!$C$1561))/CROQUIS_DATOS!$C$1568-0.000001)),1,MOD($A40-1,2)),1-IF(INT(($A40-1)/2)+1&gt;MAX(1,INT(((((CROQUIS_DATOS!$C$1479+CROQUIS_DATOS!$C$1480))-(CROQUIS_DATOS!$C$1479))+((CROQUIS_DATOS!$C$1481)*CROQUIS_DATOS!$C$1561-(0)*CROQUIS_DATOS!$C$1561))/CROQUIS_DATOS!$C$1568-0.000001)),1,MOD($A40-1,2)))=1,MIN((CROQUIS_DATOS!$C$1481)*CROQUIS_DATOS!$C$1561,((CROQUIS_DATOS!$C$1479+CROQUIS_DATOS!$C$1480)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0">
        <f>IF(AND(CROQUIS_DATOS!$C$1472=1,CROQUIS_DATOS!$C$1478&gt;=1,((CROQUIS_DATOS!$C$1479+CROQUIS_DATOS!$C$1480))-(CROQUIS_DATOS!$C$1479)&gt;0.5,(CROQUIS_DATOS!$C$1476)-((CROQUIS_DATOS!$C$1481+CROQUIS_DATOS!$C$1482))&gt;0.5),(CROQUIS_DATOS!$C$1566+(IF(IF(MOD(MIN(INT(($A40-1)/2)+1,MAX(1,INT(((((CROQUIS_DATOS!$C$1479+CROQUIS_DATOS!$C$1480))-(CROQUIS_DATOS!$C$1479))+((CROQUIS_DATOS!$C$1476)*CROQUIS_DATOS!$C$1561-((CROQUIS_DATOS!$C$1481+CROQUIS_DATOS!$C$1482))*CROQUIS_DATOS!$C$1561))/CROQUIS_DATOS!$C$1568-0.000001))),2)=1,IF(INT(($A40-1)/2)+1&gt;MAX(1,INT(((((CROQUIS_DATOS!$C$1479+CROQUIS_DATOS!$C$1480))-(CROQUIS_DATOS!$C$1479))+((CROQUIS_DATOS!$C$1476)*CROQUIS_DATOS!$C$1561-((CROQUIS_DATOS!$C$1481+CROQUIS_DATOS!$C$1482))*CROQUIS_DATOS!$C$1561))/CROQUIS_DATOS!$C$1568-0.000001)),1,MOD($A40-1,2)),1-IF(INT(($A40-1)/2)+1&gt;MAX(1,INT(((((CROQUIS_DATOS!$C$1479+CROQUIS_DATOS!$C$1480))-(CROQUIS_DATOS!$C$1479))+((CROQUIS_DATOS!$C$1476)*CROQUIS_DATOS!$C$1561-((CROQUIS_DATOS!$C$1481+CROQUIS_DATOS!$C$1482))*CROQUIS_DATOS!$C$1561))/CROQUIS_DATOS!$C$1568-0.000001)),1,MOD($A40-1,2)))=1,MIN((CROQUIS_DATOS!$C$1476)*CROQUIS_DATOS!$C$1561,((CROQUIS_DATOS!$C$1479+CROQUIS_DATOS!$C$1480)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0">
        <f>IF(AND(CROQUIS_DATOS!$C$1472=1,CROQUIS_DATOS!$C$1478&gt;=1,((CROQUIS_DATOS!$C$1479+CROQUIS_DATOS!$C$1480))-(CROQUIS_DATOS!$C$1479)&gt;0.5,(CROQUIS_DATOS!$C$1476)-((CROQUIS_DATOS!$C$1481+CROQUIS_DATOS!$C$1482))&gt;0.5),(CROQUIS_DATOS!$C$1567+(IF(IF(MOD(MIN(INT(($A40-1)/2)+1,MAX(1,INT(((((CROQUIS_DATOS!$C$1479+CROQUIS_DATOS!$C$1480))-(CROQUIS_DATOS!$C$1479))+((CROQUIS_DATOS!$C$1476)*CROQUIS_DATOS!$C$1561-((CROQUIS_DATOS!$C$1481+CROQUIS_DATOS!$C$1482))*CROQUIS_DATOS!$C$1561))/CROQUIS_DATOS!$C$1568-0.000001))),2)=1,IF(INT(($A40-1)/2)+1&gt;MAX(1,INT(((((CROQUIS_DATOS!$C$1479+CROQUIS_DATOS!$C$1480))-(CROQUIS_DATOS!$C$1479))+((CROQUIS_DATOS!$C$1476)*CROQUIS_DATOS!$C$1561-((CROQUIS_DATOS!$C$1481+CROQUIS_DATOS!$C$1482))*CROQUIS_DATOS!$C$1561))/CROQUIS_DATOS!$C$1568-0.000001)),1,MOD($A40-1,2)),1-IF(INT(($A40-1)/2)+1&gt;MAX(1,INT(((((CROQUIS_DATOS!$C$1479+CROQUIS_DATOS!$C$1480))-(CROQUIS_DATOS!$C$1479))+((CROQUIS_DATOS!$C$1476)*CROQUIS_DATOS!$C$1561-((CROQUIS_DATOS!$C$1481+CROQUIS_DATOS!$C$1482))*CROQUIS_DATOS!$C$1561))/CROQUIS_DATOS!$C$1568-0.000001)),1,MOD($A40-1,2)))=1,MIN((CROQUIS_DATOS!$C$1476)*CROQUIS_DATOS!$C$1561,((CROQUIS_DATOS!$C$1479+CROQUIS_DATOS!$C$1480)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0">
        <f>IF(AND(CROQUIS_DATOS!$C$1472=1,CROQUIS_DATOS!$C$1478&gt;=2,((CROQUIS_DATOS!$C$1484+CROQUIS_DATOS!$C$1485))-(CROQUIS_DATOS!$C$1484)&gt;0.5,(CROQUIS_DATOS!$C$1486)-(0)&gt;0.5),(CROQUIS_DATOS!$C$1566+(IF(IF(MOD(MIN(INT(($A40-1)/2)+1,MAX(1,INT(((((CROQUIS_DATOS!$C$1484+CROQUIS_DATOS!$C$1485))-(CROQUIS_DATOS!$C$1484))+((CROQUIS_DATOS!$C$1486)*CROQUIS_DATOS!$C$1561-(0)*CROQUIS_DATOS!$C$1561))/CROQUIS_DATOS!$C$1568-0.000001))),2)=1,IF(INT(($A40-1)/2)+1&gt;MAX(1,INT(((((CROQUIS_DATOS!$C$1484+CROQUIS_DATOS!$C$1485))-(CROQUIS_DATOS!$C$1484))+((CROQUIS_DATOS!$C$1486)*CROQUIS_DATOS!$C$1561-(0)*CROQUIS_DATOS!$C$1561))/CROQUIS_DATOS!$C$1568-0.000001)),1,MOD($A40-1,2)),1-IF(INT(($A40-1)/2)+1&gt;MAX(1,INT(((((CROQUIS_DATOS!$C$1484+CROQUIS_DATOS!$C$1485))-(CROQUIS_DATOS!$C$1484))+((CROQUIS_DATOS!$C$1486)*CROQUIS_DATOS!$C$1561-(0)*CROQUIS_DATOS!$C$1561))/CROQUIS_DATOS!$C$1568-0.000001)),1,MOD($A40-1,2)))=1,MIN((CROQUIS_DATOS!$C$1486)*CROQUIS_DATOS!$C$1561,((CROQUIS_DATOS!$C$1484+CROQUIS_DATOS!$C$1485)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0">
        <f>IF(AND(CROQUIS_DATOS!$C$1472=1,CROQUIS_DATOS!$C$1478&gt;=2,((CROQUIS_DATOS!$C$1484+CROQUIS_DATOS!$C$1485))-(CROQUIS_DATOS!$C$1484)&gt;0.5,(CROQUIS_DATOS!$C$1486)-(0)&gt;0.5),(CROQUIS_DATOS!$C$1567+(IF(IF(MOD(MIN(INT(($A40-1)/2)+1,MAX(1,INT(((((CROQUIS_DATOS!$C$1484+CROQUIS_DATOS!$C$1485))-(CROQUIS_DATOS!$C$1484))+((CROQUIS_DATOS!$C$1486)*CROQUIS_DATOS!$C$1561-(0)*CROQUIS_DATOS!$C$1561))/CROQUIS_DATOS!$C$1568-0.000001))),2)=1,IF(INT(($A40-1)/2)+1&gt;MAX(1,INT(((((CROQUIS_DATOS!$C$1484+CROQUIS_DATOS!$C$1485))-(CROQUIS_DATOS!$C$1484))+((CROQUIS_DATOS!$C$1486)*CROQUIS_DATOS!$C$1561-(0)*CROQUIS_DATOS!$C$1561))/CROQUIS_DATOS!$C$1568-0.000001)),1,MOD($A40-1,2)),1-IF(INT(($A40-1)/2)+1&gt;MAX(1,INT(((((CROQUIS_DATOS!$C$1484+CROQUIS_DATOS!$C$1485))-(CROQUIS_DATOS!$C$1484))+((CROQUIS_DATOS!$C$1486)*CROQUIS_DATOS!$C$1561-(0)*CROQUIS_DATOS!$C$1561))/CROQUIS_DATOS!$C$1568-0.000001)),1,MOD($A40-1,2)))=1,MIN((CROQUIS_DATOS!$C$1486)*CROQUIS_DATOS!$C$1561,((CROQUIS_DATOS!$C$1484+CROQUIS_DATOS!$C$1485)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0">
        <f>IF(AND(CROQUIS_DATOS!$C$1472=1,CROQUIS_DATOS!$C$1478&gt;=2,((CROQUIS_DATOS!$C$1484+CROQUIS_DATOS!$C$1485))-(CROQUIS_DATOS!$C$1484)&gt;0.5,(CROQUIS_DATOS!$C$1476)-((CROQUIS_DATOS!$C$1486+CROQUIS_DATOS!$C$1487))&gt;0.5),(CROQUIS_DATOS!$C$1566+(IF(IF(MOD(MIN(INT(($A40-1)/2)+1,MAX(1,INT(((((CROQUIS_DATOS!$C$1484+CROQUIS_DATOS!$C$1485))-(CROQUIS_DATOS!$C$1484))+((CROQUIS_DATOS!$C$1476)*CROQUIS_DATOS!$C$1561-((CROQUIS_DATOS!$C$1486+CROQUIS_DATOS!$C$1487))*CROQUIS_DATOS!$C$1561))/CROQUIS_DATOS!$C$1568-0.000001))),2)=1,IF(INT(($A40-1)/2)+1&gt;MAX(1,INT(((((CROQUIS_DATOS!$C$1484+CROQUIS_DATOS!$C$1485))-(CROQUIS_DATOS!$C$1484))+((CROQUIS_DATOS!$C$1476)*CROQUIS_DATOS!$C$1561-((CROQUIS_DATOS!$C$1486+CROQUIS_DATOS!$C$1487))*CROQUIS_DATOS!$C$1561))/CROQUIS_DATOS!$C$1568-0.000001)),1,MOD($A40-1,2)),1-IF(INT(($A40-1)/2)+1&gt;MAX(1,INT(((((CROQUIS_DATOS!$C$1484+CROQUIS_DATOS!$C$1485))-(CROQUIS_DATOS!$C$1484))+((CROQUIS_DATOS!$C$1476)*CROQUIS_DATOS!$C$1561-((CROQUIS_DATOS!$C$1486+CROQUIS_DATOS!$C$1487))*CROQUIS_DATOS!$C$1561))/CROQUIS_DATOS!$C$1568-0.000001)),1,MOD($A40-1,2)))=1,MIN((CROQUIS_DATOS!$C$1476)*CROQUIS_DATOS!$C$1561,((CROQUIS_DATOS!$C$1484+CROQUIS_DATOS!$C$1485)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0">
        <f>IF(AND(CROQUIS_DATOS!$C$1472=1,CROQUIS_DATOS!$C$1478&gt;=2,((CROQUIS_DATOS!$C$1484+CROQUIS_DATOS!$C$1485))-(CROQUIS_DATOS!$C$1484)&gt;0.5,(CROQUIS_DATOS!$C$1476)-((CROQUIS_DATOS!$C$1486+CROQUIS_DATOS!$C$1487))&gt;0.5),(CROQUIS_DATOS!$C$1567+(IF(IF(MOD(MIN(INT(($A40-1)/2)+1,MAX(1,INT(((((CROQUIS_DATOS!$C$1484+CROQUIS_DATOS!$C$1485))-(CROQUIS_DATOS!$C$1484))+((CROQUIS_DATOS!$C$1476)*CROQUIS_DATOS!$C$1561-((CROQUIS_DATOS!$C$1486+CROQUIS_DATOS!$C$1487))*CROQUIS_DATOS!$C$1561))/CROQUIS_DATOS!$C$1568-0.000001))),2)=1,IF(INT(($A40-1)/2)+1&gt;MAX(1,INT(((((CROQUIS_DATOS!$C$1484+CROQUIS_DATOS!$C$1485))-(CROQUIS_DATOS!$C$1484))+((CROQUIS_DATOS!$C$1476)*CROQUIS_DATOS!$C$1561-((CROQUIS_DATOS!$C$1486+CROQUIS_DATOS!$C$1487))*CROQUIS_DATOS!$C$1561))/CROQUIS_DATOS!$C$1568-0.000001)),1,MOD($A40-1,2)),1-IF(INT(($A40-1)/2)+1&gt;MAX(1,INT(((((CROQUIS_DATOS!$C$1484+CROQUIS_DATOS!$C$1485))-(CROQUIS_DATOS!$C$1484))+((CROQUIS_DATOS!$C$1476)*CROQUIS_DATOS!$C$1561-((CROQUIS_DATOS!$C$1486+CROQUIS_DATOS!$C$1487))*CROQUIS_DATOS!$C$1561))/CROQUIS_DATOS!$C$1568-0.000001)),1,MOD($A40-1,2)))=1,MIN((CROQUIS_DATOS!$C$1476)*CROQUIS_DATOS!$C$1561,((CROQUIS_DATOS!$C$1484+CROQUIS_DATOS!$C$1485)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0">
        <f>IF(AND(CROQUIS_DATOS!$C$1472=1,CROQUIS_DATOS!$C$1478&gt;=3,((CROQUIS_DATOS!$C$1489+CROQUIS_DATOS!$C$1490))-(CROQUIS_DATOS!$C$1489)&gt;0.5,(CROQUIS_DATOS!$C$1491)-(0)&gt;0.5),(CROQUIS_DATOS!$C$1566+(IF(IF(MOD(MIN(INT(($A40-1)/2)+1,MAX(1,INT(((((CROQUIS_DATOS!$C$1489+CROQUIS_DATOS!$C$1490))-(CROQUIS_DATOS!$C$1489))+((CROQUIS_DATOS!$C$1491)*CROQUIS_DATOS!$C$1561-(0)*CROQUIS_DATOS!$C$1561))/CROQUIS_DATOS!$C$1568-0.000001))),2)=1,IF(INT(($A40-1)/2)+1&gt;MAX(1,INT(((((CROQUIS_DATOS!$C$1489+CROQUIS_DATOS!$C$1490))-(CROQUIS_DATOS!$C$1489))+((CROQUIS_DATOS!$C$1491)*CROQUIS_DATOS!$C$1561-(0)*CROQUIS_DATOS!$C$1561))/CROQUIS_DATOS!$C$1568-0.000001)),1,MOD($A40-1,2)),1-IF(INT(($A40-1)/2)+1&gt;MAX(1,INT(((((CROQUIS_DATOS!$C$1489+CROQUIS_DATOS!$C$1490))-(CROQUIS_DATOS!$C$1489))+((CROQUIS_DATOS!$C$1491)*CROQUIS_DATOS!$C$1561-(0)*CROQUIS_DATOS!$C$1561))/CROQUIS_DATOS!$C$1568-0.000001)),1,MOD($A40-1,2)))=1,MIN((CROQUIS_DATOS!$C$1491)*CROQUIS_DATOS!$C$1561,((CROQUIS_DATOS!$C$1489+CROQUIS_DATOS!$C$1490)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0">
        <f>IF(AND(CROQUIS_DATOS!$C$1472=1,CROQUIS_DATOS!$C$1478&gt;=3,((CROQUIS_DATOS!$C$1489+CROQUIS_DATOS!$C$1490))-(CROQUIS_DATOS!$C$1489)&gt;0.5,(CROQUIS_DATOS!$C$1491)-(0)&gt;0.5),(CROQUIS_DATOS!$C$1567+(IF(IF(MOD(MIN(INT(($A40-1)/2)+1,MAX(1,INT(((((CROQUIS_DATOS!$C$1489+CROQUIS_DATOS!$C$1490))-(CROQUIS_DATOS!$C$1489))+((CROQUIS_DATOS!$C$1491)*CROQUIS_DATOS!$C$1561-(0)*CROQUIS_DATOS!$C$1561))/CROQUIS_DATOS!$C$1568-0.000001))),2)=1,IF(INT(($A40-1)/2)+1&gt;MAX(1,INT(((((CROQUIS_DATOS!$C$1489+CROQUIS_DATOS!$C$1490))-(CROQUIS_DATOS!$C$1489))+((CROQUIS_DATOS!$C$1491)*CROQUIS_DATOS!$C$1561-(0)*CROQUIS_DATOS!$C$1561))/CROQUIS_DATOS!$C$1568-0.000001)),1,MOD($A40-1,2)),1-IF(INT(($A40-1)/2)+1&gt;MAX(1,INT(((((CROQUIS_DATOS!$C$1489+CROQUIS_DATOS!$C$1490))-(CROQUIS_DATOS!$C$1489))+((CROQUIS_DATOS!$C$1491)*CROQUIS_DATOS!$C$1561-(0)*CROQUIS_DATOS!$C$1561))/CROQUIS_DATOS!$C$1568-0.000001)),1,MOD($A40-1,2)))=1,MIN((CROQUIS_DATOS!$C$1491)*CROQUIS_DATOS!$C$1561,((CROQUIS_DATOS!$C$1489+CROQUIS_DATOS!$C$1490)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0">
        <f>IF(AND(CROQUIS_DATOS!$C$1472=1,CROQUIS_DATOS!$C$1478&gt;=3,((CROQUIS_DATOS!$C$1489+CROQUIS_DATOS!$C$1490))-(CROQUIS_DATOS!$C$1489)&gt;0.5,(CROQUIS_DATOS!$C$1476)-((CROQUIS_DATOS!$C$1491+CROQUIS_DATOS!$C$1492))&gt;0.5),(CROQUIS_DATOS!$C$1566+(IF(IF(MOD(MIN(INT(($A40-1)/2)+1,MAX(1,INT(((((CROQUIS_DATOS!$C$1489+CROQUIS_DATOS!$C$1490))-(CROQUIS_DATOS!$C$1489))+((CROQUIS_DATOS!$C$1476)*CROQUIS_DATOS!$C$1561-((CROQUIS_DATOS!$C$1491+CROQUIS_DATOS!$C$1492))*CROQUIS_DATOS!$C$1561))/CROQUIS_DATOS!$C$1568-0.000001))),2)=1,IF(INT(($A40-1)/2)+1&gt;MAX(1,INT(((((CROQUIS_DATOS!$C$1489+CROQUIS_DATOS!$C$1490))-(CROQUIS_DATOS!$C$1489))+((CROQUIS_DATOS!$C$1476)*CROQUIS_DATOS!$C$1561-((CROQUIS_DATOS!$C$1491+CROQUIS_DATOS!$C$1492))*CROQUIS_DATOS!$C$1561))/CROQUIS_DATOS!$C$1568-0.000001)),1,MOD($A40-1,2)),1-IF(INT(($A40-1)/2)+1&gt;MAX(1,INT(((((CROQUIS_DATOS!$C$1489+CROQUIS_DATOS!$C$1490))-(CROQUIS_DATOS!$C$1489))+((CROQUIS_DATOS!$C$1476)*CROQUIS_DATOS!$C$1561-((CROQUIS_DATOS!$C$1491+CROQUIS_DATOS!$C$1492))*CROQUIS_DATOS!$C$1561))/CROQUIS_DATOS!$C$1568-0.000001)),1,MOD($A40-1,2)))=1,MIN((CROQUIS_DATOS!$C$1476)*CROQUIS_DATOS!$C$1561,((CROQUIS_DATOS!$C$1489+CROQUIS_DATOS!$C$1490)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0">
        <f>IF(AND(CROQUIS_DATOS!$C$1472=1,CROQUIS_DATOS!$C$1478&gt;=3,((CROQUIS_DATOS!$C$1489+CROQUIS_DATOS!$C$1490))-(CROQUIS_DATOS!$C$1489)&gt;0.5,(CROQUIS_DATOS!$C$1476)-((CROQUIS_DATOS!$C$1491+CROQUIS_DATOS!$C$1492))&gt;0.5),(CROQUIS_DATOS!$C$1567+(IF(IF(MOD(MIN(INT(($A40-1)/2)+1,MAX(1,INT(((((CROQUIS_DATOS!$C$1489+CROQUIS_DATOS!$C$1490))-(CROQUIS_DATOS!$C$1489))+((CROQUIS_DATOS!$C$1476)*CROQUIS_DATOS!$C$1561-((CROQUIS_DATOS!$C$1491+CROQUIS_DATOS!$C$1492))*CROQUIS_DATOS!$C$1561))/CROQUIS_DATOS!$C$1568-0.000001))),2)=1,IF(INT(($A40-1)/2)+1&gt;MAX(1,INT(((((CROQUIS_DATOS!$C$1489+CROQUIS_DATOS!$C$1490))-(CROQUIS_DATOS!$C$1489))+((CROQUIS_DATOS!$C$1476)*CROQUIS_DATOS!$C$1561-((CROQUIS_DATOS!$C$1491+CROQUIS_DATOS!$C$1492))*CROQUIS_DATOS!$C$1561))/CROQUIS_DATOS!$C$1568-0.000001)),1,MOD($A40-1,2)),1-IF(INT(($A40-1)/2)+1&gt;MAX(1,INT(((((CROQUIS_DATOS!$C$1489+CROQUIS_DATOS!$C$1490))-(CROQUIS_DATOS!$C$1489))+((CROQUIS_DATOS!$C$1476)*CROQUIS_DATOS!$C$1561-((CROQUIS_DATOS!$C$1491+CROQUIS_DATOS!$C$1492))*CROQUIS_DATOS!$C$1561))/CROQUIS_DATOS!$C$1568-0.000001)),1,MOD($A40-1,2)))=1,MIN((CROQUIS_DATOS!$C$1476)*CROQUIS_DATOS!$C$1561,((CROQUIS_DATOS!$C$1489+CROQUIS_DATOS!$C$1490)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0">
        <f>IF(AND(CROQUIS_DATOS!$C$1472=1,CROQUIS_DATOS!$C$1478&gt;=4,((CROQUIS_DATOS!$C$1494+CROQUIS_DATOS!$C$1495))-(CROQUIS_DATOS!$C$1494)&gt;0.5,(CROQUIS_DATOS!$C$1496)-(0)&gt;0.5),(CROQUIS_DATOS!$C$1566+(IF(IF(MOD(MIN(INT(($A40-1)/2)+1,MAX(1,INT(((((CROQUIS_DATOS!$C$1494+CROQUIS_DATOS!$C$1495))-(CROQUIS_DATOS!$C$1494))+((CROQUIS_DATOS!$C$1496)*CROQUIS_DATOS!$C$1561-(0)*CROQUIS_DATOS!$C$1561))/CROQUIS_DATOS!$C$1568-0.000001))),2)=1,IF(INT(($A40-1)/2)+1&gt;MAX(1,INT(((((CROQUIS_DATOS!$C$1494+CROQUIS_DATOS!$C$1495))-(CROQUIS_DATOS!$C$1494))+((CROQUIS_DATOS!$C$1496)*CROQUIS_DATOS!$C$1561-(0)*CROQUIS_DATOS!$C$1561))/CROQUIS_DATOS!$C$1568-0.000001)),1,MOD($A40-1,2)),1-IF(INT(($A40-1)/2)+1&gt;MAX(1,INT(((((CROQUIS_DATOS!$C$1494+CROQUIS_DATOS!$C$1495))-(CROQUIS_DATOS!$C$1494))+((CROQUIS_DATOS!$C$1496)*CROQUIS_DATOS!$C$1561-(0)*CROQUIS_DATOS!$C$1561))/CROQUIS_DATOS!$C$1568-0.000001)),1,MOD($A40-1,2)))=1,MIN((CROQUIS_DATOS!$C$1496)*CROQUIS_DATOS!$C$1561,((CROQUIS_DATOS!$C$1494+CROQUIS_DATOS!$C$1495)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0">
        <f>IF(AND(CROQUIS_DATOS!$C$1472=1,CROQUIS_DATOS!$C$1478&gt;=4,((CROQUIS_DATOS!$C$1494+CROQUIS_DATOS!$C$1495))-(CROQUIS_DATOS!$C$1494)&gt;0.5,(CROQUIS_DATOS!$C$1496)-(0)&gt;0.5),(CROQUIS_DATOS!$C$1567+(IF(IF(MOD(MIN(INT(($A40-1)/2)+1,MAX(1,INT(((((CROQUIS_DATOS!$C$1494+CROQUIS_DATOS!$C$1495))-(CROQUIS_DATOS!$C$1494))+((CROQUIS_DATOS!$C$1496)*CROQUIS_DATOS!$C$1561-(0)*CROQUIS_DATOS!$C$1561))/CROQUIS_DATOS!$C$1568-0.000001))),2)=1,IF(INT(($A40-1)/2)+1&gt;MAX(1,INT(((((CROQUIS_DATOS!$C$1494+CROQUIS_DATOS!$C$1495))-(CROQUIS_DATOS!$C$1494))+((CROQUIS_DATOS!$C$1496)*CROQUIS_DATOS!$C$1561-(0)*CROQUIS_DATOS!$C$1561))/CROQUIS_DATOS!$C$1568-0.000001)),1,MOD($A40-1,2)),1-IF(INT(($A40-1)/2)+1&gt;MAX(1,INT(((((CROQUIS_DATOS!$C$1494+CROQUIS_DATOS!$C$1495))-(CROQUIS_DATOS!$C$1494))+((CROQUIS_DATOS!$C$1496)*CROQUIS_DATOS!$C$1561-(0)*CROQUIS_DATOS!$C$1561))/CROQUIS_DATOS!$C$1568-0.000001)),1,MOD($A40-1,2)))=1,MIN((CROQUIS_DATOS!$C$1496)*CROQUIS_DATOS!$C$1561,((CROQUIS_DATOS!$C$1494+CROQUIS_DATOS!$C$1495)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0">
        <f>IF(AND(CROQUIS_DATOS!$C$1472=1,CROQUIS_DATOS!$C$1478&gt;=4,((CROQUIS_DATOS!$C$1494+CROQUIS_DATOS!$C$1495))-(CROQUIS_DATOS!$C$1494)&gt;0.5,(CROQUIS_DATOS!$C$1476)-((CROQUIS_DATOS!$C$1496+CROQUIS_DATOS!$C$1497))&gt;0.5),(CROQUIS_DATOS!$C$1566+(IF(IF(MOD(MIN(INT(($A40-1)/2)+1,MAX(1,INT(((((CROQUIS_DATOS!$C$1494+CROQUIS_DATOS!$C$1495))-(CROQUIS_DATOS!$C$1494))+((CROQUIS_DATOS!$C$1476)*CROQUIS_DATOS!$C$1561-((CROQUIS_DATOS!$C$1496+CROQUIS_DATOS!$C$1497))*CROQUIS_DATOS!$C$1561))/CROQUIS_DATOS!$C$1568-0.000001))),2)=1,IF(INT(($A40-1)/2)+1&gt;MAX(1,INT(((((CROQUIS_DATOS!$C$1494+CROQUIS_DATOS!$C$1495))-(CROQUIS_DATOS!$C$1494))+((CROQUIS_DATOS!$C$1476)*CROQUIS_DATOS!$C$1561-((CROQUIS_DATOS!$C$1496+CROQUIS_DATOS!$C$1497))*CROQUIS_DATOS!$C$1561))/CROQUIS_DATOS!$C$1568-0.000001)),1,MOD($A40-1,2)),1-IF(INT(($A40-1)/2)+1&gt;MAX(1,INT(((((CROQUIS_DATOS!$C$1494+CROQUIS_DATOS!$C$1495))-(CROQUIS_DATOS!$C$1494))+((CROQUIS_DATOS!$C$1476)*CROQUIS_DATOS!$C$1561-((CROQUIS_DATOS!$C$1496+CROQUIS_DATOS!$C$1497))*CROQUIS_DATOS!$C$1561))/CROQUIS_DATOS!$C$1568-0.000001)),1,MOD($A40-1,2)))=1,MIN((CROQUIS_DATOS!$C$1476)*CROQUIS_DATOS!$C$1561,((CROQUIS_DATOS!$C$1494+CROQUIS_DATOS!$C$1495)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0">
        <f>IF(AND(CROQUIS_DATOS!$C$1472=1,CROQUIS_DATOS!$C$1478&gt;=4,((CROQUIS_DATOS!$C$1494+CROQUIS_DATOS!$C$1495))-(CROQUIS_DATOS!$C$1494)&gt;0.5,(CROQUIS_DATOS!$C$1476)-((CROQUIS_DATOS!$C$1496+CROQUIS_DATOS!$C$1497))&gt;0.5),(CROQUIS_DATOS!$C$1567+(IF(IF(MOD(MIN(INT(($A40-1)/2)+1,MAX(1,INT(((((CROQUIS_DATOS!$C$1494+CROQUIS_DATOS!$C$1495))-(CROQUIS_DATOS!$C$1494))+((CROQUIS_DATOS!$C$1476)*CROQUIS_DATOS!$C$1561-((CROQUIS_DATOS!$C$1496+CROQUIS_DATOS!$C$1497))*CROQUIS_DATOS!$C$1561))/CROQUIS_DATOS!$C$1568-0.000001))),2)=1,IF(INT(($A40-1)/2)+1&gt;MAX(1,INT(((((CROQUIS_DATOS!$C$1494+CROQUIS_DATOS!$C$1495))-(CROQUIS_DATOS!$C$1494))+((CROQUIS_DATOS!$C$1476)*CROQUIS_DATOS!$C$1561-((CROQUIS_DATOS!$C$1496+CROQUIS_DATOS!$C$1497))*CROQUIS_DATOS!$C$1561))/CROQUIS_DATOS!$C$1568-0.000001)),1,MOD($A40-1,2)),1-IF(INT(($A40-1)/2)+1&gt;MAX(1,INT(((((CROQUIS_DATOS!$C$1494+CROQUIS_DATOS!$C$1495))-(CROQUIS_DATOS!$C$1494))+((CROQUIS_DATOS!$C$1476)*CROQUIS_DATOS!$C$1561-((CROQUIS_DATOS!$C$1496+CROQUIS_DATOS!$C$1497))*CROQUIS_DATOS!$C$1561))/CROQUIS_DATOS!$C$1568-0.000001)),1,MOD($A40-1,2)))=1,MIN((CROQUIS_DATOS!$C$1476)*CROQUIS_DATOS!$C$1561,((CROQUIS_DATOS!$C$1494+CROQUIS_DATOS!$C$1495)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0">
        <f>IF(AND(CROQUIS_DATOS!$C$1472=1,1),(CROQUIS_DATOS!$C$1571+(CHOOSE(MIN(MAX(IF(INT(($A40-1)/5)+1&gt;CROQUIS_DATOS!$C$1525,5,MOD($A40-1,5)+1),1),5),(INDEX($E$8:$E$23,MIN(INT(($A40-1)/5)+1,CROQUIS_DATOS!$C$1525))-INDEX($F$8:$F$23,MIN(INT(($A40-1)/5)+1,CROQUIS_DATOS!$C$1525))/2),(INDEX($E$8:$E$23,MIN(INT(($A40-1)/5)+1,CROQUIS_DATOS!$C$1525))+INDEX($F$8:$F$23,MIN(INT(($A40-1)/5)+1,CROQUIS_DATOS!$C$1525))/2),(INDEX($E$8:$E$23,MIN(INT(($A40-1)/5)+1,CROQUIS_DATOS!$C$1525))+INDEX($F$8:$F$23,MIN(INT(($A40-1)/5)+1,CROQUIS_DATOS!$C$1525))/2),(INDEX($E$8:$E$23,MIN(INT(($A40-1)/5)+1,CROQUIS_DATOS!$C$1525))-INDEX($F$8:$F$23,MIN(INT(($A40-1)/5)+1,CROQUIS_DATOS!$C$1525))/2),(INDEX($E$8:$E$23,MIN(INT(($A40-1)/5)+1,CROQUIS_DATOS!$C$1525))-INDEX($F$8:$F$23,MIN(INT(($A40-1)/5)+1,CROQUIS_DATOS!$C$1525))/2)))*CROQUIS_DATOS!$C$1569),-1000)</f>
        <v>95.24</v>
      </c>
      <c r="GE40">
        <f>IF(AND(CROQUIS_DATOS!$C$1472=1,1),(CROQUIS_DATOS!$C$1572+(CHOOSE(MIN(MAX(IF(INT(($A40-1)/5)+1&gt;CROQUIS_DATOS!$C$1525,5,MOD($A40-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0">
        <f>IF(AND(CROQUIS_DATOS!$C$1472=1,1),IF(INT(($A40-1)/4)+1&lt;=CROQUIS_DATOS!$C$1525,(CROQUIS_DATOS!$C$1571+((INDEX($E$8:$E$23,MIN(INT(($A40-1)/4)+1,16))+IF(OR(MOD($A40-1,4)=0,MOD($A40-1,4)=3),-1,1)*(INDEX($F$8:$F$23,MIN(INT(($A40-1)/4)+1,16))/2-(CROQUIS_DATOS!$C$1530+CROQUIS_DATOS!$C$1532+IF(OR(INT(($A40-1)/4)+1=1,INT(($A40-1)/4)+1=CROQUIS_DATOS!$C$1525),CROQUIS_DATOS!$C$1534,CROQUIS_DATOS!$C$1531)/2))))*CROQUIS_DATOS!$C$1569),-1000),-1000)</f>
        <v>-1000</v>
      </c>
      <c r="GG40">
        <f>IF(AND(CROQUIS_DATOS!$C$1472=1,1),IF(INT(($A40-1)/4)+1&lt;=CROQUIS_DATOS!$C$1525,(CROQUIS_DATOS!$C$1572+((CROQUIS_DATOS!$C$1477/2+IF(MOD($A40-1,4)&lt;2,-1,1)*(CROQUIS_DATOS!$C$1527/2-(CROQUIS_DATOS!$C$1530+CROQUIS_DATOS!$C$1532+IF(OR(INT(($A40-1)/4)+1=1,INT(($A40-1)/4)+1=CROQUIS_DATOS!$C$1525),CROQUIS_DATOS!$C$1534,CROQUIS_DATOS!$C$1531)/2))))*CROQUIS_DATOS!$C$1569*CROQUIS_DATOS!$C$1570),-1000),-1000)</f>
        <v>-1000</v>
      </c>
    </row>
    <row r="41">
      <c r="A41" t="n">
        <v>34</v>
      </c>
      <c r="H41">
        <f>IF(34&lt;=CROQUIS_DATOS!$C$1539,34*CROQUIS_DATOS!$C$1536,IF(34&lt;=CROQUIS_DATOS!$C$1539+CROQUIS_DATOS!$C$1540,CROQUIS_DATOS!$C$1539*CROQUIS_DATOS!$C$1536+(34-CROQUIS_DATOS!$C$1539)*(CROQUIS_DATOS!$C$1476-2*CROQUIS_DATOS!$C$1539*CROQUIS_DATOS!$C$1536)/(CROQUIS_DATOS!$C$1540+1),CROQUIS_DATOS!$C$1476-(2*CROQUIS_DATOS!$C$1539+CROQUIS_DATOS!$C$1540+1-34)*CROQUIS_DATOS!$C$1536))</f>
        <v>362.5</v>
      </c>
      <c r="J41">
        <f>IF(AND(CROQUIS_DATOS!$C$1472=1,1),(CROQUIS_DATOS!$C$1563+(CHOOSE(MIN(MAX(IF(INT(($A41-1)/4)+1&gt;CROQUIS_DATOS!$C$1525,4,MOD($A41-1,4)+1),1),4),(INDEX($E$8:$E$23,MIN(INT(($A41-1)/4)+1,CROQUIS_DATOS!$C$1525))-INDEX($F$8:$F$23,MIN(INT(($A41-1)/4)+1,CROQUIS_DATOS!$C$1525))/2),(INDEX($E$8:$E$23,MIN(INT(($A41-1)/4)+1,CROQUIS_DATOS!$C$1525))-INDEX($F$8:$F$23,MIN(INT(($A41-1)/4)+1,CROQUIS_DATOS!$C$1525))/2),(INDEX($E$8:$E$23,MIN(INT(($A41-1)/4)+1,CROQUIS_DATOS!$C$1525))+INDEX($F$8:$F$23,MIN(INT(($A41-1)/4)+1,CROQUIS_DATOS!$C$1525))/2),(INDEX($E$8:$E$23,MIN(INT(($A41-1)/4)+1,CROQUIS_DATOS!$C$1525))+INDEX($F$8:$F$23,MIN(INT(($A41-1)/4)+1,CROQUIS_DATOS!$C$1525))/2)))*CROQUIS_DATOS!$C$1562),-1000)</f>
        <v>84.9137931034483</v>
      </c>
      <c r="K41">
        <f>IF(AND(CROQUIS_DATOS!$C$1472=1,1),(CROQUIS_DATOS!$C$1564+(CHOOSE(MIN(MAX(IF(INT(($A41-1)/4)+1&gt;CROQUIS_DATOS!$C$1525,4,MOD($A41-1,4)+1),1),4),0,CROQUIS_DATOS!$C$1476,CROQUIS_DATOS!$C$1476,0))*CROQUIS_DATOS!$C$1561*CROQUIS_DATOS!$C$1562),-1000)</f>
        <v>5.29310344827586</v>
      </c>
      <c r="L41">
        <f>IF(AND(CROQUIS_DATOS!$C$1472=1,1),(CROQUIS_DATOS!$C$1563+(CHOOSE(MIN(MAX(IF(INT(($A41-1)/4)+1&gt;CROQUIS_DATOS!$C$1525,4,MOD($A41-1,4)+1),1),4),((INDEX($E$8:$E$23,MIN(INT(($A41-1)/4)+1,CROQUIS_DATOS!$C$1525))-INDEX($F$8:$F$23,MIN(INT(($A41-1)/4)+1,CROQUIS_DATOS!$C$1525))/2)+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,((INDEX($E$8:$E$23,MIN(INT(($A41-1)/4)+1,CROQUIS_DATOS!$C$1525))-INDEX($F$8:$F$23,MIN(INT(($A41-1)/4)+1,CROQUIS_DATOS!$C$1525))/2)+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,((INDEX($E$8:$E$23,MIN(INT(($A41-1)/4)+1,CROQUIS_DATOS!$C$1525))+INDEX($F$8:$F$23,MIN(INT(($A41-1)/4)+1,CROQUIS_DATOS!$C$1525))/2)-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,((INDEX($E$8:$E$23,MIN(INT(($A41-1)/4)+1,CROQUIS_DATOS!$C$1525))+INDEX($F$8:$F$23,MIN(INT(($A41-1)/4)+1,CROQUIS_DATOS!$C$1525))/2)-MIN((CROQUIS_DATOS!$C$1530+CROQUIS_DATOS!$C$1532+IF(OR(MIN(INT(($A41-1)/4)+1,CROQUIS_DATOS!$C$1525)=1,MIN(INT(($A41-1)/4)+1,CROQUIS_DATOS!$C$1525)=CROQUIS_DATOS!$C$1525),CROQUIS_DATOS!$C$1534,CROQUIS_DATOS!$C$1531)/2),INDEX($F$8:$F$23,MIN(INT(($A41-1)/4)+1,CROQUIS_DATOS!$C$1525))/2-0.5))))*CROQUIS_DATOS!$C$1562),-1000)</f>
        <v>84.4792560344828</v>
      </c>
      <c r="M41">
        <f>IF(AND(CROQUIS_DATOS!$C$1472=1,1),(CROQUIS_DATOS!$C$1564+(CHOOSE(MIN(MAX(IF(INT(($A41-1)/4)+1&gt;CROQUIS_DATOS!$C$1525,4,MOD($A41-1,4)+1),1),4),CROQUIS_DATOS!$C$1543,INDEX($I$8:$I$23,MIN(INT(($A41-1)/4)+1,CROQUIS_DATOS!$C$1525)),INDEX($I$8:$I$23,MIN(INT(($A41-1)/4)+1,CROQUIS_DATOS!$C$1525)),CROQUIS_DATOS!$C$1543))*CROQUIS_DATOS!$C$1561*CROQUIS_DATOS!$C$1562),-1000)</f>
        <v>42.5654629310345</v>
      </c>
      <c r="N41">
        <f>IF(AND(CROQUIS_DATOS!$C$1472=1,1),(CROQUIS_DATOS!$C$1563+(IF(IF(IF(INT(($A41-1)/70)+1&gt;CROQUIS_DATOS!$C$1525,70,MOD($A41-1,70)+1)=1,0,IF(IF(INT(($A41-1)/70)+1&gt;CROQUIS_DATOS!$C$1525,70,MOD($A41-1,70)+1)&gt;2*CROQUIS_DATOS!$C$1541+1,IF(MOD(CROQUIS_DATOS!$C$1541,2)=1,1,0),IF(MOD(MIN(INT((IF(INT(($A41-1)/70)+1&gt;CROQUIS_DATOS!$C$1525,70,MOD($A41-1,70)+1)-2)/2)+1,CROQUIS_DATOS!$C$1541),2)=1,IF(MOD(IF(INT(($A41-1)/70)+1&gt;CROQUIS_DATOS!$C$1525,70,MOD($A41-1,70)+1)-2,2)=0,0,1),IF(MOD(IF(INT(($A41-1)/70)+1&gt;CROQUIS_DATOS!$C$1525,70,MOD($A41-1,70)+1)-2,2)=0,1,0))))=0,(INDEX($E$8:$E$23,MIN(INT(($A41-1)/70)+1,CROQUIS_DATOS!$C$1525))-INDEX($F$8:$F$23,MIN(INT(($A41-1)/70)+1,CROQUIS_DATOS!$C$1525))/2),(INDEX($E$8:$E$23,MIN(INT(($A41-1)/70)+1,CROQUIS_DATOS!$C$1525))+INDEX($F$8:$F$23,MIN(INT(($A41-1)/70)+1,CROQUIS_DATOS!$C$1525))/2)))*CROQUIS_DATOS!$C$1562),-1000)</f>
        <v>15.0862068965517</v>
      </c>
      <c r="O41">
        <f>IF(AND(CROQUIS_DATOS!$C$1472=1,1),(CROQUIS_DATOS!$C$1564+(IF(OR(IF(INT(($A41-1)/70)+1&gt;CROQUIS_DATOS!$C$1525,70,MOD($A41-1,70)+1)=1,IF(INT(($A41-1)/70)+1&gt;CROQUIS_DATOS!$C$1525,70,MOD($A41-1,70)+1)&gt;2*CROQUIS_DATOS!$C$1541+1),CROQUIS_DATOS!$C$1476,INDEX($H$8:$H$41,MIN(INT((IF(INT(($A41-1)/70)+1&gt;CROQUIS_DATOS!$C$1525,70,MOD($A41-1,70)+1)-2)/2)+1,CROQUIS_DATOS!$C$1541))))*CROQUIS_DATOS!$C$1561*CROQUIS_DATOS!$C$1562),-1000)</f>
        <v>38.1120689655172</v>
      </c>
      <c r="P41">
        <f>IF(AND(CROQUIS_DATOS!$C$1472=1,CROQUIS_DATOS!$C$1555=1),(CROQUIS_DATOS!$C$1563+(IF(IF(OR(MOD($A41-1,62)+1=1,IF(CHOOSE(MIN(MAX(MIN(INT(($A41-1)/62)+1,5),1),5),CROQUIS_DATOS!$C$1501,CROQUIS_DATOS!$C$1505,CROQUIS_DATOS!$C$1509,CROQUIS_DATOS!$C$1513,CROQUIS_DATOS!$C$1517)=1,CROQUIS_DATOS!$C$1557,0)=0),0,IF(MOD($A41-1,62)+1&gt;2*IF(CHOOSE(MIN(MAX(MIN(INT(($A41-1)/62)+1,5),1),5),CROQUIS_DATOS!$C$1501,CROQUIS_DATOS!$C$1505,CROQUIS_DATOS!$C$1509,CROQUIS_DATOS!$C$1513,CROQUIS_DATOS!$C$1517)=1,CROQUIS_DATOS!$C$1557,0)+1,IF(MOD(IF(CHOOSE(MIN(MAX(MIN(INT(($A41-1)/62)+1,5),1),5),CROQUIS_DATOS!$C$1501,CROQUIS_DATOS!$C$1505,CROQUIS_DATOS!$C$1509,CROQUIS_DATOS!$C$1513,CROQUIS_DATOS!$C$1517)=1,CROQUIS_DATOS!$C$1557,0),2)=1,1,0),IF(MOD(MIN(INT((MOD($A41-1,62)+1-2)/2)+1,MAX(IF(CHOOSE(MIN(MAX(MIN(INT(($A41-1)/62)+1,5),1),5),CROQUIS_DATOS!$C$1501,CROQUIS_DATOS!$C$1505,CROQUIS_DATOS!$C$1509,CROQUIS_DATOS!$C$1513,CROQUIS_DATOS!$C$1517)=1,CROQUIS_DATOS!$C$1557,0),1)),2)=1,IF(MOD(MOD($A41-1,62)+1-2,2)=0,0,1),IF(MOD(MOD($A41-1,62)+1-2,2)=0,1,0))))=0,(CHOOSE(MIN(MAX(MIN(INT(($A41-1)/62)+1,5),1),5),CROQUIS_DATOS!$C$1499,CROQUIS_DATOS!$C$1503,CROQUIS_DATOS!$C$1507,CROQUIS_DATOS!$C$1511,CROQUIS_DATOS!$C$1515)+IF(CHOOSE(MIN(MAX(MIN(INT(($A41-1)/62)+1,5),1),5),CROQUIS_DATOS!$C$1501,CROQUIS_DATOS!$C$1505,CROQUIS_DATOS!$C$1509,CROQUIS_DATOS!$C$1513,CROQUIS_DATOS!$C$1517)=1,CROQUIS_DATOS!$C$1526,0)),(CHOOSE(MIN(MAX(MIN(INT(($A41-1)/62)+1,5),1),5),CROQUIS_DATOS!$C$1499,CROQUIS_DATOS!$C$1503,CROQUIS_DATOS!$C$1507,CROQUIS_DATOS!$C$1511,CROQUIS_DATOS!$C$1515)+CHOOSE(MIN(MAX(MIN(INT(($A41-1)/62)+1,5),1),5),CROQUIS_DATOS!$C$1500,CROQUIS_DATOS!$C$1504,CROQUIS_DATOS!$C$1508,CROQUIS_DATOS!$C$1512,CROQUIS_DATOS!$C$1516)-IF(CHOOSE(MIN(MAX(MIN(INT(($A41-1)/62)+1,5),1),5),CROQUIS_DATOS!$C$1501,CROQUIS_DATOS!$C$1505,CROQUIS_DATOS!$C$1509,CROQUIS_DATOS!$C$1513,CROQUIS_DATOS!$C$1517)=1,CROQUIS_DATOS!$C$1526,0))))*CROQUIS_DATOS!$C$1562),-1000)</f>
        <v>-1000</v>
      </c>
      <c r="Q41">
        <f>IF(AND(CROQUIS_DATOS!$C$1472=1,CROQUIS_DATOS!$C$1555=1),(CROQUIS_DATOS!$C$1564+(IF(OR(OR(MOD($A41-1,62)+1=1,IF(CHOOSE(MIN(MAX(MIN(INT(($A41-1)/62)+1,5),1),5),CROQUIS_DATOS!$C$1501,CROQUIS_DATOS!$C$1505,CROQUIS_DATOS!$C$1509,CROQUIS_DATOS!$C$1513,CROQUIS_DATOS!$C$1517)=1,CROQUIS_DATOS!$C$1557,0)=0),MOD($A41-1,62)+1&gt;2*IF(CHOOSE(MIN(MAX(MIN(INT(($A41-1)/62)+1,5),1),5),CROQUIS_DATOS!$C$1501,CROQUIS_DATOS!$C$1505,CROQUIS_DATOS!$C$1509,CROQUIS_DATOS!$C$1513,CROQUIS_DATOS!$C$1517)=1,CROQUIS_DATOS!$C$1557,0)+1),CROQUIS_DATOS!$C$1476,MIN(INT((MOD($A41-1,62)+1-2)/2)+1,MAX(IF(CHOOSE(MIN(MAX(MIN(INT(($A41-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1">
        <f>IF(AND(CROQUIS_DATOS!$C$1472=1,1),(CROQUIS_DATOS!$C$1563+(MIN(INT(($A41-1)/2)+1,CROQUIS_DATOS!$C$1558)*CROQUIS_DATOS!$C$1559)*CROQUIS_DATOS!$C$1562),-1000)</f>
        <v>60.7427055702918</v>
      </c>
      <c r="U41">
        <f>IF(AND(CROQUIS_DATOS!$C$1472=1,1),(CROQUIS_DATOS!$C$1564+(IF(INT(($A41-1)/2)+1&gt;CROQUIS_DATOS!$C$1558,IF(MOD(CROQUIS_DATOS!$C$1558,2)=1,CROQUIS_DATOS!$C$1476+CROQUIS_DATOS!$C$1528,CROQUIS_DATOS!$C$1476),IF(IF(MOD(MIN(INT(($A41-1)/2)+1,CROQUIS_DATOS!$C$1558),2)=1,MOD($A41-1,2),1-MOD($A41-1,2))=1,CROQUIS_DATOS!$C$1476+CROQUIS_DATOS!$C$1528,CROQUIS_DATOS!$C$1476)))*CROQUIS_DATOS!$C$1561*CROQUIS_DATOS!$C$1562),-1000)</f>
        <v>43</v>
      </c>
      <c r="BZ41">
        <f>IF(AND(CROQUIS_DATOS!$C$1472=1,CROQUIS_DATOS!$C$1500&gt;0,((CROQUIS_DATOS!$C$1499+CROQUIS_DATOS!$C$1500))-(CROQUIS_DATOS!$C$1499)&gt;0.5,(CROQUIS_DATOS!$C$1476)-(0)&gt;0.5),(CROQUIS_DATOS!$C$1566+(IF(IF(MOD(MIN(INT(($A41-1)/2)+1,MAX(1,INT(((((CROQUIS_DATOS!$C$1499+CROQUIS_DATOS!$C$1500))-(CROQUIS_DATOS!$C$1499))+((CROQUIS_DATOS!$C$1476)*CROQUIS_DATOS!$C$1561-(0)*CROQUIS_DATOS!$C$1561))/CROQUIS_DATOS!$C$1568-0.000001))),2)=1,IF(INT(($A41-1)/2)+1&gt;MAX(1,INT(((((CROQUIS_DATOS!$C$1499+CROQUIS_DATOS!$C$1500))-(CROQUIS_DATOS!$C$1499))+((CROQUIS_DATOS!$C$1476)*CROQUIS_DATOS!$C$1561-(0)*CROQUIS_DATOS!$C$1561))/CROQUIS_DATOS!$C$1568-0.000001)),1,MOD($A41-1,2)),1-IF(INT(($A41-1)/2)+1&gt;MAX(1,INT(((((CROQUIS_DATOS!$C$1499+CROQUIS_DATOS!$C$1500))-(CROQUIS_DATOS!$C$1499))+((CROQUIS_DATOS!$C$1476)*CROQUIS_DATOS!$C$1561-(0)*CROQUIS_DATOS!$C$1561))/CROQUIS_DATOS!$C$1568-0.000001)),1,MOD($A41-1,2)))=1,MIN((CROQUIS_DATOS!$C$1476)*CROQUIS_DATOS!$C$1561,((CROQUIS_DATOS!$C$1499+CROQUIS_DATOS!$C$1500)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41">
        <f>IF(AND(CROQUIS_DATOS!$C$1472=1,CROQUIS_DATOS!$C$1500&gt;0,((CROQUIS_DATOS!$C$1499+CROQUIS_DATOS!$C$1500))-(CROQUIS_DATOS!$C$1499)&gt;0.5,(CROQUIS_DATOS!$C$1476)-(0)&gt;0.5),(CROQUIS_DATOS!$C$1567+(IF(IF(MOD(MIN(INT(($A41-1)/2)+1,MAX(1,INT(((((CROQUIS_DATOS!$C$1499+CROQUIS_DATOS!$C$1500))-(CROQUIS_DATOS!$C$1499))+((CROQUIS_DATOS!$C$1476)*CROQUIS_DATOS!$C$1561-(0)*CROQUIS_DATOS!$C$1561))/CROQUIS_DATOS!$C$1568-0.000001))),2)=1,IF(INT(($A41-1)/2)+1&gt;MAX(1,INT(((((CROQUIS_DATOS!$C$1499+CROQUIS_DATOS!$C$1500))-(CROQUIS_DATOS!$C$1499))+((CROQUIS_DATOS!$C$1476)*CROQUIS_DATOS!$C$1561-(0)*CROQUIS_DATOS!$C$1561))/CROQUIS_DATOS!$C$1568-0.000001)),1,MOD($A41-1,2)),1-IF(INT(($A41-1)/2)+1&gt;MAX(1,INT(((((CROQUIS_DATOS!$C$1499+CROQUIS_DATOS!$C$1500))-(CROQUIS_DATOS!$C$1499))+((CROQUIS_DATOS!$C$1476)*CROQUIS_DATOS!$C$1561-(0)*CROQUIS_DATOS!$C$1561))/CROQUIS_DATOS!$C$1568-0.000001)),1,MOD($A41-1,2)))=1,MIN((CROQUIS_DATOS!$C$1476)*CROQUIS_DATOS!$C$1561,((CROQUIS_DATOS!$C$1499+CROQUIS_DATOS!$C$1500)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41-1)/2)+1,MAX(1,INT(((((CROQUIS_DATOS!$C$1499+CROQUIS_DATOS!$C$1500))-(CROQUIS_DATOS!$C$1499))+((CROQUIS_DATOS!$C$1476)*CROQUIS_DATOS!$C$1561-(0)*CROQUIS_DATOS!$C$1561))/CROQUIS_DATOS!$C$1568-0.000001)))*CROQUIS_DATOS!$C$1568))))*CROQUIS_DATOS!$C$1565),-1000)</f>
        <v>15.9379310344828</v>
      </c>
      <c r="CB41">
        <f>IF(AND(CROQUIS_DATOS!$C$1472=1,CROQUIS_DATOS!$C$1504&gt;0,((CROQUIS_DATOS!$C$1503+CROQUIS_DATOS!$C$1504))-(CROQUIS_DATOS!$C$1503)&gt;0.5,(CROQUIS_DATOS!$C$1476)-(0)&gt;0.5),(CROQUIS_DATOS!$C$1566+(IF(IF(MOD(MIN(INT(($A41-1)/2)+1,MAX(1,INT(((((CROQUIS_DATOS!$C$1503+CROQUIS_DATOS!$C$1504))-(CROQUIS_DATOS!$C$1503))+((CROQUIS_DATOS!$C$1476)*CROQUIS_DATOS!$C$1561-(0)*CROQUIS_DATOS!$C$1561))/CROQUIS_DATOS!$C$1568-0.000001))),2)=1,IF(INT(($A41-1)/2)+1&gt;MAX(1,INT(((((CROQUIS_DATOS!$C$1503+CROQUIS_DATOS!$C$1504))-(CROQUIS_DATOS!$C$1503))+((CROQUIS_DATOS!$C$1476)*CROQUIS_DATOS!$C$1561-(0)*CROQUIS_DATOS!$C$1561))/CROQUIS_DATOS!$C$1568-0.000001)),1,MOD($A41-1,2)),1-IF(INT(($A41-1)/2)+1&gt;MAX(1,INT(((((CROQUIS_DATOS!$C$1503+CROQUIS_DATOS!$C$1504))-(CROQUIS_DATOS!$C$1503))+((CROQUIS_DATOS!$C$1476)*CROQUIS_DATOS!$C$1561-(0)*CROQUIS_DATOS!$C$1561))/CROQUIS_DATOS!$C$1568-0.000001)),1,MOD($A41-1,2)))=1,MIN((CROQUIS_DATOS!$C$1476)*CROQUIS_DATOS!$C$1561,((CROQUIS_DATOS!$C$1503+CROQUIS_DATOS!$C$1504)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41">
        <f>IF(AND(CROQUIS_DATOS!$C$1472=1,CROQUIS_DATOS!$C$1504&gt;0,((CROQUIS_DATOS!$C$1503+CROQUIS_DATOS!$C$1504))-(CROQUIS_DATOS!$C$1503)&gt;0.5,(CROQUIS_DATOS!$C$1476)-(0)&gt;0.5),(CROQUIS_DATOS!$C$1567+(IF(IF(MOD(MIN(INT(($A41-1)/2)+1,MAX(1,INT(((((CROQUIS_DATOS!$C$1503+CROQUIS_DATOS!$C$1504))-(CROQUIS_DATOS!$C$1503))+((CROQUIS_DATOS!$C$1476)*CROQUIS_DATOS!$C$1561-(0)*CROQUIS_DATOS!$C$1561))/CROQUIS_DATOS!$C$1568-0.000001))),2)=1,IF(INT(($A41-1)/2)+1&gt;MAX(1,INT(((((CROQUIS_DATOS!$C$1503+CROQUIS_DATOS!$C$1504))-(CROQUIS_DATOS!$C$1503))+((CROQUIS_DATOS!$C$1476)*CROQUIS_DATOS!$C$1561-(0)*CROQUIS_DATOS!$C$1561))/CROQUIS_DATOS!$C$1568-0.000001)),1,MOD($A41-1,2)),1-IF(INT(($A41-1)/2)+1&gt;MAX(1,INT(((((CROQUIS_DATOS!$C$1503+CROQUIS_DATOS!$C$1504))-(CROQUIS_DATOS!$C$1503))+((CROQUIS_DATOS!$C$1476)*CROQUIS_DATOS!$C$1561-(0)*CROQUIS_DATOS!$C$1561))/CROQUIS_DATOS!$C$1568-0.000001)),1,MOD($A41-1,2)))=1,MIN((CROQUIS_DATOS!$C$1476)*CROQUIS_DATOS!$C$1561,((CROQUIS_DATOS!$C$1503+CROQUIS_DATOS!$C$1504)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41-1)/2)+1,MAX(1,INT(((((CROQUIS_DATOS!$C$1503+CROQUIS_DATOS!$C$1504))-(CROQUIS_DATOS!$C$1503))+((CROQUIS_DATOS!$C$1476)*CROQUIS_DATOS!$C$1561-(0)*CROQUIS_DATOS!$C$1561))/CROQUIS_DATOS!$C$1568-0.000001)))*CROQUIS_DATOS!$C$1568))))*CROQUIS_DATOS!$C$1565),-1000)</f>
        <v>22.351724137931</v>
      </c>
      <c r="CD41">
        <f>IF(AND(CROQUIS_DATOS!$C$1472=1,CROQUIS_DATOS!$C$1508&gt;0,((CROQUIS_DATOS!$C$1507+CROQUIS_DATOS!$C$1508))-(CROQUIS_DATOS!$C$1507)&gt;0.5,(CROQUIS_DATOS!$C$1476)-(0)&gt;0.5),(CROQUIS_DATOS!$C$1566+(IF(IF(MOD(MIN(INT(($A41-1)/2)+1,MAX(1,INT(((((CROQUIS_DATOS!$C$1507+CROQUIS_DATOS!$C$1508))-(CROQUIS_DATOS!$C$1507))+((CROQUIS_DATOS!$C$1476)*CROQUIS_DATOS!$C$1561-(0)*CROQUIS_DATOS!$C$1561))/CROQUIS_DATOS!$C$1568-0.000001))),2)=1,IF(INT(($A41-1)/2)+1&gt;MAX(1,INT(((((CROQUIS_DATOS!$C$1507+CROQUIS_DATOS!$C$1508))-(CROQUIS_DATOS!$C$1507))+((CROQUIS_DATOS!$C$1476)*CROQUIS_DATOS!$C$1561-(0)*CROQUIS_DATOS!$C$1561))/CROQUIS_DATOS!$C$1568-0.000001)),1,MOD($A41-1,2)),1-IF(INT(($A41-1)/2)+1&gt;MAX(1,INT(((((CROQUIS_DATOS!$C$1507+CROQUIS_DATOS!$C$1508))-(CROQUIS_DATOS!$C$1507))+((CROQUIS_DATOS!$C$1476)*CROQUIS_DATOS!$C$1561-(0)*CROQUIS_DATOS!$C$1561))/CROQUIS_DATOS!$C$1568-0.000001)),1,MOD($A41-1,2)))=1,MIN((CROQUIS_DATOS!$C$1476)*CROQUIS_DATOS!$C$1561,((CROQUIS_DATOS!$C$1507+CROQUIS_DATOS!$C$1508)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41">
        <f>IF(AND(CROQUIS_DATOS!$C$1472=1,CROQUIS_DATOS!$C$1508&gt;0,((CROQUIS_DATOS!$C$1507+CROQUIS_DATOS!$C$1508))-(CROQUIS_DATOS!$C$1507)&gt;0.5,(CROQUIS_DATOS!$C$1476)-(0)&gt;0.5),(CROQUIS_DATOS!$C$1567+(IF(IF(MOD(MIN(INT(($A41-1)/2)+1,MAX(1,INT(((((CROQUIS_DATOS!$C$1507+CROQUIS_DATOS!$C$1508))-(CROQUIS_DATOS!$C$1507))+((CROQUIS_DATOS!$C$1476)*CROQUIS_DATOS!$C$1561-(0)*CROQUIS_DATOS!$C$1561))/CROQUIS_DATOS!$C$1568-0.000001))),2)=1,IF(INT(($A41-1)/2)+1&gt;MAX(1,INT(((((CROQUIS_DATOS!$C$1507+CROQUIS_DATOS!$C$1508))-(CROQUIS_DATOS!$C$1507))+((CROQUIS_DATOS!$C$1476)*CROQUIS_DATOS!$C$1561-(0)*CROQUIS_DATOS!$C$1561))/CROQUIS_DATOS!$C$1568-0.000001)),1,MOD($A41-1,2)),1-IF(INT(($A41-1)/2)+1&gt;MAX(1,INT(((((CROQUIS_DATOS!$C$1507+CROQUIS_DATOS!$C$1508))-(CROQUIS_DATOS!$C$1507))+((CROQUIS_DATOS!$C$1476)*CROQUIS_DATOS!$C$1561-(0)*CROQUIS_DATOS!$C$1561))/CROQUIS_DATOS!$C$1568-0.000001)),1,MOD($A41-1,2)))=1,MIN((CROQUIS_DATOS!$C$1476)*CROQUIS_DATOS!$C$1561,((CROQUIS_DATOS!$C$1507+CROQUIS_DATOS!$C$1508)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41-1)/2)+1,MAX(1,INT(((((CROQUIS_DATOS!$C$1507+CROQUIS_DATOS!$C$1508))-(CROQUIS_DATOS!$C$1507))+((CROQUIS_DATOS!$C$1476)*CROQUIS_DATOS!$C$1561-(0)*CROQUIS_DATOS!$C$1561))/CROQUIS_DATOS!$C$1568-0.000001)))*CROQUIS_DATOS!$C$1568))))*CROQUIS_DATOS!$C$1565),-1000)</f>
        <v>24.4896551724138</v>
      </c>
      <c r="CF41">
        <f>IF(AND(CROQUIS_DATOS!$C$1472=1,CROQUIS_DATOS!$C$1512&gt;0,((CROQUIS_DATOS!$C$1511+CROQUIS_DATOS!$C$1512))-(CROQUIS_DATOS!$C$1511)&gt;0.5,(CROQUIS_DATOS!$C$1476)-(0)&gt;0.5),(CROQUIS_DATOS!$C$1566+(IF(IF(MOD(MIN(INT(($A41-1)/2)+1,MAX(1,INT(((((CROQUIS_DATOS!$C$1511+CROQUIS_DATOS!$C$1512))-(CROQUIS_DATOS!$C$1511))+((CROQUIS_DATOS!$C$1476)*CROQUIS_DATOS!$C$1561-(0)*CROQUIS_DATOS!$C$1561))/CROQUIS_DATOS!$C$1568-0.000001))),2)=1,IF(INT(($A41-1)/2)+1&gt;MAX(1,INT(((((CROQUIS_DATOS!$C$1511+CROQUIS_DATOS!$C$1512))-(CROQUIS_DATOS!$C$1511))+((CROQUIS_DATOS!$C$1476)*CROQUIS_DATOS!$C$1561-(0)*CROQUIS_DATOS!$C$1561))/CROQUIS_DATOS!$C$1568-0.000001)),1,MOD($A41-1,2)),1-IF(INT(($A41-1)/2)+1&gt;MAX(1,INT(((((CROQUIS_DATOS!$C$1511+CROQUIS_DATOS!$C$1512))-(CROQUIS_DATOS!$C$1511))+((CROQUIS_DATOS!$C$1476)*CROQUIS_DATOS!$C$1561-(0)*CROQUIS_DATOS!$C$1561))/CROQUIS_DATOS!$C$1568-0.000001)),1,MOD($A41-1,2)))=1,MIN((CROQUIS_DATOS!$C$1476)*CROQUIS_DATOS!$C$1561,((CROQUIS_DATOS!$C$1511+CROQUIS_DATOS!$C$1512)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1">
        <f>IF(AND(CROQUIS_DATOS!$C$1472=1,CROQUIS_DATOS!$C$1512&gt;0,((CROQUIS_DATOS!$C$1511+CROQUIS_DATOS!$C$1512))-(CROQUIS_DATOS!$C$1511)&gt;0.5,(CROQUIS_DATOS!$C$1476)-(0)&gt;0.5),(CROQUIS_DATOS!$C$1567+(IF(IF(MOD(MIN(INT(($A41-1)/2)+1,MAX(1,INT(((((CROQUIS_DATOS!$C$1511+CROQUIS_DATOS!$C$1512))-(CROQUIS_DATOS!$C$1511))+((CROQUIS_DATOS!$C$1476)*CROQUIS_DATOS!$C$1561-(0)*CROQUIS_DATOS!$C$1561))/CROQUIS_DATOS!$C$1568-0.000001))),2)=1,IF(INT(($A41-1)/2)+1&gt;MAX(1,INT(((((CROQUIS_DATOS!$C$1511+CROQUIS_DATOS!$C$1512))-(CROQUIS_DATOS!$C$1511))+((CROQUIS_DATOS!$C$1476)*CROQUIS_DATOS!$C$1561-(0)*CROQUIS_DATOS!$C$1561))/CROQUIS_DATOS!$C$1568-0.000001)),1,MOD($A41-1,2)),1-IF(INT(($A41-1)/2)+1&gt;MAX(1,INT(((((CROQUIS_DATOS!$C$1511+CROQUIS_DATOS!$C$1512))-(CROQUIS_DATOS!$C$1511))+((CROQUIS_DATOS!$C$1476)*CROQUIS_DATOS!$C$1561-(0)*CROQUIS_DATOS!$C$1561))/CROQUIS_DATOS!$C$1568-0.000001)),1,MOD($A41-1,2)))=1,MIN((CROQUIS_DATOS!$C$1476)*CROQUIS_DATOS!$C$1561,((CROQUIS_DATOS!$C$1511+CROQUIS_DATOS!$C$1512)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1">
        <f>IF(AND(CROQUIS_DATOS!$C$1472=1,CROQUIS_DATOS!$C$1516&gt;0,((CROQUIS_DATOS!$C$1515+CROQUIS_DATOS!$C$1516))-(CROQUIS_DATOS!$C$1515)&gt;0.5,(CROQUIS_DATOS!$C$1476)-(0)&gt;0.5),(CROQUIS_DATOS!$C$1566+(IF(IF(MOD(MIN(INT(($A41-1)/2)+1,MAX(1,INT(((((CROQUIS_DATOS!$C$1515+CROQUIS_DATOS!$C$1516))-(CROQUIS_DATOS!$C$1515))+((CROQUIS_DATOS!$C$1476)*CROQUIS_DATOS!$C$1561-(0)*CROQUIS_DATOS!$C$1561))/CROQUIS_DATOS!$C$1568-0.000001))),2)=1,IF(INT(($A41-1)/2)+1&gt;MAX(1,INT(((((CROQUIS_DATOS!$C$1515+CROQUIS_DATOS!$C$1516))-(CROQUIS_DATOS!$C$1515))+((CROQUIS_DATOS!$C$1476)*CROQUIS_DATOS!$C$1561-(0)*CROQUIS_DATOS!$C$1561))/CROQUIS_DATOS!$C$1568-0.000001)),1,MOD($A41-1,2)),1-IF(INT(($A41-1)/2)+1&gt;MAX(1,INT(((((CROQUIS_DATOS!$C$1515+CROQUIS_DATOS!$C$1516))-(CROQUIS_DATOS!$C$1515))+((CROQUIS_DATOS!$C$1476)*CROQUIS_DATOS!$C$1561-(0)*CROQUIS_DATOS!$C$1561))/CROQUIS_DATOS!$C$1568-0.000001)),1,MOD($A41-1,2)))=1,MIN((CROQUIS_DATOS!$C$1476)*CROQUIS_DATOS!$C$1561,((CROQUIS_DATOS!$C$1515+CROQUIS_DATOS!$C$1516)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1">
        <f>IF(AND(CROQUIS_DATOS!$C$1472=1,CROQUIS_DATOS!$C$1516&gt;0,((CROQUIS_DATOS!$C$1515+CROQUIS_DATOS!$C$1516))-(CROQUIS_DATOS!$C$1515)&gt;0.5,(CROQUIS_DATOS!$C$1476)-(0)&gt;0.5),(CROQUIS_DATOS!$C$1567+(IF(IF(MOD(MIN(INT(($A41-1)/2)+1,MAX(1,INT(((((CROQUIS_DATOS!$C$1515+CROQUIS_DATOS!$C$1516))-(CROQUIS_DATOS!$C$1515))+((CROQUIS_DATOS!$C$1476)*CROQUIS_DATOS!$C$1561-(0)*CROQUIS_DATOS!$C$1561))/CROQUIS_DATOS!$C$1568-0.000001))),2)=1,IF(INT(($A41-1)/2)+1&gt;MAX(1,INT(((((CROQUIS_DATOS!$C$1515+CROQUIS_DATOS!$C$1516))-(CROQUIS_DATOS!$C$1515))+((CROQUIS_DATOS!$C$1476)*CROQUIS_DATOS!$C$1561-(0)*CROQUIS_DATOS!$C$1561))/CROQUIS_DATOS!$C$1568-0.000001)),1,MOD($A41-1,2)),1-IF(INT(($A41-1)/2)+1&gt;MAX(1,INT(((((CROQUIS_DATOS!$C$1515+CROQUIS_DATOS!$C$1516))-(CROQUIS_DATOS!$C$1515))+((CROQUIS_DATOS!$C$1476)*CROQUIS_DATOS!$C$1561-(0)*CROQUIS_DATOS!$C$1561))/CROQUIS_DATOS!$C$1568-0.000001)),1,MOD($A41-1,2)))=1,MIN((CROQUIS_DATOS!$C$1476)*CROQUIS_DATOS!$C$1561,((CROQUIS_DATOS!$C$1515+CROQUIS_DATOS!$C$1516)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1">
        <f>IF(AND(CROQUIS_DATOS!$C$1472=1,CROQUIS_DATOS!$C$1478&gt;=1,((CROQUIS_DATOS!$C$1479+CROQUIS_DATOS!$C$1480))-(CROQUIS_DATOS!$C$1479)&gt;0.5,(CROQUIS_DATOS!$C$1481)-(0)&gt;0.5),(CROQUIS_DATOS!$C$1566+(IF(IF(MOD(MIN(INT(($A41-1)/2)+1,MAX(1,INT(((((CROQUIS_DATOS!$C$1479+CROQUIS_DATOS!$C$1480))-(CROQUIS_DATOS!$C$1479))+((CROQUIS_DATOS!$C$1481)*CROQUIS_DATOS!$C$1561-(0)*CROQUIS_DATOS!$C$1561))/CROQUIS_DATOS!$C$1568-0.000001))),2)=1,IF(INT(($A41-1)/2)+1&gt;MAX(1,INT(((((CROQUIS_DATOS!$C$1479+CROQUIS_DATOS!$C$1480))-(CROQUIS_DATOS!$C$1479))+((CROQUIS_DATOS!$C$1481)*CROQUIS_DATOS!$C$1561-(0)*CROQUIS_DATOS!$C$1561))/CROQUIS_DATOS!$C$1568-0.000001)),1,MOD($A41-1,2)),1-IF(INT(($A41-1)/2)+1&gt;MAX(1,INT(((((CROQUIS_DATOS!$C$1479+CROQUIS_DATOS!$C$1480))-(CROQUIS_DATOS!$C$1479))+((CROQUIS_DATOS!$C$1481)*CROQUIS_DATOS!$C$1561-(0)*CROQUIS_DATOS!$C$1561))/CROQUIS_DATOS!$C$1568-0.000001)),1,MOD($A41-1,2)))=1,MIN((CROQUIS_DATOS!$C$1481)*CROQUIS_DATOS!$C$1561,((CROQUIS_DATOS!$C$1479+CROQUIS_DATOS!$C$1480)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1">
        <f>IF(AND(CROQUIS_DATOS!$C$1472=1,CROQUIS_DATOS!$C$1478&gt;=1,((CROQUIS_DATOS!$C$1479+CROQUIS_DATOS!$C$1480))-(CROQUIS_DATOS!$C$1479)&gt;0.5,(CROQUIS_DATOS!$C$1481)-(0)&gt;0.5),(CROQUIS_DATOS!$C$1567+(IF(IF(MOD(MIN(INT(($A41-1)/2)+1,MAX(1,INT(((((CROQUIS_DATOS!$C$1479+CROQUIS_DATOS!$C$1480))-(CROQUIS_DATOS!$C$1479))+((CROQUIS_DATOS!$C$1481)*CROQUIS_DATOS!$C$1561-(0)*CROQUIS_DATOS!$C$1561))/CROQUIS_DATOS!$C$1568-0.000001))),2)=1,IF(INT(($A41-1)/2)+1&gt;MAX(1,INT(((((CROQUIS_DATOS!$C$1479+CROQUIS_DATOS!$C$1480))-(CROQUIS_DATOS!$C$1479))+((CROQUIS_DATOS!$C$1481)*CROQUIS_DATOS!$C$1561-(0)*CROQUIS_DATOS!$C$1561))/CROQUIS_DATOS!$C$1568-0.000001)),1,MOD($A41-1,2)),1-IF(INT(($A41-1)/2)+1&gt;MAX(1,INT(((((CROQUIS_DATOS!$C$1479+CROQUIS_DATOS!$C$1480))-(CROQUIS_DATOS!$C$1479))+((CROQUIS_DATOS!$C$1481)*CROQUIS_DATOS!$C$1561-(0)*CROQUIS_DATOS!$C$1561))/CROQUIS_DATOS!$C$1568-0.000001)),1,MOD($A41-1,2)))=1,MIN((CROQUIS_DATOS!$C$1481)*CROQUIS_DATOS!$C$1561,((CROQUIS_DATOS!$C$1479+CROQUIS_DATOS!$C$1480)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1">
        <f>IF(AND(CROQUIS_DATOS!$C$1472=1,CROQUIS_DATOS!$C$1478&gt;=1,((CROQUIS_DATOS!$C$1479+CROQUIS_DATOS!$C$1480))-(CROQUIS_DATOS!$C$1479)&gt;0.5,(CROQUIS_DATOS!$C$1476)-((CROQUIS_DATOS!$C$1481+CROQUIS_DATOS!$C$1482))&gt;0.5),(CROQUIS_DATOS!$C$1566+(IF(IF(MOD(MIN(INT(($A41-1)/2)+1,MAX(1,INT(((((CROQUIS_DATOS!$C$1479+CROQUIS_DATOS!$C$1480))-(CROQUIS_DATOS!$C$1479))+((CROQUIS_DATOS!$C$1476)*CROQUIS_DATOS!$C$1561-((CROQUIS_DATOS!$C$1481+CROQUIS_DATOS!$C$1482))*CROQUIS_DATOS!$C$1561))/CROQUIS_DATOS!$C$1568-0.000001))),2)=1,IF(INT(($A41-1)/2)+1&gt;MAX(1,INT(((((CROQUIS_DATOS!$C$1479+CROQUIS_DATOS!$C$1480))-(CROQUIS_DATOS!$C$1479))+((CROQUIS_DATOS!$C$1476)*CROQUIS_DATOS!$C$1561-((CROQUIS_DATOS!$C$1481+CROQUIS_DATOS!$C$1482))*CROQUIS_DATOS!$C$1561))/CROQUIS_DATOS!$C$1568-0.000001)),1,MOD($A41-1,2)),1-IF(INT(($A41-1)/2)+1&gt;MAX(1,INT(((((CROQUIS_DATOS!$C$1479+CROQUIS_DATOS!$C$1480))-(CROQUIS_DATOS!$C$1479))+((CROQUIS_DATOS!$C$1476)*CROQUIS_DATOS!$C$1561-((CROQUIS_DATOS!$C$1481+CROQUIS_DATOS!$C$1482))*CROQUIS_DATOS!$C$1561))/CROQUIS_DATOS!$C$1568-0.000001)),1,MOD($A41-1,2)))=1,MIN((CROQUIS_DATOS!$C$1476)*CROQUIS_DATOS!$C$1561,((CROQUIS_DATOS!$C$1479+CROQUIS_DATOS!$C$1480)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1">
        <f>IF(AND(CROQUIS_DATOS!$C$1472=1,CROQUIS_DATOS!$C$1478&gt;=1,((CROQUIS_DATOS!$C$1479+CROQUIS_DATOS!$C$1480))-(CROQUIS_DATOS!$C$1479)&gt;0.5,(CROQUIS_DATOS!$C$1476)-((CROQUIS_DATOS!$C$1481+CROQUIS_DATOS!$C$1482))&gt;0.5),(CROQUIS_DATOS!$C$1567+(IF(IF(MOD(MIN(INT(($A41-1)/2)+1,MAX(1,INT(((((CROQUIS_DATOS!$C$1479+CROQUIS_DATOS!$C$1480))-(CROQUIS_DATOS!$C$1479))+((CROQUIS_DATOS!$C$1476)*CROQUIS_DATOS!$C$1561-((CROQUIS_DATOS!$C$1481+CROQUIS_DATOS!$C$1482))*CROQUIS_DATOS!$C$1561))/CROQUIS_DATOS!$C$1568-0.000001))),2)=1,IF(INT(($A41-1)/2)+1&gt;MAX(1,INT(((((CROQUIS_DATOS!$C$1479+CROQUIS_DATOS!$C$1480))-(CROQUIS_DATOS!$C$1479))+((CROQUIS_DATOS!$C$1476)*CROQUIS_DATOS!$C$1561-((CROQUIS_DATOS!$C$1481+CROQUIS_DATOS!$C$1482))*CROQUIS_DATOS!$C$1561))/CROQUIS_DATOS!$C$1568-0.000001)),1,MOD($A41-1,2)),1-IF(INT(($A41-1)/2)+1&gt;MAX(1,INT(((((CROQUIS_DATOS!$C$1479+CROQUIS_DATOS!$C$1480))-(CROQUIS_DATOS!$C$1479))+((CROQUIS_DATOS!$C$1476)*CROQUIS_DATOS!$C$1561-((CROQUIS_DATOS!$C$1481+CROQUIS_DATOS!$C$1482))*CROQUIS_DATOS!$C$1561))/CROQUIS_DATOS!$C$1568-0.000001)),1,MOD($A41-1,2)))=1,MIN((CROQUIS_DATOS!$C$1476)*CROQUIS_DATOS!$C$1561,((CROQUIS_DATOS!$C$1479+CROQUIS_DATOS!$C$1480)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1">
        <f>IF(AND(CROQUIS_DATOS!$C$1472=1,CROQUIS_DATOS!$C$1478&gt;=2,((CROQUIS_DATOS!$C$1484+CROQUIS_DATOS!$C$1485))-(CROQUIS_DATOS!$C$1484)&gt;0.5,(CROQUIS_DATOS!$C$1486)-(0)&gt;0.5),(CROQUIS_DATOS!$C$1566+(IF(IF(MOD(MIN(INT(($A41-1)/2)+1,MAX(1,INT(((((CROQUIS_DATOS!$C$1484+CROQUIS_DATOS!$C$1485))-(CROQUIS_DATOS!$C$1484))+((CROQUIS_DATOS!$C$1486)*CROQUIS_DATOS!$C$1561-(0)*CROQUIS_DATOS!$C$1561))/CROQUIS_DATOS!$C$1568-0.000001))),2)=1,IF(INT(($A41-1)/2)+1&gt;MAX(1,INT(((((CROQUIS_DATOS!$C$1484+CROQUIS_DATOS!$C$1485))-(CROQUIS_DATOS!$C$1484))+((CROQUIS_DATOS!$C$1486)*CROQUIS_DATOS!$C$1561-(0)*CROQUIS_DATOS!$C$1561))/CROQUIS_DATOS!$C$1568-0.000001)),1,MOD($A41-1,2)),1-IF(INT(($A41-1)/2)+1&gt;MAX(1,INT(((((CROQUIS_DATOS!$C$1484+CROQUIS_DATOS!$C$1485))-(CROQUIS_DATOS!$C$1484))+((CROQUIS_DATOS!$C$1486)*CROQUIS_DATOS!$C$1561-(0)*CROQUIS_DATOS!$C$1561))/CROQUIS_DATOS!$C$1568-0.000001)),1,MOD($A41-1,2)))=1,MIN((CROQUIS_DATOS!$C$1486)*CROQUIS_DATOS!$C$1561,((CROQUIS_DATOS!$C$1484+CROQUIS_DATOS!$C$1485)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1">
        <f>IF(AND(CROQUIS_DATOS!$C$1472=1,CROQUIS_DATOS!$C$1478&gt;=2,((CROQUIS_DATOS!$C$1484+CROQUIS_DATOS!$C$1485))-(CROQUIS_DATOS!$C$1484)&gt;0.5,(CROQUIS_DATOS!$C$1486)-(0)&gt;0.5),(CROQUIS_DATOS!$C$1567+(IF(IF(MOD(MIN(INT(($A41-1)/2)+1,MAX(1,INT(((((CROQUIS_DATOS!$C$1484+CROQUIS_DATOS!$C$1485))-(CROQUIS_DATOS!$C$1484))+((CROQUIS_DATOS!$C$1486)*CROQUIS_DATOS!$C$1561-(0)*CROQUIS_DATOS!$C$1561))/CROQUIS_DATOS!$C$1568-0.000001))),2)=1,IF(INT(($A41-1)/2)+1&gt;MAX(1,INT(((((CROQUIS_DATOS!$C$1484+CROQUIS_DATOS!$C$1485))-(CROQUIS_DATOS!$C$1484))+((CROQUIS_DATOS!$C$1486)*CROQUIS_DATOS!$C$1561-(0)*CROQUIS_DATOS!$C$1561))/CROQUIS_DATOS!$C$1568-0.000001)),1,MOD($A41-1,2)),1-IF(INT(($A41-1)/2)+1&gt;MAX(1,INT(((((CROQUIS_DATOS!$C$1484+CROQUIS_DATOS!$C$1485))-(CROQUIS_DATOS!$C$1484))+((CROQUIS_DATOS!$C$1486)*CROQUIS_DATOS!$C$1561-(0)*CROQUIS_DATOS!$C$1561))/CROQUIS_DATOS!$C$1568-0.000001)),1,MOD($A41-1,2)))=1,MIN((CROQUIS_DATOS!$C$1486)*CROQUIS_DATOS!$C$1561,((CROQUIS_DATOS!$C$1484+CROQUIS_DATOS!$C$1485)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1">
        <f>IF(AND(CROQUIS_DATOS!$C$1472=1,CROQUIS_DATOS!$C$1478&gt;=2,((CROQUIS_DATOS!$C$1484+CROQUIS_DATOS!$C$1485))-(CROQUIS_DATOS!$C$1484)&gt;0.5,(CROQUIS_DATOS!$C$1476)-((CROQUIS_DATOS!$C$1486+CROQUIS_DATOS!$C$1487))&gt;0.5),(CROQUIS_DATOS!$C$1566+(IF(IF(MOD(MIN(INT(($A41-1)/2)+1,MAX(1,INT(((((CROQUIS_DATOS!$C$1484+CROQUIS_DATOS!$C$1485))-(CROQUIS_DATOS!$C$1484))+((CROQUIS_DATOS!$C$1476)*CROQUIS_DATOS!$C$1561-((CROQUIS_DATOS!$C$1486+CROQUIS_DATOS!$C$1487))*CROQUIS_DATOS!$C$1561))/CROQUIS_DATOS!$C$1568-0.000001))),2)=1,IF(INT(($A41-1)/2)+1&gt;MAX(1,INT(((((CROQUIS_DATOS!$C$1484+CROQUIS_DATOS!$C$1485))-(CROQUIS_DATOS!$C$1484))+((CROQUIS_DATOS!$C$1476)*CROQUIS_DATOS!$C$1561-((CROQUIS_DATOS!$C$1486+CROQUIS_DATOS!$C$1487))*CROQUIS_DATOS!$C$1561))/CROQUIS_DATOS!$C$1568-0.000001)),1,MOD($A41-1,2)),1-IF(INT(($A41-1)/2)+1&gt;MAX(1,INT(((((CROQUIS_DATOS!$C$1484+CROQUIS_DATOS!$C$1485))-(CROQUIS_DATOS!$C$1484))+((CROQUIS_DATOS!$C$1476)*CROQUIS_DATOS!$C$1561-((CROQUIS_DATOS!$C$1486+CROQUIS_DATOS!$C$1487))*CROQUIS_DATOS!$C$1561))/CROQUIS_DATOS!$C$1568-0.000001)),1,MOD($A41-1,2)))=1,MIN((CROQUIS_DATOS!$C$1476)*CROQUIS_DATOS!$C$1561,((CROQUIS_DATOS!$C$1484+CROQUIS_DATOS!$C$1485)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1">
        <f>IF(AND(CROQUIS_DATOS!$C$1472=1,CROQUIS_DATOS!$C$1478&gt;=2,((CROQUIS_DATOS!$C$1484+CROQUIS_DATOS!$C$1485))-(CROQUIS_DATOS!$C$1484)&gt;0.5,(CROQUIS_DATOS!$C$1476)-((CROQUIS_DATOS!$C$1486+CROQUIS_DATOS!$C$1487))&gt;0.5),(CROQUIS_DATOS!$C$1567+(IF(IF(MOD(MIN(INT(($A41-1)/2)+1,MAX(1,INT(((((CROQUIS_DATOS!$C$1484+CROQUIS_DATOS!$C$1485))-(CROQUIS_DATOS!$C$1484))+((CROQUIS_DATOS!$C$1476)*CROQUIS_DATOS!$C$1561-((CROQUIS_DATOS!$C$1486+CROQUIS_DATOS!$C$1487))*CROQUIS_DATOS!$C$1561))/CROQUIS_DATOS!$C$1568-0.000001))),2)=1,IF(INT(($A41-1)/2)+1&gt;MAX(1,INT(((((CROQUIS_DATOS!$C$1484+CROQUIS_DATOS!$C$1485))-(CROQUIS_DATOS!$C$1484))+((CROQUIS_DATOS!$C$1476)*CROQUIS_DATOS!$C$1561-((CROQUIS_DATOS!$C$1486+CROQUIS_DATOS!$C$1487))*CROQUIS_DATOS!$C$1561))/CROQUIS_DATOS!$C$1568-0.000001)),1,MOD($A41-1,2)),1-IF(INT(($A41-1)/2)+1&gt;MAX(1,INT(((((CROQUIS_DATOS!$C$1484+CROQUIS_DATOS!$C$1485))-(CROQUIS_DATOS!$C$1484))+((CROQUIS_DATOS!$C$1476)*CROQUIS_DATOS!$C$1561-((CROQUIS_DATOS!$C$1486+CROQUIS_DATOS!$C$1487))*CROQUIS_DATOS!$C$1561))/CROQUIS_DATOS!$C$1568-0.000001)),1,MOD($A41-1,2)))=1,MIN((CROQUIS_DATOS!$C$1476)*CROQUIS_DATOS!$C$1561,((CROQUIS_DATOS!$C$1484+CROQUIS_DATOS!$C$1485)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1">
        <f>IF(AND(CROQUIS_DATOS!$C$1472=1,CROQUIS_DATOS!$C$1478&gt;=3,((CROQUIS_DATOS!$C$1489+CROQUIS_DATOS!$C$1490))-(CROQUIS_DATOS!$C$1489)&gt;0.5,(CROQUIS_DATOS!$C$1491)-(0)&gt;0.5),(CROQUIS_DATOS!$C$1566+(IF(IF(MOD(MIN(INT(($A41-1)/2)+1,MAX(1,INT(((((CROQUIS_DATOS!$C$1489+CROQUIS_DATOS!$C$1490))-(CROQUIS_DATOS!$C$1489))+((CROQUIS_DATOS!$C$1491)*CROQUIS_DATOS!$C$1561-(0)*CROQUIS_DATOS!$C$1561))/CROQUIS_DATOS!$C$1568-0.000001))),2)=1,IF(INT(($A41-1)/2)+1&gt;MAX(1,INT(((((CROQUIS_DATOS!$C$1489+CROQUIS_DATOS!$C$1490))-(CROQUIS_DATOS!$C$1489))+((CROQUIS_DATOS!$C$1491)*CROQUIS_DATOS!$C$1561-(0)*CROQUIS_DATOS!$C$1561))/CROQUIS_DATOS!$C$1568-0.000001)),1,MOD($A41-1,2)),1-IF(INT(($A41-1)/2)+1&gt;MAX(1,INT(((((CROQUIS_DATOS!$C$1489+CROQUIS_DATOS!$C$1490))-(CROQUIS_DATOS!$C$1489))+((CROQUIS_DATOS!$C$1491)*CROQUIS_DATOS!$C$1561-(0)*CROQUIS_DATOS!$C$1561))/CROQUIS_DATOS!$C$1568-0.000001)),1,MOD($A41-1,2)))=1,MIN((CROQUIS_DATOS!$C$1491)*CROQUIS_DATOS!$C$1561,((CROQUIS_DATOS!$C$1489+CROQUIS_DATOS!$C$1490)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1">
        <f>IF(AND(CROQUIS_DATOS!$C$1472=1,CROQUIS_DATOS!$C$1478&gt;=3,((CROQUIS_DATOS!$C$1489+CROQUIS_DATOS!$C$1490))-(CROQUIS_DATOS!$C$1489)&gt;0.5,(CROQUIS_DATOS!$C$1491)-(0)&gt;0.5),(CROQUIS_DATOS!$C$1567+(IF(IF(MOD(MIN(INT(($A41-1)/2)+1,MAX(1,INT(((((CROQUIS_DATOS!$C$1489+CROQUIS_DATOS!$C$1490))-(CROQUIS_DATOS!$C$1489))+((CROQUIS_DATOS!$C$1491)*CROQUIS_DATOS!$C$1561-(0)*CROQUIS_DATOS!$C$1561))/CROQUIS_DATOS!$C$1568-0.000001))),2)=1,IF(INT(($A41-1)/2)+1&gt;MAX(1,INT(((((CROQUIS_DATOS!$C$1489+CROQUIS_DATOS!$C$1490))-(CROQUIS_DATOS!$C$1489))+((CROQUIS_DATOS!$C$1491)*CROQUIS_DATOS!$C$1561-(0)*CROQUIS_DATOS!$C$1561))/CROQUIS_DATOS!$C$1568-0.000001)),1,MOD($A41-1,2)),1-IF(INT(($A41-1)/2)+1&gt;MAX(1,INT(((((CROQUIS_DATOS!$C$1489+CROQUIS_DATOS!$C$1490))-(CROQUIS_DATOS!$C$1489))+((CROQUIS_DATOS!$C$1491)*CROQUIS_DATOS!$C$1561-(0)*CROQUIS_DATOS!$C$1561))/CROQUIS_DATOS!$C$1568-0.000001)),1,MOD($A41-1,2)))=1,MIN((CROQUIS_DATOS!$C$1491)*CROQUIS_DATOS!$C$1561,((CROQUIS_DATOS!$C$1489+CROQUIS_DATOS!$C$1490)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1">
        <f>IF(AND(CROQUIS_DATOS!$C$1472=1,CROQUIS_DATOS!$C$1478&gt;=3,((CROQUIS_DATOS!$C$1489+CROQUIS_DATOS!$C$1490))-(CROQUIS_DATOS!$C$1489)&gt;0.5,(CROQUIS_DATOS!$C$1476)-((CROQUIS_DATOS!$C$1491+CROQUIS_DATOS!$C$1492))&gt;0.5),(CROQUIS_DATOS!$C$1566+(IF(IF(MOD(MIN(INT(($A41-1)/2)+1,MAX(1,INT(((((CROQUIS_DATOS!$C$1489+CROQUIS_DATOS!$C$1490))-(CROQUIS_DATOS!$C$1489))+((CROQUIS_DATOS!$C$1476)*CROQUIS_DATOS!$C$1561-((CROQUIS_DATOS!$C$1491+CROQUIS_DATOS!$C$1492))*CROQUIS_DATOS!$C$1561))/CROQUIS_DATOS!$C$1568-0.000001))),2)=1,IF(INT(($A41-1)/2)+1&gt;MAX(1,INT(((((CROQUIS_DATOS!$C$1489+CROQUIS_DATOS!$C$1490))-(CROQUIS_DATOS!$C$1489))+((CROQUIS_DATOS!$C$1476)*CROQUIS_DATOS!$C$1561-((CROQUIS_DATOS!$C$1491+CROQUIS_DATOS!$C$1492))*CROQUIS_DATOS!$C$1561))/CROQUIS_DATOS!$C$1568-0.000001)),1,MOD($A41-1,2)),1-IF(INT(($A41-1)/2)+1&gt;MAX(1,INT(((((CROQUIS_DATOS!$C$1489+CROQUIS_DATOS!$C$1490))-(CROQUIS_DATOS!$C$1489))+((CROQUIS_DATOS!$C$1476)*CROQUIS_DATOS!$C$1561-((CROQUIS_DATOS!$C$1491+CROQUIS_DATOS!$C$1492))*CROQUIS_DATOS!$C$1561))/CROQUIS_DATOS!$C$1568-0.000001)),1,MOD($A41-1,2)))=1,MIN((CROQUIS_DATOS!$C$1476)*CROQUIS_DATOS!$C$1561,((CROQUIS_DATOS!$C$1489+CROQUIS_DATOS!$C$1490)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1">
        <f>IF(AND(CROQUIS_DATOS!$C$1472=1,CROQUIS_DATOS!$C$1478&gt;=3,((CROQUIS_DATOS!$C$1489+CROQUIS_DATOS!$C$1490))-(CROQUIS_DATOS!$C$1489)&gt;0.5,(CROQUIS_DATOS!$C$1476)-((CROQUIS_DATOS!$C$1491+CROQUIS_DATOS!$C$1492))&gt;0.5),(CROQUIS_DATOS!$C$1567+(IF(IF(MOD(MIN(INT(($A41-1)/2)+1,MAX(1,INT(((((CROQUIS_DATOS!$C$1489+CROQUIS_DATOS!$C$1490))-(CROQUIS_DATOS!$C$1489))+((CROQUIS_DATOS!$C$1476)*CROQUIS_DATOS!$C$1561-((CROQUIS_DATOS!$C$1491+CROQUIS_DATOS!$C$1492))*CROQUIS_DATOS!$C$1561))/CROQUIS_DATOS!$C$1568-0.000001))),2)=1,IF(INT(($A41-1)/2)+1&gt;MAX(1,INT(((((CROQUIS_DATOS!$C$1489+CROQUIS_DATOS!$C$1490))-(CROQUIS_DATOS!$C$1489))+((CROQUIS_DATOS!$C$1476)*CROQUIS_DATOS!$C$1561-((CROQUIS_DATOS!$C$1491+CROQUIS_DATOS!$C$1492))*CROQUIS_DATOS!$C$1561))/CROQUIS_DATOS!$C$1568-0.000001)),1,MOD($A41-1,2)),1-IF(INT(($A41-1)/2)+1&gt;MAX(1,INT(((((CROQUIS_DATOS!$C$1489+CROQUIS_DATOS!$C$1490))-(CROQUIS_DATOS!$C$1489))+((CROQUIS_DATOS!$C$1476)*CROQUIS_DATOS!$C$1561-((CROQUIS_DATOS!$C$1491+CROQUIS_DATOS!$C$1492))*CROQUIS_DATOS!$C$1561))/CROQUIS_DATOS!$C$1568-0.000001)),1,MOD($A41-1,2)))=1,MIN((CROQUIS_DATOS!$C$1476)*CROQUIS_DATOS!$C$1561,((CROQUIS_DATOS!$C$1489+CROQUIS_DATOS!$C$1490)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1">
        <f>IF(AND(CROQUIS_DATOS!$C$1472=1,CROQUIS_DATOS!$C$1478&gt;=4,((CROQUIS_DATOS!$C$1494+CROQUIS_DATOS!$C$1495))-(CROQUIS_DATOS!$C$1494)&gt;0.5,(CROQUIS_DATOS!$C$1496)-(0)&gt;0.5),(CROQUIS_DATOS!$C$1566+(IF(IF(MOD(MIN(INT(($A41-1)/2)+1,MAX(1,INT(((((CROQUIS_DATOS!$C$1494+CROQUIS_DATOS!$C$1495))-(CROQUIS_DATOS!$C$1494))+((CROQUIS_DATOS!$C$1496)*CROQUIS_DATOS!$C$1561-(0)*CROQUIS_DATOS!$C$1561))/CROQUIS_DATOS!$C$1568-0.000001))),2)=1,IF(INT(($A41-1)/2)+1&gt;MAX(1,INT(((((CROQUIS_DATOS!$C$1494+CROQUIS_DATOS!$C$1495))-(CROQUIS_DATOS!$C$1494))+((CROQUIS_DATOS!$C$1496)*CROQUIS_DATOS!$C$1561-(0)*CROQUIS_DATOS!$C$1561))/CROQUIS_DATOS!$C$1568-0.000001)),1,MOD($A41-1,2)),1-IF(INT(($A41-1)/2)+1&gt;MAX(1,INT(((((CROQUIS_DATOS!$C$1494+CROQUIS_DATOS!$C$1495))-(CROQUIS_DATOS!$C$1494))+((CROQUIS_DATOS!$C$1496)*CROQUIS_DATOS!$C$1561-(0)*CROQUIS_DATOS!$C$1561))/CROQUIS_DATOS!$C$1568-0.000001)),1,MOD($A41-1,2)))=1,MIN((CROQUIS_DATOS!$C$1496)*CROQUIS_DATOS!$C$1561,((CROQUIS_DATOS!$C$1494+CROQUIS_DATOS!$C$1495)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1">
        <f>IF(AND(CROQUIS_DATOS!$C$1472=1,CROQUIS_DATOS!$C$1478&gt;=4,((CROQUIS_DATOS!$C$1494+CROQUIS_DATOS!$C$1495))-(CROQUIS_DATOS!$C$1494)&gt;0.5,(CROQUIS_DATOS!$C$1496)-(0)&gt;0.5),(CROQUIS_DATOS!$C$1567+(IF(IF(MOD(MIN(INT(($A41-1)/2)+1,MAX(1,INT(((((CROQUIS_DATOS!$C$1494+CROQUIS_DATOS!$C$1495))-(CROQUIS_DATOS!$C$1494))+((CROQUIS_DATOS!$C$1496)*CROQUIS_DATOS!$C$1561-(0)*CROQUIS_DATOS!$C$1561))/CROQUIS_DATOS!$C$1568-0.000001))),2)=1,IF(INT(($A41-1)/2)+1&gt;MAX(1,INT(((((CROQUIS_DATOS!$C$1494+CROQUIS_DATOS!$C$1495))-(CROQUIS_DATOS!$C$1494))+((CROQUIS_DATOS!$C$1496)*CROQUIS_DATOS!$C$1561-(0)*CROQUIS_DATOS!$C$1561))/CROQUIS_DATOS!$C$1568-0.000001)),1,MOD($A41-1,2)),1-IF(INT(($A41-1)/2)+1&gt;MAX(1,INT(((((CROQUIS_DATOS!$C$1494+CROQUIS_DATOS!$C$1495))-(CROQUIS_DATOS!$C$1494))+((CROQUIS_DATOS!$C$1496)*CROQUIS_DATOS!$C$1561-(0)*CROQUIS_DATOS!$C$1561))/CROQUIS_DATOS!$C$1568-0.000001)),1,MOD($A41-1,2)))=1,MIN((CROQUIS_DATOS!$C$1496)*CROQUIS_DATOS!$C$1561,((CROQUIS_DATOS!$C$1494+CROQUIS_DATOS!$C$1495)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1">
        <f>IF(AND(CROQUIS_DATOS!$C$1472=1,CROQUIS_DATOS!$C$1478&gt;=4,((CROQUIS_DATOS!$C$1494+CROQUIS_DATOS!$C$1495))-(CROQUIS_DATOS!$C$1494)&gt;0.5,(CROQUIS_DATOS!$C$1476)-((CROQUIS_DATOS!$C$1496+CROQUIS_DATOS!$C$1497))&gt;0.5),(CROQUIS_DATOS!$C$1566+(IF(IF(MOD(MIN(INT(($A41-1)/2)+1,MAX(1,INT(((((CROQUIS_DATOS!$C$1494+CROQUIS_DATOS!$C$1495))-(CROQUIS_DATOS!$C$1494))+((CROQUIS_DATOS!$C$1476)*CROQUIS_DATOS!$C$1561-((CROQUIS_DATOS!$C$1496+CROQUIS_DATOS!$C$1497))*CROQUIS_DATOS!$C$1561))/CROQUIS_DATOS!$C$1568-0.000001))),2)=1,IF(INT(($A41-1)/2)+1&gt;MAX(1,INT(((((CROQUIS_DATOS!$C$1494+CROQUIS_DATOS!$C$1495))-(CROQUIS_DATOS!$C$1494))+((CROQUIS_DATOS!$C$1476)*CROQUIS_DATOS!$C$1561-((CROQUIS_DATOS!$C$1496+CROQUIS_DATOS!$C$1497))*CROQUIS_DATOS!$C$1561))/CROQUIS_DATOS!$C$1568-0.000001)),1,MOD($A41-1,2)),1-IF(INT(($A41-1)/2)+1&gt;MAX(1,INT(((((CROQUIS_DATOS!$C$1494+CROQUIS_DATOS!$C$1495))-(CROQUIS_DATOS!$C$1494))+((CROQUIS_DATOS!$C$1476)*CROQUIS_DATOS!$C$1561-((CROQUIS_DATOS!$C$1496+CROQUIS_DATOS!$C$1497))*CROQUIS_DATOS!$C$1561))/CROQUIS_DATOS!$C$1568-0.000001)),1,MOD($A41-1,2)))=1,MIN((CROQUIS_DATOS!$C$1476)*CROQUIS_DATOS!$C$1561,((CROQUIS_DATOS!$C$1494+CROQUIS_DATOS!$C$1495)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1">
        <f>IF(AND(CROQUIS_DATOS!$C$1472=1,CROQUIS_DATOS!$C$1478&gt;=4,((CROQUIS_DATOS!$C$1494+CROQUIS_DATOS!$C$1495))-(CROQUIS_DATOS!$C$1494)&gt;0.5,(CROQUIS_DATOS!$C$1476)-((CROQUIS_DATOS!$C$1496+CROQUIS_DATOS!$C$1497))&gt;0.5),(CROQUIS_DATOS!$C$1567+(IF(IF(MOD(MIN(INT(($A41-1)/2)+1,MAX(1,INT(((((CROQUIS_DATOS!$C$1494+CROQUIS_DATOS!$C$1495))-(CROQUIS_DATOS!$C$1494))+((CROQUIS_DATOS!$C$1476)*CROQUIS_DATOS!$C$1561-((CROQUIS_DATOS!$C$1496+CROQUIS_DATOS!$C$1497))*CROQUIS_DATOS!$C$1561))/CROQUIS_DATOS!$C$1568-0.000001))),2)=1,IF(INT(($A41-1)/2)+1&gt;MAX(1,INT(((((CROQUIS_DATOS!$C$1494+CROQUIS_DATOS!$C$1495))-(CROQUIS_DATOS!$C$1494))+((CROQUIS_DATOS!$C$1476)*CROQUIS_DATOS!$C$1561-((CROQUIS_DATOS!$C$1496+CROQUIS_DATOS!$C$1497))*CROQUIS_DATOS!$C$1561))/CROQUIS_DATOS!$C$1568-0.000001)),1,MOD($A41-1,2)),1-IF(INT(($A41-1)/2)+1&gt;MAX(1,INT(((((CROQUIS_DATOS!$C$1494+CROQUIS_DATOS!$C$1495))-(CROQUIS_DATOS!$C$1494))+((CROQUIS_DATOS!$C$1476)*CROQUIS_DATOS!$C$1561-((CROQUIS_DATOS!$C$1496+CROQUIS_DATOS!$C$1497))*CROQUIS_DATOS!$C$1561))/CROQUIS_DATOS!$C$1568-0.000001)),1,MOD($A41-1,2)))=1,MIN((CROQUIS_DATOS!$C$1476)*CROQUIS_DATOS!$C$1561,((CROQUIS_DATOS!$C$1494+CROQUIS_DATOS!$C$1495)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1">
        <f>IF(AND(CROQUIS_DATOS!$C$1472=1,1),(CROQUIS_DATOS!$C$1571+(CHOOSE(MIN(MAX(IF(INT(($A41-1)/5)+1&gt;CROQUIS_DATOS!$C$1525,5,MOD($A41-1,5)+1),1),5),(INDEX($E$8:$E$23,MIN(INT(($A41-1)/5)+1,CROQUIS_DATOS!$C$1525))-INDEX($F$8:$F$23,MIN(INT(($A41-1)/5)+1,CROQUIS_DATOS!$C$1525))/2),(INDEX($E$8:$E$23,MIN(INT(($A41-1)/5)+1,CROQUIS_DATOS!$C$1525))+INDEX($F$8:$F$23,MIN(INT(($A41-1)/5)+1,CROQUIS_DATOS!$C$1525))/2),(INDEX($E$8:$E$23,MIN(INT(($A41-1)/5)+1,CROQUIS_DATOS!$C$1525))+INDEX($F$8:$F$23,MIN(INT(($A41-1)/5)+1,CROQUIS_DATOS!$C$1525))/2),(INDEX($E$8:$E$23,MIN(INT(($A41-1)/5)+1,CROQUIS_DATOS!$C$1525))-INDEX($F$8:$F$23,MIN(INT(($A41-1)/5)+1,CROQUIS_DATOS!$C$1525))/2),(INDEX($E$8:$E$23,MIN(INT(($A41-1)/5)+1,CROQUIS_DATOS!$C$1525))-INDEX($F$8:$F$23,MIN(INT(($A41-1)/5)+1,CROQUIS_DATOS!$C$1525))/2)))*CROQUIS_DATOS!$C$1569),-1000)</f>
        <v>95.24</v>
      </c>
      <c r="GE41">
        <f>IF(AND(CROQUIS_DATOS!$C$1472=1,1),(CROQUIS_DATOS!$C$1572+(CHOOSE(MIN(MAX(IF(INT(($A41-1)/5)+1&gt;CROQUIS_DATOS!$C$1525,5,MOD($A41-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1">
        <f>IF(AND(CROQUIS_DATOS!$C$1472=1,1),IF(INT(($A41-1)/4)+1&lt;=CROQUIS_DATOS!$C$1525,(CROQUIS_DATOS!$C$1571+((INDEX($E$8:$E$23,MIN(INT(($A41-1)/4)+1,16))+IF(OR(MOD($A41-1,4)=0,MOD($A41-1,4)=3),-1,1)*(INDEX($F$8:$F$23,MIN(INT(($A41-1)/4)+1,16))/2-(CROQUIS_DATOS!$C$1530+CROQUIS_DATOS!$C$1532+IF(OR(INT(($A41-1)/4)+1=1,INT(($A41-1)/4)+1=CROQUIS_DATOS!$C$1525),CROQUIS_DATOS!$C$1534,CROQUIS_DATOS!$C$1531)/2))))*CROQUIS_DATOS!$C$1569),-1000),-1000)</f>
        <v>-1000</v>
      </c>
      <c r="GG41">
        <f>IF(AND(CROQUIS_DATOS!$C$1472=1,1),IF(INT(($A41-1)/4)+1&lt;=CROQUIS_DATOS!$C$1525,(CROQUIS_DATOS!$C$1572+((CROQUIS_DATOS!$C$1477/2+IF(MOD($A41-1,4)&lt;2,-1,1)*(CROQUIS_DATOS!$C$1527/2-(CROQUIS_DATOS!$C$1530+CROQUIS_DATOS!$C$1532+IF(OR(INT(($A41-1)/4)+1=1,INT(($A41-1)/4)+1=CROQUIS_DATOS!$C$1525),CROQUIS_DATOS!$C$1534,CROQUIS_DATOS!$C$1531)/2))))*CROQUIS_DATOS!$C$1569*CROQUIS_DATOS!$C$1570),-1000),-1000)</f>
        <v>-1000</v>
      </c>
    </row>
    <row r="42">
      <c r="A42" t="n">
        <v>35</v>
      </c>
      <c r="J42">
        <f>IF(AND(CROQUIS_DATOS!$C$1472=1,1),(CROQUIS_DATOS!$C$1563+(CHOOSE(MIN(MAX(IF(INT(($A42-1)/4)+1&gt;CROQUIS_DATOS!$C$1525,4,MOD($A42-1,4)+1),1),4),(INDEX($E$8:$E$23,MIN(INT(($A42-1)/4)+1,CROQUIS_DATOS!$C$1525))-INDEX($F$8:$F$23,MIN(INT(($A42-1)/4)+1,CROQUIS_DATOS!$C$1525))/2),(INDEX($E$8:$E$23,MIN(INT(($A42-1)/4)+1,CROQUIS_DATOS!$C$1525))-INDEX($F$8:$F$23,MIN(INT(($A42-1)/4)+1,CROQUIS_DATOS!$C$1525))/2),(INDEX($E$8:$E$23,MIN(INT(($A42-1)/4)+1,CROQUIS_DATOS!$C$1525))+INDEX($F$8:$F$23,MIN(INT(($A42-1)/4)+1,CROQUIS_DATOS!$C$1525))/2),(INDEX($E$8:$E$23,MIN(INT(($A42-1)/4)+1,CROQUIS_DATOS!$C$1525))+INDEX($F$8:$F$23,MIN(INT(($A42-1)/4)+1,CROQUIS_DATOS!$C$1525))/2)))*CROQUIS_DATOS!$C$1562),-1000)</f>
        <v>84.9137931034483</v>
      </c>
      <c r="K42">
        <f>IF(AND(CROQUIS_DATOS!$C$1472=1,1),(CROQUIS_DATOS!$C$1564+(CHOOSE(MIN(MAX(IF(INT(($A42-1)/4)+1&gt;CROQUIS_DATOS!$C$1525,4,MOD($A42-1,4)+1),1),4),0,CROQUIS_DATOS!$C$1476,CROQUIS_DATOS!$C$1476,0))*CROQUIS_DATOS!$C$1561*CROQUIS_DATOS!$C$1562),-1000)</f>
        <v>5.29310344827586</v>
      </c>
      <c r="L42">
        <f>IF(AND(CROQUIS_DATOS!$C$1472=1,1),(CROQUIS_DATOS!$C$1563+(CHOOSE(MIN(MAX(IF(INT(($A42-1)/4)+1&gt;CROQUIS_DATOS!$C$1525,4,MOD($A42-1,4)+1),1),4),((INDEX($E$8:$E$23,MIN(INT(($A42-1)/4)+1,CROQUIS_DATOS!$C$1525))-INDEX($F$8:$F$23,MIN(INT(($A42-1)/4)+1,CROQUIS_DATOS!$C$1525))/2)+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,((INDEX($E$8:$E$23,MIN(INT(($A42-1)/4)+1,CROQUIS_DATOS!$C$1525))-INDEX($F$8:$F$23,MIN(INT(($A42-1)/4)+1,CROQUIS_DATOS!$C$1525))/2)+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,((INDEX($E$8:$E$23,MIN(INT(($A42-1)/4)+1,CROQUIS_DATOS!$C$1525))+INDEX($F$8:$F$23,MIN(INT(($A42-1)/4)+1,CROQUIS_DATOS!$C$1525))/2)-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,((INDEX($E$8:$E$23,MIN(INT(($A42-1)/4)+1,CROQUIS_DATOS!$C$1525))+INDEX($F$8:$F$23,MIN(INT(($A42-1)/4)+1,CROQUIS_DATOS!$C$1525))/2)-MIN((CROQUIS_DATOS!$C$1530+CROQUIS_DATOS!$C$1532+IF(OR(MIN(INT(($A42-1)/4)+1,CROQUIS_DATOS!$C$1525)=1,MIN(INT(($A42-1)/4)+1,CROQUIS_DATOS!$C$1525)=CROQUIS_DATOS!$C$1525),CROQUIS_DATOS!$C$1534,CROQUIS_DATOS!$C$1531)/2),INDEX($F$8:$F$23,MIN(INT(($A42-1)/4)+1,CROQUIS_DATOS!$C$1525))/2-0.5))))*CROQUIS_DATOS!$C$1562),-1000)</f>
        <v>84.4792560344828</v>
      </c>
      <c r="M42">
        <f>IF(AND(CROQUIS_DATOS!$C$1472=1,1),(CROQUIS_DATOS!$C$1564+(CHOOSE(MIN(MAX(IF(INT(($A42-1)/4)+1&gt;CROQUIS_DATOS!$C$1525,4,MOD($A42-1,4)+1),1),4),CROQUIS_DATOS!$C$1543,INDEX($I$8:$I$23,MIN(INT(($A42-1)/4)+1,CROQUIS_DATOS!$C$1525)),INDEX($I$8:$I$23,MIN(INT(($A42-1)/4)+1,CROQUIS_DATOS!$C$1525)),CROQUIS_DATOS!$C$1543))*CROQUIS_DATOS!$C$1561*CROQUIS_DATOS!$C$1562),-1000)</f>
        <v>42.5654629310345</v>
      </c>
      <c r="N42">
        <f>IF(AND(CROQUIS_DATOS!$C$1472=1,1),(CROQUIS_DATOS!$C$1563+(IF(IF(IF(INT(($A42-1)/70)+1&gt;CROQUIS_DATOS!$C$1525,70,MOD($A42-1,70)+1)=1,0,IF(IF(INT(($A42-1)/70)+1&gt;CROQUIS_DATOS!$C$1525,70,MOD($A42-1,70)+1)&gt;2*CROQUIS_DATOS!$C$1541+1,IF(MOD(CROQUIS_DATOS!$C$1541,2)=1,1,0),IF(MOD(MIN(INT((IF(INT(($A42-1)/70)+1&gt;CROQUIS_DATOS!$C$1525,70,MOD($A42-1,70)+1)-2)/2)+1,CROQUIS_DATOS!$C$1541),2)=1,IF(MOD(IF(INT(($A42-1)/70)+1&gt;CROQUIS_DATOS!$C$1525,70,MOD($A42-1,70)+1)-2,2)=0,0,1),IF(MOD(IF(INT(($A42-1)/70)+1&gt;CROQUIS_DATOS!$C$1525,70,MOD($A42-1,70)+1)-2,2)=0,1,0))))=0,(INDEX($E$8:$E$23,MIN(INT(($A42-1)/70)+1,CROQUIS_DATOS!$C$1525))-INDEX($F$8:$F$23,MIN(INT(($A42-1)/70)+1,CROQUIS_DATOS!$C$1525))/2),(INDEX($E$8:$E$23,MIN(INT(($A42-1)/70)+1,CROQUIS_DATOS!$C$1525))+INDEX($F$8:$F$23,MIN(INT(($A42-1)/70)+1,CROQUIS_DATOS!$C$1525))/2)))*CROQUIS_DATOS!$C$1562),-1000)</f>
        <v>17.1810344827586</v>
      </c>
      <c r="O42">
        <f>IF(AND(CROQUIS_DATOS!$C$1472=1,1),(CROQUIS_DATOS!$C$1564+(IF(OR(IF(INT(($A42-1)/70)+1&gt;CROQUIS_DATOS!$C$1525,70,MOD($A42-1,70)+1)=1,IF(INT(($A42-1)/70)+1&gt;CROQUIS_DATOS!$C$1525,70,MOD($A42-1,70)+1)&gt;2*CROQUIS_DATOS!$C$1541+1),CROQUIS_DATOS!$C$1476,INDEX($H$8:$H$41,MIN(INT((IF(INT(($A42-1)/70)+1&gt;CROQUIS_DATOS!$C$1525,70,MOD($A42-1,70)+1)-2)/2)+1,CROQUIS_DATOS!$C$1541))))*CROQUIS_DATOS!$C$1561*CROQUIS_DATOS!$C$1562),-1000)</f>
        <v>38.1120689655172</v>
      </c>
      <c r="P42">
        <f>IF(AND(CROQUIS_DATOS!$C$1472=1,CROQUIS_DATOS!$C$1555=1),(CROQUIS_DATOS!$C$1563+(IF(IF(OR(MOD($A42-1,62)+1=1,IF(CHOOSE(MIN(MAX(MIN(INT(($A42-1)/62)+1,5),1),5),CROQUIS_DATOS!$C$1501,CROQUIS_DATOS!$C$1505,CROQUIS_DATOS!$C$1509,CROQUIS_DATOS!$C$1513,CROQUIS_DATOS!$C$1517)=1,CROQUIS_DATOS!$C$1557,0)=0),0,IF(MOD($A42-1,62)+1&gt;2*IF(CHOOSE(MIN(MAX(MIN(INT(($A42-1)/62)+1,5),1),5),CROQUIS_DATOS!$C$1501,CROQUIS_DATOS!$C$1505,CROQUIS_DATOS!$C$1509,CROQUIS_DATOS!$C$1513,CROQUIS_DATOS!$C$1517)=1,CROQUIS_DATOS!$C$1557,0)+1,IF(MOD(IF(CHOOSE(MIN(MAX(MIN(INT(($A42-1)/62)+1,5),1),5),CROQUIS_DATOS!$C$1501,CROQUIS_DATOS!$C$1505,CROQUIS_DATOS!$C$1509,CROQUIS_DATOS!$C$1513,CROQUIS_DATOS!$C$1517)=1,CROQUIS_DATOS!$C$1557,0),2)=1,1,0),IF(MOD(MIN(INT((MOD($A42-1,62)+1-2)/2)+1,MAX(IF(CHOOSE(MIN(MAX(MIN(INT(($A42-1)/62)+1,5),1),5),CROQUIS_DATOS!$C$1501,CROQUIS_DATOS!$C$1505,CROQUIS_DATOS!$C$1509,CROQUIS_DATOS!$C$1513,CROQUIS_DATOS!$C$1517)=1,CROQUIS_DATOS!$C$1557,0),1)),2)=1,IF(MOD(MOD($A42-1,62)+1-2,2)=0,0,1),IF(MOD(MOD($A42-1,62)+1-2,2)=0,1,0))))=0,(CHOOSE(MIN(MAX(MIN(INT(($A42-1)/62)+1,5),1),5),CROQUIS_DATOS!$C$1499,CROQUIS_DATOS!$C$1503,CROQUIS_DATOS!$C$1507,CROQUIS_DATOS!$C$1511,CROQUIS_DATOS!$C$1515)+IF(CHOOSE(MIN(MAX(MIN(INT(($A42-1)/62)+1,5),1),5),CROQUIS_DATOS!$C$1501,CROQUIS_DATOS!$C$1505,CROQUIS_DATOS!$C$1509,CROQUIS_DATOS!$C$1513,CROQUIS_DATOS!$C$1517)=1,CROQUIS_DATOS!$C$1526,0)),(CHOOSE(MIN(MAX(MIN(INT(($A42-1)/62)+1,5),1),5),CROQUIS_DATOS!$C$1499,CROQUIS_DATOS!$C$1503,CROQUIS_DATOS!$C$1507,CROQUIS_DATOS!$C$1511,CROQUIS_DATOS!$C$1515)+CHOOSE(MIN(MAX(MIN(INT(($A42-1)/62)+1,5),1),5),CROQUIS_DATOS!$C$1500,CROQUIS_DATOS!$C$1504,CROQUIS_DATOS!$C$1508,CROQUIS_DATOS!$C$1512,CROQUIS_DATOS!$C$1516)-IF(CHOOSE(MIN(MAX(MIN(INT(($A42-1)/62)+1,5),1),5),CROQUIS_DATOS!$C$1501,CROQUIS_DATOS!$C$1505,CROQUIS_DATOS!$C$1509,CROQUIS_DATOS!$C$1513,CROQUIS_DATOS!$C$1517)=1,CROQUIS_DATOS!$C$1526,0))))*CROQUIS_DATOS!$C$1562),-1000)</f>
        <v>-1000</v>
      </c>
      <c r="Q42">
        <f>IF(AND(CROQUIS_DATOS!$C$1472=1,CROQUIS_DATOS!$C$1555=1),(CROQUIS_DATOS!$C$1564+(IF(OR(OR(MOD($A42-1,62)+1=1,IF(CHOOSE(MIN(MAX(MIN(INT(($A42-1)/62)+1,5),1),5),CROQUIS_DATOS!$C$1501,CROQUIS_DATOS!$C$1505,CROQUIS_DATOS!$C$1509,CROQUIS_DATOS!$C$1513,CROQUIS_DATOS!$C$1517)=1,CROQUIS_DATOS!$C$1557,0)=0),MOD($A42-1,62)+1&gt;2*IF(CHOOSE(MIN(MAX(MIN(INT(($A42-1)/62)+1,5),1),5),CROQUIS_DATOS!$C$1501,CROQUIS_DATOS!$C$1505,CROQUIS_DATOS!$C$1509,CROQUIS_DATOS!$C$1513,CROQUIS_DATOS!$C$1517)=1,CROQUIS_DATOS!$C$1557,0)+1),CROQUIS_DATOS!$C$1476,MIN(INT((MOD($A42-1,62)+1-2)/2)+1,MAX(IF(CHOOSE(MIN(MAX(MIN(INT(($A42-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2">
        <f>IF(AND(CROQUIS_DATOS!$C$1472=1,1),(CROQUIS_DATOS!$C$1563+(MIN(INT(($A42-1)/2)+1,CROQUIS_DATOS!$C$1558)*CROQUIS_DATOS!$C$1559)*CROQUIS_DATOS!$C$1562),-1000)</f>
        <v>63.4283819628647</v>
      </c>
      <c r="U42">
        <f>IF(AND(CROQUIS_DATOS!$C$1472=1,1),(CROQUIS_DATOS!$C$1564+(IF(INT(($A42-1)/2)+1&gt;CROQUIS_DATOS!$C$1558,IF(MOD(CROQUIS_DATOS!$C$1558,2)=1,CROQUIS_DATOS!$C$1476+CROQUIS_DATOS!$C$1528,CROQUIS_DATOS!$C$1476),IF(IF(MOD(MIN(INT(($A42-1)/2)+1,CROQUIS_DATOS!$C$1558),2)=1,MOD($A42-1,2),1-MOD($A42-1,2))=1,CROQUIS_DATOS!$C$1476+CROQUIS_DATOS!$C$1528,CROQUIS_DATOS!$C$1476)))*CROQUIS_DATOS!$C$1561*CROQUIS_DATOS!$C$1562),-1000)</f>
        <v>43</v>
      </c>
      <c r="BZ42">
        <f>IF(AND(CROQUIS_DATOS!$C$1472=1,CROQUIS_DATOS!$C$1500&gt;0,((CROQUIS_DATOS!$C$1499+CROQUIS_DATOS!$C$1500))-(CROQUIS_DATOS!$C$1499)&gt;0.5,(CROQUIS_DATOS!$C$1476)-(0)&gt;0.5),(CROQUIS_DATOS!$C$1566+(IF(IF(MOD(MIN(INT(($A42-1)/2)+1,MAX(1,INT(((((CROQUIS_DATOS!$C$1499+CROQUIS_DATOS!$C$1500))-(CROQUIS_DATOS!$C$1499))+((CROQUIS_DATOS!$C$1476)*CROQUIS_DATOS!$C$1561-(0)*CROQUIS_DATOS!$C$1561))/CROQUIS_DATOS!$C$1568-0.000001))),2)=1,IF(INT(($A42-1)/2)+1&gt;MAX(1,INT(((((CROQUIS_DATOS!$C$1499+CROQUIS_DATOS!$C$1500))-(CROQUIS_DATOS!$C$1499))+((CROQUIS_DATOS!$C$1476)*CROQUIS_DATOS!$C$1561-(0)*CROQUIS_DATOS!$C$1561))/CROQUIS_DATOS!$C$1568-0.000001)),1,MOD($A42-1,2)),1-IF(INT(($A42-1)/2)+1&gt;MAX(1,INT(((((CROQUIS_DATOS!$C$1499+CROQUIS_DATOS!$C$1500))-(CROQUIS_DATOS!$C$1499))+((CROQUIS_DATOS!$C$1476)*CROQUIS_DATOS!$C$1561-(0)*CROQUIS_DATOS!$C$1561))/CROQUIS_DATOS!$C$1568-0.000001)),1,MOD($A42-1,2)))=1,MIN((CROQUIS_DATOS!$C$1476)*CROQUIS_DATOS!$C$1561,((CROQUIS_DATOS!$C$1499+CROQUIS_DATOS!$C$1500)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42">
        <f>IF(AND(CROQUIS_DATOS!$C$1472=1,CROQUIS_DATOS!$C$1500&gt;0,((CROQUIS_DATOS!$C$1499+CROQUIS_DATOS!$C$1500))-(CROQUIS_DATOS!$C$1499)&gt;0.5,(CROQUIS_DATOS!$C$1476)-(0)&gt;0.5),(CROQUIS_DATOS!$C$1567+(IF(IF(MOD(MIN(INT(($A42-1)/2)+1,MAX(1,INT(((((CROQUIS_DATOS!$C$1499+CROQUIS_DATOS!$C$1500))-(CROQUIS_DATOS!$C$1499))+((CROQUIS_DATOS!$C$1476)*CROQUIS_DATOS!$C$1561-(0)*CROQUIS_DATOS!$C$1561))/CROQUIS_DATOS!$C$1568-0.000001))),2)=1,IF(INT(($A42-1)/2)+1&gt;MAX(1,INT(((((CROQUIS_DATOS!$C$1499+CROQUIS_DATOS!$C$1500))-(CROQUIS_DATOS!$C$1499))+((CROQUIS_DATOS!$C$1476)*CROQUIS_DATOS!$C$1561-(0)*CROQUIS_DATOS!$C$1561))/CROQUIS_DATOS!$C$1568-0.000001)),1,MOD($A42-1,2)),1-IF(INT(($A42-1)/2)+1&gt;MAX(1,INT(((((CROQUIS_DATOS!$C$1499+CROQUIS_DATOS!$C$1500))-(CROQUIS_DATOS!$C$1499))+((CROQUIS_DATOS!$C$1476)*CROQUIS_DATOS!$C$1561-(0)*CROQUIS_DATOS!$C$1561))/CROQUIS_DATOS!$C$1568-0.000001)),1,MOD($A42-1,2)))=1,MIN((CROQUIS_DATOS!$C$1476)*CROQUIS_DATOS!$C$1561,((CROQUIS_DATOS!$C$1499+CROQUIS_DATOS!$C$1500)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42-1)/2)+1,MAX(1,INT(((((CROQUIS_DATOS!$C$1499+CROQUIS_DATOS!$C$1500))-(CROQUIS_DATOS!$C$1499))+((CROQUIS_DATOS!$C$1476)*CROQUIS_DATOS!$C$1561-(0)*CROQUIS_DATOS!$C$1561))/CROQUIS_DATOS!$C$1568-0.000001)))*CROQUIS_DATOS!$C$1568))))*CROQUIS_DATOS!$C$1565),-1000)</f>
        <v>14.3379310344828</v>
      </c>
      <c r="CB42">
        <f>IF(AND(CROQUIS_DATOS!$C$1472=1,CROQUIS_DATOS!$C$1504&gt;0,((CROQUIS_DATOS!$C$1503+CROQUIS_DATOS!$C$1504))-(CROQUIS_DATOS!$C$1503)&gt;0.5,(CROQUIS_DATOS!$C$1476)-(0)&gt;0.5),(CROQUIS_DATOS!$C$1566+(IF(IF(MOD(MIN(INT(($A42-1)/2)+1,MAX(1,INT(((((CROQUIS_DATOS!$C$1503+CROQUIS_DATOS!$C$1504))-(CROQUIS_DATOS!$C$1503))+((CROQUIS_DATOS!$C$1476)*CROQUIS_DATOS!$C$1561-(0)*CROQUIS_DATOS!$C$1561))/CROQUIS_DATOS!$C$1568-0.000001))),2)=1,IF(INT(($A42-1)/2)+1&gt;MAX(1,INT(((((CROQUIS_DATOS!$C$1503+CROQUIS_DATOS!$C$1504))-(CROQUIS_DATOS!$C$1503))+((CROQUIS_DATOS!$C$1476)*CROQUIS_DATOS!$C$1561-(0)*CROQUIS_DATOS!$C$1561))/CROQUIS_DATOS!$C$1568-0.000001)),1,MOD($A42-1,2)),1-IF(INT(($A42-1)/2)+1&gt;MAX(1,INT(((((CROQUIS_DATOS!$C$1503+CROQUIS_DATOS!$C$1504))-(CROQUIS_DATOS!$C$1503))+((CROQUIS_DATOS!$C$1476)*CROQUIS_DATOS!$C$1561-(0)*CROQUIS_DATOS!$C$1561))/CROQUIS_DATOS!$C$1568-0.000001)),1,MOD($A42-1,2)))=1,MIN((CROQUIS_DATOS!$C$1476)*CROQUIS_DATOS!$C$1561,((CROQUIS_DATOS!$C$1503+CROQUIS_DATOS!$C$1504)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42">
        <f>IF(AND(CROQUIS_DATOS!$C$1472=1,CROQUIS_DATOS!$C$1504&gt;0,((CROQUIS_DATOS!$C$1503+CROQUIS_DATOS!$C$1504))-(CROQUIS_DATOS!$C$1503)&gt;0.5,(CROQUIS_DATOS!$C$1476)-(0)&gt;0.5),(CROQUIS_DATOS!$C$1567+(IF(IF(MOD(MIN(INT(($A42-1)/2)+1,MAX(1,INT(((((CROQUIS_DATOS!$C$1503+CROQUIS_DATOS!$C$1504))-(CROQUIS_DATOS!$C$1503))+((CROQUIS_DATOS!$C$1476)*CROQUIS_DATOS!$C$1561-(0)*CROQUIS_DATOS!$C$1561))/CROQUIS_DATOS!$C$1568-0.000001))),2)=1,IF(INT(($A42-1)/2)+1&gt;MAX(1,INT(((((CROQUIS_DATOS!$C$1503+CROQUIS_DATOS!$C$1504))-(CROQUIS_DATOS!$C$1503))+((CROQUIS_DATOS!$C$1476)*CROQUIS_DATOS!$C$1561-(0)*CROQUIS_DATOS!$C$1561))/CROQUIS_DATOS!$C$1568-0.000001)),1,MOD($A42-1,2)),1-IF(INT(($A42-1)/2)+1&gt;MAX(1,INT(((((CROQUIS_DATOS!$C$1503+CROQUIS_DATOS!$C$1504))-(CROQUIS_DATOS!$C$1503))+((CROQUIS_DATOS!$C$1476)*CROQUIS_DATOS!$C$1561-(0)*CROQUIS_DATOS!$C$1561))/CROQUIS_DATOS!$C$1568-0.000001)),1,MOD($A42-1,2)))=1,MIN((CROQUIS_DATOS!$C$1476)*CROQUIS_DATOS!$C$1561,((CROQUIS_DATOS!$C$1503+CROQUIS_DATOS!$C$1504)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42-1)/2)+1,MAX(1,INT(((((CROQUIS_DATOS!$C$1503+CROQUIS_DATOS!$C$1504))-(CROQUIS_DATOS!$C$1503))+((CROQUIS_DATOS!$C$1476)*CROQUIS_DATOS!$C$1561-(0)*CROQUIS_DATOS!$C$1561))/CROQUIS_DATOS!$C$1568-0.000001)))*CROQUIS_DATOS!$C$1568))))*CROQUIS_DATOS!$C$1565),-1000)</f>
        <v>20.751724137931</v>
      </c>
      <c r="CD42">
        <f>IF(AND(CROQUIS_DATOS!$C$1472=1,CROQUIS_DATOS!$C$1508&gt;0,((CROQUIS_DATOS!$C$1507+CROQUIS_DATOS!$C$1508))-(CROQUIS_DATOS!$C$1507)&gt;0.5,(CROQUIS_DATOS!$C$1476)-(0)&gt;0.5),(CROQUIS_DATOS!$C$1566+(IF(IF(MOD(MIN(INT(($A42-1)/2)+1,MAX(1,INT(((((CROQUIS_DATOS!$C$1507+CROQUIS_DATOS!$C$1508))-(CROQUIS_DATOS!$C$1507))+((CROQUIS_DATOS!$C$1476)*CROQUIS_DATOS!$C$1561-(0)*CROQUIS_DATOS!$C$1561))/CROQUIS_DATOS!$C$1568-0.000001))),2)=1,IF(INT(($A42-1)/2)+1&gt;MAX(1,INT(((((CROQUIS_DATOS!$C$1507+CROQUIS_DATOS!$C$1508))-(CROQUIS_DATOS!$C$1507))+((CROQUIS_DATOS!$C$1476)*CROQUIS_DATOS!$C$1561-(0)*CROQUIS_DATOS!$C$1561))/CROQUIS_DATOS!$C$1568-0.000001)),1,MOD($A42-1,2)),1-IF(INT(($A42-1)/2)+1&gt;MAX(1,INT(((((CROQUIS_DATOS!$C$1507+CROQUIS_DATOS!$C$1508))-(CROQUIS_DATOS!$C$1507))+((CROQUIS_DATOS!$C$1476)*CROQUIS_DATOS!$C$1561-(0)*CROQUIS_DATOS!$C$1561))/CROQUIS_DATOS!$C$1568-0.000001)),1,MOD($A42-1,2)))=1,MIN((CROQUIS_DATOS!$C$1476)*CROQUIS_DATOS!$C$1561,((CROQUIS_DATOS!$C$1507+CROQUIS_DATOS!$C$1508)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42">
        <f>IF(AND(CROQUIS_DATOS!$C$1472=1,CROQUIS_DATOS!$C$1508&gt;0,((CROQUIS_DATOS!$C$1507+CROQUIS_DATOS!$C$1508))-(CROQUIS_DATOS!$C$1507)&gt;0.5,(CROQUIS_DATOS!$C$1476)-(0)&gt;0.5),(CROQUIS_DATOS!$C$1567+(IF(IF(MOD(MIN(INT(($A42-1)/2)+1,MAX(1,INT(((((CROQUIS_DATOS!$C$1507+CROQUIS_DATOS!$C$1508))-(CROQUIS_DATOS!$C$1507))+((CROQUIS_DATOS!$C$1476)*CROQUIS_DATOS!$C$1561-(0)*CROQUIS_DATOS!$C$1561))/CROQUIS_DATOS!$C$1568-0.000001))),2)=1,IF(INT(($A42-1)/2)+1&gt;MAX(1,INT(((((CROQUIS_DATOS!$C$1507+CROQUIS_DATOS!$C$1508))-(CROQUIS_DATOS!$C$1507))+((CROQUIS_DATOS!$C$1476)*CROQUIS_DATOS!$C$1561-(0)*CROQUIS_DATOS!$C$1561))/CROQUIS_DATOS!$C$1568-0.000001)),1,MOD($A42-1,2)),1-IF(INT(($A42-1)/2)+1&gt;MAX(1,INT(((((CROQUIS_DATOS!$C$1507+CROQUIS_DATOS!$C$1508))-(CROQUIS_DATOS!$C$1507))+((CROQUIS_DATOS!$C$1476)*CROQUIS_DATOS!$C$1561-(0)*CROQUIS_DATOS!$C$1561))/CROQUIS_DATOS!$C$1568-0.000001)),1,MOD($A42-1,2)))=1,MIN((CROQUIS_DATOS!$C$1476)*CROQUIS_DATOS!$C$1561,((CROQUIS_DATOS!$C$1507+CROQUIS_DATOS!$C$1508)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42-1)/2)+1,MAX(1,INT(((((CROQUIS_DATOS!$C$1507+CROQUIS_DATOS!$C$1508))-(CROQUIS_DATOS!$C$1507))+((CROQUIS_DATOS!$C$1476)*CROQUIS_DATOS!$C$1561-(0)*CROQUIS_DATOS!$C$1561))/CROQUIS_DATOS!$C$1568-0.000001)))*CROQUIS_DATOS!$C$1568))))*CROQUIS_DATOS!$C$1565),-1000)</f>
        <v>22.8896551724138</v>
      </c>
      <c r="CF42">
        <f>IF(AND(CROQUIS_DATOS!$C$1472=1,CROQUIS_DATOS!$C$1512&gt;0,((CROQUIS_DATOS!$C$1511+CROQUIS_DATOS!$C$1512))-(CROQUIS_DATOS!$C$1511)&gt;0.5,(CROQUIS_DATOS!$C$1476)-(0)&gt;0.5),(CROQUIS_DATOS!$C$1566+(IF(IF(MOD(MIN(INT(($A42-1)/2)+1,MAX(1,INT(((((CROQUIS_DATOS!$C$1511+CROQUIS_DATOS!$C$1512))-(CROQUIS_DATOS!$C$1511))+((CROQUIS_DATOS!$C$1476)*CROQUIS_DATOS!$C$1561-(0)*CROQUIS_DATOS!$C$1561))/CROQUIS_DATOS!$C$1568-0.000001))),2)=1,IF(INT(($A42-1)/2)+1&gt;MAX(1,INT(((((CROQUIS_DATOS!$C$1511+CROQUIS_DATOS!$C$1512))-(CROQUIS_DATOS!$C$1511))+((CROQUIS_DATOS!$C$1476)*CROQUIS_DATOS!$C$1561-(0)*CROQUIS_DATOS!$C$1561))/CROQUIS_DATOS!$C$1568-0.000001)),1,MOD($A42-1,2)),1-IF(INT(($A42-1)/2)+1&gt;MAX(1,INT(((((CROQUIS_DATOS!$C$1511+CROQUIS_DATOS!$C$1512))-(CROQUIS_DATOS!$C$1511))+((CROQUIS_DATOS!$C$1476)*CROQUIS_DATOS!$C$1561-(0)*CROQUIS_DATOS!$C$1561))/CROQUIS_DATOS!$C$1568-0.000001)),1,MOD($A42-1,2)))=1,MIN((CROQUIS_DATOS!$C$1476)*CROQUIS_DATOS!$C$1561,((CROQUIS_DATOS!$C$1511+CROQUIS_DATOS!$C$1512)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2">
        <f>IF(AND(CROQUIS_DATOS!$C$1472=1,CROQUIS_DATOS!$C$1512&gt;0,((CROQUIS_DATOS!$C$1511+CROQUIS_DATOS!$C$1512))-(CROQUIS_DATOS!$C$1511)&gt;0.5,(CROQUIS_DATOS!$C$1476)-(0)&gt;0.5),(CROQUIS_DATOS!$C$1567+(IF(IF(MOD(MIN(INT(($A42-1)/2)+1,MAX(1,INT(((((CROQUIS_DATOS!$C$1511+CROQUIS_DATOS!$C$1512))-(CROQUIS_DATOS!$C$1511))+((CROQUIS_DATOS!$C$1476)*CROQUIS_DATOS!$C$1561-(0)*CROQUIS_DATOS!$C$1561))/CROQUIS_DATOS!$C$1568-0.000001))),2)=1,IF(INT(($A42-1)/2)+1&gt;MAX(1,INT(((((CROQUIS_DATOS!$C$1511+CROQUIS_DATOS!$C$1512))-(CROQUIS_DATOS!$C$1511))+((CROQUIS_DATOS!$C$1476)*CROQUIS_DATOS!$C$1561-(0)*CROQUIS_DATOS!$C$1561))/CROQUIS_DATOS!$C$1568-0.000001)),1,MOD($A42-1,2)),1-IF(INT(($A42-1)/2)+1&gt;MAX(1,INT(((((CROQUIS_DATOS!$C$1511+CROQUIS_DATOS!$C$1512))-(CROQUIS_DATOS!$C$1511))+((CROQUIS_DATOS!$C$1476)*CROQUIS_DATOS!$C$1561-(0)*CROQUIS_DATOS!$C$1561))/CROQUIS_DATOS!$C$1568-0.000001)),1,MOD($A42-1,2)))=1,MIN((CROQUIS_DATOS!$C$1476)*CROQUIS_DATOS!$C$1561,((CROQUIS_DATOS!$C$1511+CROQUIS_DATOS!$C$1512)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2">
        <f>IF(AND(CROQUIS_DATOS!$C$1472=1,CROQUIS_DATOS!$C$1516&gt;0,((CROQUIS_DATOS!$C$1515+CROQUIS_DATOS!$C$1516))-(CROQUIS_DATOS!$C$1515)&gt;0.5,(CROQUIS_DATOS!$C$1476)-(0)&gt;0.5),(CROQUIS_DATOS!$C$1566+(IF(IF(MOD(MIN(INT(($A42-1)/2)+1,MAX(1,INT(((((CROQUIS_DATOS!$C$1515+CROQUIS_DATOS!$C$1516))-(CROQUIS_DATOS!$C$1515))+((CROQUIS_DATOS!$C$1476)*CROQUIS_DATOS!$C$1561-(0)*CROQUIS_DATOS!$C$1561))/CROQUIS_DATOS!$C$1568-0.000001))),2)=1,IF(INT(($A42-1)/2)+1&gt;MAX(1,INT(((((CROQUIS_DATOS!$C$1515+CROQUIS_DATOS!$C$1516))-(CROQUIS_DATOS!$C$1515))+((CROQUIS_DATOS!$C$1476)*CROQUIS_DATOS!$C$1561-(0)*CROQUIS_DATOS!$C$1561))/CROQUIS_DATOS!$C$1568-0.000001)),1,MOD($A42-1,2)),1-IF(INT(($A42-1)/2)+1&gt;MAX(1,INT(((((CROQUIS_DATOS!$C$1515+CROQUIS_DATOS!$C$1516))-(CROQUIS_DATOS!$C$1515))+((CROQUIS_DATOS!$C$1476)*CROQUIS_DATOS!$C$1561-(0)*CROQUIS_DATOS!$C$1561))/CROQUIS_DATOS!$C$1568-0.000001)),1,MOD($A42-1,2)))=1,MIN((CROQUIS_DATOS!$C$1476)*CROQUIS_DATOS!$C$1561,((CROQUIS_DATOS!$C$1515+CROQUIS_DATOS!$C$1516)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2">
        <f>IF(AND(CROQUIS_DATOS!$C$1472=1,CROQUIS_DATOS!$C$1516&gt;0,((CROQUIS_DATOS!$C$1515+CROQUIS_DATOS!$C$1516))-(CROQUIS_DATOS!$C$1515)&gt;0.5,(CROQUIS_DATOS!$C$1476)-(0)&gt;0.5),(CROQUIS_DATOS!$C$1567+(IF(IF(MOD(MIN(INT(($A42-1)/2)+1,MAX(1,INT(((((CROQUIS_DATOS!$C$1515+CROQUIS_DATOS!$C$1516))-(CROQUIS_DATOS!$C$1515))+((CROQUIS_DATOS!$C$1476)*CROQUIS_DATOS!$C$1561-(0)*CROQUIS_DATOS!$C$1561))/CROQUIS_DATOS!$C$1568-0.000001))),2)=1,IF(INT(($A42-1)/2)+1&gt;MAX(1,INT(((((CROQUIS_DATOS!$C$1515+CROQUIS_DATOS!$C$1516))-(CROQUIS_DATOS!$C$1515))+((CROQUIS_DATOS!$C$1476)*CROQUIS_DATOS!$C$1561-(0)*CROQUIS_DATOS!$C$1561))/CROQUIS_DATOS!$C$1568-0.000001)),1,MOD($A42-1,2)),1-IF(INT(($A42-1)/2)+1&gt;MAX(1,INT(((((CROQUIS_DATOS!$C$1515+CROQUIS_DATOS!$C$1516))-(CROQUIS_DATOS!$C$1515))+((CROQUIS_DATOS!$C$1476)*CROQUIS_DATOS!$C$1561-(0)*CROQUIS_DATOS!$C$1561))/CROQUIS_DATOS!$C$1568-0.000001)),1,MOD($A42-1,2)))=1,MIN((CROQUIS_DATOS!$C$1476)*CROQUIS_DATOS!$C$1561,((CROQUIS_DATOS!$C$1515+CROQUIS_DATOS!$C$1516)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2">
        <f>IF(AND(CROQUIS_DATOS!$C$1472=1,CROQUIS_DATOS!$C$1478&gt;=1,((CROQUIS_DATOS!$C$1479+CROQUIS_DATOS!$C$1480))-(CROQUIS_DATOS!$C$1479)&gt;0.5,(CROQUIS_DATOS!$C$1481)-(0)&gt;0.5),(CROQUIS_DATOS!$C$1566+(IF(IF(MOD(MIN(INT(($A42-1)/2)+1,MAX(1,INT(((((CROQUIS_DATOS!$C$1479+CROQUIS_DATOS!$C$1480))-(CROQUIS_DATOS!$C$1479))+((CROQUIS_DATOS!$C$1481)*CROQUIS_DATOS!$C$1561-(0)*CROQUIS_DATOS!$C$1561))/CROQUIS_DATOS!$C$1568-0.000001))),2)=1,IF(INT(($A42-1)/2)+1&gt;MAX(1,INT(((((CROQUIS_DATOS!$C$1479+CROQUIS_DATOS!$C$1480))-(CROQUIS_DATOS!$C$1479))+((CROQUIS_DATOS!$C$1481)*CROQUIS_DATOS!$C$1561-(0)*CROQUIS_DATOS!$C$1561))/CROQUIS_DATOS!$C$1568-0.000001)),1,MOD($A42-1,2)),1-IF(INT(($A42-1)/2)+1&gt;MAX(1,INT(((((CROQUIS_DATOS!$C$1479+CROQUIS_DATOS!$C$1480))-(CROQUIS_DATOS!$C$1479))+((CROQUIS_DATOS!$C$1481)*CROQUIS_DATOS!$C$1561-(0)*CROQUIS_DATOS!$C$1561))/CROQUIS_DATOS!$C$1568-0.000001)),1,MOD($A42-1,2)))=1,MIN((CROQUIS_DATOS!$C$1481)*CROQUIS_DATOS!$C$1561,((CROQUIS_DATOS!$C$1479+CROQUIS_DATOS!$C$1480)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2">
        <f>IF(AND(CROQUIS_DATOS!$C$1472=1,CROQUIS_DATOS!$C$1478&gt;=1,((CROQUIS_DATOS!$C$1479+CROQUIS_DATOS!$C$1480))-(CROQUIS_DATOS!$C$1479)&gt;0.5,(CROQUIS_DATOS!$C$1481)-(0)&gt;0.5),(CROQUIS_DATOS!$C$1567+(IF(IF(MOD(MIN(INT(($A42-1)/2)+1,MAX(1,INT(((((CROQUIS_DATOS!$C$1479+CROQUIS_DATOS!$C$1480))-(CROQUIS_DATOS!$C$1479))+((CROQUIS_DATOS!$C$1481)*CROQUIS_DATOS!$C$1561-(0)*CROQUIS_DATOS!$C$1561))/CROQUIS_DATOS!$C$1568-0.000001))),2)=1,IF(INT(($A42-1)/2)+1&gt;MAX(1,INT(((((CROQUIS_DATOS!$C$1479+CROQUIS_DATOS!$C$1480))-(CROQUIS_DATOS!$C$1479))+((CROQUIS_DATOS!$C$1481)*CROQUIS_DATOS!$C$1561-(0)*CROQUIS_DATOS!$C$1561))/CROQUIS_DATOS!$C$1568-0.000001)),1,MOD($A42-1,2)),1-IF(INT(($A42-1)/2)+1&gt;MAX(1,INT(((((CROQUIS_DATOS!$C$1479+CROQUIS_DATOS!$C$1480))-(CROQUIS_DATOS!$C$1479))+((CROQUIS_DATOS!$C$1481)*CROQUIS_DATOS!$C$1561-(0)*CROQUIS_DATOS!$C$1561))/CROQUIS_DATOS!$C$1568-0.000001)),1,MOD($A42-1,2)))=1,MIN((CROQUIS_DATOS!$C$1481)*CROQUIS_DATOS!$C$1561,((CROQUIS_DATOS!$C$1479+CROQUIS_DATOS!$C$1480)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2">
        <f>IF(AND(CROQUIS_DATOS!$C$1472=1,CROQUIS_DATOS!$C$1478&gt;=1,((CROQUIS_DATOS!$C$1479+CROQUIS_DATOS!$C$1480))-(CROQUIS_DATOS!$C$1479)&gt;0.5,(CROQUIS_DATOS!$C$1476)-((CROQUIS_DATOS!$C$1481+CROQUIS_DATOS!$C$1482))&gt;0.5),(CROQUIS_DATOS!$C$1566+(IF(IF(MOD(MIN(INT(($A42-1)/2)+1,MAX(1,INT(((((CROQUIS_DATOS!$C$1479+CROQUIS_DATOS!$C$1480))-(CROQUIS_DATOS!$C$1479))+((CROQUIS_DATOS!$C$1476)*CROQUIS_DATOS!$C$1561-((CROQUIS_DATOS!$C$1481+CROQUIS_DATOS!$C$1482))*CROQUIS_DATOS!$C$1561))/CROQUIS_DATOS!$C$1568-0.000001))),2)=1,IF(INT(($A42-1)/2)+1&gt;MAX(1,INT(((((CROQUIS_DATOS!$C$1479+CROQUIS_DATOS!$C$1480))-(CROQUIS_DATOS!$C$1479))+((CROQUIS_DATOS!$C$1476)*CROQUIS_DATOS!$C$1561-((CROQUIS_DATOS!$C$1481+CROQUIS_DATOS!$C$1482))*CROQUIS_DATOS!$C$1561))/CROQUIS_DATOS!$C$1568-0.000001)),1,MOD($A42-1,2)),1-IF(INT(($A42-1)/2)+1&gt;MAX(1,INT(((((CROQUIS_DATOS!$C$1479+CROQUIS_DATOS!$C$1480))-(CROQUIS_DATOS!$C$1479))+((CROQUIS_DATOS!$C$1476)*CROQUIS_DATOS!$C$1561-((CROQUIS_DATOS!$C$1481+CROQUIS_DATOS!$C$1482))*CROQUIS_DATOS!$C$1561))/CROQUIS_DATOS!$C$1568-0.000001)),1,MOD($A42-1,2)))=1,MIN((CROQUIS_DATOS!$C$1476)*CROQUIS_DATOS!$C$1561,((CROQUIS_DATOS!$C$1479+CROQUIS_DATOS!$C$1480)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2">
        <f>IF(AND(CROQUIS_DATOS!$C$1472=1,CROQUIS_DATOS!$C$1478&gt;=1,((CROQUIS_DATOS!$C$1479+CROQUIS_DATOS!$C$1480))-(CROQUIS_DATOS!$C$1479)&gt;0.5,(CROQUIS_DATOS!$C$1476)-((CROQUIS_DATOS!$C$1481+CROQUIS_DATOS!$C$1482))&gt;0.5),(CROQUIS_DATOS!$C$1567+(IF(IF(MOD(MIN(INT(($A42-1)/2)+1,MAX(1,INT(((((CROQUIS_DATOS!$C$1479+CROQUIS_DATOS!$C$1480))-(CROQUIS_DATOS!$C$1479))+((CROQUIS_DATOS!$C$1476)*CROQUIS_DATOS!$C$1561-((CROQUIS_DATOS!$C$1481+CROQUIS_DATOS!$C$1482))*CROQUIS_DATOS!$C$1561))/CROQUIS_DATOS!$C$1568-0.000001))),2)=1,IF(INT(($A42-1)/2)+1&gt;MAX(1,INT(((((CROQUIS_DATOS!$C$1479+CROQUIS_DATOS!$C$1480))-(CROQUIS_DATOS!$C$1479))+((CROQUIS_DATOS!$C$1476)*CROQUIS_DATOS!$C$1561-((CROQUIS_DATOS!$C$1481+CROQUIS_DATOS!$C$1482))*CROQUIS_DATOS!$C$1561))/CROQUIS_DATOS!$C$1568-0.000001)),1,MOD($A42-1,2)),1-IF(INT(($A42-1)/2)+1&gt;MAX(1,INT(((((CROQUIS_DATOS!$C$1479+CROQUIS_DATOS!$C$1480))-(CROQUIS_DATOS!$C$1479))+((CROQUIS_DATOS!$C$1476)*CROQUIS_DATOS!$C$1561-((CROQUIS_DATOS!$C$1481+CROQUIS_DATOS!$C$1482))*CROQUIS_DATOS!$C$1561))/CROQUIS_DATOS!$C$1568-0.000001)),1,MOD($A42-1,2)))=1,MIN((CROQUIS_DATOS!$C$1476)*CROQUIS_DATOS!$C$1561,((CROQUIS_DATOS!$C$1479+CROQUIS_DATOS!$C$1480)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2">
        <f>IF(AND(CROQUIS_DATOS!$C$1472=1,CROQUIS_DATOS!$C$1478&gt;=2,((CROQUIS_DATOS!$C$1484+CROQUIS_DATOS!$C$1485))-(CROQUIS_DATOS!$C$1484)&gt;0.5,(CROQUIS_DATOS!$C$1486)-(0)&gt;0.5),(CROQUIS_DATOS!$C$1566+(IF(IF(MOD(MIN(INT(($A42-1)/2)+1,MAX(1,INT(((((CROQUIS_DATOS!$C$1484+CROQUIS_DATOS!$C$1485))-(CROQUIS_DATOS!$C$1484))+((CROQUIS_DATOS!$C$1486)*CROQUIS_DATOS!$C$1561-(0)*CROQUIS_DATOS!$C$1561))/CROQUIS_DATOS!$C$1568-0.000001))),2)=1,IF(INT(($A42-1)/2)+1&gt;MAX(1,INT(((((CROQUIS_DATOS!$C$1484+CROQUIS_DATOS!$C$1485))-(CROQUIS_DATOS!$C$1484))+((CROQUIS_DATOS!$C$1486)*CROQUIS_DATOS!$C$1561-(0)*CROQUIS_DATOS!$C$1561))/CROQUIS_DATOS!$C$1568-0.000001)),1,MOD($A42-1,2)),1-IF(INT(($A42-1)/2)+1&gt;MAX(1,INT(((((CROQUIS_DATOS!$C$1484+CROQUIS_DATOS!$C$1485))-(CROQUIS_DATOS!$C$1484))+((CROQUIS_DATOS!$C$1486)*CROQUIS_DATOS!$C$1561-(0)*CROQUIS_DATOS!$C$1561))/CROQUIS_DATOS!$C$1568-0.000001)),1,MOD($A42-1,2)))=1,MIN((CROQUIS_DATOS!$C$1486)*CROQUIS_DATOS!$C$1561,((CROQUIS_DATOS!$C$1484+CROQUIS_DATOS!$C$1485)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2">
        <f>IF(AND(CROQUIS_DATOS!$C$1472=1,CROQUIS_DATOS!$C$1478&gt;=2,((CROQUIS_DATOS!$C$1484+CROQUIS_DATOS!$C$1485))-(CROQUIS_DATOS!$C$1484)&gt;0.5,(CROQUIS_DATOS!$C$1486)-(0)&gt;0.5),(CROQUIS_DATOS!$C$1567+(IF(IF(MOD(MIN(INT(($A42-1)/2)+1,MAX(1,INT(((((CROQUIS_DATOS!$C$1484+CROQUIS_DATOS!$C$1485))-(CROQUIS_DATOS!$C$1484))+((CROQUIS_DATOS!$C$1486)*CROQUIS_DATOS!$C$1561-(0)*CROQUIS_DATOS!$C$1561))/CROQUIS_DATOS!$C$1568-0.000001))),2)=1,IF(INT(($A42-1)/2)+1&gt;MAX(1,INT(((((CROQUIS_DATOS!$C$1484+CROQUIS_DATOS!$C$1485))-(CROQUIS_DATOS!$C$1484))+((CROQUIS_DATOS!$C$1486)*CROQUIS_DATOS!$C$1561-(0)*CROQUIS_DATOS!$C$1561))/CROQUIS_DATOS!$C$1568-0.000001)),1,MOD($A42-1,2)),1-IF(INT(($A42-1)/2)+1&gt;MAX(1,INT(((((CROQUIS_DATOS!$C$1484+CROQUIS_DATOS!$C$1485))-(CROQUIS_DATOS!$C$1484))+((CROQUIS_DATOS!$C$1486)*CROQUIS_DATOS!$C$1561-(0)*CROQUIS_DATOS!$C$1561))/CROQUIS_DATOS!$C$1568-0.000001)),1,MOD($A42-1,2)))=1,MIN((CROQUIS_DATOS!$C$1486)*CROQUIS_DATOS!$C$1561,((CROQUIS_DATOS!$C$1484+CROQUIS_DATOS!$C$1485)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2">
        <f>IF(AND(CROQUIS_DATOS!$C$1472=1,CROQUIS_DATOS!$C$1478&gt;=2,((CROQUIS_DATOS!$C$1484+CROQUIS_DATOS!$C$1485))-(CROQUIS_DATOS!$C$1484)&gt;0.5,(CROQUIS_DATOS!$C$1476)-((CROQUIS_DATOS!$C$1486+CROQUIS_DATOS!$C$1487))&gt;0.5),(CROQUIS_DATOS!$C$1566+(IF(IF(MOD(MIN(INT(($A42-1)/2)+1,MAX(1,INT(((((CROQUIS_DATOS!$C$1484+CROQUIS_DATOS!$C$1485))-(CROQUIS_DATOS!$C$1484))+((CROQUIS_DATOS!$C$1476)*CROQUIS_DATOS!$C$1561-((CROQUIS_DATOS!$C$1486+CROQUIS_DATOS!$C$1487))*CROQUIS_DATOS!$C$1561))/CROQUIS_DATOS!$C$1568-0.000001))),2)=1,IF(INT(($A42-1)/2)+1&gt;MAX(1,INT(((((CROQUIS_DATOS!$C$1484+CROQUIS_DATOS!$C$1485))-(CROQUIS_DATOS!$C$1484))+((CROQUIS_DATOS!$C$1476)*CROQUIS_DATOS!$C$1561-((CROQUIS_DATOS!$C$1486+CROQUIS_DATOS!$C$1487))*CROQUIS_DATOS!$C$1561))/CROQUIS_DATOS!$C$1568-0.000001)),1,MOD($A42-1,2)),1-IF(INT(($A42-1)/2)+1&gt;MAX(1,INT(((((CROQUIS_DATOS!$C$1484+CROQUIS_DATOS!$C$1485))-(CROQUIS_DATOS!$C$1484))+((CROQUIS_DATOS!$C$1476)*CROQUIS_DATOS!$C$1561-((CROQUIS_DATOS!$C$1486+CROQUIS_DATOS!$C$1487))*CROQUIS_DATOS!$C$1561))/CROQUIS_DATOS!$C$1568-0.000001)),1,MOD($A42-1,2)))=1,MIN((CROQUIS_DATOS!$C$1476)*CROQUIS_DATOS!$C$1561,((CROQUIS_DATOS!$C$1484+CROQUIS_DATOS!$C$1485)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2">
        <f>IF(AND(CROQUIS_DATOS!$C$1472=1,CROQUIS_DATOS!$C$1478&gt;=2,((CROQUIS_DATOS!$C$1484+CROQUIS_DATOS!$C$1485))-(CROQUIS_DATOS!$C$1484)&gt;0.5,(CROQUIS_DATOS!$C$1476)-((CROQUIS_DATOS!$C$1486+CROQUIS_DATOS!$C$1487))&gt;0.5),(CROQUIS_DATOS!$C$1567+(IF(IF(MOD(MIN(INT(($A42-1)/2)+1,MAX(1,INT(((((CROQUIS_DATOS!$C$1484+CROQUIS_DATOS!$C$1485))-(CROQUIS_DATOS!$C$1484))+((CROQUIS_DATOS!$C$1476)*CROQUIS_DATOS!$C$1561-((CROQUIS_DATOS!$C$1486+CROQUIS_DATOS!$C$1487))*CROQUIS_DATOS!$C$1561))/CROQUIS_DATOS!$C$1568-0.000001))),2)=1,IF(INT(($A42-1)/2)+1&gt;MAX(1,INT(((((CROQUIS_DATOS!$C$1484+CROQUIS_DATOS!$C$1485))-(CROQUIS_DATOS!$C$1484))+((CROQUIS_DATOS!$C$1476)*CROQUIS_DATOS!$C$1561-((CROQUIS_DATOS!$C$1486+CROQUIS_DATOS!$C$1487))*CROQUIS_DATOS!$C$1561))/CROQUIS_DATOS!$C$1568-0.000001)),1,MOD($A42-1,2)),1-IF(INT(($A42-1)/2)+1&gt;MAX(1,INT(((((CROQUIS_DATOS!$C$1484+CROQUIS_DATOS!$C$1485))-(CROQUIS_DATOS!$C$1484))+((CROQUIS_DATOS!$C$1476)*CROQUIS_DATOS!$C$1561-((CROQUIS_DATOS!$C$1486+CROQUIS_DATOS!$C$1487))*CROQUIS_DATOS!$C$1561))/CROQUIS_DATOS!$C$1568-0.000001)),1,MOD($A42-1,2)))=1,MIN((CROQUIS_DATOS!$C$1476)*CROQUIS_DATOS!$C$1561,((CROQUIS_DATOS!$C$1484+CROQUIS_DATOS!$C$1485)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2">
        <f>IF(AND(CROQUIS_DATOS!$C$1472=1,CROQUIS_DATOS!$C$1478&gt;=3,((CROQUIS_DATOS!$C$1489+CROQUIS_DATOS!$C$1490))-(CROQUIS_DATOS!$C$1489)&gt;0.5,(CROQUIS_DATOS!$C$1491)-(0)&gt;0.5),(CROQUIS_DATOS!$C$1566+(IF(IF(MOD(MIN(INT(($A42-1)/2)+1,MAX(1,INT(((((CROQUIS_DATOS!$C$1489+CROQUIS_DATOS!$C$1490))-(CROQUIS_DATOS!$C$1489))+((CROQUIS_DATOS!$C$1491)*CROQUIS_DATOS!$C$1561-(0)*CROQUIS_DATOS!$C$1561))/CROQUIS_DATOS!$C$1568-0.000001))),2)=1,IF(INT(($A42-1)/2)+1&gt;MAX(1,INT(((((CROQUIS_DATOS!$C$1489+CROQUIS_DATOS!$C$1490))-(CROQUIS_DATOS!$C$1489))+((CROQUIS_DATOS!$C$1491)*CROQUIS_DATOS!$C$1561-(0)*CROQUIS_DATOS!$C$1561))/CROQUIS_DATOS!$C$1568-0.000001)),1,MOD($A42-1,2)),1-IF(INT(($A42-1)/2)+1&gt;MAX(1,INT(((((CROQUIS_DATOS!$C$1489+CROQUIS_DATOS!$C$1490))-(CROQUIS_DATOS!$C$1489))+((CROQUIS_DATOS!$C$1491)*CROQUIS_DATOS!$C$1561-(0)*CROQUIS_DATOS!$C$1561))/CROQUIS_DATOS!$C$1568-0.000001)),1,MOD($A42-1,2)))=1,MIN((CROQUIS_DATOS!$C$1491)*CROQUIS_DATOS!$C$1561,((CROQUIS_DATOS!$C$1489+CROQUIS_DATOS!$C$1490)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2">
        <f>IF(AND(CROQUIS_DATOS!$C$1472=1,CROQUIS_DATOS!$C$1478&gt;=3,((CROQUIS_DATOS!$C$1489+CROQUIS_DATOS!$C$1490))-(CROQUIS_DATOS!$C$1489)&gt;0.5,(CROQUIS_DATOS!$C$1491)-(0)&gt;0.5),(CROQUIS_DATOS!$C$1567+(IF(IF(MOD(MIN(INT(($A42-1)/2)+1,MAX(1,INT(((((CROQUIS_DATOS!$C$1489+CROQUIS_DATOS!$C$1490))-(CROQUIS_DATOS!$C$1489))+((CROQUIS_DATOS!$C$1491)*CROQUIS_DATOS!$C$1561-(0)*CROQUIS_DATOS!$C$1561))/CROQUIS_DATOS!$C$1568-0.000001))),2)=1,IF(INT(($A42-1)/2)+1&gt;MAX(1,INT(((((CROQUIS_DATOS!$C$1489+CROQUIS_DATOS!$C$1490))-(CROQUIS_DATOS!$C$1489))+((CROQUIS_DATOS!$C$1491)*CROQUIS_DATOS!$C$1561-(0)*CROQUIS_DATOS!$C$1561))/CROQUIS_DATOS!$C$1568-0.000001)),1,MOD($A42-1,2)),1-IF(INT(($A42-1)/2)+1&gt;MAX(1,INT(((((CROQUIS_DATOS!$C$1489+CROQUIS_DATOS!$C$1490))-(CROQUIS_DATOS!$C$1489))+((CROQUIS_DATOS!$C$1491)*CROQUIS_DATOS!$C$1561-(0)*CROQUIS_DATOS!$C$1561))/CROQUIS_DATOS!$C$1568-0.000001)),1,MOD($A42-1,2)))=1,MIN((CROQUIS_DATOS!$C$1491)*CROQUIS_DATOS!$C$1561,((CROQUIS_DATOS!$C$1489+CROQUIS_DATOS!$C$1490)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2">
        <f>IF(AND(CROQUIS_DATOS!$C$1472=1,CROQUIS_DATOS!$C$1478&gt;=3,((CROQUIS_DATOS!$C$1489+CROQUIS_DATOS!$C$1490))-(CROQUIS_DATOS!$C$1489)&gt;0.5,(CROQUIS_DATOS!$C$1476)-((CROQUIS_DATOS!$C$1491+CROQUIS_DATOS!$C$1492))&gt;0.5),(CROQUIS_DATOS!$C$1566+(IF(IF(MOD(MIN(INT(($A42-1)/2)+1,MAX(1,INT(((((CROQUIS_DATOS!$C$1489+CROQUIS_DATOS!$C$1490))-(CROQUIS_DATOS!$C$1489))+((CROQUIS_DATOS!$C$1476)*CROQUIS_DATOS!$C$1561-((CROQUIS_DATOS!$C$1491+CROQUIS_DATOS!$C$1492))*CROQUIS_DATOS!$C$1561))/CROQUIS_DATOS!$C$1568-0.000001))),2)=1,IF(INT(($A42-1)/2)+1&gt;MAX(1,INT(((((CROQUIS_DATOS!$C$1489+CROQUIS_DATOS!$C$1490))-(CROQUIS_DATOS!$C$1489))+((CROQUIS_DATOS!$C$1476)*CROQUIS_DATOS!$C$1561-((CROQUIS_DATOS!$C$1491+CROQUIS_DATOS!$C$1492))*CROQUIS_DATOS!$C$1561))/CROQUIS_DATOS!$C$1568-0.000001)),1,MOD($A42-1,2)),1-IF(INT(($A42-1)/2)+1&gt;MAX(1,INT(((((CROQUIS_DATOS!$C$1489+CROQUIS_DATOS!$C$1490))-(CROQUIS_DATOS!$C$1489))+((CROQUIS_DATOS!$C$1476)*CROQUIS_DATOS!$C$1561-((CROQUIS_DATOS!$C$1491+CROQUIS_DATOS!$C$1492))*CROQUIS_DATOS!$C$1561))/CROQUIS_DATOS!$C$1568-0.000001)),1,MOD($A42-1,2)))=1,MIN((CROQUIS_DATOS!$C$1476)*CROQUIS_DATOS!$C$1561,((CROQUIS_DATOS!$C$1489+CROQUIS_DATOS!$C$1490)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2">
        <f>IF(AND(CROQUIS_DATOS!$C$1472=1,CROQUIS_DATOS!$C$1478&gt;=3,((CROQUIS_DATOS!$C$1489+CROQUIS_DATOS!$C$1490))-(CROQUIS_DATOS!$C$1489)&gt;0.5,(CROQUIS_DATOS!$C$1476)-((CROQUIS_DATOS!$C$1491+CROQUIS_DATOS!$C$1492))&gt;0.5),(CROQUIS_DATOS!$C$1567+(IF(IF(MOD(MIN(INT(($A42-1)/2)+1,MAX(1,INT(((((CROQUIS_DATOS!$C$1489+CROQUIS_DATOS!$C$1490))-(CROQUIS_DATOS!$C$1489))+((CROQUIS_DATOS!$C$1476)*CROQUIS_DATOS!$C$1561-((CROQUIS_DATOS!$C$1491+CROQUIS_DATOS!$C$1492))*CROQUIS_DATOS!$C$1561))/CROQUIS_DATOS!$C$1568-0.000001))),2)=1,IF(INT(($A42-1)/2)+1&gt;MAX(1,INT(((((CROQUIS_DATOS!$C$1489+CROQUIS_DATOS!$C$1490))-(CROQUIS_DATOS!$C$1489))+((CROQUIS_DATOS!$C$1476)*CROQUIS_DATOS!$C$1561-((CROQUIS_DATOS!$C$1491+CROQUIS_DATOS!$C$1492))*CROQUIS_DATOS!$C$1561))/CROQUIS_DATOS!$C$1568-0.000001)),1,MOD($A42-1,2)),1-IF(INT(($A42-1)/2)+1&gt;MAX(1,INT(((((CROQUIS_DATOS!$C$1489+CROQUIS_DATOS!$C$1490))-(CROQUIS_DATOS!$C$1489))+((CROQUIS_DATOS!$C$1476)*CROQUIS_DATOS!$C$1561-((CROQUIS_DATOS!$C$1491+CROQUIS_DATOS!$C$1492))*CROQUIS_DATOS!$C$1561))/CROQUIS_DATOS!$C$1568-0.000001)),1,MOD($A42-1,2)))=1,MIN((CROQUIS_DATOS!$C$1476)*CROQUIS_DATOS!$C$1561,((CROQUIS_DATOS!$C$1489+CROQUIS_DATOS!$C$1490)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2">
        <f>IF(AND(CROQUIS_DATOS!$C$1472=1,CROQUIS_DATOS!$C$1478&gt;=4,((CROQUIS_DATOS!$C$1494+CROQUIS_DATOS!$C$1495))-(CROQUIS_DATOS!$C$1494)&gt;0.5,(CROQUIS_DATOS!$C$1496)-(0)&gt;0.5),(CROQUIS_DATOS!$C$1566+(IF(IF(MOD(MIN(INT(($A42-1)/2)+1,MAX(1,INT(((((CROQUIS_DATOS!$C$1494+CROQUIS_DATOS!$C$1495))-(CROQUIS_DATOS!$C$1494))+((CROQUIS_DATOS!$C$1496)*CROQUIS_DATOS!$C$1561-(0)*CROQUIS_DATOS!$C$1561))/CROQUIS_DATOS!$C$1568-0.000001))),2)=1,IF(INT(($A42-1)/2)+1&gt;MAX(1,INT(((((CROQUIS_DATOS!$C$1494+CROQUIS_DATOS!$C$1495))-(CROQUIS_DATOS!$C$1494))+((CROQUIS_DATOS!$C$1496)*CROQUIS_DATOS!$C$1561-(0)*CROQUIS_DATOS!$C$1561))/CROQUIS_DATOS!$C$1568-0.000001)),1,MOD($A42-1,2)),1-IF(INT(($A42-1)/2)+1&gt;MAX(1,INT(((((CROQUIS_DATOS!$C$1494+CROQUIS_DATOS!$C$1495))-(CROQUIS_DATOS!$C$1494))+((CROQUIS_DATOS!$C$1496)*CROQUIS_DATOS!$C$1561-(0)*CROQUIS_DATOS!$C$1561))/CROQUIS_DATOS!$C$1568-0.000001)),1,MOD($A42-1,2)))=1,MIN((CROQUIS_DATOS!$C$1496)*CROQUIS_DATOS!$C$1561,((CROQUIS_DATOS!$C$1494+CROQUIS_DATOS!$C$1495)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2">
        <f>IF(AND(CROQUIS_DATOS!$C$1472=1,CROQUIS_DATOS!$C$1478&gt;=4,((CROQUIS_DATOS!$C$1494+CROQUIS_DATOS!$C$1495))-(CROQUIS_DATOS!$C$1494)&gt;0.5,(CROQUIS_DATOS!$C$1496)-(0)&gt;0.5),(CROQUIS_DATOS!$C$1567+(IF(IF(MOD(MIN(INT(($A42-1)/2)+1,MAX(1,INT(((((CROQUIS_DATOS!$C$1494+CROQUIS_DATOS!$C$1495))-(CROQUIS_DATOS!$C$1494))+((CROQUIS_DATOS!$C$1496)*CROQUIS_DATOS!$C$1561-(0)*CROQUIS_DATOS!$C$1561))/CROQUIS_DATOS!$C$1568-0.000001))),2)=1,IF(INT(($A42-1)/2)+1&gt;MAX(1,INT(((((CROQUIS_DATOS!$C$1494+CROQUIS_DATOS!$C$1495))-(CROQUIS_DATOS!$C$1494))+((CROQUIS_DATOS!$C$1496)*CROQUIS_DATOS!$C$1561-(0)*CROQUIS_DATOS!$C$1561))/CROQUIS_DATOS!$C$1568-0.000001)),1,MOD($A42-1,2)),1-IF(INT(($A42-1)/2)+1&gt;MAX(1,INT(((((CROQUIS_DATOS!$C$1494+CROQUIS_DATOS!$C$1495))-(CROQUIS_DATOS!$C$1494))+((CROQUIS_DATOS!$C$1496)*CROQUIS_DATOS!$C$1561-(0)*CROQUIS_DATOS!$C$1561))/CROQUIS_DATOS!$C$1568-0.000001)),1,MOD($A42-1,2)))=1,MIN((CROQUIS_DATOS!$C$1496)*CROQUIS_DATOS!$C$1561,((CROQUIS_DATOS!$C$1494+CROQUIS_DATOS!$C$1495)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2">
        <f>IF(AND(CROQUIS_DATOS!$C$1472=1,CROQUIS_DATOS!$C$1478&gt;=4,((CROQUIS_DATOS!$C$1494+CROQUIS_DATOS!$C$1495))-(CROQUIS_DATOS!$C$1494)&gt;0.5,(CROQUIS_DATOS!$C$1476)-((CROQUIS_DATOS!$C$1496+CROQUIS_DATOS!$C$1497))&gt;0.5),(CROQUIS_DATOS!$C$1566+(IF(IF(MOD(MIN(INT(($A42-1)/2)+1,MAX(1,INT(((((CROQUIS_DATOS!$C$1494+CROQUIS_DATOS!$C$1495))-(CROQUIS_DATOS!$C$1494))+((CROQUIS_DATOS!$C$1476)*CROQUIS_DATOS!$C$1561-((CROQUIS_DATOS!$C$1496+CROQUIS_DATOS!$C$1497))*CROQUIS_DATOS!$C$1561))/CROQUIS_DATOS!$C$1568-0.000001))),2)=1,IF(INT(($A42-1)/2)+1&gt;MAX(1,INT(((((CROQUIS_DATOS!$C$1494+CROQUIS_DATOS!$C$1495))-(CROQUIS_DATOS!$C$1494))+((CROQUIS_DATOS!$C$1476)*CROQUIS_DATOS!$C$1561-((CROQUIS_DATOS!$C$1496+CROQUIS_DATOS!$C$1497))*CROQUIS_DATOS!$C$1561))/CROQUIS_DATOS!$C$1568-0.000001)),1,MOD($A42-1,2)),1-IF(INT(($A42-1)/2)+1&gt;MAX(1,INT(((((CROQUIS_DATOS!$C$1494+CROQUIS_DATOS!$C$1495))-(CROQUIS_DATOS!$C$1494))+((CROQUIS_DATOS!$C$1476)*CROQUIS_DATOS!$C$1561-((CROQUIS_DATOS!$C$1496+CROQUIS_DATOS!$C$1497))*CROQUIS_DATOS!$C$1561))/CROQUIS_DATOS!$C$1568-0.000001)),1,MOD($A42-1,2)))=1,MIN((CROQUIS_DATOS!$C$1476)*CROQUIS_DATOS!$C$1561,((CROQUIS_DATOS!$C$1494+CROQUIS_DATOS!$C$1495)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2">
        <f>IF(AND(CROQUIS_DATOS!$C$1472=1,CROQUIS_DATOS!$C$1478&gt;=4,((CROQUIS_DATOS!$C$1494+CROQUIS_DATOS!$C$1495))-(CROQUIS_DATOS!$C$1494)&gt;0.5,(CROQUIS_DATOS!$C$1476)-((CROQUIS_DATOS!$C$1496+CROQUIS_DATOS!$C$1497))&gt;0.5),(CROQUIS_DATOS!$C$1567+(IF(IF(MOD(MIN(INT(($A42-1)/2)+1,MAX(1,INT(((((CROQUIS_DATOS!$C$1494+CROQUIS_DATOS!$C$1495))-(CROQUIS_DATOS!$C$1494))+((CROQUIS_DATOS!$C$1476)*CROQUIS_DATOS!$C$1561-((CROQUIS_DATOS!$C$1496+CROQUIS_DATOS!$C$1497))*CROQUIS_DATOS!$C$1561))/CROQUIS_DATOS!$C$1568-0.000001))),2)=1,IF(INT(($A42-1)/2)+1&gt;MAX(1,INT(((((CROQUIS_DATOS!$C$1494+CROQUIS_DATOS!$C$1495))-(CROQUIS_DATOS!$C$1494))+((CROQUIS_DATOS!$C$1476)*CROQUIS_DATOS!$C$1561-((CROQUIS_DATOS!$C$1496+CROQUIS_DATOS!$C$1497))*CROQUIS_DATOS!$C$1561))/CROQUIS_DATOS!$C$1568-0.000001)),1,MOD($A42-1,2)),1-IF(INT(($A42-1)/2)+1&gt;MAX(1,INT(((((CROQUIS_DATOS!$C$1494+CROQUIS_DATOS!$C$1495))-(CROQUIS_DATOS!$C$1494))+((CROQUIS_DATOS!$C$1476)*CROQUIS_DATOS!$C$1561-((CROQUIS_DATOS!$C$1496+CROQUIS_DATOS!$C$1497))*CROQUIS_DATOS!$C$1561))/CROQUIS_DATOS!$C$1568-0.000001)),1,MOD($A42-1,2)))=1,MIN((CROQUIS_DATOS!$C$1476)*CROQUIS_DATOS!$C$1561,((CROQUIS_DATOS!$C$1494+CROQUIS_DATOS!$C$1495)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2">
        <f>IF(AND(CROQUIS_DATOS!$C$1472=1,1),(CROQUIS_DATOS!$C$1571+(CHOOSE(MIN(MAX(IF(INT(($A42-1)/5)+1&gt;CROQUIS_DATOS!$C$1525,5,MOD($A42-1,5)+1),1),5),(INDEX($E$8:$E$23,MIN(INT(($A42-1)/5)+1,CROQUIS_DATOS!$C$1525))-INDEX($F$8:$F$23,MIN(INT(($A42-1)/5)+1,CROQUIS_DATOS!$C$1525))/2),(INDEX($E$8:$E$23,MIN(INT(($A42-1)/5)+1,CROQUIS_DATOS!$C$1525))+INDEX($F$8:$F$23,MIN(INT(($A42-1)/5)+1,CROQUIS_DATOS!$C$1525))/2),(INDEX($E$8:$E$23,MIN(INT(($A42-1)/5)+1,CROQUIS_DATOS!$C$1525))+INDEX($F$8:$F$23,MIN(INT(($A42-1)/5)+1,CROQUIS_DATOS!$C$1525))/2),(INDEX($E$8:$E$23,MIN(INT(($A42-1)/5)+1,CROQUIS_DATOS!$C$1525))-INDEX($F$8:$F$23,MIN(INT(($A42-1)/5)+1,CROQUIS_DATOS!$C$1525))/2),(INDEX($E$8:$E$23,MIN(INT(($A42-1)/5)+1,CROQUIS_DATOS!$C$1525))-INDEX($F$8:$F$23,MIN(INT(($A42-1)/5)+1,CROQUIS_DATOS!$C$1525))/2)))*CROQUIS_DATOS!$C$1569),-1000)</f>
        <v>95.24</v>
      </c>
      <c r="GE42">
        <f>IF(AND(CROQUIS_DATOS!$C$1472=1,1),(CROQUIS_DATOS!$C$1572+(CHOOSE(MIN(MAX(IF(INT(($A42-1)/5)+1&gt;CROQUIS_DATOS!$C$1525,5,MOD($A42-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2">
        <f>IF(AND(CROQUIS_DATOS!$C$1472=1,1),IF(INT(($A42-1)/4)+1&lt;=CROQUIS_DATOS!$C$1525,(CROQUIS_DATOS!$C$1571+((INDEX($E$8:$E$23,MIN(INT(($A42-1)/4)+1,16))+IF(OR(MOD($A42-1,4)=0,MOD($A42-1,4)=3),-1,1)*(INDEX($F$8:$F$23,MIN(INT(($A42-1)/4)+1,16))/2-(CROQUIS_DATOS!$C$1530+CROQUIS_DATOS!$C$1532+IF(OR(INT(($A42-1)/4)+1=1,INT(($A42-1)/4)+1=CROQUIS_DATOS!$C$1525),CROQUIS_DATOS!$C$1534,CROQUIS_DATOS!$C$1531)/2))))*CROQUIS_DATOS!$C$1569),-1000),-1000)</f>
        <v>-1000</v>
      </c>
      <c r="GG42">
        <f>IF(AND(CROQUIS_DATOS!$C$1472=1,1),IF(INT(($A42-1)/4)+1&lt;=CROQUIS_DATOS!$C$1525,(CROQUIS_DATOS!$C$1572+((CROQUIS_DATOS!$C$1477/2+IF(MOD($A42-1,4)&lt;2,-1,1)*(CROQUIS_DATOS!$C$1527/2-(CROQUIS_DATOS!$C$1530+CROQUIS_DATOS!$C$1532+IF(OR(INT(($A42-1)/4)+1=1,INT(($A42-1)/4)+1=CROQUIS_DATOS!$C$1525),CROQUIS_DATOS!$C$1534,CROQUIS_DATOS!$C$1531)/2))))*CROQUIS_DATOS!$C$1569*CROQUIS_DATOS!$C$1570),-1000),-1000)</f>
        <v>-1000</v>
      </c>
    </row>
    <row r="43">
      <c r="A43" t="n">
        <v>36</v>
      </c>
      <c r="J43">
        <f>IF(AND(CROQUIS_DATOS!$C$1472=1,1),(CROQUIS_DATOS!$C$1563+(CHOOSE(MIN(MAX(IF(INT(($A43-1)/4)+1&gt;CROQUIS_DATOS!$C$1525,4,MOD($A43-1,4)+1),1),4),(INDEX($E$8:$E$23,MIN(INT(($A43-1)/4)+1,CROQUIS_DATOS!$C$1525))-INDEX($F$8:$F$23,MIN(INT(($A43-1)/4)+1,CROQUIS_DATOS!$C$1525))/2),(INDEX($E$8:$E$23,MIN(INT(($A43-1)/4)+1,CROQUIS_DATOS!$C$1525))-INDEX($F$8:$F$23,MIN(INT(($A43-1)/4)+1,CROQUIS_DATOS!$C$1525))/2),(INDEX($E$8:$E$23,MIN(INT(($A43-1)/4)+1,CROQUIS_DATOS!$C$1525))+INDEX($F$8:$F$23,MIN(INT(($A43-1)/4)+1,CROQUIS_DATOS!$C$1525))/2),(INDEX($E$8:$E$23,MIN(INT(($A43-1)/4)+1,CROQUIS_DATOS!$C$1525))+INDEX($F$8:$F$23,MIN(INT(($A43-1)/4)+1,CROQUIS_DATOS!$C$1525))/2)))*CROQUIS_DATOS!$C$1562),-1000)</f>
        <v>84.9137931034483</v>
      </c>
      <c r="K43">
        <f>IF(AND(CROQUIS_DATOS!$C$1472=1,1),(CROQUIS_DATOS!$C$1564+(CHOOSE(MIN(MAX(IF(INT(($A43-1)/4)+1&gt;CROQUIS_DATOS!$C$1525,4,MOD($A43-1,4)+1),1),4),0,CROQUIS_DATOS!$C$1476,CROQUIS_DATOS!$C$1476,0))*CROQUIS_DATOS!$C$1561*CROQUIS_DATOS!$C$1562),-1000)</f>
        <v>5.29310344827586</v>
      </c>
      <c r="L43">
        <f>IF(AND(CROQUIS_DATOS!$C$1472=1,1),(CROQUIS_DATOS!$C$1563+(CHOOSE(MIN(MAX(IF(INT(($A43-1)/4)+1&gt;CROQUIS_DATOS!$C$1525,4,MOD($A43-1,4)+1),1),4),((INDEX($E$8:$E$23,MIN(INT(($A43-1)/4)+1,CROQUIS_DATOS!$C$1525))-INDEX($F$8:$F$23,MIN(INT(($A43-1)/4)+1,CROQUIS_DATOS!$C$1525))/2)+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,((INDEX($E$8:$E$23,MIN(INT(($A43-1)/4)+1,CROQUIS_DATOS!$C$1525))-INDEX($F$8:$F$23,MIN(INT(($A43-1)/4)+1,CROQUIS_DATOS!$C$1525))/2)+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,((INDEX($E$8:$E$23,MIN(INT(($A43-1)/4)+1,CROQUIS_DATOS!$C$1525))+INDEX($F$8:$F$23,MIN(INT(($A43-1)/4)+1,CROQUIS_DATOS!$C$1525))/2)-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,((INDEX($E$8:$E$23,MIN(INT(($A43-1)/4)+1,CROQUIS_DATOS!$C$1525))+INDEX($F$8:$F$23,MIN(INT(($A43-1)/4)+1,CROQUIS_DATOS!$C$1525))/2)-MIN((CROQUIS_DATOS!$C$1530+CROQUIS_DATOS!$C$1532+IF(OR(MIN(INT(($A43-1)/4)+1,CROQUIS_DATOS!$C$1525)=1,MIN(INT(($A43-1)/4)+1,CROQUIS_DATOS!$C$1525)=CROQUIS_DATOS!$C$1525),CROQUIS_DATOS!$C$1534,CROQUIS_DATOS!$C$1531)/2),INDEX($F$8:$F$23,MIN(INT(($A43-1)/4)+1,CROQUIS_DATOS!$C$1525))/2-0.5))))*CROQUIS_DATOS!$C$1562),-1000)</f>
        <v>84.4792560344828</v>
      </c>
      <c r="M43">
        <f>IF(AND(CROQUIS_DATOS!$C$1472=1,1),(CROQUIS_DATOS!$C$1564+(CHOOSE(MIN(MAX(IF(INT(($A43-1)/4)+1&gt;CROQUIS_DATOS!$C$1525,4,MOD($A43-1,4)+1),1),4),CROQUIS_DATOS!$C$1543,INDEX($I$8:$I$23,MIN(INT(($A43-1)/4)+1,CROQUIS_DATOS!$C$1525)),INDEX($I$8:$I$23,MIN(INT(($A43-1)/4)+1,CROQUIS_DATOS!$C$1525)),CROQUIS_DATOS!$C$1543))*CROQUIS_DATOS!$C$1561*CROQUIS_DATOS!$C$1562),-1000)</f>
        <v>42.5654629310345</v>
      </c>
      <c r="N43">
        <f>IF(AND(CROQUIS_DATOS!$C$1472=1,1),(CROQUIS_DATOS!$C$1563+(IF(IF(IF(INT(($A43-1)/70)+1&gt;CROQUIS_DATOS!$C$1525,70,MOD($A43-1,70)+1)=1,0,IF(IF(INT(($A43-1)/70)+1&gt;CROQUIS_DATOS!$C$1525,70,MOD($A43-1,70)+1)&gt;2*CROQUIS_DATOS!$C$1541+1,IF(MOD(CROQUIS_DATOS!$C$1541,2)=1,1,0),IF(MOD(MIN(INT((IF(INT(($A43-1)/70)+1&gt;CROQUIS_DATOS!$C$1525,70,MOD($A43-1,70)+1)-2)/2)+1,CROQUIS_DATOS!$C$1541),2)=1,IF(MOD(IF(INT(($A43-1)/70)+1&gt;CROQUIS_DATOS!$C$1525,70,MOD($A43-1,70)+1)-2,2)=0,0,1),IF(MOD(IF(INT(($A43-1)/70)+1&gt;CROQUIS_DATOS!$C$1525,70,MOD($A43-1,70)+1)-2,2)=0,1,0))))=0,(INDEX($E$8:$E$23,MIN(INT(($A43-1)/70)+1,CROQUIS_DATOS!$C$1525))-INDEX($F$8:$F$23,MIN(INT(($A43-1)/70)+1,CROQUIS_DATOS!$C$1525))/2),(INDEX($E$8:$E$23,MIN(INT(($A43-1)/70)+1,CROQUIS_DATOS!$C$1525))+INDEX($F$8:$F$23,MIN(INT(($A43-1)/70)+1,CROQUIS_DATOS!$C$1525))/2)))*CROQUIS_DATOS!$C$1562),-1000)</f>
        <v>17.1810344827586</v>
      </c>
      <c r="O43">
        <f>IF(AND(CROQUIS_DATOS!$C$1472=1,1),(CROQUIS_DATOS!$C$1564+(IF(OR(IF(INT(($A43-1)/70)+1&gt;CROQUIS_DATOS!$C$1525,70,MOD($A43-1,70)+1)=1,IF(INT(($A43-1)/70)+1&gt;CROQUIS_DATOS!$C$1525,70,MOD($A43-1,70)+1)&gt;2*CROQUIS_DATOS!$C$1541+1),CROQUIS_DATOS!$C$1476,INDEX($H$8:$H$41,MIN(INT((IF(INT(($A43-1)/70)+1&gt;CROQUIS_DATOS!$C$1525,70,MOD($A43-1,70)+1)-2)/2)+1,CROQUIS_DATOS!$C$1541))))*CROQUIS_DATOS!$C$1561*CROQUIS_DATOS!$C$1562),-1000)</f>
        <v>39.1594827586207</v>
      </c>
      <c r="P43">
        <f>IF(AND(CROQUIS_DATOS!$C$1472=1,CROQUIS_DATOS!$C$1555=1),(CROQUIS_DATOS!$C$1563+(IF(IF(OR(MOD($A43-1,62)+1=1,IF(CHOOSE(MIN(MAX(MIN(INT(($A43-1)/62)+1,5),1),5),CROQUIS_DATOS!$C$1501,CROQUIS_DATOS!$C$1505,CROQUIS_DATOS!$C$1509,CROQUIS_DATOS!$C$1513,CROQUIS_DATOS!$C$1517)=1,CROQUIS_DATOS!$C$1557,0)=0),0,IF(MOD($A43-1,62)+1&gt;2*IF(CHOOSE(MIN(MAX(MIN(INT(($A43-1)/62)+1,5),1),5),CROQUIS_DATOS!$C$1501,CROQUIS_DATOS!$C$1505,CROQUIS_DATOS!$C$1509,CROQUIS_DATOS!$C$1513,CROQUIS_DATOS!$C$1517)=1,CROQUIS_DATOS!$C$1557,0)+1,IF(MOD(IF(CHOOSE(MIN(MAX(MIN(INT(($A43-1)/62)+1,5),1),5),CROQUIS_DATOS!$C$1501,CROQUIS_DATOS!$C$1505,CROQUIS_DATOS!$C$1509,CROQUIS_DATOS!$C$1513,CROQUIS_DATOS!$C$1517)=1,CROQUIS_DATOS!$C$1557,0),2)=1,1,0),IF(MOD(MIN(INT((MOD($A43-1,62)+1-2)/2)+1,MAX(IF(CHOOSE(MIN(MAX(MIN(INT(($A43-1)/62)+1,5),1),5),CROQUIS_DATOS!$C$1501,CROQUIS_DATOS!$C$1505,CROQUIS_DATOS!$C$1509,CROQUIS_DATOS!$C$1513,CROQUIS_DATOS!$C$1517)=1,CROQUIS_DATOS!$C$1557,0),1)),2)=1,IF(MOD(MOD($A43-1,62)+1-2,2)=0,0,1),IF(MOD(MOD($A43-1,62)+1-2,2)=0,1,0))))=0,(CHOOSE(MIN(MAX(MIN(INT(($A43-1)/62)+1,5),1),5),CROQUIS_DATOS!$C$1499,CROQUIS_DATOS!$C$1503,CROQUIS_DATOS!$C$1507,CROQUIS_DATOS!$C$1511,CROQUIS_DATOS!$C$1515)+IF(CHOOSE(MIN(MAX(MIN(INT(($A43-1)/62)+1,5),1),5),CROQUIS_DATOS!$C$1501,CROQUIS_DATOS!$C$1505,CROQUIS_DATOS!$C$1509,CROQUIS_DATOS!$C$1513,CROQUIS_DATOS!$C$1517)=1,CROQUIS_DATOS!$C$1526,0)),(CHOOSE(MIN(MAX(MIN(INT(($A43-1)/62)+1,5),1),5),CROQUIS_DATOS!$C$1499,CROQUIS_DATOS!$C$1503,CROQUIS_DATOS!$C$1507,CROQUIS_DATOS!$C$1511,CROQUIS_DATOS!$C$1515)+CHOOSE(MIN(MAX(MIN(INT(($A43-1)/62)+1,5),1),5),CROQUIS_DATOS!$C$1500,CROQUIS_DATOS!$C$1504,CROQUIS_DATOS!$C$1508,CROQUIS_DATOS!$C$1512,CROQUIS_DATOS!$C$1516)-IF(CHOOSE(MIN(MAX(MIN(INT(($A43-1)/62)+1,5),1),5),CROQUIS_DATOS!$C$1501,CROQUIS_DATOS!$C$1505,CROQUIS_DATOS!$C$1509,CROQUIS_DATOS!$C$1513,CROQUIS_DATOS!$C$1517)=1,CROQUIS_DATOS!$C$1526,0))))*CROQUIS_DATOS!$C$1562),-1000)</f>
        <v>-1000</v>
      </c>
      <c r="Q43">
        <f>IF(AND(CROQUIS_DATOS!$C$1472=1,CROQUIS_DATOS!$C$1555=1),(CROQUIS_DATOS!$C$1564+(IF(OR(OR(MOD($A43-1,62)+1=1,IF(CHOOSE(MIN(MAX(MIN(INT(($A43-1)/62)+1,5),1),5),CROQUIS_DATOS!$C$1501,CROQUIS_DATOS!$C$1505,CROQUIS_DATOS!$C$1509,CROQUIS_DATOS!$C$1513,CROQUIS_DATOS!$C$1517)=1,CROQUIS_DATOS!$C$1557,0)=0),MOD($A43-1,62)+1&gt;2*IF(CHOOSE(MIN(MAX(MIN(INT(($A43-1)/62)+1,5),1),5),CROQUIS_DATOS!$C$1501,CROQUIS_DATOS!$C$1505,CROQUIS_DATOS!$C$1509,CROQUIS_DATOS!$C$1513,CROQUIS_DATOS!$C$1517)=1,CROQUIS_DATOS!$C$1557,0)+1),CROQUIS_DATOS!$C$1476,MIN(INT((MOD($A43-1,62)+1-2)/2)+1,MAX(IF(CHOOSE(MIN(MAX(MIN(INT(($A43-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3">
        <f>IF(AND(CROQUIS_DATOS!$C$1472=1,1),(CROQUIS_DATOS!$C$1563+(MIN(INT(($A43-1)/2)+1,CROQUIS_DATOS!$C$1558)*CROQUIS_DATOS!$C$1559)*CROQUIS_DATOS!$C$1562),-1000)</f>
        <v>63.4283819628647</v>
      </c>
      <c r="U43">
        <f>IF(AND(CROQUIS_DATOS!$C$1472=1,1),(CROQUIS_DATOS!$C$1564+(IF(INT(($A43-1)/2)+1&gt;CROQUIS_DATOS!$C$1558,IF(MOD(CROQUIS_DATOS!$C$1558,2)=1,CROQUIS_DATOS!$C$1476+CROQUIS_DATOS!$C$1528,CROQUIS_DATOS!$C$1476),IF(IF(MOD(MIN(INT(($A43-1)/2)+1,CROQUIS_DATOS!$C$1558),2)=1,MOD($A43-1,2),1-MOD($A43-1,2))=1,CROQUIS_DATOS!$C$1476+CROQUIS_DATOS!$C$1528,CROQUIS_DATOS!$C$1476)))*CROQUIS_DATOS!$C$1561*CROQUIS_DATOS!$C$1562),-1000)</f>
        <v>40.2068965517241</v>
      </c>
      <c r="BZ43">
        <f>IF(AND(CROQUIS_DATOS!$C$1472=1,CROQUIS_DATOS!$C$1500&gt;0,((CROQUIS_DATOS!$C$1499+CROQUIS_DATOS!$C$1500))-(CROQUIS_DATOS!$C$1499)&gt;0.5,(CROQUIS_DATOS!$C$1476)-(0)&gt;0.5),(CROQUIS_DATOS!$C$1566+(IF(IF(MOD(MIN(INT(($A43-1)/2)+1,MAX(1,INT(((((CROQUIS_DATOS!$C$1499+CROQUIS_DATOS!$C$1500))-(CROQUIS_DATOS!$C$1499))+((CROQUIS_DATOS!$C$1476)*CROQUIS_DATOS!$C$1561-(0)*CROQUIS_DATOS!$C$1561))/CROQUIS_DATOS!$C$1568-0.000001))),2)=1,IF(INT(($A43-1)/2)+1&gt;MAX(1,INT(((((CROQUIS_DATOS!$C$1499+CROQUIS_DATOS!$C$1500))-(CROQUIS_DATOS!$C$1499))+((CROQUIS_DATOS!$C$1476)*CROQUIS_DATOS!$C$1561-(0)*CROQUIS_DATOS!$C$1561))/CROQUIS_DATOS!$C$1568-0.000001)),1,MOD($A43-1,2)),1-IF(INT(($A43-1)/2)+1&gt;MAX(1,INT(((((CROQUIS_DATOS!$C$1499+CROQUIS_DATOS!$C$1500))-(CROQUIS_DATOS!$C$1499))+((CROQUIS_DATOS!$C$1476)*CROQUIS_DATOS!$C$1561-(0)*CROQUIS_DATOS!$C$1561))/CROQUIS_DATOS!$C$1568-0.000001)),1,MOD($A43-1,2)))=1,MIN((CROQUIS_DATOS!$C$1476)*CROQUIS_DATOS!$C$1561,((CROQUIS_DATOS!$C$1499+CROQUIS_DATOS!$C$1500)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*CROQUIS_DATOS!$C$1565),-1000)</f>
        <v>26.351724137931</v>
      </c>
      <c r="CA43">
        <f>IF(AND(CROQUIS_DATOS!$C$1472=1,CROQUIS_DATOS!$C$1500&gt;0,((CROQUIS_DATOS!$C$1499+CROQUIS_DATOS!$C$1500))-(CROQUIS_DATOS!$C$1499)&gt;0.5,(CROQUIS_DATOS!$C$1476)-(0)&gt;0.5),(CROQUIS_DATOS!$C$1567+(IF(IF(MOD(MIN(INT(($A43-1)/2)+1,MAX(1,INT(((((CROQUIS_DATOS!$C$1499+CROQUIS_DATOS!$C$1500))-(CROQUIS_DATOS!$C$1499))+((CROQUIS_DATOS!$C$1476)*CROQUIS_DATOS!$C$1561-(0)*CROQUIS_DATOS!$C$1561))/CROQUIS_DATOS!$C$1568-0.000001))),2)=1,IF(INT(($A43-1)/2)+1&gt;MAX(1,INT(((((CROQUIS_DATOS!$C$1499+CROQUIS_DATOS!$C$1500))-(CROQUIS_DATOS!$C$1499))+((CROQUIS_DATOS!$C$1476)*CROQUIS_DATOS!$C$1561-(0)*CROQUIS_DATOS!$C$1561))/CROQUIS_DATOS!$C$1568-0.000001)),1,MOD($A43-1,2)),1-IF(INT(($A43-1)/2)+1&gt;MAX(1,INT(((((CROQUIS_DATOS!$C$1499+CROQUIS_DATOS!$C$1500))-(CROQUIS_DATOS!$C$1499))+((CROQUIS_DATOS!$C$1476)*CROQUIS_DATOS!$C$1561-(0)*CROQUIS_DATOS!$C$1561))/CROQUIS_DATOS!$C$1568-0.000001)),1,MOD($A43-1,2)))=1,MIN((CROQUIS_DATOS!$C$1476)*CROQUIS_DATOS!$C$1561,((CROQUIS_DATOS!$C$1499+CROQUIS_DATOS!$C$1500)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43-1)/2)+1,MAX(1,INT(((((CROQUIS_DATOS!$C$1499+CROQUIS_DATOS!$C$1500))-(CROQUIS_DATOS!$C$1499))+((CROQUIS_DATOS!$C$1476)*CROQUIS_DATOS!$C$1561-(0)*CROQUIS_DATOS!$C$1561))/CROQUIS_DATOS!$C$1568-0.000001)))*CROQUIS_DATOS!$C$1568))))*CROQUIS_DATOS!$C$1565),-1000)</f>
        <v>12.1379310344828</v>
      </c>
      <c r="CB43">
        <f>IF(AND(CROQUIS_DATOS!$C$1472=1,CROQUIS_DATOS!$C$1504&gt;0,((CROQUIS_DATOS!$C$1503+CROQUIS_DATOS!$C$1504))-(CROQUIS_DATOS!$C$1503)&gt;0.5,(CROQUIS_DATOS!$C$1476)-(0)&gt;0.5),(CROQUIS_DATOS!$C$1566+(IF(IF(MOD(MIN(INT(($A43-1)/2)+1,MAX(1,INT(((((CROQUIS_DATOS!$C$1503+CROQUIS_DATOS!$C$1504))-(CROQUIS_DATOS!$C$1503))+((CROQUIS_DATOS!$C$1476)*CROQUIS_DATOS!$C$1561-(0)*CROQUIS_DATOS!$C$1561))/CROQUIS_DATOS!$C$1568-0.000001))),2)=1,IF(INT(($A43-1)/2)+1&gt;MAX(1,INT(((((CROQUIS_DATOS!$C$1503+CROQUIS_DATOS!$C$1504))-(CROQUIS_DATOS!$C$1503))+((CROQUIS_DATOS!$C$1476)*CROQUIS_DATOS!$C$1561-(0)*CROQUIS_DATOS!$C$1561))/CROQUIS_DATOS!$C$1568-0.000001)),1,MOD($A43-1,2)),1-IF(INT(($A43-1)/2)+1&gt;MAX(1,INT(((((CROQUIS_DATOS!$C$1503+CROQUIS_DATOS!$C$1504))-(CROQUIS_DATOS!$C$1503))+((CROQUIS_DATOS!$C$1476)*CROQUIS_DATOS!$C$1561-(0)*CROQUIS_DATOS!$C$1561))/CROQUIS_DATOS!$C$1568-0.000001)),1,MOD($A43-1,2)))=1,MIN((CROQUIS_DATOS!$C$1476)*CROQUIS_DATOS!$C$1561,((CROQUIS_DATOS!$C$1503+CROQUIS_DATOS!$C$1504)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*CROQUIS_DATOS!$C$1565),-1000)</f>
        <v>40.248275862069</v>
      </c>
      <c r="CC43">
        <f>IF(AND(CROQUIS_DATOS!$C$1472=1,CROQUIS_DATOS!$C$1504&gt;0,((CROQUIS_DATOS!$C$1503+CROQUIS_DATOS!$C$1504))-(CROQUIS_DATOS!$C$1503)&gt;0.5,(CROQUIS_DATOS!$C$1476)-(0)&gt;0.5),(CROQUIS_DATOS!$C$1567+(IF(IF(MOD(MIN(INT(($A43-1)/2)+1,MAX(1,INT(((((CROQUIS_DATOS!$C$1503+CROQUIS_DATOS!$C$1504))-(CROQUIS_DATOS!$C$1503))+((CROQUIS_DATOS!$C$1476)*CROQUIS_DATOS!$C$1561-(0)*CROQUIS_DATOS!$C$1561))/CROQUIS_DATOS!$C$1568-0.000001))),2)=1,IF(INT(($A43-1)/2)+1&gt;MAX(1,INT(((((CROQUIS_DATOS!$C$1503+CROQUIS_DATOS!$C$1504))-(CROQUIS_DATOS!$C$1503))+((CROQUIS_DATOS!$C$1476)*CROQUIS_DATOS!$C$1561-(0)*CROQUIS_DATOS!$C$1561))/CROQUIS_DATOS!$C$1568-0.000001)),1,MOD($A43-1,2)),1-IF(INT(($A43-1)/2)+1&gt;MAX(1,INT(((((CROQUIS_DATOS!$C$1503+CROQUIS_DATOS!$C$1504))-(CROQUIS_DATOS!$C$1503))+((CROQUIS_DATOS!$C$1476)*CROQUIS_DATOS!$C$1561-(0)*CROQUIS_DATOS!$C$1561))/CROQUIS_DATOS!$C$1568-0.000001)),1,MOD($A43-1,2)))=1,MIN((CROQUIS_DATOS!$C$1476)*CROQUIS_DATOS!$C$1561,((CROQUIS_DATOS!$C$1503+CROQUIS_DATOS!$C$1504)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43-1)/2)+1,MAX(1,INT(((((CROQUIS_DATOS!$C$1503+CROQUIS_DATOS!$C$1504))-(CROQUIS_DATOS!$C$1503))+((CROQUIS_DATOS!$C$1476)*CROQUIS_DATOS!$C$1561-(0)*CROQUIS_DATOS!$C$1561))/CROQUIS_DATOS!$C$1568-0.000001)))*CROQUIS_DATOS!$C$1568))))*CROQUIS_DATOS!$C$1565),-1000)</f>
        <v>12.1379310344828</v>
      </c>
      <c r="CD43">
        <f>IF(AND(CROQUIS_DATOS!$C$1472=1,CROQUIS_DATOS!$C$1508&gt;0,((CROQUIS_DATOS!$C$1507+CROQUIS_DATOS!$C$1508))-(CROQUIS_DATOS!$C$1507)&gt;0.5,(CROQUIS_DATOS!$C$1476)-(0)&gt;0.5),(CROQUIS_DATOS!$C$1566+(IF(IF(MOD(MIN(INT(($A43-1)/2)+1,MAX(1,INT(((((CROQUIS_DATOS!$C$1507+CROQUIS_DATOS!$C$1508))-(CROQUIS_DATOS!$C$1507))+((CROQUIS_DATOS!$C$1476)*CROQUIS_DATOS!$C$1561-(0)*CROQUIS_DATOS!$C$1561))/CROQUIS_DATOS!$C$1568-0.000001))),2)=1,IF(INT(($A43-1)/2)+1&gt;MAX(1,INT(((((CROQUIS_DATOS!$C$1507+CROQUIS_DATOS!$C$1508))-(CROQUIS_DATOS!$C$1507))+((CROQUIS_DATOS!$C$1476)*CROQUIS_DATOS!$C$1561-(0)*CROQUIS_DATOS!$C$1561))/CROQUIS_DATOS!$C$1568-0.000001)),1,MOD($A43-1,2)),1-IF(INT(($A43-1)/2)+1&gt;MAX(1,INT(((((CROQUIS_DATOS!$C$1507+CROQUIS_DATOS!$C$1508))-(CROQUIS_DATOS!$C$1507))+((CROQUIS_DATOS!$C$1476)*CROQUIS_DATOS!$C$1561-(0)*CROQUIS_DATOS!$C$1561))/CROQUIS_DATOS!$C$1568-0.000001)),1,MOD($A43-1,2)))=1,MIN((CROQUIS_DATOS!$C$1476)*CROQUIS_DATOS!$C$1561,((CROQUIS_DATOS!$C$1507+CROQUIS_DATOS!$C$1508)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*CROQUIS_DATOS!$C$1565),-1000)</f>
        <v>66.9724137931034</v>
      </c>
      <c r="CE43">
        <f>IF(AND(CROQUIS_DATOS!$C$1472=1,CROQUIS_DATOS!$C$1508&gt;0,((CROQUIS_DATOS!$C$1507+CROQUIS_DATOS!$C$1508))-(CROQUIS_DATOS!$C$1507)&gt;0.5,(CROQUIS_DATOS!$C$1476)-(0)&gt;0.5),(CROQUIS_DATOS!$C$1567+(IF(IF(MOD(MIN(INT(($A43-1)/2)+1,MAX(1,INT(((((CROQUIS_DATOS!$C$1507+CROQUIS_DATOS!$C$1508))-(CROQUIS_DATOS!$C$1507))+((CROQUIS_DATOS!$C$1476)*CROQUIS_DATOS!$C$1561-(0)*CROQUIS_DATOS!$C$1561))/CROQUIS_DATOS!$C$1568-0.000001))),2)=1,IF(INT(($A43-1)/2)+1&gt;MAX(1,INT(((((CROQUIS_DATOS!$C$1507+CROQUIS_DATOS!$C$1508))-(CROQUIS_DATOS!$C$1507))+((CROQUIS_DATOS!$C$1476)*CROQUIS_DATOS!$C$1561-(0)*CROQUIS_DATOS!$C$1561))/CROQUIS_DATOS!$C$1568-0.000001)),1,MOD($A43-1,2)),1-IF(INT(($A43-1)/2)+1&gt;MAX(1,INT(((((CROQUIS_DATOS!$C$1507+CROQUIS_DATOS!$C$1508))-(CROQUIS_DATOS!$C$1507))+((CROQUIS_DATOS!$C$1476)*CROQUIS_DATOS!$C$1561-(0)*CROQUIS_DATOS!$C$1561))/CROQUIS_DATOS!$C$1568-0.000001)),1,MOD($A43-1,2)))=1,MIN((CROQUIS_DATOS!$C$1476)*CROQUIS_DATOS!$C$1561,((CROQUIS_DATOS!$C$1507+CROQUIS_DATOS!$C$1508)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43">
        <f>IF(AND(CROQUIS_DATOS!$C$1472=1,CROQUIS_DATOS!$C$1512&gt;0,((CROQUIS_DATOS!$C$1511+CROQUIS_DATOS!$C$1512))-(CROQUIS_DATOS!$C$1511)&gt;0.5,(CROQUIS_DATOS!$C$1476)-(0)&gt;0.5),(CROQUIS_DATOS!$C$1566+(IF(IF(MOD(MIN(INT(($A43-1)/2)+1,MAX(1,INT(((((CROQUIS_DATOS!$C$1511+CROQUIS_DATOS!$C$1512))-(CROQUIS_DATOS!$C$1511))+((CROQUIS_DATOS!$C$1476)*CROQUIS_DATOS!$C$1561-(0)*CROQUIS_DATOS!$C$1561))/CROQUIS_DATOS!$C$1568-0.000001))),2)=1,IF(INT(($A43-1)/2)+1&gt;MAX(1,INT(((((CROQUIS_DATOS!$C$1511+CROQUIS_DATOS!$C$1512))-(CROQUIS_DATOS!$C$1511))+((CROQUIS_DATOS!$C$1476)*CROQUIS_DATOS!$C$1561-(0)*CROQUIS_DATOS!$C$1561))/CROQUIS_DATOS!$C$1568-0.000001)),1,MOD($A43-1,2)),1-IF(INT(($A43-1)/2)+1&gt;MAX(1,INT(((((CROQUIS_DATOS!$C$1511+CROQUIS_DATOS!$C$1512))-(CROQUIS_DATOS!$C$1511))+((CROQUIS_DATOS!$C$1476)*CROQUIS_DATOS!$C$1561-(0)*CROQUIS_DATOS!$C$1561))/CROQUIS_DATOS!$C$1568-0.000001)),1,MOD($A43-1,2)))=1,MIN((CROQUIS_DATOS!$C$1476)*CROQUIS_DATOS!$C$1561,((CROQUIS_DATOS!$C$1511+CROQUIS_DATOS!$C$1512)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3">
        <f>IF(AND(CROQUIS_DATOS!$C$1472=1,CROQUIS_DATOS!$C$1512&gt;0,((CROQUIS_DATOS!$C$1511+CROQUIS_DATOS!$C$1512))-(CROQUIS_DATOS!$C$1511)&gt;0.5,(CROQUIS_DATOS!$C$1476)-(0)&gt;0.5),(CROQUIS_DATOS!$C$1567+(IF(IF(MOD(MIN(INT(($A43-1)/2)+1,MAX(1,INT(((((CROQUIS_DATOS!$C$1511+CROQUIS_DATOS!$C$1512))-(CROQUIS_DATOS!$C$1511))+((CROQUIS_DATOS!$C$1476)*CROQUIS_DATOS!$C$1561-(0)*CROQUIS_DATOS!$C$1561))/CROQUIS_DATOS!$C$1568-0.000001))),2)=1,IF(INT(($A43-1)/2)+1&gt;MAX(1,INT(((((CROQUIS_DATOS!$C$1511+CROQUIS_DATOS!$C$1512))-(CROQUIS_DATOS!$C$1511))+((CROQUIS_DATOS!$C$1476)*CROQUIS_DATOS!$C$1561-(0)*CROQUIS_DATOS!$C$1561))/CROQUIS_DATOS!$C$1568-0.000001)),1,MOD($A43-1,2)),1-IF(INT(($A43-1)/2)+1&gt;MAX(1,INT(((((CROQUIS_DATOS!$C$1511+CROQUIS_DATOS!$C$1512))-(CROQUIS_DATOS!$C$1511))+((CROQUIS_DATOS!$C$1476)*CROQUIS_DATOS!$C$1561-(0)*CROQUIS_DATOS!$C$1561))/CROQUIS_DATOS!$C$1568-0.000001)),1,MOD($A43-1,2)))=1,MIN((CROQUIS_DATOS!$C$1476)*CROQUIS_DATOS!$C$1561,((CROQUIS_DATOS!$C$1511+CROQUIS_DATOS!$C$1512)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3">
        <f>IF(AND(CROQUIS_DATOS!$C$1472=1,CROQUIS_DATOS!$C$1516&gt;0,((CROQUIS_DATOS!$C$1515+CROQUIS_DATOS!$C$1516))-(CROQUIS_DATOS!$C$1515)&gt;0.5,(CROQUIS_DATOS!$C$1476)-(0)&gt;0.5),(CROQUIS_DATOS!$C$1566+(IF(IF(MOD(MIN(INT(($A43-1)/2)+1,MAX(1,INT(((((CROQUIS_DATOS!$C$1515+CROQUIS_DATOS!$C$1516))-(CROQUIS_DATOS!$C$1515))+((CROQUIS_DATOS!$C$1476)*CROQUIS_DATOS!$C$1561-(0)*CROQUIS_DATOS!$C$1561))/CROQUIS_DATOS!$C$1568-0.000001))),2)=1,IF(INT(($A43-1)/2)+1&gt;MAX(1,INT(((((CROQUIS_DATOS!$C$1515+CROQUIS_DATOS!$C$1516))-(CROQUIS_DATOS!$C$1515))+((CROQUIS_DATOS!$C$1476)*CROQUIS_DATOS!$C$1561-(0)*CROQUIS_DATOS!$C$1561))/CROQUIS_DATOS!$C$1568-0.000001)),1,MOD($A43-1,2)),1-IF(INT(($A43-1)/2)+1&gt;MAX(1,INT(((((CROQUIS_DATOS!$C$1515+CROQUIS_DATOS!$C$1516))-(CROQUIS_DATOS!$C$1515))+((CROQUIS_DATOS!$C$1476)*CROQUIS_DATOS!$C$1561-(0)*CROQUIS_DATOS!$C$1561))/CROQUIS_DATOS!$C$1568-0.000001)),1,MOD($A43-1,2)))=1,MIN((CROQUIS_DATOS!$C$1476)*CROQUIS_DATOS!$C$1561,((CROQUIS_DATOS!$C$1515+CROQUIS_DATOS!$C$1516)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3">
        <f>IF(AND(CROQUIS_DATOS!$C$1472=1,CROQUIS_DATOS!$C$1516&gt;0,((CROQUIS_DATOS!$C$1515+CROQUIS_DATOS!$C$1516))-(CROQUIS_DATOS!$C$1515)&gt;0.5,(CROQUIS_DATOS!$C$1476)-(0)&gt;0.5),(CROQUIS_DATOS!$C$1567+(IF(IF(MOD(MIN(INT(($A43-1)/2)+1,MAX(1,INT(((((CROQUIS_DATOS!$C$1515+CROQUIS_DATOS!$C$1516))-(CROQUIS_DATOS!$C$1515))+((CROQUIS_DATOS!$C$1476)*CROQUIS_DATOS!$C$1561-(0)*CROQUIS_DATOS!$C$1561))/CROQUIS_DATOS!$C$1568-0.000001))),2)=1,IF(INT(($A43-1)/2)+1&gt;MAX(1,INT(((((CROQUIS_DATOS!$C$1515+CROQUIS_DATOS!$C$1516))-(CROQUIS_DATOS!$C$1515))+((CROQUIS_DATOS!$C$1476)*CROQUIS_DATOS!$C$1561-(0)*CROQUIS_DATOS!$C$1561))/CROQUIS_DATOS!$C$1568-0.000001)),1,MOD($A43-1,2)),1-IF(INT(($A43-1)/2)+1&gt;MAX(1,INT(((((CROQUIS_DATOS!$C$1515+CROQUIS_DATOS!$C$1516))-(CROQUIS_DATOS!$C$1515))+((CROQUIS_DATOS!$C$1476)*CROQUIS_DATOS!$C$1561-(0)*CROQUIS_DATOS!$C$1561))/CROQUIS_DATOS!$C$1568-0.000001)),1,MOD($A43-1,2)))=1,MIN((CROQUIS_DATOS!$C$1476)*CROQUIS_DATOS!$C$1561,((CROQUIS_DATOS!$C$1515+CROQUIS_DATOS!$C$1516)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3">
        <f>IF(AND(CROQUIS_DATOS!$C$1472=1,CROQUIS_DATOS!$C$1478&gt;=1,((CROQUIS_DATOS!$C$1479+CROQUIS_DATOS!$C$1480))-(CROQUIS_DATOS!$C$1479)&gt;0.5,(CROQUIS_DATOS!$C$1481)-(0)&gt;0.5),(CROQUIS_DATOS!$C$1566+(IF(IF(MOD(MIN(INT(($A43-1)/2)+1,MAX(1,INT(((((CROQUIS_DATOS!$C$1479+CROQUIS_DATOS!$C$1480))-(CROQUIS_DATOS!$C$1479))+((CROQUIS_DATOS!$C$1481)*CROQUIS_DATOS!$C$1561-(0)*CROQUIS_DATOS!$C$1561))/CROQUIS_DATOS!$C$1568-0.000001))),2)=1,IF(INT(($A43-1)/2)+1&gt;MAX(1,INT(((((CROQUIS_DATOS!$C$1479+CROQUIS_DATOS!$C$1480))-(CROQUIS_DATOS!$C$1479))+((CROQUIS_DATOS!$C$1481)*CROQUIS_DATOS!$C$1561-(0)*CROQUIS_DATOS!$C$1561))/CROQUIS_DATOS!$C$1568-0.000001)),1,MOD($A43-1,2)),1-IF(INT(($A43-1)/2)+1&gt;MAX(1,INT(((((CROQUIS_DATOS!$C$1479+CROQUIS_DATOS!$C$1480))-(CROQUIS_DATOS!$C$1479))+((CROQUIS_DATOS!$C$1481)*CROQUIS_DATOS!$C$1561-(0)*CROQUIS_DATOS!$C$1561))/CROQUIS_DATOS!$C$1568-0.000001)),1,MOD($A43-1,2)))=1,MIN((CROQUIS_DATOS!$C$1481)*CROQUIS_DATOS!$C$1561,((CROQUIS_DATOS!$C$1479+CROQUIS_DATOS!$C$1480)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3">
        <f>IF(AND(CROQUIS_DATOS!$C$1472=1,CROQUIS_DATOS!$C$1478&gt;=1,((CROQUIS_DATOS!$C$1479+CROQUIS_DATOS!$C$1480))-(CROQUIS_DATOS!$C$1479)&gt;0.5,(CROQUIS_DATOS!$C$1481)-(0)&gt;0.5),(CROQUIS_DATOS!$C$1567+(IF(IF(MOD(MIN(INT(($A43-1)/2)+1,MAX(1,INT(((((CROQUIS_DATOS!$C$1479+CROQUIS_DATOS!$C$1480))-(CROQUIS_DATOS!$C$1479))+((CROQUIS_DATOS!$C$1481)*CROQUIS_DATOS!$C$1561-(0)*CROQUIS_DATOS!$C$1561))/CROQUIS_DATOS!$C$1568-0.000001))),2)=1,IF(INT(($A43-1)/2)+1&gt;MAX(1,INT(((((CROQUIS_DATOS!$C$1479+CROQUIS_DATOS!$C$1480))-(CROQUIS_DATOS!$C$1479))+((CROQUIS_DATOS!$C$1481)*CROQUIS_DATOS!$C$1561-(0)*CROQUIS_DATOS!$C$1561))/CROQUIS_DATOS!$C$1568-0.000001)),1,MOD($A43-1,2)),1-IF(INT(($A43-1)/2)+1&gt;MAX(1,INT(((((CROQUIS_DATOS!$C$1479+CROQUIS_DATOS!$C$1480))-(CROQUIS_DATOS!$C$1479))+((CROQUIS_DATOS!$C$1481)*CROQUIS_DATOS!$C$1561-(0)*CROQUIS_DATOS!$C$1561))/CROQUIS_DATOS!$C$1568-0.000001)),1,MOD($A43-1,2)))=1,MIN((CROQUIS_DATOS!$C$1481)*CROQUIS_DATOS!$C$1561,((CROQUIS_DATOS!$C$1479+CROQUIS_DATOS!$C$1480)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3">
        <f>IF(AND(CROQUIS_DATOS!$C$1472=1,CROQUIS_DATOS!$C$1478&gt;=1,((CROQUIS_DATOS!$C$1479+CROQUIS_DATOS!$C$1480))-(CROQUIS_DATOS!$C$1479)&gt;0.5,(CROQUIS_DATOS!$C$1476)-((CROQUIS_DATOS!$C$1481+CROQUIS_DATOS!$C$1482))&gt;0.5),(CROQUIS_DATOS!$C$1566+(IF(IF(MOD(MIN(INT(($A43-1)/2)+1,MAX(1,INT(((((CROQUIS_DATOS!$C$1479+CROQUIS_DATOS!$C$1480))-(CROQUIS_DATOS!$C$1479))+((CROQUIS_DATOS!$C$1476)*CROQUIS_DATOS!$C$1561-((CROQUIS_DATOS!$C$1481+CROQUIS_DATOS!$C$1482))*CROQUIS_DATOS!$C$1561))/CROQUIS_DATOS!$C$1568-0.000001))),2)=1,IF(INT(($A43-1)/2)+1&gt;MAX(1,INT(((((CROQUIS_DATOS!$C$1479+CROQUIS_DATOS!$C$1480))-(CROQUIS_DATOS!$C$1479))+((CROQUIS_DATOS!$C$1476)*CROQUIS_DATOS!$C$1561-((CROQUIS_DATOS!$C$1481+CROQUIS_DATOS!$C$1482))*CROQUIS_DATOS!$C$1561))/CROQUIS_DATOS!$C$1568-0.000001)),1,MOD($A43-1,2)),1-IF(INT(($A43-1)/2)+1&gt;MAX(1,INT(((((CROQUIS_DATOS!$C$1479+CROQUIS_DATOS!$C$1480))-(CROQUIS_DATOS!$C$1479))+((CROQUIS_DATOS!$C$1476)*CROQUIS_DATOS!$C$1561-((CROQUIS_DATOS!$C$1481+CROQUIS_DATOS!$C$1482))*CROQUIS_DATOS!$C$1561))/CROQUIS_DATOS!$C$1568-0.000001)),1,MOD($A43-1,2)))=1,MIN((CROQUIS_DATOS!$C$1476)*CROQUIS_DATOS!$C$1561,((CROQUIS_DATOS!$C$1479+CROQUIS_DATOS!$C$1480)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3">
        <f>IF(AND(CROQUIS_DATOS!$C$1472=1,CROQUIS_DATOS!$C$1478&gt;=1,((CROQUIS_DATOS!$C$1479+CROQUIS_DATOS!$C$1480))-(CROQUIS_DATOS!$C$1479)&gt;0.5,(CROQUIS_DATOS!$C$1476)-((CROQUIS_DATOS!$C$1481+CROQUIS_DATOS!$C$1482))&gt;0.5),(CROQUIS_DATOS!$C$1567+(IF(IF(MOD(MIN(INT(($A43-1)/2)+1,MAX(1,INT(((((CROQUIS_DATOS!$C$1479+CROQUIS_DATOS!$C$1480))-(CROQUIS_DATOS!$C$1479))+((CROQUIS_DATOS!$C$1476)*CROQUIS_DATOS!$C$1561-((CROQUIS_DATOS!$C$1481+CROQUIS_DATOS!$C$1482))*CROQUIS_DATOS!$C$1561))/CROQUIS_DATOS!$C$1568-0.000001))),2)=1,IF(INT(($A43-1)/2)+1&gt;MAX(1,INT(((((CROQUIS_DATOS!$C$1479+CROQUIS_DATOS!$C$1480))-(CROQUIS_DATOS!$C$1479))+((CROQUIS_DATOS!$C$1476)*CROQUIS_DATOS!$C$1561-((CROQUIS_DATOS!$C$1481+CROQUIS_DATOS!$C$1482))*CROQUIS_DATOS!$C$1561))/CROQUIS_DATOS!$C$1568-0.000001)),1,MOD($A43-1,2)),1-IF(INT(($A43-1)/2)+1&gt;MAX(1,INT(((((CROQUIS_DATOS!$C$1479+CROQUIS_DATOS!$C$1480))-(CROQUIS_DATOS!$C$1479))+((CROQUIS_DATOS!$C$1476)*CROQUIS_DATOS!$C$1561-((CROQUIS_DATOS!$C$1481+CROQUIS_DATOS!$C$1482))*CROQUIS_DATOS!$C$1561))/CROQUIS_DATOS!$C$1568-0.000001)),1,MOD($A43-1,2)))=1,MIN((CROQUIS_DATOS!$C$1476)*CROQUIS_DATOS!$C$1561,((CROQUIS_DATOS!$C$1479+CROQUIS_DATOS!$C$1480)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3">
        <f>IF(AND(CROQUIS_DATOS!$C$1472=1,CROQUIS_DATOS!$C$1478&gt;=2,((CROQUIS_DATOS!$C$1484+CROQUIS_DATOS!$C$1485))-(CROQUIS_DATOS!$C$1484)&gt;0.5,(CROQUIS_DATOS!$C$1486)-(0)&gt;0.5),(CROQUIS_DATOS!$C$1566+(IF(IF(MOD(MIN(INT(($A43-1)/2)+1,MAX(1,INT(((((CROQUIS_DATOS!$C$1484+CROQUIS_DATOS!$C$1485))-(CROQUIS_DATOS!$C$1484))+((CROQUIS_DATOS!$C$1486)*CROQUIS_DATOS!$C$1561-(0)*CROQUIS_DATOS!$C$1561))/CROQUIS_DATOS!$C$1568-0.000001))),2)=1,IF(INT(($A43-1)/2)+1&gt;MAX(1,INT(((((CROQUIS_DATOS!$C$1484+CROQUIS_DATOS!$C$1485))-(CROQUIS_DATOS!$C$1484))+((CROQUIS_DATOS!$C$1486)*CROQUIS_DATOS!$C$1561-(0)*CROQUIS_DATOS!$C$1561))/CROQUIS_DATOS!$C$1568-0.000001)),1,MOD($A43-1,2)),1-IF(INT(($A43-1)/2)+1&gt;MAX(1,INT(((((CROQUIS_DATOS!$C$1484+CROQUIS_DATOS!$C$1485))-(CROQUIS_DATOS!$C$1484))+((CROQUIS_DATOS!$C$1486)*CROQUIS_DATOS!$C$1561-(0)*CROQUIS_DATOS!$C$1561))/CROQUIS_DATOS!$C$1568-0.000001)),1,MOD($A43-1,2)))=1,MIN((CROQUIS_DATOS!$C$1486)*CROQUIS_DATOS!$C$1561,((CROQUIS_DATOS!$C$1484+CROQUIS_DATOS!$C$1485)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3">
        <f>IF(AND(CROQUIS_DATOS!$C$1472=1,CROQUIS_DATOS!$C$1478&gt;=2,((CROQUIS_DATOS!$C$1484+CROQUIS_DATOS!$C$1485))-(CROQUIS_DATOS!$C$1484)&gt;0.5,(CROQUIS_DATOS!$C$1486)-(0)&gt;0.5),(CROQUIS_DATOS!$C$1567+(IF(IF(MOD(MIN(INT(($A43-1)/2)+1,MAX(1,INT(((((CROQUIS_DATOS!$C$1484+CROQUIS_DATOS!$C$1485))-(CROQUIS_DATOS!$C$1484))+((CROQUIS_DATOS!$C$1486)*CROQUIS_DATOS!$C$1561-(0)*CROQUIS_DATOS!$C$1561))/CROQUIS_DATOS!$C$1568-0.000001))),2)=1,IF(INT(($A43-1)/2)+1&gt;MAX(1,INT(((((CROQUIS_DATOS!$C$1484+CROQUIS_DATOS!$C$1485))-(CROQUIS_DATOS!$C$1484))+((CROQUIS_DATOS!$C$1486)*CROQUIS_DATOS!$C$1561-(0)*CROQUIS_DATOS!$C$1561))/CROQUIS_DATOS!$C$1568-0.000001)),1,MOD($A43-1,2)),1-IF(INT(($A43-1)/2)+1&gt;MAX(1,INT(((((CROQUIS_DATOS!$C$1484+CROQUIS_DATOS!$C$1485))-(CROQUIS_DATOS!$C$1484))+((CROQUIS_DATOS!$C$1486)*CROQUIS_DATOS!$C$1561-(0)*CROQUIS_DATOS!$C$1561))/CROQUIS_DATOS!$C$1568-0.000001)),1,MOD($A43-1,2)))=1,MIN((CROQUIS_DATOS!$C$1486)*CROQUIS_DATOS!$C$1561,((CROQUIS_DATOS!$C$1484+CROQUIS_DATOS!$C$1485)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3">
        <f>IF(AND(CROQUIS_DATOS!$C$1472=1,CROQUIS_DATOS!$C$1478&gt;=2,((CROQUIS_DATOS!$C$1484+CROQUIS_DATOS!$C$1485))-(CROQUIS_DATOS!$C$1484)&gt;0.5,(CROQUIS_DATOS!$C$1476)-((CROQUIS_DATOS!$C$1486+CROQUIS_DATOS!$C$1487))&gt;0.5),(CROQUIS_DATOS!$C$1566+(IF(IF(MOD(MIN(INT(($A43-1)/2)+1,MAX(1,INT(((((CROQUIS_DATOS!$C$1484+CROQUIS_DATOS!$C$1485))-(CROQUIS_DATOS!$C$1484))+((CROQUIS_DATOS!$C$1476)*CROQUIS_DATOS!$C$1561-((CROQUIS_DATOS!$C$1486+CROQUIS_DATOS!$C$1487))*CROQUIS_DATOS!$C$1561))/CROQUIS_DATOS!$C$1568-0.000001))),2)=1,IF(INT(($A43-1)/2)+1&gt;MAX(1,INT(((((CROQUIS_DATOS!$C$1484+CROQUIS_DATOS!$C$1485))-(CROQUIS_DATOS!$C$1484))+((CROQUIS_DATOS!$C$1476)*CROQUIS_DATOS!$C$1561-((CROQUIS_DATOS!$C$1486+CROQUIS_DATOS!$C$1487))*CROQUIS_DATOS!$C$1561))/CROQUIS_DATOS!$C$1568-0.000001)),1,MOD($A43-1,2)),1-IF(INT(($A43-1)/2)+1&gt;MAX(1,INT(((((CROQUIS_DATOS!$C$1484+CROQUIS_DATOS!$C$1485))-(CROQUIS_DATOS!$C$1484))+((CROQUIS_DATOS!$C$1476)*CROQUIS_DATOS!$C$1561-((CROQUIS_DATOS!$C$1486+CROQUIS_DATOS!$C$1487))*CROQUIS_DATOS!$C$1561))/CROQUIS_DATOS!$C$1568-0.000001)),1,MOD($A43-1,2)))=1,MIN((CROQUIS_DATOS!$C$1476)*CROQUIS_DATOS!$C$1561,((CROQUIS_DATOS!$C$1484+CROQUIS_DATOS!$C$1485)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3">
        <f>IF(AND(CROQUIS_DATOS!$C$1472=1,CROQUIS_DATOS!$C$1478&gt;=2,((CROQUIS_DATOS!$C$1484+CROQUIS_DATOS!$C$1485))-(CROQUIS_DATOS!$C$1484)&gt;0.5,(CROQUIS_DATOS!$C$1476)-((CROQUIS_DATOS!$C$1486+CROQUIS_DATOS!$C$1487))&gt;0.5),(CROQUIS_DATOS!$C$1567+(IF(IF(MOD(MIN(INT(($A43-1)/2)+1,MAX(1,INT(((((CROQUIS_DATOS!$C$1484+CROQUIS_DATOS!$C$1485))-(CROQUIS_DATOS!$C$1484))+((CROQUIS_DATOS!$C$1476)*CROQUIS_DATOS!$C$1561-((CROQUIS_DATOS!$C$1486+CROQUIS_DATOS!$C$1487))*CROQUIS_DATOS!$C$1561))/CROQUIS_DATOS!$C$1568-0.000001))),2)=1,IF(INT(($A43-1)/2)+1&gt;MAX(1,INT(((((CROQUIS_DATOS!$C$1484+CROQUIS_DATOS!$C$1485))-(CROQUIS_DATOS!$C$1484))+((CROQUIS_DATOS!$C$1476)*CROQUIS_DATOS!$C$1561-((CROQUIS_DATOS!$C$1486+CROQUIS_DATOS!$C$1487))*CROQUIS_DATOS!$C$1561))/CROQUIS_DATOS!$C$1568-0.000001)),1,MOD($A43-1,2)),1-IF(INT(($A43-1)/2)+1&gt;MAX(1,INT(((((CROQUIS_DATOS!$C$1484+CROQUIS_DATOS!$C$1485))-(CROQUIS_DATOS!$C$1484))+((CROQUIS_DATOS!$C$1476)*CROQUIS_DATOS!$C$1561-((CROQUIS_DATOS!$C$1486+CROQUIS_DATOS!$C$1487))*CROQUIS_DATOS!$C$1561))/CROQUIS_DATOS!$C$1568-0.000001)),1,MOD($A43-1,2)))=1,MIN((CROQUIS_DATOS!$C$1476)*CROQUIS_DATOS!$C$1561,((CROQUIS_DATOS!$C$1484+CROQUIS_DATOS!$C$1485)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3">
        <f>IF(AND(CROQUIS_DATOS!$C$1472=1,CROQUIS_DATOS!$C$1478&gt;=3,((CROQUIS_DATOS!$C$1489+CROQUIS_DATOS!$C$1490))-(CROQUIS_DATOS!$C$1489)&gt;0.5,(CROQUIS_DATOS!$C$1491)-(0)&gt;0.5),(CROQUIS_DATOS!$C$1566+(IF(IF(MOD(MIN(INT(($A43-1)/2)+1,MAX(1,INT(((((CROQUIS_DATOS!$C$1489+CROQUIS_DATOS!$C$1490))-(CROQUIS_DATOS!$C$1489))+((CROQUIS_DATOS!$C$1491)*CROQUIS_DATOS!$C$1561-(0)*CROQUIS_DATOS!$C$1561))/CROQUIS_DATOS!$C$1568-0.000001))),2)=1,IF(INT(($A43-1)/2)+1&gt;MAX(1,INT(((((CROQUIS_DATOS!$C$1489+CROQUIS_DATOS!$C$1490))-(CROQUIS_DATOS!$C$1489))+((CROQUIS_DATOS!$C$1491)*CROQUIS_DATOS!$C$1561-(0)*CROQUIS_DATOS!$C$1561))/CROQUIS_DATOS!$C$1568-0.000001)),1,MOD($A43-1,2)),1-IF(INT(($A43-1)/2)+1&gt;MAX(1,INT(((((CROQUIS_DATOS!$C$1489+CROQUIS_DATOS!$C$1490))-(CROQUIS_DATOS!$C$1489))+((CROQUIS_DATOS!$C$1491)*CROQUIS_DATOS!$C$1561-(0)*CROQUIS_DATOS!$C$1561))/CROQUIS_DATOS!$C$1568-0.000001)),1,MOD($A43-1,2)))=1,MIN((CROQUIS_DATOS!$C$1491)*CROQUIS_DATOS!$C$1561,((CROQUIS_DATOS!$C$1489+CROQUIS_DATOS!$C$1490)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3">
        <f>IF(AND(CROQUIS_DATOS!$C$1472=1,CROQUIS_DATOS!$C$1478&gt;=3,((CROQUIS_DATOS!$C$1489+CROQUIS_DATOS!$C$1490))-(CROQUIS_DATOS!$C$1489)&gt;0.5,(CROQUIS_DATOS!$C$1491)-(0)&gt;0.5),(CROQUIS_DATOS!$C$1567+(IF(IF(MOD(MIN(INT(($A43-1)/2)+1,MAX(1,INT(((((CROQUIS_DATOS!$C$1489+CROQUIS_DATOS!$C$1490))-(CROQUIS_DATOS!$C$1489))+((CROQUIS_DATOS!$C$1491)*CROQUIS_DATOS!$C$1561-(0)*CROQUIS_DATOS!$C$1561))/CROQUIS_DATOS!$C$1568-0.000001))),2)=1,IF(INT(($A43-1)/2)+1&gt;MAX(1,INT(((((CROQUIS_DATOS!$C$1489+CROQUIS_DATOS!$C$1490))-(CROQUIS_DATOS!$C$1489))+((CROQUIS_DATOS!$C$1491)*CROQUIS_DATOS!$C$1561-(0)*CROQUIS_DATOS!$C$1561))/CROQUIS_DATOS!$C$1568-0.000001)),1,MOD($A43-1,2)),1-IF(INT(($A43-1)/2)+1&gt;MAX(1,INT(((((CROQUIS_DATOS!$C$1489+CROQUIS_DATOS!$C$1490))-(CROQUIS_DATOS!$C$1489))+((CROQUIS_DATOS!$C$1491)*CROQUIS_DATOS!$C$1561-(0)*CROQUIS_DATOS!$C$1561))/CROQUIS_DATOS!$C$1568-0.000001)),1,MOD($A43-1,2)))=1,MIN((CROQUIS_DATOS!$C$1491)*CROQUIS_DATOS!$C$1561,((CROQUIS_DATOS!$C$1489+CROQUIS_DATOS!$C$1490)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3">
        <f>IF(AND(CROQUIS_DATOS!$C$1472=1,CROQUIS_DATOS!$C$1478&gt;=3,((CROQUIS_DATOS!$C$1489+CROQUIS_DATOS!$C$1490))-(CROQUIS_DATOS!$C$1489)&gt;0.5,(CROQUIS_DATOS!$C$1476)-((CROQUIS_DATOS!$C$1491+CROQUIS_DATOS!$C$1492))&gt;0.5),(CROQUIS_DATOS!$C$1566+(IF(IF(MOD(MIN(INT(($A43-1)/2)+1,MAX(1,INT(((((CROQUIS_DATOS!$C$1489+CROQUIS_DATOS!$C$1490))-(CROQUIS_DATOS!$C$1489))+((CROQUIS_DATOS!$C$1476)*CROQUIS_DATOS!$C$1561-((CROQUIS_DATOS!$C$1491+CROQUIS_DATOS!$C$1492))*CROQUIS_DATOS!$C$1561))/CROQUIS_DATOS!$C$1568-0.000001))),2)=1,IF(INT(($A43-1)/2)+1&gt;MAX(1,INT(((((CROQUIS_DATOS!$C$1489+CROQUIS_DATOS!$C$1490))-(CROQUIS_DATOS!$C$1489))+((CROQUIS_DATOS!$C$1476)*CROQUIS_DATOS!$C$1561-((CROQUIS_DATOS!$C$1491+CROQUIS_DATOS!$C$1492))*CROQUIS_DATOS!$C$1561))/CROQUIS_DATOS!$C$1568-0.000001)),1,MOD($A43-1,2)),1-IF(INT(($A43-1)/2)+1&gt;MAX(1,INT(((((CROQUIS_DATOS!$C$1489+CROQUIS_DATOS!$C$1490))-(CROQUIS_DATOS!$C$1489))+((CROQUIS_DATOS!$C$1476)*CROQUIS_DATOS!$C$1561-((CROQUIS_DATOS!$C$1491+CROQUIS_DATOS!$C$1492))*CROQUIS_DATOS!$C$1561))/CROQUIS_DATOS!$C$1568-0.000001)),1,MOD($A43-1,2)))=1,MIN((CROQUIS_DATOS!$C$1476)*CROQUIS_DATOS!$C$1561,((CROQUIS_DATOS!$C$1489+CROQUIS_DATOS!$C$1490)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3">
        <f>IF(AND(CROQUIS_DATOS!$C$1472=1,CROQUIS_DATOS!$C$1478&gt;=3,((CROQUIS_DATOS!$C$1489+CROQUIS_DATOS!$C$1490))-(CROQUIS_DATOS!$C$1489)&gt;0.5,(CROQUIS_DATOS!$C$1476)-((CROQUIS_DATOS!$C$1491+CROQUIS_DATOS!$C$1492))&gt;0.5),(CROQUIS_DATOS!$C$1567+(IF(IF(MOD(MIN(INT(($A43-1)/2)+1,MAX(1,INT(((((CROQUIS_DATOS!$C$1489+CROQUIS_DATOS!$C$1490))-(CROQUIS_DATOS!$C$1489))+((CROQUIS_DATOS!$C$1476)*CROQUIS_DATOS!$C$1561-((CROQUIS_DATOS!$C$1491+CROQUIS_DATOS!$C$1492))*CROQUIS_DATOS!$C$1561))/CROQUIS_DATOS!$C$1568-0.000001))),2)=1,IF(INT(($A43-1)/2)+1&gt;MAX(1,INT(((((CROQUIS_DATOS!$C$1489+CROQUIS_DATOS!$C$1490))-(CROQUIS_DATOS!$C$1489))+((CROQUIS_DATOS!$C$1476)*CROQUIS_DATOS!$C$1561-((CROQUIS_DATOS!$C$1491+CROQUIS_DATOS!$C$1492))*CROQUIS_DATOS!$C$1561))/CROQUIS_DATOS!$C$1568-0.000001)),1,MOD($A43-1,2)),1-IF(INT(($A43-1)/2)+1&gt;MAX(1,INT(((((CROQUIS_DATOS!$C$1489+CROQUIS_DATOS!$C$1490))-(CROQUIS_DATOS!$C$1489))+((CROQUIS_DATOS!$C$1476)*CROQUIS_DATOS!$C$1561-((CROQUIS_DATOS!$C$1491+CROQUIS_DATOS!$C$1492))*CROQUIS_DATOS!$C$1561))/CROQUIS_DATOS!$C$1568-0.000001)),1,MOD($A43-1,2)))=1,MIN((CROQUIS_DATOS!$C$1476)*CROQUIS_DATOS!$C$1561,((CROQUIS_DATOS!$C$1489+CROQUIS_DATOS!$C$1490)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3">
        <f>IF(AND(CROQUIS_DATOS!$C$1472=1,CROQUIS_DATOS!$C$1478&gt;=4,((CROQUIS_DATOS!$C$1494+CROQUIS_DATOS!$C$1495))-(CROQUIS_DATOS!$C$1494)&gt;0.5,(CROQUIS_DATOS!$C$1496)-(0)&gt;0.5),(CROQUIS_DATOS!$C$1566+(IF(IF(MOD(MIN(INT(($A43-1)/2)+1,MAX(1,INT(((((CROQUIS_DATOS!$C$1494+CROQUIS_DATOS!$C$1495))-(CROQUIS_DATOS!$C$1494))+((CROQUIS_DATOS!$C$1496)*CROQUIS_DATOS!$C$1561-(0)*CROQUIS_DATOS!$C$1561))/CROQUIS_DATOS!$C$1568-0.000001))),2)=1,IF(INT(($A43-1)/2)+1&gt;MAX(1,INT(((((CROQUIS_DATOS!$C$1494+CROQUIS_DATOS!$C$1495))-(CROQUIS_DATOS!$C$1494))+((CROQUIS_DATOS!$C$1496)*CROQUIS_DATOS!$C$1561-(0)*CROQUIS_DATOS!$C$1561))/CROQUIS_DATOS!$C$1568-0.000001)),1,MOD($A43-1,2)),1-IF(INT(($A43-1)/2)+1&gt;MAX(1,INT(((((CROQUIS_DATOS!$C$1494+CROQUIS_DATOS!$C$1495))-(CROQUIS_DATOS!$C$1494))+((CROQUIS_DATOS!$C$1496)*CROQUIS_DATOS!$C$1561-(0)*CROQUIS_DATOS!$C$1561))/CROQUIS_DATOS!$C$1568-0.000001)),1,MOD($A43-1,2)))=1,MIN((CROQUIS_DATOS!$C$1496)*CROQUIS_DATOS!$C$1561,((CROQUIS_DATOS!$C$1494+CROQUIS_DATOS!$C$1495)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3">
        <f>IF(AND(CROQUIS_DATOS!$C$1472=1,CROQUIS_DATOS!$C$1478&gt;=4,((CROQUIS_DATOS!$C$1494+CROQUIS_DATOS!$C$1495))-(CROQUIS_DATOS!$C$1494)&gt;0.5,(CROQUIS_DATOS!$C$1496)-(0)&gt;0.5),(CROQUIS_DATOS!$C$1567+(IF(IF(MOD(MIN(INT(($A43-1)/2)+1,MAX(1,INT(((((CROQUIS_DATOS!$C$1494+CROQUIS_DATOS!$C$1495))-(CROQUIS_DATOS!$C$1494))+((CROQUIS_DATOS!$C$1496)*CROQUIS_DATOS!$C$1561-(0)*CROQUIS_DATOS!$C$1561))/CROQUIS_DATOS!$C$1568-0.000001))),2)=1,IF(INT(($A43-1)/2)+1&gt;MAX(1,INT(((((CROQUIS_DATOS!$C$1494+CROQUIS_DATOS!$C$1495))-(CROQUIS_DATOS!$C$1494))+((CROQUIS_DATOS!$C$1496)*CROQUIS_DATOS!$C$1561-(0)*CROQUIS_DATOS!$C$1561))/CROQUIS_DATOS!$C$1568-0.000001)),1,MOD($A43-1,2)),1-IF(INT(($A43-1)/2)+1&gt;MAX(1,INT(((((CROQUIS_DATOS!$C$1494+CROQUIS_DATOS!$C$1495))-(CROQUIS_DATOS!$C$1494))+((CROQUIS_DATOS!$C$1496)*CROQUIS_DATOS!$C$1561-(0)*CROQUIS_DATOS!$C$1561))/CROQUIS_DATOS!$C$1568-0.000001)),1,MOD($A43-1,2)))=1,MIN((CROQUIS_DATOS!$C$1496)*CROQUIS_DATOS!$C$1561,((CROQUIS_DATOS!$C$1494+CROQUIS_DATOS!$C$1495)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3">
        <f>IF(AND(CROQUIS_DATOS!$C$1472=1,CROQUIS_DATOS!$C$1478&gt;=4,((CROQUIS_DATOS!$C$1494+CROQUIS_DATOS!$C$1495))-(CROQUIS_DATOS!$C$1494)&gt;0.5,(CROQUIS_DATOS!$C$1476)-((CROQUIS_DATOS!$C$1496+CROQUIS_DATOS!$C$1497))&gt;0.5),(CROQUIS_DATOS!$C$1566+(IF(IF(MOD(MIN(INT(($A43-1)/2)+1,MAX(1,INT(((((CROQUIS_DATOS!$C$1494+CROQUIS_DATOS!$C$1495))-(CROQUIS_DATOS!$C$1494))+((CROQUIS_DATOS!$C$1476)*CROQUIS_DATOS!$C$1561-((CROQUIS_DATOS!$C$1496+CROQUIS_DATOS!$C$1497))*CROQUIS_DATOS!$C$1561))/CROQUIS_DATOS!$C$1568-0.000001))),2)=1,IF(INT(($A43-1)/2)+1&gt;MAX(1,INT(((((CROQUIS_DATOS!$C$1494+CROQUIS_DATOS!$C$1495))-(CROQUIS_DATOS!$C$1494))+((CROQUIS_DATOS!$C$1476)*CROQUIS_DATOS!$C$1561-((CROQUIS_DATOS!$C$1496+CROQUIS_DATOS!$C$1497))*CROQUIS_DATOS!$C$1561))/CROQUIS_DATOS!$C$1568-0.000001)),1,MOD($A43-1,2)),1-IF(INT(($A43-1)/2)+1&gt;MAX(1,INT(((((CROQUIS_DATOS!$C$1494+CROQUIS_DATOS!$C$1495))-(CROQUIS_DATOS!$C$1494))+((CROQUIS_DATOS!$C$1476)*CROQUIS_DATOS!$C$1561-((CROQUIS_DATOS!$C$1496+CROQUIS_DATOS!$C$1497))*CROQUIS_DATOS!$C$1561))/CROQUIS_DATOS!$C$1568-0.000001)),1,MOD($A43-1,2)))=1,MIN((CROQUIS_DATOS!$C$1476)*CROQUIS_DATOS!$C$1561,((CROQUIS_DATOS!$C$1494+CROQUIS_DATOS!$C$1495)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3">
        <f>IF(AND(CROQUIS_DATOS!$C$1472=1,CROQUIS_DATOS!$C$1478&gt;=4,((CROQUIS_DATOS!$C$1494+CROQUIS_DATOS!$C$1495))-(CROQUIS_DATOS!$C$1494)&gt;0.5,(CROQUIS_DATOS!$C$1476)-((CROQUIS_DATOS!$C$1496+CROQUIS_DATOS!$C$1497))&gt;0.5),(CROQUIS_DATOS!$C$1567+(IF(IF(MOD(MIN(INT(($A43-1)/2)+1,MAX(1,INT(((((CROQUIS_DATOS!$C$1494+CROQUIS_DATOS!$C$1495))-(CROQUIS_DATOS!$C$1494))+((CROQUIS_DATOS!$C$1476)*CROQUIS_DATOS!$C$1561-((CROQUIS_DATOS!$C$1496+CROQUIS_DATOS!$C$1497))*CROQUIS_DATOS!$C$1561))/CROQUIS_DATOS!$C$1568-0.000001))),2)=1,IF(INT(($A43-1)/2)+1&gt;MAX(1,INT(((((CROQUIS_DATOS!$C$1494+CROQUIS_DATOS!$C$1495))-(CROQUIS_DATOS!$C$1494))+((CROQUIS_DATOS!$C$1476)*CROQUIS_DATOS!$C$1561-((CROQUIS_DATOS!$C$1496+CROQUIS_DATOS!$C$1497))*CROQUIS_DATOS!$C$1561))/CROQUIS_DATOS!$C$1568-0.000001)),1,MOD($A43-1,2)),1-IF(INT(($A43-1)/2)+1&gt;MAX(1,INT(((((CROQUIS_DATOS!$C$1494+CROQUIS_DATOS!$C$1495))-(CROQUIS_DATOS!$C$1494))+((CROQUIS_DATOS!$C$1476)*CROQUIS_DATOS!$C$1561-((CROQUIS_DATOS!$C$1496+CROQUIS_DATOS!$C$1497))*CROQUIS_DATOS!$C$1561))/CROQUIS_DATOS!$C$1568-0.000001)),1,MOD($A43-1,2)))=1,MIN((CROQUIS_DATOS!$C$1476)*CROQUIS_DATOS!$C$1561,((CROQUIS_DATOS!$C$1494+CROQUIS_DATOS!$C$1495)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3">
        <f>IF(AND(CROQUIS_DATOS!$C$1472=1,1),(CROQUIS_DATOS!$C$1571+(CHOOSE(MIN(MAX(IF(INT(($A43-1)/5)+1&gt;CROQUIS_DATOS!$C$1525,5,MOD($A43-1,5)+1),1),5),(INDEX($E$8:$E$23,MIN(INT(($A43-1)/5)+1,CROQUIS_DATOS!$C$1525))-INDEX($F$8:$F$23,MIN(INT(($A43-1)/5)+1,CROQUIS_DATOS!$C$1525))/2),(INDEX($E$8:$E$23,MIN(INT(($A43-1)/5)+1,CROQUIS_DATOS!$C$1525))+INDEX($F$8:$F$23,MIN(INT(($A43-1)/5)+1,CROQUIS_DATOS!$C$1525))/2),(INDEX($E$8:$E$23,MIN(INT(($A43-1)/5)+1,CROQUIS_DATOS!$C$1525))+INDEX($F$8:$F$23,MIN(INT(($A43-1)/5)+1,CROQUIS_DATOS!$C$1525))/2),(INDEX($E$8:$E$23,MIN(INT(($A43-1)/5)+1,CROQUIS_DATOS!$C$1525))-INDEX($F$8:$F$23,MIN(INT(($A43-1)/5)+1,CROQUIS_DATOS!$C$1525))/2),(INDEX($E$8:$E$23,MIN(INT(($A43-1)/5)+1,CROQUIS_DATOS!$C$1525))-INDEX($F$8:$F$23,MIN(INT(($A43-1)/5)+1,CROQUIS_DATOS!$C$1525))/2)))*CROQUIS_DATOS!$C$1569),-1000)</f>
        <v>95.24</v>
      </c>
      <c r="GE43">
        <f>IF(AND(CROQUIS_DATOS!$C$1472=1,1),(CROQUIS_DATOS!$C$1572+(CHOOSE(MIN(MAX(IF(INT(($A43-1)/5)+1&gt;CROQUIS_DATOS!$C$1525,5,MOD($A43-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3">
        <f>IF(AND(CROQUIS_DATOS!$C$1472=1,1),IF(INT(($A43-1)/4)+1&lt;=CROQUIS_DATOS!$C$1525,(CROQUIS_DATOS!$C$1571+((INDEX($E$8:$E$23,MIN(INT(($A43-1)/4)+1,16))+IF(OR(MOD($A43-1,4)=0,MOD($A43-1,4)=3),-1,1)*(INDEX($F$8:$F$23,MIN(INT(($A43-1)/4)+1,16))/2-(CROQUIS_DATOS!$C$1530+CROQUIS_DATOS!$C$1532+IF(OR(INT(($A43-1)/4)+1=1,INT(($A43-1)/4)+1=CROQUIS_DATOS!$C$1525),CROQUIS_DATOS!$C$1534,CROQUIS_DATOS!$C$1531)/2))))*CROQUIS_DATOS!$C$1569),-1000),-1000)</f>
        <v>-1000</v>
      </c>
      <c r="GG43">
        <f>IF(AND(CROQUIS_DATOS!$C$1472=1,1),IF(INT(($A43-1)/4)+1&lt;=CROQUIS_DATOS!$C$1525,(CROQUIS_DATOS!$C$1572+((CROQUIS_DATOS!$C$1477/2+IF(MOD($A43-1,4)&lt;2,-1,1)*(CROQUIS_DATOS!$C$1527/2-(CROQUIS_DATOS!$C$1530+CROQUIS_DATOS!$C$1532+IF(OR(INT(($A43-1)/4)+1=1,INT(($A43-1)/4)+1=CROQUIS_DATOS!$C$1525),CROQUIS_DATOS!$C$1534,CROQUIS_DATOS!$C$1531)/2))))*CROQUIS_DATOS!$C$1569*CROQUIS_DATOS!$C$1570),-1000),-1000)</f>
        <v>-1000</v>
      </c>
    </row>
    <row r="44">
      <c r="A44" t="n">
        <v>37</v>
      </c>
      <c r="J44">
        <f>IF(AND(CROQUIS_DATOS!$C$1472=1,1),(CROQUIS_DATOS!$C$1563+(CHOOSE(MIN(MAX(IF(INT(($A44-1)/4)+1&gt;CROQUIS_DATOS!$C$1525,4,MOD($A44-1,4)+1),1),4),(INDEX($E$8:$E$23,MIN(INT(($A44-1)/4)+1,CROQUIS_DATOS!$C$1525))-INDEX($F$8:$F$23,MIN(INT(($A44-1)/4)+1,CROQUIS_DATOS!$C$1525))/2),(INDEX($E$8:$E$23,MIN(INT(($A44-1)/4)+1,CROQUIS_DATOS!$C$1525))-INDEX($F$8:$F$23,MIN(INT(($A44-1)/4)+1,CROQUIS_DATOS!$C$1525))/2),(INDEX($E$8:$E$23,MIN(INT(($A44-1)/4)+1,CROQUIS_DATOS!$C$1525))+INDEX($F$8:$F$23,MIN(INT(($A44-1)/4)+1,CROQUIS_DATOS!$C$1525))/2),(INDEX($E$8:$E$23,MIN(INT(($A44-1)/4)+1,CROQUIS_DATOS!$C$1525))+INDEX($F$8:$F$23,MIN(INT(($A44-1)/4)+1,CROQUIS_DATOS!$C$1525))/2)))*CROQUIS_DATOS!$C$1562),-1000)</f>
        <v>84.9137931034483</v>
      </c>
      <c r="K44">
        <f>IF(AND(CROQUIS_DATOS!$C$1472=1,1),(CROQUIS_DATOS!$C$1564+(CHOOSE(MIN(MAX(IF(INT(($A44-1)/4)+1&gt;CROQUIS_DATOS!$C$1525,4,MOD($A44-1,4)+1),1),4),0,CROQUIS_DATOS!$C$1476,CROQUIS_DATOS!$C$1476,0))*CROQUIS_DATOS!$C$1561*CROQUIS_DATOS!$C$1562),-1000)</f>
        <v>5.29310344827586</v>
      </c>
      <c r="L44">
        <f>IF(AND(CROQUIS_DATOS!$C$1472=1,1),(CROQUIS_DATOS!$C$1563+(CHOOSE(MIN(MAX(IF(INT(($A44-1)/4)+1&gt;CROQUIS_DATOS!$C$1525,4,MOD($A44-1,4)+1),1),4),((INDEX($E$8:$E$23,MIN(INT(($A44-1)/4)+1,CROQUIS_DATOS!$C$1525))-INDEX($F$8:$F$23,MIN(INT(($A44-1)/4)+1,CROQUIS_DATOS!$C$1525))/2)+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,((INDEX($E$8:$E$23,MIN(INT(($A44-1)/4)+1,CROQUIS_DATOS!$C$1525))-INDEX($F$8:$F$23,MIN(INT(($A44-1)/4)+1,CROQUIS_DATOS!$C$1525))/2)+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,((INDEX($E$8:$E$23,MIN(INT(($A44-1)/4)+1,CROQUIS_DATOS!$C$1525))+INDEX($F$8:$F$23,MIN(INT(($A44-1)/4)+1,CROQUIS_DATOS!$C$1525))/2)-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,((INDEX($E$8:$E$23,MIN(INT(($A44-1)/4)+1,CROQUIS_DATOS!$C$1525))+INDEX($F$8:$F$23,MIN(INT(($A44-1)/4)+1,CROQUIS_DATOS!$C$1525))/2)-MIN((CROQUIS_DATOS!$C$1530+CROQUIS_DATOS!$C$1532+IF(OR(MIN(INT(($A44-1)/4)+1,CROQUIS_DATOS!$C$1525)=1,MIN(INT(($A44-1)/4)+1,CROQUIS_DATOS!$C$1525)=CROQUIS_DATOS!$C$1525),CROQUIS_DATOS!$C$1534,CROQUIS_DATOS!$C$1531)/2),INDEX($F$8:$F$23,MIN(INT(($A44-1)/4)+1,CROQUIS_DATOS!$C$1525))/2-0.5))))*CROQUIS_DATOS!$C$1562),-1000)</f>
        <v>84.4792560344828</v>
      </c>
      <c r="M44">
        <f>IF(AND(CROQUIS_DATOS!$C$1472=1,1),(CROQUIS_DATOS!$C$1564+(CHOOSE(MIN(MAX(IF(INT(($A44-1)/4)+1&gt;CROQUIS_DATOS!$C$1525,4,MOD($A44-1,4)+1),1),4),CROQUIS_DATOS!$C$1543,INDEX($I$8:$I$23,MIN(INT(($A44-1)/4)+1,CROQUIS_DATOS!$C$1525)),INDEX($I$8:$I$23,MIN(INT(($A44-1)/4)+1,CROQUIS_DATOS!$C$1525)),CROQUIS_DATOS!$C$1543))*CROQUIS_DATOS!$C$1561*CROQUIS_DATOS!$C$1562),-1000)</f>
        <v>42.5654629310345</v>
      </c>
      <c r="N44">
        <f>IF(AND(CROQUIS_DATOS!$C$1472=1,1),(CROQUIS_DATOS!$C$1563+(IF(IF(IF(INT(($A44-1)/70)+1&gt;CROQUIS_DATOS!$C$1525,70,MOD($A44-1,70)+1)=1,0,IF(IF(INT(($A44-1)/70)+1&gt;CROQUIS_DATOS!$C$1525,70,MOD($A44-1,70)+1)&gt;2*CROQUIS_DATOS!$C$1541+1,IF(MOD(CROQUIS_DATOS!$C$1541,2)=1,1,0),IF(MOD(MIN(INT((IF(INT(($A44-1)/70)+1&gt;CROQUIS_DATOS!$C$1525,70,MOD($A44-1,70)+1)-2)/2)+1,CROQUIS_DATOS!$C$1541),2)=1,IF(MOD(IF(INT(($A44-1)/70)+1&gt;CROQUIS_DATOS!$C$1525,70,MOD($A44-1,70)+1)-2,2)=0,0,1),IF(MOD(IF(INT(($A44-1)/70)+1&gt;CROQUIS_DATOS!$C$1525,70,MOD($A44-1,70)+1)-2,2)=0,1,0))))=0,(INDEX($E$8:$E$23,MIN(INT(($A44-1)/70)+1,CROQUIS_DATOS!$C$1525))-INDEX($F$8:$F$23,MIN(INT(($A44-1)/70)+1,CROQUIS_DATOS!$C$1525))/2),(INDEX($E$8:$E$23,MIN(INT(($A44-1)/70)+1,CROQUIS_DATOS!$C$1525))+INDEX($F$8:$F$23,MIN(INT(($A44-1)/70)+1,CROQUIS_DATOS!$C$1525))/2)))*CROQUIS_DATOS!$C$1562),-1000)</f>
        <v>15.0862068965517</v>
      </c>
      <c r="O44">
        <f>IF(AND(CROQUIS_DATOS!$C$1472=1,1),(CROQUIS_DATOS!$C$1564+(IF(OR(IF(INT(($A44-1)/70)+1&gt;CROQUIS_DATOS!$C$1525,70,MOD($A44-1,70)+1)=1,IF(INT(($A44-1)/70)+1&gt;CROQUIS_DATOS!$C$1525,70,MOD($A44-1,70)+1)&gt;2*CROQUIS_DATOS!$C$1541+1),CROQUIS_DATOS!$C$1476,INDEX($H$8:$H$41,MIN(INT((IF(INT(($A44-1)/70)+1&gt;CROQUIS_DATOS!$C$1525,70,MOD($A44-1,70)+1)-2)/2)+1,CROQUIS_DATOS!$C$1541))))*CROQUIS_DATOS!$C$1561*CROQUIS_DATOS!$C$1562),-1000)</f>
        <v>39.1594827586207</v>
      </c>
      <c r="P44">
        <f>IF(AND(CROQUIS_DATOS!$C$1472=1,CROQUIS_DATOS!$C$1555=1),(CROQUIS_DATOS!$C$1563+(IF(IF(OR(MOD($A44-1,62)+1=1,IF(CHOOSE(MIN(MAX(MIN(INT(($A44-1)/62)+1,5),1),5),CROQUIS_DATOS!$C$1501,CROQUIS_DATOS!$C$1505,CROQUIS_DATOS!$C$1509,CROQUIS_DATOS!$C$1513,CROQUIS_DATOS!$C$1517)=1,CROQUIS_DATOS!$C$1557,0)=0),0,IF(MOD($A44-1,62)+1&gt;2*IF(CHOOSE(MIN(MAX(MIN(INT(($A44-1)/62)+1,5),1),5),CROQUIS_DATOS!$C$1501,CROQUIS_DATOS!$C$1505,CROQUIS_DATOS!$C$1509,CROQUIS_DATOS!$C$1513,CROQUIS_DATOS!$C$1517)=1,CROQUIS_DATOS!$C$1557,0)+1,IF(MOD(IF(CHOOSE(MIN(MAX(MIN(INT(($A44-1)/62)+1,5),1),5),CROQUIS_DATOS!$C$1501,CROQUIS_DATOS!$C$1505,CROQUIS_DATOS!$C$1509,CROQUIS_DATOS!$C$1513,CROQUIS_DATOS!$C$1517)=1,CROQUIS_DATOS!$C$1557,0),2)=1,1,0),IF(MOD(MIN(INT((MOD($A44-1,62)+1-2)/2)+1,MAX(IF(CHOOSE(MIN(MAX(MIN(INT(($A44-1)/62)+1,5),1),5),CROQUIS_DATOS!$C$1501,CROQUIS_DATOS!$C$1505,CROQUIS_DATOS!$C$1509,CROQUIS_DATOS!$C$1513,CROQUIS_DATOS!$C$1517)=1,CROQUIS_DATOS!$C$1557,0),1)),2)=1,IF(MOD(MOD($A44-1,62)+1-2,2)=0,0,1),IF(MOD(MOD($A44-1,62)+1-2,2)=0,1,0))))=0,(CHOOSE(MIN(MAX(MIN(INT(($A44-1)/62)+1,5),1),5),CROQUIS_DATOS!$C$1499,CROQUIS_DATOS!$C$1503,CROQUIS_DATOS!$C$1507,CROQUIS_DATOS!$C$1511,CROQUIS_DATOS!$C$1515)+IF(CHOOSE(MIN(MAX(MIN(INT(($A44-1)/62)+1,5),1),5),CROQUIS_DATOS!$C$1501,CROQUIS_DATOS!$C$1505,CROQUIS_DATOS!$C$1509,CROQUIS_DATOS!$C$1513,CROQUIS_DATOS!$C$1517)=1,CROQUIS_DATOS!$C$1526,0)),(CHOOSE(MIN(MAX(MIN(INT(($A44-1)/62)+1,5),1),5),CROQUIS_DATOS!$C$1499,CROQUIS_DATOS!$C$1503,CROQUIS_DATOS!$C$1507,CROQUIS_DATOS!$C$1511,CROQUIS_DATOS!$C$1515)+CHOOSE(MIN(MAX(MIN(INT(($A44-1)/62)+1,5),1),5),CROQUIS_DATOS!$C$1500,CROQUIS_DATOS!$C$1504,CROQUIS_DATOS!$C$1508,CROQUIS_DATOS!$C$1512,CROQUIS_DATOS!$C$1516)-IF(CHOOSE(MIN(MAX(MIN(INT(($A44-1)/62)+1,5),1),5),CROQUIS_DATOS!$C$1501,CROQUIS_DATOS!$C$1505,CROQUIS_DATOS!$C$1509,CROQUIS_DATOS!$C$1513,CROQUIS_DATOS!$C$1517)=1,CROQUIS_DATOS!$C$1526,0))))*CROQUIS_DATOS!$C$1562),-1000)</f>
        <v>-1000</v>
      </c>
      <c r="Q44">
        <f>IF(AND(CROQUIS_DATOS!$C$1472=1,CROQUIS_DATOS!$C$1555=1),(CROQUIS_DATOS!$C$1564+(IF(OR(OR(MOD($A44-1,62)+1=1,IF(CHOOSE(MIN(MAX(MIN(INT(($A44-1)/62)+1,5),1),5),CROQUIS_DATOS!$C$1501,CROQUIS_DATOS!$C$1505,CROQUIS_DATOS!$C$1509,CROQUIS_DATOS!$C$1513,CROQUIS_DATOS!$C$1517)=1,CROQUIS_DATOS!$C$1557,0)=0),MOD($A44-1,62)+1&gt;2*IF(CHOOSE(MIN(MAX(MIN(INT(($A44-1)/62)+1,5),1),5),CROQUIS_DATOS!$C$1501,CROQUIS_DATOS!$C$1505,CROQUIS_DATOS!$C$1509,CROQUIS_DATOS!$C$1513,CROQUIS_DATOS!$C$1517)=1,CROQUIS_DATOS!$C$1557,0)+1),CROQUIS_DATOS!$C$1476,MIN(INT((MOD($A44-1,62)+1-2)/2)+1,MAX(IF(CHOOSE(MIN(MAX(MIN(INT(($A44-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4">
        <f>IF(AND(CROQUIS_DATOS!$C$1472=1,1),(CROQUIS_DATOS!$C$1563+(MIN(INT(($A44-1)/2)+1,CROQUIS_DATOS!$C$1558)*CROQUIS_DATOS!$C$1559)*CROQUIS_DATOS!$C$1562),-1000)</f>
        <v>66.1140583554377</v>
      </c>
      <c r="U44">
        <f>IF(AND(CROQUIS_DATOS!$C$1472=1,1),(CROQUIS_DATOS!$C$1564+(IF(INT(($A44-1)/2)+1&gt;CROQUIS_DATOS!$C$1558,IF(MOD(CROQUIS_DATOS!$C$1558,2)=1,CROQUIS_DATOS!$C$1476+CROQUIS_DATOS!$C$1528,CROQUIS_DATOS!$C$1476),IF(IF(MOD(MIN(INT(($A44-1)/2)+1,CROQUIS_DATOS!$C$1558),2)=1,MOD($A44-1,2),1-MOD($A44-1,2))=1,CROQUIS_DATOS!$C$1476+CROQUIS_DATOS!$C$1528,CROQUIS_DATOS!$C$1476)))*CROQUIS_DATOS!$C$1561*CROQUIS_DATOS!$C$1562),-1000)</f>
        <v>40.2068965517241</v>
      </c>
      <c r="BZ44">
        <f>IF(AND(CROQUIS_DATOS!$C$1472=1,CROQUIS_DATOS!$C$1500&gt;0,((CROQUIS_DATOS!$C$1499+CROQUIS_DATOS!$C$1500))-(CROQUIS_DATOS!$C$1499)&gt;0.5,(CROQUIS_DATOS!$C$1476)-(0)&gt;0.5),(CROQUIS_DATOS!$C$1566+(IF(IF(MOD(MIN(INT(($A44-1)/2)+1,MAX(1,INT(((((CROQUIS_DATOS!$C$1499+CROQUIS_DATOS!$C$1500))-(CROQUIS_DATOS!$C$1499))+((CROQUIS_DATOS!$C$1476)*CROQUIS_DATOS!$C$1561-(0)*CROQUIS_DATOS!$C$1561))/CROQUIS_DATOS!$C$1568-0.000001))),2)=1,IF(INT(($A44-1)/2)+1&gt;MAX(1,INT(((((CROQUIS_DATOS!$C$1499+CROQUIS_DATOS!$C$1500))-(CROQUIS_DATOS!$C$1499))+((CROQUIS_DATOS!$C$1476)*CROQUIS_DATOS!$C$1561-(0)*CROQUIS_DATOS!$C$1561))/CROQUIS_DATOS!$C$1568-0.000001)),1,MOD($A44-1,2)),1-IF(INT(($A44-1)/2)+1&gt;MAX(1,INT(((((CROQUIS_DATOS!$C$1499+CROQUIS_DATOS!$C$1500))-(CROQUIS_DATOS!$C$1499))+((CROQUIS_DATOS!$C$1476)*CROQUIS_DATOS!$C$1561-(0)*CROQUIS_DATOS!$C$1561))/CROQUIS_DATOS!$C$1568-0.000001)),1,MOD($A44-1,2)))=1,MIN((CROQUIS_DATOS!$C$1476)*CROQUIS_DATOS!$C$1561,((CROQUIS_DATOS!$C$1499+CROQUIS_DATOS!$C$1500)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*CROQUIS_DATOS!$C$1565),-1000)</f>
        <v>27.951724137931</v>
      </c>
      <c r="CA44">
        <f>IF(AND(CROQUIS_DATOS!$C$1472=1,CROQUIS_DATOS!$C$1500&gt;0,((CROQUIS_DATOS!$C$1499+CROQUIS_DATOS!$C$1500))-(CROQUIS_DATOS!$C$1499)&gt;0.5,(CROQUIS_DATOS!$C$1476)-(0)&gt;0.5),(CROQUIS_DATOS!$C$1567+(IF(IF(MOD(MIN(INT(($A44-1)/2)+1,MAX(1,INT(((((CROQUIS_DATOS!$C$1499+CROQUIS_DATOS!$C$1500))-(CROQUIS_DATOS!$C$1499))+((CROQUIS_DATOS!$C$1476)*CROQUIS_DATOS!$C$1561-(0)*CROQUIS_DATOS!$C$1561))/CROQUIS_DATOS!$C$1568-0.000001))),2)=1,IF(INT(($A44-1)/2)+1&gt;MAX(1,INT(((((CROQUIS_DATOS!$C$1499+CROQUIS_DATOS!$C$1500))-(CROQUIS_DATOS!$C$1499))+((CROQUIS_DATOS!$C$1476)*CROQUIS_DATOS!$C$1561-(0)*CROQUIS_DATOS!$C$1561))/CROQUIS_DATOS!$C$1568-0.000001)),1,MOD($A44-1,2)),1-IF(INT(($A44-1)/2)+1&gt;MAX(1,INT(((((CROQUIS_DATOS!$C$1499+CROQUIS_DATOS!$C$1500))-(CROQUIS_DATOS!$C$1499))+((CROQUIS_DATOS!$C$1476)*CROQUIS_DATOS!$C$1561-(0)*CROQUIS_DATOS!$C$1561))/CROQUIS_DATOS!$C$1568-0.000001)),1,MOD($A44-1,2)))=1,MIN((CROQUIS_DATOS!$C$1476)*CROQUIS_DATOS!$C$1561,((CROQUIS_DATOS!$C$1499+CROQUIS_DATOS!$C$1500)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44-1)/2)+1,MAX(1,INT(((((CROQUIS_DATOS!$C$1499+CROQUIS_DATOS!$C$1500))-(CROQUIS_DATOS!$C$1499))+((CROQUIS_DATOS!$C$1476)*CROQUIS_DATOS!$C$1561-(0)*CROQUIS_DATOS!$C$1561))/CROQUIS_DATOS!$C$1568-0.000001)))*CROQUIS_DATOS!$C$1568))))*CROQUIS_DATOS!$C$1565),-1000)</f>
        <v>12.1379310344828</v>
      </c>
      <c r="CB44">
        <f>IF(AND(CROQUIS_DATOS!$C$1472=1,CROQUIS_DATOS!$C$1504&gt;0,((CROQUIS_DATOS!$C$1503+CROQUIS_DATOS!$C$1504))-(CROQUIS_DATOS!$C$1503)&gt;0.5,(CROQUIS_DATOS!$C$1476)-(0)&gt;0.5),(CROQUIS_DATOS!$C$1566+(IF(IF(MOD(MIN(INT(($A44-1)/2)+1,MAX(1,INT(((((CROQUIS_DATOS!$C$1503+CROQUIS_DATOS!$C$1504))-(CROQUIS_DATOS!$C$1503))+((CROQUIS_DATOS!$C$1476)*CROQUIS_DATOS!$C$1561-(0)*CROQUIS_DATOS!$C$1561))/CROQUIS_DATOS!$C$1568-0.000001))),2)=1,IF(INT(($A44-1)/2)+1&gt;MAX(1,INT(((((CROQUIS_DATOS!$C$1503+CROQUIS_DATOS!$C$1504))-(CROQUIS_DATOS!$C$1503))+((CROQUIS_DATOS!$C$1476)*CROQUIS_DATOS!$C$1561-(0)*CROQUIS_DATOS!$C$1561))/CROQUIS_DATOS!$C$1568-0.000001)),1,MOD($A44-1,2)),1-IF(INT(($A44-1)/2)+1&gt;MAX(1,INT(((((CROQUIS_DATOS!$C$1503+CROQUIS_DATOS!$C$1504))-(CROQUIS_DATOS!$C$1503))+((CROQUIS_DATOS!$C$1476)*CROQUIS_DATOS!$C$1561-(0)*CROQUIS_DATOS!$C$1561))/CROQUIS_DATOS!$C$1568-0.000001)),1,MOD($A44-1,2)))=1,MIN((CROQUIS_DATOS!$C$1476)*CROQUIS_DATOS!$C$1561,((CROQUIS_DATOS!$C$1503+CROQUIS_DATOS!$C$1504)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*CROQUIS_DATOS!$C$1565),-1000)</f>
        <v>41.848275862069</v>
      </c>
      <c r="CC44">
        <f>IF(AND(CROQUIS_DATOS!$C$1472=1,CROQUIS_DATOS!$C$1504&gt;0,((CROQUIS_DATOS!$C$1503+CROQUIS_DATOS!$C$1504))-(CROQUIS_DATOS!$C$1503)&gt;0.5,(CROQUIS_DATOS!$C$1476)-(0)&gt;0.5),(CROQUIS_DATOS!$C$1567+(IF(IF(MOD(MIN(INT(($A44-1)/2)+1,MAX(1,INT(((((CROQUIS_DATOS!$C$1503+CROQUIS_DATOS!$C$1504))-(CROQUIS_DATOS!$C$1503))+((CROQUIS_DATOS!$C$1476)*CROQUIS_DATOS!$C$1561-(0)*CROQUIS_DATOS!$C$1561))/CROQUIS_DATOS!$C$1568-0.000001))),2)=1,IF(INT(($A44-1)/2)+1&gt;MAX(1,INT(((((CROQUIS_DATOS!$C$1503+CROQUIS_DATOS!$C$1504))-(CROQUIS_DATOS!$C$1503))+((CROQUIS_DATOS!$C$1476)*CROQUIS_DATOS!$C$1561-(0)*CROQUIS_DATOS!$C$1561))/CROQUIS_DATOS!$C$1568-0.000001)),1,MOD($A44-1,2)),1-IF(INT(($A44-1)/2)+1&gt;MAX(1,INT(((((CROQUIS_DATOS!$C$1503+CROQUIS_DATOS!$C$1504))-(CROQUIS_DATOS!$C$1503))+((CROQUIS_DATOS!$C$1476)*CROQUIS_DATOS!$C$1561-(0)*CROQUIS_DATOS!$C$1561))/CROQUIS_DATOS!$C$1568-0.000001)),1,MOD($A44-1,2)))=1,MIN((CROQUIS_DATOS!$C$1476)*CROQUIS_DATOS!$C$1561,((CROQUIS_DATOS!$C$1503+CROQUIS_DATOS!$C$1504)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44-1)/2)+1,MAX(1,INT(((((CROQUIS_DATOS!$C$1503+CROQUIS_DATOS!$C$1504))-(CROQUIS_DATOS!$C$1503))+((CROQUIS_DATOS!$C$1476)*CROQUIS_DATOS!$C$1561-(0)*CROQUIS_DATOS!$C$1561))/CROQUIS_DATOS!$C$1568-0.000001)))*CROQUIS_DATOS!$C$1568))))*CROQUIS_DATOS!$C$1565),-1000)</f>
        <v>12.1379310344828</v>
      </c>
      <c r="CD44">
        <f>IF(AND(CROQUIS_DATOS!$C$1472=1,CROQUIS_DATOS!$C$1508&gt;0,((CROQUIS_DATOS!$C$1507+CROQUIS_DATOS!$C$1508))-(CROQUIS_DATOS!$C$1507)&gt;0.5,(CROQUIS_DATOS!$C$1476)-(0)&gt;0.5),(CROQUIS_DATOS!$C$1566+(IF(IF(MOD(MIN(INT(($A44-1)/2)+1,MAX(1,INT(((((CROQUIS_DATOS!$C$1507+CROQUIS_DATOS!$C$1508))-(CROQUIS_DATOS!$C$1507))+((CROQUIS_DATOS!$C$1476)*CROQUIS_DATOS!$C$1561-(0)*CROQUIS_DATOS!$C$1561))/CROQUIS_DATOS!$C$1568-0.000001))),2)=1,IF(INT(($A44-1)/2)+1&gt;MAX(1,INT(((((CROQUIS_DATOS!$C$1507+CROQUIS_DATOS!$C$1508))-(CROQUIS_DATOS!$C$1507))+((CROQUIS_DATOS!$C$1476)*CROQUIS_DATOS!$C$1561-(0)*CROQUIS_DATOS!$C$1561))/CROQUIS_DATOS!$C$1568-0.000001)),1,MOD($A44-1,2)),1-IF(INT(($A44-1)/2)+1&gt;MAX(1,INT(((((CROQUIS_DATOS!$C$1507+CROQUIS_DATOS!$C$1508))-(CROQUIS_DATOS!$C$1507))+((CROQUIS_DATOS!$C$1476)*CROQUIS_DATOS!$C$1561-(0)*CROQUIS_DATOS!$C$1561))/CROQUIS_DATOS!$C$1568-0.000001)),1,MOD($A44-1,2)))=1,MIN((CROQUIS_DATOS!$C$1476)*CROQUIS_DATOS!$C$1561,((CROQUIS_DATOS!$C$1507+CROQUIS_DATOS!$C$1508)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*CROQUIS_DATOS!$C$1565),-1000)</f>
        <v>68.5724137931035</v>
      </c>
      <c r="CE44">
        <f>IF(AND(CROQUIS_DATOS!$C$1472=1,CROQUIS_DATOS!$C$1508&gt;0,((CROQUIS_DATOS!$C$1507+CROQUIS_DATOS!$C$1508))-(CROQUIS_DATOS!$C$1507)&gt;0.5,(CROQUIS_DATOS!$C$1476)-(0)&gt;0.5),(CROQUIS_DATOS!$C$1567+(IF(IF(MOD(MIN(INT(($A44-1)/2)+1,MAX(1,INT(((((CROQUIS_DATOS!$C$1507+CROQUIS_DATOS!$C$1508))-(CROQUIS_DATOS!$C$1507))+((CROQUIS_DATOS!$C$1476)*CROQUIS_DATOS!$C$1561-(0)*CROQUIS_DATOS!$C$1561))/CROQUIS_DATOS!$C$1568-0.000001))),2)=1,IF(INT(($A44-1)/2)+1&gt;MAX(1,INT(((((CROQUIS_DATOS!$C$1507+CROQUIS_DATOS!$C$1508))-(CROQUIS_DATOS!$C$1507))+((CROQUIS_DATOS!$C$1476)*CROQUIS_DATOS!$C$1561-(0)*CROQUIS_DATOS!$C$1561))/CROQUIS_DATOS!$C$1568-0.000001)),1,MOD($A44-1,2)),1-IF(INT(($A44-1)/2)+1&gt;MAX(1,INT(((((CROQUIS_DATOS!$C$1507+CROQUIS_DATOS!$C$1508))-(CROQUIS_DATOS!$C$1507))+((CROQUIS_DATOS!$C$1476)*CROQUIS_DATOS!$C$1561-(0)*CROQUIS_DATOS!$C$1561))/CROQUIS_DATOS!$C$1568-0.000001)),1,MOD($A44-1,2)))=1,MIN((CROQUIS_DATOS!$C$1476)*CROQUIS_DATOS!$C$1561,((CROQUIS_DATOS!$C$1507+CROQUIS_DATOS!$C$1508)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44">
        <f>IF(AND(CROQUIS_DATOS!$C$1472=1,CROQUIS_DATOS!$C$1512&gt;0,((CROQUIS_DATOS!$C$1511+CROQUIS_DATOS!$C$1512))-(CROQUIS_DATOS!$C$1511)&gt;0.5,(CROQUIS_DATOS!$C$1476)-(0)&gt;0.5),(CROQUIS_DATOS!$C$1566+(IF(IF(MOD(MIN(INT(($A44-1)/2)+1,MAX(1,INT(((((CROQUIS_DATOS!$C$1511+CROQUIS_DATOS!$C$1512))-(CROQUIS_DATOS!$C$1511))+((CROQUIS_DATOS!$C$1476)*CROQUIS_DATOS!$C$1561-(0)*CROQUIS_DATOS!$C$1561))/CROQUIS_DATOS!$C$1568-0.000001))),2)=1,IF(INT(($A44-1)/2)+1&gt;MAX(1,INT(((((CROQUIS_DATOS!$C$1511+CROQUIS_DATOS!$C$1512))-(CROQUIS_DATOS!$C$1511))+((CROQUIS_DATOS!$C$1476)*CROQUIS_DATOS!$C$1561-(0)*CROQUIS_DATOS!$C$1561))/CROQUIS_DATOS!$C$1568-0.000001)),1,MOD($A44-1,2)),1-IF(INT(($A44-1)/2)+1&gt;MAX(1,INT(((((CROQUIS_DATOS!$C$1511+CROQUIS_DATOS!$C$1512))-(CROQUIS_DATOS!$C$1511))+((CROQUIS_DATOS!$C$1476)*CROQUIS_DATOS!$C$1561-(0)*CROQUIS_DATOS!$C$1561))/CROQUIS_DATOS!$C$1568-0.000001)),1,MOD($A44-1,2)))=1,MIN((CROQUIS_DATOS!$C$1476)*CROQUIS_DATOS!$C$1561,((CROQUIS_DATOS!$C$1511+CROQUIS_DATOS!$C$1512)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4">
        <f>IF(AND(CROQUIS_DATOS!$C$1472=1,CROQUIS_DATOS!$C$1512&gt;0,((CROQUIS_DATOS!$C$1511+CROQUIS_DATOS!$C$1512))-(CROQUIS_DATOS!$C$1511)&gt;0.5,(CROQUIS_DATOS!$C$1476)-(0)&gt;0.5),(CROQUIS_DATOS!$C$1567+(IF(IF(MOD(MIN(INT(($A44-1)/2)+1,MAX(1,INT(((((CROQUIS_DATOS!$C$1511+CROQUIS_DATOS!$C$1512))-(CROQUIS_DATOS!$C$1511))+((CROQUIS_DATOS!$C$1476)*CROQUIS_DATOS!$C$1561-(0)*CROQUIS_DATOS!$C$1561))/CROQUIS_DATOS!$C$1568-0.000001))),2)=1,IF(INT(($A44-1)/2)+1&gt;MAX(1,INT(((((CROQUIS_DATOS!$C$1511+CROQUIS_DATOS!$C$1512))-(CROQUIS_DATOS!$C$1511))+((CROQUIS_DATOS!$C$1476)*CROQUIS_DATOS!$C$1561-(0)*CROQUIS_DATOS!$C$1561))/CROQUIS_DATOS!$C$1568-0.000001)),1,MOD($A44-1,2)),1-IF(INT(($A44-1)/2)+1&gt;MAX(1,INT(((((CROQUIS_DATOS!$C$1511+CROQUIS_DATOS!$C$1512))-(CROQUIS_DATOS!$C$1511))+((CROQUIS_DATOS!$C$1476)*CROQUIS_DATOS!$C$1561-(0)*CROQUIS_DATOS!$C$1561))/CROQUIS_DATOS!$C$1568-0.000001)),1,MOD($A44-1,2)))=1,MIN((CROQUIS_DATOS!$C$1476)*CROQUIS_DATOS!$C$1561,((CROQUIS_DATOS!$C$1511+CROQUIS_DATOS!$C$1512)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4">
        <f>IF(AND(CROQUIS_DATOS!$C$1472=1,CROQUIS_DATOS!$C$1516&gt;0,((CROQUIS_DATOS!$C$1515+CROQUIS_DATOS!$C$1516))-(CROQUIS_DATOS!$C$1515)&gt;0.5,(CROQUIS_DATOS!$C$1476)-(0)&gt;0.5),(CROQUIS_DATOS!$C$1566+(IF(IF(MOD(MIN(INT(($A44-1)/2)+1,MAX(1,INT(((((CROQUIS_DATOS!$C$1515+CROQUIS_DATOS!$C$1516))-(CROQUIS_DATOS!$C$1515))+((CROQUIS_DATOS!$C$1476)*CROQUIS_DATOS!$C$1561-(0)*CROQUIS_DATOS!$C$1561))/CROQUIS_DATOS!$C$1568-0.000001))),2)=1,IF(INT(($A44-1)/2)+1&gt;MAX(1,INT(((((CROQUIS_DATOS!$C$1515+CROQUIS_DATOS!$C$1516))-(CROQUIS_DATOS!$C$1515))+((CROQUIS_DATOS!$C$1476)*CROQUIS_DATOS!$C$1561-(0)*CROQUIS_DATOS!$C$1561))/CROQUIS_DATOS!$C$1568-0.000001)),1,MOD($A44-1,2)),1-IF(INT(($A44-1)/2)+1&gt;MAX(1,INT(((((CROQUIS_DATOS!$C$1515+CROQUIS_DATOS!$C$1516))-(CROQUIS_DATOS!$C$1515))+((CROQUIS_DATOS!$C$1476)*CROQUIS_DATOS!$C$1561-(0)*CROQUIS_DATOS!$C$1561))/CROQUIS_DATOS!$C$1568-0.000001)),1,MOD($A44-1,2)))=1,MIN((CROQUIS_DATOS!$C$1476)*CROQUIS_DATOS!$C$1561,((CROQUIS_DATOS!$C$1515+CROQUIS_DATOS!$C$1516)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4">
        <f>IF(AND(CROQUIS_DATOS!$C$1472=1,CROQUIS_DATOS!$C$1516&gt;0,((CROQUIS_DATOS!$C$1515+CROQUIS_DATOS!$C$1516))-(CROQUIS_DATOS!$C$1515)&gt;0.5,(CROQUIS_DATOS!$C$1476)-(0)&gt;0.5),(CROQUIS_DATOS!$C$1567+(IF(IF(MOD(MIN(INT(($A44-1)/2)+1,MAX(1,INT(((((CROQUIS_DATOS!$C$1515+CROQUIS_DATOS!$C$1516))-(CROQUIS_DATOS!$C$1515))+((CROQUIS_DATOS!$C$1476)*CROQUIS_DATOS!$C$1561-(0)*CROQUIS_DATOS!$C$1561))/CROQUIS_DATOS!$C$1568-0.000001))),2)=1,IF(INT(($A44-1)/2)+1&gt;MAX(1,INT(((((CROQUIS_DATOS!$C$1515+CROQUIS_DATOS!$C$1516))-(CROQUIS_DATOS!$C$1515))+((CROQUIS_DATOS!$C$1476)*CROQUIS_DATOS!$C$1561-(0)*CROQUIS_DATOS!$C$1561))/CROQUIS_DATOS!$C$1568-0.000001)),1,MOD($A44-1,2)),1-IF(INT(($A44-1)/2)+1&gt;MAX(1,INT(((((CROQUIS_DATOS!$C$1515+CROQUIS_DATOS!$C$1516))-(CROQUIS_DATOS!$C$1515))+((CROQUIS_DATOS!$C$1476)*CROQUIS_DATOS!$C$1561-(0)*CROQUIS_DATOS!$C$1561))/CROQUIS_DATOS!$C$1568-0.000001)),1,MOD($A44-1,2)))=1,MIN((CROQUIS_DATOS!$C$1476)*CROQUIS_DATOS!$C$1561,((CROQUIS_DATOS!$C$1515+CROQUIS_DATOS!$C$1516)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4">
        <f>IF(AND(CROQUIS_DATOS!$C$1472=1,CROQUIS_DATOS!$C$1478&gt;=1,((CROQUIS_DATOS!$C$1479+CROQUIS_DATOS!$C$1480))-(CROQUIS_DATOS!$C$1479)&gt;0.5,(CROQUIS_DATOS!$C$1481)-(0)&gt;0.5),(CROQUIS_DATOS!$C$1566+(IF(IF(MOD(MIN(INT(($A44-1)/2)+1,MAX(1,INT(((((CROQUIS_DATOS!$C$1479+CROQUIS_DATOS!$C$1480))-(CROQUIS_DATOS!$C$1479))+((CROQUIS_DATOS!$C$1481)*CROQUIS_DATOS!$C$1561-(0)*CROQUIS_DATOS!$C$1561))/CROQUIS_DATOS!$C$1568-0.000001))),2)=1,IF(INT(($A44-1)/2)+1&gt;MAX(1,INT(((((CROQUIS_DATOS!$C$1479+CROQUIS_DATOS!$C$1480))-(CROQUIS_DATOS!$C$1479))+((CROQUIS_DATOS!$C$1481)*CROQUIS_DATOS!$C$1561-(0)*CROQUIS_DATOS!$C$1561))/CROQUIS_DATOS!$C$1568-0.000001)),1,MOD($A44-1,2)),1-IF(INT(($A44-1)/2)+1&gt;MAX(1,INT(((((CROQUIS_DATOS!$C$1479+CROQUIS_DATOS!$C$1480))-(CROQUIS_DATOS!$C$1479))+((CROQUIS_DATOS!$C$1481)*CROQUIS_DATOS!$C$1561-(0)*CROQUIS_DATOS!$C$1561))/CROQUIS_DATOS!$C$1568-0.000001)),1,MOD($A44-1,2)))=1,MIN((CROQUIS_DATOS!$C$1481)*CROQUIS_DATOS!$C$1561,((CROQUIS_DATOS!$C$1479+CROQUIS_DATOS!$C$1480)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4">
        <f>IF(AND(CROQUIS_DATOS!$C$1472=1,CROQUIS_DATOS!$C$1478&gt;=1,((CROQUIS_DATOS!$C$1479+CROQUIS_DATOS!$C$1480))-(CROQUIS_DATOS!$C$1479)&gt;0.5,(CROQUIS_DATOS!$C$1481)-(0)&gt;0.5),(CROQUIS_DATOS!$C$1567+(IF(IF(MOD(MIN(INT(($A44-1)/2)+1,MAX(1,INT(((((CROQUIS_DATOS!$C$1479+CROQUIS_DATOS!$C$1480))-(CROQUIS_DATOS!$C$1479))+((CROQUIS_DATOS!$C$1481)*CROQUIS_DATOS!$C$1561-(0)*CROQUIS_DATOS!$C$1561))/CROQUIS_DATOS!$C$1568-0.000001))),2)=1,IF(INT(($A44-1)/2)+1&gt;MAX(1,INT(((((CROQUIS_DATOS!$C$1479+CROQUIS_DATOS!$C$1480))-(CROQUIS_DATOS!$C$1479))+((CROQUIS_DATOS!$C$1481)*CROQUIS_DATOS!$C$1561-(0)*CROQUIS_DATOS!$C$1561))/CROQUIS_DATOS!$C$1568-0.000001)),1,MOD($A44-1,2)),1-IF(INT(($A44-1)/2)+1&gt;MAX(1,INT(((((CROQUIS_DATOS!$C$1479+CROQUIS_DATOS!$C$1480))-(CROQUIS_DATOS!$C$1479))+((CROQUIS_DATOS!$C$1481)*CROQUIS_DATOS!$C$1561-(0)*CROQUIS_DATOS!$C$1561))/CROQUIS_DATOS!$C$1568-0.000001)),1,MOD($A44-1,2)))=1,MIN((CROQUIS_DATOS!$C$1481)*CROQUIS_DATOS!$C$1561,((CROQUIS_DATOS!$C$1479+CROQUIS_DATOS!$C$1480)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4">
        <f>IF(AND(CROQUIS_DATOS!$C$1472=1,CROQUIS_DATOS!$C$1478&gt;=1,((CROQUIS_DATOS!$C$1479+CROQUIS_DATOS!$C$1480))-(CROQUIS_DATOS!$C$1479)&gt;0.5,(CROQUIS_DATOS!$C$1476)-((CROQUIS_DATOS!$C$1481+CROQUIS_DATOS!$C$1482))&gt;0.5),(CROQUIS_DATOS!$C$1566+(IF(IF(MOD(MIN(INT(($A44-1)/2)+1,MAX(1,INT(((((CROQUIS_DATOS!$C$1479+CROQUIS_DATOS!$C$1480))-(CROQUIS_DATOS!$C$1479))+((CROQUIS_DATOS!$C$1476)*CROQUIS_DATOS!$C$1561-((CROQUIS_DATOS!$C$1481+CROQUIS_DATOS!$C$1482))*CROQUIS_DATOS!$C$1561))/CROQUIS_DATOS!$C$1568-0.000001))),2)=1,IF(INT(($A44-1)/2)+1&gt;MAX(1,INT(((((CROQUIS_DATOS!$C$1479+CROQUIS_DATOS!$C$1480))-(CROQUIS_DATOS!$C$1479))+((CROQUIS_DATOS!$C$1476)*CROQUIS_DATOS!$C$1561-((CROQUIS_DATOS!$C$1481+CROQUIS_DATOS!$C$1482))*CROQUIS_DATOS!$C$1561))/CROQUIS_DATOS!$C$1568-0.000001)),1,MOD($A44-1,2)),1-IF(INT(($A44-1)/2)+1&gt;MAX(1,INT(((((CROQUIS_DATOS!$C$1479+CROQUIS_DATOS!$C$1480))-(CROQUIS_DATOS!$C$1479))+((CROQUIS_DATOS!$C$1476)*CROQUIS_DATOS!$C$1561-((CROQUIS_DATOS!$C$1481+CROQUIS_DATOS!$C$1482))*CROQUIS_DATOS!$C$1561))/CROQUIS_DATOS!$C$1568-0.000001)),1,MOD($A44-1,2)))=1,MIN((CROQUIS_DATOS!$C$1476)*CROQUIS_DATOS!$C$1561,((CROQUIS_DATOS!$C$1479+CROQUIS_DATOS!$C$1480)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4">
        <f>IF(AND(CROQUIS_DATOS!$C$1472=1,CROQUIS_DATOS!$C$1478&gt;=1,((CROQUIS_DATOS!$C$1479+CROQUIS_DATOS!$C$1480))-(CROQUIS_DATOS!$C$1479)&gt;0.5,(CROQUIS_DATOS!$C$1476)-((CROQUIS_DATOS!$C$1481+CROQUIS_DATOS!$C$1482))&gt;0.5),(CROQUIS_DATOS!$C$1567+(IF(IF(MOD(MIN(INT(($A44-1)/2)+1,MAX(1,INT(((((CROQUIS_DATOS!$C$1479+CROQUIS_DATOS!$C$1480))-(CROQUIS_DATOS!$C$1479))+((CROQUIS_DATOS!$C$1476)*CROQUIS_DATOS!$C$1561-((CROQUIS_DATOS!$C$1481+CROQUIS_DATOS!$C$1482))*CROQUIS_DATOS!$C$1561))/CROQUIS_DATOS!$C$1568-0.000001))),2)=1,IF(INT(($A44-1)/2)+1&gt;MAX(1,INT(((((CROQUIS_DATOS!$C$1479+CROQUIS_DATOS!$C$1480))-(CROQUIS_DATOS!$C$1479))+((CROQUIS_DATOS!$C$1476)*CROQUIS_DATOS!$C$1561-((CROQUIS_DATOS!$C$1481+CROQUIS_DATOS!$C$1482))*CROQUIS_DATOS!$C$1561))/CROQUIS_DATOS!$C$1568-0.000001)),1,MOD($A44-1,2)),1-IF(INT(($A44-1)/2)+1&gt;MAX(1,INT(((((CROQUIS_DATOS!$C$1479+CROQUIS_DATOS!$C$1480))-(CROQUIS_DATOS!$C$1479))+((CROQUIS_DATOS!$C$1476)*CROQUIS_DATOS!$C$1561-((CROQUIS_DATOS!$C$1481+CROQUIS_DATOS!$C$1482))*CROQUIS_DATOS!$C$1561))/CROQUIS_DATOS!$C$1568-0.000001)),1,MOD($A44-1,2)))=1,MIN((CROQUIS_DATOS!$C$1476)*CROQUIS_DATOS!$C$1561,((CROQUIS_DATOS!$C$1479+CROQUIS_DATOS!$C$1480)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4">
        <f>IF(AND(CROQUIS_DATOS!$C$1472=1,CROQUIS_DATOS!$C$1478&gt;=2,((CROQUIS_DATOS!$C$1484+CROQUIS_DATOS!$C$1485))-(CROQUIS_DATOS!$C$1484)&gt;0.5,(CROQUIS_DATOS!$C$1486)-(0)&gt;0.5),(CROQUIS_DATOS!$C$1566+(IF(IF(MOD(MIN(INT(($A44-1)/2)+1,MAX(1,INT(((((CROQUIS_DATOS!$C$1484+CROQUIS_DATOS!$C$1485))-(CROQUIS_DATOS!$C$1484))+((CROQUIS_DATOS!$C$1486)*CROQUIS_DATOS!$C$1561-(0)*CROQUIS_DATOS!$C$1561))/CROQUIS_DATOS!$C$1568-0.000001))),2)=1,IF(INT(($A44-1)/2)+1&gt;MAX(1,INT(((((CROQUIS_DATOS!$C$1484+CROQUIS_DATOS!$C$1485))-(CROQUIS_DATOS!$C$1484))+((CROQUIS_DATOS!$C$1486)*CROQUIS_DATOS!$C$1561-(0)*CROQUIS_DATOS!$C$1561))/CROQUIS_DATOS!$C$1568-0.000001)),1,MOD($A44-1,2)),1-IF(INT(($A44-1)/2)+1&gt;MAX(1,INT(((((CROQUIS_DATOS!$C$1484+CROQUIS_DATOS!$C$1485))-(CROQUIS_DATOS!$C$1484))+((CROQUIS_DATOS!$C$1486)*CROQUIS_DATOS!$C$1561-(0)*CROQUIS_DATOS!$C$1561))/CROQUIS_DATOS!$C$1568-0.000001)),1,MOD($A44-1,2)))=1,MIN((CROQUIS_DATOS!$C$1486)*CROQUIS_DATOS!$C$1561,((CROQUIS_DATOS!$C$1484+CROQUIS_DATOS!$C$1485)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4">
        <f>IF(AND(CROQUIS_DATOS!$C$1472=1,CROQUIS_DATOS!$C$1478&gt;=2,((CROQUIS_DATOS!$C$1484+CROQUIS_DATOS!$C$1485))-(CROQUIS_DATOS!$C$1484)&gt;0.5,(CROQUIS_DATOS!$C$1486)-(0)&gt;0.5),(CROQUIS_DATOS!$C$1567+(IF(IF(MOD(MIN(INT(($A44-1)/2)+1,MAX(1,INT(((((CROQUIS_DATOS!$C$1484+CROQUIS_DATOS!$C$1485))-(CROQUIS_DATOS!$C$1484))+((CROQUIS_DATOS!$C$1486)*CROQUIS_DATOS!$C$1561-(0)*CROQUIS_DATOS!$C$1561))/CROQUIS_DATOS!$C$1568-0.000001))),2)=1,IF(INT(($A44-1)/2)+1&gt;MAX(1,INT(((((CROQUIS_DATOS!$C$1484+CROQUIS_DATOS!$C$1485))-(CROQUIS_DATOS!$C$1484))+((CROQUIS_DATOS!$C$1486)*CROQUIS_DATOS!$C$1561-(0)*CROQUIS_DATOS!$C$1561))/CROQUIS_DATOS!$C$1568-0.000001)),1,MOD($A44-1,2)),1-IF(INT(($A44-1)/2)+1&gt;MAX(1,INT(((((CROQUIS_DATOS!$C$1484+CROQUIS_DATOS!$C$1485))-(CROQUIS_DATOS!$C$1484))+((CROQUIS_DATOS!$C$1486)*CROQUIS_DATOS!$C$1561-(0)*CROQUIS_DATOS!$C$1561))/CROQUIS_DATOS!$C$1568-0.000001)),1,MOD($A44-1,2)))=1,MIN((CROQUIS_DATOS!$C$1486)*CROQUIS_DATOS!$C$1561,((CROQUIS_DATOS!$C$1484+CROQUIS_DATOS!$C$1485)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4">
        <f>IF(AND(CROQUIS_DATOS!$C$1472=1,CROQUIS_DATOS!$C$1478&gt;=2,((CROQUIS_DATOS!$C$1484+CROQUIS_DATOS!$C$1485))-(CROQUIS_DATOS!$C$1484)&gt;0.5,(CROQUIS_DATOS!$C$1476)-((CROQUIS_DATOS!$C$1486+CROQUIS_DATOS!$C$1487))&gt;0.5),(CROQUIS_DATOS!$C$1566+(IF(IF(MOD(MIN(INT(($A44-1)/2)+1,MAX(1,INT(((((CROQUIS_DATOS!$C$1484+CROQUIS_DATOS!$C$1485))-(CROQUIS_DATOS!$C$1484))+((CROQUIS_DATOS!$C$1476)*CROQUIS_DATOS!$C$1561-((CROQUIS_DATOS!$C$1486+CROQUIS_DATOS!$C$1487))*CROQUIS_DATOS!$C$1561))/CROQUIS_DATOS!$C$1568-0.000001))),2)=1,IF(INT(($A44-1)/2)+1&gt;MAX(1,INT(((((CROQUIS_DATOS!$C$1484+CROQUIS_DATOS!$C$1485))-(CROQUIS_DATOS!$C$1484))+((CROQUIS_DATOS!$C$1476)*CROQUIS_DATOS!$C$1561-((CROQUIS_DATOS!$C$1486+CROQUIS_DATOS!$C$1487))*CROQUIS_DATOS!$C$1561))/CROQUIS_DATOS!$C$1568-0.000001)),1,MOD($A44-1,2)),1-IF(INT(($A44-1)/2)+1&gt;MAX(1,INT(((((CROQUIS_DATOS!$C$1484+CROQUIS_DATOS!$C$1485))-(CROQUIS_DATOS!$C$1484))+((CROQUIS_DATOS!$C$1476)*CROQUIS_DATOS!$C$1561-((CROQUIS_DATOS!$C$1486+CROQUIS_DATOS!$C$1487))*CROQUIS_DATOS!$C$1561))/CROQUIS_DATOS!$C$1568-0.000001)),1,MOD($A44-1,2)))=1,MIN((CROQUIS_DATOS!$C$1476)*CROQUIS_DATOS!$C$1561,((CROQUIS_DATOS!$C$1484+CROQUIS_DATOS!$C$1485)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4">
        <f>IF(AND(CROQUIS_DATOS!$C$1472=1,CROQUIS_DATOS!$C$1478&gt;=2,((CROQUIS_DATOS!$C$1484+CROQUIS_DATOS!$C$1485))-(CROQUIS_DATOS!$C$1484)&gt;0.5,(CROQUIS_DATOS!$C$1476)-((CROQUIS_DATOS!$C$1486+CROQUIS_DATOS!$C$1487))&gt;0.5),(CROQUIS_DATOS!$C$1567+(IF(IF(MOD(MIN(INT(($A44-1)/2)+1,MAX(1,INT(((((CROQUIS_DATOS!$C$1484+CROQUIS_DATOS!$C$1485))-(CROQUIS_DATOS!$C$1484))+((CROQUIS_DATOS!$C$1476)*CROQUIS_DATOS!$C$1561-((CROQUIS_DATOS!$C$1486+CROQUIS_DATOS!$C$1487))*CROQUIS_DATOS!$C$1561))/CROQUIS_DATOS!$C$1568-0.000001))),2)=1,IF(INT(($A44-1)/2)+1&gt;MAX(1,INT(((((CROQUIS_DATOS!$C$1484+CROQUIS_DATOS!$C$1485))-(CROQUIS_DATOS!$C$1484))+((CROQUIS_DATOS!$C$1476)*CROQUIS_DATOS!$C$1561-((CROQUIS_DATOS!$C$1486+CROQUIS_DATOS!$C$1487))*CROQUIS_DATOS!$C$1561))/CROQUIS_DATOS!$C$1568-0.000001)),1,MOD($A44-1,2)),1-IF(INT(($A44-1)/2)+1&gt;MAX(1,INT(((((CROQUIS_DATOS!$C$1484+CROQUIS_DATOS!$C$1485))-(CROQUIS_DATOS!$C$1484))+((CROQUIS_DATOS!$C$1476)*CROQUIS_DATOS!$C$1561-((CROQUIS_DATOS!$C$1486+CROQUIS_DATOS!$C$1487))*CROQUIS_DATOS!$C$1561))/CROQUIS_DATOS!$C$1568-0.000001)),1,MOD($A44-1,2)))=1,MIN((CROQUIS_DATOS!$C$1476)*CROQUIS_DATOS!$C$1561,((CROQUIS_DATOS!$C$1484+CROQUIS_DATOS!$C$1485)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4">
        <f>IF(AND(CROQUIS_DATOS!$C$1472=1,CROQUIS_DATOS!$C$1478&gt;=3,((CROQUIS_DATOS!$C$1489+CROQUIS_DATOS!$C$1490))-(CROQUIS_DATOS!$C$1489)&gt;0.5,(CROQUIS_DATOS!$C$1491)-(0)&gt;0.5),(CROQUIS_DATOS!$C$1566+(IF(IF(MOD(MIN(INT(($A44-1)/2)+1,MAX(1,INT(((((CROQUIS_DATOS!$C$1489+CROQUIS_DATOS!$C$1490))-(CROQUIS_DATOS!$C$1489))+((CROQUIS_DATOS!$C$1491)*CROQUIS_DATOS!$C$1561-(0)*CROQUIS_DATOS!$C$1561))/CROQUIS_DATOS!$C$1568-0.000001))),2)=1,IF(INT(($A44-1)/2)+1&gt;MAX(1,INT(((((CROQUIS_DATOS!$C$1489+CROQUIS_DATOS!$C$1490))-(CROQUIS_DATOS!$C$1489))+((CROQUIS_DATOS!$C$1491)*CROQUIS_DATOS!$C$1561-(0)*CROQUIS_DATOS!$C$1561))/CROQUIS_DATOS!$C$1568-0.000001)),1,MOD($A44-1,2)),1-IF(INT(($A44-1)/2)+1&gt;MAX(1,INT(((((CROQUIS_DATOS!$C$1489+CROQUIS_DATOS!$C$1490))-(CROQUIS_DATOS!$C$1489))+((CROQUIS_DATOS!$C$1491)*CROQUIS_DATOS!$C$1561-(0)*CROQUIS_DATOS!$C$1561))/CROQUIS_DATOS!$C$1568-0.000001)),1,MOD($A44-1,2)))=1,MIN((CROQUIS_DATOS!$C$1491)*CROQUIS_DATOS!$C$1561,((CROQUIS_DATOS!$C$1489+CROQUIS_DATOS!$C$1490)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4">
        <f>IF(AND(CROQUIS_DATOS!$C$1472=1,CROQUIS_DATOS!$C$1478&gt;=3,((CROQUIS_DATOS!$C$1489+CROQUIS_DATOS!$C$1490))-(CROQUIS_DATOS!$C$1489)&gt;0.5,(CROQUIS_DATOS!$C$1491)-(0)&gt;0.5),(CROQUIS_DATOS!$C$1567+(IF(IF(MOD(MIN(INT(($A44-1)/2)+1,MAX(1,INT(((((CROQUIS_DATOS!$C$1489+CROQUIS_DATOS!$C$1490))-(CROQUIS_DATOS!$C$1489))+((CROQUIS_DATOS!$C$1491)*CROQUIS_DATOS!$C$1561-(0)*CROQUIS_DATOS!$C$1561))/CROQUIS_DATOS!$C$1568-0.000001))),2)=1,IF(INT(($A44-1)/2)+1&gt;MAX(1,INT(((((CROQUIS_DATOS!$C$1489+CROQUIS_DATOS!$C$1490))-(CROQUIS_DATOS!$C$1489))+((CROQUIS_DATOS!$C$1491)*CROQUIS_DATOS!$C$1561-(0)*CROQUIS_DATOS!$C$1561))/CROQUIS_DATOS!$C$1568-0.000001)),1,MOD($A44-1,2)),1-IF(INT(($A44-1)/2)+1&gt;MAX(1,INT(((((CROQUIS_DATOS!$C$1489+CROQUIS_DATOS!$C$1490))-(CROQUIS_DATOS!$C$1489))+((CROQUIS_DATOS!$C$1491)*CROQUIS_DATOS!$C$1561-(0)*CROQUIS_DATOS!$C$1561))/CROQUIS_DATOS!$C$1568-0.000001)),1,MOD($A44-1,2)))=1,MIN((CROQUIS_DATOS!$C$1491)*CROQUIS_DATOS!$C$1561,((CROQUIS_DATOS!$C$1489+CROQUIS_DATOS!$C$1490)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4">
        <f>IF(AND(CROQUIS_DATOS!$C$1472=1,CROQUIS_DATOS!$C$1478&gt;=3,((CROQUIS_DATOS!$C$1489+CROQUIS_DATOS!$C$1490))-(CROQUIS_DATOS!$C$1489)&gt;0.5,(CROQUIS_DATOS!$C$1476)-((CROQUIS_DATOS!$C$1491+CROQUIS_DATOS!$C$1492))&gt;0.5),(CROQUIS_DATOS!$C$1566+(IF(IF(MOD(MIN(INT(($A44-1)/2)+1,MAX(1,INT(((((CROQUIS_DATOS!$C$1489+CROQUIS_DATOS!$C$1490))-(CROQUIS_DATOS!$C$1489))+((CROQUIS_DATOS!$C$1476)*CROQUIS_DATOS!$C$1561-((CROQUIS_DATOS!$C$1491+CROQUIS_DATOS!$C$1492))*CROQUIS_DATOS!$C$1561))/CROQUIS_DATOS!$C$1568-0.000001))),2)=1,IF(INT(($A44-1)/2)+1&gt;MAX(1,INT(((((CROQUIS_DATOS!$C$1489+CROQUIS_DATOS!$C$1490))-(CROQUIS_DATOS!$C$1489))+((CROQUIS_DATOS!$C$1476)*CROQUIS_DATOS!$C$1561-((CROQUIS_DATOS!$C$1491+CROQUIS_DATOS!$C$1492))*CROQUIS_DATOS!$C$1561))/CROQUIS_DATOS!$C$1568-0.000001)),1,MOD($A44-1,2)),1-IF(INT(($A44-1)/2)+1&gt;MAX(1,INT(((((CROQUIS_DATOS!$C$1489+CROQUIS_DATOS!$C$1490))-(CROQUIS_DATOS!$C$1489))+((CROQUIS_DATOS!$C$1476)*CROQUIS_DATOS!$C$1561-((CROQUIS_DATOS!$C$1491+CROQUIS_DATOS!$C$1492))*CROQUIS_DATOS!$C$1561))/CROQUIS_DATOS!$C$1568-0.000001)),1,MOD($A44-1,2)))=1,MIN((CROQUIS_DATOS!$C$1476)*CROQUIS_DATOS!$C$1561,((CROQUIS_DATOS!$C$1489+CROQUIS_DATOS!$C$1490)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4">
        <f>IF(AND(CROQUIS_DATOS!$C$1472=1,CROQUIS_DATOS!$C$1478&gt;=3,((CROQUIS_DATOS!$C$1489+CROQUIS_DATOS!$C$1490))-(CROQUIS_DATOS!$C$1489)&gt;0.5,(CROQUIS_DATOS!$C$1476)-((CROQUIS_DATOS!$C$1491+CROQUIS_DATOS!$C$1492))&gt;0.5),(CROQUIS_DATOS!$C$1567+(IF(IF(MOD(MIN(INT(($A44-1)/2)+1,MAX(1,INT(((((CROQUIS_DATOS!$C$1489+CROQUIS_DATOS!$C$1490))-(CROQUIS_DATOS!$C$1489))+((CROQUIS_DATOS!$C$1476)*CROQUIS_DATOS!$C$1561-((CROQUIS_DATOS!$C$1491+CROQUIS_DATOS!$C$1492))*CROQUIS_DATOS!$C$1561))/CROQUIS_DATOS!$C$1568-0.000001))),2)=1,IF(INT(($A44-1)/2)+1&gt;MAX(1,INT(((((CROQUIS_DATOS!$C$1489+CROQUIS_DATOS!$C$1490))-(CROQUIS_DATOS!$C$1489))+((CROQUIS_DATOS!$C$1476)*CROQUIS_DATOS!$C$1561-((CROQUIS_DATOS!$C$1491+CROQUIS_DATOS!$C$1492))*CROQUIS_DATOS!$C$1561))/CROQUIS_DATOS!$C$1568-0.000001)),1,MOD($A44-1,2)),1-IF(INT(($A44-1)/2)+1&gt;MAX(1,INT(((((CROQUIS_DATOS!$C$1489+CROQUIS_DATOS!$C$1490))-(CROQUIS_DATOS!$C$1489))+((CROQUIS_DATOS!$C$1476)*CROQUIS_DATOS!$C$1561-((CROQUIS_DATOS!$C$1491+CROQUIS_DATOS!$C$1492))*CROQUIS_DATOS!$C$1561))/CROQUIS_DATOS!$C$1568-0.000001)),1,MOD($A44-1,2)))=1,MIN((CROQUIS_DATOS!$C$1476)*CROQUIS_DATOS!$C$1561,((CROQUIS_DATOS!$C$1489+CROQUIS_DATOS!$C$1490)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4">
        <f>IF(AND(CROQUIS_DATOS!$C$1472=1,CROQUIS_DATOS!$C$1478&gt;=4,((CROQUIS_DATOS!$C$1494+CROQUIS_DATOS!$C$1495))-(CROQUIS_DATOS!$C$1494)&gt;0.5,(CROQUIS_DATOS!$C$1496)-(0)&gt;0.5),(CROQUIS_DATOS!$C$1566+(IF(IF(MOD(MIN(INT(($A44-1)/2)+1,MAX(1,INT(((((CROQUIS_DATOS!$C$1494+CROQUIS_DATOS!$C$1495))-(CROQUIS_DATOS!$C$1494))+((CROQUIS_DATOS!$C$1496)*CROQUIS_DATOS!$C$1561-(0)*CROQUIS_DATOS!$C$1561))/CROQUIS_DATOS!$C$1568-0.000001))),2)=1,IF(INT(($A44-1)/2)+1&gt;MAX(1,INT(((((CROQUIS_DATOS!$C$1494+CROQUIS_DATOS!$C$1495))-(CROQUIS_DATOS!$C$1494))+((CROQUIS_DATOS!$C$1496)*CROQUIS_DATOS!$C$1561-(0)*CROQUIS_DATOS!$C$1561))/CROQUIS_DATOS!$C$1568-0.000001)),1,MOD($A44-1,2)),1-IF(INT(($A44-1)/2)+1&gt;MAX(1,INT(((((CROQUIS_DATOS!$C$1494+CROQUIS_DATOS!$C$1495))-(CROQUIS_DATOS!$C$1494))+((CROQUIS_DATOS!$C$1496)*CROQUIS_DATOS!$C$1561-(0)*CROQUIS_DATOS!$C$1561))/CROQUIS_DATOS!$C$1568-0.000001)),1,MOD($A44-1,2)))=1,MIN((CROQUIS_DATOS!$C$1496)*CROQUIS_DATOS!$C$1561,((CROQUIS_DATOS!$C$1494+CROQUIS_DATOS!$C$1495)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4">
        <f>IF(AND(CROQUIS_DATOS!$C$1472=1,CROQUIS_DATOS!$C$1478&gt;=4,((CROQUIS_DATOS!$C$1494+CROQUIS_DATOS!$C$1495))-(CROQUIS_DATOS!$C$1494)&gt;0.5,(CROQUIS_DATOS!$C$1496)-(0)&gt;0.5),(CROQUIS_DATOS!$C$1567+(IF(IF(MOD(MIN(INT(($A44-1)/2)+1,MAX(1,INT(((((CROQUIS_DATOS!$C$1494+CROQUIS_DATOS!$C$1495))-(CROQUIS_DATOS!$C$1494))+((CROQUIS_DATOS!$C$1496)*CROQUIS_DATOS!$C$1561-(0)*CROQUIS_DATOS!$C$1561))/CROQUIS_DATOS!$C$1568-0.000001))),2)=1,IF(INT(($A44-1)/2)+1&gt;MAX(1,INT(((((CROQUIS_DATOS!$C$1494+CROQUIS_DATOS!$C$1495))-(CROQUIS_DATOS!$C$1494))+((CROQUIS_DATOS!$C$1496)*CROQUIS_DATOS!$C$1561-(0)*CROQUIS_DATOS!$C$1561))/CROQUIS_DATOS!$C$1568-0.000001)),1,MOD($A44-1,2)),1-IF(INT(($A44-1)/2)+1&gt;MAX(1,INT(((((CROQUIS_DATOS!$C$1494+CROQUIS_DATOS!$C$1495))-(CROQUIS_DATOS!$C$1494))+((CROQUIS_DATOS!$C$1496)*CROQUIS_DATOS!$C$1561-(0)*CROQUIS_DATOS!$C$1561))/CROQUIS_DATOS!$C$1568-0.000001)),1,MOD($A44-1,2)))=1,MIN((CROQUIS_DATOS!$C$1496)*CROQUIS_DATOS!$C$1561,((CROQUIS_DATOS!$C$1494+CROQUIS_DATOS!$C$1495)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4">
        <f>IF(AND(CROQUIS_DATOS!$C$1472=1,CROQUIS_DATOS!$C$1478&gt;=4,((CROQUIS_DATOS!$C$1494+CROQUIS_DATOS!$C$1495))-(CROQUIS_DATOS!$C$1494)&gt;0.5,(CROQUIS_DATOS!$C$1476)-((CROQUIS_DATOS!$C$1496+CROQUIS_DATOS!$C$1497))&gt;0.5),(CROQUIS_DATOS!$C$1566+(IF(IF(MOD(MIN(INT(($A44-1)/2)+1,MAX(1,INT(((((CROQUIS_DATOS!$C$1494+CROQUIS_DATOS!$C$1495))-(CROQUIS_DATOS!$C$1494))+((CROQUIS_DATOS!$C$1476)*CROQUIS_DATOS!$C$1561-((CROQUIS_DATOS!$C$1496+CROQUIS_DATOS!$C$1497))*CROQUIS_DATOS!$C$1561))/CROQUIS_DATOS!$C$1568-0.000001))),2)=1,IF(INT(($A44-1)/2)+1&gt;MAX(1,INT(((((CROQUIS_DATOS!$C$1494+CROQUIS_DATOS!$C$1495))-(CROQUIS_DATOS!$C$1494))+((CROQUIS_DATOS!$C$1476)*CROQUIS_DATOS!$C$1561-((CROQUIS_DATOS!$C$1496+CROQUIS_DATOS!$C$1497))*CROQUIS_DATOS!$C$1561))/CROQUIS_DATOS!$C$1568-0.000001)),1,MOD($A44-1,2)),1-IF(INT(($A44-1)/2)+1&gt;MAX(1,INT(((((CROQUIS_DATOS!$C$1494+CROQUIS_DATOS!$C$1495))-(CROQUIS_DATOS!$C$1494))+((CROQUIS_DATOS!$C$1476)*CROQUIS_DATOS!$C$1561-((CROQUIS_DATOS!$C$1496+CROQUIS_DATOS!$C$1497))*CROQUIS_DATOS!$C$1561))/CROQUIS_DATOS!$C$1568-0.000001)),1,MOD($A44-1,2)))=1,MIN((CROQUIS_DATOS!$C$1476)*CROQUIS_DATOS!$C$1561,((CROQUIS_DATOS!$C$1494+CROQUIS_DATOS!$C$1495)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4">
        <f>IF(AND(CROQUIS_DATOS!$C$1472=1,CROQUIS_DATOS!$C$1478&gt;=4,((CROQUIS_DATOS!$C$1494+CROQUIS_DATOS!$C$1495))-(CROQUIS_DATOS!$C$1494)&gt;0.5,(CROQUIS_DATOS!$C$1476)-((CROQUIS_DATOS!$C$1496+CROQUIS_DATOS!$C$1497))&gt;0.5),(CROQUIS_DATOS!$C$1567+(IF(IF(MOD(MIN(INT(($A44-1)/2)+1,MAX(1,INT(((((CROQUIS_DATOS!$C$1494+CROQUIS_DATOS!$C$1495))-(CROQUIS_DATOS!$C$1494))+((CROQUIS_DATOS!$C$1476)*CROQUIS_DATOS!$C$1561-((CROQUIS_DATOS!$C$1496+CROQUIS_DATOS!$C$1497))*CROQUIS_DATOS!$C$1561))/CROQUIS_DATOS!$C$1568-0.000001))),2)=1,IF(INT(($A44-1)/2)+1&gt;MAX(1,INT(((((CROQUIS_DATOS!$C$1494+CROQUIS_DATOS!$C$1495))-(CROQUIS_DATOS!$C$1494))+((CROQUIS_DATOS!$C$1476)*CROQUIS_DATOS!$C$1561-((CROQUIS_DATOS!$C$1496+CROQUIS_DATOS!$C$1497))*CROQUIS_DATOS!$C$1561))/CROQUIS_DATOS!$C$1568-0.000001)),1,MOD($A44-1,2)),1-IF(INT(($A44-1)/2)+1&gt;MAX(1,INT(((((CROQUIS_DATOS!$C$1494+CROQUIS_DATOS!$C$1495))-(CROQUIS_DATOS!$C$1494))+((CROQUIS_DATOS!$C$1476)*CROQUIS_DATOS!$C$1561-((CROQUIS_DATOS!$C$1496+CROQUIS_DATOS!$C$1497))*CROQUIS_DATOS!$C$1561))/CROQUIS_DATOS!$C$1568-0.000001)),1,MOD($A44-1,2)))=1,MIN((CROQUIS_DATOS!$C$1476)*CROQUIS_DATOS!$C$1561,((CROQUIS_DATOS!$C$1494+CROQUIS_DATOS!$C$1495)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4">
        <f>IF(AND(CROQUIS_DATOS!$C$1472=1,1),(CROQUIS_DATOS!$C$1571+(CHOOSE(MIN(MAX(IF(INT(($A44-1)/5)+1&gt;CROQUIS_DATOS!$C$1525,5,MOD($A44-1,5)+1),1),5),(INDEX($E$8:$E$23,MIN(INT(($A44-1)/5)+1,CROQUIS_DATOS!$C$1525))-INDEX($F$8:$F$23,MIN(INT(($A44-1)/5)+1,CROQUIS_DATOS!$C$1525))/2),(INDEX($E$8:$E$23,MIN(INT(($A44-1)/5)+1,CROQUIS_DATOS!$C$1525))+INDEX($F$8:$F$23,MIN(INT(($A44-1)/5)+1,CROQUIS_DATOS!$C$1525))/2),(INDEX($E$8:$E$23,MIN(INT(($A44-1)/5)+1,CROQUIS_DATOS!$C$1525))+INDEX($F$8:$F$23,MIN(INT(($A44-1)/5)+1,CROQUIS_DATOS!$C$1525))/2),(INDEX($E$8:$E$23,MIN(INT(($A44-1)/5)+1,CROQUIS_DATOS!$C$1525))-INDEX($F$8:$F$23,MIN(INT(($A44-1)/5)+1,CROQUIS_DATOS!$C$1525))/2),(INDEX($E$8:$E$23,MIN(INT(($A44-1)/5)+1,CROQUIS_DATOS!$C$1525))-INDEX($F$8:$F$23,MIN(INT(($A44-1)/5)+1,CROQUIS_DATOS!$C$1525))/2)))*CROQUIS_DATOS!$C$1569),-1000)</f>
        <v>95.24</v>
      </c>
      <c r="GE44">
        <f>IF(AND(CROQUIS_DATOS!$C$1472=1,1),(CROQUIS_DATOS!$C$1572+(CHOOSE(MIN(MAX(IF(INT(($A44-1)/5)+1&gt;CROQUIS_DATOS!$C$1525,5,MOD($A44-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4">
        <f>IF(AND(CROQUIS_DATOS!$C$1472=1,1),IF(INT(($A44-1)/4)+1&lt;=CROQUIS_DATOS!$C$1525,(CROQUIS_DATOS!$C$1571+((INDEX($E$8:$E$23,MIN(INT(($A44-1)/4)+1,16))+IF(OR(MOD($A44-1,4)=0,MOD($A44-1,4)=3),-1,1)*(INDEX($F$8:$F$23,MIN(INT(($A44-1)/4)+1,16))/2-(CROQUIS_DATOS!$C$1530+CROQUIS_DATOS!$C$1532+IF(OR(INT(($A44-1)/4)+1=1,INT(($A44-1)/4)+1=CROQUIS_DATOS!$C$1525),CROQUIS_DATOS!$C$1534,CROQUIS_DATOS!$C$1531)/2))))*CROQUIS_DATOS!$C$1569),-1000),-1000)</f>
        <v>-1000</v>
      </c>
      <c r="GG44">
        <f>IF(AND(CROQUIS_DATOS!$C$1472=1,1),IF(INT(($A44-1)/4)+1&lt;=CROQUIS_DATOS!$C$1525,(CROQUIS_DATOS!$C$1572+((CROQUIS_DATOS!$C$1477/2+IF(MOD($A44-1,4)&lt;2,-1,1)*(CROQUIS_DATOS!$C$1527/2-(CROQUIS_DATOS!$C$1530+CROQUIS_DATOS!$C$1532+IF(OR(INT(($A44-1)/4)+1=1,INT(($A44-1)/4)+1=CROQUIS_DATOS!$C$1525),CROQUIS_DATOS!$C$1534,CROQUIS_DATOS!$C$1531)/2))))*CROQUIS_DATOS!$C$1569*CROQUIS_DATOS!$C$1570),-1000),-1000)</f>
        <v>-1000</v>
      </c>
    </row>
    <row r="45">
      <c r="A45" t="n">
        <v>38</v>
      </c>
      <c r="J45">
        <f>IF(AND(CROQUIS_DATOS!$C$1472=1,1),(CROQUIS_DATOS!$C$1563+(CHOOSE(MIN(MAX(IF(INT(($A45-1)/4)+1&gt;CROQUIS_DATOS!$C$1525,4,MOD($A45-1,4)+1),1),4),(INDEX($E$8:$E$23,MIN(INT(($A45-1)/4)+1,CROQUIS_DATOS!$C$1525))-INDEX($F$8:$F$23,MIN(INT(($A45-1)/4)+1,CROQUIS_DATOS!$C$1525))/2),(INDEX($E$8:$E$23,MIN(INT(($A45-1)/4)+1,CROQUIS_DATOS!$C$1525))-INDEX($F$8:$F$23,MIN(INT(($A45-1)/4)+1,CROQUIS_DATOS!$C$1525))/2),(INDEX($E$8:$E$23,MIN(INT(($A45-1)/4)+1,CROQUIS_DATOS!$C$1525))+INDEX($F$8:$F$23,MIN(INT(($A45-1)/4)+1,CROQUIS_DATOS!$C$1525))/2),(INDEX($E$8:$E$23,MIN(INT(($A45-1)/4)+1,CROQUIS_DATOS!$C$1525))+INDEX($F$8:$F$23,MIN(INT(($A45-1)/4)+1,CROQUIS_DATOS!$C$1525))/2)))*CROQUIS_DATOS!$C$1562),-1000)</f>
        <v>84.9137931034483</v>
      </c>
      <c r="K45">
        <f>IF(AND(CROQUIS_DATOS!$C$1472=1,1),(CROQUIS_DATOS!$C$1564+(CHOOSE(MIN(MAX(IF(INT(($A45-1)/4)+1&gt;CROQUIS_DATOS!$C$1525,4,MOD($A45-1,4)+1),1),4),0,CROQUIS_DATOS!$C$1476,CROQUIS_DATOS!$C$1476,0))*CROQUIS_DATOS!$C$1561*CROQUIS_DATOS!$C$1562),-1000)</f>
        <v>5.29310344827586</v>
      </c>
      <c r="L45">
        <f>IF(AND(CROQUIS_DATOS!$C$1472=1,1),(CROQUIS_DATOS!$C$1563+(CHOOSE(MIN(MAX(IF(INT(($A45-1)/4)+1&gt;CROQUIS_DATOS!$C$1525,4,MOD($A45-1,4)+1),1),4),((INDEX($E$8:$E$23,MIN(INT(($A45-1)/4)+1,CROQUIS_DATOS!$C$1525))-INDEX($F$8:$F$23,MIN(INT(($A45-1)/4)+1,CROQUIS_DATOS!$C$1525))/2)+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,((INDEX($E$8:$E$23,MIN(INT(($A45-1)/4)+1,CROQUIS_DATOS!$C$1525))-INDEX($F$8:$F$23,MIN(INT(($A45-1)/4)+1,CROQUIS_DATOS!$C$1525))/2)+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,((INDEX($E$8:$E$23,MIN(INT(($A45-1)/4)+1,CROQUIS_DATOS!$C$1525))+INDEX($F$8:$F$23,MIN(INT(($A45-1)/4)+1,CROQUIS_DATOS!$C$1525))/2)-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,((INDEX($E$8:$E$23,MIN(INT(($A45-1)/4)+1,CROQUIS_DATOS!$C$1525))+INDEX($F$8:$F$23,MIN(INT(($A45-1)/4)+1,CROQUIS_DATOS!$C$1525))/2)-MIN((CROQUIS_DATOS!$C$1530+CROQUIS_DATOS!$C$1532+IF(OR(MIN(INT(($A45-1)/4)+1,CROQUIS_DATOS!$C$1525)=1,MIN(INT(($A45-1)/4)+1,CROQUIS_DATOS!$C$1525)=CROQUIS_DATOS!$C$1525),CROQUIS_DATOS!$C$1534,CROQUIS_DATOS!$C$1531)/2),INDEX($F$8:$F$23,MIN(INT(($A45-1)/4)+1,CROQUIS_DATOS!$C$1525))/2-0.5))))*CROQUIS_DATOS!$C$1562),-1000)</f>
        <v>84.4792560344828</v>
      </c>
      <c r="M45">
        <f>IF(AND(CROQUIS_DATOS!$C$1472=1,1),(CROQUIS_DATOS!$C$1564+(CHOOSE(MIN(MAX(IF(INT(($A45-1)/4)+1&gt;CROQUIS_DATOS!$C$1525,4,MOD($A45-1,4)+1),1),4),CROQUIS_DATOS!$C$1543,INDEX($I$8:$I$23,MIN(INT(($A45-1)/4)+1,CROQUIS_DATOS!$C$1525)),INDEX($I$8:$I$23,MIN(INT(($A45-1)/4)+1,CROQUIS_DATOS!$C$1525)),CROQUIS_DATOS!$C$1543))*CROQUIS_DATOS!$C$1561*CROQUIS_DATOS!$C$1562),-1000)</f>
        <v>42.5654629310345</v>
      </c>
      <c r="N45">
        <f>IF(AND(CROQUIS_DATOS!$C$1472=1,1),(CROQUIS_DATOS!$C$1563+(IF(IF(IF(INT(($A45-1)/70)+1&gt;CROQUIS_DATOS!$C$1525,70,MOD($A45-1,70)+1)=1,0,IF(IF(INT(($A45-1)/70)+1&gt;CROQUIS_DATOS!$C$1525,70,MOD($A45-1,70)+1)&gt;2*CROQUIS_DATOS!$C$1541+1,IF(MOD(CROQUIS_DATOS!$C$1541,2)=1,1,0),IF(MOD(MIN(INT((IF(INT(($A45-1)/70)+1&gt;CROQUIS_DATOS!$C$1525,70,MOD($A45-1,70)+1)-2)/2)+1,CROQUIS_DATOS!$C$1541),2)=1,IF(MOD(IF(INT(($A45-1)/70)+1&gt;CROQUIS_DATOS!$C$1525,70,MOD($A45-1,70)+1)-2,2)=0,0,1),IF(MOD(IF(INT(($A45-1)/70)+1&gt;CROQUIS_DATOS!$C$1525,70,MOD($A45-1,70)+1)-2,2)=0,1,0))))=0,(INDEX($E$8:$E$23,MIN(INT(($A45-1)/70)+1,CROQUIS_DATOS!$C$1525))-INDEX($F$8:$F$23,MIN(INT(($A45-1)/70)+1,CROQUIS_DATOS!$C$1525))/2),(INDEX($E$8:$E$23,MIN(INT(($A45-1)/70)+1,CROQUIS_DATOS!$C$1525))+INDEX($F$8:$F$23,MIN(INT(($A45-1)/70)+1,CROQUIS_DATOS!$C$1525))/2)))*CROQUIS_DATOS!$C$1562),-1000)</f>
        <v>15.0862068965517</v>
      </c>
      <c r="O45">
        <f>IF(AND(CROQUIS_DATOS!$C$1472=1,1),(CROQUIS_DATOS!$C$1564+(IF(OR(IF(INT(($A45-1)/70)+1&gt;CROQUIS_DATOS!$C$1525,70,MOD($A45-1,70)+1)=1,IF(INT(($A45-1)/70)+1&gt;CROQUIS_DATOS!$C$1525,70,MOD($A45-1,70)+1)&gt;2*CROQUIS_DATOS!$C$1541+1),CROQUIS_DATOS!$C$1476,INDEX($H$8:$H$41,MIN(INT((IF(INT(($A45-1)/70)+1&gt;CROQUIS_DATOS!$C$1525,70,MOD($A45-1,70)+1)-2)/2)+1,CROQUIS_DATOS!$C$1541))))*CROQUIS_DATOS!$C$1561*CROQUIS_DATOS!$C$1562),-1000)</f>
        <v>40.2068965517241</v>
      </c>
      <c r="P45">
        <f>IF(AND(CROQUIS_DATOS!$C$1472=1,CROQUIS_DATOS!$C$1555=1),(CROQUIS_DATOS!$C$1563+(IF(IF(OR(MOD($A45-1,62)+1=1,IF(CHOOSE(MIN(MAX(MIN(INT(($A45-1)/62)+1,5),1),5),CROQUIS_DATOS!$C$1501,CROQUIS_DATOS!$C$1505,CROQUIS_DATOS!$C$1509,CROQUIS_DATOS!$C$1513,CROQUIS_DATOS!$C$1517)=1,CROQUIS_DATOS!$C$1557,0)=0),0,IF(MOD($A45-1,62)+1&gt;2*IF(CHOOSE(MIN(MAX(MIN(INT(($A45-1)/62)+1,5),1),5),CROQUIS_DATOS!$C$1501,CROQUIS_DATOS!$C$1505,CROQUIS_DATOS!$C$1509,CROQUIS_DATOS!$C$1513,CROQUIS_DATOS!$C$1517)=1,CROQUIS_DATOS!$C$1557,0)+1,IF(MOD(IF(CHOOSE(MIN(MAX(MIN(INT(($A45-1)/62)+1,5),1),5),CROQUIS_DATOS!$C$1501,CROQUIS_DATOS!$C$1505,CROQUIS_DATOS!$C$1509,CROQUIS_DATOS!$C$1513,CROQUIS_DATOS!$C$1517)=1,CROQUIS_DATOS!$C$1557,0),2)=1,1,0),IF(MOD(MIN(INT((MOD($A45-1,62)+1-2)/2)+1,MAX(IF(CHOOSE(MIN(MAX(MIN(INT(($A45-1)/62)+1,5),1),5),CROQUIS_DATOS!$C$1501,CROQUIS_DATOS!$C$1505,CROQUIS_DATOS!$C$1509,CROQUIS_DATOS!$C$1513,CROQUIS_DATOS!$C$1517)=1,CROQUIS_DATOS!$C$1557,0),1)),2)=1,IF(MOD(MOD($A45-1,62)+1-2,2)=0,0,1),IF(MOD(MOD($A45-1,62)+1-2,2)=0,1,0))))=0,(CHOOSE(MIN(MAX(MIN(INT(($A45-1)/62)+1,5),1),5),CROQUIS_DATOS!$C$1499,CROQUIS_DATOS!$C$1503,CROQUIS_DATOS!$C$1507,CROQUIS_DATOS!$C$1511,CROQUIS_DATOS!$C$1515)+IF(CHOOSE(MIN(MAX(MIN(INT(($A45-1)/62)+1,5),1),5),CROQUIS_DATOS!$C$1501,CROQUIS_DATOS!$C$1505,CROQUIS_DATOS!$C$1509,CROQUIS_DATOS!$C$1513,CROQUIS_DATOS!$C$1517)=1,CROQUIS_DATOS!$C$1526,0)),(CHOOSE(MIN(MAX(MIN(INT(($A45-1)/62)+1,5),1),5),CROQUIS_DATOS!$C$1499,CROQUIS_DATOS!$C$1503,CROQUIS_DATOS!$C$1507,CROQUIS_DATOS!$C$1511,CROQUIS_DATOS!$C$1515)+CHOOSE(MIN(MAX(MIN(INT(($A45-1)/62)+1,5),1),5),CROQUIS_DATOS!$C$1500,CROQUIS_DATOS!$C$1504,CROQUIS_DATOS!$C$1508,CROQUIS_DATOS!$C$1512,CROQUIS_DATOS!$C$1516)-IF(CHOOSE(MIN(MAX(MIN(INT(($A45-1)/62)+1,5),1),5),CROQUIS_DATOS!$C$1501,CROQUIS_DATOS!$C$1505,CROQUIS_DATOS!$C$1509,CROQUIS_DATOS!$C$1513,CROQUIS_DATOS!$C$1517)=1,CROQUIS_DATOS!$C$1526,0))))*CROQUIS_DATOS!$C$1562),-1000)</f>
        <v>-1000</v>
      </c>
      <c r="Q45">
        <f>IF(AND(CROQUIS_DATOS!$C$1472=1,CROQUIS_DATOS!$C$1555=1),(CROQUIS_DATOS!$C$1564+(IF(OR(OR(MOD($A45-1,62)+1=1,IF(CHOOSE(MIN(MAX(MIN(INT(($A45-1)/62)+1,5),1),5),CROQUIS_DATOS!$C$1501,CROQUIS_DATOS!$C$1505,CROQUIS_DATOS!$C$1509,CROQUIS_DATOS!$C$1513,CROQUIS_DATOS!$C$1517)=1,CROQUIS_DATOS!$C$1557,0)=0),MOD($A45-1,62)+1&gt;2*IF(CHOOSE(MIN(MAX(MIN(INT(($A45-1)/62)+1,5),1),5),CROQUIS_DATOS!$C$1501,CROQUIS_DATOS!$C$1505,CROQUIS_DATOS!$C$1509,CROQUIS_DATOS!$C$1513,CROQUIS_DATOS!$C$1517)=1,CROQUIS_DATOS!$C$1557,0)+1),CROQUIS_DATOS!$C$1476,MIN(INT((MOD($A45-1,62)+1-2)/2)+1,MAX(IF(CHOOSE(MIN(MAX(MIN(INT(($A45-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5">
        <f>IF(AND(CROQUIS_DATOS!$C$1472=1,1),(CROQUIS_DATOS!$C$1563+(MIN(INT(($A45-1)/2)+1,CROQUIS_DATOS!$C$1558)*CROQUIS_DATOS!$C$1559)*CROQUIS_DATOS!$C$1562),-1000)</f>
        <v>66.1140583554377</v>
      </c>
      <c r="U45">
        <f>IF(AND(CROQUIS_DATOS!$C$1472=1,1),(CROQUIS_DATOS!$C$1564+(IF(INT(($A45-1)/2)+1&gt;CROQUIS_DATOS!$C$1558,IF(MOD(CROQUIS_DATOS!$C$1558,2)=1,CROQUIS_DATOS!$C$1476+CROQUIS_DATOS!$C$1528,CROQUIS_DATOS!$C$1476),IF(IF(MOD(MIN(INT(($A45-1)/2)+1,CROQUIS_DATOS!$C$1558),2)=1,MOD($A45-1,2),1-MOD($A45-1,2))=1,CROQUIS_DATOS!$C$1476+CROQUIS_DATOS!$C$1528,CROQUIS_DATOS!$C$1476)))*CROQUIS_DATOS!$C$1561*CROQUIS_DATOS!$C$1562),-1000)</f>
        <v>43</v>
      </c>
      <c r="BZ45">
        <f>IF(AND(CROQUIS_DATOS!$C$1472=1,CROQUIS_DATOS!$C$1500&gt;0,((CROQUIS_DATOS!$C$1499+CROQUIS_DATOS!$C$1500))-(CROQUIS_DATOS!$C$1499)&gt;0.5,(CROQUIS_DATOS!$C$1476)-(0)&gt;0.5),(CROQUIS_DATOS!$C$1566+(IF(IF(MOD(MIN(INT(($A45-1)/2)+1,MAX(1,INT(((((CROQUIS_DATOS!$C$1499+CROQUIS_DATOS!$C$1500))-(CROQUIS_DATOS!$C$1499))+((CROQUIS_DATOS!$C$1476)*CROQUIS_DATOS!$C$1561-(0)*CROQUIS_DATOS!$C$1561))/CROQUIS_DATOS!$C$1568-0.000001))),2)=1,IF(INT(($A45-1)/2)+1&gt;MAX(1,INT(((((CROQUIS_DATOS!$C$1499+CROQUIS_DATOS!$C$1500))-(CROQUIS_DATOS!$C$1499))+((CROQUIS_DATOS!$C$1476)*CROQUIS_DATOS!$C$1561-(0)*CROQUIS_DATOS!$C$1561))/CROQUIS_DATOS!$C$1568-0.000001)),1,MOD($A45-1,2)),1-IF(INT(($A45-1)/2)+1&gt;MAX(1,INT(((((CROQUIS_DATOS!$C$1499+CROQUIS_DATOS!$C$1500))-(CROQUIS_DATOS!$C$1499))+((CROQUIS_DATOS!$C$1476)*CROQUIS_DATOS!$C$1561-(0)*CROQUIS_DATOS!$C$1561))/CROQUIS_DATOS!$C$1568-0.000001)),1,MOD($A45-1,2)))=1,MIN((CROQUIS_DATOS!$C$1476)*CROQUIS_DATOS!$C$1561,((CROQUIS_DATOS!$C$1499+CROQUIS_DATOS!$C$1500)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45">
        <f>IF(AND(CROQUIS_DATOS!$C$1472=1,CROQUIS_DATOS!$C$1500&gt;0,((CROQUIS_DATOS!$C$1499+CROQUIS_DATOS!$C$1500))-(CROQUIS_DATOS!$C$1499)&gt;0.5,(CROQUIS_DATOS!$C$1476)-(0)&gt;0.5),(CROQUIS_DATOS!$C$1567+(IF(IF(MOD(MIN(INT(($A45-1)/2)+1,MAX(1,INT(((((CROQUIS_DATOS!$C$1499+CROQUIS_DATOS!$C$1500))-(CROQUIS_DATOS!$C$1499))+((CROQUIS_DATOS!$C$1476)*CROQUIS_DATOS!$C$1561-(0)*CROQUIS_DATOS!$C$1561))/CROQUIS_DATOS!$C$1568-0.000001))),2)=1,IF(INT(($A45-1)/2)+1&gt;MAX(1,INT(((((CROQUIS_DATOS!$C$1499+CROQUIS_DATOS!$C$1500))-(CROQUIS_DATOS!$C$1499))+((CROQUIS_DATOS!$C$1476)*CROQUIS_DATOS!$C$1561-(0)*CROQUIS_DATOS!$C$1561))/CROQUIS_DATOS!$C$1568-0.000001)),1,MOD($A45-1,2)),1-IF(INT(($A45-1)/2)+1&gt;MAX(1,INT(((((CROQUIS_DATOS!$C$1499+CROQUIS_DATOS!$C$1500))-(CROQUIS_DATOS!$C$1499))+((CROQUIS_DATOS!$C$1476)*CROQUIS_DATOS!$C$1561-(0)*CROQUIS_DATOS!$C$1561))/CROQUIS_DATOS!$C$1568-0.000001)),1,MOD($A45-1,2)))=1,MIN((CROQUIS_DATOS!$C$1476)*CROQUIS_DATOS!$C$1561,((CROQUIS_DATOS!$C$1499+CROQUIS_DATOS!$C$1500)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45">
        <f>IF(AND(CROQUIS_DATOS!$C$1472=1,CROQUIS_DATOS!$C$1504&gt;0,((CROQUIS_DATOS!$C$1503+CROQUIS_DATOS!$C$1504))-(CROQUIS_DATOS!$C$1503)&gt;0.5,(CROQUIS_DATOS!$C$1476)-(0)&gt;0.5),(CROQUIS_DATOS!$C$1566+(IF(IF(MOD(MIN(INT(($A45-1)/2)+1,MAX(1,INT(((((CROQUIS_DATOS!$C$1503+CROQUIS_DATOS!$C$1504))-(CROQUIS_DATOS!$C$1503))+((CROQUIS_DATOS!$C$1476)*CROQUIS_DATOS!$C$1561-(0)*CROQUIS_DATOS!$C$1561))/CROQUIS_DATOS!$C$1568-0.000001))),2)=1,IF(INT(($A45-1)/2)+1&gt;MAX(1,INT(((((CROQUIS_DATOS!$C$1503+CROQUIS_DATOS!$C$1504))-(CROQUIS_DATOS!$C$1503))+((CROQUIS_DATOS!$C$1476)*CROQUIS_DATOS!$C$1561-(0)*CROQUIS_DATOS!$C$1561))/CROQUIS_DATOS!$C$1568-0.000001)),1,MOD($A45-1,2)),1-IF(INT(($A45-1)/2)+1&gt;MAX(1,INT(((((CROQUIS_DATOS!$C$1503+CROQUIS_DATOS!$C$1504))-(CROQUIS_DATOS!$C$1503))+((CROQUIS_DATOS!$C$1476)*CROQUIS_DATOS!$C$1561-(0)*CROQUIS_DATOS!$C$1561))/CROQUIS_DATOS!$C$1568-0.000001)),1,MOD($A45-1,2)))=1,MIN((CROQUIS_DATOS!$C$1476)*CROQUIS_DATOS!$C$1561,((CROQUIS_DATOS!$C$1503+CROQUIS_DATOS!$C$1504)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45">
        <f>IF(AND(CROQUIS_DATOS!$C$1472=1,CROQUIS_DATOS!$C$1504&gt;0,((CROQUIS_DATOS!$C$1503+CROQUIS_DATOS!$C$1504))-(CROQUIS_DATOS!$C$1503)&gt;0.5,(CROQUIS_DATOS!$C$1476)-(0)&gt;0.5),(CROQUIS_DATOS!$C$1567+(IF(IF(MOD(MIN(INT(($A45-1)/2)+1,MAX(1,INT(((((CROQUIS_DATOS!$C$1503+CROQUIS_DATOS!$C$1504))-(CROQUIS_DATOS!$C$1503))+((CROQUIS_DATOS!$C$1476)*CROQUIS_DATOS!$C$1561-(0)*CROQUIS_DATOS!$C$1561))/CROQUIS_DATOS!$C$1568-0.000001))),2)=1,IF(INT(($A45-1)/2)+1&gt;MAX(1,INT(((((CROQUIS_DATOS!$C$1503+CROQUIS_DATOS!$C$1504))-(CROQUIS_DATOS!$C$1503))+((CROQUIS_DATOS!$C$1476)*CROQUIS_DATOS!$C$1561-(0)*CROQUIS_DATOS!$C$1561))/CROQUIS_DATOS!$C$1568-0.000001)),1,MOD($A45-1,2)),1-IF(INT(($A45-1)/2)+1&gt;MAX(1,INT(((((CROQUIS_DATOS!$C$1503+CROQUIS_DATOS!$C$1504))-(CROQUIS_DATOS!$C$1503))+((CROQUIS_DATOS!$C$1476)*CROQUIS_DATOS!$C$1561-(0)*CROQUIS_DATOS!$C$1561))/CROQUIS_DATOS!$C$1568-0.000001)),1,MOD($A45-1,2)))=1,MIN((CROQUIS_DATOS!$C$1476)*CROQUIS_DATOS!$C$1561,((CROQUIS_DATOS!$C$1503+CROQUIS_DATOS!$C$1504)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45-1)/2)+1,MAX(1,INT(((((CROQUIS_DATOS!$C$1503+CROQUIS_DATOS!$C$1504))-(CROQUIS_DATOS!$C$1503))+((CROQUIS_DATOS!$C$1476)*CROQUIS_DATOS!$C$1561-(0)*CROQUIS_DATOS!$C$1561))/CROQUIS_DATOS!$C$1568-0.000001)))*CROQUIS_DATOS!$C$1568))))*CROQUIS_DATOS!$C$1565),-1000)</f>
        <v>19.151724137931</v>
      </c>
      <c r="CD45">
        <f>IF(AND(CROQUIS_DATOS!$C$1472=1,CROQUIS_DATOS!$C$1508&gt;0,((CROQUIS_DATOS!$C$1507+CROQUIS_DATOS!$C$1508))-(CROQUIS_DATOS!$C$1507)&gt;0.5,(CROQUIS_DATOS!$C$1476)-(0)&gt;0.5),(CROQUIS_DATOS!$C$1566+(IF(IF(MOD(MIN(INT(($A45-1)/2)+1,MAX(1,INT(((((CROQUIS_DATOS!$C$1507+CROQUIS_DATOS!$C$1508))-(CROQUIS_DATOS!$C$1507))+((CROQUIS_DATOS!$C$1476)*CROQUIS_DATOS!$C$1561-(0)*CROQUIS_DATOS!$C$1561))/CROQUIS_DATOS!$C$1568-0.000001))),2)=1,IF(INT(($A45-1)/2)+1&gt;MAX(1,INT(((((CROQUIS_DATOS!$C$1507+CROQUIS_DATOS!$C$1508))-(CROQUIS_DATOS!$C$1507))+((CROQUIS_DATOS!$C$1476)*CROQUIS_DATOS!$C$1561-(0)*CROQUIS_DATOS!$C$1561))/CROQUIS_DATOS!$C$1568-0.000001)),1,MOD($A45-1,2)),1-IF(INT(($A45-1)/2)+1&gt;MAX(1,INT(((((CROQUIS_DATOS!$C$1507+CROQUIS_DATOS!$C$1508))-(CROQUIS_DATOS!$C$1507))+((CROQUIS_DATOS!$C$1476)*CROQUIS_DATOS!$C$1561-(0)*CROQUIS_DATOS!$C$1561))/CROQUIS_DATOS!$C$1568-0.000001)),1,MOD($A45-1,2)))=1,MIN((CROQUIS_DATOS!$C$1476)*CROQUIS_DATOS!$C$1561,((CROQUIS_DATOS!$C$1507+CROQUIS_DATOS!$C$1508)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45">
        <f>IF(AND(CROQUIS_DATOS!$C$1472=1,CROQUIS_DATOS!$C$1508&gt;0,((CROQUIS_DATOS!$C$1507+CROQUIS_DATOS!$C$1508))-(CROQUIS_DATOS!$C$1507)&gt;0.5,(CROQUIS_DATOS!$C$1476)-(0)&gt;0.5),(CROQUIS_DATOS!$C$1567+(IF(IF(MOD(MIN(INT(($A45-1)/2)+1,MAX(1,INT(((((CROQUIS_DATOS!$C$1507+CROQUIS_DATOS!$C$1508))-(CROQUIS_DATOS!$C$1507))+((CROQUIS_DATOS!$C$1476)*CROQUIS_DATOS!$C$1561-(0)*CROQUIS_DATOS!$C$1561))/CROQUIS_DATOS!$C$1568-0.000001))),2)=1,IF(INT(($A45-1)/2)+1&gt;MAX(1,INT(((((CROQUIS_DATOS!$C$1507+CROQUIS_DATOS!$C$1508))-(CROQUIS_DATOS!$C$1507))+((CROQUIS_DATOS!$C$1476)*CROQUIS_DATOS!$C$1561-(0)*CROQUIS_DATOS!$C$1561))/CROQUIS_DATOS!$C$1568-0.000001)),1,MOD($A45-1,2)),1-IF(INT(($A45-1)/2)+1&gt;MAX(1,INT(((((CROQUIS_DATOS!$C$1507+CROQUIS_DATOS!$C$1508))-(CROQUIS_DATOS!$C$1507))+((CROQUIS_DATOS!$C$1476)*CROQUIS_DATOS!$C$1561-(0)*CROQUIS_DATOS!$C$1561))/CROQUIS_DATOS!$C$1568-0.000001)),1,MOD($A45-1,2)))=1,MIN((CROQUIS_DATOS!$C$1476)*CROQUIS_DATOS!$C$1561,((CROQUIS_DATOS!$C$1507+CROQUIS_DATOS!$C$1508)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45-1)/2)+1,MAX(1,INT(((((CROQUIS_DATOS!$C$1507+CROQUIS_DATOS!$C$1508))-(CROQUIS_DATOS!$C$1507))+((CROQUIS_DATOS!$C$1476)*CROQUIS_DATOS!$C$1561-(0)*CROQUIS_DATOS!$C$1561))/CROQUIS_DATOS!$C$1568-0.000001)))*CROQUIS_DATOS!$C$1568))))*CROQUIS_DATOS!$C$1565),-1000)</f>
        <v>21.2896551724138</v>
      </c>
      <c r="CF45">
        <f>IF(AND(CROQUIS_DATOS!$C$1472=1,CROQUIS_DATOS!$C$1512&gt;0,((CROQUIS_DATOS!$C$1511+CROQUIS_DATOS!$C$1512))-(CROQUIS_DATOS!$C$1511)&gt;0.5,(CROQUIS_DATOS!$C$1476)-(0)&gt;0.5),(CROQUIS_DATOS!$C$1566+(IF(IF(MOD(MIN(INT(($A45-1)/2)+1,MAX(1,INT(((((CROQUIS_DATOS!$C$1511+CROQUIS_DATOS!$C$1512))-(CROQUIS_DATOS!$C$1511))+((CROQUIS_DATOS!$C$1476)*CROQUIS_DATOS!$C$1561-(0)*CROQUIS_DATOS!$C$1561))/CROQUIS_DATOS!$C$1568-0.000001))),2)=1,IF(INT(($A45-1)/2)+1&gt;MAX(1,INT(((((CROQUIS_DATOS!$C$1511+CROQUIS_DATOS!$C$1512))-(CROQUIS_DATOS!$C$1511))+((CROQUIS_DATOS!$C$1476)*CROQUIS_DATOS!$C$1561-(0)*CROQUIS_DATOS!$C$1561))/CROQUIS_DATOS!$C$1568-0.000001)),1,MOD($A45-1,2)),1-IF(INT(($A45-1)/2)+1&gt;MAX(1,INT(((((CROQUIS_DATOS!$C$1511+CROQUIS_DATOS!$C$1512))-(CROQUIS_DATOS!$C$1511))+((CROQUIS_DATOS!$C$1476)*CROQUIS_DATOS!$C$1561-(0)*CROQUIS_DATOS!$C$1561))/CROQUIS_DATOS!$C$1568-0.000001)),1,MOD($A45-1,2)))=1,MIN((CROQUIS_DATOS!$C$1476)*CROQUIS_DATOS!$C$1561,((CROQUIS_DATOS!$C$1511+CROQUIS_DATOS!$C$1512)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5">
        <f>IF(AND(CROQUIS_DATOS!$C$1472=1,CROQUIS_DATOS!$C$1512&gt;0,((CROQUIS_DATOS!$C$1511+CROQUIS_DATOS!$C$1512))-(CROQUIS_DATOS!$C$1511)&gt;0.5,(CROQUIS_DATOS!$C$1476)-(0)&gt;0.5),(CROQUIS_DATOS!$C$1567+(IF(IF(MOD(MIN(INT(($A45-1)/2)+1,MAX(1,INT(((((CROQUIS_DATOS!$C$1511+CROQUIS_DATOS!$C$1512))-(CROQUIS_DATOS!$C$1511))+((CROQUIS_DATOS!$C$1476)*CROQUIS_DATOS!$C$1561-(0)*CROQUIS_DATOS!$C$1561))/CROQUIS_DATOS!$C$1568-0.000001))),2)=1,IF(INT(($A45-1)/2)+1&gt;MAX(1,INT(((((CROQUIS_DATOS!$C$1511+CROQUIS_DATOS!$C$1512))-(CROQUIS_DATOS!$C$1511))+((CROQUIS_DATOS!$C$1476)*CROQUIS_DATOS!$C$1561-(0)*CROQUIS_DATOS!$C$1561))/CROQUIS_DATOS!$C$1568-0.000001)),1,MOD($A45-1,2)),1-IF(INT(($A45-1)/2)+1&gt;MAX(1,INT(((((CROQUIS_DATOS!$C$1511+CROQUIS_DATOS!$C$1512))-(CROQUIS_DATOS!$C$1511))+((CROQUIS_DATOS!$C$1476)*CROQUIS_DATOS!$C$1561-(0)*CROQUIS_DATOS!$C$1561))/CROQUIS_DATOS!$C$1568-0.000001)),1,MOD($A45-1,2)))=1,MIN((CROQUIS_DATOS!$C$1476)*CROQUIS_DATOS!$C$1561,((CROQUIS_DATOS!$C$1511+CROQUIS_DATOS!$C$1512)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5">
        <f>IF(AND(CROQUIS_DATOS!$C$1472=1,CROQUIS_DATOS!$C$1516&gt;0,((CROQUIS_DATOS!$C$1515+CROQUIS_DATOS!$C$1516))-(CROQUIS_DATOS!$C$1515)&gt;0.5,(CROQUIS_DATOS!$C$1476)-(0)&gt;0.5),(CROQUIS_DATOS!$C$1566+(IF(IF(MOD(MIN(INT(($A45-1)/2)+1,MAX(1,INT(((((CROQUIS_DATOS!$C$1515+CROQUIS_DATOS!$C$1516))-(CROQUIS_DATOS!$C$1515))+((CROQUIS_DATOS!$C$1476)*CROQUIS_DATOS!$C$1561-(0)*CROQUIS_DATOS!$C$1561))/CROQUIS_DATOS!$C$1568-0.000001))),2)=1,IF(INT(($A45-1)/2)+1&gt;MAX(1,INT(((((CROQUIS_DATOS!$C$1515+CROQUIS_DATOS!$C$1516))-(CROQUIS_DATOS!$C$1515))+((CROQUIS_DATOS!$C$1476)*CROQUIS_DATOS!$C$1561-(0)*CROQUIS_DATOS!$C$1561))/CROQUIS_DATOS!$C$1568-0.000001)),1,MOD($A45-1,2)),1-IF(INT(($A45-1)/2)+1&gt;MAX(1,INT(((((CROQUIS_DATOS!$C$1515+CROQUIS_DATOS!$C$1516))-(CROQUIS_DATOS!$C$1515))+((CROQUIS_DATOS!$C$1476)*CROQUIS_DATOS!$C$1561-(0)*CROQUIS_DATOS!$C$1561))/CROQUIS_DATOS!$C$1568-0.000001)),1,MOD($A45-1,2)))=1,MIN((CROQUIS_DATOS!$C$1476)*CROQUIS_DATOS!$C$1561,((CROQUIS_DATOS!$C$1515+CROQUIS_DATOS!$C$1516)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5">
        <f>IF(AND(CROQUIS_DATOS!$C$1472=1,CROQUIS_DATOS!$C$1516&gt;0,((CROQUIS_DATOS!$C$1515+CROQUIS_DATOS!$C$1516))-(CROQUIS_DATOS!$C$1515)&gt;0.5,(CROQUIS_DATOS!$C$1476)-(0)&gt;0.5),(CROQUIS_DATOS!$C$1567+(IF(IF(MOD(MIN(INT(($A45-1)/2)+1,MAX(1,INT(((((CROQUIS_DATOS!$C$1515+CROQUIS_DATOS!$C$1516))-(CROQUIS_DATOS!$C$1515))+((CROQUIS_DATOS!$C$1476)*CROQUIS_DATOS!$C$1561-(0)*CROQUIS_DATOS!$C$1561))/CROQUIS_DATOS!$C$1568-0.000001))),2)=1,IF(INT(($A45-1)/2)+1&gt;MAX(1,INT(((((CROQUIS_DATOS!$C$1515+CROQUIS_DATOS!$C$1516))-(CROQUIS_DATOS!$C$1515))+((CROQUIS_DATOS!$C$1476)*CROQUIS_DATOS!$C$1561-(0)*CROQUIS_DATOS!$C$1561))/CROQUIS_DATOS!$C$1568-0.000001)),1,MOD($A45-1,2)),1-IF(INT(($A45-1)/2)+1&gt;MAX(1,INT(((((CROQUIS_DATOS!$C$1515+CROQUIS_DATOS!$C$1516))-(CROQUIS_DATOS!$C$1515))+((CROQUIS_DATOS!$C$1476)*CROQUIS_DATOS!$C$1561-(0)*CROQUIS_DATOS!$C$1561))/CROQUIS_DATOS!$C$1568-0.000001)),1,MOD($A45-1,2)))=1,MIN((CROQUIS_DATOS!$C$1476)*CROQUIS_DATOS!$C$1561,((CROQUIS_DATOS!$C$1515+CROQUIS_DATOS!$C$1516)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5">
        <f>IF(AND(CROQUIS_DATOS!$C$1472=1,CROQUIS_DATOS!$C$1478&gt;=1,((CROQUIS_DATOS!$C$1479+CROQUIS_DATOS!$C$1480))-(CROQUIS_DATOS!$C$1479)&gt;0.5,(CROQUIS_DATOS!$C$1481)-(0)&gt;0.5),(CROQUIS_DATOS!$C$1566+(IF(IF(MOD(MIN(INT(($A45-1)/2)+1,MAX(1,INT(((((CROQUIS_DATOS!$C$1479+CROQUIS_DATOS!$C$1480))-(CROQUIS_DATOS!$C$1479))+((CROQUIS_DATOS!$C$1481)*CROQUIS_DATOS!$C$1561-(0)*CROQUIS_DATOS!$C$1561))/CROQUIS_DATOS!$C$1568-0.000001))),2)=1,IF(INT(($A45-1)/2)+1&gt;MAX(1,INT(((((CROQUIS_DATOS!$C$1479+CROQUIS_DATOS!$C$1480))-(CROQUIS_DATOS!$C$1479))+((CROQUIS_DATOS!$C$1481)*CROQUIS_DATOS!$C$1561-(0)*CROQUIS_DATOS!$C$1561))/CROQUIS_DATOS!$C$1568-0.000001)),1,MOD($A45-1,2)),1-IF(INT(($A45-1)/2)+1&gt;MAX(1,INT(((((CROQUIS_DATOS!$C$1479+CROQUIS_DATOS!$C$1480))-(CROQUIS_DATOS!$C$1479))+((CROQUIS_DATOS!$C$1481)*CROQUIS_DATOS!$C$1561-(0)*CROQUIS_DATOS!$C$1561))/CROQUIS_DATOS!$C$1568-0.000001)),1,MOD($A45-1,2)))=1,MIN((CROQUIS_DATOS!$C$1481)*CROQUIS_DATOS!$C$1561,((CROQUIS_DATOS!$C$1479+CROQUIS_DATOS!$C$1480)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5">
        <f>IF(AND(CROQUIS_DATOS!$C$1472=1,CROQUIS_DATOS!$C$1478&gt;=1,((CROQUIS_DATOS!$C$1479+CROQUIS_DATOS!$C$1480))-(CROQUIS_DATOS!$C$1479)&gt;0.5,(CROQUIS_DATOS!$C$1481)-(0)&gt;0.5),(CROQUIS_DATOS!$C$1567+(IF(IF(MOD(MIN(INT(($A45-1)/2)+1,MAX(1,INT(((((CROQUIS_DATOS!$C$1479+CROQUIS_DATOS!$C$1480))-(CROQUIS_DATOS!$C$1479))+((CROQUIS_DATOS!$C$1481)*CROQUIS_DATOS!$C$1561-(0)*CROQUIS_DATOS!$C$1561))/CROQUIS_DATOS!$C$1568-0.000001))),2)=1,IF(INT(($A45-1)/2)+1&gt;MAX(1,INT(((((CROQUIS_DATOS!$C$1479+CROQUIS_DATOS!$C$1480))-(CROQUIS_DATOS!$C$1479))+((CROQUIS_DATOS!$C$1481)*CROQUIS_DATOS!$C$1561-(0)*CROQUIS_DATOS!$C$1561))/CROQUIS_DATOS!$C$1568-0.000001)),1,MOD($A45-1,2)),1-IF(INT(($A45-1)/2)+1&gt;MAX(1,INT(((((CROQUIS_DATOS!$C$1479+CROQUIS_DATOS!$C$1480))-(CROQUIS_DATOS!$C$1479))+((CROQUIS_DATOS!$C$1481)*CROQUIS_DATOS!$C$1561-(0)*CROQUIS_DATOS!$C$1561))/CROQUIS_DATOS!$C$1568-0.000001)),1,MOD($A45-1,2)))=1,MIN((CROQUIS_DATOS!$C$1481)*CROQUIS_DATOS!$C$1561,((CROQUIS_DATOS!$C$1479+CROQUIS_DATOS!$C$1480)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5">
        <f>IF(AND(CROQUIS_DATOS!$C$1472=1,CROQUIS_DATOS!$C$1478&gt;=1,((CROQUIS_DATOS!$C$1479+CROQUIS_DATOS!$C$1480))-(CROQUIS_DATOS!$C$1479)&gt;0.5,(CROQUIS_DATOS!$C$1476)-((CROQUIS_DATOS!$C$1481+CROQUIS_DATOS!$C$1482))&gt;0.5),(CROQUIS_DATOS!$C$1566+(IF(IF(MOD(MIN(INT(($A45-1)/2)+1,MAX(1,INT(((((CROQUIS_DATOS!$C$1479+CROQUIS_DATOS!$C$1480))-(CROQUIS_DATOS!$C$1479))+((CROQUIS_DATOS!$C$1476)*CROQUIS_DATOS!$C$1561-((CROQUIS_DATOS!$C$1481+CROQUIS_DATOS!$C$1482))*CROQUIS_DATOS!$C$1561))/CROQUIS_DATOS!$C$1568-0.000001))),2)=1,IF(INT(($A45-1)/2)+1&gt;MAX(1,INT(((((CROQUIS_DATOS!$C$1479+CROQUIS_DATOS!$C$1480))-(CROQUIS_DATOS!$C$1479))+((CROQUIS_DATOS!$C$1476)*CROQUIS_DATOS!$C$1561-((CROQUIS_DATOS!$C$1481+CROQUIS_DATOS!$C$1482))*CROQUIS_DATOS!$C$1561))/CROQUIS_DATOS!$C$1568-0.000001)),1,MOD($A45-1,2)),1-IF(INT(($A45-1)/2)+1&gt;MAX(1,INT(((((CROQUIS_DATOS!$C$1479+CROQUIS_DATOS!$C$1480))-(CROQUIS_DATOS!$C$1479))+((CROQUIS_DATOS!$C$1476)*CROQUIS_DATOS!$C$1561-((CROQUIS_DATOS!$C$1481+CROQUIS_DATOS!$C$1482))*CROQUIS_DATOS!$C$1561))/CROQUIS_DATOS!$C$1568-0.000001)),1,MOD($A45-1,2)))=1,MIN((CROQUIS_DATOS!$C$1476)*CROQUIS_DATOS!$C$1561,((CROQUIS_DATOS!$C$1479+CROQUIS_DATOS!$C$1480)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5">
        <f>IF(AND(CROQUIS_DATOS!$C$1472=1,CROQUIS_DATOS!$C$1478&gt;=1,((CROQUIS_DATOS!$C$1479+CROQUIS_DATOS!$C$1480))-(CROQUIS_DATOS!$C$1479)&gt;0.5,(CROQUIS_DATOS!$C$1476)-((CROQUIS_DATOS!$C$1481+CROQUIS_DATOS!$C$1482))&gt;0.5),(CROQUIS_DATOS!$C$1567+(IF(IF(MOD(MIN(INT(($A45-1)/2)+1,MAX(1,INT(((((CROQUIS_DATOS!$C$1479+CROQUIS_DATOS!$C$1480))-(CROQUIS_DATOS!$C$1479))+((CROQUIS_DATOS!$C$1476)*CROQUIS_DATOS!$C$1561-((CROQUIS_DATOS!$C$1481+CROQUIS_DATOS!$C$1482))*CROQUIS_DATOS!$C$1561))/CROQUIS_DATOS!$C$1568-0.000001))),2)=1,IF(INT(($A45-1)/2)+1&gt;MAX(1,INT(((((CROQUIS_DATOS!$C$1479+CROQUIS_DATOS!$C$1480))-(CROQUIS_DATOS!$C$1479))+((CROQUIS_DATOS!$C$1476)*CROQUIS_DATOS!$C$1561-((CROQUIS_DATOS!$C$1481+CROQUIS_DATOS!$C$1482))*CROQUIS_DATOS!$C$1561))/CROQUIS_DATOS!$C$1568-0.000001)),1,MOD($A45-1,2)),1-IF(INT(($A45-1)/2)+1&gt;MAX(1,INT(((((CROQUIS_DATOS!$C$1479+CROQUIS_DATOS!$C$1480))-(CROQUIS_DATOS!$C$1479))+((CROQUIS_DATOS!$C$1476)*CROQUIS_DATOS!$C$1561-((CROQUIS_DATOS!$C$1481+CROQUIS_DATOS!$C$1482))*CROQUIS_DATOS!$C$1561))/CROQUIS_DATOS!$C$1568-0.000001)),1,MOD($A45-1,2)))=1,MIN((CROQUIS_DATOS!$C$1476)*CROQUIS_DATOS!$C$1561,((CROQUIS_DATOS!$C$1479+CROQUIS_DATOS!$C$1480)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5">
        <f>IF(AND(CROQUIS_DATOS!$C$1472=1,CROQUIS_DATOS!$C$1478&gt;=2,((CROQUIS_DATOS!$C$1484+CROQUIS_DATOS!$C$1485))-(CROQUIS_DATOS!$C$1484)&gt;0.5,(CROQUIS_DATOS!$C$1486)-(0)&gt;0.5),(CROQUIS_DATOS!$C$1566+(IF(IF(MOD(MIN(INT(($A45-1)/2)+1,MAX(1,INT(((((CROQUIS_DATOS!$C$1484+CROQUIS_DATOS!$C$1485))-(CROQUIS_DATOS!$C$1484))+((CROQUIS_DATOS!$C$1486)*CROQUIS_DATOS!$C$1561-(0)*CROQUIS_DATOS!$C$1561))/CROQUIS_DATOS!$C$1568-0.000001))),2)=1,IF(INT(($A45-1)/2)+1&gt;MAX(1,INT(((((CROQUIS_DATOS!$C$1484+CROQUIS_DATOS!$C$1485))-(CROQUIS_DATOS!$C$1484))+((CROQUIS_DATOS!$C$1486)*CROQUIS_DATOS!$C$1561-(0)*CROQUIS_DATOS!$C$1561))/CROQUIS_DATOS!$C$1568-0.000001)),1,MOD($A45-1,2)),1-IF(INT(($A45-1)/2)+1&gt;MAX(1,INT(((((CROQUIS_DATOS!$C$1484+CROQUIS_DATOS!$C$1485))-(CROQUIS_DATOS!$C$1484))+((CROQUIS_DATOS!$C$1486)*CROQUIS_DATOS!$C$1561-(0)*CROQUIS_DATOS!$C$1561))/CROQUIS_DATOS!$C$1568-0.000001)),1,MOD($A45-1,2)))=1,MIN((CROQUIS_DATOS!$C$1486)*CROQUIS_DATOS!$C$1561,((CROQUIS_DATOS!$C$1484+CROQUIS_DATOS!$C$1485)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5">
        <f>IF(AND(CROQUIS_DATOS!$C$1472=1,CROQUIS_DATOS!$C$1478&gt;=2,((CROQUIS_DATOS!$C$1484+CROQUIS_DATOS!$C$1485))-(CROQUIS_DATOS!$C$1484)&gt;0.5,(CROQUIS_DATOS!$C$1486)-(0)&gt;0.5),(CROQUIS_DATOS!$C$1567+(IF(IF(MOD(MIN(INT(($A45-1)/2)+1,MAX(1,INT(((((CROQUIS_DATOS!$C$1484+CROQUIS_DATOS!$C$1485))-(CROQUIS_DATOS!$C$1484))+((CROQUIS_DATOS!$C$1486)*CROQUIS_DATOS!$C$1561-(0)*CROQUIS_DATOS!$C$1561))/CROQUIS_DATOS!$C$1568-0.000001))),2)=1,IF(INT(($A45-1)/2)+1&gt;MAX(1,INT(((((CROQUIS_DATOS!$C$1484+CROQUIS_DATOS!$C$1485))-(CROQUIS_DATOS!$C$1484))+((CROQUIS_DATOS!$C$1486)*CROQUIS_DATOS!$C$1561-(0)*CROQUIS_DATOS!$C$1561))/CROQUIS_DATOS!$C$1568-0.000001)),1,MOD($A45-1,2)),1-IF(INT(($A45-1)/2)+1&gt;MAX(1,INT(((((CROQUIS_DATOS!$C$1484+CROQUIS_DATOS!$C$1485))-(CROQUIS_DATOS!$C$1484))+((CROQUIS_DATOS!$C$1486)*CROQUIS_DATOS!$C$1561-(0)*CROQUIS_DATOS!$C$1561))/CROQUIS_DATOS!$C$1568-0.000001)),1,MOD($A45-1,2)))=1,MIN((CROQUIS_DATOS!$C$1486)*CROQUIS_DATOS!$C$1561,((CROQUIS_DATOS!$C$1484+CROQUIS_DATOS!$C$1485)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5">
        <f>IF(AND(CROQUIS_DATOS!$C$1472=1,CROQUIS_DATOS!$C$1478&gt;=2,((CROQUIS_DATOS!$C$1484+CROQUIS_DATOS!$C$1485))-(CROQUIS_DATOS!$C$1484)&gt;0.5,(CROQUIS_DATOS!$C$1476)-((CROQUIS_DATOS!$C$1486+CROQUIS_DATOS!$C$1487))&gt;0.5),(CROQUIS_DATOS!$C$1566+(IF(IF(MOD(MIN(INT(($A45-1)/2)+1,MAX(1,INT(((((CROQUIS_DATOS!$C$1484+CROQUIS_DATOS!$C$1485))-(CROQUIS_DATOS!$C$1484))+((CROQUIS_DATOS!$C$1476)*CROQUIS_DATOS!$C$1561-((CROQUIS_DATOS!$C$1486+CROQUIS_DATOS!$C$1487))*CROQUIS_DATOS!$C$1561))/CROQUIS_DATOS!$C$1568-0.000001))),2)=1,IF(INT(($A45-1)/2)+1&gt;MAX(1,INT(((((CROQUIS_DATOS!$C$1484+CROQUIS_DATOS!$C$1485))-(CROQUIS_DATOS!$C$1484))+((CROQUIS_DATOS!$C$1476)*CROQUIS_DATOS!$C$1561-((CROQUIS_DATOS!$C$1486+CROQUIS_DATOS!$C$1487))*CROQUIS_DATOS!$C$1561))/CROQUIS_DATOS!$C$1568-0.000001)),1,MOD($A45-1,2)),1-IF(INT(($A45-1)/2)+1&gt;MAX(1,INT(((((CROQUIS_DATOS!$C$1484+CROQUIS_DATOS!$C$1485))-(CROQUIS_DATOS!$C$1484))+((CROQUIS_DATOS!$C$1476)*CROQUIS_DATOS!$C$1561-((CROQUIS_DATOS!$C$1486+CROQUIS_DATOS!$C$1487))*CROQUIS_DATOS!$C$1561))/CROQUIS_DATOS!$C$1568-0.000001)),1,MOD($A45-1,2)))=1,MIN((CROQUIS_DATOS!$C$1476)*CROQUIS_DATOS!$C$1561,((CROQUIS_DATOS!$C$1484+CROQUIS_DATOS!$C$1485)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5">
        <f>IF(AND(CROQUIS_DATOS!$C$1472=1,CROQUIS_DATOS!$C$1478&gt;=2,((CROQUIS_DATOS!$C$1484+CROQUIS_DATOS!$C$1485))-(CROQUIS_DATOS!$C$1484)&gt;0.5,(CROQUIS_DATOS!$C$1476)-((CROQUIS_DATOS!$C$1486+CROQUIS_DATOS!$C$1487))&gt;0.5),(CROQUIS_DATOS!$C$1567+(IF(IF(MOD(MIN(INT(($A45-1)/2)+1,MAX(1,INT(((((CROQUIS_DATOS!$C$1484+CROQUIS_DATOS!$C$1485))-(CROQUIS_DATOS!$C$1484))+((CROQUIS_DATOS!$C$1476)*CROQUIS_DATOS!$C$1561-((CROQUIS_DATOS!$C$1486+CROQUIS_DATOS!$C$1487))*CROQUIS_DATOS!$C$1561))/CROQUIS_DATOS!$C$1568-0.000001))),2)=1,IF(INT(($A45-1)/2)+1&gt;MAX(1,INT(((((CROQUIS_DATOS!$C$1484+CROQUIS_DATOS!$C$1485))-(CROQUIS_DATOS!$C$1484))+((CROQUIS_DATOS!$C$1476)*CROQUIS_DATOS!$C$1561-((CROQUIS_DATOS!$C$1486+CROQUIS_DATOS!$C$1487))*CROQUIS_DATOS!$C$1561))/CROQUIS_DATOS!$C$1568-0.000001)),1,MOD($A45-1,2)),1-IF(INT(($A45-1)/2)+1&gt;MAX(1,INT(((((CROQUIS_DATOS!$C$1484+CROQUIS_DATOS!$C$1485))-(CROQUIS_DATOS!$C$1484))+((CROQUIS_DATOS!$C$1476)*CROQUIS_DATOS!$C$1561-((CROQUIS_DATOS!$C$1486+CROQUIS_DATOS!$C$1487))*CROQUIS_DATOS!$C$1561))/CROQUIS_DATOS!$C$1568-0.000001)),1,MOD($A45-1,2)))=1,MIN((CROQUIS_DATOS!$C$1476)*CROQUIS_DATOS!$C$1561,((CROQUIS_DATOS!$C$1484+CROQUIS_DATOS!$C$1485)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5">
        <f>IF(AND(CROQUIS_DATOS!$C$1472=1,CROQUIS_DATOS!$C$1478&gt;=3,((CROQUIS_DATOS!$C$1489+CROQUIS_DATOS!$C$1490))-(CROQUIS_DATOS!$C$1489)&gt;0.5,(CROQUIS_DATOS!$C$1491)-(0)&gt;0.5),(CROQUIS_DATOS!$C$1566+(IF(IF(MOD(MIN(INT(($A45-1)/2)+1,MAX(1,INT(((((CROQUIS_DATOS!$C$1489+CROQUIS_DATOS!$C$1490))-(CROQUIS_DATOS!$C$1489))+((CROQUIS_DATOS!$C$1491)*CROQUIS_DATOS!$C$1561-(0)*CROQUIS_DATOS!$C$1561))/CROQUIS_DATOS!$C$1568-0.000001))),2)=1,IF(INT(($A45-1)/2)+1&gt;MAX(1,INT(((((CROQUIS_DATOS!$C$1489+CROQUIS_DATOS!$C$1490))-(CROQUIS_DATOS!$C$1489))+((CROQUIS_DATOS!$C$1491)*CROQUIS_DATOS!$C$1561-(0)*CROQUIS_DATOS!$C$1561))/CROQUIS_DATOS!$C$1568-0.000001)),1,MOD($A45-1,2)),1-IF(INT(($A45-1)/2)+1&gt;MAX(1,INT(((((CROQUIS_DATOS!$C$1489+CROQUIS_DATOS!$C$1490))-(CROQUIS_DATOS!$C$1489))+((CROQUIS_DATOS!$C$1491)*CROQUIS_DATOS!$C$1561-(0)*CROQUIS_DATOS!$C$1561))/CROQUIS_DATOS!$C$1568-0.000001)),1,MOD($A45-1,2)))=1,MIN((CROQUIS_DATOS!$C$1491)*CROQUIS_DATOS!$C$1561,((CROQUIS_DATOS!$C$1489+CROQUIS_DATOS!$C$1490)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5">
        <f>IF(AND(CROQUIS_DATOS!$C$1472=1,CROQUIS_DATOS!$C$1478&gt;=3,((CROQUIS_DATOS!$C$1489+CROQUIS_DATOS!$C$1490))-(CROQUIS_DATOS!$C$1489)&gt;0.5,(CROQUIS_DATOS!$C$1491)-(0)&gt;0.5),(CROQUIS_DATOS!$C$1567+(IF(IF(MOD(MIN(INT(($A45-1)/2)+1,MAX(1,INT(((((CROQUIS_DATOS!$C$1489+CROQUIS_DATOS!$C$1490))-(CROQUIS_DATOS!$C$1489))+((CROQUIS_DATOS!$C$1491)*CROQUIS_DATOS!$C$1561-(0)*CROQUIS_DATOS!$C$1561))/CROQUIS_DATOS!$C$1568-0.000001))),2)=1,IF(INT(($A45-1)/2)+1&gt;MAX(1,INT(((((CROQUIS_DATOS!$C$1489+CROQUIS_DATOS!$C$1490))-(CROQUIS_DATOS!$C$1489))+((CROQUIS_DATOS!$C$1491)*CROQUIS_DATOS!$C$1561-(0)*CROQUIS_DATOS!$C$1561))/CROQUIS_DATOS!$C$1568-0.000001)),1,MOD($A45-1,2)),1-IF(INT(($A45-1)/2)+1&gt;MAX(1,INT(((((CROQUIS_DATOS!$C$1489+CROQUIS_DATOS!$C$1490))-(CROQUIS_DATOS!$C$1489))+((CROQUIS_DATOS!$C$1491)*CROQUIS_DATOS!$C$1561-(0)*CROQUIS_DATOS!$C$1561))/CROQUIS_DATOS!$C$1568-0.000001)),1,MOD($A45-1,2)))=1,MIN((CROQUIS_DATOS!$C$1491)*CROQUIS_DATOS!$C$1561,((CROQUIS_DATOS!$C$1489+CROQUIS_DATOS!$C$1490)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5">
        <f>IF(AND(CROQUIS_DATOS!$C$1472=1,CROQUIS_DATOS!$C$1478&gt;=3,((CROQUIS_DATOS!$C$1489+CROQUIS_DATOS!$C$1490))-(CROQUIS_DATOS!$C$1489)&gt;0.5,(CROQUIS_DATOS!$C$1476)-((CROQUIS_DATOS!$C$1491+CROQUIS_DATOS!$C$1492))&gt;0.5),(CROQUIS_DATOS!$C$1566+(IF(IF(MOD(MIN(INT(($A45-1)/2)+1,MAX(1,INT(((((CROQUIS_DATOS!$C$1489+CROQUIS_DATOS!$C$1490))-(CROQUIS_DATOS!$C$1489))+((CROQUIS_DATOS!$C$1476)*CROQUIS_DATOS!$C$1561-((CROQUIS_DATOS!$C$1491+CROQUIS_DATOS!$C$1492))*CROQUIS_DATOS!$C$1561))/CROQUIS_DATOS!$C$1568-0.000001))),2)=1,IF(INT(($A45-1)/2)+1&gt;MAX(1,INT(((((CROQUIS_DATOS!$C$1489+CROQUIS_DATOS!$C$1490))-(CROQUIS_DATOS!$C$1489))+((CROQUIS_DATOS!$C$1476)*CROQUIS_DATOS!$C$1561-((CROQUIS_DATOS!$C$1491+CROQUIS_DATOS!$C$1492))*CROQUIS_DATOS!$C$1561))/CROQUIS_DATOS!$C$1568-0.000001)),1,MOD($A45-1,2)),1-IF(INT(($A45-1)/2)+1&gt;MAX(1,INT(((((CROQUIS_DATOS!$C$1489+CROQUIS_DATOS!$C$1490))-(CROQUIS_DATOS!$C$1489))+((CROQUIS_DATOS!$C$1476)*CROQUIS_DATOS!$C$1561-((CROQUIS_DATOS!$C$1491+CROQUIS_DATOS!$C$1492))*CROQUIS_DATOS!$C$1561))/CROQUIS_DATOS!$C$1568-0.000001)),1,MOD($A45-1,2)))=1,MIN((CROQUIS_DATOS!$C$1476)*CROQUIS_DATOS!$C$1561,((CROQUIS_DATOS!$C$1489+CROQUIS_DATOS!$C$1490)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5">
        <f>IF(AND(CROQUIS_DATOS!$C$1472=1,CROQUIS_DATOS!$C$1478&gt;=3,((CROQUIS_DATOS!$C$1489+CROQUIS_DATOS!$C$1490))-(CROQUIS_DATOS!$C$1489)&gt;0.5,(CROQUIS_DATOS!$C$1476)-((CROQUIS_DATOS!$C$1491+CROQUIS_DATOS!$C$1492))&gt;0.5),(CROQUIS_DATOS!$C$1567+(IF(IF(MOD(MIN(INT(($A45-1)/2)+1,MAX(1,INT(((((CROQUIS_DATOS!$C$1489+CROQUIS_DATOS!$C$1490))-(CROQUIS_DATOS!$C$1489))+((CROQUIS_DATOS!$C$1476)*CROQUIS_DATOS!$C$1561-((CROQUIS_DATOS!$C$1491+CROQUIS_DATOS!$C$1492))*CROQUIS_DATOS!$C$1561))/CROQUIS_DATOS!$C$1568-0.000001))),2)=1,IF(INT(($A45-1)/2)+1&gt;MAX(1,INT(((((CROQUIS_DATOS!$C$1489+CROQUIS_DATOS!$C$1490))-(CROQUIS_DATOS!$C$1489))+((CROQUIS_DATOS!$C$1476)*CROQUIS_DATOS!$C$1561-((CROQUIS_DATOS!$C$1491+CROQUIS_DATOS!$C$1492))*CROQUIS_DATOS!$C$1561))/CROQUIS_DATOS!$C$1568-0.000001)),1,MOD($A45-1,2)),1-IF(INT(($A45-1)/2)+1&gt;MAX(1,INT(((((CROQUIS_DATOS!$C$1489+CROQUIS_DATOS!$C$1490))-(CROQUIS_DATOS!$C$1489))+((CROQUIS_DATOS!$C$1476)*CROQUIS_DATOS!$C$1561-((CROQUIS_DATOS!$C$1491+CROQUIS_DATOS!$C$1492))*CROQUIS_DATOS!$C$1561))/CROQUIS_DATOS!$C$1568-0.000001)),1,MOD($A45-1,2)))=1,MIN((CROQUIS_DATOS!$C$1476)*CROQUIS_DATOS!$C$1561,((CROQUIS_DATOS!$C$1489+CROQUIS_DATOS!$C$1490)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5">
        <f>IF(AND(CROQUIS_DATOS!$C$1472=1,CROQUIS_DATOS!$C$1478&gt;=4,((CROQUIS_DATOS!$C$1494+CROQUIS_DATOS!$C$1495))-(CROQUIS_DATOS!$C$1494)&gt;0.5,(CROQUIS_DATOS!$C$1496)-(0)&gt;0.5),(CROQUIS_DATOS!$C$1566+(IF(IF(MOD(MIN(INT(($A45-1)/2)+1,MAX(1,INT(((((CROQUIS_DATOS!$C$1494+CROQUIS_DATOS!$C$1495))-(CROQUIS_DATOS!$C$1494))+((CROQUIS_DATOS!$C$1496)*CROQUIS_DATOS!$C$1561-(0)*CROQUIS_DATOS!$C$1561))/CROQUIS_DATOS!$C$1568-0.000001))),2)=1,IF(INT(($A45-1)/2)+1&gt;MAX(1,INT(((((CROQUIS_DATOS!$C$1494+CROQUIS_DATOS!$C$1495))-(CROQUIS_DATOS!$C$1494))+((CROQUIS_DATOS!$C$1496)*CROQUIS_DATOS!$C$1561-(0)*CROQUIS_DATOS!$C$1561))/CROQUIS_DATOS!$C$1568-0.000001)),1,MOD($A45-1,2)),1-IF(INT(($A45-1)/2)+1&gt;MAX(1,INT(((((CROQUIS_DATOS!$C$1494+CROQUIS_DATOS!$C$1495))-(CROQUIS_DATOS!$C$1494))+((CROQUIS_DATOS!$C$1496)*CROQUIS_DATOS!$C$1561-(0)*CROQUIS_DATOS!$C$1561))/CROQUIS_DATOS!$C$1568-0.000001)),1,MOD($A45-1,2)))=1,MIN((CROQUIS_DATOS!$C$1496)*CROQUIS_DATOS!$C$1561,((CROQUIS_DATOS!$C$1494+CROQUIS_DATOS!$C$1495)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5">
        <f>IF(AND(CROQUIS_DATOS!$C$1472=1,CROQUIS_DATOS!$C$1478&gt;=4,((CROQUIS_DATOS!$C$1494+CROQUIS_DATOS!$C$1495))-(CROQUIS_DATOS!$C$1494)&gt;0.5,(CROQUIS_DATOS!$C$1496)-(0)&gt;0.5),(CROQUIS_DATOS!$C$1567+(IF(IF(MOD(MIN(INT(($A45-1)/2)+1,MAX(1,INT(((((CROQUIS_DATOS!$C$1494+CROQUIS_DATOS!$C$1495))-(CROQUIS_DATOS!$C$1494))+((CROQUIS_DATOS!$C$1496)*CROQUIS_DATOS!$C$1561-(0)*CROQUIS_DATOS!$C$1561))/CROQUIS_DATOS!$C$1568-0.000001))),2)=1,IF(INT(($A45-1)/2)+1&gt;MAX(1,INT(((((CROQUIS_DATOS!$C$1494+CROQUIS_DATOS!$C$1495))-(CROQUIS_DATOS!$C$1494))+((CROQUIS_DATOS!$C$1496)*CROQUIS_DATOS!$C$1561-(0)*CROQUIS_DATOS!$C$1561))/CROQUIS_DATOS!$C$1568-0.000001)),1,MOD($A45-1,2)),1-IF(INT(($A45-1)/2)+1&gt;MAX(1,INT(((((CROQUIS_DATOS!$C$1494+CROQUIS_DATOS!$C$1495))-(CROQUIS_DATOS!$C$1494))+((CROQUIS_DATOS!$C$1496)*CROQUIS_DATOS!$C$1561-(0)*CROQUIS_DATOS!$C$1561))/CROQUIS_DATOS!$C$1568-0.000001)),1,MOD($A45-1,2)))=1,MIN((CROQUIS_DATOS!$C$1496)*CROQUIS_DATOS!$C$1561,((CROQUIS_DATOS!$C$1494+CROQUIS_DATOS!$C$1495)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5">
        <f>IF(AND(CROQUIS_DATOS!$C$1472=1,CROQUIS_DATOS!$C$1478&gt;=4,((CROQUIS_DATOS!$C$1494+CROQUIS_DATOS!$C$1495))-(CROQUIS_DATOS!$C$1494)&gt;0.5,(CROQUIS_DATOS!$C$1476)-((CROQUIS_DATOS!$C$1496+CROQUIS_DATOS!$C$1497))&gt;0.5),(CROQUIS_DATOS!$C$1566+(IF(IF(MOD(MIN(INT(($A45-1)/2)+1,MAX(1,INT(((((CROQUIS_DATOS!$C$1494+CROQUIS_DATOS!$C$1495))-(CROQUIS_DATOS!$C$1494))+((CROQUIS_DATOS!$C$1476)*CROQUIS_DATOS!$C$1561-((CROQUIS_DATOS!$C$1496+CROQUIS_DATOS!$C$1497))*CROQUIS_DATOS!$C$1561))/CROQUIS_DATOS!$C$1568-0.000001))),2)=1,IF(INT(($A45-1)/2)+1&gt;MAX(1,INT(((((CROQUIS_DATOS!$C$1494+CROQUIS_DATOS!$C$1495))-(CROQUIS_DATOS!$C$1494))+((CROQUIS_DATOS!$C$1476)*CROQUIS_DATOS!$C$1561-((CROQUIS_DATOS!$C$1496+CROQUIS_DATOS!$C$1497))*CROQUIS_DATOS!$C$1561))/CROQUIS_DATOS!$C$1568-0.000001)),1,MOD($A45-1,2)),1-IF(INT(($A45-1)/2)+1&gt;MAX(1,INT(((((CROQUIS_DATOS!$C$1494+CROQUIS_DATOS!$C$1495))-(CROQUIS_DATOS!$C$1494))+((CROQUIS_DATOS!$C$1476)*CROQUIS_DATOS!$C$1561-((CROQUIS_DATOS!$C$1496+CROQUIS_DATOS!$C$1497))*CROQUIS_DATOS!$C$1561))/CROQUIS_DATOS!$C$1568-0.000001)),1,MOD($A45-1,2)))=1,MIN((CROQUIS_DATOS!$C$1476)*CROQUIS_DATOS!$C$1561,((CROQUIS_DATOS!$C$1494+CROQUIS_DATOS!$C$1495)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5">
        <f>IF(AND(CROQUIS_DATOS!$C$1472=1,CROQUIS_DATOS!$C$1478&gt;=4,((CROQUIS_DATOS!$C$1494+CROQUIS_DATOS!$C$1495))-(CROQUIS_DATOS!$C$1494)&gt;0.5,(CROQUIS_DATOS!$C$1476)-((CROQUIS_DATOS!$C$1496+CROQUIS_DATOS!$C$1497))&gt;0.5),(CROQUIS_DATOS!$C$1567+(IF(IF(MOD(MIN(INT(($A45-1)/2)+1,MAX(1,INT(((((CROQUIS_DATOS!$C$1494+CROQUIS_DATOS!$C$1495))-(CROQUIS_DATOS!$C$1494))+((CROQUIS_DATOS!$C$1476)*CROQUIS_DATOS!$C$1561-((CROQUIS_DATOS!$C$1496+CROQUIS_DATOS!$C$1497))*CROQUIS_DATOS!$C$1561))/CROQUIS_DATOS!$C$1568-0.000001))),2)=1,IF(INT(($A45-1)/2)+1&gt;MAX(1,INT(((((CROQUIS_DATOS!$C$1494+CROQUIS_DATOS!$C$1495))-(CROQUIS_DATOS!$C$1494))+((CROQUIS_DATOS!$C$1476)*CROQUIS_DATOS!$C$1561-((CROQUIS_DATOS!$C$1496+CROQUIS_DATOS!$C$1497))*CROQUIS_DATOS!$C$1561))/CROQUIS_DATOS!$C$1568-0.000001)),1,MOD($A45-1,2)),1-IF(INT(($A45-1)/2)+1&gt;MAX(1,INT(((((CROQUIS_DATOS!$C$1494+CROQUIS_DATOS!$C$1495))-(CROQUIS_DATOS!$C$1494))+((CROQUIS_DATOS!$C$1476)*CROQUIS_DATOS!$C$1561-((CROQUIS_DATOS!$C$1496+CROQUIS_DATOS!$C$1497))*CROQUIS_DATOS!$C$1561))/CROQUIS_DATOS!$C$1568-0.000001)),1,MOD($A45-1,2)))=1,MIN((CROQUIS_DATOS!$C$1476)*CROQUIS_DATOS!$C$1561,((CROQUIS_DATOS!$C$1494+CROQUIS_DATOS!$C$1495)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5">
        <f>IF(AND(CROQUIS_DATOS!$C$1472=1,1),(CROQUIS_DATOS!$C$1571+(CHOOSE(MIN(MAX(IF(INT(($A45-1)/5)+1&gt;CROQUIS_DATOS!$C$1525,5,MOD($A45-1,5)+1),1),5),(INDEX($E$8:$E$23,MIN(INT(($A45-1)/5)+1,CROQUIS_DATOS!$C$1525))-INDEX($F$8:$F$23,MIN(INT(($A45-1)/5)+1,CROQUIS_DATOS!$C$1525))/2),(INDEX($E$8:$E$23,MIN(INT(($A45-1)/5)+1,CROQUIS_DATOS!$C$1525))+INDEX($F$8:$F$23,MIN(INT(($A45-1)/5)+1,CROQUIS_DATOS!$C$1525))/2),(INDEX($E$8:$E$23,MIN(INT(($A45-1)/5)+1,CROQUIS_DATOS!$C$1525))+INDEX($F$8:$F$23,MIN(INT(($A45-1)/5)+1,CROQUIS_DATOS!$C$1525))/2),(INDEX($E$8:$E$23,MIN(INT(($A45-1)/5)+1,CROQUIS_DATOS!$C$1525))-INDEX($F$8:$F$23,MIN(INT(($A45-1)/5)+1,CROQUIS_DATOS!$C$1525))/2),(INDEX($E$8:$E$23,MIN(INT(($A45-1)/5)+1,CROQUIS_DATOS!$C$1525))-INDEX($F$8:$F$23,MIN(INT(($A45-1)/5)+1,CROQUIS_DATOS!$C$1525))/2)))*CROQUIS_DATOS!$C$1569),-1000)</f>
        <v>95.24</v>
      </c>
      <c r="GE45">
        <f>IF(AND(CROQUIS_DATOS!$C$1472=1,1),(CROQUIS_DATOS!$C$1572+(CHOOSE(MIN(MAX(IF(INT(($A45-1)/5)+1&gt;CROQUIS_DATOS!$C$1525,5,MOD($A45-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5">
        <f>IF(AND(CROQUIS_DATOS!$C$1472=1,1),IF(INT(($A45-1)/4)+1&lt;=CROQUIS_DATOS!$C$1525,(CROQUIS_DATOS!$C$1571+((INDEX($E$8:$E$23,MIN(INT(($A45-1)/4)+1,16))+IF(OR(MOD($A45-1,4)=0,MOD($A45-1,4)=3),-1,1)*(INDEX($F$8:$F$23,MIN(INT(($A45-1)/4)+1,16))/2-(CROQUIS_DATOS!$C$1530+CROQUIS_DATOS!$C$1532+IF(OR(INT(($A45-1)/4)+1=1,INT(($A45-1)/4)+1=CROQUIS_DATOS!$C$1525),CROQUIS_DATOS!$C$1534,CROQUIS_DATOS!$C$1531)/2))))*CROQUIS_DATOS!$C$1569),-1000),-1000)</f>
        <v>-1000</v>
      </c>
      <c r="GG45">
        <f>IF(AND(CROQUIS_DATOS!$C$1472=1,1),IF(INT(($A45-1)/4)+1&lt;=CROQUIS_DATOS!$C$1525,(CROQUIS_DATOS!$C$1572+((CROQUIS_DATOS!$C$1477/2+IF(MOD($A45-1,4)&lt;2,-1,1)*(CROQUIS_DATOS!$C$1527/2-(CROQUIS_DATOS!$C$1530+CROQUIS_DATOS!$C$1532+IF(OR(INT(($A45-1)/4)+1=1,INT(($A45-1)/4)+1=CROQUIS_DATOS!$C$1525),CROQUIS_DATOS!$C$1534,CROQUIS_DATOS!$C$1531)/2))))*CROQUIS_DATOS!$C$1569*CROQUIS_DATOS!$C$1570),-1000),-1000)</f>
        <v>-1000</v>
      </c>
    </row>
    <row r="46">
      <c r="A46" t="n">
        <v>39</v>
      </c>
      <c r="J46">
        <f>IF(AND(CROQUIS_DATOS!$C$1472=1,1),(CROQUIS_DATOS!$C$1563+(CHOOSE(MIN(MAX(IF(INT(($A46-1)/4)+1&gt;CROQUIS_DATOS!$C$1525,4,MOD($A46-1,4)+1),1),4),(INDEX($E$8:$E$23,MIN(INT(($A46-1)/4)+1,CROQUIS_DATOS!$C$1525))-INDEX($F$8:$F$23,MIN(INT(($A46-1)/4)+1,CROQUIS_DATOS!$C$1525))/2),(INDEX($E$8:$E$23,MIN(INT(($A46-1)/4)+1,CROQUIS_DATOS!$C$1525))-INDEX($F$8:$F$23,MIN(INT(($A46-1)/4)+1,CROQUIS_DATOS!$C$1525))/2),(INDEX($E$8:$E$23,MIN(INT(($A46-1)/4)+1,CROQUIS_DATOS!$C$1525))+INDEX($F$8:$F$23,MIN(INT(($A46-1)/4)+1,CROQUIS_DATOS!$C$1525))/2),(INDEX($E$8:$E$23,MIN(INT(($A46-1)/4)+1,CROQUIS_DATOS!$C$1525))+INDEX($F$8:$F$23,MIN(INT(($A46-1)/4)+1,CROQUIS_DATOS!$C$1525))/2)))*CROQUIS_DATOS!$C$1562),-1000)</f>
        <v>84.9137931034483</v>
      </c>
      <c r="K46">
        <f>IF(AND(CROQUIS_DATOS!$C$1472=1,1),(CROQUIS_DATOS!$C$1564+(CHOOSE(MIN(MAX(IF(INT(($A46-1)/4)+1&gt;CROQUIS_DATOS!$C$1525,4,MOD($A46-1,4)+1),1),4),0,CROQUIS_DATOS!$C$1476,CROQUIS_DATOS!$C$1476,0))*CROQUIS_DATOS!$C$1561*CROQUIS_DATOS!$C$1562),-1000)</f>
        <v>5.29310344827586</v>
      </c>
      <c r="L46">
        <f>IF(AND(CROQUIS_DATOS!$C$1472=1,1),(CROQUIS_DATOS!$C$1563+(CHOOSE(MIN(MAX(IF(INT(($A46-1)/4)+1&gt;CROQUIS_DATOS!$C$1525,4,MOD($A46-1,4)+1),1),4),((INDEX($E$8:$E$23,MIN(INT(($A46-1)/4)+1,CROQUIS_DATOS!$C$1525))-INDEX($F$8:$F$23,MIN(INT(($A46-1)/4)+1,CROQUIS_DATOS!$C$1525))/2)+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,((INDEX($E$8:$E$23,MIN(INT(($A46-1)/4)+1,CROQUIS_DATOS!$C$1525))-INDEX($F$8:$F$23,MIN(INT(($A46-1)/4)+1,CROQUIS_DATOS!$C$1525))/2)+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,((INDEX($E$8:$E$23,MIN(INT(($A46-1)/4)+1,CROQUIS_DATOS!$C$1525))+INDEX($F$8:$F$23,MIN(INT(($A46-1)/4)+1,CROQUIS_DATOS!$C$1525))/2)-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,((INDEX($E$8:$E$23,MIN(INT(($A46-1)/4)+1,CROQUIS_DATOS!$C$1525))+INDEX($F$8:$F$23,MIN(INT(($A46-1)/4)+1,CROQUIS_DATOS!$C$1525))/2)-MIN((CROQUIS_DATOS!$C$1530+CROQUIS_DATOS!$C$1532+IF(OR(MIN(INT(($A46-1)/4)+1,CROQUIS_DATOS!$C$1525)=1,MIN(INT(($A46-1)/4)+1,CROQUIS_DATOS!$C$1525)=CROQUIS_DATOS!$C$1525),CROQUIS_DATOS!$C$1534,CROQUIS_DATOS!$C$1531)/2),INDEX($F$8:$F$23,MIN(INT(($A46-1)/4)+1,CROQUIS_DATOS!$C$1525))/2-0.5))))*CROQUIS_DATOS!$C$1562),-1000)</f>
        <v>84.4792560344828</v>
      </c>
      <c r="M46">
        <f>IF(AND(CROQUIS_DATOS!$C$1472=1,1),(CROQUIS_DATOS!$C$1564+(CHOOSE(MIN(MAX(IF(INT(($A46-1)/4)+1&gt;CROQUIS_DATOS!$C$1525,4,MOD($A46-1,4)+1),1),4),CROQUIS_DATOS!$C$1543,INDEX($I$8:$I$23,MIN(INT(($A46-1)/4)+1,CROQUIS_DATOS!$C$1525)),INDEX($I$8:$I$23,MIN(INT(($A46-1)/4)+1,CROQUIS_DATOS!$C$1525)),CROQUIS_DATOS!$C$1543))*CROQUIS_DATOS!$C$1561*CROQUIS_DATOS!$C$1562),-1000)</f>
        <v>42.5654629310345</v>
      </c>
      <c r="N46">
        <f>IF(AND(CROQUIS_DATOS!$C$1472=1,1),(CROQUIS_DATOS!$C$1563+(IF(IF(IF(INT(($A46-1)/70)+1&gt;CROQUIS_DATOS!$C$1525,70,MOD($A46-1,70)+1)=1,0,IF(IF(INT(($A46-1)/70)+1&gt;CROQUIS_DATOS!$C$1525,70,MOD($A46-1,70)+1)&gt;2*CROQUIS_DATOS!$C$1541+1,IF(MOD(CROQUIS_DATOS!$C$1541,2)=1,1,0),IF(MOD(MIN(INT((IF(INT(($A46-1)/70)+1&gt;CROQUIS_DATOS!$C$1525,70,MOD($A46-1,70)+1)-2)/2)+1,CROQUIS_DATOS!$C$1541),2)=1,IF(MOD(IF(INT(($A46-1)/70)+1&gt;CROQUIS_DATOS!$C$1525,70,MOD($A46-1,70)+1)-2,2)=0,0,1),IF(MOD(IF(INT(($A46-1)/70)+1&gt;CROQUIS_DATOS!$C$1525,70,MOD($A46-1,70)+1)-2,2)=0,1,0))))=0,(INDEX($E$8:$E$23,MIN(INT(($A46-1)/70)+1,CROQUIS_DATOS!$C$1525))-INDEX($F$8:$F$23,MIN(INT(($A46-1)/70)+1,CROQUIS_DATOS!$C$1525))/2),(INDEX($E$8:$E$23,MIN(INT(($A46-1)/70)+1,CROQUIS_DATOS!$C$1525))+INDEX($F$8:$F$23,MIN(INT(($A46-1)/70)+1,CROQUIS_DATOS!$C$1525))/2)))*CROQUIS_DATOS!$C$1562),-1000)</f>
        <v>15.0862068965517</v>
      </c>
      <c r="O46">
        <f>IF(AND(CROQUIS_DATOS!$C$1472=1,1),(CROQUIS_DATOS!$C$1564+(IF(OR(IF(INT(($A46-1)/70)+1&gt;CROQUIS_DATOS!$C$1525,70,MOD($A46-1,70)+1)=1,IF(INT(($A46-1)/70)+1&gt;CROQUIS_DATOS!$C$1525,70,MOD($A46-1,70)+1)&gt;2*CROQUIS_DATOS!$C$1541+1),CROQUIS_DATOS!$C$1476,INDEX($H$8:$H$41,MIN(INT((IF(INT(($A46-1)/70)+1&gt;CROQUIS_DATOS!$C$1525,70,MOD($A46-1,70)+1)-2)/2)+1,CROQUIS_DATOS!$C$1541))))*CROQUIS_DATOS!$C$1561*CROQUIS_DATOS!$C$1562),-1000)</f>
        <v>40.2068965517241</v>
      </c>
      <c r="P46">
        <f>IF(AND(CROQUIS_DATOS!$C$1472=1,CROQUIS_DATOS!$C$1555=1),(CROQUIS_DATOS!$C$1563+(IF(IF(OR(MOD($A46-1,62)+1=1,IF(CHOOSE(MIN(MAX(MIN(INT(($A46-1)/62)+1,5),1),5),CROQUIS_DATOS!$C$1501,CROQUIS_DATOS!$C$1505,CROQUIS_DATOS!$C$1509,CROQUIS_DATOS!$C$1513,CROQUIS_DATOS!$C$1517)=1,CROQUIS_DATOS!$C$1557,0)=0),0,IF(MOD($A46-1,62)+1&gt;2*IF(CHOOSE(MIN(MAX(MIN(INT(($A46-1)/62)+1,5),1),5),CROQUIS_DATOS!$C$1501,CROQUIS_DATOS!$C$1505,CROQUIS_DATOS!$C$1509,CROQUIS_DATOS!$C$1513,CROQUIS_DATOS!$C$1517)=1,CROQUIS_DATOS!$C$1557,0)+1,IF(MOD(IF(CHOOSE(MIN(MAX(MIN(INT(($A46-1)/62)+1,5),1),5),CROQUIS_DATOS!$C$1501,CROQUIS_DATOS!$C$1505,CROQUIS_DATOS!$C$1509,CROQUIS_DATOS!$C$1513,CROQUIS_DATOS!$C$1517)=1,CROQUIS_DATOS!$C$1557,0),2)=1,1,0),IF(MOD(MIN(INT((MOD($A46-1,62)+1-2)/2)+1,MAX(IF(CHOOSE(MIN(MAX(MIN(INT(($A46-1)/62)+1,5),1),5),CROQUIS_DATOS!$C$1501,CROQUIS_DATOS!$C$1505,CROQUIS_DATOS!$C$1509,CROQUIS_DATOS!$C$1513,CROQUIS_DATOS!$C$1517)=1,CROQUIS_DATOS!$C$1557,0),1)),2)=1,IF(MOD(MOD($A46-1,62)+1-2,2)=0,0,1),IF(MOD(MOD($A46-1,62)+1-2,2)=0,1,0))))=0,(CHOOSE(MIN(MAX(MIN(INT(($A46-1)/62)+1,5),1),5),CROQUIS_DATOS!$C$1499,CROQUIS_DATOS!$C$1503,CROQUIS_DATOS!$C$1507,CROQUIS_DATOS!$C$1511,CROQUIS_DATOS!$C$1515)+IF(CHOOSE(MIN(MAX(MIN(INT(($A46-1)/62)+1,5),1),5),CROQUIS_DATOS!$C$1501,CROQUIS_DATOS!$C$1505,CROQUIS_DATOS!$C$1509,CROQUIS_DATOS!$C$1513,CROQUIS_DATOS!$C$1517)=1,CROQUIS_DATOS!$C$1526,0)),(CHOOSE(MIN(MAX(MIN(INT(($A46-1)/62)+1,5),1),5),CROQUIS_DATOS!$C$1499,CROQUIS_DATOS!$C$1503,CROQUIS_DATOS!$C$1507,CROQUIS_DATOS!$C$1511,CROQUIS_DATOS!$C$1515)+CHOOSE(MIN(MAX(MIN(INT(($A46-1)/62)+1,5),1),5),CROQUIS_DATOS!$C$1500,CROQUIS_DATOS!$C$1504,CROQUIS_DATOS!$C$1508,CROQUIS_DATOS!$C$1512,CROQUIS_DATOS!$C$1516)-IF(CHOOSE(MIN(MAX(MIN(INT(($A46-1)/62)+1,5),1),5),CROQUIS_DATOS!$C$1501,CROQUIS_DATOS!$C$1505,CROQUIS_DATOS!$C$1509,CROQUIS_DATOS!$C$1513,CROQUIS_DATOS!$C$1517)=1,CROQUIS_DATOS!$C$1526,0))))*CROQUIS_DATOS!$C$1562),-1000)</f>
        <v>-1000</v>
      </c>
      <c r="Q46">
        <f>IF(AND(CROQUIS_DATOS!$C$1472=1,CROQUIS_DATOS!$C$1555=1),(CROQUIS_DATOS!$C$1564+(IF(OR(OR(MOD($A46-1,62)+1=1,IF(CHOOSE(MIN(MAX(MIN(INT(($A46-1)/62)+1,5),1),5),CROQUIS_DATOS!$C$1501,CROQUIS_DATOS!$C$1505,CROQUIS_DATOS!$C$1509,CROQUIS_DATOS!$C$1513,CROQUIS_DATOS!$C$1517)=1,CROQUIS_DATOS!$C$1557,0)=0),MOD($A46-1,62)+1&gt;2*IF(CHOOSE(MIN(MAX(MIN(INT(($A46-1)/62)+1,5),1),5),CROQUIS_DATOS!$C$1501,CROQUIS_DATOS!$C$1505,CROQUIS_DATOS!$C$1509,CROQUIS_DATOS!$C$1513,CROQUIS_DATOS!$C$1517)=1,CROQUIS_DATOS!$C$1557,0)+1),CROQUIS_DATOS!$C$1476,MIN(INT((MOD($A46-1,62)+1-2)/2)+1,MAX(IF(CHOOSE(MIN(MAX(MIN(INT(($A46-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6">
        <f>IF(AND(CROQUIS_DATOS!$C$1472=1,1),(CROQUIS_DATOS!$C$1563+(MIN(INT(($A46-1)/2)+1,CROQUIS_DATOS!$C$1558)*CROQUIS_DATOS!$C$1559)*CROQUIS_DATOS!$C$1562),-1000)</f>
        <v>68.7997347480106</v>
      </c>
      <c r="U46">
        <f>IF(AND(CROQUIS_DATOS!$C$1472=1,1),(CROQUIS_DATOS!$C$1564+(IF(INT(($A46-1)/2)+1&gt;CROQUIS_DATOS!$C$1558,IF(MOD(CROQUIS_DATOS!$C$1558,2)=1,CROQUIS_DATOS!$C$1476+CROQUIS_DATOS!$C$1528,CROQUIS_DATOS!$C$1476),IF(IF(MOD(MIN(INT(($A46-1)/2)+1,CROQUIS_DATOS!$C$1558),2)=1,MOD($A46-1,2),1-MOD($A46-1,2))=1,CROQUIS_DATOS!$C$1476+CROQUIS_DATOS!$C$1528,CROQUIS_DATOS!$C$1476)))*CROQUIS_DATOS!$C$1561*CROQUIS_DATOS!$C$1562),-1000)</f>
        <v>43</v>
      </c>
      <c r="BZ46">
        <f>IF(AND(CROQUIS_DATOS!$C$1472=1,CROQUIS_DATOS!$C$1500&gt;0,((CROQUIS_DATOS!$C$1499+CROQUIS_DATOS!$C$1500))-(CROQUIS_DATOS!$C$1499)&gt;0.5,(CROQUIS_DATOS!$C$1476)-(0)&gt;0.5),(CROQUIS_DATOS!$C$1566+(IF(IF(MOD(MIN(INT(($A46-1)/2)+1,MAX(1,INT(((((CROQUIS_DATOS!$C$1499+CROQUIS_DATOS!$C$1500))-(CROQUIS_DATOS!$C$1499))+((CROQUIS_DATOS!$C$1476)*CROQUIS_DATOS!$C$1561-(0)*CROQUIS_DATOS!$C$1561))/CROQUIS_DATOS!$C$1568-0.000001))),2)=1,IF(INT(($A46-1)/2)+1&gt;MAX(1,INT(((((CROQUIS_DATOS!$C$1499+CROQUIS_DATOS!$C$1500))-(CROQUIS_DATOS!$C$1499))+((CROQUIS_DATOS!$C$1476)*CROQUIS_DATOS!$C$1561-(0)*CROQUIS_DATOS!$C$1561))/CROQUIS_DATOS!$C$1568-0.000001)),1,MOD($A46-1,2)),1-IF(INT(($A46-1)/2)+1&gt;MAX(1,INT(((((CROQUIS_DATOS!$C$1499+CROQUIS_DATOS!$C$1500))-(CROQUIS_DATOS!$C$1499))+((CROQUIS_DATOS!$C$1476)*CROQUIS_DATOS!$C$1561-(0)*CROQUIS_DATOS!$C$1561))/CROQUIS_DATOS!$C$1568-0.000001)),1,MOD($A46-1,2)))=1,MIN((CROQUIS_DATOS!$C$1476)*CROQUIS_DATOS!$C$1561,((CROQUIS_DATOS!$C$1499+CROQUIS_DATOS!$C$1500)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46">
        <f>IF(AND(CROQUIS_DATOS!$C$1472=1,CROQUIS_DATOS!$C$1500&gt;0,((CROQUIS_DATOS!$C$1499+CROQUIS_DATOS!$C$1500))-(CROQUIS_DATOS!$C$1499)&gt;0.5,(CROQUIS_DATOS!$C$1476)-(0)&gt;0.5),(CROQUIS_DATOS!$C$1567+(IF(IF(MOD(MIN(INT(($A46-1)/2)+1,MAX(1,INT(((((CROQUIS_DATOS!$C$1499+CROQUIS_DATOS!$C$1500))-(CROQUIS_DATOS!$C$1499))+((CROQUIS_DATOS!$C$1476)*CROQUIS_DATOS!$C$1561-(0)*CROQUIS_DATOS!$C$1561))/CROQUIS_DATOS!$C$1568-0.000001))),2)=1,IF(INT(($A46-1)/2)+1&gt;MAX(1,INT(((((CROQUIS_DATOS!$C$1499+CROQUIS_DATOS!$C$1500))-(CROQUIS_DATOS!$C$1499))+((CROQUIS_DATOS!$C$1476)*CROQUIS_DATOS!$C$1561-(0)*CROQUIS_DATOS!$C$1561))/CROQUIS_DATOS!$C$1568-0.000001)),1,MOD($A46-1,2)),1-IF(INT(($A46-1)/2)+1&gt;MAX(1,INT(((((CROQUIS_DATOS!$C$1499+CROQUIS_DATOS!$C$1500))-(CROQUIS_DATOS!$C$1499))+((CROQUIS_DATOS!$C$1476)*CROQUIS_DATOS!$C$1561-(0)*CROQUIS_DATOS!$C$1561))/CROQUIS_DATOS!$C$1568-0.000001)),1,MOD($A46-1,2)))=1,MIN((CROQUIS_DATOS!$C$1476)*CROQUIS_DATOS!$C$1561,((CROQUIS_DATOS!$C$1499+CROQUIS_DATOS!$C$1500)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46">
        <f>IF(AND(CROQUIS_DATOS!$C$1472=1,CROQUIS_DATOS!$C$1504&gt;0,((CROQUIS_DATOS!$C$1503+CROQUIS_DATOS!$C$1504))-(CROQUIS_DATOS!$C$1503)&gt;0.5,(CROQUIS_DATOS!$C$1476)-(0)&gt;0.5),(CROQUIS_DATOS!$C$1566+(IF(IF(MOD(MIN(INT(($A46-1)/2)+1,MAX(1,INT(((((CROQUIS_DATOS!$C$1503+CROQUIS_DATOS!$C$1504))-(CROQUIS_DATOS!$C$1503))+((CROQUIS_DATOS!$C$1476)*CROQUIS_DATOS!$C$1561-(0)*CROQUIS_DATOS!$C$1561))/CROQUIS_DATOS!$C$1568-0.000001))),2)=1,IF(INT(($A46-1)/2)+1&gt;MAX(1,INT(((((CROQUIS_DATOS!$C$1503+CROQUIS_DATOS!$C$1504))-(CROQUIS_DATOS!$C$1503))+((CROQUIS_DATOS!$C$1476)*CROQUIS_DATOS!$C$1561-(0)*CROQUIS_DATOS!$C$1561))/CROQUIS_DATOS!$C$1568-0.000001)),1,MOD($A46-1,2)),1-IF(INT(($A46-1)/2)+1&gt;MAX(1,INT(((((CROQUIS_DATOS!$C$1503+CROQUIS_DATOS!$C$1504))-(CROQUIS_DATOS!$C$1503))+((CROQUIS_DATOS!$C$1476)*CROQUIS_DATOS!$C$1561-(0)*CROQUIS_DATOS!$C$1561))/CROQUIS_DATOS!$C$1568-0.000001)),1,MOD($A46-1,2)))=1,MIN((CROQUIS_DATOS!$C$1476)*CROQUIS_DATOS!$C$1561,((CROQUIS_DATOS!$C$1503+CROQUIS_DATOS!$C$1504)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46">
        <f>IF(AND(CROQUIS_DATOS!$C$1472=1,CROQUIS_DATOS!$C$1504&gt;0,((CROQUIS_DATOS!$C$1503+CROQUIS_DATOS!$C$1504))-(CROQUIS_DATOS!$C$1503)&gt;0.5,(CROQUIS_DATOS!$C$1476)-(0)&gt;0.5),(CROQUIS_DATOS!$C$1567+(IF(IF(MOD(MIN(INT(($A46-1)/2)+1,MAX(1,INT(((((CROQUIS_DATOS!$C$1503+CROQUIS_DATOS!$C$1504))-(CROQUIS_DATOS!$C$1503))+((CROQUIS_DATOS!$C$1476)*CROQUIS_DATOS!$C$1561-(0)*CROQUIS_DATOS!$C$1561))/CROQUIS_DATOS!$C$1568-0.000001))),2)=1,IF(INT(($A46-1)/2)+1&gt;MAX(1,INT(((((CROQUIS_DATOS!$C$1503+CROQUIS_DATOS!$C$1504))-(CROQUIS_DATOS!$C$1503))+((CROQUIS_DATOS!$C$1476)*CROQUIS_DATOS!$C$1561-(0)*CROQUIS_DATOS!$C$1561))/CROQUIS_DATOS!$C$1568-0.000001)),1,MOD($A46-1,2)),1-IF(INT(($A46-1)/2)+1&gt;MAX(1,INT(((((CROQUIS_DATOS!$C$1503+CROQUIS_DATOS!$C$1504))-(CROQUIS_DATOS!$C$1503))+((CROQUIS_DATOS!$C$1476)*CROQUIS_DATOS!$C$1561-(0)*CROQUIS_DATOS!$C$1561))/CROQUIS_DATOS!$C$1568-0.000001)),1,MOD($A46-1,2)))=1,MIN((CROQUIS_DATOS!$C$1476)*CROQUIS_DATOS!$C$1561,((CROQUIS_DATOS!$C$1503+CROQUIS_DATOS!$C$1504)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46-1)/2)+1,MAX(1,INT(((((CROQUIS_DATOS!$C$1503+CROQUIS_DATOS!$C$1504))-(CROQUIS_DATOS!$C$1503))+((CROQUIS_DATOS!$C$1476)*CROQUIS_DATOS!$C$1561-(0)*CROQUIS_DATOS!$C$1561))/CROQUIS_DATOS!$C$1568-0.000001)))*CROQUIS_DATOS!$C$1568))))*CROQUIS_DATOS!$C$1565),-1000)</f>
        <v>17.551724137931</v>
      </c>
      <c r="CD46">
        <f>IF(AND(CROQUIS_DATOS!$C$1472=1,CROQUIS_DATOS!$C$1508&gt;0,((CROQUIS_DATOS!$C$1507+CROQUIS_DATOS!$C$1508))-(CROQUIS_DATOS!$C$1507)&gt;0.5,(CROQUIS_DATOS!$C$1476)-(0)&gt;0.5),(CROQUIS_DATOS!$C$1566+(IF(IF(MOD(MIN(INT(($A46-1)/2)+1,MAX(1,INT(((((CROQUIS_DATOS!$C$1507+CROQUIS_DATOS!$C$1508))-(CROQUIS_DATOS!$C$1507))+((CROQUIS_DATOS!$C$1476)*CROQUIS_DATOS!$C$1561-(0)*CROQUIS_DATOS!$C$1561))/CROQUIS_DATOS!$C$1568-0.000001))),2)=1,IF(INT(($A46-1)/2)+1&gt;MAX(1,INT(((((CROQUIS_DATOS!$C$1507+CROQUIS_DATOS!$C$1508))-(CROQUIS_DATOS!$C$1507))+((CROQUIS_DATOS!$C$1476)*CROQUIS_DATOS!$C$1561-(0)*CROQUIS_DATOS!$C$1561))/CROQUIS_DATOS!$C$1568-0.000001)),1,MOD($A46-1,2)),1-IF(INT(($A46-1)/2)+1&gt;MAX(1,INT(((((CROQUIS_DATOS!$C$1507+CROQUIS_DATOS!$C$1508))-(CROQUIS_DATOS!$C$1507))+((CROQUIS_DATOS!$C$1476)*CROQUIS_DATOS!$C$1561-(0)*CROQUIS_DATOS!$C$1561))/CROQUIS_DATOS!$C$1568-0.000001)),1,MOD($A46-1,2)))=1,MIN((CROQUIS_DATOS!$C$1476)*CROQUIS_DATOS!$C$1561,((CROQUIS_DATOS!$C$1507+CROQUIS_DATOS!$C$1508)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46">
        <f>IF(AND(CROQUIS_DATOS!$C$1472=1,CROQUIS_DATOS!$C$1508&gt;0,((CROQUIS_DATOS!$C$1507+CROQUIS_DATOS!$C$1508))-(CROQUIS_DATOS!$C$1507)&gt;0.5,(CROQUIS_DATOS!$C$1476)-(0)&gt;0.5),(CROQUIS_DATOS!$C$1567+(IF(IF(MOD(MIN(INT(($A46-1)/2)+1,MAX(1,INT(((((CROQUIS_DATOS!$C$1507+CROQUIS_DATOS!$C$1508))-(CROQUIS_DATOS!$C$1507))+((CROQUIS_DATOS!$C$1476)*CROQUIS_DATOS!$C$1561-(0)*CROQUIS_DATOS!$C$1561))/CROQUIS_DATOS!$C$1568-0.000001))),2)=1,IF(INT(($A46-1)/2)+1&gt;MAX(1,INT(((((CROQUIS_DATOS!$C$1507+CROQUIS_DATOS!$C$1508))-(CROQUIS_DATOS!$C$1507))+((CROQUIS_DATOS!$C$1476)*CROQUIS_DATOS!$C$1561-(0)*CROQUIS_DATOS!$C$1561))/CROQUIS_DATOS!$C$1568-0.000001)),1,MOD($A46-1,2)),1-IF(INT(($A46-1)/2)+1&gt;MAX(1,INT(((((CROQUIS_DATOS!$C$1507+CROQUIS_DATOS!$C$1508))-(CROQUIS_DATOS!$C$1507))+((CROQUIS_DATOS!$C$1476)*CROQUIS_DATOS!$C$1561-(0)*CROQUIS_DATOS!$C$1561))/CROQUIS_DATOS!$C$1568-0.000001)),1,MOD($A46-1,2)))=1,MIN((CROQUIS_DATOS!$C$1476)*CROQUIS_DATOS!$C$1561,((CROQUIS_DATOS!$C$1507+CROQUIS_DATOS!$C$1508)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46-1)/2)+1,MAX(1,INT(((((CROQUIS_DATOS!$C$1507+CROQUIS_DATOS!$C$1508))-(CROQUIS_DATOS!$C$1507))+((CROQUIS_DATOS!$C$1476)*CROQUIS_DATOS!$C$1561-(0)*CROQUIS_DATOS!$C$1561))/CROQUIS_DATOS!$C$1568-0.000001)))*CROQUIS_DATOS!$C$1568))))*CROQUIS_DATOS!$C$1565),-1000)</f>
        <v>19.6896551724138</v>
      </c>
      <c r="CF46">
        <f>IF(AND(CROQUIS_DATOS!$C$1472=1,CROQUIS_DATOS!$C$1512&gt;0,((CROQUIS_DATOS!$C$1511+CROQUIS_DATOS!$C$1512))-(CROQUIS_DATOS!$C$1511)&gt;0.5,(CROQUIS_DATOS!$C$1476)-(0)&gt;0.5),(CROQUIS_DATOS!$C$1566+(IF(IF(MOD(MIN(INT(($A46-1)/2)+1,MAX(1,INT(((((CROQUIS_DATOS!$C$1511+CROQUIS_DATOS!$C$1512))-(CROQUIS_DATOS!$C$1511))+((CROQUIS_DATOS!$C$1476)*CROQUIS_DATOS!$C$1561-(0)*CROQUIS_DATOS!$C$1561))/CROQUIS_DATOS!$C$1568-0.000001))),2)=1,IF(INT(($A46-1)/2)+1&gt;MAX(1,INT(((((CROQUIS_DATOS!$C$1511+CROQUIS_DATOS!$C$1512))-(CROQUIS_DATOS!$C$1511))+((CROQUIS_DATOS!$C$1476)*CROQUIS_DATOS!$C$1561-(0)*CROQUIS_DATOS!$C$1561))/CROQUIS_DATOS!$C$1568-0.000001)),1,MOD($A46-1,2)),1-IF(INT(($A46-1)/2)+1&gt;MAX(1,INT(((((CROQUIS_DATOS!$C$1511+CROQUIS_DATOS!$C$1512))-(CROQUIS_DATOS!$C$1511))+((CROQUIS_DATOS!$C$1476)*CROQUIS_DATOS!$C$1561-(0)*CROQUIS_DATOS!$C$1561))/CROQUIS_DATOS!$C$1568-0.000001)),1,MOD($A46-1,2)))=1,MIN((CROQUIS_DATOS!$C$1476)*CROQUIS_DATOS!$C$1561,((CROQUIS_DATOS!$C$1511+CROQUIS_DATOS!$C$1512)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6">
        <f>IF(AND(CROQUIS_DATOS!$C$1472=1,CROQUIS_DATOS!$C$1512&gt;0,((CROQUIS_DATOS!$C$1511+CROQUIS_DATOS!$C$1512))-(CROQUIS_DATOS!$C$1511)&gt;0.5,(CROQUIS_DATOS!$C$1476)-(0)&gt;0.5),(CROQUIS_DATOS!$C$1567+(IF(IF(MOD(MIN(INT(($A46-1)/2)+1,MAX(1,INT(((((CROQUIS_DATOS!$C$1511+CROQUIS_DATOS!$C$1512))-(CROQUIS_DATOS!$C$1511))+((CROQUIS_DATOS!$C$1476)*CROQUIS_DATOS!$C$1561-(0)*CROQUIS_DATOS!$C$1561))/CROQUIS_DATOS!$C$1568-0.000001))),2)=1,IF(INT(($A46-1)/2)+1&gt;MAX(1,INT(((((CROQUIS_DATOS!$C$1511+CROQUIS_DATOS!$C$1512))-(CROQUIS_DATOS!$C$1511))+((CROQUIS_DATOS!$C$1476)*CROQUIS_DATOS!$C$1561-(0)*CROQUIS_DATOS!$C$1561))/CROQUIS_DATOS!$C$1568-0.000001)),1,MOD($A46-1,2)),1-IF(INT(($A46-1)/2)+1&gt;MAX(1,INT(((((CROQUIS_DATOS!$C$1511+CROQUIS_DATOS!$C$1512))-(CROQUIS_DATOS!$C$1511))+((CROQUIS_DATOS!$C$1476)*CROQUIS_DATOS!$C$1561-(0)*CROQUIS_DATOS!$C$1561))/CROQUIS_DATOS!$C$1568-0.000001)),1,MOD($A46-1,2)))=1,MIN((CROQUIS_DATOS!$C$1476)*CROQUIS_DATOS!$C$1561,((CROQUIS_DATOS!$C$1511+CROQUIS_DATOS!$C$1512)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6">
        <f>IF(AND(CROQUIS_DATOS!$C$1472=1,CROQUIS_DATOS!$C$1516&gt;0,((CROQUIS_DATOS!$C$1515+CROQUIS_DATOS!$C$1516))-(CROQUIS_DATOS!$C$1515)&gt;0.5,(CROQUIS_DATOS!$C$1476)-(0)&gt;0.5),(CROQUIS_DATOS!$C$1566+(IF(IF(MOD(MIN(INT(($A46-1)/2)+1,MAX(1,INT(((((CROQUIS_DATOS!$C$1515+CROQUIS_DATOS!$C$1516))-(CROQUIS_DATOS!$C$1515))+((CROQUIS_DATOS!$C$1476)*CROQUIS_DATOS!$C$1561-(0)*CROQUIS_DATOS!$C$1561))/CROQUIS_DATOS!$C$1568-0.000001))),2)=1,IF(INT(($A46-1)/2)+1&gt;MAX(1,INT(((((CROQUIS_DATOS!$C$1515+CROQUIS_DATOS!$C$1516))-(CROQUIS_DATOS!$C$1515))+((CROQUIS_DATOS!$C$1476)*CROQUIS_DATOS!$C$1561-(0)*CROQUIS_DATOS!$C$1561))/CROQUIS_DATOS!$C$1568-0.000001)),1,MOD($A46-1,2)),1-IF(INT(($A46-1)/2)+1&gt;MAX(1,INT(((((CROQUIS_DATOS!$C$1515+CROQUIS_DATOS!$C$1516))-(CROQUIS_DATOS!$C$1515))+((CROQUIS_DATOS!$C$1476)*CROQUIS_DATOS!$C$1561-(0)*CROQUIS_DATOS!$C$1561))/CROQUIS_DATOS!$C$1568-0.000001)),1,MOD($A46-1,2)))=1,MIN((CROQUIS_DATOS!$C$1476)*CROQUIS_DATOS!$C$1561,((CROQUIS_DATOS!$C$1515+CROQUIS_DATOS!$C$1516)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6">
        <f>IF(AND(CROQUIS_DATOS!$C$1472=1,CROQUIS_DATOS!$C$1516&gt;0,((CROQUIS_DATOS!$C$1515+CROQUIS_DATOS!$C$1516))-(CROQUIS_DATOS!$C$1515)&gt;0.5,(CROQUIS_DATOS!$C$1476)-(0)&gt;0.5),(CROQUIS_DATOS!$C$1567+(IF(IF(MOD(MIN(INT(($A46-1)/2)+1,MAX(1,INT(((((CROQUIS_DATOS!$C$1515+CROQUIS_DATOS!$C$1516))-(CROQUIS_DATOS!$C$1515))+((CROQUIS_DATOS!$C$1476)*CROQUIS_DATOS!$C$1561-(0)*CROQUIS_DATOS!$C$1561))/CROQUIS_DATOS!$C$1568-0.000001))),2)=1,IF(INT(($A46-1)/2)+1&gt;MAX(1,INT(((((CROQUIS_DATOS!$C$1515+CROQUIS_DATOS!$C$1516))-(CROQUIS_DATOS!$C$1515))+((CROQUIS_DATOS!$C$1476)*CROQUIS_DATOS!$C$1561-(0)*CROQUIS_DATOS!$C$1561))/CROQUIS_DATOS!$C$1568-0.000001)),1,MOD($A46-1,2)),1-IF(INT(($A46-1)/2)+1&gt;MAX(1,INT(((((CROQUIS_DATOS!$C$1515+CROQUIS_DATOS!$C$1516))-(CROQUIS_DATOS!$C$1515))+((CROQUIS_DATOS!$C$1476)*CROQUIS_DATOS!$C$1561-(0)*CROQUIS_DATOS!$C$1561))/CROQUIS_DATOS!$C$1568-0.000001)),1,MOD($A46-1,2)))=1,MIN((CROQUIS_DATOS!$C$1476)*CROQUIS_DATOS!$C$1561,((CROQUIS_DATOS!$C$1515+CROQUIS_DATOS!$C$1516)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6">
        <f>IF(AND(CROQUIS_DATOS!$C$1472=1,CROQUIS_DATOS!$C$1478&gt;=1,((CROQUIS_DATOS!$C$1479+CROQUIS_DATOS!$C$1480))-(CROQUIS_DATOS!$C$1479)&gt;0.5,(CROQUIS_DATOS!$C$1481)-(0)&gt;0.5),(CROQUIS_DATOS!$C$1566+(IF(IF(MOD(MIN(INT(($A46-1)/2)+1,MAX(1,INT(((((CROQUIS_DATOS!$C$1479+CROQUIS_DATOS!$C$1480))-(CROQUIS_DATOS!$C$1479))+((CROQUIS_DATOS!$C$1481)*CROQUIS_DATOS!$C$1561-(0)*CROQUIS_DATOS!$C$1561))/CROQUIS_DATOS!$C$1568-0.000001))),2)=1,IF(INT(($A46-1)/2)+1&gt;MAX(1,INT(((((CROQUIS_DATOS!$C$1479+CROQUIS_DATOS!$C$1480))-(CROQUIS_DATOS!$C$1479))+((CROQUIS_DATOS!$C$1481)*CROQUIS_DATOS!$C$1561-(0)*CROQUIS_DATOS!$C$1561))/CROQUIS_DATOS!$C$1568-0.000001)),1,MOD($A46-1,2)),1-IF(INT(($A46-1)/2)+1&gt;MAX(1,INT(((((CROQUIS_DATOS!$C$1479+CROQUIS_DATOS!$C$1480))-(CROQUIS_DATOS!$C$1479))+((CROQUIS_DATOS!$C$1481)*CROQUIS_DATOS!$C$1561-(0)*CROQUIS_DATOS!$C$1561))/CROQUIS_DATOS!$C$1568-0.000001)),1,MOD($A46-1,2)))=1,MIN((CROQUIS_DATOS!$C$1481)*CROQUIS_DATOS!$C$1561,((CROQUIS_DATOS!$C$1479+CROQUIS_DATOS!$C$1480)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6">
        <f>IF(AND(CROQUIS_DATOS!$C$1472=1,CROQUIS_DATOS!$C$1478&gt;=1,((CROQUIS_DATOS!$C$1479+CROQUIS_DATOS!$C$1480))-(CROQUIS_DATOS!$C$1479)&gt;0.5,(CROQUIS_DATOS!$C$1481)-(0)&gt;0.5),(CROQUIS_DATOS!$C$1567+(IF(IF(MOD(MIN(INT(($A46-1)/2)+1,MAX(1,INT(((((CROQUIS_DATOS!$C$1479+CROQUIS_DATOS!$C$1480))-(CROQUIS_DATOS!$C$1479))+((CROQUIS_DATOS!$C$1481)*CROQUIS_DATOS!$C$1561-(0)*CROQUIS_DATOS!$C$1561))/CROQUIS_DATOS!$C$1568-0.000001))),2)=1,IF(INT(($A46-1)/2)+1&gt;MAX(1,INT(((((CROQUIS_DATOS!$C$1479+CROQUIS_DATOS!$C$1480))-(CROQUIS_DATOS!$C$1479))+((CROQUIS_DATOS!$C$1481)*CROQUIS_DATOS!$C$1561-(0)*CROQUIS_DATOS!$C$1561))/CROQUIS_DATOS!$C$1568-0.000001)),1,MOD($A46-1,2)),1-IF(INT(($A46-1)/2)+1&gt;MAX(1,INT(((((CROQUIS_DATOS!$C$1479+CROQUIS_DATOS!$C$1480))-(CROQUIS_DATOS!$C$1479))+((CROQUIS_DATOS!$C$1481)*CROQUIS_DATOS!$C$1561-(0)*CROQUIS_DATOS!$C$1561))/CROQUIS_DATOS!$C$1568-0.000001)),1,MOD($A46-1,2)))=1,MIN((CROQUIS_DATOS!$C$1481)*CROQUIS_DATOS!$C$1561,((CROQUIS_DATOS!$C$1479+CROQUIS_DATOS!$C$1480)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6">
        <f>IF(AND(CROQUIS_DATOS!$C$1472=1,CROQUIS_DATOS!$C$1478&gt;=1,((CROQUIS_DATOS!$C$1479+CROQUIS_DATOS!$C$1480))-(CROQUIS_DATOS!$C$1479)&gt;0.5,(CROQUIS_DATOS!$C$1476)-((CROQUIS_DATOS!$C$1481+CROQUIS_DATOS!$C$1482))&gt;0.5),(CROQUIS_DATOS!$C$1566+(IF(IF(MOD(MIN(INT(($A46-1)/2)+1,MAX(1,INT(((((CROQUIS_DATOS!$C$1479+CROQUIS_DATOS!$C$1480))-(CROQUIS_DATOS!$C$1479))+((CROQUIS_DATOS!$C$1476)*CROQUIS_DATOS!$C$1561-((CROQUIS_DATOS!$C$1481+CROQUIS_DATOS!$C$1482))*CROQUIS_DATOS!$C$1561))/CROQUIS_DATOS!$C$1568-0.000001))),2)=1,IF(INT(($A46-1)/2)+1&gt;MAX(1,INT(((((CROQUIS_DATOS!$C$1479+CROQUIS_DATOS!$C$1480))-(CROQUIS_DATOS!$C$1479))+((CROQUIS_DATOS!$C$1476)*CROQUIS_DATOS!$C$1561-((CROQUIS_DATOS!$C$1481+CROQUIS_DATOS!$C$1482))*CROQUIS_DATOS!$C$1561))/CROQUIS_DATOS!$C$1568-0.000001)),1,MOD($A46-1,2)),1-IF(INT(($A46-1)/2)+1&gt;MAX(1,INT(((((CROQUIS_DATOS!$C$1479+CROQUIS_DATOS!$C$1480))-(CROQUIS_DATOS!$C$1479))+((CROQUIS_DATOS!$C$1476)*CROQUIS_DATOS!$C$1561-((CROQUIS_DATOS!$C$1481+CROQUIS_DATOS!$C$1482))*CROQUIS_DATOS!$C$1561))/CROQUIS_DATOS!$C$1568-0.000001)),1,MOD($A46-1,2)))=1,MIN((CROQUIS_DATOS!$C$1476)*CROQUIS_DATOS!$C$1561,((CROQUIS_DATOS!$C$1479+CROQUIS_DATOS!$C$1480)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6">
        <f>IF(AND(CROQUIS_DATOS!$C$1472=1,CROQUIS_DATOS!$C$1478&gt;=1,((CROQUIS_DATOS!$C$1479+CROQUIS_DATOS!$C$1480))-(CROQUIS_DATOS!$C$1479)&gt;0.5,(CROQUIS_DATOS!$C$1476)-((CROQUIS_DATOS!$C$1481+CROQUIS_DATOS!$C$1482))&gt;0.5),(CROQUIS_DATOS!$C$1567+(IF(IF(MOD(MIN(INT(($A46-1)/2)+1,MAX(1,INT(((((CROQUIS_DATOS!$C$1479+CROQUIS_DATOS!$C$1480))-(CROQUIS_DATOS!$C$1479))+((CROQUIS_DATOS!$C$1476)*CROQUIS_DATOS!$C$1561-((CROQUIS_DATOS!$C$1481+CROQUIS_DATOS!$C$1482))*CROQUIS_DATOS!$C$1561))/CROQUIS_DATOS!$C$1568-0.000001))),2)=1,IF(INT(($A46-1)/2)+1&gt;MAX(1,INT(((((CROQUIS_DATOS!$C$1479+CROQUIS_DATOS!$C$1480))-(CROQUIS_DATOS!$C$1479))+((CROQUIS_DATOS!$C$1476)*CROQUIS_DATOS!$C$1561-((CROQUIS_DATOS!$C$1481+CROQUIS_DATOS!$C$1482))*CROQUIS_DATOS!$C$1561))/CROQUIS_DATOS!$C$1568-0.000001)),1,MOD($A46-1,2)),1-IF(INT(($A46-1)/2)+1&gt;MAX(1,INT(((((CROQUIS_DATOS!$C$1479+CROQUIS_DATOS!$C$1480))-(CROQUIS_DATOS!$C$1479))+((CROQUIS_DATOS!$C$1476)*CROQUIS_DATOS!$C$1561-((CROQUIS_DATOS!$C$1481+CROQUIS_DATOS!$C$1482))*CROQUIS_DATOS!$C$1561))/CROQUIS_DATOS!$C$1568-0.000001)),1,MOD($A46-1,2)))=1,MIN((CROQUIS_DATOS!$C$1476)*CROQUIS_DATOS!$C$1561,((CROQUIS_DATOS!$C$1479+CROQUIS_DATOS!$C$1480)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6">
        <f>IF(AND(CROQUIS_DATOS!$C$1472=1,CROQUIS_DATOS!$C$1478&gt;=2,((CROQUIS_DATOS!$C$1484+CROQUIS_DATOS!$C$1485))-(CROQUIS_DATOS!$C$1484)&gt;0.5,(CROQUIS_DATOS!$C$1486)-(0)&gt;0.5),(CROQUIS_DATOS!$C$1566+(IF(IF(MOD(MIN(INT(($A46-1)/2)+1,MAX(1,INT(((((CROQUIS_DATOS!$C$1484+CROQUIS_DATOS!$C$1485))-(CROQUIS_DATOS!$C$1484))+((CROQUIS_DATOS!$C$1486)*CROQUIS_DATOS!$C$1561-(0)*CROQUIS_DATOS!$C$1561))/CROQUIS_DATOS!$C$1568-0.000001))),2)=1,IF(INT(($A46-1)/2)+1&gt;MAX(1,INT(((((CROQUIS_DATOS!$C$1484+CROQUIS_DATOS!$C$1485))-(CROQUIS_DATOS!$C$1484))+((CROQUIS_DATOS!$C$1486)*CROQUIS_DATOS!$C$1561-(0)*CROQUIS_DATOS!$C$1561))/CROQUIS_DATOS!$C$1568-0.000001)),1,MOD($A46-1,2)),1-IF(INT(($A46-1)/2)+1&gt;MAX(1,INT(((((CROQUIS_DATOS!$C$1484+CROQUIS_DATOS!$C$1485))-(CROQUIS_DATOS!$C$1484))+((CROQUIS_DATOS!$C$1486)*CROQUIS_DATOS!$C$1561-(0)*CROQUIS_DATOS!$C$1561))/CROQUIS_DATOS!$C$1568-0.000001)),1,MOD($A46-1,2)))=1,MIN((CROQUIS_DATOS!$C$1486)*CROQUIS_DATOS!$C$1561,((CROQUIS_DATOS!$C$1484+CROQUIS_DATOS!$C$1485)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6">
        <f>IF(AND(CROQUIS_DATOS!$C$1472=1,CROQUIS_DATOS!$C$1478&gt;=2,((CROQUIS_DATOS!$C$1484+CROQUIS_DATOS!$C$1485))-(CROQUIS_DATOS!$C$1484)&gt;0.5,(CROQUIS_DATOS!$C$1486)-(0)&gt;0.5),(CROQUIS_DATOS!$C$1567+(IF(IF(MOD(MIN(INT(($A46-1)/2)+1,MAX(1,INT(((((CROQUIS_DATOS!$C$1484+CROQUIS_DATOS!$C$1485))-(CROQUIS_DATOS!$C$1484))+((CROQUIS_DATOS!$C$1486)*CROQUIS_DATOS!$C$1561-(0)*CROQUIS_DATOS!$C$1561))/CROQUIS_DATOS!$C$1568-0.000001))),2)=1,IF(INT(($A46-1)/2)+1&gt;MAX(1,INT(((((CROQUIS_DATOS!$C$1484+CROQUIS_DATOS!$C$1485))-(CROQUIS_DATOS!$C$1484))+((CROQUIS_DATOS!$C$1486)*CROQUIS_DATOS!$C$1561-(0)*CROQUIS_DATOS!$C$1561))/CROQUIS_DATOS!$C$1568-0.000001)),1,MOD($A46-1,2)),1-IF(INT(($A46-1)/2)+1&gt;MAX(1,INT(((((CROQUIS_DATOS!$C$1484+CROQUIS_DATOS!$C$1485))-(CROQUIS_DATOS!$C$1484))+((CROQUIS_DATOS!$C$1486)*CROQUIS_DATOS!$C$1561-(0)*CROQUIS_DATOS!$C$1561))/CROQUIS_DATOS!$C$1568-0.000001)),1,MOD($A46-1,2)))=1,MIN((CROQUIS_DATOS!$C$1486)*CROQUIS_DATOS!$C$1561,((CROQUIS_DATOS!$C$1484+CROQUIS_DATOS!$C$1485)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6">
        <f>IF(AND(CROQUIS_DATOS!$C$1472=1,CROQUIS_DATOS!$C$1478&gt;=2,((CROQUIS_DATOS!$C$1484+CROQUIS_DATOS!$C$1485))-(CROQUIS_DATOS!$C$1484)&gt;0.5,(CROQUIS_DATOS!$C$1476)-((CROQUIS_DATOS!$C$1486+CROQUIS_DATOS!$C$1487))&gt;0.5),(CROQUIS_DATOS!$C$1566+(IF(IF(MOD(MIN(INT(($A46-1)/2)+1,MAX(1,INT(((((CROQUIS_DATOS!$C$1484+CROQUIS_DATOS!$C$1485))-(CROQUIS_DATOS!$C$1484))+((CROQUIS_DATOS!$C$1476)*CROQUIS_DATOS!$C$1561-((CROQUIS_DATOS!$C$1486+CROQUIS_DATOS!$C$1487))*CROQUIS_DATOS!$C$1561))/CROQUIS_DATOS!$C$1568-0.000001))),2)=1,IF(INT(($A46-1)/2)+1&gt;MAX(1,INT(((((CROQUIS_DATOS!$C$1484+CROQUIS_DATOS!$C$1485))-(CROQUIS_DATOS!$C$1484))+((CROQUIS_DATOS!$C$1476)*CROQUIS_DATOS!$C$1561-((CROQUIS_DATOS!$C$1486+CROQUIS_DATOS!$C$1487))*CROQUIS_DATOS!$C$1561))/CROQUIS_DATOS!$C$1568-0.000001)),1,MOD($A46-1,2)),1-IF(INT(($A46-1)/2)+1&gt;MAX(1,INT(((((CROQUIS_DATOS!$C$1484+CROQUIS_DATOS!$C$1485))-(CROQUIS_DATOS!$C$1484))+((CROQUIS_DATOS!$C$1476)*CROQUIS_DATOS!$C$1561-((CROQUIS_DATOS!$C$1486+CROQUIS_DATOS!$C$1487))*CROQUIS_DATOS!$C$1561))/CROQUIS_DATOS!$C$1568-0.000001)),1,MOD($A46-1,2)))=1,MIN((CROQUIS_DATOS!$C$1476)*CROQUIS_DATOS!$C$1561,((CROQUIS_DATOS!$C$1484+CROQUIS_DATOS!$C$1485)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6">
        <f>IF(AND(CROQUIS_DATOS!$C$1472=1,CROQUIS_DATOS!$C$1478&gt;=2,((CROQUIS_DATOS!$C$1484+CROQUIS_DATOS!$C$1485))-(CROQUIS_DATOS!$C$1484)&gt;0.5,(CROQUIS_DATOS!$C$1476)-((CROQUIS_DATOS!$C$1486+CROQUIS_DATOS!$C$1487))&gt;0.5),(CROQUIS_DATOS!$C$1567+(IF(IF(MOD(MIN(INT(($A46-1)/2)+1,MAX(1,INT(((((CROQUIS_DATOS!$C$1484+CROQUIS_DATOS!$C$1485))-(CROQUIS_DATOS!$C$1484))+((CROQUIS_DATOS!$C$1476)*CROQUIS_DATOS!$C$1561-((CROQUIS_DATOS!$C$1486+CROQUIS_DATOS!$C$1487))*CROQUIS_DATOS!$C$1561))/CROQUIS_DATOS!$C$1568-0.000001))),2)=1,IF(INT(($A46-1)/2)+1&gt;MAX(1,INT(((((CROQUIS_DATOS!$C$1484+CROQUIS_DATOS!$C$1485))-(CROQUIS_DATOS!$C$1484))+((CROQUIS_DATOS!$C$1476)*CROQUIS_DATOS!$C$1561-((CROQUIS_DATOS!$C$1486+CROQUIS_DATOS!$C$1487))*CROQUIS_DATOS!$C$1561))/CROQUIS_DATOS!$C$1568-0.000001)),1,MOD($A46-1,2)),1-IF(INT(($A46-1)/2)+1&gt;MAX(1,INT(((((CROQUIS_DATOS!$C$1484+CROQUIS_DATOS!$C$1485))-(CROQUIS_DATOS!$C$1484))+((CROQUIS_DATOS!$C$1476)*CROQUIS_DATOS!$C$1561-((CROQUIS_DATOS!$C$1486+CROQUIS_DATOS!$C$1487))*CROQUIS_DATOS!$C$1561))/CROQUIS_DATOS!$C$1568-0.000001)),1,MOD($A46-1,2)))=1,MIN((CROQUIS_DATOS!$C$1476)*CROQUIS_DATOS!$C$1561,((CROQUIS_DATOS!$C$1484+CROQUIS_DATOS!$C$1485)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6">
        <f>IF(AND(CROQUIS_DATOS!$C$1472=1,CROQUIS_DATOS!$C$1478&gt;=3,((CROQUIS_DATOS!$C$1489+CROQUIS_DATOS!$C$1490))-(CROQUIS_DATOS!$C$1489)&gt;0.5,(CROQUIS_DATOS!$C$1491)-(0)&gt;0.5),(CROQUIS_DATOS!$C$1566+(IF(IF(MOD(MIN(INT(($A46-1)/2)+1,MAX(1,INT(((((CROQUIS_DATOS!$C$1489+CROQUIS_DATOS!$C$1490))-(CROQUIS_DATOS!$C$1489))+((CROQUIS_DATOS!$C$1491)*CROQUIS_DATOS!$C$1561-(0)*CROQUIS_DATOS!$C$1561))/CROQUIS_DATOS!$C$1568-0.000001))),2)=1,IF(INT(($A46-1)/2)+1&gt;MAX(1,INT(((((CROQUIS_DATOS!$C$1489+CROQUIS_DATOS!$C$1490))-(CROQUIS_DATOS!$C$1489))+((CROQUIS_DATOS!$C$1491)*CROQUIS_DATOS!$C$1561-(0)*CROQUIS_DATOS!$C$1561))/CROQUIS_DATOS!$C$1568-0.000001)),1,MOD($A46-1,2)),1-IF(INT(($A46-1)/2)+1&gt;MAX(1,INT(((((CROQUIS_DATOS!$C$1489+CROQUIS_DATOS!$C$1490))-(CROQUIS_DATOS!$C$1489))+((CROQUIS_DATOS!$C$1491)*CROQUIS_DATOS!$C$1561-(0)*CROQUIS_DATOS!$C$1561))/CROQUIS_DATOS!$C$1568-0.000001)),1,MOD($A46-1,2)))=1,MIN((CROQUIS_DATOS!$C$1491)*CROQUIS_DATOS!$C$1561,((CROQUIS_DATOS!$C$1489+CROQUIS_DATOS!$C$1490)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6">
        <f>IF(AND(CROQUIS_DATOS!$C$1472=1,CROQUIS_DATOS!$C$1478&gt;=3,((CROQUIS_DATOS!$C$1489+CROQUIS_DATOS!$C$1490))-(CROQUIS_DATOS!$C$1489)&gt;0.5,(CROQUIS_DATOS!$C$1491)-(0)&gt;0.5),(CROQUIS_DATOS!$C$1567+(IF(IF(MOD(MIN(INT(($A46-1)/2)+1,MAX(1,INT(((((CROQUIS_DATOS!$C$1489+CROQUIS_DATOS!$C$1490))-(CROQUIS_DATOS!$C$1489))+((CROQUIS_DATOS!$C$1491)*CROQUIS_DATOS!$C$1561-(0)*CROQUIS_DATOS!$C$1561))/CROQUIS_DATOS!$C$1568-0.000001))),2)=1,IF(INT(($A46-1)/2)+1&gt;MAX(1,INT(((((CROQUIS_DATOS!$C$1489+CROQUIS_DATOS!$C$1490))-(CROQUIS_DATOS!$C$1489))+((CROQUIS_DATOS!$C$1491)*CROQUIS_DATOS!$C$1561-(0)*CROQUIS_DATOS!$C$1561))/CROQUIS_DATOS!$C$1568-0.000001)),1,MOD($A46-1,2)),1-IF(INT(($A46-1)/2)+1&gt;MAX(1,INT(((((CROQUIS_DATOS!$C$1489+CROQUIS_DATOS!$C$1490))-(CROQUIS_DATOS!$C$1489))+((CROQUIS_DATOS!$C$1491)*CROQUIS_DATOS!$C$1561-(0)*CROQUIS_DATOS!$C$1561))/CROQUIS_DATOS!$C$1568-0.000001)),1,MOD($A46-1,2)))=1,MIN((CROQUIS_DATOS!$C$1491)*CROQUIS_DATOS!$C$1561,((CROQUIS_DATOS!$C$1489+CROQUIS_DATOS!$C$1490)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6">
        <f>IF(AND(CROQUIS_DATOS!$C$1472=1,CROQUIS_DATOS!$C$1478&gt;=3,((CROQUIS_DATOS!$C$1489+CROQUIS_DATOS!$C$1490))-(CROQUIS_DATOS!$C$1489)&gt;0.5,(CROQUIS_DATOS!$C$1476)-((CROQUIS_DATOS!$C$1491+CROQUIS_DATOS!$C$1492))&gt;0.5),(CROQUIS_DATOS!$C$1566+(IF(IF(MOD(MIN(INT(($A46-1)/2)+1,MAX(1,INT(((((CROQUIS_DATOS!$C$1489+CROQUIS_DATOS!$C$1490))-(CROQUIS_DATOS!$C$1489))+((CROQUIS_DATOS!$C$1476)*CROQUIS_DATOS!$C$1561-((CROQUIS_DATOS!$C$1491+CROQUIS_DATOS!$C$1492))*CROQUIS_DATOS!$C$1561))/CROQUIS_DATOS!$C$1568-0.000001))),2)=1,IF(INT(($A46-1)/2)+1&gt;MAX(1,INT(((((CROQUIS_DATOS!$C$1489+CROQUIS_DATOS!$C$1490))-(CROQUIS_DATOS!$C$1489))+((CROQUIS_DATOS!$C$1476)*CROQUIS_DATOS!$C$1561-((CROQUIS_DATOS!$C$1491+CROQUIS_DATOS!$C$1492))*CROQUIS_DATOS!$C$1561))/CROQUIS_DATOS!$C$1568-0.000001)),1,MOD($A46-1,2)),1-IF(INT(($A46-1)/2)+1&gt;MAX(1,INT(((((CROQUIS_DATOS!$C$1489+CROQUIS_DATOS!$C$1490))-(CROQUIS_DATOS!$C$1489))+((CROQUIS_DATOS!$C$1476)*CROQUIS_DATOS!$C$1561-((CROQUIS_DATOS!$C$1491+CROQUIS_DATOS!$C$1492))*CROQUIS_DATOS!$C$1561))/CROQUIS_DATOS!$C$1568-0.000001)),1,MOD($A46-1,2)))=1,MIN((CROQUIS_DATOS!$C$1476)*CROQUIS_DATOS!$C$1561,((CROQUIS_DATOS!$C$1489+CROQUIS_DATOS!$C$1490)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6">
        <f>IF(AND(CROQUIS_DATOS!$C$1472=1,CROQUIS_DATOS!$C$1478&gt;=3,((CROQUIS_DATOS!$C$1489+CROQUIS_DATOS!$C$1490))-(CROQUIS_DATOS!$C$1489)&gt;0.5,(CROQUIS_DATOS!$C$1476)-((CROQUIS_DATOS!$C$1491+CROQUIS_DATOS!$C$1492))&gt;0.5),(CROQUIS_DATOS!$C$1567+(IF(IF(MOD(MIN(INT(($A46-1)/2)+1,MAX(1,INT(((((CROQUIS_DATOS!$C$1489+CROQUIS_DATOS!$C$1490))-(CROQUIS_DATOS!$C$1489))+((CROQUIS_DATOS!$C$1476)*CROQUIS_DATOS!$C$1561-((CROQUIS_DATOS!$C$1491+CROQUIS_DATOS!$C$1492))*CROQUIS_DATOS!$C$1561))/CROQUIS_DATOS!$C$1568-0.000001))),2)=1,IF(INT(($A46-1)/2)+1&gt;MAX(1,INT(((((CROQUIS_DATOS!$C$1489+CROQUIS_DATOS!$C$1490))-(CROQUIS_DATOS!$C$1489))+((CROQUIS_DATOS!$C$1476)*CROQUIS_DATOS!$C$1561-((CROQUIS_DATOS!$C$1491+CROQUIS_DATOS!$C$1492))*CROQUIS_DATOS!$C$1561))/CROQUIS_DATOS!$C$1568-0.000001)),1,MOD($A46-1,2)),1-IF(INT(($A46-1)/2)+1&gt;MAX(1,INT(((((CROQUIS_DATOS!$C$1489+CROQUIS_DATOS!$C$1490))-(CROQUIS_DATOS!$C$1489))+((CROQUIS_DATOS!$C$1476)*CROQUIS_DATOS!$C$1561-((CROQUIS_DATOS!$C$1491+CROQUIS_DATOS!$C$1492))*CROQUIS_DATOS!$C$1561))/CROQUIS_DATOS!$C$1568-0.000001)),1,MOD($A46-1,2)))=1,MIN((CROQUIS_DATOS!$C$1476)*CROQUIS_DATOS!$C$1561,((CROQUIS_DATOS!$C$1489+CROQUIS_DATOS!$C$1490)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6">
        <f>IF(AND(CROQUIS_DATOS!$C$1472=1,CROQUIS_DATOS!$C$1478&gt;=4,((CROQUIS_DATOS!$C$1494+CROQUIS_DATOS!$C$1495))-(CROQUIS_DATOS!$C$1494)&gt;0.5,(CROQUIS_DATOS!$C$1496)-(0)&gt;0.5),(CROQUIS_DATOS!$C$1566+(IF(IF(MOD(MIN(INT(($A46-1)/2)+1,MAX(1,INT(((((CROQUIS_DATOS!$C$1494+CROQUIS_DATOS!$C$1495))-(CROQUIS_DATOS!$C$1494))+((CROQUIS_DATOS!$C$1496)*CROQUIS_DATOS!$C$1561-(0)*CROQUIS_DATOS!$C$1561))/CROQUIS_DATOS!$C$1568-0.000001))),2)=1,IF(INT(($A46-1)/2)+1&gt;MAX(1,INT(((((CROQUIS_DATOS!$C$1494+CROQUIS_DATOS!$C$1495))-(CROQUIS_DATOS!$C$1494))+((CROQUIS_DATOS!$C$1496)*CROQUIS_DATOS!$C$1561-(0)*CROQUIS_DATOS!$C$1561))/CROQUIS_DATOS!$C$1568-0.000001)),1,MOD($A46-1,2)),1-IF(INT(($A46-1)/2)+1&gt;MAX(1,INT(((((CROQUIS_DATOS!$C$1494+CROQUIS_DATOS!$C$1495))-(CROQUIS_DATOS!$C$1494))+((CROQUIS_DATOS!$C$1496)*CROQUIS_DATOS!$C$1561-(0)*CROQUIS_DATOS!$C$1561))/CROQUIS_DATOS!$C$1568-0.000001)),1,MOD($A46-1,2)))=1,MIN((CROQUIS_DATOS!$C$1496)*CROQUIS_DATOS!$C$1561,((CROQUIS_DATOS!$C$1494+CROQUIS_DATOS!$C$1495)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6">
        <f>IF(AND(CROQUIS_DATOS!$C$1472=1,CROQUIS_DATOS!$C$1478&gt;=4,((CROQUIS_DATOS!$C$1494+CROQUIS_DATOS!$C$1495))-(CROQUIS_DATOS!$C$1494)&gt;0.5,(CROQUIS_DATOS!$C$1496)-(0)&gt;0.5),(CROQUIS_DATOS!$C$1567+(IF(IF(MOD(MIN(INT(($A46-1)/2)+1,MAX(1,INT(((((CROQUIS_DATOS!$C$1494+CROQUIS_DATOS!$C$1495))-(CROQUIS_DATOS!$C$1494))+((CROQUIS_DATOS!$C$1496)*CROQUIS_DATOS!$C$1561-(0)*CROQUIS_DATOS!$C$1561))/CROQUIS_DATOS!$C$1568-0.000001))),2)=1,IF(INT(($A46-1)/2)+1&gt;MAX(1,INT(((((CROQUIS_DATOS!$C$1494+CROQUIS_DATOS!$C$1495))-(CROQUIS_DATOS!$C$1494))+((CROQUIS_DATOS!$C$1496)*CROQUIS_DATOS!$C$1561-(0)*CROQUIS_DATOS!$C$1561))/CROQUIS_DATOS!$C$1568-0.000001)),1,MOD($A46-1,2)),1-IF(INT(($A46-1)/2)+1&gt;MAX(1,INT(((((CROQUIS_DATOS!$C$1494+CROQUIS_DATOS!$C$1495))-(CROQUIS_DATOS!$C$1494))+((CROQUIS_DATOS!$C$1496)*CROQUIS_DATOS!$C$1561-(0)*CROQUIS_DATOS!$C$1561))/CROQUIS_DATOS!$C$1568-0.000001)),1,MOD($A46-1,2)))=1,MIN((CROQUIS_DATOS!$C$1496)*CROQUIS_DATOS!$C$1561,((CROQUIS_DATOS!$C$1494+CROQUIS_DATOS!$C$1495)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6">
        <f>IF(AND(CROQUIS_DATOS!$C$1472=1,CROQUIS_DATOS!$C$1478&gt;=4,((CROQUIS_DATOS!$C$1494+CROQUIS_DATOS!$C$1495))-(CROQUIS_DATOS!$C$1494)&gt;0.5,(CROQUIS_DATOS!$C$1476)-((CROQUIS_DATOS!$C$1496+CROQUIS_DATOS!$C$1497))&gt;0.5),(CROQUIS_DATOS!$C$1566+(IF(IF(MOD(MIN(INT(($A46-1)/2)+1,MAX(1,INT(((((CROQUIS_DATOS!$C$1494+CROQUIS_DATOS!$C$1495))-(CROQUIS_DATOS!$C$1494))+((CROQUIS_DATOS!$C$1476)*CROQUIS_DATOS!$C$1561-((CROQUIS_DATOS!$C$1496+CROQUIS_DATOS!$C$1497))*CROQUIS_DATOS!$C$1561))/CROQUIS_DATOS!$C$1568-0.000001))),2)=1,IF(INT(($A46-1)/2)+1&gt;MAX(1,INT(((((CROQUIS_DATOS!$C$1494+CROQUIS_DATOS!$C$1495))-(CROQUIS_DATOS!$C$1494))+((CROQUIS_DATOS!$C$1476)*CROQUIS_DATOS!$C$1561-((CROQUIS_DATOS!$C$1496+CROQUIS_DATOS!$C$1497))*CROQUIS_DATOS!$C$1561))/CROQUIS_DATOS!$C$1568-0.000001)),1,MOD($A46-1,2)),1-IF(INT(($A46-1)/2)+1&gt;MAX(1,INT(((((CROQUIS_DATOS!$C$1494+CROQUIS_DATOS!$C$1495))-(CROQUIS_DATOS!$C$1494))+((CROQUIS_DATOS!$C$1476)*CROQUIS_DATOS!$C$1561-((CROQUIS_DATOS!$C$1496+CROQUIS_DATOS!$C$1497))*CROQUIS_DATOS!$C$1561))/CROQUIS_DATOS!$C$1568-0.000001)),1,MOD($A46-1,2)))=1,MIN((CROQUIS_DATOS!$C$1476)*CROQUIS_DATOS!$C$1561,((CROQUIS_DATOS!$C$1494+CROQUIS_DATOS!$C$1495)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6">
        <f>IF(AND(CROQUIS_DATOS!$C$1472=1,CROQUIS_DATOS!$C$1478&gt;=4,((CROQUIS_DATOS!$C$1494+CROQUIS_DATOS!$C$1495))-(CROQUIS_DATOS!$C$1494)&gt;0.5,(CROQUIS_DATOS!$C$1476)-((CROQUIS_DATOS!$C$1496+CROQUIS_DATOS!$C$1497))&gt;0.5),(CROQUIS_DATOS!$C$1567+(IF(IF(MOD(MIN(INT(($A46-1)/2)+1,MAX(1,INT(((((CROQUIS_DATOS!$C$1494+CROQUIS_DATOS!$C$1495))-(CROQUIS_DATOS!$C$1494))+((CROQUIS_DATOS!$C$1476)*CROQUIS_DATOS!$C$1561-((CROQUIS_DATOS!$C$1496+CROQUIS_DATOS!$C$1497))*CROQUIS_DATOS!$C$1561))/CROQUIS_DATOS!$C$1568-0.000001))),2)=1,IF(INT(($A46-1)/2)+1&gt;MAX(1,INT(((((CROQUIS_DATOS!$C$1494+CROQUIS_DATOS!$C$1495))-(CROQUIS_DATOS!$C$1494))+((CROQUIS_DATOS!$C$1476)*CROQUIS_DATOS!$C$1561-((CROQUIS_DATOS!$C$1496+CROQUIS_DATOS!$C$1497))*CROQUIS_DATOS!$C$1561))/CROQUIS_DATOS!$C$1568-0.000001)),1,MOD($A46-1,2)),1-IF(INT(($A46-1)/2)+1&gt;MAX(1,INT(((((CROQUIS_DATOS!$C$1494+CROQUIS_DATOS!$C$1495))-(CROQUIS_DATOS!$C$1494))+((CROQUIS_DATOS!$C$1476)*CROQUIS_DATOS!$C$1561-((CROQUIS_DATOS!$C$1496+CROQUIS_DATOS!$C$1497))*CROQUIS_DATOS!$C$1561))/CROQUIS_DATOS!$C$1568-0.000001)),1,MOD($A46-1,2)))=1,MIN((CROQUIS_DATOS!$C$1476)*CROQUIS_DATOS!$C$1561,((CROQUIS_DATOS!$C$1494+CROQUIS_DATOS!$C$1495)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6">
        <f>IF(AND(CROQUIS_DATOS!$C$1472=1,1),(CROQUIS_DATOS!$C$1571+(CHOOSE(MIN(MAX(IF(INT(($A46-1)/5)+1&gt;CROQUIS_DATOS!$C$1525,5,MOD($A46-1,5)+1),1),5),(INDEX($E$8:$E$23,MIN(INT(($A46-1)/5)+1,CROQUIS_DATOS!$C$1525))-INDEX($F$8:$F$23,MIN(INT(($A46-1)/5)+1,CROQUIS_DATOS!$C$1525))/2),(INDEX($E$8:$E$23,MIN(INT(($A46-1)/5)+1,CROQUIS_DATOS!$C$1525))+INDEX($F$8:$F$23,MIN(INT(($A46-1)/5)+1,CROQUIS_DATOS!$C$1525))/2),(INDEX($E$8:$E$23,MIN(INT(($A46-1)/5)+1,CROQUIS_DATOS!$C$1525))+INDEX($F$8:$F$23,MIN(INT(($A46-1)/5)+1,CROQUIS_DATOS!$C$1525))/2),(INDEX($E$8:$E$23,MIN(INT(($A46-1)/5)+1,CROQUIS_DATOS!$C$1525))-INDEX($F$8:$F$23,MIN(INT(($A46-1)/5)+1,CROQUIS_DATOS!$C$1525))/2),(INDEX($E$8:$E$23,MIN(INT(($A46-1)/5)+1,CROQUIS_DATOS!$C$1525))-INDEX($F$8:$F$23,MIN(INT(($A46-1)/5)+1,CROQUIS_DATOS!$C$1525))/2)))*CROQUIS_DATOS!$C$1569),-1000)</f>
        <v>95.24</v>
      </c>
      <c r="GE46">
        <f>IF(AND(CROQUIS_DATOS!$C$1472=1,1),(CROQUIS_DATOS!$C$1572+(CHOOSE(MIN(MAX(IF(INT(($A46-1)/5)+1&gt;CROQUIS_DATOS!$C$1525,5,MOD($A46-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6">
        <f>IF(AND(CROQUIS_DATOS!$C$1472=1,1),IF(INT(($A46-1)/4)+1&lt;=CROQUIS_DATOS!$C$1525,(CROQUIS_DATOS!$C$1571+((INDEX($E$8:$E$23,MIN(INT(($A46-1)/4)+1,16))+IF(OR(MOD($A46-1,4)=0,MOD($A46-1,4)=3),-1,1)*(INDEX($F$8:$F$23,MIN(INT(($A46-1)/4)+1,16))/2-(CROQUIS_DATOS!$C$1530+CROQUIS_DATOS!$C$1532+IF(OR(INT(($A46-1)/4)+1=1,INT(($A46-1)/4)+1=CROQUIS_DATOS!$C$1525),CROQUIS_DATOS!$C$1534,CROQUIS_DATOS!$C$1531)/2))))*CROQUIS_DATOS!$C$1569),-1000),-1000)</f>
        <v>-1000</v>
      </c>
      <c r="GG46">
        <f>IF(AND(CROQUIS_DATOS!$C$1472=1,1),IF(INT(($A46-1)/4)+1&lt;=CROQUIS_DATOS!$C$1525,(CROQUIS_DATOS!$C$1572+((CROQUIS_DATOS!$C$1477/2+IF(MOD($A46-1,4)&lt;2,-1,1)*(CROQUIS_DATOS!$C$1527/2-(CROQUIS_DATOS!$C$1530+CROQUIS_DATOS!$C$1532+IF(OR(INT(($A46-1)/4)+1=1,INT(($A46-1)/4)+1=CROQUIS_DATOS!$C$1525),CROQUIS_DATOS!$C$1534,CROQUIS_DATOS!$C$1531)/2))))*CROQUIS_DATOS!$C$1569*CROQUIS_DATOS!$C$1570),-1000),-1000)</f>
        <v>-1000</v>
      </c>
    </row>
    <row r="47">
      <c r="A47" t="n">
        <v>40</v>
      </c>
      <c r="J47">
        <f>IF(AND(CROQUIS_DATOS!$C$1472=1,1),(CROQUIS_DATOS!$C$1563+(CHOOSE(MIN(MAX(IF(INT(($A47-1)/4)+1&gt;CROQUIS_DATOS!$C$1525,4,MOD($A47-1,4)+1),1),4),(INDEX($E$8:$E$23,MIN(INT(($A47-1)/4)+1,CROQUIS_DATOS!$C$1525))-INDEX($F$8:$F$23,MIN(INT(($A47-1)/4)+1,CROQUIS_DATOS!$C$1525))/2),(INDEX($E$8:$E$23,MIN(INT(($A47-1)/4)+1,CROQUIS_DATOS!$C$1525))-INDEX($F$8:$F$23,MIN(INT(($A47-1)/4)+1,CROQUIS_DATOS!$C$1525))/2),(INDEX($E$8:$E$23,MIN(INT(($A47-1)/4)+1,CROQUIS_DATOS!$C$1525))+INDEX($F$8:$F$23,MIN(INT(($A47-1)/4)+1,CROQUIS_DATOS!$C$1525))/2),(INDEX($E$8:$E$23,MIN(INT(($A47-1)/4)+1,CROQUIS_DATOS!$C$1525))+INDEX($F$8:$F$23,MIN(INT(($A47-1)/4)+1,CROQUIS_DATOS!$C$1525))/2)))*CROQUIS_DATOS!$C$1562),-1000)</f>
        <v>84.9137931034483</v>
      </c>
      <c r="K47">
        <f>IF(AND(CROQUIS_DATOS!$C$1472=1,1),(CROQUIS_DATOS!$C$1564+(CHOOSE(MIN(MAX(IF(INT(($A47-1)/4)+1&gt;CROQUIS_DATOS!$C$1525,4,MOD($A47-1,4)+1),1),4),0,CROQUIS_DATOS!$C$1476,CROQUIS_DATOS!$C$1476,0))*CROQUIS_DATOS!$C$1561*CROQUIS_DATOS!$C$1562),-1000)</f>
        <v>5.29310344827586</v>
      </c>
      <c r="L47">
        <f>IF(AND(CROQUIS_DATOS!$C$1472=1,1),(CROQUIS_DATOS!$C$1563+(CHOOSE(MIN(MAX(IF(INT(($A47-1)/4)+1&gt;CROQUIS_DATOS!$C$1525,4,MOD($A47-1,4)+1),1),4),((INDEX($E$8:$E$23,MIN(INT(($A47-1)/4)+1,CROQUIS_DATOS!$C$1525))-INDEX($F$8:$F$23,MIN(INT(($A47-1)/4)+1,CROQUIS_DATOS!$C$1525))/2)+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,((INDEX($E$8:$E$23,MIN(INT(($A47-1)/4)+1,CROQUIS_DATOS!$C$1525))-INDEX($F$8:$F$23,MIN(INT(($A47-1)/4)+1,CROQUIS_DATOS!$C$1525))/2)+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,((INDEX($E$8:$E$23,MIN(INT(($A47-1)/4)+1,CROQUIS_DATOS!$C$1525))+INDEX($F$8:$F$23,MIN(INT(($A47-1)/4)+1,CROQUIS_DATOS!$C$1525))/2)-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,((INDEX($E$8:$E$23,MIN(INT(($A47-1)/4)+1,CROQUIS_DATOS!$C$1525))+INDEX($F$8:$F$23,MIN(INT(($A47-1)/4)+1,CROQUIS_DATOS!$C$1525))/2)-MIN((CROQUIS_DATOS!$C$1530+CROQUIS_DATOS!$C$1532+IF(OR(MIN(INT(($A47-1)/4)+1,CROQUIS_DATOS!$C$1525)=1,MIN(INT(($A47-1)/4)+1,CROQUIS_DATOS!$C$1525)=CROQUIS_DATOS!$C$1525),CROQUIS_DATOS!$C$1534,CROQUIS_DATOS!$C$1531)/2),INDEX($F$8:$F$23,MIN(INT(($A47-1)/4)+1,CROQUIS_DATOS!$C$1525))/2-0.5))))*CROQUIS_DATOS!$C$1562),-1000)</f>
        <v>84.4792560344828</v>
      </c>
      <c r="M47">
        <f>IF(AND(CROQUIS_DATOS!$C$1472=1,1),(CROQUIS_DATOS!$C$1564+(CHOOSE(MIN(MAX(IF(INT(($A47-1)/4)+1&gt;CROQUIS_DATOS!$C$1525,4,MOD($A47-1,4)+1),1),4),CROQUIS_DATOS!$C$1543,INDEX($I$8:$I$23,MIN(INT(($A47-1)/4)+1,CROQUIS_DATOS!$C$1525)),INDEX($I$8:$I$23,MIN(INT(($A47-1)/4)+1,CROQUIS_DATOS!$C$1525)),CROQUIS_DATOS!$C$1543))*CROQUIS_DATOS!$C$1561*CROQUIS_DATOS!$C$1562),-1000)</f>
        <v>42.5654629310345</v>
      </c>
      <c r="N47">
        <f>IF(AND(CROQUIS_DATOS!$C$1472=1,1),(CROQUIS_DATOS!$C$1563+(IF(IF(IF(INT(($A47-1)/70)+1&gt;CROQUIS_DATOS!$C$1525,70,MOD($A47-1,70)+1)=1,0,IF(IF(INT(($A47-1)/70)+1&gt;CROQUIS_DATOS!$C$1525,70,MOD($A47-1,70)+1)&gt;2*CROQUIS_DATOS!$C$1541+1,IF(MOD(CROQUIS_DATOS!$C$1541,2)=1,1,0),IF(MOD(MIN(INT((IF(INT(($A47-1)/70)+1&gt;CROQUIS_DATOS!$C$1525,70,MOD($A47-1,70)+1)-2)/2)+1,CROQUIS_DATOS!$C$1541),2)=1,IF(MOD(IF(INT(($A47-1)/70)+1&gt;CROQUIS_DATOS!$C$1525,70,MOD($A47-1,70)+1)-2,2)=0,0,1),IF(MOD(IF(INT(($A47-1)/70)+1&gt;CROQUIS_DATOS!$C$1525,70,MOD($A47-1,70)+1)-2,2)=0,1,0))))=0,(INDEX($E$8:$E$23,MIN(INT(($A47-1)/70)+1,CROQUIS_DATOS!$C$1525))-INDEX($F$8:$F$23,MIN(INT(($A47-1)/70)+1,CROQUIS_DATOS!$C$1525))/2),(INDEX($E$8:$E$23,MIN(INT(($A47-1)/70)+1,CROQUIS_DATOS!$C$1525))+INDEX($F$8:$F$23,MIN(INT(($A47-1)/70)+1,CROQUIS_DATOS!$C$1525))/2)))*CROQUIS_DATOS!$C$1562),-1000)</f>
        <v>15.0862068965517</v>
      </c>
      <c r="O47">
        <f>IF(AND(CROQUIS_DATOS!$C$1472=1,1),(CROQUIS_DATOS!$C$1564+(IF(OR(IF(INT(($A47-1)/70)+1&gt;CROQUIS_DATOS!$C$1525,70,MOD($A47-1,70)+1)=1,IF(INT(($A47-1)/70)+1&gt;CROQUIS_DATOS!$C$1525,70,MOD($A47-1,70)+1)&gt;2*CROQUIS_DATOS!$C$1541+1),CROQUIS_DATOS!$C$1476,INDEX($H$8:$H$41,MIN(INT((IF(INT(($A47-1)/70)+1&gt;CROQUIS_DATOS!$C$1525,70,MOD($A47-1,70)+1)-2)/2)+1,CROQUIS_DATOS!$C$1541))))*CROQUIS_DATOS!$C$1561*CROQUIS_DATOS!$C$1562),-1000)</f>
        <v>40.2068965517241</v>
      </c>
      <c r="P47">
        <f>IF(AND(CROQUIS_DATOS!$C$1472=1,CROQUIS_DATOS!$C$1555=1),(CROQUIS_DATOS!$C$1563+(IF(IF(OR(MOD($A47-1,62)+1=1,IF(CHOOSE(MIN(MAX(MIN(INT(($A47-1)/62)+1,5),1),5),CROQUIS_DATOS!$C$1501,CROQUIS_DATOS!$C$1505,CROQUIS_DATOS!$C$1509,CROQUIS_DATOS!$C$1513,CROQUIS_DATOS!$C$1517)=1,CROQUIS_DATOS!$C$1557,0)=0),0,IF(MOD($A47-1,62)+1&gt;2*IF(CHOOSE(MIN(MAX(MIN(INT(($A47-1)/62)+1,5),1),5),CROQUIS_DATOS!$C$1501,CROQUIS_DATOS!$C$1505,CROQUIS_DATOS!$C$1509,CROQUIS_DATOS!$C$1513,CROQUIS_DATOS!$C$1517)=1,CROQUIS_DATOS!$C$1557,0)+1,IF(MOD(IF(CHOOSE(MIN(MAX(MIN(INT(($A47-1)/62)+1,5),1),5),CROQUIS_DATOS!$C$1501,CROQUIS_DATOS!$C$1505,CROQUIS_DATOS!$C$1509,CROQUIS_DATOS!$C$1513,CROQUIS_DATOS!$C$1517)=1,CROQUIS_DATOS!$C$1557,0),2)=1,1,0),IF(MOD(MIN(INT((MOD($A47-1,62)+1-2)/2)+1,MAX(IF(CHOOSE(MIN(MAX(MIN(INT(($A47-1)/62)+1,5),1),5),CROQUIS_DATOS!$C$1501,CROQUIS_DATOS!$C$1505,CROQUIS_DATOS!$C$1509,CROQUIS_DATOS!$C$1513,CROQUIS_DATOS!$C$1517)=1,CROQUIS_DATOS!$C$1557,0),1)),2)=1,IF(MOD(MOD($A47-1,62)+1-2,2)=0,0,1),IF(MOD(MOD($A47-1,62)+1-2,2)=0,1,0))))=0,(CHOOSE(MIN(MAX(MIN(INT(($A47-1)/62)+1,5),1),5),CROQUIS_DATOS!$C$1499,CROQUIS_DATOS!$C$1503,CROQUIS_DATOS!$C$1507,CROQUIS_DATOS!$C$1511,CROQUIS_DATOS!$C$1515)+IF(CHOOSE(MIN(MAX(MIN(INT(($A47-1)/62)+1,5),1),5),CROQUIS_DATOS!$C$1501,CROQUIS_DATOS!$C$1505,CROQUIS_DATOS!$C$1509,CROQUIS_DATOS!$C$1513,CROQUIS_DATOS!$C$1517)=1,CROQUIS_DATOS!$C$1526,0)),(CHOOSE(MIN(MAX(MIN(INT(($A47-1)/62)+1,5),1),5),CROQUIS_DATOS!$C$1499,CROQUIS_DATOS!$C$1503,CROQUIS_DATOS!$C$1507,CROQUIS_DATOS!$C$1511,CROQUIS_DATOS!$C$1515)+CHOOSE(MIN(MAX(MIN(INT(($A47-1)/62)+1,5),1),5),CROQUIS_DATOS!$C$1500,CROQUIS_DATOS!$C$1504,CROQUIS_DATOS!$C$1508,CROQUIS_DATOS!$C$1512,CROQUIS_DATOS!$C$1516)-IF(CHOOSE(MIN(MAX(MIN(INT(($A47-1)/62)+1,5),1),5),CROQUIS_DATOS!$C$1501,CROQUIS_DATOS!$C$1505,CROQUIS_DATOS!$C$1509,CROQUIS_DATOS!$C$1513,CROQUIS_DATOS!$C$1517)=1,CROQUIS_DATOS!$C$1526,0))))*CROQUIS_DATOS!$C$1562),-1000)</f>
        <v>-1000</v>
      </c>
      <c r="Q47">
        <f>IF(AND(CROQUIS_DATOS!$C$1472=1,CROQUIS_DATOS!$C$1555=1),(CROQUIS_DATOS!$C$1564+(IF(OR(OR(MOD($A47-1,62)+1=1,IF(CHOOSE(MIN(MAX(MIN(INT(($A47-1)/62)+1,5),1),5),CROQUIS_DATOS!$C$1501,CROQUIS_DATOS!$C$1505,CROQUIS_DATOS!$C$1509,CROQUIS_DATOS!$C$1513,CROQUIS_DATOS!$C$1517)=1,CROQUIS_DATOS!$C$1557,0)=0),MOD($A47-1,62)+1&gt;2*IF(CHOOSE(MIN(MAX(MIN(INT(($A47-1)/62)+1,5),1),5),CROQUIS_DATOS!$C$1501,CROQUIS_DATOS!$C$1505,CROQUIS_DATOS!$C$1509,CROQUIS_DATOS!$C$1513,CROQUIS_DATOS!$C$1517)=1,CROQUIS_DATOS!$C$1557,0)+1),CROQUIS_DATOS!$C$1476,MIN(INT((MOD($A47-1,62)+1-2)/2)+1,MAX(IF(CHOOSE(MIN(MAX(MIN(INT(($A47-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7">
        <f>IF(AND(CROQUIS_DATOS!$C$1472=1,1),(CROQUIS_DATOS!$C$1563+(MIN(INT(($A47-1)/2)+1,CROQUIS_DATOS!$C$1558)*CROQUIS_DATOS!$C$1559)*CROQUIS_DATOS!$C$1562),-1000)</f>
        <v>68.7997347480106</v>
      </c>
      <c r="U47">
        <f>IF(AND(CROQUIS_DATOS!$C$1472=1,1),(CROQUIS_DATOS!$C$1564+(IF(INT(($A47-1)/2)+1&gt;CROQUIS_DATOS!$C$1558,IF(MOD(CROQUIS_DATOS!$C$1558,2)=1,CROQUIS_DATOS!$C$1476+CROQUIS_DATOS!$C$1528,CROQUIS_DATOS!$C$1476),IF(IF(MOD(MIN(INT(($A47-1)/2)+1,CROQUIS_DATOS!$C$1558),2)=1,MOD($A47-1,2),1-MOD($A47-1,2))=1,CROQUIS_DATOS!$C$1476+CROQUIS_DATOS!$C$1528,CROQUIS_DATOS!$C$1476)))*CROQUIS_DATOS!$C$1561*CROQUIS_DATOS!$C$1562),-1000)</f>
        <v>40.2068965517241</v>
      </c>
      <c r="BZ47">
        <f>IF(AND(CROQUIS_DATOS!$C$1472=1,CROQUIS_DATOS!$C$1500&gt;0,((CROQUIS_DATOS!$C$1499+CROQUIS_DATOS!$C$1500))-(CROQUIS_DATOS!$C$1499)&gt;0.5,(CROQUIS_DATOS!$C$1476)-(0)&gt;0.5),(CROQUIS_DATOS!$C$1566+(IF(IF(MOD(MIN(INT(($A47-1)/2)+1,MAX(1,INT(((((CROQUIS_DATOS!$C$1499+CROQUIS_DATOS!$C$1500))-(CROQUIS_DATOS!$C$1499))+((CROQUIS_DATOS!$C$1476)*CROQUIS_DATOS!$C$1561-(0)*CROQUIS_DATOS!$C$1561))/CROQUIS_DATOS!$C$1568-0.000001))),2)=1,IF(INT(($A47-1)/2)+1&gt;MAX(1,INT(((((CROQUIS_DATOS!$C$1499+CROQUIS_DATOS!$C$1500))-(CROQUIS_DATOS!$C$1499))+((CROQUIS_DATOS!$C$1476)*CROQUIS_DATOS!$C$1561-(0)*CROQUIS_DATOS!$C$1561))/CROQUIS_DATOS!$C$1568-0.000001)),1,MOD($A47-1,2)),1-IF(INT(($A47-1)/2)+1&gt;MAX(1,INT(((((CROQUIS_DATOS!$C$1499+CROQUIS_DATOS!$C$1500))-(CROQUIS_DATOS!$C$1499))+((CROQUIS_DATOS!$C$1476)*CROQUIS_DATOS!$C$1561-(0)*CROQUIS_DATOS!$C$1561))/CROQUIS_DATOS!$C$1568-0.000001)),1,MOD($A47-1,2)))=1,MIN((CROQUIS_DATOS!$C$1476)*CROQUIS_DATOS!$C$1561,((CROQUIS_DATOS!$C$1499+CROQUIS_DATOS!$C$1500)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47">
        <f>IF(AND(CROQUIS_DATOS!$C$1472=1,CROQUIS_DATOS!$C$1500&gt;0,((CROQUIS_DATOS!$C$1499+CROQUIS_DATOS!$C$1500))-(CROQUIS_DATOS!$C$1499)&gt;0.5,(CROQUIS_DATOS!$C$1476)-(0)&gt;0.5),(CROQUIS_DATOS!$C$1567+(IF(IF(MOD(MIN(INT(($A47-1)/2)+1,MAX(1,INT(((((CROQUIS_DATOS!$C$1499+CROQUIS_DATOS!$C$1500))-(CROQUIS_DATOS!$C$1499))+((CROQUIS_DATOS!$C$1476)*CROQUIS_DATOS!$C$1561-(0)*CROQUIS_DATOS!$C$1561))/CROQUIS_DATOS!$C$1568-0.000001))),2)=1,IF(INT(($A47-1)/2)+1&gt;MAX(1,INT(((((CROQUIS_DATOS!$C$1499+CROQUIS_DATOS!$C$1500))-(CROQUIS_DATOS!$C$1499))+((CROQUIS_DATOS!$C$1476)*CROQUIS_DATOS!$C$1561-(0)*CROQUIS_DATOS!$C$1561))/CROQUIS_DATOS!$C$1568-0.000001)),1,MOD($A47-1,2)),1-IF(INT(($A47-1)/2)+1&gt;MAX(1,INT(((((CROQUIS_DATOS!$C$1499+CROQUIS_DATOS!$C$1500))-(CROQUIS_DATOS!$C$1499))+((CROQUIS_DATOS!$C$1476)*CROQUIS_DATOS!$C$1561-(0)*CROQUIS_DATOS!$C$1561))/CROQUIS_DATOS!$C$1568-0.000001)),1,MOD($A47-1,2)))=1,MIN((CROQUIS_DATOS!$C$1476)*CROQUIS_DATOS!$C$1561,((CROQUIS_DATOS!$C$1499+CROQUIS_DATOS!$C$1500)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47">
        <f>IF(AND(CROQUIS_DATOS!$C$1472=1,CROQUIS_DATOS!$C$1504&gt;0,((CROQUIS_DATOS!$C$1503+CROQUIS_DATOS!$C$1504))-(CROQUIS_DATOS!$C$1503)&gt;0.5,(CROQUIS_DATOS!$C$1476)-(0)&gt;0.5),(CROQUIS_DATOS!$C$1566+(IF(IF(MOD(MIN(INT(($A47-1)/2)+1,MAX(1,INT(((((CROQUIS_DATOS!$C$1503+CROQUIS_DATOS!$C$1504))-(CROQUIS_DATOS!$C$1503))+((CROQUIS_DATOS!$C$1476)*CROQUIS_DATOS!$C$1561-(0)*CROQUIS_DATOS!$C$1561))/CROQUIS_DATOS!$C$1568-0.000001))),2)=1,IF(INT(($A47-1)/2)+1&gt;MAX(1,INT(((((CROQUIS_DATOS!$C$1503+CROQUIS_DATOS!$C$1504))-(CROQUIS_DATOS!$C$1503))+((CROQUIS_DATOS!$C$1476)*CROQUIS_DATOS!$C$1561-(0)*CROQUIS_DATOS!$C$1561))/CROQUIS_DATOS!$C$1568-0.000001)),1,MOD($A47-1,2)),1-IF(INT(($A47-1)/2)+1&gt;MAX(1,INT(((((CROQUIS_DATOS!$C$1503+CROQUIS_DATOS!$C$1504))-(CROQUIS_DATOS!$C$1503))+((CROQUIS_DATOS!$C$1476)*CROQUIS_DATOS!$C$1561-(0)*CROQUIS_DATOS!$C$1561))/CROQUIS_DATOS!$C$1568-0.000001)),1,MOD($A47-1,2)))=1,MIN((CROQUIS_DATOS!$C$1476)*CROQUIS_DATOS!$C$1561,((CROQUIS_DATOS!$C$1503+CROQUIS_DATOS!$C$1504)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*CROQUIS_DATOS!$C$1565),-1000)</f>
        <v>43.448275862069</v>
      </c>
      <c r="CC47">
        <f>IF(AND(CROQUIS_DATOS!$C$1472=1,CROQUIS_DATOS!$C$1504&gt;0,((CROQUIS_DATOS!$C$1503+CROQUIS_DATOS!$C$1504))-(CROQUIS_DATOS!$C$1503)&gt;0.5,(CROQUIS_DATOS!$C$1476)-(0)&gt;0.5),(CROQUIS_DATOS!$C$1567+(IF(IF(MOD(MIN(INT(($A47-1)/2)+1,MAX(1,INT(((((CROQUIS_DATOS!$C$1503+CROQUIS_DATOS!$C$1504))-(CROQUIS_DATOS!$C$1503))+((CROQUIS_DATOS!$C$1476)*CROQUIS_DATOS!$C$1561-(0)*CROQUIS_DATOS!$C$1561))/CROQUIS_DATOS!$C$1568-0.000001))),2)=1,IF(INT(($A47-1)/2)+1&gt;MAX(1,INT(((((CROQUIS_DATOS!$C$1503+CROQUIS_DATOS!$C$1504))-(CROQUIS_DATOS!$C$1503))+((CROQUIS_DATOS!$C$1476)*CROQUIS_DATOS!$C$1561-(0)*CROQUIS_DATOS!$C$1561))/CROQUIS_DATOS!$C$1568-0.000001)),1,MOD($A47-1,2)),1-IF(INT(($A47-1)/2)+1&gt;MAX(1,INT(((((CROQUIS_DATOS!$C$1503+CROQUIS_DATOS!$C$1504))-(CROQUIS_DATOS!$C$1503))+((CROQUIS_DATOS!$C$1476)*CROQUIS_DATOS!$C$1561-(0)*CROQUIS_DATOS!$C$1561))/CROQUIS_DATOS!$C$1568-0.000001)),1,MOD($A47-1,2)))=1,MIN((CROQUIS_DATOS!$C$1476)*CROQUIS_DATOS!$C$1561,((CROQUIS_DATOS!$C$1503+CROQUIS_DATOS!$C$1504)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47-1)/2)+1,MAX(1,INT(((((CROQUIS_DATOS!$C$1503+CROQUIS_DATOS!$C$1504))-(CROQUIS_DATOS!$C$1503))+((CROQUIS_DATOS!$C$1476)*CROQUIS_DATOS!$C$1561-(0)*CROQUIS_DATOS!$C$1561))/CROQUIS_DATOS!$C$1568-0.000001)))*CROQUIS_DATOS!$C$1568))))*CROQUIS_DATOS!$C$1565),-1000)</f>
        <v>12.1379310344828</v>
      </c>
      <c r="CD47">
        <f>IF(AND(CROQUIS_DATOS!$C$1472=1,CROQUIS_DATOS!$C$1508&gt;0,((CROQUIS_DATOS!$C$1507+CROQUIS_DATOS!$C$1508))-(CROQUIS_DATOS!$C$1507)&gt;0.5,(CROQUIS_DATOS!$C$1476)-(0)&gt;0.5),(CROQUIS_DATOS!$C$1566+(IF(IF(MOD(MIN(INT(($A47-1)/2)+1,MAX(1,INT(((((CROQUIS_DATOS!$C$1507+CROQUIS_DATOS!$C$1508))-(CROQUIS_DATOS!$C$1507))+((CROQUIS_DATOS!$C$1476)*CROQUIS_DATOS!$C$1561-(0)*CROQUIS_DATOS!$C$1561))/CROQUIS_DATOS!$C$1568-0.000001))),2)=1,IF(INT(($A47-1)/2)+1&gt;MAX(1,INT(((((CROQUIS_DATOS!$C$1507+CROQUIS_DATOS!$C$1508))-(CROQUIS_DATOS!$C$1507))+((CROQUIS_DATOS!$C$1476)*CROQUIS_DATOS!$C$1561-(0)*CROQUIS_DATOS!$C$1561))/CROQUIS_DATOS!$C$1568-0.000001)),1,MOD($A47-1,2)),1-IF(INT(($A47-1)/2)+1&gt;MAX(1,INT(((((CROQUIS_DATOS!$C$1507+CROQUIS_DATOS!$C$1508))-(CROQUIS_DATOS!$C$1507))+((CROQUIS_DATOS!$C$1476)*CROQUIS_DATOS!$C$1561-(0)*CROQUIS_DATOS!$C$1561))/CROQUIS_DATOS!$C$1568-0.000001)),1,MOD($A47-1,2)))=1,MIN((CROQUIS_DATOS!$C$1476)*CROQUIS_DATOS!$C$1561,((CROQUIS_DATOS!$C$1507+CROQUIS_DATOS!$C$1508)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*CROQUIS_DATOS!$C$1565),-1000)</f>
        <v>70.1724137931035</v>
      </c>
      <c r="CE47">
        <f>IF(AND(CROQUIS_DATOS!$C$1472=1,CROQUIS_DATOS!$C$1508&gt;0,((CROQUIS_DATOS!$C$1507+CROQUIS_DATOS!$C$1508))-(CROQUIS_DATOS!$C$1507)&gt;0.5,(CROQUIS_DATOS!$C$1476)-(0)&gt;0.5),(CROQUIS_DATOS!$C$1567+(IF(IF(MOD(MIN(INT(($A47-1)/2)+1,MAX(1,INT(((((CROQUIS_DATOS!$C$1507+CROQUIS_DATOS!$C$1508))-(CROQUIS_DATOS!$C$1507))+((CROQUIS_DATOS!$C$1476)*CROQUIS_DATOS!$C$1561-(0)*CROQUIS_DATOS!$C$1561))/CROQUIS_DATOS!$C$1568-0.000001))),2)=1,IF(INT(($A47-1)/2)+1&gt;MAX(1,INT(((((CROQUIS_DATOS!$C$1507+CROQUIS_DATOS!$C$1508))-(CROQUIS_DATOS!$C$1507))+((CROQUIS_DATOS!$C$1476)*CROQUIS_DATOS!$C$1561-(0)*CROQUIS_DATOS!$C$1561))/CROQUIS_DATOS!$C$1568-0.000001)),1,MOD($A47-1,2)),1-IF(INT(($A47-1)/2)+1&gt;MAX(1,INT(((((CROQUIS_DATOS!$C$1507+CROQUIS_DATOS!$C$1508))-(CROQUIS_DATOS!$C$1507))+((CROQUIS_DATOS!$C$1476)*CROQUIS_DATOS!$C$1561-(0)*CROQUIS_DATOS!$C$1561))/CROQUIS_DATOS!$C$1568-0.000001)),1,MOD($A47-1,2)))=1,MIN((CROQUIS_DATOS!$C$1476)*CROQUIS_DATOS!$C$1561,((CROQUIS_DATOS!$C$1507+CROQUIS_DATOS!$C$1508)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47">
        <f>IF(AND(CROQUIS_DATOS!$C$1472=1,CROQUIS_DATOS!$C$1512&gt;0,((CROQUIS_DATOS!$C$1511+CROQUIS_DATOS!$C$1512))-(CROQUIS_DATOS!$C$1511)&gt;0.5,(CROQUIS_DATOS!$C$1476)-(0)&gt;0.5),(CROQUIS_DATOS!$C$1566+(IF(IF(MOD(MIN(INT(($A47-1)/2)+1,MAX(1,INT(((((CROQUIS_DATOS!$C$1511+CROQUIS_DATOS!$C$1512))-(CROQUIS_DATOS!$C$1511))+((CROQUIS_DATOS!$C$1476)*CROQUIS_DATOS!$C$1561-(0)*CROQUIS_DATOS!$C$1561))/CROQUIS_DATOS!$C$1568-0.000001))),2)=1,IF(INT(($A47-1)/2)+1&gt;MAX(1,INT(((((CROQUIS_DATOS!$C$1511+CROQUIS_DATOS!$C$1512))-(CROQUIS_DATOS!$C$1511))+((CROQUIS_DATOS!$C$1476)*CROQUIS_DATOS!$C$1561-(0)*CROQUIS_DATOS!$C$1561))/CROQUIS_DATOS!$C$1568-0.000001)),1,MOD($A47-1,2)),1-IF(INT(($A47-1)/2)+1&gt;MAX(1,INT(((((CROQUIS_DATOS!$C$1511+CROQUIS_DATOS!$C$1512))-(CROQUIS_DATOS!$C$1511))+((CROQUIS_DATOS!$C$1476)*CROQUIS_DATOS!$C$1561-(0)*CROQUIS_DATOS!$C$1561))/CROQUIS_DATOS!$C$1568-0.000001)),1,MOD($A47-1,2)))=1,MIN((CROQUIS_DATOS!$C$1476)*CROQUIS_DATOS!$C$1561,((CROQUIS_DATOS!$C$1511+CROQUIS_DATOS!$C$1512)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7">
        <f>IF(AND(CROQUIS_DATOS!$C$1472=1,CROQUIS_DATOS!$C$1512&gt;0,((CROQUIS_DATOS!$C$1511+CROQUIS_DATOS!$C$1512))-(CROQUIS_DATOS!$C$1511)&gt;0.5,(CROQUIS_DATOS!$C$1476)-(0)&gt;0.5),(CROQUIS_DATOS!$C$1567+(IF(IF(MOD(MIN(INT(($A47-1)/2)+1,MAX(1,INT(((((CROQUIS_DATOS!$C$1511+CROQUIS_DATOS!$C$1512))-(CROQUIS_DATOS!$C$1511))+((CROQUIS_DATOS!$C$1476)*CROQUIS_DATOS!$C$1561-(0)*CROQUIS_DATOS!$C$1561))/CROQUIS_DATOS!$C$1568-0.000001))),2)=1,IF(INT(($A47-1)/2)+1&gt;MAX(1,INT(((((CROQUIS_DATOS!$C$1511+CROQUIS_DATOS!$C$1512))-(CROQUIS_DATOS!$C$1511))+((CROQUIS_DATOS!$C$1476)*CROQUIS_DATOS!$C$1561-(0)*CROQUIS_DATOS!$C$1561))/CROQUIS_DATOS!$C$1568-0.000001)),1,MOD($A47-1,2)),1-IF(INT(($A47-1)/2)+1&gt;MAX(1,INT(((((CROQUIS_DATOS!$C$1511+CROQUIS_DATOS!$C$1512))-(CROQUIS_DATOS!$C$1511))+((CROQUIS_DATOS!$C$1476)*CROQUIS_DATOS!$C$1561-(0)*CROQUIS_DATOS!$C$1561))/CROQUIS_DATOS!$C$1568-0.000001)),1,MOD($A47-1,2)))=1,MIN((CROQUIS_DATOS!$C$1476)*CROQUIS_DATOS!$C$1561,((CROQUIS_DATOS!$C$1511+CROQUIS_DATOS!$C$1512)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7">
        <f>IF(AND(CROQUIS_DATOS!$C$1472=1,CROQUIS_DATOS!$C$1516&gt;0,((CROQUIS_DATOS!$C$1515+CROQUIS_DATOS!$C$1516))-(CROQUIS_DATOS!$C$1515)&gt;0.5,(CROQUIS_DATOS!$C$1476)-(0)&gt;0.5),(CROQUIS_DATOS!$C$1566+(IF(IF(MOD(MIN(INT(($A47-1)/2)+1,MAX(1,INT(((((CROQUIS_DATOS!$C$1515+CROQUIS_DATOS!$C$1516))-(CROQUIS_DATOS!$C$1515))+((CROQUIS_DATOS!$C$1476)*CROQUIS_DATOS!$C$1561-(0)*CROQUIS_DATOS!$C$1561))/CROQUIS_DATOS!$C$1568-0.000001))),2)=1,IF(INT(($A47-1)/2)+1&gt;MAX(1,INT(((((CROQUIS_DATOS!$C$1515+CROQUIS_DATOS!$C$1516))-(CROQUIS_DATOS!$C$1515))+((CROQUIS_DATOS!$C$1476)*CROQUIS_DATOS!$C$1561-(0)*CROQUIS_DATOS!$C$1561))/CROQUIS_DATOS!$C$1568-0.000001)),1,MOD($A47-1,2)),1-IF(INT(($A47-1)/2)+1&gt;MAX(1,INT(((((CROQUIS_DATOS!$C$1515+CROQUIS_DATOS!$C$1516))-(CROQUIS_DATOS!$C$1515))+((CROQUIS_DATOS!$C$1476)*CROQUIS_DATOS!$C$1561-(0)*CROQUIS_DATOS!$C$1561))/CROQUIS_DATOS!$C$1568-0.000001)),1,MOD($A47-1,2)))=1,MIN((CROQUIS_DATOS!$C$1476)*CROQUIS_DATOS!$C$1561,((CROQUIS_DATOS!$C$1515+CROQUIS_DATOS!$C$1516)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7">
        <f>IF(AND(CROQUIS_DATOS!$C$1472=1,CROQUIS_DATOS!$C$1516&gt;0,((CROQUIS_DATOS!$C$1515+CROQUIS_DATOS!$C$1516))-(CROQUIS_DATOS!$C$1515)&gt;0.5,(CROQUIS_DATOS!$C$1476)-(0)&gt;0.5),(CROQUIS_DATOS!$C$1567+(IF(IF(MOD(MIN(INT(($A47-1)/2)+1,MAX(1,INT(((((CROQUIS_DATOS!$C$1515+CROQUIS_DATOS!$C$1516))-(CROQUIS_DATOS!$C$1515))+((CROQUIS_DATOS!$C$1476)*CROQUIS_DATOS!$C$1561-(0)*CROQUIS_DATOS!$C$1561))/CROQUIS_DATOS!$C$1568-0.000001))),2)=1,IF(INT(($A47-1)/2)+1&gt;MAX(1,INT(((((CROQUIS_DATOS!$C$1515+CROQUIS_DATOS!$C$1516))-(CROQUIS_DATOS!$C$1515))+((CROQUIS_DATOS!$C$1476)*CROQUIS_DATOS!$C$1561-(0)*CROQUIS_DATOS!$C$1561))/CROQUIS_DATOS!$C$1568-0.000001)),1,MOD($A47-1,2)),1-IF(INT(($A47-1)/2)+1&gt;MAX(1,INT(((((CROQUIS_DATOS!$C$1515+CROQUIS_DATOS!$C$1516))-(CROQUIS_DATOS!$C$1515))+((CROQUIS_DATOS!$C$1476)*CROQUIS_DATOS!$C$1561-(0)*CROQUIS_DATOS!$C$1561))/CROQUIS_DATOS!$C$1568-0.000001)),1,MOD($A47-1,2)))=1,MIN((CROQUIS_DATOS!$C$1476)*CROQUIS_DATOS!$C$1561,((CROQUIS_DATOS!$C$1515+CROQUIS_DATOS!$C$1516)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7">
        <f>IF(AND(CROQUIS_DATOS!$C$1472=1,CROQUIS_DATOS!$C$1478&gt;=1,((CROQUIS_DATOS!$C$1479+CROQUIS_DATOS!$C$1480))-(CROQUIS_DATOS!$C$1479)&gt;0.5,(CROQUIS_DATOS!$C$1481)-(0)&gt;0.5),(CROQUIS_DATOS!$C$1566+(IF(IF(MOD(MIN(INT(($A47-1)/2)+1,MAX(1,INT(((((CROQUIS_DATOS!$C$1479+CROQUIS_DATOS!$C$1480))-(CROQUIS_DATOS!$C$1479))+((CROQUIS_DATOS!$C$1481)*CROQUIS_DATOS!$C$1561-(0)*CROQUIS_DATOS!$C$1561))/CROQUIS_DATOS!$C$1568-0.000001))),2)=1,IF(INT(($A47-1)/2)+1&gt;MAX(1,INT(((((CROQUIS_DATOS!$C$1479+CROQUIS_DATOS!$C$1480))-(CROQUIS_DATOS!$C$1479))+((CROQUIS_DATOS!$C$1481)*CROQUIS_DATOS!$C$1561-(0)*CROQUIS_DATOS!$C$1561))/CROQUIS_DATOS!$C$1568-0.000001)),1,MOD($A47-1,2)),1-IF(INT(($A47-1)/2)+1&gt;MAX(1,INT(((((CROQUIS_DATOS!$C$1479+CROQUIS_DATOS!$C$1480))-(CROQUIS_DATOS!$C$1479))+((CROQUIS_DATOS!$C$1481)*CROQUIS_DATOS!$C$1561-(0)*CROQUIS_DATOS!$C$1561))/CROQUIS_DATOS!$C$1568-0.000001)),1,MOD($A47-1,2)))=1,MIN((CROQUIS_DATOS!$C$1481)*CROQUIS_DATOS!$C$1561,((CROQUIS_DATOS!$C$1479+CROQUIS_DATOS!$C$1480)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7">
        <f>IF(AND(CROQUIS_DATOS!$C$1472=1,CROQUIS_DATOS!$C$1478&gt;=1,((CROQUIS_DATOS!$C$1479+CROQUIS_DATOS!$C$1480))-(CROQUIS_DATOS!$C$1479)&gt;0.5,(CROQUIS_DATOS!$C$1481)-(0)&gt;0.5),(CROQUIS_DATOS!$C$1567+(IF(IF(MOD(MIN(INT(($A47-1)/2)+1,MAX(1,INT(((((CROQUIS_DATOS!$C$1479+CROQUIS_DATOS!$C$1480))-(CROQUIS_DATOS!$C$1479))+((CROQUIS_DATOS!$C$1481)*CROQUIS_DATOS!$C$1561-(0)*CROQUIS_DATOS!$C$1561))/CROQUIS_DATOS!$C$1568-0.000001))),2)=1,IF(INT(($A47-1)/2)+1&gt;MAX(1,INT(((((CROQUIS_DATOS!$C$1479+CROQUIS_DATOS!$C$1480))-(CROQUIS_DATOS!$C$1479))+((CROQUIS_DATOS!$C$1481)*CROQUIS_DATOS!$C$1561-(0)*CROQUIS_DATOS!$C$1561))/CROQUIS_DATOS!$C$1568-0.000001)),1,MOD($A47-1,2)),1-IF(INT(($A47-1)/2)+1&gt;MAX(1,INT(((((CROQUIS_DATOS!$C$1479+CROQUIS_DATOS!$C$1480))-(CROQUIS_DATOS!$C$1479))+((CROQUIS_DATOS!$C$1481)*CROQUIS_DATOS!$C$1561-(0)*CROQUIS_DATOS!$C$1561))/CROQUIS_DATOS!$C$1568-0.000001)),1,MOD($A47-1,2)))=1,MIN((CROQUIS_DATOS!$C$1481)*CROQUIS_DATOS!$C$1561,((CROQUIS_DATOS!$C$1479+CROQUIS_DATOS!$C$1480)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7">
        <f>IF(AND(CROQUIS_DATOS!$C$1472=1,CROQUIS_DATOS!$C$1478&gt;=1,((CROQUIS_DATOS!$C$1479+CROQUIS_DATOS!$C$1480))-(CROQUIS_DATOS!$C$1479)&gt;0.5,(CROQUIS_DATOS!$C$1476)-((CROQUIS_DATOS!$C$1481+CROQUIS_DATOS!$C$1482))&gt;0.5),(CROQUIS_DATOS!$C$1566+(IF(IF(MOD(MIN(INT(($A47-1)/2)+1,MAX(1,INT(((((CROQUIS_DATOS!$C$1479+CROQUIS_DATOS!$C$1480))-(CROQUIS_DATOS!$C$1479))+((CROQUIS_DATOS!$C$1476)*CROQUIS_DATOS!$C$1561-((CROQUIS_DATOS!$C$1481+CROQUIS_DATOS!$C$1482))*CROQUIS_DATOS!$C$1561))/CROQUIS_DATOS!$C$1568-0.000001))),2)=1,IF(INT(($A47-1)/2)+1&gt;MAX(1,INT(((((CROQUIS_DATOS!$C$1479+CROQUIS_DATOS!$C$1480))-(CROQUIS_DATOS!$C$1479))+((CROQUIS_DATOS!$C$1476)*CROQUIS_DATOS!$C$1561-((CROQUIS_DATOS!$C$1481+CROQUIS_DATOS!$C$1482))*CROQUIS_DATOS!$C$1561))/CROQUIS_DATOS!$C$1568-0.000001)),1,MOD($A47-1,2)),1-IF(INT(($A47-1)/2)+1&gt;MAX(1,INT(((((CROQUIS_DATOS!$C$1479+CROQUIS_DATOS!$C$1480))-(CROQUIS_DATOS!$C$1479))+((CROQUIS_DATOS!$C$1476)*CROQUIS_DATOS!$C$1561-((CROQUIS_DATOS!$C$1481+CROQUIS_DATOS!$C$1482))*CROQUIS_DATOS!$C$1561))/CROQUIS_DATOS!$C$1568-0.000001)),1,MOD($A47-1,2)))=1,MIN((CROQUIS_DATOS!$C$1476)*CROQUIS_DATOS!$C$1561,((CROQUIS_DATOS!$C$1479+CROQUIS_DATOS!$C$1480)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7">
        <f>IF(AND(CROQUIS_DATOS!$C$1472=1,CROQUIS_DATOS!$C$1478&gt;=1,((CROQUIS_DATOS!$C$1479+CROQUIS_DATOS!$C$1480))-(CROQUIS_DATOS!$C$1479)&gt;0.5,(CROQUIS_DATOS!$C$1476)-((CROQUIS_DATOS!$C$1481+CROQUIS_DATOS!$C$1482))&gt;0.5),(CROQUIS_DATOS!$C$1567+(IF(IF(MOD(MIN(INT(($A47-1)/2)+1,MAX(1,INT(((((CROQUIS_DATOS!$C$1479+CROQUIS_DATOS!$C$1480))-(CROQUIS_DATOS!$C$1479))+((CROQUIS_DATOS!$C$1476)*CROQUIS_DATOS!$C$1561-((CROQUIS_DATOS!$C$1481+CROQUIS_DATOS!$C$1482))*CROQUIS_DATOS!$C$1561))/CROQUIS_DATOS!$C$1568-0.000001))),2)=1,IF(INT(($A47-1)/2)+1&gt;MAX(1,INT(((((CROQUIS_DATOS!$C$1479+CROQUIS_DATOS!$C$1480))-(CROQUIS_DATOS!$C$1479))+((CROQUIS_DATOS!$C$1476)*CROQUIS_DATOS!$C$1561-((CROQUIS_DATOS!$C$1481+CROQUIS_DATOS!$C$1482))*CROQUIS_DATOS!$C$1561))/CROQUIS_DATOS!$C$1568-0.000001)),1,MOD($A47-1,2)),1-IF(INT(($A47-1)/2)+1&gt;MAX(1,INT(((((CROQUIS_DATOS!$C$1479+CROQUIS_DATOS!$C$1480))-(CROQUIS_DATOS!$C$1479))+((CROQUIS_DATOS!$C$1476)*CROQUIS_DATOS!$C$1561-((CROQUIS_DATOS!$C$1481+CROQUIS_DATOS!$C$1482))*CROQUIS_DATOS!$C$1561))/CROQUIS_DATOS!$C$1568-0.000001)),1,MOD($A47-1,2)))=1,MIN((CROQUIS_DATOS!$C$1476)*CROQUIS_DATOS!$C$1561,((CROQUIS_DATOS!$C$1479+CROQUIS_DATOS!$C$1480)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7">
        <f>IF(AND(CROQUIS_DATOS!$C$1472=1,CROQUIS_DATOS!$C$1478&gt;=2,((CROQUIS_DATOS!$C$1484+CROQUIS_DATOS!$C$1485))-(CROQUIS_DATOS!$C$1484)&gt;0.5,(CROQUIS_DATOS!$C$1486)-(0)&gt;0.5),(CROQUIS_DATOS!$C$1566+(IF(IF(MOD(MIN(INT(($A47-1)/2)+1,MAX(1,INT(((((CROQUIS_DATOS!$C$1484+CROQUIS_DATOS!$C$1485))-(CROQUIS_DATOS!$C$1484))+((CROQUIS_DATOS!$C$1486)*CROQUIS_DATOS!$C$1561-(0)*CROQUIS_DATOS!$C$1561))/CROQUIS_DATOS!$C$1568-0.000001))),2)=1,IF(INT(($A47-1)/2)+1&gt;MAX(1,INT(((((CROQUIS_DATOS!$C$1484+CROQUIS_DATOS!$C$1485))-(CROQUIS_DATOS!$C$1484))+((CROQUIS_DATOS!$C$1486)*CROQUIS_DATOS!$C$1561-(0)*CROQUIS_DATOS!$C$1561))/CROQUIS_DATOS!$C$1568-0.000001)),1,MOD($A47-1,2)),1-IF(INT(($A47-1)/2)+1&gt;MAX(1,INT(((((CROQUIS_DATOS!$C$1484+CROQUIS_DATOS!$C$1485))-(CROQUIS_DATOS!$C$1484))+((CROQUIS_DATOS!$C$1486)*CROQUIS_DATOS!$C$1561-(0)*CROQUIS_DATOS!$C$1561))/CROQUIS_DATOS!$C$1568-0.000001)),1,MOD($A47-1,2)))=1,MIN((CROQUIS_DATOS!$C$1486)*CROQUIS_DATOS!$C$1561,((CROQUIS_DATOS!$C$1484+CROQUIS_DATOS!$C$1485)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7">
        <f>IF(AND(CROQUIS_DATOS!$C$1472=1,CROQUIS_DATOS!$C$1478&gt;=2,((CROQUIS_DATOS!$C$1484+CROQUIS_DATOS!$C$1485))-(CROQUIS_DATOS!$C$1484)&gt;0.5,(CROQUIS_DATOS!$C$1486)-(0)&gt;0.5),(CROQUIS_DATOS!$C$1567+(IF(IF(MOD(MIN(INT(($A47-1)/2)+1,MAX(1,INT(((((CROQUIS_DATOS!$C$1484+CROQUIS_DATOS!$C$1485))-(CROQUIS_DATOS!$C$1484))+((CROQUIS_DATOS!$C$1486)*CROQUIS_DATOS!$C$1561-(0)*CROQUIS_DATOS!$C$1561))/CROQUIS_DATOS!$C$1568-0.000001))),2)=1,IF(INT(($A47-1)/2)+1&gt;MAX(1,INT(((((CROQUIS_DATOS!$C$1484+CROQUIS_DATOS!$C$1485))-(CROQUIS_DATOS!$C$1484))+((CROQUIS_DATOS!$C$1486)*CROQUIS_DATOS!$C$1561-(0)*CROQUIS_DATOS!$C$1561))/CROQUIS_DATOS!$C$1568-0.000001)),1,MOD($A47-1,2)),1-IF(INT(($A47-1)/2)+1&gt;MAX(1,INT(((((CROQUIS_DATOS!$C$1484+CROQUIS_DATOS!$C$1485))-(CROQUIS_DATOS!$C$1484))+((CROQUIS_DATOS!$C$1486)*CROQUIS_DATOS!$C$1561-(0)*CROQUIS_DATOS!$C$1561))/CROQUIS_DATOS!$C$1568-0.000001)),1,MOD($A47-1,2)))=1,MIN((CROQUIS_DATOS!$C$1486)*CROQUIS_DATOS!$C$1561,((CROQUIS_DATOS!$C$1484+CROQUIS_DATOS!$C$1485)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7">
        <f>IF(AND(CROQUIS_DATOS!$C$1472=1,CROQUIS_DATOS!$C$1478&gt;=2,((CROQUIS_DATOS!$C$1484+CROQUIS_DATOS!$C$1485))-(CROQUIS_DATOS!$C$1484)&gt;0.5,(CROQUIS_DATOS!$C$1476)-((CROQUIS_DATOS!$C$1486+CROQUIS_DATOS!$C$1487))&gt;0.5),(CROQUIS_DATOS!$C$1566+(IF(IF(MOD(MIN(INT(($A47-1)/2)+1,MAX(1,INT(((((CROQUIS_DATOS!$C$1484+CROQUIS_DATOS!$C$1485))-(CROQUIS_DATOS!$C$1484))+((CROQUIS_DATOS!$C$1476)*CROQUIS_DATOS!$C$1561-((CROQUIS_DATOS!$C$1486+CROQUIS_DATOS!$C$1487))*CROQUIS_DATOS!$C$1561))/CROQUIS_DATOS!$C$1568-0.000001))),2)=1,IF(INT(($A47-1)/2)+1&gt;MAX(1,INT(((((CROQUIS_DATOS!$C$1484+CROQUIS_DATOS!$C$1485))-(CROQUIS_DATOS!$C$1484))+((CROQUIS_DATOS!$C$1476)*CROQUIS_DATOS!$C$1561-((CROQUIS_DATOS!$C$1486+CROQUIS_DATOS!$C$1487))*CROQUIS_DATOS!$C$1561))/CROQUIS_DATOS!$C$1568-0.000001)),1,MOD($A47-1,2)),1-IF(INT(($A47-1)/2)+1&gt;MAX(1,INT(((((CROQUIS_DATOS!$C$1484+CROQUIS_DATOS!$C$1485))-(CROQUIS_DATOS!$C$1484))+((CROQUIS_DATOS!$C$1476)*CROQUIS_DATOS!$C$1561-((CROQUIS_DATOS!$C$1486+CROQUIS_DATOS!$C$1487))*CROQUIS_DATOS!$C$1561))/CROQUIS_DATOS!$C$1568-0.000001)),1,MOD($A47-1,2)))=1,MIN((CROQUIS_DATOS!$C$1476)*CROQUIS_DATOS!$C$1561,((CROQUIS_DATOS!$C$1484+CROQUIS_DATOS!$C$1485)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7">
        <f>IF(AND(CROQUIS_DATOS!$C$1472=1,CROQUIS_DATOS!$C$1478&gt;=2,((CROQUIS_DATOS!$C$1484+CROQUIS_DATOS!$C$1485))-(CROQUIS_DATOS!$C$1484)&gt;0.5,(CROQUIS_DATOS!$C$1476)-((CROQUIS_DATOS!$C$1486+CROQUIS_DATOS!$C$1487))&gt;0.5),(CROQUIS_DATOS!$C$1567+(IF(IF(MOD(MIN(INT(($A47-1)/2)+1,MAX(1,INT(((((CROQUIS_DATOS!$C$1484+CROQUIS_DATOS!$C$1485))-(CROQUIS_DATOS!$C$1484))+((CROQUIS_DATOS!$C$1476)*CROQUIS_DATOS!$C$1561-((CROQUIS_DATOS!$C$1486+CROQUIS_DATOS!$C$1487))*CROQUIS_DATOS!$C$1561))/CROQUIS_DATOS!$C$1568-0.000001))),2)=1,IF(INT(($A47-1)/2)+1&gt;MAX(1,INT(((((CROQUIS_DATOS!$C$1484+CROQUIS_DATOS!$C$1485))-(CROQUIS_DATOS!$C$1484))+((CROQUIS_DATOS!$C$1476)*CROQUIS_DATOS!$C$1561-((CROQUIS_DATOS!$C$1486+CROQUIS_DATOS!$C$1487))*CROQUIS_DATOS!$C$1561))/CROQUIS_DATOS!$C$1568-0.000001)),1,MOD($A47-1,2)),1-IF(INT(($A47-1)/2)+1&gt;MAX(1,INT(((((CROQUIS_DATOS!$C$1484+CROQUIS_DATOS!$C$1485))-(CROQUIS_DATOS!$C$1484))+((CROQUIS_DATOS!$C$1476)*CROQUIS_DATOS!$C$1561-((CROQUIS_DATOS!$C$1486+CROQUIS_DATOS!$C$1487))*CROQUIS_DATOS!$C$1561))/CROQUIS_DATOS!$C$1568-0.000001)),1,MOD($A47-1,2)))=1,MIN((CROQUIS_DATOS!$C$1476)*CROQUIS_DATOS!$C$1561,((CROQUIS_DATOS!$C$1484+CROQUIS_DATOS!$C$1485)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7">
        <f>IF(AND(CROQUIS_DATOS!$C$1472=1,CROQUIS_DATOS!$C$1478&gt;=3,((CROQUIS_DATOS!$C$1489+CROQUIS_DATOS!$C$1490))-(CROQUIS_DATOS!$C$1489)&gt;0.5,(CROQUIS_DATOS!$C$1491)-(0)&gt;0.5),(CROQUIS_DATOS!$C$1566+(IF(IF(MOD(MIN(INT(($A47-1)/2)+1,MAX(1,INT(((((CROQUIS_DATOS!$C$1489+CROQUIS_DATOS!$C$1490))-(CROQUIS_DATOS!$C$1489))+((CROQUIS_DATOS!$C$1491)*CROQUIS_DATOS!$C$1561-(0)*CROQUIS_DATOS!$C$1561))/CROQUIS_DATOS!$C$1568-0.000001))),2)=1,IF(INT(($A47-1)/2)+1&gt;MAX(1,INT(((((CROQUIS_DATOS!$C$1489+CROQUIS_DATOS!$C$1490))-(CROQUIS_DATOS!$C$1489))+((CROQUIS_DATOS!$C$1491)*CROQUIS_DATOS!$C$1561-(0)*CROQUIS_DATOS!$C$1561))/CROQUIS_DATOS!$C$1568-0.000001)),1,MOD($A47-1,2)),1-IF(INT(($A47-1)/2)+1&gt;MAX(1,INT(((((CROQUIS_DATOS!$C$1489+CROQUIS_DATOS!$C$1490))-(CROQUIS_DATOS!$C$1489))+((CROQUIS_DATOS!$C$1491)*CROQUIS_DATOS!$C$1561-(0)*CROQUIS_DATOS!$C$1561))/CROQUIS_DATOS!$C$1568-0.000001)),1,MOD($A47-1,2)))=1,MIN((CROQUIS_DATOS!$C$1491)*CROQUIS_DATOS!$C$1561,((CROQUIS_DATOS!$C$1489+CROQUIS_DATOS!$C$1490)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7">
        <f>IF(AND(CROQUIS_DATOS!$C$1472=1,CROQUIS_DATOS!$C$1478&gt;=3,((CROQUIS_DATOS!$C$1489+CROQUIS_DATOS!$C$1490))-(CROQUIS_DATOS!$C$1489)&gt;0.5,(CROQUIS_DATOS!$C$1491)-(0)&gt;0.5),(CROQUIS_DATOS!$C$1567+(IF(IF(MOD(MIN(INT(($A47-1)/2)+1,MAX(1,INT(((((CROQUIS_DATOS!$C$1489+CROQUIS_DATOS!$C$1490))-(CROQUIS_DATOS!$C$1489))+((CROQUIS_DATOS!$C$1491)*CROQUIS_DATOS!$C$1561-(0)*CROQUIS_DATOS!$C$1561))/CROQUIS_DATOS!$C$1568-0.000001))),2)=1,IF(INT(($A47-1)/2)+1&gt;MAX(1,INT(((((CROQUIS_DATOS!$C$1489+CROQUIS_DATOS!$C$1490))-(CROQUIS_DATOS!$C$1489))+((CROQUIS_DATOS!$C$1491)*CROQUIS_DATOS!$C$1561-(0)*CROQUIS_DATOS!$C$1561))/CROQUIS_DATOS!$C$1568-0.000001)),1,MOD($A47-1,2)),1-IF(INT(($A47-1)/2)+1&gt;MAX(1,INT(((((CROQUIS_DATOS!$C$1489+CROQUIS_DATOS!$C$1490))-(CROQUIS_DATOS!$C$1489))+((CROQUIS_DATOS!$C$1491)*CROQUIS_DATOS!$C$1561-(0)*CROQUIS_DATOS!$C$1561))/CROQUIS_DATOS!$C$1568-0.000001)),1,MOD($A47-1,2)))=1,MIN((CROQUIS_DATOS!$C$1491)*CROQUIS_DATOS!$C$1561,((CROQUIS_DATOS!$C$1489+CROQUIS_DATOS!$C$1490)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7">
        <f>IF(AND(CROQUIS_DATOS!$C$1472=1,CROQUIS_DATOS!$C$1478&gt;=3,((CROQUIS_DATOS!$C$1489+CROQUIS_DATOS!$C$1490))-(CROQUIS_DATOS!$C$1489)&gt;0.5,(CROQUIS_DATOS!$C$1476)-((CROQUIS_DATOS!$C$1491+CROQUIS_DATOS!$C$1492))&gt;0.5),(CROQUIS_DATOS!$C$1566+(IF(IF(MOD(MIN(INT(($A47-1)/2)+1,MAX(1,INT(((((CROQUIS_DATOS!$C$1489+CROQUIS_DATOS!$C$1490))-(CROQUIS_DATOS!$C$1489))+((CROQUIS_DATOS!$C$1476)*CROQUIS_DATOS!$C$1561-((CROQUIS_DATOS!$C$1491+CROQUIS_DATOS!$C$1492))*CROQUIS_DATOS!$C$1561))/CROQUIS_DATOS!$C$1568-0.000001))),2)=1,IF(INT(($A47-1)/2)+1&gt;MAX(1,INT(((((CROQUIS_DATOS!$C$1489+CROQUIS_DATOS!$C$1490))-(CROQUIS_DATOS!$C$1489))+((CROQUIS_DATOS!$C$1476)*CROQUIS_DATOS!$C$1561-((CROQUIS_DATOS!$C$1491+CROQUIS_DATOS!$C$1492))*CROQUIS_DATOS!$C$1561))/CROQUIS_DATOS!$C$1568-0.000001)),1,MOD($A47-1,2)),1-IF(INT(($A47-1)/2)+1&gt;MAX(1,INT(((((CROQUIS_DATOS!$C$1489+CROQUIS_DATOS!$C$1490))-(CROQUIS_DATOS!$C$1489))+((CROQUIS_DATOS!$C$1476)*CROQUIS_DATOS!$C$1561-((CROQUIS_DATOS!$C$1491+CROQUIS_DATOS!$C$1492))*CROQUIS_DATOS!$C$1561))/CROQUIS_DATOS!$C$1568-0.000001)),1,MOD($A47-1,2)))=1,MIN((CROQUIS_DATOS!$C$1476)*CROQUIS_DATOS!$C$1561,((CROQUIS_DATOS!$C$1489+CROQUIS_DATOS!$C$1490)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7">
        <f>IF(AND(CROQUIS_DATOS!$C$1472=1,CROQUIS_DATOS!$C$1478&gt;=3,((CROQUIS_DATOS!$C$1489+CROQUIS_DATOS!$C$1490))-(CROQUIS_DATOS!$C$1489)&gt;0.5,(CROQUIS_DATOS!$C$1476)-((CROQUIS_DATOS!$C$1491+CROQUIS_DATOS!$C$1492))&gt;0.5),(CROQUIS_DATOS!$C$1567+(IF(IF(MOD(MIN(INT(($A47-1)/2)+1,MAX(1,INT(((((CROQUIS_DATOS!$C$1489+CROQUIS_DATOS!$C$1490))-(CROQUIS_DATOS!$C$1489))+((CROQUIS_DATOS!$C$1476)*CROQUIS_DATOS!$C$1561-((CROQUIS_DATOS!$C$1491+CROQUIS_DATOS!$C$1492))*CROQUIS_DATOS!$C$1561))/CROQUIS_DATOS!$C$1568-0.000001))),2)=1,IF(INT(($A47-1)/2)+1&gt;MAX(1,INT(((((CROQUIS_DATOS!$C$1489+CROQUIS_DATOS!$C$1490))-(CROQUIS_DATOS!$C$1489))+((CROQUIS_DATOS!$C$1476)*CROQUIS_DATOS!$C$1561-((CROQUIS_DATOS!$C$1491+CROQUIS_DATOS!$C$1492))*CROQUIS_DATOS!$C$1561))/CROQUIS_DATOS!$C$1568-0.000001)),1,MOD($A47-1,2)),1-IF(INT(($A47-1)/2)+1&gt;MAX(1,INT(((((CROQUIS_DATOS!$C$1489+CROQUIS_DATOS!$C$1490))-(CROQUIS_DATOS!$C$1489))+((CROQUIS_DATOS!$C$1476)*CROQUIS_DATOS!$C$1561-((CROQUIS_DATOS!$C$1491+CROQUIS_DATOS!$C$1492))*CROQUIS_DATOS!$C$1561))/CROQUIS_DATOS!$C$1568-0.000001)),1,MOD($A47-1,2)))=1,MIN((CROQUIS_DATOS!$C$1476)*CROQUIS_DATOS!$C$1561,((CROQUIS_DATOS!$C$1489+CROQUIS_DATOS!$C$1490)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7">
        <f>IF(AND(CROQUIS_DATOS!$C$1472=1,CROQUIS_DATOS!$C$1478&gt;=4,((CROQUIS_DATOS!$C$1494+CROQUIS_DATOS!$C$1495))-(CROQUIS_DATOS!$C$1494)&gt;0.5,(CROQUIS_DATOS!$C$1496)-(0)&gt;0.5),(CROQUIS_DATOS!$C$1566+(IF(IF(MOD(MIN(INT(($A47-1)/2)+1,MAX(1,INT(((((CROQUIS_DATOS!$C$1494+CROQUIS_DATOS!$C$1495))-(CROQUIS_DATOS!$C$1494))+((CROQUIS_DATOS!$C$1496)*CROQUIS_DATOS!$C$1561-(0)*CROQUIS_DATOS!$C$1561))/CROQUIS_DATOS!$C$1568-0.000001))),2)=1,IF(INT(($A47-1)/2)+1&gt;MAX(1,INT(((((CROQUIS_DATOS!$C$1494+CROQUIS_DATOS!$C$1495))-(CROQUIS_DATOS!$C$1494))+((CROQUIS_DATOS!$C$1496)*CROQUIS_DATOS!$C$1561-(0)*CROQUIS_DATOS!$C$1561))/CROQUIS_DATOS!$C$1568-0.000001)),1,MOD($A47-1,2)),1-IF(INT(($A47-1)/2)+1&gt;MAX(1,INT(((((CROQUIS_DATOS!$C$1494+CROQUIS_DATOS!$C$1495))-(CROQUIS_DATOS!$C$1494))+((CROQUIS_DATOS!$C$1496)*CROQUIS_DATOS!$C$1561-(0)*CROQUIS_DATOS!$C$1561))/CROQUIS_DATOS!$C$1568-0.000001)),1,MOD($A47-1,2)))=1,MIN((CROQUIS_DATOS!$C$1496)*CROQUIS_DATOS!$C$1561,((CROQUIS_DATOS!$C$1494+CROQUIS_DATOS!$C$1495)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7">
        <f>IF(AND(CROQUIS_DATOS!$C$1472=1,CROQUIS_DATOS!$C$1478&gt;=4,((CROQUIS_DATOS!$C$1494+CROQUIS_DATOS!$C$1495))-(CROQUIS_DATOS!$C$1494)&gt;0.5,(CROQUIS_DATOS!$C$1496)-(0)&gt;0.5),(CROQUIS_DATOS!$C$1567+(IF(IF(MOD(MIN(INT(($A47-1)/2)+1,MAX(1,INT(((((CROQUIS_DATOS!$C$1494+CROQUIS_DATOS!$C$1495))-(CROQUIS_DATOS!$C$1494))+((CROQUIS_DATOS!$C$1496)*CROQUIS_DATOS!$C$1561-(0)*CROQUIS_DATOS!$C$1561))/CROQUIS_DATOS!$C$1568-0.000001))),2)=1,IF(INT(($A47-1)/2)+1&gt;MAX(1,INT(((((CROQUIS_DATOS!$C$1494+CROQUIS_DATOS!$C$1495))-(CROQUIS_DATOS!$C$1494))+((CROQUIS_DATOS!$C$1496)*CROQUIS_DATOS!$C$1561-(0)*CROQUIS_DATOS!$C$1561))/CROQUIS_DATOS!$C$1568-0.000001)),1,MOD($A47-1,2)),1-IF(INT(($A47-1)/2)+1&gt;MAX(1,INT(((((CROQUIS_DATOS!$C$1494+CROQUIS_DATOS!$C$1495))-(CROQUIS_DATOS!$C$1494))+((CROQUIS_DATOS!$C$1496)*CROQUIS_DATOS!$C$1561-(0)*CROQUIS_DATOS!$C$1561))/CROQUIS_DATOS!$C$1568-0.000001)),1,MOD($A47-1,2)))=1,MIN((CROQUIS_DATOS!$C$1496)*CROQUIS_DATOS!$C$1561,((CROQUIS_DATOS!$C$1494+CROQUIS_DATOS!$C$1495)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7">
        <f>IF(AND(CROQUIS_DATOS!$C$1472=1,CROQUIS_DATOS!$C$1478&gt;=4,((CROQUIS_DATOS!$C$1494+CROQUIS_DATOS!$C$1495))-(CROQUIS_DATOS!$C$1494)&gt;0.5,(CROQUIS_DATOS!$C$1476)-((CROQUIS_DATOS!$C$1496+CROQUIS_DATOS!$C$1497))&gt;0.5),(CROQUIS_DATOS!$C$1566+(IF(IF(MOD(MIN(INT(($A47-1)/2)+1,MAX(1,INT(((((CROQUIS_DATOS!$C$1494+CROQUIS_DATOS!$C$1495))-(CROQUIS_DATOS!$C$1494))+((CROQUIS_DATOS!$C$1476)*CROQUIS_DATOS!$C$1561-((CROQUIS_DATOS!$C$1496+CROQUIS_DATOS!$C$1497))*CROQUIS_DATOS!$C$1561))/CROQUIS_DATOS!$C$1568-0.000001))),2)=1,IF(INT(($A47-1)/2)+1&gt;MAX(1,INT(((((CROQUIS_DATOS!$C$1494+CROQUIS_DATOS!$C$1495))-(CROQUIS_DATOS!$C$1494))+((CROQUIS_DATOS!$C$1476)*CROQUIS_DATOS!$C$1561-((CROQUIS_DATOS!$C$1496+CROQUIS_DATOS!$C$1497))*CROQUIS_DATOS!$C$1561))/CROQUIS_DATOS!$C$1568-0.000001)),1,MOD($A47-1,2)),1-IF(INT(($A47-1)/2)+1&gt;MAX(1,INT(((((CROQUIS_DATOS!$C$1494+CROQUIS_DATOS!$C$1495))-(CROQUIS_DATOS!$C$1494))+((CROQUIS_DATOS!$C$1476)*CROQUIS_DATOS!$C$1561-((CROQUIS_DATOS!$C$1496+CROQUIS_DATOS!$C$1497))*CROQUIS_DATOS!$C$1561))/CROQUIS_DATOS!$C$1568-0.000001)),1,MOD($A47-1,2)))=1,MIN((CROQUIS_DATOS!$C$1476)*CROQUIS_DATOS!$C$1561,((CROQUIS_DATOS!$C$1494+CROQUIS_DATOS!$C$1495)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7">
        <f>IF(AND(CROQUIS_DATOS!$C$1472=1,CROQUIS_DATOS!$C$1478&gt;=4,((CROQUIS_DATOS!$C$1494+CROQUIS_DATOS!$C$1495))-(CROQUIS_DATOS!$C$1494)&gt;0.5,(CROQUIS_DATOS!$C$1476)-((CROQUIS_DATOS!$C$1496+CROQUIS_DATOS!$C$1497))&gt;0.5),(CROQUIS_DATOS!$C$1567+(IF(IF(MOD(MIN(INT(($A47-1)/2)+1,MAX(1,INT(((((CROQUIS_DATOS!$C$1494+CROQUIS_DATOS!$C$1495))-(CROQUIS_DATOS!$C$1494))+((CROQUIS_DATOS!$C$1476)*CROQUIS_DATOS!$C$1561-((CROQUIS_DATOS!$C$1496+CROQUIS_DATOS!$C$1497))*CROQUIS_DATOS!$C$1561))/CROQUIS_DATOS!$C$1568-0.000001))),2)=1,IF(INT(($A47-1)/2)+1&gt;MAX(1,INT(((((CROQUIS_DATOS!$C$1494+CROQUIS_DATOS!$C$1495))-(CROQUIS_DATOS!$C$1494))+((CROQUIS_DATOS!$C$1476)*CROQUIS_DATOS!$C$1561-((CROQUIS_DATOS!$C$1496+CROQUIS_DATOS!$C$1497))*CROQUIS_DATOS!$C$1561))/CROQUIS_DATOS!$C$1568-0.000001)),1,MOD($A47-1,2)),1-IF(INT(($A47-1)/2)+1&gt;MAX(1,INT(((((CROQUIS_DATOS!$C$1494+CROQUIS_DATOS!$C$1495))-(CROQUIS_DATOS!$C$1494))+((CROQUIS_DATOS!$C$1476)*CROQUIS_DATOS!$C$1561-((CROQUIS_DATOS!$C$1496+CROQUIS_DATOS!$C$1497))*CROQUIS_DATOS!$C$1561))/CROQUIS_DATOS!$C$1568-0.000001)),1,MOD($A47-1,2)))=1,MIN((CROQUIS_DATOS!$C$1476)*CROQUIS_DATOS!$C$1561,((CROQUIS_DATOS!$C$1494+CROQUIS_DATOS!$C$1495)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7">
        <f>IF(AND(CROQUIS_DATOS!$C$1472=1,1),(CROQUIS_DATOS!$C$1571+(CHOOSE(MIN(MAX(IF(INT(($A47-1)/5)+1&gt;CROQUIS_DATOS!$C$1525,5,MOD($A47-1,5)+1),1),5),(INDEX($E$8:$E$23,MIN(INT(($A47-1)/5)+1,CROQUIS_DATOS!$C$1525))-INDEX($F$8:$F$23,MIN(INT(($A47-1)/5)+1,CROQUIS_DATOS!$C$1525))/2),(INDEX($E$8:$E$23,MIN(INT(($A47-1)/5)+1,CROQUIS_DATOS!$C$1525))+INDEX($F$8:$F$23,MIN(INT(($A47-1)/5)+1,CROQUIS_DATOS!$C$1525))/2),(INDEX($E$8:$E$23,MIN(INT(($A47-1)/5)+1,CROQUIS_DATOS!$C$1525))+INDEX($F$8:$F$23,MIN(INT(($A47-1)/5)+1,CROQUIS_DATOS!$C$1525))/2),(INDEX($E$8:$E$23,MIN(INT(($A47-1)/5)+1,CROQUIS_DATOS!$C$1525))-INDEX($F$8:$F$23,MIN(INT(($A47-1)/5)+1,CROQUIS_DATOS!$C$1525))/2),(INDEX($E$8:$E$23,MIN(INT(($A47-1)/5)+1,CROQUIS_DATOS!$C$1525))-INDEX($F$8:$F$23,MIN(INT(($A47-1)/5)+1,CROQUIS_DATOS!$C$1525))/2)))*CROQUIS_DATOS!$C$1569),-1000)</f>
        <v>95.24</v>
      </c>
      <c r="GE47">
        <f>IF(AND(CROQUIS_DATOS!$C$1472=1,1),(CROQUIS_DATOS!$C$1572+(CHOOSE(MIN(MAX(IF(INT(($A47-1)/5)+1&gt;CROQUIS_DATOS!$C$1525,5,MOD($A47-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7">
        <f>IF(AND(CROQUIS_DATOS!$C$1472=1,1),IF(INT(($A47-1)/4)+1&lt;=CROQUIS_DATOS!$C$1525,(CROQUIS_DATOS!$C$1571+((INDEX($E$8:$E$23,MIN(INT(($A47-1)/4)+1,16))+IF(OR(MOD($A47-1,4)=0,MOD($A47-1,4)=3),-1,1)*(INDEX($F$8:$F$23,MIN(INT(($A47-1)/4)+1,16))/2-(CROQUIS_DATOS!$C$1530+CROQUIS_DATOS!$C$1532+IF(OR(INT(($A47-1)/4)+1=1,INT(($A47-1)/4)+1=CROQUIS_DATOS!$C$1525),CROQUIS_DATOS!$C$1534,CROQUIS_DATOS!$C$1531)/2))))*CROQUIS_DATOS!$C$1569),-1000),-1000)</f>
        <v>-1000</v>
      </c>
      <c r="GG47">
        <f>IF(AND(CROQUIS_DATOS!$C$1472=1,1),IF(INT(($A47-1)/4)+1&lt;=CROQUIS_DATOS!$C$1525,(CROQUIS_DATOS!$C$1572+((CROQUIS_DATOS!$C$1477/2+IF(MOD($A47-1,4)&lt;2,-1,1)*(CROQUIS_DATOS!$C$1527/2-(CROQUIS_DATOS!$C$1530+CROQUIS_DATOS!$C$1532+IF(OR(INT(($A47-1)/4)+1=1,INT(($A47-1)/4)+1=CROQUIS_DATOS!$C$1525),CROQUIS_DATOS!$C$1534,CROQUIS_DATOS!$C$1531)/2))))*CROQUIS_DATOS!$C$1569*CROQUIS_DATOS!$C$1570),-1000),-1000)</f>
        <v>-1000</v>
      </c>
    </row>
    <row r="48">
      <c r="A48" t="n">
        <v>41</v>
      </c>
      <c r="J48">
        <f>IF(AND(CROQUIS_DATOS!$C$1472=1,1),(CROQUIS_DATOS!$C$1563+(CHOOSE(MIN(MAX(IF(INT(($A48-1)/4)+1&gt;CROQUIS_DATOS!$C$1525,4,MOD($A48-1,4)+1),1),4),(INDEX($E$8:$E$23,MIN(INT(($A48-1)/4)+1,CROQUIS_DATOS!$C$1525))-INDEX($F$8:$F$23,MIN(INT(($A48-1)/4)+1,CROQUIS_DATOS!$C$1525))/2),(INDEX($E$8:$E$23,MIN(INT(($A48-1)/4)+1,CROQUIS_DATOS!$C$1525))-INDEX($F$8:$F$23,MIN(INT(($A48-1)/4)+1,CROQUIS_DATOS!$C$1525))/2),(INDEX($E$8:$E$23,MIN(INT(($A48-1)/4)+1,CROQUIS_DATOS!$C$1525))+INDEX($F$8:$F$23,MIN(INT(($A48-1)/4)+1,CROQUIS_DATOS!$C$1525))/2),(INDEX($E$8:$E$23,MIN(INT(($A48-1)/4)+1,CROQUIS_DATOS!$C$1525))+INDEX($F$8:$F$23,MIN(INT(($A48-1)/4)+1,CROQUIS_DATOS!$C$1525))/2)))*CROQUIS_DATOS!$C$1562),-1000)</f>
        <v>84.9137931034483</v>
      </c>
      <c r="K48">
        <f>IF(AND(CROQUIS_DATOS!$C$1472=1,1),(CROQUIS_DATOS!$C$1564+(CHOOSE(MIN(MAX(IF(INT(($A48-1)/4)+1&gt;CROQUIS_DATOS!$C$1525,4,MOD($A48-1,4)+1),1),4),0,CROQUIS_DATOS!$C$1476,CROQUIS_DATOS!$C$1476,0))*CROQUIS_DATOS!$C$1561*CROQUIS_DATOS!$C$1562),-1000)</f>
        <v>5.29310344827586</v>
      </c>
      <c r="L48">
        <f>IF(AND(CROQUIS_DATOS!$C$1472=1,1),(CROQUIS_DATOS!$C$1563+(CHOOSE(MIN(MAX(IF(INT(($A48-1)/4)+1&gt;CROQUIS_DATOS!$C$1525,4,MOD($A48-1,4)+1),1),4),((INDEX($E$8:$E$23,MIN(INT(($A48-1)/4)+1,CROQUIS_DATOS!$C$1525))-INDEX($F$8:$F$23,MIN(INT(($A48-1)/4)+1,CROQUIS_DATOS!$C$1525))/2)+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,((INDEX($E$8:$E$23,MIN(INT(($A48-1)/4)+1,CROQUIS_DATOS!$C$1525))-INDEX($F$8:$F$23,MIN(INT(($A48-1)/4)+1,CROQUIS_DATOS!$C$1525))/2)+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,((INDEX($E$8:$E$23,MIN(INT(($A48-1)/4)+1,CROQUIS_DATOS!$C$1525))+INDEX($F$8:$F$23,MIN(INT(($A48-1)/4)+1,CROQUIS_DATOS!$C$1525))/2)-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,((INDEX($E$8:$E$23,MIN(INT(($A48-1)/4)+1,CROQUIS_DATOS!$C$1525))+INDEX($F$8:$F$23,MIN(INT(($A48-1)/4)+1,CROQUIS_DATOS!$C$1525))/2)-MIN((CROQUIS_DATOS!$C$1530+CROQUIS_DATOS!$C$1532+IF(OR(MIN(INT(($A48-1)/4)+1,CROQUIS_DATOS!$C$1525)=1,MIN(INT(($A48-1)/4)+1,CROQUIS_DATOS!$C$1525)=CROQUIS_DATOS!$C$1525),CROQUIS_DATOS!$C$1534,CROQUIS_DATOS!$C$1531)/2),INDEX($F$8:$F$23,MIN(INT(($A48-1)/4)+1,CROQUIS_DATOS!$C$1525))/2-0.5))))*CROQUIS_DATOS!$C$1562),-1000)</f>
        <v>84.4792560344828</v>
      </c>
      <c r="M48">
        <f>IF(AND(CROQUIS_DATOS!$C$1472=1,1),(CROQUIS_DATOS!$C$1564+(CHOOSE(MIN(MAX(IF(INT(($A48-1)/4)+1&gt;CROQUIS_DATOS!$C$1525,4,MOD($A48-1,4)+1),1),4),CROQUIS_DATOS!$C$1543,INDEX($I$8:$I$23,MIN(INT(($A48-1)/4)+1,CROQUIS_DATOS!$C$1525)),INDEX($I$8:$I$23,MIN(INT(($A48-1)/4)+1,CROQUIS_DATOS!$C$1525)),CROQUIS_DATOS!$C$1543))*CROQUIS_DATOS!$C$1561*CROQUIS_DATOS!$C$1562),-1000)</f>
        <v>42.5654629310345</v>
      </c>
      <c r="N48">
        <f>IF(AND(CROQUIS_DATOS!$C$1472=1,1),(CROQUIS_DATOS!$C$1563+(IF(IF(IF(INT(($A48-1)/70)+1&gt;CROQUIS_DATOS!$C$1525,70,MOD($A48-1,70)+1)=1,0,IF(IF(INT(($A48-1)/70)+1&gt;CROQUIS_DATOS!$C$1525,70,MOD($A48-1,70)+1)&gt;2*CROQUIS_DATOS!$C$1541+1,IF(MOD(CROQUIS_DATOS!$C$1541,2)=1,1,0),IF(MOD(MIN(INT((IF(INT(($A48-1)/70)+1&gt;CROQUIS_DATOS!$C$1525,70,MOD($A48-1,70)+1)-2)/2)+1,CROQUIS_DATOS!$C$1541),2)=1,IF(MOD(IF(INT(($A48-1)/70)+1&gt;CROQUIS_DATOS!$C$1525,70,MOD($A48-1,70)+1)-2,2)=0,0,1),IF(MOD(IF(INT(($A48-1)/70)+1&gt;CROQUIS_DATOS!$C$1525,70,MOD($A48-1,70)+1)-2,2)=0,1,0))))=0,(INDEX($E$8:$E$23,MIN(INT(($A48-1)/70)+1,CROQUIS_DATOS!$C$1525))-INDEX($F$8:$F$23,MIN(INT(($A48-1)/70)+1,CROQUIS_DATOS!$C$1525))/2),(INDEX($E$8:$E$23,MIN(INT(($A48-1)/70)+1,CROQUIS_DATOS!$C$1525))+INDEX($F$8:$F$23,MIN(INT(($A48-1)/70)+1,CROQUIS_DATOS!$C$1525))/2)))*CROQUIS_DATOS!$C$1562),-1000)</f>
        <v>15.0862068965517</v>
      </c>
      <c r="O48">
        <f>IF(AND(CROQUIS_DATOS!$C$1472=1,1),(CROQUIS_DATOS!$C$1564+(IF(OR(IF(INT(($A48-1)/70)+1&gt;CROQUIS_DATOS!$C$1525,70,MOD($A48-1,70)+1)=1,IF(INT(($A48-1)/70)+1&gt;CROQUIS_DATOS!$C$1525,70,MOD($A48-1,70)+1)&gt;2*CROQUIS_DATOS!$C$1541+1),CROQUIS_DATOS!$C$1476,INDEX($H$8:$H$41,MIN(INT((IF(INT(($A48-1)/70)+1&gt;CROQUIS_DATOS!$C$1525,70,MOD($A48-1,70)+1)-2)/2)+1,CROQUIS_DATOS!$C$1541))))*CROQUIS_DATOS!$C$1561*CROQUIS_DATOS!$C$1562),-1000)</f>
        <v>40.2068965517241</v>
      </c>
      <c r="P48">
        <f>IF(AND(CROQUIS_DATOS!$C$1472=1,CROQUIS_DATOS!$C$1555=1),(CROQUIS_DATOS!$C$1563+(IF(IF(OR(MOD($A48-1,62)+1=1,IF(CHOOSE(MIN(MAX(MIN(INT(($A48-1)/62)+1,5),1),5),CROQUIS_DATOS!$C$1501,CROQUIS_DATOS!$C$1505,CROQUIS_DATOS!$C$1509,CROQUIS_DATOS!$C$1513,CROQUIS_DATOS!$C$1517)=1,CROQUIS_DATOS!$C$1557,0)=0),0,IF(MOD($A48-1,62)+1&gt;2*IF(CHOOSE(MIN(MAX(MIN(INT(($A48-1)/62)+1,5),1),5),CROQUIS_DATOS!$C$1501,CROQUIS_DATOS!$C$1505,CROQUIS_DATOS!$C$1509,CROQUIS_DATOS!$C$1513,CROQUIS_DATOS!$C$1517)=1,CROQUIS_DATOS!$C$1557,0)+1,IF(MOD(IF(CHOOSE(MIN(MAX(MIN(INT(($A48-1)/62)+1,5),1),5),CROQUIS_DATOS!$C$1501,CROQUIS_DATOS!$C$1505,CROQUIS_DATOS!$C$1509,CROQUIS_DATOS!$C$1513,CROQUIS_DATOS!$C$1517)=1,CROQUIS_DATOS!$C$1557,0),2)=1,1,0),IF(MOD(MIN(INT((MOD($A48-1,62)+1-2)/2)+1,MAX(IF(CHOOSE(MIN(MAX(MIN(INT(($A48-1)/62)+1,5),1),5),CROQUIS_DATOS!$C$1501,CROQUIS_DATOS!$C$1505,CROQUIS_DATOS!$C$1509,CROQUIS_DATOS!$C$1513,CROQUIS_DATOS!$C$1517)=1,CROQUIS_DATOS!$C$1557,0),1)),2)=1,IF(MOD(MOD($A48-1,62)+1-2,2)=0,0,1),IF(MOD(MOD($A48-1,62)+1-2,2)=0,1,0))))=0,(CHOOSE(MIN(MAX(MIN(INT(($A48-1)/62)+1,5),1),5),CROQUIS_DATOS!$C$1499,CROQUIS_DATOS!$C$1503,CROQUIS_DATOS!$C$1507,CROQUIS_DATOS!$C$1511,CROQUIS_DATOS!$C$1515)+IF(CHOOSE(MIN(MAX(MIN(INT(($A48-1)/62)+1,5),1),5),CROQUIS_DATOS!$C$1501,CROQUIS_DATOS!$C$1505,CROQUIS_DATOS!$C$1509,CROQUIS_DATOS!$C$1513,CROQUIS_DATOS!$C$1517)=1,CROQUIS_DATOS!$C$1526,0)),(CHOOSE(MIN(MAX(MIN(INT(($A48-1)/62)+1,5),1),5),CROQUIS_DATOS!$C$1499,CROQUIS_DATOS!$C$1503,CROQUIS_DATOS!$C$1507,CROQUIS_DATOS!$C$1511,CROQUIS_DATOS!$C$1515)+CHOOSE(MIN(MAX(MIN(INT(($A48-1)/62)+1,5),1),5),CROQUIS_DATOS!$C$1500,CROQUIS_DATOS!$C$1504,CROQUIS_DATOS!$C$1508,CROQUIS_DATOS!$C$1512,CROQUIS_DATOS!$C$1516)-IF(CHOOSE(MIN(MAX(MIN(INT(($A48-1)/62)+1,5),1),5),CROQUIS_DATOS!$C$1501,CROQUIS_DATOS!$C$1505,CROQUIS_DATOS!$C$1509,CROQUIS_DATOS!$C$1513,CROQUIS_DATOS!$C$1517)=1,CROQUIS_DATOS!$C$1526,0))))*CROQUIS_DATOS!$C$1562),-1000)</f>
        <v>-1000</v>
      </c>
      <c r="Q48">
        <f>IF(AND(CROQUIS_DATOS!$C$1472=1,CROQUIS_DATOS!$C$1555=1),(CROQUIS_DATOS!$C$1564+(IF(OR(OR(MOD($A48-1,62)+1=1,IF(CHOOSE(MIN(MAX(MIN(INT(($A48-1)/62)+1,5),1),5),CROQUIS_DATOS!$C$1501,CROQUIS_DATOS!$C$1505,CROQUIS_DATOS!$C$1509,CROQUIS_DATOS!$C$1513,CROQUIS_DATOS!$C$1517)=1,CROQUIS_DATOS!$C$1557,0)=0),MOD($A48-1,62)+1&gt;2*IF(CHOOSE(MIN(MAX(MIN(INT(($A48-1)/62)+1,5),1),5),CROQUIS_DATOS!$C$1501,CROQUIS_DATOS!$C$1505,CROQUIS_DATOS!$C$1509,CROQUIS_DATOS!$C$1513,CROQUIS_DATOS!$C$1517)=1,CROQUIS_DATOS!$C$1557,0)+1),CROQUIS_DATOS!$C$1476,MIN(INT((MOD($A48-1,62)+1-2)/2)+1,MAX(IF(CHOOSE(MIN(MAX(MIN(INT(($A48-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8">
        <f>IF(AND(CROQUIS_DATOS!$C$1472=1,1),(CROQUIS_DATOS!$C$1563+(MIN(INT(($A48-1)/2)+1,CROQUIS_DATOS!$C$1558)*CROQUIS_DATOS!$C$1559)*CROQUIS_DATOS!$C$1562),-1000)</f>
        <v>71.4854111405836</v>
      </c>
      <c r="U48">
        <f>IF(AND(CROQUIS_DATOS!$C$1472=1,1),(CROQUIS_DATOS!$C$1564+(IF(INT(($A48-1)/2)+1&gt;CROQUIS_DATOS!$C$1558,IF(MOD(CROQUIS_DATOS!$C$1558,2)=1,CROQUIS_DATOS!$C$1476+CROQUIS_DATOS!$C$1528,CROQUIS_DATOS!$C$1476),IF(IF(MOD(MIN(INT(($A48-1)/2)+1,CROQUIS_DATOS!$C$1558),2)=1,MOD($A48-1,2),1-MOD($A48-1,2))=1,CROQUIS_DATOS!$C$1476+CROQUIS_DATOS!$C$1528,CROQUIS_DATOS!$C$1476)))*CROQUIS_DATOS!$C$1561*CROQUIS_DATOS!$C$1562),-1000)</f>
        <v>40.2068965517241</v>
      </c>
      <c r="BZ48">
        <f>IF(AND(CROQUIS_DATOS!$C$1472=1,CROQUIS_DATOS!$C$1500&gt;0,((CROQUIS_DATOS!$C$1499+CROQUIS_DATOS!$C$1500))-(CROQUIS_DATOS!$C$1499)&gt;0.5,(CROQUIS_DATOS!$C$1476)-(0)&gt;0.5),(CROQUIS_DATOS!$C$1566+(IF(IF(MOD(MIN(INT(($A48-1)/2)+1,MAX(1,INT(((((CROQUIS_DATOS!$C$1499+CROQUIS_DATOS!$C$1500))-(CROQUIS_DATOS!$C$1499))+((CROQUIS_DATOS!$C$1476)*CROQUIS_DATOS!$C$1561-(0)*CROQUIS_DATOS!$C$1561))/CROQUIS_DATOS!$C$1568-0.000001))),2)=1,IF(INT(($A48-1)/2)+1&gt;MAX(1,INT(((((CROQUIS_DATOS!$C$1499+CROQUIS_DATOS!$C$1500))-(CROQUIS_DATOS!$C$1499))+((CROQUIS_DATOS!$C$1476)*CROQUIS_DATOS!$C$1561-(0)*CROQUIS_DATOS!$C$1561))/CROQUIS_DATOS!$C$1568-0.000001)),1,MOD($A48-1,2)),1-IF(INT(($A48-1)/2)+1&gt;MAX(1,INT(((((CROQUIS_DATOS!$C$1499+CROQUIS_DATOS!$C$1500))-(CROQUIS_DATOS!$C$1499))+((CROQUIS_DATOS!$C$1476)*CROQUIS_DATOS!$C$1561-(0)*CROQUIS_DATOS!$C$1561))/CROQUIS_DATOS!$C$1568-0.000001)),1,MOD($A48-1,2)))=1,MIN((CROQUIS_DATOS!$C$1476)*CROQUIS_DATOS!$C$1561,((CROQUIS_DATOS!$C$1499+CROQUIS_DATOS!$C$1500)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48">
        <f>IF(AND(CROQUIS_DATOS!$C$1472=1,CROQUIS_DATOS!$C$1500&gt;0,((CROQUIS_DATOS!$C$1499+CROQUIS_DATOS!$C$1500))-(CROQUIS_DATOS!$C$1499)&gt;0.5,(CROQUIS_DATOS!$C$1476)-(0)&gt;0.5),(CROQUIS_DATOS!$C$1567+(IF(IF(MOD(MIN(INT(($A48-1)/2)+1,MAX(1,INT(((((CROQUIS_DATOS!$C$1499+CROQUIS_DATOS!$C$1500))-(CROQUIS_DATOS!$C$1499))+((CROQUIS_DATOS!$C$1476)*CROQUIS_DATOS!$C$1561-(0)*CROQUIS_DATOS!$C$1561))/CROQUIS_DATOS!$C$1568-0.000001))),2)=1,IF(INT(($A48-1)/2)+1&gt;MAX(1,INT(((((CROQUIS_DATOS!$C$1499+CROQUIS_DATOS!$C$1500))-(CROQUIS_DATOS!$C$1499))+((CROQUIS_DATOS!$C$1476)*CROQUIS_DATOS!$C$1561-(0)*CROQUIS_DATOS!$C$1561))/CROQUIS_DATOS!$C$1568-0.000001)),1,MOD($A48-1,2)),1-IF(INT(($A48-1)/2)+1&gt;MAX(1,INT(((((CROQUIS_DATOS!$C$1499+CROQUIS_DATOS!$C$1500))-(CROQUIS_DATOS!$C$1499))+((CROQUIS_DATOS!$C$1476)*CROQUIS_DATOS!$C$1561-(0)*CROQUIS_DATOS!$C$1561))/CROQUIS_DATOS!$C$1568-0.000001)),1,MOD($A48-1,2)))=1,MIN((CROQUIS_DATOS!$C$1476)*CROQUIS_DATOS!$C$1561,((CROQUIS_DATOS!$C$1499+CROQUIS_DATOS!$C$1500)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48">
        <f>IF(AND(CROQUIS_DATOS!$C$1472=1,CROQUIS_DATOS!$C$1504&gt;0,((CROQUIS_DATOS!$C$1503+CROQUIS_DATOS!$C$1504))-(CROQUIS_DATOS!$C$1503)&gt;0.5,(CROQUIS_DATOS!$C$1476)-(0)&gt;0.5),(CROQUIS_DATOS!$C$1566+(IF(IF(MOD(MIN(INT(($A48-1)/2)+1,MAX(1,INT(((((CROQUIS_DATOS!$C$1503+CROQUIS_DATOS!$C$1504))-(CROQUIS_DATOS!$C$1503))+((CROQUIS_DATOS!$C$1476)*CROQUIS_DATOS!$C$1561-(0)*CROQUIS_DATOS!$C$1561))/CROQUIS_DATOS!$C$1568-0.000001))),2)=1,IF(INT(($A48-1)/2)+1&gt;MAX(1,INT(((((CROQUIS_DATOS!$C$1503+CROQUIS_DATOS!$C$1504))-(CROQUIS_DATOS!$C$1503))+((CROQUIS_DATOS!$C$1476)*CROQUIS_DATOS!$C$1561-(0)*CROQUIS_DATOS!$C$1561))/CROQUIS_DATOS!$C$1568-0.000001)),1,MOD($A48-1,2)),1-IF(INT(($A48-1)/2)+1&gt;MAX(1,INT(((((CROQUIS_DATOS!$C$1503+CROQUIS_DATOS!$C$1504))-(CROQUIS_DATOS!$C$1503))+((CROQUIS_DATOS!$C$1476)*CROQUIS_DATOS!$C$1561-(0)*CROQUIS_DATOS!$C$1561))/CROQUIS_DATOS!$C$1568-0.000001)),1,MOD($A48-1,2)))=1,MIN((CROQUIS_DATOS!$C$1476)*CROQUIS_DATOS!$C$1561,((CROQUIS_DATOS!$C$1503+CROQUIS_DATOS!$C$1504)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*CROQUIS_DATOS!$C$1565),-1000)</f>
        <v>45.048275862069</v>
      </c>
      <c r="CC48">
        <f>IF(AND(CROQUIS_DATOS!$C$1472=1,CROQUIS_DATOS!$C$1504&gt;0,((CROQUIS_DATOS!$C$1503+CROQUIS_DATOS!$C$1504))-(CROQUIS_DATOS!$C$1503)&gt;0.5,(CROQUIS_DATOS!$C$1476)-(0)&gt;0.5),(CROQUIS_DATOS!$C$1567+(IF(IF(MOD(MIN(INT(($A48-1)/2)+1,MAX(1,INT(((((CROQUIS_DATOS!$C$1503+CROQUIS_DATOS!$C$1504))-(CROQUIS_DATOS!$C$1503))+((CROQUIS_DATOS!$C$1476)*CROQUIS_DATOS!$C$1561-(0)*CROQUIS_DATOS!$C$1561))/CROQUIS_DATOS!$C$1568-0.000001))),2)=1,IF(INT(($A48-1)/2)+1&gt;MAX(1,INT(((((CROQUIS_DATOS!$C$1503+CROQUIS_DATOS!$C$1504))-(CROQUIS_DATOS!$C$1503))+((CROQUIS_DATOS!$C$1476)*CROQUIS_DATOS!$C$1561-(0)*CROQUIS_DATOS!$C$1561))/CROQUIS_DATOS!$C$1568-0.000001)),1,MOD($A48-1,2)),1-IF(INT(($A48-1)/2)+1&gt;MAX(1,INT(((((CROQUIS_DATOS!$C$1503+CROQUIS_DATOS!$C$1504))-(CROQUIS_DATOS!$C$1503))+((CROQUIS_DATOS!$C$1476)*CROQUIS_DATOS!$C$1561-(0)*CROQUIS_DATOS!$C$1561))/CROQUIS_DATOS!$C$1568-0.000001)),1,MOD($A48-1,2)))=1,MIN((CROQUIS_DATOS!$C$1476)*CROQUIS_DATOS!$C$1561,((CROQUIS_DATOS!$C$1503+CROQUIS_DATOS!$C$1504)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48-1)/2)+1,MAX(1,INT(((((CROQUIS_DATOS!$C$1503+CROQUIS_DATOS!$C$1504))-(CROQUIS_DATOS!$C$1503))+((CROQUIS_DATOS!$C$1476)*CROQUIS_DATOS!$C$1561-(0)*CROQUIS_DATOS!$C$1561))/CROQUIS_DATOS!$C$1568-0.000001)))*CROQUIS_DATOS!$C$1568))))*CROQUIS_DATOS!$C$1565),-1000)</f>
        <v>12.1379310344828</v>
      </c>
      <c r="CD48">
        <f>IF(AND(CROQUIS_DATOS!$C$1472=1,CROQUIS_DATOS!$C$1508&gt;0,((CROQUIS_DATOS!$C$1507+CROQUIS_DATOS!$C$1508))-(CROQUIS_DATOS!$C$1507)&gt;0.5,(CROQUIS_DATOS!$C$1476)-(0)&gt;0.5),(CROQUIS_DATOS!$C$1566+(IF(IF(MOD(MIN(INT(($A48-1)/2)+1,MAX(1,INT(((((CROQUIS_DATOS!$C$1507+CROQUIS_DATOS!$C$1508))-(CROQUIS_DATOS!$C$1507))+((CROQUIS_DATOS!$C$1476)*CROQUIS_DATOS!$C$1561-(0)*CROQUIS_DATOS!$C$1561))/CROQUIS_DATOS!$C$1568-0.000001))),2)=1,IF(INT(($A48-1)/2)+1&gt;MAX(1,INT(((((CROQUIS_DATOS!$C$1507+CROQUIS_DATOS!$C$1508))-(CROQUIS_DATOS!$C$1507))+((CROQUIS_DATOS!$C$1476)*CROQUIS_DATOS!$C$1561-(0)*CROQUIS_DATOS!$C$1561))/CROQUIS_DATOS!$C$1568-0.000001)),1,MOD($A48-1,2)),1-IF(INT(($A48-1)/2)+1&gt;MAX(1,INT(((((CROQUIS_DATOS!$C$1507+CROQUIS_DATOS!$C$1508))-(CROQUIS_DATOS!$C$1507))+((CROQUIS_DATOS!$C$1476)*CROQUIS_DATOS!$C$1561-(0)*CROQUIS_DATOS!$C$1561))/CROQUIS_DATOS!$C$1568-0.000001)),1,MOD($A48-1,2)))=1,MIN((CROQUIS_DATOS!$C$1476)*CROQUIS_DATOS!$C$1561,((CROQUIS_DATOS!$C$1507+CROQUIS_DATOS!$C$1508)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*CROQUIS_DATOS!$C$1565),-1000)</f>
        <v>71.7724137931035</v>
      </c>
      <c r="CE48">
        <f>IF(AND(CROQUIS_DATOS!$C$1472=1,CROQUIS_DATOS!$C$1508&gt;0,((CROQUIS_DATOS!$C$1507+CROQUIS_DATOS!$C$1508))-(CROQUIS_DATOS!$C$1507)&gt;0.5,(CROQUIS_DATOS!$C$1476)-(0)&gt;0.5),(CROQUIS_DATOS!$C$1567+(IF(IF(MOD(MIN(INT(($A48-1)/2)+1,MAX(1,INT(((((CROQUIS_DATOS!$C$1507+CROQUIS_DATOS!$C$1508))-(CROQUIS_DATOS!$C$1507))+((CROQUIS_DATOS!$C$1476)*CROQUIS_DATOS!$C$1561-(0)*CROQUIS_DATOS!$C$1561))/CROQUIS_DATOS!$C$1568-0.000001))),2)=1,IF(INT(($A48-1)/2)+1&gt;MAX(1,INT(((((CROQUIS_DATOS!$C$1507+CROQUIS_DATOS!$C$1508))-(CROQUIS_DATOS!$C$1507))+((CROQUIS_DATOS!$C$1476)*CROQUIS_DATOS!$C$1561-(0)*CROQUIS_DATOS!$C$1561))/CROQUIS_DATOS!$C$1568-0.000001)),1,MOD($A48-1,2)),1-IF(INT(($A48-1)/2)+1&gt;MAX(1,INT(((((CROQUIS_DATOS!$C$1507+CROQUIS_DATOS!$C$1508))-(CROQUIS_DATOS!$C$1507))+((CROQUIS_DATOS!$C$1476)*CROQUIS_DATOS!$C$1561-(0)*CROQUIS_DATOS!$C$1561))/CROQUIS_DATOS!$C$1568-0.000001)),1,MOD($A48-1,2)))=1,MIN((CROQUIS_DATOS!$C$1476)*CROQUIS_DATOS!$C$1561,((CROQUIS_DATOS!$C$1507+CROQUIS_DATOS!$C$1508)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48">
        <f>IF(AND(CROQUIS_DATOS!$C$1472=1,CROQUIS_DATOS!$C$1512&gt;0,((CROQUIS_DATOS!$C$1511+CROQUIS_DATOS!$C$1512))-(CROQUIS_DATOS!$C$1511)&gt;0.5,(CROQUIS_DATOS!$C$1476)-(0)&gt;0.5),(CROQUIS_DATOS!$C$1566+(IF(IF(MOD(MIN(INT(($A48-1)/2)+1,MAX(1,INT(((((CROQUIS_DATOS!$C$1511+CROQUIS_DATOS!$C$1512))-(CROQUIS_DATOS!$C$1511))+((CROQUIS_DATOS!$C$1476)*CROQUIS_DATOS!$C$1561-(0)*CROQUIS_DATOS!$C$1561))/CROQUIS_DATOS!$C$1568-0.000001))),2)=1,IF(INT(($A48-1)/2)+1&gt;MAX(1,INT(((((CROQUIS_DATOS!$C$1511+CROQUIS_DATOS!$C$1512))-(CROQUIS_DATOS!$C$1511))+((CROQUIS_DATOS!$C$1476)*CROQUIS_DATOS!$C$1561-(0)*CROQUIS_DATOS!$C$1561))/CROQUIS_DATOS!$C$1568-0.000001)),1,MOD($A48-1,2)),1-IF(INT(($A48-1)/2)+1&gt;MAX(1,INT(((((CROQUIS_DATOS!$C$1511+CROQUIS_DATOS!$C$1512))-(CROQUIS_DATOS!$C$1511))+((CROQUIS_DATOS!$C$1476)*CROQUIS_DATOS!$C$1561-(0)*CROQUIS_DATOS!$C$1561))/CROQUIS_DATOS!$C$1568-0.000001)),1,MOD($A48-1,2)))=1,MIN((CROQUIS_DATOS!$C$1476)*CROQUIS_DATOS!$C$1561,((CROQUIS_DATOS!$C$1511+CROQUIS_DATOS!$C$1512)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8">
        <f>IF(AND(CROQUIS_DATOS!$C$1472=1,CROQUIS_DATOS!$C$1512&gt;0,((CROQUIS_DATOS!$C$1511+CROQUIS_DATOS!$C$1512))-(CROQUIS_DATOS!$C$1511)&gt;0.5,(CROQUIS_DATOS!$C$1476)-(0)&gt;0.5),(CROQUIS_DATOS!$C$1567+(IF(IF(MOD(MIN(INT(($A48-1)/2)+1,MAX(1,INT(((((CROQUIS_DATOS!$C$1511+CROQUIS_DATOS!$C$1512))-(CROQUIS_DATOS!$C$1511))+((CROQUIS_DATOS!$C$1476)*CROQUIS_DATOS!$C$1561-(0)*CROQUIS_DATOS!$C$1561))/CROQUIS_DATOS!$C$1568-0.000001))),2)=1,IF(INT(($A48-1)/2)+1&gt;MAX(1,INT(((((CROQUIS_DATOS!$C$1511+CROQUIS_DATOS!$C$1512))-(CROQUIS_DATOS!$C$1511))+((CROQUIS_DATOS!$C$1476)*CROQUIS_DATOS!$C$1561-(0)*CROQUIS_DATOS!$C$1561))/CROQUIS_DATOS!$C$1568-0.000001)),1,MOD($A48-1,2)),1-IF(INT(($A48-1)/2)+1&gt;MAX(1,INT(((((CROQUIS_DATOS!$C$1511+CROQUIS_DATOS!$C$1512))-(CROQUIS_DATOS!$C$1511))+((CROQUIS_DATOS!$C$1476)*CROQUIS_DATOS!$C$1561-(0)*CROQUIS_DATOS!$C$1561))/CROQUIS_DATOS!$C$1568-0.000001)),1,MOD($A48-1,2)))=1,MIN((CROQUIS_DATOS!$C$1476)*CROQUIS_DATOS!$C$1561,((CROQUIS_DATOS!$C$1511+CROQUIS_DATOS!$C$1512)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8">
        <f>IF(AND(CROQUIS_DATOS!$C$1472=1,CROQUIS_DATOS!$C$1516&gt;0,((CROQUIS_DATOS!$C$1515+CROQUIS_DATOS!$C$1516))-(CROQUIS_DATOS!$C$1515)&gt;0.5,(CROQUIS_DATOS!$C$1476)-(0)&gt;0.5),(CROQUIS_DATOS!$C$1566+(IF(IF(MOD(MIN(INT(($A48-1)/2)+1,MAX(1,INT(((((CROQUIS_DATOS!$C$1515+CROQUIS_DATOS!$C$1516))-(CROQUIS_DATOS!$C$1515))+((CROQUIS_DATOS!$C$1476)*CROQUIS_DATOS!$C$1561-(0)*CROQUIS_DATOS!$C$1561))/CROQUIS_DATOS!$C$1568-0.000001))),2)=1,IF(INT(($A48-1)/2)+1&gt;MAX(1,INT(((((CROQUIS_DATOS!$C$1515+CROQUIS_DATOS!$C$1516))-(CROQUIS_DATOS!$C$1515))+((CROQUIS_DATOS!$C$1476)*CROQUIS_DATOS!$C$1561-(0)*CROQUIS_DATOS!$C$1561))/CROQUIS_DATOS!$C$1568-0.000001)),1,MOD($A48-1,2)),1-IF(INT(($A48-1)/2)+1&gt;MAX(1,INT(((((CROQUIS_DATOS!$C$1515+CROQUIS_DATOS!$C$1516))-(CROQUIS_DATOS!$C$1515))+((CROQUIS_DATOS!$C$1476)*CROQUIS_DATOS!$C$1561-(0)*CROQUIS_DATOS!$C$1561))/CROQUIS_DATOS!$C$1568-0.000001)),1,MOD($A48-1,2)))=1,MIN((CROQUIS_DATOS!$C$1476)*CROQUIS_DATOS!$C$1561,((CROQUIS_DATOS!$C$1515+CROQUIS_DATOS!$C$1516)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8">
        <f>IF(AND(CROQUIS_DATOS!$C$1472=1,CROQUIS_DATOS!$C$1516&gt;0,((CROQUIS_DATOS!$C$1515+CROQUIS_DATOS!$C$1516))-(CROQUIS_DATOS!$C$1515)&gt;0.5,(CROQUIS_DATOS!$C$1476)-(0)&gt;0.5),(CROQUIS_DATOS!$C$1567+(IF(IF(MOD(MIN(INT(($A48-1)/2)+1,MAX(1,INT(((((CROQUIS_DATOS!$C$1515+CROQUIS_DATOS!$C$1516))-(CROQUIS_DATOS!$C$1515))+((CROQUIS_DATOS!$C$1476)*CROQUIS_DATOS!$C$1561-(0)*CROQUIS_DATOS!$C$1561))/CROQUIS_DATOS!$C$1568-0.000001))),2)=1,IF(INT(($A48-1)/2)+1&gt;MAX(1,INT(((((CROQUIS_DATOS!$C$1515+CROQUIS_DATOS!$C$1516))-(CROQUIS_DATOS!$C$1515))+((CROQUIS_DATOS!$C$1476)*CROQUIS_DATOS!$C$1561-(0)*CROQUIS_DATOS!$C$1561))/CROQUIS_DATOS!$C$1568-0.000001)),1,MOD($A48-1,2)),1-IF(INT(($A48-1)/2)+1&gt;MAX(1,INT(((((CROQUIS_DATOS!$C$1515+CROQUIS_DATOS!$C$1516))-(CROQUIS_DATOS!$C$1515))+((CROQUIS_DATOS!$C$1476)*CROQUIS_DATOS!$C$1561-(0)*CROQUIS_DATOS!$C$1561))/CROQUIS_DATOS!$C$1568-0.000001)),1,MOD($A48-1,2)))=1,MIN((CROQUIS_DATOS!$C$1476)*CROQUIS_DATOS!$C$1561,((CROQUIS_DATOS!$C$1515+CROQUIS_DATOS!$C$1516)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8">
        <f>IF(AND(CROQUIS_DATOS!$C$1472=1,CROQUIS_DATOS!$C$1478&gt;=1,((CROQUIS_DATOS!$C$1479+CROQUIS_DATOS!$C$1480))-(CROQUIS_DATOS!$C$1479)&gt;0.5,(CROQUIS_DATOS!$C$1481)-(0)&gt;0.5),(CROQUIS_DATOS!$C$1566+(IF(IF(MOD(MIN(INT(($A48-1)/2)+1,MAX(1,INT(((((CROQUIS_DATOS!$C$1479+CROQUIS_DATOS!$C$1480))-(CROQUIS_DATOS!$C$1479))+((CROQUIS_DATOS!$C$1481)*CROQUIS_DATOS!$C$1561-(0)*CROQUIS_DATOS!$C$1561))/CROQUIS_DATOS!$C$1568-0.000001))),2)=1,IF(INT(($A48-1)/2)+1&gt;MAX(1,INT(((((CROQUIS_DATOS!$C$1479+CROQUIS_DATOS!$C$1480))-(CROQUIS_DATOS!$C$1479))+((CROQUIS_DATOS!$C$1481)*CROQUIS_DATOS!$C$1561-(0)*CROQUIS_DATOS!$C$1561))/CROQUIS_DATOS!$C$1568-0.000001)),1,MOD($A48-1,2)),1-IF(INT(($A48-1)/2)+1&gt;MAX(1,INT(((((CROQUIS_DATOS!$C$1479+CROQUIS_DATOS!$C$1480))-(CROQUIS_DATOS!$C$1479))+((CROQUIS_DATOS!$C$1481)*CROQUIS_DATOS!$C$1561-(0)*CROQUIS_DATOS!$C$1561))/CROQUIS_DATOS!$C$1568-0.000001)),1,MOD($A48-1,2)))=1,MIN((CROQUIS_DATOS!$C$1481)*CROQUIS_DATOS!$C$1561,((CROQUIS_DATOS!$C$1479+CROQUIS_DATOS!$C$1480)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8">
        <f>IF(AND(CROQUIS_DATOS!$C$1472=1,CROQUIS_DATOS!$C$1478&gt;=1,((CROQUIS_DATOS!$C$1479+CROQUIS_DATOS!$C$1480))-(CROQUIS_DATOS!$C$1479)&gt;0.5,(CROQUIS_DATOS!$C$1481)-(0)&gt;0.5),(CROQUIS_DATOS!$C$1567+(IF(IF(MOD(MIN(INT(($A48-1)/2)+1,MAX(1,INT(((((CROQUIS_DATOS!$C$1479+CROQUIS_DATOS!$C$1480))-(CROQUIS_DATOS!$C$1479))+((CROQUIS_DATOS!$C$1481)*CROQUIS_DATOS!$C$1561-(0)*CROQUIS_DATOS!$C$1561))/CROQUIS_DATOS!$C$1568-0.000001))),2)=1,IF(INT(($A48-1)/2)+1&gt;MAX(1,INT(((((CROQUIS_DATOS!$C$1479+CROQUIS_DATOS!$C$1480))-(CROQUIS_DATOS!$C$1479))+((CROQUIS_DATOS!$C$1481)*CROQUIS_DATOS!$C$1561-(0)*CROQUIS_DATOS!$C$1561))/CROQUIS_DATOS!$C$1568-0.000001)),1,MOD($A48-1,2)),1-IF(INT(($A48-1)/2)+1&gt;MAX(1,INT(((((CROQUIS_DATOS!$C$1479+CROQUIS_DATOS!$C$1480))-(CROQUIS_DATOS!$C$1479))+((CROQUIS_DATOS!$C$1481)*CROQUIS_DATOS!$C$1561-(0)*CROQUIS_DATOS!$C$1561))/CROQUIS_DATOS!$C$1568-0.000001)),1,MOD($A48-1,2)))=1,MIN((CROQUIS_DATOS!$C$1481)*CROQUIS_DATOS!$C$1561,((CROQUIS_DATOS!$C$1479+CROQUIS_DATOS!$C$1480)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8">
        <f>IF(AND(CROQUIS_DATOS!$C$1472=1,CROQUIS_DATOS!$C$1478&gt;=1,((CROQUIS_DATOS!$C$1479+CROQUIS_DATOS!$C$1480))-(CROQUIS_DATOS!$C$1479)&gt;0.5,(CROQUIS_DATOS!$C$1476)-((CROQUIS_DATOS!$C$1481+CROQUIS_DATOS!$C$1482))&gt;0.5),(CROQUIS_DATOS!$C$1566+(IF(IF(MOD(MIN(INT(($A48-1)/2)+1,MAX(1,INT(((((CROQUIS_DATOS!$C$1479+CROQUIS_DATOS!$C$1480))-(CROQUIS_DATOS!$C$1479))+((CROQUIS_DATOS!$C$1476)*CROQUIS_DATOS!$C$1561-((CROQUIS_DATOS!$C$1481+CROQUIS_DATOS!$C$1482))*CROQUIS_DATOS!$C$1561))/CROQUIS_DATOS!$C$1568-0.000001))),2)=1,IF(INT(($A48-1)/2)+1&gt;MAX(1,INT(((((CROQUIS_DATOS!$C$1479+CROQUIS_DATOS!$C$1480))-(CROQUIS_DATOS!$C$1479))+((CROQUIS_DATOS!$C$1476)*CROQUIS_DATOS!$C$1561-((CROQUIS_DATOS!$C$1481+CROQUIS_DATOS!$C$1482))*CROQUIS_DATOS!$C$1561))/CROQUIS_DATOS!$C$1568-0.000001)),1,MOD($A48-1,2)),1-IF(INT(($A48-1)/2)+1&gt;MAX(1,INT(((((CROQUIS_DATOS!$C$1479+CROQUIS_DATOS!$C$1480))-(CROQUIS_DATOS!$C$1479))+((CROQUIS_DATOS!$C$1476)*CROQUIS_DATOS!$C$1561-((CROQUIS_DATOS!$C$1481+CROQUIS_DATOS!$C$1482))*CROQUIS_DATOS!$C$1561))/CROQUIS_DATOS!$C$1568-0.000001)),1,MOD($A48-1,2)))=1,MIN((CROQUIS_DATOS!$C$1476)*CROQUIS_DATOS!$C$1561,((CROQUIS_DATOS!$C$1479+CROQUIS_DATOS!$C$1480)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8">
        <f>IF(AND(CROQUIS_DATOS!$C$1472=1,CROQUIS_DATOS!$C$1478&gt;=1,((CROQUIS_DATOS!$C$1479+CROQUIS_DATOS!$C$1480))-(CROQUIS_DATOS!$C$1479)&gt;0.5,(CROQUIS_DATOS!$C$1476)-((CROQUIS_DATOS!$C$1481+CROQUIS_DATOS!$C$1482))&gt;0.5),(CROQUIS_DATOS!$C$1567+(IF(IF(MOD(MIN(INT(($A48-1)/2)+1,MAX(1,INT(((((CROQUIS_DATOS!$C$1479+CROQUIS_DATOS!$C$1480))-(CROQUIS_DATOS!$C$1479))+((CROQUIS_DATOS!$C$1476)*CROQUIS_DATOS!$C$1561-((CROQUIS_DATOS!$C$1481+CROQUIS_DATOS!$C$1482))*CROQUIS_DATOS!$C$1561))/CROQUIS_DATOS!$C$1568-0.000001))),2)=1,IF(INT(($A48-1)/2)+1&gt;MAX(1,INT(((((CROQUIS_DATOS!$C$1479+CROQUIS_DATOS!$C$1480))-(CROQUIS_DATOS!$C$1479))+((CROQUIS_DATOS!$C$1476)*CROQUIS_DATOS!$C$1561-((CROQUIS_DATOS!$C$1481+CROQUIS_DATOS!$C$1482))*CROQUIS_DATOS!$C$1561))/CROQUIS_DATOS!$C$1568-0.000001)),1,MOD($A48-1,2)),1-IF(INT(($A48-1)/2)+1&gt;MAX(1,INT(((((CROQUIS_DATOS!$C$1479+CROQUIS_DATOS!$C$1480))-(CROQUIS_DATOS!$C$1479))+((CROQUIS_DATOS!$C$1476)*CROQUIS_DATOS!$C$1561-((CROQUIS_DATOS!$C$1481+CROQUIS_DATOS!$C$1482))*CROQUIS_DATOS!$C$1561))/CROQUIS_DATOS!$C$1568-0.000001)),1,MOD($A48-1,2)))=1,MIN((CROQUIS_DATOS!$C$1476)*CROQUIS_DATOS!$C$1561,((CROQUIS_DATOS!$C$1479+CROQUIS_DATOS!$C$1480)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8">
        <f>IF(AND(CROQUIS_DATOS!$C$1472=1,CROQUIS_DATOS!$C$1478&gt;=2,((CROQUIS_DATOS!$C$1484+CROQUIS_DATOS!$C$1485))-(CROQUIS_DATOS!$C$1484)&gt;0.5,(CROQUIS_DATOS!$C$1486)-(0)&gt;0.5),(CROQUIS_DATOS!$C$1566+(IF(IF(MOD(MIN(INT(($A48-1)/2)+1,MAX(1,INT(((((CROQUIS_DATOS!$C$1484+CROQUIS_DATOS!$C$1485))-(CROQUIS_DATOS!$C$1484))+((CROQUIS_DATOS!$C$1486)*CROQUIS_DATOS!$C$1561-(0)*CROQUIS_DATOS!$C$1561))/CROQUIS_DATOS!$C$1568-0.000001))),2)=1,IF(INT(($A48-1)/2)+1&gt;MAX(1,INT(((((CROQUIS_DATOS!$C$1484+CROQUIS_DATOS!$C$1485))-(CROQUIS_DATOS!$C$1484))+((CROQUIS_DATOS!$C$1486)*CROQUIS_DATOS!$C$1561-(0)*CROQUIS_DATOS!$C$1561))/CROQUIS_DATOS!$C$1568-0.000001)),1,MOD($A48-1,2)),1-IF(INT(($A48-1)/2)+1&gt;MAX(1,INT(((((CROQUIS_DATOS!$C$1484+CROQUIS_DATOS!$C$1485))-(CROQUIS_DATOS!$C$1484))+((CROQUIS_DATOS!$C$1486)*CROQUIS_DATOS!$C$1561-(0)*CROQUIS_DATOS!$C$1561))/CROQUIS_DATOS!$C$1568-0.000001)),1,MOD($A48-1,2)))=1,MIN((CROQUIS_DATOS!$C$1486)*CROQUIS_DATOS!$C$1561,((CROQUIS_DATOS!$C$1484+CROQUIS_DATOS!$C$1485)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8">
        <f>IF(AND(CROQUIS_DATOS!$C$1472=1,CROQUIS_DATOS!$C$1478&gt;=2,((CROQUIS_DATOS!$C$1484+CROQUIS_DATOS!$C$1485))-(CROQUIS_DATOS!$C$1484)&gt;0.5,(CROQUIS_DATOS!$C$1486)-(0)&gt;0.5),(CROQUIS_DATOS!$C$1567+(IF(IF(MOD(MIN(INT(($A48-1)/2)+1,MAX(1,INT(((((CROQUIS_DATOS!$C$1484+CROQUIS_DATOS!$C$1485))-(CROQUIS_DATOS!$C$1484))+((CROQUIS_DATOS!$C$1486)*CROQUIS_DATOS!$C$1561-(0)*CROQUIS_DATOS!$C$1561))/CROQUIS_DATOS!$C$1568-0.000001))),2)=1,IF(INT(($A48-1)/2)+1&gt;MAX(1,INT(((((CROQUIS_DATOS!$C$1484+CROQUIS_DATOS!$C$1485))-(CROQUIS_DATOS!$C$1484))+((CROQUIS_DATOS!$C$1486)*CROQUIS_DATOS!$C$1561-(0)*CROQUIS_DATOS!$C$1561))/CROQUIS_DATOS!$C$1568-0.000001)),1,MOD($A48-1,2)),1-IF(INT(($A48-1)/2)+1&gt;MAX(1,INT(((((CROQUIS_DATOS!$C$1484+CROQUIS_DATOS!$C$1485))-(CROQUIS_DATOS!$C$1484))+((CROQUIS_DATOS!$C$1486)*CROQUIS_DATOS!$C$1561-(0)*CROQUIS_DATOS!$C$1561))/CROQUIS_DATOS!$C$1568-0.000001)),1,MOD($A48-1,2)))=1,MIN((CROQUIS_DATOS!$C$1486)*CROQUIS_DATOS!$C$1561,((CROQUIS_DATOS!$C$1484+CROQUIS_DATOS!$C$1485)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8">
        <f>IF(AND(CROQUIS_DATOS!$C$1472=1,CROQUIS_DATOS!$C$1478&gt;=2,((CROQUIS_DATOS!$C$1484+CROQUIS_DATOS!$C$1485))-(CROQUIS_DATOS!$C$1484)&gt;0.5,(CROQUIS_DATOS!$C$1476)-((CROQUIS_DATOS!$C$1486+CROQUIS_DATOS!$C$1487))&gt;0.5),(CROQUIS_DATOS!$C$1566+(IF(IF(MOD(MIN(INT(($A48-1)/2)+1,MAX(1,INT(((((CROQUIS_DATOS!$C$1484+CROQUIS_DATOS!$C$1485))-(CROQUIS_DATOS!$C$1484))+((CROQUIS_DATOS!$C$1476)*CROQUIS_DATOS!$C$1561-((CROQUIS_DATOS!$C$1486+CROQUIS_DATOS!$C$1487))*CROQUIS_DATOS!$C$1561))/CROQUIS_DATOS!$C$1568-0.000001))),2)=1,IF(INT(($A48-1)/2)+1&gt;MAX(1,INT(((((CROQUIS_DATOS!$C$1484+CROQUIS_DATOS!$C$1485))-(CROQUIS_DATOS!$C$1484))+((CROQUIS_DATOS!$C$1476)*CROQUIS_DATOS!$C$1561-((CROQUIS_DATOS!$C$1486+CROQUIS_DATOS!$C$1487))*CROQUIS_DATOS!$C$1561))/CROQUIS_DATOS!$C$1568-0.000001)),1,MOD($A48-1,2)),1-IF(INT(($A48-1)/2)+1&gt;MAX(1,INT(((((CROQUIS_DATOS!$C$1484+CROQUIS_DATOS!$C$1485))-(CROQUIS_DATOS!$C$1484))+((CROQUIS_DATOS!$C$1476)*CROQUIS_DATOS!$C$1561-((CROQUIS_DATOS!$C$1486+CROQUIS_DATOS!$C$1487))*CROQUIS_DATOS!$C$1561))/CROQUIS_DATOS!$C$1568-0.000001)),1,MOD($A48-1,2)))=1,MIN((CROQUIS_DATOS!$C$1476)*CROQUIS_DATOS!$C$1561,((CROQUIS_DATOS!$C$1484+CROQUIS_DATOS!$C$1485)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8">
        <f>IF(AND(CROQUIS_DATOS!$C$1472=1,CROQUIS_DATOS!$C$1478&gt;=2,((CROQUIS_DATOS!$C$1484+CROQUIS_DATOS!$C$1485))-(CROQUIS_DATOS!$C$1484)&gt;0.5,(CROQUIS_DATOS!$C$1476)-((CROQUIS_DATOS!$C$1486+CROQUIS_DATOS!$C$1487))&gt;0.5),(CROQUIS_DATOS!$C$1567+(IF(IF(MOD(MIN(INT(($A48-1)/2)+1,MAX(1,INT(((((CROQUIS_DATOS!$C$1484+CROQUIS_DATOS!$C$1485))-(CROQUIS_DATOS!$C$1484))+((CROQUIS_DATOS!$C$1476)*CROQUIS_DATOS!$C$1561-((CROQUIS_DATOS!$C$1486+CROQUIS_DATOS!$C$1487))*CROQUIS_DATOS!$C$1561))/CROQUIS_DATOS!$C$1568-0.000001))),2)=1,IF(INT(($A48-1)/2)+1&gt;MAX(1,INT(((((CROQUIS_DATOS!$C$1484+CROQUIS_DATOS!$C$1485))-(CROQUIS_DATOS!$C$1484))+((CROQUIS_DATOS!$C$1476)*CROQUIS_DATOS!$C$1561-((CROQUIS_DATOS!$C$1486+CROQUIS_DATOS!$C$1487))*CROQUIS_DATOS!$C$1561))/CROQUIS_DATOS!$C$1568-0.000001)),1,MOD($A48-1,2)),1-IF(INT(($A48-1)/2)+1&gt;MAX(1,INT(((((CROQUIS_DATOS!$C$1484+CROQUIS_DATOS!$C$1485))-(CROQUIS_DATOS!$C$1484))+((CROQUIS_DATOS!$C$1476)*CROQUIS_DATOS!$C$1561-((CROQUIS_DATOS!$C$1486+CROQUIS_DATOS!$C$1487))*CROQUIS_DATOS!$C$1561))/CROQUIS_DATOS!$C$1568-0.000001)),1,MOD($A48-1,2)))=1,MIN((CROQUIS_DATOS!$C$1476)*CROQUIS_DATOS!$C$1561,((CROQUIS_DATOS!$C$1484+CROQUIS_DATOS!$C$1485)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8">
        <f>IF(AND(CROQUIS_DATOS!$C$1472=1,CROQUIS_DATOS!$C$1478&gt;=3,((CROQUIS_DATOS!$C$1489+CROQUIS_DATOS!$C$1490))-(CROQUIS_DATOS!$C$1489)&gt;0.5,(CROQUIS_DATOS!$C$1491)-(0)&gt;0.5),(CROQUIS_DATOS!$C$1566+(IF(IF(MOD(MIN(INT(($A48-1)/2)+1,MAX(1,INT(((((CROQUIS_DATOS!$C$1489+CROQUIS_DATOS!$C$1490))-(CROQUIS_DATOS!$C$1489))+((CROQUIS_DATOS!$C$1491)*CROQUIS_DATOS!$C$1561-(0)*CROQUIS_DATOS!$C$1561))/CROQUIS_DATOS!$C$1568-0.000001))),2)=1,IF(INT(($A48-1)/2)+1&gt;MAX(1,INT(((((CROQUIS_DATOS!$C$1489+CROQUIS_DATOS!$C$1490))-(CROQUIS_DATOS!$C$1489))+((CROQUIS_DATOS!$C$1491)*CROQUIS_DATOS!$C$1561-(0)*CROQUIS_DATOS!$C$1561))/CROQUIS_DATOS!$C$1568-0.000001)),1,MOD($A48-1,2)),1-IF(INT(($A48-1)/2)+1&gt;MAX(1,INT(((((CROQUIS_DATOS!$C$1489+CROQUIS_DATOS!$C$1490))-(CROQUIS_DATOS!$C$1489))+((CROQUIS_DATOS!$C$1491)*CROQUIS_DATOS!$C$1561-(0)*CROQUIS_DATOS!$C$1561))/CROQUIS_DATOS!$C$1568-0.000001)),1,MOD($A48-1,2)))=1,MIN((CROQUIS_DATOS!$C$1491)*CROQUIS_DATOS!$C$1561,((CROQUIS_DATOS!$C$1489+CROQUIS_DATOS!$C$1490)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8">
        <f>IF(AND(CROQUIS_DATOS!$C$1472=1,CROQUIS_DATOS!$C$1478&gt;=3,((CROQUIS_DATOS!$C$1489+CROQUIS_DATOS!$C$1490))-(CROQUIS_DATOS!$C$1489)&gt;0.5,(CROQUIS_DATOS!$C$1491)-(0)&gt;0.5),(CROQUIS_DATOS!$C$1567+(IF(IF(MOD(MIN(INT(($A48-1)/2)+1,MAX(1,INT(((((CROQUIS_DATOS!$C$1489+CROQUIS_DATOS!$C$1490))-(CROQUIS_DATOS!$C$1489))+((CROQUIS_DATOS!$C$1491)*CROQUIS_DATOS!$C$1561-(0)*CROQUIS_DATOS!$C$1561))/CROQUIS_DATOS!$C$1568-0.000001))),2)=1,IF(INT(($A48-1)/2)+1&gt;MAX(1,INT(((((CROQUIS_DATOS!$C$1489+CROQUIS_DATOS!$C$1490))-(CROQUIS_DATOS!$C$1489))+((CROQUIS_DATOS!$C$1491)*CROQUIS_DATOS!$C$1561-(0)*CROQUIS_DATOS!$C$1561))/CROQUIS_DATOS!$C$1568-0.000001)),1,MOD($A48-1,2)),1-IF(INT(($A48-1)/2)+1&gt;MAX(1,INT(((((CROQUIS_DATOS!$C$1489+CROQUIS_DATOS!$C$1490))-(CROQUIS_DATOS!$C$1489))+((CROQUIS_DATOS!$C$1491)*CROQUIS_DATOS!$C$1561-(0)*CROQUIS_DATOS!$C$1561))/CROQUIS_DATOS!$C$1568-0.000001)),1,MOD($A48-1,2)))=1,MIN((CROQUIS_DATOS!$C$1491)*CROQUIS_DATOS!$C$1561,((CROQUIS_DATOS!$C$1489+CROQUIS_DATOS!$C$1490)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8">
        <f>IF(AND(CROQUIS_DATOS!$C$1472=1,CROQUIS_DATOS!$C$1478&gt;=3,((CROQUIS_DATOS!$C$1489+CROQUIS_DATOS!$C$1490))-(CROQUIS_DATOS!$C$1489)&gt;0.5,(CROQUIS_DATOS!$C$1476)-((CROQUIS_DATOS!$C$1491+CROQUIS_DATOS!$C$1492))&gt;0.5),(CROQUIS_DATOS!$C$1566+(IF(IF(MOD(MIN(INT(($A48-1)/2)+1,MAX(1,INT(((((CROQUIS_DATOS!$C$1489+CROQUIS_DATOS!$C$1490))-(CROQUIS_DATOS!$C$1489))+((CROQUIS_DATOS!$C$1476)*CROQUIS_DATOS!$C$1561-((CROQUIS_DATOS!$C$1491+CROQUIS_DATOS!$C$1492))*CROQUIS_DATOS!$C$1561))/CROQUIS_DATOS!$C$1568-0.000001))),2)=1,IF(INT(($A48-1)/2)+1&gt;MAX(1,INT(((((CROQUIS_DATOS!$C$1489+CROQUIS_DATOS!$C$1490))-(CROQUIS_DATOS!$C$1489))+((CROQUIS_DATOS!$C$1476)*CROQUIS_DATOS!$C$1561-((CROQUIS_DATOS!$C$1491+CROQUIS_DATOS!$C$1492))*CROQUIS_DATOS!$C$1561))/CROQUIS_DATOS!$C$1568-0.000001)),1,MOD($A48-1,2)),1-IF(INT(($A48-1)/2)+1&gt;MAX(1,INT(((((CROQUIS_DATOS!$C$1489+CROQUIS_DATOS!$C$1490))-(CROQUIS_DATOS!$C$1489))+((CROQUIS_DATOS!$C$1476)*CROQUIS_DATOS!$C$1561-((CROQUIS_DATOS!$C$1491+CROQUIS_DATOS!$C$1492))*CROQUIS_DATOS!$C$1561))/CROQUIS_DATOS!$C$1568-0.000001)),1,MOD($A48-1,2)))=1,MIN((CROQUIS_DATOS!$C$1476)*CROQUIS_DATOS!$C$1561,((CROQUIS_DATOS!$C$1489+CROQUIS_DATOS!$C$1490)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8">
        <f>IF(AND(CROQUIS_DATOS!$C$1472=1,CROQUIS_DATOS!$C$1478&gt;=3,((CROQUIS_DATOS!$C$1489+CROQUIS_DATOS!$C$1490))-(CROQUIS_DATOS!$C$1489)&gt;0.5,(CROQUIS_DATOS!$C$1476)-((CROQUIS_DATOS!$C$1491+CROQUIS_DATOS!$C$1492))&gt;0.5),(CROQUIS_DATOS!$C$1567+(IF(IF(MOD(MIN(INT(($A48-1)/2)+1,MAX(1,INT(((((CROQUIS_DATOS!$C$1489+CROQUIS_DATOS!$C$1490))-(CROQUIS_DATOS!$C$1489))+((CROQUIS_DATOS!$C$1476)*CROQUIS_DATOS!$C$1561-((CROQUIS_DATOS!$C$1491+CROQUIS_DATOS!$C$1492))*CROQUIS_DATOS!$C$1561))/CROQUIS_DATOS!$C$1568-0.000001))),2)=1,IF(INT(($A48-1)/2)+1&gt;MAX(1,INT(((((CROQUIS_DATOS!$C$1489+CROQUIS_DATOS!$C$1490))-(CROQUIS_DATOS!$C$1489))+((CROQUIS_DATOS!$C$1476)*CROQUIS_DATOS!$C$1561-((CROQUIS_DATOS!$C$1491+CROQUIS_DATOS!$C$1492))*CROQUIS_DATOS!$C$1561))/CROQUIS_DATOS!$C$1568-0.000001)),1,MOD($A48-1,2)),1-IF(INT(($A48-1)/2)+1&gt;MAX(1,INT(((((CROQUIS_DATOS!$C$1489+CROQUIS_DATOS!$C$1490))-(CROQUIS_DATOS!$C$1489))+((CROQUIS_DATOS!$C$1476)*CROQUIS_DATOS!$C$1561-((CROQUIS_DATOS!$C$1491+CROQUIS_DATOS!$C$1492))*CROQUIS_DATOS!$C$1561))/CROQUIS_DATOS!$C$1568-0.000001)),1,MOD($A48-1,2)))=1,MIN((CROQUIS_DATOS!$C$1476)*CROQUIS_DATOS!$C$1561,((CROQUIS_DATOS!$C$1489+CROQUIS_DATOS!$C$1490)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8">
        <f>IF(AND(CROQUIS_DATOS!$C$1472=1,CROQUIS_DATOS!$C$1478&gt;=4,((CROQUIS_DATOS!$C$1494+CROQUIS_DATOS!$C$1495))-(CROQUIS_DATOS!$C$1494)&gt;0.5,(CROQUIS_DATOS!$C$1496)-(0)&gt;0.5),(CROQUIS_DATOS!$C$1566+(IF(IF(MOD(MIN(INT(($A48-1)/2)+1,MAX(1,INT(((((CROQUIS_DATOS!$C$1494+CROQUIS_DATOS!$C$1495))-(CROQUIS_DATOS!$C$1494))+((CROQUIS_DATOS!$C$1496)*CROQUIS_DATOS!$C$1561-(0)*CROQUIS_DATOS!$C$1561))/CROQUIS_DATOS!$C$1568-0.000001))),2)=1,IF(INT(($A48-1)/2)+1&gt;MAX(1,INT(((((CROQUIS_DATOS!$C$1494+CROQUIS_DATOS!$C$1495))-(CROQUIS_DATOS!$C$1494))+((CROQUIS_DATOS!$C$1496)*CROQUIS_DATOS!$C$1561-(0)*CROQUIS_DATOS!$C$1561))/CROQUIS_DATOS!$C$1568-0.000001)),1,MOD($A48-1,2)),1-IF(INT(($A48-1)/2)+1&gt;MAX(1,INT(((((CROQUIS_DATOS!$C$1494+CROQUIS_DATOS!$C$1495))-(CROQUIS_DATOS!$C$1494))+((CROQUIS_DATOS!$C$1496)*CROQUIS_DATOS!$C$1561-(0)*CROQUIS_DATOS!$C$1561))/CROQUIS_DATOS!$C$1568-0.000001)),1,MOD($A48-1,2)))=1,MIN((CROQUIS_DATOS!$C$1496)*CROQUIS_DATOS!$C$1561,((CROQUIS_DATOS!$C$1494+CROQUIS_DATOS!$C$1495)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8">
        <f>IF(AND(CROQUIS_DATOS!$C$1472=1,CROQUIS_DATOS!$C$1478&gt;=4,((CROQUIS_DATOS!$C$1494+CROQUIS_DATOS!$C$1495))-(CROQUIS_DATOS!$C$1494)&gt;0.5,(CROQUIS_DATOS!$C$1496)-(0)&gt;0.5),(CROQUIS_DATOS!$C$1567+(IF(IF(MOD(MIN(INT(($A48-1)/2)+1,MAX(1,INT(((((CROQUIS_DATOS!$C$1494+CROQUIS_DATOS!$C$1495))-(CROQUIS_DATOS!$C$1494))+((CROQUIS_DATOS!$C$1496)*CROQUIS_DATOS!$C$1561-(0)*CROQUIS_DATOS!$C$1561))/CROQUIS_DATOS!$C$1568-0.000001))),2)=1,IF(INT(($A48-1)/2)+1&gt;MAX(1,INT(((((CROQUIS_DATOS!$C$1494+CROQUIS_DATOS!$C$1495))-(CROQUIS_DATOS!$C$1494))+((CROQUIS_DATOS!$C$1496)*CROQUIS_DATOS!$C$1561-(0)*CROQUIS_DATOS!$C$1561))/CROQUIS_DATOS!$C$1568-0.000001)),1,MOD($A48-1,2)),1-IF(INT(($A48-1)/2)+1&gt;MAX(1,INT(((((CROQUIS_DATOS!$C$1494+CROQUIS_DATOS!$C$1495))-(CROQUIS_DATOS!$C$1494))+((CROQUIS_DATOS!$C$1496)*CROQUIS_DATOS!$C$1561-(0)*CROQUIS_DATOS!$C$1561))/CROQUIS_DATOS!$C$1568-0.000001)),1,MOD($A48-1,2)))=1,MIN((CROQUIS_DATOS!$C$1496)*CROQUIS_DATOS!$C$1561,((CROQUIS_DATOS!$C$1494+CROQUIS_DATOS!$C$1495)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8">
        <f>IF(AND(CROQUIS_DATOS!$C$1472=1,CROQUIS_DATOS!$C$1478&gt;=4,((CROQUIS_DATOS!$C$1494+CROQUIS_DATOS!$C$1495))-(CROQUIS_DATOS!$C$1494)&gt;0.5,(CROQUIS_DATOS!$C$1476)-((CROQUIS_DATOS!$C$1496+CROQUIS_DATOS!$C$1497))&gt;0.5),(CROQUIS_DATOS!$C$1566+(IF(IF(MOD(MIN(INT(($A48-1)/2)+1,MAX(1,INT(((((CROQUIS_DATOS!$C$1494+CROQUIS_DATOS!$C$1495))-(CROQUIS_DATOS!$C$1494))+((CROQUIS_DATOS!$C$1476)*CROQUIS_DATOS!$C$1561-((CROQUIS_DATOS!$C$1496+CROQUIS_DATOS!$C$1497))*CROQUIS_DATOS!$C$1561))/CROQUIS_DATOS!$C$1568-0.000001))),2)=1,IF(INT(($A48-1)/2)+1&gt;MAX(1,INT(((((CROQUIS_DATOS!$C$1494+CROQUIS_DATOS!$C$1495))-(CROQUIS_DATOS!$C$1494))+((CROQUIS_DATOS!$C$1476)*CROQUIS_DATOS!$C$1561-((CROQUIS_DATOS!$C$1496+CROQUIS_DATOS!$C$1497))*CROQUIS_DATOS!$C$1561))/CROQUIS_DATOS!$C$1568-0.000001)),1,MOD($A48-1,2)),1-IF(INT(($A48-1)/2)+1&gt;MAX(1,INT(((((CROQUIS_DATOS!$C$1494+CROQUIS_DATOS!$C$1495))-(CROQUIS_DATOS!$C$1494))+((CROQUIS_DATOS!$C$1476)*CROQUIS_DATOS!$C$1561-((CROQUIS_DATOS!$C$1496+CROQUIS_DATOS!$C$1497))*CROQUIS_DATOS!$C$1561))/CROQUIS_DATOS!$C$1568-0.000001)),1,MOD($A48-1,2)))=1,MIN((CROQUIS_DATOS!$C$1476)*CROQUIS_DATOS!$C$1561,((CROQUIS_DATOS!$C$1494+CROQUIS_DATOS!$C$1495)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8">
        <f>IF(AND(CROQUIS_DATOS!$C$1472=1,CROQUIS_DATOS!$C$1478&gt;=4,((CROQUIS_DATOS!$C$1494+CROQUIS_DATOS!$C$1495))-(CROQUIS_DATOS!$C$1494)&gt;0.5,(CROQUIS_DATOS!$C$1476)-((CROQUIS_DATOS!$C$1496+CROQUIS_DATOS!$C$1497))&gt;0.5),(CROQUIS_DATOS!$C$1567+(IF(IF(MOD(MIN(INT(($A48-1)/2)+1,MAX(1,INT(((((CROQUIS_DATOS!$C$1494+CROQUIS_DATOS!$C$1495))-(CROQUIS_DATOS!$C$1494))+((CROQUIS_DATOS!$C$1476)*CROQUIS_DATOS!$C$1561-((CROQUIS_DATOS!$C$1496+CROQUIS_DATOS!$C$1497))*CROQUIS_DATOS!$C$1561))/CROQUIS_DATOS!$C$1568-0.000001))),2)=1,IF(INT(($A48-1)/2)+1&gt;MAX(1,INT(((((CROQUIS_DATOS!$C$1494+CROQUIS_DATOS!$C$1495))-(CROQUIS_DATOS!$C$1494))+((CROQUIS_DATOS!$C$1476)*CROQUIS_DATOS!$C$1561-((CROQUIS_DATOS!$C$1496+CROQUIS_DATOS!$C$1497))*CROQUIS_DATOS!$C$1561))/CROQUIS_DATOS!$C$1568-0.000001)),1,MOD($A48-1,2)),1-IF(INT(($A48-1)/2)+1&gt;MAX(1,INT(((((CROQUIS_DATOS!$C$1494+CROQUIS_DATOS!$C$1495))-(CROQUIS_DATOS!$C$1494))+((CROQUIS_DATOS!$C$1476)*CROQUIS_DATOS!$C$1561-((CROQUIS_DATOS!$C$1496+CROQUIS_DATOS!$C$1497))*CROQUIS_DATOS!$C$1561))/CROQUIS_DATOS!$C$1568-0.000001)),1,MOD($A48-1,2)))=1,MIN((CROQUIS_DATOS!$C$1476)*CROQUIS_DATOS!$C$1561,((CROQUIS_DATOS!$C$1494+CROQUIS_DATOS!$C$1495)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8">
        <f>IF(AND(CROQUIS_DATOS!$C$1472=1,1),(CROQUIS_DATOS!$C$1571+(CHOOSE(MIN(MAX(IF(INT(($A48-1)/5)+1&gt;CROQUIS_DATOS!$C$1525,5,MOD($A48-1,5)+1),1),5),(INDEX($E$8:$E$23,MIN(INT(($A48-1)/5)+1,CROQUIS_DATOS!$C$1525))-INDEX($F$8:$F$23,MIN(INT(($A48-1)/5)+1,CROQUIS_DATOS!$C$1525))/2),(INDEX($E$8:$E$23,MIN(INT(($A48-1)/5)+1,CROQUIS_DATOS!$C$1525))+INDEX($F$8:$F$23,MIN(INT(($A48-1)/5)+1,CROQUIS_DATOS!$C$1525))/2),(INDEX($E$8:$E$23,MIN(INT(($A48-1)/5)+1,CROQUIS_DATOS!$C$1525))+INDEX($F$8:$F$23,MIN(INT(($A48-1)/5)+1,CROQUIS_DATOS!$C$1525))/2),(INDEX($E$8:$E$23,MIN(INT(($A48-1)/5)+1,CROQUIS_DATOS!$C$1525))-INDEX($F$8:$F$23,MIN(INT(($A48-1)/5)+1,CROQUIS_DATOS!$C$1525))/2),(INDEX($E$8:$E$23,MIN(INT(($A48-1)/5)+1,CROQUIS_DATOS!$C$1525))-INDEX($F$8:$F$23,MIN(INT(($A48-1)/5)+1,CROQUIS_DATOS!$C$1525))/2)))*CROQUIS_DATOS!$C$1569),-1000)</f>
        <v>95.24</v>
      </c>
      <c r="GE48">
        <f>IF(AND(CROQUIS_DATOS!$C$1472=1,1),(CROQUIS_DATOS!$C$1572+(CHOOSE(MIN(MAX(IF(INT(($A48-1)/5)+1&gt;CROQUIS_DATOS!$C$1525,5,MOD($A48-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8">
        <f>IF(AND(CROQUIS_DATOS!$C$1472=1,1),IF(INT(($A48-1)/4)+1&lt;=CROQUIS_DATOS!$C$1525,(CROQUIS_DATOS!$C$1571+((INDEX($E$8:$E$23,MIN(INT(($A48-1)/4)+1,16))+IF(OR(MOD($A48-1,4)=0,MOD($A48-1,4)=3),-1,1)*(INDEX($F$8:$F$23,MIN(INT(($A48-1)/4)+1,16))/2-(CROQUIS_DATOS!$C$1530+CROQUIS_DATOS!$C$1532+IF(OR(INT(($A48-1)/4)+1=1,INT(($A48-1)/4)+1=CROQUIS_DATOS!$C$1525),CROQUIS_DATOS!$C$1534,CROQUIS_DATOS!$C$1531)/2))))*CROQUIS_DATOS!$C$1569),-1000),-1000)</f>
        <v>-1000</v>
      </c>
      <c r="GG48">
        <f>IF(AND(CROQUIS_DATOS!$C$1472=1,1),IF(INT(($A48-1)/4)+1&lt;=CROQUIS_DATOS!$C$1525,(CROQUIS_DATOS!$C$1572+((CROQUIS_DATOS!$C$1477/2+IF(MOD($A48-1,4)&lt;2,-1,1)*(CROQUIS_DATOS!$C$1527/2-(CROQUIS_DATOS!$C$1530+CROQUIS_DATOS!$C$1532+IF(OR(INT(($A48-1)/4)+1=1,INT(($A48-1)/4)+1=CROQUIS_DATOS!$C$1525),CROQUIS_DATOS!$C$1534,CROQUIS_DATOS!$C$1531)/2))))*CROQUIS_DATOS!$C$1569*CROQUIS_DATOS!$C$1570),-1000),-1000)</f>
        <v>-1000</v>
      </c>
    </row>
    <row r="49">
      <c r="A49" t="n">
        <v>42</v>
      </c>
      <c r="J49">
        <f>IF(AND(CROQUIS_DATOS!$C$1472=1,1),(CROQUIS_DATOS!$C$1563+(CHOOSE(MIN(MAX(IF(INT(($A49-1)/4)+1&gt;CROQUIS_DATOS!$C$1525,4,MOD($A49-1,4)+1),1),4),(INDEX($E$8:$E$23,MIN(INT(($A49-1)/4)+1,CROQUIS_DATOS!$C$1525))-INDEX($F$8:$F$23,MIN(INT(($A49-1)/4)+1,CROQUIS_DATOS!$C$1525))/2),(INDEX($E$8:$E$23,MIN(INT(($A49-1)/4)+1,CROQUIS_DATOS!$C$1525))-INDEX($F$8:$F$23,MIN(INT(($A49-1)/4)+1,CROQUIS_DATOS!$C$1525))/2),(INDEX($E$8:$E$23,MIN(INT(($A49-1)/4)+1,CROQUIS_DATOS!$C$1525))+INDEX($F$8:$F$23,MIN(INT(($A49-1)/4)+1,CROQUIS_DATOS!$C$1525))/2),(INDEX($E$8:$E$23,MIN(INT(($A49-1)/4)+1,CROQUIS_DATOS!$C$1525))+INDEX($F$8:$F$23,MIN(INT(($A49-1)/4)+1,CROQUIS_DATOS!$C$1525))/2)))*CROQUIS_DATOS!$C$1562),-1000)</f>
        <v>84.9137931034483</v>
      </c>
      <c r="K49">
        <f>IF(AND(CROQUIS_DATOS!$C$1472=1,1),(CROQUIS_DATOS!$C$1564+(CHOOSE(MIN(MAX(IF(INT(($A49-1)/4)+1&gt;CROQUIS_DATOS!$C$1525,4,MOD($A49-1,4)+1),1),4),0,CROQUIS_DATOS!$C$1476,CROQUIS_DATOS!$C$1476,0))*CROQUIS_DATOS!$C$1561*CROQUIS_DATOS!$C$1562),-1000)</f>
        <v>5.29310344827586</v>
      </c>
      <c r="L49">
        <f>IF(AND(CROQUIS_DATOS!$C$1472=1,1),(CROQUIS_DATOS!$C$1563+(CHOOSE(MIN(MAX(IF(INT(($A49-1)/4)+1&gt;CROQUIS_DATOS!$C$1525,4,MOD($A49-1,4)+1),1),4),((INDEX($E$8:$E$23,MIN(INT(($A49-1)/4)+1,CROQUIS_DATOS!$C$1525))-INDEX($F$8:$F$23,MIN(INT(($A49-1)/4)+1,CROQUIS_DATOS!$C$1525))/2)+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,((INDEX($E$8:$E$23,MIN(INT(($A49-1)/4)+1,CROQUIS_DATOS!$C$1525))-INDEX($F$8:$F$23,MIN(INT(($A49-1)/4)+1,CROQUIS_DATOS!$C$1525))/2)+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,((INDEX($E$8:$E$23,MIN(INT(($A49-1)/4)+1,CROQUIS_DATOS!$C$1525))+INDEX($F$8:$F$23,MIN(INT(($A49-1)/4)+1,CROQUIS_DATOS!$C$1525))/2)-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,((INDEX($E$8:$E$23,MIN(INT(($A49-1)/4)+1,CROQUIS_DATOS!$C$1525))+INDEX($F$8:$F$23,MIN(INT(($A49-1)/4)+1,CROQUIS_DATOS!$C$1525))/2)-MIN((CROQUIS_DATOS!$C$1530+CROQUIS_DATOS!$C$1532+IF(OR(MIN(INT(($A49-1)/4)+1,CROQUIS_DATOS!$C$1525)=1,MIN(INT(($A49-1)/4)+1,CROQUIS_DATOS!$C$1525)=CROQUIS_DATOS!$C$1525),CROQUIS_DATOS!$C$1534,CROQUIS_DATOS!$C$1531)/2),INDEX($F$8:$F$23,MIN(INT(($A49-1)/4)+1,CROQUIS_DATOS!$C$1525))/2-0.5))))*CROQUIS_DATOS!$C$1562),-1000)</f>
        <v>84.4792560344828</v>
      </c>
      <c r="M49">
        <f>IF(AND(CROQUIS_DATOS!$C$1472=1,1),(CROQUIS_DATOS!$C$1564+(CHOOSE(MIN(MAX(IF(INT(($A49-1)/4)+1&gt;CROQUIS_DATOS!$C$1525,4,MOD($A49-1,4)+1),1),4),CROQUIS_DATOS!$C$1543,INDEX($I$8:$I$23,MIN(INT(($A49-1)/4)+1,CROQUIS_DATOS!$C$1525)),INDEX($I$8:$I$23,MIN(INT(($A49-1)/4)+1,CROQUIS_DATOS!$C$1525)),CROQUIS_DATOS!$C$1543))*CROQUIS_DATOS!$C$1561*CROQUIS_DATOS!$C$1562),-1000)</f>
        <v>42.5654629310345</v>
      </c>
      <c r="N49">
        <f>IF(AND(CROQUIS_DATOS!$C$1472=1,1),(CROQUIS_DATOS!$C$1563+(IF(IF(IF(INT(($A49-1)/70)+1&gt;CROQUIS_DATOS!$C$1525,70,MOD($A49-1,70)+1)=1,0,IF(IF(INT(($A49-1)/70)+1&gt;CROQUIS_DATOS!$C$1525,70,MOD($A49-1,70)+1)&gt;2*CROQUIS_DATOS!$C$1541+1,IF(MOD(CROQUIS_DATOS!$C$1541,2)=1,1,0),IF(MOD(MIN(INT((IF(INT(($A49-1)/70)+1&gt;CROQUIS_DATOS!$C$1525,70,MOD($A49-1,70)+1)-2)/2)+1,CROQUIS_DATOS!$C$1541),2)=1,IF(MOD(IF(INT(($A49-1)/70)+1&gt;CROQUIS_DATOS!$C$1525,70,MOD($A49-1,70)+1)-2,2)=0,0,1),IF(MOD(IF(INT(($A49-1)/70)+1&gt;CROQUIS_DATOS!$C$1525,70,MOD($A49-1,70)+1)-2,2)=0,1,0))))=0,(INDEX($E$8:$E$23,MIN(INT(($A49-1)/70)+1,CROQUIS_DATOS!$C$1525))-INDEX($F$8:$F$23,MIN(INT(($A49-1)/70)+1,CROQUIS_DATOS!$C$1525))/2),(INDEX($E$8:$E$23,MIN(INT(($A49-1)/70)+1,CROQUIS_DATOS!$C$1525))+INDEX($F$8:$F$23,MIN(INT(($A49-1)/70)+1,CROQUIS_DATOS!$C$1525))/2)))*CROQUIS_DATOS!$C$1562),-1000)</f>
        <v>15.0862068965517</v>
      </c>
      <c r="O49">
        <f>IF(AND(CROQUIS_DATOS!$C$1472=1,1),(CROQUIS_DATOS!$C$1564+(IF(OR(IF(INT(($A49-1)/70)+1&gt;CROQUIS_DATOS!$C$1525,70,MOD($A49-1,70)+1)=1,IF(INT(($A49-1)/70)+1&gt;CROQUIS_DATOS!$C$1525,70,MOD($A49-1,70)+1)&gt;2*CROQUIS_DATOS!$C$1541+1),CROQUIS_DATOS!$C$1476,INDEX($H$8:$H$41,MIN(INT((IF(INT(($A49-1)/70)+1&gt;CROQUIS_DATOS!$C$1525,70,MOD($A49-1,70)+1)-2)/2)+1,CROQUIS_DATOS!$C$1541))))*CROQUIS_DATOS!$C$1561*CROQUIS_DATOS!$C$1562),-1000)</f>
        <v>40.2068965517241</v>
      </c>
      <c r="P49">
        <f>IF(AND(CROQUIS_DATOS!$C$1472=1,CROQUIS_DATOS!$C$1555=1),(CROQUIS_DATOS!$C$1563+(IF(IF(OR(MOD($A49-1,62)+1=1,IF(CHOOSE(MIN(MAX(MIN(INT(($A49-1)/62)+1,5),1),5),CROQUIS_DATOS!$C$1501,CROQUIS_DATOS!$C$1505,CROQUIS_DATOS!$C$1509,CROQUIS_DATOS!$C$1513,CROQUIS_DATOS!$C$1517)=1,CROQUIS_DATOS!$C$1557,0)=0),0,IF(MOD($A49-1,62)+1&gt;2*IF(CHOOSE(MIN(MAX(MIN(INT(($A49-1)/62)+1,5),1),5),CROQUIS_DATOS!$C$1501,CROQUIS_DATOS!$C$1505,CROQUIS_DATOS!$C$1509,CROQUIS_DATOS!$C$1513,CROQUIS_DATOS!$C$1517)=1,CROQUIS_DATOS!$C$1557,0)+1,IF(MOD(IF(CHOOSE(MIN(MAX(MIN(INT(($A49-1)/62)+1,5),1),5),CROQUIS_DATOS!$C$1501,CROQUIS_DATOS!$C$1505,CROQUIS_DATOS!$C$1509,CROQUIS_DATOS!$C$1513,CROQUIS_DATOS!$C$1517)=1,CROQUIS_DATOS!$C$1557,0),2)=1,1,0),IF(MOD(MIN(INT((MOD($A49-1,62)+1-2)/2)+1,MAX(IF(CHOOSE(MIN(MAX(MIN(INT(($A49-1)/62)+1,5),1),5),CROQUIS_DATOS!$C$1501,CROQUIS_DATOS!$C$1505,CROQUIS_DATOS!$C$1509,CROQUIS_DATOS!$C$1513,CROQUIS_DATOS!$C$1517)=1,CROQUIS_DATOS!$C$1557,0),1)),2)=1,IF(MOD(MOD($A49-1,62)+1-2,2)=0,0,1),IF(MOD(MOD($A49-1,62)+1-2,2)=0,1,0))))=0,(CHOOSE(MIN(MAX(MIN(INT(($A49-1)/62)+1,5),1),5),CROQUIS_DATOS!$C$1499,CROQUIS_DATOS!$C$1503,CROQUIS_DATOS!$C$1507,CROQUIS_DATOS!$C$1511,CROQUIS_DATOS!$C$1515)+IF(CHOOSE(MIN(MAX(MIN(INT(($A49-1)/62)+1,5),1),5),CROQUIS_DATOS!$C$1501,CROQUIS_DATOS!$C$1505,CROQUIS_DATOS!$C$1509,CROQUIS_DATOS!$C$1513,CROQUIS_DATOS!$C$1517)=1,CROQUIS_DATOS!$C$1526,0)),(CHOOSE(MIN(MAX(MIN(INT(($A49-1)/62)+1,5),1),5),CROQUIS_DATOS!$C$1499,CROQUIS_DATOS!$C$1503,CROQUIS_DATOS!$C$1507,CROQUIS_DATOS!$C$1511,CROQUIS_DATOS!$C$1515)+CHOOSE(MIN(MAX(MIN(INT(($A49-1)/62)+1,5),1),5),CROQUIS_DATOS!$C$1500,CROQUIS_DATOS!$C$1504,CROQUIS_DATOS!$C$1508,CROQUIS_DATOS!$C$1512,CROQUIS_DATOS!$C$1516)-IF(CHOOSE(MIN(MAX(MIN(INT(($A49-1)/62)+1,5),1),5),CROQUIS_DATOS!$C$1501,CROQUIS_DATOS!$C$1505,CROQUIS_DATOS!$C$1509,CROQUIS_DATOS!$C$1513,CROQUIS_DATOS!$C$1517)=1,CROQUIS_DATOS!$C$1526,0))))*CROQUIS_DATOS!$C$1562),-1000)</f>
        <v>-1000</v>
      </c>
      <c r="Q49">
        <f>IF(AND(CROQUIS_DATOS!$C$1472=1,CROQUIS_DATOS!$C$1555=1),(CROQUIS_DATOS!$C$1564+(IF(OR(OR(MOD($A49-1,62)+1=1,IF(CHOOSE(MIN(MAX(MIN(INT(($A49-1)/62)+1,5),1),5),CROQUIS_DATOS!$C$1501,CROQUIS_DATOS!$C$1505,CROQUIS_DATOS!$C$1509,CROQUIS_DATOS!$C$1513,CROQUIS_DATOS!$C$1517)=1,CROQUIS_DATOS!$C$1557,0)=0),MOD($A49-1,62)+1&gt;2*IF(CHOOSE(MIN(MAX(MIN(INT(($A49-1)/62)+1,5),1),5),CROQUIS_DATOS!$C$1501,CROQUIS_DATOS!$C$1505,CROQUIS_DATOS!$C$1509,CROQUIS_DATOS!$C$1513,CROQUIS_DATOS!$C$1517)=1,CROQUIS_DATOS!$C$1557,0)+1),CROQUIS_DATOS!$C$1476,MIN(INT((MOD($A49-1,62)+1-2)/2)+1,MAX(IF(CHOOSE(MIN(MAX(MIN(INT(($A49-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49">
        <f>IF(AND(CROQUIS_DATOS!$C$1472=1,1),(CROQUIS_DATOS!$C$1563+(MIN(INT(($A49-1)/2)+1,CROQUIS_DATOS!$C$1558)*CROQUIS_DATOS!$C$1559)*CROQUIS_DATOS!$C$1562),-1000)</f>
        <v>71.4854111405836</v>
      </c>
      <c r="U49">
        <f>IF(AND(CROQUIS_DATOS!$C$1472=1,1),(CROQUIS_DATOS!$C$1564+(IF(INT(($A49-1)/2)+1&gt;CROQUIS_DATOS!$C$1558,IF(MOD(CROQUIS_DATOS!$C$1558,2)=1,CROQUIS_DATOS!$C$1476+CROQUIS_DATOS!$C$1528,CROQUIS_DATOS!$C$1476),IF(IF(MOD(MIN(INT(($A49-1)/2)+1,CROQUIS_DATOS!$C$1558),2)=1,MOD($A49-1,2),1-MOD($A49-1,2))=1,CROQUIS_DATOS!$C$1476+CROQUIS_DATOS!$C$1528,CROQUIS_DATOS!$C$1476)))*CROQUIS_DATOS!$C$1561*CROQUIS_DATOS!$C$1562),-1000)</f>
        <v>43</v>
      </c>
      <c r="BZ49">
        <f>IF(AND(CROQUIS_DATOS!$C$1472=1,CROQUIS_DATOS!$C$1500&gt;0,((CROQUIS_DATOS!$C$1499+CROQUIS_DATOS!$C$1500))-(CROQUIS_DATOS!$C$1499)&gt;0.5,(CROQUIS_DATOS!$C$1476)-(0)&gt;0.5),(CROQUIS_DATOS!$C$1566+(IF(IF(MOD(MIN(INT(($A49-1)/2)+1,MAX(1,INT(((((CROQUIS_DATOS!$C$1499+CROQUIS_DATOS!$C$1500))-(CROQUIS_DATOS!$C$1499))+((CROQUIS_DATOS!$C$1476)*CROQUIS_DATOS!$C$1561-(0)*CROQUIS_DATOS!$C$1561))/CROQUIS_DATOS!$C$1568-0.000001))),2)=1,IF(INT(($A49-1)/2)+1&gt;MAX(1,INT(((((CROQUIS_DATOS!$C$1499+CROQUIS_DATOS!$C$1500))-(CROQUIS_DATOS!$C$1499))+((CROQUIS_DATOS!$C$1476)*CROQUIS_DATOS!$C$1561-(0)*CROQUIS_DATOS!$C$1561))/CROQUIS_DATOS!$C$1568-0.000001)),1,MOD($A49-1,2)),1-IF(INT(($A49-1)/2)+1&gt;MAX(1,INT(((((CROQUIS_DATOS!$C$1499+CROQUIS_DATOS!$C$1500))-(CROQUIS_DATOS!$C$1499))+((CROQUIS_DATOS!$C$1476)*CROQUIS_DATOS!$C$1561-(0)*CROQUIS_DATOS!$C$1561))/CROQUIS_DATOS!$C$1568-0.000001)),1,MOD($A49-1,2)))=1,MIN((CROQUIS_DATOS!$C$1476)*CROQUIS_DATOS!$C$1561,((CROQUIS_DATOS!$C$1499+CROQUIS_DATOS!$C$1500)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49">
        <f>IF(AND(CROQUIS_DATOS!$C$1472=1,CROQUIS_DATOS!$C$1500&gt;0,((CROQUIS_DATOS!$C$1499+CROQUIS_DATOS!$C$1500))-(CROQUIS_DATOS!$C$1499)&gt;0.5,(CROQUIS_DATOS!$C$1476)-(0)&gt;0.5),(CROQUIS_DATOS!$C$1567+(IF(IF(MOD(MIN(INT(($A49-1)/2)+1,MAX(1,INT(((((CROQUIS_DATOS!$C$1499+CROQUIS_DATOS!$C$1500))-(CROQUIS_DATOS!$C$1499))+((CROQUIS_DATOS!$C$1476)*CROQUIS_DATOS!$C$1561-(0)*CROQUIS_DATOS!$C$1561))/CROQUIS_DATOS!$C$1568-0.000001))),2)=1,IF(INT(($A49-1)/2)+1&gt;MAX(1,INT(((((CROQUIS_DATOS!$C$1499+CROQUIS_DATOS!$C$1500))-(CROQUIS_DATOS!$C$1499))+((CROQUIS_DATOS!$C$1476)*CROQUIS_DATOS!$C$1561-(0)*CROQUIS_DATOS!$C$1561))/CROQUIS_DATOS!$C$1568-0.000001)),1,MOD($A49-1,2)),1-IF(INT(($A49-1)/2)+1&gt;MAX(1,INT(((((CROQUIS_DATOS!$C$1499+CROQUIS_DATOS!$C$1500))-(CROQUIS_DATOS!$C$1499))+((CROQUIS_DATOS!$C$1476)*CROQUIS_DATOS!$C$1561-(0)*CROQUIS_DATOS!$C$1561))/CROQUIS_DATOS!$C$1568-0.000001)),1,MOD($A49-1,2)))=1,MIN((CROQUIS_DATOS!$C$1476)*CROQUIS_DATOS!$C$1561,((CROQUIS_DATOS!$C$1499+CROQUIS_DATOS!$C$1500)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49-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49">
        <f>IF(AND(CROQUIS_DATOS!$C$1472=1,CROQUIS_DATOS!$C$1504&gt;0,((CROQUIS_DATOS!$C$1503+CROQUIS_DATOS!$C$1504))-(CROQUIS_DATOS!$C$1503)&gt;0.5,(CROQUIS_DATOS!$C$1476)-(0)&gt;0.5),(CROQUIS_DATOS!$C$1566+(IF(IF(MOD(MIN(INT(($A49-1)/2)+1,MAX(1,INT(((((CROQUIS_DATOS!$C$1503+CROQUIS_DATOS!$C$1504))-(CROQUIS_DATOS!$C$1503))+((CROQUIS_DATOS!$C$1476)*CROQUIS_DATOS!$C$1561-(0)*CROQUIS_DATOS!$C$1561))/CROQUIS_DATOS!$C$1568-0.000001))),2)=1,IF(INT(($A49-1)/2)+1&gt;MAX(1,INT(((((CROQUIS_DATOS!$C$1503+CROQUIS_DATOS!$C$1504))-(CROQUIS_DATOS!$C$1503))+((CROQUIS_DATOS!$C$1476)*CROQUIS_DATOS!$C$1561-(0)*CROQUIS_DATOS!$C$1561))/CROQUIS_DATOS!$C$1568-0.000001)),1,MOD($A49-1,2)),1-IF(INT(($A49-1)/2)+1&gt;MAX(1,INT(((((CROQUIS_DATOS!$C$1503+CROQUIS_DATOS!$C$1504))-(CROQUIS_DATOS!$C$1503))+((CROQUIS_DATOS!$C$1476)*CROQUIS_DATOS!$C$1561-(0)*CROQUIS_DATOS!$C$1561))/CROQUIS_DATOS!$C$1568-0.000001)),1,MOD($A49-1,2)))=1,MIN((CROQUIS_DATOS!$C$1476)*CROQUIS_DATOS!$C$1561,((CROQUIS_DATOS!$C$1503+CROQUIS_DATOS!$C$1504)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49">
        <f>IF(AND(CROQUIS_DATOS!$C$1472=1,CROQUIS_DATOS!$C$1504&gt;0,((CROQUIS_DATOS!$C$1503+CROQUIS_DATOS!$C$1504))-(CROQUIS_DATOS!$C$1503)&gt;0.5,(CROQUIS_DATOS!$C$1476)-(0)&gt;0.5),(CROQUIS_DATOS!$C$1567+(IF(IF(MOD(MIN(INT(($A49-1)/2)+1,MAX(1,INT(((((CROQUIS_DATOS!$C$1503+CROQUIS_DATOS!$C$1504))-(CROQUIS_DATOS!$C$1503))+((CROQUIS_DATOS!$C$1476)*CROQUIS_DATOS!$C$1561-(0)*CROQUIS_DATOS!$C$1561))/CROQUIS_DATOS!$C$1568-0.000001))),2)=1,IF(INT(($A49-1)/2)+1&gt;MAX(1,INT(((((CROQUIS_DATOS!$C$1503+CROQUIS_DATOS!$C$1504))-(CROQUIS_DATOS!$C$1503))+((CROQUIS_DATOS!$C$1476)*CROQUIS_DATOS!$C$1561-(0)*CROQUIS_DATOS!$C$1561))/CROQUIS_DATOS!$C$1568-0.000001)),1,MOD($A49-1,2)),1-IF(INT(($A49-1)/2)+1&gt;MAX(1,INT(((((CROQUIS_DATOS!$C$1503+CROQUIS_DATOS!$C$1504))-(CROQUIS_DATOS!$C$1503))+((CROQUIS_DATOS!$C$1476)*CROQUIS_DATOS!$C$1561-(0)*CROQUIS_DATOS!$C$1561))/CROQUIS_DATOS!$C$1568-0.000001)),1,MOD($A49-1,2)))=1,MIN((CROQUIS_DATOS!$C$1476)*CROQUIS_DATOS!$C$1561,((CROQUIS_DATOS!$C$1503+CROQUIS_DATOS!$C$1504)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49-1)/2)+1,MAX(1,INT(((((CROQUIS_DATOS!$C$1503+CROQUIS_DATOS!$C$1504))-(CROQUIS_DATOS!$C$1503))+((CROQUIS_DATOS!$C$1476)*CROQUIS_DATOS!$C$1561-(0)*CROQUIS_DATOS!$C$1561))/CROQUIS_DATOS!$C$1568-0.000001)))*CROQUIS_DATOS!$C$1568))))*CROQUIS_DATOS!$C$1565),-1000)</f>
        <v>15.951724137931</v>
      </c>
      <c r="CD49">
        <f>IF(AND(CROQUIS_DATOS!$C$1472=1,CROQUIS_DATOS!$C$1508&gt;0,((CROQUIS_DATOS!$C$1507+CROQUIS_DATOS!$C$1508))-(CROQUIS_DATOS!$C$1507)&gt;0.5,(CROQUIS_DATOS!$C$1476)-(0)&gt;0.5),(CROQUIS_DATOS!$C$1566+(IF(IF(MOD(MIN(INT(($A49-1)/2)+1,MAX(1,INT(((((CROQUIS_DATOS!$C$1507+CROQUIS_DATOS!$C$1508))-(CROQUIS_DATOS!$C$1507))+((CROQUIS_DATOS!$C$1476)*CROQUIS_DATOS!$C$1561-(0)*CROQUIS_DATOS!$C$1561))/CROQUIS_DATOS!$C$1568-0.000001))),2)=1,IF(INT(($A49-1)/2)+1&gt;MAX(1,INT(((((CROQUIS_DATOS!$C$1507+CROQUIS_DATOS!$C$1508))-(CROQUIS_DATOS!$C$1507))+((CROQUIS_DATOS!$C$1476)*CROQUIS_DATOS!$C$1561-(0)*CROQUIS_DATOS!$C$1561))/CROQUIS_DATOS!$C$1568-0.000001)),1,MOD($A49-1,2)),1-IF(INT(($A49-1)/2)+1&gt;MAX(1,INT(((((CROQUIS_DATOS!$C$1507+CROQUIS_DATOS!$C$1508))-(CROQUIS_DATOS!$C$1507))+((CROQUIS_DATOS!$C$1476)*CROQUIS_DATOS!$C$1561-(0)*CROQUIS_DATOS!$C$1561))/CROQUIS_DATOS!$C$1568-0.000001)),1,MOD($A49-1,2)))=1,MIN((CROQUIS_DATOS!$C$1476)*CROQUIS_DATOS!$C$1561,((CROQUIS_DATOS!$C$1507+CROQUIS_DATOS!$C$1508)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49">
        <f>IF(AND(CROQUIS_DATOS!$C$1472=1,CROQUIS_DATOS!$C$1508&gt;0,((CROQUIS_DATOS!$C$1507+CROQUIS_DATOS!$C$1508))-(CROQUIS_DATOS!$C$1507)&gt;0.5,(CROQUIS_DATOS!$C$1476)-(0)&gt;0.5),(CROQUIS_DATOS!$C$1567+(IF(IF(MOD(MIN(INT(($A49-1)/2)+1,MAX(1,INT(((((CROQUIS_DATOS!$C$1507+CROQUIS_DATOS!$C$1508))-(CROQUIS_DATOS!$C$1507))+((CROQUIS_DATOS!$C$1476)*CROQUIS_DATOS!$C$1561-(0)*CROQUIS_DATOS!$C$1561))/CROQUIS_DATOS!$C$1568-0.000001))),2)=1,IF(INT(($A49-1)/2)+1&gt;MAX(1,INT(((((CROQUIS_DATOS!$C$1507+CROQUIS_DATOS!$C$1508))-(CROQUIS_DATOS!$C$1507))+((CROQUIS_DATOS!$C$1476)*CROQUIS_DATOS!$C$1561-(0)*CROQUIS_DATOS!$C$1561))/CROQUIS_DATOS!$C$1568-0.000001)),1,MOD($A49-1,2)),1-IF(INT(($A49-1)/2)+1&gt;MAX(1,INT(((((CROQUIS_DATOS!$C$1507+CROQUIS_DATOS!$C$1508))-(CROQUIS_DATOS!$C$1507))+((CROQUIS_DATOS!$C$1476)*CROQUIS_DATOS!$C$1561-(0)*CROQUIS_DATOS!$C$1561))/CROQUIS_DATOS!$C$1568-0.000001)),1,MOD($A49-1,2)))=1,MIN((CROQUIS_DATOS!$C$1476)*CROQUIS_DATOS!$C$1561,((CROQUIS_DATOS!$C$1507+CROQUIS_DATOS!$C$1508)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49-1)/2)+1,MAX(1,INT(((((CROQUIS_DATOS!$C$1507+CROQUIS_DATOS!$C$1508))-(CROQUIS_DATOS!$C$1507))+((CROQUIS_DATOS!$C$1476)*CROQUIS_DATOS!$C$1561-(0)*CROQUIS_DATOS!$C$1561))/CROQUIS_DATOS!$C$1568-0.000001)))*CROQUIS_DATOS!$C$1568))))*CROQUIS_DATOS!$C$1565),-1000)</f>
        <v>18.0896551724138</v>
      </c>
      <c r="CF49">
        <f>IF(AND(CROQUIS_DATOS!$C$1472=1,CROQUIS_DATOS!$C$1512&gt;0,((CROQUIS_DATOS!$C$1511+CROQUIS_DATOS!$C$1512))-(CROQUIS_DATOS!$C$1511)&gt;0.5,(CROQUIS_DATOS!$C$1476)-(0)&gt;0.5),(CROQUIS_DATOS!$C$1566+(IF(IF(MOD(MIN(INT(($A49-1)/2)+1,MAX(1,INT(((((CROQUIS_DATOS!$C$1511+CROQUIS_DATOS!$C$1512))-(CROQUIS_DATOS!$C$1511))+((CROQUIS_DATOS!$C$1476)*CROQUIS_DATOS!$C$1561-(0)*CROQUIS_DATOS!$C$1561))/CROQUIS_DATOS!$C$1568-0.000001))),2)=1,IF(INT(($A49-1)/2)+1&gt;MAX(1,INT(((((CROQUIS_DATOS!$C$1511+CROQUIS_DATOS!$C$1512))-(CROQUIS_DATOS!$C$1511))+((CROQUIS_DATOS!$C$1476)*CROQUIS_DATOS!$C$1561-(0)*CROQUIS_DATOS!$C$1561))/CROQUIS_DATOS!$C$1568-0.000001)),1,MOD($A49-1,2)),1-IF(INT(($A49-1)/2)+1&gt;MAX(1,INT(((((CROQUIS_DATOS!$C$1511+CROQUIS_DATOS!$C$1512))-(CROQUIS_DATOS!$C$1511))+((CROQUIS_DATOS!$C$1476)*CROQUIS_DATOS!$C$1561-(0)*CROQUIS_DATOS!$C$1561))/CROQUIS_DATOS!$C$1568-0.000001)),1,MOD($A49-1,2)))=1,MIN((CROQUIS_DATOS!$C$1476)*CROQUIS_DATOS!$C$1561,((CROQUIS_DATOS!$C$1511+CROQUIS_DATOS!$C$1512)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49">
        <f>IF(AND(CROQUIS_DATOS!$C$1472=1,CROQUIS_DATOS!$C$1512&gt;0,((CROQUIS_DATOS!$C$1511+CROQUIS_DATOS!$C$1512))-(CROQUIS_DATOS!$C$1511)&gt;0.5,(CROQUIS_DATOS!$C$1476)-(0)&gt;0.5),(CROQUIS_DATOS!$C$1567+(IF(IF(MOD(MIN(INT(($A49-1)/2)+1,MAX(1,INT(((((CROQUIS_DATOS!$C$1511+CROQUIS_DATOS!$C$1512))-(CROQUIS_DATOS!$C$1511))+((CROQUIS_DATOS!$C$1476)*CROQUIS_DATOS!$C$1561-(0)*CROQUIS_DATOS!$C$1561))/CROQUIS_DATOS!$C$1568-0.000001))),2)=1,IF(INT(($A49-1)/2)+1&gt;MAX(1,INT(((((CROQUIS_DATOS!$C$1511+CROQUIS_DATOS!$C$1512))-(CROQUIS_DATOS!$C$1511))+((CROQUIS_DATOS!$C$1476)*CROQUIS_DATOS!$C$1561-(0)*CROQUIS_DATOS!$C$1561))/CROQUIS_DATOS!$C$1568-0.000001)),1,MOD($A49-1,2)),1-IF(INT(($A49-1)/2)+1&gt;MAX(1,INT(((((CROQUIS_DATOS!$C$1511+CROQUIS_DATOS!$C$1512))-(CROQUIS_DATOS!$C$1511))+((CROQUIS_DATOS!$C$1476)*CROQUIS_DATOS!$C$1561-(0)*CROQUIS_DATOS!$C$1561))/CROQUIS_DATOS!$C$1568-0.000001)),1,MOD($A49-1,2)))=1,MIN((CROQUIS_DATOS!$C$1476)*CROQUIS_DATOS!$C$1561,((CROQUIS_DATOS!$C$1511+CROQUIS_DATOS!$C$1512)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49-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49">
        <f>IF(AND(CROQUIS_DATOS!$C$1472=1,CROQUIS_DATOS!$C$1516&gt;0,((CROQUIS_DATOS!$C$1515+CROQUIS_DATOS!$C$1516))-(CROQUIS_DATOS!$C$1515)&gt;0.5,(CROQUIS_DATOS!$C$1476)-(0)&gt;0.5),(CROQUIS_DATOS!$C$1566+(IF(IF(MOD(MIN(INT(($A49-1)/2)+1,MAX(1,INT(((((CROQUIS_DATOS!$C$1515+CROQUIS_DATOS!$C$1516))-(CROQUIS_DATOS!$C$1515))+((CROQUIS_DATOS!$C$1476)*CROQUIS_DATOS!$C$1561-(0)*CROQUIS_DATOS!$C$1561))/CROQUIS_DATOS!$C$1568-0.000001))),2)=1,IF(INT(($A49-1)/2)+1&gt;MAX(1,INT(((((CROQUIS_DATOS!$C$1515+CROQUIS_DATOS!$C$1516))-(CROQUIS_DATOS!$C$1515))+((CROQUIS_DATOS!$C$1476)*CROQUIS_DATOS!$C$1561-(0)*CROQUIS_DATOS!$C$1561))/CROQUIS_DATOS!$C$1568-0.000001)),1,MOD($A49-1,2)),1-IF(INT(($A49-1)/2)+1&gt;MAX(1,INT(((((CROQUIS_DATOS!$C$1515+CROQUIS_DATOS!$C$1516))-(CROQUIS_DATOS!$C$1515))+((CROQUIS_DATOS!$C$1476)*CROQUIS_DATOS!$C$1561-(0)*CROQUIS_DATOS!$C$1561))/CROQUIS_DATOS!$C$1568-0.000001)),1,MOD($A49-1,2)))=1,MIN((CROQUIS_DATOS!$C$1476)*CROQUIS_DATOS!$C$1561,((CROQUIS_DATOS!$C$1515+CROQUIS_DATOS!$C$1516)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49">
        <f>IF(AND(CROQUIS_DATOS!$C$1472=1,CROQUIS_DATOS!$C$1516&gt;0,((CROQUIS_DATOS!$C$1515+CROQUIS_DATOS!$C$1516))-(CROQUIS_DATOS!$C$1515)&gt;0.5,(CROQUIS_DATOS!$C$1476)-(0)&gt;0.5),(CROQUIS_DATOS!$C$1567+(IF(IF(MOD(MIN(INT(($A49-1)/2)+1,MAX(1,INT(((((CROQUIS_DATOS!$C$1515+CROQUIS_DATOS!$C$1516))-(CROQUIS_DATOS!$C$1515))+((CROQUIS_DATOS!$C$1476)*CROQUIS_DATOS!$C$1561-(0)*CROQUIS_DATOS!$C$1561))/CROQUIS_DATOS!$C$1568-0.000001))),2)=1,IF(INT(($A49-1)/2)+1&gt;MAX(1,INT(((((CROQUIS_DATOS!$C$1515+CROQUIS_DATOS!$C$1516))-(CROQUIS_DATOS!$C$1515))+((CROQUIS_DATOS!$C$1476)*CROQUIS_DATOS!$C$1561-(0)*CROQUIS_DATOS!$C$1561))/CROQUIS_DATOS!$C$1568-0.000001)),1,MOD($A49-1,2)),1-IF(INT(($A49-1)/2)+1&gt;MAX(1,INT(((((CROQUIS_DATOS!$C$1515+CROQUIS_DATOS!$C$1516))-(CROQUIS_DATOS!$C$1515))+((CROQUIS_DATOS!$C$1476)*CROQUIS_DATOS!$C$1561-(0)*CROQUIS_DATOS!$C$1561))/CROQUIS_DATOS!$C$1568-0.000001)),1,MOD($A49-1,2)))=1,MIN((CROQUIS_DATOS!$C$1476)*CROQUIS_DATOS!$C$1561,((CROQUIS_DATOS!$C$1515+CROQUIS_DATOS!$C$1516)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49-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49">
        <f>IF(AND(CROQUIS_DATOS!$C$1472=1,CROQUIS_DATOS!$C$1478&gt;=1,((CROQUIS_DATOS!$C$1479+CROQUIS_DATOS!$C$1480))-(CROQUIS_DATOS!$C$1479)&gt;0.5,(CROQUIS_DATOS!$C$1481)-(0)&gt;0.5),(CROQUIS_DATOS!$C$1566+(IF(IF(MOD(MIN(INT(($A49-1)/2)+1,MAX(1,INT(((((CROQUIS_DATOS!$C$1479+CROQUIS_DATOS!$C$1480))-(CROQUIS_DATOS!$C$1479))+((CROQUIS_DATOS!$C$1481)*CROQUIS_DATOS!$C$1561-(0)*CROQUIS_DATOS!$C$1561))/CROQUIS_DATOS!$C$1568-0.000001))),2)=1,IF(INT(($A49-1)/2)+1&gt;MAX(1,INT(((((CROQUIS_DATOS!$C$1479+CROQUIS_DATOS!$C$1480))-(CROQUIS_DATOS!$C$1479))+((CROQUIS_DATOS!$C$1481)*CROQUIS_DATOS!$C$1561-(0)*CROQUIS_DATOS!$C$1561))/CROQUIS_DATOS!$C$1568-0.000001)),1,MOD($A49-1,2)),1-IF(INT(($A49-1)/2)+1&gt;MAX(1,INT(((((CROQUIS_DATOS!$C$1479+CROQUIS_DATOS!$C$1480))-(CROQUIS_DATOS!$C$1479))+((CROQUIS_DATOS!$C$1481)*CROQUIS_DATOS!$C$1561-(0)*CROQUIS_DATOS!$C$1561))/CROQUIS_DATOS!$C$1568-0.000001)),1,MOD($A49-1,2)))=1,MIN((CROQUIS_DATOS!$C$1481)*CROQUIS_DATOS!$C$1561,((CROQUIS_DATOS!$C$1479+CROQUIS_DATOS!$C$1480)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49">
        <f>IF(AND(CROQUIS_DATOS!$C$1472=1,CROQUIS_DATOS!$C$1478&gt;=1,((CROQUIS_DATOS!$C$1479+CROQUIS_DATOS!$C$1480))-(CROQUIS_DATOS!$C$1479)&gt;0.5,(CROQUIS_DATOS!$C$1481)-(0)&gt;0.5),(CROQUIS_DATOS!$C$1567+(IF(IF(MOD(MIN(INT(($A49-1)/2)+1,MAX(1,INT(((((CROQUIS_DATOS!$C$1479+CROQUIS_DATOS!$C$1480))-(CROQUIS_DATOS!$C$1479))+((CROQUIS_DATOS!$C$1481)*CROQUIS_DATOS!$C$1561-(0)*CROQUIS_DATOS!$C$1561))/CROQUIS_DATOS!$C$1568-0.000001))),2)=1,IF(INT(($A49-1)/2)+1&gt;MAX(1,INT(((((CROQUIS_DATOS!$C$1479+CROQUIS_DATOS!$C$1480))-(CROQUIS_DATOS!$C$1479))+((CROQUIS_DATOS!$C$1481)*CROQUIS_DATOS!$C$1561-(0)*CROQUIS_DATOS!$C$1561))/CROQUIS_DATOS!$C$1568-0.000001)),1,MOD($A49-1,2)),1-IF(INT(($A49-1)/2)+1&gt;MAX(1,INT(((((CROQUIS_DATOS!$C$1479+CROQUIS_DATOS!$C$1480))-(CROQUIS_DATOS!$C$1479))+((CROQUIS_DATOS!$C$1481)*CROQUIS_DATOS!$C$1561-(0)*CROQUIS_DATOS!$C$1561))/CROQUIS_DATOS!$C$1568-0.000001)),1,MOD($A49-1,2)))=1,MIN((CROQUIS_DATOS!$C$1481)*CROQUIS_DATOS!$C$1561,((CROQUIS_DATOS!$C$1479+CROQUIS_DATOS!$C$1480)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49-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49">
        <f>IF(AND(CROQUIS_DATOS!$C$1472=1,CROQUIS_DATOS!$C$1478&gt;=1,((CROQUIS_DATOS!$C$1479+CROQUIS_DATOS!$C$1480))-(CROQUIS_DATOS!$C$1479)&gt;0.5,(CROQUIS_DATOS!$C$1476)-((CROQUIS_DATOS!$C$1481+CROQUIS_DATOS!$C$1482))&gt;0.5),(CROQUIS_DATOS!$C$1566+(IF(IF(MOD(MIN(INT(($A49-1)/2)+1,MAX(1,INT(((((CROQUIS_DATOS!$C$1479+CROQUIS_DATOS!$C$1480))-(CROQUIS_DATOS!$C$1479))+((CROQUIS_DATOS!$C$1476)*CROQUIS_DATOS!$C$1561-((CROQUIS_DATOS!$C$1481+CROQUIS_DATOS!$C$1482))*CROQUIS_DATOS!$C$1561))/CROQUIS_DATOS!$C$1568-0.000001))),2)=1,IF(INT(($A49-1)/2)+1&gt;MAX(1,INT(((((CROQUIS_DATOS!$C$1479+CROQUIS_DATOS!$C$1480))-(CROQUIS_DATOS!$C$1479))+((CROQUIS_DATOS!$C$1476)*CROQUIS_DATOS!$C$1561-((CROQUIS_DATOS!$C$1481+CROQUIS_DATOS!$C$1482))*CROQUIS_DATOS!$C$1561))/CROQUIS_DATOS!$C$1568-0.000001)),1,MOD($A49-1,2)),1-IF(INT(($A49-1)/2)+1&gt;MAX(1,INT(((((CROQUIS_DATOS!$C$1479+CROQUIS_DATOS!$C$1480))-(CROQUIS_DATOS!$C$1479))+((CROQUIS_DATOS!$C$1476)*CROQUIS_DATOS!$C$1561-((CROQUIS_DATOS!$C$1481+CROQUIS_DATOS!$C$1482))*CROQUIS_DATOS!$C$1561))/CROQUIS_DATOS!$C$1568-0.000001)),1,MOD($A49-1,2)))=1,MIN((CROQUIS_DATOS!$C$1476)*CROQUIS_DATOS!$C$1561,((CROQUIS_DATOS!$C$1479+CROQUIS_DATOS!$C$1480)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49">
        <f>IF(AND(CROQUIS_DATOS!$C$1472=1,CROQUIS_DATOS!$C$1478&gt;=1,((CROQUIS_DATOS!$C$1479+CROQUIS_DATOS!$C$1480))-(CROQUIS_DATOS!$C$1479)&gt;0.5,(CROQUIS_DATOS!$C$1476)-((CROQUIS_DATOS!$C$1481+CROQUIS_DATOS!$C$1482))&gt;0.5),(CROQUIS_DATOS!$C$1567+(IF(IF(MOD(MIN(INT(($A49-1)/2)+1,MAX(1,INT(((((CROQUIS_DATOS!$C$1479+CROQUIS_DATOS!$C$1480))-(CROQUIS_DATOS!$C$1479))+((CROQUIS_DATOS!$C$1476)*CROQUIS_DATOS!$C$1561-((CROQUIS_DATOS!$C$1481+CROQUIS_DATOS!$C$1482))*CROQUIS_DATOS!$C$1561))/CROQUIS_DATOS!$C$1568-0.000001))),2)=1,IF(INT(($A49-1)/2)+1&gt;MAX(1,INT(((((CROQUIS_DATOS!$C$1479+CROQUIS_DATOS!$C$1480))-(CROQUIS_DATOS!$C$1479))+((CROQUIS_DATOS!$C$1476)*CROQUIS_DATOS!$C$1561-((CROQUIS_DATOS!$C$1481+CROQUIS_DATOS!$C$1482))*CROQUIS_DATOS!$C$1561))/CROQUIS_DATOS!$C$1568-0.000001)),1,MOD($A49-1,2)),1-IF(INT(($A49-1)/2)+1&gt;MAX(1,INT(((((CROQUIS_DATOS!$C$1479+CROQUIS_DATOS!$C$1480))-(CROQUIS_DATOS!$C$1479))+((CROQUIS_DATOS!$C$1476)*CROQUIS_DATOS!$C$1561-((CROQUIS_DATOS!$C$1481+CROQUIS_DATOS!$C$1482))*CROQUIS_DATOS!$C$1561))/CROQUIS_DATOS!$C$1568-0.000001)),1,MOD($A49-1,2)))=1,MIN((CROQUIS_DATOS!$C$1476)*CROQUIS_DATOS!$C$1561,((CROQUIS_DATOS!$C$1479+CROQUIS_DATOS!$C$1480)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49-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49">
        <f>IF(AND(CROQUIS_DATOS!$C$1472=1,CROQUIS_DATOS!$C$1478&gt;=2,((CROQUIS_DATOS!$C$1484+CROQUIS_DATOS!$C$1485))-(CROQUIS_DATOS!$C$1484)&gt;0.5,(CROQUIS_DATOS!$C$1486)-(0)&gt;0.5),(CROQUIS_DATOS!$C$1566+(IF(IF(MOD(MIN(INT(($A49-1)/2)+1,MAX(1,INT(((((CROQUIS_DATOS!$C$1484+CROQUIS_DATOS!$C$1485))-(CROQUIS_DATOS!$C$1484))+((CROQUIS_DATOS!$C$1486)*CROQUIS_DATOS!$C$1561-(0)*CROQUIS_DATOS!$C$1561))/CROQUIS_DATOS!$C$1568-0.000001))),2)=1,IF(INT(($A49-1)/2)+1&gt;MAX(1,INT(((((CROQUIS_DATOS!$C$1484+CROQUIS_DATOS!$C$1485))-(CROQUIS_DATOS!$C$1484))+((CROQUIS_DATOS!$C$1486)*CROQUIS_DATOS!$C$1561-(0)*CROQUIS_DATOS!$C$1561))/CROQUIS_DATOS!$C$1568-0.000001)),1,MOD($A49-1,2)),1-IF(INT(($A49-1)/2)+1&gt;MAX(1,INT(((((CROQUIS_DATOS!$C$1484+CROQUIS_DATOS!$C$1485))-(CROQUIS_DATOS!$C$1484))+((CROQUIS_DATOS!$C$1486)*CROQUIS_DATOS!$C$1561-(0)*CROQUIS_DATOS!$C$1561))/CROQUIS_DATOS!$C$1568-0.000001)),1,MOD($A49-1,2)))=1,MIN((CROQUIS_DATOS!$C$1486)*CROQUIS_DATOS!$C$1561,((CROQUIS_DATOS!$C$1484+CROQUIS_DATOS!$C$1485)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49">
        <f>IF(AND(CROQUIS_DATOS!$C$1472=1,CROQUIS_DATOS!$C$1478&gt;=2,((CROQUIS_DATOS!$C$1484+CROQUIS_DATOS!$C$1485))-(CROQUIS_DATOS!$C$1484)&gt;0.5,(CROQUIS_DATOS!$C$1486)-(0)&gt;0.5),(CROQUIS_DATOS!$C$1567+(IF(IF(MOD(MIN(INT(($A49-1)/2)+1,MAX(1,INT(((((CROQUIS_DATOS!$C$1484+CROQUIS_DATOS!$C$1485))-(CROQUIS_DATOS!$C$1484))+((CROQUIS_DATOS!$C$1486)*CROQUIS_DATOS!$C$1561-(0)*CROQUIS_DATOS!$C$1561))/CROQUIS_DATOS!$C$1568-0.000001))),2)=1,IF(INT(($A49-1)/2)+1&gt;MAX(1,INT(((((CROQUIS_DATOS!$C$1484+CROQUIS_DATOS!$C$1485))-(CROQUIS_DATOS!$C$1484))+((CROQUIS_DATOS!$C$1486)*CROQUIS_DATOS!$C$1561-(0)*CROQUIS_DATOS!$C$1561))/CROQUIS_DATOS!$C$1568-0.000001)),1,MOD($A49-1,2)),1-IF(INT(($A49-1)/2)+1&gt;MAX(1,INT(((((CROQUIS_DATOS!$C$1484+CROQUIS_DATOS!$C$1485))-(CROQUIS_DATOS!$C$1484))+((CROQUIS_DATOS!$C$1486)*CROQUIS_DATOS!$C$1561-(0)*CROQUIS_DATOS!$C$1561))/CROQUIS_DATOS!$C$1568-0.000001)),1,MOD($A49-1,2)))=1,MIN((CROQUIS_DATOS!$C$1486)*CROQUIS_DATOS!$C$1561,((CROQUIS_DATOS!$C$1484+CROQUIS_DATOS!$C$1485)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49-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49">
        <f>IF(AND(CROQUIS_DATOS!$C$1472=1,CROQUIS_DATOS!$C$1478&gt;=2,((CROQUIS_DATOS!$C$1484+CROQUIS_DATOS!$C$1485))-(CROQUIS_DATOS!$C$1484)&gt;0.5,(CROQUIS_DATOS!$C$1476)-((CROQUIS_DATOS!$C$1486+CROQUIS_DATOS!$C$1487))&gt;0.5),(CROQUIS_DATOS!$C$1566+(IF(IF(MOD(MIN(INT(($A49-1)/2)+1,MAX(1,INT(((((CROQUIS_DATOS!$C$1484+CROQUIS_DATOS!$C$1485))-(CROQUIS_DATOS!$C$1484))+((CROQUIS_DATOS!$C$1476)*CROQUIS_DATOS!$C$1561-((CROQUIS_DATOS!$C$1486+CROQUIS_DATOS!$C$1487))*CROQUIS_DATOS!$C$1561))/CROQUIS_DATOS!$C$1568-0.000001))),2)=1,IF(INT(($A49-1)/2)+1&gt;MAX(1,INT(((((CROQUIS_DATOS!$C$1484+CROQUIS_DATOS!$C$1485))-(CROQUIS_DATOS!$C$1484))+((CROQUIS_DATOS!$C$1476)*CROQUIS_DATOS!$C$1561-((CROQUIS_DATOS!$C$1486+CROQUIS_DATOS!$C$1487))*CROQUIS_DATOS!$C$1561))/CROQUIS_DATOS!$C$1568-0.000001)),1,MOD($A49-1,2)),1-IF(INT(($A49-1)/2)+1&gt;MAX(1,INT(((((CROQUIS_DATOS!$C$1484+CROQUIS_DATOS!$C$1485))-(CROQUIS_DATOS!$C$1484))+((CROQUIS_DATOS!$C$1476)*CROQUIS_DATOS!$C$1561-((CROQUIS_DATOS!$C$1486+CROQUIS_DATOS!$C$1487))*CROQUIS_DATOS!$C$1561))/CROQUIS_DATOS!$C$1568-0.000001)),1,MOD($A49-1,2)))=1,MIN((CROQUIS_DATOS!$C$1476)*CROQUIS_DATOS!$C$1561,((CROQUIS_DATOS!$C$1484+CROQUIS_DATOS!$C$1485)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49">
        <f>IF(AND(CROQUIS_DATOS!$C$1472=1,CROQUIS_DATOS!$C$1478&gt;=2,((CROQUIS_DATOS!$C$1484+CROQUIS_DATOS!$C$1485))-(CROQUIS_DATOS!$C$1484)&gt;0.5,(CROQUIS_DATOS!$C$1476)-((CROQUIS_DATOS!$C$1486+CROQUIS_DATOS!$C$1487))&gt;0.5),(CROQUIS_DATOS!$C$1567+(IF(IF(MOD(MIN(INT(($A49-1)/2)+1,MAX(1,INT(((((CROQUIS_DATOS!$C$1484+CROQUIS_DATOS!$C$1485))-(CROQUIS_DATOS!$C$1484))+((CROQUIS_DATOS!$C$1476)*CROQUIS_DATOS!$C$1561-((CROQUIS_DATOS!$C$1486+CROQUIS_DATOS!$C$1487))*CROQUIS_DATOS!$C$1561))/CROQUIS_DATOS!$C$1568-0.000001))),2)=1,IF(INT(($A49-1)/2)+1&gt;MAX(1,INT(((((CROQUIS_DATOS!$C$1484+CROQUIS_DATOS!$C$1485))-(CROQUIS_DATOS!$C$1484))+((CROQUIS_DATOS!$C$1476)*CROQUIS_DATOS!$C$1561-((CROQUIS_DATOS!$C$1486+CROQUIS_DATOS!$C$1487))*CROQUIS_DATOS!$C$1561))/CROQUIS_DATOS!$C$1568-0.000001)),1,MOD($A49-1,2)),1-IF(INT(($A49-1)/2)+1&gt;MAX(1,INT(((((CROQUIS_DATOS!$C$1484+CROQUIS_DATOS!$C$1485))-(CROQUIS_DATOS!$C$1484))+((CROQUIS_DATOS!$C$1476)*CROQUIS_DATOS!$C$1561-((CROQUIS_DATOS!$C$1486+CROQUIS_DATOS!$C$1487))*CROQUIS_DATOS!$C$1561))/CROQUIS_DATOS!$C$1568-0.000001)),1,MOD($A49-1,2)))=1,MIN((CROQUIS_DATOS!$C$1476)*CROQUIS_DATOS!$C$1561,((CROQUIS_DATOS!$C$1484+CROQUIS_DATOS!$C$1485)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49-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49">
        <f>IF(AND(CROQUIS_DATOS!$C$1472=1,CROQUIS_DATOS!$C$1478&gt;=3,((CROQUIS_DATOS!$C$1489+CROQUIS_DATOS!$C$1490))-(CROQUIS_DATOS!$C$1489)&gt;0.5,(CROQUIS_DATOS!$C$1491)-(0)&gt;0.5),(CROQUIS_DATOS!$C$1566+(IF(IF(MOD(MIN(INT(($A49-1)/2)+1,MAX(1,INT(((((CROQUIS_DATOS!$C$1489+CROQUIS_DATOS!$C$1490))-(CROQUIS_DATOS!$C$1489))+((CROQUIS_DATOS!$C$1491)*CROQUIS_DATOS!$C$1561-(0)*CROQUIS_DATOS!$C$1561))/CROQUIS_DATOS!$C$1568-0.000001))),2)=1,IF(INT(($A49-1)/2)+1&gt;MAX(1,INT(((((CROQUIS_DATOS!$C$1489+CROQUIS_DATOS!$C$1490))-(CROQUIS_DATOS!$C$1489))+((CROQUIS_DATOS!$C$1491)*CROQUIS_DATOS!$C$1561-(0)*CROQUIS_DATOS!$C$1561))/CROQUIS_DATOS!$C$1568-0.000001)),1,MOD($A49-1,2)),1-IF(INT(($A49-1)/2)+1&gt;MAX(1,INT(((((CROQUIS_DATOS!$C$1489+CROQUIS_DATOS!$C$1490))-(CROQUIS_DATOS!$C$1489))+((CROQUIS_DATOS!$C$1491)*CROQUIS_DATOS!$C$1561-(0)*CROQUIS_DATOS!$C$1561))/CROQUIS_DATOS!$C$1568-0.000001)),1,MOD($A49-1,2)))=1,MIN((CROQUIS_DATOS!$C$1491)*CROQUIS_DATOS!$C$1561,((CROQUIS_DATOS!$C$1489+CROQUIS_DATOS!$C$1490)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49">
        <f>IF(AND(CROQUIS_DATOS!$C$1472=1,CROQUIS_DATOS!$C$1478&gt;=3,((CROQUIS_DATOS!$C$1489+CROQUIS_DATOS!$C$1490))-(CROQUIS_DATOS!$C$1489)&gt;0.5,(CROQUIS_DATOS!$C$1491)-(0)&gt;0.5),(CROQUIS_DATOS!$C$1567+(IF(IF(MOD(MIN(INT(($A49-1)/2)+1,MAX(1,INT(((((CROQUIS_DATOS!$C$1489+CROQUIS_DATOS!$C$1490))-(CROQUIS_DATOS!$C$1489))+((CROQUIS_DATOS!$C$1491)*CROQUIS_DATOS!$C$1561-(0)*CROQUIS_DATOS!$C$1561))/CROQUIS_DATOS!$C$1568-0.000001))),2)=1,IF(INT(($A49-1)/2)+1&gt;MAX(1,INT(((((CROQUIS_DATOS!$C$1489+CROQUIS_DATOS!$C$1490))-(CROQUIS_DATOS!$C$1489))+((CROQUIS_DATOS!$C$1491)*CROQUIS_DATOS!$C$1561-(0)*CROQUIS_DATOS!$C$1561))/CROQUIS_DATOS!$C$1568-0.000001)),1,MOD($A49-1,2)),1-IF(INT(($A49-1)/2)+1&gt;MAX(1,INT(((((CROQUIS_DATOS!$C$1489+CROQUIS_DATOS!$C$1490))-(CROQUIS_DATOS!$C$1489))+((CROQUIS_DATOS!$C$1491)*CROQUIS_DATOS!$C$1561-(0)*CROQUIS_DATOS!$C$1561))/CROQUIS_DATOS!$C$1568-0.000001)),1,MOD($A49-1,2)))=1,MIN((CROQUIS_DATOS!$C$1491)*CROQUIS_DATOS!$C$1561,((CROQUIS_DATOS!$C$1489+CROQUIS_DATOS!$C$1490)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49-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49">
        <f>IF(AND(CROQUIS_DATOS!$C$1472=1,CROQUIS_DATOS!$C$1478&gt;=3,((CROQUIS_DATOS!$C$1489+CROQUIS_DATOS!$C$1490))-(CROQUIS_DATOS!$C$1489)&gt;0.5,(CROQUIS_DATOS!$C$1476)-((CROQUIS_DATOS!$C$1491+CROQUIS_DATOS!$C$1492))&gt;0.5),(CROQUIS_DATOS!$C$1566+(IF(IF(MOD(MIN(INT(($A49-1)/2)+1,MAX(1,INT(((((CROQUIS_DATOS!$C$1489+CROQUIS_DATOS!$C$1490))-(CROQUIS_DATOS!$C$1489))+((CROQUIS_DATOS!$C$1476)*CROQUIS_DATOS!$C$1561-((CROQUIS_DATOS!$C$1491+CROQUIS_DATOS!$C$1492))*CROQUIS_DATOS!$C$1561))/CROQUIS_DATOS!$C$1568-0.000001))),2)=1,IF(INT(($A49-1)/2)+1&gt;MAX(1,INT(((((CROQUIS_DATOS!$C$1489+CROQUIS_DATOS!$C$1490))-(CROQUIS_DATOS!$C$1489))+((CROQUIS_DATOS!$C$1476)*CROQUIS_DATOS!$C$1561-((CROQUIS_DATOS!$C$1491+CROQUIS_DATOS!$C$1492))*CROQUIS_DATOS!$C$1561))/CROQUIS_DATOS!$C$1568-0.000001)),1,MOD($A49-1,2)),1-IF(INT(($A49-1)/2)+1&gt;MAX(1,INT(((((CROQUIS_DATOS!$C$1489+CROQUIS_DATOS!$C$1490))-(CROQUIS_DATOS!$C$1489))+((CROQUIS_DATOS!$C$1476)*CROQUIS_DATOS!$C$1561-((CROQUIS_DATOS!$C$1491+CROQUIS_DATOS!$C$1492))*CROQUIS_DATOS!$C$1561))/CROQUIS_DATOS!$C$1568-0.000001)),1,MOD($A49-1,2)))=1,MIN((CROQUIS_DATOS!$C$1476)*CROQUIS_DATOS!$C$1561,((CROQUIS_DATOS!$C$1489+CROQUIS_DATOS!$C$1490)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49">
        <f>IF(AND(CROQUIS_DATOS!$C$1472=1,CROQUIS_DATOS!$C$1478&gt;=3,((CROQUIS_DATOS!$C$1489+CROQUIS_DATOS!$C$1490))-(CROQUIS_DATOS!$C$1489)&gt;0.5,(CROQUIS_DATOS!$C$1476)-((CROQUIS_DATOS!$C$1491+CROQUIS_DATOS!$C$1492))&gt;0.5),(CROQUIS_DATOS!$C$1567+(IF(IF(MOD(MIN(INT(($A49-1)/2)+1,MAX(1,INT(((((CROQUIS_DATOS!$C$1489+CROQUIS_DATOS!$C$1490))-(CROQUIS_DATOS!$C$1489))+((CROQUIS_DATOS!$C$1476)*CROQUIS_DATOS!$C$1561-((CROQUIS_DATOS!$C$1491+CROQUIS_DATOS!$C$1492))*CROQUIS_DATOS!$C$1561))/CROQUIS_DATOS!$C$1568-0.000001))),2)=1,IF(INT(($A49-1)/2)+1&gt;MAX(1,INT(((((CROQUIS_DATOS!$C$1489+CROQUIS_DATOS!$C$1490))-(CROQUIS_DATOS!$C$1489))+((CROQUIS_DATOS!$C$1476)*CROQUIS_DATOS!$C$1561-((CROQUIS_DATOS!$C$1491+CROQUIS_DATOS!$C$1492))*CROQUIS_DATOS!$C$1561))/CROQUIS_DATOS!$C$1568-0.000001)),1,MOD($A49-1,2)),1-IF(INT(($A49-1)/2)+1&gt;MAX(1,INT(((((CROQUIS_DATOS!$C$1489+CROQUIS_DATOS!$C$1490))-(CROQUIS_DATOS!$C$1489))+((CROQUIS_DATOS!$C$1476)*CROQUIS_DATOS!$C$1561-((CROQUIS_DATOS!$C$1491+CROQUIS_DATOS!$C$1492))*CROQUIS_DATOS!$C$1561))/CROQUIS_DATOS!$C$1568-0.000001)),1,MOD($A49-1,2)))=1,MIN((CROQUIS_DATOS!$C$1476)*CROQUIS_DATOS!$C$1561,((CROQUIS_DATOS!$C$1489+CROQUIS_DATOS!$C$1490)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49-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49">
        <f>IF(AND(CROQUIS_DATOS!$C$1472=1,CROQUIS_DATOS!$C$1478&gt;=4,((CROQUIS_DATOS!$C$1494+CROQUIS_DATOS!$C$1495))-(CROQUIS_DATOS!$C$1494)&gt;0.5,(CROQUIS_DATOS!$C$1496)-(0)&gt;0.5),(CROQUIS_DATOS!$C$1566+(IF(IF(MOD(MIN(INT(($A49-1)/2)+1,MAX(1,INT(((((CROQUIS_DATOS!$C$1494+CROQUIS_DATOS!$C$1495))-(CROQUIS_DATOS!$C$1494))+((CROQUIS_DATOS!$C$1496)*CROQUIS_DATOS!$C$1561-(0)*CROQUIS_DATOS!$C$1561))/CROQUIS_DATOS!$C$1568-0.000001))),2)=1,IF(INT(($A49-1)/2)+1&gt;MAX(1,INT(((((CROQUIS_DATOS!$C$1494+CROQUIS_DATOS!$C$1495))-(CROQUIS_DATOS!$C$1494))+((CROQUIS_DATOS!$C$1496)*CROQUIS_DATOS!$C$1561-(0)*CROQUIS_DATOS!$C$1561))/CROQUIS_DATOS!$C$1568-0.000001)),1,MOD($A49-1,2)),1-IF(INT(($A49-1)/2)+1&gt;MAX(1,INT(((((CROQUIS_DATOS!$C$1494+CROQUIS_DATOS!$C$1495))-(CROQUIS_DATOS!$C$1494))+((CROQUIS_DATOS!$C$1496)*CROQUIS_DATOS!$C$1561-(0)*CROQUIS_DATOS!$C$1561))/CROQUIS_DATOS!$C$1568-0.000001)),1,MOD($A49-1,2)))=1,MIN((CROQUIS_DATOS!$C$1496)*CROQUIS_DATOS!$C$1561,((CROQUIS_DATOS!$C$1494+CROQUIS_DATOS!$C$1495)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49">
        <f>IF(AND(CROQUIS_DATOS!$C$1472=1,CROQUIS_DATOS!$C$1478&gt;=4,((CROQUIS_DATOS!$C$1494+CROQUIS_DATOS!$C$1495))-(CROQUIS_DATOS!$C$1494)&gt;0.5,(CROQUIS_DATOS!$C$1496)-(0)&gt;0.5),(CROQUIS_DATOS!$C$1567+(IF(IF(MOD(MIN(INT(($A49-1)/2)+1,MAX(1,INT(((((CROQUIS_DATOS!$C$1494+CROQUIS_DATOS!$C$1495))-(CROQUIS_DATOS!$C$1494))+((CROQUIS_DATOS!$C$1496)*CROQUIS_DATOS!$C$1561-(0)*CROQUIS_DATOS!$C$1561))/CROQUIS_DATOS!$C$1568-0.000001))),2)=1,IF(INT(($A49-1)/2)+1&gt;MAX(1,INT(((((CROQUIS_DATOS!$C$1494+CROQUIS_DATOS!$C$1495))-(CROQUIS_DATOS!$C$1494))+((CROQUIS_DATOS!$C$1496)*CROQUIS_DATOS!$C$1561-(0)*CROQUIS_DATOS!$C$1561))/CROQUIS_DATOS!$C$1568-0.000001)),1,MOD($A49-1,2)),1-IF(INT(($A49-1)/2)+1&gt;MAX(1,INT(((((CROQUIS_DATOS!$C$1494+CROQUIS_DATOS!$C$1495))-(CROQUIS_DATOS!$C$1494))+((CROQUIS_DATOS!$C$1496)*CROQUIS_DATOS!$C$1561-(0)*CROQUIS_DATOS!$C$1561))/CROQUIS_DATOS!$C$1568-0.000001)),1,MOD($A49-1,2)))=1,MIN((CROQUIS_DATOS!$C$1496)*CROQUIS_DATOS!$C$1561,((CROQUIS_DATOS!$C$1494+CROQUIS_DATOS!$C$1495)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49-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49">
        <f>IF(AND(CROQUIS_DATOS!$C$1472=1,CROQUIS_DATOS!$C$1478&gt;=4,((CROQUIS_DATOS!$C$1494+CROQUIS_DATOS!$C$1495))-(CROQUIS_DATOS!$C$1494)&gt;0.5,(CROQUIS_DATOS!$C$1476)-((CROQUIS_DATOS!$C$1496+CROQUIS_DATOS!$C$1497))&gt;0.5),(CROQUIS_DATOS!$C$1566+(IF(IF(MOD(MIN(INT(($A49-1)/2)+1,MAX(1,INT(((((CROQUIS_DATOS!$C$1494+CROQUIS_DATOS!$C$1495))-(CROQUIS_DATOS!$C$1494))+((CROQUIS_DATOS!$C$1476)*CROQUIS_DATOS!$C$1561-((CROQUIS_DATOS!$C$1496+CROQUIS_DATOS!$C$1497))*CROQUIS_DATOS!$C$1561))/CROQUIS_DATOS!$C$1568-0.000001))),2)=1,IF(INT(($A49-1)/2)+1&gt;MAX(1,INT(((((CROQUIS_DATOS!$C$1494+CROQUIS_DATOS!$C$1495))-(CROQUIS_DATOS!$C$1494))+((CROQUIS_DATOS!$C$1476)*CROQUIS_DATOS!$C$1561-((CROQUIS_DATOS!$C$1496+CROQUIS_DATOS!$C$1497))*CROQUIS_DATOS!$C$1561))/CROQUIS_DATOS!$C$1568-0.000001)),1,MOD($A49-1,2)),1-IF(INT(($A49-1)/2)+1&gt;MAX(1,INT(((((CROQUIS_DATOS!$C$1494+CROQUIS_DATOS!$C$1495))-(CROQUIS_DATOS!$C$1494))+((CROQUIS_DATOS!$C$1476)*CROQUIS_DATOS!$C$1561-((CROQUIS_DATOS!$C$1496+CROQUIS_DATOS!$C$1497))*CROQUIS_DATOS!$C$1561))/CROQUIS_DATOS!$C$1568-0.000001)),1,MOD($A49-1,2)))=1,MIN((CROQUIS_DATOS!$C$1476)*CROQUIS_DATOS!$C$1561,((CROQUIS_DATOS!$C$1494+CROQUIS_DATOS!$C$1495)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49">
        <f>IF(AND(CROQUIS_DATOS!$C$1472=1,CROQUIS_DATOS!$C$1478&gt;=4,((CROQUIS_DATOS!$C$1494+CROQUIS_DATOS!$C$1495))-(CROQUIS_DATOS!$C$1494)&gt;0.5,(CROQUIS_DATOS!$C$1476)-((CROQUIS_DATOS!$C$1496+CROQUIS_DATOS!$C$1497))&gt;0.5),(CROQUIS_DATOS!$C$1567+(IF(IF(MOD(MIN(INT(($A49-1)/2)+1,MAX(1,INT(((((CROQUIS_DATOS!$C$1494+CROQUIS_DATOS!$C$1495))-(CROQUIS_DATOS!$C$1494))+((CROQUIS_DATOS!$C$1476)*CROQUIS_DATOS!$C$1561-((CROQUIS_DATOS!$C$1496+CROQUIS_DATOS!$C$1497))*CROQUIS_DATOS!$C$1561))/CROQUIS_DATOS!$C$1568-0.000001))),2)=1,IF(INT(($A49-1)/2)+1&gt;MAX(1,INT(((((CROQUIS_DATOS!$C$1494+CROQUIS_DATOS!$C$1495))-(CROQUIS_DATOS!$C$1494))+((CROQUIS_DATOS!$C$1476)*CROQUIS_DATOS!$C$1561-((CROQUIS_DATOS!$C$1496+CROQUIS_DATOS!$C$1497))*CROQUIS_DATOS!$C$1561))/CROQUIS_DATOS!$C$1568-0.000001)),1,MOD($A49-1,2)),1-IF(INT(($A49-1)/2)+1&gt;MAX(1,INT(((((CROQUIS_DATOS!$C$1494+CROQUIS_DATOS!$C$1495))-(CROQUIS_DATOS!$C$1494))+((CROQUIS_DATOS!$C$1476)*CROQUIS_DATOS!$C$1561-((CROQUIS_DATOS!$C$1496+CROQUIS_DATOS!$C$1497))*CROQUIS_DATOS!$C$1561))/CROQUIS_DATOS!$C$1568-0.000001)),1,MOD($A49-1,2)))=1,MIN((CROQUIS_DATOS!$C$1476)*CROQUIS_DATOS!$C$1561,((CROQUIS_DATOS!$C$1494+CROQUIS_DATOS!$C$1495)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49-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49">
        <f>IF(AND(CROQUIS_DATOS!$C$1472=1,1),(CROQUIS_DATOS!$C$1571+(CHOOSE(MIN(MAX(IF(INT(($A49-1)/5)+1&gt;CROQUIS_DATOS!$C$1525,5,MOD($A49-1,5)+1),1),5),(INDEX($E$8:$E$23,MIN(INT(($A49-1)/5)+1,CROQUIS_DATOS!$C$1525))-INDEX($F$8:$F$23,MIN(INT(($A49-1)/5)+1,CROQUIS_DATOS!$C$1525))/2),(INDEX($E$8:$E$23,MIN(INT(($A49-1)/5)+1,CROQUIS_DATOS!$C$1525))+INDEX($F$8:$F$23,MIN(INT(($A49-1)/5)+1,CROQUIS_DATOS!$C$1525))/2),(INDEX($E$8:$E$23,MIN(INT(($A49-1)/5)+1,CROQUIS_DATOS!$C$1525))+INDEX($F$8:$F$23,MIN(INT(($A49-1)/5)+1,CROQUIS_DATOS!$C$1525))/2),(INDEX($E$8:$E$23,MIN(INT(($A49-1)/5)+1,CROQUIS_DATOS!$C$1525))-INDEX($F$8:$F$23,MIN(INT(($A49-1)/5)+1,CROQUIS_DATOS!$C$1525))/2),(INDEX($E$8:$E$23,MIN(INT(($A49-1)/5)+1,CROQUIS_DATOS!$C$1525))-INDEX($F$8:$F$23,MIN(INT(($A49-1)/5)+1,CROQUIS_DATOS!$C$1525))/2)))*CROQUIS_DATOS!$C$1569),-1000)</f>
        <v>95.24</v>
      </c>
      <c r="GE49">
        <f>IF(AND(CROQUIS_DATOS!$C$1472=1,1),(CROQUIS_DATOS!$C$1572+(CHOOSE(MIN(MAX(IF(INT(($A49-1)/5)+1&gt;CROQUIS_DATOS!$C$1525,5,MOD($A49-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49">
        <f>IF(AND(CROQUIS_DATOS!$C$1472=1,1),IF(INT(($A49-1)/4)+1&lt;=CROQUIS_DATOS!$C$1525,(CROQUIS_DATOS!$C$1571+((INDEX($E$8:$E$23,MIN(INT(($A49-1)/4)+1,16))+IF(OR(MOD($A49-1,4)=0,MOD($A49-1,4)=3),-1,1)*(INDEX($F$8:$F$23,MIN(INT(($A49-1)/4)+1,16))/2-(CROQUIS_DATOS!$C$1530+CROQUIS_DATOS!$C$1532+IF(OR(INT(($A49-1)/4)+1=1,INT(($A49-1)/4)+1=CROQUIS_DATOS!$C$1525),CROQUIS_DATOS!$C$1534,CROQUIS_DATOS!$C$1531)/2))))*CROQUIS_DATOS!$C$1569),-1000),-1000)</f>
        <v>-1000</v>
      </c>
      <c r="GG49">
        <f>IF(AND(CROQUIS_DATOS!$C$1472=1,1),IF(INT(($A49-1)/4)+1&lt;=CROQUIS_DATOS!$C$1525,(CROQUIS_DATOS!$C$1572+((CROQUIS_DATOS!$C$1477/2+IF(MOD($A49-1,4)&lt;2,-1,1)*(CROQUIS_DATOS!$C$1527/2-(CROQUIS_DATOS!$C$1530+CROQUIS_DATOS!$C$1532+IF(OR(INT(($A49-1)/4)+1=1,INT(($A49-1)/4)+1=CROQUIS_DATOS!$C$1525),CROQUIS_DATOS!$C$1534,CROQUIS_DATOS!$C$1531)/2))))*CROQUIS_DATOS!$C$1569*CROQUIS_DATOS!$C$1570),-1000),-1000)</f>
        <v>-1000</v>
      </c>
    </row>
    <row r="50">
      <c r="A50" t="n">
        <v>43</v>
      </c>
      <c r="J50">
        <f>IF(AND(CROQUIS_DATOS!$C$1472=1,1),(CROQUIS_DATOS!$C$1563+(CHOOSE(MIN(MAX(IF(INT(($A50-1)/4)+1&gt;CROQUIS_DATOS!$C$1525,4,MOD($A50-1,4)+1),1),4),(INDEX($E$8:$E$23,MIN(INT(($A50-1)/4)+1,CROQUIS_DATOS!$C$1525))-INDEX($F$8:$F$23,MIN(INT(($A50-1)/4)+1,CROQUIS_DATOS!$C$1525))/2),(INDEX($E$8:$E$23,MIN(INT(($A50-1)/4)+1,CROQUIS_DATOS!$C$1525))-INDEX($F$8:$F$23,MIN(INT(($A50-1)/4)+1,CROQUIS_DATOS!$C$1525))/2),(INDEX($E$8:$E$23,MIN(INT(($A50-1)/4)+1,CROQUIS_DATOS!$C$1525))+INDEX($F$8:$F$23,MIN(INT(($A50-1)/4)+1,CROQUIS_DATOS!$C$1525))/2),(INDEX($E$8:$E$23,MIN(INT(($A50-1)/4)+1,CROQUIS_DATOS!$C$1525))+INDEX($F$8:$F$23,MIN(INT(($A50-1)/4)+1,CROQUIS_DATOS!$C$1525))/2)))*CROQUIS_DATOS!$C$1562),-1000)</f>
        <v>84.9137931034483</v>
      </c>
      <c r="K50">
        <f>IF(AND(CROQUIS_DATOS!$C$1472=1,1),(CROQUIS_DATOS!$C$1564+(CHOOSE(MIN(MAX(IF(INT(($A50-1)/4)+1&gt;CROQUIS_DATOS!$C$1525,4,MOD($A50-1,4)+1),1),4),0,CROQUIS_DATOS!$C$1476,CROQUIS_DATOS!$C$1476,0))*CROQUIS_DATOS!$C$1561*CROQUIS_DATOS!$C$1562),-1000)</f>
        <v>5.29310344827586</v>
      </c>
      <c r="L50">
        <f>IF(AND(CROQUIS_DATOS!$C$1472=1,1),(CROQUIS_DATOS!$C$1563+(CHOOSE(MIN(MAX(IF(INT(($A50-1)/4)+1&gt;CROQUIS_DATOS!$C$1525,4,MOD($A50-1,4)+1),1),4),((INDEX($E$8:$E$23,MIN(INT(($A50-1)/4)+1,CROQUIS_DATOS!$C$1525))-INDEX($F$8:$F$23,MIN(INT(($A50-1)/4)+1,CROQUIS_DATOS!$C$1525))/2)+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,((INDEX($E$8:$E$23,MIN(INT(($A50-1)/4)+1,CROQUIS_DATOS!$C$1525))-INDEX($F$8:$F$23,MIN(INT(($A50-1)/4)+1,CROQUIS_DATOS!$C$1525))/2)+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,((INDEX($E$8:$E$23,MIN(INT(($A50-1)/4)+1,CROQUIS_DATOS!$C$1525))+INDEX($F$8:$F$23,MIN(INT(($A50-1)/4)+1,CROQUIS_DATOS!$C$1525))/2)-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,((INDEX($E$8:$E$23,MIN(INT(($A50-1)/4)+1,CROQUIS_DATOS!$C$1525))+INDEX($F$8:$F$23,MIN(INT(($A50-1)/4)+1,CROQUIS_DATOS!$C$1525))/2)-MIN((CROQUIS_DATOS!$C$1530+CROQUIS_DATOS!$C$1532+IF(OR(MIN(INT(($A50-1)/4)+1,CROQUIS_DATOS!$C$1525)=1,MIN(INT(($A50-1)/4)+1,CROQUIS_DATOS!$C$1525)=CROQUIS_DATOS!$C$1525),CROQUIS_DATOS!$C$1534,CROQUIS_DATOS!$C$1531)/2),INDEX($F$8:$F$23,MIN(INT(($A50-1)/4)+1,CROQUIS_DATOS!$C$1525))/2-0.5))))*CROQUIS_DATOS!$C$1562),-1000)</f>
        <v>84.4792560344828</v>
      </c>
      <c r="M50">
        <f>IF(AND(CROQUIS_DATOS!$C$1472=1,1),(CROQUIS_DATOS!$C$1564+(CHOOSE(MIN(MAX(IF(INT(($A50-1)/4)+1&gt;CROQUIS_DATOS!$C$1525,4,MOD($A50-1,4)+1),1),4),CROQUIS_DATOS!$C$1543,INDEX($I$8:$I$23,MIN(INT(($A50-1)/4)+1,CROQUIS_DATOS!$C$1525)),INDEX($I$8:$I$23,MIN(INT(($A50-1)/4)+1,CROQUIS_DATOS!$C$1525)),CROQUIS_DATOS!$C$1543))*CROQUIS_DATOS!$C$1561*CROQUIS_DATOS!$C$1562),-1000)</f>
        <v>42.5654629310345</v>
      </c>
      <c r="N50">
        <f>IF(AND(CROQUIS_DATOS!$C$1472=1,1),(CROQUIS_DATOS!$C$1563+(IF(IF(IF(INT(($A50-1)/70)+1&gt;CROQUIS_DATOS!$C$1525,70,MOD($A50-1,70)+1)=1,0,IF(IF(INT(($A50-1)/70)+1&gt;CROQUIS_DATOS!$C$1525,70,MOD($A50-1,70)+1)&gt;2*CROQUIS_DATOS!$C$1541+1,IF(MOD(CROQUIS_DATOS!$C$1541,2)=1,1,0),IF(MOD(MIN(INT((IF(INT(($A50-1)/70)+1&gt;CROQUIS_DATOS!$C$1525,70,MOD($A50-1,70)+1)-2)/2)+1,CROQUIS_DATOS!$C$1541),2)=1,IF(MOD(IF(INT(($A50-1)/70)+1&gt;CROQUIS_DATOS!$C$1525,70,MOD($A50-1,70)+1)-2,2)=0,0,1),IF(MOD(IF(INT(($A50-1)/70)+1&gt;CROQUIS_DATOS!$C$1525,70,MOD($A50-1,70)+1)-2,2)=0,1,0))))=0,(INDEX($E$8:$E$23,MIN(INT(($A50-1)/70)+1,CROQUIS_DATOS!$C$1525))-INDEX($F$8:$F$23,MIN(INT(($A50-1)/70)+1,CROQUIS_DATOS!$C$1525))/2),(INDEX($E$8:$E$23,MIN(INT(($A50-1)/70)+1,CROQUIS_DATOS!$C$1525))+INDEX($F$8:$F$23,MIN(INT(($A50-1)/70)+1,CROQUIS_DATOS!$C$1525))/2)))*CROQUIS_DATOS!$C$1562),-1000)</f>
        <v>15.0862068965517</v>
      </c>
      <c r="O50">
        <f>IF(AND(CROQUIS_DATOS!$C$1472=1,1),(CROQUIS_DATOS!$C$1564+(IF(OR(IF(INT(($A50-1)/70)+1&gt;CROQUIS_DATOS!$C$1525,70,MOD($A50-1,70)+1)=1,IF(INT(($A50-1)/70)+1&gt;CROQUIS_DATOS!$C$1525,70,MOD($A50-1,70)+1)&gt;2*CROQUIS_DATOS!$C$1541+1),CROQUIS_DATOS!$C$1476,INDEX($H$8:$H$41,MIN(INT((IF(INT(($A50-1)/70)+1&gt;CROQUIS_DATOS!$C$1525,70,MOD($A50-1,70)+1)-2)/2)+1,CROQUIS_DATOS!$C$1541))))*CROQUIS_DATOS!$C$1561*CROQUIS_DATOS!$C$1562),-1000)</f>
        <v>40.2068965517241</v>
      </c>
      <c r="P50">
        <f>IF(AND(CROQUIS_DATOS!$C$1472=1,CROQUIS_DATOS!$C$1555=1),(CROQUIS_DATOS!$C$1563+(IF(IF(OR(MOD($A50-1,62)+1=1,IF(CHOOSE(MIN(MAX(MIN(INT(($A50-1)/62)+1,5),1),5),CROQUIS_DATOS!$C$1501,CROQUIS_DATOS!$C$1505,CROQUIS_DATOS!$C$1509,CROQUIS_DATOS!$C$1513,CROQUIS_DATOS!$C$1517)=1,CROQUIS_DATOS!$C$1557,0)=0),0,IF(MOD($A50-1,62)+1&gt;2*IF(CHOOSE(MIN(MAX(MIN(INT(($A50-1)/62)+1,5),1),5),CROQUIS_DATOS!$C$1501,CROQUIS_DATOS!$C$1505,CROQUIS_DATOS!$C$1509,CROQUIS_DATOS!$C$1513,CROQUIS_DATOS!$C$1517)=1,CROQUIS_DATOS!$C$1557,0)+1,IF(MOD(IF(CHOOSE(MIN(MAX(MIN(INT(($A50-1)/62)+1,5),1),5),CROQUIS_DATOS!$C$1501,CROQUIS_DATOS!$C$1505,CROQUIS_DATOS!$C$1509,CROQUIS_DATOS!$C$1513,CROQUIS_DATOS!$C$1517)=1,CROQUIS_DATOS!$C$1557,0),2)=1,1,0),IF(MOD(MIN(INT((MOD($A50-1,62)+1-2)/2)+1,MAX(IF(CHOOSE(MIN(MAX(MIN(INT(($A50-1)/62)+1,5),1),5),CROQUIS_DATOS!$C$1501,CROQUIS_DATOS!$C$1505,CROQUIS_DATOS!$C$1509,CROQUIS_DATOS!$C$1513,CROQUIS_DATOS!$C$1517)=1,CROQUIS_DATOS!$C$1557,0),1)),2)=1,IF(MOD(MOD($A50-1,62)+1-2,2)=0,0,1),IF(MOD(MOD($A50-1,62)+1-2,2)=0,1,0))))=0,(CHOOSE(MIN(MAX(MIN(INT(($A50-1)/62)+1,5),1),5),CROQUIS_DATOS!$C$1499,CROQUIS_DATOS!$C$1503,CROQUIS_DATOS!$C$1507,CROQUIS_DATOS!$C$1511,CROQUIS_DATOS!$C$1515)+IF(CHOOSE(MIN(MAX(MIN(INT(($A50-1)/62)+1,5),1),5),CROQUIS_DATOS!$C$1501,CROQUIS_DATOS!$C$1505,CROQUIS_DATOS!$C$1509,CROQUIS_DATOS!$C$1513,CROQUIS_DATOS!$C$1517)=1,CROQUIS_DATOS!$C$1526,0)),(CHOOSE(MIN(MAX(MIN(INT(($A50-1)/62)+1,5),1),5),CROQUIS_DATOS!$C$1499,CROQUIS_DATOS!$C$1503,CROQUIS_DATOS!$C$1507,CROQUIS_DATOS!$C$1511,CROQUIS_DATOS!$C$1515)+CHOOSE(MIN(MAX(MIN(INT(($A50-1)/62)+1,5),1),5),CROQUIS_DATOS!$C$1500,CROQUIS_DATOS!$C$1504,CROQUIS_DATOS!$C$1508,CROQUIS_DATOS!$C$1512,CROQUIS_DATOS!$C$1516)-IF(CHOOSE(MIN(MAX(MIN(INT(($A50-1)/62)+1,5),1),5),CROQUIS_DATOS!$C$1501,CROQUIS_DATOS!$C$1505,CROQUIS_DATOS!$C$1509,CROQUIS_DATOS!$C$1513,CROQUIS_DATOS!$C$1517)=1,CROQUIS_DATOS!$C$1526,0))))*CROQUIS_DATOS!$C$1562),-1000)</f>
        <v>-1000</v>
      </c>
      <c r="Q50">
        <f>IF(AND(CROQUIS_DATOS!$C$1472=1,CROQUIS_DATOS!$C$1555=1),(CROQUIS_DATOS!$C$1564+(IF(OR(OR(MOD($A50-1,62)+1=1,IF(CHOOSE(MIN(MAX(MIN(INT(($A50-1)/62)+1,5),1),5),CROQUIS_DATOS!$C$1501,CROQUIS_DATOS!$C$1505,CROQUIS_DATOS!$C$1509,CROQUIS_DATOS!$C$1513,CROQUIS_DATOS!$C$1517)=1,CROQUIS_DATOS!$C$1557,0)=0),MOD($A50-1,62)+1&gt;2*IF(CHOOSE(MIN(MAX(MIN(INT(($A50-1)/62)+1,5),1),5),CROQUIS_DATOS!$C$1501,CROQUIS_DATOS!$C$1505,CROQUIS_DATOS!$C$1509,CROQUIS_DATOS!$C$1513,CROQUIS_DATOS!$C$1517)=1,CROQUIS_DATOS!$C$1557,0)+1),CROQUIS_DATOS!$C$1476,MIN(INT((MOD($A50-1,62)+1-2)/2)+1,MAX(IF(CHOOSE(MIN(MAX(MIN(INT(($A50-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0">
        <f>IF(AND(CROQUIS_DATOS!$C$1472=1,1),(CROQUIS_DATOS!$C$1563+(MIN(INT(($A50-1)/2)+1,CROQUIS_DATOS!$C$1558)*CROQUIS_DATOS!$C$1559)*CROQUIS_DATOS!$C$1562),-1000)</f>
        <v>74.1710875331565</v>
      </c>
      <c r="U50">
        <f>IF(AND(CROQUIS_DATOS!$C$1472=1,1),(CROQUIS_DATOS!$C$1564+(IF(INT(($A50-1)/2)+1&gt;CROQUIS_DATOS!$C$1558,IF(MOD(CROQUIS_DATOS!$C$1558,2)=1,CROQUIS_DATOS!$C$1476+CROQUIS_DATOS!$C$1528,CROQUIS_DATOS!$C$1476),IF(IF(MOD(MIN(INT(($A50-1)/2)+1,CROQUIS_DATOS!$C$1558),2)=1,MOD($A50-1,2),1-MOD($A50-1,2))=1,CROQUIS_DATOS!$C$1476+CROQUIS_DATOS!$C$1528,CROQUIS_DATOS!$C$1476)))*CROQUIS_DATOS!$C$1561*CROQUIS_DATOS!$C$1562),-1000)</f>
        <v>43</v>
      </c>
      <c r="BZ50">
        <f>IF(AND(CROQUIS_DATOS!$C$1472=1,CROQUIS_DATOS!$C$1500&gt;0,((CROQUIS_DATOS!$C$1499+CROQUIS_DATOS!$C$1500))-(CROQUIS_DATOS!$C$1499)&gt;0.5,(CROQUIS_DATOS!$C$1476)-(0)&gt;0.5),(CROQUIS_DATOS!$C$1566+(IF(IF(MOD(MIN(INT(($A50-1)/2)+1,MAX(1,INT(((((CROQUIS_DATOS!$C$1499+CROQUIS_DATOS!$C$1500))-(CROQUIS_DATOS!$C$1499))+((CROQUIS_DATOS!$C$1476)*CROQUIS_DATOS!$C$1561-(0)*CROQUIS_DATOS!$C$1561))/CROQUIS_DATOS!$C$1568-0.000001))),2)=1,IF(INT(($A50-1)/2)+1&gt;MAX(1,INT(((((CROQUIS_DATOS!$C$1499+CROQUIS_DATOS!$C$1500))-(CROQUIS_DATOS!$C$1499))+((CROQUIS_DATOS!$C$1476)*CROQUIS_DATOS!$C$1561-(0)*CROQUIS_DATOS!$C$1561))/CROQUIS_DATOS!$C$1568-0.000001)),1,MOD($A50-1,2)),1-IF(INT(($A50-1)/2)+1&gt;MAX(1,INT(((((CROQUIS_DATOS!$C$1499+CROQUIS_DATOS!$C$1500))-(CROQUIS_DATOS!$C$1499))+((CROQUIS_DATOS!$C$1476)*CROQUIS_DATOS!$C$1561-(0)*CROQUIS_DATOS!$C$1561))/CROQUIS_DATOS!$C$1568-0.000001)),1,MOD($A50-1,2)))=1,MIN((CROQUIS_DATOS!$C$1476)*CROQUIS_DATOS!$C$1561,((CROQUIS_DATOS!$C$1499+CROQUIS_DATOS!$C$1500)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0">
        <f>IF(AND(CROQUIS_DATOS!$C$1472=1,CROQUIS_DATOS!$C$1500&gt;0,((CROQUIS_DATOS!$C$1499+CROQUIS_DATOS!$C$1500))-(CROQUIS_DATOS!$C$1499)&gt;0.5,(CROQUIS_DATOS!$C$1476)-(0)&gt;0.5),(CROQUIS_DATOS!$C$1567+(IF(IF(MOD(MIN(INT(($A50-1)/2)+1,MAX(1,INT(((((CROQUIS_DATOS!$C$1499+CROQUIS_DATOS!$C$1500))-(CROQUIS_DATOS!$C$1499))+((CROQUIS_DATOS!$C$1476)*CROQUIS_DATOS!$C$1561-(0)*CROQUIS_DATOS!$C$1561))/CROQUIS_DATOS!$C$1568-0.000001))),2)=1,IF(INT(($A50-1)/2)+1&gt;MAX(1,INT(((((CROQUIS_DATOS!$C$1499+CROQUIS_DATOS!$C$1500))-(CROQUIS_DATOS!$C$1499))+((CROQUIS_DATOS!$C$1476)*CROQUIS_DATOS!$C$1561-(0)*CROQUIS_DATOS!$C$1561))/CROQUIS_DATOS!$C$1568-0.000001)),1,MOD($A50-1,2)),1-IF(INT(($A50-1)/2)+1&gt;MAX(1,INT(((((CROQUIS_DATOS!$C$1499+CROQUIS_DATOS!$C$1500))-(CROQUIS_DATOS!$C$1499))+((CROQUIS_DATOS!$C$1476)*CROQUIS_DATOS!$C$1561-(0)*CROQUIS_DATOS!$C$1561))/CROQUIS_DATOS!$C$1568-0.000001)),1,MOD($A50-1,2)))=1,MIN((CROQUIS_DATOS!$C$1476)*CROQUIS_DATOS!$C$1561,((CROQUIS_DATOS!$C$1499+CROQUIS_DATOS!$C$1500)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0">
        <f>IF(AND(CROQUIS_DATOS!$C$1472=1,CROQUIS_DATOS!$C$1504&gt;0,((CROQUIS_DATOS!$C$1503+CROQUIS_DATOS!$C$1504))-(CROQUIS_DATOS!$C$1503)&gt;0.5,(CROQUIS_DATOS!$C$1476)-(0)&gt;0.5),(CROQUIS_DATOS!$C$1566+(IF(IF(MOD(MIN(INT(($A50-1)/2)+1,MAX(1,INT(((((CROQUIS_DATOS!$C$1503+CROQUIS_DATOS!$C$1504))-(CROQUIS_DATOS!$C$1503))+((CROQUIS_DATOS!$C$1476)*CROQUIS_DATOS!$C$1561-(0)*CROQUIS_DATOS!$C$1561))/CROQUIS_DATOS!$C$1568-0.000001))),2)=1,IF(INT(($A50-1)/2)+1&gt;MAX(1,INT(((((CROQUIS_DATOS!$C$1503+CROQUIS_DATOS!$C$1504))-(CROQUIS_DATOS!$C$1503))+((CROQUIS_DATOS!$C$1476)*CROQUIS_DATOS!$C$1561-(0)*CROQUIS_DATOS!$C$1561))/CROQUIS_DATOS!$C$1568-0.000001)),1,MOD($A50-1,2)),1-IF(INT(($A50-1)/2)+1&gt;MAX(1,INT(((((CROQUIS_DATOS!$C$1503+CROQUIS_DATOS!$C$1504))-(CROQUIS_DATOS!$C$1503))+((CROQUIS_DATOS!$C$1476)*CROQUIS_DATOS!$C$1561-(0)*CROQUIS_DATOS!$C$1561))/CROQUIS_DATOS!$C$1568-0.000001)),1,MOD($A50-1,2)))=1,MIN((CROQUIS_DATOS!$C$1476)*CROQUIS_DATOS!$C$1561,((CROQUIS_DATOS!$C$1503+CROQUIS_DATOS!$C$1504)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0">
        <f>IF(AND(CROQUIS_DATOS!$C$1472=1,CROQUIS_DATOS!$C$1504&gt;0,((CROQUIS_DATOS!$C$1503+CROQUIS_DATOS!$C$1504))-(CROQUIS_DATOS!$C$1503)&gt;0.5,(CROQUIS_DATOS!$C$1476)-(0)&gt;0.5),(CROQUIS_DATOS!$C$1567+(IF(IF(MOD(MIN(INT(($A50-1)/2)+1,MAX(1,INT(((((CROQUIS_DATOS!$C$1503+CROQUIS_DATOS!$C$1504))-(CROQUIS_DATOS!$C$1503))+((CROQUIS_DATOS!$C$1476)*CROQUIS_DATOS!$C$1561-(0)*CROQUIS_DATOS!$C$1561))/CROQUIS_DATOS!$C$1568-0.000001))),2)=1,IF(INT(($A50-1)/2)+1&gt;MAX(1,INT(((((CROQUIS_DATOS!$C$1503+CROQUIS_DATOS!$C$1504))-(CROQUIS_DATOS!$C$1503))+((CROQUIS_DATOS!$C$1476)*CROQUIS_DATOS!$C$1561-(0)*CROQUIS_DATOS!$C$1561))/CROQUIS_DATOS!$C$1568-0.000001)),1,MOD($A50-1,2)),1-IF(INT(($A50-1)/2)+1&gt;MAX(1,INT(((((CROQUIS_DATOS!$C$1503+CROQUIS_DATOS!$C$1504))-(CROQUIS_DATOS!$C$1503))+((CROQUIS_DATOS!$C$1476)*CROQUIS_DATOS!$C$1561-(0)*CROQUIS_DATOS!$C$1561))/CROQUIS_DATOS!$C$1568-0.000001)),1,MOD($A50-1,2)))=1,MIN((CROQUIS_DATOS!$C$1476)*CROQUIS_DATOS!$C$1561,((CROQUIS_DATOS!$C$1503+CROQUIS_DATOS!$C$1504)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50-1)/2)+1,MAX(1,INT(((((CROQUIS_DATOS!$C$1503+CROQUIS_DATOS!$C$1504))-(CROQUIS_DATOS!$C$1503))+((CROQUIS_DATOS!$C$1476)*CROQUIS_DATOS!$C$1561-(0)*CROQUIS_DATOS!$C$1561))/CROQUIS_DATOS!$C$1568-0.000001)))*CROQUIS_DATOS!$C$1568))))*CROQUIS_DATOS!$C$1565),-1000)</f>
        <v>14.351724137931</v>
      </c>
      <c r="CD50">
        <f>IF(AND(CROQUIS_DATOS!$C$1472=1,CROQUIS_DATOS!$C$1508&gt;0,((CROQUIS_DATOS!$C$1507+CROQUIS_DATOS!$C$1508))-(CROQUIS_DATOS!$C$1507)&gt;0.5,(CROQUIS_DATOS!$C$1476)-(0)&gt;0.5),(CROQUIS_DATOS!$C$1566+(IF(IF(MOD(MIN(INT(($A50-1)/2)+1,MAX(1,INT(((((CROQUIS_DATOS!$C$1507+CROQUIS_DATOS!$C$1508))-(CROQUIS_DATOS!$C$1507))+((CROQUIS_DATOS!$C$1476)*CROQUIS_DATOS!$C$1561-(0)*CROQUIS_DATOS!$C$1561))/CROQUIS_DATOS!$C$1568-0.000001))),2)=1,IF(INT(($A50-1)/2)+1&gt;MAX(1,INT(((((CROQUIS_DATOS!$C$1507+CROQUIS_DATOS!$C$1508))-(CROQUIS_DATOS!$C$1507))+((CROQUIS_DATOS!$C$1476)*CROQUIS_DATOS!$C$1561-(0)*CROQUIS_DATOS!$C$1561))/CROQUIS_DATOS!$C$1568-0.000001)),1,MOD($A50-1,2)),1-IF(INT(($A50-1)/2)+1&gt;MAX(1,INT(((((CROQUIS_DATOS!$C$1507+CROQUIS_DATOS!$C$1508))-(CROQUIS_DATOS!$C$1507))+((CROQUIS_DATOS!$C$1476)*CROQUIS_DATOS!$C$1561-(0)*CROQUIS_DATOS!$C$1561))/CROQUIS_DATOS!$C$1568-0.000001)),1,MOD($A50-1,2)))=1,MIN((CROQUIS_DATOS!$C$1476)*CROQUIS_DATOS!$C$1561,((CROQUIS_DATOS!$C$1507+CROQUIS_DATOS!$C$1508)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50">
        <f>IF(AND(CROQUIS_DATOS!$C$1472=1,CROQUIS_DATOS!$C$1508&gt;0,((CROQUIS_DATOS!$C$1507+CROQUIS_DATOS!$C$1508))-(CROQUIS_DATOS!$C$1507)&gt;0.5,(CROQUIS_DATOS!$C$1476)-(0)&gt;0.5),(CROQUIS_DATOS!$C$1567+(IF(IF(MOD(MIN(INT(($A50-1)/2)+1,MAX(1,INT(((((CROQUIS_DATOS!$C$1507+CROQUIS_DATOS!$C$1508))-(CROQUIS_DATOS!$C$1507))+((CROQUIS_DATOS!$C$1476)*CROQUIS_DATOS!$C$1561-(0)*CROQUIS_DATOS!$C$1561))/CROQUIS_DATOS!$C$1568-0.000001))),2)=1,IF(INT(($A50-1)/2)+1&gt;MAX(1,INT(((((CROQUIS_DATOS!$C$1507+CROQUIS_DATOS!$C$1508))-(CROQUIS_DATOS!$C$1507))+((CROQUIS_DATOS!$C$1476)*CROQUIS_DATOS!$C$1561-(0)*CROQUIS_DATOS!$C$1561))/CROQUIS_DATOS!$C$1568-0.000001)),1,MOD($A50-1,2)),1-IF(INT(($A50-1)/2)+1&gt;MAX(1,INT(((((CROQUIS_DATOS!$C$1507+CROQUIS_DATOS!$C$1508))-(CROQUIS_DATOS!$C$1507))+((CROQUIS_DATOS!$C$1476)*CROQUIS_DATOS!$C$1561-(0)*CROQUIS_DATOS!$C$1561))/CROQUIS_DATOS!$C$1568-0.000001)),1,MOD($A50-1,2)))=1,MIN((CROQUIS_DATOS!$C$1476)*CROQUIS_DATOS!$C$1561,((CROQUIS_DATOS!$C$1507+CROQUIS_DATOS!$C$1508)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50-1)/2)+1,MAX(1,INT(((((CROQUIS_DATOS!$C$1507+CROQUIS_DATOS!$C$1508))-(CROQUIS_DATOS!$C$1507))+((CROQUIS_DATOS!$C$1476)*CROQUIS_DATOS!$C$1561-(0)*CROQUIS_DATOS!$C$1561))/CROQUIS_DATOS!$C$1568-0.000001)))*CROQUIS_DATOS!$C$1568))))*CROQUIS_DATOS!$C$1565),-1000)</f>
        <v>16.4896551724138</v>
      </c>
      <c r="CF50">
        <f>IF(AND(CROQUIS_DATOS!$C$1472=1,CROQUIS_DATOS!$C$1512&gt;0,((CROQUIS_DATOS!$C$1511+CROQUIS_DATOS!$C$1512))-(CROQUIS_DATOS!$C$1511)&gt;0.5,(CROQUIS_DATOS!$C$1476)-(0)&gt;0.5),(CROQUIS_DATOS!$C$1566+(IF(IF(MOD(MIN(INT(($A50-1)/2)+1,MAX(1,INT(((((CROQUIS_DATOS!$C$1511+CROQUIS_DATOS!$C$1512))-(CROQUIS_DATOS!$C$1511))+((CROQUIS_DATOS!$C$1476)*CROQUIS_DATOS!$C$1561-(0)*CROQUIS_DATOS!$C$1561))/CROQUIS_DATOS!$C$1568-0.000001))),2)=1,IF(INT(($A50-1)/2)+1&gt;MAX(1,INT(((((CROQUIS_DATOS!$C$1511+CROQUIS_DATOS!$C$1512))-(CROQUIS_DATOS!$C$1511))+((CROQUIS_DATOS!$C$1476)*CROQUIS_DATOS!$C$1561-(0)*CROQUIS_DATOS!$C$1561))/CROQUIS_DATOS!$C$1568-0.000001)),1,MOD($A50-1,2)),1-IF(INT(($A50-1)/2)+1&gt;MAX(1,INT(((((CROQUIS_DATOS!$C$1511+CROQUIS_DATOS!$C$1512))-(CROQUIS_DATOS!$C$1511))+((CROQUIS_DATOS!$C$1476)*CROQUIS_DATOS!$C$1561-(0)*CROQUIS_DATOS!$C$1561))/CROQUIS_DATOS!$C$1568-0.000001)),1,MOD($A50-1,2)))=1,MIN((CROQUIS_DATOS!$C$1476)*CROQUIS_DATOS!$C$1561,((CROQUIS_DATOS!$C$1511+CROQUIS_DATOS!$C$1512)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0">
        <f>IF(AND(CROQUIS_DATOS!$C$1472=1,CROQUIS_DATOS!$C$1512&gt;0,((CROQUIS_DATOS!$C$1511+CROQUIS_DATOS!$C$1512))-(CROQUIS_DATOS!$C$1511)&gt;0.5,(CROQUIS_DATOS!$C$1476)-(0)&gt;0.5),(CROQUIS_DATOS!$C$1567+(IF(IF(MOD(MIN(INT(($A50-1)/2)+1,MAX(1,INT(((((CROQUIS_DATOS!$C$1511+CROQUIS_DATOS!$C$1512))-(CROQUIS_DATOS!$C$1511))+((CROQUIS_DATOS!$C$1476)*CROQUIS_DATOS!$C$1561-(0)*CROQUIS_DATOS!$C$1561))/CROQUIS_DATOS!$C$1568-0.000001))),2)=1,IF(INT(($A50-1)/2)+1&gt;MAX(1,INT(((((CROQUIS_DATOS!$C$1511+CROQUIS_DATOS!$C$1512))-(CROQUIS_DATOS!$C$1511))+((CROQUIS_DATOS!$C$1476)*CROQUIS_DATOS!$C$1561-(0)*CROQUIS_DATOS!$C$1561))/CROQUIS_DATOS!$C$1568-0.000001)),1,MOD($A50-1,2)),1-IF(INT(($A50-1)/2)+1&gt;MAX(1,INT(((((CROQUIS_DATOS!$C$1511+CROQUIS_DATOS!$C$1512))-(CROQUIS_DATOS!$C$1511))+((CROQUIS_DATOS!$C$1476)*CROQUIS_DATOS!$C$1561-(0)*CROQUIS_DATOS!$C$1561))/CROQUIS_DATOS!$C$1568-0.000001)),1,MOD($A50-1,2)))=1,MIN((CROQUIS_DATOS!$C$1476)*CROQUIS_DATOS!$C$1561,((CROQUIS_DATOS!$C$1511+CROQUIS_DATOS!$C$1512)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0">
        <f>IF(AND(CROQUIS_DATOS!$C$1472=1,CROQUIS_DATOS!$C$1516&gt;0,((CROQUIS_DATOS!$C$1515+CROQUIS_DATOS!$C$1516))-(CROQUIS_DATOS!$C$1515)&gt;0.5,(CROQUIS_DATOS!$C$1476)-(0)&gt;0.5),(CROQUIS_DATOS!$C$1566+(IF(IF(MOD(MIN(INT(($A50-1)/2)+1,MAX(1,INT(((((CROQUIS_DATOS!$C$1515+CROQUIS_DATOS!$C$1516))-(CROQUIS_DATOS!$C$1515))+((CROQUIS_DATOS!$C$1476)*CROQUIS_DATOS!$C$1561-(0)*CROQUIS_DATOS!$C$1561))/CROQUIS_DATOS!$C$1568-0.000001))),2)=1,IF(INT(($A50-1)/2)+1&gt;MAX(1,INT(((((CROQUIS_DATOS!$C$1515+CROQUIS_DATOS!$C$1516))-(CROQUIS_DATOS!$C$1515))+((CROQUIS_DATOS!$C$1476)*CROQUIS_DATOS!$C$1561-(0)*CROQUIS_DATOS!$C$1561))/CROQUIS_DATOS!$C$1568-0.000001)),1,MOD($A50-1,2)),1-IF(INT(($A50-1)/2)+1&gt;MAX(1,INT(((((CROQUIS_DATOS!$C$1515+CROQUIS_DATOS!$C$1516))-(CROQUIS_DATOS!$C$1515))+((CROQUIS_DATOS!$C$1476)*CROQUIS_DATOS!$C$1561-(0)*CROQUIS_DATOS!$C$1561))/CROQUIS_DATOS!$C$1568-0.000001)),1,MOD($A50-1,2)))=1,MIN((CROQUIS_DATOS!$C$1476)*CROQUIS_DATOS!$C$1561,((CROQUIS_DATOS!$C$1515+CROQUIS_DATOS!$C$1516)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0">
        <f>IF(AND(CROQUIS_DATOS!$C$1472=1,CROQUIS_DATOS!$C$1516&gt;0,((CROQUIS_DATOS!$C$1515+CROQUIS_DATOS!$C$1516))-(CROQUIS_DATOS!$C$1515)&gt;0.5,(CROQUIS_DATOS!$C$1476)-(0)&gt;0.5),(CROQUIS_DATOS!$C$1567+(IF(IF(MOD(MIN(INT(($A50-1)/2)+1,MAX(1,INT(((((CROQUIS_DATOS!$C$1515+CROQUIS_DATOS!$C$1516))-(CROQUIS_DATOS!$C$1515))+((CROQUIS_DATOS!$C$1476)*CROQUIS_DATOS!$C$1561-(0)*CROQUIS_DATOS!$C$1561))/CROQUIS_DATOS!$C$1568-0.000001))),2)=1,IF(INT(($A50-1)/2)+1&gt;MAX(1,INT(((((CROQUIS_DATOS!$C$1515+CROQUIS_DATOS!$C$1516))-(CROQUIS_DATOS!$C$1515))+((CROQUIS_DATOS!$C$1476)*CROQUIS_DATOS!$C$1561-(0)*CROQUIS_DATOS!$C$1561))/CROQUIS_DATOS!$C$1568-0.000001)),1,MOD($A50-1,2)),1-IF(INT(($A50-1)/2)+1&gt;MAX(1,INT(((((CROQUIS_DATOS!$C$1515+CROQUIS_DATOS!$C$1516))-(CROQUIS_DATOS!$C$1515))+((CROQUIS_DATOS!$C$1476)*CROQUIS_DATOS!$C$1561-(0)*CROQUIS_DATOS!$C$1561))/CROQUIS_DATOS!$C$1568-0.000001)),1,MOD($A50-1,2)))=1,MIN((CROQUIS_DATOS!$C$1476)*CROQUIS_DATOS!$C$1561,((CROQUIS_DATOS!$C$1515+CROQUIS_DATOS!$C$1516)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0">
        <f>IF(AND(CROQUIS_DATOS!$C$1472=1,CROQUIS_DATOS!$C$1478&gt;=1,((CROQUIS_DATOS!$C$1479+CROQUIS_DATOS!$C$1480))-(CROQUIS_DATOS!$C$1479)&gt;0.5,(CROQUIS_DATOS!$C$1481)-(0)&gt;0.5),(CROQUIS_DATOS!$C$1566+(IF(IF(MOD(MIN(INT(($A50-1)/2)+1,MAX(1,INT(((((CROQUIS_DATOS!$C$1479+CROQUIS_DATOS!$C$1480))-(CROQUIS_DATOS!$C$1479))+((CROQUIS_DATOS!$C$1481)*CROQUIS_DATOS!$C$1561-(0)*CROQUIS_DATOS!$C$1561))/CROQUIS_DATOS!$C$1568-0.000001))),2)=1,IF(INT(($A50-1)/2)+1&gt;MAX(1,INT(((((CROQUIS_DATOS!$C$1479+CROQUIS_DATOS!$C$1480))-(CROQUIS_DATOS!$C$1479))+((CROQUIS_DATOS!$C$1481)*CROQUIS_DATOS!$C$1561-(0)*CROQUIS_DATOS!$C$1561))/CROQUIS_DATOS!$C$1568-0.000001)),1,MOD($A50-1,2)),1-IF(INT(($A50-1)/2)+1&gt;MAX(1,INT(((((CROQUIS_DATOS!$C$1479+CROQUIS_DATOS!$C$1480))-(CROQUIS_DATOS!$C$1479))+((CROQUIS_DATOS!$C$1481)*CROQUIS_DATOS!$C$1561-(0)*CROQUIS_DATOS!$C$1561))/CROQUIS_DATOS!$C$1568-0.000001)),1,MOD($A50-1,2)))=1,MIN((CROQUIS_DATOS!$C$1481)*CROQUIS_DATOS!$C$1561,((CROQUIS_DATOS!$C$1479+CROQUIS_DATOS!$C$1480)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0">
        <f>IF(AND(CROQUIS_DATOS!$C$1472=1,CROQUIS_DATOS!$C$1478&gt;=1,((CROQUIS_DATOS!$C$1479+CROQUIS_DATOS!$C$1480))-(CROQUIS_DATOS!$C$1479)&gt;0.5,(CROQUIS_DATOS!$C$1481)-(0)&gt;0.5),(CROQUIS_DATOS!$C$1567+(IF(IF(MOD(MIN(INT(($A50-1)/2)+1,MAX(1,INT(((((CROQUIS_DATOS!$C$1479+CROQUIS_DATOS!$C$1480))-(CROQUIS_DATOS!$C$1479))+((CROQUIS_DATOS!$C$1481)*CROQUIS_DATOS!$C$1561-(0)*CROQUIS_DATOS!$C$1561))/CROQUIS_DATOS!$C$1568-0.000001))),2)=1,IF(INT(($A50-1)/2)+1&gt;MAX(1,INT(((((CROQUIS_DATOS!$C$1479+CROQUIS_DATOS!$C$1480))-(CROQUIS_DATOS!$C$1479))+((CROQUIS_DATOS!$C$1481)*CROQUIS_DATOS!$C$1561-(0)*CROQUIS_DATOS!$C$1561))/CROQUIS_DATOS!$C$1568-0.000001)),1,MOD($A50-1,2)),1-IF(INT(($A50-1)/2)+1&gt;MAX(1,INT(((((CROQUIS_DATOS!$C$1479+CROQUIS_DATOS!$C$1480))-(CROQUIS_DATOS!$C$1479))+((CROQUIS_DATOS!$C$1481)*CROQUIS_DATOS!$C$1561-(0)*CROQUIS_DATOS!$C$1561))/CROQUIS_DATOS!$C$1568-0.000001)),1,MOD($A50-1,2)))=1,MIN((CROQUIS_DATOS!$C$1481)*CROQUIS_DATOS!$C$1561,((CROQUIS_DATOS!$C$1479+CROQUIS_DATOS!$C$1480)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0">
        <f>IF(AND(CROQUIS_DATOS!$C$1472=1,CROQUIS_DATOS!$C$1478&gt;=1,((CROQUIS_DATOS!$C$1479+CROQUIS_DATOS!$C$1480))-(CROQUIS_DATOS!$C$1479)&gt;0.5,(CROQUIS_DATOS!$C$1476)-((CROQUIS_DATOS!$C$1481+CROQUIS_DATOS!$C$1482))&gt;0.5),(CROQUIS_DATOS!$C$1566+(IF(IF(MOD(MIN(INT(($A50-1)/2)+1,MAX(1,INT(((((CROQUIS_DATOS!$C$1479+CROQUIS_DATOS!$C$1480))-(CROQUIS_DATOS!$C$1479))+((CROQUIS_DATOS!$C$1476)*CROQUIS_DATOS!$C$1561-((CROQUIS_DATOS!$C$1481+CROQUIS_DATOS!$C$1482))*CROQUIS_DATOS!$C$1561))/CROQUIS_DATOS!$C$1568-0.000001))),2)=1,IF(INT(($A50-1)/2)+1&gt;MAX(1,INT(((((CROQUIS_DATOS!$C$1479+CROQUIS_DATOS!$C$1480))-(CROQUIS_DATOS!$C$1479))+((CROQUIS_DATOS!$C$1476)*CROQUIS_DATOS!$C$1561-((CROQUIS_DATOS!$C$1481+CROQUIS_DATOS!$C$1482))*CROQUIS_DATOS!$C$1561))/CROQUIS_DATOS!$C$1568-0.000001)),1,MOD($A50-1,2)),1-IF(INT(($A50-1)/2)+1&gt;MAX(1,INT(((((CROQUIS_DATOS!$C$1479+CROQUIS_DATOS!$C$1480))-(CROQUIS_DATOS!$C$1479))+((CROQUIS_DATOS!$C$1476)*CROQUIS_DATOS!$C$1561-((CROQUIS_DATOS!$C$1481+CROQUIS_DATOS!$C$1482))*CROQUIS_DATOS!$C$1561))/CROQUIS_DATOS!$C$1568-0.000001)),1,MOD($A50-1,2)))=1,MIN((CROQUIS_DATOS!$C$1476)*CROQUIS_DATOS!$C$1561,((CROQUIS_DATOS!$C$1479+CROQUIS_DATOS!$C$1480)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0">
        <f>IF(AND(CROQUIS_DATOS!$C$1472=1,CROQUIS_DATOS!$C$1478&gt;=1,((CROQUIS_DATOS!$C$1479+CROQUIS_DATOS!$C$1480))-(CROQUIS_DATOS!$C$1479)&gt;0.5,(CROQUIS_DATOS!$C$1476)-((CROQUIS_DATOS!$C$1481+CROQUIS_DATOS!$C$1482))&gt;0.5),(CROQUIS_DATOS!$C$1567+(IF(IF(MOD(MIN(INT(($A50-1)/2)+1,MAX(1,INT(((((CROQUIS_DATOS!$C$1479+CROQUIS_DATOS!$C$1480))-(CROQUIS_DATOS!$C$1479))+((CROQUIS_DATOS!$C$1476)*CROQUIS_DATOS!$C$1561-((CROQUIS_DATOS!$C$1481+CROQUIS_DATOS!$C$1482))*CROQUIS_DATOS!$C$1561))/CROQUIS_DATOS!$C$1568-0.000001))),2)=1,IF(INT(($A50-1)/2)+1&gt;MAX(1,INT(((((CROQUIS_DATOS!$C$1479+CROQUIS_DATOS!$C$1480))-(CROQUIS_DATOS!$C$1479))+((CROQUIS_DATOS!$C$1476)*CROQUIS_DATOS!$C$1561-((CROQUIS_DATOS!$C$1481+CROQUIS_DATOS!$C$1482))*CROQUIS_DATOS!$C$1561))/CROQUIS_DATOS!$C$1568-0.000001)),1,MOD($A50-1,2)),1-IF(INT(($A50-1)/2)+1&gt;MAX(1,INT(((((CROQUIS_DATOS!$C$1479+CROQUIS_DATOS!$C$1480))-(CROQUIS_DATOS!$C$1479))+((CROQUIS_DATOS!$C$1476)*CROQUIS_DATOS!$C$1561-((CROQUIS_DATOS!$C$1481+CROQUIS_DATOS!$C$1482))*CROQUIS_DATOS!$C$1561))/CROQUIS_DATOS!$C$1568-0.000001)),1,MOD($A50-1,2)))=1,MIN((CROQUIS_DATOS!$C$1476)*CROQUIS_DATOS!$C$1561,((CROQUIS_DATOS!$C$1479+CROQUIS_DATOS!$C$1480)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0">
        <f>IF(AND(CROQUIS_DATOS!$C$1472=1,CROQUIS_DATOS!$C$1478&gt;=2,((CROQUIS_DATOS!$C$1484+CROQUIS_DATOS!$C$1485))-(CROQUIS_DATOS!$C$1484)&gt;0.5,(CROQUIS_DATOS!$C$1486)-(0)&gt;0.5),(CROQUIS_DATOS!$C$1566+(IF(IF(MOD(MIN(INT(($A50-1)/2)+1,MAX(1,INT(((((CROQUIS_DATOS!$C$1484+CROQUIS_DATOS!$C$1485))-(CROQUIS_DATOS!$C$1484))+((CROQUIS_DATOS!$C$1486)*CROQUIS_DATOS!$C$1561-(0)*CROQUIS_DATOS!$C$1561))/CROQUIS_DATOS!$C$1568-0.000001))),2)=1,IF(INT(($A50-1)/2)+1&gt;MAX(1,INT(((((CROQUIS_DATOS!$C$1484+CROQUIS_DATOS!$C$1485))-(CROQUIS_DATOS!$C$1484))+((CROQUIS_DATOS!$C$1486)*CROQUIS_DATOS!$C$1561-(0)*CROQUIS_DATOS!$C$1561))/CROQUIS_DATOS!$C$1568-0.000001)),1,MOD($A50-1,2)),1-IF(INT(($A50-1)/2)+1&gt;MAX(1,INT(((((CROQUIS_DATOS!$C$1484+CROQUIS_DATOS!$C$1485))-(CROQUIS_DATOS!$C$1484))+((CROQUIS_DATOS!$C$1486)*CROQUIS_DATOS!$C$1561-(0)*CROQUIS_DATOS!$C$1561))/CROQUIS_DATOS!$C$1568-0.000001)),1,MOD($A50-1,2)))=1,MIN((CROQUIS_DATOS!$C$1486)*CROQUIS_DATOS!$C$1561,((CROQUIS_DATOS!$C$1484+CROQUIS_DATOS!$C$1485)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0">
        <f>IF(AND(CROQUIS_DATOS!$C$1472=1,CROQUIS_DATOS!$C$1478&gt;=2,((CROQUIS_DATOS!$C$1484+CROQUIS_DATOS!$C$1485))-(CROQUIS_DATOS!$C$1484)&gt;0.5,(CROQUIS_DATOS!$C$1486)-(0)&gt;0.5),(CROQUIS_DATOS!$C$1567+(IF(IF(MOD(MIN(INT(($A50-1)/2)+1,MAX(1,INT(((((CROQUIS_DATOS!$C$1484+CROQUIS_DATOS!$C$1485))-(CROQUIS_DATOS!$C$1484))+((CROQUIS_DATOS!$C$1486)*CROQUIS_DATOS!$C$1561-(0)*CROQUIS_DATOS!$C$1561))/CROQUIS_DATOS!$C$1568-0.000001))),2)=1,IF(INT(($A50-1)/2)+1&gt;MAX(1,INT(((((CROQUIS_DATOS!$C$1484+CROQUIS_DATOS!$C$1485))-(CROQUIS_DATOS!$C$1484))+((CROQUIS_DATOS!$C$1486)*CROQUIS_DATOS!$C$1561-(0)*CROQUIS_DATOS!$C$1561))/CROQUIS_DATOS!$C$1568-0.000001)),1,MOD($A50-1,2)),1-IF(INT(($A50-1)/2)+1&gt;MAX(1,INT(((((CROQUIS_DATOS!$C$1484+CROQUIS_DATOS!$C$1485))-(CROQUIS_DATOS!$C$1484))+((CROQUIS_DATOS!$C$1486)*CROQUIS_DATOS!$C$1561-(0)*CROQUIS_DATOS!$C$1561))/CROQUIS_DATOS!$C$1568-0.000001)),1,MOD($A50-1,2)))=1,MIN((CROQUIS_DATOS!$C$1486)*CROQUIS_DATOS!$C$1561,((CROQUIS_DATOS!$C$1484+CROQUIS_DATOS!$C$1485)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0">
        <f>IF(AND(CROQUIS_DATOS!$C$1472=1,CROQUIS_DATOS!$C$1478&gt;=2,((CROQUIS_DATOS!$C$1484+CROQUIS_DATOS!$C$1485))-(CROQUIS_DATOS!$C$1484)&gt;0.5,(CROQUIS_DATOS!$C$1476)-((CROQUIS_DATOS!$C$1486+CROQUIS_DATOS!$C$1487))&gt;0.5),(CROQUIS_DATOS!$C$1566+(IF(IF(MOD(MIN(INT(($A50-1)/2)+1,MAX(1,INT(((((CROQUIS_DATOS!$C$1484+CROQUIS_DATOS!$C$1485))-(CROQUIS_DATOS!$C$1484))+((CROQUIS_DATOS!$C$1476)*CROQUIS_DATOS!$C$1561-((CROQUIS_DATOS!$C$1486+CROQUIS_DATOS!$C$1487))*CROQUIS_DATOS!$C$1561))/CROQUIS_DATOS!$C$1568-0.000001))),2)=1,IF(INT(($A50-1)/2)+1&gt;MAX(1,INT(((((CROQUIS_DATOS!$C$1484+CROQUIS_DATOS!$C$1485))-(CROQUIS_DATOS!$C$1484))+((CROQUIS_DATOS!$C$1476)*CROQUIS_DATOS!$C$1561-((CROQUIS_DATOS!$C$1486+CROQUIS_DATOS!$C$1487))*CROQUIS_DATOS!$C$1561))/CROQUIS_DATOS!$C$1568-0.000001)),1,MOD($A50-1,2)),1-IF(INT(($A50-1)/2)+1&gt;MAX(1,INT(((((CROQUIS_DATOS!$C$1484+CROQUIS_DATOS!$C$1485))-(CROQUIS_DATOS!$C$1484))+((CROQUIS_DATOS!$C$1476)*CROQUIS_DATOS!$C$1561-((CROQUIS_DATOS!$C$1486+CROQUIS_DATOS!$C$1487))*CROQUIS_DATOS!$C$1561))/CROQUIS_DATOS!$C$1568-0.000001)),1,MOD($A50-1,2)))=1,MIN((CROQUIS_DATOS!$C$1476)*CROQUIS_DATOS!$C$1561,((CROQUIS_DATOS!$C$1484+CROQUIS_DATOS!$C$1485)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0">
        <f>IF(AND(CROQUIS_DATOS!$C$1472=1,CROQUIS_DATOS!$C$1478&gt;=2,((CROQUIS_DATOS!$C$1484+CROQUIS_DATOS!$C$1485))-(CROQUIS_DATOS!$C$1484)&gt;0.5,(CROQUIS_DATOS!$C$1476)-((CROQUIS_DATOS!$C$1486+CROQUIS_DATOS!$C$1487))&gt;0.5),(CROQUIS_DATOS!$C$1567+(IF(IF(MOD(MIN(INT(($A50-1)/2)+1,MAX(1,INT(((((CROQUIS_DATOS!$C$1484+CROQUIS_DATOS!$C$1485))-(CROQUIS_DATOS!$C$1484))+((CROQUIS_DATOS!$C$1476)*CROQUIS_DATOS!$C$1561-((CROQUIS_DATOS!$C$1486+CROQUIS_DATOS!$C$1487))*CROQUIS_DATOS!$C$1561))/CROQUIS_DATOS!$C$1568-0.000001))),2)=1,IF(INT(($A50-1)/2)+1&gt;MAX(1,INT(((((CROQUIS_DATOS!$C$1484+CROQUIS_DATOS!$C$1485))-(CROQUIS_DATOS!$C$1484))+((CROQUIS_DATOS!$C$1476)*CROQUIS_DATOS!$C$1561-((CROQUIS_DATOS!$C$1486+CROQUIS_DATOS!$C$1487))*CROQUIS_DATOS!$C$1561))/CROQUIS_DATOS!$C$1568-0.000001)),1,MOD($A50-1,2)),1-IF(INT(($A50-1)/2)+1&gt;MAX(1,INT(((((CROQUIS_DATOS!$C$1484+CROQUIS_DATOS!$C$1485))-(CROQUIS_DATOS!$C$1484))+((CROQUIS_DATOS!$C$1476)*CROQUIS_DATOS!$C$1561-((CROQUIS_DATOS!$C$1486+CROQUIS_DATOS!$C$1487))*CROQUIS_DATOS!$C$1561))/CROQUIS_DATOS!$C$1568-0.000001)),1,MOD($A50-1,2)))=1,MIN((CROQUIS_DATOS!$C$1476)*CROQUIS_DATOS!$C$1561,((CROQUIS_DATOS!$C$1484+CROQUIS_DATOS!$C$1485)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0">
        <f>IF(AND(CROQUIS_DATOS!$C$1472=1,CROQUIS_DATOS!$C$1478&gt;=3,((CROQUIS_DATOS!$C$1489+CROQUIS_DATOS!$C$1490))-(CROQUIS_DATOS!$C$1489)&gt;0.5,(CROQUIS_DATOS!$C$1491)-(0)&gt;0.5),(CROQUIS_DATOS!$C$1566+(IF(IF(MOD(MIN(INT(($A50-1)/2)+1,MAX(1,INT(((((CROQUIS_DATOS!$C$1489+CROQUIS_DATOS!$C$1490))-(CROQUIS_DATOS!$C$1489))+((CROQUIS_DATOS!$C$1491)*CROQUIS_DATOS!$C$1561-(0)*CROQUIS_DATOS!$C$1561))/CROQUIS_DATOS!$C$1568-0.000001))),2)=1,IF(INT(($A50-1)/2)+1&gt;MAX(1,INT(((((CROQUIS_DATOS!$C$1489+CROQUIS_DATOS!$C$1490))-(CROQUIS_DATOS!$C$1489))+((CROQUIS_DATOS!$C$1491)*CROQUIS_DATOS!$C$1561-(0)*CROQUIS_DATOS!$C$1561))/CROQUIS_DATOS!$C$1568-0.000001)),1,MOD($A50-1,2)),1-IF(INT(($A50-1)/2)+1&gt;MAX(1,INT(((((CROQUIS_DATOS!$C$1489+CROQUIS_DATOS!$C$1490))-(CROQUIS_DATOS!$C$1489))+((CROQUIS_DATOS!$C$1491)*CROQUIS_DATOS!$C$1561-(0)*CROQUIS_DATOS!$C$1561))/CROQUIS_DATOS!$C$1568-0.000001)),1,MOD($A50-1,2)))=1,MIN((CROQUIS_DATOS!$C$1491)*CROQUIS_DATOS!$C$1561,((CROQUIS_DATOS!$C$1489+CROQUIS_DATOS!$C$1490)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0">
        <f>IF(AND(CROQUIS_DATOS!$C$1472=1,CROQUIS_DATOS!$C$1478&gt;=3,((CROQUIS_DATOS!$C$1489+CROQUIS_DATOS!$C$1490))-(CROQUIS_DATOS!$C$1489)&gt;0.5,(CROQUIS_DATOS!$C$1491)-(0)&gt;0.5),(CROQUIS_DATOS!$C$1567+(IF(IF(MOD(MIN(INT(($A50-1)/2)+1,MAX(1,INT(((((CROQUIS_DATOS!$C$1489+CROQUIS_DATOS!$C$1490))-(CROQUIS_DATOS!$C$1489))+((CROQUIS_DATOS!$C$1491)*CROQUIS_DATOS!$C$1561-(0)*CROQUIS_DATOS!$C$1561))/CROQUIS_DATOS!$C$1568-0.000001))),2)=1,IF(INT(($A50-1)/2)+1&gt;MAX(1,INT(((((CROQUIS_DATOS!$C$1489+CROQUIS_DATOS!$C$1490))-(CROQUIS_DATOS!$C$1489))+((CROQUIS_DATOS!$C$1491)*CROQUIS_DATOS!$C$1561-(0)*CROQUIS_DATOS!$C$1561))/CROQUIS_DATOS!$C$1568-0.000001)),1,MOD($A50-1,2)),1-IF(INT(($A50-1)/2)+1&gt;MAX(1,INT(((((CROQUIS_DATOS!$C$1489+CROQUIS_DATOS!$C$1490))-(CROQUIS_DATOS!$C$1489))+((CROQUIS_DATOS!$C$1491)*CROQUIS_DATOS!$C$1561-(0)*CROQUIS_DATOS!$C$1561))/CROQUIS_DATOS!$C$1568-0.000001)),1,MOD($A50-1,2)))=1,MIN((CROQUIS_DATOS!$C$1491)*CROQUIS_DATOS!$C$1561,((CROQUIS_DATOS!$C$1489+CROQUIS_DATOS!$C$1490)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0">
        <f>IF(AND(CROQUIS_DATOS!$C$1472=1,CROQUIS_DATOS!$C$1478&gt;=3,((CROQUIS_DATOS!$C$1489+CROQUIS_DATOS!$C$1490))-(CROQUIS_DATOS!$C$1489)&gt;0.5,(CROQUIS_DATOS!$C$1476)-((CROQUIS_DATOS!$C$1491+CROQUIS_DATOS!$C$1492))&gt;0.5),(CROQUIS_DATOS!$C$1566+(IF(IF(MOD(MIN(INT(($A50-1)/2)+1,MAX(1,INT(((((CROQUIS_DATOS!$C$1489+CROQUIS_DATOS!$C$1490))-(CROQUIS_DATOS!$C$1489))+((CROQUIS_DATOS!$C$1476)*CROQUIS_DATOS!$C$1561-((CROQUIS_DATOS!$C$1491+CROQUIS_DATOS!$C$1492))*CROQUIS_DATOS!$C$1561))/CROQUIS_DATOS!$C$1568-0.000001))),2)=1,IF(INT(($A50-1)/2)+1&gt;MAX(1,INT(((((CROQUIS_DATOS!$C$1489+CROQUIS_DATOS!$C$1490))-(CROQUIS_DATOS!$C$1489))+((CROQUIS_DATOS!$C$1476)*CROQUIS_DATOS!$C$1561-((CROQUIS_DATOS!$C$1491+CROQUIS_DATOS!$C$1492))*CROQUIS_DATOS!$C$1561))/CROQUIS_DATOS!$C$1568-0.000001)),1,MOD($A50-1,2)),1-IF(INT(($A50-1)/2)+1&gt;MAX(1,INT(((((CROQUIS_DATOS!$C$1489+CROQUIS_DATOS!$C$1490))-(CROQUIS_DATOS!$C$1489))+((CROQUIS_DATOS!$C$1476)*CROQUIS_DATOS!$C$1561-((CROQUIS_DATOS!$C$1491+CROQUIS_DATOS!$C$1492))*CROQUIS_DATOS!$C$1561))/CROQUIS_DATOS!$C$1568-0.000001)),1,MOD($A50-1,2)))=1,MIN((CROQUIS_DATOS!$C$1476)*CROQUIS_DATOS!$C$1561,((CROQUIS_DATOS!$C$1489+CROQUIS_DATOS!$C$1490)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0">
        <f>IF(AND(CROQUIS_DATOS!$C$1472=1,CROQUIS_DATOS!$C$1478&gt;=3,((CROQUIS_DATOS!$C$1489+CROQUIS_DATOS!$C$1490))-(CROQUIS_DATOS!$C$1489)&gt;0.5,(CROQUIS_DATOS!$C$1476)-((CROQUIS_DATOS!$C$1491+CROQUIS_DATOS!$C$1492))&gt;0.5),(CROQUIS_DATOS!$C$1567+(IF(IF(MOD(MIN(INT(($A50-1)/2)+1,MAX(1,INT(((((CROQUIS_DATOS!$C$1489+CROQUIS_DATOS!$C$1490))-(CROQUIS_DATOS!$C$1489))+((CROQUIS_DATOS!$C$1476)*CROQUIS_DATOS!$C$1561-((CROQUIS_DATOS!$C$1491+CROQUIS_DATOS!$C$1492))*CROQUIS_DATOS!$C$1561))/CROQUIS_DATOS!$C$1568-0.000001))),2)=1,IF(INT(($A50-1)/2)+1&gt;MAX(1,INT(((((CROQUIS_DATOS!$C$1489+CROQUIS_DATOS!$C$1490))-(CROQUIS_DATOS!$C$1489))+((CROQUIS_DATOS!$C$1476)*CROQUIS_DATOS!$C$1561-((CROQUIS_DATOS!$C$1491+CROQUIS_DATOS!$C$1492))*CROQUIS_DATOS!$C$1561))/CROQUIS_DATOS!$C$1568-0.000001)),1,MOD($A50-1,2)),1-IF(INT(($A50-1)/2)+1&gt;MAX(1,INT(((((CROQUIS_DATOS!$C$1489+CROQUIS_DATOS!$C$1490))-(CROQUIS_DATOS!$C$1489))+((CROQUIS_DATOS!$C$1476)*CROQUIS_DATOS!$C$1561-((CROQUIS_DATOS!$C$1491+CROQUIS_DATOS!$C$1492))*CROQUIS_DATOS!$C$1561))/CROQUIS_DATOS!$C$1568-0.000001)),1,MOD($A50-1,2)))=1,MIN((CROQUIS_DATOS!$C$1476)*CROQUIS_DATOS!$C$1561,((CROQUIS_DATOS!$C$1489+CROQUIS_DATOS!$C$1490)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0">
        <f>IF(AND(CROQUIS_DATOS!$C$1472=1,CROQUIS_DATOS!$C$1478&gt;=4,((CROQUIS_DATOS!$C$1494+CROQUIS_DATOS!$C$1495))-(CROQUIS_DATOS!$C$1494)&gt;0.5,(CROQUIS_DATOS!$C$1496)-(0)&gt;0.5),(CROQUIS_DATOS!$C$1566+(IF(IF(MOD(MIN(INT(($A50-1)/2)+1,MAX(1,INT(((((CROQUIS_DATOS!$C$1494+CROQUIS_DATOS!$C$1495))-(CROQUIS_DATOS!$C$1494))+((CROQUIS_DATOS!$C$1496)*CROQUIS_DATOS!$C$1561-(0)*CROQUIS_DATOS!$C$1561))/CROQUIS_DATOS!$C$1568-0.000001))),2)=1,IF(INT(($A50-1)/2)+1&gt;MAX(1,INT(((((CROQUIS_DATOS!$C$1494+CROQUIS_DATOS!$C$1495))-(CROQUIS_DATOS!$C$1494))+((CROQUIS_DATOS!$C$1496)*CROQUIS_DATOS!$C$1561-(0)*CROQUIS_DATOS!$C$1561))/CROQUIS_DATOS!$C$1568-0.000001)),1,MOD($A50-1,2)),1-IF(INT(($A50-1)/2)+1&gt;MAX(1,INT(((((CROQUIS_DATOS!$C$1494+CROQUIS_DATOS!$C$1495))-(CROQUIS_DATOS!$C$1494))+((CROQUIS_DATOS!$C$1496)*CROQUIS_DATOS!$C$1561-(0)*CROQUIS_DATOS!$C$1561))/CROQUIS_DATOS!$C$1568-0.000001)),1,MOD($A50-1,2)))=1,MIN((CROQUIS_DATOS!$C$1496)*CROQUIS_DATOS!$C$1561,((CROQUIS_DATOS!$C$1494+CROQUIS_DATOS!$C$1495)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0">
        <f>IF(AND(CROQUIS_DATOS!$C$1472=1,CROQUIS_DATOS!$C$1478&gt;=4,((CROQUIS_DATOS!$C$1494+CROQUIS_DATOS!$C$1495))-(CROQUIS_DATOS!$C$1494)&gt;0.5,(CROQUIS_DATOS!$C$1496)-(0)&gt;0.5),(CROQUIS_DATOS!$C$1567+(IF(IF(MOD(MIN(INT(($A50-1)/2)+1,MAX(1,INT(((((CROQUIS_DATOS!$C$1494+CROQUIS_DATOS!$C$1495))-(CROQUIS_DATOS!$C$1494))+((CROQUIS_DATOS!$C$1496)*CROQUIS_DATOS!$C$1561-(0)*CROQUIS_DATOS!$C$1561))/CROQUIS_DATOS!$C$1568-0.000001))),2)=1,IF(INT(($A50-1)/2)+1&gt;MAX(1,INT(((((CROQUIS_DATOS!$C$1494+CROQUIS_DATOS!$C$1495))-(CROQUIS_DATOS!$C$1494))+((CROQUIS_DATOS!$C$1496)*CROQUIS_DATOS!$C$1561-(0)*CROQUIS_DATOS!$C$1561))/CROQUIS_DATOS!$C$1568-0.000001)),1,MOD($A50-1,2)),1-IF(INT(($A50-1)/2)+1&gt;MAX(1,INT(((((CROQUIS_DATOS!$C$1494+CROQUIS_DATOS!$C$1495))-(CROQUIS_DATOS!$C$1494))+((CROQUIS_DATOS!$C$1496)*CROQUIS_DATOS!$C$1561-(0)*CROQUIS_DATOS!$C$1561))/CROQUIS_DATOS!$C$1568-0.000001)),1,MOD($A50-1,2)))=1,MIN((CROQUIS_DATOS!$C$1496)*CROQUIS_DATOS!$C$1561,((CROQUIS_DATOS!$C$1494+CROQUIS_DATOS!$C$1495)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0">
        <f>IF(AND(CROQUIS_DATOS!$C$1472=1,CROQUIS_DATOS!$C$1478&gt;=4,((CROQUIS_DATOS!$C$1494+CROQUIS_DATOS!$C$1495))-(CROQUIS_DATOS!$C$1494)&gt;0.5,(CROQUIS_DATOS!$C$1476)-((CROQUIS_DATOS!$C$1496+CROQUIS_DATOS!$C$1497))&gt;0.5),(CROQUIS_DATOS!$C$1566+(IF(IF(MOD(MIN(INT(($A50-1)/2)+1,MAX(1,INT(((((CROQUIS_DATOS!$C$1494+CROQUIS_DATOS!$C$1495))-(CROQUIS_DATOS!$C$1494))+((CROQUIS_DATOS!$C$1476)*CROQUIS_DATOS!$C$1561-((CROQUIS_DATOS!$C$1496+CROQUIS_DATOS!$C$1497))*CROQUIS_DATOS!$C$1561))/CROQUIS_DATOS!$C$1568-0.000001))),2)=1,IF(INT(($A50-1)/2)+1&gt;MAX(1,INT(((((CROQUIS_DATOS!$C$1494+CROQUIS_DATOS!$C$1495))-(CROQUIS_DATOS!$C$1494))+((CROQUIS_DATOS!$C$1476)*CROQUIS_DATOS!$C$1561-((CROQUIS_DATOS!$C$1496+CROQUIS_DATOS!$C$1497))*CROQUIS_DATOS!$C$1561))/CROQUIS_DATOS!$C$1568-0.000001)),1,MOD($A50-1,2)),1-IF(INT(($A50-1)/2)+1&gt;MAX(1,INT(((((CROQUIS_DATOS!$C$1494+CROQUIS_DATOS!$C$1495))-(CROQUIS_DATOS!$C$1494))+((CROQUIS_DATOS!$C$1476)*CROQUIS_DATOS!$C$1561-((CROQUIS_DATOS!$C$1496+CROQUIS_DATOS!$C$1497))*CROQUIS_DATOS!$C$1561))/CROQUIS_DATOS!$C$1568-0.000001)),1,MOD($A50-1,2)))=1,MIN((CROQUIS_DATOS!$C$1476)*CROQUIS_DATOS!$C$1561,((CROQUIS_DATOS!$C$1494+CROQUIS_DATOS!$C$1495)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0">
        <f>IF(AND(CROQUIS_DATOS!$C$1472=1,CROQUIS_DATOS!$C$1478&gt;=4,((CROQUIS_DATOS!$C$1494+CROQUIS_DATOS!$C$1495))-(CROQUIS_DATOS!$C$1494)&gt;0.5,(CROQUIS_DATOS!$C$1476)-((CROQUIS_DATOS!$C$1496+CROQUIS_DATOS!$C$1497))&gt;0.5),(CROQUIS_DATOS!$C$1567+(IF(IF(MOD(MIN(INT(($A50-1)/2)+1,MAX(1,INT(((((CROQUIS_DATOS!$C$1494+CROQUIS_DATOS!$C$1495))-(CROQUIS_DATOS!$C$1494))+((CROQUIS_DATOS!$C$1476)*CROQUIS_DATOS!$C$1561-((CROQUIS_DATOS!$C$1496+CROQUIS_DATOS!$C$1497))*CROQUIS_DATOS!$C$1561))/CROQUIS_DATOS!$C$1568-0.000001))),2)=1,IF(INT(($A50-1)/2)+1&gt;MAX(1,INT(((((CROQUIS_DATOS!$C$1494+CROQUIS_DATOS!$C$1495))-(CROQUIS_DATOS!$C$1494))+((CROQUIS_DATOS!$C$1476)*CROQUIS_DATOS!$C$1561-((CROQUIS_DATOS!$C$1496+CROQUIS_DATOS!$C$1497))*CROQUIS_DATOS!$C$1561))/CROQUIS_DATOS!$C$1568-0.000001)),1,MOD($A50-1,2)),1-IF(INT(($A50-1)/2)+1&gt;MAX(1,INT(((((CROQUIS_DATOS!$C$1494+CROQUIS_DATOS!$C$1495))-(CROQUIS_DATOS!$C$1494))+((CROQUIS_DATOS!$C$1476)*CROQUIS_DATOS!$C$1561-((CROQUIS_DATOS!$C$1496+CROQUIS_DATOS!$C$1497))*CROQUIS_DATOS!$C$1561))/CROQUIS_DATOS!$C$1568-0.000001)),1,MOD($A50-1,2)))=1,MIN((CROQUIS_DATOS!$C$1476)*CROQUIS_DATOS!$C$1561,((CROQUIS_DATOS!$C$1494+CROQUIS_DATOS!$C$1495)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0">
        <f>IF(AND(CROQUIS_DATOS!$C$1472=1,1),(CROQUIS_DATOS!$C$1571+(CHOOSE(MIN(MAX(IF(INT(($A50-1)/5)+1&gt;CROQUIS_DATOS!$C$1525,5,MOD($A50-1,5)+1),1),5),(INDEX($E$8:$E$23,MIN(INT(($A50-1)/5)+1,CROQUIS_DATOS!$C$1525))-INDEX($F$8:$F$23,MIN(INT(($A50-1)/5)+1,CROQUIS_DATOS!$C$1525))/2),(INDEX($E$8:$E$23,MIN(INT(($A50-1)/5)+1,CROQUIS_DATOS!$C$1525))+INDEX($F$8:$F$23,MIN(INT(($A50-1)/5)+1,CROQUIS_DATOS!$C$1525))/2),(INDEX($E$8:$E$23,MIN(INT(($A50-1)/5)+1,CROQUIS_DATOS!$C$1525))+INDEX($F$8:$F$23,MIN(INT(($A50-1)/5)+1,CROQUIS_DATOS!$C$1525))/2),(INDEX($E$8:$E$23,MIN(INT(($A50-1)/5)+1,CROQUIS_DATOS!$C$1525))-INDEX($F$8:$F$23,MIN(INT(($A50-1)/5)+1,CROQUIS_DATOS!$C$1525))/2),(INDEX($E$8:$E$23,MIN(INT(($A50-1)/5)+1,CROQUIS_DATOS!$C$1525))-INDEX($F$8:$F$23,MIN(INT(($A50-1)/5)+1,CROQUIS_DATOS!$C$1525))/2)))*CROQUIS_DATOS!$C$1569),-1000)</f>
        <v>95.24</v>
      </c>
      <c r="GE50">
        <f>IF(AND(CROQUIS_DATOS!$C$1472=1,1),(CROQUIS_DATOS!$C$1572+(CHOOSE(MIN(MAX(IF(INT(($A50-1)/5)+1&gt;CROQUIS_DATOS!$C$1525,5,MOD($A50-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0">
        <f>IF(AND(CROQUIS_DATOS!$C$1472=1,1),IF(INT(($A50-1)/4)+1&lt;=CROQUIS_DATOS!$C$1525,(CROQUIS_DATOS!$C$1571+((INDEX($E$8:$E$23,MIN(INT(($A50-1)/4)+1,16))+IF(OR(MOD($A50-1,4)=0,MOD($A50-1,4)=3),-1,1)*(INDEX($F$8:$F$23,MIN(INT(($A50-1)/4)+1,16))/2-(CROQUIS_DATOS!$C$1530+CROQUIS_DATOS!$C$1532+IF(OR(INT(($A50-1)/4)+1=1,INT(($A50-1)/4)+1=CROQUIS_DATOS!$C$1525),CROQUIS_DATOS!$C$1534,CROQUIS_DATOS!$C$1531)/2))))*CROQUIS_DATOS!$C$1569),-1000),-1000)</f>
        <v>-1000</v>
      </c>
      <c r="GG50">
        <f>IF(AND(CROQUIS_DATOS!$C$1472=1,1),IF(INT(($A50-1)/4)+1&lt;=CROQUIS_DATOS!$C$1525,(CROQUIS_DATOS!$C$1572+((CROQUIS_DATOS!$C$1477/2+IF(MOD($A50-1,4)&lt;2,-1,1)*(CROQUIS_DATOS!$C$1527/2-(CROQUIS_DATOS!$C$1530+CROQUIS_DATOS!$C$1532+IF(OR(INT(($A50-1)/4)+1=1,INT(($A50-1)/4)+1=CROQUIS_DATOS!$C$1525),CROQUIS_DATOS!$C$1534,CROQUIS_DATOS!$C$1531)/2))))*CROQUIS_DATOS!$C$1569*CROQUIS_DATOS!$C$1570),-1000),-1000)</f>
        <v>-1000</v>
      </c>
    </row>
    <row r="51">
      <c r="A51" t="n">
        <v>44</v>
      </c>
      <c r="J51">
        <f>IF(AND(CROQUIS_DATOS!$C$1472=1,1),(CROQUIS_DATOS!$C$1563+(CHOOSE(MIN(MAX(IF(INT(($A51-1)/4)+1&gt;CROQUIS_DATOS!$C$1525,4,MOD($A51-1,4)+1),1),4),(INDEX($E$8:$E$23,MIN(INT(($A51-1)/4)+1,CROQUIS_DATOS!$C$1525))-INDEX($F$8:$F$23,MIN(INT(($A51-1)/4)+1,CROQUIS_DATOS!$C$1525))/2),(INDEX($E$8:$E$23,MIN(INT(($A51-1)/4)+1,CROQUIS_DATOS!$C$1525))-INDEX($F$8:$F$23,MIN(INT(($A51-1)/4)+1,CROQUIS_DATOS!$C$1525))/2),(INDEX($E$8:$E$23,MIN(INT(($A51-1)/4)+1,CROQUIS_DATOS!$C$1525))+INDEX($F$8:$F$23,MIN(INT(($A51-1)/4)+1,CROQUIS_DATOS!$C$1525))/2),(INDEX($E$8:$E$23,MIN(INT(($A51-1)/4)+1,CROQUIS_DATOS!$C$1525))+INDEX($F$8:$F$23,MIN(INT(($A51-1)/4)+1,CROQUIS_DATOS!$C$1525))/2)))*CROQUIS_DATOS!$C$1562),-1000)</f>
        <v>84.9137931034483</v>
      </c>
      <c r="K51">
        <f>IF(AND(CROQUIS_DATOS!$C$1472=1,1),(CROQUIS_DATOS!$C$1564+(CHOOSE(MIN(MAX(IF(INT(($A51-1)/4)+1&gt;CROQUIS_DATOS!$C$1525,4,MOD($A51-1,4)+1),1),4),0,CROQUIS_DATOS!$C$1476,CROQUIS_DATOS!$C$1476,0))*CROQUIS_DATOS!$C$1561*CROQUIS_DATOS!$C$1562),-1000)</f>
        <v>5.29310344827586</v>
      </c>
      <c r="L51">
        <f>IF(AND(CROQUIS_DATOS!$C$1472=1,1),(CROQUIS_DATOS!$C$1563+(CHOOSE(MIN(MAX(IF(INT(($A51-1)/4)+1&gt;CROQUIS_DATOS!$C$1525,4,MOD($A51-1,4)+1),1),4),((INDEX($E$8:$E$23,MIN(INT(($A51-1)/4)+1,CROQUIS_DATOS!$C$1525))-INDEX($F$8:$F$23,MIN(INT(($A51-1)/4)+1,CROQUIS_DATOS!$C$1525))/2)+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,((INDEX($E$8:$E$23,MIN(INT(($A51-1)/4)+1,CROQUIS_DATOS!$C$1525))-INDEX($F$8:$F$23,MIN(INT(($A51-1)/4)+1,CROQUIS_DATOS!$C$1525))/2)+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,((INDEX($E$8:$E$23,MIN(INT(($A51-1)/4)+1,CROQUIS_DATOS!$C$1525))+INDEX($F$8:$F$23,MIN(INT(($A51-1)/4)+1,CROQUIS_DATOS!$C$1525))/2)-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,((INDEX($E$8:$E$23,MIN(INT(($A51-1)/4)+1,CROQUIS_DATOS!$C$1525))+INDEX($F$8:$F$23,MIN(INT(($A51-1)/4)+1,CROQUIS_DATOS!$C$1525))/2)-MIN((CROQUIS_DATOS!$C$1530+CROQUIS_DATOS!$C$1532+IF(OR(MIN(INT(($A51-1)/4)+1,CROQUIS_DATOS!$C$1525)=1,MIN(INT(($A51-1)/4)+1,CROQUIS_DATOS!$C$1525)=CROQUIS_DATOS!$C$1525),CROQUIS_DATOS!$C$1534,CROQUIS_DATOS!$C$1531)/2),INDEX($F$8:$F$23,MIN(INT(($A51-1)/4)+1,CROQUIS_DATOS!$C$1525))/2-0.5))))*CROQUIS_DATOS!$C$1562),-1000)</f>
        <v>84.4792560344828</v>
      </c>
      <c r="M51">
        <f>IF(AND(CROQUIS_DATOS!$C$1472=1,1),(CROQUIS_DATOS!$C$1564+(CHOOSE(MIN(MAX(IF(INT(($A51-1)/4)+1&gt;CROQUIS_DATOS!$C$1525,4,MOD($A51-1,4)+1),1),4),CROQUIS_DATOS!$C$1543,INDEX($I$8:$I$23,MIN(INT(($A51-1)/4)+1,CROQUIS_DATOS!$C$1525)),INDEX($I$8:$I$23,MIN(INT(($A51-1)/4)+1,CROQUIS_DATOS!$C$1525)),CROQUIS_DATOS!$C$1543))*CROQUIS_DATOS!$C$1561*CROQUIS_DATOS!$C$1562),-1000)</f>
        <v>42.5654629310345</v>
      </c>
      <c r="N51">
        <f>IF(AND(CROQUIS_DATOS!$C$1472=1,1),(CROQUIS_DATOS!$C$1563+(IF(IF(IF(INT(($A51-1)/70)+1&gt;CROQUIS_DATOS!$C$1525,70,MOD($A51-1,70)+1)=1,0,IF(IF(INT(($A51-1)/70)+1&gt;CROQUIS_DATOS!$C$1525,70,MOD($A51-1,70)+1)&gt;2*CROQUIS_DATOS!$C$1541+1,IF(MOD(CROQUIS_DATOS!$C$1541,2)=1,1,0),IF(MOD(MIN(INT((IF(INT(($A51-1)/70)+1&gt;CROQUIS_DATOS!$C$1525,70,MOD($A51-1,70)+1)-2)/2)+1,CROQUIS_DATOS!$C$1541),2)=1,IF(MOD(IF(INT(($A51-1)/70)+1&gt;CROQUIS_DATOS!$C$1525,70,MOD($A51-1,70)+1)-2,2)=0,0,1),IF(MOD(IF(INT(($A51-1)/70)+1&gt;CROQUIS_DATOS!$C$1525,70,MOD($A51-1,70)+1)-2,2)=0,1,0))))=0,(INDEX($E$8:$E$23,MIN(INT(($A51-1)/70)+1,CROQUIS_DATOS!$C$1525))-INDEX($F$8:$F$23,MIN(INT(($A51-1)/70)+1,CROQUIS_DATOS!$C$1525))/2),(INDEX($E$8:$E$23,MIN(INT(($A51-1)/70)+1,CROQUIS_DATOS!$C$1525))+INDEX($F$8:$F$23,MIN(INT(($A51-1)/70)+1,CROQUIS_DATOS!$C$1525))/2)))*CROQUIS_DATOS!$C$1562),-1000)</f>
        <v>15.0862068965517</v>
      </c>
      <c r="O51">
        <f>IF(AND(CROQUIS_DATOS!$C$1472=1,1),(CROQUIS_DATOS!$C$1564+(IF(OR(IF(INT(($A51-1)/70)+1&gt;CROQUIS_DATOS!$C$1525,70,MOD($A51-1,70)+1)=1,IF(INT(($A51-1)/70)+1&gt;CROQUIS_DATOS!$C$1525,70,MOD($A51-1,70)+1)&gt;2*CROQUIS_DATOS!$C$1541+1),CROQUIS_DATOS!$C$1476,INDEX($H$8:$H$41,MIN(INT((IF(INT(($A51-1)/70)+1&gt;CROQUIS_DATOS!$C$1525,70,MOD($A51-1,70)+1)-2)/2)+1,CROQUIS_DATOS!$C$1541))))*CROQUIS_DATOS!$C$1561*CROQUIS_DATOS!$C$1562),-1000)</f>
        <v>40.2068965517241</v>
      </c>
      <c r="P51">
        <f>IF(AND(CROQUIS_DATOS!$C$1472=1,CROQUIS_DATOS!$C$1555=1),(CROQUIS_DATOS!$C$1563+(IF(IF(OR(MOD($A51-1,62)+1=1,IF(CHOOSE(MIN(MAX(MIN(INT(($A51-1)/62)+1,5),1),5),CROQUIS_DATOS!$C$1501,CROQUIS_DATOS!$C$1505,CROQUIS_DATOS!$C$1509,CROQUIS_DATOS!$C$1513,CROQUIS_DATOS!$C$1517)=1,CROQUIS_DATOS!$C$1557,0)=0),0,IF(MOD($A51-1,62)+1&gt;2*IF(CHOOSE(MIN(MAX(MIN(INT(($A51-1)/62)+1,5),1),5),CROQUIS_DATOS!$C$1501,CROQUIS_DATOS!$C$1505,CROQUIS_DATOS!$C$1509,CROQUIS_DATOS!$C$1513,CROQUIS_DATOS!$C$1517)=1,CROQUIS_DATOS!$C$1557,0)+1,IF(MOD(IF(CHOOSE(MIN(MAX(MIN(INT(($A51-1)/62)+1,5),1),5),CROQUIS_DATOS!$C$1501,CROQUIS_DATOS!$C$1505,CROQUIS_DATOS!$C$1509,CROQUIS_DATOS!$C$1513,CROQUIS_DATOS!$C$1517)=1,CROQUIS_DATOS!$C$1557,0),2)=1,1,0),IF(MOD(MIN(INT((MOD($A51-1,62)+1-2)/2)+1,MAX(IF(CHOOSE(MIN(MAX(MIN(INT(($A51-1)/62)+1,5),1),5),CROQUIS_DATOS!$C$1501,CROQUIS_DATOS!$C$1505,CROQUIS_DATOS!$C$1509,CROQUIS_DATOS!$C$1513,CROQUIS_DATOS!$C$1517)=1,CROQUIS_DATOS!$C$1557,0),1)),2)=1,IF(MOD(MOD($A51-1,62)+1-2,2)=0,0,1),IF(MOD(MOD($A51-1,62)+1-2,2)=0,1,0))))=0,(CHOOSE(MIN(MAX(MIN(INT(($A51-1)/62)+1,5),1),5),CROQUIS_DATOS!$C$1499,CROQUIS_DATOS!$C$1503,CROQUIS_DATOS!$C$1507,CROQUIS_DATOS!$C$1511,CROQUIS_DATOS!$C$1515)+IF(CHOOSE(MIN(MAX(MIN(INT(($A51-1)/62)+1,5),1),5),CROQUIS_DATOS!$C$1501,CROQUIS_DATOS!$C$1505,CROQUIS_DATOS!$C$1509,CROQUIS_DATOS!$C$1513,CROQUIS_DATOS!$C$1517)=1,CROQUIS_DATOS!$C$1526,0)),(CHOOSE(MIN(MAX(MIN(INT(($A51-1)/62)+1,5),1),5),CROQUIS_DATOS!$C$1499,CROQUIS_DATOS!$C$1503,CROQUIS_DATOS!$C$1507,CROQUIS_DATOS!$C$1511,CROQUIS_DATOS!$C$1515)+CHOOSE(MIN(MAX(MIN(INT(($A51-1)/62)+1,5),1),5),CROQUIS_DATOS!$C$1500,CROQUIS_DATOS!$C$1504,CROQUIS_DATOS!$C$1508,CROQUIS_DATOS!$C$1512,CROQUIS_DATOS!$C$1516)-IF(CHOOSE(MIN(MAX(MIN(INT(($A51-1)/62)+1,5),1),5),CROQUIS_DATOS!$C$1501,CROQUIS_DATOS!$C$1505,CROQUIS_DATOS!$C$1509,CROQUIS_DATOS!$C$1513,CROQUIS_DATOS!$C$1517)=1,CROQUIS_DATOS!$C$1526,0))))*CROQUIS_DATOS!$C$1562),-1000)</f>
        <v>-1000</v>
      </c>
      <c r="Q51">
        <f>IF(AND(CROQUIS_DATOS!$C$1472=1,CROQUIS_DATOS!$C$1555=1),(CROQUIS_DATOS!$C$1564+(IF(OR(OR(MOD($A51-1,62)+1=1,IF(CHOOSE(MIN(MAX(MIN(INT(($A51-1)/62)+1,5),1),5),CROQUIS_DATOS!$C$1501,CROQUIS_DATOS!$C$1505,CROQUIS_DATOS!$C$1509,CROQUIS_DATOS!$C$1513,CROQUIS_DATOS!$C$1517)=1,CROQUIS_DATOS!$C$1557,0)=0),MOD($A51-1,62)+1&gt;2*IF(CHOOSE(MIN(MAX(MIN(INT(($A51-1)/62)+1,5),1),5),CROQUIS_DATOS!$C$1501,CROQUIS_DATOS!$C$1505,CROQUIS_DATOS!$C$1509,CROQUIS_DATOS!$C$1513,CROQUIS_DATOS!$C$1517)=1,CROQUIS_DATOS!$C$1557,0)+1),CROQUIS_DATOS!$C$1476,MIN(INT((MOD($A51-1,62)+1-2)/2)+1,MAX(IF(CHOOSE(MIN(MAX(MIN(INT(($A51-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1">
        <f>IF(AND(CROQUIS_DATOS!$C$1472=1,1),(CROQUIS_DATOS!$C$1563+(MIN(INT(($A51-1)/2)+1,CROQUIS_DATOS!$C$1558)*CROQUIS_DATOS!$C$1559)*CROQUIS_DATOS!$C$1562),-1000)</f>
        <v>74.1710875331565</v>
      </c>
      <c r="U51">
        <f>IF(AND(CROQUIS_DATOS!$C$1472=1,1),(CROQUIS_DATOS!$C$1564+(IF(INT(($A51-1)/2)+1&gt;CROQUIS_DATOS!$C$1558,IF(MOD(CROQUIS_DATOS!$C$1558,2)=1,CROQUIS_DATOS!$C$1476+CROQUIS_DATOS!$C$1528,CROQUIS_DATOS!$C$1476),IF(IF(MOD(MIN(INT(($A51-1)/2)+1,CROQUIS_DATOS!$C$1558),2)=1,MOD($A51-1,2),1-MOD($A51-1,2))=1,CROQUIS_DATOS!$C$1476+CROQUIS_DATOS!$C$1528,CROQUIS_DATOS!$C$1476)))*CROQUIS_DATOS!$C$1561*CROQUIS_DATOS!$C$1562),-1000)</f>
        <v>40.2068965517241</v>
      </c>
      <c r="BZ51">
        <f>IF(AND(CROQUIS_DATOS!$C$1472=1,CROQUIS_DATOS!$C$1500&gt;0,((CROQUIS_DATOS!$C$1499+CROQUIS_DATOS!$C$1500))-(CROQUIS_DATOS!$C$1499)&gt;0.5,(CROQUIS_DATOS!$C$1476)-(0)&gt;0.5),(CROQUIS_DATOS!$C$1566+(IF(IF(MOD(MIN(INT(($A51-1)/2)+1,MAX(1,INT(((((CROQUIS_DATOS!$C$1499+CROQUIS_DATOS!$C$1500))-(CROQUIS_DATOS!$C$1499))+((CROQUIS_DATOS!$C$1476)*CROQUIS_DATOS!$C$1561-(0)*CROQUIS_DATOS!$C$1561))/CROQUIS_DATOS!$C$1568-0.000001))),2)=1,IF(INT(($A51-1)/2)+1&gt;MAX(1,INT(((((CROQUIS_DATOS!$C$1499+CROQUIS_DATOS!$C$1500))-(CROQUIS_DATOS!$C$1499))+((CROQUIS_DATOS!$C$1476)*CROQUIS_DATOS!$C$1561-(0)*CROQUIS_DATOS!$C$1561))/CROQUIS_DATOS!$C$1568-0.000001)),1,MOD($A51-1,2)),1-IF(INT(($A51-1)/2)+1&gt;MAX(1,INT(((((CROQUIS_DATOS!$C$1499+CROQUIS_DATOS!$C$1500))-(CROQUIS_DATOS!$C$1499))+((CROQUIS_DATOS!$C$1476)*CROQUIS_DATOS!$C$1561-(0)*CROQUIS_DATOS!$C$1561))/CROQUIS_DATOS!$C$1568-0.000001)),1,MOD($A51-1,2)))=1,MIN((CROQUIS_DATOS!$C$1476)*CROQUIS_DATOS!$C$1561,((CROQUIS_DATOS!$C$1499+CROQUIS_DATOS!$C$1500)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1">
        <f>IF(AND(CROQUIS_DATOS!$C$1472=1,CROQUIS_DATOS!$C$1500&gt;0,((CROQUIS_DATOS!$C$1499+CROQUIS_DATOS!$C$1500))-(CROQUIS_DATOS!$C$1499)&gt;0.5,(CROQUIS_DATOS!$C$1476)-(0)&gt;0.5),(CROQUIS_DATOS!$C$1567+(IF(IF(MOD(MIN(INT(($A51-1)/2)+1,MAX(1,INT(((((CROQUIS_DATOS!$C$1499+CROQUIS_DATOS!$C$1500))-(CROQUIS_DATOS!$C$1499))+((CROQUIS_DATOS!$C$1476)*CROQUIS_DATOS!$C$1561-(0)*CROQUIS_DATOS!$C$1561))/CROQUIS_DATOS!$C$1568-0.000001))),2)=1,IF(INT(($A51-1)/2)+1&gt;MAX(1,INT(((((CROQUIS_DATOS!$C$1499+CROQUIS_DATOS!$C$1500))-(CROQUIS_DATOS!$C$1499))+((CROQUIS_DATOS!$C$1476)*CROQUIS_DATOS!$C$1561-(0)*CROQUIS_DATOS!$C$1561))/CROQUIS_DATOS!$C$1568-0.000001)),1,MOD($A51-1,2)),1-IF(INT(($A51-1)/2)+1&gt;MAX(1,INT(((((CROQUIS_DATOS!$C$1499+CROQUIS_DATOS!$C$1500))-(CROQUIS_DATOS!$C$1499))+((CROQUIS_DATOS!$C$1476)*CROQUIS_DATOS!$C$1561-(0)*CROQUIS_DATOS!$C$1561))/CROQUIS_DATOS!$C$1568-0.000001)),1,MOD($A51-1,2)))=1,MIN((CROQUIS_DATOS!$C$1476)*CROQUIS_DATOS!$C$1561,((CROQUIS_DATOS!$C$1499+CROQUIS_DATOS!$C$1500)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1">
        <f>IF(AND(CROQUIS_DATOS!$C$1472=1,CROQUIS_DATOS!$C$1504&gt;0,((CROQUIS_DATOS!$C$1503+CROQUIS_DATOS!$C$1504))-(CROQUIS_DATOS!$C$1503)&gt;0.5,(CROQUIS_DATOS!$C$1476)-(0)&gt;0.5),(CROQUIS_DATOS!$C$1566+(IF(IF(MOD(MIN(INT(($A51-1)/2)+1,MAX(1,INT(((((CROQUIS_DATOS!$C$1503+CROQUIS_DATOS!$C$1504))-(CROQUIS_DATOS!$C$1503))+((CROQUIS_DATOS!$C$1476)*CROQUIS_DATOS!$C$1561-(0)*CROQUIS_DATOS!$C$1561))/CROQUIS_DATOS!$C$1568-0.000001))),2)=1,IF(INT(($A51-1)/2)+1&gt;MAX(1,INT(((((CROQUIS_DATOS!$C$1503+CROQUIS_DATOS!$C$1504))-(CROQUIS_DATOS!$C$1503))+((CROQUIS_DATOS!$C$1476)*CROQUIS_DATOS!$C$1561-(0)*CROQUIS_DATOS!$C$1561))/CROQUIS_DATOS!$C$1568-0.000001)),1,MOD($A51-1,2)),1-IF(INT(($A51-1)/2)+1&gt;MAX(1,INT(((((CROQUIS_DATOS!$C$1503+CROQUIS_DATOS!$C$1504))-(CROQUIS_DATOS!$C$1503))+((CROQUIS_DATOS!$C$1476)*CROQUIS_DATOS!$C$1561-(0)*CROQUIS_DATOS!$C$1561))/CROQUIS_DATOS!$C$1568-0.000001)),1,MOD($A51-1,2)))=1,MIN((CROQUIS_DATOS!$C$1476)*CROQUIS_DATOS!$C$1561,((CROQUIS_DATOS!$C$1503+CROQUIS_DATOS!$C$1504)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*CROQUIS_DATOS!$C$1565),-1000)</f>
        <v>46.648275862069</v>
      </c>
      <c r="CC51">
        <f>IF(AND(CROQUIS_DATOS!$C$1472=1,CROQUIS_DATOS!$C$1504&gt;0,((CROQUIS_DATOS!$C$1503+CROQUIS_DATOS!$C$1504))-(CROQUIS_DATOS!$C$1503)&gt;0.5,(CROQUIS_DATOS!$C$1476)-(0)&gt;0.5),(CROQUIS_DATOS!$C$1567+(IF(IF(MOD(MIN(INT(($A51-1)/2)+1,MAX(1,INT(((((CROQUIS_DATOS!$C$1503+CROQUIS_DATOS!$C$1504))-(CROQUIS_DATOS!$C$1503))+((CROQUIS_DATOS!$C$1476)*CROQUIS_DATOS!$C$1561-(0)*CROQUIS_DATOS!$C$1561))/CROQUIS_DATOS!$C$1568-0.000001))),2)=1,IF(INT(($A51-1)/2)+1&gt;MAX(1,INT(((((CROQUIS_DATOS!$C$1503+CROQUIS_DATOS!$C$1504))-(CROQUIS_DATOS!$C$1503))+((CROQUIS_DATOS!$C$1476)*CROQUIS_DATOS!$C$1561-(0)*CROQUIS_DATOS!$C$1561))/CROQUIS_DATOS!$C$1568-0.000001)),1,MOD($A51-1,2)),1-IF(INT(($A51-1)/2)+1&gt;MAX(1,INT(((((CROQUIS_DATOS!$C$1503+CROQUIS_DATOS!$C$1504))-(CROQUIS_DATOS!$C$1503))+((CROQUIS_DATOS!$C$1476)*CROQUIS_DATOS!$C$1561-(0)*CROQUIS_DATOS!$C$1561))/CROQUIS_DATOS!$C$1568-0.000001)),1,MOD($A51-1,2)))=1,MIN((CROQUIS_DATOS!$C$1476)*CROQUIS_DATOS!$C$1561,((CROQUIS_DATOS!$C$1503+CROQUIS_DATOS!$C$1504)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51-1)/2)+1,MAX(1,INT(((((CROQUIS_DATOS!$C$1503+CROQUIS_DATOS!$C$1504))-(CROQUIS_DATOS!$C$1503))+((CROQUIS_DATOS!$C$1476)*CROQUIS_DATOS!$C$1561-(0)*CROQUIS_DATOS!$C$1561))/CROQUIS_DATOS!$C$1568-0.000001)))*CROQUIS_DATOS!$C$1568))))*CROQUIS_DATOS!$C$1565),-1000)</f>
        <v>12.1379310344828</v>
      </c>
      <c r="CD51">
        <f>IF(AND(CROQUIS_DATOS!$C$1472=1,CROQUIS_DATOS!$C$1508&gt;0,((CROQUIS_DATOS!$C$1507+CROQUIS_DATOS!$C$1508))-(CROQUIS_DATOS!$C$1507)&gt;0.5,(CROQUIS_DATOS!$C$1476)-(0)&gt;0.5),(CROQUIS_DATOS!$C$1566+(IF(IF(MOD(MIN(INT(($A51-1)/2)+1,MAX(1,INT(((((CROQUIS_DATOS!$C$1507+CROQUIS_DATOS!$C$1508))-(CROQUIS_DATOS!$C$1507))+((CROQUIS_DATOS!$C$1476)*CROQUIS_DATOS!$C$1561-(0)*CROQUIS_DATOS!$C$1561))/CROQUIS_DATOS!$C$1568-0.000001))),2)=1,IF(INT(($A51-1)/2)+1&gt;MAX(1,INT(((((CROQUIS_DATOS!$C$1507+CROQUIS_DATOS!$C$1508))-(CROQUIS_DATOS!$C$1507))+((CROQUIS_DATOS!$C$1476)*CROQUIS_DATOS!$C$1561-(0)*CROQUIS_DATOS!$C$1561))/CROQUIS_DATOS!$C$1568-0.000001)),1,MOD($A51-1,2)),1-IF(INT(($A51-1)/2)+1&gt;MAX(1,INT(((((CROQUIS_DATOS!$C$1507+CROQUIS_DATOS!$C$1508))-(CROQUIS_DATOS!$C$1507))+((CROQUIS_DATOS!$C$1476)*CROQUIS_DATOS!$C$1561-(0)*CROQUIS_DATOS!$C$1561))/CROQUIS_DATOS!$C$1568-0.000001)),1,MOD($A51-1,2)))=1,MIN((CROQUIS_DATOS!$C$1476)*CROQUIS_DATOS!$C$1561,((CROQUIS_DATOS!$C$1507+CROQUIS_DATOS!$C$1508)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*CROQUIS_DATOS!$C$1565),-1000)</f>
        <v>73.3724137931035</v>
      </c>
      <c r="CE51">
        <f>IF(AND(CROQUIS_DATOS!$C$1472=1,CROQUIS_DATOS!$C$1508&gt;0,((CROQUIS_DATOS!$C$1507+CROQUIS_DATOS!$C$1508))-(CROQUIS_DATOS!$C$1507)&gt;0.5,(CROQUIS_DATOS!$C$1476)-(0)&gt;0.5),(CROQUIS_DATOS!$C$1567+(IF(IF(MOD(MIN(INT(($A51-1)/2)+1,MAX(1,INT(((((CROQUIS_DATOS!$C$1507+CROQUIS_DATOS!$C$1508))-(CROQUIS_DATOS!$C$1507))+((CROQUIS_DATOS!$C$1476)*CROQUIS_DATOS!$C$1561-(0)*CROQUIS_DATOS!$C$1561))/CROQUIS_DATOS!$C$1568-0.000001))),2)=1,IF(INT(($A51-1)/2)+1&gt;MAX(1,INT(((((CROQUIS_DATOS!$C$1507+CROQUIS_DATOS!$C$1508))-(CROQUIS_DATOS!$C$1507))+((CROQUIS_DATOS!$C$1476)*CROQUIS_DATOS!$C$1561-(0)*CROQUIS_DATOS!$C$1561))/CROQUIS_DATOS!$C$1568-0.000001)),1,MOD($A51-1,2)),1-IF(INT(($A51-1)/2)+1&gt;MAX(1,INT(((((CROQUIS_DATOS!$C$1507+CROQUIS_DATOS!$C$1508))-(CROQUIS_DATOS!$C$1507))+((CROQUIS_DATOS!$C$1476)*CROQUIS_DATOS!$C$1561-(0)*CROQUIS_DATOS!$C$1561))/CROQUIS_DATOS!$C$1568-0.000001)),1,MOD($A51-1,2)))=1,MIN((CROQUIS_DATOS!$C$1476)*CROQUIS_DATOS!$C$1561,((CROQUIS_DATOS!$C$1507+CROQUIS_DATOS!$C$1508)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51">
        <f>IF(AND(CROQUIS_DATOS!$C$1472=1,CROQUIS_DATOS!$C$1512&gt;0,((CROQUIS_DATOS!$C$1511+CROQUIS_DATOS!$C$1512))-(CROQUIS_DATOS!$C$1511)&gt;0.5,(CROQUIS_DATOS!$C$1476)-(0)&gt;0.5),(CROQUIS_DATOS!$C$1566+(IF(IF(MOD(MIN(INT(($A51-1)/2)+1,MAX(1,INT(((((CROQUIS_DATOS!$C$1511+CROQUIS_DATOS!$C$1512))-(CROQUIS_DATOS!$C$1511))+((CROQUIS_DATOS!$C$1476)*CROQUIS_DATOS!$C$1561-(0)*CROQUIS_DATOS!$C$1561))/CROQUIS_DATOS!$C$1568-0.000001))),2)=1,IF(INT(($A51-1)/2)+1&gt;MAX(1,INT(((((CROQUIS_DATOS!$C$1511+CROQUIS_DATOS!$C$1512))-(CROQUIS_DATOS!$C$1511))+((CROQUIS_DATOS!$C$1476)*CROQUIS_DATOS!$C$1561-(0)*CROQUIS_DATOS!$C$1561))/CROQUIS_DATOS!$C$1568-0.000001)),1,MOD($A51-1,2)),1-IF(INT(($A51-1)/2)+1&gt;MAX(1,INT(((((CROQUIS_DATOS!$C$1511+CROQUIS_DATOS!$C$1512))-(CROQUIS_DATOS!$C$1511))+((CROQUIS_DATOS!$C$1476)*CROQUIS_DATOS!$C$1561-(0)*CROQUIS_DATOS!$C$1561))/CROQUIS_DATOS!$C$1568-0.000001)),1,MOD($A51-1,2)))=1,MIN((CROQUIS_DATOS!$C$1476)*CROQUIS_DATOS!$C$1561,((CROQUIS_DATOS!$C$1511+CROQUIS_DATOS!$C$1512)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1">
        <f>IF(AND(CROQUIS_DATOS!$C$1472=1,CROQUIS_DATOS!$C$1512&gt;0,((CROQUIS_DATOS!$C$1511+CROQUIS_DATOS!$C$1512))-(CROQUIS_DATOS!$C$1511)&gt;0.5,(CROQUIS_DATOS!$C$1476)-(0)&gt;0.5),(CROQUIS_DATOS!$C$1567+(IF(IF(MOD(MIN(INT(($A51-1)/2)+1,MAX(1,INT(((((CROQUIS_DATOS!$C$1511+CROQUIS_DATOS!$C$1512))-(CROQUIS_DATOS!$C$1511))+((CROQUIS_DATOS!$C$1476)*CROQUIS_DATOS!$C$1561-(0)*CROQUIS_DATOS!$C$1561))/CROQUIS_DATOS!$C$1568-0.000001))),2)=1,IF(INT(($A51-1)/2)+1&gt;MAX(1,INT(((((CROQUIS_DATOS!$C$1511+CROQUIS_DATOS!$C$1512))-(CROQUIS_DATOS!$C$1511))+((CROQUIS_DATOS!$C$1476)*CROQUIS_DATOS!$C$1561-(0)*CROQUIS_DATOS!$C$1561))/CROQUIS_DATOS!$C$1568-0.000001)),1,MOD($A51-1,2)),1-IF(INT(($A51-1)/2)+1&gt;MAX(1,INT(((((CROQUIS_DATOS!$C$1511+CROQUIS_DATOS!$C$1512))-(CROQUIS_DATOS!$C$1511))+((CROQUIS_DATOS!$C$1476)*CROQUIS_DATOS!$C$1561-(0)*CROQUIS_DATOS!$C$1561))/CROQUIS_DATOS!$C$1568-0.000001)),1,MOD($A51-1,2)))=1,MIN((CROQUIS_DATOS!$C$1476)*CROQUIS_DATOS!$C$1561,((CROQUIS_DATOS!$C$1511+CROQUIS_DATOS!$C$1512)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1">
        <f>IF(AND(CROQUIS_DATOS!$C$1472=1,CROQUIS_DATOS!$C$1516&gt;0,((CROQUIS_DATOS!$C$1515+CROQUIS_DATOS!$C$1516))-(CROQUIS_DATOS!$C$1515)&gt;0.5,(CROQUIS_DATOS!$C$1476)-(0)&gt;0.5),(CROQUIS_DATOS!$C$1566+(IF(IF(MOD(MIN(INT(($A51-1)/2)+1,MAX(1,INT(((((CROQUIS_DATOS!$C$1515+CROQUIS_DATOS!$C$1516))-(CROQUIS_DATOS!$C$1515))+((CROQUIS_DATOS!$C$1476)*CROQUIS_DATOS!$C$1561-(0)*CROQUIS_DATOS!$C$1561))/CROQUIS_DATOS!$C$1568-0.000001))),2)=1,IF(INT(($A51-1)/2)+1&gt;MAX(1,INT(((((CROQUIS_DATOS!$C$1515+CROQUIS_DATOS!$C$1516))-(CROQUIS_DATOS!$C$1515))+((CROQUIS_DATOS!$C$1476)*CROQUIS_DATOS!$C$1561-(0)*CROQUIS_DATOS!$C$1561))/CROQUIS_DATOS!$C$1568-0.000001)),1,MOD($A51-1,2)),1-IF(INT(($A51-1)/2)+1&gt;MAX(1,INT(((((CROQUIS_DATOS!$C$1515+CROQUIS_DATOS!$C$1516))-(CROQUIS_DATOS!$C$1515))+((CROQUIS_DATOS!$C$1476)*CROQUIS_DATOS!$C$1561-(0)*CROQUIS_DATOS!$C$1561))/CROQUIS_DATOS!$C$1568-0.000001)),1,MOD($A51-1,2)))=1,MIN((CROQUIS_DATOS!$C$1476)*CROQUIS_DATOS!$C$1561,((CROQUIS_DATOS!$C$1515+CROQUIS_DATOS!$C$1516)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1">
        <f>IF(AND(CROQUIS_DATOS!$C$1472=1,CROQUIS_DATOS!$C$1516&gt;0,((CROQUIS_DATOS!$C$1515+CROQUIS_DATOS!$C$1516))-(CROQUIS_DATOS!$C$1515)&gt;0.5,(CROQUIS_DATOS!$C$1476)-(0)&gt;0.5),(CROQUIS_DATOS!$C$1567+(IF(IF(MOD(MIN(INT(($A51-1)/2)+1,MAX(1,INT(((((CROQUIS_DATOS!$C$1515+CROQUIS_DATOS!$C$1516))-(CROQUIS_DATOS!$C$1515))+((CROQUIS_DATOS!$C$1476)*CROQUIS_DATOS!$C$1561-(0)*CROQUIS_DATOS!$C$1561))/CROQUIS_DATOS!$C$1568-0.000001))),2)=1,IF(INT(($A51-1)/2)+1&gt;MAX(1,INT(((((CROQUIS_DATOS!$C$1515+CROQUIS_DATOS!$C$1516))-(CROQUIS_DATOS!$C$1515))+((CROQUIS_DATOS!$C$1476)*CROQUIS_DATOS!$C$1561-(0)*CROQUIS_DATOS!$C$1561))/CROQUIS_DATOS!$C$1568-0.000001)),1,MOD($A51-1,2)),1-IF(INT(($A51-1)/2)+1&gt;MAX(1,INT(((((CROQUIS_DATOS!$C$1515+CROQUIS_DATOS!$C$1516))-(CROQUIS_DATOS!$C$1515))+((CROQUIS_DATOS!$C$1476)*CROQUIS_DATOS!$C$1561-(0)*CROQUIS_DATOS!$C$1561))/CROQUIS_DATOS!$C$1568-0.000001)),1,MOD($A51-1,2)))=1,MIN((CROQUIS_DATOS!$C$1476)*CROQUIS_DATOS!$C$1561,((CROQUIS_DATOS!$C$1515+CROQUIS_DATOS!$C$1516)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1">
        <f>IF(AND(CROQUIS_DATOS!$C$1472=1,CROQUIS_DATOS!$C$1478&gt;=1,((CROQUIS_DATOS!$C$1479+CROQUIS_DATOS!$C$1480))-(CROQUIS_DATOS!$C$1479)&gt;0.5,(CROQUIS_DATOS!$C$1481)-(0)&gt;0.5),(CROQUIS_DATOS!$C$1566+(IF(IF(MOD(MIN(INT(($A51-1)/2)+1,MAX(1,INT(((((CROQUIS_DATOS!$C$1479+CROQUIS_DATOS!$C$1480))-(CROQUIS_DATOS!$C$1479))+((CROQUIS_DATOS!$C$1481)*CROQUIS_DATOS!$C$1561-(0)*CROQUIS_DATOS!$C$1561))/CROQUIS_DATOS!$C$1568-0.000001))),2)=1,IF(INT(($A51-1)/2)+1&gt;MAX(1,INT(((((CROQUIS_DATOS!$C$1479+CROQUIS_DATOS!$C$1480))-(CROQUIS_DATOS!$C$1479))+((CROQUIS_DATOS!$C$1481)*CROQUIS_DATOS!$C$1561-(0)*CROQUIS_DATOS!$C$1561))/CROQUIS_DATOS!$C$1568-0.000001)),1,MOD($A51-1,2)),1-IF(INT(($A51-1)/2)+1&gt;MAX(1,INT(((((CROQUIS_DATOS!$C$1479+CROQUIS_DATOS!$C$1480))-(CROQUIS_DATOS!$C$1479))+((CROQUIS_DATOS!$C$1481)*CROQUIS_DATOS!$C$1561-(0)*CROQUIS_DATOS!$C$1561))/CROQUIS_DATOS!$C$1568-0.000001)),1,MOD($A51-1,2)))=1,MIN((CROQUIS_DATOS!$C$1481)*CROQUIS_DATOS!$C$1561,((CROQUIS_DATOS!$C$1479+CROQUIS_DATOS!$C$1480)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1">
        <f>IF(AND(CROQUIS_DATOS!$C$1472=1,CROQUIS_DATOS!$C$1478&gt;=1,((CROQUIS_DATOS!$C$1479+CROQUIS_DATOS!$C$1480))-(CROQUIS_DATOS!$C$1479)&gt;0.5,(CROQUIS_DATOS!$C$1481)-(0)&gt;0.5),(CROQUIS_DATOS!$C$1567+(IF(IF(MOD(MIN(INT(($A51-1)/2)+1,MAX(1,INT(((((CROQUIS_DATOS!$C$1479+CROQUIS_DATOS!$C$1480))-(CROQUIS_DATOS!$C$1479))+((CROQUIS_DATOS!$C$1481)*CROQUIS_DATOS!$C$1561-(0)*CROQUIS_DATOS!$C$1561))/CROQUIS_DATOS!$C$1568-0.000001))),2)=1,IF(INT(($A51-1)/2)+1&gt;MAX(1,INT(((((CROQUIS_DATOS!$C$1479+CROQUIS_DATOS!$C$1480))-(CROQUIS_DATOS!$C$1479))+((CROQUIS_DATOS!$C$1481)*CROQUIS_DATOS!$C$1561-(0)*CROQUIS_DATOS!$C$1561))/CROQUIS_DATOS!$C$1568-0.000001)),1,MOD($A51-1,2)),1-IF(INT(($A51-1)/2)+1&gt;MAX(1,INT(((((CROQUIS_DATOS!$C$1479+CROQUIS_DATOS!$C$1480))-(CROQUIS_DATOS!$C$1479))+((CROQUIS_DATOS!$C$1481)*CROQUIS_DATOS!$C$1561-(0)*CROQUIS_DATOS!$C$1561))/CROQUIS_DATOS!$C$1568-0.000001)),1,MOD($A51-1,2)))=1,MIN((CROQUIS_DATOS!$C$1481)*CROQUIS_DATOS!$C$1561,((CROQUIS_DATOS!$C$1479+CROQUIS_DATOS!$C$1480)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1">
        <f>IF(AND(CROQUIS_DATOS!$C$1472=1,CROQUIS_DATOS!$C$1478&gt;=1,((CROQUIS_DATOS!$C$1479+CROQUIS_DATOS!$C$1480))-(CROQUIS_DATOS!$C$1479)&gt;0.5,(CROQUIS_DATOS!$C$1476)-((CROQUIS_DATOS!$C$1481+CROQUIS_DATOS!$C$1482))&gt;0.5),(CROQUIS_DATOS!$C$1566+(IF(IF(MOD(MIN(INT(($A51-1)/2)+1,MAX(1,INT(((((CROQUIS_DATOS!$C$1479+CROQUIS_DATOS!$C$1480))-(CROQUIS_DATOS!$C$1479))+((CROQUIS_DATOS!$C$1476)*CROQUIS_DATOS!$C$1561-((CROQUIS_DATOS!$C$1481+CROQUIS_DATOS!$C$1482))*CROQUIS_DATOS!$C$1561))/CROQUIS_DATOS!$C$1568-0.000001))),2)=1,IF(INT(($A51-1)/2)+1&gt;MAX(1,INT(((((CROQUIS_DATOS!$C$1479+CROQUIS_DATOS!$C$1480))-(CROQUIS_DATOS!$C$1479))+((CROQUIS_DATOS!$C$1476)*CROQUIS_DATOS!$C$1561-((CROQUIS_DATOS!$C$1481+CROQUIS_DATOS!$C$1482))*CROQUIS_DATOS!$C$1561))/CROQUIS_DATOS!$C$1568-0.000001)),1,MOD($A51-1,2)),1-IF(INT(($A51-1)/2)+1&gt;MAX(1,INT(((((CROQUIS_DATOS!$C$1479+CROQUIS_DATOS!$C$1480))-(CROQUIS_DATOS!$C$1479))+((CROQUIS_DATOS!$C$1476)*CROQUIS_DATOS!$C$1561-((CROQUIS_DATOS!$C$1481+CROQUIS_DATOS!$C$1482))*CROQUIS_DATOS!$C$1561))/CROQUIS_DATOS!$C$1568-0.000001)),1,MOD($A51-1,2)))=1,MIN((CROQUIS_DATOS!$C$1476)*CROQUIS_DATOS!$C$1561,((CROQUIS_DATOS!$C$1479+CROQUIS_DATOS!$C$1480)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1">
        <f>IF(AND(CROQUIS_DATOS!$C$1472=1,CROQUIS_DATOS!$C$1478&gt;=1,((CROQUIS_DATOS!$C$1479+CROQUIS_DATOS!$C$1480))-(CROQUIS_DATOS!$C$1479)&gt;0.5,(CROQUIS_DATOS!$C$1476)-((CROQUIS_DATOS!$C$1481+CROQUIS_DATOS!$C$1482))&gt;0.5),(CROQUIS_DATOS!$C$1567+(IF(IF(MOD(MIN(INT(($A51-1)/2)+1,MAX(1,INT(((((CROQUIS_DATOS!$C$1479+CROQUIS_DATOS!$C$1480))-(CROQUIS_DATOS!$C$1479))+((CROQUIS_DATOS!$C$1476)*CROQUIS_DATOS!$C$1561-((CROQUIS_DATOS!$C$1481+CROQUIS_DATOS!$C$1482))*CROQUIS_DATOS!$C$1561))/CROQUIS_DATOS!$C$1568-0.000001))),2)=1,IF(INT(($A51-1)/2)+1&gt;MAX(1,INT(((((CROQUIS_DATOS!$C$1479+CROQUIS_DATOS!$C$1480))-(CROQUIS_DATOS!$C$1479))+((CROQUIS_DATOS!$C$1476)*CROQUIS_DATOS!$C$1561-((CROQUIS_DATOS!$C$1481+CROQUIS_DATOS!$C$1482))*CROQUIS_DATOS!$C$1561))/CROQUIS_DATOS!$C$1568-0.000001)),1,MOD($A51-1,2)),1-IF(INT(($A51-1)/2)+1&gt;MAX(1,INT(((((CROQUIS_DATOS!$C$1479+CROQUIS_DATOS!$C$1480))-(CROQUIS_DATOS!$C$1479))+((CROQUIS_DATOS!$C$1476)*CROQUIS_DATOS!$C$1561-((CROQUIS_DATOS!$C$1481+CROQUIS_DATOS!$C$1482))*CROQUIS_DATOS!$C$1561))/CROQUIS_DATOS!$C$1568-0.000001)),1,MOD($A51-1,2)))=1,MIN((CROQUIS_DATOS!$C$1476)*CROQUIS_DATOS!$C$1561,((CROQUIS_DATOS!$C$1479+CROQUIS_DATOS!$C$1480)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1">
        <f>IF(AND(CROQUIS_DATOS!$C$1472=1,CROQUIS_DATOS!$C$1478&gt;=2,((CROQUIS_DATOS!$C$1484+CROQUIS_DATOS!$C$1485))-(CROQUIS_DATOS!$C$1484)&gt;0.5,(CROQUIS_DATOS!$C$1486)-(0)&gt;0.5),(CROQUIS_DATOS!$C$1566+(IF(IF(MOD(MIN(INT(($A51-1)/2)+1,MAX(1,INT(((((CROQUIS_DATOS!$C$1484+CROQUIS_DATOS!$C$1485))-(CROQUIS_DATOS!$C$1484))+((CROQUIS_DATOS!$C$1486)*CROQUIS_DATOS!$C$1561-(0)*CROQUIS_DATOS!$C$1561))/CROQUIS_DATOS!$C$1568-0.000001))),2)=1,IF(INT(($A51-1)/2)+1&gt;MAX(1,INT(((((CROQUIS_DATOS!$C$1484+CROQUIS_DATOS!$C$1485))-(CROQUIS_DATOS!$C$1484))+((CROQUIS_DATOS!$C$1486)*CROQUIS_DATOS!$C$1561-(0)*CROQUIS_DATOS!$C$1561))/CROQUIS_DATOS!$C$1568-0.000001)),1,MOD($A51-1,2)),1-IF(INT(($A51-1)/2)+1&gt;MAX(1,INT(((((CROQUIS_DATOS!$C$1484+CROQUIS_DATOS!$C$1485))-(CROQUIS_DATOS!$C$1484))+((CROQUIS_DATOS!$C$1486)*CROQUIS_DATOS!$C$1561-(0)*CROQUIS_DATOS!$C$1561))/CROQUIS_DATOS!$C$1568-0.000001)),1,MOD($A51-1,2)))=1,MIN((CROQUIS_DATOS!$C$1486)*CROQUIS_DATOS!$C$1561,((CROQUIS_DATOS!$C$1484+CROQUIS_DATOS!$C$1485)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1">
        <f>IF(AND(CROQUIS_DATOS!$C$1472=1,CROQUIS_DATOS!$C$1478&gt;=2,((CROQUIS_DATOS!$C$1484+CROQUIS_DATOS!$C$1485))-(CROQUIS_DATOS!$C$1484)&gt;0.5,(CROQUIS_DATOS!$C$1486)-(0)&gt;0.5),(CROQUIS_DATOS!$C$1567+(IF(IF(MOD(MIN(INT(($A51-1)/2)+1,MAX(1,INT(((((CROQUIS_DATOS!$C$1484+CROQUIS_DATOS!$C$1485))-(CROQUIS_DATOS!$C$1484))+((CROQUIS_DATOS!$C$1486)*CROQUIS_DATOS!$C$1561-(0)*CROQUIS_DATOS!$C$1561))/CROQUIS_DATOS!$C$1568-0.000001))),2)=1,IF(INT(($A51-1)/2)+1&gt;MAX(1,INT(((((CROQUIS_DATOS!$C$1484+CROQUIS_DATOS!$C$1485))-(CROQUIS_DATOS!$C$1484))+((CROQUIS_DATOS!$C$1486)*CROQUIS_DATOS!$C$1561-(0)*CROQUIS_DATOS!$C$1561))/CROQUIS_DATOS!$C$1568-0.000001)),1,MOD($A51-1,2)),1-IF(INT(($A51-1)/2)+1&gt;MAX(1,INT(((((CROQUIS_DATOS!$C$1484+CROQUIS_DATOS!$C$1485))-(CROQUIS_DATOS!$C$1484))+((CROQUIS_DATOS!$C$1486)*CROQUIS_DATOS!$C$1561-(0)*CROQUIS_DATOS!$C$1561))/CROQUIS_DATOS!$C$1568-0.000001)),1,MOD($A51-1,2)))=1,MIN((CROQUIS_DATOS!$C$1486)*CROQUIS_DATOS!$C$1561,((CROQUIS_DATOS!$C$1484+CROQUIS_DATOS!$C$1485)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1">
        <f>IF(AND(CROQUIS_DATOS!$C$1472=1,CROQUIS_DATOS!$C$1478&gt;=2,((CROQUIS_DATOS!$C$1484+CROQUIS_DATOS!$C$1485))-(CROQUIS_DATOS!$C$1484)&gt;0.5,(CROQUIS_DATOS!$C$1476)-((CROQUIS_DATOS!$C$1486+CROQUIS_DATOS!$C$1487))&gt;0.5),(CROQUIS_DATOS!$C$1566+(IF(IF(MOD(MIN(INT(($A51-1)/2)+1,MAX(1,INT(((((CROQUIS_DATOS!$C$1484+CROQUIS_DATOS!$C$1485))-(CROQUIS_DATOS!$C$1484))+((CROQUIS_DATOS!$C$1476)*CROQUIS_DATOS!$C$1561-((CROQUIS_DATOS!$C$1486+CROQUIS_DATOS!$C$1487))*CROQUIS_DATOS!$C$1561))/CROQUIS_DATOS!$C$1568-0.000001))),2)=1,IF(INT(($A51-1)/2)+1&gt;MAX(1,INT(((((CROQUIS_DATOS!$C$1484+CROQUIS_DATOS!$C$1485))-(CROQUIS_DATOS!$C$1484))+((CROQUIS_DATOS!$C$1476)*CROQUIS_DATOS!$C$1561-((CROQUIS_DATOS!$C$1486+CROQUIS_DATOS!$C$1487))*CROQUIS_DATOS!$C$1561))/CROQUIS_DATOS!$C$1568-0.000001)),1,MOD($A51-1,2)),1-IF(INT(($A51-1)/2)+1&gt;MAX(1,INT(((((CROQUIS_DATOS!$C$1484+CROQUIS_DATOS!$C$1485))-(CROQUIS_DATOS!$C$1484))+((CROQUIS_DATOS!$C$1476)*CROQUIS_DATOS!$C$1561-((CROQUIS_DATOS!$C$1486+CROQUIS_DATOS!$C$1487))*CROQUIS_DATOS!$C$1561))/CROQUIS_DATOS!$C$1568-0.000001)),1,MOD($A51-1,2)))=1,MIN((CROQUIS_DATOS!$C$1476)*CROQUIS_DATOS!$C$1561,((CROQUIS_DATOS!$C$1484+CROQUIS_DATOS!$C$1485)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1">
        <f>IF(AND(CROQUIS_DATOS!$C$1472=1,CROQUIS_DATOS!$C$1478&gt;=2,((CROQUIS_DATOS!$C$1484+CROQUIS_DATOS!$C$1485))-(CROQUIS_DATOS!$C$1484)&gt;0.5,(CROQUIS_DATOS!$C$1476)-((CROQUIS_DATOS!$C$1486+CROQUIS_DATOS!$C$1487))&gt;0.5),(CROQUIS_DATOS!$C$1567+(IF(IF(MOD(MIN(INT(($A51-1)/2)+1,MAX(1,INT(((((CROQUIS_DATOS!$C$1484+CROQUIS_DATOS!$C$1485))-(CROQUIS_DATOS!$C$1484))+((CROQUIS_DATOS!$C$1476)*CROQUIS_DATOS!$C$1561-((CROQUIS_DATOS!$C$1486+CROQUIS_DATOS!$C$1487))*CROQUIS_DATOS!$C$1561))/CROQUIS_DATOS!$C$1568-0.000001))),2)=1,IF(INT(($A51-1)/2)+1&gt;MAX(1,INT(((((CROQUIS_DATOS!$C$1484+CROQUIS_DATOS!$C$1485))-(CROQUIS_DATOS!$C$1484))+((CROQUIS_DATOS!$C$1476)*CROQUIS_DATOS!$C$1561-((CROQUIS_DATOS!$C$1486+CROQUIS_DATOS!$C$1487))*CROQUIS_DATOS!$C$1561))/CROQUIS_DATOS!$C$1568-0.000001)),1,MOD($A51-1,2)),1-IF(INT(($A51-1)/2)+1&gt;MAX(1,INT(((((CROQUIS_DATOS!$C$1484+CROQUIS_DATOS!$C$1485))-(CROQUIS_DATOS!$C$1484))+((CROQUIS_DATOS!$C$1476)*CROQUIS_DATOS!$C$1561-((CROQUIS_DATOS!$C$1486+CROQUIS_DATOS!$C$1487))*CROQUIS_DATOS!$C$1561))/CROQUIS_DATOS!$C$1568-0.000001)),1,MOD($A51-1,2)))=1,MIN((CROQUIS_DATOS!$C$1476)*CROQUIS_DATOS!$C$1561,((CROQUIS_DATOS!$C$1484+CROQUIS_DATOS!$C$1485)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1">
        <f>IF(AND(CROQUIS_DATOS!$C$1472=1,CROQUIS_DATOS!$C$1478&gt;=3,((CROQUIS_DATOS!$C$1489+CROQUIS_DATOS!$C$1490))-(CROQUIS_DATOS!$C$1489)&gt;0.5,(CROQUIS_DATOS!$C$1491)-(0)&gt;0.5),(CROQUIS_DATOS!$C$1566+(IF(IF(MOD(MIN(INT(($A51-1)/2)+1,MAX(1,INT(((((CROQUIS_DATOS!$C$1489+CROQUIS_DATOS!$C$1490))-(CROQUIS_DATOS!$C$1489))+((CROQUIS_DATOS!$C$1491)*CROQUIS_DATOS!$C$1561-(0)*CROQUIS_DATOS!$C$1561))/CROQUIS_DATOS!$C$1568-0.000001))),2)=1,IF(INT(($A51-1)/2)+1&gt;MAX(1,INT(((((CROQUIS_DATOS!$C$1489+CROQUIS_DATOS!$C$1490))-(CROQUIS_DATOS!$C$1489))+((CROQUIS_DATOS!$C$1491)*CROQUIS_DATOS!$C$1561-(0)*CROQUIS_DATOS!$C$1561))/CROQUIS_DATOS!$C$1568-0.000001)),1,MOD($A51-1,2)),1-IF(INT(($A51-1)/2)+1&gt;MAX(1,INT(((((CROQUIS_DATOS!$C$1489+CROQUIS_DATOS!$C$1490))-(CROQUIS_DATOS!$C$1489))+((CROQUIS_DATOS!$C$1491)*CROQUIS_DATOS!$C$1561-(0)*CROQUIS_DATOS!$C$1561))/CROQUIS_DATOS!$C$1568-0.000001)),1,MOD($A51-1,2)))=1,MIN((CROQUIS_DATOS!$C$1491)*CROQUIS_DATOS!$C$1561,((CROQUIS_DATOS!$C$1489+CROQUIS_DATOS!$C$1490)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1">
        <f>IF(AND(CROQUIS_DATOS!$C$1472=1,CROQUIS_DATOS!$C$1478&gt;=3,((CROQUIS_DATOS!$C$1489+CROQUIS_DATOS!$C$1490))-(CROQUIS_DATOS!$C$1489)&gt;0.5,(CROQUIS_DATOS!$C$1491)-(0)&gt;0.5),(CROQUIS_DATOS!$C$1567+(IF(IF(MOD(MIN(INT(($A51-1)/2)+1,MAX(1,INT(((((CROQUIS_DATOS!$C$1489+CROQUIS_DATOS!$C$1490))-(CROQUIS_DATOS!$C$1489))+((CROQUIS_DATOS!$C$1491)*CROQUIS_DATOS!$C$1561-(0)*CROQUIS_DATOS!$C$1561))/CROQUIS_DATOS!$C$1568-0.000001))),2)=1,IF(INT(($A51-1)/2)+1&gt;MAX(1,INT(((((CROQUIS_DATOS!$C$1489+CROQUIS_DATOS!$C$1490))-(CROQUIS_DATOS!$C$1489))+((CROQUIS_DATOS!$C$1491)*CROQUIS_DATOS!$C$1561-(0)*CROQUIS_DATOS!$C$1561))/CROQUIS_DATOS!$C$1568-0.000001)),1,MOD($A51-1,2)),1-IF(INT(($A51-1)/2)+1&gt;MAX(1,INT(((((CROQUIS_DATOS!$C$1489+CROQUIS_DATOS!$C$1490))-(CROQUIS_DATOS!$C$1489))+((CROQUIS_DATOS!$C$1491)*CROQUIS_DATOS!$C$1561-(0)*CROQUIS_DATOS!$C$1561))/CROQUIS_DATOS!$C$1568-0.000001)),1,MOD($A51-1,2)))=1,MIN((CROQUIS_DATOS!$C$1491)*CROQUIS_DATOS!$C$1561,((CROQUIS_DATOS!$C$1489+CROQUIS_DATOS!$C$1490)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1">
        <f>IF(AND(CROQUIS_DATOS!$C$1472=1,CROQUIS_DATOS!$C$1478&gt;=3,((CROQUIS_DATOS!$C$1489+CROQUIS_DATOS!$C$1490))-(CROQUIS_DATOS!$C$1489)&gt;0.5,(CROQUIS_DATOS!$C$1476)-((CROQUIS_DATOS!$C$1491+CROQUIS_DATOS!$C$1492))&gt;0.5),(CROQUIS_DATOS!$C$1566+(IF(IF(MOD(MIN(INT(($A51-1)/2)+1,MAX(1,INT(((((CROQUIS_DATOS!$C$1489+CROQUIS_DATOS!$C$1490))-(CROQUIS_DATOS!$C$1489))+((CROQUIS_DATOS!$C$1476)*CROQUIS_DATOS!$C$1561-((CROQUIS_DATOS!$C$1491+CROQUIS_DATOS!$C$1492))*CROQUIS_DATOS!$C$1561))/CROQUIS_DATOS!$C$1568-0.000001))),2)=1,IF(INT(($A51-1)/2)+1&gt;MAX(1,INT(((((CROQUIS_DATOS!$C$1489+CROQUIS_DATOS!$C$1490))-(CROQUIS_DATOS!$C$1489))+((CROQUIS_DATOS!$C$1476)*CROQUIS_DATOS!$C$1561-((CROQUIS_DATOS!$C$1491+CROQUIS_DATOS!$C$1492))*CROQUIS_DATOS!$C$1561))/CROQUIS_DATOS!$C$1568-0.000001)),1,MOD($A51-1,2)),1-IF(INT(($A51-1)/2)+1&gt;MAX(1,INT(((((CROQUIS_DATOS!$C$1489+CROQUIS_DATOS!$C$1490))-(CROQUIS_DATOS!$C$1489))+((CROQUIS_DATOS!$C$1476)*CROQUIS_DATOS!$C$1561-((CROQUIS_DATOS!$C$1491+CROQUIS_DATOS!$C$1492))*CROQUIS_DATOS!$C$1561))/CROQUIS_DATOS!$C$1568-0.000001)),1,MOD($A51-1,2)))=1,MIN((CROQUIS_DATOS!$C$1476)*CROQUIS_DATOS!$C$1561,((CROQUIS_DATOS!$C$1489+CROQUIS_DATOS!$C$1490)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1">
        <f>IF(AND(CROQUIS_DATOS!$C$1472=1,CROQUIS_DATOS!$C$1478&gt;=3,((CROQUIS_DATOS!$C$1489+CROQUIS_DATOS!$C$1490))-(CROQUIS_DATOS!$C$1489)&gt;0.5,(CROQUIS_DATOS!$C$1476)-((CROQUIS_DATOS!$C$1491+CROQUIS_DATOS!$C$1492))&gt;0.5),(CROQUIS_DATOS!$C$1567+(IF(IF(MOD(MIN(INT(($A51-1)/2)+1,MAX(1,INT(((((CROQUIS_DATOS!$C$1489+CROQUIS_DATOS!$C$1490))-(CROQUIS_DATOS!$C$1489))+((CROQUIS_DATOS!$C$1476)*CROQUIS_DATOS!$C$1561-((CROQUIS_DATOS!$C$1491+CROQUIS_DATOS!$C$1492))*CROQUIS_DATOS!$C$1561))/CROQUIS_DATOS!$C$1568-0.000001))),2)=1,IF(INT(($A51-1)/2)+1&gt;MAX(1,INT(((((CROQUIS_DATOS!$C$1489+CROQUIS_DATOS!$C$1490))-(CROQUIS_DATOS!$C$1489))+((CROQUIS_DATOS!$C$1476)*CROQUIS_DATOS!$C$1561-((CROQUIS_DATOS!$C$1491+CROQUIS_DATOS!$C$1492))*CROQUIS_DATOS!$C$1561))/CROQUIS_DATOS!$C$1568-0.000001)),1,MOD($A51-1,2)),1-IF(INT(($A51-1)/2)+1&gt;MAX(1,INT(((((CROQUIS_DATOS!$C$1489+CROQUIS_DATOS!$C$1490))-(CROQUIS_DATOS!$C$1489))+((CROQUIS_DATOS!$C$1476)*CROQUIS_DATOS!$C$1561-((CROQUIS_DATOS!$C$1491+CROQUIS_DATOS!$C$1492))*CROQUIS_DATOS!$C$1561))/CROQUIS_DATOS!$C$1568-0.000001)),1,MOD($A51-1,2)))=1,MIN((CROQUIS_DATOS!$C$1476)*CROQUIS_DATOS!$C$1561,((CROQUIS_DATOS!$C$1489+CROQUIS_DATOS!$C$1490)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1">
        <f>IF(AND(CROQUIS_DATOS!$C$1472=1,CROQUIS_DATOS!$C$1478&gt;=4,((CROQUIS_DATOS!$C$1494+CROQUIS_DATOS!$C$1495))-(CROQUIS_DATOS!$C$1494)&gt;0.5,(CROQUIS_DATOS!$C$1496)-(0)&gt;0.5),(CROQUIS_DATOS!$C$1566+(IF(IF(MOD(MIN(INT(($A51-1)/2)+1,MAX(1,INT(((((CROQUIS_DATOS!$C$1494+CROQUIS_DATOS!$C$1495))-(CROQUIS_DATOS!$C$1494))+((CROQUIS_DATOS!$C$1496)*CROQUIS_DATOS!$C$1561-(0)*CROQUIS_DATOS!$C$1561))/CROQUIS_DATOS!$C$1568-0.000001))),2)=1,IF(INT(($A51-1)/2)+1&gt;MAX(1,INT(((((CROQUIS_DATOS!$C$1494+CROQUIS_DATOS!$C$1495))-(CROQUIS_DATOS!$C$1494))+((CROQUIS_DATOS!$C$1496)*CROQUIS_DATOS!$C$1561-(0)*CROQUIS_DATOS!$C$1561))/CROQUIS_DATOS!$C$1568-0.000001)),1,MOD($A51-1,2)),1-IF(INT(($A51-1)/2)+1&gt;MAX(1,INT(((((CROQUIS_DATOS!$C$1494+CROQUIS_DATOS!$C$1495))-(CROQUIS_DATOS!$C$1494))+((CROQUIS_DATOS!$C$1496)*CROQUIS_DATOS!$C$1561-(0)*CROQUIS_DATOS!$C$1561))/CROQUIS_DATOS!$C$1568-0.000001)),1,MOD($A51-1,2)))=1,MIN((CROQUIS_DATOS!$C$1496)*CROQUIS_DATOS!$C$1561,((CROQUIS_DATOS!$C$1494+CROQUIS_DATOS!$C$1495)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1">
        <f>IF(AND(CROQUIS_DATOS!$C$1472=1,CROQUIS_DATOS!$C$1478&gt;=4,((CROQUIS_DATOS!$C$1494+CROQUIS_DATOS!$C$1495))-(CROQUIS_DATOS!$C$1494)&gt;0.5,(CROQUIS_DATOS!$C$1496)-(0)&gt;0.5),(CROQUIS_DATOS!$C$1567+(IF(IF(MOD(MIN(INT(($A51-1)/2)+1,MAX(1,INT(((((CROQUIS_DATOS!$C$1494+CROQUIS_DATOS!$C$1495))-(CROQUIS_DATOS!$C$1494))+((CROQUIS_DATOS!$C$1496)*CROQUIS_DATOS!$C$1561-(0)*CROQUIS_DATOS!$C$1561))/CROQUIS_DATOS!$C$1568-0.000001))),2)=1,IF(INT(($A51-1)/2)+1&gt;MAX(1,INT(((((CROQUIS_DATOS!$C$1494+CROQUIS_DATOS!$C$1495))-(CROQUIS_DATOS!$C$1494))+((CROQUIS_DATOS!$C$1496)*CROQUIS_DATOS!$C$1561-(0)*CROQUIS_DATOS!$C$1561))/CROQUIS_DATOS!$C$1568-0.000001)),1,MOD($A51-1,2)),1-IF(INT(($A51-1)/2)+1&gt;MAX(1,INT(((((CROQUIS_DATOS!$C$1494+CROQUIS_DATOS!$C$1495))-(CROQUIS_DATOS!$C$1494))+((CROQUIS_DATOS!$C$1496)*CROQUIS_DATOS!$C$1561-(0)*CROQUIS_DATOS!$C$1561))/CROQUIS_DATOS!$C$1568-0.000001)),1,MOD($A51-1,2)))=1,MIN((CROQUIS_DATOS!$C$1496)*CROQUIS_DATOS!$C$1561,((CROQUIS_DATOS!$C$1494+CROQUIS_DATOS!$C$1495)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1">
        <f>IF(AND(CROQUIS_DATOS!$C$1472=1,CROQUIS_DATOS!$C$1478&gt;=4,((CROQUIS_DATOS!$C$1494+CROQUIS_DATOS!$C$1495))-(CROQUIS_DATOS!$C$1494)&gt;0.5,(CROQUIS_DATOS!$C$1476)-((CROQUIS_DATOS!$C$1496+CROQUIS_DATOS!$C$1497))&gt;0.5),(CROQUIS_DATOS!$C$1566+(IF(IF(MOD(MIN(INT(($A51-1)/2)+1,MAX(1,INT(((((CROQUIS_DATOS!$C$1494+CROQUIS_DATOS!$C$1495))-(CROQUIS_DATOS!$C$1494))+((CROQUIS_DATOS!$C$1476)*CROQUIS_DATOS!$C$1561-((CROQUIS_DATOS!$C$1496+CROQUIS_DATOS!$C$1497))*CROQUIS_DATOS!$C$1561))/CROQUIS_DATOS!$C$1568-0.000001))),2)=1,IF(INT(($A51-1)/2)+1&gt;MAX(1,INT(((((CROQUIS_DATOS!$C$1494+CROQUIS_DATOS!$C$1495))-(CROQUIS_DATOS!$C$1494))+((CROQUIS_DATOS!$C$1476)*CROQUIS_DATOS!$C$1561-((CROQUIS_DATOS!$C$1496+CROQUIS_DATOS!$C$1497))*CROQUIS_DATOS!$C$1561))/CROQUIS_DATOS!$C$1568-0.000001)),1,MOD($A51-1,2)),1-IF(INT(($A51-1)/2)+1&gt;MAX(1,INT(((((CROQUIS_DATOS!$C$1494+CROQUIS_DATOS!$C$1495))-(CROQUIS_DATOS!$C$1494))+((CROQUIS_DATOS!$C$1476)*CROQUIS_DATOS!$C$1561-((CROQUIS_DATOS!$C$1496+CROQUIS_DATOS!$C$1497))*CROQUIS_DATOS!$C$1561))/CROQUIS_DATOS!$C$1568-0.000001)),1,MOD($A51-1,2)))=1,MIN((CROQUIS_DATOS!$C$1476)*CROQUIS_DATOS!$C$1561,((CROQUIS_DATOS!$C$1494+CROQUIS_DATOS!$C$1495)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1">
        <f>IF(AND(CROQUIS_DATOS!$C$1472=1,CROQUIS_DATOS!$C$1478&gt;=4,((CROQUIS_DATOS!$C$1494+CROQUIS_DATOS!$C$1495))-(CROQUIS_DATOS!$C$1494)&gt;0.5,(CROQUIS_DATOS!$C$1476)-((CROQUIS_DATOS!$C$1496+CROQUIS_DATOS!$C$1497))&gt;0.5),(CROQUIS_DATOS!$C$1567+(IF(IF(MOD(MIN(INT(($A51-1)/2)+1,MAX(1,INT(((((CROQUIS_DATOS!$C$1494+CROQUIS_DATOS!$C$1495))-(CROQUIS_DATOS!$C$1494))+((CROQUIS_DATOS!$C$1476)*CROQUIS_DATOS!$C$1561-((CROQUIS_DATOS!$C$1496+CROQUIS_DATOS!$C$1497))*CROQUIS_DATOS!$C$1561))/CROQUIS_DATOS!$C$1568-0.000001))),2)=1,IF(INT(($A51-1)/2)+1&gt;MAX(1,INT(((((CROQUIS_DATOS!$C$1494+CROQUIS_DATOS!$C$1495))-(CROQUIS_DATOS!$C$1494))+((CROQUIS_DATOS!$C$1476)*CROQUIS_DATOS!$C$1561-((CROQUIS_DATOS!$C$1496+CROQUIS_DATOS!$C$1497))*CROQUIS_DATOS!$C$1561))/CROQUIS_DATOS!$C$1568-0.000001)),1,MOD($A51-1,2)),1-IF(INT(($A51-1)/2)+1&gt;MAX(1,INT(((((CROQUIS_DATOS!$C$1494+CROQUIS_DATOS!$C$1495))-(CROQUIS_DATOS!$C$1494))+((CROQUIS_DATOS!$C$1476)*CROQUIS_DATOS!$C$1561-((CROQUIS_DATOS!$C$1496+CROQUIS_DATOS!$C$1497))*CROQUIS_DATOS!$C$1561))/CROQUIS_DATOS!$C$1568-0.000001)),1,MOD($A51-1,2)))=1,MIN((CROQUIS_DATOS!$C$1476)*CROQUIS_DATOS!$C$1561,((CROQUIS_DATOS!$C$1494+CROQUIS_DATOS!$C$1495)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1">
        <f>IF(AND(CROQUIS_DATOS!$C$1472=1,1),(CROQUIS_DATOS!$C$1571+(CHOOSE(MIN(MAX(IF(INT(($A51-1)/5)+1&gt;CROQUIS_DATOS!$C$1525,5,MOD($A51-1,5)+1),1),5),(INDEX($E$8:$E$23,MIN(INT(($A51-1)/5)+1,CROQUIS_DATOS!$C$1525))-INDEX($F$8:$F$23,MIN(INT(($A51-1)/5)+1,CROQUIS_DATOS!$C$1525))/2),(INDEX($E$8:$E$23,MIN(INT(($A51-1)/5)+1,CROQUIS_DATOS!$C$1525))+INDEX($F$8:$F$23,MIN(INT(($A51-1)/5)+1,CROQUIS_DATOS!$C$1525))/2),(INDEX($E$8:$E$23,MIN(INT(($A51-1)/5)+1,CROQUIS_DATOS!$C$1525))+INDEX($F$8:$F$23,MIN(INT(($A51-1)/5)+1,CROQUIS_DATOS!$C$1525))/2),(INDEX($E$8:$E$23,MIN(INT(($A51-1)/5)+1,CROQUIS_DATOS!$C$1525))-INDEX($F$8:$F$23,MIN(INT(($A51-1)/5)+1,CROQUIS_DATOS!$C$1525))/2),(INDEX($E$8:$E$23,MIN(INT(($A51-1)/5)+1,CROQUIS_DATOS!$C$1525))-INDEX($F$8:$F$23,MIN(INT(($A51-1)/5)+1,CROQUIS_DATOS!$C$1525))/2)))*CROQUIS_DATOS!$C$1569),-1000)</f>
        <v>95.24</v>
      </c>
      <c r="GE51">
        <f>IF(AND(CROQUIS_DATOS!$C$1472=1,1),(CROQUIS_DATOS!$C$1572+(CHOOSE(MIN(MAX(IF(INT(($A51-1)/5)+1&gt;CROQUIS_DATOS!$C$1525,5,MOD($A51-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1">
        <f>IF(AND(CROQUIS_DATOS!$C$1472=1,1),IF(INT(($A51-1)/4)+1&lt;=CROQUIS_DATOS!$C$1525,(CROQUIS_DATOS!$C$1571+((INDEX($E$8:$E$23,MIN(INT(($A51-1)/4)+1,16))+IF(OR(MOD($A51-1,4)=0,MOD($A51-1,4)=3),-1,1)*(INDEX($F$8:$F$23,MIN(INT(($A51-1)/4)+1,16))/2-(CROQUIS_DATOS!$C$1530+CROQUIS_DATOS!$C$1532+IF(OR(INT(($A51-1)/4)+1=1,INT(($A51-1)/4)+1=CROQUIS_DATOS!$C$1525),CROQUIS_DATOS!$C$1534,CROQUIS_DATOS!$C$1531)/2))))*CROQUIS_DATOS!$C$1569),-1000),-1000)</f>
        <v>-1000</v>
      </c>
      <c r="GG51">
        <f>IF(AND(CROQUIS_DATOS!$C$1472=1,1),IF(INT(($A51-1)/4)+1&lt;=CROQUIS_DATOS!$C$1525,(CROQUIS_DATOS!$C$1572+((CROQUIS_DATOS!$C$1477/2+IF(MOD($A51-1,4)&lt;2,-1,1)*(CROQUIS_DATOS!$C$1527/2-(CROQUIS_DATOS!$C$1530+CROQUIS_DATOS!$C$1532+IF(OR(INT(($A51-1)/4)+1=1,INT(($A51-1)/4)+1=CROQUIS_DATOS!$C$1525),CROQUIS_DATOS!$C$1534,CROQUIS_DATOS!$C$1531)/2))))*CROQUIS_DATOS!$C$1569*CROQUIS_DATOS!$C$1570),-1000),-1000)</f>
        <v>-1000</v>
      </c>
    </row>
    <row r="52">
      <c r="A52" t="n">
        <v>45</v>
      </c>
      <c r="J52">
        <f>IF(AND(CROQUIS_DATOS!$C$1472=1,1),(CROQUIS_DATOS!$C$1563+(CHOOSE(MIN(MAX(IF(INT(($A52-1)/4)+1&gt;CROQUIS_DATOS!$C$1525,4,MOD($A52-1,4)+1),1),4),(INDEX($E$8:$E$23,MIN(INT(($A52-1)/4)+1,CROQUIS_DATOS!$C$1525))-INDEX($F$8:$F$23,MIN(INT(($A52-1)/4)+1,CROQUIS_DATOS!$C$1525))/2),(INDEX($E$8:$E$23,MIN(INT(($A52-1)/4)+1,CROQUIS_DATOS!$C$1525))-INDEX($F$8:$F$23,MIN(INT(($A52-1)/4)+1,CROQUIS_DATOS!$C$1525))/2),(INDEX($E$8:$E$23,MIN(INT(($A52-1)/4)+1,CROQUIS_DATOS!$C$1525))+INDEX($F$8:$F$23,MIN(INT(($A52-1)/4)+1,CROQUIS_DATOS!$C$1525))/2),(INDEX($E$8:$E$23,MIN(INT(($A52-1)/4)+1,CROQUIS_DATOS!$C$1525))+INDEX($F$8:$F$23,MIN(INT(($A52-1)/4)+1,CROQUIS_DATOS!$C$1525))/2)))*CROQUIS_DATOS!$C$1562),-1000)</f>
        <v>84.9137931034483</v>
      </c>
      <c r="K52">
        <f>IF(AND(CROQUIS_DATOS!$C$1472=1,1),(CROQUIS_DATOS!$C$1564+(CHOOSE(MIN(MAX(IF(INT(($A52-1)/4)+1&gt;CROQUIS_DATOS!$C$1525,4,MOD($A52-1,4)+1),1),4),0,CROQUIS_DATOS!$C$1476,CROQUIS_DATOS!$C$1476,0))*CROQUIS_DATOS!$C$1561*CROQUIS_DATOS!$C$1562),-1000)</f>
        <v>5.29310344827586</v>
      </c>
      <c r="L52">
        <f>IF(AND(CROQUIS_DATOS!$C$1472=1,1),(CROQUIS_DATOS!$C$1563+(CHOOSE(MIN(MAX(IF(INT(($A52-1)/4)+1&gt;CROQUIS_DATOS!$C$1525,4,MOD($A52-1,4)+1),1),4),((INDEX($E$8:$E$23,MIN(INT(($A52-1)/4)+1,CROQUIS_DATOS!$C$1525))-INDEX($F$8:$F$23,MIN(INT(($A52-1)/4)+1,CROQUIS_DATOS!$C$1525))/2)+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,((INDEX($E$8:$E$23,MIN(INT(($A52-1)/4)+1,CROQUIS_DATOS!$C$1525))-INDEX($F$8:$F$23,MIN(INT(($A52-1)/4)+1,CROQUIS_DATOS!$C$1525))/2)+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,((INDEX($E$8:$E$23,MIN(INT(($A52-1)/4)+1,CROQUIS_DATOS!$C$1525))+INDEX($F$8:$F$23,MIN(INT(($A52-1)/4)+1,CROQUIS_DATOS!$C$1525))/2)-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,((INDEX($E$8:$E$23,MIN(INT(($A52-1)/4)+1,CROQUIS_DATOS!$C$1525))+INDEX($F$8:$F$23,MIN(INT(($A52-1)/4)+1,CROQUIS_DATOS!$C$1525))/2)-MIN((CROQUIS_DATOS!$C$1530+CROQUIS_DATOS!$C$1532+IF(OR(MIN(INT(($A52-1)/4)+1,CROQUIS_DATOS!$C$1525)=1,MIN(INT(($A52-1)/4)+1,CROQUIS_DATOS!$C$1525)=CROQUIS_DATOS!$C$1525),CROQUIS_DATOS!$C$1534,CROQUIS_DATOS!$C$1531)/2),INDEX($F$8:$F$23,MIN(INT(($A52-1)/4)+1,CROQUIS_DATOS!$C$1525))/2-0.5))))*CROQUIS_DATOS!$C$1562),-1000)</f>
        <v>84.4792560344828</v>
      </c>
      <c r="M52">
        <f>IF(AND(CROQUIS_DATOS!$C$1472=1,1),(CROQUIS_DATOS!$C$1564+(CHOOSE(MIN(MAX(IF(INT(($A52-1)/4)+1&gt;CROQUIS_DATOS!$C$1525,4,MOD($A52-1,4)+1),1),4),CROQUIS_DATOS!$C$1543,INDEX($I$8:$I$23,MIN(INT(($A52-1)/4)+1,CROQUIS_DATOS!$C$1525)),INDEX($I$8:$I$23,MIN(INT(($A52-1)/4)+1,CROQUIS_DATOS!$C$1525)),CROQUIS_DATOS!$C$1543))*CROQUIS_DATOS!$C$1561*CROQUIS_DATOS!$C$1562),-1000)</f>
        <v>42.5654629310345</v>
      </c>
      <c r="N52">
        <f>IF(AND(CROQUIS_DATOS!$C$1472=1,1),(CROQUIS_DATOS!$C$1563+(IF(IF(IF(INT(($A52-1)/70)+1&gt;CROQUIS_DATOS!$C$1525,70,MOD($A52-1,70)+1)=1,0,IF(IF(INT(($A52-1)/70)+1&gt;CROQUIS_DATOS!$C$1525,70,MOD($A52-1,70)+1)&gt;2*CROQUIS_DATOS!$C$1541+1,IF(MOD(CROQUIS_DATOS!$C$1541,2)=1,1,0),IF(MOD(MIN(INT((IF(INT(($A52-1)/70)+1&gt;CROQUIS_DATOS!$C$1525,70,MOD($A52-1,70)+1)-2)/2)+1,CROQUIS_DATOS!$C$1541),2)=1,IF(MOD(IF(INT(($A52-1)/70)+1&gt;CROQUIS_DATOS!$C$1525,70,MOD($A52-1,70)+1)-2,2)=0,0,1),IF(MOD(IF(INT(($A52-1)/70)+1&gt;CROQUIS_DATOS!$C$1525,70,MOD($A52-1,70)+1)-2,2)=0,1,0))))=0,(INDEX($E$8:$E$23,MIN(INT(($A52-1)/70)+1,CROQUIS_DATOS!$C$1525))-INDEX($F$8:$F$23,MIN(INT(($A52-1)/70)+1,CROQUIS_DATOS!$C$1525))/2),(INDEX($E$8:$E$23,MIN(INT(($A52-1)/70)+1,CROQUIS_DATOS!$C$1525))+INDEX($F$8:$F$23,MIN(INT(($A52-1)/70)+1,CROQUIS_DATOS!$C$1525))/2)))*CROQUIS_DATOS!$C$1562),-1000)</f>
        <v>15.0862068965517</v>
      </c>
      <c r="O52">
        <f>IF(AND(CROQUIS_DATOS!$C$1472=1,1),(CROQUIS_DATOS!$C$1564+(IF(OR(IF(INT(($A52-1)/70)+1&gt;CROQUIS_DATOS!$C$1525,70,MOD($A52-1,70)+1)=1,IF(INT(($A52-1)/70)+1&gt;CROQUIS_DATOS!$C$1525,70,MOD($A52-1,70)+1)&gt;2*CROQUIS_DATOS!$C$1541+1),CROQUIS_DATOS!$C$1476,INDEX($H$8:$H$41,MIN(INT((IF(INT(($A52-1)/70)+1&gt;CROQUIS_DATOS!$C$1525,70,MOD($A52-1,70)+1)-2)/2)+1,CROQUIS_DATOS!$C$1541))))*CROQUIS_DATOS!$C$1561*CROQUIS_DATOS!$C$1562),-1000)</f>
        <v>40.2068965517241</v>
      </c>
      <c r="P52">
        <f>IF(AND(CROQUIS_DATOS!$C$1472=1,CROQUIS_DATOS!$C$1555=1),(CROQUIS_DATOS!$C$1563+(IF(IF(OR(MOD($A52-1,62)+1=1,IF(CHOOSE(MIN(MAX(MIN(INT(($A52-1)/62)+1,5),1),5),CROQUIS_DATOS!$C$1501,CROQUIS_DATOS!$C$1505,CROQUIS_DATOS!$C$1509,CROQUIS_DATOS!$C$1513,CROQUIS_DATOS!$C$1517)=1,CROQUIS_DATOS!$C$1557,0)=0),0,IF(MOD($A52-1,62)+1&gt;2*IF(CHOOSE(MIN(MAX(MIN(INT(($A52-1)/62)+1,5),1),5),CROQUIS_DATOS!$C$1501,CROQUIS_DATOS!$C$1505,CROQUIS_DATOS!$C$1509,CROQUIS_DATOS!$C$1513,CROQUIS_DATOS!$C$1517)=1,CROQUIS_DATOS!$C$1557,0)+1,IF(MOD(IF(CHOOSE(MIN(MAX(MIN(INT(($A52-1)/62)+1,5),1),5),CROQUIS_DATOS!$C$1501,CROQUIS_DATOS!$C$1505,CROQUIS_DATOS!$C$1509,CROQUIS_DATOS!$C$1513,CROQUIS_DATOS!$C$1517)=1,CROQUIS_DATOS!$C$1557,0),2)=1,1,0),IF(MOD(MIN(INT((MOD($A52-1,62)+1-2)/2)+1,MAX(IF(CHOOSE(MIN(MAX(MIN(INT(($A52-1)/62)+1,5),1),5),CROQUIS_DATOS!$C$1501,CROQUIS_DATOS!$C$1505,CROQUIS_DATOS!$C$1509,CROQUIS_DATOS!$C$1513,CROQUIS_DATOS!$C$1517)=1,CROQUIS_DATOS!$C$1557,0),1)),2)=1,IF(MOD(MOD($A52-1,62)+1-2,2)=0,0,1),IF(MOD(MOD($A52-1,62)+1-2,2)=0,1,0))))=0,(CHOOSE(MIN(MAX(MIN(INT(($A52-1)/62)+1,5),1),5),CROQUIS_DATOS!$C$1499,CROQUIS_DATOS!$C$1503,CROQUIS_DATOS!$C$1507,CROQUIS_DATOS!$C$1511,CROQUIS_DATOS!$C$1515)+IF(CHOOSE(MIN(MAX(MIN(INT(($A52-1)/62)+1,5),1),5),CROQUIS_DATOS!$C$1501,CROQUIS_DATOS!$C$1505,CROQUIS_DATOS!$C$1509,CROQUIS_DATOS!$C$1513,CROQUIS_DATOS!$C$1517)=1,CROQUIS_DATOS!$C$1526,0)),(CHOOSE(MIN(MAX(MIN(INT(($A52-1)/62)+1,5),1),5),CROQUIS_DATOS!$C$1499,CROQUIS_DATOS!$C$1503,CROQUIS_DATOS!$C$1507,CROQUIS_DATOS!$C$1511,CROQUIS_DATOS!$C$1515)+CHOOSE(MIN(MAX(MIN(INT(($A52-1)/62)+1,5),1),5),CROQUIS_DATOS!$C$1500,CROQUIS_DATOS!$C$1504,CROQUIS_DATOS!$C$1508,CROQUIS_DATOS!$C$1512,CROQUIS_DATOS!$C$1516)-IF(CHOOSE(MIN(MAX(MIN(INT(($A52-1)/62)+1,5),1),5),CROQUIS_DATOS!$C$1501,CROQUIS_DATOS!$C$1505,CROQUIS_DATOS!$C$1509,CROQUIS_DATOS!$C$1513,CROQUIS_DATOS!$C$1517)=1,CROQUIS_DATOS!$C$1526,0))))*CROQUIS_DATOS!$C$1562),-1000)</f>
        <v>-1000</v>
      </c>
      <c r="Q52">
        <f>IF(AND(CROQUIS_DATOS!$C$1472=1,CROQUIS_DATOS!$C$1555=1),(CROQUIS_DATOS!$C$1564+(IF(OR(OR(MOD($A52-1,62)+1=1,IF(CHOOSE(MIN(MAX(MIN(INT(($A52-1)/62)+1,5),1),5),CROQUIS_DATOS!$C$1501,CROQUIS_DATOS!$C$1505,CROQUIS_DATOS!$C$1509,CROQUIS_DATOS!$C$1513,CROQUIS_DATOS!$C$1517)=1,CROQUIS_DATOS!$C$1557,0)=0),MOD($A52-1,62)+1&gt;2*IF(CHOOSE(MIN(MAX(MIN(INT(($A52-1)/62)+1,5),1),5),CROQUIS_DATOS!$C$1501,CROQUIS_DATOS!$C$1505,CROQUIS_DATOS!$C$1509,CROQUIS_DATOS!$C$1513,CROQUIS_DATOS!$C$1517)=1,CROQUIS_DATOS!$C$1557,0)+1),CROQUIS_DATOS!$C$1476,MIN(INT((MOD($A52-1,62)+1-2)/2)+1,MAX(IF(CHOOSE(MIN(MAX(MIN(INT(($A52-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2">
        <f>IF(AND(CROQUIS_DATOS!$C$1472=1,1),(CROQUIS_DATOS!$C$1563+(MIN(INT(($A52-1)/2)+1,CROQUIS_DATOS!$C$1558)*CROQUIS_DATOS!$C$1559)*CROQUIS_DATOS!$C$1562),-1000)</f>
        <v>76.8567639257294</v>
      </c>
      <c r="U52">
        <f>IF(AND(CROQUIS_DATOS!$C$1472=1,1),(CROQUIS_DATOS!$C$1564+(IF(INT(($A52-1)/2)+1&gt;CROQUIS_DATOS!$C$1558,IF(MOD(CROQUIS_DATOS!$C$1558,2)=1,CROQUIS_DATOS!$C$1476+CROQUIS_DATOS!$C$1528,CROQUIS_DATOS!$C$1476),IF(IF(MOD(MIN(INT(($A52-1)/2)+1,CROQUIS_DATOS!$C$1558),2)=1,MOD($A52-1,2),1-MOD($A52-1,2))=1,CROQUIS_DATOS!$C$1476+CROQUIS_DATOS!$C$1528,CROQUIS_DATOS!$C$1476)))*CROQUIS_DATOS!$C$1561*CROQUIS_DATOS!$C$1562),-1000)</f>
        <v>40.2068965517241</v>
      </c>
      <c r="BZ52">
        <f>IF(AND(CROQUIS_DATOS!$C$1472=1,CROQUIS_DATOS!$C$1500&gt;0,((CROQUIS_DATOS!$C$1499+CROQUIS_DATOS!$C$1500))-(CROQUIS_DATOS!$C$1499)&gt;0.5,(CROQUIS_DATOS!$C$1476)-(0)&gt;0.5),(CROQUIS_DATOS!$C$1566+(IF(IF(MOD(MIN(INT(($A52-1)/2)+1,MAX(1,INT(((((CROQUIS_DATOS!$C$1499+CROQUIS_DATOS!$C$1500))-(CROQUIS_DATOS!$C$1499))+((CROQUIS_DATOS!$C$1476)*CROQUIS_DATOS!$C$1561-(0)*CROQUIS_DATOS!$C$1561))/CROQUIS_DATOS!$C$1568-0.000001))),2)=1,IF(INT(($A52-1)/2)+1&gt;MAX(1,INT(((((CROQUIS_DATOS!$C$1499+CROQUIS_DATOS!$C$1500))-(CROQUIS_DATOS!$C$1499))+((CROQUIS_DATOS!$C$1476)*CROQUIS_DATOS!$C$1561-(0)*CROQUIS_DATOS!$C$1561))/CROQUIS_DATOS!$C$1568-0.000001)),1,MOD($A52-1,2)),1-IF(INT(($A52-1)/2)+1&gt;MAX(1,INT(((((CROQUIS_DATOS!$C$1499+CROQUIS_DATOS!$C$1500))-(CROQUIS_DATOS!$C$1499))+((CROQUIS_DATOS!$C$1476)*CROQUIS_DATOS!$C$1561-(0)*CROQUIS_DATOS!$C$1561))/CROQUIS_DATOS!$C$1568-0.000001)),1,MOD($A52-1,2)))=1,MIN((CROQUIS_DATOS!$C$1476)*CROQUIS_DATOS!$C$1561,((CROQUIS_DATOS!$C$1499+CROQUIS_DATOS!$C$1500)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2">
        <f>IF(AND(CROQUIS_DATOS!$C$1472=1,CROQUIS_DATOS!$C$1500&gt;0,((CROQUIS_DATOS!$C$1499+CROQUIS_DATOS!$C$1500))-(CROQUIS_DATOS!$C$1499)&gt;0.5,(CROQUIS_DATOS!$C$1476)-(0)&gt;0.5),(CROQUIS_DATOS!$C$1567+(IF(IF(MOD(MIN(INT(($A52-1)/2)+1,MAX(1,INT(((((CROQUIS_DATOS!$C$1499+CROQUIS_DATOS!$C$1500))-(CROQUIS_DATOS!$C$1499))+((CROQUIS_DATOS!$C$1476)*CROQUIS_DATOS!$C$1561-(0)*CROQUIS_DATOS!$C$1561))/CROQUIS_DATOS!$C$1568-0.000001))),2)=1,IF(INT(($A52-1)/2)+1&gt;MAX(1,INT(((((CROQUIS_DATOS!$C$1499+CROQUIS_DATOS!$C$1500))-(CROQUIS_DATOS!$C$1499))+((CROQUIS_DATOS!$C$1476)*CROQUIS_DATOS!$C$1561-(0)*CROQUIS_DATOS!$C$1561))/CROQUIS_DATOS!$C$1568-0.000001)),1,MOD($A52-1,2)),1-IF(INT(($A52-1)/2)+1&gt;MAX(1,INT(((((CROQUIS_DATOS!$C$1499+CROQUIS_DATOS!$C$1500))-(CROQUIS_DATOS!$C$1499))+((CROQUIS_DATOS!$C$1476)*CROQUIS_DATOS!$C$1561-(0)*CROQUIS_DATOS!$C$1561))/CROQUIS_DATOS!$C$1568-0.000001)),1,MOD($A52-1,2)))=1,MIN((CROQUIS_DATOS!$C$1476)*CROQUIS_DATOS!$C$1561,((CROQUIS_DATOS!$C$1499+CROQUIS_DATOS!$C$1500)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2">
        <f>IF(AND(CROQUIS_DATOS!$C$1472=1,CROQUIS_DATOS!$C$1504&gt;0,((CROQUIS_DATOS!$C$1503+CROQUIS_DATOS!$C$1504))-(CROQUIS_DATOS!$C$1503)&gt;0.5,(CROQUIS_DATOS!$C$1476)-(0)&gt;0.5),(CROQUIS_DATOS!$C$1566+(IF(IF(MOD(MIN(INT(($A52-1)/2)+1,MAX(1,INT(((((CROQUIS_DATOS!$C$1503+CROQUIS_DATOS!$C$1504))-(CROQUIS_DATOS!$C$1503))+((CROQUIS_DATOS!$C$1476)*CROQUIS_DATOS!$C$1561-(0)*CROQUIS_DATOS!$C$1561))/CROQUIS_DATOS!$C$1568-0.000001))),2)=1,IF(INT(($A52-1)/2)+1&gt;MAX(1,INT(((((CROQUIS_DATOS!$C$1503+CROQUIS_DATOS!$C$1504))-(CROQUIS_DATOS!$C$1503))+((CROQUIS_DATOS!$C$1476)*CROQUIS_DATOS!$C$1561-(0)*CROQUIS_DATOS!$C$1561))/CROQUIS_DATOS!$C$1568-0.000001)),1,MOD($A52-1,2)),1-IF(INT(($A52-1)/2)+1&gt;MAX(1,INT(((((CROQUIS_DATOS!$C$1503+CROQUIS_DATOS!$C$1504))-(CROQUIS_DATOS!$C$1503))+((CROQUIS_DATOS!$C$1476)*CROQUIS_DATOS!$C$1561-(0)*CROQUIS_DATOS!$C$1561))/CROQUIS_DATOS!$C$1568-0.000001)),1,MOD($A52-1,2)))=1,MIN((CROQUIS_DATOS!$C$1476)*CROQUIS_DATOS!$C$1561,((CROQUIS_DATOS!$C$1503+CROQUIS_DATOS!$C$1504)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*CROQUIS_DATOS!$C$1565),-1000)</f>
        <v>48.248275862069</v>
      </c>
      <c r="CC52">
        <f>IF(AND(CROQUIS_DATOS!$C$1472=1,CROQUIS_DATOS!$C$1504&gt;0,((CROQUIS_DATOS!$C$1503+CROQUIS_DATOS!$C$1504))-(CROQUIS_DATOS!$C$1503)&gt;0.5,(CROQUIS_DATOS!$C$1476)-(0)&gt;0.5),(CROQUIS_DATOS!$C$1567+(IF(IF(MOD(MIN(INT(($A52-1)/2)+1,MAX(1,INT(((((CROQUIS_DATOS!$C$1503+CROQUIS_DATOS!$C$1504))-(CROQUIS_DATOS!$C$1503))+((CROQUIS_DATOS!$C$1476)*CROQUIS_DATOS!$C$1561-(0)*CROQUIS_DATOS!$C$1561))/CROQUIS_DATOS!$C$1568-0.000001))),2)=1,IF(INT(($A52-1)/2)+1&gt;MAX(1,INT(((((CROQUIS_DATOS!$C$1503+CROQUIS_DATOS!$C$1504))-(CROQUIS_DATOS!$C$1503))+((CROQUIS_DATOS!$C$1476)*CROQUIS_DATOS!$C$1561-(0)*CROQUIS_DATOS!$C$1561))/CROQUIS_DATOS!$C$1568-0.000001)),1,MOD($A52-1,2)),1-IF(INT(($A52-1)/2)+1&gt;MAX(1,INT(((((CROQUIS_DATOS!$C$1503+CROQUIS_DATOS!$C$1504))-(CROQUIS_DATOS!$C$1503))+((CROQUIS_DATOS!$C$1476)*CROQUIS_DATOS!$C$1561-(0)*CROQUIS_DATOS!$C$1561))/CROQUIS_DATOS!$C$1568-0.000001)),1,MOD($A52-1,2)))=1,MIN((CROQUIS_DATOS!$C$1476)*CROQUIS_DATOS!$C$1561,((CROQUIS_DATOS!$C$1503+CROQUIS_DATOS!$C$1504)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52-1)/2)+1,MAX(1,INT(((((CROQUIS_DATOS!$C$1503+CROQUIS_DATOS!$C$1504))-(CROQUIS_DATOS!$C$1503))+((CROQUIS_DATOS!$C$1476)*CROQUIS_DATOS!$C$1561-(0)*CROQUIS_DATOS!$C$1561))/CROQUIS_DATOS!$C$1568-0.000001)))*CROQUIS_DATOS!$C$1568))))*CROQUIS_DATOS!$C$1565),-1000)</f>
        <v>12.1379310344828</v>
      </c>
      <c r="CD52">
        <f>IF(AND(CROQUIS_DATOS!$C$1472=1,CROQUIS_DATOS!$C$1508&gt;0,((CROQUIS_DATOS!$C$1507+CROQUIS_DATOS!$C$1508))-(CROQUIS_DATOS!$C$1507)&gt;0.5,(CROQUIS_DATOS!$C$1476)-(0)&gt;0.5),(CROQUIS_DATOS!$C$1566+(IF(IF(MOD(MIN(INT(($A52-1)/2)+1,MAX(1,INT(((((CROQUIS_DATOS!$C$1507+CROQUIS_DATOS!$C$1508))-(CROQUIS_DATOS!$C$1507))+((CROQUIS_DATOS!$C$1476)*CROQUIS_DATOS!$C$1561-(0)*CROQUIS_DATOS!$C$1561))/CROQUIS_DATOS!$C$1568-0.000001))),2)=1,IF(INT(($A52-1)/2)+1&gt;MAX(1,INT(((((CROQUIS_DATOS!$C$1507+CROQUIS_DATOS!$C$1508))-(CROQUIS_DATOS!$C$1507))+((CROQUIS_DATOS!$C$1476)*CROQUIS_DATOS!$C$1561-(0)*CROQUIS_DATOS!$C$1561))/CROQUIS_DATOS!$C$1568-0.000001)),1,MOD($A52-1,2)),1-IF(INT(($A52-1)/2)+1&gt;MAX(1,INT(((((CROQUIS_DATOS!$C$1507+CROQUIS_DATOS!$C$1508))-(CROQUIS_DATOS!$C$1507))+((CROQUIS_DATOS!$C$1476)*CROQUIS_DATOS!$C$1561-(0)*CROQUIS_DATOS!$C$1561))/CROQUIS_DATOS!$C$1568-0.000001)),1,MOD($A52-1,2)))=1,MIN((CROQUIS_DATOS!$C$1476)*CROQUIS_DATOS!$C$1561,((CROQUIS_DATOS!$C$1507+CROQUIS_DATOS!$C$1508)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*CROQUIS_DATOS!$C$1565),-1000)</f>
        <v>74.9724137931034</v>
      </c>
      <c r="CE52">
        <f>IF(AND(CROQUIS_DATOS!$C$1472=1,CROQUIS_DATOS!$C$1508&gt;0,((CROQUIS_DATOS!$C$1507+CROQUIS_DATOS!$C$1508))-(CROQUIS_DATOS!$C$1507)&gt;0.5,(CROQUIS_DATOS!$C$1476)-(0)&gt;0.5),(CROQUIS_DATOS!$C$1567+(IF(IF(MOD(MIN(INT(($A52-1)/2)+1,MAX(1,INT(((((CROQUIS_DATOS!$C$1507+CROQUIS_DATOS!$C$1508))-(CROQUIS_DATOS!$C$1507))+((CROQUIS_DATOS!$C$1476)*CROQUIS_DATOS!$C$1561-(0)*CROQUIS_DATOS!$C$1561))/CROQUIS_DATOS!$C$1568-0.000001))),2)=1,IF(INT(($A52-1)/2)+1&gt;MAX(1,INT(((((CROQUIS_DATOS!$C$1507+CROQUIS_DATOS!$C$1508))-(CROQUIS_DATOS!$C$1507))+((CROQUIS_DATOS!$C$1476)*CROQUIS_DATOS!$C$1561-(0)*CROQUIS_DATOS!$C$1561))/CROQUIS_DATOS!$C$1568-0.000001)),1,MOD($A52-1,2)),1-IF(INT(($A52-1)/2)+1&gt;MAX(1,INT(((((CROQUIS_DATOS!$C$1507+CROQUIS_DATOS!$C$1508))-(CROQUIS_DATOS!$C$1507))+((CROQUIS_DATOS!$C$1476)*CROQUIS_DATOS!$C$1561-(0)*CROQUIS_DATOS!$C$1561))/CROQUIS_DATOS!$C$1568-0.000001)),1,MOD($A52-1,2)))=1,MIN((CROQUIS_DATOS!$C$1476)*CROQUIS_DATOS!$C$1561,((CROQUIS_DATOS!$C$1507+CROQUIS_DATOS!$C$1508)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52">
        <f>IF(AND(CROQUIS_DATOS!$C$1472=1,CROQUIS_DATOS!$C$1512&gt;0,((CROQUIS_DATOS!$C$1511+CROQUIS_DATOS!$C$1512))-(CROQUIS_DATOS!$C$1511)&gt;0.5,(CROQUIS_DATOS!$C$1476)-(0)&gt;0.5),(CROQUIS_DATOS!$C$1566+(IF(IF(MOD(MIN(INT(($A52-1)/2)+1,MAX(1,INT(((((CROQUIS_DATOS!$C$1511+CROQUIS_DATOS!$C$1512))-(CROQUIS_DATOS!$C$1511))+((CROQUIS_DATOS!$C$1476)*CROQUIS_DATOS!$C$1561-(0)*CROQUIS_DATOS!$C$1561))/CROQUIS_DATOS!$C$1568-0.000001))),2)=1,IF(INT(($A52-1)/2)+1&gt;MAX(1,INT(((((CROQUIS_DATOS!$C$1511+CROQUIS_DATOS!$C$1512))-(CROQUIS_DATOS!$C$1511))+((CROQUIS_DATOS!$C$1476)*CROQUIS_DATOS!$C$1561-(0)*CROQUIS_DATOS!$C$1561))/CROQUIS_DATOS!$C$1568-0.000001)),1,MOD($A52-1,2)),1-IF(INT(($A52-1)/2)+1&gt;MAX(1,INT(((((CROQUIS_DATOS!$C$1511+CROQUIS_DATOS!$C$1512))-(CROQUIS_DATOS!$C$1511))+((CROQUIS_DATOS!$C$1476)*CROQUIS_DATOS!$C$1561-(0)*CROQUIS_DATOS!$C$1561))/CROQUIS_DATOS!$C$1568-0.000001)),1,MOD($A52-1,2)))=1,MIN((CROQUIS_DATOS!$C$1476)*CROQUIS_DATOS!$C$1561,((CROQUIS_DATOS!$C$1511+CROQUIS_DATOS!$C$1512)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2">
        <f>IF(AND(CROQUIS_DATOS!$C$1472=1,CROQUIS_DATOS!$C$1512&gt;0,((CROQUIS_DATOS!$C$1511+CROQUIS_DATOS!$C$1512))-(CROQUIS_DATOS!$C$1511)&gt;0.5,(CROQUIS_DATOS!$C$1476)-(0)&gt;0.5),(CROQUIS_DATOS!$C$1567+(IF(IF(MOD(MIN(INT(($A52-1)/2)+1,MAX(1,INT(((((CROQUIS_DATOS!$C$1511+CROQUIS_DATOS!$C$1512))-(CROQUIS_DATOS!$C$1511))+((CROQUIS_DATOS!$C$1476)*CROQUIS_DATOS!$C$1561-(0)*CROQUIS_DATOS!$C$1561))/CROQUIS_DATOS!$C$1568-0.000001))),2)=1,IF(INT(($A52-1)/2)+1&gt;MAX(1,INT(((((CROQUIS_DATOS!$C$1511+CROQUIS_DATOS!$C$1512))-(CROQUIS_DATOS!$C$1511))+((CROQUIS_DATOS!$C$1476)*CROQUIS_DATOS!$C$1561-(0)*CROQUIS_DATOS!$C$1561))/CROQUIS_DATOS!$C$1568-0.000001)),1,MOD($A52-1,2)),1-IF(INT(($A52-1)/2)+1&gt;MAX(1,INT(((((CROQUIS_DATOS!$C$1511+CROQUIS_DATOS!$C$1512))-(CROQUIS_DATOS!$C$1511))+((CROQUIS_DATOS!$C$1476)*CROQUIS_DATOS!$C$1561-(0)*CROQUIS_DATOS!$C$1561))/CROQUIS_DATOS!$C$1568-0.000001)),1,MOD($A52-1,2)))=1,MIN((CROQUIS_DATOS!$C$1476)*CROQUIS_DATOS!$C$1561,((CROQUIS_DATOS!$C$1511+CROQUIS_DATOS!$C$1512)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2">
        <f>IF(AND(CROQUIS_DATOS!$C$1472=1,CROQUIS_DATOS!$C$1516&gt;0,((CROQUIS_DATOS!$C$1515+CROQUIS_DATOS!$C$1516))-(CROQUIS_DATOS!$C$1515)&gt;0.5,(CROQUIS_DATOS!$C$1476)-(0)&gt;0.5),(CROQUIS_DATOS!$C$1566+(IF(IF(MOD(MIN(INT(($A52-1)/2)+1,MAX(1,INT(((((CROQUIS_DATOS!$C$1515+CROQUIS_DATOS!$C$1516))-(CROQUIS_DATOS!$C$1515))+((CROQUIS_DATOS!$C$1476)*CROQUIS_DATOS!$C$1561-(0)*CROQUIS_DATOS!$C$1561))/CROQUIS_DATOS!$C$1568-0.000001))),2)=1,IF(INT(($A52-1)/2)+1&gt;MAX(1,INT(((((CROQUIS_DATOS!$C$1515+CROQUIS_DATOS!$C$1516))-(CROQUIS_DATOS!$C$1515))+((CROQUIS_DATOS!$C$1476)*CROQUIS_DATOS!$C$1561-(0)*CROQUIS_DATOS!$C$1561))/CROQUIS_DATOS!$C$1568-0.000001)),1,MOD($A52-1,2)),1-IF(INT(($A52-1)/2)+1&gt;MAX(1,INT(((((CROQUIS_DATOS!$C$1515+CROQUIS_DATOS!$C$1516))-(CROQUIS_DATOS!$C$1515))+((CROQUIS_DATOS!$C$1476)*CROQUIS_DATOS!$C$1561-(0)*CROQUIS_DATOS!$C$1561))/CROQUIS_DATOS!$C$1568-0.000001)),1,MOD($A52-1,2)))=1,MIN((CROQUIS_DATOS!$C$1476)*CROQUIS_DATOS!$C$1561,((CROQUIS_DATOS!$C$1515+CROQUIS_DATOS!$C$1516)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2">
        <f>IF(AND(CROQUIS_DATOS!$C$1472=1,CROQUIS_DATOS!$C$1516&gt;0,((CROQUIS_DATOS!$C$1515+CROQUIS_DATOS!$C$1516))-(CROQUIS_DATOS!$C$1515)&gt;0.5,(CROQUIS_DATOS!$C$1476)-(0)&gt;0.5),(CROQUIS_DATOS!$C$1567+(IF(IF(MOD(MIN(INT(($A52-1)/2)+1,MAX(1,INT(((((CROQUIS_DATOS!$C$1515+CROQUIS_DATOS!$C$1516))-(CROQUIS_DATOS!$C$1515))+((CROQUIS_DATOS!$C$1476)*CROQUIS_DATOS!$C$1561-(0)*CROQUIS_DATOS!$C$1561))/CROQUIS_DATOS!$C$1568-0.000001))),2)=1,IF(INT(($A52-1)/2)+1&gt;MAX(1,INT(((((CROQUIS_DATOS!$C$1515+CROQUIS_DATOS!$C$1516))-(CROQUIS_DATOS!$C$1515))+((CROQUIS_DATOS!$C$1476)*CROQUIS_DATOS!$C$1561-(0)*CROQUIS_DATOS!$C$1561))/CROQUIS_DATOS!$C$1568-0.000001)),1,MOD($A52-1,2)),1-IF(INT(($A52-1)/2)+1&gt;MAX(1,INT(((((CROQUIS_DATOS!$C$1515+CROQUIS_DATOS!$C$1516))-(CROQUIS_DATOS!$C$1515))+((CROQUIS_DATOS!$C$1476)*CROQUIS_DATOS!$C$1561-(0)*CROQUIS_DATOS!$C$1561))/CROQUIS_DATOS!$C$1568-0.000001)),1,MOD($A52-1,2)))=1,MIN((CROQUIS_DATOS!$C$1476)*CROQUIS_DATOS!$C$1561,((CROQUIS_DATOS!$C$1515+CROQUIS_DATOS!$C$1516)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2">
        <f>IF(AND(CROQUIS_DATOS!$C$1472=1,CROQUIS_DATOS!$C$1478&gt;=1,((CROQUIS_DATOS!$C$1479+CROQUIS_DATOS!$C$1480))-(CROQUIS_DATOS!$C$1479)&gt;0.5,(CROQUIS_DATOS!$C$1481)-(0)&gt;0.5),(CROQUIS_DATOS!$C$1566+(IF(IF(MOD(MIN(INT(($A52-1)/2)+1,MAX(1,INT(((((CROQUIS_DATOS!$C$1479+CROQUIS_DATOS!$C$1480))-(CROQUIS_DATOS!$C$1479))+((CROQUIS_DATOS!$C$1481)*CROQUIS_DATOS!$C$1561-(0)*CROQUIS_DATOS!$C$1561))/CROQUIS_DATOS!$C$1568-0.000001))),2)=1,IF(INT(($A52-1)/2)+1&gt;MAX(1,INT(((((CROQUIS_DATOS!$C$1479+CROQUIS_DATOS!$C$1480))-(CROQUIS_DATOS!$C$1479))+((CROQUIS_DATOS!$C$1481)*CROQUIS_DATOS!$C$1561-(0)*CROQUIS_DATOS!$C$1561))/CROQUIS_DATOS!$C$1568-0.000001)),1,MOD($A52-1,2)),1-IF(INT(($A52-1)/2)+1&gt;MAX(1,INT(((((CROQUIS_DATOS!$C$1479+CROQUIS_DATOS!$C$1480))-(CROQUIS_DATOS!$C$1479))+((CROQUIS_DATOS!$C$1481)*CROQUIS_DATOS!$C$1561-(0)*CROQUIS_DATOS!$C$1561))/CROQUIS_DATOS!$C$1568-0.000001)),1,MOD($A52-1,2)))=1,MIN((CROQUIS_DATOS!$C$1481)*CROQUIS_DATOS!$C$1561,((CROQUIS_DATOS!$C$1479+CROQUIS_DATOS!$C$1480)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2">
        <f>IF(AND(CROQUIS_DATOS!$C$1472=1,CROQUIS_DATOS!$C$1478&gt;=1,((CROQUIS_DATOS!$C$1479+CROQUIS_DATOS!$C$1480))-(CROQUIS_DATOS!$C$1479)&gt;0.5,(CROQUIS_DATOS!$C$1481)-(0)&gt;0.5),(CROQUIS_DATOS!$C$1567+(IF(IF(MOD(MIN(INT(($A52-1)/2)+1,MAX(1,INT(((((CROQUIS_DATOS!$C$1479+CROQUIS_DATOS!$C$1480))-(CROQUIS_DATOS!$C$1479))+((CROQUIS_DATOS!$C$1481)*CROQUIS_DATOS!$C$1561-(0)*CROQUIS_DATOS!$C$1561))/CROQUIS_DATOS!$C$1568-0.000001))),2)=1,IF(INT(($A52-1)/2)+1&gt;MAX(1,INT(((((CROQUIS_DATOS!$C$1479+CROQUIS_DATOS!$C$1480))-(CROQUIS_DATOS!$C$1479))+((CROQUIS_DATOS!$C$1481)*CROQUIS_DATOS!$C$1561-(0)*CROQUIS_DATOS!$C$1561))/CROQUIS_DATOS!$C$1568-0.000001)),1,MOD($A52-1,2)),1-IF(INT(($A52-1)/2)+1&gt;MAX(1,INT(((((CROQUIS_DATOS!$C$1479+CROQUIS_DATOS!$C$1480))-(CROQUIS_DATOS!$C$1479))+((CROQUIS_DATOS!$C$1481)*CROQUIS_DATOS!$C$1561-(0)*CROQUIS_DATOS!$C$1561))/CROQUIS_DATOS!$C$1568-0.000001)),1,MOD($A52-1,2)))=1,MIN((CROQUIS_DATOS!$C$1481)*CROQUIS_DATOS!$C$1561,((CROQUIS_DATOS!$C$1479+CROQUIS_DATOS!$C$1480)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2">
        <f>IF(AND(CROQUIS_DATOS!$C$1472=1,CROQUIS_DATOS!$C$1478&gt;=1,((CROQUIS_DATOS!$C$1479+CROQUIS_DATOS!$C$1480))-(CROQUIS_DATOS!$C$1479)&gt;0.5,(CROQUIS_DATOS!$C$1476)-((CROQUIS_DATOS!$C$1481+CROQUIS_DATOS!$C$1482))&gt;0.5),(CROQUIS_DATOS!$C$1566+(IF(IF(MOD(MIN(INT(($A52-1)/2)+1,MAX(1,INT(((((CROQUIS_DATOS!$C$1479+CROQUIS_DATOS!$C$1480))-(CROQUIS_DATOS!$C$1479))+((CROQUIS_DATOS!$C$1476)*CROQUIS_DATOS!$C$1561-((CROQUIS_DATOS!$C$1481+CROQUIS_DATOS!$C$1482))*CROQUIS_DATOS!$C$1561))/CROQUIS_DATOS!$C$1568-0.000001))),2)=1,IF(INT(($A52-1)/2)+1&gt;MAX(1,INT(((((CROQUIS_DATOS!$C$1479+CROQUIS_DATOS!$C$1480))-(CROQUIS_DATOS!$C$1479))+((CROQUIS_DATOS!$C$1476)*CROQUIS_DATOS!$C$1561-((CROQUIS_DATOS!$C$1481+CROQUIS_DATOS!$C$1482))*CROQUIS_DATOS!$C$1561))/CROQUIS_DATOS!$C$1568-0.000001)),1,MOD($A52-1,2)),1-IF(INT(($A52-1)/2)+1&gt;MAX(1,INT(((((CROQUIS_DATOS!$C$1479+CROQUIS_DATOS!$C$1480))-(CROQUIS_DATOS!$C$1479))+((CROQUIS_DATOS!$C$1476)*CROQUIS_DATOS!$C$1561-((CROQUIS_DATOS!$C$1481+CROQUIS_DATOS!$C$1482))*CROQUIS_DATOS!$C$1561))/CROQUIS_DATOS!$C$1568-0.000001)),1,MOD($A52-1,2)))=1,MIN((CROQUIS_DATOS!$C$1476)*CROQUIS_DATOS!$C$1561,((CROQUIS_DATOS!$C$1479+CROQUIS_DATOS!$C$1480)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2">
        <f>IF(AND(CROQUIS_DATOS!$C$1472=1,CROQUIS_DATOS!$C$1478&gt;=1,((CROQUIS_DATOS!$C$1479+CROQUIS_DATOS!$C$1480))-(CROQUIS_DATOS!$C$1479)&gt;0.5,(CROQUIS_DATOS!$C$1476)-((CROQUIS_DATOS!$C$1481+CROQUIS_DATOS!$C$1482))&gt;0.5),(CROQUIS_DATOS!$C$1567+(IF(IF(MOD(MIN(INT(($A52-1)/2)+1,MAX(1,INT(((((CROQUIS_DATOS!$C$1479+CROQUIS_DATOS!$C$1480))-(CROQUIS_DATOS!$C$1479))+((CROQUIS_DATOS!$C$1476)*CROQUIS_DATOS!$C$1561-((CROQUIS_DATOS!$C$1481+CROQUIS_DATOS!$C$1482))*CROQUIS_DATOS!$C$1561))/CROQUIS_DATOS!$C$1568-0.000001))),2)=1,IF(INT(($A52-1)/2)+1&gt;MAX(1,INT(((((CROQUIS_DATOS!$C$1479+CROQUIS_DATOS!$C$1480))-(CROQUIS_DATOS!$C$1479))+((CROQUIS_DATOS!$C$1476)*CROQUIS_DATOS!$C$1561-((CROQUIS_DATOS!$C$1481+CROQUIS_DATOS!$C$1482))*CROQUIS_DATOS!$C$1561))/CROQUIS_DATOS!$C$1568-0.000001)),1,MOD($A52-1,2)),1-IF(INT(($A52-1)/2)+1&gt;MAX(1,INT(((((CROQUIS_DATOS!$C$1479+CROQUIS_DATOS!$C$1480))-(CROQUIS_DATOS!$C$1479))+((CROQUIS_DATOS!$C$1476)*CROQUIS_DATOS!$C$1561-((CROQUIS_DATOS!$C$1481+CROQUIS_DATOS!$C$1482))*CROQUIS_DATOS!$C$1561))/CROQUIS_DATOS!$C$1568-0.000001)),1,MOD($A52-1,2)))=1,MIN((CROQUIS_DATOS!$C$1476)*CROQUIS_DATOS!$C$1561,((CROQUIS_DATOS!$C$1479+CROQUIS_DATOS!$C$1480)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2">
        <f>IF(AND(CROQUIS_DATOS!$C$1472=1,CROQUIS_DATOS!$C$1478&gt;=2,((CROQUIS_DATOS!$C$1484+CROQUIS_DATOS!$C$1485))-(CROQUIS_DATOS!$C$1484)&gt;0.5,(CROQUIS_DATOS!$C$1486)-(0)&gt;0.5),(CROQUIS_DATOS!$C$1566+(IF(IF(MOD(MIN(INT(($A52-1)/2)+1,MAX(1,INT(((((CROQUIS_DATOS!$C$1484+CROQUIS_DATOS!$C$1485))-(CROQUIS_DATOS!$C$1484))+((CROQUIS_DATOS!$C$1486)*CROQUIS_DATOS!$C$1561-(0)*CROQUIS_DATOS!$C$1561))/CROQUIS_DATOS!$C$1568-0.000001))),2)=1,IF(INT(($A52-1)/2)+1&gt;MAX(1,INT(((((CROQUIS_DATOS!$C$1484+CROQUIS_DATOS!$C$1485))-(CROQUIS_DATOS!$C$1484))+((CROQUIS_DATOS!$C$1486)*CROQUIS_DATOS!$C$1561-(0)*CROQUIS_DATOS!$C$1561))/CROQUIS_DATOS!$C$1568-0.000001)),1,MOD($A52-1,2)),1-IF(INT(($A52-1)/2)+1&gt;MAX(1,INT(((((CROQUIS_DATOS!$C$1484+CROQUIS_DATOS!$C$1485))-(CROQUIS_DATOS!$C$1484))+((CROQUIS_DATOS!$C$1486)*CROQUIS_DATOS!$C$1561-(0)*CROQUIS_DATOS!$C$1561))/CROQUIS_DATOS!$C$1568-0.000001)),1,MOD($A52-1,2)))=1,MIN((CROQUIS_DATOS!$C$1486)*CROQUIS_DATOS!$C$1561,((CROQUIS_DATOS!$C$1484+CROQUIS_DATOS!$C$1485)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2">
        <f>IF(AND(CROQUIS_DATOS!$C$1472=1,CROQUIS_DATOS!$C$1478&gt;=2,((CROQUIS_DATOS!$C$1484+CROQUIS_DATOS!$C$1485))-(CROQUIS_DATOS!$C$1484)&gt;0.5,(CROQUIS_DATOS!$C$1486)-(0)&gt;0.5),(CROQUIS_DATOS!$C$1567+(IF(IF(MOD(MIN(INT(($A52-1)/2)+1,MAX(1,INT(((((CROQUIS_DATOS!$C$1484+CROQUIS_DATOS!$C$1485))-(CROQUIS_DATOS!$C$1484))+((CROQUIS_DATOS!$C$1486)*CROQUIS_DATOS!$C$1561-(0)*CROQUIS_DATOS!$C$1561))/CROQUIS_DATOS!$C$1568-0.000001))),2)=1,IF(INT(($A52-1)/2)+1&gt;MAX(1,INT(((((CROQUIS_DATOS!$C$1484+CROQUIS_DATOS!$C$1485))-(CROQUIS_DATOS!$C$1484))+((CROQUIS_DATOS!$C$1486)*CROQUIS_DATOS!$C$1561-(0)*CROQUIS_DATOS!$C$1561))/CROQUIS_DATOS!$C$1568-0.000001)),1,MOD($A52-1,2)),1-IF(INT(($A52-1)/2)+1&gt;MAX(1,INT(((((CROQUIS_DATOS!$C$1484+CROQUIS_DATOS!$C$1485))-(CROQUIS_DATOS!$C$1484))+((CROQUIS_DATOS!$C$1486)*CROQUIS_DATOS!$C$1561-(0)*CROQUIS_DATOS!$C$1561))/CROQUIS_DATOS!$C$1568-0.000001)),1,MOD($A52-1,2)))=1,MIN((CROQUIS_DATOS!$C$1486)*CROQUIS_DATOS!$C$1561,((CROQUIS_DATOS!$C$1484+CROQUIS_DATOS!$C$1485)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2">
        <f>IF(AND(CROQUIS_DATOS!$C$1472=1,CROQUIS_DATOS!$C$1478&gt;=2,((CROQUIS_DATOS!$C$1484+CROQUIS_DATOS!$C$1485))-(CROQUIS_DATOS!$C$1484)&gt;0.5,(CROQUIS_DATOS!$C$1476)-((CROQUIS_DATOS!$C$1486+CROQUIS_DATOS!$C$1487))&gt;0.5),(CROQUIS_DATOS!$C$1566+(IF(IF(MOD(MIN(INT(($A52-1)/2)+1,MAX(1,INT(((((CROQUIS_DATOS!$C$1484+CROQUIS_DATOS!$C$1485))-(CROQUIS_DATOS!$C$1484))+((CROQUIS_DATOS!$C$1476)*CROQUIS_DATOS!$C$1561-((CROQUIS_DATOS!$C$1486+CROQUIS_DATOS!$C$1487))*CROQUIS_DATOS!$C$1561))/CROQUIS_DATOS!$C$1568-0.000001))),2)=1,IF(INT(($A52-1)/2)+1&gt;MAX(1,INT(((((CROQUIS_DATOS!$C$1484+CROQUIS_DATOS!$C$1485))-(CROQUIS_DATOS!$C$1484))+((CROQUIS_DATOS!$C$1476)*CROQUIS_DATOS!$C$1561-((CROQUIS_DATOS!$C$1486+CROQUIS_DATOS!$C$1487))*CROQUIS_DATOS!$C$1561))/CROQUIS_DATOS!$C$1568-0.000001)),1,MOD($A52-1,2)),1-IF(INT(($A52-1)/2)+1&gt;MAX(1,INT(((((CROQUIS_DATOS!$C$1484+CROQUIS_DATOS!$C$1485))-(CROQUIS_DATOS!$C$1484))+((CROQUIS_DATOS!$C$1476)*CROQUIS_DATOS!$C$1561-((CROQUIS_DATOS!$C$1486+CROQUIS_DATOS!$C$1487))*CROQUIS_DATOS!$C$1561))/CROQUIS_DATOS!$C$1568-0.000001)),1,MOD($A52-1,2)))=1,MIN((CROQUIS_DATOS!$C$1476)*CROQUIS_DATOS!$C$1561,((CROQUIS_DATOS!$C$1484+CROQUIS_DATOS!$C$1485)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2">
        <f>IF(AND(CROQUIS_DATOS!$C$1472=1,CROQUIS_DATOS!$C$1478&gt;=2,((CROQUIS_DATOS!$C$1484+CROQUIS_DATOS!$C$1485))-(CROQUIS_DATOS!$C$1484)&gt;0.5,(CROQUIS_DATOS!$C$1476)-((CROQUIS_DATOS!$C$1486+CROQUIS_DATOS!$C$1487))&gt;0.5),(CROQUIS_DATOS!$C$1567+(IF(IF(MOD(MIN(INT(($A52-1)/2)+1,MAX(1,INT(((((CROQUIS_DATOS!$C$1484+CROQUIS_DATOS!$C$1485))-(CROQUIS_DATOS!$C$1484))+((CROQUIS_DATOS!$C$1476)*CROQUIS_DATOS!$C$1561-((CROQUIS_DATOS!$C$1486+CROQUIS_DATOS!$C$1487))*CROQUIS_DATOS!$C$1561))/CROQUIS_DATOS!$C$1568-0.000001))),2)=1,IF(INT(($A52-1)/2)+1&gt;MAX(1,INT(((((CROQUIS_DATOS!$C$1484+CROQUIS_DATOS!$C$1485))-(CROQUIS_DATOS!$C$1484))+((CROQUIS_DATOS!$C$1476)*CROQUIS_DATOS!$C$1561-((CROQUIS_DATOS!$C$1486+CROQUIS_DATOS!$C$1487))*CROQUIS_DATOS!$C$1561))/CROQUIS_DATOS!$C$1568-0.000001)),1,MOD($A52-1,2)),1-IF(INT(($A52-1)/2)+1&gt;MAX(1,INT(((((CROQUIS_DATOS!$C$1484+CROQUIS_DATOS!$C$1485))-(CROQUIS_DATOS!$C$1484))+((CROQUIS_DATOS!$C$1476)*CROQUIS_DATOS!$C$1561-((CROQUIS_DATOS!$C$1486+CROQUIS_DATOS!$C$1487))*CROQUIS_DATOS!$C$1561))/CROQUIS_DATOS!$C$1568-0.000001)),1,MOD($A52-1,2)))=1,MIN((CROQUIS_DATOS!$C$1476)*CROQUIS_DATOS!$C$1561,((CROQUIS_DATOS!$C$1484+CROQUIS_DATOS!$C$1485)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2">
        <f>IF(AND(CROQUIS_DATOS!$C$1472=1,CROQUIS_DATOS!$C$1478&gt;=3,((CROQUIS_DATOS!$C$1489+CROQUIS_DATOS!$C$1490))-(CROQUIS_DATOS!$C$1489)&gt;0.5,(CROQUIS_DATOS!$C$1491)-(0)&gt;0.5),(CROQUIS_DATOS!$C$1566+(IF(IF(MOD(MIN(INT(($A52-1)/2)+1,MAX(1,INT(((((CROQUIS_DATOS!$C$1489+CROQUIS_DATOS!$C$1490))-(CROQUIS_DATOS!$C$1489))+((CROQUIS_DATOS!$C$1491)*CROQUIS_DATOS!$C$1561-(0)*CROQUIS_DATOS!$C$1561))/CROQUIS_DATOS!$C$1568-0.000001))),2)=1,IF(INT(($A52-1)/2)+1&gt;MAX(1,INT(((((CROQUIS_DATOS!$C$1489+CROQUIS_DATOS!$C$1490))-(CROQUIS_DATOS!$C$1489))+((CROQUIS_DATOS!$C$1491)*CROQUIS_DATOS!$C$1561-(0)*CROQUIS_DATOS!$C$1561))/CROQUIS_DATOS!$C$1568-0.000001)),1,MOD($A52-1,2)),1-IF(INT(($A52-1)/2)+1&gt;MAX(1,INT(((((CROQUIS_DATOS!$C$1489+CROQUIS_DATOS!$C$1490))-(CROQUIS_DATOS!$C$1489))+((CROQUIS_DATOS!$C$1491)*CROQUIS_DATOS!$C$1561-(0)*CROQUIS_DATOS!$C$1561))/CROQUIS_DATOS!$C$1568-0.000001)),1,MOD($A52-1,2)))=1,MIN((CROQUIS_DATOS!$C$1491)*CROQUIS_DATOS!$C$1561,((CROQUIS_DATOS!$C$1489+CROQUIS_DATOS!$C$1490)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2">
        <f>IF(AND(CROQUIS_DATOS!$C$1472=1,CROQUIS_DATOS!$C$1478&gt;=3,((CROQUIS_DATOS!$C$1489+CROQUIS_DATOS!$C$1490))-(CROQUIS_DATOS!$C$1489)&gt;0.5,(CROQUIS_DATOS!$C$1491)-(0)&gt;0.5),(CROQUIS_DATOS!$C$1567+(IF(IF(MOD(MIN(INT(($A52-1)/2)+1,MAX(1,INT(((((CROQUIS_DATOS!$C$1489+CROQUIS_DATOS!$C$1490))-(CROQUIS_DATOS!$C$1489))+((CROQUIS_DATOS!$C$1491)*CROQUIS_DATOS!$C$1561-(0)*CROQUIS_DATOS!$C$1561))/CROQUIS_DATOS!$C$1568-0.000001))),2)=1,IF(INT(($A52-1)/2)+1&gt;MAX(1,INT(((((CROQUIS_DATOS!$C$1489+CROQUIS_DATOS!$C$1490))-(CROQUIS_DATOS!$C$1489))+((CROQUIS_DATOS!$C$1491)*CROQUIS_DATOS!$C$1561-(0)*CROQUIS_DATOS!$C$1561))/CROQUIS_DATOS!$C$1568-0.000001)),1,MOD($A52-1,2)),1-IF(INT(($A52-1)/2)+1&gt;MAX(1,INT(((((CROQUIS_DATOS!$C$1489+CROQUIS_DATOS!$C$1490))-(CROQUIS_DATOS!$C$1489))+((CROQUIS_DATOS!$C$1491)*CROQUIS_DATOS!$C$1561-(0)*CROQUIS_DATOS!$C$1561))/CROQUIS_DATOS!$C$1568-0.000001)),1,MOD($A52-1,2)))=1,MIN((CROQUIS_DATOS!$C$1491)*CROQUIS_DATOS!$C$1561,((CROQUIS_DATOS!$C$1489+CROQUIS_DATOS!$C$1490)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2">
        <f>IF(AND(CROQUIS_DATOS!$C$1472=1,CROQUIS_DATOS!$C$1478&gt;=3,((CROQUIS_DATOS!$C$1489+CROQUIS_DATOS!$C$1490))-(CROQUIS_DATOS!$C$1489)&gt;0.5,(CROQUIS_DATOS!$C$1476)-((CROQUIS_DATOS!$C$1491+CROQUIS_DATOS!$C$1492))&gt;0.5),(CROQUIS_DATOS!$C$1566+(IF(IF(MOD(MIN(INT(($A52-1)/2)+1,MAX(1,INT(((((CROQUIS_DATOS!$C$1489+CROQUIS_DATOS!$C$1490))-(CROQUIS_DATOS!$C$1489))+((CROQUIS_DATOS!$C$1476)*CROQUIS_DATOS!$C$1561-((CROQUIS_DATOS!$C$1491+CROQUIS_DATOS!$C$1492))*CROQUIS_DATOS!$C$1561))/CROQUIS_DATOS!$C$1568-0.000001))),2)=1,IF(INT(($A52-1)/2)+1&gt;MAX(1,INT(((((CROQUIS_DATOS!$C$1489+CROQUIS_DATOS!$C$1490))-(CROQUIS_DATOS!$C$1489))+((CROQUIS_DATOS!$C$1476)*CROQUIS_DATOS!$C$1561-((CROQUIS_DATOS!$C$1491+CROQUIS_DATOS!$C$1492))*CROQUIS_DATOS!$C$1561))/CROQUIS_DATOS!$C$1568-0.000001)),1,MOD($A52-1,2)),1-IF(INT(($A52-1)/2)+1&gt;MAX(1,INT(((((CROQUIS_DATOS!$C$1489+CROQUIS_DATOS!$C$1490))-(CROQUIS_DATOS!$C$1489))+((CROQUIS_DATOS!$C$1476)*CROQUIS_DATOS!$C$1561-((CROQUIS_DATOS!$C$1491+CROQUIS_DATOS!$C$1492))*CROQUIS_DATOS!$C$1561))/CROQUIS_DATOS!$C$1568-0.000001)),1,MOD($A52-1,2)))=1,MIN((CROQUIS_DATOS!$C$1476)*CROQUIS_DATOS!$C$1561,((CROQUIS_DATOS!$C$1489+CROQUIS_DATOS!$C$1490)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2">
        <f>IF(AND(CROQUIS_DATOS!$C$1472=1,CROQUIS_DATOS!$C$1478&gt;=3,((CROQUIS_DATOS!$C$1489+CROQUIS_DATOS!$C$1490))-(CROQUIS_DATOS!$C$1489)&gt;0.5,(CROQUIS_DATOS!$C$1476)-((CROQUIS_DATOS!$C$1491+CROQUIS_DATOS!$C$1492))&gt;0.5),(CROQUIS_DATOS!$C$1567+(IF(IF(MOD(MIN(INT(($A52-1)/2)+1,MAX(1,INT(((((CROQUIS_DATOS!$C$1489+CROQUIS_DATOS!$C$1490))-(CROQUIS_DATOS!$C$1489))+((CROQUIS_DATOS!$C$1476)*CROQUIS_DATOS!$C$1561-((CROQUIS_DATOS!$C$1491+CROQUIS_DATOS!$C$1492))*CROQUIS_DATOS!$C$1561))/CROQUIS_DATOS!$C$1568-0.000001))),2)=1,IF(INT(($A52-1)/2)+1&gt;MAX(1,INT(((((CROQUIS_DATOS!$C$1489+CROQUIS_DATOS!$C$1490))-(CROQUIS_DATOS!$C$1489))+((CROQUIS_DATOS!$C$1476)*CROQUIS_DATOS!$C$1561-((CROQUIS_DATOS!$C$1491+CROQUIS_DATOS!$C$1492))*CROQUIS_DATOS!$C$1561))/CROQUIS_DATOS!$C$1568-0.000001)),1,MOD($A52-1,2)),1-IF(INT(($A52-1)/2)+1&gt;MAX(1,INT(((((CROQUIS_DATOS!$C$1489+CROQUIS_DATOS!$C$1490))-(CROQUIS_DATOS!$C$1489))+((CROQUIS_DATOS!$C$1476)*CROQUIS_DATOS!$C$1561-((CROQUIS_DATOS!$C$1491+CROQUIS_DATOS!$C$1492))*CROQUIS_DATOS!$C$1561))/CROQUIS_DATOS!$C$1568-0.000001)),1,MOD($A52-1,2)))=1,MIN((CROQUIS_DATOS!$C$1476)*CROQUIS_DATOS!$C$1561,((CROQUIS_DATOS!$C$1489+CROQUIS_DATOS!$C$1490)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2">
        <f>IF(AND(CROQUIS_DATOS!$C$1472=1,CROQUIS_DATOS!$C$1478&gt;=4,((CROQUIS_DATOS!$C$1494+CROQUIS_DATOS!$C$1495))-(CROQUIS_DATOS!$C$1494)&gt;0.5,(CROQUIS_DATOS!$C$1496)-(0)&gt;0.5),(CROQUIS_DATOS!$C$1566+(IF(IF(MOD(MIN(INT(($A52-1)/2)+1,MAX(1,INT(((((CROQUIS_DATOS!$C$1494+CROQUIS_DATOS!$C$1495))-(CROQUIS_DATOS!$C$1494))+((CROQUIS_DATOS!$C$1496)*CROQUIS_DATOS!$C$1561-(0)*CROQUIS_DATOS!$C$1561))/CROQUIS_DATOS!$C$1568-0.000001))),2)=1,IF(INT(($A52-1)/2)+1&gt;MAX(1,INT(((((CROQUIS_DATOS!$C$1494+CROQUIS_DATOS!$C$1495))-(CROQUIS_DATOS!$C$1494))+((CROQUIS_DATOS!$C$1496)*CROQUIS_DATOS!$C$1561-(0)*CROQUIS_DATOS!$C$1561))/CROQUIS_DATOS!$C$1568-0.000001)),1,MOD($A52-1,2)),1-IF(INT(($A52-1)/2)+1&gt;MAX(1,INT(((((CROQUIS_DATOS!$C$1494+CROQUIS_DATOS!$C$1495))-(CROQUIS_DATOS!$C$1494))+((CROQUIS_DATOS!$C$1496)*CROQUIS_DATOS!$C$1561-(0)*CROQUIS_DATOS!$C$1561))/CROQUIS_DATOS!$C$1568-0.000001)),1,MOD($A52-1,2)))=1,MIN((CROQUIS_DATOS!$C$1496)*CROQUIS_DATOS!$C$1561,((CROQUIS_DATOS!$C$1494+CROQUIS_DATOS!$C$1495)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2">
        <f>IF(AND(CROQUIS_DATOS!$C$1472=1,CROQUIS_DATOS!$C$1478&gt;=4,((CROQUIS_DATOS!$C$1494+CROQUIS_DATOS!$C$1495))-(CROQUIS_DATOS!$C$1494)&gt;0.5,(CROQUIS_DATOS!$C$1496)-(0)&gt;0.5),(CROQUIS_DATOS!$C$1567+(IF(IF(MOD(MIN(INT(($A52-1)/2)+1,MAX(1,INT(((((CROQUIS_DATOS!$C$1494+CROQUIS_DATOS!$C$1495))-(CROQUIS_DATOS!$C$1494))+((CROQUIS_DATOS!$C$1496)*CROQUIS_DATOS!$C$1561-(0)*CROQUIS_DATOS!$C$1561))/CROQUIS_DATOS!$C$1568-0.000001))),2)=1,IF(INT(($A52-1)/2)+1&gt;MAX(1,INT(((((CROQUIS_DATOS!$C$1494+CROQUIS_DATOS!$C$1495))-(CROQUIS_DATOS!$C$1494))+((CROQUIS_DATOS!$C$1496)*CROQUIS_DATOS!$C$1561-(0)*CROQUIS_DATOS!$C$1561))/CROQUIS_DATOS!$C$1568-0.000001)),1,MOD($A52-1,2)),1-IF(INT(($A52-1)/2)+1&gt;MAX(1,INT(((((CROQUIS_DATOS!$C$1494+CROQUIS_DATOS!$C$1495))-(CROQUIS_DATOS!$C$1494))+((CROQUIS_DATOS!$C$1496)*CROQUIS_DATOS!$C$1561-(0)*CROQUIS_DATOS!$C$1561))/CROQUIS_DATOS!$C$1568-0.000001)),1,MOD($A52-1,2)))=1,MIN((CROQUIS_DATOS!$C$1496)*CROQUIS_DATOS!$C$1561,((CROQUIS_DATOS!$C$1494+CROQUIS_DATOS!$C$1495)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2">
        <f>IF(AND(CROQUIS_DATOS!$C$1472=1,CROQUIS_DATOS!$C$1478&gt;=4,((CROQUIS_DATOS!$C$1494+CROQUIS_DATOS!$C$1495))-(CROQUIS_DATOS!$C$1494)&gt;0.5,(CROQUIS_DATOS!$C$1476)-((CROQUIS_DATOS!$C$1496+CROQUIS_DATOS!$C$1497))&gt;0.5),(CROQUIS_DATOS!$C$1566+(IF(IF(MOD(MIN(INT(($A52-1)/2)+1,MAX(1,INT(((((CROQUIS_DATOS!$C$1494+CROQUIS_DATOS!$C$1495))-(CROQUIS_DATOS!$C$1494))+((CROQUIS_DATOS!$C$1476)*CROQUIS_DATOS!$C$1561-((CROQUIS_DATOS!$C$1496+CROQUIS_DATOS!$C$1497))*CROQUIS_DATOS!$C$1561))/CROQUIS_DATOS!$C$1568-0.000001))),2)=1,IF(INT(($A52-1)/2)+1&gt;MAX(1,INT(((((CROQUIS_DATOS!$C$1494+CROQUIS_DATOS!$C$1495))-(CROQUIS_DATOS!$C$1494))+((CROQUIS_DATOS!$C$1476)*CROQUIS_DATOS!$C$1561-((CROQUIS_DATOS!$C$1496+CROQUIS_DATOS!$C$1497))*CROQUIS_DATOS!$C$1561))/CROQUIS_DATOS!$C$1568-0.000001)),1,MOD($A52-1,2)),1-IF(INT(($A52-1)/2)+1&gt;MAX(1,INT(((((CROQUIS_DATOS!$C$1494+CROQUIS_DATOS!$C$1495))-(CROQUIS_DATOS!$C$1494))+((CROQUIS_DATOS!$C$1476)*CROQUIS_DATOS!$C$1561-((CROQUIS_DATOS!$C$1496+CROQUIS_DATOS!$C$1497))*CROQUIS_DATOS!$C$1561))/CROQUIS_DATOS!$C$1568-0.000001)),1,MOD($A52-1,2)))=1,MIN((CROQUIS_DATOS!$C$1476)*CROQUIS_DATOS!$C$1561,((CROQUIS_DATOS!$C$1494+CROQUIS_DATOS!$C$1495)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2">
        <f>IF(AND(CROQUIS_DATOS!$C$1472=1,CROQUIS_DATOS!$C$1478&gt;=4,((CROQUIS_DATOS!$C$1494+CROQUIS_DATOS!$C$1495))-(CROQUIS_DATOS!$C$1494)&gt;0.5,(CROQUIS_DATOS!$C$1476)-((CROQUIS_DATOS!$C$1496+CROQUIS_DATOS!$C$1497))&gt;0.5),(CROQUIS_DATOS!$C$1567+(IF(IF(MOD(MIN(INT(($A52-1)/2)+1,MAX(1,INT(((((CROQUIS_DATOS!$C$1494+CROQUIS_DATOS!$C$1495))-(CROQUIS_DATOS!$C$1494))+((CROQUIS_DATOS!$C$1476)*CROQUIS_DATOS!$C$1561-((CROQUIS_DATOS!$C$1496+CROQUIS_DATOS!$C$1497))*CROQUIS_DATOS!$C$1561))/CROQUIS_DATOS!$C$1568-0.000001))),2)=1,IF(INT(($A52-1)/2)+1&gt;MAX(1,INT(((((CROQUIS_DATOS!$C$1494+CROQUIS_DATOS!$C$1495))-(CROQUIS_DATOS!$C$1494))+((CROQUIS_DATOS!$C$1476)*CROQUIS_DATOS!$C$1561-((CROQUIS_DATOS!$C$1496+CROQUIS_DATOS!$C$1497))*CROQUIS_DATOS!$C$1561))/CROQUIS_DATOS!$C$1568-0.000001)),1,MOD($A52-1,2)),1-IF(INT(($A52-1)/2)+1&gt;MAX(1,INT(((((CROQUIS_DATOS!$C$1494+CROQUIS_DATOS!$C$1495))-(CROQUIS_DATOS!$C$1494))+((CROQUIS_DATOS!$C$1476)*CROQUIS_DATOS!$C$1561-((CROQUIS_DATOS!$C$1496+CROQUIS_DATOS!$C$1497))*CROQUIS_DATOS!$C$1561))/CROQUIS_DATOS!$C$1568-0.000001)),1,MOD($A52-1,2)))=1,MIN((CROQUIS_DATOS!$C$1476)*CROQUIS_DATOS!$C$1561,((CROQUIS_DATOS!$C$1494+CROQUIS_DATOS!$C$1495)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2">
        <f>IF(AND(CROQUIS_DATOS!$C$1472=1,1),(CROQUIS_DATOS!$C$1571+(CHOOSE(MIN(MAX(IF(INT(($A52-1)/5)+1&gt;CROQUIS_DATOS!$C$1525,5,MOD($A52-1,5)+1),1),5),(INDEX($E$8:$E$23,MIN(INT(($A52-1)/5)+1,CROQUIS_DATOS!$C$1525))-INDEX($F$8:$F$23,MIN(INT(($A52-1)/5)+1,CROQUIS_DATOS!$C$1525))/2),(INDEX($E$8:$E$23,MIN(INT(($A52-1)/5)+1,CROQUIS_DATOS!$C$1525))+INDEX($F$8:$F$23,MIN(INT(($A52-1)/5)+1,CROQUIS_DATOS!$C$1525))/2),(INDEX($E$8:$E$23,MIN(INT(($A52-1)/5)+1,CROQUIS_DATOS!$C$1525))+INDEX($F$8:$F$23,MIN(INT(($A52-1)/5)+1,CROQUIS_DATOS!$C$1525))/2),(INDEX($E$8:$E$23,MIN(INT(($A52-1)/5)+1,CROQUIS_DATOS!$C$1525))-INDEX($F$8:$F$23,MIN(INT(($A52-1)/5)+1,CROQUIS_DATOS!$C$1525))/2),(INDEX($E$8:$E$23,MIN(INT(($A52-1)/5)+1,CROQUIS_DATOS!$C$1525))-INDEX($F$8:$F$23,MIN(INT(($A52-1)/5)+1,CROQUIS_DATOS!$C$1525))/2)))*CROQUIS_DATOS!$C$1569),-1000)</f>
        <v>95.24</v>
      </c>
      <c r="GE52">
        <f>IF(AND(CROQUIS_DATOS!$C$1472=1,1),(CROQUIS_DATOS!$C$1572+(CHOOSE(MIN(MAX(IF(INT(($A52-1)/5)+1&gt;CROQUIS_DATOS!$C$1525,5,MOD($A52-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2">
        <f>IF(AND(CROQUIS_DATOS!$C$1472=1,1),IF(INT(($A52-1)/4)+1&lt;=CROQUIS_DATOS!$C$1525,(CROQUIS_DATOS!$C$1571+((INDEX($E$8:$E$23,MIN(INT(($A52-1)/4)+1,16))+IF(OR(MOD($A52-1,4)=0,MOD($A52-1,4)=3),-1,1)*(INDEX($F$8:$F$23,MIN(INT(($A52-1)/4)+1,16))/2-(CROQUIS_DATOS!$C$1530+CROQUIS_DATOS!$C$1532+IF(OR(INT(($A52-1)/4)+1=1,INT(($A52-1)/4)+1=CROQUIS_DATOS!$C$1525),CROQUIS_DATOS!$C$1534,CROQUIS_DATOS!$C$1531)/2))))*CROQUIS_DATOS!$C$1569),-1000),-1000)</f>
        <v>-1000</v>
      </c>
      <c r="GG52">
        <f>IF(AND(CROQUIS_DATOS!$C$1472=1,1),IF(INT(($A52-1)/4)+1&lt;=CROQUIS_DATOS!$C$1525,(CROQUIS_DATOS!$C$1572+((CROQUIS_DATOS!$C$1477/2+IF(MOD($A52-1,4)&lt;2,-1,1)*(CROQUIS_DATOS!$C$1527/2-(CROQUIS_DATOS!$C$1530+CROQUIS_DATOS!$C$1532+IF(OR(INT(($A52-1)/4)+1=1,INT(($A52-1)/4)+1=CROQUIS_DATOS!$C$1525),CROQUIS_DATOS!$C$1534,CROQUIS_DATOS!$C$1531)/2))))*CROQUIS_DATOS!$C$1569*CROQUIS_DATOS!$C$1570),-1000),-1000)</f>
        <v>-1000</v>
      </c>
    </row>
    <row r="53">
      <c r="A53" t="n">
        <v>46</v>
      </c>
      <c r="J53">
        <f>IF(AND(CROQUIS_DATOS!$C$1472=1,1),(CROQUIS_DATOS!$C$1563+(CHOOSE(MIN(MAX(IF(INT(($A53-1)/4)+1&gt;CROQUIS_DATOS!$C$1525,4,MOD($A53-1,4)+1),1),4),(INDEX($E$8:$E$23,MIN(INT(($A53-1)/4)+1,CROQUIS_DATOS!$C$1525))-INDEX($F$8:$F$23,MIN(INT(($A53-1)/4)+1,CROQUIS_DATOS!$C$1525))/2),(INDEX($E$8:$E$23,MIN(INT(($A53-1)/4)+1,CROQUIS_DATOS!$C$1525))-INDEX($F$8:$F$23,MIN(INT(($A53-1)/4)+1,CROQUIS_DATOS!$C$1525))/2),(INDEX($E$8:$E$23,MIN(INT(($A53-1)/4)+1,CROQUIS_DATOS!$C$1525))+INDEX($F$8:$F$23,MIN(INT(($A53-1)/4)+1,CROQUIS_DATOS!$C$1525))/2),(INDEX($E$8:$E$23,MIN(INT(($A53-1)/4)+1,CROQUIS_DATOS!$C$1525))+INDEX($F$8:$F$23,MIN(INT(($A53-1)/4)+1,CROQUIS_DATOS!$C$1525))/2)))*CROQUIS_DATOS!$C$1562),-1000)</f>
        <v>84.9137931034483</v>
      </c>
      <c r="K53">
        <f>IF(AND(CROQUIS_DATOS!$C$1472=1,1),(CROQUIS_DATOS!$C$1564+(CHOOSE(MIN(MAX(IF(INT(($A53-1)/4)+1&gt;CROQUIS_DATOS!$C$1525,4,MOD($A53-1,4)+1),1),4),0,CROQUIS_DATOS!$C$1476,CROQUIS_DATOS!$C$1476,0))*CROQUIS_DATOS!$C$1561*CROQUIS_DATOS!$C$1562),-1000)</f>
        <v>5.29310344827586</v>
      </c>
      <c r="L53">
        <f>IF(AND(CROQUIS_DATOS!$C$1472=1,1),(CROQUIS_DATOS!$C$1563+(CHOOSE(MIN(MAX(IF(INT(($A53-1)/4)+1&gt;CROQUIS_DATOS!$C$1525,4,MOD($A53-1,4)+1),1),4),((INDEX($E$8:$E$23,MIN(INT(($A53-1)/4)+1,CROQUIS_DATOS!$C$1525))-INDEX($F$8:$F$23,MIN(INT(($A53-1)/4)+1,CROQUIS_DATOS!$C$1525))/2)+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,((INDEX($E$8:$E$23,MIN(INT(($A53-1)/4)+1,CROQUIS_DATOS!$C$1525))-INDEX($F$8:$F$23,MIN(INT(($A53-1)/4)+1,CROQUIS_DATOS!$C$1525))/2)+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,((INDEX($E$8:$E$23,MIN(INT(($A53-1)/4)+1,CROQUIS_DATOS!$C$1525))+INDEX($F$8:$F$23,MIN(INT(($A53-1)/4)+1,CROQUIS_DATOS!$C$1525))/2)-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,((INDEX($E$8:$E$23,MIN(INT(($A53-1)/4)+1,CROQUIS_DATOS!$C$1525))+INDEX($F$8:$F$23,MIN(INT(($A53-1)/4)+1,CROQUIS_DATOS!$C$1525))/2)-MIN((CROQUIS_DATOS!$C$1530+CROQUIS_DATOS!$C$1532+IF(OR(MIN(INT(($A53-1)/4)+1,CROQUIS_DATOS!$C$1525)=1,MIN(INT(($A53-1)/4)+1,CROQUIS_DATOS!$C$1525)=CROQUIS_DATOS!$C$1525),CROQUIS_DATOS!$C$1534,CROQUIS_DATOS!$C$1531)/2),INDEX($F$8:$F$23,MIN(INT(($A53-1)/4)+1,CROQUIS_DATOS!$C$1525))/2-0.5))))*CROQUIS_DATOS!$C$1562),-1000)</f>
        <v>84.4792560344828</v>
      </c>
      <c r="M53">
        <f>IF(AND(CROQUIS_DATOS!$C$1472=1,1),(CROQUIS_DATOS!$C$1564+(CHOOSE(MIN(MAX(IF(INT(($A53-1)/4)+1&gt;CROQUIS_DATOS!$C$1525,4,MOD($A53-1,4)+1),1),4),CROQUIS_DATOS!$C$1543,INDEX($I$8:$I$23,MIN(INT(($A53-1)/4)+1,CROQUIS_DATOS!$C$1525)),INDEX($I$8:$I$23,MIN(INT(($A53-1)/4)+1,CROQUIS_DATOS!$C$1525)),CROQUIS_DATOS!$C$1543))*CROQUIS_DATOS!$C$1561*CROQUIS_DATOS!$C$1562),-1000)</f>
        <v>42.5654629310345</v>
      </c>
      <c r="N53">
        <f>IF(AND(CROQUIS_DATOS!$C$1472=1,1),(CROQUIS_DATOS!$C$1563+(IF(IF(IF(INT(($A53-1)/70)+1&gt;CROQUIS_DATOS!$C$1525,70,MOD($A53-1,70)+1)=1,0,IF(IF(INT(($A53-1)/70)+1&gt;CROQUIS_DATOS!$C$1525,70,MOD($A53-1,70)+1)&gt;2*CROQUIS_DATOS!$C$1541+1,IF(MOD(CROQUIS_DATOS!$C$1541,2)=1,1,0),IF(MOD(MIN(INT((IF(INT(($A53-1)/70)+1&gt;CROQUIS_DATOS!$C$1525,70,MOD($A53-1,70)+1)-2)/2)+1,CROQUIS_DATOS!$C$1541),2)=1,IF(MOD(IF(INT(($A53-1)/70)+1&gt;CROQUIS_DATOS!$C$1525,70,MOD($A53-1,70)+1)-2,2)=0,0,1),IF(MOD(IF(INT(($A53-1)/70)+1&gt;CROQUIS_DATOS!$C$1525,70,MOD($A53-1,70)+1)-2,2)=0,1,0))))=0,(INDEX($E$8:$E$23,MIN(INT(($A53-1)/70)+1,CROQUIS_DATOS!$C$1525))-INDEX($F$8:$F$23,MIN(INT(($A53-1)/70)+1,CROQUIS_DATOS!$C$1525))/2),(INDEX($E$8:$E$23,MIN(INT(($A53-1)/70)+1,CROQUIS_DATOS!$C$1525))+INDEX($F$8:$F$23,MIN(INT(($A53-1)/70)+1,CROQUIS_DATOS!$C$1525))/2)))*CROQUIS_DATOS!$C$1562),-1000)</f>
        <v>15.0862068965517</v>
      </c>
      <c r="O53">
        <f>IF(AND(CROQUIS_DATOS!$C$1472=1,1),(CROQUIS_DATOS!$C$1564+(IF(OR(IF(INT(($A53-1)/70)+1&gt;CROQUIS_DATOS!$C$1525,70,MOD($A53-1,70)+1)=1,IF(INT(($A53-1)/70)+1&gt;CROQUIS_DATOS!$C$1525,70,MOD($A53-1,70)+1)&gt;2*CROQUIS_DATOS!$C$1541+1),CROQUIS_DATOS!$C$1476,INDEX($H$8:$H$41,MIN(INT((IF(INT(($A53-1)/70)+1&gt;CROQUIS_DATOS!$C$1525,70,MOD($A53-1,70)+1)-2)/2)+1,CROQUIS_DATOS!$C$1541))))*CROQUIS_DATOS!$C$1561*CROQUIS_DATOS!$C$1562),-1000)</f>
        <v>40.2068965517241</v>
      </c>
      <c r="P53">
        <f>IF(AND(CROQUIS_DATOS!$C$1472=1,CROQUIS_DATOS!$C$1555=1),(CROQUIS_DATOS!$C$1563+(IF(IF(OR(MOD($A53-1,62)+1=1,IF(CHOOSE(MIN(MAX(MIN(INT(($A53-1)/62)+1,5),1),5),CROQUIS_DATOS!$C$1501,CROQUIS_DATOS!$C$1505,CROQUIS_DATOS!$C$1509,CROQUIS_DATOS!$C$1513,CROQUIS_DATOS!$C$1517)=1,CROQUIS_DATOS!$C$1557,0)=0),0,IF(MOD($A53-1,62)+1&gt;2*IF(CHOOSE(MIN(MAX(MIN(INT(($A53-1)/62)+1,5),1),5),CROQUIS_DATOS!$C$1501,CROQUIS_DATOS!$C$1505,CROQUIS_DATOS!$C$1509,CROQUIS_DATOS!$C$1513,CROQUIS_DATOS!$C$1517)=1,CROQUIS_DATOS!$C$1557,0)+1,IF(MOD(IF(CHOOSE(MIN(MAX(MIN(INT(($A53-1)/62)+1,5),1),5),CROQUIS_DATOS!$C$1501,CROQUIS_DATOS!$C$1505,CROQUIS_DATOS!$C$1509,CROQUIS_DATOS!$C$1513,CROQUIS_DATOS!$C$1517)=1,CROQUIS_DATOS!$C$1557,0),2)=1,1,0),IF(MOD(MIN(INT((MOD($A53-1,62)+1-2)/2)+1,MAX(IF(CHOOSE(MIN(MAX(MIN(INT(($A53-1)/62)+1,5),1),5),CROQUIS_DATOS!$C$1501,CROQUIS_DATOS!$C$1505,CROQUIS_DATOS!$C$1509,CROQUIS_DATOS!$C$1513,CROQUIS_DATOS!$C$1517)=1,CROQUIS_DATOS!$C$1557,0),1)),2)=1,IF(MOD(MOD($A53-1,62)+1-2,2)=0,0,1),IF(MOD(MOD($A53-1,62)+1-2,2)=0,1,0))))=0,(CHOOSE(MIN(MAX(MIN(INT(($A53-1)/62)+1,5),1),5),CROQUIS_DATOS!$C$1499,CROQUIS_DATOS!$C$1503,CROQUIS_DATOS!$C$1507,CROQUIS_DATOS!$C$1511,CROQUIS_DATOS!$C$1515)+IF(CHOOSE(MIN(MAX(MIN(INT(($A53-1)/62)+1,5),1),5),CROQUIS_DATOS!$C$1501,CROQUIS_DATOS!$C$1505,CROQUIS_DATOS!$C$1509,CROQUIS_DATOS!$C$1513,CROQUIS_DATOS!$C$1517)=1,CROQUIS_DATOS!$C$1526,0)),(CHOOSE(MIN(MAX(MIN(INT(($A53-1)/62)+1,5),1),5),CROQUIS_DATOS!$C$1499,CROQUIS_DATOS!$C$1503,CROQUIS_DATOS!$C$1507,CROQUIS_DATOS!$C$1511,CROQUIS_DATOS!$C$1515)+CHOOSE(MIN(MAX(MIN(INT(($A53-1)/62)+1,5),1),5),CROQUIS_DATOS!$C$1500,CROQUIS_DATOS!$C$1504,CROQUIS_DATOS!$C$1508,CROQUIS_DATOS!$C$1512,CROQUIS_DATOS!$C$1516)-IF(CHOOSE(MIN(MAX(MIN(INT(($A53-1)/62)+1,5),1),5),CROQUIS_DATOS!$C$1501,CROQUIS_DATOS!$C$1505,CROQUIS_DATOS!$C$1509,CROQUIS_DATOS!$C$1513,CROQUIS_DATOS!$C$1517)=1,CROQUIS_DATOS!$C$1526,0))))*CROQUIS_DATOS!$C$1562),-1000)</f>
        <v>-1000</v>
      </c>
      <c r="Q53">
        <f>IF(AND(CROQUIS_DATOS!$C$1472=1,CROQUIS_DATOS!$C$1555=1),(CROQUIS_DATOS!$C$1564+(IF(OR(OR(MOD($A53-1,62)+1=1,IF(CHOOSE(MIN(MAX(MIN(INT(($A53-1)/62)+1,5),1),5),CROQUIS_DATOS!$C$1501,CROQUIS_DATOS!$C$1505,CROQUIS_DATOS!$C$1509,CROQUIS_DATOS!$C$1513,CROQUIS_DATOS!$C$1517)=1,CROQUIS_DATOS!$C$1557,0)=0),MOD($A53-1,62)+1&gt;2*IF(CHOOSE(MIN(MAX(MIN(INT(($A53-1)/62)+1,5),1),5),CROQUIS_DATOS!$C$1501,CROQUIS_DATOS!$C$1505,CROQUIS_DATOS!$C$1509,CROQUIS_DATOS!$C$1513,CROQUIS_DATOS!$C$1517)=1,CROQUIS_DATOS!$C$1557,0)+1),CROQUIS_DATOS!$C$1476,MIN(INT((MOD($A53-1,62)+1-2)/2)+1,MAX(IF(CHOOSE(MIN(MAX(MIN(INT(($A53-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3">
        <f>IF(AND(CROQUIS_DATOS!$C$1472=1,1),(CROQUIS_DATOS!$C$1563+(MIN(INT(($A53-1)/2)+1,CROQUIS_DATOS!$C$1558)*CROQUIS_DATOS!$C$1559)*CROQUIS_DATOS!$C$1562),-1000)</f>
        <v>76.8567639257294</v>
      </c>
      <c r="U53">
        <f>IF(AND(CROQUIS_DATOS!$C$1472=1,1),(CROQUIS_DATOS!$C$1564+(IF(INT(($A53-1)/2)+1&gt;CROQUIS_DATOS!$C$1558,IF(MOD(CROQUIS_DATOS!$C$1558,2)=1,CROQUIS_DATOS!$C$1476+CROQUIS_DATOS!$C$1528,CROQUIS_DATOS!$C$1476),IF(IF(MOD(MIN(INT(($A53-1)/2)+1,CROQUIS_DATOS!$C$1558),2)=1,MOD($A53-1,2),1-MOD($A53-1,2))=1,CROQUIS_DATOS!$C$1476+CROQUIS_DATOS!$C$1528,CROQUIS_DATOS!$C$1476)))*CROQUIS_DATOS!$C$1561*CROQUIS_DATOS!$C$1562),-1000)</f>
        <v>43</v>
      </c>
      <c r="BZ53">
        <f>IF(AND(CROQUIS_DATOS!$C$1472=1,CROQUIS_DATOS!$C$1500&gt;0,((CROQUIS_DATOS!$C$1499+CROQUIS_DATOS!$C$1500))-(CROQUIS_DATOS!$C$1499)&gt;0.5,(CROQUIS_DATOS!$C$1476)-(0)&gt;0.5),(CROQUIS_DATOS!$C$1566+(IF(IF(MOD(MIN(INT(($A53-1)/2)+1,MAX(1,INT(((((CROQUIS_DATOS!$C$1499+CROQUIS_DATOS!$C$1500))-(CROQUIS_DATOS!$C$1499))+((CROQUIS_DATOS!$C$1476)*CROQUIS_DATOS!$C$1561-(0)*CROQUIS_DATOS!$C$1561))/CROQUIS_DATOS!$C$1568-0.000001))),2)=1,IF(INT(($A53-1)/2)+1&gt;MAX(1,INT(((((CROQUIS_DATOS!$C$1499+CROQUIS_DATOS!$C$1500))-(CROQUIS_DATOS!$C$1499))+((CROQUIS_DATOS!$C$1476)*CROQUIS_DATOS!$C$1561-(0)*CROQUIS_DATOS!$C$1561))/CROQUIS_DATOS!$C$1568-0.000001)),1,MOD($A53-1,2)),1-IF(INT(($A53-1)/2)+1&gt;MAX(1,INT(((((CROQUIS_DATOS!$C$1499+CROQUIS_DATOS!$C$1500))-(CROQUIS_DATOS!$C$1499))+((CROQUIS_DATOS!$C$1476)*CROQUIS_DATOS!$C$1561-(0)*CROQUIS_DATOS!$C$1561))/CROQUIS_DATOS!$C$1568-0.000001)),1,MOD($A53-1,2)))=1,MIN((CROQUIS_DATOS!$C$1476)*CROQUIS_DATOS!$C$1561,((CROQUIS_DATOS!$C$1499+CROQUIS_DATOS!$C$1500)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3">
        <f>IF(AND(CROQUIS_DATOS!$C$1472=1,CROQUIS_DATOS!$C$1500&gt;0,((CROQUIS_DATOS!$C$1499+CROQUIS_DATOS!$C$1500))-(CROQUIS_DATOS!$C$1499)&gt;0.5,(CROQUIS_DATOS!$C$1476)-(0)&gt;0.5),(CROQUIS_DATOS!$C$1567+(IF(IF(MOD(MIN(INT(($A53-1)/2)+1,MAX(1,INT(((((CROQUIS_DATOS!$C$1499+CROQUIS_DATOS!$C$1500))-(CROQUIS_DATOS!$C$1499))+((CROQUIS_DATOS!$C$1476)*CROQUIS_DATOS!$C$1561-(0)*CROQUIS_DATOS!$C$1561))/CROQUIS_DATOS!$C$1568-0.000001))),2)=1,IF(INT(($A53-1)/2)+1&gt;MAX(1,INT(((((CROQUIS_DATOS!$C$1499+CROQUIS_DATOS!$C$1500))-(CROQUIS_DATOS!$C$1499))+((CROQUIS_DATOS!$C$1476)*CROQUIS_DATOS!$C$1561-(0)*CROQUIS_DATOS!$C$1561))/CROQUIS_DATOS!$C$1568-0.000001)),1,MOD($A53-1,2)),1-IF(INT(($A53-1)/2)+1&gt;MAX(1,INT(((((CROQUIS_DATOS!$C$1499+CROQUIS_DATOS!$C$1500))-(CROQUIS_DATOS!$C$1499))+((CROQUIS_DATOS!$C$1476)*CROQUIS_DATOS!$C$1561-(0)*CROQUIS_DATOS!$C$1561))/CROQUIS_DATOS!$C$1568-0.000001)),1,MOD($A53-1,2)))=1,MIN((CROQUIS_DATOS!$C$1476)*CROQUIS_DATOS!$C$1561,((CROQUIS_DATOS!$C$1499+CROQUIS_DATOS!$C$1500)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3">
        <f>IF(AND(CROQUIS_DATOS!$C$1472=1,CROQUIS_DATOS!$C$1504&gt;0,((CROQUIS_DATOS!$C$1503+CROQUIS_DATOS!$C$1504))-(CROQUIS_DATOS!$C$1503)&gt;0.5,(CROQUIS_DATOS!$C$1476)-(0)&gt;0.5),(CROQUIS_DATOS!$C$1566+(IF(IF(MOD(MIN(INT(($A53-1)/2)+1,MAX(1,INT(((((CROQUIS_DATOS!$C$1503+CROQUIS_DATOS!$C$1504))-(CROQUIS_DATOS!$C$1503))+((CROQUIS_DATOS!$C$1476)*CROQUIS_DATOS!$C$1561-(0)*CROQUIS_DATOS!$C$1561))/CROQUIS_DATOS!$C$1568-0.000001))),2)=1,IF(INT(($A53-1)/2)+1&gt;MAX(1,INT(((((CROQUIS_DATOS!$C$1503+CROQUIS_DATOS!$C$1504))-(CROQUIS_DATOS!$C$1503))+((CROQUIS_DATOS!$C$1476)*CROQUIS_DATOS!$C$1561-(0)*CROQUIS_DATOS!$C$1561))/CROQUIS_DATOS!$C$1568-0.000001)),1,MOD($A53-1,2)),1-IF(INT(($A53-1)/2)+1&gt;MAX(1,INT(((((CROQUIS_DATOS!$C$1503+CROQUIS_DATOS!$C$1504))-(CROQUIS_DATOS!$C$1503))+((CROQUIS_DATOS!$C$1476)*CROQUIS_DATOS!$C$1561-(0)*CROQUIS_DATOS!$C$1561))/CROQUIS_DATOS!$C$1568-0.000001)),1,MOD($A53-1,2)))=1,MIN((CROQUIS_DATOS!$C$1476)*CROQUIS_DATOS!$C$1561,((CROQUIS_DATOS!$C$1503+CROQUIS_DATOS!$C$1504)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3">
        <f>IF(AND(CROQUIS_DATOS!$C$1472=1,CROQUIS_DATOS!$C$1504&gt;0,((CROQUIS_DATOS!$C$1503+CROQUIS_DATOS!$C$1504))-(CROQUIS_DATOS!$C$1503)&gt;0.5,(CROQUIS_DATOS!$C$1476)-(0)&gt;0.5),(CROQUIS_DATOS!$C$1567+(IF(IF(MOD(MIN(INT(($A53-1)/2)+1,MAX(1,INT(((((CROQUIS_DATOS!$C$1503+CROQUIS_DATOS!$C$1504))-(CROQUIS_DATOS!$C$1503))+((CROQUIS_DATOS!$C$1476)*CROQUIS_DATOS!$C$1561-(0)*CROQUIS_DATOS!$C$1561))/CROQUIS_DATOS!$C$1568-0.000001))),2)=1,IF(INT(($A53-1)/2)+1&gt;MAX(1,INT(((((CROQUIS_DATOS!$C$1503+CROQUIS_DATOS!$C$1504))-(CROQUIS_DATOS!$C$1503))+((CROQUIS_DATOS!$C$1476)*CROQUIS_DATOS!$C$1561-(0)*CROQUIS_DATOS!$C$1561))/CROQUIS_DATOS!$C$1568-0.000001)),1,MOD($A53-1,2)),1-IF(INT(($A53-1)/2)+1&gt;MAX(1,INT(((((CROQUIS_DATOS!$C$1503+CROQUIS_DATOS!$C$1504))-(CROQUIS_DATOS!$C$1503))+((CROQUIS_DATOS!$C$1476)*CROQUIS_DATOS!$C$1561-(0)*CROQUIS_DATOS!$C$1561))/CROQUIS_DATOS!$C$1568-0.000001)),1,MOD($A53-1,2)))=1,MIN((CROQUIS_DATOS!$C$1476)*CROQUIS_DATOS!$C$1561,((CROQUIS_DATOS!$C$1503+CROQUIS_DATOS!$C$1504)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53">
        <f>IF(AND(CROQUIS_DATOS!$C$1472=1,CROQUIS_DATOS!$C$1508&gt;0,((CROQUIS_DATOS!$C$1507+CROQUIS_DATOS!$C$1508))-(CROQUIS_DATOS!$C$1507)&gt;0.5,(CROQUIS_DATOS!$C$1476)-(0)&gt;0.5),(CROQUIS_DATOS!$C$1566+(IF(IF(MOD(MIN(INT(($A53-1)/2)+1,MAX(1,INT(((((CROQUIS_DATOS!$C$1507+CROQUIS_DATOS!$C$1508))-(CROQUIS_DATOS!$C$1507))+((CROQUIS_DATOS!$C$1476)*CROQUIS_DATOS!$C$1561-(0)*CROQUIS_DATOS!$C$1561))/CROQUIS_DATOS!$C$1568-0.000001))),2)=1,IF(INT(($A53-1)/2)+1&gt;MAX(1,INT(((((CROQUIS_DATOS!$C$1507+CROQUIS_DATOS!$C$1508))-(CROQUIS_DATOS!$C$1507))+((CROQUIS_DATOS!$C$1476)*CROQUIS_DATOS!$C$1561-(0)*CROQUIS_DATOS!$C$1561))/CROQUIS_DATOS!$C$1568-0.000001)),1,MOD($A53-1,2)),1-IF(INT(($A53-1)/2)+1&gt;MAX(1,INT(((((CROQUIS_DATOS!$C$1507+CROQUIS_DATOS!$C$1508))-(CROQUIS_DATOS!$C$1507))+((CROQUIS_DATOS!$C$1476)*CROQUIS_DATOS!$C$1561-(0)*CROQUIS_DATOS!$C$1561))/CROQUIS_DATOS!$C$1568-0.000001)),1,MOD($A53-1,2)))=1,MIN((CROQUIS_DATOS!$C$1476)*CROQUIS_DATOS!$C$1561,((CROQUIS_DATOS!$C$1507+CROQUIS_DATOS!$C$1508)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53">
        <f>IF(AND(CROQUIS_DATOS!$C$1472=1,CROQUIS_DATOS!$C$1508&gt;0,((CROQUIS_DATOS!$C$1507+CROQUIS_DATOS!$C$1508))-(CROQUIS_DATOS!$C$1507)&gt;0.5,(CROQUIS_DATOS!$C$1476)-(0)&gt;0.5),(CROQUIS_DATOS!$C$1567+(IF(IF(MOD(MIN(INT(($A53-1)/2)+1,MAX(1,INT(((((CROQUIS_DATOS!$C$1507+CROQUIS_DATOS!$C$1508))-(CROQUIS_DATOS!$C$1507))+((CROQUIS_DATOS!$C$1476)*CROQUIS_DATOS!$C$1561-(0)*CROQUIS_DATOS!$C$1561))/CROQUIS_DATOS!$C$1568-0.000001))),2)=1,IF(INT(($A53-1)/2)+1&gt;MAX(1,INT(((((CROQUIS_DATOS!$C$1507+CROQUIS_DATOS!$C$1508))-(CROQUIS_DATOS!$C$1507))+((CROQUIS_DATOS!$C$1476)*CROQUIS_DATOS!$C$1561-(0)*CROQUIS_DATOS!$C$1561))/CROQUIS_DATOS!$C$1568-0.000001)),1,MOD($A53-1,2)),1-IF(INT(($A53-1)/2)+1&gt;MAX(1,INT(((((CROQUIS_DATOS!$C$1507+CROQUIS_DATOS!$C$1508))-(CROQUIS_DATOS!$C$1507))+((CROQUIS_DATOS!$C$1476)*CROQUIS_DATOS!$C$1561-(0)*CROQUIS_DATOS!$C$1561))/CROQUIS_DATOS!$C$1568-0.000001)),1,MOD($A53-1,2)))=1,MIN((CROQUIS_DATOS!$C$1476)*CROQUIS_DATOS!$C$1561,((CROQUIS_DATOS!$C$1507+CROQUIS_DATOS!$C$1508)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53-1)/2)+1,MAX(1,INT(((((CROQUIS_DATOS!$C$1507+CROQUIS_DATOS!$C$1508))-(CROQUIS_DATOS!$C$1507))+((CROQUIS_DATOS!$C$1476)*CROQUIS_DATOS!$C$1561-(0)*CROQUIS_DATOS!$C$1561))/CROQUIS_DATOS!$C$1568-0.000001)))*CROQUIS_DATOS!$C$1568))))*CROQUIS_DATOS!$C$1565),-1000)</f>
        <v>14.8896551724138</v>
      </c>
      <c r="CF53">
        <f>IF(AND(CROQUIS_DATOS!$C$1472=1,CROQUIS_DATOS!$C$1512&gt;0,((CROQUIS_DATOS!$C$1511+CROQUIS_DATOS!$C$1512))-(CROQUIS_DATOS!$C$1511)&gt;0.5,(CROQUIS_DATOS!$C$1476)-(0)&gt;0.5),(CROQUIS_DATOS!$C$1566+(IF(IF(MOD(MIN(INT(($A53-1)/2)+1,MAX(1,INT(((((CROQUIS_DATOS!$C$1511+CROQUIS_DATOS!$C$1512))-(CROQUIS_DATOS!$C$1511))+((CROQUIS_DATOS!$C$1476)*CROQUIS_DATOS!$C$1561-(0)*CROQUIS_DATOS!$C$1561))/CROQUIS_DATOS!$C$1568-0.000001))),2)=1,IF(INT(($A53-1)/2)+1&gt;MAX(1,INT(((((CROQUIS_DATOS!$C$1511+CROQUIS_DATOS!$C$1512))-(CROQUIS_DATOS!$C$1511))+((CROQUIS_DATOS!$C$1476)*CROQUIS_DATOS!$C$1561-(0)*CROQUIS_DATOS!$C$1561))/CROQUIS_DATOS!$C$1568-0.000001)),1,MOD($A53-1,2)),1-IF(INT(($A53-1)/2)+1&gt;MAX(1,INT(((((CROQUIS_DATOS!$C$1511+CROQUIS_DATOS!$C$1512))-(CROQUIS_DATOS!$C$1511))+((CROQUIS_DATOS!$C$1476)*CROQUIS_DATOS!$C$1561-(0)*CROQUIS_DATOS!$C$1561))/CROQUIS_DATOS!$C$1568-0.000001)),1,MOD($A53-1,2)))=1,MIN((CROQUIS_DATOS!$C$1476)*CROQUIS_DATOS!$C$1561,((CROQUIS_DATOS!$C$1511+CROQUIS_DATOS!$C$1512)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3">
        <f>IF(AND(CROQUIS_DATOS!$C$1472=1,CROQUIS_DATOS!$C$1512&gt;0,((CROQUIS_DATOS!$C$1511+CROQUIS_DATOS!$C$1512))-(CROQUIS_DATOS!$C$1511)&gt;0.5,(CROQUIS_DATOS!$C$1476)-(0)&gt;0.5),(CROQUIS_DATOS!$C$1567+(IF(IF(MOD(MIN(INT(($A53-1)/2)+1,MAX(1,INT(((((CROQUIS_DATOS!$C$1511+CROQUIS_DATOS!$C$1512))-(CROQUIS_DATOS!$C$1511))+((CROQUIS_DATOS!$C$1476)*CROQUIS_DATOS!$C$1561-(0)*CROQUIS_DATOS!$C$1561))/CROQUIS_DATOS!$C$1568-0.000001))),2)=1,IF(INT(($A53-1)/2)+1&gt;MAX(1,INT(((((CROQUIS_DATOS!$C$1511+CROQUIS_DATOS!$C$1512))-(CROQUIS_DATOS!$C$1511))+((CROQUIS_DATOS!$C$1476)*CROQUIS_DATOS!$C$1561-(0)*CROQUIS_DATOS!$C$1561))/CROQUIS_DATOS!$C$1568-0.000001)),1,MOD($A53-1,2)),1-IF(INT(($A53-1)/2)+1&gt;MAX(1,INT(((((CROQUIS_DATOS!$C$1511+CROQUIS_DATOS!$C$1512))-(CROQUIS_DATOS!$C$1511))+((CROQUIS_DATOS!$C$1476)*CROQUIS_DATOS!$C$1561-(0)*CROQUIS_DATOS!$C$1561))/CROQUIS_DATOS!$C$1568-0.000001)),1,MOD($A53-1,2)))=1,MIN((CROQUIS_DATOS!$C$1476)*CROQUIS_DATOS!$C$1561,((CROQUIS_DATOS!$C$1511+CROQUIS_DATOS!$C$1512)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3">
        <f>IF(AND(CROQUIS_DATOS!$C$1472=1,CROQUIS_DATOS!$C$1516&gt;0,((CROQUIS_DATOS!$C$1515+CROQUIS_DATOS!$C$1516))-(CROQUIS_DATOS!$C$1515)&gt;0.5,(CROQUIS_DATOS!$C$1476)-(0)&gt;0.5),(CROQUIS_DATOS!$C$1566+(IF(IF(MOD(MIN(INT(($A53-1)/2)+1,MAX(1,INT(((((CROQUIS_DATOS!$C$1515+CROQUIS_DATOS!$C$1516))-(CROQUIS_DATOS!$C$1515))+((CROQUIS_DATOS!$C$1476)*CROQUIS_DATOS!$C$1561-(0)*CROQUIS_DATOS!$C$1561))/CROQUIS_DATOS!$C$1568-0.000001))),2)=1,IF(INT(($A53-1)/2)+1&gt;MAX(1,INT(((((CROQUIS_DATOS!$C$1515+CROQUIS_DATOS!$C$1516))-(CROQUIS_DATOS!$C$1515))+((CROQUIS_DATOS!$C$1476)*CROQUIS_DATOS!$C$1561-(0)*CROQUIS_DATOS!$C$1561))/CROQUIS_DATOS!$C$1568-0.000001)),1,MOD($A53-1,2)),1-IF(INT(($A53-1)/2)+1&gt;MAX(1,INT(((((CROQUIS_DATOS!$C$1515+CROQUIS_DATOS!$C$1516))-(CROQUIS_DATOS!$C$1515))+((CROQUIS_DATOS!$C$1476)*CROQUIS_DATOS!$C$1561-(0)*CROQUIS_DATOS!$C$1561))/CROQUIS_DATOS!$C$1568-0.000001)),1,MOD($A53-1,2)))=1,MIN((CROQUIS_DATOS!$C$1476)*CROQUIS_DATOS!$C$1561,((CROQUIS_DATOS!$C$1515+CROQUIS_DATOS!$C$1516)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3">
        <f>IF(AND(CROQUIS_DATOS!$C$1472=1,CROQUIS_DATOS!$C$1516&gt;0,((CROQUIS_DATOS!$C$1515+CROQUIS_DATOS!$C$1516))-(CROQUIS_DATOS!$C$1515)&gt;0.5,(CROQUIS_DATOS!$C$1476)-(0)&gt;0.5),(CROQUIS_DATOS!$C$1567+(IF(IF(MOD(MIN(INT(($A53-1)/2)+1,MAX(1,INT(((((CROQUIS_DATOS!$C$1515+CROQUIS_DATOS!$C$1516))-(CROQUIS_DATOS!$C$1515))+((CROQUIS_DATOS!$C$1476)*CROQUIS_DATOS!$C$1561-(0)*CROQUIS_DATOS!$C$1561))/CROQUIS_DATOS!$C$1568-0.000001))),2)=1,IF(INT(($A53-1)/2)+1&gt;MAX(1,INT(((((CROQUIS_DATOS!$C$1515+CROQUIS_DATOS!$C$1516))-(CROQUIS_DATOS!$C$1515))+((CROQUIS_DATOS!$C$1476)*CROQUIS_DATOS!$C$1561-(0)*CROQUIS_DATOS!$C$1561))/CROQUIS_DATOS!$C$1568-0.000001)),1,MOD($A53-1,2)),1-IF(INT(($A53-1)/2)+1&gt;MAX(1,INT(((((CROQUIS_DATOS!$C$1515+CROQUIS_DATOS!$C$1516))-(CROQUIS_DATOS!$C$1515))+((CROQUIS_DATOS!$C$1476)*CROQUIS_DATOS!$C$1561-(0)*CROQUIS_DATOS!$C$1561))/CROQUIS_DATOS!$C$1568-0.000001)),1,MOD($A53-1,2)))=1,MIN((CROQUIS_DATOS!$C$1476)*CROQUIS_DATOS!$C$1561,((CROQUIS_DATOS!$C$1515+CROQUIS_DATOS!$C$1516)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3">
        <f>IF(AND(CROQUIS_DATOS!$C$1472=1,CROQUIS_DATOS!$C$1478&gt;=1,((CROQUIS_DATOS!$C$1479+CROQUIS_DATOS!$C$1480))-(CROQUIS_DATOS!$C$1479)&gt;0.5,(CROQUIS_DATOS!$C$1481)-(0)&gt;0.5),(CROQUIS_DATOS!$C$1566+(IF(IF(MOD(MIN(INT(($A53-1)/2)+1,MAX(1,INT(((((CROQUIS_DATOS!$C$1479+CROQUIS_DATOS!$C$1480))-(CROQUIS_DATOS!$C$1479))+((CROQUIS_DATOS!$C$1481)*CROQUIS_DATOS!$C$1561-(0)*CROQUIS_DATOS!$C$1561))/CROQUIS_DATOS!$C$1568-0.000001))),2)=1,IF(INT(($A53-1)/2)+1&gt;MAX(1,INT(((((CROQUIS_DATOS!$C$1479+CROQUIS_DATOS!$C$1480))-(CROQUIS_DATOS!$C$1479))+((CROQUIS_DATOS!$C$1481)*CROQUIS_DATOS!$C$1561-(0)*CROQUIS_DATOS!$C$1561))/CROQUIS_DATOS!$C$1568-0.000001)),1,MOD($A53-1,2)),1-IF(INT(($A53-1)/2)+1&gt;MAX(1,INT(((((CROQUIS_DATOS!$C$1479+CROQUIS_DATOS!$C$1480))-(CROQUIS_DATOS!$C$1479))+((CROQUIS_DATOS!$C$1481)*CROQUIS_DATOS!$C$1561-(0)*CROQUIS_DATOS!$C$1561))/CROQUIS_DATOS!$C$1568-0.000001)),1,MOD($A53-1,2)))=1,MIN((CROQUIS_DATOS!$C$1481)*CROQUIS_DATOS!$C$1561,((CROQUIS_DATOS!$C$1479+CROQUIS_DATOS!$C$1480)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3">
        <f>IF(AND(CROQUIS_DATOS!$C$1472=1,CROQUIS_DATOS!$C$1478&gt;=1,((CROQUIS_DATOS!$C$1479+CROQUIS_DATOS!$C$1480))-(CROQUIS_DATOS!$C$1479)&gt;0.5,(CROQUIS_DATOS!$C$1481)-(0)&gt;0.5),(CROQUIS_DATOS!$C$1567+(IF(IF(MOD(MIN(INT(($A53-1)/2)+1,MAX(1,INT(((((CROQUIS_DATOS!$C$1479+CROQUIS_DATOS!$C$1480))-(CROQUIS_DATOS!$C$1479))+((CROQUIS_DATOS!$C$1481)*CROQUIS_DATOS!$C$1561-(0)*CROQUIS_DATOS!$C$1561))/CROQUIS_DATOS!$C$1568-0.000001))),2)=1,IF(INT(($A53-1)/2)+1&gt;MAX(1,INT(((((CROQUIS_DATOS!$C$1479+CROQUIS_DATOS!$C$1480))-(CROQUIS_DATOS!$C$1479))+((CROQUIS_DATOS!$C$1481)*CROQUIS_DATOS!$C$1561-(0)*CROQUIS_DATOS!$C$1561))/CROQUIS_DATOS!$C$1568-0.000001)),1,MOD($A53-1,2)),1-IF(INT(($A53-1)/2)+1&gt;MAX(1,INT(((((CROQUIS_DATOS!$C$1479+CROQUIS_DATOS!$C$1480))-(CROQUIS_DATOS!$C$1479))+((CROQUIS_DATOS!$C$1481)*CROQUIS_DATOS!$C$1561-(0)*CROQUIS_DATOS!$C$1561))/CROQUIS_DATOS!$C$1568-0.000001)),1,MOD($A53-1,2)))=1,MIN((CROQUIS_DATOS!$C$1481)*CROQUIS_DATOS!$C$1561,((CROQUIS_DATOS!$C$1479+CROQUIS_DATOS!$C$1480)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3">
        <f>IF(AND(CROQUIS_DATOS!$C$1472=1,CROQUIS_DATOS!$C$1478&gt;=1,((CROQUIS_DATOS!$C$1479+CROQUIS_DATOS!$C$1480))-(CROQUIS_DATOS!$C$1479)&gt;0.5,(CROQUIS_DATOS!$C$1476)-((CROQUIS_DATOS!$C$1481+CROQUIS_DATOS!$C$1482))&gt;0.5),(CROQUIS_DATOS!$C$1566+(IF(IF(MOD(MIN(INT(($A53-1)/2)+1,MAX(1,INT(((((CROQUIS_DATOS!$C$1479+CROQUIS_DATOS!$C$1480))-(CROQUIS_DATOS!$C$1479))+((CROQUIS_DATOS!$C$1476)*CROQUIS_DATOS!$C$1561-((CROQUIS_DATOS!$C$1481+CROQUIS_DATOS!$C$1482))*CROQUIS_DATOS!$C$1561))/CROQUIS_DATOS!$C$1568-0.000001))),2)=1,IF(INT(($A53-1)/2)+1&gt;MAX(1,INT(((((CROQUIS_DATOS!$C$1479+CROQUIS_DATOS!$C$1480))-(CROQUIS_DATOS!$C$1479))+((CROQUIS_DATOS!$C$1476)*CROQUIS_DATOS!$C$1561-((CROQUIS_DATOS!$C$1481+CROQUIS_DATOS!$C$1482))*CROQUIS_DATOS!$C$1561))/CROQUIS_DATOS!$C$1568-0.000001)),1,MOD($A53-1,2)),1-IF(INT(($A53-1)/2)+1&gt;MAX(1,INT(((((CROQUIS_DATOS!$C$1479+CROQUIS_DATOS!$C$1480))-(CROQUIS_DATOS!$C$1479))+((CROQUIS_DATOS!$C$1476)*CROQUIS_DATOS!$C$1561-((CROQUIS_DATOS!$C$1481+CROQUIS_DATOS!$C$1482))*CROQUIS_DATOS!$C$1561))/CROQUIS_DATOS!$C$1568-0.000001)),1,MOD($A53-1,2)))=1,MIN((CROQUIS_DATOS!$C$1476)*CROQUIS_DATOS!$C$1561,((CROQUIS_DATOS!$C$1479+CROQUIS_DATOS!$C$1480)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3">
        <f>IF(AND(CROQUIS_DATOS!$C$1472=1,CROQUIS_DATOS!$C$1478&gt;=1,((CROQUIS_DATOS!$C$1479+CROQUIS_DATOS!$C$1480))-(CROQUIS_DATOS!$C$1479)&gt;0.5,(CROQUIS_DATOS!$C$1476)-((CROQUIS_DATOS!$C$1481+CROQUIS_DATOS!$C$1482))&gt;0.5),(CROQUIS_DATOS!$C$1567+(IF(IF(MOD(MIN(INT(($A53-1)/2)+1,MAX(1,INT(((((CROQUIS_DATOS!$C$1479+CROQUIS_DATOS!$C$1480))-(CROQUIS_DATOS!$C$1479))+((CROQUIS_DATOS!$C$1476)*CROQUIS_DATOS!$C$1561-((CROQUIS_DATOS!$C$1481+CROQUIS_DATOS!$C$1482))*CROQUIS_DATOS!$C$1561))/CROQUIS_DATOS!$C$1568-0.000001))),2)=1,IF(INT(($A53-1)/2)+1&gt;MAX(1,INT(((((CROQUIS_DATOS!$C$1479+CROQUIS_DATOS!$C$1480))-(CROQUIS_DATOS!$C$1479))+((CROQUIS_DATOS!$C$1476)*CROQUIS_DATOS!$C$1561-((CROQUIS_DATOS!$C$1481+CROQUIS_DATOS!$C$1482))*CROQUIS_DATOS!$C$1561))/CROQUIS_DATOS!$C$1568-0.000001)),1,MOD($A53-1,2)),1-IF(INT(($A53-1)/2)+1&gt;MAX(1,INT(((((CROQUIS_DATOS!$C$1479+CROQUIS_DATOS!$C$1480))-(CROQUIS_DATOS!$C$1479))+((CROQUIS_DATOS!$C$1476)*CROQUIS_DATOS!$C$1561-((CROQUIS_DATOS!$C$1481+CROQUIS_DATOS!$C$1482))*CROQUIS_DATOS!$C$1561))/CROQUIS_DATOS!$C$1568-0.000001)),1,MOD($A53-1,2)))=1,MIN((CROQUIS_DATOS!$C$1476)*CROQUIS_DATOS!$C$1561,((CROQUIS_DATOS!$C$1479+CROQUIS_DATOS!$C$1480)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3">
        <f>IF(AND(CROQUIS_DATOS!$C$1472=1,CROQUIS_DATOS!$C$1478&gt;=2,((CROQUIS_DATOS!$C$1484+CROQUIS_DATOS!$C$1485))-(CROQUIS_DATOS!$C$1484)&gt;0.5,(CROQUIS_DATOS!$C$1486)-(0)&gt;0.5),(CROQUIS_DATOS!$C$1566+(IF(IF(MOD(MIN(INT(($A53-1)/2)+1,MAX(1,INT(((((CROQUIS_DATOS!$C$1484+CROQUIS_DATOS!$C$1485))-(CROQUIS_DATOS!$C$1484))+((CROQUIS_DATOS!$C$1486)*CROQUIS_DATOS!$C$1561-(0)*CROQUIS_DATOS!$C$1561))/CROQUIS_DATOS!$C$1568-0.000001))),2)=1,IF(INT(($A53-1)/2)+1&gt;MAX(1,INT(((((CROQUIS_DATOS!$C$1484+CROQUIS_DATOS!$C$1485))-(CROQUIS_DATOS!$C$1484))+((CROQUIS_DATOS!$C$1486)*CROQUIS_DATOS!$C$1561-(0)*CROQUIS_DATOS!$C$1561))/CROQUIS_DATOS!$C$1568-0.000001)),1,MOD($A53-1,2)),1-IF(INT(($A53-1)/2)+1&gt;MAX(1,INT(((((CROQUIS_DATOS!$C$1484+CROQUIS_DATOS!$C$1485))-(CROQUIS_DATOS!$C$1484))+((CROQUIS_DATOS!$C$1486)*CROQUIS_DATOS!$C$1561-(0)*CROQUIS_DATOS!$C$1561))/CROQUIS_DATOS!$C$1568-0.000001)),1,MOD($A53-1,2)))=1,MIN((CROQUIS_DATOS!$C$1486)*CROQUIS_DATOS!$C$1561,((CROQUIS_DATOS!$C$1484+CROQUIS_DATOS!$C$1485)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3">
        <f>IF(AND(CROQUIS_DATOS!$C$1472=1,CROQUIS_DATOS!$C$1478&gt;=2,((CROQUIS_DATOS!$C$1484+CROQUIS_DATOS!$C$1485))-(CROQUIS_DATOS!$C$1484)&gt;0.5,(CROQUIS_DATOS!$C$1486)-(0)&gt;0.5),(CROQUIS_DATOS!$C$1567+(IF(IF(MOD(MIN(INT(($A53-1)/2)+1,MAX(1,INT(((((CROQUIS_DATOS!$C$1484+CROQUIS_DATOS!$C$1485))-(CROQUIS_DATOS!$C$1484))+((CROQUIS_DATOS!$C$1486)*CROQUIS_DATOS!$C$1561-(0)*CROQUIS_DATOS!$C$1561))/CROQUIS_DATOS!$C$1568-0.000001))),2)=1,IF(INT(($A53-1)/2)+1&gt;MAX(1,INT(((((CROQUIS_DATOS!$C$1484+CROQUIS_DATOS!$C$1485))-(CROQUIS_DATOS!$C$1484))+((CROQUIS_DATOS!$C$1486)*CROQUIS_DATOS!$C$1561-(0)*CROQUIS_DATOS!$C$1561))/CROQUIS_DATOS!$C$1568-0.000001)),1,MOD($A53-1,2)),1-IF(INT(($A53-1)/2)+1&gt;MAX(1,INT(((((CROQUIS_DATOS!$C$1484+CROQUIS_DATOS!$C$1485))-(CROQUIS_DATOS!$C$1484))+((CROQUIS_DATOS!$C$1486)*CROQUIS_DATOS!$C$1561-(0)*CROQUIS_DATOS!$C$1561))/CROQUIS_DATOS!$C$1568-0.000001)),1,MOD($A53-1,2)))=1,MIN((CROQUIS_DATOS!$C$1486)*CROQUIS_DATOS!$C$1561,((CROQUIS_DATOS!$C$1484+CROQUIS_DATOS!$C$1485)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3">
        <f>IF(AND(CROQUIS_DATOS!$C$1472=1,CROQUIS_DATOS!$C$1478&gt;=2,((CROQUIS_DATOS!$C$1484+CROQUIS_DATOS!$C$1485))-(CROQUIS_DATOS!$C$1484)&gt;0.5,(CROQUIS_DATOS!$C$1476)-((CROQUIS_DATOS!$C$1486+CROQUIS_DATOS!$C$1487))&gt;0.5),(CROQUIS_DATOS!$C$1566+(IF(IF(MOD(MIN(INT(($A53-1)/2)+1,MAX(1,INT(((((CROQUIS_DATOS!$C$1484+CROQUIS_DATOS!$C$1485))-(CROQUIS_DATOS!$C$1484))+((CROQUIS_DATOS!$C$1476)*CROQUIS_DATOS!$C$1561-((CROQUIS_DATOS!$C$1486+CROQUIS_DATOS!$C$1487))*CROQUIS_DATOS!$C$1561))/CROQUIS_DATOS!$C$1568-0.000001))),2)=1,IF(INT(($A53-1)/2)+1&gt;MAX(1,INT(((((CROQUIS_DATOS!$C$1484+CROQUIS_DATOS!$C$1485))-(CROQUIS_DATOS!$C$1484))+((CROQUIS_DATOS!$C$1476)*CROQUIS_DATOS!$C$1561-((CROQUIS_DATOS!$C$1486+CROQUIS_DATOS!$C$1487))*CROQUIS_DATOS!$C$1561))/CROQUIS_DATOS!$C$1568-0.000001)),1,MOD($A53-1,2)),1-IF(INT(($A53-1)/2)+1&gt;MAX(1,INT(((((CROQUIS_DATOS!$C$1484+CROQUIS_DATOS!$C$1485))-(CROQUIS_DATOS!$C$1484))+((CROQUIS_DATOS!$C$1476)*CROQUIS_DATOS!$C$1561-((CROQUIS_DATOS!$C$1486+CROQUIS_DATOS!$C$1487))*CROQUIS_DATOS!$C$1561))/CROQUIS_DATOS!$C$1568-0.000001)),1,MOD($A53-1,2)))=1,MIN((CROQUIS_DATOS!$C$1476)*CROQUIS_DATOS!$C$1561,((CROQUIS_DATOS!$C$1484+CROQUIS_DATOS!$C$1485)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3">
        <f>IF(AND(CROQUIS_DATOS!$C$1472=1,CROQUIS_DATOS!$C$1478&gt;=2,((CROQUIS_DATOS!$C$1484+CROQUIS_DATOS!$C$1485))-(CROQUIS_DATOS!$C$1484)&gt;0.5,(CROQUIS_DATOS!$C$1476)-((CROQUIS_DATOS!$C$1486+CROQUIS_DATOS!$C$1487))&gt;0.5),(CROQUIS_DATOS!$C$1567+(IF(IF(MOD(MIN(INT(($A53-1)/2)+1,MAX(1,INT(((((CROQUIS_DATOS!$C$1484+CROQUIS_DATOS!$C$1485))-(CROQUIS_DATOS!$C$1484))+((CROQUIS_DATOS!$C$1476)*CROQUIS_DATOS!$C$1561-((CROQUIS_DATOS!$C$1486+CROQUIS_DATOS!$C$1487))*CROQUIS_DATOS!$C$1561))/CROQUIS_DATOS!$C$1568-0.000001))),2)=1,IF(INT(($A53-1)/2)+1&gt;MAX(1,INT(((((CROQUIS_DATOS!$C$1484+CROQUIS_DATOS!$C$1485))-(CROQUIS_DATOS!$C$1484))+((CROQUIS_DATOS!$C$1476)*CROQUIS_DATOS!$C$1561-((CROQUIS_DATOS!$C$1486+CROQUIS_DATOS!$C$1487))*CROQUIS_DATOS!$C$1561))/CROQUIS_DATOS!$C$1568-0.000001)),1,MOD($A53-1,2)),1-IF(INT(($A53-1)/2)+1&gt;MAX(1,INT(((((CROQUIS_DATOS!$C$1484+CROQUIS_DATOS!$C$1485))-(CROQUIS_DATOS!$C$1484))+((CROQUIS_DATOS!$C$1476)*CROQUIS_DATOS!$C$1561-((CROQUIS_DATOS!$C$1486+CROQUIS_DATOS!$C$1487))*CROQUIS_DATOS!$C$1561))/CROQUIS_DATOS!$C$1568-0.000001)),1,MOD($A53-1,2)))=1,MIN((CROQUIS_DATOS!$C$1476)*CROQUIS_DATOS!$C$1561,((CROQUIS_DATOS!$C$1484+CROQUIS_DATOS!$C$1485)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3">
        <f>IF(AND(CROQUIS_DATOS!$C$1472=1,CROQUIS_DATOS!$C$1478&gt;=3,((CROQUIS_DATOS!$C$1489+CROQUIS_DATOS!$C$1490))-(CROQUIS_DATOS!$C$1489)&gt;0.5,(CROQUIS_DATOS!$C$1491)-(0)&gt;0.5),(CROQUIS_DATOS!$C$1566+(IF(IF(MOD(MIN(INT(($A53-1)/2)+1,MAX(1,INT(((((CROQUIS_DATOS!$C$1489+CROQUIS_DATOS!$C$1490))-(CROQUIS_DATOS!$C$1489))+((CROQUIS_DATOS!$C$1491)*CROQUIS_DATOS!$C$1561-(0)*CROQUIS_DATOS!$C$1561))/CROQUIS_DATOS!$C$1568-0.000001))),2)=1,IF(INT(($A53-1)/2)+1&gt;MAX(1,INT(((((CROQUIS_DATOS!$C$1489+CROQUIS_DATOS!$C$1490))-(CROQUIS_DATOS!$C$1489))+((CROQUIS_DATOS!$C$1491)*CROQUIS_DATOS!$C$1561-(0)*CROQUIS_DATOS!$C$1561))/CROQUIS_DATOS!$C$1568-0.000001)),1,MOD($A53-1,2)),1-IF(INT(($A53-1)/2)+1&gt;MAX(1,INT(((((CROQUIS_DATOS!$C$1489+CROQUIS_DATOS!$C$1490))-(CROQUIS_DATOS!$C$1489))+((CROQUIS_DATOS!$C$1491)*CROQUIS_DATOS!$C$1561-(0)*CROQUIS_DATOS!$C$1561))/CROQUIS_DATOS!$C$1568-0.000001)),1,MOD($A53-1,2)))=1,MIN((CROQUIS_DATOS!$C$1491)*CROQUIS_DATOS!$C$1561,((CROQUIS_DATOS!$C$1489+CROQUIS_DATOS!$C$1490)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3">
        <f>IF(AND(CROQUIS_DATOS!$C$1472=1,CROQUIS_DATOS!$C$1478&gt;=3,((CROQUIS_DATOS!$C$1489+CROQUIS_DATOS!$C$1490))-(CROQUIS_DATOS!$C$1489)&gt;0.5,(CROQUIS_DATOS!$C$1491)-(0)&gt;0.5),(CROQUIS_DATOS!$C$1567+(IF(IF(MOD(MIN(INT(($A53-1)/2)+1,MAX(1,INT(((((CROQUIS_DATOS!$C$1489+CROQUIS_DATOS!$C$1490))-(CROQUIS_DATOS!$C$1489))+((CROQUIS_DATOS!$C$1491)*CROQUIS_DATOS!$C$1561-(0)*CROQUIS_DATOS!$C$1561))/CROQUIS_DATOS!$C$1568-0.000001))),2)=1,IF(INT(($A53-1)/2)+1&gt;MAX(1,INT(((((CROQUIS_DATOS!$C$1489+CROQUIS_DATOS!$C$1490))-(CROQUIS_DATOS!$C$1489))+((CROQUIS_DATOS!$C$1491)*CROQUIS_DATOS!$C$1561-(0)*CROQUIS_DATOS!$C$1561))/CROQUIS_DATOS!$C$1568-0.000001)),1,MOD($A53-1,2)),1-IF(INT(($A53-1)/2)+1&gt;MAX(1,INT(((((CROQUIS_DATOS!$C$1489+CROQUIS_DATOS!$C$1490))-(CROQUIS_DATOS!$C$1489))+((CROQUIS_DATOS!$C$1491)*CROQUIS_DATOS!$C$1561-(0)*CROQUIS_DATOS!$C$1561))/CROQUIS_DATOS!$C$1568-0.000001)),1,MOD($A53-1,2)))=1,MIN((CROQUIS_DATOS!$C$1491)*CROQUIS_DATOS!$C$1561,((CROQUIS_DATOS!$C$1489+CROQUIS_DATOS!$C$1490)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3">
        <f>IF(AND(CROQUIS_DATOS!$C$1472=1,CROQUIS_DATOS!$C$1478&gt;=3,((CROQUIS_DATOS!$C$1489+CROQUIS_DATOS!$C$1490))-(CROQUIS_DATOS!$C$1489)&gt;0.5,(CROQUIS_DATOS!$C$1476)-((CROQUIS_DATOS!$C$1491+CROQUIS_DATOS!$C$1492))&gt;0.5),(CROQUIS_DATOS!$C$1566+(IF(IF(MOD(MIN(INT(($A53-1)/2)+1,MAX(1,INT(((((CROQUIS_DATOS!$C$1489+CROQUIS_DATOS!$C$1490))-(CROQUIS_DATOS!$C$1489))+((CROQUIS_DATOS!$C$1476)*CROQUIS_DATOS!$C$1561-((CROQUIS_DATOS!$C$1491+CROQUIS_DATOS!$C$1492))*CROQUIS_DATOS!$C$1561))/CROQUIS_DATOS!$C$1568-0.000001))),2)=1,IF(INT(($A53-1)/2)+1&gt;MAX(1,INT(((((CROQUIS_DATOS!$C$1489+CROQUIS_DATOS!$C$1490))-(CROQUIS_DATOS!$C$1489))+((CROQUIS_DATOS!$C$1476)*CROQUIS_DATOS!$C$1561-((CROQUIS_DATOS!$C$1491+CROQUIS_DATOS!$C$1492))*CROQUIS_DATOS!$C$1561))/CROQUIS_DATOS!$C$1568-0.000001)),1,MOD($A53-1,2)),1-IF(INT(($A53-1)/2)+1&gt;MAX(1,INT(((((CROQUIS_DATOS!$C$1489+CROQUIS_DATOS!$C$1490))-(CROQUIS_DATOS!$C$1489))+((CROQUIS_DATOS!$C$1476)*CROQUIS_DATOS!$C$1561-((CROQUIS_DATOS!$C$1491+CROQUIS_DATOS!$C$1492))*CROQUIS_DATOS!$C$1561))/CROQUIS_DATOS!$C$1568-0.000001)),1,MOD($A53-1,2)))=1,MIN((CROQUIS_DATOS!$C$1476)*CROQUIS_DATOS!$C$1561,((CROQUIS_DATOS!$C$1489+CROQUIS_DATOS!$C$1490)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3">
        <f>IF(AND(CROQUIS_DATOS!$C$1472=1,CROQUIS_DATOS!$C$1478&gt;=3,((CROQUIS_DATOS!$C$1489+CROQUIS_DATOS!$C$1490))-(CROQUIS_DATOS!$C$1489)&gt;0.5,(CROQUIS_DATOS!$C$1476)-((CROQUIS_DATOS!$C$1491+CROQUIS_DATOS!$C$1492))&gt;0.5),(CROQUIS_DATOS!$C$1567+(IF(IF(MOD(MIN(INT(($A53-1)/2)+1,MAX(1,INT(((((CROQUIS_DATOS!$C$1489+CROQUIS_DATOS!$C$1490))-(CROQUIS_DATOS!$C$1489))+((CROQUIS_DATOS!$C$1476)*CROQUIS_DATOS!$C$1561-((CROQUIS_DATOS!$C$1491+CROQUIS_DATOS!$C$1492))*CROQUIS_DATOS!$C$1561))/CROQUIS_DATOS!$C$1568-0.000001))),2)=1,IF(INT(($A53-1)/2)+1&gt;MAX(1,INT(((((CROQUIS_DATOS!$C$1489+CROQUIS_DATOS!$C$1490))-(CROQUIS_DATOS!$C$1489))+((CROQUIS_DATOS!$C$1476)*CROQUIS_DATOS!$C$1561-((CROQUIS_DATOS!$C$1491+CROQUIS_DATOS!$C$1492))*CROQUIS_DATOS!$C$1561))/CROQUIS_DATOS!$C$1568-0.000001)),1,MOD($A53-1,2)),1-IF(INT(($A53-1)/2)+1&gt;MAX(1,INT(((((CROQUIS_DATOS!$C$1489+CROQUIS_DATOS!$C$1490))-(CROQUIS_DATOS!$C$1489))+((CROQUIS_DATOS!$C$1476)*CROQUIS_DATOS!$C$1561-((CROQUIS_DATOS!$C$1491+CROQUIS_DATOS!$C$1492))*CROQUIS_DATOS!$C$1561))/CROQUIS_DATOS!$C$1568-0.000001)),1,MOD($A53-1,2)))=1,MIN((CROQUIS_DATOS!$C$1476)*CROQUIS_DATOS!$C$1561,((CROQUIS_DATOS!$C$1489+CROQUIS_DATOS!$C$1490)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3">
        <f>IF(AND(CROQUIS_DATOS!$C$1472=1,CROQUIS_DATOS!$C$1478&gt;=4,((CROQUIS_DATOS!$C$1494+CROQUIS_DATOS!$C$1495))-(CROQUIS_DATOS!$C$1494)&gt;0.5,(CROQUIS_DATOS!$C$1496)-(0)&gt;0.5),(CROQUIS_DATOS!$C$1566+(IF(IF(MOD(MIN(INT(($A53-1)/2)+1,MAX(1,INT(((((CROQUIS_DATOS!$C$1494+CROQUIS_DATOS!$C$1495))-(CROQUIS_DATOS!$C$1494))+((CROQUIS_DATOS!$C$1496)*CROQUIS_DATOS!$C$1561-(0)*CROQUIS_DATOS!$C$1561))/CROQUIS_DATOS!$C$1568-0.000001))),2)=1,IF(INT(($A53-1)/2)+1&gt;MAX(1,INT(((((CROQUIS_DATOS!$C$1494+CROQUIS_DATOS!$C$1495))-(CROQUIS_DATOS!$C$1494))+((CROQUIS_DATOS!$C$1496)*CROQUIS_DATOS!$C$1561-(0)*CROQUIS_DATOS!$C$1561))/CROQUIS_DATOS!$C$1568-0.000001)),1,MOD($A53-1,2)),1-IF(INT(($A53-1)/2)+1&gt;MAX(1,INT(((((CROQUIS_DATOS!$C$1494+CROQUIS_DATOS!$C$1495))-(CROQUIS_DATOS!$C$1494))+((CROQUIS_DATOS!$C$1496)*CROQUIS_DATOS!$C$1561-(0)*CROQUIS_DATOS!$C$1561))/CROQUIS_DATOS!$C$1568-0.000001)),1,MOD($A53-1,2)))=1,MIN((CROQUIS_DATOS!$C$1496)*CROQUIS_DATOS!$C$1561,((CROQUIS_DATOS!$C$1494+CROQUIS_DATOS!$C$1495)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3">
        <f>IF(AND(CROQUIS_DATOS!$C$1472=1,CROQUIS_DATOS!$C$1478&gt;=4,((CROQUIS_DATOS!$C$1494+CROQUIS_DATOS!$C$1495))-(CROQUIS_DATOS!$C$1494)&gt;0.5,(CROQUIS_DATOS!$C$1496)-(0)&gt;0.5),(CROQUIS_DATOS!$C$1567+(IF(IF(MOD(MIN(INT(($A53-1)/2)+1,MAX(1,INT(((((CROQUIS_DATOS!$C$1494+CROQUIS_DATOS!$C$1495))-(CROQUIS_DATOS!$C$1494))+((CROQUIS_DATOS!$C$1496)*CROQUIS_DATOS!$C$1561-(0)*CROQUIS_DATOS!$C$1561))/CROQUIS_DATOS!$C$1568-0.000001))),2)=1,IF(INT(($A53-1)/2)+1&gt;MAX(1,INT(((((CROQUIS_DATOS!$C$1494+CROQUIS_DATOS!$C$1495))-(CROQUIS_DATOS!$C$1494))+((CROQUIS_DATOS!$C$1496)*CROQUIS_DATOS!$C$1561-(0)*CROQUIS_DATOS!$C$1561))/CROQUIS_DATOS!$C$1568-0.000001)),1,MOD($A53-1,2)),1-IF(INT(($A53-1)/2)+1&gt;MAX(1,INT(((((CROQUIS_DATOS!$C$1494+CROQUIS_DATOS!$C$1495))-(CROQUIS_DATOS!$C$1494))+((CROQUIS_DATOS!$C$1496)*CROQUIS_DATOS!$C$1561-(0)*CROQUIS_DATOS!$C$1561))/CROQUIS_DATOS!$C$1568-0.000001)),1,MOD($A53-1,2)))=1,MIN((CROQUIS_DATOS!$C$1496)*CROQUIS_DATOS!$C$1561,((CROQUIS_DATOS!$C$1494+CROQUIS_DATOS!$C$1495)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3">
        <f>IF(AND(CROQUIS_DATOS!$C$1472=1,CROQUIS_DATOS!$C$1478&gt;=4,((CROQUIS_DATOS!$C$1494+CROQUIS_DATOS!$C$1495))-(CROQUIS_DATOS!$C$1494)&gt;0.5,(CROQUIS_DATOS!$C$1476)-((CROQUIS_DATOS!$C$1496+CROQUIS_DATOS!$C$1497))&gt;0.5),(CROQUIS_DATOS!$C$1566+(IF(IF(MOD(MIN(INT(($A53-1)/2)+1,MAX(1,INT(((((CROQUIS_DATOS!$C$1494+CROQUIS_DATOS!$C$1495))-(CROQUIS_DATOS!$C$1494))+((CROQUIS_DATOS!$C$1476)*CROQUIS_DATOS!$C$1561-((CROQUIS_DATOS!$C$1496+CROQUIS_DATOS!$C$1497))*CROQUIS_DATOS!$C$1561))/CROQUIS_DATOS!$C$1568-0.000001))),2)=1,IF(INT(($A53-1)/2)+1&gt;MAX(1,INT(((((CROQUIS_DATOS!$C$1494+CROQUIS_DATOS!$C$1495))-(CROQUIS_DATOS!$C$1494))+((CROQUIS_DATOS!$C$1476)*CROQUIS_DATOS!$C$1561-((CROQUIS_DATOS!$C$1496+CROQUIS_DATOS!$C$1497))*CROQUIS_DATOS!$C$1561))/CROQUIS_DATOS!$C$1568-0.000001)),1,MOD($A53-1,2)),1-IF(INT(($A53-1)/2)+1&gt;MAX(1,INT(((((CROQUIS_DATOS!$C$1494+CROQUIS_DATOS!$C$1495))-(CROQUIS_DATOS!$C$1494))+((CROQUIS_DATOS!$C$1476)*CROQUIS_DATOS!$C$1561-((CROQUIS_DATOS!$C$1496+CROQUIS_DATOS!$C$1497))*CROQUIS_DATOS!$C$1561))/CROQUIS_DATOS!$C$1568-0.000001)),1,MOD($A53-1,2)))=1,MIN((CROQUIS_DATOS!$C$1476)*CROQUIS_DATOS!$C$1561,((CROQUIS_DATOS!$C$1494+CROQUIS_DATOS!$C$1495)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3">
        <f>IF(AND(CROQUIS_DATOS!$C$1472=1,CROQUIS_DATOS!$C$1478&gt;=4,((CROQUIS_DATOS!$C$1494+CROQUIS_DATOS!$C$1495))-(CROQUIS_DATOS!$C$1494)&gt;0.5,(CROQUIS_DATOS!$C$1476)-((CROQUIS_DATOS!$C$1496+CROQUIS_DATOS!$C$1497))&gt;0.5),(CROQUIS_DATOS!$C$1567+(IF(IF(MOD(MIN(INT(($A53-1)/2)+1,MAX(1,INT(((((CROQUIS_DATOS!$C$1494+CROQUIS_DATOS!$C$1495))-(CROQUIS_DATOS!$C$1494))+((CROQUIS_DATOS!$C$1476)*CROQUIS_DATOS!$C$1561-((CROQUIS_DATOS!$C$1496+CROQUIS_DATOS!$C$1497))*CROQUIS_DATOS!$C$1561))/CROQUIS_DATOS!$C$1568-0.000001))),2)=1,IF(INT(($A53-1)/2)+1&gt;MAX(1,INT(((((CROQUIS_DATOS!$C$1494+CROQUIS_DATOS!$C$1495))-(CROQUIS_DATOS!$C$1494))+((CROQUIS_DATOS!$C$1476)*CROQUIS_DATOS!$C$1561-((CROQUIS_DATOS!$C$1496+CROQUIS_DATOS!$C$1497))*CROQUIS_DATOS!$C$1561))/CROQUIS_DATOS!$C$1568-0.000001)),1,MOD($A53-1,2)),1-IF(INT(($A53-1)/2)+1&gt;MAX(1,INT(((((CROQUIS_DATOS!$C$1494+CROQUIS_DATOS!$C$1495))-(CROQUIS_DATOS!$C$1494))+((CROQUIS_DATOS!$C$1476)*CROQUIS_DATOS!$C$1561-((CROQUIS_DATOS!$C$1496+CROQUIS_DATOS!$C$1497))*CROQUIS_DATOS!$C$1561))/CROQUIS_DATOS!$C$1568-0.000001)),1,MOD($A53-1,2)))=1,MIN((CROQUIS_DATOS!$C$1476)*CROQUIS_DATOS!$C$1561,((CROQUIS_DATOS!$C$1494+CROQUIS_DATOS!$C$1495)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3">
        <f>IF(AND(CROQUIS_DATOS!$C$1472=1,1),(CROQUIS_DATOS!$C$1571+(CHOOSE(MIN(MAX(IF(INT(($A53-1)/5)+1&gt;CROQUIS_DATOS!$C$1525,5,MOD($A53-1,5)+1),1),5),(INDEX($E$8:$E$23,MIN(INT(($A53-1)/5)+1,CROQUIS_DATOS!$C$1525))-INDEX($F$8:$F$23,MIN(INT(($A53-1)/5)+1,CROQUIS_DATOS!$C$1525))/2),(INDEX($E$8:$E$23,MIN(INT(($A53-1)/5)+1,CROQUIS_DATOS!$C$1525))+INDEX($F$8:$F$23,MIN(INT(($A53-1)/5)+1,CROQUIS_DATOS!$C$1525))/2),(INDEX($E$8:$E$23,MIN(INT(($A53-1)/5)+1,CROQUIS_DATOS!$C$1525))+INDEX($F$8:$F$23,MIN(INT(($A53-1)/5)+1,CROQUIS_DATOS!$C$1525))/2),(INDEX($E$8:$E$23,MIN(INT(($A53-1)/5)+1,CROQUIS_DATOS!$C$1525))-INDEX($F$8:$F$23,MIN(INT(($A53-1)/5)+1,CROQUIS_DATOS!$C$1525))/2),(INDEX($E$8:$E$23,MIN(INT(($A53-1)/5)+1,CROQUIS_DATOS!$C$1525))-INDEX($F$8:$F$23,MIN(INT(($A53-1)/5)+1,CROQUIS_DATOS!$C$1525))/2)))*CROQUIS_DATOS!$C$1569),-1000)</f>
        <v>95.24</v>
      </c>
      <c r="GE53">
        <f>IF(AND(CROQUIS_DATOS!$C$1472=1,1),(CROQUIS_DATOS!$C$1572+(CHOOSE(MIN(MAX(IF(INT(($A53-1)/5)+1&gt;CROQUIS_DATOS!$C$1525,5,MOD($A53-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3">
        <f>IF(AND(CROQUIS_DATOS!$C$1472=1,1),IF(INT(($A53-1)/4)+1&lt;=CROQUIS_DATOS!$C$1525,(CROQUIS_DATOS!$C$1571+((INDEX($E$8:$E$23,MIN(INT(($A53-1)/4)+1,16))+IF(OR(MOD($A53-1,4)=0,MOD($A53-1,4)=3),-1,1)*(INDEX($F$8:$F$23,MIN(INT(($A53-1)/4)+1,16))/2-(CROQUIS_DATOS!$C$1530+CROQUIS_DATOS!$C$1532+IF(OR(INT(($A53-1)/4)+1=1,INT(($A53-1)/4)+1=CROQUIS_DATOS!$C$1525),CROQUIS_DATOS!$C$1534,CROQUIS_DATOS!$C$1531)/2))))*CROQUIS_DATOS!$C$1569),-1000),-1000)</f>
        <v>-1000</v>
      </c>
      <c r="GG53">
        <f>IF(AND(CROQUIS_DATOS!$C$1472=1,1),IF(INT(($A53-1)/4)+1&lt;=CROQUIS_DATOS!$C$1525,(CROQUIS_DATOS!$C$1572+((CROQUIS_DATOS!$C$1477/2+IF(MOD($A53-1,4)&lt;2,-1,1)*(CROQUIS_DATOS!$C$1527/2-(CROQUIS_DATOS!$C$1530+CROQUIS_DATOS!$C$1532+IF(OR(INT(($A53-1)/4)+1=1,INT(($A53-1)/4)+1=CROQUIS_DATOS!$C$1525),CROQUIS_DATOS!$C$1534,CROQUIS_DATOS!$C$1531)/2))))*CROQUIS_DATOS!$C$1569*CROQUIS_DATOS!$C$1570),-1000),-1000)</f>
        <v>-1000</v>
      </c>
    </row>
    <row r="54">
      <c r="A54" t="n">
        <v>47</v>
      </c>
      <c r="J54">
        <f>IF(AND(CROQUIS_DATOS!$C$1472=1,1),(CROQUIS_DATOS!$C$1563+(CHOOSE(MIN(MAX(IF(INT(($A54-1)/4)+1&gt;CROQUIS_DATOS!$C$1525,4,MOD($A54-1,4)+1),1),4),(INDEX($E$8:$E$23,MIN(INT(($A54-1)/4)+1,CROQUIS_DATOS!$C$1525))-INDEX($F$8:$F$23,MIN(INT(($A54-1)/4)+1,CROQUIS_DATOS!$C$1525))/2),(INDEX($E$8:$E$23,MIN(INT(($A54-1)/4)+1,CROQUIS_DATOS!$C$1525))-INDEX($F$8:$F$23,MIN(INT(($A54-1)/4)+1,CROQUIS_DATOS!$C$1525))/2),(INDEX($E$8:$E$23,MIN(INT(($A54-1)/4)+1,CROQUIS_DATOS!$C$1525))+INDEX($F$8:$F$23,MIN(INT(($A54-1)/4)+1,CROQUIS_DATOS!$C$1525))/2),(INDEX($E$8:$E$23,MIN(INT(($A54-1)/4)+1,CROQUIS_DATOS!$C$1525))+INDEX($F$8:$F$23,MIN(INT(($A54-1)/4)+1,CROQUIS_DATOS!$C$1525))/2)))*CROQUIS_DATOS!$C$1562),-1000)</f>
        <v>84.9137931034483</v>
      </c>
      <c r="K54">
        <f>IF(AND(CROQUIS_DATOS!$C$1472=1,1),(CROQUIS_DATOS!$C$1564+(CHOOSE(MIN(MAX(IF(INT(($A54-1)/4)+1&gt;CROQUIS_DATOS!$C$1525,4,MOD($A54-1,4)+1),1),4),0,CROQUIS_DATOS!$C$1476,CROQUIS_DATOS!$C$1476,0))*CROQUIS_DATOS!$C$1561*CROQUIS_DATOS!$C$1562),-1000)</f>
        <v>5.29310344827586</v>
      </c>
      <c r="L54">
        <f>IF(AND(CROQUIS_DATOS!$C$1472=1,1),(CROQUIS_DATOS!$C$1563+(CHOOSE(MIN(MAX(IF(INT(($A54-1)/4)+1&gt;CROQUIS_DATOS!$C$1525,4,MOD($A54-1,4)+1),1),4),((INDEX($E$8:$E$23,MIN(INT(($A54-1)/4)+1,CROQUIS_DATOS!$C$1525))-INDEX($F$8:$F$23,MIN(INT(($A54-1)/4)+1,CROQUIS_DATOS!$C$1525))/2)+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,((INDEX($E$8:$E$23,MIN(INT(($A54-1)/4)+1,CROQUIS_DATOS!$C$1525))-INDEX($F$8:$F$23,MIN(INT(($A54-1)/4)+1,CROQUIS_DATOS!$C$1525))/2)+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,((INDEX($E$8:$E$23,MIN(INT(($A54-1)/4)+1,CROQUIS_DATOS!$C$1525))+INDEX($F$8:$F$23,MIN(INT(($A54-1)/4)+1,CROQUIS_DATOS!$C$1525))/2)-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,((INDEX($E$8:$E$23,MIN(INT(($A54-1)/4)+1,CROQUIS_DATOS!$C$1525))+INDEX($F$8:$F$23,MIN(INT(($A54-1)/4)+1,CROQUIS_DATOS!$C$1525))/2)-MIN((CROQUIS_DATOS!$C$1530+CROQUIS_DATOS!$C$1532+IF(OR(MIN(INT(($A54-1)/4)+1,CROQUIS_DATOS!$C$1525)=1,MIN(INT(($A54-1)/4)+1,CROQUIS_DATOS!$C$1525)=CROQUIS_DATOS!$C$1525),CROQUIS_DATOS!$C$1534,CROQUIS_DATOS!$C$1531)/2),INDEX($F$8:$F$23,MIN(INT(($A54-1)/4)+1,CROQUIS_DATOS!$C$1525))/2-0.5))))*CROQUIS_DATOS!$C$1562),-1000)</f>
        <v>84.4792560344828</v>
      </c>
      <c r="M54">
        <f>IF(AND(CROQUIS_DATOS!$C$1472=1,1),(CROQUIS_DATOS!$C$1564+(CHOOSE(MIN(MAX(IF(INT(($A54-1)/4)+1&gt;CROQUIS_DATOS!$C$1525,4,MOD($A54-1,4)+1),1),4),CROQUIS_DATOS!$C$1543,INDEX($I$8:$I$23,MIN(INT(($A54-1)/4)+1,CROQUIS_DATOS!$C$1525)),INDEX($I$8:$I$23,MIN(INT(($A54-1)/4)+1,CROQUIS_DATOS!$C$1525)),CROQUIS_DATOS!$C$1543))*CROQUIS_DATOS!$C$1561*CROQUIS_DATOS!$C$1562),-1000)</f>
        <v>42.5654629310345</v>
      </c>
      <c r="N54">
        <f>IF(AND(CROQUIS_DATOS!$C$1472=1,1),(CROQUIS_DATOS!$C$1563+(IF(IF(IF(INT(($A54-1)/70)+1&gt;CROQUIS_DATOS!$C$1525,70,MOD($A54-1,70)+1)=1,0,IF(IF(INT(($A54-1)/70)+1&gt;CROQUIS_DATOS!$C$1525,70,MOD($A54-1,70)+1)&gt;2*CROQUIS_DATOS!$C$1541+1,IF(MOD(CROQUIS_DATOS!$C$1541,2)=1,1,0),IF(MOD(MIN(INT((IF(INT(($A54-1)/70)+1&gt;CROQUIS_DATOS!$C$1525,70,MOD($A54-1,70)+1)-2)/2)+1,CROQUIS_DATOS!$C$1541),2)=1,IF(MOD(IF(INT(($A54-1)/70)+1&gt;CROQUIS_DATOS!$C$1525,70,MOD($A54-1,70)+1)-2,2)=0,0,1),IF(MOD(IF(INT(($A54-1)/70)+1&gt;CROQUIS_DATOS!$C$1525,70,MOD($A54-1,70)+1)-2,2)=0,1,0))))=0,(INDEX($E$8:$E$23,MIN(INT(($A54-1)/70)+1,CROQUIS_DATOS!$C$1525))-INDEX($F$8:$F$23,MIN(INT(($A54-1)/70)+1,CROQUIS_DATOS!$C$1525))/2),(INDEX($E$8:$E$23,MIN(INT(($A54-1)/70)+1,CROQUIS_DATOS!$C$1525))+INDEX($F$8:$F$23,MIN(INT(($A54-1)/70)+1,CROQUIS_DATOS!$C$1525))/2)))*CROQUIS_DATOS!$C$1562),-1000)</f>
        <v>15.0862068965517</v>
      </c>
      <c r="O54">
        <f>IF(AND(CROQUIS_DATOS!$C$1472=1,1),(CROQUIS_DATOS!$C$1564+(IF(OR(IF(INT(($A54-1)/70)+1&gt;CROQUIS_DATOS!$C$1525,70,MOD($A54-1,70)+1)=1,IF(INT(($A54-1)/70)+1&gt;CROQUIS_DATOS!$C$1525,70,MOD($A54-1,70)+1)&gt;2*CROQUIS_DATOS!$C$1541+1),CROQUIS_DATOS!$C$1476,INDEX($H$8:$H$41,MIN(INT((IF(INT(($A54-1)/70)+1&gt;CROQUIS_DATOS!$C$1525,70,MOD($A54-1,70)+1)-2)/2)+1,CROQUIS_DATOS!$C$1541))))*CROQUIS_DATOS!$C$1561*CROQUIS_DATOS!$C$1562),-1000)</f>
        <v>40.2068965517241</v>
      </c>
      <c r="P54">
        <f>IF(AND(CROQUIS_DATOS!$C$1472=1,CROQUIS_DATOS!$C$1555=1),(CROQUIS_DATOS!$C$1563+(IF(IF(OR(MOD($A54-1,62)+1=1,IF(CHOOSE(MIN(MAX(MIN(INT(($A54-1)/62)+1,5),1),5),CROQUIS_DATOS!$C$1501,CROQUIS_DATOS!$C$1505,CROQUIS_DATOS!$C$1509,CROQUIS_DATOS!$C$1513,CROQUIS_DATOS!$C$1517)=1,CROQUIS_DATOS!$C$1557,0)=0),0,IF(MOD($A54-1,62)+1&gt;2*IF(CHOOSE(MIN(MAX(MIN(INT(($A54-1)/62)+1,5),1),5),CROQUIS_DATOS!$C$1501,CROQUIS_DATOS!$C$1505,CROQUIS_DATOS!$C$1509,CROQUIS_DATOS!$C$1513,CROQUIS_DATOS!$C$1517)=1,CROQUIS_DATOS!$C$1557,0)+1,IF(MOD(IF(CHOOSE(MIN(MAX(MIN(INT(($A54-1)/62)+1,5),1),5),CROQUIS_DATOS!$C$1501,CROQUIS_DATOS!$C$1505,CROQUIS_DATOS!$C$1509,CROQUIS_DATOS!$C$1513,CROQUIS_DATOS!$C$1517)=1,CROQUIS_DATOS!$C$1557,0),2)=1,1,0),IF(MOD(MIN(INT((MOD($A54-1,62)+1-2)/2)+1,MAX(IF(CHOOSE(MIN(MAX(MIN(INT(($A54-1)/62)+1,5),1),5),CROQUIS_DATOS!$C$1501,CROQUIS_DATOS!$C$1505,CROQUIS_DATOS!$C$1509,CROQUIS_DATOS!$C$1513,CROQUIS_DATOS!$C$1517)=1,CROQUIS_DATOS!$C$1557,0),1)),2)=1,IF(MOD(MOD($A54-1,62)+1-2,2)=0,0,1),IF(MOD(MOD($A54-1,62)+1-2,2)=0,1,0))))=0,(CHOOSE(MIN(MAX(MIN(INT(($A54-1)/62)+1,5),1),5),CROQUIS_DATOS!$C$1499,CROQUIS_DATOS!$C$1503,CROQUIS_DATOS!$C$1507,CROQUIS_DATOS!$C$1511,CROQUIS_DATOS!$C$1515)+IF(CHOOSE(MIN(MAX(MIN(INT(($A54-1)/62)+1,5),1),5),CROQUIS_DATOS!$C$1501,CROQUIS_DATOS!$C$1505,CROQUIS_DATOS!$C$1509,CROQUIS_DATOS!$C$1513,CROQUIS_DATOS!$C$1517)=1,CROQUIS_DATOS!$C$1526,0)),(CHOOSE(MIN(MAX(MIN(INT(($A54-1)/62)+1,5),1),5),CROQUIS_DATOS!$C$1499,CROQUIS_DATOS!$C$1503,CROQUIS_DATOS!$C$1507,CROQUIS_DATOS!$C$1511,CROQUIS_DATOS!$C$1515)+CHOOSE(MIN(MAX(MIN(INT(($A54-1)/62)+1,5),1),5),CROQUIS_DATOS!$C$1500,CROQUIS_DATOS!$C$1504,CROQUIS_DATOS!$C$1508,CROQUIS_DATOS!$C$1512,CROQUIS_DATOS!$C$1516)-IF(CHOOSE(MIN(MAX(MIN(INT(($A54-1)/62)+1,5),1),5),CROQUIS_DATOS!$C$1501,CROQUIS_DATOS!$C$1505,CROQUIS_DATOS!$C$1509,CROQUIS_DATOS!$C$1513,CROQUIS_DATOS!$C$1517)=1,CROQUIS_DATOS!$C$1526,0))))*CROQUIS_DATOS!$C$1562),-1000)</f>
        <v>-1000</v>
      </c>
      <c r="Q54">
        <f>IF(AND(CROQUIS_DATOS!$C$1472=1,CROQUIS_DATOS!$C$1555=1),(CROQUIS_DATOS!$C$1564+(IF(OR(OR(MOD($A54-1,62)+1=1,IF(CHOOSE(MIN(MAX(MIN(INT(($A54-1)/62)+1,5),1),5),CROQUIS_DATOS!$C$1501,CROQUIS_DATOS!$C$1505,CROQUIS_DATOS!$C$1509,CROQUIS_DATOS!$C$1513,CROQUIS_DATOS!$C$1517)=1,CROQUIS_DATOS!$C$1557,0)=0),MOD($A54-1,62)+1&gt;2*IF(CHOOSE(MIN(MAX(MIN(INT(($A54-1)/62)+1,5),1),5),CROQUIS_DATOS!$C$1501,CROQUIS_DATOS!$C$1505,CROQUIS_DATOS!$C$1509,CROQUIS_DATOS!$C$1513,CROQUIS_DATOS!$C$1517)=1,CROQUIS_DATOS!$C$1557,0)+1),CROQUIS_DATOS!$C$1476,MIN(INT((MOD($A54-1,62)+1-2)/2)+1,MAX(IF(CHOOSE(MIN(MAX(MIN(INT(($A54-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4">
        <f>IF(AND(CROQUIS_DATOS!$C$1472=1,1),(CROQUIS_DATOS!$C$1563+(MIN(INT(($A54-1)/2)+1,CROQUIS_DATOS!$C$1558)*CROQUIS_DATOS!$C$1559)*CROQUIS_DATOS!$C$1562),-1000)</f>
        <v>79.5424403183024</v>
      </c>
      <c r="U54">
        <f>IF(AND(CROQUIS_DATOS!$C$1472=1,1),(CROQUIS_DATOS!$C$1564+(IF(INT(($A54-1)/2)+1&gt;CROQUIS_DATOS!$C$1558,IF(MOD(CROQUIS_DATOS!$C$1558,2)=1,CROQUIS_DATOS!$C$1476+CROQUIS_DATOS!$C$1528,CROQUIS_DATOS!$C$1476),IF(IF(MOD(MIN(INT(($A54-1)/2)+1,CROQUIS_DATOS!$C$1558),2)=1,MOD($A54-1,2),1-MOD($A54-1,2))=1,CROQUIS_DATOS!$C$1476+CROQUIS_DATOS!$C$1528,CROQUIS_DATOS!$C$1476)))*CROQUIS_DATOS!$C$1561*CROQUIS_DATOS!$C$1562),-1000)</f>
        <v>43</v>
      </c>
      <c r="BZ54">
        <f>IF(AND(CROQUIS_DATOS!$C$1472=1,CROQUIS_DATOS!$C$1500&gt;0,((CROQUIS_DATOS!$C$1499+CROQUIS_DATOS!$C$1500))-(CROQUIS_DATOS!$C$1499)&gt;0.5,(CROQUIS_DATOS!$C$1476)-(0)&gt;0.5),(CROQUIS_DATOS!$C$1566+(IF(IF(MOD(MIN(INT(($A54-1)/2)+1,MAX(1,INT(((((CROQUIS_DATOS!$C$1499+CROQUIS_DATOS!$C$1500))-(CROQUIS_DATOS!$C$1499))+((CROQUIS_DATOS!$C$1476)*CROQUIS_DATOS!$C$1561-(0)*CROQUIS_DATOS!$C$1561))/CROQUIS_DATOS!$C$1568-0.000001))),2)=1,IF(INT(($A54-1)/2)+1&gt;MAX(1,INT(((((CROQUIS_DATOS!$C$1499+CROQUIS_DATOS!$C$1500))-(CROQUIS_DATOS!$C$1499))+((CROQUIS_DATOS!$C$1476)*CROQUIS_DATOS!$C$1561-(0)*CROQUIS_DATOS!$C$1561))/CROQUIS_DATOS!$C$1568-0.000001)),1,MOD($A54-1,2)),1-IF(INT(($A54-1)/2)+1&gt;MAX(1,INT(((((CROQUIS_DATOS!$C$1499+CROQUIS_DATOS!$C$1500))-(CROQUIS_DATOS!$C$1499))+((CROQUIS_DATOS!$C$1476)*CROQUIS_DATOS!$C$1561-(0)*CROQUIS_DATOS!$C$1561))/CROQUIS_DATOS!$C$1568-0.000001)),1,MOD($A54-1,2)))=1,MIN((CROQUIS_DATOS!$C$1476)*CROQUIS_DATOS!$C$1561,((CROQUIS_DATOS!$C$1499+CROQUIS_DATOS!$C$1500)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4">
        <f>IF(AND(CROQUIS_DATOS!$C$1472=1,CROQUIS_DATOS!$C$1500&gt;0,((CROQUIS_DATOS!$C$1499+CROQUIS_DATOS!$C$1500))-(CROQUIS_DATOS!$C$1499)&gt;0.5,(CROQUIS_DATOS!$C$1476)-(0)&gt;0.5),(CROQUIS_DATOS!$C$1567+(IF(IF(MOD(MIN(INT(($A54-1)/2)+1,MAX(1,INT(((((CROQUIS_DATOS!$C$1499+CROQUIS_DATOS!$C$1500))-(CROQUIS_DATOS!$C$1499))+((CROQUIS_DATOS!$C$1476)*CROQUIS_DATOS!$C$1561-(0)*CROQUIS_DATOS!$C$1561))/CROQUIS_DATOS!$C$1568-0.000001))),2)=1,IF(INT(($A54-1)/2)+1&gt;MAX(1,INT(((((CROQUIS_DATOS!$C$1499+CROQUIS_DATOS!$C$1500))-(CROQUIS_DATOS!$C$1499))+((CROQUIS_DATOS!$C$1476)*CROQUIS_DATOS!$C$1561-(0)*CROQUIS_DATOS!$C$1561))/CROQUIS_DATOS!$C$1568-0.000001)),1,MOD($A54-1,2)),1-IF(INT(($A54-1)/2)+1&gt;MAX(1,INT(((((CROQUIS_DATOS!$C$1499+CROQUIS_DATOS!$C$1500))-(CROQUIS_DATOS!$C$1499))+((CROQUIS_DATOS!$C$1476)*CROQUIS_DATOS!$C$1561-(0)*CROQUIS_DATOS!$C$1561))/CROQUIS_DATOS!$C$1568-0.000001)),1,MOD($A54-1,2)))=1,MIN((CROQUIS_DATOS!$C$1476)*CROQUIS_DATOS!$C$1561,((CROQUIS_DATOS!$C$1499+CROQUIS_DATOS!$C$1500)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4">
        <f>IF(AND(CROQUIS_DATOS!$C$1472=1,CROQUIS_DATOS!$C$1504&gt;0,((CROQUIS_DATOS!$C$1503+CROQUIS_DATOS!$C$1504))-(CROQUIS_DATOS!$C$1503)&gt;0.5,(CROQUIS_DATOS!$C$1476)-(0)&gt;0.5),(CROQUIS_DATOS!$C$1566+(IF(IF(MOD(MIN(INT(($A54-1)/2)+1,MAX(1,INT(((((CROQUIS_DATOS!$C$1503+CROQUIS_DATOS!$C$1504))-(CROQUIS_DATOS!$C$1503))+((CROQUIS_DATOS!$C$1476)*CROQUIS_DATOS!$C$1561-(0)*CROQUIS_DATOS!$C$1561))/CROQUIS_DATOS!$C$1568-0.000001))),2)=1,IF(INT(($A54-1)/2)+1&gt;MAX(1,INT(((((CROQUIS_DATOS!$C$1503+CROQUIS_DATOS!$C$1504))-(CROQUIS_DATOS!$C$1503))+((CROQUIS_DATOS!$C$1476)*CROQUIS_DATOS!$C$1561-(0)*CROQUIS_DATOS!$C$1561))/CROQUIS_DATOS!$C$1568-0.000001)),1,MOD($A54-1,2)),1-IF(INT(($A54-1)/2)+1&gt;MAX(1,INT(((((CROQUIS_DATOS!$C$1503+CROQUIS_DATOS!$C$1504))-(CROQUIS_DATOS!$C$1503))+((CROQUIS_DATOS!$C$1476)*CROQUIS_DATOS!$C$1561-(0)*CROQUIS_DATOS!$C$1561))/CROQUIS_DATOS!$C$1568-0.000001)),1,MOD($A54-1,2)))=1,MIN((CROQUIS_DATOS!$C$1476)*CROQUIS_DATOS!$C$1561,((CROQUIS_DATOS!$C$1503+CROQUIS_DATOS!$C$1504)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4">
        <f>IF(AND(CROQUIS_DATOS!$C$1472=1,CROQUIS_DATOS!$C$1504&gt;0,((CROQUIS_DATOS!$C$1503+CROQUIS_DATOS!$C$1504))-(CROQUIS_DATOS!$C$1503)&gt;0.5,(CROQUIS_DATOS!$C$1476)-(0)&gt;0.5),(CROQUIS_DATOS!$C$1567+(IF(IF(MOD(MIN(INT(($A54-1)/2)+1,MAX(1,INT(((((CROQUIS_DATOS!$C$1503+CROQUIS_DATOS!$C$1504))-(CROQUIS_DATOS!$C$1503))+((CROQUIS_DATOS!$C$1476)*CROQUIS_DATOS!$C$1561-(0)*CROQUIS_DATOS!$C$1561))/CROQUIS_DATOS!$C$1568-0.000001))),2)=1,IF(INT(($A54-1)/2)+1&gt;MAX(1,INT(((((CROQUIS_DATOS!$C$1503+CROQUIS_DATOS!$C$1504))-(CROQUIS_DATOS!$C$1503))+((CROQUIS_DATOS!$C$1476)*CROQUIS_DATOS!$C$1561-(0)*CROQUIS_DATOS!$C$1561))/CROQUIS_DATOS!$C$1568-0.000001)),1,MOD($A54-1,2)),1-IF(INT(($A54-1)/2)+1&gt;MAX(1,INT(((((CROQUIS_DATOS!$C$1503+CROQUIS_DATOS!$C$1504))-(CROQUIS_DATOS!$C$1503))+((CROQUIS_DATOS!$C$1476)*CROQUIS_DATOS!$C$1561-(0)*CROQUIS_DATOS!$C$1561))/CROQUIS_DATOS!$C$1568-0.000001)),1,MOD($A54-1,2)))=1,MIN((CROQUIS_DATOS!$C$1476)*CROQUIS_DATOS!$C$1561,((CROQUIS_DATOS!$C$1503+CROQUIS_DATOS!$C$1504)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54">
        <f>IF(AND(CROQUIS_DATOS!$C$1472=1,CROQUIS_DATOS!$C$1508&gt;0,((CROQUIS_DATOS!$C$1507+CROQUIS_DATOS!$C$1508))-(CROQUIS_DATOS!$C$1507)&gt;0.5,(CROQUIS_DATOS!$C$1476)-(0)&gt;0.5),(CROQUIS_DATOS!$C$1566+(IF(IF(MOD(MIN(INT(($A54-1)/2)+1,MAX(1,INT(((((CROQUIS_DATOS!$C$1507+CROQUIS_DATOS!$C$1508))-(CROQUIS_DATOS!$C$1507))+((CROQUIS_DATOS!$C$1476)*CROQUIS_DATOS!$C$1561-(0)*CROQUIS_DATOS!$C$1561))/CROQUIS_DATOS!$C$1568-0.000001))),2)=1,IF(INT(($A54-1)/2)+1&gt;MAX(1,INT(((((CROQUIS_DATOS!$C$1507+CROQUIS_DATOS!$C$1508))-(CROQUIS_DATOS!$C$1507))+((CROQUIS_DATOS!$C$1476)*CROQUIS_DATOS!$C$1561-(0)*CROQUIS_DATOS!$C$1561))/CROQUIS_DATOS!$C$1568-0.000001)),1,MOD($A54-1,2)),1-IF(INT(($A54-1)/2)+1&gt;MAX(1,INT(((((CROQUIS_DATOS!$C$1507+CROQUIS_DATOS!$C$1508))-(CROQUIS_DATOS!$C$1507))+((CROQUIS_DATOS!$C$1476)*CROQUIS_DATOS!$C$1561-(0)*CROQUIS_DATOS!$C$1561))/CROQUIS_DATOS!$C$1568-0.000001)),1,MOD($A54-1,2)))=1,MIN((CROQUIS_DATOS!$C$1476)*CROQUIS_DATOS!$C$1561,((CROQUIS_DATOS!$C$1507+CROQUIS_DATOS!$C$1508)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*CROQUIS_DATOS!$C$1565),-1000)</f>
        <v>77.7241379310345</v>
      </c>
      <c r="CE54">
        <f>IF(AND(CROQUIS_DATOS!$C$1472=1,CROQUIS_DATOS!$C$1508&gt;0,((CROQUIS_DATOS!$C$1507+CROQUIS_DATOS!$C$1508))-(CROQUIS_DATOS!$C$1507)&gt;0.5,(CROQUIS_DATOS!$C$1476)-(0)&gt;0.5),(CROQUIS_DATOS!$C$1567+(IF(IF(MOD(MIN(INT(($A54-1)/2)+1,MAX(1,INT(((((CROQUIS_DATOS!$C$1507+CROQUIS_DATOS!$C$1508))-(CROQUIS_DATOS!$C$1507))+((CROQUIS_DATOS!$C$1476)*CROQUIS_DATOS!$C$1561-(0)*CROQUIS_DATOS!$C$1561))/CROQUIS_DATOS!$C$1568-0.000001))),2)=1,IF(INT(($A54-1)/2)+1&gt;MAX(1,INT(((((CROQUIS_DATOS!$C$1507+CROQUIS_DATOS!$C$1508))-(CROQUIS_DATOS!$C$1507))+((CROQUIS_DATOS!$C$1476)*CROQUIS_DATOS!$C$1561-(0)*CROQUIS_DATOS!$C$1561))/CROQUIS_DATOS!$C$1568-0.000001)),1,MOD($A54-1,2)),1-IF(INT(($A54-1)/2)+1&gt;MAX(1,INT(((((CROQUIS_DATOS!$C$1507+CROQUIS_DATOS!$C$1508))-(CROQUIS_DATOS!$C$1507))+((CROQUIS_DATOS!$C$1476)*CROQUIS_DATOS!$C$1561-(0)*CROQUIS_DATOS!$C$1561))/CROQUIS_DATOS!$C$1568-0.000001)),1,MOD($A54-1,2)))=1,MIN((CROQUIS_DATOS!$C$1476)*CROQUIS_DATOS!$C$1561,((CROQUIS_DATOS!$C$1507+CROQUIS_DATOS!$C$1508)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54-1)/2)+1,MAX(1,INT(((((CROQUIS_DATOS!$C$1507+CROQUIS_DATOS!$C$1508))-(CROQUIS_DATOS!$C$1507))+((CROQUIS_DATOS!$C$1476)*CROQUIS_DATOS!$C$1561-(0)*CROQUIS_DATOS!$C$1561))/CROQUIS_DATOS!$C$1568-0.000001)))*CROQUIS_DATOS!$C$1568))))*CROQUIS_DATOS!$C$1565),-1000)</f>
        <v>13.2896551724138</v>
      </c>
      <c r="CF54">
        <f>IF(AND(CROQUIS_DATOS!$C$1472=1,CROQUIS_DATOS!$C$1512&gt;0,((CROQUIS_DATOS!$C$1511+CROQUIS_DATOS!$C$1512))-(CROQUIS_DATOS!$C$1511)&gt;0.5,(CROQUIS_DATOS!$C$1476)-(0)&gt;0.5),(CROQUIS_DATOS!$C$1566+(IF(IF(MOD(MIN(INT(($A54-1)/2)+1,MAX(1,INT(((((CROQUIS_DATOS!$C$1511+CROQUIS_DATOS!$C$1512))-(CROQUIS_DATOS!$C$1511))+((CROQUIS_DATOS!$C$1476)*CROQUIS_DATOS!$C$1561-(0)*CROQUIS_DATOS!$C$1561))/CROQUIS_DATOS!$C$1568-0.000001))),2)=1,IF(INT(($A54-1)/2)+1&gt;MAX(1,INT(((((CROQUIS_DATOS!$C$1511+CROQUIS_DATOS!$C$1512))-(CROQUIS_DATOS!$C$1511))+((CROQUIS_DATOS!$C$1476)*CROQUIS_DATOS!$C$1561-(0)*CROQUIS_DATOS!$C$1561))/CROQUIS_DATOS!$C$1568-0.000001)),1,MOD($A54-1,2)),1-IF(INT(($A54-1)/2)+1&gt;MAX(1,INT(((((CROQUIS_DATOS!$C$1511+CROQUIS_DATOS!$C$1512))-(CROQUIS_DATOS!$C$1511))+((CROQUIS_DATOS!$C$1476)*CROQUIS_DATOS!$C$1561-(0)*CROQUIS_DATOS!$C$1561))/CROQUIS_DATOS!$C$1568-0.000001)),1,MOD($A54-1,2)))=1,MIN((CROQUIS_DATOS!$C$1476)*CROQUIS_DATOS!$C$1561,((CROQUIS_DATOS!$C$1511+CROQUIS_DATOS!$C$1512)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4">
        <f>IF(AND(CROQUIS_DATOS!$C$1472=1,CROQUIS_DATOS!$C$1512&gt;0,((CROQUIS_DATOS!$C$1511+CROQUIS_DATOS!$C$1512))-(CROQUIS_DATOS!$C$1511)&gt;0.5,(CROQUIS_DATOS!$C$1476)-(0)&gt;0.5),(CROQUIS_DATOS!$C$1567+(IF(IF(MOD(MIN(INT(($A54-1)/2)+1,MAX(1,INT(((((CROQUIS_DATOS!$C$1511+CROQUIS_DATOS!$C$1512))-(CROQUIS_DATOS!$C$1511))+((CROQUIS_DATOS!$C$1476)*CROQUIS_DATOS!$C$1561-(0)*CROQUIS_DATOS!$C$1561))/CROQUIS_DATOS!$C$1568-0.000001))),2)=1,IF(INT(($A54-1)/2)+1&gt;MAX(1,INT(((((CROQUIS_DATOS!$C$1511+CROQUIS_DATOS!$C$1512))-(CROQUIS_DATOS!$C$1511))+((CROQUIS_DATOS!$C$1476)*CROQUIS_DATOS!$C$1561-(0)*CROQUIS_DATOS!$C$1561))/CROQUIS_DATOS!$C$1568-0.000001)),1,MOD($A54-1,2)),1-IF(INT(($A54-1)/2)+1&gt;MAX(1,INT(((((CROQUIS_DATOS!$C$1511+CROQUIS_DATOS!$C$1512))-(CROQUIS_DATOS!$C$1511))+((CROQUIS_DATOS!$C$1476)*CROQUIS_DATOS!$C$1561-(0)*CROQUIS_DATOS!$C$1561))/CROQUIS_DATOS!$C$1568-0.000001)),1,MOD($A54-1,2)))=1,MIN((CROQUIS_DATOS!$C$1476)*CROQUIS_DATOS!$C$1561,((CROQUIS_DATOS!$C$1511+CROQUIS_DATOS!$C$1512)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4">
        <f>IF(AND(CROQUIS_DATOS!$C$1472=1,CROQUIS_DATOS!$C$1516&gt;0,((CROQUIS_DATOS!$C$1515+CROQUIS_DATOS!$C$1516))-(CROQUIS_DATOS!$C$1515)&gt;0.5,(CROQUIS_DATOS!$C$1476)-(0)&gt;0.5),(CROQUIS_DATOS!$C$1566+(IF(IF(MOD(MIN(INT(($A54-1)/2)+1,MAX(1,INT(((((CROQUIS_DATOS!$C$1515+CROQUIS_DATOS!$C$1516))-(CROQUIS_DATOS!$C$1515))+((CROQUIS_DATOS!$C$1476)*CROQUIS_DATOS!$C$1561-(0)*CROQUIS_DATOS!$C$1561))/CROQUIS_DATOS!$C$1568-0.000001))),2)=1,IF(INT(($A54-1)/2)+1&gt;MAX(1,INT(((((CROQUIS_DATOS!$C$1515+CROQUIS_DATOS!$C$1516))-(CROQUIS_DATOS!$C$1515))+((CROQUIS_DATOS!$C$1476)*CROQUIS_DATOS!$C$1561-(0)*CROQUIS_DATOS!$C$1561))/CROQUIS_DATOS!$C$1568-0.000001)),1,MOD($A54-1,2)),1-IF(INT(($A54-1)/2)+1&gt;MAX(1,INT(((((CROQUIS_DATOS!$C$1515+CROQUIS_DATOS!$C$1516))-(CROQUIS_DATOS!$C$1515))+((CROQUIS_DATOS!$C$1476)*CROQUIS_DATOS!$C$1561-(0)*CROQUIS_DATOS!$C$1561))/CROQUIS_DATOS!$C$1568-0.000001)),1,MOD($A54-1,2)))=1,MIN((CROQUIS_DATOS!$C$1476)*CROQUIS_DATOS!$C$1561,((CROQUIS_DATOS!$C$1515+CROQUIS_DATOS!$C$1516)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4">
        <f>IF(AND(CROQUIS_DATOS!$C$1472=1,CROQUIS_DATOS!$C$1516&gt;0,((CROQUIS_DATOS!$C$1515+CROQUIS_DATOS!$C$1516))-(CROQUIS_DATOS!$C$1515)&gt;0.5,(CROQUIS_DATOS!$C$1476)-(0)&gt;0.5),(CROQUIS_DATOS!$C$1567+(IF(IF(MOD(MIN(INT(($A54-1)/2)+1,MAX(1,INT(((((CROQUIS_DATOS!$C$1515+CROQUIS_DATOS!$C$1516))-(CROQUIS_DATOS!$C$1515))+((CROQUIS_DATOS!$C$1476)*CROQUIS_DATOS!$C$1561-(0)*CROQUIS_DATOS!$C$1561))/CROQUIS_DATOS!$C$1568-0.000001))),2)=1,IF(INT(($A54-1)/2)+1&gt;MAX(1,INT(((((CROQUIS_DATOS!$C$1515+CROQUIS_DATOS!$C$1516))-(CROQUIS_DATOS!$C$1515))+((CROQUIS_DATOS!$C$1476)*CROQUIS_DATOS!$C$1561-(0)*CROQUIS_DATOS!$C$1561))/CROQUIS_DATOS!$C$1568-0.000001)),1,MOD($A54-1,2)),1-IF(INT(($A54-1)/2)+1&gt;MAX(1,INT(((((CROQUIS_DATOS!$C$1515+CROQUIS_DATOS!$C$1516))-(CROQUIS_DATOS!$C$1515))+((CROQUIS_DATOS!$C$1476)*CROQUIS_DATOS!$C$1561-(0)*CROQUIS_DATOS!$C$1561))/CROQUIS_DATOS!$C$1568-0.000001)),1,MOD($A54-1,2)))=1,MIN((CROQUIS_DATOS!$C$1476)*CROQUIS_DATOS!$C$1561,((CROQUIS_DATOS!$C$1515+CROQUIS_DATOS!$C$1516)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4">
        <f>IF(AND(CROQUIS_DATOS!$C$1472=1,CROQUIS_DATOS!$C$1478&gt;=1,((CROQUIS_DATOS!$C$1479+CROQUIS_DATOS!$C$1480))-(CROQUIS_DATOS!$C$1479)&gt;0.5,(CROQUIS_DATOS!$C$1481)-(0)&gt;0.5),(CROQUIS_DATOS!$C$1566+(IF(IF(MOD(MIN(INT(($A54-1)/2)+1,MAX(1,INT(((((CROQUIS_DATOS!$C$1479+CROQUIS_DATOS!$C$1480))-(CROQUIS_DATOS!$C$1479))+((CROQUIS_DATOS!$C$1481)*CROQUIS_DATOS!$C$1561-(0)*CROQUIS_DATOS!$C$1561))/CROQUIS_DATOS!$C$1568-0.000001))),2)=1,IF(INT(($A54-1)/2)+1&gt;MAX(1,INT(((((CROQUIS_DATOS!$C$1479+CROQUIS_DATOS!$C$1480))-(CROQUIS_DATOS!$C$1479))+((CROQUIS_DATOS!$C$1481)*CROQUIS_DATOS!$C$1561-(0)*CROQUIS_DATOS!$C$1561))/CROQUIS_DATOS!$C$1568-0.000001)),1,MOD($A54-1,2)),1-IF(INT(($A54-1)/2)+1&gt;MAX(1,INT(((((CROQUIS_DATOS!$C$1479+CROQUIS_DATOS!$C$1480))-(CROQUIS_DATOS!$C$1479))+((CROQUIS_DATOS!$C$1481)*CROQUIS_DATOS!$C$1561-(0)*CROQUIS_DATOS!$C$1561))/CROQUIS_DATOS!$C$1568-0.000001)),1,MOD($A54-1,2)))=1,MIN((CROQUIS_DATOS!$C$1481)*CROQUIS_DATOS!$C$1561,((CROQUIS_DATOS!$C$1479+CROQUIS_DATOS!$C$1480)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4">
        <f>IF(AND(CROQUIS_DATOS!$C$1472=1,CROQUIS_DATOS!$C$1478&gt;=1,((CROQUIS_DATOS!$C$1479+CROQUIS_DATOS!$C$1480))-(CROQUIS_DATOS!$C$1479)&gt;0.5,(CROQUIS_DATOS!$C$1481)-(0)&gt;0.5),(CROQUIS_DATOS!$C$1567+(IF(IF(MOD(MIN(INT(($A54-1)/2)+1,MAX(1,INT(((((CROQUIS_DATOS!$C$1479+CROQUIS_DATOS!$C$1480))-(CROQUIS_DATOS!$C$1479))+((CROQUIS_DATOS!$C$1481)*CROQUIS_DATOS!$C$1561-(0)*CROQUIS_DATOS!$C$1561))/CROQUIS_DATOS!$C$1568-0.000001))),2)=1,IF(INT(($A54-1)/2)+1&gt;MAX(1,INT(((((CROQUIS_DATOS!$C$1479+CROQUIS_DATOS!$C$1480))-(CROQUIS_DATOS!$C$1479))+((CROQUIS_DATOS!$C$1481)*CROQUIS_DATOS!$C$1561-(0)*CROQUIS_DATOS!$C$1561))/CROQUIS_DATOS!$C$1568-0.000001)),1,MOD($A54-1,2)),1-IF(INT(($A54-1)/2)+1&gt;MAX(1,INT(((((CROQUIS_DATOS!$C$1479+CROQUIS_DATOS!$C$1480))-(CROQUIS_DATOS!$C$1479))+((CROQUIS_DATOS!$C$1481)*CROQUIS_DATOS!$C$1561-(0)*CROQUIS_DATOS!$C$1561))/CROQUIS_DATOS!$C$1568-0.000001)),1,MOD($A54-1,2)))=1,MIN((CROQUIS_DATOS!$C$1481)*CROQUIS_DATOS!$C$1561,((CROQUIS_DATOS!$C$1479+CROQUIS_DATOS!$C$1480)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4">
        <f>IF(AND(CROQUIS_DATOS!$C$1472=1,CROQUIS_DATOS!$C$1478&gt;=1,((CROQUIS_DATOS!$C$1479+CROQUIS_DATOS!$C$1480))-(CROQUIS_DATOS!$C$1479)&gt;0.5,(CROQUIS_DATOS!$C$1476)-((CROQUIS_DATOS!$C$1481+CROQUIS_DATOS!$C$1482))&gt;0.5),(CROQUIS_DATOS!$C$1566+(IF(IF(MOD(MIN(INT(($A54-1)/2)+1,MAX(1,INT(((((CROQUIS_DATOS!$C$1479+CROQUIS_DATOS!$C$1480))-(CROQUIS_DATOS!$C$1479))+((CROQUIS_DATOS!$C$1476)*CROQUIS_DATOS!$C$1561-((CROQUIS_DATOS!$C$1481+CROQUIS_DATOS!$C$1482))*CROQUIS_DATOS!$C$1561))/CROQUIS_DATOS!$C$1568-0.000001))),2)=1,IF(INT(($A54-1)/2)+1&gt;MAX(1,INT(((((CROQUIS_DATOS!$C$1479+CROQUIS_DATOS!$C$1480))-(CROQUIS_DATOS!$C$1479))+((CROQUIS_DATOS!$C$1476)*CROQUIS_DATOS!$C$1561-((CROQUIS_DATOS!$C$1481+CROQUIS_DATOS!$C$1482))*CROQUIS_DATOS!$C$1561))/CROQUIS_DATOS!$C$1568-0.000001)),1,MOD($A54-1,2)),1-IF(INT(($A54-1)/2)+1&gt;MAX(1,INT(((((CROQUIS_DATOS!$C$1479+CROQUIS_DATOS!$C$1480))-(CROQUIS_DATOS!$C$1479))+((CROQUIS_DATOS!$C$1476)*CROQUIS_DATOS!$C$1561-((CROQUIS_DATOS!$C$1481+CROQUIS_DATOS!$C$1482))*CROQUIS_DATOS!$C$1561))/CROQUIS_DATOS!$C$1568-0.000001)),1,MOD($A54-1,2)))=1,MIN((CROQUIS_DATOS!$C$1476)*CROQUIS_DATOS!$C$1561,((CROQUIS_DATOS!$C$1479+CROQUIS_DATOS!$C$1480)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4">
        <f>IF(AND(CROQUIS_DATOS!$C$1472=1,CROQUIS_DATOS!$C$1478&gt;=1,((CROQUIS_DATOS!$C$1479+CROQUIS_DATOS!$C$1480))-(CROQUIS_DATOS!$C$1479)&gt;0.5,(CROQUIS_DATOS!$C$1476)-((CROQUIS_DATOS!$C$1481+CROQUIS_DATOS!$C$1482))&gt;0.5),(CROQUIS_DATOS!$C$1567+(IF(IF(MOD(MIN(INT(($A54-1)/2)+1,MAX(1,INT(((((CROQUIS_DATOS!$C$1479+CROQUIS_DATOS!$C$1480))-(CROQUIS_DATOS!$C$1479))+((CROQUIS_DATOS!$C$1476)*CROQUIS_DATOS!$C$1561-((CROQUIS_DATOS!$C$1481+CROQUIS_DATOS!$C$1482))*CROQUIS_DATOS!$C$1561))/CROQUIS_DATOS!$C$1568-0.000001))),2)=1,IF(INT(($A54-1)/2)+1&gt;MAX(1,INT(((((CROQUIS_DATOS!$C$1479+CROQUIS_DATOS!$C$1480))-(CROQUIS_DATOS!$C$1479))+((CROQUIS_DATOS!$C$1476)*CROQUIS_DATOS!$C$1561-((CROQUIS_DATOS!$C$1481+CROQUIS_DATOS!$C$1482))*CROQUIS_DATOS!$C$1561))/CROQUIS_DATOS!$C$1568-0.000001)),1,MOD($A54-1,2)),1-IF(INT(($A54-1)/2)+1&gt;MAX(1,INT(((((CROQUIS_DATOS!$C$1479+CROQUIS_DATOS!$C$1480))-(CROQUIS_DATOS!$C$1479))+((CROQUIS_DATOS!$C$1476)*CROQUIS_DATOS!$C$1561-((CROQUIS_DATOS!$C$1481+CROQUIS_DATOS!$C$1482))*CROQUIS_DATOS!$C$1561))/CROQUIS_DATOS!$C$1568-0.000001)),1,MOD($A54-1,2)))=1,MIN((CROQUIS_DATOS!$C$1476)*CROQUIS_DATOS!$C$1561,((CROQUIS_DATOS!$C$1479+CROQUIS_DATOS!$C$1480)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4">
        <f>IF(AND(CROQUIS_DATOS!$C$1472=1,CROQUIS_DATOS!$C$1478&gt;=2,((CROQUIS_DATOS!$C$1484+CROQUIS_DATOS!$C$1485))-(CROQUIS_DATOS!$C$1484)&gt;0.5,(CROQUIS_DATOS!$C$1486)-(0)&gt;0.5),(CROQUIS_DATOS!$C$1566+(IF(IF(MOD(MIN(INT(($A54-1)/2)+1,MAX(1,INT(((((CROQUIS_DATOS!$C$1484+CROQUIS_DATOS!$C$1485))-(CROQUIS_DATOS!$C$1484))+((CROQUIS_DATOS!$C$1486)*CROQUIS_DATOS!$C$1561-(0)*CROQUIS_DATOS!$C$1561))/CROQUIS_DATOS!$C$1568-0.000001))),2)=1,IF(INT(($A54-1)/2)+1&gt;MAX(1,INT(((((CROQUIS_DATOS!$C$1484+CROQUIS_DATOS!$C$1485))-(CROQUIS_DATOS!$C$1484))+((CROQUIS_DATOS!$C$1486)*CROQUIS_DATOS!$C$1561-(0)*CROQUIS_DATOS!$C$1561))/CROQUIS_DATOS!$C$1568-0.000001)),1,MOD($A54-1,2)),1-IF(INT(($A54-1)/2)+1&gt;MAX(1,INT(((((CROQUIS_DATOS!$C$1484+CROQUIS_DATOS!$C$1485))-(CROQUIS_DATOS!$C$1484))+((CROQUIS_DATOS!$C$1486)*CROQUIS_DATOS!$C$1561-(0)*CROQUIS_DATOS!$C$1561))/CROQUIS_DATOS!$C$1568-0.000001)),1,MOD($A54-1,2)))=1,MIN((CROQUIS_DATOS!$C$1486)*CROQUIS_DATOS!$C$1561,((CROQUIS_DATOS!$C$1484+CROQUIS_DATOS!$C$1485)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4">
        <f>IF(AND(CROQUIS_DATOS!$C$1472=1,CROQUIS_DATOS!$C$1478&gt;=2,((CROQUIS_DATOS!$C$1484+CROQUIS_DATOS!$C$1485))-(CROQUIS_DATOS!$C$1484)&gt;0.5,(CROQUIS_DATOS!$C$1486)-(0)&gt;0.5),(CROQUIS_DATOS!$C$1567+(IF(IF(MOD(MIN(INT(($A54-1)/2)+1,MAX(1,INT(((((CROQUIS_DATOS!$C$1484+CROQUIS_DATOS!$C$1485))-(CROQUIS_DATOS!$C$1484))+((CROQUIS_DATOS!$C$1486)*CROQUIS_DATOS!$C$1561-(0)*CROQUIS_DATOS!$C$1561))/CROQUIS_DATOS!$C$1568-0.000001))),2)=1,IF(INT(($A54-1)/2)+1&gt;MAX(1,INT(((((CROQUIS_DATOS!$C$1484+CROQUIS_DATOS!$C$1485))-(CROQUIS_DATOS!$C$1484))+((CROQUIS_DATOS!$C$1486)*CROQUIS_DATOS!$C$1561-(0)*CROQUIS_DATOS!$C$1561))/CROQUIS_DATOS!$C$1568-0.000001)),1,MOD($A54-1,2)),1-IF(INT(($A54-1)/2)+1&gt;MAX(1,INT(((((CROQUIS_DATOS!$C$1484+CROQUIS_DATOS!$C$1485))-(CROQUIS_DATOS!$C$1484))+((CROQUIS_DATOS!$C$1486)*CROQUIS_DATOS!$C$1561-(0)*CROQUIS_DATOS!$C$1561))/CROQUIS_DATOS!$C$1568-0.000001)),1,MOD($A54-1,2)))=1,MIN((CROQUIS_DATOS!$C$1486)*CROQUIS_DATOS!$C$1561,((CROQUIS_DATOS!$C$1484+CROQUIS_DATOS!$C$1485)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4">
        <f>IF(AND(CROQUIS_DATOS!$C$1472=1,CROQUIS_DATOS!$C$1478&gt;=2,((CROQUIS_DATOS!$C$1484+CROQUIS_DATOS!$C$1485))-(CROQUIS_DATOS!$C$1484)&gt;0.5,(CROQUIS_DATOS!$C$1476)-((CROQUIS_DATOS!$C$1486+CROQUIS_DATOS!$C$1487))&gt;0.5),(CROQUIS_DATOS!$C$1566+(IF(IF(MOD(MIN(INT(($A54-1)/2)+1,MAX(1,INT(((((CROQUIS_DATOS!$C$1484+CROQUIS_DATOS!$C$1485))-(CROQUIS_DATOS!$C$1484))+((CROQUIS_DATOS!$C$1476)*CROQUIS_DATOS!$C$1561-((CROQUIS_DATOS!$C$1486+CROQUIS_DATOS!$C$1487))*CROQUIS_DATOS!$C$1561))/CROQUIS_DATOS!$C$1568-0.000001))),2)=1,IF(INT(($A54-1)/2)+1&gt;MAX(1,INT(((((CROQUIS_DATOS!$C$1484+CROQUIS_DATOS!$C$1485))-(CROQUIS_DATOS!$C$1484))+((CROQUIS_DATOS!$C$1476)*CROQUIS_DATOS!$C$1561-((CROQUIS_DATOS!$C$1486+CROQUIS_DATOS!$C$1487))*CROQUIS_DATOS!$C$1561))/CROQUIS_DATOS!$C$1568-0.000001)),1,MOD($A54-1,2)),1-IF(INT(($A54-1)/2)+1&gt;MAX(1,INT(((((CROQUIS_DATOS!$C$1484+CROQUIS_DATOS!$C$1485))-(CROQUIS_DATOS!$C$1484))+((CROQUIS_DATOS!$C$1476)*CROQUIS_DATOS!$C$1561-((CROQUIS_DATOS!$C$1486+CROQUIS_DATOS!$C$1487))*CROQUIS_DATOS!$C$1561))/CROQUIS_DATOS!$C$1568-0.000001)),1,MOD($A54-1,2)))=1,MIN((CROQUIS_DATOS!$C$1476)*CROQUIS_DATOS!$C$1561,((CROQUIS_DATOS!$C$1484+CROQUIS_DATOS!$C$1485)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4">
        <f>IF(AND(CROQUIS_DATOS!$C$1472=1,CROQUIS_DATOS!$C$1478&gt;=2,((CROQUIS_DATOS!$C$1484+CROQUIS_DATOS!$C$1485))-(CROQUIS_DATOS!$C$1484)&gt;0.5,(CROQUIS_DATOS!$C$1476)-((CROQUIS_DATOS!$C$1486+CROQUIS_DATOS!$C$1487))&gt;0.5),(CROQUIS_DATOS!$C$1567+(IF(IF(MOD(MIN(INT(($A54-1)/2)+1,MAX(1,INT(((((CROQUIS_DATOS!$C$1484+CROQUIS_DATOS!$C$1485))-(CROQUIS_DATOS!$C$1484))+((CROQUIS_DATOS!$C$1476)*CROQUIS_DATOS!$C$1561-((CROQUIS_DATOS!$C$1486+CROQUIS_DATOS!$C$1487))*CROQUIS_DATOS!$C$1561))/CROQUIS_DATOS!$C$1568-0.000001))),2)=1,IF(INT(($A54-1)/2)+1&gt;MAX(1,INT(((((CROQUIS_DATOS!$C$1484+CROQUIS_DATOS!$C$1485))-(CROQUIS_DATOS!$C$1484))+((CROQUIS_DATOS!$C$1476)*CROQUIS_DATOS!$C$1561-((CROQUIS_DATOS!$C$1486+CROQUIS_DATOS!$C$1487))*CROQUIS_DATOS!$C$1561))/CROQUIS_DATOS!$C$1568-0.000001)),1,MOD($A54-1,2)),1-IF(INT(($A54-1)/2)+1&gt;MAX(1,INT(((((CROQUIS_DATOS!$C$1484+CROQUIS_DATOS!$C$1485))-(CROQUIS_DATOS!$C$1484))+((CROQUIS_DATOS!$C$1476)*CROQUIS_DATOS!$C$1561-((CROQUIS_DATOS!$C$1486+CROQUIS_DATOS!$C$1487))*CROQUIS_DATOS!$C$1561))/CROQUIS_DATOS!$C$1568-0.000001)),1,MOD($A54-1,2)))=1,MIN((CROQUIS_DATOS!$C$1476)*CROQUIS_DATOS!$C$1561,((CROQUIS_DATOS!$C$1484+CROQUIS_DATOS!$C$1485)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4">
        <f>IF(AND(CROQUIS_DATOS!$C$1472=1,CROQUIS_DATOS!$C$1478&gt;=3,((CROQUIS_DATOS!$C$1489+CROQUIS_DATOS!$C$1490))-(CROQUIS_DATOS!$C$1489)&gt;0.5,(CROQUIS_DATOS!$C$1491)-(0)&gt;0.5),(CROQUIS_DATOS!$C$1566+(IF(IF(MOD(MIN(INT(($A54-1)/2)+1,MAX(1,INT(((((CROQUIS_DATOS!$C$1489+CROQUIS_DATOS!$C$1490))-(CROQUIS_DATOS!$C$1489))+((CROQUIS_DATOS!$C$1491)*CROQUIS_DATOS!$C$1561-(0)*CROQUIS_DATOS!$C$1561))/CROQUIS_DATOS!$C$1568-0.000001))),2)=1,IF(INT(($A54-1)/2)+1&gt;MAX(1,INT(((((CROQUIS_DATOS!$C$1489+CROQUIS_DATOS!$C$1490))-(CROQUIS_DATOS!$C$1489))+((CROQUIS_DATOS!$C$1491)*CROQUIS_DATOS!$C$1561-(0)*CROQUIS_DATOS!$C$1561))/CROQUIS_DATOS!$C$1568-0.000001)),1,MOD($A54-1,2)),1-IF(INT(($A54-1)/2)+1&gt;MAX(1,INT(((((CROQUIS_DATOS!$C$1489+CROQUIS_DATOS!$C$1490))-(CROQUIS_DATOS!$C$1489))+((CROQUIS_DATOS!$C$1491)*CROQUIS_DATOS!$C$1561-(0)*CROQUIS_DATOS!$C$1561))/CROQUIS_DATOS!$C$1568-0.000001)),1,MOD($A54-1,2)))=1,MIN((CROQUIS_DATOS!$C$1491)*CROQUIS_DATOS!$C$1561,((CROQUIS_DATOS!$C$1489+CROQUIS_DATOS!$C$1490)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4">
        <f>IF(AND(CROQUIS_DATOS!$C$1472=1,CROQUIS_DATOS!$C$1478&gt;=3,((CROQUIS_DATOS!$C$1489+CROQUIS_DATOS!$C$1490))-(CROQUIS_DATOS!$C$1489)&gt;0.5,(CROQUIS_DATOS!$C$1491)-(0)&gt;0.5),(CROQUIS_DATOS!$C$1567+(IF(IF(MOD(MIN(INT(($A54-1)/2)+1,MAX(1,INT(((((CROQUIS_DATOS!$C$1489+CROQUIS_DATOS!$C$1490))-(CROQUIS_DATOS!$C$1489))+((CROQUIS_DATOS!$C$1491)*CROQUIS_DATOS!$C$1561-(0)*CROQUIS_DATOS!$C$1561))/CROQUIS_DATOS!$C$1568-0.000001))),2)=1,IF(INT(($A54-1)/2)+1&gt;MAX(1,INT(((((CROQUIS_DATOS!$C$1489+CROQUIS_DATOS!$C$1490))-(CROQUIS_DATOS!$C$1489))+((CROQUIS_DATOS!$C$1491)*CROQUIS_DATOS!$C$1561-(0)*CROQUIS_DATOS!$C$1561))/CROQUIS_DATOS!$C$1568-0.000001)),1,MOD($A54-1,2)),1-IF(INT(($A54-1)/2)+1&gt;MAX(1,INT(((((CROQUIS_DATOS!$C$1489+CROQUIS_DATOS!$C$1490))-(CROQUIS_DATOS!$C$1489))+((CROQUIS_DATOS!$C$1491)*CROQUIS_DATOS!$C$1561-(0)*CROQUIS_DATOS!$C$1561))/CROQUIS_DATOS!$C$1568-0.000001)),1,MOD($A54-1,2)))=1,MIN((CROQUIS_DATOS!$C$1491)*CROQUIS_DATOS!$C$1561,((CROQUIS_DATOS!$C$1489+CROQUIS_DATOS!$C$1490)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4">
        <f>IF(AND(CROQUIS_DATOS!$C$1472=1,CROQUIS_DATOS!$C$1478&gt;=3,((CROQUIS_DATOS!$C$1489+CROQUIS_DATOS!$C$1490))-(CROQUIS_DATOS!$C$1489)&gt;0.5,(CROQUIS_DATOS!$C$1476)-((CROQUIS_DATOS!$C$1491+CROQUIS_DATOS!$C$1492))&gt;0.5),(CROQUIS_DATOS!$C$1566+(IF(IF(MOD(MIN(INT(($A54-1)/2)+1,MAX(1,INT(((((CROQUIS_DATOS!$C$1489+CROQUIS_DATOS!$C$1490))-(CROQUIS_DATOS!$C$1489))+((CROQUIS_DATOS!$C$1476)*CROQUIS_DATOS!$C$1561-((CROQUIS_DATOS!$C$1491+CROQUIS_DATOS!$C$1492))*CROQUIS_DATOS!$C$1561))/CROQUIS_DATOS!$C$1568-0.000001))),2)=1,IF(INT(($A54-1)/2)+1&gt;MAX(1,INT(((((CROQUIS_DATOS!$C$1489+CROQUIS_DATOS!$C$1490))-(CROQUIS_DATOS!$C$1489))+((CROQUIS_DATOS!$C$1476)*CROQUIS_DATOS!$C$1561-((CROQUIS_DATOS!$C$1491+CROQUIS_DATOS!$C$1492))*CROQUIS_DATOS!$C$1561))/CROQUIS_DATOS!$C$1568-0.000001)),1,MOD($A54-1,2)),1-IF(INT(($A54-1)/2)+1&gt;MAX(1,INT(((((CROQUIS_DATOS!$C$1489+CROQUIS_DATOS!$C$1490))-(CROQUIS_DATOS!$C$1489))+((CROQUIS_DATOS!$C$1476)*CROQUIS_DATOS!$C$1561-((CROQUIS_DATOS!$C$1491+CROQUIS_DATOS!$C$1492))*CROQUIS_DATOS!$C$1561))/CROQUIS_DATOS!$C$1568-0.000001)),1,MOD($A54-1,2)))=1,MIN((CROQUIS_DATOS!$C$1476)*CROQUIS_DATOS!$C$1561,((CROQUIS_DATOS!$C$1489+CROQUIS_DATOS!$C$1490)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4">
        <f>IF(AND(CROQUIS_DATOS!$C$1472=1,CROQUIS_DATOS!$C$1478&gt;=3,((CROQUIS_DATOS!$C$1489+CROQUIS_DATOS!$C$1490))-(CROQUIS_DATOS!$C$1489)&gt;0.5,(CROQUIS_DATOS!$C$1476)-((CROQUIS_DATOS!$C$1491+CROQUIS_DATOS!$C$1492))&gt;0.5),(CROQUIS_DATOS!$C$1567+(IF(IF(MOD(MIN(INT(($A54-1)/2)+1,MAX(1,INT(((((CROQUIS_DATOS!$C$1489+CROQUIS_DATOS!$C$1490))-(CROQUIS_DATOS!$C$1489))+((CROQUIS_DATOS!$C$1476)*CROQUIS_DATOS!$C$1561-((CROQUIS_DATOS!$C$1491+CROQUIS_DATOS!$C$1492))*CROQUIS_DATOS!$C$1561))/CROQUIS_DATOS!$C$1568-0.000001))),2)=1,IF(INT(($A54-1)/2)+1&gt;MAX(1,INT(((((CROQUIS_DATOS!$C$1489+CROQUIS_DATOS!$C$1490))-(CROQUIS_DATOS!$C$1489))+((CROQUIS_DATOS!$C$1476)*CROQUIS_DATOS!$C$1561-((CROQUIS_DATOS!$C$1491+CROQUIS_DATOS!$C$1492))*CROQUIS_DATOS!$C$1561))/CROQUIS_DATOS!$C$1568-0.000001)),1,MOD($A54-1,2)),1-IF(INT(($A54-1)/2)+1&gt;MAX(1,INT(((((CROQUIS_DATOS!$C$1489+CROQUIS_DATOS!$C$1490))-(CROQUIS_DATOS!$C$1489))+((CROQUIS_DATOS!$C$1476)*CROQUIS_DATOS!$C$1561-((CROQUIS_DATOS!$C$1491+CROQUIS_DATOS!$C$1492))*CROQUIS_DATOS!$C$1561))/CROQUIS_DATOS!$C$1568-0.000001)),1,MOD($A54-1,2)))=1,MIN((CROQUIS_DATOS!$C$1476)*CROQUIS_DATOS!$C$1561,((CROQUIS_DATOS!$C$1489+CROQUIS_DATOS!$C$1490)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4">
        <f>IF(AND(CROQUIS_DATOS!$C$1472=1,CROQUIS_DATOS!$C$1478&gt;=4,((CROQUIS_DATOS!$C$1494+CROQUIS_DATOS!$C$1495))-(CROQUIS_DATOS!$C$1494)&gt;0.5,(CROQUIS_DATOS!$C$1496)-(0)&gt;0.5),(CROQUIS_DATOS!$C$1566+(IF(IF(MOD(MIN(INT(($A54-1)/2)+1,MAX(1,INT(((((CROQUIS_DATOS!$C$1494+CROQUIS_DATOS!$C$1495))-(CROQUIS_DATOS!$C$1494))+((CROQUIS_DATOS!$C$1496)*CROQUIS_DATOS!$C$1561-(0)*CROQUIS_DATOS!$C$1561))/CROQUIS_DATOS!$C$1568-0.000001))),2)=1,IF(INT(($A54-1)/2)+1&gt;MAX(1,INT(((((CROQUIS_DATOS!$C$1494+CROQUIS_DATOS!$C$1495))-(CROQUIS_DATOS!$C$1494))+((CROQUIS_DATOS!$C$1496)*CROQUIS_DATOS!$C$1561-(0)*CROQUIS_DATOS!$C$1561))/CROQUIS_DATOS!$C$1568-0.000001)),1,MOD($A54-1,2)),1-IF(INT(($A54-1)/2)+1&gt;MAX(1,INT(((((CROQUIS_DATOS!$C$1494+CROQUIS_DATOS!$C$1495))-(CROQUIS_DATOS!$C$1494))+((CROQUIS_DATOS!$C$1496)*CROQUIS_DATOS!$C$1561-(0)*CROQUIS_DATOS!$C$1561))/CROQUIS_DATOS!$C$1568-0.000001)),1,MOD($A54-1,2)))=1,MIN((CROQUIS_DATOS!$C$1496)*CROQUIS_DATOS!$C$1561,((CROQUIS_DATOS!$C$1494+CROQUIS_DATOS!$C$1495)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4">
        <f>IF(AND(CROQUIS_DATOS!$C$1472=1,CROQUIS_DATOS!$C$1478&gt;=4,((CROQUIS_DATOS!$C$1494+CROQUIS_DATOS!$C$1495))-(CROQUIS_DATOS!$C$1494)&gt;0.5,(CROQUIS_DATOS!$C$1496)-(0)&gt;0.5),(CROQUIS_DATOS!$C$1567+(IF(IF(MOD(MIN(INT(($A54-1)/2)+1,MAX(1,INT(((((CROQUIS_DATOS!$C$1494+CROQUIS_DATOS!$C$1495))-(CROQUIS_DATOS!$C$1494))+((CROQUIS_DATOS!$C$1496)*CROQUIS_DATOS!$C$1561-(0)*CROQUIS_DATOS!$C$1561))/CROQUIS_DATOS!$C$1568-0.000001))),2)=1,IF(INT(($A54-1)/2)+1&gt;MAX(1,INT(((((CROQUIS_DATOS!$C$1494+CROQUIS_DATOS!$C$1495))-(CROQUIS_DATOS!$C$1494))+((CROQUIS_DATOS!$C$1496)*CROQUIS_DATOS!$C$1561-(0)*CROQUIS_DATOS!$C$1561))/CROQUIS_DATOS!$C$1568-0.000001)),1,MOD($A54-1,2)),1-IF(INT(($A54-1)/2)+1&gt;MAX(1,INT(((((CROQUIS_DATOS!$C$1494+CROQUIS_DATOS!$C$1495))-(CROQUIS_DATOS!$C$1494))+((CROQUIS_DATOS!$C$1496)*CROQUIS_DATOS!$C$1561-(0)*CROQUIS_DATOS!$C$1561))/CROQUIS_DATOS!$C$1568-0.000001)),1,MOD($A54-1,2)))=1,MIN((CROQUIS_DATOS!$C$1496)*CROQUIS_DATOS!$C$1561,((CROQUIS_DATOS!$C$1494+CROQUIS_DATOS!$C$1495)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4">
        <f>IF(AND(CROQUIS_DATOS!$C$1472=1,CROQUIS_DATOS!$C$1478&gt;=4,((CROQUIS_DATOS!$C$1494+CROQUIS_DATOS!$C$1495))-(CROQUIS_DATOS!$C$1494)&gt;0.5,(CROQUIS_DATOS!$C$1476)-((CROQUIS_DATOS!$C$1496+CROQUIS_DATOS!$C$1497))&gt;0.5),(CROQUIS_DATOS!$C$1566+(IF(IF(MOD(MIN(INT(($A54-1)/2)+1,MAX(1,INT(((((CROQUIS_DATOS!$C$1494+CROQUIS_DATOS!$C$1495))-(CROQUIS_DATOS!$C$1494))+((CROQUIS_DATOS!$C$1476)*CROQUIS_DATOS!$C$1561-((CROQUIS_DATOS!$C$1496+CROQUIS_DATOS!$C$1497))*CROQUIS_DATOS!$C$1561))/CROQUIS_DATOS!$C$1568-0.000001))),2)=1,IF(INT(($A54-1)/2)+1&gt;MAX(1,INT(((((CROQUIS_DATOS!$C$1494+CROQUIS_DATOS!$C$1495))-(CROQUIS_DATOS!$C$1494))+((CROQUIS_DATOS!$C$1476)*CROQUIS_DATOS!$C$1561-((CROQUIS_DATOS!$C$1496+CROQUIS_DATOS!$C$1497))*CROQUIS_DATOS!$C$1561))/CROQUIS_DATOS!$C$1568-0.000001)),1,MOD($A54-1,2)),1-IF(INT(($A54-1)/2)+1&gt;MAX(1,INT(((((CROQUIS_DATOS!$C$1494+CROQUIS_DATOS!$C$1495))-(CROQUIS_DATOS!$C$1494))+((CROQUIS_DATOS!$C$1476)*CROQUIS_DATOS!$C$1561-((CROQUIS_DATOS!$C$1496+CROQUIS_DATOS!$C$1497))*CROQUIS_DATOS!$C$1561))/CROQUIS_DATOS!$C$1568-0.000001)),1,MOD($A54-1,2)))=1,MIN((CROQUIS_DATOS!$C$1476)*CROQUIS_DATOS!$C$1561,((CROQUIS_DATOS!$C$1494+CROQUIS_DATOS!$C$1495)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4">
        <f>IF(AND(CROQUIS_DATOS!$C$1472=1,CROQUIS_DATOS!$C$1478&gt;=4,((CROQUIS_DATOS!$C$1494+CROQUIS_DATOS!$C$1495))-(CROQUIS_DATOS!$C$1494)&gt;0.5,(CROQUIS_DATOS!$C$1476)-((CROQUIS_DATOS!$C$1496+CROQUIS_DATOS!$C$1497))&gt;0.5),(CROQUIS_DATOS!$C$1567+(IF(IF(MOD(MIN(INT(($A54-1)/2)+1,MAX(1,INT(((((CROQUIS_DATOS!$C$1494+CROQUIS_DATOS!$C$1495))-(CROQUIS_DATOS!$C$1494))+((CROQUIS_DATOS!$C$1476)*CROQUIS_DATOS!$C$1561-((CROQUIS_DATOS!$C$1496+CROQUIS_DATOS!$C$1497))*CROQUIS_DATOS!$C$1561))/CROQUIS_DATOS!$C$1568-0.000001))),2)=1,IF(INT(($A54-1)/2)+1&gt;MAX(1,INT(((((CROQUIS_DATOS!$C$1494+CROQUIS_DATOS!$C$1495))-(CROQUIS_DATOS!$C$1494))+((CROQUIS_DATOS!$C$1476)*CROQUIS_DATOS!$C$1561-((CROQUIS_DATOS!$C$1496+CROQUIS_DATOS!$C$1497))*CROQUIS_DATOS!$C$1561))/CROQUIS_DATOS!$C$1568-0.000001)),1,MOD($A54-1,2)),1-IF(INT(($A54-1)/2)+1&gt;MAX(1,INT(((((CROQUIS_DATOS!$C$1494+CROQUIS_DATOS!$C$1495))-(CROQUIS_DATOS!$C$1494))+((CROQUIS_DATOS!$C$1476)*CROQUIS_DATOS!$C$1561-((CROQUIS_DATOS!$C$1496+CROQUIS_DATOS!$C$1497))*CROQUIS_DATOS!$C$1561))/CROQUIS_DATOS!$C$1568-0.000001)),1,MOD($A54-1,2)))=1,MIN((CROQUIS_DATOS!$C$1476)*CROQUIS_DATOS!$C$1561,((CROQUIS_DATOS!$C$1494+CROQUIS_DATOS!$C$1495)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4">
        <f>IF(AND(CROQUIS_DATOS!$C$1472=1,1),(CROQUIS_DATOS!$C$1571+(CHOOSE(MIN(MAX(IF(INT(($A54-1)/5)+1&gt;CROQUIS_DATOS!$C$1525,5,MOD($A54-1,5)+1),1),5),(INDEX($E$8:$E$23,MIN(INT(($A54-1)/5)+1,CROQUIS_DATOS!$C$1525))-INDEX($F$8:$F$23,MIN(INT(($A54-1)/5)+1,CROQUIS_DATOS!$C$1525))/2),(INDEX($E$8:$E$23,MIN(INT(($A54-1)/5)+1,CROQUIS_DATOS!$C$1525))+INDEX($F$8:$F$23,MIN(INT(($A54-1)/5)+1,CROQUIS_DATOS!$C$1525))/2),(INDEX($E$8:$E$23,MIN(INT(($A54-1)/5)+1,CROQUIS_DATOS!$C$1525))+INDEX($F$8:$F$23,MIN(INT(($A54-1)/5)+1,CROQUIS_DATOS!$C$1525))/2),(INDEX($E$8:$E$23,MIN(INT(($A54-1)/5)+1,CROQUIS_DATOS!$C$1525))-INDEX($F$8:$F$23,MIN(INT(($A54-1)/5)+1,CROQUIS_DATOS!$C$1525))/2),(INDEX($E$8:$E$23,MIN(INT(($A54-1)/5)+1,CROQUIS_DATOS!$C$1525))-INDEX($F$8:$F$23,MIN(INT(($A54-1)/5)+1,CROQUIS_DATOS!$C$1525))/2)))*CROQUIS_DATOS!$C$1569),-1000)</f>
        <v>95.24</v>
      </c>
      <c r="GE54">
        <f>IF(AND(CROQUIS_DATOS!$C$1472=1,1),(CROQUIS_DATOS!$C$1572+(CHOOSE(MIN(MAX(IF(INT(($A54-1)/5)+1&gt;CROQUIS_DATOS!$C$1525,5,MOD($A54-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4">
        <f>IF(AND(CROQUIS_DATOS!$C$1472=1,1),IF(INT(($A54-1)/4)+1&lt;=CROQUIS_DATOS!$C$1525,(CROQUIS_DATOS!$C$1571+((INDEX($E$8:$E$23,MIN(INT(($A54-1)/4)+1,16))+IF(OR(MOD($A54-1,4)=0,MOD($A54-1,4)=3),-1,1)*(INDEX($F$8:$F$23,MIN(INT(($A54-1)/4)+1,16))/2-(CROQUIS_DATOS!$C$1530+CROQUIS_DATOS!$C$1532+IF(OR(INT(($A54-1)/4)+1=1,INT(($A54-1)/4)+1=CROQUIS_DATOS!$C$1525),CROQUIS_DATOS!$C$1534,CROQUIS_DATOS!$C$1531)/2))))*CROQUIS_DATOS!$C$1569),-1000),-1000)</f>
        <v>-1000</v>
      </c>
      <c r="GG54">
        <f>IF(AND(CROQUIS_DATOS!$C$1472=1,1),IF(INT(($A54-1)/4)+1&lt;=CROQUIS_DATOS!$C$1525,(CROQUIS_DATOS!$C$1572+((CROQUIS_DATOS!$C$1477/2+IF(MOD($A54-1,4)&lt;2,-1,1)*(CROQUIS_DATOS!$C$1527/2-(CROQUIS_DATOS!$C$1530+CROQUIS_DATOS!$C$1532+IF(OR(INT(($A54-1)/4)+1=1,INT(($A54-1)/4)+1=CROQUIS_DATOS!$C$1525),CROQUIS_DATOS!$C$1534,CROQUIS_DATOS!$C$1531)/2))))*CROQUIS_DATOS!$C$1569*CROQUIS_DATOS!$C$1570),-1000),-1000)</f>
        <v>-1000</v>
      </c>
    </row>
    <row r="55">
      <c r="A55" t="n">
        <v>48</v>
      </c>
      <c r="J55">
        <f>IF(AND(CROQUIS_DATOS!$C$1472=1,1),(CROQUIS_DATOS!$C$1563+(CHOOSE(MIN(MAX(IF(INT(($A55-1)/4)+1&gt;CROQUIS_DATOS!$C$1525,4,MOD($A55-1,4)+1),1),4),(INDEX($E$8:$E$23,MIN(INT(($A55-1)/4)+1,CROQUIS_DATOS!$C$1525))-INDEX($F$8:$F$23,MIN(INT(($A55-1)/4)+1,CROQUIS_DATOS!$C$1525))/2),(INDEX($E$8:$E$23,MIN(INT(($A55-1)/4)+1,CROQUIS_DATOS!$C$1525))-INDEX($F$8:$F$23,MIN(INT(($A55-1)/4)+1,CROQUIS_DATOS!$C$1525))/2),(INDEX($E$8:$E$23,MIN(INT(($A55-1)/4)+1,CROQUIS_DATOS!$C$1525))+INDEX($F$8:$F$23,MIN(INT(($A55-1)/4)+1,CROQUIS_DATOS!$C$1525))/2),(INDEX($E$8:$E$23,MIN(INT(($A55-1)/4)+1,CROQUIS_DATOS!$C$1525))+INDEX($F$8:$F$23,MIN(INT(($A55-1)/4)+1,CROQUIS_DATOS!$C$1525))/2)))*CROQUIS_DATOS!$C$1562),-1000)</f>
        <v>84.9137931034483</v>
      </c>
      <c r="K55">
        <f>IF(AND(CROQUIS_DATOS!$C$1472=1,1),(CROQUIS_DATOS!$C$1564+(CHOOSE(MIN(MAX(IF(INT(($A55-1)/4)+1&gt;CROQUIS_DATOS!$C$1525,4,MOD($A55-1,4)+1),1),4),0,CROQUIS_DATOS!$C$1476,CROQUIS_DATOS!$C$1476,0))*CROQUIS_DATOS!$C$1561*CROQUIS_DATOS!$C$1562),-1000)</f>
        <v>5.29310344827586</v>
      </c>
      <c r="L55">
        <f>IF(AND(CROQUIS_DATOS!$C$1472=1,1),(CROQUIS_DATOS!$C$1563+(CHOOSE(MIN(MAX(IF(INT(($A55-1)/4)+1&gt;CROQUIS_DATOS!$C$1525,4,MOD($A55-1,4)+1),1),4),((INDEX($E$8:$E$23,MIN(INT(($A55-1)/4)+1,CROQUIS_DATOS!$C$1525))-INDEX($F$8:$F$23,MIN(INT(($A55-1)/4)+1,CROQUIS_DATOS!$C$1525))/2)+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,((INDEX($E$8:$E$23,MIN(INT(($A55-1)/4)+1,CROQUIS_DATOS!$C$1525))-INDEX($F$8:$F$23,MIN(INT(($A55-1)/4)+1,CROQUIS_DATOS!$C$1525))/2)+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,((INDEX($E$8:$E$23,MIN(INT(($A55-1)/4)+1,CROQUIS_DATOS!$C$1525))+INDEX($F$8:$F$23,MIN(INT(($A55-1)/4)+1,CROQUIS_DATOS!$C$1525))/2)-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,((INDEX($E$8:$E$23,MIN(INT(($A55-1)/4)+1,CROQUIS_DATOS!$C$1525))+INDEX($F$8:$F$23,MIN(INT(($A55-1)/4)+1,CROQUIS_DATOS!$C$1525))/2)-MIN((CROQUIS_DATOS!$C$1530+CROQUIS_DATOS!$C$1532+IF(OR(MIN(INT(($A55-1)/4)+1,CROQUIS_DATOS!$C$1525)=1,MIN(INT(($A55-1)/4)+1,CROQUIS_DATOS!$C$1525)=CROQUIS_DATOS!$C$1525),CROQUIS_DATOS!$C$1534,CROQUIS_DATOS!$C$1531)/2),INDEX($F$8:$F$23,MIN(INT(($A55-1)/4)+1,CROQUIS_DATOS!$C$1525))/2-0.5))))*CROQUIS_DATOS!$C$1562),-1000)</f>
        <v>84.4792560344828</v>
      </c>
      <c r="M55">
        <f>IF(AND(CROQUIS_DATOS!$C$1472=1,1),(CROQUIS_DATOS!$C$1564+(CHOOSE(MIN(MAX(IF(INT(($A55-1)/4)+1&gt;CROQUIS_DATOS!$C$1525,4,MOD($A55-1,4)+1),1),4),CROQUIS_DATOS!$C$1543,INDEX($I$8:$I$23,MIN(INT(($A55-1)/4)+1,CROQUIS_DATOS!$C$1525)),INDEX($I$8:$I$23,MIN(INT(($A55-1)/4)+1,CROQUIS_DATOS!$C$1525)),CROQUIS_DATOS!$C$1543))*CROQUIS_DATOS!$C$1561*CROQUIS_DATOS!$C$1562),-1000)</f>
        <v>42.5654629310345</v>
      </c>
      <c r="N55">
        <f>IF(AND(CROQUIS_DATOS!$C$1472=1,1),(CROQUIS_DATOS!$C$1563+(IF(IF(IF(INT(($A55-1)/70)+1&gt;CROQUIS_DATOS!$C$1525,70,MOD($A55-1,70)+1)=1,0,IF(IF(INT(($A55-1)/70)+1&gt;CROQUIS_DATOS!$C$1525,70,MOD($A55-1,70)+1)&gt;2*CROQUIS_DATOS!$C$1541+1,IF(MOD(CROQUIS_DATOS!$C$1541,2)=1,1,0),IF(MOD(MIN(INT((IF(INT(($A55-1)/70)+1&gt;CROQUIS_DATOS!$C$1525,70,MOD($A55-1,70)+1)-2)/2)+1,CROQUIS_DATOS!$C$1541),2)=1,IF(MOD(IF(INT(($A55-1)/70)+1&gt;CROQUIS_DATOS!$C$1525,70,MOD($A55-1,70)+1)-2,2)=0,0,1),IF(MOD(IF(INT(($A55-1)/70)+1&gt;CROQUIS_DATOS!$C$1525,70,MOD($A55-1,70)+1)-2,2)=0,1,0))))=0,(INDEX($E$8:$E$23,MIN(INT(($A55-1)/70)+1,CROQUIS_DATOS!$C$1525))-INDEX($F$8:$F$23,MIN(INT(($A55-1)/70)+1,CROQUIS_DATOS!$C$1525))/2),(INDEX($E$8:$E$23,MIN(INT(($A55-1)/70)+1,CROQUIS_DATOS!$C$1525))+INDEX($F$8:$F$23,MIN(INT(($A55-1)/70)+1,CROQUIS_DATOS!$C$1525))/2)))*CROQUIS_DATOS!$C$1562),-1000)</f>
        <v>15.0862068965517</v>
      </c>
      <c r="O55">
        <f>IF(AND(CROQUIS_DATOS!$C$1472=1,1),(CROQUIS_DATOS!$C$1564+(IF(OR(IF(INT(($A55-1)/70)+1&gt;CROQUIS_DATOS!$C$1525,70,MOD($A55-1,70)+1)=1,IF(INT(($A55-1)/70)+1&gt;CROQUIS_DATOS!$C$1525,70,MOD($A55-1,70)+1)&gt;2*CROQUIS_DATOS!$C$1541+1),CROQUIS_DATOS!$C$1476,INDEX($H$8:$H$41,MIN(INT((IF(INT(($A55-1)/70)+1&gt;CROQUIS_DATOS!$C$1525,70,MOD($A55-1,70)+1)-2)/2)+1,CROQUIS_DATOS!$C$1541))))*CROQUIS_DATOS!$C$1561*CROQUIS_DATOS!$C$1562),-1000)</f>
        <v>40.2068965517241</v>
      </c>
      <c r="P55">
        <f>IF(AND(CROQUIS_DATOS!$C$1472=1,CROQUIS_DATOS!$C$1555=1),(CROQUIS_DATOS!$C$1563+(IF(IF(OR(MOD($A55-1,62)+1=1,IF(CHOOSE(MIN(MAX(MIN(INT(($A55-1)/62)+1,5),1),5),CROQUIS_DATOS!$C$1501,CROQUIS_DATOS!$C$1505,CROQUIS_DATOS!$C$1509,CROQUIS_DATOS!$C$1513,CROQUIS_DATOS!$C$1517)=1,CROQUIS_DATOS!$C$1557,0)=0),0,IF(MOD($A55-1,62)+1&gt;2*IF(CHOOSE(MIN(MAX(MIN(INT(($A55-1)/62)+1,5),1),5),CROQUIS_DATOS!$C$1501,CROQUIS_DATOS!$C$1505,CROQUIS_DATOS!$C$1509,CROQUIS_DATOS!$C$1513,CROQUIS_DATOS!$C$1517)=1,CROQUIS_DATOS!$C$1557,0)+1,IF(MOD(IF(CHOOSE(MIN(MAX(MIN(INT(($A55-1)/62)+1,5),1),5),CROQUIS_DATOS!$C$1501,CROQUIS_DATOS!$C$1505,CROQUIS_DATOS!$C$1509,CROQUIS_DATOS!$C$1513,CROQUIS_DATOS!$C$1517)=1,CROQUIS_DATOS!$C$1557,0),2)=1,1,0),IF(MOD(MIN(INT((MOD($A55-1,62)+1-2)/2)+1,MAX(IF(CHOOSE(MIN(MAX(MIN(INT(($A55-1)/62)+1,5),1),5),CROQUIS_DATOS!$C$1501,CROQUIS_DATOS!$C$1505,CROQUIS_DATOS!$C$1509,CROQUIS_DATOS!$C$1513,CROQUIS_DATOS!$C$1517)=1,CROQUIS_DATOS!$C$1557,0),1)),2)=1,IF(MOD(MOD($A55-1,62)+1-2,2)=0,0,1),IF(MOD(MOD($A55-1,62)+1-2,2)=0,1,0))))=0,(CHOOSE(MIN(MAX(MIN(INT(($A55-1)/62)+1,5),1),5),CROQUIS_DATOS!$C$1499,CROQUIS_DATOS!$C$1503,CROQUIS_DATOS!$C$1507,CROQUIS_DATOS!$C$1511,CROQUIS_DATOS!$C$1515)+IF(CHOOSE(MIN(MAX(MIN(INT(($A55-1)/62)+1,5),1),5),CROQUIS_DATOS!$C$1501,CROQUIS_DATOS!$C$1505,CROQUIS_DATOS!$C$1509,CROQUIS_DATOS!$C$1513,CROQUIS_DATOS!$C$1517)=1,CROQUIS_DATOS!$C$1526,0)),(CHOOSE(MIN(MAX(MIN(INT(($A55-1)/62)+1,5),1),5),CROQUIS_DATOS!$C$1499,CROQUIS_DATOS!$C$1503,CROQUIS_DATOS!$C$1507,CROQUIS_DATOS!$C$1511,CROQUIS_DATOS!$C$1515)+CHOOSE(MIN(MAX(MIN(INT(($A55-1)/62)+1,5),1),5),CROQUIS_DATOS!$C$1500,CROQUIS_DATOS!$C$1504,CROQUIS_DATOS!$C$1508,CROQUIS_DATOS!$C$1512,CROQUIS_DATOS!$C$1516)-IF(CHOOSE(MIN(MAX(MIN(INT(($A55-1)/62)+1,5),1),5),CROQUIS_DATOS!$C$1501,CROQUIS_DATOS!$C$1505,CROQUIS_DATOS!$C$1509,CROQUIS_DATOS!$C$1513,CROQUIS_DATOS!$C$1517)=1,CROQUIS_DATOS!$C$1526,0))))*CROQUIS_DATOS!$C$1562),-1000)</f>
        <v>-1000</v>
      </c>
      <c r="Q55">
        <f>IF(AND(CROQUIS_DATOS!$C$1472=1,CROQUIS_DATOS!$C$1555=1),(CROQUIS_DATOS!$C$1564+(IF(OR(OR(MOD($A55-1,62)+1=1,IF(CHOOSE(MIN(MAX(MIN(INT(($A55-1)/62)+1,5),1),5),CROQUIS_DATOS!$C$1501,CROQUIS_DATOS!$C$1505,CROQUIS_DATOS!$C$1509,CROQUIS_DATOS!$C$1513,CROQUIS_DATOS!$C$1517)=1,CROQUIS_DATOS!$C$1557,0)=0),MOD($A55-1,62)+1&gt;2*IF(CHOOSE(MIN(MAX(MIN(INT(($A55-1)/62)+1,5),1),5),CROQUIS_DATOS!$C$1501,CROQUIS_DATOS!$C$1505,CROQUIS_DATOS!$C$1509,CROQUIS_DATOS!$C$1513,CROQUIS_DATOS!$C$1517)=1,CROQUIS_DATOS!$C$1557,0)+1),CROQUIS_DATOS!$C$1476,MIN(INT((MOD($A55-1,62)+1-2)/2)+1,MAX(IF(CHOOSE(MIN(MAX(MIN(INT(($A55-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5">
        <f>IF(AND(CROQUIS_DATOS!$C$1472=1,1),(CROQUIS_DATOS!$C$1563+(MIN(INT(($A55-1)/2)+1,CROQUIS_DATOS!$C$1558)*CROQUIS_DATOS!$C$1559)*CROQUIS_DATOS!$C$1562),-1000)</f>
        <v>79.5424403183024</v>
      </c>
      <c r="U55">
        <f>IF(AND(CROQUIS_DATOS!$C$1472=1,1),(CROQUIS_DATOS!$C$1564+(IF(INT(($A55-1)/2)+1&gt;CROQUIS_DATOS!$C$1558,IF(MOD(CROQUIS_DATOS!$C$1558,2)=1,CROQUIS_DATOS!$C$1476+CROQUIS_DATOS!$C$1528,CROQUIS_DATOS!$C$1476),IF(IF(MOD(MIN(INT(($A55-1)/2)+1,CROQUIS_DATOS!$C$1558),2)=1,MOD($A55-1,2),1-MOD($A55-1,2))=1,CROQUIS_DATOS!$C$1476+CROQUIS_DATOS!$C$1528,CROQUIS_DATOS!$C$1476)))*CROQUIS_DATOS!$C$1561*CROQUIS_DATOS!$C$1562),-1000)</f>
        <v>40.2068965517241</v>
      </c>
      <c r="BZ55">
        <f>IF(AND(CROQUIS_DATOS!$C$1472=1,CROQUIS_DATOS!$C$1500&gt;0,((CROQUIS_DATOS!$C$1499+CROQUIS_DATOS!$C$1500))-(CROQUIS_DATOS!$C$1499)&gt;0.5,(CROQUIS_DATOS!$C$1476)-(0)&gt;0.5),(CROQUIS_DATOS!$C$1566+(IF(IF(MOD(MIN(INT(($A55-1)/2)+1,MAX(1,INT(((((CROQUIS_DATOS!$C$1499+CROQUIS_DATOS!$C$1500))-(CROQUIS_DATOS!$C$1499))+((CROQUIS_DATOS!$C$1476)*CROQUIS_DATOS!$C$1561-(0)*CROQUIS_DATOS!$C$1561))/CROQUIS_DATOS!$C$1568-0.000001))),2)=1,IF(INT(($A55-1)/2)+1&gt;MAX(1,INT(((((CROQUIS_DATOS!$C$1499+CROQUIS_DATOS!$C$1500))-(CROQUIS_DATOS!$C$1499))+((CROQUIS_DATOS!$C$1476)*CROQUIS_DATOS!$C$1561-(0)*CROQUIS_DATOS!$C$1561))/CROQUIS_DATOS!$C$1568-0.000001)),1,MOD($A55-1,2)),1-IF(INT(($A55-1)/2)+1&gt;MAX(1,INT(((((CROQUIS_DATOS!$C$1499+CROQUIS_DATOS!$C$1500))-(CROQUIS_DATOS!$C$1499))+((CROQUIS_DATOS!$C$1476)*CROQUIS_DATOS!$C$1561-(0)*CROQUIS_DATOS!$C$1561))/CROQUIS_DATOS!$C$1568-0.000001)),1,MOD($A55-1,2)))=1,MIN((CROQUIS_DATOS!$C$1476)*CROQUIS_DATOS!$C$1561,((CROQUIS_DATOS!$C$1499+CROQUIS_DATOS!$C$1500)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5">
        <f>IF(AND(CROQUIS_DATOS!$C$1472=1,CROQUIS_DATOS!$C$1500&gt;0,((CROQUIS_DATOS!$C$1499+CROQUIS_DATOS!$C$1500))-(CROQUIS_DATOS!$C$1499)&gt;0.5,(CROQUIS_DATOS!$C$1476)-(0)&gt;0.5),(CROQUIS_DATOS!$C$1567+(IF(IF(MOD(MIN(INT(($A55-1)/2)+1,MAX(1,INT(((((CROQUIS_DATOS!$C$1499+CROQUIS_DATOS!$C$1500))-(CROQUIS_DATOS!$C$1499))+((CROQUIS_DATOS!$C$1476)*CROQUIS_DATOS!$C$1561-(0)*CROQUIS_DATOS!$C$1561))/CROQUIS_DATOS!$C$1568-0.000001))),2)=1,IF(INT(($A55-1)/2)+1&gt;MAX(1,INT(((((CROQUIS_DATOS!$C$1499+CROQUIS_DATOS!$C$1500))-(CROQUIS_DATOS!$C$1499))+((CROQUIS_DATOS!$C$1476)*CROQUIS_DATOS!$C$1561-(0)*CROQUIS_DATOS!$C$1561))/CROQUIS_DATOS!$C$1568-0.000001)),1,MOD($A55-1,2)),1-IF(INT(($A55-1)/2)+1&gt;MAX(1,INT(((((CROQUIS_DATOS!$C$1499+CROQUIS_DATOS!$C$1500))-(CROQUIS_DATOS!$C$1499))+((CROQUIS_DATOS!$C$1476)*CROQUIS_DATOS!$C$1561-(0)*CROQUIS_DATOS!$C$1561))/CROQUIS_DATOS!$C$1568-0.000001)),1,MOD($A55-1,2)))=1,MIN((CROQUIS_DATOS!$C$1476)*CROQUIS_DATOS!$C$1561,((CROQUIS_DATOS!$C$1499+CROQUIS_DATOS!$C$1500)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5">
        <f>IF(AND(CROQUIS_DATOS!$C$1472=1,CROQUIS_DATOS!$C$1504&gt;0,((CROQUIS_DATOS!$C$1503+CROQUIS_DATOS!$C$1504))-(CROQUIS_DATOS!$C$1503)&gt;0.5,(CROQUIS_DATOS!$C$1476)-(0)&gt;0.5),(CROQUIS_DATOS!$C$1566+(IF(IF(MOD(MIN(INT(($A55-1)/2)+1,MAX(1,INT(((((CROQUIS_DATOS!$C$1503+CROQUIS_DATOS!$C$1504))-(CROQUIS_DATOS!$C$1503))+((CROQUIS_DATOS!$C$1476)*CROQUIS_DATOS!$C$1561-(0)*CROQUIS_DATOS!$C$1561))/CROQUIS_DATOS!$C$1568-0.000001))),2)=1,IF(INT(($A55-1)/2)+1&gt;MAX(1,INT(((((CROQUIS_DATOS!$C$1503+CROQUIS_DATOS!$C$1504))-(CROQUIS_DATOS!$C$1503))+((CROQUIS_DATOS!$C$1476)*CROQUIS_DATOS!$C$1561-(0)*CROQUIS_DATOS!$C$1561))/CROQUIS_DATOS!$C$1568-0.000001)),1,MOD($A55-1,2)),1-IF(INT(($A55-1)/2)+1&gt;MAX(1,INT(((((CROQUIS_DATOS!$C$1503+CROQUIS_DATOS!$C$1504))-(CROQUIS_DATOS!$C$1503))+((CROQUIS_DATOS!$C$1476)*CROQUIS_DATOS!$C$1561-(0)*CROQUIS_DATOS!$C$1561))/CROQUIS_DATOS!$C$1568-0.000001)),1,MOD($A55-1,2)))=1,MIN((CROQUIS_DATOS!$C$1476)*CROQUIS_DATOS!$C$1561,((CROQUIS_DATOS!$C$1503+CROQUIS_DATOS!$C$1504)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5">
        <f>IF(AND(CROQUIS_DATOS!$C$1472=1,CROQUIS_DATOS!$C$1504&gt;0,((CROQUIS_DATOS!$C$1503+CROQUIS_DATOS!$C$1504))-(CROQUIS_DATOS!$C$1503)&gt;0.5,(CROQUIS_DATOS!$C$1476)-(0)&gt;0.5),(CROQUIS_DATOS!$C$1567+(IF(IF(MOD(MIN(INT(($A55-1)/2)+1,MAX(1,INT(((((CROQUIS_DATOS!$C$1503+CROQUIS_DATOS!$C$1504))-(CROQUIS_DATOS!$C$1503))+((CROQUIS_DATOS!$C$1476)*CROQUIS_DATOS!$C$1561-(0)*CROQUIS_DATOS!$C$1561))/CROQUIS_DATOS!$C$1568-0.000001))),2)=1,IF(INT(($A55-1)/2)+1&gt;MAX(1,INT(((((CROQUIS_DATOS!$C$1503+CROQUIS_DATOS!$C$1504))-(CROQUIS_DATOS!$C$1503))+((CROQUIS_DATOS!$C$1476)*CROQUIS_DATOS!$C$1561-(0)*CROQUIS_DATOS!$C$1561))/CROQUIS_DATOS!$C$1568-0.000001)),1,MOD($A55-1,2)),1-IF(INT(($A55-1)/2)+1&gt;MAX(1,INT(((((CROQUIS_DATOS!$C$1503+CROQUIS_DATOS!$C$1504))-(CROQUIS_DATOS!$C$1503))+((CROQUIS_DATOS!$C$1476)*CROQUIS_DATOS!$C$1561-(0)*CROQUIS_DATOS!$C$1561))/CROQUIS_DATOS!$C$1568-0.000001)),1,MOD($A55-1,2)))=1,MIN((CROQUIS_DATOS!$C$1476)*CROQUIS_DATOS!$C$1561,((CROQUIS_DATOS!$C$1503+CROQUIS_DATOS!$C$1504)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55">
        <f>IF(AND(CROQUIS_DATOS!$C$1472=1,CROQUIS_DATOS!$C$1508&gt;0,((CROQUIS_DATOS!$C$1507+CROQUIS_DATOS!$C$1508))-(CROQUIS_DATOS!$C$1507)&gt;0.5,(CROQUIS_DATOS!$C$1476)-(0)&gt;0.5),(CROQUIS_DATOS!$C$1566+(IF(IF(MOD(MIN(INT(($A55-1)/2)+1,MAX(1,INT(((((CROQUIS_DATOS!$C$1507+CROQUIS_DATOS!$C$1508))-(CROQUIS_DATOS!$C$1507))+((CROQUIS_DATOS!$C$1476)*CROQUIS_DATOS!$C$1561-(0)*CROQUIS_DATOS!$C$1561))/CROQUIS_DATOS!$C$1568-0.000001))),2)=1,IF(INT(($A55-1)/2)+1&gt;MAX(1,INT(((((CROQUIS_DATOS!$C$1507+CROQUIS_DATOS!$C$1508))-(CROQUIS_DATOS!$C$1507))+((CROQUIS_DATOS!$C$1476)*CROQUIS_DATOS!$C$1561-(0)*CROQUIS_DATOS!$C$1561))/CROQUIS_DATOS!$C$1568-0.000001)),1,MOD($A55-1,2)),1-IF(INT(($A55-1)/2)+1&gt;MAX(1,INT(((((CROQUIS_DATOS!$C$1507+CROQUIS_DATOS!$C$1508))-(CROQUIS_DATOS!$C$1507))+((CROQUIS_DATOS!$C$1476)*CROQUIS_DATOS!$C$1561-(0)*CROQUIS_DATOS!$C$1561))/CROQUIS_DATOS!$C$1568-0.000001)),1,MOD($A55-1,2)))=1,MIN((CROQUIS_DATOS!$C$1476)*CROQUIS_DATOS!$C$1561,((CROQUIS_DATOS!$C$1507+CROQUIS_DATOS!$C$1508)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55">
        <f>IF(AND(CROQUIS_DATOS!$C$1472=1,CROQUIS_DATOS!$C$1508&gt;0,((CROQUIS_DATOS!$C$1507+CROQUIS_DATOS!$C$1508))-(CROQUIS_DATOS!$C$1507)&gt;0.5,(CROQUIS_DATOS!$C$1476)-(0)&gt;0.5),(CROQUIS_DATOS!$C$1567+(IF(IF(MOD(MIN(INT(($A55-1)/2)+1,MAX(1,INT(((((CROQUIS_DATOS!$C$1507+CROQUIS_DATOS!$C$1508))-(CROQUIS_DATOS!$C$1507))+((CROQUIS_DATOS!$C$1476)*CROQUIS_DATOS!$C$1561-(0)*CROQUIS_DATOS!$C$1561))/CROQUIS_DATOS!$C$1568-0.000001))),2)=1,IF(INT(($A55-1)/2)+1&gt;MAX(1,INT(((((CROQUIS_DATOS!$C$1507+CROQUIS_DATOS!$C$1508))-(CROQUIS_DATOS!$C$1507))+((CROQUIS_DATOS!$C$1476)*CROQUIS_DATOS!$C$1561-(0)*CROQUIS_DATOS!$C$1561))/CROQUIS_DATOS!$C$1568-0.000001)),1,MOD($A55-1,2)),1-IF(INT(($A55-1)/2)+1&gt;MAX(1,INT(((((CROQUIS_DATOS!$C$1507+CROQUIS_DATOS!$C$1508))-(CROQUIS_DATOS!$C$1507))+((CROQUIS_DATOS!$C$1476)*CROQUIS_DATOS!$C$1561-(0)*CROQUIS_DATOS!$C$1561))/CROQUIS_DATOS!$C$1568-0.000001)),1,MOD($A55-1,2)))=1,MIN((CROQUIS_DATOS!$C$1476)*CROQUIS_DATOS!$C$1561,((CROQUIS_DATOS!$C$1507+CROQUIS_DATOS!$C$1508)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55">
        <f>IF(AND(CROQUIS_DATOS!$C$1472=1,CROQUIS_DATOS!$C$1512&gt;0,((CROQUIS_DATOS!$C$1511+CROQUIS_DATOS!$C$1512))-(CROQUIS_DATOS!$C$1511)&gt;0.5,(CROQUIS_DATOS!$C$1476)-(0)&gt;0.5),(CROQUIS_DATOS!$C$1566+(IF(IF(MOD(MIN(INT(($A55-1)/2)+1,MAX(1,INT(((((CROQUIS_DATOS!$C$1511+CROQUIS_DATOS!$C$1512))-(CROQUIS_DATOS!$C$1511))+((CROQUIS_DATOS!$C$1476)*CROQUIS_DATOS!$C$1561-(0)*CROQUIS_DATOS!$C$1561))/CROQUIS_DATOS!$C$1568-0.000001))),2)=1,IF(INT(($A55-1)/2)+1&gt;MAX(1,INT(((((CROQUIS_DATOS!$C$1511+CROQUIS_DATOS!$C$1512))-(CROQUIS_DATOS!$C$1511))+((CROQUIS_DATOS!$C$1476)*CROQUIS_DATOS!$C$1561-(0)*CROQUIS_DATOS!$C$1561))/CROQUIS_DATOS!$C$1568-0.000001)),1,MOD($A55-1,2)),1-IF(INT(($A55-1)/2)+1&gt;MAX(1,INT(((((CROQUIS_DATOS!$C$1511+CROQUIS_DATOS!$C$1512))-(CROQUIS_DATOS!$C$1511))+((CROQUIS_DATOS!$C$1476)*CROQUIS_DATOS!$C$1561-(0)*CROQUIS_DATOS!$C$1561))/CROQUIS_DATOS!$C$1568-0.000001)),1,MOD($A55-1,2)))=1,MIN((CROQUIS_DATOS!$C$1476)*CROQUIS_DATOS!$C$1561,((CROQUIS_DATOS!$C$1511+CROQUIS_DATOS!$C$1512)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5">
        <f>IF(AND(CROQUIS_DATOS!$C$1472=1,CROQUIS_DATOS!$C$1512&gt;0,((CROQUIS_DATOS!$C$1511+CROQUIS_DATOS!$C$1512))-(CROQUIS_DATOS!$C$1511)&gt;0.5,(CROQUIS_DATOS!$C$1476)-(0)&gt;0.5),(CROQUIS_DATOS!$C$1567+(IF(IF(MOD(MIN(INT(($A55-1)/2)+1,MAX(1,INT(((((CROQUIS_DATOS!$C$1511+CROQUIS_DATOS!$C$1512))-(CROQUIS_DATOS!$C$1511))+((CROQUIS_DATOS!$C$1476)*CROQUIS_DATOS!$C$1561-(0)*CROQUIS_DATOS!$C$1561))/CROQUIS_DATOS!$C$1568-0.000001))),2)=1,IF(INT(($A55-1)/2)+1&gt;MAX(1,INT(((((CROQUIS_DATOS!$C$1511+CROQUIS_DATOS!$C$1512))-(CROQUIS_DATOS!$C$1511))+((CROQUIS_DATOS!$C$1476)*CROQUIS_DATOS!$C$1561-(0)*CROQUIS_DATOS!$C$1561))/CROQUIS_DATOS!$C$1568-0.000001)),1,MOD($A55-1,2)),1-IF(INT(($A55-1)/2)+1&gt;MAX(1,INT(((((CROQUIS_DATOS!$C$1511+CROQUIS_DATOS!$C$1512))-(CROQUIS_DATOS!$C$1511))+((CROQUIS_DATOS!$C$1476)*CROQUIS_DATOS!$C$1561-(0)*CROQUIS_DATOS!$C$1561))/CROQUIS_DATOS!$C$1568-0.000001)),1,MOD($A55-1,2)))=1,MIN((CROQUIS_DATOS!$C$1476)*CROQUIS_DATOS!$C$1561,((CROQUIS_DATOS!$C$1511+CROQUIS_DATOS!$C$1512)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5">
        <f>IF(AND(CROQUIS_DATOS!$C$1472=1,CROQUIS_DATOS!$C$1516&gt;0,((CROQUIS_DATOS!$C$1515+CROQUIS_DATOS!$C$1516))-(CROQUIS_DATOS!$C$1515)&gt;0.5,(CROQUIS_DATOS!$C$1476)-(0)&gt;0.5),(CROQUIS_DATOS!$C$1566+(IF(IF(MOD(MIN(INT(($A55-1)/2)+1,MAX(1,INT(((((CROQUIS_DATOS!$C$1515+CROQUIS_DATOS!$C$1516))-(CROQUIS_DATOS!$C$1515))+((CROQUIS_DATOS!$C$1476)*CROQUIS_DATOS!$C$1561-(0)*CROQUIS_DATOS!$C$1561))/CROQUIS_DATOS!$C$1568-0.000001))),2)=1,IF(INT(($A55-1)/2)+1&gt;MAX(1,INT(((((CROQUIS_DATOS!$C$1515+CROQUIS_DATOS!$C$1516))-(CROQUIS_DATOS!$C$1515))+((CROQUIS_DATOS!$C$1476)*CROQUIS_DATOS!$C$1561-(0)*CROQUIS_DATOS!$C$1561))/CROQUIS_DATOS!$C$1568-0.000001)),1,MOD($A55-1,2)),1-IF(INT(($A55-1)/2)+1&gt;MAX(1,INT(((((CROQUIS_DATOS!$C$1515+CROQUIS_DATOS!$C$1516))-(CROQUIS_DATOS!$C$1515))+((CROQUIS_DATOS!$C$1476)*CROQUIS_DATOS!$C$1561-(0)*CROQUIS_DATOS!$C$1561))/CROQUIS_DATOS!$C$1568-0.000001)),1,MOD($A55-1,2)))=1,MIN((CROQUIS_DATOS!$C$1476)*CROQUIS_DATOS!$C$1561,((CROQUIS_DATOS!$C$1515+CROQUIS_DATOS!$C$1516)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5">
        <f>IF(AND(CROQUIS_DATOS!$C$1472=1,CROQUIS_DATOS!$C$1516&gt;0,((CROQUIS_DATOS!$C$1515+CROQUIS_DATOS!$C$1516))-(CROQUIS_DATOS!$C$1515)&gt;0.5,(CROQUIS_DATOS!$C$1476)-(0)&gt;0.5),(CROQUIS_DATOS!$C$1567+(IF(IF(MOD(MIN(INT(($A55-1)/2)+1,MAX(1,INT(((((CROQUIS_DATOS!$C$1515+CROQUIS_DATOS!$C$1516))-(CROQUIS_DATOS!$C$1515))+((CROQUIS_DATOS!$C$1476)*CROQUIS_DATOS!$C$1561-(0)*CROQUIS_DATOS!$C$1561))/CROQUIS_DATOS!$C$1568-0.000001))),2)=1,IF(INT(($A55-1)/2)+1&gt;MAX(1,INT(((((CROQUIS_DATOS!$C$1515+CROQUIS_DATOS!$C$1516))-(CROQUIS_DATOS!$C$1515))+((CROQUIS_DATOS!$C$1476)*CROQUIS_DATOS!$C$1561-(0)*CROQUIS_DATOS!$C$1561))/CROQUIS_DATOS!$C$1568-0.000001)),1,MOD($A55-1,2)),1-IF(INT(($A55-1)/2)+1&gt;MAX(1,INT(((((CROQUIS_DATOS!$C$1515+CROQUIS_DATOS!$C$1516))-(CROQUIS_DATOS!$C$1515))+((CROQUIS_DATOS!$C$1476)*CROQUIS_DATOS!$C$1561-(0)*CROQUIS_DATOS!$C$1561))/CROQUIS_DATOS!$C$1568-0.000001)),1,MOD($A55-1,2)))=1,MIN((CROQUIS_DATOS!$C$1476)*CROQUIS_DATOS!$C$1561,((CROQUIS_DATOS!$C$1515+CROQUIS_DATOS!$C$1516)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5">
        <f>IF(AND(CROQUIS_DATOS!$C$1472=1,CROQUIS_DATOS!$C$1478&gt;=1,((CROQUIS_DATOS!$C$1479+CROQUIS_DATOS!$C$1480))-(CROQUIS_DATOS!$C$1479)&gt;0.5,(CROQUIS_DATOS!$C$1481)-(0)&gt;0.5),(CROQUIS_DATOS!$C$1566+(IF(IF(MOD(MIN(INT(($A55-1)/2)+1,MAX(1,INT(((((CROQUIS_DATOS!$C$1479+CROQUIS_DATOS!$C$1480))-(CROQUIS_DATOS!$C$1479))+((CROQUIS_DATOS!$C$1481)*CROQUIS_DATOS!$C$1561-(0)*CROQUIS_DATOS!$C$1561))/CROQUIS_DATOS!$C$1568-0.000001))),2)=1,IF(INT(($A55-1)/2)+1&gt;MAX(1,INT(((((CROQUIS_DATOS!$C$1479+CROQUIS_DATOS!$C$1480))-(CROQUIS_DATOS!$C$1479))+((CROQUIS_DATOS!$C$1481)*CROQUIS_DATOS!$C$1561-(0)*CROQUIS_DATOS!$C$1561))/CROQUIS_DATOS!$C$1568-0.000001)),1,MOD($A55-1,2)),1-IF(INT(($A55-1)/2)+1&gt;MAX(1,INT(((((CROQUIS_DATOS!$C$1479+CROQUIS_DATOS!$C$1480))-(CROQUIS_DATOS!$C$1479))+((CROQUIS_DATOS!$C$1481)*CROQUIS_DATOS!$C$1561-(0)*CROQUIS_DATOS!$C$1561))/CROQUIS_DATOS!$C$1568-0.000001)),1,MOD($A55-1,2)))=1,MIN((CROQUIS_DATOS!$C$1481)*CROQUIS_DATOS!$C$1561,((CROQUIS_DATOS!$C$1479+CROQUIS_DATOS!$C$1480)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5">
        <f>IF(AND(CROQUIS_DATOS!$C$1472=1,CROQUIS_DATOS!$C$1478&gt;=1,((CROQUIS_DATOS!$C$1479+CROQUIS_DATOS!$C$1480))-(CROQUIS_DATOS!$C$1479)&gt;0.5,(CROQUIS_DATOS!$C$1481)-(0)&gt;0.5),(CROQUIS_DATOS!$C$1567+(IF(IF(MOD(MIN(INT(($A55-1)/2)+1,MAX(1,INT(((((CROQUIS_DATOS!$C$1479+CROQUIS_DATOS!$C$1480))-(CROQUIS_DATOS!$C$1479))+((CROQUIS_DATOS!$C$1481)*CROQUIS_DATOS!$C$1561-(0)*CROQUIS_DATOS!$C$1561))/CROQUIS_DATOS!$C$1568-0.000001))),2)=1,IF(INT(($A55-1)/2)+1&gt;MAX(1,INT(((((CROQUIS_DATOS!$C$1479+CROQUIS_DATOS!$C$1480))-(CROQUIS_DATOS!$C$1479))+((CROQUIS_DATOS!$C$1481)*CROQUIS_DATOS!$C$1561-(0)*CROQUIS_DATOS!$C$1561))/CROQUIS_DATOS!$C$1568-0.000001)),1,MOD($A55-1,2)),1-IF(INT(($A55-1)/2)+1&gt;MAX(1,INT(((((CROQUIS_DATOS!$C$1479+CROQUIS_DATOS!$C$1480))-(CROQUIS_DATOS!$C$1479))+((CROQUIS_DATOS!$C$1481)*CROQUIS_DATOS!$C$1561-(0)*CROQUIS_DATOS!$C$1561))/CROQUIS_DATOS!$C$1568-0.000001)),1,MOD($A55-1,2)))=1,MIN((CROQUIS_DATOS!$C$1481)*CROQUIS_DATOS!$C$1561,((CROQUIS_DATOS!$C$1479+CROQUIS_DATOS!$C$1480)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5">
        <f>IF(AND(CROQUIS_DATOS!$C$1472=1,CROQUIS_DATOS!$C$1478&gt;=1,((CROQUIS_DATOS!$C$1479+CROQUIS_DATOS!$C$1480))-(CROQUIS_DATOS!$C$1479)&gt;0.5,(CROQUIS_DATOS!$C$1476)-((CROQUIS_DATOS!$C$1481+CROQUIS_DATOS!$C$1482))&gt;0.5),(CROQUIS_DATOS!$C$1566+(IF(IF(MOD(MIN(INT(($A55-1)/2)+1,MAX(1,INT(((((CROQUIS_DATOS!$C$1479+CROQUIS_DATOS!$C$1480))-(CROQUIS_DATOS!$C$1479))+((CROQUIS_DATOS!$C$1476)*CROQUIS_DATOS!$C$1561-((CROQUIS_DATOS!$C$1481+CROQUIS_DATOS!$C$1482))*CROQUIS_DATOS!$C$1561))/CROQUIS_DATOS!$C$1568-0.000001))),2)=1,IF(INT(($A55-1)/2)+1&gt;MAX(1,INT(((((CROQUIS_DATOS!$C$1479+CROQUIS_DATOS!$C$1480))-(CROQUIS_DATOS!$C$1479))+((CROQUIS_DATOS!$C$1476)*CROQUIS_DATOS!$C$1561-((CROQUIS_DATOS!$C$1481+CROQUIS_DATOS!$C$1482))*CROQUIS_DATOS!$C$1561))/CROQUIS_DATOS!$C$1568-0.000001)),1,MOD($A55-1,2)),1-IF(INT(($A55-1)/2)+1&gt;MAX(1,INT(((((CROQUIS_DATOS!$C$1479+CROQUIS_DATOS!$C$1480))-(CROQUIS_DATOS!$C$1479))+((CROQUIS_DATOS!$C$1476)*CROQUIS_DATOS!$C$1561-((CROQUIS_DATOS!$C$1481+CROQUIS_DATOS!$C$1482))*CROQUIS_DATOS!$C$1561))/CROQUIS_DATOS!$C$1568-0.000001)),1,MOD($A55-1,2)))=1,MIN((CROQUIS_DATOS!$C$1476)*CROQUIS_DATOS!$C$1561,((CROQUIS_DATOS!$C$1479+CROQUIS_DATOS!$C$1480)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5">
        <f>IF(AND(CROQUIS_DATOS!$C$1472=1,CROQUIS_DATOS!$C$1478&gt;=1,((CROQUIS_DATOS!$C$1479+CROQUIS_DATOS!$C$1480))-(CROQUIS_DATOS!$C$1479)&gt;0.5,(CROQUIS_DATOS!$C$1476)-((CROQUIS_DATOS!$C$1481+CROQUIS_DATOS!$C$1482))&gt;0.5),(CROQUIS_DATOS!$C$1567+(IF(IF(MOD(MIN(INT(($A55-1)/2)+1,MAX(1,INT(((((CROQUIS_DATOS!$C$1479+CROQUIS_DATOS!$C$1480))-(CROQUIS_DATOS!$C$1479))+((CROQUIS_DATOS!$C$1476)*CROQUIS_DATOS!$C$1561-((CROQUIS_DATOS!$C$1481+CROQUIS_DATOS!$C$1482))*CROQUIS_DATOS!$C$1561))/CROQUIS_DATOS!$C$1568-0.000001))),2)=1,IF(INT(($A55-1)/2)+1&gt;MAX(1,INT(((((CROQUIS_DATOS!$C$1479+CROQUIS_DATOS!$C$1480))-(CROQUIS_DATOS!$C$1479))+((CROQUIS_DATOS!$C$1476)*CROQUIS_DATOS!$C$1561-((CROQUIS_DATOS!$C$1481+CROQUIS_DATOS!$C$1482))*CROQUIS_DATOS!$C$1561))/CROQUIS_DATOS!$C$1568-0.000001)),1,MOD($A55-1,2)),1-IF(INT(($A55-1)/2)+1&gt;MAX(1,INT(((((CROQUIS_DATOS!$C$1479+CROQUIS_DATOS!$C$1480))-(CROQUIS_DATOS!$C$1479))+((CROQUIS_DATOS!$C$1476)*CROQUIS_DATOS!$C$1561-((CROQUIS_DATOS!$C$1481+CROQUIS_DATOS!$C$1482))*CROQUIS_DATOS!$C$1561))/CROQUIS_DATOS!$C$1568-0.000001)),1,MOD($A55-1,2)))=1,MIN((CROQUIS_DATOS!$C$1476)*CROQUIS_DATOS!$C$1561,((CROQUIS_DATOS!$C$1479+CROQUIS_DATOS!$C$1480)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5">
        <f>IF(AND(CROQUIS_DATOS!$C$1472=1,CROQUIS_DATOS!$C$1478&gt;=2,((CROQUIS_DATOS!$C$1484+CROQUIS_DATOS!$C$1485))-(CROQUIS_DATOS!$C$1484)&gt;0.5,(CROQUIS_DATOS!$C$1486)-(0)&gt;0.5),(CROQUIS_DATOS!$C$1566+(IF(IF(MOD(MIN(INT(($A55-1)/2)+1,MAX(1,INT(((((CROQUIS_DATOS!$C$1484+CROQUIS_DATOS!$C$1485))-(CROQUIS_DATOS!$C$1484))+((CROQUIS_DATOS!$C$1486)*CROQUIS_DATOS!$C$1561-(0)*CROQUIS_DATOS!$C$1561))/CROQUIS_DATOS!$C$1568-0.000001))),2)=1,IF(INT(($A55-1)/2)+1&gt;MAX(1,INT(((((CROQUIS_DATOS!$C$1484+CROQUIS_DATOS!$C$1485))-(CROQUIS_DATOS!$C$1484))+((CROQUIS_DATOS!$C$1486)*CROQUIS_DATOS!$C$1561-(0)*CROQUIS_DATOS!$C$1561))/CROQUIS_DATOS!$C$1568-0.000001)),1,MOD($A55-1,2)),1-IF(INT(($A55-1)/2)+1&gt;MAX(1,INT(((((CROQUIS_DATOS!$C$1484+CROQUIS_DATOS!$C$1485))-(CROQUIS_DATOS!$C$1484))+((CROQUIS_DATOS!$C$1486)*CROQUIS_DATOS!$C$1561-(0)*CROQUIS_DATOS!$C$1561))/CROQUIS_DATOS!$C$1568-0.000001)),1,MOD($A55-1,2)))=1,MIN((CROQUIS_DATOS!$C$1486)*CROQUIS_DATOS!$C$1561,((CROQUIS_DATOS!$C$1484+CROQUIS_DATOS!$C$1485)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5">
        <f>IF(AND(CROQUIS_DATOS!$C$1472=1,CROQUIS_DATOS!$C$1478&gt;=2,((CROQUIS_DATOS!$C$1484+CROQUIS_DATOS!$C$1485))-(CROQUIS_DATOS!$C$1484)&gt;0.5,(CROQUIS_DATOS!$C$1486)-(0)&gt;0.5),(CROQUIS_DATOS!$C$1567+(IF(IF(MOD(MIN(INT(($A55-1)/2)+1,MAX(1,INT(((((CROQUIS_DATOS!$C$1484+CROQUIS_DATOS!$C$1485))-(CROQUIS_DATOS!$C$1484))+((CROQUIS_DATOS!$C$1486)*CROQUIS_DATOS!$C$1561-(0)*CROQUIS_DATOS!$C$1561))/CROQUIS_DATOS!$C$1568-0.000001))),2)=1,IF(INT(($A55-1)/2)+1&gt;MAX(1,INT(((((CROQUIS_DATOS!$C$1484+CROQUIS_DATOS!$C$1485))-(CROQUIS_DATOS!$C$1484))+((CROQUIS_DATOS!$C$1486)*CROQUIS_DATOS!$C$1561-(0)*CROQUIS_DATOS!$C$1561))/CROQUIS_DATOS!$C$1568-0.000001)),1,MOD($A55-1,2)),1-IF(INT(($A55-1)/2)+1&gt;MAX(1,INT(((((CROQUIS_DATOS!$C$1484+CROQUIS_DATOS!$C$1485))-(CROQUIS_DATOS!$C$1484))+((CROQUIS_DATOS!$C$1486)*CROQUIS_DATOS!$C$1561-(0)*CROQUIS_DATOS!$C$1561))/CROQUIS_DATOS!$C$1568-0.000001)),1,MOD($A55-1,2)))=1,MIN((CROQUIS_DATOS!$C$1486)*CROQUIS_DATOS!$C$1561,((CROQUIS_DATOS!$C$1484+CROQUIS_DATOS!$C$1485)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5">
        <f>IF(AND(CROQUIS_DATOS!$C$1472=1,CROQUIS_DATOS!$C$1478&gt;=2,((CROQUIS_DATOS!$C$1484+CROQUIS_DATOS!$C$1485))-(CROQUIS_DATOS!$C$1484)&gt;0.5,(CROQUIS_DATOS!$C$1476)-((CROQUIS_DATOS!$C$1486+CROQUIS_DATOS!$C$1487))&gt;0.5),(CROQUIS_DATOS!$C$1566+(IF(IF(MOD(MIN(INT(($A55-1)/2)+1,MAX(1,INT(((((CROQUIS_DATOS!$C$1484+CROQUIS_DATOS!$C$1485))-(CROQUIS_DATOS!$C$1484))+((CROQUIS_DATOS!$C$1476)*CROQUIS_DATOS!$C$1561-((CROQUIS_DATOS!$C$1486+CROQUIS_DATOS!$C$1487))*CROQUIS_DATOS!$C$1561))/CROQUIS_DATOS!$C$1568-0.000001))),2)=1,IF(INT(($A55-1)/2)+1&gt;MAX(1,INT(((((CROQUIS_DATOS!$C$1484+CROQUIS_DATOS!$C$1485))-(CROQUIS_DATOS!$C$1484))+((CROQUIS_DATOS!$C$1476)*CROQUIS_DATOS!$C$1561-((CROQUIS_DATOS!$C$1486+CROQUIS_DATOS!$C$1487))*CROQUIS_DATOS!$C$1561))/CROQUIS_DATOS!$C$1568-0.000001)),1,MOD($A55-1,2)),1-IF(INT(($A55-1)/2)+1&gt;MAX(1,INT(((((CROQUIS_DATOS!$C$1484+CROQUIS_DATOS!$C$1485))-(CROQUIS_DATOS!$C$1484))+((CROQUIS_DATOS!$C$1476)*CROQUIS_DATOS!$C$1561-((CROQUIS_DATOS!$C$1486+CROQUIS_DATOS!$C$1487))*CROQUIS_DATOS!$C$1561))/CROQUIS_DATOS!$C$1568-0.000001)),1,MOD($A55-1,2)))=1,MIN((CROQUIS_DATOS!$C$1476)*CROQUIS_DATOS!$C$1561,((CROQUIS_DATOS!$C$1484+CROQUIS_DATOS!$C$1485)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5">
        <f>IF(AND(CROQUIS_DATOS!$C$1472=1,CROQUIS_DATOS!$C$1478&gt;=2,((CROQUIS_DATOS!$C$1484+CROQUIS_DATOS!$C$1485))-(CROQUIS_DATOS!$C$1484)&gt;0.5,(CROQUIS_DATOS!$C$1476)-((CROQUIS_DATOS!$C$1486+CROQUIS_DATOS!$C$1487))&gt;0.5),(CROQUIS_DATOS!$C$1567+(IF(IF(MOD(MIN(INT(($A55-1)/2)+1,MAX(1,INT(((((CROQUIS_DATOS!$C$1484+CROQUIS_DATOS!$C$1485))-(CROQUIS_DATOS!$C$1484))+((CROQUIS_DATOS!$C$1476)*CROQUIS_DATOS!$C$1561-((CROQUIS_DATOS!$C$1486+CROQUIS_DATOS!$C$1487))*CROQUIS_DATOS!$C$1561))/CROQUIS_DATOS!$C$1568-0.000001))),2)=1,IF(INT(($A55-1)/2)+1&gt;MAX(1,INT(((((CROQUIS_DATOS!$C$1484+CROQUIS_DATOS!$C$1485))-(CROQUIS_DATOS!$C$1484))+((CROQUIS_DATOS!$C$1476)*CROQUIS_DATOS!$C$1561-((CROQUIS_DATOS!$C$1486+CROQUIS_DATOS!$C$1487))*CROQUIS_DATOS!$C$1561))/CROQUIS_DATOS!$C$1568-0.000001)),1,MOD($A55-1,2)),1-IF(INT(($A55-1)/2)+1&gt;MAX(1,INT(((((CROQUIS_DATOS!$C$1484+CROQUIS_DATOS!$C$1485))-(CROQUIS_DATOS!$C$1484))+((CROQUIS_DATOS!$C$1476)*CROQUIS_DATOS!$C$1561-((CROQUIS_DATOS!$C$1486+CROQUIS_DATOS!$C$1487))*CROQUIS_DATOS!$C$1561))/CROQUIS_DATOS!$C$1568-0.000001)),1,MOD($A55-1,2)))=1,MIN((CROQUIS_DATOS!$C$1476)*CROQUIS_DATOS!$C$1561,((CROQUIS_DATOS!$C$1484+CROQUIS_DATOS!$C$1485)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5">
        <f>IF(AND(CROQUIS_DATOS!$C$1472=1,CROQUIS_DATOS!$C$1478&gt;=3,((CROQUIS_DATOS!$C$1489+CROQUIS_DATOS!$C$1490))-(CROQUIS_DATOS!$C$1489)&gt;0.5,(CROQUIS_DATOS!$C$1491)-(0)&gt;0.5),(CROQUIS_DATOS!$C$1566+(IF(IF(MOD(MIN(INT(($A55-1)/2)+1,MAX(1,INT(((((CROQUIS_DATOS!$C$1489+CROQUIS_DATOS!$C$1490))-(CROQUIS_DATOS!$C$1489))+((CROQUIS_DATOS!$C$1491)*CROQUIS_DATOS!$C$1561-(0)*CROQUIS_DATOS!$C$1561))/CROQUIS_DATOS!$C$1568-0.000001))),2)=1,IF(INT(($A55-1)/2)+1&gt;MAX(1,INT(((((CROQUIS_DATOS!$C$1489+CROQUIS_DATOS!$C$1490))-(CROQUIS_DATOS!$C$1489))+((CROQUIS_DATOS!$C$1491)*CROQUIS_DATOS!$C$1561-(0)*CROQUIS_DATOS!$C$1561))/CROQUIS_DATOS!$C$1568-0.000001)),1,MOD($A55-1,2)),1-IF(INT(($A55-1)/2)+1&gt;MAX(1,INT(((((CROQUIS_DATOS!$C$1489+CROQUIS_DATOS!$C$1490))-(CROQUIS_DATOS!$C$1489))+((CROQUIS_DATOS!$C$1491)*CROQUIS_DATOS!$C$1561-(0)*CROQUIS_DATOS!$C$1561))/CROQUIS_DATOS!$C$1568-0.000001)),1,MOD($A55-1,2)))=1,MIN((CROQUIS_DATOS!$C$1491)*CROQUIS_DATOS!$C$1561,((CROQUIS_DATOS!$C$1489+CROQUIS_DATOS!$C$1490)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5">
        <f>IF(AND(CROQUIS_DATOS!$C$1472=1,CROQUIS_DATOS!$C$1478&gt;=3,((CROQUIS_DATOS!$C$1489+CROQUIS_DATOS!$C$1490))-(CROQUIS_DATOS!$C$1489)&gt;0.5,(CROQUIS_DATOS!$C$1491)-(0)&gt;0.5),(CROQUIS_DATOS!$C$1567+(IF(IF(MOD(MIN(INT(($A55-1)/2)+1,MAX(1,INT(((((CROQUIS_DATOS!$C$1489+CROQUIS_DATOS!$C$1490))-(CROQUIS_DATOS!$C$1489))+((CROQUIS_DATOS!$C$1491)*CROQUIS_DATOS!$C$1561-(0)*CROQUIS_DATOS!$C$1561))/CROQUIS_DATOS!$C$1568-0.000001))),2)=1,IF(INT(($A55-1)/2)+1&gt;MAX(1,INT(((((CROQUIS_DATOS!$C$1489+CROQUIS_DATOS!$C$1490))-(CROQUIS_DATOS!$C$1489))+((CROQUIS_DATOS!$C$1491)*CROQUIS_DATOS!$C$1561-(0)*CROQUIS_DATOS!$C$1561))/CROQUIS_DATOS!$C$1568-0.000001)),1,MOD($A55-1,2)),1-IF(INT(($A55-1)/2)+1&gt;MAX(1,INT(((((CROQUIS_DATOS!$C$1489+CROQUIS_DATOS!$C$1490))-(CROQUIS_DATOS!$C$1489))+((CROQUIS_DATOS!$C$1491)*CROQUIS_DATOS!$C$1561-(0)*CROQUIS_DATOS!$C$1561))/CROQUIS_DATOS!$C$1568-0.000001)),1,MOD($A55-1,2)))=1,MIN((CROQUIS_DATOS!$C$1491)*CROQUIS_DATOS!$C$1561,((CROQUIS_DATOS!$C$1489+CROQUIS_DATOS!$C$1490)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5">
        <f>IF(AND(CROQUIS_DATOS!$C$1472=1,CROQUIS_DATOS!$C$1478&gt;=3,((CROQUIS_DATOS!$C$1489+CROQUIS_DATOS!$C$1490))-(CROQUIS_DATOS!$C$1489)&gt;0.5,(CROQUIS_DATOS!$C$1476)-((CROQUIS_DATOS!$C$1491+CROQUIS_DATOS!$C$1492))&gt;0.5),(CROQUIS_DATOS!$C$1566+(IF(IF(MOD(MIN(INT(($A55-1)/2)+1,MAX(1,INT(((((CROQUIS_DATOS!$C$1489+CROQUIS_DATOS!$C$1490))-(CROQUIS_DATOS!$C$1489))+((CROQUIS_DATOS!$C$1476)*CROQUIS_DATOS!$C$1561-((CROQUIS_DATOS!$C$1491+CROQUIS_DATOS!$C$1492))*CROQUIS_DATOS!$C$1561))/CROQUIS_DATOS!$C$1568-0.000001))),2)=1,IF(INT(($A55-1)/2)+1&gt;MAX(1,INT(((((CROQUIS_DATOS!$C$1489+CROQUIS_DATOS!$C$1490))-(CROQUIS_DATOS!$C$1489))+((CROQUIS_DATOS!$C$1476)*CROQUIS_DATOS!$C$1561-((CROQUIS_DATOS!$C$1491+CROQUIS_DATOS!$C$1492))*CROQUIS_DATOS!$C$1561))/CROQUIS_DATOS!$C$1568-0.000001)),1,MOD($A55-1,2)),1-IF(INT(($A55-1)/2)+1&gt;MAX(1,INT(((((CROQUIS_DATOS!$C$1489+CROQUIS_DATOS!$C$1490))-(CROQUIS_DATOS!$C$1489))+((CROQUIS_DATOS!$C$1476)*CROQUIS_DATOS!$C$1561-((CROQUIS_DATOS!$C$1491+CROQUIS_DATOS!$C$1492))*CROQUIS_DATOS!$C$1561))/CROQUIS_DATOS!$C$1568-0.000001)),1,MOD($A55-1,2)))=1,MIN((CROQUIS_DATOS!$C$1476)*CROQUIS_DATOS!$C$1561,((CROQUIS_DATOS!$C$1489+CROQUIS_DATOS!$C$1490)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5">
        <f>IF(AND(CROQUIS_DATOS!$C$1472=1,CROQUIS_DATOS!$C$1478&gt;=3,((CROQUIS_DATOS!$C$1489+CROQUIS_DATOS!$C$1490))-(CROQUIS_DATOS!$C$1489)&gt;0.5,(CROQUIS_DATOS!$C$1476)-((CROQUIS_DATOS!$C$1491+CROQUIS_DATOS!$C$1492))&gt;0.5),(CROQUIS_DATOS!$C$1567+(IF(IF(MOD(MIN(INT(($A55-1)/2)+1,MAX(1,INT(((((CROQUIS_DATOS!$C$1489+CROQUIS_DATOS!$C$1490))-(CROQUIS_DATOS!$C$1489))+((CROQUIS_DATOS!$C$1476)*CROQUIS_DATOS!$C$1561-((CROQUIS_DATOS!$C$1491+CROQUIS_DATOS!$C$1492))*CROQUIS_DATOS!$C$1561))/CROQUIS_DATOS!$C$1568-0.000001))),2)=1,IF(INT(($A55-1)/2)+1&gt;MAX(1,INT(((((CROQUIS_DATOS!$C$1489+CROQUIS_DATOS!$C$1490))-(CROQUIS_DATOS!$C$1489))+((CROQUIS_DATOS!$C$1476)*CROQUIS_DATOS!$C$1561-((CROQUIS_DATOS!$C$1491+CROQUIS_DATOS!$C$1492))*CROQUIS_DATOS!$C$1561))/CROQUIS_DATOS!$C$1568-0.000001)),1,MOD($A55-1,2)),1-IF(INT(($A55-1)/2)+1&gt;MAX(1,INT(((((CROQUIS_DATOS!$C$1489+CROQUIS_DATOS!$C$1490))-(CROQUIS_DATOS!$C$1489))+((CROQUIS_DATOS!$C$1476)*CROQUIS_DATOS!$C$1561-((CROQUIS_DATOS!$C$1491+CROQUIS_DATOS!$C$1492))*CROQUIS_DATOS!$C$1561))/CROQUIS_DATOS!$C$1568-0.000001)),1,MOD($A55-1,2)))=1,MIN((CROQUIS_DATOS!$C$1476)*CROQUIS_DATOS!$C$1561,((CROQUIS_DATOS!$C$1489+CROQUIS_DATOS!$C$1490)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5">
        <f>IF(AND(CROQUIS_DATOS!$C$1472=1,CROQUIS_DATOS!$C$1478&gt;=4,((CROQUIS_DATOS!$C$1494+CROQUIS_DATOS!$C$1495))-(CROQUIS_DATOS!$C$1494)&gt;0.5,(CROQUIS_DATOS!$C$1496)-(0)&gt;0.5),(CROQUIS_DATOS!$C$1566+(IF(IF(MOD(MIN(INT(($A55-1)/2)+1,MAX(1,INT(((((CROQUIS_DATOS!$C$1494+CROQUIS_DATOS!$C$1495))-(CROQUIS_DATOS!$C$1494))+((CROQUIS_DATOS!$C$1496)*CROQUIS_DATOS!$C$1561-(0)*CROQUIS_DATOS!$C$1561))/CROQUIS_DATOS!$C$1568-0.000001))),2)=1,IF(INT(($A55-1)/2)+1&gt;MAX(1,INT(((((CROQUIS_DATOS!$C$1494+CROQUIS_DATOS!$C$1495))-(CROQUIS_DATOS!$C$1494))+((CROQUIS_DATOS!$C$1496)*CROQUIS_DATOS!$C$1561-(0)*CROQUIS_DATOS!$C$1561))/CROQUIS_DATOS!$C$1568-0.000001)),1,MOD($A55-1,2)),1-IF(INT(($A55-1)/2)+1&gt;MAX(1,INT(((((CROQUIS_DATOS!$C$1494+CROQUIS_DATOS!$C$1495))-(CROQUIS_DATOS!$C$1494))+((CROQUIS_DATOS!$C$1496)*CROQUIS_DATOS!$C$1561-(0)*CROQUIS_DATOS!$C$1561))/CROQUIS_DATOS!$C$1568-0.000001)),1,MOD($A55-1,2)))=1,MIN((CROQUIS_DATOS!$C$1496)*CROQUIS_DATOS!$C$1561,((CROQUIS_DATOS!$C$1494+CROQUIS_DATOS!$C$1495)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5">
        <f>IF(AND(CROQUIS_DATOS!$C$1472=1,CROQUIS_DATOS!$C$1478&gt;=4,((CROQUIS_DATOS!$C$1494+CROQUIS_DATOS!$C$1495))-(CROQUIS_DATOS!$C$1494)&gt;0.5,(CROQUIS_DATOS!$C$1496)-(0)&gt;0.5),(CROQUIS_DATOS!$C$1567+(IF(IF(MOD(MIN(INT(($A55-1)/2)+1,MAX(1,INT(((((CROQUIS_DATOS!$C$1494+CROQUIS_DATOS!$C$1495))-(CROQUIS_DATOS!$C$1494))+((CROQUIS_DATOS!$C$1496)*CROQUIS_DATOS!$C$1561-(0)*CROQUIS_DATOS!$C$1561))/CROQUIS_DATOS!$C$1568-0.000001))),2)=1,IF(INT(($A55-1)/2)+1&gt;MAX(1,INT(((((CROQUIS_DATOS!$C$1494+CROQUIS_DATOS!$C$1495))-(CROQUIS_DATOS!$C$1494))+((CROQUIS_DATOS!$C$1496)*CROQUIS_DATOS!$C$1561-(0)*CROQUIS_DATOS!$C$1561))/CROQUIS_DATOS!$C$1568-0.000001)),1,MOD($A55-1,2)),1-IF(INT(($A55-1)/2)+1&gt;MAX(1,INT(((((CROQUIS_DATOS!$C$1494+CROQUIS_DATOS!$C$1495))-(CROQUIS_DATOS!$C$1494))+((CROQUIS_DATOS!$C$1496)*CROQUIS_DATOS!$C$1561-(0)*CROQUIS_DATOS!$C$1561))/CROQUIS_DATOS!$C$1568-0.000001)),1,MOD($A55-1,2)))=1,MIN((CROQUIS_DATOS!$C$1496)*CROQUIS_DATOS!$C$1561,((CROQUIS_DATOS!$C$1494+CROQUIS_DATOS!$C$1495)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5">
        <f>IF(AND(CROQUIS_DATOS!$C$1472=1,CROQUIS_DATOS!$C$1478&gt;=4,((CROQUIS_DATOS!$C$1494+CROQUIS_DATOS!$C$1495))-(CROQUIS_DATOS!$C$1494)&gt;0.5,(CROQUIS_DATOS!$C$1476)-((CROQUIS_DATOS!$C$1496+CROQUIS_DATOS!$C$1497))&gt;0.5),(CROQUIS_DATOS!$C$1566+(IF(IF(MOD(MIN(INT(($A55-1)/2)+1,MAX(1,INT(((((CROQUIS_DATOS!$C$1494+CROQUIS_DATOS!$C$1495))-(CROQUIS_DATOS!$C$1494))+((CROQUIS_DATOS!$C$1476)*CROQUIS_DATOS!$C$1561-((CROQUIS_DATOS!$C$1496+CROQUIS_DATOS!$C$1497))*CROQUIS_DATOS!$C$1561))/CROQUIS_DATOS!$C$1568-0.000001))),2)=1,IF(INT(($A55-1)/2)+1&gt;MAX(1,INT(((((CROQUIS_DATOS!$C$1494+CROQUIS_DATOS!$C$1495))-(CROQUIS_DATOS!$C$1494))+((CROQUIS_DATOS!$C$1476)*CROQUIS_DATOS!$C$1561-((CROQUIS_DATOS!$C$1496+CROQUIS_DATOS!$C$1497))*CROQUIS_DATOS!$C$1561))/CROQUIS_DATOS!$C$1568-0.000001)),1,MOD($A55-1,2)),1-IF(INT(($A55-1)/2)+1&gt;MAX(1,INT(((((CROQUIS_DATOS!$C$1494+CROQUIS_DATOS!$C$1495))-(CROQUIS_DATOS!$C$1494))+((CROQUIS_DATOS!$C$1476)*CROQUIS_DATOS!$C$1561-((CROQUIS_DATOS!$C$1496+CROQUIS_DATOS!$C$1497))*CROQUIS_DATOS!$C$1561))/CROQUIS_DATOS!$C$1568-0.000001)),1,MOD($A55-1,2)))=1,MIN((CROQUIS_DATOS!$C$1476)*CROQUIS_DATOS!$C$1561,((CROQUIS_DATOS!$C$1494+CROQUIS_DATOS!$C$1495)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5">
        <f>IF(AND(CROQUIS_DATOS!$C$1472=1,CROQUIS_DATOS!$C$1478&gt;=4,((CROQUIS_DATOS!$C$1494+CROQUIS_DATOS!$C$1495))-(CROQUIS_DATOS!$C$1494)&gt;0.5,(CROQUIS_DATOS!$C$1476)-((CROQUIS_DATOS!$C$1496+CROQUIS_DATOS!$C$1497))&gt;0.5),(CROQUIS_DATOS!$C$1567+(IF(IF(MOD(MIN(INT(($A55-1)/2)+1,MAX(1,INT(((((CROQUIS_DATOS!$C$1494+CROQUIS_DATOS!$C$1495))-(CROQUIS_DATOS!$C$1494))+((CROQUIS_DATOS!$C$1476)*CROQUIS_DATOS!$C$1561-((CROQUIS_DATOS!$C$1496+CROQUIS_DATOS!$C$1497))*CROQUIS_DATOS!$C$1561))/CROQUIS_DATOS!$C$1568-0.000001))),2)=1,IF(INT(($A55-1)/2)+1&gt;MAX(1,INT(((((CROQUIS_DATOS!$C$1494+CROQUIS_DATOS!$C$1495))-(CROQUIS_DATOS!$C$1494))+((CROQUIS_DATOS!$C$1476)*CROQUIS_DATOS!$C$1561-((CROQUIS_DATOS!$C$1496+CROQUIS_DATOS!$C$1497))*CROQUIS_DATOS!$C$1561))/CROQUIS_DATOS!$C$1568-0.000001)),1,MOD($A55-1,2)),1-IF(INT(($A55-1)/2)+1&gt;MAX(1,INT(((((CROQUIS_DATOS!$C$1494+CROQUIS_DATOS!$C$1495))-(CROQUIS_DATOS!$C$1494))+((CROQUIS_DATOS!$C$1476)*CROQUIS_DATOS!$C$1561-((CROQUIS_DATOS!$C$1496+CROQUIS_DATOS!$C$1497))*CROQUIS_DATOS!$C$1561))/CROQUIS_DATOS!$C$1568-0.000001)),1,MOD($A55-1,2)))=1,MIN((CROQUIS_DATOS!$C$1476)*CROQUIS_DATOS!$C$1561,((CROQUIS_DATOS!$C$1494+CROQUIS_DATOS!$C$1495)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5">
        <f>IF(AND(CROQUIS_DATOS!$C$1472=1,1),(CROQUIS_DATOS!$C$1571+(CHOOSE(MIN(MAX(IF(INT(($A55-1)/5)+1&gt;CROQUIS_DATOS!$C$1525,5,MOD($A55-1,5)+1),1),5),(INDEX($E$8:$E$23,MIN(INT(($A55-1)/5)+1,CROQUIS_DATOS!$C$1525))-INDEX($F$8:$F$23,MIN(INT(($A55-1)/5)+1,CROQUIS_DATOS!$C$1525))/2),(INDEX($E$8:$E$23,MIN(INT(($A55-1)/5)+1,CROQUIS_DATOS!$C$1525))+INDEX($F$8:$F$23,MIN(INT(($A55-1)/5)+1,CROQUIS_DATOS!$C$1525))/2),(INDEX($E$8:$E$23,MIN(INT(($A55-1)/5)+1,CROQUIS_DATOS!$C$1525))+INDEX($F$8:$F$23,MIN(INT(($A55-1)/5)+1,CROQUIS_DATOS!$C$1525))/2),(INDEX($E$8:$E$23,MIN(INT(($A55-1)/5)+1,CROQUIS_DATOS!$C$1525))-INDEX($F$8:$F$23,MIN(INT(($A55-1)/5)+1,CROQUIS_DATOS!$C$1525))/2),(INDEX($E$8:$E$23,MIN(INT(($A55-1)/5)+1,CROQUIS_DATOS!$C$1525))-INDEX($F$8:$F$23,MIN(INT(($A55-1)/5)+1,CROQUIS_DATOS!$C$1525))/2)))*CROQUIS_DATOS!$C$1569),-1000)</f>
        <v>95.24</v>
      </c>
      <c r="GE55">
        <f>IF(AND(CROQUIS_DATOS!$C$1472=1,1),(CROQUIS_DATOS!$C$1572+(CHOOSE(MIN(MAX(IF(INT(($A55-1)/5)+1&gt;CROQUIS_DATOS!$C$1525,5,MOD($A55-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5">
        <f>IF(AND(CROQUIS_DATOS!$C$1472=1,1),IF(INT(($A55-1)/4)+1&lt;=CROQUIS_DATOS!$C$1525,(CROQUIS_DATOS!$C$1571+((INDEX($E$8:$E$23,MIN(INT(($A55-1)/4)+1,16))+IF(OR(MOD($A55-1,4)=0,MOD($A55-1,4)=3),-1,1)*(INDEX($F$8:$F$23,MIN(INT(($A55-1)/4)+1,16))/2-(CROQUIS_DATOS!$C$1530+CROQUIS_DATOS!$C$1532+IF(OR(INT(($A55-1)/4)+1=1,INT(($A55-1)/4)+1=CROQUIS_DATOS!$C$1525),CROQUIS_DATOS!$C$1534,CROQUIS_DATOS!$C$1531)/2))))*CROQUIS_DATOS!$C$1569),-1000),-1000)</f>
        <v>-1000</v>
      </c>
      <c r="GG55">
        <f>IF(AND(CROQUIS_DATOS!$C$1472=1,1),IF(INT(($A55-1)/4)+1&lt;=CROQUIS_DATOS!$C$1525,(CROQUIS_DATOS!$C$1572+((CROQUIS_DATOS!$C$1477/2+IF(MOD($A55-1,4)&lt;2,-1,1)*(CROQUIS_DATOS!$C$1527/2-(CROQUIS_DATOS!$C$1530+CROQUIS_DATOS!$C$1532+IF(OR(INT(($A55-1)/4)+1=1,INT(($A55-1)/4)+1=CROQUIS_DATOS!$C$1525),CROQUIS_DATOS!$C$1534,CROQUIS_DATOS!$C$1531)/2))))*CROQUIS_DATOS!$C$1569*CROQUIS_DATOS!$C$1570),-1000),-1000)</f>
        <v>-1000</v>
      </c>
    </row>
    <row r="56">
      <c r="A56" t="n">
        <v>49</v>
      </c>
      <c r="J56">
        <f>IF(AND(CROQUIS_DATOS!$C$1472=1,1),(CROQUIS_DATOS!$C$1563+(CHOOSE(MIN(MAX(IF(INT(($A56-1)/4)+1&gt;CROQUIS_DATOS!$C$1525,4,MOD($A56-1,4)+1),1),4),(INDEX($E$8:$E$23,MIN(INT(($A56-1)/4)+1,CROQUIS_DATOS!$C$1525))-INDEX($F$8:$F$23,MIN(INT(($A56-1)/4)+1,CROQUIS_DATOS!$C$1525))/2),(INDEX($E$8:$E$23,MIN(INT(($A56-1)/4)+1,CROQUIS_DATOS!$C$1525))-INDEX($F$8:$F$23,MIN(INT(($A56-1)/4)+1,CROQUIS_DATOS!$C$1525))/2),(INDEX($E$8:$E$23,MIN(INT(($A56-1)/4)+1,CROQUIS_DATOS!$C$1525))+INDEX($F$8:$F$23,MIN(INT(($A56-1)/4)+1,CROQUIS_DATOS!$C$1525))/2),(INDEX($E$8:$E$23,MIN(INT(($A56-1)/4)+1,CROQUIS_DATOS!$C$1525))+INDEX($F$8:$F$23,MIN(INT(($A56-1)/4)+1,CROQUIS_DATOS!$C$1525))/2)))*CROQUIS_DATOS!$C$1562),-1000)</f>
        <v>84.9137931034483</v>
      </c>
      <c r="K56">
        <f>IF(AND(CROQUIS_DATOS!$C$1472=1,1),(CROQUIS_DATOS!$C$1564+(CHOOSE(MIN(MAX(IF(INT(($A56-1)/4)+1&gt;CROQUIS_DATOS!$C$1525,4,MOD($A56-1,4)+1),1),4),0,CROQUIS_DATOS!$C$1476,CROQUIS_DATOS!$C$1476,0))*CROQUIS_DATOS!$C$1561*CROQUIS_DATOS!$C$1562),-1000)</f>
        <v>5.29310344827586</v>
      </c>
      <c r="L56">
        <f>IF(AND(CROQUIS_DATOS!$C$1472=1,1),(CROQUIS_DATOS!$C$1563+(CHOOSE(MIN(MAX(IF(INT(($A56-1)/4)+1&gt;CROQUIS_DATOS!$C$1525,4,MOD($A56-1,4)+1),1),4),((INDEX($E$8:$E$23,MIN(INT(($A56-1)/4)+1,CROQUIS_DATOS!$C$1525))-INDEX($F$8:$F$23,MIN(INT(($A56-1)/4)+1,CROQUIS_DATOS!$C$1525))/2)+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,((INDEX($E$8:$E$23,MIN(INT(($A56-1)/4)+1,CROQUIS_DATOS!$C$1525))-INDEX($F$8:$F$23,MIN(INT(($A56-1)/4)+1,CROQUIS_DATOS!$C$1525))/2)+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,((INDEX($E$8:$E$23,MIN(INT(($A56-1)/4)+1,CROQUIS_DATOS!$C$1525))+INDEX($F$8:$F$23,MIN(INT(($A56-1)/4)+1,CROQUIS_DATOS!$C$1525))/2)-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,((INDEX($E$8:$E$23,MIN(INT(($A56-1)/4)+1,CROQUIS_DATOS!$C$1525))+INDEX($F$8:$F$23,MIN(INT(($A56-1)/4)+1,CROQUIS_DATOS!$C$1525))/2)-MIN((CROQUIS_DATOS!$C$1530+CROQUIS_DATOS!$C$1532+IF(OR(MIN(INT(($A56-1)/4)+1,CROQUIS_DATOS!$C$1525)=1,MIN(INT(($A56-1)/4)+1,CROQUIS_DATOS!$C$1525)=CROQUIS_DATOS!$C$1525),CROQUIS_DATOS!$C$1534,CROQUIS_DATOS!$C$1531)/2),INDEX($F$8:$F$23,MIN(INT(($A56-1)/4)+1,CROQUIS_DATOS!$C$1525))/2-0.5))))*CROQUIS_DATOS!$C$1562),-1000)</f>
        <v>84.4792560344828</v>
      </c>
      <c r="M56">
        <f>IF(AND(CROQUIS_DATOS!$C$1472=1,1),(CROQUIS_DATOS!$C$1564+(CHOOSE(MIN(MAX(IF(INT(($A56-1)/4)+1&gt;CROQUIS_DATOS!$C$1525,4,MOD($A56-1,4)+1),1),4),CROQUIS_DATOS!$C$1543,INDEX($I$8:$I$23,MIN(INT(($A56-1)/4)+1,CROQUIS_DATOS!$C$1525)),INDEX($I$8:$I$23,MIN(INT(($A56-1)/4)+1,CROQUIS_DATOS!$C$1525)),CROQUIS_DATOS!$C$1543))*CROQUIS_DATOS!$C$1561*CROQUIS_DATOS!$C$1562),-1000)</f>
        <v>42.5654629310345</v>
      </c>
      <c r="N56">
        <f>IF(AND(CROQUIS_DATOS!$C$1472=1,1),(CROQUIS_DATOS!$C$1563+(IF(IF(IF(INT(($A56-1)/70)+1&gt;CROQUIS_DATOS!$C$1525,70,MOD($A56-1,70)+1)=1,0,IF(IF(INT(($A56-1)/70)+1&gt;CROQUIS_DATOS!$C$1525,70,MOD($A56-1,70)+1)&gt;2*CROQUIS_DATOS!$C$1541+1,IF(MOD(CROQUIS_DATOS!$C$1541,2)=1,1,0),IF(MOD(MIN(INT((IF(INT(($A56-1)/70)+1&gt;CROQUIS_DATOS!$C$1525,70,MOD($A56-1,70)+1)-2)/2)+1,CROQUIS_DATOS!$C$1541),2)=1,IF(MOD(IF(INT(($A56-1)/70)+1&gt;CROQUIS_DATOS!$C$1525,70,MOD($A56-1,70)+1)-2,2)=0,0,1),IF(MOD(IF(INT(($A56-1)/70)+1&gt;CROQUIS_DATOS!$C$1525,70,MOD($A56-1,70)+1)-2,2)=0,1,0))))=0,(INDEX($E$8:$E$23,MIN(INT(($A56-1)/70)+1,CROQUIS_DATOS!$C$1525))-INDEX($F$8:$F$23,MIN(INT(($A56-1)/70)+1,CROQUIS_DATOS!$C$1525))/2),(INDEX($E$8:$E$23,MIN(INT(($A56-1)/70)+1,CROQUIS_DATOS!$C$1525))+INDEX($F$8:$F$23,MIN(INT(($A56-1)/70)+1,CROQUIS_DATOS!$C$1525))/2)))*CROQUIS_DATOS!$C$1562),-1000)</f>
        <v>15.0862068965517</v>
      </c>
      <c r="O56">
        <f>IF(AND(CROQUIS_DATOS!$C$1472=1,1),(CROQUIS_DATOS!$C$1564+(IF(OR(IF(INT(($A56-1)/70)+1&gt;CROQUIS_DATOS!$C$1525,70,MOD($A56-1,70)+1)=1,IF(INT(($A56-1)/70)+1&gt;CROQUIS_DATOS!$C$1525,70,MOD($A56-1,70)+1)&gt;2*CROQUIS_DATOS!$C$1541+1),CROQUIS_DATOS!$C$1476,INDEX($H$8:$H$41,MIN(INT((IF(INT(($A56-1)/70)+1&gt;CROQUIS_DATOS!$C$1525,70,MOD($A56-1,70)+1)-2)/2)+1,CROQUIS_DATOS!$C$1541))))*CROQUIS_DATOS!$C$1561*CROQUIS_DATOS!$C$1562),-1000)</f>
        <v>40.2068965517241</v>
      </c>
      <c r="P56">
        <f>IF(AND(CROQUIS_DATOS!$C$1472=1,CROQUIS_DATOS!$C$1555=1),(CROQUIS_DATOS!$C$1563+(IF(IF(OR(MOD($A56-1,62)+1=1,IF(CHOOSE(MIN(MAX(MIN(INT(($A56-1)/62)+1,5),1),5),CROQUIS_DATOS!$C$1501,CROQUIS_DATOS!$C$1505,CROQUIS_DATOS!$C$1509,CROQUIS_DATOS!$C$1513,CROQUIS_DATOS!$C$1517)=1,CROQUIS_DATOS!$C$1557,0)=0),0,IF(MOD($A56-1,62)+1&gt;2*IF(CHOOSE(MIN(MAX(MIN(INT(($A56-1)/62)+1,5),1),5),CROQUIS_DATOS!$C$1501,CROQUIS_DATOS!$C$1505,CROQUIS_DATOS!$C$1509,CROQUIS_DATOS!$C$1513,CROQUIS_DATOS!$C$1517)=1,CROQUIS_DATOS!$C$1557,0)+1,IF(MOD(IF(CHOOSE(MIN(MAX(MIN(INT(($A56-1)/62)+1,5),1),5),CROQUIS_DATOS!$C$1501,CROQUIS_DATOS!$C$1505,CROQUIS_DATOS!$C$1509,CROQUIS_DATOS!$C$1513,CROQUIS_DATOS!$C$1517)=1,CROQUIS_DATOS!$C$1557,0),2)=1,1,0),IF(MOD(MIN(INT((MOD($A56-1,62)+1-2)/2)+1,MAX(IF(CHOOSE(MIN(MAX(MIN(INT(($A56-1)/62)+1,5),1),5),CROQUIS_DATOS!$C$1501,CROQUIS_DATOS!$C$1505,CROQUIS_DATOS!$C$1509,CROQUIS_DATOS!$C$1513,CROQUIS_DATOS!$C$1517)=1,CROQUIS_DATOS!$C$1557,0),1)),2)=1,IF(MOD(MOD($A56-1,62)+1-2,2)=0,0,1),IF(MOD(MOD($A56-1,62)+1-2,2)=0,1,0))))=0,(CHOOSE(MIN(MAX(MIN(INT(($A56-1)/62)+1,5),1),5),CROQUIS_DATOS!$C$1499,CROQUIS_DATOS!$C$1503,CROQUIS_DATOS!$C$1507,CROQUIS_DATOS!$C$1511,CROQUIS_DATOS!$C$1515)+IF(CHOOSE(MIN(MAX(MIN(INT(($A56-1)/62)+1,5),1),5),CROQUIS_DATOS!$C$1501,CROQUIS_DATOS!$C$1505,CROQUIS_DATOS!$C$1509,CROQUIS_DATOS!$C$1513,CROQUIS_DATOS!$C$1517)=1,CROQUIS_DATOS!$C$1526,0)),(CHOOSE(MIN(MAX(MIN(INT(($A56-1)/62)+1,5),1),5),CROQUIS_DATOS!$C$1499,CROQUIS_DATOS!$C$1503,CROQUIS_DATOS!$C$1507,CROQUIS_DATOS!$C$1511,CROQUIS_DATOS!$C$1515)+CHOOSE(MIN(MAX(MIN(INT(($A56-1)/62)+1,5),1),5),CROQUIS_DATOS!$C$1500,CROQUIS_DATOS!$C$1504,CROQUIS_DATOS!$C$1508,CROQUIS_DATOS!$C$1512,CROQUIS_DATOS!$C$1516)-IF(CHOOSE(MIN(MAX(MIN(INT(($A56-1)/62)+1,5),1),5),CROQUIS_DATOS!$C$1501,CROQUIS_DATOS!$C$1505,CROQUIS_DATOS!$C$1509,CROQUIS_DATOS!$C$1513,CROQUIS_DATOS!$C$1517)=1,CROQUIS_DATOS!$C$1526,0))))*CROQUIS_DATOS!$C$1562),-1000)</f>
        <v>-1000</v>
      </c>
      <c r="Q56">
        <f>IF(AND(CROQUIS_DATOS!$C$1472=1,CROQUIS_DATOS!$C$1555=1),(CROQUIS_DATOS!$C$1564+(IF(OR(OR(MOD($A56-1,62)+1=1,IF(CHOOSE(MIN(MAX(MIN(INT(($A56-1)/62)+1,5),1),5),CROQUIS_DATOS!$C$1501,CROQUIS_DATOS!$C$1505,CROQUIS_DATOS!$C$1509,CROQUIS_DATOS!$C$1513,CROQUIS_DATOS!$C$1517)=1,CROQUIS_DATOS!$C$1557,0)=0),MOD($A56-1,62)+1&gt;2*IF(CHOOSE(MIN(MAX(MIN(INT(($A56-1)/62)+1,5),1),5),CROQUIS_DATOS!$C$1501,CROQUIS_DATOS!$C$1505,CROQUIS_DATOS!$C$1509,CROQUIS_DATOS!$C$1513,CROQUIS_DATOS!$C$1517)=1,CROQUIS_DATOS!$C$1557,0)+1),CROQUIS_DATOS!$C$1476,MIN(INT((MOD($A56-1,62)+1-2)/2)+1,MAX(IF(CHOOSE(MIN(MAX(MIN(INT(($A56-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6">
        <f>IF(AND(CROQUIS_DATOS!$C$1472=1,1),(CROQUIS_DATOS!$C$1563+(MIN(INT(($A56-1)/2)+1,CROQUIS_DATOS!$C$1558)*CROQUIS_DATOS!$C$1559)*CROQUIS_DATOS!$C$1562),-1000)</f>
        <v>82.2281167108753</v>
      </c>
      <c r="U56">
        <f>IF(AND(CROQUIS_DATOS!$C$1472=1,1),(CROQUIS_DATOS!$C$1564+(IF(INT(($A56-1)/2)+1&gt;CROQUIS_DATOS!$C$1558,IF(MOD(CROQUIS_DATOS!$C$1558,2)=1,CROQUIS_DATOS!$C$1476+CROQUIS_DATOS!$C$1528,CROQUIS_DATOS!$C$1476),IF(IF(MOD(MIN(INT(($A56-1)/2)+1,CROQUIS_DATOS!$C$1558),2)=1,MOD($A56-1,2),1-MOD($A56-1,2))=1,CROQUIS_DATOS!$C$1476+CROQUIS_DATOS!$C$1528,CROQUIS_DATOS!$C$1476)))*CROQUIS_DATOS!$C$1561*CROQUIS_DATOS!$C$1562),-1000)</f>
        <v>40.2068965517241</v>
      </c>
      <c r="BZ56">
        <f>IF(AND(CROQUIS_DATOS!$C$1472=1,CROQUIS_DATOS!$C$1500&gt;0,((CROQUIS_DATOS!$C$1499+CROQUIS_DATOS!$C$1500))-(CROQUIS_DATOS!$C$1499)&gt;0.5,(CROQUIS_DATOS!$C$1476)-(0)&gt;0.5),(CROQUIS_DATOS!$C$1566+(IF(IF(MOD(MIN(INT(($A56-1)/2)+1,MAX(1,INT(((((CROQUIS_DATOS!$C$1499+CROQUIS_DATOS!$C$1500))-(CROQUIS_DATOS!$C$1499))+((CROQUIS_DATOS!$C$1476)*CROQUIS_DATOS!$C$1561-(0)*CROQUIS_DATOS!$C$1561))/CROQUIS_DATOS!$C$1568-0.000001))),2)=1,IF(INT(($A56-1)/2)+1&gt;MAX(1,INT(((((CROQUIS_DATOS!$C$1499+CROQUIS_DATOS!$C$1500))-(CROQUIS_DATOS!$C$1499))+((CROQUIS_DATOS!$C$1476)*CROQUIS_DATOS!$C$1561-(0)*CROQUIS_DATOS!$C$1561))/CROQUIS_DATOS!$C$1568-0.000001)),1,MOD($A56-1,2)),1-IF(INT(($A56-1)/2)+1&gt;MAX(1,INT(((((CROQUIS_DATOS!$C$1499+CROQUIS_DATOS!$C$1500))-(CROQUIS_DATOS!$C$1499))+((CROQUIS_DATOS!$C$1476)*CROQUIS_DATOS!$C$1561-(0)*CROQUIS_DATOS!$C$1561))/CROQUIS_DATOS!$C$1568-0.000001)),1,MOD($A56-1,2)))=1,MIN((CROQUIS_DATOS!$C$1476)*CROQUIS_DATOS!$C$1561,((CROQUIS_DATOS!$C$1499+CROQUIS_DATOS!$C$1500)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6">
        <f>IF(AND(CROQUIS_DATOS!$C$1472=1,CROQUIS_DATOS!$C$1500&gt;0,((CROQUIS_DATOS!$C$1499+CROQUIS_DATOS!$C$1500))-(CROQUIS_DATOS!$C$1499)&gt;0.5,(CROQUIS_DATOS!$C$1476)-(0)&gt;0.5),(CROQUIS_DATOS!$C$1567+(IF(IF(MOD(MIN(INT(($A56-1)/2)+1,MAX(1,INT(((((CROQUIS_DATOS!$C$1499+CROQUIS_DATOS!$C$1500))-(CROQUIS_DATOS!$C$1499))+((CROQUIS_DATOS!$C$1476)*CROQUIS_DATOS!$C$1561-(0)*CROQUIS_DATOS!$C$1561))/CROQUIS_DATOS!$C$1568-0.000001))),2)=1,IF(INT(($A56-1)/2)+1&gt;MAX(1,INT(((((CROQUIS_DATOS!$C$1499+CROQUIS_DATOS!$C$1500))-(CROQUIS_DATOS!$C$1499))+((CROQUIS_DATOS!$C$1476)*CROQUIS_DATOS!$C$1561-(0)*CROQUIS_DATOS!$C$1561))/CROQUIS_DATOS!$C$1568-0.000001)),1,MOD($A56-1,2)),1-IF(INT(($A56-1)/2)+1&gt;MAX(1,INT(((((CROQUIS_DATOS!$C$1499+CROQUIS_DATOS!$C$1500))-(CROQUIS_DATOS!$C$1499))+((CROQUIS_DATOS!$C$1476)*CROQUIS_DATOS!$C$1561-(0)*CROQUIS_DATOS!$C$1561))/CROQUIS_DATOS!$C$1568-0.000001)),1,MOD($A56-1,2)))=1,MIN((CROQUIS_DATOS!$C$1476)*CROQUIS_DATOS!$C$1561,((CROQUIS_DATOS!$C$1499+CROQUIS_DATOS!$C$1500)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6">
        <f>IF(AND(CROQUIS_DATOS!$C$1472=1,CROQUIS_DATOS!$C$1504&gt;0,((CROQUIS_DATOS!$C$1503+CROQUIS_DATOS!$C$1504))-(CROQUIS_DATOS!$C$1503)&gt;0.5,(CROQUIS_DATOS!$C$1476)-(0)&gt;0.5),(CROQUIS_DATOS!$C$1566+(IF(IF(MOD(MIN(INT(($A56-1)/2)+1,MAX(1,INT(((((CROQUIS_DATOS!$C$1503+CROQUIS_DATOS!$C$1504))-(CROQUIS_DATOS!$C$1503))+((CROQUIS_DATOS!$C$1476)*CROQUIS_DATOS!$C$1561-(0)*CROQUIS_DATOS!$C$1561))/CROQUIS_DATOS!$C$1568-0.000001))),2)=1,IF(INT(($A56-1)/2)+1&gt;MAX(1,INT(((((CROQUIS_DATOS!$C$1503+CROQUIS_DATOS!$C$1504))-(CROQUIS_DATOS!$C$1503))+((CROQUIS_DATOS!$C$1476)*CROQUIS_DATOS!$C$1561-(0)*CROQUIS_DATOS!$C$1561))/CROQUIS_DATOS!$C$1568-0.000001)),1,MOD($A56-1,2)),1-IF(INT(($A56-1)/2)+1&gt;MAX(1,INT(((((CROQUIS_DATOS!$C$1503+CROQUIS_DATOS!$C$1504))-(CROQUIS_DATOS!$C$1503))+((CROQUIS_DATOS!$C$1476)*CROQUIS_DATOS!$C$1561-(0)*CROQUIS_DATOS!$C$1561))/CROQUIS_DATOS!$C$1568-0.000001)),1,MOD($A56-1,2)))=1,MIN((CROQUIS_DATOS!$C$1476)*CROQUIS_DATOS!$C$1561,((CROQUIS_DATOS!$C$1503+CROQUIS_DATOS!$C$1504)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6">
        <f>IF(AND(CROQUIS_DATOS!$C$1472=1,CROQUIS_DATOS!$C$1504&gt;0,((CROQUIS_DATOS!$C$1503+CROQUIS_DATOS!$C$1504))-(CROQUIS_DATOS!$C$1503)&gt;0.5,(CROQUIS_DATOS!$C$1476)-(0)&gt;0.5),(CROQUIS_DATOS!$C$1567+(IF(IF(MOD(MIN(INT(($A56-1)/2)+1,MAX(1,INT(((((CROQUIS_DATOS!$C$1503+CROQUIS_DATOS!$C$1504))-(CROQUIS_DATOS!$C$1503))+((CROQUIS_DATOS!$C$1476)*CROQUIS_DATOS!$C$1561-(0)*CROQUIS_DATOS!$C$1561))/CROQUIS_DATOS!$C$1568-0.000001))),2)=1,IF(INT(($A56-1)/2)+1&gt;MAX(1,INT(((((CROQUIS_DATOS!$C$1503+CROQUIS_DATOS!$C$1504))-(CROQUIS_DATOS!$C$1503))+((CROQUIS_DATOS!$C$1476)*CROQUIS_DATOS!$C$1561-(0)*CROQUIS_DATOS!$C$1561))/CROQUIS_DATOS!$C$1568-0.000001)),1,MOD($A56-1,2)),1-IF(INT(($A56-1)/2)+1&gt;MAX(1,INT(((((CROQUIS_DATOS!$C$1503+CROQUIS_DATOS!$C$1504))-(CROQUIS_DATOS!$C$1503))+((CROQUIS_DATOS!$C$1476)*CROQUIS_DATOS!$C$1561-(0)*CROQUIS_DATOS!$C$1561))/CROQUIS_DATOS!$C$1568-0.000001)),1,MOD($A56-1,2)))=1,MIN((CROQUIS_DATOS!$C$1476)*CROQUIS_DATOS!$C$1561,((CROQUIS_DATOS!$C$1503+CROQUIS_DATOS!$C$1504)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56">
        <f>IF(AND(CROQUIS_DATOS!$C$1472=1,CROQUIS_DATOS!$C$1508&gt;0,((CROQUIS_DATOS!$C$1507+CROQUIS_DATOS!$C$1508))-(CROQUIS_DATOS!$C$1507)&gt;0.5,(CROQUIS_DATOS!$C$1476)-(0)&gt;0.5),(CROQUIS_DATOS!$C$1566+(IF(IF(MOD(MIN(INT(($A56-1)/2)+1,MAX(1,INT(((((CROQUIS_DATOS!$C$1507+CROQUIS_DATOS!$C$1508))-(CROQUIS_DATOS!$C$1507))+((CROQUIS_DATOS!$C$1476)*CROQUIS_DATOS!$C$1561-(0)*CROQUIS_DATOS!$C$1561))/CROQUIS_DATOS!$C$1568-0.000001))),2)=1,IF(INT(($A56-1)/2)+1&gt;MAX(1,INT(((((CROQUIS_DATOS!$C$1507+CROQUIS_DATOS!$C$1508))-(CROQUIS_DATOS!$C$1507))+((CROQUIS_DATOS!$C$1476)*CROQUIS_DATOS!$C$1561-(0)*CROQUIS_DATOS!$C$1561))/CROQUIS_DATOS!$C$1568-0.000001)),1,MOD($A56-1,2)),1-IF(INT(($A56-1)/2)+1&gt;MAX(1,INT(((((CROQUIS_DATOS!$C$1507+CROQUIS_DATOS!$C$1508))-(CROQUIS_DATOS!$C$1507))+((CROQUIS_DATOS!$C$1476)*CROQUIS_DATOS!$C$1561-(0)*CROQUIS_DATOS!$C$1561))/CROQUIS_DATOS!$C$1568-0.000001)),1,MOD($A56-1,2)))=1,MIN((CROQUIS_DATOS!$C$1476)*CROQUIS_DATOS!$C$1561,((CROQUIS_DATOS!$C$1507+CROQUIS_DATOS!$C$1508)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56">
        <f>IF(AND(CROQUIS_DATOS!$C$1472=1,CROQUIS_DATOS!$C$1508&gt;0,((CROQUIS_DATOS!$C$1507+CROQUIS_DATOS!$C$1508))-(CROQUIS_DATOS!$C$1507)&gt;0.5,(CROQUIS_DATOS!$C$1476)-(0)&gt;0.5),(CROQUIS_DATOS!$C$1567+(IF(IF(MOD(MIN(INT(($A56-1)/2)+1,MAX(1,INT(((((CROQUIS_DATOS!$C$1507+CROQUIS_DATOS!$C$1508))-(CROQUIS_DATOS!$C$1507))+((CROQUIS_DATOS!$C$1476)*CROQUIS_DATOS!$C$1561-(0)*CROQUIS_DATOS!$C$1561))/CROQUIS_DATOS!$C$1568-0.000001))),2)=1,IF(INT(($A56-1)/2)+1&gt;MAX(1,INT(((((CROQUIS_DATOS!$C$1507+CROQUIS_DATOS!$C$1508))-(CROQUIS_DATOS!$C$1507))+((CROQUIS_DATOS!$C$1476)*CROQUIS_DATOS!$C$1561-(0)*CROQUIS_DATOS!$C$1561))/CROQUIS_DATOS!$C$1568-0.000001)),1,MOD($A56-1,2)),1-IF(INT(($A56-1)/2)+1&gt;MAX(1,INT(((((CROQUIS_DATOS!$C$1507+CROQUIS_DATOS!$C$1508))-(CROQUIS_DATOS!$C$1507))+((CROQUIS_DATOS!$C$1476)*CROQUIS_DATOS!$C$1561-(0)*CROQUIS_DATOS!$C$1561))/CROQUIS_DATOS!$C$1568-0.000001)),1,MOD($A56-1,2)))=1,MIN((CROQUIS_DATOS!$C$1476)*CROQUIS_DATOS!$C$1561,((CROQUIS_DATOS!$C$1507+CROQUIS_DATOS!$C$1508)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56">
        <f>IF(AND(CROQUIS_DATOS!$C$1472=1,CROQUIS_DATOS!$C$1512&gt;0,((CROQUIS_DATOS!$C$1511+CROQUIS_DATOS!$C$1512))-(CROQUIS_DATOS!$C$1511)&gt;0.5,(CROQUIS_DATOS!$C$1476)-(0)&gt;0.5),(CROQUIS_DATOS!$C$1566+(IF(IF(MOD(MIN(INT(($A56-1)/2)+1,MAX(1,INT(((((CROQUIS_DATOS!$C$1511+CROQUIS_DATOS!$C$1512))-(CROQUIS_DATOS!$C$1511))+((CROQUIS_DATOS!$C$1476)*CROQUIS_DATOS!$C$1561-(0)*CROQUIS_DATOS!$C$1561))/CROQUIS_DATOS!$C$1568-0.000001))),2)=1,IF(INT(($A56-1)/2)+1&gt;MAX(1,INT(((((CROQUIS_DATOS!$C$1511+CROQUIS_DATOS!$C$1512))-(CROQUIS_DATOS!$C$1511))+((CROQUIS_DATOS!$C$1476)*CROQUIS_DATOS!$C$1561-(0)*CROQUIS_DATOS!$C$1561))/CROQUIS_DATOS!$C$1568-0.000001)),1,MOD($A56-1,2)),1-IF(INT(($A56-1)/2)+1&gt;MAX(1,INT(((((CROQUIS_DATOS!$C$1511+CROQUIS_DATOS!$C$1512))-(CROQUIS_DATOS!$C$1511))+((CROQUIS_DATOS!$C$1476)*CROQUIS_DATOS!$C$1561-(0)*CROQUIS_DATOS!$C$1561))/CROQUIS_DATOS!$C$1568-0.000001)),1,MOD($A56-1,2)))=1,MIN((CROQUIS_DATOS!$C$1476)*CROQUIS_DATOS!$C$1561,((CROQUIS_DATOS!$C$1511+CROQUIS_DATOS!$C$1512)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6">
        <f>IF(AND(CROQUIS_DATOS!$C$1472=1,CROQUIS_DATOS!$C$1512&gt;0,((CROQUIS_DATOS!$C$1511+CROQUIS_DATOS!$C$1512))-(CROQUIS_DATOS!$C$1511)&gt;0.5,(CROQUIS_DATOS!$C$1476)-(0)&gt;0.5),(CROQUIS_DATOS!$C$1567+(IF(IF(MOD(MIN(INT(($A56-1)/2)+1,MAX(1,INT(((((CROQUIS_DATOS!$C$1511+CROQUIS_DATOS!$C$1512))-(CROQUIS_DATOS!$C$1511))+((CROQUIS_DATOS!$C$1476)*CROQUIS_DATOS!$C$1561-(0)*CROQUIS_DATOS!$C$1561))/CROQUIS_DATOS!$C$1568-0.000001))),2)=1,IF(INT(($A56-1)/2)+1&gt;MAX(1,INT(((((CROQUIS_DATOS!$C$1511+CROQUIS_DATOS!$C$1512))-(CROQUIS_DATOS!$C$1511))+((CROQUIS_DATOS!$C$1476)*CROQUIS_DATOS!$C$1561-(0)*CROQUIS_DATOS!$C$1561))/CROQUIS_DATOS!$C$1568-0.000001)),1,MOD($A56-1,2)),1-IF(INT(($A56-1)/2)+1&gt;MAX(1,INT(((((CROQUIS_DATOS!$C$1511+CROQUIS_DATOS!$C$1512))-(CROQUIS_DATOS!$C$1511))+((CROQUIS_DATOS!$C$1476)*CROQUIS_DATOS!$C$1561-(0)*CROQUIS_DATOS!$C$1561))/CROQUIS_DATOS!$C$1568-0.000001)),1,MOD($A56-1,2)))=1,MIN((CROQUIS_DATOS!$C$1476)*CROQUIS_DATOS!$C$1561,((CROQUIS_DATOS!$C$1511+CROQUIS_DATOS!$C$1512)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6">
        <f>IF(AND(CROQUIS_DATOS!$C$1472=1,CROQUIS_DATOS!$C$1516&gt;0,((CROQUIS_DATOS!$C$1515+CROQUIS_DATOS!$C$1516))-(CROQUIS_DATOS!$C$1515)&gt;0.5,(CROQUIS_DATOS!$C$1476)-(0)&gt;0.5),(CROQUIS_DATOS!$C$1566+(IF(IF(MOD(MIN(INT(($A56-1)/2)+1,MAX(1,INT(((((CROQUIS_DATOS!$C$1515+CROQUIS_DATOS!$C$1516))-(CROQUIS_DATOS!$C$1515))+((CROQUIS_DATOS!$C$1476)*CROQUIS_DATOS!$C$1561-(0)*CROQUIS_DATOS!$C$1561))/CROQUIS_DATOS!$C$1568-0.000001))),2)=1,IF(INT(($A56-1)/2)+1&gt;MAX(1,INT(((((CROQUIS_DATOS!$C$1515+CROQUIS_DATOS!$C$1516))-(CROQUIS_DATOS!$C$1515))+((CROQUIS_DATOS!$C$1476)*CROQUIS_DATOS!$C$1561-(0)*CROQUIS_DATOS!$C$1561))/CROQUIS_DATOS!$C$1568-0.000001)),1,MOD($A56-1,2)),1-IF(INT(($A56-1)/2)+1&gt;MAX(1,INT(((((CROQUIS_DATOS!$C$1515+CROQUIS_DATOS!$C$1516))-(CROQUIS_DATOS!$C$1515))+((CROQUIS_DATOS!$C$1476)*CROQUIS_DATOS!$C$1561-(0)*CROQUIS_DATOS!$C$1561))/CROQUIS_DATOS!$C$1568-0.000001)),1,MOD($A56-1,2)))=1,MIN((CROQUIS_DATOS!$C$1476)*CROQUIS_DATOS!$C$1561,((CROQUIS_DATOS!$C$1515+CROQUIS_DATOS!$C$1516)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6">
        <f>IF(AND(CROQUIS_DATOS!$C$1472=1,CROQUIS_DATOS!$C$1516&gt;0,((CROQUIS_DATOS!$C$1515+CROQUIS_DATOS!$C$1516))-(CROQUIS_DATOS!$C$1515)&gt;0.5,(CROQUIS_DATOS!$C$1476)-(0)&gt;0.5),(CROQUIS_DATOS!$C$1567+(IF(IF(MOD(MIN(INT(($A56-1)/2)+1,MAX(1,INT(((((CROQUIS_DATOS!$C$1515+CROQUIS_DATOS!$C$1516))-(CROQUIS_DATOS!$C$1515))+((CROQUIS_DATOS!$C$1476)*CROQUIS_DATOS!$C$1561-(0)*CROQUIS_DATOS!$C$1561))/CROQUIS_DATOS!$C$1568-0.000001))),2)=1,IF(INT(($A56-1)/2)+1&gt;MAX(1,INT(((((CROQUIS_DATOS!$C$1515+CROQUIS_DATOS!$C$1516))-(CROQUIS_DATOS!$C$1515))+((CROQUIS_DATOS!$C$1476)*CROQUIS_DATOS!$C$1561-(0)*CROQUIS_DATOS!$C$1561))/CROQUIS_DATOS!$C$1568-0.000001)),1,MOD($A56-1,2)),1-IF(INT(($A56-1)/2)+1&gt;MAX(1,INT(((((CROQUIS_DATOS!$C$1515+CROQUIS_DATOS!$C$1516))-(CROQUIS_DATOS!$C$1515))+((CROQUIS_DATOS!$C$1476)*CROQUIS_DATOS!$C$1561-(0)*CROQUIS_DATOS!$C$1561))/CROQUIS_DATOS!$C$1568-0.000001)),1,MOD($A56-1,2)))=1,MIN((CROQUIS_DATOS!$C$1476)*CROQUIS_DATOS!$C$1561,((CROQUIS_DATOS!$C$1515+CROQUIS_DATOS!$C$1516)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6">
        <f>IF(AND(CROQUIS_DATOS!$C$1472=1,CROQUIS_DATOS!$C$1478&gt;=1,((CROQUIS_DATOS!$C$1479+CROQUIS_DATOS!$C$1480))-(CROQUIS_DATOS!$C$1479)&gt;0.5,(CROQUIS_DATOS!$C$1481)-(0)&gt;0.5),(CROQUIS_DATOS!$C$1566+(IF(IF(MOD(MIN(INT(($A56-1)/2)+1,MAX(1,INT(((((CROQUIS_DATOS!$C$1479+CROQUIS_DATOS!$C$1480))-(CROQUIS_DATOS!$C$1479))+((CROQUIS_DATOS!$C$1481)*CROQUIS_DATOS!$C$1561-(0)*CROQUIS_DATOS!$C$1561))/CROQUIS_DATOS!$C$1568-0.000001))),2)=1,IF(INT(($A56-1)/2)+1&gt;MAX(1,INT(((((CROQUIS_DATOS!$C$1479+CROQUIS_DATOS!$C$1480))-(CROQUIS_DATOS!$C$1479))+((CROQUIS_DATOS!$C$1481)*CROQUIS_DATOS!$C$1561-(0)*CROQUIS_DATOS!$C$1561))/CROQUIS_DATOS!$C$1568-0.000001)),1,MOD($A56-1,2)),1-IF(INT(($A56-1)/2)+1&gt;MAX(1,INT(((((CROQUIS_DATOS!$C$1479+CROQUIS_DATOS!$C$1480))-(CROQUIS_DATOS!$C$1479))+((CROQUIS_DATOS!$C$1481)*CROQUIS_DATOS!$C$1561-(0)*CROQUIS_DATOS!$C$1561))/CROQUIS_DATOS!$C$1568-0.000001)),1,MOD($A56-1,2)))=1,MIN((CROQUIS_DATOS!$C$1481)*CROQUIS_DATOS!$C$1561,((CROQUIS_DATOS!$C$1479+CROQUIS_DATOS!$C$1480)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6">
        <f>IF(AND(CROQUIS_DATOS!$C$1472=1,CROQUIS_DATOS!$C$1478&gt;=1,((CROQUIS_DATOS!$C$1479+CROQUIS_DATOS!$C$1480))-(CROQUIS_DATOS!$C$1479)&gt;0.5,(CROQUIS_DATOS!$C$1481)-(0)&gt;0.5),(CROQUIS_DATOS!$C$1567+(IF(IF(MOD(MIN(INT(($A56-1)/2)+1,MAX(1,INT(((((CROQUIS_DATOS!$C$1479+CROQUIS_DATOS!$C$1480))-(CROQUIS_DATOS!$C$1479))+((CROQUIS_DATOS!$C$1481)*CROQUIS_DATOS!$C$1561-(0)*CROQUIS_DATOS!$C$1561))/CROQUIS_DATOS!$C$1568-0.000001))),2)=1,IF(INT(($A56-1)/2)+1&gt;MAX(1,INT(((((CROQUIS_DATOS!$C$1479+CROQUIS_DATOS!$C$1480))-(CROQUIS_DATOS!$C$1479))+((CROQUIS_DATOS!$C$1481)*CROQUIS_DATOS!$C$1561-(0)*CROQUIS_DATOS!$C$1561))/CROQUIS_DATOS!$C$1568-0.000001)),1,MOD($A56-1,2)),1-IF(INT(($A56-1)/2)+1&gt;MAX(1,INT(((((CROQUIS_DATOS!$C$1479+CROQUIS_DATOS!$C$1480))-(CROQUIS_DATOS!$C$1479))+((CROQUIS_DATOS!$C$1481)*CROQUIS_DATOS!$C$1561-(0)*CROQUIS_DATOS!$C$1561))/CROQUIS_DATOS!$C$1568-0.000001)),1,MOD($A56-1,2)))=1,MIN((CROQUIS_DATOS!$C$1481)*CROQUIS_DATOS!$C$1561,((CROQUIS_DATOS!$C$1479+CROQUIS_DATOS!$C$1480)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6">
        <f>IF(AND(CROQUIS_DATOS!$C$1472=1,CROQUIS_DATOS!$C$1478&gt;=1,((CROQUIS_DATOS!$C$1479+CROQUIS_DATOS!$C$1480))-(CROQUIS_DATOS!$C$1479)&gt;0.5,(CROQUIS_DATOS!$C$1476)-((CROQUIS_DATOS!$C$1481+CROQUIS_DATOS!$C$1482))&gt;0.5),(CROQUIS_DATOS!$C$1566+(IF(IF(MOD(MIN(INT(($A56-1)/2)+1,MAX(1,INT(((((CROQUIS_DATOS!$C$1479+CROQUIS_DATOS!$C$1480))-(CROQUIS_DATOS!$C$1479))+((CROQUIS_DATOS!$C$1476)*CROQUIS_DATOS!$C$1561-((CROQUIS_DATOS!$C$1481+CROQUIS_DATOS!$C$1482))*CROQUIS_DATOS!$C$1561))/CROQUIS_DATOS!$C$1568-0.000001))),2)=1,IF(INT(($A56-1)/2)+1&gt;MAX(1,INT(((((CROQUIS_DATOS!$C$1479+CROQUIS_DATOS!$C$1480))-(CROQUIS_DATOS!$C$1479))+((CROQUIS_DATOS!$C$1476)*CROQUIS_DATOS!$C$1561-((CROQUIS_DATOS!$C$1481+CROQUIS_DATOS!$C$1482))*CROQUIS_DATOS!$C$1561))/CROQUIS_DATOS!$C$1568-0.000001)),1,MOD($A56-1,2)),1-IF(INT(($A56-1)/2)+1&gt;MAX(1,INT(((((CROQUIS_DATOS!$C$1479+CROQUIS_DATOS!$C$1480))-(CROQUIS_DATOS!$C$1479))+((CROQUIS_DATOS!$C$1476)*CROQUIS_DATOS!$C$1561-((CROQUIS_DATOS!$C$1481+CROQUIS_DATOS!$C$1482))*CROQUIS_DATOS!$C$1561))/CROQUIS_DATOS!$C$1568-0.000001)),1,MOD($A56-1,2)))=1,MIN((CROQUIS_DATOS!$C$1476)*CROQUIS_DATOS!$C$1561,((CROQUIS_DATOS!$C$1479+CROQUIS_DATOS!$C$1480)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6">
        <f>IF(AND(CROQUIS_DATOS!$C$1472=1,CROQUIS_DATOS!$C$1478&gt;=1,((CROQUIS_DATOS!$C$1479+CROQUIS_DATOS!$C$1480))-(CROQUIS_DATOS!$C$1479)&gt;0.5,(CROQUIS_DATOS!$C$1476)-((CROQUIS_DATOS!$C$1481+CROQUIS_DATOS!$C$1482))&gt;0.5),(CROQUIS_DATOS!$C$1567+(IF(IF(MOD(MIN(INT(($A56-1)/2)+1,MAX(1,INT(((((CROQUIS_DATOS!$C$1479+CROQUIS_DATOS!$C$1480))-(CROQUIS_DATOS!$C$1479))+((CROQUIS_DATOS!$C$1476)*CROQUIS_DATOS!$C$1561-((CROQUIS_DATOS!$C$1481+CROQUIS_DATOS!$C$1482))*CROQUIS_DATOS!$C$1561))/CROQUIS_DATOS!$C$1568-0.000001))),2)=1,IF(INT(($A56-1)/2)+1&gt;MAX(1,INT(((((CROQUIS_DATOS!$C$1479+CROQUIS_DATOS!$C$1480))-(CROQUIS_DATOS!$C$1479))+((CROQUIS_DATOS!$C$1476)*CROQUIS_DATOS!$C$1561-((CROQUIS_DATOS!$C$1481+CROQUIS_DATOS!$C$1482))*CROQUIS_DATOS!$C$1561))/CROQUIS_DATOS!$C$1568-0.000001)),1,MOD($A56-1,2)),1-IF(INT(($A56-1)/2)+1&gt;MAX(1,INT(((((CROQUIS_DATOS!$C$1479+CROQUIS_DATOS!$C$1480))-(CROQUIS_DATOS!$C$1479))+((CROQUIS_DATOS!$C$1476)*CROQUIS_DATOS!$C$1561-((CROQUIS_DATOS!$C$1481+CROQUIS_DATOS!$C$1482))*CROQUIS_DATOS!$C$1561))/CROQUIS_DATOS!$C$1568-0.000001)),1,MOD($A56-1,2)))=1,MIN((CROQUIS_DATOS!$C$1476)*CROQUIS_DATOS!$C$1561,((CROQUIS_DATOS!$C$1479+CROQUIS_DATOS!$C$1480)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6">
        <f>IF(AND(CROQUIS_DATOS!$C$1472=1,CROQUIS_DATOS!$C$1478&gt;=2,((CROQUIS_DATOS!$C$1484+CROQUIS_DATOS!$C$1485))-(CROQUIS_DATOS!$C$1484)&gt;0.5,(CROQUIS_DATOS!$C$1486)-(0)&gt;0.5),(CROQUIS_DATOS!$C$1566+(IF(IF(MOD(MIN(INT(($A56-1)/2)+1,MAX(1,INT(((((CROQUIS_DATOS!$C$1484+CROQUIS_DATOS!$C$1485))-(CROQUIS_DATOS!$C$1484))+((CROQUIS_DATOS!$C$1486)*CROQUIS_DATOS!$C$1561-(0)*CROQUIS_DATOS!$C$1561))/CROQUIS_DATOS!$C$1568-0.000001))),2)=1,IF(INT(($A56-1)/2)+1&gt;MAX(1,INT(((((CROQUIS_DATOS!$C$1484+CROQUIS_DATOS!$C$1485))-(CROQUIS_DATOS!$C$1484))+((CROQUIS_DATOS!$C$1486)*CROQUIS_DATOS!$C$1561-(0)*CROQUIS_DATOS!$C$1561))/CROQUIS_DATOS!$C$1568-0.000001)),1,MOD($A56-1,2)),1-IF(INT(($A56-1)/2)+1&gt;MAX(1,INT(((((CROQUIS_DATOS!$C$1484+CROQUIS_DATOS!$C$1485))-(CROQUIS_DATOS!$C$1484))+((CROQUIS_DATOS!$C$1486)*CROQUIS_DATOS!$C$1561-(0)*CROQUIS_DATOS!$C$1561))/CROQUIS_DATOS!$C$1568-0.000001)),1,MOD($A56-1,2)))=1,MIN((CROQUIS_DATOS!$C$1486)*CROQUIS_DATOS!$C$1561,((CROQUIS_DATOS!$C$1484+CROQUIS_DATOS!$C$1485)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6">
        <f>IF(AND(CROQUIS_DATOS!$C$1472=1,CROQUIS_DATOS!$C$1478&gt;=2,((CROQUIS_DATOS!$C$1484+CROQUIS_DATOS!$C$1485))-(CROQUIS_DATOS!$C$1484)&gt;0.5,(CROQUIS_DATOS!$C$1486)-(0)&gt;0.5),(CROQUIS_DATOS!$C$1567+(IF(IF(MOD(MIN(INT(($A56-1)/2)+1,MAX(1,INT(((((CROQUIS_DATOS!$C$1484+CROQUIS_DATOS!$C$1485))-(CROQUIS_DATOS!$C$1484))+((CROQUIS_DATOS!$C$1486)*CROQUIS_DATOS!$C$1561-(0)*CROQUIS_DATOS!$C$1561))/CROQUIS_DATOS!$C$1568-0.000001))),2)=1,IF(INT(($A56-1)/2)+1&gt;MAX(1,INT(((((CROQUIS_DATOS!$C$1484+CROQUIS_DATOS!$C$1485))-(CROQUIS_DATOS!$C$1484))+((CROQUIS_DATOS!$C$1486)*CROQUIS_DATOS!$C$1561-(0)*CROQUIS_DATOS!$C$1561))/CROQUIS_DATOS!$C$1568-0.000001)),1,MOD($A56-1,2)),1-IF(INT(($A56-1)/2)+1&gt;MAX(1,INT(((((CROQUIS_DATOS!$C$1484+CROQUIS_DATOS!$C$1485))-(CROQUIS_DATOS!$C$1484))+((CROQUIS_DATOS!$C$1486)*CROQUIS_DATOS!$C$1561-(0)*CROQUIS_DATOS!$C$1561))/CROQUIS_DATOS!$C$1568-0.000001)),1,MOD($A56-1,2)))=1,MIN((CROQUIS_DATOS!$C$1486)*CROQUIS_DATOS!$C$1561,((CROQUIS_DATOS!$C$1484+CROQUIS_DATOS!$C$1485)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6">
        <f>IF(AND(CROQUIS_DATOS!$C$1472=1,CROQUIS_DATOS!$C$1478&gt;=2,((CROQUIS_DATOS!$C$1484+CROQUIS_DATOS!$C$1485))-(CROQUIS_DATOS!$C$1484)&gt;0.5,(CROQUIS_DATOS!$C$1476)-((CROQUIS_DATOS!$C$1486+CROQUIS_DATOS!$C$1487))&gt;0.5),(CROQUIS_DATOS!$C$1566+(IF(IF(MOD(MIN(INT(($A56-1)/2)+1,MAX(1,INT(((((CROQUIS_DATOS!$C$1484+CROQUIS_DATOS!$C$1485))-(CROQUIS_DATOS!$C$1484))+((CROQUIS_DATOS!$C$1476)*CROQUIS_DATOS!$C$1561-((CROQUIS_DATOS!$C$1486+CROQUIS_DATOS!$C$1487))*CROQUIS_DATOS!$C$1561))/CROQUIS_DATOS!$C$1568-0.000001))),2)=1,IF(INT(($A56-1)/2)+1&gt;MAX(1,INT(((((CROQUIS_DATOS!$C$1484+CROQUIS_DATOS!$C$1485))-(CROQUIS_DATOS!$C$1484))+((CROQUIS_DATOS!$C$1476)*CROQUIS_DATOS!$C$1561-((CROQUIS_DATOS!$C$1486+CROQUIS_DATOS!$C$1487))*CROQUIS_DATOS!$C$1561))/CROQUIS_DATOS!$C$1568-0.000001)),1,MOD($A56-1,2)),1-IF(INT(($A56-1)/2)+1&gt;MAX(1,INT(((((CROQUIS_DATOS!$C$1484+CROQUIS_DATOS!$C$1485))-(CROQUIS_DATOS!$C$1484))+((CROQUIS_DATOS!$C$1476)*CROQUIS_DATOS!$C$1561-((CROQUIS_DATOS!$C$1486+CROQUIS_DATOS!$C$1487))*CROQUIS_DATOS!$C$1561))/CROQUIS_DATOS!$C$1568-0.000001)),1,MOD($A56-1,2)))=1,MIN((CROQUIS_DATOS!$C$1476)*CROQUIS_DATOS!$C$1561,((CROQUIS_DATOS!$C$1484+CROQUIS_DATOS!$C$1485)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6">
        <f>IF(AND(CROQUIS_DATOS!$C$1472=1,CROQUIS_DATOS!$C$1478&gt;=2,((CROQUIS_DATOS!$C$1484+CROQUIS_DATOS!$C$1485))-(CROQUIS_DATOS!$C$1484)&gt;0.5,(CROQUIS_DATOS!$C$1476)-((CROQUIS_DATOS!$C$1486+CROQUIS_DATOS!$C$1487))&gt;0.5),(CROQUIS_DATOS!$C$1567+(IF(IF(MOD(MIN(INT(($A56-1)/2)+1,MAX(1,INT(((((CROQUIS_DATOS!$C$1484+CROQUIS_DATOS!$C$1485))-(CROQUIS_DATOS!$C$1484))+((CROQUIS_DATOS!$C$1476)*CROQUIS_DATOS!$C$1561-((CROQUIS_DATOS!$C$1486+CROQUIS_DATOS!$C$1487))*CROQUIS_DATOS!$C$1561))/CROQUIS_DATOS!$C$1568-0.000001))),2)=1,IF(INT(($A56-1)/2)+1&gt;MAX(1,INT(((((CROQUIS_DATOS!$C$1484+CROQUIS_DATOS!$C$1485))-(CROQUIS_DATOS!$C$1484))+((CROQUIS_DATOS!$C$1476)*CROQUIS_DATOS!$C$1561-((CROQUIS_DATOS!$C$1486+CROQUIS_DATOS!$C$1487))*CROQUIS_DATOS!$C$1561))/CROQUIS_DATOS!$C$1568-0.000001)),1,MOD($A56-1,2)),1-IF(INT(($A56-1)/2)+1&gt;MAX(1,INT(((((CROQUIS_DATOS!$C$1484+CROQUIS_DATOS!$C$1485))-(CROQUIS_DATOS!$C$1484))+((CROQUIS_DATOS!$C$1476)*CROQUIS_DATOS!$C$1561-((CROQUIS_DATOS!$C$1486+CROQUIS_DATOS!$C$1487))*CROQUIS_DATOS!$C$1561))/CROQUIS_DATOS!$C$1568-0.000001)),1,MOD($A56-1,2)))=1,MIN((CROQUIS_DATOS!$C$1476)*CROQUIS_DATOS!$C$1561,((CROQUIS_DATOS!$C$1484+CROQUIS_DATOS!$C$1485)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6">
        <f>IF(AND(CROQUIS_DATOS!$C$1472=1,CROQUIS_DATOS!$C$1478&gt;=3,((CROQUIS_DATOS!$C$1489+CROQUIS_DATOS!$C$1490))-(CROQUIS_DATOS!$C$1489)&gt;0.5,(CROQUIS_DATOS!$C$1491)-(0)&gt;0.5),(CROQUIS_DATOS!$C$1566+(IF(IF(MOD(MIN(INT(($A56-1)/2)+1,MAX(1,INT(((((CROQUIS_DATOS!$C$1489+CROQUIS_DATOS!$C$1490))-(CROQUIS_DATOS!$C$1489))+((CROQUIS_DATOS!$C$1491)*CROQUIS_DATOS!$C$1561-(0)*CROQUIS_DATOS!$C$1561))/CROQUIS_DATOS!$C$1568-0.000001))),2)=1,IF(INT(($A56-1)/2)+1&gt;MAX(1,INT(((((CROQUIS_DATOS!$C$1489+CROQUIS_DATOS!$C$1490))-(CROQUIS_DATOS!$C$1489))+((CROQUIS_DATOS!$C$1491)*CROQUIS_DATOS!$C$1561-(0)*CROQUIS_DATOS!$C$1561))/CROQUIS_DATOS!$C$1568-0.000001)),1,MOD($A56-1,2)),1-IF(INT(($A56-1)/2)+1&gt;MAX(1,INT(((((CROQUIS_DATOS!$C$1489+CROQUIS_DATOS!$C$1490))-(CROQUIS_DATOS!$C$1489))+((CROQUIS_DATOS!$C$1491)*CROQUIS_DATOS!$C$1561-(0)*CROQUIS_DATOS!$C$1561))/CROQUIS_DATOS!$C$1568-0.000001)),1,MOD($A56-1,2)))=1,MIN((CROQUIS_DATOS!$C$1491)*CROQUIS_DATOS!$C$1561,((CROQUIS_DATOS!$C$1489+CROQUIS_DATOS!$C$1490)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6">
        <f>IF(AND(CROQUIS_DATOS!$C$1472=1,CROQUIS_DATOS!$C$1478&gt;=3,((CROQUIS_DATOS!$C$1489+CROQUIS_DATOS!$C$1490))-(CROQUIS_DATOS!$C$1489)&gt;0.5,(CROQUIS_DATOS!$C$1491)-(0)&gt;0.5),(CROQUIS_DATOS!$C$1567+(IF(IF(MOD(MIN(INT(($A56-1)/2)+1,MAX(1,INT(((((CROQUIS_DATOS!$C$1489+CROQUIS_DATOS!$C$1490))-(CROQUIS_DATOS!$C$1489))+((CROQUIS_DATOS!$C$1491)*CROQUIS_DATOS!$C$1561-(0)*CROQUIS_DATOS!$C$1561))/CROQUIS_DATOS!$C$1568-0.000001))),2)=1,IF(INT(($A56-1)/2)+1&gt;MAX(1,INT(((((CROQUIS_DATOS!$C$1489+CROQUIS_DATOS!$C$1490))-(CROQUIS_DATOS!$C$1489))+((CROQUIS_DATOS!$C$1491)*CROQUIS_DATOS!$C$1561-(0)*CROQUIS_DATOS!$C$1561))/CROQUIS_DATOS!$C$1568-0.000001)),1,MOD($A56-1,2)),1-IF(INT(($A56-1)/2)+1&gt;MAX(1,INT(((((CROQUIS_DATOS!$C$1489+CROQUIS_DATOS!$C$1490))-(CROQUIS_DATOS!$C$1489))+((CROQUIS_DATOS!$C$1491)*CROQUIS_DATOS!$C$1561-(0)*CROQUIS_DATOS!$C$1561))/CROQUIS_DATOS!$C$1568-0.000001)),1,MOD($A56-1,2)))=1,MIN((CROQUIS_DATOS!$C$1491)*CROQUIS_DATOS!$C$1561,((CROQUIS_DATOS!$C$1489+CROQUIS_DATOS!$C$1490)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6">
        <f>IF(AND(CROQUIS_DATOS!$C$1472=1,CROQUIS_DATOS!$C$1478&gt;=3,((CROQUIS_DATOS!$C$1489+CROQUIS_DATOS!$C$1490))-(CROQUIS_DATOS!$C$1489)&gt;0.5,(CROQUIS_DATOS!$C$1476)-((CROQUIS_DATOS!$C$1491+CROQUIS_DATOS!$C$1492))&gt;0.5),(CROQUIS_DATOS!$C$1566+(IF(IF(MOD(MIN(INT(($A56-1)/2)+1,MAX(1,INT(((((CROQUIS_DATOS!$C$1489+CROQUIS_DATOS!$C$1490))-(CROQUIS_DATOS!$C$1489))+((CROQUIS_DATOS!$C$1476)*CROQUIS_DATOS!$C$1561-((CROQUIS_DATOS!$C$1491+CROQUIS_DATOS!$C$1492))*CROQUIS_DATOS!$C$1561))/CROQUIS_DATOS!$C$1568-0.000001))),2)=1,IF(INT(($A56-1)/2)+1&gt;MAX(1,INT(((((CROQUIS_DATOS!$C$1489+CROQUIS_DATOS!$C$1490))-(CROQUIS_DATOS!$C$1489))+((CROQUIS_DATOS!$C$1476)*CROQUIS_DATOS!$C$1561-((CROQUIS_DATOS!$C$1491+CROQUIS_DATOS!$C$1492))*CROQUIS_DATOS!$C$1561))/CROQUIS_DATOS!$C$1568-0.000001)),1,MOD($A56-1,2)),1-IF(INT(($A56-1)/2)+1&gt;MAX(1,INT(((((CROQUIS_DATOS!$C$1489+CROQUIS_DATOS!$C$1490))-(CROQUIS_DATOS!$C$1489))+((CROQUIS_DATOS!$C$1476)*CROQUIS_DATOS!$C$1561-((CROQUIS_DATOS!$C$1491+CROQUIS_DATOS!$C$1492))*CROQUIS_DATOS!$C$1561))/CROQUIS_DATOS!$C$1568-0.000001)),1,MOD($A56-1,2)))=1,MIN((CROQUIS_DATOS!$C$1476)*CROQUIS_DATOS!$C$1561,((CROQUIS_DATOS!$C$1489+CROQUIS_DATOS!$C$1490)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6">
        <f>IF(AND(CROQUIS_DATOS!$C$1472=1,CROQUIS_DATOS!$C$1478&gt;=3,((CROQUIS_DATOS!$C$1489+CROQUIS_DATOS!$C$1490))-(CROQUIS_DATOS!$C$1489)&gt;0.5,(CROQUIS_DATOS!$C$1476)-((CROQUIS_DATOS!$C$1491+CROQUIS_DATOS!$C$1492))&gt;0.5),(CROQUIS_DATOS!$C$1567+(IF(IF(MOD(MIN(INT(($A56-1)/2)+1,MAX(1,INT(((((CROQUIS_DATOS!$C$1489+CROQUIS_DATOS!$C$1490))-(CROQUIS_DATOS!$C$1489))+((CROQUIS_DATOS!$C$1476)*CROQUIS_DATOS!$C$1561-((CROQUIS_DATOS!$C$1491+CROQUIS_DATOS!$C$1492))*CROQUIS_DATOS!$C$1561))/CROQUIS_DATOS!$C$1568-0.000001))),2)=1,IF(INT(($A56-1)/2)+1&gt;MAX(1,INT(((((CROQUIS_DATOS!$C$1489+CROQUIS_DATOS!$C$1490))-(CROQUIS_DATOS!$C$1489))+((CROQUIS_DATOS!$C$1476)*CROQUIS_DATOS!$C$1561-((CROQUIS_DATOS!$C$1491+CROQUIS_DATOS!$C$1492))*CROQUIS_DATOS!$C$1561))/CROQUIS_DATOS!$C$1568-0.000001)),1,MOD($A56-1,2)),1-IF(INT(($A56-1)/2)+1&gt;MAX(1,INT(((((CROQUIS_DATOS!$C$1489+CROQUIS_DATOS!$C$1490))-(CROQUIS_DATOS!$C$1489))+((CROQUIS_DATOS!$C$1476)*CROQUIS_DATOS!$C$1561-((CROQUIS_DATOS!$C$1491+CROQUIS_DATOS!$C$1492))*CROQUIS_DATOS!$C$1561))/CROQUIS_DATOS!$C$1568-0.000001)),1,MOD($A56-1,2)))=1,MIN((CROQUIS_DATOS!$C$1476)*CROQUIS_DATOS!$C$1561,((CROQUIS_DATOS!$C$1489+CROQUIS_DATOS!$C$1490)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6">
        <f>IF(AND(CROQUIS_DATOS!$C$1472=1,CROQUIS_DATOS!$C$1478&gt;=4,((CROQUIS_DATOS!$C$1494+CROQUIS_DATOS!$C$1495))-(CROQUIS_DATOS!$C$1494)&gt;0.5,(CROQUIS_DATOS!$C$1496)-(0)&gt;0.5),(CROQUIS_DATOS!$C$1566+(IF(IF(MOD(MIN(INT(($A56-1)/2)+1,MAX(1,INT(((((CROQUIS_DATOS!$C$1494+CROQUIS_DATOS!$C$1495))-(CROQUIS_DATOS!$C$1494))+((CROQUIS_DATOS!$C$1496)*CROQUIS_DATOS!$C$1561-(0)*CROQUIS_DATOS!$C$1561))/CROQUIS_DATOS!$C$1568-0.000001))),2)=1,IF(INT(($A56-1)/2)+1&gt;MAX(1,INT(((((CROQUIS_DATOS!$C$1494+CROQUIS_DATOS!$C$1495))-(CROQUIS_DATOS!$C$1494))+((CROQUIS_DATOS!$C$1496)*CROQUIS_DATOS!$C$1561-(0)*CROQUIS_DATOS!$C$1561))/CROQUIS_DATOS!$C$1568-0.000001)),1,MOD($A56-1,2)),1-IF(INT(($A56-1)/2)+1&gt;MAX(1,INT(((((CROQUIS_DATOS!$C$1494+CROQUIS_DATOS!$C$1495))-(CROQUIS_DATOS!$C$1494))+((CROQUIS_DATOS!$C$1496)*CROQUIS_DATOS!$C$1561-(0)*CROQUIS_DATOS!$C$1561))/CROQUIS_DATOS!$C$1568-0.000001)),1,MOD($A56-1,2)))=1,MIN((CROQUIS_DATOS!$C$1496)*CROQUIS_DATOS!$C$1561,((CROQUIS_DATOS!$C$1494+CROQUIS_DATOS!$C$1495)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6">
        <f>IF(AND(CROQUIS_DATOS!$C$1472=1,CROQUIS_DATOS!$C$1478&gt;=4,((CROQUIS_DATOS!$C$1494+CROQUIS_DATOS!$C$1495))-(CROQUIS_DATOS!$C$1494)&gt;0.5,(CROQUIS_DATOS!$C$1496)-(0)&gt;0.5),(CROQUIS_DATOS!$C$1567+(IF(IF(MOD(MIN(INT(($A56-1)/2)+1,MAX(1,INT(((((CROQUIS_DATOS!$C$1494+CROQUIS_DATOS!$C$1495))-(CROQUIS_DATOS!$C$1494))+((CROQUIS_DATOS!$C$1496)*CROQUIS_DATOS!$C$1561-(0)*CROQUIS_DATOS!$C$1561))/CROQUIS_DATOS!$C$1568-0.000001))),2)=1,IF(INT(($A56-1)/2)+1&gt;MAX(1,INT(((((CROQUIS_DATOS!$C$1494+CROQUIS_DATOS!$C$1495))-(CROQUIS_DATOS!$C$1494))+((CROQUIS_DATOS!$C$1496)*CROQUIS_DATOS!$C$1561-(0)*CROQUIS_DATOS!$C$1561))/CROQUIS_DATOS!$C$1568-0.000001)),1,MOD($A56-1,2)),1-IF(INT(($A56-1)/2)+1&gt;MAX(1,INT(((((CROQUIS_DATOS!$C$1494+CROQUIS_DATOS!$C$1495))-(CROQUIS_DATOS!$C$1494))+((CROQUIS_DATOS!$C$1496)*CROQUIS_DATOS!$C$1561-(0)*CROQUIS_DATOS!$C$1561))/CROQUIS_DATOS!$C$1568-0.000001)),1,MOD($A56-1,2)))=1,MIN((CROQUIS_DATOS!$C$1496)*CROQUIS_DATOS!$C$1561,((CROQUIS_DATOS!$C$1494+CROQUIS_DATOS!$C$1495)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6">
        <f>IF(AND(CROQUIS_DATOS!$C$1472=1,CROQUIS_DATOS!$C$1478&gt;=4,((CROQUIS_DATOS!$C$1494+CROQUIS_DATOS!$C$1495))-(CROQUIS_DATOS!$C$1494)&gt;0.5,(CROQUIS_DATOS!$C$1476)-((CROQUIS_DATOS!$C$1496+CROQUIS_DATOS!$C$1497))&gt;0.5),(CROQUIS_DATOS!$C$1566+(IF(IF(MOD(MIN(INT(($A56-1)/2)+1,MAX(1,INT(((((CROQUIS_DATOS!$C$1494+CROQUIS_DATOS!$C$1495))-(CROQUIS_DATOS!$C$1494))+((CROQUIS_DATOS!$C$1476)*CROQUIS_DATOS!$C$1561-((CROQUIS_DATOS!$C$1496+CROQUIS_DATOS!$C$1497))*CROQUIS_DATOS!$C$1561))/CROQUIS_DATOS!$C$1568-0.000001))),2)=1,IF(INT(($A56-1)/2)+1&gt;MAX(1,INT(((((CROQUIS_DATOS!$C$1494+CROQUIS_DATOS!$C$1495))-(CROQUIS_DATOS!$C$1494))+((CROQUIS_DATOS!$C$1476)*CROQUIS_DATOS!$C$1561-((CROQUIS_DATOS!$C$1496+CROQUIS_DATOS!$C$1497))*CROQUIS_DATOS!$C$1561))/CROQUIS_DATOS!$C$1568-0.000001)),1,MOD($A56-1,2)),1-IF(INT(($A56-1)/2)+1&gt;MAX(1,INT(((((CROQUIS_DATOS!$C$1494+CROQUIS_DATOS!$C$1495))-(CROQUIS_DATOS!$C$1494))+((CROQUIS_DATOS!$C$1476)*CROQUIS_DATOS!$C$1561-((CROQUIS_DATOS!$C$1496+CROQUIS_DATOS!$C$1497))*CROQUIS_DATOS!$C$1561))/CROQUIS_DATOS!$C$1568-0.000001)),1,MOD($A56-1,2)))=1,MIN((CROQUIS_DATOS!$C$1476)*CROQUIS_DATOS!$C$1561,((CROQUIS_DATOS!$C$1494+CROQUIS_DATOS!$C$1495)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6">
        <f>IF(AND(CROQUIS_DATOS!$C$1472=1,CROQUIS_DATOS!$C$1478&gt;=4,((CROQUIS_DATOS!$C$1494+CROQUIS_DATOS!$C$1495))-(CROQUIS_DATOS!$C$1494)&gt;0.5,(CROQUIS_DATOS!$C$1476)-((CROQUIS_DATOS!$C$1496+CROQUIS_DATOS!$C$1497))&gt;0.5),(CROQUIS_DATOS!$C$1567+(IF(IF(MOD(MIN(INT(($A56-1)/2)+1,MAX(1,INT(((((CROQUIS_DATOS!$C$1494+CROQUIS_DATOS!$C$1495))-(CROQUIS_DATOS!$C$1494))+((CROQUIS_DATOS!$C$1476)*CROQUIS_DATOS!$C$1561-((CROQUIS_DATOS!$C$1496+CROQUIS_DATOS!$C$1497))*CROQUIS_DATOS!$C$1561))/CROQUIS_DATOS!$C$1568-0.000001))),2)=1,IF(INT(($A56-1)/2)+1&gt;MAX(1,INT(((((CROQUIS_DATOS!$C$1494+CROQUIS_DATOS!$C$1495))-(CROQUIS_DATOS!$C$1494))+((CROQUIS_DATOS!$C$1476)*CROQUIS_DATOS!$C$1561-((CROQUIS_DATOS!$C$1496+CROQUIS_DATOS!$C$1497))*CROQUIS_DATOS!$C$1561))/CROQUIS_DATOS!$C$1568-0.000001)),1,MOD($A56-1,2)),1-IF(INT(($A56-1)/2)+1&gt;MAX(1,INT(((((CROQUIS_DATOS!$C$1494+CROQUIS_DATOS!$C$1495))-(CROQUIS_DATOS!$C$1494))+((CROQUIS_DATOS!$C$1476)*CROQUIS_DATOS!$C$1561-((CROQUIS_DATOS!$C$1496+CROQUIS_DATOS!$C$1497))*CROQUIS_DATOS!$C$1561))/CROQUIS_DATOS!$C$1568-0.000001)),1,MOD($A56-1,2)))=1,MIN((CROQUIS_DATOS!$C$1476)*CROQUIS_DATOS!$C$1561,((CROQUIS_DATOS!$C$1494+CROQUIS_DATOS!$C$1495)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6">
        <f>IF(AND(CROQUIS_DATOS!$C$1472=1,1),(CROQUIS_DATOS!$C$1571+(CHOOSE(MIN(MAX(IF(INT(($A56-1)/5)+1&gt;CROQUIS_DATOS!$C$1525,5,MOD($A56-1,5)+1),1),5),(INDEX($E$8:$E$23,MIN(INT(($A56-1)/5)+1,CROQUIS_DATOS!$C$1525))-INDEX($F$8:$F$23,MIN(INT(($A56-1)/5)+1,CROQUIS_DATOS!$C$1525))/2),(INDEX($E$8:$E$23,MIN(INT(($A56-1)/5)+1,CROQUIS_DATOS!$C$1525))+INDEX($F$8:$F$23,MIN(INT(($A56-1)/5)+1,CROQUIS_DATOS!$C$1525))/2),(INDEX($E$8:$E$23,MIN(INT(($A56-1)/5)+1,CROQUIS_DATOS!$C$1525))+INDEX($F$8:$F$23,MIN(INT(($A56-1)/5)+1,CROQUIS_DATOS!$C$1525))/2),(INDEX($E$8:$E$23,MIN(INT(($A56-1)/5)+1,CROQUIS_DATOS!$C$1525))-INDEX($F$8:$F$23,MIN(INT(($A56-1)/5)+1,CROQUIS_DATOS!$C$1525))/2),(INDEX($E$8:$E$23,MIN(INT(($A56-1)/5)+1,CROQUIS_DATOS!$C$1525))-INDEX($F$8:$F$23,MIN(INT(($A56-1)/5)+1,CROQUIS_DATOS!$C$1525))/2)))*CROQUIS_DATOS!$C$1569),-1000)</f>
        <v>95.24</v>
      </c>
      <c r="GE56">
        <f>IF(AND(CROQUIS_DATOS!$C$1472=1,1),(CROQUIS_DATOS!$C$1572+(CHOOSE(MIN(MAX(IF(INT(($A56-1)/5)+1&gt;CROQUIS_DATOS!$C$1525,5,MOD($A56-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6">
        <f>IF(AND(CROQUIS_DATOS!$C$1472=1,1),IF(INT(($A56-1)/4)+1&lt;=CROQUIS_DATOS!$C$1525,(CROQUIS_DATOS!$C$1571+((INDEX($E$8:$E$23,MIN(INT(($A56-1)/4)+1,16))+IF(OR(MOD($A56-1,4)=0,MOD($A56-1,4)=3),-1,1)*(INDEX($F$8:$F$23,MIN(INT(($A56-1)/4)+1,16))/2-(CROQUIS_DATOS!$C$1530+CROQUIS_DATOS!$C$1532+IF(OR(INT(($A56-1)/4)+1=1,INT(($A56-1)/4)+1=CROQUIS_DATOS!$C$1525),CROQUIS_DATOS!$C$1534,CROQUIS_DATOS!$C$1531)/2))))*CROQUIS_DATOS!$C$1569),-1000),-1000)</f>
        <v>-1000</v>
      </c>
      <c r="GG56">
        <f>IF(AND(CROQUIS_DATOS!$C$1472=1,1),IF(INT(($A56-1)/4)+1&lt;=CROQUIS_DATOS!$C$1525,(CROQUIS_DATOS!$C$1572+((CROQUIS_DATOS!$C$1477/2+IF(MOD($A56-1,4)&lt;2,-1,1)*(CROQUIS_DATOS!$C$1527/2-(CROQUIS_DATOS!$C$1530+CROQUIS_DATOS!$C$1532+IF(OR(INT(($A56-1)/4)+1=1,INT(($A56-1)/4)+1=CROQUIS_DATOS!$C$1525),CROQUIS_DATOS!$C$1534,CROQUIS_DATOS!$C$1531)/2))))*CROQUIS_DATOS!$C$1569*CROQUIS_DATOS!$C$1570),-1000),-1000)</f>
        <v>-1000</v>
      </c>
    </row>
    <row r="57">
      <c r="A57" t="n">
        <v>50</v>
      </c>
      <c r="J57">
        <f>IF(AND(CROQUIS_DATOS!$C$1472=1,1),(CROQUIS_DATOS!$C$1563+(CHOOSE(MIN(MAX(IF(INT(($A57-1)/4)+1&gt;CROQUIS_DATOS!$C$1525,4,MOD($A57-1,4)+1),1),4),(INDEX($E$8:$E$23,MIN(INT(($A57-1)/4)+1,CROQUIS_DATOS!$C$1525))-INDEX($F$8:$F$23,MIN(INT(($A57-1)/4)+1,CROQUIS_DATOS!$C$1525))/2),(INDEX($E$8:$E$23,MIN(INT(($A57-1)/4)+1,CROQUIS_DATOS!$C$1525))-INDEX($F$8:$F$23,MIN(INT(($A57-1)/4)+1,CROQUIS_DATOS!$C$1525))/2),(INDEX($E$8:$E$23,MIN(INT(($A57-1)/4)+1,CROQUIS_DATOS!$C$1525))+INDEX($F$8:$F$23,MIN(INT(($A57-1)/4)+1,CROQUIS_DATOS!$C$1525))/2),(INDEX($E$8:$E$23,MIN(INT(($A57-1)/4)+1,CROQUIS_DATOS!$C$1525))+INDEX($F$8:$F$23,MIN(INT(($A57-1)/4)+1,CROQUIS_DATOS!$C$1525))/2)))*CROQUIS_DATOS!$C$1562),-1000)</f>
        <v>84.9137931034483</v>
      </c>
      <c r="K57">
        <f>IF(AND(CROQUIS_DATOS!$C$1472=1,1),(CROQUIS_DATOS!$C$1564+(CHOOSE(MIN(MAX(IF(INT(($A57-1)/4)+1&gt;CROQUIS_DATOS!$C$1525,4,MOD($A57-1,4)+1),1),4),0,CROQUIS_DATOS!$C$1476,CROQUIS_DATOS!$C$1476,0))*CROQUIS_DATOS!$C$1561*CROQUIS_DATOS!$C$1562),-1000)</f>
        <v>5.29310344827586</v>
      </c>
      <c r="L57">
        <f>IF(AND(CROQUIS_DATOS!$C$1472=1,1),(CROQUIS_DATOS!$C$1563+(CHOOSE(MIN(MAX(IF(INT(($A57-1)/4)+1&gt;CROQUIS_DATOS!$C$1525,4,MOD($A57-1,4)+1),1),4),((INDEX($E$8:$E$23,MIN(INT(($A57-1)/4)+1,CROQUIS_DATOS!$C$1525))-INDEX($F$8:$F$23,MIN(INT(($A57-1)/4)+1,CROQUIS_DATOS!$C$1525))/2)+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,((INDEX($E$8:$E$23,MIN(INT(($A57-1)/4)+1,CROQUIS_DATOS!$C$1525))-INDEX($F$8:$F$23,MIN(INT(($A57-1)/4)+1,CROQUIS_DATOS!$C$1525))/2)+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,((INDEX($E$8:$E$23,MIN(INT(($A57-1)/4)+1,CROQUIS_DATOS!$C$1525))+INDEX($F$8:$F$23,MIN(INT(($A57-1)/4)+1,CROQUIS_DATOS!$C$1525))/2)-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,((INDEX($E$8:$E$23,MIN(INT(($A57-1)/4)+1,CROQUIS_DATOS!$C$1525))+INDEX($F$8:$F$23,MIN(INT(($A57-1)/4)+1,CROQUIS_DATOS!$C$1525))/2)-MIN((CROQUIS_DATOS!$C$1530+CROQUIS_DATOS!$C$1532+IF(OR(MIN(INT(($A57-1)/4)+1,CROQUIS_DATOS!$C$1525)=1,MIN(INT(($A57-1)/4)+1,CROQUIS_DATOS!$C$1525)=CROQUIS_DATOS!$C$1525),CROQUIS_DATOS!$C$1534,CROQUIS_DATOS!$C$1531)/2),INDEX($F$8:$F$23,MIN(INT(($A57-1)/4)+1,CROQUIS_DATOS!$C$1525))/2-0.5))))*CROQUIS_DATOS!$C$1562),-1000)</f>
        <v>84.4792560344828</v>
      </c>
      <c r="M57">
        <f>IF(AND(CROQUIS_DATOS!$C$1472=1,1),(CROQUIS_DATOS!$C$1564+(CHOOSE(MIN(MAX(IF(INT(($A57-1)/4)+1&gt;CROQUIS_DATOS!$C$1525,4,MOD($A57-1,4)+1),1),4),CROQUIS_DATOS!$C$1543,INDEX($I$8:$I$23,MIN(INT(($A57-1)/4)+1,CROQUIS_DATOS!$C$1525)),INDEX($I$8:$I$23,MIN(INT(($A57-1)/4)+1,CROQUIS_DATOS!$C$1525)),CROQUIS_DATOS!$C$1543))*CROQUIS_DATOS!$C$1561*CROQUIS_DATOS!$C$1562),-1000)</f>
        <v>42.5654629310345</v>
      </c>
      <c r="N57">
        <f>IF(AND(CROQUIS_DATOS!$C$1472=1,1),(CROQUIS_DATOS!$C$1563+(IF(IF(IF(INT(($A57-1)/70)+1&gt;CROQUIS_DATOS!$C$1525,70,MOD($A57-1,70)+1)=1,0,IF(IF(INT(($A57-1)/70)+1&gt;CROQUIS_DATOS!$C$1525,70,MOD($A57-1,70)+1)&gt;2*CROQUIS_DATOS!$C$1541+1,IF(MOD(CROQUIS_DATOS!$C$1541,2)=1,1,0),IF(MOD(MIN(INT((IF(INT(($A57-1)/70)+1&gt;CROQUIS_DATOS!$C$1525,70,MOD($A57-1,70)+1)-2)/2)+1,CROQUIS_DATOS!$C$1541),2)=1,IF(MOD(IF(INT(($A57-1)/70)+1&gt;CROQUIS_DATOS!$C$1525,70,MOD($A57-1,70)+1)-2,2)=0,0,1),IF(MOD(IF(INT(($A57-1)/70)+1&gt;CROQUIS_DATOS!$C$1525,70,MOD($A57-1,70)+1)-2,2)=0,1,0))))=0,(INDEX($E$8:$E$23,MIN(INT(($A57-1)/70)+1,CROQUIS_DATOS!$C$1525))-INDEX($F$8:$F$23,MIN(INT(($A57-1)/70)+1,CROQUIS_DATOS!$C$1525))/2),(INDEX($E$8:$E$23,MIN(INT(($A57-1)/70)+1,CROQUIS_DATOS!$C$1525))+INDEX($F$8:$F$23,MIN(INT(($A57-1)/70)+1,CROQUIS_DATOS!$C$1525))/2)))*CROQUIS_DATOS!$C$1562),-1000)</f>
        <v>15.0862068965517</v>
      </c>
      <c r="O57">
        <f>IF(AND(CROQUIS_DATOS!$C$1472=1,1),(CROQUIS_DATOS!$C$1564+(IF(OR(IF(INT(($A57-1)/70)+1&gt;CROQUIS_DATOS!$C$1525,70,MOD($A57-1,70)+1)=1,IF(INT(($A57-1)/70)+1&gt;CROQUIS_DATOS!$C$1525,70,MOD($A57-1,70)+1)&gt;2*CROQUIS_DATOS!$C$1541+1),CROQUIS_DATOS!$C$1476,INDEX($H$8:$H$41,MIN(INT((IF(INT(($A57-1)/70)+1&gt;CROQUIS_DATOS!$C$1525,70,MOD($A57-1,70)+1)-2)/2)+1,CROQUIS_DATOS!$C$1541))))*CROQUIS_DATOS!$C$1561*CROQUIS_DATOS!$C$1562),-1000)</f>
        <v>40.2068965517241</v>
      </c>
      <c r="P57">
        <f>IF(AND(CROQUIS_DATOS!$C$1472=1,CROQUIS_DATOS!$C$1555=1),(CROQUIS_DATOS!$C$1563+(IF(IF(OR(MOD($A57-1,62)+1=1,IF(CHOOSE(MIN(MAX(MIN(INT(($A57-1)/62)+1,5),1),5),CROQUIS_DATOS!$C$1501,CROQUIS_DATOS!$C$1505,CROQUIS_DATOS!$C$1509,CROQUIS_DATOS!$C$1513,CROQUIS_DATOS!$C$1517)=1,CROQUIS_DATOS!$C$1557,0)=0),0,IF(MOD($A57-1,62)+1&gt;2*IF(CHOOSE(MIN(MAX(MIN(INT(($A57-1)/62)+1,5),1),5),CROQUIS_DATOS!$C$1501,CROQUIS_DATOS!$C$1505,CROQUIS_DATOS!$C$1509,CROQUIS_DATOS!$C$1513,CROQUIS_DATOS!$C$1517)=1,CROQUIS_DATOS!$C$1557,0)+1,IF(MOD(IF(CHOOSE(MIN(MAX(MIN(INT(($A57-1)/62)+1,5),1),5),CROQUIS_DATOS!$C$1501,CROQUIS_DATOS!$C$1505,CROQUIS_DATOS!$C$1509,CROQUIS_DATOS!$C$1513,CROQUIS_DATOS!$C$1517)=1,CROQUIS_DATOS!$C$1557,0),2)=1,1,0),IF(MOD(MIN(INT((MOD($A57-1,62)+1-2)/2)+1,MAX(IF(CHOOSE(MIN(MAX(MIN(INT(($A57-1)/62)+1,5),1),5),CROQUIS_DATOS!$C$1501,CROQUIS_DATOS!$C$1505,CROQUIS_DATOS!$C$1509,CROQUIS_DATOS!$C$1513,CROQUIS_DATOS!$C$1517)=1,CROQUIS_DATOS!$C$1557,0),1)),2)=1,IF(MOD(MOD($A57-1,62)+1-2,2)=0,0,1),IF(MOD(MOD($A57-1,62)+1-2,2)=0,1,0))))=0,(CHOOSE(MIN(MAX(MIN(INT(($A57-1)/62)+1,5),1),5),CROQUIS_DATOS!$C$1499,CROQUIS_DATOS!$C$1503,CROQUIS_DATOS!$C$1507,CROQUIS_DATOS!$C$1511,CROQUIS_DATOS!$C$1515)+IF(CHOOSE(MIN(MAX(MIN(INT(($A57-1)/62)+1,5),1),5),CROQUIS_DATOS!$C$1501,CROQUIS_DATOS!$C$1505,CROQUIS_DATOS!$C$1509,CROQUIS_DATOS!$C$1513,CROQUIS_DATOS!$C$1517)=1,CROQUIS_DATOS!$C$1526,0)),(CHOOSE(MIN(MAX(MIN(INT(($A57-1)/62)+1,5),1),5),CROQUIS_DATOS!$C$1499,CROQUIS_DATOS!$C$1503,CROQUIS_DATOS!$C$1507,CROQUIS_DATOS!$C$1511,CROQUIS_DATOS!$C$1515)+CHOOSE(MIN(MAX(MIN(INT(($A57-1)/62)+1,5),1),5),CROQUIS_DATOS!$C$1500,CROQUIS_DATOS!$C$1504,CROQUIS_DATOS!$C$1508,CROQUIS_DATOS!$C$1512,CROQUIS_DATOS!$C$1516)-IF(CHOOSE(MIN(MAX(MIN(INT(($A57-1)/62)+1,5),1),5),CROQUIS_DATOS!$C$1501,CROQUIS_DATOS!$C$1505,CROQUIS_DATOS!$C$1509,CROQUIS_DATOS!$C$1513,CROQUIS_DATOS!$C$1517)=1,CROQUIS_DATOS!$C$1526,0))))*CROQUIS_DATOS!$C$1562),-1000)</f>
        <v>-1000</v>
      </c>
      <c r="Q57">
        <f>IF(AND(CROQUIS_DATOS!$C$1472=1,CROQUIS_DATOS!$C$1555=1),(CROQUIS_DATOS!$C$1564+(IF(OR(OR(MOD($A57-1,62)+1=1,IF(CHOOSE(MIN(MAX(MIN(INT(($A57-1)/62)+1,5),1),5),CROQUIS_DATOS!$C$1501,CROQUIS_DATOS!$C$1505,CROQUIS_DATOS!$C$1509,CROQUIS_DATOS!$C$1513,CROQUIS_DATOS!$C$1517)=1,CROQUIS_DATOS!$C$1557,0)=0),MOD($A57-1,62)+1&gt;2*IF(CHOOSE(MIN(MAX(MIN(INT(($A57-1)/62)+1,5),1),5),CROQUIS_DATOS!$C$1501,CROQUIS_DATOS!$C$1505,CROQUIS_DATOS!$C$1509,CROQUIS_DATOS!$C$1513,CROQUIS_DATOS!$C$1517)=1,CROQUIS_DATOS!$C$1557,0)+1),CROQUIS_DATOS!$C$1476,MIN(INT((MOD($A57-1,62)+1-2)/2)+1,MAX(IF(CHOOSE(MIN(MAX(MIN(INT(($A57-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7">
        <f>IF(AND(CROQUIS_DATOS!$C$1472=1,1),(CROQUIS_DATOS!$C$1563+(MIN(INT(($A57-1)/2)+1,CROQUIS_DATOS!$C$1558)*CROQUIS_DATOS!$C$1559)*CROQUIS_DATOS!$C$1562),-1000)</f>
        <v>82.2281167108753</v>
      </c>
      <c r="U57">
        <f>IF(AND(CROQUIS_DATOS!$C$1472=1,1),(CROQUIS_DATOS!$C$1564+(IF(INT(($A57-1)/2)+1&gt;CROQUIS_DATOS!$C$1558,IF(MOD(CROQUIS_DATOS!$C$1558,2)=1,CROQUIS_DATOS!$C$1476+CROQUIS_DATOS!$C$1528,CROQUIS_DATOS!$C$1476),IF(IF(MOD(MIN(INT(($A57-1)/2)+1,CROQUIS_DATOS!$C$1558),2)=1,MOD($A57-1,2),1-MOD($A57-1,2))=1,CROQUIS_DATOS!$C$1476+CROQUIS_DATOS!$C$1528,CROQUIS_DATOS!$C$1476)))*CROQUIS_DATOS!$C$1561*CROQUIS_DATOS!$C$1562),-1000)</f>
        <v>43</v>
      </c>
      <c r="BZ57">
        <f>IF(AND(CROQUIS_DATOS!$C$1472=1,CROQUIS_DATOS!$C$1500&gt;0,((CROQUIS_DATOS!$C$1499+CROQUIS_DATOS!$C$1500))-(CROQUIS_DATOS!$C$1499)&gt;0.5,(CROQUIS_DATOS!$C$1476)-(0)&gt;0.5),(CROQUIS_DATOS!$C$1566+(IF(IF(MOD(MIN(INT(($A57-1)/2)+1,MAX(1,INT(((((CROQUIS_DATOS!$C$1499+CROQUIS_DATOS!$C$1500))-(CROQUIS_DATOS!$C$1499))+((CROQUIS_DATOS!$C$1476)*CROQUIS_DATOS!$C$1561-(0)*CROQUIS_DATOS!$C$1561))/CROQUIS_DATOS!$C$1568-0.000001))),2)=1,IF(INT(($A57-1)/2)+1&gt;MAX(1,INT(((((CROQUIS_DATOS!$C$1499+CROQUIS_DATOS!$C$1500))-(CROQUIS_DATOS!$C$1499))+((CROQUIS_DATOS!$C$1476)*CROQUIS_DATOS!$C$1561-(0)*CROQUIS_DATOS!$C$1561))/CROQUIS_DATOS!$C$1568-0.000001)),1,MOD($A57-1,2)),1-IF(INT(($A57-1)/2)+1&gt;MAX(1,INT(((((CROQUIS_DATOS!$C$1499+CROQUIS_DATOS!$C$1500))-(CROQUIS_DATOS!$C$1499))+((CROQUIS_DATOS!$C$1476)*CROQUIS_DATOS!$C$1561-(0)*CROQUIS_DATOS!$C$1561))/CROQUIS_DATOS!$C$1568-0.000001)),1,MOD($A57-1,2)))=1,MIN((CROQUIS_DATOS!$C$1476)*CROQUIS_DATOS!$C$1561,((CROQUIS_DATOS!$C$1499+CROQUIS_DATOS!$C$1500)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7">
        <f>IF(AND(CROQUIS_DATOS!$C$1472=1,CROQUIS_DATOS!$C$1500&gt;0,((CROQUIS_DATOS!$C$1499+CROQUIS_DATOS!$C$1500))-(CROQUIS_DATOS!$C$1499)&gt;0.5,(CROQUIS_DATOS!$C$1476)-(0)&gt;0.5),(CROQUIS_DATOS!$C$1567+(IF(IF(MOD(MIN(INT(($A57-1)/2)+1,MAX(1,INT(((((CROQUIS_DATOS!$C$1499+CROQUIS_DATOS!$C$1500))-(CROQUIS_DATOS!$C$1499))+((CROQUIS_DATOS!$C$1476)*CROQUIS_DATOS!$C$1561-(0)*CROQUIS_DATOS!$C$1561))/CROQUIS_DATOS!$C$1568-0.000001))),2)=1,IF(INT(($A57-1)/2)+1&gt;MAX(1,INT(((((CROQUIS_DATOS!$C$1499+CROQUIS_DATOS!$C$1500))-(CROQUIS_DATOS!$C$1499))+((CROQUIS_DATOS!$C$1476)*CROQUIS_DATOS!$C$1561-(0)*CROQUIS_DATOS!$C$1561))/CROQUIS_DATOS!$C$1568-0.000001)),1,MOD($A57-1,2)),1-IF(INT(($A57-1)/2)+1&gt;MAX(1,INT(((((CROQUIS_DATOS!$C$1499+CROQUIS_DATOS!$C$1500))-(CROQUIS_DATOS!$C$1499))+((CROQUIS_DATOS!$C$1476)*CROQUIS_DATOS!$C$1561-(0)*CROQUIS_DATOS!$C$1561))/CROQUIS_DATOS!$C$1568-0.000001)),1,MOD($A57-1,2)))=1,MIN((CROQUIS_DATOS!$C$1476)*CROQUIS_DATOS!$C$1561,((CROQUIS_DATOS!$C$1499+CROQUIS_DATOS!$C$1500)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7">
        <f>IF(AND(CROQUIS_DATOS!$C$1472=1,CROQUIS_DATOS!$C$1504&gt;0,((CROQUIS_DATOS!$C$1503+CROQUIS_DATOS!$C$1504))-(CROQUIS_DATOS!$C$1503)&gt;0.5,(CROQUIS_DATOS!$C$1476)-(0)&gt;0.5),(CROQUIS_DATOS!$C$1566+(IF(IF(MOD(MIN(INT(($A57-1)/2)+1,MAX(1,INT(((((CROQUIS_DATOS!$C$1503+CROQUIS_DATOS!$C$1504))-(CROQUIS_DATOS!$C$1503))+((CROQUIS_DATOS!$C$1476)*CROQUIS_DATOS!$C$1561-(0)*CROQUIS_DATOS!$C$1561))/CROQUIS_DATOS!$C$1568-0.000001))),2)=1,IF(INT(($A57-1)/2)+1&gt;MAX(1,INT(((((CROQUIS_DATOS!$C$1503+CROQUIS_DATOS!$C$1504))-(CROQUIS_DATOS!$C$1503))+((CROQUIS_DATOS!$C$1476)*CROQUIS_DATOS!$C$1561-(0)*CROQUIS_DATOS!$C$1561))/CROQUIS_DATOS!$C$1568-0.000001)),1,MOD($A57-1,2)),1-IF(INT(($A57-1)/2)+1&gt;MAX(1,INT(((((CROQUIS_DATOS!$C$1503+CROQUIS_DATOS!$C$1504))-(CROQUIS_DATOS!$C$1503))+((CROQUIS_DATOS!$C$1476)*CROQUIS_DATOS!$C$1561-(0)*CROQUIS_DATOS!$C$1561))/CROQUIS_DATOS!$C$1568-0.000001)),1,MOD($A57-1,2)))=1,MIN((CROQUIS_DATOS!$C$1476)*CROQUIS_DATOS!$C$1561,((CROQUIS_DATOS!$C$1503+CROQUIS_DATOS!$C$1504)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7">
        <f>IF(AND(CROQUIS_DATOS!$C$1472=1,CROQUIS_DATOS!$C$1504&gt;0,((CROQUIS_DATOS!$C$1503+CROQUIS_DATOS!$C$1504))-(CROQUIS_DATOS!$C$1503)&gt;0.5,(CROQUIS_DATOS!$C$1476)-(0)&gt;0.5),(CROQUIS_DATOS!$C$1567+(IF(IF(MOD(MIN(INT(($A57-1)/2)+1,MAX(1,INT(((((CROQUIS_DATOS!$C$1503+CROQUIS_DATOS!$C$1504))-(CROQUIS_DATOS!$C$1503))+((CROQUIS_DATOS!$C$1476)*CROQUIS_DATOS!$C$1561-(0)*CROQUIS_DATOS!$C$1561))/CROQUIS_DATOS!$C$1568-0.000001))),2)=1,IF(INT(($A57-1)/2)+1&gt;MAX(1,INT(((((CROQUIS_DATOS!$C$1503+CROQUIS_DATOS!$C$1504))-(CROQUIS_DATOS!$C$1503))+((CROQUIS_DATOS!$C$1476)*CROQUIS_DATOS!$C$1561-(0)*CROQUIS_DATOS!$C$1561))/CROQUIS_DATOS!$C$1568-0.000001)),1,MOD($A57-1,2)),1-IF(INT(($A57-1)/2)+1&gt;MAX(1,INT(((((CROQUIS_DATOS!$C$1503+CROQUIS_DATOS!$C$1504))-(CROQUIS_DATOS!$C$1503))+((CROQUIS_DATOS!$C$1476)*CROQUIS_DATOS!$C$1561-(0)*CROQUIS_DATOS!$C$1561))/CROQUIS_DATOS!$C$1568-0.000001)),1,MOD($A57-1,2)))=1,MIN((CROQUIS_DATOS!$C$1476)*CROQUIS_DATOS!$C$1561,((CROQUIS_DATOS!$C$1503+CROQUIS_DATOS!$C$1504)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57">
        <f>IF(AND(CROQUIS_DATOS!$C$1472=1,CROQUIS_DATOS!$C$1508&gt;0,((CROQUIS_DATOS!$C$1507+CROQUIS_DATOS!$C$1508))-(CROQUIS_DATOS!$C$1507)&gt;0.5,(CROQUIS_DATOS!$C$1476)-(0)&gt;0.5),(CROQUIS_DATOS!$C$1566+(IF(IF(MOD(MIN(INT(($A57-1)/2)+1,MAX(1,INT(((((CROQUIS_DATOS!$C$1507+CROQUIS_DATOS!$C$1508))-(CROQUIS_DATOS!$C$1507))+((CROQUIS_DATOS!$C$1476)*CROQUIS_DATOS!$C$1561-(0)*CROQUIS_DATOS!$C$1561))/CROQUIS_DATOS!$C$1568-0.000001))),2)=1,IF(INT(($A57-1)/2)+1&gt;MAX(1,INT(((((CROQUIS_DATOS!$C$1507+CROQUIS_DATOS!$C$1508))-(CROQUIS_DATOS!$C$1507))+((CROQUIS_DATOS!$C$1476)*CROQUIS_DATOS!$C$1561-(0)*CROQUIS_DATOS!$C$1561))/CROQUIS_DATOS!$C$1568-0.000001)),1,MOD($A57-1,2)),1-IF(INT(($A57-1)/2)+1&gt;MAX(1,INT(((((CROQUIS_DATOS!$C$1507+CROQUIS_DATOS!$C$1508))-(CROQUIS_DATOS!$C$1507))+((CROQUIS_DATOS!$C$1476)*CROQUIS_DATOS!$C$1561-(0)*CROQUIS_DATOS!$C$1561))/CROQUIS_DATOS!$C$1568-0.000001)),1,MOD($A57-1,2)))=1,MIN((CROQUIS_DATOS!$C$1476)*CROQUIS_DATOS!$C$1561,((CROQUIS_DATOS!$C$1507+CROQUIS_DATOS!$C$1508)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57">
        <f>IF(AND(CROQUIS_DATOS!$C$1472=1,CROQUIS_DATOS!$C$1508&gt;0,((CROQUIS_DATOS!$C$1507+CROQUIS_DATOS!$C$1508))-(CROQUIS_DATOS!$C$1507)&gt;0.5,(CROQUIS_DATOS!$C$1476)-(0)&gt;0.5),(CROQUIS_DATOS!$C$1567+(IF(IF(MOD(MIN(INT(($A57-1)/2)+1,MAX(1,INT(((((CROQUIS_DATOS!$C$1507+CROQUIS_DATOS!$C$1508))-(CROQUIS_DATOS!$C$1507))+((CROQUIS_DATOS!$C$1476)*CROQUIS_DATOS!$C$1561-(0)*CROQUIS_DATOS!$C$1561))/CROQUIS_DATOS!$C$1568-0.000001))),2)=1,IF(INT(($A57-1)/2)+1&gt;MAX(1,INT(((((CROQUIS_DATOS!$C$1507+CROQUIS_DATOS!$C$1508))-(CROQUIS_DATOS!$C$1507))+((CROQUIS_DATOS!$C$1476)*CROQUIS_DATOS!$C$1561-(0)*CROQUIS_DATOS!$C$1561))/CROQUIS_DATOS!$C$1568-0.000001)),1,MOD($A57-1,2)),1-IF(INT(($A57-1)/2)+1&gt;MAX(1,INT(((((CROQUIS_DATOS!$C$1507+CROQUIS_DATOS!$C$1508))-(CROQUIS_DATOS!$C$1507))+((CROQUIS_DATOS!$C$1476)*CROQUIS_DATOS!$C$1561-(0)*CROQUIS_DATOS!$C$1561))/CROQUIS_DATOS!$C$1568-0.000001)),1,MOD($A57-1,2)))=1,MIN((CROQUIS_DATOS!$C$1476)*CROQUIS_DATOS!$C$1561,((CROQUIS_DATOS!$C$1507+CROQUIS_DATOS!$C$1508)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57">
        <f>IF(AND(CROQUIS_DATOS!$C$1472=1,CROQUIS_DATOS!$C$1512&gt;0,((CROQUIS_DATOS!$C$1511+CROQUIS_DATOS!$C$1512))-(CROQUIS_DATOS!$C$1511)&gt;0.5,(CROQUIS_DATOS!$C$1476)-(0)&gt;0.5),(CROQUIS_DATOS!$C$1566+(IF(IF(MOD(MIN(INT(($A57-1)/2)+1,MAX(1,INT(((((CROQUIS_DATOS!$C$1511+CROQUIS_DATOS!$C$1512))-(CROQUIS_DATOS!$C$1511))+((CROQUIS_DATOS!$C$1476)*CROQUIS_DATOS!$C$1561-(0)*CROQUIS_DATOS!$C$1561))/CROQUIS_DATOS!$C$1568-0.000001))),2)=1,IF(INT(($A57-1)/2)+1&gt;MAX(1,INT(((((CROQUIS_DATOS!$C$1511+CROQUIS_DATOS!$C$1512))-(CROQUIS_DATOS!$C$1511))+((CROQUIS_DATOS!$C$1476)*CROQUIS_DATOS!$C$1561-(0)*CROQUIS_DATOS!$C$1561))/CROQUIS_DATOS!$C$1568-0.000001)),1,MOD($A57-1,2)),1-IF(INT(($A57-1)/2)+1&gt;MAX(1,INT(((((CROQUIS_DATOS!$C$1511+CROQUIS_DATOS!$C$1512))-(CROQUIS_DATOS!$C$1511))+((CROQUIS_DATOS!$C$1476)*CROQUIS_DATOS!$C$1561-(0)*CROQUIS_DATOS!$C$1561))/CROQUIS_DATOS!$C$1568-0.000001)),1,MOD($A57-1,2)))=1,MIN((CROQUIS_DATOS!$C$1476)*CROQUIS_DATOS!$C$1561,((CROQUIS_DATOS!$C$1511+CROQUIS_DATOS!$C$1512)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7">
        <f>IF(AND(CROQUIS_DATOS!$C$1472=1,CROQUIS_DATOS!$C$1512&gt;0,((CROQUIS_DATOS!$C$1511+CROQUIS_DATOS!$C$1512))-(CROQUIS_DATOS!$C$1511)&gt;0.5,(CROQUIS_DATOS!$C$1476)-(0)&gt;0.5),(CROQUIS_DATOS!$C$1567+(IF(IF(MOD(MIN(INT(($A57-1)/2)+1,MAX(1,INT(((((CROQUIS_DATOS!$C$1511+CROQUIS_DATOS!$C$1512))-(CROQUIS_DATOS!$C$1511))+((CROQUIS_DATOS!$C$1476)*CROQUIS_DATOS!$C$1561-(0)*CROQUIS_DATOS!$C$1561))/CROQUIS_DATOS!$C$1568-0.000001))),2)=1,IF(INT(($A57-1)/2)+1&gt;MAX(1,INT(((((CROQUIS_DATOS!$C$1511+CROQUIS_DATOS!$C$1512))-(CROQUIS_DATOS!$C$1511))+((CROQUIS_DATOS!$C$1476)*CROQUIS_DATOS!$C$1561-(0)*CROQUIS_DATOS!$C$1561))/CROQUIS_DATOS!$C$1568-0.000001)),1,MOD($A57-1,2)),1-IF(INT(($A57-1)/2)+1&gt;MAX(1,INT(((((CROQUIS_DATOS!$C$1511+CROQUIS_DATOS!$C$1512))-(CROQUIS_DATOS!$C$1511))+((CROQUIS_DATOS!$C$1476)*CROQUIS_DATOS!$C$1561-(0)*CROQUIS_DATOS!$C$1561))/CROQUIS_DATOS!$C$1568-0.000001)),1,MOD($A57-1,2)))=1,MIN((CROQUIS_DATOS!$C$1476)*CROQUIS_DATOS!$C$1561,((CROQUIS_DATOS!$C$1511+CROQUIS_DATOS!$C$1512)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7">
        <f>IF(AND(CROQUIS_DATOS!$C$1472=1,CROQUIS_DATOS!$C$1516&gt;0,((CROQUIS_DATOS!$C$1515+CROQUIS_DATOS!$C$1516))-(CROQUIS_DATOS!$C$1515)&gt;0.5,(CROQUIS_DATOS!$C$1476)-(0)&gt;0.5),(CROQUIS_DATOS!$C$1566+(IF(IF(MOD(MIN(INT(($A57-1)/2)+1,MAX(1,INT(((((CROQUIS_DATOS!$C$1515+CROQUIS_DATOS!$C$1516))-(CROQUIS_DATOS!$C$1515))+((CROQUIS_DATOS!$C$1476)*CROQUIS_DATOS!$C$1561-(0)*CROQUIS_DATOS!$C$1561))/CROQUIS_DATOS!$C$1568-0.000001))),2)=1,IF(INT(($A57-1)/2)+1&gt;MAX(1,INT(((((CROQUIS_DATOS!$C$1515+CROQUIS_DATOS!$C$1516))-(CROQUIS_DATOS!$C$1515))+((CROQUIS_DATOS!$C$1476)*CROQUIS_DATOS!$C$1561-(0)*CROQUIS_DATOS!$C$1561))/CROQUIS_DATOS!$C$1568-0.000001)),1,MOD($A57-1,2)),1-IF(INT(($A57-1)/2)+1&gt;MAX(1,INT(((((CROQUIS_DATOS!$C$1515+CROQUIS_DATOS!$C$1516))-(CROQUIS_DATOS!$C$1515))+((CROQUIS_DATOS!$C$1476)*CROQUIS_DATOS!$C$1561-(0)*CROQUIS_DATOS!$C$1561))/CROQUIS_DATOS!$C$1568-0.000001)),1,MOD($A57-1,2)))=1,MIN((CROQUIS_DATOS!$C$1476)*CROQUIS_DATOS!$C$1561,((CROQUIS_DATOS!$C$1515+CROQUIS_DATOS!$C$1516)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7">
        <f>IF(AND(CROQUIS_DATOS!$C$1472=1,CROQUIS_DATOS!$C$1516&gt;0,((CROQUIS_DATOS!$C$1515+CROQUIS_DATOS!$C$1516))-(CROQUIS_DATOS!$C$1515)&gt;0.5,(CROQUIS_DATOS!$C$1476)-(0)&gt;0.5),(CROQUIS_DATOS!$C$1567+(IF(IF(MOD(MIN(INT(($A57-1)/2)+1,MAX(1,INT(((((CROQUIS_DATOS!$C$1515+CROQUIS_DATOS!$C$1516))-(CROQUIS_DATOS!$C$1515))+((CROQUIS_DATOS!$C$1476)*CROQUIS_DATOS!$C$1561-(0)*CROQUIS_DATOS!$C$1561))/CROQUIS_DATOS!$C$1568-0.000001))),2)=1,IF(INT(($A57-1)/2)+1&gt;MAX(1,INT(((((CROQUIS_DATOS!$C$1515+CROQUIS_DATOS!$C$1516))-(CROQUIS_DATOS!$C$1515))+((CROQUIS_DATOS!$C$1476)*CROQUIS_DATOS!$C$1561-(0)*CROQUIS_DATOS!$C$1561))/CROQUIS_DATOS!$C$1568-0.000001)),1,MOD($A57-1,2)),1-IF(INT(($A57-1)/2)+1&gt;MAX(1,INT(((((CROQUIS_DATOS!$C$1515+CROQUIS_DATOS!$C$1516))-(CROQUIS_DATOS!$C$1515))+((CROQUIS_DATOS!$C$1476)*CROQUIS_DATOS!$C$1561-(0)*CROQUIS_DATOS!$C$1561))/CROQUIS_DATOS!$C$1568-0.000001)),1,MOD($A57-1,2)))=1,MIN((CROQUIS_DATOS!$C$1476)*CROQUIS_DATOS!$C$1561,((CROQUIS_DATOS!$C$1515+CROQUIS_DATOS!$C$1516)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7">
        <f>IF(AND(CROQUIS_DATOS!$C$1472=1,CROQUIS_DATOS!$C$1478&gt;=1,((CROQUIS_DATOS!$C$1479+CROQUIS_DATOS!$C$1480))-(CROQUIS_DATOS!$C$1479)&gt;0.5,(CROQUIS_DATOS!$C$1481)-(0)&gt;0.5),(CROQUIS_DATOS!$C$1566+(IF(IF(MOD(MIN(INT(($A57-1)/2)+1,MAX(1,INT(((((CROQUIS_DATOS!$C$1479+CROQUIS_DATOS!$C$1480))-(CROQUIS_DATOS!$C$1479))+((CROQUIS_DATOS!$C$1481)*CROQUIS_DATOS!$C$1561-(0)*CROQUIS_DATOS!$C$1561))/CROQUIS_DATOS!$C$1568-0.000001))),2)=1,IF(INT(($A57-1)/2)+1&gt;MAX(1,INT(((((CROQUIS_DATOS!$C$1479+CROQUIS_DATOS!$C$1480))-(CROQUIS_DATOS!$C$1479))+((CROQUIS_DATOS!$C$1481)*CROQUIS_DATOS!$C$1561-(0)*CROQUIS_DATOS!$C$1561))/CROQUIS_DATOS!$C$1568-0.000001)),1,MOD($A57-1,2)),1-IF(INT(($A57-1)/2)+1&gt;MAX(1,INT(((((CROQUIS_DATOS!$C$1479+CROQUIS_DATOS!$C$1480))-(CROQUIS_DATOS!$C$1479))+((CROQUIS_DATOS!$C$1481)*CROQUIS_DATOS!$C$1561-(0)*CROQUIS_DATOS!$C$1561))/CROQUIS_DATOS!$C$1568-0.000001)),1,MOD($A57-1,2)))=1,MIN((CROQUIS_DATOS!$C$1481)*CROQUIS_DATOS!$C$1561,((CROQUIS_DATOS!$C$1479+CROQUIS_DATOS!$C$1480)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7">
        <f>IF(AND(CROQUIS_DATOS!$C$1472=1,CROQUIS_DATOS!$C$1478&gt;=1,((CROQUIS_DATOS!$C$1479+CROQUIS_DATOS!$C$1480))-(CROQUIS_DATOS!$C$1479)&gt;0.5,(CROQUIS_DATOS!$C$1481)-(0)&gt;0.5),(CROQUIS_DATOS!$C$1567+(IF(IF(MOD(MIN(INT(($A57-1)/2)+1,MAX(1,INT(((((CROQUIS_DATOS!$C$1479+CROQUIS_DATOS!$C$1480))-(CROQUIS_DATOS!$C$1479))+((CROQUIS_DATOS!$C$1481)*CROQUIS_DATOS!$C$1561-(0)*CROQUIS_DATOS!$C$1561))/CROQUIS_DATOS!$C$1568-0.000001))),2)=1,IF(INT(($A57-1)/2)+1&gt;MAX(1,INT(((((CROQUIS_DATOS!$C$1479+CROQUIS_DATOS!$C$1480))-(CROQUIS_DATOS!$C$1479))+((CROQUIS_DATOS!$C$1481)*CROQUIS_DATOS!$C$1561-(0)*CROQUIS_DATOS!$C$1561))/CROQUIS_DATOS!$C$1568-0.000001)),1,MOD($A57-1,2)),1-IF(INT(($A57-1)/2)+1&gt;MAX(1,INT(((((CROQUIS_DATOS!$C$1479+CROQUIS_DATOS!$C$1480))-(CROQUIS_DATOS!$C$1479))+((CROQUIS_DATOS!$C$1481)*CROQUIS_DATOS!$C$1561-(0)*CROQUIS_DATOS!$C$1561))/CROQUIS_DATOS!$C$1568-0.000001)),1,MOD($A57-1,2)))=1,MIN((CROQUIS_DATOS!$C$1481)*CROQUIS_DATOS!$C$1561,((CROQUIS_DATOS!$C$1479+CROQUIS_DATOS!$C$1480)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7">
        <f>IF(AND(CROQUIS_DATOS!$C$1472=1,CROQUIS_DATOS!$C$1478&gt;=1,((CROQUIS_DATOS!$C$1479+CROQUIS_DATOS!$C$1480))-(CROQUIS_DATOS!$C$1479)&gt;0.5,(CROQUIS_DATOS!$C$1476)-((CROQUIS_DATOS!$C$1481+CROQUIS_DATOS!$C$1482))&gt;0.5),(CROQUIS_DATOS!$C$1566+(IF(IF(MOD(MIN(INT(($A57-1)/2)+1,MAX(1,INT(((((CROQUIS_DATOS!$C$1479+CROQUIS_DATOS!$C$1480))-(CROQUIS_DATOS!$C$1479))+((CROQUIS_DATOS!$C$1476)*CROQUIS_DATOS!$C$1561-((CROQUIS_DATOS!$C$1481+CROQUIS_DATOS!$C$1482))*CROQUIS_DATOS!$C$1561))/CROQUIS_DATOS!$C$1568-0.000001))),2)=1,IF(INT(($A57-1)/2)+1&gt;MAX(1,INT(((((CROQUIS_DATOS!$C$1479+CROQUIS_DATOS!$C$1480))-(CROQUIS_DATOS!$C$1479))+((CROQUIS_DATOS!$C$1476)*CROQUIS_DATOS!$C$1561-((CROQUIS_DATOS!$C$1481+CROQUIS_DATOS!$C$1482))*CROQUIS_DATOS!$C$1561))/CROQUIS_DATOS!$C$1568-0.000001)),1,MOD($A57-1,2)),1-IF(INT(($A57-1)/2)+1&gt;MAX(1,INT(((((CROQUIS_DATOS!$C$1479+CROQUIS_DATOS!$C$1480))-(CROQUIS_DATOS!$C$1479))+((CROQUIS_DATOS!$C$1476)*CROQUIS_DATOS!$C$1561-((CROQUIS_DATOS!$C$1481+CROQUIS_DATOS!$C$1482))*CROQUIS_DATOS!$C$1561))/CROQUIS_DATOS!$C$1568-0.000001)),1,MOD($A57-1,2)))=1,MIN((CROQUIS_DATOS!$C$1476)*CROQUIS_DATOS!$C$1561,((CROQUIS_DATOS!$C$1479+CROQUIS_DATOS!$C$1480)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7">
        <f>IF(AND(CROQUIS_DATOS!$C$1472=1,CROQUIS_DATOS!$C$1478&gt;=1,((CROQUIS_DATOS!$C$1479+CROQUIS_DATOS!$C$1480))-(CROQUIS_DATOS!$C$1479)&gt;0.5,(CROQUIS_DATOS!$C$1476)-((CROQUIS_DATOS!$C$1481+CROQUIS_DATOS!$C$1482))&gt;0.5),(CROQUIS_DATOS!$C$1567+(IF(IF(MOD(MIN(INT(($A57-1)/2)+1,MAX(1,INT(((((CROQUIS_DATOS!$C$1479+CROQUIS_DATOS!$C$1480))-(CROQUIS_DATOS!$C$1479))+((CROQUIS_DATOS!$C$1476)*CROQUIS_DATOS!$C$1561-((CROQUIS_DATOS!$C$1481+CROQUIS_DATOS!$C$1482))*CROQUIS_DATOS!$C$1561))/CROQUIS_DATOS!$C$1568-0.000001))),2)=1,IF(INT(($A57-1)/2)+1&gt;MAX(1,INT(((((CROQUIS_DATOS!$C$1479+CROQUIS_DATOS!$C$1480))-(CROQUIS_DATOS!$C$1479))+((CROQUIS_DATOS!$C$1476)*CROQUIS_DATOS!$C$1561-((CROQUIS_DATOS!$C$1481+CROQUIS_DATOS!$C$1482))*CROQUIS_DATOS!$C$1561))/CROQUIS_DATOS!$C$1568-0.000001)),1,MOD($A57-1,2)),1-IF(INT(($A57-1)/2)+1&gt;MAX(1,INT(((((CROQUIS_DATOS!$C$1479+CROQUIS_DATOS!$C$1480))-(CROQUIS_DATOS!$C$1479))+((CROQUIS_DATOS!$C$1476)*CROQUIS_DATOS!$C$1561-((CROQUIS_DATOS!$C$1481+CROQUIS_DATOS!$C$1482))*CROQUIS_DATOS!$C$1561))/CROQUIS_DATOS!$C$1568-0.000001)),1,MOD($A57-1,2)))=1,MIN((CROQUIS_DATOS!$C$1476)*CROQUIS_DATOS!$C$1561,((CROQUIS_DATOS!$C$1479+CROQUIS_DATOS!$C$1480)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7">
        <f>IF(AND(CROQUIS_DATOS!$C$1472=1,CROQUIS_DATOS!$C$1478&gt;=2,((CROQUIS_DATOS!$C$1484+CROQUIS_DATOS!$C$1485))-(CROQUIS_DATOS!$C$1484)&gt;0.5,(CROQUIS_DATOS!$C$1486)-(0)&gt;0.5),(CROQUIS_DATOS!$C$1566+(IF(IF(MOD(MIN(INT(($A57-1)/2)+1,MAX(1,INT(((((CROQUIS_DATOS!$C$1484+CROQUIS_DATOS!$C$1485))-(CROQUIS_DATOS!$C$1484))+((CROQUIS_DATOS!$C$1486)*CROQUIS_DATOS!$C$1561-(0)*CROQUIS_DATOS!$C$1561))/CROQUIS_DATOS!$C$1568-0.000001))),2)=1,IF(INT(($A57-1)/2)+1&gt;MAX(1,INT(((((CROQUIS_DATOS!$C$1484+CROQUIS_DATOS!$C$1485))-(CROQUIS_DATOS!$C$1484))+((CROQUIS_DATOS!$C$1486)*CROQUIS_DATOS!$C$1561-(0)*CROQUIS_DATOS!$C$1561))/CROQUIS_DATOS!$C$1568-0.000001)),1,MOD($A57-1,2)),1-IF(INT(($A57-1)/2)+1&gt;MAX(1,INT(((((CROQUIS_DATOS!$C$1484+CROQUIS_DATOS!$C$1485))-(CROQUIS_DATOS!$C$1484))+((CROQUIS_DATOS!$C$1486)*CROQUIS_DATOS!$C$1561-(0)*CROQUIS_DATOS!$C$1561))/CROQUIS_DATOS!$C$1568-0.000001)),1,MOD($A57-1,2)))=1,MIN((CROQUIS_DATOS!$C$1486)*CROQUIS_DATOS!$C$1561,((CROQUIS_DATOS!$C$1484+CROQUIS_DATOS!$C$1485)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7">
        <f>IF(AND(CROQUIS_DATOS!$C$1472=1,CROQUIS_DATOS!$C$1478&gt;=2,((CROQUIS_DATOS!$C$1484+CROQUIS_DATOS!$C$1485))-(CROQUIS_DATOS!$C$1484)&gt;0.5,(CROQUIS_DATOS!$C$1486)-(0)&gt;0.5),(CROQUIS_DATOS!$C$1567+(IF(IF(MOD(MIN(INT(($A57-1)/2)+1,MAX(1,INT(((((CROQUIS_DATOS!$C$1484+CROQUIS_DATOS!$C$1485))-(CROQUIS_DATOS!$C$1484))+((CROQUIS_DATOS!$C$1486)*CROQUIS_DATOS!$C$1561-(0)*CROQUIS_DATOS!$C$1561))/CROQUIS_DATOS!$C$1568-0.000001))),2)=1,IF(INT(($A57-1)/2)+1&gt;MAX(1,INT(((((CROQUIS_DATOS!$C$1484+CROQUIS_DATOS!$C$1485))-(CROQUIS_DATOS!$C$1484))+((CROQUIS_DATOS!$C$1486)*CROQUIS_DATOS!$C$1561-(0)*CROQUIS_DATOS!$C$1561))/CROQUIS_DATOS!$C$1568-0.000001)),1,MOD($A57-1,2)),1-IF(INT(($A57-1)/2)+1&gt;MAX(1,INT(((((CROQUIS_DATOS!$C$1484+CROQUIS_DATOS!$C$1485))-(CROQUIS_DATOS!$C$1484))+((CROQUIS_DATOS!$C$1486)*CROQUIS_DATOS!$C$1561-(0)*CROQUIS_DATOS!$C$1561))/CROQUIS_DATOS!$C$1568-0.000001)),1,MOD($A57-1,2)))=1,MIN((CROQUIS_DATOS!$C$1486)*CROQUIS_DATOS!$C$1561,((CROQUIS_DATOS!$C$1484+CROQUIS_DATOS!$C$1485)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7">
        <f>IF(AND(CROQUIS_DATOS!$C$1472=1,CROQUIS_DATOS!$C$1478&gt;=2,((CROQUIS_DATOS!$C$1484+CROQUIS_DATOS!$C$1485))-(CROQUIS_DATOS!$C$1484)&gt;0.5,(CROQUIS_DATOS!$C$1476)-((CROQUIS_DATOS!$C$1486+CROQUIS_DATOS!$C$1487))&gt;0.5),(CROQUIS_DATOS!$C$1566+(IF(IF(MOD(MIN(INT(($A57-1)/2)+1,MAX(1,INT(((((CROQUIS_DATOS!$C$1484+CROQUIS_DATOS!$C$1485))-(CROQUIS_DATOS!$C$1484))+((CROQUIS_DATOS!$C$1476)*CROQUIS_DATOS!$C$1561-((CROQUIS_DATOS!$C$1486+CROQUIS_DATOS!$C$1487))*CROQUIS_DATOS!$C$1561))/CROQUIS_DATOS!$C$1568-0.000001))),2)=1,IF(INT(($A57-1)/2)+1&gt;MAX(1,INT(((((CROQUIS_DATOS!$C$1484+CROQUIS_DATOS!$C$1485))-(CROQUIS_DATOS!$C$1484))+((CROQUIS_DATOS!$C$1476)*CROQUIS_DATOS!$C$1561-((CROQUIS_DATOS!$C$1486+CROQUIS_DATOS!$C$1487))*CROQUIS_DATOS!$C$1561))/CROQUIS_DATOS!$C$1568-0.000001)),1,MOD($A57-1,2)),1-IF(INT(($A57-1)/2)+1&gt;MAX(1,INT(((((CROQUIS_DATOS!$C$1484+CROQUIS_DATOS!$C$1485))-(CROQUIS_DATOS!$C$1484))+((CROQUIS_DATOS!$C$1476)*CROQUIS_DATOS!$C$1561-((CROQUIS_DATOS!$C$1486+CROQUIS_DATOS!$C$1487))*CROQUIS_DATOS!$C$1561))/CROQUIS_DATOS!$C$1568-0.000001)),1,MOD($A57-1,2)))=1,MIN((CROQUIS_DATOS!$C$1476)*CROQUIS_DATOS!$C$1561,((CROQUIS_DATOS!$C$1484+CROQUIS_DATOS!$C$1485)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7">
        <f>IF(AND(CROQUIS_DATOS!$C$1472=1,CROQUIS_DATOS!$C$1478&gt;=2,((CROQUIS_DATOS!$C$1484+CROQUIS_DATOS!$C$1485))-(CROQUIS_DATOS!$C$1484)&gt;0.5,(CROQUIS_DATOS!$C$1476)-((CROQUIS_DATOS!$C$1486+CROQUIS_DATOS!$C$1487))&gt;0.5),(CROQUIS_DATOS!$C$1567+(IF(IF(MOD(MIN(INT(($A57-1)/2)+1,MAX(1,INT(((((CROQUIS_DATOS!$C$1484+CROQUIS_DATOS!$C$1485))-(CROQUIS_DATOS!$C$1484))+((CROQUIS_DATOS!$C$1476)*CROQUIS_DATOS!$C$1561-((CROQUIS_DATOS!$C$1486+CROQUIS_DATOS!$C$1487))*CROQUIS_DATOS!$C$1561))/CROQUIS_DATOS!$C$1568-0.000001))),2)=1,IF(INT(($A57-1)/2)+1&gt;MAX(1,INT(((((CROQUIS_DATOS!$C$1484+CROQUIS_DATOS!$C$1485))-(CROQUIS_DATOS!$C$1484))+((CROQUIS_DATOS!$C$1476)*CROQUIS_DATOS!$C$1561-((CROQUIS_DATOS!$C$1486+CROQUIS_DATOS!$C$1487))*CROQUIS_DATOS!$C$1561))/CROQUIS_DATOS!$C$1568-0.000001)),1,MOD($A57-1,2)),1-IF(INT(($A57-1)/2)+1&gt;MAX(1,INT(((((CROQUIS_DATOS!$C$1484+CROQUIS_DATOS!$C$1485))-(CROQUIS_DATOS!$C$1484))+((CROQUIS_DATOS!$C$1476)*CROQUIS_DATOS!$C$1561-((CROQUIS_DATOS!$C$1486+CROQUIS_DATOS!$C$1487))*CROQUIS_DATOS!$C$1561))/CROQUIS_DATOS!$C$1568-0.000001)),1,MOD($A57-1,2)))=1,MIN((CROQUIS_DATOS!$C$1476)*CROQUIS_DATOS!$C$1561,((CROQUIS_DATOS!$C$1484+CROQUIS_DATOS!$C$1485)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7">
        <f>IF(AND(CROQUIS_DATOS!$C$1472=1,CROQUIS_DATOS!$C$1478&gt;=3,((CROQUIS_DATOS!$C$1489+CROQUIS_DATOS!$C$1490))-(CROQUIS_DATOS!$C$1489)&gt;0.5,(CROQUIS_DATOS!$C$1491)-(0)&gt;0.5),(CROQUIS_DATOS!$C$1566+(IF(IF(MOD(MIN(INT(($A57-1)/2)+1,MAX(1,INT(((((CROQUIS_DATOS!$C$1489+CROQUIS_DATOS!$C$1490))-(CROQUIS_DATOS!$C$1489))+((CROQUIS_DATOS!$C$1491)*CROQUIS_DATOS!$C$1561-(0)*CROQUIS_DATOS!$C$1561))/CROQUIS_DATOS!$C$1568-0.000001))),2)=1,IF(INT(($A57-1)/2)+1&gt;MAX(1,INT(((((CROQUIS_DATOS!$C$1489+CROQUIS_DATOS!$C$1490))-(CROQUIS_DATOS!$C$1489))+((CROQUIS_DATOS!$C$1491)*CROQUIS_DATOS!$C$1561-(0)*CROQUIS_DATOS!$C$1561))/CROQUIS_DATOS!$C$1568-0.000001)),1,MOD($A57-1,2)),1-IF(INT(($A57-1)/2)+1&gt;MAX(1,INT(((((CROQUIS_DATOS!$C$1489+CROQUIS_DATOS!$C$1490))-(CROQUIS_DATOS!$C$1489))+((CROQUIS_DATOS!$C$1491)*CROQUIS_DATOS!$C$1561-(0)*CROQUIS_DATOS!$C$1561))/CROQUIS_DATOS!$C$1568-0.000001)),1,MOD($A57-1,2)))=1,MIN((CROQUIS_DATOS!$C$1491)*CROQUIS_DATOS!$C$1561,((CROQUIS_DATOS!$C$1489+CROQUIS_DATOS!$C$1490)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7">
        <f>IF(AND(CROQUIS_DATOS!$C$1472=1,CROQUIS_DATOS!$C$1478&gt;=3,((CROQUIS_DATOS!$C$1489+CROQUIS_DATOS!$C$1490))-(CROQUIS_DATOS!$C$1489)&gt;0.5,(CROQUIS_DATOS!$C$1491)-(0)&gt;0.5),(CROQUIS_DATOS!$C$1567+(IF(IF(MOD(MIN(INT(($A57-1)/2)+1,MAX(1,INT(((((CROQUIS_DATOS!$C$1489+CROQUIS_DATOS!$C$1490))-(CROQUIS_DATOS!$C$1489))+((CROQUIS_DATOS!$C$1491)*CROQUIS_DATOS!$C$1561-(0)*CROQUIS_DATOS!$C$1561))/CROQUIS_DATOS!$C$1568-0.000001))),2)=1,IF(INT(($A57-1)/2)+1&gt;MAX(1,INT(((((CROQUIS_DATOS!$C$1489+CROQUIS_DATOS!$C$1490))-(CROQUIS_DATOS!$C$1489))+((CROQUIS_DATOS!$C$1491)*CROQUIS_DATOS!$C$1561-(0)*CROQUIS_DATOS!$C$1561))/CROQUIS_DATOS!$C$1568-0.000001)),1,MOD($A57-1,2)),1-IF(INT(($A57-1)/2)+1&gt;MAX(1,INT(((((CROQUIS_DATOS!$C$1489+CROQUIS_DATOS!$C$1490))-(CROQUIS_DATOS!$C$1489))+((CROQUIS_DATOS!$C$1491)*CROQUIS_DATOS!$C$1561-(0)*CROQUIS_DATOS!$C$1561))/CROQUIS_DATOS!$C$1568-0.000001)),1,MOD($A57-1,2)))=1,MIN((CROQUIS_DATOS!$C$1491)*CROQUIS_DATOS!$C$1561,((CROQUIS_DATOS!$C$1489+CROQUIS_DATOS!$C$1490)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7">
        <f>IF(AND(CROQUIS_DATOS!$C$1472=1,CROQUIS_DATOS!$C$1478&gt;=3,((CROQUIS_DATOS!$C$1489+CROQUIS_DATOS!$C$1490))-(CROQUIS_DATOS!$C$1489)&gt;0.5,(CROQUIS_DATOS!$C$1476)-((CROQUIS_DATOS!$C$1491+CROQUIS_DATOS!$C$1492))&gt;0.5),(CROQUIS_DATOS!$C$1566+(IF(IF(MOD(MIN(INT(($A57-1)/2)+1,MAX(1,INT(((((CROQUIS_DATOS!$C$1489+CROQUIS_DATOS!$C$1490))-(CROQUIS_DATOS!$C$1489))+((CROQUIS_DATOS!$C$1476)*CROQUIS_DATOS!$C$1561-((CROQUIS_DATOS!$C$1491+CROQUIS_DATOS!$C$1492))*CROQUIS_DATOS!$C$1561))/CROQUIS_DATOS!$C$1568-0.000001))),2)=1,IF(INT(($A57-1)/2)+1&gt;MAX(1,INT(((((CROQUIS_DATOS!$C$1489+CROQUIS_DATOS!$C$1490))-(CROQUIS_DATOS!$C$1489))+((CROQUIS_DATOS!$C$1476)*CROQUIS_DATOS!$C$1561-((CROQUIS_DATOS!$C$1491+CROQUIS_DATOS!$C$1492))*CROQUIS_DATOS!$C$1561))/CROQUIS_DATOS!$C$1568-0.000001)),1,MOD($A57-1,2)),1-IF(INT(($A57-1)/2)+1&gt;MAX(1,INT(((((CROQUIS_DATOS!$C$1489+CROQUIS_DATOS!$C$1490))-(CROQUIS_DATOS!$C$1489))+((CROQUIS_DATOS!$C$1476)*CROQUIS_DATOS!$C$1561-((CROQUIS_DATOS!$C$1491+CROQUIS_DATOS!$C$1492))*CROQUIS_DATOS!$C$1561))/CROQUIS_DATOS!$C$1568-0.000001)),1,MOD($A57-1,2)))=1,MIN((CROQUIS_DATOS!$C$1476)*CROQUIS_DATOS!$C$1561,((CROQUIS_DATOS!$C$1489+CROQUIS_DATOS!$C$1490)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7">
        <f>IF(AND(CROQUIS_DATOS!$C$1472=1,CROQUIS_DATOS!$C$1478&gt;=3,((CROQUIS_DATOS!$C$1489+CROQUIS_DATOS!$C$1490))-(CROQUIS_DATOS!$C$1489)&gt;0.5,(CROQUIS_DATOS!$C$1476)-((CROQUIS_DATOS!$C$1491+CROQUIS_DATOS!$C$1492))&gt;0.5),(CROQUIS_DATOS!$C$1567+(IF(IF(MOD(MIN(INT(($A57-1)/2)+1,MAX(1,INT(((((CROQUIS_DATOS!$C$1489+CROQUIS_DATOS!$C$1490))-(CROQUIS_DATOS!$C$1489))+((CROQUIS_DATOS!$C$1476)*CROQUIS_DATOS!$C$1561-((CROQUIS_DATOS!$C$1491+CROQUIS_DATOS!$C$1492))*CROQUIS_DATOS!$C$1561))/CROQUIS_DATOS!$C$1568-0.000001))),2)=1,IF(INT(($A57-1)/2)+1&gt;MAX(1,INT(((((CROQUIS_DATOS!$C$1489+CROQUIS_DATOS!$C$1490))-(CROQUIS_DATOS!$C$1489))+((CROQUIS_DATOS!$C$1476)*CROQUIS_DATOS!$C$1561-((CROQUIS_DATOS!$C$1491+CROQUIS_DATOS!$C$1492))*CROQUIS_DATOS!$C$1561))/CROQUIS_DATOS!$C$1568-0.000001)),1,MOD($A57-1,2)),1-IF(INT(($A57-1)/2)+1&gt;MAX(1,INT(((((CROQUIS_DATOS!$C$1489+CROQUIS_DATOS!$C$1490))-(CROQUIS_DATOS!$C$1489))+((CROQUIS_DATOS!$C$1476)*CROQUIS_DATOS!$C$1561-((CROQUIS_DATOS!$C$1491+CROQUIS_DATOS!$C$1492))*CROQUIS_DATOS!$C$1561))/CROQUIS_DATOS!$C$1568-0.000001)),1,MOD($A57-1,2)))=1,MIN((CROQUIS_DATOS!$C$1476)*CROQUIS_DATOS!$C$1561,((CROQUIS_DATOS!$C$1489+CROQUIS_DATOS!$C$1490)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7">
        <f>IF(AND(CROQUIS_DATOS!$C$1472=1,CROQUIS_DATOS!$C$1478&gt;=4,((CROQUIS_DATOS!$C$1494+CROQUIS_DATOS!$C$1495))-(CROQUIS_DATOS!$C$1494)&gt;0.5,(CROQUIS_DATOS!$C$1496)-(0)&gt;0.5),(CROQUIS_DATOS!$C$1566+(IF(IF(MOD(MIN(INT(($A57-1)/2)+1,MAX(1,INT(((((CROQUIS_DATOS!$C$1494+CROQUIS_DATOS!$C$1495))-(CROQUIS_DATOS!$C$1494))+((CROQUIS_DATOS!$C$1496)*CROQUIS_DATOS!$C$1561-(0)*CROQUIS_DATOS!$C$1561))/CROQUIS_DATOS!$C$1568-0.000001))),2)=1,IF(INT(($A57-1)/2)+1&gt;MAX(1,INT(((((CROQUIS_DATOS!$C$1494+CROQUIS_DATOS!$C$1495))-(CROQUIS_DATOS!$C$1494))+((CROQUIS_DATOS!$C$1496)*CROQUIS_DATOS!$C$1561-(0)*CROQUIS_DATOS!$C$1561))/CROQUIS_DATOS!$C$1568-0.000001)),1,MOD($A57-1,2)),1-IF(INT(($A57-1)/2)+1&gt;MAX(1,INT(((((CROQUIS_DATOS!$C$1494+CROQUIS_DATOS!$C$1495))-(CROQUIS_DATOS!$C$1494))+((CROQUIS_DATOS!$C$1496)*CROQUIS_DATOS!$C$1561-(0)*CROQUIS_DATOS!$C$1561))/CROQUIS_DATOS!$C$1568-0.000001)),1,MOD($A57-1,2)))=1,MIN((CROQUIS_DATOS!$C$1496)*CROQUIS_DATOS!$C$1561,((CROQUIS_DATOS!$C$1494+CROQUIS_DATOS!$C$1495)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7">
        <f>IF(AND(CROQUIS_DATOS!$C$1472=1,CROQUIS_DATOS!$C$1478&gt;=4,((CROQUIS_DATOS!$C$1494+CROQUIS_DATOS!$C$1495))-(CROQUIS_DATOS!$C$1494)&gt;0.5,(CROQUIS_DATOS!$C$1496)-(0)&gt;0.5),(CROQUIS_DATOS!$C$1567+(IF(IF(MOD(MIN(INT(($A57-1)/2)+1,MAX(1,INT(((((CROQUIS_DATOS!$C$1494+CROQUIS_DATOS!$C$1495))-(CROQUIS_DATOS!$C$1494))+((CROQUIS_DATOS!$C$1496)*CROQUIS_DATOS!$C$1561-(0)*CROQUIS_DATOS!$C$1561))/CROQUIS_DATOS!$C$1568-0.000001))),2)=1,IF(INT(($A57-1)/2)+1&gt;MAX(1,INT(((((CROQUIS_DATOS!$C$1494+CROQUIS_DATOS!$C$1495))-(CROQUIS_DATOS!$C$1494))+((CROQUIS_DATOS!$C$1496)*CROQUIS_DATOS!$C$1561-(0)*CROQUIS_DATOS!$C$1561))/CROQUIS_DATOS!$C$1568-0.000001)),1,MOD($A57-1,2)),1-IF(INT(($A57-1)/2)+1&gt;MAX(1,INT(((((CROQUIS_DATOS!$C$1494+CROQUIS_DATOS!$C$1495))-(CROQUIS_DATOS!$C$1494))+((CROQUIS_DATOS!$C$1496)*CROQUIS_DATOS!$C$1561-(0)*CROQUIS_DATOS!$C$1561))/CROQUIS_DATOS!$C$1568-0.000001)),1,MOD($A57-1,2)))=1,MIN((CROQUIS_DATOS!$C$1496)*CROQUIS_DATOS!$C$1561,((CROQUIS_DATOS!$C$1494+CROQUIS_DATOS!$C$1495)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7">
        <f>IF(AND(CROQUIS_DATOS!$C$1472=1,CROQUIS_DATOS!$C$1478&gt;=4,((CROQUIS_DATOS!$C$1494+CROQUIS_DATOS!$C$1495))-(CROQUIS_DATOS!$C$1494)&gt;0.5,(CROQUIS_DATOS!$C$1476)-((CROQUIS_DATOS!$C$1496+CROQUIS_DATOS!$C$1497))&gt;0.5),(CROQUIS_DATOS!$C$1566+(IF(IF(MOD(MIN(INT(($A57-1)/2)+1,MAX(1,INT(((((CROQUIS_DATOS!$C$1494+CROQUIS_DATOS!$C$1495))-(CROQUIS_DATOS!$C$1494))+((CROQUIS_DATOS!$C$1476)*CROQUIS_DATOS!$C$1561-((CROQUIS_DATOS!$C$1496+CROQUIS_DATOS!$C$1497))*CROQUIS_DATOS!$C$1561))/CROQUIS_DATOS!$C$1568-0.000001))),2)=1,IF(INT(($A57-1)/2)+1&gt;MAX(1,INT(((((CROQUIS_DATOS!$C$1494+CROQUIS_DATOS!$C$1495))-(CROQUIS_DATOS!$C$1494))+((CROQUIS_DATOS!$C$1476)*CROQUIS_DATOS!$C$1561-((CROQUIS_DATOS!$C$1496+CROQUIS_DATOS!$C$1497))*CROQUIS_DATOS!$C$1561))/CROQUIS_DATOS!$C$1568-0.000001)),1,MOD($A57-1,2)),1-IF(INT(($A57-1)/2)+1&gt;MAX(1,INT(((((CROQUIS_DATOS!$C$1494+CROQUIS_DATOS!$C$1495))-(CROQUIS_DATOS!$C$1494))+((CROQUIS_DATOS!$C$1476)*CROQUIS_DATOS!$C$1561-((CROQUIS_DATOS!$C$1496+CROQUIS_DATOS!$C$1497))*CROQUIS_DATOS!$C$1561))/CROQUIS_DATOS!$C$1568-0.000001)),1,MOD($A57-1,2)))=1,MIN((CROQUIS_DATOS!$C$1476)*CROQUIS_DATOS!$C$1561,((CROQUIS_DATOS!$C$1494+CROQUIS_DATOS!$C$1495)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7">
        <f>IF(AND(CROQUIS_DATOS!$C$1472=1,CROQUIS_DATOS!$C$1478&gt;=4,((CROQUIS_DATOS!$C$1494+CROQUIS_DATOS!$C$1495))-(CROQUIS_DATOS!$C$1494)&gt;0.5,(CROQUIS_DATOS!$C$1476)-((CROQUIS_DATOS!$C$1496+CROQUIS_DATOS!$C$1497))&gt;0.5),(CROQUIS_DATOS!$C$1567+(IF(IF(MOD(MIN(INT(($A57-1)/2)+1,MAX(1,INT(((((CROQUIS_DATOS!$C$1494+CROQUIS_DATOS!$C$1495))-(CROQUIS_DATOS!$C$1494))+((CROQUIS_DATOS!$C$1476)*CROQUIS_DATOS!$C$1561-((CROQUIS_DATOS!$C$1496+CROQUIS_DATOS!$C$1497))*CROQUIS_DATOS!$C$1561))/CROQUIS_DATOS!$C$1568-0.000001))),2)=1,IF(INT(($A57-1)/2)+1&gt;MAX(1,INT(((((CROQUIS_DATOS!$C$1494+CROQUIS_DATOS!$C$1495))-(CROQUIS_DATOS!$C$1494))+((CROQUIS_DATOS!$C$1476)*CROQUIS_DATOS!$C$1561-((CROQUIS_DATOS!$C$1496+CROQUIS_DATOS!$C$1497))*CROQUIS_DATOS!$C$1561))/CROQUIS_DATOS!$C$1568-0.000001)),1,MOD($A57-1,2)),1-IF(INT(($A57-1)/2)+1&gt;MAX(1,INT(((((CROQUIS_DATOS!$C$1494+CROQUIS_DATOS!$C$1495))-(CROQUIS_DATOS!$C$1494))+((CROQUIS_DATOS!$C$1476)*CROQUIS_DATOS!$C$1561-((CROQUIS_DATOS!$C$1496+CROQUIS_DATOS!$C$1497))*CROQUIS_DATOS!$C$1561))/CROQUIS_DATOS!$C$1568-0.000001)),1,MOD($A57-1,2)))=1,MIN((CROQUIS_DATOS!$C$1476)*CROQUIS_DATOS!$C$1561,((CROQUIS_DATOS!$C$1494+CROQUIS_DATOS!$C$1495)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7">
        <f>IF(AND(CROQUIS_DATOS!$C$1472=1,1),(CROQUIS_DATOS!$C$1571+(CHOOSE(MIN(MAX(IF(INT(($A57-1)/5)+1&gt;CROQUIS_DATOS!$C$1525,5,MOD($A57-1,5)+1),1),5),(INDEX($E$8:$E$23,MIN(INT(($A57-1)/5)+1,CROQUIS_DATOS!$C$1525))-INDEX($F$8:$F$23,MIN(INT(($A57-1)/5)+1,CROQUIS_DATOS!$C$1525))/2),(INDEX($E$8:$E$23,MIN(INT(($A57-1)/5)+1,CROQUIS_DATOS!$C$1525))+INDEX($F$8:$F$23,MIN(INT(($A57-1)/5)+1,CROQUIS_DATOS!$C$1525))/2),(INDEX($E$8:$E$23,MIN(INT(($A57-1)/5)+1,CROQUIS_DATOS!$C$1525))+INDEX($F$8:$F$23,MIN(INT(($A57-1)/5)+1,CROQUIS_DATOS!$C$1525))/2),(INDEX($E$8:$E$23,MIN(INT(($A57-1)/5)+1,CROQUIS_DATOS!$C$1525))-INDEX($F$8:$F$23,MIN(INT(($A57-1)/5)+1,CROQUIS_DATOS!$C$1525))/2),(INDEX($E$8:$E$23,MIN(INT(($A57-1)/5)+1,CROQUIS_DATOS!$C$1525))-INDEX($F$8:$F$23,MIN(INT(($A57-1)/5)+1,CROQUIS_DATOS!$C$1525))/2)))*CROQUIS_DATOS!$C$1569),-1000)</f>
        <v>95.24</v>
      </c>
      <c r="GE57">
        <f>IF(AND(CROQUIS_DATOS!$C$1472=1,1),(CROQUIS_DATOS!$C$1572+(CHOOSE(MIN(MAX(IF(INT(($A57-1)/5)+1&gt;CROQUIS_DATOS!$C$1525,5,MOD($A57-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7">
        <f>IF(AND(CROQUIS_DATOS!$C$1472=1,1),IF(INT(($A57-1)/4)+1&lt;=CROQUIS_DATOS!$C$1525,(CROQUIS_DATOS!$C$1571+((INDEX($E$8:$E$23,MIN(INT(($A57-1)/4)+1,16))+IF(OR(MOD($A57-1,4)=0,MOD($A57-1,4)=3),-1,1)*(INDEX($F$8:$F$23,MIN(INT(($A57-1)/4)+1,16))/2-(CROQUIS_DATOS!$C$1530+CROQUIS_DATOS!$C$1532+IF(OR(INT(($A57-1)/4)+1=1,INT(($A57-1)/4)+1=CROQUIS_DATOS!$C$1525),CROQUIS_DATOS!$C$1534,CROQUIS_DATOS!$C$1531)/2))))*CROQUIS_DATOS!$C$1569),-1000),-1000)</f>
        <v>-1000</v>
      </c>
      <c r="GG57">
        <f>IF(AND(CROQUIS_DATOS!$C$1472=1,1),IF(INT(($A57-1)/4)+1&lt;=CROQUIS_DATOS!$C$1525,(CROQUIS_DATOS!$C$1572+((CROQUIS_DATOS!$C$1477/2+IF(MOD($A57-1,4)&lt;2,-1,1)*(CROQUIS_DATOS!$C$1527/2-(CROQUIS_DATOS!$C$1530+CROQUIS_DATOS!$C$1532+IF(OR(INT(($A57-1)/4)+1=1,INT(($A57-1)/4)+1=CROQUIS_DATOS!$C$1525),CROQUIS_DATOS!$C$1534,CROQUIS_DATOS!$C$1531)/2))))*CROQUIS_DATOS!$C$1569*CROQUIS_DATOS!$C$1570),-1000),-1000)</f>
        <v>-1000</v>
      </c>
    </row>
    <row r="58">
      <c r="A58" t="n">
        <v>51</v>
      </c>
      <c r="J58">
        <f>IF(AND(CROQUIS_DATOS!$C$1472=1,1),(CROQUIS_DATOS!$C$1563+(CHOOSE(MIN(MAX(IF(INT(($A58-1)/4)+1&gt;CROQUIS_DATOS!$C$1525,4,MOD($A58-1,4)+1),1),4),(INDEX($E$8:$E$23,MIN(INT(($A58-1)/4)+1,CROQUIS_DATOS!$C$1525))-INDEX($F$8:$F$23,MIN(INT(($A58-1)/4)+1,CROQUIS_DATOS!$C$1525))/2),(INDEX($E$8:$E$23,MIN(INT(($A58-1)/4)+1,CROQUIS_DATOS!$C$1525))-INDEX($F$8:$F$23,MIN(INT(($A58-1)/4)+1,CROQUIS_DATOS!$C$1525))/2),(INDEX($E$8:$E$23,MIN(INT(($A58-1)/4)+1,CROQUIS_DATOS!$C$1525))+INDEX($F$8:$F$23,MIN(INT(($A58-1)/4)+1,CROQUIS_DATOS!$C$1525))/2),(INDEX($E$8:$E$23,MIN(INT(($A58-1)/4)+1,CROQUIS_DATOS!$C$1525))+INDEX($F$8:$F$23,MIN(INT(($A58-1)/4)+1,CROQUIS_DATOS!$C$1525))/2)))*CROQUIS_DATOS!$C$1562),-1000)</f>
        <v>84.9137931034483</v>
      </c>
      <c r="K58">
        <f>IF(AND(CROQUIS_DATOS!$C$1472=1,1),(CROQUIS_DATOS!$C$1564+(CHOOSE(MIN(MAX(IF(INT(($A58-1)/4)+1&gt;CROQUIS_DATOS!$C$1525,4,MOD($A58-1,4)+1),1),4),0,CROQUIS_DATOS!$C$1476,CROQUIS_DATOS!$C$1476,0))*CROQUIS_DATOS!$C$1561*CROQUIS_DATOS!$C$1562),-1000)</f>
        <v>5.29310344827586</v>
      </c>
      <c r="L58">
        <f>IF(AND(CROQUIS_DATOS!$C$1472=1,1),(CROQUIS_DATOS!$C$1563+(CHOOSE(MIN(MAX(IF(INT(($A58-1)/4)+1&gt;CROQUIS_DATOS!$C$1525,4,MOD($A58-1,4)+1),1),4),((INDEX($E$8:$E$23,MIN(INT(($A58-1)/4)+1,CROQUIS_DATOS!$C$1525))-INDEX($F$8:$F$23,MIN(INT(($A58-1)/4)+1,CROQUIS_DATOS!$C$1525))/2)+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,((INDEX($E$8:$E$23,MIN(INT(($A58-1)/4)+1,CROQUIS_DATOS!$C$1525))-INDEX($F$8:$F$23,MIN(INT(($A58-1)/4)+1,CROQUIS_DATOS!$C$1525))/2)+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,((INDEX($E$8:$E$23,MIN(INT(($A58-1)/4)+1,CROQUIS_DATOS!$C$1525))+INDEX($F$8:$F$23,MIN(INT(($A58-1)/4)+1,CROQUIS_DATOS!$C$1525))/2)-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,((INDEX($E$8:$E$23,MIN(INT(($A58-1)/4)+1,CROQUIS_DATOS!$C$1525))+INDEX($F$8:$F$23,MIN(INT(($A58-1)/4)+1,CROQUIS_DATOS!$C$1525))/2)-MIN((CROQUIS_DATOS!$C$1530+CROQUIS_DATOS!$C$1532+IF(OR(MIN(INT(($A58-1)/4)+1,CROQUIS_DATOS!$C$1525)=1,MIN(INT(($A58-1)/4)+1,CROQUIS_DATOS!$C$1525)=CROQUIS_DATOS!$C$1525),CROQUIS_DATOS!$C$1534,CROQUIS_DATOS!$C$1531)/2),INDEX($F$8:$F$23,MIN(INT(($A58-1)/4)+1,CROQUIS_DATOS!$C$1525))/2-0.5))))*CROQUIS_DATOS!$C$1562),-1000)</f>
        <v>84.4792560344828</v>
      </c>
      <c r="M58">
        <f>IF(AND(CROQUIS_DATOS!$C$1472=1,1),(CROQUIS_DATOS!$C$1564+(CHOOSE(MIN(MAX(IF(INT(($A58-1)/4)+1&gt;CROQUIS_DATOS!$C$1525,4,MOD($A58-1,4)+1),1),4),CROQUIS_DATOS!$C$1543,INDEX($I$8:$I$23,MIN(INT(($A58-1)/4)+1,CROQUIS_DATOS!$C$1525)),INDEX($I$8:$I$23,MIN(INT(($A58-1)/4)+1,CROQUIS_DATOS!$C$1525)),CROQUIS_DATOS!$C$1543))*CROQUIS_DATOS!$C$1561*CROQUIS_DATOS!$C$1562),-1000)</f>
        <v>42.5654629310345</v>
      </c>
      <c r="N58">
        <f>IF(AND(CROQUIS_DATOS!$C$1472=1,1),(CROQUIS_DATOS!$C$1563+(IF(IF(IF(INT(($A58-1)/70)+1&gt;CROQUIS_DATOS!$C$1525,70,MOD($A58-1,70)+1)=1,0,IF(IF(INT(($A58-1)/70)+1&gt;CROQUIS_DATOS!$C$1525,70,MOD($A58-1,70)+1)&gt;2*CROQUIS_DATOS!$C$1541+1,IF(MOD(CROQUIS_DATOS!$C$1541,2)=1,1,0),IF(MOD(MIN(INT((IF(INT(($A58-1)/70)+1&gt;CROQUIS_DATOS!$C$1525,70,MOD($A58-1,70)+1)-2)/2)+1,CROQUIS_DATOS!$C$1541),2)=1,IF(MOD(IF(INT(($A58-1)/70)+1&gt;CROQUIS_DATOS!$C$1525,70,MOD($A58-1,70)+1)-2,2)=0,0,1),IF(MOD(IF(INT(($A58-1)/70)+1&gt;CROQUIS_DATOS!$C$1525,70,MOD($A58-1,70)+1)-2,2)=0,1,0))))=0,(INDEX($E$8:$E$23,MIN(INT(($A58-1)/70)+1,CROQUIS_DATOS!$C$1525))-INDEX($F$8:$F$23,MIN(INT(($A58-1)/70)+1,CROQUIS_DATOS!$C$1525))/2),(INDEX($E$8:$E$23,MIN(INT(($A58-1)/70)+1,CROQUIS_DATOS!$C$1525))+INDEX($F$8:$F$23,MIN(INT(($A58-1)/70)+1,CROQUIS_DATOS!$C$1525))/2)))*CROQUIS_DATOS!$C$1562),-1000)</f>
        <v>15.0862068965517</v>
      </c>
      <c r="O58">
        <f>IF(AND(CROQUIS_DATOS!$C$1472=1,1),(CROQUIS_DATOS!$C$1564+(IF(OR(IF(INT(($A58-1)/70)+1&gt;CROQUIS_DATOS!$C$1525,70,MOD($A58-1,70)+1)=1,IF(INT(($A58-1)/70)+1&gt;CROQUIS_DATOS!$C$1525,70,MOD($A58-1,70)+1)&gt;2*CROQUIS_DATOS!$C$1541+1),CROQUIS_DATOS!$C$1476,INDEX($H$8:$H$41,MIN(INT((IF(INT(($A58-1)/70)+1&gt;CROQUIS_DATOS!$C$1525,70,MOD($A58-1,70)+1)-2)/2)+1,CROQUIS_DATOS!$C$1541))))*CROQUIS_DATOS!$C$1561*CROQUIS_DATOS!$C$1562),-1000)</f>
        <v>40.2068965517241</v>
      </c>
      <c r="P58">
        <f>IF(AND(CROQUIS_DATOS!$C$1472=1,CROQUIS_DATOS!$C$1555=1),(CROQUIS_DATOS!$C$1563+(IF(IF(OR(MOD($A58-1,62)+1=1,IF(CHOOSE(MIN(MAX(MIN(INT(($A58-1)/62)+1,5),1),5),CROQUIS_DATOS!$C$1501,CROQUIS_DATOS!$C$1505,CROQUIS_DATOS!$C$1509,CROQUIS_DATOS!$C$1513,CROQUIS_DATOS!$C$1517)=1,CROQUIS_DATOS!$C$1557,0)=0),0,IF(MOD($A58-1,62)+1&gt;2*IF(CHOOSE(MIN(MAX(MIN(INT(($A58-1)/62)+1,5),1),5),CROQUIS_DATOS!$C$1501,CROQUIS_DATOS!$C$1505,CROQUIS_DATOS!$C$1509,CROQUIS_DATOS!$C$1513,CROQUIS_DATOS!$C$1517)=1,CROQUIS_DATOS!$C$1557,0)+1,IF(MOD(IF(CHOOSE(MIN(MAX(MIN(INT(($A58-1)/62)+1,5),1),5),CROQUIS_DATOS!$C$1501,CROQUIS_DATOS!$C$1505,CROQUIS_DATOS!$C$1509,CROQUIS_DATOS!$C$1513,CROQUIS_DATOS!$C$1517)=1,CROQUIS_DATOS!$C$1557,0),2)=1,1,0),IF(MOD(MIN(INT((MOD($A58-1,62)+1-2)/2)+1,MAX(IF(CHOOSE(MIN(MAX(MIN(INT(($A58-1)/62)+1,5),1),5),CROQUIS_DATOS!$C$1501,CROQUIS_DATOS!$C$1505,CROQUIS_DATOS!$C$1509,CROQUIS_DATOS!$C$1513,CROQUIS_DATOS!$C$1517)=1,CROQUIS_DATOS!$C$1557,0),1)),2)=1,IF(MOD(MOD($A58-1,62)+1-2,2)=0,0,1),IF(MOD(MOD($A58-1,62)+1-2,2)=0,1,0))))=0,(CHOOSE(MIN(MAX(MIN(INT(($A58-1)/62)+1,5),1),5),CROQUIS_DATOS!$C$1499,CROQUIS_DATOS!$C$1503,CROQUIS_DATOS!$C$1507,CROQUIS_DATOS!$C$1511,CROQUIS_DATOS!$C$1515)+IF(CHOOSE(MIN(MAX(MIN(INT(($A58-1)/62)+1,5),1),5),CROQUIS_DATOS!$C$1501,CROQUIS_DATOS!$C$1505,CROQUIS_DATOS!$C$1509,CROQUIS_DATOS!$C$1513,CROQUIS_DATOS!$C$1517)=1,CROQUIS_DATOS!$C$1526,0)),(CHOOSE(MIN(MAX(MIN(INT(($A58-1)/62)+1,5),1),5),CROQUIS_DATOS!$C$1499,CROQUIS_DATOS!$C$1503,CROQUIS_DATOS!$C$1507,CROQUIS_DATOS!$C$1511,CROQUIS_DATOS!$C$1515)+CHOOSE(MIN(MAX(MIN(INT(($A58-1)/62)+1,5),1),5),CROQUIS_DATOS!$C$1500,CROQUIS_DATOS!$C$1504,CROQUIS_DATOS!$C$1508,CROQUIS_DATOS!$C$1512,CROQUIS_DATOS!$C$1516)-IF(CHOOSE(MIN(MAX(MIN(INT(($A58-1)/62)+1,5),1),5),CROQUIS_DATOS!$C$1501,CROQUIS_DATOS!$C$1505,CROQUIS_DATOS!$C$1509,CROQUIS_DATOS!$C$1513,CROQUIS_DATOS!$C$1517)=1,CROQUIS_DATOS!$C$1526,0))))*CROQUIS_DATOS!$C$1562),-1000)</f>
        <v>-1000</v>
      </c>
      <c r="Q58">
        <f>IF(AND(CROQUIS_DATOS!$C$1472=1,CROQUIS_DATOS!$C$1555=1),(CROQUIS_DATOS!$C$1564+(IF(OR(OR(MOD($A58-1,62)+1=1,IF(CHOOSE(MIN(MAX(MIN(INT(($A58-1)/62)+1,5),1),5),CROQUIS_DATOS!$C$1501,CROQUIS_DATOS!$C$1505,CROQUIS_DATOS!$C$1509,CROQUIS_DATOS!$C$1513,CROQUIS_DATOS!$C$1517)=1,CROQUIS_DATOS!$C$1557,0)=0),MOD($A58-1,62)+1&gt;2*IF(CHOOSE(MIN(MAX(MIN(INT(($A58-1)/62)+1,5),1),5),CROQUIS_DATOS!$C$1501,CROQUIS_DATOS!$C$1505,CROQUIS_DATOS!$C$1509,CROQUIS_DATOS!$C$1513,CROQUIS_DATOS!$C$1517)=1,CROQUIS_DATOS!$C$1557,0)+1),CROQUIS_DATOS!$C$1476,MIN(INT((MOD($A58-1,62)+1-2)/2)+1,MAX(IF(CHOOSE(MIN(MAX(MIN(INT(($A58-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8">
        <f>IF(AND(CROQUIS_DATOS!$C$1472=1,1),(CROQUIS_DATOS!$C$1563+(MIN(INT(($A58-1)/2)+1,CROQUIS_DATOS!$C$1558)*CROQUIS_DATOS!$C$1559)*CROQUIS_DATOS!$C$1562),-1000)</f>
        <v>82.2281167108753</v>
      </c>
      <c r="U58">
        <f>IF(AND(CROQUIS_DATOS!$C$1472=1,1),(CROQUIS_DATOS!$C$1564+(IF(INT(($A58-1)/2)+1&gt;CROQUIS_DATOS!$C$1558,IF(MOD(CROQUIS_DATOS!$C$1558,2)=1,CROQUIS_DATOS!$C$1476+CROQUIS_DATOS!$C$1528,CROQUIS_DATOS!$C$1476),IF(IF(MOD(MIN(INT(($A58-1)/2)+1,CROQUIS_DATOS!$C$1558),2)=1,MOD($A58-1,2),1-MOD($A58-1,2))=1,CROQUIS_DATOS!$C$1476+CROQUIS_DATOS!$C$1528,CROQUIS_DATOS!$C$1476)))*CROQUIS_DATOS!$C$1561*CROQUIS_DATOS!$C$1562),-1000)</f>
        <v>43</v>
      </c>
      <c r="BZ58">
        <f>IF(AND(CROQUIS_DATOS!$C$1472=1,CROQUIS_DATOS!$C$1500&gt;0,((CROQUIS_DATOS!$C$1499+CROQUIS_DATOS!$C$1500))-(CROQUIS_DATOS!$C$1499)&gt;0.5,(CROQUIS_DATOS!$C$1476)-(0)&gt;0.5),(CROQUIS_DATOS!$C$1566+(IF(IF(MOD(MIN(INT(($A58-1)/2)+1,MAX(1,INT(((((CROQUIS_DATOS!$C$1499+CROQUIS_DATOS!$C$1500))-(CROQUIS_DATOS!$C$1499))+((CROQUIS_DATOS!$C$1476)*CROQUIS_DATOS!$C$1561-(0)*CROQUIS_DATOS!$C$1561))/CROQUIS_DATOS!$C$1568-0.000001))),2)=1,IF(INT(($A58-1)/2)+1&gt;MAX(1,INT(((((CROQUIS_DATOS!$C$1499+CROQUIS_DATOS!$C$1500))-(CROQUIS_DATOS!$C$1499))+((CROQUIS_DATOS!$C$1476)*CROQUIS_DATOS!$C$1561-(0)*CROQUIS_DATOS!$C$1561))/CROQUIS_DATOS!$C$1568-0.000001)),1,MOD($A58-1,2)),1-IF(INT(($A58-1)/2)+1&gt;MAX(1,INT(((((CROQUIS_DATOS!$C$1499+CROQUIS_DATOS!$C$1500))-(CROQUIS_DATOS!$C$1499))+((CROQUIS_DATOS!$C$1476)*CROQUIS_DATOS!$C$1561-(0)*CROQUIS_DATOS!$C$1561))/CROQUIS_DATOS!$C$1568-0.000001)),1,MOD($A58-1,2)))=1,MIN((CROQUIS_DATOS!$C$1476)*CROQUIS_DATOS!$C$1561,((CROQUIS_DATOS!$C$1499+CROQUIS_DATOS!$C$1500)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8">
        <f>IF(AND(CROQUIS_DATOS!$C$1472=1,CROQUIS_DATOS!$C$1500&gt;0,((CROQUIS_DATOS!$C$1499+CROQUIS_DATOS!$C$1500))-(CROQUIS_DATOS!$C$1499)&gt;0.5,(CROQUIS_DATOS!$C$1476)-(0)&gt;0.5),(CROQUIS_DATOS!$C$1567+(IF(IF(MOD(MIN(INT(($A58-1)/2)+1,MAX(1,INT(((((CROQUIS_DATOS!$C$1499+CROQUIS_DATOS!$C$1500))-(CROQUIS_DATOS!$C$1499))+((CROQUIS_DATOS!$C$1476)*CROQUIS_DATOS!$C$1561-(0)*CROQUIS_DATOS!$C$1561))/CROQUIS_DATOS!$C$1568-0.000001))),2)=1,IF(INT(($A58-1)/2)+1&gt;MAX(1,INT(((((CROQUIS_DATOS!$C$1499+CROQUIS_DATOS!$C$1500))-(CROQUIS_DATOS!$C$1499))+((CROQUIS_DATOS!$C$1476)*CROQUIS_DATOS!$C$1561-(0)*CROQUIS_DATOS!$C$1561))/CROQUIS_DATOS!$C$1568-0.000001)),1,MOD($A58-1,2)),1-IF(INT(($A58-1)/2)+1&gt;MAX(1,INT(((((CROQUIS_DATOS!$C$1499+CROQUIS_DATOS!$C$1500))-(CROQUIS_DATOS!$C$1499))+((CROQUIS_DATOS!$C$1476)*CROQUIS_DATOS!$C$1561-(0)*CROQUIS_DATOS!$C$1561))/CROQUIS_DATOS!$C$1568-0.000001)),1,MOD($A58-1,2)))=1,MIN((CROQUIS_DATOS!$C$1476)*CROQUIS_DATOS!$C$1561,((CROQUIS_DATOS!$C$1499+CROQUIS_DATOS!$C$1500)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8">
        <f>IF(AND(CROQUIS_DATOS!$C$1472=1,CROQUIS_DATOS!$C$1504&gt;0,((CROQUIS_DATOS!$C$1503+CROQUIS_DATOS!$C$1504))-(CROQUIS_DATOS!$C$1503)&gt;0.5,(CROQUIS_DATOS!$C$1476)-(0)&gt;0.5),(CROQUIS_DATOS!$C$1566+(IF(IF(MOD(MIN(INT(($A58-1)/2)+1,MAX(1,INT(((((CROQUIS_DATOS!$C$1503+CROQUIS_DATOS!$C$1504))-(CROQUIS_DATOS!$C$1503))+((CROQUIS_DATOS!$C$1476)*CROQUIS_DATOS!$C$1561-(0)*CROQUIS_DATOS!$C$1561))/CROQUIS_DATOS!$C$1568-0.000001))),2)=1,IF(INT(($A58-1)/2)+1&gt;MAX(1,INT(((((CROQUIS_DATOS!$C$1503+CROQUIS_DATOS!$C$1504))-(CROQUIS_DATOS!$C$1503))+((CROQUIS_DATOS!$C$1476)*CROQUIS_DATOS!$C$1561-(0)*CROQUIS_DATOS!$C$1561))/CROQUIS_DATOS!$C$1568-0.000001)),1,MOD($A58-1,2)),1-IF(INT(($A58-1)/2)+1&gt;MAX(1,INT(((((CROQUIS_DATOS!$C$1503+CROQUIS_DATOS!$C$1504))-(CROQUIS_DATOS!$C$1503))+((CROQUIS_DATOS!$C$1476)*CROQUIS_DATOS!$C$1561-(0)*CROQUIS_DATOS!$C$1561))/CROQUIS_DATOS!$C$1568-0.000001)),1,MOD($A58-1,2)))=1,MIN((CROQUIS_DATOS!$C$1476)*CROQUIS_DATOS!$C$1561,((CROQUIS_DATOS!$C$1503+CROQUIS_DATOS!$C$1504)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8">
        <f>IF(AND(CROQUIS_DATOS!$C$1472=1,CROQUIS_DATOS!$C$1504&gt;0,((CROQUIS_DATOS!$C$1503+CROQUIS_DATOS!$C$1504))-(CROQUIS_DATOS!$C$1503)&gt;0.5,(CROQUIS_DATOS!$C$1476)-(0)&gt;0.5),(CROQUIS_DATOS!$C$1567+(IF(IF(MOD(MIN(INT(($A58-1)/2)+1,MAX(1,INT(((((CROQUIS_DATOS!$C$1503+CROQUIS_DATOS!$C$1504))-(CROQUIS_DATOS!$C$1503))+((CROQUIS_DATOS!$C$1476)*CROQUIS_DATOS!$C$1561-(0)*CROQUIS_DATOS!$C$1561))/CROQUIS_DATOS!$C$1568-0.000001))),2)=1,IF(INT(($A58-1)/2)+1&gt;MAX(1,INT(((((CROQUIS_DATOS!$C$1503+CROQUIS_DATOS!$C$1504))-(CROQUIS_DATOS!$C$1503))+((CROQUIS_DATOS!$C$1476)*CROQUIS_DATOS!$C$1561-(0)*CROQUIS_DATOS!$C$1561))/CROQUIS_DATOS!$C$1568-0.000001)),1,MOD($A58-1,2)),1-IF(INT(($A58-1)/2)+1&gt;MAX(1,INT(((((CROQUIS_DATOS!$C$1503+CROQUIS_DATOS!$C$1504))-(CROQUIS_DATOS!$C$1503))+((CROQUIS_DATOS!$C$1476)*CROQUIS_DATOS!$C$1561-(0)*CROQUIS_DATOS!$C$1561))/CROQUIS_DATOS!$C$1568-0.000001)),1,MOD($A58-1,2)))=1,MIN((CROQUIS_DATOS!$C$1476)*CROQUIS_DATOS!$C$1561,((CROQUIS_DATOS!$C$1503+CROQUIS_DATOS!$C$1504)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58">
        <f>IF(AND(CROQUIS_DATOS!$C$1472=1,CROQUIS_DATOS!$C$1508&gt;0,((CROQUIS_DATOS!$C$1507+CROQUIS_DATOS!$C$1508))-(CROQUIS_DATOS!$C$1507)&gt;0.5,(CROQUIS_DATOS!$C$1476)-(0)&gt;0.5),(CROQUIS_DATOS!$C$1566+(IF(IF(MOD(MIN(INT(($A58-1)/2)+1,MAX(1,INT(((((CROQUIS_DATOS!$C$1507+CROQUIS_DATOS!$C$1508))-(CROQUIS_DATOS!$C$1507))+((CROQUIS_DATOS!$C$1476)*CROQUIS_DATOS!$C$1561-(0)*CROQUIS_DATOS!$C$1561))/CROQUIS_DATOS!$C$1568-0.000001))),2)=1,IF(INT(($A58-1)/2)+1&gt;MAX(1,INT(((((CROQUIS_DATOS!$C$1507+CROQUIS_DATOS!$C$1508))-(CROQUIS_DATOS!$C$1507))+((CROQUIS_DATOS!$C$1476)*CROQUIS_DATOS!$C$1561-(0)*CROQUIS_DATOS!$C$1561))/CROQUIS_DATOS!$C$1568-0.000001)),1,MOD($A58-1,2)),1-IF(INT(($A58-1)/2)+1&gt;MAX(1,INT(((((CROQUIS_DATOS!$C$1507+CROQUIS_DATOS!$C$1508))-(CROQUIS_DATOS!$C$1507))+((CROQUIS_DATOS!$C$1476)*CROQUIS_DATOS!$C$1561-(0)*CROQUIS_DATOS!$C$1561))/CROQUIS_DATOS!$C$1568-0.000001)),1,MOD($A58-1,2)))=1,MIN((CROQUIS_DATOS!$C$1476)*CROQUIS_DATOS!$C$1561,((CROQUIS_DATOS!$C$1507+CROQUIS_DATOS!$C$1508)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58">
        <f>IF(AND(CROQUIS_DATOS!$C$1472=1,CROQUIS_DATOS!$C$1508&gt;0,((CROQUIS_DATOS!$C$1507+CROQUIS_DATOS!$C$1508))-(CROQUIS_DATOS!$C$1507)&gt;0.5,(CROQUIS_DATOS!$C$1476)-(0)&gt;0.5),(CROQUIS_DATOS!$C$1567+(IF(IF(MOD(MIN(INT(($A58-1)/2)+1,MAX(1,INT(((((CROQUIS_DATOS!$C$1507+CROQUIS_DATOS!$C$1508))-(CROQUIS_DATOS!$C$1507))+((CROQUIS_DATOS!$C$1476)*CROQUIS_DATOS!$C$1561-(0)*CROQUIS_DATOS!$C$1561))/CROQUIS_DATOS!$C$1568-0.000001))),2)=1,IF(INT(($A58-1)/2)+1&gt;MAX(1,INT(((((CROQUIS_DATOS!$C$1507+CROQUIS_DATOS!$C$1508))-(CROQUIS_DATOS!$C$1507))+((CROQUIS_DATOS!$C$1476)*CROQUIS_DATOS!$C$1561-(0)*CROQUIS_DATOS!$C$1561))/CROQUIS_DATOS!$C$1568-0.000001)),1,MOD($A58-1,2)),1-IF(INT(($A58-1)/2)+1&gt;MAX(1,INT(((((CROQUIS_DATOS!$C$1507+CROQUIS_DATOS!$C$1508))-(CROQUIS_DATOS!$C$1507))+((CROQUIS_DATOS!$C$1476)*CROQUIS_DATOS!$C$1561-(0)*CROQUIS_DATOS!$C$1561))/CROQUIS_DATOS!$C$1568-0.000001)),1,MOD($A58-1,2)))=1,MIN((CROQUIS_DATOS!$C$1476)*CROQUIS_DATOS!$C$1561,((CROQUIS_DATOS!$C$1507+CROQUIS_DATOS!$C$1508)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58">
        <f>IF(AND(CROQUIS_DATOS!$C$1472=1,CROQUIS_DATOS!$C$1512&gt;0,((CROQUIS_DATOS!$C$1511+CROQUIS_DATOS!$C$1512))-(CROQUIS_DATOS!$C$1511)&gt;0.5,(CROQUIS_DATOS!$C$1476)-(0)&gt;0.5),(CROQUIS_DATOS!$C$1566+(IF(IF(MOD(MIN(INT(($A58-1)/2)+1,MAX(1,INT(((((CROQUIS_DATOS!$C$1511+CROQUIS_DATOS!$C$1512))-(CROQUIS_DATOS!$C$1511))+((CROQUIS_DATOS!$C$1476)*CROQUIS_DATOS!$C$1561-(0)*CROQUIS_DATOS!$C$1561))/CROQUIS_DATOS!$C$1568-0.000001))),2)=1,IF(INT(($A58-1)/2)+1&gt;MAX(1,INT(((((CROQUIS_DATOS!$C$1511+CROQUIS_DATOS!$C$1512))-(CROQUIS_DATOS!$C$1511))+((CROQUIS_DATOS!$C$1476)*CROQUIS_DATOS!$C$1561-(0)*CROQUIS_DATOS!$C$1561))/CROQUIS_DATOS!$C$1568-0.000001)),1,MOD($A58-1,2)),1-IF(INT(($A58-1)/2)+1&gt;MAX(1,INT(((((CROQUIS_DATOS!$C$1511+CROQUIS_DATOS!$C$1512))-(CROQUIS_DATOS!$C$1511))+((CROQUIS_DATOS!$C$1476)*CROQUIS_DATOS!$C$1561-(0)*CROQUIS_DATOS!$C$1561))/CROQUIS_DATOS!$C$1568-0.000001)),1,MOD($A58-1,2)))=1,MIN((CROQUIS_DATOS!$C$1476)*CROQUIS_DATOS!$C$1561,((CROQUIS_DATOS!$C$1511+CROQUIS_DATOS!$C$1512)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8">
        <f>IF(AND(CROQUIS_DATOS!$C$1472=1,CROQUIS_DATOS!$C$1512&gt;0,((CROQUIS_DATOS!$C$1511+CROQUIS_DATOS!$C$1512))-(CROQUIS_DATOS!$C$1511)&gt;0.5,(CROQUIS_DATOS!$C$1476)-(0)&gt;0.5),(CROQUIS_DATOS!$C$1567+(IF(IF(MOD(MIN(INT(($A58-1)/2)+1,MAX(1,INT(((((CROQUIS_DATOS!$C$1511+CROQUIS_DATOS!$C$1512))-(CROQUIS_DATOS!$C$1511))+((CROQUIS_DATOS!$C$1476)*CROQUIS_DATOS!$C$1561-(0)*CROQUIS_DATOS!$C$1561))/CROQUIS_DATOS!$C$1568-0.000001))),2)=1,IF(INT(($A58-1)/2)+1&gt;MAX(1,INT(((((CROQUIS_DATOS!$C$1511+CROQUIS_DATOS!$C$1512))-(CROQUIS_DATOS!$C$1511))+((CROQUIS_DATOS!$C$1476)*CROQUIS_DATOS!$C$1561-(0)*CROQUIS_DATOS!$C$1561))/CROQUIS_DATOS!$C$1568-0.000001)),1,MOD($A58-1,2)),1-IF(INT(($A58-1)/2)+1&gt;MAX(1,INT(((((CROQUIS_DATOS!$C$1511+CROQUIS_DATOS!$C$1512))-(CROQUIS_DATOS!$C$1511))+((CROQUIS_DATOS!$C$1476)*CROQUIS_DATOS!$C$1561-(0)*CROQUIS_DATOS!$C$1561))/CROQUIS_DATOS!$C$1568-0.000001)),1,MOD($A58-1,2)))=1,MIN((CROQUIS_DATOS!$C$1476)*CROQUIS_DATOS!$C$1561,((CROQUIS_DATOS!$C$1511+CROQUIS_DATOS!$C$1512)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8">
        <f>IF(AND(CROQUIS_DATOS!$C$1472=1,CROQUIS_DATOS!$C$1516&gt;0,((CROQUIS_DATOS!$C$1515+CROQUIS_DATOS!$C$1516))-(CROQUIS_DATOS!$C$1515)&gt;0.5,(CROQUIS_DATOS!$C$1476)-(0)&gt;0.5),(CROQUIS_DATOS!$C$1566+(IF(IF(MOD(MIN(INT(($A58-1)/2)+1,MAX(1,INT(((((CROQUIS_DATOS!$C$1515+CROQUIS_DATOS!$C$1516))-(CROQUIS_DATOS!$C$1515))+((CROQUIS_DATOS!$C$1476)*CROQUIS_DATOS!$C$1561-(0)*CROQUIS_DATOS!$C$1561))/CROQUIS_DATOS!$C$1568-0.000001))),2)=1,IF(INT(($A58-1)/2)+1&gt;MAX(1,INT(((((CROQUIS_DATOS!$C$1515+CROQUIS_DATOS!$C$1516))-(CROQUIS_DATOS!$C$1515))+((CROQUIS_DATOS!$C$1476)*CROQUIS_DATOS!$C$1561-(0)*CROQUIS_DATOS!$C$1561))/CROQUIS_DATOS!$C$1568-0.000001)),1,MOD($A58-1,2)),1-IF(INT(($A58-1)/2)+1&gt;MAX(1,INT(((((CROQUIS_DATOS!$C$1515+CROQUIS_DATOS!$C$1516))-(CROQUIS_DATOS!$C$1515))+((CROQUIS_DATOS!$C$1476)*CROQUIS_DATOS!$C$1561-(0)*CROQUIS_DATOS!$C$1561))/CROQUIS_DATOS!$C$1568-0.000001)),1,MOD($A58-1,2)))=1,MIN((CROQUIS_DATOS!$C$1476)*CROQUIS_DATOS!$C$1561,((CROQUIS_DATOS!$C$1515+CROQUIS_DATOS!$C$1516)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8">
        <f>IF(AND(CROQUIS_DATOS!$C$1472=1,CROQUIS_DATOS!$C$1516&gt;0,((CROQUIS_DATOS!$C$1515+CROQUIS_DATOS!$C$1516))-(CROQUIS_DATOS!$C$1515)&gt;0.5,(CROQUIS_DATOS!$C$1476)-(0)&gt;0.5),(CROQUIS_DATOS!$C$1567+(IF(IF(MOD(MIN(INT(($A58-1)/2)+1,MAX(1,INT(((((CROQUIS_DATOS!$C$1515+CROQUIS_DATOS!$C$1516))-(CROQUIS_DATOS!$C$1515))+((CROQUIS_DATOS!$C$1476)*CROQUIS_DATOS!$C$1561-(0)*CROQUIS_DATOS!$C$1561))/CROQUIS_DATOS!$C$1568-0.000001))),2)=1,IF(INT(($A58-1)/2)+1&gt;MAX(1,INT(((((CROQUIS_DATOS!$C$1515+CROQUIS_DATOS!$C$1516))-(CROQUIS_DATOS!$C$1515))+((CROQUIS_DATOS!$C$1476)*CROQUIS_DATOS!$C$1561-(0)*CROQUIS_DATOS!$C$1561))/CROQUIS_DATOS!$C$1568-0.000001)),1,MOD($A58-1,2)),1-IF(INT(($A58-1)/2)+1&gt;MAX(1,INT(((((CROQUIS_DATOS!$C$1515+CROQUIS_DATOS!$C$1516))-(CROQUIS_DATOS!$C$1515))+((CROQUIS_DATOS!$C$1476)*CROQUIS_DATOS!$C$1561-(0)*CROQUIS_DATOS!$C$1561))/CROQUIS_DATOS!$C$1568-0.000001)),1,MOD($A58-1,2)))=1,MIN((CROQUIS_DATOS!$C$1476)*CROQUIS_DATOS!$C$1561,((CROQUIS_DATOS!$C$1515+CROQUIS_DATOS!$C$1516)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8">
        <f>IF(AND(CROQUIS_DATOS!$C$1472=1,CROQUIS_DATOS!$C$1478&gt;=1,((CROQUIS_DATOS!$C$1479+CROQUIS_DATOS!$C$1480))-(CROQUIS_DATOS!$C$1479)&gt;0.5,(CROQUIS_DATOS!$C$1481)-(0)&gt;0.5),(CROQUIS_DATOS!$C$1566+(IF(IF(MOD(MIN(INT(($A58-1)/2)+1,MAX(1,INT(((((CROQUIS_DATOS!$C$1479+CROQUIS_DATOS!$C$1480))-(CROQUIS_DATOS!$C$1479))+((CROQUIS_DATOS!$C$1481)*CROQUIS_DATOS!$C$1561-(0)*CROQUIS_DATOS!$C$1561))/CROQUIS_DATOS!$C$1568-0.000001))),2)=1,IF(INT(($A58-1)/2)+1&gt;MAX(1,INT(((((CROQUIS_DATOS!$C$1479+CROQUIS_DATOS!$C$1480))-(CROQUIS_DATOS!$C$1479))+((CROQUIS_DATOS!$C$1481)*CROQUIS_DATOS!$C$1561-(0)*CROQUIS_DATOS!$C$1561))/CROQUIS_DATOS!$C$1568-0.000001)),1,MOD($A58-1,2)),1-IF(INT(($A58-1)/2)+1&gt;MAX(1,INT(((((CROQUIS_DATOS!$C$1479+CROQUIS_DATOS!$C$1480))-(CROQUIS_DATOS!$C$1479))+((CROQUIS_DATOS!$C$1481)*CROQUIS_DATOS!$C$1561-(0)*CROQUIS_DATOS!$C$1561))/CROQUIS_DATOS!$C$1568-0.000001)),1,MOD($A58-1,2)))=1,MIN((CROQUIS_DATOS!$C$1481)*CROQUIS_DATOS!$C$1561,((CROQUIS_DATOS!$C$1479+CROQUIS_DATOS!$C$1480)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8">
        <f>IF(AND(CROQUIS_DATOS!$C$1472=1,CROQUIS_DATOS!$C$1478&gt;=1,((CROQUIS_DATOS!$C$1479+CROQUIS_DATOS!$C$1480))-(CROQUIS_DATOS!$C$1479)&gt;0.5,(CROQUIS_DATOS!$C$1481)-(0)&gt;0.5),(CROQUIS_DATOS!$C$1567+(IF(IF(MOD(MIN(INT(($A58-1)/2)+1,MAX(1,INT(((((CROQUIS_DATOS!$C$1479+CROQUIS_DATOS!$C$1480))-(CROQUIS_DATOS!$C$1479))+((CROQUIS_DATOS!$C$1481)*CROQUIS_DATOS!$C$1561-(0)*CROQUIS_DATOS!$C$1561))/CROQUIS_DATOS!$C$1568-0.000001))),2)=1,IF(INT(($A58-1)/2)+1&gt;MAX(1,INT(((((CROQUIS_DATOS!$C$1479+CROQUIS_DATOS!$C$1480))-(CROQUIS_DATOS!$C$1479))+((CROQUIS_DATOS!$C$1481)*CROQUIS_DATOS!$C$1561-(0)*CROQUIS_DATOS!$C$1561))/CROQUIS_DATOS!$C$1568-0.000001)),1,MOD($A58-1,2)),1-IF(INT(($A58-1)/2)+1&gt;MAX(1,INT(((((CROQUIS_DATOS!$C$1479+CROQUIS_DATOS!$C$1480))-(CROQUIS_DATOS!$C$1479))+((CROQUIS_DATOS!$C$1481)*CROQUIS_DATOS!$C$1561-(0)*CROQUIS_DATOS!$C$1561))/CROQUIS_DATOS!$C$1568-0.000001)),1,MOD($A58-1,2)))=1,MIN((CROQUIS_DATOS!$C$1481)*CROQUIS_DATOS!$C$1561,((CROQUIS_DATOS!$C$1479+CROQUIS_DATOS!$C$1480)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8">
        <f>IF(AND(CROQUIS_DATOS!$C$1472=1,CROQUIS_DATOS!$C$1478&gt;=1,((CROQUIS_DATOS!$C$1479+CROQUIS_DATOS!$C$1480))-(CROQUIS_DATOS!$C$1479)&gt;0.5,(CROQUIS_DATOS!$C$1476)-((CROQUIS_DATOS!$C$1481+CROQUIS_DATOS!$C$1482))&gt;0.5),(CROQUIS_DATOS!$C$1566+(IF(IF(MOD(MIN(INT(($A58-1)/2)+1,MAX(1,INT(((((CROQUIS_DATOS!$C$1479+CROQUIS_DATOS!$C$1480))-(CROQUIS_DATOS!$C$1479))+((CROQUIS_DATOS!$C$1476)*CROQUIS_DATOS!$C$1561-((CROQUIS_DATOS!$C$1481+CROQUIS_DATOS!$C$1482))*CROQUIS_DATOS!$C$1561))/CROQUIS_DATOS!$C$1568-0.000001))),2)=1,IF(INT(($A58-1)/2)+1&gt;MAX(1,INT(((((CROQUIS_DATOS!$C$1479+CROQUIS_DATOS!$C$1480))-(CROQUIS_DATOS!$C$1479))+((CROQUIS_DATOS!$C$1476)*CROQUIS_DATOS!$C$1561-((CROQUIS_DATOS!$C$1481+CROQUIS_DATOS!$C$1482))*CROQUIS_DATOS!$C$1561))/CROQUIS_DATOS!$C$1568-0.000001)),1,MOD($A58-1,2)),1-IF(INT(($A58-1)/2)+1&gt;MAX(1,INT(((((CROQUIS_DATOS!$C$1479+CROQUIS_DATOS!$C$1480))-(CROQUIS_DATOS!$C$1479))+((CROQUIS_DATOS!$C$1476)*CROQUIS_DATOS!$C$1561-((CROQUIS_DATOS!$C$1481+CROQUIS_DATOS!$C$1482))*CROQUIS_DATOS!$C$1561))/CROQUIS_DATOS!$C$1568-0.000001)),1,MOD($A58-1,2)))=1,MIN((CROQUIS_DATOS!$C$1476)*CROQUIS_DATOS!$C$1561,((CROQUIS_DATOS!$C$1479+CROQUIS_DATOS!$C$1480)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8">
        <f>IF(AND(CROQUIS_DATOS!$C$1472=1,CROQUIS_DATOS!$C$1478&gt;=1,((CROQUIS_DATOS!$C$1479+CROQUIS_DATOS!$C$1480))-(CROQUIS_DATOS!$C$1479)&gt;0.5,(CROQUIS_DATOS!$C$1476)-((CROQUIS_DATOS!$C$1481+CROQUIS_DATOS!$C$1482))&gt;0.5),(CROQUIS_DATOS!$C$1567+(IF(IF(MOD(MIN(INT(($A58-1)/2)+1,MAX(1,INT(((((CROQUIS_DATOS!$C$1479+CROQUIS_DATOS!$C$1480))-(CROQUIS_DATOS!$C$1479))+((CROQUIS_DATOS!$C$1476)*CROQUIS_DATOS!$C$1561-((CROQUIS_DATOS!$C$1481+CROQUIS_DATOS!$C$1482))*CROQUIS_DATOS!$C$1561))/CROQUIS_DATOS!$C$1568-0.000001))),2)=1,IF(INT(($A58-1)/2)+1&gt;MAX(1,INT(((((CROQUIS_DATOS!$C$1479+CROQUIS_DATOS!$C$1480))-(CROQUIS_DATOS!$C$1479))+((CROQUIS_DATOS!$C$1476)*CROQUIS_DATOS!$C$1561-((CROQUIS_DATOS!$C$1481+CROQUIS_DATOS!$C$1482))*CROQUIS_DATOS!$C$1561))/CROQUIS_DATOS!$C$1568-0.000001)),1,MOD($A58-1,2)),1-IF(INT(($A58-1)/2)+1&gt;MAX(1,INT(((((CROQUIS_DATOS!$C$1479+CROQUIS_DATOS!$C$1480))-(CROQUIS_DATOS!$C$1479))+((CROQUIS_DATOS!$C$1476)*CROQUIS_DATOS!$C$1561-((CROQUIS_DATOS!$C$1481+CROQUIS_DATOS!$C$1482))*CROQUIS_DATOS!$C$1561))/CROQUIS_DATOS!$C$1568-0.000001)),1,MOD($A58-1,2)))=1,MIN((CROQUIS_DATOS!$C$1476)*CROQUIS_DATOS!$C$1561,((CROQUIS_DATOS!$C$1479+CROQUIS_DATOS!$C$1480)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8">
        <f>IF(AND(CROQUIS_DATOS!$C$1472=1,CROQUIS_DATOS!$C$1478&gt;=2,((CROQUIS_DATOS!$C$1484+CROQUIS_DATOS!$C$1485))-(CROQUIS_DATOS!$C$1484)&gt;0.5,(CROQUIS_DATOS!$C$1486)-(0)&gt;0.5),(CROQUIS_DATOS!$C$1566+(IF(IF(MOD(MIN(INT(($A58-1)/2)+1,MAX(1,INT(((((CROQUIS_DATOS!$C$1484+CROQUIS_DATOS!$C$1485))-(CROQUIS_DATOS!$C$1484))+((CROQUIS_DATOS!$C$1486)*CROQUIS_DATOS!$C$1561-(0)*CROQUIS_DATOS!$C$1561))/CROQUIS_DATOS!$C$1568-0.000001))),2)=1,IF(INT(($A58-1)/2)+1&gt;MAX(1,INT(((((CROQUIS_DATOS!$C$1484+CROQUIS_DATOS!$C$1485))-(CROQUIS_DATOS!$C$1484))+((CROQUIS_DATOS!$C$1486)*CROQUIS_DATOS!$C$1561-(0)*CROQUIS_DATOS!$C$1561))/CROQUIS_DATOS!$C$1568-0.000001)),1,MOD($A58-1,2)),1-IF(INT(($A58-1)/2)+1&gt;MAX(1,INT(((((CROQUIS_DATOS!$C$1484+CROQUIS_DATOS!$C$1485))-(CROQUIS_DATOS!$C$1484))+((CROQUIS_DATOS!$C$1486)*CROQUIS_DATOS!$C$1561-(0)*CROQUIS_DATOS!$C$1561))/CROQUIS_DATOS!$C$1568-0.000001)),1,MOD($A58-1,2)))=1,MIN((CROQUIS_DATOS!$C$1486)*CROQUIS_DATOS!$C$1561,((CROQUIS_DATOS!$C$1484+CROQUIS_DATOS!$C$1485)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8">
        <f>IF(AND(CROQUIS_DATOS!$C$1472=1,CROQUIS_DATOS!$C$1478&gt;=2,((CROQUIS_DATOS!$C$1484+CROQUIS_DATOS!$C$1485))-(CROQUIS_DATOS!$C$1484)&gt;0.5,(CROQUIS_DATOS!$C$1486)-(0)&gt;0.5),(CROQUIS_DATOS!$C$1567+(IF(IF(MOD(MIN(INT(($A58-1)/2)+1,MAX(1,INT(((((CROQUIS_DATOS!$C$1484+CROQUIS_DATOS!$C$1485))-(CROQUIS_DATOS!$C$1484))+((CROQUIS_DATOS!$C$1486)*CROQUIS_DATOS!$C$1561-(0)*CROQUIS_DATOS!$C$1561))/CROQUIS_DATOS!$C$1568-0.000001))),2)=1,IF(INT(($A58-1)/2)+1&gt;MAX(1,INT(((((CROQUIS_DATOS!$C$1484+CROQUIS_DATOS!$C$1485))-(CROQUIS_DATOS!$C$1484))+((CROQUIS_DATOS!$C$1486)*CROQUIS_DATOS!$C$1561-(0)*CROQUIS_DATOS!$C$1561))/CROQUIS_DATOS!$C$1568-0.000001)),1,MOD($A58-1,2)),1-IF(INT(($A58-1)/2)+1&gt;MAX(1,INT(((((CROQUIS_DATOS!$C$1484+CROQUIS_DATOS!$C$1485))-(CROQUIS_DATOS!$C$1484))+((CROQUIS_DATOS!$C$1486)*CROQUIS_DATOS!$C$1561-(0)*CROQUIS_DATOS!$C$1561))/CROQUIS_DATOS!$C$1568-0.000001)),1,MOD($A58-1,2)))=1,MIN((CROQUIS_DATOS!$C$1486)*CROQUIS_DATOS!$C$1561,((CROQUIS_DATOS!$C$1484+CROQUIS_DATOS!$C$1485)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8">
        <f>IF(AND(CROQUIS_DATOS!$C$1472=1,CROQUIS_DATOS!$C$1478&gt;=2,((CROQUIS_DATOS!$C$1484+CROQUIS_DATOS!$C$1485))-(CROQUIS_DATOS!$C$1484)&gt;0.5,(CROQUIS_DATOS!$C$1476)-((CROQUIS_DATOS!$C$1486+CROQUIS_DATOS!$C$1487))&gt;0.5),(CROQUIS_DATOS!$C$1566+(IF(IF(MOD(MIN(INT(($A58-1)/2)+1,MAX(1,INT(((((CROQUIS_DATOS!$C$1484+CROQUIS_DATOS!$C$1485))-(CROQUIS_DATOS!$C$1484))+((CROQUIS_DATOS!$C$1476)*CROQUIS_DATOS!$C$1561-((CROQUIS_DATOS!$C$1486+CROQUIS_DATOS!$C$1487))*CROQUIS_DATOS!$C$1561))/CROQUIS_DATOS!$C$1568-0.000001))),2)=1,IF(INT(($A58-1)/2)+1&gt;MAX(1,INT(((((CROQUIS_DATOS!$C$1484+CROQUIS_DATOS!$C$1485))-(CROQUIS_DATOS!$C$1484))+((CROQUIS_DATOS!$C$1476)*CROQUIS_DATOS!$C$1561-((CROQUIS_DATOS!$C$1486+CROQUIS_DATOS!$C$1487))*CROQUIS_DATOS!$C$1561))/CROQUIS_DATOS!$C$1568-0.000001)),1,MOD($A58-1,2)),1-IF(INT(($A58-1)/2)+1&gt;MAX(1,INT(((((CROQUIS_DATOS!$C$1484+CROQUIS_DATOS!$C$1485))-(CROQUIS_DATOS!$C$1484))+((CROQUIS_DATOS!$C$1476)*CROQUIS_DATOS!$C$1561-((CROQUIS_DATOS!$C$1486+CROQUIS_DATOS!$C$1487))*CROQUIS_DATOS!$C$1561))/CROQUIS_DATOS!$C$1568-0.000001)),1,MOD($A58-1,2)))=1,MIN((CROQUIS_DATOS!$C$1476)*CROQUIS_DATOS!$C$1561,((CROQUIS_DATOS!$C$1484+CROQUIS_DATOS!$C$1485)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8">
        <f>IF(AND(CROQUIS_DATOS!$C$1472=1,CROQUIS_DATOS!$C$1478&gt;=2,((CROQUIS_DATOS!$C$1484+CROQUIS_DATOS!$C$1485))-(CROQUIS_DATOS!$C$1484)&gt;0.5,(CROQUIS_DATOS!$C$1476)-((CROQUIS_DATOS!$C$1486+CROQUIS_DATOS!$C$1487))&gt;0.5),(CROQUIS_DATOS!$C$1567+(IF(IF(MOD(MIN(INT(($A58-1)/2)+1,MAX(1,INT(((((CROQUIS_DATOS!$C$1484+CROQUIS_DATOS!$C$1485))-(CROQUIS_DATOS!$C$1484))+((CROQUIS_DATOS!$C$1476)*CROQUIS_DATOS!$C$1561-((CROQUIS_DATOS!$C$1486+CROQUIS_DATOS!$C$1487))*CROQUIS_DATOS!$C$1561))/CROQUIS_DATOS!$C$1568-0.000001))),2)=1,IF(INT(($A58-1)/2)+1&gt;MAX(1,INT(((((CROQUIS_DATOS!$C$1484+CROQUIS_DATOS!$C$1485))-(CROQUIS_DATOS!$C$1484))+((CROQUIS_DATOS!$C$1476)*CROQUIS_DATOS!$C$1561-((CROQUIS_DATOS!$C$1486+CROQUIS_DATOS!$C$1487))*CROQUIS_DATOS!$C$1561))/CROQUIS_DATOS!$C$1568-0.000001)),1,MOD($A58-1,2)),1-IF(INT(($A58-1)/2)+1&gt;MAX(1,INT(((((CROQUIS_DATOS!$C$1484+CROQUIS_DATOS!$C$1485))-(CROQUIS_DATOS!$C$1484))+((CROQUIS_DATOS!$C$1476)*CROQUIS_DATOS!$C$1561-((CROQUIS_DATOS!$C$1486+CROQUIS_DATOS!$C$1487))*CROQUIS_DATOS!$C$1561))/CROQUIS_DATOS!$C$1568-0.000001)),1,MOD($A58-1,2)))=1,MIN((CROQUIS_DATOS!$C$1476)*CROQUIS_DATOS!$C$1561,((CROQUIS_DATOS!$C$1484+CROQUIS_DATOS!$C$1485)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8">
        <f>IF(AND(CROQUIS_DATOS!$C$1472=1,CROQUIS_DATOS!$C$1478&gt;=3,((CROQUIS_DATOS!$C$1489+CROQUIS_DATOS!$C$1490))-(CROQUIS_DATOS!$C$1489)&gt;0.5,(CROQUIS_DATOS!$C$1491)-(0)&gt;0.5),(CROQUIS_DATOS!$C$1566+(IF(IF(MOD(MIN(INT(($A58-1)/2)+1,MAX(1,INT(((((CROQUIS_DATOS!$C$1489+CROQUIS_DATOS!$C$1490))-(CROQUIS_DATOS!$C$1489))+((CROQUIS_DATOS!$C$1491)*CROQUIS_DATOS!$C$1561-(0)*CROQUIS_DATOS!$C$1561))/CROQUIS_DATOS!$C$1568-0.000001))),2)=1,IF(INT(($A58-1)/2)+1&gt;MAX(1,INT(((((CROQUIS_DATOS!$C$1489+CROQUIS_DATOS!$C$1490))-(CROQUIS_DATOS!$C$1489))+((CROQUIS_DATOS!$C$1491)*CROQUIS_DATOS!$C$1561-(0)*CROQUIS_DATOS!$C$1561))/CROQUIS_DATOS!$C$1568-0.000001)),1,MOD($A58-1,2)),1-IF(INT(($A58-1)/2)+1&gt;MAX(1,INT(((((CROQUIS_DATOS!$C$1489+CROQUIS_DATOS!$C$1490))-(CROQUIS_DATOS!$C$1489))+((CROQUIS_DATOS!$C$1491)*CROQUIS_DATOS!$C$1561-(0)*CROQUIS_DATOS!$C$1561))/CROQUIS_DATOS!$C$1568-0.000001)),1,MOD($A58-1,2)))=1,MIN((CROQUIS_DATOS!$C$1491)*CROQUIS_DATOS!$C$1561,((CROQUIS_DATOS!$C$1489+CROQUIS_DATOS!$C$1490)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8">
        <f>IF(AND(CROQUIS_DATOS!$C$1472=1,CROQUIS_DATOS!$C$1478&gt;=3,((CROQUIS_DATOS!$C$1489+CROQUIS_DATOS!$C$1490))-(CROQUIS_DATOS!$C$1489)&gt;0.5,(CROQUIS_DATOS!$C$1491)-(0)&gt;0.5),(CROQUIS_DATOS!$C$1567+(IF(IF(MOD(MIN(INT(($A58-1)/2)+1,MAX(1,INT(((((CROQUIS_DATOS!$C$1489+CROQUIS_DATOS!$C$1490))-(CROQUIS_DATOS!$C$1489))+((CROQUIS_DATOS!$C$1491)*CROQUIS_DATOS!$C$1561-(0)*CROQUIS_DATOS!$C$1561))/CROQUIS_DATOS!$C$1568-0.000001))),2)=1,IF(INT(($A58-1)/2)+1&gt;MAX(1,INT(((((CROQUIS_DATOS!$C$1489+CROQUIS_DATOS!$C$1490))-(CROQUIS_DATOS!$C$1489))+((CROQUIS_DATOS!$C$1491)*CROQUIS_DATOS!$C$1561-(0)*CROQUIS_DATOS!$C$1561))/CROQUIS_DATOS!$C$1568-0.000001)),1,MOD($A58-1,2)),1-IF(INT(($A58-1)/2)+1&gt;MAX(1,INT(((((CROQUIS_DATOS!$C$1489+CROQUIS_DATOS!$C$1490))-(CROQUIS_DATOS!$C$1489))+((CROQUIS_DATOS!$C$1491)*CROQUIS_DATOS!$C$1561-(0)*CROQUIS_DATOS!$C$1561))/CROQUIS_DATOS!$C$1568-0.000001)),1,MOD($A58-1,2)))=1,MIN((CROQUIS_DATOS!$C$1491)*CROQUIS_DATOS!$C$1561,((CROQUIS_DATOS!$C$1489+CROQUIS_DATOS!$C$1490)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8">
        <f>IF(AND(CROQUIS_DATOS!$C$1472=1,CROQUIS_DATOS!$C$1478&gt;=3,((CROQUIS_DATOS!$C$1489+CROQUIS_DATOS!$C$1490))-(CROQUIS_DATOS!$C$1489)&gt;0.5,(CROQUIS_DATOS!$C$1476)-((CROQUIS_DATOS!$C$1491+CROQUIS_DATOS!$C$1492))&gt;0.5),(CROQUIS_DATOS!$C$1566+(IF(IF(MOD(MIN(INT(($A58-1)/2)+1,MAX(1,INT(((((CROQUIS_DATOS!$C$1489+CROQUIS_DATOS!$C$1490))-(CROQUIS_DATOS!$C$1489))+((CROQUIS_DATOS!$C$1476)*CROQUIS_DATOS!$C$1561-((CROQUIS_DATOS!$C$1491+CROQUIS_DATOS!$C$1492))*CROQUIS_DATOS!$C$1561))/CROQUIS_DATOS!$C$1568-0.000001))),2)=1,IF(INT(($A58-1)/2)+1&gt;MAX(1,INT(((((CROQUIS_DATOS!$C$1489+CROQUIS_DATOS!$C$1490))-(CROQUIS_DATOS!$C$1489))+((CROQUIS_DATOS!$C$1476)*CROQUIS_DATOS!$C$1561-((CROQUIS_DATOS!$C$1491+CROQUIS_DATOS!$C$1492))*CROQUIS_DATOS!$C$1561))/CROQUIS_DATOS!$C$1568-0.000001)),1,MOD($A58-1,2)),1-IF(INT(($A58-1)/2)+1&gt;MAX(1,INT(((((CROQUIS_DATOS!$C$1489+CROQUIS_DATOS!$C$1490))-(CROQUIS_DATOS!$C$1489))+((CROQUIS_DATOS!$C$1476)*CROQUIS_DATOS!$C$1561-((CROQUIS_DATOS!$C$1491+CROQUIS_DATOS!$C$1492))*CROQUIS_DATOS!$C$1561))/CROQUIS_DATOS!$C$1568-0.000001)),1,MOD($A58-1,2)))=1,MIN((CROQUIS_DATOS!$C$1476)*CROQUIS_DATOS!$C$1561,((CROQUIS_DATOS!$C$1489+CROQUIS_DATOS!$C$1490)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8">
        <f>IF(AND(CROQUIS_DATOS!$C$1472=1,CROQUIS_DATOS!$C$1478&gt;=3,((CROQUIS_DATOS!$C$1489+CROQUIS_DATOS!$C$1490))-(CROQUIS_DATOS!$C$1489)&gt;0.5,(CROQUIS_DATOS!$C$1476)-((CROQUIS_DATOS!$C$1491+CROQUIS_DATOS!$C$1492))&gt;0.5),(CROQUIS_DATOS!$C$1567+(IF(IF(MOD(MIN(INT(($A58-1)/2)+1,MAX(1,INT(((((CROQUIS_DATOS!$C$1489+CROQUIS_DATOS!$C$1490))-(CROQUIS_DATOS!$C$1489))+((CROQUIS_DATOS!$C$1476)*CROQUIS_DATOS!$C$1561-((CROQUIS_DATOS!$C$1491+CROQUIS_DATOS!$C$1492))*CROQUIS_DATOS!$C$1561))/CROQUIS_DATOS!$C$1568-0.000001))),2)=1,IF(INT(($A58-1)/2)+1&gt;MAX(1,INT(((((CROQUIS_DATOS!$C$1489+CROQUIS_DATOS!$C$1490))-(CROQUIS_DATOS!$C$1489))+((CROQUIS_DATOS!$C$1476)*CROQUIS_DATOS!$C$1561-((CROQUIS_DATOS!$C$1491+CROQUIS_DATOS!$C$1492))*CROQUIS_DATOS!$C$1561))/CROQUIS_DATOS!$C$1568-0.000001)),1,MOD($A58-1,2)),1-IF(INT(($A58-1)/2)+1&gt;MAX(1,INT(((((CROQUIS_DATOS!$C$1489+CROQUIS_DATOS!$C$1490))-(CROQUIS_DATOS!$C$1489))+((CROQUIS_DATOS!$C$1476)*CROQUIS_DATOS!$C$1561-((CROQUIS_DATOS!$C$1491+CROQUIS_DATOS!$C$1492))*CROQUIS_DATOS!$C$1561))/CROQUIS_DATOS!$C$1568-0.000001)),1,MOD($A58-1,2)))=1,MIN((CROQUIS_DATOS!$C$1476)*CROQUIS_DATOS!$C$1561,((CROQUIS_DATOS!$C$1489+CROQUIS_DATOS!$C$1490)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8">
        <f>IF(AND(CROQUIS_DATOS!$C$1472=1,CROQUIS_DATOS!$C$1478&gt;=4,((CROQUIS_DATOS!$C$1494+CROQUIS_DATOS!$C$1495))-(CROQUIS_DATOS!$C$1494)&gt;0.5,(CROQUIS_DATOS!$C$1496)-(0)&gt;0.5),(CROQUIS_DATOS!$C$1566+(IF(IF(MOD(MIN(INT(($A58-1)/2)+1,MAX(1,INT(((((CROQUIS_DATOS!$C$1494+CROQUIS_DATOS!$C$1495))-(CROQUIS_DATOS!$C$1494))+((CROQUIS_DATOS!$C$1496)*CROQUIS_DATOS!$C$1561-(0)*CROQUIS_DATOS!$C$1561))/CROQUIS_DATOS!$C$1568-0.000001))),2)=1,IF(INT(($A58-1)/2)+1&gt;MAX(1,INT(((((CROQUIS_DATOS!$C$1494+CROQUIS_DATOS!$C$1495))-(CROQUIS_DATOS!$C$1494))+((CROQUIS_DATOS!$C$1496)*CROQUIS_DATOS!$C$1561-(0)*CROQUIS_DATOS!$C$1561))/CROQUIS_DATOS!$C$1568-0.000001)),1,MOD($A58-1,2)),1-IF(INT(($A58-1)/2)+1&gt;MAX(1,INT(((((CROQUIS_DATOS!$C$1494+CROQUIS_DATOS!$C$1495))-(CROQUIS_DATOS!$C$1494))+((CROQUIS_DATOS!$C$1496)*CROQUIS_DATOS!$C$1561-(0)*CROQUIS_DATOS!$C$1561))/CROQUIS_DATOS!$C$1568-0.000001)),1,MOD($A58-1,2)))=1,MIN((CROQUIS_DATOS!$C$1496)*CROQUIS_DATOS!$C$1561,((CROQUIS_DATOS!$C$1494+CROQUIS_DATOS!$C$1495)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8">
        <f>IF(AND(CROQUIS_DATOS!$C$1472=1,CROQUIS_DATOS!$C$1478&gt;=4,((CROQUIS_DATOS!$C$1494+CROQUIS_DATOS!$C$1495))-(CROQUIS_DATOS!$C$1494)&gt;0.5,(CROQUIS_DATOS!$C$1496)-(0)&gt;0.5),(CROQUIS_DATOS!$C$1567+(IF(IF(MOD(MIN(INT(($A58-1)/2)+1,MAX(1,INT(((((CROQUIS_DATOS!$C$1494+CROQUIS_DATOS!$C$1495))-(CROQUIS_DATOS!$C$1494))+((CROQUIS_DATOS!$C$1496)*CROQUIS_DATOS!$C$1561-(0)*CROQUIS_DATOS!$C$1561))/CROQUIS_DATOS!$C$1568-0.000001))),2)=1,IF(INT(($A58-1)/2)+1&gt;MAX(1,INT(((((CROQUIS_DATOS!$C$1494+CROQUIS_DATOS!$C$1495))-(CROQUIS_DATOS!$C$1494))+((CROQUIS_DATOS!$C$1496)*CROQUIS_DATOS!$C$1561-(0)*CROQUIS_DATOS!$C$1561))/CROQUIS_DATOS!$C$1568-0.000001)),1,MOD($A58-1,2)),1-IF(INT(($A58-1)/2)+1&gt;MAX(1,INT(((((CROQUIS_DATOS!$C$1494+CROQUIS_DATOS!$C$1495))-(CROQUIS_DATOS!$C$1494))+((CROQUIS_DATOS!$C$1496)*CROQUIS_DATOS!$C$1561-(0)*CROQUIS_DATOS!$C$1561))/CROQUIS_DATOS!$C$1568-0.000001)),1,MOD($A58-1,2)))=1,MIN((CROQUIS_DATOS!$C$1496)*CROQUIS_DATOS!$C$1561,((CROQUIS_DATOS!$C$1494+CROQUIS_DATOS!$C$1495)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8">
        <f>IF(AND(CROQUIS_DATOS!$C$1472=1,CROQUIS_DATOS!$C$1478&gt;=4,((CROQUIS_DATOS!$C$1494+CROQUIS_DATOS!$C$1495))-(CROQUIS_DATOS!$C$1494)&gt;0.5,(CROQUIS_DATOS!$C$1476)-((CROQUIS_DATOS!$C$1496+CROQUIS_DATOS!$C$1497))&gt;0.5),(CROQUIS_DATOS!$C$1566+(IF(IF(MOD(MIN(INT(($A58-1)/2)+1,MAX(1,INT(((((CROQUIS_DATOS!$C$1494+CROQUIS_DATOS!$C$1495))-(CROQUIS_DATOS!$C$1494))+((CROQUIS_DATOS!$C$1476)*CROQUIS_DATOS!$C$1561-((CROQUIS_DATOS!$C$1496+CROQUIS_DATOS!$C$1497))*CROQUIS_DATOS!$C$1561))/CROQUIS_DATOS!$C$1568-0.000001))),2)=1,IF(INT(($A58-1)/2)+1&gt;MAX(1,INT(((((CROQUIS_DATOS!$C$1494+CROQUIS_DATOS!$C$1495))-(CROQUIS_DATOS!$C$1494))+((CROQUIS_DATOS!$C$1476)*CROQUIS_DATOS!$C$1561-((CROQUIS_DATOS!$C$1496+CROQUIS_DATOS!$C$1497))*CROQUIS_DATOS!$C$1561))/CROQUIS_DATOS!$C$1568-0.000001)),1,MOD($A58-1,2)),1-IF(INT(($A58-1)/2)+1&gt;MAX(1,INT(((((CROQUIS_DATOS!$C$1494+CROQUIS_DATOS!$C$1495))-(CROQUIS_DATOS!$C$1494))+((CROQUIS_DATOS!$C$1476)*CROQUIS_DATOS!$C$1561-((CROQUIS_DATOS!$C$1496+CROQUIS_DATOS!$C$1497))*CROQUIS_DATOS!$C$1561))/CROQUIS_DATOS!$C$1568-0.000001)),1,MOD($A58-1,2)))=1,MIN((CROQUIS_DATOS!$C$1476)*CROQUIS_DATOS!$C$1561,((CROQUIS_DATOS!$C$1494+CROQUIS_DATOS!$C$1495)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8">
        <f>IF(AND(CROQUIS_DATOS!$C$1472=1,CROQUIS_DATOS!$C$1478&gt;=4,((CROQUIS_DATOS!$C$1494+CROQUIS_DATOS!$C$1495))-(CROQUIS_DATOS!$C$1494)&gt;0.5,(CROQUIS_DATOS!$C$1476)-((CROQUIS_DATOS!$C$1496+CROQUIS_DATOS!$C$1497))&gt;0.5),(CROQUIS_DATOS!$C$1567+(IF(IF(MOD(MIN(INT(($A58-1)/2)+1,MAX(1,INT(((((CROQUIS_DATOS!$C$1494+CROQUIS_DATOS!$C$1495))-(CROQUIS_DATOS!$C$1494))+((CROQUIS_DATOS!$C$1476)*CROQUIS_DATOS!$C$1561-((CROQUIS_DATOS!$C$1496+CROQUIS_DATOS!$C$1497))*CROQUIS_DATOS!$C$1561))/CROQUIS_DATOS!$C$1568-0.000001))),2)=1,IF(INT(($A58-1)/2)+1&gt;MAX(1,INT(((((CROQUIS_DATOS!$C$1494+CROQUIS_DATOS!$C$1495))-(CROQUIS_DATOS!$C$1494))+((CROQUIS_DATOS!$C$1476)*CROQUIS_DATOS!$C$1561-((CROQUIS_DATOS!$C$1496+CROQUIS_DATOS!$C$1497))*CROQUIS_DATOS!$C$1561))/CROQUIS_DATOS!$C$1568-0.000001)),1,MOD($A58-1,2)),1-IF(INT(($A58-1)/2)+1&gt;MAX(1,INT(((((CROQUIS_DATOS!$C$1494+CROQUIS_DATOS!$C$1495))-(CROQUIS_DATOS!$C$1494))+((CROQUIS_DATOS!$C$1476)*CROQUIS_DATOS!$C$1561-((CROQUIS_DATOS!$C$1496+CROQUIS_DATOS!$C$1497))*CROQUIS_DATOS!$C$1561))/CROQUIS_DATOS!$C$1568-0.000001)),1,MOD($A58-1,2)))=1,MIN((CROQUIS_DATOS!$C$1476)*CROQUIS_DATOS!$C$1561,((CROQUIS_DATOS!$C$1494+CROQUIS_DATOS!$C$1495)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8">
        <f>IF(AND(CROQUIS_DATOS!$C$1472=1,1),(CROQUIS_DATOS!$C$1571+(CHOOSE(MIN(MAX(IF(INT(($A58-1)/5)+1&gt;CROQUIS_DATOS!$C$1525,5,MOD($A58-1,5)+1),1),5),(INDEX($E$8:$E$23,MIN(INT(($A58-1)/5)+1,CROQUIS_DATOS!$C$1525))-INDEX($F$8:$F$23,MIN(INT(($A58-1)/5)+1,CROQUIS_DATOS!$C$1525))/2),(INDEX($E$8:$E$23,MIN(INT(($A58-1)/5)+1,CROQUIS_DATOS!$C$1525))+INDEX($F$8:$F$23,MIN(INT(($A58-1)/5)+1,CROQUIS_DATOS!$C$1525))/2),(INDEX($E$8:$E$23,MIN(INT(($A58-1)/5)+1,CROQUIS_DATOS!$C$1525))+INDEX($F$8:$F$23,MIN(INT(($A58-1)/5)+1,CROQUIS_DATOS!$C$1525))/2),(INDEX($E$8:$E$23,MIN(INT(($A58-1)/5)+1,CROQUIS_DATOS!$C$1525))-INDEX($F$8:$F$23,MIN(INT(($A58-1)/5)+1,CROQUIS_DATOS!$C$1525))/2),(INDEX($E$8:$E$23,MIN(INT(($A58-1)/5)+1,CROQUIS_DATOS!$C$1525))-INDEX($F$8:$F$23,MIN(INT(($A58-1)/5)+1,CROQUIS_DATOS!$C$1525))/2)))*CROQUIS_DATOS!$C$1569),-1000)</f>
        <v>95.24</v>
      </c>
      <c r="GE58">
        <f>IF(AND(CROQUIS_DATOS!$C$1472=1,1),(CROQUIS_DATOS!$C$1572+(CHOOSE(MIN(MAX(IF(INT(($A58-1)/5)+1&gt;CROQUIS_DATOS!$C$1525,5,MOD($A58-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8">
        <f>IF(AND(CROQUIS_DATOS!$C$1472=1,1),IF(INT(($A58-1)/4)+1&lt;=CROQUIS_DATOS!$C$1525,(CROQUIS_DATOS!$C$1571+((INDEX($E$8:$E$23,MIN(INT(($A58-1)/4)+1,16))+IF(OR(MOD($A58-1,4)=0,MOD($A58-1,4)=3),-1,1)*(INDEX($F$8:$F$23,MIN(INT(($A58-1)/4)+1,16))/2-(CROQUIS_DATOS!$C$1530+CROQUIS_DATOS!$C$1532+IF(OR(INT(($A58-1)/4)+1=1,INT(($A58-1)/4)+1=CROQUIS_DATOS!$C$1525),CROQUIS_DATOS!$C$1534,CROQUIS_DATOS!$C$1531)/2))))*CROQUIS_DATOS!$C$1569),-1000),-1000)</f>
        <v>-1000</v>
      </c>
      <c r="GG58">
        <f>IF(AND(CROQUIS_DATOS!$C$1472=1,1),IF(INT(($A58-1)/4)+1&lt;=CROQUIS_DATOS!$C$1525,(CROQUIS_DATOS!$C$1572+((CROQUIS_DATOS!$C$1477/2+IF(MOD($A58-1,4)&lt;2,-1,1)*(CROQUIS_DATOS!$C$1527/2-(CROQUIS_DATOS!$C$1530+CROQUIS_DATOS!$C$1532+IF(OR(INT(($A58-1)/4)+1=1,INT(($A58-1)/4)+1=CROQUIS_DATOS!$C$1525),CROQUIS_DATOS!$C$1534,CROQUIS_DATOS!$C$1531)/2))))*CROQUIS_DATOS!$C$1569*CROQUIS_DATOS!$C$1570),-1000),-1000)</f>
        <v>-1000</v>
      </c>
    </row>
    <row r="59">
      <c r="A59" t="n">
        <v>52</v>
      </c>
      <c r="J59">
        <f>IF(AND(CROQUIS_DATOS!$C$1472=1,1),(CROQUIS_DATOS!$C$1563+(CHOOSE(MIN(MAX(IF(INT(($A59-1)/4)+1&gt;CROQUIS_DATOS!$C$1525,4,MOD($A59-1,4)+1),1),4),(INDEX($E$8:$E$23,MIN(INT(($A59-1)/4)+1,CROQUIS_DATOS!$C$1525))-INDEX($F$8:$F$23,MIN(INT(($A59-1)/4)+1,CROQUIS_DATOS!$C$1525))/2),(INDEX($E$8:$E$23,MIN(INT(($A59-1)/4)+1,CROQUIS_DATOS!$C$1525))-INDEX($F$8:$F$23,MIN(INT(($A59-1)/4)+1,CROQUIS_DATOS!$C$1525))/2),(INDEX($E$8:$E$23,MIN(INT(($A59-1)/4)+1,CROQUIS_DATOS!$C$1525))+INDEX($F$8:$F$23,MIN(INT(($A59-1)/4)+1,CROQUIS_DATOS!$C$1525))/2),(INDEX($E$8:$E$23,MIN(INT(($A59-1)/4)+1,CROQUIS_DATOS!$C$1525))+INDEX($F$8:$F$23,MIN(INT(($A59-1)/4)+1,CROQUIS_DATOS!$C$1525))/2)))*CROQUIS_DATOS!$C$1562),-1000)</f>
        <v>84.9137931034483</v>
      </c>
      <c r="K59">
        <f>IF(AND(CROQUIS_DATOS!$C$1472=1,1),(CROQUIS_DATOS!$C$1564+(CHOOSE(MIN(MAX(IF(INT(($A59-1)/4)+1&gt;CROQUIS_DATOS!$C$1525,4,MOD($A59-1,4)+1),1),4),0,CROQUIS_DATOS!$C$1476,CROQUIS_DATOS!$C$1476,0))*CROQUIS_DATOS!$C$1561*CROQUIS_DATOS!$C$1562),-1000)</f>
        <v>5.29310344827586</v>
      </c>
      <c r="L59">
        <f>IF(AND(CROQUIS_DATOS!$C$1472=1,1),(CROQUIS_DATOS!$C$1563+(CHOOSE(MIN(MAX(IF(INT(($A59-1)/4)+1&gt;CROQUIS_DATOS!$C$1525,4,MOD($A59-1,4)+1),1),4),((INDEX($E$8:$E$23,MIN(INT(($A59-1)/4)+1,CROQUIS_DATOS!$C$1525))-INDEX($F$8:$F$23,MIN(INT(($A59-1)/4)+1,CROQUIS_DATOS!$C$1525))/2)+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,((INDEX($E$8:$E$23,MIN(INT(($A59-1)/4)+1,CROQUIS_DATOS!$C$1525))-INDEX($F$8:$F$23,MIN(INT(($A59-1)/4)+1,CROQUIS_DATOS!$C$1525))/2)+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,((INDEX($E$8:$E$23,MIN(INT(($A59-1)/4)+1,CROQUIS_DATOS!$C$1525))+INDEX($F$8:$F$23,MIN(INT(($A59-1)/4)+1,CROQUIS_DATOS!$C$1525))/2)-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,((INDEX($E$8:$E$23,MIN(INT(($A59-1)/4)+1,CROQUIS_DATOS!$C$1525))+INDEX($F$8:$F$23,MIN(INT(($A59-1)/4)+1,CROQUIS_DATOS!$C$1525))/2)-MIN((CROQUIS_DATOS!$C$1530+CROQUIS_DATOS!$C$1532+IF(OR(MIN(INT(($A59-1)/4)+1,CROQUIS_DATOS!$C$1525)=1,MIN(INT(($A59-1)/4)+1,CROQUIS_DATOS!$C$1525)=CROQUIS_DATOS!$C$1525),CROQUIS_DATOS!$C$1534,CROQUIS_DATOS!$C$1531)/2),INDEX($F$8:$F$23,MIN(INT(($A59-1)/4)+1,CROQUIS_DATOS!$C$1525))/2-0.5))))*CROQUIS_DATOS!$C$1562),-1000)</f>
        <v>84.4792560344828</v>
      </c>
      <c r="M59">
        <f>IF(AND(CROQUIS_DATOS!$C$1472=1,1),(CROQUIS_DATOS!$C$1564+(CHOOSE(MIN(MAX(IF(INT(($A59-1)/4)+1&gt;CROQUIS_DATOS!$C$1525,4,MOD($A59-1,4)+1),1),4),CROQUIS_DATOS!$C$1543,INDEX($I$8:$I$23,MIN(INT(($A59-1)/4)+1,CROQUIS_DATOS!$C$1525)),INDEX($I$8:$I$23,MIN(INT(($A59-1)/4)+1,CROQUIS_DATOS!$C$1525)),CROQUIS_DATOS!$C$1543))*CROQUIS_DATOS!$C$1561*CROQUIS_DATOS!$C$1562),-1000)</f>
        <v>42.5654629310345</v>
      </c>
      <c r="N59">
        <f>IF(AND(CROQUIS_DATOS!$C$1472=1,1),(CROQUIS_DATOS!$C$1563+(IF(IF(IF(INT(($A59-1)/70)+1&gt;CROQUIS_DATOS!$C$1525,70,MOD($A59-1,70)+1)=1,0,IF(IF(INT(($A59-1)/70)+1&gt;CROQUIS_DATOS!$C$1525,70,MOD($A59-1,70)+1)&gt;2*CROQUIS_DATOS!$C$1541+1,IF(MOD(CROQUIS_DATOS!$C$1541,2)=1,1,0),IF(MOD(MIN(INT((IF(INT(($A59-1)/70)+1&gt;CROQUIS_DATOS!$C$1525,70,MOD($A59-1,70)+1)-2)/2)+1,CROQUIS_DATOS!$C$1541),2)=1,IF(MOD(IF(INT(($A59-1)/70)+1&gt;CROQUIS_DATOS!$C$1525,70,MOD($A59-1,70)+1)-2,2)=0,0,1),IF(MOD(IF(INT(($A59-1)/70)+1&gt;CROQUIS_DATOS!$C$1525,70,MOD($A59-1,70)+1)-2,2)=0,1,0))))=0,(INDEX($E$8:$E$23,MIN(INT(($A59-1)/70)+1,CROQUIS_DATOS!$C$1525))-INDEX($F$8:$F$23,MIN(INT(($A59-1)/70)+1,CROQUIS_DATOS!$C$1525))/2),(INDEX($E$8:$E$23,MIN(INT(($A59-1)/70)+1,CROQUIS_DATOS!$C$1525))+INDEX($F$8:$F$23,MIN(INT(($A59-1)/70)+1,CROQUIS_DATOS!$C$1525))/2)))*CROQUIS_DATOS!$C$1562),-1000)</f>
        <v>15.0862068965517</v>
      </c>
      <c r="O59">
        <f>IF(AND(CROQUIS_DATOS!$C$1472=1,1),(CROQUIS_DATOS!$C$1564+(IF(OR(IF(INT(($A59-1)/70)+1&gt;CROQUIS_DATOS!$C$1525,70,MOD($A59-1,70)+1)=1,IF(INT(($A59-1)/70)+1&gt;CROQUIS_DATOS!$C$1525,70,MOD($A59-1,70)+1)&gt;2*CROQUIS_DATOS!$C$1541+1),CROQUIS_DATOS!$C$1476,INDEX($H$8:$H$41,MIN(INT((IF(INT(($A59-1)/70)+1&gt;CROQUIS_DATOS!$C$1525,70,MOD($A59-1,70)+1)-2)/2)+1,CROQUIS_DATOS!$C$1541))))*CROQUIS_DATOS!$C$1561*CROQUIS_DATOS!$C$1562),-1000)</f>
        <v>40.2068965517241</v>
      </c>
      <c r="P59">
        <f>IF(AND(CROQUIS_DATOS!$C$1472=1,CROQUIS_DATOS!$C$1555=1),(CROQUIS_DATOS!$C$1563+(IF(IF(OR(MOD($A59-1,62)+1=1,IF(CHOOSE(MIN(MAX(MIN(INT(($A59-1)/62)+1,5),1),5),CROQUIS_DATOS!$C$1501,CROQUIS_DATOS!$C$1505,CROQUIS_DATOS!$C$1509,CROQUIS_DATOS!$C$1513,CROQUIS_DATOS!$C$1517)=1,CROQUIS_DATOS!$C$1557,0)=0),0,IF(MOD($A59-1,62)+1&gt;2*IF(CHOOSE(MIN(MAX(MIN(INT(($A59-1)/62)+1,5),1),5),CROQUIS_DATOS!$C$1501,CROQUIS_DATOS!$C$1505,CROQUIS_DATOS!$C$1509,CROQUIS_DATOS!$C$1513,CROQUIS_DATOS!$C$1517)=1,CROQUIS_DATOS!$C$1557,0)+1,IF(MOD(IF(CHOOSE(MIN(MAX(MIN(INT(($A59-1)/62)+1,5),1),5),CROQUIS_DATOS!$C$1501,CROQUIS_DATOS!$C$1505,CROQUIS_DATOS!$C$1509,CROQUIS_DATOS!$C$1513,CROQUIS_DATOS!$C$1517)=1,CROQUIS_DATOS!$C$1557,0),2)=1,1,0),IF(MOD(MIN(INT((MOD($A59-1,62)+1-2)/2)+1,MAX(IF(CHOOSE(MIN(MAX(MIN(INT(($A59-1)/62)+1,5),1),5),CROQUIS_DATOS!$C$1501,CROQUIS_DATOS!$C$1505,CROQUIS_DATOS!$C$1509,CROQUIS_DATOS!$C$1513,CROQUIS_DATOS!$C$1517)=1,CROQUIS_DATOS!$C$1557,0),1)),2)=1,IF(MOD(MOD($A59-1,62)+1-2,2)=0,0,1),IF(MOD(MOD($A59-1,62)+1-2,2)=0,1,0))))=0,(CHOOSE(MIN(MAX(MIN(INT(($A59-1)/62)+1,5),1),5),CROQUIS_DATOS!$C$1499,CROQUIS_DATOS!$C$1503,CROQUIS_DATOS!$C$1507,CROQUIS_DATOS!$C$1511,CROQUIS_DATOS!$C$1515)+IF(CHOOSE(MIN(MAX(MIN(INT(($A59-1)/62)+1,5),1),5),CROQUIS_DATOS!$C$1501,CROQUIS_DATOS!$C$1505,CROQUIS_DATOS!$C$1509,CROQUIS_DATOS!$C$1513,CROQUIS_DATOS!$C$1517)=1,CROQUIS_DATOS!$C$1526,0)),(CHOOSE(MIN(MAX(MIN(INT(($A59-1)/62)+1,5),1),5),CROQUIS_DATOS!$C$1499,CROQUIS_DATOS!$C$1503,CROQUIS_DATOS!$C$1507,CROQUIS_DATOS!$C$1511,CROQUIS_DATOS!$C$1515)+CHOOSE(MIN(MAX(MIN(INT(($A59-1)/62)+1,5),1),5),CROQUIS_DATOS!$C$1500,CROQUIS_DATOS!$C$1504,CROQUIS_DATOS!$C$1508,CROQUIS_DATOS!$C$1512,CROQUIS_DATOS!$C$1516)-IF(CHOOSE(MIN(MAX(MIN(INT(($A59-1)/62)+1,5),1),5),CROQUIS_DATOS!$C$1501,CROQUIS_DATOS!$C$1505,CROQUIS_DATOS!$C$1509,CROQUIS_DATOS!$C$1513,CROQUIS_DATOS!$C$1517)=1,CROQUIS_DATOS!$C$1526,0))))*CROQUIS_DATOS!$C$1562),-1000)</f>
        <v>-1000</v>
      </c>
      <c r="Q59">
        <f>IF(AND(CROQUIS_DATOS!$C$1472=1,CROQUIS_DATOS!$C$1555=1),(CROQUIS_DATOS!$C$1564+(IF(OR(OR(MOD($A59-1,62)+1=1,IF(CHOOSE(MIN(MAX(MIN(INT(($A59-1)/62)+1,5),1),5),CROQUIS_DATOS!$C$1501,CROQUIS_DATOS!$C$1505,CROQUIS_DATOS!$C$1509,CROQUIS_DATOS!$C$1513,CROQUIS_DATOS!$C$1517)=1,CROQUIS_DATOS!$C$1557,0)=0),MOD($A59-1,62)+1&gt;2*IF(CHOOSE(MIN(MAX(MIN(INT(($A59-1)/62)+1,5),1),5),CROQUIS_DATOS!$C$1501,CROQUIS_DATOS!$C$1505,CROQUIS_DATOS!$C$1509,CROQUIS_DATOS!$C$1513,CROQUIS_DATOS!$C$1517)=1,CROQUIS_DATOS!$C$1557,0)+1),CROQUIS_DATOS!$C$1476,MIN(INT((MOD($A59-1,62)+1-2)/2)+1,MAX(IF(CHOOSE(MIN(MAX(MIN(INT(($A59-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59">
        <f>IF(AND(CROQUIS_DATOS!$C$1472=1,1),(CROQUIS_DATOS!$C$1563+(MIN(INT(($A59-1)/2)+1,CROQUIS_DATOS!$C$1558)*CROQUIS_DATOS!$C$1559)*CROQUIS_DATOS!$C$1562),-1000)</f>
        <v>82.2281167108753</v>
      </c>
      <c r="U59">
        <f>IF(AND(CROQUIS_DATOS!$C$1472=1,1),(CROQUIS_DATOS!$C$1564+(IF(INT(($A59-1)/2)+1&gt;CROQUIS_DATOS!$C$1558,IF(MOD(CROQUIS_DATOS!$C$1558,2)=1,CROQUIS_DATOS!$C$1476+CROQUIS_DATOS!$C$1528,CROQUIS_DATOS!$C$1476),IF(IF(MOD(MIN(INT(($A59-1)/2)+1,CROQUIS_DATOS!$C$1558),2)=1,MOD($A59-1,2),1-MOD($A59-1,2))=1,CROQUIS_DATOS!$C$1476+CROQUIS_DATOS!$C$1528,CROQUIS_DATOS!$C$1476)))*CROQUIS_DATOS!$C$1561*CROQUIS_DATOS!$C$1562),-1000)</f>
        <v>43</v>
      </c>
      <c r="BZ59">
        <f>IF(AND(CROQUIS_DATOS!$C$1472=1,CROQUIS_DATOS!$C$1500&gt;0,((CROQUIS_DATOS!$C$1499+CROQUIS_DATOS!$C$1500))-(CROQUIS_DATOS!$C$1499)&gt;0.5,(CROQUIS_DATOS!$C$1476)-(0)&gt;0.5),(CROQUIS_DATOS!$C$1566+(IF(IF(MOD(MIN(INT(($A59-1)/2)+1,MAX(1,INT(((((CROQUIS_DATOS!$C$1499+CROQUIS_DATOS!$C$1500))-(CROQUIS_DATOS!$C$1499))+((CROQUIS_DATOS!$C$1476)*CROQUIS_DATOS!$C$1561-(0)*CROQUIS_DATOS!$C$1561))/CROQUIS_DATOS!$C$1568-0.000001))),2)=1,IF(INT(($A59-1)/2)+1&gt;MAX(1,INT(((((CROQUIS_DATOS!$C$1499+CROQUIS_DATOS!$C$1500))-(CROQUIS_DATOS!$C$1499))+((CROQUIS_DATOS!$C$1476)*CROQUIS_DATOS!$C$1561-(0)*CROQUIS_DATOS!$C$1561))/CROQUIS_DATOS!$C$1568-0.000001)),1,MOD($A59-1,2)),1-IF(INT(($A59-1)/2)+1&gt;MAX(1,INT(((((CROQUIS_DATOS!$C$1499+CROQUIS_DATOS!$C$1500))-(CROQUIS_DATOS!$C$1499))+((CROQUIS_DATOS!$C$1476)*CROQUIS_DATOS!$C$1561-(0)*CROQUIS_DATOS!$C$1561))/CROQUIS_DATOS!$C$1568-0.000001)),1,MOD($A59-1,2)))=1,MIN((CROQUIS_DATOS!$C$1476)*CROQUIS_DATOS!$C$1561,((CROQUIS_DATOS!$C$1499+CROQUIS_DATOS!$C$1500)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59">
        <f>IF(AND(CROQUIS_DATOS!$C$1472=1,CROQUIS_DATOS!$C$1500&gt;0,((CROQUIS_DATOS!$C$1499+CROQUIS_DATOS!$C$1500))-(CROQUIS_DATOS!$C$1499)&gt;0.5,(CROQUIS_DATOS!$C$1476)-(0)&gt;0.5),(CROQUIS_DATOS!$C$1567+(IF(IF(MOD(MIN(INT(($A59-1)/2)+1,MAX(1,INT(((((CROQUIS_DATOS!$C$1499+CROQUIS_DATOS!$C$1500))-(CROQUIS_DATOS!$C$1499))+((CROQUIS_DATOS!$C$1476)*CROQUIS_DATOS!$C$1561-(0)*CROQUIS_DATOS!$C$1561))/CROQUIS_DATOS!$C$1568-0.000001))),2)=1,IF(INT(($A59-1)/2)+1&gt;MAX(1,INT(((((CROQUIS_DATOS!$C$1499+CROQUIS_DATOS!$C$1500))-(CROQUIS_DATOS!$C$1499))+((CROQUIS_DATOS!$C$1476)*CROQUIS_DATOS!$C$1561-(0)*CROQUIS_DATOS!$C$1561))/CROQUIS_DATOS!$C$1568-0.000001)),1,MOD($A59-1,2)),1-IF(INT(($A59-1)/2)+1&gt;MAX(1,INT(((((CROQUIS_DATOS!$C$1499+CROQUIS_DATOS!$C$1500))-(CROQUIS_DATOS!$C$1499))+((CROQUIS_DATOS!$C$1476)*CROQUIS_DATOS!$C$1561-(0)*CROQUIS_DATOS!$C$1561))/CROQUIS_DATOS!$C$1568-0.000001)),1,MOD($A59-1,2)))=1,MIN((CROQUIS_DATOS!$C$1476)*CROQUIS_DATOS!$C$1561,((CROQUIS_DATOS!$C$1499+CROQUIS_DATOS!$C$1500)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59-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59">
        <f>IF(AND(CROQUIS_DATOS!$C$1472=1,CROQUIS_DATOS!$C$1504&gt;0,((CROQUIS_DATOS!$C$1503+CROQUIS_DATOS!$C$1504))-(CROQUIS_DATOS!$C$1503)&gt;0.5,(CROQUIS_DATOS!$C$1476)-(0)&gt;0.5),(CROQUIS_DATOS!$C$1566+(IF(IF(MOD(MIN(INT(($A59-1)/2)+1,MAX(1,INT(((((CROQUIS_DATOS!$C$1503+CROQUIS_DATOS!$C$1504))-(CROQUIS_DATOS!$C$1503))+((CROQUIS_DATOS!$C$1476)*CROQUIS_DATOS!$C$1561-(0)*CROQUIS_DATOS!$C$1561))/CROQUIS_DATOS!$C$1568-0.000001))),2)=1,IF(INT(($A59-1)/2)+1&gt;MAX(1,INT(((((CROQUIS_DATOS!$C$1503+CROQUIS_DATOS!$C$1504))-(CROQUIS_DATOS!$C$1503))+((CROQUIS_DATOS!$C$1476)*CROQUIS_DATOS!$C$1561-(0)*CROQUIS_DATOS!$C$1561))/CROQUIS_DATOS!$C$1568-0.000001)),1,MOD($A59-1,2)),1-IF(INT(($A59-1)/2)+1&gt;MAX(1,INT(((((CROQUIS_DATOS!$C$1503+CROQUIS_DATOS!$C$1504))-(CROQUIS_DATOS!$C$1503))+((CROQUIS_DATOS!$C$1476)*CROQUIS_DATOS!$C$1561-(0)*CROQUIS_DATOS!$C$1561))/CROQUIS_DATOS!$C$1568-0.000001)),1,MOD($A59-1,2)))=1,MIN((CROQUIS_DATOS!$C$1476)*CROQUIS_DATOS!$C$1561,((CROQUIS_DATOS!$C$1503+CROQUIS_DATOS!$C$1504)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59">
        <f>IF(AND(CROQUIS_DATOS!$C$1472=1,CROQUIS_DATOS!$C$1504&gt;0,((CROQUIS_DATOS!$C$1503+CROQUIS_DATOS!$C$1504))-(CROQUIS_DATOS!$C$1503)&gt;0.5,(CROQUIS_DATOS!$C$1476)-(0)&gt;0.5),(CROQUIS_DATOS!$C$1567+(IF(IF(MOD(MIN(INT(($A59-1)/2)+1,MAX(1,INT(((((CROQUIS_DATOS!$C$1503+CROQUIS_DATOS!$C$1504))-(CROQUIS_DATOS!$C$1503))+((CROQUIS_DATOS!$C$1476)*CROQUIS_DATOS!$C$1561-(0)*CROQUIS_DATOS!$C$1561))/CROQUIS_DATOS!$C$1568-0.000001))),2)=1,IF(INT(($A59-1)/2)+1&gt;MAX(1,INT(((((CROQUIS_DATOS!$C$1503+CROQUIS_DATOS!$C$1504))-(CROQUIS_DATOS!$C$1503))+((CROQUIS_DATOS!$C$1476)*CROQUIS_DATOS!$C$1561-(0)*CROQUIS_DATOS!$C$1561))/CROQUIS_DATOS!$C$1568-0.000001)),1,MOD($A59-1,2)),1-IF(INT(($A59-1)/2)+1&gt;MAX(1,INT(((((CROQUIS_DATOS!$C$1503+CROQUIS_DATOS!$C$1504))-(CROQUIS_DATOS!$C$1503))+((CROQUIS_DATOS!$C$1476)*CROQUIS_DATOS!$C$1561-(0)*CROQUIS_DATOS!$C$1561))/CROQUIS_DATOS!$C$1568-0.000001)),1,MOD($A59-1,2)))=1,MIN((CROQUIS_DATOS!$C$1476)*CROQUIS_DATOS!$C$1561,((CROQUIS_DATOS!$C$1503+CROQUIS_DATOS!$C$1504)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59-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59">
        <f>IF(AND(CROQUIS_DATOS!$C$1472=1,CROQUIS_DATOS!$C$1508&gt;0,((CROQUIS_DATOS!$C$1507+CROQUIS_DATOS!$C$1508))-(CROQUIS_DATOS!$C$1507)&gt;0.5,(CROQUIS_DATOS!$C$1476)-(0)&gt;0.5),(CROQUIS_DATOS!$C$1566+(IF(IF(MOD(MIN(INT(($A59-1)/2)+1,MAX(1,INT(((((CROQUIS_DATOS!$C$1507+CROQUIS_DATOS!$C$1508))-(CROQUIS_DATOS!$C$1507))+((CROQUIS_DATOS!$C$1476)*CROQUIS_DATOS!$C$1561-(0)*CROQUIS_DATOS!$C$1561))/CROQUIS_DATOS!$C$1568-0.000001))),2)=1,IF(INT(($A59-1)/2)+1&gt;MAX(1,INT(((((CROQUIS_DATOS!$C$1507+CROQUIS_DATOS!$C$1508))-(CROQUIS_DATOS!$C$1507))+((CROQUIS_DATOS!$C$1476)*CROQUIS_DATOS!$C$1561-(0)*CROQUIS_DATOS!$C$1561))/CROQUIS_DATOS!$C$1568-0.000001)),1,MOD($A59-1,2)),1-IF(INT(($A59-1)/2)+1&gt;MAX(1,INT(((((CROQUIS_DATOS!$C$1507+CROQUIS_DATOS!$C$1508))-(CROQUIS_DATOS!$C$1507))+((CROQUIS_DATOS!$C$1476)*CROQUIS_DATOS!$C$1561-(0)*CROQUIS_DATOS!$C$1561))/CROQUIS_DATOS!$C$1568-0.000001)),1,MOD($A59-1,2)))=1,MIN((CROQUIS_DATOS!$C$1476)*CROQUIS_DATOS!$C$1561,((CROQUIS_DATOS!$C$1507+CROQUIS_DATOS!$C$1508)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59">
        <f>IF(AND(CROQUIS_DATOS!$C$1472=1,CROQUIS_DATOS!$C$1508&gt;0,((CROQUIS_DATOS!$C$1507+CROQUIS_DATOS!$C$1508))-(CROQUIS_DATOS!$C$1507)&gt;0.5,(CROQUIS_DATOS!$C$1476)-(0)&gt;0.5),(CROQUIS_DATOS!$C$1567+(IF(IF(MOD(MIN(INT(($A59-1)/2)+1,MAX(1,INT(((((CROQUIS_DATOS!$C$1507+CROQUIS_DATOS!$C$1508))-(CROQUIS_DATOS!$C$1507))+((CROQUIS_DATOS!$C$1476)*CROQUIS_DATOS!$C$1561-(0)*CROQUIS_DATOS!$C$1561))/CROQUIS_DATOS!$C$1568-0.000001))),2)=1,IF(INT(($A59-1)/2)+1&gt;MAX(1,INT(((((CROQUIS_DATOS!$C$1507+CROQUIS_DATOS!$C$1508))-(CROQUIS_DATOS!$C$1507))+((CROQUIS_DATOS!$C$1476)*CROQUIS_DATOS!$C$1561-(0)*CROQUIS_DATOS!$C$1561))/CROQUIS_DATOS!$C$1568-0.000001)),1,MOD($A59-1,2)),1-IF(INT(($A59-1)/2)+1&gt;MAX(1,INT(((((CROQUIS_DATOS!$C$1507+CROQUIS_DATOS!$C$1508))-(CROQUIS_DATOS!$C$1507))+((CROQUIS_DATOS!$C$1476)*CROQUIS_DATOS!$C$1561-(0)*CROQUIS_DATOS!$C$1561))/CROQUIS_DATOS!$C$1568-0.000001)),1,MOD($A59-1,2)))=1,MIN((CROQUIS_DATOS!$C$1476)*CROQUIS_DATOS!$C$1561,((CROQUIS_DATOS!$C$1507+CROQUIS_DATOS!$C$1508)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59-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59">
        <f>IF(AND(CROQUIS_DATOS!$C$1472=1,CROQUIS_DATOS!$C$1512&gt;0,((CROQUIS_DATOS!$C$1511+CROQUIS_DATOS!$C$1512))-(CROQUIS_DATOS!$C$1511)&gt;0.5,(CROQUIS_DATOS!$C$1476)-(0)&gt;0.5),(CROQUIS_DATOS!$C$1566+(IF(IF(MOD(MIN(INT(($A59-1)/2)+1,MAX(1,INT(((((CROQUIS_DATOS!$C$1511+CROQUIS_DATOS!$C$1512))-(CROQUIS_DATOS!$C$1511))+((CROQUIS_DATOS!$C$1476)*CROQUIS_DATOS!$C$1561-(0)*CROQUIS_DATOS!$C$1561))/CROQUIS_DATOS!$C$1568-0.000001))),2)=1,IF(INT(($A59-1)/2)+1&gt;MAX(1,INT(((((CROQUIS_DATOS!$C$1511+CROQUIS_DATOS!$C$1512))-(CROQUIS_DATOS!$C$1511))+((CROQUIS_DATOS!$C$1476)*CROQUIS_DATOS!$C$1561-(0)*CROQUIS_DATOS!$C$1561))/CROQUIS_DATOS!$C$1568-0.000001)),1,MOD($A59-1,2)),1-IF(INT(($A59-1)/2)+1&gt;MAX(1,INT(((((CROQUIS_DATOS!$C$1511+CROQUIS_DATOS!$C$1512))-(CROQUIS_DATOS!$C$1511))+((CROQUIS_DATOS!$C$1476)*CROQUIS_DATOS!$C$1561-(0)*CROQUIS_DATOS!$C$1561))/CROQUIS_DATOS!$C$1568-0.000001)),1,MOD($A59-1,2)))=1,MIN((CROQUIS_DATOS!$C$1476)*CROQUIS_DATOS!$C$1561,((CROQUIS_DATOS!$C$1511+CROQUIS_DATOS!$C$1512)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59">
        <f>IF(AND(CROQUIS_DATOS!$C$1472=1,CROQUIS_DATOS!$C$1512&gt;0,((CROQUIS_DATOS!$C$1511+CROQUIS_DATOS!$C$1512))-(CROQUIS_DATOS!$C$1511)&gt;0.5,(CROQUIS_DATOS!$C$1476)-(0)&gt;0.5),(CROQUIS_DATOS!$C$1567+(IF(IF(MOD(MIN(INT(($A59-1)/2)+1,MAX(1,INT(((((CROQUIS_DATOS!$C$1511+CROQUIS_DATOS!$C$1512))-(CROQUIS_DATOS!$C$1511))+((CROQUIS_DATOS!$C$1476)*CROQUIS_DATOS!$C$1561-(0)*CROQUIS_DATOS!$C$1561))/CROQUIS_DATOS!$C$1568-0.000001))),2)=1,IF(INT(($A59-1)/2)+1&gt;MAX(1,INT(((((CROQUIS_DATOS!$C$1511+CROQUIS_DATOS!$C$1512))-(CROQUIS_DATOS!$C$1511))+((CROQUIS_DATOS!$C$1476)*CROQUIS_DATOS!$C$1561-(0)*CROQUIS_DATOS!$C$1561))/CROQUIS_DATOS!$C$1568-0.000001)),1,MOD($A59-1,2)),1-IF(INT(($A59-1)/2)+1&gt;MAX(1,INT(((((CROQUIS_DATOS!$C$1511+CROQUIS_DATOS!$C$1512))-(CROQUIS_DATOS!$C$1511))+((CROQUIS_DATOS!$C$1476)*CROQUIS_DATOS!$C$1561-(0)*CROQUIS_DATOS!$C$1561))/CROQUIS_DATOS!$C$1568-0.000001)),1,MOD($A59-1,2)))=1,MIN((CROQUIS_DATOS!$C$1476)*CROQUIS_DATOS!$C$1561,((CROQUIS_DATOS!$C$1511+CROQUIS_DATOS!$C$1512)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59-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59">
        <f>IF(AND(CROQUIS_DATOS!$C$1472=1,CROQUIS_DATOS!$C$1516&gt;0,((CROQUIS_DATOS!$C$1515+CROQUIS_DATOS!$C$1516))-(CROQUIS_DATOS!$C$1515)&gt;0.5,(CROQUIS_DATOS!$C$1476)-(0)&gt;0.5),(CROQUIS_DATOS!$C$1566+(IF(IF(MOD(MIN(INT(($A59-1)/2)+1,MAX(1,INT(((((CROQUIS_DATOS!$C$1515+CROQUIS_DATOS!$C$1516))-(CROQUIS_DATOS!$C$1515))+((CROQUIS_DATOS!$C$1476)*CROQUIS_DATOS!$C$1561-(0)*CROQUIS_DATOS!$C$1561))/CROQUIS_DATOS!$C$1568-0.000001))),2)=1,IF(INT(($A59-1)/2)+1&gt;MAX(1,INT(((((CROQUIS_DATOS!$C$1515+CROQUIS_DATOS!$C$1516))-(CROQUIS_DATOS!$C$1515))+((CROQUIS_DATOS!$C$1476)*CROQUIS_DATOS!$C$1561-(0)*CROQUIS_DATOS!$C$1561))/CROQUIS_DATOS!$C$1568-0.000001)),1,MOD($A59-1,2)),1-IF(INT(($A59-1)/2)+1&gt;MAX(1,INT(((((CROQUIS_DATOS!$C$1515+CROQUIS_DATOS!$C$1516))-(CROQUIS_DATOS!$C$1515))+((CROQUIS_DATOS!$C$1476)*CROQUIS_DATOS!$C$1561-(0)*CROQUIS_DATOS!$C$1561))/CROQUIS_DATOS!$C$1568-0.000001)),1,MOD($A59-1,2)))=1,MIN((CROQUIS_DATOS!$C$1476)*CROQUIS_DATOS!$C$1561,((CROQUIS_DATOS!$C$1515+CROQUIS_DATOS!$C$1516)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59">
        <f>IF(AND(CROQUIS_DATOS!$C$1472=1,CROQUIS_DATOS!$C$1516&gt;0,((CROQUIS_DATOS!$C$1515+CROQUIS_DATOS!$C$1516))-(CROQUIS_DATOS!$C$1515)&gt;0.5,(CROQUIS_DATOS!$C$1476)-(0)&gt;0.5),(CROQUIS_DATOS!$C$1567+(IF(IF(MOD(MIN(INT(($A59-1)/2)+1,MAX(1,INT(((((CROQUIS_DATOS!$C$1515+CROQUIS_DATOS!$C$1516))-(CROQUIS_DATOS!$C$1515))+((CROQUIS_DATOS!$C$1476)*CROQUIS_DATOS!$C$1561-(0)*CROQUIS_DATOS!$C$1561))/CROQUIS_DATOS!$C$1568-0.000001))),2)=1,IF(INT(($A59-1)/2)+1&gt;MAX(1,INT(((((CROQUIS_DATOS!$C$1515+CROQUIS_DATOS!$C$1516))-(CROQUIS_DATOS!$C$1515))+((CROQUIS_DATOS!$C$1476)*CROQUIS_DATOS!$C$1561-(0)*CROQUIS_DATOS!$C$1561))/CROQUIS_DATOS!$C$1568-0.000001)),1,MOD($A59-1,2)),1-IF(INT(($A59-1)/2)+1&gt;MAX(1,INT(((((CROQUIS_DATOS!$C$1515+CROQUIS_DATOS!$C$1516))-(CROQUIS_DATOS!$C$1515))+((CROQUIS_DATOS!$C$1476)*CROQUIS_DATOS!$C$1561-(0)*CROQUIS_DATOS!$C$1561))/CROQUIS_DATOS!$C$1568-0.000001)),1,MOD($A59-1,2)))=1,MIN((CROQUIS_DATOS!$C$1476)*CROQUIS_DATOS!$C$1561,((CROQUIS_DATOS!$C$1515+CROQUIS_DATOS!$C$1516)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59-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59">
        <f>IF(AND(CROQUIS_DATOS!$C$1472=1,CROQUIS_DATOS!$C$1478&gt;=1,((CROQUIS_DATOS!$C$1479+CROQUIS_DATOS!$C$1480))-(CROQUIS_DATOS!$C$1479)&gt;0.5,(CROQUIS_DATOS!$C$1481)-(0)&gt;0.5),(CROQUIS_DATOS!$C$1566+(IF(IF(MOD(MIN(INT(($A59-1)/2)+1,MAX(1,INT(((((CROQUIS_DATOS!$C$1479+CROQUIS_DATOS!$C$1480))-(CROQUIS_DATOS!$C$1479))+((CROQUIS_DATOS!$C$1481)*CROQUIS_DATOS!$C$1561-(0)*CROQUIS_DATOS!$C$1561))/CROQUIS_DATOS!$C$1568-0.000001))),2)=1,IF(INT(($A59-1)/2)+1&gt;MAX(1,INT(((((CROQUIS_DATOS!$C$1479+CROQUIS_DATOS!$C$1480))-(CROQUIS_DATOS!$C$1479))+((CROQUIS_DATOS!$C$1481)*CROQUIS_DATOS!$C$1561-(0)*CROQUIS_DATOS!$C$1561))/CROQUIS_DATOS!$C$1568-0.000001)),1,MOD($A59-1,2)),1-IF(INT(($A59-1)/2)+1&gt;MAX(1,INT(((((CROQUIS_DATOS!$C$1479+CROQUIS_DATOS!$C$1480))-(CROQUIS_DATOS!$C$1479))+((CROQUIS_DATOS!$C$1481)*CROQUIS_DATOS!$C$1561-(0)*CROQUIS_DATOS!$C$1561))/CROQUIS_DATOS!$C$1568-0.000001)),1,MOD($A59-1,2)))=1,MIN((CROQUIS_DATOS!$C$1481)*CROQUIS_DATOS!$C$1561,((CROQUIS_DATOS!$C$1479+CROQUIS_DATOS!$C$1480)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59">
        <f>IF(AND(CROQUIS_DATOS!$C$1472=1,CROQUIS_DATOS!$C$1478&gt;=1,((CROQUIS_DATOS!$C$1479+CROQUIS_DATOS!$C$1480))-(CROQUIS_DATOS!$C$1479)&gt;0.5,(CROQUIS_DATOS!$C$1481)-(0)&gt;0.5),(CROQUIS_DATOS!$C$1567+(IF(IF(MOD(MIN(INT(($A59-1)/2)+1,MAX(1,INT(((((CROQUIS_DATOS!$C$1479+CROQUIS_DATOS!$C$1480))-(CROQUIS_DATOS!$C$1479))+((CROQUIS_DATOS!$C$1481)*CROQUIS_DATOS!$C$1561-(0)*CROQUIS_DATOS!$C$1561))/CROQUIS_DATOS!$C$1568-0.000001))),2)=1,IF(INT(($A59-1)/2)+1&gt;MAX(1,INT(((((CROQUIS_DATOS!$C$1479+CROQUIS_DATOS!$C$1480))-(CROQUIS_DATOS!$C$1479))+((CROQUIS_DATOS!$C$1481)*CROQUIS_DATOS!$C$1561-(0)*CROQUIS_DATOS!$C$1561))/CROQUIS_DATOS!$C$1568-0.000001)),1,MOD($A59-1,2)),1-IF(INT(($A59-1)/2)+1&gt;MAX(1,INT(((((CROQUIS_DATOS!$C$1479+CROQUIS_DATOS!$C$1480))-(CROQUIS_DATOS!$C$1479))+((CROQUIS_DATOS!$C$1481)*CROQUIS_DATOS!$C$1561-(0)*CROQUIS_DATOS!$C$1561))/CROQUIS_DATOS!$C$1568-0.000001)),1,MOD($A59-1,2)))=1,MIN((CROQUIS_DATOS!$C$1481)*CROQUIS_DATOS!$C$1561,((CROQUIS_DATOS!$C$1479+CROQUIS_DATOS!$C$1480)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59-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59">
        <f>IF(AND(CROQUIS_DATOS!$C$1472=1,CROQUIS_DATOS!$C$1478&gt;=1,((CROQUIS_DATOS!$C$1479+CROQUIS_DATOS!$C$1480))-(CROQUIS_DATOS!$C$1479)&gt;0.5,(CROQUIS_DATOS!$C$1476)-((CROQUIS_DATOS!$C$1481+CROQUIS_DATOS!$C$1482))&gt;0.5),(CROQUIS_DATOS!$C$1566+(IF(IF(MOD(MIN(INT(($A59-1)/2)+1,MAX(1,INT(((((CROQUIS_DATOS!$C$1479+CROQUIS_DATOS!$C$1480))-(CROQUIS_DATOS!$C$1479))+((CROQUIS_DATOS!$C$1476)*CROQUIS_DATOS!$C$1561-((CROQUIS_DATOS!$C$1481+CROQUIS_DATOS!$C$1482))*CROQUIS_DATOS!$C$1561))/CROQUIS_DATOS!$C$1568-0.000001))),2)=1,IF(INT(($A59-1)/2)+1&gt;MAX(1,INT(((((CROQUIS_DATOS!$C$1479+CROQUIS_DATOS!$C$1480))-(CROQUIS_DATOS!$C$1479))+((CROQUIS_DATOS!$C$1476)*CROQUIS_DATOS!$C$1561-((CROQUIS_DATOS!$C$1481+CROQUIS_DATOS!$C$1482))*CROQUIS_DATOS!$C$1561))/CROQUIS_DATOS!$C$1568-0.000001)),1,MOD($A59-1,2)),1-IF(INT(($A59-1)/2)+1&gt;MAX(1,INT(((((CROQUIS_DATOS!$C$1479+CROQUIS_DATOS!$C$1480))-(CROQUIS_DATOS!$C$1479))+((CROQUIS_DATOS!$C$1476)*CROQUIS_DATOS!$C$1561-((CROQUIS_DATOS!$C$1481+CROQUIS_DATOS!$C$1482))*CROQUIS_DATOS!$C$1561))/CROQUIS_DATOS!$C$1568-0.000001)),1,MOD($A59-1,2)))=1,MIN((CROQUIS_DATOS!$C$1476)*CROQUIS_DATOS!$C$1561,((CROQUIS_DATOS!$C$1479+CROQUIS_DATOS!$C$1480)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59">
        <f>IF(AND(CROQUIS_DATOS!$C$1472=1,CROQUIS_DATOS!$C$1478&gt;=1,((CROQUIS_DATOS!$C$1479+CROQUIS_DATOS!$C$1480))-(CROQUIS_DATOS!$C$1479)&gt;0.5,(CROQUIS_DATOS!$C$1476)-((CROQUIS_DATOS!$C$1481+CROQUIS_DATOS!$C$1482))&gt;0.5),(CROQUIS_DATOS!$C$1567+(IF(IF(MOD(MIN(INT(($A59-1)/2)+1,MAX(1,INT(((((CROQUIS_DATOS!$C$1479+CROQUIS_DATOS!$C$1480))-(CROQUIS_DATOS!$C$1479))+((CROQUIS_DATOS!$C$1476)*CROQUIS_DATOS!$C$1561-((CROQUIS_DATOS!$C$1481+CROQUIS_DATOS!$C$1482))*CROQUIS_DATOS!$C$1561))/CROQUIS_DATOS!$C$1568-0.000001))),2)=1,IF(INT(($A59-1)/2)+1&gt;MAX(1,INT(((((CROQUIS_DATOS!$C$1479+CROQUIS_DATOS!$C$1480))-(CROQUIS_DATOS!$C$1479))+((CROQUIS_DATOS!$C$1476)*CROQUIS_DATOS!$C$1561-((CROQUIS_DATOS!$C$1481+CROQUIS_DATOS!$C$1482))*CROQUIS_DATOS!$C$1561))/CROQUIS_DATOS!$C$1568-0.000001)),1,MOD($A59-1,2)),1-IF(INT(($A59-1)/2)+1&gt;MAX(1,INT(((((CROQUIS_DATOS!$C$1479+CROQUIS_DATOS!$C$1480))-(CROQUIS_DATOS!$C$1479))+((CROQUIS_DATOS!$C$1476)*CROQUIS_DATOS!$C$1561-((CROQUIS_DATOS!$C$1481+CROQUIS_DATOS!$C$1482))*CROQUIS_DATOS!$C$1561))/CROQUIS_DATOS!$C$1568-0.000001)),1,MOD($A59-1,2)))=1,MIN((CROQUIS_DATOS!$C$1476)*CROQUIS_DATOS!$C$1561,((CROQUIS_DATOS!$C$1479+CROQUIS_DATOS!$C$1480)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59-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59">
        <f>IF(AND(CROQUIS_DATOS!$C$1472=1,CROQUIS_DATOS!$C$1478&gt;=2,((CROQUIS_DATOS!$C$1484+CROQUIS_DATOS!$C$1485))-(CROQUIS_DATOS!$C$1484)&gt;0.5,(CROQUIS_DATOS!$C$1486)-(0)&gt;0.5),(CROQUIS_DATOS!$C$1566+(IF(IF(MOD(MIN(INT(($A59-1)/2)+1,MAX(1,INT(((((CROQUIS_DATOS!$C$1484+CROQUIS_DATOS!$C$1485))-(CROQUIS_DATOS!$C$1484))+((CROQUIS_DATOS!$C$1486)*CROQUIS_DATOS!$C$1561-(0)*CROQUIS_DATOS!$C$1561))/CROQUIS_DATOS!$C$1568-0.000001))),2)=1,IF(INT(($A59-1)/2)+1&gt;MAX(1,INT(((((CROQUIS_DATOS!$C$1484+CROQUIS_DATOS!$C$1485))-(CROQUIS_DATOS!$C$1484))+((CROQUIS_DATOS!$C$1486)*CROQUIS_DATOS!$C$1561-(0)*CROQUIS_DATOS!$C$1561))/CROQUIS_DATOS!$C$1568-0.000001)),1,MOD($A59-1,2)),1-IF(INT(($A59-1)/2)+1&gt;MAX(1,INT(((((CROQUIS_DATOS!$C$1484+CROQUIS_DATOS!$C$1485))-(CROQUIS_DATOS!$C$1484))+((CROQUIS_DATOS!$C$1486)*CROQUIS_DATOS!$C$1561-(0)*CROQUIS_DATOS!$C$1561))/CROQUIS_DATOS!$C$1568-0.000001)),1,MOD($A59-1,2)))=1,MIN((CROQUIS_DATOS!$C$1486)*CROQUIS_DATOS!$C$1561,((CROQUIS_DATOS!$C$1484+CROQUIS_DATOS!$C$1485)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59">
        <f>IF(AND(CROQUIS_DATOS!$C$1472=1,CROQUIS_DATOS!$C$1478&gt;=2,((CROQUIS_DATOS!$C$1484+CROQUIS_DATOS!$C$1485))-(CROQUIS_DATOS!$C$1484)&gt;0.5,(CROQUIS_DATOS!$C$1486)-(0)&gt;0.5),(CROQUIS_DATOS!$C$1567+(IF(IF(MOD(MIN(INT(($A59-1)/2)+1,MAX(1,INT(((((CROQUIS_DATOS!$C$1484+CROQUIS_DATOS!$C$1485))-(CROQUIS_DATOS!$C$1484))+((CROQUIS_DATOS!$C$1486)*CROQUIS_DATOS!$C$1561-(0)*CROQUIS_DATOS!$C$1561))/CROQUIS_DATOS!$C$1568-0.000001))),2)=1,IF(INT(($A59-1)/2)+1&gt;MAX(1,INT(((((CROQUIS_DATOS!$C$1484+CROQUIS_DATOS!$C$1485))-(CROQUIS_DATOS!$C$1484))+((CROQUIS_DATOS!$C$1486)*CROQUIS_DATOS!$C$1561-(0)*CROQUIS_DATOS!$C$1561))/CROQUIS_DATOS!$C$1568-0.000001)),1,MOD($A59-1,2)),1-IF(INT(($A59-1)/2)+1&gt;MAX(1,INT(((((CROQUIS_DATOS!$C$1484+CROQUIS_DATOS!$C$1485))-(CROQUIS_DATOS!$C$1484))+((CROQUIS_DATOS!$C$1486)*CROQUIS_DATOS!$C$1561-(0)*CROQUIS_DATOS!$C$1561))/CROQUIS_DATOS!$C$1568-0.000001)),1,MOD($A59-1,2)))=1,MIN((CROQUIS_DATOS!$C$1486)*CROQUIS_DATOS!$C$1561,((CROQUIS_DATOS!$C$1484+CROQUIS_DATOS!$C$1485)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59-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59">
        <f>IF(AND(CROQUIS_DATOS!$C$1472=1,CROQUIS_DATOS!$C$1478&gt;=2,((CROQUIS_DATOS!$C$1484+CROQUIS_DATOS!$C$1485))-(CROQUIS_DATOS!$C$1484)&gt;0.5,(CROQUIS_DATOS!$C$1476)-((CROQUIS_DATOS!$C$1486+CROQUIS_DATOS!$C$1487))&gt;0.5),(CROQUIS_DATOS!$C$1566+(IF(IF(MOD(MIN(INT(($A59-1)/2)+1,MAX(1,INT(((((CROQUIS_DATOS!$C$1484+CROQUIS_DATOS!$C$1485))-(CROQUIS_DATOS!$C$1484))+((CROQUIS_DATOS!$C$1476)*CROQUIS_DATOS!$C$1561-((CROQUIS_DATOS!$C$1486+CROQUIS_DATOS!$C$1487))*CROQUIS_DATOS!$C$1561))/CROQUIS_DATOS!$C$1568-0.000001))),2)=1,IF(INT(($A59-1)/2)+1&gt;MAX(1,INT(((((CROQUIS_DATOS!$C$1484+CROQUIS_DATOS!$C$1485))-(CROQUIS_DATOS!$C$1484))+((CROQUIS_DATOS!$C$1476)*CROQUIS_DATOS!$C$1561-((CROQUIS_DATOS!$C$1486+CROQUIS_DATOS!$C$1487))*CROQUIS_DATOS!$C$1561))/CROQUIS_DATOS!$C$1568-0.000001)),1,MOD($A59-1,2)),1-IF(INT(($A59-1)/2)+1&gt;MAX(1,INT(((((CROQUIS_DATOS!$C$1484+CROQUIS_DATOS!$C$1485))-(CROQUIS_DATOS!$C$1484))+((CROQUIS_DATOS!$C$1476)*CROQUIS_DATOS!$C$1561-((CROQUIS_DATOS!$C$1486+CROQUIS_DATOS!$C$1487))*CROQUIS_DATOS!$C$1561))/CROQUIS_DATOS!$C$1568-0.000001)),1,MOD($A59-1,2)))=1,MIN((CROQUIS_DATOS!$C$1476)*CROQUIS_DATOS!$C$1561,((CROQUIS_DATOS!$C$1484+CROQUIS_DATOS!$C$1485)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59">
        <f>IF(AND(CROQUIS_DATOS!$C$1472=1,CROQUIS_DATOS!$C$1478&gt;=2,((CROQUIS_DATOS!$C$1484+CROQUIS_DATOS!$C$1485))-(CROQUIS_DATOS!$C$1484)&gt;0.5,(CROQUIS_DATOS!$C$1476)-((CROQUIS_DATOS!$C$1486+CROQUIS_DATOS!$C$1487))&gt;0.5),(CROQUIS_DATOS!$C$1567+(IF(IF(MOD(MIN(INT(($A59-1)/2)+1,MAX(1,INT(((((CROQUIS_DATOS!$C$1484+CROQUIS_DATOS!$C$1485))-(CROQUIS_DATOS!$C$1484))+((CROQUIS_DATOS!$C$1476)*CROQUIS_DATOS!$C$1561-((CROQUIS_DATOS!$C$1486+CROQUIS_DATOS!$C$1487))*CROQUIS_DATOS!$C$1561))/CROQUIS_DATOS!$C$1568-0.000001))),2)=1,IF(INT(($A59-1)/2)+1&gt;MAX(1,INT(((((CROQUIS_DATOS!$C$1484+CROQUIS_DATOS!$C$1485))-(CROQUIS_DATOS!$C$1484))+((CROQUIS_DATOS!$C$1476)*CROQUIS_DATOS!$C$1561-((CROQUIS_DATOS!$C$1486+CROQUIS_DATOS!$C$1487))*CROQUIS_DATOS!$C$1561))/CROQUIS_DATOS!$C$1568-0.000001)),1,MOD($A59-1,2)),1-IF(INT(($A59-1)/2)+1&gt;MAX(1,INT(((((CROQUIS_DATOS!$C$1484+CROQUIS_DATOS!$C$1485))-(CROQUIS_DATOS!$C$1484))+((CROQUIS_DATOS!$C$1476)*CROQUIS_DATOS!$C$1561-((CROQUIS_DATOS!$C$1486+CROQUIS_DATOS!$C$1487))*CROQUIS_DATOS!$C$1561))/CROQUIS_DATOS!$C$1568-0.000001)),1,MOD($A59-1,2)))=1,MIN((CROQUIS_DATOS!$C$1476)*CROQUIS_DATOS!$C$1561,((CROQUIS_DATOS!$C$1484+CROQUIS_DATOS!$C$1485)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59-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59">
        <f>IF(AND(CROQUIS_DATOS!$C$1472=1,CROQUIS_DATOS!$C$1478&gt;=3,((CROQUIS_DATOS!$C$1489+CROQUIS_DATOS!$C$1490))-(CROQUIS_DATOS!$C$1489)&gt;0.5,(CROQUIS_DATOS!$C$1491)-(0)&gt;0.5),(CROQUIS_DATOS!$C$1566+(IF(IF(MOD(MIN(INT(($A59-1)/2)+1,MAX(1,INT(((((CROQUIS_DATOS!$C$1489+CROQUIS_DATOS!$C$1490))-(CROQUIS_DATOS!$C$1489))+((CROQUIS_DATOS!$C$1491)*CROQUIS_DATOS!$C$1561-(0)*CROQUIS_DATOS!$C$1561))/CROQUIS_DATOS!$C$1568-0.000001))),2)=1,IF(INT(($A59-1)/2)+1&gt;MAX(1,INT(((((CROQUIS_DATOS!$C$1489+CROQUIS_DATOS!$C$1490))-(CROQUIS_DATOS!$C$1489))+((CROQUIS_DATOS!$C$1491)*CROQUIS_DATOS!$C$1561-(0)*CROQUIS_DATOS!$C$1561))/CROQUIS_DATOS!$C$1568-0.000001)),1,MOD($A59-1,2)),1-IF(INT(($A59-1)/2)+1&gt;MAX(1,INT(((((CROQUIS_DATOS!$C$1489+CROQUIS_DATOS!$C$1490))-(CROQUIS_DATOS!$C$1489))+((CROQUIS_DATOS!$C$1491)*CROQUIS_DATOS!$C$1561-(0)*CROQUIS_DATOS!$C$1561))/CROQUIS_DATOS!$C$1568-0.000001)),1,MOD($A59-1,2)))=1,MIN((CROQUIS_DATOS!$C$1491)*CROQUIS_DATOS!$C$1561,((CROQUIS_DATOS!$C$1489+CROQUIS_DATOS!$C$1490)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59">
        <f>IF(AND(CROQUIS_DATOS!$C$1472=1,CROQUIS_DATOS!$C$1478&gt;=3,((CROQUIS_DATOS!$C$1489+CROQUIS_DATOS!$C$1490))-(CROQUIS_DATOS!$C$1489)&gt;0.5,(CROQUIS_DATOS!$C$1491)-(0)&gt;0.5),(CROQUIS_DATOS!$C$1567+(IF(IF(MOD(MIN(INT(($A59-1)/2)+1,MAX(1,INT(((((CROQUIS_DATOS!$C$1489+CROQUIS_DATOS!$C$1490))-(CROQUIS_DATOS!$C$1489))+((CROQUIS_DATOS!$C$1491)*CROQUIS_DATOS!$C$1561-(0)*CROQUIS_DATOS!$C$1561))/CROQUIS_DATOS!$C$1568-0.000001))),2)=1,IF(INT(($A59-1)/2)+1&gt;MAX(1,INT(((((CROQUIS_DATOS!$C$1489+CROQUIS_DATOS!$C$1490))-(CROQUIS_DATOS!$C$1489))+((CROQUIS_DATOS!$C$1491)*CROQUIS_DATOS!$C$1561-(0)*CROQUIS_DATOS!$C$1561))/CROQUIS_DATOS!$C$1568-0.000001)),1,MOD($A59-1,2)),1-IF(INT(($A59-1)/2)+1&gt;MAX(1,INT(((((CROQUIS_DATOS!$C$1489+CROQUIS_DATOS!$C$1490))-(CROQUIS_DATOS!$C$1489))+((CROQUIS_DATOS!$C$1491)*CROQUIS_DATOS!$C$1561-(0)*CROQUIS_DATOS!$C$1561))/CROQUIS_DATOS!$C$1568-0.000001)),1,MOD($A59-1,2)))=1,MIN((CROQUIS_DATOS!$C$1491)*CROQUIS_DATOS!$C$1561,((CROQUIS_DATOS!$C$1489+CROQUIS_DATOS!$C$1490)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59-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59">
        <f>IF(AND(CROQUIS_DATOS!$C$1472=1,CROQUIS_DATOS!$C$1478&gt;=3,((CROQUIS_DATOS!$C$1489+CROQUIS_DATOS!$C$1490))-(CROQUIS_DATOS!$C$1489)&gt;0.5,(CROQUIS_DATOS!$C$1476)-((CROQUIS_DATOS!$C$1491+CROQUIS_DATOS!$C$1492))&gt;0.5),(CROQUIS_DATOS!$C$1566+(IF(IF(MOD(MIN(INT(($A59-1)/2)+1,MAX(1,INT(((((CROQUIS_DATOS!$C$1489+CROQUIS_DATOS!$C$1490))-(CROQUIS_DATOS!$C$1489))+((CROQUIS_DATOS!$C$1476)*CROQUIS_DATOS!$C$1561-((CROQUIS_DATOS!$C$1491+CROQUIS_DATOS!$C$1492))*CROQUIS_DATOS!$C$1561))/CROQUIS_DATOS!$C$1568-0.000001))),2)=1,IF(INT(($A59-1)/2)+1&gt;MAX(1,INT(((((CROQUIS_DATOS!$C$1489+CROQUIS_DATOS!$C$1490))-(CROQUIS_DATOS!$C$1489))+((CROQUIS_DATOS!$C$1476)*CROQUIS_DATOS!$C$1561-((CROQUIS_DATOS!$C$1491+CROQUIS_DATOS!$C$1492))*CROQUIS_DATOS!$C$1561))/CROQUIS_DATOS!$C$1568-0.000001)),1,MOD($A59-1,2)),1-IF(INT(($A59-1)/2)+1&gt;MAX(1,INT(((((CROQUIS_DATOS!$C$1489+CROQUIS_DATOS!$C$1490))-(CROQUIS_DATOS!$C$1489))+((CROQUIS_DATOS!$C$1476)*CROQUIS_DATOS!$C$1561-((CROQUIS_DATOS!$C$1491+CROQUIS_DATOS!$C$1492))*CROQUIS_DATOS!$C$1561))/CROQUIS_DATOS!$C$1568-0.000001)),1,MOD($A59-1,2)))=1,MIN((CROQUIS_DATOS!$C$1476)*CROQUIS_DATOS!$C$1561,((CROQUIS_DATOS!$C$1489+CROQUIS_DATOS!$C$1490)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59">
        <f>IF(AND(CROQUIS_DATOS!$C$1472=1,CROQUIS_DATOS!$C$1478&gt;=3,((CROQUIS_DATOS!$C$1489+CROQUIS_DATOS!$C$1490))-(CROQUIS_DATOS!$C$1489)&gt;0.5,(CROQUIS_DATOS!$C$1476)-((CROQUIS_DATOS!$C$1491+CROQUIS_DATOS!$C$1492))&gt;0.5),(CROQUIS_DATOS!$C$1567+(IF(IF(MOD(MIN(INT(($A59-1)/2)+1,MAX(1,INT(((((CROQUIS_DATOS!$C$1489+CROQUIS_DATOS!$C$1490))-(CROQUIS_DATOS!$C$1489))+((CROQUIS_DATOS!$C$1476)*CROQUIS_DATOS!$C$1561-((CROQUIS_DATOS!$C$1491+CROQUIS_DATOS!$C$1492))*CROQUIS_DATOS!$C$1561))/CROQUIS_DATOS!$C$1568-0.000001))),2)=1,IF(INT(($A59-1)/2)+1&gt;MAX(1,INT(((((CROQUIS_DATOS!$C$1489+CROQUIS_DATOS!$C$1490))-(CROQUIS_DATOS!$C$1489))+((CROQUIS_DATOS!$C$1476)*CROQUIS_DATOS!$C$1561-((CROQUIS_DATOS!$C$1491+CROQUIS_DATOS!$C$1492))*CROQUIS_DATOS!$C$1561))/CROQUIS_DATOS!$C$1568-0.000001)),1,MOD($A59-1,2)),1-IF(INT(($A59-1)/2)+1&gt;MAX(1,INT(((((CROQUIS_DATOS!$C$1489+CROQUIS_DATOS!$C$1490))-(CROQUIS_DATOS!$C$1489))+((CROQUIS_DATOS!$C$1476)*CROQUIS_DATOS!$C$1561-((CROQUIS_DATOS!$C$1491+CROQUIS_DATOS!$C$1492))*CROQUIS_DATOS!$C$1561))/CROQUIS_DATOS!$C$1568-0.000001)),1,MOD($A59-1,2)))=1,MIN((CROQUIS_DATOS!$C$1476)*CROQUIS_DATOS!$C$1561,((CROQUIS_DATOS!$C$1489+CROQUIS_DATOS!$C$1490)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59-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59">
        <f>IF(AND(CROQUIS_DATOS!$C$1472=1,CROQUIS_DATOS!$C$1478&gt;=4,((CROQUIS_DATOS!$C$1494+CROQUIS_DATOS!$C$1495))-(CROQUIS_DATOS!$C$1494)&gt;0.5,(CROQUIS_DATOS!$C$1496)-(0)&gt;0.5),(CROQUIS_DATOS!$C$1566+(IF(IF(MOD(MIN(INT(($A59-1)/2)+1,MAX(1,INT(((((CROQUIS_DATOS!$C$1494+CROQUIS_DATOS!$C$1495))-(CROQUIS_DATOS!$C$1494))+((CROQUIS_DATOS!$C$1496)*CROQUIS_DATOS!$C$1561-(0)*CROQUIS_DATOS!$C$1561))/CROQUIS_DATOS!$C$1568-0.000001))),2)=1,IF(INT(($A59-1)/2)+1&gt;MAX(1,INT(((((CROQUIS_DATOS!$C$1494+CROQUIS_DATOS!$C$1495))-(CROQUIS_DATOS!$C$1494))+((CROQUIS_DATOS!$C$1496)*CROQUIS_DATOS!$C$1561-(0)*CROQUIS_DATOS!$C$1561))/CROQUIS_DATOS!$C$1568-0.000001)),1,MOD($A59-1,2)),1-IF(INT(($A59-1)/2)+1&gt;MAX(1,INT(((((CROQUIS_DATOS!$C$1494+CROQUIS_DATOS!$C$1495))-(CROQUIS_DATOS!$C$1494))+((CROQUIS_DATOS!$C$1496)*CROQUIS_DATOS!$C$1561-(0)*CROQUIS_DATOS!$C$1561))/CROQUIS_DATOS!$C$1568-0.000001)),1,MOD($A59-1,2)))=1,MIN((CROQUIS_DATOS!$C$1496)*CROQUIS_DATOS!$C$1561,((CROQUIS_DATOS!$C$1494+CROQUIS_DATOS!$C$1495)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59">
        <f>IF(AND(CROQUIS_DATOS!$C$1472=1,CROQUIS_DATOS!$C$1478&gt;=4,((CROQUIS_DATOS!$C$1494+CROQUIS_DATOS!$C$1495))-(CROQUIS_DATOS!$C$1494)&gt;0.5,(CROQUIS_DATOS!$C$1496)-(0)&gt;0.5),(CROQUIS_DATOS!$C$1567+(IF(IF(MOD(MIN(INT(($A59-1)/2)+1,MAX(1,INT(((((CROQUIS_DATOS!$C$1494+CROQUIS_DATOS!$C$1495))-(CROQUIS_DATOS!$C$1494))+((CROQUIS_DATOS!$C$1496)*CROQUIS_DATOS!$C$1561-(0)*CROQUIS_DATOS!$C$1561))/CROQUIS_DATOS!$C$1568-0.000001))),2)=1,IF(INT(($A59-1)/2)+1&gt;MAX(1,INT(((((CROQUIS_DATOS!$C$1494+CROQUIS_DATOS!$C$1495))-(CROQUIS_DATOS!$C$1494))+((CROQUIS_DATOS!$C$1496)*CROQUIS_DATOS!$C$1561-(0)*CROQUIS_DATOS!$C$1561))/CROQUIS_DATOS!$C$1568-0.000001)),1,MOD($A59-1,2)),1-IF(INT(($A59-1)/2)+1&gt;MAX(1,INT(((((CROQUIS_DATOS!$C$1494+CROQUIS_DATOS!$C$1495))-(CROQUIS_DATOS!$C$1494))+((CROQUIS_DATOS!$C$1496)*CROQUIS_DATOS!$C$1561-(0)*CROQUIS_DATOS!$C$1561))/CROQUIS_DATOS!$C$1568-0.000001)),1,MOD($A59-1,2)))=1,MIN((CROQUIS_DATOS!$C$1496)*CROQUIS_DATOS!$C$1561,((CROQUIS_DATOS!$C$1494+CROQUIS_DATOS!$C$1495)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59-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59">
        <f>IF(AND(CROQUIS_DATOS!$C$1472=1,CROQUIS_DATOS!$C$1478&gt;=4,((CROQUIS_DATOS!$C$1494+CROQUIS_DATOS!$C$1495))-(CROQUIS_DATOS!$C$1494)&gt;0.5,(CROQUIS_DATOS!$C$1476)-((CROQUIS_DATOS!$C$1496+CROQUIS_DATOS!$C$1497))&gt;0.5),(CROQUIS_DATOS!$C$1566+(IF(IF(MOD(MIN(INT(($A59-1)/2)+1,MAX(1,INT(((((CROQUIS_DATOS!$C$1494+CROQUIS_DATOS!$C$1495))-(CROQUIS_DATOS!$C$1494))+((CROQUIS_DATOS!$C$1476)*CROQUIS_DATOS!$C$1561-((CROQUIS_DATOS!$C$1496+CROQUIS_DATOS!$C$1497))*CROQUIS_DATOS!$C$1561))/CROQUIS_DATOS!$C$1568-0.000001))),2)=1,IF(INT(($A59-1)/2)+1&gt;MAX(1,INT(((((CROQUIS_DATOS!$C$1494+CROQUIS_DATOS!$C$1495))-(CROQUIS_DATOS!$C$1494))+((CROQUIS_DATOS!$C$1476)*CROQUIS_DATOS!$C$1561-((CROQUIS_DATOS!$C$1496+CROQUIS_DATOS!$C$1497))*CROQUIS_DATOS!$C$1561))/CROQUIS_DATOS!$C$1568-0.000001)),1,MOD($A59-1,2)),1-IF(INT(($A59-1)/2)+1&gt;MAX(1,INT(((((CROQUIS_DATOS!$C$1494+CROQUIS_DATOS!$C$1495))-(CROQUIS_DATOS!$C$1494))+((CROQUIS_DATOS!$C$1476)*CROQUIS_DATOS!$C$1561-((CROQUIS_DATOS!$C$1496+CROQUIS_DATOS!$C$1497))*CROQUIS_DATOS!$C$1561))/CROQUIS_DATOS!$C$1568-0.000001)),1,MOD($A59-1,2)))=1,MIN((CROQUIS_DATOS!$C$1476)*CROQUIS_DATOS!$C$1561,((CROQUIS_DATOS!$C$1494+CROQUIS_DATOS!$C$1495)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59">
        <f>IF(AND(CROQUIS_DATOS!$C$1472=1,CROQUIS_DATOS!$C$1478&gt;=4,((CROQUIS_DATOS!$C$1494+CROQUIS_DATOS!$C$1495))-(CROQUIS_DATOS!$C$1494)&gt;0.5,(CROQUIS_DATOS!$C$1476)-((CROQUIS_DATOS!$C$1496+CROQUIS_DATOS!$C$1497))&gt;0.5),(CROQUIS_DATOS!$C$1567+(IF(IF(MOD(MIN(INT(($A59-1)/2)+1,MAX(1,INT(((((CROQUIS_DATOS!$C$1494+CROQUIS_DATOS!$C$1495))-(CROQUIS_DATOS!$C$1494))+((CROQUIS_DATOS!$C$1476)*CROQUIS_DATOS!$C$1561-((CROQUIS_DATOS!$C$1496+CROQUIS_DATOS!$C$1497))*CROQUIS_DATOS!$C$1561))/CROQUIS_DATOS!$C$1568-0.000001))),2)=1,IF(INT(($A59-1)/2)+1&gt;MAX(1,INT(((((CROQUIS_DATOS!$C$1494+CROQUIS_DATOS!$C$1495))-(CROQUIS_DATOS!$C$1494))+((CROQUIS_DATOS!$C$1476)*CROQUIS_DATOS!$C$1561-((CROQUIS_DATOS!$C$1496+CROQUIS_DATOS!$C$1497))*CROQUIS_DATOS!$C$1561))/CROQUIS_DATOS!$C$1568-0.000001)),1,MOD($A59-1,2)),1-IF(INT(($A59-1)/2)+1&gt;MAX(1,INT(((((CROQUIS_DATOS!$C$1494+CROQUIS_DATOS!$C$1495))-(CROQUIS_DATOS!$C$1494))+((CROQUIS_DATOS!$C$1476)*CROQUIS_DATOS!$C$1561-((CROQUIS_DATOS!$C$1496+CROQUIS_DATOS!$C$1497))*CROQUIS_DATOS!$C$1561))/CROQUIS_DATOS!$C$1568-0.000001)),1,MOD($A59-1,2)))=1,MIN((CROQUIS_DATOS!$C$1476)*CROQUIS_DATOS!$C$1561,((CROQUIS_DATOS!$C$1494+CROQUIS_DATOS!$C$1495)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59-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59">
        <f>IF(AND(CROQUIS_DATOS!$C$1472=1,1),(CROQUIS_DATOS!$C$1571+(CHOOSE(MIN(MAX(IF(INT(($A59-1)/5)+1&gt;CROQUIS_DATOS!$C$1525,5,MOD($A59-1,5)+1),1),5),(INDEX($E$8:$E$23,MIN(INT(($A59-1)/5)+1,CROQUIS_DATOS!$C$1525))-INDEX($F$8:$F$23,MIN(INT(($A59-1)/5)+1,CROQUIS_DATOS!$C$1525))/2),(INDEX($E$8:$E$23,MIN(INT(($A59-1)/5)+1,CROQUIS_DATOS!$C$1525))+INDEX($F$8:$F$23,MIN(INT(($A59-1)/5)+1,CROQUIS_DATOS!$C$1525))/2),(INDEX($E$8:$E$23,MIN(INT(($A59-1)/5)+1,CROQUIS_DATOS!$C$1525))+INDEX($F$8:$F$23,MIN(INT(($A59-1)/5)+1,CROQUIS_DATOS!$C$1525))/2),(INDEX($E$8:$E$23,MIN(INT(($A59-1)/5)+1,CROQUIS_DATOS!$C$1525))-INDEX($F$8:$F$23,MIN(INT(($A59-1)/5)+1,CROQUIS_DATOS!$C$1525))/2),(INDEX($E$8:$E$23,MIN(INT(($A59-1)/5)+1,CROQUIS_DATOS!$C$1525))-INDEX($F$8:$F$23,MIN(INT(($A59-1)/5)+1,CROQUIS_DATOS!$C$1525))/2)))*CROQUIS_DATOS!$C$1569),-1000)</f>
        <v>95.24</v>
      </c>
      <c r="GE59">
        <f>IF(AND(CROQUIS_DATOS!$C$1472=1,1),(CROQUIS_DATOS!$C$1572+(CHOOSE(MIN(MAX(IF(INT(($A59-1)/5)+1&gt;CROQUIS_DATOS!$C$1525,5,MOD($A59-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59">
        <f>IF(AND(CROQUIS_DATOS!$C$1472=1,1),IF(INT(($A59-1)/4)+1&lt;=CROQUIS_DATOS!$C$1525,(CROQUIS_DATOS!$C$1571+((INDEX($E$8:$E$23,MIN(INT(($A59-1)/4)+1,16))+IF(OR(MOD($A59-1,4)=0,MOD($A59-1,4)=3),-1,1)*(INDEX($F$8:$F$23,MIN(INT(($A59-1)/4)+1,16))/2-(CROQUIS_DATOS!$C$1530+CROQUIS_DATOS!$C$1532+IF(OR(INT(($A59-1)/4)+1=1,INT(($A59-1)/4)+1=CROQUIS_DATOS!$C$1525),CROQUIS_DATOS!$C$1534,CROQUIS_DATOS!$C$1531)/2))))*CROQUIS_DATOS!$C$1569),-1000),-1000)</f>
        <v>-1000</v>
      </c>
      <c r="GG59">
        <f>IF(AND(CROQUIS_DATOS!$C$1472=1,1),IF(INT(($A59-1)/4)+1&lt;=CROQUIS_DATOS!$C$1525,(CROQUIS_DATOS!$C$1572+((CROQUIS_DATOS!$C$1477/2+IF(MOD($A59-1,4)&lt;2,-1,1)*(CROQUIS_DATOS!$C$1527/2-(CROQUIS_DATOS!$C$1530+CROQUIS_DATOS!$C$1532+IF(OR(INT(($A59-1)/4)+1=1,INT(($A59-1)/4)+1=CROQUIS_DATOS!$C$1525),CROQUIS_DATOS!$C$1534,CROQUIS_DATOS!$C$1531)/2))))*CROQUIS_DATOS!$C$1569*CROQUIS_DATOS!$C$1570),-1000),-1000)</f>
        <v>-1000</v>
      </c>
    </row>
    <row r="60">
      <c r="A60" t="n">
        <v>53</v>
      </c>
      <c r="J60">
        <f>IF(AND(CROQUIS_DATOS!$C$1472=1,1),(CROQUIS_DATOS!$C$1563+(CHOOSE(MIN(MAX(IF(INT(($A60-1)/4)+1&gt;CROQUIS_DATOS!$C$1525,4,MOD($A60-1,4)+1),1),4),(INDEX($E$8:$E$23,MIN(INT(($A60-1)/4)+1,CROQUIS_DATOS!$C$1525))-INDEX($F$8:$F$23,MIN(INT(($A60-1)/4)+1,CROQUIS_DATOS!$C$1525))/2),(INDEX($E$8:$E$23,MIN(INT(($A60-1)/4)+1,CROQUIS_DATOS!$C$1525))-INDEX($F$8:$F$23,MIN(INT(($A60-1)/4)+1,CROQUIS_DATOS!$C$1525))/2),(INDEX($E$8:$E$23,MIN(INT(($A60-1)/4)+1,CROQUIS_DATOS!$C$1525))+INDEX($F$8:$F$23,MIN(INT(($A60-1)/4)+1,CROQUIS_DATOS!$C$1525))/2),(INDEX($E$8:$E$23,MIN(INT(($A60-1)/4)+1,CROQUIS_DATOS!$C$1525))+INDEX($F$8:$F$23,MIN(INT(($A60-1)/4)+1,CROQUIS_DATOS!$C$1525))/2)))*CROQUIS_DATOS!$C$1562),-1000)</f>
        <v>84.9137931034483</v>
      </c>
      <c r="K60">
        <f>IF(AND(CROQUIS_DATOS!$C$1472=1,1),(CROQUIS_DATOS!$C$1564+(CHOOSE(MIN(MAX(IF(INT(($A60-1)/4)+1&gt;CROQUIS_DATOS!$C$1525,4,MOD($A60-1,4)+1),1),4),0,CROQUIS_DATOS!$C$1476,CROQUIS_DATOS!$C$1476,0))*CROQUIS_DATOS!$C$1561*CROQUIS_DATOS!$C$1562),-1000)</f>
        <v>5.29310344827586</v>
      </c>
      <c r="L60">
        <f>IF(AND(CROQUIS_DATOS!$C$1472=1,1),(CROQUIS_DATOS!$C$1563+(CHOOSE(MIN(MAX(IF(INT(($A60-1)/4)+1&gt;CROQUIS_DATOS!$C$1525,4,MOD($A60-1,4)+1),1),4),((INDEX($E$8:$E$23,MIN(INT(($A60-1)/4)+1,CROQUIS_DATOS!$C$1525))-INDEX($F$8:$F$23,MIN(INT(($A60-1)/4)+1,CROQUIS_DATOS!$C$1525))/2)+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,((INDEX($E$8:$E$23,MIN(INT(($A60-1)/4)+1,CROQUIS_DATOS!$C$1525))-INDEX($F$8:$F$23,MIN(INT(($A60-1)/4)+1,CROQUIS_DATOS!$C$1525))/2)+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,((INDEX($E$8:$E$23,MIN(INT(($A60-1)/4)+1,CROQUIS_DATOS!$C$1525))+INDEX($F$8:$F$23,MIN(INT(($A60-1)/4)+1,CROQUIS_DATOS!$C$1525))/2)-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,((INDEX($E$8:$E$23,MIN(INT(($A60-1)/4)+1,CROQUIS_DATOS!$C$1525))+INDEX($F$8:$F$23,MIN(INT(($A60-1)/4)+1,CROQUIS_DATOS!$C$1525))/2)-MIN((CROQUIS_DATOS!$C$1530+CROQUIS_DATOS!$C$1532+IF(OR(MIN(INT(($A60-1)/4)+1,CROQUIS_DATOS!$C$1525)=1,MIN(INT(($A60-1)/4)+1,CROQUIS_DATOS!$C$1525)=CROQUIS_DATOS!$C$1525),CROQUIS_DATOS!$C$1534,CROQUIS_DATOS!$C$1531)/2),INDEX($F$8:$F$23,MIN(INT(($A60-1)/4)+1,CROQUIS_DATOS!$C$1525))/2-0.5))))*CROQUIS_DATOS!$C$1562),-1000)</f>
        <v>84.4792560344828</v>
      </c>
      <c r="M60">
        <f>IF(AND(CROQUIS_DATOS!$C$1472=1,1),(CROQUIS_DATOS!$C$1564+(CHOOSE(MIN(MAX(IF(INT(($A60-1)/4)+1&gt;CROQUIS_DATOS!$C$1525,4,MOD($A60-1,4)+1),1),4),CROQUIS_DATOS!$C$1543,INDEX($I$8:$I$23,MIN(INT(($A60-1)/4)+1,CROQUIS_DATOS!$C$1525)),INDEX($I$8:$I$23,MIN(INT(($A60-1)/4)+1,CROQUIS_DATOS!$C$1525)),CROQUIS_DATOS!$C$1543))*CROQUIS_DATOS!$C$1561*CROQUIS_DATOS!$C$1562),-1000)</f>
        <v>42.5654629310345</v>
      </c>
      <c r="N60">
        <f>IF(AND(CROQUIS_DATOS!$C$1472=1,1),(CROQUIS_DATOS!$C$1563+(IF(IF(IF(INT(($A60-1)/70)+1&gt;CROQUIS_DATOS!$C$1525,70,MOD($A60-1,70)+1)=1,0,IF(IF(INT(($A60-1)/70)+1&gt;CROQUIS_DATOS!$C$1525,70,MOD($A60-1,70)+1)&gt;2*CROQUIS_DATOS!$C$1541+1,IF(MOD(CROQUIS_DATOS!$C$1541,2)=1,1,0),IF(MOD(MIN(INT((IF(INT(($A60-1)/70)+1&gt;CROQUIS_DATOS!$C$1525,70,MOD($A60-1,70)+1)-2)/2)+1,CROQUIS_DATOS!$C$1541),2)=1,IF(MOD(IF(INT(($A60-1)/70)+1&gt;CROQUIS_DATOS!$C$1525,70,MOD($A60-1,70)+1)-2,2)=0,0,1),IF(MOD(IF(INT(($A60-1)/70)+1&gt;CROQUIS_DATOS!$C$1525,70,MOD($A60-1,70)+1)-2,2)=0,1,0))))=0,(INDEX($E$8:$E$23,MIN(INT(($A60-1)/70)+1,CROQUIS_DATOS!$C$1525))-INDEX($F$8:$F$23,MIN(INT(($A60-1)/70)+1,CROQUIS_DATOS!$C$1525))/2),(INDEX($E$8:$E$23,MIN(INT(($A60-1)/70)+1,CROQUIS_DATOS!$C$1525))+INDEX($F$8:$F$23,MIN(INT(($A60-1)/70)+1,CROQUIS_DATOS!$C$1525))/2)))*CROQUIS_DATOS!$C$1562),-1000)</f>
        <v>15.0862068965517</v>
      </c>
      <c r="O60">
        <f>IF(AND(CROQUIS_DATOS!$C$1472=1,1),(CROQUIS_DATOS!$C$1564+(IF(OR(IF(INT(($A60-1)/70)+1&gt;CROQUIS_DATOS!$C$1525,70,MOD($A60-1,70)+1)=1,IF(INT(($A60-1)/70)+1&gt;CROQUIS_DATOS!$C$1525,70,MOD($A60-1,70)+1)&gt;2*CROQUIS_DATOS!$C$1541+1),CROQUIS_DATOS!$C$1476,INDEX($H$8:$H$41,MIN(INT((IF(INT(($A60-1)/70)+1&gt;CROQUIS_DATOS!$C$1525,70,MOD($A60-1,70)+1)-2)/2)+1,CROQUIS_DATOS!$C$1541))))*CROQUIS_DATOS!$C$1561*CROQUIS_DATOS!$C$1562),-1000)</f>
        <v>40.2068965517241</v>
      </c>
      <c r="P60">
        <f>IF(AND(CROQUIS_DATOS!$C$1472=1,CROQUIS_DATOS!$C$1555=1),(CROQUIS_DATOS!$C$1563+(IF(IF(OR(MOD($A60-1,62)+1=1,IF(CHOOSE(MIN(MAX(MIN(INT(($A60-1)/62)+1,5),1),5),CROQUIS_DATOS!$C$1501,CROQUIS_DATOS!$C$1505,CROQUIS_DATOS!$C$1509,CROQUIS_DATOS!$C$1513,CROQUIS_DATOS!$C$1517)=1,CROQUIS_DATOS!$C$1557,0)=0),0,IF(MOD($A60-1,62)+1&gt;2*IF(CHOOSE(MIN(MAX(MIN(INT(($A60-1)/62)+1,5),1),5),CROQUIS_DATOS!$C$1501,CROQUIS_DATOS!$C$1505,CROQUIS_DATOS!$C$1509,CROQUIS_DATOS!$C$1513,CROQUIS_DATOS!$C$1517)=1,CROQUIS_DATOS!$C$1557,0)+1,IF(MOD(IF(CHOOSE(MIN(MAX(MIN(INT(($A60-1)/62)+1,5),1),5),CROQUIS_DATOS!$C$1501,CROQUIS_DATOS!$C$1505,CROQUIS_DATOS!$C$1509,CROQUIS_DATOS!$C$1513,CROQUIS_DATOS!$C$1517)=1,CROQUIS_DATOS!$C$1557,0),2)=1,1,0),IF(MOD(MIN(INT((MOD($A60-1,62)+1-2)/2)+1,MAX(IF(CHOOSE(MIN(MAX(MIN(INT(($A60-1)/62)+1,5),1),5),CROQUIS_DATOS!$C$1501,CROQUIS_DATOS!$C$1505,CROQUIS_DATOS!$C$1509,CROQUIS_DATOS!$C$1513,CROQUIS_DATOS!$C$1517)=1,CROQUIS_DATOS!$C$1557,0),1)),2)=1,IF(MOD(MOD($A60-1,62)+1-2,2)=0,0,1),IF(MOD(MOD($A60-1,62)+1-2,2)=0,1,0))))=0,(CHOOSE(MIN(MAX(MIN(INT(($A60-1)/62)+1,5),1),5),CROQUIS_DATOS!$C$1499,CROQUIS_DATOS!$C$1503,CROQUIS_DATOS!$C$1507,CROQUIS_DATOS!$C$1511,CROQUIS_DATOS!$C$1515)+IF(CHOOSE(MIN(MAX(MIN(INT(($A60-1)/62)+1,5),1),5),CROQUIS_DATOS!$C$1501,CROQUIS_DATOS!$C$1505,CROQUIS_DATOS!$C$1509,CROQUIS_DATOS!$C$1513,CROQUIS_DATOS!$C$1517)=1,CROQUIS_DATOS!$C$1526,0)),(CHOOSE(MIN(MAX(MIN(INT(($A60-1)/62)+1,5),1),5),CROQUIS_DATOS!$C$1499,CROQUIS_DATOS!$C$1503,CROQUIS_DATOS!$C$1507,CROQUIS_DATOS!$C$1511,CROQUIS_DATOS!$C$1515)+CHOOSE(MIN(MAX(MIN(INT(($A60-1)/62)+1,5),1),5),CROQUIS_DATOS!$C$1500,CROQUIS_DATOS!$C$1504,CROQUIS_DATOS!$C$1508,CROQUIS_DATOS!$C$1512,CROQUIS_DATOS!$C$1516)-IF(CHOOSE(MIN(MAX(MIN(INT(($A60-1)/62)+1,5),1),5),CROQUIS_DATOS!$C$1501,CROQUIS_DATOS!$C$1505,CROQUIS_DATOS!$C$1509,CROQUIS_DATOS!$C$1513,CROQUIS_DATOS!$C$1517)=1,CROQUIS_DATOS!$C$1526,0))))*CROQUIS_DATOS!$C$1562),-1000)</f>
        <v>-1000</v>
      </c>
      <c r="Q60">
        <f>IF(AND(CROQUIS_DATOS!$C$1472=1,CROQUIS_DATOS!$C$1555=1),(CROQUIS_DATOS!$C$1564+(IF(OR(OR(MOD($A60-1,62)+1=1,IF(CHOOSE(MIN(MAX(MIN(INT(($A60-1)/62)+1,5),1),5),CROQUIS_DATOS!$C$1501,CROQUIS_DATOS!$C$1505,CROQUIS_DATOS!$C$1509,CROQUIS_DATOS!$C$1513,CROQUIS_DATOS!$C$1517)=1,CROQUIS_DATOS!$C$1557,0)=0),MOD($A60-1,62)+1&gt;2*IF(CHOOSE(MIN(MAX(MIN(INT(($A60-1)/62)+1,5),1),5),CROQUIS_DATOS!$C$1501,CROQUIS_DATOS!$C$1505,CROQUIS_DATOS!$C$1509,CROQUIS_DATOS!$C$1513,CROQUIS_DATOS!$C$1517)=1,CROQUIS_DATOS!$C$1557,0)+1),CROQUIS_DATOS!$C$1476,MIN(INT((MOD($A60-1,62)+1-2)/2)+1,MAX(IF(CHOOSE(MIN(MAX(MIN(INT(($A60-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0">
        <f>IF(AND(CROQUIS_DATOS!$C$1472=1,1),(CROQUIS_DATOS!$C$1563+(MIN(INT(($A60-1)/2)+1,CROQUIS_DATOS!$C$1558)*CROQUIS_DATOS!$C$1559)*CROQUIS_DATOS!$C$1562),-1000)</f>
        <v>82.2281167108753</v>
      </c>
      <c r="U60">
        <f>IF(AND(CROQUIS_DATOS!$C$1472=1,1),(CROQUIS_DATOS!$C$1564+(IF(INT(($A60-1)/2)+1&gt;CROQUIS_DATOS!$C$1558,IF(MOD(CROQUIS_DATOS!$C$1558,2)=1,CROQUIS_DATOS!$C$1476+CROQUIS_DATOS!$C$1528,CROQUIS_DATOS!$C$1476),IF(IF(MOD(MIN(INT(($A60-1)/2)+1,CROQUIS_DATOS!$C$1558),2)=1,MOD($A60-1,2),1-MOD($A60-1,2))=1,CROQUIS_DATOS!$C$1476+CROQUIS_DATOS!$C$1528,CROQUIS_DATOS!$C$1476)))*CROQUIS_DATOS!$C$1561*CROQUIS_DATOS!$C$1562),-1000)</f>
        <v>43</v>
      </c>
      <c r="BZ60">
        <f>IF(AND(CROQUIS_DATOS!$C$1472=1,CROQUIS_DATOS!$C$1500&gt;0,((CROQUIS_DATOS!$C$1499+CROQUIS_DATOS!$C$1500))-(CROQUIS_DATOS!$C$1499)&gt;0.5,(CROQUIS_DATOS!$C$1476)-(0)&gt;0.5),(CROQUIS_DATOS!$C$1566+(IF(IF(MOD(MIN(INT(($A60-1)/2)+1,MAX(1,INT(((((CROQUIS_DATOS!$C$1499+CROQUIS_DATOS!$C$1500))-(CROQUIS_DATOS!$C$1499))+((CROQUIS_DATOS!$C$1476)*CROQUIS_DATOS!$C$1561-(0)*CROQUIS_DATOS!$C$1561))/CROQUIS_DATOS!$C$1568-0.000001))),2)=1,IF(INT(($A60-1)/2)+1&gt;MAX(1,INT(((((CROQUIS_DATOS!$C$1499+CROQUIS_DATOS!$C$1500))-(CROQUIS_DATOS!$C$1499))+((CROQUIS_DATOS!$C$1476)*CROQUIS_DATOS!$C$1561-(0)*CROQUIS_DATOS!$C$1561))/CROQUIS_DATOS!$C$1568-0.000001)),1,MOD($A60-1,2)),1-IF(INT(($A60-1)/2)+1&gt;MAX(1,INT(((((CROQUIS_DATOS!$C$1499+CROQUIS_DATOS!$C$1500))-(CROQUIS_DATOS!$C$1499))+((CROQUIS_DATOS!$C$1476)*CROQUIS_DATOS!$C$1561-(0)*CROQUIS_DATOS!$C$1561))/CROQUIS_DATOS!$C$1568-0.000001)),1,MOD($A60-1,2)))=1,MIN((CROQUIS_DATOS!$C$1476)*CROQUIS_DATOS!$C$1561,((CROQUIS_DATOS!$C$1499+CROQUIS_DATOS!$C$1500)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0">
        <f>IF(AND(CROQUIS_DATOS!$C$1472=1,CROQUIS_DATOS!$C$1500&gt;0,((CROQUIS_DATOS!$C$1499+CROQUIS_DATOS!$C$1500))-(CROQUIS_DATOS!$C$1499)&gt;0.5,(CROQUIS_DATOS!$C$1476)-(0)&gt;0.5),(CROQUIS_DATOS!$C$1567+(IF(IF(MOD(MIN(INT(($A60-1)/2)+1,MAX(1,INT(((((CROQUIS_DATOS!$C$1499+CROQUIS_DATOS!$C$1500))-(CROQUIS_DATOS!$C$1499))+((CROQUIS_DATOS!$C$1476)*CROQUIS_DATOS!$C$1561-(0)*CROQUIS_DATOS!$C$1561))/CROQUIS_DATOS!$C$1568-0.000001))),2)=1,IF(INT(($A60-1)/2)+1&gt;MAX(1,INT(((((CROQUIS_DATOS!$C$1499+CROQUIS_DATOS!$C$1500))-(CROQUIS_DATOS!$C$1499))+((CROQUIS_DATOS!$C$1476)*CROQUIS_DATOS!$C$1561-(0)*CROQUIS_DATOS!$C$1561))/CROQUIS_DATOS!$C$1568-0.000001)),1,MOD($A60-1,2)),1-IF(INT(($A60-1)/2)+1&gt;MAX(1,INT(((((CROQUIS_DATOS!$C$1499+CROQUIS_DATOS!$C$1500))-(CROQUIS_DATOS!$C$1499))+((CROQUIS_DATOS!$C$1476)*CROQUIS_DATOS!$C$1561-(0)*CROQUIS_DATOS!$C$1561))/CROQUIS_DATOS!$C$1568-0.000001)),1,MOD($A60-1,2)))=1,MIN((CROQUIS_DATOS!$C$1476)*CROQUIS_DATOS!$C$1561,((CROQUIS_DATOS!$C$1499+CROQUIS_DATOS!$C$1500)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0">
        <f>IF(AND(CROQUIS_DATOS!$C$1472=1,CROQUIS_DATOS!$C$1504&gt;0,((CROQUIS_DATOS!$C$1503+CROQUIS_DATOS!$C$1504))-(CROQUIS_DATOS!$C$1503)&gt;0.5,(CROQUIS_DATOS!$C$1476)-(0)&gt;0.5),(CROQUIS_DATOS!$C$1566+(IF(IF(MOD(MIN(INT(($A60-1)/2)+1,MAX(1,INT(((((CROQUIS_DATOS!$C$1503+CROQUIS_DATOS!$C$1504))-(CROQUIS_DATOS!$C$1503))+((CROQUIS_DATOS!$C$1476)*CROQUIS_DATOS!$C$1561-(0)*CROQUIS_DATOS!$C$1561))/CROQUIS_DATOS!$C$1568-0.000001))),2)=1,IF(INT(($A60-1)/2)+1&gt;MAX(1,INT(((((CROQUIS_DATOS!$C$1503+CROQUIS_DATOS!$C$1504))-(CROQUIS_DATOS!$C$1503))+((CROQUIS_DATOS!$C$1476)*CROQUIS_DATOS!$C$1561-(0)*CROQUIS_DATOS!$C$1561))/CROQUIS_DATOS!$C$1568-0.000001)),1,MOD($A60-1,2)),1-IF(INT(($A60-1)/2)+1&gt;MAX(1,INT(((((CROQUIS_DATOS!$C$1503+CROQUIS_DATOS!$C$1504))-(CROQUIS_DATOS!$C$1503))+((CROQUIS_DATOS!$C$1476)*CROQUIS_DATOS!$C$1561-(0)*CROQUIS_DATOS!$C$1561))/CROQUIS_DATOS!$C$1568-0.000001)),1,MOD($A60-1,2)))=1,MIN((CROQUIS_DATOS!$C$1476)*CROQUIS_DATOS!$C$1561,((CROQUIS_DATOS!$C$1503+CROQUIS_DATOS!$C$1504)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0">
        <f>IF(AND(CROQUIS_DATOS!$C$1472=1,CROQUIS_DATOS!$C$1504&gt;0,((CROQUIS_DATOS!$C$1503+CROQUIS_DATOS!$C$1504))-(CROQUIS_DATOS!$C$1503)&gt;0.5,(CROQUIS_DATOS!$C$1476)-(0)&gt;0.5),(CROQUIS_DATOS!$C$1567+(IF(IF(MOD(MIN(INT(($A60-1)/2)+1,MAX(1,INT(((((CROQUIS_DATOS!$C$1503+CROQUIS_DATOS!$C$1504))-(CROQUIS_DATOS!$C$1503))+((CROQUIS_DATOS!$C$1476)*CROQUIS_DATOS!$C$1561-(0)*CROQUIS_DATOS!$C$1561))/CROQUIS_DATOS!$C$1568-0.000001))),2)=1,IF(INT(($A60-1)/2)+1&gt;MAX(1,INT(((((CROQUIS_DATOS!$C$1503+CROQUIS_DATOS!$C$1504))-(CROQUIS_DATOS!$C$1503))+((CROQUIS_DATOS!$C$1476)*CROQUIS_DATOS!$C$1561-(0)*CROQUIS_DATOS!$C$1561))/CROQUIS_DATOS!$C$1568-0.000001)),1,MOD($A60-1,2)),1-IF(INT(($A60-1)/2)+1&gt;MAX(1,INT(((((CROQUIS_DATOS!$C$1503+CROQUIS_DATOS!$C$1504))-(CROQUIS_DATOS!$C$1503))+((CROQUIS_DATOS!$C$1476)*CROQUIS_DATOS!$C$1561-(0)*CROQUIS_DATOS!$C$1561))/CROQUIS_DATOS!$C$1568-0.000001)),1,MOD($A60-1,2)))=1,MIN((CROQUIS_DATOS!$C$1476)*CROQUIS_DATOS!$C$1561,((CROQUIS_DATOS!$C$1503+CROQUIS_DATOS!$C$1504)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0">
        <f>IF(AND(CROQUIS_DATOS!$C$1472=1,CROQUIS_DATOS!$C$1508&gt;0,((CROQUIS_DATOS!$C$1507+CROQUIS_DATOS!$C$1508))-(CROQUIS_DATOS!$C$1507)&gt;0.5,(CROQUIS_DATOS!$C$1476)-(0)&gt;0.5),(CROQUIS_DATOS!$C$1566+(IF(IF(MOD(MIN(INT(($A60-1)/2)+1,MAX(1,INT(((((CROQUIS_DATOS!$C$1507+CROQUIS_DATOS!$C$1508))-(CROQUIS_DATOS!$C$1507))+((CROQUIS_DATOS!$C$1476)*CROQUIS_DATOS!$C$1561-(0)*CROQUIS_DATOS!$C$1561))/CROQUIS_DATOS!$C$1568-0.000001))),2)=1,IF(INT(($A60-1)/2)+1&gt;MAX(1,INT(((((CROQUIS_DATOS!$C$1507+CROQUIS_DATOS!$C$1508))-(CROQUIS_DATOS!$C$1507))+((CROQUIS_DATOS!$C$1476)*CROQUIS_DATOS!$C$1561-(0)*CROQUIS_DATOS!$C$1561))/CROQUIS_DATOS!$C$1568-0.000001)),1,MOD($A60-1,2)),1-IF(INT(($A60-1)/2)+1&gt;MAX(1,INT(((((CROQUIS_DATOS!$C$1507+CROQUIS_DATOS!$C$1508))-(CROQUIS_DATOS!$C$1507))+((CROQUIS_DATOS!$C$1476)*CROQUIS_DATOS!$C$1561-(0)*CROQUIS_DATOS!$C$1561))/CROQUIS_DATOS!$C$1568-0.000001)),1,MOD($A60-1,2)))=1,MIN((CROQUIS_DATOS!$C$1476)*CROQUIS_DATOS!$C$1561,((CROQUIS_DATOS!$C$1507+CROQUIS_DATOS!$C$1508)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0">
        <f>IF(AND(CROQUIS_DATOS!$C$1472=1,CROQUIS_DATOS!$C$1508&gt;0,((CROQUIS_DATOS!$C$1507+CROQUIS_DATOS!$C$1508))-(CROQUIS_DATOS!$C$1507)&gt;0.5,(CROQUIS_DATOS!$C$1476)-(0)&gt;0.5),(CROQUIS_DATOS!$C$1567+(IF(IF(MOD(MIN(INT(($A60-1)/2)+1,MAX(1,INT(((((CROQUIS_DATOS!$C$1507+CROQUIS_DATOS!$C$1508))-(CROQUIS_DATOS!$C$1507))+((CROQUIS_DATOS!$C$1476)*CROQUIS_DATOS!$C$1561-(0)*CROQUIS_DATOS!$C$1561))/CROQUIS_DATOS!$C$1568-0.000001))),2)=1,IF(INT(($A60-1)/2)+1&gt;MAX(1,INT(((((CROQUIS_DATOS!$C$1507+CROQUIS_DATOS!$C$1508))-(CROQUIS_DATOS!$C$1507))+((CROQUIS_DATOS!$C$1476)*CROQUIS_DATOS!$C$1561-(0)*CROQUIS_DATOS!$C$1561))/CROQUIS_DATOS!$C$1568-0.000001)),1,MOD($A60-1,2)),1-IF(INT(($A60-1)/2)+1&gt;MAX(1,INT(((((CROQUIS_DATOS!$C$1507+CROQUIS_DATOS!$C$1508))-(CROQUIS_DATOS!$C$1507))+((CROQUIS_DATOS!$C$1476)*CROQUIS_DATOS!$C$1561-(0)*CROQUIS_DATOS!$C$1561))/CROQUIS_DATOS!$C$1568-0.000001)),1,MOD($A60-1,2)))=1,MIN((CROQUIS_DATOS!$C$1476)*CROQUIS_DATOS!$C$1561,((CROQUIS_DATOS!$C$1507+CROQUIS_DATOS!$C$1508)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0">
        <f>IF(AND(CROQUIS_DATOS!$C$1472=1,CROQUIS_DATOS!$C$1512&gt;0,((CROQUIS_DATOS!$C$1511+CROQUIS_DATOS!$C$1512))-(CROQUIS_DATOS!$C$1511)&gt;0.5,(CROQUIS_DATOS!$C$1476)-(0)&gt;0.5),(CROQUIS_DATOS!$C$1566+(IF(IF(MOD(MIN(INT(($A60-1)/2)+1,MAX(1,INT(((((CROQUIS_DATOS!$C$1511+CROQUIS_DATOS!$C$1512))-(CROQUIS_DATOS!$C$1511))+((CROQUIS_DATOS!$C$1476)*CROQUIS_DATOS!$C$1561-(0)*CROQUIS_DATOS!$C$1561))/CROQUIS_DATOS!$C$1568-0.000001))),2)=1,IF(INT(($A60-1)/2)+1&gt;MAX(1,INT(((((CROQUIS_DATOS!$C$1511+CROQUIS_DATOS!$C$1512))-(CROQUIS_DATOS!$C$1511))+((CROQUIS_DATOS!$C$1476)*CROQUIS_DATOS!$C$1561-(0)*CROQUIS_DATOS!$C$1561))/CROQUIS_DATOS!$C$1568-0.000001)),1,MOD($A60-1,2)),1-IF(INT(($A60-1)/2)+1&gt;MAX(1,INT(((((CROQUIS_DATOS!$C$1511+CROQUIS_DATOS!$C$1512))-(CROQUIS_DATOS!$C$1511))+((CROQUIS_DATOS!$C$1476)*CROQUIS_DATOS!$C$1561-(0)*CROQUIS_DATOS!$C$1561))/CROQUIS_DATOS!$C$1568-0.000001)),1,MOD($A60-1,2)))=1,MIN((CROQUIS_DATOS!$C$1476)*CROQUIS_DATOS!$C$1561,((CROQUIS_DATOS!$C$1511+CROQUIS_DATOS!$C$1512)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0">
        <f>IF(AND(CROQUIS_DATOS!$C$1472=1,CROQUIS_DATOS!$C$1512&gt;0,((CROQUIS_DATOS!$C$1511+CROQUIS_DATOS!$C$1512))-(CROQUIS_DATOS!$C$1511)&gt;0.5,(CROQUIS_DATOS!$C$1476)-(0)&gt;0.5),(CROQUIS_DATOS!$C$1567+(IF(IF(MOD(MIN(INT(($A60-1)/2)+1,MAX(1,INT(((((CROQUIS_DATOS!$C$1511+CROQUIS_DATOS!$C$1512))-(CROQUIS_DATOS!$C$1511))+((CROQUIS_DATOS!$C$1476)*CROQUIS_DATOS!$C$1561-(0)*CROQUIS_DATOS!$C$1561))/CROQUIS_DATOS!$C$1568-0.000001))),2)=1,IF(INT(($A60-1)/2)+1&gt;MAX(1,INT(((((CROQUIS_DATOS!$C$1511+CROQUIS_DATOS!$C$1512))-(CROQUIS_DATOS!$C$1511))+((CROQUIS_DATOS!$C$1476)*CROQUIS_DATOS!$C$1561-(0)*CROQUIS_DATOS!$C$1561))/CROQUIS_DATOS!$C$1568-0.000001)),1,MOD($A60-1,2)),1-IF(INT(($A60-1)/2)+1&gt;MAX(1,INT(((((CROQUIS_DATOS!$C$1511+CROQUIS_DATOS!$C$1512))-(CROQUIS_DATOS!$C$1511))+((CROQUIS_DATOS!$C$1476)*CROQUIS_DATOS!$C$1561-(0)*CROQUIS_DATOS!$C$1561))/CROQUIS_DATOS!$C$1568-0.000001)),1,MOD($A60-1,2)))=1,MIN((CROQUIS_DATOS!$C$1476)*CROQUIS_DATOS!$C$1561,((CROQUIS_DATOS!$C$1511+CROQUIS_DATOS!$C$1512)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0">
        <f>IF(AND(CROQUIS_DATOS!$C$1472=1,CROQUIS_DATOS!$C$1516&gt;0,((CROQUIS_DATOS!$C$1515+CROQUIS_DATOS!$C$1516))-(CROQUIS_DATOS!$C$1515)&gt;0.5,(CROQUIS_DATOS!$C$1476)-(0)&gt;0.5),(CROQUIS_DATOS!$C$1566+(IF(IF(MOD(MIN(INT(($A60-1)/2)+1,MAX(1,INT(((((CROQUIS_DATOS!$C$1515+CROQUIS_DATOS!$C$1516))-(CROQUIS_DATOS!$C$1515))+((CROQUIS_DATOS!$C$1476)*CROQUIS_DATOS!$C$1561-(0)*CROQUIS_DATOS!$C$1561))/CROQUIS_DATOS!$C$1568-0.000001))),2)=1,IF(INT(($A60-1)/2)+1&gt;MAX(1,INT(((((CROQUIS_DATOS!$C$1515+CROQUIS_DATOS!$C$1516))-(CROQUIS_DATOS!$C$1515))+((CROQUIS_DATOS!$C$1476)*CROQUIS_DATOS!$C$1561-(0)*CROQUIS_DATOS!$C$1561))/CROQUIS_DATOS!$C$1568-0.000001)),1,MOD($A60-1,2)),1-IF(INT(($A60-1)/2)+1&gt;MAX(1,INT(((((CROQUIS_DATOS!$C$1515+CROQUIS_DATOS!$C$1516))-(CROQUIS_DATOS!$C$1515))+((CROQUIS_DATOS!$C$1476)*CROQUIS_DATOS!$C$1561-(0)*CROQUIS_DATOS!$C$1561))/CROQUIS_DATOS!$C$1568-0.000001)),1,MOD($A60-1,2)))=1,MIN((CROQUIS_DATOS!$C$1476)*CROQUIS_DATOS!$C$1561,((CROQUIS_DATOS!$C$1515+CROQUIS_DATOS!$C$1516)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0">
        <f>IF(AND(CROQUIS_DATOS!$C$1472=1,CROQUIS_DATOS!$C$1516&gt;0,((CROQUIS_DATOS!$C$1515+CROQUIS_DATOS!$C$1516))-(CROQUIS_DATOS!$C$1515)&gt;0.5,(CROQUIS_DATOS!$C$1476)-(0)&gt;0.5),(CROQUIS_DATOS!$C$1567+(IF(IF(MOD(MIN(INT(($A60-1)/2)+1,MAX(1,INT(((((CROQUIS_DATOS!$C$1515+CROQUIS_DATOS!$C$1516))-(CROQUIS_DATOS!$C$1515))+((CROQUIS_DATOS!$C$1476)*CROQUIS_DATOS!$C$1561-(0)*CROQUIS_DATOS!$C$1561))/CROQUIS_DATOS!$C$1568-0.000001))),2)=1,IF(INT(($A60-1)/2)+1&gt;MAX(1,INT(((((CROQUIS_DATOS!$C$1515+CROQUIS_DATOS!$C$1516))-(CROQUIS_DATOS!$C$1515))+((CROQUIS_DATOS!$C$1476)*CROQUIS_DATOS!$C$1561-(0)*CROQUIS_DATOS!$C$1561))/CROQUIS_DATOS!$C$1568-0.000001)),1,MOD($A60-1,2)),1-IF(INT(($A60-1)/2)+1&gt;MAX(1,INT(((((CROQUIS_DATOS!$C$1515+CROQUIS_DATOS!$C$1516))-(CROQUIS_DATOS!$C$1515))+((CROQUIS_DATOS!$C$1476)*CROQUIS_DATOS!$C$1561-(0)*CROQUIS_DATOS!$C$1561))/CROQUIS_DATOS!$C$1568-0.000001)),1,MOD($A60-1,2)))=1,MIN((CROQUIS_DATOS!$C$1476)*CROQUIS_DATOS!$C$1561,((CROQUIS_DATOS!$C$1515+CROQUIS_DATOS!$C$1516)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0">
        <f>IF(AND(CROQUIS_DATOS!$C$1472=1,CROQUIS_DATOS!$C$1478&gt;=1,((CROQUIS_DATOS!$C$1479+CROQUIS_DATOS!$C$1480))-(CROQUIS_DATOS!$C$1479)&gt;0.5,(CROQUIS_DATOS!$C$1481)-(0)&gt;0.5),(CROQUIS_DATOS!$C$1566+(IF(IF(MOD(MIN(INT(($A60-1)/2)+1,MAX(1,INT(((((CROQUIS_DATOS!$C$1479+CROQUIS_DATOS!$C$1480))-(CROQUIS_DATOS!$C$1479))+((CROQUIS_DATOS!$C$1481)*CROQUIS_DATOS!$C$1561-(0)*CROQUIS_DATOS!$C$1561))/CROQUIS_DATOS!$C$1568-0.000001))),2)=1,IF(INT(($A60-1)/2)+1&gt;MAX(1,INT(((((CROQUIS_DATOS!$C$1479+CROQUIS_DATOS!$C$1480))-(CROQUIS_DATOS!$C$1479))+((CROQUIS_DATOS!$C$1481)*CROQUIS_DATOS!$C$1561-(0)*CROQUIS_DATOS!$C$1561))/CROQUIS_DATOS!$C$1568-0.000001)),1,MOD($A60-1,2)),1-IF(INT(($A60-1)/2)+1&gt;MAX(1,INT(((((CROQUIS_DATOS!$C$1479+CROQUIS_DATOS!$C$1480))-(CROQUIS_DATOS!$C$1479))+((CROQUIS_DATOS!$C$1481)*CROQUIS_DATOS!$C$1561-(0)*CROQUIS_DATOS!$C$1561))/CROQUIS_DATOS!$C$1568-0.000001)),1,MOD($A60-1,2)))=1,MIN((CROQUIS_DATOS!$C$1481)*CROQUIS_DATOS!$C$1561,((CROQUIS_DATOS!$C$1479+CROQUIS_DATOS!$C$1480)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0">
        <f>IF(AND(CROQUIS_DATOS!$C$1472=1,CROQUIS_DATOS!$C$1478&gt;=1,((CROQUIS_DATOS!$C$1479+CROQUIS_DATOS!$C$1480))-(CROQUIS_DATOS!$C$1479)&gt;0.5,(CROQUIS_DATOS!$C$1481)-(0)&gt;0.5),(CROQUIS_DATOS!$C$1567+(IF(IF(MOD(MIN(INT(($A60-1)/2)+1,MAX(1,INT(((((CROQUIS_DATOS!$C$1479+CROQUIS_DATOS!$C$1480))-(CROQUIS_DATOS!$C$1479))+((CROQUIS_DATOS!$C$1481)*CROQUIS_DATOS!$C$1561-(0)*CROQUIS_DATOS!$C$1561))/CROQUIS_DATOS!$C$1568-0.000001))),2)=1,IF(INT(($A60-1)/2)+1&gt;MAX(1,INT(((((CROQUIS_DATOS!$C$1479+CROQUIS_DATOS!$C$1480))-(CROQUIS_DATOS!$C$1479))+((CROQUIS_DATOS!$C$1481)*CROQUIS_DATOS!$C$1561-(0)*CROQUIS_DATOS!$C$1561))/CROQUIS_DATOS!$C$1568-0.000001)),1,MOD($A60-1,2)),1-IF(INT(($A60-1)/2)+1&gt;MAX(1,INT(((((CROQUIS_DATOS!$C$1479+CROQUIS_DATOS!$C$1480))-(CROQUIS_DATOS!$C$1479))+((CROQUIS_DATOS!$C$1481)*CROQUIS_DATOS!$C$1561-(0)*CROQUIS_DATOS!$C$1561))/CROQUIS_DATOS!$C$1568-0.000001)),1,MOD($A60-1,2)))=1,MIN((CROQUIS_DATOS!$C$1481)*CROQUIS_DATOS!$C$1561,((CROQUIS_DATOS!$C$1479+CROQUIS_DATOS!$C$1480)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0">
        <f>IF(AND(CROQUIS_DATOS!$C$1472=1,CROQUIS_DATOS!$C$1478&gt;=1,((CROQUIS_DATOS!$C$1479+CROQUIS_DATOS!$C$1480))-(CROQUIS_DATOS!$C$1479)&gt;0.5,(CROQUIS_DATOS!$C$1476)-((CROQUIS_DATOS!$C$1481+CROQUIS_DATOS!$C$1482))&gt;0.5),(CROQUIS_DATOS!$C$1566+(IF(IF(MOD(MIN(INT(($A60-1)/2)+1,MAX(1,INT(((((CROQUIS_DATOS!$C$1479+CROQUIS_DATOS!$C$1480))-(CROQUIS_DATOS!$C$1479))+((CROQUIS_DATOS!$C$1476)*CROQUIS_DATOS!$C$1561-((CROQUIS_DATOS!$C$1481+CROQUIS_DATOS!$C$1482))*CROQUIS_DATOS!$C$1561))/CROQUIS_DATOS!$C$1568-0.000001))),2)=1,IF(INT(($A60-1)/2)+1&gt;MAX(1,INT(((((CROQUIS_DATOS!$C$1479+CROQUIS_DATOS!$C$1480))-(CROQUIS_DATOS!$C$1479))+((CROQUIS_DATOS!$C$1476)*CROQUIS_DATOS!$C$1561-((CROQUIS_DATOS!$C$1481+CROQUIS_DATOS!$C$1482))*CROQUIS_DATOS!$C$1561))/CROQUIS_DATOS!$C$1568-0.000001)),1,MOD($A60-1,2)),1-IF(INT(($A60-1)/2)+1&gt;MAX(1,INT(((((CROQUIS_DATOS!$C$1479+CROQUIS_DATOS!$C$1480))-(CROQUIS_DATOS!$C$1479))+((CROQUIS_DATOS!$C$1476)*CROQUIS_DATOS!$C$1561-((CROQUIS_DATOS!$C$1481+CROQUIS_DATOS!$C$1482))*CROQUIS_DATOS!$C$1561))/CROQUIS_DATOS!$C$1568-0.000001)),1,MOD($A60-1,2)))=1,MIN((CROQUIS_DATOS!$C$1476)*CROQUIS_DATOS!$C$1561,((CROQUIS_DATOS!$C$1479+CROQUIS_DATOS!$C$1480)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0">
        <f>IF(AND(CROQUIS_DATOS!$C$1472=1,CROQUIS_DATOS!$C$1478&gt;=1,((CROQUIS_DATOS!$C$1479+CROQUIS_DATOS!$C$1480))-(CROQUIS_DATOS!$C$1479)&gt;0.5,(CROQUIS_DATOS!$C$1476)-((CROQUIS_DATOS!$C$1481+CROQUIS_DATOS!$C$1482))&gt;0.5),(CROQUIS_DATOS!$C$1567+(IF(IF(MOD(MIN(INT(($A60-1)/2)+1,MAX(1,INT(((((CROQUIS_DATOS!$C$1479+CROQUIS_DATOS!$C$1480))-(CROQUIS_DATOS!$C$1479))+((CROQUIS_DATOS!$C$1476)*CROQUIS_DATOS!$C$1561-((CROQUIS_DATOS!$C$1481+CROQUIS_DATOS!$C$1482))*CROQUIS_DATOS!$C$1561))/CROQUIS_DATOS!$C$1568-0.000001))),2)=1,IF(INT(($A60-1)/2)+1&gt;MAX(1,INT(((((CROQUIS_DATOS!$C$1479+CROQUIS_DATOS!$C$1480))-(CROQUIS_DATOS!$C$1479))+((CROQUIS_DATOS!$C$1476)*CROQUIS_DATOS!$C$1561-((CROQUIS_DATOS!$C$1481+CROQUIS_DATOS!$C$1482))*CROQUIS_DATOS!$C$1561))/CROQUIS_DATOS!$C$1568-0.000001)),1,MOD($A60-1,2)),1-IF(INT(($A60-1)/2)+1&gt;MAX(1,INT(((((CROQUIS_DATOS!$C$1479+CROQUIS_DATOS!$C$1480))-(CROQUIS_DATOS!$C$1479))+((CROQUIS_DATOS!$C$1476)*CROQUIS_DATOS!$C$1561-((CROQUIS_DATOS!$C$1481+CROQUIS_DATOS!$C$1482))*CROQUIS_DATOS!$C$1561))/CROQUIS_DATOS!$C$1568-0.000001)),1,MOD($A60-1,2)))=1,MIN((CROQUIS_DATOS!$C$1476)*CROQUIS_DATOS!$C$1561,((CROQUIS_DATOS!$C$1479+CROQUIS_DATOS!$C$1480)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0">
        <f>IF(AND(CROQUIS_DATOS!$C$1472=1,CROQUIS_DATOS!$C$1478&gt;=2,((CROQUIS_DATOS!$C$1484+CROQUIS_DATOS!$C$1485))-(CROQUIS_DATOS!$C$1484)&gt;0.5,(CROQUIS_DATOS!$C$1486)-(0)&gt;0.5),(CROQUIS_DATOS!$C$1566+(IF(IF(MOD(MIN(INT(($A60-1)/2)+1,MAX(1,INT(((((CROQUIS_DATOS!$C$1484+CROQUIS_DATOS!$C$1485))-(CROQUIS_DATOS!$C$1484))+((CROQUIS_DATOS!$C$1486)*CROQUIS_DATOS!$C$1561-(0)*CROQUIS_DATOS!$C$1561))/CROQUIS_DATOS!$C$1568-0.000001))),2)=1,IF(INT(($A60-1)/2)+1&gt;MAX(1,INT(((((CROQUIS_DATOS!$C$1484+CROQUIS_DATOS!$C$1485))-(CROQUIS_DATOS!$C$1484))+((CROQUIS_DATOS!$C$1486)*CROQUIS_DATOS!$C$1561-(0)*CROQUIS_DATOS!$C$1561))/CROQUIS_DATOS!$C$1568-0.000001)),1,MOD($A60-1,2)),1-IF(INT(($A60-1)/2)+1&gt;MAX(1,INT(((((CROQUIS_DATOS!$C$1484+CROQUIS_DATOS!$C$1485))-(CROQUIS_DATOS!$C$1484))+((CROQUIS_DATOS!$C$1486)*CROQUIS_DATOS!$C$1561-(0)*CROQUIS_DATOS!$C$1561))/CROQUIS_DATOS!$C$1568-0.000001)),1,MOD($A60-1,2)))=1,MIN((CROQUIS_DATOS!$C$1486)*CROQUIS_DATOS!$C$1561,((CROQUIS_DATOS!$C$1484+CROQUIS_DATOS!$C$1485)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0">
        <f>IF(AND(CROQUIS_DATOS!$C$1472=1,CROQUIS_DATOS!$C$1478&gt;=2,((CROQUIS_DATOS!$C$1484+CROQUIS_DATOS!$C$1485))-(CROQUIS_DATOS!$C$1484)&gt;0.5,(CROQUIS_DATOS!$C$1486)-(0)&gt;0.5),(CROQUIS_DATOS!$C$1567+(IF(IF(MOD(MIN(INT(($A60-1)/2)+1,MAX(1,INT(((((CROQUIS_DATOS!$C$1484+CROQUIS_DATOS!$C$1485))-(CROQUIS_DATOS!$C$1484))+((CROQUIS_DATOS!$C$1486)*CROQUIS_DATOS!$C$1561-(0)*CROQUIS_DATOS!$C$1561))/CROQUIS_DATOS!$C$1568-0.000001))),2)=1,IF(INT(($A60-1)/2)+1&gt;MAX(1,INT(((((CROQUIS_DATOS!$C$1484+CROQUIS_DATOS!$C$1485))-(CROQUIS_DATOS!$C$1484))+((CROQUIS_DATOS!$C$1486)*CROQUIS_DATOS!$C$1561-(0)*CROQUIS_DATOS!$C$1561))/CROQUIS_DATOS!$C$1568-0.000001)),1,MOD($A60-1,2)),1-IF(INT(($A60-1)/2)+1&gt;MAX(1,INT(((((CROQUIS_DATOS!$C$1484+CROQUIS_DATOS!$C$1485))-(CROQUIS_DATOS!$C$1484))+((CROQUIS_DATOS!$C$1486)*CROQUIS_DATOS!$C$1561-(0)*CROQUIS_DATOS!$C$1561))/CROQUIS_DATOS!$C$1568-0.000001)),1,MOD($A60-1,2)))=1,MIN((CROQUIS_DATOS!$C$1486)*CROQUIS_DATOS!$C$1561,((CROQUIS_DATOS!$C$1484+CROQUIS_DATOS!$C$1485)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0">
        <f>IF(AND(CROQUIS_DATOS!$C$1472=1,CROQUIS_DATOS!$C$1478&gt;=2,((CROQUIS_DATOS!$C$1484+CROQUIS_DATOS!$C$1485))-(CROQUIS_DATOS!$C$1484)&gt;0.5,(CROQUIS_DATOS!$C$1476)-((CROQUIS_DATOS!$C$1486+CROQUIS_DATOS!$C$1487))&gt;0.5),(CROQUIS_DATOS!$C$1566+(IF(IF(MOD(MIN(INT(($A60-1)/2)+1,MAX(1,INT(((((CROQUIS_DATOS!$C$1484+CROQUIS_DATOS!$C$1485))-(CROQUIS_DATOS!$C$1484))+((CROQUIS_DATOS!$C$1476)*CROQUIS_DATOS!$C$1561-((CROQUIS_DATOS!$C$1486+CROQUIS_DATOS!$C$1487))*CROQUIS_DATOS!$C$1561))/CROQUIS_DATOS!$C$1568-0.000001))),2)=1,IF(INT(($A60-1)/2)+1&gt;MAX(1,INT(((((CROQUIS_DATOS!$C$1484+CROQUIS_DATOS!$C$1485))-(CROQUIS_DATOS!$C$1484))+((CROQUIS_DATOS!$C$1476)*CROQUIS_DATOS!$C$1561-((CROQUIS_DATOS!$C$1486+CROQUIS_DATOS!$C$1487))*CROQUIS_DATOS!$C$1561))/CROQUIS_DATOS!$C$1568-0.000001)),1,MOD($A60-1,2)),1-IF(INT(($A60-1)/2)+1&gt;MAX(1,INT(((((CROQUIS_DATOS!$C$1484+CROQUIS_DATOS!$C$1485))-(CROQUIS_DATOS!$C$1484))+((CROQUIS_DATOS!$C$1476)*CROQUIS_DATOS!$C$1561-((CROQUIS_DATOS!$C$1486+CROQUIS_DATOS!$C$1487))*CROQUIS_DATOS!$C$1561))/CROQUIS_DATOS!$C$1568-0.000001)),1,MOD($A60-1,2)))=1,MIN((CROQUIS_DATOS!$C$1476)*CROQUIS_DATOS!$C$1561,((CROQUIS_DATOS!$C$1484+CROQUIS_DATOS!$C$1485)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0">
        <f>IF(AND(CROQUIS_DATOS!$C$1472=1,CROQUIS_DATOS!$C$1478&gt;=2,((CROQUIS_DATOS!$C$1484+CROQUIS_DATOS!$C$1485))-(CROQUIS_DATOS!$C$1484)&gt;0.5,(CROQUIS_DATOS!$C$1476)-((CROQUIS_DATOS!$C$1486+CROQUIS_DATOS!$C$1487))&gt;0.5),(CROQUIS_DATOS!$C$1567+(IF(IF(MOD(MIN(INT(($A60-1)/2)+1,MAX(1,INT(((((CROQUIS_DATOS!$C$1484+CROQUIS_DATOS!$C$1485))-(CROQUIS_DATOS!$C$1484))+((CROQUIS_DATOS!$C$1476)*CROQUIS_DATOS!$C$1561-((CROQUIS_DATOS!$C$1486+CROQUIS_DATOS!$C$1487))*CROQUIS_DATOS!$C$1561))/CROQUIS_DATOS!$C$1568-0.000001))),2)=1,IF(INT(($A60-1)/2)+1&gt;MAX(1,INT(((((CROQUIS_DATOS!$C$1484+CROQUIS_DATOS!$C$1485))-(CROQUIS_DATOS!$C$1484))+((CROQUIS_DATOS!$C$1476)*CROQUIS_DATOS!$C$1561-((CROQUIS_DATOS!$C$1486+CROQUIS_DATOS!$C$1487))*CROQUIS_DATOS!$C$1561))/CROQUIS_DATOS!$C$1568-0.000001)),1,MOD($A60-1,2)),1-IF(INT(($A60-1)/2)+1&gt;MAX(1,INT(((((CROQUIS_DATOS!$C$1484+CROQUIS_DATOS!$C$1485))-(CROQUIS_DATOS!$C$1484))+((CROQUIS_DATOS!$C$1476)*CROQUIS_DATOS!$C$1561-((CROQUIS_DATOS!$C$1486+CROQUIS_DATOS!$C$1487))*CROQUIS_DATOS!$C$1561))/CROQUIS_DATOS!$C$1568-0.000001)),1,MOD($A60-1,2)))=1,MIN((CROQUIS_DATOS!$C$1476)*CROQUIS_DATOS!$C$1561,((CROQUIS_DATOS!$C$1484+CROQUIS_DATOS!$C$1485)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0">
        <f>IF(AND(CROQUIS_DATOS!$C$1472=1,CROQUIS_DATOS!$C$1478&gt;=3,((CROQUIS_DATOS!$C$1489+CROQUIS_DATOS!$C$1490))-(CROQUIS_DATOS!$C$1489)&gt;0.5,(CROQUIS_DATOS!$C$1491)-(0)&gt;0.5),(CROQUIS_DATOS!$C$1566+(IF(IF(MOD(MIN(INT(($A60-1)/2)+1,MAX(1,INT(((((CROQUIS_DATOS!$C$1489+CROQUIS_DATOS!$C$1490))-(CROQUIS_DATOS!$C$1489))+((CROQUIS_DATOS!$C$1491)*CROQUIS_DATOS!$C$1561-(0)*CROQUIS_DATOS!$C$1561))/CROQUIS_DATOS!$C$1568-0.000001))),2)=1,IF(INT(($A60-1)/2)+1&gt;MAX(1,INT(((((CROQUIS_DATOS!$C$1489+CROQUIS_DATOS!$C$1490))-(CROQUIS_DATOS!$C$1489))+((CROQUIS_DATOS!$C$1491)*CROQUIS_DATOS!$C$1561-(0)*CROQUIS_DATOS!$C$1561))/CROQUIS_DATOS!$C$1568-0.000001)),1,MOD($A60-1,2)),1-IF(INT(($A60-1)/2)+1&gt;MAX(1,INT(((((CROQUIS_DATOS!$C$1489+CROQUIS_DATOS!$C$1490))-(CROQUIS_DATOS!$C$1489))+((CROQUIS_DATOS!$C$1491)*CROQUIS_DATOS!$C$1561-(0)*CROQUIS_DATOS!$C$1561))/CROQUIS_DATOS!$C$1568-0.000001)),1,MOD($A60-1,2)))=1,MIN((CROQUIS_DATOS!$C$1491)*CROQUIS_DATOS!$C$1561,((CROQUIS_DATOS!$C$1489+CROQUIS_DATOS!$C$1490)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0">
        <f>IF(AND(CROQUIS_DATOS!$C$1472=1,CROQUIS_DATOS!$C$1478&gt;=3,((CROQUIS_DATOS!$C$1489+CROQUIS_DATOS!$C$1490))-(CROQUIS_DATOS!$C$1489)&gt;0.5,(CROQUIS_DATOS!$C$1491)-(0)&gt;0.5),(CROQUIS_DATOS!$C$1567+(IF(IF(MOD(MIN(INT(($A60-1)/2)+1,MAX(1,INT(((((CROQUIS_DATOS!$C$1489+CROQUIS_DATOS!$C$1490))-(CROQUIS_DATOS!$C$1489))+((CROQUIS_DATOS!$C$1491)*CROQUIS_DATOS!$C$1561-(0)*CROQUIS_DATOS!$C$1561))/CROQUIS_DATOS!$C$1568-0.000001))),2)=1,IF(INT(($A60-1)/2)+1&gt;MAX(1,INT(((((CROQUIS_DATOS!$C$1489+CROQUIS_DATOS!$C$1490))-(CROQUIS_DATOS!$C$1489))+((CROQUIS_DATOS!$C$1491)*CROQUIS_DATOS!$C$1561-(0)*CROQUIS_DATOS!$C$1561))/CROQUIS_DATOS!$C$1568-0.000001)),1,MOD($A60-1,2)),1-IF(INT(($A60-1)/2)+1&gt;MAX(1,INT(((((CROQUIS_DATOS!$C$1489+CROQUIS_DATOS!$C$1490))-(CROQUIS_DATOS!$C$1489))+((CROQUIS_DATOS!$C$1491)*CROQUIS_DATOS!$C$1561-(0)*CROQUIS_DATOS!$C$1561))/CROQUIS_DATOS!$C$1568-0.000001)),1,MOD($A60-1,2)))=1,MIN((CROQUIS_DATOS!$C$1491)*CROQUIS_DATOS!$C$1561,((CROQUIS_DATOS!$C$1489+CROQUIS_DATOS!$C$1490)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0">
        <f>IF(AND(CROQUIS_DATOS!$C$1472=1,CROQUIS_DATOS!$C$1478&gt;=3,((CROQUIS_DATOS!$C$1489+CROQUIS_DATOS!$C$1490))-(CROQUIS_DATOS!$C$1489)&gt;0.5,(CROQUIS_DATOS!$C$1476)-((CROQUIS_DATOS!$C$1491+CROQUIS_DATOS!$C$1492))&gt;0.5),(CROQUIS_DATOS!$C$1566+(IF(IF(MOD(MIN(INT(($A60-1)/2)+1,MAX(1,INT(((((CROQUIS_DATOS!$C$1489+CROQUIS_DATOS!$C$1490))-(CROQUIS_DATOS!$C$1489))+((CROQUIS_DATOS!$C$1476)*CROQUIS_DATOS!$C$1561-((CROQUIS_DATOS!$C$1491+CROQUIS_DATOS!$C$1492))*CROQUIS_DATOS!$C$1561))/CROQUIS_DATOS!$C$1568-0.000001))),2)=1,IF(INT(($A60-1)/2)+1&gt;MAX(1,INT(((((CROQUIS_DATOS!$C$1489+CROQUIS_DATOS!$C$1490))-(CROQUIS_DATOS!$C$1489))+((CROQUIS_DATOS!$C$1476)*CROQUIS_DATOS!$C$1561-((CROQUIS_DATOS!$C$1491+CROQUIS_DATOS!$C$1492))*CROQUIS_DATOS!$C$1561))/CROQUIS_DATOS!$C$1568-0.000001)),1,MOD($A60-1,2)),1-IF(INT(($A60-1)/2)+1&gt;MAX(1,INT(((((CROQUIS_DATOS!$C$1489+CROQUIS_DATOS!$C$1490))-(CROQUIS_DATOS!$C$1489))+((CROQUIS_DATOS!$C$1476)*CROQUIS_DATOS!$C$1561-((CROQUIS_DATOS!$C$1491+CROQUIS_DATOS!$C$1492))*CROQUIS_DATOS!$C$1561))/CROQUIS_DATOS!$C$1568-0.000001)),1,MOD($A60-1,2)))=1,MIN((CROQUIS_DATOS!$C$1476)*CROQUIS_DATOS!$C$1561,((CROQUIS_DATOS!$C$1489+CROQUIS_DATOS!$C$1490)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0">
        <f>IF(AND(CROQUIS_DATOS!$C$1472=1,CROQUIS_DATOS!$C$1478&gt;=3,((CROQUIS_DATOS!$C$1489+CROQUIS_DATOS!$C$1490))-(CROQUIS_DATOS!$C$1489)&gt;0.5,(CROQUIS_DATOS!$C$1476)-((CROQUIS_DATOS!$C$1491+CROQUIS_DATOS!$C$1492))&gt;0.5),(CROQUIS_DATOS!$C$1567+(IF(IF(MOD(MIN(INT(($A60-1)/2)+1,MAX(1,INT(((((CROQUIS_DATOS!$C$1489+CROQUIS_DATOS!$C$1490))-(CROQUIS_DATOS!$C$1489))+((CROQUIS_DATOS!$C$1476)*CROQUIS_DATOS!$C$1561-((CROQUIS_DATOS!$C$1491+CROQUIS_DATOS!$C$1492))*CROQUIS_DATOS!$C$1561))/CROQUIS_DATOS!$C$1568-0.000001))),2)=1,IF(INT(($A60-1)/2)+1&gt;MAX(1,INT(((((CROQUIS_DATOS!$C$1489+CROQUIS_DATOS!$C$1490))-(CROQUIS_DATOS!$C$1489))+((CROQUIS_DATOS!$C$1476)*CROQUIS_DATOS!$C$1561-((CROQUIS_DATOS!$C$1491+CROQUIS_DATOS!$C$1492))*CROQUIS_DATOS!$C$1561))/CROQUIS_DATOS!$C$1568-0.000001)),1,MOD($A60-1,2)),1-IF(INT(($A60-1)/2)+1&gt;MAX(1,INT(((((CROQUIS_DATOS!$C$1489+CROQUIS_DATOS!$C$1490))-(CROQUIS_DATOS!$C$1489))+((CROQUIS_DATOS!$C$1476)*CROQUIS_DATOS!$C$1561-((CROQUIS_DATOS!$C$1491+CROQUIS_DATOS!$C$1492))*CROQUIS_DATOS!$C$1561))/CROQUIS_DATOS!$C$1568-0.000001)),1,MOD($A60-1,2)))=1,MIN((CROQUIS_DATOS!$C$1476)*CROQUIS_DATOS!$C$1561,((CROQUIS_DATOS!$C$1489+CROQUIS_DATOS!$C$1490)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0">
        <f>IF(AND(CROQUIS_DATOS!$C$1472=1,CROQUIS_DATOS!$C$1478&gt;=4,((CROQUIS_DATOS!$C$1494+CROQUIS_DATOS!$C$1495))-(CROQUIS_DATOS!$C$1494)&gt;0.5,(CROQUIS_DATOS!$C$1496)-(0)&gt;0.5),(CROQUIS_DATOS!$C$1566+(IF(IF(MOD(MIN(INT(($A60-1)/2)+1,MAX(1,INT(((((CROQUIS_DATOS!$C$1494+CROQUIS_DATOS!$C$1495))-(CROQUIS_DATOS!$C$1494))+((CROQUIS_DATOS!$C$1496)*CROQUIS_DATOS!$C$1561-(0)*CROQUIS_DATOS!$C$1561))/CROQUIS_DATOS!$C$1568-0.000001))),2)=1,IF(INT(($A60-1)/2)+1&gt;MAX(1,INT(((((CROQUIS_DATOS!$C$1494+CROQUIS_DATOS!$C$1495))-(CROQUIS_DATOS!$C$1494))+((CROQUIS_DATOS!$C$1496)*CROQUIS_DATOS!$C$1561-(0)*CROQUIS_DATOS!$C$1561))/CROQUIS_DATOS!$C$1568-0.000001)),1,MOD($A60-1,2)),1-IF(INT(($A60-1)/2)+1&gt;MAX(1,INT(((((CROQUIS_DATOS!$C$1494+CROQUIS_DATOS!$C$1495))-(CROQUIS_DATOS!$C$1494))+((CROQUIS_DATOS!$C$1496)*CROQUIS_DATOS!$C$1561-(0)*CROQUIS_DATOS!$C$1561))/CROQUIS_DATOS!$C$1568-0.000001)),1,MOD($A60-1,2)))=1,MIN((CROQUIS_DATOS!$C$1496)*CROQUIS_DATOS!$C$1561,((CROQUIS_DATOS!$C$1494+CROQUIS_DATOS!$C$1495)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0">
        <f>IF(AND(CROQUIS_DATOS!$C$1472=1,CROQUIS_DATOS!$C$1478&gt;=4,((CROQUIS_DATOS!$C$1494+CROQUIS_DATOS!$C$1495))-(CROQUIS_DATOS!$C$1494)&gt;0.5,(CROQUIS_DATOS!$C$1496)-(0)&gt;0.5),(CROQUIS_DATOS!$C$1567+(IF(IF(MOD(MIN(INT(($A60-1)/2)+1,MAX(1,INT(((((CROQUIS_DATOS!$C$1494+CROQUIS_DATOS!$C$1495))-(CROQUIS_DATOS!$C$1494))+((CROQUIS_DATOS!$C$1496)*CROQUIS_DATOS!$C$1561-(0)*CROQUIS_DATOS!$C$1561))/CROQUIS_DATOS!$C$1568-0.000001))),2)=1,IF(INT(($A60-1)/2)+1&gt;MAX(1,INT(((((CROQUIS_DATOS!$C$1494+CROQUIS_DATOS!$C$1495))-(CROQUIS_DATOS!$C$1494))+((CROQUIS_DATOS!$C$1496)*CROQUIS_DATOS!$C$1561-(0)*CROQUIS_DATOS!$C$1561))/CROQUIS_DATOS!$C$1568-0.000001)),1,MOD($A60-1,2)),1-IF(INT(($A60-1)/2)+1&gt;MAX(1,INT(((((CROQUIS_DATOS!$C$1494+CROQUIS_DATOS!$C$1495))-(CROQUIS_DATOS!$C$1494))+((CROQUIS_DATOS!$C$1496)*CROQUIS_DATOS!$C$1561-(0)*CROQUIS_DATOS!$C$1561))/CROQUIS_DATOS!$C$1568-0.000001)),1,MOD($A60-1,2)))=1,MIN((CROQUIS_DATOS!$C$1496)*CROQUIS_DATOS!$C$1561,((CROQUIS_DATOS!$C$1494+CROQUIS_DATOS!$C$1495)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0">
        <f>IF(AND(CROQUIS_DATOS!$C$1472=1,CROQUIS_DATOS!$C$1478&gt;=4,((CROQUIS_DATOS!$C$1494+CROQUIS_DATOS!$C$1495))-(CROQUIS_DATOS!$C$1494)&gt;0.5,(CROQUIS_DATOS!$C$1476)-((CROQUIS_DATOS!$C$1496+CROQUIS_DATOS!$C$1497))&gt;0.5),(CROQUIS_DATOS!$C$1566+(IF(IF(MOD(MIN(INT(($A60-1)/2)+1,MAX(1,INT(((((CROQUIS_DATOS!$C$1494+CROQUIS_DATOS!$C$1495))-(CROQUIS_DATOS!$C$1494))+((CROQUIS_DATOS!$C$1476)*CROQUIS_DATOS!$C$1561-((CROQUIS_DATOS!$C$1496+CROQUIS_DATOS!$C$1497))*CROQUIS_DATOS!$C$1561))/CROQUIS_DATOS!$C$1568-0.000001))),2)=1,IF(INT(($A60-1)/2)+1&gt;MAX(1,INT(((((CROQUIS_DATOS!$C$1494+CROQUIS_DATOS!$C$1495))-(CROQUIS_DATOS!$C$1494))+((CROQUIS_DATOS!$C$1476)*CROQUIS_DATOS!$C$1561-((CROQUIS_DATOS!$C$1496+CROQUIS_DATOS!$C$1497))*CROQUIS_DATOS!$C$1561))/CROQUIS_DATOS!$C$1568-0.000001)),1,MOD($A60-1,2)),1-IF(INT(($A60-1)/2)+1&gt;MAX(1,INT(((((CROQUIS_DATOS!$C$1494+CROQUIS_DATOS!$C$1495))-(CROQUIS_DATOS!$C$1494))+((CROQUIS_DATOS!$C$1476)*CROQUIS_DATOS!$C$1561-((CROQUIS_DATOS!$C$1496+CROQUIS_DATOS!$C$1497))*CROQUIS_DATOS!$C$1561))/CROQUIS_DATOS!$C$1568-0.000001)),1,MOD($A60-1,2)))=1,MIN((CROQUIS_DATOS!$C$1476)*CROQUIS_DATOS!$C$1561,((CROQUIS_DATOS!$C$1494+CROQUIS_DATOS!$C$1495)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0">
        <f>IF(AND(CROQUIS_DATOS!$C$1472=1,CROQUIS_DATOS!$C$1478&gt;=4,((CROQUIS_DATOS!$C$1494+CROQUIS_DATOS!$C$1495))-(CROQUIS_DATOS!$C$1494)&gt;0.5,(CROQUIS_DATOS!$C$1476)-((CROQUIS_DATOS!$C$1496+CROQUIS_DATOS!$C$1497))&gt;0.5),(CROQUIS_DATOS!$C$1567+(IF(IF(MOD(MIN(INT(($A60-1)/2)+1,MAX(1,INT(((((CROQUIS_DATOS!$C$1494+CROQUIS_DATOS!$C$1495))-(CROQUIS_DATOS!$C$1494))+((CROQUIS_DATOS!$C$1476)*CROQUIS_DATOS!$C$1561-((CROQUIS_DATOS!$C$1496+CROQUIS_DATOS!$C$1497))*CROQUIS_DATOS!$C$1561))/CROQUIS_DATOS!$C$1568-0.000001))),2)=1,IF(INT(($A60-1)/2)+1&gt;MAX(1,INT(((((CROQUIS_DATOS!$C$1494+CROQUIS_DATOS!$C$1495))-(CROQUIS_DATOS!$C$1494))+((CROQUIS_DATOS!$C$1476)*CROQUIS_DATOS!$C$1561-((CROQUIS_DATOS!$C$1496+CROQUIS_DATOS!$C$1497))*CROQUIS_DATOS!$C$1561))/CROQUIS_DATOS!$C$1568-0.000001)),1,MOD($A60-1,2)),1-IF(INT(($A60-1)/2)+1&gt;MAX(1,INT(((((CROQUIS_DATOS!$C$1494+CROQUIS_DATOS!$C$1495))-(CROQUIS_DATOS!$C$1494))+((CROQUIS_DATOS!$C$1476)*CROQUIS_DATOS!$C$1561-((CROQUIS_DATOS!$C$1496+CROQUIS_DATOS!$C$1497))*CROQUIS_DATOS!$C$1561))/CROQUIS_DATOS!$C$1568-0.000001)),1,MOD($A60-1,2)))=1,MIN((CROQUIS_DATOS!$C$1476)*CROQUIS_DATOS!$C$1561,((CROQUIS_DATOS!$C$1494+CROQUIS_DATOS!$C$1495)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0">
        <f>IF(AND(CROQUIS_DATOS!$C$1472=1,1),(CROQUIS_DATOS!$C$1571+(CHOOSE(MIN(MAX(IF(INT(($A60-1)/5)+1&gt;CROQUIS_DATOS!$C$1525,5,MOD($A60-1,5)+1),1),5),(INDEX($E$8:$E$23,MIN(INT(($A60-1)/5)+1,CROQUIS_DATOS!$C$1525))-INDEX($F$8:$F$23,MIN(INT(($A60-1)/5)+1,CROQUIS_DATOS!$C$1525))/2),(INDEX($E$8:$E$23,MIN(INT(($A60-1)/5)+1,CROQUIS_DATOS!$C$1525))+INDEX($F$8:$F$23,MIN(INT(($A60-1)/5)+1,CROQUIS_DATOS!$C$1525))/2),(INDEX($E$8:$E$23,MIN(INT(($A60-1)/5)+1,CROQUIS_DATOS!$C$1525))+INDEX($F$8:$F$23,MIN(INT(($A60-1)/5)+1,CROQUIS_DATOS!$C$1525))/2),(INDEX($E$8:$E$23,MIN(INT(($A60-1)/5)+1,CROQUIS_DATOS!$C$1525))-INDEX($F$8:$F$23,MIN(INT(($A60-1)/5)+1,CROQUIS_DATOS!$C$1525))/2),(INDEX($E$8:$E$23,MIN(INT(($A60-1)/5)+1,CROQUIS_DATOS!$C$1525))-INDEX($F$8:$F$23,MIN(INT(($A60-1)/5)+1,CROQUIS_DATOS!$C$1525))/2)))*CROQUIS_DATOS!$C$1569),-1000)</f>
        <v>95.24</v>
      </c>
      <c r="GE60">
        <f>IF(AND(CROQUIS_DATOS!$C$1472=1,1),(CROQUIS_DATOS!$C$1572+(CHOOSE(MIN(MAX(IF(INT(($A60-1)/5)+1&gt;CROQUIS_DATOS!$C$1525,5,MOD($A60-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0">
        <f>IF(AND(CROQUIS_DATOS!$C$1472=1,1),IF(INT(($A60-1)/4)+1&lt;=CROQUIS_DATOS!$C$1525,(CROQUIS_DATOS!$C$1571+((INDEX($E$8:$E$23,MIN(INT(($A60-1)/4)+1,16))+IF(OR(MOD($A60-1,4)=0,MOD($A60-1,4)=3),-1,1)*(INDEX($F$8:$F$23,MIN(INT(($A60-1)/4)+1,16))/2-(CROQUIS_DATOS!$C$1530+CROQUIS_DATOS!$C$1532+IF(OR(INT(($A60-1)/4)+1=1,INT(($A60-1)/4)+1=CROQUIS_DATOS!$C$1525),CROQUIS_DATOS!$C$1534,CROQUIS_DATOS!$C$1531)/2))))*CROQUIS_DATOS!$C$1569),-1000),-1000)</f>
        <v>-1000</v>
      </c>
      <c r="GG60">
        <f>IF(AND(CROQUIS_DATOS!$C$1472=1,1),IF(INT(($A60-1)/4)+1&lt;=CROQUIS_DATOS!$C$1525,(CROQUIS_DATOS!$C$1572+((CROQUIS_DATOS!$C$1477/2+IF(MOD($A60-1,4)&lt;2,-1,1)*(CROQUIS_DATOS!$C$1527/2-(CROQUIS_DATOS!$C$1530+CROQUIS_DATOS!$C$1532+IF(OR(INT(($A60-1)/4)+1=1,INT(($A60-1)/4)+1=CROQUIS_DATOS!$C$1525),CROQUIS_DATOS!$C$1534,CROQUIS_DATOS!$C$1531)/2))))*CROQUIS_DATOS!$C$1569*CROQUIS_DATOS!$C$1570),-1000),-1000)</f>
        <v>-1000</v>
      </c>
    </row>
    <row r="61">
      <c r="A61" t="n">
        <v>54</v>
      </c>
      <c r="J61">
        <f>IF(AND(CROQUIS_DATOS!$C$1472=1,1),(CROQUIS_DATOS!$C$1563+(CHOOSE(MIN(MAX(IF(INT(($A61-1)/4)+1&gt;CROQUIS_DATOS!$C$1525,4,MOD($A61-1,4)+1),1),4),(INDEX($E$8:$E$23,MIN(INT(($A61-1)/4)+1,CROQUIS_DATOS!$C$1525))-INDEX($F$8:$F$23,MIN(INT(($A61-1)/4)+1,CROQUIS_DATOS!$C$1525))/2),(INDEX($E$8:$E$23,MIN(INT(($A61-1)/4)+1,CROQUIS_DATOS!$C$1525))-INDEX($F$8:$F$23,MIN(INT(($A61-1)/4)+1,CROQUIS_DATOS!$C$1525))/2),(INDEX($E$8:$E$23,MIN(INT(($A61-1)/4)+1,CROQUIS_DATOS!$C$1525))+INDEX($F$8:$F$23,MIN(INT(($A61-1)/4)+1,CROQUIS_DATOS!$C$1525))/2),(INDEX($E$8:$E$23,MIN(INT(($A61-1)/4)+1,CROQUIS_DATOS!$C$1525))+INDEX($F$8:$F$23,MIN(INT(($A61-1)/4)+1,CROQUIS_DATOS!$C$1525))/2)))*CROQUIS_DATOS!$C$1562),-1000)</f>
        <v>84.9137931034483</v>
      </c>
      <c r="K61">
        <f>IF(AND(CROQUIS_DATOS!$C$1472=1,1),(CROQUIS_DATOS!$C$1564+(CHOOSE(MIN(MAX(IF(INT(($A61-1)/4)+1&gt;CROQUIS_DATOS!$C$1525,4,MOD($A61-1,4)+1),1),4),0,CROQUIS_DATOS!$C$1476,CROQUIS_DATOS!$C$1476,0))*CROQUIS_DATOS!$C$1561*CROQUIS_DATOS!$C$1562),-1000)</f>
        <v>5.29310344827586</v>
      </c>
      <c r="L61">
        <f>IF(AND(CROQUIS_DATOS!$C$1472=1,1),(CROQUIS_DATOS!$C$1563+(CHOOSE(MIN(MAX(IF(INT(($A61-1)/4)+1&gt;CROQUIS_DATOS!$C$1525,4,MOD($A61-1,4)+1),1),4),((INDEX($E$8:$E$23,MIN(INT(($A61-1)/4)+1,CROQUIS_DATOS!$C$1525))-INDEX($F$8:$F$23,MIN(INT(($A61-1)/4)+1,CROQUIS_DATOS!$C$1525))/2)+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,((INDEX($E$8:$E$23,MIN(INT(($A61-1)/4)+1,CROQUIS_DATOS!$C$1525))-INDEX($F$8:$F$23,MIN(INT(($A61-1)/4)+1,CROQUIS_DATOS!$C$1525))/2)+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,((INDEX($E$8:$E$23,MIN(INT(($A61-1)/4)+1,CROQUIS_DATOS!$C$1525))+INDEX($F$8:$F$23,MIN(INT(($A61-1)/4)+1,CROQUIS_DATOS!$C$1525))/2)-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,((INDEX($E$8:$E$23,MIN(INT(($A61-1)/4)+1,CROQUIS_DATOS!$C$1525))+INDEX($F$8:$F$23,MIN(INT(($A61-1)/4)+1,CROQUIS_DATOS!$C$1525))/2)-MIN((CROQUIS_DATOS!$C$1530+CROQUIS_DATOS!$C$1532+IF(OR(MIN(INT(($A61-1)/4)+1,CROQUIS_DATOS!$C$1525)=1,MIN(INT(($A61-1)/4)+1,CROQUIS_DATOS!$C$1525)=CROQUIS_DATOS!$C$1525),CROQUIS_DATOS!$C$1534,CROQUIS_DATOS!$C$1531)/2),INDEX($F$8:$F$23,MIN(INT(($A61-1)/4)+1,CROQUIS_DATOS!$C$1525))/2-0.5))))*CROQUIS_DATOS!$C$1562),-1000)</f>
        <v>84.4792560344828</v>
      </c>
      <c r="M61">
        <f>IF(AND(CROQUIS_DATOS!$C$1472=1,1),(CROQUIS_DATOS!$C$1564+(CHOOSE(MIN(MAX(IF(INT(($A61-1)/4)+1&gt;CROQUIS_DATOS!$C$1525,4,MOD($A61-1,4)+1),1),4),CROQUIS_DATOS!$C$1543,INDEX($I$8:$I$23,MIN(INT(($A61-1)/4)+1,CROQUIS_DATOS!$C$1525)),INDEX($I$8:$I$23,MIN(INT(($A61-1)/4)+1,CROQUIS_DATOS!$C$1525)),CROQUIS_DATOS!$C$1543))*CROQUIS_DATOS!$C$1561*CROQUIS_DATOS!$C$1562),-1000)</f>
        <v>42.5654629310345</v>
      </c>
      <c r="N61">
        <f>IF(AND(CROQUIS_DATOS!$C$1472=1,1),(CROQUIS_DATOS!$C$1563+(IF(IF(IF(INT(($A61-1)/70)+1&gt;CROQUIS_DATOS!$C$1525,70,MOD($A61-1,70)+1)=1,0,IF(IF(INT(($A61-1)/70)+1&gt;CROQUIS_DATOS!$C$1525,70,MOD($A61-1,70)+1)&gt;2*CROQUIS_DATOS!$C$1541+1,IF(MOD(CROQUIS_DATOS!$C$1541,2)=1,1,0),IF(MOD(MIN(INT((IF(INT(($A61-1)/70)+1&gt;CROQUIS_DATOS!$C$1525,70,MOD($A61-1,70)+1)-2)/2)+1,CROQUIS_DATOS!$C$1541),2)=1,IF(MOD(IF(INT(($A61-1)/70)+1&gt;CROQUIS_DATOS!$C$1525,70,MOD($A61-1,70)+1)-2,2)=0,0,1),IF(MOD(IF(INT(($A61-1)/70)+1&gt;CROQUIS_DATOS!$C$1525,70,MOD($A61-1,70)+1)-2,2)=0,1,0))))=0,(INDEX($E$8:$E$23,MIN(INT(($A61-1)/70)+1,CROQUIS_DATOS!$C$1525))-INDEX($F$8:$F$23,MIN(INT(($A61-1)/70)+1,CROQUIS_DATOS!$C$1525))/2),(INDEX($E$8:$E$23,MIN(INT(($A61-1)/70)+1,CROQUIS_DATOS!$C$1525))+INDEX($F$8:$F$23,MIN(INT(($A61-1)/70)+1,CROQUIS_DATOS!$C$1525))/2)))*CROQUIS_DATOS!$C$1562),-1000)</f>
        <v>15.0862068965517</v>
      </c>
      <c r="O61">
        <f>IF(AND(CROQUIS_DATOS!$C$1472=1,1),(CROQUIS_DATOS!$C$1564+(IF(OR(IF(INT(($A61-1)/70)+1&gt;CROQUIS_DATOS!$C$1525,70,MOD($A61-1,70)+1)=1,IF(INT(($A61-1)/70)+1&gt;CROQUIS_DATOS!$C$1525,70,MOD($A61-1,70)+1)&gt;2*CROQUIS_DATOS!$C$1541+1),CROQUIS_DATOS!$C$1476,INDEX($H$8:$H$41,MIN(INT((IF(INT(($A61-1)/70)+1&gt;CROQUIS_DATOS!$C$1525,70,MOD($A61-1,70)+1)-2)/2)+1,CROQUIS_DATOS!$C$1541))))*CROQUIS_DATOS!$C$1561*CROQUIS_DATOS!$C$1562),-1000)</f>
        <v>40.2068965517241</v>
      </c>
      <c r="P61">
        <f>IF(AND(CROQUIS_DATOS!$C$1472=1,CROQUIS_DATOS!$C$1555=1),(CROQUIS_DATOS!$C$1563+(IF(IF(OR(MOD($A61-1,62)+1=1,IF(CHOOSE(MIN(MAX(MIN(INT(($A61-1)/62)+1,5),1),5),CROQUIS_DATOS!$C$1501,CROQUIS_DATOS!$C$1505,CROQUIS_DATOS!$C$1509,CROQUIS_DATOS!$C$1513,CROQUIS_DATOS!$C$1517)=1,CROQUIS_DATOS!$C$1557,0)=0),0,IF(MOD($A61-1,62)+1&gt;2*IF(CHOOSE(MIN(MAX(MIN(INT(($A61-1)/62)+1,5),1),5),CROQUIS_DATOS!$C$1501,CROQUIS_DATOS!$C$1505,CROQUIS_DATOS!$C$1509,CROQUIS_DATOS!$C$1513,CROQUIS_DATOS!$C$1517)=1,CROQUIS_DATOS!$C$1557,0)+1,IF(MOD(IF(CHOOSE(MIN(MAX(MIN(INT(($A61-1)/62)+1,5),1),5),CROQUIS_DATOS!$C$1501,CROQUIS_DATOS!$C$1505,CROQUIS_DATOS!$C$1509,CROQUIS_DATOS!$C$1513,CROQUIS_DATOS!$C$1517)=1,CROQUIS_DATOS!$C$1557,0),2)=1,1,0),IF(MOD(MIN(INT((MOD($A61-1,62)+1-2)/2)+1,MAX(IF(CHOOSE(MIN(MAX(MIN(INT(($A61-1)/62)+1,5),1),5),CROQUIS_DATOS!$C$1501,CROQUIS_DATOS!$C$1505,CROQUIS_DATOS!$C$1509,CROQUIS_DATOS!$C$1513,CROQUIS_DATOS!$C$1517)=1,CROQUIS_DATOS!$C$1557,0),1)),2)=1,IF(MOD(MOD($A61-1,62)+1-2,2)=0,0,1),IF(MOD(MOD($A61-1,62)+1-2,2)=0,1,0))))=0,(CHOOSE(MIN(MAX(MIN(INT(($A61-1)/62)+1,5),1),5),CROQUIS_DATOS!$C$1499,CROQUIS_DATOS!$C$1503,CROQUIS_DATOS!$C$1507,CROQUIS_DATOS!$C$1511,CROQUIS_DATOS!$C$1515)+IF(CHOOSE(MIN(MAX(MIN(INT(($A61-1)/62)+1,5),1),5),CROQUIS_DATOS!$C$1501,CROQUIS_DATOS!$C$1505,CROQUIS_DATOS!$C$1509,CROQUIS_DATOS!$C$1513,CROQUIS_DATOS!$C$1517)=1,CROQUIS_DATOS!$C$1526,0)),(CHOOSE(MIN(MAX(MIN(INT(($A61-1)/62)+1,5),1),5),CROQUIS_DATOS!$C$1499,CROQUIS_DATOS!$C$1503,CROQUIS_DATOS!$C$1507,CROQUIS_DATOS!$C$1511,CROQUIS_DATOS!$C$1515)+CHOOSE(MIN(MAX(MIN(INT(($A61-1)/62)+1,5),1),5),CROQUIS_DATOS!$C$1500,CROQUIS_DATOS!$C$1504,CROQUIS_DATOS!$C$1508,CROQUIS_DATOS!$C$1512,CROQUIS_DATOS!$C$1516)-IF(CHOOSE(MIN(MAX(MIN(INT(($A61-1)/62)+1,5),1),5),CROQUIS_DATOS!$C$1501,CROQUIS_DATOS!$C$1505,CROQUIS_DATOS!$C$1509,CROQUIS_DATOS!$C$1513,CROQUIS_DATOS!$C$1517)=1,CROQUIS_DATOS!$C$1526,0))))*CROQUIS_DATOS!$C$1562),-1000)</f>
        <v>-1000</v>
      </c>
      <c r="Q61">
        <f>IF(AND(CROQUIS_DATOS!$C$1472=1,CROQUIS_DATOS!$C$1555=1),(CROQUIS_DATOS!$C$1564+(IF(OR(OR(MOD($A61-1,62)+1=1,IF(CHOOSE(MIN(MAX(MIN(INT(($A61-1)/62)+1,5),1),5),CROQUIS_DATOS!$C$1501,CROQUIS_DATOS!$C$1505,CROQUIS_DATOS!$C$1509,CROQUIS_DATOS!$C$1513,CROQUIS_DATOS!$C$1517)=1,CROQUIS_DATOS!$C$1557,0)=0),MOD($A61-1,62)+1&gt;2*IF(CHOOSE(MIN(MAX(MIN(INT(($A61-1)/62)+1,5),1),5),CROQUIS_DATOS!$C$1501,CROQUIS_DATOS!$C$1505,CROQUIS_DATOS!$C$1509,CROQUIS_DATOS!$C$1513,CROQUIS_DATOS!$C$1517)=1,CROQUIS_DATOS!$C$1557,0)+1),CROQUIS_DATOS!$C$1476,MIN(INT((MOD($A61-1,62)+1-2)/2)+1,MAX(IF(CHOOSE(MIN(MAX(MIN(INT(($A61-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1">
        <f>IF(AND(CROQUIS_DATOS!$C$1472=1,1),(CROQUIS_DATOS!$C$1563+(MIN(INT(($A61-1)/2)+1,CROQUIS_DATOS!$C$1558)*CROQUIS_DATOS!$C$1559)*CROQUIS_DATOS!$C$1562),-1000)</f>
        <v>82.2281167108753</v>
      </c>
      <c r="U61">
        <f>IF(AND(CROQUIS_DATOS!$C$1472=1,1),(CROQUIS_DATOS!$C$1564+(IF(INT(($A61-1)/2)+1&gt;CROQUIS_DATOS!$C$1558,IF(MOD(CROQUIS_DATOS!$C$1558,2)=1,CROQUIS_DATOS!$C$1476+CROQUIS_DATOS!$C$1528,CROQUIS_DATOS!$C$1476),IF(IF(MOD(MIN(INT(($A61-1)/2)+1,CROQUIS_DATOS!$C$1558),2)=1,MOD($A61-1,2),1-MOD($A61-1,2))=1,CROQUIS_DATOS!$C$1476+CROQUIS_DATOS!$C$1528,CROQUIS_DATOS!$C$1476)))*CROQUIS_DATOS!$C$1561*CROQUIS_DATOS!$C$1562),-1000)</f>
        <v>43</v>
      </c>
      <c r="BZ61">
        <f>IF(AND(CROQUIS_DATOS!$C$1472=1,CROQUIS_DATOS!$C$1500&gt;0,((CROQUIS_DATOS!$C$1499+CROQUIS_DATOS!$C$1500))-(CROQUIS_DATOS!$C$1499)&gt;0.5,(CROQUIS_DATOS!$C$1476)-(0)&gt;0.5),(CROQUIS_DATOS!$C$1566+(IF(IF(MOD(MIN(INT(($A61-1)/2)+1,MAX(1,INT(((((CROQUIS_DATOS!$C$1499+CROQUIS_DATOS!$C$1500))-(CROQUIS_DATOS!$C$1499))+((CROQUIS_DATOS!$C$1476)*CROQUIS_DATOS!$C$1561-(0)*CROQUIS_DATOS!$C$1561))/CROQUIS_DATOS!$C$1568-0.000001))),2)=1,IF(INT(($A61-1)/2)+1&gt;MAX(1,INT(((((CROQUIS_DATOS!$C$1499+CROQUIS_DATOS!$C$1500))-(CROQUIS_DATOS!$C$1499))+((CROQUIS_DATOS!$C$1476)*CROQUIS_DATOS!$C$1561-(0)*CROQUIS_DATOS!$C$1561))/CROQUIS_DATOS!$C$1568-0.000001)),1,MOD($A61-1,2)),1-IF(INT(($A61-1)/2)+1&gt;MAX(1,INT(((((CROQUIS_DATOS!$C$1499+CROQUIS_DATOS!$C$1500))-(CROQUIS_DATOS!$C$1499))+((CROQUIS_DATOS!$C$1476)*CROQUIS_DATOS!$C$1561-(0)*CROQUIS_DATOS!$C$1561))/CROQUIS_DATOS!$C$1568-0.000001)),1,MOD($A61-1,2)))=1,MIN((CROQUIS_DATOS!$C$1476)*CROQUIS_DATOS!$C$1561,((CROQUIS_DATOS!$C$1499+CROQUIS_DATOS!$C$1500)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1">
        <f>IF(AND(CROQUIS_DATOS!$C$1472=1,CROQUIS_DATOS!$C$1500&gt;0,((CROQUIS_DATOS!$C$1499+CROQUIS_DATOS!$C$1500))-(CROQUIS_DATOS!$C$1499)&gt;0.5,(CROQUIS_DATOS!$C$1476)-(0)&gt;0.5),(CROQUIS_DATOS!$C$1567+(IF(IF(MOD(MIN(INT(($A61-1)/2)+1,MAX(1,INT(((((CROQUIS_DATOS!$C$1499+CROQUIS_DATOS!$C$1500))-(CROQUIS_DATOS!$C$1499))+((CROQUIS_DATOS!$C$1476)*CROQUIS_DATOS!$C$1561-(0)*CROQUIS_DATOS!$C$1561))/CROQUIS_DATOS!$C$1568-0.000001))),2)=1,IF(INT(($A61-1)/2)+1&gt;MAX(1,INT(((((CROQUIS_DATOS!$C$1499+CROQUIS_DATOS!$C$1500))-(CROQUIS_DATOS!$C$1499))+((CROQUIS_DATOS!$C$1476)*CROQUIS_DATOS!$C$1561-(0)*CROQUIS_DATOS!$C$1561))/CROQUIS_DATOS!$C$1568-0.000001)),1,MOD($A61-1,2)),1-IF(INT(($A61-1)/2)+1&gt;MAX(1,INT(((((CROQUIS_DATOS!$C$1499+CROQUIS_DATOS!$C$1500))-(CROQUIS_DATOS!$C$1499))+((CROQUIS_DATOS!$C$1476)*CROQUIS_DATOS!$C$1561-(0)*CROQUIS_DATOS!$C$1561))/CROQUIS_DATOS!$C$1568-0.000001)),1,MOD($A61-1,2)))=1,MIN((CROQUIS_DATOS!$C$1476)*CROQUIS_DATOS!$C$1561,((CROQUIS_DATOS!$C$1499+CROQUIS_DATOS!$C$1500)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1">
        <f>IF(AND(CROQUIS_DATOS!$C$1472=1,CROQUIS_DATOS!$C$1504&gt;0,((CROQUIS_DATOS!$C$1503+CROQUIS_DATOS!$C$1504))-(CROQUIS_DATOS!$C$1503)&gt;0.5,(CROQUIS_DATOS!$C$1476)-(0)&gt;0.5),(CROQUIS_DATOS!$C$1566+(IF(IF(MOD(MIN(INT(($A61-1)/2)+1,MAX(1,INT(((((CROQUIS_DATOS!$C$1503+CROQUIS_DATOS!$C$1504))-(CROQUIS_DATOS!$C$1503))+((CROQUIS_DATOS!$C$1476)*CROQUIS_DATOS!$C$1561-(0)*CROQUIS_DATOS!$C$1561))/CROQUIS_DATOS!$C$1568-0.000001))),2)=1,IF(INT(($A61-1)/2)+1&gt;MAX(1,INT(((((CROQUIS_DATOS!$C$1503+CROQUIS_DATOS!$C$1504))-(CROQUIS_DATOS!$C$1503))+((CROQUIS_DATOS!$C$1476)*CROQUIS_DATOS!$C$1561-(0)*CROQUIS_DATOS!$C$1561))/CROQUIS_DATOS!$C$1568-0.000001)),1,MOD($A61-1,2)),1-IF(INT(($A61-1)/2)+1&gt;MAX(1,INT(((((CROQUIS_DATOS!$C$1503+CROQUIS_DATOS!$C$1504))-(CROQUIS_DATOS!$C$1503))+((CROQUIS_DATOS!$C$1476)*CROQUIS_DATOS!$C$1561-(0)*CROQUIS_DATOS!$C$1561))/CROQUIS_DATOS!$C$1568-0.000001)),1,MOD($A61-1,2)))=1,MIN((CROQUIS_DATOS!$C$1476)*CROQUIS_DATOS!$C$1561,((CROQUIS_DATOS!$C$1503+CROQUIS_DATOS!$C$1504)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1">
        <f>IF(AND(CROQUIS_DATOS!$C$1472=1,CROQUIS_DATOS!$C$1504&gt;0,((CROQUIS_DATOS!$C$1503+CROQUIS_DATOS!$C$1504))-(CROQUIS_DATOS!$C$1503)&gt;0.5,(CROQUIS_DATOS!$C$1476)-(0)&gt;0.5),(CROQUIS_DATOS!$C$1567+(IF(IF(MOD(MIN(INT(($A61-1)/2)+1,MAX(1,INT(((((CROQUIS_DATOS!$C$1503+CROQUIS_DATOS!$C$1504))-(CROQUIS_DATOS!$C$1503))+((CROQUIS_DATOS!$C$1476)*CROQUIS_DATOS!$C$1561-(0)*CROQUIS_DATOS!$C$1561))/CROQUIS_DATOS!$C$1568-0.000001))),2)=1,IF(INT(($A61-1)/2)+1&gt;MAX(1,INT(((((CROQUIS_DATOS!$C$1503+CROQUIS_DATOS!$C$1504))-(CROQUIS_DATOS!$C$1503))+((CROQUIS_DATOS!$C$1476)*CROQUIS_DATOS!$C$1561-(0)*CROQUIS_DATOS!$C$1561))/CROQUIS_DATOS!$C$1568-0.000001)),1,MOD($A61-1,2)),1-IF(INT(($A61-1)/2)+1&gt;MAX(1,INT(((((CROQUIS_DATOS!$C$1503+CROQUIS_DATOS!$C$1504))-(CROQUIS_DATOS!$C$1503))+((CROQUIS_DATOS!$C$1476)*CROQUIS_DATOS!$C$1561-(0)*CROQUIS_DATOS!$C$1561))/CROQUIS_DATOS!$C$1568-0.000001)),1,MOD($A61-1,2)))=1,MIN((CROQUIS_DATOS!$C$1476)*CROQUIS_DATOS!$C$1561,((CROQUIS_DATOS!$C$1503+CROQUIS_DATOS!$C$1504)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1">
        <f>IF(AND(CROQUIS_DATOS!$C$1472=1,CROQUIS_DATOS!$C$1508&gt;0,((CROQUIS_DATOS!$C$1507+CROQUIS_DATOS!$C$1508))-(CROQUIS_DATOS!$C$1507)&gt;0.5,(CROQUIS_DATOS!$C$1476)-(0)&gt;0.5),(CROQUIS_DATOS!$C$1566+(IF(IF(MOD(MIN(INT(($A61-1)/2)+1,MAX(1,INT(((((CROQUIS_DATOS!$C$1507+CROQUIS_DATOS!$C$1508))-(CROQUIS_DATOS!$C$1507))+((CROQUIS_DATOS!$C$1476)*CROQUIS_DATOS!$C$1561-(0)*CROQUIS_DATOS!$C$1561))/CROQUIS_DATOS!$C$1568-0.000001))),2)=1,IF(INT(($A61-1)/2)+1&gt;MAX(1,INT(((((CROQUIS_DATOS!$C$1507+CROQUIS_DATOS!$C$1508))-(CROQUIS_DATOS!$C$1507))+((CROQUIS_DATOS!$C$1476)*CROQUIS_DATOS!$C$1561-(0)*CROQUIS_DATOS!$C$1561))/CROQUIS_DATOS!$C$1568-0.000001)),1,MOD($A61-1,2)),1-IF(INT(($A61-1)/2)+1&gt;MAX(1,INT(((((CROQUIS_DATOS!$C$1507+CROQUIS_DATOS!$C$1508))-(CROQUIS_DATOS!$C$1507))+((CROQUIS_DATOS!$C$1476)*CROQUIS_DATOS!$C$1561-(0)*CROQUIS_DATOS!$C$1561))/CROQUIS_DATOS!$C$1568-0.000001)),1,MOD($A61-1,2)))=1,MIN((CROQUIS_DATOS!$C$1476)*CROQUIS_DATOS!$C$1561,((CROQUIS_DATOS!$C$1507+CROQUIS_DATOS!$C$1508)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1">
        <f>IF(AND(CROQUIS_DATOS!$C$1472=1,CROQUIS_DATOS!$C$1508&gt;0,((CROQUIS_DATOS!$C$1507+CROQUIS_DATOS!$C$1508))-(CROQUIS_DATOS!$C$1507)&gt;0.5,(CROQUIS_DATOS!$C$1476)-(0)&gt;0.5),(CROQUIS_DATOS!$C$1567+(IF(IF(MOD(MIN(INT(($A61-1)/2)+1,MAX(1,INT(((((CROQUIS_DATOS!$C$1507+CROQUIS_DATOS!$C$1508))-(CROQUIS_DATOS!$C$1507))+((CROQUIS_DATOS!$C$1476)*CROQUIS_DATOS!$C$1561-(0)*CROQUIS_DATOS!$C$1561))/CROQUIS_DATOS!$C$1568-0.000001))),2)=1,IF(INT(($A61-1)/2)+1&gt;MAX(1,INT(((((CROQUIS_DATOS!$C$1507+CROQUIS_DATOS!$C$1508))-(CROQUIS_DATOS!$C$1507))+((CROQUIS_DATOS!$C$1476)*CROQUIS_DATOS!$C$1561-(0)*CROQUIS_DATOS!$C$1561))/CROQUIS_DATOS!$C$1568-0.000001)),1,MOD($A61-1,2)),1-IF(INT(($A61-1)/2)+1&gt;MAX(1,INT(((((CROQUIS_DATOS!$C$1507+CROQUIS_DATOS!$C$1508))-(CROQUIS_DATOS!$C$1507))+((CROQUIS_DATOS!$C$1476)*CROQUIS_DATOS!$C$1561-(0)*CROQUIS_DATOS!$C$1561))/CROQUIS_DATOS!$C$1568-0.000001)),1,MOD($A61-1,2)))=1,MIN((CROQUIS_DATOS!$C$1476)*CROQUIS_DATOS!$C$1561,((CROQUIS_DATOS!$C$1507+CROQUIS_DATOS!$C$1508)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1">
        <f>IF(AND(CROQUIS_DATOS!$C$1472=1,CROQUIS_DATOS!$C$1512&gt;0,((CROQUIS_DATOS!$C$1511+CROQUIS_DATOS!$C$1512))-(CROQUIS_DATOS!$C$1511)&gt;0.5,(CROQUIS_DATOS!$C$1476)-(0)&gt;0.5),(CROQUIS_DATOS!$C$1566+(IF(IF(MOD(MIN(INT(($A61-1)/2)+1,MAX(1,INT(((((CROQUIS_DATOS!$C$1511+CROQUIS_DATOS!$C$1512))-(CROQUIS_DATOS!$C$1511))+((CROQUIS_DATOS!$C$1476)*CROQUIS_DATOS!$C$1561-(0)*CROQUIS_DATOS!$C$1561))/CROQUIS_DATOS!$C$1568-0.000001))),2)=1,IF(INT(($A61-1)/2)+1&gt;MAX(1,INT(((((CROQUIS_DATOS!$C$1511+CROQUIS_DATOS!$C$1512))-(CROQUIS_DATOS!$C$1511))+((CROQUIS_DATOS!$C$1476)*CROQUIS_DATOS!$C$1561-(0)*CROQUIS_DATOS!$C$1561))/CROQUIS_DATOS!$C$1568-0.000001)),1,MOD($A61-1,2)),1-IF(INT(($A61-1)/2)+1&gt;MAX(1,INT(((((CROQUIS_DATOS!$C$1511+CROQUIS_DATOS!$C$1512))-(CROQUIS_DATOS!$C$1511))+((CROQUIS_DATOS!$C$1476)*CROQUIS_DATOS!$C$1561-(0)*CROQUIS_DATOS!$C$1561))/CROQUIS_DATOS!$C$1568-0.000001)),1,MOD($A61-1,2)))=1,MIN((CROQUIS_DATOS!$C$1476)*CROQUIS_DATOS!$C$1561,((CROQUIS_DATOS!$C$1511+CROQUIS_DATOS!$C$1512)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1">
        <f>IF(AND(CROQUIS_DATOS!$C$1472=1,CROQUIS_DATOS!$C$1512&gt;0,((CROQUIS_DATOS!$C$1511+CROQUIS_DATOS!$C$1512))-(CROQUIS_DATOS!$C$1511)&gt;0.5,(CROQUIS_DATOS!$C$1476)-(0)&gt;0.5),(CROQUIS_DATOS!$C$1567+(IF(IF(MOD(MIN(INT(($A61-1)/2)+1,MAX(1,INT(((((CROQUIS_DATOS!$C$1511+CROQUIS_DATOS!$C$1512))-(CROQUIS_DATOS!$C$1511))+((CROQUIS_DATOS!$C$1476)*CROQUIS_DATOS!$C$1561-(0)*CROQUIS_DATOS!$C$1561))/CROQUIS_DATOS!$C$1568-0.000001))),2)=1,IF(INT(($A61-1)/2)+1&gt;MAX(1,INT(((((CROQUIS_DATOS!$C$1511+CROQUIS_DATOS!$C$1512))-(CROQUIS_DATOS!$C$1511))+((CROQUIS_DATOS!$C$1476)*CROQUIS_DATOS!$C$1561-(0)*CROQUIS_DATOS!$C$1561))/CROQUIS_DATOS!$C$1568-0.000001)),1,MOD($A61-1,2)),1-IF(INT(($A61-1)/2)+1&gt;MAX(1,INT(((((CROQUIS_DATOS!$C$1511+CROQUIS_DATOS!$C$1512))-(CROQUIS_DATOS!$C$1511))+((CROQUIS_DATOS!$C$1476)*CROQUIS_DATOS!$C$1561-(0)*CROQUIS_DATOS!$C$1561))/CROQUIS_DATOS!$C$1568-0.000001)),1,MOD($A61-1,2)))=1,MIN((CROQUIS_DATOS!$C$1476)*CROQUIS_DATOS!$C$1561,((CROQUIS_DATOS!$C$1511+CROQUIS_DATOS!$C$1512)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1">
        <f>IF(AND(CROQUIS_DATOS!$C$1472=1,CROQUIS_DATOS!$C$1516&gt;0,((CROQUIS_DATOS!$C$1515+CROQUIS_DATOS!$C$1516))-(CROQUIS_DATOS!$C$1515)&gt;0.5,(CROQUIS_DATOS!$C$1476)-(0)&gt;0.5),(CROQUIS_DATOS!$C$1566+(IF(IF(MOD(MIN(INT(($A61-1)/2)+1,MAX(1,INT(((((CROQUIS_DATOS!$C$1515+CROQUIS_DATOS!$C$1516))-(CROQUIS_DATOS!$C$1515))+((CROQUIS_DATOS!$C$1476)*CROQUIS_DATOS!$C$1561-(0)*CROQUIS_DATOS!$C$1561))/CROQUIS_DATOS!$C$1568-0.000001))),2)=1,IF(INT(($A61-1)/2)+1&gt;MAX(1,INT(((((CROQUIS_DATOS!$C$1515+CROQUIS_DATOS!$C$1516))-(CROQUIS_DATOS!$C$1515))+((CROQUIS_DATOS!$C$1476)*CROQUIS_DATOS!$C$1561-(0)*CROQUIS_DATOS!$C$1561))/CROQUIS_DATOS!$C$1568-0.000001)),1,MOD($A61-1,2)),1-IF(INT(($A61-1)/2)+1&gt;MAX(1,INT(((((CROQUIS_DATOS!$C$1515+CROQUIS_DATOS!$C$1516))-(CROQUIS_DATOS!$C$1515))+((CROQUIS_DATOS!$C$1476)*CROQUIS_DATOS!$C$1561-(0)*CROQUIS_DATOS!$C$1561))/CROQUIS_DATOS!$C$1568-0.000001)),1,MOD($A61-1,2)))=1,MIN((CROQUIS_DATOS!$C$1476)*CROQUIS_DATOS!$C$1561,((CROQUIS_DATOS!$C$1515+CROQUIS_DATOS!$C$1516)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1">
        <f>IF(AND(CROQUIS_DATOS!$C$1472=1,CROQUIS_DATOS!$C$1516&gt;0,((CROQUIS_DATOS!$C$1515+CROQUIS_DATOS!$C$1516))-(CROQUIS_DATOS!$C$1515)&gt;0.5,(CROQUIS_DATOS!$C$1476)-(0)&gt;0.5),(CROQUIS_DATOS!$C$1567+(IF(IF(MOD(MIN(INT(($A61-1)/2)+1,MAX(1,INT(((((CROQUIS_DATOS!$C$1515+CROQUIS_DATOS!$C$1516))-(CROQUIS_DATOS!$C$1515))+((CROQUIS_DATOS!$C$1476)*CROQUIS_DATOS!$C$1561-(0)*CROQUIS_DATOS!$C$1561))/CROQUIS_DATOS!$C$1568-0.000001))),2)=1,IF(INT(($A61-1)/2)+1&gt;MAX(1,INT(((((CROQUIS_DATOS!$C$1515+CROQUIS_DATOS!$C$1516))-(CROQUIS_DATOS!$C$1515))+((CROQUIS_DATOS!$C$1476)*CROQUIS_DATOS!$C$1561-(0)*CROQUIS_DATOS!$C$1561))/CROQUIS_DATOS!$C$1568-0.000001)),1,MOD($A61-1,2)),1-IF(INT(($A61-1)/2)+1&gt;MAX(1,INT(((((CROQUIS_DATOS!$C$1515+CROQUIS_DATOS!$C$1516))-(CROQUIS_DATOS!$C$1515))+((CROQUIS_DATOS!$C$1476)*CROQUIS_DATOS!$C$1561-(0)*CROQUIS_DATOS!$C$1561))/CROQUIS_DATOS!$C$1568-0.000001)),1,MOD($A61-1,2)))=1,MIN((CROQUIS_DATOS!$C$1476)*CROQUIS_DATOS!$C$1561,((CROQUIS_DATOS!$C$1515+CROQUIS_DATOS!$C$1516)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1">
        <f>IF(AND(CROQUIS_DATOS!$C$1472=1,CROQUIS_DATOS!$C$1478&gt;=1,((CROQUIS_DATOS!$C$1479+CROQUIS_DATOS!$C$1480))-(CROQUIS_DATOS!$C$1479)&gt;0.5,(CROQUIS_DATOS!$C$1481)-(0)&gt;0.5),(CROQUIS_DATOS!$C$1566+(IF(IF(MOD(MIN(INT(($A61-1)/2)+1,MAX(1,INT(((((CROQUIS_DATOS!$C$1479+CROQUIS_DATOS!$C$1480))-(CROQUIS_DATOS!$C$1479))+((CROQUIS_DATOS!$C$1481)*CROQUIS_DATOS!$C$1561-(0)*CROQUIS_DATOS!$C$1561))/CROQUIS_DATOS!$C$1568-0.000001))),2)=1,IF(INT(($A61-1)/2)+1&gt;MAX(1,INT(((((CROQUIS_DATOS!$C$1479+CROQUIS_DATOS!$C$1480))-(CROQUIS_DATOS!$C$1479))+((CROQUIS_DATOS!$C$1481)*CROQUIS_DATOS!$C$1561-(0)*CROQUIS_DATOS!$C$1561))/CROQUIS_DATOS!$C$1568-0.000001)),1,MOD($A61-1,2)),1-IF(INT(($A61-1)/2)+1&gt;MAX(1,INT(((((CROQUIS_DATOS!$C$1479+CROQUIS_DATOS!$C$1480))-(CROQUIS_DATOS!$C$1479))+((CROQUIS_DATOS!$C$1481)*CROQUIS_DATOS!$C$1561-(0)*CROQUIS_DATOS!$C$1561))/CROQUIS_DATOS!$C$1568-0.000001)),1,MOD($A61-1,2)))=1,MIN((CROQUIS_DATOS!$C$1481)*CROQUIS_DATOS!$C$1561,((CROQUIS_DATOS!$C$1479+CROQUIS_DATOS!$C$1480)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1">
        <f>IF(AND(CROQUIS_DATOS!$C$1472=1,CROQUIS_DATOS!$C$1478&gt;=1,((CROQUIS_DATOS!$C$1479+CROQUIS_DATOS!$C$1480))-(CROQUIS_DATOS!$C$1479)&gt;0.5,(CROQUIS_DATOS!$C$1481)-(0)&gt;0.5),(CROQUIS_DATOS!$C$1567+(IF(IF(MOD(MIN(INT(($A61-1)/2)+1,MAX(1,INT(((((CROQUIS_DATOS!$C$1479+CROQUIS_DATOS!$C$1480))-(CROQUIS_DATOS!$C$1479))+((CROQUIS_DATOS!$C$1481)*CROQUIS_DATOS!$C$1561-(0)*CROQUIS_DATOS!$C$1561))/CROQUIS_DATOS!$C$1568-0.000001))),2)=1,IF(INT(($A61-1)/2)+1&gt;MAX(1,INT(((((CROQUIS_DATOS!$C$1479+CROQUIS_DATOS!$C$1480))-(CROQUIS_DATOS!$C$1479))+((CROQUIS_DATOS!$C$1481)*CROQUIS_DATOS!$C$1561-(0)*CROQUIS_DATOS!$C$1561))/CROQUIS_DATOS!$C$1568-0.000001)),1,MOD($A61-1,2)),1-IF(INT(($A61-1)/2)+1&gt;MAX(1,INT(((((CROQUIS_DATOS!$C$1479+CROQUIS_DATOS!$C$1480))-(CROQUIS_DATOS!$C$1479))+((CROQUIS_DATOS!$C$1481)*CROQUIS_DATOS!$C$1561-(0)*CROQUIS_DATOS!$C$1561))/CROQUIS_DATOS!$C$1568-0.000001)),1,MOD($A61-1,2)))=1,MIN((CROQUIS_DATOS!$C$1481)*CROQUIS_DATOS!$C$1561,((CROQUIS_DATOS!$C$1479+CROQUIS_DATOS!$C$1480)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1">
        <f>IF(AND(CROQUIS_DATOS!$C$1472=1,CROQUIS_DATOS!$C$1478&gt;=1,((CROQUIS_DATOS!$C$1479+CROQUIS_DATOS!$C$1480))-(CROQUIS_DATOS!$C$1479)&gt;0.5,(CROQUIS_DATOS!$C$1476)-((CROQUIS_DATOS!$C$1481+CROQUIS_DATOS!$C$1482))&gt;0.5),(CROQUIS_DATOS!$C$1566+(IF(IF(MOD(MIN(INT(($A61-1)/2)+1,MAX(1,INT(((((CROQUIS_DATOS!$C$1479+CROQUIS_DATOS!$C$1480))-(CROQUIS_DATOS!$C$1479))+((CROQUIS_DATOS!$C$1476)*CROQUIS_DATOS!$C$1561-((CROQUIS_DATOS!$C$1481+CROQUIS_DATOS!$C$1482))*CROQUIS_DATOS!$C$1561))/CROQUIS_DATOS!$C$1568-0.000001))),2)=1,IF(INT(($A61-1)/2)+1&gt;MAX(1,INT(((((CROQUIS_DATOS!$C$1479+CROQUIS_DATOS!$C$1480))-(CROQUIS_DATOS!$C$1479))+((CROQUIS_DATOS!$C$1476)*CROQUIS_DATOS!$C$1561-((CROQUIS_DATOS!$C$1481+CROQUIS_DATOS!$C$1482))*CROQUIS_DATOS!$C$1561))/CROQUIS_DATOS!$C$1568-0.000001)),1,MOD($A61-1,2)),1-IF(INT(($A61-1)/2)+1&gt;MAX(1,INT(((((CROQUIS_DATOS!$C$1479+CROQUIS_DATOS!$C$1480))-(CROQUIS_DATOS!$C$1479))+((CROQUIS_DATOS!$C$1476)*CROQUIS_DATOS!$C$1561-((CROQUIS_DATOS!$C$1481+CROQUIS_DATOS!$C$1482))*CROQUIS_DATOS!$C$1561))/CROQUIS_DATOS!$C$1568-0.000001)),1,MOD($A61-1,2)))=1,MIN((CROQUIS_DATOS!$C$1476)*CROQUIS_DATOS!$C$1561,((CROQUIS_DATOS!$C$1479+CROQUIS_DATOS!$C$1480)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1">
        <f>IF(AND(CROQUIS_DATOS!$C$1472=1,CROQUIS_DATOS!$C$1478&gt;=1,((CROQUIS_DATOS!$C$1479+CROQUIS_DATOS!$C$1480))-(CROQUIS_DATOS!$C$1479)&gt;0.5,(CROQUIS_DATOS!$C$1476)-((CROQUIS_DATOS!$C$1481+CROQUIS_DATOS!$C$1482))&gt;0.5),(CROQUIS_DATOS!$C$1567+(IF(IF(MOD(MIN(INT(($A61-1)/2)+1,MAX(1,INT(((((CROQUIS_DATOS!$C$1479+CROQUIS_DATOS!$C$1480))-(CROQUIS_DATOS!$C$1479))+((CROQUIS_DATOS!$C$1476)*CROQUIS_DATOS!$C$1561-((CROQUIS_DATOS!$C$1481+CROQUIS_DATOS!$C$1482))*CROQUIS_DATOS!$C$1561))/CROQUIS_DATOS!$C$1568-0.000001))),2)=1,IF(INT(($A61-1)/2)+1&gt;MAX(1,INT(((((CROQUIS_DATOS!$C$1479+CROQUIS_DATOS!$C$1480))-(CROQUIS_DATOS!$C$1479))+((CROQUIS_DATOS!$C$1476)*CROQUIS_DATOS!$C$1561-((CROQUIS_DATOS!$C$1481+CROQUIS_DATOS!$C$1482))*CROQUIS_DATOS!$C$1561))/CROQUIS_DATOS!$C$1568-0.000001)),1,MOD($A61-1,2)),1-IF(INT(($A61-1)/2)+1&gt;MAX(1,INT(((((CROQUIS_DATOS!$C$1479+CROQUIS_DATOS!$C$1480))-(CROQUIS_DATOS!$C$1479))+((CROQUIS_DATOS!$C$1476)*CROQUIS_DATOS!$C$1561-((CROQUIS_DATOS!$C$1481+CROQUIS_DATOS!$C$1482))*CROQUIS_DATOS!$C$1561))/CROQUIS_DATOS!$C$1568-0.000001)),1,MOD($A61-1,2)))=1,MIN((CROQUIS_DATOS!$C$1476)*CROQUIS_DATOS!$C$1561,((CROQUIS_DATOS!$C$1479+CROQUIS_DATOS!$C$1480)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1">
        <f>IF(AND(CROQUIS_DATOS!$C$1472=1,CROQUIS_DATOS!$C$1478&gt;=2,((CROQUIS_DATOS!$C$1484+CROQUIS_DATOS!$C$1485))-(CROQUIS_DATOS!$C$1484)&gt;0.5,(CROQUIS_DATOS!$C$1486)-(0)&gt;0.5),(CROQUIS_DATOS!$C$1566+(IF(IF(MOD(MIN(INT(($A61-1)/2)+1,MAX(1,INT(((((CROQUIS_DATOS!$C$1484+CROQUIS_DATOS!$C$1485))-(CROQUIS_DATOS!$C$1484))+((CROQUIS_DATOS!$C$1486)*CROQUIS_DATOS!$C$1561-(0)*CROQUIS_DATOS!$C$1561))/CROQUIS_DATOS!$C$1568-0.000001))),2)=1,IF(INT(($A61-1)/2)+1&gt;MAX(1,INT(((((CROQUIS_DATOS!$C$1484+CROQUIS_DATOS!$C$1485))-(CROQUIS_DATOS!$C$1484))+((CROQUIS_DATOS!$C$1486)*CROQUIS_DATOS!$C$1561-(0)*CROQUIS_DATOS!$C$1561))/CROQUIS_DATOS!$C$1568-0.000001)),1,MOD($A61-1,2)),1-IF(INT(($A61-1)/2)+1&gt;MAX(1,INT(((((CROQUIS_DATOS!$C$1484+CROQUIS_DATOS!$C$1485))-(CROQUIS_DATOS!$C$1484))+((CROQUIS_DATOS!$C$1486)*CROQUIS_DATOS!$C$1561-(0)*CROQUIS_DATOS!$C$1561))/CROQUIS_DATOS!$C$1568-0.000001)),1,MOD($A61-1,2)))=1,MIN((CROQUIS_DATOS!$C$1486)*CROQUIS_DATOS!$C$1561,((CROQUIS_DATOS!$C$1484+CROQUIS_DATOS!$C$1485)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1">
        <f>IF(AND(CROQUIS_DATOS!$C$1472=1,CROQUIS_DATOS!$C$1478&gt;=2,((CROQUIS_DATOS!$C$1484+CROQUIS_DATOS!$C$1485))-(CROQUIS_DATOS!$C$1484)&gt;0.5,(CROQUIS_DATOS!$C$1486)-(0)&gt;0.5),(CROQUIS_DATOS!$C$1567+(IF(IF(MOD(MIN(INT(($A61-1)/2)+1,MAX(1,INT(((((CROQUIS_DATOS!$C$1484+CROQUIS_DATOS!$C$1485))-(CROQUIS_DATOS!$C$1484))+((CROQUIS_DATOS!$C$1486)*CROQUIS_DATOS!$C$1561-(0)*CROQUIS_DATOS!$C$1561))/CROQUIS_DATOS!$C$1568-0.000001))),2)=1,IF(INT(($A61-1)/2)+1&gt;MAX(1,INT(((((CROQUIS_DATOS!$C$1484+CROQUIS_DATOS!$C$1485))-(CROQUIS_DATOS!$C$1484))+((CROQUIS_DATOS!$C$1486)*CROQUIS_DATOS!$C$1561-(0)*CROQUIS_DATOS!$C$1561))/CROQUIS_DATOS!$C$1568-0.000001)),1,MOD($A61-1,2)),1-IF(INT(($A61-1)/2)+1&gt;MAX(1,INT(((((CROQUIS_DATOS!$C$1484+CROQUIS_DATOS!$C$1485))-(CROQUIS_DATOS!$C$1484))+((CROQUIS_DATOS!$C$1486)*CROQUIS_DATOS!$C$1561-(0)*CROQUIS_DATOS!$C$1561))/CROQUIS_DATOS!$C$1568-0.000001)),1,MOD($A61-1,2)))=1,MIN((CROQUIS_DATOS!$C$1486)*CROQUIS_DATOS!$C$1561,((CROQUIS_DATOS!$C$1484+CROQUIS_DATOS!$C$1485)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1">
        <f>IF(AND(CROQUIS_DATOS!$C$1472=1,CROQUIS_DATOS!$C$1478&gt;=2,((CROQUIS_DATOS!$C$1484+CROQUIS_DATOS!$C$1485))-(CROQUIS_DATOS!$C$1484)&gt;0.5,(CROQUIS_DATOS!$C$1476)-((CROQUIS_DATOS!$C$1486+CROQUIS_DATOS!$C$1487))&gt;0.5),(CROQUIS_DATOS!$C$1566+(IF(IF(MOD(MIN(INT(($A61-1)/2)+1,MAX(1,INT(((((CROQUIS_DATOS!$C$1484+CROQUIS_DATOS!$C$1485))-(CROQUIS_DATOS!$C$1484))+((CROQUIS_DATOS!$C$1476)*CROQUIS_DATOS!$C$1561-((CROQUIS_DATOS!$C$1486+CROQUIS_DATOS!$C$1487))*CROQUIS_DATOS!$C$1561))/CROQUIS_DATOS!$C$1568-0.000001))),2)=1,IF(INT(($A61-1)/2)+1&gt;MAX(1,INT(((((CROQUIS_DATOS!$C$1484+CROQUIS_DATOS!$C$1485))-(CROQUIS_DATOS!$C$1484))+((CROQUIS_DATOS!$C$1476)*CROQUIS_DATOS!$C$1561-((CROQUIS_DATOS!$C$1486+CROQUIS_DATOS!$C$1487))*CROQUIS_DATOS!$C$1561))/CROQUIS_DATOS!$C$1568-0.000001)),1,MOD($A61-1,2)),1-IF(INT(($A61-1)/2)+1&gt;MAX(1,INT(((((CROQUIS_DATOS!$C$1484+CROQUIS_DATOS!$C$1485))-(CROQUIS_DATOS!$C$1484))+((CROQUIS_DATOS!$C$1476)*CROQUIS_DATOS!$C$1561-((CROQUIS_DATOS!$C$1486+CROQUIS_DATOS!$C$1487))*CROQUIS_DATOS!$C$1561))/CROQUIS_DATOS!$C$1568-0.000001)),1,MOD($A61-1,2)))=1,MIN((CROQUIS_DATOS!$C$1476)*CROQUIS_DATOS!$C$1561,((CROQUIS_DATOS!$C$1484+CROQUIS_DATOS!$C$1485)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1">
        <f>IF(AND(CROQUIS_DATOS!$C$1472=1,CROQUIS_DATOS!$C$1478&gt;=2,((CROQUIS_DATOS!$C$1484+CROQUIS_DATOS!$C$1485))-(CROQUIS_DATOS!$C$1484)&gt;0.5,(CROQUIS_DATOS!$C$1476)-((CROQUIS_DATOS!$C$1486+CROQUIS_DATOS!$C$1487))&gt;0.5),(CROQUIS_DATOS!$C$1567+(IF(IF(MOD(MIN(INT(($A61-1)/2)+1,MAX(1,INT(((((CROQUIS_DATOS!$C$1484+CROQUIS_DATOS!$C$1485))-(CROQUIS_DATOS!$C$1484))+((CROQUIS_DATOS!$C$1476)*CROQUIS_DATOS!$C$1561-((CROQUIS_DATOS!$C$1486+CROQUIS_DATOS!$C$1487))*CROQUIS_DATOS!$C$1561))/CROQUIS_DATOS!$C$1568-0.000001))),2)=1,IF(INT(($A61-1)/2)+1&gt;MAX(1,INT(((((CROQUIS_DATOS!$C$1484+CROQUIS_DATOS!$C$1485))-(CROQUIS_DATOS!$C$1484))+((CROQUIS_DATOS!$C$1476)*CROQUIS_DATOS!$C$1561-((CROQUIS_DATOS!$C$1486+CROQUIS_DATOS!$C$1487))*CROQUIS_DATOS!$C$1561))/CROQUIS_DATOS!$C$1568-0.000001)),1,MOD($A61-1,2)),1-IF(INT(($A61-1)/2)+1&gt;MAX(1,INT(((((CROQUIS_DATOS!$C$1484+CROQUIS_DATOS!$C$1485))-(CROQUIS_DATOS!$C$1484))+((CROQUIS_DATOS!$C$1476)*CROQUIS_DATOS!$C$1561-((CROQUIS_DATOS!$C$1486+CROQUIS_DATOS!$C$1487))*CROQUIS_DATOS!$C$1561))/CROQUIS_DATOS!$C$1568-0.000001)),1,MOD($A61-1,2)))=1,MIN((CROQUIS_DATOS!$C$1476)*CROQUIS_DATOS!$C$1561,((CROQUIS_DATOS!$C$1484+CROQUIS_DATOS!$C$1485)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1">
        <f>IF(AND(CROQUIS_DATOS!$C$1472=1,CROQUIS_DATOS!$C$1478&gt;=3,((CROQUIS_DATOS!$C$1489+CROQUIS_DATOS!$C$1490))-(CROQUIS_DATOS!$C$1489)&gt;0.5,(CROQUIS_DATOS!$C$1491)-(0)&gt;0.5),(CROQUIS_DATOS!$C$1566+(IF(IF(MOD(MIN(INT(($A61-1)/2)+1,MAX(1,INT(((((CROQUIS_DATOS!$C$1489+CROQUIS_DATOS!$C$1490))-(CROQUIS_DATOS!$C$1489))+((CROQUIS_DATOS!$C$1491)*CROQUIS_DATOS!$C$1561-(0)*CROQUIS_DATOS!$C$1561))/CROQUIS_DATOS!$C$1568-0.000001))),2)=1,IF(INT(($A61-1)/2)+1&gt;MAX(1,INT(((((CROQUIS_DATOS!$C$1489+CROQUIS_DATOS!$C$1490))-(CROQUIS_DATOS!$C$1489))+((CROQUIS_DATOS!$C$1491)*CROQUIS_DATOS!$C$1561-(0)*CROQUIS_DATOS!$C$1561))/CROQUIS_DATOS!$C$1568-0.000001)),1,MOD($A61-1,2)),1-IF(INT(($A61-1)/2)+1&gt;MAX(1,INT(((((CROQUIS_DATOS!$C$1489+CROQUIS_DATOS!$C$1490))-(CROQUIS_DATOS!$C$1489))+((CROQUIS_DATOS!$C$1491)*CROQUIS_DATOS!$C$1561-(0)*CROQUIS_DATOS!$C$1561))/CROQUIS_DATOS!$C$1568-0.000001)),1,MOD($A61-1,2)))=1,MIN((CROQUIS_DATOS!$C$1491)*CROQUIS_DATOS!$C$1561,((CROQUIS_DATOS!$C$1489+CROQUIS_DATOS!$C$1490)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1">
        <f>IF(AND(CROQUIS_DATOS!$C$1472=1,CROQUIS_DATOS!$C$1478&gt;=3,((CROQUIS_DATOS!$C$1489+CROQUIS_DATOS!$C$1490))-(CROQUIS_DATOS!$C$1489)&gt;0.5,(CROQUIS_DATOS!$C$1491)-(0)&gt;0.5),(CROQUIS_DATOS!$C$1567+(IF(IF(MOD(MIN(INT(($A61-1)/2)+1,MAX(1,INT(((((CROQUIS_DATOS!$C$1489+CROQUIS_DATOS!$C$1490))-(CROQUIS_DATOS!$C$1489))+((CROQUIS_DATOS!$C$1491)*CROQUIS_DATOS!$C$1561-(0)*CROQUIS_DATOS!$C$1561))/CROQUIS_DATOS!$C$1568-0.000001))),2)=1,IF(INT(($A61-1)/2)+1&gt;MAX(1,INT(((((CROQUIS_DATOS!$C$1489+CROQUIS_DATOS!$C$1490))-(CROQUIS_DATOS!$C$1489))+((CROQUIS_DATOS!$C$1491)*CROQUIS_DATOS!$C$1561-(0)*CROQUIS_DATOS!$C$1561))/CROQUIS_DATOS!$C$1568-0.000001)),1,MOD($A61-1,2)),1-IF(INT(($A61-1)/2)+1&gt;MAX(1,INT(((((CROQUIS_DATOS!$C$1489+CROQUIS_DATOS!$C$1490))-(CROQUIS_DATOS!$C$1489))+((CROQUIS_DATOS!$C$1491)*CROQUIS_DATOS!$C$1561-(0)*CROQUIS_DATOS!$C$1561))/CROQUIS_DATOS!$C$1568-0.000001)),1,MOD($A61-1,2)))=1,MIN((CROQUIS_DATOS!$C$1491)*CROQUIS_DATOS!$C$1561,((CROQUIS_DATOS!$C$1489+CROQUIS_DATOS!$C$1490)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1">
        <f>IF(AND(CROQUIS_DATOS!$C$1472=1,CROQUIS_DATOS!$C$1478&gt;=3,((CROQUIS_DATOS!$C$1489+CROQUIS_DATOS!$C$1490))-(CROQUIS_DATOS!$C$1489)&gt;0.5,(CROQUIS_DATOS!$C$1476)-((CROQUIS_DATOS!$C$1491+CROQUIS_DATOS!$C$1492))&gt;0.5),(CROQUIS_DATOS!$C$1566+(IF(IF(MOD(MIN(INT(($A61-1)/2)+1,MAX(1,INT(((((CROQUIS_DATOS!$C$1489+CROQUIS_DATOS!$C$1490))-(CROQUIS_DATOS!$C$1489))+((CROQUIS_DATOS!$C$1476)*CROQUIS_DATOS!$C$1561-((CROQUIS_DATOS!$C$1491+CROQUIS_DATOS!$C$1492))*CROQUIS_DATOS!$C$1561))/CROQUIS_DATOS!$C$1568-0.000001))),2)=1,IF(INT(($A61-1)/2)+1&gt;MAX(1,INT(((((CROQUIS_DATOS!$C$1489+CROQUIS_DATOS!$C$1490))-(CROQUIS_DATOS!$C$1489))+((CROQUIS_DATOS!$C$1476)*CROQUIS_DATOS!$C$1561-((CROQUIS_DATOS!$C$1491+CROQUIS_DATOS!$C$1492))*CROQUIS_DATOS!$C$1561))/CROQUIS_DATOS!$C$1568-0.000001)),1,MOD($A61-1,2)),1-IF(INT(($A61-1)/2)+1&gt;MAX(1,INT(((((CROQUIS_DATOS!$C$1489+CROQUIS_DATOS!$C$1490))-(CROQUIS_DATOS!$C$1489))+((CROQUIS_DATOS!$C$1476)*CROQUIS_DATOS!$C$1561-((CROQUIS_DATOS!$C$1491+CROQUIS_DATOS!$C$1492))*CROQUIS_DATOS!$C$1561))/CROQUIS_DATOS!$C$1568-0.000001)),1,MOD($A61-1,2)))=1,MIN((CROQUIS_DATOS!$C$1476)*CROQUIS_DATOS!$C$1561,((CROQUIS_DATOS!$C$1489+CROQUIS_DATOS!$C$1490)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1">
        <f>IF(AND(CROQUIS_DATOS!$C$1472=1,CROQUIS_DATOS!$C$1478&gt;=3,((CROQUIS_DATOS!$C$1489+CROQUIS_DATOS!$C$1490))-(CROQUIS_DATOS!$C$1489)&gt;0.5,(CROQUIS_DATOS!$C$1476)-((CROQUIS_DATOS!$C$1491+CROQUIS_DATOS!$C$1492))&gt;0.5),(CROQUIS_DATOS!$C$1567+(IF(IF(MOD(MIN(INT(($A61-1)/2)+1,MAX(1,INT(((((CROQUIS_DATOS!$C$1489+CROQUIS_DATOS!$C$1490))-(CROQUIS_DATOS!$C$1489))+((CROQUIS_DATOS!$C$1476)*CROQUIS_DATOS!$C$1561-((CROQUIS_DATOS!$C$1491+CROQUIS_DATOS!$C$1492))*CROQUIS_DATOS!$C$1561))/CROQUIS_DATOS!$C$1568-0.000001))),2)=1,IF(INT(($A61-1)/2)+1&gt;MAX(1,INT(((((CROQUIS_DATOS!$C$1489+CROQUIS_DATOS!$C$1490))-(CROQUIS_DATOS!$C$1489))+((CROQUIS_DATOS!$C$1476)*CROQUIS_DATOS!$C$1561-((CROQUIS_DATOS!$C$1491+CROQUIS_DATOS!$C$1492))*CROQUIS_DATOS!$C$1561))/CROQUIS_DATOS!$C$1568-0.000001)),1,MOD($A61-1,2)),1-IF(INT(($A61-1)/2)+1&gt;MAX(1,INT(((((CROQUIS_DATOS!$C$1489+CROQUIS_DATOS!$C$1490))-(CROQUIS_DATOS!$C$1489))+((CROQUIS_DATOS!$C$1476)*CROQUIS_DATOS!$C$1561-((CROQUIS_DATOS!$C$1491+CROQUIS_DATOS!$C$1492))*CROQUIS_DATOS!$C$1561))/CROQUIS_DATOS!$C$1568-0.000001)),1,MOD($A61-1,2)))=1,MIN((CROQUIS_DATOS!$C$1476)*CROQUIS_DATOS!$C$1561,((CROQUIS_DATOS!$C$1489+CROQUIS_DATOS!$C$1490)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1">
        <f>IF(AND(CROQUIS_DATOS!$C$1472=1,CROQUIS_DATOS!$C$1478&gt;=4,((CROQUIS_DATOS!$C$1494+CROQUIS_DATOS!$C$1495))-(CROQUIS_DATOS!$C$1494)&gt;0.5,(CROQUIS_DATOS!$C$1496)-(0)&gt;0.5),(CROQUIS_DATOS!$C$1566+(IF(IF(MOD(MIN(INT(($A61-1)/2)+1,MAX(1,INT(((((CROQUIS_DATOS!$C$1494+CROQUIS_DATOS!$C$1495))-(CROQUIS_DATOS!$C$1494))+((CROQUIS_DATOS!$C$1496)*CROQUIS_DATOS!$C$1561-(0)*CROQUIS_DATOS!$C$1561))/CROQUIS_DATOS!$C$1568-0.000001))),2)=1,IF(INT(($A61-1)/2)+1&gt;MAX(1,INT(((((CROQUIS_DATOS!$C$1494+CROQUIS_DATOS!$C$1495))-(CROQUIS_DATOS!$C$1494))+((CROQUIS_DATOS!$C$1496)*CROQUIS_DATOS!$C$1561-(0)*CROQUIS_DATOS!$C$1561))/CROQUIS_DATOS!$C$1568-0.000001)),1,MOD($A61-1,2)),1-IF(INT(($A61-1)/2)+1&gt;MAX(1,INT(((((CROQUIS_DATOS!$C$1494+CROQUIS_DATOS!$C$1495))-(CROQUIS_DATOS!$C$1494))+((CROQUIS_DATOS!$C$1496)*CROQUIS_DATOS!$C$1561-(0)*CROQUIS_DATOS!$C$1561))/CROQUIS_DATOS!$C$1568-0.000001)),1,MOD($A61-1,2)))=1,MIN((CROQUIS_DATOS!$C$1496)*CROQUIS_DATOS!$C$1561,((CROQUIS_DATOS!$C$1494+CROQUIS_DATOS!$C$1495)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1">
        <f>IF(AND(CROQUIS_DATOS!$C$1472=1,CROQUIS_DATOS!$C$1478&gt;=4,((CROQUIS_DATOS!$C$1494+CROQUIS_DATOS!$C$1495))-(CROQUIS_DATOS!$C$1494)&gt;0.5,(CROQUIS_DATOS!$C$1496)-(0)&gt;0.5),(CROQUIS_DATOS!$C$1567+(IF(IF(MOD(MIN(INT(($A61-1)/2)+1,MAX(1,INT(((((CROQUIS_DATOS!$C$1494+CROQUIS_DATOS!$C$1495))-(CROQUIS_DATOS!$C$1494))+((CROQUIS_DATOS!$C$1496)*CROQUIS_DATOS!$C$1561-(0)*CROQUIS_DATOS!$C$1561))/CROQUIS_DATOS!$C$1568-0.000001))),2)=1,IF(INT(($A61-1)/2)+1&gt;MAX(1,INT(((((CROQUIS_DATOS!$C$1494+CROQUIS_DATOS!$C$1495))-(CROQUIS_DATOS!$C$1494))+((CROQUIS_DATOS!$C$1496)*CROQUIS_DATOS!$C$1561-(0)*CROQUIS_DATOS!$C$1561))/CROQUIS_DATOS!$C$1568-0.000001)),1,MOD($A61-1,2)),1-IF(INT(($A61-1)/2)+1&gt;MAX(1,INT(((((CROQUIS_DATOS!$C$1494+CROQUIS_DATOS!$C$1495))-(CROQUIS_DATOS!$C$1494))+((CROQUIS_DATOS!$C$1496)*CROQUIS_DATOS!$C$1561-(0)*CROQUIS_DATOS!$C$1561))/CROQUIS_DATOS!$C$1568-0.000001)),1,MOD($A61-1,2)))=1,MIN((CROQUIS_DATOS!$C$1496)*CROQUIS_DATOS!$C$1561,((CROQUIS_DATOS!$C$1494+CROQUIS_DATOS!$C$1495)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1">
        <f>IF(AND(CROQUIS_DATOS!$C$1472=1,CROQUIS_DATOS!$C$1478&gt;=4,((CROQUIS_DATOS!$C$1494+CROQUIS_DATOS!$C$1495))-(CROQUIS_DATOS!$C$1494)&gt;0.5,(CROQUIS_DATOS!$C$1476)-((CROQUIS_DATOS!$C$1496+CROQUIS_DATOS!$C$1497))&gt;0.5),(CROQUIS_DATOS!$C$1566+(IF(IF(MOD(MIN(INT(($A61-1)/2)+1,MAX(1,INT(((((CROQUIS_DATOS!$C$1494+CROQUIS_DATOS!$C$1495))-(CROQUIS_DATOS!$C$1494))+((CROQUIS_DATOS!$C$1476)*CROQUIS_DATOS!$C$1561-((CROQUIS_DATOS!$C$1496+CROQUIS_DATOS!$C$1497))*CROQUIS_DATOS!$C$1561))/CROQUIS_DATOS!$C$1568-0.000001))),2)=1,IF(INT(($A61-1)/2)+1&gt;MAX(1,INT(((((CROQUIS_DATOS!$C$1494+CROQUIS_DATOS!$C$1495))-(CROQUIS_DATOS!$C$1494))+((CROQUIS_DATOS!$C$1476)*CROQUIS_DATOS!$C$1561-((CROQUIS_DATOS!$C$1496+CROQUIS_DATOS!$C$1497))*CROQUIS_DATOS!$C$1561))/CROQUIS_DATOS!$C$1568-0.000001)),1,MOD($A61-1,2)),1-IF(INT(($A61-1)/2)+1&gt;MAX(1,INT(((((CROQUIS_DATOS!$C$1494+CROQUIS_DATOS!$C$1495))-(CROQUIS_DATOS!$C$1494))+((CROQUIS_DATOS!$C$1476)*CROQUIS_DATOS!$C$1561-((CROQUIS_DATOS!$C$1496+CROQUIS_DATOS!$C$1497))*CROQUIS_DATOS!$C$1561))/CROQUIS_DATOS!$C$1568-0.000001)),1,MOD($A61-1,2)))=1,MIN((CROQUIS_DATOS!$C$1476)*CROQUIS_DATOS!$C$1561,((CROQUIS_DATOS!$C$1494+CROQUIS_DATOS!$C$1495)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1">
        <f>IF(AND(CROQUIS_DATOS!$C$1472=1,CROQUIS_DATOS!$C$1478&gt;=4,((CROQUIS_DATOS!$C$1494+CROQUIS_DATOS!$C$1495))-(CROQUIS_DATOS!$C$1494)&gt;0.5,(CROQUIS_DATOS!$C$1476)-((CROQUIS_DATOS!$C$1496+CROQUIS_DATOS!$C$1497))&gt;0.5),(CROQUIS_DATOS!$C$1567+(IF(IF(MOD(MIN(INT(($A61-1)/2)+1,MAX(1,INT(((((CROQUIS_DATOS!$C$1494+CROQUIS_DATOS!$C$1495))-(CROQUIS_DATOS!$C$1494))+((CROQUIS_DATOS!$C$1476)*CROQUIS_DATOS!$C$1561-((CROQUIS_DATOS!$C$1496+CROQUIS_DATOS!$C$1497))*CROQUIS_DATOS!$C$1561))/CROQUIS_DATOS!$C$1568-0.000001))),2)=1,IF(INT(($A61-1)/2)+1&gt;MAX(1,INT(((((CROQUIS_DATOS!$C$1494+CROQUIS_DATOS!$C$1495))-(CROQUIS_DATOS!$C$1494))+((CROQUIS_DATOS!$C$1476)*CROQUIS_DATOS!$C$1561-((CROQUIS_DATOS!$C$1496+CROQUIS_DATOS!$C$1497))*CROQUIS_DATOS!$C$1561))/CROQUIS_DATOS!$C$1568-0.000001)),1,MOD($A61-1,2)),1-IF(INT(($A61-1)/2)+1&gt;MAX(1,INT(((((CROQUIS_DATOS!$C$1494+CROQUIS_DATOS!$C$1495))-(CROQUIS_DATOS!$C$1494))+((CROQUIS_DATOS!$C$1476)*CROQUIS_DATOS!$C$1561-((CROQUIS_DATOS!$C$1496+CROQUIS_DATOS!$C$1497))*CROQUIS_DATOS!$C$1561))/CROQUIS_DATOS!$C$1568-0.000001)),1,MOD($A61-1,2)))=1,MIN((CROQUIS_DATOS!$C$1476)*CROQUIS_DATOS!$C$1561,((CROQUIS_DATOS!$C$1494+CROQUIS_DATOS!$C$1495)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1">
        <f>IF(AND(CROQUIS_DATOS!$C$1472=1,1),(CROQUIS_DATOS!$C$1571+(CHOOSE(MIN(MAX(IF(INT(($A61-1)/5)+1&gt;CROQUIS_DATOS!$C$1525,5,MOD($A61-1,5)+1),1),5),(INDEX($E$8:$E$23,MIN(INT(($A61-1)/5)+1,CROQUIS_DATOS!$C$1525))-INDEX($F$8:$F$23,MIN(INT(($A61-1)/5)+1,CROQUIS_DATOS!$C$1525))/2),(INDEX($E$8:$E$23,MIN(INT(($A61-1)/5)+1,CROQUIS_DATOS!$C$1525))+INDEX($F$8:$F$23,MIN(INT(($A61-1)/5)+1,CROQUIS_DATOS!$C$1525))/2),(INDEX($E$8:$E$23,MIN(INT(($A61-1)/5)+1,CROQUIS_DATOS!$C$1525))+INDEX($F$8:$F$23,MIN(INT(($A61-1)/5)+1,CROQUIS_DATOS!$C$1525))/2),(INDEX($E$8:$E$23,MIN(INT(($A61-1)/5)+1,CROQUIS_DATOS!$C$1525))-INDEX($F$8:$F$23,MIN(INT(($A61-1)/5)+1,CROQUIS_DATOS!$C$1525))/2),(INDEX($E$8:$E$23,MIN(INT(($A61-1)/5)+1,CROQUIS_DATOS!$C$1525))-INDEX($F$8:$F$23,MIN(INT(($A61-1)/5)+1,CROQUIS_DATOS!$C$1525))/2)))*CROQUIS_DATOS!$C$1569),-1000)</f>
        <v>95.24</v>
      </c>
      <c r="GE61">
        <f>IF(AND(CROQUIS_DATOS!$C$1472=1,1),(CROQUIS_DATOS!$C$1572+(CHOOSE(MIN(MAX(IF(INT(($A61-1)/5)+1&gt;CROQUIS_DATOS!$C$1525,5,MOD($A61-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1">
        <f>IF(AND(CROQUIS_DATOS!$C$1472=1,1),IF(INT(($A61-1)/4)+1&lt;=CROQUIS_DATOS!$C$1525,(CROQUIS_DATOS!$C$1571+((INDEX($E$8:$E$23,MIN(INT(($A61-1)/4)+1,16))+IF(OR(MOD($A61-1,4)=0,MOD($A61-1,4)=3),-1,1)*(INDEX($F$8:$F$23,MIN(INT(($A61-1)/4)+1,16))/2-(CROQUIS_DATOS!$C$1530+CROQUIS_DATOS!$C$1532+IF(OR(INT(($A61-1)/4)+1=1,INT(($A61-1)/4)+1=CROQUIS_DATOS!$C$1525),CROQUIS_DATOS!$C$1534,CROQUIS_DATOS!$C$1531)/2))))*CROQUIS_DATOS!$C$1569),-1000),-1000)</f>
        <v>-1000</v>
      </c>
      <c r="GG61">
        <f>IF(AND(CROQUIS_DATOS!$C$1472=1,1),IF(INT(($A61-1)/4)+1&lt;=CROQUIS_DATOS!$C$1525,(CROQUIS_DATOS!$C$1572+((CROQUIS_DATOS!$C$1477/2+IF(MOD($A61-1,4)&lt;2,-1,1)*(CROQUIS_DATOS!$C$1527/2-(CROQUIS_DATOS!$C$1530+CROQUIS_DATOS!$C$1532+IF(OR(INT(($A61-1)/4)+1=1,INT(($A61-1)/4)+1=CROQUIS_DATOS!$C$1525),CROQUIS_DATOS!$C$1534,CROQUIS_DATOS!$C$1531)/2))))*CROQUIS_DATOS!$C$1569*CROQUIS_DATOS!$C$1570),-1000),-1000)</f>
        <v>-1000</v>
      </c>
    </row>
    <row r="62">
      <c r="A62" t="n">
        <v>55</v>
      </c>
      <c r="J62">
        <f>IF(AND(CROQUIS_DATOS!$C$1472=1,1),(CROQUIS_DATOS!$C$1563+(CHOOSE(MIN(MAX(IF(INT(($A62-1)/4)+1&gt;CROQUIS_DATOS!$C$1525,4,MOD($A62-1,4)+1),1),4),(INDEX($E$8:$E$23,MIN(INT(($A62-1)/4)+1,CROQUIS_DATOS!$C$1525))-INDEX($F$8:$F$23,MIN(INT(($A62-1)/4)+1,CROQUIS_DATOS!$C$1525))/2),(INDEX($E$8:$E$23,MIN(INT(($A62-1)/4)+1,CROQUIS_DATOS!$C$1525))-INDEX($F$8:$F$23,MIN(INT(($A62-1)/4)+1,CROQUIS_DATOS!$C$1525))/2),(INDEX($E$8:$E$23,MIN(INT(($A62-1)/4)+1,CROQUIS_DATOS!$C$1525))+INDEX($F$8:$F$23,MIN(INT(($A62-1)/4)+1,CROQUIS_DATOS!$C$1525))/2),(INDEX($E$8:$E$23,MIN(INT(($A62-1)/4)+1,CROQUIS_DATOS!$C$1525))+INDEX($F$8:$F$23,MIN(INT(($A62-1)/4)+1,CROQUIS_DATOS!$C$1525))/2)))*CROQUIS_DATOS!$C$1562),-1000)</f>
        <v>84.9137931034483</v>
      </c>
      <c r="K62">
        <f>IF(AND(CROQUIS_DATOS!$C$1472=1,1),(CROQUIS_DATOS!$C$1564+(CHOOSE(MIN(MAX(IF(INT(($A62-1)/4)+1&gt;CROQUIS_DATOS!$C$1525,4,MOD($A62-1,4)+1),1),4),0,CROQUIS_DATOS!$C$1476,CROQUIS_DATOS!$C$1476,0))*CROQUIS_DATOS!$C$1561*CROQUIS_DATOS!$C$1562),-1000)</f>
        <v>5.29310344827586</v>
      </c>
      <c r="L62">
        <f>IF(AND(CROQUIS_DATOS!$C$1472=1,1),(CROQUIS_DATOS!$C$1563+(CHOOSE(MIN(MAX(IF(INT(($A62-1)/4)+1&gt;CROQUIS_DATOS!$C$1525,4,MOD($A62-1,4)+1),1),4),((INDEX($E$8:$E$23,MIN(INT(($A62-1)/4)+1,CROQUIS_DATOS!$C$1525))-INDEX($F$8:$F$23,MIN(INT(($A62-1)/4)+1,CROQUIS_DATOS!$C$1525))/2)+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,((INDEX($E$8:$E$23,MIN(INT(($A62-1)/4)+1,CROQUIS_DATOS!$C$1525))-INDEX($F$8:$F$23,MIN(INT(($A62-1)/4)+1,CROQUIS_DATOS!$C$1525))/2)+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,((INDEX($E$8:$E$23,MIN(INT(($A62-1)/4)+1,CROQUIS_DATOS!$C$1525))+INDEX($F$8:$F$23,MIN(INT(($A62-1)/4)+1,CROQUIS_DATOS!$C$1525))/2)-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,((INDEX($E$8:$E$23,MIN(INT(($A62-1)/4)+1,CROQUIS_DATOS!$C$1525))+INDEX($F$8:$F$23,MIN(INT(($A62-1)/4)+1,CROQUIS_DATOS!$C$1525))/2)-MIN((CROQUIS_DATOS!$C$1530+CROQUIS_DATOS!$C$1532+IF(OR(MIN(INT(($A62-1)/4)+1,CROQUIS_DATOS!$C$1525)=1,MIN(INT(($A62-1)/4)+1,CROQUIS_DATOS!$C$1525)=CROQUIS_DATOS!$C$1525),CROQUIS_DATOS!$C$1534,CROQUIS_DATOS!$C$1531)/2),INDEX($F$8:$F$23,MIN(INT(($A62-1)/4)+1,CROQUIS_DATOS!$C$1525))/2-0.5))))*CROQUIS_DATOS!$C$1562),-1000)</f>
        <v>84.4792560344828</v>
      </c>
      <c r="M62">
        <f>IF(AND(CROQUIS_DATOS!$C$1472=1,1),(CROQUIS_DATOS!$C$1564+(CHOOSE(MIN(MAX(IF(INT(($A62-1)/4)+1&gt;CROQUIS_DATOS!$C$1525,4,MOD($A62-1,4)+1),1),4),CROQUIS_DATOS!$C$1543,INDEX($I$8:$I$23,MIN(INT(($A62-1)/4)+1,CROQUIS_DATOS!$C$1525)),INDEX($I$8:$I$23,MIN(INT(($A62-1)/4)+1,CROQUIS_DATOS!$C$1525)),CROQUIS_DATOS!$C$1543))*CROQUIS_DATOS!$C$1561*CROQUIS_DATOS!$C$1562),-1000)</f>
        <v>42.5654629310345</v>
      </c>
      <c r="N62">
        <f>IF(AND(CROQUIS_DATOS!$C$1472=1,1),(CROQUIS_DATOS!$C$1563+(IF(IF(IF(INT(($A62-1)/70)+1&gt;CROQUIS_DATOS!$C$1525,70,MOD($A62-1,70)+1)=1,0,IF(IF(INT(($A62-1)/70)+1&gt;CROQUIS_DATOS!$C$1525,70,MOD($A62-1,70)+1)&gt;2*CROQUIS_DATOS!$C$1541+1,IF(MOD(CROQUIS_DATOS!$C$1541,2)=1,1,0),IF(MOD(MIN(INT((IF(INT(($A62-1)/70)+1&gt;CROQUIS_DATOS!$C$1525,70,MOD($A62-1,70)+1)-2)/2)+1,CROQUIS_DATOS!$C$1541),2)=1,IF(MOD(IF(INT(($A62-1)/70)+1&gt;CROQUIS_DATOS!$C$1525,70,MOD($A62-1,70)+1)-2,2)=0,0,1),IF(MOD(IF(INT(($A62-1)/70)+1&gt;CROQUIS_DATOS!$C$1525,70,MOD($A62-1,70)+1)-2,2)=0,1,0))))=0,(INDEX($E$8:$E$23,MIN(INT(($A62-1)/70)+1,CROQUIS_DATOS!$C$1525))-INDEX($F$8:$F$23,MIN(INT(($A62-1)/70)+1,CROQUIS_DATOS!$C$1525))/2),(INDEX($E$8:$E$23,MIN(INT(($A62-1)/70)+1,CROQUIS_DATOS!$C$1525))+INDEX($F$8:$F$23,MIN(INT(($A62-1)/70)+1,CROQUIS_DATOS!$C$1525))/2)))*CROQUIS_DATOS!$C$1562),-1000)</f>
        <v>15.0862068965517</v>
      </c>
      <c r="O62">
        <f>IF(AND(CROQUIS_DATOS!$C$1472=1,1),(CROQUIS_DATOS!$C$1564+(IF(OR(IF(INT(($A62-1)/70)+1&gt;CROQUIS_DATOS!$C$1525,70,MOD($A62-1,70)+1)=1,IF(INT(($A62-1)/70)+1&gt;CROQUIS_DATOS!$C$1525,70,MOD($A62-1,70)+1)&gt;2*CROQUIS_DATOS!$C$1541+1),CROQUIS_DATOS!$C$1476,INDEX($H$8:$H$41,MIN(INT((IF(INT(($A62-1)/70)+1&gt;CROQUIS_DATOS!$C$1525,70,MOD($A62-1,70)+1)-2)/2)+1,CROQUIS_DATOS!$C$1541))))*CROQUIS_DATOS!$C$1561*CROQUIS_DATOS!$C$1562),-1000)</f>
        <v>40.2068965517241</v>
      </c>
      <c r="P62">
        <f>IF(AND(CROQUIS_DATOS!$C$1472=1,CROQUIS_DATOS!$C$1555=1),(CROQUIS_DATOS!$C$1563+(IF(IF(OR(MOD($A62-1,62)+1=1,IF(CHOOSE(MIN(MAX(MIN(INT(($A62-1)/62)+1,5),1),5),CROQUIS_DATOS!$C$1501,CROQUIS_DATOS!$C$1505,CROQUIS_DATOS!$C$1509,CROQUIS_DATOS!$C$1513,CROQUIS_DATOS!$C$1517)=1,CROQUIS_DATOS!$C$1557,0)=0),0,IF(MOD($A62-1,62)+1&gt;2*IF(CHOOSE(MIN(MAX(MIN(INT(($A62-1)/62)+1,5),1),5),CROQUIS_DATOS!$C$1501,CROQUIS_DATOS!$C$1505,CROQUIS_DATOS!$C$1509,CROQUIS_DATOS!$C$1513,CROQUIS_DATOS!$C$1517)=1,CROQUIS_DATOS!$C$1557,0)+1,IF(MOD(IF(CHOOSE(MIN(MAX(MIN(INT(($A62-1)/62)+1,5),1),5),CROQUIS_DATOS!$C$1501,CROQUIS_DATOS!$C$1505,CROQUIS_DATOS!$C$1509,CROQUIS_DATOS!$C$1513,CROQUIS_DATOS!$C$1517)=1,CROQUIS_DATOS!$C$1557,0),2)=1,1,0),IF(MOD(MIN(INT((MOD($A62-1,62)+1-2)/2)+1,MAX(IF(CHOOSE(MIN(MAX(MIN(INT(($A62-1)/62)+1,5),1),5),CROQUIS_DATOS!$C$1501,CROQUIS_DATOS!$C$1505,CROQUIS_DATOS!$C$1509,CROQUIS_DATOS!$C$1513,CROQUIS_DATOS!$C$1517)=1,CROQUIS_DATOS!$C$1557,0),1)),2)=1,IF(MOD(MOD($A62-1,62)+1-2,2)=0,0,1),IF(MOD(MOD($A62-1,62)+1-2,2)=0,1,0))))=0,(CHOOSE(MIN(MAX(MIN(INT(($A62-1)/62)+1,5),1),5),CROQUIS_DATOS!$C$1499,CROQUIS_DATOS!$C$1503,CROQUIS_DATOS!$C$1507,CROQUIS_DATOS!$C$1511,CROQUIS_DATOS!$C$1515)+IF(CHOOSE(MIN(MAX(MIN(INT(($A62-1)/62)+1,5),1),5),CROQUIS_DATOS!$C$1501,CROQUIS_DATOS!$C$1505,CROQUIS_DATOS!$C$1509,CROQUIS_DATOS!$C$1513,CROQUIS_DATOS!$C$1517)=1,CROQUIS_DATOS!$C$1526,0)),(CHOOSE(MIN(MAX(MIN(INT(($A62-1)/62)+1,5),1),5),CROQUIS_DATOS!$C$1499,CROQUIS_DATOS!$C$1503,CROQUIS_DATOS!$C$1507,CROQUIS_DATOS!$C$1511,CROQUIS_DATOS!$C$1515)+CHOOSE(MIN(MAX(MIN(INT(($A62-1)/62)+1,5),1),5),CROQUIS_DATOS!$C$1500,CROQUIS_DATOS!$C$1504,CROQUIS_DATOS!$C$1508,CROQUIS_DATOS!$C$1512,CROQUIS_DATOS!$C$1516)-IF(CHOOSE(MIN(MAX(MIN(INT(($A62-1)/62)+1,5),1),5),CROQUIS_DATOS!$C$1501,CROQUIS_DATOS!$C$1505,CROQUIS_DATOS!$C$1509,CROQUIS_DATOS!$C$1513,CROQUIS_DATOS!$C$1517)=1,CROQUIS_DATOS!$C$1526,0))))*CROQUIS_DATOS!$C$1562),-1000)</f>
        <v>-1000</v>
      </c>
      <c r="Q62">
        <f>IF(AND(CROQUIS_DATOS!$C$1472=1,CROQUIS_DATOS!$C$1555=1),(CROQUIS_DATOS!$C$1564+(IF(OR(OR(MOD($A62-1,62)+1=1,IF(CHOOSE(MIN(MAX(MIN(INT(($A62-1)/62)+1,5),1),5),CROQUIS_DATOS!$C$1501,CROQUIS_DATOS!$C$1505,CROQUIS_DATOS!$C$1509,CROQUIS_DATOS!$C$1513,CROQUIS_DATOS!$C$1517)=1,CROQUIS_DATOS!$C$1557,0)=0),MOD($A62-1,62)+1&gt;2*IF(CHOOSE(MIN(MAX(MIN(INT(($A62-1)/62)+1,5),1),5),CROQUIS_DATOS!$C$1501,CROQUIS_DATOS!$C$1505,CROQUIS_DATOS!$C$1509,CROQUIS_DATOS!$C$1513,CROQUIS_DATOS!$C$1517)=1,CROQUIS_DATOS!$C$1557,0)+1),CROQUIS_DATOS!$C$1476,MIN(INT((MOD($A62-1,62)+1-2)/2)+1,MAX(IF(CHOOSE(MIN(MAX(MIN(INT(($A62-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2">
        <f>IF(AND(CROQUIS_DATOS!$C$1472=1,1),(CROQUIS_DATOS!$C$1563+(MIN(INT(($A62-1)/2)+1,CROQUIS_DATOS!$C$1558)*CROQUIS_DATOS!$C$1559)*CROQUIS_DATOS!$C$1562),-1000)</f>
        <v>82.2281167108753</v>
      </c>
      <c r="U62">
        <f>IF(AND(CROQUIS_DATOS!$C$1472=1,1),(CROQUIS_DATOS!$C$1564+(IF(INT(($A62-1)/2)+1&gt;CROQUIS_DATOS!$C$1558,IF(MOD(CROQUIS_DATOS!$C$1558,2)=1,CROQUIS_DATOS!$C$1476+CROQUIS_DATOS!$C$1528,CROQUIS_DATOS!$C$1476),IF(IF(MOD(MIN(INT(($A62-1)/2)+1,CROQUIS_DATOS!$C$1558),2)=1,MOD($A62-1,2),1-MOD($A62-1,2))=1,CROQUIS_DATOS!$C$1476+CROQUIS_DATOS!$C$1528,CROQUIS_DATOS!$C$1476)))*CROQUIS_DATOS!$C$1561*CROQUIS_DATOS!$C$1562),-1000)</f>
        <v>43</v>
      </c>
      <c r="BZ62">
        <f>IF(AND(CROQUIS_DATOS!$C$1472=1,CROQUIS_DATOS!$C$1500&gt;0,((CROQUIS_DATOS!$C$1499+CROQUIS_DATOS!$C$1500))-(CROQUIS_DATOS!$C$1499)&gt;0.5,(CROQUIS_DATOS!$C$1476)-(0)&gt;0.5),(CROQUIS_DATOS!$C$1566+(IF(IF(MOD(MIN(INT(($A62-1)/2)+1,MAX(1,INT(((((CROQUIS_DATOS!$C$1499+CROQUIS_DATOS!$C$1500))-(CROQUIS_DATOS!$C$1499))+((CROQUIS_DATOS!$C$1476)*CROQUIS_DATOS!$C$1561-(0)*CROQUIS_DATOS!$C$1561))/CROQUIS_DATOS!$C$1568-0.000001))),2)=1,IF(INT(($A62-1)/2)+1&gt;MAX(1,INT(((((CROQUIS_DATOS!$C$1499+CROQUIS_DATOS!$C$1500))-(CROQUIS_DATOS!$C$1499))+((CROQUIS_DATOS!$C$1476)*CROQUIS_DATOS!$C$1561-(0)*CROQUIS_DATOS!$C$1561))/CROQUIS_DATOS!$C$1568-0.000001)),1,MOD($A62-1,2)),1-IF(INT(($A62-1)/2)+1&gt;MAX(1,INT(((((CROQUIS_DATOS!$C$1499+CROQUIS_DATOS!$C$1500))-(CROQUIS_DATOS!$C$1499))+((CROQUIS_DATOS!$C$1476)*CROQUIS_DATOS!$C$1561-(0)*CROQUIS_DATOS!$C$1561))/CROQUIS_DATOS!$C$1568-0.000001)),1,MOD($A62-1,2)))=1,MIN((CROQUIS_DATOS!$C$1476)*CROQUIS_DATOS!$C$1561,((CROQUIS_DATOS!$C$1499+CROQUIS_DATOS!$C$1500)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2">
        <f>IF(AND(CROQUIS_DATOS!$C$1472=1,CROQUIS_DATOS!$C$1500&gt;0,((CROQUIS_DATOS!$C$1499+CROQUIS_DATOS!$C$1500))-(CROQUIS_DATOS!$C$1499)&gt;0.5,(CROQUIS_DATOS!$C$1476)-(0)&gt;0.5),(CROQUIS_DATOS!$C$1567+(IF(IF(MOD(MIN(INT(($A62-1)/2)+1,MAX(1,INT(((((CROQUIS_DATOS!$C$1499+CROQUIS_DATOS!$C$1500))-(CROQUIS_DATOS!$C$1499))+((CROQUIS_DATOS!$C$1476)*CROQUIS_DATOS!$C$1561-(0)*CROQUIS_DATOS!$C$1561))/CROQUIS_DATOS!$C$1568-0.000001))),2)=1,IF(INT(($A62-1)/2)+1&gt;MAX(1,INT(((((CROQUIS_DATOS!$C$1499+CROQUIS_DATOS!$C$1500))-(CROQUIS_DATOS!$C$1499))+((CROQUIS_DATOS!$C$1476)*CROQUIS_DATOS!$C$1561-(0)*CROQUIS_DATOS!$C$1561))/CROQUIS_DATOS!$C$1568-0.000001)),1,MOD($A62-1,2)),1-IF(INT(($A62-1)/2)+1&gt;MAX(1,INT(((((CROQUIS_DATOS!$C$1499+CROQUIS_DATOS!$C$1500))-(CROQUIS_DATOS!$C$1499))+((CROQUIS_DATOS!$C$1476)*CROQUIS_DATOS!$C$1561-(0)*CROQUIS_DATOS!$C$1561))/CROQUIS_DATOS!$C$1568-0.000001)),1,MOD($A62-1,2)))=1,MIN((CROQUIS_DATOS!$C$1476)*CROQUIS_DATOS!$C$1561,((CROQUIS_DATOS!$C$1499+CROQUIS_DATOS!$C$1500)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2">
        <f>IF(AND(CROQUIS_DATOS!$C$1472=1,CROQUIS_DATOS!$C$1504&gt;0,((CROQUIS_DATOS!$C$1503+CROQUIS_DATOS!$C$1504))-(CROQUIS_DATOS!$C$1503)&gt;0.5,(CROQUIS_DATOS!$C$1476)-(0)&gt;0.5),(CROQUIS_DATOS!$C$1566+(IF(IF(MOD(MIN(INT(($A62-1)/2)+1,MAX(1,INT(((((CROQUIS_DATOS!$C$1503+CROQUIS_DATOS!$C$1504))-(CROQUIS_DATOS!$C$1503))+((CROQUIS_DATOS!$C$1476)*CROQUIS_DATOS!$C$1561-(0)*CROQUIS_DATOS!$C$1561))/CROQUIS_DATOS!$C$1568-0.000001))),2)=1,IF(INT(($A62-1)/2)+1&gt;MAX(1,INT(((((CROQUIS_DATOS!$C$1503+CROQUIS_DATOS!$C$1504))-(CROQUIS_DATOS!$C$1503))+((CROQUIS_DATOS!$C$1476)*CROQUIS_DATOS!$C$1561-(0)*CROQUIS_DATOS!$C$1561))/CROQUIS_DATOS!$C$1568-0.000001)),1,MOD($A62-1,2)),1-IF(INT(($A62-1)/2)+1&gt;MAX(1,INT(((((CROQUIS_DATOS!$C$1503+CROQUIS_DATOS!$C$1504))-(CROQUIS_DATOS!$C$1503))+((CROQUIS_DATOS!$C$1476)*CROQUIS_DATOS!$C$1561-(0)*CROQUIS_DATOS!$C$1561))/CROQUIS_DATOS!$C$1568-0.000001)),1,MOD($A62-1,2)))=1,MIN((CROQUIS_DATOS!$C$1476)*CROQUIS_DATOS!$C$1561,((CROQUIS_DATOS!$C$1503+CROQUIS_DATOS!$C$1504)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2">
        <f>IF(AND(CROQUIS_DATOS!$C$1472=1,CROQUIS_DATOS!$C$1504&gt;0,((CROQUIS_DATOS!$C$1503+CROQUIS_DATOS!$C$1504))-(CROQUIS_DATOS!$C$1503)&gt;0.5,(CROQUIS_DATOS!$C$1476)-(0)&gt;0.5),(CROQUIS_DATOS!$C$1567+(IF(IF(MOD(MIN(INT(($A62-1)/2)+1,MAX(1,INT(((((CROQUIS_DATOS!$C$1503+CROQUIS_DATOS!$C$1504))-(CROQUIS_DATOS!$C$1503))+((CROQUIS_DATOS!$C$1476)*CROQUIS_DATOS!$C$1561-(0)*CROQUIS_DATOS!$C$1561))/CROQUIS_DATOS!$C$1568-0.000001))),2)=1,IF(INT(($A62-1)/2)+1&gt;MAX(1,INT(((((CROQUIS_DATOS!$C$1503+CROQUIS_DATOS!$C$1504))-(CROQUIS_DATOS!$C$1503))+((CROQUIS_DATOS!$C$1476)*CROQUIS_DATOS!$C$1561-(0)*CROQUIS_DATOS!$C$1561))/CROQUIS_DATOS!$C$1568-0.000001)),1,MOD($A62-1,2)),1-IF(INT(($A62-1)/2)+1&gt;MAX(1,INT(((((CROQUIS_DATOS!$C$1503+CROQUIS_DATOS!$C$1504))-(CROQUIS_DATOS!$C$1503))+((CROQUIS_DATOS!$C$1476)*CROQUIS_DATOS!$C$1561-(0)*CROQUIS_DATOS!$C$1561))/CROQUIS_DATOS!$C$1568-0.000001)),1,MOD($A62-1,2)))=1,MIN((CROQUIS_DATOS!$C$1476)*CROQUIS_DATOS!$C$1561,((CROQUIS_DATOS!$C$1503+CROQUIS_DATOS!$C$1504)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2">
        <f>IF(AND(CROQUIS_DATOS!$C$1472=1,CROQUIS_DATOS!$C$1508&gt;0,((CROQUIS_DATOS!$C$1507+CROQUIS_DATOS!$C$1508))-(CROQUIS_DATOS!$C$1507)&gt;0.5,(CROQUIS_DATOS!$C$1476)-(0)&gt;0.5),(CROQUIS_DATOS!$C$1566+(IF(IF(MOD(MIN(INT(($A62-1)/2)+1,MAX(1,INT(((((CROQUIS_DATOS!$C$1507+CROQUIS_DATOS!$C$1508))-(CROQUIS_DATOS!$C$1507))+((CROQUIS_DATOS!$C$1476)*CROQUIS_DATOS!$C$1561-(0)*CROQUIS_DATOS!$C$1561))/CROQUIS_DATOS!$C$1568-0.000001))),2)=1,IF(INT(($A62-1)/2)+1&gt;MAX(1,INT(((((CROQUIS_DATOS!$C$1507+CROQUIS_DATOS!$C$1508))-(CROQUIS_DATOS!$C$1507))+((CROQUIS_DATOS!$C$1476)*CROQUIS_DATOS!$C$1561-(0)*CROQUIS_DATOS!$C$1561))/CROQUIS_DATOS!$C$1568-0.000001)),1,MOD($A62-1,2)),1-IF(INT(($A62-1)/2)+1&gt;MAX(1,INT(((((CROQUIS_DATOS!$C$1507+CROQUIS_DATOS!$C$1508))-(CROQUIS_DATOS!$C$1507))+((CROQUIS_DATOS!$C$1476)*CROQUIS_DATOS!$C$1561-(0)*CROQUIS_DATOS!$C$1561))/CROQUIS_DATOS!$C$1568-0.000001)),1,MOD($A62-1,2)))=1,MIN((CROQUIS_DATOS!$C$1476)*CROQUIS_DATOS!$C$1561,((CROQUIS_DATOS!$C$1507+CROQUIS_DATOS!$C$1508)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2">
        <f>IF(AND(CROQUIS_DATOS!$C$1472=1,CROQUIS_DATOS!$C$1508&gt;0,((CROQUIS_DATOS!$C$1507+CROQUIS_DATOS!$C$1508))-(CROQUIS_DATOS!$C$1507)&gt;0.5,(CROQUIS_DATOS!$C$1476)-(0)&gt;0.5),(CROQUIS_DATOS!$C$1567+(IF(IF(MOD(MIN(INT(($A62-1)/2)+1,MAX(1,INT(((((CROQUIS_DATOS!$C$1507+CROQUIS_DATOS!$C$1508))-(CROQUIS_DATOS!$C$1507))+((CROQUIS_DATOS!$C$1476)*CROQUIS_DATOS!$C$1561-(0)*CROQUIS_DATOS!$C$1561))/CROQUIS_DATOS!$C$1568-0.000001))),2)=1,IF(INT(($A62-1)/2)+1&gt;MAX(1,INT(((((CROQUIS_DATOS!$C$1507+CROQUIS_DATOS!$C$1508))-(CROQUIS_DATOS!$C$1507))+((CROQUIS_DATOS!$C$1476)*CROQUIS_DATOS!$C$1561-(0)*CROQUIS_DATOS!$C$1561))/CROQUIS_DATOS!$C$1568-0.000001)),1,MOD($A62-1,2)),1-IF(INT(($A62-1)/2)+1&gt;MAX(1,INT(((((CROQUIS_DATOS!$C$1507+CROQUIS_DATOS!$C$1508))-(CROQUIS_DATOS!$C$1507))+((CROQUIS_DATOS!$C$1476)*CROQUIS_DATOS!$C$1561-(0)*CROQUIS_DATOS!$C$1561))/CROQUIS_DATOS!$C$1568-0.000001)),1,MOD($A62-1,2)))=1,MIN((CROQUIS_DATOS!$C$1476)*CROQUIS_DATOS!$C$1561,((CROQUIS_DATOS!$C$1507+CROQUIS_DATOS!$C$1508)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2">
        <f>IF(AND(CROQUIS_DATOS!$C$1472=1,CROQUIS_DATOS!$C$1512&gt;0,((CROQUIS_DATOS!$C$1511+CROQUIS_DATOS!$C$1512))-(CROQUIS_DATOS!$C$1511)&gt;0.5,(CROQUIS_DATOS!$C$1476)-(0)&gt;0.5),(CROQUIS_DATOS!$C$1566+(IF(IF(MOD(MIN(INT(($A62-1)/2)+1,MAX(1,INT(((((CROQUIS_DATOS!$C$1511+CROQUIS_DATOS!$C$1512))-(CROQUIS_DATOS!$C$1511))+((CROQUIS_DATOS!$C$1476)*CROQUIS_DATOS!$C$1561-(0)*CROQUIS_DATOS!$C$1561))/CROQUIS_DATOS!$C$1568-0.000001))),2)=1,IF(INT(($A62-1)/2)+1&gt;MAX(1,INT(((((CROQUIS_DATOS!$C$1511+CROQUIS_DATOS!$C$1512))-(CROQUIS_DATOS!$C$1511))+((CROQUIS_DATOS!$C$1476)*CROQUIS_DATOS!$C$1561-(0)*CROQUIS_DATOS!$C$1561))/CROQUIS_DATOS!$C$1568-0.000001)),1,MOD($A62-1,2)),1-IF(INT(($A62-1)/2)+1&gt;MAX(1,INT(((((CROQUIS_DATOS!$C$1511+CROQUIS_DATOS!$C$1512))-(CROQUIS_DATOS!$C$1511))+((CROQUIS_DATOS!$C$1476)*CROQUIS_DATOS!$C$1561-(0)*CROQUIS_DATOS!$C$1561))/CROQUIS_DATOS!$C$1568-0.000001)),1,MOD($A62-1,2)))=1,MIN((CROQUIS_DATOS!$C$1476)*CROQUIS_DATOS!$C$1561,((CROQUIS_DATOS!$C$1511+CROQUIS_DATOS!$C$1512)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2">
        <f>IF(AND(CROQUIS_DATOS!$C$1472=1,CROQUIS_DATOS!$C$1512&gt;0,((CROQUIS_DATOS!$C$1511+CROQUIS_DATOS!$C$1512))-(CROQUIS_DATOS!$C$1511)&gt;0.5,(CROQUIS_DATOS!$C$1476)-(0)&gt;0.5),(CROQUIS_DATOS!$C$1567+(IF(IF(MOD(MIN(INT(($A62-1)/2)+1,MAX(1,INT(((((CROQUIS_DATOS!$C$1511+CROQUIS_DATOS!$C$1512))-(CROQUIS_DATOS!$C$1511))+((CROQUIS_DATOS!$C$1476)*CROQUIS_DATOS!$C$1561-(0)*CROQUIS_DATOS!$C$1561))/CROQUIS_DATOS!$C$1568-0.000001))),2)=1,IF(INT(($A62-1)/2)+1&gt;MAX(1,INT(((((CROQUIS_DATOS!$C$1511+CROQUIS_DATOS!$C$1512))-(CROQUIS_DATOS!$C$1511))+((CROQUIS_DATOS!$C$1476)*CROQUIS_DATOS!$C$1561-(0)*CROQUIS_DATOS!$C$1561))/CROQUIS_DATOS!$C$1568-0.000001)),1,MOD($A62-1,2)),1-IF(INT(($A62-1)/2)+1&gt;MAX(1,INT(((((CROQUIS_DATOS!$C$1511+CROQUIS_DATOS!$C$1512))-(CROQUIS_DATOS!$C$1511))+((CROQUIS_DATOS!$C$1476)*CROQUIS_DATOS!$C$1561-(0)*CROQUIS_DATOS!$C$1561))/CROQUIS_DATOS!$C$1568-0.000001)),1,MOD($A62-1,2)))=1,MIN((CROQUIS_DATOS!$C$1476)*CROQUIS_DATOS!$C$1561,((CROQUIS_DATOS!$C$1511+CROQUIS_DATOS!$C$1512)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2">
        <f>IF(AND(CROQUIS_DATOS!$C$1472=1,CROQUIS_DATOS!$C$1516&gt;0,((CROQUIS_DATOS!$C$1515+CROQUIS_DATOS!$C$1516))-(CROQUIS_DATOS!$C$1515)&gt;0.5,(CROQUIS_DATOS!$C$1476)-(0)&gt;0.5),(CROQUIS_DATOS!$C$1566+(IF(IF(MOD(MIN(INT(($A62-1)/2)+1,MAX(1,INT(((((CROQUIS_DATOS!$C$1515+CROQUIS_DATOS!$C$1516))-(CROQUIS_DATOS!$C$1515))+((CROQUIS_DATOS!$C$1476)*CROQUIS_DATOS!$C$1561-(0)*CROQUIS_DATOS!$C$1561))/CROQUIS_DATOS!$C$1568-0.000001))),2)=1,IF(INT(($A62-1)/2)+1&gt;MAX(1,INT(((((CROQUIS_DATOS!$C$1515+CROQUIS_DATOS!$C$1516))-(CROQUIS_DATOS!$C$1515))+((CROQUIS_DATOS!$C$1476)*CROQUIS_DATOS!$C$1561-(0)*CROQUIS_DATOS!$C$1561))/CROQUIS_DATOS!$C$1568-0.000001)),1,MOD($A62-1,2)),1-IF(INT(($A62-1)/2)+1&gt;MAX(1,INT(((((CROQUIS_DATOS!$C$1515+CROQUIS_DATOS!$C$1516))-(CROQUIS_DATOS!$C$1515))+((CROQUIS_DATOS!$C$1476)*CROQUIS_DATOS!$C$1561-(0)*CROQUIS_DATOS!$C$1561))/CROQUIS_DATOS!$C$1568-0.000001)),1,MOD($A62-1,2)))=1,MIN((CROQUIS_DATOS!$C$1476)*CROQUIS_DATOS!$C$1561,((CROQUIS_DATOS!$C$1515+CROQUIS_DATOS!$C$1516)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2">
        <f>IF(AND(CROQUIS_DATOS!$C$1472=1,CROQUIS_DATOS!$C$1516&gt;0,((CROQUIS_DATOS!$C$1515+CROQUIS_DATOS!$C$1516))-(CROQUIS_DATOS!$C$1515)&gt;0.5,(CROQUIS_DATOS!$C$1476)-(0)&gt;0.5),(CROQUIS_DATOS!$C$1567+(IF(IF(MOD(MIN(INT(($A62-1)/2)+1,MAX(1,INT(((((CROQUIS_DATOS!$C$1515+CROQUIS_DATOS!$C$1516))-(CROQUIS_DATOS!$C$1515))+((CROQUIS_DATOS!$C$1476)*CROQUIS_DATOS!$C$1561-(0)*CROQUIS_DATOS!$C$1561))/CROQUIS_DATOS!$C$1568-0.000001))),2)=1,IF(INT(($A62-1)/2)+1&gt;MAX(1,INT(((((CROQUIS_DATOS!$C$1515+CROQUIS_DATOS!$C$1516))-(CROQUIS_DATOS!$C$1515))+((CROQUIS_DATOS!$C$1476)*CROQUIS_DATOS!$C$1561-(0)*CROQUIS_DATOS!$C$1561))/CROQUIS_DATOS!$C$1568-0.000001)),1,MOD($A62-1,2)),1-IF(INT(($A62-1)/2)+1&gt;MAX(1,INT(((((CROQUIS_DATOS!$C$1515+CROQUIS_DATOS!$C$1516))-(CROQUIS_DATOS!$C$1515))+((CROQUIS_DATOS!$C$1476)*CROQUIS_DATOS!$C$1561-(0)*CROQUIS_DATOS!$C$1561))/CROQUIS_DATOS!$C$1568-0.000001)),1,MOD($A62-1,2)))=1,MIN((CROQUIS_DATOS!$C$1476)*CROQUIS_DATOS!$C$1561,((CROQUIS_DATOS!$C$1515+CROQUIS_DATOS!$C$1516)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2">
        <f>IF(AND(CROQUIS_DATOS!$C$1472=1,CROQUIS_DATOS!$C$1478&gt;=1,((CROQUIS_DATOS!$C$1479+CROQUIS_DATOS!$C$1480))-(CROQUIS_DATOS!$C$1479)&gt;0.5,(CROQUIS_DATOS!$C$1481)-(0)&gt;0.5),(CROQUIS_DATOS!$C$1566+(IF(IF(MOD(MIN(INT(($A62-1)/2)+1,MAX(1,INT(((((CROQUIS_DATOS!$C$1479+CROQUIS_DATOS!$C$1480))-(CROQUIS_DATOS!$C$1479))+((CROQUIS_DATOS!$C$1481)*CROQUIS_DATOS!$C$1561-(0)*CROQUIS_DATOS!$C$1561))/CROQUIS_DATOS!$C$1568-0.000001))),2)=1,IF(INT(($A62-1)/2)+1&gt;MAX(1,INT(((((CROQUIS_DATOS!$C$1479+CROQUIS_DATOS!$C$1480))-(CROQUIS_DATOS!$C$1479))+((CROQUIS_DATOS!$C$1481)*CROQUIS_DATOS!$C$1561-(0)*CROQUIS_DATOS!$C$1561))/CROQUIS_DATOS!$C$1568-0.000001)),1,MOD($A62-1,2)),1-IF(INT(($A62-1)/2)+1&gt;MAX(1,INT(((((CROQUIS_DATOS!$C$1479+CROQUIS_DATOS!$C$1480))-(CROQUIS_DATOS!$C$1479))+((CROQUIS_DATOS!$C$1481)*CROQUIS_DATOS!$C$1561-(0)*CROQUIS_DATOS!$C$1561))/CROQUIS_DATOS!$C$1568-0.000001)),1,MOD($A62-1,2)))=1,MIN((CROQUIS_DATOS!$C$1481)*CROQUIS_DATOS!$C$1561,((CROQUIS_DATOS!$C$1479+CROQUIS_DATOS!$C$1480)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2">
        <f>IF(AND(CROQUIS_DATOS!$C$1472=1,CROQUIS_DATOS!$C$1478&gt;=1,((CROQUIS_DATOS!$C$1479+CROQUIS_DATOS!$C$1480))-(CROQUIS_DATOS!$C$1479)&gt;0.5,(CROQUIS_DATOS!$C$1481)-(0)&gt;0.5),(CROQUIS_DATOS!$C$1567+(IF(IF(MOD(MIN(INT(($A62-1)/2)+1,MAX(1,INT(((((CROQUIS_DATOS!$C$1479+CROQUIS_DATOS!$C$1480))-(CROQUIS_DATOS!$C$1479))+((CROQUIS_DATOS!$C$1481)*CROQUIS_DATOS!$C$1561-(0)*CROQUIS_DATOS!$C$1561))/CROQUIS_DATOS!$C$1568-0.000001))),2)=1,IF(INT(($A62-1)/2)+1&gt;MAX(1,INT(((((CROQUIS_DATOS!$C$1479+CROQUIS_DATOS!$C$1480))-(CROQUIS_DATOS!$C$1479))+((CROQUIS_DATOS!$C$1481)*CROQUIS_DATOS!$C$1561-(0)*CROQUIS_DATOS!$C$1561))/CROQUIS_DATOS!$C$1568-0.000001)),1,MOD($A62-1,2)),1-IF(INT(($A62-1)/2)+1&gt;MAX(1,INT(((((CROQUIS_DATOS!$C$1479+CROQUIS_DATOS!$C$1480))-(CROQUIS_DATOS!$C$1479))+((CROQUIS_DATOS!$C$1481)*CROQUIS_DATOS!$C$1561-(0)*CROQUIS_DATOS!$C$1561))/CROQUIS_DATOS!$C$1568-0.000001)),1,MOD($A62-1,2)))=1,MIN((CROQUIS_DATOS!$C$1481)*CROQUIS_DATOS!$C$1561,((CROQUIS_DATOS!$C$1479+CROQUIS_DATOS!$C$1480)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2">
        <f>IF(AND(CROQUIS_DATOS!$C$1472=1,CROQUIS_DATOS!$C$1478&gt;=1,((CROQUIS_DATOS!$C$1479+CROQUIS_DATOS!$C$1480))-(CROQUIS_DATOS!$C$1479)&gt;0.5,(CROQUIS_DATOS!$C$1476)-((CROQUIS_DATOS!$C$1481+CROQUIS_DATOS!$C$1482))&gt;0.5),(CROQUIS_DATOS!$C$1566+(IF(IF(MOD(MIN(INT(($A62-1)/2)+1,MAX(1,INT(((((CROQUIS_DATOS!$C$1479+CROQUIS_DATOS!$C$1480))-(CROQUIS_DATOS!$C$1479))+((CROQUIS_DATOS!$C$1476)*CROQUIS_DATOS!$C$1561-((CROQUIS_DATOS!$C$1481+CROQUIS_DATOS!$C$1482))*CROQUIS_DATOS!$C$1561))/CROQUIS_DATOS!$C$1568-0.000001))),2)=1,IF(INT(($A62-1)/2)+1&gt;MAX(1,INT(((((CROQUIS_DATOS!$C$1479+CROQUIS_DATOS!$C$1480))-(CROQUIS_DATOS!$C$1479))+((CROQUIS_DATOS!$C$1476)*CROQUIS_DATOS!$C$1561-((CROQUIS_DATOS!$C$1481+CROQUIS_DATOS!$C$1482))*CROQUIS_DATOS!$C$1561))/CROQUIS_DATOS!$C$1568-0.000001)),1,MOD($A62-1,2)),1-IF(INT(($A62-1)/2)+1&gt;MAX(1,INT(((((CROQUIS_DATOS!$C$1479+CROQUIS_DATOS!$C$1480))-(CROQUIS_DATOS!$C$1479))+((CROQUIS_DATOS!$C$1476)*CROQUIS_DATOS!$C$1561-((CROQUIS_DATOS!$C$1481+CROQUIS_DATOS!$C$1482))*CROQUIS_DATOS!$C$1561))/CROQUIS_DATOS!$C$1568-0.000001)),1,MOD($A62-1,2)))=1,MIN((CROQUIS_DATOS!$C$1476)*CROQUIS_DATOS!$C$1561,((CROQUIS_DATOS!$C$1479+CROQUIS_DATOS!$C$1480)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2">
        <f>IF(AND(CROQUIS_DATOS!$C$1472=1,CROQUIS_DATOS!$C$1478&gt;=1,((CROQUIS_DATOS!$C$1479+CROQUIS_DATOS!$C$1480))-(CROQUIS_DATOS!$C$1479)&gt;0.5,(CROQUIS_DATOS!$C$1476)-((CROQUIS_DATOS!$C$1481+CROQUIS_DATOS!$C$1482))&gt;0.5),(CROQUIS_DATOS!$C$1567+(IF(IF(MOD(MIN(INT(($A62-1)/2)+1,MAX(1,INT(((((CROQUIS_DATOS!$C$1479+CROQUIS_DATOS!$C$1480))-(CROQUIS_DATOS!$C$1479))+((CROQUIS_DATOS!$C$1476)*CROQUIS_DATOS!$C$1561-((CROQUIS_DATOS!$C$1481+CROQUIS_DATOS!$C$1482))*CROQUIS_DATOS!$C$1561))/CROQUIS_DATOS!$C$1568-0.000001))),2)=1,IF(INT(($A62-1)/2)+1&gt;MAX(1,INT(((((CROQUIS_DATOS!$C$1479+CROQUIS_DATOS!$C$1480))-(CROQUIS_DATOS!$C$1479))+((CROQUIS_DATOS!$C$1476)*CROQUIS_DATOS!$C$1561-((CROQUIS_DATOS!$C$1481+CROQUIS_DATOS!$C$1482))*CROQUIS_DATOS!$C$1561))/CROQUIS_DATOS!$C$1568-0.000001)),1,MOD($A62-1,2)),1-IF(INT(($A62-1)/2)+1&gt;MAX(1,INT(((((CROQUIS_DATOS!$C$1479+CROQUIS_DATOS!$C$1480))-(CROQUIS_DATOS!$C$1479))+((CROQUIS_DATOS!$C$1476)*CROQUIS_DATOS!$C$1561-((CROQUIS_DATOS!$C$1481+CROQUIS_DATOS!$C$1482))*CROQUIS_DATOS!$C$1561))/CROQUIS_DATOS!$C$1568-0.000001)),1,MOD($A62-1,2)))=1,MIN((CROQUIS_DATOS!$C$1476)*CROQUIS_DATOS!$C$1561,((CROQUIS_DATOS!$C$1479+CROQUIS_DATOS!$C$1480)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2">
        <f>IF(AND(CROQUIS_DATOS!$C$1472=1,CROQUIS_DATOS!$C$1478&gt;=2,((CROQUIS_DATOS!$C$1484+CROQUIS_DATOS!$C$1485))-(CROQUIS_DATOS!$C$1484)&gt;0.5,(CROQUIS_DATOS!$C$1486)-(0)&gt;0.5),(CROQUIS_DATOS!$C$1566+(IF(IF(MOD(MIN(INT(($A62-1)/2)+1,MAX(1,INT(((((CROQUIS_DATOS!$C$1484+CROQUIS_DATOS!$C$1485))-(CROQUIS_DATOS!$C$1484))+((CROQUIS_DATOS!$C$1486)*CROQUIS_DATOS!$C$1561-(0)*CROQUIS_DATOS!$C$1561))/CROQUIS_DATOS!$C$1568-0.000001))),2)=1,IF(INT(($A62-1)/2)+1&gt;MAX(1,INT(((((CROQUIS_DATOS!$C$1484+CROQUIS_DATOS!$C$1485))-(CROQUIS_DATOS!$C$1484))+((CROQUIS_DATOS!$C$1486)*CROQUIS_DATOS!$C$1561-(0)*CROQUIS_DATOS!$C$1561))/CROQUIS_DATOS!$C$1568-0.000001)),1,MOD($A62-1,2)),1-IF(INT(($A62-1)/2)+1&gt;MAX(1,INT(((((CROQUIS_DATOS!$C$1484+CROQUIS_DATOS!$C$1485))-(CROQUIS_DATOS!$C$1484))+((CROQUIS_DATOS!$C$1486)*CROQUIS_DATOS!$C$1561-(0)*CROQUIS_DATOS!$C$1561))/CROQUIS_DATOS!$C$1568-0.000001)),1,MOD($A62-1,2)))=1,MIN((CROQUIS_DATOS!$C$1486)*CROQUIS_DATOS!$C$1561,((CROQUIS_DATOS!$C$1484+CROQUIS_DATOS!$C$1485)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2">
        <f>IF(AND(CROQUIS_DATOS!$C$1472=1,CROQUIS_DATOS!$C$1478&gt;=2,((CROQUIS_DATOS!$C$1484+CROQUIS_DATOS!$C$1485))-(CROQUIS_DATOS!$C$1484)&gt;0.5,(CROQUIS_DATOS!$C$1486)-(0)&gt;0.5),(CROQUIS_DATOS!$C$1567+(IF(IF(MOD(MIN(INT(($A62-1)/2)+1,MAX(1,INT(((((CROQUIS_DATOS!$C$1484+CROQUIS_DATOS!$C$1485))-(CROQUIS_DATOS!$C$1484))+((CROQUIS_DATOS!$C$1486)*CROQUIS_DATOS!$C$1561-(0)*CROQUIS_DATOS!$C$1561))/CROQUIS_DATOS!$C$1568-0.000001))),2)=1,IF(INT(($A62-1)/2)+1&gt;MAX(1,INT(((((CROQUIS_DATOS!$C$1484+CROQUIS_DATOS!$C$1485))-(CROQUIS_DATOS!$C$1484))+((CROQUIS_DATOS!$C$1486)*CROQUIS_DATOS!$C$1561-(0)*CROQUIS_DATOS!$C$1561))/CROQUIS_DATOS!$C$1568-0.000001)),1,MOD($A62-1,2)),1-IF(INT(($A62-1)/2)+1&gt;MAX(1,INT(((((CROQUIS_DATOS!$C$1484+CROQUIS_DATOS!$C$1485))-(CROQUIS_DATOS!$C$1484))+((CROQUIS_DATOS!$C$1486)*CROQUIS_DATOS!$C$1561-(0)*CROQUIS_DATOS!$C$1561))/CROQUIS_DATOS!$C$1568-0.000001)),1,MOD($A62-1,2)))=1,MIN((CROQUIS_DATOS!$C$1486)*CROQUIS_DATOS!$C$1561,((CROQUIS_DATOS!$C$1484+CROQUIS_DATOS!$C$1485)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2">
        <f>IF(AND(CROQUIS_DATOS!$C$1472=1,CROQUIS_DATOS!$C$1478&gt;=2,((CROQUIS_DATOS!$C$1484+CROQUIS_DATOS!$C$1485))-(CROQUIS_DATOS!$C$1484)&gt;0.5,(CROQUIS_DATOS!$C$1476)-((CROQUIS_DATOS!$C$1486+CROQUIS_DATOS!$C$1487))&gt;0.5),(CROQUIS_DATOS!$C$1566+(IF(IF(MOD(MIN(INT(($A62-1)/2)+1,MAX(1,INT(((((CROQUIS_DATOS!$C$1484+CROQUIS_DATOS!$C$1485))-(CROQUIS_DATOS!$C$1484))+((CROQUIS_DATOS!$C$1476)*CROQUIS_DATOS!$C$1561-((CROQUIS_DATOS!$C$1486+CROQUIS_DATOS!$C$1487))*CROQUIS_DATOS!$C$1561))/CROQUIS_DATOS!$C$1568-0.000001))),2)=1,IF(INT(($A62-1)/2)+1&gt;MAX(1,INT(((((CROQUIS_DATOS!$C$1484+CROQUIS_DATOS!$C$1485))-(CROQUIS_DATOS!$C$1484))+((CROQUIS_DATOS!$C$1476)*CROQUIS_DATOS!$C$1561-((CROQUIS_DATOS!$C$1486+CROQUIS_DATOS!$C$1487))*CROQUIS_DATOS!$C$1561))/CROQUIS_DATOS!$C$1568-0.000001)),1,MOD($A62-1,2)),1-IF(INT(($A62-1)/2)+1&gt;MAX(1,INT(((((CROQUIS_DATOS!$C$1484+CROQUIS_DATOS!$C$1485))-(CROQUIS_DATOS!$C$1484))+((CROQUIS_DATOS!$C$1476)*CROQUIS_DATOS!$C$1561-((CROQUIS_DATOS!$C$1486+CROQUIS_DATOS!$C$1487))*CROQUIS_DATOS!$C$1561))/CROQUIS_DATOS!$C$1568-0.000001)),1,MOD($A62-1,2)))=1,MIN((CROQUIS_DATOS!$C$1476)*CROQUIS_DATOS!$C$1561,((CROQUIS_DATOS!$C$1484+CROQUIS_DATOS!$C$1485)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2">
        <f>IF(AND(CROQUIS_DATOS!$C$1472=1,CROQUIS_DATOS!$C$1478&gt;=2,((CROQUIS_DATOS!$C$1484+CROQUIS_DATOS!$C$1485))-(CROQUIS_DATOS!$C$1484)&gt;0.5,(CROQUIS_DATOS!$C$1476)-((CROQUIS_DATOS!$C$1486+CROQUIS_DATOS!$C$1487))&gt;0.5),(CROQUIS_DATOS!$C$1567+(IF(IF(MOD(MIN(INT(($A62-1)/2)+1,MAX(1,INT(((((CROQUIS_DATOS!$C$1484+CROQUIS_DATOS!$C$1485))-(CROQUIS_DATOS!$C$1484))+((CROQUIS_DATOS!$C$1476)*CROQUIS_DATOS!$C$1561-((CROQUIS_DATOS!$C$1486+CROQUIS_DATOS!$C$1487))*CROQUIS_DATOS!$C$1561))/CROQUIS_DATOS!$C$1568-0.000001))),2)=1,IF(INT(($A62-1)/2)+1&gt;MAX(1,INT(((((CROQUIS_DATOS!$C$1484+CROQUIS_DATOS!$C$1485))-(CROQUIS_DATOS!$C$1484))+((CROQUIS_DATOS!$C$1476)*CROQUIS_DATOS!$C$1561-((CROQUIS_DATOS!$C$1486+CROQUIS_DATOS!$C$1487))*CROQUIS_DATOS!$C$1561))/CROQUIS_DATOS!$C$1568-0.000001)),1,MOD($A62-1,2)),1-IF(INT(($A62-1)/2)+1&gt;MAX(1,INT(((((CROQUIS_DATOS!$C$1484+CROQUIS_DATOS!$C$1485))-(CROQUIS_DATOS!$C$1484))+((CROQUIS_DATOS!$C$1476)*CROQUIS_DATOS!$C$1561-((CROQUIS_DATOS!$C$1486+CROQUIS_DATOS!$C$1487))*CROQUIS_DATOS!$C$1561))/CROQUIS_DATOS!$C$1568-0.000001)),1,MOD($A62-1,2)))=1,MIN((CROQUIS_DATOS!$C$1476)*CROQUIS_DATOS!$C$1561,((CROQUIS_DATOS!$C$1484+CROQUIS_DATOS!$C$1485)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2">
        <f>IF(AND(CROQUIS_DATOS!$C$1472=1,CROQUIS_DATOS!$C$1478&gt;=3,((CROQUIS_DATOS!$C$1489+CROQUIS_DATOS!$C$1490))-(CROQUIS_DATOS!$C$1489)&gt;0.5,(CROQUIS_DATOS!$C$1491)-(0)&gt;0.5),(CROQUIS_DATOS!$C$1566+(IF(IF(MOD(MIN(INT(($A62-1)/2)+1,MAX(1,INT(((((CROQUIS_DATOS!$C$1489+CROQUIS_DATOS!$C$1490))-(CROQUIS_DATOS!$C$1489))+((CROQUIS_DATOS!$C$1491)*CROQUIS_DATOS!$C$1561-(0)*CROQUIS_DATOS!$C$1561))/CROQUIS_DATOS!$C$1568-0.000001))),2)=1,IF(INT(($A62-1)/2)+1&gt;MAX(1,INT(((((CROQUIS_DATOS!$C$1489+CROQUIS_DATOS!$C$1490))-(CROQUIS_DATOS!$C$1489))+((CROQUIS_DATOS!$C$1491)*CROQUIS_DATOS!$C$1561-(0)*CROQUIS_DATOS!$C$1561))/CROQUIS_DATOS!$C$1568-0.000001)),1,MOD($A62-1,2)),1-IF(INT(($A62-1)/2)+1&gt;MAX(1,INT(((((CROQUIS_DATOS!$C$1489+CROQUIS_DATOS!$C$1490))-(CROQUIS_DATOS!$C$1489))+((CROQUIS_DATOS!$C$1491)*CROQUIS_DATOS!$C$1561-(0)*CROQUIS_DATOS!$C$1561))/CROQUIS_DATOS!$C$1568-0.000001)),1,MOD($A62-1,2)))=1,MIN((CROQUIS_DATOS!$C$1491)*CROQUIS_DATOS!$C$1561,((CROQUIS_DATOS!$C$1489+CROQUIS_DATOS!$C$1490)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2">
        <f>IF(AND(CROQUIS_DATOS!$C$1472=1,CROQUIS_DATOS!$C$1478&gt;=3,((CROQUIS_DATOS!$C$1489+CROQUIS_DATOS!$C$1490))-(CROQUIS_DATOS!$C$1489)&gt;0.5,(CROQUIS_DATOS!$C$1491)-(0)&gt;0.5),(CROQUIS_DATOS!$C$1567+(IF(IF(MOD(MIN(INT(($A62-1)/2)+1,MAX(1,INT(((((CROQUIS_DATOS!$C$1489+CROQUIS_DATOS!$C$1490))-(CROQUIS_DATOS!$C$1489))+((CROQUIS_DATOS!$C$1491)*CROQUIS_DATOS!$C$1561-(0)*CROQUIS_DATOS!$C$1561))/CROQUIS_DATOS!$C$1568-0.000001))),2)=1,IF(INT(($A62-1)/2)+1&gt;MAX(1,INT(((((CROQUIS_DATOS!$C$1489+CROQUIS_DATOS!$C$1490))-(CROQUIS_DATOS!$C$1489))+((CROQUIS_DATOS!$C$1491)*CROQUIS_DATOS!$C$1561-(0)*CROQUIS_DATOS!$C$1561))/CROQUIS_DATOS!$C$1568-0.000001)),1,MOD($A62-1,2)),1-IF(INT(($A62-1)/2)+1&gt;MAX(1,INT(((((CROQUIS_DATOS!$C$1489+CROQUIS_DATOS!$C$1490))-(CROQUIS_DATOS!$C$1489))+((CROQUIS_DATOS!$C$1491)*CROQUIS_DATOS!$C$1561-(0)*CROQUIS_DATOS!$C$1561))/CROQUIS_DATOS!$C$1568-0.000001)),1,MOD($A62-1,2)))=1,MIN((CROQUIS_DATOS!$C$1491)*CROQUIS_DATOS!$C$1561,((CROQUIS_DATOS!$C$1489+CROQUIS_DATOS!$C$1490)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2">
        <f>IF(AND(CROQUIS_DATOS!$C$1472=1,CROQUIS_DATOS!$C$1478&gt;=3,((CROQUIS_DATOS!$C$1489+CROQUIS_DATOS!$C$1490))-(CROQUIS_DATOS!$C$1489)&gt;0.5,(CROQUIS_DATOS!$C$1476)-((CROQUIS_DATOS!$C$1491+CROQUIS_DATOS!$C$1492))&gt;0.5),(CROQUIS_DATOS!$C$1566+(IF(IF(MOD(MIN(INT(($A62-1)/2)+1,MAX(1,INT(((((CROQUIS_DATOS!$C$1489+CROQUIS_DATOS!$C$1490))-(CROQUIS_DATOS!$C$1489))+((CROQUIS_DATOS!$C$1476)*CROQUIS_DATOS!$C$1561-((CROQUIS_DATOS!$C$1491+CROQUIS_DATOS!$C$1492))*CROQUIS_DATOS!$C$1561))/CROQUIS_DATOS!$C$1568-0.000001))),2)=1,IF(INT(($A62-1)/2)+1&gt;MAX(1,INT(((((CROQUIS_DATOS!$C$1489+CROQUIS_DATOS!$C$1490))-(CROQUIS_DATOS!$C$1489))+((CROQUIS_DATOS!$C$1476)*CROQUIS_DATOS!$C$1561-((CROQUIS_DATOS!$C$1491+CROQUIS_DATOS!$C$1492))*CROQUIS_DATOS!$C$1561))/CROQUIS_DATOS!$C$1568-0.000001)),1,MOD($A62-1,2)),1-IF(INT(($A62-1)/2)+1&gt;MAX(1,INT(((((CROQUIS_DATOS!$C$1489+CROQUIS_DATOS!$C$1490))-(CROQUIS_DATOS!$C$1489))+((CROQUIS_DATOS!$C$1476)*CROQUIS_DATOS!$C$1561-((CROQUIS_DATOS!$C$1491+CROQUIS_DATOS!$C$1492))*CROQUIS_DATOS!$C$1561))/CROQUIS_DATOS!$C$1568-0.000001)),1,MOD($A62-1,2)))=1,MIN((CROQUIS_DATOS!$C$1476)*CROQUIS_DATOS!$C$1561,((CROQUIS_DATOS!$C$1489+CROQUIS_DATOS!$C$1490)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2">
        <f>IF(AND(CROQUIS_DATOS!$C$1472=1,CROQUIS_DATOS!$C$1478&gt;=3,((CROQUIS_DATOS!$C$1489+CROQUIS_DATOS!$C$1490))-(CROQUIS_DATOS!$C$1489)&gt;0.5,(CROQUIS_DATOS!$C$1476)-((CROQUIS_DATOS!$C$1491+CROQUIS_DATOS!$C$1492))&gt;0.5),(CROQUIS_DATOS!$C$1567+(IF(IF(MOD(MIN(INT(($A62-1)/2)+1,MAX(1,INT(((((CROQUIS_DATOS!$C$1489+CROQUIS_DATOS!$C$1490))-(CROQUIS_DATOS!$C$1489))+((CROQUIS_DATOS!$C$1476)*CROQUIS_DATOS!$C$1561-((CROQUIS_DATOS!$C$1491+CROQUIS_DATOS!$C$1492))*CROQUIS_DATOS!$C$1561))/CROQUIS_DATOS!$C$1568-0.000001))),2)=1,IF(INT(($A62-1)/2)+1&gt;MAX(1,INT(((((CROQUIS_DATOS!$C$1489+CROQUIS_DATOS!$C$1490))-(CROQUIS_DATOS!$C$1489))+((CROQUIS_DATOS!$C$1476)*CROQUIS_DATOS!$C$1561-((CROQUIS_DATOS!$C$1491+CROQUIS_DATOS!$C$1492))*CROQUIS_DATOS!$C$1561))/CROQUIS_DATOS!$C$1568-0.000001)),1,MOD($A62-1,2)),1-IF(INT(($A62-1)/2)+1&gt;MAX(1,INT(((((CROQUIS_DATOS!$C$1489+CROQUIS_DATOS!$C$1490))-(CROQUIS_DATOS!$C$1489))+((CROQUIS_DATOS!$C$1476)*CROQUIS_DATOS!$C$1561-((CROQUIS_DATOS!$C$1491+CROQUIS_DATOS!$C$1492))*CROQUIS_DATOS!$C$1561))/CROQUIS_DATOS!$C$1568-0.000001)),1,MOD($A62-1,2)))=1,MIN((CROQUIS_DATOS!$C$1476)*CROQUIS_DATOS!$C$1561,((CROQUIS_DATOS!$C$1489+CROQUIS_DATOS!$C$1490)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2">
        <f>IF(AND(CROQUIS_DATOS!$C$1472=1,CROQUIS_DATOS!$C$1478&gt;=4,((CROQUIS_DATOS!$C$1494+CROQUIS_DATOS!$C$1495))-(CROQUIS_DATOS!$C$1494)&gt;0.5,(CROQUIS_DATOS!$C$1496)-(0)&gt;0.5),(CROQUIS_DATOS!$C$1566+(IF(IF(MOD(MIN(INT(($A62-1)/2)+1,MAX(1,INT(((((CROQUIS_DATOS!$C$1494+CROQUIS_DATOS!$C$1495))-(CROQUIS_DATOS!$C$1494))+((CROQUIS_DATOS!$C$1496)*CROQUIS_DATOS!$C$1561-(0)*CROQUIS_DATOS!$C$1561))/CROQUIS_DATOS!$C$1568-0.000001))),2)=1,IF(INT(($A62-1)/2)+1&gt;MAX(1,INT(((((CROQUIS_DATOS!$C$1494+CROQUIS_DATOS!$C$1495))-(CROQUIS_DATOS!$C$1494))+((CROQUIS_DATOS!$C$1496)*CROQUIS_DATOS!$C$1561-(0)*CROQUIS_DATOS!$C$1561))/CROQUIS_DATOS!$C$1568-0.000001)),1,MOD($A62-1,2)),1-IF(INT(($A62-1)/2)+1&gt;MAX(1,INT(((((CROQUIS_DATOS!$C$1494+CROQUIS_DATOS!$C$1495))-(CROQUIS_DATOS!$C$1494))+((CROQUIS_DATOS!$C$1496)*CROQUIS_DATOS!$C$1561-(0)*CROQUIS_DATOS!$C$1561))/CROQUIS_DATOS!$C$1568-0.000001)),1,MOD($A62-1,2)))=1,MIN((CROQUIS_DATOS!$C$1496)*CROQUIS_DATOS!$C$1561,((CROQUIS_DATOS!$C$1494+CROQUIS_DATOS!$C$1495)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2">
        <f>IF(AND(CROQUIS_DATOS!$C$1472=1,CROQUIS_DATOS!$C$1478&gt;=4,((CROQUIS_DATOS!$C$1494+CROQUIS_DATOS!$C$1495))-(CROQUIS_DATOS!$C$1494)&gt;0.5,(CROQUIS_DATOS!$C$1496)-(0)&gt;0.5),(CROQUIS_DATOS!$C$1567+(IF(IF(MOD(MIN(INT(($A62-1)/2)+1,MAX(1,INT(((((CROQUIS_DATOS!$C$1494+CROQUIS_DATOS!$C$1495))-(CROQUIS_DATOS!$C$1494))+((CROQUIS_DATOS!$C$1496)*CROQUIS_DATOS!$C$1561-(0)*CROQUIS_DATOS!$C$1561))/CROQUIS_DATOS!$C$1568-0.000001))),2)=1,IF(INT(($A62-1)/2)+1&gt;MAX(1,INT(((((CROQUIS_DATOS!$C$1494+CROQUIS_DATOS!$C$1495))-(CROQUIS_DATOS!$C$1494))+((CROQUIS_DATOS!$C$1496)*CROQUIS_DATOS!$C$1561-(0)*CROQUIS_DATOS!$C$1561))/CROQUIS_DATOS!$C$1568-0.000001)),1,MOD($A62-1,2)),1-IF(INT(($A62-1)/2)+1&gt;MAX(1,INT(((((CROQUIS_DATOS!$C$1494+CROQUIS_DATOS!$C$1495))-(CROQUIS_DATOS!$C$1494))+((CROQUIS_DATOS!$C$1496)*CROQUIS_DATOS!$C$1561-(0)*CROQUIS_DATOS!$C$1561))/CROQUIS_DATOS!$C$1568-0.000001)),1,MOD($A62-1,2)))=1,MIN((CROQUIS_DATOS!$C$1496)*CROQUIS_DATOS!$C$1561,((CROQUIS_DATOS!$C$1494+CROQUIS_DATOS!$C$1495)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2">
        <f>IF(AND(CROQUIS_DATOS!$C$1472=1,CROQUIS_DATOS!$C$1478&gt;=4,((CROQUIS_DATOS!$C$1494+CROQUIS_DATOS!$C$1495))-(CROQUIS_DATOS!$C$1494)&gt;0.5,(CROQUIS_DATOS!$C$1476)-((CROQUIS_DATOS!$C$1496+CROQUIS_DATOS!$C$1497))&gt;0.5),(CROQUIS_DATOS!$C$1566+(IF(IF(MOD(MIN(INT(($A62-1)/2)+1,MAX(1,INT(((((CROQUIS_DATOS!$C$1494+CROQUIS_DATOS!$C$1495))-(CROQUIS_DATOS!$C$1494))+((CROQUIS_DATOS!$C$1476)*CROQUIS_DATOS!$C$1561-((CROQUIS_DATOS!$C$1496+CROQUIS_DATOS!$C$1497))*CROQUIS_DATOS!$C$1561))/CROQUIS_DATOS!$C$1568-0.000001))),2)=1,IF(INT(($A62-1)/2)+1&gt;MAX(1,INT(((((CROQUIS_DATOS!$C$1494+CROQUIS_DATOS!$C$1495))-(CROQUIS_DATOS!$C$1494))+((CROQUIS_DATOS!$C$1476)*CROQUIS_DATOS!$C$1561-((CROQUIS_DATOS!$C$1496+CROQUIS_DATOS!$C$1497))*CROQUIS_DATOS!$C$1561))/CROQUIS_DATOS!$C$1568-0.000001)),1,MOD($A62-1,2)),1-IF(INT(($A62-1)/2)+1&gt;MAX(1,INT(((((CROQUIS_DATOS!$C$1494+CROQUIS_DATOS!$C$1495))-(CROQUIS_DATOS!$C$1494))+((CROQUIS_DATOS!$C$1476)*CROQUIS_DATOS!$C$1561-((CROQUIS_DATOS!$C$1496+CROQUIS_DATOS!$C$1497))*CROQUIS_DATOS!$C$1561))/CROQUIS_DATOS!$C$1568-0.000001)),1,MOD($A62-1,2)))=1,MIN((CROQUIS_DATOS!$C$1476)*CROQUIS_DATOS!$C$1561,((CROQUIS_DATOS!$C$1494+CROQUIS_DATOS!$C$1495)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2">
        <f>IF(AND(CROQUIS_DATOS!$C$1472=1,CROQUIS_DATOS!$C$1478&gt;=4,((CROQUIS_DATOS!$C$1494+CROQUIS_DATOS!$C$1495))-(CROQUIS_DATOS!$C$1494)&gt;0.5,(CROQUIS_DATOS!$C$1476)-((CROQUIS_DATOS!$C$1496+CROQUIS_DATOS!$C$1497))&gt;0.5),(CROQUIS_DATOS!$C$1567+(IF(IF(MOD(MIN(INT(($A62-1)/2)+1,MAX(1,INT(((((CROQUIS_DATOS!$C$1494+CROQUIS_DATOS!$C$1495))-(CROQUIS_DATOS!$C$1494))+((CROQUIS_DATOS!$C$1476)*CROQUIS_DATOS!$C$1561-((CROQUIS_DATOS!$C$1496+CROQUIS_DATOS!$C$1497))*CROQUIS_DATOS!$C$1561))/CROQUIS_DATOS!$C$1568-0.000001))),2)=1,IF(INT(($A62-1)/2)+1&gt;MAX(1,INT(((((CROQUIS_DATOS!$C$1494+CROQUIS_DATOS!$C$1495))-(CROQUIS_DATOS!$C$1494))+((CROQUIS_DATOS!$C$1476)*CROQUIS_DATOS!$C$1561-((CROQUIS_DATOS!$C$1496+CROQUIS_DATOS!$C$1497))*CROQUIS_DATOS!$C$1561))/CROQUIS_DATOS!$C$1568-0.000001)),1,MOD($A62-1,2)),1-IF(INT(($A62-1)/2)+1&gt;MAX(1,INT(((((CROQUIS_DATOS!$C$1494+CROQUIS_DATOS!$C$1495))-(CROQUIS_DATOS!$C$1494))+((CROQUIS_DATOS!$C$1476)*CROQUIS_DATOS!$C$1561-((CROQUIS_DATOS!$C$1496+CROQUIS_DATOS!$C$1497))*CROQUIS_DATOS!$C$1561))/CROQUIS_DATOS!$C$1568-0.000001)),1,MOD($A62-1,2)))=1,MIN((CROQUIS_DATOS!$C$1476)*CROQUIS_DATOS!$C$1561,((CROQUIS_DATOS!$C$1494+CROQUIS_DATOS!$C$1495)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2">
        <f>IF(AND(CROQUIS_DATOS!$C$1472=1,1),(CROQUIS_DATOS!$C$1571+(CHOOSE(MIN(MAX(IF(INT(($A62-1)/5)+1&gt;CROQUIS_DATOS!$C$1525,5,MOD($A62-1,5)+1),1),5),(INDEX($E$8:$E$23,MIN(INT(($A62-1)/5)+1,CROQUIS_DATOS!$C$1525))-INDEX($F$8:$F$23,MIN(INT(($A62-1)/5)+1,CROQUIS_DATOS!$C$1525))/2),(INDEX($E$8:$E$23,MIN(INT(($A62-1)/5)+1,CROQUIS_DATOS!$C$1525))+INDEX($F$8:$F$23,MIN(INT(($A62-1)/5)+1,CROQUIS_DATOS!$C$1525))/2),(INDEX($E$8:$E$23,MIN(INT(($A62-1)/5)+1,CROQUIS_DATOS!$C$1525))+INDEX($F$8:$F$23,MIN(INT(($A62-1)/5)+1,CROQUIS_DATOS!$C$1525))/2),(INDEX($E$8:$E$23,MIN(INT(($A62-1)/5)+1,CROQUIS_DATOS!$C$1525))-INDEX($F$8:$F$23,MIN(INT(($A62-1)/5)+1,CROQUIS_DATOS!$C$1525))/2),(INDEX($E$8:$E$23,MIN(INT(($A62-1)/5)+1,CROQUIS_DATOS!$C$1525))-INDEX($F$8:$F$23,MIN(INT(($A62-1)/5)+1,CROQUIS_DATOS!$C$1525))/2)))*CROQUIS_DATOS!$C$1569),-1000)</f>
        <v>95.24</v>
      </c>
      <c r="GE62">
        <f>IF(AND(CROQUIS_DATOS!$C$1472=1,1),(CROQUIS_DATOS!$C$1572+(CHOOSE(MIN(MAX(IF(INT(($A62-1)/5)+1&gt;CROQUIS_DATOS!$C$1525,5,MOD($A62-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2">
        <f>IF(AND(CROQUIS_DATOS!$C$1472=1,1),IF(INT(($A62-1)/4)+1&lt;=CROQUIS_DATOS!$C$1525,(CROQUIS_DATOS!$C$1571+((INDEX($E$8:$E$23,MIN(INT(($A62-1)/4)+1,16))+IF(OR(MOD($A62-1,4)=0,MOD($A62-1,4)=3),-1,1)*(INDEX($F$8:$F$23,MIN(INT(($A62-1)/4)+1,16))/2-(CROQUIS_DATOS!$C$1530+CROQUIS_DATOS!$C$1532+IF(OR(INT(($A62-1)/4)+1=1,INT(($A62-1)/4)+1=CROQUIS_DATOS!$C$1525),CROQUIS_DATOS!$C$1534,CROQUIS_DATOS!$C$1531)/2))))*CROQUIS_DATOS!$C$1569),-1000),-1000)</f>
        <v>-1000</v>
      </c>
      <c r="GG62">
        <f>IF(AND(CROQUIS_DATOS!$C$1472=1,1),IF(INT(($A62-1)/4)+1&lt;=CROQUIS_DATOS!$C$1525,(CROQUIS_DATOS!$C$1572+((CROQUIS_DATOS!$C$1477/2+IF(MOD($A62-1,4)&lt;2,-1,1)*(CROQUIS_DATOS!$C$1527/2-(CROQUIS_DATOS!$C$1530+CROQUIS_DATOS!$C$1532+IF(OR(INT(($A62-1)/4)+1=1,INT(($A62-1)/4)+1=CROQUIS_DATOS!$C$1525),CROQUIS_DATOS!$C$1534,CROQUIS_DATOS!$C$1531)/2))))*CROQUIS_DATOS!$C$1569*CROQUIS_DATOS!$C$1570),-1000),-1000)</f>
        <v>-1000</v>
      </c>
    </row>
    <row r="63">
      <c r="A63" t="n">
        <v>56</v>
      </c>
      <c r="J63">
        <f>IF(AND(CROQUIS_DATOS!$C$1472=1,1),(CROQUIS_DATOS!$C$1563+(CHOOSE(MIN(MAX(IF(INT(($A63-1)/4)+1&gt;CROQUIS_DATOS!$C$1525,4,MOD($A63-1,4)+1),1),4),(INDEX($E$8:$E$23,MIN(INT(($A63-1)/4)+1,CROQUIS_DATOS!$C$1525))-INDEX($F$8:$F$23,MIN(INT(($A63-1)/4)+1,CROQUIS_DATOS!$C$1525))/2),(INDEX($E$8:$E$23,MIN(INT(($A63-1)/4)+1,CROQUIS_DATOS!$C$1525))-INDEX($F$8:$F$23,MIN(INT(($A63-1)/4)+1,CROQUIS_DATOS!$C$1525))/2),(INDEX($E$8:$E$23,MIN(INT(($A63-1)/4)+1,CROQUIS_DATOS!$C$1525))+INDEX($F$8:$F$23,MIN(INT(($A63-1)/4)+1,CROQUIS_DATOS!$C$1525))/2),(INDEX($E$8:$E$23,MIN(INT(($A63-1)/4)+1,CROQUIS_DATOS!$C$1525))+INDEX($F$8:$F$23,MIN(INT(($A63-1)/4)+1,CROQUIS_DATOS!$C$1525))/2)))*CROQUIS_DATOS!$C$1562),-1000)</f>
        <v>84.9137931034483</v>
      </c>
      <c r="K63">
        <f>IF(AND(CROQUIS_DATOS!$C$1472=1,1),(CROQUIS_DATOS!$C$1564+(CHOOSE(MIN(MAX(IF(INT(($A63-1)/4)+1&gt;CROQUIS_DATOS!$C$1525,4,MOD($A63-1,4)+1),1),4),0,CROQUIS_DATOS!$C$1476,CROQUIS_DATOS!$C$1476,0))*CROQUIS_DATOS!$C$1561*CROQUIS_DATOS!$C$1562),-1000)</f>
        <v>5.29310344827586</v>
      </c>
      <c r="L63">
        <f>IF(AND(CROQUIS_DATOS!$C$1472=1,1),(CROQUIS_DATOS!$C$1563+(CHOOSE(MIN(MAX(IF(INT(($A63-1)/4)+1&gt;CROQUIS_DATOS!$C$1525,4,MOD($A63-1,4)+1),1),4),((INDEX($E$8:$E$23,MIN(INT(($A63-1)/4)+1,CROQUIS_DATOS!$C$1525))-INDEX($F$8:$F$23,MIN(INT(($A63-1)/4)+1,CROQUIS_DATOS!$C$1525))/2)+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,((INDEX($E$8:$E$23,MIN(INT(($A63-1)/4)+1,CROQUIS_DATOS!$C$1525))-INDEX($F$8:$F$23,MIN(INT(($A63-1)/4)+1,CROQUIS_DATOS!$C$1525))/2)+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,((INDEX($E$8:$E$23,MIN(INT(($A63-1)/4)+1,CROQUIS_DATOS!$C$1525))+INDEX($F$8:$F$23,MIN(INT(($A63-1)/4)+1,CROQUIS_DATOS!$C$1525))/2)-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,((INDEX($E$8:$E$23,MIN(INT(($A63-1)/4)+1,CROQUIS_DATOS!$C$1525))+INDEX($F$8:$F$23,MIN(INT(($A63-1)/4)+1,CROQUIS_DATOS!$C$1525))/2)-MIN((CROQUIS_DATOS!$C$1530+CROQUIS_DATOS!$C$1532+IF(OR(MIN(INT(($A63-1)/4)+1,CROQUIS_DATOS!$C$1525)=1,MIN(INT(($A63-1)/4)+1,CROQUIS_DATOS!$C$1525)=CROQUIS_DATOS!$C$1525),CROQUIS_DATOS!$C$1534,CROQUIS_DATOS!$C$1531)/2),INDEX($F$8:$F$23,MIN(INT(($A63-1)/4)+1,CROQUIS_DATOS!$C$1525))/2-0.5))))*CROQUIS_DATOS!$C$1562),-1000)</f>
        <v>84.4792560344828</v>
      </c>
      <c r="M63">
        <f>IF(AND(CROQUIS_DATOS!$C$1472=1,1),(CROQUIS_DATOS!$C$1564+(CHOOSE(MIN(MAX(IF(INT(($A63-1)/4)+1&gt;CROQUIS_DATOS!$C$1525,4,MOD($A63-1,4)+1),1),4),CROQUIS_DATOS!$C$1543,INDEX($I$8:$I$23,MIN(INT(($A63-1)/4)+1,CROQUIS_DATOS!$C$1525)),INDEX($I$8:$I$23,MIN(INT(($A63-1)/4)+1,CROQUIS_DATOS!$C$1525)),CROQUIS_DATOS!$C$1543))*CROQUIS_DATOS!$C$1561*CROQUIS_DATOS!$C$1562),-1000)</f>
        <v>42.5654629310345</v>
      </c>
      <c r="N63">
        <f>IF(AND(CROQUIS_DATOS!$C$1472=1,1),(CROQUIS_DATOS!$C$1563+(IF(IF(IF(INT(($A63-1)/70)+1&gt;CROQUIS_DATOS!$C$1525,70,MOD($A63-1,70)+1)=1,0,IF(IF(INT(($A63-1)/70)+1&gt;CROQUIS_DATOS!$C$1525,70,MOD($A63-1,70)+1)&gt;2*CROQUIS_DATOS!$C$1541+1,IF(MOD(CROQUIS_DATOS!$C$1541,2)=1,1,0),IF(MOD(MIN(INT((IF(INT(($A63-1)/70)+1&gt;CROQUIS_DATOS!$C$1525,70,MOD($A63-1,70)+1)-2)/2)+1,CROQUIS_DATOS!$C$1541),2)=1,IF(MOD(IF(INT(($A63-1)/70)+1&gt;CROQUIS_DATOS!$C$1525,70,MOD($A63-1,70)+1)-2,2)=0,0,1),IF(MOD(IF(INT(($A63-1)/70)+1&gt;CROQUIS_DATOS!$C$1525,70,MOD($A63-1,70)+1)-2,2)=0,1,0))))=0,(INDEX($E$8:$E$23,MIN(INT(($A63-1)/70)+1,CROQUIS_DATOS!$C$1525))-INDEX($F$8:$F$23,MIN(INT(($A63-1)/70)+1,CROQUIS_DATOS!$C$1525))/2),(INDEX($E$8:$E$23,MIN(INT(($A63-1)/70)+1,CROQUIS_DATOS!$C$1525))+INDEX($F$8:$F$23,MIN(INT(($A63-1)/70)+1,CROQUIS_DATOS!$C$1525))/2)))*CROQUIS_DATOS!$C$1562),-1000)</f>
        <v>15.0862068965517</v>
      </c>
      <c r="O63">
        <f>IF(AND(CROQUIS_DATOS!$C$1472=1,1),(CROQUIS_DATOS!$C$1564+(IF(OR(IF(INT(($A63-1)/70)+1&gt;CROQUIS_DATOS!$C$1525,70,MOD($A63-1,70)+1)=1,IF(INT(($A63-1)/70)+1&gt;CROQUIS_DATOS!$C$1525,70,MOD($A63-1,70)+1)&gt;2*CROQUIS_DATOS!$C$1541+1),CROQUIS_DATOS!$C$1476,INDEX($H$8:$H$41,MIN(INT((IF(INT(($A63-1)/70)+1&gt;CROQUIS_DATOS!$C$1525,70,MOD($A63-1,70)+1)-2)/2)+1,CROQUIS_DATOS!$C$1541))))*CROQUIS_DATOS!$C$1561*CROQUIS_DATOS!$C$1562),-1000)</f>
        <v>40.2068965517241</v>
      </c>
      <c r="P63">
        <f>IF(AND(CROQUIS_DATOS!$C$1472=1,CROQUIS_DATOS!$C$1555=1),(CROQUIS_DATOS!$C$1563+(IF(IF(OR(MOD($A63-1,62)+1=1,IF(CHOOSE(MIN(MAX(MIN(INT(($A63-1)/62)+1,5),1),5),CROQUIS_DATOS!$C$1501,CROQUIS_DATOS!$C$1505,CROQUIS_DATOS!$C$1509,CROQUIS_DATOS!$C$1513,CROQUIS_DATOS!$C$1517)=1,CROQUIS_DATOS!$C$1557,0)=0),0,IF(MOD($A63-1,62)+1&gt;2*IF(CHOOSE(MIN(MAX(MIN(INT(($A63-1)/62)+1,5),1),5),CROQUIS_DATOS!$C$1501,CROQUIS_DATOS!$C$1505,CROQUIS_DATOS!$C$1509,CROQUIS_DATOS!$C$1513,CROQUIS_DATOS!$C$1517)=1,CROQUIS_DATOS!$C$1557,0)+1,IF(MOD(IF(CHOOSE(MIN(MAX(MIN(INT(($A63-1)/62)+1,5),1),5),CROQUIS_DATOS!$C$1501,CROQUIS_DATOS!$C$1505,CROQUIS_DATOS!$C$1509,CROQUIS_DATOS!$C$1513,CROQUIS_DATOS!$C$1517)=1,CROQUIS_DATOS!$C$1557,0),2)=1,1,0),IF(MOD(MIN(INT((MOD($A63-1,62)+1-2)/2)+1,MAX(IF(CHOOSE(MIN(MAX(MIN(INT(($A63-1)/62)+1,5),1),5),CROQUIS_DATOS!$C$1501,CROQUIS_DATOS!$C$1505,CROQUIS_DATOS!$C$1509,CROQUIS_DATOS!$C$1513,CROQUIS_DATOS!$C$1517)=1,CROQUIS_DATOS!$C$1557,0),1)),2)=1,IF(MOD(MOD($A63-1,62)+1-2,2)=0,0,1),IF(MOD(MOD($A63-1,62)+1-2,2)=0,1,0))))=0,(CHOOSE(MIN(MAX(MIN(INT(($A63-1)/62)+1,5),1),5),CROQUIS_DATOS!$C$1499,CROQUIS_DATOS!$C$1503,CROQUIS_DATOS!$C$1507,CROQUIS_DATOS!$C$1511,CROQUIS_DATOS!$C$1515)+IF(CHOOSE(MIN(MAX(MIN(INT(($A63-1)/62)+1,5),1),5),CROQUIS_DATOS!$C$1501,CROQUIS_DATOS!$C$1505,CROQUIS_DATOS!$C$1509,CROQUIS_DATOS!$C$1513,CROQUIS_DATOS!$C$1517)=1,CROQUIS_DATOS!$C$1526,0)),(CHOOSE(MIN(MAX(MIN(INT(($A63-1)/62)+1,5),1),5),CROQUIS_DATOS!$C$1499,CROQUIS_DATOS!$C$1503,CROQUIS_DATOS!$C$1507,CROQUIS_DATOS!$C$1511,CROQUIS_DATOS!$C$1515)+CHOOSE(MIN(MAX(MIN(INT(($A63-1)/62)+1,5),1),5),CROQUIS_DATOS!$C$1500,CROQUIS_DATOS!$C$1504,CROQUIS_DATOS!$C$1508,CROQUIS_DATOS!$C$1512,CROQUIS_DATOS!$C$1516)-IF(CHOOSE(MIN(MAX(MIN(INT(($A63-1)/62)+1,5),1),5),CROQUIS_DATOS!$C$1501,CROQUIS_DATOS!$C$1505,CROQUIS_DATOS!$C$1509,CROQUIS_DATOS!$C$1513,CROQUIS_DATOS!$C$1517)=1,CROQUIS_DATOS!$C$1526,0))))*CROQUIS_DATOS!$C$1562),-1000)</f>
        <v>-1000</v>
      </c>
      <c r="Q63">
        <f>IF(AND(CROQUIS_DATOS!$C$1472=1,CROQUIS_DATOS!$C$1555=1),(CROQUIS_DATOS!$C$1564+(IF(OR(OR(MOD($A63-1,62)+1=1,IF(CHOOSE(MIN(MAX(MIN(INT(($A63-1)/62)+1,5),1),5),CROQUIS_DATOS!$C$1501,CROQUIS_DATOS!$C$1505,CROQUIS_DATOS!$C$1509,CROQUIS_DATOS!$C$1513,CROQUIS_DATOS!$C$1517)=1,CROQUIS_DATOS!$C$1557,0)=0),MOD($A63-1,62)+1&gt;2*IF(CHOOSE(MIN(MAX(MIN(INT(($A63-1)/62)+1,5),1),5),CROQUIS_DATOS!$C$1501,CROQUIS_DATOS!$C$1505,CROQUIS_DATOS!$C$1509,CROQUIS_DATOS!$C$1513,CROQUIS_DATOS!$C$1517)=1,CROQUIS_DATOS!$C$1557,0)+1),CROQUIS_DATOS!$C$1476,MIN(INT((MOD($A63-1,62)+1-2)/2)+1,MAX(IF(CHOOSE(MIN(MAX(MIN(INT(($A63-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3">
        <f>IF(AND(CROQUIS_DATOS!$C$1472=1,1),(CROQUIS_DATOS!$C$1563+(MIN(INT(($A63-1)/2)+1,CROQUIS_DATOS!$C$1558)*CROQUIS_DATOS!$C$1559)*CROQUIS_DATOS!$C$1562),-1000)</f>
        <v>82.2281167108753</v>
      </c>
      <c r="U63">
        <f>IF(AND(CROQUIS_DATOS!$C$1472=1,1),(CROQUIS_DATOS!$C$1564+(IF(INT(($A63-1)/2)+1&gt;CROQUIS_DATOS!$C$1558,IF(MOD(CROQUIS_DATOS!$C$1558,2)=1,CROQUIS_DATOS!$C$1476+CROQUIS_DATOS!$C$1528,CROQUIS_DATOS!$C$1476),IF(IF(MOD(MIN(INT(($A63-1)/2)+1,CROQUIS_DATOS!$C$1558),2)=1,MOD($A63-1,2),1-MOD($A63-1,2))=1,CROQUIS_DATOS!$C$1476+CROQUIS_DATOS!$C$1528,CROQUIS_DATOS!$C$1476)))*CROQUIS_DATOS!$C$1561*CROQUIS_DATOS!$C$1562),-1000)</f>
        <v>43</v>
      </c>
      <c r="BZ63">
        <f>IF(AND(CROQUIS_DATOS!$C$1472=1,CROQUIS_DATOS!$C$1500&gt;0,((CROQUIS_DATOS!$C$1499+CROQUIS_DATOS!$C$1500))-(CROQUIS_DATOS!$C$1499)&gt;0.5,(CROQUIS_DATOS!$C$1476)-(0)&gt;0.5),(CROQUIS_DATOS!$C$1566+(IF(IF(MOD(MIN(INT(($A63-1)/2)+1,MAX(1,INT(((((CROQUIS_DATOS!$C$1499+CROQUIS_DATOS!$C$1500))-(CROQUIS_DATOS!$C$1499))+((CROQUIS_DATOS!$C$1476)*CROQUIS_DATOS!$C$1561-(0)*CROQUIS_DATOS!$C$1561))/CROQUIS_DATOS!$C$1568-0.000001))),2)=1,IF(INT(($A63-1)/2)+1&gt;MAX(1,INT(((((CROQUIS_DATOS!$C$1499+CROQUIS_DATOS!$C$1500))-(CROQUIS_DATOS!$C$1499))+((CROQUIS_DATOS!$C$1476)*CROQUIS_DATOS!$C$1561-(0)*CROQUIS_DATOS!$C$1561))/CROQUIS_DATOS!$C$1568-0.000001)),1,MOD($A63-1,2)),1-IF(INT(($A63-1)/2)+1&gt;MAX(1,INT(((((CROQUIS_DATOS!$C$1499+CROQUIS_DATOS!$C$1500))-(CROQUIS_DATOS!$C$1499))+((CROQUIS_DATOS!$C$1476)*CROQUIS_DATOS!$C$1561-(0)*CROQUIS_DATOS!$C$1561))/CROQUIS_DATOS!$C$1568-0.000001)),1,MOD($A63-1,2)))=1,MIN((CROQUIS_DATOS!$C$1476)*CROQUIS_DATOS!$C$1561,((CROQUIS_DATOS!$C$1499+CROQUIS_DATOS!$C$1500)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3">
        <f>IF(AND(CROQUIS_DATOS!$C$1472=1,CROQUIS_DATOS!$C$1500&gt;0,((CROQUIS_DATOS!$C$1499+CROQUIS_DATOS!$C$1500))-(CROQUIS_DATOS!$C$1499)&gt;0.5,(CROQUIS_DATOS!$C$1476)-(0)&gt;0.5),(CROQUIS_DATOS!$C$1567+(IF(IF(MOD(MIN(INT(($A63-1)/2)+1,MAX(1,INT(((((CROQUIS_DATOS!$C$1499+CROQUIS_DATOS!$C$1500))-(CROQUIS_DATOS!$C$1499))+((CROQUIS_DATOS!$C$1476)*CROQUIS_DATOS!$C$1561-(0)*CROQUIS_DATOS!$C$1561))/CROQUIS_DATOS!$C$1568-0.000001))),2)=1,IF(INT(($A63-1)/2)+1&gt;MAX(1,INT(((((CROQUIS_DATOS!$C$1499+CROQUIS_DATOS!$C$1500))-(CROQUIS_DATOS!$C$1499))+((CROQUIS_DATOS!$C$1476)*CROQUIS_DATOS!$C$1561-(0)*CROQUIS_DATOS!$C$1561))/CROQUIS_DATOS!$C$1568-0.000001)),1,MOD($A63-1,2)),1-IF(INT(($A63-1)/2)+1&gt;MAX(1,INT(((((CROQUIS_DATOS!$C$1499+CROQUIS_DATOS!$C$1500))-(CROQUIS_DATOS!$C$1499))+((CROQUIS_DATOS!$C$1476)*CROQUIS_DATOS!$C$1561-(0)*CROQUIS_DATOS!$C$1561))/CROQUIS_DATOS!$C$1568-0.000001)),1,MOD($A63-1,2)))=1,MIN((CROQUIS_DATOS!$C$1476)*CROQUIS_DATOS!$C$1561,((CROQUIS_DATOS!$C$1499+CROQUIS_DATOS!$C$1500)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3">
        <f>IF(AND(CROQUIS_DATOS!$C$1472=1,CROQUIS_DATOS!$C$1504&gt;0,((CROQUIS_DATOS!$C$1503+CROQUIS_DATOS!$C$1504))-(CROQUIS_DATOS!$C$1503)&gt;0.5,(CROQUIS_DATOS!$C$1476)-(0)&gt;0.5),(CROQUIS_DATOS!$C$1566+(IF(IF(MOD(MIN(INT(($A63-1)/2)+1,MAX(1,INT(((((CROQUIS_DATOS!$C$1503+CROQUIS_DATOS!$C$1504))-(CROQUIS_DATOS!$C$1503))+((CROQUIS_DATOS!$C$1476)*CROQUIS_DATOS!$C$1561-(0)*CROQUIS_DATOS!$C$1561))/CROQUIS_DATOS!$C$1568-0.000001))),2)=1,IF(INT(($A63-1)/2)+1&gt;MAX(1,INT(((((CROQUIS_DATOS!$C$1503+CROQUIS_DATOS!$C$1504))-(CROQUIS_DATOS!$C$1503))+((CROQUIS_DATOS!$C$1476)*CROQUIS_DATOS!$C$1561-(0)*CROQUIS_DATOS!$C$1561))/CROQUIS_DATOS!$C$1568-0.000001)),1,MOD($A63-1,2)),1-IF(INT(($A63-1)/2)+1&gt;MAX(1,INT(((((CROQUIS_DATOS!$C$1503+CROQUIS_DATOS!$C$1504))-(CROQUIS_DATOS!$C$1503))+((CROQUIS_DATOS!$C$1476)*CROQUIS_DATOS!$C$1561-(0)*CROQUIS_DATOS!$C$1561))/CROQUIS_DATOS!$C$1568-0.000001)),1,MOD($A63-1,2)))=1,MIN((CROQUIS_DATOS!$C$1476)*CROQUIS_DATOS!$C$1561,((CROQUIS_DATOS!$C$1503+CROQUIS_DATOS!$C$1504)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3">
        <f>IF(AND(CROQUIS_DATOS!$C$1472=1,CROQUIS_DATOS!$C$1504&gt;0,((CROQUIS_DATOS!$C$1503+CROQUIS_DATOS!$C$1504))-(CROQUIS_DATOS!$C$1503)&gt;0.5,(CROQUIS_DATOS!$C$1476)-(0)&gt;0.5),(CROQUIS_DATOS!$C$1567+(IF(IF(MOD(MIN(INT(($A63-1)/2)+1,MAX(1,INT(((((CROQUIS_DATOS!$C$1503+CROQUIS_DATOS!$C$1504))-(CROQUIS_DATOS!$C$1503))+((CROQUIS_DATOS!$C$1476)*CROQUIS_DATOS!$C$1561-(0)*CROQUIS_DATOS!$C$1561))/CROQUIS_DATOS!$C$1568-0.000001))),2)=1,IF(INT(($A63-1)/2)+1&gt;MAX(1,INT(((((CROQUIS_DATOS!$C$1503+CROQUIS_DATOS!$C$1504))-(CROQUIS_DATOS!$C$1503))+((CROQUIS_DATOS!$C$1476)*CROQUIS_DATOS!$C$1561-(0)*CROQUIS_DATOS!$C$1561))/CROQUIS_DATOS!$C$1568-0.000001)),1,MOD($A63-1,2)),1-IF(INT(($A63-1)/2)+1&gt;MAX(1,INT(((((CROQUIS_DATOS!$C$1503+CROQUIS_DATOS!$C$1504))-(CROQUIS_DATOS!$C$1503))+((CROQUIS_DATOS!$C$1476)*CROQUIS_DATOS!$C$1561-(0)*CROQUIS_DATOS!$C$1561))/CROQUIS_DATOS!$C$1568-0.000001)),1,MOD($A63-1,2)))=1,MIN((CROQUIS_DATOS!$C$1476)*CROQUIS_DATOS!$C$1561,((CROQUIS_DATOS!$C$1503+CROQUIS_DATOS!$C$1504)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3">
        <f>IF(AND(CROQUIS_DATOS!$C$1472=1,CROQUIS_DATOS!$C$1508&gt;0,((CROQUIS_DATOS!$C$1507+CROQUIS_DATOS!$C$1508))-(CROQUIS_DATOS!$C$1507)&gt;0.5,(CROQUIS_DATOS!$C$1476)-(0)&gt;0.5),(CROQUIS_DATOS!$C$1566+(IF(IF(MOD(MIN(INT(($A63-1)/2)+1,MAX(1,INT(((((CROQUIS_DATOS!$C$1507+CROQUIS_DATOS!$C$1508))-(CROQUIS_DATOS!$C$1507))+((CROQUIS_DATOS!$C$1476)*CROQUIS_DATOS!$C$1561-(0)*CROQUIS_DATOS!$C$1561))/CROQUIS_DATOS!$C$1568-0.000001))),2)=1,IF(INT(($A63-1)/2)+1&gt;MAX(1,INT(((((CROQUIS_DATOS!$C$1507+CROQUIS_DATOS!$C$1508))-(CROQUIS_DATOS!$C$1507))+((CROQUIS_DATOS!$C$1476)*CROQUIS_DATOS!$C$1561-(0)*CROQUIS_DATOS!$C$1561))/CROQUIS_DATOS!$C$1568-0.000001)),1,MOD($A63-1,2)),1-IF(INT(($A63-1)/2)+1&gt;MAX(1,INT(((((CROQUIS_DATOS!$C$1507+CROQUIS_DATOS!$C$1508))-(CROQUIS_DATOS!$C$1507))+((CROQUIS_DATOS!$C$1476)*CROQUIS_DATOS!$C$1561-(0)*CROQUIS_DATOS!$C$1561))/CROQUIS_DATOS!$C$1568-0.000001)),1,MOD($A63-1,2)))=1,MIN((CROQUIS_DATOS!$C$1476)*CROQUIS_DATOS!$C$1561,((CROQUIS_DATOS!$C$1507+CROQUIS_DATOS!$C$1508)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3">
        <f>IF(AND(CROQUIS_DATOS!$C$1472=1,CROQUIS_DATOS!$C$1508&gt;0,((CROQUIS_DATOS!$C$1507+CROQUIS_DATOS!$C$1508))-(CROQUIS_DATOS!$C$1507)&gt;0.5,(CROQUIS_DATOS!$C$1476)-(0)&gt;0.5),(CROQUIS_DATOS!$C$1567+(IF(IF(MOD(MIN(INT(($A63-1)/2)+1,MAX(1,INT(((((CROQUIS_DATOS!$C$1507+CROQUIS_DATOS!$C$1508))-(CROQUIS_DATOS!$C$1507))+((CROQUIS_DATOS!$C$1476)*CROQUIS_DATOS!$C$1561-(0)*CROQUIS_DATOS!$C$1561))/CROQUIS_DATOS!$C$1568-0.000001))),2)=1,IF(INT(($A63-1)/2)+1&gt;MAX(1,INT(((((CROQUIS_DATOS!$C$1507+CROQUIS_DATOS!$C$1508))-(CROQUIS_DATOS!$C$1507))+((CROQUIS_DATOS!$C$1476)*CROQUIS_DATOS!$C$1561-(0)*CROQUIS_DATOS!$C$1561))/CROQUIS_DATOS!$C$1568-0.000001)),1,MOD($A63-1,2)),1-IF(INT(($A63-1)/2)+1&gt;MAX(1,INT(((((CROQUIS_DATOS!$C$1507+CROQUIS_DATOS!$C$1508))-(CROQUIS_DATOS!$C$1507))+((CROQUIS_DATOS!$C$1476)*CROQUIS_DATOS!$C$1561-(0)*CROQUIS_DATOS!$C$1561))/CROQUIS_DATOS!$C$1568-0.000001)),1,MOD($A63-1,2)))=1,MIN((CROQUIS_DATOS!$C$1476)*CROQUIS_DATOS!$C$1561,((CROQUIS_DATOS!$C$1507+CROQUIS_DATOS!$C$1508)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3">
        <f>IF(AND(CROQUIS_DATOS!$C$1472=1,CROQUIS_DATOS!$C$1512&gt;0,((CROQUIS_DATOS!$C$1511+CROQUIS_DATOS!$C$1512))-(CROQUIS_DATOS!$C$1511)&gt;0.5,(CROQUIS_DATOS!$C$1476)-(0)&gt;0.5),(CROQUIS_DATOS!$C$1566+(IF(IF(MOD(MIN(INT(($A63-1)/2)+1,MAX(1,INT(((((CROQUIS_DATOS!$C$1511+CROQUIS_DATOS!$C$1512))-(CROQUIS_DATOS!$C$1511))+((CROQUIS_DATOS!$C$1476)*CROQUIS_DATOS!$C$1561-(0)*CROQUIS_DATOS!$C$1561))/CROQUIS_DATOS!$C$1568-0.000001))),2)=1,IF(INT(($A63-1)/2)+1&gt;MAX(1,INT(((((CROQUIS_DATOS!$C$1511+CROQUIS_DATOS!$C$1512))-(CROQUIS_DATOS!$C$1511))+((CROQUIS_DATOS!$C$1476)*CROQUIS_DATOS!$C$1561-(0)*CROQUIS_DATOS!$C$1561))/CROQUIS_DATOS!$C$1568-0.000001)),1,MOD($A63-1,2)),1-IF(INT(($A63-1)/2)+1&gt;MAX(1,INT(((((CROQUIS_DATOS!$C$1511+CROQUIS_DATOS!$C$1512))-(CROQUIS_DATOS!$C$1511))+((CROQUIS_DATOS!$C$1476)*CROQUIS_DATOS!$C$1561-(0)*CROQUIS_DATOS!$C$1561))/CROQUIS_DATOS!$C$1568-0.000001)),1,MOD($A63-1,2)))=1,MIN((CROQUIS_DATOS!$C$1476)*CROQUIS_DATOS!$C$1561,((CROQUIS_DATOS!$C$1511+CROQUIS_DATOS!$C$1512)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3">
        <f>IF(AND(CROQUIS_DATOS!$C$1472=1,CROQUIS_DATOS!$C$1512&gt;0,((CROQUIS_DATOS!$C$1511+CROQUIS_DATOS!$C$1512))-(CROQUIS_DATOS!$C$1511)&gt;0.5,(CROQUIS_DATOS!$C$1476)-(0)&gt;0.5),(CROQUIS_DATOS!$C$1567+(IF(IF(MOD(MIN(INT(($A63-1)/2)+1,MAX(1,INT(((((CROQUIS_DATOS!$C$1511+CROQUIS_DATOS!$C$1512))-(CROQUIS_DATOS!$C$1511))+((CROQUIS_DATOS!$C$1476)*CROQUIS_DATOS!$C$1561-(0)*CROQUIS_DATOS!$C$1561))/CROQUIS_DATOS!$C$1568-0.000001))),2)=1,IF(INT(($A63-1)/2)+1&gt;MAX(1,INT(((((CROQUIS_DATOS!$C$1511+CROQUIS_DATOS!$C$1512))-(CROQUIS_DATOS!$C$1511))+((CROQUIS_DATOS!$C$1476)*CROQUIS_DATOS!$C$1561-(0)*CROQUIS_DATOS!$C$1561))/CROQUIS_DATOS!$C$1568-0.000001)),1,MOD($A63-1,2)),1-IF(INT(($A63-1)/2)+1&gt;MAX(1,INT(((((CROQUIS_DATOS!$C$1511+CROQUIS_DATOS!$C$1512))-(CROQUIS_DATOS!$C$1511))+((CROQUIS_DATOS!$C$1476)*CROQUIS_DATOS!$C$1561-(0)*CROQUIS_DATOS!$C$1561))/CROQUIS_DATOS!$C$1568-0.000001)),1,MOD($A63-1,2)))=1,MIN((CROQUIS_DATOS!$C$1476)*CROQUIS_DATOS!$C$1561,((CROQUIS_DATOS!$C$1511+CROQUIS_DATOS!$C$1512)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3">
        <f>IF(AND(CROQUIS_DATOS!$C$1472=1,CROQUIS_DATOS!$C$1516&gt;0,((CROQUIS_DATOS!$C$1515+CROQUIS_DATOS!$C$1516))-(CROQUIS_DATOS!$C$1515)&gt;0.5,(CROQUIS_DATOS!$C$1476)-(0)&gt;0.5),(CROQUIS_DATOS!$C$1566+(IF(IF(MOD(MIN(INT(($A63-1)/2)+1,MAX(1,INT(((((CROQUIS_DATOS!$C$1515+CROQUIS_DATOS!$C$1516))-(CROQUIS_DATOS!$C$1515))+((CROQUIS_DATOS!$C$1476)*CROQUIS_DATOS!$C$1561-(0)*CROQUIS_DATOS!$C$1561))/CROQUIS_DATOS!$C$1568-0.000001))),2)=1,IF(INT(($A63-1)/2)+1&gt;MAX(1,INT(((((CROQUIS_DATOS!$C$1515+CROQUIS_DATOS!$C$1516))-(CROQUIS_DATOS!$C$1515))+((CROQUIS_DATOS!$C$1476)*CROQUIS_DATOS!$C$1561-(0)*CROQUIS_DATOS!$C$1561))/CROQUIS_DATOS!$C$1568-0.000001)),1,MOD($A63-1,2)),1-IF(INT(($A63-1)/2)+1&gt;MAX(1,INT(((((CROQUIS_DATOS!$C$1515+CROQUIS_DATOS!$C$1516))-(CROQUIS_DATOS!$C$1515))+((CROQUIS_DATOS!$C$1476)*CROQUIS_DATOS!$C$1561-(0)*CROQUIS_DATOS!$C$1561))/CROQUIS_DATOS!$C$1568-0.000001)),1,MOD($A63-1,2)))=1,MIN((CROQUIS_DATOS!$C$1476)*CROQUIS_DATOS!$C$1561,((CROQUIS_DATOS!$C$1515+CROQUIS_DATOS!$C$1516)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3">
        <f>IF(AND(CROQUIS_DATOS!$C$1472=1,CROQUIS_DATOS!$C$1516&gt;0,((CROQUIS_DATOS!$C$1515+CROQUIS_DATOS!$C$1516))-(CROQUIS_DATOS!$C$1515)&gt;0.5,(CROQUIS_DATOS!$C$1476)-(0)&gt;0.5),(CROQUIS_DATOS!$C$1567+(IF(IF(MOD(MIN(INT(($A63-1)/2)+1,MAX(1,INT(((((CROQUIS_DATOS!$C$1515+CROQUIS_DATOS!$C$1516))-(CROQUIS_DATOS!$C$1515))+((CROQUIS_DATOS!$C$1476)*CROQUIS_DATOS!$C$1561-(0)*CROQUIS_DATOS!$C$1561))/CROQUIS_DATOS!$C$1568-0.000001))),2)=1,IF(INT(($A63-1)/2)+1&gt;MAX(1,INT(((((CROQUIS_DATOS!$C$1515+CROQUIS_DATOS!$C$1516))-(CROQUIS_DATOS!$C$1515))+((CROQUIS_DATOS!$C$1476)*CROQUIS_DATOS!$C$1561-(0)*CROQUIS_DATOS!$C$1561))/CROQUIS_DATOS!$C$1568-0.000001)),1,MOD($A63-1,2)),1-IF(INT(($A63-1)/2)+1&gt;MAX(1,INT(((((CROQUIS_DATOS!$C$1515+CROQUIS_DATOS!$C$1516))-(CROQUIS_DATOS!$C$1515))+((CROQUIS_DATOS!$C$1476)*CROQUIS_DATOS!$C$1561-(0)*CROQUIS_DATOS!$C$1561))/CROQUIS_DATOS!$C$1568-0.000001)),1,MOD($A63-1,2)))=1,MIN((CROQUIS_DATOS!$C$1476)*CROQUIS_DATOS!$C$1561,((CROQUIS_DATOS!$C$1515+CROQUIS_DATOS!$C$1516)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3">
        <f>IF(AND(CROQUIS_DATOS!$C$1472=1,CROQUIS_DATOS!$C$1478&gt;=1,((CROQUIS_DATOS!$C$1479+CROQUIS_DATOS!$C$1480))-(CROQUIS_DATOS!$C$1479)&gt;0.5,(CROQUIS_DATOS!$C$1481)-(0)&gt;0.5),(CROQUIS_DATOS!$C$1566+(IF(IF(MOD(MIN(INT(($A63-1)/2)+1,MAX(1,INT(((((CROQUIS_DATOS!$C$1479+CROQUIS_DATOS!$C$1480))-(CROQUIS_DATOS!$C$1479))+((CROQUIS_DATOS!$C$1481)*CROQUIS_DATOS!$C$1561-(0)*CROQUIS_DATOS!$C$1561))/CROQUIS_DATOS!$C$1568-0.000001))),2)=1,IF(INT(($A63-1)/2)+1&gt;MAX(1,INT(((((CROQUIS_DATOS!$C$1479+CROQUIS_DATOS!$C$1480))-(CROQUIS_DATOS!$C$1479))+((CROQUIS_DATOS!$C$1481)*CROQUIS_DATOS!$C$1561-(0)*CROQUIS_DATOS!$C$1561))/CROQUIS_DATOS!$C$1568-0.000001)),1,MOD($A63-1,2)),1-IF(INT(($A63-1)/2)+1&gt;MAX(1,INT(((((CROQUIS_DATOS!$C$1479+CROQUIS_DATOS!$C$1480))-(CROQUIS_DATOS!$C$1479))+((CROQUIS_DATOS!$C$1481)*CROQUIS_DATOS!$C$1561-(0)*CROQUIS_DATOS!$C$1561))/CROQUIS_DATOS!$C$1568-0.000001)),1,MOD($A63-1,2)))=1,MIN((CROQUIS_DATOS!$C$1481)*CROQUIS_DATOS!$C$1561,((CROQUIS_DATOS!$C$1479+CROQUIS_DATOS!$C$1480)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3">
        <f>IF(AND(CROQUIS_DATOS!$C$1472=1,CROQUIS_DATOS!$C$1478&gt;=1,((CROQUIS_DATOS!$C$1479+CROQUIS_DATOS!$C$1480))-(CROQUIS_DATOS!$C$1479)&gt;0.5,(CROQUIS_DATOS!$C$1481)-(0)&gt;0.5),(CROQUIS_DATOS!$C$1567+(IF(IF(MOD(MIN(INT(($A63-1)/2)+1,MAX(1,INT(((((CROQUIS_DATOS!$C$1479+CROQUIS_DATOS!$C$1480))-(CROQUIS_DATOS!$C$1479))+((CROQUIS_DATOS!$C$1481)*CROQUIS_DATOS!$C$1561-(0)*CROQUIS_DATOS!$C$1561))/CROQUIS_DATOS!$C$1568-0.000001))),2)=1,IF(INT(($A63-1)/2)+1&gt;MAX(1,INT(((((CROQUIS_DATOS!$C$1479+CROQUIS_DATOS!$C$1480))-(CROQUIS_DATOS!$C$1479))+((CROQUIS_DATOS!$C$1481)*CROQUIS_DATOS!$C$1561-(0)*CROQUIS_DATOS!$C$1561))/CROQUIS_DATOS!$C$1568-0.000001)),1,MOD($A63-1,2)),1-IF(INT(($A63-1)/2)+1&gt;MAX(1,INT(((((CROQUIS_DATOS!$C$1479+CROQUIS_DATOS!$C$1480))-(CROQUIS_DATOS!$C$1479))+((CROQUIS_DATOS!$C$1481)*CROQUIS_DATOS!$C$1561-(0)*CROQUIS_DATOS!$C$1561))/CROQUIS_DATOS!$C$1568-0.000001)),1,MOD($A63-1,2)))=1,MIN((CROQUIS_DATOS!$C$1481)*CROQUIS_DATOS!$C$1561,((CROQUIS_DATOS!$C$1479+CROQUIS_DATOS!$C$1480)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3">
        <f>IF(AND(CROQUIS_DATOS!$C$1472=1,CROQUIS_DATOS!$C$1478&gt;=1,((CROQUIS_DATOS!$C$1479+CROQUIS_DATOS!$C$1480))-(CROQUIS_DATOS!$C$1479)&gt;0.5,(CROQUIS_DATOS!$C$1476)-((CROQUIS_DATOS!$C$1481+CROQUIS_DATOS!$C$1482))&gt;0.5),(CROQUIS_DATOS!$C$1566+(IF(IF(MOD(MIN(INT(($A63-1)/2)+1,MAX(1,INT(((((CROQUIS_DATOS!$C$1479+CROQUIS_DATOS!$C$1480))-(CROQUIS_DATOS!$C$1479))+((CROQUIS_DATOS!$C$1476)*CROQUIS_DATOS!$C$1561-((CROQUIS_DATOS!$C$1481+CROQUIS_DATOS!$C$1482))*CROQUIS_DATOS!$C$1561))/CROQUIS_DATOS!$C$1568-0.000001))),2)=1,IF(INT(($A63-1)/2)+1&gt;MAX(1,INT(((((CROQUIS_DATOS!$C$1479+CROQUIS_DATOS!$C$1480))-(CROQUIS_DATOS!$C$1479))+((CROQUIS_DATOS!$C$1476)*CROQUIS_DATOS!$C$1561-((CROQUIS_DATOS!$C$1481+CROQUIS_DATOS!$C$1482))*CROQUIS_DATOS!$C$1561))/CROQUIS_DATOS!$C$1568-0.000001)),1,MOD($A63-1,2)),1-IF(INT(($A63-1)/2)+1&gt;MAX(1,INT(((((CROQUIS_DATOS!$C$1479+CROQUIS_DATOS!$C$1480))-(CROQUIS_DATOS!$C$1479))+((CROQUIS_DATOS!$C$1476)*CROQUIS_DATOS!$C$1561-((CROQUIS_DATOS!$C$1481+CROQUIS_DATOS!$C$1482))*CROQUIS_DATOS!$C$1561))/CROQUIS_DATOS!$C$1568-0.000001)),1,MOD($A63-1,2)))=1,MIN((CROQUIS_DATOS!$C$1476)*CROQUIS_DATOS!$C$1561,((CROQUIS_DATOS!$C$1479+CROQUIS_DATOS!$C$1480)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3">
        <f>IF(AND(CROQUIS_DATOS!$C$1472=1,CROQUIS_DATOS!$C$1478&gt;=1,((CROQUIS_DATOS!$C$1479+CROQUIS_DATOS!$C$1480))-(CROQUIS_DATOS!$C$1479)&gt;0.5,(CROQUIS_DATOS!$C$1476)-((CROQUIS_DATOS!$C$1481+CROQUIS_DATOS!$C$1482))&gt;0.5),(CROQUIS_DATOS!$C$1567+(IF(IF(MOD(MIN(INT(($A63-1)/2)+1,MAX(1,INT(((((CROQUIS_DATOS!$C$1479+CROQUIS_DATOS!$C$1480))-(CROQUIS_DATOS!$C$1479))+((CROQUIS_DATOS!$C$1476)*CROQUIS_DATOS!$C$1561-((CROQUIS_DATOS!$C$1481+CROQUIS_DATOS!$C$1482))*CROQUIS_DATOS!$C$1561))/CROQUIS_DATOS!$C$1568-0.000001))),2)=1,IF(INT(($A63-1)/2)+1&gt;MAX(1,INT(((((CROQUIS_DATOS!$C$1479+CROQUIS_DATOS!$C$1480))-(CROQUIS_DATOS!$C$1479))+((CROQUIS_DATOS!$C$1476)*CROQUIS_DATOS!$C$1561-((CROQUIS_DATOS!$C$1481+CROQUIS_DATOS!$C$1482))*CROQUIS_DATOS!$C$1561))/CROQUIS_DATOS!$C$1568-0.000001)),1,MOD($A63-1,2)),1-IF(INT(($A63-1)/2)+1&gt;MAX(1,INT(((((CROQUIS_DATOS!$C$1479+CROQUIS_DATOS!$C$1480))-(CROQUIS_DATOS!$C$1479))+((CROQUIS_DATOS!$C$1476)*CROQUIS_DATOS!$C$1561-((CROQUIS_DATOS!$C$1481+CROQUIS_DATOS!$C$1482))*CROQUIS_DATOS!$C$1561))/CROQUIS_DATOS!$C$1568-0.000001)),1,MOD($A63-1,2)))=1,MIN((CROQUIS_DATOS!$C$1476)*CROQUIS_DATOS!$C$1561,((CROQUIS_DATOS!$C$1479+CROQUIS_DATOS!$C$1480)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3">
        <f>IF(AND(CROQUIS_DATOS!$C$1472=1,CROQUIS_DATOS!$C$1478&gt;=2,((CROQUIS_DATOS!$C$1484+CROQUIS_DATOS!$C$1485))-(CROQUIS_DATOS!$C$1484)&gt;0.5,(CROQUIS_DATOS!$C$1486)-(0)&gt;0.5),(CROQUIS_DATOS!$C$1566+(IF(IF(MOD(MIN(INT(($A63-1)/2)+1,MAX(1,INT(((((CROQUIS_DATOS!$C$1484+CROQUIS_DATOS!$C$1485))-(CROQUIS_DATOS!$C$1484))+((CROQUIS_DATOS!$C$1486)*CROQUIS_DATOS!$C$1561-(0)*CROQUIS_DATOS!$C$1561))/CROQUIS_DATOS!$C$1568-0.000001))),2)=1,IF(INT(($A63-1)/2)+1&gt;MAX(1,INT(((((CROQUIS_DATOS!$C$1484+CROQUIS_DATOS!$C$1485))-(CROQUIS_DATOS!$C$1484))+((CROQUIS_DATOS!$C$1486)*CROQUIS_DATOS!$C$1561-(0)*CROQUIS_DATOS!$C$1561))/CROQUIS_DATOS!$C$1568-0.000001)),1,MOD($A63-1,2)),1-IF(INT(($A63-1)/2)+1&gt;MAX(1,INT(((((CROQUIS_DATOS!$C$1484+CROQUIS_DATOS!$C$1485))-(CROQUIS_DATOS!$C$1484))+((CROQUIS_DATOS!$C$1486)*CROQUIS_DATOS!$C$1561-(0)*CROQUIS_DATOS!$C$1561))/CROQUIS_DATOS!$C$1568-0.000001)),1,MOD($A63-1,2)))=1,MIN((CROQUIS_DATOS!$C$1486)*CROQUIS_DATOS!$C$1561,((CROQUIS_DATOS!$C$1484+CROQUIS_DATOS!$C$1485)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3">
        <f>IF(AND(CROQUIS_DATOS!$C$1472=1,CROQUIS_DATOS!$C$1478&gt;=2,((CROQUIS_DATOS!$C$1484+CROQUIS_DATOS!$C$1485))-(CROQUIS_DATOS!$C$1484)&gt;0.5,(CROQUIS_DATOS!$C$1486)-(0)&gt;0.5),(CROQUIS_DATOS!$C$1567+(IF(IF(MOD(MIN(INT(($A63-1)/2)+1,MAX(1,INT(((((CROQUIS_DATOS!$C$1484+CROQUIS_DATOS!$C$1485))-(CROQUIS_DATOS!$C$1484))+((CROQUIS_DATOS!$C$1486)*CROQUIS_DATOS!$C$1561-(0)*CROQUIS_DATOS!$C$1561))/CROQUIS_DATOS!$C$1568-0.000001))),2)=1,IF(INT(($A63-1)/2)+1&gt;MAX(1,INT(((((CROQUIS_DATOS!$C$1484+CROQUIS_DATOS!$C$1485))-(CROQUIS_DATOS!$C$1484))+((CROQUIS_DATOS!$C$1486)*CROQUIS_DATOS!$C$1561-(0)*CROQUIS_DATOS!$C$1561))/CROQUIS_DATOS!$C$1568-0.000001)),1,MOD($A63-1,2)),1-IF(INT(($A63-1)/2)+1&gt;MAX(1,INT(((((CROQUIS_DATOS!$C$1484+CROQUIS_DATOS!$C$1485))-(CROQUIS_DATOS!$C$1484))+((CROQUIS_DATOS!$C$1486)*CROQUIS_DATOS!$C$1561-(0)*CROQUIS_DATOS!$C$1561))/CROQUIS_DATOS!$C$1568-0.000001)),1,MOD($A63-1,2)))=1,MIN((CROQUIS_DATOS!$C$1486)*CROQUIS_DATOS!$C$1561,((CROQUIS_DATOS!$C$1484+CROQUIS_DATOS!$C$1485)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3">
        <f>IF(AND(CROQUIS_DATOS!$C$1472=1,CROQUIS_DATOS!$C$1478&gt;=2,((CROQUIS_DATOS!$C$1484+CROQUIS_DATOS!$C$1485))-(CROQUIS_DATOS!$C$1484)&gt;0.5,(CROQUIS_DATOS!$C$1476)-((CROQUIS_DATOS!$C$1486+CROQUIS_DATOS!$C$1487))&gt;0.5),(CROQUIS_DATOS!$C$1566+(IF(IF(MOD(MIN(INT(($A63-1)/2)+1,MAX(1,INT(((((CROQUIS_DATOS!$C$1484+CROQUIS_DATOS!$C$1485))-(CROQUIS_DATOS!$C$1484))+((CROQUIS_DATOS!$C$1476)*CROQUIS_DATOS!$C$1561-((CROQUIS_DATOS!$C$1486+CROQUIS_DATOS!$C$1487))*CROQUIS_DATOS!$C$1561))/CROQUIS_DATOS!$C$1568-0.000001))),2)=1,IF(INT(($A63-1)/2)+1&gt;MAX(1,INT(((((CROQUIS_DATOS!$C$1484+CROQUIS_DATOS!$C$1485))-(CROQUIS_DATOS!$C$1484))+((CROQUIS_DATOS!$C$1476)*CROQUIS_DATOS!$C$1561-((CROQUIS_DATOS!$C$1486+CROQUIS_DATOS!$C$1487))*CROQUIS_DATOS!$C$1561))/CROQUIS_DATOS!$C$1568-0.000001)),1,MOD($A63-1,2)),1-IF(INT(($A63-1)/2)+1&gt;MAX(1,INT(((((CROQUIS_DATOS!$C$1484+CROQUIS_DATOS!$C$1485))-(CROQUIS_DATOS!$C$1484))+((CROQUIS_DATOS!$C$1476)*CROQUIS_DATOS!$C$1561-((CROQUIS_DATOS!$C$1486+CROQUIS_DATOS!$C$1487))*CROQUIS_DATOS!$C$1561))/CROQUIS_DATOS!$C$1568-0.000001)),1,MOD($A63-1,2)))=1,MIN((CROQUIS_DATOS!$C$1476)*CROQUIS_DATOS!$C$1561,((CROQUIS_DATOS!$C$1484+CROQUIS_DATOS!$C$1485)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3">
        <f>IF(AND(CROQUIS_DATOS!$C$1472=1,CROQUIS_DATOS!$C$1478&gt;=2,((CROQUIS_DATOS!$C$1484+CROQUIS_DATOS!$C$1485))-(CROQUIS_DATOS!$C$1484)&gt;0.5,(CROQUIS_DATOS!$C$1476)-((CROQUIS_DATOS!$C$1486+CROQUIS_DATOS!$C$1487))&gt;0.5),(CROQUIS_DATOS!$C$1567+(IF(IF(MOD(MIN(INT(($A63-1)/2)+1,MAX(1,INT(((((CROQUIS_DATOS!$C$1484+CROQUIS_DATOS!$C$1485))-(CROQUIS_DATOS!$C$1484))+((CROQUIS_DATOS!$C$1476)*CROQUIS_DATOS!$C$1561-((CROQUIS_DATOS!$C$1486+CROQUIS_DATOS!$C$1487))*CROQUIS_DATOS!$C$1561))/CROQUIS_DATOS!$C$1568-0.000001))),2)=1,IF(INT(($A63-1)/2)+1&gt;MAX(1,INT(((((CROQUIS_DATOS!$C$1484+CROQUIS_DATOS!$C$1485))-(CROQUIS_DATOS!$C$1484))+((CROQUIS_DATOS!$C$1476)*CROQUIS_DATOS!$C$1561-((CROQUIS_DATOS!$C$1486+CROQUIS_DATOS!$C$1487))*CROQUIS_DATOS!$C$1561))/CROQUIS_DATOS!$C$1568-0.000001)),1,MOD($A63-1,2)),1-IF(INT(($A63-1)/2)+1&gt;MAX(1,INT(((((CROQUIS_DATOS!$C$1484+CROQUIS_DATOS!$C$1485))-(CROQUIS_DATOS!$C$1484))+((CROQUIS_DATOS!$C$1476)*CROQUIS_DATOS!$C$1561-((CROQUIS_DATOS!$C$1486+CROQUIS_DATOS!$C$1487))*CROQUIS_DATOS!$C$1561))/CROQUIS_DATOS!$C$1568-0.000001)),1,MOD($A63-1,2)))=1,MIN((CROQUIS_DATOS!$C$1476)*CROQUIS_DATOS!$C$1561,((CROQUIS_DATOS!$C$1484+CROQUIS_DATOS!$C$1485)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3">
        <f>IF(AND(CROQUIS_DATOS!$C$1472=1,CROQUIS_DATOS!$C$1478&gt;=3,((CROQUIS_DATOS!$C$1489+CROQUIS_DATOS!$C$1490))-(CROQUIS_DATOS!$C$1489)&gt;0.5,(CROQUIS_DATOS!$C$1491)-(0)&gt;0.5),(CROQUIS_DATOS!$C$1566+(IF(IF(MOD(MIN(INT(($A63-1)/2)+1,MAX(1,INT(((((CROQUIS_DATOS!$C$1489+CROQUIS_DATOS!$C$1490))-(CROQUIS_DATOS!$C$1489))+((CROQUIS_DATOS!$C$1491)*CROQUIS_DATOS!$C$1561-(0)*CROQUIS_DATOS!$C$1561))/CROQUIS_DATOS!$C$1568-0.000001))),2)=1,IF(INT(($A63-1)/2)+1&gt;MAX(1,INT(((((CROQUIS_DATOS!$C$1489+CROQUIS_DATOS!$C$1490))-(CROQUIS_DATOS!$C$1489))+((CROQUIS_DATOS!$C$1491)*CROQUIS_DATOS!$C$1561-(0)*CROQUIS_DATOS!$C$1561))/CROQUIS_DATOS!$C$1568-0.000001)),1,MOD($A63-1,2)),1-IF(INT(($A63-1)/2)+1&gt;MAX(1,INT(((((CROQUIS_DATOS!$C$1489+CROQUIS_DATOS!$C$1490))-(CROQUIS_DATOS!$C$1489))+((CROQUIS_DATOS!$C$1491)*CROQUIS_DATOS!$C$1561-(0)*CROQUIS_DATOS!$C$1561))/CROQUIS_DATOS!$C$1568-0.000001)),1,MOD($A63-1,2)))=1,MIN((CROQUIS_DATOS!$C$1491)*CROQUIS_DATOS!$C$1561,((CROQUIS_DATOS!$C$1489+CROQUIS_DATOS!$C$1490)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3">
        <f>IF(AND(CROQUIS_DATOS!$C$1472=1,CROQUIS_DATOS!$C$1478&gt;=3,((CROQUIS_DATOS!$C$1489+CROQUIS_DATOS!$C$1490))-(CROQUIS_DATOS!$C$1489)&gt;0.5,(CROQUIS_DATOS!$C$1491)-(0)&gt;0.5),(CROQUIS_DATOS!$C$1567+(IF(IF(MOD(MIN(INT(($A63-1)/2)+1,MAX(1,INT(((((CROQUIS_DATOS!$C$1489+CROQUIS_DATOS!$C$1490))-(CROQUIS_DATOS!$C$1489))+((CROQUIS_DATOS!$C$1491)*CROQUIS_DATOS!$C$1561-(0)*CROQUIS_DATOS!$C$1561))/CROQUIS_DATOS!$C$1568-0.000001))),2)=1,IF(INT(($A63-1)/2)+1&gt;MAX(1,INT(((((CROQUIS_DATOS!$C$1489+CROQUIS_DATOS!$C$1490))-(CROQUIS_DATOS!$C$1489))+((CROQUIS_DATOS!$C$1491)*CROQUIS_DATOS!$C$1561-(0)*CROQUIS_DATOS!$C$1561))/CROQUIS_DATOS!$C$1568-0.000001)),1,MOD($A63-1,2)),1-IF(INT(($A63-1)/2)+1&gt;MAX(1,INT(((((CROQUIS_DATOS!$C$1489+CROQUIS_DATOS!$C$1490))-(CROQUIS_DATOS!$C$1489))+((CROQUIS_DATOS!$C$1491)*CROQUIS_DATOS!$C$1561-(0)*CROQUIS_DATOS!$C$1561))/CROQUIS_DATOS!$C$1568-0.000001)),1,MOD($A63-1,2)))=1,MIN((CROQUIS_DATOS!$C$1491)*CROQUIS_DATOS!$C$1561,((CROQUIS_DATOS!$C$1489+CROQUIS_DATOS!$C$1490)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3">
        <f>IF(AND(CROQUIS_DATOS!$C$1472=1,CROQUIS_DATOS!$C$1478&gt;=3,((CROQUIS_DATOS!$C$1489+CROQUIS_DATOS!$C$1490))-(CROQUIS_DATOS!$C$1489)&gt;0.5,(CROQUIS_DATOS!$C$1476)-((CROQUIS_DATOS!$C$1491+CROQUIS_DATOS!$C$1492))&gt;0.5),(CROQUIS_DATOS!$C$1566+(IF(IF(MOD(MIN(INT(($A63-1)/2)+1,MAX(1,INT(((((CROQUIS_DATOS!$C$1489+CROQUIS_DATOS!$C$1490))-(CROQUIS_DATOS!$C$1489))+((CROQUIS_DATOS!$C$1476)*CROQUIS_DATOS!$C$1561-((CROQUIS_DATOS!$C$1491+CROQUIS_DATOS!$C$1492))*CROQUIS_DATOS!$C$1561))/CROQUIS_DATOS!$C$1568-0.000001))),2)=1,IF(INT(($A63-1)/2)+1&gt;MAX(1,INT(((((CROQUIS_DATOS!$C$1489+CROQUIS_DATOS!$C$1490))-(CROQUIS_DATOS!$C$1489))+((CROQUIS_DATOS!$C$1476)*CROQUIS_DATOS!$C$1561-((CROQUIS_DATOS!$C$1491+CROQUIS_DATOS!$C$1492))*CROQUIS_DATOS!$C$1561))/CROQUIS_DATOS!$C$1568-0.000001)),1,MOD($A63-1,2)),1-IF(INT(($A63-1)/2)+1&gt;MAX(1,INT(((((CROQUIS_DATOS!$C$1489+CROQUIS_DATOS!$C$1490))-(CROQUIS_DATOS!$C$1489))+((CROQUIS_DATOS!$C$1476)*CROQUIS_DATOS!$C$1561-((CROQUIS_DATOS!$C$1491+CROQUIS_DATOS!$C$1492))*CROQUIS_DATOS!$C$1561))/CROQUIS_DATOS!$C$1568-0.000001)),1,MOD($A63-1,2)))=1,MIN((CROQUIS_DATOS!$C$1476)*CROQUIS_DATOS!$C$1561,((CROQUIS_DATOS!$C$1489+CROQUIS_DATOS!$C$1490)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3">
        <f>IF(AND(CROQUIS_DATOS!$C$1472=1,CROQUIS_DATOS!$C$1478&gt;=3,((CROQUIS_DATOS!$C$1489+CROQUIS_DATOS!$C$1490))-(CROQUIS_DATOS!$C$1489)&gt;0.5,(CROQUIS_DATOS!$C$1476)-((CROQUIS_DATOS!$C$1491+CROQUIS_DATOS!$C$1492))&gt;0.5),(CROQUIS_DATOS!$C$1567+(IF(IF(MOD(MIN(INT(($A63-1)/2)+1,MAX(1,INT(((((CROQUIS_DATOS!$C$1489+CROQUIS_DATOS!$C$1490))-(CROQUIS_DATOS!$C$1489))+((CROQUIS_DATOS!$C$1476)*CROQUIS_DATOS!$C$1561-((CROQUIS_DATOS!$C$1491+CROQUIS_DATOS!$C$1492))*CROQUIS_DATOS!$C$1561))/CROQUIS_DATOS!$C$1568-0.000001))),2)=1,IF(INT(($A63-1)/2)+1&gt;MAX(1,INT(((((CROQUIS_DATOS!$C$1489+CROQUIS_DATOS!$C$1490))-(CROQUIS_DATOS!$C$1489))+((CROQUIS_DATOS!$C$1476)*CROQUIS_DATOS!$C$1561-((CROQUIS_DATOS!$C$1491+CROQUIS_DATOS!$C$1492))*CROQUIS_DATOS!$C$1561))/CROQUIS_DATOS!$C$1568-0.000001)),1,MOD($A63-1,2)),1-IF(INT(($A63-1)/2)+1&gt;MAX(1,INT(((((CROQUIS_DATOS!$C$1489+CROQUIS_DATOS!$C$1490))-(CROQUIS_DATOS!$C$1489))+((CROQUIS_DATOS!$C$1476)*CROQUIS_DATOS!$C$1561-((CROQUIS_DATOS!$C$1491+CROQUIS_DATOS!$C$1492))*CROQUIS_DATOS!$C$1561))/CROQUIS_DATOS!$C$1568-0.000001)),1,MOD($A63-1,2)))=1,MIN((CROQUIS_DATOS!$C$1476)*CROQUIS_DATOS!$C$1561,((CROQUIS_DATOS!$C$1489+CROQUIS_DATOS!$C$1490)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3">
        <f>IF(AND(CROQUIS_DATOS!$C$1472=1,CROQUIS_DATOS!$C$1478&gt;=4,((CROQUIS_DATOS!$C$1494+CROQUIS_DATOS!$C$1495))-(CROQUIS_DATOS!$C$1494)&gt;0.5,(CROQUIS_DATOS!$C$1496)-(0)&gt;0.5),(CROQUIS_DATOS!$C$1566+(IF(IF(MOD(MIN(INT(($A63-1)/2)+1,MAX(1,INT(((((CROQUIS_DATOS!$C$1494+CROQUIS_DATOS!$C$1495))-(CROQUIS_DATOS!$C$1494))+((CROQUIS_DATOS!$C$1496)*CROQUIS_DATOS!$C$1561-(0)*CROQUIS_DATOS!$C$1561))/CROQUIS_DATOS!$C$1568-0.000001))),2)=1,IF(INT(($A63-1)/2)+1&gt;MAX(1,INT(((((CROQUIS_DATOS!$C$1494+CROQUIS_DATOS!$C$1495))-(CROQUIS_DATOS!$C$1494))+((CROQUIS_DATOS!$C$1496)*CROQUIS_DATOS!$C$1561-(0)*CROQUIS_DATOS!$C$1561))/CROQUIS_DATOS!$C$1568-0.000001)),1,MOD($A63-1,2)),1-IF(INT(($A63-1)/2)+1&gt;MAX(1,INT(((((CROQUIS_DATOS!$C$1494+CROQUIS_DATOS!$C$1495))-(CROQUIS_DATOS!$C$1494))+((CROQUIS_DATOS!$C$1496)*CROQUIS_DATOS!$C$1561-(0)*CROQUIS_DATOS!$C$1561))/CROQUIS_DATOS!$C$1568-0.000001)),1,MOD($A63-1,2)))=1,MIN((CROQUIS_DATOS!$C$1496)*CROQUIS_DATOS!$C$1561,((CROQUIS_DATOS!$C$1494+CROQUIS_DATOS!$C$1495)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3">
        <f>IF(AND(CROQUIS_DATOS!$C$1472=1,CROQUIS_DATOS!$C$1478&gt;=4,((CROQUIS_DATOS!$C$1494+CROQUIS_DATOS!$C$1495))-(CROQUIS_DATOS!$C$1494)&gt;0.5,(CROQUIS_DATOS!$C$1496)-(0)&gt;0.5),(CROQUIS_DATOS!$C$1567+(IF(IF(MOD(MIN(INT(($A63-1)/2)+1,MAX(1,INT(((((CROQUIS_DATOS!$C$1494+CROQUIS_DATOS!$C$1495))-(CROQUIS_DATOS!$C$1494))+((CROQUIS_DATOS!$C$1496)*CROQUIS_DATOS!$C$1561-(0)*CROQUIS_DATOS!$C$1561))/CROQUIS_DATOS!$C$1568-0.000001))),2)=1,IF(INT(($A63-1)/2)+1&gt;MAX(1,INT(((((CROQUIS_DATOS!$C$1494+CROQUIS_DATOS!$C$1495))-(CROQUIS_DATOS!$C$1494))+((CROQUIS_DATOS!$C$1496)*CROQUIS_DATOS!$C$1561-(0)*CROQUIS_DATOS!$C$1561))/CROQUIS_DATOS!$C$1568-0.000001)),1,MOD($A63-1,2)),1-IF(INT(($A63-1)/2)+1&gt;MAX(1,INT(((((CROQUIS_DATOS!$C$1494+CROQUIS_DATOS!$C$1495))-(CROQUIS_DATOS!$C$1494))+((CROQUIS_DATOS!$C$1496)*CROQUIS_DATOS!$C$1561-(0)*CROQUIS_DATOS!$C$1561))/CROQUIS_DATOS!$C$1568-0.000001)),1,MOD($A63-1,2)))=1,MIN((CROQUIS_DATOS!$C$1496)*CROQUIS_DATOS!$C$1561,((CROQUIS_DATOS!$C$1494+CROQUIS_DATOS!$C$1495)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3">
        <f>IF(AND(CROQUIS_DATOS!$C$1472=1,CROQUIS_DATOS!$C$1478&gt;=4,((CROQUIS_DATOS!$C$1494+CROQUIS_DATOS!$C$1495))-(CROQUIS_DATOS!$C$1494)&gt;0.5,(CROQUIS_DATOS!$C$1476)-((CROQUIS_DATOS!$C$1496+CROQUIS_DATOS!$C$1497))&gt;0.5),(CROQUIS_DATOS!$C$1566+(IF(IF(MOD(MIN(INT(($A63-1)/2)+1,MAX(1,INT(((((CROQUIS_DATOS!$C$1494+CROQUIS_DATOS!$C$1495))-(CROQUIS_DATOS!$C$1494))+((CROQUIS_DATOS!$C$1476)*CROQUIS_DATOS!$C$1561-((CROQUIS_DATOS!$C$1496+CROQUIS_DATOS!$C$1497))*CROQUIS_DATOS!$C$1561))/CROQUIS_DATOS!$C$1568-0.000001))),2)=1,IF(INT(($A63-1)/2)+1&gt;MAX(1,INT(((((CROQUIS_DATOS!$C$1494+CROQUIS_DATOS!$C$1495))-(CROQUIS_DATOS!$C$1494))+((CROQUIS_DATOS!$C$1476)*CROQUIS_DATOS!$C$1561-((CROQUIS_DATOS!$C$1496+CROQUIS_DATOS!$C$1497))*CROQUIS_DATOS!$C$1561))/CROQUIS_DATOS!$C$1568-0.000001)),1,MOD($A63-1,2)),1-IF(INT(($A63-1)/2)+1&gt;MAX(1,INT(((((CROQUIS_DATOS!$C$1494+CROQUIS_DATOS!$C$1495))-(CROQUIS_DATOS!$C$1494))+((CROQUIS_DATOS!$C$1476)*CROQUIS_DATOS!$C$1561-((CROQUIS_DATOS!$C$1496+CROQUIS_DATOS!$C$1497))*CROQUIS_DATOS!$C$1561))/CROQUIS_DATOS!$C$1568-0.000001)),1,MOD($A63-1,2)))=1,MIN((CROQUIS_DATOS!$C$1476)*CROQUIS_DATOS!$C$1561,((CROQUIS_DATOS!$C$1494+CROQUIS_DATOS!$C$1495)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3">
        <f>IF(AND(CROQUIS_DATOS!$C$1472=1,CROQUIS_DATOS!$C$1478&gt;=4,((CROQUIS_DATOS!$C$1494+CROQUIS_DATOS!$C$1495))-(CROQUIS_DATOS!$C$1494)&gt;0.5,(CROQUIS_DATOS!$C$1476)-((CROQUIS_DATOS!$C$1496+CROQUIS_DATOS!$C$1497))&gt;0.5),(CROQUIS_DATOS!$C$1567+(IF(IF(MOD(MIN(INT(($A63-1)/2)+1,MAX(1,INT(((((CROQUIS_DATOS!$C$1494+CROQUIS_DATOS!$C$1495))-(CROQUIS_DATOS!$C$1494))+((CROQUIS_DATOS!$C$1476)*CROQUIS_DATOS!$C$1561-((CROQUIS_DATOS!$C$1496+CROQUIS_DATOS!$C$1497))*CROQUIS_DATOS!$C$1561))/CROQUIS_DATOS!$C$1568-0.000001))),2)=1,IF(INT(($A63-1)/2)+1&gt;MAX(1,INT(((((CROQUIS_DATOS!$C$1494+CROQUIS_DATOS!$C$1495))-(CROQUIS_DATOS!$C$1494))+((CROQUIS_DATOS!$C$1476)*CROQUIS_DATOS!$C$1561-((CROQUIS_DATOS!$C$1496+CROQUIS_DATOS!$C$1497))*CROQUIS_DATOS!$C$1561))/CROQUIS_DATOS!$C$1568-0.000001)),1,MOD($A63-1,2)),1-IF(INT(($A63-1)/2)+1&gt;MAX(1,INT(((((CROQUIS_DATOS!$C$1494+CROQUIS_DATOS!$C$1495))-(CROQUIS_DATOS!$C$1494))+((CROQUIS_DATOS!$C$1476)*CROQUIS_DATOS!$C$1561-((CROQUIS_DATOS!$C$1496+CROQUIS_DATOS!$C$1497))*CROQUIS_DATOS!$C$1561))/CROQUIS_DATOS!$C$1568-0.000001)),1,MOD($A63-1,2)))=1,MIN((CROQUIS_DATOS!$C$1476)*CROQUIS_DATOS!$C$1561,((CROQUIS_DATOS!$C$1494+CROQUIS_DATOS!$C$1495)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3">
        <f>IF(AND(CROQUIS_DATOS!$C$1472=1,1),(CROQUIS_DATOS!$C$1571+(CHOOSE(MIN(MAX(IF(INT(($A63-1)/5)+1&gt;CROQUIS_DATOS!$C$1525,5,MOD($A63-1,5)+1),1),5),(INDEX($E$8:$E$23,MIN(INT(($A63-1)/5)+1,CROQUIS_DATOS!$C$1525))-INDEX($F$8:$F$23,MIN(INT(($A63-1)/5)+1,CROQUIS_DATOS!$C$1525))/2),(INDEX($E$8:$E$23,MIN(INT(($A63-1)/5)+1,CROQUIS_DATOS!$C$1525))+INDEX($F$8:$F$23,MIN(INT(($A63-1)/5)+1,CROQUIS_DATOS!$C$1525))/2),(INDEX($E$8:$E$23,MIN(INT(($A63-1)/5)+1,CROQUIS_DATOS!$C$1525))+INDEX($F$8:$F$23,MIN(INT(($A63-1)/5)+1,CROQUIS_DATOS!$C$1525))/2),(INDEX($E$8:$E$23,MIN(INT(($A63-1)/5)+1,CROQUIS_DATOS!$C$1525))-INDEX($F$8:$F$23,MIN(INT(($A63-1)/5)+1,CROQUIS_DATOS!$C$1525))/2),(INDEX($E$8:$E$23,MIN(INT(($A63-1)/5)+1,CROQUIS_DATOS!$C$1525))-INDEX($F$8:$F$23,MIN(INT(($A63-1)/5)+1,CROQUIS_DATOS!$C$1525))/2)))*CROQUIS_DATOS!$C$1569),-1000)</f>
        <v>95.24</v>
      </c>
      <c r="GE63">
        <f>IF(AND(CROQUIS_DATOS!$C$1472=1,1),(CROQUIS_DATOS!$C$1572+(CHOOSE(MIN(MAX(IF(INT(($A63-1)/5)+1&gt;CROQUIS_DATOS!$C$1525,5,MOD($A63-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3">
        <f>IF(AND(CROQUIS_DATOS!$C$1472=1,1),IF(INT(($A63-1)/4)+1&lt;=CROQUIS_DATOS!$C$1525,(CROQUIS_DATOS!$C$1571+((INDEX($E$8:$E$23,MIN(INT(($A63-1)/4)+1,16))+IF(OR(MOD($A63-1,4)=0,MOD($A63-1,4)=3),-1,1)*(INDEX($F$8:$F$23,MIN(INT(($A63-1)/4)+1,16))/2-(CROQUIS_DATOS!$C$1530+CROQUIS_DATOS!$C$1532+IF(OR(INT(($A63-1)/4)+1=1,INT(($A63-1)/4)+1=CROQUIS_DATOS!$C$1525),CROQUIS_DATOS!$C$1534,CROQUIS_DATOS!$C$1531)/2))))*CROQUIS_DATOS!$C$1569),-1000),-1000)</f>
        <v>-1000</v>
      </c>
      <c r="GG63">
        <f>IF(AND(CROQUIS_DATOS!$C$1472=1,1),IF(INT(($A63-1)/4)+1&lt;=CROQUIS_DATOS!$C$1525,(CROQUIS_DATOS!$C$1572+((CROQUIS_DATOS!$C$1477/2+IF(MOD($A63-1,4)&lt;2,-1,1)*(CROQUIS_DATOS!$C$1527/2-(CROQUIS_DATOS!$C$1530+CROQUIS_DATOS!$C$1532+IF(OR(INT(($A63-1)/4)+1=1,INT(($A63-1)/4)+1=CROQUIS_DATOS!$C$1525),CROQUIS_DATOS!$C$1534,CROQUIS_DATOS!$C$1531)/2))))*CROQUIS_DATOS!$C$1569*CROQUIS_DATOS!$C$1570),-1000),-1000)</f>
        <v>-1000</v>
      </c>
    </row>
    <row r="64">
      <c r="A64" t="n">
        <v>57</v>
      </c>
      <c r="J64">
        <f>IF(AND(CROQUIS_DATOS!$C$1472=1,1),(CROQUIS_DATOS!$C$1563+(CHOOSE(MIN(MAX(IF(INT(($A64-1)/4)+1&gt;CROQUIS_DATOS!$C$1525,4,MOD($A64-1,4)+1),1),4),(INDEX($E$8:$E$23,MIN(INT(($A64-1)/4)+1,CROQUIS_DATOS!$C$1525))-INDEX($F$8:$F$23,MIN(INT(($A64-1)/4)+1,CROQUIS_DATOS!$C$1525))/2),(INDEX($E$8:$E$23,MIN(INT(($A64-1)/4)+1,CROQUIS_DATOS!$C$1525))-INDEX($F$8:$F$23,MIN(INT(($A64-1)/4)+1,CROQUIS_DATOS!$C$1525))/2),(INDEX($E$8:$E$23,MIN(INT(($A64-1)/4)+1,CROQUIS_DATOS!$C$1525))+INDEX($F$8:$F$23,MIN(INT(($A64-1)/4)+1,CROQUIS_DATOS!$C$1525))/2),(INDEX($E$8:$E$23,MIN(INT(($A64-1)/4)+1,CROQUIS_DATOS!$C$1525))+INDEX($F$8:$F$23,MIN(INT(($A64-1)/4)+1,CROQUIS_DATOS!$C$1525))/2)))*CROQUIS_DATOS!$C$1562),-1000)</f>
        <v>84.9137931034483</v>
      </c>
      <c r="K64">
        <f>IF(AND(CROQUIS_DATOS!$C$1472=1,1),(CROQUIS_DATOS!$C$1564+(CHOOSE(MIN(MAX(IF(INT(($A64-1)/4)+1&gt;CROQUIS_DATOS!$C$1525,4,MOD($A64-1,4)+1),1),4),0,CROQUIS_DATOS!$C$1476,CROQUIS_DATOS!$C$1476,0))*CROQUIS_DATOS!$C$1561*CROQUIS_DATOS!$C$1562),-1000)</f>
        <v>5.29310344827586</v>
      </c>
      <c r="L64">
        <f>IF(AND(CROQUIS_DATOS!$C$1472=1,1),(CROQUIS_DATOS!$C$1563+(CHOOSE(MIN(MAX(IF(INT(($A64-1)/4)+1&gt;CROQUIS_DATOS!$C$1525,4,MOD($A64-1,4)+1),1),4),((INDEX($E$8:$E$23,MIN(INT(($A64-1)/4)+1,CROQUIS_DATOS!$C$1525))-INDEX($F$8:$F$23,MIN(INT(($A64-1)/4)+1,CROQUIS_DATOS!$C$1525))/2)+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,((INDEX($E$8:$E$23,MIN(INT(($A64-1)/4)+1,CROQUIS_DATOS!$C$1525))-INDEX($F$8:$F$23,MIN(INT(($A64-1)/4)+1,CROQUIS_DATOS!$C$1525))/2)+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,((INDEX($E$8:$E$23,MIN(INT(($A64-1)/4)+1,CROQUIS_DATOS!$C$1525))+INDEX($F$8:$F$23,MIN(INT(($A64-1)/4)+1,CROQUIS_DATOS!$C$1525))/2)-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,((INDEX($E$8:$E$23,MIN(INT(($A64-1)/4)+1,CROQUIS_DATOS!$C$1525))+INDEX($F$8:$F$23,MIN(INT(($A64-1)/4)+1,CROQUIS_DATOS!$C$1525))/2)-MIN((CROQUIS_DATOS!$C$1530+CROQUIS_DATOS!$C$1532+IF(OR(MIN(INT(($A64-1)/4)+1,CROQUIS_DATOS!$C$1525)=1,MIN(INT(($A64-1)/4)+1,CROQUIS_DATOS!$C$1525)=CROQUIS_DATOS!$C$1525),CROQUIS_DATOS!$C$1534,CROQUIS_DATOS!$C$1531)/2),INDEX($F$8:$F$23,MIN(INT(($A64-1)/4)+1,CROQUIS_DATOS!$C$1525))/2-0.5))))*CROQUIS_DATOS!$C$1562),-1000)</f>
        <v>84.4792560344828</v>
      </c>
      <c r="M64">
        <f>IF(AND(CROQUIS_DATOS!$C$1472=1,1),(CROQUIS_DATOS!$C$1564+(CHOOSE(MIN(MAX(IF(INT(($A64-1)/4)+1&gt;CROQUIS_DATOS!$C$1525,4,MOD($A64-1,4)+1),1),4),CROQUIS_DATOS!$C$1543,INDEX($I$8:$I$23,MIN(INT(($A64-1)/4)+1,CROQUIS_DATOS!$C$1525)),INDEX($I$8:$I$23,MIN(INT(($A64-1)/4)+1,CROQUIS_DATOS!$C$1525)),CROQUIS_DATOS!$C$1543))*CROQUIS_DATOS!$C$1561*CROQUIS_DATOS!$C$1562),-1000)</f>
        <v>42.5654629310345</v>
      </c>
      <c r="N64">
        <f>IF(AND(CROQUIS_DATOS!$C$1472=1,1),(CROQUIS_DATOS!$C$1563+(IF(IF(IF(INT(($A64-1)/70)+1&gt;CROQUIS_DATOS!$C$1525,70,MOD($A64-1,70)+1)=1,0,IF(IF(INT(($A64-1)/70)+1&gt;CROQUIS_DATOS!$C$1525,70,MOD($A64-1,70)+1)&gt;2*CROQUIS_DATOS!$C$1541+1,IF(MOD(CROQUIS_DATOS!$C$1541,2)=1,1,0),IF(MOD(MIN(INT((IF(INT(($A64-1)/70)+1&gt;CROQUIS_DATOS!$C$1525,70,MOD($A64-1,70)+1)-2)/2)+1,CROQUIS_DATOS!$C$1541),2)=1,IF(MOD(IF(INT(($A64-1)/70)+1&gt;CROQUIS_DATOS!$C$1525,70,MOD($A64-1,70)+1)-2,2)=0,0,1),IF(MOD(IF(INT(($A64-1)/70)+1&gt;CROQUIS_DATOS!$C$1525,70,MOD($A64-1,70)+1)-2,2)=0,1,0))))=0,(INDEX($E$8:$E$23,MIN(INT(($A64-1)/70)+1,CROQUIS_DATOS!$C$1525))-INDEX($F$8:$F$23,MIN(INT(($A64-1)/70)+1,CROQUIS_DATOS!$C$1525))/2),(INDEX($E$8:$E$23,MIN(INT(($A64-1)/70)+1,CROQUIS_DATOS!$C$1525))+INDEX($F$8:$F$23,MIN(INT(($A64-1)/70)+1,CROQUIS_DATOS!$C$1525))/2)))*CROQUIS_DATOS!$C$1562),-1000)</f>
        <v>15.0862068965517</v>
      </c>
      <c r="O64">
        <f>IF(AND(CROQUIS_DATOS!$C$1472=1,1),(CROQUIS_DATOS!$C$1564+(IF(OR(IF(INT(($A64-1)/70)+1&gt;CROQUIS_DATOS!$C$1525,70,MOD($A64-1,70)+1)=1,IF(INT(($A64-1)/70)+1&gt;CROQUIS_DATOS!$C$1525,70,MOD($A64-1,70)+1)&gt;2*CROQUIS_DATOS!$C$1541+1),CROQUIS_DATOS!$C$1476,INDEX($H$8:$H$41,MIN(INT((IF(INT(($A64-1)/70)+1&gt;CROQUIS_DATOS!$C$1525,70,MOD($A64-1,70)+1)-2)/2)+1,CROQUIS_DATOS!$C$1541))))*CROQUIS_DATOS!$C$1561*CROQUIS_DATOS!$C$1562),-1000)</f>
        <v>40.2068965517241</v>
      </c>
      <c r="P64">
        <f>IF(AND(CROQUIS_DATOS!$C$1472=1,CROQUIS_DATOS!$C$1555=1),(CROQUIS_DATOS!$C$1563+(IF(IF(OR(MOD($A64-1,62)+1=1,IF(CHOOSE(MIN(MAX(MIN(INT(($A64-1)/62)+1,5),1),5),CROQUIS_DATOS!$C$1501,CROQUIS_DATOS!$C$1505,CROQUIS_DATOS!$C$1509,CROQUIS_DATOS!$C$1513,CROQUIS_DATOS!$C$1517)=1,CROQUIS_DATOS!$C$1557,0)=0),0,IF(MOD($A64-1,62)+1&gt;2*IF(CHOOSE(MIN(MAX(MIN(INT(($A64-1)/62)+1,5),1),5),CROQUIS_DATOS!$C$1501,CROQUIS_DATOS!$C$1505,CROQUIS_DATOS!$C$1509,CROQUIS_DATOS!$C$1513,CROQUIS_DATOS!$C$1517)=1,CROQUIS_DATOS!$C$1557,0)+1,IF(MOD(IF(CHOOSE(MIN(MAX(MIN(INT(($A64-1)/62)+1,5),1),5),CROQUIS_DATOS!$C$1501,CROQUIS_DATOS!$C$1505,CROQUIS_DATOS!$C$1509,CROQUIS_DATOS!$C$1513,CROQUIS_DATOS!$C$1517)=1,CROQUIS_DATOS!$C$1557,0),2)=1,1,0),IF(MOD(MIN(INT((MOD($A64-1,62)+1-2)/2)+1,MAX(IF(CHOOSE(MIN(MAX(MIN(INT(($A64-1)/62)+1,5),1),5),CROQUIS_DATOS!$C$1501,CROQUIS_DATOS!$C$1505,CROQUIS_DATOS!$C$1509,CROQUIS_DATOS!$C$1513,CROQUIS_DATOS!$C$1517)=1,CROQUIS_DATOS!$C$1557,0),1)),2)=1,IF(MOD(MOD($A64-1,62)+1-2,2)=0,0,1),IF(MOD(MOD($A64-1,62)+1-2,2)=0,1,0))))=0,(CHOOSE(MIN(MAX(MIN(INT(($A64-1)/62)+1,5),1),5),CROQUIS_DATOS!$C$1499,CROQUIS_DATOS!$C$1503,CROQUIS_DATOS!$C$1507,CROQUIS_DATOS!$C$1511,CROQUIS_DATOS!$C$1515)+IF(CHOOSE(MIN(MAX(MIN(INT(($A64-1)/62)+1,5),1),5),CROQUIS_DATOS!$C$1501,CROQUIS_DATOS!$C$1505,CROQUIS_DATOS!$C$1509,CROQUIS_DATOS!$C$1513,CROQUIS_DATOS!$C$1517)=1,CROQUIS_DATOS!$C$1526,0)),(CHOOSE(MIN(MAX(MIN(INT(($A64-1)/62)+1,5),1),5),CROQUIS_DATOS!$C$1499,CROQUIS_DATOS!$C$1503,CROQUIS_DATOS!$C$1507,CROQUIS_DATOS!$C$1511,CROQUIS_DATOS!$C$1515)+CHOOSE(MIN(MAX(MIN(INT(($A64-1)/62)+1,5),1),5),CROQUIS_DATOS!$C$1500,CROQUIS_DATOS!$C$1504,CROQUIS_DATOS!$C$1508,CROQUIS_DATOS!$C$1512,CROQUIS_DATOS!$C$1516)-IF(CHOOSE(MIN(MAX(MIN(INT(($A64-1)/62)+1,5),1),5),CROQUIS_DATOS!$C$1501,CROQUIS_DATOS!$C$1505,CROQUIS_DATOS!$C$1509,CROQUIS_DATOS!$C$1513,CROQUIS_DATOS!$C$1517)=1,CROQUIS_DATOS!$C$1526,0))))*CROQUIS_DATOS!$C$1562),-1000)</f>
        <v>-1000</v>
      </c>
      <c r="Q64">
        <f>IF(AND(CROQUIS_DATOS!$C$1472=1,CROQUIS_DATOS!$C$1555=1),(CROQUIS_DATOS!$C$1564+(IF(OR(OR(MOD($A64-1,62)+1=1,IF(CHOOSE(MIN(MAX(MIN(INT(($A64-1)/62)+1,5),1),5),CROQUIS_DATOS!$C$1501,CROQUIS_DATOS!$C$1505,CROQUIS_DATOS!$C$1509,CROQUIS_DATOS!$C$1513,CROQUIS_DATOS!$C$1517)=1,CROQUIS_DATOS!$C$1557,0)=0),MOD($A64-1,62)+1&gt;2*IF(CHOOSE(MIN(MAX(MIN(INT(($A64-1)/62)+1,5),1),5),CROQUIS_DATOS!$C$1501,CROQUIS_DATOS!$C$1505,CROQUIS_DATOS!$C$1509,CROQUIS_DATOS!$C$1513,CROQUIS_DATOS!$C$1517)=1,CROQUIS_DATOS!$C$1557,0)+1),CROQUIS_DATOS!$C$1476,MIN(INT((MOD($A64-1,62)+1-2)/2)+1,MAX(IF(CHOOSE(MIN(MAX(MIN(INT(($A64-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4">
        <f>IF(AND(CROQUIS_DATOS!$C$1472=1,1),(CROQUIS_DATOS!$C$1563+(MIN(INT(($A64-1)/2)+1,CROQUIS_DATOS!$C$1558)*CROQUIS_DATOS!$C$1559)*CROQUIS_DATOS!$C$1562),-1000)</f>
        <v>82.2281167108753</v>
      </c>
      <c r="U64">
        <f>IF(AND(CROQUIS_DATOS!$C$1472=1,1),(CROQUIS_DATOS!$C$1564+(IF(INT(($A64-1)/2)+1&gt;CROQUIS_DATOS!$C$1558,IF(MOD(CROQUIS_DATOS!$C$1558,2)=1,CROQUIS_DATOS!$C$1476+CROQUIS_DATOS!$C$1528,CROQUIS_DATOS!$C$1476),IF(IF(MOD(MIN(INT(($A64-1)/2)+1,CROQUIS_DATOS!$C$1558),2)=1,MOD($A64-1,2),1-MOD($A64-1,2))=1,CROQUIS_DATOS!$C$1476+CROQUIS_DATOS!$C$1528,CROQUIS_DATOS!$C$1476)))*CROQUIS_DATOS!$C$1561*CROQUIS_DATOS!$C$1562),-1000)</f>
        <v>43</v>
      </c>
      <c r="BZ64">
        <f>IF(AND(CROQUIS_DATOS!$C$1472=1,CROQUIS_DATOS!$C$1500&gt;0,((CROQUIS_DATOS!$C$1499+CROQUIS_DATOS!$C$1500))-(CROQUIS_DATOS!$C$1499)&gt;0.5,(CROQUIS_DATOS!$C$1476)-(0)&gt;0.5),(CROQUIS_DATOS!$C$1566+(IF(IF(MOD(MIN(INT(($A64-1)/2)+1,MAX(1,INT(((((CROQUIS_DATOS!$C$1499+CROQUIS_DATOS!$C$1500))-(CROQUIS_DATOS!$C$1499))+((CROQUIS_DATOS!$C$1476)*CROQUIS_DATOS!$C$1561-(0)*CROQUIS_DATOS!$C$1561))/CROQUIS_DATOS!$C$1568-0.000001))),2)=1,IF(INT(($A64-1)/2)+1&gt;MAX(1,INT(((((CROQUIS_DATOS!$C$1499+CROQUIS_DATOS!$C$1500))-(CROQUIS_DATOS!$C$1499))+((CROQUIS_DATOS!$C$1476)*CROQUIS_DATOS!$C$1561-(0)*CROQUIS_DATOS!$C$1561))/CROQUIS_DATOS!$C$1568-0.000001)),1,MOD($A64-1,2)),1-IF(INT(($A64-1)/2)+1&gt;MAX(1,INT(((((CROQUIS_DATOS!$C$1499+CROQUIS_DATOS!$C$1500))-(CROQUIS_DATOS!$C$1499))+((CROQUIS_DATOS!$C$1476)*CROQUIS_DATOS!$C$1561-(0)*CROQUIS_DATOS!$C$1561))/CROQUIS_DATOS!$C$1568-0.000001)),1,MOD($A64-1,2)))=1,MIN((CROQUIS_DATOS!$C$1476)*CROQUIS_DATOS!$C$1561,((CROQUIS_DATOS!$C$1499+CROQUIS_DATOS!$C$1500)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4">
        <f>IF(AND(CROQUIS_DATOS!$C$1472=1,CROQUIS_DATOS!$C$1500&gt;0,((CROQUIS_DATOS!$C$1499+CROQUIS_DATOS!$C$1500))-(CROQUIS_DATOS!$C$1499)&gt;0.5,(CROQUIS_DATOS!$C$1476)-(0)&gt;0.5),(CROQUIS_DATOS!$C$1567+(IF(IF(MOD(MIN(INT(($A64-1)/2)+1,MAX(1,INT(((((CROQUIS_DATOS!$C$1499+CROQUIS_DATOS!$C$1500))-(CROQUIS_DATOS!$C$1499))+((CROQUIS_DATOS!$C$1476)*CROQUIS_DATOS!$C$1561-(0)*CROQUIS_DATOS!$C$1561))/CROQUIS_DATOS!$C$1568-0.000001))),2)=1,IF(INT(($A64-1)/2)+1&gt;MAX(1,INT(((((CROQUIS_DATOS!$C$1499+CROQUIS_DATOS!$C$1500))-(CROQUIS_DATOS!$C$1499))+((CROQUIS_DATOS!$C$1476)*CROQUIS_DATOS!$C$1561-(0)*CROQUIS_DATOS!$C$1561))/CROQUIS_DATOS!$C$1568-0.000001)),1,MOD($A64-1,2)),1-IF(INT(($A64-1)/2)+1&gt;MAX(1,INT(((((CROQUIS_DATOS!$C$1499+CROQUIS_DATOS!$C$1500))-(CROQUIS_DATOS!$C$1499))+((CROQUIS_DATOS!$C$1476)*CROQUIS_DATOS!$C$1561-(0)*CROQUIS_DATOS!$C$1561))/CROQUIS_DATOS!$C$1568-0.000001)),1,MOD($A64-1,2)))=1,MIN((CROQUIS_DATOS!$C$1476)*CROQUIS_DATOS!$C$1561,((CROQUIS_DATOS!$C$1499+CROQUIS_DATOS!$C$1500)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4">
        <f>IF(AND(CROQUIS_DATOS!$C$1472=1,CROQUIS_DATOS!$C$1504&gt;0,((CROQUIS_DATOS!$C$1503+CROQUIS_DATOS!$C$1504))-(CROQUIS_DATOS!$C$1503)&gt;0.5,(CROQUIS_DATOS!$C$1476)-(0)&gt;0.5),(CROQUIS_DATOS!$C$1566+(IF(IF(MOD(MIN(INT(($A64-1)/2)+1,MAX(1,INT(((((CROQUIS_DATOS!$C$1503+CROQUIS_DATOS!$C$1504))-(CROQUIS_DATOS!$C$1503))+((CROQUIS_DATOS!$C$1476)*CROQUIS_DATOS!$C$1561-(0)*CROQUIS_DATOS!$C$1561))/CROQUIS_DATOS!$C$1568-0.000001))),2)=1,IF(INT(($A64-1)/2)+1&gt;MAX(1,INT(((((CROQUIS_DATOS!$C$1503+CROQUIS_DATOS!$C$1504))-(CROQUIS_DATOS!$C$1503))+((CROQUIS_DATOS!$C$1476)*CROQUIS_DATOS!$C$1561-(0)*CROQUIS_DATOS!$C$1561))/CROQUIS_DATOS!$C$1568-0.000001)),1,MOD($A64-1,2)),1-IF(INT(($A64-1)/2)+1&gt;MAX(1,INT(((((CROQUIS_DATOS!$C$1503+CROQUIS_DATOS!$C$1504))-(CROQUIS_DATOS!$C$1503))+((CROQUIS_DATOS!$C$1476)*CROQUIS_DATOS!$C$1561-(0)*CROQUIS_DATOS!$C$1561))/CROQUIS_DATOS!$C$1568-0.000001)),1,MOD($A64-1,2)))=1,MIN((CROQUIS_DATOS!$C$1476)*CROQUIS_DATOS!$C$1561,((CROQUIS_DATOS!$C$1503+CROQUIS_DATOS!$C$1504)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4">
        <f>IF(AND(CROQUIS_DATOS!$C$1472=1,CROQUIS_DATOS!$C$1504&gt;0,((CROQUIS_DATOS!$C$1503+CROQUIS_DATOS!$C$1504))-(CROQUIS_DATOS!$C$1503)&gt;0.5,(CROQUIS_DATOS!$C$1476)-(0)&gt;0.5),(CROQUIS_DATOS!$C$1567+(IF(IF(MOD(MIN(INT(($A64-1)/2)+1,MAX(1,INT(((((CROQUIS_DATOS!$C$1503+CROQUIS_DATOS!$C$1504))-(CROQUIS_DATOS!$C$1503))+((CROQUIS_DATOS!$C$1476)*CROQUIS_DATOS!$C$1561-(0)*CROQUIS_DATOS!$C$1561))/CROQUIS_DATOS!$C$1568-0.000001))),2)=1,IF(INT(($A64-1)/2)+1&gt;MAX(1,INT(((((CROQUIS_DATOS!$C$1503+CROQUIS_DATOS!$C$1504))-(CROQUIS_DATOS!$C$1503))+((CROQUIS_DATOS!$C$1476)*CROQUIS_DATOS!$C$1561-(0)*CROQUIS_DATOS!$C$1561))/CROQUIS_DATOS!$C$1568-0.000001)),1,MOD($A64-1,2)),1-IF(INT(($A64-1)/2)+1&gt;MAX(1,INT(((((CROQUIS_DATOS!$C$1503+CROQUIS_DATOS!$C$1504))-(CROQUIS_DATOS!$C$1503))+((CROQUIS_DATOS!$C$1476)*CROQUIS_DATOS!$C$1561-(0)*CROQUIS_DATOS!$C$1561))/CROQUIS_DATOS!$C$1568-0.000001)),1,MOD($A64-1,2)))=1,MIN((CROQUIS_DATOS!$C$1476)*CROQUIS_DATOS!$C$1561,((CROQUIS_DATOS!$C$1503+CROQUIS_DATOS!$C$1504)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4">
        <f>IF(AND(CROQUIS_DATOS!$C$1472=1,CROQUIS_DATOS!$C$1508&gt;0,((CROQUIS_DATOS!$C$1507+CROQUIS_DATOS!$C$1508))-(CROQUIS_DATOS!$C$1507)&gt;0.5,(CROQUIS_DATOS!$C$1476)-(0)&gt;0.5),(CROQUIS_DATOS!$C$1566+(IF(IF(MOD(MIN(INT(($A64-1)/2)+1,MAX(1,INT(((((CROQUIS_DATOS!$C$1507+CROQUIS_DATOS!$C$1508))-(CROQUIS_DATOS!$C$1507))+((CROQUIS_DATOS!$C$1476)*CROQUIS_DATOS!$C$1561-(0)*CROQUIS_DATOS!$C$1561))/CROQUIS_DATOS!$C$1568-0.000001))),2)=1,IF(INT(($A64-1)/2)+1&gt;MAX(1,INT(((((CROQUIS_DATOS!$C$1507+CROQUIS_DATOS!$C$1508))-(CROQUIS_DATOS!$C$1507))+((CROQUIS_DATOS!$C$1476)*CROQUIS_DATOS!$C$1561-(0)*CROQUIS_DATOS!$C$1561))/CROQUIS_DATOS!$C$1568-0.000001)),1,MOD($A64-1,2)),1-IF(INT(($A64-1)/2)+1&gt;MAX(1,INT(((((CROQUIS_DATOS!$C$1507+CROQUIS_DATOS!$C$1508))-(CROQUIS_DATOS!$C$1507))+((CROQUIS_DATOS!$C$1476)*CROQUIS_DATOS!$C$1561-(0)*CROQUIS_DATOS!$C$1561))/CROQUIS_DATOS!$C$1568-0.000001)),1,MOD($A64-1,2)))=1,MIN((CROQUIS_DATOS!$C$1476)*CROQUIS_DATOS!$C$1561,((CROQUIS_DATOS!$C$1507+CROQUIS_DATOS!$C$1508)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4">
        <f>IF(AND(CROQUIS_DATOS!$C$1472=1,CROQUIS_DATOS!$C$1508&gt;0,((CROQUIS_DATOS!$C$1507+CROQUIS_DATOS!$C$1508))-(CROQUIS_DATOS!$C$1507)&gt;0.5,(CROQUIS_DATOS!$C$1476)-(0)&gt;0.5),(CROQUIS_DATOS!$C$1567+(IF(IF(MOD(MIN(INT(($A64-1)/2)+1,MAX(1,INT(((((CROQUIS_DATOS!$C$1507+CROQUIS_DATOS!$C$1508))-(CROQUIS_DATOS!$C$1507))+((CROQUIS_DATOS!$C$1476)*CROQUIS_DATOS!$C$1561-(0)*CROQUIS_DATOS!$C$1561))/CROQUIS_DATOS!$C$1568-0.000001))),2)=1,IF(INT(($A64-1)/2)+1&gt;MAX(1,INT(((((CROQUIS_DATOS!$C$1507+CROQUIS_DATOS!$C$1508))-(CROQUIS_DATOS!$C$1507))+((CROQUIS_DATOS!$C$1476)*CROQUIS_DATOS!$C$1561-(0)*CROQUIS_DATOS!$C$1561))/CROQUIS_DATOS!$C$1568-0.000001)),1,MOD($A64-1,2)),1-IF(INT(($A64-1)/2)+1&gt;MAX(1,INT(((((CROQUIS_DATOS!$C$1507+CROQUIS_DATOS!$C$1508))-(CROQUIS_DATOS!$C$1507))+((CROQUIS_DATOS!$C$1476)*CROQUIS_DATOS!$C$1561-(0)*CROQUIS_DATOS!$C$1561))/CROQUIS_DATOS!$C$1568-0.000001)),1,MOD($A64-1,2)))=1,MIN((CROQUIS_DATOS!$C$1476)*CROQUIS_DATOS!$C$1561,((CROQUIS_DATOS!$C$1507+CROQUIS_DATOS!$C$1508)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4">
        <f>IF(AND(CROQUIS_DATOS!$C$1472=1,CROQUIS_DATOS!$C$1512&gt;0,((CROQUIS_DATOS!$C$1511+CROQUIS_DATOS!$C$1512))-(CROQUIS_DATOS!$C$1511)&gt;0.5,(CROQUIS_DATOS!$C$1476)-(0)&gt;0.5),(CROQUIS_DATOS!$C$1566+(IF(IF(MOD(MIN(INT(($A64-1)/2)+1,MAX(1,INT(((((CROQUIS_DATOS!$C$1511+CROQUIS_DATOS!$C$1512))-(CROQUIS_DATOS!$C$1511))+((CROQUIS_DATOS!$C$1476)*CROQUIS_DATOS!$C$1561-(0)*CROQUIS_DATOS!$C$1561))/CROQUIS_DATOS!$C$1568-0.000001))),2)=1,IF(INT(($A64-1)/2)+1&gt;MAX(1,INT(((((CROQUIS_DATOS!$C$1511+CROQUIS_DATOS!$C$1512))-(CROQUIS_DATOS!$C$1511))+((CROQUIS_DATOS!$C$1476)*CROQUIS_DATOS!$C$1561-(0)*CROQUIS_DATOS!$C$1561))/CROQUIS_DATOS!$C$1568-0.000001)),1,MOD($A64-1,2)),1-IF(INT(($A64-1)/2)+1&gt;MAX(1,INT(((((CROQUIS_DATOS!$C$1511+CROQUIS_DATOS!$C$1512))-(CROQUIS_DATOS!$C$1511))+((CROQUIS_DATOS!$C$1476)*CROQUIS_DATOS!$C$1561-(0)*CROQUIS_DATOS!$C$1561))/CROQUIS_DATOS!$C$1568-0.000001)),1,MOD($A64-1,2)))=1,MIN((CROQUIS_DATOS!$C$1476)*CROQUIS_DATOS!$C$1561,((CROQUIS_DATOS!$C$1511+CROQUIS_DATOS!$C$1512)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4">
        <f>IF(AND(CROQUIS_DATOS!$C$1472=1,CROQUIS_DATOS!$C$1512&gt;0,((CROQUIS_DATOS!$C$1511+CROQUIS_DATOS!$C$1512))-(CROQUIS_DATOS!$C$1511)&gt;0.5,(CROQUIS_DATOS!$C$1476)-(0)&gt;0.5),(CROQUIS_DATOS!$C$1567+(IF(IF(MOD(MIN(INT(($A64-1)/2)+1,MAX(1,INT(((((CROQUIS_DATOS!$C$1511+CROQUIS_DATOS!$C$1512))-(CROQUIS_DATOS!$C$1511))+((CROQUIS_DATOS!$C$1476)*CROQUIS_DATOS!$C$1561-(0)*CROQUIS_DATOS!$C$1561))/CROQUIS_DATOS!$C$1568-0.000001))),2)=1,IF(INT(($A64-1)/2)+1&gt;MAX(1,INT(((((CROQUIS_DATOS!$C$1511+CROQUIS_DATOS!$C$1512))-(CROQUIS_DATOS!$C$1511))+((CROQUIS_DATOS!$C$1476)*CROQUIS_DATOS!$C$1561-(0)*CROQUIS_DATOS!$C$1561))/CROQUIS_DATOS!$C$1568-0.000001)),1,MOD($A64-1,2)),1-IF(INT(($A64-1)/2)+1&gt;MAX(1,INT(((((CROQUIS_DATOS!$C$1511+CROQUIS_DATOS!$C$1512))-(CROQUIS_DATOS!$C$1511))+((CROQUIS_DATOS!$C$1476)*CROQUIS_DATOS!$C$1561-(0)*CROQUIS_DATOS!$C$1561))/CROQUIS_DATOS!$C$1568-0.000001)),1,MOD($A64-1,2)))=1,MIN((CROQUIS_DATOS!$C$1476)*CROQUIS_DATOS!$C$1561,((CROQUIS_DATOS!$C$1511+CROQUIS_DATOS!$C$1512)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4">
        <f>IF(AND(CROQUIS_DATOS!$C$1472=1,CROQUIS_DATOS!$C$1516&gt;0,((CROQUIS_DATOS!$C$1515+CROQUIS_DATOS!$C$1516))-(CROQUIS_DATOS!$C$1515)&gt;0.5,(CROQUIS_DATOS!$C$1476)-(0)&gt;0.5),(CROQUIS_DATOS!$C$1566+(IF(IF(MOD(MIN(INT(($A64-1)/2)+1,MAX(1,INT(((((CROQUIS_DATOS!$C$1515+CROQUIS_DATOS!$C$1516))-(CROQUIS_DATOS!$C$1515))+((CROQUIS_DATOS!$C$1476)*CROQUIS_DATOS!$C$1561-(0)*CROQUIS_DATOS!$C$1561))/CROQUIS_DATOS!$C$1568-0.000001))),2)=1,IF(INT(($A64-1)/2)+1&gt;MAX(1,INT(((((CROQUIS_DATOS!$C$1515+CROQUIS_DATOS!$C$1516))-(CROQUIS_DATOS!$C$1515))+((CROQUIS_DATOS!$C$1476)*CROQUIS_DATOS!$C$1561-(0)*CROQUIS_DATOS!$C$1561))/CROQUIS_DATOS!$C$1568-0.000001)),1,MOD($A64-1,2)),1-IF(INT(($A64-1)/2)+1&gt;MAX(1,INT(((((CROQUIS_DATOS!$C$1515+CROQUIS_DATOS!$C$1516))-(CROQUIS_DATOS!$C$1515))+((CROQUIS_DATOS!$C$1476)*CROQUIS_DATOS!$C$1561-(0)*CROQUIS_DATOS!$C$1561))/CROQUIS_DATOS!$C$1568-0.000001)),1,MOD($A64-1,2)))=1,MIN((CROQUIS_DATOS!$C$1476)*CROQUIS_DATOS!$C$1561,((CROQUIS_DATOS!$C$1515+CROQUIS_DATOS!$C$1516)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4">
        <f>IF(AND(CROQUIS_DATOS!$C$1472=1,CROQUIS_DATOS!$C$1516&gt;0,((CROQUIS_DATOS!$C$1515+CROQUIS_DATOS!$C$1516))-(CROQUIS_DATOS!$C$1515)&gt;0.5,(CROQUIS_DATOS!$C$1476)-(0)&gt;0.5),(CROQUIS_DATOS!$C$1567+(IF(IF(MOD(MIN(INT(($A64-1)/2)+1,MAX(1,INT(((((CROQUIS_DATOS!$C$1515+CROQUIS_DATOS!$C$1516))-(CROQUIS_DATOS!$C$1515))+((CROQUIS_DATOS!$C$1476)*CROQUIS_DATOS!$C$1561-(0)*CROQUIS_DATOS!$C$1561))/CROQUIS_DATOS!$C$1568-0.000001))),2)=1,IF(INT(($A64-1)/2)+1&gt;MAX(1,INT(((((CROQUIS_DATOS!$C$1515+CROQUIS_DATOS!$C$1516))-(CROQUIS_DATOS!$C$1515))+((CROQUIS_DATOS!$C$1476)*CROQUIS_DATOS!$C$1561-(0)*CROQUIS_DATOS!$C$1561))/CROQUIS_DATOS!$C$1568-0.000001)),1,MOD($A64-1,2)),1-IF(INT(($A64-1)/2)+1&gt;MAX(1,INT(((((CROQUIS_DATOS!$C$1515+CROQUIS_DATOS!$C$1516))-(CROQUIS_DATOS!$C$1515))+((CROQUIS_DATOS!$C$1476)*CROQUIS_DATOS!$C$1561-(0)*CROQUIS_DATOS!$C$1561))/CROQUIS_DATOS!$C$1568-0.000001)),1,MOD($A64-1,2)))=1,MIN((CROQUIS_DATOS!$C$1476)*CROQUIS_DATOS!$C$1561,((CROQUIS_DATOS!$C$1515+CROQUIS_DATOS!$C$1516)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4">
        <f>IF(AND(CROQUIS_DATOS!$C$1472=1,CROQUIS_DATOS!$C$1478&gt;=1,((CROQUIS_DATOS!$C$1479+CROQUIS_DATOS!$C$1480))-(CROQUIS_DATOS!$C$1479)&gt;0.5,(CROQUIS_DATOS!$C$1481)-(0)&gt;0.5),(CROQUIS_DATOS!$C$1566+(IF(IF(MOD(MIN(INT(($A64-1)/2)+1,MAX(1,INT(((((CROQUIS_DATOS!$C$1479+CROQUIS_DATOS!$C$1480))-(CROQUIS_DATOS!$C$1479))+((CROQUIS_DATOS!$C$1481)*CROQUIS_DATOS!$C$1561-(0)*CROQUIS_DATOS!$C$1561))/CROQUIS_DATOS!$C$1568-0.000001))),2)=1,IF(INT(($A64-1)/2)+1&gt;MAX(1,INT(((((CROQUIS_DATOS!$C$1479+CROQUIS_DATOS!$C$1480))-(CROQUIS_DATOS!$C$1479))+((CROQUIS_DATOS!$C$1481)*CROQUIS_DATOS!$C$1561-(0)*CROQUIS_DATOS!$C$1561))/CROQUIS_DATOS!$C$1568-0.000001)),1,MOD($A64-1,2)),1-IF(INT(($A64-1)/2)+1&gt;MAX(1,INT(((((CROQUIS_DATOS!$C$1479+CROQUIS_DATOS!$C$1480))-(CROQUIS_DATOS!$C$1479))+((CROQUIS_DATOS!$C$1481)*CROQUIS_DATOS!$C$1561-(0)*CROQUIS_DATOS!$C$1561))/CROQUIS_DATOS!$C$1568-0.000001)),1,MOD($A64-1,2)))=1,MIN((CROQUIS_DATOS!$C$1481)*CROQUIS_DATOS!$C$1561,((CROQUIS_DATOS!$C$1479+CROQUIS_DATOS!$C$1480)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4">
        <f>IF(AND(CROQUIS_DATOS!$C$1472=1,CROQUIS_DATOS!$C$1478&gt;=1,((CROQUIS_DATOS!$C$1479+CROQUIS_DATOS!$C$1480))-(CROQUIS_DATOS!$C$1479)&gt;0.5,(CROQUIS_DATOS!$C$1481)-(0)&gt;0.5),(CROQUIS_DATOS!$C$1567+(IF(IF(MOD(MIN(INT(($A64-1)/2)+1,MAX(1,INT(((((CROQUIS_DATOS!$C$1479+CROQUIS_DATOS!$C$1480))-(CROQUIS_DATOS!$C$1479))+((CROQUIS_DATOS!$C$1481)*CROQUIS_DATOS!$C$1561-(0)*CROQUIS_DATOS!$C$1561))/CROQUIS_DATOS!$C$1568-0.000001))),2)=1,IF(INT(($A64-1)/2)+1&gt;MAX(1,INT(((((CROQUIS_DATOS!$C$1479+CROQUIS_DATOS!$C$1480))-(CROQUIS_DATOS!$C$1479))+((CROQUIS_DATOS!$C$1481)*CROQUIS_DATOS!$C$1561-(0)*CROQUIS_DATOS!$C$1561))/CROQUIS_DATOS!$C$1568-0.000001)),1,MOD($A64-1,2)),1-IF(INT(($A64-1)/2)+1&gt;MAX(1,INT(((((CROQUIS_DATOS!$C$1479+CROQUIS_DATOS!$C$1480))-(CROQUIS_DATOS!$C$1479))+((CROQUIS_DATOS!$C$1481)*CROQUIS_DATOS!$C$1561-(0)*CROQUIS_DATOS!$C$1561))/CROQUIS_DATOS!$C$1568-0.000001)),1,MOD($A64-1,2)))=1,MIN((CROQUIS_DATOS!$C$1481)*CROQUIS_DATOS!$C$1561,((CROQUIS_DATOS!$C$1479+CROQUIS_DATOS!$C$1480)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4">
        <f>IF(AND(CROQUIS_DATOS!$C$1472=1,CROQUIS_DATOS!$C$1478&gt;=1,((CROQUIS_DATOS!$C$1479+CROQUIS_DATOS!$C$1480))-(CROQUIS_DATOS!$C$1479)&gt;0.5,(CROQUIS_DATOS!$C$1476)-((CROQUIS_DATOS!$C$1481+CROQUIS_DATOS!$C$1482))&gt;0.5),(CROQUIS_DATOS!$C$1566+(IF(IF(MOD(MIN(INT(($A64-1)/2)+1,MAX(1,INT(((((CROQUIS_DATOS!$C$1479+CROQUIS_DATOS!$C$1480))-(CROQUIS_DATOS!$C$1479))+((CROQUIS_DATOS!$C$1476)*CROQUIS_DATOS!$C$1561-((CROQUIS_DATOS!$C$1481+CROQUIS_DATOS!$C$1482))*CROQUIS_DATOS!$C$1561))/CROQUIS_DATOS!$C$1568-0.000001))),2)=1,IF(INT(($A64-1)/2)+1&gt;MAX(1,INT(((((CROQUIS_DATOS!$C$1479+CROQUIS_DATOS!$C$1480))-(CROQUIS_DATOS!$C$1479))+((CROQUIS_DATOS!$C$1476)*CROQUIS_DATOS!$C$1561-((CROQUIS_DATOS!$C$1481+CROQUIS_DATOS!$C$1482))*CROQUIS_DATOS!$C$1561))/CROQUIS_DATOS!$C$1568-0.000001)),1,MOD($A64-1,2)),1-IF(INT(($A64-1)/2)+1&gt;MAX(1,INT(((((CROQUIS_DATOS!$C$1479+CROQUIS_DATOS!$C$1480))-(CROQUIS_DATOS!$C$1479))+((CROQUIS_DATOS!$C$1476)*CROQUIS_DATOS!$C$1561-((CROQUIS_DATOS!$C$1481+CROQUIS_DATOS!$C$1482))*CROQUIS_DATOS!$C$1561))/CROQUIS_DATOS!$C$1568-0.000001)),1,MOD($A64-1,2)))=1,MIN((CROQUIS_DATOS!$C$1476)*CROQUIS_DATOS!$C$1561,((CROQUIS_DATOS!$C$1479+CROQUIS_DATOS!$C$1480)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4">
        <f>IF(AND(CROQUIS_DATOS!$C$1472=1,CROQUIS_DATOS!$C$1478&gt;=1,((CROQUIS_DATOS!$C$1479+CROQUIS_DATOS!$C$1480))-(CROQUIS_DATOS!$C$1479)&gt;0.5,(CROQUIS_DATOS!$C$1476)-((CROQUIS_DATOS!$C$1481+CROQUIS_DATOS!$C$1482))&gt;0.5),(CROQUIS_DATOS!$C$1567+(IF(IF(MOD(MIN(INT(($A64-1)/2)+1,MAX(1,INT(((((CROQUIS_DATOS!$C$1479+CROQUIS_DATOS!$C$1480))-(CROQUIS_DATOS!$C$1479))+((CROQUIS_DATOS!$C$1476)*CROQUIS_DATOS!$C$1561-((CROQUIS_DATOS!$C$1481+CROQUIS_DATOS!$C$1482))*CROQUIS_DATOS!$C$1561))/CROQUIS_DATOS!$C$1568-0.000001))),2)=1,IF(INT(($A64-1)/2)+1&gt;MAX(1,INT(((((CROQUIS_DATOS!$C$1479+CROQUIS_DATOS!$C$1480))-(CROQUIS_DATOS!$C$1479))+((CROQUIS_DATOS!$C$1476)*CROQUIS_DATOS!$C$1561-((CROQUIS_DATOS!$C$1481+CROQUIS_DATOS!$C$1482))*CROQUIS_DATOS!$C$1561))/CROQUIS_DATOS!$C$1568-0.000001)),1,MOD($A64-1,2)),1-IF(INT(($A64-1)/2)+1&gt;MAX(1,INT(((((CROQUIS_DATOS!$C$1479+CROQUIS_DATOS!$C$1480))-(CROQUIS_DATOS!$C$1479))+((CROQUIS_DATOS!$C$1476)*CROQUIS_DATOS!$C$1561-((CROQUIS_DATOS!$C$1481+CROQUIS_DATOS!$C$1482))*CROQUIS_DATOS!$C$1561))/CROQUIS_DATOS!$C$1568-0.000001)),1,MOD($A64-1,2)))=1,MIN((CROQUIS_DATOS!$C$1476)*CROQUIS_DATOS!$C$1561,((CROQUIS_DATOS!$C$1479+CROQUIS_DATOS!$C$1480)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4">
        <f>IF(AND(CROQUIS_DATOS!$C$1472=1,CROQUIS_DATOS!$C$1478&gt;=2,((CROQUIS_DATOS!$C$1484+CROQUIS_DATOS!$C$1485))-(CROQUIS_DATOS!$C$1484)&gt;0.5,(CROQUIS_DATOS!$C$1486)-(0)&gt;0.5),(CROQUIS_DATOS!$C$1566+(IF(IF(MOD(MIN(INT(($A64-1)/2)+1,MAX(1,INT(((((CROQUIS_DATOS!$C$1484+CROQUIS_DATOS!$C$1485))-(CROQUIS_DATOS!$C$1484))+((CROQUIS_DATOS!$C$1486)*CROQUIS_DATOS!$C$1561-(0)*CROQUIS_DATOS!$C$1561))/CROQUIS_DATOS!$C$1568-0.000001))),2)=1,IF(INT(($A64-1)/2)+1&gt;MAX(1,INT(((((CROQUIS_DATOS!$C$1484+CROQUIS_DATOS!$C$1485))-(CROQUIS_DATOS!$C$1484))+((CROQUIS_DATOS!$C$1486)*CROQUIS_DATOS!$C$1561-(0)*CROQUIS_DATOS!$C$1561))/CROQUIS_DATOS!$C$1568-0.000001)),1,MOD($A64-1,2)),1-IF(INT(($A64-1)/2)+1&gt;MAX(1,INT(((((CROQUIS_DATOS!$C$1484+CROQUIS_DATOS!$C$1485))-(CROQUIS_DATOS!$C$1484))+((CROQUIS_DATOS!$C$1486)*CROQUIS_DATOS!$C$1561-(0)*CROQUIS_DATOS!$C$1561))/CROQUIS_DATOS!$C$1568-0.000001)),1,MOD($A64-1,2)))=1,MIN((CROQUIS_DATOS!$C$1486)*CROQUIS_DATOS!$C$1561,((CROQUIS_DATOS!$C$1484+CROQUIS_DATOS!$C$1485)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4">
        <f>IF(AND(CROQUIS_DATOS!$C$1472=1,CROQUIS_DATOS!$C$1478&gt;=2,((CROQUIS_DATOS!$C$1484+CROQUIS_DATOS!$C$1485))-(CROQUIS_DATOS!$C$1484)&gt;0.5,(CROQUIS_DATOS!$C$1486)-(0)&gt;0.5),(CROQUIS_DATOS!$C$1567+(IF(IF(MOD(MIN(INT(($A64-1)/2)+1,MAX(1,INT(((((CROQUIS_DATOS!$C$1484+CROQUIS_DATOS!$C$1485))-(CROQUIS_DATOS!$C$1484))+((CROQUIS_DATOS!$C$1486)*CROQUIS_DATOS!$C$1561-(0)*CROQUIS_DATOS!$C$1561))/CROQUIS_DATOS!$C$1568-0.000001))),2)=1,IF(INT(($A64-1)/2)+1&gt;MAX(1,INT(((((CROQUIS_DATOS!$C$1484+CROQUIS_DATOS!$C$1485))-(CROQUIS_DATOS!$C$1484))+((CROQUIS_DATOS!$C$1486)*CROQUIS_DATOS!$C$1561-(0)*CROQUIS_DATOS!$C$1561))/CROQUIS_DATOS!$C$1568-0.000001)),1,MOD($A64-1,2)),1-IF(INT(($A64-1)/2)+1&gt;MAX(1,INT(((((CROQUIS_DATOS!$C$1484+CROQUIS_DATOS!$C$1485))-(CROQUIS_DATOS!$C$1484))+((CROQUIS_DATOS!$C$1486)*CROQUIS_DATOS!$C$1561-(0)*CROQUIS_DATOS!$C$1561))/CROQUIS_DATOS!$C$1568-0.000001)),1,MOD($A64-1,2)))=1,MIN((CROQUIS_DATOS!$C$1486)*CROQUIS_DATOS!$C$1561,((CROQUIS_DATOS!$C$1484+CROQUIS_DATOS!$C$1485)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4">
        <f>IF(AND(CROQUIS_DATOS!$C$1472=1,CROQUIS_DATOS!$C$1478&gt;=2,((CROQUIS_DATOS!$C$1484+CROQUIS_DATOS!$C$1485))-(CROQUIS_DATOS!$C$1484)&gt;0.5,(CROQUIS_DATOS!$C$1476)-((CROQUIS_DATOS!$C$1486+CROQUIS_DATOS!$C$1487))&gt;0.5),(CROQUIS_DATOS!$C$1566+(IF(IF(MOD(MIN(INT(($A64-1)/2)+1,MAX(1,INT(((((CROQUIS_DATOS!$C$1484+CROQUIS_DATOS!$C$1485))-(CROQUIS_DATOS!$C$1484))+((CROQUIS_DATOS!$C$1476)*CROQUIS_DATOS!$C$1561-((CROQUIS_DATOS!$C$1486+CROQUIS_DATOS!$C$1487))*CROQUIS_DATOS!$C$1561))/CROQUIS_DATOS!$C$1568-0.000001))),2)=1,IF(INT(($A64-1)/2)+1&gt;MAX(1,INT(((((CROQUIS_DATOS!$C$1484+CROQUIS_DATOS!$C$1485))-(CROQUIS_DATOS!$C$1484))+((CROQUIS_DATOS!$C$1476)*CROQUIS_DATOS!$C$1561-((CROQUIS_DATOS!$C$1486+CROQUIS_DATOS!$C$1487))*CROQUIS_DATOS!$C$1561))/CROQUIS_DATOS!$C$1568-0.000001)),1,MOD($A64-1,2)),1-IF(INT(($A64-1)/2)+1&gt;MAX(1,INT(((((CROQUIS_DATOS!$C$1484+CROQUIS_DATOS!$C$1485))-(CROQUIS_DATOS!$C$1484))+((CROQUIS_DATOS!$C$1476)*CROQUIS_DATOS!$C$1561-((CROQUIS_DATOS!$C$1486+CROQUIS_DATOS!$C$1487))*CROQUIS_DATOS!$C$1561))/CROQUIS_DATOS!$C$1568-0.000001)),1,MOD($A64-1,2)))=1,MIN((CROQUIS_DATOS!$C$1476)*CROQUIS_DATOS!$C$1561,((CROQUIS_DATOS!$C$1484+CROQUIS_DATOS!$C$1485)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4">
        <f>IF(AND(CROQUIS_DATOS!$C$1472=1,CROQUIS_DATOS!$C$1478&gt;=2,((CROQUIS_DATOS!$C$1484+CROQUIS_DATOS!$C$1485))-(CROQUIS_DATOS!$C$1484)&gt;0.5,(CROQUIS_DATOS!$C$1476)-((CROQUIS_DATOS!$C$1486+CROQUIS_DATOS!$C$1487))&gt;0.5),(CROQUIS_DATOS!$C$1567+(IF(IF(MOD(MIN(INT(($A64-1)/2)+1,MAX(1,INT(((((CROQUIS_DATOS!$C$1484+CROQUIS_DATOS!$C$1485))-(CROQUIS_DATOS!$C$1484))+((CROQUIS_DATOS!$C$1476)*CROQUIS_DATOS!$C$1561-((CROQUIS_DATOS!$C$1486+CROQUIS_DATOS!$C$1487))*CROQUIS_DATOS!$C$1561))/CROQUIS_DATOS!$C$1568-0.000001))),2)=1,IF(INT(($A64-1)/2)+1&gt;MAX(1,INT(((((CROQUIS_DATOS!$C$1484+CROQUIS_DATOS!$C$1485))-(CROQUIS_DATOS!$C$1484))+((CROQUIS_DATOS!$C$1476)*CROQUIS_DATOS!$C$1561-((CROQUIS_DATOS!$C$1486+CROQUIS_DATOS!$C$1487))*CROQUIS_DATOS!$C$1561))/CROQUIS_DATOS!$C$1568-0.000001)),1,MOD($A64-1,2)),1-IF(INT(($A64-1)/2)+1&gt;MAX(1,INT(((((CROQUIS_DATOS!$C$1484+CROQUIS_DATOS!$C$1485))-(CROQUIS_DATOS!$C$1484))+((CROQUIS_DATOS!$C$1476)*CROQUIS_DATOS!$C$1561-((CROQUIS_DATOS!$C$1486+CROQUIS_DATOS!$C$1487))*CROQUIS_DATOS!$C$1561))/CROQUIS_DATOS!$C$1568-0.000001)),1,MOD($A64-1,2)))=1,MIN((CROQUIS_DATOS!$C$1476)*CROQUIS_DATOS!$C$1561,((CROQUIS_DATOS!$C$1484+CROQUIS_DATOS!$C$1485)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4">
        <f>IF(AND(CROQUIS_DATOS!$C$1472=1,CROQUIS_DATOS!$C$1478&gt;=3,((CROQUIS_DATOS!$C$1489+CROQUIS_DATOS!$C$1490))-(CROQUIS_DATOS!$C$1489)&gt;0.5,(CROQUIS_DATOS!$C$1491)-(0)&gt;0.5),(CROQUIS_DATOS!$C$1566+(IF(IF(MOD(MIN(INT(($A64-1)/2)+1,MAX(1,INT(((((CROQUIS_DATOS!$C$1489+CROQUIS_DATOS!$C$1490))-(CROQUIS_DATOS!$C$1489))+((CROQUIS_DATOS!$C$1491)*CROQUIS_DATOS!$C$1561-(0)*CROQUIS_DATOS!$C$1561))/CROQUIS_DATOS!$C$1568-0.000001))),2)=1,IF(INT(($A64-1)/2)+1&gt;MAX(1,INT(((((CROQUIS_DATOS!$C$1489+CROQUIS_DATOS!$C$1490))-(CROQUIS_DATOS!$C$1489))+((CROQUIS_DATOS!$C$1491)*CROQUIS_DATOS!$C$1561-(0)*CROQUIS_DATOS!$C$1561))/CROQUIS_DATOS!$C$1568-0.000001)),1,MOD($A64-1,2)),1-IF(INT(($A64-1)/2)+1&gt;MAX(1,INT(((((CROQUIS_DATOS!$C$1489+CROQUIS_DATOS!$C$1490))-(CROQUIS_DATOS!$C$1489))+((CROQUIS_DATOS!$C$1491)*CROQUIS_DATOS!$C$1561-(0)*CROQUIS_DATOS!$C$1561))/CROQUIS_DATOS!$C$1568-0.000001)),1,MOD($A64-1,2)))=1,MIN((CROQUIS_DATOS!$C$1491)*CROQUIS_DATOS!$C$1561,((CROQUIS_DATOS!$C$1489+CROQUIS_DATOS!$C$1490)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4">
        <f>IF(AND(CROQUIS_DATOS!$C$1472=1,CROQUIS_DATOS!$C$1478&gt;=3,((CROQUIS_DATOS!$C$1489+CROQUIS_DATOS!$C$1490))-(CROQUIS_DATOS!$C$1489)&gt;0.5,(CROQUIS_DATOS!$C$1491)-(0)&gt;0.5),(CROQUIS_DATOS!$C$1567+(IF(IF(MOD(MIN(INT(($A64-1)/2)+1,MAX(1,INT(((((CROQUIS_DATOS!$C$1489+CROQUIS_DATOS!$C$1490))-(CROQUIS_DATOS!$C$1489))+((CROQUIS_DATOS!$C$1491)*CROQUIS_DATOS!$C$1561-(0)*CROQUIS_DATOS!$C$1561))/CROQUIS_DATOS!$C$1568-0.000001))),2)=1,IF(INT(($A64-1)/2)+1&gt;MAX(1,INT(((((CROQUIS_DATOS!$C$1489+CROQUIS_DATOS!$C$1490))-(CROQUIS_DATOS!$C$1489))+((CROQUIS_DATOS!$C$1491)*CROQUIS_DATOS!$C$1561-(0)*CROQUIS_DATOS!$C$1561))/CROQUIS_DATOS!$C$1568-0.000001)),1,MOD($A64-1,2)),1-IF(INT(($A64-1)/2)+1&gt;MAX(1,INT(((((CROQUIS_DATOS!$C$1489+CROQUIS_DATOS!$C$1490))-(CROQUIS_DATOS!$C$1489))+((CROQUIS_DATOS!$C$1491)*CROQUIS_DATOS!$C$1561-(0)*CROQUIS_DATOS!$C$1561))/CROQUIS_DATOS!$C$1568-0.000001)),1,MOD($A64-1,2)))=1,MIN((CROQUIS_DATOS!$C$1491)*CROQUIS_DATOS!$C$1561,((CROQUIS_DATOS!$C$1489+CROQUIS_DATOS!$C$1490)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4">
        <f>IF(AND(CROQUIS_DATOS!$C$1472=1,CROQUIS_DATOS!$C$1478&gt;=3,((CROQUIS_DATOS!$C$1489+CROQUIS_DATOS!$C$1490))-(CROQUIS_DATOS!$C$1489)&gt;0.5,(CROQUIS_DATOS!$C$1476)-((CROQUIS_DATOS!$C$1491+CROQUIS_DATOS!$C$1492))&gt;0.5),(CROQUIS_DATOS!$C$1566+(IF(IF(MOD(MIN(INT(($A64-1)/2)+1,MAX(1,INT(((((CROQUIS_DATOS!$C$1489+CROQUIS_DATOS!$C$1490))-(CROQUIS_DATOS!$C$1489))+((CROQUIS_DATOS!$C$1476)*CROQUIS_DATOS!$C$1561-((CROQUIS_DATOS!$C$1491+CROQUIS_DATOS!$C$1492))*CROQUIS_DATOS!$C$1561))/CROQUIS_DATOS!$C$1568-0.000001))),2)=1,IF(INT(($A64-1)/2)+1&gt;MAX(1,INT(((((CROQUIS_DATOS!$C$1489+CROQUIS_DATOS!$C$1490))-(CROQUIS_DATOS!$C$1489))+((CROQUIS_DATOS!$C$1476)*CROQUIS_DATOS!$C$1561-((CROQUIS_DATOS!$C$1491+CROQUIS_DATOS!$C$1492))*CROQUIS_DATOS!$C$1561))/CROQUIS_DATOS!$C$1568-0.000001)),1,MOD($A64-1,2)),1-IF(INT(($A64-1)/2)+1&gt;MAX(1,INT(((((CROQUIS_DATOS!$C$1489+CROQUIS_DATOS!$C$1490))-(CROQUIS_DATOS!$C$1489))+((CROQUIS_DATOS!$C$1476)*CROQUIS_DATOS!$C$1561-((CROQUIS_DATOS!$C$1491+CROQUIS_DATOS!$C$1492))*CROQUIS_DATOS!$C$1561))/CROQUIS_DATOS!$C$1568-0.000001)),1,MOD($A64-1,2)))=1,MIN((CROQUIS_DATOS!$C$1476)*CROQUIS_DATOS!$C$1561,((CROQUIS_DATOS!$C$1489+CROQUIS_DATOS!$C$1490)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4">
        <f>IF(AND(CROQUIS_DATOS!$C$1472=1,CROQUIS_DATOS!$C$1478&gt;=3,((CROQUIS_DATOS!$C$1489+CROQUIS_DATOS!$C$1490))-(CROQUIS_DATOS!$C$1489)&gt;0.5,(CROQUIS_DATOS!$C$1476)-((CROQUIS_DATOS!$C$1491+CROQUIS_DATOS!$C$1492))&gt;0.5),(CROQUIS_DATOS!$C$1567+(IF(IF(MOD(MIN(INT(($A64-1)/2)+1,MAX(1,INT(((((CROQUIS_DATOS!$C$1489+CROQUIS_DATOS!$C$1490))-(CROQUIS_DATOS!$C$1489))+((CROQUIS_DATOS!$C$1476)*CROQUIS_DATOS!$C$1561-((CROQUIS_DATOS!$C$1491+CROQUIS_DATOS!$C$1492))*CROQUIS_DATOS!$C$1561))/CROQUIS_DATOS!$C$1568-0.000001))),2)=1,IF(INT(($A64-1)/2)+1&gt;MAX(1,INT(((((CROQUIS_DATOS!$C$1489+CROQUIS_DATOS!$C$1490))-(CROQUIS_DATOS!$C$1489))+((CROQUIS_DATOS!$C$1476)*CROQUIS_DATOS!$C$1561-((CROQUIS_DATOS!$C$1491+CROQUIS_DATOS!$C$1492))*CROQUIS_DATOS!$C$1561))/CROQUIS_DATOS!$C$1568-0.000001)),1,MOD($A64-1,2)),1-IF(INT(($A64-1)/2)+1&gt;MAX(1,INT(((((CROQUIS_DATOS!$C$1489+CROQUIS_DATOS!$C$1490))-(CROQUIS_DATOS!$C$1489))+((CROQUIS_DATOS!$C$1476)*CROQUIS_DATOS!$C$1561-((CROQUIS_DATOS!$C$1491+CROQUIS_DATOS!$C$1492))*CROQUIS_DATOS!$C$1561))/CROQUIS_DATOS!$C$1568-0.000001)),1,MOD($A64-1,2)))=1,MIN((CROQUIS_DATOS!$C$1476)*CROQUIS_DATOS!$C$1561,((CROQUIS_DATOS!$C$1489+CROQUIS_DATOS!$C$1490)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4">
        <f>IF(AND(CROQUIS_DATOS!$C$1472=1,CROQUIS_DATOS!$C$1478&gt;=4,((CROQUIS_DATOS!$C$1494+CROQUIS_DATOS!$C$1495))-(CROQUIS_DATOS!$C$1494)&gt;0.5,(CROQUIS_DATOS!$C$1496)-(0)&gt;0.5),(CROQUIS_DATOS!$C$1566+(IF(IF(MOD(MIN(INT(($A64-1)/2)+1,MAX(1,INT(((((CROQUIS_DATOS!$C$1494+CROQUIS_DATOS!$C$1495))-(CROQUIS_DATOS!$C$1494))+((CROQUIS_DATOS!$C$1496)*CROQUIS_DATOS!$C$1561-(0)*CROQUIS_DATOS!$C$1561))/CROQUIS_DATOS!$C$1568-0.000001))),2)=1,IF(INT(($A64-1)/2)+1&gt;MAX(1,INT(((((CROQUIS_DATOS!$C$1494+CROQUIS_DATOS!$C$1495))-(CROQUIS_DATOS!$C$1494))+((CROQUIS_DATOS!$C$1496)*CROQUIS_DATOS!$C$1561-(0)*CROQUIS_DATOS!$C$1561))/CROQUIS_DATOS!$C$1568-0.000001)),1,MOD($A64-1,2)),1-IF(INT(($A64-1)/2)+1&gt;MAX(1,INT(((((CROQUIS_DATOS!$C$1494+CROQUIS_DATOS!$C$1495))-(CROQUIS_DATOS!$C$1494))+((CROQUIS_DATOS!$C$1496)*CROQUIS_DATOS!$C$1561-(0)*CROQUIS_DATOS!$C$1561))/CROQUIS_DATOS!$C$1568-0.000001)),1,MOD($A64-1,2)))=1,MIN((CROQUIS_DATOS!$C$1496)*CROQUIS_DATOS!$C$1561,((CROQUIS_DATOS!$C$1494+CROQUIS_DATOS!$C$1495)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4">
        <f>IF(AND(CROQUIS_DATOS!$C$1472=1,CROQUIS_DATOS!$C$1478&gt;=4,((CROQUIS_DATOS!$C$1494+CROQUIS_DATOS!$C$1495))-(CROQUIS_DATOS!$C$1494)&gt;0.5,(CROQUIS_DATOS!$C$1496)-(0)&gt;0.5),(CROQUIS_DATOS!$C$1567+(IF(IF(MOD(MIN(INT(($A64-1)/2)+1,MAX(1,INT(((((CROQUIS_DATOS!$C$1494+CROQUIS_DATOS!$C$1495))-(CROQUIS_DATOS!$C$1494))+((CROQUIS_DATOS!$C$1496)*CROQUIS_DATOS!$C$1561-(0)*CROQUIS_DATOS!$C$1561))/CROQUIS_DATOS!$C$1568-0.000001))),2)=1,IF(INT(($A64-1)/2)+1&gt;MAX(1,INT(((((CROQUIS_DATOS!$C$1494+CROQUIS_DATOS!$C$1495))-(CROQUIS_DATOS!$C$1494))+((CROQUIS_DATOS!$C$1496)*CROQUIS_DATOS!$C$1561-(0)*CROQUIS_DATOS!$C$1561))/CROQUIS_DATOS!$C$1568-0.000001)),1,MOD($A64-1,2)),1-IF(INT(($A64-1)/2)+1&gt;MAX(1,INT(((((CROQUIS_DATOS!$C$1494+CROQUIS_DATOS!$C$1495))-(CROQUIS_DATOS!$C$1494))+((CROQUIS_DATOS!$C$1496)*CROQUIS_DATOS!$C$1561-(0)*CROQUIS_DATOS!$C$1561))/CROQUIS_DATOS!$C$1568-0.000001)),1,MOD($A64-1,2)))=1,MIN((CROQUIS_DATOS!$C$1496)*CROQUIS_DATOS!$C$1561,((CROQUIS_DATOS!$C$1494+CROQUIS_DATOS!$C$1495)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4">
        <f>IF(AND(CROQUIS_DATOS!$C$1472=1,CROQUIS_DATOS!$C$1478&gt;=4,((CROQUIS_DATOS!$C$1494+CROQUIS_DATOS!$C$1495))-(CROQUIS_DATOS!$C$1494)&gt;0.5,(CROQUIS_DATOS!$C$1476)-((CROQUIS_DATOS!$C$1496+CROQUIS_DATOS!$C$1497))&gt;0.5),(CROQUIS_DATOS!$C$1566+(IF(IF(MOD(MIN(INT(($A64-1)/2)+1,MAX(1,INT(((((CROQUIS_DATOS!$C$1494+CROQUIS_DATOS!$C$1495))-(CROQUIS_DATOS!$C$1494))+((CROQUIS_DATOS!$C$1476)*CROQUIS_DATOS!$C$1561-((CROQUIS_DATOS!$C$1496+CROQUIS_DATOS!$C$1497))*CROQUIS_DATOS!$C$1561))/CROQUIS_DATOS!$C$1568-0.000001))),2)=1,IF(INT(($A64-1)/2)+1&gt;MAX(1,INT(((((CROQUIS_DATOS!$C$1494+CROQUIS_DATOS!$C$1495))-(CROQUIS_DATOS!$C$1494))+((CROQUIS_DATOS!$C$1476)*CROQUIS_DATOS!$C$1561-((CROQUIS_DATOS!$C$1496+CROQUIS_DATOS!$C$1497))*CROQUIS_DATOS!$C$1561))/CROQUIS_DATOS!$C$1568-0.000001)),1,MOD($A64-1,2)),1-IF(INT(($A64-1)/2)+1&gt;MAX(1,INT(((((CROQUIS_DATOS!$C$1494+CROQUIS_DATOS!$C$1495))-(CROQUIS_DATOS!$C$1494))+((CROQUIS_DATOS!$C$1476)*CROQUIS_DATOS!$C$1561-((CROQUIS_DATOS!$C$1496+CROQUIS_DATOS!$C$1497))*CROQUIS_DATOS!$C$1561))/CROQUIS_DATOS!$C$1568-0.000001)),1,MOD($A64-1,2)))=1,MIN((CROQUIS_DATOS!$C$1476)*CROQUIS_DATOS!$C$1561,((CROQUIS_DATOS!$C$1494+CROQUIS_DATOS!$C$1495)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4">
        <f>IF(AND(CROQUIS_DATOS!$C$1472=1,CROQUIS_DATOS!$C$1478&gt;=4,((CROQUIS_DATOS!$C$1494+CROQUIS_DATOS!$C$1495))-(CROQUIS_DATOS!$C$1494)&gt;0.5,(CROQUIS_DATOS!$C$1476)-((CROQUIS_DATOS!$C$1496+CROQUIS_DATOS!$C$1497))&gt;0.5),(CROQUIS_DATOS!$C$1567+(IF(IF(MOD(MIN(INT(($A64-1)/2)+1,MAX(1,INT(((((CROQUIS_DATOS!$C$1494+CROQUIS_DATOS!$C$1495))-(CROQUIS_DATOS!$C$1494))+((CROQUIS_DATOS!$C$1476)*CROQUIS_DATOS!$C$1561-((CROQUIS_DATOS!$C$1496+CROQUIS_DATOS!$C$1497))*CROQUIS_DATOS!$C$1561))/CROQUIS_DATOS!$C$1568-0.000001))),2)=1,IF(INT(($A64-1)/2)+1&gt;MAX(1,INT(((((CROQUIS_DATOS!$C$1494+CROQUIS_DATOS!$C$1495))-(CROQUIS_DATOS!$C$1494))+((CROQUIS_DATOS!$C$1476)*CROQUIS_DATOS!$C$1561-((CROQUIS_DATOS!$C$1496+CROQUIS_DATOS!$C$1497))*CROQUIS_DATOS!$C$1561))/CROQUIS_DATOS!$C$1568-0.000001)),1,MOD($A64-1,2)),1-IF(INT(($A64-1)/2)+1&gt;MAX(1,INT(((((CROQUIS_DATOS!$C$1494+CROQUIS_DATOS!$C$1495))-(CROQUIS_DATOS!$C$1494))+((CROQUIS_DATOS!$C$1476)*CROQUIS_DATOS!$C$1561-((CROQUIS_DATOS!$C$1496+CROQUIS_DATOS!$C$1497))*CROQUIS_DATOS!$C$1561))/CROQUIS_DATOS!$C$1568-0.000001)),1,MOD($A64-1,2)))=1,MIN((CROQUIS_DATOS!$C$1476)*CROQUIS_DATOS!$C$1561,((CROQUIS_DATOS!$C$1494+CROQUIS_DATOS!$C$1495)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4">
        <f>IF(AND(CROQUIS_DATOS!$C$1472=1,1),(CROQUIS_DATOS!$C$1571+(CHOOSE(MIN(MAX(IF(INT(($A64-1)/5)+1&gt;CROQUIS_DATOS!$C$1525,5,MOD($A64-1,5)+1),1),5),(INDEX($E$8:$E$23,MIN(INT(($A64-1)/5)+1,CROQUIS_DATOS!$C$1525))-INDEX($F$8:$F$23,MIN(INT(($A64-1)/5)+1,CROQUIS_DATOS!$C$1525))/2),(INDEX($E$8:$E$23,MIN(INT(($A64-1)/5)+1,CROQUIS_DATOS!$C$1525))+INDEX($F$8:$F$23,MIN(INT(($A64-1)/5)+1,CROQUIS_DATOS!$C$1525))/2),(INDEX($E$8:$E$23,MIN(INT(($A64-1)/5)+1,CROQUIS_DATOS!$C$1525))+INDEX($F$8:$F$23,MIN(INT(($A64-1)/5)+1,CROQUIS_DATOS!$C$1525))/2),(INDEX($E$8:$E$23,MIN(INT(($A64-1)/5)+1,CROQUIS_DATOS!$C$1525))-INDEX($F$8:$F$23,MIN(INT(($A64-1)/5)+1,CROQUIS_DATOS!$C$1525))/2),(INDEX($E$8:$E$23,MIN(INT(($A64-1)/5)+1,CROQUIS_DATOS!$C$1525))-INDEX($F$8:$F$23,MIN(INT(($A64-1)/5)+1,CROQUIS_DATOS!$C$1525))/2)))*CROQUIS_DATOS!$C$1569),-1000)</f>
        <v>95.24</v>
      </c>
      <c r="GE64">
        <f>IF(AND(CROQUIS_DATOS!$C$1472=1,1),(CROQUIS_DATOS!$C$1572+(CHOOSE(MIN(MAX(IF(INT(($A64-1)/5)+1&gt;CROQUIS_DATOS!$C$1525,5,MOD($A64-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4">
        <f>IF(AND(CROQUIS_DATOS!$C$1472=1,1),IF(INT(($A64-1)/4)+1&lt;=CROQUIS_DATOS!$C$1525,(CROQUIS_DATOS!$C$1571+((INDEX($E$8:$E$23,MIN(INT(($A64-1)/4)+1,16))+IF(OR(MOD($A64-1,4)=0,MOD($A64-1,4)=3),-1,1)*(INDEX($F$8:$F$23,MIN(INT(($A64-1)/4)+1,16))/2-(CROQUIS_DATOS!$C$1530+CROQUIS_DATOS!$C$1532+IF(OR(INT(($A64-1)/4)+1=1,INT(($A64-1)/4)+1=CROQUIS_DATOS!$C$1525),CROQUIS_DATOS!$C$1534,CROQUIS_DATOS!$C$1531)/2))))*CROQUIS_DATOS!$C$1569),-1000),-1000)</f>
        <v>-1000</v>
      </c>
      <c r="GG64">
        <f>IF(AND(CROQUIS_DATOS!$C$1472=1,1),IF(INT(($A64-1)/4)+1&lt;=CROQUIS_DATOS!$C$1525,(CROQUIS_DATOS!$C$1572+((CROQUIS_DATOS!$C$1477/2+IF(MOD($A64-1,4)&lt;2,-1,1)*(CROQUIS_DATOS!$C$1527/2-(CROQUIS_DATOS!$C$1530+CROQUIS_DATOS!$C$1532+IF(OR(INT(($A64-1)/4)+1=1,INT(($A64-1)/4)+1=CROQUIS_DATOS!$C$1525),CROQUIS_DATOS!$C$1534,CROQUIS_DATOS!$C$1531)/2))))*CROQUIS_DATOS!$C$1569*CROQUIS_DATOS!$C$1570),-1000),-1000)</f>
        <v>-1000</v>
      </c>
    </row>
    <row r="65">
      <c r="A65" t="n">
        <v>58</v>
      </c>
      <c r="J65">
        <f>IF(AND(CROQUIS_DATOS!$C$1472=1,1),(CROQUIS_DATOS!$C$1563+(CHOOSE(MIN(MAX(IF(INT(($A65-1)/4)+1&gt;CROQUIS_DATOS!$C$1525,4,MOD($A65-1,4)+1),1),4),(INDEX($E$8:$E$23,MIN(INT(($A65-1)/4)+1,CROQUIS_DATOS!$C$1525))-INDEX($F$8:$F$23,MIN(INT(($A65-1)/4)+1,CROQUIS_DATOS!$C$1525))/2),(INDEX($E$8:$E$23,MIN(INT(($A65-1)/4)+1,CROQUIS_DATOS!$C$1525))-INDEX($F$8:$F$23,MIN(INT(($A65-1)/4)+1,CROQUIS_DATOS!$C$1525))/2),(INDEX($E$8:$E$23,MIN(INT(($A65-1)/4)+1,CROQUIS_DATOS!$C$1525))+INDEX($F$8:$F$23,MIN(INT(($A65-1)/4)+1,CROQUIS_DATOS!$C$1525))/2),(INDEX($E$8:$E$23,MIN(INT(($A65-1)/4)+1,CROQUIS_DATOS!$C$1525))+INDEX($F$8:$F$23,MIN(INT(($A65-1)/4)+1,CROQUIS_DATOS!$C$1525))/2)))*CROQUIS_DATOS!$C$1562),-1000)</f>
        <v>84.9137931034483</v>
      </c>
      <c r="K65">
        <f>IF(AND(CROQUIS_DATOS!$C$1472=1,1),(CROQUIS_DATOS!$C$1564+(CHOOSE(MIN(MAX(IF(INT(($A65-1)/4)+1&gt;CROQUIS_DATOS!$C$1525,4,MOD($A65-1,4)+1),1),4),0,CROQUIS_DATOS!$C$1476,CROQUIS_DATOS!$C$1476,0))*CROQUIS_DATOS!$C$1561*CROQUIS_DATOS!$C$1562),-1000)</f>
        <v>5.29310344827586</v>
      </c>
      <c r="L65">
        <f>IF(AND(CROQUIS_DATOS!$C$1472=1,1),(CROQUIS_DATOS!$C$1563+(CHOOSE(MIN(MAX(IF(INT(($A65-1)/4)+1&gt;CROQUIS_DATOS!$C$1525,4,MOD($A65-1,4)+1),1),4),((INDEX($E$8:$E$23,MIN(INT(($A65-1)/4)+1,CROQUIS_DATOS!$C$1525))-INDEX($F$8:$F$23,MIN(INT(($A65-1)/4)+1,CROQUIS_DATOS!$C$1525))/2)+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,((INDEX($E$8:$E$23,MIN(INT(($A65-1)/4)+1,CROQUIS_DATOS!$C$1525))-INDEX($F$8:$F$23,MIN(INT(($A65-1)/4)+1,CROQUIS_DATOS!$C$1525))/2)+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,((INDEX($E$8:$E$23,MIN(INT(($A65-1)/4)+1,CROQUIS_DATOS!$C$1525))+INDEX($F$8:$F$23,MIN(INT(($A65-1)/4)+1,CROQUIS_DATOS!$C$1525))/2)-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,((INDEX($E$8:$E$23,MIN(INT(($A65-1)/4)+1,CROQUIS_DATOS!$C$1525))+INDEX($F$8:$F$23,MIN(INT(($A65-1)/4)+1,CROQUIS_DATOS!$C$1525))/2)-MIN((CROQUIS_DATOS!$C$1530+CROQUIS_DATOS!$C$1532+IF(OR(MIN(INT(($A65-1)/4)+1,CROQUIS_DATOS!$C$1525)=1,MIN(INT(($A65-1)/4)+1,CROQUIS_DATOS!$C$1525)=CROQUIS_DATOS!$C$1525),CROQUIS_DATOS!$C$1534,CROQUIS_DATOS!$C$1531)/2),INDEX($F$8:$F$23,MIN(INT(($A65-1)/4)+1,CROQUIS_DATOS!$C$1525))/2-0.5))))*CROQUIS_DATOS!$C$1562),-1000)</f>
        <v>84.4792560344828</v>
      </c>
      <c r="M65">
        <f>IF(AND(CROQUIS_DATOS!$C$1472=1,1),(CROQUIS_DATOS!$C$1564+(CHOOSE(MIN(MAX(IF(INT(($A65-1)/4)+1&gt;CROQUIS_DATOS!$C$1525,4,MOD($A65-1,4)+1),1),4),CROQUIS_DATOS!$C$1543,INDEX($I$8:$I$23,MIN(INT(($A65-1)/4)+1,CROQUIS_DATOS!$C$1525)),INDEX($I$8:$I$23,MIN(INT(($A65-1)/4)+1,CROQUIS_DATOS!$C$1525)),CROQUIS_DATOS!$C$1543))*CROQUIS_DATOS!$C$1561*CROQUIS_DATOS!$C$1562),-1000)</f>
        <v>42.5654629310345</v>
      </c>
      <c r="N65">
        <f>IF(AND(CROQUIS_DATOS!$C$1472=1,1),(CROQUIS_DATOS!$C$1563+(IF(IF(IF(INT(($A65-1)/70)+1&gt;CROQUIS_DATOS!$C$1525,70,MOD($A65-1,70)+1)=1,0,IF(IF(INT(($A65-1)/70)+1&gt;CROQUIS_DATOS!$C$1525,70,MOD($A65-1,70)+1)&gt;2*CROQUIS_DATOS!$C$1541+1,IF(MOD(CROQUIS_DATOS!$C$1541,2)=1,1,0),IF(MOD(MIN(INT((IF(INT(($A65-1)/70)+1&gt;CROQUIS_DATOS!$C$1525,70,MOD($A65-1,70)+1)-2)/2)+1,CROQUIS_DATOS!$C$1541),2)=1,IF(MOD(IF(INT(($A65-1)/70)+1&gt;CROQUIS_DATOS!$C$1525,70,MOD($A65-1,70)+1)-2,2)=0,0,1),IF(MOD(IF(INT(($A65-1)/70)+1&gt;CROQUIS_DATOS!$C$1525,70,MOD($A65-1,70)+1)-2,2)=0,1,0))))=0,(INDEX($E$8:$E$23,MIN(INT(($A65-1)/70)+1,CROQUIS_DATOS!$C$1525))-INDEX($F$8:$F$23,MIN(INT(($A65-1)/70)+1,CROQUIS_DATOS!$C$1525))/2),(INDEX($E$8:$E$23,MIN(INT(($A65-1)/70)+1,CROQUIS_DATOS!$C$1525))+INDEX($F$8:$F$23,MIN(INT(($A65-1)/70)+1,CROQUIS_DATOS!$C$1525))/2)))*CROQUIS_DATOS!$C$1562),-1000)</f>
        <v>15.0862068965517</v>
      </c>
      <c r="O65">
        <f>IF(AND(CROQUIS_DATOS!$C$1472=1,1),(CROQUIS_DATOS!$C$1564+(IF(OR(IF(INT(($A65-1)/70)+1&gt;CROQUIS_DATOS!$C$1525,70,MOD($A65-1,70)+1)=1,IF(INT(($A65-1)/70)+1&gt;CROQUIS_DATOS!$C$1525,70,MOD($A65-1,70)+1)&gt;2*CROQUIS_DATOS!$C$1541+1),CROQUIS_DATOS!$C$1476,INDEX($H$8:$H$41,MIN(INT((IF(INT(($A65-1)/70)+1&gt;CROQUIS_DATOS!$C$1525,70,MOD($A65-1,70)+1)-2)/2)+1,CROQUIS_DATOS!$C$1541))))*CROQUIS_DATOS!$C$1561*CROQUIS_DATOS!$C$1562),-1000)</f>
        <v>40.2068965517241</v>
      </c>
      <c r="P65">
        <f>IF(AND(CROQUIS_DATOS!$C$1472=1,CROQUIS_DATOS!$C$1555=1),(CROQUIS_DATOS!$C$1563+(IF(IF(OR(MOD($A65-1,62)+1=1,IF(CHOOSE(MIN(MAX(MIN(INT(($A65-1)/62)+1,5),1),5),CROQUIS_DATOS!$C$1501,CROQUIS_DATOS!$C$1505,CROQUIS_DATOS!$C$1509,CROQUIS_DATOS!$C$1513,CROQUIS_DATOS!$C$1517)=1,CROQUIS_DATOS!$C$1557,0)=0),0,IF(MOD($A65-1,62)+1&gt;2*IF(CHOOSE(MIN(MAX(MIN(INT(($A65-1)/62)+1,5),1),5),CROQUIS_DATOS!$C$1501,CROQUIS_DATOS!$C$1505,CROQUIS_DATOS!$C$1509,CROQUIS_DATOS!$C$1513,CROQUIS_DATOS!$C$1517)=1,CROQUIS_DATOS!$C$1557,0)+1,IF(MOD(IF(CHOOSE(MIN(MAX(MIN(INT(($A65-1)/62)+1,5),1),5),CROQUIS_DATOS!$C$1501,CROQUIS_DATOS!$C$1505,CROQUIS_DATOS!$C$1509,CROQUIS_DATOS!$C$1513,CROQUIS_DATOS!$C$1517)=1,CROQUIS_DATOS!$C$1557,0),2)=1,1,0),IF(MOD(MIN(INT((MOD($A65-1,62)+1-2)/2)+1,MAX(IF(CHOOSE(MIN(MAX(MIN(INT(($A65-1)/62)+1,5),1),5),CROQUIS_DATOS!$C$1501,CROQUIS_DATOS!$C$1505,CROQUIS_DATOS!$C$1509,CROQUIS_DATOS!$C$1513,CROQUIS_DATOS!$C$1517)=1,CROQUIS_DATOS!$C$1557,0),1)),2)=1,IF(MOD(MOD($A65-1,62)+1-2,2)=0,0,1),IF(MOD(MOD($A65-1,62)+1-2,2)=0,1,0))))=0,(CHOOSE(MIN(MAX(MIN(INT(($A65-1)/62)+1,5),1),5),CROQUIS_DATOS!$C$1499,CROQUIS_DATOS!$C$1503,CROQUIS_DATOS!$C$1507,CROQUIS_DATOS!$C$1511,CROQUIS_DATOS!$C$1515)+IF(CHOOSE(MIN(MAX(MIN(INT(($A65-1)/62)+1,5),1),5),CROQUIS_DATOS!$C$1501,CROQUIS_DATOS!$C$1505,CROQUIS_DATOS!$C$1509,CROQUIS_DATOS!$C$1513,CROQUIS_DATOS!$C$1517)=1,CROQUIS_DATOS!$C$1526,0)),(CHOOSE(MIN(MAX(MIN(INT(($A65-1)/62)+1,5),1),5),CROQUIS_DATOS!$C$1499,CROQUIS_DATOS!$C$1503,CROQUIS_DATOS!$C$1507,CROQUIS_DATOS!$C$1511,CROQUIS_DATOS!$C$1515)+CHOOSE(MIN(MAX(MIN(INT(($A65-1)/62)+1,5),1),5),CROQUIS_DATOS!$C$1500,CROQUIS_DATOS!$C$1504,CROQUIS_DATOS!$C$1508,CROQUIS_DATOS!$C$1512,CROQUIS_DATOS!$C$1516)-IF(CHOOSE(MIN(MAX(MIN(INT(($A65-1)/62)+1,5),1),5),CROQUIS_DATOS!$C$1501,CROQUIS_DATOS!$C$1505,CROQUIS_DATOS!$C$1509,CROQUIS_DATOS!$C$1513,CROQUIS_DATOS!$C$1517)=1,CROQUIS_DATOS!$C$1526,0))))*CROQUIS_DATOS!$C$1562),-1000)</f>
        <v>-1000</v>
      </c>
      <c r="Q65">
        <f>IF(AND(CROQUIS_DATOS!$C$1472=1,CROQUIS_DATOS!$C$1555=1),(CROQUIS_DATOS!$C$1564+(IF(OR(OR(MOD($A65-1,62)+1=1,IF(CHOOSE(MIN(MAX(MIN(INT(($A65-1)/62)+1,5),1),5),CROQUIS_DATOS!$C$1501,CROQUIS_DATOS!$C$1505,CROQUIS_DATOS!$C$1509,CROQUIS_DATOS!$C$1513,CROQUIS_DATOS!$C$1517)=1,CROQUIS_DATOS!$C$1557,0)=0),MOD($A65-1,62)+1&gt;2*IF(CHOOSE(MIN(MAX(MIN(INT(($A65-1)/62)+1,5),1),5),CROQUIS_DATOS!$C$1501,CROQUIS_DATOS!$C$1505,CROQUIS_DATOS!$C$1509,CROQUIS_DATOS!$C$1513,CROQUIS_DATOS!$C$1517)=1,CROQUIS_DATOS!$C$1557,0)+1),CROQUIS_DATOS!$C$1476,MIN(INT((MOD($A65-1,62)+1-2)/2)+1,MAX(IF(CHOOSE(MIN(MAX(MIN(INT(($A65-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5">
        <f>IF(AND(CROQUIS_DATOS!$C$1472=1,1),(CROQUIS_DATOS!$C$1563+(MIN(INT(($A65-1)/2)+1,CROQUIS_DATOS!$C$1558)*CROQUIS_DATOS!$C$1559)*CROQUIS_DATOS!$C$1562),-1000)</f>
        <v>82.2281167108753</v>
      </c>
      <c r="U65">
        <f>IF(AND(CROQUIS_DATOS!$C$1472=1,1),(CROQUIS_DATOS!$C$1564+(IF(INT(($A65-1)/2)+1&gt;CROQUIS_DATOS!$C$1558,IF(MOD(CROQUIS_DATOS!$C$1558,2)=1,CROQUIS_DATOS!$C$1476+CROQUIS_DATOS!$C$1528,CROQUIS_DATOS!$C$1476),IF(IF(MOD(MIN(INT(($A65-1)/2)+1,CROQUIS_DATOS!$C$1558),2)=1,MOD($A65-1,2),1-MOD($A65-1,2))=1,CROQUIS_DATOS!$C$1476+CROQUIS_DATOS!$C$1528,CROQUIS_DATOS!$C$1476)))*CROQUIS_DATOS!$C$1561*CROQUIS_DATOS!$C$1562),-1000)</f>
        <v>43</v>
      </c>
      <c r="BZ65">
        <f>IF(AND(CROQUIS_DATOS!$C$1472=1,CROQUIS_DATOS!$C$1500&gt;0,((CROQUIS_DATOS!$C$1499+CROQUIS_DATOS!$C$1500))-(CROQUIS_DATOS!$C$1499)&gt;0.5,(CROQUIS_DATOS!$C$1476)-(0)&gt;0.5),(CROQUIS_DATOS!$C$1566+(IF(IF(MOD(MIN(INT(($A65-1)/2)+1,MAX(1,INT(((((CROQUIS_DATOS!$C$1499+CROQUIS_DATOS!$C$1500))-(CROQUIS_DATOS!$C$1499))+((CROQUIS_DATOS!$C$1476)*CROQUIS_DATOS!$C$1561-(0)*CROQUIS_DATOS!$C$1561))/CROQUIS_DATOS!$C$1568-0.000001))),2)=1,IF(INT(($A65-1)/2)+1&gt;MAX(1,INT(((((CROQUIS_DATOS!$C$1499+CROQUIS_DATOS!$C$1500))-(CROQUIS_DATOS!$C$1499))+((CROQUIS_DATOS!$C$1476)*CROQUIS_DATOS!$C$1561-(0)*CROQUIS_DATOS!$C$1561))/CROQUIS_DATOS!$C$1568-0.000001)),1,MOD($A65-1,2)),1-IF(INT(($A65-1)/2)+1&gt;MAX(1,INT(((((CROQUIS_DATOS!$C$1499+CROQUIS_DATOS!$C$1500))-(CROQUIS_DATOS!$C$1499))+((CROQUIS_DATOS!$C$1476)*CROQUIS_DATOS!$C$1561-(0)*CROQUIS_DATOS!$C$1561))/CROQUIS_DATOS!$C$1568-0.000001)),1,MOD($A65-1,2)))=1,MIN((CROQUIS_DATOS!$C$1476)*CROQUIS_DATOS!$C$1561,((CROQUIS_DATOS!$C$1499+CROQUIS_DATOS!$C$1500)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5">
        <f>IF(AND(CROQUIS_DATOS!$C$1472=1,CROQUIS_DATOS!$C$1500&gt;0,((CROQUIS_DATOS!$C$1499+CROQUIS_DATOS!$C$1500))-(CROQUIS_DATOS!$C$1499)&gt;0.5,(CROQUIS_DATOS!$C$1476)-(0)&gt;0.5),(CROQUIS_DATOS!$C$1567+(IF(IF(MOD(MIN(INT(($A65-1)/2)+1,MAX(1,INT(((((CROQUIS_DATOS!$C$1499+CROQUIS_DATOS!$C$1500))-(CROQUIS_DATOS!$C$1499))+((CROQUIS_DATOS!$C$1476)*CROQUIS_DATOS!$C$1561-(0)*CROQUIS_DATOS!$C$1561))/CROQUIS_DATOS!$C$1568-0.000001))),2)=1,IF(INT(($A65-1)/2)+1&gt;MAX(1,INT(((((CROQUIS_DATOS!$C$1499+CROQUIS_DATOS!$C$1500))-(CROQUIS_DATOS!$C$1499))+((CROQUIS_DATOS!$C$1476)*CROQUIS_DATOS!$C$1561-(0)*CROQUIS_DATOS!$C$1561))/CROQUIS_DATOS!$C$1568-0.000001)),1,MOD($A65-1,2)),1-IF(INT(($A65-1)/2)+1&gt;MAX(1,INT(((((CROQUIS_DATOS!$C$1499+CROQUIS_DATOS!$C$1500))-(CROQUIS_DATOS!$C$1499))+((CROQUIS_DATOS!$C$1476)*CROQUIS_DATOS!$C$1561-(0)*CROQUIS_DATOS!$C$1561))/CROQUIS_DATOS!$C$1568-0.000001)),1,MOD($A65-1,2)))=1,MIN((CROQUIS_DATOS!$C$1476)*CROQUIS_DATOS!$C$1561,((CROQUIS_DATOS!$C$1499+CROQUIS_DATOS!$C$1500)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5">
        <f>IF(AND(CROQUIS_DATOS!$C$1472=1,CROQUIS_DATOS!$C$1504&gt;0,((CROQUIS_DATOS!$C$1503+CROQUIS_DATOS!$C$1504))-(CROQUIS_DATOS!$C$1503)&gt;0.5,(CROQUIS_DATOS!$C$1476)-(0)&gt;0.5),(CROQUIS_DATOS!$C$1566+(IF(IF(MOD(MIN(INT(($A65-1)/2)+1,MAX(1,INT(((((CROQUIS_DATOS!$C$1503+CROQUIS_DATOS!$C$1504))-(CROQUIS_DATOS!$C$1503))+((CROQUIS_DATOS!$C$1476)*CROQUIS_DATOS!$C$1561-(0)*CROQUIS_DATOS!$C$1561))/CROQUIS_DATOS!$C$1568-0.000001))),2)=1,IF(INT(($A65-1)/2)+1&gt;MAX(1,INT(((((CROQUIS_DATOS!$C$1503+CROQUIS_DATOS!$C$1504))-(CROQUIS_DATOS!$C$1503))+((CROQUIS_DATOS!$C$1476)*CROQUIS_DATOS!$C$1561-(0)*CROQUIS_DATOS!$C$1561))/CROQUIS_DATOS!$C$1568-0.000001)),1,MOD($A65-1,2)),1-IF(INT(($A65-1)/2)+1&gt;MAX(1,INT(((((CROQUIS_DATOS!$C$1503+CROQUIS_DATOS!$C$1504))-(CROQUIS_DATOS!$C$1503))+((CROQUIS_DATOS!$C$1476)*CROQUIS_DATOS!$C$1561-(0)*CROQUIS_DATOS!$C$1561))/CROQUIS_DATOS!$C$1568-0.000001)),1,MOD($A65-1,2)))=1,MIN((CROQUIS_DATOS!$C$1476)*CROQUIS_DATOS!$C$1561,((CROQUIS_DATOS!$C$1503+CROQUIS_DATOS!$C$1504)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5">
        <f>IF(AND(CROQUIS_DATOS!$C$1472=1,CROQUIS_DATOS!$C$1504&gt;0,((CROQUIS_DATOS!$C$1503+CROQUIS_DATOS!$C$1504))-(CROQUIS_DATOS!$C$1503)&gt;0.5,(CROQUIS_DATOS!$C$1476)-(0)&gt;0.5),(CROQUIS_DATOS!$C$1567+(IF(IF(MOD(MIN(INT(($A65-1)/2)+1,MAX(1,INT(((((CROQUIS_DATOS!$C$1503+CROQUIS_DATOS!$C$1504))-(CROQUIS_DATOS!$C$1503))+((CROQUIS_DATOS!$C$1476)*CROQUIS_DATOS!$C$1561-(0)*CROQUIS_DATOS!$C$1561))/CROQUIS_DATOS!$C$1568-0.000001))),2)=1,IF(INT(($A65-1)/2)+1&gt;MAX(1,INT(((((CROQUIS_DATOS!$C$1503+CROQUIS_DATOS!$C$1504))-(CROQUIS_DATOS!$C$1503))+((CROQUIS_DATOS!$C$1476)*CROQUIS_DATOS!$C$1561-(0)*CROQUIS_DATOS!$C$1561))/CROQUIS_DATOS!$C$1568-0.000001)),1,MOD($A65-1,2)),1-IF(INT(($A65-1)/2)+1&gt;MAX(1,INT(((((CROQUIS_DATOS!$C$1503+CROQUIS_DATOS!$C$1504))-(CROQUIS_DATOS!$C$1503))+((CROQUIS_DATOS!$C$1476)*CROQUIS_DATOS!$C$1561-(0)*CROQUIS_DATOS!$C$1561))/CROQUIS_DATOS!$C$1568-0.000001)),1,MOD($A65-1,2)))=1,MIN((CROQUIS_DATOS!$C$1476)*CROQUIS_DATOS!$C$1561,((CROQUIS_DATOS!$C$1503+CROQUIS_DATOS!$C$1504)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5">
        <f>IF(AND(CROQUIS_DATOS!$C$1472=1,CROQUIS_DATOS!$C$1508&gt;0,((CROQUIS_DATOS!$C$1507+CROQUIS_DATOS!$C$1508))-(CROQUIS_DATOS!$C$1507)&gt;0.5,(CROQUIS_DATOS!$C$1476)-(0)&gt;0.5),(CROQUIS_DATOS!$C$1566+(IF(IF(MOD(MIN(INT(($A65-1)/2)+1,MAX(1,INT(((((CROQUIS_DATOS!$C$1507+CROQUIS_DATOS!$C$1508))-(CROQUIS_DATOS!$C$1507))+((CROQUIS_DATOS!$C$1476)*CROQUIS_DATOS!$C$1561-(0)*CROQUIS_DATOS!$C$1561))/CROQUIS_DATOS!$C$1568-0.000001))),2)=1,IF(INT(($A65-1)/2)+1&gt;MAX(1,INT(((((CROQUIS_DATOS!$C$1507+CROQUIS_DATOS!$C$1508))-(CROQUIS_DATOS!$C$1507))+((CROQUIS_DATOS!$C$1476)*CROQUIS_DATOS!$C$1561-(0)*CROQUIS_DATOS!$C$1561))/CROQUIS_DATOS!$C$1568-0.000001)),1,MOD($A65-1,2)),1-IF(INT(($A65-1)/2)+1&gt;MAX(1,INT(((((CROQUIS_DATOS!$C$1507+CROQUIS_DATOS!$C$1508))-(CROQUIS_DATOS!$C$1507))+((CROQUIS_DATOS!$C$1476)*CROQUIS_DATOS!$C$1561-(0)*CROQUIS_DATOS!$C$1561))/CROQUIS_DATOS!$C$1568-0.000001)),1,MOD($A65-1,2)))=1,MIN((CROQUIS_DATOS!$C$1476)*CROQUIS_DATOS!$C$1561,((CROQUIS_DATOS!$C$1507+CROQUIS_DATOS!$C$1508)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5">
        <f>IF(AND(CROQUIS_DATOS!$C$1472=1,CROQUIS_DATOS!$C$1508&gt;0,((CROQUIS_DATOS!$C$1507+CROQUIS_DATOS!$C$1508))-(CROQUIS_DATOS!$C$1507)&gt;0.5,(CROQUIS_DATOS!$C$1476)-(0)&gt;0.5),(CROQUIS_DATOS!$C$1567+(IF(IF(MOD(MIN(INT(($A65-1)/2)+1,MAX(1,INT(((((CROQUIS_DATOS!$C$1507+CROQUIS_DATOS!$C$1508))-(CROQUIS_DATOS!$C$1507))+((CROQUIS_DATOS!$C$1476)*CROQUIS_DATOS!$C$1561-(0)*CROQUIS_DATOS!$C$1561))/CROQUIS_DATOS!$C$1568-0.000001))),2)=1,IF(INT(($A65-1)/2)+1&gt;MAX(1,INT(((((CROQUIS_DATOS!$C$1507+CROQUIS_DATOS!$C$1508))-(CROQUIS_DATOS!$C$1507))+((CROQUIS_DATOS!$C$1476)*CROQUIS_DATOS!$C$1561-(0)*CROQUIS_DATOS!$C$1561))/CROQUIS_DATOS!$C$1568-0.000001)),1,MOD($A65-1,2)),1-IF(INT(($A65-1)/2)+1&gt;MAX(1,INT(((((CROQUIS_DATOS!$C$1507+CROQUIS_DATOS!$C$1508))-(CROQUIS_DATOS!$C$1507))+((CROQUIS_DATOS!$C$1476)*CROQUIS_DATOS!$C$1561-(0)*CROQUIS_DATOS!$C$1561))/CROQUIS_DATOS!$C$1568-0.000001)),1,MOD($A65-1,2)))=1,MIN((CROQUIS_DATOS!$C$1476)*CROQUIS_DATOS!$C$1561,((CROQUIS_DATOS!$C$1507+CROQUIS_DATOS!$C$1508)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5">
        <f>IF(AND(CROQUIS_DATOS!$C$1472=1,CROQUIS_DATOS!$C$1512&gt;0,((CROQUIS_DATOS!$C$1511+CROQUIS_DATOS!$C$1512))-(CROQUIS_DATOS!$C$1511)&gt;0.5,(CROQUIS_DATOS!$C$1476)-(0)&gt;0.5),(CROQUIS_DATOS!$C$1566+(IF(IF(MOD(MIN(INT(($A65-1)/2)+1,MAX(1,INT(((((CROQUIS_DATOS!$C$1511+CROQUIS_DATOS!$C$1512))-(CROQUIS_DATOS!$C$1511))+((CROQUIS_DATOS!$C$1476)*CROQUIS_DATOS!$C$1561-(0)*CROQUIS_DATOS!$C$1561))/CROQUIS_DATOS!$C$1568-0.000001))),2)=1,IF(INT(($A65-1)/2)+1&gt;MAX(1,INT(((((CROQUIS_DATOS!$C$1511+CROQUIS_DATOS!$C$1512))-(CROQUIS_DATOS!$C$1511))+((CROQUIS_DATOS!$C$1476)*CROQUIS_DATOS!$C$1561-(0)*CROQUIS_DATOS!$C$1561))/CROQUIS_DATOS!$C$1568-0.000001)),1,MOD($A65-1,2)),1-IF(INT(($A65-1)/2)+1&gt;MAX(1,INT(((((CROQUIS_DATOS!$C$1511+CROQUIS_DATOS!$C$1512))-(CROQUIS_DATOS!$C$1511))+((CROQUIS_DATOS!$C$1476)*CROQUIS_DATOS!$C$1561-(0)*CROQUIS_DATOS!$C$1561))/CROQUIS_DATOS!$C$1568-0.000001)),1,MOD($A65-1,2)))=1,MIN((CROQUIS_DATOS!$C$1476)*CROQUIS_DATOS!$C$1561,((CROQUIS_DATOS!$C$1511+CROQUIS_DATOS!$C$1512)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5">
        <f>IF(AND(CROQUIS_DATOS!$C$1472=1,CROQUIS_DATOS!$C$1512&gt;0,((CROQUIS_DATOS!$C$1511+CROQUIS_DATOS!$C$1512))-(CROQUIS_DATOS!$C$1511)&gt;0.5,(CROQUIS_DATOS!$C$1476)-(0)&gt;0.5),(CROQUIS_DATOS!$C$1567+(IF(IF(MOD(MIN(INT(($A65-1)/2)+1,MAX(1,INT(((((CROQUIS_DATOS!$C$1511+CROQUIS_DATOS!$C$1512))-(CROQUIS_DATOS!$C$1511))+((CROQUIS_DATOS!$C$1476)*CROQUIS_DATOS!$C$1561-(0)*CROQUIS_DATOS!$C$1561))/CROQUIS_DATOS!$C$1568-0.000001))),2)=1,IF(INT(($A65-1)/2)+1&gt;MAX(1,INT(((((CROQUIS_DATOS!$C$1511+CROQUIS_DATOS!$C$1512))-(CROQUIS_DATOS!$C$1511))+((CROQUIS_DATOS!$C$1476)*CROQUIS_DATOS!$C$1561-(0)*CROQUIS_DATOS!$C$1561))/CROQUIS_DATOS!$C$1568-0.000001)),1,MOD($A65-1,2)),1-IF(INT(($A65-1)/2)+1&gt;MAX(1,INT(((((CROQUIS_DATOS!$C$1511+CROQUIS_DATOS!$C$1512))-(CROQUIS_DATOS!$C$1511))+((CROQUIS_DATOS!$C$1476)*CROQUIS_DATOS!$C$1561-(0)*CROQUIS_DATOS!$C$1561))/CROQUIS_DATOS!$C$1568-0.000001)),1,MOD($A65-1,2)))=1,MIN((CROQUIS_DATOS!$C$1476)*CROQUIS_DATOS!$C$1561,((CROQUIS_DATOS!$C$1511+CROQUIS_DATOS!$C$1512)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5">
        <f>IF(AND(CROQUIS_DATOS!$C$1472=1,CROQUIS_DATOS!$C$1516&gt;0,((CROQUIS_DATOS!$C$1515+CROQUIS_DATOS!$C$1516))-(CROQUIS_DATOS!$C$1515)&gt;0.5,(CROQUIS_DATOS!$C$1476)-(0)&gt;0.5),(CROQUIS_DATOS!$C$1566+(IF(IF(MOD(MIN(INT(($A65-1)/2)+1,MAX(1,INT(((((CROQUIS_DATOS!$C$1515+CROQUIS_DATOS!$C$1516))-(CROQUIS_DATOS!$C$1515))+((CROQUIS_DATOS!$C$1476)*CROQUIS_DATOS!$C$1561-(0)*CROQUIS_DATOS!$C$1561))/CROQUIS_DATOS!$C$1568-0.000001))),2)=1,IF(INT(($A65-1)/2)+1&gt;MAX(1,INT(((((CROQUIS_DATOS!$C$1515+CROQUIS_DATOS!$C$1516))-(CROQUIS_DATOS!$C$1515))+((CROQUIS_DATOS!$C$1476)*CROQUIS_DATOS!$C$1561-(0)*CROQUIS_DATOS!$C$1561))/CROQUIS_DATOS!$C$1568-0.000001)),1,MOD($A65-1,2)),1-IF(INT(($A65-1)/2)+1&gt;MAX(1,INT(((((CROQUIS_DATOS!$C$1515+CROQUIS_DATOS!$C$1516))-(CROQUIS_DATOS!$C$1515))+((CROQUIS_DATOS!$C$1476)*CROQUIS_DATOS!$C$1561-(0)*CROQUIS_DATOS!$C$1561))/CROQUIS_DATOS!$C$1568-0.000001)),1,MOD($A65-1,2)))=1,MIN((CROQUIS_DATOS!$C$1476)*CROQUIS_DATOS!$C$1561,((CROQUIS_DATOS!$C$1515+CROQUIS_DATOS!$C$1516)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5">
        <f>IF(AND(CROQUIS_DATOS!$C$1472=1,CROQUIS_DATOS!$C$1516&gt;0,((CROQUIS_DATOS!$C$1515+CROQUIS_DATOS!$C$1516))-(CROQUIS_DATOS!$C$1515)&gt;0.5,(CROQUIS_DATOS!$C$1476)-(0)&gt;0.5),(CROQUIS_DATOS!$C$1567+(IF(IF(MOD(MIN(INT(($A65-1)/2)+1,MAX(1,INT(((((CROQUIS_DATOS!$C$1515+CROQUIS_DATOS!$C$1516))-(CROQUIS_DATOS!$C$1515))+((CROQUIS_DATOS!$C$1476)*CROQUIS_DATOS!$C$1561-(0)*CROQUIS_DATOS!$C$1561))/CROQUIS_DATOS!$C$1568-0.000001))),2)=1,IF(INT(($A65-1)/2)+1&gt;MAX(1,INT(((((CROQUIS_DATOS!$C$1515+CROQUIS_DATOS!$C$1516))-(CROQUIS_DATOS!$C$1515))+((CROQUIS_DATOS!$C$1476)*CROQUIS_DATOS!$C$1561-(0)*CROQUIS_DATOS!$C$1561))/CROQUIS_DATOS!$C$1568-0.000001)),1,MOD($A65-1,2)),1-IF(INT(($A65-1)/2)+1&gt;MAX(1,INT(((((CROQUIS_DATOS!$C$1515+CROQUIS_DATOS!$C$1516))-(CROQUIS_DATOS!$C$1515))+((CROQUIS_DATOS!$C$1476)*CROQUIS_DATOS!$C$1561-(0)*CROQUIS_DATOS!$C$1561))/CROQUIS_DATOS!$C$1568-0.000001)),1,MOD($A65-1,2)))=1,MIN((CROQUIS_DATOS!$C$1476)*CROQUIS_DATOS!$C$1561,((CROQUIS_DATOS!$C$1515+CROQUIS_DATOS!$C$1516)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5">
        <f>IF(AND(CROQUIS_DATOS!$C$1472=1,CROQUIS_DATOS!$C$1478&gt;=1,((CROQUIS_DATOS!$C$1479+CROQUIS_DATOS!$C$1480))-(CROQUIS_DATOS!$C$1479)&gt;0.5,(CROQUIS_DATOS!$C$1481)-(0)&gt;0.5),(CROQUIS_DATOS!$C$1566+(IF(IF(MOD(MIN(INT(($A65-1)/2)+1,MAX(1,INT(((((CROQUIS_DATOS!$C$1479+CROQUIS_DATOS!$C$1480))-(CROQUIS_DATOS!$C$1479))+((CROQUIS_DATOS!$C$1481)*CROQUIS_DATOS!$C$1561-(0)*CROQUIS_DATOS!$C$1561))/CROQUIS_DATOS!$C$1568-0.000001))),2)=1,IF(INT(($A65-1)/2)+1&gt;MAX(1,INT(((((CROQUIS_DATOS!$C$1479+CROQUIS_DATOS!$C$1480))-(CROQUIS_DATOS!$C$1479))+((CROQUIS_DATOS!$C$1481)*CROQUIS_DATOS!$C$1561-(0)*CROQUIS_DATOS!$C$1561))/CROQUIS_DATOS!$C$1568-0.000001)),1,MOD($A65-1,2)),1-IF(INT(($A65-1)/2)+1&gt;MAX(1,INT(((((CROQUIS_DATOS!$C$1479+CROQUIS_DATOS!$C$1480))-(CROQUIS_DATOS!$C$1479))+((CROQUIS_DATOS!$C$1481)*CROQUIS_DATOS!$C$1561-(0)*CROQUIS_DATOS!$C$1561))/CROQUIS_DATOS!$C$1568-0.000001)),1,MOD($A65-1,2)))=1,MIN((CROQUIS_DATOS!$C$1481)*CROQUIS_DATOS!$C$1561,((CROQUIS_DATOS!$C$1479+CROQUIS_DATOS!$C$1480)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5">
        <f>IF(AND(CROQUIS_DATOS!$C$1472=1,CROQUIS_DATOS!$C$1478&gt;=1,((CROQUIS_DATOS!$C$1479+CROQUIS_DATOS!$C$1480))-(CROQUIS_DATOS!$C$1479)&gt;0.5,(CROQUIS_DATOS!$C$1481)-(0)&gt;0.5),(CROQUIS_DATOS!$C$1567+(IF(IF(MOD(MIN(INT(($A65-1)/2)+1,MAX(1,INT(((((CROQUIS_DATOS!$C$1479+CROQUIS_DATOS!$C$1480))-(CROQUIS_DATOS!$C$1479))+((CROQUIS_DATOS!$C$1481)*CROQUIS_DATOS!$C$1561-(0)*CROQUIS_DATOS!$C$1561))/CROQUIS_DATOS!$C$1568-0.000001))),2)=1,IF(INT(($A65-1)/2)+1&gt;MAX(1,INT(((((CROQUIS_DATOS!$C$1479+CROQUIS_DATOS!$C$1480))-(CROQUIS_DATOS!$C$1479))+((CROQUIS_DATOS!$C$1481)*CROQUIS_DATOS!$C$1561-(0)*CROQUIS_DATOS!$C$1561))/CROQUIS_DATOS!$C$1568-0.000001)),1,MOD($A65-1,2)),1-IF(INT(($A65-1)/2)+1&gt;MAX(1,INT(((((CROQUIS_DATOS!$C$1479+CROQUIS_DATOS!$C$1480))-(CROQUIS_DATOS!$C$1479))+((CROQUIS_DATOS!$C$1481)*CROQUIS_DATOS!$C$1561-(0)*CROQUIS_DATOS!$C$1561))/CROQUIS_DATOS!$C$1568-0.000001)),1,MOD($A65-1,2)))=1,MIN((CROQUIS_DATOS!$C$1481)*CROQUIS_DATOS!$C$1561,((CROQUIS_DATOS!$C$1479+CROQUIS_DATOS!$C$1480)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5">
        <f>IF(AND(CROQUIS_DATOS!$C$1472=1,CROQUIS_DATOS!$C$1478&gt;=1,((CROQUIS_DATOS!$C$1479+CROQUIS_DATOS!$C$1480))-(CROQUIS_DATOS!$C$1479)&gt;0.5,(CROQUIS_DATOS!$C$1476)-((CROQUIS_DATOS!$C$1481+CROQUIS_DATOS!$C$1482))&gt;0.5),(CROQUIS_DATOS!$C$1566+(IF(IF(MOD(MIN(INT(($A65-1)/2)+1,MAX(1,INT(((((CROQUIS_DATOS!$C$1479+CROQUIS_DATOS!$C$1480))-(CROQUIS_DATOS!$C$1479))+((CROQUIS_DATOS!$C$1476)*CROQUIS_DATOS!$C$1561-((CROQUIS_DATOS!$C$1481+CROQUIS_DATOS!$C$1482))*CROQUIS_DATOS!$C$1561))/CROQUIS_DATOS!$C$1568-0.000001))),2)=1,IF(INT(($A65-1)/2)+1&gt;MAX(1,INT(((((CROQUIS_DATOS!$C$1479+CROQUIS_DATOS!$C$1480))-(CROQUIS_DATOS!$C$1479))+((CROQUIS_DATOS!$C$1476)*CROQUIS_DATOS!$C$1561-((CROQUIS_DATOS!$C$1481+CROQUIS_DATOS!$C$1482))*CROQUIS_DATOS!$C$1561))/CROQUIS_DATOS!$C$1568-0.000001)),1,MOD($A65-1,2)),1-IF(INT(($A65-1)/2)+1&gt;MAX(1,INT(((((CROQUIS_DATOS!$C$1479+CROQUIS_DATOS!$C$1480))-(CROQUIS_DATOS!$C$1479))+((CROQUIS_DATOS!$C$1476)*CROQUIS_DATOS!$C$1561-((CROQUIS_DATOS!$C$1481+CROQUIS_DATOS!$C$1482))*CROQUIS_DATOS!$C$1561))/CROQUIS_DATOS!$C$1568-0.000001)),1,MOD($A65-1,2)))=1,MIN((CROQUIS_DATOS!$C$1476)*CROQUIS_DATOS!$C$1561,((CROQUIS_DATOS!$C$1479+CROQUIS_DATOS!$C$1480)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5">
        <f>IF(AND(CROQUIS_DATOS!$C$1472=1,CROQUIS_DATOS!$C$1478&gt;=1,((CROQUIS_DATOS!$C$1479+CROQUIS_DATOS!$C$1480))-(CROQUIS_DATOS!$C$1479)&gt;0.5,(CROQUIS_DATOS!$C$1476)-((CROQUIS_DATOS!$C$1481+CROQUIS_DATOS!$C$1482))&gt;0.5),(CROQUIS_DATOS!$C$1567+(IF(IF(MOD(MIN(INT(($A65-1)/2)+1,MAX(1,INT(((((CROQUIS_DATOS!$C$1479+CROQUIS_DATOS!$C$1480))-(CROQUIS_DATOS!$C$1479))+((CROQUIS_DATOS!$C$1476)*CROQUIS_DATOS!$C$1561-((CROQUIS_DATOS!$C$1481+CROQUIS_DATOS!$C$1482))*CROQUIS_DATOS!$C$1561))/CROQUIS_DATOS!$C$1568-0.000001))),2)=1,IF(INT(($A65-1)/2)+1&gt;MAX(1,INT(((((CROQUIS_DATOS!$C$1479+CROQUIS_DATOS!$C$1480))-(CROQUIS_DATOS!$C$1479))+((CROQUIS_DATOS!$C$1476)*CROQUIS_DATOS!$C$1561-((CROQUIS_DATOS!$C$1481+CROQUIS_DATOS!$C$1482))*CROQUIS_DATOS!$C$1561))/CROQUIS_DATOS!$C$1568-0.000001)),1,MOD($A65-1,2)),1-IF(INT(($A65-1)/2)+1&gt;MAX(1,INT(((((CROQUIS_DATOS!$C$1479+CROQUIS_DATOS!$C$1480))-(CROQUIS_DATOS!$C$1479))+((CROQUIS_DATOS!$C$1476)*CROQUIS_DATOS!$C$1561-((CROQUIS_DATOS!$C$1481+CROQUIS_DATOS!$C$1482))*CROQUIS_DATOS!$C$1561))/CROQUIS_DATOS!$C$1568-0.000001)),1,MOD($A65-1,2)))=1,MIN((CROQUIS_DATOS!$C$1476)*CROQUIS_DATOS!$C$1561,((CROQUIS_DATOS!$C$1479+CROQUIS_DATOS!$C$1480)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5">
        <f>IF(AND(CROQUIS_DATOS!$C$1472=1,CROQUIS_DATOS!$C$1478&gt;=2,((CROQUIS_DATOS!$C$1484+CROQUIS_DATOS!$C$1485))-(CROQUIS_DATOS!$C$1484)&gt;0.5,(CROQUIS_DATOS!$C$1486)-(0)&gt;0.5),(CROQUIS_DATOS!$C$1566+(IF(IF(MOD(MIN(INT(($A65-1)/2)+1,MAX(1,INT(((((CROQUIS_DATOS!$C$1484+CROQUIS_DATOS!$C$1485))-(CROQUIS_DATOS!$C$1484))+((CROQUIS_DATOS!$C$1486)*CROQUIS_DATOS!$C$1561-(0)*CROQUIS_DATOS!$C$1561))/CROQUIS_DATOS!$C$1568-0.000001))),2)=1,IF(INT(($A65-1)/2)+1&gt;MAX(1,INT(((((CROQUIS_DATOS!$C$1484+CROQUIS_DATOS!$C$1485))-(CROQUIS_DATOS!$C$1484))+((CROQUIS_DATOS!$C$1486)*CROQUIS_DATOS!$C$1561-(0)*CROQUIS_DATOS!$C$1561))/CROQUIS_DATOS!$C$1568-0.000001)),1,MOD($A65-1,2)),1-IF(INT(($A65-1)/2)+1&gt;MAX(1,INT(((((CROQUIS_DATOS!$C$1484+CROQUIS_DATOS!$C$1485))-(CROQUIS_DATOS!$C$1484))+((CROQUIS_DATOS!$C$1486)*CROQUIS_DATOS!$C$1561-(0)*CROQUIS_DATOS!$C$1561))/CROQUIS_DATOS!$C$1568-0.000001)),1,MOD($A65-1,2)))=1,MIN((CROQUIS_DATOS!$C$1486)*CROQUIS_DATOS!$C$1561,((CROQUIS_DATOS!$C$1484+CROQUIS_DATOS!$C$1485)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5">
        <f>IF(AND(CROQUIS_DATOS!$C$1472=1,CROQUIS_DATOS!$C$1478&gt;=2,((CROQUIS_DATOS!$C$1484+CROQUIS_DATOS!$C$1485))-(CROQUIS_DATOS!$C$1484)&gt;0.5,(CROQUIS_DATOS!$C$1486)-(0)&gt;0.5),(CROQUIS_DATOS!$C$1567+(IF(IF(MOD(MIN(INT(($A65-1)/2)+1,MAX(1,INT(((((CROQUIS_DATOS!$C$1484+CROQUIS_DATOS!$C$1485))-(CROQUIS_DATOS!$C$1484))+((CROQUIS_DATOS!$C$1486)*CROQUIS_DATOS!$C$1561-(0)*CROQUIS_DATOS!$C$1561))/CROQUIS_DATOS!$C$1568-0.000001))),2)=1,IF(INT(($A65-1)/2)+1&gt;MAX(1,INT(((((CROQUIS_DATOS!$C$1484+CROQUIS_DATOS!$C$1485))-(CROQUIS_DATOS!$C$1484))+((CROQUIS_DATOS!$C$1486)*CROQUIS_DATOS!$C$1561-(0)*CROQUIS_DATOS!$C$1561))/CROQUIS_DATOS!$C$1568-0.000001)),1,MOD($A65-1,2)),1-IF(INT(($A65-1)/2)+1&gt;MAX(1,INT(((((CROQUIS_DATOS!$C$1484+CROQUIS_DATOS!$C$1485))-(CROQUIS_DATOS!$C$1484))+((CROQUIS_DATOS!$C$1486)*CROQUIS_DATOS!$C$1561-(0)*CROQUIS_DATOS!$C$1561))/CROQUIS_DATOS!$C$1568-0.000001)),1,MOD($A65-1,2)))=1,MIN((CROQUIS_DATOS!$C$1486)*CROQUIS_DATOS!$C$1561,((CROQUIS_DATOS!$C$1484+CROQUIS_DATOS!$C$1485)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5">
        <f>IF(AND(CROQUIS_DATOS!$C$1472=1,CROQUIS_DATOS!$C$1478&gt;=2,((CROQUIS_DATOS!$C$1484+CROQUIS_DATOS!$C$1485))-(CROQUIS_DATOS!$C$1484)&gt;0.5,(CROQUIS_DATOS!$C$1476)-((CROQUIS_DATOS!$C$1486+CROQUIS_DATOS!$C$1487))&gt;0.5),(CROQUIS_DATOS!$C$1566+(IF(IF(MOD(MIN(INT(($A65-1)/2)+1,MAX(1,INT(((((CROQUIS_DATOS!$C$1484+CROQUIS_DATOS!$C$1485))-(CROQUIS_DATOS!$C$1484))+((CROQUIS_DATOS!$C$1476)*CROQUIS_DATOS!$C$1561-((CROQUIS_DATOS!$C$1486+CROQUIS_DATOS!$C$1487))*CROQUIS_DATOS!$C$1561))/CROQUIS_DATOS!$C$1568-0.000001))),2)=1,IF(INT(($A65-1)/2)+1&gt;MAX(1,INT(((((CROQUIS_DATOS!$C$1484+CROQUIS_DATOS!$C$1485))-(CROQUIS_DATOS!$C$1484))+((CROQUIS_DATOS!$C$1476)*CROQUIS_DATOS!$C$1561-((CROQUIS_DATOS!$C$1486+CROQUIS_DATOS!$C$1487))*CROQUIS_DATOS!$C$1561))/CROQUIS_DATOS!$C$1568-0.000001)),1,MOD($A65-1,2)),1-IF(INT(($A65-1)/2)+1&gt;MAX(1,INT(((((CROQUIS_DATOS!$C$1484+CROQUIS_DATOS!$C$1485))-(CROQUIS_DATOS!$C$1484))+((CROQUIS_DATOS!$C$1476)*CROQUIS_DATOS!$C$1561-((CROQUIS_DATOS!$C$1486+CROQUIS_DATOS!$C$1487))*CROQUIS_DATOS!$C$1561))/CROQUIS_DATOS!$C$1568-0.000001)),1,MOD($A65-1,2)))=1,MIN((CROQUIS_DATOS!$C$1476)*CROQUIS_DATOS!$C$1561,((CROQUIS_DATOS!$C$1484+CROQUIS_DATOS!$C$1485)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5">
        <f>IF(AND(CROQUIS_DATOS!$C$1472=1,CROQUIS_DATOS!$C$1478&gt;=2,((CROQUIS_DATOS!$C$1484+CROQUIS_DATOS!$C$1485))-(CROQUIS_DATOS!$C$1484)&gt;0.5,(CROQUIS_DATOS!$C$1476)-((CROQUIS_DATOS!$C$1486+CROQUIS_DATOS!$C$1487))&gt;0.5),(CROQUIS_DATOS!$C$1567+(IF(IF(MOD(MIN(INT(($A65-1)/2)+1,MAX(1,INT(((((CROQUIS_DATOS!$C$1484+CROQUIS_DATOS!$C$1485))-(CROQUIS_DATOS!$C$1484))+((CROQUIS_DATOS!$C$1476)*CROQUIS_DATOS!$C$1561-((CROQUIS_DATOS!$C$1486+CROQUIS_DATOS!$C$1487))*CROQUIS_DATOS!$C$1561))/CROQUIS_DATOS!$C$1568-0.000001))),2)=1,IF(INT(($A65-1)/2)+1&gt;MAX(1,INT(((((CROQUIS_DATOS!$C$1484+CROQUIS_DATOS!$C$1485))-(CROQUIS_DATOS!$C$1484))+((CROQUIS_DATOS!$C$1476)*CROQUIS_DATOS!$C$1561-((CROQUIS_DATOS!$C$1486+CROQUIS_DATOS!$C$1487))*CROQUIS_DATOS!$C$1561))/CROQUIS_DATOS!$C$1568-0.000001)),1,MOD($A65-1,2)),1-IF(INT(($A65-1)/2)+1&gt;MAX(1,INT(((((CROQUIS_DATOS!$C$1484+CROQUIS_DATOS!$C$1485))-(CROQUIS_DATOS!$C$1484))+((CROQUIS_DATOS!$C$1476)*CROQUIS_DATOS!$C$1561-((CROQUIS_DATOS!$C$1486+CROQUIS_DATOS!$C$1487))*CROQUIS_DATOS!$C$1561))/CROQUIS_DATOS!$C$1568-0.000001)),1,MOD($A65-1,2)))=1,MIN((CROQUIS_DATOS!$C$1476)*CROQUIS_DATOS!$C$1561,((CROQUIS_DATOS!$C$1484+CROQUIS_DATOS!$C$1485)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5">
        <f>IF(AND(CROQUIS_DATOS!$C$1472=1,CROQUIS_DATOS!$C$1478&gt;=3,((CROQUIS_DATOS!$C$1489+CROQUIS_DATOS!$C$1490))-(CROQUIS_DATOS!$C$1489)&gt;0.5,(CROQUIS_DATOS!$C$1491)-(0)&gt;0.5),(CROQUIS_DATOS!$C$1566+(IF(IF(MOD(MIN(INT(($A65-1)/2)+1,MAX(1,INT(((((CROQUIS_DATOS!$C$1489+CROQUIS_DATOS!$C$1490))-(CROQUIS_DATOS!$C$1489))+((CROQUIS_DATOS!$C$1491)*CROQUIS_DATOS!$C$1561-(0)*CROQUIS_DATOS!$C$1561))/CROQUIS_DATOS!$C$1568-0.000001))),2)=1,IF(INT(($A65-1)/2)+1&gt;MAX(1,INT(((((CROQUIS_DATOS!$C$1489+CROQUIS_DATOS!$C$1490))-(CROQUIS_DATOS!$C$1489))+((CROQUIS_DATOS!$C$1491)*CROQUIS_DATOS!$C$1561-(0)*CROQUIS_DATOS!$C$1561))/CROQUIS_DATOS!$C$1568-0.000001)),1,MOD($A65-1,2)),1-IF(INT(($A65-1)/2)+1&gt;MAX(1,INT(((((CROQUIS_DATOS!$C$1489+CROQUIS_DATOS!$C$1490))-(CROQUIS_DATOS!$C$1489))+((CROQUIS_DATOS!$C$1491)*CROQUIS_DATOS!$C$1561-(0)*CROQUIS_DATOS!$C$1561))/CROQUIS_DATOS!$C$1568-0.000001)),1,MOD($A65-1,2)))=1,MIN((CROQUIS_DATOS!$C$1491)*CROQUIS_DATOS!$C$1561,((CROQUIS_DATOS!$C$1489+CROQUIS_DATOS!$C$1490)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5">
        <f>IF(AND(CROQUIS_DATOS!$C$1472=1,CROQUIS_DATOS!$C$1478&gt;=3,((CROQUIS_DATOS!$C$1489+CROQUIS_DATOS!$C$1490))-(CROQUIS_DATOS!$C$1489)&gt;0.5,(CROQUIS_DATOS!$C$1491)-(0)&gt;0.5),(CROQUIS_DATOS!$C$1567+(IF(IF(MOD(MIN(INT(($A65-1)/2)+1,MAX(1,INT(((((CROQUIS_DATOS!$C$1489+CROQUIS_DATOS!$C$1490))-(CROQUIS_DATOS!$C$1489))+((CROQUIS_DATOS!$C$1491)*CROQUIS_DATOS!$C$1561-(0)*CROQUIS_DATOS!$C$1561))/CROQUIS_DATOS!$C$1568-0.000001))),2)=1,IF(INT(($A65-1)/2)+1&gt;MAX(1,INT(((((CROQUIS_DATOS!$C$1489+CROQUIS_DATOS!$C$1490))-(CROQUIS_DATOS!$C$1489))+((CROQUIS_DATOS!$C$1491)*CROQUIS_DATOS!$C$1561-(0)*CROQUIS_DATOS!$C$1561))/CROQUIS_DATOS!$C$1568-0.000001)),1,MOD($A65-1,2)),1-IF(INT(($A65-1)/2)+1&gt;MAX(1,INT(((((CROQUIS_DATOS!$C$1489+CROQUIS_DATOS!$C$1490))-(CROQUIS_DATOS!$C$1489))+((CROQUIS_DATOS!$C$1491)*CROQUIS_DATOS!$C$1561-(0)*CROQUIS_DATOS!$C$1561))/CROQUIS_DATOS!$C$1568-0.000001)),1,MOD($A65-1,2)))=1,MIN((CROQUIS_DATOS!$C$1491)*CROQUIS_DATOS!$C$1561,((CROQUIS_DATOS!$C$1489+CROQUIS_DATOS!$C$1490)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5">
        <f>IF(AND(CROQUIS_DATOS!$C$1472=1,CROQUIS_DATOS!$C$1478&gt;=3,((CROQUIS_DATOS!$C$1489+CROQUIS_DATOS!$C$1490))-(CROQUIS_DATOS!$C$1489)&gt;0.5,(CROQUIS_DATOS!$C$1476)-((CROQUIS_DATOS!$C$1491+CROQUIS_DATOS!$C$1492))&gt;0.5),(CROQUIS_DATOS!$C$1566+(IF(IF(MOD(MIN(INT(($A65-1)/2)+1,MAX(1,INT(((((CROQUIS_DATOS!$C$1489+CROQUIS_DATOS!$C$1490))-(CROQUIS_DATOS!$C$1489))+((CROQUIS_DATOS!$C$1476)*CROQUIS_DATOS!$C$1561-((CROQUIS_DATOS!$C$1491+CROQUIS_DATOS!$C$1492))*CROQUIS_DATOS!$C$1561))/CROQUIS_DATOS!$C$1568-0.000001))),2)=1,IF(INT(($A65-1)/2)+1&gt;MAX(1,INT(((((CROQUIS_DATOS!$C$1489+CROQUIS_DATOS!$C$1490))-(CROQUIS_DATOS!$C$1489))+((CROQUIS_DATOS!$C$1476)*CROQUIS_DATOS!$C$1561-((CROQUIS_DATOS!$C$1491+CROQUIS_DATOS!$C$1492))*CROQUIS_DATOS!$C$1561))/CROQUIS_DATOS!$C$1568-0.000001)),1,MOD($A65-1,2)),1-IF(INT(($A65-1)/2)+1&gt;MAX(1,INT(((((CROQUIS_DATOS!$C$1489+CROQUIS_DATOS!$C$1490))-(CROQUIS_DATOS!$C$1489))+((CROQUIS_DATOS!$C$1476)*CROQUIS_DATOS!$C$1561-((CROQUIS_DATOS!$C$1491+CROQUIS_DATOS!$C$1492))*CROQUIS_DATOS!$C$1561))/CROQUIS_DATOS!$C$1568-0.000001)),1,MOD($A65-1,2)))=1,MIN((CROQUIS_DATOS!$C$1476)*CROQUIS_DATOS!$C$1561,((CROQUIS_DATOS!$C$1489+CROQUIS_DATOS!$C$1490)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5">
        <f>IF(AND(CROQUIS_DATOS!$C$1472=1,CROQUIS_DATOS!$C$1478&gt;=3,((CROQUIS_DATOS!$C$1489+CROQUIS_DATOS!$C$1490))-(CROQUIS_DATOS!$C$1489)&gt;0.5,(CROQUIS_DATOS!$C$1476)-((CROQUIS_DATOS!$C$1491+CROQUIS_DATOS!$C$1492))&gt;0.5),(CROQUIS_DATOS!$C$1567+(IF(IF(MOD(MIN(INT(($A65-1)/2)+1,MAX(1,INT(((((CROQUIS_DATOS!$C$1489+CROQUIS_DATOS!$C$1490))-(CROQUIS_DATOS!$C$1489))+((CROQUIS_DATOS!$C$1476)*CROQUIS_DATOS!$C$1561-((CROQUIS_DATOS!$C$1491+CROQUIS_DATOS!$C$1492))*CROQUIS_DATOS!$C$1561))/CROQUIS_DATOS!$C$1568-0.000001))),2)=1,IF(INT(($A65-1)/2)+1&gt;MAX(1,INT(((((CROQUIS_DATOS!$C$1489+CROQUIS_DATOS!$C$1490))-(CROQUIS_DATOS!$C$1489))+((CROQUIS_DATOS!$C$1476)*CROQUIS_DATOS!$C$1561-((CROQUIS_DATOS!$C$1491+CROQUIS_DATOS!$C$1492))*CROQUIS_DATOS!$C$1561))/CROQUIS_DATOS!$C$1568-0.000001)),1,MOD($A65-1,2)),1-IF(INT(($A65-1)/2)+1&gt;MAX(1,INT(((((CROQUIS_DATOS!$C$1489+CROQUIS_DATOS!$C$1490))-(CROQUIS_DATOS!$C$1489))+((CROQUIS_DATOS!$C$1476)*CROQUIS_DATOS!$C$1561-((CROQUIS_DATOS!$C$1491+CROQUIS_DATOS!$C$1492))*CROQUIS_DATOS!$C$1561))/CROQUIS_DATOS!$C$1568-0.000001)),1,MOD($A65-1,2)))=1,MIN((CROQUIS_DATOS!$C$1476)*CROQUIS_DATOS!$C$1561,((CROQUIS_DATOS!$C$1489+CROQUIS_DATOS!$C$1490)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5">
        <f>IF(AND(CROQUIS_DATOS!$C$1472=1,CROQUIS_DATOS!$C$1478&gt;=4,((CROQUIS_DATOS!$C$1494+CROQUIS_DATOS!$C$1495))-(CROQUIS_DATOS!$C$1494)&gt;0.5,(CROQUIS_DATOS!$C$1496)-(0)&gt;0.5),(CROQUIS_DATOS!$C$1566+(IF(IF(MOD(MIN(INT(($A65-1)/2)+1,MAX(1,INT(((((CROQUIS_DATOS!$C$1494+CROQUIS_DATOS!$C$1495))-(CROQUIS_DATOS!$C$1494))+((CROQUIS_DATOS!$C$1496)*CROQUIS_DATOS!$C$1561-(0)*CROQUIS_DATOS!$C$1561))/CROQUIS_DATOS!$C$1568-0.000001))),2)=1,IF(INT(($A65-1)/2)+1&gt;MAX(1,INT(((((CROQUIS_DATOS!$C$1494+CROQUIS_DATOS!$C$1495))-(CROQUIS_DATOS!$C$1494))+((CROQUIS_DATOS!$C$1496)*CROQUIS_DATOS!$C$1561-(0)*CROQUIS_DATOS!$C$1561))/CROQUIS_DATOS!$C$1568-0.000001)),1,MOD($A65-1,2)),1-IF(INT(($A65-1)/2)+1&gt;MAX(1,INT(((((CROQUIS_DATOS!$C$1494+CROQUIS_DATOS!$C$1495))-(CROQUIS_DATOS!$C$1494))+((CROQUIS_DATOS!$C$1496)*CROQUIS_DATOS!$C$1561-(0)*CROQUIS_DATOS!$C$1561))/CROQUIS_DATOS!$C$1568-0.000001)),1,MOD($A65-1,2)))=1,MIN((CROQUIS_DATOS!$C$1496)*CROQUIS_DATOS!$C$1561,((CROQUIS_DATOS!$C$1494+CROQUIS_DATOS!$C$1495)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5">
        <f>IF(AND(CROQUIS_DATOS!$C$1472=1,CROQUIS_DATOS!$C$1478&gt;=4,((CROQUIS_DATOS!$C$1494+CROQUIS_DATOS!$C$1495))-(CROQUIS_DATOS!$C$1494)&gt;0.5,(CROQUIS_DATOS!$C$1496)-(0)&gt;0.5),(CROQUIS_DATOS!$C$1567+(IF(IF(MOD(MIN(INT(($A65-1)/2)+1,MAX(1,INT(((((CROQUIS_DATOS!$C$1494+CROQUIS_DATOS!$C$1495))-(CROQUIS_DATOS!$C$1494))+((CROQUIS_DATOS!$C$1496)*CROQUIS_DATOS!$C$1561-(0)*CROQUIS_DATOS!$C$1561))/CROQUIS_DATOS!$C$1568-0.000001))),2)=1,IF(INT(($A65-1)/2)+1&gt;MAX(1,INT(((((CROQUIS_DATOS!$C$1494+CROQUIS_DATOS!$C$1495))-(CROQUIS_DATOS!$C$1494))+((CROQUIS_DATOS!$C$1496)*CROQUIS_DATOS!$C$1561-(0)*CROQUIS_DATOS!$C$1561))/CROQUIS_DATOS!$C$1568-0.000001)),1,MOD($A65-1,2)),1-IF(INT(($A65-1)/2)+1&gt;MAX(1,INT(((((CROQUIS_DATOS!$C$1494+CROQUIS_DATOS!$C$1495))-(CROQUIS_DATOS!$C$1494))+((CROQUIS_DATOS!$C$1496)*CROQUIS_DATOS!$C$1561-(0)*CROQUIS_DATOS!$C$1561))/CROQUIS_DATOS!$C$1568-0.000001)),1,MOD($A65-1,2)))=1,MIN((CROQUIS_DATOS!$C$1496)*CROQUIS_DATOS!$C$1561,((CROQUIS_DATOS!$C$1494+CROQUIS_DATOS!$C$1495)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5">
        <f>IF(AND(CROQUIS_DATOS!$C$1472=1,CROQUIS_DATOS!$C$1478&gt;=4,((CROQUIS_DATOS!$C$1494+CROQUIS_DATOS!$C$1495))-(CROQUIS_DATOS!$C$1494)&gt;0.5,(CROQUIS_DATOS!$C$1476)-((CROQUIS_DATOS!$C$1496+CROQUIS_DATOS!$C$1497))&gt;0.5),(CROQUIS_DATOS!$C$1566+(IF(IF(MOD(MIN(INT(($A65-1)/2)+1,MAX(1,INT(((((CROQUIS_DATOS!$C$1494+CROQUIS_DATOS!$C$1495))-(CROQUIS_DATOS!$C$1494))+((CROQUIS_DATOS!$C$1476)*CROQUIS_DATOS!$C$1561-((CROQUIS_DATOS!$C$1496+CROQUIS_DATOS!$C$1497))*CROQUIS_DATOS!$C$1561))/CROQUIS_DATOS!$C$1568-0.000001))),2)=1,IF(INT(($A65-1)/2)+1&gt;MAX(1,INT(((((CROQUIS_DATOS!$C$1494+CROQUIS_DATOS!$C$1495))-(CROQUIS_DATOS!$C$1494))+((CROQUIS_DATOS!$C$1476)*CROQUIS_DATOS!$C$1561-((CROQUIS_DATOS!$C$1496+CROQUIS_DATOS!$C$1497))*CROQUIS_DATOS!$C$1561))/CROQUIS_DATOS!$C$1568-0.000001)),1,MOD($A65-1,2)),1-IF(INT(($A65-1)/2)+1&gt;MAX(1,INT(((((CROQUIS_DATOS!$C$1494+CROQUIS_DATOS!$C$1495))-(CROQUIS_DATOS!$C$1494))+((CROQUIS_DATOS!$C$1476)*CROQUIS_DATOS!$C$1561-((CROQUIS_DATOS!$C$1496+CROQUIS_DATOS!$C$1497))*CROQUIS_DATOS!$C$1561))/CROQUIS_DATOS!$C$1568-0.000001)),1,MOD($A65-1,2)))=1,MIN((CROQUIS_DATOS!$C$1476)*CROQUIS_DATOS!$C$1561,((CROQUIS_DATOS!$C$1494+CROQUIS_DATOS!$C$1495)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5">
        <f>IF(AND(CROQUIS_DATOS!$C$1472=1,CROQUIS_DATOS!$C$1478&gt;=4,((CROQUIS_DATOS!$C$1494+CROQUIS_DATOS!$C$1495))-(CROQUIS_DATOS!$C$1494)&gt;0.5,(CROQUIS_DATOS!$C$1476)-((CROQUIS_DATOS!$C$1496+CROQUIS_DATOS!$C$1497))&gt;0.5),(CROQUIS_DATOS!$C$1567+(IF(IF(MOD(MIN(INT(($A65-1)/2)+1,MAX(1,INT(((((CROQUIS_DATOS!$C$1494+CROQUIS_DATOS!$C$1495))-(CROQUIS_DATOS!$C$1494))+((CROQUIS_DATOS!$C$1476)*CROQUIS_DATOS!$C$1561-((CROQUIS_DATOS!$C$1496+CROQUIS_DATOS!$C$1497))*CROQUIS_DATOS!$C$1561))/CROQUIS_DATOS!$C$1568-0.000001))),2)=1,IF(INT(($A65-1)/2)+1&gt;MAX(1,INT(((((CROQUIS_DATOS!$C$1494+CROQUIS_DATOS!$C$1495))-(CROQUIS_DATOS!$C$1494))+((CROQUIS_DATOS!$C$1476)*CROQUIS_DATOS!$C$1561-((CROQUIS_DATOS!$C$1496+CROQUIS_DATOS!$C$1497))*CROQUIS_DATOS!$C$1561))/CROQUIS_DATOS!$C$1568-0.000001)),1,MOD($A65-1,2)),1-IF(INT(($A65-1)/2)+1&gt;MAX(1,INT(((((CROQUIS_DATOS!$C$1494+CROQUIS_DATOS!$C$1495))-(CROQUIS_DATOS!$C$1494))+((CROQUIS_DATOS!$C$1476)*CROQUIS_DATOS!$C$1561-((CROQUIS_DATOS!$C$1496+CROQUIS_DATOS!$C$1497))*CROQUIS_DATOS!$C$1561))/CROQUIS_DATOS!$C$1568-0.000001)),1,MOD($A65-1,2)))=1,MIN((CROQUIS_DATOS!$C$1476)*CROQUIS_DATOS!$C$1561,((CROQUIS_DATOS!$C$1494+CROQUIS_DATOS!$C$1495)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5">
        <f>IF(AND(CROQUIS_DATOS!$C$1472=1,1),(CROQUIS_DATOS!$C$1571+(CHOOSE(MIN(MAX(IF(INT(($A65-1)/5)+1&gt;CROQUIS_DATOS!$C$1525,5,MOD($A65-1,5)+1),1),5),(INDEX($E$8:$E$23,MIN(INT(($A65-1)/5)+1,CROQUIS_DATOS!$C$1525))-INDEX($F$8:$F$23,MIN(INT(($A65-1)/5)+1,CROQUIS_DATOS!$C$1525))/2),(INDEX($E$8:$E$23,MIN(INT(($A65-1)/5)+1,CROQUIS_DATOS!$C$1525))+INDEX($F$8:$F$23,MIN(INT(($A65-1)/5)+1,CROQUIS_DATOS!$C$1525))/2),(INDEX($E$8:$E$23,MIN(INT(($A65-1)/5)+1,CROQUIS_DATOS!$C$1525))+INDEX($F$8:$F$23,MIN(INT(($A65-1)/5)+1,CROQUIS_DATOS!$C$1525))/2),(INDEX($E$8:$E$23,MIN(INT(($A65-1)/5)+1,CROQUIS_DATOS!$C$1525))-INDEX($F$8:$F$23,MIN(INT(($A65-1)/5)+1,CROQUIS_DATOS!$C$1525))/2),(INDEX($E$8:$E$23,MIN(INT(($A65-1)/5)+1,CROQUIS_DATOS!$C$1525))-INDEX($F$8:$F$23,MIN(INT(($A65-1)/5)+1,CROQUIS_DATOS!$C$1525))/2)))*CROQUIS_DATOS!$C$1569),-1000)</f>
        <v>95.24</v>
      </c>
      <c r="GE65">
        <f>IF(AND(CROQUIS_DATOS!$C$1472=1,1),(CROQUIS_DATOS!$C$1572+(CHOOSE(MIN(MAX(IF(INT(($A65-1)/5)+1&gt;CROQUIS_DATOS!$C$1525,5,MOD($A65-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5">
        <f>IF(AND(CROQUIS_DATOS!$C$1472=1,1),IF(INT(($A65-1)/4)+1&lt;=CROQUIS_DATOS!$C$1525,(CROQUIS_DATOS!$C$1571+((INDEX($E$8:$E$23,MIN(INT(($A65-1)/4)+1,16))+IF(OR(MOD($A65-1,4)=0,MOD($A65-1,4)=3),-1,1)*(INDEX($F$8:$F$23,MIN(INT(($A65-1)/4)+1,16))/2-(CROQUIS_DATOS!$C$1530+CROQUIS_DATOS!$C$1532+IF(OR(INT(($A65-1)/4)+1=1,INT(($A65-1)/4)+1=CROQUIS_DATOS!$C$1525),CROQUIS_DATOS!$C$1534,CROQUIS_DATOS!$C$1531)/2))))*CROQUIS_DATOS!$C$1569),-1000),-1000)</f>
        <v>-1000</v>
      </c>
      <c r="GG65">
        <f>IF(AND(CROQUIS_DATOS!$C$1472=1,1),IF(INT(($A65-1)/4)+1&lt;=CROQUIS_DATOS!$C$1525,(CROQUIS_DATOS!$C$1572+((CROQUIS_DATOS!$C$1477/2+IF(MOD($A65-1,4)&lt;2,-1,1)*(CROQUIS_DATOS!$C$1527/2-(CROQUIS_DATOS!$C$1530+CROQUIS_DATOS!$C$1532+IF(OR(INT(($A65-1)/4)+1=1,INT(($A65-1)/4)+1=CROQUIS_DATOS!$C$1525),CROQUIS_DATOS!$C$1534,CROQUIS_DATOS!$C$1531)/2))))*CROQUIS_DATOS!$C$1569*CROQUIS_DATOS!$C$1570),-1000),-1000)</f>
        <v>-1000</v>
      </c>
    </row>
    <row r="66">
      <c r="A66" t="n">
        <v>59</v>
      </c>
      <c r="J66">
        <f>IF(AND(CROQUIS_DATOS!$C$1472=1,1),(CROQUIS_DATOS!$C$1563+(CHOOSE(MIN(MAX(IF(INT(($A66-1)/4)+1&gt;CROQUIS_DATOS!$C$1525,4,MOD($A66-1,4)+1),1),4),(INDEX($E$8:$E$23,MIN(INT(($A66-1)/4)+1,CROQUIS_DATOS!$C$1525))-INDEX($F$8:$F$23,MIN(INT(($A66-1)/4)+1,CROQUIS_DATOS!$C$1525))/2),(INDEX($E$8:$E$23,MIN(INT(($A66-1)/4)+1,CROQUIS_DATOS!$C$1525))-INDEX($F$8:$F$23,MIN(INT(($A66-1)/4)+1,CROQUIS_DATOS!$C$1525))/2),(INDEX($E$8:$E$23,MIN(INT(($A66-1)/4)+1,CROQUIS_DATOS!$C$1525))+INDEX($F$8:$F$23,MIN(INT(($A66-1)/4)+1,CROQUIS_DATOS!$C$1525))/2),(INDEX($E$8:$E$23,MIN(INT(($A66-1)/4)+1,CROQUIS_DATOS!$C$1525))+INDEX($F$8:$F$23,MIN(INT(($A66-1)/4)+1,CROQUIS_DATOS!$C$1525))/2)))*CROQUIS_DATOS!$C$1562),-1000)</f>
        <v>84.9137931034483</v>
      </c>
      <c r="K66">
        <f>IF(AND(CROQUIS_DATOS!$C$1472=1,1),(CROQUIS_DATOS!$C$1564+(CHOOSE(MIN(MAX(IF(INT(($A66-1)/4)+1&gt;CROQUIS_DATOS!$C$1525,4,MOD($A66-1,4)+1),1),4),0,CROQUIS_DATOS!$C$1476,CROQUIS_DATOS!$C$1476,0))*CROQUIS_DATOS!$C$1561*CROQUIS_DATOS!$C$1562),-1000)</f>
        <v>5.29310344827586</v>
      </c>
      <c r="L66">
        <f>IF(AND(CROQUIS_DATOS!$C$1472=1,1),(CROQUIS_DATOS!$C$1563+(CHOOSE(MIN(MAX(IF(INT(($A66-1)/4)+1&gt;CROQUIS_DATOS!$C$1525,4,MOD($A66-1,4)+1),1),4),((INDEX($E$8:$E$23,MIN(INT(($A66-1)/4)+1,CROQUIS_DATOS!$C$1525))-INDEX($F$8:$F$23,MIN(INT(($A66-1)/4)+1,CROQUIS_DATOS!$C$1525))/2)+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,((INDEX($E$8:$E$23,MIN(INT(($A66-1)/4)+1,CROQUIS_DATOS!$C$1525))-INDEX($F$8:$F$23,MIN(INT(($A66-1)/4)+1,CROQUIS_DATOS!$C$1525))/2)+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,((INDEX($E$8:$E$23,MIN(INT(($A66-1)/4)+1,CROQUIS_DATOS!$C$1525))+INDEX($F$8:$F$23,MIN(INT(($A66-1)/4)+1,CROQUIS_DATOS!$C$1525))/2)-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,((INDEX($E$8:$E$23,MIN(INT(($A66-1)/4)+1,CROQUIS_DATOS!$C$1525))+INDEX($F$8:$F$23,MIN(INT(($A66-1)/4)+1,CROQUIS_DATOS!$C$1525))/2)-MIN((CROQUIS_DATOS!$C$1530+CROQUIS_DATOS!$C$1532+IF(OR(MIN(INT(($A66-1)/4)+1,CROQUIS_DATOS!$C$1525)=1,MIN(INT(($A66-1)/4)+1,CROQUIS_DATOS!$C$1525)=CROQUIS_DATOS!$C$1525),CROQUIS_DATOS!$C$1534,CROQUIS_DATOS!$C$1531)/2),INDEX($F$8:$F$23,MIN(INT(($A66-1)/4)+1,CROQUIS_DATOS!$C$1525))/2-0.5))))*CROQUIS_DATOS!$C$1562),-1000)</f>
        <v>84.4792560344828</v>
      </c>
      <c r="M66">
        <f>IF(AND(CROQUIS_DATOS!$C$1472=1,1),(CROQUIS_DATOS!$C$1564+(CHOOSE(MIN(MAX(IF(INT(($A66-1)/4)+1&gt;CROQUIS_DATOS!$C$1525,4,MOD($A66-1,4)+1),1),4),CROQUIS_DATOS!$C$1543,INDEX($I$8:$I$23,MIN(INT(($A66-1)/4)+1,CROQUIS_DATOS!$C$1525)),INDEX($I$8:$I$23,MIN(INT(($A66-1)/4)+1,CROQUIS_DATOS!$C$1525)),CROQUIS_DATOS!$C$1543))*CROQUIS_DATOS!$C$1561*CROQUIS_DATOS!$C$1562),-1000)</f>
        <v>42.5654629310345</v>
      </c>
      <c r="N66">
        <f>IF(AND(CROQUIS_DATOS!$C$1472=1,1),(CROQUIS_DATOS!$C$1563+(IF(IF(IF(INT(($A66-1)/70)+1&gt;CROQUIS_DATOS!$C$1525,70,MOD($A66-1,70)+1)=1,0,IF(IF(INT(($A66-1)/70)+1&gt;CROQUIS_DATOS!$C$1525,70,MOD($A66-1,70)+1)&gt;2*CROQUIS_DATOS!$C$1541+1,IF(MOD(CROQUIS_DATOS!$C$1541,2)=1,1,0),IF(MOD(MIN(INT((IF(INT(($A66-1)/70)+1&gt;CROQUIS_DATOS!$C$1525,70,MOD($A66-1,70)+1)-2)/2)+1,CROQUIS_DATOS!$C$1541),2)=1,IF(MOD(IF(INT(($A66-1)/70)+1&gt;CROQUIS_DATOS!$C$1525,70,MOD($A66-1,70)+1)-2,2)=0,0,1),IF(MOD(IF(INT(($A66-1)/70)+1&gt;CROQUIS_DATOS!$C$1525,70,MOD($A66-1,70)+1)-2,2)=0,1,0))))=0,(INDEX($E$8:$E$23,MIN(INT(($A66-1)/70)+1,CROQUIS_DATOS!$C$1525))-INDEX($F$8:$F$23,MIN(INT(($A66-1)/70)+1,CROQUIS_DATOS!$C$1525))/2),(INDEX($E$8:$E$23,MIN(INT(($A66-1)/70)+1,CROQUIS_DATOS!$C$1525))+INDEX($F$8:$F$23,MIN(INT(($A66-1)/70)+1,CROQUIS_DATOS!$C$1525))/2)))*CROQUIS_DATOS!$C$1562),-1000)</f>
        <v>15.0862068965517</v>
      </c>
      <c r="O66">
        <f>IF(AND(CROQUIS_DATOS!$C$1472=1,1),(CROQUIS_DATOS!$C$1564+(IF(OR(IF(INT(($A66-1)/70)+1&gt;CROQUIS_DATOS!$C$1525,70,MOD($A66-1,70)+1)=1,IF(INT(($A66-1)/70)+1&gt;CROQUIS_DATOS!$C$1525,70,MOD($A66-1,70)+1)&gt;2*CROQUIS_DATOS!$C$1541+1),CROQUIS_DATOS!$C$1476,INDEX($H$8:$H$41,MIN(INT((IF(INT(($A66-1)/70)+1&gt;CROQUIS_DATOS!$C$1525,70,MOD($A66-1,70)+1)-2)/2)+1,CROQUIS_DATOS!$C$1541))))*CROQUIS_DATOS!$C$1561*CROQUIS_DATOS!$C$1562),-1000)</f>
        <v>40.2068965517241</v>
      </c>
      <c r="P66">
        <f>IF(AND(CROQUIS_DATOS!$C$1472=1,CROQUIS_DATOS!$C$1555=1),(CROQUIS_DATOS!$C$1563+(IF(IF(OR(MOD($A66-1,62)+1=1,IF(CHOOSE(MIN(MAX(MIN(INT(($A66-1)/62)+1,5),1),5),CROQUIS_DATOS!$C$1501,CROQUIS_DATOS!$C$1505,CROQUIS_DATOS!$C$1509,CROQUIS_DATOS!$C$1513,CROQUIS_DATOS!$C$1517)=1,CROQUIS_DATOS!$C$1557,0)=0),0,IF(MOD($A66-1,62)+1&gt;2*IF(CHOOSE(MIN(MAX(MIN(INT(($A66-1)/62)+1,5),1),5),CROQUIS_DATOS!$C$1501,CROQUIS_DATOS!$C$1505,CROQUIS_DATOS!$C$1509,CROQUIS_DATOS!$C$1513,CROQUIS_DATOS!$C$1517)=1,CROQUIS_DATOS!$C$1557,0)+1,IF(MOD(IF(CHOOSE(MIN(MAX(MIN(INT(($A66-1)/62)+1,5),1),5),CROQUIS_DATOS!$C$1501,CROQUIS_DATOS!$C$1505,CROQUIS_DATOS!$C$1509,CROQUIS_DATOS!$C$1513,CROQUIS_DATOS!$C$1517)=1,CROQUIS_DATOS!$C$1557,0),2)=1,1,0),IF(MOD(MIN(INT((MOD($A66-1,62)+1-2)/2)+1,MAX(IF(CHOOSE(MIN(MAX(MIN(INT(($A66-1)/62)+1,5),1),5),CROQUIS_DATOS!$C$1501,CROQUIS_DATOS!$C$1505,CROQUIS_DATOS!$C$1509,CROQUIS_DATOS!$C$1513,CROQUIS_DATOS!$C$1517)=1,CROQUIS_DATOS!$C$1557,0),1)),2)=1,IF(MOD(MOD($A66-1,62)+1-2,2)=0,0,1),IF(MOD(MOD($A66-1,62)+1-2,2)=0,1,0))))=0,(CHOOSE(MIN(MAX(MIN(INT(($A66-1)/62)+1,5),1),5),CROQUIS_DATOS!$C$1499,CROQUIS_DATOS!$C$1503,CROQUIS_DATOS!$C$1507,CROQUIS_DATOS!$C$1511,CROQUIS_DATOS!$C$1515)+IF(CHOOSE(MIN(MAX(MIN(INT(($A66-1)/62)+1,5),1),5),CROQUIS_DATOS!$C$1501,CROQUIS_DATOS!$C$1505,CROQUIS_DATOS!$C$1509,CROQUIS_DATOS!$C$1513,CROQUIS_DATOS!$C$1517)=1,CROQUIS_DATOS!$C$1526,0)),(CHOOSE(MIN(MAX(MIN(INT(($A66-1)/62)+1,5),1),5),CROQUIS_DATOS!$C$1499,CROQUIS_DATOS!$C$1503,CROQUIS_DATOS!$C$1507,CROQUIS_DATOS!$C$1511,CROQUIS_DATOS!$C$1515)+CHOOSE(MIN(MAX(MIN(INT(($A66-1)/62)+1,5),1),5),CROQUIS_DATOS!$C$1500,CROQUIS_DATOS!$C$1504,CROQUIS_DATOS!$C$1508,CROQUIS_DATOS!$C$1512,CROQUIS_DATOS!$C$1516)-IF(CHOOSE(MIN(MAX(MIN(INT(($A66-1)/62)+1,5),1),5),CROQUIS_DATOS!$C$1501,CROQUIS_DATOS!$C$1505,CROQUIS_DATOS!$C$1509,CROQUIS_DATOS!$C$1513,CROQUIS_DATOS!$C$1517)=1,CROQUIS_DATOS!$C$1526,0))))*CROQUIS_DATOS!$C$1562),-1000)</f>
        <v>-1000</v>
      </c>
      <c r="Q66">
        <f>IF(AND(CROQUIS_DATOS!$C$1472=1,CROQUIS_DATOS!$C$1555=1),(CROQUIS_DATOS!$C$1564+(IF(OR(OR(MOD($A66-1,62)+1=1,IF(CHOOSE(MIN(MAX(MIN(INT(($A66-1)/62)+1,5),1),5),CROQUIS_DATOS!$C$1501,CROQUIS_DATOS!$C$1505,CROQUIS_DATOS!$C$1509,CROQUIS_DATOS!$C$1513,CROQUIS_DATOS!$C$1517)=1,CROQUIS_DATOS!$C$1557,0)=0),MOD($A66-1,62)+1&gt;2*IF(CHOOSE(MIN(MAX(MIN(INT(($A66-1)/62)+1,5),1),5),CROQUIS_DATOS!$C$1501,CROQUIS_DATOS!$C$1505,CROQUIS_DATOS!$C$1509,CROQUIS_DATOS!$C$1513,CROQUIS_DATOS!$C$1517)=1,CROQUIS_DATOS!$C$1557,0)+1),CROQUIS_DATOS!$C$1476,MIN(INT((MOD($A66-1,62)+1-2)/2)+1,MAX(IF(CHOOSE(MIN(MAX(MIN(INT(($A66-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6">
        <f>IF(AND(CROQUIS_DATOS!$C$1472=1,1),(CROQUIS_DATOS!$C$1563+(MIN(INT(($A66-1)/2)+1,CROQUIS_DATOS!$C$1558)*CROQUIS_DATOS!$C$1559)*CROQUIS_DATOS!$C$1562),-1000)</f>
        <v>82.2281167108753</v>
      </c>
      <c r="U66">
        <f>IF(AND(CROQUIS_DATOS!$C$1472=1,1),(CROQUIS_DATOS!$C$1564+(IF(INT(($A66-1)/2)+1&gt;CROQUIS_DATOS!$C$1558,IF(MOD(CROQUIS_DATOS!$C$1558,2)=1,CROQUIS_DATOS!$C$1476+CROQUIS_DATOS!$C$1528,CROQUIS_DATOS!$C$1476),IF(IF(MOD(MIN(INT(($A66-1)/2)+1,CROQUIS_DATOS!$C$1558),2)=1,MOD($A66-1,2),1-MOD($A66-1,2))=1,CROQUIS_DATOS!$C$1476+CROQUIS_DATOS!$C$1528,CROQUIS_DATOS!$C$1476)))*CROQUIS_DATOS!$C$1561*CROQUIS_DATOS!$C$1562),-1000)</f>
        <v>43</v>
      </c>
      <c r="BZ66">
        <f>IF(AND(CROQUIS_DATOS!$C$1472=1,CROQUIS_DATOS!$C$1500&gt;0,((CROQUIS_DATOS!$C$1499+CROQUIS_DATOS!$C$1500))-(CROQUIS_DATOS!$C$1499)&gt;0.5,(CROQUIS_DATOS!$C$1476)-(0)&gt;0.5),(CROQUIS_DATOS!$C$1566+(IF(IF(MOD(MIN(INT(($A66-1)/2)+1,MAX(1,INT(((((CROQUIS_DATOS!$C$1499+CROQUIS_DATOS!$C$1500))-(CROQUIS_DATOS!$C$1499))+((CROQUIS_DATOS!$C$1476)*CROQUIS_DATOS!$C$1561-(0)*CROQUIS_DATOS!$C$1561))/CROQUIS_DATOS!$C$1568-0.000001))),2)=1,IF(INT(($A66-1)/2)+1&gt;MAX(1,INT(((((CROQUIS_DATOS!$C$1499+CROQUIS_DATOS!$C$1500))-(CROQUIS_DATOS!$C$1499))+((CROQUIS_DATOS!$C$1476)*CROQUIS_DATOS!$C$1561-(0)*CROQUIS_DATOS!$C$1561))/CROQUIS_DATOS!$C$1568-0.000001)),1,MOD($A66-1,2)),1-IF(INT(($A66-1)/2)+1&gt;MAX(1,INT(((((CROQUIS_DATOS!$C$1499+CROQUIS_DATOS!$C$1500))-(CROQUIS_DATOS!$C$1499))+((CROQUIS_DATOS!$C$1476)*CROQUIS_DATOS!$C$1561-(0)*CROQUIS_DATOS!$C$1561))/CROQUIS_DATOS!$C$1568-0.000001)),1,MOD($A66-1,2)))=1,MIN((CROQUIS_DATOS!$C$1476)*CROQUIS_DATOS!$C$1561,((CROQUIS_DATOS!$C$1499+CROQUIS_DATOS!$C$1500)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6">
        <f>IF(AND(CROQUIS_DATOS!$C$1472=1,CROQUIS_DATOS!$C$1500&gt;0,((CROQUIS_DATOS!$C$1499+CROQUIS_DATOS!$C$1500))-(CROQUIS_DATOS!$C$1499)&gt;0.5,(CROQUIS_DATOS!$C$1476)-(0)&gt;0.5),(CROQUIS_DATOS!$C$1567+(IF(IF(MOD(MIN(INT(($A66-1)/2)+1,MAX(1,INT(((((CROQUIS_DATOS!$C$1499+CROQUIS_DATOS!$C$1500))-(CROQUIS_DATOS!$C$1499))+((CROQUIS_DATOS!$C$1476)*CROQUIS_DATOS!$C$1561-(0)*CROQUIS_DATOS!$C$1561))/CROQUIS_DATOS!$C$1568-0.000001))),2)=1,IF(INT(($A66-1)/2)+1&gt;MAX(1,INT(((((CROQUIS_DATOS!$C$1499+CROQUIS_DATOS!$C$1500))-(CROQUIS_DATOS!$C$1499))+((CROQUIS_DATOS!$C$1476)*CROQUIS_DATOS!$C$1561-(0)*CROQUIS_DATOS!$C$1561))/CROQUIS_DATOS!$C$1568-0.000001)),1,MOD($A66-1,2)),1-IF(INT(($A66-1)/2)+1&gt;MAX(1,INT(((((CROQUIS_DATOS!$C$1499+CROQUIS_DATOS!$C$1500))-(CROQUIS_DATOS!$C$1499))+((CROQUIS_DATOS!$C$1476)*CROQUIS_DATOS!$C$1561-(0)*CROQUIS_DATOS!$C$1561))/CROQUIS_DATOS!$C$1568-0.000001)),1,MOD($A66-1,2)))=1,MIN((CROQUIS_DATOS!$C$1476)*CROQUIS_DATOS!$C$1561,((CROQUIS_DATOS!$C$1499+CROQUIS_DATOS!$C$1500)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6">
        <f>IF(AND(CROQUIS_DATOS!$C$1472=1,CROQUIS_DATOS!$C$1504&gt;0,((CROQUIS_DATOS!$C$1503+CROQUIS_DATOS!$C$1504))-(CROQUIS_DATOS!$C$1503)&gt;0.5,(CROQUIS_DATOS!$C$1476)-(0)&gt;0.5),(CROQUIS_DATOS!$C$1566+(IF(IF(MOD(MIN(INT(($A66-1)/2)+1,MAX(1,INT(((((CROQUIS_DATOS!$C$1503+CROQUIS_DATOS!$C$1504))-(CROQUIS_DATOS!$C$1503))+((CROQUIS_DATOS!$C$1476)*CROQUIS_DATOS!$C$1561-(0)*CROQUIS_DATOS!$C$1561))/CROQUIS_DATOS!$C$1568-0.000001))),2)=1,IF(INT(($A66-1)/2)+1&gt;MAX(1,INT(((((CROQUIS_DATOS!$C$1503+CROQUIS_DATOS!$C$1504))-(CROQUIS_DATOS!$C$1503))+((CROQUIS_DATOS!$C$1476)*CROQUIS_DATOS!$C$1561-(0)*CROQUIS_DATOS!$C$1561))/CROQUIS_DATOS!$C$1568-0.000001)),1,MOD($A66-1,2)),1-IF(INT(($A66-1)/2)+1&gt;MAX(1,INT(((((CROQUIS_DATOS!$C$1503+CROQUIS_DATOS!$C$1504))-(CROQUIS_DATOS!$C$1503))+((CROQUIS_DATOS!$C$1476)*CROQUIS_DATOS!$C$1561-(0)*CROQUIS_DATOS!$C$1561))/CROQUIS_DATOS!$C$1568-0.000001)),1,MOD($A66-1,2)))=1,MIN((CROQUIS_DATOS!$C$1476)*CROQUIS_DATOS!$C$1561,((CROQUIS_DATOS!$C$1503+CROQUIS_DATOS!$C$1504)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6">
        <f>IF(AND(CROQUIS_DATOS!$C$1472=1,CROQUIS_DATOS!$C$1504&gt;0,((CROQUIS_DATOS!$C$1503+CROQUIS_DATOS!$C$1504))-(CROQUIS_DATOS!$C$1503)&gt;0.5,(CROQUIS_DATOS!$C$1476)-(0)&gt;0.5),(CROQUIS_DATOS!$C$1567+(IF(IF(MOD(MIN(INT(($A66-1)/2)+1,MAX(1,INT(((((CROQUIS_DATOS!$C$1503+CROQUIS_DATOS!$C$1504))-(CROQUIS_DATOS!$C$1503))+((CROQUIS_DATOS!$C$1476)*CROQUIS_DATOS!$C$1561-(0)*CROQUIS_DATOS!$C$1561))/CROQUIS_DATOS!$C$1568-0.000001))),2)=1,IF(INT(($A66-1)/2)+1&gt;MAX(1,INT(((((CROQUIS_DATOS!$C$1503+CROQUIS_DATOS!$C$1504))-(CROQUIS_DATOS!$C$1503))+((CROQUIS_DATOS!$C$1476)*CROQUIS_DATOS!$C$1561-(0)*CROQUIS_DATOS!$C$1561))/CROQUIS_DATOS!$C$1568-0.000001)),1,MOD($A66-1,2)),1-IF(INT(($A66-1)/2)+1&gt;MAX(1,INT(((((CROQUIS_DATOS!$C$1503+CROQUIS_DATOS!$C$1504))-(CROQUIS_DATOS!$C$1503))+((CROQUIS_DATOS!$C$1476)*CROQUIS_DATOS!$C$1561-(0)*CROQUIS_DATOS!$C$1561))/CROQUIS_DATOS!$C$1568-0.000001)),1,MOD($A66-1,2)))=1,MIN((CROQUIS_DATOS!$C$1476)*CROQUIS_DATOS!$C$1561,((CROQUIS_DATOS!$C$1503+CROQUIS_DATOS!$C$1504)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6">
        <f>IF(AND(CROQUIS_DATOS!$C$1472=1,CROQUIS_DATOS!$C$1508&gt;0,((CROQUIS_DATOS!$C$1507+CROQUIS_DATOS!$C$1508))-(CROQUIS_DATOS!$C$1507)&gt;0.5,(CROQUIS_DATOS!$C$1476)-(0)&gt;0.5),(CROQUIS_DATOS!$C$1566+(IF(IF(MOD(MIN(INT(($A66-1)/2)+1,MAX(1,INT(((((CROQUIS_DATOS!$C$1507+CROQUIS_DATOS!$C$1508))-(CROQUIS_DATOS!$C$1507))+((CROQUIS_DATOS!$C$1476)*CROQUIS_DATOS!$C$1561-(0)*CROQUIS_DATOS!$C$1561))/CROQUIS_DATOS!$C$1568-0.000001))),2)=1,IF(INT(($A66-1)/2)+1&gt;MAX(1,INT(((((CROQUIS_DATOS!$C$1507+CROQUIS_DATOS!$C$1508))-(CROQUIS_DATOS!$C$1507))+((CROQUIS_DATOS!$C$1476)*CROQUIS_DATOS!$C$1561-(0)*CROQUIS_DATOS!$C$1561))/CROQUIS_DATOS!$C$1568-0.000001)),1,MOD($A66-1,2)),1-IF(INT(($A66-1)/2)+1&gt;MAX(1,INT(((((CROQUIS_DATOS!$C$1507+CROQUIS_DATOS!$C$1508))-(CROQUIS_DATOS!$C$1507))+((CROQUIS_DATOS!$C$1476)*CROQUIS_DATOS!$C$1561-(0)*CROQUIS_DATOS!$C$1561))/CROQUIS_DATOS!$C$1568-0.000001)),1,MOD($A66-1,2)))=1,MIN((CROQUIS_DATOS!$C$1476)*CROQUIS_DATOS!$C$1561,((CROQUIS_DATOS!$C$1507+CROQUIS_DATOS!$C$1508)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6">
        <f>IF(AND(CROQUIS_DATOS!$C$1472=1,CROQUIS_DATOS!$C$1508&gt;0,((CROQUIS_DATOS!$C$1507+CROQUIS_DATOS!$C$1508))-(CROQUIS_DATOS!$C$1507)&gt;0.5,(CROQUIS_DATOS!$C$1476)-(0)&gt;0.5),(CROQUIS_DATOS!$C$1567+(IF(IF(MOD(MIN(INT(($A66-1)/2)+1,MAX(1,INT(((((CROQUIS_DATOS!$C$1507+CROQUIS_DATOS!$C$1508))-(CROQUIS_DATOS!$C$1507))+((CROQUIS_DATOS!$C$1476)*CROQUIS_DATOS!$C$1561-(0)*CROQUIS_DATOS!$C$1561))/CROQUIS_DATOS!$C$1568-0.000001))),2)=1,IF(INT(($A66-1)/2)+1&gt;MAX(1,INT(((((CROQUIS_DATOS!$C$1507+CROQUIS_DATOS!$C$1508))-(CROQUIS_DATOS!$C$1507))+((CROQUIS_DATOS!$C$1476)*CROQUIS_DATOS!$C$1561-(0)*CROQUIS_DATOS!$C$1561))/CROQUIS_DATOS!$C$1568-0.000001)),1,MOD($A66-1,2)),1-IF(INT(($A66-1)/2)+1&gt;MAX(1,INT(((((CROQUIS_DATOS!$C$1507+CROQUIS_DATOS!$C$1508))-(CROQUIS_DATOS!$C$1507))+((CROQUIS_DATOS!$C$1476)*CROQUIS_DATOS!$C$1561-(0)*CROQUIS_DATOS!$C$1561))/CROQUIS_DATOS!$C$1568-0.000001)),1,MOD($A66-1,2)))=1,MIN((CROQUIS_DATOS!$C$1476)*CROQUIS_DATOS!$C$1561,((CROQUIS_DATOS!$C$1507+CROQUIS_DATOS!$C$1508)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6">
        <f>IF(AND(CROQUIS_DATOS!$C$1472=1,CROQUIS_DATOS!$C$1512&gt;0,((CROQUIS_DATOS!$C$1511+CROQUIS_DATOS!$C$1512))-(CROQUIS_DATOS!$C$1511)&gt;0.5,(CROQUIS_DATOS!$C$1476)-(0)&gt;0.5),(CROQUIS_DATOS!$C$1566+(IF(IF(MOD(MIN(INT(($A66-1)/2)+1,MAX(1,INT(((((CROQUIS_DATOS!$C$1511+CROQUIS_DATOS!$C$1512))-(CROQUIS_DATOS!$C$1511))+((CROQUIS_DATOS!$C$1476)*CROQUIS_DATOS!$C$1561-(0)*CROQUIS_DATOS!$C$1561))/CROQUIS_DATOS!$C$1568-0.000001))),2)=1,IF(INT(($A66-1)/2)+1&gt;MAX(1,INT(((((CROQUIS_DATOS!$C$1511+CROQUIS_DATOS!$C$1512))-(CROQUIS_DATOS!$C$1511))+((CROQUIS_DATOS!$C$1476)*CROQUIS_DATOS!$C$1561-(0)*CROQUIS_DATOS!$C$1561))/CROQUIS_DATOS!$C$1568-0.000001)),1,MOD($A66-1,2)),1-IF(INT(($A66-1)/2)+1&gt;MAX(1,INT(((((CROQUIS_DATOS!$C$1511+CROQUIS_DATOS!$C$1512))-(CROQUIS_DATOS!$C$1511))+((CROQUIS_DATOS!$C$1476)*CROQUIS_DATOS!$C$1561-(0)*CROQUIS_DATOS!$C$1561))/CROQUIS_DATOS!$C$1568-0.000001)),1,MOD($A66-1,2)))=1,MIN((CROQUIS_DATOS!$C$1476)*CROQUIS_DATOS!$C$1561,((CROQUIS_DATOS!$C$1511+CROQUIS_DATOS!$C$1512)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6">
        <f>IF(AND(CROQUIS_DATOS!$C$1472=1,CROQUIS_DATOS!$C$1512&gt;0,((CROQUIS_DATOS!$C$1511+CROQUIS_DATOS!$C$1512))-(CROQUIS_DATOS!$C$1511)&gt;0.5,(CROQUIS_DATOS!$C$1476)-(0)&gt;0.5),(CROQUIS_DATOS!$C$1567+(IF(IF(MOD(MIN(INT(($A66-1)/2)+1,MAX(1,INT(((((CROQUIS_DATOS!$C$1511+CROQUIS_DATOS!$C$1512))-(CROQUIS_DATOS!$C$1511))+((CROQUIS_DATOS!$C$1476)*CROQUIS_DATOS!$C$1561-(0)*CROQUIS_DATOS!$C$1561))/CROQUIS_DATOS!$C$1568-0.000001))),2)=1,IF(INT(($A66-1)/2)+1&gt;MAX(1,INT(((((CROQUIS_DATOS!$C$1511+CROQUIS_DATOS!$C$1512))-(CROQUIS_DATOS!$C$1511))+((CROQUIS_DATOS!$C$1476)*CROQUIS_DATOS!$C$1561-(0)*CROQUIS_DATOS!$C$1561))/CROQUIS_DATOS!$C$1568-0.000001)),1,MOD($A66-1,2)),1-IF(INT(($A66-1)/2)+1&gt;MAX(1,INT(((((CROQUIS_DATOS!$C$1511+CROQUIS_DATOS!$C$1512))-(CROQUIS_DATOS!$C$1511))+((CROQUIS_DATOS!$C$1476)*CROQUIS_DATOS!$C$1561-(0)*CROQUIS_DATOS!$C$1561))/CROQUIS_DATOS!$C$1568-0.000001)),1,MOD($A66-1,2)))=1,MIN((CROQUIS_DATOS!$C$1476)*CROQUIS_DATOS!$C$1561,((CROQUIS_DATOS!$C$1511+CROQUIS_DATOS!$C$1512)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6">
        <f>IF(AND(CROQUIS_DATOS!$C$1472=1,CROQUIS_DATOS!$C$1516&gt;0,((CROQUIS_DATOS!$C$1515+CROQUIS_DATOS!$C$1516))-(CROQUIS_DATOS!$C$1515)&gt;0.5,(CROQUIS_DATOS!$C$1476)-(0)&gt;0.5),(CROQUIS_DATOS!$C$1566+(IF(IF(MOD(MIN(INT(($A66-1)/2)+1,MAX(1,INT(((((CROQUIS_DATOS!$C$1515+CROQUIS_DATOS!$C$1516))-(CROQUIS_DATOS!$C$1515))+((CROQUIS_DATOS!$C$1476)*CROQUIS_DATOS!$C$1561-(0)*CROQUIS_DATOS!$C$1561))/CROQUIS_DATOS!$C$1568-0.000001))),2)=1,IF(INT(($A66-1)/2)+1&gt;MAX(1,INT(((((CROQUIS_DATOS!$C$1515+CROQUIS_DATOS!$C$1516))-(CROQUIS_DATOS!$C$1515))+((CROQUIS_DATOS!$C$1476)*CROQUIS_DATOS!$C$1561-(0)*CROQUIS_DATOS!$C$1561))/CROQUIS_DATOS!$C$1568-0.000001)),1,MOD($A66-1,2)),1-IF(INT(($A66-1)/2)+1&gt;MAX(1,INT(((((CROQUIS_DATOS!$C$1515+CROQUIS_DATOS!$C$1516))-(CROQUIS_DATOS!$C$1515))+((CROQUIS_DATOS!$C$1476)*CROQUIS_DATOS!$C$1561-(0)*CROQUIS_DATOS!$C$1561))/CROQUIS_DATOS!$C$1568-0.000001)),1,MOD($A66-1,2)))=1,MIN((CROQUIS_DATOS!$C$1476)*CROQUIS_DATOS!$C$1561,((CROQUIS_DATOS!$C$1515+CROQUIS_DATOS!$C$1516)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6">
        <f>IF(AND(CROQUIS_DATOS!$C$1472=1,CROQUIS_DATOS!$C$1516&gt;0,((CROQUIS_DATOS!$C$1515+CROQUIS_DATOS!$C$1516))-(CROQUIS_DATOS!$C$1515)&gt;0.5,(CROQUIS_DATOS!$C$1476)-(0)&gt;0.5),(CROQUIS_DATOS!$C$1567+(IF(IF(MOD(MIN(INT(($A66-1)/2)+1,MAX(1,INT(((((CROQUIS_DATOS!$C$1515+CROQUIS_DATOS!$C$1516))-(CROQUIS_DATOS!$C$1515))+((CROQUIS_DATOS!$C$1476)*CROQUIS_DATOS!$C$1561-(0)*CROQUIS_DATOS!$C$1561))/CROQUIS_DATOS!$C$1568-0.000001))),2)=1,IF(INT(($A66-1)/2)+1&gt;MAX(1,INT(((((CROQUIS_DATOS!$C$1515+CROQUIS_DATOS!$C$1516))-(CROQUIS_DATOS!$C$1515))+((CROQUIS_DATOS!$C$1476)*CROQUIS_DATOS!$C$1561-(0)*CROQUIS_DATOS!$C$1561))/CROQUIS_DATOS!$C$1568-0.000001)),1,MOD($A66-1,2)),1-IF(INT(($A66-1)/2)+1&gt;MAX(1,INT(((((CROQUIS_DATOS!$C$1515+CROQUIS_DATOS!$C$1516))-(CROQUIS_DATOS!$C$1515))+((CROQUIS_DATOS!$C$1476)*CROQUIS_DATOS!$C$1561-(0)*CROQUIS_DATOS!$C$1561))/CROQUIS_DATOS!$C$1568-0.000001)),1,MOD($A66-1,2)))=1,MIN((CROQUIS_DATOS!$C$1476)*CROQUIS_DATOS!$C$1561,((CROQUIS_DATOS!$C$1515+CROQUIS_DATOS!$C$1516)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6">
        <f>IF(AND(CROQUIS_DATOS!$C$1472=1,CROQUIS_DATOS!$C$1478&gt;=1,((CROQUIS_DATOS!$C$1479+CROQUIS_DATOS!$C$1480))-(CROQUIS_DATOS!$C$1479)&gt;0.5,(CROQUIS_DATOS!$C$1481)-(0)&gt;0.5),(CROQUIS_DATOS!$C$1566+(IF(IF(MOD(MIN(INT(($A66-1)/2)+1,MAX(1,INT(((((CROQUIS_DATOS!$C$1479+CROQUIS_DATOS!$C$1480))-(CROQUIS_DATOS!$C$1479))+((CROQUIS_DATOS!$C$1481)*CROQUIS_DATOS!$C$1561-(0)*CROQUIS_DATOS!$C$1561))/CROQUIS_DATOS!$C$1568-0.000001))),2)=1,IF(INT(($A66-1)/2)+1&gt;MAX(1,INT(((((CROQUIS_DATOS!$C$1479+CROQUIS_DATOS!$C$1480))-(CROQUIS_DATOS!$C$1479))+((CROQUIS_DATOS!$C$1481)*CROQUIS_DATOS!$C$1561-(0)*CROQUIS_DATOS!$C$1561))/CROQUIS_DATOS!$C$1568-0.000001)),1,MOD($A66-1,2)),1-IF(INT(($A66-1)/2)+1&gt;MAX(1,INT(((((CROQUIS_DATOS!$C$1479+CROQUIS_DATOS!$C$1480))-(CROQUIS_DATOS!$C$1479))+((CROQUIS_DATOS!$C$1481)*CROQUIS_DATOS!$C$1561-(0)*CROQUIS_DATOS!$C$1561))/CROQUIS_DATOS!$C$1568-0.000001)),1,MOD($A66-1,2)))=1,MIN((CROQUIS_DATOS!$C$1481)*CROQUIS_DATOS!$C$1561,((CROQUIS_DATOS!$C$1479+CROQUIS_DATOS!$C$1480)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6">
        <f>IF(AND(CROQUIS_DATOS!$C$1472=1,CROQUIS_DATOS!$C$1478&gt;=1,((CROQUIS_DATOS!$C$1479+CROQUIS_DATOS!$C$1480))-(CROQUIS_DATOS!$C$1479)&gt;0.5,(CROQUIS_DATOS!$C$1481)-(0)&gt;0.5),(CROQUIS_DATOS!$C$1567+(IF(IF(MOD(MIN(INT(($A66-1)/2)+1,MAX(1,INT(((((CROQUIS_DATOS!$C$1479+CROQUIS_DATOS!$C$1480))-(CROQUIS_DATOS!$C$1479))+((CROQUIS_DATOS!$C$1481)*CROQUIS_DATOS!$C$1561-(0)*CROQUIS_DATOS!$C$1561))/CROQUIS_DATOS!$C$1568-0.000001))),2)=1,IF(INT(($A66-1)/2)+1&gt;MAX(1,INT(((((CROQUIS_DATOS!$C$1479+CROQUIS_DATOS!$C$1480))-(CROQUIS_DATOS!$C$1479))+((CROQUIS_DATOS!$C$1481)*CROQUIS_DATOS!$C$1561-(0)*CROQUIS_DATOS!$C$1561))/CROQUIS_DATOS!$C$1568-0.000001)),1,MOD($A66-1,2)),1-IF(INT(($A66-1)/2)+1&gt;MAX(1,INT(((((CROQUIS_DATOS!$C$1479+CROQUIS_DATOS!$C$1480))-(CROQUIS_DATOS!$C$1479))+((CROQUIS_DATOS!$C$1481)*CROQUIS_DATOS!$C$1561-(0)*CROQUIS_DATOS!$C$1561))/CROQUIS_DATOS!$C$1568-0.000001)),1,MOD($A66-1,2)))=1,MIN((CROQUIS_DATOS!$C$1481)*CROQUIS_DATOS!$C$1561,((CROQUIS_DATOS!$C$1479+CROQUIS_DATOS!$C$1480)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6">
        <f>IF(AND(CROQUIS_DATOS!$C$1472=1,CROQUIS_DATOS!$C$1478&gt;=1,((CROQUIS_DATOS!$C$1479+CROQUIS_DATOS!$C$1480))-(CROQUIS_DATOS!$C$1479)&gt;0.5,(CROQUIS_DATOS!$C$1476)-((CROQUIS_DATOS!$C$1481+CROQUIS_DATOS!$C$1482))&gt;0.5),(CROQUIS_DATOS!$C$1566+(IF(IF(MOD(MIN(INT(($A66-1)/2)+1,MAX(1,INT(((((CROQUIS_DATOS!$C$1479+CROQUIS_DATOS!$C$1480))-(CROQUIS_DATOS!$C$1479))+((CROQUIS_DATOS!$C$1476)*CROQUIS_DATOS!$C$1561-((CROQUIS_DATOS!$C$1481+CROQUIS_DATOS!$C$1482))*CROQUIS_DATOS!$C$1561))/CROQUIS_DATOS!$C$1568-0.000001))),2)=1,IF(INT(($A66-1)/2)+1&gt;MAX(1,INT(((((CROQUIS_DATOS!$C$1479+CROQUIS_DATOS!$C$1480))-(CROQUIS_DATOS!$C$1479))+((CROQUIS_DATOS!$C$1476)*CROQUIS_DATOS!$C$1561-((CROQUIS_DATOS!$C$1481+CROQUIS_DATOS!$C$1482))*CROQUIS_DATOS!$C$1561))/CROQUIS_DATOS!$C$1568-0.000001)),1,MOD($A66-1,2)),1-IF(INT(($A66-1)/2)+1&gt;MAX(1,INT(((((CROQUIS_DATOS!$C$1479+CROQUIS_DATOS!$C$1480))-(CROQUIS_DATOS!$C$1479))+((CROQUIS_DATOS!$C$1476)*CROQUIS_DATOS!$C$1561-((CROQUIS_DATOS!$C$1481+CROQUIS_DATOS!$C$1482))*CROQUIS_DATOS!$C$1561))/CROQUIS_DATOS!$C$1568-0.000001)),1,MOD($A66-1,2)))=1,MIN((CROQUIS_DATOS!$C$1476)*CROQUIS_DATOS!$C$1561,((CROQUIS_DATOS!$C$1479+CROQUIS_DATOS!$C$1480)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6">
        <f>IF(AND(CROQUIS_DATOS!$C$1472=1,CROQUIS_DATOS!$C$1478&gt;=1,((CROQUIS_DATOS!$C$1479+CROQUIS_DATOS!$C$1480))-(CROQUIS_DATOS!$C$1479)&gt;0.5,(CROQUIS_DATOS!$C$1476)-((CROQUIS_DATOS!$C$1481+CROQUIS_DATOS!$C$1482))&gt;0.5),(CROQUIS_DATOS!$C$1567+(IF(IF(MOD(MIN(INT(($A66-1)/2)+1,MAX(1,INT(((((CROQUIS_DATOS!$C$1479+CROQUIS_DATOS!$C$1480))-(CROQUIS_DATOS!$C$1479))+((CROQUIS_DATOS!$C$1476)*CROQUIS_DATOS!$C$1561-((CROQUIS_DATOS!$C$1481+CROQUIS_DATOS!$C$1482))*CROQUIS_DATOS!$C$1561))/CROQUIS_DATOS!$C$1568-0.000001))),2)=1,IF(INT(($A66-1)/2)+1&gt;MAX(1,INT(((((CROQUIS_DATOS!$C$1479+CROQUIS_DATOS!$C$1480))-(CROQUIS_DATOS!$C$1479))+((CROQUIS_DATOS!$C$1476)*CROQUIS_DATOS!$C$1561-((CROQUIS_DATOS!$C$1481+CROQUIS_DATOS!$C$1482))*CROQUIS_DATOS!$C$1561))/CROQUIS_DATOS!$C$1568-0.000001)),1,MOD($A66-1,2)),1-IF(INT(($A66-1)/2)+1&gt;MAX(1,INT(((((CROQUIS_DATOS!$C$1479+CROQUIS_DATOS!$C$1480))-(CROQUIS_DATOS!$C$1479))+((CROQUIS_DATOS!$C$1476)*CROQUIS_DATOS!$C$1561-((CROQUIS_DATOS!$C$1481+CROQUIS_DATOS!$C$1482))*CROQUIS_DATOS!$C$1561))/CROQUIS_DATOS!$C$1568-0.000001)),1,MOD($A66-1,2)))=1,MIN((CROQUIS_DATOS!$C$1476)*CROQUIS_DATOS!$C$1561,((CROQUIS_DATOS!$C$1479+CROQUIS_DATOS!$C$1480)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6">
        <f>IF(AND(CROQUIS_DATOS!$C$1472=1,CROQUIS_DATOS!$C$1478&gt;=2,((CROQUIS_DATOS!$C$1484+CROQUIS_DATOS!$C$1485))-(CROQUIS_DATOS!$C$1484)&gt;0.5,(CROQUIS_DATOS!$C$1486)-(0)&gt;0.5),(CROQUIS_DATOS!$C$1566+(IF(IF(MOD(MIN(INT(($A66-1)/2)+1,MAX(1,INT(((((CROQUIS_DATOS!$C$1484+CROQUIS_DATOS!$C$1485))-(CROQUIS_DATOS!$C$1484))+((CROQUIS_DATOS!$C$1486)*CROQUIS_DATOS!$C$1561-(0)*CROQUIS_DATOS!$C$1561))/CROQUIS_DATOS!$C$1568-0.000001))),2)=1,IF(INT(($A66-1)/2)+1&gt;MAX(1,INT(((((CROQUIS_DATOS!$C$1484+CROQUIS_DATOS!$C$1485))-(CROQUIS_DATOS!$C$1484))+((CROQUIS_DATOS!$C$1486)*CROQUIS_DATOS!$C$1561-(0)*CROQUIS_DATOS!$C$1561))/CROQUIS_DATOS!$C$1568-0.000001)),1,MOD($A66-1,2)),1-IF(INT(($A66-1)/2)+1&gt;MAX(1,INT(((((CROQUIS_DATOS!$C$1484+CROQUIS_DATOS!$C$1485))-(CROQUIS_DATOS!$C$1484))+((CROQUIS_DATOS!$C$1486)*CROQUIS_DATOS!$C$1561-(0)*CROQUIS_DATOS!$C$1561))/CROQUIS_DATOS!$C$1568-0.000001)),1,MOD($A66-1,2)))=1,MIN((CROQUIS_DATOS!$C$1486)*CROQUIS_DATOS!$C$1561,((CROQUIS_DATOS!$C$1484+CROQUIS_DATOS!$C$1485)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6">
        <f>IF(AND(CROQUIS_DATOS!$C$1472=1,CROQUIS_DATOS!$C$1478&gt;=2,((CROQUIS_DATOS!$C$1484+CROQUIS_DATOS!$C$1485))-(CROQUIS_DATOS!$C$1484)&gt;0.5,(CROQUIS_DATOS!$C$1486)-(0)&gt;0.5),(CROQUIS_DATOS!$C$1567+(IF(IF(MOD(MIN(INT(($A66-1)/2)+1,MAX(1,INT(((((CROQUIS_DATOS!$C$1484+CROQUIS_DATOS!$C$1485))-(CROQUIS_DATOS!$C$1484))+((CROQUIS_DATOS!$C$1486)*CROQUIS_DATOS!$C$1561-(0)*CROQUIS_DATOS!$C$1561))/CROQUIS_DATOS!$C$1568-0.000001))),2)=1,IF(INT(($A66-1)/2)+1&gt;MAX(1,INT(((((CROQUIS_DATOS!$C$1484+CROQUIS_DATOS!$C$1485))-(CROQUIS_DATOS!$C$1484))+((CROQUIS_DATOS!$C$1486)*CROQUIS_DATOS!$C$1561-(0)*CROQUIS_DATOS!$C$1561))/CROQUIS_DATOS!$C$1568-0.000001)),1,MOD($A66-1,2)),1-IF(INT(($A66-1)/2)+1&gt;MAX(1,INT(((((CROQUIS_DATOS!$C$1484+CROQUIS_DATOS!$C$1485))-(CROQUIS_DATOS!$C$1484))+((CROQUIS_DATOS!$C$1486)*CROQUIS_DATOS!$C$1561-(0)*CROQUIS_DATOS!$C$1561))/CROQUIS_DATOS!$C$1568-0.000001)),1,MOD($A66-1,2)))=1,MIN((CROQUIS_DATOS!$C$1486)*CROQUIS_DATOS!$C$1561,((CROQUIS_DATOS!$C$1484+CROQUIS_DATOS!$C$1485)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6">
        <f>IF(AND(CROQUIS_DATOS!$C$1472=1,CROQUIS_DATOS!$C$1478&gt;=2,((CROQUIS_DATOS!$C$1484+CROQUIS_DATOS!$C$1485))-(CROQUIS_DATOS!$C$1484)&gt;0.5,(CROQUIS_DATOS!$C$1476)-((CROQUIS_DATOS!$C$1486+CROQUIS_DATOS!$C$1487))&gt;0.5),(CROQUIS_DATOS!$C$1566+(IF(IF(MOD(MIN(INT(($A66-1)/2)+1,MAX(1,INT(((((CROQUIS_DATOS!$C$1484+CROQUIS_DATOS!$C$1485))-(CROQUIS_DATOS!$C$1484))+((CROQUIS_DATOS!$C$1476)*CROQUIS_DATOS!$C$1561-((CROQUIS_DATOS!$C$1486+CROQUIS_DATOS!$C$1487))*CROQUIS_DATOS!$C$1561))/CROQUIS_DATOS!$C$1568-0.000001))),2)=1,IF(INT(($A66-1)/2)+1&gt;MAX(1,INT(((((CROQUIS_DATOS!$C$1484+CROQUIS_DATOS!$C$1485))-(CROQUIS_DATOS!$C$1484))+((CROQUIS_DATOS!$C$1476)*CROQUIS_DATOS!$C$1561-((CROQUIS_DATOS!$C$1486+CROQUIS_DATOS!$C$1487))*CROQUIS_DATOS!$C$1561))/CROQUIS_DATOS!$C$1568-0.000001)),1,MOD($A66-1,2)),1-IF(INT(($A66-1)/2)+1&gt;MAX(1,INT(((((CROQUIS_DATOS!$C$1484+CROQUIS_DATOS!$C$1485))-(CROQUIS_DATOS!$C$1484))+((CROQUIS_DATOS!$C$1476)*CROQUIS_DATOS!$C$1561-((CROQUIS_DATOS!$C$1486+CROQUIS_DATOS!$C$1487))*CROQUIS_DATOS!$C$1561))/CROQUIS_DATOS!$C$1568-0.000001)),1,MOD($A66-1,2)))=1,MIN((CROQUIS_DATOS!$C$1476)*CROQUIS_DATOS!$C$1561,((CROQUIS_DATOS!$C$1484+CROQUIS_DATOS!$C$1485)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6">
        <f>IF(AND(CROQUIS_DATOS!$C$1472=1,CROQUIS_DATOS!$C$1478&gt;=2,((CROQUIS_DATOS!$C$1484+CROQUIS_DATOS!$C$1485))-(CROQUIS_DATOS!$C$1484)&gt;0.5,(CROQUIS_DATOS!$C$1476)-((CROQUIS_DATOS!$C$1486+CROQUIS_DATOS!$C$1487))&gt;0.5),(CROQUIS_DATOS!$C$1567+(IF(IF(MOD(MIN(INT(($A66-1)/2)+1,MAX(1,INT(((((CROQUIS_DATOS!$C$1484+CROQUIS_DATOS!$C$1485))-(CROQUIS_DATOS!$C$1484))+((CROQUIS_DATOS!$C$1476)*CROQUIS_DATOS!$C$1561-((CROQUIS_DATOS!$C$1486+CROQUIS_DATOS!$C$1487))*CROQUIS_DATOS!$C$1561))/CROQUIS_DATOS!$C$1568-0.000001))),2)=1,IF(INT(($A66-1)/2)+1&gt;MAX(1,INT(((((CROQUIS_DATOS!$C$1484+CROQUIS_DATOS!$C$1485))-(CROQUIS_DATOS!$C$1484))+((CROQUIS_DATOS!$C$1476)*CROQUIS_DATOS!$C$1561-((CROQUIS_DATOS!$C$1486+CROQUIS_DATOS!$C$1487))*CROQUIS_DATOS!$C$1561))/CROQUIS_DATOS!$C$1568-0.000001)),1,MOD($A66-1,2)),1-IF(INT(($A66-1)/2)+1&gt;MAX(1,INT(((((CROQUIS_DATOS!$C$1484+CROQUIS_DATOS!$C$1485))-(CROQUIS_DATOS!$C$1484))+((CROQUIS_DATOS!$C$1476)*CROQUIS_DATOS!$C$1561-((CROQUIS_DATOS!$C$1486+CROQUIS_DATOS!$C$1487))*CROQUIS_DATOS!$C$1561))/CROQUIS_DATOS!$C$1568-0.000001)),1,MOD($A66-1,2)))=1,MIN((CROQUIS_DATOS!$C$1476)*CROQUIS_DATOS!$C$1561,((CROQUIS_DATOS!$C$1484+CROQUIS_DATOS!$C$1485)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6">
        <f>IF(AND(CROQUIS_DATOS!$C$1472=1,CROQUIS_DATOS!$C$1478&gt;=3,((CROQUIS_DATOS!$C$1489+CROQUIS_DATOS!$C$1490))-(CROQUIS_DATOS!$C$1489)&gt;0.5,(CROQUIS_DATOS!$C$1491)-(0)&gt;0.5),(CROQUIS_DATOS!$C$1566+(IF(IF(MOD(MIN(INT(($A66-1)/2)+1,MAX(1,INT(((((CROQUIS_DATOS!$C$1489+CROQUIS_DATOS!$C$1490))-(CROQUIS_DATOS!$C$1489))+((CROQUIS_DATOS!$C$1491)*CROQUIS_DATOS!$C$1561-(0)*CROQUIS_DATOS!$C$1561))/CROQUIS_DATOS!$C$1568-0.000001))),2)=1,IF(INT(($A66-1)/2)+1&gt;MAX(1,INT(((((CROQUIS_DATOS!$C$1489+CROQUIS_DATOS!$C$1490))-(CROQUIS_DATOS!$C$1489))+((CROQUIS_DATOS!$C$1491)*CROQUIS_DATOS!$C$1561-(0)*CROQUIS_DATOS!$C$1561))/CROQUIS_DATOS!$C$1568-0.000001)),1,MOD($A66-1,2)),1-IF(INT(($A66-1)/2)+1&gt;MAX(1,INT(((((CROQUIS_DATOS!$C$1489+CROQUIS_DATOS!$C$1490))-(CROQUIS_DATOS!$C$1489))+((CROQUIS_DATOS!$C$1491)*CROQUIS_DATOS!$C$1561-(0)*CROQUIS_DATOS!$C$1561))/CROQUIS_DATOS!$C$1568-0.000001)),1,MOD($A66-1,2)))=1,MIN((CROQUIS_DATOS!$C$1491)*CROQUIS_DATOS!$C$1561,((CROQUIS_DATOS!$C$1489+CROQUIS_DATOS!$C$1490)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6">
        <f>IF(AND(CROQUIS_DATOS!$C$1472=1,CROQUIS_DATOS!$C$1478&gt;=3,((CROQUIS_DATOS!$C$1489+CROQUIS_DATOS!$C$1490))-(CROQUIS_DATOS!$C$1489)&gt;0.5,(CROQUIS_DATOS!$C$1491)-(0)&gt;0.5),(CROQUIS_DATOS!$C$1567+(IF(IF(MOD(MIN(INT(($A66-1)/2)+1,MAX(1,INT(((((CROQUIS_DATOS!$C$1489+CROQUIS_DATOS!$C$1490))-(CROQUIS_DATOS!$C$1489))+((CROQUIS_DATOS!$C$1491)*CROQUIS_DATOS!$C$1561-(0)*CROQUIS_DATOS!$C$1561))/CROQUIS_DATOS!$C$1568-0.000001))),2)=1,IF(INT(($A66-1)/2)+1&gt;MAX(1,INT(((((CROQUIS_DATOS!$C$1489+CROQUIS_DATOS!$C$1490))-(CROQUIS_DATOS!$C$1489))+((CROQUIS_DATOS!$C$1491)*CROQUIS_DATOS!$C$1561-(0)*CROQUIS_DATOS!$C$1561))/CROQUIS_DATOS!$C$1568-0.000001)),1,MOD($A66-1,2)),1-IF(INT(($A66-1)/2)+1&gt;MAX(1,INT(((((CROQUIS_DATOS!$C$1489+CROQUIS_DATOS!$C$1490))-(CROQUIS_DATOS!$C$1489))+((CROQUIS_DATOS!$C$1491)*CROQUIS_DATOS!$C$1561-(0)*CROQUIS_DATOS!$C$1561))/CROQUIS_DATOS!$C$1568-0.000001)),1,MOD($A66-1,2)))=1,MIN((CROQUIS_DATOS!$C$1491)*CROQUIS_DATOS!$C$1561,((CROQUIS_DATOS!$C$1489+CROQUIS_DATOS!$C$1490)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6">
        <f>IF(AND(CROQUIS_DATOS!$C$1472=1,CROQUIS_DATOS!$C$1478&gt;=3,((CROQUIS_DATOS!$C$1489+CROQUIS_DATOS!$C$1490))-(CROQUIS_DATOS!$C$1489)&gt;0.5,(CROQUIS_DATOS!$C$1476)-((CROQUIS_DATOS!$C$1491+CROQUIS_DATOS!$C$1492))&gt;0.5),(CROQUIS_DATOS!$C$1566+(IF(IF(MOD(MIN(INT(($A66-1)/2)+1,MAX(1,INT(((((CROQUIS_DATOS!$C$1489+CROQUIS_DATOS!$C$1490))-(CROQUIS_DATOS!$C$1489))+((CROQUIS_DATOS!$C$1476)*CROQUIS_DATOS!$C$1561-((CROQUIS_DATOS!$C$1491+CROQUIS_DATOS!$C$1492))*CROQUIS_DATOS!$C$1561))/CROQUIS_DATOS!$C$1568-0.000001))),2)=1,IF(INT(($A66-1)/2)+1&gt;MAX(1,INT(((((CROQUIS_DATOS!$C$1489+CROQUIS_DATOS!$C$1490))-(CROQUIS_DATOS!$C$1489))+((CROQUIS_DATOS!$C$1476)*CROQUIS_DATOS!$C$1561-((CROQUIS_DATOS!$C$1491+CROQUIS_DATOS!$C$1492))*CROQUIS_DATOS!$C$1561))/CROQUIS_DATOS!$C$1568-0.000001)),1,MOD($A66-1,2)),1-IF(INT(($A66-1)/2)+1&gt;MAX(1,INT(((((CROQUIS_DATOS!$C$1489+CROQUIS_DATOS!$C$1490))-(CROQUIS_DATOS!$C$1489))+((CROQUIS_DATOS!$C$1476)*CROQUIS_DATOS!$C$1561-((CROQUIS_DATOS!$C$1491+CROQUIS_DATOS!$C$1492))*CROQUIS_DATOS!$C$1561))/CROQUIS_DATOS!$C$1568-0.000001)),1,MOD($A66-1,2)))=1,MIN((CROQUIS_DATOS!$C$1476)*CROQUIS_DATOS!$C$1561,((CROQUIS_DATOS!$C$1489+CROQUIS_DATOS!$C$1490)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6">
        <f>IF(AND(CROQUIS_DATOS!$C$1472=1,CROQUIS_DATOS!$C$1478&gt;=3,((CROQUIS_DATOS!$C$1489+CROQUIS_DATOS!$C$1490))-(CROQUIS_DATOS!$C$1489)&gt;0.5,(CROQUIS_DATOS!$C$1476)-((CROQUIS_DATOS!$C$1491+CROQUIS_DATOS!$C$1492))&gt;0.5),(CROQUIS_DATOS!$C$1567+(IF(IF(MOD(MIN(INT(($A66-1)/2)+1,MAX(1,INT(((((CROQUIS_DATOS!$C$1489+CROQUIS_DATOS!$C$1490))-(CROQUIS_DATOS!$C$1489))+((CROQUIS_DATOS!$C$1476)*CROQUIS_DATOS!$C$1561-((CROQUIS_DATOS!$C$1491+CROQUIS_DATOS!$C$1492))*CROQUIS_DATOS!$C$1561))/CROQUIS_DATOS!$C$1568-0.000001))),2)=1,IF(INT(($A66-1)/2)+1&gt;MAX(1,INT(((((CROQUIS_DATOS!$C$1489+CROQUIS_DATOS!$C$1490))-(CROQUIS_DATOS!$C$1489))+((CROQUIS_DATOS!$C$1476)*CROQUIS_DATOS!$C$1561-((CROQUIS_DATOS!$C$1491+CROQUIS_DATOS!$C$1492))*CROQUIS_DATOS!$C$1561))/CROQUIS_DATOS!$C$1568-0.000001)),1,MOD($A66-1,2)),1-IF(INT(($A66-1)/2)+1&gt;MAX(1,INT(((((CROQUIS_DATOS!$C$1489+CROQUIS_DATOS!$C$1490))-(CROQUIS_DATOS!$C$1489))+((CROQUIS_DATOS!$C$1476)*CROQUIS_DATOS!$C$1561-((CROQUIS_DATOS!$C$1491+CROQUIS_DATOS!$C$1492))*CROQUIS_DATOS!$C$1561))/CROQUIS_DATOS!$C$1568-0.000001)),1,MOD($A66-1,2)))=1,MIN((CROQUIS_DATOS!$C$1476)*CROQUIS_DATOS!$C$1561,((CROQUIS_DATOS!$C$1489+CROQUIS_DATOS!$C$1490)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6">
        <f>IF(AND(CROQUIS_DATOS!$C$1472=1,CROQUIS_DATOS!$C$1478&gt;=4,((CROQUIS_DATOS!$C$1494+CROQUIS_DATOS!$C$1495))-(CROQUIS_DATOS!$C$1494)&gt;0.5,(CROQUIS_DATOS!$C$1496)-(0)&gt;0.5),(CROQUIS_DATOS!$C$1566+(IF(IF(MOD(MIN(INT(($A66-1)/2)+1,MAX(1,INT(((((CROQUIS_DATOS!$C$1494+CROQUIS_DATOS!$C$1495))-(CROQUIS_DATOS!$C$1494))+((CROQUIS_DATOS!$C$1496)*CROQUIS_DATOS!$C$1561-(0)*CROQUIS_DATOS!$C$1561))/CROQUIS_DATOS!$C$1568-0.000001))),2)=1,IF(INT(($A66-1)/2)+1&gt;MAX(1,INT(((((CROQUIS_DATOS!$C$1494+CROQUIS_DATOS!$C$1495))-(CROQUIS_DATOS!$C$1494))+((CROQUIS_DATOS!$C$1496)*CROQUIS_DATOS!$C$1561-(0)*CROQUIS_DATOS!$C$1561))/CROQUIS_DATOS!$C$1568-0.000001)),1,MOD($A66-1,2)),1-IF(INT(($A66-1)/2)+1&gt;MAX(1,INT(((((CROQUIS_DATOS!$C$1494+CROQUIS_DATOS!$C$1495))-(CROQUIS_DATOS!$C$1494))+((CROQUIS_DATOS!$C$1496)*CROQUIS_DATOS!$C$1561-(0)*CROQUIS_DATOS!$C$1561))/CROQUIS_DATOS!$C$1568-0.000001)),1,MOD($A66-1,2)))=1,MIN((CROQUIS_DATOS!$C$1496)*CROQUIS_DATOS!$C$1561,((CROQUIS_DATOS!$C$1494+CROQUIS_DATOS!$C$1495)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6">
        <f>IF(AND(CROQUIS_DATOS!$C$1472=1,CROQUIS_DATOS!$C$1478&gt;=4,((CROQUIS_DATOS!$C$1494+CROQUIS_DATOS!$C$1495))-(CROQUIS_DATOS!$C$1494)&gt;0.5,(CROQUIS_DATOS!$C$1496)-(0)&gt;0.5),(CROQUIS_DATOS!$C$1567+(IF(IF(MOD(MIN(INT(($A66-1)/2)+1,MAX(1,INT(((((CROQUIS_DATOS!$C$1494+CROQUIS_DATOS!$C$1495))-(CROQUIS_DATOS!$C$1494))+((CROQUIS_DATOS!$C$1496)*CROQUIS_DATOS!$C$1561-(0)*CROQUIS_DATOS!$C$1561))/CROQUIS_DATOS!$C$1568-0.000001))),2)=1,IF(INT(($A66-1)/2)+1&gt;MAX(1,INT(((((CROQUIS_DATOS!$C$1494+CROQUIS_DATOS!$C$1495))-(CROQUIS_DATOS!$C$1494))+((CROQUIS_DATOS!$C$1496)*CROQUIS_DATOS!$C$1561-(0)*CROQUIS_DATOS!$C$1561))/CROQUIS_DATOS!$C$1568-0.000001)),1,MOD($A66-1,2)),1-IF(INT(($A66-1)/2)+1&gt;MAX(1,INT(((((CROQUIS_DATOS!$C$1494+CROQUIS_DATOS!$C$1495))-(CROQUIS_DATOS!$C$1494))+((CROQUIS_DATOS!$C$1496)*CROQUIS_DATOS!$C$1561-(0)*CROQUIS_DATOS!$C$1561))/CROQUIS_DATOS!$C$1568-0.000001)),1,MOD($A66-1,2)))=1,MIN((CROQUIS_DATOS!$C$1496)*CROQUIS_DATOS!$C$1561,((CROQUIS_DATOS!$C$1494+CROQUIS_DATOS!$C$1495)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6">
        <f>IF(AND(CROQUIS_DATOS!$C$1472=1,CROQUIS_DATOS!$C$1478&gt;=4,((CROQUIS_DATOS!$C$1494+CROQUIS_DATOS!$C$1495))-(CROQUIS_DATOS!$C$1494)&gt;0.5,(CROQUIS_DATOS!$C$1476)-((CROQUIS_DATOS!$C$1496+CROQUIS_DATOS!$C$1497))&gt;0.5),(CROQUIS_DATOS!$C$1566+(IF(IF(MOD(MIN(INT(($A66-1)/2)+1,MAX(1,INT(((((CROQUIS_DATOS!$C$1494+CROQUIS_DATOS!$C$1495))-(CROQUIS_DATOS!$C$1494))+((CROQUIS_DATOS!$C$1476)*CROQUIS_DATOS!$C$1561-((CROQUIS_DATOS!$C$1496+CROQUIS_DATOS!$C$1497))*CROQUIS_DATOS!$C$1561))/CROQUIS_DATOS!$C$1568-0.000001))),2)=1,IF(INT(($A66-1)/2)+1&gt;MAX(1,INT(((((CROQUIS_DATOS!$C$1494+CROQUIS_DATOS!$C$1495))-(CROQUIS_DATOS!$C$1494))+((CROQUIS_DATOS!$C$1476)*CROQUIS_DATOS!$C$1561-((CROQUIS_DATOS!$C$1496+CROQUIS_DATOS!$C$1497))*CROQUIS_DATOS!$C$1561))/CROQUIS_DATOS!$C$1568-0.000001)),1,MOD($A66-1,2)),1-IF(INT(($A66-1)/2)+1&gt;MAX(1,INT(((((CROQUIS_DATOS!$C$1494+CROQUIS_DATOS!$C$1495))-(CROQUIS_DATOS!$C$1494))+((CROQUIS_DATOS!$C$1476)*CROQUIS_DATOS!$C$1561-((CROQUIS_DATOS!$C$1496+CROQUIS_DATOS!$C$1497))*CROQUIS_DATOS!$C$1561))/CROQUIS_DATOS!$C$1568-0.000001)),1,MOD($A66-1,2)))=1,MIN((CROQUIS_DATOS!$C$1476)*CROQUIS_DATOS!$C$1561,((CROQUIS_DATOS!$C$1494+CROQUIS_DATOS!$C$1495)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6">
        <f>IF(AND(CROQUIS_DATOS!$C$1472=1,CROQUIS_DATOS!$C$1478&gt;=4,((CROQUIS_DATOS!$C$1494+CROQUIS_DATOS!$C$1495))-(CROQUIS_DATOS!$C$1494)&gt;0.5,(CROQUIS_DATOS!$C$1476)-((CROQUIS_DATOS!$C$1496+CROQUIS_DATOS!$C$1497))&gt;0.5),(CROQUIS_DATOS!$C$1567+(IF(IF(MOD(MIN(INT(($A66-1)/2)+1,MAX(1,INT(((((CROQUIS_DATOS!$C$1494+CROQUIS_DATOS!$C$1495))-(CROQUIS_DATOS!$C$1494))+((CROQUIS_DATOS!$C$1476)*CROQUIS_DATOS!$C$1561-((CROQUIS_DATOS!$C$1496+CROQUIS_DATOS!$C$1497))*CROQUIS_DATOS!$C$1561))/CROQUIS_DATOS!$C$1568-0.000001))),2)=1,IF(INT(($A66-1)/2)+1&gt;MAX(1,INT(((((CROQUIS_DATOS!$C$1494+CROQUIS_DATOS!$C$1495))-(CROQUIS_DATOS!$C$1494))+((CROQUIS_DATOS!$C$1476)*CROQUIS_DATOS!$C$1561-((CROQUIS_DATOS!$C$1496+CROQUIS_DATOS!$C$1497))*CROQUIS_DATOS!$C$1561))/CROQUIS_DATOS!$C$1568-0.000001)),1,MOD($A66-1,2)),1-IF(INT(($A66-1)/2)+1&gt;MAX(1,INT(((((CROQUIS_DATOS!$C$1494+CROQUIS_DATOS!$C$1495))-(CROQUIS_DATOS!$C$1494))+((CROQUIS_DATOS!$C$1476)*CROQUIS_DATOS!$C$1561-((CROQUIS_DATOS!$C$1496+CROQUIS_DATOS!$C$1497))*CROQUIS_DATOS!$C$1561))/CROQUIS_DATOS!$C$1568-0.000001)),1,MOD($A66-1,2)))=1,MIN((CROQUIS_DATOS!$C$1476)*CROQUIS_DATOS!$C$1561,((CROQUIS_DATOS!$C$1494+CROQUIS_DATOS!$C$1495)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6">
        <f>IF(AND(CROQUIS_DATOS!$C$1472=1,1),(CROQUIS_DATOS!$C$1571+(CHOOSE(MIN(MAX(IF(INT(($A66-1)/5)+1&gt;CROQUIS_DATOS!$C$1525,5,MOD($A66-1,5)+1),1),5),(INDEX($E$8:$E$23,MIN(INT(($A66-1)/5)+1,CROQUIS_DATOS!$C$1525))-INDEX($F$8:$F$23,MIN(INT(($A66-1)/5)+1,CROQUIS_DATOS!$C$1525))/2),(INDEX($E$8:$E$23,MIN(INT(($A66-1)/5)+1,CROQUIS_DATOS!$C$1525))+INDEX($F$8:$F$23,MIN(INT(($A66-1)/5)+1,CROQUIS_DATOS!$C$1525))/2),(INDEX($E$8:$E$23,MIN(INT(($A66-1)/5)+1,CROQUIS_DATOS!$C$1525))+INDEX($F$8:$F$23,MIN(INT(($A66-1)/5)+1,CROQUIS_DATOS!$C$1525))/2),(INDEX($E$8:$E$23,MIN(INT(($A66-1)/5)+1,CROQUIS_DATOS!$C$1525))-INDEX($F$8:$F$23,MIN(INT(($A66-1)/5)+1,CROQUIS_DATOS!$C$1525))/2),(INDEX($E$8:$E$23,MIN(INT(($A66-1)/5)+1,CROQUIS_DATOS!$C$1525))-INDEX($F$8:$F$23,MIN(INT(($A66-1)/5)+1,CROQUIS_DATOS!$C$1525))/2)))*CROQUIS_DATOS!$C$1569),-1000)</f>
        <v>95.24</v>
      </c>
      <c r="GE66">
        <f>IF(AND(CROQUIS_DATOS!$C$1472=1,1),(CROQUIS_DATOS!$C$1572+(CHOOSE(MIN(MAX(IF(INT(($A66-1)/5)+1&gt;CROQUIS_DATOS!$C$1525,5,MOD($A66-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6">
        <f>IF(AND(CROQUIS_DATOS!$C$1472=1,1),IF(INT(($A66-1)/4)+1&lt;=CROQUIS_DATOS!$C$1525,(CROQUIS_DATOS!$C$1571+((INDEX($E$8:$E$23,MIN(INT(($A66-1)/4)+1,16))+IF(OR(MOD($A66-1,4)=0,MOD($A66-1,4)=3),-1,1)*(INDEX($F$8:$F$23,MIN(INT(($A66-1)/4)+1,16))/2-(CROQUIS_DATOS!$C$1530+CROQUIS_DATOS!$C$1532+IF(OR(INT(($A66-1)/4)+1=1,INT(($A66-1)/4)+1=CROQUIS_DATOS!$C$1525),CROQUIS_DATOS!$C$1534,CROQUIS_DATOS!$C$1531)/2))))*CROQUIS_DATOS!$C$1569),-1000),-1000)</f>
        <v>-1000</v>
      </c>
      <c r="GG66">
        <f>IF(AND(CROQUIS_DATOS!$C$1472=1,1),IF(INT(($A66-1)/4)+1&lt;=CROQUIS_DATOS!$C$1525,(CROQUIS_DATOS!$C$1572+((CROQUIS_DATOS!$C$1477/2+IF(MOD($A66-1,4)&lt;2,-1,1)*(CROQUIS_DATOS!$C$1527/2-(CROQUIS_DATOS!$C$1530+CROQUIS_DATOS!$C$1532+IF(OR(INT(($A66-1)/4)+1=1,INT(($A66-1)/4)+1=CROQUIS_DATOS!$C$1525),CROQUIS_DATOS!$C$1534,CROQUIS_DATOS!$C$1531)/2))))*CROQUIS_DATOS!$C$1569*CROQUIS_DATOS!$C$1570),-1000),-1000)</f>
        <v>-1000</v>
      </c>
    </row>
    <row r="67">
      <c r="A67" t="n">
        <v>60</v>
      </c>
      <c r="J67">
        <f>IF(AND(CROQUIS_DATOS!$C$1472=1,1),(CROQUIS_DATOS!$C$1563+(CHOOSE(MIN(MAX(IF(INT(($A67-1)/4)+1&gt;CROQUIS_DATOS!$C$1525,4,MOD($A67-1,4)+1),1),4),(INDEX($E$8:$E$23,MIN(INT(($A67-1)/4)+1,CROQUIS_DATOS!$C$1525))-INDEX($F$8:$F$23,MIN(INT(($A67-1)/4)+1,CROQUIS_DATOS!$C$1525))/2),(INDEX($E$8:$E$23,MIN(INT(($A67-1)/4)+1,CROQUIS_DATOS!$C$1525))-INDEX($F$8:$F$23,MIN(INT(($A67-1)/4)+1,CROQUIS_DATOS!$C$1525))/2),(INDEX($E$8:$E$23,MIN(INT(($A67-1)/4)+1,CROQUIS_DATOS!$C$1525))+INDEX($F$8:$F$23,MIN(INT(($A67-1)/4)+1,CROQUIS_DATOS!$C$1525))/2),(INDEX($E$8:$E$23,MIN(INT(($A67-1)/4)+1,CROQUIS_DATOS!$C$1525))+INDEX($F$8:$F$23,MIN(INT(($A67-1)/4)+1,CROQUIS_DATOS!$C$1525))/2)))*CROQUIS_DATOS!$C$1562),-1000)</f>
        <v>84.9137931034483</v>
      </c>
      <c r="K67">
        <f>IF(AND(CROQUIS_DATOS!$C$1472=1,1),(CROQUIS_DATOS!$C$1564+(CHOOSE(MIN(MAX(IF(INT(($A67-1)/4)+1&gt;CROQUIS_DATOS!$C$1525,4,MOD($A67-1,4)+1),1),4),0,CROQUIS_DATOS!$C$1476,CROQUIS_DATOS!$C$1476,0))*CROQUIS_DATOS!$C$1561*CROQUIS_DATOS!$C$1562),-1000)</f>
        <v>5.29310344827586</v>
      </c>
      <c r="L67">
        <f>IF(AND(CROQUIS_DATOS!$C$1472=1,1),(CROQUIS_DATOS!$C$1563+(CHOOSE(MIN(MAX(IF(INT(($A67-1)/4)+1&gt;CROQUIS_DATOS!$C$1525,4,MOD($A67-1,4)+1),1),4),((INDEX($E$8:$E$23,MIN(INT(($A67-1)/4)+1,CROQUIS_DATOS!$C$1525))-INDEX($F$8:$F$23,MIN(INT(($A67-1)/4)+1,CROQUIS_DATOS!$C$1525))/2)+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,((INDEX($E$8:$E$23,MIN(INT(($A67-1)/4)+1,CROQUIS_DATOS!$C$1525))-INDEX($F$8:$F$23,MIN(INT(($A67-1)/4)+1,CROQUIS_DATOS!$C$1525))/2)+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,((INDEX($E$8:$E$23,MIN(INT(($A67-1)/4)+1,CROQUIS_DATOS!$C$1525))+INDEX($F$8:$F$23,MIN(INT(($A67-1)/4)+1,CROQUIS_DATOS!$C$1525))/2)-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,((INDEX($E$8:$E$23,MIN(INT(($A67-1)/4)+1,CROQUIS_DATOS!$C$1525))+INDEX($F$8:$F$23,MIN(INT(($A67-1)/4)+1,CROQUIS_DATOS!$C$1525))/2)-MIN((CROQUIS_DATOS!$C$1530+CROQUIS_DATOS!$C$1532+IF(OR(MIN(INT(($A67-1)/4)+1,CROQUIS_DATOS!$C$1525)=1,MIN(INT(($A67-1)/4)+1,CROQUIS_DATOS!$C$1525)=CROQUIS_DATOS!$C$1525),CROQUIS_DATOS!$C$1534,CROQUIS_DATOS!$C$1531)/2),INDEX($F$8:$F$23,MIN(INT(($A67-1)/4)+1,CROQUIS_DATOS!$C$1525))/2-0.5))))*CROQUIS_DATOS!$C$1562),-1000)</f>
        <v>84.4792560344828</v>
      </c>
      <c r="M67">
        <f>IF(AND(CROQUIS_DATOS!$C$1472=1,1),(CROQUIS_DATOS!$C$1564+(CHOOSE(MIN(MAX(IF(INT(($A67-1)/4)+1&gt;CROQUIS_DATOS!$C$1525,4,MOD($A67-1,4)+1),1),4),CROQUIS_DATOS!$C$1543,INDEX($I$8:$I$23,MIN(INT(($A67-1)/4)+1,CROQUIS_DATOS!$C$1525)),INDEX($I$8:$I$23,MIN(INT(($A67-1)/4)+1,CROQUIS_DATOS!$C$1525)),CROQUIS_DATOS!$C$1543))*CROQUIS_DATOS!$C$1561*CROQUIS_DATOS!$C$1562),-1000)</f>
        <v>42.5654629310345</v>
      </c>
      <c r="N67">
        <f>IF(AND(CROQUIS_DATOS!$C$1472=1,1),(CROQUIS_DATOS!$C$1563+(IF(IF(IF(INT(($A67-1)/70)+1&gt;CROQUIS_DATOS!$C$1525,70,MOD($A67-1,70)+1)=1,0,IF(IF(INT(($A67-1)/70)+1&gt;CROQUIS_DATOS!$C$1525,70,MOD($A67-1,70)+1)&gt;2*CROQUIS_DATOS!$C$1541+1,IF(MOD(CROQUIS_DATOS!$C$1541,2)=1,1,0),IF(MOD(MIN(INT((IF(INT(($A67-1)/70)+1&gt;CROQUIS_DATOS!$C$1525,70,MOD($A67-1,70)+1)-2)/2)+1,CROQUIS_DATOS!$C$1541),2)=1,IF(MOD(IF(INT(($A67-1)/70)+1&gt;CROQUIS_DATOS!$C$1525,70,MOD($A67-1,70)+1)-2,2)=0,0,1),IF(MOD(IF(INT(($A67-1)/70)+1&gt;CROQUIS_DATOS!$C$1525,70,MOD($A67-1,70)+1)-2,2)=0,1,0))))=0,(INDEX($E$8:$E$23,MIN(INT(($A67-1)/70)+1,CROQUIS_DATOS!$C$1525))-INDEX($F$8:$F$23,MIN(INT(($A67-1)/70)+1,CROQUIS_DATOS!$C$1525))/2),(INDEX($E$8:$E$23,MIN(INT(($A67-1)/70)+1,CROQUIS_DATOS!$C$1525))+INDEX($F$8:$F$23,MIN(INT(($A67-1)/70)+1,CROQUIS_DATOS!$C$1525))/2)))*CROQUIS_DATOS!$C$1562),-1000)</f>
        <v>15.0862068965517</v>
      </c>
      <c r="O67">
        <f>IF(AND(CROQUIS_DATOS!$C$1472=1,1),(CROQUIS_DATOS!$C$1564+(IF(OR(IF(INT(($A67-1)/70)+1&gt;CROQUIS_DATOS!$C$1525,70,MOD($A67-1,70)+1)=1,IF(INT(($A67-1)/70)+1&gt;CROQUIS_DATOS!$C$1525,70,MOD($A67-1,70)+1)&gt;2*CROQUIS_DATOS!$C$1541+1),CROQUIS_DATOS!$C$1476,INDEX($H$8:$H$41,MIN(INT((IF(INT(($A67-1)/70)+1&gt;CROQUIS_DATOS!$C$1525,70,MOD($A67-1,70)+1)-2)/2)+1,CROQUIS_DATOS!$C$1541))))*CROQUIS_DATOS!$C$1561*CROQUIS_DATOS!$C$1562),-1000)</f>
        <v>40.2068965517241</v>
      </c>
      <c r="P67">
        <f>IF(AND(CROQUIS_DATOS!$C$1472=1,CROQUIS_DATOS!$C$1555=1),(CROQUIS_DATOS!$C$1563+(IF(IF(OR(MOD($A67-1,62)+1=1,IF(CHOOSE(MIN(MAX(MIN(INT(($A67-1)/62)+1,5),1),5),CROQUIS_DATOS!$C$1501,CROQUIS_DATOS!$C$1505,CROQUIS_DATOS!$C$1509,CROQUIS_DATOS!$C$1513,CROQUIS_DATOS!$C$1517)=1,CROQUIS_DATOS!$C$1557,0)=0),0,IF(MOD($A67-1,62)+1&gt;2*IF(CHOOSE(MIN(MAX(MIN(INT(($A67-1)/62)+1,5),1),5),CROQUIS_DATOS!$C$1501,CROQUIS_DATOS!$C$1505,CROQUIS_DATOS!$C$1509,CROQUIS_DATOS!$C$1513,CROQUIS_DATOS!$C$1517)=1,CROQUIS_DATOS!$C$1557,0)+1,IF(MOD(IF(CHOOSE(MIN(MAX(MIN(INT(($A67-1)/62)+1,5),1),5),CROQUIS_DATOS!$C$1501,CROQUIS_DATOS!$C$1505,CROQUIS_DATOS!$C$1509,CROQUIS_DATOS!$C$1513,CROQUIS_DATOS!$C$1517)=1,CROQUIS_DATOS!$C$1557,0),2)=1,1,0),IF(MOD(MIN(INT((MOD($A67-1,62)+1-2)/2)+1,MAX(IF(CHOOSE(MIN(MAX(MIN(INT(($A67-1)/62)+1,5),1),5),CROQUIS_DATOS!$C$1501,CROQUIS_DATOS!$C$1505,CROQUIS_DATOS!$C$1509,CROQUIS_DATOS!$C$1513,CROQUIS_DATOS!$C$1517)=1,CROQUIS_DATOS!$C$1557,0),1)),2)=1,IF(MOD(MOD($A67-1,62)+1-2,2)=0,0,1),IF(MOD(MOD($A67-1,62)+1-2,2)=0,1,0))))=0,(CHOOSE(MIN(MAX(MIN(INT(($A67-1)/62)+1,5),1),5),CROQUIS_DATOS!$C$1499,CROQUIS_DATOS!$C$1503,CROQUIS_DATOS!$C$1507,CROQUIS_DATOS!$C$1511,CROQUIS_DATOS!$C$1515)+IF(CHOOSE(MIN(MAX(MIN(INT(($A67-1)/62)+1,5),1),5),CROQUIS_DATOS!$C$1501,CROQUIS_DATOS!$C$1505,CROQUIS_DATOS!$C$1509,CROQUIS_DATOS!$C$1513,CROQUIS_DATOS!$C$1517)=1,CROQUIS_DATOS!$C$1526,0)),(CHOOSE(MIN(MAX(MIN(INT(($A67-1)/62)+1,5),1),5),CROQUIS_DATOS!$C$1499,CROQUIS_DATOS!$C$1503,CROQUIS_DATOS!$C$1507,CROQUIS_DATOS!$C$1511,CROQUIS_DATOS!$C$1515)+CHOOSE(MIN(MAX(MIN(INT(($A67-1)/62)+1,5),1),5),CROQUIS_DATOS!$C$1500,CROQUIS_DATOS!$C$1504,CROQUIS_DATOS!$C$1508,CROQUIS_DATOS!$C$1512,CROQUIS_DATOS!$C$1516)-IF(CHOOSE(MIN(MAX(MIN(INT(($A67-1)/62)+1,5),1),5),CROQUIS_DATOS!$C$1501,CROQUIS_DATOS!$C$1505,CROQUIS_DATOS!$C$1509,CROQUIS_DATOS!$C$1513,CROQUIS_DATOS!$C$1517)=1,CROQUIS_DATOS!$C$1526,0))))*CROQUIS_DATOS!$C$1562),-1000)</f>
        <v>-1000</v>
      </c>
      <c r="Q67">
        <f>IF(AND(CROQUIS_DATOS!$C$1472=1,CROQUIS_DATOS!$C$1555=1),(CROQUIS_DATOS!$C$1564+(IF(OR(OR(MOD($A67-1,62)+1=1,IF(CHOOSE(MIN(MAX(MIN(INT(($A67-1)/62)+1,5),1),5),CROQUIS_DATOS!$C$1501,CROQUIS_DATOS!$C$1505,CROQUIS_DATOS!$C$1509,CROQUIS_DATOS!$C$1513,CROQUIS_DATOS!$C$1517)=1,CROQUIS_DATOS!$C$1557,0)=0),MOD($A67-1,62)+1&gt;2*IF(CHOOSE(MIN(MAX(MIN(INT(($A67-1)/62)+1,5),1),5),CROQUIS_DATOS!$C$1501,CROQUIS_DATOS!$C$1505,CROQUIS_DATOS!$C$1509,CROQUIS_DATOS!$C$1513,CROQUIS_DATOS!$C$1517)=1,CROQUIS_DATOS!$C$1557,0)+1),CROQUIS_DATOS!$C$1476,MIN(INT((MOD($A67-1,62)+1-2)/2)+1,MAX(IF(CHOOSE(MIN(MAX(MIN(INT(($A67-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7">
        <f>IF(AND(CROQUIS_DATOS!$C$1472=1,1),(CROQUIS_DATOS!$C$1563+(MIN(INT(($A67-1)/2)+1,CROQUIS_DATOS!$C$1558)*CROQUIS_DATOS!$C$1559)*CROQUIS_DATOS!$C$1562),-1000)</f>
        <v>82.2281167108753</v>
      </c>
      <c r="U67">
        <f>IF(AND(CROQUIS_DATOS!$C$1472=1,1),(CROQUIS_DATOS!$C$1564+(IF(INT(($A67-1)/2)+1&gt;CROQUIS_DATOS!$C$1558,IF(MOD(CROQUIS_DATOS!$C$1558,2)=1,CROQUIS_DATOS!$C$1476+CROQUIS_DATOS!$C$1528,CROQUIS_DATOS!$C$1476),IF(IF(MOD(MIN(INT(($A67-1)/2)+1,CROQUIS_DATOS!$C$1558),2)=1,MOD($A67-1,2),1-MOD($A67-1,2))=1,CROQUIS_DATOS!$C$1476+CROQUIS_DATOS!$C$1528,CROQUIS_DATOS!$C$1476)))*CROQUIS_DATOS!$C$1561*CROQUIS_DATOS!$C$1562),-1000)</f>
        <v>43</v>
      </c>
      <c r="BZ67">
        <f>IF(AND(CROQUIS_DATOS!$C$1472=1,CROQUIS_DATOS!$C$1500&gt;0,((CROQUIS_DATOS!$C$1499+CROQUIS_DATOS!$C$1500))-(CROQUIS_DATOS!$C$1499)&gt;0.5,(CROQUIS_DATOS!$C$1476)-(0)&gt;0.5),(CROQUIS_DATOS!$C$1566+(IF(IF(MOD(MIN(INT(($A67-1)/2)+1,MAX(1,INT(((((CROQUIS_DATOS!$C$1499+CROQUIS_DATOS!$C$1500))-(CROQUIS_DATOS!$C$1499))+((CROQUIS_DATOS!$C$1476)*CROQUIS_DATOS!$C$1561-(0)*CROQUIS_DATOS!$C$1561))/CROQUIS_DATOS!$C$1568-0.000001))),2)=1,IF(INT(($A67-1)/2)+1&gt;MAX(1,INT(((((CROQUIS_DATOS!$C$1499+CROQUIS_DATOS!$C$1500))-(CROQUIS_DATOS!$C$1499))+((CROQUIS_DATOS!$C$1476)*CROQUIS_DATOS!$C$1561-(0)*CROQUIS_DATOS!$C$1561))/CROQUIS_DATOS!$C$1568-0.000001)),1,MOD($A67-1,2)),1-IF(INT(($A67-1)/2)+1&gt;MAX(1,INT(((((CROQUIS_DATOS!$C$1499+CROQUIS_DATOS!$C$1500))-(CROQUIS_DATOS!$C$1499))+((CROQUIS_DATOS!$C$1476)*CROQUIS_DATOS!$C$1561-(0)*CROQUIS_DATOS!$C$1561))/CROQUIS_DATOS!$C$1568-0.000001)),1,MOD($A67-1,2)))=1,MIN((CROQUIS_DATOS!$C$1476)*CROQUIS_DATOS!$C$1561,((CROQUIS_DATOS!$C$1499+CROQUIS_DATOS!$C$1500)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7">
        <f>IF(AND(CROQUIS_DATOS!$C$1472=1,CROQUIS_DATOS!$C$1500&gt;0,((CROQUIS_DATOS!$C$1499+CROQUIS_DATOS!$C$1500))-(CROQUIS_DATOS!$C$1499)&gt;0.5,(CROQUIS_DATOS!$C$1476)-(0)&gt;0.5),(CROQUIS_DATOS!$C$1567+(IF(IF(MOD(MIN(INT(($A67-1)/2)+1,MAX(1,INT(((((CROQUIS_DATOS!$C$1499+CROQUIS_DATOS!$C$1500))-(CROQUIS_DATOS!$C$1499))+((CROQUIS_DATOS!$C$1476)*CROQUIS_DATOS!$C$1561-(0)*CROQUIS_DATOS!$C$1561))/CROQUIS_DATOS!$C$1568-0.000001))),2)=1,IF(INT(($A67-1)/2)+1&gt;MAX(1,INT(((((CROQUIS_DATOS!$C$1499+CROQUIS_DATOS!$C$1500))-(CROQUIS_DATOS!$C$1499))+((CROQUIS_DATOS!$C$1476)*CROQUIS_DATOS!$C$1561-(0)*CROQUIS_DATOS!$C$1561))/CROQUIS_DATOS!$C$1568-0.000001)),1,MOD($A67-1,2)),1-IF(INT(($A67-1)/2)+1&gt;MAX(1,INT(((((CROQUIS_DATOS!$C$1499+CROQUIS_DATOS!$C$1500))-(CROQUIS_DATOS!$C$1499))+((CROQUIS_DATOS!$C$1476)*CROQUIS_DATOS!$C$1561-(0)*CROQUIS_DATOS!$C$1561))/CROQUIS_DATOS!$C$1568-0.000001)),1,MOD($A67-1,2)))=1,MIN((CROQUIS_DATOS!$C$1476)*CROQUIS_DATOS!$C$1561,((CROQUIS_DATOS!$C$1499+CROQUIS_DATOS!$C$1500)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7">
        <f>IF(AND(CROQUIS_DATOS!$C$1472=1,CROQUIS_DATOS!$C$1504&gt;0,((CROQUIS_DATOS!$C$1503+CROQUIS_DATOS!$C$1504))-(CROQUIS_DATOS!$C$1503)&gt;0.5,(CROQUIS_DATOS!$C$1476)-(0)&gt;0.5),(CROQUIS_DATOS!$C$1566+(IF(IF(MOD(MIN(INT(($A67-1)/2)+1,MAX(1,INT(((((CROQUIS_DATOS!$C$1503+CROQUIS_DATOS!$C$1504))-(CROQUIS_DATOS!$C$1503))+((CROQUIS_DATOS!$C$1476)*CROQUIS_DATOS!$C$1561-(0)*CROQUIS_DATOS!$C$1561))/CROQUIS_DATOS!$C$1568-0.000001))),2)=1,IF(INT(($A67-1)/2)+1&gt;MAX(1,INT(((((CROQUIS_DATOS!$C$1503+CROQUIS_DATOS!$C$1504))-(CROQUIS_DATOS!$C$1503))+((CROQUIS_DATOS!$C$1476)*CROQUIS_DATOS!$C$1561-(0)*CROQUIS_DATOS!$C$1561))/CROQUIS_DATOS!$C$1568-0.000001)),1,MOD($A67-1,2)),1-IF(INT(($A67-1)/2)+1&gt;MAX(1,INT(((((CROQUIS_DATOS!$C$1503+CROQUIS_DATOS!$C$1504))-(CROQUIS_DATOS!$C$1503))+((CROQUIS_DATOS!$C$1476)*CROQUIS_DATOS!$C$1561-(0)*CROQUIS_DATOS!$C$1561))/CROQUIS_DATOS!$C$1568-0.000001)),1,MOD($A67-1,2)))=1,MIN((CROQUIS_DATOS!$C$1476)*CROQUIS_DATOS!$C$1561,((CROQUIS_DATOS!$C$1503+CROQUIS_DATOS!$C$1504)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7">
        <f>IF(AND(CROQUIS_DATOS!$C$1472=1,CROQUIS_DATOS!$C$1504&gt;0,((CROQUIS_DATOS!$C$1503+CROQUIS_DATOS!$C$1504))-(CROQUIS_DATOS!$C$1503)&gt;0.5,(CROQUIS_DATOS!$C$1476)-(0)&gt;0.5),(CROQUIS_DATOS!$C$1567+(IF(IF(MOD(MIN(INT(($A67-1)/2)+1,MAX(1,INT(((((CROQUIS_DATOS!$C$1503+CROQUIS_DATOS!$C$1504))-(CROQUIS_DATOS!$C$1503))+((CROQUIS_DATOS!$C$1476)*CROQUIS_DATOS!$C$1561-(0)*CROQUIS_DATOS!$C$1561))/CROQUIS_DATOS!$C$1568-0.000001))),2)=1,IF(INT(($A67-1)/2)+1&gt;MAX(1,INT(((((CROQUIS_DATOS!$C$1503+CROQUIS_DATOS!$C$1504))-(CROQUIS_DATOS!$C$1503))+((CROQUIS_DATOS!$C$1476)*CROQUIS_DATOS!$C$1561-(0)*CROQUIS_DATOS!$C$1561))/CROQUIS_DATOS!$C$1568-0.000001)),1,MOD($A67-1,2)),1-IF(INT(($A67-1)/2)+1&gt;MAX(1,INT(((((CROQUIS_DATOS!$C$1503+CROQUIS_DATOS!$C$1504))-(CROQUIS_DATOS!$C$1503))+((CROQUIS_DATOS!$C$1476)*CROQUIS_DATOS!$C$1561-(0)*CROQUIS_DATOS!$C$1561))/CROQUIS_DATOS!$C$1568-0.000001)),1,MOD($A67-1,2)))=1,MIN((CROQUIS_DATOS!$C$1476)*CROQUIS_DATOS!$C$1561,((CROQUIS_DATOS!$C$1503+CROQUIS_DATOS!$C$1504)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7">
        <f>IF(AND(CROQUIS_DATOS!$C$1472=1,CROQUIS_DATOS!$C$1508&gt;0,((CROQUIS_DATOS!$C$1507+CROQUIS_DATOS!$C$1508))-(CROQUIS_DATOS!$C$1507)&gt;0.5,(CROQUIS_DATOS!$C$1476)-(0)&gt;0.5),(CROQUIS_DATOS!$C$1566+(IF(IF(MOD(MIN(INT(($A67-1)/2)+1,MAX(1,INT(((((CROQUIS_DATOS!$C$1507+CROQUIS_DATOS!$C$1508))-(CROQUIS_DATOS!$C$1507))+((CROQUIS_DATOS!$C$1476)*CROQUIS_DATOS!$C$1561-(0)*CROQUIS_DATOS!$C$1561))/CROQUIS_DATOS!$C$1568-0.000001))),2)=1,IF(INT(($A67-1)/2)+1&gt;MAX(1,INT(((((CROQUIS_DATOS!$C$1507+CROQUIS_DATOS!$C$1508))-(CROQUIS_DATOS!$C$1507))+((CROQUIS_DATOS!$C$1476)*CROQUIS_DATOS!$C$1561-(0)*CROQUIS_DATOS!$C$1561))/CROQUIS_DATOS!$C$1568-0.000001)),1,MOD($A67-1,2)),1-IF(INT(($A67-1)/2)+1&gt;MAX(1,INT(((((CROQUIS_DATOS!$C$1507+CROQUIS_DATOS!$C$1508))-(CROQUIS_DATOS!$C$1507))+((CROQUIS_DATOS!$C$1476)*CROQUIS_DATOS!$C$1561-(0)*CROQUIS_DATOS!$C$1561))/CROQUIS_DATOS!$C$1568-0.000001)),1,MOD($A67-1,2)))=1,MIN((CROQUIS_DATOS!$C$1476)*CROQUIS_DATOS!$C$1561,((CROQUIS_DATOS!$C$1507+CROQUIS_DATOS!$C$1508)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7">
        <f>IF(AND(CROQUIS_DATOS!$C$1472=1,CROQUIS_DATOS!$C$1508&gt;0,((CROQUIS_DATOS!$C$1507+CROQUIS_DATOS!$C$1508))-(CROQUIS_DATOS!$C$1507)&gt;0.5,(CROQUIS_DATOS!$C$1476)-(0)&gt;0.5),(CROQUIS_DATOS!$C$1567+(IF(IF(MOD(MIN(INT(($A67-1)/2)+1,MAX(1,INT(((((CROQUIS_DATOS!$C$1507+CROQUIS_DATOS!$C$1508))-(CROQUIS_DATOS!$C$1507))+((CROQUIS_DATOS!$C$1476)*CROQUIS_DATOS!$C$1561-(0)*CROQUIS_DATOS!$C$1561))/CROQUIS_DATOS!$C$1568-0.000001))),2)=1,IF(INT(($A67-1)/2)+1&gt;MAX(1,INT(((((CROQUIS_DATOS!$C$1507+CROQUIS_DATOS!$C$1508))-(CROQUIS_DATOS!$C$1507))+((CROQUIS_DATOS!$C$1476)*CROQUIS_DATOS!$C$1561-(0)*CROQUIS_DATOS!$C$1561))/CROQUIS_DATOS!$C$1568-0.000001)),1,MOD($A67-1,2)),1-IF(INT(($A67-1)/2)+1&gt;MAX(1,INT(((((CROQUIS_DATOS!$C$1507+CROQUIS_DATOS!$C$1508))-(CROQUIS_DATOS!$C$1507))+((CROQUIS_DATOS!$C$1476)*CROQUIS_DATOS!$C$1561-(0)*CROQUIS_DATOS!$C$1561))/CROQUIS_DATOS!$C$1568-0.000001)),1,MOD($A67-1,2)))=1,MIN((CROQUIS_DATOS!$C$1476)*CROQUIS_DATOS!$C$1561,((CROQUIS_DATOS!$C$1507+CROQUIS_DATOS!$C$1508)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7">
        <f>IF(AND(CROQUIS_DATOS!$C$1472=1,CROQUIS_DATOS!$C$1512&gt;0,((CROQUIS_DATOS!$C$1511+CROQUIS_DATOS!$C$1512))-(CROQUIS_DATOS!$C$1511)&gt;0.5,(CROQUIS_DATOS!$C$1476)-(0)&gt;0.5),(CROQUIS_DATOS!$C$1566+(IF(IF(MOD(MIN(INT(($A67-1)/2)+1,MAX(1,INT(((((CROQUIS_DATOS!$C$1511+CROQUIS_DATOS!$C$1512))-(CROQUIS_DATOS!$C$1511))+((CROQUIS_DATOS!$C$1476)*CROQUIS_DATOS!$C$1561-(0)*CROQUIS_DATOS!$C$1561))/CROQUIS_DATOS!$C$1568-0.000001))),2)=1,IF(INT(($A67-1)/2)+1&gt;MAX(1,INT(((((CROQUIS_DATOS!$C$1511+CROQUIS_DATOS!$C$1512))-(CROQUIS_DATOS!$C$1511))+((CROQUIS_DATOS!$C$1476)*CROQUIS_DATOS!$C$1561-(0)*CROQUIS_DATOS!$C$1561))/CROQUIS_DATOS!$C$1568-0.000001)),1,MOD($A67-1,2)),1-IF(INT(($A67-1)/2)+1&gt;MAX(1,INT(((((CROQUIS_DATOS!$C$1511+CROQUIS_DATOS!$C$1512))-(CROQUIS_DATOS!$C$1511))+((CROQUIS_DATOS!$C$1476)*CROQUIS_DATOS!$C$1561-(0)*CROQUIS_DATOS!$C$1561))/CROQUIS_DATOS!$C$1568-0.000001)),1,MOD($A67-1,2)))=1,MIN((CROQUIS_DATOS!$C$1476)*CROQUIS_DATOS!$C$1561,((CROQUIS_DATOS!$C$1511+CROQUIS_DATOS!$C$1512)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7">
        <f>IF(AND(CROQUIS_DATOS!$C$1472=1,CROQUIS_DATOS!$C$1512&gt;0,((CROQUIS_DATOS!$C$1511+CROQUIS_DATOS!$C$1512))-(CROQUIS_DATOS!$C$1511)&gt;0.5,(CROQUIS_DATOS!$C$1476)-(0)&gt;0.5),(CROQUIS_DATOS!$C$1567+(IF(IF(MOD(MIN(INT(($A67-1)/2)+1,MAX(1,INT(((((CROQUIS_DATOS!$C$1511+CROQUIS_DATOS!$C$1512))-(CROQUIS_DATOS!$C$1511))+((CROQUIS_DATOS!$C$1476)*CROQUIS_DATOS!$C$1561-(0)*CROQUIS_DATOS!$C$1561))/CROQUIS_DATOS!$C$1568-0.000001))),2)=1,IF(INT(($A67-1)/2)+1&gt;MAX(1,INT(((((CROQUIS_DATOS!$C$1511+CROQUIS_DATOS!$C$1512))-(CROQUIS_DATOS!$C$1511))+((CROQUIS_DATOS!$C$1476)*CROQUIS_DATOS!$C$1561-(0)*CROQUIS_DATOS!$C$1561))/CROQUIS_DATOS!$C$1568-0.000001)),1,MOD($A67-1,2)),1-IF(INT(($A67-1)/2)+1&gt;MAX(1,INT(((((CROQUIS_DATOS!$C$1511+CROQUIS_DATOS!$C$1512))-(CROQUIS_DATOS!$C$1511))+((CROQUIS_DATOS!$C$1476)*CROQUIS_DATOS!$C$1561-(0)*CROQUIS_DATOS!$C$1561))/CROQUIS_DATOS!$C$1568-0.000001)),1,MOD($A67-1,2)))=1,MIN((CROQUIS_DATOS!$C$1476)*CROQUIS_DATOS!$C$1561,((CROQUIS_DATOS!$C$1511+CROQUIS_DATOS!$C$1512)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7">
        <f>IF(AND(CROQUIS_DATOS!$C$1472=1,CROQUIS_DATOS!$C$1516&gt;0,((CROQUIS_DATOS!$C$1515+CROQUIS_DATOS!$C$1516))-(CROQUIS_DATOS!$C$1515)&gt;0.5,(CROQUIS_DATOS!$C$1476)-(0)&gt;0.5),(CROQUIS_DATOS!$C$1566+(IF(IF(MOD(MIN(INT(($A67-1)/2)+1,MAX(1,INT(((((CROQUIS_DATOS!$C$1515+CROQUIS_DATOS!$C$1516))-(CROQUIS_DATOS!$C$1515))+((CROQUIS_DATOS!$C$1476)*CROQUIS_DATOS!$C$1561-(0)*CROQUIS_DATOS!$C$1561))/CROQUIS_DATOS!$C$1568-0.000001))),2)=1,IF(INT(($A67-1)/2)+1&gt;MAX(1,INT(((((CROQUIS_DATOS!$C$1515+CROQUIS_DATOS!$C$1516))-(CROQUIS_DATOS!$C$1515))+((CROQUIS_DATOS!$C$1476)*CROQUIS_DATOS!$C$1561-(0)*CROQUIS_DATOS!$C$1561))/CROQUIS_DATOS!$C$1568-0.000001)),1,MOD($A67-1,2)),1-IF(INT(($A67-1)/2)+1&gt;MAX(1,INT(((((CROQUIS_DATOS!$C$1515+CROQUIS_DATOS!$C$1516))-(CROQUIS_DATOS!$C$1515))+((CROQUIS_DATOS!$C$1476)*CROQUIS_DATOS!$C$1561-(0)*CROQUIS_DATOS!$C$1561))/CROQUIS_DATOS!$C$1568-0.000001)),1,MOD($A67-1,2)))=1,MIN((CROQUIS_DATOS!$C$1476)*CROQUIS_DATOS!$C$1561,((CROQUIS_DATOS!$C$1515+CROQUIS_DATOS!$C$1516)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7">
        <f>IF(AND(CROQUIS_DATOS!$C$1472=1,CROQUIS_DATOS!$C$1516&gt;0,((CROQUIS_DATOS!$C$1515+CROQUIS_DATOS!$C$1516))-(CROQUIS_DATOS!$C$1515)&gt;0.5,(CROQUIS_DATOS!$C$1476)-(0)&gt;0.5),(CROQUIS_DATOS!$C$1567+(IF(IF(MOD(MIN(INT(($A67-1)/2)+1,MAX(1,INT(((((CROQUIS_DATOS!$C$1515+CROQUIS_DATOS!$C$1516))-(CROQUIS_DATOS!$C$1515))+((CROQUIS_DATOS!$C$1476)*CROQUIS_DATOS!$C$1561-(0)*CROQUIS_DATOS!$C$1561))/CROQUIS_DATOS!$C$1568-0.000001))),2)=1,IF(INT(($A67-1)/2)+1&gt;MAX(1,INT(((((CROQUIS_DATOS!$C$1515+CROQUIS_DATOS!$C$1516))-(CROQUIS_DATOS!$C$1515))+((CROQUIS_DATOS!$C$1476)*CROQUIS_DATOS!$C$1561-(0)*CROQUIS_DATOS!$C$1561))/CROQUIS_DATOS!$C$1568-0.000001)),1,MOD($A67-1,2)),1-IF(INT(($A67-1)/2)+1&gt;MAX(1,INT(((((CROQUIS_DATOS!$C$1515+CROQUIS_DATOS!$C$1516))-(CROQUIS_DATOS!$C$1515))+((CROQUIS_DATOS!$C$1476)*CROQUIS_DATOS!$C$1561-(0)*CROQUIS_DATOS!$C$1561))/CROQUIS_DATOS!$C$1568-0.000001)),1,MOD($A67-1,2)))=1,MIN((CROQUIS_DATOS!$C$1476)*CROQUIS_DATOS!$C$1561,((CROQUIS_DATOS!$C$1515+CROQUIS_DATOS!$C$1516)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7">
        <f>IF(AND(CROQUIS_DATOS!$C$1472=1,CROQUIS_DATOS!$C$1478&gt;=1,((CROQUIS_DATOS!$C$1479+CROQUIS_DATOS!$C$1480))-(CROQUIS_DATOS!$C$1479)&gt;0.5,(CROQUIS_DATOS!$C$1481)-(0)&gt;0.5),(CROQUIS_DATOS!$C$1566+(IF(IF(MOD(MIN(INT(($A67-1)/2)+1,MAX(1,INT(((((CROQUIS_DATOS!$C$1479+CROQUIS_DATOS!$C$1480))-(CROQUIS_DATOS!$C$1479))+((CROQUIS_DATOS!$C$1481)*CROQUIS_DATOS!$C$1561-(0)*CROQUIS_DATOS!$C$1561))/CROQUIS_DATOS!$C$1568-0.000001))),2)=1,IF(INT(($A67-1)/2)+1&gt;MAX(1,INT(((((CROQUIS_DATOS!$C$1479+CROQUIS_DATOS!$C$1480))-(CROQUIS_DATOS!$C$1479))+((CROQUIS_DATOS!$C$1481)*CROQUIS_DATOS!$C$1561-(0)*CROQUIS_DATOS!$C$1561))/CROQUIS_DATOS!$C$1568-0.000001)),1,MOD($A67-1,2)),1-IF(INT(($A67-1)/2)+1&gt;MAX(1,INT(((((CROQUIS_DATOS!$C$1479+CROQUIS_DATOS!$C$1480))-(CROQUIS_DATOS!$C$1479))+((CROQUIS_DATOS!$C$1481)*CROQUIS_DATOS!$C$1561-(0)*CROQUIS_DATOS!$C$1561))/CROQUIS_DATOS!$C$1568-0.000001)),1,MOD($A67-1,2)))=1,MIN((CROQUIS_DATOS!$C$1481)*CROQUIS_DATOS!$C$1561,((CROQUIS_DATOS!$C$1479+CROQUIS_DATOS!$C$1480)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7">
        <f>IF(AND(CROQUIS_DATOS!$C$1472=1,CROQUIS_DATOS!$C$1478&gt;=1,((CROQUIS_DATOS!$C$1479+CROQUIS_DATOS!$C$1480))-(CROQUIS_DATOS!$C$1479)&gt;0.5,(CROQUIS_DATOS!$C$1481)-(0)&gt;0.5),(CROQUIS_DATOS!$C$1567+(IF(IF(MOD(MIN(INT(($A67-1)/2)+1,MAX(1,INT(((((CROQUIS_DATOS!$C$1479+CROQUIS_DATOS!$C$1480))-(CROQUIS_DATOS!$C$1479))+((CROQUIS_DATOS!$C$1481)*CROQUIS_DATOS!$C$1561-(0)*CROQUIS_DATOS!$C$1561))/CROQUIS_DATOS!$C$1568-0.000001))),2)=1,IF(INT(($A67-1)/2)+1&gt;MAX(1,INT(((((CROQUIS_DATOS!$C$1479+CROQUIS_DATOS!$C$1480))-(CROQUIS_DATOS!$C$1479))+((CROQUIS_DATOS!$C$1481)*CROQUIS_DATOS!$C$1561-(0)*CROQUIS_DATOS!$C$1561))/CROQUIS_DATOS!$C$1568-0.000001)),1,MOD($A67-1,2)),1-IF(INT(($A67-1)/2)+1&gt;MAX(1,INT(((((CROQUIS_DATOS!$C$1479+CROQUIS_DATOS!$C$1480))-(CROQUIS_DATOS!$C$1479))+((CROQUIS_DATOS!$C$1481)*CROQUIS_DATOS!$C$1561-(0)*CROQUIS_DATOS!$C$1561))/CROQUIS_DATOS!$C$1568-0.000001)),1,MOD($A67-1,2)))=1,MIN((CROQUIS_DATOS!$C$1481)*CROQUIS_DATOS!$C$1561,((CROQUIS_DATOS!$C$1479+CROQUIS_DATOS!$C$1480)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7">
        <f>IF(AND(CROQUIS_DATOS!$C$1472=1,CROQUIS_DATOS!$C$1478&gt;=1,((CROQUIS_DATOS!$C$1479+CROQUIS_DATOS!$C$1480))-(CROQUIS_DATOS!$C$1479)&gt;0.5,(CROQUIS_DATOS!$C$1476)-((CROQUIS_DATOS!$C$1481+CROQUIS_DATOS!$C$1482))&gt;0.5),(CROQUIS_DATOS!$C$1566+(IF(IF(MOD(MIN(INT(($A67-1)/2)+1,MAX(1,INT(((((CROQUIS_DATOS!$C$1479+CROQUIS_DATOS!$C$1480))-(CROQUIS_DATOS!$C$1479))+((CROQUIS_DATOS!$C$1476)*CROQUIS_DATOS!$C$1561-((CROQUIS_DATOS!$C$1481+CROQUIS_DATOS!$C$1482))*CROQUIS_DATOS!$C$1561))/CROQUIS_DATOS!$C$1568-0.000001))),2)=1,IF(INT(($A67-1)/2)+1&gt;MAX(1,INT(((((CROQUIS_DATOS!$C$1479+CROQUIS_DATOS!$C$1480))-(CROQUIS_DATOS!$C$1479))+((CROQUIS_DATOS!$C$1476)*CROQUIS_DATOS!$C$1561-((CROQUIS_DATOS!$C$1481+CROQUIS_DATOS!$C$1482))*CROQUIS_DATOS!$C$1561))/CROQUIS_DATOS!$C$1568-0.000001)),1,MOD($A67-1,2)),1-IF(INT(($A67-1)/2)+1&gt;MAX(1,INT(((((CROQUIS_DATOS!$C$1479+CROQUIS_DATOS!$C$1480))-(CROQUIS_DATOS!$C$1479))+((CROQUIS_DATOS!$C$1476)*CROQUIS_DATOS!$C$1561-((CROQUIS_DATOS!$C$1481+CROQUIS_DATOS!$C$1482))*CROQUIS_DATOS!$C$1561))/CROQUIS_DATOS!$C$1568-0.000001)),1,MOD($A67-1,2)))=1,MIN((CROQUIS_DATOS!$C$1476)*CROQUIS_DATOS!$C$1561,((CROQUIS_DATOS!$C$1479+CROQUIS_DATOS!$C$1480)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7">
        <f>IF(AND(CROQUIS_DATOS!$C$1472=1,CROQUIS_DATOS!$C$1478&gt;=1,((CROQUIS_DATOS!$C$1479+CROQUIS_DATOS!$C$1480))-(CROQUIS_DATOS!$C$1479)&gt;0.5,(CROQUIS_DATOS!$C$1476)-((CROQUIS_DATOS!$C$1481+CROQUIS_DATOS!$C$1482))&gt;0.5),(CROQUIS_DATOS!$C$1567+(IF(IF(MOD(MIN(INT(($A67-1)/2)+1,MAX(1,INT(((((CROQUIS_DATOS!$C$1479+CROQUIS_DATOS!$C$1480))-(CROQUIS_DATOS!$C$1479))+((CROQUIS_DATOS!$C$1476)*CROQUIS_DATOS!$C$1561-((CROQUIS_DATOS!$C$1481+CROQUIS_DATOS!$C$1482))*CROQUIS_DATOS!$C$1561))/CROQUIS_DATOS!$C$1568-0.000001))),2)=1,IF(INT(($A67-1)/2)+1&gt;MAX(1,INT(((((CROQUIS_DATOS!$C$1479+CROQUIS_DATOS!$C$1480))-(CROQUIS_DATOS!$C$1479))+((CROQUIS_DATOS!$C$1476)*CROQUIS_DATOS!$C$1561-((CROQUIS_DATOS!$C$1481+CROQUIS_DATOS!$C$1482))*CROQUIS_DATOS!$C$1561))/CROQUIS_DATOS!$C$1568-0.000001)),1,MOD($A67-1,2)),1-IF(INT(($A67-1)/2)+1&gt;MAX(1,INT(((((CROQUIS_DATOS!$C$1479+CROQUIS_DATOS!$C$1480))-(CROQUIS_DATOS!$C$1479))+((CROQUIS_DATOS!$C$1476)*CROQUIS_DATOS!$C$1561-((CROQUIS_DATOS!$C$1481+CROQUIS_DATOS!$C$1482))*CROQUIS_DATOS!$C$1561))/CROQUIS_DATOS!$C$1568-0.000001)),1,MOD($A67-1,2)))=1,MIN((CROQUIS_DATOS!$C$1476)*CROQUIS_DATOS!$C$1561,((CROQUIS_DATOS!$C$1479+CROQUIS_DATOS!$C$1480)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7">
        <f>IF(AND(CROQUIS_DATOS!$C$1472=1,CROQUIS_DATOS!$C$1478&gt;=2,((CROQUIS_DATOS!$C$1484+CROQUIS_DATOS!$C$1485))-(CROQUIS_DATOS!$C$1484)&gt;0.5,(CROQUIS_DATOS!$C$1486)-(0)&gt;0.5),(CROQUIS_DATOS!$C$1566+(IF(IF(MOD(MIN(INT(($A67-1)/2)+1,MAX(1,INT(((((CROQUIS_DATOS!$C$1484+CROQUIS_DATOS!$C$1485))-(CROQUIS_DATOS!$C$1484))+((CROQUIS_DATOS!$C$1486)*CROQUIS_DATOS!$C$1561-(0)*CROQUIS_DATOS!$C$1561))/CROQUIS_DATOS!$C$1568-0.000001))),2)=1,IF(INT(($A67-1)/2)+1&gt;MAX(1,INT(((((CROQUIS_DATOS!$C$1484+CROQUIS_DATOS!$C$1485))-(CROQUIS_DATOS!$C$1484))+((CROQUIS_DATOS!$C$1486)*CROQUIS_DATOS!$C$1561-(0)*CROQUIS_DATOS!$C$1561))/CROQUIS_DATOS!$C$1568-0.000001)),1,MOD($A67-1,2)),1-IF(INT(($A67-1)/2)+1&gt;MAX(1,INT(((((CROQUIS_DATOS!$C$1484+CROQUIS_DATOS!$C$1485))-(CROQUIS_DATOS!$C$1484))+((CROQUIS_DATOS!$C$1486)*CROQUIS_DATOS!$C$1561-(0)*CROQUIS_DATOS!$C$1561))/CROQUIS_DATOS!$C$1568-0.000001)),1,MOD($A67-1,2)))=1,MIN((CROQUIS_DATOS!$C$1486)*CROQUIS_DATOS!$C$1561,((CROQUIS_DATOS!$C$1484+CROQUIS_DATOS!$C$1485)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7">
        <f>IF(AND(CROQUIS_DATOS!$C$1472=1,CROQUIS_DATOS!$C$1478&gt;=2,((CROQUIS_DATOS!$C$1484+CROQUIS_DATOS!$C$1485))-(CROQUIS_DATOS!$C$1484)&gt;0.5,(CROQUIS_DATOS!$C$1486)-(0)&gt;0.5),(CROQUIS_DATOS!$C$1567+(IF(IF(MOD(MIN(INT(($A67-1)/2)+1,MAX(1,INT(((((CROQUIS_DATOS!$C$1484+CROQUIS_DATOS!$C$1485))-(CROQUIS_DATOS!$C$1484))+((CROQUIS_DATOS!$C$1486)*CROQUIS_DATOS!$C$1561-(0)*CROQUIS_DATOS!$C$1561))/CROQUIS_DATOS!$C$1568-0.000001))),2)=1,IF(INT(($A67-1)/2)+1&gt;MAX(1,INT(((((CROQUIS_DATOS!$C$1484+CROQUIS_DATOS!$C$1485))-(CROQUIS_DATOS!$C$1484))+((CROQUIS_DATOS!$C$1486)*CROQUIS_DATOS!$C$1561-(0)*CROQUIS_DATOS!$C$1561))/CROQUIS_DATOS!$C$1568-0.000001)),1,MOD($A67-1,2)),1-IF(INT(($A67-1)/2)+1&gt;MAX(1,INT(((((CROQUIS_DATOS!$C$1484+CROQUIS_DATOS!$C$1485))-(CROQUIS_DATOS!$C$1484))+((CROQUIS_DATOS!$C$1486)*CROQUIS_DATOS!$C$1561-(0)*CROQUIS_DATOS!$C$1561))/CROQUIS_DATOS!$C$1568-0.000001)),1,MOD($A67-1,2)))=1,MIN((CROQUIS_DATOS!$C$1486)*CROQUIS_DATOS!$C$1561,((CROQUIS_DATOS!$C$1484+CROQUIS_DATOS!$C$1485)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7">
        <f>IF(AND(CROQUIS_DATOS!$C$1472=1,CROQUIS_DATOS!$C$1478&gt;=2,((CROQUIS_DATOS!$C$1484+CROQUIS_DATOS!$C$1485))-(CROQUIS_DATOS!$C$1484)&gt;0.5,(CROQUIS_DATOS!$C$1476)-((CROQUIS_DATOS!$C$1486+CROQUIS_DATOS!$C$1487))&gt;0.5),(CROQUIS_DATOS!$C$1566+(IF(IF(MOD(MIN(INT(($A67-1)/2)+1,MAX(1,INT(((((CROQUIS_DATOS!$C$1484+CROQUIS_DATOS!$C$1485))-(CROQUIS_DATOS!$C$1484))+((CROQUIS_DATOS!$C$1476)*CROQUIS_DATOS!$C$1561-((CROQUIS_DATOS!$C$1486+CROQUIS_DATOS!$C$1487))*CROQUIS_DATOS!$C$1561))/CROQUIS_DATOS!$C$1568-0.000001))),2)=1,IF(INT(($A67-1)/2)+1&gt;MAX(1,INT(((((CROQUIS_DATOS!$C$1484+CROQUIS_DATOS!$C$1485))-(CROQUIS_DATOS!$C$1484))+((CROQUIS_DATOS!$C$1476)*CROQUIS_DATOS!$C$1561-((CROQUIS_DATOS!$C$1486+CROQUIS_DATOS!$C$1487))*CROQUIS_DATOS!$C$1561))/CROQUIS_DATOS!$C$1568-0.000001)),1,MOD($A67-1,2)),1-IF(INT(($A67-1)/2)+1&gt;MAX(1,INT(((((CROQUIS_DATOS!$C$1484+CROQUIS_DATOS!$C$1485))-(CROQUIS_DATOS!$C$1484))+((CROQUIS_DATOS!$C$1476)*CROQUIS_DATOS!$C$1561-((CROQUIS_DATOS!$C$1486+CROQUIS_DATOS!$C$1487))*CROQUIS_DATOS!$C$1561))/CROQUIS_DATOS!$C$1568-0.000001)),1,MOD($A67-1,2)))=1,MIN((CROQUIS_DATOS!$C$1476)*CROQUIS_DATOS!$C$1561,((CROQUIS_DATOS!$C$1484+CROQUIS_DATOS!$C$1485)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7">
        <f>IF(AND(CROQUIS_DATOS!$C$1472=1,CROQUIS_DATOS!$C$1478&gt;=2,((CROQUIS_DATOS!$C$1484+CROQUIS_DATOS!$C$1485))-(CROQUIS_DATOS!$C$1484)&gt;0.5,(CROQUIS_DATOS!$C$1476)-((CROQUIS_DATOS!$C$1486+CROQUIS_DATOS!$C$1487))&gt;0.5),(CROQUIS_DATOS!$C$1567+(IF(IF(MOD(MIN(INT(($A67-1)/2)+1,MAX(1,INT(((((CROQUIS_DATOS!$C$1484+CROQUIS_DATOS!$C$1485))-(CROQUIS_DATOS!$C$1484))+((CROQUIS_DATOS!$C$1476)*CROQUIS_DATOS!$C$1561-((CROQUIS_DATOS!$C$1486+CROQUIS_DATOS!$C$1487))*CROQUIS_DATOS!$C$1561))/CROQUIS_DATOS!$C$1568-0.000001))),2)=1,IF(INT(($A67-1)/2)+1&gt;MAX(1,INT(((((CROQUIS_DATOS!$C$1484+CROQUIS_DATOS!$C$1485))-(CROQUIS_DATOS!$C$1484))+((CROQUIS_DATOS!$C$1476)*CROQUIS_DATOS!$C$1561-((CROQUIS_DATOS!$C$1486+CROQUIS_DATOS!$C$1487))*CROQUIS_DATOS!$C$1561))/CROQUIS_DATOS!$C$1568-0.000001)),1,MOD($A67-1,2)),1-IF(INT(($A67-1)/2)+1&gt;MAX(1,INT(((((CROQUIS_DATOS!$C$1484+CROQUIS_DATOS!$C$1485))-(CROQUIS_DATOS!$C$1484))+((CROQUIS_DATOS!$C$1476)*CROQUIS_DATOS!$C$1561-((CROQUIS_DATOS!$C$1486+CROQUIS_DATOS!$C$1487))*CROQUIS_DATOS!$C$1561))/CROQUIS_DATOS!$C$1568-0.000001)),1,MOD($A67-1,2)))=1,MIN((CROQUIS_DATOS!$C$1476)*CROQUIS_DATOS!$C$1561,((CROQUIS_DATOS!$C$1484+CROQUIS_DATOS!$C$1485)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7">
        <f>IF(AND(CROQUIS_DATOS!$C$1472=1,CROQUIS_DATOS!$C$1478&gt;=3,((CROQUIS_DATOS!$C$1489+CROQUIS_DATOS!$C$1490))-(CROQUIS_DATOS!$C$1489)&gt;0.5,(CROQUIS_DATOS!$C$1491)-(0)&gt;0.5),(CROQUIS_DATOS!$C$1566+(IF(IF(MOD(MIN(INT(($A67-1)/2)+1,MAX(1,INT(((((CROQUIS_DATOS!$C$1489+CROQUIS_DATOS!$C$1490))-(CROQUIS_DATOS!$C$1489))+((CROQUIS_DATOS!$C$1491)*CROQUIS_DATOS!$C$1561-(0)*CROQUIS_DATOS!$C$1561))/CROQUIS_DATOS!$C$1568-0.000001))),2)=1,IF(INT(($A67-1)/2)+1&gt;MAX(1,INT(((((CROQUIS_DATOS!$C$1489+CROQUIS_DATOS!$C$1490))-(CROQUIS_DATOS!$C$1489))+((CROQUIS_DATOS!$C$1491)*CROQUIS_DATOS!$C$1561-(0)*CROQUIS_DATOS!$C$1561))/CROQUIS_DATOS!$C$1568-0.000001)),1,MOD($A67-1,2)),1-IF(INT(($A67-1)/2)+1&gt;MAX(1,INT(((((CROQUIS_DATOS!$C$1489+CROQUIS_DATOS!$C$1490))-(CROQUIS_DATOS!$C$1489))+((CROQUIS_DATOS!$C$1491)*CROQUIS_DATOS!$C$1561-(0)*CROQUIS_DATOS!$C$1561))/CROQUIS_DATOS!$C$1568-0.000001)),1,MOD($A67-1,2)))=1,MIN((CROQUIS_DATOS!$C$1491)*CROQUIS_DATOS!$C$1561,((CROQUIS_DATOS!$C$1489+CROQUIS_DATOS!$C$1490)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7">
        <f>IF(AND(CROQUIS_DATOS!$C$1472=1,CROQUIS_DATOS!$C$1478&gt;=3,((CROQUIS_DATOS!$C$1489+CROQUIS_DATOS!$C$1490))-(CROQUIS_DATOS!$C$1489)&gt;0.5,(CROQUIS_DATOS!$C$1491)-(0)&gt;0.5),(CROQUIS_DATOS!$C$1567+(IF(IF(MOD(MIN(INT(($A67-1)/2)+1,MAX(1,INT(((((CROQUIS_DATOS!$C$1489+CROQUIS_DATOS!$C$1490))-(CROQUIS_DATOS!$C$1489))+((CROQUIS_DATOS!$C$1491)*CROQUIS_DATOS!$C$1561-(0)*CROQUIS_DATOS!$C$1561))/CROQUIS_DATOS!$C$1568-0.000001))),2)=1,IF(INT(($A67-1)/2)+1&gt;MAX(1,INT(((((CROQUIS_DATOS!$C$1489+CROQUIS_DATOS!$C$1490))-(CROQUIS_DATOS!$C$1489))+((CROQUIS_DATOS!$C$1491)*CROQUIS_DATOS!$C$1561-(0)*CROQUIS_DATOS!$C$1561))/CROQUIS_DATOS!$C$1568-0.000001)),1,MOD($A67-1,2)),1-IF(INT(($A67-1)/2)+1&gt;MAX(1,INT(((((CROQUIS_DATOS!$C$1489+CROQUIS_DATOS!$C$1490))-(CROQUIS_DATOS!$C$1489))+((CROQUIS_DATOS!$C$1491)*CROQUIS_DATOS!$C$1561-(0)*CROQUIS_DATOS!$C$1561))/CROQUIS_DATOS!$C$1568-0.000001)),1,MOD($A67-1,2)))=1,MIN((CROQUIS_DATOS!$C$1491)*CROQUIS_DATOS!$C$1561,((CROQUIS_DATOS!$C$1489+CROQUIS_DATOS!$C$1490)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7">
        <f>IF(AND(CROQUIS_DATOS!$C$1472=1,CROQUIS_DATOS!$C$1478&gt;=3,((CROQUIS_DATOS!$C$1489+CROQUIS_DATOS!$C$1490))-(CROQUIS_DATOS!$C$1489)&gt;0.5,(CROQUIS_DATOS!$C$1476)-((CROQUIS_DATOS!$C$1491+CROQUIS_DATOS!$C$1492))&gt;0.5),(CROQUIS_DATOS!$C$1566+(IF(IF(MOD(MIN(INT(($A67-1)/2)+1,MAX(1,INT(((((CROQUIS_DATOS!$C$1489+CROQUIS_DATOS!$C$1490))-(CROQUIS_DATOS!$C$1489))+((CROQUIS_DATOS!$C$1476)*CROQUIS_DATOS!$C$1561-((CROQUIS_DATOS!$C$1491+CROQUIS_DATOS!$C$1492))*CROQUIS_DATOS!$C$1561))/CROQUIS_DATOS!$C$1568-0.000001))),2)=1,IF(INT(($A67-1)/2)+1&gt;MAX(1,INT(((((CROQUIS_DATOS!$C$1489+CROQUIS_DATOS!$C$1490))-(CROQUIS_DATOS!$C$1489))+((CROQUIS_DATOS!$C$1476)*CROQUIS_DATOS!$C$1561-((CROQUIS_DATOS!$C$1491+CROQUIS_DATOS!$C$1492))*CROQUIS_DATOS!$C$1561))/CROQUIS_DATOS!$C$1568-0.000001)),1,MOD($A67-1,2)),1-IF(INT(($A67-1)/2)+1&gt;MAX(1,INT(((((CROQUIS_DATOS!$C$1489+CROQUIS_DATOS!$C$1490))-(CROQUIS_DATOS!$C$1489))+((CROQUIS_DATOS!$C$1476)*CROQUIS_DATOS!$C$1561-((CROQUIS_DATOS!$C$1491+CROQUIS_DATOS!$C$1492))*CROQUIS_DATOS!$C$1561))/CROQUIS_DATOS!$C$1568-0.000001)),1,MOD($A67-1,2)))=1,MIN((CROQUIS_DATOS!$C$1476)*CROQUIS_DATOS!$C$1561,((CROQUIS_DATOS!$C$1489+CROQUIS_DATOS!$C$1490)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7">
        <f>IF(AND(CROQUIS_DATOS!$C$1472=1,CROQUIS_DATOS!$C$1478&gt;=3,((CROQUIS_DATOS!$C$1489+CROQUIS_DATOS!$C$1490))-(CROQUIS_DATOS!$C$1489)&gt;0.5,(CROQUIS_DATOS!$C$1476)-((CROQUIS_DATOS!$C$1491+CROQUIS_DATOS!$C$1492))&gt;0.5),(CROQUIS_DATOS!$C$1567+(IF(IF(MOD(MIN(INT(($A67-1)/2)+1,MAX(1,INT(((((CROQUIS_DATOS!$C$1489+CROQUIS_DATOS!$C$1490))-(CROQUIS_DATOS!$C$1489))+((CROQUIS_DATOS!$C$1476)*CROQUIS_DATOS!$C$1561-((CROQUIS_DATOS!$C$1491+CROQUIS_DATOS!$C$1492))*CROQUIS_DATOS!$C$1561))/CROQUIS_DATOS!$C$1568-0.000001))),2)=1,IF(INT(($A67-1)/2)+1&gt;MAX(1,INT(((((CROQUIS_DATOS!$C$1489+CROQUIS_DATOS!$C$1490))-(CROQUIS_DATOS!$C$1489))+((CROQUIS_DATOS!$C$1476)*CROQUIS_DATOS!$C$1561-((CROQUIS_DATOS!$C$1491+CROQUIS_DATOS!$C$1492))*CROQUIS_DATOS!$C$1561))/CROQUIS_DATOS!$C$1568-0.000001)),1,MOD($A67-1,2)),1-IF(INT(($A67-1)/2)+1&gt;MAX(1,INT(((((CROQUIS_DATOS!$C$1489+CROQUIS_DATOS!$C$1490))-(CROQUIS_DATOS!$C$1489))+((CROQUIS_DATOS!$C$1476)*CROQUIS_DATOS!$C$1561-((CROQUIS_DATOS!$C$1491+CROQUIS_DATOS!$C$1492))*CROQUIS_DATOS!$C$1561))/CROQUIS_DATOS!$C$1568-0.000001)),1,MOD($A67-1,2)))=1,MIN((CROQUIS_DATOS!$C$1476)*CROQUIS_DATOS!$C$1561,((CROQUIS_DATOS!$C$1489+CROQUIS_DATOS!$C$1490)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7">
        <f>IF(AND(CROQUIS_DATOS!$C$1472=1,CROQUIS_DATOS!$C$1478&gt;=4,((CROQUIS_DATOS!$C$1494+CROQUIS_DATOS!$C$1495))-(CROQUIS_DATOS!$C$1494)&gt;0.5,(CROQUIS_DATOS!$C$1496)-(0)&gt;0.5),(CROQUIS_DATOS!$C$1566+(IF(IF(MOD(MIN(INT(($A67-1)/2)+1,MAX(1,INT(((((CROQUIS_DATOS!$C$1494+CROQUIS_DATOS!$C$1495))-(CROQUIS_DATOS!$C$1494))+((CROQUIS_DATOS!$C$1496)*CROQUIS_DATOS!$C$1561-(0)*CROQUIS_DATOS!$C$1561))/CROQUIS_DATOS!$C$1568-0.000001))),2)=1,IF(INT(($A67-1)/2)+1&gt;MAX(1,INT(((((CROQUIS_DATOS!$C$1494+CROQUIS_DATOS!$C$1495))-(CROQUIS_DATOS!$C$1494))+((CROQUIS_DATOS!$C$1496)*CROQUIS_DATOS!$C$1561-(0)*CROQUIS_DATOS!$C$1561))/CROQUIS_DATOS!$C$1568-0.000001)),1,MOD($A67-1,2)),1-IF(INT(($A67-1)/2)+1&gt;MAX(1,INT(((((CROQUIS_DATOS!$C$1494+CROQUIS_DATOS!$C$1495))-(CROQUIS_DATOS!$C$1494))+((CROQUIS_DATOS!$C$1496)*CROQUIS_DATOS!$C$1561-(0)*CROQUIS_DATOS!$C$1561))/CROQUIS_DATOS!$C$1568-0.000001)),1,MOD($A67-1,2)))=1,MIN((CROQUIS_DATOS!$C$1496)*CROQUIS_DATOS!$C$1561,((CROQUIS_DATOS!$C$1494+CROQUIS_DATOS!$C$1495)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7">
        <f>IF(AND(CROQUIS_DATOS!$C$1472=1,CROQUIS_DATOS!$C$1478&gt;=4,((CROQUIS_DATOS!$C$1494+CROQUIS_DATOS!$C$1495))-(CROQUIS_DATOS!$C$1494)&gt;0.5,(CROQUIS_DATOS!$C$1496)-(0)&gt;0.5),(CROQUIS_DATOS!$C$1567+(IF(IF(MOD(MIN(INT(($A67-1)/2)+1,MAX(1,INT(((((CROQUIS_DATOS!$C$1494+CROQUIS_DATOS!$C$1495))-(CROQUIS_DATOS!$C$1494))+((CROQUIS_DATOS!$C$1496)*CROQUIS_DATOS!$C$1561-(0)*CROQUIS_DATOS!$C$1561))/CROQUIS_DATOS!$C$1568-0.000001))),2)=1,IF(INT(($A67-1)/2)+1&gt;MAX(1,INT(((((CROQUIS_DATOS!$C$1494+CROQUIS_DATOS!$C$1495))-(CROQUIS_DATOS!$C$1494))+((CROQUIS_DATOS!$C$1496)*CROQUIS_DATOS!$C$1561-(0)*CROQUIS_DATOS!$C$1561))/CROQUIS_DATOS!$C$1568-0.000001)),1,MOD($A67-1,2)),1-IF(INT(($A67-1)/2)+1&gt;MAX(1,INT(((((CROQUIS_DATOS!$C$1494+CROQUIS_DATOS!$C$1495))-(CROQUIS_DATOS!$C$1494))+((CROQUIS_DATOS!$C$1496)*CROQUIS_DATOS!$C$1561-(0)*CROQUIS_DATOS!$C$1561))/CROQUIS_DATOS!$C$1568-0.000001)),1,MOD($A67-1,2)))=1,MIN((CROQUIS_DATOS!$C$1496)*CROQUIS_DATOS!$C$1561,((CROQUIS_DATOS!$C$1494+CROQUIS_DATOS!$C$1495)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7">
        <f>IF(AND(CROQUIS_DATOS!$C$1472=1,CROQUIS_DATOS!$C$1478&gt;=4,((CROQUIS_DATOS!$C$1494+CROQUIS_DATOS!$C$1495))-(CROQUIS_DATOS!$C$1494)&gt;0.5,(CROQUIS_DATOS!$C$1476)-((CROQUIS_DATOS!$C$1496+CROQUIS_DATOS!$C$1497))&gt;0.5),(CROQUIS_DATOS!$C$1566+(IF(IF(MOD(MIN(INT(($A67-1)/2)+1,MAX(1,INT(((((CROQUIS_DATOS!$C$1494+CROQUIS_DATOS!$C$1495))-(CROQUIS_DATOS!$C$1494))+((CROQUIS_DATOS!$C$1476)*CROQUIS_DATOS!$C$1561-((CROQUIS_DATOS!$C$1496+CROQUIS_DATOS!$C$1497))*CROQUIS_DATOS!$C$1561))/CROQUIS_DATOS!$C$1568-0.000001))),2)=1,IF(INT(($A67-1)/2)+1&gt;MAX(1,INT(((((CROQUIS_DATOS!$C$1494+CROQUIS_DATOS!$C$1495))-(CROQUIS_DATOS!$C$1494))+((CROQUIS_DATOS!$C$1476)*CROQUIS_DATOS!$C$1561-((CROQUIS_DATOS!$C$1496+CROQUIS_DATOS!$C$1497))*CROQUIS_DATOS!$C$1561))/CROQUIS_DATOS!$C$1568-0.000001)),1,MOD($A67-1,2)),1-IF(INT(($A67-1)/2)+1&gt;MAX(1,INT(((((CROQUIS_DATOS!$C$1494+CROQUIS_DATOS!$C$1495))-(CROQUIS_DATOS!$C$1494))+((CROQUIS_DATOS!$C$1476)*CROQUIS_DATOS!$C$1561-((CROQUIS_DATOS!$C$1496+CROQUIS_DATOS!$C$1497))*CROQUIS_DATOS!$C$1561))/CROQUIS_DATOS!$C$1568-0.000001)),1,MOD($A67-1,2)))=1,MIN((CROQUIS_DATOS!$C$1476)*CROQUIS_DATOS!$C$1561,((CROQUIS_DATOS!$C$1494+CROQUIS_DATOS!$C$1495)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7">
        <f>IF(AND(CROQUIS_DATOS!$C$1472=1,CROQUIS_DATOS!$C$1478&gt;=4,((CROQUIS_DATOS!$C$1494+CROQUIS_DATOS!$C$1495))-(CROQUIS_DATOS!$C$1494)&gt;0.5,(CROQUIS_DATOS!$C$1476)-((CROQUIS_DATOS!$C$1496+CROQUIS_DATOS!$C$1497))&gt;0.5),(CROQUIS_DATOS!$C$1567+(IF(IF(MOD(MIN(INT(($A67-1)/2)+1,MAX(1,INT(((((CROQUIS_DATOS!$C$1494+CROQUIS_DATOS!$C$1495))-(CROQUIS_DATOS!$C$1494))+((CROQUIS_DATOS!$C$1476)*CROQUIS_DATOS!$C$1561-((CROQUIS_DATOS!$C$1496+CROQUIS_DATOS!$C$1497))*CROQUIS_DATOS!$C$1561))/CROQUIS_DATOS!$C$1568-0.000001))),2)=1,IF(INT(($A67-1)/2)+1&gt;MAX(1,INT(((((CROQUIS_DATOS!$C$1494+CROQUIS_DATOS!$C$1495))-(CROQUIS_DATOS!$C$1494))+((CROQUIS_DATOS!$C$1476)*CROQUIS_DATOS!$C$1561-((CROQUIS_DATOS!$C$1496+CROQUIS_DATOS!$C$1497))*CROQUIS_DATOS!$C$1561))/CROQUIS_DATOS!$C$1568-0.000001)),1,MOD($A67-1,2)),1-IF(INT(($A67-1)/2)+1&gt;MAX(1,INT(((((CROQUIS_DATOS!$C$1494+CROQUIS_DATOS!$C$1495))-(CROQUIS_DATOS!$C$1494))+((CROQUIS_DATOS!$C$1476)*CROQUIS_DATOS!$C$1561-((CROQUIS_DATOS!$C$1496+CROQUIS_DATOS!$C$1497))*CROQUIS_DATOS!$C$1561))/CROQUIS_DATOS!$C$1568-0.000001)),1,MOD($A67-1,2)))=1,MIN((CROQUIS_DATOS!$C$1476)*CROQUIS_DATOS!$C$1561,((CROQUIS_DATOS!$C$1494+CROQUIS_DATOS!$C$1495)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7">
        <f>IF(AND(CROQUIS_DATOS!$C$1472=1,1),(CROQUIS_DATOS!$C$1571+(CHOOSE(MIN(MAX(IF(INT(($A67-1)/5)+1&gt;CROQUIS_DATOS!$C$1525,5,MOD($A67-1,5)+1),1),5),(INDEX($E$8:$E$23,MIN(INT(($A67-1)/5)+1,CROQUIS_DATOS!$C$1525))-INDEX($F$8:$F$23,MIN(INT(($A67-1)/5)+1,CROQUIS_DATOS!$C$1525))/2),(INDEX($E$8:$E$23,MIN(INT(($A67-1)/5)+1,CROQUIS_DATOS!$C$1525))+INDEX($F$8:$F$23,MIN(INT(($A67-1)/5)+1,CROQUIS_DATOS!$C$1525))/2),(INDEX($E$8:$E$23,MIN(INT(($A67-1)/5)+1,CROQUIS_DATOS!$C$1525))+INDEX($F$8:$F$23,MIN(INT(($A67-1)/5)+1,CROQUIS_DATOS!$C$1525))/2),(INDEX($E$8:$E$23,MIN(INT(($A67-1)/5)+1,CROQUIS_DATOS!$C$1525))-INDEX($F$8:$F$23,MIN(INT(($A67-1)/5)+1,CROQUIS_DATOS!$C$1525))/2),(INDEX($E$8:$E$23,MIN(INT(($A67-1)/5)+1,CROQUIS_DATOS!$C$1525))-INDEX($F$8:$F$23,MIN(INT(($A67-1)/5)+1,CROQUIS_DATOS!$C$1525))/2)))*CROQUIS_DATOS!$C$1569),-1000)</f>
        <v>95.24</v>
      </c>
      <c r="GE67">
        <f>IF(AND(CROQUIS_DATOS!$C$1472=1,1),(CROQUIS_DATOS!$C$1572+(CHOOSE(MIN(MAX(IF(INT(($A67-1)/5)+1&gt;CROQUIS_DATOS!$C$1525,5,MOD($A67-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7">
        <f>IF(AND(CROQUIS_DATOS!$C$1472=1,1),IF(INT(($A67-1)/4)+1&lt;=CROQUIS_DATOS!$C$1525,(CROQUIS_DATOS!$C$1571+((INDEX($E$8:$E$23,MIN(INT(($A67-1)/4)+1,16))+IF(OR(MOD($A67-1,4)=0,MOD($A67-1,4)=3),-1,1)*(INDEX($F$8:$F$23,MIN(INT(($A67-1)/4)+1,16))/2-(CROQUIS_DATOS!$C$1530+CROQUIS_DATOS!$C$1532+IF(OR(INT(($A67-1)/4)+1=1,INT(($A67-1)/4)+1=CROQUIS_DATOS!$C$1525),CROQUIS_DATOS!$C$1534,CROQUIS_DATOS!$C$1531)/2))))*CROQUIS_DATOS!$C$1569),-1000),-1000)</f>
        <v>-1000</v>
      </c>
      <c r="GG67">
        <f>IF(AND(CROQUIS_DATOS!$C$1472=1,1),IF(INT(($A67-1)/4)+1&lt;=CROQUIS_DATOS!$C$1525,(CROQUIS_DATOS!$C$1572+((CROQUIS_DATOS!$C$1477/2+IF(MOD($A67-1,4)&lt;2,-1,1)*(CROQUIS_DATOS!$C$1527/2-(CROQUIS_DATOS!$C$1530+CROQUIS_DATOS!$C$1532+IF(OR(INT(($A67-1)/4)+1=1,INT(($A67-1)/4)+1=CROQUIS_DATOS!$C$1525),CROQUIS_DATOS!$C$1534,CROQUIS_DATOS!$C$1531)/2))))*CROQUIS_DATOS!$C$1569*CROQUIS_DATOS!$C$1570),-1000),-1000)</f>
        <v>-1000</v>
      </c>
    </row>
    <row r="68">
      <c r="A68" t="n">
        <v>61</v>
      </c>
      <c r="J68">
        <f>IF(AND(CROQUIS_DATOS!$C$1472=1,1),(CROQUIS_DATOS!$C$1563+(CHOOSE(MIN(MAX(IF(INT(($A68-1)/4)+1&gt;CROQUIS_DATOS!$C$1525,4,MOD($A68-1,4)+1),1),4),(INDEX($E$8:$E$23,MIN(INT(($A68-1)/4)+1,CROQUIS_DATOS!$C$1525))-INDEX($F$8:$F$23,MIN(INT(($A68-1)/4)+1,CROQUIS_DATOS!$C$1525))/2),(INDEX($E$8:$E$23,MIN(INT(($A68-1)/4)+1,CROQUIS_DATOS!$C$1525))-INDEX($F$8:$F$23,MIN(INT(($A68-1)/4)+1,CROQUIS_DATOS!$C$1525))/2),(INDEX($E$8:$E$23,MIN(INT(($A68-1)/4)+1,CROQUIS_DATOS!$C$1525))+INDEX($F$8:$F$23,MIN(INT(($A68-1)/4)+1,CROQUIS_DATOS!$C$1525))/2),(INDEX($E$8:$E$23,MIN(INT(($A68-1)/4)+1,CROQUIS_DATOS!$C$1525))+INDEX($F$8:$F$23,MIN(INT(($A68-1)/4)+1,CROQUIS_DATOS!$C$1525))/2)))*CROQUIS_DATOS!$C$1562),-1000)</f>
        <v>84.9137931034483</v>
      </c>
      <c r="K68">
        <f>IF(AND(CROQUIS_DATOS!$C$1472=1,1),(CROQUIS_DATOS!$C$1564+(CHOOSE(MIN(MAX(IF(INT(($A68-1)/4)+1&gt;CROQUIS_DATOS!$C$1525,4,MOD($A68-1,4)+1),1),4),0,CROQUIS_DATOS!$C$1476,CROQUIS_DATOS!$C$1476,0))*CROQUIS_DATOS!$C$1561*CROQUIS_DATOS!$C$1562),-1000)</f>
        <v>5.29310344827586</v>
      </c>
      <c r="L68">
        <f>IF(AND(CROQUIS_DATOS!$C$1472=1,1),(CROQUIS_DATOS!$C$1563+(CHOOSE(MIN(MAX(IF(INT(($A68-1)/4)+1&gt;CROQUIS_DATOS!$C$1525,4,MOD($A68-1,4)+1),1),4),((INDEX($E$8:$E$23,MIN(INT(($A68-1)/4)+1,CROQUIS_DATOS!$C$1525))-INDEX($F$8:$F$23,MIN(INT(($A68-1)/4)+1,CROQUIS_DATOS!$C$1525))/2)+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,((INDEX($E$8:$E$23,MIN(INT(($A68-1)/4)+1,CROQUIS_DATOS!$C$1525))-INDEX($F$8:$F$23,MIN(INT(($A68-1)/4)+1,CROQUIS_DATOS!$C$1525))/2)+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,((INDEX($E$8:$E$23,MIN(INT(($A68-1)/4)+1,CROQUIS_DATOS!$C$1525))+INDEX($F$8:$F$23,MIN(INT(($A68-1)/4)+1,CROQUIS_DATOS!$C$1525))/2)-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,((INDEX($E$8:$E$23,MIN(INT(($A68-1)/4)+1,CROQUIS_DATOS!$C$1525))+INDEX($F$8:$F$23,MIN(INT(($A68-1)/4)+1,CROQUIS_DATOS!$C$1525))/2)-MIN((CROQUIS_DATOS!$C$1530+CROQUIS_DATOS!$C$1532+IF(OR(MIN(INT(($A68-1)/4)+1,CROQUIS_DATOS!$C$1525)=1,MIN(INT(($A68-1)/4)+1,CROQUIS_DATOS!$C$1525)=CROQUIS_DATOS!$C$1525),CROQUIS_DATOS!$C$1534,CROQUIS_DATOS!$C$1531)/2),INDEX($F$8:$F$23,MIN(INT(($A68-1)/4)+1,CROQUIS_DATOS!$C$1525))/2-0.5))))*CROQUIS_DATOS!$C$1562),-1000)</f>
        <v>84.4792560344828</v>
      </c>
      <c r="M68">
        <f>IF(AND(CROQUIS_DATOS!$C$1472=1,1),(CROQUIS_DATOS!$C$1564+(CHOOSE(MIN(MAX(IF(INT(($A68-1)/4)+1&gt;CROQUIS_DATOS!$C$1525,4,MOD($A68-1,4)+1),1),4),CROQUIS_DATOS!$C$1543,INDEX($I$8:$I$23,MIN(INT(($A68-1)/4)+1,CROQUIS_DATOS!$C$1525)),INDEX($I$8:$I$23,MIN(INT(($A68-1)/4)+1,CROQUIS_DATOS!$C$1525)),CROQUIS_DATOS!$C$1543))*CROQUIS_DATOS!$C$1561*CROQUIS_DATOS!$C$1562),-1000)</f>
        <v>42.5654629310345</v>
      </c>
      <c r="N68">
        <f>IF(AND(CROQUIS_DATOS!$C$1472=1,1),(CROQUIS_DATOS!$C$1563+(IF(IF(IF(INT(($A68-1)/70)+1&gt;CROQUIS_DATOS!$C$1525,70,MOD($A68-1,70)+1)=1,0,IF(IF(INT(($A68-1)/70)+1&gt;CROQUIS_DATOS!$C$1525,70,MOD($A68-1,70)+1)&gt;2*CROQUIS_DATOS!$C$1541+1,IF(MOD(CROQUIS_DATOS!$C$1541,2)=1,1,0),IF(MOD(MIN(INT((IF(INT(($A68-1)/70)+1&gt;CROQUIS_DATOS!$C$1525,70,MOD($A68-1,70)+1)-2)/2)+1,CROQUIS_DATOS!$C$1541),2)=1,IF(MOD(IF(INT(($A68-1)/70)+1&gt;CROQUIS_DATOS!$C$1525,70,MOD($A68-1,70)+1)-2,2)=0,0,1),IF(MOD(IF(INT(($A68-1)/70)+1&gt;CROQUIS_DATOS!$C$1525,70,MOD($A68-1,70)+1)-2,2)=0,1,0))))=0,(INDEX($E$8:$E$23,MIN(INT(($A68-1)/70)+1,CROQUIS_DATOS!$C$1525))-INDEX($F$8:$F$23,MIN(INT(($A68-1)/70)+1,CROQUIS_DATOS!$C$1525))/2),(INDEX($E$8:$E$23,MIN(INT(($A68-1)/70)+1,CROQUIS_DATOS!$C$1525))+INDEX($F$8:$F$23,MIN(INT(($A68-1)/70)+1,CROQUIS_DATOS!$C$1525))/2)))*CROQUIS_DATOS!$C$1562),-1000)</f>
        <v>15.0862068965517</v>
      </c>
      <c r="O68">
        <f>IF(AND(CROQUIS_DATOS!$C$1472=1,1),(CROQUIS_DATOS!$C$1564+(IF(OR(IF(INT(($A68-1)/70)+1&gt;CROQUIS_DATOS!$C$1525,70,MOD($A68-1,70)+1)=1,IF(INT(($A68-1)/70)+1&gt;CROQUIS_DATOS!$C$1525,70,MOD($A68-1,70)+1)&gt;2*CROQUIS_DATOS!$C$1541+1),CROQUIS_DATOS!$C$1476,INDEX($H$8:$H$41,MIN(INT((IF(INT(($A68-1)/70)+1&gt;CROQUIS_DATOS!$C$1525,70,MOD($A68-1,70)+1)-2)/2)+1,CROQUIS_DATOS!$C$1541))))*CROQUIS_DATOS!$C$1561*CROQUIS_DATOS!$C$1562),-1000)</f>
        <v>40.2068965517241</v>
      </c>
      <c r="P68">
        <f>IF(AND(CROQUIS_DATOS!$C$1472=1,CROQUIS_DATOS!$C$1555=1),(CROQUIS_DATOS!$C$1563+(IF(IF(OR(MOD($A68-1,62)+1=1,IF(CHOOSE(MIN(MAX(MIN(INT(($A68-1)/62)+1,5),1),5),CROQUIS_DATOS!$C$1501,CROQUIS_DATOS!$C$1505,CROQUIS_DATOS!$C$1509,CROQUIS_DATOS!$C$1513,CROQUIS_DATOS!$C$1517)=1,CROQUIS_DATOS!$C$1557,0)=0),0,IF(MOD($A68-1,62)+1&gt;2*IF(CHOOSE(MIN(MAX(MIN(INT(($A68-1)/62)+1,5),1),5),CROQUIS_DATOS!$C$1501,CROQUIS_DATOS!$C$1505,CROQUIS_DATOS!$C$1509,CROQUIS_DATOS!$C$1513,CROQUIS_DATOS!$C$1517)=1,CROQUIS_DATOS!$C$1557,0)+1,IF(MOD(IF(CHOOSE(MIN(MAX(MIN(INT(($A68-1)/62)+1,5),1),5),CROQUIS_DATOS!$C$1501,CROQUIS_DATOS!$C$1505,CROQUIS_DATOS!$C$1509,CROQUIS_DATOS!$C$1513,CROQUIS_DATOS!$C$1517)=1,CROQUIS_DATOS!$C$1557,0),2)=1,1,0),IF(MOD(MIN(INT((MOD($A68-1,62)+1-2)/2)+1,MAX(IF(CHOOSE(MIN(MAX(MIN(INT(($A68-1)/62)+1,5),1),5),CROQUIS_DATOS!$C$1501,CROQUIS_DATOS!$C$1505,CROQUIS_DATOS!$C$1509,CROQUIS_DATOS!$C$1513,CROQUIS_DATOS!$C$1517)=1,CROQUIS_DATOS!$C$1557,0),1)),2)=1,IF(MOD(MOD($A68-1,62)+1-2,2)=0,0,1),IF(MOD(MOD($A68-1,62)+1-2,2)=0,1,0))))=0,(CHOOSE(MIN(MAX(MIN(INT(($A68-1)/62)+1,5),1),5),CROQUIS_DATOS!$C$1499,CROQUIS_DATOS!$C$1503,CROQUIS_DATOS!$C$1507,CROQUIS_DATOS!$C$1511,CROQUIS_DATOS!$C$1515)+IF(CHOOSE(MIN(MAX(MIN(INT(($A68-1)/62)+1,5),1),5),CROQUIS_DATOS!$C$1501,CROQUIS_DATOS!$C$1505,CROQUIS_DATOS!$C$1509,CROQUIS_DATOS!$C$1513,CROQUIS_DATOS!$C$1517)=1,CROQUIS_DATOS!$C$1526,0)),(CHOOSE(MIN(MAX(MIN(INT(($A68-1)/62)+1,5),1),5),CROQUIS_DATOS!$C$1499,CROQUIS_DATOS!$C$1503,CROQUIS_DATOS!$C$1507,CROQUIS_DATOS!$C$1511,CROQUIS_DATOS!$C$1515)+CHOOSE(MIN(MAX(MIN(INT(($A68-1)/62)+1,5),1),5),CROQUIS_DATOS!$C$1500,CROQUIS_DATOS!$C$1504,CROQUIS_DATOS!$C$1508,CROQUIS_DATOS!$C$1512,CROQUIS_DATOS!$C$1516)-IF(CHOOSE(MIN(MAX(MIN(INT(($A68-1)/62)+1,5),1),5),CROQUIS_DATOS!$C$1501,CROQUIS_DATOS!$C$1505,CROQUIS_DATOS!$C$1509,CROQUIS_DATOS!$C$1513,CROQUIS_DATOS!$C$1517)=1,CROQUIS_DATOS!$C$1526,0))))*CROQUIS_DATOS!$C$1562),-1000)</f>
        <v>-1000</v>
      </c>
      <c r="Q68">
        <f>IF(AND(CROQUIS_DATOS!$C$1472=1,CROQUIS_DATOS!$C$1555=1),(CROQUIS_DATOS!$C$1564+(IF(OR(OR(MOD($A68-1,62)+1=1,IF(CHOOSE(MIN(MAX(MIN(INT(($A68-1)/62)+1,5),1),5),CROQUIS_DATOS!$C$1501,CROQUIS_DATOS!$C$1505,CROQUIS_DATOS!$C$1509,CROQUIS_DATOS!$C$1513,CROQUIS_DATOS!$C$1517)=1,CROQUIS_DATOS!$C$1557,0)=0),MOD($A68-1,62)+1&gt;2*IF(CHOOSE(MIN(MAX(MIN(INT(($A68-1)/62)+1,5),1),5),CROQUIS_DATOS!$C$1501,CROQUIS_DATOS!$C$1505,CROQUIS_DATOS!$C$1509,CROQUIS_DATOS!$C$1513,CROQUIS_DATOS!$C$1517)=1,CROQUIS_DATOS!$C$1557,0)+1),CROQUIS_DATOS!$C$1476,MIN(INT((MOD($A68-1,62)+1-2)/2)+1,MAX(IF(CHOOSE(MIN(MAX(MIN(INT(($A68-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8">
        <f>IF(AND(CROQUIS_DATOS!$C$1472=1,1),(CROQUIS_DATOS!$C$1563+(MIN(INT(($A68-1)/2)+1,CROQUIS_DATOS!$C$1558)*CROQUIS_DATOS!$C$1559)*CROQUIS_DATOS!$C$1562),-1000)</f>
        <v>82.2281167108753</v>
      </c>
      <c r="U68">
        <f>IF(AND(CROQUIS_DATOS!$C$1472=1,1),(CROQUIS_DATOS!$C$1564+(IF(INT(($A68-1)/2)+1&gt;CROQUIS_DATOS!$C$1558,IF(MOD(CROQUIS_DATOS!$C$1558,2)=1,CROQUIS_DATOS!$C$1476+CROQUIS_DATOS!$C$1528,CROQUIS_DATOS!$C$1476),IF(IF(MOD(MIN(INT(($A68-1)/2)+1,CROQUIS_DATOS!$C$1558),2)=1,MOD($A68-1,2),1-MOD($A68-1,2))=1,CROQUIS_DATOS!$C$1476+CROQUIS_DATOS!$C$1528,CROQUIS_DATOS!$C$1476)))*CROQUIS_DATOS!$C$1561*CROQUIS_DATOS!$C$1562),-1000)</f>
        <v>43</v>
      </c>
      <c r="BZ68">
        <f>IF(AND(CROQUIS_DATOS!$C$1472=1,CROQUIS_DATOS!$C$1500&gt;0,((CROQUIS_DATOS!$C$1499+CROQUIS_DATOS!$C$1500))-(CROQUIS_DATOS!$C$1499)&gt;0.5,(CROQUIS_DATOS!$C$1476)-(0)&gt;0.5),(CROQUIS_DATOS!$C$1566+(IF(IF(MOD(MIN(INT(($A68-1)/2)+1,MAX(1,INT(((((CROQUIS_DATOS!$C$1499+CROQUIS_DATOS!$C$1500))-(CROQUIS_DATOS!$C$1499))+((CROQUIS_DATOS!$C$1476)*CROQUIS_DATOS!$C$1561-(0)*CROQUIS_DATOS!$C$1561))/CROQUIS_DATOS!$C$1568-0.000001))),2)=1,IF(INT(($A68-1)/2)+1&gt;MAX(1,INT(((((CROQUIS_DATOS!$C$1499+CROQUIS_DATOS!$C$1500))-(CROQUIS_DATOS!$C$1499))+((CROQUIS_DATOS!$C$1476)*CROQUIS_DATOS!$C$1561-(0)*CROQUIS_DATOS!$C$1561))/CROQUIS_DATOS!$C$1568-0.000001)),1,MOD($A68-1,2)),1-IF(INT(($A68-1)/2)+1&gt;MAX(1,INT(((((CROQUIS_DATOS!$C$1499+CROQUIS_DATOS!$C$1500))-(CROQUIS_DATOS!$C$1499))+((CROQUIS_DATOS!$C$1476)*CROQUIS_DATOS!$C$1561-(0)*CROQUIS_DATOS!$C$1561))/CROQUIS_DATOS!$C$1568-0.000001)),1,MOD($A68-1,2)))=1,MIN((CROQUIS_DATOS!$C$1476)*CROQUIS_DATOS!$C$1561,((CROQUIS_DATOS!$C$1499+CROQUIS_DATOS!$C$1500)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8">
        <f>IF(AND(CROQUIS_DATOS!$C$1472=1,CROQUIS_DATOS!$C$1500&gt;0,((CROQUIS_DATOS!$C$1499+CROQUIS_DATOS!$C$1500))-(CROQUIS_DATOS!$C$1499)&gt;0.5,(CROQUIS_DATOS!$C$1476)-(0)&gt;0.5),(CROQUIS_DATOS!$C$1567+(IF(IF(MOD(MIN(INT(($A68-1)/2)+1,MAX(1,INT(((((CROQUIS_DATOS!$C$1499+CROQUIS_DATOS!$C$1500))-(CROQUIS_DATOS!$C$1499))+((CROQUIS_DATOS!$C$1476)*CROQUIS_DATOS!$C$1561-(0)*CROQUIS_DATOS!$C$1561))/CROQUIS_DATOS!$C$1568-0.000001))),2)=1,IF(INT(($A68-1)/2)+1&gt;MAX(1,INT(((((CROQUIS_DATOS!$C$1499+CROQUIS_DATOS!$C$1500))-(CROQUIS_DATOS!$C$1499))+((CROQUIS_DATOS!$C$1476)*CROQUIS_DATOS!$C$1561-(0)*CROQUIS_DATOS!$C$1561))/CROQUIS_DATOS!$C$1568-0.000001)),1,MOD($A68-1,2)),1-IF(INT(($A68-1)/2)+1&gt;MAX(1,INT(((((CROQUIS_DATOS!$C$1499+CROQUIS_DATOS!$C$1500))-(CROQUIS_DATOS!$C$1499))+((CROQUIS_DATOS!$C$1476)*CROQUIS_DATOS!$C$1561-(0)*CROQUIS_DATOS!$C$1561))/CROQUIS_DATOS!$C$1568-0.000001)),1,MOD($A68-1,2)))=1,MIN((CROQUIS_DATOS!$C$1476)*CROQUIS_DATOS!$C$1561,((CROQUIS_DATOS!$C$1499+CROQUIS_DATOS!$C$1500)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8">
        <f>IF(AND(CROQUIS_DATOS!$C$1472=1,CROQUIS_DATOS!$C$1504&gt;0,((CROQUIS_DATOS!$C$1503+CROQUIS_DATOS!$C$1504))-(CROQUIS_DATOS!$C$1503)&gt;0.5,(CROQUIS_DATOS!$C$1476)-(0)&gt;0.5),(CROQUIS_DATOS!$C$1566+(IF(IF(MOD(MIN(INT(($A68-1)/2)+1,MAX(1,INT(((((CROQUIS_DATOS!$C$1503+CROQUIS_DATOS!$C$1504))-(CROQUIS_DATOS!$C$1503))+((CROQUIS_DATOS!$C$1476)*CROQUIS_DATOS!$C$1561-(0)*CROQUIS_DATOS!$C$1561))/CROQUIS_DATOS!$C$1568-0.000001))),2)=1,IF(INT(($A68-1)/2)+1&gt;MAX(1,INT(((((CROQUIS_DATOS!$C$1503+CROQUIS_DATOS!$C$1504))-(CROQUIS_DATOS!$C$1503))+((CROQUIS_DATOS!$C$1476)*CROQUIS_DATOS!$C$1561-(0)*CROQUIS_DATOS!$C$1561))/CROQUIS_DATOS!$C$1568-0.000001)),1,MOD($A68-1,2)),1-IF(INT(($A68-1)/2)+1&gt;MAX(1,INT(((((CROQUIS_DATOS!$C$1503+CROQUIS_DATOS!$C$1504))-(CROQUIS_DATOS!$C$1503))+((CROQUIS_DATOS!$C$1476)*CROQUIS_DATOS!$C$1561-(0)*CROQUIS_DATOS!$C$1561))/CROQUIS_DATOS!$C$1568-0.000001)),1,MOD($A68-1,2)))=1,MIN((CROQUIS_DATOS!$C$1476)*CROQUIS_DATOS!$C$1561,((CROQUIS_DATOS!$C$1503+CROQUIS_DATOS!$C$1504)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8">
        <f>IF(AND(CROQUIS_DATOS!$C$1472=1,CROQUIS_DATOS!$C$1504&gt;0,((CROQUIS_DATOS!$C$1503+CROQUIS_DATOS!$C$1504))-(CROQUIS_DATOS!$C$1503)&gt;0.5,(CROQUIS_DATOS!$C$1476)-(0)&gt;0.5),(CROQUIS_DATOS!$C$1567+(IF(IF(MOD(MIN(INT(($A68-1)/2)+1,MAX(1,INT(((((CROQUIS_DATOS!$C$1503+CROQUIS_DATOS!$C$1504))-(CROQUIS_DATOS!$C$1503))+((CROQUIS_DATOS!$C$1476)*CROQUIS_DATOS!$C$1561-(0)*CROQUIS_DATOS!$C$1561))/CROQUIS_DATOS!$C$1568-0.000001))),2)=1,IF(INT(($A68-1)/2)+1&gt;MAX(1,INT(((((CROQUIS_DATOS!$C$1503+CROQUIS_DATOS!$C$1504))-(CROQUIS_DATOS!$C$1503))+((CROQUIS_DATOS!$C$1476)*CROQUIS_DATOS!$C$1561-(0)*CROQUIS_DATOS!$C$1561))/CROQUIS_DATOS!$C$1568-0.000001)),1,MOD($A68-1,2)),1-IF(INT(($A68-1)/2)+1&gt;MAX(1,INT(((((CROQUIS_DATOS!$C$1503+CROQUIS_DATOS!$C$1504))-(CROQUIS_DATOS!$C$1503))+((CROQUIS_DATOS!$C$1476)*CROQUIS_DATOS!$C$1561-(0)*CROQUIS_DATOS!$C$1561))/CROQUIS_DATOS!$C$1568-0.000001)),1,MOD($A68-1,2)))=1,MIN((CROQUIS_DATOS!$C$1476)*CROQUIS_DATOS!$C$1561,((CROQUIS_DATOS!$C$1503+CROQUIS_DATOS!$C$1504)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8">
        <f>IF(AND(CROQUIS_DATOS!$C$1472=1,CROQUIS_DATOS!$C$1508&gt;0,((CROQUIS_DATOS!$C$1507+CROQUIS_DATOS!$C$1508))-(CROQUIS_DATOS!$C$1507)&gt;0.5,(CROQUIS_DATOS!$C$1476)-(0)&gt;0.5),(CROQUIS_DATOS!$C$1566+(IF(IF(MOD(MIN(INT(($A68-1)/2)+1,MAX(1,INT(((((CROQUIS_DATOS!$C$1507+CROQUIS_DATOS!$C$1508))-(CROQUIS_DATOS!$C$1507))+((CROQUIS_DATOS!$C$1476)*CROQUIS_DATOS!$C$1561-(0)*CROQUIS_DATOS!$C$1561))/CROQUIS_DATOS!$C$1568-0.000001))),2)=1,IF(INT(($A68-1)/2)+1&gt;MAX(1,INT(((((CROQUIS_DATOS!$C$1507+CROQUIS_DATOS!$C$1508))-(CROQUIS_DATOS!$C$1507))+((CROQUIS_DATOS!$C$1476)*CROQUIS_DATOS!$C$1561-(0)*CROQUIS_DATOS!$C$1561))/CROQUIS_DATOS!$C$1568-0.000001)),1,MOD($A68-1,2)),1-IF(INT(($A68-1)/2)+1&gt;MAX(1,INT(((((CROQUIS_DATOS!$C$1507+CROQUIS_DATOS!$C$1508))-(CROQUIS_DATOS!$C$1507))+((CROQUIS_DATOS!$C$1476)*CROQUIS_DATOS!$C$1561-(0)*CROQUIS_DATOS!$C$1561))/CROQUIS_DATOS!$C$1568-0.000001)),1,MOD($A68-1,2)))=1,MIN((CROQUIS_DATOS!$C$1476)*CROQUIS_DATOS!$C$1561,((CROQUIS_DATOS!$C$1507+CROQUIS_DATOS!$C$1508)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8">
        <f>IF(AND(CROQUIS_DATOS!$C$1472=1,CROQUIS_DATOS!$C$1508&gt;0,((CROQUIS_DATOS!$C$1507+CROQUIS_DATOS!$C$1508))-(CROQUIS_DATOS!$C$1507)&gt;0.5,(CROQUIS_DATOS!$C$1476)-(0)&gt;0.5),(CROQUIS_DATOS!$C$1567+(IF(IF(MOD(MIN(INT(($A68-1)/2)+1,MAX(1,INT(((((CROQUIS_DATOS!$C$1507+CROQUIS_DATOS!$C$1508))-(CROQUIS_DATOS!$C$1507))+((CROQUIS_DATOS!$C$1476)*CROQUIS_DATOS!$C$1561-(0)*CROQUIS_DATOS!$C$1561))/CROQUIS_DATOS!$C$1568-0.000001))),2)=1,IF(INT(($A68-1)/2)+1&gt;MAX(1,INT(((((CROQUIS_DATOS!$C$1507+CROQUIS_DATOS!$C$1508))-(CROQUIS_DATOS!$C$1507))+((CROQUIS_DATOS!$C$1476)*CROQUIS_DATOS!$C$1561-(0)*CROQUIS_DATOS!$C$1561))/CROQUIS_DATOS!$C$1568-0.000001)),1,MOD($A68-1,2)),1-IF(INT(($A68-1)/2)+1&gt;MAX(1,INT(((((CROQUIS_DATOS!$C$1507+CROQUIS_DATOS!$C$1508))-(CROQUIS_DATOS!$C$1507))+((CROQUIS_DATOS!$C$1476)*CROQUIS_DATOS!$C$1561-(0)*CROQUIS_DATOS!$C$1561))/CROQUIS_DATOS!$C$1568-0.000001)),1,MOD($A68-1,2)))=1,MIN((CROQUIS_DATOS!$C$1476)*CROQUIS_DATOS!$C$1561,((CROQUIS_DATOS!$C$1507+CROQUIS_DATOS!$C$1508)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8">
        <f>IF(AND(CROQUIS_DATOS!$C$1472=1,CROQUIS_DATOS!$C$1512&gt;0,((CROQUIS_DATOS!$C$1511+CROQUIS_DATOS!$C$1512))-(CROQUIS_DATOS!$C$1511)&gt;0.5,(CROQUIS_DATOS!$C$1476)-(0)&gt;0.5),(CROQUIS_DATOS!$C$1566+(IF(IF(MOD(MIN(INT(($A68-1)/2)+1,MAX(1,INT(((((CROQUIS_DATOS!$C$1511+CROQUIS_DATOS!$C$1512))-(CROQUIS_DATOS!$C$1511))+((CROQUIS_DATOS!$C$1476)*CROQUIS_DATOS!$C$1561-(0)*CROQUIS_DATOS!$C$1561))/CROQUIS_DATOS!$C$1568-0.000001))),2)=1,IF(INT(($A68-1)/2)+1&gt;MAX(1,INT(((((CROQUIS_DATOS!$C$1511+CROQUIS_DATOS!$C$1512))-(CROQUIS_DATOS!$C$1511))+((CROQUIS_DATOS!$C$1476)*CROQUIS_DATOS!$C$1561-(0)*CROQUIS_DATOS!$C$1561))/CROQUIS_DATOS!$C$1568-0.000001)),1,MOD($A68-1,2)),1-IF(INT(($A68-1)/2)+1&gt;MAX(1,INT(((((CROQUIS_DATOS!$C$1511+CROQUIS_DATOS!$C$1512))-(CROQUIS_DATOS!$C$1511))+((CROQUIS_DATOS!$C$1476)*CROQUIS_DATOS!$C$1561-(0)*CROQUIS_DATOS!$C$1561))/CROQUIS_DATOS!$C$1568-0.000001)),1,MOD($A68-1,2)))=1,MIN((CROQUIS_DATOS!$C$1476)*CROQUIS_DATOS!$C$1561,((CROQUIS_DATOS!$C$1511+CROQUIS_DATOS!$C$1512)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8">
        <f>IF(AND(CROQUIS_DATOS!$C$1472=1,CROQUIS_DATOS!$C$1512&gt;0,((CROQUIS_DATOS!$C$1511+CROQUIS_DATOS!$C$1512))-(CROQUIS_DATOS!$C$1511)&gt;0.5,(CROQUIS_DATOS!$C$1476)-(0)&gt;0.5),(CROQUIS_DATOS!$C$1567+(IF(IF(MOD(MIN(INT(($A68-1)/2)+1,MAX(1,INT(((((CROQUIS_DATOS!$C$1511+CROQUIS_DATOS!$C$1512))-(CROQUIS_DATOS!$C$1511))+((CROQUIS_DATOS!$C$1476)*CROQUIS_DATOS!$C$1561-(0)*CROQUIS_DATOS!$C$1561))/CROQUIS_DATOS!$C$1568-0.000001))),2)=1,IF(INT(($A68-1)/2)+1&gt;MAX(1,INT(((((CROQUIS_DATOS!$C$1511+CROQUIS_DATOS!$C$1512))-(CROQUIS_DATOS!$C$1511))+((CROQUIS_DATOS!$C$1476)*CROQUIS_DATOS!$C$1561-(0)*CROQUIS_DATOS!$C$1561))/CROQUIS_DATOS!$C$1568-0.000001)),1,MOD($A68-1,2)),1-IF(INT(($A68-1)/2)+1&gt;MAX(1,INT(((((CROQUIS_DATOS!$C$1511+CROQUIS_DATOS!$C$1512))-(CROQUIS_DATOS!$C$1511))+((CROQUIS_DATOS!$C$1476)*CROQUIS_DATOS!$C$1561-(0)*CROQUIS_DATOS!$C$1561))/CROQUIS_DATOS!$C$1568-0.000001)),1,MOD($A68-1,2)))=1,MIN((CROQUIS_DATOS!$C$1476)*CROQUIS_DATOS!$C$1561,((CROQUIS_DATOS!$C$1511+CROQUIS_DATOS!$C$1512)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8">
        <f>IF(AND(CROQUIS_DATOS!$C$1472=1,CROQUIS_DATOS!$C$1516&gt;0,((CROQUIS_DATOS!$C$1515+CROQUIS_DATOS!$C$1516))-(CROQUIS_DATOS!$C$1515)&gt;0.5,(CROQUIS_DATOS!$C$1476)-(0)&gt;0.5),(CROQUIS_DATOS!$C$1566+(IF(IF(MOD(MIN(INT(($A68-1)/2)+1,MAX(1,INT(((((CROQUIS_DATOS!$C$1515+CROQUIS_DATOS!$C$1516))-(CROQUIS_DATOS!$C$1515))+((CROQUIS_DATOS!$C$1476)*CROQUIS_DATOS!$C$1561-(0)*CROQUIS_DATOS!$C$1561))/CROQUIS_DATOS!$C$1568-0.000001))),2)=1,IF(INT(($A68-1)/2)+1&gt;MAX(1,INT(((((CROQUIS_DATOS!$C$1515+CROQUIS_DATOS!$C$1516))-(CROQUIS_DATOS!$C$1515))+((CROQUIS_DATOS!$C$1476)*CROQUIS_DATOS!$C$1561-(0)*CROQUIS_DATOS!$C$1561))/CROQUIS_DATOS!$C$1568-0.000001)),1,MOD($A68-1,2)),1-IF(INT(($A68-1)/2)+1&gt;MAX(1,INT(((((CROQUIS_DATOS!$C$1515+CROQUIS_DATOS!$C$1516))-(CROQUIS_DATOS!$C$1515))+((CROQUIS_DATOS!$C$1476)*CROQUIS_DATOS!$C$1561-(0)*CROQUIS_DATOS!$C$1561))/CROQUIS_DATOS!$C$1568-0.000001)),1,MOD($A68-1,2)))=1,MIN((CROQUIS_DATOS!$C$1476)*CROQUIS_DATOS!$C$1561,((CROQUIS_DATOS!$C$1515+CROQUIS_DATOS!$C$1516)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8">
        <f>IF(AND(CROQUIS_DATOS!$C$1472=1,CROQUIS_DATOS!$C$1516&gt;0,((CROQUIS_DATOS!$C$1515+CROQUIS_DATOS!$C$1516))-(CROQUIS_DATOS!$C$1515)&gt;0.5,(CROQUIS_DATOS!$C$1476)-(0)&gt;0.5),(CROQUIS_DATOS!$C$1567+(IF(IF(MOD(MIN(INT(($A68-1)/2)+1,MAX(1,INT(((((CROQUIS_DATOS!$C$1515+CROQUIS_DATOS!$C$1516))-(CROQUIS_DATOS!$C$1515))+((CROQUIS_DATOS!$C$1476)*CROQUIS_DATOS!$C$1561-(0)*CROQUIS_DATOS!$C$1561))/CROQUIS_DATOS!$C$1568-0.000001))),2)=1,IF(INT(($A68-1)/2)+1&gt;MAX(1,INT(((((CROQUIS_DATOS!$C$1515+CROQUIS_DATOS!$C$1516))-(CROQUIS_DATOS!$C$1515))+((CROQUIS_DATOS!$C$1476)*CROQUIS_DATOS!$C$1561-(0)*CROQUIS_DATOS!$C$1561))/CROQUIS_DATOS!$C$1568-0.000001)),1,MOD($A68-1,2)),1-IF(INT(($A68-1)/2)+1&gt;MAX(1,INT(((((CROQUIS_DATOS!$C$1515+CROQUIS_DATOS!$C$1516))-(CROQUIS_DATOS!$C$1515))+((CROQUIS_DATOS!$C$1476)*CROQUIS_DATOS!$C$1561-(0)*CROQUIS_DATOS!$C$1561))/CROQUIS_DATOS!$C$1568-0.000001)),1,MOD($A68-1,2)))=1,MIN((CROQUIS_DATOS!$C$1476)*CROQUIS_DATOS!$C$1561,((CROQUIS_DATOS!$C$1515+CROQUIS_DATOS!$C$1516)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8">
        <f>IF(AND(CROQUIS_DATOS!$C$1472=1,CROQUIS_DATOS!$C$1478&gt;=1,((CROQUIS_DATOS!$C$1479+CROQUIS_DATOS!$C$1480))-(CROQUIS_DATOS!$C$1479)&gt;0.5,(CROQUIS_DATOS!$C$1481)-(0)&gt;0.5),(CROQUIS_DATOS!$C$1566+(IF(IF(MOD(MIN(INT(($A68-1)/2)+1,MAX(1,INT(((((CROQUIS_DATOS!$C$1479+CROQUIS_DATOS!$C$1480))-(CROQUIS_DATOS!$C$1479))+((CROQUIS_DATOS!$C$1481)*CROQUIS_DATOS!$C$1561-(0)*CROQUIS_DATOS!$C$1561))/CROQUIS_DATOS!$C$1568-0.000001))),2)=1,IF(INT(($A68-1)/2)+1&gt;MAX(1,INT(((((CROQUIS_DATOS!$C$1479+CROQUIS_DATOS!$C$1480))-(CROQUIS_DATOS!$C$1479))+((CROQUIS_DATOS!$C$1481)*CROQUIS_DATOS!$C$1561-(0)*CROQUIS_DATOS!$C$1561))/CROQUIS_DATOS!$C$1568-0.000001)),1,MOD($A68-1,2)),1-IF(INT(($A68-1)/2)+1&gt;MAX(1,INT(((((CROQUIS_DATOS!$C$1479+CROQUIS_DATOS!$C$1480))-(CROQUIS_DATOS!$C$1479))+((CROQUIS_DATOS!$C$1481)*CROQUIS_DATOS!$C$1561-(0)*CROQUIS_DATOS!$C$1561))/CROQUIS_DATOS!$C$1568-0.000001)),1,MOD($A68-1,2)))=1,MIN((CROQUIS_DATOS!$C$1481)*CROQUIS_DATOS!$C$1561,((CROQUIS_DATOS!$C$1479+CROQUIS_DATOS!$C$1480)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8">
        <f>IF(AND(CROQUIS_DATOS!$C$1472=1,CROQUIS_DATOS!$C$1478&gt;=1,((CROQUIS_DATOS!$C$1479+CROQUIS_DATOS!$C$1480))-(CROQUIS_DATOS!$C$1479)&gt;0.5,(CROQUIS_DATOS!$C$1481)-(0)&gt;0.5),(CROQUIS_DATOS!$C$1567+(IF(IF(MOD(MIN(INT(($A68-1)/2)+1,MAX(1,INT(((((CROQUIS_DATOS!$C$1479+CROQUIS_DATOS!$C$1480))-(CROQUIS_DATOS!$C$1479))+((CROQUIS_DATOS!$C$1481)*CROQUIS_DATOS!$C$1561-(0)*CROQUIS_DATOS!$C$1561))/CROQUIS_DATOS!$C$1568-0.000001))),2)=1,IF(INT(($A68-1)/2)+1&gt;MAX(1,INT(((((CROQUIS_DATOS!$C$1479+CROQUIS_DATOS!$C$1480))-(CROQUIS_DATOS!$C$1479))+((CROQUIS_DATOS!$C$1481)*CROQUIS_DATOS!$C$1561-(0)*CROQUIS_DATOS!$C$1561))/CROQUIS_DATOS!$C$1568-0.000001)),1,MOD($A68-1,2)),1-IF(INT(($A68-1)/2)+1&gt;MAX(1,INT(((((CROQUIS_DATOS!$C$1479+CROQUIS_DATOS!$C$1480))-(CROQUIS_DATOS!$C$1479))+((CROQUIS_DATOS!$C$1481)*CROQUIS_DATOS!$C$1561-(0)*CROQUIS_DATOS!$C$1561))/CROQUIS_DATOS!$C$1568-0.000001)),1,MOD($A68-1,2)))=1,MIN((CROQUIS_DATOS!$C$1481)*CROQUIS_DATOS!$C$1561,((CROQUIS_DATOS!$C$1479+CROQUIS_DATOS!$C$1480)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8">
        <f>IF(AND(CROQUIS_DATOS!$C$1472=1,CROQUIS_DATOS!$C$1478&gt;=1,((CROQUIS_DATOS!$C$1479+CROQUIS_DATOS!$C$1480))-(CROQUIS_DATOS!$C$1479)&gt;0.5,(CROQUIS_DATOS!$C$1476)-((CROQUIS_DATOS!$C$1481+CROQUIS_DATOS!$C$1482))&gt;0.5),(CROQUIS_DATOS!$C$1566+(IF(IF(MOD(MIN(INT(($A68-1)/2)+1,MAX(1,INT(((((CROQUIS_DATOS!$C$1479+CROQUIS_DATOS!$C$1480))-(CROQUIS_DATOS!$C$1479))+((CROQUIS_DATOS!$C$1476)*CROQUIS_DATOS!$C$1561-((CROQUIS_DATOS!$C$1481+CROQUIS_DATOS!$C$1482))*CROQUIS_DATOS!$C$1561))/CROQUIS_DATOS!$C$1568-0.000001))),2)=1,IF(INT(($A68-1)/2)+1&gt;MAX(1,INT(((((CROQUIS_DATOS!$C$1479+CROQUIS_DATOS!$C$1480))-(CROQUIS_DATOS!$C$1479))+((CROQUIS_DATOS!$C$1476)*CROQUIS_DATOS!$C$1561-((CROQUIS_DATOS!$C$1481+CROQUIS_DATOS!$C$1482))*CROQUIS_DATOS!$C$1561))/CROQUIS_DATOS!$C$1568-0.000001)),1,MOD($A68-1,2)),1-IF(INT(($A68-1)/2)+1&gt;MAX(1,INT(((((CROQUIS_DATOS!$C$1479+CROQUIS_DATOS!$C$1480))-(CROQUIS_DATOS!$C$1479))+((CROQUIS_DATOS!$C$1476)*CROQUIS_DATOS!$C$1561-((CROQUIS_DATOS!$C$1481+CROQUIS_DATOS!$C$1482))*CROQUIS_DATOS!$C$1561))/CROQUIS_DATOS!$C$1568-0.000001)),1,MOD($A68-1,2)))=1,MIN((CROQUIS_DATOS!$C$1476)*CROQUIS_DATOS!$C$1561,((CROQUIS_DATOS!$C$1479+CROQUIS_DATOS!$C$1480)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8">
        <f>IF(AND(CROQUIS_DATOS!$C$1472=1,CROQUIS_DATOS!$C$1478&gt;=1,((CROQUIS_DATOS!$C$1479+CROQUIS_DATOS!$C$1480))-(CROQUIS_DATOS!$C$1479)&gt;0.5,(CROQUIS_DATOS!$C$1476)-((CROQUIS_DATOS!$C$1481+CROQUIS_DATOS!$C$1482))&gt;0.5),(CROQUIS_DATOS!$C$1567+(IF(IF(MOD(MIN(INT(($A68-1)/2)+1,MAX(1,INT(((((CROQUIS_DATOS!$C$1479+CROQUIS_DATOS!$C$1480))-(CROQUIS_DATOS!$C$1479))+((CROQUIS_DATOS!$C$1476)*CROQUIS_DATOS!$C$1561-((CROQUIS_DATOS!$C$1481+CROQUIS_DATOS!$C$1482))*CROQUIS_DATOS!$C$1561))/CROQUIS_DATOS!$C$1568-0.000001))),2)=1,IF(INT(($A68-1)/2)+1&gt;MAX(1,INT(((((CROQUIS_DATOS!$C$1479+CROQUIS_DATOS!$C$1480))-(CROQUIS_DATOS!$C$1479))+((CROQUIS_DATOS!$C$1476)*CROQUIS_DATOS!$C$1561-((CROQUIS_DATOS!$C$1481+CROQUIS_DATOS!$C$1482))*CROQUIS_DATOS!$C$1561))/CROQUIS_DATOS!$C$1568-0.000001)),1,MOD($A68-1,2)),1-IF(INT(($A68-1)/2)+1&gt;MAX(1,INT(((((CROQUIS_DATOS!$C$1479+CROQUIS_DATOS!$C$1480))-(CROQUIS_DATOS!$C$1479))+((CROQUIS_DATOS!$C$1476)*CROQUIS_DATOS!$C$1561-((CROQUIS_DATOS!$C$1481+CROQUIS_DATOS!$C$1482))*CROQUIS_DATOS!$C$1561))/CROQUIS_DATOS!$C$1568-0.000001)),1,MOD($A68-1,2)))=1,MIN((CROQUIS_DATOS!$C$1476)*CROQUIS_DATOS!$C$1561,((CROQUIS_DATOS!$C$1479+CROQUIS_DATOS!$C$1480)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8">
        <f>IF(AND(CROQUIS_DATOS!$C$1472=1,CROQUIS_DATOS!$C$1478&gt;=2,((CROQUIS_DATOS!$C$1484+CROQUIS_DATOS!$C$1485))-(CROQUIS_DATOS!$C$1484)&gt;0.5,(CROQUIS_DATOS!$C$1486)-(0)&gt;0.5),(CROQUIS_DATOS!$C$1566+(IF(IF(MOD(MIN(INT(($A68-1)/2)+1,MAX(1,INT(((((CROQUIS_DATOS!$C$1484+CROQUIS_DATOS!$C$1485))-(CROQUIS_DATOS!$C$1484))+((CROQUIS_DATOS!$C$1486)*CROQUIS_DATOS!$C$1561-(0)*CROQUIS_DATOS!$C$1561))/CROQUIS_DATOS!$C$1568-0.000001))),2)=1,IF(INT(($A68-1)/2)+1&gt;MAX(1,INT(((((CROQUIS_DATOS!$C$1484+CROQUIS_DATOS!$C$1485))-(CROQUIS_DATOS!$C$1484))+((CROQUIS_DATOS!$C$1486)*CROQUIS_DATOS!$C$1561-(0)*CROQUIS_DATOS!$C$1561))/CROQUIS_DATOS!$C$1568-0.000001)),1,MOD($A68-1,2)),1-IF(INT(($A68-1)/2)+1&gt;MAX(1,INT(((((CROQUIS_DATOS!$C$1484+CROQUIS_DATOS!$C$1485))-(CROQUIS_DATOS!$C$1484))+((CROQUIS_DATOS!$C$1486)*CROQUIS_DATOS!$C$1561-(0)*CROQUIS_DATOS!$C$1561))/CROQUIS_DATOS!$C$1568-0.000001)),1,MOD($A68-1,2)))=1,MIN((CROQUIS_DATOS!$C$1486)*CROQUIS_DATOS!$C$1561,((CROQUIS_DATOS!$C$1484+CROQUIS_DATOS!$C$1485)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8">
        <f>IF(AND(CROQUIS_DATOS!$C$1472=1,CROQUIS_DATOS!$C$1478&gt;=2,((CROQUIS_DATOS!$C$1484+CROQUIS_DATOS!$C$1485))-(CROQUIS_DATOS!$C$1484)&gt;0.5,(CROQUIS_DATOS!$C$1486)-(0)&gt;0.5),(CROQUIS_DATOS!$C$1567+(IF(IF(MOD(MIN(INT(($A68-1)/2)+1,MAX(1,INT(((((CROQUIS_DATOS!$C$1484+CROQUIS_DATOS!$C$1485))-(CROQUIS_DATOS!$C$1484))+((CROQUIS_DATOS!$C$1486)*CROQUIS_DATOS!$C$1561-(0)*CROQUIS_DATOS!$C$1561))/CROQUIS_DATOS!$C$1568-0.000001))),2)=1,IF(INT(($A68-1)/2)+1&gt;MAX(1,INT(((((CROQUIS_DATOS!$C$1484+CROQUIS_DATOS!$C$1485))-(CROQUIS_DATOS!$C$1484))+((CROQUIS_DATOS!$C$1486)*CROQUIS_DATOS!$C$1561-(0)*CROQUIS_DATOS!$C$1561))/CROQUIS_DATOS!$C$1568-0.000001)),1,MOD($A68-1,2)),1-IF(INT(($A68-1)/2)+1&gt;MAX(1,INT(((((CROQUIS_DATOS!$C$1484+CROQUIS_DATOS!$C$1485))-(CROQUIS_DATOS!$C$1484))+((CROQUIS_DATOS!$C$1486)*CROQUIS_DATOS!$C$1561-(0)*CROQUIS_DATOS!$C$1561))/CROQUIS_DATOS!$C$1568-0.000001)),1,MOD($A68-1,2)))=1,MIN((CROQUIS_DATOS!$C$1486)*CROQUIS_DATOS!$C$1561,((CROQUIS_DATOS!$C$1484+CROQUIS_DATOS!$C$1485)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8">
        <f>IF(AND(CROQUIS_DATOS!$C$1472=1,CROQUIS_DATOS!$C$1478&gt;=2,((CROQUIS_DATOS!$C$1484+CROQUIS_DATOS!$C$1485))-(CROQUIS_DATOS!$C$1484)&gt;0.5,(CROQUIS_DATOS!$C$1476)-((CROQUIS_DATOS!$C$1486+CROQUIS_DATOS!$C$1487))&gt;0.5),(CROQUIS_DATOS!$C$1566+(IF(IF(MOD(MIN(INT(($A68-1)/2)+1,MAX(1,INT(((((CROQUIS_DATOS!$C$1484+CROQUIS_DATOS!$C$1485))-(CROQUIS_DATOS!$C$1484))+((CROQUIS_DATOS!$C$1476)*CROQUIS_DATOS!$C$1561-((CROQUIS_DATOS!$C$1486+CROQUIS_DATOS!$C$1487))*CROQUIS_DATOS!$C$1561))/CROQUIS_DATOS!$C$1568-0.000001))),2)=1,IF(INT(($A68-1)/2)+1&gt;MAX(1,INT(((((CROQUIS_DATOS!$C$1484+CROQUIS_DATOS!$C$1485))-(CROQUIS_DATOS!$C$1484))+((CROQUIS_DATOS!$C$1476)*CROQUIS_DATOS!$C$1561-((CROQUIS_DATOS!$C$1486+CROQUIS_DATOS!$C$1487))*CROQUIS_DATOS!$C$1561))/CROQUIS_DATOS!$C$1568-0.000001)),1,MOD($A68-1,2)),1-IF(INT(($A68-1)/2)+1&gt;MAX(1,INT(((((CROQUIS_DATOS!$C$1484+CROQUIS_DATOS!$C$1485))-(CROQUIS_DATOS!$C$1484))+((CROQUIS_DATOS!$C$1476)*CROQUIS_DATOS!$C$1561-((CROQUIS_DATOS!$C$1486+CROQUIS_DATOS!$C$1487))*CROQUIS_DATOS!$C$1561))/CROQUIS_DATOS!$C$1568-0.000001)),1,MOD($A68-1,2)))=1,MIN((CROQUIS_DATOS!$C$1476)*CROQUIS_DATOS!$C$1561,((CROQUIS_DATOS!$C$1484+CROQUIS_DATOS!$C$1485)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8">
        <f>IF(AND(CROQUIS_DATOS!$C$1472=1,CROQUIS_DATOS!$C$1478&gt;=2,((CROQUIS_DATOS!$C$1484+CROQUIS_DATOS!$C$1485))-(CROQUIS_DATOS!$C$1484)&gt;0.5,(CROQUIS_DATOS!$C$1476)-((CROQUIS_DATOS!$C$1486+CROQUIS_DATOS!$C$1487))&gt;0.5),(CROQUIS_DATOS!$C$1567+(IF(IF(MOD(MIN(INT(($A68-1)/2)+1,MAX(1,INT(((((CROQUIS_DATOS!$C$1484+CROQUIS_DATOS!$C$1485))-(CROQUIS_DATOS!$C$1484))+((CROQUIS_DATOS!$C$1476)*CROQUIS_DATOS!$C$1561-((CROQUIS_DATOS!$C$1486+CROQUIS_DATOS!$C$1487))*CROQUIS_DATOS!$C$1561))/CROQUIS_DATOS!$C$1568-0.000001))),2)=1,IF(INT(($A68-1)/2)+1&gt;MAX(1,INT(((((CROQUIS_DATOS!$C$1484+CROQUIS_DATOS!$C$1485))-(CROQUIS_DATOS!$C$1484))+((CROQUIS_DATOS!$C$1476)*CROQUIS_DATOS!$C$1561-((CROQUIS_DATOS!$C$1486+CROQUIS_DATOS!$C$1487))*CROQUIS_DATOS!$C$1561))/CROQUIS_DATOS!$C$1568-0.000001)),1,MOD($A68-1,2)),1-IF(INT(($A68-1)/2)+1&gt;MAX(1,INT(((((CROQUIS_DATOS!$C$1484+CROQUIS_DATOS!$C$1485))-(CROQUIS_DATOS!$C$1484))+((CROQUIS_DATOS!$C$1476)*CROQUIS_DATOS!$C$1561-((CROQUIS_DATOS!$C$1486+CROQUIS_DATOS!$C$1487))*CROQUIS_DATOS!$C$1561))/CROQUIS_DATOS!$C$1568-0.000001)),1,MOD($A68-1,2)))=1,MIN((CROQUIS_DATOS!$C$1476)*CROQUIS_DATOS!$C$1561,((CROQUIS_DATOS!$C$1484+CROQUIS_DATOS!$C$1485)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8">
        <f>IF(AND(CROQUIS_DATOS!$C$1472=1,CROQUIS_DATOS!$C$1478&gt;=3,((CROQUIS_DATOS!$C$1489+CROQUIS_DATOS!$C$1490))-(CROQUIS_DATOS!$C$1489)&gt;0.5,(CROQUIS_DATOS!$C$1491)-(0)&gt;0.5),(CROQUIS_DATOS!$C$1566+(IF(IF(MOD(MIN(INT(($A68-1)/2)+1,MAX(1,INT(((((CROQUIS_DATOS!$C$1489+CROQUIS_DATOS!$C$1490))-(CROQUIS_DATOS!$C$1489))+((CROQUIS_DATOS!$C$1491)*CROQUIS_DATOS!$C$1561-(0)*CROQUIS_DATOS!$C$1561))/CROQUIS_DATOS!$C$1568-0.000001))),2)=1,IF(INT(($A68-1)/2)+1&gt;MAX(1,INT(((((CROQUIS_DATOS!$C$1489+CROQUIS_DATOS!$C$1490))-(CROQUIS_DATOS!$C$1489))+((CROQUIS_DATOS!$C$1491)*CROQUIS_DATOS!$C$1561-(0)*CROQUIS_DATOS!$C$1561))/CROQUIS_DATOS!$C$1568-0.000001)),1,MOD($A68-1,2)),1-IF(INT(($A68-1)/2)+1&gt;MAX(1,INT(((((CROQUIS_DATOS!$C$1489+CROQUIS_DATOS!$C$1490))-(CROQUIS_DATOS!$C$1489))+((CROQUIS_DATOS!$C$1491)*CROQUIS_DATOS!$C$1561-(0)*CROQUIS_DATOS!$C$1561))/CROQUIS_DATOS!$C$1568-0.000001)),1,MOD($A68-1,2)))=1,MIN((CROQUIS_DATOS!$C$1491)*CROQUIS_DATOS!$C$1561,((CROQUIS_DATOS!$C$1489+CROQUIS_DATOS!$C$1490)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8">
        <f>IF(AND(CROQUIS_DATOS!$C$1472=1,CROQUIS_DATOS!$C$1478&gt;=3,((CROQUIS_DATOS!$C$1489+CROQUIS_DATOS!$C$1490))-(CROQUIS_DATOS!$C$1489)&gt;0.5,(CROQUIS_DATOS!$C$1491)-(0)&gt;0.5),(CROQUIS_DATOS!$C$1567+(IF(IF(MOD(MIN(INT(($A68-1)/2)+1,MAX(1,INT(((((CROQUIS_DATOS!$C$1489+CROQUIS_DATOS!$C$1490))-(CROQUIS_DATOS!$C$1489))+((CROQUIS_DATOS!$C$1491)*CROQUIS_DATOS!$C$1561-(0)*CROQUIS_DATOS!$C$1561))/CROQUIS_DATOS!$C$1568-0.000001))),2)=1,IF(INT(($A68-1)/2)+1&gt;MAX(1,INT(((((CROQUIS_DATOS!$C$1489+CROQUIS_DATOS!$C$1490))-(CROQUIS_DATOS!$C$1489))+((CROQUIS_DATOS!$C$1491)*CROQUIS_DATOS!$C$1561-(0)*CROQUIS_DATOS!$C$1561))/CROQUIS_DATOS!$C$1568-0.000001)),1,MOD($A68-1,2)),1-IF(INT(($A68-1)/2)+1&gt;MAX(1,INT(((((CROQUIS_DATOS!$C$1489+CROQUIS_DATOS!$C$1490))-(CROQUIS_DATOS!$C$1489))+((CROQUIS_DATOS!$C$1491)*CROQUIS_DATOS!$C$1561-(0)*CROQUIS_DATOS!$C$1561))/CROQUIS_DATOS!$C$1568-0.000001)),1,MOD($A68-1,2)))=1,MIN((CROQUIS_DATOS!$C$1491)*CROQUIS_DATOS!$C$1561,((CROQUIS_DATOS!$C$1489+CROQUIS_DATOS!$C$1490)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8">
        <f>IF(AND(CROQUIS_DATOS!$C$1472=1,CROQUIS_DATOS!$C$1478&gt;=3,((CROQUIS_DATOS!$C$1489+CROQUIS_DATOS!$C$1490))-(CROQUIS_DATOS!$C$1489)&gt;0.5,(CROQUIS_DATOS!$C$1476)-((CROQUIS_DATOS!$C$1491+CROQUIS_DATOS!$C$1492))&gt;0.5),(CROQUIS_DATOS!$C$1566+(IF(IF(MOD(MIN(INT(($A68-1)/2)+1,MAX(1,INT(((((CROQUIS_DATOS!$C$1489+CROQUIS_DATOS!$C$1490))-(CROQUIS_DATOS!$C$1489))+((CROQUIS_DATOS!$C$1476)*CROQUIS_DATOS!$C$1561-((CROQUIS_DATOS!$C$1491+CROQUIS_DATOS!$C$1492))*CROQUIS_DATOS!$C$1561))/CROQUIS_DATOS!$C$1568-0.000001))),2)=1,IF(INT(($A68-1)/2)+1&gt;MAX(1,INT(((((CROQUIS_DATOS!$C$1489+CROQUIS_DATOS!$C$1490))-(CROQUIS_DATOS!$C$1489))+((CROQUIS_DATOS!$C$1476)*CROQUIS_DATOS!$C$1561-((CROQUIS_DATOS!$C$1491+CROQUIS_DATOS!$C$1492))*CROQUIS_DATOS!$C$1561))/CROQUIS_DATOS!$C$1568-0.000001)),1,MOD($A68-1,2)),1-IF(INT(($A68-1)/2)+1&gt;MAX(1,INT(((((CROQUIS_DATOS!$C$1489+CROQUIS_DATOS!$C$1490))-(CROQUIS_DATOS!$C$1489))+((CROQUIS_DATOS!$C$1476)*CROQUIS_DATOS!$C$1561-((CROQUIS_DATOS!$C$1491+CROQUIS_DATOS!$C$1492))*CROQUIS_DATOS!$C$1561))/CROQUIS_DATOS!$C$1568-0.000001)),1,MOD($A68-1,2)))=1,MIN((CROQUIS_DATOS!$C$1476)*CROQUIS_DATOS!$C$1561,((CROQUIS_DATOS!$C$1489+CROQUIS_DATOS!$C$1490)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8">
        <f>IF(AND(CROQUIS_DATOS!$C$1472=1,CROQUIS_DATOS!$C$1478&gt;=3,((CROQUIS_DATOS!$C$1489+CROQUIS_DATOS!$C$1490))-(CROQUIS_DATOS!$C$1489)&gt;0.5,(CROQUIS_DATOS!$C$1476)-((CROQUIS_DATOS!$C$1491+CROQUIS_DATOS!$C$1492))&gt;0.5),(CROQUIS_DATOS!$C$1567+(IF(IF(MOD(MIN(INT(($A68-1)/2)+1,MAX(1,INT(((((CROQUIS_DATOS!$C$1489+CROQUIS_DATOS!$C$1490))-(CROQUIS_DATOS!$C$1489))+((CROQUIS_DATOS!$C$1476)*CROQUIS_DATOS!$C$1561-((CROQUIS_DATOS!$C$1491+CROQUIS_DATOS!$C$1492))*CROQUIS_DATOS!$C$1561))/CROQUIS_DATOS!$C$1568-0.000001))),2)=1,IF(INT(($A68-1)/2)+1&gt;MAX(1,INT(((((CROQUIS_DATOS!$C$1489+CROQUIS_DATOS!$C$1490))-(CROQUIS_DATOS!$C$1489))+((CROQUIS_DATOS!$C$1476)*CROQUIS_DATOS!$C$1561-((CROQUIS_DATOS!$C$1491+CROQUIS_DATOS!$C$1492))*CROQUIS_DATOS!$C$1561))/CROQUIS_DATOS!$C$1568-0.000001)),1,MOD($A68-1,2)),1-IF(INT(($A68-1)/2)+1&gt;MAX(1,INT(((((CROQUIS_DATOS!$C$1489+CROQUIS_DATOS!$C$1490))-(CROQUIS_DATOS!$C$1489))+((CROQUIS_DATOS!$C$1476)*CROQUIS_DATOS!$C$1561-((CROQUIS_DATOS!$C$1491+CROQUIS_DATOS!$C$1492))*CROQUIS_DATOS!$C$1561))/CROQUIS_DATOS!$C$1568-0.000001)),1,MOD($A68-1,2)))=1,MIN((CROQUIS_DATOS!$C$1476)*CROQUIS_DATOS!$C$1561,((CROQUIS_DATOS!$C$1489+CROQUIS_DATOS!$C$1490)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8">
        <f>IF(AND(CROQUIS_DATOS!$C$1472=1,CROQUIS_DATOS!$C$1478&gt;=4,((CROQUIS_DATOS!$C$1494+CROQUIS_DATOS!$C$1495))-(CROQUIS_DATOS!$C$1494)&gt;0.5,(CROQUIS_DATOS!$C$1496)-(0)&gt;0.5),(CROQUIS_DATOS!$C$1566+(IF(IF(MOD(MIN(INT(($A68-1)/2)+1,MAX(1,INT(((((CROQUIS_DATOS!$C$1494+CROQUIS_DATOS!$C$1495))-(CROQUIS_DATOS!$C$1494))+((CROQUIS_DATOS!$C$1496)*CROQUIS_DATOS!$C$1561-(0)*CROQUIS_DATOS!$C$1561))/CROQUIS_DATOS!$C$1568-0.000001))),2)=1,IF(INT(($A68-1)/2)+1&gt;MAX(1,INT(((((CROQUIS_DATOS!$C$1494+CROQUIS_DATOS!$C$1495))-(CROQUIS_DATOS!$C$1494))+((CROQUIS_DATOS!$C$1496)*CROQUIS_DATOS!$C$1561-(0)*CROQUIS_DATOS!$C$1561))/CROQUIS_DATOS!$C$1568-0.000001)),1,MOD($A68-1,2)),1-IF(INT(($A68-1)/2)+1&gt;MAX(1,INT(((((CROQUIS_DATOS!$C$1494+CROQUIS_DATOS!$C$1495))-(CROQUIS_DATOS!$C$1494))+((CROQUIS_DATOS!$C$1496)*CROQUIS_DATOS!$C$1561-(0)*CROQUIS_DATOS!$C$1561))/CROQUIS_DATOS!$C$1568-0.000001)),1,MOD($A68-1,2)))=1,MIN((CROQUIS_DATOS!$C$1496)*CROQUIS_DATOS!$C$1561,((CROQUIS_DATOS!$C$1494+CROQUIS_DATOS!$C$1495)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8">
        <f>IF(AND(CROQUIS_DATOS!$C$1472=1,CROQUIS_DATOS!$C$1478&gt;=4,((CROQUIS_DATOS!$C$1494+CROQUIS_DATOS!$C$1495))-(CROQUIS_DATOS!$C$1494)&gt;0.5,(CROQUIS_DATOS!$C$1496)-(0)&gt;0.5),(CROQUIS_DATOS!$C$1567+(IF(IF(MOD(MIN(INT(($A68-1)/2)+1,MAX(1,INT(((((CROQUIS_DATOS!$C$1494+CROQUIS_DATOS!$C$1495))-(CROQUIS_DATOS!$C$1494))+((CROQUIS_DATOS!$C$1496)*CROQUIS_DATOS!$C$1561-(0)*CROQUIS_DATOS!$C$1561))/CROQUIS_DATOS!$C$1568-0.000001))),2)=1,IF(INT(($A68-1)/2)+1&gt;MAX(1,INT(((((CROQUIS_DATOS!$C$1494+CROQUIS_DATOS!$C$1495))-(CROQUIS_DATOS!$C$1494))+((CROQUIS_DATOS!$C$1496)*CROQUIS_DATOS!$C$1561-(0)*CROQUIS_DATOS!$C$1561))/CROQUIS_DATOS!$C$1568-0.000001)),1,MOD($A68-1,2)),1-IF(INT(($A68-1)/2)+1&gt;MAX(1,INT(((((CROQUIS_DATOS!$C$1494+CROQUIS_DATOS!$C$1495))-(CROQUIS_DATOS!$C$1494))+((CROQUIS_DATOS!$C$1496)*CROQUIS_DATOS!$C$1561-(0)*CROQUIS_DATOS!$C$1561))/CROQUIS_DATOS!$C$1568-0.000001)),1,MOD($A68-1,2)))=1,MIN((CROQUIS_DATOS!$C$1496)*CROQUIS_DATOS!$C$1561,((CROQUIS_DATOS!$C$1494+CROQUIS_DATOS!$C$1495)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8">
        <f>IF(AND(CROQUIS_DATOS!$C$1472=1,CROQUIS_DATOS!$C$1478&gt;=4,((CROQUIS_DATOS!$C$1494+CROQUIS_DATOS!$C$1495))-(CROQUIS_DATOS!$C$1494)&gt;0.5,(CROQUIS_DATOS!$C$1476)-((CROQUIS_DATOS!$C$1496+CROQUIS_DATOS!$C$1497))&gt;0.5),(CROQUIS_DATOS!$C$1566+(IF(IF(MOD(MIN(INT(($A68-1)/2)+1,MAX(1,INT(((((CROQUIS_DATOS!$C$1494+CROQUIS_DATOS!$C$1495))-(CROQUIS_DATOS!$C$1494))+((CROQUIS_DATOS!$C$1476)*CROQUIS_DATOS!$C$1561-((CROQUIS_DATOS!$C$1496+CROQUIS_DATOS!$C$1497))*CROQUIS_DATOS!$C$1561))/CROQUIS_DATOS!$C$1568-0.000001))),2)=1,IF(INT(($A68-1)/2)+1&gt;MAX(1,INT(((((CROQUIS_DATOS!$C$1494+CROQUIS_DATOS!$C$1495))-(CROQUIS_DATOS!$C$1494))+((CROQUIS_DATOS!$C$1476)*CROQUIS_DATOS!$C$1561-((CROQUIS_DATOS!$C$1496+CROQUIS_DATOS!$C$1497))*CROQUIS_DATOS!$C$1561))/CROQUIS_DATOS!$C$1568-0.000001)),1,MOD($A68-1,2)),1-IF(INT(($A68-1)/2)+1&gt;MAX(1,INT(((((CROQUIS_DATOS!$C$1494+CROQUIS_DATOS!$C$1495))-(CROQUIS_DATOS!$C$1494))+((CROQUIS_DATOS!$C$1476)*CROQUIS_DATOS!$C$1561-((CROQUIS_DATOS!$C$1496+CROQUIS_DATOS!$C$1497))*CROQUIS_DATOS!$C$1561))/CROQUIS_DATOS!$C$1568-0.000001)),1,MOD($A68-1,2)))=1,MIN((CROQUIS_DATOS!$C$1476)*CROQUIS_DATOS!$C$1561,((CROQUIS_DATOS!$C$1494+CROQUIS_DATOS!$C$1495)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8">
        <f>IF(AND(CROQUIS_DATOS!$C$1472=1,CROQUIS_DATOS!$C$1478&gt;=4,((CROQUIS_DATOS!$C$1494+CROQUIS_DATOS!$C$1495))-(CROQUIS_DATOS!$C$1494)&gt;0.5,(CROQUIS_DATOS!$C$1476)-((CROQUIS_DATOS!$C$1496+CROQUIS_DATOS!$C$1497))&gt;0.5),(CROQUIS_DATOS!$C$1567+(IF(IF(MOD(MIN(INT(($A68-1)/2)+1,MAX(1,INT(((((CROQUIS_DATOS!$C$1494+CROQUIS_DATOS!$C$1495))-(CROQUIS_DATOS!$C$1494))+((CROQUIS_DATOS!$C$1476)*CROQUIS_DATOS!$C$1561-((CROQUIS_DATOS!$C$1496+CROQUIS_DATOS!$C$1497))*CROQUIS_DATOS!$C$1561))/CROQUIS_DATOS!$C$1568-0.000001))),2)=1,IF(INT(($A68-1)/2)+1&gt;MAX(1,INT(((((CROQUIS_DATOS!$C$1494+CROQUIS_DATOS!$C$1495))-(CROQUIS_DATOS!$C$1494))+((CROQUIS_DATOS!$C$1476)*CROQUIS_DATOS!$C$1561-((CROQUIS_DATOS!$C$1496+CROQUIS_DATOS!$C$1497))*CROQUIS_DATOS!$C$1561))/CROQUIS_DATOS!$C$1568-0.000001)),1,MOD($A68-1,2)),1-IF(INT(($A68-1)/2)+1&gt;MAX(1,INT(((((CROQUIS_DATOS!$C$1494+CROQUIS_DATOS!$C$1495))-(CROQUIS_DATOS!$C$1494))+((CROQUIS_DATOS!$C$1476)*CROQUIS_DATOS!$C$1561-((CROQUIS_DATOS!$C$1496+CROQUIS_DATOS!$C$1497))*CROQUIS_DATOS!$C$1561))/CROQUIS_DATOS!$C$1568-0.000001)),1,MOD($A68-1,2)))=1,MIN((CROQUIS_DATOS!$C$1476)*CROQUIS_DATOS!$C$1561,((CROQUIS_DATOS!$C$1494+CROQUIS_DATOS!$C$1495)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8">
        <f>IF(AND(CROQUIS_DATOS!$C$1472=1,1),(CROQUIS_DATOS!$C$1571+(CHOOSE(MIN(MAX(IF(INT(($A68-1)/5)+1&gt;CROQUIS_DATOS!$C$1525,5,MOD($A68-1,5)+1),1),5),(INDEX($E$8:$E$23,MIN(INT(($A68-1)/5)+1,CROQUIS_DATOS!$C$1525))-INDEX($F$8:$F$23,MIN(INT(($A68-1)/5)+1,CROQUIS_DATOS!$C$1525))/2),(INDEX($E$8:$E$23,MIN(INT(($A68-1)/5)+1,CROQUIS_DATOS!$C$1525))+INDEX($F$8:$F$23,MIN(INT(($A68-1)/5)+1,CROQUIS_DATOS!$C$1525))/2),(INDEX($E$8:$E$23,MIN(INT(($A68-1)/5)+1,CROQUIS_DATOS!$C$1525))+INDEX($F$8:$F$23,MIN(INT(($A68-1)/5)+1,CROQUIS_DATOS!$C$1525))/2),(INDEX($E$8:$E$23,MIN(INT(($A68-1)/5)+1,CROQUIS_DATOS!$C$1525))-INDEX($F$8:$F$23,MIN(INT(($A68-1)/5)+1,CROQUIS_DATOS!$C$1525))/2),(INDEX($E$8:$E$23,MIN(INT(($A68-1)/5)+1,CROQUIS_DATOS!$C$1525))-INDEX($F$8:$F$23,MIN(INT(($A68-1)/5)+1,CROQUIS_DATOS!$C$1525))/2)))*CROQUIS_DATOS!$C$1569),-1000)</f>
        <v>95.24</v>
      </c>
      <c r="GE68">
        <f>IF(AND(CROQUIS_DATOS!$C$1472=1,1),(CROQUIS_DATOS!$C$1572+(CHOOSE(MIN(MAX(IF(INT(($A68-1)/5)+1&gt;CROQUIS_DATOS!$C$1525,5,MOD($A68-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8">
        <f>IF(AND(CROQUIS_DATOS!$C$1472=1,1),IF(INT(($A68-1)/4)+1&lt;=CROQUIS_DATOS!$C$1525,(CROQUIS_DATOS!$C$1571+((INDEX($E$8:$E$23,MIN(INT(($A68-1)/4)+1,16))+IF(OR(MOD($A68-1,4)=0,MOD($A68-1,4)=3),-1,1)*(INDEX($F$8:$F$23,MIN(INT(($A68-1)/4)+1,16))/2-(CROQUIS_DATOS!$C$1530+CROQUIS_DATOS!$C$1532+IF(OR(INT(($A68-1)/4)+1=1,INT(($A68-1)/4)+1=CROQUIS_DATOS!$C$1525),CROQUIS_DATOS!$C$1534,CROQUIS_DATOS!$C$1531)/2))))*CROQUIS_DATOS!$C$1569),-1000),-1000)</f>
        <v>-1000</v>
      </c>
      <c r="GG68">
        <f>IF(AND(CROQUIS_DATOS!$C$1472=1,1),IF(INT(($A68-1)/4)+1&lt;=CROQUIS_DATOS!$C$1525,(CROQUIS_DATOS!$C$1572+((CROQUIS_DATOS!$C$1477/2+IF(MOD($A68-1,4)&lt;2,-1,1)*(CROQUIS_DATOS!$C$1527/2-(CROQUIS_DATOS!$C$1530+CROQUIS_DATOS!$C$1532+IF(OR(INT(($A68-1)/4)+1=1,INT(($A68-1)/4)+1=CROQUIS_DATOS!$C$1525),CROQUIS_DATOS!$C$1534,CROQUIS_DATOS!$C$1531)/2))))*CROQUIS_DATOS!$C$1569*CROQUIS_DATOS!$C$1570),-1000),-1000)</f>
        <v>-1000</v>
      </c>
    </row>
    <row r="69">
      <c r="A69" t="n">
        <v>62</v>
      </c>
      <c r="J69">
        <f>IF(AND(CROQUIS_DATOS!$C$1472=1,1),(CROQUIS_DATOS!$C$1563+(CHOOSE(MIN(MAX(IF(INT(($A69-1)/4)+1&gt;CROQUIS_DATOS!$C$1525,4,MOD($A69-1,4)+1),1),4),(INDEX($E$8:$E$23,MIN(INT(($A69-1)/4)+1,CROQUIS_DATOS!$C$1525))-INDEX($F$8:$F$23,MIN(INT(($A69-1)/4)+1,CROQUIS_DATOS!$C$1525))/2),(INDEX($E$8:$E$23,MIN(INT(($A69-1)/4)+1,CROQUIS_DATOS!$C$1525))-INDEX($F$8:$F$23,MIN(INT(($A69-1)/4)+1,CROQUIS_DATOS!$C$1525))/2),(INDEX($E$8:$E$23,MIN(INT(($A69-1)/4)+1,CROQUIS_DATOS!$C$1525))+INDEX($F$8:$F$23,MIN(INT(($A69-1)/4)+1,CROQUIS_DATOS!$C$1525))/2),(INDEX($E$8:$E$23,MIN(INT(($A69-1)/4)+1,CROQUIS_DATOS!$C$1525))+INDEX($F$8:$F$23,MIN(INT(($A69-1)/4)+1,CROQUIS_DATOS!$C$1525))/2)))*CROQUIS_DATOS!$C$1562),-1000)</f>
        <v>84.9137931034483</v>
      </c>
      <c r="K69">
        <f>IF(AND(CROQUIS_DATOS!$C$1472=1,1),(CROQUIS_DATOS!$C$1564+(CHOOSE(MIN(MAX(IF(INT(($A69-1)/4)+1&gt;CROQUIS_DATOS!$C$1525,4,MOD($A69-1,4)+1),1),4),0,CROQUIS_DATOS!$C$1476,CROQUIS_DATOS!$C$1476,0))*CROQUIS_DATOS!$C$1561*CROQUIS_DATOS!$C$1562),-1000)</f>
        <v>5.29310344827586</v>
      </c>
      <c r="L69">
        <f>IF(AND(CROQUIS_DATOS!$C$1472=1,1),(CROQUIS_DATOS!$C$1563+(CHOOSE(MIN(MAX(IF(INT(($A69-1)/4)+1&gt;CROQUIS_DATOS!$C$1525,4,MOD($A69-1,4)+1),1),4),((INDEX($E$8:$E$23,MIN(INT(($A69-1)/4)+1,CROQUIS_DATOS!$C$1525))-INDEX($F$8:$F$23,MIN(INT(($A69-1)/4)+1,CROQUIS_DATOS!$C$1525))/2)+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,((INDEX($E$8:$E$23,MIN(INT(($A69-1)/4)+1,CROQUIS_DATOS!$C$1525))-INDEX($F$8:$F$23,MIN(INT(($A69-1)/4)+1,CROQUIS_DATOS!$C$1525))/2)+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,((INDEX($E$8:$E$23,MIN(INT(($A69-1)/4)+1,CROQUIS_DATOS!$C$1525))+INDEX($F$8:$F$23,MIN(INT(($A69-1)/4)+1,CROQUIS_DATOS!$C$1525))/2)-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,((INDEX($E$8:$E$23,MIN(INT(($A69-1)/4)+1,CROQUIS_DATOS!$C$1525))+INDEX($F$8:$F$23,MIN(INT(($A69-1)/4)+1,CROQUIS_DATOS!$C$1525))/2)-MIN((CROQUIS_DATOS!$C$1530+CROQUIS_DATOS!$C$1532+IF(OR(MIN(INT(($A69-1)/4)+1,CROQUIS_DATOS!$C$1525)=1,MIN(INT(($A69-1)/4)+1,CROQUIS_DATOS!$C$1525)=CROQUIS_DATOS!$C$1525),CROQUIS_DATOS!$C$1534,CROQUIS_DATOS!$C$1531)/2),INDEX($F$8:$F$23,MIN(INT(($A69-1)/4)+1,CROQUIS_DATOS!$C$1525))/2-0.5))))*CROQUIS_DATOS!$C$1562),-1000)</f>
        <v>84.4792560344828</v>
      </c>
      <c r="M69">
        <f>IF(AND(CROQUIS_DATOS!$C$1472=1,1),(CROQUIS_DATOS!$C$1564+(CHOOSE(MIN(MAX(IF(INT(($A69-1)/4)+1&gt;CROQUIS_DATOS!$C$1525,4,MOD($A69-1,4)+1),1),4),CROQUIS_DATOS!$C$1543,INDEX($I$8:$I$23,MIN(INT(($A69-1)/4)+1,CROQUIS_DATOS!$C$1525)),INDEX($I$8:$I$23,MIN(INT(($A69-1)/4)+1,CROQUIS_DATOS!$C$1525)),CROQUIS_DATOS!$C$1543))*CROQUIS_DATOS!$C$1561*CROQUIS_DATOS!$C$1562),-1000)</f>
        <v>42.5654629310345</v>
      </c>
      <c r="N69">
        <f>IF(AND(CROQUIS_DATOS!$C$1472=1,1),(CROQUIS_DATOS!$C$1563+(IF(IF(IF(INT(($A69-1)/70)+1&gt;CROQUIS_DATOS!$C$1525,70,MOD($A69-1,70)+1)=1,0,IF(IF(INT(($A69-1)/70)+1&gt;CROQUIS_DATOS!$C$1525,70,MOD($A69-1,70)+1)&gt;2*CROQUIS_DATOS!$C$1541+1,IF(MOD(CROQUIS_DATOS!$C$1541,2)=1,1,0),IF(MOD(MIN(INT((IF(INT(($A69-1)/70)+1&gt;CROQUIS_DATOS!$C$1525,70,MOD($A69-1,70)+1)-2)/2)+1,CROQUIS_DATOS!$C$1541),2)=1,IF(MOD(IF(INT(($A69-1)/70)+1&gt;CROQUIS_DATOS!$C$1525,70,MOD($A69-1,70)+1)-2,2)=0,0,1),IF(MOD(IF(INT(($A69-1)/70)+1&gt;CROQUIS_DATOS!$C$1525,70,MOD($A69-1,70)+1)-2,2)=0,1,0))))=0,(INDEX($E$8:$E$23,MIN(INT(($A69-1)/70)+1,CROQUIS_DATOS!$C$1525))-INDEX($F$8:$F$23,MIN(INT(($A69-1)/70)+1,CROQUIS_DATOS!$C$1525))/2),(INDEX($E$8:$E$23,MIN(INT(($A69-1)/70)+1,CROQUIS_DATOS!$C$1525))+INDEX($F$8:$F$23,MIN(INT(($A69-1)/70)+1,CROQUIS_DATOS!$C$1525))/2)))*CROQUIS_DATOS!$C$1562),-1000)</f>
        <v>15.0862068965517</v>
      </c>
      <c r="O69">
        <f>IF(AND(CROQUIS_DATOS!$C$1472=1,1),(CROQUIS_DATOS!$C$1564+(IF(OR(IF(INT(($A69-1)/70)+1&gt;CROQUIS_DATOS!$C$1525,70,MOD($A69-1,70)+1)=1,IF(INT(($A69-1)/70)+1&gt;CROQUIS_DATOS!$C$1525,70,MOD($A69-1,70)+1)&gt;2*CROQUIS_DATOS!$C$1541+1),CROQUIS_DATOS!$C$1476,INDEX($H$8:$H$41,MIN(INT((IF(INT(($A69-1)/70)+1&gt;CROQUIS_DATOS!$C$1525,70,MOD($A69-1,70)+1)-2)/2)+1,CROQUIS_DATOS!$C$1541))))*CROQUIS_DATOS!$C$1561*CROQUIS_DATOS!$C$1562),-1000)</f>
        <v>40.2068965517241</v>
      </c>
      <c r="P69">
        <f>IF(AND(CROQUIS_DATOS!$C$1472=1,CROQUIS_DATOS!$C$1555=1),(CROQUIS_DATOS!$C$1563+(IF(IF(OR(MOD($A69-1,62)+1=1,IF(CHOOSE(MIN(MAX(MIN(INT(($A69-1)/62)+1,5),1),5),CROQUIS_DATOS!$C$1501,CROQUIS_DATOS!$C$1505,CROQUIS_DATOS!$C$1509,CROQUIS_DATOS!$C$1513,CROQUIS_DATOS!$C$1517)=1,CROQUIS_DATOS!$C$1557,0)=0),0,IF(MOD($A69-1,62)+1&gt;2*IF(CHOOSE(MIN(MAX(MIN(INT(($A69-1)/62)+1,5),1),5),CROQUIS_DATOS!$C$1501,CROQUIS_DATOS!$C$1505,CROQUIS_DATOS!$C$1509,CROQUIS_DATOS!$C$1513,CROQUIS_DATOS!$C$1517)=1,CROQUIS_DATOS!$C$1557,0)+1,IF(MOD(IF(CHOOSE(MIN(MAX(MIN(INT(($A69-1)/62)+1,5),1),5),CROQUIS_DATOS!$C$1501,CROQUIS_DATOS!$C$1505,CROQUIS_DATOS!$C$1509,CROQUIS_DATOS!$C$1513,CROQUIS_DATOS!$C$1517)=1,CROQUIS_DATOS!$C$1557,0),2)=1,1,0),IF(MOD(MIN(INT((MOD($A69-1,62)+1-2)/2)+1,MAX(IF(CHOOSE(MIN(MAX(MIN(INT(($A69-1)/62)+1,5),1),5),CROQUIS_DATOS!$C$1501,CROQUIS_DATOS!$C$1505,CROQUIS_DATOS!$C$1509,CROQUIS_DATOS!$C$1513,CROQUIS_DATOS!$C$1517)=1,CROQUIS_DATOS!$C$1557,0),1)),2)=1,IF(MOD(MOD($A69-1,62)+1-2,2)=0,0,1),IF(MOD(MOD($A69-1,62)+1-2,2)=0,1,0))))=0,(CHOOSE(MIN(MAX(MIN(INT(($A69-1)/62)+1,5),1),5),CROQUIS_DATOS!$C$1499,CROQUIS_DATOS!$C$1503,CROQUIS_DATOS!$C$1507,CROQUIS_DATOS!$C$1511,CROQUIS_DATOS!$C$1515)+IF(CHOOSE(MIN(MAX(MIN(INT(($A69-1)/62)+1,5),1),5),CROQUIS_DATOS!$C$1501,CROQUIS_DATOS!$C$1505,CROQUIS_DATOS!$C$1509,CROQUIS_DATOS!$C$1513,CROQUIS_DATOS!$C$1517)=1,CROQUIS_DATOS!$C$1526,0)),(CHOOSE(MIN(MAX(MIN(INT(($A69-1)/62)+1,5),1),5),CROQUIS_DATOS!$C$1499,CROQUIS_DATOS!$C$1503,CROQUIS_DATOS!$C$1507,CROQUIS_DATOS!$C$1511,CROQUIS_DATOS!$C$1515)+CHOOSE(MIN(MAX(MIN(INT(($A69-1)/62)+1,5),1),5),CROQUIS_DATOS!$C$1500,CROQUIS_DATOS!$C$1504,CROQUIS_DATOS!$C$1508,CROQUIS_DATOS!$C$1512,CROQUIS_DATOS!$C$1516)-IF(CHOOSE(MIN(MAX(MIN(INT(($A69-1)/62)+1,5),1),5),CROQUIS_DATOS!$C$1501,CROQUIS_DATOS!$C$1505,CROQUIS_DATOS!$C$1509,CROQUIS_DATOS!$C$1513,CROQUIS_DATOS!$C$1517)=1,CROQUIS_DATOS!$C$1526,0))))*CROQUIS_DATOS!$C$1562),-1000)</f>
        <v>-1000</v>
      </c>
      <c r="Q69">
        <f>IF(AND(CROQUIS_DATOS!$C$1472=1,CROQUIS_DATOS!$C$1555=1),(CROQUIS_DATOS!$C$1564+(IF(OR(OR(MOD($A69-1,62)+1=1,IF(CHOOSE(MIN(MAX(MIN(INT(($A69-1)/62)+1,5),1),5),CROQUIS_DATOS!$C$1501,CROQUIS_DATOS!$C$1505,CROQUIS_DATOS!$C$1509,CROQUIS_DATOS!$C$1513,CROQUIS_DATOS!$C$1517)=1,CROQUIS_DATOS!$C$1557,0)=0),MOD($A69-1,62)+1&gt;2*IF(CHOOSE(MIN(MAX(MIN(INT(($A69-1)/62)+1,5),1),5),CROQUIS_DATOS!$C$1501,CROQUIS_DATOS!$C$1505,CROQUIS_DATOS!$C$1509,CROQUIS_DATOS!$C$1513,CROQUIS_DATOS!$C$1517)=1,CROQUIS_DATOS!$C$1557,0)+1),CROQUIS_DATOS!$C$1476,MIN(INT((MOD($A69-1,62)+1-2)/2)+1,MAX(IF(CHOOSE(MIN(MAX(MIN(INT(($A69-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69">
        <f>IF(AND(CROQUIS_DATOS!$C$1472=1,1),(CROQUIS_DATOS!$C$1563+(MIN(INT(($A69-1)/2)+1,CROQUIS_DATOS!$C$1558)*CROQUIS_DATOS!$C$1559)*CROQUIS_DATOS!$C$1562),-1000)</f>
        <v>82.2281167108753</v>
      </c>
      <c r="U69">
        <f>IF(AND(CROQUIS_DATOS!$C$1472=1,1),(CROQUIS_DATOS!$C$1564+(IF(INT(($A69-1)/2)+1&gt;CROQUIS_DATOS!$C$1558,IF(MOD(CROQUIS_DATOS!$C$1558,2)=1,CROQUIS_DATOS!$C$1476+CROQUIS_DATOS!$C$1528,CROQUIS_DATOS!$C$1476),IF(IF(MOD(MIN(INT(($A69-1)/2)+1,CROQUIS_DATOS!$C$1558),2)=1,MOD($A69-1,2),1-MOD($A69-1,2))=1,CROQUIS_DATOS!$C$1476+CROQUIS_DATOS!$C$1528,CROQUIS_DATOS!$C$1476)))*CROQUIS_DATOS!$C$1561*CROQUIS_DATOS!$C$1562),-1000)</f>
        <v>43</v>
      </c>
      <c r="BZ69">
        <f>IF(AND(CROQUIS_DATOS!$C$1472=1,CROQUIS_DATOS!$C$1500&gt;0,((CROQUIS_DATOS!$C$1499+CROQUIS_DATOS!$C$1500))-(CROQUIS_DATOS!$C$1499)&gt;0.5,(CROQUIS_DATOS!$C$1476)-(0)&gt;0.5),(CROQUIS_DATOS!$C$1566+(IF(IF(MOD(MIN(INT(($A69-1)/2)+1,MAX(1,INT(((((CROQUIS_DATOS!$C$1499+CROQUIS_DATOS!$C$1500))-(CROQUIS_DATOS!$C$1499))+((CROQUIS_DATOS!$C$1476)*CROQUIS_DATOS!$C$1561-(0)*CROQUIS_DATOS!$C$1561))/CROQUIS_DATOS!$C$1568-0.000001))),2)=1,IF(INT(($A69-1)/2)+1&gt;MAX(1,INT(((((CROQUIS_DATOS!$C$1499+CROQUIS_DATOS!$C$1500))-(CROQUIS_DATOS!$C$1499))+((CROQUIS_DATOS!$C$1476)*CROQUIS_DATOS!$C$1561-(0)*CROQUIS_DATOS!$C$1561))/CROQUIS_DATOS!$C$1568-0.000001)),1,MOD($A69-1,2)),1-IF(INT(($A69-1)/2)+1&gt;MAX(1,INT(((((CROQUIS_DATOS!$C$1499+CROQUIS_DATOS!$C$1500))-(CROQUIS_DATOS!$C$1499))+((CROQUIS_DATOS!$C$1476)*CROQUIS_DATOS!$C$1561-(0)*CROQUIS_DATOS!$C$1561))/CROQUIS_DATOS!$C$1568-0.000001)),1,MOD($A69-1,2)))=1,MIN((CROQUIS_DATOS!$C$1476)*CROQUIS_DATOS!$C$1561,((CROQUIS_DATOS!$C$1499+CROQUIS_DATOS!$C$1500)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69">
        <f>IF(AND(CROQUIS_DATOS!$C$1472=1,CROQUIS_DATOS!$C$1500&gt;0,((CROQUIS_DATOS!$C$1499+CROQUIS_DATOS!$C$1500))-(CROQUIS_DATOS!$C$1499)&gt;0.5,(CROQUIS_DATOS!$C$1476)-(0)&gt;0.5),(CROQUIS_DATOS!$C$1567+(IF(IF(MOD(MIN(INT(($A69-1)/2)+1,MAX(1,INT(((((CROQUIS_DATOS!$C$1499+CROQUIS_DATOS!$C$1500))-(CROQUIS_DATOS!$C$1499))+((CROQUIS_DATOS!$C$1476)*CROQUIS_DATOS!$C$1561-(0)*CROQUIS_DATOS!$C$1561))/CROQUIS_DATOS!$C$1568-0.000001))),2)=1,IF(INT(($A69-1)/2)+1&gt;MAX(1,INT(((((CROQUIS_DATOS!$C$1499+CROQUIS_DATOS!$C$1500))-(CROQUIS_DATOS!$C$1499))+((CROQUIS_DATOS!$C$1476)*CROQUIS_DATOS!$C$1561-(0)*CROQUIS_DATOS!$C$1561))/CROQUIS_DATOS!$C$1568-0.000001)),1,MOD($A69-1,2)),1-IF(INT(($A69-1)/2)+1&gt;MAX(1,INT(((((CROQUIS_DATOS!$C$1499+CROQUIS_DATOS!$C$1500))-(CROQUIS_DATOS!$C$1499))+((CROQUIS_DATOS!$C$1476)*CROQUIS_DATOS!$C$1561-(0)*CROQUIS_DATOS!$C$1561))/CROQUIS_DATOS!$C$1568-0.000001)),1,MOD($A69-1,2)))=1,MIN((CROQUIS_DATOS!$C$1476)*CROQUIS_DATOS!$C$1561,((CROQUIS_DATOS!$C$1499+CROQUIS_DATOS!$C$1500)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69-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69">
        <f>IF(AND(CROQUIS_DATOS!$C$1472=1,CROQUIS_DATOS!$C$1504&gt;0,((CROQUIS_DATOS!$C$1503+CROQUIS_DATOS!$C$1504))-(CROQUIS_DATOS!$C$1503)&gt;0.5,(CROQUIS_DATOS!$C$1476)-(0)&gt;0.5),(CROQUIS_DATOS!$C$1566+(IF(IF(MOD(MIN(INT(($A69-1)/2)+1,MAX(1,INT(((((CROQUIS_DATOS!$C$1503+CROQUIS_DATOS!$C$1504))-(CROQUIS_DATOS!$C$1503))+((CROQUIS_DATOS!$C$1476)*CROQUIS_DATOS!$C$1561-(0)*CROQUIS_DATOS!$C$1561))/CROQUIS_DATOS!$C$1568-0.000001))),2)=1,IF(INT(($A69-1)/2)+1&gt;MAX(1,INT(((((CROQUIS_DATOS!$C$1503+CROQUIS_DATOS!$C$1504))-(CROQUIS_DATOS!$C$1503))+((CROQUIS_DATOS!$C$1476)*CROQUIS_DATOS!$C$1561-(0)*CROQUIS_DATOS!$C$1561))/CROQUIS_DATOS!$C$1568-0.000001)),1,MOD($A69-1,2)),1-IF(INT(($A69-1)/2)+1&gt;MAX(1,INT(((((CROQUIS_DATOS!$C$1503+CROQUIS_DATOS!$C$1504))-(CROQUIS_DATOS!$C$1503))+((CROQUIS_DATOS!$C$1476)*CROQUIS_DATOS!$C$1561-(0)*CROQUIS_DATOS!$C$1561))/CROQUIS_DATOS!$C$1568-0.000001)),1,MOD($A69-1,2)))=1,MIN((CROQUIS_DATOS!$C$1476)*CROQUIS_DATOS!$C$1561,((CROQUIS_DATOS!$C$1503+CROQUIS_DATOS!$C$1504)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69">
        <f>IF(AND(CROQUIS_DATOS!$C$1472=1,CROQUIS_DATOS!$C$1504&gt;0,((CROQUIS_DATOS!$C$1503+CROQUIS_DATOS!$C$1504))-(CROQUIS_DATOS!$C$1503)&gt;0.5,(CROQUIS_DATOS!$C$1476)-(0)&gt;0.5),(CROQUIS_DATOS!$C$1567+(IF(IF(MOD(MIN(INT(($A69-1)/2)+1,MAX(1,INT(((((CROQUIS_DATOS!$C$1503+CROQUIS_DATOS!$C$1504))-(CROQUIS_DATOS!$C$1503))+((CROQUIS_DATOS!$C$1476)*CROQUIS_DATOS!$C$1561-(0)*CROQUIS_DATOS!$C$1561))/CROQUIS_DATOS!$C$1568-0.000001))),2)=1,IF(INT(($A69-1)/2)+1&gt;MAX(1,INT(((((CROQUIS_DATOS!$C$1503+CROQUIS_DATOS!$C$1504))-(CROQUIS_DATOS!$C$1503))+((CROQUIS_DATOS!$C$1476)*CROQUIS_DATOS!$C$1561-(0)*CROQUIS_DATOS!$C$1561))/CROQUIS_DATOS!$C$1568-0.000001)),1,MOD($A69-1,2)),1-IF(INT(($A69-1)/2)+1&gt;MAX(1,INT(((((CROQUIS_DATOS!$C$1503+CROQUIS_DATOS!$C$1504))-(CROQUIS_DATOS!$C$1503))+((CROQUIS_DATOS!$C$1476)*CROQUIS_DATOS!$C$1561-(0)*CROQUIS_DATOS!$C$1561))/CROQUIS_DATOS!$C$1568-0.000001)),1,MOD($A69-1,2)))=1,MIN((CROQUIS_DATOS!$C$1476)*CROQUIS_DATOS!$C$1561,((CROQUIS_DATOS!$C$1503+CROQUIS_DATOS!$C$1504)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69-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69">
        <f>IF(AND(CROQUIS_DATOS!$C$1472=1,CROQUIS_DATOS!$C$1508&gt;0,((CROQUIS_DATOS!$C$1507+CROQUIS_DATOS!$C$1508))-(CROQUIS_DATOS!$C$1507)&gt;0.5,(CROQUIS_DATOS!$C$1476)-(0)&gt;0.5),(CROQUIS_DATOS!$C$1566+(IF(IF(MOD(MIN(INT(($A69-1)/2)+1,MAX(1,INT(((((CROQUIS_DATOS!$C$1507+CROQUIS_DATOS!$C$1508))-(CROQUIS_DATOS!$C$1507))+((CROQUIS_DATOS!$C$1476)*CROQUIS_DATOS!$C$1561-(0)*CROQUIS_DATOS!$C$1561))/CROQUIS_DATOS!$C$1568-0.000001))),2)=1,IF(INT(($A69-1)/2)+1&gt;MAX(1,INT(((((CROQUIS_DATOS!$C$1507+CROQUIS_DATOS!$C$1508))-(CROQUIS_DATOS!$C$1507))+((CROQUIS_DATOS!$C$1476)*CROQUIS_DATOS!$C$1561-(0)*CROQUIS_DATOS!$C$1561))/CROQUIS_DATOS!$C$1568-0.000001)),1,MOD($A69-1,2)),1-IF(INT(($A69-1)/2)+1&gt;MAX(1,INT(((((CROQUIS_DATOS!$C$1507+CROQUIS_DATOS!$C$1508))-(CROQUIS_DATOS!$C$1507))+((CROQUIS_DATOS!$C$1476)*CROQUIS_DATOS!$C$1561-(0)*CROQUIS_DATOS!$C$1561))/CROQUIS_DATOS!$C$1568-0.000001)),1,MOD($A69-1,2)))=1,MIN((CROQUIS_DATOS!$C$1476)*CROQUIS_DATOS!$C$1561,((CROQUIS_DATOS!$C$1507+CROQUIS_DATOS!$C$1508)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69">
        <f>IF(AND(CROQUIS_DATOS!$C$1472=1,CROQUIS_DATOS!$C$1508&gt;0,((CROQUIS_DATOS!$C$1507+CROQUIS_DATOS!$C$1508))-(CROQUIS_DATOS!$C$1507)&gt;0.5,(CROQUIS_DATOS!$C$1476)-(0)&gt;0.5),(CROQUIS_DATOS!$C$1567+(IF(IF(MOD(MIN(INT(($A69-1)/2)+1,MAX(1,INT(((((CROQUIS_DATOS!$C$1507+CROQUIS_DATOS!$C$1508))-(CROQUIS_DATOS!$C$1507))+((CROQUIS_DATOS!$C$1476)*CROQUIS_DATOS!$C$1561-(0)*CROQUIS_DATOS!$C$1561))/CROQUIS_DATOS!$C$1568-0.000001))),2)=1,IF(INT(($A69-1)/2)+1&gt;MAX(1,INT(((((CROQUIS_DATOS!$C$1507+CROQUIS_DATOS!$C$1508))-(CROQUIS_DATOS!$C$1507))+((CROQUIS_DATOS!$C$1476)*CROQUIS_DATOS!$C$1561-(0)*CROQUIS_DATOS!$C$1561))/CROQUIS_DATOS!$C$1568-0.000001)),1,MOD($A69-1,2)),1-IF(INT(($A69-1)/2)+1&gt;MAX(1,INT(((((CROQUIS_DATOS!$C$1507+CROQUIS_DATOS!$C$1508))-(CROQUIS_DATOS!$C$1507))+((CROQUIS_DATOS!$C$1476)*CROQUIS_DATOS!$C$1561-(0)*CROQUIS_DATOS!$C$1561))/CROQUIS_DATOS!$C$1568-0.000001)),1,MOD($A69-1,2)))=1,MIN((CROQUIS_DATOS!$C$1476)*CROQUIS_DATOS!$C$1561,((CROQUIS_DATOS!$C$1507+CROQUIS_DATOS!$C$1508)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69-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69">
        <f>IF(AND(CROQUIS_DATOS!$C$1472=1,CROQUIS_DATOS!$C$1512&gt;0,((CROQUIS_DATOS!$C$1511+CROQUIS_DATOS!$C$1512))-(CROQUIS_DATOS!$C$1511)&gt;0.5,(CROQUIS_DATOS!$C$1476)-(0)&gt;0.5),(CROQUIS_DATOS!$C$1566+(IF(IF(MOD(MIN(INT(($A69-1)/2)+1,MAX(1,INT(((((CROQUIS_DATOS!$C$1511+CROQUIS_DATOS!$C$1512))-(CROQUIS_DATOS!$C$1511))+((CROQUIS_DATOS!$C$1476)*CROQUIS_DATOS!$C$1561-(0)*CROQUIS_DATOS!$C$1561))/CROQUIS_DATOS!$C$1568-0.000001))),2)=1,IF(INT(($A69-1)/2)+1&gt;MAX(1,INT(((((CROQUIS_DATOS!$C$1511+CROQUIS_DATOS!$C$1512))-(CROQUIS_DATOS!$C$1511))+((CROQUIS_DATOS!$C$1476)*CROQUIS_DATOS!$C$1561-(0)*CROQUIS_DATOS!$C$1561))/CROQUIS_DATOS!$C$1568-0.000001)),1,MOD($A69-1,2)),1-IF(INT(($A69-1)/2)+1&gt;MAX(1,INT(((((CROQUIS_DATOS!$C$1511+CROQUIS_DATOS!$C$1512))-(CROQUIS_DATOS!$C$1511))+((CROQUIS_DATOS!$C$1476)*CROQUIS_DATOS!$C$1561-(0)*CROQUIS_DATOS!$C$1561))/CROQUIS_DATOS!$C$1568-0.000001)),1,MOD($A69-1,2)))=1,MIN((CROQUIS_DATOS!$C$1476)*CROQUIS_DATOS!$C$1561,((CROQUIS_DATOS!$C$1511+CROQUIS_DATOS!$C$1512)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69">
        <f>IF(AND(CROQUIS_DATOS!$C$1472=1,CROQUIS_DATOS!$C$1512&gt;0,((CROQUIS_DATOS!$C$1511+CROQUIS_DATOS!$C$1512))-(CROQUIS_DATOS!$C$1511)&gt;0.5,(CROQUIS_DATOS!$C$1476)-(0)&gt;0.5),(CROQUIS_DATOS!$C$1567+(IF(IF(MOD(MIN(INT(($A69-1)/2)+1,MAX(1,INT(((((CROQUIS_DATOS!$C$1511+CROQUIS_DATOS!$C$1512))-(CROQUIS_DATOS!$C$1511))+((CROQUIS_DATOS!$C$1476)*CROQUIS_DATOS!$C$1561-(0)*CROQUIS_DATOS!$C$1561))/CROQUIS_DATOS!$C$1568-0.000001))),2)=1,IF(INT(($A69-1)/2)+1&gt;MAX(1,INT(((((CROQUIS_DATOS!$C$1511+CROQUIS_DATOS!$C$1512))-(CROQUIS_DATOS!$C$1511))+((CROQUIS_DATOS!$C$1476)*CROQUIS_DATOS!$C$1561-(0)*CROQUIS_DATOS!$C$1561))/CROQUIS_DATOS!$C$1568-0.000001)),1,MOD($A69-1,2)),1-IF(INT(($A69-1)/2)+1&gt;MAX(1,INT(((((CROQUIS_DATOS!$C$1511+CROQUIS_DATOS!$C$1512))-(CROQUIS_DATOS!$C$1511))+((CROQUIS_DATOS!$C$1476)*CROQUIS_DATOS!$C$1561-(0)*CROQUIS_DATOS!$C$1561))/CROQUIS_DATOS!$C$1568-0.000001)),1,MOD($A69-1,2)))=1,MIN((CROQUIS_DATOS!$C$1476)*CROQUIS_DATOS!$C$1561,((CROQUIS_DATOS!$C$1511+CROQUIS_DATOS!$C$1512)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69-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69">
        <f>IF(AND(CROQUIS_DATOS!$C$1472=1,CROQUIS_DATOS!$C$1516&gt;0,((CROQUIS_DATOS!$C$1515+CROQUIS_DATOS!$C$1516))-(CROQUIS_DATOS!$C$1515)&gt;0.5,(CROQUIS_DATOS!$C$1476)-(0)&gt;0.5),(CROQUIS_DATOS!$C$1566+(IF(IF(MOD(MIN(INT(($A69-1)/2)+1,MAX(1,INT(((((CROQUIS_DATOS!$C$1515+CROQUIS_DATOS!$C$1516))-(CROQUIS_DATOS!$C$1515))+((CROQUIS_DATOS!$C$1476)*CROQUIS_DATOS!$C$1561-(0)*CROQUIS_DATOS!$C$1561))/CROQUIS_DATOS!$C$1568-0.000001))),2)=1,IF(INT(($A69-1)/2)+1&gt;MAX(1,INT(((((CROQUIS_DATOS!$C$1515+CROQUIS_DATOS!$C$1516))-(CROQUIS_DATOS!$C$1515))+((CROQUIS_DATOS!$C$1476)*CROQUIS_DATOS!$C$1561-(0)*CROQUIS_DATOS!$C$1561))/CROQUIS_DATOS!$C$1568-0.000001)),1,MOD($A69-1,2)),1-IF(INT(($A69-1)/2)+1&gt;MAX(1,INT(((((CROQUIS_DATOS!$C$1515+CROQUIS_DATOS!$C$1516))-(CROQUIS_DATOS!$C$1515))+((CROQUIS_DATOS!$C$1476)*CROQUIS_DATOS!$C$1561-(0)*CROQUIS_DATOS!$C$1561))/CROQUIS_DATOS!$C$1568-0.000001)),1,MOD($A69-1,2)))=1,MIN((CROQUIS_DATOS!$C$1476)*CROQUIS_DATOS!$C$1561,((CROQUIS_DATOS!$C$1515+CROQUIS_DATOS!$C$1516)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69">
        <f>IF(AND(CROQUIS_DATOS!$C$1472=1,CROQUIS_DATOS!$C$1516&gt;0,((CROQUIS_DATOS!$C$1515+CROQUIS_DATOS!$C$1516))-(CROQUIS_DATOS!$C$1515)&gt;0.5,(CROQUIS_DATOS!$C$1476)-(0)&gt;0.5),(CROQUIS_DATOS!$C$1567+(IF(IF(MOD(MIN(INT(($A69-1)/2)+1,MAX(1,INT(((((CROQUIS_DATOS!$C$1515+CROQUIS_DATOS!$C$1516))-(CROQUIS_DATOS!$C$1515))+((CROQUIS_DATOS!$C$1476)*CROQUIS_DATOS!$C$1561-(0)*CROQUIS_DATOS!$C$1561))/CROQUIS_DATOS!$C$1568-0.000001))),2)=1,IF(INT(($A69-1)/2)+1&gt;MAX(1,INT(((((CROQUIS_DATOS!$C$1515+CROQUIS_DATOS!$C$1516))-(CROQUIS_DATOS!$C$1515))+((CROQUIS_DATOS!$C$1476)*CROQUIS_DATOS!$C$1561-(0)*CROQUIS_DATOS!$C$1561))/CROQUIS_DATOS!$C$1568-0.000001)),1,MOD($A69-1,2)),1-IF(INT(($A69-1)/2)+1&gt;MAX(1,INT(((((CROQUIS_DATOS!$C$1515+CROQUIS_DATOS!$C$1516))-(CROQUIS_DATOS!$C$1515))+((CROQUIS_DATOS!$C$1476)*CROQUIS_DATOS!$C$1561-(0)*CROQUIS_DATOS!$C$1561))/CROQUIS_DATOS!$C$1568-0.000001)),1,MOD($A69-1,2)))=1,MIN((CROQUIS_DATOS!$C$1476)*CROQUIS_DATOS!$C$1561,((CROQUIS_DATOS!$C$1515+CROQUIS_DATOS!$C$1516)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69-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69">
        <f>IF(AND(CROQUIS_DATOS!$C$1472=1,CROQUIS_DATOS!$C$1478&gt;=1,((CROQUIS_DATOS!$C$1479+CROQUIS_DATOS!$C$1480))-(CROQUIS_DATOS!$C$1479)&gt;0.5,(CROQUIS_DATOS!$C$1481)-(0)&gt;0.5),(CROQUIS_DATOS!$C$1566+(IF(IF(MOD(MIN(INT(($A69-1)/2)+1,MAX(1,INT(((((CROQUIS_DATOS!$C$1479+CROQUIS_DATOS!$C$1480))-(CROQUIS_DATOS!$C$1479))+((CROQUIS_DATOS!$C$1481)*CROQUIS_DATOS!$C$1561-(0)*CROQUIS_DATOS!$C$1561))/CROQUIS_DATOS!$C$1568-0.000001))),2)=1,IF(INT(($A69-1)/2)+1&gt;MAX(1,INT(((((CROQUIS_DATOS!$C$1479+CROQUIS_DATOS!$C$1480))-(CROQUIS_DATOS!$C$1479))+((CROQUIS_DATOS!$C$1481)*CROQUIS_DATOS!$C$1561-(0)*CROQUIS_DATOS!$C$1561))/CROQUIS_DATOS!$C$1568-0.000001)),1,MOD($A69-1,2)),1-IF(INT(($A69-1)/2)+1&gt;MAX(1,INT(((((CROQUIS_DATOS!$C$1479+CROQUIS_DATOS!$C$1480))-(CROQUIS_DATOS!$C$1479))+((CROQUIS_DATOS!$C$1481)*CROQUIS_DATOS!$C$1561-(0)*CROQUIS_DATOS!$C$1561))/CROQUIS_DATOS!$C$1568-0.000001)),1,MOD($A69-1,2)))=1,MIN((CROQUIS_DATOS!$C$1481)*CROQUIS_DATOS!$C$1561,((CROQUIS_DATOS!$C$1479+CROQUIS_DATOS!$C$1480)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69">
        <f>IF(AND(CROQUIS_DATOS!$C$1472=1,CROQUIS_DATOS!$C$1478&gt;=1,((CROQUIS_DATOS!$C$1479+CROQUIS_DATOS!$C$1480))-(CROQUIS_DATOS!$C$1479)&gt;0.5,(CROQUIS_DATOS!$C$1481)-(0)&gt;0.5),(CROQUIS_DATOS!$C$1567+(IF(IF(MOD(MIN(INT(($A69-1)/2)+1,MAX(1,INT(((((CROQUIS_DATOS!$C$1479+CROQUIS_DATOS!$C$1480))-(CROQUIS_DATOS!$C$1479))+((CROQUIS_DATOS!$C$1481)*CROQUIS_DATOS!$C$1561-(0)*CROQUIS_DATOS!$C$1561))/CROQUIS_DATOS!$C$1568-0.000001))),2)=1,IF(INT(($A69-1)/2)+1&gt;MAX(1,INT(((((CROQUIS_DATOS!$C$1479+CROQUIS_DATOS!$C$1480))-(CROQUIS_DATOS!$C$1479))+((CROQUIS_DATOS!$C$1481)*CROQUIS_DATOS!$C$1561-(0)*CROQUIS_DATOS!$C$1561))/CROQUIS_DATOS!$C$1568-0.000001)),1,MOD($A69-1,2)),1-IF(INT(($A69-1)/2)+1&gt;MAX(1,INT(((((CROQUIS_DATOS!$C$1479+CROQUIS_DATOS!$C$1480))-(CROQUIS_DATOS!$C$1479))+((CROQUIS_DATOS!$C$1481)*CROQUIS_DATOS!$C$1561-(0)*CROQUIS_DATOS!$C$1561))/CROQUIS_DATOS!$C$1568-0.000001)),1,MOD($A69-1,2)))=1,MIN((CROQUIS_DATOS!$C$1481)*CROQUIS_DATOS!$C$1561,((CROQUIS_DATOS!$C$1479+CROQUIS_DATOS!$C$1480)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69-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69">
        <f>IF(AND(CROQUIS_DATOS!$C$1472=1,CROQUIS_DATOS!$C$1478&gt;=1,((CROQUIS_DATOS!$C$1479+CROQUIS_DATOS!$C$1480))-(CROQUIS_DATOS!$C$1479)&gt;0.5,(CROQUIS_DATOS!$C$1476)-((CROQUIS_DATOS!$C$1481+CROQUIS_DATOS!$C$1482))&gt;0.5),(CROQUIS_DATOS!$C$1566+(IF(IF(MOD(MIN(INT(($A69-1)/2)+1,MAX(1,INT(((((CROQUIS_DATOS!$C$1479+CROQUIS_DATOS!$C$1480))-(CROQUIS_DATOS!$C$1479))+((CROQUIS_DATOS!$C$1476)*CROQUIS_DATOS!$C$1561-((CROQUIS_DATOS!$C$1481+CROQUIS_DATOS!$C$1482))*CROQUIS_DATOS!$C$1561))/CROQUIS_DATOS!$C$1568-0.000001))),2)=1,IF(INT(($A69-1)/2)+1&gt;MAX(1,INT(((((CROQUIS_DATOS!$C$1479+CROQUIS_DATOS!$C$1480))-(CROQUIS_DATOS!$C$1479))+((CROQUIS_DATOS!$C$1476)*CROQUIS_DATOS!$C$1561-((CROQUIS_DATOS!$C$1481+CROQUIS_DATOS!$C$1482))*CROQUIS_DATOS!$C$1561))/CROQUIS_DATOS!$C$1568-0.000001)),1,MOD($A69-1,2)),1-IF(INT(($A69-1)/2)+1&gt;MAX(1,INT(((((CROQUIS_DATOS!$C$1479+CROQUIS_DATOS!$C$1480))-(CROQUIS_DATOS!$C$1479))+((CROQUIS_DATOS!$C$1476)*CROQUIS_DATOS!$C$1561-((CROQUIS_DATOS!$C$1481+CROQUIS_DATOS!$C$1482))*CROQUIS_DATOS!$C$1561))/CROQUIS_DATOS!$C$1568-0.000001)),1,MOD($A69-1,2)))=1,MIN((CROQUIS_DATOS!$C$1476)*CROQUIS_DATOS!$C$1561,((CROQUIS_DATOS!$C$1479+CROQUIS_DATOS!$C$1480)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69">
        <f>IF(AND(CROQUIS_DATOS!$C$1472=1,CROQUIS_DATOS!$C$1478&gt;=1,((CROQUIS_DATOS!$C$1479+CROQUIS_DATOS!$C$1480))-(CROQUIS_DATOS!$C$1479)&gt;0.5,(CROQUIS_DATOS!$C$1476)-((CROQUIS_DATOS!$C$1481+CROQUIS_DATOS!$C$1482))&gt;0.5),(CROQUIS_DATOS!$C$1567+(IF(IF(MOD(MIN(INT(($A69-1)/2)+1,MAX(1,INT(((((CROQUIS_DATOS!$C$1479+CROQUIS_DATOS!$C$1480))-(CROQUIS_DATOS!$C$1479))+((CROQUIS_DATOS!$C$1476)*CROQUIS_DATOS!$C$1561-((CROQUIS_DATOS!$C$1481+CROQUIS_DATOS!$C$1482))*CROQUIS_DATOS!$C$1561))/CROQUIS_DATOS!$C$1568-0.000001))),2)=1,IF(INT(($A69-1)/2)+1&gt;MAX(1,INT(((((CROQUIS_DATOS!$C$1479+CROQUIS_DATOS!$C$1480))-(CROQUIS_DATOS!$C$1479))+((CROQUIS_DATOS!$C$1476)*CROQUIS_DATOS!$C$1561-((CROQUIS_DATOS!$C$1481+CROQUIS_DATOS!$C$1482))*CROQUIS_DATOS!$C$1561))/CROQUIS_DATOS!$C$1568-0.000001)),1,MOD($A69-1,2)),1-IF(INT(($A69-1)/2)+1&gt;MAX(1,INT(((((CROQUIS_DATOS!$C$1479+CROQUIS_DATOS!$C$1480))-(CROQUIS_DATOS!$C$1479))+((CROQUIS_DATOS!$C$1476)*CROQUIS_DATOS!$C$1561-((CROQUIS_DATOS!$C$1481+CROQUIS_DATOS!$C$1482))*CROQUIS_DATOS!$C$1561))/CROQUIS_DATOS!$C$1568-0.000001)),1,MOD($A69-1,2)))=1,MIN((CROQUIS_DATOS!$C$1476)*CROQUIS_DATOS!$C$1561,((CROQUIS_DATOS!$C$1479+CROQUIS_DATOS!$C$1480)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69-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69">
        <f>IF(AND(CROQUIS_DATOS!$C$1472=1,CROQUIS_DATOS!$C$1478&gt;=2,((CROQUIS_DATOS!$C$1484+CROQUIS_DATOS!$C$1485))-(CROQUIS_DATOS!$C$1484)&gt;0.5,(CROQUIS_DATOS!$C$1486)-(0)&gt;0.5),(CROQUIS_DATOS!$C$1566+(IF(IF(MOD(MIN(INT(($A69-1)/2)+1,MAX(1,INT(((((CROQUIS_DATOS!$C$1484+CROQUIS_DATOS!$C$1485))-(CROQUIS_DATOS!$C$1484))+((CROQUIS_DATOS!$C$1486)*CROQUIS_DATOS!$C$1561-(0)*CROQUIS_DATOS!$C$1561))/CROQUIS_DATOS!$C$1568-0.000001))),2)=1,IF(INT(($A69-1)/2)+1&gt;MAX(1,INT(((((CROQUIS_DATOS!$C$1484+CROQUIS_DATOS!$C$1485))-(CROQUIS_DATOS!$C$1484))+((CROQUIS_DATOS!$C$1486)*CROQUIS_DATOS!$C$1561-(0)*CROQUIS_DATOS!$C$1561))/CROQUIS_DATOS!$C$1568-0.000001)),1,MOD($A69-1,2)),1-IF(INT(($A69-1)/2)+1&gt;MAX(1,INT(((((CROQUIS_DATOS!$C$1484+CROQUIS_DATOS!$C$1485))-(CROQUIS_DATOS!$C$1484))+((CROQUIS_DATOS!$C$1486)*CROQUIS_DATOS!$C$1561-(0)*CROQUIS_DATOS!$C$1561))/CROQUIS_DATOS!$C$1568-0.000001)),1,MOD($A69-1,2)))=1,MIN((CROQUIS_DATOS!$C$1486)*CROQUIS_DATOS!$C$1561,((CROQUIS_DATOS!$C$1484+CROQUIS_DATOS!$C$1485)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69">
        <f>IF(AND(CROQUIS_DATOS!$C$1472=1,CROQUIS_DATOS!$C$1478&gt;=2,((CROQUIS_DATOS!$C$1484+CROQUIS_DATOS!$C$1485))-(CROQUIS_DATOS!$C$1484)&gt;0.5,(CROQUIS_DATOS!$C$1486)-(0)&gt;0.5),(CROQUIS_DATOS!$C$1567+(IF(IF(MOD(MIN(INT(($A69-1)/2)+1,MAX(1,INT(((((CROQUIS_DATOS!$C$1484+CROQUIS_DATOS!$C$1485))-(CROQUIS_DATOS!$C$1484))+((CROQUIS_DATOS!$C$1486)*CROQUIS_DATOS!$C$1561-(0)*CROQUIS_DATOS!$C$1561))/CROQUIS_DATOS!$C$1568-0.000001))),2)=1,IF(INT(($A69-1)/2)+1&gt;MAX(1,INT(((((CROQUIS_DATOS!$C$1484+CROQUIS_DATOS!$C$1485))-(CROQUIS_DATOS!$C$1484))+((CROQUIS_DATOS!$C$1486)*CROQUIS_DATOS!$C$1561-(0)*CROQUIS_DATOS!$C$1561))/CROQUIS_DATOS!$C$1568-0.000001)),1,MOD($A69-1,2)),1-IF(INT(($A69-1)/2)+1&gt;MAX(1,INT(((((CROQUIS_DATOS!$C$1484+CROQUIS_DATOS!$C$1485))-(CROQUIS_DATOS!$C$1484))+((CROQUIS_DATOS!$C$1486)*CROQUIS_DATOS!$C$1561-(0)*CROQUIS_DATOS!$C$1561))/CROQUIS_DATOS!$C$1568-0.000001)),1,MOD($A69-1,2)))=1,MIN((CROQUIS_DATOS!$C$1486)*CROQUIS_DATOS!$C$1561,((CROQUIS_DATOS!$C$1484+CROQUIS_DATOS!$C$1485)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69-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69">
        <f>IF(AND(CROQUIS_DATOS!$C$1472=1,CROQUIS_DATOS!$C$1478&gt;=2,((CROQUIS_DATOS!$C$1484+CROQUIS_DATOS!$C$1485))-(CROQUIS_DATOS!$C$1484)&gt;0.5,(CROQUIS_DATOS!$C$1476)-((CROQUIS_DATOS!$C$1486+CROQUIS_DATOS!$C$1487))&gt;0.5),(CROQUIS_DATOS!$C$1566+(IF(IF(MOD(MIN(INT(($A69-1)/2)+1,MAX(1,INT(((((CROQUIS_DATOS!$C$1484+CROQUIS_DATOS!$C$1485))-(CROQUIS_DATOS!$C$1484))+((CROQUIS_DATOS!$C$1476)*CROQUIS_DATOS!$C$1561-((CROQUIS_DATOS!$C$1486+CROQUIS_DATOS!$C$1487))*CROQUIS_DATOS!$C$1561))/CROQUIS_DATOS!$C$1568-0.000001))),2)=1,IF(INT(($A69-1)/2)+1&gt;MAX(1,INT(((((CROQUIS_DATOS!$C$1484+CROQUIS_DATOS!$C$1485))-(CROQUIS_DATOS!$C$1484))+((CROQUIS_DATOS!$C$1476)*CROQUIS_DATOS!$C$1561-((CROQUIS_DATOS!$C$1486+CROQUIS_DATOS!$C$1487))*CROQUIS_DATOS!$C$1561))/CROQUIS_DATOS!$C$1568-0.000001)),1,MOD($A69-1,2)),1-IF(INT(($A69-1)/2)+1&gt;MAX(1,INT(((((CROQUIS_DATOS!$C$1484+CROQUIS_DATOS!$C$1485))-(CROQUIS_DATOS!$C$1484))+((CROQUIS_DATOS!$C$1476)*CROQUIS_DATOS!$C$1561-((CROQUIS_DATOS!$C$1486+CROQUIS_DATOS!$C$1487))*CROQUIS_DATOS!$C$1561))/CROQUIS_DATOS!$C$1568-0.000001)),1,MOD($A69-1,2)))=1,MIN((CROQUIS_DATOS!$C$1476)*CROQUIS_DATOS!$C$1561,((CROQUIS_DATOS!$C$1484+CROQUIS_DATOS!$C$1485)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69">
        <f>IF(AND(CROQUIS_DATOS!$C$1472=1,CROQUIS_DATOS!$C$1478&gt;=2,((CROQUIS_DATOS!$C$1484+CROQUIS_DATOS!$C$1485))-(CROQUIS_DATOS!$C$1484)&gt;0.5,(CROQUIS_DATOS!$C$1476)-((CROQUIS_DATOS!$C$1486+CROQUIS_DATOS!$C$1487))&gt;0.5),(CROQUIS_DATOS!$C$1567+(IF(IF(MOD(MIN(INT(($A69-1)/2)+1,MAX(1,INT(((((CROQUIS_DATOS!$C$1484+CROQUIS_DATOS!$C$1485))-(CROQUIS_DATOS!$C$1484))+((CROQUIS_DATOS!$C$1476)*CROQUIS_DATOS!$C$1561-((CROQUIS_DATOS!$C$1486+CROQUIS_DATOS!$C$1487))*CROQUIS_DATOS!$C$1561))/CROQUIS_DATOS!$C$1568-0.000001))),2)=1,IF(INT(($A69-1)/2)+1&gt;MAX(1,INT(((((CROQUIS_DATOS!$C$1484+CROQUIS_DATOS!$C$1485))-(CROQUIS_DATOS!$C$1484))+((CROQUIS_DATOS!$C$1476)*CROQUIS_DATOS!$C$1561-((CROQUIS_DATOS!$C$1486+CROQUIS_DATOS!$C$1487))*CROQUIS_DATOS!$C$1561))/CROQUIS_DATOS!$C$1568-0.000001)),1,MOD($A69-1,2)),1-IF(INT(($A69-1)/2)+1&gt;MAX(1,INT(((((CROQUIS_DATOS!$C$1484+CROQUIS_DATOS!$C$1485))-(CROQUIS_DATOS!$C$1484))+((CROQUIS_DATOS!$C$1476)*CROQUIS_DATOS!$C$1561-((CROQUIS_DATOS!$C$1486+CROQUIS_DATOS!$C$1487))*CROQUIS_DATOS!$C$1561))/CROQUIS_DATOS!$C$1568-0.000001)),1,MOD($A69-1,2)))=1,MIN((CROQUIS_DATOS!$C$1476)*CROQUIS_DATOS!$C$1561,((CROQUIS_DATOS!$C$1484+CROQUIS_DATOS!$C$1485)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69-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69">
        <f>IF(AND(CROQUIS_DATOS!$C$1472=1,CROQUIS_DATOS!$C$1478&gt;=3,((CROQUIS_DATOS!$C$1489+CROQUIS_DATOS!$C$1490))-(CROQUIS_DATOS!$C$1489)&gt;0.5,(CROQUIS_DATOS!$C$1491)-(0)&gt;0.5),(CROQUIS_DATOS!$C$1566+(IF(IF(MOD(MIN(INT(($A69-1)/2)+1,MAX(1,INT(((((CROQUIS_DATOS!$C$1489+CROQUIS_DATOS!$C$1490))-(CROQUIS_DATOS!$C$1489))+((CROQUIS_DATOS!$C$1491)*CROQUIS_DATOS!$C$1561-(0)*CROQUIS_DATOS!$C$1561))/CROQUIS_DATOS!$C$1568-0.000001))),2)=1,IF(INT(($A69-1)/2)+1&gt;MAX(1,INT(((((CROQUIS_DATOS!$C$1489+CROQUIS_DATOS!$C$1490))-(CROQUIS_DATOS!$C$1489))+((CROQUIS_DATOS!$C$1491)*CROQUIS_DATOS!$C$1561-(0)*CROQUIS_DATOS!$C$1561))/CROQUIS_DATOS!$C$1568-0.000001)),1,MOD($A69-1,2)),1-IF(INT(($A69-1)/2)+1&gt;MAX(1,INT(((((CROQUIS_DATOS!$C$1489+CROQUIS_DATOS!$C$1490))-(CROQUIS_DATOS!$C$1489))+((CROQUIS_DATOS!$C$1491)*CROQUIS_DATOS!$C$1561-(0)*CROQUIS_DATOS!$C$1561))/CROQUIS_DATOS!$C$1568-0.000001)),1,MOD($A69-1,2)))=1,MIN((CROQUIS_DATOS!$C$1491)*CROQUIS_DATOS!$C$1561,((CROQUIS_DATOS!$C$1489+CROQUIS_DATOS!$C$1490)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69">
        <f>IF(AND(CROQUIS_DATOS!$C$1472=1,CROQUIS_DATOS!$C$1478&gt;=3,((CROQUIS_DATOS!$C$1489+CROQUIS_DATOS!$C$1490))-(CROQUIS_DATOS!$C$1489)&gt;0.5,(CROQUIS_DATOS!$C$1491)-(0)&gt;0.5),(CROQUIS_DATOS!$C$1567+(IF(IF(MOD(MIN(INT(($A69-1)/2)+1,MAX(1,INT(((((CROQUIS_DATOS!$C$1489+CROQUIS_DATOS!$C$1490))-(CROQUIS_DATOS!$C$1489))+((CROQUIS_DATOS!$C$1491)*CROQUIS_DATOS!$C$1561-(0)*CROQUIS_DATOS!$C$1561))/CROQUIS_DATOS!$C$1568-0.000001))),2)=1,IF(INT(($A69-1)/2)+1&gt;MAX(1,INT(((((CROQUIS_DATOS!$C$1489+CROQUIS_DATOS!$C$1490))-(CROQUIS_DATOS!$C$1489))+((CROQUIS_DATOS!$C$1491)*CROQUIS_DATOS!$C$1561-(0)*CROQUIS_DATOS!$C$1561))/CROQUIS_DATOS!$C$1568-0.000001)),1,MOD($A69-1,2)),1-IF(INT(($A69-1)/2)+1&gt;MAX(1,INT(((((CROQUIS_DATOS!$C$1489+CROQUIS_DATOS!$C$1490))-(CROQUIS_DATOS!$C$1489))+((CROQUIS_DATOS!$C$1491)*CROQUIS_DATOS!$C$1561-(0)*CROQUIS_DATOS!$C$1561))/CROQUIS_DATOS!$C$1568-0.000001)),1,MOD($A69-1,2)))=1,MIN((CROQUIS_DATOS!$C$1491)*CROQUIS_DATOS!$C$1561,((CROQUIS_DATOS!$C$1489+CROQUIS_DATOS!$C$1490)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69-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69">
        <f>IF(AND(CROQUIS_DATOS!$C$1472=1,CROQUIS_DATOS!$C$1478&gt;=3,((CROQUIS_DATOS!$C$1489+CROQUIS_DATOS!$C$1490))-(CROQUIS_DATOS!$C$1489)&gt;0.5,(CROQUIS_DATOS!$C$1476)-((CROQUIS_DATOS!$C$1491+CROQUIS_DATOS!$C$1492))&gt;0.5),(CROQUIS_DATOS!$C$1566+(IF(IF(MOD(MIN(INT(($A69-1)/2)+1,MAX(1,INT(((((CROQUIS_DATOS!$C$1489+CROQUIS_DATOS!$C$1490))-(CROQUIS_DATOS!$C$1489))+((CROQUIS_DATOS!$C$1476)*CROQUIS_DATOS!$C$1561-((CROQUIS_DATOS!$C$1491+CROQUIS_DATOS!$C$1492))*CROQUIS_DATOS!$C$1561))/CROQUIS_DATOS!$C$1568-0.000001))),2)=1,IF(INT(($A69-1)/2)+1&gt;MAX(1,INT(((((CROQUIS_DATOS!$C$1489+CROQUIS_DATOS!$C$1490))-(CROQUIS_DATOS!$C$1489))+((CROQUIS_DATOS!$C$1476)*CROQUIS_DATOS!$C$1561-((CROQUIS_DATOS!$C$1491+CROQUIS_DATOS!$C$1492))*CROQUIS_DATOS!$C$1561))/CROQUIS_DATOS!$C$1568-0.000001)),1,MOD($A69-1,2)),1-IF(INT(($A69-1)/2)+1&gt;MAX(1,INT(((((CROQUIS_DATOS!$C$1489+CROQUIS_DATOS!$C$1490))-(CROQUIS_DATOS!$C$1489))+((CROQUIS_DATOS!$C$1476)*CROQUIS_DATOS!$C$1561-((CROQUIS_DATOS!$C$1491+CROQUIS_DATOS!$C$1492))*CROQUIS_DATOS!$C$1561))/CROQUIS_DATOS!$C$1568-0.000001)),1,MOD($A69-1,2)))=1,MIN((CROQUIS_DATOS!$C$1476)*CROQUIS_DATOS!$C$1561,((CROQUIS_DATOS!$C$1489+CROQUIS_DATOS!$C$1490)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69">
        <f>IF(AND(CROQUIS_DATOS!$C$1472=1,CROQUIS_DATOS!$C$1478&gt;=3,((CROQUIS_DATOS!$C$1489+CROQUIS_DATOS!$C$1490))-(CROQUIS_DATOS!$C$1489)&gt;0.5,(CROQUIS_DATOS!$C$1476)-((CROQUIS_DATOS!$C$1491+CROQUIS_DATOS!$C$1492))&gt;0.5),(CROQUIS_DATOS!$C$1567+(IF(IF(MOD(MIN(INT(($A69-1)/2)+1,MAX(1,INT(((((CROQUIS_DATOS!$C$1489+CROQUIS_DATOS!$C$1490))-(CROQUIS_DATOS!$C$1489))+((CROQUIS_DATOS!$C$1476)*CROQUIS_DATOS!$C$1561-((CROQUIS_DATOS!$C$1491+CROQUIS_DATOS!$C$1492))*CROQUIS_DATOS!$C$1561))/CROQUIS_DATOS!$C$1568-0.000001))),2)=1,IF(INT(($A69-1)/2)+1&gt;MAX(1,INT(((((CROQUIS_DATOS!$C$1489+CROQUIS_DATOS!$C$1490))-(CROQUIS_DATOS!$C$1489))+((CROQUIS_DATOS!$C$1476)*CROQUIS_DATOS!$C$1561-((CROQUIS_DATOS!$C$1491+CROQUIS_DATOS!$C$1492))*CROQUIS_DATOS!$C$1561))/CROQUIS_DATOS!$C$1568-0.000001)),1,MOD($A69-1,2)),1-IF(INT(($A69-1)/2)+1&gt;MAX(1,INT(((((CROQUIS_DATOS!$C$1489+CROQUIS_DATOS!$C$1490))-(CROQUIS_DATOS!$C$1489))+((CROQUIS_DATOS!$C$1476)*CROQUIS_DATOS!$C$1561-((CROQUIS_DATOS!$C$1491+CROQUIS_DATOS!$C$1492))*CROQUIS_DATOS!$C$1561))/CROQUIS_DATOS!$C$1568-0.000001)),1,MOD($A69-1,2)))=1,MIN((CROQUIS_DATOS!$C$1476)*CROQUIS_DATOS!$C$1561,((CROQUIS_DATOS!$C$1489+CROQUIS_DATOS!$C$1490)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69-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69">
        <f>IF(AND(CROQUIS_DATOS!$C$1472=1,CROQUIS_DATOS!$C$1478&gt;=4,((CROQUIS_DATOS!$C$1494+CROQUIS_DATOS!$C$1495))-(CROQUIS_DATOS!$C$1494)&gt;0.5,(CROQUIS_DATOS!$C$1496)-(0)&gt;0.5),(CROQUIS_DATOS!$C$1566+(IF(IF(MOD(MIN(INT(($A69-1)/2)+1,MAX(1,INT(((((CROQUIS_DATOS!$C$1494+CROQUIS_DATOS!$C$1495))-(CROQUIS_DATOS!$C$1494))+((CROQUIS_DATOS!$C$1496)*CROQUIS_DATOS!$C$1561-(0)*CROQUIS_DATOS!$C$1561))/CROQUIS_DATOS!$C$1568-0.000001))),2)=1,IF(INT(($A69-1)/2)+1&gt;MAX(1,INT(((((CROQUIS_DATOS!$C$1494+CROQUIS_DATOS!$C$1495))-(CROQUIS_DATOS!$C$1494))+((CROQUIS_DATOS!$C$1496)*CROQUIS_DATOS!$C$1561-(0)*CROQUIS_DATOS!$C$1561))/CROQUIS_DATOS!$C$1568-0.000001)),1,MOD($A69-1,2)),1-IF(INT(($A69-1)/2)+1&gt;MAX(1,INT(((((CROQUIS_DATOS!$C$1494+CROQUIS_DATOS!$C$1495))-(CROQUIS_DATOS!$C$1494))+((CROQUIS_DATOS!$C$1496)*CROQUIS_DATOS!$C$1561-(0)*CROQUIS_DATOS!$C$1561))/CROQUIS_DATOS!$C$1568-0.000001)),1,MOD($A69-1,2)))=1,MIN((CROQUIS_DATOS!$C$1496)*CROQUIS_DATOS!$C$1561,((CROQUIS_DATOS!$C$1494+CROQUIS_DATOS!$C$1495)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69">
        <f>IF(AND(CROQUIS_DATOS!$C$1472=1,CROQUIS_DATOS!$C$1478&gt;=4,((CROQUIS_DATOS!$C$1494+CROQUIS_DATOS!$C$1495))-(CROQUIS_DATOS!$C$1494)&gt;0.5,(CROQUIS_DATOS!$C$1496)-(0)&gt;0.5),(CROQUIS_DATOS!$C$1567+(IF(IF(MOD(MIN(INT(($A69-1)/2)+1,MAX(1,INT(((((CROQUIS_DATOS!$C$1494+CROQUIS_DATOS!$C$1495))-(CROQUIS_DATOS!$C$1494))+((CROQUIS_DATOS!$C$1496)*CROQUIS_DATOS!$C$1561-(0)*CROQUIS_DATOS!$C$1561))/CROQUIS_DATOS!$C$1568-0.000001))),2)=1,IF(INT(($A69-1)/2)+1&gt;MAX(1,INT(((((CROQUIS_DATOS!$C$1494+CROQUIS_DATOS!$C$1495))-(CROQUIS_DATOS!$C$1494))+((CROQUIS_DATOS!$C$1496)*CROQUIS_DATOS!$C$1561-(0)*CROQUIS_DATOS!$C$1561))/CROQUIS_DATOS!$C$1568-0.000001)),1,MOD($A69-1,2)),1-IF(INT(($A69-1)/2)+1&gt;MAX(1,INT(((((CROQUIS_DATOS!$C$1494+CROQUIS_DATOS!$C$1495))-(CROQUIS_DATOS!$C$1494))+((CROQUIS_DATOS!$C$1496)*CROQUIS_DATOS!$C$1561-(0)*CROQUIS_DATOS!$C$1561))/CROQUIS_DATOS!$C$1568-0.000001)),1,MOD($A69-1,2)))=1,MIN((CROQUIS_DATOS!$C$1496)*CROQUIS_DATOS!$C$1561,((CROQUIS_DATOS!$C$1494+CROQUIS_DATOS!$C$1495)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69-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69">
        <f>IF(AND(CROQUIS_DATOS!$C$1472=1,CROQUIS_DATOS!$C$1478&gt;=4,((CROQUIS_DATOS!$C$1494+CROQUIS_DATOS!$C$1495))-(CROQUIS_DATOS!$C$1494)&gt;0.5,(CROQUIS_DATOS!$C$1476)-((CROQUIS_DATOS!$C$1496+CROQUIS_DATOS!$C$1497))&gt;0.5),(CROQUIS_DATOS!$C$1566+(IF(IF(MOD(MIN(INT(($A69-1)/2)+1,MAX(1,INT(((((CROQUIS_DATOS!$C$1494+CROQUIS_DATOS!$C$1495))-(CROQUIS_DATOS!$C$1494))+((CROQUIS_DATOS!$C$1476)*CROQUIS_DATOS!$C$1561-((CROQUIS_DATOS!$C$1496+CROQUIS_DATOS!$C$1497))*CROQUIS_DATOS!$C$1561))/CROQUIS_DATOS!$C$1568-0.000001))),2)=1,IF(INT(($A69-1)/2)+1&gt;MAX(1,INT(((((CROQUIS_DATOS!$C$1494+CROQUIS_DATOS!$C$1495))-(CROQUIS_DATOS!$C$1494))+((CROQUIS_DATOS!$C$1476)*CROQUIS_DATOS!$C$1561-((CROQUIS_DATOS!$C$1496+CROQUIS_DATOS!$C$1497))*CROQUIS_DATOS!$C$1561))/CROQUIS_DATOS!$C$1568-0.000001)),1,MOD($A69-1,2)),1-IF(INT(($A69-1)/2)+1&gt;MAX(1,INT(((((CROQUIS_DATOS!$C$1494+CROQUIS_DATOS!$C$1495))-(CROQUIS_DATOS!$C$1494))+((CROQUIS_DATOS!$C$1476)*CROQUIS_DATOS!$C$1561-((CROQUIS_DATOS!$C$1496+CROQUIS_DATOS!$C$1497))*CROQUIS_DATOS!$C$1561))/CROQUIS_DATOS!$C$1568-0.000001)),1,MOD($A69-1,2)))=1,MIN((CROQUIS_DATOS!$C$1476)*CROQUIS_DATOS!$C$1561,((CROQUIS_DATOS!$C$1494+CROQUIS_DATOS!$C$1495)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69">
        <f>IF(AND(CROQUIS_DATOS!$C$1472=1,CROQUIS_DATOS!$C$1478&gt;=4,((CROQUIS_DATOS!$C$1494+CROQUIS_DATOS!$C$1495))-(CROQUIS_DATOS!$C$1494)&gt;0.5,(CROQUIS_DATOS!$C$1476)-((CROQUIS_DATOS!$C$1496+CROQUIS_DATOS!$C$1497))&gt;0.5),(CROQUIS_DATOS!$C$1567+(IF(IF(MOD(MIN(INT(($A69-1)/2)+1,MAX(1,INT(((((CROQUIS_DATOS!$C$1494+CROQUIS_DATOS!$C$1495))-(CROQUIS_DATOS!$C$1494))+((CROQUIS_DATOS!$C$1476)*CROQUIS_DATOS!$C$1561-((CROQUIS_DATOS!$C$1496+CROQUIS_DATOS!$C$1497))*CROQUIS_DATOS!$C$1561))/CROQUIS_DATOS!$C$1568-0.000001))),2)=1,IF(INT(($A69-1)/2)+1&gt;MAX(1,INT(((((CROQUIS_DATOS!$C$1494+CROQUIS_DATOS!$C$1495))-(CROQUIS_DATOS!$C$1494))+((CROQUIS_DATOS!$C$1476)*CROQUIS_DATOS!$C$1561-((CROQUIS_DATOS!$C$1496+CROQUIS_DATOS!$C$1497))*CROQUIS_DATOS!$C$1561))/CROQUIS_DATOS!$C$1568-0.000001)),1,MOD($A69-1,2)),1-IF(INT(($A69-1)/2)+1&gt;MAX(1,INT(((((CROQUIS_DATOS!$C$1494+CROQUIS_DATOS!$C$1495))-(CROQUIS_DATOS!$C$1494))+((CROQUIS_DATOS!$C$1476)*CROQUIS_DATOS!$C$1561-((CROQUIS_DATOS!$C$1496+CROQUIS_DATOS!$C$1497))*CROQUIS_DATOS!$C$1561))/CROQUIS_DATOS!$C$1568-0.000001)),1,MOD($A69-1,2)))=1,MIN((CROQUIS_DATOS!$C$1476)*CROQUIS_DATOS!$C$1561,((CROQUIS_DATOS!$C$1494+CROQUIS_DATOS!$C$1495)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69-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69">
        <f>IF(AND(CROQUIS_DATOS!$C$1472=1,1),(CROQUIS_DATOS!$C$1571+(CHOOSE(MIN(MAX(IF(INT(($A69-1)/5)+1&gt;CROQUIS_DATOS!$C$1525,5,MOD($A69-1,5)+1),1),5),(INDEX($E$8:$E$23,MIN(INT(($A69-1)/5)+1,CROQUIS_DATOS!$C$1525))-INDEX($F$8:$F$23,MIN(INT(($A69-1)/5)+1,CROQUIS_DATOS!$C$1525))/2),(INDEX($E$8:$E$23,MIN(INT(($A69-1)/5)+1,CROQUIS_DATOS!$C$1525))+INDEX($F$8:$F$23,MIN(INT(($A69-1)/5)+1,CROQUIS_DATOS!$C$1525))/2),(INDEX($E$8:$E$23,MIN(INT(($A69-1)/5)+1,CROQUIS_DATOS!$C$1525))+INDEX($F$8:$F$23,MIN(INT(($A69-1)/5)+1,CROQUIS_DATOS!$C$1525))/2),(INDEX($E$8:$E$23,MIN(INT(($A69-1)/5)+1,CROQUIS_DATOS!$C$1525))-INDEX($F$8:$F$23,MIN(INT(($A69-1)/5)+1,CROQUIS_DATOS!$C$1525))/2),(INDEX($E$8:$E$23,MIN(INT(($A69-1)/5)+1,CROQUIS_DATOS!$C$1525))-INDEX($F$8:$F$23,MIN(INT(($A69-1)/5)+1,CROQUIS_DATOS!$C$1525))/2)))*CROQUIS_DATOS!$C$1569),-1000)</f>
        <v>95.24</v>
      </c>
      <c r="GE69">
        <f>IF(AND(CROQUIS_DATOS!$C$1472=1,1),(CROQUIS_DATOS!$C$1572+(CHOOSE(MIN(MAX(IF(INT(($A69-1)/5)+1&gt;CROQUIS_DATOS!$C$1525,5,MOD($A69-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69">
        <f>IF(AND(CROQUIS_DATOS!$C$1472=1,1),IF(INT(($A69-1)/4)+1&lt;=CROQUIS_DATOS!$C$1525,(CROQUIS_DATOS!$C$1571+((INDEX($E$8:$E$23,MIN(INT(($A69-1)/4)+1,16))+IF(OR(MOD($A69-1,4)=0,MOD($A69-1,4)=3),-1,1)*(INDEX($F$8:$F$23,MIN(INT(($A69-1)/4)+1,16))/2-(CROQUIS_DATOS!$C$1530+CROQUIS_DATOS!$C$1532+IF(OR(INT(($A69-1)/4)+1=1,INT(($A69-1)/4)+1=CROQUIS_DATOS!$C$1525),CROQUIS_DATOS!$C$1534,CROQUIS_DATOS!$C$1531)/2))))*CROQUIS_DATOS!$C$1569),-1000),-1000)</f>
        <v>-1000</v>
      </c>
      <c r="GG69">
        <f>IF(AND(CROQUIS_DATOS!$C$1472=1,1),IF(INT(($A69-1)/4)+1&lt;=CROQUIS_DATOS!$C$1525,(CROQUIS_DATOS!$C$1572+((CROQUIS_DATOS!$C$1477/2+IF(MOD($A69-1,4)&lt;2,-1,1)*(CROQUIS_DATOS!$C$1527/2-(CROQUIS_DATOS!$C$1530+CROQUIS_DATOS!$C$1532+IF(OR(INT(($A69-1)/4)+1=1,INT(($A69-1)/4)+1=CROQUIS_DATOS!$C$1525),CROQUIS_DATOS!$C$1534,CROQUIS_DATOS!$C$1531)/2))))*CROQUIS_DATOS!$C$1569*CROQUIS_DATOS!$C$1570),-1000),-1000)</f>
        <v>-1000</v>
      </c>
    </row>
    <row r="70">
      <c r="A70" t="n">
        <v>63</v>
      </c>
      <c r="J70">
        <f>IF(AND(CROQUIS_DATOS!$C$1472=1,1),(CROQUIS_DATOS!$C$1563+(CHOOSE(MIN(MAX(IF(INT(($A70-1)/4)+1&gt;CROQUIS_DATOS!$C$1525,4,MOD($A70-1,4)+1),1),4),(INDEX($E$8:$E$23,MIN(INT(($A70-1)/4)+1,CROQUIS_DATOS!$C$1525))-INDEX($F$8:$F$23,MIN(INT(($A70-1)/4)+1,CROQUIS_DATOS!$C$1525))/2),(INDEX($E$8:$E$23,MIN(INT(($A70-1)/4)+1,CROQUIS_DATOS!$C$1525))-INDEX($F$8:$F$23,MIN(INT(($A70-1)/4)+1,CROQUIS_DATOS!$C$1525))/2),(INDEX($E$8:$E$23,MIN(INT(($A70-1)/4)+1,CROQUIS_DATOS!$C$1525))+INDEX($F$8:$F$23,MIN(INT(($A70-1)/4)+1,CROQUIS_DATOS!$C$1525))/2),(INDEX($E$8:$E$23,MIN(INT(($A70-1)/4)+1,CROQUIS_DATOS!$C$1525))+INDEX($F$8:$F$23,MIN(INT(($A70-1)/4)+1,CROQUIS_DATOS!$C$1525))/2)))*CROQUIS_DATOS!$C$1562),-1000)</f>
        <v>84.9137931034483</v>
      </c>
      <c r="K70">
        <f>IF(AND(CROQUIS_DATOS!$C$1472=1,1),(CROQUIS_DATOS!$C$1564+(CHOOSE(MIN(MAX(IF(INT(($A70-1)/4)+1&gt;CROQUIS_DATOS!$C$1525,4,MOD($A70-1,4)+1),1),4),0,CROQUIS_DATOS!$C$1476,CROQUIS_DATOS!$C$1476,0))*CROQUIS_DATOS!$C$1561*CROQUIS_DATOS!$C$1562),-1000)</f>
        <v>5.29310344827586</v>
      </c>
      <c r="L70">
        <f>IF(AND(CROQUIS_DATOS!$C$1472=1,1),(CROQUIS_DATOS!$C$1563+(CHOOSE(MIN(MAX(IF(INT(($A70-1)/4)+1&gt;CROQUIS_DATOS!$C$1525,4,MOD($A70-1,4)+1),1),4),((INDEX($E$8:$E$23,MIN(INT(($A70-1)/4)+1,CROQUIS_DATOS!$C$1525))-INDEX($F$8:$F$23,MIN(INT(($A70-1)/4)+1,CROQUIS_DATOS!$C$1525))/2)+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,((INDEX($E$8:$E$23,MIN(INT(($A70-1)/4)+1,CROQUIS_DATOS!$C$1525))-INDEX($F$8:$F$23,MIN(INT(($A70-1)/4)+1,CROQUIS_DATOS!$C$1525))/2)+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,((INDEX($E$8:$E$23,MIN(INT(($A70-1)/4)+1,CROQUIS_DATOS!$C$1525))+INDEX($F$8:$F$23,MIN(INT(($A70-1)/4)+1,CROQUIS_DATOS!$C$1525))/2)-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,((INDEX($E$8:$E$23,MIN(INT(($A70-1)/4)+1,CROQUIS_DATOS!$C$1525))+INDEX($F$8:$F$23,MIN(INT(($A70-1)/4)+1,CROQUIS_DATOS!$C$1525))/2)-MIN((CROQUIS_DATOS!$C$1530+CROQUIS_DATOS!$C$1532+IF(OR(MIN(INT(($A70-1)/4)+1,CROQUIS_DATOS!$C$1525)=1,MIN(INT(($A70-1)/4)+1,CROQUIS_DATOS!$C$1525)=CROQUIS_DATOS!$C$1525),CROQUIS_DATOS!$C$1534,CROQUIS_DATOS!$C$1531)/2),INDEX($F$8:$F$23,MIN(INT(($A70-1)/4)+1,CROQUIS_DATOS!$C$1525))/2-0.5))))*CROQUIS_DATOS!$C$1562),-1000)</f>
        <v>84.4792560344828</v>
      </c>
      <c r="M70">
        <f>IF(AND(CROQUIS_DATOS!$C$1472=1,1),(CROQUIS_DATOS!$C$1564+(CHOOSE(MIN(MAX(IF(INT(($A70-1)/4)+1&gt;CROQUIS_DATOS!$C$1525,4,MOD($A70-1,4)+1),1),4),CROQUIS_DATOS!$C$1543,INDEX($I$8:$I$23,MIN(INT(($A70-1)/4)+1,CROQUIS_DATOS!$C$1525)),INDEX($I$8:$I$23,MIN(INT(($A70-1)/4)+1,CROQUIS_DATOS!$C$1525)),CROQUIS_DATOS!$C$1543))*CROQUIS_DATOS!$C$1561*CROQUIS_DATOS!$C$1562),-1000)</f>
        <v>42.5654629310345</v>
      </c>
      <c r="N70">
        <f>IF(AND(CROQUIS_DATOS!$C$1472=1,1),(CROQUIS_DATOS!$C$1563+(IF(IF(IF(INT(($A70-1)/70)+1&gt;CROQUIS_DATOS!$C$1525,70,MOD($A70-1,70)+1)=1,0,IF(IF(INT(($A70-1)/70)+1&gt;CROQUIS_DATOS!$C$1525,70,MOD($A70-1,70)+1)&gt;2*CROQUIS_DATOS!$C$1541+1,IF(MOD(CROQUIS_DATOS!$C$1541,2)=1,1,0),IF(MOD(MIN(INT((IF(INT(($A70-1)/70)+1&gt;CROQUIS_DATOS!$C$1525,70,MOD($A70-1,70)+1)-2)/2)+1,CROQUIS_DATOS!$C$1541),2)=1,IF(MOD(IF(INT(($A70-1)/70)+1&gt;CROQUIS_DATOS!$C$1525,70,MOD($A70-1,70)+1)-2,2)=0,0,1),IF(MOD(IF(INT(($A70-1)/70)+1&gt;CROQUIS_DATOS!$C$1525,70,MOD($A70-1,70)+1)-2,2)=0,1,0))))=0,(INDEX($E$8:$E$23,MIN(INT(($A70-1)/70)+1,CROQUIS_DATOS!$C$1525))-INDEX($F$8:$F$23,MIN(INT(($A70-1)/70)+1,CROQUIS_DATOS!$C$1525))/2),(INDEX($E$8:$E$23,MIN(INT(($A70-1)/70)+1,CROQUIS_DATOS!$C$1525))+INDEX($F$8:$F$23,MIN(INT(($A70-1)/70)+1,CROQUIS_DATOS!$C$1525))/2)))*CROQUIS_DATOS!$C$1562),-1000)</f>
        <v>15.0862068965517</v>
      </c>
      <c r="O70">
        <f>IF(AND(CROQUIS_DATOS!$C$1472=1,1),(CROQUIS_DATOS!$C$1564+(IF(OR(IF(INT(($A70-1)/70)+1&gt;CROQUIS_DATOS!$C$1525,70,MOD($A70-1,70)+1)=1,IF(INT(($A70-1)/70)+1&gt;CROQUIS_DATOS!$C$1525,70,MOD($A70-1,70)+1)&gt;2*CROQUIS_DATOS!$C$1541+1),CROQUIS_DATOS!$C$1476,INDEX($H$8:$H$41,MIN(INT((IF(INT(($A70-1)/70)+1&gt;CROQUIS_DATOS!$C$1525,70,MOD($A70-1,70)+1)-2)/2)+1,CROQUIS_DATOS!$C$1541))))*CROQUIS_DATOS!$C$1561*CROQUIS_DATOS!$C$1562),-1000)</f>
        <v>40.2068965517241</v>
      </c>
      <c r="P70">
        <f>IF(AND(CROQUIS_DATOS!$C$1472=1,CROQUIS_DATOS!$C$1555=1),(CROQUIS_DATOS!$C$1563+(IF(IF(OR(MOD($A70-1,62)+1=1,IF(CHOOSE(MIN(MAX(MIN(INT(($A70-1)/62)+1,5),1),5),CROQUIS_DATOS!$C$1501,CROQUIS_DATOS!$C$1505,CROQUIS_DATOS!$C$1509,CROQUIS_DATOS!$C$1513,CROQUIS_DATOS!$C$1517)=1,CROQUIS_DATOS!$C$1557,0)=0),0,IF(MOD($A70-1,62)+1&gt;2*IF(CHOOSE(MIN(MAX(MIN(INT(($A70-1)/62)+1,5),1),5),CROQUIS_DATOS!$C$1501,CROQUIS_DATOS!$C$1505,CROQUIS_DATOS!$C$1509,CROQUIS_DATOS!$C$1513,CROQUIS_DATOS!$C$1517)=1,CROQUIS_DATOS!$C$1557,0)+1,IF(MOD(IF(CHOOSE(MIN(MAX(MIN(INT(($A70-1)/62)+1,5),1),5),CROQUIS_DATOS!$C$1501,CROQUIS_DATOS!$C$1505,CROQUIS_DATOS!$C$1509,CROQUIS_DATOS!$C$1513,CROQUIS_DATOS!$C$1517)=1,CROQUIS_DATOS!$C$1557,0),2)=1,1,0),IF(MOD(MIN(INT((MOD($A70-1,62)+1-2)/2)+1,MAX(IF(CHOOSE(MIN(MAX(MIN(INT(($A70-1)/62)+1,5),1),5),CROQUIS_DATOS!$C$1501,CROQUIS_DATOS!$C$1505,CROQUIS_DATOS!$C$1509,CROQUIS_DATOS!$C$1513,CROQUIS_DATOS!$C$1517)=1,CROQUIS_DATOS!$C$1557,0),1)),2)=1,IF(MOD(MOD($A70-1,62)+1-2,2)=0,0,1),IF(MOD(MOD($A70-1,62)+1-2,2)=0,1,0))))=0,(CHOOSE(MIN(MAX(MIN(INT(($A70-1)/62)+1,5),1),5),CROQUIS_DATOS!$C$1499,CROQUIS_DATOS!$C$1503,CROQUIS_DATOS!$C$1507,CROQUIS_DATOS!$C$1511,CROQUIS_DATOS!$C$1515)+IF(CHOOSE(MIN(MAX(MIN(INT(($A70-1)/62)+1,5),1),5),CROQUIS_DATOS!$C$1501,CROQUIS_DATOS!$C$1505,CROQUIS_DATOS!$C$1509,CROQUIS_DATOS!$C$1513,CROQUIS_DATOS!$C$1517)=1,CROQUIS_DATOS!$C$1526,0)),(CHOOSE(MIN(MAX(MIN(INT(($A70-1)/62)+1,5),1),5),CROQUIS_DATOS!$C$1499,CROQUIS_DATOS!$C$1503,CROQUIS_DATOS!$C$1507,CROQUIS_DATOS!$C$1511,CROQUIS_DATOS!$C$1515)+CHOOSE(MIN(MAX(MIN(INT(($A70-1)/62)+1,5),1),5),CROQUIS_DATOS!$C$1500,CROQUIS_DATOS!$C$1504,CROQUIS_DATOS!$C$1508,CROQUIS_DATOS!$C$1512,CROQUIS_DATOS!$C$1516)-IF(CHOOSE(MIN(MAX(MIN(INT(($A70-1)/62)+1,5),1),5),CROQUIS_DATOS!$C$1501,CROQUIS_DATOS!$C$1505,CROQUIS_DATOS!$C$1509,CROQUIS_DATOS!$C$1513,CROQUIS_DATOS!$C$1517)=1,CROQUIS_DATOS!$C$1526,0))))*CROQUIS_DATOS!$C$1562),-1000)</f>
        <v>-1000</v>
      </c>
      <c r="Q70">
        <f>IF(AND(CROQUIS_DATOS!$C$1472=1,CROQUIS_DATOS!$C$1555=1),(CROQUIS_DATOS!$C$1564+(IF(OR(OR(MOD($A70-1,62)+1=1,IF(CHOOSE(MIN(MAX(MIN(INT(($A70-1)/62)+1,5),1),5),CROQUIS_DATOS!$C$1501,CROQUIS_DATOS!$C$1505,CROQUIS_DATOS!$C$1509,CROQUIS_DATOS!$C$1513,CROQUIS_DATOS!$C$1517)=1,CROQUIS_DATOS!$C$1557,0)=0),MOD($A70-1,62)+1&gt;2*IF(CHOOSE(MIN(MAX(MIN(INT(($A70-1)/62)+1,5),1),5),CROQUIS_DATOS!$C$1501,CROQUIS_DATOS!$C$1505,CROQUIS_DATOS!$C$1509,CROQUIS_DATOS!$C$1513,CROQUIS_DATOS!$C$1517)=1,CROQUIS_DATOS!$C$1557,0)+1),CROQUIS_DATOS!$C$1476,MIN(INT((MOD($A70-1,62)+1-2)/2)+1,MAX(IF(CHOOSE(MIN(MAX(MIN(INT(($A70-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0">
        <f>IF(AND(CROQUIS_DATOS!$C$1472=1,1),(CROQUIS_DATOS!$C$1563+(MIN(INT(($A70-1)/2)+1,CROQUIS_DATOS!$C$1558)*CROQUIS_DATOS!$C$1559)*CROQUIS_DATOS!$C$1562),-1000)</f>
        <v>82.2281167108753</v>
      </c>
      <c r="U70">
        <f>IF(AND(CROQUIS_DATOS!$C$1472=1,1),(CROQUIS_DATOS!$C$1564+(IF(INT(($A70-1)/2)+1&gt;CROQUIS_DATOS!$C$1558,IF(MOD(CROQUIS_DATOS!$C$1558,2)=1,CROQUIS_DATOS!$C$1476+CROQUIS_DATOS!$C$1528,CROQUIS_DATOS!$C$1476),IF(IF(MOD(MIN(INT(($A70-1)/2)+1,CROQUIS_DATOS!$C$1558),2)=1,MOD($A70-1,2),1-MOD($A70-1,2))=1,CROQUIS_DATOS!$C$1476+CROQUIS_DATOS!$C$1528,CROQUIS_DATOS!$C$1476)))*CROQUIS_DATOS!$C$1561*CROQUIS_DATOS!$C$1562),-1000)</f>
        <v>43</v>
      </c>
      <c r="BZ70">
        <f>IF(AND(CROQUIS_DATOS!$C$1472=1,CROQUIS_DATOS!$C$1500&gt;0,((CROQUIS_DATOS!$C$1499+CROQUIS_DATOS!$C$1500))-(CROQUIS_DATOS!$C$1499)&gt;0.5,(CROQUIS_DATOS!$C$1476)-(0)&gt;0.5),(CROQUIS_DATOS!$C$1566+(IF(IF(MOD(MIN(INT(($A70-1)/2)+1,MAX(1,INT(((((CROQUIS_DATOS!$C$1499+CROQUIS_DATOS!$C$1500))-(CROQUIS_DATOS!$C$1499))+((CROQUIS_DATOS!$C$1476)*CROQUIS_DATOS!$C$1561-(0)*CROQUIS_DATOS!$C$1561))/CROQUIS_DATOS!$C$1568-0.000001))),2)=1,IF(INT(($A70-1)/2)+1&gt;MAX(1,INT(((((CROQUIS_DATOS!$C$1499+CROQUIS_DATOS!$C$1500))-(CROQUIS_DATOS!$C$1499))+((CROQUIS_DATOS!$C$1476)*CROQUIS_DATOS!$C$1561-(0)*CROQUIS_DATOS!$C$1561))/CROQUIS_DATOS!$C$1568-0.000001)),1,MOD($A70-1,2)),1-IF(INT(($A70-1)/2)+1&gt;MAX(1,INT(((((CROQUIS_DATOS!$C$1499+CROQUIS_DATOS!$C$1500))-(CROQUIS_DATOS!$C$1499))+((CROQUIS_DATOS!$C$1476)*CROQUIS_DATOS!$C$1561-(0)*CROQUIS_DATOS!$C$1561))/CROQUIS_DATOS!$C$1568-0.000001)),1,MOD($A70-1,2)))=1,MIN((CROQUIS_DATOS!$C$1476)*CROQUIS_DATOS!$C$1561,((CROQUIS_DATOS!$C$1499+CROQUIS_DATOS!$C$1500)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0">
        <f>IF(AND(CROQUIS_DATOS!$C$1472=1,CROQUIS_DATOS!$C$1500&gt;0,((CROQUIS_DATOS!$C$1499+CROQUIS_DATOS!$C$1500))-(CROQUIS_DATOS!$C$1499)&gt;0.5,(CROQUIS_DATOS!$C$1476)-(0)&gt;0.5),(CROQUIS_DATOS!$C$1567+(IF(IF(MOD(MIN(INT(($A70-1)/2)+1,MAX(1,INT(((((CROQUIS_DATOS!$C$1499+CROQUIS_DATOS!$C$1500))-(CROQUIS_DATOS!$C$1499))+((CROQUIS_DATOS!$C$1476)*CROQUIS_DATOS!$C$1561-(0)*CROQUIS_DATOS!$C$1561))/CROQUIS_DATOS!$C$1568-0.000001))),2)=1,IF(INT(($A70-1)/2)+1&gt;MAX(1,INT(((((CROQUIS_DATOS!$C$1499+CROQUIS_DATOS!$C$1500))-(CROQUIS_DATOS!$C$1499))+((CROQUIS_DATOS!$C$1476)*CROQUIS_DATOS!$C$1561-(0)*CROQUIS_DATOS!$C$1561))/CROQUIS_DATOS!$C$1568-0.000001)),1,MOD($A70-1,2)),1-IF(INT(($A70-1)/2)+1&gt;MAX(1,INT(((((CROQUIS_DATOS!$C$1499+CROQUIS_DATOS!$C$1500))-(CROQUIS_DATOS!$C$1499))+((CROQUIS_DATOS!$C$1476)*CROQUIS_DATOS!$C$1561-(0)*CROQUIS_DATOS!$C$1561))/CROQUIS_DATOS!$C$1568-0.000001)),1,MOD($A70-1,2)))=1,MIN((CROQUIS_DATOS!$C$1476)*CROQUIS_DATOS!$C$1561,((CROQUIS_DATOS!$C$1499+CROQUIS_DATOS!$C$1500)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0">
        <f>IF(AND(CROQUIS_DATOS!$C$1472=1,CROQUIS_DATOS!$C$1504&gt;0,((CROQUIS_DATOS!$C$1503+CROQUIS_DATOS!$C$1504))-(CROQUIS_DATOS!$C$1503)&gt;0.5,(CROQUIS_DATOS!$C$1476)-(0)&gt;0.5),(CROQUIS_DATOS!$C$1566+(IF(IF(MOD(MIN(INT(($A70-1)/2)+1,MAX(1,INT(((((CROQUIS_DATOS!$C$1503+CROQUIS_DATOS!$C$1504))-(CROQUIS_DATOS!$C$1503))+((CROQUIS_DATOS!$C$1476)*CROQUIS_DATOS!$C$1561-(0)*CROQUIS_DATOS!$C$1561))/CROQUIS_DATOS!$C$1568-0.000001))),2)=1,IF(INT(($A70-1)/2)+1&gt;MAX(1,INT(((((CROQUIS_DATOS!$C$1503+CROQUIS_DATOS!$C$1504))-(CROQUIS_DATOS!$C$1503))+((CROQUIS_DATOS!$C$1476)*CROQUIS_DATOS!$C$1561-(0)*CROQUIS_DATOS!$C$1561))/CROQUIS_DATOS!$C$1568-0.000001)),1,MOD($A70-1,2)),1-IF(INT(($A70-1)/2)+1&gt;MAX(1,INT(((((CROQUIS_DATOS!$C$1503+CROQUIS_DATOS!$C$1504))-(CROQUIS_DATOS!$C$1503))+((CROQUIS_DATOS!$C$1476)*CROQUIS_DATOS!$C$1561-(0)*CROQUIS_DATOS!$C$1561))/CROQUIS_DATOS!$C$1568-0.000001)),1,MOD($A70-1,2)))=1,MIN((CROQUIS_DATOS!$C$1476)*CROQUIS_DATOS!$C$1561,((CROQUIS_DATOS!$C$1503+CROQUIS_DATOS!$C$1504)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0">
        <f>IF(AND(CROQUIS_DATOS!$C$1472=1,CROQUIS_DATOS!$C$1504&gt;0,((CROQUIS_DATOS!$C$1503+CROQUIS_DATOS!$C$1504))-(CROQUIS_DATOS!$C$1503)&gt;0.5,(CROQUIS_DATOS!$C$1476)-(0)&gt;0.5),(CROQUIS_DATOS!$C$1567+(IF(IF(MOD(MIN(INT(($A70-1)/2)+1,MAX(1,INT(((((CROQUIS_DATOS!$C$1503+CROQUIS_DATOS!$C$1504))-(CROQUIS_DATOS!$C$1503))+((CROQUIS_DATOS!$C$1476)*CROQUIS_DATOS!$C$1561-(0)*CROQUIS_DATOS!$C$1561))/CROQUIS_DATOS!$C$1568-0.000001))),2)=1,IF(INT(($A70-1)/2)+1&gt;MAX(1,INT(((((CROQUIS_DATOS!$C$1503+CROQUIS_DATOS!$C$1504))-(CROQUIS_DATOS!$C$1503))+((CROQUIS_DATOS!$C$1476)*CROQUIS_DATOS!$C$1561-(0)*CROQUIS_DATOS!$C$1561))/CROQUIS_DATOS!$C$1568-0.000001)),1,MOD($A70-1,2)),1-IF(INT(($A70-1)/2)+1&gt;MAX(1,INT(((((CROQUIS_DATOS!$C$1503+CROQUIS_DATOS!$C$1504))-(CROQUIS_DATOS!$C$1503))+((CROQUIS_DATOS!$C$1476)*CROQUIS_DATOS!$C$1561-(0)*CROQUIS_DATOS!$C$1561))/CROQUIS_DATOS!$C$1568-0.000001)),1,MOD($A70-1,2)))=1,MIN((CROQUIS_DATOS!$C$1476)*CROQUIS_DATOS!$C$1561,((CROQUIS_DATOS!$C$1503+CROQUIS_DATOS!$C$1504)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0">
        <f>IF(AND(CROQUIS_DATOS!$C$1472=1,CROQUIS_DATOS!$C$1508&gt;0,((CROQUIS_DATOS!$C$1507+CROQUIS_DATOS!$C$1508))-(CROQUIS_DATOS!$C$1507)&gt;0.5,(CROQUIS_DATOS!$C$1476)-(0)&gt;0.5),(CROQUIS_DATOS!$C$1566+(IF(IF(MOD(MIN(INT(($A70-1)/2)+1,MAX(1,INT(((((CROQUIS_DATOS!$C$1507+CROQUIS_DATOS!$C$1508))-(CROQUIS_DATOS!$C$1507))+((CROQUIS_DATOS!$C$1476)*CROQUIS_DATOS!$C$1561-(0)*CROQUIS_DATOS!$C$1561))/CROQUIS_DATOS!$C$1568-0.000001))),2)=1,IF(INT(($A70-1)/2)+1&gt;MAX(1,INT(((((CROQUIS_DATOS!$C$1507+CROQUIS_DATOS!$C$1508))-(CROQUIS_DATOS!$C$1507))+((CROQUIS_DATOS!$C$1476)*CROQUIS_DATOS!$C$1561-(0)*CROQUIS_DATOS!$C$1561))/CROQUIS_DATOS!$C$1568-0.000001)),1,MOD($A70-1,2)),1-IF(INT(($A70-1)/2)+1&gt;MAX(1,INT(((((CROQUIS_DATOS!$C$1507+CROQUIS_DATOS!$C$1508))-(CROQUIS_DATOS!$C$1507))+((CROQUIS_DATOS!$C$1476)*CROQUIS_DATOS!$C$1561-(0)*CROQUIS_DATOS!$C$1561))/CROQUIS_DATOS!$C$1568-0.000001)),1,MOD($A70-1,2)))=1,MIN((CROQUIS_DATOS!$C$1476)*CROQUIS_DATOS!$C$1561,((CROQUIS_DATOS!$C$1507+CROQUIS_DATOS!$C$1508)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0">
        <f>IF(AND(CROQUIS_DATOS!$C$1472=1,CROQUIS_DATOS!$C$1508&gt;0,((CROQUIS_DATOS!$C$1507+CROQUIS_DATOS!$C$1508))-(CROQUIS_DATOS!$C$1507)&gt;0.5,(CROQUIS_DATOS!$C$1476)-(0)&gt;0.5),(CROQUIS_DATOS!$C$1567+(IF(IF(MOD(MIN(INT(($A70-1)/2)+1,MAX(1,INT(((((CROQUIS_DATOS!$C$1507+CROQUIS_DATOS!$C$1508))-(CROQUIS_DATOS!$C$1507))+((CROQUIS_DATOS!$C$1476)*CROQUIS_DATOS!$C$1561-(0)*CROQUIS_DATOS!$C$1561))/CROQUIS_DATOS!$C$1568-0.000001))),2)=1,IF(INT(($A70-1)/2)+1&gt;MAX(1,INT(((((CROQUIS_DATOS!$C$1507+CROQUIS_DATOS!$C$1508))-(CROQUIS_DATOS!$C$1507))+((CROQUIS_DATOS!$C$1476)*CROQUIS_DATOS!$C$1561-(0)*CROQUIS_DATOS!$C$1561))/CROQUIS_DATOS!$C$1568-0.000001)),1,MOD($A70-1,2)),1-IF(INT(($A70-1)/2)+1&gt;MAX(1,INT(((((CROQUIS_DATOS!$C$1507+CROQUIS_DATOS!$C$1508))-(CROQUIS_DATOS!$C$1507))+((CROQUIS_DATOS!$C$1476)*CROQUIS_DATOS!$C$1561-(0)*CROQUIS_DATOS!$C$1561))/CROQUIS_DATOS!$C$1568-0.000001)),1,MOD($A70-1,2)))=1,MIN((CROQUIS_DATOS!$C$1476)*CROQUIS_DATOS!$C$1561,((CROQUIS_DATOS!$C$1507+CROQUIS_DATOS!$C$1508)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0">
        <f>IF(AND(CROQUIS_DATOS!$C$1472=1,CROQUIS_DATOS!$C$1512&gt;0,((CROQUIS_DATOS!$C$1511+CROQUIS_DATOS!$C$1512))-(CROQUIS_DATOS!$C$1511)&gt;0.5,(CROQUIS_DATOS!$C$1476)-(0)&gt;0.5),(CROQUIS_DATOS!$C$1566+(IF(IF(MOD(MIN(INT(($A70-1)/2)+1,MAX(1,INT(((((CROQUIS_DATOS!$C$1511+CROQUIS_DATOS!$C$1512))-(CROQUIS_DATOS!$C$1511))+((CROQUIS_DATOS!$C$1476)*CROQUIS_DATOS!$C$1561-(0)*CROQUIS_DATOS!$C$1561))/CROQUIS_DATOS!$C$1568-0.000001))),2)=1,IF(INT(($A70-1)/2)+1&gt;MAX(1,INT(((((CROQUIS_DATOS!$C$1511+CROQUIS_DATOS!$C$1512))-(CROQUIS_DATOS!$C$1511))+((CROQUIS_DATOS!$C$1476)*CROQUIS_DATOS!$C$1561-(0)*CROQUIS_DATOS!$C$1561))/CROQUIS_DATOS!$C$1568-0.000001)),1,MOD($A70-1,2)),1-IF(INT(($A70-1)/2)+1&gt;MAX(1,INT(((((CROQUIS_DATOS!$C$1511+CROQUIS_DATOS!$C$1512))-(CROQUIS_DATOS!$C$1511))+((CROQUIS_DATOS!$C$1476)*CROQUIS_DATOS!$C$1561-(0)*CROQUIS_DATOS!$C$1561))/CROQUIS_DATOS!$C$1568-0.000001)),1,MOD($A70-1,2)))=1,MIN((CROQUIS_DATOS!$C$1476)*CROQUIS_DATOS!$C$1561,((CROQUIS_DATOS!$C$1511+CROQUIS_DATOS!$C$1512)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0">
        <f>IF(AND(CROQUIS_DATOS!$C$1472=1,CROQUIS_DATOS!$C$1512&gt;0,((CROQUIS_DATOS!$C$1511+CROQUIS_DATOS!$C$1512))-(CROQUIS_DATOS!$C$1511)&gt;0.5,(CROQUIS_DATOS!$C$1476)-(0)&gt;0.5),(CROQUIS_DATOS!$C$1567+(IF(IF(MOD(MIN(INT(($A70-1)/2)+1,MAX(1,INT(((((CROQUIS_DATOS!$C$1511+CROQUIS_DATOS!$C$1512))-(CROQUIS_DATOS!$C$1511))+((CROQUIS_DATOS!$C$1476)*CROQUIS_DATOS!$C$1561-(0)*CROQUIS_DATOS!$C$1561))/CROQUIS_DATOS!$C$1568-0.000001))),2)=1,IF(INT(($A70-1)/2)+1&gt;MAX(1,INT(((((CROQUIS_DATOS!$C$1511+CROQUIS_DATOS!$C$1512))-(CROQUIS_DATOS!$C$1511))+((CROQUIS_DATOS!$C$1476)*CROQUIS_DATOS!$C$1561-(0)*CROQUIS_DATOS!$C$1561))/CROQUIS_DATOS!$C$1568-0.000001)),1,MOD($A70-1,2)),1-IF(INT(($A70-1)/2)+1&gt;MAX(1,INT(((((CROQUIS_DATOS!$C$1511+CROQUIS_DATOS!$C$1512))-(CROQUIS_DATOS!$C$1511))+((CROQUIS_DATOS!$C$1476)*CROQUIS_DATOS!$C$1561-(0)*CROQUIS_DATOS!$C$1561))/CROQUIS_DATOS!$C$1568-0.000001)),1,MOD($A70-1,2)))=1,MIN((CROQUIS_DATOS!$C$1476)*CROQUIS_DATOS!$C$1561,((CROQUIS_DATOS!$C$1511+CROQUIS_DATOS!$C$1512)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0">
        <f>IF(AND(CROQUIS_DATOS!$C$1472=1,CROQUIS_DATOS!$C$1516&gt;0,((CROQUIS_DATOS!$C$1515+CROQUIS_DATOS!$C$1516))-(CROQUIS_DATOS!$C$1515)&gt;0.5,(CROQUIS_DATOS!$C$1476)-(0)&gt;0.5),(CROQUIS_DATOS!$C$1566+(IF(IF(MOD(MIN(INT(($A70-1)/2)+1,MAX(1,INT(((((CROQUIS_DATOS!$C$1515+CROQUIS_DATOS!$C$1516))-(CROQUIS_DATOS!$C$1515))+((CROQUIS_DATOS!$C$1476)*CROQUIS_DATOS!$C$1561-(0)*CROQUIS_DATOS!$C$1561))/CROQUIS_DATOS!$C$1568-0.000001))),2)=1,IF(INT(($A70-1)/2)+1&gt;MAX(1,INT(((((CROQUIS_DATOS!$C$1515+CROQUIS_DATOS!$C$1516))-(CROQUIS_DATOS!$C$1515))+((CROQUIS_DATOS!$C$1476)*CROQUIS_DATOS!$C$1561-(0)*CROQUIS_DATOS!$C$1561))/CROQUIS_DATOS!$C$1568-0.000001)),1,MOD($A70-1,2)),1-IF(INT(($A70-1)/2)+1&gt;MAX(1,INT(((((CROQUIS_DATOS!$C$1515+CROQUIS_DATOS!$C$1516))-(CROQUIS_DATOS!$C$1515))+((CROQUIS_DATOS!$C$1476)*CROQUIS_DATOS!$C$1561-(0)*CROQUIS_DATOS!$C$1561))/CROQUIS_DATOS!$C$1568-0.000001)),1,MOD($A70-1,2)))=1,MIN((CROQUIS_DATOS!$C$1476)*CROQUIS_DATOS!$C$1561,((CROQUIS_DATOS!$C$1515+CROQUIS_DATOS!$C$1516)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0">
        <f>IF(AND(CROQUIS_DATOS!$C$1472=1,CROQUIS_DATOS!$C$1516&gt;0,((CROQUIS_DATOS!$C$1515+CROQUIS_DATOS!$C$1516))-(CROQUIS_DATOS!$C$1515)&gt;0.5,(CROQUIS_DATOS!$C$1476)-(0)&gt;0.5),(CROQUIS_DATOS!$C$1567+(IF(IF(MOD(MIN(INT(($A70-1)/2)+1,MAX(1,INT(((((CROQUIS_DATOS!$C$1515+CROQUIS_DATOS!$C$1516))-(CROQUIS_DATOS!$C$1515))+((CROQUIS_DATOS!$C$1476)*CROQUIS_DATOS!$C$1561-(0)*CROQUIS_DATOS!$C$1561))/CROQUIS_DATOS!$C$1568-0.000001))),2)=1,IF(INT(($A70-1)/2)+1&gt;MAX(1,INT(((((CROQUIS_DATOS!$C$1515+CROQUIS_DATOS!$C$1516))-(CROQUIS_DATOS!$C$1515))+((CROQUIS_DATOS!$C$1476)*CROQUIS_DATOS!$C$1561-(0)*CROQUIS_DATOS!$C$1561))/CROQUIS_DATOS!$C$1568-0.000001)),1,MOD($A70-1,2)),1-IF(INT(($A70-1)/2)+1&gt;MAX(1,INT(((((CROQUIS_DATOS!$C$1515+CROQUIS_DATOS!$C$1516))-(CROQUIS_DATOS!$C$1515))+((CROQUIS_DATOS!$C$1476)*CROQUIS_DATOS!$C$1561-(0)*CROQUIS_DATOS!$C$1561))/CROQUIS_DATOS!$C$1568-0.000001)),1,MOD($A70-1,2)))=1,MIN((CROQUIS_DATOS!$C$1476)*CROQUIS_DATOS!$C$1561,((CROQUIS_DATOS!$C$1515+CROQUIS_DATOS!$C$1516)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0">
        <f>IF(AND(CROQUIS_DATOS!$C$1472=1,CROQUIS_DATOS!$C$1478&gt;=1,((CROQUIS_DATOS!$C$1479+CROQUIS_DATOS!$C$1480))-(CROQUIS_DATOS!$C$1479)&gt;0.5,(CROQUIS_DATOS!$C$1481)-(0)&gt;0.5),(CROQUIS_DATOS!$C$1566+(IF(IF(MOD(MIN(INT(($A70-1)/2)+1,MAX(1,INT(((((CROQUIS_DATOS!$C$1479+CROQUIS_DATOS!$C$1480))-(CROQUIS_DATOS!$C$1479))+((CROQUIS_DATOS!$C$1481)*CROQUIS_DATOS!$C$1561-(0)*CROQUIS_DATOS!$C$1561))/CROQUIS_DATOS!$C$1568-0.000001))),2)=1,IF(INT(($A70-1)/2)+1&gt;MAX(1,INT(((((CROQUIS_DATOS!$C$1479+CROQUIS_DATOS!$C$1480))-(CROQUIS_DATOS!$C$1479))+((CROQUIS_DATOS!$C$1481)*CROQUIS_DATOS!$C$1561-(0)*CROQUIS_DATOS!$C$1561))/CROQUIS_DATOS!$C$1568-0.000001)),1,MOD($A70-1,2)),1-IF(INT(($A70-1)/2)+1&gt;MAX(1,INT(((((CROQUIS_DATOS!$C$1479+CROQUIS_DATOS!$C$1480))-(CROQUIS_DATOS!$C$1479))+((CROQUIS_DATOS!$C$1481)*CROQUIS_DATOS!$C$1561-(0)*CROQUIS_DATOS!$C$1561))/CROQUIS_DATOS!$C$1568-0.000001)),1,MOD($A70-1,2)))=1,MIN((CROQUIS_DATOS!$C$1481)*CROQUIS_DATOS!$C$1561,((CROQUIS_DATOS!$C$1479+CROQUIS_DATOS!$C$1480)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0">
        <f>IF(AND(CROQUIS_DATOS!$C$1472=1,CROQUIS_DATOS!$C$1478&gt;=1,((CROQUIS_DATOS!$C$1479+CROQUIS_DATOS!$C$1480))-(CROQUIS_DATOS!$C$1479)&gt;0.5,(CROQUIS_DATOS!$C$1481)-(0)&gt;0.5),(CROQUIS_DATOS!$C$1567+(IF(IF(MOD(MIN(INT(($A70-1)/2)+1,MAX(1,INT(((((CROQUIS_DATOS!$C$1479+CROQUIS_DATOS!$C$1480))-(CROQUIS_DATOS!$C$1479))+((CROQUIS_DATOS!$C$1481)*CROQUIS_DATOS!$C$1561-(0)*CROQUIS_DATOS!$C$1561))/CROQUIS_DATOS!$C$1568-0.000001))),2)=1,IF(INT(($A70-1)/2)+1&gt;MAX(1,INT(((((CROQUIS_DATOS!$C$1479+CROQUIS_DATOS!$C$1480))-(CROQUIS_DATOS!$C$1479))+((CROQUIS_DATOS!$C$1481)*CROQUIS_DATOS!$C$1561-(0)*CROQUIS_DATOS!$C$1561))/CROQUIS_DATOS!$C$1568-0.000001)),1,MOD($A70-1,2)),1-IF(INT(($A70-1)/2)+1&gt;MAX(1,INT(((((CROQUIS_DATOS!$C$1479+CROQUIS_DATOS!$C$1480))-(CROQUIS_DATOS!$C$1479))+((CROQUIS_DATOS!$C$1481)*CROQUIS_DATOS!$C$1561-(0)*CROQUIS_DATOS!$C$1561))/CROQUIS_DATOS!$C$1568-0.000001)),1,MOD($A70-1,2)))=1,MIN((CROQUIS_DATOS!$C$1481)*CROQUIS_DATOS!$C$1561,((CROQUIS_DATOS!$C$1479+CROQUIS_DATOS!$C$1480)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0">
        <f>IF(AND(CROQUIS_DATOS!$C$1472=1,CROQUIS_DATOS!$C$1478&gt;=1,((CROQUIS_DATOS!$C$1479+CROQUIS_DATOS!$C$1480))-(CROQUIS_DATOS!$C$1479)&gt;0.5,(CROQUIS_DATOS!$C$1476)-((CROQUIS_DATOS!$C$1481+CROQUIS_DATOS!$C$1482))&gt;0.5),(CROQUIS_DATOS!$C$1566+(IF(IF(MOD(MIN(INT(($A70-1)/2)+1,MAX(1,INT(((((CROQUIS_DATOS!$C$1479+CROQUIS_DATOS!$C$1480))-(CROQUIS_DATOS!$C$1479))+((CROQUIS_DATOS!$C$1476)*CROQUIS_DATOS!$C$1561-((CROQUIS_DATOS!$C$1481+CROQUIS_DATOS!$C$1482))*CROQUIS_DATOS!$C$1561))/CROQUIS_DATOS!$C$1568-0.000001))),2)=1,IF(INT(($A70-1)/2)+1&gt;MAX(1,INT(((((CROQUIS_DATOS!$C$1479+CROQUIS_DATOS!$C$1480))-(CROQUIS_DATOS!$C$1479))+((CROQUIS_DATOS!$C$1476)*CROQUIS_DATOS!$C$1561-((CROQUIS_DATOS!$C$1481+CROQUIS_DATOS!$C$1482))*CROQUIS_DATOS!$C$1561))/CROQUIS_DATOS!$C$1568-0.000001)),1,MOD($A70-1,2)),1-IF(INT(($A70-1)/2)+1&gt;MAX(1,INT(((((CROQUIS_DATOS!$C$1479+CROQUIS_DATOS!$C$1480))-(CROQUIS_DATOS!$C$1479))+((CROQUIS_DATOS!$C$1476)*CROQUIS_DATOS!$C$1561-((CROQUIS_DATOS!$C$1481+CROQUIS_DATOS!$C$1482))*CROQUIS_DATOS!$C$1561))/CROQUIS_DATOS!$C$1568-0.000001)),1,MOD($A70-1,2)))=1,MIN((CROQUIS_DATOS!$C$1476)*CROQUIS_DATOS!$C$1561,((CROQUIS_DATOS!$C$1479+CROQUIS_DATOS!$C$1480)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0">
        <f>IF(AND(CROQUIS_DATOS!$C$1472=1,CROQUIS_DATOS!$C$1478&gt;=1,((CROQUIS_DATOS!$C$1479+CROQUIS_DATOS!$C$1480))-(CROQUIS_DATOS!$C$1479)&gt;0.5,(CROQUIS_DATOS!$C$1476)-((CROQUIS_DATOS!$C$1481+CROQUIS_DATOS!$C$1482))&gt;0.5),(CROQUIS_DATOS!$C$1567+(IF(IF(MOD(MIN(INT(($A70-1)/2)+1,MAX(1,INT(((((CROQUIS_DATOS!$C$1479+CROQUIS_DATOS!$C$1480))-(CROQUIS_DATOS!$C$1479))+((CROQUIS_DATOS!$C$1476)*CROQUIS_DATOS!$C$1561-((CROQUIS_DATOS!$C$1481+CROQUIS_DATOS!$C$1482))*CROQUIS_DATOS!$C$1561))/CROQUIS_DATOS!$C$1568-0.000001))),2)=1,IF(INT(($A70-1)/2)+1&gt;MAX(1,INT(((((CROQUIS_DATOS!$C$1479+CROQUIS_DATOS!$C$1480))-(CROQUIS_DATOS!$C$1479))+((CROQUIS_DATOS!$C$1476)*CROQUIS_DATOS!$C$1561-((CROQUIS_DATOS!$C$1481+CROQUIS_DATOS!$C$1482))*CROQUIS_DATOS!$C$1561))/CROQUIS_DATOS!$C$1568-0.000001)),1,MOD($A70-1,2)),1-IF(INT(($A70-1)/2)+1&gt;MAX(1,INT(((((CROQUIS_DATOS!$C$1479+CROQUIS_DATOS!$C$1480))-(CROQUIS_DATOS!$C$1479))+((CROQUIS_DATOS!$C$1476)*CROQUIS_DATOS!$C$1561-((CROQUIS_DATOS!$C$1481+CROQUIS_DATOS!$C$1482))*CROQUIS_DATOS!$C$1561))/CROQUIS_DATOS!$C$1568-0.000001)),1,MOD($A70-1,2)))=1,MIN((CROQUIS_DATOS!$C$1476)*CROQUIS_DATOS!$C$1561,((CROQUIS_DATOS!$C$1479+CROQUIS_DATOS!$C$1480)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0">
        <f>IF(AND(CROQUIS_DATOS!$C$1472=1,CROQUIS_DATOS!$C$1478&gt;=2,((CROQUIS_DATOS!$C$1484+CROQUIS_DATOS!$C$1485))-(CROQUIS_DATOS!$C$1484)&gt;0.5,(CROQUIS_DATOS!$C$1486)-(0)&gt;0.5),(CROQUIS_DATOS!$C$1566+(IF(IF(MOD(MIN(INT(($A70-1)/2)+1,MAX(1,INT(((((CROQUIS_DATOS!$C$1484+CROQUIS_DATOS!$C$1485))-(CROQUIS_DATOS!$C$1484))+((CROQUIS_DATOS!$C$1486)*CROQUIS_DATOS!$C$1561-(0)*CROQUIS_DATOS!$C$1561))/CROQUIS_DATOS!$C$1568-0.000001))),2)=1,IF(INT(($A70-1)/2)+1&gt;MAX(1,INT(((((CROQUIS_DATOS!$C$1484+CROQUIS_DATOS!$C$1485))-(CROQUIS_DATOS!$C$1484))+((CROQUIS_DATOS!$C$1486)*CROQUIS_DATOS!$C$1561-(0)*CROQUIS_DATOS!$C$1561))/CROQUIS_DATOS!$C$1568-0.000001)),1,MOD($A70-1,2)),1-IF(INT(($A70-1)/2)+1&gt;MAX(1,INT(((((CROQUIS_DATOS!$C$1484+CROQUIS_DATOS!$C$1485))-(CROQUIS_DATOS!$C$1484))+((CROQUIS_DATOS!$C$1486)*CROQUIS_DATOS!$C$1561-(0)*CROQUIS_DATOS!$C$1561))/CROQUIS_DATOS!$C$1568-0.000001)),1,MOD($A70-1,2)))=1,MIN((CROQUIS_DATOS!$C$1486)*CROQUIS_DATOS!$C$1561,((CROQUIS_DATOS!$C$1484+CROQUIS_DATOS!$C$1485)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0">
        <f>IF(AND(CROQUIS_DATOS!$C$1472=1,CROQUIS_DATOS!$C$1478&gt;=2,((CROQUIS_DATOS!$C$1484+CROQUIS_DATOS!$C$1485))-(CROQUIS_DATOS!$C$1484)&gt;0.5,(CROQUIS_DATOS!$C$1486)-(0)&gt;0.5),(CROQUIS_DATOS!$C$1567+(IF(IF(MOD(MIN(INT(($A70-1)/2)+1,MAX(1,INT(((((CROQUIS_DATOS!$C$1484+CROQUIS_DATOS!$C$1485))-(CROQUIS_DATOS!$C$1484))+((CROQUIS_DATOS!$C$1486)*CROQUIS_DATOS!$C$1561-(0)*CROQUIS_DATOS!$C$1561))/CROQUIS_DATOS!$C$1568-0.000001))),2)=1,IF(INT(($A70-1)/2)+1&gt;MAX(1,INT(((((CROQUIS_DATOS!$C$1484+CROQUIS_DATOS!$C$1485))-(CROQUIS_DATOS!$C$1484))+((CROQUIS_DATOS!$C$1486)*CROQUIS_DATOS!$C$1561-(0)*CROQUIS_DATOS!$C$1561))/CROQUIS_DATOS!$C$1568-0.000001)),1,MOD($A70-1,2)),1-IF(INT(($A70-1)/2)+1&gt;MAX(1,INT(((((CROQUIS_DATOS!$C$1484+CROQUIS_DATOS!$C$1485))-(CROQUIS_DATOS!$C$1484))+((CROQUIS_DATOS!$C$1486)*CROQUIS_DATOS!$C$1561-(0)*CROQUIS_DATOS!$C$1561))/CROQUIS_DATOS!$C$1568-0.000001)),1,MOD($A70-1,2)))=1,MIN((CROQUIS_DATOS!$C$1486)*CROQUIS_DATOS!$C$1561,((CROQUIS_DATOS!$C$1484+CROQUIS_DATOS!$C$1485)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0">
        <f>IF(AND(CROQUIS_DATOS!$C$1472=1,CROQUIS_DATOS!$C$1478&gt;=2,((CROQUIS_DATOS!$C$1484+CROQUIS_DATOS!$C$1485))-(CROQUIS_DATOS!$C$1484)&gt;0.5,(CROQUIS_DATOS!$C$1476)-((CROQUIS_DATOS!$C$1486+CROQUIS_DATOS!$C$1487))&gt;0.5),(CROQUIS_DATOS!$C$1566+(IF(IF(MOD(MIN(INT(($A70-1)/2)+1,MAX(1,INT(((((CROQUIS_DATOS!$C$1484+CROQUIS_DATOS!$C$1485))-(CROQUIS_DATOS!$C$1484))+((CROQUIS_DATOS!$C$1476)*CROQUIS_DATOS!$C$1561-((CROQUIS_DATOS!$C$1486+CROQUIS_DATOS!$C$1487))*CROQUIS_DATOS!$C$1561))/CROQUIS_DATOS!$C$1568-0.000001))),2)=1,IF(INT(($A70-1)/2)+1&gt;MAX(1,INT(((((CROQUIS_DATOS!$C$1484+CROQUIS_DATOS!$C$1485))-(CROQUIS_DATOS!$C$1484))+((CROQUIS_DATOS!$C$1476)*CROQUIS_DATOS!$C$1561-((CROQUIS_DATOS!$C$1486+CROQUIS_DATOS!$C$1487))*CROQUIS_DATOS!$C$1561))/CROQUIS_DATOS!$C$1568-0.000001)),1,MOD($A70-1,2)),1-IF(INT(($A70-1)/2)+1&gt;MAX(1,INT(((((CROQUIS_DATOS!$C$1484+CROQUIS_DATOS!$C$1485))-(CROQUIS_DATOS!$C$1484))+((CROQUIS_DATOS!$C$1476)*CROQUIS_DATOS!$C$1561-((CROQUIS_DATOS!$C$1486+CROQUIS_DATOS!$C$1487))*CROQUIS_DATOS!$C$1561))/CROQUIS_DATOS!$C$1568-0.000001)),1,MOD($A70-1,2)))=1,MIN((CROQUIS_DATOS!$C$1476)*CROQUIS_DATOS!$C$1561,((CROQUIS_DATOS!$C$1484+CROQUIS_DATOS!$C$1485)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0">
        <f>IF(AND(CROQUIS_DATOS!$C$1472=1,CROQUIS_DATOS!$C$1478&gt;=2,((CROQUIS_DATOS!$C$1484+CROQUIS_DATOS!$C$1485))-(CROQUIS_DATOS!$C$1484)&gt;0.5,(CROQUIS_DATOS!$C$1476)-((CROQUIS_DATOS!$C$1486+CROQUIS_DATOS!$C$1487))&gt;0.5),(CROQUIS_DATOS!$C$1567+(IF(IF(MOD(MIN(INT(($A70-1)/2)+1,MAX(1,INT(((((CROQUIS_DATOS!$C$1484+CROQUIS_DATOS!$C$1485))-(CROQUIS_DATOS!$C$1484))+((CROQUIS_DATOS!$C$1476)*CROQUIS_DATOS!$C$1561-((CROQUIS_DATOS!$C$1486+CROQUIS_DATOS!$C$1487))*CROQUIS_DATOS!$C$1561))/CROQUIS_DATOS!$C$1568-0.000001))),2)=1,IF(INT(($A70-1)/2)+1&gt;MAX(1,INT(((((CROQUIS_DATOS!$C$1484+CROQUIS_DATOS!$C$1485))-(CROQUIS_DATOS!$C$1484))+((CROQUIS_DATOS!$C$1476)*CROQUIS_DATOS!$C$1561-((CROQUIS_DATOS!$C$1486+CROQUIS_DATOS!$C$1487))*CROQUIS_DATOS!$C$1561))/CROQUIS_DATOS!$C$1568-0.000001)),1,MOD($A70-1,2)),1-IF(INT(($A70-1)/2)+1&gt;MAX(1,INT(((((CROQUIS_DATOS!$C$1484+CROQUIS_DATOS!$C$1485))-(CROQUIS_DATOS!$C$1484))+((CROQUIS_DATOS!$C$1476)*CROQUIS_DATOS!$C$1561-((CROQUIS_DATOS!$C$1486+CROQUIS_DATOS!$C$1487))*CROQUIS_DATOS!$C$1561))/CROQUIS_DATOS!$C$1568-0.000001)),1,MOD($A70-1,2)))=1,MIN((CROQUIS_DATOS!$C$1476)*CROQUIS_DATOS!$C$1561,((CROQUIS_DATOS!$C$1484+CROQUIS_DATOS!$C$1485)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0">
        <f>IF(AND(CROQUIS_DATOS!$C$1472=1,CROQUIS_DATOS!$C$1478&gt;=3,((CROQUIS_DATOS!$C$1489+CROQUIS_DATOS!$C$1490))-(CROQUIS_DATOS!$C$1489)&gt;0.5,(CROQUIS_DATOS!$C$1491)-(0)&gt;0.5),(CROQUIS_DATOS!$C$1566+(IF(IF(MOD(MIN(INT(($A70-1)/2)+1,MAX(1,INT(((((CROQUIS_DATOS!$C$1489+CROQUIS_DATOS!$C$1490))-(CROQUIS_DATOS!$C$1489))+((CROQUIS_DATOS!$C$1491)*CROQUIS_DATOS!$C$1561-(0)*CROQUIS_DATOS!$C$1561))/CROQUIS_DATOS!$C$1568-0.000001))),2)=1,IF(INT(($A70-1)/2)+1&gt;MAX(1,INT(((((CROQUIS_DATOS!$C$1489+CROQUIS_DATOS!$C$1490))-(CROQUIS_DATOS!$C$1489))+((CROQUIS_DATOS!$C$1491)*CROQUIS_DATOS!$C$1561-(0)*CROQUIS_DATOS!$C$1561))/CROQUIS_DATOS!$C$1568-0.000001)),1,MOD($A70-1,2)),1-IF(INT(($A70-1)/2)+1&gt;MAX(1,INT(((((CROQUIS_DATOS!$C$1489+CROQUIS_DATOS!$C$1490))-(CROQUIS_DATOS!$C$1489))+((CROQUIS_DATOS!$C$1491)*CROQUIS_DATOS!$C$1561-(0)*CROQUIS_DATOS!$C$1561))/CROQUIS_DATOS!$C$1568-0.000001)),1,MOD($A70-1,2)))=1,MIN((CROQUIS_DATOS!$C$1491)*CROQUIS_DATOS!$C$1561,((CROQUIS_DATOS!$C$1489+CROQUIS_DATOS!$C$1490)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0">
        <f>IF(AND(CROQUIS_DATOS!$C$1472=1,CROQUIS_DATOS!$C$1478&gt;=3,((CROQUIS_DATOS!$C$1489+CROQUIS_DATOS!$C$1490))-(CROQUIS_DATOS!$C$1489)&gt;0.5,(CROQUIS_DATOS!$C$1491)-(0)&gt;0.5),(CROQUIS_DATOS!$C$1567+(IF(IF(MOD(MIN(INT(($A70-1)/2)+1,MAX(1,INT(((((CROQUIS_DATOS!$C$1489+CROQUIS_DATOS!$C$1490))-(CROQUIS_DATOS!$C$1489))+((CROQUIS_DATOS!$C$1491)*CROQUIS_DATOS!$C$1561-(0)*CROQUIS_DATOS!$C$1561))/CROQUIS_DATOS!$C$1568-0.000001))),2)=1,IF(INT(($A70-1)/2)+1&gt;MAX(1,INT(((((CROQUIS_DATOS!$C$1489+CROQUIS_DATOS!$C$1490))-(CROQUIS_DATOS!$C$1489))+((CROQUIS_DATOS!$C$1491)*CROQUIS_DATOS!$C$1561-(0)*CROQUIS_DATOS!$C$1561))/CROQUIS_DATOS!$C$1568-0.000001)),1,MOD($A70-1,2)),1-IF(INT(($A70-1)/2)+1&gt;MAX(1,INT(((((CROQUIS_DATOS!$C$1489+CROQUIS_DATOS!$C$1490))-(CROQUIS_DATOS!$C$1489))+((CROQUIS_DATOS!$C$1491)*CROQUIS_DATOS!$C$1561-(0)*CROQUIS_DATOS!$C$1561))/CROQUIS_DATOS!$C$1568-0.000001)),1,MOD($A70-1,2)))=1,MIN((CROQUIS_DATOS!$C$1491)*CROQUIS_DATOS!$C$1561,((CROQUIS_DATOS!$C$1489+CROQUIS_DATOS!$C$1490)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0">
        <f>IF(AND(CROQUIS_DATOS!$C$1472=1,CROQUIS_DATOS!$C$1478&gt;=3,((CROQUIS_DATOS!$C$1489+CROQUIS_DATOS!$C$1490))-(CROQUIS_DATOS!$C$1489)&gt;0.5,(CROQUIS_DATOS!$C$1476)-((CROQUIS_DATOS!$C$1491+CROQUIS_DATOS!$C$1492))&gt;0.5),(CROQUIS_DATOS!$C$1566+(IF(IF(MOD(MIN(INT(($A70-1)/2)+1,MAX(1,INT(((((CROQUIS_DATOS!$C$1489+CROQUIS_DATOS!$C$1490))-(CROQUIS_DATOS!$C$1489))+((CROQUIS_DATOS!$C$1476)*CROQUIS_DATOS!$C$1561-((CROQUIS_DATOS!$C$1491+CROQUIS_DATOS!$C$1492))*CROQUIS_DATOS!$C$1561))/CROQUIS_DATOS!$C$1568-0.000001))),2)=1,IF(INT(($A70-1)/2)+1&gt;MAX(1,INT(((((CROQUIS_DATOS!$C$1489+CROQUIS_DATOS!$C$1490))-(CROQUIS_DATOS!$C$1489))+((CROQUIS_DATOS!$C$1476)*CROQUIS_DATOS!$C$1561-((CROQUIS_DATOS!$C$1491+CROQUIS_DATOS!$C$1492))*CROQUIS_DATOS!$C$1561))/CROQUIS_DATOS!$C$1568-0.000001)),1,MOD($A70-1,2)),1-IF(INT(($A70-1)/2)+1&gt;MAX(1,INT(((((CROQUIS_DATOS!$C$1489+CROQUIS_DATOS!$C$1490))-(CROQUIS_DATOS!$C$1489))+((CROQUIS_DATOS!$C$1476)*CROQUIS_DATOS!$C$1561-((CROQUIS_DATOS!$C$1491+CROQUIS_DATOS!$C$1492))*CROQUIS_DATOS!$C$1561))/CROQUIS_DATOS!$C$1568-0.000001)),1,MOD($A70-1,2)))=1,MIN((CROQUIS_DATOS!$C$1476)*CROQUIS_DATOS!$C$1561,((CROQUIS_DATOS!$C$1489+CROQUIS_DATOS!$C$1490)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0">
        <f>IF(AND(CROQUIS_DATOS!$C$1472=1,CROQUIS_DATOS!$C$1478&gt;=3,((CROQUIS_DATOS!$C$1489+CROQUIS_DATOS!$C$1490))-(CROQUIS_DATOS!$C$1489)&gt;0.5,(CROQUIS_DATOS!$C$1476)-((CROQUIS_DATOS!$C$1491+CROQUIS_DATOS!$C$1492))&gt;0.5),(CROQUIS_DATOS!$C$1567+(IF(IF(MOD(MIN(INT(($A70-1)/2)+1,MAX(1,INT(((((CROQUIS_DATOS!$C$1489+CROQUIS_DATOS!$C$1490))-(CROQUIS_DATOS!$C$1489))+((CROQUIS_DATOS!$C$1476)*CROQUIS_DATOS!$C$1561-((CROQUIS_DATOS!$C$1491+CROQUIS_DATOS!$C$1492))*CROQUIS_DATOS!$C$1561))/CROQUIS_DATOS!$C$1568-0.000001))),2)=1,IF(INT(($A70-1)/2)+1&gt;MAX(1,INT(((((CROQUIS_DATOS!$C$1489+CROQUIS_DATOS!$C$1490))-(CROQUIS_DATOS!$C$1489))+((CROQUIS_DATOS!$C$1476)*CROQUIS_DATOS!$C$1561-((CROQUIS_DATOS!$C$1491+CROQUIS_DATOS!$C$1492))*CROQUIS_DATOS!$C$1561))/CROQUIS_DATOS!$C$1568-0.000001)),1,MOD($A70-1,2)),1-IF(INT(($A70-1)/2)+1&gt;MAX(1,INT(((((CROQUIS_DATOS!$C$1489+CROQUIS_DATOS!$C$1490))-(CROQUIS_DATOS!$C$1489))+((CROQUIS_DATOS!$C$1476)*CROQUIS_DATOS!$C$1561-((CROQUIS_DATOS!$C$1491+CROQUIS_DATOS!$C$1492))*CROQUIS_DATOS!$C$1561))/CROQUIS_DATOS!$C$1568-0.000001)),1,MOD($A70-1,2)))=1,MIN((CROQUIS_DATOS!$C$1476)*CROQUIS_DATOS!$C$1561,((CROQUIS_DATOS!$C$1489+CROQUIS_DATOS!$C$1490)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0">
        <f>IF(AND(CROQUIS_DATOS!$C$1472=1,CROQUIS_DATOS!$C$1478&gt;=4,((CROQUIS_DATOS!$C$1494+CROQUIS_DATOS!$C$1495))-(CROQUIS_DATOS!$C$1494)&gt;0.5,(CROQUIS_DATOS!$C$1496)-(0)&gt;0.5),(CROQUIS_DATOS!$C$1566+(IF(IF(MOD(MIN(INT(($A70-1)/2)+1,MAX(1,INT(((((CROQUIS_DATOS!$C$1494+CROQUIS_DATOS!$C$1495))-(CROQUIS_DATOS!$C$1494))+((CROQUIS_DATOS!$C$1496)*CROQUIS_DATOS!$C$1561-(0)*CROQUIS_DATOS!$C$1561))/CROQUIS_DATOS!$C$1568-0.000001))),2)=1,IF(INT(($A70-1)/2)+1&gt;MAX(1,INT(((((CROQUIS_DATOS!$C$1494+CROQUIS_DATOS!$C$1495))-(CROQUIS_DATOS!$C$1494))+((CROQUIS_DATOS!$C$1496)*CROQUIS_DATOS!$C$1561-(0)*CROQUIS_DATOS!$C$1561))/CROQUIS_DATOS!$C$1568-0.000001)),1,MOD($A70-1,2)),1-IF(INT(($A70-1)/2)+1&gt;MAX(1,INT(((((CROQUIS_DATOS!$C$1494+CROQUIS_DATOS!$C$1495))-(CROQUIS_DATOS!$C$1494))+((CROQUIS_DATOS!$C$1496)*CROQUIS_DATOS!$C$1561-(0)*CROQUIS_DATOS!$C$1561))/CROQUIS_DATOS!$C$1568-0.000001)),1,MOD($A70-1,2)))=1,MIN((CROQUIS_DATOS!$C$1496)*CROQUIS_DATOS!$C$1561,((CROQUIS_DATOS!$C$1494+CROQUIS_DATOS!$C$1495)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0">
        <f>IF(AND(CROQUIS_DATOS!$C$1472=1,CROQUIS_DATOS!$C$1478&gt;=4,((CROQUIS_DATOS!$C$1494+CROQUIS_DATOS!$C$1495))-(CROQUIS_DATOS!$C$1494)&gt;0.5,(CROQUIS_DATOS!$C$1496)-(0)&gt;0.5),(CROQUIS_DATOS!$C$1567+(IF(IF(MOD(MIN(INT(($A70-1)/2)+1,MAX(1,INT(((((CROQUIS_DATOS!$C$1494+CROQUIS_DATOS!$C$1495))-(CROQUIS_DATOS!$C$1494))+((CROQUIS_DATOS!$C$1496)*CROQUIS_DATOS!$C$1561-(0)*CROQUIS_DATOS!$C$1561))/CROQUIS_DATOS!$C$1568-0.000001))),2)=1,IF(INT(($A70-1)/2)+1&gt;MAX(1,INT(((((CROQUIS_DATOS!$C$1494+CROQUIS_DATOS!$C$1495))-(CROQUIS_DATOS!$C$1494))+((CROQUIS_DATOS!$C$1496)*CROQUIS_DATOS!$C$1561-(0)*CROQUIS_DATOS!$C$1561))/CROQUIS_DATOS!$C$1568-0.000001)),1,MOD($A70-1,2)),1-IF(INT(($A70-1)/2)+1&gt;MAX(1,INT(((((CROQUIS_DATOS!$C$1494+CROQUIS_DATOS!$C$1495))-(CROQUIS_DATOS!$C$1494))+((CROQUIS_DATOS!$C$1496)*CROQUIS_DATOS!$C$1561-(0)*CROQUIS_DATOS!$C$1561))/CROQUIS_DATOS!$C$1568-0.000001)),1,MOD($A70-1,2)))=1,MIN((CROQUIS_DATOS!$C$1496)*CROQUIS_DATOS!$C$1561,((CROQUIS_DATOS!$C$1494+CROQUIS_DATOS!$C$1495)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0">
        <f>IF(AND(CROQUIS_DATOS!$C$1472=1,CROQUIS_DATOS!$C$1478&gt;=4,((CROQUIS_DATOS!$C$1494+CROQUIS_DATOS!$C$1495))-(CROQUIS_DATOS!$C$1494)&gt;0.5,(CROQUIS_DATOS!$C$1476)-((CROQUIS_DATOS!$C$1496+CROQUIS_DATOS!$C$1497))&gt;0.5),(CROQUIS_DATOS!$C$1566+(IF(IF(MOD(MIN(INT(($A70-1)/2)+1,MAX(1,INT(((((CROQUIS_DATOS!$C$1494+CROQUIS_DATOS!$C$1495))-(CROQUIS_DATOS!$C$1494))+((CROQUIS_DATOS!$C$1476)*CROQUIS_DATOS!$C$1561-((CROQUIS_DATOS!$C$1496+CROQUIS_DATOS!$C$1497))*CROQUIS_DATOS!$C$1561))/CROQUIS_DATOS!$C$1568-0.000001))),2)=1,IF(INT(($A70-1)/2)+1&gt;MAX(1,INT(((((CROQUIS_DATOS!$C$1494+CROQUIS_DATOS!$C$1495))-(CROQUIS_DATOS!$C$1494))+((CROQUIS_DATOS!$C$1476)*CROQUIS_DATOS!$C$1561-((CROQUIS_DATOS!$C$1496+CROQUIS_DATOS!$C$1497))*CROQUIS_DATOS!$C$1561))/CROQUIS_DATOS!$C$1568-0.000001)),1,MOD($A70-1,2)),1-IF(INT(($A70-1)/2)+1&gt;MAX(1,INT(((((CROQUIS_DATOS!$C$1494+CROQUIS_DATOS!$C$1495))-(CROQUIS_DATOS!$C$1494))+((CROQUIS_DATOS!$C$1476)*CROQUIS_DATOS!$C$1561-((CROQUIS_DATOS!$C$1496+CROQUIS_DATOS!$C$1497))*CROQUIS_DATOS!$C$1561))/CROQUIS_DATOS!$C$1568-0.000001)),1,MOD($A70-1,2)))=1,MIN((CROQUIS_DATOS!$C$1476)*CROQUIS_DATOS!$C$1561,((CROQUIS_DATOS!$C$1494+CROQUIS_DATOS!$C$1495)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0">
        <f>IF(AND(CROQUIS_DATOS!$C$1472=1,CROQUIS_DATOS!$C$1478&gt;=4,((CROQUIS_DATOS!$C$1494+CROQUIS_DATOS!$C$1495))-(CROQUIS_DATOS!$C$1494)&gt;0.5,(CROQUIS_DATOS!$C$1476)-((CROQUIS_DATOS!$C$1496+CROQUIS_DATOS!$C$1497))&gt;0.5),(CROQUIS_DATOS!$C$1567+(IF(IF(MOD(MIN(INT(($A70-1)/2)+1,MAX(1,INT(((((CROQUIS_DATOS!$C$1494+CROQUIS_DATOS!$C$1495))-(CROQUIS_DATOS!$C$1494))+((CROQUIS_DATOS!$C$1476)*CROQUIS_DATOS!$C$1561-((CROQUIS_DATOS!$C$1496+CROQUIS_DATOS!$C$1497))*CROQUIS_DATOS!$C$1561))/CROQUIS_DATOS!$C$1568-0.000001))),2)=1,IF(INT(($A70-1)/2)+1&gt;MAX(1,INT(((((CROQUIS_DATOS!$C$1494+CROQUIS_DATOS!$C$1495))-(CROQUIS_DATOS!$C$1494))+((CROQUIS_DATOS!$C$1476)*CROQUIS_DATOS!$C$1561-((CROQUIS_DATOS!$C$1496+CROQUIS_DATOS!$C$1497))*CROQUIS_DATOS!$C$1561))/CROQUIS_DATOS!$C$1568-0.000001)),1,MOD($A70-1,2)),1-IF(INT(($A70-1)/2)+1&gt;MAX(1,INT(((((CROQUIS_DATOS!$C$1494+CROQUIS_DATOS!$C$1495))-(CROQUIS_DATOS!$C$1494))+((CROQUIS_DATOS!$C$1476)*CROQUIS_DATOS!$C$1561-((CROQUIS_DATOS!$C$1496+CROQUIS_DATOS!$C$1497))*CROQUIS_DATOS!$C$1561))/CROQUIS_DATOS!$C$1568-0.000001)),1,MOD($A70-1,2)))=1,MIN((CROQUIS_DATOS!$C$1476)*CROQUIS_DATOS!$C$1561,((CROQUIS_DATOS!$C$1494+CROQUIS_DATOS!$C$1495)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0">
        <f>IF(AND(CROQUIS_DATOS!$C$1472=1,1),(CROQUIS_DATOS!$C$1571+(CHOOSE(MIN(MAX(IF(INT(($A70-1)/5)+1&gt;CROQUIS_DATOS!$C$1525,5,MOD($A70-1,5)+1),1),5),(INDEX($E$8:$E$23,MIN(INT(($A70-1)/5)+1,CROQUIS_DATOS!$C$1525))-INDEX($F$8:$F$23,MIN(INT(($A70-1)/5)+1,CROQUIS_DATOS!$C$1525))/2),(INDEX($E$8:$E$23,MIN(INT(($A70-1)/5)+1,CROQUIS_DATOS!$C$1525))+INDEX($F$8:$F$23,MIN(INT(($A70-1)/5)+1,CROQUIS_DATOS!$C$1525))/2),(INDEX($E$8:$E$23,MIN(INT(($A70-1)/5)+1,CROQUIS_DATOS!$C$1525))+INDEX($F$8:$F$23,MIN(INT(($A70-1)/5)+1,CROQUIS_DATOS!$C$1525))/2),(INDEX($E$8:$E$23,MIN(INT(($A70-1)/5)+1,CROQUIS_DATOS!$C$1525))-INDEX($F$8:$F$23,MIN(INT(($A70-1)/5)+1,CROQUIS_DATOS!$C$1525))/2),(INDEX($E$8:$E$23,MIN(INT(($A70-1)/5)+1,CROQUIS_DATOS!$C$1525))-INDEX($F$8:$F$23,MIN(INT(($A70-1)/5)+1,CROQUIS_DATOS!$C$1525))/2)))*CROQUIS_DATOS!$C$1569),-1000)</f>
        <v>95.24</v>
      </c>
      <c r="GE70">
        <f>IF(AND(CROQUIS_DATOS!$C$1472=1,1),(CROQUIS_DATOS!$C$1572+(CHOOSE(MIN(MAX(IF(INT(($A70-1)/5)+1&gt;CROQUIS_DATOS!$C$1525,5,MOD($A70-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70">
        <f>IF(AND(CROQUIS_DATOS!$C$1472=1,1),IF(INT(($A70-1)/4)+1&lt;=CROQUIS_DATOS!$C$1525,(CROQUIS_DATOS!$C$1571+((INDEX($E$8:$E$23,MIN(INT(($A70-1)/4)+1,16))+IF(OR(MOD($A70-1,4)=0,MOD($A70-1,4)=3),-1,1)*(INDEX($F$8:$F$23,MIN(INT(($A70-1)/4)+1,16))/2-(CROQUIS_DATOS!$C$1530+CROQUIS_DATOS!$C$1532+IF(OR(INT(($A70-1)/4)+1=1,INT(($A70-1)/4)+1=CROQUIS_DATOS!$C$1525),CROQUIS_DATOS!$C$1534,CROQUIS_DATOS!$C$1531)/2))))*CROQUIS_DATOS!$C$1569),-1000),-1000)</f>
        <v>-1000</v>
      </c>
      <c r="GG70">
        <f>IF(AND(CROQUIS_DATOS!$C$1472=1,1),IF(INT(($A70-1)/4)+1&lt;=CROQUIS_DATOS!$C$1525,(CROQUIS_DATOS!$C$1572+((CROQUIS_DATOS!$C$1477/2+IF(MOD($A70-1,4)&lt;2,-1,1)*(CROQUIS_DATOS!$C$1527/2-(CROQUIS_DATOS!$C$1530+CROQUIS_DATOS!$C$1532+IF(OR(INT(($A70-1)/4)+1=1,INT(($A70-1)/4)+1=CROQUIS_DATOS!$C$1525),CROQUIS_DATOS!$C$1534,CROQUIS_DATOS!$C$1531)/2))))*CROQUIS_DATOS!$C$1569*CROQUIS_DATOS!$C$1570),-1000),-1000)</f>
        <v>-1000</v>
      </c>
    </row>
    <row r="71">
      <c r="A71" t="n">
        <v>64</v>
      </c>
      <c r="J71">
        <f>IF(AND(CROQUIS_DATOS!$C$1472=1,1),(CROQUIS_DATOS!$C$1563+(CHOOSE(MIN(MAX(IF(INT(($A71-1)/4)+1&gt;CROQUIS_DATOS!$C$1525,4,MOD($A71-1,4)+1),1),4),(INDEX($E$8:$E$23,MIN(INT(($A71-1)/4)+1,CROQUIS_DATOS!$C$1525))-INDEX($F$8:$F$23,MIN(INT(($A71-1)/4)+1,CROQUIS_DATOS!$C$1525))/2),(INDEX($E$8:$E$23,MIN(INT(($A71-1)/4)+1,CROQUIS_DATOS!$C$1525))-INDEX($F$8:$F$23,MIN(INT(($A71-1)/4)+1,CROQUIS_DATOS!$C$1525))/2),(INDEX($E$8:$E$23,MIN(INT(($A71-1)/4)+1,CROQUIS_DATOS!$C$1525))+INDEX($F$8:$F$23,MIN(INT(($A71-1)/4)+1,CROQUIS_DATOS!$C$1525))/2),(INDEX($E$8:$E$23,MIN(INT(($A71-1)/4)+1,CROQUIS_DATOS!$C$1525))+INDEX($F$8:$F$23,MIN(INT(($A71-1)/4)+1,CROQUIS_DATOS!$C$1525))/2)))*CROQUIS_DATOS!$C$1562),-1000)</f>
        <v>84.9137931034483</v>
      </c>
      <c r="K71">
        <f>IF(AND(CROQUIS_DATOS!$C$1472=1,1),(CROQUIS_DATOS!$C$1564+(CHOOSE(MIN(MAX(IF(INT(($A71-1)/4)+1&gt;CROQUIS_DATOS!$C$1525,4,MOD($A71-1,4)+1),1),4),0,CROQUIS_DATOS!$C$1476,CROQUIS_DATOS!$C$1476,0))*CROQUIS_DATOS!$C$1561*CROQUIS_DATOS!$C$1562),-1000)</f>
        <v>5.29310344827586</v>
      </c>
      <c r="L71">
        <f>IF(AND(CROQUIS_DATOS!$C$1472=1,1),(CROQUIS_DATOS!$C$1563+(CHOOSE(MIN(MAX(IF(INT(($A71-1)/4)+1&gt;CROQUIS_DATOS!$C$1525,4,MOD($A71-1,4)+1),1),4),((INDEX($E$8:$E$23,MIN(INT(($A71-1)/4)+1,CROQUIS_DATOS!$C$1525))-INDEX($F$8:$F$23,MIN(INT(($A71-1)/4)+1,CROQUIS_DATOS!$C$1525))/2)+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,((INDEX($E$8:$E$23,MIN(INT(($A71-1)/4)+1,CROQUIS_DATOS!$C$1525))-INDEX($F$8:$F$23,MIN(INT(($A71-1)/4)+1,CROQUIS_DATOS!$C$1525))/2)+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,((INDEX($E$8:$E$23,MIN(INT(($A71-1)/4)+1,CROQUIS_DATOS!$C$1525))+INDEX($F$8:$F$23,MIN(INT(($A71-1)/4)+1,CROQUIS_DATOS!$C$1525))/2)-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,((INDEX($E$8:$E$23,MIN(INT(($A71-1)/4)+1,CROQUIS_DATOS!$C$1525))+INDEX($F$8:$F$23,MIN(INT(($A71-1)/4)+1,CROQUIS_DATOS!$C$1525))/2)-MIN((CROQUIS_DATOS!$C$1530+CROQUIS_DATOS!$C$1532+IF(OR(MIN(INT(($A71-1)/4)+1,CROQUIS_DATOS!$C$1525)=1,MIN(INT(($A71-1)/4)+1,CROQUIS_DATOS!$C$1525)=CROQUIS_DATOS!$C$1525),CROQUIS_DATOS!$C$1534,CROQUIS_DATOS!$C$1531)/2),INDEX($F$8:$F$23,MIN(INT(($A71-1)/4)+1,CROQUIS_DATOS!$C$1525))/2-0.5))))*CROQUIS_DATOS!$C$1562),-1000)</f>
        <v>84.4792560344828</v>
      </c>
      <c r="M71">
        <f>IF(AND(CROQUIS_DATOS!$C$1472=1,1),(CROQUIS_DATOS!$C$1564+(CHOOSE(MIN(MAX(IF(INT(($A71-1)/4)+1&gt;CROQUIS_DATOS!$C$1525,4,MOD($A71-1,4)+1),1),4),CROQUIS_DATOS!$C$1543,INDEX($I$8:$I$23,MIN(INT(($A71-1)/4)+1,CROQUIS_DATOS!$C$1525)),INDEX($I$8:$I$23,MIN(INT(($A71-1)/4)+1,CROQUIS_DATOS!$C$1525)),CROQUIS_DATOS!$C$1543))*CROQUIS_DATOS!$C$1561*CROQUIS_DATOS!$C$1562),-1000)</f>
        <v>42.5654629310345</v>
      </c>
      <c r="N71">
        <f>IF(AND(CROQUIS_DATOS!$C$1472=1,1),(CROQUIS_DATOS!$C$1563+(IF(IF(IF(INT(($A71-1)/70)+1&gt;CROQUIS_DATOS!$C$1525,70,MOD($A71-1,70)+1)=1,0,IF(IF(INT(($A71-1)/70)+1&gt;CROQUIS_DATOS!$C$1525,70,MOD($A71-1,70)+1)&gt;2*CROQUIS_DATOS!$C$1541+1,IF(MOD(CROQUIS_DATOS!$C$1541,2)=1,1,0),IF(MOD(MIN(INT((IF(INT(($A71-1)/70)+1&gt;CROQUIS_DATOS!$C$1525,70,MOD($A71-1,70)+1)-2)/2)+1,CROQUIS_DATOS!$C$1541),2)=1,IF(MOD(IF(INT(($A71-1)/70)+1&gt;CROQUIS_DATOS!$C$1525,70,MOD($A71-1,70)+1)-2,2)=0,0,1),IF(MOD(IF(INT(($A71-1)/70)+1&gt;CROQUIS_DATOS!$C$1525,70,MOD($A71-1,70)+1)-2,2)=0,1,0))))=0,(INDEX($E$8:$E$23,MIN(INT(($A71-1)/70)+1,CROQUIS_DATOS!$C$1525))-INDEX($F$8:$F$23,MIN(INT(($A71-1)/70)+1,CROQUIS_DATOS!$C$1525))/2),(INDEX($E$8:$E$23,MIN(INT(($A71-1)/70)+1,CROQUIS_DATOS!$C$1525))+INDEX($F$8:$F$23,MIN(INT(($A71-1)/70)+1,CROQUIS_DATOS!$C$1525))/2)))*CROQUIS_DATOS!$C$1562),-1000)</f>
        <v>15.0862068965517</v>
      </c>
      <c r="O71">
        <f>IF(AND(CROQUIS_DATOS!$C$1472=1,1),(CROQUIS_DATOS!$C$1564+(IF(OR(IF(INT(($A71-1)/70)+1&gt;CROQUIS_DATOS!$C$1525,70,MOD($A71-1,70)+1)=1,IF(INT(($A71-1)/70)+1&gt;CROQUIS_DATOS!$C$1525,70,MOD($A71-1,70)+1)&gt;2*CROQUIS_DATOS!$C$1541+1),CROQUIS_DATOS!$C$1476,INDEX($H$8:$H$41,MIN(INT((IF(INT(($A71-1)/70)+1&gt;CROQUIS_DATOS!$C$1525,70,MOD($A71-1,70)+1)-2)/2)+1,CROQUIS_DATOS!$C$1541))))*CROQUIS_DATOS!$C$1561*CROQUIS_DATOS!$C$1562),-1000)</f>
        <v>40.2068965517241</v>
      </c>
      <c r="P71">
        <f>IF(AND(CROQUIS_DATOS!$C$1472=1,CROQUIS_DATOS!$C$1555=1),(CROQUIS_DATOS!$C$1563+(IF(IF(OR(MOD($A71-1,62)+1=1,IF(CHOOSE(MIN(MAX(MIN(INT(($A71-1)/62)+1,5),1),5),CROQUIS_DATOS!$C$1501,CROQUIS_DATOS!$C$1505,CROQUIS_DATOS!$C$1509,CROQUIS_DATOS!$C$1513,CROQUIS_DATOS!$C$1517)=1,CROQUIS_DATOS!$C$1557,0)=0),0,IF(MOD($A71-1,62)+1&gt;2*IF(CHOOSE(MIN(MAX(MIN(INT(($A71-1)/62)+1,5),1),5),CROQUIS_DATOS!$C$1501,CROQUIS_DATOS!$C$1505,CROQUIS_DATOS!$C$1509,CROQUIS_DATOS!$C$1513,CROQUIS_DATOS!$C$1517)=1,CROQUIS_DATOS!$C$1557,0)+1,IF(MOD(IF(CHOOSE(MIN(MAX(MIN(INT(($A71-1)/62)+1,5),1),5),CROQUIS_DATOS!$C$1501,CROQUIS_DATOS!$C$1505,CROQUIS_DATOS!$C$1509,CROQUIS_DATOS!$C$1513,CROQUIS_DATOS!$C$1517)=1,CROQUIS_DATOS!$C$1557,0),2)=1,1,0),IF(MOD(MIN(INT((MOD($A71-1,62)+1-2)/2)+1,MAX(IF(CHOOSE(MIN(MAX(MIN(INT(($A71-1)/62)+1,5),1),5),CROQUIS_DATOS!$C$1501,CROQUIS_DATOS!$C$1505,CROQUIS_DATOS!$C$1509,CROQUIS_DATOS!$C$1513,CROQUIS_DATOS!$C$1517)=1,CROQUIS_DATOS!$C$1557,0),1)),2)=1,IF(MOD(MOD($A71-1,62)+1-2,2)=0,0,1),IF(MOD(MOD($A71-1,62)+1-2,2)=0,1,0))))=0,(CHOOSE(MIN(MAX(MIN(INT(($A71-1)/62)+1,5),1),5),CROQUIS_DATOS!$C$1499,CROQUIS_DATOS!$C$1503,CROQUIS_DATOS!$C$1507,CROQUIS_DATOS!$C$1511,CROQUIS_DATOS!$C$1515)+IF(CHOOSE(MIN(MAX(MIN(INT(($A71-1)/62)+1,5),1),5),CROQUIS_DATOS!$C$1501,CROQUIS_DATOS!$C$1505,CROQUIS_DATOS!$C$1509,CROQUIS_DATOS!$C$1513,CROQUIS_DATOS!$C$1517)=1,CROQUIS_DATOS!$C$1526,0)),(CHOOSE(MIN(MAX(MIN(INT(($A71-1)/62)+1,5),1),5),CROQUIS_DATOS!$C$1499,CROQUIS_DATOS!$C$1503,CROQUIS_DATOS!$C$1507,CROQUIS_DATOS!$C$1511,CROQUIS_DATOS!$C$1515)+CHOOSE(MIN(MAX(MIN(INT(($A71-1)/62)+1,5),1),5),CROQUIS_DATOS!$C$1500,CROQUIS_DATOS!$C$1504,CROQUIS_DATOS!$C$1508,CROQUIS_DATOS!$C$1512,CROQUIS_DATOS!$C$1516)-IF(CHOOSE(MIN(MAX(MIN(INT(($A71-1)/62)+1,5),1),5),CROQUIS_DATOS!$C$1501,CROQUIS_DATOS!$C$1505,CROQUIS_DATOS!$C$1509,CROQUIS_DATOS!$C$1513,CROQUIS_DATOS!$C$1517)=1,CROQUIS_DATOS!$C$1526,0))))*CROQUIS_DATOS!$C$1562),-1000)</f>
        <v>-1000</v>
      </c>
      <c r="Q71">
        <f>IF(AND(CROQUIS_DATOS!$C$1472=1,CROQUIS_DATOS!$C$1555=1),(CROQUIS_DATOS!$C$1564+(IF(OR(OR(MOD($A71-1,62)+1=1,IF(CHOOSE(MIN(MAX(MIN(INT(($A71-1)/62)+1,5),1),5),CROQUIS_DATOS!$C$1501,CROQUIS_DATOS!$C$1505,CROQUIS_DATOS!$C$1509,CROQUIS_DATOS!$C$1513,CROQUIS_DATOS!$C$1517)=1,CROQUIS_DATOS!$C$1557,0)=0),MOD($A71-1,62)+1&gt;2*IF(CHOOSE(MIN(MAX(MIN(INT(($A71-1)/62)+1,5),1),5),CROQUIS_DATOS!$C$1501,CROQUIS_DATOS!$C$1505,CROQUIS_DATOS!$C$1509,CROQUIS_DATOS!$C$1513,CROQUIS_DATOS!$C$1517)=1,CROQUIS_DATOS!$C$1557,0)+1),CROQUIS_DATOS!$C$1476,MIN(INT((MOD($A71-1,62)+1-2)/2)+1,MAX(IF(CHOOSE(MIN(MAX(MIN(INT(($A71-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1">
        <f>IF(AND(CROQUIS_DATOS!$C$1472=1,1),(CROQUIS_DATOS!$C$1563+(MIN(INT(($A71-1)/2)+1,CROQUIS_DATOS!$C$1558)*CROQUIS_DATOS!$C$1559)*CROQUIS_DATOS!$C$1562),-1000)</f>
        <v>82.2281167108753</v>
      </c>
      <c r="U71">
        <f>IF(AND(CROQUIS_DATOS!$C$1472=1,1),(CROQUIS_DATOS!$C$1564+(IF(INT(($A71-1)/2)+1&gt;CROQUIS_DATOS!$C$1558,IF(MOD(CROQUIS_DATOS!$C$1558,2)=1,CROQUIS_DATOS!$C$1476+CROQUIS_DATOS!$C$1528,CROQUIS_DATOS!$C$1476),IF(IF(MOD(MIN(INT(($A71-1)/2)+1,CROQUIS_DATOS!$C$1558),2)=1,MOD($A71-1,2),1-MOD($A71-1,2))=1,CROQUIS_DATOS!$C$1476+CROQUIS_DATOS!$C$1528,CROQUIS_DATOS!$C$1476)))*CROQUIS_DATOS!$C$1561*CROQUIS_DATOS!$C$1562),-1000)</f>
        <v>43</v>
      </c>
      <c r="BZ71">
        <f>IF(AND(CROQUIS_DATOS!$C$1472=1,CROQUIS_DATOS!$C$1500&gt;0,((CROQUIS_DATOS!$C$1499+CROQUIS_DATOS!$C$1500))-(CROQUIS_DATOS!$C$1499)&gt;0.5,(CROQUIS_DATOS!$C$1476)-(0)&gt;0.5),(CROQUIS_DATOS!$C$1566+(IF(IF(MOD(MIN(INT(($A71-1)/2)+1,MAX(1,INT(((((CROQUIS_DATOS!$C$1499+CROQUIS_DATOS!$C$1500))-(CROQUIS_DATOS!$C$1499))+((CROQUIS_DATOS!$C$1476)*CROQUIS_DATOS!$C$1561-(0)*CROQUIS_DATOS!$C$1561))/CROQUIS_DATOS!$C$1568-0.000001))),2)=1,IF(INT(($A71-1)/2)+1&gt;MAX(1,INT(((((CROQUIS_DATOS!$C$1499+CROQUIS_DATOS!$C$1500))-(CROQUIS_DATOS!$C$1499))+((CROQUIS_DATOS!$C$1476)*CROQUIS_DATOS!$C$1561-(0)*CROQUIS_DATOS!$C$1561))/CROQUIS_DATOS!$C$1568-0.000001)),1,MOD($A71-1,2)),1-IF(INT(($A71-1)/2)+1&gt;MAX(1,INT(((((CROQUIS_DATOS!$C$1499+CROQUIS_DATOS!$C$1500))-(CROQUIS_DATOS!$C$1499))+((CROQUIS_DATOS!$C$1476)*CROQUIS_DATOS!$C$1561-(0)*CROQUIS_DATOS!$C$1561))/CROQUIS_DATOS!$C$1568-0.000001)),1,MOD($A71-1,2)))=1,MIN((CROQUIS_DATOS!$C$1476)*CROQUIS_DATOS!$C$1561,((CROQUIS_DATOS!$C$1499+CROQUIS_DATOS!$C$1500)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1">
        <f>IF(AND(CROQUIS_DATOS!$C$1472=1,CROQUIS_DATOS!$C$1500&gt;0,((CROQUIS_DATOS!$C$1499+CROQUIS_DATOS!$C$1500))-(CROQUIS_DATOS!$C$1499)&gt;0.5,(CROQUIS_DATOS!$C$1476)-(0)&gt;0.5),(CROQUIS_DATOS!$C$1567+(IF(IF(MOD(MIN(INT(($A71-1)/2)+1,MAX(1,INT(((((CROQUIS_DATOS!$C$1499+CROQUIS_DATOS!$C$1500))-(CROQUIS_DATOS!$C$1499))+((CROQUIS_DATOS!$C$1476)*CROQUIS_DATOS!$C$1561-(0)*CROQUIS_DATOS!$C$1561))/CROQUIS_DATOS!$C$1568-0.000001))),2)=1,IF(INT(($A71-1)/2)+1&gt;MAX(1,INT(((((CROQUIS_DATOS!$C$1499+CROQUIS_DATOS!$C$1500))-(CROQUIS_DATOS!$C$1499))+((CROQUIS_DATOS!$C$1476)*CROQUIS_DATOS!$C$1561-(0)*CROQUIS_DATOS!$C$1561))/CROQUIS_DATOS!$C$1568-0.000001)),1,MOD($A71-1,2)),1-IF(INT(($A71-1)/2)+1&gt;MAX(1,INT(((((CROQUIS_DATOS!$C$1499+CROQUIS_DATOS!$C$1500))-(CROQUIS_DATOS!$C$1499))+((CROQUIS_DATOS!$C$1476)*CROQUIS_DATOS!$C$1561-(0)*CROQUIS_DATOS!$C$1561))/CROQUIS_DATOS!$C$1568-0.000001)),1,MOD($A71-1,2)))=1,MIN((CROQUIS_DATOS!$C$1476)*CROQUIS_DATOS!$C$1561,((CROQUIS_DATOS!$C$1499+CROQUIS_DATOS!$C$1500)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1">
        <f>IF(AND(CROQUIS_DATOS!$C$1472=1,CROQUIS_DATOS!$C$1504&gt;0,((CROQUIS_DATOS!$C$1503+CROQUIS_DATOS!$C$1504))-(CROQUIS_DATOS!$C$1503)&gt;0.5,(CROQUIS_DATOS!$C$1476)-(0)&gt;0.5),(CROQUIS_DATOS!$C$1566+(IF(IF(MOD(MIN(INT(($A71-1)/2)+1,MAX(1,INT(((((CROQUIS_DATOS!$C$1503+CROQUIS_DATOS!$C$1504))-(CROQUIS_DATOS!$C$1503))+((CROQUIS_DATOS!$C$1476)*CROQUIS_DATOS!$C$1561-(0)*CROQUIS_DATOS!$C$1561))/CROQUIS_DATOS!$C$1568-0.000001))),2)=1,IF(INT(($A71-1)/2)+1&gt;MAX(1,INT(((((CROQUIS_DATOS!$C$1503+CROQUIS_DATOS!$C$1504))-(CROQUIS_DATOS!$C$1503))+((CROQUIS_DATOS!$C$1476)*CROQUIS_DATOS!$C$1561-(0)*CROQUIS_DATOS!$C$1561))/CROQUIS_DATOS!$C$1568-0.000001)),1,MOD($A71-1,2)),1-IF(INT(($A71-1)/2)+1&gt;MAX(1,INT(((((CROQUIS_DATOS!$C$1503+CROQUIS_DATOS!$C$1504))-(CROQUIS_DATOS!$C$1503))+((CROQUIS_DATOS!$C$1476)*CROQUIS_DATOS!$C$1561-(0)*CROQUIS_DATOS!$C$1561))/CROQUIS_DATOS!$C$1568-0.000001)),1,MOD($A71-1,2)))=1,MIN((CROQUIS_DATOS!$C$1476)*CROQUIS_DATOS!$C$1561,((CROQUIS_DATOS!$C$1503+CROQUIS_DATOS!$C$1504)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1">
        <f>IF(AND(CROQUIS_DATOS!$C$1472=1,CROQUIS_DATOS!$C$1504&gt;0,((CROQUIS_DATOS!$C$1503+CROQUIS_DATOS!$C$1504))-(CROQUIS_DATOS!$C$1503)&gt;0.5,(CROQUIS_DATOS!$C$1476)-(0)&gt;0.5),(CROQUIS_DATOS!$C$1567+(IF(IF(MOD(MIN(INT(($A71-1)/2)+1,MAX(1,INT(((((CROQUIS_DATOS!$C$1503+CROQUIS_DATOS!$C$1504))-(CROQUIS_DATOS!$C$1503))+((CROQUIS_DATOS!$C$1476)*CROQUIS_DATOS!$C$1561-(0)*CROQUIS_DATOS!$C$1561))/CROQUIS_DATOS!$C$1568-0.000001))),2)=1,IF(INT(($A71-1)/2)+1&gt;MAX(1,INT(((((CROQUIS_DATOS!$C$1503+CROQUIS_DATOS!$C$1504))-(CROQUIS_DATOS!$C$1503))+((CROQUIS_DATOS!$C$1476)*CROQUIS_DATOS!$C$1561-(0)*CROQUIS_DATOS!$C$1561))/CROQUIS_DATOS!$C$1568-0.000001)),1,MOD($A71-1,2)),1-IF(INT(($A71-1)/2)+1&gt;MAX(1,INT(((((CROQUIS_DATOS!$C$1503+CROQUIS_DATOS!$C$1504))-(CROQUIS_DATOS!$C$1503))+((CROQUIS_DATOS!$C$1476)*CROQUIS_DATOS!$C$1561-(0)*CROQUIS_DATOS!$C$1561))/CROQUIS_DATOS!$C$1568-0.000001)),1,MOD($A71-1,2)))=1,MIN((CROQUIS_DATOS!$C$1476)*CROQUIS_DATOS!$C$1561,((CROQUIS_DATOS!$C$1503+CROQUIS_DATOS!$C$1504)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1">
        <f>IF(AND(CROQUIS_DATOS!$C$1472=1,CROQUIS_DATOS!$C$1508&gt;0,((CROQUIS_DATOS!$C$1507+CROQUIS_DATOS!$C$1508))-(CROQUIS_DATOS!$C$1507)&gt;0.5,(CROQUIS_DATOS!$C$1476)-(0)&gt;0.5),(CROQUIS_DATOS!$C$1566+(IF(IF(MOD(MIN(INT(($A71-1)/2)+1,MAX(1,INT(((((CROQUIS_DATOS!$C$1507+CROQUIS_DATOS!$C$1508))-(CROQUIS_DATOS!$C$1507))+((CROQUIS_DATOS!$C$1476)*CROQUIS_DATOS!$C$1561-(0)*CROQUIS_DATOS!$C$1561))/CROQUIS_DATOS!$C$1568-0.000001))),2)=1,IF(INT(($A71-1)/2)+1&gt;MAX(1,INT(((((CROQUIS_DATOS!$C$1507+CROQUIS_DATOS!$C$1508))-(CROQUIS_DATOS!$C$1507))+((CROQUIS_DATOS!$C$1476)*CROQUIS_DATOS!$C$1561-(0)*CROQUIS_DATOS!$C$1561))/CROQUIS_DATOS!$C$1568-0.000001)),1,MOD($A71-1,2)),1-IF(INT(($A71-1)/2)+1&gt;MAX(1,INT(((((CROQUIS_DATOS!$C$1507+CROQUIS_DATOS!$C$1508))-(CROQUIS_DATOS!$C$1507))+((CROQUIS_DATOS!$C$1476)*CROQUIS_DATOS!$C$1561-(0)*CROQUIS_DATOS!$C$1561))/CROQUIS_DATOS!$C$1568-0.000001)),1,MOD($A71-1,2)))=1,MIN((CROQUIS_DATOS!$C$1476)*CROQUIS_DATOS!$C$1561,((CROQUIS_DATOS!$C$1507+CROQUIS_DATOS!$C$1508)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1">
        <f>IF(AND(CROQUIS_DATOS!$C$1472=1,CROQUIS_DATOS!$C$1508&gt;0,((CROQUIS_DATOS!$C$1507+CROQUIS_DATOS!$C$1508))-(CROQUIS_DATOS!$C$1507)&gt;0.5,(CROQUIS_DATOS!$C$1476)-(0)&gt;0.5),(CROQUIS_DATOS!$C$1567+(IF(IF(MOD(MIN(INT(($A71-1)/2)+1,MAX(1,INT(((((CROQUIS_DATOS!$C$1507+CROQUIS_DATOS!$C$1508))-(CROQUIS_DATOS!$C$1507))+((CROQUIS_DATOS!$C$1476)*CROQUIS_DATOS!$C$1561-(0)*CROQUIS_DATOS!$C$1561))/CROQUIS_DATOS!$C$1568-0.000001))),2)=1,IF(INT(($A71-1)/2)+1&gt;MAX(1,INT(((((CROQUIS_DATOS!$C$1507+CROQUIS_DATOS!$C$1508))-(CROQUIS_DATOS!$C$1507))+((CROQUIS_DATOS!$C$1476)*CROQUIS_DATOS!$C$1561-(0)*CROQUIS_DATOS!$C$1561))/CROQUIS_DATOS!$C$1568-0.000001)),1,MOD($A71-1,2)),1-IF(INT(($A71-1)/2)+1&gt;MAX(1,INT(((((CROQUIS_DATOS!$C$1507+CROQUIS_DATOS!$C$1508))-(CROQUIS_DATOS!$C$1507))+((CROQUIS_DATOS!$C$1476)*CROQUIS_DATOS!$C$1561-(0)*CROQUIS_DATOS!$C$1561))/CROQUIS_DATOS!$C$1568-0.000001)),1,MOD($A71-1,2)))=1,MIN((CROQUIS_DATOS!$C$1476)*CROQUIS_DATOS!$C$1561,((CROQUIS_DATOS!$C$1507+CROQUIS_DATOS!$C$1508)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1">
        <f>IF(AND(CROQUIS_DATOS!$C$1472=1,CROQUIS_DATOS!$C$1512&gt;0,((CROQUIS_DATOS!$C$1511+CROQUIS_DATOS!$C$1512))-(CROQUIS_DATOS!$C$1511)&gt;0.5,(CROQUIS_DATOS!$C$1476)-(0)&gt;0.5),(CROQUIS_DATOS!$C$1566+(IF(IF(MOD(MIN(INT(($A71-1)/2)+1,MAX(1,INT(((((CROQUIS_DATOS!$C$1511+CROQUIS_DATOS!$C$1512))-(CROQUIS_DATOS!$C$1511))+((CROQUIS_DATOS!$C$1476)*CROQUIS_DATOS!$C$1561-(0)*CROQUIS_DATOS!$C$1561))/CROQUIS_DATOS!$C$1568-0.000001))),2)=1,IF(INT(($A71-1)/2)+1&gt;MAX(1,INT(((((CROQUIS_DATOS!$C$1511+CROQUIS_DATOS!$C$1512))-(CROQUIS_DATOS!$C$1511))+((CROQUIS_DATOS!$C$1476)*CROQUIS_DATOS!$C$1561-(0)*CROQUIS_DATOS!$C$1561))/CROQUIS_DATOS!$C$1568-0.000001)),1,MOD($A71-1,2)),1-IF(INT(($A71-1)/2)+1&gt;MAX(1,INT(((((CROQUIS_DATOS!$C$1511+CROQUIS_DATOS!$C$1512))-(CROQUIS_DATOS!$C$1511))+((CROQUIS_DATOS!$C$1476)*CROQUIS_DATOS!$C$1561-(0)*CROQUIS_DATOS!$C$1561))/CROQUIS_DATOS!$C$1568-0.000001)),1,MOD($A71-1,2)))=1,MIN((CROQUIS_DATOS!$C$1476)*CROQUIS_DATOS!$C$1561,((CROQUIS_DATOS!$C$1511+CROQUIS_DATOS!$C$1512)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1">
        <f>IF(AND(CROQUIS_DATOS!$C$1472=1,CROQUIS_DATOS!$C$1512&gt;0,((CROQUIS_DATOS!$C$1511+CROQUIS_DATOS!$C$1512))-(CROQUIS_DATOS!$C$1511)&gt;0.5,(CROQUIS_DATOS!$C$1476)-(0)&gt;0.5),(CROQUIS_DATOS!$C$1567+(IF(IF(MOD(MIN(INT(($A71-1)/2)+1,MAX(1,INT(((((CROQUIS_DATOS!$C$1511+CROQUIS_DATOS!$C$1512))-(CROQUIS_DATOS!$C$1511))+((CROQUIS_DATOS!$C$1476)*CROQUIS_DATOS!$C$1561-(0)*CROQUIS_DATOS!$C$1561))/CROQUIS_DATOS!$C$1568-0.000001))),2)=1,IF(INT(($A71-1)/2)+1&gt;MAX(1,INT(((((CROQUIS_DATOS!$C$1511+CROQUIS_DATOS!$C$1512))-(CROQUIS_DATOS!$C$1511))+((CROQUIS_DATOS!$C$1476)*CROQUIS_DATOS!$C$1561-(0)*CROQUIS_DATOS!$C$1561))/CROQUIS_DATOS!$C$1568-0.000001)),1,MOD($A71-1,2)),1-IF(INT(($A71-1)/2)+1&gt;MAX(1,INT(((((CROQUIS_DATOS!$C$1511+CROQUIS_DATOS!$C$1512))-(CROQUIS_DATOS!$C$1511))+((CROQUIS_DATOS!$C$1476)*CROQUIS_DATOS!$C$1561-(0)*CROQUIS_DATOS!$C$1561))/CROQUIS_DATOS!$C$1568-0.000001)),1,MOD($A71-1,2)))=1,MIN((CROQUIS_DATOS!$C$1476)*CROQUIS_DATOS!$C$1561,((CROQUIS_DATOS!$C$1511+CROQUIS_DATOS!$C$1512)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1">
        <f>IF(AND(CROQUIS_DATOS!$C$1472=1,CROQUIS_DATOS!$C$1516&gt;0,((CROQUIS_DATOS!$C$1515+CROQUIS_DATOS!$C$1516))-(CROQUIS_DATOS!$C$1515)&gt;0.5,(CROQUIS_DATOS!$C$1476)-(0)&gt;0.5),(CROQUIS_DATOS!$C$1566+(IF(IF(MOD(MIN(INT(($A71-1)/2)+1,MAX(1,INT(((((CROQUIS_DATOS!$C$1515+CROQUIS_DATOS!$C$1516))-(CROQUIS_DATOS!$C$1515))+((CROQUIS_DATOS!$C$1476)*CROQUIS_DATOS!$C$1561-(0)*CROQUIS_DATOS!$C$1561))/CROQUIS_DATOS!$C$1568-0.000001))),2)=1,IF(INT(($A71-1)/2)+1&gt;MAX(1,INT(((((CROQUIS_DATOS!$C$1515+CROQUIS_DATOS!$C$1516))-(CROQUIS_DATOS!$C$1515))+((CROQUIS_DATOS!$C$1476)*CROQUIS_DATOS!$C$1561-(0)*CROQUIS_DATOS!$C$1561))/CROQUIS_DATOS!$C$1568-0.000001)),1,MOD($A71-1,2)),1-IF(INT(($A71-1)/2)+1&gt;MAX(1,INT(((((CROQUIS_DATOS!$C$1515+CROQUIS_DATOS!$C$1516))-(CROQUIS_DATOS!$C$1515))+((CROQUIS_DATOS!$C$1476)*CROQUIS_DATOS!$C$1561-(0)*CROQUIS_DATOS!$C$1561))/CROQUIS_DATOS!$C$1568-0.000001)),1,MOD($A71-1,2)))=1,MIN((CROQUIS_DATOS!$C$1476)*CROQUIS_DATOS!$C$1561,((CROQUIS_DATOS!$C$1515+CROQUIS_DATOS!$C$1516)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1">
        <f>IF(AND(CROQUIS_DATOS!$C$1472=1,CROQUIS_DATOS!$C$1516&gt;0,((CROQUIS_DATOS!$C$1515+CROQUIS_DATOS!$C$1516))-(CROQUIS_DATOS!$C$1515)&gt;0.5,(CROQUIS_DATOS!$C$1476)-(0)&gt;0.5),(CROQUIS_DATOS!$C$1567+(IF(IF(MOD(MIN(INT(($A71-1)/2)+1,MAX(1,INT(((((CROQUIS_DATOS!$C$1515+CROQUIS_DATOS!$C$1516))-(CROQUIS_DATOS!$C$1515))+((CROQUIS_DATOS!$C$1476)*CROQUIS_DATOS!$C$1561-(0)*CROQUIS_DATOS!$C$1561))/CROQUIS_DATOS!$C$1568-0.000001))),2)=1,IF(INT(($A71-1)/2)+1&gt;MAX(1,INT(((((CROQUIS_DATOS!$C$1515+CROQUIS_DATOS!$C$1516))-(CROQUIS_DATOS!$C$1515))+((CROQUIS_DATOS!$C$1476)*CROQUIS_DATOS!$C$1561-(0)*CROQUIS_DATOS!$C$1561))/CROQUIS_DATOS!$C$1568-0.000001)),1,MOD($A71-1,2)),1-IF(INT(($A71-1)/2)+1&gt;MAX(1,INT(((((CROQUIS_DATOS!$C$1515+CROQUIS_DATOS!$C$1516))-(CROQUIS_DATOS!$C$1515))+((CROQUIS_DATOS!$C$1476)*CROQUIS_DATOS!$C$1561-(0)*CROQUIS_DATOS!$C$1561))/CROQUIS_DATOS!$C$1568-0.000001)),1,MOD($A71-1,2)))=1,MIN((CROQUIS_DATOS!$C$1476)*CROQUIS_DATOS!$C$1561,((CROQUIS_DATOS!$C$1515+CROQUIS_DATOS!$C$1516)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1">
        <f>IF(AND(CROQUIS_DATOS!$C$1472=1,CROQUIS_DATOS!$C$1478&gt;=1,((CROQUIS_DATOS!$C$1479+CROQUIS_DATOS!$C$1480))-(CROQUIS_DATOS!$C$1479)&gt;0.5,(CROQUIS_DATOS!$C$1481)-(0)&gt;0.5),(CROQUIS_DATOS!$C$1566+(IF(IF(MOD(MIN(INT(($A71-1)/2)+1,MAX(1,INT(((((CROQUIS_DATOS!$C$1479+CROQUIS_DATOS!$C$1480))-(CROQUIS_DATOS!$C$1479))+((CROQUIS_DATOS!$C$1481)*CROQUIS_DATOS!$C$1561-(0)*CROQUIS_DATOS!$C$1561))/CROQUIS_DATOS!$C$1568-0.000001))),2)=1,IF(INT(($A71-1)/2)+1&gt;MAX(1,INT(((((CROQUIS_DATOS!$C$1479+CROQUIS_DATOS!$C$1480))-(CROQUIS_DATOS!$C$1479))+((CROQUIS_DATOS!$C$1481)*CROQUIS_DATOS!$C$1561-(0)*CROQUIS_DATOS!$C$1561))/CROQUIS_DATOS!$C$1568-0.000001)),1,MOD($A71-1,2)),1-IF(INT(($A71-1)/2)+1&gt;MAX(1,INT(((((CROQUIS_DATOS!$C$1479+CROQUIS_DATOS!$C$1480))-(CROQUIS_DATOS!$C$1479))+((CROQUIS_DATOS!$C$1481)*CROQUIS_DATOS!$C$1561-(0)*CROQUIS_DATOS!$C$1561))/CROQUIS_DATOS!$C$1568-0.000001)),1,MOD($A71-1,2)))=1,MIN((CROQUIS_DATOS!$C$1481)*CROQUIS_DATOS!$C$1561,((CROQUIS_DATOS!$C$1479+CROQUIS_DATOS!$C$1480)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1">
        <f>IF(AND(CROQUIS_DATOS!$C$1472=1,CROQUIS_DATOS!$C$1478&gt;=1,((CROQUIS_DATOS!$C$1479+CROQUIS_DATOS!$C$1480))-(CROQUIS_DATOS!$C$1479)&gt;0.5,(CROQUIS_DATOS!$C$1481)-(0)&gt;0.5),(CROQUIS_DATOS!$C$1567+(IF(IF(MOD(MIN(INT(($A71-1)/2)+1,MAX(1,INT(((((CROQUIS_DATOS!$C$1479+CROQUIS_DATOS!$C$1480))-(CROQUIS_DATOS!$C$1479))+((CROQUIS_DATOS!$C$1481)*CROQUIS_DATOS!$C$1561-(0)*CROQUIS_DATOS!$C$1561))/CROQUIS_DATOS!$C$1568-0.000001))),2)=1,IF(INT(($A71-1)/2)+1&gt;MAX(1,INT(((((CROQUIS_DATOS!$C$1479+CROQUIS_DATOS!$C$1480))-(CROQUIS_DATOS!$C$1479))+((CROQUIS_DATOS!$C$1481)*CROQUIS_DATOS!$C$1561-(0)*CROQUIS_DATOS!$C$1561))/CROQUIS_DATOS!$C$1568-0.000001)),1,MOD($A71-1,2)),1-IF(INT(($A71-1)/2)+1&gt;MAX(1,INT(((((CROQUIS_DATOS!$C$1479+CROQUIS_DATOS!$C$1480))-(CROQUIS_DATOS!$C$1479))+((CROQUIS_DATOS!$C$1481)*CROQUIS_DATOS!$C$1561-(0)*CROQUIS_DATOS!$C$1561))/CROQUIS_DATOS!$C$1568-0.000001)),1,MOD($A71-1,2)))=1,MIN((CROQUIS_DATOS!$C$1481)*CROQUIS_DATOS!$C$1561,((CROQUIS_DATOS!$C$1479+CROQUIS_DATOS!$C$1480)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1">
        <f>IF(AND(CROQUIS_DATOS!$C$1472=1,CROQUIS_DATOS!$C$1478&gt;=1,((CROQUIS_DATOS!$C$1479+CROQUIS_DATOS!$C$1480))-(CROQUIS_DATOS!$C$1479)&gt;0.5,(CROQUIS_DATOS!$C$1476)-((CROQUIS_DATOS!$C$1481+CROQUIS_DATOS!$C$1482))&gt;0.5),(CROQUIS_DATOS!$C$1566+(IF(IF(MOD(MIN(INT(($A71-1)/2)+1,MAX(1,INT(((((CROQUIS_DATOS!$C$1479+CROQUIS_DATOS!$C$1480))-(CROQUIS_DATOS!$C$1479))+((CROQUIS_DATOS!$C$1476)*CROQUIS_DATOS!$C$1561-((CROQUIS_DATOS!$C$1481+CROQUIS_DATOS!$C$1482))*CROQUIS_DATOS!$C$1561))/CROQUIS_DATOS!$C$1568-0.000001))),2)=1,IF(INT(($A71-1)/2)+1&gt;MAX(1,INT(((((CROQUIS_DATOS!$C$1479+CROQUIS_DATOS!$C$1480))-(CROQUIS_DATOS!$C$1479))+((CROQUIS_DATOS!$C$1476)*CROQUIS_DATOS!$C$1561-((CROQUIS_DATOS!$C$1481+CROQUIS_DATOS!$C$1482))*CROQUIS_DATOS!$C$1561))/CROQUIS_DATOS!$C$1568-0.000001)),1,MOD($A71-1,2)),1-IF(INT(($A71-1)/2)+1&gt;MAX(1,INT(((((CROQUIS_DATOS!$C$1479+CROQUIS_DATOS!$C$1480))-(CROQUIS_DATOS!$C$1479))+((CROQUIS_DATOS!$C$1476)*CROQUIS_DATOS!$C$1561-((CROQUIS_DATOS!$C$1481+CROQUIS_DATOS!$C$1482))*CROQUIS_DATOS!$C$1561))/CROQUIS_DATOS!$C$1568-0.000001)),1,MOD($A71-1,2)))=1,MIN((CROQUIS_DATOS!$C$1476)*CROQUIS_DATOS!$C$1561,((CROQUIS_DATOS!$C$1479+CROQUIS_DATOS!$C$1480)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1">
        <f>IF(AND(CROQUIS_DATOS!$C$1472=1,CROQUIS_DATOS!$C$1478&gt;=1,((CROQUIS_DATOS!$C$1479+CROQUIS_DATOS!$C$1480))-(CROQUIS_DATOS!$C$1479)&gt;0.5,(CROQUIS_DATOS!$C$1476)-((CROQUIS_DATOS!$C$1481+CROQUIS_DATOS!$C$1482))&gt;0.5),(CROQUIS_DATOS!$C$1567+(IF(IF(MOD(MIN(INT(($A71-1)/2)+1,MAX(1,INT(((((CROQUIS_DATOS!$C$1479+CROQUIS_DATOS!$C$1480))-(CROQUIS_DATOS!$C$1479))+((CROQUIS_DATOS!$C$1476)*CROQUIS_DATOS!$C$1561-((CROQUIS_DATOS!$C$1481+CROQUIS_DATOS!$C$1482))*CROQUIS_DATOS!$C$1561))/CROQUIS_DATOS!$C$1568-0.000001))),2)=1,IF(INT(($A71-1)/2)+1&gt;MAX(1,INT(((((CROQUIS_DATOS!$C$1479+CROQUIS_DATOS!$C$1480))-(CROQUIS_DATOS!$C$1479))+((CROQUIS_DATOS!$C$1476)*CROQUIS_DATOS!$C$1561-((CROQUIS_DATOS!$C$1481+CROQUIS_DATOS!$C$1482))*CROQUIS_DATOS!$C$1561))/CROQUIS_DATOS!$C$1568-0.000001)),1,MOD($A71-1,2)),1-IF(INT(($A71-1)/2)+1&gt;MAX(1,INT(((((CROQUIS_DATOS!$C$1479+CROQUIS_DATOS!$C$1480))-(CROQUIS_DATOS!$C$1479))+((CROQUIS_DATOS!$C$1476)*CROQUIS_DATOS!$C$1561-((CROQUIS_DATOS!$C$1481+CROQUIS_DATOS!$C$1482))*CROQUIS_DATOS!$C$1561))/CROQUIS_DATOS!$C$1568-0.000001)),1,MOD($A71-1,2)))=1,MIN((CROQUIS_DATOS!$C$1476)*CROQUIS_DATOS!$C$1561,((CROQUIS_DATOS!$C$1479+CROQUIS_DATOS!$C$1480)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1">
        <f>IF(AND(CROQUIS_DATOS!$C$1472=1,CROQUIS_DATOS!$C$1478&gt;=2,((CROQUIS_DATOS!$C$1484+CROQUIS_DATOS!$C$1485))-(CROQUIS_DATOS!$C$1484)&gt;0.5,(CROQUIS_DATOS!$C$1486)-(0)&gt;0.5),(CROQUIS_DATOS!$C$1566+(IF(IF(MOD(MIN(INT(($A71-1)/2)+1,MAX(1,INT(((((CROQUIS_DATOS!$C$1484+CROQUIS_DATOS!$C$1485))-(CROQUIS_DATOS!$C$1484))+((CROQUIS_DATOS!$C$1486)*CROQUIS_DATOS!$C$1561-(0)*CROQUIS_DATOS!$C$1561))/CROQUIS_DATOS!$C$1568-0.000001))),2)=1,IF(INT(($A71-1)/2)+1&gt;MAX(1,INT(((((CROQUIS_DATOS!$C$1484+CROQUIS_DATOS!$C$1485))-(CROQUIS_DATOS!$C$1484))+((CROQUIS_DATOS!$C$1486)*CROQUIS_DATOS!$C$1561-(0)*CROQUIS_DATOS!$C$1561))/CROQUIS_DATOS!$C$1568-0.000001)),1,MOD($A71-1,2)),1-IF(INT(($A71-1)/2)+1&gt;MAX(1,INT(((((CROQUIS_DATOS!$C$1484+CROQUIS_DATOS!$C$1485))-(CROQUIS_DATOS!$C$1484))+((CROQUIS_DATOS!$C$1486)*CROQUIS_DATOS!$C$1561-(0)*CROQUIS_DATOS!$C$1561))/CROQUIS_DATOS!$C$1568-0.000001)),1,MOD($A71-1,2)))=1,MIN((CROQUIS_DATOS!$C$1486)*CROQUIS_DATOS!$C$1561,((CROQUIS_DATOS!$C$1484+CROQUIS_DATOS!$C$1485)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1">
        <f>IF(AND(CROQUIS_DATOS!$C$1472=1,CROQUIS_DATOS!$C$1478&gt;=2,((CROQUIS_DATOS!$C$1484+CROQUIS_DATOS!$C$1485))-(CROQUIS_DATOS!$C$1484)&gt;0.5,(CROQUIS_DATOS!$C$1486)-(0)&gt;0.5),(CROQUIS_DATOS!$C$1567+(IF(IF(MOD(MIN(INT(($A71-1)/2)+1,MAX(1,INT(((((CROQUIS_DATOS!$C$1484+CROQUIS_DATOS!$C$1485))-(CROQUIS_DATOS!$C$1484))+((CROQUIS_DATOS!$C$1486)*CROQUIS_DATOS!$C$1561-(0)*CROQUIS_DATOS!$C$1561))/CROQUIS_DATOS!$C$1568-0.000001))),2)=1,IF(INT(($A71-1)/2)+1&gt;MAX(1,INT(((((CROQUIS_DATOS!$C$1484+CROQUIS_DATOS!$C$1485))-(CROQUIS_DATOS!$C$1484))+((CROQUIS_DATOS!$C$1486)*CROQUIS_DATOS!$C$1561-(0)*CROQUIS_DATOS!$C$1561))/CROQUIS_DATOS!$C$1568-0.000001)),1,MOD($A71-1,2)),1-IF(INT(($A71-1)/2)+1&gt;MAX(1,INT(((((CROQUIS_DATOS!$C$1484+CROQUIS_DATOS!$C$1485))-(CROQUIS_DATOS!$C$1484))+((CROQUIS_DATOS!$C$1486)*CROQUIS_DATOS!$C$1561-(0)*CROQUIS_DATOS!$C$1561))/CROQUIS_DATOS!$C$1568-0.000001)),1,MOD($A71-1,2)))=1,MIN((CROQUIS_DATOS!$C$1486)*CROQUIS_DATOS!$C$1561,((CROQUIS_DATOS!$C$1484+CROQUIS_DATOS!$C$1485)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1">
        <f>IF(AND(CROQUIS_DATOS!$C$1472=1,CROQUIS_DATOS!$C$1478&gt;=2,((CROQUIS_DATOS!$C$1484+CROQUIS_DATOS!$C$1485))-(CROQUIS_DATOS!$C$1484)&gt;0.5,(CROQUIS_DATOS!$C$1476)-((CROQUIS_DATOS!$C$1486+CROQUIS_DATOS!$C$1487))&gt;0.5),(CROQUIS_DATOS!$C$1566+(IF(IF(MOD(MIN(INT(($A71-1)/2)+1,MAX(1,INT(((((CROQUIS_DATOS!$C$1484+CROQUIS_DATOS!$C$1485))-(CROQUIS_DATOS!$C$1484))+((CROQUIS_DATOS!$C$1476)*CROQUIS_DATOS!$C$1561-((CROQUIS_DATOS!$C$1486+CROQUIS_DATOS!$C$1487))*CROQUIS_DATOS!$C$1561))/CROQUIS_DATOS!$C$1568-0.000001))),2)=1,IF(INT(($A71-1)/2)+1&gt;MAX(1,INT(((((CROQUIS_DATOS!$C$1484+CROQUIS_DATOS!$C$1485))-(CROQUIS_DATOS!$C$1484))+((CROQUIS_DATOS!$C$1476)*CROQUIS_DATOS!$C$1561-((CROQUIS_DATOS!$C$1486+CROQUIS_DATOS!$C$1487))*CROQUIS_DATOS!$C$1561))/CROQUIS_DATOS!$C$1568-0.000001)),1,MOD($A71-1,2)),1-IF(INT(($A71-1)/2)+1&gt;MAX(1,INT(((((CROQUIS_DATOS!$C$1484+CROQUIS_DATOS!$C$1485))-(CROQUIS_DATOS!$C$1484))+((CROQUIS_DATOS!$C$1476)*CROQUIS_DATOS!$C$1561-((CROQUIS_DATOS!$C$1486+CROQUIS_DATOS!$C$1487))*CROQUIS_DATOS!$C$1561))/CROQUIS_DATOS!$C$1568-0.000001)),1,MOD($A71-1,2)))=1,MIN((CROQUIS_DATOS!$C$1476)*CROQUIS_DATOS!$C$1561,((CROQUIS_DATOS!$C$1484+CROQUIS_DATOS!$C$1485)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1">
        <f>IF(AND(CROQUIS_DATOS!$C$1472=1,CROQUIS_DATOS!$C$1478&gt;=2,((CROQUIS_DATOS!$C$1484+CROQUIS_DATOS!$C$1485))-(CROQUIS_DATOS!$C$1484)&gt;0.5,(CROQUIS_DATOS!$C$1476)-((CROQUIS_DATOS!$C$1486+CROQUIS_DATOS!$C$1487))&gt;0.5),(CROQUIS_DATOS!$C$1567+(IF(IF(MOD(MIN(INT(($A71-1)/2)+1,MAX(1,INT(((((CROQUIS_DATOS!$C$1484+CROQUIS_DATOS!$C$1485))-(CROQUIS_DATOS!$C$1484))+((CROQUIS_DATOS!$C$1476)*CROQUIS_DATOS!$C$1561-((CROQUIS_DATOS!$C$1486+CROQUIS_DATOS!$C$1487))*CROQUIS_DATOS!$C$1561))/CROQUIS_DATOS!$C$1568-0.000001))),2)=1,IF(INT(($A71-1)/2)+1&gt;MAX(1,INT(((((CROQUIS_DATOS!$C$1484+CROQUIS_DATOS!$C$1485))-(CROQUIS_DATOS!$C$1484))+((CROQUIS_DATOS!$C$1476)*CROQUIS_DATOS!$C$1561-((CROQUIS_DATOS!$C$1486+CROQUIS_DATOS!$C$1487))*CROQUIS_DATOS!$C$1561))/CROQUIS_DATOS!$C$1568-0.000001)),1,MOD($A71-1,2)),1-IF(INT(($A71-1)/2)+1&gt;MAX(1,INT(((((CROQUIS_DATOS!$C$1484+CROQUIS_DATOS!$C$1485))-(CROQUIS_DATOS!$C$1484))+((CROQUIS_DATOS!$C$1476)*CROQUIS_DATOS!$C$1561-((CROQUIS_DATOS!$C$1486+CROQUIS_DATOS!$C$1487))*CROQUIS_DATOS!$C$1561))/CROQUIS_DATOS!$C$1568-0.000001)),1,MOD($A71-1,2)))=1,MIN((CROQUIS_DATOS!$C$1476)*CROQUIS_DATOS!$C$1561,((CROQUIS_DATOS!$C$1484+CROQUIS_DATOS!$C$1485)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1">
        <f>IF(AND(CROQUIS_DATOS!$C$1472=1,CROQUIS_DATOS!$C$1478&gt;=3,((CROQUIS_DATOS!$C$1489+CROQUIS_DATOS!$C$1490))-(CROQUIS_DATOS!$C$1489)&gt;0.5,(CROQUIS_DATOS!$C$1491)-(0)&gt;0.5),(CROQUIS_DATOS!$C$1566+(IF(IF(MOD(MIN(INT(($A71-1)/2)+1,MAX(1,INT(((((CROQUIS_DATOS!$C$1489+CROQUIS_DATOS!$C$1490))-(CROQUIS_DATOS!$C$1489))+((CROQUIS_DATOS!$C$1491)*CROQUIS_DATOS!$C$1561-(0)*CROQUIS_DATOS!$C$1561))/CROQUIS_DATOS!$C$1568-0.000001))),2)=1,IF(INT(($A71-1)/2)+1&gt;MAX(1,INT(((((CROQUIS_DATOS!$C$1489+CROQUIS_DATOS!$C$1490))-(CROQUIS_DATOS!$C$1489))+((CROQUIS_DATOS!$C$1491)*CROQUIS_DATOS!$C$1561-(0)*CROQUIS_DATOS!$C$1561))/CROQUIS_DATOS!$C$1568-0.000001)),1,MOD($A71-1,2)),1-IF(INT(($A71-1)/2)+1&gt;MAX(1,INT(((((CROQUIS_DATOS!$C$1489+CROQUIS_DATOS!$C$1490))-(CROQUIS_DATOS!$C$1489))+((CROQUIS_DATOS!$C$1491)*CROQUIS_DATOS!$C$1561-(0)*CROQUIS_DATOS!$C$1561))/CROQUIS_DATOS!$C$1568-0.000001)),1,MOD($A71-1,2)))=1,MIN((CROQUIS_DATOS!$C$1491)*CROQUIS_DATOS!$C$1561,((CROQUIS_DATOS!$C$1489+CROQUIS_DATOS!$C$1490)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1">
        <f>IF(AND(CROQUIS_DATOS!$C$1472=1,CROQUIS_DATOS!$C$1478&gt;=3,((CROQUIS_DATOS!$C$1489+CROQUIS_DATOS!$C$1490))-(CROQUIS_DATOS!$C$1489)&gt;0.5,(CROQUIS_DATOS!$C$1491)-(0)&gt;0.5),(CROQUIS_DATOS!$C$1567+(IF(IF(MOD(MIN(INT(($A71-1)/2)+1,MAX(1,INT(((((CROQUIS_DATOS!$C$1489+CROQUIS_DATOS!$C$1490))-(CROQUIS_DATOS!$C$1489))+((CROQUIS_DATOS!$C$1491)*CROQUIS_DATOS!$C$1561-(0)*CROQUIS_DATOS!$C$1561))/CROQUIS_DATOS!$C$1568-0.000001))),2)=1,IF(INT(($A71-1)/2)+1&gt;MAX(1,INT(((((CROQUIS_DATOS!$C$1489+CROQUIS_DATOS!$C$1490))-(CROQUIS_DATOS!$C$1489))+((CROQUIS_DATOS!$C$1491)*CROQUIS_DATOS!$C$1561-(0)*CROQUIS_DATOS!$C$1561))/CROQUIS_DATOS!$C$1568-0.000001)),1,MOD($A71-1,2)),1-IF(INT(($A71-1)/2)+1&gt;MAX(1,INT(((((CROQUIS_DATOS!$C$1489+CROQUIS_DATOS!$C$1490))-(CROQUIS_DATOS!$C$1489))+((CROQUIS_DATOS!$C$1491)*CROQUIS_DATOS!$C$1561-(0)*CROQUIS_DATOS!$C$1561))/CROQUIS_DATOS!$C$1568-0.000001)),1,MOD($A71-1,2)))=1,MIN((CROQUIS_DATOS!$C$1491)*CROQUIS_DATOS!$C$1561,((CROQUIS_DATOS!$C$1489+CROQUIS_DATOS!$C$1490)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1">
        <f>IF(AND(CROQUIS_DATOS!$C$1472=1,CROQUIS_DATOS!$C$1478&gt;=3,((CROQUIS_DATOS!$C$1489+CROQUIS_DATOS!$C$1490))-(CROQUIS_DATOS!$C$1489)&gt;0.5,(CROQUIS_DATOS!$C$1476)-((CROQUIS_DATOS!$C$1491+CROQUIS_DATOS!$C$1492))&gt;0.5),(CROQUIS_DATOS!$C$1566+(IF(IF(MOD(MIN(INT(($A71-1)/2)+1,MAX(1,INT(((((CROQUIS_DATOS!$C$1489+CROQUIS_DATOS!$C$1490))-(CROQUIS_DATOS!$C$1489))+((CROQUIS_DATOS!$C$1476)*CROQUIS_DATOS!$C$1561-((CROQUIS_DATOS!$C$1491+CROQUIS_DATOS!$C$1492))*CROQUIS_DATOS!$C$1561))/CROQUIS_DATOS!$C$1568-0.000001))),2)=1,IF(INT(($A71-1)/2)+1&gt;MAX(1,INT(((((CROQUIS_DATOS!$C$1489+CROQUIS_DATOS!$C$1490))-(CROQUIS_DATOS!$C$1489))+((CROQUIS_DATOS!$C$1476)*CROQUIS_DATOS!$C$1561-((CROQUIS_DATOS!$C$1491+CROQUIS_DATOS!$C$1492))*CROQUIS_DATOS!$C$1561))/CROQUIS_DATOS!$C$1568-0.000001)),1,MOD($A71-1,2)),1-IF(INT(($A71-1)/2)+1&gt;MAX(1,INT(((((CROQUIS_DATOS!$C$1489+CROQUIS_DATOS!$C$1490))-(CROQUIS_DATOS!$C$1489))+((CROQUIS_DATOS!$C$1476)*CROQUIS_DATOS!$C$1561-((CROQUIS_DATOS!$C$1491+CROQUIS_DATOS!$C$1492))*CROQUIS_DATOS!$C$1561))/CROQUIS_DATOS!$C$1568-0.000001)),1,MOD($A71-1,2)))=1,MIN((CROQUIS_DATOS!$C$1476)*CROQUIS_DATOS!$C$1561,((CROQUIS_DATOS!$C$1489+CROQUIS_DATOS!$C$1490)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1">
        <f>IF(AND(CROQUIS_DATOS!$C$1472=1,CROQUIS_DATOS!$C$1478&gt;=3,((CROQUIS_DATOS!$C$1489+CROQUIS_DATOS!$C$1490))-(CROQUIS_DATOS!$C$1489)&gt;0.5,(CROQUIS_DATOS!$C$1476)-((CROQUIS_DATOS!$C$1491+CROQUIS_DATOS!$C$1492))&gt;0.5),(CROQUIS_DATOS!$C$1567+(IF(IF(MOD(MIN(INT(($A71-1)/2)+1,MAX(1,INT(((((CROQUIS_DATOS!$C$1489+CROQUIS_DATOS!$C$1490))-(CROQUIS_DATOS!$C$1489))+((CROQUIS_DATOS!$C$1476)*CROQUIS_DATOS!$C$1561-((CROQUIS_DATOS!$C$1491+CROQUIS_DATOS!$C$1492))*CROQUIS_DATOS!$C$1561))/CROQUIS_DATOS!$C$1568-0.000001))),2)=1,IF(INT(($A71-1)/2)+1&gt;MAX(1,INT(((((CROQUIS_DATOS!$C$1489+CROQUIS_DATOS!$C$1490))-(CROQUIS_DATOS!$C$1489))+((CROQUIS_DATOS!$C$1476)*CROQUIS_DATOS!$C$1561-((CROQUIS_DATOS!$C$1491+CROQUIS_DATOS!$C$1492))*CROQUIS_DATOS!$C$1561))/CROQUIS_DATOS!$C$1568-0.000001)),1,MOD($A71-1,2)),1-IF(INT(($A71-1)/2)+1&gt;MAX(1,INT(((((CROQUIS_DATOS!$C$1489+CROQUIS_DATOS!$C$1490))-(CROQUIS_DATOS!$C$1489))+((CROQUIS_DATOS!$C$1476)*CROQUIS_DATOS!$C$1561-((CROQUIS_DATOS!$C$1491+CROQUIS_DATOS!$C$1492))*CROQUIS_DATOS!$C$1561))/CROQUIS_DATOS!$C$1568-0.000001)),1,MOD($A71-1,2)))=1,MIN((CROQUIS_DATOS!$C$1476)*CROQUIS_DATOS!$C$1561,((CROQUIS_DATOS!$C$1489+CROQUIS_DATOS!$C$1490)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1">
        <f>IF(AND(CROQUIS_DATOS!$C$1472=1,CROQUIS_DATOS!$C$1478&gt;=4,((CROQUIS_DATOS!$C$1494+CROQUIS_DATOS!$C$1495))-(CROQUIS_DATOS!$C$1494)&gt;0.5,(CROQUIS_DATOS!$C$1496)-(0)&gt;0.5),(CROQUIS_DATOS!$C$1566+(IF(IF(MOD(MIN(INT(($A71-1)/2)+1,MAX(1,INT(((((CROQUIS_DATOS!$C$1494+CROQUIS_DATOS!$C$1495))-(CROQUIS_DATOS!$C$1494))+((CROQUIS_DATOS!$C$1496)*CROQUIS_DATOS!$C$1561-(0)*CROQUIS_DATOS!$C$1561))/CROQUIS_DATOS!$C$1568-0.000001))),2)=1,IF(INT(($A71-1)/2)+1&gt;MAX(1,INT(((((CROQUIS_DATOS!$C$1494+CROQUIS_DATOS!$C$1495))-(CROQUIS_DATOS!$C$1494))+((CROQUIS_DATOS!$C$1496)*CROQUIS_DATOS!$C$1561-(0)*CROQUIS_DATOS!$C$1561))/CROQUIS_DATOS!$C$1568-0.000001)),1,MOD($A71-1,2)),1-IF(INT(($A71-1)/2)+1&gt;MAX(1,INT(((((CROQUIS_DATOS!$C$1494+CROQUIS_DATOS!$C$1495))-(CROQUIS_DATOS!$C$1494))+((CROQUIS_DATOS!$C$1496)*CROQUIS_DATOS!$C$1561-(0)*CROQUIS_DATOS!$C$1561))/CROQUIS_DATOS!$C$1568-0.000001)),1,MOD($A71-1,2)))=1,MIN((CROQUIS_DATOS!$C$1496)*CROQUIS_DATOS!$C$1561,((CROQUIS_DATOS!$C$1494+CROQUIS_DATOS!$C$1495)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1">
        <f>IF(AND(CROQUIS_DATOS!$C$1472=1,CROQUIS_DATOS!$C$1478&gt;=4,((CROQUIS_DATOS!$C$1494+CROQUIS_DATOS!$C$1495))-(CROQUIS_DATOS!$C$1494)&gt;0.5,(CROQUIS_DATOS!$C$1496)-(0)&gt;0.5),(CROQUIS_DATOS!$C$1567+(IF(IF(MOD(MIN(INT(($A71-1)/2)+1,MAX(1,INT(((((CROQUIS_DATOS!$C$1494+CROQUIS_DATOS!$C$1495))-(CROQUIS_DATOS!$C$1494))+((CROQUIS_DATOS!$C$1496)*CROQUIS_DATOS!$C$1561-(0)*CROQUIS_DATOS!$C$1561))/CROQUIS_DATOS!$C$1568-0.000001))),2)=1,IF(INT(($A71-1)/2)+1&gt;MAX(1,INT(((((CROQUIS_DATOS!$C$1494+CROQUIS_DATOS!$C$1495))-(CROQUIS_DATOS!$C$1494))+((CROQUIS_DATOS!$C$1496)*CROQUIS_DATOS!$C$1561-(0)*CROQUIS_DATOS!$C$1561))/CROQUIS_DATOS!$C$1568-0.000001)),1,MOD($A71-1,2)),1-IF(INT(($A71-1)/2)+1&gt;MAX(1,INT(((((CROQUIS_DATOS!$C$1494+CROQUIS_DATOS!$C$1495))-(CROQUIS_DATOS!$C$1494))+((CROQUIS_DATOS!$C$1496)*CROQUIS_DATOS!$C$1561-(0)*CROQUIS_DATOS!$C$1561))/CROQUIS_DATOS!$C$1568-0.000001)),1,MOD($A71-1,2)))=1,MIN((CROQUIS_DATOS!$C$1496)*CROQUIS_DATOS!$C$1561,((CROQUIS_DATOS!$C$1494+CROQUIS_DATOS!$C$1495)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1">
        <f>IF(AND(CROQUIS_DATOS!$C$1472=1,CROQUIS_DATOS!$C$1478&gt;=4,((CROQUIS_DATOS!$C$1494+CROQUIS_DATOS!$C$1495))-(CROQUIS_DATOS!$C$1494)&gt;0.5,(CROQUIS_DATOS!$C$1476)-((CROQUIS_DATOS!$C$1496+CROQUIS_DATOS!$C$1497))&gt;0.5),(CROQUIS_DATOS!$C$1566+(IF(IF(MOD(MIN(INT(($A71-1)/2)+1,MAX(1,INT(((((CROQUIS_DATOS!$C$1494+CROQUIS_DATOS!$C$1495))-(CROQUIS_DATOS!$C$1494))+((CROQUIS_DATOS!$C$1476)*CROQUIS_DATOS!$C$1561-((CROQUIS_DATOS!$C$1496+CROQUIS_DATOS!$C$1497))*CROQUIS_DATOS!$C$1561))/CROQUIS_DATOS!$C$1568-0.000001))),2)=1,IF(INT(($A71-1)/2)+1&gt;MAX(1,INT(((((CROQUIS_DATOS!$C$1494+CROQUIS_DATOS!$C$1495))-(CROQUIS_DATOS!$C$1494))+((CROQUIS_DATOS!$C$1476)*CROQUIS_DATOS!$C$1561-((CROQUIS_DATOS!$C$1496+CROQUIS_DATOS!$C$1497))*CROQUIS_DATOS!$C$1561))/CROQUIS_DATOS!$C$1568-0.000001)),1,MOD($A71-1,2)),1-IF(INT(($A71-1)/2)+1&gt;MAX(1,INT(((((CROQUIS_DATOS!$C$1494+CROQUIS_DATOS!$C$1495))-(CROQUIS_DATOS!$C$1494))+((CROQUIS_DATOS!$C$1476)*CROQUIS_DATOS!$C$1561-((CROQUIS_DATOS!$C$1496+CROQUIS_DATOS!$C$1497))*CROQUIS_DATOS!$C$1561))/CROQUIS_DATOS!$C$1568-0.000001)),1,MOD($A71-1,2)))=1,MIN((CROQUIS_DATOS!$C$1476)*CROQUIS_DATOS!$C$1561,((CROQUIS_DATOS!$C$1494+CROQUIS_DATOS!$C$1495)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1">
        <f>IF(AND(CROQUIS_DATOS!$C$1472=1,CROQUIS_DATOS!$C$1478&gt;=4,((CROQUIS_DATOS!$C$1494+CROQUIS_DATOS!$C$1495))-(CROQUIS_DATOS!$C$1494)&gt;0.5,(CROQUIS_DATOS!$C$1476)-((CROQUIS_DATOS!$C$1496+CROQUIS_DATOS!$C$1497))&gt;0.5),(CROQUIS_DATOS!$C$1567+(IF(IF(MOD(MIN(INT(($A71-1)/2)+1,MAX(1,INT(((((CROQUIS_DATOS!$C$1494+CROQUIS_DATOS!$C$1495))-(CROQUIS_DATOS!$C$1494))+((CROQUIS_DATOS!$C$1476)*CROQUIS_DATOS!$C$1561-((CROQUIS_DATOS!$C$1496+CROQUIS_DATOS!$C$1497))*CROQUIS_DATOS!$C$1561))/CROQUIS_DATOS!$C$1568-0.000001))),2)=1,IF(INT(($A71-1)/2)+1&gt;MAX(1,INT(((((CROQUIS_DATOS!$C$1494+CROQUIS_DATOS!$C$1495))-(CROQUIS_DATOS!$C$1494))+((CROQUIS_DATOS!$C$1476)*CROQUIS_DATOS!$C$1561-((CROQUIS_DATOS!$C$1496+CROQUIS_DATOS!$C$1497))*CROQUIS_DATOS!$C$1561))/CROQUIS_DATOS!$C$1568-0.000001)),1,MOD($A71-1,2)),1-IF(INT(($A71-1)/2)+1&gt;MAX(1,INT(((((CROQUIS_DATOS!$C$1494+CROQUIS_DATOS!$C$1495))-(CROQUIS_DATOS!$C$1494))+((CROQUIS_DATOS!$C$1476)*CROQUIS_DATOS!$C$1561-((CROQUIS_DATOS!$C$1496+CROQUIS_DATOS!$C$1497))*CROQUIS_DATOS!$C$1561))/CROQUIS_DATOS!$C$1568-0.000001)),1,MOD($A71-1,2)))=1,MIN((CROQUIS_DATOS!$C$1476)*CROQUIS_DATOS!$C$1561,((CROQUIS_DATOS!$C$1494+CROQUIS_DATOS!$C$1495)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1">
        <f>IF(AND(CROQUIS_DATOS!$C$1472=1,1),(CROQUIS_DATOS!$C$1571+(CHOOSE(MIN(MAX(IF(INT(($A71-1)/5)+1&gt;CROQUIS_DATOS!$C$1525,5,MOD($A71-1,5)+1),1),5),(INDEX($E$8:$E$23,MIN(INT(($A71-1)/5)+1,CROQUIS_DATOS!$C$1525))-INDEX($F$8:$F$23,MIN(INT(($A71-1)/5)+1,CROQUIS_DATOS!$C$1525))/2),(INDEX($E$8:$E$23,MIN(INT(($A71-1)/5)+1,CROQUIS_DATOS!$C$1525))+INDEX($F$8:$F$23,MIN(INT(($A71-1)/5)+1,CROQUIS_DATOS!$C$1525))/2),(INDEX($E$8:$E$23,MIN(INT(($A71-1)/5)+1,CROQUIS_DATOS!$C$1525))+INDEX($F$8:$F$23,MIN(INT(($A71-1)/5)+1,CROQUIS_DATOS!$C$1525))/2),(INDEX($E$8:$E$23,MIN(INT(($A71-1)/5)+1,CROQUIS_DATOS!$C$1525))-INDEX($F$8:$F$23,MIN(INT(($A71-1)/5)+1,CROQUIS_DATOS!$C$1525))/2),(INDEX($E$8:$E$23,MIN(INT(($A71-1)/5)+1,CROQUIS_DATOS!$C$1525))-INDEX($F$8:$F$23,MIN(INT(($A71-1)/5)+1,CROQUIS_DATOS!$C$1525))/2)))*CROQUIS_DATOS!$C$1569),-1000)</f>
        <v>95.24</v>
      </c>
      <c r="GE71">
        <f>IF(AND(CROQUIS_DATOS!$C$1472=1,1),(CROQUIS_DATOS!$C$1572+(CHOOSE(MIN(MAX(IF(INT(($A71-1)/5)+1&gt;CROQUIS_DATOS!$C$1525,5,MOD($A71-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  <c r="GF71">
        <f>IF(AND(CROQUIS_DATOS!$C$1472=1,1),IF(INT(($A71-1)/4)+1&lt;=CROQUIS_DATOS!$C$1525,(CROQUIS_DATOS!$C$1571+((INDEX($E$8:$E$23,MIN(INT(($A71-1)/4)+1,16))+IF(OR(MOD($A71-1,4)=0,MOD($A71-1,4)=3),-1,1)*(INDEX($F$8:$F$23,MIN(INT(($A71-1)/4)+1,16))/2-(CROQUIS_DATOS!$C$1530+CROQUIS_DATOS!$C$1532+IF(OR(INT(($A71-1)/4)+1=1,INT(($A71-1)/4)+1=CROQUIS_DATOS!$C$1525),CROQUIS_DATOS!$C$1534,CROQUIS_DATOS!$C$1531)/2))))*CROQUIS_DATOS!$C$1569),-1000),-1000)</f>
        <v>-1000</v>
      </c>
      <c r="GG71">
        <f>IF(AND(CROQUIS_DATOS!$C$1472=1,1),IF(INT(($A71-1)/4)+1&lt;=CROQUIS_DATOS!$C$1525,(CROQUIS_DATOS!$C$1572+((CROQUIS_DATOS!$C$1477/2+IF(MOD($A71-1,4)&lt;2,-1,1)*(CROQUIS_DATOS!$C$1527/2-(CROQUIS_DATOS!$C$1530+CROQUIS_DATOS!$C$1532+IF(OR(INT(($A71-1)/4)+1=1,INT(($A71-1)/4)+1=CROQUIS_DATOS!$C$1525),CROQUIS_DATOS!$C$1534,CROQUIS_DATOS!$C$1531)/2))))*CROQUIS_DATOS!$C$1569*CROQUIS_DATOS!$C$1570),-1000),-1000)</f>
        <v>-1000</v>
      </c>
    </row>
    <row r="72">
      <c r="A72" t="n">
        <v>65</v>
      </c>
      <c r="N72">
        <f>IF(AND(CROQUIS_DATOS!$C$1472=1,1),(CROQUIS_DATOS!$C$1563+(IF(IF(IF(INT(($A72-1)/70)+1&gt;CROQUIS_DATOS!$C$1525,70,MOD($A72-1,70)+1)=1,0,IF(IF(INT(($A72-1)/70)+1&gt;CROQUIS_DATOS!$C$1525,70,MOD($A72-1,70)+1)&gt;2*CROQUIS_DATOS!$C$1541+1,IF(MOD(CROQUIS_DATOS!$C$1541,2)=1,1,0),IF(MOD(MIN(INT((IF(INT(($A72-1)/70)+1&gt;CROQUIS_DATOS!$C$1525,70,MOD($A72-1,70)+1)-2)/2)+1,CROQUIS_DATOS!$C$1541),2)=1,IF(MOD(IF(INT(($A72-1)/70)+1&gt;CROQUIS_DATOS!$C$1525,70,MOD($A72-1,70)+1)-2,2)=0,0,1),IF(MOD(IF(INT(($A72-1)/70)+1&gt;CROQUIS_DATOS!$C$1525,70,MOD($A72-1,70)+1)-2,2)=0,1,0))))=0,(INDEX($E$8:$E$23,MIN(INT(($A72-1)/70)+1,CROQUIS_DATOS!$C$1525))-INDEX($F$8:$F$23,MIN(INT(($A72-1)/70)+1,CROQUIS_DATOS!$C$1525))/2),(INDEX($E$8:$E$23,MIN(INT(($A72-1)/70)+1,CROQUIS_DATOS!$C$1525))+INDEX($F$8:$F$23,MIN(INT(($A72-1)/70)+1,CROQUIS_DATOS!$C$1525))/2)))*CROQUIS_DATOS!$C$1562),-1000)</f>
        <v>15.0862068965517</v>
      </c>
      <c r="O72">
        <f>IF(AND(CROQUIS_DATOS!$C$1472=1,1),(CROQUIS_DATOS!$C$1564+(IF(OR(IF(INT(($A72-1)/70)+1&gt;CROQUIS_DATOS!$C$1525,70,MOD($A72-1,70)+1)=1,IF(INT(($A72-1)/70)+1&gt;CROQUIS_DATOS!$C$1525,70,MOD($A72-1,70)+1)&gt;2*CROQUIS_DATOS!$C$1541+1),CROQUIS_DATOS!$C$1476,INDEX($H$8:$H$41,MIN(INT((IF(INT(($A72-1)/70)+1&gt;CROQUIS_DATOS!$C$1525,70,MOD($A72-1,70)+1)-2)/2)+1,CROQUIS_DATOS!$C$1541))))*CROQUIS_DATOS!$C$1561*CROQUIS_DATOS!$C$1562),-1000)</f>
        <v>40.2068965517241</v>
      </c>
      <c r="P72">
        <f>IF(AND(CROQUIS_DATOS!$C$1472=1,CROQUIS_DATOS!$C$1555=1),(CROQUIS_DATOS!$C$1563+(IF(IF(OR(MOD($A72-1,62)+1=1,IF(CHOOSE(MIN(MAX(MIN(INT(($A72-1)/62)+1,5),1),5),CROQUIS_DATOS!$C$1501,CROQUIS_DATOS!$C$1505,CROQUIS_DATOS!$C$1509,CROQUIS_DATOS!$C$1513,CROQUIS_DATOS!$C$1517)=1,CROQUIS_DATOS!$C$1557,0)=0),0,IF(MOD($A72-1,62)+1&gt;2*IF(CHOOSE(MIN(MAX(MIN(INT(($A72-1)/62)+1,5),1),5),CROQUIS_DATOS!$C$1501,CROQUIS_DATOS!$C$1505,CROQUIS_DATOS!$C$1509,CROQUIS_DATOS!$C$1513,CROQUIS_DATOS!$C$1517)=1,CROQUIS_DATOS!$C$1557,0)+1,IF(MOD(IF(CHOOSE(MIN(MAX(MIN(INT(($A72-1)/62)+1,5),1),5),CROQUIS_DATOS!$C$1501,CROQUIS_DATOS!$C$1505,CROQUIS_DATOS!$C$1509,CROQUIS_DATOS!$C$1513,CROQUIS_DATOS!$C$1517)=1,CROQUIS_DATOS!$C$1557,0),2)=1,1,0),IF(MOD(MIN(INT((MOD($A72-1,62)+1-2)/2)+1,MAX(IF(CHOOSE(MIN(MAX(MIN(INT(($A72-1)/62)+1,5),1),5),CROQUIS_DATOS!$C$1501,CROQUIS_DATOS!$C$1505,CROQUIS_DATOS!$C$1509,CROQUIS_DATOS!$C$1513,CROQUIS_DATOS!$C$1517)=1,CROQUIS_DATOS!$C$1557,0),1)),2)=1,IF(MOD(MOD($A72-1,62)+1-2,2)=0,0,1),IF(MOD(MOD($A72-1,62)+1-2,2)=0,1,0))))=0,(CHOOSE(MIN(MAX(MIN(INT(($A72-1)/62)+1,5),1),5),CROQUIS_DATOS!$C$1499,CROQUIS_DATOS!$C$1503,CROQUIS_DATOS!$C$1507,CROQUIS_DATOS!$C$1511,CROQUIS_DATOS!$C$1515)+IF(CHOOSE(MIN(MAX(MIN(INT(($A72-1)/62)+1,5),1),5),CROQUIS_DATOS!$C$1501,CROQUIS_DATOS!$C$1505,CROQUIS_DATOS!$C$1509,CROQUIS_DATOS!$C$1513,CROQUIS_DATOS!$C$1517)=1,CROQUIS_DATOS!$C$1526,0)),(CHOOSE(MIN(MAX(MIN(INT(($A72-1)/62)+1,5),1),5),CROQUIS_DATOS!$C$1499,CROQUIS_DATOS!$C$1503,CROQUIS_DATOS!$C$1507,CROQUIS_DATOS!$C$1511,CROQUIS_DATOS!$C$1515)+CHOOSE(MIN(MAX(MIN(INT(($A72-1)/62)+1,5),1),5),CROQUIS_DATOS!$C$1500,CROQUIS_DATOS!$C$1504,CROQUIS_DATOS!$C$1508,CROQUIS_DATOS!$C$1512,CROQUIS_DATOS!$C$1516)-IF(CHOOSE(MIN(MAX(MIN(INT(($A72-1)/62)+1,5),1),5),CROQUIS_DATOS!$C$1501,CROQUIS_DATOS!$C$1505,CROQUIS_DATOS!$C$1509,CROQUIS_DATOS!$C$1513,CROQUIS_DATOS!$C$1517)=1,CROQUIS_DATOS!$C$1526,0))))*CROQUIS_DATOS!$C$1562),-1000)</f>
        <v>-1000</v>
      </c>
      <c r="Q72">
        <f>IF(AND(CROQUIS_DATOS!$C$1472=1,CROQUIS_DATOS!$C$1555=1),(CROQUIS_DATOS!$C$1564+(IF(OR(OR(MOD($A72-1,62)+1=1,IF(CHOOSE(MIN(MAX(MIN(INT(($A72-1)/62)+1,5),1),5),CROQUIS_DATOS!$C$1501,CROQUIS_DATOS!$C$1505,CROQUIS_DATOS!$C$1509,CROQUIS_DATOS!$C$1513,CROQUIS_DATOS!$C$1517)=1,CROQUIS_DATOS!$C$1557,0)=0),MOD($A72-1,62)+1&gt;2*IF(CHOOSE(MIN(MAX(MIN(INT(($A72-1)/62)+1,5),1),5),CROQUIS_DATOS!$C$1501,CROQUIS_DATOS!$C$1505,CROQUIS_DATOS!$C$1509,CROQUIS_DATOS!$C$1513,CROQUIS_DATOS!$C$1517)=1,CROQUIS_DATOS!$C$1557,0)+1),CROQUIS_DATOS!$C$1476,MIN(INT((MOD($A72-1,62)+1-2)/2)+1,MAX(IF(CHOOSE(MIN(MAX(MIN(INT(($A72-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2">
        <f>IF(AND(CROQUIS_DATOS!$C$1472=1,1),(CROQUIS_DATOS!$C$1563+(MIN(INT(($A72-1)/2)+1,CROQUIS_DATOS!$C$1558)*CROQUIS_DATOS!$C$1559)*CROQUIS_DATOS!$C$1562),-1000)</f>
        <v>82.2281167108753</v>
      </c>
      <c r="U72">
        <f>IF(AND(CROQUIS_DATOS!$C$1472=1,1),(CROQUIS_DATOS!$C$1564+(IF(INT(($A72-1)/2)+1&gt;CROQUIS_DATOS!$C$1558,IF(MOD(CROQUIS_DATOS!$C$1558,2)=1,CROQUIS_DATOS!$C$1476+CROQUIS_DATOS!$C$1528,CROQUIS_DATOS!$C$1476),IF(IF(MOD(MIN(INT(($A72-1)/2)+1,CROQUIS_DATOS!$C$1558),2)=1,MOD($A72-1,2),1-MOD($A72-1,2))=1,CROQUIS_DATOS!$C$1476+CROQUIS_DATOS!$C$1528,CROQUIS_DATOS!$C$1476)))*CROQUIS_DATOS!$C$1561*CROQUIS_DATOS!$C$1562),-1000)</f>
        <v>43</v>
      </c>
      <c r="BZ72">
        <f>IF(AND(CROQUIS_DATOS!$C$1472=1,CROQUIS_DATOS!$C$1500&gt;0,((CROQUIS_DATOS!$C$1499+CROQUIS_DATOS!$C$1500))-(CROQUIS_DATOS!$C$1499)&gt;0.5,(CROQUIS_DATOS!$C$1476)-(0)&gt;0.5),(CROQUIS_DATOS!$C$1566+(IF(IF(MOD(MIN(INT(($A72-1)/2)+1,MAX(1,INT(((((CROQUIS_DATOS!$C$1499+CROQUIS_DATOS!$C$1500))-(CROQUIS_DATOS!$C$1499))+((CROQUIS_DATOS!$C$1476)*CROQUIS_DATOS!$C$1561-(0)*CROQUIS_DATOS!$C$1561))/CROQUIS_DATOS!$C$1568-0.000001))),2)=1,IF(INT(($A72-1)/2)+1&gt;MAX(1,INT(((((CROQUIS_DATOS!$C$1499+CROQUIS_DATOS!$C$1500))-(CROQUIS_DATOS!$C$1499))+((CROQUIS_DATOS!$C$1476)*CROQUIS_DATOS!$C$1561-(0)*CROQUIS_DATOS!$C$1561))/CROQUIS_DATOS!$C$1568-0.000001)),1,MOD($A72-1,2)),1-IF(INT(($A72-1)/2)+1&gt;MAX(1,INT(((((CROQUIS_DATOS!$C$1499+CROQUIS_DATOS!$C$1500))-(CROQUIS_DATOS!$C$1499))+((CROQUIS_DATOS!$C$1476)*CROQUIS_DATOS!$C$1561-(0)*CROQUIS_DATOS!$C$1561))/CROQUIS_DATOS!$C$1568-0.000001)),1,MOD($A72-1,2)))=1,MIN((CROQUIS_DATOS!$C$1476)*CROQUIS_DATOS!$C$1561,((CROQUIS_DATOS!$C$1499+CROQUIS_DATOS!$C$1500)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2">
        <f>IF(AND(CROQUIS_DATOS!$C$1472=1,CROQUIS_DATOS!$C$1500&gt;0,((CROQUIS_DATOS!$C$1499+CROQUIS_DATOS!$C$1500))-(CROQUIS_DATOS!$C$1499)&gt;0.5,(CROQUIS_DATOS!$C$1476)-(0)&gt;0.5),(CROQUIS_DATOS!$C$1567+(IF(IF(MOD(MIN(INT(($A72-1)/2)+1,MAX(1,INT(((((CROQUIS_DATOS!$C$1499+CROQUIS_DATOS!$C$1500))-(CROQUIS_DATOS!$C$1499))+((CROQUIS_DATOS!$C$1476)*CROQUIS_DATOS!$C$1561-(0)*CROQUIS_DATOS!$C$1561))/CROQUIS_DATOS!$C$1568-0.000001))),2)=1,IF(INT(($A72-1)/2)+1&gt;MAX(1,INT(((((CROQUIS_DATOS!$C$1499+CROQUIS_DATOS!$C$1500))-(CROQUIS_DATOS!$C$1499))+((CROQUIS_DATOS!$C$1476)*CROQUIS_DATOS!$C$1561-(0)*CROQUIS_DATOS!$C$1561))/CROQUIS_DATOS!$C$1568-0.000001)),1,MOD($A72-1,2)),1-IF(INT(($A72-1)/2)+1&gt;MAX(1,INT(((((CROQUIS_DATOS!$C$1499+CROQUIS_DATOS!$C$1500))-(CROQUIS_DATOS!$C$1499))+((CROQUIS_DATOS!$C$1476)*CROQUIS_DATOS!$C$1561-(0)*CROQUIS_DATOS!$C$1561))/CROQUIS_DATOS!$C$1568-0.000001)),1,MOD($A72-1,2)))=1,MIN((CROQUIS_DATOS!$C$1476)*CROQUIS_DATOS!$C$1561,((CROQUIS_DATOS!$C$1499+CROQUIS_DATOS!$C$1500)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2">
        <f>IF(AND(CROQUIS_DATOS!$C$1472=1,CROQUIS_DATOS!$C$1504&gt;0,((CROQUIS_DATOS!$C$1503+CROQUIS_DATOS!$C$1504))-(CROQUIS_DATOS!$C$1503)&gt;0.5,(CROQUIS_DATOS!$C$1476)-(0)&gt;0.5),(CROQUIS_DATOS!$C$1566+(IF(IF(MOD(MIN(INT(($A72-1)/2)+1,MAX(1,INT(((((CROQUIS_DATOS!$C$1503+CROQUIS_DATOS!$C$1504))-(CROQUIS_DATOS!$C$1503))+((CROQUIS_DATOS!$C$1476)*CROQUIS_DATOS!$C$1561-(0)*CROQUIS_DATOS!$C$1561))/CROQUIS_DATOS!$C$1568-0.000001))),2)=1,IF(INT(($A72-1)/2)+1&gt;MAX(1,INT(((((CROQUIS_DATOS!$C$1503+CROQUIS_DATOS!$C$1504))-(CROQUIS_DATOS!$C$1503))+((CROQUIS_DATOS!$C$1476)*CROQUIS_DATOS!$C$1561-(0)*CROQUIS_DATOS!$C$1561))/CROQUIS_DATOS!$C$1568-0.000001)),1,MOD($A72-1,2)),1-IF(INT(($A72-1)/2)+1&gt;MAX(1,INT(((((CROQUIS_DATOS!$C$1503+CROQUIS_DATOS!$C$1504))-(CROQUIS_DATOS!$C$1503))+((CROQUIS_DATOS!$C$1476)*CROQUIS_DATOS!$C$1561-(0)*CROQUIS_DATOS!$C$1561))/CROQUIS_DATOS!$C$1568-0.000001)),1,MOD($A72-1,2)))=1,MIN((CROQUIS_DATOS!$C$1476)*CROQUIS_DATOS!$C$1561,((CROQUIS_DATOS!$C$1503+CROQUIS_DATOS!$C$1504)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2">
        <f>IF(AND(CROQUIS_DATOS!$C$1472=1,CROQUIS_DATOS!$C$1504&gt;0,((CROQUIS_DATOS!$C$1503+CROQUIS_DATOS!$C$1504))-(CROQUIS_DATOS!$C$1503)&gt;0.5,(CROQUIS_DATOS!$C$1476)-(0)&gt;0.5),(CROQUIS_DATOS!$C$1567+(IF(IF(MOD(MIN(INT(($A72-1)/2)+1,MAX(1,INT(((((CROQUIS_DATOS!$C$1503+CROQUIS_DATOS!$C$1504))-(CROQUIS_DATOS!$C$1503))+((CROQUIS_DATOS!$C$1476)*CROQUIS_DATOS!$C$1561-(0)*CROQUIS_DATOS!$C$1561))/CROQUIS_DATOS!$C$1568-0.000001))),2)=1,IF(INT(($A72-1)/2)+1&gt;MAX(1,INT(((((CROQUIS_DATOS!$C$1503+CROQUIS_DATOS!$C$1504))-(CROQUIS_DATOS!$C$1503))+((CROQUIS_DATOS!$C$1476)*CROQUIS_DATOS!$C$1561-(0)*CROQUIS_DATOS!$C$1561))/CROQUIS_DATOS!$C$1568-0.000001)),1,MOD($A72-1,2)),1-IF(INT(($A72-1)/2)+1&gt;MAX(1,INT(((((CROQUIS_DATOS!$C$1503+CROQUIS_DATOS!$C$1504))-(CROQUIS_DATOS!$C$1503))+((CROQUIS_DATOS!$C$1476)*CROQUIS_DATOS!$C$1561-(0)*CROQUIS_DATOS!$C$1561))/CROQUIS_DATOS!$C$1568-0.000001)),1,MOD($A72-1,2)))=1,MIN((CROQUIS_DATOS!$C$1476)*CROQUIS_DATOS!$C$1561,((CROQUIS_DATOS!$C$1503+CROQUIS_DATOS!$C$1504)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2">
        <f>IF(AND(CROQUIS_DATOS!$C$1472=1,CROQUIS_DATOS!$C$1508&gt;0,((CROQUIS_DATOS!$C$1507+CROQUIS_DATOS!$C$1508))-(CROQUIS_DATOS!$C$1507)&gt;0.5,(CROQUIS_DATOS!$C$1476)-(0)&gt;0.5),(CROQUIS_DATOS!$C$1566+(IF(IF(MOD(MIN(INT(($A72-1)/2)+1,MAX(1,INT(((((CROQUIS_DATOS!$C$1507+CROQUIS_DATOS!$C$1508))-(CROQUIS_DATOS!$C$1507))+((CROQUIS_DATOS!$C$1476)*CROQUIS_DATOS!$C$1561-(0)*CROQUIS_DATOS!$C$1561))/CROQUIS_DATOS!$C$1568-0.000001))),2)=1,IF(INT(($A72-1)/2)+1&gt;MAX(1,INT(((((CROQUIS_DATOS!$C$1507+CROQUIS_DATOS!$C$1508))-(CROQUIS_DATOS!$C$1507))+((CROQUIS_DATOS!$C$1476)*CROQUIS_DATOS!$C$1561-(0)*CROQUIS_DATOS!$C$1561))/CROQUIS_DATOS!$C$1568-0.000001)),1,MOD($A72-1,2)),1-IF(INT(($A72-1)/2)+1&gt;MAX(1,INT(((((CROQUIS_DATOS!$C$1507+CROQUIS_DATOS!$C$1508))-(CROQUIS_DATOS!$C$1507))+((CROQUIS_DATOS!$C$1476)*CROQUIS_DATOS!$C$1561-(0)*CROQUIS_DATOS!$C$1561))/CROQUIS_DATOS!$C$1568-0.000001)),1,MOD($A72-1,2)))=1,MIN((CROQUIS_DATOS!$C$1476)*CROQUIS_DATOS!$C$1561,((CROQUIS_DATOS!$C$1507+CROQUIS_DATOS!$C$1508)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2">
        <f>IF(AND(CROQUIS_DATOS!$C$1472=1,CROQUIS_DATOS!$C$1508&gt;0,((CROQUIS_DATOS!$C$1507+CROQUIS_DATOS!$C$1508))-(CROQUIS_DATOS!$C$1507)&gt;0.5,(CROQUIS_DATOS!$C$1476)-(0)&gt;0.5),(CROQUIS_DATOS!$C$1567+(IF(IF(MOD(MIN(INT(($A72-1)/2)+1,MAX(1,INT(((((CROQUIS_DATOS!$C$1507+CROQUIS_DATOS!$C$1508))-(CROQUIS_DATOS!$C$1507))+((CROQUIS_DATOS!$C$1476)*CROQUIS_DATOS!$C$1561-(0)*CROQUIS_DATOS!$C$1561))/CROQUIS_DATOS!$C$1568-0.000001))),2)=1,IF(INT(($A72-1)/2)+1&gt;MAX(1,INT(((((CROQUIS_DATOS!$C$1507+CROQUIS_DATOS!$C$1508))-(CROQUIS_DATOS!$C$1507))+((CROQUIS_DATOS!$C$1476)*CROQUIS_DATOS!$C$1561-(0)*CROQUIS_DATOS!$C$1561))/CROQUIS_DATOS!$C$1568-0.000001)),1,MOD($A72-1,2)),1-IF(INT(($A72-1)/2)+1&gt;MAX(1,INT(((((CROQUIS_DATOS!$C$1507+CROQUIS_DATOS!$C$1508))-(CROQUIS_DATOS!$C$1507))+((CROQUIS_DATOS!$C$1476)*CROQUIS_DATOS!$C$1561-(0)*CROQUIS_DATOS!$C$1561))/CROQUIS_DATOS!$C$1568-0.000001)),1,MOD($A72-1,2)))=1,MIN((CROQUIS_DATOS!$C$1476)*CROQUIS_DATOS!$C$1561,((CROQUIS_DATOS!$C$1507+CROQUIS_DATOS!$C$1508)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2">
        <f>IF(AND(CROQUIS_DATOS!$C$1472=1,CROQUIS_DATOS!$C$1512&gt;0,((CROQUIS_DATOS!$C$1511+CROQUIS_DATOS!$C$1512))-(CROQUIS_DATOS!$C$1511)&gt;0.5,(CROQUIS_DATOS!$C$1476)-(0)&gt;0.5),(CROQUIS_DATOS!$C$1566+(IF(IF(MOD(MIN(INT(($A72-1)/2)+1,MAX(1,INT(((((CROQUIS_DATOS!$C$1511+CROQUIS_DATOS!$C$1512))-(CROQUIS_DATOS!$C$1511))+((CROQUIS_DATOS!$C$1476)*CROQUIS_DATOS!$C$1561-(0)*CROQUIS_DATOS!$C$1561))/CROQUIS_DATOS!$C$1568-0.000001))),2)=1,IF(INT(($A72-1)/2)+1&gt;MAX(1,INT(((((CROQUIS_DATOS!$C$1511+CROQUIS_DATOS!$C$1512))-(CROQUIS_DATOS!$C$1511))+((CROQUIS_DATOS!$C$1476)*CROQUIS_DATOS!$C$1561-(0)*CROQUIS_DATOS!$C$1561))/CROQUIS_DATOS!$C$1568-0.000001)),1,MOD($A72-1,2)),1-IF(INT(($A72-1)/2)+1&gt;MAX(1,INT(((((CROQUIS_DATOS!$C$1511+CROQUIS_DATOS!$C$1512))-(CROQUIS_DATOS!$C$1511))+((CROQUIS_DATOS!$C$1476)*CROQUIS_DATOS!$C$1561-(0)*CROQUIS_DATOS!$C$1561))/CROQUIS_DATOS!$C$1568-0.000001)),1,MOD($A72-1,2)))=1,MIN((CROQUIS_DATOS!$C$1476)*CROQUIS_DATOS!$C$1561,((CROQUIS_DATOS!$C$1511+CROQUIS_DATOS!$C$1512)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2">
        <f>IF(AND(CROQUIS_DATOS!$C$1472=1,CROQUIS_DATOS!$C$1512&gt;0,((CROQUIS_DATOS!$C$1511+CROQUIS_DATOS!$C$1512))-(CROQUIS_DATOS!$C$1511)&gt;0.5,(CROQUIS_DATOS!$C$1476)-(0)&gt;0.5),(CROQUIS_DATOS!$C$1567+(IF(IF(MOD(MIN(INT(($A72-1)/2)+1,MAX(1,INT(((((CROQUIS_DATOS!$C$1511+CROQUIS_DATOS!$C$1512))-(CROQUIS_DATOS!$C$1511))+((CROQUIS_DATOS!$C$1476)*CROQUIS_DATOS!$C$1561-(0)*CROQUIS_DATOS!$C$1561))/CROQUIS_DATOS!$C$1568-0.000001))),2)=1,IF(INT(($A72-1)/2)+1&gt;MAX(1,INT(((((CROQUIS_DATOS!$C$1511+CROQUIS_DATOS!$C$1512))-(CROQUIS_DATOS!$C$1511))+((CROQUIS_DATOS!$C$1476)*CROQUIS_DATOS!$C$1561-(0)*CROQUIS_DATOS!$C$1561))/CROQUIS_DATOS!$C$1568-0.000001)),1,MOD($A72-1,2)),1-IF(INT(($A72-1)/2)+1&gt;MAX(1,INT(((((CROQUIS_DATOS!$C$1511+CROQUIS_DATOS!$C$1512))-(CROQUIS_DATOS!$C$1511))+((CROQUIS_DATOS!$C$1476)*CROQUIS_DATOS!$C$1561-(0)*CROQUIS_DATOS!$C$1561))/CROQUIS_DATOS!$C$1568-0.000001)),1,MOD($A72-1,2)))=1,MIN((CROQUIS_DATOS!$C$1476)*CROQUIS_DATOS!$C$1561,((CROQUIS_DATOS!$C$1511+CROQUIS_DATOS!$C$1512)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2">
        <f>IF(AND(CROQUIS_DATOS!$C$1472=1,CROQUIS_DATOS!$C$1516&gt;0,((CROQUIS_DATOS!$C$1515+CROQUIS_DATOS!$C$1516))-(CROQUIS_DATOS!$C$1515)&gt;0.5,(CROQUIS_DATOS!$C$1476)-(0)&gt;0.5),(CROQUIS_DATOS!$C$1566+(IF(IF(MOD(MIN(INT(($A72-1)/2)+1,MAX(1,INT(((((CROQUIS_DATOS!$C$1515+CROQUIS_DATOS!$C$1516))-(CROQUIS_DATOS!$C$1515))+((CROQUIS_DATOS!$C$1476)*CROQUIS_DATOS!$C$1561-(0)*CROQUIS_DATOS!$C$1561))/CROQUIS_DATOS!$C$1568-0.000001))),2)=1,IF(INT(($A72-1)/2)+1&gt;MAX(1,INT(((((CROQUIS_DATOS!$C$1515+CROQUIS_DATOS!$C$1516))-(CROQUIS_DATOS!$C$1515))+((CROQUIS_DATOS!$C$1476)*CROQUIS_DATOS!$C$1561-(0)*CROQUIS_DATOS!$C$1561))/CROQUIS_DATOS!$C$1568-0.000001)),1,MOD($A72-1,2)),1-IF(INT(($A72-1)/2)+1&gt;MAX(1,INT(((((CROQUIS_DATOS!$C$1515+CROQUIS_DATOS!$C$1516))-(CROQUIS_DATOS!$C$1515))+((CROQUIS_DATOS!$C$1476)*CROQUIS_DATOS!$C$1561-(0)*CROQUIS_DATOS!$C$1561))/CROQUIS_DATOS!$C$1568-0.000001)),1,MOD($A72-1,2)))=1,MIN((CROQUIS_DATOS!$C$1476)*CROQUIS_DATOS!$C$1561,((CROQUIS_DATOS!$C$1515+CROQUIS_DATOS!$C$1516)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2">
        <f>IF(AND(CROQUIS_DATOS!$C$1472=1,CROQUIS_DATOS!$C$1516&gt;0,((CROQUIS_DATOS!$C$1515+CROQUIS_DATOS!$C$1516))-(CROQUIS_DATOS!$C$1515)&gt;0.5,(CROQUIS_DATOS!$C$1476)-(0)&gt;0.5),(CROQUIS_DATOS!$C$1567+(IF(IF(MOD(MIN(INT(($A72-1)/2)+1,MAX(1,INT(((((CROQUIS_DATOS!$C$1515+CROQUIS_DATOS!$C$1516))-(CROQUIS_DATOS!$C$1515))+((CROQUIS_DATOS!$C$1476)*CROQUIS_DATOS!$C$1561-(0)*CROQUIS_DATOS!$C$1561))/CROQUIS_DATOS!$C$1568-0.000001))),2)=1,IF(INT(($A72-1)/2)+1&gt;MAX(1,INT(((((CROQUIS_DATOS!$C$1515+CROQUIS_DATOS!$C$1516))-(CROQUIS_DATOS!$C$1515))+((CROQUIS_DATOS!$C$1476)*CROQUIS_DATOS!$C$1561-(0)*CROQUIS_DATOS!$C$1561))/CROQUIS_DATOS!$C$1568-0.000001)),1,MOD($A72-1,2)),1-IF(INT(($A72-1)/2)+1&gt;MAX(1,INT(((((CROQUIS_DATOS!$C$1515+CROQUIS_DATOS!$C$1516))-(CROQUIS_DATOS!$C$1515))+((CROQUIS_DATOS!$C$1476)*CROQUIS_DATOS!$C$1561-(0)*CROQUIS_DATOS!$C$1561))/CROQUIS_DATOS!$C$1568-0.000001)),1,MOD($A72-1,2)))=1,MIN((CROQUIS_DATOS!$C$1476)*CROQUIS_DATOS!$C$1561,((CROQUIS_DATOS!$C$1515+CROQUIS_DATOS!$C$1516)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2">
        <f>IF(AND(CROQUIS_DATOS!$C$1472=1,CROQUIS_DATOS!$C$1478&gt;=1,((CROQUIS_DATOS!$C$1479+CROQUIS_DATOS!$C$1480))-(CROQUIS_DATOS!$C$1479)&gt;0.5,(CROQUIS_DATOS!$C$1481)-(0)&gt;0.5),(CROQUIS_DATOS!$C$1566+(IF(IF(MOD(MIN(INT(($A72-1)/2)+1,MAX(1,INT(((((CROQUIS_DATOS!$C$1479+CROQUIS_DATOS!$C$1480))-(CROQUIS_DATOS!$C$1479))+((CROQUIS_DATOS!$C$1481)*CROQUIS_DATOS!$C$1561-(0)*CROQUIS_DATOS!$C$1561))/CROQUIS_DATOS!$C$1568-0.000001))),2)=1,IF(INT(($A72-1)/2)+1&gt;MAX(1,INT(((((CROQUIS_DATOS!$C$1479+CROQUIS_DATOS!$C$1480))-(CROQUIS_DATOS!$C$1479))+((CROQUIS_DATOS!$C$1481)*CROQUIS_DATOS!$C$1561-(0)*CROQUIS_DATOS!$C$1561))/CROQUIS_DATOS!$C$1568-0.000001)),1,MOD($A72-1,2)),1-IF(INT(($A72-1)/2)+1&gt;MAX(1,INT(((((CROQUIS_DATOS!$C$1479+CROQUIS_DATOS!$C$1480))-(CROQUIS_DATOS!$C$1479))+((CROQUIS_DATOS!$C$1481)*CROQUIS_DATOS!$C$1561-(0)*CROQUIS_DATOS!$C$1561))/CROQUIS_DATOS!$C$1568-0.000001)),1,MOD($A72-1,2)))=1,MIN((CROQUIS_DATOS!$C$1481)*CROQUIS_DATOS!$C$1561,((CROQUIS_DATOS!$C$1479+CROQUIS_DATOS!$C$1480)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2">
        <f>IF(AND(CROQUIS_DATOS!$C$1472=1,CROQUIS_DATOS!$C$1478&gt;=1,((CROQUIS_DATOS!$C$1479+CROQUIS_DATOS!$C$1480))-(CROQUIS_DATOS!$C$1479)&gt;0.5,(CROQUIS_DATOS!$C$1481)-(0)&gt;0.5),(CROQUIS_DATOS!$C$1567+(IF(IF(MOD(MIN(INT(($A72-1)/2)+1,MAX(1,INT(((((CROQUIS_DATOS!$C$1479+CROQUIS_DATOS!$C$1480))-(CROQUIS_DATOS!$C$1479))+((CROQUIS_DATOS!$C$1481)*CROQUIS_DATOS!$C$1561-(0)*CROQUIS_DATOS!$C$1561))/CROQUIS_DATOS!$C$1568-0.000001))),2)=1,IF(INT(($A72-1)/2)+1&gt;MAX(1,INT(((((CROQUIS_DATOS!$C$1479+CROQUIS_DATOS!$C$1480))-(CROQUIS_DATOS!$C$1479))+((CROQUIS_DATOS!$C$1481)*CROQUIS_DATOS!$C$1561-(0)*CROQUIS_DATOS!$C$1561))/CROQUIS_DATOS!$C$1568-0.000001)),1,MOD($A72-1,2)),1-IF(INT(($A72-1)/2)+1&gt;MAX(1,INT(((((CROQUIS_DATOS!$C$1479+CROQUIS_DATOS!$C$1480))-(CROQUIS_DATOS!$C$1479))+((CROQUIS_DATOS!$C$1481)*CROQUIS_DATOS!$C$1561-(0)*CROQUIS_DATOS!$C$1561))/CROQUIS_DATOS!$C$1568-0.000001)),1,MOD($A72-1,2)))=1,MIN((CROQUIS_DATOS!$C$1481)*CROQUIS_DATOS!$C$1561,((CROQUIS_DATOS!$C$1479+CROQUIS_DATOS!$C$1480)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2">
        <f>IF(AND(CROQUIS_DATOS!$C$1472=1,CROQUIS_DATOS!$C$1478&gt;=1,((CROQUIS_DATOS!$C$1479+CROQUIS_DATOS!$C$1480))-(CROQUIS_DATOS!$C$1479)&gt;0.5,(CROQUIS_DATOS!$C$1476)-((CROQUIS_DATOS!$C$1481+CROQUIS_DATOS!$C$1482))&gt;0.5),(CROQUIS_DATOS!$C$1566+(IF(IF(MOD(MIN(INT(($A72-1)/2)+1,MAX(1,INT(((((CROQUIS_DATOS!$C$1479+CROQUIS_DATOS!$C$1480))-(CROQUIS_DATOS!$C$1479))+((CROQUIS_DATOS!$C$1476)*CROQUIS_DATOS!$C$1561-((CROQUIS_DATOS!$C$1481+CROQUIS_DATOS!$C$1482))*CROQUIS_DATOS!$C$1561))/CROQUIS_DATOS!$C$1568-0.000001))),2)=1,IF(INT(($A72-1)/2)+1&gt;MAX(1,INT(((((CROQUIS_DATOS!$C$1479+CROQUIS_DATOS!$C$1480))-(CROQUIS_DATOS!$C$1479))+((CROQUIS_DATOS!$C$1476)*CROQUIS_DATOS!$C$1561-((CROQUIS_DATOS!$C$1481+CROQUIS_DATOS!$C$1482))*CROQUIS_DATOS!$C$1561))/CROQUIS_DATOS!$C$1568-0.000001)),1,MOD($A72-1,2)),1-IF(INT(($A72-1)/2)+1&gt;MAX(1,INT(((((CROQUIS_DATOS!$C$1479+CROQUIS_DATOS!$C$1480))-(CROQUIS_DATOS!$C$1479))+((CROQUIS_DATOS!$C$1476)*CROQUIS_DATOS!$C$1561-((CROQUIS_DATOS!$C$1481+CROQUIS_DATOS!$C$1482))*CROQUIS_DATOS!$C$1561))/CROQUIS_DATOS!$C$1568-0.000001)),1,MOD($A72-1,2)))=1,MIN((CROQUIS_DATOS!$C$1476)*CROQUIS_DATOS!$C$1561,((CROQUIS_DATOS!$C$1479+CROQUIS_DATOS!$C$1480)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2">
        <f>IF(AND(CROQUIS_DATOS!$C$1472=1,CROQUIS_DATOS!$C$1478&gt;=1,((CROQUIS_DATOS!$C$1479+CROQUIS_DATOS!$C$1480))-(CROQUIS_DATOS!$C$1479)&gt;0.5,(CROQUIS_DATOS!$C$1476)-((CROQUIS_DATOS!$C$1481+CROQUIS_DATOS!$C$1482))&gt;0.5),(CROQUIS_DATOS!$C$1567+(IF(IF(MOD(MIN(INT(($A72-1)/2)+1,MAX(1,INT(((((CROQUIS_DATOS!$C$1479+CROQUIS_DATOS!$C$1480))-(CROQUIS_DATOS!$C$1479))+((CROQUIS_DATOS!$C$1476)*CROQUIS_DATOS!$C$1561-((CROQUIS_DATOS!$C$1481+CROQUIS_DATOS!$C$1482))*CROQUIS_DATOS!$C$1561))/CROQUIS_DATOS!$C$1568-0.000001))),2)=1,IF(INT(($A72-1)/2)+1&gt;MAX(1,INT(((((CROQUIS_DATOS!$C$1479+CROQUIS_DATOS!$C$1480))-(CROQUIS_DATOS!$C$1479))+((CROQUIS_DATOS!$C$1476)*CROQUIS_DATOS!$C$1561-((CROQUIS_DATOS!$C$1481+CROQUIS_DATOS!$C$1482))*CROQUIS_DATOS!$C$1561))/CROQUIS_DATOS!$C$1568-0.000001)),1,MOD($A72-1,2)),1-IF(INT(($A72-1)/2)+1&gt;MAX(1,INT(((((CROQUIS_DATOS!$C$1479+CROQUIS_DATOS!$C$1480))-(CROQUIS_DATOS!$C$1479))+((CROQUIS_DATOS!$C$1476)*CROQUIS_DATOS!$C$1561-((CROQUIS_DATOS!$C$1481+CROQUIS_DATOS!$C$1482))*CROQUIS_DATOS!$C$1561))/CROQUIS_DATOS!$C$1568-0.000001)),1,MOD($A72-1,2)))=1,MIN((CROQUIS_DATOS!$C$1476)*CROQUIS_DATOS!$C$1561,((CROQUIS_DATOS!$C$1479+CROQUIS_DATOS!$C$1480)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2">
        <f>IF(AND(CROQUIS_DATOS!$C$1472=1,CROQUIS_DATOS!$C$1478&gt;=2,((CROQUIS_DATOS!$C$1484+CROQUIS_DATOS!$C$1485))-(CROQUIS_DATOS!$C$1484)&gt;0.5,(CROQUIS_DATOS!$C$1486)-(0)&gt;0.5),(CROQUIS_DATOS!$C$1566+(IF(IF(MOD(MIN(INT(($A72-1)/2)+1,MAX(1,INT(((((CROQUIS_DATOS!$C$1484+CROQUIS_DATOS!$C$1485))-(CROQUIS_DATOS!$C$1484))+((CROQUIS_DATOS!$C$1486)*CROQUIS_DATOS!$C$1561-(0)*CROQUIS_DATOS!$C$1561))/CROQUIS_DATOS!$C$1568-0.000001))),2)=1,IF(INT(($A72-1)/2)+1&gt;MAX(1,INT(((((CROQUIS_DATOS!$C$1484+CROQUIS_DATOS!$C$1485))-(CROQUIS_DATOS!$C$1484))+((CROQUIS_DATOS!$C$1486)*CROQUIS_DATOS!$C$1561-(0)*CROQUIS_DATOS!$C$1561))/CROQUIS_DATOS!$C$1568-0.000001)),1,MOD($A72-1,2)),1-IF(INT(($A72-1)/2)+1&gt;MAX(1,INT(((((CROQUIS_DATOS!$C$1484+CROQUIS_DATOS!$C$1485))-(CROQUIS_DATOS!$C$1484))+((CROQUIS_DATOS!$C$1486)*CROQUIS_DATOS!$C$1561-(0)*CROQUIS_DATOS!$C$1561))/CROQUIS_DATOS!$C$1568-0.000001)),1,MOD($A72-1,2)))=1,MIN((CROQUIS_DATOS!$C$1486)*CROQUIS_DATOS!$C$1561,((CROQUIS_DATOS!$C$1484+CROQUIS_DATOS!$C$1485)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2">
        <f>IF(AND(CROQUIS_DATOS!$C$1472=1,CROQUIS_DATOS!$C$1478&gt;=2,((CROQUIS_DATOS!$C$1484+CROQUIS_DATOS!$C$1485))-(CROQUIS_DATOS!$C$1484)&gt;0.5,(CROQUIS_DATOS!$C$1486)-(0)&gt;0.5),(CROQUIS_DATOS!$C$1567+(IF(IF(MOD(MIN(INT(($A72-1)/2)+1,MAX(1,INT(((((CROQUIS_DATOS!$C$1484+CROQUIS_DATOS!$C$1485))-(CROQUIS_DATOS!$C$1484))+((CROQUIS_DATOS!$C$1486)*CROQUIS_DATOS!$C$1561-(0)*CROQUIS_DATOS!$C$1561))/CROQUIS_DATOS!$C$1568-0.000001))),2)=1,IF(INT(($A72-1)/2)+1&gt;MAX(1,INT(((((CROQUIS_DATOS!$C$1484+CROQUIS_DATOS!$C$1485))-(CROQUIS_DATOS!$C$1484))+((CROQUIS_DATOS!$C$1486)*CROQUIS_DATOS!$C$1561-(0)*CROQUIS_DATOS!$C$1561))/CROQUIS_DATOS!$C$1568-0.000001)),1,MOD($A72-1,2)),1-IF(INT(($A72-1)/2)+1&gt;MAX(1,INT(((((CROQUIS_DATOS!$C$1484+CROQUIS_DATOS!$C$1485))-(CROQUIS_DATOS!$C$1484))+((CROQUIS_DATOS!$C$1486)*CROQUIS_DATOS!$C$1561-(0)*CROQUIS_DATOS!$C$1561))/CROQUIS_DATOS!$C$1568-0.000001)),1,MOD($A72-1,2)))=1,MIN((CROQUIS_DATOS!$C$1486)*CROQUIS_DATOS!$C$1561,((CROQUIS_DATOS!$C$1484+CROQUIS_DATOS!$C$1485)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2">
        <f>IF(AND(CROQUIS_DATOS!$C$1472=1,CROQUIS_DATOS!$C$1478&gt;=2,((CROQUIS_DATOS!$C$1484+CROQUIS_DATOS!$C$1485))-(CROQUIS_DATOS!$C$1484)&gt;0.5,(CROQUIS_DATOS!$C$1476)-((CROQUIS_DATOS!$C$1486+CROQUIS_DATOS!$C$1487))&gt;0.5),(CROQUIS_DATOS!$C$1566+(IF(IF(MOD(MIN(INT(($A72-1)/2)+1,MAX(1,INT(((((CROQUIS_DATOS!$C$1484+CROQUIS_DATOS!$C$1485))-(CROQUIS_DATOS!$C$1484))+((CROQUIS_DATOS!$C$1476)*CROQUIS_DATOS!$C$1561-((CROQUIS_DATOS!$C$1486+CROQUIS_DATOS!$C$1487))*CROQUIS_DATOS!$C$1561))/CROQUIS_DATOS!$C$1568-0.000001))),2)=1,IF(INT(($A72-1)/2)+1&gt;MAX(1,INT(((((CROQUIS_DATOS!$C$1484+CROQUIS_DATOS!$C$1485))-(CROQUIS_DATOS!$C$1484))+((CROQUIS_DATOS!$C$1476)*CROQUIS_DATOS!$C$1561-((CROQUIS_DATOS!$C$1486+CROQUIS_DATOS!$C$1487))*CROQUIS_DATOS!$C$1561))/CROQUIS_DATOS!$C$1568-0.000001)),1,MOD($A72-1,2)),1-IF(INT(($A72-1)/2)+1&gt;MAX(1,INT(((((CROQUIS_DATOS!$C$1484+CROQUIS_DATOS!$C$1485))-(CROQUIS_DATOS!$C$1484))+((CROQUIS_DATOS!$C$1476)*CROQUIS_DATOS!$C$1561-((CROQUIS_DATOS!$C$1486+CROQUIS_DATOS!$C$1487))*CROQUIS_DATOS!$C$1561))/CROQUIS_DATOS!$C$1568-0.000001)),1,MOD($A72-1,2)))=1,MIN((CROQUIS_DATOS!$C$1476)*CROQUIS_DATOS!$C$1561,((CROQUIS_DATOS!$C$1484+CROQUIS_DATOS!$C$1485)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2">
        <f>IF(AND(CROQUIS_DATOS!$C$1472=1,CROQUIS_DATOS!$C$1478&gt;=2,((CROQUIS_DATOS!$C$1484+CROQUIS_DATOS!$C$1485))-(CROQUIS_DATOS!$C$1484)&gt;0.5,(CROQUIS_DATOS!$C$1476)-((CROQUIS_DATOS!$C$1486+CROQUIS_DATOS!$C$1487))&gt;0.5),(CROQUIS_DATOS!$C$1567+(IF(IF(MOD(MIN(INT(($A72-1)/2)+1,MAX(1,INT(((((CROQUIS_DATOS!$C$1484+CROQUIS_DATOS!$C$1485))-(CROQUIS_DATOS!$C$1484))+((CROQUIS_DATOS!$C$1476)*CROQUIS_DATOS!$C$1561-((CROQUIS_DATOS!$C$1486+CROQUIS_DATOS!$C$1487))*CROQUIS_DATOS!$C$1561))/CROQUIS_DATOS!$C$1568-0.000001))),2)=1,IF(INT(($A72-1)/2)+1&gt;MAX(1,INT(((((CROQUIS_DATOS!$C$1484+CROQUIS_DATOS!$C$1485))-(CROQUIS_DATOS!$C$1484))+((CROQUIS_DATOS!$C$1476)*CROQUIS_DATOS!$C$1561-((CROQUIS_DATOS!$C$1486+CROQUIS_DATOS!$C$1487))*CROQUIS_DATOS!$C$1561))/CROQUIS_DATOS!$C$1568-0.000001)),1,MOD($A72-1,2)),1-IF(INT(($A72-1)/2)+1&gt;MAX(1,INT(((((CROQUIS_DATOS!$C$1484+CROQUIS_DATOS!$C$1485))-(CROQUIS_DATOS!$C$1484))+((CROQUIS_DATOS!$C$1476)*CROQUIS_DATOS!$C$1561-((CROQUIS_DATOS!$C$1486+CROQUIS_DATOS!$C$1487))*CROQUIS_DATOS!$C$1561))/CROQUIS_DATOS!$C$1568-0.000001)),1,MOD($A72-1,2)))=1,MIN((CROQUIS_DATOS!$C$1476)*CROQUIS_DATOS!$C$1561,((CROQUIS_DATOS!$C$1484+CROQUIS_DATOS!$C$1485)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2">
        <f>IF(AND(CROQUIS_DATOS!$C$1472=1,CROQUIS_DATOS!$C$1478&gt;=3,((CROQUIS_DATOS!$C$1489+CROQUIS_DATOS!$C$1490))-(CROQUIS_DATOS!$C$1489)&gt;0.5,(CROQUIS_DATOS!$C$1491)-(0)&gt;0.5),(CROQUIS_DATOS!$C$1566+(IF(IF(MOD(MIN(INT(($A72-1)/2)+1,MAX(1,INT(((((CROQUIS_DATOS!$C$1489+CROQUIS_DATOS!$C$1490))-(CROQUIS_DATOS!$C$1489))+((CROQUIS_DATOS!$C$1491)*CROQUIS_DATOS!$C$1561-(0)*CROQUIS_DATOS!$C$1561))/CROQUIS_DATOS!$C$1568-0.000001))),2)=1,IF(INT(($A72-1)/2)+1&gt;MAX(1,INT(((((CROQUIS_DATOS!$C$1489+CROQUIS_DATOS!$C$1490))-(CROQUIS_DATOS!$C$1489))+((CROQUIS_DATOS!$C$1491)*CROQUIS_DATOS!$C$1561-(0)*CROQUIS_DATOS!$C$1561))/CROQUIS_DATOS!$C$1568-0.000001)),1,MOD($A72-1,2)),1-IF(INT(($A72-1)/2)+1&gt;MAX(1,INT(((((CROQUIS_DATOS!$C$1489+CROQUIS_DATOS!$C$1490))-(CROQUIS_DATOS!$C$1489))+((CROQUIS_DATOS!$C$1491)*CROQUIS_DATOS!$C$1561-(0)*CROQUIS_DATOS!$C$1561))/CROQUIS_DATOS!$C$1568-0.000001)),1,MOD($A72-1,2)))=1,MIN((CROQUIS_DATOS!$C$1491)*CROQUIS_DATOS!$C$1561,((CROQUIS_DATOS!$C$1489+CROQUIS_DATOS!$C$1490)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2">
        <f>IF(AND(CROQUIS_DATOS!$C$1472=1,CROQUIS_DATOS!$C$1478&gt;=3,((CROQUIS_DATOS!$C$1489+CROQUIS_DATOS!$C$1490))-(CROQUIS_DATOS!$C$1489)&gt;0.5,(CROQUIS_DATOS!$C$1491)-(0)&gt;0.5),(CROQUIS_DATOS!$C$1567+(IF(IF(MOD(MIN(INT(($A72-1)/2)+1,MAX(1,INT(((((CROQUIS_DATOS!$C$1489+CROQUIS_DATOS!$C$1490))-(CROQUIS_DATOS!$C$1489))+((CROQUIS_DATOS!$C$1491)*CROQUIS_DATOS!$C$1561-(0)*CROQUIS_DATOS!$C$1561))/CROQUIS_DATOS!$C$1568-0.000001))),2)=1,IF(INT(($A72-1)/2)+1&gt;MAX(1,INT(((((CROQUIS_DATOS!$C$1489+CROQUIS_DATOS!$C$1490))-(CROQUIS_DATOS!$C$1489))+((CROQUIS_DATOS!$C$1491)*CROQUIS_DATOS!$C$1561-(0)*CROQUIS_DATOS!$C$1561))/CROQUIS_DATOS!$C$1568-0.000001)),1,MOD($A72-1,2)),1-IF(INT(($A72-1)/2)+1&gt;MAX(1,INT(((((CROQUIS_DATOS!$C$1489+CROQUIS_DATOS!$C$1490))-(CROQUIS_DATOS!$C$1489))+((CROQUIS_DATOS!$C$1491)*CROQUIS_DATOS!$C$1561-(0)*CROQUIS_DATOS!$C$1561))/CROQUIS_DATOS!$C$1568-0.000001)),1,MOD($A72-1,2)))=1,MIN((CROQUIS_DATOS!$C$1491)*CROQUIS_DATOS!$C$1561,((CROQUIS_DATOS!$C$1489+CROQUIS_DATOS!$C$1490)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2">
        <f>IF(AND(CROQUIS_DATOS!$C$1472=1,CROQUIS_DATOS!$C$1478&gt;=3,((CROQUIS_DATOS!$C$1489+CROQUIS_DATOS!$C$1490))-(CROQUIS_DATOS!$C$1489)&gt;0.5,(CROQUIS_DATOS!$C$1476)-((CROQUIS_DATOS!$C$1491+CROQUIS_DATOS!$C$1492))&gt;0.5),(CROQUIS_DATOS!$C$1566+(IF(IF(MOD(MIN(INT(($A72-1)/2)+1,MAX(1,INT(((((CROQUIS_DATOS!$C$1489+CROQUIS_DATOS!$C$1490))-(CROQUIS_DATOS!$C$1489))+((CROQUIS_DATOS!$C$1476)*CROQUIS_DATOS!$C$1561-((CROQUIS_DATOS!$C$1491+CROQUIS_DATOS!$C$1492))*CROQUIS_DATOS!$C$1561))/CROQUIS_DATOS!$C$1568-0.000001))),2)=1,IF(INT(($A72-1)/2)+1&gt;MAX(1,INT(((((CROQUIS_DATOS!$C$1489+CROQUIS_DATOS!$C$1490))-(CROQUIS_DATOS!$C$1489))+((CROQUIS_DATOS!$C$1476)*CROQUIS_DATOS!$C$1561-((CROQUIS_DATOS!$C$1491+CROQUIS_DATOS!$C$1492))*CROQUIS_DATOS!$C$1561))/CROQUIS_DATOS!$C$1568-0.000001)),1,MOD($A72-1,2)),1-IF(INT(($A72-1)/2)+1&gt;MAX(1,INT(((((CROQUIS_DATOS!$C$1489+CROQUIS_DATOS!$C$1490))-(CROQUIS_DATOS!$C$1489))+((CROQUIS_DATOS!$C$1476)*CROQUIS_DATOS!$C$1561-((CROQUIS_DATOS!$C$1491+CROQUIS_DATOS!$C$1492))*CROQUIS_DATOS!$C$1561))/CROQUIS_DATOS!$C$1568-0.000001)),1,MOD($A72-1,2)))=1,MIN((CROQUIS_DATOS!$C$1476)*CROQUIS_DATOS!$C$1561,((CROQUIS_DATOS!$C$1489+CROQUIS_DATOS!$C$1490)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2">
        <f>IF(AND(CROQUIS_DATOS!$C$1472=1,CROQUIS_DATOS!$C$1478&gt;=3,((CROQUIS_DATOS!$C$1489+CROQUIS_DATOS!$C$1490))-(CROQUIS_DATOS!$C$1489)&gt;0.5,(CROQUIS_DATOS!$C$1476)-((CROQUIS_DATOS!$C$1491+CROQUIS_DATOS!$C$1492))&gt;0.5),(CROQUIS_DATOS!$C$1567+(IF(IF(MOD(MIN(INT(($A72-1)/2)+1,MAX(1,INT(((((CROQUIS_DATOS!$C$1489+CROQUIS_DATOS!$C$1490))-(CROQUIS_DATOS!$C$1489))+((CROQUIS_DATOS!$C$1476)*CROQUIS_DATOS!$C$1561-((CROQUIS_DATOS!$C$1491+CROQUIS_DATOS!$C$1492))*CROQUIS_DATOS!$C$1561))/CROQUIS_DATOS!$C$1568-0.000001))),2)=1,IF(INT(($A72-1)/2)+1&gt;MAX(1,INT(((((CROQUIS_DATOS!$C$1489+CROQUIS_DATOS!$C$1490))-(CROQUIS_DATOS!$C$1489))+((CROQUIS_DATOS!$C$1476)*CROQUIS_DATOS!$C$1561-((CROQUIS_DATOS!$C$1491+CROQUIS_DATOS!$C$1492))*CROQUIS_DATOS!$C$1561))/CROQUIS_DATOS!$C$1568-0.000001)),1,MOD($A72-1,2)),1-IF(INT(($A72-1)/2)+1&gt;MAX(1,INT(((((CROQUIS_DATOS!$C$1489+CROQUIS_DATOS!$C$1490))-(CROQUIS_DATOS!$C$1489))+((CROQUIS_DATOS!$C$1476)*CROQUIS_DATOS!$C$1561-((CROQUIS_DATOS!$C$1491+CROQUIS_DATOS!$C$1492))*CROQUIS_DATOS!$C$1561))/CROQUIS_DATOS!$C$1568-0.000001)),1,MOD($A72-1,2)))=1,MIN((CROQUIS_DATOS!$C$1476)*CROQUIS_DATOS!$C$1561,((CROQUIS_DATOS!$C$1489+CROQUIS_DATOS!$C$1490)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2">
        <f>IF(AND(CROQUIS_DATOS!$C$1472=1,CROQUIS_DATOS!$C$1478&gt;=4,((CROQUIS_DATOS!$C$1494+CROQUIS_DATOS!$C$1495))-(CROQUIS_DATOS!$C$1494)&gt;0.5,(CROQUIS_DATOS!$C$1496)-(0)&gt;0.5),(CROQUIS_DATOS!$C$1566+(IF(IF(MOD(MIN(INT(($A72-1)/2)+1,MAX(1,INT(((((CROQUIS_DATOS!$C$1494+CROQUIS_DATOS!$C$1495))-(CROQUIS_DATOS!$C$1494))+((CROQUIS_DATOS!$C$1496)*CROQUIS_DATOS!$C$1561-(0)*CROQUIS_DATOS!$C$1561))/CROQUIS_DATOS!$C$1568-0.000001))),2)=1,IF(INT(($A72-1)/2)+1&gt;MAX(1,INT(((((CROQUIS_DATOS!$C$1494+CROQUIS_DATOS!$C$1495))-(CROQUIS_DATOS!$C$1494))+((CROQUIS_DATOS!$C$1496)*CROQUIS_DATOS!$C$1561-(0)*CROQUIS_DATOS!$C$1561))/CROQUIS_DATOS!$C$1568-0.000001)),1,MOD($A72-1,2)),1-IF(INT(($A72-1)/2)+1&gt;MAX(1,INT(((((CROQUIS_DATOS!$C$1494+CROQUIS_DATOS!$C$1495))-(CROQUIS_DATOS!$C$1494))+((CROQUIS_DATOS!$C$1496)*CROQUIS_DATOS!$C$1561-(0)*CROQUIS_DATOS!$C$1561))/CROQUIS_DATOS!$C$1568-0.000001)),1,MOD($A72-1,2)))=1,MIN((CROQUIS_DATOS!$C$1496)*CROQUIS_DATOS!$C$1561,((CROQUIS_DATOS!$C$1494+CROQUIS_DATOS!$C$1495)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2">
        <f>IF(AND(CROQUIS_DATOS!$C$1472=1,CROQUIS_DATOS!$C$1478&gt;=4,((CROQUIS_DATOS!$C$1494+CROQUIS_DATOS!$C$1495))-(CROQUIS_DATOS!$C$1494)&gt;0.5,(CROQUIS_DATOS!$C$1496)-(0)&gt;0.5),(CROQUIS_DATOS!$C$1567+(IF(IF(MOD(MIN(INT(($A72-1)/2)+1,MAX(1,INT(((((CROQUIS_DATOS!$C$1494+CROQUIS_DATOS!$C$1495))-(CROQUIS_DATOS!$C$1494))+((CROQUIS_DATOS!$C$1496)*CROQUIS_DATOS!$C$1561-(0)*CROQUIS_DATOS!$C$1561))/CROQUIS_DATOS!$C$1568-0.000001))),2)=1,IF(INT(($A72-1)/2)+1&gt;MAX(1,INT(((((CROQUIS_DATOS!$C$1494+CROQUIS_DATOS!$C$1495))-(CROQUIS_DATOS!$C$1494))+((CROQUIS_DATOS!$C$1496)*CROQUIS_DATOS!$C$1561-(0)*CROQUIS_DATOS!$C$1561))/CROQUIS_DATOS!$C$1568-0.000001)),1,MOD($A72-1,2)),1-IF(INT(($A72-1)/2)+1&gt;MAX(1,INT(((((CROQUIS_DATOS!$C$1494+CROQUIS_DATOS!$C$1495))-(CROQUIS_DATOS!$C$1494))+((CROQUIS_DATOS!$C$1496)*CROQUIS_DATOS!$C$1561-(0)*CROQUIS_DATOS!$C$1561))/CROQUIS_DATOS!$C$1568-0.000001)),1,MOD($A72-1,2)))=1,MIN((CROQUIS_DATOS!$C$1496)*CROQUIS_DATOS!$C$1561,((CROQUIS_DATOS!$C$1494+CROQUIS_DATOS!$C$1495)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2">
        <f>IF(AND(CROQUIS_DATOS!$C$1472=1,CROQUIS_DATOS!$C$1478&gt;=4,((CROQUIS_DATOS!$C$1494+CROQUIS_DATOS!$C$1495))-(CROQUIS_DATOS!$C$1494)&gt;0.5,(CROQUIS_DATOS!$C$1476)-((CROQUIS_DATOS!$C$1496+CROQUIS_DATOS!$C$1497))&gt;0.5),(CROQUIS_DATOS!$C$1566+(IF(IF(MOD(MIN(INT(($A72-1)/2)+1,MAX(1,INT(((((CROQUIS_DATOS!$C$1494+CROQUIS_DATOS!$C$1495))-(CROQUIS_DATOS!$C$1494))+((CROQUIS_DATOS!$C$1476)*CROQUIS_DATOS!$C$1561-((CROQUIS_DATOS!$C$1496+CROQUIS_DATOS!$C$1497))*CROQUIS_DATOS!$C$1561))/CROQUIS_DATOS!$C$1568-0.000001))),2)=1,IF(INT(($A72-1)/2)+1&gt;MAX(1,INT(((((CROQUIS_DATOS!$C$1494+CROQUIS_DATOS!$C$1495))-(CROQUIS_DATOS!$C$1494))+((CROQUIS_DATOS!$C$1476)*CROQUIS_DATOS!$C$1561-((CROQUIS_DATOS!$C$1496+CROQUIS_DATOS!$C$1497))*CROQUIS_DATOS!$C$1561))/CROQUIS_DATOS!$C$1568-0.000001)),1,MOD($A72-1,2)),1-IF(INT(($A72-1)/2)+1&gt;MAX(1,INT(((((CROQUIS_DATOS!$C$1494+CROQUIS_DATOS!$C$1495))-(CROQUIS_DATOS!$C$1494))+((CROQUIS_DATOS!$C$1476)*CROQUIS_DATOS!$C$1561-((CROQUIS_DATOS!$C$1496+CROQUIS_DATOS!$C$1497))*CROQUIS_DATOS!$C$1561))/CROQUIS_DATOS!$C$1568-0.000001)),1,MOD($A72-1,2)))=1,MIN((CROQUIS_DATOS!$C$1476)*CROQUIS_DATOS!$C$1561,((CROQUIS_DATOS!$C$1494+CROQUIS_DATOS!$C$1495)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2">
        <f>IF(AND(CROQUIS_DATOS!$C$1472=1,CROQUIS_DATOS!$C$1478&gt;=4,((CROQUIS_DATOS!$C$1494+CROQUIS_DATOS!$C$1495))-(CROQUIS_DATOS!$C$1494)&gt;0.5,(CROQUIS_DATOS!$C$1476)-((CROQUIS_DATOS!$C$1496+CROQUIS_DATOS!$C$1497))&gt;0.5),(CROQUIS_DATOS!$C$1567+(IF(IF(MOD(MIN(INT(($A72-1)/2)+1,MAX(1,INT(((((CROQUIS_DATOS!$C$1494+CROQUIS_DATOS!$C$1495))-(CROQUIS_DATOS!$C$1494))+((CROQUIS_DATOS!$C$1476)*CROQUIS_DATOS!$C$1561-((CROQUIS_DATOS!$C$1496+CROQUIS_DATOS!$C$1497))*CROQUIS_DATOS!$C$1561))/CROQUIS_DATOS!$C$1568-0.000001))),2)=1,IF(INT(($A72-1)/2)+1&gt;MAX(1,INT(((((CROQUIS_DATOS!$C$1494+CROQUIS_DATOS!$C$1495))-(CROQUIS_DATOS!$C$1494))+((CROQUIS_DATOS!$C$1476)*CROQUIS_DATOS!$C$1561-((CROQUIS_DATOS!$C$1496+CROQUIS_DATOS!$C$1497))*CROQUIS_DATOS!$C$1561))/CROQUIS_DATOS!$C$1568-0.000001)),1,MOD($A72-1,2)),1-IF(INT(($A72-1)/2)+1&gt;MAX(1,INT(((((CROQUIS_DATOS!$C$1494+CROQUIS_DATOS!$C$1495))-(CROQUIS_DATOS!$C$1494))+((CROQUIS_DATOS!$C$1476)*CROQUIS_DATOS!$C$1561-((CROQUIS_DATOS!$C$1496+CROQUIS_DATOS!$C$1497))*CROQUIS_DATOS!$C$1561))/CROQUIS_DATOS!$C$1568-0.000001)),1,MOD($A72-1,2)))=1,MIN((CROQUIS_DATOS!$C$1476)*CROQUIS_DATOS!$C$1561,((CROQUIS_DATOS!$C$1494+CROQUIS_DATOS!$C$1495)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2">
        <f>IF(AND(CROQUIS_DATOS!$C$1472=1,1),(CROQUIS_DATOS!$C$1571+(CHOOSE(MIN(MAX(IF(INT(($A72-1)/5)+1&gt;CROQUIS_DATOS!$C$1525,5,MOD($A72-1,5)+1),1),5),(INDEX($E$8:$E$23,MIN(INT(($A72-1)/5)+1,CROQUIS_DATOS!$C$1525))-INDEX($F$8:$F$23,MIN(INT(($A72-1)/5)+1,CROQUIS_DATOS!$C$1525))/2),(INDEX($E$8:$E$23,MIN(INT(($A72-1)/5)+1,CROQUIS_DATOS!$C$1525))+INDEX($F$8:$F$23,MIN(INT(($A72-1)/5)+1,CROQUIS_DATOS!$C$1525))/2),(INDEX($E$8:$E$23,MIN(INT(($A72-1)/5)+1,CROQUIS_DATOS!$C$1525))+INDEX($F$8:$F$23,MIN(INT(($A72-1)/5)+1,CROQUIS_DATOS!$C$1525))/2),(INDEX($E$8:$E$23,MIN(INT(($A72-1)/5)+1,CROQUIS_DATOS!$C$1525))-INDEX($F$8:$F$23,MIN(INT(($A72-1)/5)+1,CROQUIS_DATOS!$C$1525))/2),(INDEX($E$8:$E$23,MIN(INT(($A72-1)/5)+1,CROQUIS_DATOS!$C$1525))-INDEX($F$8:$F$23,MIN(INT(($A72-1)/5)+1,CROQUIS_DATOS!$C$1525))/2)))*CROQUIS_DATOS!$C$1569),-1000)</f>
        <v>95.24</v>
      </c>
      <c r="GE72">
        <f>IF(AND(CROQUIS_DATOS!$C$1472=1,1),(CROQUIS_DATOS!$C$1572+(CHOOSE(MIN(MAX(IF(INT(($A72-1)/5)+1&gt;CROQUIS_DATOS!$C$1525,5,MOD($A72-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3">
      <c r="A73" t="n">
        <v>66</v>
      </c>
      <c r="N73">
        <f>IF(AND(CROQUIS_DATOS!$C$1472=1,1),(CROQUIS_DATOS!$C$1563+(IF(IF(IF(INT(($A73-1)/70)+1&gt;CROQUIS_DATOS!$C$1525,70,MOD($A73-1,70)+1)=1,0,IF(IF(INT(($A73-1)/70)+1&gt;CROQUIS_DATOS!$C$1525,70,MOD($A73-1,70)+1)&gt;2*CROQUIS_DATOS!$C$1541+1,IF(MOD(CROQUIS_DATOS!$C$1541,2)=1,1,0),IF(MOD(MIN(INT((IF(INT(($A73-1)/70)+1&gt;CROQUIS_DATOS!$C$1525,70,MOD($A73-1,70)+1)-2)/2)+1,CROQUIS_DATOS!$C$1541),2)=1,IF(MOD(IF(INT(($A73-1)/70)+1&gt;CROQUIS_DATOS!$C$1525,70,MOD($A73-1,70)+1)-2,2)=0,0,1),IF(MOD(IF(INT(($A73-1)/70)+1&gt;CROQUIS_DATOS!$C$1525,70,MOD($A73-1,70)+1)-2,2)=0,1,0))))=0,(INDEX($E$8:$E$23,MIN(INT(($A73-1)/70)+1,CROQUIS_DATOS!$C$1525))-INDEX($F$8:$F$23,MIN(INT(($A73-1)/70)+1,CROQUIS_DATOS!$C$1525))/2),(INDEX($E$8:$E$23,MIN(INT(($A73-1)/70)+1,CROQUIS_DATOS!$C$1525))+INDEX($F$8:$F$23,MIN(INT(($A73-1)/70)+1,CROQUIS_DATOS!$C$1525))/2)))*CROQUIS_DATOS!$C$1562),-1000)</f>
        <v>15.0862068965517</v>
      </c>
      <c r="O73">
        <f>IF(AND(CROQUIS_DATOS!$C$1472=1,1),(CROQUIS_DATOS!$C$1564+(IF(OR(IF(INT(($A73-1)/70)+1&gt;CROQUIS_DATOS!$C$1525,70,MOD($A73-1,70)+1)=1,IF(INT(($A73-1)/70)+1&gt;CROQUIS_DATOS!$C$1525,70,MOD($A73-1,70)+1)&gt;2*CROQUIS_DATOS!$C$1541+1),CROQUIS_DATOS!$C$1476,INDEX($H$8:$H$41,MIN(INT((IF(INT(($A73-1)/70)+1&gt;CROQUIS_DATOS!$C$1525,70,MOD($A73-1,70)+1)-2)/2)+1,CROQUIS_DATOS!$C$1541))))*CROQUIS_DATOS!$C$1561*CROQUIS_DATOS!$C$1562),-1000)</f>
        <v>40.2068965517241</v>
      </c>
      <c r="P73">
        <f>IF(AND(CROQUIS_DATOS!$C$1472=1,CROQUIS_DATOS!$C$1555=1),(CROQUIS_DATOS!$C$1563+(IF(IF(OR(MOD($A73-1,62)+1=1,IF(CHOOSE(MIN(MAX(MIN(INT(($A73-1)/62)+1,5),1),5),CROQUIS_DATOS!$C$1501,CROQUIS_DATOS!$C$1505,CROQUIS_DATOS!$C$1509,CROQUIS_DATOS!$C$1513,CROQUIS_DATOS!$C$1517)=1,CROQUIS_DATOS!$C$1557,0)=0),0,IF(MOD($A73-1,62)+1&gt;2*IF(CHOOSE(MIN(MAX(MIN(INT(($A73-1)/62)+1,5),1),5),CROQUIS_DATOS!$C$1501,CROQUIS_DATOS!$C$1505,CROQUIS_DATOS!$C$1509,CROQUIS_DATOS!$C$1513,CROQUIS_DATOS!$C$1517)=1,CROQUIS_DATOS!$C$1557,0)+1,IF(MOD(IF(CHOOSE(MIN(MAX(MIN(INT(($A73-1)/62)+1,5),1),5),CROQUIS_DATOS!$C$1501,CROQUIS_DATOS!$C$1505,CROQUIS_DATOS!$C$1509,CROQUIS_DATOS!$C$1513,CROQUIS_DATOS!$C$1517)=1,CROQUIS_DATOS!$C$1557,0),2)=1,1,0),IF(MOD(MIN(INT((MOD($A73-1,62)+1-2)/2)+1,MAX(IF(CHOOSE(MIN(MAX(MIN(INT(($A73-1)/62)+1,5),1),5),CROQUIS_DATOS!$C$1501,CROQUIS_DATOS!$C$1505,CROQUIS_DATOS!$C$1509,CROQUIS_DATOS!$C$1513,CROQUIS_DATOS!$C$1517)=1,CROQUIS_DATOS!$C$1557,0),1)),2)=1,IF(MOD(MOD($A73-1,62)+1-2,2)=0,0,1),IF(MOD(MOD($A73-1,62)+1-2,2)=0,1,0))))=0,(CHOOSE(MIN(MAX(MIN(INT(($A73-1)/62)+1,5),1),5),CROQUIS_DATOS!$C$1499,CROQUIS_DATOS!$C$1503,CROQUIS_DATOS!$C$1507,CROQUIS_DATOS!$C$1511,CROQUIS_DATOS!$C$1515)+IF(CHOOSE(MIN(MAX(MIN(INT(($A73-1)/62)+1,5),1),5),CROQUIS_DATOS!$C$1501,CROQUIS_DATOS!$C$1505,CROQUIS_DATOS!$C$1509,CROQUIS_DATOS!$C$1513,CROQUIS_DATOS!$C$1517)=1,CROQUIS_DATOS!$C$1526,0)),(CHOOSE(MIN(MAX(MIN(INT(($A73-1)/62)+1,5),1),5),CROQUIS_DATOS!$C$1499,CROQUIS_DATOS!$C$1503,CROQUIS_DATOS!$C$1507,CROQUIS_DATOS!$C$1511,CROQUIS_DATOS!$C$1515)+CHOOSE(MIN(MAX(MIN(INT(($A73-1)/62)+1,5),1),5),CROQUIS_DATOS!$C$1500,CROQUIS_DATOS!$C$1504,CROQUIS_DATOS!$C$1508,CROQUIS_DATOS!$C$1512,CROQUIS_DATOS!$C$1516)-IF(CHOOSE(MIN(MAX(MIN(INT(($A73-1)/62)+1,5),1),5),CROQUIS_DATOS!$C$1501,CROQUIS_DATOS!$C$1505,CROQUIS_DATOS!$C$1509,CROQUIS_DATOS!$C$1513,CROQUIS_DATOS!$C$1517)=1,CROQUIS_DATOS!$C$1526,0))))*CROQUIS_DATOS!$C$1562),-1000)</f>
        <v>-1000</v>
      </c>
      <c r="Q73">
        <f>IF(AND(CROQUIS_DATOS!$C$1472=1,CROQUIS_DATOS!$C$1555=1),(CROQUIS_DATOS!$C$1564+(IF(OR(OR(MOD($A73-1,62)+1=1,IF(CHOOSE(MIN(MAX(MIN(INT(($A73-1)/62)+1,5),1),5),CROQUIS_DATOS!$C$1501,CROQUIS_DATOS!$C$1505,CROQUIS_DATOS!$C$1509,CROQUIS_DATOS!$C$1513,CROQUIS_DATOS!$C$1517)=1,CROQUIS_DATOS!$C$1557,0)=0),MOD($A73-1,62)+1&gt;2*IF(CHOOSE(MIN(MAX(MIN(INT(($A73-1)/62)+1,5),1),5),CROQUIS_DATOS!$C$1501,CROQUIS_DATOS!$C$1505,CROQUIS_DATOS!$C$1509,CROQUIS_DATOS!$C$1513,CROQUIS_DATOS!$C$1517)=1,CROQUIS_DATOS!$C$1557,0)+1),CROQUIS_DATOS!$C$1476,MIN(INT((MOD($A73-1,62)+1-2)/2)+1,MAX(IF(CHOOSE(MIN(MAX(MIN(INT(($A73-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3">
        <f>IF(AND(CROQUIS_DATOS!$C$1472=1,1),(CROQUIS_DATOS!$C$1563+(MIN(INT(($A73-1)/2)+1,CROQUIS_DATOS!$C$1558)*CROQUIS_DATOS!$C$1559)*CROQUIS_DATOS!$C$1562),-1000)</f>
        <v>82.2281167108753</v>
      </c>
      <c r="U73">
        <f>IF(AND(CROQUIS_DATOS!$C$1472=1,1),(CROQUIS_DATOS!$C$1564+(IF(INT(($A73-1)/2)+1&gt;CROQUIS_DATOS!$C$1558,IF(MOD(CROQUIS_DATOS!$C$1558,2)=1,CROQUIS_DATOS!$C$1476+CROQUIS_DATOS!$C$1528,CROQUIS_DATOS!$C$1476),IF(IF(MOD(MIN(INT(($A73-1)/2)+1,CROQUIS_DATOS!$C$1558),2)=1,MOD($A73-1,2),1-MOD($A73-1,2))=1,CROQUIS_DATOS!$C$1476+CROQUIS_DATOS!$C$1528,CROQUIS_DATOS!$C$1476)))*CROQUIS_DATOS!$C$1561*CROQUIS_DATOS!$C$1562),-1000)</f>
        <v>43</v>
      </c>
      <c r="BZ73">
        <f>IF(AND(CROQUIS_DATOS!$C$1472=1,CROQUIS_DATOS!$C$1500&gt;0,((CROQUIS_DATOS!$C$1499+CROQUIS_DATOS!$C$1500))-(CROQUIS_DATOS!$C$1499)&gt;0.5,(CROQUIS_DATOS!$C$1476)-(0)&gt;0.5),(CROQUIS_DATOS!$C$1566+(IF(IF(MOD(MIN(INT(($A73-1)/2)+1,MAX(1,INT(((((CROQUIS_DATOS!$C$1499+CROQUIS_DATOS!$C$1500))-(CROQUIS_DATOS!$C$1499))+((CROQUIS_DATOS!$C$1476)*CROQUIS_DATOS!$C$1561-(0)*CROQUIS_DATOS!$C$1561))/CROQUIS_DATOS!$C$1568-0.000001))),2)=1,IF(INT(($A73-1)/2)+1&gt;MAX(1,INT(((((CROQUIS_DATOS!$C$1499+CROQUIS_DATOS!$C$1500))-(CROQUIS_DATOS!$C$1499))+((CROQUIS_DATOS!$C$1476)*CROQUIS_DATOS!$C$1561-(0)*CROQUIS_DATOS!$C$1561))/CROQUIS_DATOS!$C$1568-0.000001)),1,MOD($A73-1,2)),1-IF(INT(($A73-1)/2)+1&gt;MAX(1,INT(((((CROQUIS_DATOS!$C$1499+CROQUIS_DATOS!$C$1500))-(CROQUIS_DATOS!$C$1499))+((CROQUIS_DATOS!$C$1476)*CROQUIS_DATOS!$C$1561-(0)*CROQUIS_DATOS!$C$1561))/CROQUIS_DATOS!$C$1568-0.000001)),1,MOD($A73-1,2)))=1,MIN((CROQUIS_DATOS!$C$1476)*CROQUIS_DATOS!$C$1561,((CROQUIS_DATOS!$C$1499+CROQUIS_DATOS!$C$1500)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3">
        <f>IF(AND(CROQUIS_DATOS!$C$1472=1,CROQUIS_DATOS!$C$1500&gt;0,((CROQUIS_DATOS!$C$1499+CROQUIS_DATOS!$C$1500))-(CROQUIS_DATOS!$C$1499)&gt;0.5,(CROQUIS_DATOS!$C$1476)-(0)&gt;0.5),(CROQUIS_DATOS!$C$1567+(IF(IF(MOD(MIN(INT(($A73-1)/2)+1,MAX(1,INT(((((CROQUIS_DATOS!$C$1499+CROQUIS_DATOS!$C$1500))-(CROQUIS_DATOS!$C$1499))+((CROQUIS_DATOS!$C$1476)*CROQUIS_DATOS!$C$1561-(0)*CROQUIS_DATOS!$C$1561))/CROQUIS_DATOS!$C$1568-0.000001))),2)=1,IF(INT(($A73-1)/2)+1&gt;MAX(1,INT(((((CROQUIS_DATOS!$C$1499+CROQUIS_DATOS!$C$1500))-(CROQUIS_DATOS!$C$1499))+((CROQUIS_DATOS!$C$1476)*CROQUIS_DATOS!$C$1561-(0)*CROQUIS_DATOS!$C$1561))/CROQUIS_DATOS!$C$1568-0.000001)),1,MOD($A73-1,2)),1-IF(INT(($A73-1)/2)+1&gt;MAX(1,INT(((((CROQUIS_DATOS!$C$1499+CROQUIS_DATOS!$C$1500))-(CROQUIS_DATOS!$C$1499))+((CROQUIS_DATOS!$C$1476)*CROQUIS_DATOS!$C$1561-(0)*CROQUIS_DATOS!$C$1561))/CROQUIS_DATOS!$C$1568-0.000001)),1,MOD($A73-1,2)))=1,MIN((CROQUIS_DATOS!$C$1476)*CROQUIS_DATOS!$C$1561,((CROQUIS_DATOS!$C$1499+CROQUIS_DATOS!$C$1500)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3">
        <f>IF(AND(CROQUIS_DATOS!$C$1472=1,CROQUIS_DATOS!$C$1504&gt;0,((CROQUIS_DATOS!$C$1503+CROQUIS_DATOS!$C$1504))-(CROQUIS_DATOS!$C$1503)&gt;0.5,(CROQUIS_DATOS!$C$1476)-(0)&gt;0.5),(CROQUIS_DATOS!$C$1566+(IF(IF(MOD(MIN(INT(($A73-1)/2)+1,MAX(1,INT(((((CROQUIS_DATOS!$C$1503+CROQUIS_DATOS!$C$1504))-(CROQUIS_DATOS!$C$1503))+((CROQUIS_DATOS!$C$1476)*CROQUIS_DATOS!$C$1561-(0)*CROQUIS_DATOS!$C$1561))/CROQUIS_DATOS!$C$1568-0.000001))),2)=1,IF(INT(($A73-1)/2)+1&gt;MAX(1,INT(((((CROQUIS_DATOS!$C$1503+CROQUIS_DATOS!$C$1504))-(CROQUIS_DATOS!$C$1503))+((CROQUIS_DATOS!$C$1476)*CROQUIS_DATOS!$C$1561-(0)*CROQUIS_DATOS!$C$1561))/CROQUIS_DATOS!$C$1568-0.000001)),1,MOD($A73-1,2)),1-IF(INT(($A73-1)/2)+1&gt;MAX(1,INT(((((CROQUIS_DATOS!$C$1503+CROQUIS_DATOS!$C$1504))-(CROQUIS_DATOS!$C$1503))+((CROQUIS_DATOS!$C$1476)*CROQUIS_DATOS!$C$1561-(0)*CROQUIS_DATOS!$C$1561))/CROQUIS_DATOS!$C$1568-0.000001)),1,MOD($A73-1,2)))=1,MIN((CROQUIS_DATOS!$C$1476)*CROQUIS_DATOS!$C$1561,((CROQUIS_DATOS!$C$1503+CROQUIS_DATOS!$C$1504)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3">
        <f>IF(AND(CROQUIS_DATOS!$C$1472=1,CROQUIS_DATOS!$C$1504&gt;0,((CROQUIS_DATOS!$C$1503+CROQUIS_DATOS!$C$1504))-(CROQUIS_DATOS!$C$1503)&gt;0.5,(CROQUIS_DATOS!$C$1476)-(0)&gt;0.5),(CROQUIS_DATOS!$C$1567+(IF(IF(MOD(MIN(INT(($A73-1)/2)+1,MAX(1,INT(((((CROQUIS_DATOS!$C$1503+CROQUIS_DATOS!$C$1504))-(CROQUIS_DATOS!$C$1503))+((CROQUIS_DATOS!$C$1476)*CROQUIS_DATOS!$C$1561-(0)*CROQUIS_DATOS!$C$1561))/CROQUIS_DATOS!$C$1568-0.000001))),2)=1,IF(INT(($A73-1)/2)+1&gt;MAX(1,INT(((((CROQUIS_DATOS!$C$1503+CROQUIS_DATOS!$C$1504))-(CROQUIS_DATOS!$C$1503))+((CROQUIS_DATOS!$C$1476)*CROQUIS_DATOS!$C$1561-(0)*CROQUIS_DATOS!$C$1561))/CROQUIS_DATOS!$C$1568-0.000001)),1,MOD($A73-1,2)),1-IF(INT(($A73-1)/2)+1&gt;MAX(1,INT(((((CROQUIS_DATOS!$C$1503+CROQUIS_DATOS!$C$1504))-(CROQUIS_DATOS!$C$1503))+((CROQUIS_DATOS!$C$1476)*CROQUIS_DATOS!$C$1561-(0)*CROQUIS_DATOS!$C$1561))/CROQUIS_DATOS!$C$1568-0.000001)),1,MOD($A73-1,2)))=1,MIN((CROQUIS_DATOS!$C$1476)*CROQUIS_DATOS!$C$1561,((CROQUIS_DATOS!$C$1503+CROQUIS_DATOS!$C$1504)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3">
        <f>IF(AND(CROQUIS_DATOS!$C$1472=1,CROQUIS_DATOS!$C$1508&gt;0,((CROQUIS_DATOS!$C$1507+CROQUIS_DATOS!$C$1508))-(CROQUIS_DATOS!$C$1507)&gt;0.5,(CROQUIS_DATOS!$C$1476)-(0)&gt;0.5),(CROQUIS_DATOS!$C$1566+(IF(IF(MOD(MIN(INT(($A73-1)/2)+1,MAX(1,INT(((((CROQUIS_DATOS!$C$1507+CROQUIS_DATOS!$C$1508))-(CROQUIS_DATOS!$C$1507))+((CROQUIS_DATOS!$C$1476)*CROQUIS_DATOS!$C$1561-(0)*CROQUIS_DATOS!$C$1561))/CROQUIS_DATOS!$C$1568-0.000001))),2)=1,IF(INT(($A73-1)/2)+1&gt;MAX(1,INT(((((CROQUIS_DATOS!$C$1507+CROQUIS_DATOS!$C$1508))-(CROQUIS_DATOS!$C$1507))+((CROQUIS_DATOS!$C$1476)*CROQUIS_DATOS!$C$1561-(0)*CROQUIS_DATOS!$C$1561))/CROQUIS_DATOS!$C$1568-0.000001)),1,MOD($A73-1,2)),1-IF(INT(($A73-1)/2)+1&gt;MAX(1,INT(((((CROQUIS_DATOS!$C$1507+CROQUIS_DATOS!$C$1508))-(CROQUIS_DATOS!$C$1507))+((CROQUIS_DATOS!$C$1476)*CROQUIS_DATOS!$C$1561-(0)*CROQUIS_DATOS!$C$1561))/CROQUIS_DATOS!$C$1568-0.000001)),1,MOD($A73-1,2)))=1,MIN((CROQUIS_DATOS!$C$1476)*CROQUIS_DATOS!$C$1561,((CROQUIS_DATOS!$C$1507+CROQUIS_DATOS!$C$1508)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3">
        <f>IF(AND(CROQUIS_DATOS!$C$1472=1,CROQUIS_DATOS!$C$1508&gt;0,((CROQUIS_DATOS!$C$1507+CROQUIS_DATOS!$C$1508))-(CROQUIS_DATOS!$C$1507)&gt;0.5,(CROQUIS_DATOS!$C$1476)-(0)&gt;0.5),(CROQUIS_DATOS!$C$1567+(IF(IF(MOD(MIN(INT(($A73-1)/2)+1,MAX(1,INT(((((CROQUIS_DATOS!$C$1507+CROQUIS_DATOS!$C$1508))-(CROQUIS_DATOS!$C$1507))+((CROQUIS_DATOS!$C$1476)*CROQUIS_DATOS!$C$1561-(0)*CROQUIS_DATOS!$C$1561))/CROQUIS_DATOS!$C$1568-0.000001))),2)=1,IF(INT(($A73-1)/2)+1&gt;MAX(1,INT(((((CROQUIS_DATOS!$C$1507+CROQUIS_DATOS!$C$1508))-(CROQUIS_DATOS!$C$1507))+((CROQUIS_DATOS!$C$1476)*CROQUIS_DATOS!$C$1561-(0)*CROQUIS_DATOS!$C$1561))/CROQUIS_DATOS!$C$1568-0.000001)),1,MOD($A73-1,2)),1-IF(INT(($A73-1)/2)+1&gt;MAX(1,INT(((((CROQUIS_DATOS!$C$1507+CROQUIS_DATOS!$C$1508))-(CROQUIS_DATOS!$C$1507))+((CROQUIS_DATOS!$C$1476)*CROQUIS_DATOS!$C$1561-(0)*CROQUIS_DATOS!$C$1561))/CROQUIS_DATOS!$C$1568-0.000001)),1,MOD($A73-1,2)))=1,MIN((CROQUIS_DATOS!$C$1476)*CROQUIS_DATOS!$C$1561,((CROQUIS_DATOS!$C$1507+CROQUIS_DATOS!$C$1508)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3">
        <f>IF(AND(CROQUIS_DATOS!$C$1472=1,CROQUIS_DATOS!$C$1512&gt;0,((CROQUIS_DATOS!$C$1511+CROQUIS_DATOS!$C$1512))-(CROQUIS_DATOS!$C$1511)&gt;0.5,(CROQUIS_DATOS!$C$1476)-(0)&gt;0.5),(CROQUIS_DATOS!$C$1566+(IF(IF(MOD(MIN(INT(($A73-1)/2)+1,MAX(1,INT(((((CROQUIS_DATOS!$C$1511+CROQUIS_DATOS!$C$1512))-(CROQUIS_DATOS!$C$1511))+((CROQUIS_DATOS!$C$1476)*CROQUIS_DATOS!$C$1561-(0)*CROQUIS_DATOS!$C$1561))/CROQUIS_DATOS!$C$1568-0.000001))),2)=1,IF(INT(($A73-1)/2)+1&gt;MAX(1,INT(((((CROQUIS_DATOS!$C$1511+CROQUIS_DATOS!$C$1512))-(CROQUIS_DATOS!$C$1511))+((CROQUIS_DATOS!$C$1476)*CROQUIS_DATOS!$C$1561-(0)*CROQUIS_DATOS!$C$1561))/CROQUIS_DATOS!$C$1568-0.000001)),1,MOD($A73-1,2)),1-IF(INT(($A73-1)/2)+1&gt;MAX(1,INT(((((CROQUIS_DATOS!$C$1511+CROQUIS_DATOS!$C$1512))-(CROQUIS_DATOS!$C$1511))+((CROQUIS_DATOS!$C$1476)*CROQUIS_DATOS!$C$1561-(0)*CROQUIS_DATOS!$C$1561))/CROQUIS_DATOS!$C$1568-0.000001)),1,MOD($A73-1,2)))=1,MIN((CROQUIS_DATOS!$C$1476)*CROQUIS_DATOS!$C$1561,((CROQUIS_DATOS!$C$1511+CROQUIS_DATOS!$C$1512)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3">
        <f>IF(AND(CROQUIS_DATOS!$C$1472=1,CROQUIS_DATOS!$C$1512&gt;0,((CROQUIS_DATOS!$C$1511+CROQUIS_DATOS!$C$1512))-(CROQUIS_DATOS!$C$1511)&gt;0.5,(CROQUIS_DATOS!$C$1476)-(0)&gt;0.5),(CROQUIS_DATOS!$C$1567+(IF(IF(MOD(MIN(INT(($A73-1)/2)+1,MAX(1,INT(((((CROQUIS_DATOS!$C$1511+CROQUIS_DATOS!$C$1512))-(CROQUIS_DATOS!$C$1511))+((CROQUIS_DATOS!$C$1476)*CROQUIS_DATOS!$C$1561-(0)*CROQUIS_DATOS!$C$1561))/CROQUIS_DATOS!$C$1568-0.000001))),2)=1,IF(INT(($A73-1)/2)+1&gt;MAX(1,INT(((((CROQUIS_DATOS!$C$1511+CROQUIS_DATOS!$C$1512))-(CROQUIS_DATOS!$C$1511))+((CROQUIS_DATOS!$C$1476)*CROQUIS_DATOS!$C$1561-(0)*CROQUIS_DATOS!$C$1561))/CROQUIS_DATOS!$C$1568-0.000001)),1,MOD($A73-1,2)),1-IF(INT(($A73-1)/2)+1&gt;MAX(1,INT(((((CROQUIS_DATOS!$C$1511+CROQUIS_DATOS!$C$1512))-(CROQUIS_DATOS!$C$1511))+((CROQUIS_DATOS!$C$1476)*CROQUIS_DATOS!$C$1561-(0)*CROQUIS_DATOS!$C$1561))/CROQUIS_DATOS!$C$1568-0.000001)),1,MOD($A73-1,2)))=1,MIN((CROQUIS_DATOS!$C$1476)*CROQUIS_DATOS!$C$1561,((CROQUIS_DATOS!$C$1511+CROQUIS_DATOS!$C$1512)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3">
        <f>IF(AND(CROQUIS_DATOS!$C$1472=1,CROQUIS_DATOS!$C$1516&gt;0,((CROQUIS_DATOS!$C$1515+CROQUIS_DATOS!$C$1516))-(CROQUIS_DATOS!$C$1515)&gt;0.5,(CROQUIS_DATOS!$C$1476)-(0)&gt;0.5),(CROQUIS_DATOS!$C$1566+(IF(IF(MOD(MIN(INT(($A73-1)/2)+1,MAX(1,INT(((((CROQUIS_DATOS!$C$1515+CROQUIS_DATOS!$C$1516))-(CROQUIS_DATOS!$C$1515))+((CROQUIS_DATOS!$C$1476)*CROQUIS_DATOS!$C$1561-(0)*CROQUIS_DATOS!$C$1561))/CROQUIS_DATOS!$C$1568-0.000001))),2)=1,IF(INT(($A73-1)/2)+1&gt;MAX(1,INT(((((CROQUIS_DATOS!$C$1515+CROQUIS_DATOS!$C$1516))-(CROQUIS_DATOS!$C$1515))+((CROQUIS_DATOS!$C$1476)*CROQUIS_DATOS!$C$1561-(0)*CROQUIS_DATOS!$C$1561))/CROQUIS_DATOS!$C$1568-0.000001)),1,MOD($A73-1,2)),1-IF(INT(($A73-1)/2)+1&gt;MAX(1,INT(((((CROQUIS_DATOS!$C$1515+CROQUIS_DATOS!$C$1516))-(CROQUIS_DATOS!$C$1515))+((CROQUIS_DATOS!$C$1476)*CROQUIS_DATOS!$C$1561-(0)*CROQUIS_DATOS!$C$1561))/CROQUIS_DATOS!$C$1568-0.000001)),1,MOD($A73-1,2)))=1,MIN((CROQUIS_DATOS!$C$1476)*CROQUIS_DATOS!$C$1561,((CROQUIS_DATOS!$C$1515+CROQUIS_DATOS!$C$1516)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3">
        <f>IF(AND(CROQUIS_DATOS!$C$1472=1,CROQUIS_DATOS!$C$1516&gt;0,((CROQUIS_DATOS!$C$1515+CROQUIS_DATOS!$C$1516))-(CROQUIS_DATOS!$C$1515)&gt;0.5,(CROQUIS_DATOS!$C$1476)-(0)&gt;0.5),(CROQUIS_DATOS!$C$1567+(IF(IF(MOD(MIN(INT(($A73-1)/2)+1,MAX(1,INT(((((CROQUIS_DATOS!$C$1515+CROQUIS_DATOS!$C$1516))-(CROQUIS_DATOS!$C$1515))+((CROQUIS_DATOS!$C$1476)*CROQUIS_DATOS!$C$1561-(0)*CROQUIS_DATOS!$C$1561))/CROQUIS_DATOS!$C$1568-0.000001))),2)=1,IF(INT(($A73-1)/2)+1&gt;MAX(1,INT(((((CROQUIS_DATOS!$C$1515+CROQUIS_DATOS!$C$1516))-(CROQUIS_DATOS!$C$1515))+((CROQUIS_DATOS!$C$1476)*CROQUIS_DATOS!$C$1561-(0)*CROQUIS_DATOS!$C$1561))/CROQUIS_DATOS!$C$1568-0.000001)),1,MOD($A73-1,2)),1-IF(INT(($A73-1)/2)+1&gt;MAX(1,INT(((((CROQUIS_DATOS!$C$1515+CROQUIS_DATOS!$C$1516))-(CROQUIS_DATOS!$C$1515))+((CROQUIS_DATOS!$C$1476)*CROQUIS_DATOS!$C$1561-(0)*CROQUIS_DATOS!$C$1561))/CROQUIS_DATOS!$C$1568-0.000001)),1,MOD($A73-1,2)))=1,MIN((CROQUIS_DATOS!$C$1476)*CROQUIS_DATOS!$C$1561,((CROQUIS_DATOS!$C$1515+CROQUIS_DATOS!$C$1516)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3">
        <f>IF(AND(CROQUIS_DATOS!$C$1472=1,CROQUIS_DATOS!$C$1478&gt;=1,((CROQUIS_DATOS!$C$1479+CROQUIS_DATOS!$C$1480))-(CROQUIS_DATOS!$C$1479)&gt;0.5,(CROQUIS_DATOS!$C$1481)-(0)&gt;0.5),(CROQUIS_DATOS!$C$1566+(IF(IF(MOD(MIN(INT(($A73-1)/2)+1,MAX(1,INT(((((CROQUIS_DATOS!$C$1479+CROQUIS_DATOS!$C$1480))-(CROQUIS_DATOS!$C$1479))+((CROQUIS_DATOS!$C$1481)*CROQUIS_DATOS!$C$1561-(0)*CROQUIS_DATOS!$C$1561))/CROQUIS_DATOS!$C$1568-0.000001))),2)=1,IF(INT(($A73-1)/2)+1&gt;MAX(1,INT(((((CROQUIS_DATOS!$C$1479+CROQUIS_DATOS!$C$1480))-(CROQUIS_DATOS!$C$1479))+((CROQUIS_DATOS!$C$1481)*CROQUIS_DATOS!$C$1561-(0)*CROQUIS_DATOS!$C$1561))/CROQUIS_DATOS!$C$1568-0.000001)),1,MOD($A73-1,2)),1-IF(INT(($A73-1)/2)+1&gt;MAX(1,INT(((((CROQUIS_DATOS!$C$1479+CROQUIS_DATOS!$C$1480))-(CROQUIS_DATOS!$C$1479))+((CROQUIS_DATOS!$C$1481)*CROQUIS_DATOS!$C$1561-(0)*CROQUIS_DATOS!$C$1561))/CROQUIS_DATOS!$C$1568-0.000001)),1,MOD($A73-1,2)))=1,MIN((CROQUIS_DATOS!$C$1481)*CROQUIS_DATOS!$C$1561,((CROQUIS_DATOS!$C$1479+CROQUIS_DATOS!$C$1480)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3">
        <f>IF(AND(CROQUIS_DATOS!$C$1472=1,CROQUIS_DATOS!$C$1478&gt;=1,((CROQUIS_DATOS!$C$1479+CROQUIS_DATOS!$C$1480))-(CROQUIS_DATOS!$C$1479)&gt;0.5,(CROQUIS_DATOS!$C$1481)-(0)&gt;0.5),(CROQUIS_DATOS!$C$1567+(IF(IF(MOD(MIN(INT(($A73-1)/2)+1,MAX(1,INT(((((CROQUIS_DATOS!$C$1479+CROQUIS_DATOS!$C$1480))-(CROQUIS_DATOS!$C$1479))+((CROQUIS_DATOS!$C$1481)*CROQUIS_DATOS!$C$1561-(0)*CROQUIS_DATOS!$C$1561))/CROQUIS_DATOS!$C$1568-0.000001))),2)=1,IF(INT(($A73-1)/2)+1&gt;MAX(1,INT(((((CROQUIS_DATOS!$C$1479+CROQUIS_DATOS!$C$1480))-(CROQUIS_DATOS!$C$1479))+((CROQUIS_DATOS!$C$1481)*CROQUIS_DATOS!$C$1561-(0)*CROQUIS_DATOS!$C$1561))/CROQUIS_DATOS!$C$1568-0.000001)),1,MOD($A73-1,2)),1-IF(INT(($A73-1)/2)+1&gt;MAX(1,INT(((((CROQUIS_DATOS!$C$1479+CROQUIS_DATOS!$C$1480))-(CROQUIS_DATOS!$C$1479))+((CROQUIS_DATOS!$C$1481)*CROQUIS_DATOS!$C$1561-(0)*CROQUIS_DATOS!$C$1561))/CROQUIS_DATOS!$C$1568-0.000001)),1,MOD($A73-1,2)))=1,MIN((CROQUIS_DATOS!$C$1481)*CROQUIS_DATOS!$C$1561,((CROQUIS_DATOS!$C$1479+CROQUIS_DATOS!$C$1480)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3">
        <f>IF(AND(CROQUIS_DATOS!$C$1472=1,CROQUIS_DATOS!$C$1478&gt;=1,((CROQUIS_DATOS!$C$1479+CROQUIS_DATOS!$C$1480))-(CROQUIS_DATOS!$C$1479)&gt;0.5,(CROQUIS_DATOS!$C$1476)-((CROQUIS_DATOS!$C$1481+CROQUIS_DATOS!$C$1482))&gt;0.5),(CROQUIS_DATOS!$C$1566+(IF(IF(MOD(MIN(INT(($A73-1)/2)+1,MAX(1,INT(((((CROQUIS_DATOS!$C$1479+CROQUIS_DATOS!$C$1480))-(CROQUIS_DATOS!$C$1479))+((CROQUIS_DATOS!$C$1476)*CROQUIS_DATOS!$C$1561-((CROQUIS_DATOS!$C$1481+CROQUIS_DATOS!$C$1482))*CROQUIS_DATOS!$C$1561))/CROQUIS_DATOS!$C$1568-0.000001))),2)=1,IF(INT(($A73-1)/2)+1&gt;MAX(1,INT(((((CROQUIS_DATOS!$C$1479+CROQUIS_DATOS!$C$1480))-(CROQUIS_DATOS!$C$1479))+((CROQUIS_DATOS!$C$1476)*CROQUIS_DATOS!$C$1561-((CROQUIS_DATOS!$C$1481+CROQUIS_DATOS!$C$1482))*CROQUIS_DATOS!$C$1561))/CROQUIS_DATOS!$C$1568-0.000001)),1,MOD($A73-1,2)),1-IF(INT(($A73-1)/2)+1&gt;MAX(1,INT(((((CROQUIS_DATOS!$C$1479+CROQUIS_DATOS!$C$1480))-(CROQUIS_DATOS!$C$1479))+((CROQUIS_DATOS!$C$1476)*CROQUIS_DATOS!$C$1561-((CROQUIS_DATOS!$C$1481+CROQUIS_DATOS!$C$1482))*CROQUIS_DATOS!$C$1561))/CROQUIS_DATOS!$C$1568-0.000001)),1,MOD($A73-1,2)))=1,MIN((CROQUIS_DATOS!$C$1476)*CROQUIS_DATOS!$C$1561,((CROQUIS_DATOS!$C$1479+CROQUIS_DATOS!$C$1480)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3">
        <f>IF(AND(CROQUIS_DATOS!$C$1472=1,CROQUIS_DATOS!$C$1478&gt;=1,((CROQUIS_DATOS!$C$1479+CROQUIS_DATOS!$C$1480))-(CROQUIS_DATOS!$C$1479)&gt;0.5,(CROQUIS_DATOS!$C$1476)-((CROQUIS_DATOS!$C$1481+CROQUIS_DATOS!$C$1482))&gt;0.5),(CROQUIS_DATOS!$C$1567+(IF(IF(MOD(MIN(INT(($A73-1)/2)+1,MAX(1,INT(((((CROQUIS_DATOS!$C$1479+CROQUIS_DATOS!$C$1480))-(CROQUIS_DATOS!$C$1479))+((CROQUIS_DATOS!$C$1476)*CROQUIS_DATOS!$C$1561-((CROQUIS_DATOS!$C$1481+CROQUIS_DATOS!$C$1482))*CROQUIS_DATOS!$C$1561))/CROQUIS_DATOS!$C$1568-0.000001))),2)=1,IF(INT(($A73-1)/2)+1&gt;MAX(1,INT(((((CROQUIS_DATOS!$C$1479+CROQUIS_DATOS!$C$1480))-(CROQUIS_DATOS!$C$1479))+((CROQUIS_DATOS!$C$1476)*CROQUIS_DATOS!$C$1561-((CROQUIS_DATOS!$C$1481+CROQUIS_DATOS!$C$1482))*CROQUIS_DATOS!$C$1561))/CROQUIS_DATOS!$C$1568-0.000001)),1,MOD($A73-1,2)),1-IF(INT(($A73-1)/2)+1&gt;MAX(1,INT(((((CROQUIS_DATOS!$C$1479+CROQUIS_DATOS!$C$1480))-(CROQUIS_DATOS!$C$1479))+((CROQUIS_DATOS!$C$1476)*CROQUIS_DATOS!$C$1561-((CROQUIS_DATOS!$C$1481+CROQUIS_DATOS!$C$1482))*CROQUIS_DATOS!$C$1561))/CROQUIS_DATOS!$C$1568-0.000001)),1,MOD($A73-1,2)))=1,MIN((CROQUIS_DATOS!$C$1476)*CROQUIS_DATOS!$C$1561,((CROQUIS_DATOS!$C$1479+CROQUIS_DATOS!$C$1480)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3">
        <f>IF(AND(CROQUIS_DATOS!$C$1472=1,CROQUIS_DATOS!$C$1478&gt;=2,((CROQUIS_DATOS!$C$1484+CROQUIS_DATOS!$C$1485))-(CROQUIS_DATOS!$C$1484)&gt;0.5,(CROQUIS_DATOS!$C$1486)-(0)&gt;0.5),(CROQUIS_DATOS!$C$1566+(IF(IF(MOD(MIN(INT(($A73-1)/2)+1,MAX(1,INT(((((CROQUIS_DATOS!$C$1484+CROQUIS_DATOS!$C$1485))-(CROQUIS_DATOS!$C$1484))+((CROQUIS_DATOS!$C$1486)*CROQUIS_DATOS!$C$1561-(0)*CROQUIS_DATOS!$C$1561))/CROQUIS_DATOS!$C$1568-0.000001))),2)=1,IF(INT(($A73-1)/2)+1&gt;MAX(1,INT(((((CROQUIS_DATOS!$C$1484+CROQUIS_DATOS!$C$1485))-(CROQUIS_DATOS!$C$1484))+((CROQUIS_DATOS!$C$1486)*CROQUIS_DATOS!$C$1561-(0)*CROQUIS_DATOS!$C$1561))/CROQUIS_DATOS!$C$1568-0.000001)),1,MOD($A73-1,2)),1-IF(INT(($A73-1)/2)+1&gt;MAX(1,INT(((((CROQUIS_DATOS!$C$1484+CROQUIS_DATOS!$C$1485))-(CROQUIS_DATOS!$C$1484))+((CROQUIS_DATOS!$C$1486)*CROQUIS_DATOS!$C$1561-(0)*CROQUIS_DATOS!$C$1561))/CROQUIS_DATOS!$C$1568-0.000001)),1,MOD($A73-1,2)))=1,MIN((CROQUIS_DATOS!$C$1486)*CROQUIS_DATOS!$C$1561,((CROQUIS_DATOS!$C$1484+CROQUIS_DATOS!$C$1485)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3">
        <f>IF(AND(CROQUIS_DATOS!$C$1472=1,CROQUIS_DATOS!$C$1478&gt;=2,((CROQUIS_DATOS!$C$1484+CROQUIS_DATOS!$C$1485))-(CROQUIS_DATOS!$C$1484)&gt;0.5,(CROQUIS_DATOS!$C$1486)-(0)&gt;0.5),(CROQUIS_DATOS!$C$1567+(IF(IF(MOD(MIN(INT(($A73-1)/2)+1,MAX(1,INT(((((CROQUIS_DATOS!$C$1484+CROQUIS_DATOS!$C$1485))-(CROQUIS_DATOS!$C$1484))+((CROQUIS_DATOS!$C$1486)*CROQUIS_DATOS!$C$1561-(0)*CROQUIS_DATOS!$C$1561))/CROQUIS_DATOS!$C$1568-0.000001))),2)=1,IF(INT(($A73-1)/2)+1&gt;MAX(1,INT(((((CROQUIS_DATOS!$C$1484+CROQUIS_DATOS!$C$1485))-(CROQUIS_DATOS!$C$1484))+((CROQUIS_DATOS!$C$1486)*CROQUIS_DATOS!$C$1561-(0)*CROQUIS_DATOS!$C$1561))/CROQUIS_DATOS!$C$1568-0.000001)),1,MOD($A73-1,2)),1-IF(INT(($A73-1)/2)+1&gt;MAX(1,INT(((((CROQUIS_DATOS!$C$1484+CROQUIS_DATOS!$C$1485))-(CROQUIS_DATOS!$C$1484))+((CROQUIS_DATOS!$C$1486)*CROQUIS_DATOS!$C$1561-(0)*CROQUIS_DATOS!$C$1561))/CROQUIS_DATOS!$C$1568-0.000001)),1,MOD($A73-1,2)))=1,MIN((CROQUIS_DATOS!$C$1486)*CROQUIS_DATOS!$C$1561,((CROQUIS_DATOS!$C$1484+CROQUIS_DATOS!$C$1485)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3">
        <f>IF(AND(CROQUIS_DATOS!$C$1472=1,CROQUIS_DATOS!$C$1478&gt;=2,((CROQUIS_DATOS!$C$1484+CROQUIS_DATOS!$C$1485))-(CROQUIS_DATOS!$C$1484)&gt;0.5,(CROQUIS_DATOS!$C$1476)-((CROQUIS_DATOS!$C$1486+CROQUIS_DATOS!$C$1487))&gt;0.5),(CROQUIS_DATOS!$C$1566+(IF(IF(MOD(MIN(INT(($A73-1)/2)+1,MAX(1,INT(((((CROQUIS_DATOS!$C$1484+CROQUIS_DATOS!$C$1485))-(CROQUIS_DATOS!$C$1484))+((CROQUIS_DATOS!$C$1476)*CROQUIS_DATOS!$C$1561-((CROQUIS_DATOS!$C$1486+CROQUIS_DATOS!$C$1487))*CROQUIS_DATOS!$C$1561))/CROQUIS_DATOS!$C$1568-0.000001))),2)=1,IF(INT(($A73-1)/2)+1&gt;MAX(1,INT(((((CROQUIS_DATOS!$C$1484+CROQUIS_DATOS!$C$1485))-(CROQUIS_DATOS!$C$1484))+((CROQUIS_DATOS!$C$1476)*CROQUIS_DATOS!$C$1561-((CROQUIS_DATOS!$C$1486+CROQUIS_DATOS!$C$1487))*CROQUIS_DATOS!$C$1561))/CROQUIS_DATOS!$C$1568-0.000001)),1,MOD($A73-1,2)),1-IF(INT(($A73-1)/2)+1&gt;MAX(1,INT(((((CROQUIS_DATOS!$C$1484+CROQUIS_DATOS!$C$1485))-(CROQUIS_DATOS!$C$1484))+((CROQUIS_DATOS!$C$1476)*CROQUIS_DATOS!$C$1561-((CROQUIS_DATOS!$C$1486+CROQUIS_DATOS!$C$1487))*CROQUIS_DATOS!$C$1561))/CROQUIS_DATOS!$C$1568-0.000001)),1,MOD($A73-1,2)))=1,MIN((CROQUIS_DATOS!$C$1476)*CROQUIS_DATOS!$C$1561,((CROQUIS_DATOS!$C$1484+CROQUIS_DATOS!$C$1485)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3">
        <f>IF(AND(CROQUIS_DATOS!$C$1472=1,CROQUIS_DATOS!$C$1478&gt;=2,((CROQUIS_DATOS!$C$1484+CROQUIS_DATOS!$C$1485))-(CROQUIS_DATOS!$C$1484)&gt;0.5,(CROQUIS_DATOS!$C$1476)-((CROQUIS_DATOS!$C$1486+CROQUIS_DATOS!$C$1487))&gt;0.5),(CROQUIS_DATOS!$C$1567+(IF(IF(MOD(MIN(INT(($A73-1)/2)+1,MAX(1,INT(((((CROQUIS_DATOS!$C$1484+CROQUIS_DATOS!$C$1485))-(CROQUIS_DATOS!$C$1484))+((CROQUIS_DATOS!$C$1476)*CROQUIS_DATOS!$C$1561-((CROQUIS_DATOS!$C$1486+CROQUIS_DATOS!$C$1487))*CROQUIS_DATOS!$C$1561))/CROQUIS_DATOS!$C$1568-0.000001))),2)=1,IF(INT(($A73-1)/2)+1&gt;MAX(1,INT(((((CROQUIS_DATOS!$C$1484+CROQUIS_DATOS!$C$1485))-(CROQUIS_DATOS!$C$1484))+((CROQUIS_DATOS!$C$1476)*CROQUIS_DATOS!$C$1561-((CROQUIS_DATOS!$C$1486+CROQUIS_DATOS!$C$1487))*CROQUIS_DATOS!$C$1561))/CROQUIS_DATOS!$C$1568-0.000001)),1,MOD($A73-1,2)),1-IF(INT(($A73-1)/2)+1&gt;MAX(1,INT(((((CROQUIS_DATOS!$C$1484+CROQUIS_DATOS!$C$1485))-(CROQUIS_DATOS!$C$1484))+((CROQUIS_DATOS!$C$1476)*CROQUIS_DATOS!$C$1561-((CROQUIS_DATOS!$C$1486+CROQUIS_DATOS!$C$1487))*CROQUIS_DATOS!$C$1561))/CROQUIS_DATOS!$C$1568-0.000001)),1,MOD($A73-1,2)))=1,MIN((CROQUIS_DATOS!$C$1476)*CROQUIS_DATOS!$C$1561,((CROQUIS_DATOS!$C$1484+CROQUIS_DATOS!$C$1485)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3">
        <f>IF(AND(CROQUIS_DATOS!$C$1472=1,CROQUIS_DATOS!$C$1478&gt;=3,((CROQUIS_DATOS!$C$1489+CROQUIS_DATOS!$C$1490))-(CROQUIS_DATOS!$C$1489)&gt;0.5,(CROQUIS_DATOS!$C$1491)-(0)&gt;0.5),(CROQUIS_DATOS!$C$1566+(IF(IF(MOD(MIN(INT(($A73-1)/2)+1,MAX(1,INT(((((CROQUIS_DATOS!$C$1489+CROQUIS_DATOS!$C$1490))-(CROQUIS_DATOS!$C$1489))+((CROQUIS_DATOS!$C$1491)*CROQUIS_DATOS!$C$1561-(0)*CROQUIS_DATOS!$C$1561))/CROQUIS_DATOS!$C$1568-0.000001))),2)=1,IF(INT(($A73-1)/2)+1&gt;MAX(1,INT(((((CROQUIS_DATOS!$C$1489+CROQUIS_DATOS!$C$1490))-(CROQUIS_DATOS!$C$1489))+((CROQUIS_DATOS!$C$1491)*CROQUIS_DATOS!$C$1561-(0)*CROQUIS_DATOS!$C$1561))/CROQUIS_DATOS!$C$1568-0.000001)),1,MOD($A73-1,2)),1-IF(INT(($A73-1)/2)+1&gt;MAX(1,INT(((((CROQUIS_DATOS!$C$1489+CROQUIS_DATOS!$C$1490))-(CROQUIS_DATOS!$C$1489))+((CROQUIS_DATOS!$C$1491)*CROQUIS_DATOS!$C$1561-(0)*CROQUIS_DATOS!$C$1561))/CROQUIS_DATOS!$C$1568-0.000001)),1,MOD($A73-1,2)))=1,MIN((CROQUIS_DATOS!$C$1491)*CROQUIS_DATOS!$C$1561,((CROQUIS_DATOS!$C$1489+CROQUIS_DATOS!$C$1490)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3">
        <f>IF(AND(CROQUIS_DATOS!$C$1472=1,CROQUIS_DATOS!$C$1478&gt;=3,((CROQUIS_DATOS!$C$1489+CROQUIS_DATOS!$C$1490))-(CROQUIS_DATOS!$C$1489)&gt;0.5,(CROQUIS_DATOS!$C$1491)-(0)&gt;0.5),(CROQUIS_DATOS!$C$1567+(IF(IF(MOD(MIN(INT(($A73-1)/2)+1,MAX(1,INT(((((CROQUIS_DATOS!$C$1489+CROQUIS_DATOS!$C$1490))-(CROQUIS_DATOS!$C$1489))+((CROQUIS_DATOS!$C$1491)*CROQUIS_DATOS!$C$1561-(0)*CROQUIS_DATOS!$C$1561))/CROQUIS_DATOS!$C$1568-0.000001))),2)=1,IF(INT(($A73-1)/2)+1&gt;MAX(1,INT(((((CROQUIS_DATOS!$C$1489+CROQUIS_DATOS!$C$1490))-(CROQUIS_DATOS!$C$1489))+((CROQUIS_DATOS!$C$1491)*CROQUIS_DATOS!$C$1561-(0)*CROQUIS_DATOS!$C$1561))/CROQUIS_DATOS!$C$1568-0.000001)),1,MOD($A73-1,2)),1-IF(INT(($A73-1)/2)+1&gt;MAX(1,INT(((((CROQUIS_DATOS!$C$1489+CROQUIS_DATOS!$C$1490))-(CROQUIS_DATOS!$C$1489))+((CROQUIS_DATOS!$C$1491)*CROQUIS_DATOS!$C$1561-(0)*CROQUIS_DATOS!$C$1561))/CROQUIS_DATOS!$C$1568-0.000001)),1,MOD($A73-1,2)))=1,MIN((CROQUIS_DATOS!$C$1491)*CROQUIS_DATOS!$C$1561,((CROQUIS_DATOS!$C$1489+CROQUIS_DATOS!$C$1490)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3">
        <f>IF(AND(CROQUIS_DATOS!$C$1472=1,CROQUIS_DATOS!$C$1478&gt;=3,((CROQUIS_DATOS!$C$1489+CROQUIS_DATOS!$C$1490))-(CROQUIS_DATOS!$C$1489)&gt;0.5,(CROQUIS_DATOS!$C$1476)-((CROQUIS_DATOS!$C$1491+CROQUIS_DATOS!$C$1492))&gt;0.5),(CROQUIS_DATOS!$C$1566+(IF(IF(MOD(MIN(INT(($A73-1)/2)+1,MAX(1,INT(((((CROQUIS_DATOS!$C$1489+CROQUIS_DATOS!$C$1490))-(CROQUIS_DATOS!$C$1489))+((CROQUIS_DATOS!$C$1476)*CROQUIS_DATOS!$C$1561-((CROQUIS_DATOS!$C$1491+CROQUIS_DATOS!$C$1492))*CROQUIS_DATOS!$C$1561))/CROQUIS_DATOS!$C$1568-0.000001))),2)=1,IF(INT(($A73-1)/2)+1&gt;MAX(1,INT(((((CROQUIS_DATOS!$C$1489+CROQUIS_DATOS!$C$1490))-(CROQUIS_DATOS!$C$1489))+((CROQUIS_DATOS!$C$1476)*CROQUIS_DATOS!$C$1561-((CROQUIS_DATOS!$C$1491+CROQUIS_DATOS!$C$1492))*CROQUIS_DATOS!$C$1561))/CROQUIS_DATOS!$C$1568-0.000001)),1,MOD($A73-1,2)),1-IF(INT(($A73-1)/2)+1&gt;MAX(1,INT(((((CROQUIS_DATOS!$C$1489+CROQUIS_DATOS!$C$1490))-(CROQUIS_DATOS!$C$1489))+((CROQUIS_DATOS!$C$1476)*CROQUIS_DATOS!$C$1561-((CROQUIS_DATOS!$C$1491+CROQUIS_DATOS!$C$1492))*CROQUIS_DATOS!$C$1561))/CROQUIS_DATOS!$C$1568-0.000001)),1,MOD($A73-1,2)))=1,MIN((CROQUIS_DATOS!$C$1476)*CROQUIS_DATOS!$C$1561,((CROQUIS_DATOS!$C$1489+CROQUIS_DATOS!$C$1490)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3">
        <f>IF(AND(CROQUIS_DATOS!$C$1472=1,CROQUIS_DATOS!$C$1478&gt;=3,((CROQUIS_DATOS!$C$1489+CROQUIS_DATOS!$C$1490))-(CROQUIS_DATOS!$C$1489)&gt;0.5,(CROQUIS_DATOS!$C$1476)-((CROQUIS_DATOS!$C$1491+CROQUIS_DATOS!$C$1492))&gt;0.5),(CROQUIS_DATOS!$C$1567+(IF(IF(MOD(MIN(INT(($A73-1)/2)+1,MAX(1,INT(((((CROQUIS_DATOS!$C$1489+CROQUIS_DATOS!$C$1490))-(CROQUIS_DATOS!$C$1489))+((CROQUIS_DATOS!$C$1476)*CROQUIS_DATOS!$C$1561-((CROQUIS_DATOS!$C$1491+CROQUIS_DATOS!$C$1492))*CROQUIS_DATOS!$C$1561))/CROQUIS_DATOS!$C$1568-0.000001))),2)=1,IF(INT(($A73-1)/2)+1&gt;MAX(1,INT(((((CROQUIS_DATOS!$C$1489+CROQUIS_DATOS!$C$1490))-(CROQUIS_DATOS!$C$1489))+((CROQUIS_DATOS!$C$1476)*CROQUIS_DATOS!$C$1561-((CROQUIS_DATOS!$C$1491+CROQUIS_DATOS!$C$1492))*CROQUIS_DATOS!$C$1561))/CROQUIS_DATOS!$C$1568-0.000001)),1,MOD($A73-1,2)),1-IF(INT(($A73-1)/2)+1&gt;MAX(1,INT(((((CROQUIS_DATOS!$C$1489+CROQUIS_DATOS!$C$1490))-(CROQUIS_DATOS!$C$1489))+((CROQUIS_DATOS!$C$1476)*CROQUIS_DATOS!$C$1561-((CROQUIS_DATOS!$C$1491+CROQUIS_DATOS!$C$1492))*CROQUIS_DATOS!$C$1561))/CROQUIS_DATOS!$C$1568-0.000001)),1,MOD($A73-1,2)))=1,MIN((CROQUIS_DATOS!$C$1476)*CROQUIS_DATOS!$C$1561,((CROQUIS_DATOS!$C$1489+CROQUIS_DATOS!$C$1490)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3">
        <f>IF(AND(CROQUIS_DATOS!$C$1472=1,CROQUIS_DATOS!$C$1478&gt;=4,((CROQUIS_DATOS!$C$1494+CROQUIS_DATOS!$C$1495))-(CROQUIS_DATOS!$C$1494)&gt;0.5,(CROQUIS_DATOS!$C$1496)-(0)&gt;0.5),(CROQUIS_DATOS!$C$1566+(IF(IF(MOD(MIN(INT(($A73-1)/2)+1,MAX(1,INT(((((CROQUIS_DATOS!$C$1494+CROQUIS_DATOS!$C$1495))-(CROQUIS_DATOS!$C$1494))+((CROQUIS_DATOS!$C$1496)*CROQUIS_DATOS!$C$1561-(0)*CROQUIS_DATOS!$C$1561))/CROQUIS_DATOS!$C$1568-0.000001))),2)=1,IF(INT(($A73-1)/2)+1&gt;MAX(1,INT(((((CROQUIS_DATOS!$C$1494+CROQUIS_DATOS!$C$1495))-(CROQUIS_DATOS!$C$1494))+((CROQUIS_DATOS!$C$1496)*CROQUIS_DATOS!$C$1561-(0)*CROQUIS_DATOS!$C$1561))/CROQUIS_DATOS!$C$1568-0.000001)),1,MOD($A73-1,2)),1-IF(INT(($A73-1)/2)+1&gt;MAX(1,INT(((((CROQUIS_DATOS!$C$1494+CROQUIS_DATOS!$C$1495))-(CROQUIS_DATOS!$C$1494))+((CROQUIS_DATOS!$C$1496)*CROQUIS_DATOS!$C$1561-(0)*CROQUIS_DATOS!$C$1561))/CROQUIS_DATOS!$C$1568-0.000001)),1,MOD($A73-1,2)))=1,MIN((CROQUIS_DATOS!$C$1496)*CROQUIS_DATOS!$C$1561,((CROQUIS_DATOS!$C$1494+CROQUIS_DATOS!$C$1495)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3">
        <f>IF(AND(CROQUIS_DATOS!$C$1472=1,CROQUIS_DATOS!$C$1478&gt;=4,((CROQUIS_DATOS!$C$1494+CROQUIS_DATOS!$C$1495))-(CROQUIS_DATOS!$C$1494)&gt;0.5,(CROQUIS_DATOS!$C$1496)-(0)&gt;0.5),(CROQUIS_DATOS!$C$1567+(IF(IF(MOD(MIN(INT(($A73-1)/2)+1,MAX(1,INT(((((CROQUIS_DATOS!$C$1494+CROQUIS_DATOS!$C$1495))-(CROQUIS_DATOS!$C$1494))+((CROQUIS_DATOS!$C$1496)*CROQUIS_DATOS!$C$1561-(0)*CROQUIS_DATOS!$C$1561))/CROQUIS_DATOS!$C$1568-0.000001))),2)=1,IF(INT(($A73-1)/2)+1&gt;MAX(1,INT(((((CROQUIS_DATOS!$C$1494+CROQUIS_DATOS!$C$1495))-(CROQUIS_DATOS!$C$1494))+((CROQUIS_DATOS!$C$1496)*CROQUIS_DATOS!$C$1561-(0)*CROQUIS_DATOS!$C$1561))/CROQUIS_DATOS!$C$1568-0.000001)),1,MOD($A73-1,2)),1-IF(INT(($A73-1)/2)+1&gt;MAX(1,INT(((((CROQUIS_DATOS!$C$1494+CROQUIS_DATOS!$C$1495))-(CROQUIS_DATOS!$C$1494))+((CROQUIS_DATOS!$C$1496)*CROQUIS_DATOS!$C$1561-(0)*CROQUIS_DATOS!$C$1561))/CROQUIS_DATOS!$C$1568-0.000001)),1,MOD($A73-1,2)))=1,MIN((CROQUIS_DATOS!$C$1496)*CROQUIS_DATOS!$C$1561,((CROQUIS_DATOS!$C$1494+CROQUIS_DATOS!$C$1495)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3">
        <f>IF(AND(CROQUIS_DATOS!$C$1472=1,CROQUIS_DATOS!$C$1478&gt;=4,((CROQUIS_DATOS!$C$1494+CROQUIS_DATOS!$C$1495))-(CROQUIS_DATOS!$C$1494)&gt;0.5,(CROQUIS_DATOS!$C$1476)-((CROQUIS_DATOS!$C$1496+CROQUIS_DATOS!$C$1497))&gt;0.5),(CROQUIS_DATOS!$C$1566+(IF(IF(MOD(MIN(INT(($A73-1)/2)+1,MAX(1,INT(((((CROQUIS_DATOS!$C$1494+CROQUIS_DATOS!$C$1495))-(CROQUIS_DATOS!$C$1494))+((CROQUIS_DATOS!$C$1476)*CROQUIS_DATOS!$C$1561-((CROQUIS_DATOS!$C$1496+CROQUIS_DATOS!$C$1497))*CROQUIS_DATOS!$C$1561))/CROQUIS_DATOS!$C$1568-0.000001))),2)=1,IF(INT(($A73-1)/2)+1&gt;MAX(1,INT(((((CROQUIS_DATOS!$C$1494+CROQUIS_DATOS!$C$1495))-(CROQUIS_DATOS!$C$1494))+((CROQUIS_DATOS!$C$1476)*CROQUIS_DATOS!$C$1561-((CROQUIS_DATOS!$C$1496+CROQUIS_DATOS!$C$1497))*CROQUIS_DATOS!$C$1561))/CROQUIS_DATOS!$C$1568-0.000001)),1,MOD($A73-1,2)),1-IF(INT(($A73-1)/2)+1&gt;MAX(1,INT(((((CROQUIS_DATOS!$C$1494+CROQUIS_DATOS!$C$1495))-(CROQUIS_DATOS!$C$1494))+((CROQUIS_DATOS!$C$1476)*CROQUIS_DATOS!$C$1561-((CROQUIS_DATOS!$C$1496+CROQUIS_DATOS!$C$1497))*CROQUIS_DATOS!$C$1561))/CROQUIS_DATOS!$C$1568-0.000001)),1,MOD($A73-1,2)))=1,MIN((CROQUIS_DATOS!$C$1476)*CROQUIS_DATOS!$C$1561,((CROQUIS_DATOS!$C$1494+CROQUIS_DATOS!$C$1495)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3">
        <f>IF(AND(CROQUIS_DATOS!$C$1472=1,CROQUIS_DATOS!$C$1478&gt;=4,((CROQUIS_DATOS!$C$1494+CROQUIS_DATOS!$C$1495))-(CROQUIS_DATOS!$C$1494)&gt;0.5,(CROQUIS_DATOS!$C$1476)-((CROQUIS_DATOS!$C$1496+CROQUIS_DATOS!$C$1497))&gt;0.5),(CROQUIS_DATOS!$C$1567+(IF(IF(MOD(MIN(INT(($A73-1)/2)+1,MAX(1,INT(((((CROQUIS_DATOS!$C$1494+CROQUIS_DATOS!$C$1495))-(CROQUIS_DATOS!$C$1494))+((CROQUIS_DATOS!$C$1476)*CROQUIS_DATOS!$C$1561-((CROQUIS_DATOS!$C$1496+CROQUIS_DATOS!$C$1497))*CROQUIS_DATOS!$C$1561))/CROQUIS_DATOS!$C$1568-0.000001))),2)=1,IF(INT(($A73-1)/2)+1&gt;MAX(1,INT(((((CROQUIS_DATOS!$C$1494+CROQUIS_DATOS!$C$1495))-(CROQUIS_DATOS!$C$1494))+((CROQUIS_DATOS!$C$1476)*CROQUIS_DATOS!$C$1561-((CROQUIS_DATOS!$C$1496+CROQUIS_DATOS!$C$1497))*CROQUIS_DATOS!$C$1561))/CROQUIS_DATOS!$C$1568-0.000001)),1,MOD($A73-1,2)),1-IF(INT(($A73-1)/2)+1&gt;MAX(1,INT(((((CROQUIS_DATOS!$C$1494+CROQUIS_DATOS!$C$1495))-(CROQUIS_DATOS!$C$1494))+((CROQUIS_DATOS!$C$1476)*CROQUIS_DATOS!$C$1561-((CROQUIS_DATOS!$C$1496+CROQUIS_DATOS!$C$1497))*CROQUIS_DATOS!$C$1561))/CROQUIS_DATOS!$C$1568-0.000001)),1,MOD($A73-1,2)))=1,MIN((CROQUIS_DATOS!$C$1476)*CROQUIS_DATOS!$C$1561,((CROQUIS_DATOS!$C$1494+CROQUIS_DATOS!$C$1495)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3">
        <f>IF(AND(CROQUIS_DATOS!$C$1472=1,1),(CROQUIS_DATOS!$C$1571+(CHOOSE(MIN(MAX(IF(INT(($A73-1)/5)+1&gt;CROQUIS_DATOS!$C$1525,5,MOD($A73-1,5)+1),1),5),(INDEX($E$8:$E$23,MIN(INT(($A73-1)/5)+1,CROQUIS_DATOS!$C$1525))-INDEX($F$8:$F$23,MIN(INT(($A73-1)/5)+1,CROQUIS_DATOS!$C$1525))/2),(INDEX($E$8:$E$23,MIN(INT(($A73-1)/5)+1,CROQUIS_DATOS!$C$1525))+INDEX($F$8:$F$23,MIN(INT(($A73-1)/5)+1,CROQUIS_DATOS!$C$1525))/2),(INDEX($E$8:$E$23,MIN(INT(($A73-1)/5)+1,CROQUIS_DATOS!$C$1525))+INDEX($F$8:$F$23,MIN(INT(($A73-1)/5)+1,CROQUIS_DATOS!$C$1525))/2),(INDEX($E$8:$E$23,MIN(INT(($A73-1)/5)+1,CROQUIS_DATOS!$C$1525))-INDEX($F$8:$F$23,MIN(INT(($A73-1)/5)+1,CROQUIS_DATOS!$C$1525))/2),(INDEX($E$8:$E$23,MIN(INT(($A73-1)/5)+1,CROQUIS_DATOS!$C$1525))-INDEX($F$8:$F$23,MIN(INT(($A73-1)/5)+1,CROQUIS_DATOS!$C$1525))/2)))*CROQUIS_DATOS!$C$1569),-1000)</f>
        <v>95.24</v>
      </c>
      <c r="GE73">
        <f>IF(AND(CROQUIS_DATOS!$C$1472=1,1),(CROQUIS_DATOS!$C$1572+(CHOOSE(MIN(MAX(IF(INT(($A73-1)/5)+1&gt;CROQUIS_DATOS!$C$1525,5,MOD($A73-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4">
      <c r="A74" t="n">
        <v>67</v>
      </c>
      <c r="N74">
        <f>IF(AND(CROQUIS_DATOS!$C$1472=1,1),(CROQUIS_DATOS!$C$1563+(IF(IF(IF(INT(($A74-1)/70)+1&gt;CROQUIS_DATOS!$C$1525,70,MOD($A74-1,70)+1)=1,0,IF(IF(INT(($A74-1)/70)+1&gt;CROQUIS_DATOS!$C$1525,70,MOD($A74-1,70)+1)&gt;2*CROQUIS_DATOS!$C$1541+1,IF(MOD(CROQUIS_DATOS!$C$1541,2)=1,1,0),IF(MOD(MIN(INT((IF(INT(($A74-1)/70)+1&gt;CROQUIS_DATOS!$C$1525,70,MOD($A74-1,70)+1)-2)/2)+1,CROQUIS_DATOS!$C$1541),2)=1,IF(MOD(IF(INT(($A74-1)/70)+1&gt;CROQUIS_DATOS!$C$1525,70,MOD($A74-1,70)+1)-2,2)=0,0,1),IF(MOD(IF(INT(($A74-1)/70)+1&gt;CROQUIS_DATOS!$C$1525,70,MOD($A74-1,70)+1)-2,2)=0,1,0))))=0,(INDEX($E$8:$E$23,MIN(INT(($A74-1)/70)+1,CROQUIS_DATOS!$C$1525))-INDEX($F$8:$F$23,MIN(INT(($A74-1)/70)+1,CROQUIS_DATOS!$C$1525))/2),(INDEX($E$8:$E$23,MIN(INT(($A74-1)/70)+1,CROQUIS_DATOS!$C$1525))+INDEX($F$8:$F$23,MIN(INT(($A74-1)/70)+1,CROQUIS_DATOS!$C$1525))/2)))*CROQUIS_DATOS!$C$1562),-1000)</f>
        <v>15.0862068965517</v>
      </c>
      <c r="O74">
        <f>IF(AND(CROQUIS_DATOS!$C$1472=1,1),(CROQUIS_DATOS!$C$1564+(IF(OR(IF(INT(($A74-1)/70)+1&gt;CROQUIS_DATOS!$C$1525,70,MOD($A74-1,70)+1)=1,IF(INT(($A74-1)/70)+1&gt;CROQUIS_DATOS!$C$1525,70,MOD($A74-1,70)+1)&gt;2*CROQUIS_DATOS!$C$1541+1),CROQUIS_DATOS!$C$1476,INDEX($H$8:$H$41,MIN(INT((IF(INT(($A74-1)/70)+1&gt;CROQUIS_DATOS!$C$1525,70,MOD($A74-1,70)+1)-2)/2)+1,CROQUIS_DATOS!$C$1541))))*CROQUIS_DATOS!$C$1561*CROQUIS_DATOS!$C$1562),-1000)</f>
        <v>40.2068965517241</v>
      </c>
      <c r="P74">
        <f>IF(AND(CROQUIS_DATOS!$C$1472=1,CROQUIS_DATOS!$C$1555=1),(CROQUIS_DATOS!$C$1563+(IF(IF(OR(MOD($A74-1,62)+1=1,IF(CHOOSE(MIN(MAX(MIN(INT(($A74-1)/62)+1,5),1),5),CROQUIS_DATOS!$C$1501,CROQUIS_DATOS!$C$1505,CROQUIS_DATOS!$C$1509,CROQUIS_DATOS!$C$1513,CROQUIS_DATOS!$C$1517)=1,CROQUIS_DATOS!$C$1557,0)=0),0,IF(MOD($A74-1,62)+1&gt;2*IF(CHOOSE(MIN(MAX(MIN(INT(($A74-1)/62)+1,5),1),5),CROQUIS_DATOS!$C$1501,CROQUIS_DATOS!$C$1505,CROQUIS_DATOS!$C$1509,CROQUIS_DATOS!$C$1513,CROQUIS_DATOS!$C$1517)=1,CROQUIS_DATOS!$C$1557,0)+1,IF(MOD(IF(CHOOSE(MIN(MAX(MIN(INT(($A74-1)/62)+1,5),1),5),CROQUIS_DATOS!$C$1501,CROQUIS_DATOS!$C$1505,CROQUIS_DATOS!$C$1509,CROQUIS_DATOS!$C$1513,CROQUIS_DATOS!$C$1517)=1,CROQUIS_DATOS!$C$1557,0),2)=1,1,0),IF(MOD(MIN(INT((MOD($A74-1,62)+1-2)/2)+1,MAX(IF(CHOOSE(MIN(MAX(MIN(INT(($A74-1)/62)+1,5),1),5),CROQUIS_DATOS!$C$1501,CROQUIS_DATOS!$C$1505,CROQUIS_DATOS!$C$1509,CROQUIS_DATOS!$C$1513,CROQUIS_DATOS!$C$1517)=1,CROQUIS_DATOS!$C$1557,0),1)),2)=1,IF(MOD(MOD($A74-1,62)+1-2,2)=0,0,1),IF(MOD(MOD($A74-1,62)+1-2,2)=0,1,0))))=0,(CHOOSE(MIN(MAX(MIN(INT(($A74-1)/62)+1,5),1),5),CROQUIS_DATOS!$C$1499,CROQUIS_DATOS!$C$1503,CROQUIS_DATOS!$C$1507,CROQUIS_DATOS!$C$1511,CROQUIS_DATOS!$C$1515)+IF(CHOOSE(MIN(MAX(MIN(INT(($A74-1)/62)+1,5),1),5),CROQUIS_DATOS!$C$1501,CROQUIS_DATOS!$C$1505,CROQUIS_DATOS!$C$1509,CROQUIS_DATOS!$C$1513,CROQUIS_DATOS!$C$1517)=1,CROQUIS_DATOS!$C$1526,0)),(CHOOSE(MIN(MAX(MIN(INT(($A74-1)/62)+1,5),1),5),CROQUIS_DATOS!$C$1499,CROQUIS_DATOS!$C$1503,CROQUIS_DATOS!$C$1507,CROQUIS_DATOS!$C$1511,CROQUIS_DATOS!$C$1515)+CHOOSE(MIN(MAX(MIN(INT(($A74-1)/62)+1,5),1),5),CROQUIS_DATOS!$C$1500,CROQUIS_DATOS!$C$1504,CROQUIS_DATOS!$C$1508,CROQUIS_DATOS!$C$1512,CROQUIS_DATOS!$C$1516)-IF(CHOOSE(MIN(MAX(MIN(INT(($A74-1)/62)+1,5),1),5),CROQUIS_DATOS!$C$1501,CROQUIS_DATOS!$C$1505,CROQUIS_DATOS!$C$1509,CROQUIS_DATOS!$C$1513,CROQUIS_DATOS!$C$1517)=1,CROQUIS_DATOS!$C$1526,0))))*CROQUIS_DATOS!$C$1562),-1000)</f>
        <v>-1000</v>
      </c>
      <c r="Q74">
        <f>IF(AND(CROQUIS_DATOS!$C$1472=1,CROQUIS_DATOS!$C$1555=1),(CROQUIS_DATOS!$C$1564+(IF(OR(OR(MOD($A74-1,62)+1=1,IF(CHOOSE(MIN(MAX(MIN(INT(($A74-1)/62)+1,5),1),5),CROQUIS_DATOS!$C$1501,CROQUIS_DATOS!$C$1505,CROQUIS_DATOS!$C$1509,CROQUIS_DATOS!$C$1513,CROQUIS_DATOS!$C$1517)=1,CROQUIS_DATOS!$C$1557,0)=0),MOD($A74-1,62)+1&gt;2*IF(CHOOSE(MIN(MAX(MIN(INT(($A74-1)/62)+1,5),1),5),CROQUIS_DATOS!$C$1501,CROQUIS_DATOS!$C$1505,CROQUIS_DATOS!$C$1509,CROQUIS_DATOS!$C$1513,CROQUIS_DATOS!$C$1517)=1,CROQUIS_DATOS!$C$1557,0)+1),CROQUIS_DATOS!$C$1476,MIN(INT((MOD($A74-1,62)+1-2)/2)+1,MAX(IF(CHOOSE(MIN(MAX(MIN(INT(($A74-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4">
        <f>IF(AND(CROQUIS_DATOS!$C$1472=1,1),(CROQUIS_DATOS!$C$1563+(MIN(INT(($A74-1)/2)+1,CROQUIS_DATOS!$C$1558)*CROQUIS_DATOS!$C$1559)*CROQUIS_DATOS!$C$1562),-1000)</f>
        <v>82.2281167108753</v>
      </c>
      <c r="U74">
        <f>IF(AND(CROQUIS_DATOS!$C$1472=1,1),(CROQUIS_DATOS!$C$1564+(IF(INT(($A74-1)/2)+1&gt;CROQUIS_DATOS!$C$1558,IF(MOD(CROQUIS_DATOS!$C$1558,2)=1,CROQUIS_DATOS!$C$1476+CROQUIS_DATOS!$C$1528,CROQUIS_DATOS!$C$1476),IF(IF(MOD(MIN(INT(($A74-1)/2)+1,CROQUIS_DATOS!$C$1558),2)=1,MOD($A74-1,2),1-MOD($A74-1,2))=1,CROQUIS_DATOS!$C$1476+CROQUIS_DATOS!$C$1528,CROQUIS_DATOS!$C$1476)))*CROQUIS_DATOS!$C$1561*CROQUIS_DATOS!$C$1562),-1000)</f>
        <v>43</v>
      </c>
      <c r="BZ74">
        <f>IF(AND(CROQUIS_DATOS!$C$1472=1,CROQUIS_DATOS!$C$1500&gt;0,((CROQUIS_DATOS!$C$1499+CROQUIS_DATOS!$C$1500))-(CROQUIS_DATOS!$C$1499)&gt;0.5,(CROQUIS_DATOS!$C$1476)-(0)&gt;0.5),(CROQUIS_DATOS!$C$1566+(IF(IF(MOD(MIN(INT(($A74-1)/2)+1,MAX(1,INT(((((CROQUIS_DATOS!$C$1499+CROQUIS_DATOS!$C$1500))-(CROQUIS_DATOS!$C$1499))+((CROQUIS_DATOS!$C$1476)*CROQUIS_DATOS!$C$1561-(0)*CROQUIS_DATOS!$C$1561))/CROQUIS_DATOS!$C$1568-0.000001))),2)=1,IF(INT(($A74-1)/2)+1&gt;MAX(1,INT(((((CROQUIS_DATOS!$C$1499+CROQUIS_DATOS!$C$1500))-(CROQUIS_DATOS!$C$1499))+((CROQUIS_DATOS!$C$1476)*CROQUIS_DATOS!$C$1561-(0)*CROQUIS_DATOS!$C$1561))/CROQUIS_DATOS!$C$1568-0.000001)),1,MOD($A74-1,2)),1-IF(INT(($A74-1)/2)+1&gt;MAX(1,INT(((((CROQUIS_DATOS!$C$1499+CROQUIS_DATOS!$C$1500))-(CROQUIS_DATOS!$C$1499))+((CROQUIS_DATOS!$C$1476)*CROQUIS_DATOS!$C$1561-(0)*CROQUIS_DATOS!$C$1561))/CROQUIS_DATOS!$C$1568-0.000001)),1,MOD($A74-1,2)))=1,MIN((CROQUIS_DATOS!$C$1476)*CROQUIS_DATOS!$C$1561,((CROQUIS_DATOS!$C$1499+CROQUIS_DATOS!$C$1500)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4">
        <f>IF(AND(CROQUIS_DATOS!$C$1472=1,CROQUIS_DATOS!$C$1500&gt;0,((CROQUIS_DATOS!$C$1499+CROQUIS_DATOS!$C$1500))-(CROQUIS_DATOS!$C$1499)&gt;0.5,(CROQUIS_DATOS!$C$1476)-(0)&gt;0.5),(CROQUIS_DATOS!$C$1567+(IF(IF(MOD(MIN(INT(($A74-1)/2)+1,MAX(1,INT(((((CROQUIS_DATOS!$C$1499+CROQUIS_DATOS!$C$1500))-(CROQUIS_DATOS!$C$1499))+((CROQUIS_DATOS!$C$1476)*CROQUIS_DATOS!$C$1561-(0)*CROQUIS_DATOS!$C$1561))/CROQUIS_DATOS!$C$1568-0.000001))),2)=1,IF(INT(($A74-1)/2)+1&gt;MAX(1,INT(((((CROQUIS_DATOS!$C$1499+CROQUIS_DATOS!$C$1500))-(CROQUIS_DATOS!$C$1499))+((CROQUIS_DATOS!$C$1476)*CROQUIS_DATOS!$C$1561-(0)*CROQUIS_DATOS!$C$1561))/CROQUIS_DATOS!$C$1568-0.000001)),1,MOD($A74-1,2)),1-IF(INT(($A74-1)/2)+1&gt;MAX(1,INT(((((CROQUIS_DATOS!$C$1499+CROQUIS_DATOS!$C$1500))-(CROQUIS_DATOS!$C$1499))+((CROQUIS_DATOS!$C$1476)*CROQUIS_DATOS!$C$1561-(0)*CROQUIS_DATOS!$C$1561))/CROQUIS_DATOS!$C$1568-0.000001)),1,MOD($A74-1,2)))=1,MIN((CROQUIS_DATOS!$C$1476)*CROQUIS_DATOS!$C$1561,((CROQUIS_DATOS!$C$1499+CROQUIS_DATOS!$C$1500)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4">
        <f>IF(AND(CROQUIS_DATOS!$C$1472=1,CROQUIS_DATOS!$C$1504&gt;0,((CROQUIS_DATOS!$C$1503+CROQUIS_DATOS!$C$1504))-(CROQUIS_DATOS!$C$1503)&gt;0.5,(CROQUIS_DATOS!$C$1476)-(0)&gt;0.5),(CROQUIS_DATOS!$C$1566+(IF(IF(MOD(MIN(INT(($A74-1)/2)+1,MAX(1,INT(((((CROQUIS_DATOS!$C$1503+CROQUIS_DATOS!$C$1504))-(CROQUIS_DATOS!$C$1503))+((CROQUIS_DATOS!$C$1476)*CROQUIS_DATOS!$C$1561-(0)*CROQUIS_DATOS!$C$1561))/CROQUIS_DATOS!$C$1568-0.000001))),2)=1,IF(INT(($A74-1)/2)+1&gt;MAX(1,INT(((((CROQUIS_DATOS!$C$1503+CROQUIS_DATOS!$C$1504))-(CROQUIS_DATOS!$C$1503))+((CROQUIS_DATOS!$C$1476)*CROQUIS_DATOS!$C$1561-(0)*CROQUIS_DATOS!$C$1561))/CROQUIS_DATOS!$C$1568-0.000001)),1,MOD($A74-1,2)),1-IF(INT(($A74-1)/2)+1&gt;MAX(1,INT(((((CROQUIS_DATOS!$C$1503+CROQUIS_DATOS!$C$1504))-(CROQUIS_DATOS!$C$1503))+((CROQUIS_DATOS!$C$1476)*CROQUIS_DATOS!$C$1561-(0)*CROQUIS_DATOS!$C$1561))/CROQUIS_DATOS!$C$1568-0.000001)),1,MOD($A74-1,2)))=1,MIN((CROQUIS_DATOS!$C$1476)*CROQUIS_DATOS!$C$1561,((CROQUIS_DATOS!$C$1503+CROQUIS_DATOS!$C$1504)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4">
        <f>IF(AND(CROQUIS_DATOS!$C$1472=1,CROQUIS_DATOS!$C$1504&gt;0,((CROQUIS_DATOS!$C$1503+CROQUIS_DATOS!$C$1504))-(CROQUIS_DATOS!$C$1503)&gt;0.5,(CROQUIS_DATOS!$C$1476)-(0)&gt;0.5),(CROQUIS_DATOS!$C$1567+(IF(IF(MOD(MIN(INT(($A74-1)/2)+1,MAX(1,INT(((((CROQUIS_DATOS!$C$1503+CROQUIS_DATOS!$C$1504))-(CROQUIS_DATOS!$C$1503))+((CROQUIS_DATOS!$C$1476)*CROQUIS_DATOS!$C$1561-(0)*CROQUIS_DATOS!$C$1561))/CROQUIS_DATOS!$C$1568-0.000001))),2)=1,IF(INT(($A74-1)/2)+1&gt;MAX(1,INT(((((CROQUIS_DATOS!$C$1503+CROQUIS_DATOS!$C$1504))-(CROQUIS_DATOS!$C$1503))+((CROQUIS_DATOS!$C$1476)*CROQUIS_DATOS!$C$1561-(0)*CROQUIS_DATOS!$C$1561))/CROQUIS_DATOS!$C$1568-0.000001)),1,MOD($A74-1,2)),1-IF(INT(($A74-1)/2)+1&gt;MAX(1,INT(((((CROQUIS_DATOS!$C$1503+CROQUIS_DATOS!$C$1504))-(CROQUIS_DATOS!$C$1503))+((CROQUIS_DATOS!$C$1476)*CROQUIS_DATOS!$C$1561-(0)*CROQUIS_DATOS!$C$1561))/CROQUIS_DATOS!$C$1568-0.000001)),1,MOD($A74-1,2)))=1,MIN((CROQUIS_DATOS!$C$1476)*CROQUIS_DATOS!$C$1561,((CROQUIS_DATOS!$C$1503+CROQUIS_DATOS!$C$1504)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4">
        <f>IF(AND(CROQUIS_DATOS!$C$1472=1,CROQUIS_DATOS!$C$1508&gt;0,((CROQUIS_DATOS!$C$1507+CROQUIS_DATOS!$C$1508))-(CROQUIS_DATOS!$C$1507)&gt;0.5,(CROQUIS_DATOS!$C$1476)-(0)&gt;0.5),(CROQUIS_DATOS!$C$1566+(IF(IF(MOD(MIN(INT(($A74-1)/2)+1,MAX(1,INT(((((CROQUIS_DATOS!$C$1507+CROQUIS_DATOS!$C$1508))-(CROQUIS_DATOS!$C$1507))+((CROQUIS_DATOS!$C$1476)*CROQUIS_DATOS!$C$1561-(0)*CROQUIS_DATOS!$C$1561))/CROQUIS_DATOS!$C$1568-0.000001))),2)=1,IF(INT(($A74-1)/2)+1&gt;MAX(1,INT(((((CROQUIS_DATOS!$C$1507+CROQUIS_DATOS!$C$1508))-(CROQUIS_DATOS!$C$1507))+((CROQUIS_DATOS!$C$1476)*CROQUIS_DATOS!$C$1561-(0)*CROQUIS_DATOS!$C$1561))/CROQUIS_DATOS!$C$1568-0.000001)),1,MOD($A74-1,2)),1-IF(INT(($A74-1)/2)+1&gt;MAX(1,INT(((((CROQUIS_DATOS!$C$1507+CROQUIS_DATOS!$C$1508))-(CROQUIS_DATOS!$C$1507))+((CROQUIS_DATOS!$C$1476)*CROQUIS_DATOS!$C$1561-(0)*CROQUIS_DATOS!$C$1561))/CROQUIS_DATOS!$C$1568-0.000001)),1,MOD($A74-1,2)))=1,MIN((CROQUIS_DATOS!$C$1476)*CROQUIS_DATOS!$C$1561,((CROQUIS_DATOS!$C$1507+CROQUIS_DATOS!$C$1508)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4">
        <f>IF(AND(CROQUIS_DATOS!$C$1472=1,CROQUIS_DATOS!$C$1508&gt;0,((CROQUIS_DATOS!$C$1507+CROQUIS_DATOS!$C$1508))-(CROQUIS_DATOS!$C$1507)&gt;0.5,(CROQUIS_DATOS!$C$1476)-(0)&gt;0.5),(CROQUIS_DATOS!$C$1567+(IF(IF(MOD(MIN(INT(($A74-1)/2)+1,MAX(1,INT(((((CROQUIS_DATOS!$C$1507+CROQUIS_DATOS!$C$1508))-(CROQUIS_DATOS!$C$1507))+((CROQUIS_DATOS!$C$1476)*CROQUIS_DATOS!$C$1561-(0)*CROQUIS_DATOS!$C$1561))/CROQUIS_DATOS!$C$1568-0.000001))),2)=1,IF(INT(($A74-1)/2)+1&gt;MAX(1,INT(((((CROQUIS_DATOS!$C$1507+CROQUIS_DATOS!$C$1508))-(CROQUIS_DATOS!$C$1507))+((CROQUIS_DATOS!$C$1476)*CROQUIS_DATOS!$C$1561-(0)*CROQUIS_DATOS!$C$1561))/CROQUIS_DATOS!$C$1568-0.000001)),1,MOD($A74-1,2)),1-IF(INT(($A74-1)/2)+1&gt;MAX(1,INT(((((CROQUIS_DATOS!$C$1507+CROQUIS_DATOS!$C$1508))-(CROQUIS_DATOS!$C$1507))+((CROQUIS_DATOS!$C$1476)*CROQUIS_DATOS!$C$1561-(0)*CROQUIS_DATOS!$C$1561))/CROQUIS_DATOS!$C$1568-0.000001)),1,MOD($A74-1,2)))=1,MIN((CROQUIS_DATOS!$C$1476)*CROQUIS_DATOS!$C$1561,((CROQUIS_DATOS!$C$1507+CROQUIS_DATOS!$C$1508)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4">
        <f>IF(AND(CROQUIS_DATOS!$C$1472=1,CROQUIS_DATOS!$C$1512&gt;0,((CROQUIS_DATOS!$C$1511+CROQUIS_DATOS!$C$1512))-(CROQUIS_DATOS!$C$1511)&gt;0.5,(CROQUIS_DATOS!$C$1476)-(0)&gt;0.5),(CROQUIS_DATOS!$C$1566+(IF(IF(MOD(MIN(INT(($A74-1)/2)+1,MAX(1,INT(((((CROQUIS_DATOS!$C$1511+CROQUIS_DATOS!$C$1512))-(CROQUIS_DATOS!$C$1511))+((CROQUIS_DATOS!$C$1476)*CROQUIS_DATOS!$C$1561-(0)*CROQUIS_DATOS!$C$1561))/CROQUIS_DATOS!$C$1568-0.000001))),2)=1,IF(INT(($A74-1)/2)+1&gt;MAX(1,INT(((((CROQUIS_DATOS!$C$1511+CROQUIS_DATOS!$C$1512))-(CROQUIS_DATOS!$C$1511))+((CROQUIS_DATOS!$C$1476)*CROQUIS_DATOS!$C$1561-(0)*CROQUIS_DATOS!$C$1561))/CROQUIS_DATOS!$C$1568-0.000001)),1,MOD($A74-1,2)),1-IF(INT(($A74-1)/2)+1&gt;MAX(1,INT(((((CROQUIS_DATOS!$C$1511+CROQUIS_DATOS!$C$1512))-(CROQUIS_DATOS!$C$1511))+((CROQUIS_DATOS!$C$1476)*CROQUIS_DATOS!$C$1561-(0)*CROQUIS_DATOS!$C$1561))/CROQUIS_DATOS!$C$1568-0.000001)),1,MOD($A74-1,2)))=1,MIN((CROQUIS_DATOS!$C$1476)*CROQUIS_DATOS!$C$1561,((CROQUIS_DATOS!$C$1511+CROQUIS_DATOS!$C$1512)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4">
        <f>IF(AND(CROQUIS_DATOS!$C$1472=1,CROQUIS_DATOS!$C$1512&gt;0,((CROQUIS_DATOS!$C$1511+CROQUIS_DATOS!$C$1512))-(CROQUIS_DATOS!$C$1511)&gt;0.5,(CROQUIS_DATOS!$C$1476)-(0)&gt;0.5),(CROQUIS_DATOS!$C$1567+(IF(IF(MOD(MIN(INT(($A74-1)/2)+1,MAX(1,INT(((((CROQUIS_DATOS!$C$1511+CROQUIS_DATOS!$C$1512))-(CROQUIS_DATOS!$C$1511))+((CROQUIS_DATOS!$C$1476)*CROQUIS_DATOS!$C$1561-(0)*CROQUIS_DATOS!$C$1561))/CROQUIS_DATOS!$C$1568-0.000001))),2)=1,IF(INT(($A74-1)/2)+1&gt;MAX(1,INT(((((CROQUIS_DATOS!$C$1511+CROQUIS_DATOS!$C$1512))-(CROQUIS_DATOS!$C$1511))+((CROQUIS_DATOS!$C$1476)*CROQUIS_DATOS!$C$1561-(0)*CROQUIS_DATOS!$C$1561))/CROQUIS_DATOS!$C$1568-0.000001)),1,MOD($A74-1,2)),1-IF(INT(($A74-1)/2)+1&gt;MAX(1,INT(((((CROQUIS_DATOS!$C$1511+CROQUIS_DATOS!$C$1512))-(CROQUIS_DATOS!$C$1511))+((CROQUIS_DATOS!$C$1476)*CROQUIS_DATOS!$C$1561-(0)*CROQUIS_DATOS!$C$1561))/CROQUIS_DATOS!$C$1568-0.000001)),1,MOD($A74-1,2)))=1,MIN((CROQUIS_DATOS!$C$1476)*CROQUIS_DATOS!$C$1561,((CROQUIS_DATOS!$C$1511+CROQUIS_DATOS!$C$1512)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4">
        <f>IF(AND(CROQUIS_DATOS!$C$1472=1,CROQUIS_DATOS!$C$1516&gt;0,((CROQUIS_DATOS!$C$1515+CROQUIS_DATOS!$C$1516))-(CROQUIS_DATOS!$C$1515)&gt;0.5,(CROQUIS_DATOS!$C$1476)-(0)&gt;0.5),(CROQUIS_DATOS!$C$1566+(IF(IF(MOD(MIN(INT(($A74-1)/2)+1,MAX(1,INT(((((CROQUIS_DATOS!$C$1515+CROQUIS_DATOS!$C$1516))-(CROQUIS_DATOS!$C$1515))+((CROQUIS_DATOS!$C$1476)*CROQUIS_DATOS!$C$1561-(0)*CROQUIS_DATOS!$C$1561))/CROQUIS_DATOS!$C$1568-0.000001))),2)=1,IF(INT(($A74-1)/2)+1&gt;MAX(1,INT(((((CROQUIS_DATOS!$C$1515+CROQUIS_DATOS!$C$1516))-(CROQUIS_DATOS!$C$1515))+((CROQUIS_DATOS!$C$1476)*CROQUIS_DATOS!$C$1561-(0)*CROQUIS_DATOS!$C$1561))/CROQUIS_DATOS!$C$1568-0.000001)),1,MOD($A74-1,2)),1-IF(INT(($A74-1)/2)+1&gt;MAX(1,INT(((((CROQUIS_DATOS!$C$1515+CROQUIS_DATOS!$C$1516))-(CROQUIS_DATOS!$C$1515))+((CROQUIS_DATOS!$C$1476)*CROQUIS_DATOS!$C$1561-(0)*CROQUIS_DATOS!$C$1561))/CROQUIS_DATOS!$C$1568-0.000001)),1,MOD($A74-1,2)))=1,MIN((CROQUIS_DATOS!$C$1476)*CROQUIS_DATOS!$C$1561,((CROQUIS_DATOS!$C$1515+CROQUIS_DATOS!$C$1516)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4">
        <f>IF(AND(CROQUIS_DATOS!$C$1472=1,CROQUIS_DATOS!$C$1516&gt;0,((CROQUIS_DATOS!$C$1515+CROQUIS_DATOS!$C$1516))-(CROQUIS_DATOS!$C$1515)&gt;0.5,(CROQUIS_DATOS!$C$1476)-(0)&gt;0.5),(CROQUIS_DATOS!$C$1567+(IF(IF(MOD(MIN(INT(($A74-1)/2)+1,MAX(1,INT(((((CROQUIS_DATOS!$C$1515+CROQUIS_DATOS!$C$1516))-(CROQUIS_DATOS!$C$1515))+((CROQUIS_DATOS!$C$1476)*CROQUIS_DATOS!$C$1561-(0)*CROQUIS_DATOS!$C$1561))/CROQUIS_DATOS!$C$1568-0.000001))),2)=1,IF(INT(($A74-1)/2)+1&gt;MAX(1,INT(((((CROQUIS_DATOS!$C$1515+CROQUIS_DATOS!$C$1516))-(CROQUIS_DATOS!$C$1515))+((CROQUIS_DATOS!$C$1476)*CROQUIS_DATOS!$C$1561-(0)*CROQUIS_DATOS!$C$1561))/CROQUIS_DATOS!$C$1568-0.000001)),1,MOD($A74-1,2)),1-IF(INT(($A74-1)/2)+1&gt;MAX(1,INT(((((CROQUIS_DATOS!$C$1515+CROQUIS_DATOS!$C$1516))-(CROQUIS_DATOS!$C$1515))+((CROQUIS_DATOS!$C$1476)*CROQUIS_DATOS!$C$1561-(0)*CROQUIS_DATOS!$C$1561))/CROQUIS_DATOS!$C$1568-0.000001)),1,MOD($A74-1,2)))=1,MIN((CROQUIS_DATOS!$C$1476)*CROQUIS_DATOS!$C$1561,((CROQUIS_DATOS!$C$1515+CROQUIS_DATOS!$C$1516)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4">
        <f>IF(AND(CROQUIS_DATOS!$C$1472=1,CROQUIS_DATOS!$C$1478&gt;=1,((CROQUIS_DATOS!$C$1479+CROQUIS_DATOS!$C$1480))-(CROQUIS_DATOS!$C$1479)&gt;0.5,(CROQUIS_DATOS!$C$1481)-(0)&gt;0.5),(CROQUIS_DATOS!$C$1566+(IF(IF(MOD(MIN(INT(($A74-1)/2)+1,MAX(1,INT(((((CROQUIS_DATOS!$C$1479+CROQUIS_DATOS!$C$1480))-(CROQUIS_DATOS!$C$1479))+((CROQUIS_DATOS!$C$1481)*CROQUIS_DATOS!$C$1561-(0)*CROQUIS_DATOS!$C$1561))/CROQUIS_DATOS!$C$1568-0.000001))),2)=1,IF(INT(($A74-1)/2)+1&gt;MAX(1,INT(((((CROQUIS_DATOS!$C$1479+CROQUIS_DATOS!$C$1480))-(CROQUIS_DATOS!$C$1479))+((CROQUIS_DATOS!$C$1481)*CROQUIS_DATOS!$C$1561-(0)*CROQUIS_DATOS!$C$1561))/CROQUIS_DATOS!$C$1568-0.000001)),1,MOD($A74-1,2)),1-IF(INT(($A74-1)/2)+1&gt;MAX(1,INT(((((CROQUIS_DATOS!$C$1479+CROQUIS_DATOS!$C$1480))-(CROQUIS_DATOS!$C$1479))+((CROQUIS_DATOS!$C$1481)*CROQUIS_DATOS!$C$1561-(0)*CROQUIS_DATOS!$C$1561))/CROQUIS_DATOS!$C$1568-0.000001)),1,MOD($A74-1,2)))=1,MIN((CROQUIS_DATOS!$C$1481)*CROQUIS_DATOS!$C$1561,((CROQUIS_DATOS!$C$1479+CROQUIS_DATOS!$C$1480)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4">
        <f>IF(AND(CROQUIS_DATOS!$C$1472=1,CROQUIS_DATOS!$C$1478&gt;=1,((CROQUIS_DATOS!$C$1479+CROQUIS_DATOS!$C$1480))-(CROQUIS_DATOS!$C$1479)&gt;0.5,(CROQUIS_DATOS!$C$1481)-(0)&gt;0.5),(CROQUIS_DATOS!$C$1567+(IF(IF(MOD(MIN(INT(($A74-1)/2)+1,MAX(1,INT(((((CROQUIS_DATOS!$C$1479+CROQUIS_DATOS!$C$1480))-(CROQUIS_DATOS!$C$1479))+((CROQUIS_DATOS!$C$1481)*CROQUIS_DATOS!$C$1561-(0)*CROQUIS_DATOS!$C$1561))/CROQUIS_DATOS!$C$1568-0.000001))),2)=1,IF(INT(($A74-1)/2)+1&gt;MAX(1,INT(((((CROQUIS_DATOS!$C$1479+CROQUIS_DATOS!$C$1480))-(CROQUIS_DATOS!$C$1479))+((CROQUIS_DATOS!$C$1481)*CROQUIS_DATOS!$C$1561-(0)*CROQUIS_DATOS!$C$1561))/CROQUIS_DATOS!$C$1568-0.000001)),1,MOD($A74-1,2)),1-IF(INT(($A74-1)/2)+1&gt;MAX(1,INT(((((CROQUIS_DATOS!$C$1479+CROQUIS_DATOS!$C$1480))-(CROQUIS_DATOS!$C$1479))+((CROQUIS_DATOS!$C$1481)*CROQUIS_DATOS!$C$1561-(0)*CROQUIS_DATOS!$C$1561))/CROQUIS_DATOS!$C$1568-0.000001)),1,MOD($A74-1,2)))=1,MIN((CROQUIS_DATOS!$C$1481)*CROQUIS_DATOS!$C$1561,((CROQUIS_DATOS!$C$1479+CROQUIS_DATOS!$C$1480)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4">
        <f>IF(AND(CROQUIS_DATOS!$C$1472=1,CROQUIS_DATOS!$C$1478&gt;=1,((CROQUIS_DATOS!$C$1479+CROQUIS_DATOS!$C$1480))-(CROQUIS_DATOS!$C$1479)&gt;0.5,(CROQUIS_DATOS!$C$1476)-((CROQUIS_DATOS!$C$1481+CROQUIS_DATOS!$C$1482))&gt;0.5),(CROQUIS_DATOS!$C$1566+(IF(IF(MOD(MIN(INT(($A74-1)/2)+1,MAX(1,INT(((((CROQUIS_DATOS!$C$1479+CROQUIS_DATOS!$C$1480))-(CROQUIS_DATOS!$C$1479))+((CROQUIS_DATOS!$C$1476)*CROQUIS_DATOS!$C$1561-((CROQUIS_DATOS!$C$1481+CROQUIS_DATOS!$C$1482))*CROQUIS_DATOS!$C$1561))/CROQUIS_DATOS!$C$1568-0.000001))),2)=1,IF(INT(($A74-1)/2)+1&gt;MAX(1,INT(((((CROQUIS_DATOS!$C$1479+CROQUIS_DATOS!$C$1480))-(CROQUIS_DATOS!$C$1479))+((CROQUIS_DATOS!$C$1476)*CROQUIS_DATOS!$C$1561-((CROQUIS_DATOS!$C$1481+CROQUIS_DATOS!$C$1482))*CROQUIS_DATOS!$C$1561))/CROQUIS_DATOS!$C$1568-0.000001)),1,MOD($A74-1,2)),1-IF(INT(($A74-1)/2)+1&gt;MAX(1,INT(((((CROQUIS_DATOS!$C$1479+CROQUIS_DATOS!$C$1480))-(CROQUIS_DATOS!$C$1479))+((CROQUIS_DATOS!$C$1476)*CROQUIS_DATOS!$C$1561-((CROQUIS_DATOS!$C$1481+CROQUIS_DATOS!$C$1482))*CROQUIS_DATOS!$C$1561))/CROQUIS_DATOS!$C$1568-0.000001)),1,MOD($A74-1,2)))=1,MIN((CROQUIS_DATOS!$C$1476)*CROQUIS_DATOS!$C$1561,((CROQUIS_DATOS!$C$1479+CROQUIS_DATOS!$C$1480)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4">
        <f>IF(AND(CROQUIS_DATOS!$C$1472=1,CROQUIS_DATOS!$C$1478&gt;=1,((CROQUIS_DATOS!$C$1479+CROQUIS_DATOS!$C$1480))-(CROQUIS_DATOS!$C$1479)&gt;0.5,(CROQUIS_DATOS!$C$1476)-((CROQUIS_DATOS!$C$1481+CROQUIS_DATOS!$C$1482))&gt;0.5),(CROQUIS_DATOS!$C$1567+(IF(IF(MOD(MIN(INT(($A74-1)/2)+1,MAX(1,INT(((((CROQUIS_DATOS!$C$1479+CROQUIS_DATOS!$C$1480))-(CROQUIS_DATOS!$C$1479))+((CROQUIS_DATOS!$C$1476)*CROQUIS_DATOS!$C$1561-((CROQUIS_DATOS!$C$1481+CROQUIS_DATOS!$C$1482))*CROQUIS_DATOS!$C$1561))/CROQUIS_DATOS!$C$1568-0.000001))),2)=1,IF(INT(($A74-1)/2)+1&gt;MAX(1,INT(((((CROQUIS_DATOS!$C$1479+CROQUIS_DATOS!$C$1480))-(CROQUIS_DATOS!$C$1479))+((CROQUIS_DATOS!$C$1476)*CROQUIS_DATOS!$C$1561-((CROQUIS_DATOS!$C$1481+CROQUIS_DATOS!$C$1482))*CROQUIS_DATOS!$C$1561))/CROQUIS_DATOS!$C$1568-0.000001)),1,MOD($A74-1,2)),1-IF(INT(($A74-1)/2)+1&gt;MAX(1,INT(((((CROQUIS_DATOS!$C$1479+CROQUIS_DATOS!$C$1480))-(CROQUIS_DATOS!$C$1479))+((CROQUIS_DATOS!$C$1476)*CROQUIS_DATOS!$C$1561-((CROQUIS_DATOS!$C$1481+CROQUIS_DATOS!$C$1482))*CROQUIS_DATOS!$C$1561))/CROQUIS_DATOS!$C$1568-0.000001)),1,MOD($A74-1,2)))=1,MIN((CROQUIS_DATOS!$C$1476)*CROQUIS_DATOS!$C$1561,((CROQUIS_DATOS!$C$1479+CROQUIS_DATOS!$C$1480)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4">
        <f>IF(AND(CROQUIS_DATOS!$C$1472=1,CROQUIS_DATOS!$C$1478&gt;=2,((CROQUIS_DATOS!$C$1484+CROQUIS_DATOS!$C$1485))-(CROQUIS_DATOS!$C$1484)&gt;0.5,(CROQUIS_DATOS!$C$1486)-(0)&gt;0.5),(CROQUIS_DATOS!$C$1566+(IF(IF(MOD(MIN(INT(($A74-1)/2)+1,MAX(1,INT(((((CROQUIS_DATOS!$C$1484+CROQUIS_DATOS!$C$1485))-(CROQUIS_DATOS!$C$1484))+((CROQUIS_DATOS!$C$1486)*CROQUIS_DATOS!$C$1561-(0)*CROQUIS_DATOS!$C$1561))/CROQUIS_DATOS!$C$1568-0.000001))),2)=1,IF(INT(($A74-1)/2)+1&gt;MAX(1,INT(((((CROQUIS_DATOS!$C$1484+CROQUIS_DATOS!$C$1485))-(CROQUIS_DATOS!$C$1484))+((CROQUIS_DATOS!$C$1486)*CROQUIS_DATOS!$C$1561-(0)*CROQUIS_DATOS!$C$1561))/CROQUIS_DATOS!$C$1568-0.000001)),1,MOD($A74-1,2)),1-IF(INT(($A74-1)/2)+1&gt;MAX(1,INT(((((CROQUIS_DATOS!$C$1484+CROQUIS_DATOS!$C$1485))-(CROQUIS_DATOS!$C$1484))+((CROQUIS_DATOS!$C$1486)*CROQUIS_DATOS!$C$1561-(0)*CROQUIS_DATOS!$C$1561))/CROQUIS_DATOS!$C$1568-0.000001)),1,MOD($A74-1,2)))=1,MIN((CROQUIS_DATOS!$C$1486)*CROQUIS_DATOS!$C$1561,((CROQUIS_DATOS!$C$1484+CROQUIS_DATOS!$C$1485)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4">
        <f>IF(AND(CROQUIS_DATOS!$C$1472=1,CROQUIS_DATOS!$C$1478&gt;=2,((CROQUIS_DATOS!$C$1484+CROQUIS_DATOS!$C$1485))-(CROQUIS_DATOS!$C$1484)&gt;0.5,(CROQUIS_DATOS!$C$1486)-(0)&gt;0.5),(CROQUIS_DATOS!$C$1567+(IF(IF(MOD(MIN(INT(($A74-1)/2)+1,MAX(1,INT(((((CROQUIS_DATOS!$C$1484+CROQUIS_DATOS!$C$1485))-(CROQUIS_DATOS!$C$1484))+((CROQUIS_DATOS!$C$1486)*CROQUIS_DATOS!$C$1561-(0)*CROQUIS_DATOS!$C$1561))/CROQUIS_DATOS!$C$1568-0.000001))),2)=1,IF(INT(($A74-1)/2)+1&gt;MAX(1,INT(((((CROQUIS_DATOS!$C$1484+CROQUIS_DATOS!$C$1485))-(CROQUIS_DATOS!$C$1484))+((CROQUIS_DATOS!$C$1486)*CROQUIS_DATOS!$C$1561-(0)*CROQUIS_DATOS!$C$1561))/CROQUIS_DATOS!$C$1568-0.000001)),1,MOD($A74-1,2)),1-IF(INT(($A74-1)/2)+1&gt;MAX(1,INT(((((CROQUIS_DATOS!$C$1484+CROQUIS_DATOS!$C$1485))-(CROQUIS_DATOS!$C$1484))+((CROQUIS_DATOS!$C$1486)*CROQUIS_DATOS!$C$1561-(0)*CROQUIS_DATOS!$C$1561))/CROQUIS_DATOS!$C$1568-0.000001)),1,MOD($A74-1,2)))=1,MIN((CROQUIS_DATOS!$C$1486)*CROQUIS_DATOS!$C$1561,((CROQUIS_DATOS!$C$1484+CROQUIS_DATOS!$C$1485)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4">
        <f>IF(AND(CROQUIS_DATOS!$C$1472=1,CROQUIS_DATOS!$C$1478&gt;=2,((CROQUIS_DATOS!$C$1484+CROQUIS_DATOS!$C$1485))-(CROQUIS_DATOS!$C$1484)&gt;0.5,(CROQUIS_DATOS!$C$1476)-((CROQUIS_DATOS!$C$1486+CROQUIS_DATOS!$C$1487))&gt;0.5),(CROQUIS_DATOS!$C$1566+(IF(IF(MOD(MIN(INT(($A74-1)/2)+1,MAX(1,INT(((((CROQUIS_DATOS!$C$1484+CROQUIS_DATOS!$C$1485))-(CROQUIS_DATOS!$C$1484))+((CROQUIS_DATOS!$C$1476)*CROQUIS_DATOS!$C$1561-((CROQUIS_DATOS!$C$1486+CROQUIS_DATOS!$C$1487))*CROQUIS_DATOS!$C$1561))/CROQUIS_DATOS!$C$1568-0.000001))),2)=1,IF(INT(($A74-1)/2)+1&gt;MAX(1,INT(((((CROQUIS_DATOS!$C$1484+CROQUIS_DATOS!$C$1485))-(CROQUIS_DATOS!$C$1484))+((CROQUIS_DATOS!$C$1476)*CROQUIS_DATOS!$C$1561-((CROQUIS_DATOS!$C$1486+CROQUIS_DATOS!$C$1487))*CROQUIS_DATOS!$C$1561))/CROQUIS_DATOS!$C$1568-0.000001)),1,MOD($A74-1,2)),1-IF(INT(($A74-1)/2)+1&gt;MAX(1,INT(((((CROQUIS_DATOS!$C$1484+CROQUIS_DATOS!$C$1485))-(CROQUIS_DATOS!$C$1484))+((CROQUIS_DATOS!$C$1476)*CROQUIS_DATOS!$C$1561-((CROQUIS_DATOS!$C$1486+CROQUIS_DATOS!$C$1487))*CROQUIS_DATOS!$C$1561))/CROQUIS_DATOS!$C$1568-0.000001)),1,MOD($A74-1,2)))=1,MIN((CROQUIS_DATOS!$C$1476)*CROQUIS_DATOS!$C$1561,((CROQUIS_DATOS!$C$1484+CROQUIS_DATOS!$C$1485)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4">
        <f>IF(AND(CROQUIS_DATOS!$C$1472=1,CROQUIS_DATOS!$C$1478&gt;=2,((CROQUIS_DATOS!$C$1484+CROQUIS_DATOS!$C$1485))-(CROQUIS_DATOS!$C$1484)&gt;0.5,(CROQUIS_DATOS!$C$1476)-((CROQUIS_DATOS!$C$1486+CROQUIS_DATOS!$C$1487))&gt;0.5),(CROQUIS_DATOS!$C$1567+(IF(IF(MOD(MIN(INT(($A74-1)/2)+1,MAX(1,INT(((((CROQUIS_DATOS!$C$1484+CROQUIS_DATOS!$C$1485))-(CROQUIS_DATOS!$C$1484))+((CROQUIS_DATOS!$C$1476)*CROQUIS_DATOS!$C$1561-((CROQUIS_DATOS!$C$1486+CROQUIS_DATOS!$C$1487))*CROQUIS_DATOS!$C$1561))/CROQUIS_DATOS!$C$1568-0.000001))),2)=1,IF(INT(($A74-1)/2)+1&gt;MAX(1,INT(((((CROQUIS_DATOS!$C$1484+CROQUIS_DATOS!$C$1485))-(CROQUIS_DATOS!$C$1484))+((CROQUIS_DATOS!$C$1476)*CROQUIS_DATOS!$C$1561-((CROQUIS_DATOS!$C$1486+CROQUIS_DATOS!$C$1487))*CROQUIS_DATOS!$C$1561))/CROQUIS_DATOS!$C$1568-0.000001)),1,MOD($A74-1,2)),1-IF(INT(($A74-1)/2)+1&gt;MAX(1,INT(((((CROQUIS_DATOS!$C$1484+CROQUIS_DATOS!$C$1485))-(CROQUIS_DATOS!$C$1484))+((CROQUIS_DATOS!$C$1476)*CROQUIS_DATOS!$C$1561-((CROQUIS_DATOS!$C$1486+CROQUIS_DATOS!$C$1487))*CROQUIS_DATOS!$C$1561))/CROQUIS_DATOS!$C$1568-0.000001)),1,MOD($A74-1,2)))=1,MIN((CROQUIS_DATOS!$C$1476)*CROQUIS_DATOS!$C$1561,((CROQUIS_DATOS!$C$1484+CROQUIS_DATOS!$C$1485)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4">
        <f>IF(AND(CROQUIS_DATOS!$C$1472=1,CROQUIS_DATOS!$C$1478&gt;=3,((CROQUIS_DATOS!$C$1489+CROQUIS_DATOS!$C$1490))-(CROQUIS_DATOS!$C$1489)&gt;0.5,(CROQUIS_DATOS!$C$1491)-(0)&gt;0.5),(CROQUIS_DATOS!$C$1566+(IF(IF(MOD(MIN(INT(($A74-1)/2)+1,MAX(1,INT(((((CROQUIS_DATOS!$C$1489+CROQUIS_DATOS!$C$1490))-(CROQUIS_DATOS!$C$1489))+((CROQUIS_DATOS!$C$1491)*CROQUIS_DATOS!$C$1561-(0)*CROQUIS_DATOS!$C$1561))/CROQUIS_DATOS!$C$1568-0.000001))),2)=1,IF(INT(($A74-1)/2)+1&gt;MAX(1,INT(((((CROQUIS_DATOS!$C$1489+CROQUIS_DATOS!$C$1490))-(CROQUIS_DATOS!$C$1489))+((CROQUIS_DATOS!$C$1491)*CROQUIS_DATOS!$C$1561-(0)*CROQUIS_DATOS!$C$1561))/CROQUIS_DATOS!$C$1568-0.000001)),1,MOD($A74-1,2)),1-IF(INT(($A74-1)/2)+1&gt;MAX(1,INT(((((CROQUIS_DATOS!$C$1489+CROQUIS_DATOS!$C$1490))-(CROQUIS_DATOS!$C$1489))+((CROQUIS_DATOS!$C$1491)*CROQUIS_DATOS!$C$1561-(0)*CROQUIS_DATOS!$C$1561))/CROQUIS_DATOS!$C$1568-0.000001)),1,MOD($A74-1,2)))=1,MIN((CROQUIS_DATOS!$C$1491)*CROQUIS_DATOS!$C$1561,((CROQUIS_DATOS!$C$1489+CROQUIS_DATOS!$C$1490)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4">
        <f>IF(AND(CROQUIS_DATOS!$C$1472=1,CROQUIS_DATOS!$C$1478&gt;=3,((CROQUIS_DATOS!$C$1489+CROQUIS_DATOS!$C$1490))-(CROQUIS_DATOS!$C$1489)&gt;0.5,(CROQUIS_DATOS!$C$1491)-(0)&gt;0.5),(CROQUIS_DATOS!$C$1567+(IF(IF(MOD(MIN(INT(($A74-1)/2)+1,MAX(1,INT(((((CROQUIS_DATOS!$C$1489+CROQUIS_DATOS!$C$1490))-(CROQUIS_DATOS!$C$1489))+((CROQUIS_DATOS!$C$1491)*CROQUIS_DATOS!$C$1561-(0)*CROQUIS_DATOS!$C$1561))/CROQUIS_DATOS!$C$1568-0.000001))),2)=1,IF(INT(($A74-1)/2)+1&gt;MAX(1,INT(((((CROQUIS_DATOS!$C$1489+CROQUIS_DATOS!$C$1490))-(CROQUIS_DATOS!$C$1489))+((CROQUIS_DATOS!$C$1491)*CROQUIS_DATOS!$C$1561-(0)*CROQUIS_DATOS!$C$1561))/CROQUIS_DATOS!$C$1568-0.000001)),1,MOD($A74-1,2)),1-IF(INT(($A74-1)/2)+1&gt;MAX(1,INT(((((CROQUIS_DATOS!$C$1489+CROQUIS_DATOS!$C$1490))-(CROQUIS_DATOS!$C$1489))+((CROQUIS_DATOS!$C$1491)*CROQUIS_DATOS!$C$1561-(0)*CROQUIS_DATOS!$C$1561))/CROQUIS_DATOS!$C$1568-0.000001)),1,MOD($A74-1,2)))=1,MIN((CROQUIS_DATOS!$C$1491)*CROQUIS_DATOS!$C$1561,((CROQUIS_DATOS!$C$1489+CROQUIS_DATOS!$C$1490)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4">
        <f>IF(AND(CROQUIS_DATOS!$C$1472=1,CROQUIS_DATOS!$C$1478&gt;=3,((CROQUIS_DATOS!$C$1489+CROQUIS_DATOS!$C$1490))-(CROQUIS_DATOS!$C$1489)&gt;0.5,(CROQUIS_DATOS!$C$1476)-((CROQUIS_DATOS!$C$1491+CROQUIS_DATOS!$C$1492))&gt;0.5),(CROQUIS_DATOS!$C$1566+(IF(IF(MOD(MIN(INT(($A74-1)/2)+1,MAX(1,INT(((((CROQUIS_DATOS!$C$1489+CROQUIS_DATOS!$C$1490))-(CROQUIS_DATOS!$C$1489))+((CROQUIS_DATOS!$C$1476)*CROQUIS_DATOS!$C$1561-((CROQUIS_DATOS!$C$1491+CROQUIS_DATOS!$C$1492))*CROQUIS_DATOS!$C$1561))/CROQUIS_DATOS!$C$1568-0.000001))),2)=1,IF(INT(($A74-1)/2)+1&gt;MAX(1,INT(((((CROQUIS_DATOS!$C$1489+CROQUIS_DATOS!$C$1490))-(CROQUIS_DATOS!$C$1489))+((CROQUIS_DATOS!$C$1476)*CROQUIS_DATOS!$C$1561-((CROQUIS_DATOS!$C$1491+CROQUIS_DATOS!$C$1492))*CROQUIS_DATOS!$C$1561))/CROQUIS_DATOS!$C$1568-0.000001)),1,MOD($A74-1,2)),1-IF(INT(($A74-1)/2)+1&gt;MAX(1,INT(((((CROQUIS_DATOS!$C$1489+CROQUIS_DATOS!$C$1490))-(CROQUIS_DATOS!$C$1489))+((CROQUIS_DATOS!$C$1476)*CROQUIS_DATOS!$C$1561-((CROQUIS_DATOS!$C$1491+CROQUIS_DATOS!$C$1492))*CROQUIS_DATOS!$C$1561))/CROQUIS_DATOS!$C$1568-0.000001)),1,MOD($A74-1,2)))=1,MIN((CROQUIS_DATOS!$C$1476)*CROQUIS_DATOS!$C$1561,((CROQUIS_DATOS!$C$1489+CROQUIS_DATOS!$C$1490)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4">
        <f>IF(AND(CROQUIS_DATOS!$C$1472=1,CROQUIS_DATOS!$C$1478&gt;=3,((CROQUIS_DATOS!$C$1489+CROQUIS_DATOS!$C$1490))-(CROQUIS_DATOS!$C$1489)&gt;0.5,(CROQUIS_DATOS!$C$1476)-((CROQUIS_DATOS!$C$1491+CROQUIS_DATOS!$C$1492))&gt;0.5),(CROQUIS_DATOS!$C$1567+(IF(IF(MOD(MIN(INT(($A74-1)/2)+1,MAX(1,INT(((((CROQUIS_DATOS!$C$1489+CROQUIS_DATOS!$C$1490))-(CROQUIS_DATOS!$C$1489))+((CROQUIS_DATOS!$C$1476)*CROQUIS_DATOS!$C$1561-((CROQUIS_DATOS!$C$1491+CROQUIS_DATOS!$C$1492))*CROQUIS_DATOS!$C$1561))/CROQUIS_DATOS!$C$1568-0.000001))),2)=1,IF(INT(($A74-1)/2)+1&gt;MAX(1,INT(((((CROQUIS_DATOS!$C$1489+CROQUIS_DATOS!$C$1490))-(CROQUIS_DATOS!$C$1489))+((CROQUIS_DATOS!$C$1476)*CROQUIS_DATOS!$C$1561-((CROQUIS_DATOS!$C$1491+CROQUIS_DATOS!$C$1492))*CROQUIS_DATOS!$C$1561))/CROQUIS_DATOS!$C$1568-0.000001)),1,MOD($A74-1,2)),1-IF(INT(($A74-1)/2)+1&gt;MAX(1,INT(((((CROQUIS_DATOS!$C$1489+CROQUIS_DATOS!$C$1490))-(CROQUIS_DATOS!$C$1489))+((CROQUIS_DATOS!$C$1476)*CROQUIS_DATOS!$C$1561-((CROQUIS_DATOS!$C$1491+CROQUIS_DATOS!$C$1492))*CROQUIS_DATOS!$C$1561))/CROQUIS_DATOS!$C$1568-0.000001)),1,MOD($A74-1,2)))=1,MIN((CROQUIS_DATOS!$C$1476)*CROQUIS_DATOS!$C$1561,((CROQUIS_DATOS!$C$1489+CROQUIS_DATOS!$C$1490)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4">
        <f>IF(AND(CROQUIS_DATOS!$C$1472=1,CROQUIS_DATOS!$C$1478&gt;=4,((CROQUIS_DATOS!$C$1494+CROQUIS_DATOS!$C$1495))-(CROQUIS_DATOS!$C$1494)&gt;0.5,(CROQUIS_DATOS!$C$1496)-(0)&gt;0.5),(CROQUIS_DATOS!$C$1566+(IF(IF(MOD(MIN(INT(($A74-1)/2)+1,MAX(1,INT(((((CROQUIS_DATOS!$C$1494+CROQUIS_DATOS!$C$1495))-(CROQUIS_DATOS!$C$1494))+((CROQUIS_DATOS!$C$1496)*CROQUIS_DATOS!$C$1561-(0)*CROQUIS_DATOS!$C$1561))/CROQUIS_DATOS!$C$1568-0.000001))),2)=1,IF(INT(($A74-1)/2)+1&gt;MAX(1,INT(((((CROQUIS_DATOS!$C$1494+CROQUIS_DATOS!$C$1495))-(CROQUIS_DATOS!$C$1494))+((CROQUIS_DATOS!$C$1496)*CROQUIS_DATOS!$C$1561-(0)*CROQUIS_DATOS!$C$1561))/CROQUIS_DATOS!$C$1568-0.000001)),1,MOD($A74-1,2)),1-IF(INT(($A74-1)/2)+1&gt;MAX(1,INT(((((CROQUIS_DATOS!$C$1494+CROQUIS_DATOS!$C$1495))-(CROQUIS_DATOS!$C$1494))+((CROQUIS_DATOS!$C$1496)*CROQUIS_DATOS!$C$1561-(0)*CROQUIS_DATOS!$C$1561))/CROQUIS_DATOS!$C$1568-0.000001)),1,MOD($A74-1,2)))=1,MIN((CROQUIS_DATOS!$C$1496)*CROQUIS_DATOS!$C$1561,((CROQUIS_DATOS!$C$1494+CROQUIS_DATOS!$C$1495)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4">
        <f>IF(AND(CROQUIS_DATOS!$C$1472=1,CROQUIS_DATOS!$C$1478&gt;=4,((CROQUIS_DATOS!$C$1494+CROQUIS_DATOS!$C$1495))-(CROQUIS_DATOS!$C$1494)&gt;0.5,(CROQUIS_DATOS!$C$1496)-(0)&gt;0.5),(CROQUIS_DATOS!$C$1567+(IF(IF(MOD(MIN(INT(($A74-1)/2)+1,MAX(1,INT(((((CROQUIS_DATOS!$C$1494+CROQUIS_DATOS!$C$1495))-(CROQUIS_DATOS!$C$1494))+((CROQUIS_DATOS!$C$1496)*CROQUIS_DATOS!$C$1561-(0)*CROQUIS_DATOS!$C$1561))/CROQUIS_DATOS!$C$1568-0.000001))),2)=1,IF(INT(($A74-1)/2)+1&gt;MAX(1,INT(((((CROQUIS_DATOS!$C$1494+CROQUIS_DATOS!$C$1495))-(CROQUIS_DATOS!$C$1494))+((CROQUIS_DATOS!$C$1496)*CROQUIS_DATOS!$C$1561-(0)*CROQUIS_DATOS!$C$1561))/CROQUIS_DATOS!$C$1568-0.000001)),1,MOD($A74-1,2)),1-IF(INT(($A74-1)/2)+1&gt;MAX(1,INT(((((CROQUIS_DATOS!$C$1494+CROQUIS_DATOS!$C$1495))-(CROQUIS_DATOS!$C$1494))+((CROQUIS_DATOS!$C$1496)*CROQUIS_DATOS!$C$1561-(0)*CROQUIS_DATOS!$C$1561))/CROQUIS_DATOS!$C$1568-0.000001)),1,MOD($A74-1,2)))=1,MIN((CROQUIS_DATOS!$C$1496)*CROQUIS_DATOS!$C$1561,((CROQUIS_DATOS!$C$1494+CROQUIS_DATOS!$C$1495)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4">
        <f>IF(AND(CROQUIS_DATOS!$C$1472=1,CROQUIS_DATOS!$C$1478&gt;=4,((CROQUIS_DATOS!$C$1494+CROQUIS_DATOS!$C$1495))-(CROQUIS_DATOS!$C$1494)&gt;0.5,(CROQUIS_DATOS!$C$1476)-((CROQUIS_DATOS!$C$1496+CROQUIS_DATOS!$C$1497))&gt;0.5),(CROQUIS_DATOS!$C$1566+(IF(IF(MOD(MIN(INT(($A74-1)/2)+1,MAX(1,INT(((((CROQUIS_DATOS!$C$1494+CROQUIS_DATOS!$C$1495))-(CROQUIS_DATOS!$C$1494))+((CROQUIS_DATOS!$C$1476)*CROQUIS_DATOS!$C$1561-((CROQUIS_DATOS!$C$1496+CROQUIS_DATOS!$C$1497))*CROQUIS_DATOS!$C$1561))/CROQUIS_DATOS!$C$1568-0.000001))),2)=1,IF(INT(($A74-1)/2)+1&gt;MAX(1,INT(((((CROQUIS_DATOS!$C$1494+CROQUIS_DATOS!$C$1495))-(CROQUIS_DATOS!$C$1494))+((CROQUIS_DATOS!$C$1476)*CROQUIS_DATOS!$C$1561-((CROQUIS_DATOS!$C$1496+CROQUIS_DATOS!$C$1497))*CROQUIS_DATOS!$C$1561))/CROQUIS_DATOS!$C$1568-0.000001)),1,MOD($A74-1,2)),1-IF(INT(($A74-1)/2)+1&gt;MAX(1,INT(((((CROQUIS_DATOS!$C$1494+CROQUIS_DATOS!$C$1495))-(CROQUIS_DATOS!$C$1494))+((CROQUIS_DATOS!$C$1476)*CROQUIS_DATOS!$C$1561-((CROQUIS_DATOS!$C$1496+CROQUIS_DATOS!$C$1497))*CROQUIS_DATOS!$C$1561))/CROQUIS_DATOS!$C$1568-0.000001)),1,MOD($A74-1,2)))=1,MIN((CROQUIS_DATOS!$C$1476)*CROQUIS_DATOS!$C$1561,((CROQUIS_DATOS!$C$1494+CROQUIS_DATOS!$C$1495)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4">
        <f>IF(AND(CROQUIS_DATOS!$C$1472=1,CROQUIS_DATOS!$C$1478&gt;=4,((CROQUIS_DATOS!$C$1494+CROQUIS_DATOS!$C$1495))-(CROQUIS_DATOS!$C$1494)&gt;0.5,(CROQUIS_DATOS!$C$1476)-((CROQUIS_DATOS!$C$1496+CROQUIS_DATOS!$C$1497))&gt;0.5),(CROQUIS_DATOS!$C$1567+(IF(IF(MOD(MIN(INT(($A74-1)/2)+1,MAX(1,INT(((((CROQUIS_DATOS!$C$1494+CROQUIS_DATOS!$C$1495))-(CROQUIS_DATOS!$C$1494))+((CROQUIS_DATOS!$C$1476)*CROQUIS_DATOS!$C$1561-((CROQUIS_DATOS!$C$1496+CROQUIS_DATOS!$C$1497))*CROQUIS_DATOS!$C$1561))/CROQUIS_DATOS!$C$1568-0.000001))),2)=1,IF(INT(($A74-1)/2)+1&gt;MAX(1,INT(((((CROQUIS_DATOS!$C$1494+CROQUIS_DATOS!$C$1495))-(CROQUIS_DATOS!$C$1494))+((CROQUIS_DATOS!$C$1476)*CROQUIS_DATOS!$C$1561-((CROQUIS_DATOS!$C$1496+CROQUIS_DATOS!$C$1497))*CROQUIS_DATOS!$C$1561))/CROQUIS_DATOS!$C$1568-0.000001)),1,MOD($A74-1,2)),1-IF(INT(($A74-1)/2)+1&gt;MAX(1,INT(((((CROQUIS_DATOS!$C$1494+CROQUIS_DATOS!$C$1495))-(CROQUIS_DATOS!$C$1494))+((CROQUIS_DATOS!$C$1476)*CROQUIS_DATOS!$C$1561-((CROQUIS_DATOS!$C$1496+CROQUIS_DATOS!$C$1497))*CROQUIS_DATOS!$C$1561))/CROQUIS_DATOS!$C$1568-0.000001)),1,MOD($A74-1,2)))=1,MIN((CROQUIS_DATOS!$C$1476)*CROQUIS_DATOS!$C$1561,((CROQUIS_DATOS!$C$1494+CROQUIS_DATOS!$C$1495)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4">
        <f>IF(AND(CROQUIS_DATOS!$C$1472=1,1),(CROQUIS_DATOS!$C$1571+(CHOOSE(MIN(MAX(IF(INT(($A74-1)/5)+1&gt;CROQUIS_DATOS!$C$1525,5,MOD($A74-1,5)+1),1),5),(INDEX($E$8:$E$23,MIN(INT(($A74-1)/5)+1,CROQUIS_DATOS!$C$1525))-INDEX($F$8:$F$23,MIN(INT(($A74-1)/5)+1,CROQUIS_DATOS!$C$1525))/2),(INDEX($E$8:$E$23,MIN(INT(($A74-1)/5)+1,CROQUIS_DATOS!$C$1525))+INDEX($F$8:$F$23,MIN(INT(($A74-1)/5)+1,CROQUIS_DATOS!$C$1525))/2),(INDEX($E$8:$E$23,MIN(INT(($A74-1)/5)+1,CROQUIS_DATOS!$C$1525))+INDEX($F$8:$F$23,MIN(INT(($A74-1)/5)+1,CROQUIS_DATOS!$C$1525))/2),(INDEX($E$8:$E$23,MIN(INT(($A74-1)/5)+1,CROQUIS_DATOS!$C$1525))-INDEX($F$8:$F$23,MIN(INT(($A74-1)/5)+1,CROQUIS_DATOS!$C$1525))/2),(INDEX($E$8:$E$23,MIN(INT(($A74-1)/5)+1,CROQUIS_DATOS!$C$1525))-INDEX($F$8:$F$23,MIN(INT(($A74-1)/5)+1,CROQUIS_DATOS!$C$1525))/2)))*CROQUIS_DATOS!$C$1569),-1000)</f>
        <v>95.24</v>
      </c>
      <c r="GE74">
        <f>IF(AND(CROQUIS_DATOS!$C$1472=1,1),(CROQUIS_DATOS!$C$1572+(CHOOSE(MIN(MAX(IF(INT(($A74-1)/5)+1&gt;CROQUIS_DATOS!$C$1525,5,MOD($A74-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5">
      <c r="A75" t="n">
        <v>68</v>
      </c>
      <c r="N75">
        <f>IF(AND(CROQUIS_DATOS!$C$1472=1,1),(CROQUIS_DATOS!$C$1563+(IF(IF(IF(INT(($A75-1)/70)+1&gt;CROQUIS_DATOS!$C$1525,70,MOD($A75-1,70)+1)=1,0,IF(IF(INT(($A75-1)/70)+1&gt;CROQUIS_DATOS!$C$1525,70,MOD($A75-1,70)+1)&gt;2*CROQUIS_DATOS!$C$1541+1,IF(MOD(CROQUIS_DATOS!$C$1541,2)=1,1,0),IF(MOD(MIN(INT((IF(INT(($A75-1)/70)+1&gt;CROQUIS_DATOS!$C$1525,70,MOD($A75-1,70)+1)-2)/2)+1,CROQUIS_DATOS!$C$1541),2)=1,IF(MOD(IF(INT(($A75-1)/70)+1&gt;CROQUIS_DATOS!$C$1525,70,MOD($A75-1,70)+1)-2,2)=0,0,1),IF(MOD(IF(INT(($A75-1)/70)+1&gt;CROQUIS_DATOS!$C$1525,70,MOD($A75-1,70)+1)-2,2)=0,1,0))))=0,(INDEX($E$8:$E$23,MIN(INT(($A75-1)/70)+1,CROQUIS_DATOS!$C$1525))-INDEX($F$8:$F$23,MIN(INT(($A75-1)/70)+1,CROQUIS_DATOS!$C$1525))/2),(INDEX($E$8:$E$23,MIN(INT(($A75-1)/70)+1,CROQUIS_DATOS!$C$1525))+INDEX($F$8:$F$23,MIN(INT(($A75-1)/70)+1,CROQUIS_DATOS!$C$1525))/2)))*CROQUIS_DATOS!$C$1562),-1000)</f>
        <v>15.0862068965517</v>
      </c>
      <c r="O75">
        <f>IF(AND(CROQUIS_DATOS!$C$1472=1,1),(CROQUIS_DATOS!$C$1564+(IF(OR(IF(INT(($A75-1)/70)+1&gt;CROQUIS_DATOS!$C$1525,70,MOD($A75-1,70)+1)=1,IF(INT(($A75-1)/70)+1&gt;CROQUIS_DATOS!$C$1525,70,MOD($A75-1,70)+1)&gt;2*CROQUIS_DATOS!$C$1541+1),CROQUIS_DATOS!$C$1476,INDEX($H$8:$H$41,MIN(INT((IF(INT(($A75-1)/70)+1&gt;CROQUIS_DATOS!$C$1525,70,MOD($A75-1,70)+1)-2)/2)+1,CROQUIS_DATOS!$C$1541))))*CROQUIS_DATOS!$C$1561*CROQUIS_DATOS!$C$1562),-1000)</f>
        <v>40.2068965517241</v>
      </c>
      <c r="P75">
        <f>IF(AND(CROQUIS_DATOS!$C$1472=1,CROQUIS_DATOS!$C$1555=1),(CROQUIS_DATOS!$C$1563+(IF(IF(OR(MOD($A75-1,62)+1=1,IF(CHOOSE(MIN(MAX(MIN(INT(($A75-1)/62)+1,5),1),5),CROQUIS_DATOS!$C$1501,CROQUIS_DATOS!$C$1505,CROQUIS_DATOS!$C$1509,CROQUIS_DATOS!$C$1513,CROQUIS_DATOS!$C$1517)=1,CROQUIS_DATOS!$C$1557,0)=0),0,IF(MOD($A75-1,62)+1&gt;2*IF(CHOOSE(MIN(MAX(MIN(INT(($A75-1)/62)+1,5),1),5),CROQUIS_DATOS!$C$1501,CROQUIS_DATOS!$C$1505,CROQUIS_DATOS!$C$1509,CROQUIS_DATOS!$C$1513,CROQUIS_DATOS!$C$1517)=1,CROQUIS_DATOS!$C$1557,0)+1,IF(MOD(IF(CHOOSE(MIN(MAX(MIN(INT(($A75-1)/62)+1,5),1),5),CROQUIS_DATOS!$C$1501,CROQUIS_DATOS!$C$1505,CROQUIS_DATOS!$C$1509,CROQUIS_DATOS!$C$1513,CROQUIS_DATOS!$C$1517)=1,CROQUIS_DATOS!$C$1557,0),2)=1,1,0),IF(MOD(MIN(INT((MOD($A75-1,62)+1-2)/2)+1,MAX(IF(CHOOSE(MIN(MAX(MIN(INT(($A75-1)/62)+1,5),1),5),CROQUIS_DATOS!$C$1501,CROQUIS_DATOS!$C$1505,CROQUIS_DATOS!$C$1509,CROQUIS_DATOS!$C$1513,CROQUIS_DATOS!$C$1517)=1,CROQUIS_DATOS!$C$1557,0),1)),2)=1,IF(MOD(MOD($A75-1,62)+1-2,2)=0,0,1),IF(MOD(MOD($A75-1,62)+1-2,2)=0,1,0))))=0,(CHOOSE(MIN(MAX(MIN(INT(($A75-1)/62)+1,5),1),5),CROQUIS_DATOS!$C$1499,CROQUIS_DATOS!$C$1503,CROQUIS_DATOS!$C$1507,CROQUIS_DATOS!$C$1511,CROQUIS_DATOS!$C$1515)+IF(CHOOSE(MIN(MAX(MIN(INT(($A75-1)/62)+1,5),1),5),CROQUIS_DATOS!$C$1501,CROQUIS_DATOS!$C$1505,CROQUIS_DATOS!$C$1509,CROQUIS_DATOS!$C$1513,CROQUIS_DATOS!$C$1517)=1,CROQUIS_DATOS!$C$1526,0)),(CHOOSE(MIN(MAX(MIN(INT(($A75-1)/62)+1,5),1),5),CROQUIS_DATOS!$C$1499,CROQUIS_DATOS!$C$1503,CROQUIS_DATOS!$C$1507,CROQUIS_DATOS!$C$1511,CROQUIS_DATOS!$C$1515)+CHOOSE(MIN(MAX(MIN(INT(($A75-1)/62)+1,5),1),5),CROQUIS_DATOS!$C$1500,CROQUIS_DATOS!$C$1504,CROQUIS_DATOS!$C$1508,CROQUIS_DATOS!$C$1512,CROQUIS_DATOS!$C$1516)-IF(CHOOSE(MIN(MAX(MIN(INT(($A75-1)/62)+1,5),1),5),CROQUIS_DATOS!$C$1501,CROQUIS_DATOS!$C$1505,CROQUIS_DATOS!$C$1509,CROQUIS_DATOS!$C$1513,CROQUIS_DATOS!$C$1517)=1,CROQUIS_DATOS!$C$1526,0))))*CROQUIS_DATOS!$C$1562),-1000)</f>
        <v>-1000</v>
      </c>
      <c r="Q75">
        <f>IF(AND(CROQUIS_DATOS!$C$1472=1,CROQUIS_DATOS!$C$1555=1),(CROQUIS_DATOS!$C$1564+(IF(OR(OR(MOD($A75-1,62)+1=1,IF(CHOOSE(MIN(MAX(MIN(INT(($A75-1)/62)+1,5),1),5),CROQUIS_DATOS!$C$1501,CROQUIS_DATOS!$C$1505,CROQUIS_DATOS!$C$1509,CROQUIS_DATOS!$C$1513,CROQUIS_DATOS!$C$1517)=1,CROQUIS_DATOS!$C$1557,0)=0),MOD($A75-1,62)+1&gt;2*IF(CHOOSE(MIN(MAX(MIN(INT(($A75-1)/62)+1,5),1),5),CROQUIS_DATOS!$C$1501,CROQUIS_DATOS!$C$1505,CROQUIS_DATOS!$C$1509,CROQUIS_DATOS!$C$1513,CROQUIS_DATOS!$C$1517)=1,CROQUIS_DATOS!$C$1557,0)+1),CROQUIS_DATOS!$C$1476,MIN(INT((MOD($A75-1,62)+1-2)/2)+1,MAX(IF(CHOOSE(MIN(MAX(MIN(INT(($A75-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5">
        <f>IF(AND(CROQUIS_DATOS!$C$1472=1,1),(CROQUIS_DATOS!$C$1563+(MIN(INT(($A75-1)/2)+1,CROQUIS_DATOS!$C$1558)*CROQUIS_DATOS!$C$1559)*CROQUIS_DATOS!$C$1562),-1000)</f>
        <v>82.2281167108753</v>
      </c>
      <c r="U75">
        <f>IF(AND(CROQUIS_DATOS!$C$1472=1,1),(CROQUIS_DATOS!$C$1564+(IF(INT(($A75-1)/2)+1&gt;CROQUIS_DATOS!$C$1558,IF(MOD(CROQUIS_DATOS!$C$1558,2)=1,CROQUIS_DATOS!$C$1476+CROQUIS_DATOS!$C$1528,CROQUIS_DATOS!$C$1476),IF(IF(MOD(MIN(INT(($A75-1)/2)+1,CROQUIS_DATOS!$C$1558),2)=1,MOD($A75-1,2),1-MOD($A75-1,2))=1,CROQUIS_DATOS!$C$1476+CROQUIS_DATOS!$C$1528,CROQUIS_DATOS!$C$1476)))*CROQUIS_DATOS!$C$1561*CROQUIS_DATOS!$C$1562),-1000)</f>
        <v>43</v>
      </c>
      <c r="BZ75">
        <f>IF(AND(CROQUIS_DATOS!$C$1472=1,CROQUIS_DATOS!$C$1500&gt;0,((CROQUIS_DATOS!$C$1499+CROQUIS_DATOS!$C$1500))-(CROQUIS_DATOS!$C$1499)&gt;0.5,(CROQUIS_DATOS!$C$1476)-(0)&gt;0.5),(CROQUIS_DATOS!$C$1566+(IF(IF(MOD(MIN(INT(($A75-1)/2)+1,MAX(1,INT(((((CROQUIS_DATOS!$C$1499+CROQUIS_DATOS!$C$1500))-(CROQUIS_DATOS!$C$1499))+((CROQUIS_DATOS!$C$1476)*CROQUIS_DATOS!$C$1561-(0)*CROQUIS_DATOS!$C$1561))/CROQUIS_DATOS!$C$1568-0.000001))),2)=1,IF(INT(($A75-1)/2)+1&gt;MAX(1,INT(((((CROQUIS_DATOS!$C$1499+CROQUIS_DATOS!$C$1500))-(CROQUIS_DATOS!$C$1499))+((CROQUIS_DATOS!$C$1476)*CROQUIS_DATOS!$C$1561-(0)*CROQUIS_DATOS!$C$1561))/CROQUIS_DATOS!$C$1568-0.000001)),1,MOD($A75-1,2)),1-IF(INT(($A75-1)/2)+1&gt;MAX(1,INT(((((CROQUIS_DATOS!$C$1499+CROQUIS_DATOS!$C$1500))-(CROQUIS_DATOS!$C$1499))+((CROQUIS_DATOS!$C$1476)*CROQUIS_DATOS!$C$1561-(0)*CROQUIS_DATOS!$C$1561))/CROQUIS_DATOS!$C$1568-0.000001)),1,MOD($A75-1,2)))=1,MIN((CROQUIS_DATOS!$C$1476)*CROQUIS_DATOS!$C$1561,((CROQUIS_DATOS!$C$1499+CROQUIS_DATOS!$C$1500)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5">
        <f>IF(AND(CROQUIS_DATOS!$C$1472=1,CROQUIS_DATOS!$C$1500&gt;0,((CROQUIS_DATOS!$C$1499+CROQUIS_DATOS!$C$1500))-(CROQUIS_DATOS!$C$1499)&gt;0.5,(CROQUIS_DATOS!$C$1476)-(0)&gt;0.5),(CROQUIS_DATOS!$C$1567+(IF(IF(MOD(MIN(INT(($A75-1)/2)+1,MAX(1,INT(((((CROQUIS_DATOS!$C$1499+CROQUIS_DATOS!$C$1500))-(CROQUIS_DATOS!$C$1499))+((CROQUIS_DATOS!$C$1476)*CROQUIS_DATOS!$C$1561-(0)*CROQUIS_DATOS!$C$1561))/CROQUIS_DATOS!$C$1568-0.000001))),2)=1,IF(INT(($A75-1)/2)+1&gt;MAX(1,INT(((((CROQUIS_DATOS!$C$1499+CROQUIS_DATOS!$C$1500))-(CROQUIS_DATOS!$C$1499))+((CROQUIS_DATOS!$C$1476)*CROQUIS_DATOS!$C$1561-(0)*CROQUIS_DATOS!$C$1561))/CROQUIS_DATOS!$C$1568-0.000001)),1,MOD($A75-1,2)),1-IF(INT(($A75-1)/2)+1&gt;MAX(1,INT(((((CROQUIS_DATOS!$C$1499+CROQUIS_DATOS!$C$1500))-(CROQUIS_DATOS!$C$1499))+((CROQUIS_DATOS!$C$1476)*CROQUIS_DATOS!$C$1561-(0)*CROQUIS_DATOS!$C$1561))/CROQUIS_DATOS!$C$1568-0.000001)),1,MOD($A75-1,2)))=1,MIN((CROQUIS_DATOS!$C$1476)*CROQUIS_DATOS!$C$1561,((CROQUIS_DATOS!$C$1499+CROQUIS_DATOS!$C$1500)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5">
        <f>IF(AND(CROQUIS_DATOS!$C$1472=1,CROQUIS_DATOS!$C$1504&gt;0,((CROQUIS_DATOS!$C$1503+CROQUIS_DATOS!$C$1504))-(CROQUIS_DATOS!$C$1503)&gt;0.5,(CROQUIS_DATOS!$C$1476)-(0)&gt;0.5),(CROQUIS_DATOS!$C$1566+(IF(IF(MOD(MIN(INT(($A75-1)/2)+1,MAX(1,INT(((((CROQUIS_DATOS!$C$1503+CROQUIS_DATOS!$C$1504))-(CROQUIS_DATOS!$C$1503))+((CROQUIS_DATOS!$C$1476)*CROQUIS_DATOS!$C$1561-(0)*CROQUIS_DATOS!$C$1561))/CROQUIS_DATOS!$C$1568-0.000001))),2)=1,IF(INT(($A75-1)/2)+1&gt;MAX(1,INT(((((CROQUIS_DATOS!$C$1503+CROQUIS_DATOS!$C$1504))-(CROQUIS_DATOS!$C$1503))+((CROQUIS_DATOS!$C$1476)*CROQUIS_DATOS!$C$1561-(0)*CROQUIS_DATOS!$C$1561))/CROQUIS_DATOS!$C$1568-0.000001)),1,MOD($A75-1,2)),1-IF(INT(($A75-1)/2)+1&gt;MAX(1,INT(((((CROQUIS_DATOS!$C$1503+CROQUIS_DATOS!$C$1504))-(CROQUIS_DATOS!$C$1503))+((CROQUIS_DATOS!$C$1476)*CROQUIS_DATOS!$C$1561-(0)*CROQUIS_DATOS!$C$1561))/CROQUIS_DATOS!$C$1568-0.000001)),1,MOD($A75-1,2)))=1,MIN((CROQUIS_DATOS!$C$1476)*CROQUIS_DATOS!$C$1561,((CROQUIS_DATOS!$C$1503+CROQUIS_DATOS!$C$1504)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5">
        <f>IF(AND(CROQUIS_DATOS!$C$1472=1,CROQUIS_DATOS!$C$1504&gt;0,((CROQUIS_DATOS!$C$1503+CROQUIS_DATOS!$C$1504))-(CROQUIS_DATOS!$C$1503)&gt;0.5,(CROQUIS_DATOS!$C$1476)-(0)&gt;0.5),(CROQUIS_DATOS!$C$1567+(IF(IF(MOD(MIN(INT(($A75-1)/2)+1,MAX(1,INT(((((CROQUIS_DATOS!$C$1503+CROQUIS_DATOS!$C$1504))-(CROQUIS_DATOS!$C$1503))+((CROQUIS_DATOS!$C$1476)*CROQUIS_DATOS!$C$1561-(0)*CROQUIS_DATOS!$C$1561))/CROQUIS_DATOS!$C$1568-0.000001))),2)=1,IF(INT(($A75-1)/2)+1&gt;MAX(1,INT(((((CROQUIS_DATOS!$C$1503+CROQUIS_DATOS!$C$1504))-(CROQUIS_DATOS!$C$1503))+((CROQUIS_DATOS!$C$1476)*CROQUIS_DATOS!$C$1561-(0)*CROQUIS_DATOS!$C$1561))/CROQUIS_DATOS!$C$1568-0.000001)),1,MOD($A75-1,2)),1-IF(INT(($A75-1)/2)+1&gt;MAX(1,INT(((((CROQUIS_DATOS!$C$1503+CROQUIS_DATOS!$C$1504))-(CROQUIS_DATOS!$C$1503))+((CROQUIS_DATOS!$C$1476)*CROQUIS_DATOS!$C$1561-(0)*CROQUIS_DATOS!$C$1561))/CROQUIS_DATOS!$C$1568-0.000001)),1,MOD($A75-1,2)))=1,MIN((CROQUIS_DATOS!$C$1476)*CROQUIS_DATOS!$C$1561,((CROQUIS_DATOS!$C$1503+CROQUIS_DATOS!$C$1504)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5">
        <f>IF(AND(CROQUIS_DATOS!$C$1472=1,CROQUIS_DATOS!$C$1508&gt;0,((CROQUIS_DATOS!$C$1507+CROQUIS_DATOS!$C$1508))-(CROQUIS_DATOS!$C$1507)&gt;0.5,(CROQUIS_DATOS!$C$1476)-(0)&gt;0.5),(CROQUIS_DATOS!$C$1566+(IF(IF(MOD(MIN(INT(($A75-1)/2)+1,MAX(1,INT(((((CROQUIS_DATOS!$C$1507+CROQUIS_DATOS!$C$1508))-(CROQUIS_DATOS!$C$1507))+((CROQUIS_DATOS!$C$1476)*CROQUIS_DATOS!$C$1561-(0)*CROQUIS_DATOS!$C$1561))/CROQUIS_DATOS!$C$1568-0.000001))),2)=1,IF(INT(($A75-1)/2)+1&gt;MAX(1,INT(((((CROQUIS_DATOS!$C$1507+CROQUIS_DATOS!$C$1508))-(CROQUIS_DATOS!$C$1507))+((CROQUIS_DATOS!$C$1476)*CROQUIS_DATOS!$C$1561-(0)*CROQUIS_DATOS!$C$1561))/CROQUIS_DATOS!$C$1568-0.000001)),1,MOD($A75-1,2)),1-IF(INT(($A75-1)/2)+1&gt;MAX(1,INT(((((CROQUIS_DATOS!$C$1507+CROQUIS_DATOS!$C$1508))-(CROQUIS_DATOS!$C$1507))+((CROQUIS_DATOS!$C$1476)*CROQUIS_DATOS!$C$1561-(0)*CROQUIS_DATOS!$C$1561))/CROQUIS_DATOS!$C$1568-0.000001)),1,MOD($A75-1,2)))=1,MIN((CROQUIS_DATOS!$C$1476)*CROQUIS_DATOS!$C$1561,((CROQUIS_DATOS!$C$1507+CROQUIS_DATOS!$C$1508)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5">
        <f>IF(AND(CROQUIS_DATOS!$C$1472=1,CROQUIS_DATOS!$C$1508&gt;0,((CROQUIS_DATOS!$C$1507+CROQUIS_DATOS!$C$1508))-(CROQUIS_DATOS!$C$1507)&gt;0.5,(CROQUIS_DATOS!$C$1476)-(0)&gt;0.5),(CROQUIS_DATOS!$C$1567+(IF(IF(MOD(MIN(INT(($A75-1)/2)+1,MAX(1,INT(((((CROQUIS_DATOS!$C$1507+CROQUIS_DATOS!$C$1508))-(CROQUIS_DATOS!$C$1507))+((CROQUIS_DATOS!$C$1476)*CROQUIS_DATOS!$C$1561-(0)*CROQUIS_DATOS!$C$1561))/CROQUIS_DATOS!$C$1568-0.000001))),2)=1,IF(INT(($A75-1)/2)+1&gt;MAX(1,INT(((((CROQUIS_DATOS!$C$1507+CROQUIS_DATOS!$C$1508))-(CROQUIS_DATOS!$C$1507))+((CROQUIS_DATOS!$C$1476)*CROQUIS_DATOS!$C$1561-(0)*CROQUIS_DATOS!$C$1561))/CROQUIS_DATOS!$C$1568-0.000001)),1,MOD($A75-1,2)),1-IF(INT(($A75-1)/2)+1&gt;MAX(1,INT(((((CROQUIS_DATOS!$C$1507+CROQUIS_DATOS!$C$1508))-(CROQUIS_DATOS!$C$1507))+((CROQUIS_DATOS!$C$1476)*CROQUIS_DATOS!$C$1561-(0)*CROQUIS_DATOS!$C$1561))/CROQUIS_DATOS!$C$1568-0.000001)),1,MOD($A75-1,2)))=1,MIN((CROQUIS_DATOS!$C$1476)*CROQUIS_DATOS!$C$1561,((CROQUIS_DATOS!$C$1507+CROQUIS_DATOS!$C$1508)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5">
        <f>IF(AND(CROQUIS_DATOS!$C$1472=1,CROQUIS_DATOS!$C$1512&gt;0,((CROQUIS_DATOS!$C$1511+CROQUIS_DATOS!$C$1512))-(CROQUIS_DATOS!$C$1511)&gt;0.5,(CROQUIS_DATOS!$C$1476)-(0)&gt;0.5),(CROQUIS_DATOS!$C$1566+(IF(IF(MOD(MIN(INT(($A75-1)/2)+1,MAX(1,INT(((((CROQUIS_DATOS!$C$1511+CROQUIS_DATOS!$C$1512))-(CROQUIS_DATOS!$C$1511))+((CROQUIS_DATOS!$C$1476)*CROQUIS_DATOS!$C$1561-(0)*CROQUIS_DATOS!$C$1561))/CROQUIS_DATOS!$C$1568-0.000001))),2)=1,IF(INT(($A75-1)/2)+1&gt;MAX(1,INT(((((CROQUIS_DATOS!$C$1511+CROQUIS_DATOS!$C$1512))-(CROQUIS_DATOS!$C$1511))+((CROQUIS_DATOS!$C$1476)*CROQUIS_DATOS!$C$1561-(0)*CROQUIS_DATOS!$C$1561))/CROQUIS_DATOS!$C$1568-0.000001)),1,MOD($A75-1,2)),1-IF(INT(($A75-1)/2)+1&gt;MAX(1,INT(((((CROQUIS_DATOS!$C$1511+CROQUIS_DATOS!$C$1512))-(CROQUIS_DATOS!$C$1511))+((CROQUIS_DATOS!$C$1476)*CROQUIS_DATOS!$C$1561-(0)*CROQUIS_DATOS!$C$1561))/CROQUIS_DATOS!$C$1568-0.000001)),1,MOD($A75-1,2)))=1,MIN((CROQUIS_DATOS!$C$1476)*CROQUIS_DATOS!$C$1561,((CROQUIS_DATOS!$C$1511+CROQUIS_DATOS!$C$1512)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5">
        <f>IF(AND(CROQUIS_DATOS!$C$1472=1,CROQUIS_DATOS!$C$1512&gt;0,((CROQUIS_DATOS!$C$1511+CROQUIS_DATOS!$C$1512))-(CROQUIS_DATOS!$C$1511)&gt;0.5,(CROQUIS_DATOS!$C$1476)-(0)&gt;0.5),(CROQUIS_DATOS!$C$1567+(IF(IF(MOD(MIN(INT(($A75-1)/2)+1,MAX(1,INT(((((CROQUIS_DATOS!$C$1511+CROQUIS_DATOS!$C$1512))-(CROQUIS_DATOS!$C$1511))+((CROQUIS_DATOS!$C$1476)*CROQUIS_DATOS!$C$1561-(0)*CROQUIS_DATOS!$C$1561))/CROQUIS_DATOS!$C$1568-0.000001))),2)=1,IF(INT(($A75-1)/2)+1&gt;MAX(1,INT(((((CROQUIS_DATOS!$C$1511+CROQUIS_DATOS!$C$1512))-(CROQUIS_DATOS!$C$1511))+((CROQUIS_DATOS!$C$1476)*CROQUIS_DATOS!$C$1561-(0)*CROQUIS_DATOS!$C$1561))/CROQUIS_DATOS!$C$1568-0.000001)),1,MOD($A75-1,2)),1-IF(INT(($A75-1)/2)+1&gt;MAX(1,INT(((((CROQUIS_DATOS!$C$1511+CROQUIS_DATOS!$C$1512))-(CROQUIS_DATOS!$C$1511))+((CROQUIS_DATOS!$C$1476)*CROQUIS_DATOS!$C$1561-(0)*CROQUIS_DATOS!$C$1561))/CROQUIS_DATOS!$C$1568-0.000001)),1,MOD($A75-1,2)))=1,MIN((CROQUIS_DATOS!$C$1476)*CROQUIS_DATOS!$C$1561,((CROQUIS_DATOS!$C$1511+CROQUIS_DATOS!$C$1512)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5">
        <f>IF(AND(CROQUIS_DATOS!$C$1472=1,CROQUIS_DATOS!$C$1516&gt;0,((CROQUIS_DATOS!$C$1515+CROQUIS_DATOS!$C$1516))-(CROQUIS_DATOS!$C$1515)&gt;0.5,(CROQUIS_DATOS!$C$1476)-(0)&gt;0.5),(CROQUIS_DATOS!$C$1566+(IF(IF(MOD(MIN(INT(($A75-1)/2)+1,MAX(1,INT(((((CROQUIS_DATOS!$C$1515+CROQUIS_DATOS!$C$1516))-(CROQUIS_DATOS!$C$1515))+((CROQUIS_DATOS!$C$1476)*CROQUIS_DATOS!$C$1561-(0)*CROQUIS_DATOS!$C$1561))/CROQUIS_DATOS!$C$1568-0.000001))),2)=1,IF(INT(($A75-1)/2)+1&gt;MAX(1,INT(((((CROQUIS_DATOS!$C$1515+CROQUIS_DATOS!$C$1516))-(CROQUIS_DATOS!$C$1515))+((CROQUIS_DATOS!$C$1476)*CROQUIS_DATOS!$C$1561-(0)*CROQUIS_DATOS!$C$1561))/CROQUIS_DATOS!$C$1568-0.000001)),1,MOD($A75-1,2)),1-IF(INT(($A75-1)/2)+1&gt;MAX(1,INT(((((CROQUIS_DATOS!$C$1515+CROQUIS_DATOS!$C$1516))-(CROQUIS_DATOS!$C$1515))+((CROQUIS_DATOS!$C$1476)*CROQUIS_DATOS!$C$1561-(0)*CROQUIS_DATOS!$C$1561))/CROQUIS_DATOS!$C$1568-0.000001)),1,MOD($A75-1,2)))=1,MIN((CROQUIS_DATOS!$C$1476)*CROQUIS_DATOS!$C$1561,((CROQUIS_DATOS!$C$1515+CROQUIS_DATOS!$C$1516)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5">
        <f>IF(AND(CROQUIS_DATOS!$C$1472=1,CROQUIS_DATOS!$C$1516&gt;0,((CROQUIS_DATOS!$C$1515+CROQUIS_DATOS!$C$1516))-(CROQUIS_DATOS!$C$1515)&gt;0.5,(CROQUIS_DATOS!$C$1476)-(0)&gt;0.5),(CROQUIS_DATOS!$C$1567+(IF(IF(MOD(MIN(INT(($A75-1)/2)+1,MAX(1,INT(((((CROQUIS_DATOS!$C$1515+CROQUIS_DATOS!$C$1516))-(CROQUIS_DATOS!$C$1515))+((CROQUIS_DATOS!$C$1476)*CROQUIS_DATOS!$C$1561-(0)*CROQUIS_DATOS!$C$1561))/CROQUIS_DATOS!$C$1568-0.000001))),2)=1,IF(INT(($A75-1)/2)+1&gt;MAX(1,INT(((((CROQUIS_DATOS!$C$1515+CROQUIS_DATOS!$C$1516))-(CROQUIS_DATOS!$C$1515))+((CROQUIS_DATOS!$C$1476)*CROQUIS_DATOS!$C$1561-(0)*CROQUIS_DATOS!$C$1561))/CROQUIS_DATOS!$C$1568-0.000001)),1,MOD($A75-1,2)),1-IF(INT(($A75-1)/2)+1&gt;MAX(1,INT(((((CROQUIS_DATOS!$C$1515+CROQUIS_DATOS!$C$1516))-(CROQUIS_DATOS!$C$1515))+((CROQUIS_DATOS!$C$1476)*CROQUIS_DATOS!$C$1561-(0)*CROQUIS_DATOS!$C$1561))/CROQUIS_DATOS!$C$1568-0.000001)),1,MOD($A75-1,2)))=1,MIN((CROQUIS_DATOS!$C$1476)*CROQUIS_DATOS!$C$1561,((CROQUIS_DATOS!$C$1515+CROQUIS_DATOS!$C$1516)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5">
        <f>IF(AND(CROQUIS_DATOS!$C$1472=1,CROQUIS_DATOS!$C$1478&gt;=1,((CROQUIS_DATOS!$C$1479+CROQUIS_DATOS!$C$1480))-(CROQUIS_DATOS!$C$1479)&gt;0.5,(CROQUIS_DATOS!$C$1481)-(0)&gt;0.5),(CROQUIS_DATOS!$C$1566+(IF(IF(MOD(MIN(INT(($A75-1)/2)+1,MAX(1,INT(((((CROQUIS_DATOS!$C$1479+CROQUIS_DATOS!$C$1480))-(CROQUIS_DATOS!$C$1479))+((CROQUIS_DATOS!$C$1481)*CROQUIS_DATOS!$C$1561-(0)*CROQUIS_DATOS!$C$1561))/CROQUIS_DATOS!$C$1568-0.000001))),2)=1,IF(INT(($A75-1)/2)+1&gt;MAX(1,INT(((((CROQUIS_DATOS!$C$1479+CROQUIS_DATOS!$C$1480))-(CROQUIS_DATOS!$C$1479))+((CROQUIS_DATOS!$C$1481)*CROQUIS_DATOS!$C$1561-(0)*CROQUIS_DATOS!$C$1561))/CROQUIS_DATOS!$C$1568-0.000001)),1,MOD($A75-1,2)),1-IF(INT(($A75-1)/2)+1&gt;MAX(1,INT(((((CROQUIS_DATOS!$C$1479+CROQUIS_DATOS!$C$1480))-(CROQUIS_DATOS!$C$1479))+((CROQUIS_DATOS!$C$1481)*CROQUIS_DATOS!$C$1561-(0)*CROQUIS_DATOS!$C$1561))/CROQUIS_DATOS!$C$1568-0.000001)),1,MOD($A75-1,2)))=1,MIN((CROQUIS_DATOS!$C$1481)*CROQUIS_DATOS!$C$1561,((CROQUIS_DATOS!$C$1479+CROQUIS_DATOS!$C$1480)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5">
        <f>IF(AND(CROQUIS_DATOS!$C$1472=1,CROQUIS_DATOS!$C$1478&gt;=1,((CROQUIS_DATOS!$C$1479+CROQUIS_DATOS!$C$1480))-(CROQUIS_DATOS!$C$1479)&gt;0.5,(CROQUIS_DATOS!$C$1481)-(0)&gt;0.5),(CROQUIS_DATOS!$C$1567+(IF(IF(MOD(MIN(INT(($A75-1)/2)+1,MAX(1,INT(((((CROQUIS_DATOS!$C$1479+CROQUIS_DATOS!$C$1480))-(CROQUIS_DATOS!$C$1479))+((CROQUIS_DATOS!$C$1481)*CROQUIS_DATOS!$C$1561-(0)*CROQUIS_DATOS!$C$1561))/CROQUIS_DATOS!$C$1568-0.000001))),2)=1,IF(INT(($A75-1)/2)+1&gt;MAX(1,INT(((((CROQUIS_DATOS!$C$1479+CROQUIS_DATOS!$C$1480))-(CROQUIS_DATOS!$C$1479))+((CROQUIS_DATOS!$C$1481)*CROQUIS_DATOS!$C$1561-(0)*CROQUIS_DATOS!$C$1561))/CROQUIS_DATOS!$C$1568-0.000001)),1,MOD($A75-1,2)),1-IF(INT(($A75-1)/2)+1&gt;MAX(1,INT(((((CROQUIS_DATOS!$C$1479+CROQUIS_DATOS!$C$1480))-(CROQUIS_DATOS!$C$1479))+((CROQUIS_DATOS!$C$1481)*CROQUIS_DATOS!$C$1561-(0)*CROQUIS_DATOS!$C$1561))/CROQUIS_DATOS!$C$1568-0.000001)),1,MOD($A75-1,2)))=1,MIN((CROQUIS_DATOS!$C$1481)*CROQUIS_DATOS!$C$1561,((CROQUIS_DATOS!$C$1479+CROQUIS_DATOS!$C$1480)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5">
        <f>IF(AND(CROQUIS_DATOS!$C$1472=1,CROQUIS_DATOS!$C$1478&gt;=1,((CROQUIS_DATOS!$C$1479+CROQUIS_DATOS!$C$1480))-(CROQUIS_DATOS!$C$1479)&gt;0.5,(CROQUIS_DATOS!$C$1476)-((CROQUIS_DATOS!$C$1481+CROQUIS_DATOS!$C$1482))&gt;0.5),(CROQUIS_DATOS!$C$1566+(IF(IF(MOD(MIN(INT(($A75-1)/2)+1,MAX(1,INT(((((CROQUIS_DATOS!$C$1479+CROQUIS_DATOS!$C$1480))-(CROQUIS_DATOS!$C$1479))+((CROQUIS_DATOS!$C$1476)*CROQUIS_DATOS!$C$1561-((CROQUIS_DATOS!$C$1481+CROQUIS_DATOS!$C$1482))*CROQUIS_DATOS!$C$1561))/CROQUIS_DATOS!$C$1568-0.000001))),2)=1,IF(INT(($A75-1)/2)+1&gt;MAX(1,INT(((((CROQUIS_DATOS!$C$1479+CROQUIS_DATOS!$C$1480))-(CROQUIS_DATOS!$C$1479))+((CROQUIS_DATOS!$C$1476)*CROQUIS_DATOS!$C$1561-((CROQUIS_DATOS!$C$1481+CROQUIS_DATOS!$C$1482))*CROQUIS_DATOS!$C$1561))/CROQUIS_DATOS!$C$1568-0.000001)),1,MOD($A75-1,2)),1-IF(INT(($A75-1)/2)+1&gt;MAX(1,INT(((((CROQUIS_DATOS!$C$1479+CROQUIS_DATOS!$C$1480))-(CROQUIS_DATOS!$C$1479))+((CROQUIS_DATOS!$C$1476)*CROQUIS_DATOS!$C$1561-((CROQUIS_DATOS!$C$1481+CROQUIS_DATOS!$C$1482))*CROQUIS_DATOS!$C$1561))/CROQUIS_DATOS!$C$1568-0.000001)),1,MOD($A75-1,2)))=1,MIN((CROQUIS_DATOS!$C$1476)*CROQUIS_DATOS!$C$1561,((CROQUIS_DATOS!$C$1479+CROQUIS_DATOS!$C$1480)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5">
        <f>IF(AND(CROQUIS_DATOS!$C$1472=1,CROQUIS_DATOS!$C$1478&gt;=1,((CROQUIS_DATOS!$C$1479+CROQUIS_DATOS!$C$1480))-(CROQUIS_DATOS!$C$1479)&gt;0.5,(CROQUIS_DATOS!$C$1476)-((CROQUIS_DATOS!$C$1481+CROQUIS_DATOS!$C$1482))&gt;0.5),(CROQUIS_DATOS!$C$1567+(IF(IF(MOD(MIN(INT(($A75-1)/2)+1,MAX(1,INT(((((CROQUIS_DATOS!$C$1479+CROQUIS_DATOS!$C$1480))-(CROQUIS_DATOS!$C$1479))+((CROQUIS_DATOS!$C$1476)*CROQUIS_DATOS!$C$1561-((CROQUIS_DATOS!$C$1481+CROQUIS_DATOS!$C$1482))*CROQUIS_DATOS!$C$1561))/CROQUIS_DATOS!$C$1568-0.000001))),2)=1,IF(INT(($A75-1)/2)+1&gt;MAX(1,INT(((((CROQUIS_DATOS!$C$1479+CROQUIS_DATOS!$C$1480))-(CROQUIS_DATOS!$C$1479))+((CROQUIS_DATOS!$C$1476)*CROQUIS_DATOS!$C$1561-((CROQUIS_DATOS!$C$1481+CROQUIS_DATOS!$C$1482))*CROQUIS_DATOS!$C$1561))/CROQUIS_DATOS!$C$1568-0.000001)),1,MOD($A75-1,2)),1-IF(INT(($A75-1)/2)+1&gt;MAX(1,INT(((((CROQUIS_DATOS!$C$1479+CROQUIS_DATOS!$C$1480))-(CROQUIS_DATOS!$C$1479))+((CROQUIS_DATOS!$C$1476)*CROQUIS_DATOS!$C$1561-((CROQUIS_DATOS!$C$1481+CROQUIS_DATOS!$C$1482))*CROQUIS_DATOS!$C$1561))/CROQUIS_DATOS!$C$1568-0.000001)),1,MOD($A75-1,2)))=1,MIN((CROQUIS_DATOS!$C$1476)*CROQUIS_DATOS!$C$1561,((CROQUIS_DATOS!$C$1479+CROQUIS_DATOS!$C$1480)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5">
        <f>IF(AND(CROQUIS_DATOS!$C$1472=1,CROQUIS_DATOS!$C$1478&gt;=2,((CROQUIS_DATOS!$C$1484+CROQUIS_DATOS!$C$1485))-(CROQUIS_DATOS!$C$1484)&gt;0.5,(CROQUIS_DATOS!$C$1486)-(0)&gt;0.5),(CROQUIS_DATOS!$C$1566+(IF(IF(MOD(MIN(INT(($A75-1)/2)+1,MAX(1,INT(((((CROQUIS_DATOS!$C$1484+CROQUIS_DATOS!$C$1485))-(CROQUIS_DATOS!$C$1484))+((CROQUIS_DATOS!$C$1486)*CROQUIS_DATOS!$C$1561-(0)*CROQUIS_DATOS!$C$1561))/CROQUIS_DATOS!$C$1568-0.000001))),2)=1,IF(INT(($A75-1)/2)+1&gt;MAX(1,INT(((((CROQUIS_DATOS!$C$1484+CROQUIS_DATOS!$C$1485))-(CROQUIS_DATOS!$C$1484))+((CROQUIS_DATOS!$C$1486)*CROQUIS_DATOS!$C$1561-(0)*CROQUIS_DATOS!$C$1561))/CROQUIS_DATOS!$C$1568-0.000001)),1,MOD($A75-1,2)),1-IF(INT(($A75-1)/2)+1&gt;MAX(1,INT(((((CROQUIS_DATOS!$C$1484+CROQUIS_DATOS!$C$1485))-(CROQUIS_DATOS!$C$1484))+((CROQUIS_DATOS!$C$1486)*CROQUIS_DATOS!$C$1561-(0)*CROQUIS_DATOS!$C$1561))/CROQUIS_DATOS!$C$1568-0.000001)),1,MOD($A75-1,2)))=1,MIN((CROQUIS_DATOS!$C$1486)*CROQUIS_DATOS!$C$1561,((CROQUIS_DATOS!$C$1484+CROQUIS_DATOS!$C$1485)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5">
        <f>IF(AND(CROQUIS_DATOS!$C$1472=1,CROQUIS_DATOS!$C$1478&gt;=2,((CROQUIS_DATOS!$C$1484+CROQUIS_DATOS!$C$1485))-(CROQUIS_DATOS!$C$1484)&gt;0.5,(CROQUIS_DATOS!$C$1486)-(0)&gt;0.5),(CROQUIS_DATOS!$C$1567+(IF(IF(MOD(MIN(INT(($A75-1)/2)+1,MAX(1,INT(((((CROQUIS_DATOS!$C$1484+CROQUIS_DATOS!$C$1485))-(CROQUIS_DATOS!$C$1484))+((CROQUIS_DATOS!$C$1486)*CROQUIS_DATOS!$C$1561-(0)*CROQUIS_DATOS!$C$1561))/CROQUIS_DATOS!$C$1568-0.000001))),2)=1,IF(INT(($A75-1)/2)+1&gt;MAX(1,INT(((((CROQUIS_DATOS!$C$1484+CROQUIS_DATOS!$C$1485))-(CROQUIS_DATOS!$C$1484))+((CROQUIS_DATOS!$C$1486)*CROQUIS_DATOS!$C$1561-(0)*CROQUIS_DATOS!$C$1561))/CROQUIS_DATOS!$C$1568-0.000001)),1,MOD($A75-1,2)),1-IF(INT(($A75-1)/2)+1&gt;MAX(1,INT(((((CROQUIS_DATOS!$C$1484+CROQUIS_DATOS!$C$1485))-(CROQUIS_DATOS!$C$1484))+((CROQUIS_DATOS!$C$1486)*CROQUIS_DATOS!$C$1561-(0)*CROQUIS_DATOS!$C$1561))/CROQUIS_DATOS!$C$1568-0.000001)),1,MOD($A75-1,2)))=1,MIN((CROQUIS_DATOS!$C$1486)*CROQUIS_DATOS!$C$1561,((CROQUIS_DATOS!$C$1484+CROQUIS_DATOS!$C$1485)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5">
        <f>IF(AND(CROQUIS_DATOS!$C$1472=1,CROQUIS_DATOS!$C$1478&gt;=2,((CROQUIS_DATOS!$C$1484+CROQUIS_DATOS!$C$1485))-(CROQUIS_DATOS!$C$1484)&gt;0.5,(CROQUIS_DATOS!$C$1476)-((CROQUIS_DATOS!$C$1486+CROQUIS_DATOS!$C$1487))&gt;0.5),(CROQUIS_DATOS!$C$1566+(IF(IF(MOD(MIN(INT(($A75-1)/2)+1,MAX(1,INT(((((CROQUIS_DATOS!$C$1484+CROQUIS_DATOS!$C$1485))-(CROQUIS_DATOS!$C$1484))+((CROQUIS_DATOS!$C$1476)*CROQUIS_DATOS!$C$1561-((CROQUIS_DATOS!$C$1486+CROQUIS_DATOS!$C$1487))*CROQUIS_DATOS!$C$1561))/CROQUIS_DATOS!$C$1568-0.000001))),2)=1,IF(INT(($A75-1)/2)+1&gt;MAX(1,INT(((((CROQUIS_DATOS!$C$1484+CROQUIS_DATOS!$C$1485))-(CROQUIS_DATOS!$C$1484))+((CROQUIS_DATOS!$C$1476)*CROQUIS_DATOS!$C$1561-((CROQUIS_DATOS!$C$1486+CROQUIS_DATOS!$C$1487))*CROQUIS_DATOS!$C$1561))/CROQUIS_DATOS!$C$1568-0.000001)),1,MOD($A75-1,2)),1-IF(INT(($A75-1)/2)+1&gt;MAX(1,INT(((((CROQUIS_DATOS!$C$1484+CROQUIS_DATOS!$C$1485))-(CROQUIS_DATOS!$C$1484))+((CROQUIS_DATOS!$C$1476)*CROQUIS_DATOS!$C$1561-((CROQUIS_DATOS!$C$1486+CROQUIS_DATOS!$C$1487))*CROQUIS_DATOS!$C$1561))/CROQUIS_DATOS!$C$1568-0.000001)),1,MOD($A75-1,2)))=1,MIN((CROQUIS_DATOS!$C$1476)*CROQUIS_DATOS!$C$1561,((CROQUIS_DATOS!$C$1484+CROQUIS_DATOS!$C$1485)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5">
        <f>IF(AND(CROQUIS_DATOS!$C$1472=1,CROQUIS_DATOS!$C$1478&gt;=2,((CROQUIS_DATOS!$C$1484+CROQUIS_DATOS!$C$1485))-(CROQUIS_DATOS!$C$1484)&gt;0.5,(CROQUIS_DATOS!$C$1476)-((CROQUIS_DATOS!$C$1486+CROQUIS_DATOS!$C$1487))&gt;0.5),(CROQUIS_DATOS!$C$1567+(IF(IF(MOD(MIN(INT(($A75-1)/2)+1,MAX(1,INT(((((CROQUIS_DATOS!$C$1484+CROQUIS_DATOS!$C$1485))-(CROQUIS_DATOS!$C$1484))+((CROQUIS_DATOS!$C$1476)*CROQUIS_DATOS!$C$1561-((CROQUIS_DATOS!$C$1486+CROQUIS_DATOS!$C$1487))*CROQUIS_DATOS!$C$1561))/CROQUIS_DATOS!$C$1568-0.000001))),2)=1,IF(INT(($A75-1)/2)+1&gt;MAX(1,INT(((((CROQUIS_DATOS!$C$1484+CROQUIS_DATOS!$C$1485))-(CROQUIS_DATOS!$C$1484))+((CROQUIS_DATOS!$C$1476)*CROQUIS_DATOS!$C$1561-((CROQUIS_DATOS!$C$1486+CROQUIS_DATOS!$C$1487))*CROQUIS_DATOS!$C$1561))/CROQUIS_DATOS!$C$1568-0.000001)),1,MOD($A75-1,2)),1-IF(INT(($A75-1)/2)+1&gt;MAX(1,INT(((((CROQUIS_DATOS!$C$1484+CROQUIS_DATOS!$C$1485))-(CROQUIS_DATOS!$C$1484))+((CROQUIS_DATOS!$C$1476)*CROQUIS_DATOS!$C$1561-((CROQUIS_DATOS!$C$1486+CROQUIS_DATOS!$C$1487))*CROQUIS_DATOS!$C$1561))/CROQUIS_DATOS!$C$1568-0.000001)),1,MOD($A75-1,2)))=1,MIN((CROQUIS_DATOS!$C$1476)*CROQUIS_DATOS!$C$1561,((CROQUIS_DATOS!$C$1484+CROQUIS_DATOS!$C$1485)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5">
        <f>IF(AND(CROQUIS_DATOS!$C$1472=1,CROQUIS_DATOS!$C$1478&gt;=3,((CROQUIS_DATOS!$C$1489+CROQUIS_DATOS!$C$1490))-(CROQUIS_DATOS!$C$1489)&gt;0.5,(CROQUIS_DATOS!$C$1491)-(0)&gt;0.5),(CROQUIS_DATOS!$C$1566+(IF(IF(MOD(MIN(INT(($A75-1)/2)+1,MAX(1,INT(((((CROQUIS_DATOS!$C$1489+CROQUIS_DATOS!$C$1490))-(CROQUIS_DATOS!$C$1489))+((CROQUIS_DATOS!$C$1491)*CROQUIS_DATOS!$C$1561-(0)*CROQUIS_DATOS!$C$1561))/CROQUIS_DATOS!$C$1568-0.000001))),2)=1,IF(INT(($A75-1)/2)+1&gt;MAX(1,INT(((((CROQUIS_DATOS!$C$1489+CROQUIS_DATOS!$C$1490))-(CROQUIS_DATOS!$C$1489))+((CROQUIS_DATOS!$C$1491)*CROQUIS_DATOS!$C$1561-(0)*CROQUIS_DATOS!$C$1561))/CROQUIS_DATOS!$C$1568-0.000001)),1,MOD($A75-1,2)),1-IF(INT(($A75-1)/2)+1&gt;MAX(1,INT(((((CROQUIS_DATOS!$C$1489+CROQUIS_DATOS!$C$1490))-(CROQUIS_DATOS!$C$1489))+((CROQUIS_DATOS!$C$1491)*CROQUIS_DATOS!$C$1561-(0)*CROQUIS_DATOS!$C$1561))/CROQUIS_DATOS!$C$1568-0.000001)),1,MOD($A75-1,2)))=1,MIN((CROQUIS_DATOS!$C$1491)*CROQUIS_DATOS!$C$1561,((CROQUIS_DATOS!$C$1489+CROQUIS_DATOS!$C$1490)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5">
        <f>IF(AND(CROQUIS_DATOS!$C$1472=1,CROQUIS_DATOS!$C$1478&gt;=3,((CROQUIS_DATOS!$C$1489+CROQUIS_DATOS!$C$1490))-(CROQUIS_DATOS!$C$1489)&gt;0.5,(CROQUIS_DATOS!$C$1491)-(0)&gt;0.5),(CROQUIS_DATOS!$C$1567+(IF(IF(MOD(MIN(INT(($A75-1)/2)+1,MAX(1,INT(((((CROQUIS_DATOS!$C$1489+CROQUIS_DATOS!$C$1490))-(CROQUIS_DATOS!$C$1489))+((CROQUIS_DATOS!$C$1491)*CROQUIS_DATOS!$C$1561-(0)*CROQUIS_DATOS!$C$1561))/CROQUIS_DATOS!$C$1568-0.000001))),2)=1,IF(INT(($A75-1)/2)+1&gt;MAX(1,INT(((((CROQUIS_DATOS!$C$1489+CROQUIS_DATOS!$C$1490))-(CROQUIS_DATOS!$C$1489))+((CROQUIS_DATOS!$C$1491)*CROQUIS_DATOS!$C$1561-(0)*CROQUIS_DATOS!$C$1561))/CROQUIS_DATOS!$C$1568-0.000001)),1,MOD($A75-1,2)),1-IF(INT(($A75-1)/2)+1&gt;MAX(1,INT(((((CROQUIS_DATOS!$C$1489+CROQUIS_DATOS!$C$1490))-(CROQUIS_DATOS!$C$1489))+((CROQUIS_DATOS!$C$1491)*CROQUIS_DATOS!$C$1561-(0)*CROQUIS_DATOS!$C$1561))/CROQUIS_DATOS!$C$1568-0.000001)),1,MOD($A75-1,2)))=1,MIN((CROQUIS_DATOS!$C$1491)*CROQUIS_DATOS!$C$1561,((CROQUIS_DATOS!$C$1489+CROQUIS_DATOS!$C$1490)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5">
        <f>IF(AND(CROQUIS_DATOS!$C$1472=1,CROQUIS_DATOS!$C$1478&gt;=3,((CROQUIS_DATOS!$C$1489+CROQUIS_DATOS!$C$1490))-(CROQUIS_DATOS!$C$1489)&gt;0.5,(CROQUIS_DATOS!$C$1476)-((CROQUIS_DATOS!$C$1491+CROQUIS_DATOS!$C$1492))&gt;0.5),(CROQUIS_DATOS!$C$1566+(IF(IF(MOD(MIN(INT(($A75-1)/2)+1,MAX(1,INT(((((CROQUIS_DATOS!$C$1489+CROQUIS_DATOS!$C$1490))-(CROQUIS_DATOS!$C$1489))+((CROQUIS_DATOS!$C$1476)*CROQUIS_DATOS!$C$1561-((CROQUIS_DATOS!$C$1491+CROQUIS_DATOS!$C$1492))*CROQUIS_DATOS!$C$1561))/CROQUIS_DATOS!$C$1568-0.000001))),2)=1,IF(INT(($A75-1)/2)+1&gt;MAX(1,INT(((((CROQUIS_DATOS!$C$1489+CROQUIS_DATOS!$C$1490))-(CROQUIS_DATOS!$C$1489))+((CROQUIS_DATOS!$C$1476)*CROQUIS_DATOS!$C$1561-((CROQUIS_DATOS!$C$1491+CROQUIS_DATOS!$C$1492))*CROQUIS_DATOS!$C$1561))/CROQUIS_DATOS!$C$1568-0.000001)),1,MOD($A75-1,2)),1-IF(INT(($A75-1)/2)+1&gt;MAX(1,INT(((((CROQUIS_DATOS!$C$1489+CROQUIS_DATOS!$C$1490))-(CROQUIS_DATOS!$C$1489))+((CROQUIS_DATOS!$C$1476)*CROQUIS_DATOS!$C$1561-((CROQUIS_DATOS!$C$1491+CROQUIS_DATOS!$C$1492))*CROQUIS_DATOS!$C$1561))/CROQUIS_DATOS!$C$1568-0.000001)),1,MOD($A75-1,2)))=1,MIN((CROQUIS_DATOS!$C$1476)*CROQUIS_DATOS!$C$1561,((CROQUIS_DATOS!$C$1489+CROQUIS_DATOS!$C$1490)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5">
        <f>IF(AND(CROQUIS_DATOS!$C$1472=1,CROQUIS_DATOS!$C$1478&gt;=3,((CROQUIS_DATOS!$C$1489+CROQUIS_DATOS!$C$1490))-(CROQUIS_DATOS!$C$1489)&gt;0.5,(CROQUIS_DATOS!$C$1476)-((CROQUIS_DATOS!$C$1491+CROQUIS_DATOS!$C$1492))&gt;0.5),(CROQUIS_DATOS!$C$1567+(IF(IF(MOD(MIN(INT(($A75-1)/2)+1,MAX(1,INT(((((CROQUIS_DATOS!$C$1489+CROQUIS_DATOS!$C$1490))-(CROQUIS_DATOS!$C$1489))+((CROQUIS_DATOS!$C$1476)*CROQUIS_DATOS!$C$1561-((CROQUIS_DATOS!$C$1491+CROQUIS_DATOS!$C$1492))*CROQUIS_DATOS!$C$1561))/CROQUIS_DATOS!$C$1568-0.000001))),2)=1,IF(INT(($A75-1)/2)+1&gt;MAX(1,INT(((((CROQUIS_DATOS!$C$1489+CROQUIS_DATOS!$C$1490))-(CROQUIS_DATOS!$C$1489))+((CROQUIS_DATOS!$C$1476)*CROQUIS_DATOS!$C$1561-((CROQUIS_DATOS!$C$1491+CROQUIS_DATOS!$C$1492))*CROQUIS_DATOS!$C$1561))/CROQUIS_DATOS!$C$1568-0.000001)),1,MOD($A75-1,2)),1-IF(INT(($A75-1)/2)+1&gt;MAX(1,INT(((((CROQUIS_DATOS!$C$1489+CROQUIS_DATOS!$C$1490))-(CROQUIS_DATOS!$C$1489))+((CROQUIS_DATOS!$C$1476)*CROQUIS_DATOS!$C$1561-((CROQUIS_DATOS!$C$1491+CROQUIS_DATOS!$C$1492))*CROQUIS_DATOS!$C$1561))/CROQUIS_DATOS!$C$1568-0.000001)),1,MOD($A75-1,2)))=1,MIN((CROQUIS_DATOS!$C$1476)*CROQUIS_DATOS!$C$1561,((CROQUIS_DATOS!$C$1489+CROQUIS_DATOS!$C$1490)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5">
        <f>IF(AND(CROQUIS_DATOS!$C$1472=1,CROQUIS_DATOS!$C$1478&gt;=4,((CROQUIS_DATOS!$C$1494+CROQUIS_DATOS!$C$1495))-(CROQUIS_DATOS!$C$1494)&gt;0.5,(CROQUIS_DATOS!$C$1496)-(0)&gt;0.5),(CROQUIS_DATOS!$C$1566+(IF(IF(MOD(MIN(INT(($A75-1)/2)+1,MAX(1,INT(((((CROQUIS_DATOS!$C$1494+CROQUIS_DATOS!$C$1495))-(CROQUIS_DATOS!$C$1494))+((CROQUIS_DATOS!$C$1496)*CROQUIS_DATOS!$C$1561-(0)*CROQUIS_DATOS!$C$1561))/CROQUIS_DATOS!$C$1568-0.000001))),2)=1,IF(INT(($A75-1)/2)+1&gt;MAX(1,INT(((((CROQUIS_DATOS!$C$1494+CROQUIS_DATOS!$C$1495))-(CROQUIS_DATOS!$C$1494))+((CROQUIS_DATOS!$C$1496)*CROQUIS_DATOS!$C$1561-(0)*CROQUIS_DATOS!$C$1561))/CROQUIS_DATOS!$C$1568-0.000001)),1,MOD($A75-1,2)),1-IF(INT(($A75-1)/2)+1&gt;MAX(1,INT(((((CROQUIS_DATOS!$C$1494+CROQUIS_DATOS!$C$1495))-(CROQUIS_DATOS!$C$1494))+((CROQUIS_DATOS!$C$1496)*CROQUIS_DATOS!$C$1561-(0)*CROQUIS_DATOS!$C$1561))/CROQUIS_DATOS!$C$1568-0.000001)),1,MOD($A75-1,2)))=1,MIN((CROQUIS_DATOS!$C$1496)*CROQUIS_DATOS!$C$1561,((CROQUIS_DATOS!$C$1494+CROQUIS_DATOS!$C$1495)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5">
        <f>IF(AND(CROQUIS_DATOS!$C$1472=1,CROQUIS_DATOS!$C$1478&gt;=4,((CROQUIS_DATOS!$C$1494+CROQUIS_DATOS!$C$1495))-(CROQUIS_DATOS!$C$1494)&gt;0.5,(CROQUIS_DATOS!$C$1496)-(0)&gt;0.5),(CROQUIS_DATOS!$C$1567+(IF(IF(MOD(MIN(INT(($A75-1)/2)+1,MAX(1,INT(((((CROQUIS_DATOS!$C$1494+CROQUIS_DATOS!$C$1495))-(CROQUIS_DATOS!$C$1494))+((CROQUIS_DATOS!$C$1496)*CROQUIS_DATOS!$C$1561-(0)*CROQUIS_DATOS!$C$1561))/CROQUIS_DATOS!$C$1568-0.000001))),2)=1,IF(INT(($A75-1)/2)+1&gt;MAX(1,INT(((((CROQUIS_DATOS!$C$1494+CROQUIS_DATOS!$C$1495))-(CROQUIS_DATOS!$C$1494))+((CROQUIS_DATOS!$C$1496)*CROQUIS_DATOS!$C$1561-(0)*CROQUIS_DATOS!$C$1561))/CROQUIS_DATOS!$C$1568-0.000001)),1,MOD($A75-1,2)),1-IF(INT(($A75-1)/2)+1&gt;MAX(1,INT(((((CROQUIS_DATOS!$C$1494+CROQUIS_DATOS!$C$1495))-(CROQUIS_DATOS!$C$1494))+((CROQUIS_DATOS!$C$1496)*CROQUIS_DATOS!$C$1561-(0)*CROQUIS_DATOS!$C$1561))/CROQUIS_DATOS!$C$1568-0.000001)),1,MOD($A75-1,2)))=1,MIN((CROQUIS_DATOS!$C$1496)*CROQUIS_DATOS!$C$1561,((CROQUIS_DATOS!$C$1494+CROQUIS_DATOS!$C$1495)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5">
        <f>IF(AND(CROQUIS_DATOS!$C$1472=1,CROQUIS_DATOS!$C$1478&gt;=4,((CROQUIS_DATOS!$C$1494+CROQUIS_DATOS!$C$1495))-(CROQUIS_DATOS!$C$1494)&gt;0.5,(CROQUIS_DATOS!$C$1476)-((CROQUIS_DATOS!$C$1496+CROQUIS_DATOS!$C$1497))&gt;0.5),(CROQUIS_DATOS!$C$1566+(IF(IF(MOD(MIN(INT(($A75-1)/2)+1,MAX(1,INT(((((CROQUIS_DATOS!$C$1494+CROQUIS_DATOS!$C$1495))-(CROQUIS_DATOS!$C$1494))+((CROQUIS_DATOS!$C$1476)*CROQUIS_DATOS!$C$1561-((CROQUIS_DATOS!$C$1496+CROQUIS_DATOS!$C$1497))*CROQUIS_DATOS!$C$1561))/CROQUIS_DATOS!$C$1568-0.000001))),2)=1,IF(INT(($A75-1)/2)+1&gt;MAX(1,INT(((((CROQUIS_DATOS!$C$1494+CROQUIS_DATOS!$C$1495))-(CROQUIS_DATOS!$C$1494))+((CROQUIS_DATOS!$C$1476)*CROQUIS_DATOS!$C$1561-((CROQUIS_DATOS!$C$1496+CROQUIS_DATOS!$C$1497))*CROQUIS_DATOS!$C$1561))/CROQUIS_DATOS!$C$1568-0.000001)),1,MOD($A75-1,2)),1-IF(INT(($A75-1)/2)+1&gt;MAX(1,INT(((((CROQUIS_DATOS!$C$1494+CROQUIS_DATOS!$C$1495))-(CROQUIS_DATOS!$C$1494))+((CROQUIS_DATOS!$C$1476)*CROQUIS_DATOS!$C$1561-((CROQUIS_DATOS!$C$1496+CROQUIS_DATOS!$C$1497))*CROQUIS_DATOS!$C$1561))/CROQUIS_DATOS!$C$1568-0.000001)),1,MOD($A75-1,2)))=1,MIN((CROQUIS_DATOS!$C$1476)*CROQUIS_DATOS!$C$1561,((CROQUIS_DATOS!$C$1494+CROQUIS_DATOS!$C$1495)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5">
        <f>IF(AND(CROQUIS_DATOS!$C$1472=1,CROQUIS_DATOS!$C$1478&gt;=4,((CROQUIS_DATOS!$C$1494+CROQUIS_DATOS!$C$1495))-(CROQUIS_DATOS!$C$1494)&gt;0.5,(CROQUIS_DATOS!$C$1476)-((CROQUIS_DATOS!$C$1496+CROQUIS_DATOS!$C$1497))&gt;0.5),(CROQUIS_DATOS!$C$1567+(IF(IF(MOD(MIN(INT(($A75-1)/2)+1,MAX(1,INT(((((CROQUIS_DATOS!$C$1494+CROQUIS_DATOS!$C$1495))-(CROQUIS_DATOS!$C$1494))+((CROQUIS_DATOS!$C$1476)*CROQUIS_DATOS!$C$1561-((CROQUIS_DATOS!$C$1496+CROQUIS_DATOS!$C$1497))*CROQUIS_DATOS!$C$1561))/CROQUIS_DATOS!$C$1568-0.000001))),2)=1,IF(INT(($A75-1)/2)+1&gt;MAX(1,INT(((((CROQUIS_DATOS!$C$1494+CROQUIS_DATOS!$C$1495))-(CROQUIS_DATOS!$C$1494))+((CROQUIS_DATOS!$C$1476)*CROQUIS_DATOS!$C$1561-((CROQUIS_DATOS!$C$1496+CROQUIS_DATOS!$C$1497))*CROQUIS_DATOS!$C$1561))/CROQUIS_DATOS!$C$1568-0.000001)),1,MOD($A75-1,2)),1-IF(INT(($A75-1)/2)+1&gt;MAX(1,INT(((((CROQUIS_DATOS!$C$1494+CROQUIS_DATOS!$C$1495))-(CROQUIS_DATOS!$C$1494))+((CROQUIS_DATOS!$C$1476)*CROQUIS_DATOS!$C$1561-((CROQUIS_DATOS!$C$1496+CROQUIS_DATOS!$C$1497))*CROQUIS_DATOS!$C$1561))/CROQUIS_DATOS!$C$1568-0.000001)),1,MOD($A75-1,2)))=1,MIN((CROQUIS_DATOS!$C$1476)*CROQUIS_DATOS!$C$1561,((CROQUIS_DATOS!$C$1494+CROQUIS_DATOS!$C$1495)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5">
        <f>IF(AND(CROQUIS_DATOS!$C$1472=1,1),(CROQUIS_DATOS!$C$1571+(CHOOSE(MIN(MAX(IF(INT(($A75-1)/5)+1&gt;CROQUIS_DATOS!$C$1525,5,MOD($A75-1,5)+1),1),5),(INDEX($E$8:$E$23,MIN(INT(($A75-1)/5)+1,CROQUIS_DATOS!$C$1525))-INDEX($F$8:$F$23,MIN(INT(($A75-1)/5)+1,CROQUIS_DATOS!$C$1525))/2),(INDEX($E$8:$E$23,MIN(INT(($A75-1)/5)+1,CROQUIS_DATOS!$C$1525))+INDEX($F$8:$F$23,MIN(INT(($A75-1)/5)+1,CROQUIS_DATOS!$C$1525))/2),(INDEX($E$8:$E$23,MIN(INT(($A75-1)/5)+1,CROQUIS_DATOS!$C$1525))+INDEX($F$8:$F$23,MIN(INT(($A75-1)/5)+1,CROQUIS_DATOS!$C$1525))/2),(INDEX($E$8:$E$23,MIN(INT(($A75-1)/5)+1,CROQUIS_DATOS!$C$1525))-INDEX($F$8:$F$23,MIN(INT(($A75-1)/5)+1,CROQUIS_DATOS!$C$1525))/2),(INDEX($E$8:$E$23,MIN(INT(($A75-1)/5)+1,CROQUIS_DATOS!$C$1525))-INDEX($F$8:$F$23,MIN(INT(($A75-1)/5)+1,CROQUIS_DATOS!$C$1525))/2)))*CROQUIS_DATOS!$C$1569),-1000)</f>
        <v>95.24</v>
      </c>
      <c r="GE75">
        <f>IF(AND(CROQUIS_DATOS!$C$1472=1,1),(CROQUIS_DATOS!$C$1572+(CHOOSE(MIN(MAX(IF(INT(($A75-1)/5)+1&gt;CROQUIS_DATOS!$C$1525,5,MOD($A75-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6">
      <c r="A76" t="n">
        <v>69</v>
      </c>
      <c r="N76">
        <f>IF(AND(CROQUIS_DATOS!$C$1472=1,1),(CROQUIS_DATOS!$C$1563+(IF(IF(IF(INT(($A76-1)/70)+1&gt;CROQUIS_DATOS!$C$1525,70,MOD($A76-1,70)+1)=1,0,IF(IF(INT(($A76-1)/70)+1&gt;CROQUIS_DATOS!$C$1525,70,MOD($A76-1,70)+1)&gt;2*CROQUIS_DATOS!$C$1541+1,IF(MOD(CROQUIS_DATOS!$C$1541,2)=1,1,0),IF(MOD(MIN(INT((IF(INT(($A76-1)/70)+1&gt;CROQUIS_DATOS!$C$1525,70,MOD($A76-1,70)+1)-2)/2)+1,CROQUIS_DATOS!$C$1541),2)=1,IF(MOD(IF(INT(($A76-1)/70)+1&gt;CROQUIS_DATOS!$C$1525,70,MOD($A76-1,70)+1)-2,2)=0,0,1),IF(MOD(IF(INT(($A76-1)/70)+1&gt;CROQUIS_DATOS!$C$1525,70,MOD($A76-1,70)+1)-2,2)=0,1,0))))=0,(INDEX($E$8:$E$23,MIN(INT(($A76-1)/70)+1,CROQUIS_DATOS!$C$1525))-INDEX($F$8:$F$23,MIN(INT(($A76-1)/70)+1,CROQUIS_DATOS!$C$1525))/2),(INDEX($E$8:$E$23,MIN(INT(($A76-1)/70)+1,CROQUIS_DATOS!$C$1525))+INDEX($F$8:$F$23,MIN(INT(($A76-1)/70)+1,CROQUIS_DATOS!$C$1525))/2)))*CROQUIS_DATOS!$C$1562),-1000)</f>
        <v>15.0862068965517</v>
      </c>
      <c r="O76">
        <f>IF(AND(CROQUIS_DATOS!$C$1472=1,1),(CROQUIS_DATOS!$C$1564+(IF(OR(IF(INT(($A76-1)/70)+1&gt;CROQUIS_DATOS!$C$1525,70,MOD($A76-1,70)+1)=1,IF(INT(($A76-1)/70)+1&gt;CROQUIS_DATOS!$C$1525,70,MOD($A76-1,70)+1)&gt;2*CROQUIS_DATOS!$C$1541+1),CROQUIS_DATOS!$C$1476,INDEX($H$8:$H$41,MIN(INT((IF(INT(($A76-1)/70)+1&gt;CROQUIS_DATOS!$C$1525,70,MOD($A76-1,70)+1)-2)/2)+1,CROQUIS_DATOS!$C$1541))))*CROQUIS_DATOS!$C$1561*CROQUIS_DATOS!$C$1562),-1000)</f>
        <v>40.2068965517241</v>
      </c>
      <c r="P76">
        <f>IF(AND(CROQUIS_DATOS!$C$1472=1,CROQUIS_DATOS!$C$1555=1),(CROQUIS_DATOS!$C$1563+(IF(IF(OR(MOD($A76-1,62)+1=1,IF(CHOOSE(MIN(MAX(MIN(INT(($A76-1)/62)+1,5),1),5),CROQUIS_DATOS!$C$1501,CROQUIS_DATOS!$C$1505,CROQUIS_DATOS!$C$1509,CROQUIS_DATOS!$C$1513,CROQUIS_DATOS!$C$1517)=1,CROQUIS_DATOS!$C$1557,0)=0),0,IF(MOD($A76-1,62)+1&gt;2*IF(CHOOSE(MIN(MAX(MIN(INT(($A76-1)/62)+1,5),1),5),CROQUIS_DATOS!$C$1501,CROQUIS_DATOS!$C$1505,CROQUIS_DATOS!$C$1509,CROQUIS_DATOS!$C$1513,CROQUIS_DATOS!$C$1517)=1,CROQUIS_DATOS!$C$1557,0)+1,IF(MOD(IF(CHOOSE(MIN(MAX(MIN(INT(($A76-1)/62)+1,5),1),5),CROQUIS_DATOS!$C$1501,CROQUIS_DATOS!$C$1505,CROQUIS_DATOS!$C$1509,CROQUIS_DATOS!$C$1513,CROQUIS_DATOS!$C$1517)=1,CROQUIS_DATOS!$C$1557,0),2)=1,1,0),IF(MOD(MIN(INT((MOD($A76-1,62)+1-2)/2)+1,MAX(IF(CHOOSE(MIN(MAX(MIN(INT(($A76-1)/62)+1,5),1),5),CROQUIS_DATOS!$C$1501,CROQUIS_DATOS!$C$1505,CROQUIS_DATOS!$C$1509,CROQUIS_DATOS!$C$1513,CROQUIS_DATOS!$C$1517)=1,CROQUIS_DATOS!$C$1557,0),1)),2)=1,IF(MOD(MOD($A76-1,62)+1-2,2)=0,0,1),IF(MOD(MOD($A76-1,62)+1-2,2)=0,1,0))))=0,(CHOOSE(MIN(MAX(MIN(INT(($A76-1)/62)+1,5),1),5),CROQUIS_DATOS!$C$1499,CROQUIS_DATOS!$C$1503,CROQUIS_DATOS!$C$1507,CROQUIS_DATOS!$C$1511,CROQUIS_DATOS!$C$1515)+IF(CHOOSE(MIN(MAX(MIN(INT(($A76-1)/62)+1,5),1),5),CROQUIS_DATOS!$C$1501,CROQUIS_DATOS!$C$1505,CROQUIS_DATOS!$C$1509,CROQUIS_DATOS!$C$1513,CROQUIS_DATOS!$C$1517)=1,CROQUIS_DATOS!$C$1526,0)),(CHOOSE(MIN(MAX(MIN(INT(($A76-1)/62)+1,5),1),5),CROQUIS_DATOS!$C$1499,CROQUIS_DATOS!$C$1503,CROQUIS_DATOS!$C$1507,CROQUIS_DATOS!$C$1511,CROQUIS_DATOS!$C$1515)+CHOOSE(MIN(MAX(MIN(INT(($A76-1)/62)+1,5),1),5),CROQUIS_DATOS!$C$1500,CROQUIS_DATOS!$C$1504,CROQUIS_DATOS!$C$1508,CROQUIS_DATOS!$C$1512,CROQUIS_DATOS!$C$1516)-IF(CHOOSE(MIN(MAX(MIN(INT(($A76-1)/62)+1,5),1),5),CROQUIS_DATOS!$C$1501,CROQUIS_DATOS!$C$1505,CROQUIS_DATOS!$C$1509,CROQUIS_DATOS!$C$1513,CROQUIS_DATOS!$C$1517)=1,CROQUIS_DATOS!$C$1526,0))))*CROQUIS_DATOS!$C$1562),-1000)</f>
        <v>-1000</v>
      </c>
      <c r="Q76">
        <f>IF(AND(CROQUIS_DATOS!$C$1472=1,CROQUIS_DATOS!$C$1555=1),(CROQUIS_DATOS!$C$1564+(IF(OR(OR(MOD($A76-1,62)+1=1,IF(CHOOSE(MIN(MAX(MIN(INT(($A76-1)/62)+1,5),1),5),CROQUIS_DATOS!$C$1501,CROQUIS_DATOS!$C$1505,CROQUIS_DATOS!$C$1509,CROQUIS_DATOS!$C$1513,CROQUIS_DATOS!$C$1517)=1,CROQUIS_DATOS!$C$1557,0)=0),MOD($A76-1,62)+1&gt;2*IF(CHOOSE(MIN(MAX(MIN(INT(($A76-1)/62)+1,5),1),5),CROQUIS_DATOS!$C$1501,CROQUIS_DATOS!$C$1505,CROQUIS_DATOS!$C$1509,CROQUIS_DATOS!$C$1513,CROQUIS_DATOS!$C$1517)=1,CROQUIS_DATOS!$C$1557,0)+1),CROQUIS_DATOS!$C$1476,MIN(INT((MOD($A76-1,62)+1-2)/2)+1,MAX(IF(CHOOSE(MIN(MAX(MIN(INT(($A76-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6">
        <f>IF(AND(CROQUIS_DATOS!$C$1472=1,1),(CROQUIS_DATOS!$C$1563+(MIN(INT(($A76-1)/2)+1,CROQUIS_DATOS!$C$1558)*CROQUIS_DATOS!$C$1559)*CROQUIS_DATOS!$C$1562),-1000)</f>
        <v>82.2281167108753</v>
      </c>
      <c r="U76">
        <f>IF(AND(CROQUIS_DATOS!$C$1472=1,1),(CROQUIS_DATOS!$C$1564+(IF(INT(($A76-1)/2)+1&gt;CROQUIS_DATOS!$C$1558,IF(MOD(CROQUIS_DATOS!$C$1558,2)=1,CROQUIS_DATOS!$C$1476+CROQUIS_DATOS!$C$1528,CROQUIS_DATOS!$C$1476),IF(IF(MOD(MIN(INT(($A76-1)/2)+1,CROQUIS_DATOS!$C$1558),2)=1,MOD($A76-1,2),1-MOD($A76-1,2))=1,CROQUIS_DATOS!$C$1476+CROQUIS_DATOS!$C$1528,CROQUIS_DATOS!$C$1476)))*CROQUIS_DATOS!$C$1561*CROQUIS_DATOS!$C$1562),-1000)</f>
        <v>43</v>
      </c>
      <c r="BZ76">
        <f>IF(AND(CROQUIS_DATOS!$C$1472=1,CROQUIS_DATOS!$C$1500&gt;0,((CROQUIS_DATOS!$C$1499+CROQUIS_DATOS!$C$1500))-(CROQUIS_DATOS!$C$1499)&gt;0.5,(CROQUIS_DATOS!$C$1476)-(0)&gt;0.5),(CROQUIS_DATOS!$C$1566+(IF(IF(MOD(MIN(INT(($A76-1)/2)+1,MAX(1,INT(((((CROQUIS_DATOS!$C$1499+CROQUIS_DATOS!$C$1500))-(CROQUIS_DATOS!$C$1499))+((CROQUIS_DATOS!$C$1476)*CROQUIS_DATOS!$C$1561-(0)*CROQUIS_DATOS!$C$1561))/CROQUIS_DATOS!$C$1568-0.000001))),2)=1,IF(INT(($A76-1)/2)+1&gt;MAX(1,INT(((((CROQUIS_DATOS!$C$1499+CROQUIS_DATOS!$C$1500))-(CROQUIS_DATOS!$C$1499))+((CROQUIS_DATOS!$C$1476)*CROQUIS_DATOS!$C$1561-(0)*CROQUIS_DATOS!$C$1561))/CROQUIS_DATOS!$C$1568-0.000001)),1,MOD($A76-1,2)),1-IF(INT(($A76-1)/2)+1&gt;MAX(1,INT(((((CROQUIS_DATOS!$C$1499+CROQUIS_DATOS!$C$1500))-(CROQUIS_DATOS!$C$1499))+((CROQUIS_DATOS!$C$1476)*CROQUIS_DATOS!$C$1561-(0)*CROQUIS_DATOS!$C$1561))/CROQUIS_DATOS!$C$1568-0.000001)),1,MOD($A76-1,2)))=1,MIN((CROQUIS_DATOS!$C$1476)*CROQUIS_DATOS!$C$1561,((CROQUIS_DATOS!$C$1499+CROQUIS_DATOS!$C$1500)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6">
        <f>IF(AND(CROQUIS_DATOS!$C$1472=1,CROQUIS_DATOS!$C$1500&gt;0,((CROQUIS_DATOS!$C$1499+CROQUIS_DATOS!$C$1500))-(CROQUIS_DATOS!$C$1499)&gt;0.5,(CROQUIS_DATOS!$C$1476)-(0)&gt;0.5),(CROQUIS_DATOS!$C$1567+(IF(IF(MOD(MIN(INT(($A76-1)/2)+1,MAX(1,INT(((((CROQUIS_DATOS!$C$1499+CROQUIS_DATOS!$C$1500))-(CROQUIS_DATOS!$C$1499))+((CROQUIS_DATOS!$C$1476)*CROQUIS_DATOS!$C$1561-(0)*CROQUIS_DATOS!$C$1561))/CROQUIS_DATOS!$C$1568-0.000001))),2)=1,IF(INT(($A76-1)/2)+1&gt;MAX(1,INT(((((CROQUIS_DATOS!$C$1499+CROQUIS_DATOS!$C$1500))-(CROQUIS_DATOS!$C$1499))+((CROQUIS_DATOS!$C$1476)*CROQUIS_DATOS!$C$1561-(0)*CROQUIS_DATOS!$C$1561))/CROQUIS_DATOS!$C$1568-0.000001)),1,MOD($A76-1,2)),1-IF(INT(($A76-1)/2)+1&gt;MAX(1,INT(((((CROQUIS_DATOS!$C$1499+CROQUIS_DATOS!$C$1500))-(CROQUIS_DATOS!$C$1499))+((CROQUIS_DATOS!$C$1476)*CROQUIS_DATOS!$C$1561-(0)*CROQUIS_DATOS!$C$1561))/CROQUIS_DATOS!$C$1568-0.000001)),1,MOD($A76-1,2)))=1,MIN((CROQUIS_DATOS!$C$1476)*CROQUIS_DATOS!$C$1561,((CROQUIS_DATOS!$C$1499+CROQUIS_DATOS!$C$1500)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6">
        <f>IF(AND(CROQUIS_DATOS!$C$1472=1,CROQUIS_DATOS!$C$1504&gt;0,((CROQUIS_DATOS!$C$1503+CROQUIS_DATOS!$C$1504))-(CROQUIS_DATOS!$C$1503)&gt;0.5,(CROQUIS_DATOS!$C$1476)-(0)&gt;0.5),(CROQUIS_DATOS!$C$1566+(IF(IF(MOD(MIN(INT(($A76-1)/2)+1,MAX(1,INT(((((CROQUIS_DATOS!$C$1503+CROQUIS_DATOS!$C$1504))-(CROQUIS_DATOS!$C$1503))+((CROQUIS_DATOS!$C$1476)*CROQUIS_DATOS!$C$1561-(0)*CROQUIS_DATOS!$C$1561))/CROQUIS_DATOS!$C$1568-0.000001))),2)=1,IF(INT(($A76-1)/2)+1&gt;MAX(1,INT(((((CROQUIS_DATOS!$C$1503+CROQUIS_DATOS!$C$1504))-(CROQUIS_DATOS!$C$1503))+((CROQUIS_DATOS!$C$1476)*CROQUIS_DATOS!$C$1561-(0)*CROQUIS_DATOS!$C$1561))/CROQUIS_DATOS!$C$1568-0.000001)),1,MOD($A76-1,2)),1-IF(INT(($A76-1)/2)+1&gt;MAX(1,INT(((((CROQUIS_DATOS!$C$1503+CROQUIS_DATOS!$C$1504))-(CROQUIS_DATOS!$C$1503))+((CROQUIS_DATOS!$C$1476)*CROQUIS_DATOS!$C$1561-(0)*CROQUIS_DATOS!$C$1561))/CROQUIS_DATOS!$C$1568-0.000001)),1,MOD($A76-1,2)))=1,MIN((CROQUIS_DATOS!$C$1476)*CROQUIS_DATOS!$C$1561,((CROQUIS_DATOS!$C$1503+CROQUIS_DATOS!$C$1504)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6">
        <f>IF(AND(CROQUIS_DATOS!$C$1472=1,CROQUIS_DATOS!$C$1504&gt;0,((CROQUIS_DATOS!$C$1503+CROQUIS_DATOS!$C$1504))-(CROQUIS_DATOS!$C$1503)&gt;0.5,(CROQUIS_DATOS!$C$1476)-(0)&gt;0.5),(CROQUIS_DATOS!$C$1567+(IF(IF(MOD(MIN(INT(($A76-1)/2)+1,MAX(1,INT(((((CROQUIS_DATOS!$C$1503+CROQUIS_DATOS!$C$1504))-(CROQUIS_DATOS!$C$1503))+((CROQUIS_DATOS!$C$1476)*CROQUIS_DATOS!$C$1561-(0)*CROQUIS_DATOS!$C$1561))/CROQUIS_DATOS!$C$1568-0.000001))),2)=1,IF(INT(($A76-1)/2)+1&gt;MAX(1,INT(((((CROQUIS_DATOS!$C$1503+CROQUIS_DATOS!$C$1504))-(CROQUIS_DATOS!$C$1503))+((CROQUIS_DATOS!$C$1476)*CROQUIS_DATOS!$C$1561-(0)*CROQUIS_DATOS!$C$1561))/CROQUIS_DATOS!$C$1568-0.000001)),1,MOD($A76-1,2)),1-IF(INT(($A76-1)/2)+1&gt;MAX(1,INT(((((CROQUIS_DATOS!$C$1503+CROQUIS_DATOS!$C$1504))-(CROQUIS_DATOS!$C$1503))+((CROQUIS_DATOS!$C$1476)*CROQUIS_DATOS!$C$1561-(0)*CROQUIS_DATOS!$C$1561))/CROQUIS_DATOS!$C$1568-0.000001)),1,MOD($A76-1,2)))=1,MIN((CROQUIS_DATOS!$C$1476)*CROQUIS_DATOS!$C$1561,((CROQUIS_DATOS!$C$1503+CROQUIS_DATOS!$C$1504)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6">
        <f>IF(AND(CROQUIS_DATOS!$C$1472=1,CROQUIS_DATOS!$C$1508&gt;0,((CROQUIS_DATOS!$C$1507+CROQUIS_DATOS!$C$1508))-(CROQUIS_DATOS!$C$1507)&gt;0.5,(CROQUIS_DATOS!$C$1476)-(0)&gt;0.5),(CROQUIS_DATOS!$C$1566+(IF(IF(MOD(MIN(INT(($A76-1)/2)+1,MAX(1,INT(((((CROQUIS_DATOS!$C$1507+CROQUIS_DATOS!$C$1508))-(CROQUIS_DATOS!$C$1507))+((CROQUIS_DATOS!$C$1476)*CROQUIS_DATOS!$C$1561-(0)*CROQUIS_DATOS!$C$1561))/CROQUIS_DATOS!$C$1568-0.000001))),2)=1,IF(INT(($A76-1)/2)+1&gt;MAX(1,INT(((((CROQUIS_DATOS!$C$1507+CROQUIS_DATOS!$C$1508))-(CROQUIS_DATOS!$C$1507))+((CROQUIS_DATOS!$C$1476)*CROQUIS_DATOS!$C$1561-(0)*CROQUIS_DATOS!$C$1561))/CROQUIS_DATOS!$C$1568-0.000001)),1,MOD($A76-1,2)),1-IF(INT(($A76-1)/2)+1&gt;MAX(1,INT(((((CROQUIS_DATOS!$C$1507+CROQUIS_DATOS!$C$1508))-(CROQUIS_DATOS!$C$1507))+((CROQUIS_DATOS!$C$1476)*CROQUIS_DATOS!$C$1561-(0)*CROQUIS_DATOS!$C$1561))/CROQUIS_DATOS!$C$1568-0.000001)),1,MOD($A76-1,2)))=1,MIN((CROQUIS_DATOS!$C$1476)*CROQUIS_DATOS!$C$1561,((CROQUIS_DATOS!$C$1507+CROQUIS_DATOS!$C$1508)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6">
        <f>IF(AND(CROQUIS_DATOS!$C$1472=1,CROQUIS_DATOS!$C$1508&gt;0,((CROQUIS_DATOS!$C$1507+CROQUIS_DATOS!$C$1508))-(CROQUIS_DATOS!$C$1507)&gt;0.5,(CROQUIS_DATOS!$C$1476)-(0)&gt;0.5),(CROQUIS_DATOS!$C$1567+(IF(IF(MOD(MIN(INT(($A76-1)/2)+1,MAX(1,INT(((((CROQUIS_DATOS!$C$1507+CROQUIS_DATOS!$C$1508))-(CROQUIS_DATOS!$C$1507))+((CROQUIS_DATOS!$C$1476)*CROQUIS_DATOS!$C$1561-(0)*CROQUIS_DATOS!$C$1561))/CROQUIS_DATOS!$C$1568-0.000001))),2)=1,IF(INT(($A76-1)/2)+1&gt;MAX(1,INT(((((CROQUIS_DATOS!$C$1507+CROQUIS_DATOS!$C$1508))-(CROQUIS_DATOS!$C$1507))+((CROQUIS_DATOS!$C$1476)*CROQUIS_DATOS!$C$1561-(0)*CROQUIS_DATOS!$C$1561))/CROQUIS_DATOS!$C$1568-0.000001)),1,MOD($A76-1,2)),1-IF(INT(($A76-1)/2)+1&gt;MAX(1,INT(((((CROQUIS_DATOS!$C$1507+CROQUIS_DATOS!$C$1508))-(CROQUIS_DATOS!$C$1507))+((CROQUIS_DATOS!$C$1476)*CROQUIS_DATOS!$C$1561-(0)*CROQUIS_DATOS!$C$1561))/CROQUIS_DATOS!$C$1568-0.000001)),1,MOD($A76-1,2)))=1,MIN((CROQUIS_DATOS!$C$1476)*CROQUIS_DATOS!$C$1561,((CROQUIS_DATOS!$C$1507+CROQUIS_DATOS!$C$1508)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6">
        <f>IF(AND(CROQUIS_DATOS!$C$1472=1,CROQUIS_DATOS!$C$1512&gt;0,((CROQUIS_DATOS!$C$1511+CROQUIS_DATOS!$C$1512))-(CROQUIS_DATOS!$C$1511)&gt;0.5,(CROQUIS_DATOS!$C$1476)-(0)&gt;0.5),(CROQUIS_DATOS!$C$1566+(IF(IF(MOD(MIN(INT(($A76-1)/2)+1,MAX(1,INT(((((CROQUIS_DATOS!$C$1511+CROQUIS_DATOS!$C$1512))-(CROQUIS_DATOS!$C$1511))+((CROQUIS_DATOS!$C$1476)*CROQUIS_DATOS!$C$1561-(0)*CROQUIS_DATOS!$C$1561))/CROQUIS_DATOS!$C$1568-0.000001))),2)=1,IF(INT(($A76-1)/2)+1&gt;MAX(1,INT(((((CROQUIS_DATOS!$C$1511+CROQUIS_DATOS!$C$1512))-(CROQUIS_DATOS!$C$1511))+((CROQUIS_DATOS!$C$1476)*CROQUIS_DATOS!$C$1561-(0)*CROQUIS_DATOS!$C$1561))/CROQUIS_DATOS!$C$1568-0.000001)),1,MOD($A76-1,2)),1-IF(INT(($A76-1)/2)+1&gt;MAX(1,INT(((((CROQUIS_DATOS!$C$1511+CROQUIS_DATOS!$C$1512))-(CROQUIS_DATOS!$C$1511))+((CROQUIS_DATOS!$C$1476)*CROQUIS_DATOS!$C$1561-(0)*CROQUIS_DATOS!$C$1561))/CROQUIS_DATOS!$C$1568-0.000001)),1,MOD($A76-1,2)))=1,MIN((CROQUIS_DATOS!$C$1476)*CROQUIS_DATOS!$C$1561,((CROQUIS_DATOS!$C$1511+CROQUIS_DATOS!$C$1512)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6">
        <f>IF(AND(CROQUIS_DATOS!$C$1472=1,CROQUIS_DATOS!$C$1512&gt;0,((CROQUIS_DATOS!$C$1511+CROQUIS_DATOS!$C$1512))-(CROQUIS_DATOS!$C$1511)&gt;0.5,(CROQUIS_DATOS!$C$1476)-(0)&gt;0.5),(CROQUIS_DATOS!$C$1567+(IF(IF(MOD(MIN(INT(($A76-1)/2)+1,MAX(1,INT(((((CROQUIS_DATOS!$C$1511+CROQUIS_DATOS!$C$1512))-(CROQUIS_DATOS!$C$1511))+((CROQUIS_DATOS!$C$1476)*CROQUIS_DATOS!$C$1561-(0)*CROQUIS_DATOS!$C$1561))/CROQUIS_DATOS!$C$1568-0.000001))),2)=1,IF(INT(($A76-1)/2)+1&gt;MAX(1,INT(((((CROQUIS_DATOS!$C$1511+CROQUIS_DATOS!$C$1512))-(CROQUIS_DATOS!$C$1511))+((CROQUIS_DATOS!$C$1476)*CROQUIS_DATOS!$C$1561-(0)*CROQUIS_DATOS!$C$1561))/CROQUIS_DATOS!$C$1568-0.000001)),1,MOD($A76-1,2)),1-IF(INT(($A76-1)/2)+1&gt;MAX(1,INT(((((CROQUIS_DATOS!$C$1511+CROQUIS_DATOS!$C$1512))-(CROQUIS_DATOS!$C$1511))+((CROQUIS_DATOS!$C$1476)*CROQUIS_DATOS!$C$1561-(0)*CROQUIS_DATOS!$C$1561))/CROQUIS_DATOS!$C$1568-0.000001)),1,MOD($A76-1,2)))=1,MIN((CROQUIS_DATOS!$C$1476)*CROQUIS_DATOS!$C$1561,((CROQUIS_DATOS!$C$1511+CROQUIS_DATOS!$C$1512)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6">
        <f>IF(AND(CROQUIS_DATOS!$C$1472=1,CROQUIS_DATOS!$C$1516&gt;0,((CROQUIS_DATOS!$C$1515+CROQUIS_DATOS!$C$1516))-(CROQUIS_DATOS!$C$1515)&gt;0.5,(CROQUIS_DATOS!$C$1476)-(0)&gt;0.5),(CROQUIS_DATOS!$C$1566+(IF(IF(MOD(MIN(INT(($A76-1)/2)+1,MAX(1,INT(((((CROQUIS_DATOS!$C$1515+CROQUIS_DATOS!$C$1516))-(CROQUIS_DATOS!$C$1515))+((CROQUIS_DATOS!$C$1476)*CROQUIS_DATOS!$C$1561-(0)*CROQUIS_DATOS!$C$1561))/CROQUIS_DATOS!$C$1568-0.000001))),2)=1,IF(INT(($A76-1)/2)+1&gt;MAX(1,INT(((((CROQUIS_DATOS!$C$1515+CROQUIS_DATOS!$C$1516))-(CROQUIS_DATOS!$C$1515))+((CROQUIS_DATOS!$C$1476)*CROQUIS_DATOS!$C$1561-(0)*CROQUIS_DATOS!$C$1561))/CROQUIS_DATOS!$C$1568-0.000001)),1,MOD($A76-1,2)),1-IF(INT(($A76-1)/2)+1&gt;MAX(1,INT(((((CROQUIS_DATOS!$C$1515+CROQUIS_DATOS!$C$1516))-(CROQUIS_DATOS!$C$1515))+((CROQUIS_DATOS!$C$1476)*CROQUIS_DATOS!$C$1561-(0)*CROQUIS_DATOS!$C$1561))/CROQUIS_DATOS!$C$1568-0.000001)),1,MOD($A76-1,2)))=1,MIN((CROQUIS_DATOS!$C$1476)*CROQUIS_DATOS!$C$1561,((CROQUIS_DATOS!$C$1515+CROQUIS_DATOS!$C$1516)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6">
        <f>IF(AND(CROQUIS_DATOS!$C$1472=1,CROQUIS_DATOS!$C$1516&gt;0,((CROQUIS_DATOS!$C$1515+CROQUIS_DATOS!$C$1516))-(CROQUIS_DATOS!$C$1515)&gt;0.5,(CROQUIS_DATOS!$C$1476)-(0)&gt;0.5),(CROQUIS_DATOS!$C$1567+(IF(IF(MOD(MIN(INT(($A76-1)/2)+1,MAX(1,INT(((((CROQUIS_DATOS!$C$1515+CROQUIS_DATOS!$C$1516))-(CROQUIS_DATOS!$C$1515))+((CROQUIS_DATOS!$C$1476)*CROQUIS_DATOS!$C$1561-(0)*CROQUIS_DATOS!$C$1561))/CROQUIS_DATOS!$C$1568-0.000001))),2)=1,IF(INT(($A76-1)/2)+1&gt;MAX(1,INT(((((CROQUIS_DATOS!$C$1515+CROQUIS_DATOS!$C$1516))-(CROQUIS_DATOS!$C$1515))+((CROQUIS_DATOS!$C$1476)*CROQUIS_DATOS!$C$1561-(0)*CROQUIS_DATOS!$C$1561))/CROQUIS_DATOS!$C$1568-0.000001)),1,MOD($A76-1,2)),1-IF(INT(($A76-1)/2)+1&gt;MAX(1,INT(((((CROQUIS_DATOS!$C$1515+CROQUIS_DATOS!$C$1516))-(CROQUIS_DATOS!$C$1515))+((CROQUIS_DATOS!$C$1476)*CROQUIS_DATOS!$C$1561-(0)*CROQUIS_DATOS!$C$1561))/CROQUIS_DATOS!$C$1568-0.000001)),1,MOD($A76-1,2)))=1,MIN((CROQUIS_DATOS!$C$1476)*CROQUIS_DATOS!$C$1561,((CROQUIS_DATOS!$C$1515+CROQUIS_DATOS!$C$1516)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6">
        <f>IF(AND(CROQUIS_DATOS!$C$1472=1,CROQUIS_DATOS!$C$1478&gt;=1,((CROQUIS_DATOS!$C$1479+CROQUIS_DATOS!$C$1480))-(CROQUIS_DATOS!$C$1479)&gt;0.5,(CROQUIS_DATOS!$C$1481)-(0)&gt;0.5),(CROQUIS_DATOS!$C$1566+(IF(IF(MOD(MIN(INT(($A76-1)/2)+1,MAX(1,INT(((((CROQUIS_DATOS!$C$1479+CROQUIS_DATOS!$C$1480))-(CROQUIS_DATOS!$C$1479))+((CROQUIS_DATOS!$C$1481)*CROQUIS_DATOS!$C$1561-(0)*CROQUIS_DATOS!$C$1561))/CROQUIS_DATOS!$C$1568-0.000001))),2)=1,IF(INT(($A76-1)/2)+1&gt;MAX(1,INT(((((CROQUIS_DATOS!$C$1479+CROQUIS_DATOS!$C$1480))-(CROQUIS_DATOS!$C$1479))+((CROQUIS_DATOS!$C$1481)*CROQUIS_DATOS!$C$1561-(0)*CROQUIS_DATOS!$C$1561))/CROQUIS_DATOS!$C$1568-0.000001)),1,MOD($A76-1,2)),1-IF(INT(($A76-1)/2)+1&gt;MAX(1,INT(((((CROQUIS_DATOS!$C$1479+CROQUIS_DATOS!$C$1480))-(CROQUIS_DATOS!$C$1479))+((CROQUIS_DATOS!$C$1481)*CROQUIS_DATOS!$C$1561-(0)*CROQUIS_DATOS!$C$1561))/CROQUIS_DATOS!$C$1568-0.000001)),1,MOD($A76-1,2)))=1,MIN((CROQUIS_DATOS!$C$1481)*CROQUIS_DATOS!$C$1561,((CROQUIS_DATOS!$C$1479+CROQUIS_DATOS!$C$1480)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6">
        <f>IF(AND(CROQUIS_DATOS!$C$1472=1,CROQUIS_DATOS!$C$1478&gt;=1,((CROQUIS_DATOS!$C$1479+CROQUIS_DATOS!$C$1480))-(CROQUIS_DATOS!$C$1479)&gt;0.5,(CROQUIS_DATOS!$C$1481)-(0)&gt;0.5),(CROQUIS_DATOS!$C$1567+(IF(IF(MOD(MIN(INT(($A76-1)/2)+1,MAX(1,INT(((((CROQUIS_DATOS!$C$1479+CROQUIS_DATOS!$C$1480))-(CROQUIS_DATOS!$C$1479))+((CROQUIS_DATOS!$C$1481)*CROQUIS_DATOS!$C$1561-(0)*CROQUIS_DATOS!$C$1561))/CROQUIS_DATOS!$C$1568-0.000001))),2)=1,IF(INT(($A76-1)/2)+1&gt;MAX(1,INT(((((CROQUIS_DATOS!$C$1479+CROQUIS_DATOS!$C$1480))-(CROQUIS_DATOS!$C$1479))+((CROQUIS_DATOS!$C$1481)*CROQUIS_DATOS!$C$1561-(0)*CROQUIS_DATOS!$C$1561))/CROQUIS_DATOS!$C$1568-0.000001)),1,MOD($A76-1,2)),1-IF(INT(($A76-1)/2)+1&gt;MAX(1,INT(((((CROQUIS_DATOS!$C$1479+CROQUIS_DATOS!$C$1480))-(CROQUIS_DATOS!$C$1479))+((CROQUIS_DATOS!$C$1481)*CROQUIS_DATOS!$C$1561-(0)*CROQUIS_DATOS!$C$1561))/CROQUIS_DATOS!$C$1568-0.000001)),1,MOD($A76-1,2)))=1,MIN((CROQUIS_DATOS!$C$1481)*CROQUIS_DATOS!$C$1561,((CROQUIS_DATOS!$C$1479+CROQUIS_DATOS!$C$1480)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6">
        <f>IF(AND(CROQUIS_DATOS!$C$1472=1,CROQUIS_DATOS!$C$1478&gt;=1,((CROQUIS_DATOS!$C$1479+CROQUIS_DATOS!$C$1480))-(CROQUIS_DATOS!$C$1479)&gt;0.5,(CROQUIS_DATOS!$C$1476)-((CROQUIS_DATOS!$C$1481+CROQUIS_DATOS!$C$1482))&gt;0.5),(CROQUIS_DATOS!$C$1566+(IF(IF(MOD(MIN(INT(($A76-1)/2)+1,MAX(1,INT(((((CROQUIS_DATOS!$C$1479+CROQUIS_DATOS!$C$1480))-(CROQUIS_DATOS!$C$1479))+((CROQUIS_DATOS!$C$1476)*CROQUIS_DATOS!$C$1561-((CROQUIS_DATOS!$C$1481+CROQUIS_DATOS!$C$1482))*CROQUIS_DATOS!$C$1561))/CROQUIS_DATOS!$C$1568-0.000001))),2)=1,IF(INT(($A76-1)/2)+1&gt;MAX(1,INT(((((CROQUIS_DATOS!$C$1479+CROQUIS_DATOS!$C$1480))-(CROQUIS_DATOS!$C$1479))+((CROQUIS_DATOS!$C$1476)*CROQUIS_DATOS!$C$1561-((CROQUIS_DATOS!$C$1481+CROQUIS_DATOS!$C$1482))*CROQUIS_DATOS!$C$1561))/CROQUIS_DATOS!$C$1568-0.000001)),1,MOD($A76-1,2)),1-IF(INT(($A76-1)/2)+1&gt;MAX(1,INT(((((CROQUIS_DATOS!$C$1479+CROQUIS_DATOS!$C$1480))-(CROQUIS_DATOS!$C$1479))+((CROQUIS_DATOS!$C$1476)*CROQUIS_DATOS!$C$1561-((CROQUIS_DATOS!$C$1481+CROQUIS_DATOS!$C$1482))*CROQUIS_DATOS!$C$1561))/CROQUIS_DATOS!$C$1568-0.000001)),1,MOD($A76-1,2)))=1,MIN((CROQUIS_DATOS!$C$1476)*CROQUIS_DATOS!$C$1561,((CROQUIS_DATOS!$C$1479+CROQUIS_DATOS!$C$1480)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6">
        <f>IF(AND(CROQUIS_DATOS!$C$1472=1,CROQUIS_DATOS!$C$1478&gt;=1,((CROQUIS_DATOS!$C$1479+CROQUIS_DATOS!$C$1480))-(CROQUIS_DATOS!$C$1479)&gt;0.5,(CROQUIS_DATOS!$C$1476)-((CROQUIS_DATOS!$C$1481+CROQUIS_DATOS!$C$1482))&gt;0.5),(CROQUIS_DATOS!$C$1567+(IF(IF(MOD(MIN(INT(($A76-1)/2)+1,MAX(1,INT(((((CROQUIS_DATOS!$C$1479+CROQUIS_DATOS!$C$1480))-(CROQUIS_DATOS!$C$1479))+((CROQUIS_DATOS!$C$1476)*CROQUIS_DATOS!$C$1561-((CROQUIS_DATOS!$C$1481+CROQUIS_DATOS!$C$1482))*CROQUIS_DATOS!$C$1561))/CROQUIS_DATOS!$C$1568-0.000001))),2)=1,IF(INT(($A76-1)/2)+1&gt;MAX(1,INT(((((CROQUIS_DATOS!$C$1479+CROQUIS_DATOS!$C$1480))-(CROQUIS_DATOS!$C$1479))+((CROQUIS_DATOS!$C$1476)*CROQUIS_DATOS!$C$1561-((CROQUIS_DATOS!$C$1481+CROQUIS_DATOS!$C$1482))*CROQUIS_DATOS!$C$1561))/CROQUIS_DATOS!$C$1568-0.000001)),1,MOD($A76-1,2)),1-IF(INT(($A76-1)/2)+1&gt;MAX(1,INT(((((CROQUIS_DATOS!$C$1479+CROQUIS_DATOS!$C$1480))-(CROQUIS_DATOS!$C$1479))+((CROQUIS_DATOS!$C$1476)*CROQUIS_DATOS!$C$1561-((CROQUIS_DATOS!$C$1481+CROQUIS_DATOS!$C$1482))*CROQUIS_DATOS!$C$1561))/CROQUIS_DATOS!$C$1568-0.000001)),1,MOD($A76-1,2)))=1,MIN((CROQUIS_DATOS!$C$1476)*CROQUIS_DATOS!$C$1561,((CROQUIS_DATOS!$C$1479+CROQUIS_DATOS!$C$1480)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6">
        <f>IF(AND(CROQUIS_DATOS!$C$1472=1,CROQUIS_DATOS!$C$1478&gt;=2,((CROQUIS_DATOS!$C$1484+CROQUIS_DATOS!$C$1485))-(CROQUIS_DATOS!$C$1484)&gt;0.5,(CROQUIS_DATOS!$C$1486)-(0)&gt;0.5),(CROQUIS_DATOS!$C$1566+(IF(IF(MOD(MIN(INT(($A76-1)/2)+1,MAX(1,INT(((((CROQUIS_DATOS!$C$1484+CROQUIS_DATOS!$C$1485))-(CROQUIS_DATOS!$C$1484))+((CROQUIS_DATOS!$C$1486)*CROQUIS_DATOS!$C$1561-(0)*CROQUIS_DATOS!$C$1561))/CROQUIS_DATOS!$C$1568-0.000001))),2)=1,IF(INT(($A76-1)/2)+1&gt;MAX(1,INT(((((CROQUIS_DATOS!$C$1484+CROQUIS_DATOS!$C$1485))-(CROQUIS_DATOS!$C$1484))+((CROQUIS_DATOS!$C$1486)*CROQUIS_DATOS!$C$1561-(0)*CROQUIS_DATOS!$C$1561))/CROQUIS_DATOS!$C$1568-0.000001)),1,MOD($A76-1,2)),1-IF(INT(($A76-1)/2)+1&gt;MAX(1,INT(((((CROQUIS_DATOS!$C$1484+CROQUIS_DATOS!$C$1485))-(CROQUIS_DATOS!$C$1484))+((CROQUIS_DATOS!$C$1486)*CROQUIS_DATOS!$C$1561-(0)*CROQUIS_DATOS!$C$1561))/CROQUIS_DATOS!$C$1568-0.000001)),1,MOD($A76-1,2)))=1,MIN((CROQUIS_DATOS!$C$1486)*CROQUIS_DATOS!$C$1561,((CROQUIS_DATOS!$C$1484+CROQUIS_DATOS!$C$1485)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6">
        <f>IF(AND(CROQUIS_DATOS!$C$1472=1,CROQUIS_DATOS!$C$1478&gt;=2,((CROQUIS_DATOS!$C$1484+CROQUIS_DATOS!$C$1485))-(CROQUIS_DATOS!$C$1484)&gt;0.5,(CROQUIS_DATOS!$C$1486)-(0)&gt;0.5),(CROQUIS_DATOS!$C$1567+(IF(IF(MOD(MIN(INT(($A76-1)/2)+1,MAX(1,INT(((((CROQUIS_DATOS!$C$1484+CROQUIS_DATOS!$C$1485))-(CROQUIS_DATOS!$C$1484))+((CROQUIS_DATOS!$C$1486)*CROQUIS_DATOS!$C$1561-(0)*CROQUIS_DATOS!$C$1561))/CROQUIS_DATOS!$C$1568-0.000001))),2)=1,IF(INT(($A76-1)/2)+1&gt;MAX(1,INT(((((CROQUIS_DATOS!$C$1484+CROQUIS_DATOS!$C$1485))-(CROQUIS_DATOS!$C$1484))+((CROQUIS_DATOS!$C$1486)*CROQUIS_DATOS!$C$1561-(0)*CROQUIS_DATOS!$C$1561))/CROQUIS_DATOS!$C$1568-0.000001)),1,MOD($A76-1,2)),1-IF(INT(($A76-1)/2)+1&gt;MAX(1,INT(((((CROQUIS_DATOS!$C$1484+CROQUIS_DATOS!$C$1485))-(CROQUIS_DATOS!$C$1484))+((CROQUIS_DATOS!$C$1486)*CROQUIS_DATOS!$C$1561-(0)*CROQUIS_DATOS!$C$1561))/CROQUIS_DATOS!$C$1568-0.000001)),1,MOD($A76-1,2)))=1,MIN((CROQUIS_DATOS!$C$1486)*CROQUIS_DATOS!$C$1561,((CROQUIS_DATOS!$C$1484+CROQUIS_DATOS!$C$1485)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6">
        <f>IF(AND(CROQUIS_DATOS!$C$1472=1,CROQUIS_DATOS!$C$1478&gt;=2,((CROQUIS_DATOS!$C$1484+CROQUIS_DATOS!$C$1485))-(CROQUIS_DATOS!$C$1484)&gt;0.5,(CROQUIS_DATOS!$C$1476)-((CROQUIS_DATOS!$C$1486+CROQUIS_DATOS!$C$1487))&gt;0.5),(CROQUIS_DATOS!$C$1566+(IF(IF(MOD(MIN(INT(($A76-1)/2)+1,MAX(1,INT(((((CROQUIS_DATOS!$C$1484+CROQUIS_DATOS!$C$1485))-(CROQUIS_DATOS!$C$1484))+((CROQUIS_DATOS!$C$1476)*CROQUIS_DATOS!$C$1561-((CROQUIS_DATOS!$C$1486+CROQUIS_DATOS!$C$1487))*CROQUIS_DATOS!$C$1561))/CROQUIS_DATOS!$C$1568-0.000001))),2)=1,IF(INT(($A76-1)/2)+1&gt;MAX(1,INT(((((CROQUIS_DATOS!$C$1484+CROQUIS_DATOS!$C$1485))-(CROQUIS_DATOS!$C$1484))+((CROQUIS_DATOS!$C$1476)*CROQUIS_DATOS!$C$1561-((CROQUIS_DATOS!$C$1486+CROQUIS_DATOS!$C$1487))*CROQUIS_DATOS!$C$1561))/CROQUIS_DATOS!$C$1568-0.000001)),1,MOD($A76-1,2)),1-IF(INT(($A76-1)/2)+1&gt;MAX(1,INT(((((CROQUIS_DATOS!$C$1484+CROQUIS_DATOS!$C$1485))-(CROQUIS_DATOS!$C$1484))+((CROQUIS_DATOS!$C$1476)*CROQUIS_DATOS!$C$1561-((CROQUIS_DATOS!$C$1486+CROQUIS_DATOS!$C$1487))*CROQUIS_DATOS!$C$1561))/CROQUIS_DATOS!$C$1568-0.000001)),1,MOD($A76-1,2)))=1,MIN((CROQUIS_DATOS!$C$1476)*CROQUIS_DATOS!$C$1561,((CROQUIS_DATOS!$C$1484+CROQUIS_DATOS!$C$1485)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6">
        <f>IF(AND(CROQUIS_DATOS!$C$1472=1,CROQUIS_DATOS!$C$1478&gt;=2,((CROQUIS_DATOS!$C$1484+CROQUIS_DATOS!$C$1485))-(CROQUIS_DATOS!$C$1484)&gt;0.5,(CROQUIS_DATOS!$C$1476)-((CROQUIS_DATOS!$C$1486+CROQUIS_DATOS!$C$1487))&gt;0.5),(CROQUIS_DATOS!$C$1567+(IF(IF(MOD(MIN(INT(($A76-1)/2)+1,MAX(1,INT(((((CROQUIS_DATOS!$C$1484+CROQUIS_DATOS!$C$1485))-(CROQUIS_DATOS!$C$1484))+((CROQUIS_DATOS!$C$1476)*CROQUIS_DATOS!$C$1561-((CROQUIS_DATOS!$C$1486+CROQUIS_DATOS!$C$1487))*CROQUIS_DATOS!$C$1561))/CROQUIS_DATOS!$C$1568-0.000001))),2)=1,IF(INT(($A76-1)/2)+1&gt;MAX(1,INT(((((CROQUIS_DATOS!$C$1484+CROQUIS_DATOS!$C$1485))-(CROQUIS_DATOS!$C$1484))+((CROQUIS_DATOS!$C$1476)*CROQUIS_DATOS!$C$1561-((CROQUIS_DATOS!$C$1486+CROQUIS_DATOS!$C$1487))*CROQUIS_DATOS!$C$1561))/CROQUIS_DATOS!$C$1568-0.000001)),1,MOD($A76-1,2)),1-IF(INT(($A76-1)/2)+1&gt;MAX(1,INT(((((CROQUIS_DATOS!$C$1484+CROQUIS_DATOS!$C$1485))-(CROQUIS_DATOS!$C$1484))+((CROQUIS_DATOS!$C$1476)*CROQUIS_DATOS!$C$1561-((CROQUIS_DATOS!$C$1486+CROQUIS_DATOS!$C$1487))*CROQUIS_DATOS!$C$1561))/CROQUIS_DATOS!$C$1568-0.000001)),1,MOD($A76-1,2)))=1,MIN((CROQUIS_DATOS!$C$1476)*CROQUIS_DATOS!$C$1561,((CROQUIS_DATOS!$C$1484+CROQUIS_DATOS!$C$1485)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6">
        <f>IF(AND(CROQUIS_DATOS!$C$1472=1,CROQUIS_DATOS!$C$1478&gt;=3,((CROQUIS_DATOS!$C$1489+CROQUIS_DATOS!$C$1490))-(CROQUIS_DATOS!$C$1489)&gt;0.5,(CROQUIS_DATOS!$C$1491)-(0)&gt;0.5),(CROQUIS_DATOS!$C$1566+(IF(IF(MOD(MIN(INT(($A76-1)/2)+1,MAX(1,INT(((((CROQUIS_DATOS!$C$1489+CROQUIS_DATOS!$C$1490))-(CROQUIS_DATOS!$C$1489))+((CROQUIS_DATOS!$C$1491)*CROQUIS_DATOS!$C$1561-(0)*CROQUIS_DATOS!$C$1561))/CROQUIS_DATOS!$C$1568-0.000001))),2)=1,IF(INT(($A76-1)/2)+1&gt;MAX(1,INT(((((CROQUIS_DATOS!$C$1489+CROQUIS_DATOS!$C$1490))-(CROQUIS_DATOS!$C$1489))+((CROQUIS_DATOS!$C$1491)*CROQUIS_DATOS!$C$1561-(0)*CROQUIS_DATOS!$C$1561))/CROQUIS_DATOS!$C$1568-0.000001)),1,MOD($A76-1,2)),1-IF(INT(($A76-1)/2)+1&gt;MAX(1,INT(((((CROQUIS_DATOS!$C$1489+CROQUIS_DATOS!$C$1490))-(CROQUIS_DATOS!$C$1489))+((CROQUIS_DATOS!$C$1491)*CROQUIS_DATOS!$C$1561-(0)*CROQUIS_DATOS!$C$1561))/CROQUIS_DATOS!$C$1568-0.000001)),1,MOD($A76-1,2)))=1,MIN((CROQUIS_DATOS!$C$1491)*CROQUIS_DATOS!$C$1561,((CROQUIS_DATOS!$C$1489+CROQUIS_DATOS!$C$1490)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6">
        <f>IF(AND(CROQUIS_DATOS!$C$1472=1,CROQUIS_DATOS!$C$1478&gt;=3,((CROQUIS_DATOS!$C$1489+CROQUIS_DATOS!$C$1490))-(CROQUIS_DATOS!$C$1489)&gt;0.5,(CROQUIS_DATOS!$C$1491)-(0)&gt;0.5),(CROQUIS_DATOS!$C$1567+(IF(IF(MOD(MIN(INT(($A76-1)/2)+1,MAX(1,INT(((((CROQUIS_DATOS!$C$1489+CROQUIS_DATOS!$C$1490))-(CROQUIS_DATOS!$C$1489))+((CROQUIS_DATOS!$C$1491)*CROQUIS_DATOS!$C$1561-(0)*CROQUIS_DATOS!$C$1561))/CROQUIS_DATOS!$C$1568-0.000001))),2)=1,IF(INT(($A76-1)/2)+1&gt;MAX(1,INT(((((CROQUIS_DATOS!$C$1489+CROQUIS_DATOS!$C$1490))-(CROQUIS_DATOS!$C$1489))+((CROQUIS_DATOS!$C$1491)*CROQUIS_DATOS!$C$1561-(0)*CROQUIS_DATOS!$C$1561))/CROQUIS_DATOS!$C$1568-0.000001)),1,MOD($A76-1,2)),1-IF(INT(($A76-1)/2)+1&gt;MAX(1,INT(((((CROQUIS_DATOS!$C$1489+CROQUIS_DATOS!$C$1490))-(CROQUIS_DATOS!$C$1489))+((CROQUIS_DATOS!$C$1491)*CROQUIS_DATOS!$C$1561-(0)*CROQUIS_DATOS!$C$1561))/CROQUIS_DATOS!$C$1568-0.000001)),1,MOD($A76-1,2)))=1,MIN((CROQUIS_DATOS!$C$1491)*CROQUIS_DATOS!$C$1561,((CROQUIS_DATOS!$C$1489+CROQUIS_DATOS!$C$1490)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6">
        <f>IF(AND(CROQUIS_DATOS!$C$1472=1,CROQUIS_DATOS!$C$1478&gt;=3,((CROQUIS_DATOS!$C$1489+CROQUIS_DATOS!$C$1490))-(CROQUIS_DATOS!$C$1489)&gt;0.5,(CROQUIS_DATOS!$C$1476)-((CROQUIS_DATOS!$C$1491+CROQUIS_DATOS!$C$1492))&gt;0.5),(CROQUIS_DATOS!$C$1566+(IF(IF(MOD(MIN(INT(($A76-1)/2)+1,MAX(1,INT(((((CROQUIS_DATOS!$C$1489+CROQUIS_DATOS!$C$1490))-(CROQUIS_DATOS!$C$1489))+((CROQUIS_DATOS!$C$1476)*CROQUIS_DATOS!$C$1561-((CROQUIS_DATOS!$C$1491+CROQUIS_DATOS!$C$1492))*CROQUIS_DATOS!$C$1561))/CROQUIS_DATOS!$C$1568-0.000001))),2)=1,IF(INT(($A76-1)/2)+1&gt;MAX(1,INT(((((CROQUIS_DATOS!$C$1489+CROQUIS_DATOS!$C$1490))-(CROQUIS_DATOS!$C$1489))+((CROQUIS_DATOS!$C$1476)*CROQUIS_DATOS!$C$1561-((CROQUIS_DATOS!$C$1491+CROQUIS_DATOS!$C$1492))*CROQUIS_DATOS!$C$1561))/CROQUIS_DATOS!$C$1568-0.000001)),1,MOD($A76-1,2)),1-IF(INT(($A76-1)/2)+1&gt;MAX(1,INT(((((CROQUIS_DATOS!$C$1489+CROQUIS_DATOS!$C$1490))-(CROQUIS_DATOS!$C$1489))+((CROQUIS_DATOS!$C$1476)*CROQUIS_DATOS!$C$1561-((CROQUIS_DATOS!$C$1491+CROQUIS_DATOS!$C$1492))*CROQUIS_DATOS!$C$1561))/CROQUIS_DATOS!$C$1568-0.000001)),1,MOD($A76-1,2)))=1,MIN((CROQUIS_DATOS!$C$1476)*CROQUIS_DATOS!$C$1561,((CROQUIS_DATOS!$C$1489+CROQUIS_DATOS!$C$1490)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6">
        <f>IF(AND(CROQUIS_DATOS!$C$1472=1,CROQUIS_DATOS!$C$1478&gt;=3,((CROQUIS_DATOS!$C$1489+CROQUIS_DATOS!$C$1490))-(CROQUIS_DATOS!$C$1489)&gt;0.5,(CROQUIS_DATOS!$C$1476)-((CROQUIS_DATOS!$C$1491+CROQUIS_DATOS!$C$1492))&gt;0.5),(CROQUIS_DATOS!$C$1567+(IF(IF(MOD(MIN(INT(($A76-1)/2)+1,MAX(1,INT(((((CROQUIS_DATOS!$C$1489+CROQUIS_DATOS!$C$1490))-(CROQUIS_DATOS!$C$1489))+((CROQUIS_DATOS!$C$1476)*CROQUIS_DATOS!$C$1561-((CROQUIS_DATOS!$C$1491+CROQUIS_DATOS!$C$1492))*CROQUIS_DATOS!$C$1561))/CROQUIS_DATOS!$C$1568-0.000001))),2)=1,IF(INT(($A76-1)/2)+1&gt;MAX(1,INT(((((CROQUIS_DATOS!$C$1489+CROQUIS_DATOS!$C$1490))-(CROQUIS_DATOS!$C$1489))+((CROQUIS_DATOS!$C$1476)*CROQUIS_DATOS!$C$1561-((CROQUIS_DATOS!$C$1491+CROQUIS_DATOS!$C$1492))*CROQUIS_DATOS!$C$1561))/CROQUIS_DATOS!$C$1568-0.000001)),1,MOD($A76-1,2)),1-IF(INT(($A76-1)/2)+1&gt;MAX(1,INT(((((CROQUIS_DATOS!$C$1489+CROQUIS_DATOS!$C$1490))-(CROQUIS_DATOS!$C$1489))+((CROQUIS_DATOS!$C$1476)*CROQUIS_DATOS!$C$1561-((CROQUIS_DATOS!$C$1491+CROQUIS_DATOS!$C$1492))*CROQUIS_DATOS!$C$1561))/CROQUIS_DATOS!$C$1568-0.000001)),1,MOD($A76-1,2)))=1,MIN((CROQUIS_DATOS!$C$1476)*CROQUIS_DATOS!$C$1561,((CROQUIS_DATOS!$C$1489+CROQUIS_DATOS!$C$1490)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6">
        <f>IF(AND(CROQUIS_DATOS!$C$1472=1,CROQUIS_DATOS!$C$1478&gt;=4,((CROQUIS_DATOS!$C$1494+CROQUIS_DATOS!$C$1495))-(CROQUIS_DATOS!$C$1494)&gt;0.5,(CROQUIS_DATOS!$C$1496)-(0)&gt;0.5),(CROQUIS_DATOS!$C$1566+(IF(IF(MOD(MIN(INT(($A76-1)/2)+1,MAX(1,INT(((((CROQUIS_DATOS!$C$1494+CROQUIS_DATOS!$C$1495))-(CROQUIS_DATOS!$C$1494))+((CROQUIS_DATOS!$C$1496)*CROQUIS_DATOS!$C$1561-(0)*CROQUIS_DATOS!$C$1561))/CROQUIS_DATOS!$C$1568-0.000001))),2)=1,IF(INT(($A76-1)/2)+1&gt;MAX(1,INT(((((CROQUIS_DATOS!$C$1494+CROQUIS_DATOS!$C$1495))-(CROQUIS_DATOS!$C$1494))+((CROQUIS_DATOS!$C$1496)*CROQUIS_DATOS!$C$1561-(0)*CROQUIS_DATOS!$C$1561))/CROQUIS_DATOS!$C$1568-0.000001)),1,MOD($A76-1,2)),1-IF(INT(($A76-1)/2)+1&gt;MAX(1,INT(((((CROQUIS_DATOS!$C$1494+CROQUIS_DATOS!$C$1495))-(CROQUIS_DATOS!$C$1494))+((CROQUIS_DATOS!$C$1496)*CROQUIS_DATOS!$C$1561-(0)*CROQUIS_DATOS!$C$1561))/CROQUIS_DATOS!$C$1568-0.000001)),1,MOD($A76-1,2)))=1,MIN((CROQUIS_DATOS!$C$1496)*CROQUIS_DATOS!$C$1561,((CROQUIS_DATOS!$C$1494+CROQUIS_DATOS!$C$1495)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6">
        <f>IF(AND(CROQUIS_DATOS!$C$1472=1,CROQUIS_DATOS!$C$1478&gt;=4,((CROQUIS_DATOS!$C$1494+CROQUIS_DATOS!$C$1495))-(CROQUIS_DATOS!$C$1494)&gt;0.5,(CROQUIS_DATOS!$C$1496)-(0)&gt;0.5),(CROQUIS_DATOS!$C$1567+(IF(IF(MOD(MIN(INT(($A76-1)/2)+1,MAX(1,INT(((((CROQUIS_DATOS!$C$1494+CROQUIS_DATOS!$C$1495))-(CROQUIS_DATOS!$C$1494))+((CROQUIS_DATOS!$C$1496)*CROQUIS_DATOS!$C$1561-(0)*CROQUIS_DATOS!$C$1561))/CROQUIS_DATOS!$C$1568-0.000001))),2)=1,IF(INT(($A76-1)/2)+1&gt;MAX(1,INT(((((CROQUIS_DATOS!$C$1494+CROQUIS_DATOS!$C$1495))-(CROQUIS_DATOS!$C$1494))+((CROQUIS_DATOS!$C$1496)*CROQUIS_DATOS!$C$1561-(0)*CROQUIS_DATOS!$C$1561))/CROQUIS_DATOS!$C$1568-0.000001)),1,MOD($A76-1,2)),1-IF(INT(($A76-1)/2)+1&gt;MAX(1,INT(((((CROQUIS_DATOS!$C$1494+CROQUIS_DATOS!$C$1495))-(CROQUIS_DATOS!$C$1494))+((CROQUIS_DATOS!$C$1496)*CROQUIS_DATOS!$C$1561-(0)*CROQUIS_DATOS!$C$1561))/CROQUIS_DATOS!$C$1568-0.000001)),1,MOD($A76-1,2)))=1,MIN((CROQUIS_DATOS!$C$1496)*CROQUIS_DATOS!$C$1561,((CROQUIS_DATOS!$C$1494+CROQUIS_DATOS!$C$1495)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6">
        <f>IF(AND(CROQUIS_DATOS!$C$1472=1,CROQUIS_DATOS!$C$1478&gt;=4,((CROQUIS_DATOS!$C$1494+CROQUIS_DATOS!$C$1495))-(CROQUIS_DATOS!$C$1494)&gt;0.5,(CROQUIS_DATOS!$C$1476)-((CROQUIS_DATOS!$C$1496+CROQUIS_DATOS!$C$1497))&gt;0.5),(CROQUIS_DATOS!$C$1566+(IF(IF(MOD(MIN(INT(($A76-1)/2)+1,MAX(1,INT(((((CROQUIS_DATOS!$C$1494+CROQUIS_DATOS!$C$1495))-(CROQUIS_DATOS!$C$1494))+((CROQUIS_DATOS!$C$1476)*CROQUIS_DATOS!$C$1561-((CROQUIS_DATOS!$C$1496+CROQUIS_DATOS!$C$1497))*CROQUIS_DATOS!$C$1561))/CROQUIS_DATOS!$C$1568-0.000001))),2)=1,IF(INT(($A76-1)/2)+1&gt;MAX(1,INT(((((CROQUIS_DATOS!$C$1494+CROQUIS_DATOS!$C$1495))-(CROQUIS_DATOS!$C$1494))+((CROQUIS_DATOS!$C$1476)*CROQUIS_DATOS!$C$1561-((CROQUIS_DATOS!$C$1496+CROQUIS_DATOS!$C$1497))*CROQUIS_DATOS!$C$1561))/CROQUIS_DATOS!$C$1568-0.000001)),1,MOD($A76-1,2)),1-IF(INT(($A76-1)/2)+1&gt;MAX(1,INT(((((CROQUIS_DATOS!$C$1494+CROQUIS_DATOS!$C$1495))-(CROQUIS_DATOS!$C$1494))+((CROQUIS_DATOS!$C$1476)*CROQUIS_DATOS!$C$1561-((CROQUIS_DATOS!$C$1496+CROQUIS_DATOS!$C$1497))*CROQUIS_DATOS!$C$1561))/CROQUIS_DATOS!$C$1568-0.000001)),1,MOD($A76-1,2)))=1,MIN((CROQUIS_DATOS!$C$1476)*CROQUIS_DATOS!$C$1561,((CROQUIS_DATOS!$C$1494+CROQUIS_DATOS!$C$1495)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6">
        <f>IF(AND(CROQUIS_DATOS!$C$1472=1,CROQUIS_DATOS!$C$1478&gt;=4,((CROQUIS_DATOS!$C$1494+CROQUIS_DATOS!$C$1495))-(CROQUIS_DATOS!$C$1494)&gt;0.5,(CROQUIS_DATOS!$C$1476)-((CROQUIS_DATOS!$C$1496+CROQUIS_DATOS!$C$1497))&gt;0.5),(CROQUIS_DATOS!$C$1567+(IF(IF(MOD(MIN(INT(($A76-1)/2)+1,MAX(1,INT(((((CROQUIS_DATOS!$C$1494+CROQUIS_DATOS!$C$1495))-(CROQUIS_DATOS!$C$1494))+((CROQUIS_DATOS!$C$1476)*CROQUIS_DATOS!$C$1561-((CROQUIS_DATOS!$C$1496+CROQUIS_DATOS!$C$1497))*CROQUIS_DATOS!$C$1561))/CROQUIS_DATOS!$C$1568-0.000001))),2)=1,IF(INT(($A76-1)/2)+1&gt;MAX(1,INT(((((CROQUIS_DATOS!$C$1494+CROQUIS_DATOS!$C$1495))-(CROQUIS_DATOS!$C$1494))+((CROQUIS_DATOS!$C$1476)*CROQUIS_DATOS!$C$1561-((CROQUIS_DATOS!$C$1496+CROQUIS_DATOS!$C$1497))*CROQUIS_DATOS!$C$1561))/CROQUIS_DATOS!$C$1568-0.000001)),1,MOD($A76-1,2)),1-IF(INT(($A76-1)/2)+1&gt;MAX(1,INT(((((CROQUIS_DATOS!$C$1494+CROQUIS_DATOS!$C$1495))-(CROQUIS_DATOS!$C$1494))+((CROQUIS_DATOS!$C$1476)*CROQUIS_DATOS!$C$1561-((CROQUIS_DATOS!$C$1496+CROQUIS_DATOS!$C$1497))*CROQUIS_DATOS!$C$1561))/CROQUIS_DATOS!$C$1568-0.000001)),1,MOD($A76-1,2)))=1,MIN((CROQUIS_DATOS!$C$1476)*CROQUIS_DATOS!$C$1561,((CROQUIS_DATOS!$C$1494+CROQUIS_DATOS!$C$1495)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6">
        <f>IF(AND(CROQUIS_DATOS!$C$1472=1,1),(CROQUIS_DATOS!$C$1571+(CHOOSE(MIN(MAX(IF(INT(($A76-1)/5)+1&gt;CROQUIS_DATOS!$C$1525,5,MOD($A76-1,5)+1),1),5),(INDEX($E$8:$E$23,MIN(INT(($A76-1)/5)+1,CROQUIS_DATOS!$C$1525))-INDEX($F$8:$F$23,MIN(INT(($A76-1)/5)+1,CROQUIS_DATOS!$C$1525))/2),(INDEX($E$8:$E$23,MIN(INT(($A76-1)/5)+1,CROQUIS_DATOS!$C$1525))+INDEX($F$8:$F$23,MIN(INT(($A76-1)/5)+1,CROQUIS_DATOS!$C$1525))/2),(INDEX($E$8:$E$23,MIN(INT(($A76-1)/5)+1,CROQUIS_DATOS!$C$1525))+INDEX($F$8:$F$23,MIN(INT(($A76-1)/5)+1,CROQUIS_DATOS!$C$1525))/2),(INDEX($E$8:$E$23,MIN(INT(($A76-1)/5)+1,CROQUIS_DATOS!$C$1525))-INDEX($F$8:$F$23,MIN(INT(($A76-1)/5)+1,CROQUIS_DATOS!$C$1525))/2),(INDEX($E$8:$E$23,MIN(INT(($A76-1)/5)+1,CROQUIS_DATOS!$C$1525))-INDEX($F$8:$F$23,MIN(INT(($A76-1)/5)+1,CROQUIS_DATOS!$C$1525))/2)))*CROQUIS_DATOS!$C$1569),-1000)</f>
        <v>95.24</v>
      </c>
      <c r="GE76">
        <f>IF(AND(CROQUIS_DATOS!$C$1472=1,1),(CROQUIS_DATOS!$C$1572+(CHOOSE(MIN(MAX(IF(INT(($A76-1)/5)+1&gt;CROQUIS_DATOS!$C$1525,5,MOD($A76-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7">
      <c r="A77" t="n">
        <v>70</v>
      </c>
      <c r="N77">
        <f>IF(AND(CROQUIS_DATOS!$C$1472=1,1),(CROQUIS_DATOS!$C$1563+(IF(IF(IF(INT(($A77-1)/70)+1&gt;CROQUIS_DATOS!$C$1525,70,MOD($A77-1,70)+1)=1,0,IF(IF(INT(($A77-1)/70)+1&gt;CROQUIS_DATOS!$C$1525,70,MOD($A77-1,70)+1)&gt;2*CROQUIS_DATOS!$C$1541+1,IF(MOD(CROQUIS_DATOS!$C$1541,2)=1,1,0),IF(MOD(MIN(INT((IF(INT(($A77-1)/70)+1&gt;CROQUIS_DATOS!$C$1525,70,MOD($A77-1,70)+1)-2)/2)+1,CROQUIS_DATOS!$C$1541),2)=1,IF(MOD(IF(INT(($A77-1)/70)+1&gt;CROQUIS_DATOS!$C$1525,70,MOD($A77-1,70)+1)-2,2)=0,0,1),IF(MOD(IF(INT(($A77-1)/70)+1&gt;CROQUIS_DATOS!$C$1525,70,MOD($A77-1,70)+1)-2,2)=0,1,0))))=0,(INDEX($E$8:$E$23,MIN(INT(($A77-1)/70)+1,CROQUIS_DATOS!$C$1525))-INDEX($F$8:$F$23,MIN(INT(($A77-1)/70)+1,CROQUIS_DATOS!$C$1525))/2),(INDEX($E$8:$E$23,MIN(INT(($A77-1)/70)+1,CROQUIS_DATOS!$C$1525))+INDEX($F$8:$F$23,MIN(INT(($A77-1)/70)+1,CROQUIS_DATOS!$C$1525))/2)))*CROQUIS_DATOS!$C$1562),-1000)</f>
        <v>15.0862068965517</v>
      </c>
      <c r="O77">
        <f>IF(AND(CROQUIS_DATOS!$C$1472=1,1),(CROQUIS_DATOS!$C$1564+(IF(OR(IF(INT(($A77-1)/70)+1&gt;CROQUIS_DATOS!$C$1525,70,MOD($A77-1,70)+1)=1,IF(INT(($A77-1)/70)+1&gt;CROQUIS_DATOS!$C$1525,70,MOD($A77-1,70)+1)&gt;2*CROQUIS_DATOS!$C$1541+1),CROQUIS_DATOS!$C$1476,INDEX($H$8:$H$41,MIN(INT((IF(INT(($A77-1)/70)+1&gt;CROQUIS_DATOS!$C$1525,70,MOD($A77-1,70)+1)-2)/2)+1,CROQUIS_DATOS!$C$1541))))*CROQUIS_DATOS!$C$1561*CROQUIS_DATOS!$C$1562),-1000)</f>
        <v>40.2068965517241</v>
      </c>
      <c r="P77">
        <f>IF(AND(CROQUIS_DATOS!$C$1472=1,CROQUIS_DATOS!$C$1555=1),(CROQUIS_DATOS!$C$1563+(IF(IF(OR(MOD($A77-1,62)+1=1,IF(CHOOSE(MIN(MAX(MIN(INT(($A77-1)/62)+1,5),1),5),CROQUIS_DATOS!$C$1501,CROQUIS_DATOS!$C$1505,CROQUIS_DATOS!$C$1509,CROQUIS_DATOS!$C$1513,CROQUIS_DATOS!$C$1517)=1,CROQUIS_DATOS!$C$1557,0)=0),0,IF(MOD($A77-1,62)+1&gt;2*IF(CHOOSE(MIN(MAX(MIN(INT(($A77-1)/62)+1,5),1),5),CROQUIS_DATOS!$C$1501,CROQUIS_DATOS!$C$1505,CROQUIS_DATOS!$C$1509,CROQUIS_DATOS!$C$1513,CROQUIS_DATOS!$C$1517)=1,CROQUIS_DATOS!$C$1557,0)+1,IF(MOD(IF(CHOOSE(MIN(MAX(MIN(INT(($A77-1)/62)+1,5),1),5),CROQUIS_DATOS!$C$1501,CROQUIS_DATOS!$C$1505,CROQUIS_DATOS!$C$1509,CROQUIS_DATOS!$C$1513,CROQUIS_DATOS!$C$1517)=1,CROQUIS_DATOS!$C$1557,0),2)=1,1,0),IF(MOD(MIN(INT((MOD($A77-1,62)+1-2)/2)+1,MAX(IF(CHOOSE(MIN(MAX(MIN(INT(($A77-1)/62)+1,5),1),5),CROQUIS_DATOS!$C$1501,CROQUIS_DATOS!$C$1505,CROQUIS_DATOS!$C$1509,CROQUIS_DATOS!$C$1513,CROQUIS_DATOS!$C$1517)=1,CROQUIS_DATOS!$C$1557,0),1)),2)=1,IF(MOD(MOD($A77-1,62)+1-2,2)=0,0,1),IF(MOD(MOD($A77-1,62)+1-2,2)=0,1,0))))=0,(CHOOSE(MIN(MAX(MIN(INT(($A77-1)/62)+1,5),1),5),CROQUIS_DATOS!$C$1499,CROQUIS_DATOS!$C$1503,CROQUIS_DATOS!$C$1507,CROQUIS_DATOS!$C$1511,CROQUIS_DATOS!$C$1515)+IF(CHOOSE(MIN(MAX(MIN(INT(($A77-1)/62)+1,5),1),5),CROQUIS_DATOS!$C$1501,CROQUIS_DATOS!$C$1505,CROQUIS_DATOS!$C$1509,CROQUIS_DATOS!$C$1513,CROQUIS_DATOS!$C$1517)=1,CROQUIS_DATOS!$C$1526,0)),(CHOOSE(MIN(MAX(MIN(INT(($A77-1)/62)+1,5),1),5),CROQUIS_DATOS!$C$1499,CROQUIS_DATOS!$C$1503,CROQUIS_DATOS!$C$1507,CROQUIS_DATOS!$C$1511,CROQUIS_DATOS!$C$1515)+CHOOSE(MIN(MAX(MIN(INT(($A77-1)/62)+1,5),1),5),CROQUIS_DATOS!$C$1500,CROQUIS_DATOS!$C$1504,CROQUIS_DATOS!$C$1508,CROQUIS_DATOS!$C$1512,CROQUIS_DATOS!$C$1516)-IF(CHOOSE(MIN(MAX(MIN(INT(($A77-1)/62)+1,5),1),5),CROQUIS_DATOS!$C$1501,CROQUIS_DATOS!$C$1505,CROQUIS_DATOS!$C$1509,CROQUIS_DATOS!$C$1513,CROQUIS_DATOS!$C$1517)=1,CROQUIS_DATOS!$C$1526,0))))*CROQUIS_DATOS!$C$1562),-1000)</f>
        <v>-1000</v>
      </c>
      <c r="Q77">
        <f>IF(AND(CROQUIS_DATOS!$C$1472=1,CROQUIS_DATOS!$C$1555=1),(CROQUIS_DATOS!$C$1564+(IF(OR(OR(MOD($A77-1,62)+1=1,IF(CHOOSE(MIN(MAX(MIN(INT(($A77-1)/62)+1,5),1),5),CROQUIS_DATOS!$C$1501,CROQUIS_DATOS!$C$1505,CROQUIS_DATOS!$C$1509,CROQUIS_DATOS!$C$1513,CROQUIS_DATOS!$C$1517)=1,CROQUIS_DATOS!$C$1557,0)=0),MOD($A77-1,62)+1&gt;2*IF(CHOOSE(MIN(MAX(MIN(INT(($A77-1)/62)+1,5),1),5),CROQUIS_DATOS!$C$1501,CROQUIS_DATOS!$C$1505,CROQUIS_DATOS!$C$1509,CROQUIS_DATOS!$C$1513,CROQUIS_DATOS!$C$1517)=1,CROQUIS_DATOS!$C$1557,0)+1),CROQUIS_DATOS!$C$1476,MIN(INT((MOD($A77-1,62)+1-2)/2)+1,MAX(IF(CHOOSE(MIN(MAX(MIN(INT(($A77-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7">
        <f>IF(AND(CROQUIS_DATOS!$C$1472=1,1),(CROQUIS_DATOS!$C$1563+(MIN(INT(($A77-1)/2)+1,CROQUIS_DATOS!$C$1558)*CROQUIS_DATOS!$C$1559)*CROQUIS_DATOS!$C$1562),-1000)</f>
        <v>82.2281167108753</v>
      </c>
      <c r="U77">
        <f>IF(AND(CROQUIS_DATOS!$C$1472=1,1),(CROQUIS_DATOS!$C$1564+(IF(INT(($A77-1)/2)+1&gt;CROQUIS_DATOS!$C$1558,IF(MOD(CROQUIS_DATOS!$C$1558,2)=1,CROQUIS_DATOS!$C$1476+CROQUIS_DATOS!$C$1528,CROQUIS_DATOS!$C$1476),IF(IF(MOD(MIN(INT(($A77-1)/2)+1,CROQUIS_DATOS!$C$1558),2)=1,MOD($A77-1,2),1-MOD($A77-1,2))=1,CROQUIS_DATOS!$C$1476+CROQUIS_DATOS!$C$1528,CROQUIS_DATOS!$C$1476)))*CROQUIS_DATOS!$C$1561*CROQUIS_DATOS!$C$1562),-1000)</f>
        <v>43</v>
      </c>
      <c r="BZ77">
        <f>IF(AND(CROQUIS_DATOS!$C$1472=1,CROQUIS_DATOS!$C$1500&gt;0,((CROQUIS_DATOS!$C$1499+CROQUIS_DATOS!$C$1500))-(CROQUIS_DATOS!$C$1499)&gt;0.5,(CROQUIS_DATOS!$C$1476)-(0)&gt;0.5),(CROQUIS_DATOS!$C$1566+(IF(IF(MOD(MIN(INT(($A77-1)/2)+1,MAX(1,INT(((((CROQUIS_DATOS!$C$1499+CROQUIS_DATOS!$C$1500))-(CROQUIS_DATOS!$C$1499))+((CROQUIS_DATOS!$C$1476)*CROQUIS_DATOS!$C$1561-(0)*CROQUIS_DATOS!$C$1561))/CROQUIS_DATOS!$C$1568-0.000001))),2)=1,IF(INT(($A77-1)/2)+1&gt;MAX(1,INT(((((CROQUIS_DATOS!$C$1499+CROQUIS_DATOS!$C$1500))-(CROQUIS_DATOS!$C$1499))+((CROQUIS_DATOS!$C$1476)*CROQUIS_DATOS!$C$1561-(0)*CROQUIS_DATOS!$C$1561))/CROQUIS_DATOS!$C$1568-0.000001)),1,MOD($A77-1,2)),1-IF(INT(($A77-1)/2)+1&gt;MAX(1,INT(((((CROQUIS_DATOS!$C$1499+CROQUIS_DATOS!$C$1500))-(CROQUIS_DATOS!$C$1499))+((CROQUIS_DATOS!$C$1476)*CROQUIS_DATOS!$C$1561-(0)*CROQUIS_DATOS!$C$1561))/CROQUIS_DATOS!$C$1568-0.000001)),1,MOD($A77-1,2)))=1,MIN((CROQUIS_DATOS!$C$1476)*CROQUIS_DATOS!$C$1561,((CROQUIS_DATOS!$C$1499+CROQUIS_DATOS!$C$1500)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7">
        <f>IF(AND(CROQUIS_DATOS!$C$1472=1,CROQUIS_DATOS!$C$1500&gt;0,((CROQUIS_DATOS!$C$1499+CROQUIS_DATOS!$C$1500))-(CROQUIS_DATOS!$C$1499)&gt;0.5,(CROQUIS_DATOS!$C$1476)-(0)&gt;0.5),(CROQUIS_DATOS!$C$1567+(IF(IF(MOD(MIN(INT(($A77-1)/2)+1,MAX(1,INT(((((CROQUIS_DATOS!$C$1499+CROQUIS_DATOS!$C$1500))-(CROQUIS_DATOS!$C$1499))+((CROQUIS_DATOS!$C$1476)*CROQUIS_DATOS!$C$1561-(0)*CROQUIS_DATOS!$C$1561))/CROQUIS_DATOS!$C$1568-0.000001))),2)=1,IF(INT(($A77-1)/2)+1&gt;MAX(1,INT(((((CROQUIS_DATOS!$C$1499+CROQUIS_DATOS!$C$1500))-(CROQUIS_DATOS!$C$1499))+((CROQUIS_DATOS!$C$1476)*CROQUIS_DATOS!$C$1561-(0)*CROQUIS_DATOS!$C$1561))/CROQUIS_DATOS!$C$1568-0.000001)),1,MOD($A77-1,2)),1-IF(INT(($A77-1)/2)+1&gt;MAX(1,INT(((((CROQUIS_DATOS!$C$1499+CROQUIS_DATOS!$C$1500))-(CROQUIS_DATOS!$C$1499))+((CROQUIS_DATOS!$C$1476)*CROQUIS_DATOS!$C$1561-(0)*CROQUIS_DATOS!$C$1561))/CROQUIS_DATOS!$C$1568-0.000001)),1,MOD($A77-1,2)))=1,MIN((CROQUIS_DATOS!$C$1476)*CROQUIS_DATOS!$C$1561,((CROQUIS_DATOS!$C$1499+CROQUIS_DATOS!$C$1500)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7">
        <f>IF(AND(CROQUIS_DATOS!$C$1472=1,CROQUIS_DATOS!$C$1504&gt;0,((CROQUIS_DATOS!$C$1503+CROQUIS_DATOS!$C$1504))-(CROQUIS_DATOS!$C$1503)&gt;0.5,(CROQUIS_DATOS!$C$1476)-(0)&gt;0.5),(CROQUIS_DATOS!$C$1566+(IF(IF(MOD(MIN(INT(($A77-1)/2)+1,MAX(1,INT(((((CROQUIS_DATOS!$C$1503+CROQUIS_DATOS!$C$1504))-(CROQUIS_DATOS!$C$1503))+((CROQUIS_DATOS!$C$1476)*CROQUIS_DATOS!$C$1561-(0)*CROQUIS_DATOS!$C$1561))/CROQUIS_DATOS!$C$1568-0.000001))),2)=1,IF(INT(($A77-1)/2)+1&gt;MAX(1,INT(((((CROQUIS_DATOS!$C$1503+CROQUIS_DATOS!$C$1504))-(CROQUIS_DATOS!$C$1503))+((CROQUIS_DATOS!$C$1476)*CROQUIS_DATOS!$C$1561-(0)*CROQUIS_DATOS!$C$1561))/CROQUIS_DATOS!$C$1568-0.000001)),1,MOD($A77-1,2)),1-IF(INT(($A77-1)/2)+1&gt;MAX(1,INT(((((CROQUIS_DATOS!$C$1503+CROQUIS_DATOS!$C$1504))-(CROQUIS_DATOS!$C$1503))+((CROQUIS_DATOS!$C$1476)*CROQUIS_DATOS!$C$1561-(0)*CROQUIS_DATOS!$C$1561))/CROQUIS_DATOS!$C$1568-0.000001)),1,MOD($A77-1,2)))=1,MIN((CROQUIS_DATOS!$C$1476)*CROQUIS_DATOS!$C$1561,((CROQUIS_DATOS!$C$1503+CROQUIS_DATOS!$C$1504)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7">
        <f>IF(AND(CROQUIS_DATOS!$C$1472=1,CROQUIS_DATOS!$C$1504&gt;0,((CROQUIS_DATOS!$C$1503+CROQUIS_DATOS!$C$1504))-(CROQUIS_DATOS!$C$1503)&gt;0.5,(CROQUIS_DATOS!$C$1476)-(0)&gt;0.5),(CROQUIS_DATOS!$C$1567+(IF(IF(MOD(MIN(INT(($A77-1)/2)+1,MAX(1,INT(((((CROQUIS_DATOS!$C$1503+CROQUIS_DATOS!$C$1504))-(CROQUIS_DATOS!$C$1503))+((CROQUIS_DATOS!$C$1476)*CROQUIS_DATOS!$C$1561-(0)*CROQUIS_DATOS!$C$1561))/CROQUIS_DATOS!$C$1568-0.000001))),2)=1,IF(INT(($A77-1)/2)+1&gt;MAX(1,INT(((((CROQUIS_DATOS!$C$1503+CROQUIS_DATOS!$C$1504))-(CROQUIS_DATOS!$C$1503))+((CROQUIS_DATOS!$C$1476)*CROQUIS_DATOS!$C$1561-(0)*CROQUIS_DATOS!$C$1561))/CROQUIS_DATOS!$C$1568-0.000001)),1,MOD($A77-1,2)),1-IF(INT(($A77-1)/2)+1&gt;MAX(1,INT(((((CROQUIS_DATOS!$C$1503+CROQUIS_DATOS!$C$1504))-(CROQUIS_DATOS!$C$1503))+((CROQUIS_DATOS!$C$1476)*CROQUIS_DATOS!$C$1561-(0)*CROQUIS_DATOS!$C$1561))/CROQUIS_DATOS!$C$1568-0.000001)),1,MOD($A77-1,2)))=1,MIN((CROQUIS_DATOS!$C$1476)*CROQUIS_DATOS!$C$1561,((CROQUIS_DATOS!$C$1503+CROQUIS_DATOS!$C$1504)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7">
        <f>IF(AND(CROQUIS_DATOS!$C$1472=1,CROQUIS_DATOS!$C$1508&gt;0,((CROQUIS_DATOS!$C$1507+CROQUIS_DATOS!$C$1508))-(CROQUIS_DATOS!$C$1507)&gt;0.5,(CROQUIS_DATOS!$C$1476)-(0)&gt;0.5),(CROQUIS_DATOS!$C$1566+(IF(IF(MOD(MIN(INT(($A77-1)/2)+1,MAX(1,INT(((((CROQUIS_DATOS!$C$1507+CROQUIS_DATOS!$C$1508))-(CROQUIS_DATOS!$C$1507))+((CROQUIS_DATOS!$C$1476)*CROQUIS_DATOS!$C$1561-(0)*CROQUIS_DATOS!$C$1561))/CROQUIS_DATOS!$C$1568-0.000001))),2)=1,IF(INT(($A77-1)/2)+1&gt;MAX(1,INT(((((CROQUIS_DATOS!$C$1507+CROQUIS_DATOS!$C$1508))-(CROQUIS_DATOS!$C$1507))+((CROQUIS_DATOS!$C$1476)*CROQUIS_DATOS!$C$1561-(0)*CROQUIS_DATOS!$C$1561))/CROQUIS_DATOS!$C$1568-0.000001)),1,MOD($A77-1,2)),1-IF(INT(($A77-1)/2)+1&gt;MAX(1,INT(((((CROQUIS_DATOS!$C$1507+CROQUIS_DATOS!$C$1508))-(CROQUIS_DATOS!$C$1507))+((CROQUIS_DATOS!$C$1476)*CROQUIS_DATOS!$C$1561-(0)*CROQUIS_DATOS!$C$1561))/CROQUIS_DATOS!$C$1568-0.000001)),1,MOD($A77-1,2)))=1,MIN((CROQUIS_DATOS!$C$1476)*CROQUIS_DATOS!$C$1561,((CROQUIS_DATOS!$C$1507+CROQUIS_DATOS!$C$1508)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7">
        <f>IF(AND(CROQUIS_DATOS!$C$1472=1,CROQUIS_DATOS!$C$1508&gt;0,((CROQUIS_DATOS!$C$1507+CROQUIS_DATOS!$C$1508))-(CROQUIS_DATOS!$C$1507)&gt;0.5,(CROQUIS_DATOS!$C$1476)-(0)&gt;0.5),(CROQUIS_DATOS!$C$1567+(IF(IF(MOD(MIN(INT(($A77-1)/2)+1,MAX(1,INT(((((CROQUIS_DATOS!$C$1507+CROQUIS_DATOS!$C$1508))-(CROQUIS_DATOS!$C$1507))+((CROQUIS_DATOS!$C$1476)*CROQUIS_DATOS!$C$1561-(0)*CROQUIS_DATOS!$C$1561))/CROQUIS_DATOS!$C$1568-0.000001))),2)=1,IF(INT(($A77-1)/2)+1&gt;MAX(1,INT(((((CROQUIS_DATOS!$C$1507+CROQUIS_DATOS!$C$1508))-(CROQUIS_DATOS!$C$1507))+((CROQUIS_DATOS!$C$1476)*CROQUIS_DATOS!$C$1561-(0)*CROQUIS_DATOS!$C$1561))/CROQUIS_DATOS!$C$1568-0.000001)),1,MOD($A77-1,2)),1-IF(INT(($A77-1)/2)+1&gt;MAX(1,INT(((((CROQUIS_DATOS!$C$1507+CROQUIS_DATOS!$C$1508))-(CROQUIS_DATOS!$C$1507))+((CROQUIS_DATOS!$C$1476)*CROQUIS_DATOS!$C$1561-(0)*CROQUIS_DATOS!$C$1561))/CROQUIS_DATOS!$C$1568-0.000001)),1,MOD($A77-1,2)))=1,MIN((CROQUIS_DATOS!$C$1476)*CROQUIS_DATOS!$C$1561,((CROQUIS_DATOS!$C$1507+CROQUIS_DATOS!$C$1508)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7">
        <f>IF(AND(CROQUIS_DATOS!$C$1472=1,CROQUIS_DATOS!$C$1512&gt;0,((CROQUIS_DATOS!$C$1511+CROQUIS_DATOS!$C$1512))-(CROQUIS_DATOS!$C$1511)&gt;0.5,(CROQUIS_DATOS!$C$1476)-(0)&gt;0.5),(CROQUIS_DATOS!$C$1566+(IF(IF(MOD(MIN(INT(($A77-1)/2)+1,MAX(1,INT(((((CROQUIS_DATOS!$C$1511+CROQUIS_DATOS!$C$1512))-(CROQUIS_DATOS!$C$1511))+((CROQUIS_DATOS!$C$1476)*CROQUIS_DATOS!$C$1561-(0)*CROQUIS_DATOS!$C$1561))/CROQUIS_DATOS!$C$1568-0.000001))),2)=1,IF(INT(($A77-1)/2)+1&gt;MAX(1,INT(((((CROQUIS_DATOS!$C$1511+CROQUIS_DATOS!$C$1512))-(CROQUIS_DATOS!$C$1511))+((CROQUIS_DATOS!$C$1476)*CROQUIS_DATOS!$C$1561-(0)*CROQUIS_DATOS!$C$1561))/CROQUIS_DATOS!$C$1568-0.000001)),1,MOD($A77-1,2)),1-IF(INT(($A77-1)/2)+1&gt;MAX(1,INT(((((CROQUIS_DATOS!$C$1511+CROQUIS_DATOS!$C$1512))-(CROQUIS_DATOS!$C$1511))+((CROQUIS_DATOS!$C$1476)*CROQUIS_DATOS!$C$1561-(0)*CROQUIS_DATOS!$C$1561))/CROQUIS_DATOS!$C$1568-0.000001)),1,MOD($A77-1,2)))=1,MIN((CROQUIS_DATOS!$C$1476)*CROQUIS_DATOS!$C$1561,((CROQUIS_DATOS!$C$1511+CROQUIS_DATOS!$C$1512)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7">
        <f>IF(AND(CROQUIS_DATOS!$C$1472=1,CROQUIS_DATOS!$C$1512&gt;0,((CROQUIS_DATOS!$C$1511+CROQUIS_DATOS!$C$1512))-(CROQUIS_DATOS!$C$1511)&gt;0.5,(CROQUIS_DATOS!$C$1476)-(0)&gt;0.5),(CROQUIS_DATOS!$C$1567+(IF(IF(MOD(MIN(INT(($A77-1)/2)+1,MAX(1,INT(((((CROQUIS_DATOS!$C$1511+CROQUIS_DATOS!$C$1512))-(CROQUIS_DATOS!$C$1511))+((CROQUIS_DATOS!$C$1476)*CROQUIS_DATOS!$C$1561-(0)*CROQUIS_DATOS!$C$1561))/CROQUIS_DATOS!$C$1568-0.000001))),2)=1,IF(INT(($A77-1)/2)+1&gt;MAX(1,INT(((((CROQUIS_DATOS!$C$1511+CROQUIS_DATOS!$C$1512))-(CROQUIS_DATOS!$C$1511))+((CROQUIS_DATOS!$C$1476)*CROQUIS_DATOS!$C$1561-(0)*CROQUIS_DATOS!$C$1561))/CROQUIS_DATOS!$C$1568-0.000001)),1,MOD($A77-1,2)),1-IF(INT(($A77-1)/2)+1&gt;MAX(1,INT(((((CROQUIS_DATOS!$C$1511+CROQUIS_DATOS!$C$1512))-(CROQUIS_DATOS!$C$1511))+((CROQUIS_DATOS!$C$1476)*CROQUIS_DATOS!$C$1561-(0)*CROQUIS_DATOS!$C$1561))/CROQUIS_DATOS!$C$1568-0.000001)),1,MOD($A77-1,2)))=1,MIN((CROQUIS_DATOS!$C$1476)*CROQUIS_DATOS!$C$1561,((CROQUIS_DATOS!$C$1511+CROQUIS_DATOS!$C$1512)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7">
        <f>IF(AND(CROQUIS_DATOS!$C$1472=1,CROQUIS_DATOS!$C$1516&gt;0,((CROQUIS_DATOS!$C$1515+CROQUIS_DATOS!$C$1516))-(CROQUIS_DATOS!$C$1515)&gt;0.5,(CROQUIS_DATOS!$C$1476)-(0)&gt;0.5),(CROQUIS_DATOS!$C$1566+(IF(IF(MOD(MIN(INT(($A77-1)/2)+1,MAX(1,INT(((((CROQUIS_DATOS!$C$1515+CROQUIS_DATOS!$C$1516))-(CROQUIS_DATOS!$C$1515))+((CROQUIS_DATOS!$C$1476)*CROQUIS_DATOS!$C$1561-(0)*CROQUIS_DATOS!$C$1561))/CROQUIS_DATOS!$C$1568-0.000001))),2)=1,IF(INT(($A77-1)/2)+1&gt;MAX(1,INT(((((CROQUIS_DATOS!$C$1515+CROQUIS_DATOS!$C$1516))-(CROQUIS_DATOS!$C$1515))+((CROQUIS_DATOS!$C$1476)*CROQUIS_DATOS!$C$1561-(0)*CROQUIS_DATOS!$C$1561))/CROQUIS_DATOS!$C$1568-0.000001)),1,MOD($A77-1,2)),1-IF(INT(($A77-1)/2)+1&gt;MAX(1,INT(((((CROQUIS_DATOS!$C$1515+CROQUIS_DATOS!$C$1516))-(CROQUIS_DATOS!$C$1515))+((CROQUIS_DATOS!$C$1476)*CROQUIS_DATOS!$C$1561-(0)*CROQUIS_DATOS!$C$1561))/CROQUIS_DATOS!$C$1568-0.000001)),1,MOD($A77-1,2)))=1,MIN((CROQUIS_DATOS!$C$1476)*CROQUIS_DATOS!$C$1561,((CROQUIS_DATOS!$C$1515+CROQUIS_DATOS!$C$1516)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7">
        <f>IF(AND(CROQUIS_DATOS!$C$1472=1,CROQUIS_DATOS!$C$1516&gt;0,((CROQUIS_DATOS!$C$1515+CROQUIS_DATOS!$C$1516))-(CROQUIS_DATOS!$C$1515)&gt;0.5,(CROQUIS_DATOS!$C$1476)-(0)&gt;0.5),(CROQUIS_DATOS!$C$1567+(IF(IF(MOD(MIN(INT(($A77-1)/2)+1,MAX(1,INT(((((CROQUIS_DATOS!$C$1515+CROQUIS_DATOS!$C$1516))-(CROQUIS_DATOS!$C$1515))+((CROQUIS_DATOS!$C$1476)*CROQUIS_DATOS!$C$1561-(0)*CROQUIS_DATOS!$C$1561))/CROQUIS_DATOS!$C$1568-0.000001))),2)=1,IF(INT(($A77-1)/2)+1&gt;MAX(1,INT(((((CROQUIS_DATOS!$C$1515+CROQUIS_DATOS!$C$1516))-(CROQUIS_DATOS!$C$1515))+((CROQUIS_DATOS!$C$1476)*CROQUIS_DATOS!$C$1561-(0)*CROQUIS_DATOS!$C$1561))/CROQUIS_DATOS!$C$1568-0.000001)),1,MOD($A77-1,2)),1-IF(INT(($A77-1)/2)+1&gt;MAX(1,INT(((((CROQUIS_DATOS!$C$1515+CROQUIS_DATOS!$C$1516))-(CROQUIS_DATOS!$C$1515))+((CROQUIS_DATOS!$C$1476)*CROQUIS_DATOS!$C$1561-(0)*CROQUIS_DATOS!$C$1561))/CROQUIS_DATOS!$C$1568-0.000001)),1,MOD($A77-1,2)))=1,MIN((CROQUIS_DATOS!$C$1476)*CROQUIS_DATOS!$C$1561,((CROQUIS_DATOS!$C$1515+CROQUIS_DATOS!$C$1516)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7">
        <f>IF(AND(CROQUIS_DATOS!$C$1472=1,CROQUIS_DATOS!$C$1478&gt;=1,((CROQUIS_DATOS!$C$1479+CROQUIS_DATOS!$C$1480))-(CROQUIS_DATOS!$C$1479)&gt;0.5,(CROQUIS_DATOS!$C$1481)-(0)&gt;0.5),(CROQUIS_DATOS!$C$1566+(IF(IF(MOD(MIN(INT(($A77-1)/2)+1,MAX(1,INT(((((CROQUIS_DATOS!$C$1479+CROQUIS_DATOS!$C$1480))-(CROQUIS_DATOS!$C$1479))+((CROQUIS_DATOS!$C$1481)*CROQUIS_DATOS!$C$1561-(0)*CROQUIS_DATOS!$C$1561))/CROQUIS_DATOS!$C$1568-0.000001))),2)=1,IF(INT(($A77-1)/2)+1&gt;MAX(1,INT(((((CROQUIS_DATOS!$C$1479+CROQUIS_DATOS!$C$1480))-(CROQUIS_DATOS!$C$1479))+((CROQUIS_DATOS!$C$1481)*CROQUIS_DATOS!$C$1561-(0)*CROQUIS_DATOS!$C$1561))/CROQUIS_DATOS!$C$1568-0.000001)),1,MOD($A77-1,2)),1-IF(INT(($A77-1)/2)+1&gt;MAX(1,INT(((((CROQUIS_DATOS!$C$1479+CROQUIS_DATOS!$C$1480))-(CROQUIS_DATOS!$C$1479))+((CROQUIS_DATOS!$C$1481)*CROQUIS_DATOS!$C$1561-(0)*CROQUIS_DATOS!$C$1561))/CROQUIS_DATOS!$C$1568-0.000001)),1,MOD($A77-1,2)))=1,MIN((CROQUIS_DATOS!$C$1481)*CROQUIS_DATOS!$C$1561,((CROQUIS_DATOS!$C$1479+CROQUIS_DATOS!$C$1480)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7">
        <f>IF(AND(CROQUIS_DATOS!$C$1472=1,CROQUIS_DATOS!$C$1478&gt;=1,((CROQUIS_DATOS!$C$1479+CROQUIS_DATOS!$C$1480))-(CROQUIS_DATOS!$C$1479)&gt;0.5,(CROQUIS_DATOS!$C$1481)-(0)&gt;0.5),(CROQUIS_DATOS!$C$1567+(IF(IF(MOD(MIN(INT(($A77-1)/2)+1,MAX(1,INT(((((CROQUIS_DATOS!$C$1479+CROQUIS_DATOS!$C$1480))-(CROQUIS_DATOS!$C$1479))+((CROQUIS_DATOS!$C$1481)*CROQUIS_DATOS!$C$1561-(0)*CROQUIS_DATOS!$C$1561))/CROQUIS_DATOS!$C$1568-0.000001))),2)=1,IF(INT(($A77-1)/2)+1&gt;MAX(1,INT(((((CROQUIS_DATOS!$C$1479+CROQUIS_DATOS!$C$1480))-(CROQUIS_DATOS!$C$1479))+((CROQUIS_DATOS!$C$1481)*CROQUIS_DATOS!$C$1561-(0)*CROQUIS_DATOS!$C$1561))/CROQUIS_DATOS!$C$1568-0.000001)),1,MOD($A77-1,2)),1-IF(INT(($A77-1)/2)+1&gt;MAX(1,INT(((((CROQUIS_DATOS!$C$1479+CROQUIS_DATOS!$C$1480))-(CROQUIS_DATOS!$C$1479))+((CROQUIS_DATOS!$C$1481)*CROQUIS_DATOS!$C$1561-(0)*CROQUIS_DATOS!$C$1561))/CROQUIS_DATOS!$C$1568-0.000001)),1,MOD($A77-1,2)))=1,MIN((CROQUIS_DATOS!$C$1481)*CROQUIS_DATOS!$C$1561,((CROQUIS_DATOS!$C$1479+CROQUIS_DATOS!$C$1480)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7">
        <f>IF(AND(CROQUIS_DATOS!$C$1472=1,CROQUIS_DATOS!$C$1478&gt;=1,((CROQUIS_DATOS!$C$1479+CROQUIS_DATOS!$C$1480))-(CROQUIS_DATOS!$C$1479)&gt;0.5,(CROQUIS_DATOS!$C$1476)-((CROQUIS_DATOS!$C$1481+CROQUIS_DATOS!$C$1482))&gt;0.5),(CROQUIS_DATOS!$C$1566+(IF(IF(MOD(MIN(INT(($A77-1)/2)+1,MAX(1,INT(((((CROQUIS_DATOS!$C$1479+CROQUIS_DATOS!$C$1480))-(CROQUIS_DATOS!$C$1479))+((CROQUIS_DATOS!$C$1476)*CROQUIS_DATOS!$C$1561-((CROQUIS_DATOS!$C$1481+CROQUIS_DATOS!$C$1482))*CROQUIS_DATOS!$C$1561))/CROQUIS_DATOS!$C$1568-0.000001))),2)=1,IF(INT(($A77-1)/2)+1&gt;MAX(1,INT(((((CROQUIS_DATOS!$C$1479+CROQUIS_DATOS!$C$1480))-(CROQUIS_DATOS!$C$1479))+((CROQUIS_DATOS!$C$1476)*CROQUIS_DATOS!$C$1561-((CROQUIS_DATOS!$C$1481+CROQUIS_DATOS!$C$1482))*CROQUIS_DATOS!$C$1561))/CROQUIS_DATOS!$C$1568-0.000001)),1,MOD($A77-1,2)),1-IF(INT(($A77-1)/2)+1&gt;MAX(1,INT(((((CROQUIS_DATOS!$C$1479+CROQUIS_DATOS!$C$1480))-(CROQUIS_DATOS!$C$1479))+((CROQUIS_DATOS!$C$1476)*CROQUIS_DATOS!$C$1561-((CROQUIS_DATOS!$C$1481+CROQUIS_DATOS!$C$1482))*CROQUIS_DATOS!$C$1561))/CROQUIS_DATOS!$C$1568-0.000001)),1,MOD($A77-1,2)))=1,MIN((CROQUIS_DATOS!$C$1476)*CROQUIS_DATOS!$C$1561,((CROQUIS_DATOS!$C$1479+CROQUIS_DATOS!$C$1480)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7">
        <f>IF(AND(CROQUIS_DATOS!$C$1472=1,CROQUIS_DATOS!$C$1478&gt;=1,((CROQUIS_DATOS!$C$1479+CROQUIS_DATOS!$C$1480))-(CROQUIS_DATOS!$C$1479)&gt;0.5,(CROQUIS_DATOS!$C$1476)-((CROQUIS_DATOS!$C$1481+CROQUIS_DATOS!$C$1482))&gt;0.5),(CROQUIS_DATOS!$C$1567+(IF(IF(MOD(MIN(INT(($A77-1)/2)+1,MAX(1,INT(((((CROQUIS_DATOS!$C$1479+CROQUIS_DATOS!$C$1480))-(CROQUIS_DATOS!$C$1479))+((CROQUIS_DATOS!$C$1476)*CROQUIS_DATOS!$C$1561-((CROQUIS_DATOS!$C$1481+CROQUIS_DATOS!$C$1482))*CROQUIS_DATOS!$C$1561))/CROQUIS_DATOS!$C$1568-0.000001))),2)=1,IF(INT(($A77-1)/2)+1&gt;MAX(1,INT(((((CROQUIS_DATOS!$C$1479+CROQUIS_DATOS!$C$1480))-(CROQUIS_DATOS!$C$1479))+((CROQUIS_DATOS!$C$1476)*CROQUIS_DATOS!$C$1561-((CROQUIS_DATOS!$C$1481+CROQUIS_DATOS!$C$1482))*CROQUIS_DATOS!$C$1561))/CROQUIS_DATOS!$C$1568-0.000001)),1,MOD($A77-1,2)),1-IF(INT(($A77-1)/2)+1&gt;MAX(1,INT(((((CROQUIS_DATOS!$C$1479+CROQUIS_DATOS!$C$1480))-(CROQUIS_DATOS!$C$1479))+((CROQUIS_DATOS!$C$1476)*CROQUIS_DATOS!$C$1561-((CROQUIS_DATOS!$C$1481+CROQUIS_DATOS!$C$1482))*CROQUIS_DATOS!$C$1561))/CROQUIS_DATOS!$C$1568-0.000001)),1,MOD($A77-1,2)))=1,MIN((CROQUIS_DATOS!$C$1476)*CROQUIS_DATOS!$C$1561,((CROQUIS_DATOS!$C$1479+CROQUIS_DATOS!$C$1480)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7">
        <f>IF(AND(CROQUIS_DATOS!$C$1472=1,CROQUIS_DATOS!$C$1478&gt;=2,((CROQUIS_DATOS!$C$1484+CROQUIS_DATOS!$C$1485))-(CROQUIS_DATOS!$C$1484)&gt;0.5,(CROQUIS_DATOS!$C$1486)-(0)&gt;0.5),(CROQUIS_DATOS!$C$1566+(IF(IF(MOD(MIN(INT(($A77-1)/2)+1,MAX(1,INT(((((CROQUIS_DATOS!$C$1484+CROQUIS_DATOS!$C$1485))-(CROQUIS_DATOS!$C$1484))+((CROQUIS_DATOS!$C$1486)*CROQUIS_DATOS!$C$1561-(0)*CROQUIS_DATOS!$C$1561))/CROQUIS_DATOS!$C$1568-0.000001))),2)=1,IF(INT(($A77-1)/2)+1&gt;MAX(1,INT(((((CROQUIS_DATOS!$C$1484+CROQUIS_DATOS!$C$1485))-(CROQUIS_DATOS!$C$1484))+((CROQUIS_DATOS!$C$1486)*CROQUIS_DATOS!$C$1561-(0)*CROQUIS_DATOS!$C$1561))/CROQUIS_DATOS!$C$1568-0.000001)),1,MOD($A77-1,2)),1-IF(INT(($A77-1)/2)+1&gt;MAX(1,INT(((((CROQUIS_DATOS!$C$1484+CROQUIS_DATOS!$C$1485))-(CROQUIS_DATOS!$C$1484))+((CROQUIS_DATOS!$C$1486)*CROQUIS_DATOS!$C$1561-(0)*CROQUIS_DATOS!$C$1561))/CROQUIS_DATOS!$C$1568-0.000001)),1,MOD($A77-1,2)))=1,MIN((CROQUIS_DATOS!$C$1486)*CROQUIS_DATOS!$C$1561,((CROQUIS_DATOS!$C$1484+CROQUIS_DATOS!$C$1485)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7">
        <f>IF(AND(CROQUIS_DATOS!$C$1472=1,CROQUIS_DATOS!$C$1478&gt;=2,((CROQUIS_DATOS!$C$1484+CROQUIS_DATOS!$C$1485))-(CROQUIS_DATOS!$C$1484)&gt;0.5,(CROQUIS_DATOS!$C$1486)-(0)&gt;0.5),(CROQUIS_DATOS!$C$1567+(IF(IF(MOD(MIN(INT(($A77-1)/2)+1,MAX(1,INT(((((CROQUIS_DATOS!$C$1484+CROQUIS_DATOS!$C$1485))-(CROQUIS_DATOS!$C$1484))+((CROQUIS_DATOS!$C$1486)*CROQUIS_DATOS!$C$1561-(0)*CROQUIS_DATOS!$C$1561))/CROQUIS_DATOS!$C$1568-0.000001))),2)=1,IF(INT(($A77-1)/2)+1&gt;MAX(1,INT(((((CROQUIS_DATOS!$C$1484+CROQUIS_DATOS!$C$1485))-(CROQUIS_DATOS!$C$1484))+((CROQUIS_DATOS!$C$1486)*CROQUIS_DATOS!$C$1561-(0)*CROQUIS_DATOS!$C$1561))/CROQUIS_DATOS!$C$1568-0.000001)),1,MOD($A77-1,2)),1-IF(INT(($A77-1)/2)+1&gt;MAX(1,INT(((((CROQUIS_DATOS!$C$1484+CROQUIS_DATOS!$C$1485))-(CROQUIS_DATOS!$C$1484))+((CROQUIS_DATOS!$C$1486)*CROQUIS_DATOS!$C$1561-(0)*CROQUIS_DATOS!$C$1561))/CROQUIS_DATOS!$C$1568-0.000001)),1,MOD($A77-1,2)))=1,MIN((CROQUIS_DATOS!$C$1486)*CROQUIS_DATOS!$C$1561,((CROQUIS_DATOS!$C$1484+CROQUIS_DATOS!$C$1485)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7">
        <f>IF(AND(CROQUIS_DATOS!$C$1472=1,CROQUIS_DATOS!$C$1478&gt;=2,((CROQUIS_DATOS!$C$1484+CROQUIS_DATOS!$C$1485))-(CROQUIS_DATOS!$C$1484)&gt;0.5,(CROQUIS_DATOS!$C$1476)-((CROQUIS_DATOS!$C$1486+CROQUIS_DATOS!$C$1487))&gt;0.5),(CROQUIS_DATOS!$C$1566+(IF(IF(MOD(MIN(INT(($A77-1)/2)+1,MAX(1,INT(((((CROQUIS_DATOS!$C$1484+CROQUIS_DATOS!$C$1485))-(CROQUIS_DATOS!$C$1484))+((CROQUIS_DATOS!$C$1476)*CROQUIS_DATOS!$C$1561-((CROQUIS_DATOS!$C$1486+CROQUIS_DATOS!$C$1487))*CROQUIS_DATOS!$C$1561))/CROQUIS_DATOS!$C$1568-0.000001))),2)=1,IF(INT(($A77-1)/2)+1&gt;MAX(1,INT(((((CROQUIS_DATOS!$C$1484+CROQUIS_DATOS!$C$1485))-(CROQUIS_DATOS!$C$1484))+((CROQUIS_DATOS!$C$1476)*CROQUIS_DATOS!$C$1561-((CROQUIS_DATOS!$C$1486+CROQUIS_DATOS!$C$1487))*CROQUIS_DATOS!$C$1561))/CROQUIS_DATOS!$C$1568-0.000001)),1,MOD($A77-1,2)),1-IF(INT(($A77-1)/2)+1&gt;MAX(1,INT(((((CROQUIS_DATOS!$C$1484+CROQUIS_DATOS!$C$1485))-(CROQUIS_DATOS!$C$1484))+((CROQUIS_DATOS!$C$1476)*CROQUIS_DATOS!$C$1561-((CROQUIS_DATOS!$C$1486+CROQUIS_DATOS!$C$1487))*CROQUIS_DATOS!$C$1561))/CROQUIS_DATOS!$C$1568-0.000001)),1,MOD($A77-1,2)))=1,MIN((CROQUIS_DATOS!$C$1476)*CROQUIS_DATOS!$C$1561,((CROQUIS_DATOS!$C$1484+CROQUIS_DATOS!$C$1485)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7">
        <f>IF(AND(CROQUIS_DATOS!$C$1472=1,CROQUIS_DATOS!$C$1478&gt;=2,((CROQUIS_DATOS!$C$1484+CROQUIS_DATOS!$C$1485))-(CROQUIS_DATOS!$C$1484)&gt;0.5,(CROQUIS_DATOS!$C$1476)-((CROQUIS_DATOS!$C$1486+CROQUIS_DATOS!$C$1487))&gt;0.5),(CROQUIS_DATOS!$C$1567+(IF(IF(MOD(MIN(INT(($A77-1)/2)+1,MAX(1,INT(((((CROQUIS_DATOS!$C$1484+CROQUIS_DATOS!$C$1485))-(CROQUIS_DATOS!$C$1484))+((CROQUIS_DATOS!$C$1476)*CROQUIS_DATOS!$C$1561-((CROQUIS_DATOS!$C$1486+CROQUIS_DATOS!$C$1487))*CROQUIS_DATOS!$C$1561))/CROQUIS_DATOS!$C$1568-0.000001))),2)=1,IF(INT(($A77-1)/2)+1&gt;MAX(1,INT(((((CROQUIS_DATOS!$C$1484+CROQUIS_DATOS!$C$1485))-(CROQUIS_DATOS!$C$1484))+((CROQUIS_DATOS!$C$1476)*CROQUIS_DATOS!$C$1561-((CROQUIS_DATOS!$C$1486+CROQUIS_DATOS!$C$1487))*CROQUIS_DATOS!$C$1561))/CROQUIS_DATOS!$C$1568-0.000001)),1,MOD($A77-1,2)),1-IF(INT(($A77-1)/2)+1&gt;MAX(1,INT(((((CROQUIS_DATOS!$C$1484+CROQUIS_DATOS!$C$1485))-(CROQUIS_DATOS!$C$1484))+((CROQUIS_DATOS!$C$1476)*CROQUIS_DATOS!$C$1561-((CROQUIS_DATOS!$C$1486+CROQUIS_DATOS!$C$1487))*CROQUIS_DATOS!$C$1561))/CROQUIS_DATOS!$C$1568-0.000001)),1,MOD($A77-1,2)))=1,MIN((CROQUIS_DATOS!$C$1476)*CROQUIS_DATOS!$C$1561,((CROQUIS_DATOS!$C$1484+CROQUIS_DATOS!$C$1485)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7">
        <f>IF(AND(CROQUIS_DATOS!$C$1472=1,CROQUIS_DATOS!$C$1478&gt;=3,((CROQUIS_DATOS!$C$1489+CROQUIS_DATOS!$C$1490))-(CROQUIS_DATOS!$C$1489)&gt;0.5,(CROQUIS_DATOS!$C$1491)-(0)&gt;0.5),(CROQUIS_DATOS!$C$1566+(IF(IF(MOD(MIN(INT(($A77-1)/2)+1,MAX(1,INT(((((CROQUIS_DATOS!$C$1489+CROQUIS_DATOS!$C$1490))-(CROQUIS_DATOS!$C$1489))+((CROQUIS_DATOS!$C$1491)*CROQUIS_DATOS!$C$1561-(0)*CROQUIS_DATOS!$C$1561))/CROQUIS_DATOS!$C$1568-0.000001))),2)=1,IF(INT(($A77-1)/2)+1&gt;MAX(1,INT(((((CROQUIS_DATOS!$C$1489+CROQUIS_DATOS!$C$1490))-(CROQUIS_DATOS!$C$1489))+((CROQUIS_DATOS!$C$1491)*CROQUIS_DATOS!$C$1561-(0)*CROQUIS_DATOS!$C$1561))/CROQUIS_DATOS!$C$1568-0.000001)),1,MOD($A77-1,2)),1-IF(INT(($A77-1)/2)+1&gt;MAX(1,INT(((((CROQUIS_DATOS!$C$1489+CROQUIS_DATOS!$C$1490))-(CROQUIS_DATOS!$C$1489))+((CROQUIS_DATOS!$C$1491)*CROQUIS_DATOS!$C$1561-(0)*CROQUIS_DATOS!$C$1561))/CROQUIS_DATOS!$C$1568-0.000001)),1,MOD($A77-1,2)))=1,MIN((CROQUIS_DATOS!$C$1491)*CROQUIS_DATOS!$C$1561,((CROQUIS_DATOS!$C$1489+CROQUIS_DATOS!$C$1490)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7">
        <f>IF(AND(CROQUIS_DATOS!$C$1472=1,CROQUIS_DATOS!$C$1478&gt;=3,((CROQUIS_DATOS!$C$1489+CROQUIS_DATOS!$C$1490))-(CROQUIS_DATOS!$C$1489)&gt;0.5,(CROQUIS_DATOS!$C$1491)-(0)&gt;0.5),(CROQUIS_DATOS!$C$1567+(IF(IF(MOD(MIN(INT(($A77-1)/2)+1,MAX(1,INT(((((CROQUIS_DATOS!$C$1489+CROQUIS_DATOS!$C$1490))-(CROQUIS_DATOS!$C$1489))+((CROQUIS_DATOS!$C$1491)*CROQUIS_DATOS!$C$1561-(0)*CROQUIS_DATOS!$C$1561))/CROQUIS_DATOS!$C$1568-0.000001))),2)=1,IF(INT(($A77-1)/2)+1&gt;MAX(1,INT(((((CROQUIS_DATOS!$C$1489+CROQUIS_DATOS!$C$1490))-(CROQUIS_DATOS!$C$1489))+((CROQUIS_DATOS!$C$1491)*CROQUIS_DATOS!$C$1561-(0)*CROQUIS_DATOS!$C$1561))/CROQUIS_DATOS!$C$1568-0.000001)),1,MOD($A77-1,2)),1-IF(INT(($A77-1)/2)+1&gt;MAX(1,INT(((((CROQUIS_DATOS!$C$1489+CROQUIS_DATOS!$C$1490))-(CROQUIS_DATOS!$C$1489))+((CROQUIS_DATOS!$C$1491)*CROQUIS_DATOS!$C$1561-(0)*CROQUIS_DATOS!$C$1561))/CROQUIS_DATOS!$C$1568-0.000001)),1,MOD($A77-1,2)))=1,MIN((CROQUIS_DATOS!$C$1491)*CROQUIS_DATOS!$C$1561,((CROQUIS_DATOS!$C$1489+CROQUIS_DATOS!$C$1490)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7">
        <f>IF(AND(CROQUIS_DATOS!$C$1472=1,CROQUIS_DATOS!$C$1478&gt;=3,((CROQUIS_DATOS!$C$1489+CROQUIS_DATOS!$C$1490))-(CROQUIS_DATOS!$C$1489)&gt;0.5,(CROQUIS_DATOS!$C$1476)-((CROQUIS_DATOS!$C$1491+CROQUIS_DATOS!$C$1492))&gt;0.5),(CROQUIS_DATOS!$C$1566+(IF(IF(MOD(MIN(INT(($A77-1)/2)+1,MAX(1,INT(((((CROQUIS_DATOS!$C$1489+CROQUIS_DATOS!$C$1490))-(CROQUIS_DATOS!$C$1489))+((CROQUIS_DATOS!$C$1476)*CROQUIS_DATOS!$C$1561-((CROQUIS_DATOS!$C$1491+CROQUIS_DATOS!$C$1492))*CROQUIS_DATOS!$C$1561))/CROQUIS_DATOS!$C$1568-0.000001))),2)=1,IF(INT(($A77-1)/2)+1&gt;MAX(1,INT(((((CROQUIS_DATOS!$C$1489+CROQUIS_DATOS!$C$1490))-(CROQUIS_DATOS!$C$1489))+((CROQUIS_DATOS!$C$1476)*CROQUIS_DATOS!$C$1561-((CROQUIS_DATOS!$C$1491+CROQUIS_DATOS!$C$1492))*CROQUIS_DATOS!$C$1561))/CROQUIS_DATOS!$C$1568-0.000001)),1,MOD($A77-1,2)),1-IF(INT(($A77-1)/2)+1&gt;MAX(1,INT(((((CROQUIS_DATOS!$C$1489+CROQUIS_DATOS!$C$1490))-(CROQUIS_DATOS!$C$1489))+((CROQUIS_DATOS!$C$1476)*CROQUIS_DATOS!$C$1561-((CROQUIS_DATOS!$C$1491+CROQUIS_DATOS!$C$1492))*CROQUIS_DATOS!$C$1561))/CROQUIS_DATOS!$C$1568-0.000001)),1,MOD($A77-1,2)))=1,MIN((CROQUIS_DATOS!$C$1476)*CROQUIS_DATOS!$C$1561,((CROQUIS_DATOS!$C$1489+CROQUIS_DATOS!$C$1490)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7">
        <f>IF(AND(CROQUIS_DATOS!$C$1472=1,CROQUIS_DATOS!$C$1478&gt;=3,((CROQUIS_DATOS!$C$1489+CROQUIS_DATOS!$C$1490))-(CROQUIS_DATOS!$C$1489)&gt;0.5,(CROQUIS_DATOS!$C$1476)-((CROQUIS_DATOS!$C$1491+CROQUIS_DATOS!$C$1492))&gt;0.5),(CROQUIS_DATOS!$C$1567+(IF(IF(MOD(MIN(INT(($A77-1)/2)+1,MAX(1,INT(((((CROQUIS_DATOS!$C$1489+CROQUIS_DATOS!$C$1490))-(CROQUIS_DATOS!$C$1489))+((CROQUIS_DATOS!$C$1476)*CROQUIS_DATOS!$C$1561-((CROQUIS_DATOS!$C$1491+CROQUIS_DATOS!$C$1492))*CROQUIS_DATOS!$C$1561))/CROQUIS_DATOS!$C$1568-0.000001))),2)=1,IF(INT(($A77-1)/2)+1&gt;MAX(1,INT(((((CROQUIS_DATOS!$C$1489+CROQUIS_DATOS!$C$1490))-(CROQUIS_DATOS!$C$1489))+((CROQUIS_DATOS!$C$1476)*CROQUIS_DATOS!$C$1561-((CROQUIS_DATOS!$C$1491+CROQUIS_DATOS!$C$1492))*CROQUIS_DATOS!$C$1561))/CROQUIS_DATOS!$C$1568-0.000001)),1,MOD($A77-1,2)),1-IF(INT(($A77-1)/2)+1&gt;MAX(1,INT(((((CROQUIS_DATOS!$C$1489+CROQUIS_DATOS!$C$1490))-(CROQUIS_DATOS!$C$1489))+((CROQUIS_DATOS!$C$1476)*CROQUIS_DATOS!$C$1561-((CROQUIS_DATOS!$C$1491+CROQUIS_DATOS!$C$1492))*CROQUIS_DATOS!$C$1561))/CROQUIS_DATOS!$C$1568-0.000001)),1,MOD($A77-1,2)))=1,MIN((CROQUIS_DATOS!$C$1476)*CROQUIS_DATOS!$C$1561,((CROQUIS_DATOS!$C$1489+CROQUIS_DATOS!$C$1490)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7">
        <f>IF(AND(CROQUIS_DATOS!$C$1472=1,CROQUIS_DATOS!$C$1478&gt;=4,((CROQUIS_DATOS!$C$1494+CROQUIS_DATOS!$C$1495))-(CROQUIS_DATOS!$C$1494)&gt;0.5,(CROQUIS_DATOS!$C$1496)-(0)&gt;0.5),(CROQUIS_DATOS!$C$1566+(IF(IF(MOD(MIN(INT(($A77-1)/2)+1,MAX(1,INT(((((CROQUIS_DATOS!$C$1494+CROQUIS_DATOS!$C$1495))-(CROQUIS_DATOS!$C$1494))+((CROQUIS_DATOS!$C$1496)*CROQUIS_DATOS!$C$1561-(0)*CROQUIS_DATOS!$C$1561))/CROQUIS_DATOS!$C$1568-0.000001))),2)=1,IF(INT(($A77-1)/2)+1&gt;MAX(1,INT(((((CROQUIS_DATOS!$C$1494+CROQUIS_DATOS!$C$1495))-(CROQUIS_DATOS!$C$1494))+((CROQUIS_DATOS!$C$1496)*CROQUIS_DATOS!$C$1561-(0)*CROQUIS_DATOS!$C$1561))/CROQUIS_DATOS!$C$1568-0.000001)),1,MOD($A77-1,2)),1-IF(INT(($A77-1)/2)+1&gt;MAX(1,INT(((((CROQUIS_DATOS!$C$1494+CROQUIS_DATOS!$C$1495))-(CROQUIS_DATOS!$C$1494))+((CROQUIS_DATOS!$C$1496)*CROQUIS_DATOS!$C$1561-(0)*CROQUIS_DATOS!$C$1561))/CROQUIS_DATOS!$C$1568-0.000001)),1,MOD($A77-1,2)))=1,MIN((CROQUIS_DATOS!$C$1496)*CROQUIS_DATOS!$C$1561,((CROQUIS_DATOS!$C$1494+CROQUIS_DATOS!$C$1495)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7">
        <f>IF(AND(CROQUIS_DATOS!$C$1472=1,CROQUIS_DATOS!$C$1478&gt;=4,((CROQUIS_DATOS!$C$1494+CROQUIS_DATOS!$C$1495))-(CROQUIS_DATOS!$C$1494)&gt;0.5,(CROQUIS_DATOS!$C$1496)-(0)&gt;0.5),(CROQUIS_DATOS!$C$1567+(IF(IF(MOD(MIN(INT(($A77-1)/2)+1,MAX(1,INT(((((CROQUIS_DATOS!$C$1494+CROQUIS_DATOS!$C$1495))-(CROQUIS_DATOS!$C$1494))+((CROQUIS_DATOS!$C$1496)*CROQUIS_DATOS!$C$1561-(0)*CROQUIS_DATOS!$C$1561))/CROQUIS_DATOS!$C$1568-0.000001))),2)=1,IF(INT(($A77-1)/2)+1&gt;MAX(1,INT(((((CROQUIS_DATOS!$C$1494+CROQUIS_DATOS!$C$1495))-(CROQUIS_DATOS!$C$1494))+((CROQUIS_DATOS!$C$1496)*CROQUIS_DATOS!$C$1561-(0)*CROQUIS_DATOS!$C$1561))/CROQUIS_DATOS!$C$1568-0.000001)),1,MOD($A77-1,2)),1-IF(INT(($A77-1)/2)+1&gt;MAX(1,INT(((((CROQUIS_DATOS!$C$1494+CROQUIS_DATOS!$C$1495))-(CROQUIS_DATOS!$C$1494))+((CROQUIS_DATOS!$C$1496)*CROQUIS_DATOS!$C$1561-(0)*CROQUIS_DATOS!$C$1561))/CROQUIS_DATOS!$C$1568-0.000001)),1,MOD($A77-1,2)))=1,MIN((CROQUIS_DATOS!$C$1496)*CROQUIS_DATOS!$C$1561,((CROQUIS_DATOS!$C$1494+CROQUIS_DATOS!$C$1495)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7">
        <f>IF(AND(CROQUIS_DATOS!$C$1472=1,CROQUIS_DATOS!$C$1478&gt;=4,((CROQUIS_DATOS!$C$1494+CROQUIS_DATOS!$C$1495))-(CROQUIS_DATOS!$C$1494)&gt;0.5,(CROQUIS_DATOS!$C$1476)-((CROQUIS_DATOS!$C$1496+CROQUIS_DATOS!$C$1497))&gt;0.5),(CROQUIS_DATOS!$C$1566+(IF(IF(MOD(MIN(INT(($A77-1)/2)+1,MAX(1,INT(((((CROQUIS_DATOS!$C$1494+CROQUIS_DATOS!$C$1495))-(CROQUIS_DATOS!$C$1494))+((CROQUIS_DATOS!$C$1476)*CROQUIS_DATOS!$C$1561-((CROQUIS_DATOS!$C$1496+CROQUIS_DATOS!$C$1497))*CROQUIS_DATOS!$C$1561))/CROQUIS_DATOS!$C$1568-0.000001))),2)=1,IF(INT(($A77-1)/2)+1&gt;MAX(1,INT(((((CROQUIS_DATOS!$C$1494+CROQUIS_DATOS!$C$1495))-(CROQUIS_DATOS!$C$1494))+((CROQUIS_DATOS!$C$1476)*CROQUIS_DATOS!$C$1561-((CROQUIS_DATOS!$C$1496+CROQUIS_DATOS!$C$1497))*CROQUIS_DATOS!$C$1561))/CROQUIS_DATOS!$C$1568-0.000001)),1,MOD($A77-1,2)),1-IF(INT(($A77-1)/2)+1&gt;MAX(1,INT(((((CROQUIS_DATOS!$C$1494+CROQUIS_DATOS!$C$1495))-(CROQUIS_DATOS!$C$1494))+((CROQUIS_DATOS!$C$1476)*CROQUIS_DATOS!$C$1561-((CROQUIS_DATOS!$C$1496+CROQUIS_DATOS!$C$1497))*CROQUIS_DATOS!$C$1561))/CROQUIS_DATOS!$C$1568-0.000001)),1,MOD($A77-1,2)))=1,MIN((CROQUIS_DATOS!$C$1476)*CROQUIS_DATOS!$C$1561,((CROQUIS_DATOS!$C$1494+CROQUIS_DATOS!$C$1495)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7">
        <f>IF(AND(CROQUIS_DATOS!$C$1472=1,CROQUIS_DATOS!$C$1478&gt;=4,((CROQUIS_DATOS!$C$1494+CROQUIS_DATOS!$C$1495))-(CROQUIS_DATOS!$C$1494)&gt;0.5,(CROQUIS_DATOS!$C$1476)-((CROQUIS_DATOS!$C$1496+CROQUIS_DATOS!$C$1497))&gt;0.5),(CROQUIS_DATOS!$C$1567+(IF(IF(MOD(MIN(INT(($A77-1)/2)+1,MAX(1,INT(((((CROQUIS_DATOS!$C$1494+CROQUIS_DATOS!$C$1495))-(CROQUIS_DATOS!$C$1494))+((CROQUIS_DATOS!$C$1476)*CROQUIS_DATOS!$C$1561-((CROQUIS_DATOS!$C$1496+CROQUIS_DATOS!$C$1497))*CROQUIS_DATOS!$C$1561))/CROQUIS_DATOS!$C$1568-0.000001))),2)=1,IF(INT(($A77-1)/2)+1&gt;MAX(1,INT(((((CROQUIS_DATOS!$C$1494+CROQUIS_DATOS!$C$1495))-(CROQUIS_DATOS!$C$1494))+((CROQUIS_DATOS!$C$1476)*CROQUIS_DATOS!$C$1561-((CROQUIS_DATOS!$C$1496+CROQUIS_DATOS!$C$1497))*CROQUIS_DATOS!$C$1561))/CROQUIS_DATOS!$C$1568-0.000001)),1,MOD($A77-1,2)),1-IF(INT(($A77-1)/2)+1&gt;MAX(1,INT(((((CROQUIS_DATOS!$C$1494+CROQUIS_DATOS!$C$1495))-(CROQUIS_DATOS!$C$1494))+((CROQUIS_DATOS!$C$1476)*CROQUIS_DATOS!$C$1561-((CROQUIS_DATOS!$C$1496+CROQUIS_DATOS!$C$1497))*CROQUIS_DATOS!$C$1561))/CROQUIS_DATOS!$C$1568-0.000001)),1,MOD($A77-1,2)))=1,MIN((CROQUIS_DATOS!$C$1476)*CROQUIS_DATOS!$C$1561,((CROQUIS_DATOS!$C$1494+CROQUIS_DATOS!$C$1495)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7">
        <f>IF(AND(CROQUIS_DATOS!$C$1472=1,1),(CROQUIS_DATOS!$C$1571+(CHOOSE(MIN(MAX(IF(INT(($A77-1)/5)+1&gt;CROQUIS_DATOS!$C$1525,5,MOD($A77-1,5)+1),1),5),(INDEX($E$8:$E$23,MIN(INT(($A77-1)/5)+1,CROQUIS_DATOS!$C$1525))-INDEX($F$8:$F$23,MIN(INT(($A77-1)/5)+1,CROQUIS_DATOS!$C$1525))/2),(INDEX($E$8:$E$23,MIN(INT(($A77-1)/5)+1,CROQUIS_DATOS!$C$1525))+INDEX($F$8:$F$23,MIN(INT(($A77-1)/5)+1,CROQUIS_DATOS!$C$1525))/2),(INDEX($E$8:$E$23,MIN(INT(($A77-1)/5)+1,CROQUIS_DATOS!$C$1525))+INDEX($F$8:$F$23,MIN(INT(($A77-1)/5)+1,CROQUIS_DATOS!$C$1525))/2),(INDEX($E$8:$E$23,MIN(INT(($A77-1)/5)+1,CROQUIS_DATOS!$C$1525))-INDEX($F$8:$F$23,MIN(INT(($A77-1)/5)+1,CROQUIS_DATOS!$C$1525))/2),(INDEX($E$8:$E$23,MIN(INT(($A77-1)/5)+1,CROQUIS_DATOS!$C$1525))-INDEX($F$8:$F$23,MIN(INT(($A77-1)/5)+1,CROQUIS_DATOS!$C$1525))/2)))*CROQUIS_DATOS!$C$1569),-1000)</f>
        <v>95.24</v>
      </c>
      <c r="GE77">
        <f>IF(AND(CROQUIS_DATOS!$C$1472=1,1),(CROQUIS_DATOS!$C$1572+(CHOOSE(MIN(MAX(IF(INT(($A77-1)/5)+1&gt;CROQUIS_DATOS!$C$1525,5,MOD($A77-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8">
      <c r="A78" t="n">
        <v>71</v>
      </c>
      <c r="N78">
        <f>IF(AND(CROQUIS_DATOS!$C$1472=1,1),(CROQUIS_DATOS!$C$1563+(IF(IF(IF(INT(($A78-1)/70)+1&gt;CROQUIS_DATOS!$C$1525,70,MOD($A78-1,70)+1)=1,0,IF(IF(INT(($A78-1)/70)+1&gt;CROQUIS_DATOS!$C$1525,70,MOD($A78-1,70)+1)&gt;2*CROQUIS_DATOS!$C$1541+1,IF(MOD(CROQUIS_DATOS!$C$1541,2)=1,1,0),IF(MOD(MIN(INT((IF(INT(($A78-1)/70)+1&gt;CROQUIS_DATOS!$C$1525,70,MOD($A78-1,70)+1)-2)/2)+1,CROQUIS_DATOS!$C$1541),2)=1,IF(MOD(IF(INT(($A78-1)/70)+1&gt;CROQUIS_DATOS!$C$1525,70,MOD($A78-1,70)+1)-2,2)=0,0,1),IF(MOD(IF(INT(($A78-1)/70)+1&gt;CROQUIS_DATOS!$C$1525,70,MOD($A78-1,70)+1)-2,2)=0,1,0))))=0,(INDEX($E$8:$E$23,MIN(INT(($A78-1)/70)+1,CROQUIS_DATOS!$C$1525))-INDEX($F$8:$F$23,MIN(INT(($A78-1)/70)+1,CROQUIS_DATOS!$C$1525))/2),(INDEX($E$8:$E$23,MIN(INT(($A78-1)/70)+1,CROQUIS_DATOS!$C$1525))+INDEX($F$8:$F$23,MIN(INT(($A78-1)/70)+1,CROQUIS_DATOS!$C$1525))/2)))*CROQUIS_DATOS!$C$1562),-1000)</f>
        <v>18.5775862068965</v>
      </c>
      <c r="O78">
        <f>IF(AND(CROQUIS_DATOS!$C$1472=1,1),(CROQUIS_DATOS!$C$1564+(IF(OR(IF(INT(($A78-1)/70)+1&gt;CROQUIS_DATOS!$C$1525,70,MOD($A78-1,70)+1)=1,IF(INT(($A78-1)/70)+1&gt;CROQUIS_DATOS!$C$1525,70,MOD($A78-1,70)+1)&gt;2*CROQUIS_DATOS!$C$1541+1),CROQUIS_DATOS!$C$1476,INDEX($H$8:$H$41,MIN(INT((IF(INT(($A78-1)/70)+1&gt;CROQUIS_DATOS!$C$1525,70,MOD($A78-1,70)+1)-2)/2)+1,CROQUIS_DATOS!$C$1541))))*CROQUIS_DATOS!$C$1561*CROQUIS_DATOS!$C$1562),-1000)</f>
        <v>40.2068965517241</v>
      </c>
      <c r="P78">
        <f>IF(AND(CROQUIS_DATOS!$C$1472=1,CROQUIS_DATOS!$C$1555=1),(CROQUIS_DATOS!$C$1563+(IF(IF(OR(MOD($A78-1,62)+1=1,IF(CHOOSE(MIN(MAX(MIN(INT(($A78-1)/62)+1,5),1),5),CROQUIS_DATOS!$C$1501,CROQUIS_DATOS!$C$1505,CROQUIS_DATOS!$C$1509,CROQUIS_DATOS!$C$1513,CROQUIS_DATOS!$C$1517)=1,CROQUIS_DATOS!$C$1557,0)=0),0,IF(MOD($A78-1,62)+1&gt;2*IF(CHOOSE(MIN(MAX(MIN(INT(($A78-1)/62)+1,5),1),5),CROQUIS_DATOS!$C$1501,CROQUIS_DATOS!$C$1505,CROQUIS_DATOS!$C$1509,CROQUIS_DATOS!$C$1513,CROQUIS_DATOS!$C$1517)=1,CROQUIS_DATOS!$C$1557,0)+1,IF(MOD(IF(CHOOSE(MIN(MAX(MIN(INT(($A78-1)/62)+1,5),1),5),CROQUIS_DATOS!$C$1501,CROQUIS_DATOS!$C$1505,CROQUIS_DATOS!$C$1509,CROQUIS_DATOS!$C$1513,CROQUIS_DATOS!$C$1517)=1,CROQUIS_DATOS!$C$1557,0),2)=1,1,0),IF(MOD(MIN(INT((MOD($A78-1,62)+1-2)/2)+1,MAX(IF(CHOOSE(MIN(MAX(MIN(INT(($A78-1)/62)+1,5),1),5),CROQUIS_DATOS!$C$1501,CROQUIS_DATOS!$C$1505,CROQUIS_DATOS!$C$1509,CROQUIS_DATOS!$C$1513,CROQUIS_DATOS!$C$1517)=1,CROQUIS_DATOS!$C$1557,0),1)),2)=1,IF(MOD(MOD($A78-1,62)+1-2,2)=0,0,1),IF(MOD(MOD($A78-1,62)+1-2,2)=0,1,0))))=0,(CHOOSE(MIN(MAX(MIN(INT(($A78-1)/62)+1,5),1),5),CROQUIS_DATOS!$C$1499,CROQUIS_DATOS!$C$1503,CROQUIS_DATOS!$C$1507,CROQUIS_DATOS!$C$1511,CROQUIS_DATOS!$C$1515)+IF(CHOOSE(MIN(MAX(MIN(INT(($A78-1)/62)+1,5),1),5),CROQUIS_DATOS!$C$1501,CROQUIS_DATOS!$C$1505,CROQUIS_DATOS!$C$1509,CROQUIS_DATOS!$C$1513,CROQUIS_DATOS!$C$1517)=1,CROQUIS_DATOS!$C$1526,0)),(CHOOSE(MIN(MAX(MIN(INT(($A78-1)/62)+1,5),1),5),CROQUIS_DATOS!$C$1499,CROQUIS_DATOS!$C$1503,CROQUIS_DATOS!$C$1507,CROQUIS_DATOS!$C$1511,CROQUIS_DATOS!$C$1515)+CHOOSE(MIN(MAX(MIN(INT(($A78-1)/62)+1,5),1),5),CROQUIS_DATOS!$C$1500,CROQUIS_DATOS!$C$1504,CROQUIS_DATOS!$C$1508,CROQUIS_DATOS!$C$1512,CROQUIS_DATOS!$C$1516)-IF(CHOOSE(MIN(MAX(MIN(INT(($A78-1)/62)+1,5),1),5),CROQUIS_DATOS!$C$1501,CROQUIS_DATOS!$C$1505,CROQUIS_DATOS!$C$1509,CROQUIS_DATOS!$C$1513,CROQUIS_DATOS!$C$1517)=1,CROQUIS_DATOS!$C$1526,0))))*CROQUIS_DATOS!$C$1562),-1000)</f>
        <v>-1000</v>
      </c>
      <c r="Q78">
        <f>IF(AND(CROQUIS_DATOS!$C$1472=1,CROQUIS_DATOS!$C$1555=1),(CROQUIS_DATOS!$C$1564+(IF(OR(OR(MOD($A78-1,62)+1=1,IF(CHOOSE(MIN(MAX(MIN(INT(($A78-1)/62)+1,5),1),5),CROQUIS_DATOS!$C$1501,CROQUIS_DATOS!$C$1505,CROQUIS_DATOS!$C$1509,CROQUIS_DATOS!$C$1513,CROQUIS_DATOS!$C$1517)=1,CROQUIS_DATOS!$C$1557,0)=0),MOD($A78-1,62)+1&gt;2*IF(CHOOSE(MIN(MAX(MIN(INT(($A78-1)/62)+1,5),1),5),CROQUIS_DATOS!$C$1501,CROQUIS_DATOS!$C$1505,CROQUIS_DATOS!$C$1509,CROQUIS_DATOS!$C$1513,CROQUIS_DATOS!$C$1517)=1,CROQUIS_DATOS!$C$1557,0)+1),CROQUIS_DATOS!$C$1476,MIN(INT((MOD($A78-1,62)+1-2)/2)+1,MAX(IF(CHOOSE(MIN(MAX(MIN(INT(($A78-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8">
        <f>IF(AND(CROQUIS_DATOS!$C$1472=1,1),(CROQUIS_DATOS!$C$1563+(MIN(INT(($A78-1)/2)+1,CROQUIS_DATOS!$C$1558)*CROQUIS_DATOS!$C$1559)*CROQUIS_DATOS!$C$1562),-1000)</f>
        <v>82.2281167108753</v>
      </c>
      <c r="U78">
        <f>IF(AND(CROQUIS_DATOS!$C$1472=1,1),(CROQUIS_DATOS!$C$1564+(IF(INT(($A78-1)/2)+1&gt;CROQUIS_DATOS!$C$1558,IF(MOD(CROQUIS_DATOS!$C$1558,2)=1,CROQUIS_DATOS!$C$1476+CROQUIS_DATOS!$C$1528,CROQUIS_DATOS!$C$1476),IF(IF(MOD(MIN(INT(($A78-1)/2)+1,CROQUIS_DATOS!$C$1558),2)=1,MOD($A78-1,2),1-MOD($A78-1,2))=1,CROQUIS_DATOS!$C$1476+CROQUIS_DATOS!$C$1528,CROQUIS_DATOS!$C$1476)))*CROQUIS_DATOS!$C$1561*CROQUIS_DATOS!$C$1562),-1000)</f>
        <v>43</v>
      </c>
      <c r="BZ78">
        <f>IF(AND(CROQUIS_DATOS!$C$1472=1,CROQUIS_DATOS!$C$1500&gt;0,((CROQUIS_DATOS!$C$1499+CROQUIS_DATOS!$C$1500))-(CROQUIS_DATOS!$C$1499)&gt;0.5,(CROQUIS_DATOS!$C$1476)-(0)&gt;0.5),(CROQUIS_DATOS!$C$1566+(IF(IF(MOD(MIN(INT(($A78-1)/2)+1,MAX(1,INT(((((CROQUIS_DATOS!$C$1499+CROQUIS_DATOS!$C$1500))-(CROQUIS_DATOS!$C$1499))+((CROQUIS_DATOS!$C$1476)*CROQUIS_DATOS!$C$1561-(0)*CROQUIS_DATOS!$C$1561))/CROQUIS_DATOS!$C$1568-0.000001))),2)=1,IF(INT(($A78-1)/2)+1&gt;MAX(1,INT(((((CROQUIS_DATOS!$C$1499+CROQUIS_DATOS!$C$1500))-(CROQUIS_DATOS!$C$1499))+((CROQUIS_DATOS!$C$1476)*CROQUIS_DATOS!$C$1561-(0)*CROQUIS_DATOS!$C$1561))/CROQUIS_DATOS!$C$1568-0.000001)),1,MOD($A78-1,2)),1-IF(INT(($A78-1)/2)+1&gt;MAX(1,INT(((((CROQUIS_DATOS!$C$1499+CROQUIS_DATOS!$C$1500))-(CROQUIS_DATOS!$C$1499))+((CROQUIS_DATOS!$C$1476)*CROQUIS_DATOS!$C$1561-(0)*CROQUIS_DATOS!$C$1561))/CROQUIS_DATOS!$C$1568-0.000001)),1,MOD($A78-1,2)))=1,MIN((CROQUIS_DATOS!$C$1476)*CROQUIS_DATOS!$C$1561,((CROQUIS_DATOS!$C$1499+CROQUIS_DATOS!$C$1500)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8">
        <f>IF(AND(CROQUIS_DATOS!$C$1472=1,CROQUIS_DATOS!$C$1500&gt;0,((CROQUIS_DATOS!$C$1499+CROQUIS_DATOS!$C$1500))-(CROQUIS_DATOS!$C$1499)&gt;0.5,(CROQUIS_DATOS!$C$1476)-(0)&gt;0.5),(CROQUIS_DATOS!$C$1567+(IF(IF(MOD(MIN(INT(($A78-1)/2)+1,MAX(1,INT(((((CROQUIS_DATOS!$C$1499+CROQUIS_DATOS!$C$1500))-(CROQUIS_DATOS!$C$1499))+((CROQUIS_DATOS!$C$1476)*CROQUIS_DATOS!$C$1561-(0)*CROQUIS_DATOS!$C$1561))/CROQUIS_DATOS!$C$1568-0.000001))),2)=1,IF(INT(($A78-1)/2)+1&gt;MAX(1,INT(((((CROQUIS_DATOS!$C$1499+CROQUIS_DATOS!$C$1500))-(CROQUIS_DATOS!$C$1499))+((CROQUIS_DATOS!$C$1476)*CROQUIS_DATOS!$C$1561-(0)*CROQUIS_DATOS!$C$1561))/CROQUIS_DATOS!$C$1568-0.000001)),1,MOD($A78-1,2)),1-IF(INT(($A78-1)/2)+1&gt;MAX(1,INT(((((CROQUIS_DATOS!$C$1499+CROQUIS_DATOS!$C$1500))-(CROQUIS_DATOS!$C$1499))+((CROQUIS_DATOS!$C$1476)*CROQUIS_DATOS!$C$1561-(0)*CROQUIS_DATOS!$C$1561))/CROQUIS_DATOS!$C$1568-0.000001)),1,MOD($A78-1,2)))=1,MIN((CROQUIS_DATOS!$C$1476)*CROQUIS_DATOS!$C$1561,((CROQUIS_DATOS!$C$1499+CROQUIS_DATOS!$C$1500)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8">
        <f>IF(AND(CROQUIS_DATOS!$C$1472=1,CROQUIS_DATOS!$C$1504&gt;0,((CROQUIS_DATOS!$C$1503+CROQUIS_DATOS!$C$1504))-(CROQUIS_DATOS!$C$1503)&gt;0.5,(CROQUIS_DATOS!$C$1476)-(0)&gt;0.5),(CROQUIS_DATOS!$C$1566+(IF(IF(MOD(MIN(INT(($A78-1)/2)+1,MAX(1,INT(((((CROQUIS_DATOS!$C$1503+CROQUIS_DATOS!$C$1504))-(CROQUIS_DATOS!$C$1503))+((CROQUIS_DATOS!$C$1476)*CROQUIS_DATOS!$C$1561-(0)*CROQUIS_DATOS!$C$1561))/CROQUIS_DATOS!$C$1568-0.000001))),2)=1,IF(INT(($A78-1)/2)+1&gt;MAX(1,INT(((((CROQUIS_DATOS!$C$1503+CROQUIS_DATOS!$C$1504))-(CROQUIS_DATOS!$C$1503))+((CROQUIS_DATOS!$C$1476)*CROQUIS_DATOS!$C$1561-(0)*CROQUIS_DATOS!$C$1561))/CROQUIS_DATOS!$C$1568-0.000001)),1,MOD($A78-1,2)),1-IF(INT(($A78-1)/2)+1&gt;MAX(1,INT(((((CROQUIS_DATOS!$C$1503+CROQUIS_DATOS!$C$1504))-(CROQUIS_DATOS!$C$1503))+((CROQUIS_DATOS!$C$1476)*CROQUIS_DATOS!$C$1561-(0)*CROQUIS_DATOS!$C$1561))/CROQUIS_DATOS!$C$1568-0.000001)),1,MOD($A78-1,2)))=1,MIN((CROQUIS_DATOS!$C$1476)*CROQUIS_DATOS!$C$1561,((CROQUIS_DATOS!$C$1503+CROQUIS_DATOS!$C$1504)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8">
        <f>IF(AND(CROQUIS_DATOS!$C$1472=1,CROQUIS_DATOS!$C$1504&gt;0,((CROQUIS_DATOS!$C$1503+CROQUIS_DATOS!$C$1504))-(CROQUIS_DATOS!$C$1503)&gt;0.5,(CROQUIS_DATOS!$C$1476)-(0)&gt;0.5),(CROQUIS_DATOS!$C$1567+(IF(IF(MOD(MIN(INT(($A78-1)/2)+1,MAX(1,INT(((((CROQUIS_DATOS!$C$1503+CROQUIS_DATOS!$C$1504))-(CROQUIS_DATOS!$C$1503))+((CROQUIS_DATOS!$C$1476)*CROQUIS_DATOS!$C$1561-(0)*CROQUIS_DATOS!$C$1561))/CROQUIS_DATOS!$C$1568-0.000001))),2)=1,IF(INT(($A78-1)/2)+1&gt;MAX(1,INT(((((CROQUIS_DATOS!$C$1503+CROQUIS_DATOS!$C$1504))-(CROQUIS_DATOS!$C$1503))+((CROQUIS_DATOS!$C$1476)*CROQUIS_DATOS!$C$1561-(0)*CROQUIS_DATOS!$C$1561))/CROQUIS_DATOS!$C$1568-0.000001)),1,MOD($A78-1,2)),1-IF(INT(($A78-1)/2)+1&gt;MAX(1,INT(((((CROQUIS_DATOS!$C$1503+CROQUIS_DATOS!$C$1504))-(CROQUIS_DATOS!$C$1503))+((CROQUIS_DATOS!$C$1476)*CROQUIS_DATOS!$C$1561-(0)*CROQUIS_DATOS!$C$1561))/CROQUIS_DATOS!$C$1568-0.000001)),1,MOD($A78-1,2)))=1,MIN((CROQUIS_DATOS!$C$1476)*CROQUIS_DATOS!$C$1561,((CROQUIS_DATOS!$C$1503+CROQUIS_DATOS!$C$1504)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8">
        <f>IF(AND(CROQUIS_DATOS!$C$1472=1,CROQUIS_DATOS!$C$1508&gt;0,((CROQUIS_DATOS!$C$1507+CROQUIS_DATOS!$C$1508))-(CROQUIS_DATOS!$C$1507)&gt;0.5,(CROQUIS_DATOS!$C$1476)-(0)&gt;0.5),(CROQUIS_DATOS!$C$1566+(IF(IF(MOD(MIN(INT(($A78-1)/2)+1,MAX(1,INT(((((CROQUIS_DATOS!$C$1507+CROQUIS_DATOS!$C$1508))-(CROQUIS_DATOS!$C$1507))+((CROQUIS_DATOS!$C$1476)*CROQUIS_DATOS!$C$1561-(0)*CROQUIS_DATOS!$C$1561))/CROQUIS_DATOS!$C$1568-0.000001))),2)=1,IF(INT(($A78-1)/2)+1&gt;MAX(1,INT(((((CROQUIS_DATOS!$C$1507+CROQUIS_DATOS!$C$1508))-(CROQUIS_DATOS!$C$1507))+((CROQUIS_DATOS!$C$1476)*CROQUIS_DATOS!$C$1561-(0)*CROQUIS_DATOS!$C$1561))/CROQUIS_DATOS!$C$1568-0.000001)),1,MOD($A78-1,2)),1-IF(INT(($A78-1)/2)+1&gt;MAX(1,INT(((((CROQUIS_DATOS!$C$1507+CROQUIS_DATOS!$C$1508))-(CROQUIS_DATOS!$C$1507))+((CROQUIS_DATOS!$C$1476)*CROQUIS_DATOS!$C$1561-(0)*CROQUIS_DATOS!$C$1561))/CROQUIS_DATOS!$C$1568-0.000001)),1,MOD($A78-1,2)))=1,MIN((CROQUIS_DATOS!$C$1476)*CROQUIS_DATOS!$C$1561,((CROQUIS_DATOS!$C$1507+CROQUIS_DATOS!$C$1508)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8">
        <f>IF(AND(CROQUIS_DATOS!$C$1472=1,CROQUIS_DATOS!$C$1508&gt;0,((CROQUIS_DATOS!$C$1507+CROQUIS_DATOS!$C$1508))-(CROQUIS_DATOS!$C$1507)&gt;0.5,(CROQUIS_DATOS!$C$1476)-(0)&gt;0.5),(CROQUIS_DATOS!$C$1567+(IF(IF(MOD(MIN(INT(($A78-1)/2)+1,MAX(1,INT(((((CROQUIS_DATOS!$C$1507+CROQUIS_DATOS!$C$1508))-(CROQUIS_DATOS!$C$1507))+((CROQUIS_DATOS!$C$1476)*CROQUIS_DATOS!$C$1561-(0)*CROQUIS_DATOS!$C$1561))/CROQUIS_DATOS!$C$1568-0.000001))),2)=1,IF(INT(($A78-1)/2)+1&gt;MAX(1,INT(((((CROQUIS_DATOS!$C$1507+CROQUIS_DATOS!$C$1508))-(CROQUIS_DATOS!$C$1507))+((CROQUIS_DATOS!$C$1476)*CROQUIS_DATOS!$C$1561-(0)*CROQUIS_DATOS!$C$1561))/CROQUIS_DATOS!$C$1568-0.000001)),1,MOD($A78-1,2)),1-IF(INT(($A78-1)/2)+1&gt;MAX(1,INT(((((CROQUIS_DATOS!$C$1507+CROQUIS_DATOS!$C$1508))-(CROQUIS_DATOS!$C$1507))+((CROQUIS_DATOS!$C$1476)*CROQUIS_DATOS!$C$1561-(0)*CROQUIS_DATOS!$C$1561))/CROQUIS_DATOS!$C$1568-0.000001)),1,MOD($A78-1,2)))=1,MIN((CROQUIS_DATOS!$C$1476)*CROQUIS_DATOS!$C$1561,((CROQUIS_DATOS!$C$1507+CROQUIS_DATOS!$C$1508)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8">
        <f>IF(AND(CROQUIS_DATOS!$C$1472=1,CROQUIS_DATOS!$C$1512&gt;0,((CROQUIS_DATOS!$C$1511+CROQUIS_DATOS!$C$1512))-(CROQUIS_DATOS!$C$1511)&gt;0.5,(CROQUIS_DATOS!$C$1476)-(0)&gt;0.5),(CROQUIS_DATOS!$C$1566+(IF(IF(MOD(MIN(INT(($A78-1)/2)+1,MAX(1,INT(((((CROQUIS_DATOS!$C$1511+CROQUIS_DATOS!$C$1512))-(CROQUIS_DATOS!$C$1511))+((CROQUIS_DATOS!$C$1476)*CROQUIS_DATOS!$C$1561-(0)*CROQUIS_DATOS!$C$1561))/CROQUIS_DATOS!$C$1568-0.000001))),2)=1,IF(INT(($A78-1)/2)+1&gt;MAX(1,INT(((((CROQUIS_DATOS!$C$1511+CROQUIS_DATOS!$C$1512))-(CROQUIS_DATOS!$C$1511))+((CROQUIS_DATOS!$C$1476)*CROQUIS_DATOS!$C$1561-(0)*CROQUIS_DATOS!$C$1561))/CROQUIS_DATOS!$C$1568-0.000001)),1,MOD($A78-1,2)),1-IF(INT(($A78-1)/2)+1&gt;MAX(1,INT(((((CROQUIS_DATOS!$C$1511+CROQUIS_DATOS!$C$1512))-(CROQUIS_DATOS!$C$1511))+((CROQUIS_DATOS!$C$1476)*CROQUIS_DATOS!$C$1561-(0)*CROQUIS_DATOS!$C$1561))/CROQUIS_DATOS!$C$1568-0.000001)),1,MOD($A78-1,2)))=1,MIN((CROQUIS_DATOS!$C$1476)*CROQUIS_DATOS!$C$1561,((CROQUIS_DATOS!$C$1511+CROQUIS_DATOS!$C$1512)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8">
        <f>IF(AND(CROQUIS_DATOS!$C$1472=1,CROQUIS_DATOS!$C$1512&gt;0,((CROQUIS_DATOS!$C$1511+CROQUIS_DATOS!$C$1512))-(CROQUIS_DATOS!$C$1511)&gt;0.5,(CROQUIS_DATOS!$C$1476)-(0)&gt;0.5),(CROQUIS_DATOS!$C$1567+(IF(IF(MOD(MIN(INT(($A78-1)/2)+1,MAX(1,INT(((((CROQUIS_DATOS!$C$1511+CROQUIS_DATOS!$C$1512))-(CROQUIS_DATOS!$C$1511))+((CROQUIS_DATOS!$C$1476)*CROQUIS_DATOS!$C$1561-(0)*CROQUIS_DATOS!$C$1561))/CROQUIS_DATOS!$C$1568-0.000001))),2)=1,IF(INT(($A78-1)/2)+1&gt;MAX(1,INT(((((CROQUIS_DATOS!$C$1511+CROQUIS_DATOS!$C$1512))-(CROQUIS_DATOS!$C$1511))+((CROQUIS_DATOS!$C$1476)*CROQUIS_DATOS!$C$1561-(0)*CROQUIS_DATOS!$C$1561))/CROQUIS_DATOS!$C$1568-0.000001)),1,MOD($A78-1,2)),1-IF(INT(($A78-1)/2)+1&gt;MAX(1,INT(((((CROQUIS_DATOS!$C$1511+CROQUIS_DATOS!$C$1512))-(CROQUIS_DATOS!$C$1511))+((CROQUIS_DATOS!$C$1476)*CROQUIS_DATOS!$C$1561-(0)*CROQUIS_DATOS!$C$1561))/CROQUIS_DATOS!$C$1568-0.000001)),1,MOD($A78-1,2)))=1,MIN((CROQUIS_DATOS!$C$1476)*CROQUIS_DATOS!$C$1561,((CROQUIS_DATOS!$C$1511+CROQUIS_DATOS!$C$1512)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8">
        <f>IF(AND(CROQUIS_DATOS!$C$1472=1,CROQUIS_DATOS!$C$1516&gt;0,((CROQUIS_DATOS!$C$1515+CROQUIS_DATOS!$C$1516))-(CROQUIS_DATOS!$C$1515)&gt;0.5,(CROQUIS_DATOS!$C$1476)-(0)&gt;0.5),(CROQUIS_DATOS!$C$1566+(IF(IF(MOD(MIN(INT(($A78-1)/2)+1,MAX(1,INT(((((CROQUIS_DATOS!$C$1515+CROQUIS_DATOS!$C$1516))-(CROQUIS_DATOS!$C$1515))+((CROQUIS_DATOS!$C$1476)*CROQUIS_DATOS!$C$1561-(0)*CROQUIS_DATOS!$C$1561))/CROQUIS_DATOS!$C$1568-0.000001))),2)=1,IF(INT(($A78-1)/2)+1&gt;MAX(1,INT(((((CROQUIS_DATOS!$C$1515+CROQUIS_DATOS!$C$1516))-(CROQUIS_DATOS!$C$1515))+((CROQUIS_DATOS!$C$1476)*CROQUIS_DATOS!$C$1561-(0)*CROQUIS_DATOS!$C$1561))/CROQUIS_DATOS!$C$1568-0.000001)),1,MOD($A78-1,2)),1-IF(INT(($A78-1)/2)+1&gt;MAX(1,INT(((((CROQUIS_DATOS!$C$1515+CROQUIS_DATOS!$C$1516))-(CROQUIS_DATOS!$C$1515))+((CROQUIS_DATOS!$C$1476)*CROQUIS_DATOS!$C$1561-(0)*CROQUIS_DATOS!$C$1561))/CROQUIS_DATOS!$C$1568-0.000001)),1,MOD($A78-1,2)))=1,MIN((CROQUIS_DATOS!$C$1476)*CROQUIS_DATOS!$C$1561,((CROQUIS_DATOS!$C$1515+CROQUIS_DATOS!$C$1516)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8">
        <f>IF(AND(CROQUIS_DATOS!$C$1472=1,CROQUIS_DATOS!$C$1516&gt;0,((CROQUIS_DATOS!$C$1515+CROQUIS_DATOS!$C$1516))-(CROQUIS_DATOS!$C$1515)&gt;0.5,(CROQUIS_DATOS!$C$1476)-(0)&gt;0.5),(CROQUIS_DATOS!$C$1567+(IF(IF(MOD(MIN(INT(($A78-1)/2)+1,MAX(1,INT(((((CROQUIS_DATOS!$C$1515+CROQUIS_DATOS!$C$1516))-(CROQUIS_DATOS!$C$1515))+((CROQUIS_DATOS!$C$1476)*CROQUIS_DATOS!$C$1561-(0)*CROQUIS_DATOS!$C$1561))/CROQUIS_DATOS!$C$1568-0.000001))),2)=1,IF(INT(($A78-1)/2)+1&gt;MAX(1,INT(((((CROQUIS_DATOS!$C$1515+CROQUIS_DATOS!$C$1516))-(CROQUIS_DATOS!$C$1515))+((CROQUIS_DATOS!$C$1476)*CROQUIS_DATOS!$C$1561-(0)*CROQUIS_DATOS!$C$1561))/CROQUIS_DATOS!$C$1568-0.000001)),1,MOD($A78-1,2)),1-IF(INT(($A78-1)/2)+1&gt;MAX(1,INT(((((CROQUIS_DATOS!$C$1515+CROQUIS_DATOS!$C$1516))-(CROQUIS_DATOS!$C$1515))+((CROQUIS_DATOS!$C$1476)*CROQUIS_DATOS!$C$1561-(0)*CROQUIS_DATOS!$C$1561))/CROQUIS_DATOS!$C$1568-0.000001)),1,MOD($A78-1,2)))=1,MIN((CROQUIS_DATOS!$C$1476)*CROQUIS_DATOS!$C$1561,((CROQUIS_DATOS!$C$1515+CROQUIS_DATOS!$C$1516)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8">
        <f>IF(AND(CROQUIS_DATOS!$C$1472=1,CROQUIS_DATOS!$C$1478&gt;=1,((CROQUIS_DATOS!$C$1479+CROQUIS_DATOS!$C$1480))-(CROQUIS_DATOS!$C$1479)&gt;0.5,(CROQUIS_DATOS!$C$1481)-(0)&gt;0.5),(CROQUIS_DATOS!$C$1566+(IF(IF(MOD(MIN(INT(($A78-1)/2)+1,MAX(1,INT(((((CROQUIS_DATOS!$C$1479+CROQUIS_DATOS!$C$1480))-(CROQUIS_DATOS!$C$1479))+((CROQUIS_DATOS!$C$1481)*CROQUIS_DATOS!$C$1561-(0)*CROQUIS_DATOS!$C$1561))/CROQUIS_DATOS!$C$1568-0.000001))),2)=1,IF(INT(($A78-1)/2)+1&gt;MAX(1,INT(((((CROQUIS_DATOS!$C$1479+CROQUIS_DATOS!$C$1480))-(CROQUIS_DATOS!$C$1479))+((CROQUIS_DATOS!$C$1481)*CROQUIS_DATOS!$C$1561-(0)*CROQUIS_DATOS!$C$1561))/CROQUIS_DATOS!$C$1568-0.000001)),1,MOD($A78-1,2)),1-IF(INT(($A78-1)/2)+1&gt;MAX(1,INT(((((CROQUIS_DATOS!$C$1479+CROQUIS_DATOS!$C$1480))-(CROQUIS_DATOS!$C$1479))+((CROQUIS_DATOS!$C$1481)*CROQUIS_DATOS!$C$1561-(0)*CROQUIS_DATOS!$C$1561))/CROQUIS_DATOS!$C$1568-0.000001)),1,MOD($A78-1,2)))=1,MIN((CROQUIS_DATOS!$C$1481)*CROQUIS_DATOS!$C$1561,((CROQUIS_DATOS!$C$1479+CROQUIS_DATOS!$C$1480)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8">
        <f>IF(AND(CROQUIS_DATOS!$C$1472=1,CROQUIS_DATOS!$C$1478&gt;=1,((CROQUIS_DATOS!$C$1479+CROQUIS_DATOS!$C$1480))-(CROQUIS_DATOS!$C$1479)&gt;0.5,(CROQUIS_DATOS!$C$1481)-(0)&gt;0.5),(CROQUIS_DATOS!$C$1567+(IF(IF(MOD(MIN(INT(($A78-1)/2)+1,MAX(1,INT(((((CROQUIS_DATOS!$C$1479+CROQUIS_DATOS!$C$1480))-(CROQUIS_DATOS!$C$1479))+((CROQUIS_DATOS!$C$1481)*CROQUIS_DATOS!$C$1561-(0)*CROQUIS_DATOS!$C$1561))/CROQUIS_DATOS!$C$1568-0.000001))),2)=1,IF(INT(($A78-1)/2)+1&gt;MAX(1,INT(((((CROQUIS_DATOS!$C$1479+CROQUIS_DATOS!$C$1480))-(CROQUIS_DATOS!$C$1479))+((CROQUIS_DATOS!$C$1481)*CROQUIS_DATOS!$C$1561-(0)*CROQUIS_DATOS!$C$1561))/CROQUIS_DATOS!$C$1568-0.000001)),1,MOD($A78-1,2)),1-IF(INT(($A78-1)/2)+1&gt;MAX(1,INT(((((CROQUIS_DATOS!$C$1479+CROQUIS_DATOS!$C$1480))-(CROQUIS_DATOS!$C$1479))+((CROQUIS_DATOS!$C$1481)*CROQUIS_DATOS!$C$1561-(0)*CROQUIS_DATOS!$C$1561))/CROQUIS_DATOS!$C$1568-0.000001)),1,MOD($A78-1,2)))=1,MIN((CROQUIS_DATOS!$C$1481)*CROQUIS_DATOS!$C$1561,((CROQUIS_DATOS!$C$1479+CROQUIS_DATOS!$C$1480)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8">
        <f>IF(AND(CROQUIS_DATOS!$C$1472=1,CROQUIS_DATOS!$C$1478&gt;=1,((CROQUIS_DATOS!$C$1479+CROQUIS_DATOS!$C$1480))-(CROQUIS_DATOS!$C$1479)&gt;0.5,(CROQUIS_DATOS!$C$1476)-((CROQUIS_DATOS!$C$1481+CROQUIS_DATOS!$C$1482))&gt;0.5),(CROQUIS_DATOS!$C$1566+(IF(IF(MOD(MIN(INT(($A78-1)/2)+1,MAX(1,INT(((((CROQUIS_DATOS!$C$1479+CROQUIS_DATOS!$C$1480))-(CROQUIS_DATOS!$C$1479))+((CROQUIS_DATOS!$C$1476)*CROQUIS_DATOS!$C$1561-((CROQUIS_DATOS!$C$1481+CROQUIS_DATOS!$C$1482))*CROQUIS_DATOS!$C$1561))/CROQUIS_DATOS!$C$1568-0.000001))),2)=1,IF(INT(($A78-1)/2)+1&gt;MAX(1,INT(((((CROQUIS_DATOS!$C$1479+CROQUIS_DATOS!$C$1480))-(CROQUIS_DATOS!$C$1479))+((CROQUIS_DATOS!$C$1476)*CROQUIS_DATOS!$C$1561-((CROQUIS_DATOS!$C$1481+CROQUIS_DATOS!$C$1482))*CROQUIS_DATOS!$C$1561))/CROQUIS_DATOS!$C$1568-0.000001)),1,MOD($A78-1,2)),1-IF(INT(($A78-1)/2)+1&gt;MAX(1,INT(((((CROQUIS_DATOS!$C$1479+CROQUIS_DATOS!$C$1480))-(CROQUIS_DATOS!$C$1479))+((CROQUIS_DATOS!$C$1476)*CROQUIS_DATOS!$C$1561-((CROQUIS_DATOS!$C$1481+CROQUIS_DATOS!$C$1482))*CROQUIS_DATOS!$C$1561))/CROQUIS_DATOS!$C$1568-0.000001)),1,MOD($A78-1,2)))=1,MIN((CROQUIS_DATOS!$C$1476)*CROQUIS_DATOS!$C$1561,((CROQUIS_DATOS!$C$1479+CROQUIS_DATOS!$C$1480)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8">
        <f>IF(AND(CROQUIS_DATOS!$C$1472=1,CROQUIS_DATOS!$C$1478&gt;=1,((CROQUIS_DATOS!$C$1479+CROQUIS_DATOS!$C$1480))-(CROQUIS_DATOS!$C$1479)&gt;0.5,(CROQUIS_DATOS!$C$1476)-((CROQUIS_DATOS!$C$1481+CROQUIS_DATOS!$C$1482))&gt;0.5),(CROQUIS_DATOS!$C$1567+(IF(IF(MOD(MIN(INT(($A78-1)/2)+1,MAX(1,INT(((((CROQUIS_DATOS!$C$1479+CROQUIS_DATOS!$C$1480))-(CROQUIS_DATOS!$C$1479))+((CROQUIS_DATOS!$C$1476)*CROQUIS_DATOS!$C$1561-((CROQUIS_DATOS!$C$1481+CROQUIS_DATOS!$C$1482))*CROQUIS_DATOS!$C$1561))/CROQUIS_DATOS!$C$1568-0.000001))),2)=1,IF(INT(($A78-1)/2)+1&gt;MAX(1,INT(((((CROQUIS_DATOS!$C$1479+CROQUIS_DATOS!$C$1480))-(CROQUIS_DATOS!$C$1479))+((CROQUIS_DATOS!$C$1476)*CROQUIS_DATOS!$C$1561-((CROQUIS_DATOS!$C$1481+CROQUIS_DATOS!$C$1482))*CROQUIS_DATOS!$C$1561))/CROQUIS_DATOS!$C$1568-0.000001)),1,MOD($A78-1,2)),1-IF(INT(($A78-1)/2)+1&gt;MAX(1,INT(((((CROQUIS_DATOS!$C$1479+CROQUIS_DATOS!$C$1480))-(CROQUIS_DATOS!$C$1479))+((CROQUIS_DATOS!$C$1476)*CROQUIS_DATOS!$C$1561-((CROQUIS_DATOS!$C$1481+CROQUIS_DATOS!$C$1482))*CROQUIS_DATOS!$C$1561))/CROQUIS_DATOS!$C$1568-0.000001)),1,MOD($A78-1,2)))=1,MIN((CROQUIS_DATOS!$C$1476)*CROQUIS_DATOS!$C$1561,((CROQUIS_DATOS!$C$1479+CROQUIS_DATOS!$C$1480)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8">
        <f>IF(AND(CROQUIS_DATOS!$C$1472=1,CROQUIS_DATOS!$C$1478&gt;=2,((CROQUIS_DATOS!$C$1484+CROQUIS_DATOS!$C$1485))-(CROQUIS_DATOS!$C$1484)&gt;0.5,(CROQUIS_DATOS!$C$1486)-(0)&gt;0.5),(CROQUIS_DATOS!$C$1566+(IF(IF(MOD(MIN(INT(($A78-1)/2)+1,MAX(1,INT(((((CROQUIS_DATOS!$C$1484+CROQUIS_DATOS!$C$1485))-(CROQUIS_DATOS!$C$1484))+((CROQUIS_DATOS!$C$1486)*CROQUIS_DATOS!$C$1561-(0)*CROQUIS_DATOS!$C$1561))/CROQUIS_DATOS!$C$1568-0.000001))),2)=1,IF(INT(($A78-1)/2)+1&gt;MAX(1,INT(((((CROQUIS_DATOS!$C$1484+CROQUIS_DATOS!$C$1485))-(CROQUIS_DATOS!$C$1484))+((CROQUIS_DATOS!$C$1486)*CROQUIS_DATOS!$C$1561-(0)*CROQUIS_DATOS!$C$1561))/CROQUIS_DATOS!$C$1568-0.000001)),1,MOD($A78-1,2)),1-IF(INT(($A78-1)/2)+1&gt;MAX(1,INT(((((CROQUIS_DATOS!$C$1484+CROQUIS_DATOS!$C$1485))-(CROQUIS_DATOS!$C$1484))+((CROQUIS_DATOS!$C$1486)*CROQUIS_DATOS!$C$1561-(0)*CROQUIS_DATOS!$C$1561))/CROQUIS_DATOS!$C$1568-0.000001)),1,MOD($A78-1,2)))=1,MIN((CROQUIS_DATOS!$C$1486)*CROQUIS_DATOS!$C$1561,((CROQUIS_DATOS!$C$1484+CROQUIS_DATOS!$C$1485)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8">
        <f>IF(AND(CROQUIS_DATOS!$C$1472=1,CROQUIS_DATOS!$C$1478&gt;=2,((CROQUIS_DATOS!$C$1484+CROQUIS_DATOS!$C$1485))-(CROQUIS_DATOS!$C$1484)&gt;0.5,(CROQUIS_DATOS!$C$1486)-(0)&gt;0.5),(CROQUIS_DATOS!$C$1567+(IF(IF(MOD(MIN(INT(($A78-1)/2)+1,MAX(1,INT(((((CROQUIS_DATOS!$C$1484+CROQUIS_DATOS!$C$1485))-(CROQUIS_DATOS!$C$1484))+((CROQUIS_DATOS!$C$1486)*CROQUIS_DATOS!$C$1561-(0)*CROQUIS_DATOS!$C$1561))/CROQUIS_DATOS!$C$1568-0.000001))),2)=1,IF(INT(($A78-1)/2)+1&gt;MAX(1,INT(((((CROQUIS_DATOS!$C$1484+CROQUIS_DATOS!$C$1485))-(CROQUIS_DATOS!$C$1484))+((CROQUIS_DATOS!$C$1486)*CROQUIS_DATOS!$C$1561-(0)*CROQUIS_DATOS!$C$1561))/CROQUIS_DATOS!$C$1568-0.000001)),1,MOD($A78-1,2)),1-IF(INT(($A78-1)/2)+1&gt;MAX(1,INT(((((CROQUIS_DATOS!$C$1484+CROQUIS_DATOS!$C$1485))-(CROQUIS_DATOS!$C$1484))+((CROQUIS_DATOS!$C$1486)*CROQUIS_DATOS!$C$1561-(0)*CROQUIS_DATOS!$C$1561))/CROQUIS_DATOS!$C$1568-0.000001)),1,MOD($A78-1,2)))=1,MIN((CROQUIS_DATOS!$C$1486)*CROQUIS_DATOS!$C$1561,((CROQUIS_DATOS!$C$1484+CROQUIS_DATOS!$C$1485)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8">
        <f>IF(AND(CROQUIS_DATOS!$C$1472=1,CROQUIS_DATOS!$C$1478&gt;=2,((CROQUIS_DATOS!$C$1484+CROQUIS_DATOS!$C$1485))-(CROQUIS_DATOS!$C$1484)&gt;0.5,(CROQUIS_DATOS!$C$1476)-((CROQUIS_DATOS!$C$1486+CROQUIS_DATOS!$C$1487))&gt;0.5),(CROQUIS_DATOS!$C$1566+(IF(IF(MOD(MIN(INT(($A78-1)/2)+1,MAX(1,INT(((((CROQUIS_DATOS!$C$1484+CROQUIS_DATOS!$C$1485))-(CROQUIS_DATOS!$C$1484))+((CROQUIS_DATOS!$C$1476)*CROQUIS_DATOS!$C$1561-((CROQUIS_DATOS!$C$1486+CROQUIS_DATOS!$C$1487))*CROQUIS_DATOS!$C$1561))/CROQUIS_DATOS!$C$1568-0.000001))),2)=1,IF(INT(($A78-1)/2)+1&gt;MAX(1,INT(((((CROQUIS_DATOS!$C$1484+CROQUIS_DATOS!$C$1485))-(CROQUIS_DATOS!$C$1484))+((CROQUIS_DATOS!$C$1476)*CROQUIS_DATOS!$C$1561-((CROQUIS_DATOS!$C$1486+CROQUIS_DATOS!$C$1487))*CROQUIS_DATOS!$C$1561))/CROQUIS_DATOS!$C$1568-0.000001)),1,MOD($A78-1,2)),1-IF(INT(($A78-1)/2)+1&gt;MAX(1,INT(((((CROQUIS_DATOS!$C$1484+CROQUIS_DATOS!$C$1485))-(CROQUIS_DATOS!$C$1484))+((CROQUIS_DATOS!$C$1476)*CROQUIS_DATOS!$C$1561-((CROQUIS_DATOS!$C$1486+CROQUIS_DATOS!$C$1487))*CROQUIS_DATOS!$C$1561))/CROQUIS_DATOS!$C$1568-0.000001)),1,MOD($A78-1,2)))=1,MIN((CROQUIS_DATOS!$C$1476)*CROQUIS_DATOS!$C$1561,((CROQUIS_DATOS!$C$1484+CROQUIS_DATOS!$C$1485)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8">
        <f>IF(AND(CROQUIS_DATOS!$C$1472=1,CROQUIS_DATOS!$C$1478&gt;=2,((CROQUIS_DATOS!$C$1484+CROQUIS_DATOS!$C$1485))-(CROQUIS_DATOS!$C$1484)&gt;0.5,(CROQUIS_DATOS!$C$1476)-((CROQUIS_DATOS!$C$1486+CROQUIS_DATOS!$C$1487))&gt;0.5),(CROQUIS_DATOS!$C$1567+(IF(IF(MOD(MIN(INT(($A78-1)/2)+1,MAX(1,INT(((((CROQUIS_DATOS!$C$1484+CROQUIS_DATOS!$C$1485))-(CROQUIS_DATOS!$C$1484))+((CROQUIS_DATOS!$C$1476)*CROQUIS_DATOS!$C$1561-((CROQUIS_DATOS!$C$1486+CROQUIS_DATOS!$C$1487))*CROQUIS_DATOS!$C$1561))/CROQUIS_DATOS!$C$1568-0.000001))),2)=1,IF(INT(($A78-1)/2)+1&gt;MAX(1,INT(((((CROQUIS_DATOS!$C$1484+CROQUIS_DATOS!$C$1485))-(CROQUIS_DATOS!$C$1484))+((CROQUIS_DATOS!$C$1476)*CROQUIS_DATOS!$C$1561-((CROQUIS_DATOS!$C$1486+CROQUIS_DATOS!$C$1487))*CROQUIS_DATOS!$C$1561))/CROQUIS_DATOS!$C$1568-0.000001)),1,MOD($A78-1,2)),1-IF(INT(($A78-1)/2)+1&gt;MAX(1,INT(((((CROQUIS_DATOS!$C$1484+CROQUIS_DATOS!$C$1485))-(CROQUIS_DATOS!$C$1484))+((CROQUIS_DATOS!$C$1476)*CROQUIS_DATOS!$C$1561-((CROQUIS_DATOS!$C$1486+CROQUIS_DATOS!$C$1487))*CROQUIS_DATOS!$C$1561))/CROQUIS_DATOS!$C$1568-0.000001)),1,MOD($A78-1,2)))=1,MIN((CROQUIS_DATOS!$C$1476)*CROQUIS_DATOS!$C$1561,((CROQUIS_DATOS!$C$1484+CROQUIS_DATOS!$C$1485)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8">
        <f>IF(AND(CROQUIS_DATOS!$C$1472=1,CROQUIS_DATOS!$C$1478&gt;=3,((CROQUIS_DATOS!$C$1489+CROQUIS_DATOS!$C$1490))-(CROQUIS_DATOS!$C$1489)&gt;0.5,(CROQUIS_DATOS!$C$1491)-(0)&gt;0.5),(CROQUIS_DATOS!$C$1566+(IF(IF(MOD(MIN(INT(($A78-1)/2)+1,MAX(1,INT(((((CROQUIS_DATOS!$C$1489+CROQUIS_DATOS!$C$1490))-(CROQUIS_DATOS!$C$1489))+((CROQUIS_DATOS!$C$1491)*CROQUIS_DATOS!$C$1561-(0)*CROQUIS_DATOS!$C$1561))/CROQUIS_DATOS!$C$1568-0.000001))),2)=1,IF(INT(($A78-1)/2)+1&gt;MAX(1,INT(((((CROQUIS_DATOS!$C$1489+CROQUIS_DATOS!$C$1490))-(CROQUIS_DATOS!$C$1489))+((CROQUIS_DATOS!$C$1491)*CROQUIS_DATOS!$C$1561-(0)*CROQUIS_DATOS!$C$1561))/CROQUIS_DATOS!$C$1568-0.000001)),1,MOD($A78-1,2)),1-IF(INT(($A78-1)/2)+1&gt;MAX(1,INT(((((CROQUIS_DATOS!$C$1489+CROQUIS_DATOS!$C$1490))-(CROQUIS_DATOS!$C$1489))+((CROQUIS_DATOS!$C$1491)*CROQUIS_DATOS!$C$1561-(0)*CROQUIS_DATOS!$C$1561))/CROQUIS_DATOS!$C$1568-0.000001)),1,MOD($A78-1,2)))=1,MIN((CROQUIS_DATOS!$C$1491)*CROQUIS_DATOS!$C$1561,((CROQUIS_DATOS!$C$1489+CROQUIS_DATOS!$C$1490)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8">
        <f>IF(AND(CROQUIS_DATOS!$C$1472=1,CROQUIS_DATOS!$C$1478&gt;=3,((CROQUIS_DATOS!$C$1489+CROQUIS_DATOS!$C$1490))-(CROQUIS_DATOS!$C$1489)&gt;0.5,(CROQUIS_DATOS!$C$1491)-(0)&gt;0.5),(CROQUIS_DATOS!$C$1567+(IF(IF(MOD(MIN(INT(($A78-1)/2)+1,MAX(1,INT(((((CROQUIS_DATOS!$C$1489+CROQUIS_DATOS!$C$1490))-(CROQUIS_DATOS!$C$1489))+((CROQUIS_DATOS!$C$1491)*CROQUIS_DATOS!$C$1561-(0)*CROQUIS_DATOS!$C$1561))/CROQUIS_DATOS!$C$1568-0.000001))),2)=1,IF(INT(($A78-1)/2)+1&gt;MAX(1,INT(((((CROQUIS_DATOS!$C$1489+CROQUIS_DATOS!$C$1490))-(CROQUIS_DATOS!$C$1489))+((CROQUIS_DATOS!$C$1491)*CROQUIS_DATOS!$C$1561-(0)*CROQUIS_DATOS!$C$1561))/CROQUIS_DATOS!$C$1568-0.000001)),1,MOD($A78-1,2)),1-IF(INT(($A78-1)/2)+1&gt;MAX(1,INT(((((CROQUIS_DATOS!$C$1489+CROQUIS_DATOS!$C$1490))-(CROQUIS_DATOS!$C$1489))+((CROQUIS_DATOS!$C$1491)*CROQUIS_DATOS!$C$1561-(0)*CROQUIS_DATOS!$C$1561))/CROQUIS_DATOS!$C$1568-0.000001)),1,MOD($A78-1,2)))=1,MIN((CROQUIS_DATOS!$C$1491)*CROQUIS_DATOS!$C$1561,((CROQUIS_DATOS!$C$1489+CROQUIS_DATOS!$C$1490)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8">
        <f>IF(AND(CROQUIS_DATOS!$C$1472=1,CROQUIS_DATOS!$C$1478&gt;=3,((CROQUIS_DATOS!$C$1489+CROQUIS_DATOS!$C$1490))-(CROQUIS_DATOS!$C$1489)&gt;0.5,(CROQUIS_DATOS!$C$1476)-((CROQUIS_DATOS!$C$1491+CROQUIS_DATOS!$C$1492))&gt;0.5),(CROQUIS_DATOS!$C$1566+(IF(IF(MOD(MIN(INT(($A78-1)/2)+1,MAX(1,INT(((((CROQUIS_DATOS!$C$1489+CROQUIS_DATOS!$C$1490))-(CROQUIS_DATOS!$C$1489))+((CROQUIS_DATOS!$C$1476)*CROQUIS_DATOS!$C$1561-((CROQUIS_DATOS!$C$1491+CROQUIS_DATOS!$C$1492))*CROQUIS_DATOS!$C$1561))/CROQUIS_DATOS!$C$1568-0.000001))),2)=1,IF(INT(($A78-1)/2)+1&gt;MAX(1,INT(((((CROQUIS_DATOS!$C$1489+CROQUIS_DATOS!$C$1490))-(CROQUIS_DATOS!$C$1489))+((CROQUIS_DATOS!$C$1476)*CROQUIS_DATOS!$C$1561-((CROQUIS_DATOS!$C$1491+CROQUIS_DATOS!$C$1492))*CROQUIS_DATOS!$C$1561))/CROQUIS_DATOS!$C$1568-0.000001)),1,MOD($A78-1,2)),1-IF(INT(($A78-1)/2)+1&gt;MAX(1,INT(((((CROQUIS_DATOS!$C$1489+CROQUIS_DATOS!$C$1490))-(CROQUIS_DATOS!$C$1489))+((CROQUIS_DATOS!$C$1476)*CROQUIS_DATOS!$C$1561-((CROQUIS_DATOS!$C$1491+CROQUIS_DATOS!$C$1492))*CROQUIS_DATOS!$C$1561))/CROQUIS_DATOS!$C$1568-0.000001)),1,MOD($A78-1,2)))=1,MIN((CROQUIS_DATOS!$C$1476)*CROQUIS_DATOS!$C$1561,((CROQUIS_DATOS!$C$1489+CROQUIS_DATOS!$C$1490)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8">
        <f>IF(AND(CROQUIS_DATOS!$C$1472=1,CROQUIS_DATOS!$C$1478&gt;=3,((CROQUIS_DATOS!$C$1489+CROQUIS_DATOS!$C$1490))-(CROQUIS_DATOS!$C$1489)&gt;0.5,(CROQUIS_DATOS!$C$1476)-((CROQUIS_DATOS!$C$1491+CROQUIS_DATOS!$C$1492))&gt;0.5),(CROQUIS_DATOS!$C$1567+(IF(IF(MOD(MIN(INT(($A78-1)/2)+1,MAX(1,INT(((((CROQUIS_DATOS!$C$1489+CROQUIS_DATOS!$C$1490))-(CROQUIS_DATOS!$C$1489))+((CROQUIS_DATOS!$C$1476)*CROQUIS_DATOS!$C$1561-((CROQUIS_DATOS!$C$1491+CROQUIS_DATOS!$C$1492))*CROQUIS_DATOS!$C$1561))/CROQUIS_DATOS!$C$1568-0.000001))),2)=1,IF(INT(($A78-1)/2)+1&gt;MAX(1,INT(((((CROQUIS_DATOS!$C$1489+CROQUIS_DATOS!$C$1490))-(CROQUIS_DATOS!$C$1489))+((CROQUIS_DATOS!$C$1476)*CROQUIS_DATOS!$C$1561-((CROQUIS_DATOS!$C$1491+CROQUIS_DATOS!$C$1492))*CROQUIS_DATOS!$C$1561))/CROQUIS_DATOS!$C$1568-0.000001)),1,MOD($A78-1,2)),1-IF(INT(($A78-1)/2)+1&gt;MAX(1,INT(((((CROQUIS_DATOS!$C$1489+CROQUIS_DATOS!$C$1490))-(CROQUIS_DATOS!$C$1489))+((CROQUIS_DATOS!$C$1476)*CROQUIS_DATOS!$C$1561-((CROQUIS_DATOS!$C$1491+CROQUIS_DATOS!$C$1492))*CROQUIS_DATOS!$C$1561))/CROQUIS_DATOS!$C$1568-0.000001)),1,MOD($A78-1,2)))=1,MIN((CROQUIS_DATOS!$C$1476)*CROQUIS_DATOS!$C$1561,((CROQUIS_DATOS!$C$1489+CROQUIS_DATOS!$C$1490)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8">
        <f>IF(AND(CROQUIS_DATOS!$C$1472=1,CROQUIS_DATOS!$C$1478&gt;=4,((CROQUIS_DATOS!$C$1494+CROQUIS_DATOS!$C$1495))-(CROQUIS_DATOS!$C$1494)&gt;0.5,(CROQUIS_DATOS!$C$1496)-(0)&gt;0.5),(CROQUIS_DATOS!$C$1566+(IF(IF(MOD(MIN(INT(($A78-1)/2)+1,MAX(1,INT(((((CROQUIS_DATOS!$C$1494+CROQUIS_DATOS!$C$1495))-(CROQUIS_DATOS!$C$1494))+((CROQUIS_DATOS!$C$1496)*CROQUIS_DATOS!$C$1561-(0)*CROQUIS_DATOS!$C$1561))/CROQUIS_DATOS!$C$1568-0.000001))),2)=1,IF(INT(($A78-1)/2)+1&gt;MAX(1,INT(((((CROQUIS_DATOS!$C$1494+CROQUIS_DATOS!$C$1495))-(CROQUIS_DATOS!$C$1494))+((CROQUIS_DATOS!$C$1496)*CROQUIS_DATOS!$C$1561-(0)*CROQUIS_DATOS!$C$1561))/CROQUIS_DATOS!$C$1568-0.000001)),1,MOD($A78-1,2)),1-IF(INT(($A78-1)/2)+1&gt;MAX(1,INT(((((CROQUIS_DATOS!$C$1494+CROQUIS_DATOS!$C$1495))-(CROQUIS_DATOS!$C$1494))+((CROQUIS_DATOS!$C$1496)*CROQUIS_DATOS!$C$1561-(0)*CROQUIS_DATOS!$C$1561))/CROQUIS_DATOS!$C$1568-0.000001)),1,MOD($A78-1,2)))=1,MIN((CROQUIS_DATOS!$C$1496)*CROQUIS_DATOS!$C$1561,((CROQUIS_DATOS!$C$1494+CROQUIS_DATOS!$C$1495)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8">
        <f>IF(AND(CROQUIS_DATOS!$C$1472=1,CROQUIS_DATOS!$C$1478&gt;=4,((CROQUIS_DATOS!$C$1494+CROQUIS_DATOS!$C$1495))-(CROQUIS_DATOS!$C$1494)&gt;0.5,(CROQUIS_DATOS!$C$1496)-(0)&gt;0.5),(CROQUIS_DATOS!$C$1567+(IF(IF(MOD(MIN(INT(($A78-1)/2)+1,MAX(1,INT(((((CROQUIS_DATOS!$C$1494+CROQUIS_DATOS!$C$1495))-(CROQUIS_DATOS!$C$1494))+((CROQUIS_DATOS!$C$1496)*CROQUIS_DATOS!$C$1561-(0)*CROQUIS_DATOS!$C$1561))/CROQUIS_DATOS!$C$1568-0.000001))),2)=1,IF(INT(($A78-1)/2)+1&gt;MAX(1,INT(((((CROQUIS_DATOS!$C$1494+CROQUIS_DATOS!$C$1495))-(CROQUIS_DATOS!$C$1494))+((CROQUIS_DATOS!$C$1496)*CROQUIS_DATOS!$C$1561-(0)*CROQUIS_DATOS!$C$1561))/CROQUIS_DATOS!$C$1568-0.000001)),1,MOD($A78-1,2)),1-IF(INT(($A78-1)/2)+1&gt;MAX(1,INT(((((CROQUIS_DATOS!$C$1494+CROQUIS_DATOS!$C$1495))-(CROQUIS_DATOS!$C$1494))+((CROQUIS_DATOS!$C$1496)*CROQUIS_DATOS!$C$1561-(0)*CROQUIS_DATOS!$C$1561))/CROQUIS_DATOS!$C$1568-0.000001)),1,MOD($A78-1,2)))=1,MIN((CROQUIS_DATOS!$C$1496)*CROQUIS_DATOS!$C$1561,((CROQUIS_DATOS!$C$1494+CROQUIS_DATOS!$C$1495)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8">
        <f>IF(AND(CROQUIS_DATOS!$C$1472=1,CROQUIS_DATOS!$C$1478&gt;=4,((CROQUIS_DATOS!$C$1494+CROQUIS_DATOS!$C$1495))-(CROQUIS_DATOS!$C$1494)&gt;0.5,(CROQUIS_DATOS!$C$1476)-((CROQUIS_DATOS!$C$1496+CROQUIS_DATOS!$C$1497))&gt;0.5),(CROQUIS_DATOS!$C$1566+(IF(IF(MOD(MIN(INT(($A78-1)/2)+1,MAX(1,INT(((((CROQUIS_DATOS!$C$1494+CROQUIS_DATOS!$C$1495))-(CROQUIS_DATOS!$C$1494))+((CROQUIS_DATOS!$C$1476)*CROQUIS_DATOS!$C$1561-((CROQUIS_DATOS!$C$1496+CROQUIS_DATOS!$C$1497))*CROQUIS_DATOS!$C$1561))/CROQUIS_DATOS!$C$1568-0.000001))),2)=1,IF(INT(($A78-1)/2)+1&gt;MAX(1,INT(((((CROQUIS_DATOS!$C$1494+CROQUIS_DATOS!$C$1495))-(CROQUIS_DATOS!$C$1494))+((CROQUIS_DATOS!$C$1476)*CROQUIS_DATOS!$C$1561-((CROQUIS_DATOS!$C$1496+CROQUIS_DATOS!$C$1497))*CROQUIS_DATOS!$C$1561))/CROQUIS_DATOS!$C$1568-0.000001)),1,MOD($A78-1,2)),1-IF(INT(($A78-1)/2)+1&gt;MAX(1,INT(((((CROQUIS_DATOS!$C$1494+CROQUIS_DATOS!$C$1495))-(CROQUIS_DATOS!$C$1494))+((CROQUIS_DATOS!$C$1476)*CROQUIS_DATOS!$C$1561-((CROQUIS_DATOS!$C$1496+CROQUIS_DATOS!$C$1497))*CROQUIS_DATOS!$C$1561))/CROQUIS_DATOS!$C$1568-0.000001)),1,MOD($A78-1,2)))=1,MIN((CROQUIS_DATOS!$C$1476)*CROQUIS_DATOS!$C$1561,((CROQUIS_DATOS!$C$1494+CROQUIS_DATOS!$C$1495)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8">
        <f>IF(AND(CROQUIS_DATOS!$C$1472=1,CROQUIS_DATOS!$C$1478&gt;=4,((CROQUIS_DATOS!$C$1494+CROQUIS_DATOS!$C$1495))-(CROQUIS_DATOS!$C$1494)&gt;0.5,(CROQUIS_DATOS!$C$1476)-((CROQUIS_DATOS!$C$1496+CROQUIS_DATOS!$C$1497))&gt;0.5),(CROQUIS_DATOS!$C$1567+(IF(IF(MOD(MIN(INT(($A78-1)/2)+1,MAX(1,INT(((((CROQUIS_DATOS!$C$1494+CROQUIS_DATOS!$C$1495))-(CROQUIS_DATOS!$C$1494))+((CROQUIS_DATOS!$C$1476)*CROQUIS_DATOS!$C$1561-((CROQUIS_DATOS!$C$1496+CROQUIS_DATOS!$C$1497))*CROQUIS_DATOS!$C$1561))/CROQUIS_DATOS!$C$1568-0.000001))),2)=1,IF(INT(($A78-1)/2)+1&gt;MAX(1,INT(((((CROQUIS_DATOS!$C$1494+CROQUIS_DATOS!$C$1495))-(CROQUIS_DATOS!$C$1494))+((CROQUIS_DATOS!$C$1476)*CROQUIS_DATOS!$C$1561-((CROQUIS_DATOS!$C$1496+CROQUIS_DATOS!$C$1497))*CROQUIS_DATOS!$C$1561))/CROQUIS_DATOS!$C$1568-0.000001)),1,MOD($A78-1,2)),1-IF(INT(($A78-1)/2)+1&gt;MAX(1,INT(((((CROQUIS_DATOS!$C$1494+CROQUIS_DATOS!$C$1495))-(CROQUIS_DATOS!$C$1494))+((CROQUIS_DATOS!$C$1476)*CROQUIS_DATOS!$C$1561-((CROQUIS_DATOS!$C$1496+CROQUIS_DATOS!$C$1497))*CROQUIS_DATOS!$C$1561))/CROQUIS_DATOS!$C$1568-0.000001)),1,MOD($A78-1,2)))=1,MIN((CROQUIS_DATOS!$C$1476)*CROQUIS_DATOS!$C$1561,((CROQUIS_DATOS!$C$1494+CROQUIS_DATOS!$C$1495)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8">
        <f>IF(AND(CROQUIS_DATOS!$C$1472=1,1),(CROQUIS_DATOS!$C$1571+(CHOOSE(MIN(MAX(IF(INT(($A78-1)/5)+1&gt;CROQUIS_DATOS!$C$1525,5,MOD($A78-1,5)+1),1),5),(INDEX($E$8:$E$23,MIN(INT(($A78-1)/5)+1,CROQUIS_DATOS!$C$1525))-INDEX($F$8:$F$23,MIN(INT(($A78-1)/5)+1,CROQUIS_DATOS!$C$1525))/2),(INDEX($E$8:$E$23,MIN(INT(($A78-1)/5)+1,CROQUIS_DATOS!$C$1525))+INDEX($F$8:$F$23,MIN(INT(($A78-1)/5)+1,CROQUIS_DATOS!$C$1525))/2),(INDEX($E$8:$E$23,MIN(INT(($A78-1)/5)+1,CROQUIS_DATOS!$C$1525))+INDEX($F$8:$F$23,MIN(INT(($A78-1)/5)+1,CROQUIS_DATOS!$C$1525))/2),(INDEX($E$8:$E$23,MIN(INT(($A78-1)/5)+1,CROQUIS_DATOS!$C$1525))-INDEX($F$8:$F$23,MIN(INT(($A78-1)/5)+1,CROQUIS_DATOS!$C$1525))/2),(INDEX($E$8:$E$23,MIN(INT(($A78-1)/5)+1,CROQUIS_DATOS!$C$1525))-INDEX($F$8:$F$23,MIN(INT(($A78-1)/5)+1,CROQUIS_DATOS!$C$1525))/2)))*CROQUIS_DATOS!$C$1569),-1000)</f>
        <v>95.24</v>
      </c>
      <c r="GE78">
        <f>IF(AND(CROQUIS_DATOS!$C$1472=1,1),(CROQUIS_DATOS!$C$1572+(CHOOSE(MIN(MAX(IF(INT(($A78-1)/5)+1&gt;CROQUIS_DATOS!$C$1525,5,MOD($A78-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79">
      <c r="A79" t="n">
        <v>72</v>
      </c>
      <c r="N79">
        <f>IF(AND(CROQUIS_DATOS!$C$1472=1,1),(CROQUIS_DATOS!$C$1563+(IF(IF(IF(INT(($A79-1)/70)+1&gt;CROQUIS_DATOS!$C$1525,70,MOD($A79-1,70)+1)=1,0,IF(IF(INT(($A79-1)/70)+1&gt;CROQUIS_DATOS!$C$1525,70,MOD($A79-1,70)+1)&gt;2*CROQUIS_DATOS!$C$1541+1,IF(MOD(CROQUIS_DATOS!$C$1541,2)=1,1,0),IF(MOD(MIN(INT((IF(INT(($A79-1)/70)+1&gt;CROQUIS_DATOS!$C$1525,70,MOD($A79-1,70)+1)-2)/2)+1,CROQUIS_DATOS!$C$1541),2)=1,IF(MOD(IF(INT(($A79-1)/70)+1&gt;CROQUIS_DATOS!$C$1525,70,MOD($A79-1,70)+1)-2,2)=0,0,1),IF(MOD(IF(INT(($A79-1)/70)+1&gt;CROQUIS_DATOS!$C$1525,70,MOD($A79-1,70)+1)-2,2)=0,1,0))))=0,(INDEX($E$8:$E$23,MIN(INT(($A79-1)/70)+1,CROQUIS_DATOS!$C$1525))-INDEX($F$8:$F$23,MIN(INT(($A79-1)/70)+1,CROQUIS_DATOS!$C$1525))/2),(INDEX($E$8:$E$23,MIN(INT(($A79-1)/70)+1,CROQUIS_DATOS!$C$1525))+INDEX($F$8:$F$23,MIN(INT(($A79-1)/70)+1,CROQUIS_DATOS!$C$1525))/2)))*CROQUIS_DATOS!$C$1562),-1000)</f>
        <v>18.5775862068965</v>
      </c>
      <c r="O79">
        <f>IF(AND(CROQUIS_DATOS!$C$1472=1,1),(CROQUIS_DATOS!$C$1564+(IF(OR(IF(INT(($A79-1)/70)+1&gt;CROQUIS_DATOS!$C$1525,70,MOD($A79-1,70)+1)=1,IF(INT(($A79-1)/70)+1&gt;CROQUIS_DATOS!$C$1525,70,MOD($A79-1,70)+1)&gt;2*CROQUIS_DATOS!$C$1541+1),CROQUIS_DATOS!$C$1476,INDEX($H$8:$H$41,MIN(INT((IF(INT(($A79-1)/70)+1&gt;CROQUIS_DATOS!$C$1525,70,MOD($A79-1,70)+1)-2)/2)+1,CROQUIS_DATOS!$C$1541))))*CROQUIS_DATOS!$C$1561*CROQUIS_DATOS!$C$1562),-1000)</f>
        <v>6.34051724137931</v>
      </c>
      <c r="P79">
        <f>IF(AND(CROQUIS_DATOS!$C$1472=1,CROQUIS_DATOS!$C$1555=1),(CROQUIS_DATOS!$C$1563+(IF(IF(OR(MOD($A79-1,62)+1=1,IF(CHOOSE(MIN(MAX(MIN(INT(($A79-1)/62)+1,5),1),5),CROQUIS_DATOS!$C$1501,CROQUIS_DATOS!$C$1505,CROQUIS_DATOS!$C$1509,CROQUIS_DATOS!$C$1513,CROQUIS_DATOS!$C$1517)=1,CROQUIS_DATOS!$C$1557,0)=0),0,IF(MOD($A79-1,62)+1&gt;2*IF(CHOOSE(MIN(MAX(MIN(INT(($A79-1)/62)+1,5),1),5),CROQUIS_DATOS!$C$1501,CROQUIS_DATOS!$C$1505,CROQUIS_DATOS!$C$1509,CROQUIS_DATOS!$C$1513,CROQUIS_DATOS!$C$1517)=1,CROQUIS_DATOS!$C$1557,0)+1,IF(MOD(IF(CHOOSE(MIN(MAX(MIN(INT(($A79-1)/62)+1,5),1),5),CROQUIS_DATOS!$C$1501,CROQUIS_DATOS!$C$1505,CROQUIS_DATOS!$C$1509,CROQUIS_DATOS!$C$1513,CROQUIS_DATOS!$C$1517)=1,CROQUIS_DATOS!$C$1557,0),2)=1,1,0),IF(MOD(MIN(INT((MOD($A79-1,62)+1-2)/2)+1,MAX(IF(CHOOSE(MIN(MAX(MIN(INT(($A79-1)/62)+1,5),1),5),CROQUIS_DATOS!$C$1501,CROQUIS_DATOS!$C$1505,CROQUIS_DATOS!$C$1509,CROQUIS_DATOS!$C$1513,CROQUIS_DATOS!$C$1517)=1,CROQUIS_DATOS!$C$1557,0),1)),2)=1,IF(MOD(MOD($A79-1,62)+1-2,2)=0,0,1),IF(MOD(MOD($A79-1,62)+1-2,2)=0,1,0))))=0,(CHOOSE(MIN(MAX(MIN(INT(($A79-1)/62)+1,5),1),5),CROQUIS_DATOS!$C$1499,CROQUIS_DATOS!$C$1503,CROQUIS_DATOS!$C$1507,CROQUIS_DATOS!$C$1511,CROQUIS_DATOS!$C$1515)+IF(CHOOSE(MIN(MAX(MIN(INT(($A79-1)/62)+1,5),1),5),CROQUIS_DATOS!$C$1501,CROQUIS_DATOS!$C$1505,CROQUIS_DATOS!$C$1509,CROQUIS_DATOS!$C$1513,CROQUIS_DATOS!$C$1517)=1,CROQUIS_DATOS!$C$1526,0)),(CHOOSE(MIN(MAX(MIN(INT(($A79-1)/62)+1,5),1),5),CROQUIS_DATOS!$C$1499,CROQUIS_DATOS!$C$1503,CROQUIS_DATOS!$C$1507,CROQUIS_DATOS!$C$1511,CROQUIS_DATOS!$C$1515)+CHOOSE(MIN(MAX(MIN(INT(($A79-1)/62)+1,5),1),5),CROQUIS_DATOS!$C$1500,CROQUIS_DATOS!$C$1504,CROQUIS_DATOS!$C$1508,CROQUIS_DATOS!$C$1512,CROQUIS_DATOS!$C$1516)-IF(CHOOSE(MIN(MAX(MIN(INT(($A79-1)/62)+1,5),1),5),CROQUIS_DATOS!$C$1501,CROQUIS_DATOS!$C$1505,CROQUIS_DATOS!$C$1509,CROQUIS_DATOS!$C$1513,CROQUIS_DATOS!$C$1517)=1,CROQUIS_DATOS!$C$1526,0))))*CROQUIS_DATOS!$C$1562),-1000)</f>
        <v>-1000</v>
      </c>
      <c r="Q79">
        <f>IF(AND(CROQUIS_DATOS!$C$1472=1,CROQUIS_DATOS!$C$1555=1),(CROQUIS_DATOS!$C$1564+(IF(OR(OR(MOD($A79-1,62)+1=1,IF(CHOOSE(MIN(MAX(MIN(INT(($A79-1)/62)+1,5),1),5),CROQUIS_DATOS!$C$1501,CROQUIS_DATOS!$C$1505,CROQUIS_DATOS!$C$1509,CROQUIS_DATOS!$C$1513,CROQUIS_DATOS!$C$1517)=1,CROQUIS_DATOS!$C$1557,0)=0),MOD($A79-1,62)+1&gt;2*IF(CHOOSE(MIN(MAX(MIN(INT(($A79-1)/62)+1,5),1),5),CROQUIS_DATOS!$C$1501,CROQUIS_DATOS!$C$1505,CROQUIS_DATOS!$C$1509,CROQUIS_DATOS!$C$1513,CROQUIS_DATOS!$C$1517)=1,CROQUIS_DATOS!$C$1557,0)+1),CROQUIS_DATOS!$C$1476,MIN(INT((MOD($A79-1,62)+1-2)/2)+1,MAX(IF(CHOOSE(MIN(MAX(MIN(INT(($A79-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79">
        <f>IF(AND(CROQUIS_DATOS!$C$1472=1,1),(CROQUIS_DATOS!$C$1563+(MIN(INT(($A79-1)/2)+1,CROQUIS_DATOS!$C$1558)*CROQUIS_DATOS!$C$1559)*CROQUIS_DATOS!$C$1562),-1000)</f>
        <v>82.2281167108753</v>
      </c>
      <c r="U79">
        <f>IF(AND(CROQUIS_DATOS!$C$1472=1,1),(CROQUIS_DATOS!$C$1564+(IF(INT(($A79-1)/2)+1&gt;CROQUIS_DATOS!$C$1558,IF(MOD(CROQUIS_DATOS!$C$1558,2)=1,CROQUIS_DATOS!$C$1476+CROQUIS_DATOS!$C$1528,CROQUIS_DATOS!$C$1476),IF(IF(MOD(MIN(INT(($A79-1)/2)+1,CROQUIS_DATOS!$C$1558),2)=1,MOD($A79-1,2),1-MOD($A79-1,2))=1,CROQUIS_DATOS!$C$1476+CROQUIS_DATOS!$C$1528,CROQUIS_DATOS!$C$1476)))*CROQUIS_DATOS!$C$1561*CROQUIS_DATOS!$C$1562),-1000)</f>
        <v>43</v>
      </c>
      <c r="BZ79">
        <f>IF(AND(CROQUIS_DATOS!$C$1472=1,CROQUIS_DATOS!$C$1500&gt;0,((CROQUIS_DATOS!$C$1499+CROQUIS_DATOS!$C$1500))-(CROQUIS_DATOS!$C$1499)&gt;0.5,(CROQUIS_DATOS!$C$1476)-(0)&gt;0.5),(CROQUIS_DATOS!$C$1566+(IF(IF(MOD(MIN(INT(($A79-1)/2)+1,MAX(1,INT(((((CROQUIS_DATOS!$C$1499+CROQUIS_DATOS!$C$1500))-(CROQUIS_DATOS!$C$1499))+((CROQUIS_DATOS!$C$1476)*CROQUIS_DATOS!$C$1561-(0)*CROQUIS_DATOS!$C$1561))/CROQUIS_DATOS!$C$1568-0.000001))),2)=1,IF(INT(($A79-1)/2)+1&gt;MAX(1,INT(((((CROQUIS_DATOS!$C$1499+CROQUIS_DATOS!$C$1500))-(CROQUIS_DATOS!$C$1499))+((CROQUIS_DATOS!$C$1476)*CROQUIS_DATOS!$C$1561-(0)*CROQUIS_DATOS!$C$1561))/CROQUIS_DATOS!$C$1568-0.000001)),1,MOD($A79-1,2)),1-IF(INT(($A79-1)/2)+1&gt;MAX(1,INT(((((CROQUIS_DATOS!$C$1499+CROQUIS_DATOS!$C$1500))-(CROQUIS_DATOS!$C$1499))+((CROQUIS_DATOS!$C$1476)*CROQUIS_DATOS!$C$1561-(0)*CROQUIS_DATOS!$C$1561))/CROQUIS_DATOS!$C$1568-0.000001)),1,MOD($A79-1,2)))=1,MIN((CROQUIS_DATOS!$C$1476)*CROQUIS_DATOS!$C$1561,((CROQUIS_DATOS!$C$1499+CROQUIS_DATOS!$C$1500)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79">
        <f>IF(AND(CROQUIS_DATOS!$C$1472=1,CROQUIS_DATOS!$C$1500&gt;0,((CROQUIS_DATOS!$C$1499+CROQUIS_DATOS!$C$1500))-(CROQUIS_DATOS!$C$1499)&gt;0.5,(CROQUIS_DATOS!$C$1476)-(0)&gt;0.5),(CROQUIS_DATOS!$C$1567+(IF(IF(MOD(MIN(INT(($A79-1)/2)+1,MAX(1,INT(((((CROQUIS_DATOS!$C$1499+CROQUIS_DATOS!$C$1500))-(CROQUIS_DATOS!$C$1499))+((CROQUIS_DATOS!$C$1476)*CROQUIS_DATOS!$C$1561-(0)*CROQUIS_DATOS!$C$1561))/CROQUIS_DATOS!$C$1568-0.000001))),2)=1,IF(INT(($A79-1)/2)+1&gt;MAX(1,INT(((((CROQUIS_DATOS!$C$1499+CROQUIS_DATOS!$C$1500))-(CROQUIS_DATOS!$C$1499))+((CROQUIS_DATOS!$C$1476)*CROQUIS_DATOS!$C$1561-(0)*CROQUIS_DATOS!$C$1561))/CROQUIS_DATOS!$C$1568-0.000001)),1,MOD($A79-1,2)),1-IF(INT(($A79-1)/2)+1&gt;MAX(1,INT(((((CROQUIS_DATOS!$C$1499+CROQUIS_DATOS!$C$1500))-(CROQUIS_DATOS!$C$1499))+((CROQUIS_DATOS!$C$1476)*CROQUIS_DATOS!$C$1561-(0)*CROQUIS_DATOS!$C$1561))/CROQUIS_DATOS!$C$1568-0.000001)),1,MOD($A79-1,2)))=1,MIN((CROQUIS_DATOS!$C$1476)*CROQUIS_DATOS!$C$1561,((CROQUIS_DATOS!$C$1499+CROQUIS_DATOS!$C$1500)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79-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79">
        <f>IF(AND(CROQUIS_DATOS!$C$1472=1,CROQUIS_DATOS!$C$1504&gt;0,((CROQUIS_DATOS!$C$1503+CROQUIS_DATOS!$C$1504))-(CROQUIS_DATOS!$C$1503)&gt;0.5,(CROQUIS_DATOS!$C$1476)-(0)&gt;0.5),(CROQUIS_DATOS!$C$1566+(IF(IF(MOD(MIN(INT(($A79-1)/2)+1,MAX(1,INT(((((CROQUIS_DATOS!$C$1503+CROQUIS_DATOS!$C$1504))-(CROQUIS_DATOS!$C$1503))+((CROQUIS_DATOS!$C$1476)*CROQUIS_DATOS!$C$1561-(0)*CROQUIS_DATOS!$C$1561))/CROQUIS_DATOS!$C$1568-0.000001))),2)=1,IF(INT(($A79-1)/2)+1&gt;MAX(1,INT(((((CROQUIS_DATOS!$C$1503+CROQUIS_DATOS!$C$1504))-(CROQUIS_DATOS!$C$1503))+((CROQUIS_DATOS!$C$1476)*CROQUIS_DATOS!$C$1561-(0)*CROQUIS_DATOS!$C$1561))/CROQUIS_DATOS!$C$1568-0.000001)),1,MOD($A79-1,2)),1-IF(INT(($A79-1)/2)+1&gt;MAX(1,INT(((((CROQUIS_DATOS!$C$1503+CROQUIS_DATOS!$C$1504))-(CROQUIS_DATOS!$C$1503))+((CROQUIS_DATOS!$C$1476)*CROQUIS_DATOS!$C$1561-(0)*CROQUIS_DATOS!$C$1561))/CROQUIS_DATOS!$C$1568-0.000001)),1,MOD($A79-1,2)))=1,MIN((CROQUIS_DATOS!$C$1476)*CROQUIS_DATOS!$C$1561,((CROQUIS_DATOS!$C$1503+CROQUIS_DATOS!$C$1504)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79">
        <f>IF(AND(CROQUIS_DATOS!$C$1472=1,CROQUIS_DATOS!$C$1504&gt;0,((CROQUIS_DATOS!$C$1503+CROQUIS_DATOS!$C$1504))-(CROQUIS_DATOS!$C$1503)&gt;0.5,(CROQUIS_DATOS!$C$1476)-(0)&gt;0.5),(CROQUIS_DATOS!$C$1567+(IF(IF(MOD(MIN(INT(($A79-1)/2)+1,MAX(1,INT(((((CROQUIS_DATOS!$C$1503+CROQUIS_DATOS!$C$1504))-(CROQUIS_DATOS!$C$1503))+((CROQUIS_DATOS!$C$1476)*CROQUIS_DATOS!$C$1561-(0)*CROQUIS_DATOS!$C$1561))/CROQUIS_DATOS!$C$1568-0.000001))),2)=1,IF(INT(($A79-1)/2)+1&gt;MAX(1,INT(((((CROQUIS_DATOS!$C$1503+CROQUIS_DATOS!$C$1504))-(CROQUIS_DATOS!$C$1503))+((CROQUIS_DATOS!$C$1476)*CROQUIS_DATOS!$C$1561-(0)*CROQUIS_DATOS!$C$1561))/CROQUIS_DATOS!$C$1568-0.000001)),1,MOD($A79-1,2)),1-IF(INT(($A79-1)/2)+1&gt;MAX(1,INT(((((CROQUIS_DATOS!$C$1503+CROQUIS_DATOS!$C$1504))-(CROQUIS_DATOS!$C$1503))+((CROQUIS_DATOS!$C$1476)*CROQUIS_DATOS!$C$1561-(0)*CROQUIS_DATOS!$C$1561))/CROQUIS_DATOS!$C$1568-0.000001)),1,MOD($A79-1,2)))=1,MIN((CROQUIS_DATOS!$C$1476)*CROQUIS_DATOS!$C$1561,((CROQUIS_DATOS!$C$1503+CROQUIS_DATOS!$C$1504)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79-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79">
        <f>IF(AND(CROQUIS_DATOS!$C$1472=1,CROQUIS_DATOS!$C$1508&gt;0,((CROQUIS_DATOS!$C$1507+CROQUIS_DATOS!$C$1508))-(CROQUIS_DATOS!$C$1507)&gt;0.5,(CROQUIS_DATOS!$C$1476)-(0)&gt;0.5),(CROQUIS_DATOS!$C$1566+(IF(IF(MOD(MIN(INT(($A79-1)/2)+1,MAX(1,INT(((((CROQUIS_DATOS!$C$1507+CROQUIS_DATOS!$C$1508))-(CROQUIS_DATOS!$C$1507))+((CROQUIS_DATOS!$C$1476)*CROQUIS_DATOS!$C$1561-(0)*CROQUIS_DATOS!$C$1561))/CROQUIS_DATOS!$C$1568-0.000001))),2)=1,IF(INT(($A79-1)/2)+1&gt;MAX(1,INT(((((CROQUIS_DATOS!$C$1507+CROQUIS_DATOS!$C$1508))-(CROQUIS_DATOS!$C$1507))+((CROQUIS_DATOS!$C$1476)*CROQUIS_DATOS!$C$1561-(0)*CROQUIS_DATOS!$C$1561))/CROQUIS_DATOS!$C$1568-0.000001)),1,MOD($A79-1,2)),1-IF(INT(($A79-1)/2)+1&gt;MAX(1,INT(((((CROQUIS_DATOS!$C$1507+CROQUIS_DATOS!$C$1508))-(CROQUIS_DATOS!$C$1507))+((CROQUIS_DATOS!$C$1476)*CROQUIS_DATOS!$C$1561-(0)*CROQUIS_DATOS!$C$1561))/CROQUIS_DATOS!$C$1568-0.000001)),1,MOD($A79-1,2)))=1,MIN((CROQUIS_DATOS!$C$1476)*CROQUIS_DATOS!$C$1561,((CROQUIS_DATOS!$C$1507+CROQUIS_DATOS!$C$1508)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79">
        <f>IF(AND(CROQUIS_DATOS!$C$1472=1,CROQUIS_DATOS!$C$1508&gt;0,((CROQUIS_DATOS!$C$1507+CROQUIS_DATOS!$C$1508))-(CROQUIS_DATOS!$C$1507)&gt;0.5,(CROQUIS_DATOS!$C$1476)-(0)&gt;0.5),(CROQUIS_DATOS!$C$1567+(IF(IF(MOD(MIN(INT(($A79-1)/2)+1,MAX(1,INT(((((CROQUIS_DATOS!$C$1507+CROQUIS_DATOS!$C$1508))-(CROQUIS_DATOS!$C$1507))+((CROQUIS_DATOS!$C$1476)*CROQUIS_DATOS!$C$1561-(0)*CROQUIS_DATOS!$C$1561))/CROQUIS_DATOS!$C$1568-0.000001))),2)=1,IF(INT(($A79-1)/2)+1&gt;MAX(1,INT(((((CROQUIS_DATOS!$C$1507+CROQUIS_DATOS!$C$1508))-(CROQUIS_DATOS!$C$1507))+((CROQUIS_DATOS!$C$1476)*CROQUIS_DATOS!$C$1561-(0)*CROQUIS_DATOS!$C$1561))/CROQUIS_DATOS!$C$1568-0.000001)),1,MOD($A79-1,2)),1-IF(INT(($A79-1)/2)+1&gt;MAX(1,INT(((((CROQUIS_DATOS!$C$1507+CROQUIS_DATOS!$C$1508))-(CROQUIS_DATOS!$C$1507))+((CROQUIS_DATOS!$C$1476)*CROQUIS_DATOS!$C$1561-(0)*CROQUIS_DATOS!$C$1561))/CROQUIS_DATOS!$C$1568-0.000001)),1,MOD($A79-1,2)))=1,MIN((CROQUIS_DATOS!$C$1476)*CROQUIS_DATOS!$C$1561,((CROQUIS_DATOS!$C$1507+CROQUIS_DATOS!$C$1508)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79-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79">
        <f>IF(AND(CROQUIS_DATOS!$C$1472=1,CROQUIS_DATOS!$C$1512&gt;0,((CROQUIS_DATOS!$C$1511+CROQUIS_DATOS!$C$1512))-(CROQUIS_DATOS!$C$1511)&gt;0.5,(CROQUIS_DATOS!$C$1476)-(0)&gt;0.5),(CROQUIS_DATOS!$C$1566+(IF(IF(MOD(MIN(INT(($A79-1)/2)+1,MAX(1,INT(((((CROQUIS_DATOS!$C$1511+CROQUIS_DATOS!$C$1512))-(CROQUIS_DATOS!$C$1511))+((CROQUIS_DATOS!$C$1476)*CROQUIS_DATOS!$C$1561-(0)*CROQUIS_DATOS!$C$1561))/CROQUIS_DATOS!$C$1568-0.000001))),2)=1,IF(INT(($A79-1)/2)+1&gt;MAX(1,INT(((((CROQUIS_DATOS!$C$1511+CROQUIS_DATOS!$C$1512))-(CROQUIS_DATOS!$C$1511))+((CROQUIS_DATOS!$C$1476)*CROQUIS_DATOS!$C$1561-(0)*CROQUIS_DATOS!$C$1561))/CROQUIS_DATOS!$C$1568-0.000001)),1,MOD($A79-1,2)),1-IF(INT(($A79-1)/2)+1&gt;MAX(1,INT(((((CROQUIS_DATOS!$C$1511+CROQUIS_DATOS!$C$1512))-(CROQUIS_DATOS!$C$1511))+((CROQUIS_DATOS!$C$1476)*CROQUIS_DATOS!$C$1561-(0)*CROQUIS_DATOS!$C$1561))/CROQUIS_DATOS!$C$1568-0.000001)),1,MOD($A79-1,2)))=1,MIN((CROQUIS_DATOS!$C$1476)*CROQUIS_DATOS!$C$1561,((CROQUIS_DATOS!$C$1511+CROQUIS_DATOS!$C$1512)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79">
        <f>IF(AND(CROQUIS_DATOS!$C$1472=1,CROQUIS_DATOS!$C$1512&gt;0,((CROQUIS_DATOS!$C$1511+CROQUIS_DATOS!$C$1512))-(CROQUIS_DATOS!$C$1511)&gt;0.5,(CROQUIS_DATOS!$C$1476)-(0)&gt;0.5),(CROQUIS_DATOS!$C$1567+(IF(IF(MOD(MIN(INT(($A79-1)/2)+1,MAX(1,INT(((((CROQUIS_DATOS!$C$1511+CROQUIS_DATOS!$C$1512))-(CROQUIS_DATOS!$C$1511))+((CROQUIS_DATOS!$C$1476)*CROQUIS_DATOS!$C$1561-(0)*CROQUIS_DATOS!$C$1561))/CROQUIS_DATOS!$C$1568-0.000001))),2)=1,IF(INT(($A79-1)/2)+1&gt;MAX(1,INT(((((CROQUIS_DATOS!$C$1511+CROQUIS_DATOS!$C$1512))-(CROQUIS_DATOS!$C$1511))+((CROQUIS_DATOS!$C$1476)*CROQUIS_DATOS!$C$1561-(0)*CROQUIS_DATOS!$C$1561))/CROQUIS_DATOS!$C$1568-0.000001)),1,MOD($A79-1,2)),1-IF(INT(($A79-1)/2)+1&gt;MAX(1,INT(((((CROQUIS_DATOS!$C$1511+CROQUIS_DATOS!$C$1512))-(CROQUIS_DATOS!$C$1511))+((CROQUIS_DATOS!$C$1476)*CROQUIS_DATOS!$C$1561-(0)*CROQUIS_DATOS!$C$1561))/CROQUIS_DATOS!$C$1568-0.000001)),1,MOD($A79-1,2)))=1,MIN((CROQUIS_DATOS!$C$1476)*CROQUIS_DATOS!$C$1561,((CROQUIS_DATOS!$C$1511+CROQUIS_DATOS!$C$1512)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79-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79">
        <f>IF(AND(CROQUIS_DATOS!$C$1472=1,CROQUIS_DATOS!$C$1516&gt;0,((CROQUIS_DATOS!$C$1515+CROQUIS_DATOS!$C$1516))-(CROQUIS_DATOS!$C$1515)&gt;0.5,(CROQUIS_DATOS!$C$1476)-(0)&gt;0.5),(CROQUIS_DATOS!$C$1566+(IF(IF(MOD(MIN(INT(($A79-1)/2)+1,MAX(1,INT(((((CROQUIS_DATOS!$C$1515+CROQUIS_DATOS!$C$1516))-(CROQUIS_DATOS!$C$1515))+((CROQUIS_DATOS!$C$1476)*CROQUIS_DATOS!$C$1561-(0)*CROQUIS_DATOS!$C$1561))/CROQUIS_DATOS!$C$1568-0.000001))),2)=1,IF(INT(($A79-1)/2)+1&gt;MAX(1,INT(((((CROQUIS_DATOS!$C$1515+CROQUIS_DATOS!$C$1516))-(CROQUIS_DATOS!$C$1515))+((CROQUIS_DATOS!$C$1476)*CROQUIS_DATOS!$C$1561-(0)*CROQUIS_DATOS!$C$1561))/CROQUIS_DATOS!$C$1568-0.000001)),1,MOD($A79-1,2)),1-IF(INT(($A79-1)/2)+1&gt;MAX(1,INT(((((CROQUIS_DATOS!$C$1515+CROQUIS_DATOS!$C$1516))-(CROQUIS_DATOS!$C$1515))+((CROQUIS_DATOS!$C$1476)*CROQUIS_DATOS!$C$1561-(0)*CROQUIS_DATOS!$C$1561))/CROQUIS_DATOS!$C$1568-0.000001)),1,MOD($A79-1,2)))=1,MIN((CROQUIS_DATOS!$C$1476)*CROQUIS_DATOS!$C$1561,((CROQUIS_DATOS!$C$1515+CROQUIS_DATOS!$C$1516)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79">
        <f>IF(AND(CROQUIS_DATOS!$C$1472=1,CROQUIS_DATOS!$C$1516&gt;0,((CROQUIS_DATOS!$C$1515+CROQUIS_DATOS!$C$1516))-(CROQUIS_DATOS!$C$1515)&gt;0.5,(CROQUIS_DATOS!$C$1476)-(0)&gt;0.5),(CROQUIS_DATOS!$C$1567+(IF(IF(MOD(MIN(INT(($A79-1)/2)+1,MAX(1,INT(((((CROQUIS_DATOS!$C$1515+CROQUIS_DATOS!$C$1516))-(CROQUIS_DATOS!$C$1515))+((CROQUIS_DATOS!$C$1476)*CROQUIS_DATOS!$C$1561-(0)*CROQUIS_DATOS!$C$1561))/CROQUIS_DATOS!$C$1568-0.000001))),2)=1,IF(INT(($A79-1)/2)+1&gt;MAX(1,INT(((((CROQUIS_DATOS!$C$1515+CROQUIS_DATOS!$C$1516))-(CROQUIS_DATOS!$C$1515))+((CROQUIS_DATOS!$C$1476)*CROQUIS_DATOS!$C$1561-(0)*CROQUIS_DATOS!$C$1561))/CROQUIS_DATOS!$C$1568-0.000001)),1,MOD($A79-1,2)),1-IF(INT(($A79-1)/2)+1&gt;MAX(1,INT(((((CROQUIS_DATOS!$C$1515+CROQUIS_DATOS!$C$1516))-(CROQUIS_DATOS!$C$1515))+((CROQUIS_DATOS!$C$1476)*CROQUIS_DATOS!$C$1561-(0)*CROQUIS_DATOS!$C$1561))/CROQUIS_DATOS!$C$1568-0.000001)),1,MOD($A79-1,2)))=1,MIN((CROQUIS_DATOS!$C$1476)*CROQUIS_DATOS!$C$1561,((CROQUIS_DATOS!$C$1515+CROQUIS_DATOS!$C$1516)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79-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79">
        <f>IF(AND(CROQUIS_DATOS!$C$1472=1,CROQUIS_DATOS!$C$1478&gt;=1,((CROQUIS_DATOS!$C$1479+CROQUIS_DATOS!$C$1480))-(CROQUIS_DATOS!$C$1479)&gt;0.5,(CROQUIS_DATOS!$C$1481)-(0)&gt;0.5),(CROQUIS_DATOS!$C$1566+(IF(IF(MOD(MIN(INT(($A79-1)/2)+1,MAX(1,INT(((((CROQUIS_DATOS!$C$1479+CROQUIS_DATOS!$C$1480))-(CROQUIS_DATOS!$C$1479))+((CROQUIS_DATOS!$C$1481)*CROQUIS_DATOS!$C$1561-(0)*CROQUIS_DATOS!$C$1561))/CROQUIS_DATOS!$C$1568-0.000001))),2)=1,IF(INT(($A79-1)/2)+1&gt;MAX(1,INT(((((CROQUIS_DATOS!$C$1479+CROQUIS_DATOS!$C$1480))-(CROQUIS_DATOS!$C$1479))+((CROQUIS_DATOS!$C$1481)*CROQUIS_DATOS!$C$1561-(0)*CROQUIS_DATOS!$C$1561))/CROQUIS_DATOS!$C$1568-0.000001)),1,MOD($A79-1,2)),1-IF(INT(($A79-1)/2)+1&gt;MAX(1,INT(((((CROQUIS_DATOS!$C$1479+CROQUIS_DATOS!$C$1480))-(CROQUIS_DATOS!$C$1479))+((CROQUIS_DATOS!$C$1481)*CROQUIS_DATOS!$C$1561-(0)*CROQUIS_DATOS!$C$1561))/CROQUIS_DATOS!$C$1568-0.000001)),1,MOD($A79-1,2)))=1,MIN((CROQUIS_DATOS!$C$1481)*CROQUIS_DATOS!$C$1561,((CROQUIS_DATOS!$C$1479+CROQUIS_DATOS!$C$1480)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79">
        <f>IF(AND(CROQUIS_DATOS!$C$1472=1,CROQUIS_DATOS!$C$1478&gt;=1,((CROQUIS_DATOS!$C$1479+CROQUIS_DATOS!$C$1480))-(CROQUIS_DATOS!$C$1479)&gt;0.5,(CROQUIS_DATOS!$C$1481)-(0)&gt;0.5),(CROQUIS_DATOS!$C$1567+(IF(IF(MOD(MIN(INT(($A79-1)/2)+1,MAX(1,INT(((((CROQUIS_DATOS!$C$1479+CROQUIS_DATOS!$C$1480))-(CROQUIS_DATOS!$C$1479))+((CROQUIS_DATOS!$C$1481)*CROQUIS_DATOS!$C$1561-(0)*CROQUIS_DATOS!$C$1561))/CROQUIS_DATOS!$C$1568-0.000001))),2)=1,IF(INT(($A79-1)/2)+1&gt;MAX(1,INT(((((CROQUIS_DATOS!$C$1479+CROQUIS_DATOS!$C$1480))-(CROQUIS_DATOS!$C$1479))+((CROQUIS_DATOS!$C$1481)*CROQUIS_DATOS!$C$1561-(0)*CROQUIS_DATOS!$C$1561))/CROQUIS_DATOS!$C$1568-0.000001)),1,MOD($A79-1,2)),1-IF(INT(($A79-1)/2)+1&gt;MAX(1,INT(((((CROQUIS_DATOS!$C$1479+CROQUIS_DATOS!$C$1480))-(CROQUIS_DATOS!$C$1479))+((CROQUIS_DATOS!$C$1481)*CROQUIS_DATOS!$C$1561-(0)*CROQUIS_DATOS!$C$1561))/CROQUIS_DATOS!$C$1568-0.000001)),1,MOD($A79-1,2)))=1,MIN((CROQUIS_DATOS!$C$1481)*CROQUIS_DATOS!$C$1561,((CROQUIS_DATOS!$C$1479+CROQUIS_DATOS!$C$1480)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79-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79">
        <f>IF(AND(CROQUIS_DATOS!$C$1472=1,CROQUIS_DATOS!$C$1478&gt;=1,((CROQUIS_DATOS!$C$1479+CROQUIS_DATOS!$C$1480))-(CROQUIS_DATOS!$C$1479)&gt;0.5,(CROQUIS_DATOS!$C$1476)-((CROQUIS_DATOS!$C$1481+CROQUIS_DATOS!$C$1482))&gt;0.5),(CROQUIS_DATOS!$C$1566+(IF(IF(MOD(MIN(INT(($A79-1)/2)+1,MAX(1,INT(((((CROQUIS_DATOS!$C$1479+CROQUIS_DATOS!$C$1480))-(CROQUIS_DATOS!$C$1479))+((CROQUIS_DATOS!$C$1476)*CROQUIS_DATOS!$C$1561-((CROQUIS_DATOS!$C$1481+CROQUIS_DATOS!$C$1482))*CROQUIS_DATOS!$C$1561))/CROQUIS_DATOS!$C$1568-0.000001))),2)=1,IF(INT(($A79-1)/2)+1&gt;MAX(1,INT(((((CROQUIS_DATOS!$C$1479+CROQUIS_DATOS!$C$1480))-(CROQUIS_DATOS!$C$1479))+((CROQUIS_DATOS!$C$1476)*CROQUIS_DATOS!$C$1561-((CROQUIS_DATOS!$C$1481+CROQUIS_DATOS!$C$1482))*CROQUIS_DATOS!$C$1561))/CROQUIS_DATOS!$C$1568-0.000001)),1,MOD($A79-1,2)),1-IF(INT(($A79-1)/2)+1&gt;MAX(1,INT(((((CROQUIS_DATOS!$C$1479+CROQUIS_DATOS!$C$1480))-(CROQUIS_DATOS!$C$1479))+((CROQUIS_DATOS!$C$1476)*CROQUIS_DATOS!$C$1561-((CROQUIS_DATOS!$C$1481+CROQUIS_DATOS!$C$1482))*CROQUIS_DATOS!$C$1561))/CROQUIS_DATOS!$C$1568-0.000001)),1,MOD($A79-1,2)))=1,MIN((CROQUIS_DATOS!$C$1476)*CROQUIS_DATOS!$C$1561,((CROQUIS_DATOS!$C$1479+CROQUIS_DATOS!$C$1480)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79">
        <f>IF(AND(CROQUIS_DATOS!$C$1472=1,CROQUIS_DATOS!$C$1478&gt;=1,((CROQUIS_DATOS!$C$1479+CROQUIS_DATOS!$C$1480))-(CROQUIS_DATOS!$C$1479)&gt;0.5,(CROQUIS_DATOS!$C$1476)-((CROQUIS_DATOS!$C$1481+CROQUIS_DATOS!$C$1482))&gt;0.5),(CROQUIS_DATOS!$C$1567+(IF(IF(MOD(MIN(INT(($A79-1)/2)+1,MAX(1,INT(((((CROQUIS_DATOS!$C$1479+CROQUIS_DATOS!$C$1480))-(CROQUIS_DATOS!$C$1479))+((CROQUIS_DATOS!$C$1476)*CROQUIS_DATOS!$C$1561-((CROQUIS_DATOS!$C$1481+CROQUIS_DATOS!$C$1482))*CROQUIS_DATOS!$C$1561))/CROQUIS_DATOS!$C$1568-0.000001))),2)=1,IF(INT(($A79-1)/2)+1&gt;MAX(1,INT(((((CROQUIS_DATOS!$C$1479+CROQUIS_DATOS!$C$1480))-(CROQUIS_DATOS!$C$1479))+((CROQUIS_DATOS!$C$1476)*CROQUIS_DATOS!$C$1561-((CROQUIS_DATOS!$C$1481+CROQUIS_DATOS!$C$1482))*CROQUIS_DATOS!$C$1561))/CROQUIS_DATOS!$C$1568-0.000001)),1,MOD($A79-1,2)),1-IF(INT(($A79-1)/2)+1&gt;MAX(1,INT(((((CROQUIS_DATOS!$C$1479+CROQUIS_DATOS!$C$1480))-(CROQUIS_DATOS!$C$1479))+((CROQUIS_DATOS!$C$1476)*CROQUIS_DATOS!$C$1561-((CROQUIS_DATOS!$C$1481+CROQUIS_DATOS!$C$1482))*CROQUIS_DATOS!$C$1561))/CROQUIS_DATOS!$C$1568-0.000001)),1,MOD($A79-1,2)))=1,MIN((CROQUIS_DATOS!$C$1476)*CROQUIS_DATOS!$C$1561,((CROQUIS_DATOS!$C$1479+CROQUIS_DATOS!$C$1480)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79-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79">
        <f>IF(AND(CROQUIS_DATOS!$C$1472=1,CROQUIS_DATOS!$C$1478&gt;=2,((CROQUIS_DATOS!$C$1484+CROQUIS_DATOS!$C$1485))-(CROQUIS_DATOS!$C$1484)&gt;0.5,(CROQUIS_DATOS!$C$1486)-(0)&gt;0.5),(CROQUIS_DATOS!$C$1566+(IF(IF(MOD(MIN(INT(($A79-1)/2)+1,MAX(1,INT(((((CROQUIS_DATOS!$C$1484+CROQUIS_DATOS!$C$1485))-(CROQUIS_DATOS!$C$1484))+((CROQUIS_DATOS!$C$1486)*CROQUIS_DATOS!$C$1561-(0)*CROQUIS_DATOS!$C$1561))/CROQUIS_DATOS!$C$1568-0.000001))),2)=1,IF(INT(($A79-1)/2)+1&gt;MAX(1,INT(((((CROQUIS_DATOS!$C$1484+CROQUIS_DATOS!$C$1485))-(CROQUIS_DATOS!$C$1484))+((CROQUIS_DATOS!$C$1486)*CROQUIS_DATOS!$C$1561-(0)*CROQUIS_DATOS!$C$1561))/CROQUIS_DATOS!$C$1568-0.000001)),1,MOD($A79-1,2)),1-IF(INT(($A79-1)/2)+1&gt;MAX(1,INT(((((CROQUIS_DATOS!$C$1484+CROQUIS_DATOS!$C$1485))-(CROQUIS_DATOS!$C$1484))+((CROQUIS_DATOS!$C$1486)*CROQUIS_DATOS!$C$1561-(0)*CROQUIS_DATOS!$C$1561))/CROQUIS_DATOS!$C$1568-0.000001)),1,MOD($A79-1,2)))=1,MIN((CROQUIS_DATOS!$C$1486)*CROQUIS_DATOS!$C$1561,((CROQUIS_DATOS!$C$1484+CROQUIS_DATOS!$C$1485)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79">
        <f>IF(AND(CROQUIS_DATOS!$C$1472=1,CROQUIS_DATOS!$C$1478&gt;=2,((CROQUIS_DATOS!$C$1484+CROQUIS_DATOS!$C$1485))-(CROQUIS_DATOS!$C$1484)&gt;0.5,(CROQUIS_DATOS!$C$1486)-(0)&gt;0.5),(CROQUIS_DATOS!$C$1567+(IF(IF(MOD(MIN(INT(($A79-1)/2)+1,MAX(1,INT(((((CROQUIS_DATOS!$C$1484+CROQUIS_DATOS!$C$1485))-(CROQUIS_DATOS!$C$1484))+((CROQUIS_DATOS!$C$1486)*CROQUIS_DATOS!$C$1561-(0)*CROQUIS_DATOS!$C$1561))/CROQUIS_DATOS!$C$1568-0.000001))),2)=1,IF(INT(($A79-1)/2)+1&gt;MAX(1,INT(((((CROQUIS_DATOS!$C$1484+CROQUIS_DATOS!$C$1485))-(CROQUIS_DATOS!$C$1484))+((CROQUIS_DATOS!$C$1486)*CROQUIS_DATOS!$C$1561-(0)*CROQUIS_DATOS!$C$1561))/CROQUIS_DATOS!$C$1568-0.000001)),1,MOD($A79-1,2)),1-IF(INT(($A79-1)/2)+1&gt;MAX(1,INT(((((CROQUIS_DATOS!$C$1484+CROQUIS_DATOS!$C$1485))-(CROQUIS_DATOS!$C$1484))+((CROQUIS_DATOS!$C$1486)*CROQUIS_DATOS!$C$1561-(0)*CROQUIS_DATOS!$C$1561))/CROQUIS_DATOS!$C$1568-0.000001)),1,MOD($A79-1,2)))=1,MIN((CROQUIS_DATOS!$C$1486)*CROQUIS_DATOS!$C$1561,((CROQUIS_DATOS!$C$1484+CROQUIS_DATOS!$C$1485)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79-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79">
        <f>IF(AND(CROQUIS_DATOS!$C$1472=1,CROQUIS_DATOS!$C$1478&gt;=2,((CROQUIS_DATOS!$C$1484+CROQUIS_DATOS!$C$1485))-(CROQUIS_DATOS!$C$1484)&gt;0.5,(CROQUIS_DATOS!$C$1476)-((CROQUIS_DATOS!$C$1486+CROQUIS_DATOS!$C$1487))&gt;0.5),(CROQUIS_DATOS!$C$1566+(IF(IF(MOD(MIN(INT(($A79-1)/2)+1,MAX(1,INT(((((CROQUIS_DATOS!$C$1484+CROQUIS_DATOS!$C$1485))-(CROQUIS_DATOS!$C$1484))+((CROQUIS_DATOS!$C$1476)*CROQUIS_DATOS!$C$1561-((CROQUIS_DATOS!$C$1486+CROQUIS_DATOS!$C$1487))*CROQUIS_DATOS!$C$1561))/CROQUIS_DATOS!$C$1568-0.000001))),2)=1,IF(INT(($A79-1)/2)+1&gt;MAX(1,INT(((((CROQUIS_DATOS!$C$1484+CROQUIS_DATOS!$C$1485))-(CROQUIS_DATOS!$C$1484))+((CROQUIS_DATOS!$C$1476)*CROQUIS_DATOS!$C$1561-((CROQUIS_DATOS!$C$1486+CROQUIS_DATOS!$C$1487))*CROQUIS_DATOS!$C$1561))/CROQUIS_DATOS!$C$1568-0.000001)),1,MOD($A79-1,2)),1-IF(INT(($A79-1)/2)+1&gt;MAX(1,INT(((((CROQUIS_DATOS!$C$1484+CROQUIS_DATOS!$C$1485))-(CROQUIS_DATOS!$C$1484))+((CROQUIS_DATOS!$C$1476)*CROQUIS_DATOS!$C$1561-((CROQUIS_DATOS!$C$1486+CROQUIS_DATOS!$C$1487))*CROQUIS_DATOS!$C$1561))/CROQUIS_DATOS!$C$1568-0.000001)),1,MOD($A79-1,2)))=1,MIN((CROQUIS_DATOS!$C$1476)*CROQUIS_DATOS!$C$1561,((CROQUIS_DATOS!$C$1484+CROQUIS_DATOS!$C$1485)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79">
        <f>IF(AND(CROQUIS_DATOS!$C$1472=1,CROQUIS_DATOS!$C$1478&gt;=2,((CROQUIS_DATOS!$C$1484+CROQUIS_DATOS!$C$1485))-(CROQUIS_DATOS!$C$1484)&gt;0.5,(CROQUIS_DATOS!$C$1476)-((CROQUIS_DATOS!$C$1486+CROQUIS_DATOS!$C$1487))&gt;0.5),(CROQUIS_DATOS!$C$1567+(IF(IF(MOD(MIN(INT(($A79-1)/2)+1,MAX(1,INT(((((CROQUIS_DATOS!$C$1484+CROQUIS_DATOS!$C$1485))-(CROQUIS_DATOS!$C$1484))+((CROQUIS_DATOS!$C$1476)*CROQUIS_DATOS!$C$1561-((CROQUIS_DATOS!$C$1486+CROQUIS_DATOS!$C$1487))*CROQUIS_DATOS!$C$1561))/CROQUIS_DATOS!$C$1568-0.000001))),2)=1,IF(INT(($A79-1)/2)+1&gt;MAX(1,INT(((((CROQUIS_DATOS!$C$1484+CROQUIS_DATOS!$C$1485))-(CROQUIS_DATOS!$C$1484))+((CROQUIS_DATOS!$C$1476)*CROQUIS_DATOS!$C$1561-((CROQUIS_DATOS!$C$1486+CROQUIS_DATOS!$C$1487))*CROQUIS_DATOS!$C$1561))/CROQUIS_DATOS!$C$1568-0.000001)),1,MOD($A79-1,2)),1-IF(INT(($A79-1)/2)+1&gt;MAX(1,INT(((((CROQUIS_DATOS!$C$1484+CROQUIS_DATOS!$C$1485))-(CROQUIS_DATOS!$C$1484))+((CROQUIS_DATOS!$C$1476)*CROQUIS_DATOS!$C$1561-((CROQUIS_DATOS!$C$1486+CROQUIS_DATOS!$C$1487))*CROQUIS_DATOS!$C$1561))/CROQUIS_DATOS!$C$1568-0.000001)),1,MOD($A79-1,2)))=1,MIN((CROQUIS_DATOS!$C$1476)*CROQUIS_DATOS!$C$1561,((CROQUIS_DATOS!$C$1484+CROQUIS_DATOS!$C$1485)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79-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79">
        <f>IF(AND(CROQUIS_DATOS!$C$1472=1,CROQUIS_DATOS!$C$1478&gt;=3,((CROQUIS_DATOS!$C$1489+CROQUIS_DATOS!$C$1490))-(CROQUIS_DATOS!$C$1489)&gt;0.5,(CROQUIS_DATOS!$C$1491)-(0)&gt;0.5),(CROQUIS_DATOS!$C$1566+(IF(IF(MOD(MIN(INT(($A79-1)/2)+1,MAX(1,INT(((((CROQUIS_DATOS!$C$1489+CROQUIS_DATOS!$C$1490))-(CROQUIS_DATOS!$C$1489))+((CROQUIS_DATOS!$C$1491)*CROQUIS_DATOS!$C$1561-(0)*CROQUIS_DATOS!$C$1561))/CROQUIS_DATOS!$C$1568-0.000001))),2)=1,IF(INT(($A79-1)/2)+1&gt;MAX(1,INT(((((CROQUIS_DATOS!$C$1489+CROQUIS_DATOS!$C$1490))-(CROQUIS_DATOS!$C$1489))+((CROQUIS_DATOS!$C$1491)*CROQUIS_DATOS!$C$1561-(0)*CROQUIS_DATOS!$C$1561))/CROQUIS_DATOS!$C$1568-0.000001)),1,MOD($A79-1,2)),1-IF(INT(($A79-1)/2)+1&gt;MAX(1,INT(((((CROQUIS_DATOS!$C$1489+CROQUIS_DATOS!$C$1490))-(CROQUIS_DATOS!$C$1489))+((CROQUIS_DATOS!$C$1491)*CROQUIS_DATOS!$C$1561-(0)*CROQUIS_DATOS!$C$1561))/CROQUIS_DATOS!$C$1568-0.000001)),1,MOD($A79-1,2)))=1,MIN((CROQUIS_DATOS!$C$1491)*CROQUIS_DATOS!$C$1561,((CROQUIS_DATOS!$C$1489+CROQUIS_DATOS!$C$1490)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79">
        <f>IF(AND(CROQUIS_DATOS!$C$1472=1,CROQUIS_DATOS!$C$1478&gt;=3,((CROQUIS_DATOS!$C$1489+CROQUIS_DATOS!$C$1490))-(CROQUIS_DATOS!$C$1489)&gt;0.5,(CROQUIS_DATOS!$C$1491)-(0)&gt;0.5),(CROQUIS_DATOS!$C$1567+(IF(IF(MOD(MIN(INT(($A79-1)/2)+1,MAX(1,INT(((((CROQUIS_DATOS!$C$1489+CROQUIS_DATOS!$C$1490))-(CROQUIS_DATOS!$C$1489))+((CROQUIS_DATOS!$C$1491)*CROQUIS_DATOS!$C$1561-(0)*CROQUIS_DATOS!$C$1561))/CROQUIS_DATOS!$C$1568-0.000001))),2)=1,IF(INT(($A79-1)/2)+1&gt;MAX(1,INT(((((CROQUIS_DATOS!$C$1489+CROQUIS_DATOS!$C$1490))-(CROQUIS_DATOS!$C$1489))+((CROQUIS_DATOS!$C$1491)*CROQUIS_DATOS!$C$1561-(0)*CROQUIS_DATOS!$C$1561))/CROQUIS_DATOS!$C$1568-0.000001)),1,MOD($A79-1,2)),1-IF(INT(($A79-1)/2)+1&gt;MAX(1,INT(((((CROQUIS_DATOS!$C$1489+CROQUIS_DATOS!$C$1490))-(CROQUIS_DATOS!$C$1489))+((CROQUIS_DATOS!$C$1491)*CROQUIS_DATOS!$C$1561-(0)*CROQUIS_DATOS!$C$1561))/CROQUIS_DATOS!$C$1568-0.000001)),1,MOD($A79-1,2)))=1,MIN((CROQUIS_DATOS!$C$1491)*CROQUIS_DATOS!$C$1561,((CROQUIS_DATOS!$C$1489+CROQUIS_DATOS!$C$1490)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79-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79">
        <f>IF(AND(CROQUIS_DATOS!$C$1472=1,CROQUIS_DATOS!$C$1478&gt;=3,((CROQUIS_DATOS!$C$1489+CROQUIS_DATOS!$C$1490))-(CROQUIS_DATOS!$C$1489)&gt;0.5,(CROQUIS_DATOS!$C$1476)-((CROQUIS_DATOS!$C$1491+CROQUIS_DATOS!$C$1492))&gt;0.5),(CROQUIS_DATOS!$C$1566+(IF(IF(MOD(MIN(INT(($A79-1)/2)+1,MAX(1,INT(((((CROQUIS_DATOS!$C$1489+CROQUIS_DATOS!$C$1490))-(CROQUIS_DATOS!$C$1489))+((CROQUIS_DATOS!$C$1476)*CROQUIS_DATOS!$C$1561-((CROQUIS_DATOS!$C$1491+CROQUIS_DATOS!$C$1492))*CROQUIS_DATOS!$C$1561))/CROQUIS_DATOS!$C$1568-0.000001))),2)=1,IF(INT(($A79-1)/2)+1&gt;MAX(1,INT(((((CROQUIS_DATOS!$C$1489+CROQUIS_DATOS!$C$1490))-(CROQUIS_DATOS!$C$1489))+((CROQUIS_DATOS!$C$1476)*CROQUIS_DATOS!$C$1561-((CROQUIS_DATOS!$C$1491+CROQUIS_DATOS!$C$1492))*CROQUIS_DATOS!$C$1561))/CROQUIS_DATOS!$C$1568-0.000001)),1,MOD($A79-1,2)),1-IF(INT(($A79-1)/2)+1&gt;MAX(1,INT(((((CROQUIS_DATOS!$C$1489+CROQUIS_DATOS!$C$1490))-(CROQUIS_DATOS!$C$1489))+((CROQUIS_DATOS!$C$1476)*CROQUIS_DATOS!$C$1561-((CROQUIS_DATOS!$C$1491+CROQUIS_DATOS!$C$1492))*CROQUIS_DATOS!$C$1561))/CROQUIS_DATOS!$C$1568-0.000001)),1,MOD($A79-1,2)))=1,MIN((CROQUIS_DATOS!$C$1476)*CROQUIS_DATOS!$C$1561,((CROQUIS_DATOS!$C$1489+CROQUIS_DATOS!$C$1490)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79">
        <f>IF(AND(CROQUIS_DATOS!$C$1472=1,CROQUIS_DATOS!$C$1478&gt;=3,((CROQUIS_DATOS!$C$1489+CROQUIS_DATOS!$C$1490))-(CROQUIS_DATOS!$C$1489)&gt;0.5,(CROQUIS_DATOS!$C$1476)-((CROQUIS_DATOS!$C$1491+CROQUIS_DATOS!$C$1492))&gt;0.5),(CROQUIS_DATOS!$C$1567+(IF(IF(MOD(MIN(INT(($A79-1)/2)+1,MAX(1,INT(((((CROQUIS_DATOS!$C$1489+CROQUIS_DATOS!$C$1490))-(CROQUIS_DATOS!$C$1489))+((CROQUIS_DATOS!$C$1476)*CROQUIS_DATOS!$C$1561-((CROQUIS_DATOS!$C$1491+CROQUIS_DATOS!$C$1492))*CROQUIS_DATOS!$C$1561))/CROQUIS_DATOS!$C$1568-0.000001))),2)=1,IF(INT(($A79-1)/2)+1&gt;MAX(1,INT(((((CROQUIS_DATOS!$C$1489+CROQUIS_DATOS!$C$1490))-(CROQUIS_DATOS!$C$1489))+((CROQUIS_DATOS!$C$1476)*CROQUIS_DATOS!$C$1561-((CROQUIS_DATOS!$C$1491+CROQUIS_DATOS!$C$1492))*CROQUIS_DATOS!$C$1561))/CROQUIS_DATOS!$C$1568-0.000001)),1,MOD($A79-1,2)),1-IF(INT(($A79-1)/2)+1&gt;MAX(1,INT(((((CROQUIS_DATOS!$C$1489+CROQUIS_DATOS!$C$1490))-(CROQUIS_DATOS!$C$1489))+((CROQUIS_DATOS!$C$1476)*CROQUIS_DATOS!$C$1561-((CROQUIS_DATOS!$C$1491+CROQUIS_DATOS!$C$1492))*CROQUIS_DATOS!$C$1561))/CROQUIS_DATOS!$C$1568-0.000001)),1,MOD($A79-1,2)))=1,MIN((CROQUIS_DATOS!$C$1476)*CROQUIS_DATOS!$C$1561,((CROQUIS_DATOS!$C$1489+CROQUIS_DATOS!$C$1490)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79-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79">
        <f>IF(AND(CROQUIS_DATOS!$C$1472=1,CROQUIS_DATOS!$C$1478&gt;=4,((CROQUIS_DATOS!$C$1494+CROQUIS_DATOS!$C$1495))-(CROQUIS_DATOS!$C$1494)&gt;0.5,(CROQUIS_DATOS!$C$1496)-(0)&gt;0.5),(CROQUIS_DATOS!$C$1566+(IF(IF(MOD(MIN(INT(($A79-1)/2)+1,MAX(1,INT(((((CROQUIS_DATOS!$C$1494+CROQUIS_DATOS!$C$1495))-(CROQUIS_DATOS!$C$1494))+((CROQUIS_DATOS!$C$1496)*CROQUIS_DATOS!$C$1561-(0)*CROQUIS_DATOS!$C$1561))/CROQUIS_DATOS!$C$1568-0.000001))),2)=1,IF(INT(($A79-1)/2)+1&gt;MAX(1,INT(((((CROQUIS_DATOS!$C$1494+CROQUIS_DATOS!$C$1495))-(CROQUIS_DATOS!$C$1494))+((CROQUIS_DATOS!$C$1496)*CROQUIS_DATOS!$C$1561-(0)*CROQUIS_DATOS!$C$1561))/CROQUIS_DATOS!$C$1568-0.000001)),1,MOD($A79-1,2)),1-IF(INT(($A79-1)/2)+1&gt;MAX(1,INT(((((CROQUIS_DATOS!$C$1494+CROQUIS_DATOS!$C$1495))-(CROQUIS_DATOS!$C$1494))+((CROQUIS_DATOS!$C$1496)*CROQUIS_DATOS!$C$1561-(0)*CROQUIS_DATOS!$C$1561))/CROQUIS_DATOS!$C$1568-0.000001)),1,MOD($A79-1,2)))=1,MIN((CROQUIS_DATOS!$C$1496)*CROQUIS_DATOS!$C$1561,((CROQUIS_DATOS!$C$1494+CROQUIS_DATOS!$C$1495)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79">
        <f>IF(AND(CROQUIS_DATOS!$C$1472=1,CROQUIS_DATOS!$C$1478&gt;=4,((CROQUIS_DATOS!$C$1494+CROQUIS_DATOS!$C$1495))-(CROQUIS_DATOS!$C$1494)&gt;0.5,(CROQUIS_DATOS!$C$1496)-(0)&gt;0.5),(CROQUIS_DATOS!$C$1567+(IF(IF(MOD(MIN(INT(($A79-1)/2)+1,MAX(1,INT(((((CROQUIS_DATOS!$C$1494+CROQUIS_DATOS!$C$1495))-(CROQUIS_DATOS!$C$1494))+((CROQUIS_DATOS!$C$1496)*CROQUIS_DATOS!$C$1561-(0)*CROQUIS_DATOS!$C$1561))/CROQUIS_DATOS!$C$1568-0.000001))),2)=1,IF(INT(($A79-1)/2)+1&gt;MAX(1,INT(((((CROQUIS_DATOS!$C$1494+CROQUIS_DATOS!$C$1495))-(CROQUIS_DATOS!$C$1494))+((CROQUIS_DATOS!$C$1496)*CROQUIS_DATOS!$C$1561-(0)*CROQUIS_DATOS!$C$1561))/CROQUIS_DATOS!$C$1568-0.000001)),1,MOD($A79-1,2)),1-IF(INT(($A79-1)/2)+1&gt;MAX(1,INT(((((CROQUIS_DATOS!$C$1494+CROQUIS_DATOS!$C$1495))-(CROQUIS_DATOS!$C$1494))+((CROQUIS_DATOS!$C$1496)*CROQUIS_DATOS!$C$1561-(0)*CROQUIS_DATOS!$C$1561))/CROQUIS_DATOS!$C$1568-0.000001)),1,MOD($A79-1,2)))=1,MIN((CROQUIS_DATOS!$C$1496)*CROQUIS_DATOS!$C$1561,((CROQUIS_DATOS!$C$1494+CROQUIS_DATOS!$C$1495)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79-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79">
        <f>IF(AND(CROQUIS_DATOS!$C$1472=1,CROQUIS_DATOS!$C$1478&gt;=4,((CROQUIS_DATOS!$C$1494+CROQUIS_DATOS!$C$1495))-(CROQUIS_DATOS!$C$1494)&gt;0.5,(CROQUIS_DATOS!$C$1476)-((CROQUIS_DATOS!$C$1496+CROQUIS_DATOS!$C$1497))&gt;0.5),(CROQUIS_DATOS!$C$1566+(IF(IF(MOD(MIN(INT(($A79-1)/2)+1,MAX(1,INT(((((CROQUIS_DATOS!$C$1494+CROQUIS_DATOS!$C$1495))-(CROQUIS_DATOS!$C$1494))+((CROQUIS_DATOS!$C$1476)*CROQUIS_DATOS!$C$1561-((CROQUIS_DATOS!$C$1496+CROQUIS_DATOS!$C$1497))*CROQUIS_DATOS!$C$1561))/CROQUIS_DATOS!$C$1568-0.000001))),2)=1,IF(INT(($A79-1)/2)+1&gt;MAX(1,INT(((((CROQUIS_DATOS!$C$1494+CROQUIS_DATOS!$C$1495))-(CROQUIS_DATOS!$C$1494))+((CROQUIS_DATOS!$C$1476)*CROQUIS_DATOS!$C$1561-((CROQUIS_DATOS!$C$1496+CROQUIS_DATOS!$C$1497))*CROQUIS_DATOS!$C$1561))/CROQUIS_DATOS!$C$1568-0.000001)),1,MOD($A79-1,2)),1-IF(INT(($A79-1)/2)+1&gt;MAX(1,INT(((((CROQUIS_DATOS!$C$1494+CROQUIS_DATOS!$C$1495))-(CROQUIS_DATOS!$C$1494))+((CROQUIS_DATOS!$C$1476)*CROQUIS_DATOS!$C$1561-((CROQUIS_DATOS!$C$1496+CROQUIS_DATOS!$C$1497))*CROQUIS_DATOS!$C$1561))/CROQUIS_DATOS!$C$1568-0.000001)),1,MOD($A79-1,2)))=1,MIN((CROQUIS_DATOS!$C$1476)*CROQUIS_DATOS!$C$1561,((CROQUIS_DATOS!$C$1494+CROQUIS_DATOS!$C$1495)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79">
        <f>IF(AND(CROQUIS_DATOS!$C$1472=1,CROQUIS_DATOS!$C$1478&gt;=4,((CROQUIS_DATOS!$C$1494+CROQUIS_DATOS!$C$1495))-(CROQUIS_DATOS!$C$1494)&gt;0.5,(CROQUIS_DATOS!$C$1476)-((CROQUIS_DATOS!$C$1496+CROQUIS_DATOS!$C$1497))&gt;0.5),(CROQUIS_DATOS!$C$1567+(IF(IF(MOD(MIN(INT(($A79-1)/2)+1,MAX(1,INT(((((CROQUIS_DATOS!$C$1494+CROQUIS_DATOS!$C$1495))-(CROQUIS_DATOS!$C$1494))+((CROQUIS_DATOS!$C$1476)*CROQUIS_DATOS!$C$1561-((CROQUIS_DATOS!$C$1496+CROQUIS_DATOS!$C$1497))*CROQUIS_DATOS!$C$1561))/CROQUIS_DATOS!$C$1568-0.000001))),2)=1,IF(INT(($A79-1)/2)+1&gt;MAX(1,INT(((((CROQUIS_DATOS!$C$1494+CROQUIS_DATOS!$C$1495))-(CROQUIS_DATOS!$C$1494))+((CROQUIS_DATOS!$C$1476)*CROQUIS_DATOS!$C$1561-((CROQUIS_DATOS!$C$1496+CROQUIS_DATOS!$C$1497))*CROQUIS_DATOS!$C$1561))/CROQUIS_DATOS!$C$1568-0.000001)),1,MOD($A79-1,2)),1-IF(INT(($A79-1)/2)+1&gt;MAX(1,INT(((((CROQUIS_DATOS!$C$1494+CROQUIS_DATOS!$C$1495))-(CROQUIS_DATOS!$C$1494))+((CROQUIS_DATOS!$C$1476)*CROQUIS_DATOS!$C$1561-((CROQUIS_DATOS!$C$1496+CROQUIS_DATOS!$C$1497))*CROQUIS_DATOS!$C$1561))/CROQUIS_DATOS!$C$1568-0.000001)),1,MOD($A79-1,2)))=1,MIN((CROQUIS_DATOS!$C$1476)*CROQUIS_DATOS!$C$1561,((CROQUIS_DATOS!$C$1494+CROQUIS_DATOS!$C$1495)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79-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79">
        <f>IF(AND(CROQUIS_DATOS!$C$1472=1,1),(CROQUIS_DATOS!$C$1571+(CHOOSE(MIN(MAX(IF(INT(($A79-1)/5)+1&gt;CROQUIS_DATOS!$C$1525,5,MOD($A79-1,5)+1),1),5),(INDEX($E$8:$E$23,MIN(INT(($A79-1)/5)+1,CROQUIS_DATOS!$C$1525))-INDEX($F$8:$F$23,MIN(INT(($A79-1)/5)+1,CROQUIS_DATOS!$C$1525))/2),(INDEX($E$8:$E$23,MIN(INT(($A79-1)/5)+1,CROQUIS_DATOS!$C$1525))+INDEX($F$8:$F$23,MIN(INT(($A79-1)/5)+1,CROQUIS_DATOS!$C$1525))/2),(INDEX($E$8:$E$23,MIN(INT(($A79-1)/5)+1,CROQUIS_DATOS!$C$1525))+INDEX($F$8:$F$23,MIN(INT(($A79-1)/5)+1,CROQUIS_DATOS!$C$1525))/2),(INDEX($E$8:$E$23,MIN(INT(($A79-1)/5)+1,CROQUIS_DATOS!$C$1525))-INDEX($F$8:$F$23,MIN(INT(($A79-1)/5)+1,CROQUIS_DATOS!$C$1525))/2),(INDEX($E$8:$E$23,MIN(INT(($A79-1)/5)+1,CROQUIS_DATOS!$C$1525))-INDEX($F$8:$F$23,MIN(INT(($A79-1)/5)+1,CROQUIS_DATOS!$C$1525))/2)))*CROQUIS_DATOS!$C$1569),-1000)</f>
        <v>95.24</v>
      </c>
      <c r="GE79">
        <f>IF(AND(CROQUIS_DATOS!$C$1472=1,1),(CROQUIS_DATOS!$C$1572+(CHOOSE(MIN(MAX(IF(INT(($A79-1)/5)+1&gt;CROQUIS_DATOS!$C$1525,5,MOD($A79-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0">
      <c r="A80" t="n">
        <v>73</v>
      </c>
      <c r="N80">
        <f>IF(AND(CROQUIS_DATOS!$C$1472=1,1),(CROQUIS_DATOS!$C$1563+(IF(IF(IF(INT(($A80-1)/70)+1&gt;CROQUIS_DATOS!$C$1525,70,MOD($A80-1,70)+1)=1,0,IF(IF(INT(($A80-1)/70)+1&gt;CROQUIS_DATOS!$C$1525,70,MOD($A80-1,70)+1)&gt;2*CROQUIS_DATOS!$C$1541+1,IF(MOD(CROQUIS_DATOS!$C$1541,2)=1,1,0),IF(MOD(MIN(INT((IF(INT(($A80-1)/70)+1&gt;CROQUIS_DATOS!$C$1525,70,MOD($A80-1,70)+1)-2)/2)+1,CROQUIS_DATOS!$C$1541),2)=1,IF(MOD(IF(INT(($A80-1)/70)+1&gt;CROQUIS_DATOS!$C$1525,70,MOD($A80-1,70)+1)-2,2)=0,0,1),IF(MOD(IF(INT(($A80-1)/70)+1&gt;CROQUIS_DATOS!$C$1525,70,MOD($A80-1,70)+1)-2,2)=0,1,0))))=0,(INDEX($E$8:$E$23,MIN(INT(($A80-1)/70)+1,CROQUIS_DATOS!$C$1525))-INDEX($F$8:$F$23,MIN(INT(($A80-1)/70)+1,CROQUIS_DATOS!$C$1525))/2),(INDEX($E$8:$E$23,MIN(INT(($A80-1)/70)+1,CROQUIS_DATOS!$C$1525))+INDEX($F$8:$F$23,MIN(INT(($A80-1)/70)+1,CROQUIS_DATOS!$C$1525))/2)))*CROQUIS_DATOS!$C$1562),-1000)</f>
        <v>20.6724137931034</v>
      </c>
      <c r="O80">
        <f>IF(AND(CROQUIS_DATOS!$C$1472=1,1),(CROQUIS_DATOS!$C$1564+(IF(OR(IF(INT(($A80-1)/70)+1&gt;CROQUIS_DATOS!$C$1525,70,MOD($A80-1,70)+1)=1,IF(INT(($A80-1)/70)+1&gt;CROQUIS_DATOS!$C$1525,70,MOD($A80-1,70)+1)&gt;2*CROQUIS_DATOS!$C$1541+1),CROQUIS_DATOS!$C$1476,INDEX($H$8:$H$41,MIN(INT((IF(INT(($A80-1)/70)+1&gt;CROQUIS_DATOS!$C$1525,70,MOD($A80-1,70)+1)-2)/2)+1,CROQUIS_DATOS!$C$1541))))*CROQUIS_DATOS!$C$1561*CROQUIS_DATOS!$C$1562),-1000)</f>
        <v>6.34051724137931</v>
      </c>
      <c r="P80">
        <f>IF(AND(CROQUIS_DATOS!$C$1472=1,CROQUIS_DATOS!$C$1555=1),(CROQUIS_DATOS!$C$1563+(IF(IF(OR(MOD($A80-1,62)+1=1,IF(CHOOSE(MIN(MAX(MIN(INT(($A80-1)/62)+1,5),1),5),CROQUIS_DATOS!$C$1501,CROQUIS_DATOS!$C$1505,CROQUIS_DATOS!$C$1509,CROQUIS_DATOS!$C$1513,CROQUIS_DATOS!$C$1517)=1,CROQUIS_DATOS!$C$1557,0)=0),0,IF(MOD($A80-1,62)+1&gt;2*IF(CHOOSE(MIN(MAX(MIN(INT(($A80-1)/62)+1,5),1),5),CROQUIS_DATOS!$C$1501,CROQUIS_DATOS!$C$1505,CROQUIS_DATOS!$C$1509,CROQUIS_DATOS!$C$1513,CROQUIS_DATOS!$C$1517)=1,CROQUIS_DATOS!$C$1557,0)+1,IF(MOD(IF(CHOOSE(MIN(MAX(MIN(INT(($A80-1)/62)+1,5),1),5),CROQUIS_DATOS!$C$1501,CROQUIS_DATOS!$C$1505,CROQUIS_DATOS!$C$1509,CROQUIS_DATOS!$C$1513,CROQUIS_DATOS!$C$1517)=1,CROQUIS_DATOS!$C$1557,0),2)=1,1,0),IF(MOD(MIN(INT((MOD($A80-1,62)+1-2)/2)+1,MAX(IF(CHOOSE(MIN(MAX(MIN(INT(($A80-1)/62)+1,5),1),5),CROQUIS_DATOS!$C$1501,CROQUIS_DATOS!$C$1505,CROQUIS_DATOS!$C$1509,CROQUIS_DATOS!$C$1513,CROQUIS_DATOS!$C$1517)=1,CROQUIS_DATOS!$C$1557,0),1)),2)=1,IF(MOD(MOD($A80-1,62)+1-2,2)=0,0,1),IF(MOD(MOD($A80-1,62)+1-2,2)=0,1,0))))=0,(CHOOSE(MIN(MAX(MIN(INT(($A80-1)/62)+1,5),1),5),CROQUIS_DATOS!$C$1499,CROQUIS_DATOS!$C$1503,CROQUIS_DATOS!$C$1507,CROQUIS_DATOS!$C$1511,CROQUIS_DATOS!$C$1515)+IF(CHOOSE(MIN(MAX(MIN(INT(($A80-1)/62)+1,5),1),5),CROQUIS_DATOS!$C$1501,CROQUIS_DATOS!$C$1505,CROQUIS_DATOS!$C$1509,CROQUIS_DATOS!$C$1513,CROQUIS_DATOS!$C$1517)=1,CROQUIS_DATOS!$C$1526,0)),(CHOOSE(MIN(MAX(MIN(INT(($A80-1)/62)+1,5),1),5),CROQUIS_DATOS!$C$1499,CROQUIS_DATOS!$C$1503,CROQUIS_DATOS!$C$1507,CROQUIS_DATOS!$C$1511,CROQUIS_DATOS!$C$1515)+CHOOSE(MIN(MAX(MIN(INT(($A80-1)/62)+1,5),1),5),CROQUIS_DATOS!$C$1500,CROQUIS_DATOS!$C$1504,CROQUIS_DATOS!$C$1508,CROQUIS_DATOS!$C$1512,CROQUIS_DATOS!$C$1516)-IF(CHOOSE(MIN(MAX(MIN(INT(($A80-1)/62)+1,5),1),5),CROQUIS_DATOS!$C$1501,CROQUIS_DATOS!$C$1505,CROQUIS_DATOS!$C$1509,CROQUIS_DATOS!$C$1513,CROQUIS_DATOS!$C$1517)=1,CROQUIS_DATOS!$C$1526,0))))*CROQUIS_DATOS!$C$1562),-1000)</f>
        <v>-1000</v>
      </c>
      <c r="Q80">
        <f>IF(AND(CROQUIS_DATOS!$C$1472=1,CROQUIS_DATOS!$C$1555=1),(CROQUIS_DATOS!$C$1564+(IF(OR(OR(MOD($A80-1,62)+1=1,IF(CHOOSE(MIN(MAX(MIN(INT(($A80-1)/62)+1,5),1),5),CROQUIS_DATOS!$C$1501,CROQUIS_DATOS!$C$1505,CROQUIS_DATOS!$C$1509,CROQUIS_DATOS!$C$1513,CROQUIS_DATOS!$C$1517)=1,CROQUIS_DATOS!$C$1557,0)=0),MOD($A80-1,62)+1&gt;2*IF(CHOOSE(MIN(MAX(MIN(INT(($A80-1)/62)+1,5),1),5),CROQUIS_DATOS!$C$1501,CROQUIS_DATOS!$C$1505,CROQUIS_DATOS!$C$1509,CROQUIS_DATOS!$C$1513,CROQUIS_DATOS!$C$1517)=1,CROQUIS_DATOS!$C$1557,0)+1),CROQUIS_DATOS!$C$1476,MIN(INT((MOD($A80-1,62)+1-2)/2)+1,MAX(IF(CHOOSE(MIN(MAX(MIN(INT(($A80-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0">
        <f>IF(AND(CROQUIS_DATOS!$C$1472=1,1),(CROQUIS_DATOS!$C$1563+(MIN(INT(($A80-1)/2)+1,CROQUIS_DATOS!$C$1558)*CROQUIS_DATOS!$C$1559)*CROQUIS_DATOS!$C$1562),-1000)</f>
        <v>82.2281167108753</v>
      </c>
      <c r="U80">
        <f>IF(AND(CROQUIS_DATOS!$C$1472=1,1),(CROQUIS_DATOS!$C$1564+(IF(INT(($A80-1)/2)+1&gt;CROQUIS_DATOS!$C$1558,IF(MOD(CROQUIS_DATOS!$C$1558,2)=1,CROQUIS_DATOS!$C$1476+CROQUIS_DATOS!$C$1528,CROQUIS_DATOS!$C$1476),IF(IF(MOD(MIN(INT(($A80-1)/2)+1,CROQUIS_DATOS!$C$1558),2)=1,MOD($A80-1,2),1-MOD($A80-1,2))=1,CROQUIS_DATOS!$C$1476+CROQUIS_DATOS!$C$1528,CROQUIS_DATOS!$C$1476)))*CROQUIS_DATOS!$C$1561*CROQUIS_DATOS!$C$1562),-1000)</f>
        <v>43</v>
      </c>
      <c r="BZ80">
        <f>IF(AND(CROQUIS_DATOS!$C$1472=1,CROQUIS_DATOS!$C$1500&gt;0,((CROQUIS_DATOS!$C$1499+CROQUIS_DATOS!$C$1500))-(CROQUIS_DATOS!$C$1499)&gt;0.5,(CROQUIS_DATOS!$C$1476)-(0)&gt;0.5),(CROQUIS_DATOS!$C$1566+(IF(IF(MOD(MIN(INT(($A80-1)/2)+1,MAX(1,INT(((((CROQUIS_DATOS!$C$1499+CROQUIS_DATOS!$C$1500))-(CROQUIS_DATOS!$C$1499))+((CROQUIS_DATOS!$C$1476)*CROQUIS_DATOS!$C$1561-(0)*CROQUIS_DATOS!$C$1561))/CROQUIS_DATOS!$C$1568-0.000001))),2)=1,IF(INT(($A80-1)/2)+1&gt;MAX(1,INT(((((CROQUIS_DATOS!$C$1499+CROQUIS_DATOS!$C$1500))-(CROQUIS_DATOS!$C$1499))+((CROQUIS_DATOS!$C$1476)*CROQUIS_DATOS!$C$1561-(0)*CROQUIS_DATOS!$C$1561))/CROQUIS_DATOS!$C$1568-0.000001)),1,MOD($A80-1,2)),1-IF(INT(($A80-1)/2)+1&gt;MAX(1,INT(((((CROQUIS_DATOS!$C$1499+CROQUIS_DATOS!$C$1500))-(CROQUIS_DATOS!$C$1499))+((CROQUIS_DATOS!$C$1476)*CROQUIS_DATOS!$C$1561-(0)*CROQUIS_DATOS!$C$1561))/CROQUIS_DATOS!$C$1568-0.000001)),1,MOD($A80-1,2)))=1,MIN((CROQUIS_DATOS!$C$1476)*CROQUIS_DATOS!$C$1561,((CROQUIS_DATOS!$C$1499+CROQUIS_DATOS!$C$1500)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0">
        <f>IF(AND(CROQUIS_DATOS!$C$1472=1,CROQUIS_DATOS!$C$1500&gt;0,((CROQUIS_DATOS!$C$1499+CROQUIS_DATOS!$C$1500))-(CROQUIS_DATOS!$C$1499)&gt;0.5,(CROQUIS_DATOS!$C$1476)-(0)&gt;0.5),(CROQUIS_DATOS!$C$1567+(IF(IF(MOD(MIN(INT(($A80-1)/2)+1,MAX(1,INT(((((CROQUIS_DATOS!$C$1499+CROQUIS_DATOS!$C$1500))-(CROQUIS_DATOS!$C$1499))+((CROQUIS_DATOS!$C$1476)*CROQUIS_DATOS!$C$1561-(0)*CROQUIS_DATOS!$C$1561))/CROQUIS_DATOS!$C$1568-0.000001))),2)=1,IF(INT(($A80-1)/2)+1&gt;MAX(1,INT(((((CROQUIS_DATOS!$C$1499+CROQUIS_DATOS!$C$1500))-(CROQUIS_DATOS!$C$1499))+((CROQUIS_DATOS!$C$1476)*CROQUIS_DATOS!$C$1561-(0)*CROQUIS_DATOS!$C$1561))/CROQUIS_DATOS!$C$1568-0.000001)),1,MOD($A80-1,2)),1-IF(INT(($A80-1)/2)+1&gt;MAX(1,INT(((((CROQUIS_DATOS!$C$1499+CROQUIS_DATOS!$C$1500))-(CROQUIS_DATOS!$C$1499))+((CROQUIS_DATOS!$C$1476)*CROQUIS_DATOS!$C$1561-(0)*CROQUIS_DATOS!$C$1561))/CROQUIS_DATOS!$C$1568-0.000001)),1,MOD($A80-1,2)))=1,MIN((CROQUIS_DATOS!$C$1476)*CROQUIS_DATOS!$C$1561,((CROQUIS_DATOS!$C$1499+CROQUIS_DATOS!$C$1500)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0">
        <f>IF(AND(CROQUIS_DATOS!$C$1472=1,CROQUIS_DATOS!$C$1504&gt;0,((CROQUIS_DATOS!$C$1503+CROQUIS_DATOS!$C$1504))-(CROQUIS_DATOS!$C$1503)&gt;0.5,(CROQUIS_DATOS!$C$1476)-(0)&gt;0.5),(CROQUIS_DATOS!$C$1566+(IF(IF(MOD(MIN(INT(($A80-1)/2)+1,MAX(1,INT(((((CROQUIS_DATOS!$C$1503+CROQUIS_DATOS!$C$1504))-(CROQUIS_DATOS!$C$1503))+((CROQUIS_DATOS!$C$1476)*CROQUIS_DATOS!$C$1561-(0)*CROQUIS_DATOS!$C$1561))/CROQUIS_DATOS!$C$1568-0.000001))),2)=1,IF(INT(($A80-1)/2)+1&gt;MAX(1,INT(((((CROQUIS_DATOS!$C$1503+CROQUIS_DATOS!$C$1504))-(CROQUIS_DATOS!$C$1503))+((CROQUIS_DATOS!$C$1476)*CROQUIS_DATOS!$C$1561-(0)*CROQUIS_DATOS!$C$1561))/CROQUIS_DATOS!$C$1568-0.000001)),1,MOD($A80-1,2)),1-IF(INT(($A80-1)/2)+1&gt;MAX(1,INT(((((CROQUIS_DATOS!$C$1503+CROQUIS_DATOS!$C$1504))-(CROQUIS_DATOS!$C$1503))+((CROQUIS_DATOS!$C$1476)*CROQUIS_DATOS!$C$1561-(0)*CROQUIS_DATOS!$C$1561))/CROQUIS_DATOS!$C$1568-0.000001)),1,MOD($A80-1,2)))=1,MIN((CROQUIS_DATOS!$C$1476)*CROQUIS_DATOS!$C$1561,((CROQUIS_DATOS!$C$1503+CROQUIS_DATOS!$C$1504)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0">
        <f>IF(AND(CROQUIS_DATOS!$C$1472=1,CROQUIS_DATOS!$C$1504&gt;0,((CROQUIS_DATOS!$C$1503+CROQUIS_DATOS!$C$1504))-(CROQUIS_DATOS!$C$1503)&gt;0.5,(CROQUIS_DATOS!$C$1476)-(0)&gt;0.5),(CROQUIS_DATOS!$C$1567+(IF(IF(MOD(MIN(INT(($A80-1)/2)+1,MAX(1,INT(((((CROQUIS_DATOS!$C$1503+CROQUIS_DATOS!$C$1504))-(CROQUIS_DATOS!$C$1503))+((CROQUIS_DATOS!$C$1476)*CROQUIS_DATOS!$C$1561-(0)*CROQUIS_DATOS!$C$1561))/CROQUIS_DATOS!$C$1568-0.000001))),2)=1,IF(INT(($A80-1)/2)+1&gt;MAX(1,INT(((((CROQUIS_DATOS!$C$1503+CROQUIS_DATOS!$C$1504))-(CROQUIS_DATOS!$C$1503))+((CROQUIS_DATOS!$C$1476)*CROQUIS_DATOS!$C$1561-(0)*CROQUIS_DATOS!$C$1561))/CROQUIS_DATOS!$C$1568-0.000001)),1,MOD($A80-1,2)),1-IF(INT(($A80-1)/2)+1&gt;MAX(1,INT(((((CROQUIS_DATOS!$C$1503+CROQUIS_DATOS!$C$1504))-(CROQUIS_DATOS!$C$1503))+((CROQUIS_DATOS!$C$1476)*CROQUIS_DATOS!$C$1561-(0)*CROQUIS_DATOS!$C$1561))/CROQUIS_DATOS!$C$1568-0.000001)),1,MOD($A80-1,2)))=1,MIN((CROQUIS_DATOS!$C$1476)*CROQUIS_DATOS!$C$1561,((CROQUIS_DATOS!$C$1503+CROQUIS_DATOS!$C$1504)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0">
        <f>IF(AND(CROQUIS_DATOS!$C$1472=1,CROQUIS_DATOS!$C$1508&gt;0,((CROQUIS_DATOS!$C$1507+CROQUIS_DATOS!$C$1508))-(CROQUIS_DATOS!$C$1507)&gt;0.5,(CROQUIS_DATOS!$C$1476)-(0)&gt;0.5),(CROQUIS_DATOS!$C$1566+(IF(IF(MOD(MIN(INT(($A80-1)/2)+1,MAX(1,INT(((((CROQUIS_DATOS!$C$1507+CROQUIS_DATOS!$C$1508))-(CROQUIS_DATOS!$C$1507))+((CROQUIS_DATOS!$C$1476)*CROQUIS_DATOS!$C$1561-(0)*CROQUIS_DATOS!$C$1561))/CROQUIS_DATOS!$C$1568-0.000001))),2)=1,IF(INT(($A80-1)/2)+1&gt;MAX(1,INT(((((CROQUIS_DATOS!$C$1507+CROQUIS_DATOS!$C$1508))-(CROQUIS_DATOS!$C$1507))+((CROQUIS_DATOS!$C$1476)*CROQUIS_DATOS!$C$1561-(0)*CROQUIS_DATOS!$C$1561))/CROQUIS_DATOS!$C$1568-0.000001)),1,MOD($A80-1,2)),1-IF(INT(($A80-1)/2)+1&gt;MAX(1,INT(((((CROQUIS_DATOS!$C$1507+CROQUIS_DATOS!$C$1508))-(CROQUIS_DATOS!$C$1507))+((CROQUIS_DATOS!$C$1476)*CROQUIS_DATOS!$C$1561-(0)*CROQUIS_DATOS!$C$1561))/CROQUIS_DATOS!$C$1568-0.000001)),1,MOD($A80-1,2)))=1,MIN((CROQUIS_DATOS!$C$1476)*CROQUIS_DATOS!$C$1561,((CROQUIS_DATOS!$C$1507+CROQUIS_DATOS!$C$1508)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0">
        <f>IF(AND(CROQUIS_DATOS!$C$1472=1,CROQUIS_DATOS!$C$1508&gt;0,((CROQUIS_DATOS!$C$1507+CROQUIS_DATOS!$C$1508))-(CROQUIS_DATOS!$C$1507)&gt;0.5,(CROQUIS_DATOS!$C$1476)-(0)&gt;0.5),(CROQUIS_DATOS!$C$1567+(IF(IF(MOD(MIN(INT(($A80-1)/2)+1,MAX(1,INT(((((CROQUIS_DATOS!$C$1507+CROQUIS_DATOS!$C$1508))-(CROQUIS_DATOS!$C$1507))+((CROQUIS_DATOS!$C$1476)*CROQUIS_DATOS!$C$1561-(0)*CROQUIS_DATOS!$C$1561))/CROQUIS_DATOS!$C$1568-0.000001))),2)=1,IF(INT(($A80-1)/2)+1&gt;MAX(1,INT(((((CROQUIS_DATOS!$C$1507+CROQUIS_DATOS!$C$1508))-(CROQUIS_DATOS!$C$1507))+((CROQUIS_DATOS!$C$1476)*CROQUIS_DATOS!$C$1561-(0)*CROQUIS_DATOS!$C$1561))/CROQUIS_DATOS!$C$1568-0.000001)),1,MOD($A80-1,2)),1-IF(INT(($A80-1)/2)+1&gt;MAX(1,INT(((((CROQUIS_DATOS!$C$1507+CROQUIS_DATOS!$C$1508))-(CROQUIS_DATOS!$C$1507))+((CROQUIS_DATOS!$C$1476)*CROQUIS_DATOS!$C$1561-(0)*CROQUIS_DATOS!$C$1561))/CROQUIS_DATOS!$C$1568-0.000001)),1,MOD($A80-1,2)))=1,MIN((CROQUIS_DATOS!$C$1476)*CROQUIS_DATOS!$C$1561,((CROQUIS_DATOS!$C$1507+CROQUIS_DATOS!$C$1508)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0">
        <f>IF(AND(CROQUIS_DATOS!$C$1472=1,CROQUIS_DATOS!$C$1512&gt;0,((CROQUIS_DATOS!$C$1511+CROQUIS_DATOS!$C$1512))-(CROQUIS_DATOS!$C$1511)&gt;0.5,(CROQUIS_DATOS!$C$1476)-(0)&gt;0.5),(CROQUIS_DATOS!$C$1566+(IF(IF(MOD(MIN(INT(($A80-1)/2)+1,MAX(1,INT(((((CROQUIS_DATOS!$C$1511+CROQUIS_DATOS!$C$1512))-(CROQUIS_DATOS!$C$1511))+((CROQUIS_DATOS!$C$1476)*CROQUIS_DATOS!$C$1561-(0)*CROQUIS_DATOS!$C$1561))/CROQUIS_DATOS!$C$1568-0.000001))),2)=1,IF(INT(($A80-1)/2)+1&gt;MAX(1,INT(((((CROQUIS_DATOS!$C$1511+CROQUIS_DATOS!$C$1512))-(CROQUIS_DATOS!$C$1511))+((CROQUIS_DATOS!$C$1476)*CROQUIS_DATOS!$C$1561-(0)*CROQUIS_DATOS!$C$1561))/CROQUIS_DATOS!$C$1568-0.000001)),1,MOD($A80-1,2)),1-IF(INT(($A80-1)/2)+1&gt;MAX(1,INT(((((CROQUIS_DATOS!$C$1511+CROQUIS_DATOS!$C$1512))-(CROQUIS_DATOS!$C$1511))+((CROQUIS_DATOS!$C$1476)*CROQUIS_DATOS!$C$1561-(0)*CROQUIS_DATOS!$C$1561))/CROQUIS_DATOS!$C$1568-0.000001)),1,MOD($A80-1,2)))=1,MIN((CROQUIS_DATOS!$C$1476)*CROQUIS_DATOS!$C$1561,((CROQUIS_DATOS!$C$1511+CROQUIS_DATOS!$C$1512)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0">
        <f>IF(AND(CROQUIS_DATOS!$C$1472=1,CROQUIS_DATOS!$C$1512&gt;0,((CROQUIS_DATOS!$C$1511+CROQUIS_DATOS!$C$1512))-(CROQUIS_DATOS!$C$1511)&gt;0.5,(CROQUIS_DATOS!$C$1476)-(0)&gt;0.5),(CROQUIS_DATOS!$C$1567+(IF(IF(MOD(MIN(INT(($A80-1)/2)+1,MAX(1,INT(((((CROQUIS_DATOS!$C$1511+CROQUIS_DATOS!$C$1512))-(CROQUIS_DATOS!$C$1511))+((CROQUIS_DATOS!$C$1476)*CROQUIS_DATOS!$C$1561-(0)*CROQUIS_DATOS!$C$1561))/CROQUIS_DATOS!$C$1568-0.000001))),2)=1,IF(INT(($A80-1)/2)+1&gt;MAX(1,INT(((((CROQUIS_DATOS!$C$1511+CROQUIS_DATOS!$C$1512))-(CROQUIS_DATOS!$C$1511))+((CROQUIS_DATOS!$C$1476)*CROQUIS_DATOS!$C$1561-(0)*CROQUIS_DATOS!$C$1561))/CROQUIS_DATOS!$C$1568-0.000001)),1,MOD($A80-1,2)),1-IF(INT(($A80-1)/2)+1&gt;MAX(1,INT(((((CROQUIS_DATOS!$C$1511+CROQUIS_DATOS!$C$1512))-(CROQUIS_DATOS!$C$1511))+((CROQUIS_DATOS!$C$1476)*CROQUIS_DATOS!$C$1561-(0)*CROQUIS_DATOS!$C$1561))/CROQUIS_DATOS!$C$1568-0.000001)),1,MOD($A80-1,2)))=1,MIN((CROQUIS_DATOS!$C$1476)*CROQUIS_DATOS!$C$1561,((CROQUIS_DATOS!$C$1511+CROQUIS_DATOS!$C$1512)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0">
        <f>IF(AND(CROQUIS_DATOS!$C$1472=1,CROQUIS_DATOS!$C$1516&gt;0,((CROQUIS_DATOS!$C$1515+CROQUIS_DATOS!$C$1516))-(CROQUIS_DATOS!$C$1515)&gt;0.5,(CROQUIS_DATOS!$C$1476)-(0)&gt;0.5),(CROQUIS_DATOS!$C$1566+(IF(IF(MOD(MIN(INT(($A80-1)/2)+1,MAX(1,INT(((((CROQUIS_DATOS!$C$1515+CROQUIS_DATOS!$C$1516))-(CROQUIS_DATOS!$C$1515))+((CROQUIS_DATOS!$C$1476)*CROQUIS_DATOS!$C$1561-(0)*CROQUIS_DATOS!$C$1561))/CROQUIS_DATOS!$C$1568-0.000001))),2)=1,IF(INT(($A80-1)/2)+1&gt;MAX(1,INT(((((CROQUIS_DATOS!$C$1515+CROQUIS_DATOS!$C$1516))-(CROQUIS_DATOS!$C$1515))+((CROQUIS_DATOS!$C$1476)*CROQUIS_DATOS!$C$1561-(0)*CROQUIS_DATOS!$C$1561))/CROQUIS_DATOS!$C$1568-0.000001)),1,MOD($A80-1,2)),1-IF(INT(($A80-1)/2)+1&gt;MAX(1,INT(((((CROQUIS_DATOS!$C$1515+CROQUIS_DATOS!$C$1516))-(CROQUIS_DATOS!$C$1515))+((CROQUIS_DATOS!$C$1476)*CROQUIS_DATOS!$C$1561-(0)*CROQUIS_DATOS!$C$1561))/CROQUIS_DATOS!$C$1568-0.000001)),1,MOD($A80-1,2)))=1,MIN((CROQUIS_DATOS!$C$1476)*CROQUIS_DATOS!$C$1561,((CROQUIS_DATOS!$C$1515+CROQUIS_DATOS!$C$1516)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0">
        <f>IF(AND(CROQUIS_DATOS!$C$1472=1,CROQUIS_DATOS!$C$1516&gt;0,((CROQUIS_DATOS!$C$1515+CROQUIS_DATOS!$C$1516))-(CROQUIS_DATOS!$C$1515)&gt;0.5,(CROQUIS_DATOS!$C$1476)-(0)&gt;0.5),(CROQUIS_DATOS!$C$1567+(IF(IF(MOD(MIN(INT(($A80-1)/2)+1,MAX(1,INT(((((CROQUIS_DATOS!$C$1515+CROQUIS_DATOS!$C$1516))-(CROQUIS_DATOS!$C$1515))+((CROQUIS_DATOS!$C$1476)*CROQUIS_DATOS!$C$1561-(0)*CROQUIS_DATOS!$C$1561))/CROQUIS_DATOS!$C$1568-0.000001))),2)=1,IF(INT(($A80-1)/2)+1&gt;MAX(1,INT(((((CROQUIS_DATOS!$C$1515+CROQUIS_DATOS!$C$1516))-(CROQUIS_DATOS!$C$1515))+((CROQUIS_DATOS!$C$1476)*CROQUIS_DATOS!$C$1561-(0)*CROQUIS_DATOS!$C$1561))/CROQUIS_DATOS!$C$1568-0.000001)),1,MOD($A80-1,2)),1-IF(INT(($A80-1)/2)+1&gt;MAX(1,INT(((((CROQUIS_DATOS!$C$1515+CROQUIS_DATOS!$C$1516))-(CROQUIS_DATOS!$C$1515))+((CROQUIS_DATOS!$C$1476)*CROQUIS_DATOS!$C$1561-(0)*CROQUIS_DATOS!$C$1561))/CROQUIS_DATOS!$C$1568-0.000001)),1,MOD($A80-1,2)))=1,MIN((CROQUIS_DATOS!$C$1476)*CROQUIS_DATOS!$C$1561,((CROQUIS_DATOS!$C$1515+CROQUIS_DATOS!$C$1516)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0">
        <f>IF(AND(CROQUIS_DATOS!$C$1472=1,CROQUIS_DATOS!$C$1478&gt;=1,((CROQUIS_DATOS!$C$1479+CROQUIS_DATOS!$C$1480))-(CROQUIS_DATOS!$C$1479)&gt;0.5,(CROQUIS_DATOS!$C$1481)-(0)&gt;0.5),(CROQUIS_DATOS!$C$1566+(IF(IF(MOD(MIN(INT(($A80-1)/2)+1,MAX(1,INT(((((CROQUIS_DATOS!$C$1479+CROQUIS_DATOS!$C$1480))-(CROQUIS_DATOS!$C$1479))+((CROQUIS_DATOS!$C$1481)*CROQUIS_DATOS!$C$1561-(0)*CROQUIS_DATOS!$C$1561))/CROQUIS_DATOS!$C$1568-0.000001))),2)=1,IF(INT(($A80-1)/2)+1&gt;MAX(1,INT(((((CROQUIS_DATOS!$C$1479+CROQUIS_DATOS!$C$1480))-(CROQUIS_DATOS!$C$1479))+((CROQUIS_DATOS!$C$1481)*CROQUIS_DATOS!$C$1561-(0)*CROQUIS_DATOS!$C$1561))/CROQUIS_DATOS!$C$1568-0.000001)),1,MOD($A80-1,2)),1-IF(INT(($A80-1)/2)+1&gt;MAX(1,INT(((((CROQUIS_DATOS!$C$1479+CROQUIS_DATOS!$C$1480))-(CROQUIS_DATOS!$C$1479))+((CROQUIS_DATOS!$C$1481)*CROQUIS_DATOS!$C$1561-(0)*CROQUIS_DATOS!$C$1561))/CROQUIS_DATOS!$C$1568-0.000001)),1,MOD($A80-1,2)))=1,MIN((CROQUIS_DATOS!$C$1481)*CROQUIS_DATOS!$C$1561,((CROQUIS_DATOS!$C$1479+CROQUIS_DATOS!$C$1480)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0">
        <f>IF(AND(CROQUIS_DATOS!$C$1472=1,CROQUIS_DATOS!$C$1478&gt;=1,((CROQUIS_DATOS!$C$1479+CROQUIS_DATOS!$C$1480))-(CROQUIS_DATOS!$C$1479)&gt;0.5,(CROQUIS_DATOS!$C$1481)-(0)&gt;0.5),(CROQUIS_DATOS!$C$1567+(IF(IF(MOD(MIN(INT(($A80-1)/2)+1,MAX(1,INT(((((CROQUIS_DATOS!$C$1479+CROQUIS_DATOS!$C$1480))-(CROQUIS_DATOS!$C$1479))+((CROQUIS_DATOS!$C$1481)*CROQUIS_DATOS!$C$1561-(0)*CROQUIS_DATOS!$C$1561))/CROQUIS_DATOS!$C$1568-0.000001))),2)=1,IF(INT(($A80-1)/2)+1&gt;MAX(1,INT(((((CROQUIS_DATOS!$C$1479+CROQUIS_DATOS!$C$1480))-(CROQUIS_DATOS!$C$1479))+((CROQUIS_DATOS!$C$1481)*CROQUIS_DATOS!$C$1561-(0)*CROQUIS_DATOS!$C$1561))/CROQUIS_DATOS!$C$1568-0.000001)),1,MOD($A80-1,2)),1-IF(INT(($A80-1)/2)+1&gt;MAX(1,INT(((((CROQUIS_DATOS!$C$1479+CROQUIS_DATOS!$C$1480))-(CROQUIS_DATOS!$C$1479))+((CROQUIS_DATOS!$C$1481)*CROQUIS_DATOS!$C$1561-(0)*CROQUIS_DATOS!$C$1561))/CROQUIS_DATOS!$C$1568-0.000001)),1,MOD($A80-1,2)))=1,MIN((CROQUIS_DATOS!$C$1481)*CROQUIS_DATOS!$C$1561,((CROQUIS_DATOS!$C$1479+CROQUIS_DATOS!$C$1480)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0">
        <f>IF(AND(CROQUIS_DATOS!$C$1472=1,CROQUIS_DATOS!$C$1478&gt;=1,((CROQUIS_DATOS!$C$1479+CROQUIS_DATOS!$C$1480))-(CROQUIS_DATOS!$C$1479)&gt;0.5,(CROQUIS_DATOS!$C$1476)-((CROQUIS_DATOS!$C$1481+CROQUIS_DATOS!$C$1482))&gt;0.5),(CROQUIS_DATOS!$C$1566+(IF(IF(MOD(MIN(INT(($A80-1)/2)+1,MAX(1,INT(((((CROQUIS_DATOS!$C$1479+CROQUIS_DATOS!$C$1480))-(CROQUIS_DATOS!$C$1479))+((CROQUIS_DATOS!$C$1476)*CROQUIS_DATOS!$C$1561-((CROQUIS_DATOS!$C$1481+CROQUIS_DATOS!$C$1482))*CROQUIS_DATOS!$C$1561))/CROQUIS_DATOS!$C$1568-0.000001))),2)=1,IF(INT(($A80-1)/2)+1&gt;MAX(1,INT(((((CROQUIS_DATOS!$C$1479+CROQUIS_DATOS!$C$1480))-(CROQUIS_DATOS!$C$1479))+((CROQUIS_DATOS!$C$1476)*CROQUIS_DATOS!$C$1561-((CROQUIS_DATOS!$C$1481+CROQUIS_DATOS!$C$1482))*CROQUIS_DATOS!$C$1561))/CROQUIS_DATOS!$C$1568-0.000001)),1,MOD($A80-1,2)),1-IF(INT(($A80-1)/2)+1&gt;MAX(1,INT(((((CROQUIS_DATOS!$C$1479+CROQUIS_DATOS!$C$1480))-(CROQUIS_DATOS!$C$1479))+((CROQUIS_DATOS!$C$1476)*CROQUIS_DATOS!$C$1561-((CROQUIS_DATOS!$C$1481+CROQUIS_DATOS!$C$1482))*CROQUIS_DATOS!$C$1561))/CROQUIS_DATOS!$C$1568-0.000001)),1,MOD($A80-1,2)))=1,MIN((CROQUIS_DATOS!$C$1476)*CROQUIS_DATOS!$C$1561,((CROQUIS_DATOS!$C$1479+CROQUIS_DATOS!$C$1480)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0">
        <f>IF(AND(CROQUIS_DATOS!$C$1472=1,CROQUIS_DATOS!$C$1478&gt;=1,((CROQUIS_DATOS!$C$1479+CROQUIS_DATOS!$C$1480))-(CROQUIS_DATOS!$C$1479)&gt;0.5,(CROQUIS_DATOS!$C$1476)-((CROQUIS_DATOS!$C$1481+CROQUIS_DATOS!$C$1482))&gt;0.5),(CROQUIS_DATOS!$C$1567+(IF(IF(MOD(MIN(INT(($A80-1)/2)+1,MAX(1,INT(((((CROQUIS_DATOS!$C$1479+CROQUIS_DATOS!$C$1480))-(CROQUIS_DATOS!$C$1479))+((CROQUIS_DATOS!$C$1476)*CROQUIS_DATOS!$C$1561-((CROQUIS_DATOS!$C$1481+CROQUIS_DATOS!$C$1482))*CROQUIS_DATOS!$C$1561))/CROQUIS_DATOS!$C$1568-0.000001))),2)=1,IF(INT(($A80-1)/2)+1&gt;MAX(1,INT(((((CROQUIS_DATOS!$C$1479+CROQUIS_DATOS!$C$1480))-(CROQUIS_DATOS!$C$1479))+((CROQUIS_DATOS!$C$1476)*CROQUIS_DATOS!$C$1561-((CROQUIS_DATOS!$C$1481+CROQUIS_DATOS!$C$1482))*CROQUIS_DATOS!$C$1561))/CROQUIS_DATOS!$C$1568-0.000001)),1,MOD($A80-1,2)),1-IF(INT(($A80-1)/2)+1&gt;MAX(1,INT(((((CROQUIS_DATOS!$C$1479+CROQUIS_DATOS!$C$1480))-(CROQUIS_DATOS!$C$1479))+((CROQUIS_DATOS!$C$1476)*CROQUIS_DATOS!$C$1561-((CROQUIS_DATOS!$C$1481+CROQUIS_DATOS!$C$1482))*CROQUIS_DATOS!$C$1561))/CROQUIS_DATOS!$C$1568-0.000001)),1,MOD($A80-1,2)))=1,MIN((CROQUIS_DATOS!$C$1476)*CROQUIS_DATOS!$C$1561,((CROQUIS_DATOS!$C$1479+CROQUIS_DATOS!$C$1480)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0">
        <f>IF(AND(CROQUIS_DATOS!$C$1472=1,CROQUIS_DATOS!$C$1478&gt;=2,((CROQUIS_DATOS!$C$1484+CROQUIS_DATOS!$C$1485))-(CROQUIS_DATOS!$C$1484)&gt;0.5,(CROQUIS_DATOS!$C$1486)-(0)&gt;0.5),(CROQUIS_DATOS!$C$1566+(IF(IF(MOD(MIN(INT(($A80-1)/2)+1,MAX(1,INT(((((CROQUIS_DATOS!$C$1484+CROQUIS_DATOS!$C$1485))-(CROQUIS_DATOS!$C$1484))+((CROQUIS_DATOS!$C$1486)*CROQUIS_DATOS!$C$1561-(0)*CROQUIS_DATOS!$C$1561))/CROQUIS_DATOS!$C$1568-0.000001))),2)=1,IF(INT(($A80-1)/2)+1&gt;MAX(1,INT(((((CROQUIS_DATOS!$C$1484+CROQUIS_DATOS!$C$1485))-(CROQUIS_DATOS!$C$1484))+((CROQUIS_DATOS!$C$1486)*CROQUIS_DATOS!$C$1561-(0)*CROQUIS_DATOS!$C$1561))/CROQUIS_DATOS!$C$1568-0.000001)),1,MOD($A80-1,2)),1-IF(INT(($A80-1)/2)+1&gt;MAX(1,INT(((((CROQUIS_DATOS!$C$1484+CROQUIS_DATOS!$C$1485))-(CROQUIS_DATOS!$C$1484))+((CROQUIS_DATOS!$C$1486)*CROQUIS_DATOS!$C$1561-(0)*CROQUIS_DATOS!$C$1561))/CROQUIS_DATOS!$C$1568-0.000001)),1,MOD($A80-1,2)))=1,MIN((CROQUIS_DATOS!$C$1486)*CROQUIS_DATOS!$C$1561,((CROQUIS_DATOS!$C$1484+CROQUIS_DATOS!$C$1485)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0">
        <f>IF(AND(CROQUIS_DATOS!$C$1472=1,CROQUIS_DATOS!$C$1478&gt;=2,((CROQUIS_DATOS!$C$1484+CROQUIS_DATOS!$C$1485))-(CROQUIS_DATOS!$C$1484)&gt;0.5,(CROQUIS_DATOS!$C$1486)-(0)&gt;0.5),(CROQUIS_DATOS!$C$1567+(IF(IF(MOD(MIN(INT(($A80-1)/2)+1,MAX(1,INT(((((CROQUIS_DATOS!$C$1484+CROQUIS_DATOS!$C$1485))-(CROQUIS_DATOS!$C$1484))+((CROQUIS_DATOS!$C$1486)*CROQUIS_DATOS!$C$1561-(0)*CROQUIS_DATOS!$C$1561))/CROQUIS_DATOS!$C$1568-0.000001))),2)=1,IF(INT(($A80-1)/2)+1&gt;MAX(1,INT(((((CROQUIS_DATOS!$C$1484+CROQUIS_DATOS!$C$1485))-(CROQUIS_DATOS!$C$1484))+((CROQUIS_DATOS!$C$1486)*CROQUIS_DATOS!$C$1561-(0)*CROQUIS_DATOS!$C$1561))/CROQUIS_DATOS!$C$1568-0.000001)),1,MOD($A80-1,2)),1-IF(INT(($A80-1)/2)+1&gt;MAX(1,INT(((((CROQUIS_DATOS!$C$1484+CROQUIS_DATOS!$C$1485))-(CROQUIS_DATOS!$C$1484))+((CROQUIS_DATOS!$C$1486)*CROQUIS_DATOS!$C$1561-(0)*CROQUIS_DATOS!$C$1561))/CROQUIS_DATOS!$C$1568-0.000001)),1,MOD($A80-1,2)))=1,MIN((CROQUIS_DATOS!$C$1486)*CROQUIS_DATOS!$C$1561,((CROQUIS_DATOS!$C$1484+CROQUIS_DATOS!$C$1485)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0">
        <f>IF(AND(CROQUIS_DATOS!$C$1472=1,CROQUIS_DATOS!$C$1478&gt;=2,((CROQUIS_DATOS!$C$1484+CROQUIS_DATOS!$C$1485))-(CROQUIS_DATOS!$C$1484)&gt;0.5,(CROQUIS_DATOS!$C$1476)-((CROQUIS_DATOS!$C$1486+CROQUIS_DATOS!$C$1487))&gt;0.5),(CROQUIS_DATOS!$C$1566+(IF(IF(MOD(MIN(INT(($A80-1)/2)+1,MAX(1,INT(((((CROQUIS_DATOS!$C$1484+CROQUIS_DATOS!$C$1485))-(CROQUIS_DATOS!$C$1484))+((CROQUIS_DATOS!$C$1476)*CROQUIS_DATOS!$C$1561-((CROQUIS_DATOS!$C$1486+CROQUIS_DATOS!$C$1487))*CROQUIS_DATOS!$C$1561))/CROQUIS_DATOS!$C$1568-0.000001))),2)=1,IF(INT(($A80-1)/2)+1&gt;MAX(1,INT(((((CROQUIS_DATOS!$C$1484+CROQUIS_DATOS!$C$1485))-(CROQUIS_DATOS!$C$1484))+((CROQUIS_DATOS!$C$1476)*CROQUIS_DATOS!$C$1561-((CROQUIS_DATOS!$C$1486+CROQUIS_DATOS!$C$1487))*CROQUIS_DATOS!$C$1561))/CROQUIS_DATOS!$C$1568-0.000001)),1,MOD($A80-1,2)),1-IF(INT(($A80-1)/2)+1&gt;MAX(1,INT(((((CROQUIS_DATOS!$C$1484+CROQUIS_DATOS!$C$1485))-(CROQUIS_DATOS!$C$1484))+((CROQUIS_DATOS!$C$1476)*CROQUIS_DATOS!$C$1561-((CROQUIS_DATOS!$C$1486+CROQUIS_DATOS!$C$1487))*CROQUIS_DATOS!$C$1561))/CROQUIS_DATOS!$C$1568-0.000001)),1,MOD($A80-1,2)))=1,MIN((CROQUIS_DATOS!$C$1476)*CROQUIS_DATOS!$C$1561,((CROQUIS_DATOS!$C$1484+CROQUIS_DATOS!$C$1485)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0">
        <f>IF(AND(CROQUIS_DATOS!$C$1472=1,CROQUIS_DATOS!$C$1478&gt;=2,((CROQUIS_DATOS!$C$1484+CROQUIS_DATOS!$C$1485))-(CROQUIS_DATOS!$C$1484)&gt;0.5,(CROQUIS_DATOS!$C$1476)-((CROQUIS_DATOS!$C$1486+CROQUIS_DATOS!$C$1487))&gt;0.5),(CROQUIS_DATOS!$C$1567+(IF(IF(MOD(MIN(INT(($A80-1)/2)+1,MAX(1,INT(((((CROQUIS_DATOS!$C$1484+CROQUIS_DATOS!$C$1485))-(CROQUIS_DATOS!$C$1484))+((CROQUIS_DATOS!$C$1476)*CROQUIS_DATOS!$C$1561-((CROQUIS_DATOS!$C$1486+CROQUIS_DATOS!$C$1487))*CROQUIS_DATOS!$C$1561))/CROQUIS_DATOS!$C$1568-0.000001))),2)=1,IF(INT(($A80-1)/2)+1&gt;MAX(1,INT(((((CROQUIS_DATOS!$C$1484+CROQUIS_DATOS!$C$1485))-(CROQUIS_DATOS!$C$1484))+((CROQUIS_DATOS!$C$1476)*CROQUIS_DATOS!$C$1561-((CROQUIS_DATOS!$C$1486+CROQUIS_DATOS!$C$1487))*CROQUIS_DATOS!$C$1561))/CROQUIS_DATOS!$C$1568-0.000001)),1,MOD($A80-1,2)),1-IF(INT(($A80-1)/2)+1&gt;MAX(1,INT(((((CROQUIS_DATOS!$C$1484+CROQUIS_DATOS!$C$1485))-(CROQUIS_DATOS!$C$1484))+((CROQUIS_DATOS!$C$1476)*CROQUIS_DATOS!$C$1561-((CROQUIS_DATOS!$C$1486+CROQUIS_DATOS!$C$1487))*CROQUIS_DATOS!$C$1561))/CROQUIS_DATOS!$C$1568-0.000001)),1,MOD($A80-1,2)))=1,MIN((CROQUIS_DATOS!$C$1476)*CROQUIS_DATOS!$C$1561,((CROQUIS_DATOS!$C$1484+CROQUIS_DATOS!$C$1485)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0">
        <f>IF(AND(CROQUIS_DATOS!$C$1472=1,CROQUIS_DATOS!$C$1478&gt;=3,((CROQUIS_DATOS!$C$1489+CROQUIS_DATOS!$C$1490))-(CROQUIS_DATOS!$C$1489)&gt;0.5,(CROQUIS_DATOS!$C$1491)-(0)&gt;0.5),(CROQUIS_DATOS!$C$1566+(IF(IF(MOD(MIN(INT(($A80-1)/2)+1,MAX(1,INT(((((CROQUIS_DATOS!$C$1489+CROQUIS_DATOS!$C$1490))-(CROQUIS_DATOS!$C$1489))+((CROQUIS_DATOS!$C$1491)*CROQUIS_DATOS!$C$1561-(0)*CROQUIS_DATOS!$C$1561))/CROQUIS_DATOS!$C$1568-0.000001))),2)=1,IF(INT(($A80-1)/2)+1&gt;MAX(1,INT(((((CROQUIS_DATOS!$C$1489+CROQUIS_DATOS!$C$1490))-(CROQUIS_DATOS!$C$1489))+((CROQUIS_DATOS!$C$1491)*CROQUIS_DATOS!$C$1561-(0)*CROQUIS_DATOS!$C$1561))/CROQUIS_DATOS!$C$1568-0.000001)),1,MOD($A80-1,2)),1-IF(INT(($A80-1)/2)+1&gt;MAX(1,INT(((((CROQUIS_DATOS!$C$1489+CROQUIS_DATOS!$C$1490))-(CROQUIS_DATOS!$C$1489))+((CROQUIS_DATOS!$C$1491)*CROQUIS_DATOS!$C$1561-(0)*CROQUIS_DATOS!$C$1561))/CROQUIS_DATOS!$C$1568-0.000001)),1,MOD($A80-1,2)))=1,MIN((CROQUIS_DATOS!$C$1491)*CROQUIS_DATOS!$C$1561,((CROQUIS_DATOS!$C$1489+CROQUIS_DATOS!$C$1490)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0">
        <f>IF(AND(CROQUIS_DATOS!$C$1472=1,CROQUIS_DATOS!$C$1478&gt;=3,((CROQUIS_DATOS!$C$1489+CROQUIS_DATOS!$C$1490))-(CROQUIS_DATOS!$C$1489)&gt;0.5,(CROQUIS_DATOS!$C$1491)-(0)&gt;0.5),(CROQUIS_DATOS!$C$1567+(IF(IF(MOD(MIN(INT(($A80-1)/2)+1,MAX(1,INT(((((CROQUIS_DATOS!$C$1489+CROQUIS_DATOS!$C$1490))-(CROQUIS_DATOS!$C$1489))+((CROQUIS_DATOS!$C$1491)*CROQUIS_DATOS!$C$1561-(0)*CROQUIS_DATOS!$C$1561))/CROQUIS_DATOS!$C$1568-0.000001))),2)=1,IF(INT(($A80-1)/2)+1&gt;MAX(1,INT(((((CROQUIS_DATOS!$C$1489+CROQUIS_DATOS!$C$1490))-(CROQUIS_DATOS!$C$1489))+((CROQUIS_DATOS!$C$1491)*CROQUIS_DATOS!$C$1561-(0)*CROQUIS_DATOS!$C$1561))/CROQUIS_DATOS!$C$1568-0.000001)),1,MOD($A80-1,2)),1-IF(INT(($A80-1)/2)+1&gt;MAX(1,INT(((((CROQUIS_DATOS!$C$1489+CROQUIS_DATOS!$C$1490))-(CROQUIS_DATOS!$C$1489))+((CROQUIS_DATOS!$C$1491)*CROQUIS_DATOS!$C$1561-(0)*CROQUIS_DATOS!$C$1561))/CROQUIS_DATOS!$C$1568-0.000001)),1,MOD($A80-1,2)))=1,MIN((CROQUIS_DATOS!$C$1491)*CROQUIS_DATOS!$C$1561,((CROQUIS_DATOS!$C$1489+CROQUIS_DATOS!$C$1490)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0">
        <f>IF(AND(CROQUIS_DATOS!$C$1472=1,CROQUIS_DATOS!$C$1478&gt;=3,((CROQUIS_DATOS!$C$1489+CROQUIS_DATOS!$C$1490))-(CROQUIS_DATOS!$C$1489)&gt;0.5,(CROQUIS_DATOS!$C$1476)-((CROQUIS_DATOS!$C$1491+CROQUIS_DATOS!$C$1492))&gt;0.5),(CROQUIS_DATOS!$C$1566+(IF(IF(MOD(MIN(INT(($A80-1)/2)+1,MAX(1,INT(((((CROQUIS_DATOS!$C$1489+CROQUIS_DATOS!$C$1490))-(CROQUIS_DATOS!$C$1489))+((CROQUIS_DATOS!$C$1476)*CROQUIS_DATOS!$C$1561-((CROQUIS_DATOS!$C$1491+CROQUIS_DATOS!$C$1492))*CROQUIS_DATOS!$C$1561))/CROQUIS_DATOS!$C$1568-0.000001))),2)=1,IF(INT(($A80-1)/2)+1&gt;MAX(1,INT(((((CROQUIS_DATOS!$C$1489+CROQUIS_DATOS!$C$1490))-(CROQUIS_DATOS!$C$1489))+((CROQUIS_DATOS!$C$1476)*CROQUIS_DATOS!$C$1561-((CROQUIS_DATOS!$C$1491+CROQUIS_DATOS!$C$1492))*CROQUIS_DATOS!$C$1561))/CROQUIS_DATOS!$C$1568-0.000001)),1,MOD($A80-1,2)),1-IF(INT(($A80-1)/2)+1&gt;MAX(1,INT(((((CROQUIS_DATOS!$C$1489+CROQUIS_DATOS!$C$1490))-(CROQUIS_DATOS!$C$1489))+((CROQUIS_DATOS!$C$1476)*CROQUIS_DATOS!$C$1561-((CROQUIS_DATOS!$C$1491+CROQUIS_DATOS!$C$1492))*CROQUIS_DATOS!$C$1561))/CROQUIS_DATOS!$C$1568-0.000001)),1,MOD($A80-1,2)))=1,MIN((CROQUIS_DATOS!$C$1476)*CROQUIS_DATOS!$C$1561,((CROQUIS_DATOS!$C$1489+CROQUIS_DATOS!$C$1490)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0">
        <f>IF(AND(CROQUIS_DATOS!$C$1472=1,CROQUIS_DATOS!$C$1478&gt;=3,((CROQUIS_DATOS!$C$1489+CROQUIS_DATOS!$C$1490))-(CROQUIS_DATOS!$C$1489)&gt;0.5,(CROQUIS_DATOS!$C$1476)-((CROQUIS_DATOS!$C$1491+CROQUIS_DATOS!$C$1492))&gt;0.5),(CROQUIS_DATOS!$C$1567+(IF(IF(MOD(MIN(INT(($A80-1)/2)+1,MAX(1,INT(((((CROQUIS_DATOS!$C$1489+CROQUIS_DATOS!$C$1490))-(CROQUIS_DATOS!$C$1489))+((CROQUIS_DATOS!$C$1476)*CROQUIS_DATOS!$C$1561-((CROQUIS_DATOS!$C$1491+CROQUIS_DATOS!$C$1492))*CROQUIS_DATOS!$C$1561))/CROQUIS_DATOS!$C$1568-0.000001))),2)=1,IF(INT(($A80-1)/2)+1&gt;MAX(1,INT(((((CROQUIS_DATOS!$C$1489+CROQUIS_DATOS!$C$1490))-(CROQUIS_DATOS!$C$1489))+((CROQUIS_DATOS!$C$1476)*CROQUIS_DATOS!$C$1561-((CROQUIS_DATOS!$C$1491+CROQUIS_DATOS!$C$1492))*CROQUIS_DATOS!$C$1561))/CROQUIS_DATOS!$C$1568-0.000001)),1,MOD($A80-1,2)),1-IF(INT(($A80-1)/2)+1&gt;MAX(1,INT(((((CROQUIS_DATOS!$C$1489+CROQUIS_DATOS!$C$1490))-(CROQUIS_DATOS!$C$1489))+((CROQUIS_DATOS!$C$1476)*CROQUIS_DATOS!$C$1561-((CROQUIS_DATOS!$C$1491+CROQUIS_DATOS!$C$1492))*CROQUIS_DATOS!$C$1561))/CROQUIS_DATOS!$C$1568-0.000001)),1,MOD($A80-1,2)))=1,MIN((CROQUIS_DATOS!$C$1476)*CROQUIS_DATOS!$C$1561,((CROQUIS_DATOS!$C$1489+CROQUIS_DATOS!$C$1490)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0">
        <f>IF(AND(CROQUIS_DATOS!$C$1472=1,CROQUIS_DATOS!$C$1478&gt;=4,((CROQUIS_DATOS!$C$1494+CROQUIS_DATOS!$C$1495))-(CROQUIS_DATOS!$C$1494)&gt;0.5,(CROQUIS_DATOS!$C$1496)-(0)&gt;0.5),(CROQUIS_DATOS!$C$1566+(IF(IF(MOD(MIN(INT(($A80-1)/2)+1,MAX(1,INT(((((CROQUIS_DATOS!$C$1494+CROQUIS_DATOS!$C$1495))-(CROQUIS_DATOS!$C$1494))+((CROQUIS_DATOS!$C$1496)*CROQUIS_DATOS!$C$1561-(0)*CROQUIS_DATOS!$C$1561))/CROQUIS_DATOS!$C$1568-0.000001))),2)=1,IF(INT(($A80-1)/2)+1&gt;MAX(1,INT(((((CROQUIS_DATOS!$C$1494+CROQUIS_DATOS!$C$1495))-(CROQUIS_DATOS!$C$1494))+((CROQUIS_DATOS!$C$1496)*CROQUIS_DATOS!$C$1561-(0)*CROQUIS_DATOS!$C$1561))/CROQUIS_DATOS!$C$1568-0.000001)),1,MOD($A80-1,2)),1-IF(INT(($A80-1)/2)+1&gt;MAX(1,INT(((((CROQUIS_DATOS!$C$1494+CROQUIS_DATOS!$C$1495))-(CROQUIS_DATOS!$C$1494))+((CROQUIS_DATOS!$C$1496)*CROQUIS_DATOS!$C$1561-(0)*CROQUIS_DATOS!$C$1561))/CROQUIS_DATOS!$C$1568-0.000001)),1,MOD($A80-1,2)))=1,MIN((CROQUIS_DATOS!$C$1496)*CROQUIS_DATOS!$C$1561,((CROQUIS_DATOS!$C$1494+CROQUIS_DATOS!$C$1495)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0">
        <f>IF(AND(CROQUIS_DATOS!$C$1472=1,CROQUIS_DATOS!$C$1478&gt;=4,((CROQUIS_DATOS!$C$1494+CROQUIS_DATOS!$C$1495))-(CROQUIS_DATOS!$C$1494)&gt;0.5,(CROQUIS_DATOS!$C$1496)-(0)&gt;0.5),(CROQUIS_DATOS!$C$1567+(IF(IF(MOD(MIN(INT(($A80-1)/2)+1,MAX(1,INT(((((CROQUIS_DATOS!$C$1494+CROQUIS_DATOS!$C$1495))-(CROQUIS_DATOS!$C$1494))+((CROQUIS_DATOS!$C$1496)*CROQUIS_DATOS!$C$1561-(0)*CROQUIS_DATOS!$C$1561))/CROQUIS_DATOS!$C$1568-0.000001))),2)=1,IF(INT(($A80-1)/2)+1&gt;MAX(1,INT(((((CROQUIS_DATOS!$C$1494+CROQUIS_DATOS!$C$1495))-(CROQUIS_DATOS!$C$1494))+((CROQUIS_DATOS!$C$1496)*CROQUIS_DATOS!$C$1561-(0)*CROQUIS_DATOS!$C$1561))/CROQUIS_DATOS!$C$1568-0.000001)),1,MOD($A80-1,2)),1-IF(INT(($A80-1)/2)+1&gt;MAX(1,INT(((((CROQUIS_DATOS!$C$1494+CROQUIS_DATOS!$C$1495))-(CROQUIS_DATOS!$C$1494))+((CROQUIS_DATOS!$C$1496)*CROQUIS_DATOS!$C$1561-(0)*CROQUIS_DATOS!$C$1561))/CROQUIS_DATOS!$C$1568-0.000001)),1,MOD($A80-1,2)))=1,MIN((CROQUIS_DATOS!$C$1496)*CROQUIS_DATOS!$C$1561,((CROQUIS_DATOS!$C$1494+CROQUIS_DATOS!$C$1495)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0">
        <f>IF(AND(CROQUIS_DATOS!$C$1472=1,CROQUIS_DATOS!$C$1478&gt;=4,((CROQUIS_DATOS!$C$1494+CROQUIS_DATOS!$C$1495))-(CROQUIS_DATOS!$C$1494)&gt;0.5,(CROQUIS_DATOS!$C$1476)-((CROQUIS_DATOS!$C$1496+CROQUIS_DATOS!$C$1497))&gt;0.5),(CROQUIS_DATOS!$C$1566+(IF(IF(MOD(MIN(INT(($A80-1)/2)+1,MAX(1,INT(((((CROQUIS_DATOS!$C$1494+CROQUIS_DATOS!$C$1495))-(CROQUIS_DATOS!$C$1494))+((CROQUIS_DATOS!$C$1476)*CROQUIS_DATOS!$C$1561-((CROQUIS_DATOS!$C$1496+CROQUIS_DATOS!$C$1497))*CROQUIS_DATOS!$C$1561))/CROQUIS_DATOS!$C$1568-0.000001))),2)=1,IF(INT(($A80-1)/2)+1&gt;MAX(1,INT(((((CROQUIS_DATOS!$C$1494+CROQUIS_DATOS!$C$1495))-(CROQUIS_DATOS!$C$1494))+((CROQUIS_DATOS!$C$1476)*CROQUIS_DATOS!$C$1561-((CROQUIS_DATOS!$C$1496+CROQUIS_DATOS!$C$1497))*CROQUIS_DATOS!$C$1561))/CROQUIS_DATOS!$C$1568-0.000001)),1,MOD($A80-1,2)),1-IF(INT(($A80-1)/2)+1&gt;MAX(1,INT(((((CROQUIS_DATOS!$C$1494+CROQUIS_DATOS!$C$1495))-(CROQUIS_DATOS!$C$1494))+((CROQUIS_DATOS!$C$1476)*CROQUIS_DATOS!$C$1561-((CROQUIS_DATOS!$C$1496+CROQUIS_DATOS!$C$1497))*CROQUIS_DATOS!$C$1561))/CROQUIS_DATOS!$C$1568-0.000001)),1,MOD($A80-1,2)))=1,MIN((CROQUIS_DATOS!$C$1476)*CROQUIS_DATOS!$C$1561,((CROQUIS_DATOS!$C$1494+CROQUIS_DATOS!$C$1495)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0">
        <f>IF(AND(CROQUIS_DATOS!$C$1472=1,CROQUIS_DATOS!$C$1478&gt;=4,((CROQUIS_DATOS!$C$1494+CROQUIS_DATOS!$C$1495))-(CROQUIS_DATOS!$C$1494)&gt;0.5,(CROQUIS_DATOS!$C$1476)-((CROQUIS_DATOS!$C$1496+CROQUIS_DATOS!$C$1497))&gt;0.5),(CROQUIS_DATOS!$C$1567+(IF(IF(MOD(MIN(INT(($A80-1)/2)+1,MAX(1,INT(((((CROQUIS_DATOS!$C$1494+CROQUIS_DATOS!$C$1495))-(CROQUIS_DATOS!$C$1494))+((CROQUIS_DATOS!$C$1476)*CROQUIS_DATOS!$C$1561-((CROQUIS_DATOS!$C$1496+CROQUIS_DATOS!$C$1497))*CROQUIS_DATOS!$C$1561))/CROQUIS_DATOS!$C$1568-0.000001))),2)=1,IF(INT(($A80-1)/2)+1&gt;MAX(1,INT(((((CROQUIS_DATOS!$C$1494+CROQUIS_DATOS!$C$1495))-(CROQUIS_DATOS!$C$1494))+((CROQUIS_DATOS!$C$1476)*CROQUIS_DATOS!$C$1561-((CROQUIS_DATOS!$C$1496+CROQUIS_DATOS!$C$1497))*CROQUIS_DATOS!$C$1561))/CROQUIS_DATOS!$C$1568-0.000001)),1,MOD($A80-1,2)),1-IF(INT(($A80-1)/2)+1&gt;MAX(1,INT(((((CROQUIS_DATOS!$C$1494+CROQUIS_DATOS!$C$1495))-(CROQUIS_DATOS!$C$1494))+((CROQUIS_DATOS!$C$1476)*CROQUIS_DATOS!$C$1561-((CROQUIS_DATOS!$C$1496+CROQUIS_DATOS!$C$1497))*CROQUIS_DATOS!$C$1561))/CROQUIS_DATOS!$C$1568-0.000001)),1,MOD($A80-1,2)))=1,MIN((CROQUIS_DATOS!$C$1476)*CROQUIS_DATOS!$C$1561,((CROQUIS_DATOS!$C$1494+CROQUIS_DATOS!$C$1495)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0">
        <f>IF(AND(CROQUIS_DATOS!$C$1472=1,1),(CROQUIS_DATOS!$C$1571+(CHOOSE(MIN(MAX(IF(INT(($A80-1)/5)+1&gt;CROQUIS_DATOS!$C$1525,5,MOD($A80-1,5)+1),1),5),(INDEX($E$8:$E$23,MIN(INT(($A80-1)/5)+1,CROQUIS_DATOS!$C$1525))-INDEX($F$8:$F$23,MIN(INT(($A80-1)/5)+1,CROQUIS_DATOS!$C$1525))/2),(INDEX($E$8:$E$23,MIN(INT(($A80-1)/5)+1,CROQUIS_DATOS!$C$1525))+INDEX($F$8:$F$23,MIN(INT(($A80-1)/5)+1,CROQUIS_DATOS!$C$1525))/2),(INDEX($E$8:$E$23,MIN(INT(($A80-1)/5)+1,CROQUIS_DATOS!$C$1525))+INDEX($F$8:$F$23,MIN(INT(($A80-1)/5)+1,CROQUIS_DATOS!$C$1525))/2),(INDEX($E$8:$E$23,MIN(INT(($A80-1)/5)+1,CROQUIS_DATOS!$C$1525))-INDEX($F$8:$F$23,MIN(INT(($A80-1)/5)+1,CROQUIS_DATOS!$C$1525))/2),(INDEX($E$8:$E$23,MIN(INT(($A80-1)/5)+1,CROQUIS_DATOS!$C$1525))-INDEX($F$8:$F$23,MIN(INT(($A80-1)/5)+1,CROQUIS_DATOS!$C$1525))/2)))*CROQUIS_DATOS!$C$1569),-1000)</f>
        <v>95.24</v>
      </c>
      <c r="GE80">
        <f>IF(AND(CROQUIS_DATOS!$C$1472=1,1),(CROQUIS_DATOS!$C$1572+(CHOOSE(MIN(MAX(IF(INT(($A80-1)/5)+1&gt;CROQUIS_DATOS!$C$1525,5,MOD($A80-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1">
      <c r="A81" t="n">
        <v>74</v>
      </c>
      <c r="N81">
        <f>IF(AND(CROQUIS_DATOS!$C$1472=1,1),(CROQUIS_DATOS!$C$1563+(IF(IF(IF(INT(($A81-1)/70)+1&gt;CROQUIS_DATOS!$C$1525,70,MOD($A81-1,70)+1)=1,0,IF(IF(INT(($A81-1)/70)+1&gt;CROQUIS_DATOS!$C$1525,70,MOD($A81-1,70)+1)&gt;2*CROQUIS_DATOS!$C$1541+1,IF(MOD(CROQUIS_DATOS!$C$1541,2)=1,1,0),IF(MOD(MIN(INT((IF(INT(($A81-1)/70)+1&gt;CROQUIS_DATOS!$C$1525,70,MOD($A81-1,70)+1)-2)/2)+1,CROQUIS_DATOS!$C$1541),2)=1,IF(MOD(IF(INT(($A81-1)/70)+1&gt;CROQUIS_DATOS!$C$1525,70,MOD($A81-1,70)+1)-2,2)=0,0,1),IF(MOD(IF(INT(($A81-1)/70)+1&gt;CROQUIS_DATOS!$C$1525,70,MOD($A81-1,70)+1)-2,2)=0,1,0))))=0,(INDEX($E$8:$E$23,MIN(INT(($A81-1)/70)+1,CROQUIS_DATOS!$C$1525))-INDEX($F$8:$F$23,MIN(INT(($A81-1)/70)+1,CROQUIS_DATOS!$C$1525))/2),(INDEX($E$8:$E$23,MIN(INT(($A81-1)/70)+1,CROQUIS_DATOS!$C$1525))+INDEX($F$8:$F$23,MIN(INT(($A81-1)/70)+1,CROQUIS_DATOS!$C$1525))/2)))*CROQUIS_DATOS!$C$1562),-1000)</f>
        <v>20.6724137931034</v>
      </c>
      <c r="O81">
        <f>IF(AND(CROQUIS_DATOS!$C$1472=1,1),(CROQUIS_DATOS!$C$1564+(IF(OR(IF(INT(($A81-1)/70)+1&gt;CROQUIS_DATOS!$C$1525,70,MOD($A81-1,70)+1)=1,IF(INT(($A81-1)/70)+1&gt;CROQUIS_DATOS!$C$1525,70,MOD($A81-1,70)+1)&gt;2*CROQUIS_DATOS!$C$1541+1),CROQUIS_DATOS!$C$1476,INDEX($H$8:$H$41,MIN(INT((IF(INT(($A81-1)/70)+1&gt;CROQUIS_DATOS!$C$1525,70,MOD($A81-1,70)+1)-2)/2)+1,CROQUIS_DATOS!$C$1541))))*CROQUIS_DATOS!$C$1561*CROQUIS_DATOS!$C$1562),-1000)</f>
        <v>7.38793103448276</v>
      </c>
      <c r="P81">
        <f>IF(AND(CROQUIS_DATOS!$C$1472=1,CROQUIS_DATOS!$C$1555=1),(CROQUIS_DATOS!$C$1563+(IF(IF(OR(MOD($A81-1,62)+1=1,IF(CHOOSE(MIN(MAX(MIN(INT(($A81-1)/62)+1,5),1),5),CROQUIS_DATOS!$C$1501,CROQUIS_DATOS!$C$1505,CROQUIS_DATOS!$C$1509,CROQUIS_DATOS!$C$1513,CROQUIS_DATOS!$C$1517)=1,CROQUIS_DATOS!$C$1557,0)=0),0,IF(MOD($A81-1,62)+1&gt;2*IF(CHOOSE(MIN(MAX(MIN(INT(($A81-1)/62)+1,5),1),5),CROQUIS_DATOS!$C$1501,CROQUIS_DATOS!$C$1505,CROQUIS_DATOS!$C$1509,CROQUIS_DATOS!$C$1513,CROQUIS_DATOS!$C$1517)=1,CROQUIS_DATOS!$C$1557,0)+1,IF(MOD(IF(CHOOSE(MIN(MAX(MIN(INT(($A81-1)/62)+1,5),1),5),CROQUIS_DATOS!$C$1501,CROQUIS_DATOS!$C$1505,CROQUIS_DATOS!$C$1509,CROQUIS_DATOS!$C$1513,CROQUIS_DATOS!$C$1517)=1,CROQUIS_DATOS!$C$1557,0),2)=1,1,0),IF(MOD(MIN(INT((MOD($A81-1,62)+1-2)/2)+1,MAX(IF(CHOOSE(MIN(MAX(MIN(INT(($A81-1)/62)+1,5),1),5),CROQUIS_DATOS!$C$1501,CROQUIS_DATOS!$C$1505,CROQUIS_DATOS!$C$1509,CROQUIS_DATOS!$C$1513,CROQUIS_DATOS!$C$1517)=1,CROQUIS_DATOS!$C$1557,0),1)),2)=1,IF(MOD(MOD($A81-1,62)+1-2,2)=0,0,1),IF(MOD(MOD($A81-1,62)+1-2,2)=0,1,0))))=0,(CHOOSE(MIN(MAX(MIN(INT(($A81-1)/62)+1,5),1),5),CROQUIS_DATOS!$C$1499,CROQUIS_DATOS!$C$1503,CROQUIS_DATOS!$C$1507,CROQUIS_DATOS!$C$1511,CROQUIS_DATOS!$C$1515)+IF(CHOOSE(MIN(MAX(MIN(INT(($A81-1)/62)+1,5),1),5),CROQUIS_DATOS!$C$1501,CROQUIS_DATOS!$C$1505,CROQUIS_DATOS!$C$1509,CROQUIS_DATOS!$C$1513,CROQUIS_DATOS!$C$1517)=1,CROQUIS_DATOS!$C$1526,0)),(CHOOSE(MIN(MAX(MIN(INT(($A81-1)/62)+1,5),1),5),CROQUIS_DATOS!$C$1499,CROQUIS_DATOS!$C$1503,CROQUIS_DATOS!$C$1507,CROQUIS_DATOS!$C$1511,CROQUIS_DATOS!$C$1515)+CHOOSE(MIN(MAX(MIN(INT(($A81-1)/62)+1,5),1),5),CROQUIS_DATOS!$C$1500,CROQUIS_DATOS!$C$1504,CROQUIS_DATOS!$C$1508,CROQUIS_DATOS!$C$1512,CROQUIS_DATOS!$C$1516)-IF(CHOOSE(MIN(MAX(MIN(INT(($A81-1)/62)+1,5),1),5),CROQUIS_DATOS!$C$1501,CROQUIS_DATOS!$C$1505,CROQUIS_DATOS!$C$1509,CROQUIS_DATOS!$C$1513,CROQUIS_DATOS!$C$1517)=1,CROQUIS_DATOS!$C$1526,0))))*CROQUIS_DATOS!$C$1562),-1000)</f>
        <v>-1000</v>
      </c>
      <c r="Q81">
        <f>IF(AND(CROQUIS_DATOS!$C$1472=1,CROQUIS_DATOS!$C$1555=1),(CROQUIS_DATOS!$C$1564+(IF(OR(OR(MOD($A81-1,62)+1=1,IF(CHOOSE(MIN(MAX(MIN(INT(($A81-1)/62)+1,5),1),5),CROQUIS_DATOS!$C$1501,CROQUIS_DATOS!$C$1505,CROQUIS_DATOS!$C$1509,CROQUIS_DATOS!$C$1513,CROQUIS_DATOS!$C$1517)=1,CROQUIS_DATOS!$C$1557,0)=0),MOD($A81-1,62)+1&gt;2*IF(CHOOSE(MIN(MAX(MIN(INT(($A81-1)/62)+1,5),1),5),CROQUIS_DATOS!$C$1501,CROQUIS_DATOS!$C$1505,CROQUIS_DATOS!$C$1509,CROQUIS_DATOS!$C$1513,CROQUIS_DATOS!$C$1517)=1,CROQUIS_DATOS!$C$1557,0)+1),CROQUIS_DATOS!$C$1476,MIN(INT((MOD($A81-1,62)+1-2)/2)+1,MAX(IF(CHOOSE(MIN(MAX(MIN(INT(($A81-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1">
        <f>IF(AND(CROQUIS_DATOS!$C$1472=1,1),(CROQUIS_DATOS!$C$1563+(MIN(INT(($A81-1)/2)+1,CROQUIS_DATOS!$C$1558)*CROQUIS_DATOS!$C$1559)*CROQUIS_DATOS!$C$1562),-1000)</f>
        <v>82.2281167108753</v>
      </c>
      <c r="U81">
        <f>IF(AND(CROQUIS_DATOS!$C$1472=1,1),(CROQUIS_DATOS!$C$1564+(IF(INT(($A81-1)/2)+1&gt;CROQUIS_DATOS!$C$1558,IF(MOD(CROQUIS_DATOS!$C$1558,2)=1,CROQUIS_DATOS!$C$1476+CROQUIS_DATOS!$C$1528,CROQUIS_DATOS!$C$1476),IF(IF(MOD(MIN(INT(($A81-1)/2)+1,CROQUIS_DATOS!$C$1558),2)=1,MOD($A81-1,2),1-MOD($A81-1,2))=1,CROQUIS_DATOS!$C$1476+CROQUIS_DATOS!$C$1528,CROQUIS_DATOS!$C$1476)))*CROQUIS_DATOS!$C$1561*CROQUIS_DATOS!$C$1562),-1000)</f>
        <v>43</v>
      </c>
      <c r="BZ81">
        <f>IF(AND(CROQUIS_DATOS!$C$1472=1,CROQUIS_DATOS!$C$1500&gt;0,((CROQUIS_DATOS!$C$1499+CROQUIS_DATOS!$C$1500))-(CROQUIS_DATOS!$C$1499)&gt;0.5,(CROQUIS_DATOS!$C$1476)-(0)&gt;0.5),(CROQUIS_DATOS!$C$1566+(IF(IF(MOD(MIN(INT(($A81-1)/2)+1,MAX(1,INT(((((CROQUIS_DATOS!$C$1499+CROQUIS_DATOS!$C$1500))-(CROQUIS_DATOS!$C$1499))+((CROQUIS_DATOS!$C$1476)*CROQUIS_DATOS!$C$1561-(0)*CROQUIS_DATOS!$C$1561))/CROQUIS_DATOS!$C$1568-0.000001))),2)=1,IF(INT(($A81-1)/2)+1&gt;MAX(1,INT(((((CROQUIS_DATOS!$C$1499+CROQUIS_DATOS!$C$1500))-(CROQUIS_DATOS!$C$1499))+((CROQUIS_DATOS!$C$1476)*CROQUIS_DATOS!$C$1561-(0)*CROQUIS_DATOS!$C$1561))/CROQUIS_DATOS!$C$1568-0.000001)),1,MOD($A81-1,2)),1-IF(INT(($A81-1)/2)+1&gt;MAX(1,INT(((((CROQUIS_DATOS!$C$1499+CROQUIS_DATOS!$C$1500))-(CROQUIS_DATOS!$C$1499))+((CROQUIS_DATOS!$C$1476)*CROQUIS_DATOS!$C$1561-(0)*CROQUIS_DATOS!$C$1561))/CROQUIS_DATOS!$C$1568-0.000001)),1,MOD($A81-1,2)))=1,MIN((CROQUIS_DATOS!$C$1476)*CROQUIS_DATOS!$C$1561,((CROQUIS_DATOS!$C$1499+CROQUIS_DATOS!$C$1500)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1">
        <f>IF(AND(CROQUIS_DATOS!$C$1472=1,CROQUIS_DATOS!$C$1500&gt;0,((CROQUIS_DATOS!$C$1499+CROQUIS_DATOS!$C$1500))-(CROQUIS_DATOS!$C$1499)&gt;0.5,(CROQUIS_DATOS!$C$1476)-(0)&gt;0.5),(CROQUIS_DATOS!$C$1567+(IF(IF(MOD(MIN(INT(($A81-1)/2)+1,MAX(1,INT(((((CROQUIS_DATOS!$C$1499+CROQUIS_DATOS!$C$1500))-(CROQUIS_DATOS!$C$1499))+((CROQUIS_DATOS!$C$1476)*CROQUIS_DATOS!$C$1561-(0)*CROQUIS_DATOS!$C$1561))/CROQUIS_DATOS!$C$1568-0.000001))),2)=1,IF(INT(($A81-1)/2)+1&gt;MAX(1,INT(((((CROQUIS_DATOS!$C$1499+CROQUIS_DATOS!$C$1500))-(CROQUIS_DATOS!$C$1499))+((CROQUIS_DATOS!$C$1476)*CROQUIS_DATOS!$C$1561-(0)*CROQUIS_DATOS!$C$1561))/CROQUIS_DATOS!$C$1568-0.000001)),1,MOD($A81-1,2)),1-IF(INT(($A81-1)/2)+1&gt;MAX(1,INT(((((CROQUIS_DATOS!$C$1499+CROQUIS_DATOS!$C$1500))-(CROQUIS_DATOS!$C$1499))+((CROQUIS_DATOS!$C$1476)*CROQUIS_DATOS!$C$1561-(0)*CROQUIS_DATOS!$C$1561))/CROQUIS_DATOS!$C$1568-0.000001)),1,MOD($A81-1,2)))=1,MIN((CROQUIS_DATOS!$C$1476)*CROQUIS_DATOS!$C$1561,((CROQUIS_DATOS!$C$1499+CROQUIS_DATOS!$C$1500)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1">
        <f>IF(AND(CROQUIS_DATOS!$C$1472=1,CROQUIS_DATOS!$C$1504&gt;0,((CROQUIS_DATOS!$C$1503+CROQUIS_DATOS!$C$1504))-(CROQUIS_DATOS!$C$1503)&gt;0.5,(CROQUIS_DATOS!$C$1476)-(0)&gt;0.5),(CROQUIS_DATOS!$C$1566+(IF(IF(MOD(MIN(INT(($A81-1)/2)+1,MAX(1,INT(((((CROQUIS_DATOS!$C$1503+CROQUIS_DATOS!$C$1504))-(CROQUIS_DATOS!$C$1503))+((CROQUIS_DATOS!$C$1476)*CROQUIS_DATOS!$C$1561-(0)*CROQUIS_DATOS!$C$1561))/CROQUIS_DATOS!$C$1568-0.000001))),2)=1,IF(INT(($A81-1)/2)+1&gt;MAX(1,INT(((((CROQUIS_DATOS!$C$1503+CROQUIS_DATOS!$C$1504))-(CROQUIS_DATOS!$C$1503))+((CROQUIS_DATOS!$C$1476)*CROQUIS_DATOS!$C$1561-(0)*CROQUIS_DATOS!$C$1561))/CROQUIS_DATOS!$C$1568-0.000001)),1,MOD($A81-1,2)),1-IF(INT(($A81-1)/2)+1&gt;MAX(1,INT(((((CROQUIS_DATOS!$C$1503+CROQUIS_DATOS!$C$1504))-(CROQUIS_DATOS!$C$1503))+((CROQUIS_DATOS!$C$1476)*CROQUIS_DATOS!$C$1561-(0)*CROQUIS_DATOS!$C$1561))/CROQUIS_DATOS!$C$1568-0.000001)),1,MOD($A81-1,2)))=1,MIN((CROQUIS_DATOS!$C$1476)*CROQUIS_DATOS!$C$1561,((CROQUIS_DATOS!$C$1503+CROQUIS_DATOS!$C$1504)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1">
        <f>IF(AND(CROQUIS_DATOS!$C$1472=1,CROQUIS_DATOS!$C$1504&gt;0,((CROQUIS_DATOS!$C$1503+CROQUIS_DATOS!$C$1504))-(CROQUIS_DATOS!$C$1503)&gt;0.5,(CROQUIS_DATOS!$C$1476)-(0)&gt;0.5),(CROQUIS_DATOS!$C$1567+(IF(IF(MOD(MIN(INT(($A81-1)/2)+1,MAX(1,INT(((((CROQUIS_DATOS!$C$1503+CROQUIS_DATOS!$C$1504))-(CROQUIS_DATOS!$C$1503))+((CROQUIS_DATOS!$C$1476)*CROQUIS_DATOS!$C$1561-(0)*CROQUIS_DATOS!$C$1561))/CROQUIS_DATOS!$C$1568-0.000001))),2)=1,IF(INT(($A81-1)/2)+1&gt;MAX(1,INT(((((CROQUIS_DATOS!$C$1503+CROQUIS_DATOS!$C$1504))-(CROQUIS_DATOS!$C$1503))+((CROQUIS_DATOS!$C$1476)*CROQUIS_DATOS!$C$1561-(0)*CROQUIS_DATOS!$C$1561))/CROQUIS_DATOS!$C$1568-0.000001)),1,MOD($A81-1,2)),1-IF(INT(($A81-1)/2)+1&gt;MAX(1,INT(((((CROQUIS_DATOS!$C$1503+CROQUIS_DATOS!$C$1504))-(CROQUIS_DATOS!$C$1503))+((CROQUIS_DATOS!$C$1476)*CROQUIS_DATOS!$C$1561-(0)*CROQUIS_DATOS!$C$1561))/CROQUIS_DATOS!$C$1568-0.000001)),1,MOD($A81-1,2)))=1,MIN((CROQUIS_DATOS!$C$1476)*CROQUIS_DATOS!$C$1561,((CROQUIS_DATOS!$C$1503+CROQUIS_DATOS!$C$1504)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1">
        <f>IF(AND(CROQUIS_DATOS!$C$1472=1,CROQUIS_DATOS!$C$1508&gt;0,((CROQUIS_DATOS!$C$1507+CROQUIS_DATOS!$C$1508))-(CROQUIS_DATOS!$C$1507)&gt;0.5,(CROQUIS_DATOS!$C$1476)-(0)&gt;0.5),(CROQUIS_DATOS!$C$1566+(IF(IF(MOD(MIN(INT(($A81-1)/2)+1,MAX(1,INT(((((CROQUIS_DATOS!$C$1507+CROQUIS_DATOS!$C$1508))-(CROQUIS_DATOS!$C$1507))+((CROQUIS_DATOS!$C$1476)*CROQUIS_DATOS!$C$1561-(0)*CROQUIS_DATOS!$C$1561))/CROQUIS_DATOS!$C$1568-0.000001))),2)=1,IF(INT(($A81-1)/2)+1&gt;MAX(1,INT(((((CROQUIS_DATOS!$C$1507+CROQUIS_DATOS!$C$1508))-(CROQUIS_DATOS!$C$1507))+((CROQUIS_DATOS!$C$1476)*CROQUIS_DATOS!$C$1561-(0)*CROQUIS_DATOS!$C$1561))/CROQUIS_DATOS!$C$1568-0.000001)),1,MOD($A81-1,2)),1-IF(INT(($A81-1)/2)+1&gt;MAX(1,INT(((((CROQUIS_DATOS!$C$1507+CROQUIS_DATOS!$C$1508))-(CROQUIS_DATOS!$C$1507))+((CROQUIS_DATOS!$C$1476)*CROQUIS_DATOS!$C$1561-(0)*CROQUIS_DATOS!$C$1561))/CROQUIS_DATOS!$C$1568-0.000001)),1,MOD($A81-1,2)))=1,MIN((CROQUIS_DATOS!$C$1476)*CROQUIS_DATOS!$C$1561,((CROQUIS_DATOS!$C$1507+CROQUIS_DATOS!$C$1508)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1">
        <f>IF(AND(CROQUIS_DATOS!$C$1472=1,CROQUIS_DATOS!$C$1508&gt;0,((CROQUIS_DATOS!$C$1507+CROQUIS_DATOS!$C$1508))-(CROQUIS_DATOS!$C$1507)&gt;0.5,(CROQUIS_DATOS!$C$1476)-(0)&gt;0.5),(CROQUIS_DATOS!$C$1567+(IF(IF(MOD(MIN(INT(($A81-1)/2)+1,MAX(1,INT(((((CROQUIS_DATOS!$C$1507+CROQUIS_DATOS!$C$1508))-(CROQUIS_DATOS!$C$1507))+((CROQUIS_DATOS!$C$1476)*CROQUIS_DATOS!$C$1561-(0)*CROQUIS_DATOS!$C$1561))/CROQUIS_DATOS!$C$1568-0.000001))),2)=1,IF(INT(($A81-1)/2)+1&gt;MAX(1,INT(((((CROQUIS_DATOS!$C$1507+CROQUIS_DATOS!$C$1508))-(CROQUIS_DATOS!$C$1507))+((CROQUIS_DATOS!$C$1476)*CROQUIS_DATOS!$C$1561-(0)*CROQUIS_DATOS!$C$1561))/CROQUIS_DATOS!$C$1568-0.000001)),1,MOD($A81-1,2)),1-IF(INT(($A81-1)/2)+1&gt;MAX(1,INT(((((CROQUIS_DATOS!$C$1507+CROQUIS_DATOS!$C$1508))-(CROQUIS_DATOS!$C$1507))+((CROQUIS_DATOS!$C$1476)*CROQUIS_DATOS!$C$1561-(0)*CROQUIS_DATOS!$C$1561))/CROQUIS_DATOS!$C$1568-0.000001)),1,MOD($A81-1,2)))=1,MIN((CROQUIS_DATOS!$C$1476)*CROQUIS_DATOS!$C$1561,((CROQUIS_DATOS!$C$1507+CROQUIS_DATOS!$C$1508)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1">
        <f>IF(AND(CROQUIS_DATOS!$C$1472=1,CROQUIS_DATOS!$C$1512&gt;0,((CROQUIS_DATOS!$C$1511+CROQUIS_DATOS!$C$1512))-(CROQUIS_DATOS!$C$1511)&gt;0.5,(CROQUIS_DATOS!$C$1476)-(0)&gt;0.5),(CROQUIS_DATOS!$C$1566+(IF(IF(MOD(MIN(INT(($A81-1)/2)+1,MAX(1,INT(((((CROQUIS_DATOS!$C$1511+CROQUIS_DATOS!$C$1512))-(CROQUIS_DATOS!$C$1511))+((CROQUIS_DATOS!$C$1476)*CROQUIS_DATOS!$C$1561-(0)*CROQUIS_DATOS!$C$1561))/CROQUIS_DATOS!$C$1568-0.000001))),2)=1,IF(INT(($A81-1)/2)+1&gt;MAX(1,INT(((((CROQUIS_DATOS!$C$1511+CROQUIS_DATOS!$C$1512))-(CROQUIS_DATOS!$C$1511))+((CROQUIS_DATOS!$C$1476)*CROQUIS_DATOS!$C$1561-(0)*CROQUIS_DATOS!$C$1561))/CROQUIS_DATOS!$C$1568-0.000001)),1,MOD($A81-1,2)),1-IF(INT(($A81-1)/2)+1&gt;MAX(1,INT(((((CROQUIS_DATOS!$C$1511+CROQUIS_DATOS!$C$1512))-(CROQUIS_DATOS!$C$1511))+((CROQUIS_DATOS!$C$1476)*CROQUIS_DATOS!$C$1561-(0)*CROQUIS_DATOS!$C$1561))/CROQUIS_DATOS!$C$1568-0.000001)),1,MOD($A81-1,2)))=1,MIN((CROQUIS_DATOS!$C$1476)*CROQUIS_DATOS!$C$1561,((CROQUIS_DATOS!$C$1511+CROQUIS_DATOS!$C$1512)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1">
        <f>IF(AND(CROQUIS_DATOS!$C$1472=1,CROQUIS_DATOS!$C$1512&gt;0,((CROQUIS_DATOS!$C$1511+CROQUIS_DATOS!$C$1512))-(CROQUIS_DATOS!$C$1511)&gt;0.5,(CROQUIS_DATOS!$C$1476)-(0)&gt;0.5),(CROQUIS_DATOS!$C$1567+(IF(IF(MOD(MIN(INT(($A81-1)/2)+1,MAX(1,INT(((((CROQUIS_DATOS!$C$1511+CROQUIS_DATOS!$C$1512))-(CROQUIS_DATOS!$C$1511))+((CROQUIS_DATOS!$C$1476)*CROQUIS_DATOS!$C$1561-(0)*CROQUIS_DATOS!$C$1561))/CROQUIS_DATOS!$C$1568-0.000001))),2)=1,IF(INT(($A81-1)/2)+1&gt;MAX(1,INT(((((CROQUIS_DATOS!$C$1511+CROQUIS_DATOS!$C$1512))-(CROQUIS_DATOS!$C$1511))+((CROQUIS_DATOS!$C$1476)*CROQUIS_DATOS!$C$1561-(0)*CROQUIS_DATOS!$C$1561))/CROQUIS_DATOS!$C$1568-0.000001)),1,MOD($A81-1,2)),1-IF(INT(($A81-1)/2)+1&gt;MAX(1,INT(((((CROQUIS_DATOS!$C$1511+CROQUIS_DATOS!$C$1512))-(CROQUIS_DATOS!$C$1511))+((CROQUIS_DATOS!$C$1476)*CROQUIS_DATOS!$C$1561-(0)*CROQUIS_DATOS!$C$1561))/CROQUIS_DATOS!$C$1568-0.000001)),1,MOD($A81-1,2)))=1,MIN((CROQUIS_DATOS!$C$1476)*CROQUIS_DATOS!$C$1561,((CROQUIS_DATOS!$C$1511+CROQUIS_DATOS!$C$1512)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1">
        <f>IF(AND(CROQUIS_DATOS!$C$1472=1,CROQUIS_DATOS!$C$1516&gt;0,((CROQUIS_DATOS!$C$1515+CROQUIS_DATOS!$C$1516))-(CROQUIS_DATOS!$C$1515)&gt;0.5,(CROQUIS_DATOS!$C$1476)-(0)&gt;0.5),(CROQUIS_DATOS!$C$1566+(IF(IF(MOD(MIN(INT(($A81-1)/2)+1,MAX(1,INT(((((CROQUIS_DATOS!$C$1515+CROQUIS_DATOS!$C$1516))-(CROQUIS_DATOS!$C$1515))+((CROQUIS_DATOS!$C$1476)*CROQUIS_DATOS!$C$1561-(0)*CROQUIS_DATOS!$C$1561))/CROQUIS_DATOS!$C$1568-0.000001))),2)=1,IF(INT(($A81-1)/2)+1&gt;MAX(1,INT(((((CROQUIS_DATOS!$C$1515+CROQUIS_DATOS!$C$1516))-(CROQUIS_DATOS!$C$1515))+((CROQUIS_DATOS!$C$1476)*CROQUIS_DATOS!$C$1561-(0)*CROQUIS_DATOS!$C$1561))/CROQUIS_DATOS!$C$1568-0.000001)),1,MOD($A81-1,2)),1-IF(INT(($A81-1)/2)+1&gt;MAX(1,INT(((((CROQUIS_DATOS!$C$1515+CROQUIS_DATOS!$C$1516))-(CROQUIS_DATOS!$C$1515))+((CROQUIS_DATOS!$C$1476)*CROQUIS_DATOS!$C$1561-(0)*CROQUIS_DATOS!$C$1561))/CROQUIS_DATOS!$C$1568-0.000001)),1,MOD($A81-1,2)))=1,MIN((CROQUIS_DATOS!$C$1476)*CROQUIS_DATOS!$C$1561,((CROQUIS_DATOS!$C$1515+CROQUIS_DATOS!$C$1516)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1">
        <f>IF(AND(CROQUIS_DATOS!$C$1472=1,CROQUIS_DATOS!$C$1516&gt;0,((CROQUIS_DATOS!$C$1515+CROQUIS_DATOS!$C$1516))-(CROQUIS_DATOS!$C$1515)&gt;0.5,(CROQUIS_DATOS!$C$1476)-(0)&gt;0.5),(CROQUIS_DATOS!$C$1567+(IF(IF(MOD(MIN(INT(($A81-1)/2)+1,MAX(1,INT(((((CROQUIS_DATOS!$C$1515+CROQUIS_DATOS!$C$1516))-(CROQUIS_DATOS!$C$1515))+((CROQUIS_DATOS!$C$1476)*CROQUIS_DATOS!$C$1561-(0)*CROQUIS_DATOS!$C$1561))/CROQUIS_DATOS!$C$1568-0.000001))),2)=1,IF(INT(($A81-1)/2)+1&gt;MAX(1,INT(((((CROQUIS_DATOS!$C$1515+CROQUIS_DATOS!$C$1516))-(CROQUIS_DATOS!$C$1515))+((CROQUIS_DATOS!$C$1476)*CROQUIS_DATOS!$C$1561-(0)*CROQUIS_DATOS!$C$1561))/CROQUIS_DATOS!$C$1568-0.000001)),1,MOD($A81-1,2)),1-IF(INT(($A81-1)/2)+1&gt;MAX(1,INT(((((CROQUIS_DATOS!$C$1515+CROQUIS_DATOS!$C$1516))-(CROQUIS_DATOS!$C$1515))+((CROQUIS_DATOS!$C$1476)*CROQUIS_DATOS!$C$1561-(0)*CROQUIS_DATOS!$C$1561))/CROQUIS_DATOS!$C$1568-0.000001)),1,MOD($A81-1,2)))=1,MIN((CROQUIS_DATOS!$C$1476)*CROQUIS_DATOS!$C$1561,((CROQUIS_DATOS!$C$1515+CROQUIS_DATOS!$C$1516)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1">
        <f>IF(AND(CROQUIS_DATOS!$C$1472=1,CROQUIS_DATOS!$C$1478&gt;=1,((CROQUIS_DATOS!$C$1479+CROQUIS_DATOS!$C$1480))-(CROQUIS_DATOS!$C$1479)&gt;0.5,(CROQUIS_DATOS!$C$1481)-(0)&gt;0.5),(CROQUIS_DATOS!$C$1566+(IF(IF(MOD(MIN(INT(($A81-1)/2)+1,MAX(1,INT(((((CROQUIS_DATOS!$C$1479+CROQUIS_DATOS!$C$1480))-(CROQUIS_DATOS!$C$1479))+((CROQUIS_DATOS!$C$1481)*CROQUIS_DATOS!$C$1561-(0)*CROQUIS_DATOS!$C$1561))/CROQUIS_DATOS!$C$1568-0.000001))),2)=1,IF(INT(($A81-1)/2)+1&gt;MAX(1,INT(((((CROQUIS_DATOS!$C$1479+CROQUIS_DATOS!$C$1480))-(CROQUIS_DATOS!$C$1479))+((CROQUIS_DATOS!$C$1481)*CROQUIS_DATOS!$C$1561-(0)*CROQUIS_DATOS!$C$1561))/CROQUIS_DATOS!$C$1568-0.000001)),1,MOD($A81-1,2)),1-IF(INT(($A81-1)/2)+1&gt;MAX(1,INT(((((CROQUIS_DATOS!$C$1479+CROQUIS_DATOS!$C$1480))-(CROQUIS_DATOS!$C$1479))+((CROQUIS_DATOS!$C$1481)*CROQUIS_DATOS!$C$1561-(0)*CROQUIS_DATOS!$C$1561))/CROQUIS_DATOS!$C$1568-0.000001)),1,MOD($A81-1,2)))=1,MIN((CROQUIS_DATOS!$C$1481)*CROQUIS_DATOS!$C$1561,((CROQUIS_DATOS!$C$1479+CROQUIS_DATOS!$C$1480)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1">
        <f>IF(AND(CROQUIS_DATOS!$C$1472=1,CROQUIS_DATOS!$C$1478&gt;=1,((CROQUIS_DATOS!$C$1479+CROQUIS_DATOS!$C$1480))-(CROQUIS_DATOS!$C$1479)&gt;0.5,(CROQUIS_DATOS!$C$1481)-(0)&gt;0.5),(CROQUIS_DATOS!$C$1567+(IF(IF(MOD(MIN(INT(($A81-1)/2)+1,MAX(1,INT(((((CROQUIS_DATOS!$C$1479+CROQUIS_DATOS!$C$1480))-(CROQUIS_DATOS!$C$1479))+((CROQUIS_DATOS!$C$1481)*CROQUIS_DATOS!$C$1561-(0)*CROQUIS_DATOS!$C$1561))/CROQUIS_DATOS!$C$1568-0.000001))),2)=1,IF(INT(($A81-1)/2)+1&gt;MAX(1,INT(((((CROQUIS_DATOS!$C$1479+CROQUIS_DATOS!$C$1480))-(CROQUIS_DATOS!$C$1479))+((CROQUIS_DATOS!$C$1481)*CROQUIS_DATOS!$C$1561-(0)*CROQUIS_DATOS!$C$1561))/CROQUIS_DATOS!$C$1568-0.000001)),1,MOD($A81-1,2)),1-IF(INT(($A81-1)/2)+1&gt;MAX(1,INT(((((CROQUIS_DATOS!$C$1479+CROQUIS_DATOS!$C$1480))-(CROQUIS_DATOS!$C$1479))+((CROQUIS_DATOS!$C$1481)*CROQUIS_DATOS!$C$1561-(0)*CROQUIS_DATOS!$C$1561))/CROQUIS_DATOS!$C$1568-0.000001)),1,MOD($A81-1,2)))=1,MIN((CROQUIS_DATOS!$C$1481)*CROQUIS_DATOS!$C$1561,((CROQUIS_DATOS!$C$1479+CROQUIS_DATOS!$C$1480)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1">
        <f>IF(AND(CROQUIS_DATOS!$C$1472=1,CROQUIS_DATOS!$C$1478&gt;=1,((CROQUIS_DATOS!$C$1479+CROQUIS_DATOS!$C$1480))-(CROQUIS_DATOS!$C$1479)&gt;0.5,(CROQUIS_DATOS!$C$1476)-((CROQUIS_DATOS!$C$1481+CROQUIS_DATOS!$C$1482))&gt;0.5),(CROQUIS_DATOS!$C$1566+(IF(IF(MOD(MIN(INT(($A81-1)/2)+1,MAX(1,INT(((((CROQUIS_DATOS!$C$1479+CROQUIS_DATOS!$C$1480))-(CROQUIS_DATOS!$C$1479))+((CROQUIS_DATOS!$C$1476)*CROQUIS_DATOS!$C$1561-((CROQUIS_DATOS!$C$1481+CROQUIS_DATOS!$C$1482))*CROQUIS_DATOS!$C$1561))/CROQUIS_DATOS!$C$1568-0.000001))),2)=1,IF(INT(($A81-1)/2)+1&gt;MAX(1,INT(((((CROQUIS_DATOS!$C$1479+CROQUIS_DATOS!$C$1480))-(CROQUIS_DATOS!$C$1479))+((CROQUIS_DATOS!$C$1476)*CROQUIS_DATOS!$C$1561-((CROQUIS_DATOS!$C$1481+CROQUIS_DATOS!$C$1482))*CROQUIS_DATOS!$C$1561))/CROQUIS_DATOS!$C$1568-0.000001)),1,MOD($A81-1,2)),1-IF(INT(($A81-1)/2)+1&gt;MAX(1,INT(((((CROQUIS_DATOS!$C$1479+CROQUIS_DATOS!$C$1480))-(CROQUIS_DATOS!$C$1479))+((CROQUIS_DATOS!$C$1476)*CROQUIS_DATOS!$C$1561-((CROQUIS_DATOS!$C$1481+CROQUIS_DATOS!$C$1482))*CROQUIS_DATOS!$C$1561))/CROQUIS_DATOS!$C$1568-0.000001)),1,MOD($A81-1,2)))=1,MIN((CROQUIS_DATOS!$C$1476)*CROQUIS_DATOS!$C$1561,((CROQUIS_DATOS!$C$1479+CROQUIS_DATOS!$C$1480)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1">
        <f>IF(AND(CROQUIS_DATOS!$C$1472=1,CROQUIS_DATOS!$C$1478&gt;=1,((CROQUIS_DATOS!$C$1479+CROQUIS_DATOS!$C$1480))-(CROQUIS_DATOS!$C$1479)&gt;0.5,(CROQUIS_DATOS!$C$1476)-((CROQUIS_DATOS!$C$1481+CROQUIS_DATOS!$C$1482))&gt;0.5),(CROQUIS_DATOS!$C$1567+(IF(IF(MOD(MIN(INT(($A81-1)/2)+1,MAX(1,INT(((((CROQUIS_DATOS!$C$1479+CROQUIS_DATOS!$C$1480))-(CROQUIS_DATOS!$C$1479))+((CROQUIS_DATOS!$C$1476)*CROQUIS_DATOS!$C$1561-((CROQUIS_DATOS!$C$1481+CROQUIS_DATOS!$C$1482))*CROQUIS_DATOS!$C$1561))/CROQUIS_DATOS!$C$1568-0.000001))),2)=1,IF(INT(($A81-1)/2)+1&gt;MAX(1,INT(((((CROQUIS_DATOS!$C$1479+CROQUIS_DATOS!$C$1480))-(CROQUIS_DATOS!$C$1479))+((CROQUIS_DATOS!$C$1476)*CROQUIS_DATOS!$C$1561-((CROQUIS_DATOS!$C$1481+CROQUIS_DATOS!$C$1482))*CROQUIS_DATOS!$C$1561))/CROQUIS_DATOS!$C$1568-0.000001)),1,MOD($A81-1,2)),1-IF(INT(($A81-1)/2)+1&gt;MAX(1,INT(((((CROQUIS_DATOS!$C$1479+CROQUIS_DATOS!$C$1480))-(CROQUIS_DATOS!$C$1479))+((CROQUIS_DATOS!$C$1476)*CROQUIS_DATOS!$C$1561-((CROQUIS_DATOS!$C$1481+CROQUIS_DATOS!$C$1482))*CROQUIS_DATOS!$C$1561))/CROQUIS_DATOS!$C$1568-0.000001)),1,MOD($A81-1,2)))=1,MIN((CROQUIS_DATOS!$C$1476)*CROQUIS_DATOS!$C$1561,((CROQUIS_DATOS!$C$1479+CROQUIS_DATOS!$C$1480)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1">
        <f>IF(AND(CROQUIS_DATOS!$C$1472=1,CROQUIS_DATOS!$C$1478&gt;=2,((CROQUIS_DATOS!$C$1484+CROQUIS_DATOS!$C$1485))-(CROQUIS_DATOS!$C$1484)&gt;0.5,(CROQUIS_DATOS!$C$1486)-(0)&gt;0.5),(CROQUIS_DATOS!$C$1566+(IF(IF(MOD(MIN(INT(($A81-1)/2)+1,MAX(1,INT(((((CROQUIS_DATOS!$C$1484+CROQUIS_DATOS!$C$1485))-(CROQUIS_DATOS!$C$1484))+((CROQUIS_DATOS!$C$1486)*CROQUIS_DATOS!$C$1561-(0)*CROQUIS_DATOS!$C$1561))/CROQUIS_DATOS!$C$1568-0.000001))),2)=1,IF(INT(($A81-1)/2)+1&gt;MAX(1,INT(((((CROQUIS_DATOS!$C$1484+CROQUIS_DATOS!$C$1485))-(CROQUIS_DATOS!$C$1484))+((CROQUIS_DATOS!$C$1486)*CROQUIS_DATOS!$C$1561-(0)*CROQUIS_DATOS!$C$1561))/CROQUIS_DATOS!$C$1568-0.000001)),1,MOD($A81-1,2)),1-IF(INT(($A81-1)/2)+1&gt;MAX(1,INT(((((CROQUIS_DATOS!$C$1484+CROQUIS_DATOS!$C$1485))-(CROQUIS_DATOS!$C$1484))+((CROQUIS_DATOS!$C$1486)*CROQUIS_DATOS!$C$1561-(0)*CROQUIS_DATOS!$C$1561))/CROQUIS_DATOS!$C$1568-0.000001)),1,MOD($A81-1,2)))=1,MIN((CROQUIS_DATOS!$C$1486)*CROQUIS_DATOS!$C$1561,((CROQUIS_DATOS!$C$1484+CROQUIS_DATOS!$C$1485)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1">
        <f>IF(AND(CROQUIS_DATOS!$C$1472=1,CROQUIS_DATOS!$C$1478&gt;=2,((CROQUIS_DATOS!$C$1484+CROQUIS_DATOS!$C$1485))-(CROQUIS_DATOS!$C$1484)&gt;0.5,(CROQUIS_DATOS!$C$1486)-(0)&gt;0.5),(CROQUIS_DATOS!$C$1567+(IF(IF(MOD(MIN(INT(($A81-1)/2)+1,MAX(1,INT(((((CROQUIS_DATOS!$C$1484+CROQUIS_DATOS!$C$1485))-(CROQUIS_DATOS!$C$1484))+((CROQUIS_DATOS!$C$1486)*CROQUIS_DATOS!$C$1561-(0)*CROQUIS_DATOS!$C$1561))/CROQUIS_DATOS!$C$1568-0.000001))),2)=1,IF(INT(($A81-1)/2)+1&gt;MAX(1,INT(((((CROQUIS_DATOS!$C$1484+CROQUIS_DATOS!$C$1485))-(CROQUIS_DATOS!$C$1484))+((CROQUIS_DATOS!$C$1486)*CROQUIS_DATOS!$C$1561-(0)*CROQUIS_DATOS!$C$1561))/CROQUIS_DATOS!$C$1568-0.000001)),1,MOD($A81-1,2)),1-IF(INT(($A81-1)/2)+1&gt;MAX(1,INT(((((CROQUIS_DATOS!$C$1484+CROQUIS_DATOS!$C$1485))-(CROQUIS_DATOS!$C$1484))+((CROQUIS_DATOS!$C$1486)*CROQUIS_DATOS!$C$1561-(0)*CROQUIS_DATOS!$C$1561))/CROQUIS_DATOS!$C$1568-0.000001)),1,MOD($A81-1,2)))=1,MIN((CROQUIS_DATOS!$C$1486)*CROQUIS_DATOS!$C$1561,((CROQUIS_DATOS!$C$1484+CROQUIS_DATOS!$C$1485)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1">
        <f>IF(AND(CROQUIS_DATOS!$C$1472=1,CROQUIS_DATOS!$C$1478&gt;=2,((CROQUIS_DATOS!$C$1484+CROQUIS_DATOS!$C$1485))-(CROQUIS_DATOS!$C$1484)&gt;0.5,(CROQUIS_DATOS!$C$1476)-((CROQUIS_DATOS!$C$1486+CROQUIS_DATOS!$C$1487))&gt;0.5),(CROQUIS_DATOS!$C$1566+(IF(IF(MOD(MIN(INT(($A81-1)/2)+1,MAX(1,INT(((((CROQUIS_DATOS!$C$1484+CROQUIS_DATOS!$C$1485))-(CROQUIS_DATOS!$C$1484))+((CROQUIS_DATOS!$C$1476)*CROQUIS_DATOS!$C$1561-((CROQUIS_DATOS!$C$1486+CROQUIS_DATOS!$C$1487))*CROQUIS_DATOS!$C$1561))/CROQUIS_DATOS!$C$1568-0.000001))),2)=1,IF(INT(($A81-1)/2)+1&gt;MAX(1,INT(((((CROQUIS_DATOS!$C$1484+CROQUIS_DATOS!$C$1485))-(CROQUIS_DATOS!$C$1484))+((CROQUIS_DATOS!$C$1476)*CROQUIS_DATOS!$C$1561-((CROQUIS_DATOS!$C$1486+CROQUIS_DATOS!$C$1487))*CROQUIS_DATOS!$C$1561))/CROQUIS_DATOS!$C$1568-0.000001)),1,MOD($A81-1,2)),1-IF(INT(($A81-1)/2)+1&gt;MAX(1,INT(((((CROQUIS_DATOS!$C$1484+CROQUIS_DATOS!$C$1485))-(CROQUIS_DATOS!$C$1484))+((CROQUIS_DATOS!$C$1476)*CROQUIS_DATOS!$C$1561-((CROQUIS_DATOS!$C$1486+CROQUIS_DATOS!$C$1487))*CROQUIS_DATOS!$C$1561))/CROQUIS_DATOS!$C$1568-0.000001)),1,MOD($A81-1,2)))=1,MIN((CROQUIS_DATOS!$C$1476)*CROQUIS_DATOS!$C$1561,((CROQUIS_DATOS!$C$1484+CROQUIS_DATOS!$C$1485)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1">
        <f>IF(AND(CROQUIS_DATOS!$C$1472=1,CROQUIS_DATOS!$C$1478&gt;=2,((CROQUIS_DATOS!$C$1484+CROQUIS_DATOS!$C$1485))-(CROQUIS_DATOS!$C$1484)&gt;0.5,(CROQUIS_DATOS!$C$1476)-((CROQUIS_DATOS!$C$1486+CROQUIS_DATOS!$C$1487))&gt;0.5),(CROQUIS_DATOS!$C$1567+(IF(IF(MOD(MIN(INT(($A81-1)/2)+1,MAX(1,INT(((((CROQUIS_DATOS!$C$1484+CROQUIS_DATOS!$C$1485))-(CROQUIS_DATOS!$C$1484))+((CROQUIS_DATOS!$C$1476)*CROQUIS_DATOS!$C$1561-((CROQUIS_DATOS!$C$1486+CROQUIS_DATOS!$C$1487))*CROQUIS_DATOS!$C$1561))/CROQUIS_DATOS!$C$1568-0.000001))),2)=1,IF(INT(($A81-1)/2)+1&gt;MAX(1,INT(((((CROQUIS_DATOS!$C$1484+CROQUIS_DATOS!$C$1485))-(CROQUIS_DATOS!$C$1484))+((CROQUIS_DATOS!$C$1476)*CROQUIS_DATOS!$C$1561-((CROQUIS_DATOS!$C$1486+CROQUIS_DATOS!$C$1487))*CROQUIS_DATOS!$C$1561))/CROQUIS_DATOS!$C$1568-0.000001)),1,MOD($A81-1,2)),1-IF(INT(($A81-1)/2)+1&gt;MAX(1,INT(((((CROQUIS_DATOS!$C$1484+CROQUIS_DATOS!$C$1485))-(CROQUIS_DATOS!$C$1484))+((CROQUIS_DATOS!$C$1476)*CROQUIS_DATOS!$C$1561-((CROQUIS_DATOS!$C$1486+CROQUIS_DATOS!$C$1487))*CROQUIS_DATOS!$C$1561))/CROQUIS_DATOS!$C$1568-0.000001)),1,MOD($A81-1,2)))=1,MIN((CROQUIS_DATOS!$C$1476)*CROQUIS_DATOS!$C$1561,((CROQUIS_DATOS!$C$1484+CROQUIS_DATOS!$C$1485)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1">
        <f>IF(AND(CROQUIS_DATOS!$C$1472=1,CROQUIS_DATOS!$C$1478&gt;=3,((CROQUIS_DATOS!$C$1489+CROQUIS_DATOS!$C$1490))-(CROQUIS_DATOS!$C$1489)&gt;0.5,(CROQUIS_DATOS!$C$1491)-(0)&gt;0.5),(CROQUIS_DATOS!$C$1566+(IF(IF(MOD(MIN(INT(($A81-1)/2)+1,MAX(1,INT(((((CROQUIS_DATOS!$C$1489+CROQUIS_DATOS!$C$1490))-(CROQUIS_DATOS!$C$1489))+((CROQUIS_DATOS!$C$1491)*CROQUIS_DATOS!$C$1561-(0)*CROQUIS_DATOS!$C$1561))/CROQUIS_DATOS!$C$1568-0.000001))),2)=1,IF(INT(($A81-1)/2)+1&gt;MAX(1,INT(((((CROQUIS_DATOS!$C$1489+CROQUIS_DATOS!$C$1490))-(CROQUIS_DATOS!$C$1489))+((CROQUIS_DATOS!$C$1491)*CROQUIS_DATOS!$C$1561-(0)*CROQUIS_DATOS!$C$1561))/CROQUIS_DATOS!$C$1568-0.000001)),1,MOD($A81-1,2)),1-IF(INT(($A81-1)/2)+1&gt;MAX(1,INT(((((CROQUIS_DATOS!$C$1489+CROQUIS_DATOS!$C$1490))-(CROQUIS_DATOS!$C$1489))+((CROQUIS_DATOS!$C$1491)*CROQUIS_DATOS!$C$1561-(0)*CROQUIS_DATOS!$C$1561))/CROQUIS_DATOS!$C$1568-0.000001)),1,MOD($A81-1,2)))=1,MIN((CROQUIS_DATOS!$C$1491)*CROQUIS_DATOS!$C$1561,((CROQUIS_DATOS!$C$1489+CROQUIS_DATOS!$C$1490)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1">
        <f>IF(AND(CROQUIS_DATOS!$C$1472=1,CROQUIS_DATOS!$C$1478&gt;=3,((CROQUIS_DATOS!$C$1489+CROQUIS_DATOS!$C$1490))-(CROQUIS_DATOS!$C$1489)&gt;0.5,(CROQUIS_DATOS!$C$1491)-(0)&gt;0.5),(CROQUIS_DATOS!$C$1567+(IF(IF(MOD(MIN(INT(($A81-1)/2)+1,MAX(1,INT(((((CROQUIS_DATOS!$C$1489+CROQUIS_DATOS!$C$1490))-(CROQUIS_DATOS!$C$1489))+((CROQUIS_DATOS!$C$1491)*CROQUIS_DATOS!$C$1561-(0)*CROQUIS_DATOS!$C$1561))/CROQUIS_DATOS!$C$1568-0.000001))),2)=1,IF(INT(($A81-1)/2)+1&gt;MAX(1,INT(((((CROQUIS_DATOS!$C$1489+CROQUIS_DATOS!$C$1490))-(CROQUIS_DATOS!$C$1489))+((CROQUIS_DATOS!$C$1491)*CROQUIS_DATOS!$C$1561-(0)*CROQUIS_DATOS!$C$1561))/CROQUIS_DATOS!$C$1568-0.000001)),1,MOD($A81-1,2)),1-IF(INT(($A81-1)/2)+1&gt;MAX(1,INT(((((CROQUIS_DATOS!$C$1489+CROQUIS_DATOS!$C$1490))-(CROQUIS_DATOS!$C$1489))+((CROQUIS_DATOS!$C$1491)*CROQUIS_DATOS!$C$1561-(0)*CROQUIS_DATOS!$C$1561))/CROQUIS_DATOS!$C$1568-0.000001)),1,MOD($A81-1,2)))=1,MIN((CROQUIS_DATOS!$C$1491)*CROQUIS_DATOS!$C$1561,((CROQUIS_DATOS!$C$1489+CROQUIS_DATOS!$C$1490)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1">
        <f>IF(AND(CROQUIS_DATOS!$C$1472=1,CROQUIS_DATOS!$C$1478&gt;=3,((CROQUIS_DATOS!$C$1489+CROQUIS_DATOS!$C$1490))-(CROQUIS_DATOS!$C$1489)&gt;0.5,(CROQUIS_DATOS!$C$1476)-((CROQUIS_DATOS!$C$1491+CROQUIS_DATOS!$C$1492))&gt;0.5),(CROQUIS_DATOS!$C$1566+(IF(IF(MOD(MIN(INT(($A81-1)/2)+1,MAX(1,INT(((((CROQUIS_DATOS!$C$1489+CROQUIS_DATOS!$C$1490))-(CROQUIS_DATOS!$C$1489))+((CROQUIS_DATOS!$C$1476)*CROQUIS_DATOS!$C$1561-((CROQUIS_DATOS!$C$1491+CROQUIS_DATOS!$C$1492))*CROQUIS_DATOS!$C$1561))/CROQUIS_DATOS!$C$1568-0.000001))),2)=1,IF(INT(($A81-1)/2)+1&gt;MAX(1,INT(((((CROQUIS_DATOS!$C$1489+CROQUIS_DATOS!$C$1490))-(CROQUIS_DATOS!$C$1489))+((CROQUIS_DATOS!$C$1476)*CROQUIS_DATOS!$C$1561-((CROQUIS_DATOS!$C$1491+CROQUIS_DATOS!$C$1492))*CROQUIS_DATOS!$C$1561))/CROQUIS_DATOS!$C$1568-0.000001)),1,MOD($A81-1,2)),1-IF(INT(($A81-1)/2)+1&gt;MAX(1,INT(((((CROQUIS_DATOS!$C$1489+CROQUIS_DATOS!$C$1490))-(CROQUIS_DATOS!$C$1489))+((CROQUIS_DATOS!$C$1476)*CROQUIS_DATOS!$C$1561-((CROQUIS_DATOS!$C$1491+CROQUIS_DATOS!$C$1492))*CROQUIS_DATOS!$C$1561))/CROQUIS_DATOS!$C$1568-0.000001)),1,MOD($A81-1,2)))=1,MIN((CROQUIS_DATOS!$C$1476)*CROQUIS_DATOS!$C$1561,((CROQUIS_DATOS!$C$1489+CROQUIS_DATOS!$C$1490)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1">
        <f>IF(AND(CROQUIS_DATOS!$C$1472=1,CROQUIS_DATOS!$C$1478&gt;=3,((CROQUIS_DATOS!$C$1489+CROQUIS_DATOS!$C$1490))-(CROQUIS_DATOS!$C$1489)&gt;0.5,(CROQUIS_DATOS!$C$1476)-((CROQUIS_DATOS!$C$1491+CROQUIS_DATOS!$C$1492))&gt;0.5),(CROQUIS_DATOS!$C$1567+(IF(IF(MOD(MIN(INT(($A81-1)/2)+1,MAX(1,INT(((((CROQUIS_DATOS!$C$1489+CROQUIS_DATOS!$C$1490))-(CROQUIS_DATOS!$C$1489))+((CROQUIS_DATOS!$C$1476)*CROQUIS_DATOS!$C$1561-((CROQUIS_DATOS!$C$1491+CROQUIS_DATOS!$C$1492))*CROQUIS_DATOS!$C$1561))/CROQUIS_DATOS!$C$1568-0.000001))),2)=1,IF(INT(($A81-1)/2)+1&gt;MAX(1,INT(((((CROQUIS_DATOS!$C$1489+CROQUIS_DATOS!$C$1490))-(CROQUIS_DATOS!$C$1489))+((CROQUIS_DATOS!$C$1476)*CROQUIS_DATOS!$C$1561-((CROQUIS_DATOS!$C$1491+CROQUIS_DATOS!$C$1492))*CROQUIS_DATOS!$C$1561))/CROQUIS_DATOS!$C$1568-0.000001)),1,MOD($A81-1,2)),1-IF(INT(($A81-1)/2)+1&gt;MAX(1,INT(((((CROQUIS_DATOS!$C$1489+CROQUIS_DATOS!$C$1490))-(CROQUIS_DATOS!$C$1489))+((CROQUIS_DATOS!$C$1476)*CROQUIS_DATOS!$C$1561-((CROQUIS_DATOS!$C$1491+CROQUIS_DATOS!$C$1492))*CROQUIS_DATOS!$C$1561))/CROQUIS_DATOS!$C$1568-0.000001)),1,MOD($A81-1,2)))=1,MIN((CROQUIS_DATOS!$C$1476)*CROQUIS_DATOS!$C$1561,((CROQUIS_DATOS!$C$1489+CROQUIS_DATOS!$C$1490)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1">
        <f>IF(AND(CROQUIS_DATOS!$C$1472=1,CROQUIS_DATOS!$C$1478&gt;=4,((CROQUIS_DATOS!$C$1494+CROQUIS_DATOS!$C$1495))-(CROQUIS_DATOS!$C$1494)&gt;0.5,(CROQUIS_DATOS!$C$1496)-(0)&gt;0.5),(CROQUIS_DATOS!$C$1566+(IF(IF(MOD(MIN(INT(($A81-1)/2)+1,MAX(1,INT(((((CROQUIS_DATOS!$C$1494+CROQUIS_DATOS!$C$1495))-(CROQUIS_DATOS!$C$1494))+((CROQUIS_DATOS!$C$1496)*CROQUIS_DATOS!$C$1561-(0)*CROQUIS_DATOS!$C$1561))/CROQUIS_DATOS!$C$1568-0.000001))),2)=1,IF(INT(($A81-1)/2)+1&gt;MAX(1,INT(((((CROQUIS_DATOS!$C$1494+CROQUIS_DATOS!$C$1495))-(CROQUIS_DATOS!$C$1494))+((CROQUIS_DATOS!$C$1496)*CROQUIS_DATOS!$C$1561-(0)*CROQUIS_DATOS!$C$1561))/CROQUIS_DATOS!$C$1568-0.000001)),1,MOD($A81-1,2)),1-IF(INT(($A81-1)/2)+1&gt;MAX(1,INT(((((CROQUIS_DATOS!$C$1494+CROQUIS_DATOS!$C$1495))-(CROQUIS_DATOS!$C$1494))+((CROQUIS_DATOS!$C$1496)*CROQUIS_DATOS!$C$1561-(0)*CROQUIS_DATOS!$C$1561))/CROQUIS_DATOS!$C$1568-0.000001)),1,MOD($A81-1,2)))=1,MIN((CROQUIS_DATOS!$C$1496)*CROQUIS_DATOS!$C$1561,((CROQUIS_DATOS!$C$1494+CROQUIS_DATOS!$C$1495)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1">
        <f>IF(AND(CROQUIS_DATOS!$C$1472=1,CROQUIS_DATOS!$C$1478&gt;=4,((CROQUIS_DATOS!$C$1494+CROQUIS_DATOS!$C$1495))-(CROQUIS_DATOS!$C$1494)&gt;0.5,(CROQUIS_DATOS!$C$1496)-(0)&gt;0.5),(CROQUIS_DATOS!$C$1567+(IF(IF(MOD(MIN(INT(($A81-1)/2)+1,MAX(1,INT(((((CROQUIS_DATOS!$C$1494+CROQUIS_DATOS!$C$1495))-(CROQUIS_DATOS!$C$1494))+((CROQUIS_DATOS!$C$1496)*CROQUIS_DATOS!$C$1561-(0)*CROQUIS_DATOS!$C$1561))/CROQUIS_DATOS!$C$1568-0.000001))),2)=1,IF(INT(($A81-1)/2)+1&gt;MAX(1,INT(((((CROQUIS_DATOS!$C$1494+CROQUIS_DATOS!$C$1495))-(CROQUIS_DATOS!$C$1494))+((CROQUIS_DATOS!$C$1496)*CROQUIS_DATOS!$C$1561-(0)*CROQUIS_DATOS!$C$1561))/CROQUIS_DATOS!$C$1568-0.000001)),1,MOD($A81-1,2)),1-IF(INT(($A81-1)/2)+1&gt;MAX(1,INT(((((CROQUIS_DATOS!$C$1494+CROQUIS_DATOS!$C$1495))-(CROQUIS_DATOS!$C$1494))+((CROQUIS_DATOS!$C$1496)*CROQUIS_DATOS!$C$1561-(0)*CROQUIS_DATOS!$C$1561))/CROQUIS_DATOS!$C$1568-0.000001)),1,MOD($A81-1,2)))=1,MIN((CROQUIS_DATOS!$C$1496)*CROQUIS_DATOS!$C$1561,((CROQUIS_DATOS!$C$1494+CROQUIS_DATOS!$C$1495)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1">
        <f>IF(AND(CROQUIS_DATOS!$C$1472=1,CROQUIS_DATOS!$C$1478&gt;=4,((CROQUIS_DATOS!$C$1494+CROQUIS_DATOS!$C$1495))-(CROQUIS_DATOS!$C$1494)&gt;0.5,(CROQUIS_DATOS!$C$1476)-((CROQUIS_DATOS!$C$1496+CROQUIS_DATOS!$C$1497))&gt;0.5),(CROQUIS_DATOS!$C$1566+(IF(IF(MOD(MIN(INT(($A81-1)/2)+1,MAX(1,INT(((((CROQUIS_DATOS!$C$1494+CROQUIS_DATOS!$C$1495))-(CROQUIS_DATOS!$C$1494))+((CROQUIS_DATOS!$C$1476)*CROQUIS_DATOS!$C$1561-((CROQUIS_DATOS!$C$1496+CROQUIS_DATOS!$C$1497))*CROQUIS_DATOS!$C$1561))/CROQUIS_DATOS!$C$1568-0.000001))),2)=1,IF(INT(($A81-1)/2)+1&gt;MAX(1,INT(((((CROQUIS_DATOS!$C$1494+CROQUIS_DATOS!$C$1495))-(CROQUIS_DATOS!$C$1494))+((CROQUIS_DATOS!$C$1476)*CROQUIS_DATOS!$C$1561-((CROQUIS_DATOS!$C$1496+CROQUIS_DATOS!$C$1497))*CROQUIS_DATOS!$C$1561))/CROQUIS_DATOS!$C$1568-0.000001)),1,MOD($A81-1,2)),1-IF(INT(($A81-1)/2)+1&gt;MAX(1,INT(((((CROQUIS_DATOS!$C$1494+CROQUIS_DATOS!$C$1495))-(CROQUIS_DATOS!$C$1494))+((CROQUIS_DATOS!$C$1476)*CROQUIS_DATOS!$C$1561-((CROQUIS_DATOS!$C$1496+CROQUIS_DATOS!$C$1497))*CROQUIS_DATOS!$C$1561))/CROQUIS_DATOS!$C$1568-0.000001)),1,MOD($A81-1,2)))=1,MIN((CROQUIS_DATOS!$C$1476)*CROQUIS_DATOS!$C$1561,((CROQUIS_DATOS!$C$1494+CROQUIS_DATOS!$C$1495)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1">
        <f>IF(AND(CROQUIS_DATOS!$C$1472=1,CROQUIS_DATOS!$C$1478&gt;=4,((CROQUIS_DATOS!$C$1494+CROQUIS_DATOS!$C$1495))-(CROQUIS_DATOS!$C$1494)&gt;0.5,(CROQUIS_DATOS!$C$1476)-((CROQUIS_DATOS!$C$1496+CROQUIS_DATOS!$C$1497))&gt;0.5),(CROQUIS_DATOS!$C$1567+(IF(IF(MOD(MIN(INT(($A81-1)/2)+1,MAX(1,INT(((((CROQUIS_DATOS!$C$1494+CROQUIS_DATOS!$C$1495))-(CROQUIS_DATOS!$C$1494))+((CROQUIS_DATOS!$C$1476)*CROQUIS_DATOS!$C$1561-((CROQUIS_DATOS!$C$1496+CROQUIS_DATOS!$C$1497))*CROQUIS_DATOS!$C$1561))/CROQUIS_DATOS!$C$1568-0.000001))),2)=1,IF(INT(($A81-1)/2)+1&gt;MAX(1,INT(((((CROQUIS_DATOS!$C$1494+CROQUIS_DATOS!$C$1495))-(CROQUIS_DATOS!$C$1494))+((CROQUIS_DATOS!$C$1476)*CROQUIS_DATOS!$C$1561-((CROQUIS_DATOS!$C$1496+CROQUIS_DATOS!$C$1497))*CROQUIS_DATOS!$C$1561))/CROQUIS_DATOS!$C$1568-0.000001)),1,MOD($A81-1,2)),1-IF(INT(($A81-1)/2)+1&gt;MAX(1,INT(((((CROQUIS_DATOS!$C$1494+CROQUIS_DATOS!$C$1495))-(CROQUIS_DATOS!$C$1494))+((CROQUIS_DATOS!$C$1476)*CROQUIS_DATOS!$C$1561-((CROQUIS_DATOS!$C$1496+CROQUIS_DATOS!$C$1497))*CROQUIS_DATOS!$C$1561))/CROQUIS_DATOS!$C$1568-0.000001)),1,MOD($A81-1,2)))=1,MIN((CROQUIS_DATOS!$C$1476)*CROQUIS_DATOS!$C$1561,((CROQUIS_DATOS!$C$1494+CROQUIS_DATOS!$C$1495)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1">
        <f>IF(AND(CROQUIS_DATOS!$C$1472=1,1),(CROQUIS_DATOS!$C$1571+(CHOOSE(MIN(MAX(IF(INT(($A81-1)/5)+1&gt;CROQUIS_DATOS!$C$1525,5,MOD($A81-1,5)+1),1),5),(INDEX($E$8:$E$23,MIN(INT(($A81-1)/5)+1,CROQUIS_DATOS!$C$1525))-INDEX($F$8:$F$23,MIN(INT(($A81-1)/5)+1,CROQUIS_DATOS!$C$1525))/2),(INDEX($E$8:$E$23,MIN(INT(($A81-1)/5)+1,CROQUIS_DATOS!$C$1525))+INDEX($F$8:$F$23,MIN(INT(($A81-1)/5)+1,CROQUIS_DATOS!$C$1525))/2),(INDEX($E$8:$E$23,MIN(INT(($A81-1)/5)+1,CROQUIS_DATOS!$C$1525))+INDEX($F$8:$F$23,MIN(INT(($A81-1)/5)+1,CROQUIS_DATOS!$C$1525))/2),(INDEX($E$8:$E$23,MIN(INT(($A81-1)/5)+1,CROQUIS_DATOS!$C$1525))-INDEX($F$8:$F$23,MIN(INT(($A81-1)/5)+1,CROQUIS_DATOS!$C$1525))/2),(INDEX($E$8:$E$23,MIN(INT(($A81-1)/5)+1,CROQUIS_DATOS!$C$1525))-INDEX($F$8:$F$23,MIN(INT(($A81-1)/5)+1,CROQUIS_DATOS!$C$1525))/2)))*CROQUIS_DATOS!$C$1569),-1000)</f>
        <v>95.24</v>
      </c>
      <c r="GE81">
        <f>IF(AND(CROQUIS_DATOS!$C$1472=1,1),(CROQUIS_DATOS!$C$1572+(CHOOSE(MIN(MAX(IF(INT(($A81-1)/5)+1&gt;CROQUIS_DATOS!$C$1525,5,MOD($A81-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2">
      <c r="A82" t="n">
        <v>75</v>
      </c>
      <c r="N82">
        <f>IF(AND(CROQUIS_DATOS!$C$1472=1,1),(CROQUIS_DATOS!$C$1563+(IF(IF(IF(INT(($A82-1)/70)+1&gt;CROQUIS_DATOS!$C$1525,70,MOD($A82-1,70)+1)=1,0,IF(IF(INT(($A82-1)/70)+1&gt;CROQUIS_DATOS!$C$1525,70,MOD($A82-1,70)+1)&gt;2*CROQUIS_DATOS!$C$1541+1,IF(MOD(CROQUIS_DATOS!$C$1541,2)=1,1,0),IF(MOD(MIN(INT((IF(INT(($A82-1)/70)+1&gt;CROQUIS_DATOS!$C$1525,70,MOD($A82-1,70)+1)-2)/2)+1,CROQUIS_DATOS!$C$1541),2)=1,IF(MOD(IF(INT(($A82-1)/70)+1&gt;CROQUIS_DATOS!$C$1525,70,MOD($A82-1,70)+1)-2,2)=0,0,1),IF(MOD(IF(INT(($A82-1)/70)+1&gt;CROQUIS_DATOS!$C$1525,70,MOD($A82-1,70)+1)-2,2)=0,1,0))))=0,(INDEX($E$8:$E$23,MIN(INT(($A82-1)/70)+1,CROQUIS_DATOS!$C$1525))-INDEX($F$8:$F$23,MIN(INT(($A82-1)/70)+1,CROQUIS_DATOS!$C$1525))/2),(INDEX($E$8:$E$23,MIN(INT(($A82-1)/70)+1,CROQUIS_DATOS!$C$1525))+INDEX($F$8:$F$23,MIN(INT(($A82-1)/70)+1,CROQUIS_DATOS!$C$1525))/2)))*CROQUIS_DATOS!$C$1562),-1000)</f>
        <v>18.5775862068965</v>
      </c>
      <c r="O82">
        <f>IF(AND(CROQUIS_DATOS!$C$1472=1,1),(CROQUIS_DATOS!$C$1564+(IF(OR(IF(INT(($A82-1)/70)+1&gt;CROQUIS_DATOS!$C$1525,70,MOD($A82-1,70)+1)=1,IF(INT(($A82-1)/70)+1&gt;CROQUIS_DATOS!$C$1525,70,MOD($A82-1,70)+1)&gt;2*CROQUIS_DATOS!$C$1541+1),CROQUIS_DATOS!$C$1476,INDEX($H$8:$H$41,MIN(INT((IF(INT(($A82-1)/70)+1&gt;CROQUIS_DATOS!$C$1525,70,MOD($A82-1,70)+1)-2)/2)+1,CROQUIS_DATOS!$C$1541))))*CROQUIS_DATOS!$C$1561*CROQUIS_DATOS!$C$1562),-1000)</f>
        <v>7.38793103448276</v>
      </c>
      <c r="P82">
        <f>IF(AND(CROQUIS_DATOS!$C$1472=1,CROQUIS_DATOS!$C$1555=1),(CROQUIS_DATOS!$C$1563+(IF(IF(OR(MOD($A82-1,62)+1=1,IF(CHOOSE(MIN(MAX(MIN(INT(($A82-1)/62)+1,5),1),5),CROQUIS_DATOS!$C$1501,CROQUIS_DATOS!$C$1505,CROQUIS_DATOS!$C$1509,CROQUIS_DATOS!$C$1513,CROQUIS_DATOS!$C$1517)=1,CROQUIS_DATOS!$C$1557,0)=0),0,IF(MOD($A82-1,62)+1&gt;2*IF(CHOOSE(MIN(MAX(MIN(INT(($A82-1)/62)+1,5),1),5),CROQUIS_DATOS!$C$1501,CROQUIS_DATOS!$C$1505,CROQUIS_DATOS!$C$1509,CROQUIS_DATOS!$C$1513,CROQUIS_DATOS!$C$1517)=1,CROQUIS_DATOS!$C$1557,0)+1,IF(MOD(IF(CHOOSE(MIN(MAX(MIN(INT(($A82-1)/62)+1,5),1),5),CROQUIS_DATOS!$C$1501,CROQUIS_DATOS!$C$1505,CROQUIS_DATOS!$C$1509,CROQUIS_DATOS!$C$1513,CROQUIS_DATOS!$C$1517)=1,CROQUIS_DATOS!$C$1557,0),2)=1,1,0),IF(MOD(MIN(INT((MOD($A82-1,62)+1-2)/2)+1,MAX(IF(CHOOSE(MIN(MAX(MIN(INT(($A82-1)/62)+1,5),1),5),CROQUIS_DATOS!$C$1501,CROQUIS_DATOS!$C$1505,CROQUIS_DATOS!$C$1509,CROQUIS_DATOS!$C$1513,CROQUIS_DATOS!$C$1517)=1,CROQUIS_DATOS!$C$1557,0),1)),2)=1,IF(MOD(MOD($A82-1,62)+1-2,2)=0,0,1),IF(MOD(MOD($A82-1,62)+1-2,2)=0,1,0))))=0,(CHOOSE(MIN(MAX(MIN(INT(($A82-1)/62)+1,5),1),5),CROQUIS_DATOS!$C$1499,CROQUIS_DATOS!$C$1503,CROQUIS_DATOS!$C$1507,CROQUIS_DATOS!$C$1511,CROQUIS_DATOS!$C$1515)+IF(CHOOSE(MIN(MAX(MIN(INT(($A82-1)/62)+1,5),1),5),CROQUIS_DATOS!$C$1501,CROQUIS_DATOS!$C$1505,CROQUIS_DATOS!$C$1509,CROQUIS_DATOS!$C$1513,CROQUIS_DATOS!$C$1517)=1,CROQUIS_DATOS!$C$1526,0)),(CHOOSE(MIN(MAX(MIN(INT(($A82-1)/62)+1,5),1),5),CROQUIS_DATOS!$C$1499,CROQUIS_DATOS!$C$1503,CROQUIS_DATOS!$C$1507,CROQUIS_DATOS!$C$1511,CROQUIS_DATOS!$C$1515)+CHOOSE(MIN(MAX(MIN(INT(($A82-1)/62)+1,5),1),5),CROQUIS_DATOS!$C$1500,CROQUIS_DATOS!$C$1504,CROQUIS_DATOS!$C$1508,CROQUIS_DATOS!$C$1512,CROQUIS_DATOS!$C$1516)-IF(CHOOSE(MIN(MAX(MIN(INT(($A82-1)/62)+1,5),1),5),CROQUIS_DATOS!$C$1501,CROQUIS_DATOS!$C$1505,CROQUIS_DATOS!$C$1509,CROQUIS_DATOS!$C$1513,CROQUIS_DATOS!$C$1517)=1,CROQUIS_DATOS!$C$1526,0))))*CROQUIS_DATOS!$C$1562),-1000)</f>
        <v>-1000</v>
      </c>
      <c r="Q82">
        <f>IF(AND(CROQUIS_DATOS!$C$1472=1,CROQUIS_DATOS!$C$1555=1),(CROQUIS_DATOS!$C$1564+(IF(OR(OR(MOD($A82-1,62)+1=1,IF(CHOOSE(MIN(MAX(MIN(INT(($A82-1)/62)+1,5),1),5),CROQUIS_DATOS!$C$1501,CROQUIS_DATOS!$C$1505,CROQUIS_DATOS!$C$1509,CROQUIS_DATOS!$C$1513,CROQUIS_DATOS!$C$1517)=1,CROQUIS_DATOS!$C$1557,0)=0),MOD($A82-1,62)+1&gt;2*IF(CHOOSE(MIN(MAX(MIN(INT(($A82-1)/62)+1,5),1),5),CROQUIS_DATOS!$C$1501,CROQUIS_DATOS!$C$1505,CROQUIS_DATOS!$C$1509,CROQUIS_DATOS!$C$1513,CROQUIS_DATOS!$C$1517)=1,CROQUIS_DATOS!$C$1557,0)+1),CROQUIS_DATOS!$C$1476,MIN(INT((MOD($A82-1,62)+1-2)/2)+1,MAX(IF(CHOOSE(MIN(MAX(MIN(INT(($A82-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2">
        <f>IF(AND(CROQUIS_DATOS!$C$1472=1,1),(CROQUIS_DATOS!$C$1563+(MIN(INT(($A82-1)/2)+1,CROQUIS_DATOS!$C$1558)*CROQUIS_DATOS!$C$1559)*CROQUIS_DATOS!$C$1562),-1000)</f>
        <v>82.2281167108753</v>
      </c>
      <c r="U82">
        <f>IF(AND(CROQUIS_DATOS!$C$1472=1,1),(CROQUIS_DATOS!$C$1564+(IF(INT(($A82-1)/2)+1&gt;CROQUIS_DATOS!$C$1558,IF(MOD(CROQUIS_DATOS!$C$1558,2)=1,CROQUIS_DATOS!$C$1476+CROQUIS_DATOS!$C$1528,CROQUIS_DATOS!$C$1476),IF(IF(MOD(MIN(INT(($A82-1)/2)+1,CROQUIS_DATOS!$C$1558),2)=1,MOD($A82-1,2),1-MOD($A82-1,2))=1,CROQUIS_DATOS!$C$1476+CROQUIS_DATOS!$C$1528,CROQUIS_DATOS!$C$1476)))*CROQUIS_DATOS!$C$1561*CROQUIS_DATOS!$C$1562),-1000)</f>
        <v>43</v>
      </c>
      <c r="BZ82">
        <f>IF(AND(CROQUIS_DATOS!$C$1472=1,CROQUIS_DATOS!$C$1500&gt;0,((CROQUIS_DATOS!$C$1499+CROQUIS_DATOS!$C$1500))-(CROQUIS_DATOS!$C$1499)&gt;0.5,(CROQUIS_DATOS!$C$1476)-(0)&gt;0.5),(CROQUIS_DATOS!$C$1566+(IF(IF(MOD(MIN(INT(($A82-1)/2)+1,MAX(1,INT(((((CROQUIS_DATOS!$C$1499+CROQUIS_DATOS!$C$1500))-(CROQUIS_DATOS!$C$1499))+((CROQUIS_DATOS!$C$1476)*CROQUIS_DATOS!$C$1561-(0)*CROQUIS_DATOS!$C$1561))/CROQUIS_DATOS!$C$1568-0.000001))),2)=1,IF(INT(($A82-1)/2)+1&gt;MAX(1,INT(((((CROQUIS_DATOS!$C$1499+CROQUIS_DATOS!$C$1500))-(CROQUIS_DATOS!$C$1499))+((CROQUIS_DATOS!$C$1476)*CROQUIS_DATOS!$C$1561-(0)*CROQUIS_DATOS!$C$1561))/CROQUIS_DATOS!$C$1568-0.000001)),1,MOD($A82-1,2)),1-IF(INT(($A82-1)/2)+1&gt;MAX(1,INT(((((CROQUIS_DATOS!$C$1499+CROQUIS_DATOS!$C$1500))-(CROQUIS_DATOS!$C$1499))+((CROQUIS_DATOS!$C$1476)*CROQUIS_DATOS!$C$1561-(0)*CROQUIS_DATOS!$C$1561))/CROQUIS_DATOS!$C$1568-0.000001)),1,MOD($A82-1,2)))=1,MIN((CROQUIS_DATOS!$C$1476)*CROQUIS_DATOS!$C$1561,((CROQUIS_DATOS!$C$1499+CROQUIS_DATOS!$C$1500)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2">
        <f>IF(AND(CROQUIS_DATOS!$C$1472=1,CROQUIS_DATOS!$C$1500&gt;0,((CROQUIS_DATOS!$C$1499+CROQUIS_DATOS!$C$1500))-(CROQUIS_DATOS!$C$1499)&gt;0.5,(CROQUIS_DATOS!$C$1476)-(0)&gt;0.5),(CROQUIS_DATOS!$C$1567+(IF(IF(MOD(MIN(INT(($A82-1)/2)+1,MAX(1,INT(((((CROQUIS_DATOS!$C$1499+CROQUIS_DATOS!$C$1500))-(CROQUIS_DATOS!$C$1499))+((CROQUIS_DATOS!$C$1476)*CROQUIS_DATOS!$C$1561-(0)*CROQUIS_DATOS!$C$1561))/CROQUIS_DATOS!$C$1568-0.000001))),2)=1,IF(INT(($A82-1)/2)+1&gt;MAX(1,INT(((((CROQUIS_DATOS!$C$1499+CROQUIS_DATOS!$C$1500))-(CROQUIS_DATOS!$C$1499))+((CROQUIS_DATOS!$C$1476)*CROQUIS_DATOS!$C$1561-(0)*CROQUIS_DATOS!$C$1561))/CROQUIS_DATOS!$C$1568-0.000001)),1,MOD($A82-1,2)),1-IF(INT(($A82-1)/2)+1&gt;MAX(1,INT(((((CROQUIS_DATOS!$C$1499+CROQUIS_DATOS!$C$1500))-(CROQUIS_DATOS!$C$1499))+((CROQUIS_DATOS!$C$1476)*CROQUIS_DATOS!$C$1561-(0)*CROQUIS_DATOS!$C$1561))/CROQUIS_DATOS!$C$1568-0.000001)),1,MOD($A82-1,2)))=1,MIN((CROQUIS_DATOS!$C$1476)*CROQUIS_DATOS!$C$1561,((CROQUIS_DATOS!$C$1499+CROQUIS_DATOS!$C$1500)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2">
        <f>IF(AND(CROQUIS_DATOS!$C$1472=1,CROQUIS_DATOS!$C$1504&gt;0,((CROQUIS_DATOS!$C$1503+CROQUIS_DATOS!$C$1504))-(CROQUIS_DATOS!$C$1503)&gt;0.5,(CROQUIS_DATOS!$C$1476)-(0)&gt;0.5),(CROQUIS_DATOS!$C$1566+(IF(IF(MOD(MIN(INT(($A82-1)/2)+1,MAX(1,INT(((((CROQUIS_DATOS!$C$1503+CROQUIS_DATOS!$C$1504))-(CROQUIS_DATOS!$C$1503))+((CROQUIS_DATOS!$C$1476)*CROQUIS_DATOS!$C$1561-(0)*CROQUIS_DATOS!$C$1561))/CROQUIS_DATOS!$C$1568-0.000001))),2)=1,IF(INT(($A82-1)/2)+1&gt;MAX(1,INT(((((CROQUIS_DATOS!$C$1503+CROQUIS_DATOS!$C$1504))-(CROQUIS_DATOS!$C$1503))+((CROQUIS_DATOS!$C$1476)*CROQUIS_DATOS!$C$1561-(0)*CROQUIS_DATOS!$C$1561))/CROQUIS_DATOS!$C$1568-0.000001)),1,MOD($A82-1,2)),1-IF(INT(($A82-1)/2)+1&gt;MAX(1,INT(((((CROQUIS_DATOS!$C$1503+CROQUIS_DATOS!$C$1504))-(CROQUIS_DATOS!$C$1503))+((CROQUIS_DATOS!$C$1476)*CROQUIS_DATOS!$C$1561-(0)*CROQUIS_DATOS!$C$1561))/CROQUIS_DATOS!$C$1568-0.000001)),1,MOD($A82-1,2)))=1,MIN((CROQUIS_DATOS!$C$1476)*CROQUIS_DATOS!$C$1561,((CROQUIS_DATOS!$C$1503+CROQUIS_DATOS!$C$1504)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2">
        <f>IF(AND(CROQUIS_DATOS!$C$1472=1,CROQUIS_DATOS!$C$1504&gt;0,((CROQUIS_DATOS!$C$1503+CROQUIS_DATOS!$C$1504))-(CROQUIS_DATOS!$C$1503)&gt;0.5,(CROQUIS_DATOS!$C$1476)-(0)&gt;0.5),(CROQUIS_DATOS!$C$1567+(IF(IF(MOD(MIN(INT(($A82-1)/2)+1,MAX(1,INT(((((CROQUIS_DATOS!$C$1503+CROQUIS_DATOS!$C$1504))-(CROQUIS_DATOS!$C$1503))+((CROQUIS_DATOS!$C$1476)*CROQUIS_DATOS!$C$1561-(0)*CROQUIS_DATOS!$C$1561))/CROQUIS_DATOS!$C$1568-0.000001))),2)=1,IF(INT(($A82-1)/2)+1&gt;MAX(1,INT(((((CROQUIS_DATOS!$C$1503+CROQUIS_DATOS!$C$1504))-(CROQUIS_DATOS!$C$1503))+((CROQUIS_DATOS!$C$1476)*CROQUIS_DATOS!$C$1561-(0)*CROQUIS_DATOS!$C$1561))/CROQUIS_DATOS!$C$1568-0.000001)),1,MOD($A82-1,2)),1-IF(INT(($A82-1)/2)+1&gt;MAX(1,INT(((((CROQUIS_DATOS!$C$1503+CROQUIS_DATOS!$C$1504))-(CROQUIS_DATOS!$C$1503))+((CROQUIS_DATOS!$C$1476)*CROQUIS_DATOS!$C$1561-(0)*CROQUIS_DATOS!$C$1561))/CROQUIS_DATOS!$C$1568-0.000001)),1,MOD($A82-1,2)))=1,MIN((CROQUIS_DATOS!$C$1476)*CROQUIS_DATOS!$C$1561,((CROQUIS_DATOS!$C$1503+CROQUIS_DATOS!$C$1504)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2">
        <f>IF(AND(CROQUIS_DATOS!$C$1472=1,CROQUIS_DATOS!$C$1508&gt;0,((CROQUIS_DATOS!$C$1507+CROQUIS_DATOS!$C$1508))-(CROQUIS_DATOS!$C$1507)&gt;0.5,(CROQUIS_DATOS!$C$1476)-(0)&gt;0.5),(CROQUIS_DATOS!$C$1566+(IF(IF(MOD(MIN(INT(($A82-1)/2)+1,MAX(1,INT(((((CROQUIS_DATOS!$C$1507+CROQUIS_DATOS!$C$1508))-(CROQUIS_DATOS!$C$1507))+((CROQUIS_DATOS!$C$1476)*CROQUIS_DATOS!$C$1561-(0)*CROQUIS_DATOS!$C$1561))/CROQUIS_DATOS!$C$1568-0.000001))),2)=1,IF(INT(($A82-1)/2)+1&gt;MAX(1,INT(((((CROQUIS_DATOS!$C$1507+CROQUIS_DATOS!$C$1508))-(CROQUIS_DATOS!$C$1507))+((CROQUIS_DATOS!$C$1476)*CROQUIS_DATOS!$C$1561-(0)*CROQUIS_DATOS!$C$1561))/CROQUIS_DATOS!$C$1568-0.000001)),1,MOD($A82-1,2)),1-IF(INT(($A82-1)/2)+1&gt;MAX(1,INT(((((CROQUIS_DATOS!$C$1507+CROQUIS_DATOS!$C$1508))-(CROQUIS_DATOS!$C$1507))+((CROQUIS_DATOS!$C$1476)*CROQUIS_DATOS!$C$1561-(0)*CROQUIS_DATOS!$C$1561))/CROQUIS_DATOS!$C$1568-0.000001)),1,MOD($A82-1,2)))=1,MIN((CROQUIS_DATOS!$C$1476)*CROQUIS_DATOS!$C$1561,((CROQUIS_DATOS!$C$1507+CROQUIS_DATOS!$C$1508)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2">
        <f>IF(AND(CROQUIS_DATOS!$C$1472=1,CROQUIS_DATOS!$C$1508&gt;0,((CROQUIS_DATOS!$C$1507+CROQUIS_DATOS!$C$1508))-(CROQUIS_DATOS!$C$1507)&gt;0.5,(CROQUIS_DATOS!$C$1476)-(0)&gt;0.5),(CROQUIS_DATOS!$C$1567+(IF(IF(MOD(MIN(INT(($A82-1)/2)+1,MAX(1,INT(((((CROQUIS_DATOS!$C$1507+CROQUIS_DATOS!$C$1508))-(CROQUIS_DATOS!$C$1507))+((CROQUIS_DATOS!$C$1476)*CROQUIS_DATOS!$C$1561-(0)*CROQUIS_DATOS!$C$1561))/CROQUIS_DATOS!$C$1568-0.000001))),2)=1,IF(INT(($A82-1)/2)+1&gt;MAX(1,INT(((((CROQUIS_DATOS!$C$1507+CROQUIS_DATOS!$C$1508))-(CROQUIS_DATOS!$C$1507))+((CROQUIS_DATOS!$C$1476)*CROQUIS_DATOS!$C$1561-(0)*CROQUIS_DATOS!$C$1561))/CROQUIS_DATOS!$C$1568-0.000001)),1,MOD($A82-1,2)),1-IF(INT(($A82-1)/2)+1&gt;MAX(1,INT(((((CROQUIS_DATOS!$C$1507+CROQUIS_DATOS!$C$1508))-(CROQUIS_DATOS!$C$1507))+((CROQUIS_DATOS!$C$1476)*CROQUIS_DATOS!$C$1561-(0)*CROQUIS_DATOS!$C$1561))/CROQUIS_DATOS!$C$1568-0.000001)),1,MOD($A82-1,2)))=1,MIN((CROQUIS_DATOS!$C$1476)*CROQUIS_DATOS!$C$1561,((CROQUIS_DATOS!$C$1507+CROQUIS_DATOS!$C$1508)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2">
        <f>IF(AND(CROQUIS_DATOS!$C$1472=1,CROQUIS_DATOS!$C$1512&gt;0,((CROQUIS_DATOS!$C$1511+CROQUIS_DATOS!$C$1512))-(CROQUIS_DATOS!$C$1511)&gt;0.5,(CROQUIS_DATOS!$C$1476)-(0)&gt;0.5),(CROQUIS_DATOS!$C$1566+(IF(IF(MOD(MIN(INT(($A82-1)/2)+1,MAX(1,INT(((((CROQUIS_DATOS!$C$1511+CROQUIS_DATOS!$C$1512))-(CROQUIS_DATOS!$C$1511))+((CROQUIS_DATOS!$C$1476)*CROQUIS_DATOS!$C$1561-(0)*CROQUIS_DATOS!$C$1561))/CROQUIS_DATOS!$C$1568-0.000001))),2)=1,IF(INT(($A82-1)/2)+1&gt;MAX(1,INT(((((CROQUIS_DATOS!$C$1511+CROQUIS_DATOS!$C$1512))-(CROQUIS_DATOS!$C$1511))+((CROQUIS_DATOS!$C$1476)*CROQUIS_DATOS!$C$1561-(0)*CROQUIS_DATOS!$C$1561))/CROQUIS_DATOS!$C$1568-0.000001)),1,MOD($A82-1,2)),1-IF(INT(($A82-1)/2)+1&gt;MAX(1,INT(((((CROQUIS_DATOS!$C$1511+CROQUIS_DATOS!$C$1512))-(CROQUIS_DATOS!$C$1511))+((CROQUIS_DATOS!$C$1476)*CROQUIS_DATOS!$C$1561-(0)*CROQUIS_DATOS!$C$1561))/CROQUIS_DATOS!$C$1568-0.000001)),1,MOD($A82-1,2)))=1,MIN((CROQUIS_DATOS!$C$1476)*CROQUIS_DATOS!$C$1561,((CROQUIS_DATOS!$C$1511+CROQUIS_DATOS!$C$1512)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2">
        <f>IF(AND(CROQUIS_DATOS!$C$1472=1,CROQUIS_DATOS!$C$1512&gt;0,((CROQUIS_DATOS!$C$1511+CROQUIS_DATOS!$C$1512))-(CROQUIS_DATOS!$C$1511)&gt;0.5,(CROQUIS_DATOS!$C$1476)-(0)&gt;0.5),(CROQUIS_DATOS!$C$1567+(IF(IF(MOD(MIN(INT(($A82-1)/2)+1,MAX(1,INT(((((CROQUIS_DATOS!$C$1511+CROQUIS_DATOS!$C$1512))-(CROQUIS_DATOS!$C$1511))+((CROQUIS_DATOS!$C$1476)*CROQUIS_DATOS!$C$1561-(0)*CROQUIS_DATOS!$C$1561))/CROQUIS_DATOS!$C$1568-0.000001))),2)=1,IF(INT(($A82-1)/2)+1&gt;MAX(1,INT(((((CROQUIS_DATOS!$C$1511+CROQUIS_DATOS!$C$1512))-(CROQUIS_DATOS!$C$1511))+((CROQUIS_DATOS!$C$1476)*CROQUIS_DATOS!$C$1561-(0)*CROQUIS_DATOS!$C$1561))/CROQUIS_DATOS!$C$1568-0.000001)),1,MOD($A82-1,2)),1-IF(INT(($A82-1)/2)+1&gt;MAX(1,INT(((((CROQUIS_DATOS!$C$1511+CROQUIS_DATOS!$C$1512))-(CROQUIS_DATOS!$C$1511))+((CROQUIS_DATOS!$C$1476)*CROQUIS_DATOS!$C$1561-(0)*CROQUIS_DATOS!$C$1561))/CROQUIS_DATOS!$C$1568-0.000001)),1,MOD($A82-1,2)))=1,MIN((CROQUIS_DATOS!$C$1476)*CROQUIS_DATOS!$C$1561,((CROQUIS_DATOS!$C$1511+CROQUIS_DATOS!$C$1512)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2">
        <f>IF(AND(CROQUIS_DATOS!$C$1472=1,CROQUIS_DATOS!$C$1516&gt;0,((CROQUIS_DATOS!$C$1515+CROQUIS_DATOS!$C$1516))-(CROQUIS_DATOS!$C$1515)&gt;0.5,(CROQUIS_DATOS!$C$1476)-(0)&gt;0.5),(CROQUIS_DATOS!$C$1566+(IF(IF(MOD(MIN(INT(($A82-1)/2)+1,MAX(1,INT(((((CROQUIS_DATOS!$C$1515+CROQUIS_DATOS!$C$1516))-(CROQUIS_DATOS!$C$1515))+((CROQUIS_DATOS!$C$1476)*CROQUIS_DATOS!$C$1561-(0)*CROQUIS_DATOS!$C$1561))/CROQUIS_DATOS!$C$1568-0.000001))),2)=1,IF(INT(($A82-1)/2)+1&gt;MAX(1,INT(((((CROQUIS_DATOS!$C$1515+CROQUIS_DATOS!$C$1516))-(CROQUIS_DATOS!$C$1515))+((CROQUIS_DATOS!$C$1476)*CROQUIS_DATOS!$C$1561-(0)*CROQUIS_DATOS!$C$1561))/CROQUIS_DATOS!$C$1568-0.000001)),1,MOD($A82-1,2)),1-IF(INT(($A82-1)/2)+1&gt;MAX(1,INT(((((CROQUIS_DATOS!$C$1515+CROQUIS_DATOS!$C$1516))-(CROQUIS_DATOS!$C$1515))+((CROQUIS_DATOS!$C$1476)*CROQUIS_DATOS!$C$1561-(0)*CROQUIS_DATOS!$C$1561))/CROQUIS_DATOS!$C$1568-0.000001)),1,MOD($A82-1,2)))=1,MIN((CROQUIS_DATOS!$C$1476)*CROQUIS_DATOS!$C$1561,((CROQUIS_DATOS!$C$1515+CROQUIS_DATOS!$C$1516)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2">
        <f>IF(AND(CROQUIS_DATOS!$C$1472=1,CROQUIS_DATOS!$C$1516&gt;0,((CROQUIS_DATOS!$C$1515+CROQUIS_DATOS!$C$1516))-(CROQUIS_DATOS!$C$1515)&gt;0.5,(CROQUIS_DATOS!$C$1476)-(0)&gt;0.5),(CROQUIS_DATOS!$C$1567+(IF(IF(MOD(MIN(INT(($A82-1)/2)+1,MAX(1,INT(((((CROQUIS_DATOS!$C$1515+CROQUIS_DATOS!$C$1516))-(CROQUIS_DATOS!$C$1515))+((CROQUIS_DATOS!$C$1476)*CROQUIS_DATOS!$C$1561-(0)*CROQUIS_DATOS!$C$1561))/CROQUIS_DATOS!$C$1568-0.000001))),2)=1,IF(INT(($A82-1)/2)+1&gt;MAX(1,INT(((((CROQUIS_DATOS!$C$1515+CROQUIS_DATOS!$C$1516))-(CROQUIS_DATOS!$C$1515))+((CROQUIS_DATOS!$C$1476)*CROQUIS_DATOS!$C$1561-(0)*CROQUIS_DATOS!$C$1561))/CROQUIS_DATOS!$C$1568-0.000001)),1,MOD($A82-1,2)),1-IF(INT(($A82-1)/2)+1&gt;MAX(1,INT(((((CROQUIS_DATOS!$C$1515+CROQUIS_DATOS!$C$1516))-(CROQUIS_DATOS!$C$1515))+((CROQUIS_DATOS!$C$1476)*CROQUIS_DATOS!$C$1561-(0)*CROQUIS_DATOS!$C$1561))/CROQUIS_DATOS!$C$1568-0.000001)),1,MOD($A82-1,2)))=1,MIN((CROQUIS_DATOS!$C$1476)*CROQUIS_DATOS!$C$1561,((CROQUIS_DATOS!$C$1515+CROQUIS_DATOS!$C$1516)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2">
        <f>IF(AND(CROQUIS_DATOS!$C$1472=1,CROQUIS_DATOS!$C$1478&gt;=1,((CROQUIS_DATOS!$C$1479+CROQUIS_DATOS!$C$1480))-(CROQUIS_DATOS!$C$1479)&gt;0.5,(CROQUIS_DATOS!$C$1481)-(0)&gt;0.5),(CROQUIS_DATOS!$C$1566+(IF(IF(MOD(MIN(INT(($A82-1)/2)+1,MAX(1,INT(((((CROQUIS_DATOS!$C$1479+CROQUIS_DATOS!$C$1480))-(CROQUIS_DATOS!$C$1479))+((CROQUIS_DATOS!$C$1481)*CROQUIS_DATOS!$C$1561-(0)*CROQUIS_DATOS!$C$1561))/CROQUIS_DATOS!$C$1568-0.000001))),2)=1,IF(INT(($A82-1)/2)+1&gt;MAX(1,INT(((((CROQUIS_DATOS!$C$1479+CROQUIS_DATOS!$C$1480))-(CROQUIS_DATOS!$C$1479))+((CROQUIS_DATOS!$C$1481)*CROQUIS_DATOS!$C$1561-(0)*CROQUIS_DATOS!$C$1561))/CROQUIS_DATOS!$C$1568-0.000001)),1,MOD($A82-1,2)),1-IF(INT(($A82-1)/2)+1&gt;MAX(1,INT(((((CROQUIS_DATOS!$C$1479+CROQUIS_DATOS!$C$1480))-(CROQUIS_DATOS!$C$1479))+((CROQUIS_DATOS!$C$1481)*CROQUIS_DATOS!$C$1561-(0)*CROQUIS_DATOS!$C$1561))/CROQUIS_DATOS!$C$1568-0.000001)),1,MOD($A82-1,2)))=1,MIN((CROQUIS_DATOS!$C$1481)*CROQUIS_DATOS!$C$1561,((CROQUIS_DATOS!$C$1479+CROQUIS_DATOS!$C$1480)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2">
        <f>IF(AND(CROQUIS_DATOS!$C$1472=1,CROQUIS_DATOS!$C$1478&gt;=1,((CROQUIS_DATOS!$C$1479+CROQUIS_DATOS!$C$1480))-(CROQUIS_DATOS!$C$1479)&gt;0.5,(CROQUIS_DATOS!$C$1481)-(0)&gt;0.5),(CROQUIS_DATOS!$C$1567+(IF(IF(MOD(MIN(INT(($A82-1)/2)+1,MAX(1,INT(((((CROQUIS_DATOS!$C$1479+CROQUIS_DATOS!$C$1480))-(CROQUIS_DATOS!$C$1479))+((CROQUIS_DATOS!$C$1481)*CROQUIS_DATOS!$C$1561-(0)*CROQUIS_DATOS!$C$1561))/CROQUIS_DATOS!$C$1568-0.000001))),2)=1,IF(INT(($A82-1)/2)+1&gt;MAX(1,INT(((((CROQUIS_DATOS!$C$1479+CROQUIS_DATOS!$C$1480))-(CROQUIS_DATOS!$C$1479))+((CROQUIS_DATOS!$C$1481)*CROQUIS_DATOS!$C$1561-(0)*CROQUIS_DATOS!$C$1561))/CROQUIS_DATOS!$C$1568-0.000001)),1,MOD($A82-1,2)),1-IF(INT(($A82-1)/2)+1&gt;MAX(1,INT(((((CROQUIS_DATOS!$C$1479+CROQUIS_DATOS!$C$1480))-(CROQUIS_DATOS!$C$1479))+((CROQUIS_DATOS!$C$1481)*CROQUIS_DATOS!$C$1561-(0)*CROQUIS_DATOS!$C$1561))/CROQUIS_DATOS!$C$1568-0.000001)),1,MOD($A82-1,2)))=1,MIN((CROQUIS_DATOS!$C$1481)*CROQUIS_DATOS!$C$1561,((CROQUIS_DATOS!$C$1479+CROQUIS_DATOS!$C$1480)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2">
        <f>IF(AND(CROQUIS_DATOS!$C$1472=1,CROQUIS_DATOS!$C$1478&gt;=1,((CROQUIS_DATOS!$C$1479+CROQUIS_DATOS!$C$1480))-(CROQUIS_DATOS!$C$1479)&gt;0.5,(CROQUIS_DATOS!$C$1476)-((CROQUIS_DATOS!$C$1481+CROQUIS_DATOS!$C$1482))&gt;0.5),(CROQUIS_DATOS!$C$1566+(IF(IF(MOD(MIN(INT(($A82-1)/2)+1,MAX(1,INT(((((CROQUIS_DATOS!$C$1479+CROQUIS_DATOS!$C$1480))-(CROQUIS_DATOS!$C$1479))+((CROQUIS_DATOS!$C$1476)*CROQUIS_DATOS!$C$1561-((CROQUIS_DATOS!$C$1481+CROQUIS_DATOS!$C$1482))*CROQUIS_DATOS!$C$1561))/CROQUIS_DATOS!$C$1568-0.000001))),2)=1,IF(INT(($A82-1)/2)+1&gt;MAX(1,INT(((((CROQUIS_DATOS!$C$1479+CROQUIS_DATOS!$C$1480))-(CROQUIS_DATOS!$C$1479))+((CROQUIS_DATOS!$C$1476)*CROQUIS_DATOS!$C$1561-((CROQUIS_DATOS!$C$1481+CROQUIS_DATOS!$C$1482))*CROQUIS_DATOS!$C$1561))/CROQUIS_DATOS!$C$1568-0.000001)),1,MOD($A82-1,2)),1-IF(INT(($A82-1)/2)+1&gt;MAX(1,INT(((((CROQUIS_DATOS!$C$1479+CROQUIS_DATOS!$C$1480))-(CROQUIS_DATOS!$C$1479))+((CROQUIS_DATOS!$C$1476)*CROQUIS_DATOS!$C$1561-((CROQUIS_DATOS!$C$1481+CROQUIS_DATOS!$C$1482))*CROQUIS_DATOS!$C$1561))/CROQUIS_DATOS!$C$1568-0.000001)),1,MOD($A82-1,2)))=1,MIN((CROQUIS_DATOS!$C$1476)*CROQUIS_DATOS!$C$1561,((CROQUIS_DATOS!$C$1479+CROQUIS_DATOS!$C$1480)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2">
        <f>IF(AND(CROQUIS_DATOS!$C$1472=1,CROQUIS_DATOS!$C$1478&gt;=1,((CROQUIS_DATOS!$C$1479+CROQUIS_DATOS!$C$1480))-(CROQUIS_DATOS!$C$1479)&gt;0.5,(CROQUIS_DATOS!$C$1476)-((CROQUIS_DATOS!$C$1481+CROQUIS_DATOS!$C$1482))&gt;0.5),(CROQUIS_DATOS!$C$1567+(IF(IF(MOD(MIN(INT(($A82-1)/2)+1,MAX(1,INT(((((CROQUIS_DATOS!$C$1479+CROQUIS_DATOS!$C$1480))-(CROQUIS_DATOS!$C$1479))+((CROQUIS_DATOS!$C$1476)*CROQUIS_DATOS!$C$1561-((CROQUIS_DATOS!$C$1481+CROQUIS_DATOS!$C$1482))*CROQUIS_DATOS!$C$1561))/CROQUIS_DATOS!$C$1568-0.000001))),2)=1,IF(INT(($A82-1)/2)+1&gt;MAX(1,INT(((((CROQUIS_DATOS!$C$1479+CROQUIS_DATOS!$C$1480))-(CROQUIS_DATOS!$C$1479))+((CROQUIS_DATOS!$C$1476)*CROQUIS_DATOS!$C$1561-((CROQUIS_DATOS!$C$1481+CROQUIS_DATOS!$C$1482))*CROQUIS_DATOS!$C$1561))/CROQUIS_DATOS!$C$1568-0.000001)),1,MOD($A82-1,2)),1-IF(INT(($A82-1)/2)+1&gt;MAX(1,INT(((((CROQUIS_DATOS!$C$1479+CROQUIS_DATOS!$C$1480))-(CROQUIS_DATOS!$C$1479))+((CROQUIS_DATOS!$C$1476)*CROQUIS_DATOS!$C$1561-((CROQUIS_DATOS!$C$1481+CROQUIS_DATOS!$C$1482))*CROQUIS_DATOS!$C$1561))/CROQUIS_DATOS!$C$1568-0.000001)),1,MOD($A82-1,2)))=1,MIN((CROQUIS_DATOS!$C$1476)*CROQUIS_DATOS!$C$1561,((CROQUIS_DATOS!$C$1479+CROQUIS_DATOS!$C$1480)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2">
        <f>IF(AND(CROQUIS_DATOS!$C$1472=1,CROQUIS_DATOS!$C$1478&gt;=2,((CROQUIS_DATOS!$C$1484+CROQUIS_DATOS!$C$1485))-(CROQUIS_DATOS!$C$1484)&gt;0.5,(CROQUIS_DATOS!$C$1486)-(0)&gt;0.5),(CROQUIS_DATOS!$C$1566+(IF(IF(MOD(MIN(INT(($A82-1)/2)+1,MAX(1,INT(((((CROQUIS_DATOS!$C$1484+CROQUIS_DATOS!$C$1485))-(CROQUIS_DATOS!$C$1484))+((CROQUIS_DATOS!$C$1486)*CROQUIS_DATOS!$C$1561-(0)*CROQUIS_DATOS!$C$1561))/CROQUIS_DATOS!$C$1568-0.000001))),2)=1,IF(INT(($A82-1)/2)+1&gt;MAX(1,INT(((((CROQUIS_DATOS!$C$1484+CROQUIS_DATOS!$C$1485))-(CROQUIS_DATOS!$C$1484))+((CROQUIS_DATOS!$C$1486)*CROQUIS_DATOS!$C$1561-(0)*CROQUIS_DATOS!$C$1561))/CROQUIS_DATOS!$C$1568-0.000001)),1,MOD($A82-1,2)),1-IF(INT(($A82-1)/2)+1&gt;MAX(1,INT(((((CROQUIS_DATOS!$C$1484+CROQUIS_DATOS!$C$1485))-(CROQUIS_DATOS!$C$1484))+((CROQUIS_DATOS!$C$1486)*CROQUIS_DATOS!$C$1561-(0)*CROQUIS_DATOS!$C$1561))/CROQUIS_DATOS!$C$1568-0.000001)),1,MOD($A82-1,2)))=1,MIN((CROQUIS_DATOS!$C$1486)*CROQUIS_DATOS!$C$1561,((CROQUIS_DATOS!$C$1484+CROQUIS_DATOS!$C$1485)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2">
        <f>IF(AND(CROQUIS_DATOS!$C$1472=1,CROQUIS_DATOS!$C$1478&gt;=2,((CROQUIS_DATOS!$C$1484+CROQUIS_DATOS!$C$1485))-(CROQUIS_DATOS!$C$1484)&gt;0.5,(CROQUIS_DATOS!$C$1486)-(0)&gt;0.5),(CROQUIS_DATOS!$C$1567+(IF(IF(MOD(MIN(INT(($A82-1)/2)+1,MAX(1,INT(((((CROQUIS_DATOS!$C$1484+CROQUIS_DATOS!$C$1485))-(CROQUIS_DATOS!$C$1484))+((CROQUIS_DATOS!$C$1486)*CROQUIS_DATOS!$C$1561-(0)*CROQUIS_DATOS!$C$1561))/CROQUIS_DATOS!$C$1568-0.000001))),2)=1,IF(INT(($A82-1)/2)+1&gt;MAX(1,INT(((((CROQUIS_DATOS!$C$1484+CROQUIS_DATOS!$C$1485))-(CROQUIS_DATOS!$C$1484))+((CROQUIS_DATOS!$C$1486)*CROQUIS_DATOS!$C$1561-(0)*CROQUIS_DATOS!$C$1561))/CROQUIS_DATOS!$C$1568-0.000001)),1,MOD($A82-1,2)),1-IF(INT(($A82-1)/2)+1&gt;MAX(1,INT(((((CROQUIS_DATOS!$C$1484+CROQUIS_DATOS!$C$1485))-(CROQUIS_DATOS!$C$1484))+((CROQUIS_DATOS!$C$1486)*CROQUIS_DATOS!$C$1561-(0)*CROQUIS_DATOS!$C$1561))/CROQUIS_DATOS!$C$1568-0.000001)),1,MOD($A82-1,2)))=1,MIN((CROQUIS_DATOS!$C$1486)*CROQUIS_DATOS!$C$1561,((CROQUIS_DATOS!$C$1484+CROQUIS_DATOS!$C$1485)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2">
        <f>IF(AND(CROQUIS_DATOS!$C$1472=1,CROQUIS_DATOS!$C$1478&gt;=2,((CROQUIS_DATOS!$C$1484+CROQUIS_DATOS!$C$1485))-(CROQUIS_DATOS!$C$1484)&gt;0.5,(CROQUIS_DATOS!$C$1476)-((CROQUIS_DATOS!$C$1486+CROQUIS_DATOS!$C$1487))&gt;0.5),(CROQUIS_DATOS!$C$1566+(IF(IF(MOD(MIN(INT(($A82-1)/2)+1,MAX(1,INT(((((CROQUIS_DATOS!$C$1484+CROQUIS_DATOS!$C$1485))-(CROQUIS_DATOS!$C$1484))+((CROQUIS_DATOS!$C$1476)*CROQUIS_DATOS!$C$1561-((CROQUIS_DATOS!$C$1486+CROQUIS_DATOS!$C$1487))*CROQUIS_DATOS!$C$1561))/CROQUIS_DATOS!$C$1568-0.000001))),2)=1,IF(INT(($A82-1)/2)+1&gt;MAX(1,INT(((((CROQUIS_DATOS!$C$1484+CROQUIS_DATOS!$C$1485))-(CROQUIS_DATOS!$C$1484))+((CROQUIS_DATOS!$C$1476)*CROQUIS_DATOS!$C$1561-((CROQUIS_DATOS!$C$1486+CROQUIS_DATOS!$C$1487))*CROQUIS_DATOS!$C$1561))/CROQUIS_DATOS!$C$1568-0.000001)),1,MOD($A82-1,2)),1-IF(INT(($A82-1)/2)+1&gt;MAX(1,INT(((((CROQUIS_DATOS!$C$1484+CROQUIS_DATOS!$C$1485))-(CROQUIS_DATOS!$C$1484))+((CROQUIS_DATOS!$C$1476)*CROQUIS_DATOS!$C$1561-((CROQUIS_DATOS!$C$1486+CROQUIS_DATOS!$C$1487))*CROQUIS_DATOS!$C$1561))/CROQUIS_DATOS!$C$1568-0.000001)),1,MOD($A82-1,2)))=1,MIN((CROQUIS_DATOS!$C$1476)*CROQUIS_DATOS!$C$1561,((CROQUIS_DATOS!$C$1484+CROQUIS_DATOS!$C$1485)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2">
        <f>IF(AND(CROQUIS_DATOS!$C$1472=1,CROQUIS_DATOS!$C$1478&gt;=2,((CROQUIS_DATOS!$C$1484+CROQUIS_DATOS!$C$1485))-(CROQUIS_DATOS!$C$1484)&gt;0.5,(CROQUIS_DATOS!$C$1476)-((CROQUIS_DATOS!$C$1486+CROQUIS_DATOS!$C$1487))&gt;0.5),(CROQUIS_DATOS!$C$1567+(IF(IF(MOD(MIN(INT(($A82-1)/2)+1,MAX(1,INT(((((CROQUIS_DATOS!$C$1484+CROQUIS_DATOS!$C$1485))-(CROQUIS_DATOS!$C$1484))+((CROQUIS_DATOS!$C$1476)*CROQUIS_DATOS!$C$1561-((CROQUIS_DATOS!$C$1486+CROQUIS_DATOS!$C$1487))*CROQUIS_DATOS!$C$1561))/CROQUIS_DATOS!$C$1568-0.000001))),2)=1,IF(INT(($A82-1)/2)+1&gt;MAX(1,INT(((((CROQUIS_DATOS!$C$1484+CROQUIS_DATOS!$C$1485))-(CROQUIS_DATOS!$C$1484))+((CROQUIS_DATOS!$C$1476)*CROQUIS_DATOS!$C$1561-((CROQUIS_DATOS!$C$1486+CROQUIS_DATOS!$C$1487))*CROQUIS_DATOS!$C$1561))/CROQUIS_DATOS!$C$1568-0.000001)),1,MOD($A82-1,2)),1-IF(INT(($A82-1)/2)+1&gt;MAX(1,INT(((((CROQUIS_DATOS!$C$1484+CROQUIS_DATOS!$C$1485))-(CROQUIS_DATOS!$C$1484))+((CROQUIS_DATOS!$C$1476)*CROQUIS_DATOS!$C$1561-((CROQUIS_DATOS!$C$1486+CROQUIS_DATOS!$C$1487))*CROQUIS_DATOS!$C$1561))/CROQUIS_DATOS!$C$1568-0.000001)),1,MOD($A82-1,2)))=1,MIN((CROQUIS_DATOS!$C$1476)*CROQUIS_DATOS!$C$1561,((CROQUIS_DATOS!$C$1484+CROQUIS_DATOS!$C$1485)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2">
        <f>IF(AND(CROQUIS_DATOS!$C$1472=1,CROQUIS_DATOS!$C$1478&gt;=3,((CROQUIS_DATOS!$C$1489+CROQUIS_DATOS!$C$1490))-(CROQUIS_DATOS!$C$1489)&gt;0.5,(CROQUIS_DATOS!$C$1491)-(0)&gt;0.5),(CROQUIS_DATOS!$C$1566+(IF(IF(MOD(MIN(INT(($A82-1)/2)+1,MAX(1,INT(((((CROQUIS_DATOS!$C$1489+CROQUIS_DATOS!$C$1490))-(CROQUIS_DATOS!$C$1489))+((CROQUIS_DATOS!$C$1491)*CROQUIS_DATOS!$C$1561-(0)*CROQUIS_DATOS!$C$1561))/CROQUIS_DATOS!$C$1568-0.000001))),2)=1,IF(INT(($A82-1)/2)+1&gt;MAX(1,INT(((((CROQUIS_DATOS!$C$1489+CROQUIS_DATOS!$C$1490))-(CROQUIS_DATOS!$C$1489))+((CROQUIS_DATOS!$C$1491)*CROQUIS_DATOS!$C$1561-(0)*CROQUIS_DATOS!$C$1561))/CROQUIS_DATOS!$C$1568-0.000001)),1,MOD($A82-1,2)),1-IF(INT(($A82-1)/2)+1&gt;MAX(1,INT(((((CROQUIS_DATOS!$C$1489+CROQUIS_DATOS!$C$1490))-(CROQUIS_DATOS!$C$1489))+((CROQUIS_DATOS!$C$1491)*CROQUIS_DATOS!$C$1561-(0)*CROQUIS_DATOS!$C$1561))/CROQUIS_DATOS!$C$1568-0.000001)),1,MOD($A82-1,2)))=1,MIN((CROQUIS_DATOS!$C$1491)*CROQUIS_DATOS!$C$1561,((CROQUIS_DATOS!$C$1489+CROQUIS_DATOS!$C$1490)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2">
        <f>IF(AND(CROQUIS_DATOS!$C$1472=1,CROQUIS_DATOS!$C$1478&gt;=3,((CROQUIS_DATOS!$C$1489+CROQUIS_DATOS!$C$1490))-(CROQUIS_DATOS!$C$1489)&gt;0.5,(CROQUIS_DATOS!$C$1491)-(0)&gt;0.5),(CROQUIS_DATOS!$C$1567+(IF(IF(MOD(MIN(INT(($A82-1)/2)+1,MAX(1,INT(((((CROQUIS_DATOS!$C$1489+CROQUIS_DATOS!$C$1490))-(CROQUIS_DATOS!$C$1489))+((CROQUIS_DATOS!$C$1491)*CROQUIS_DATOS!$C$1561-(0)*CROQUIS_DATOS!$C$1561))/CROQUIS_DATOS!$C$1568-0.000001))),2)=1,IF(INT(($A82-1)/2)+1&gt;MAX(1,INT(((((CROQUIS_DATOS!$C$1489+CROQUIS_DATOS!$C$1490))-(CROQUIS_DATOS!$C$1489))+((CROQUIS_DATOS!$C$1491)*CROQUIS_DATOS!$C$1561-(0)*CROQUIS_DATOS!$C$1561))/CROQUIS_DATOS!$C$1568-0.000001)),1,MOD($A82-1,2)),1-IF(INT(($A82-1)/2)+1&gt;MAX(1,INT(((((CROQUIS_DATOS!$C$1489+CROQUIS_DATOS!$C$1490))-(CROQUIS_DATOS!$C$1489))+((CROQUIS_DATOS!$C$1491)*CROQUIS_DATOS!$C$1561-(0)*CROQUIS_DATOS!$C$1561))/CROQUIS_DATOS!$C$1568-0.000001)),1,MOD($A82-1,2)))=1,MIN((CROQUIS_DATOS!$C$1491)*CROQUIS_DATOS!$C$1561,((CROQUIS_DATOS!$C$1489+CROQUIS_DATOS!$C$1490)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2">
        <f>IF(AND(CROQUIS_DATOS!$C$1472=1,CROQUIS_DATOS!$C$1478&gt;=3,((CROQUIS_DATOS!$C$1489+CROQUIS_DATOS!$C$1490))-(CROQUIS_DATOS!$C$1489)&gt;0.5,(CROQUIS_DATOS!$C$1476)-((CROQUIS_DATOS!$C$1491+CROQUIS_DATOS!$C$1492))&gt;0.5),(CROQUIS_DATOS!$C$1566+(IF(IF(MOD(MIN(INT(($A82-1)/2)+1,MAX(1,INT(((((CROQUIS_DATOS!$C$1489+CROQUIS_DATOS!$C$1490))-(CROQUIS_DATOS!$C$1489))+((CROQUIS_DATOS!$C$1476)*CROQUIS_DATOS!$C$1561-((CROQUIS_DATOS!$C$1491+CROQUIS_DATOS!$C$1492))*CROQUIS_DATOS!$C$1561))/CROQUIS_DATOS!$C$1568-0.000001))),2)=1,IF(INT(($A82-1)/2)+1&gt;MAX(1,INT(((((CROQUIS_DATOS!$C$1489+CROQUIS_DATOS!$C$1490))-(CROQUIS_DATOS!$C$1489))+((CROQUIS_DATOS!$C$1476)*CROQUIS_DATOS!$C$1561-((CROQUIS_DATOS!$C$1491+CROQUIS_DATOS!$C$1492))*CROQUIS_DATOS!$C$1561))/CROQUIS_DATOS!$C$1568-0.000001)),1,MOD($A82-1,2)),1-IF(INT(($A82-1)/2)+1&gt;MAX(1,INT(((((CROQUIS_DATOS!$C$1489+CROQUIS_DATOS!$C$1490))-(CROQUIS_DATOS!$C$1489))+((CROQUIS_DATOS!$C$1476)*CROQUIS_DATOS!$C$1561-((CROQUIS_DATOS!$C$1491+CROQUIS_DATOS!$C$1492))*CROQUIS_DATOS!$C$1561))/CROQUIS_DATOS!$C$1568-0.000001)),1,MOD($A82-1,2)))=1,MIN((CROQUIS_DATOS!$C$1476)*CROQUIS_DATOS!$C$1561,((CROQUIS_DATOS!$C$1489+CROQUIS_DATOS!$C$1490)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2">
        <f>IF(AND(CROQUIS_DATOS!$C$1472=1,CROQUIS_DATOS!$C$1478&gt;=3,((CROQUIS_DATOS!$C$1489+CROQUIS_DATOS!$C$1490))-(CROQUIS_DATOS!$C$1489)&gt;0.5,(CROQUIS_DATOS!$C$1476)-((CROQUIS_DATOS!$C$1491+CROQUIS_DATOS!$C$1492))&gt;0.5),(CROQUIS_DATOS!$C$1567+(IF(IF(MOD(MIN(INT(($A82-1)/2)+1,MAX(1,INT(((((CROQUIS_DATOS!$C$1489+CROQUIS_DATOS!$C$1490))-(CROQUIS_DATOS!$C$1489))+((CROQUIS_DATOS!$C$1476)*CROQUIS_DATOS!$C$1561-((CROQUIS_DATOS!$C$1491+CROQUIS_DATOS!$C$1492))*CROQUIS_DATOS!$C$1561))/CROQUIS_DATOS!$C$1568-0.000001))),2)=1,IF(INT(($A82-1)/2)+1&gt;MAX(1,INT(((((CROQUIS_DATOS!$C$1489+CROQUIS_DATOS!$C$1490))-(CROQUIS_DATOS!$C$1489))+((CROQUIS_DATOS!$C$1476)*CROQUIS_DATOS!$C$1561-((CROQUIS_DATOS!$C$1491+CROQUIS_DATOS!$C$1492))*CROQUIS_DATOS!$C$1561))/CROQUIS_DATOS!$C$1568-0.000001)),1,MOD($A82-1,2)),1-IF(INT(($A82-1)/2)+1&gt;MAX(1,INT(((((CROQUIS_DATOS!$C$1489+CROQUIS_DATOS!$C$1490))-(CROQUIS_DATOS!$C$1489))+((CROQUIS_DATOS!$C$1476)*CROQUIS_DATOS!$C$1561-((CROQUIS_DATOS!$C$1491+CROQUIS_DATOS!$C$1492))*CROQUIS_DATOS!$C$1561))/CROQUIS_DATOS!$C$1568-0.000001)),1,MOD($A82-1,2)))=1,MIN((CROQUIS_DATOS!$C$1476)*CROQUIS_DATOS!$C$1561,((CROQUIS_DATOS!$C$1489+CROQUIS_DATOS!$C$1490)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2">
        <f>IF(AND(CROQUIS_DATOS!$C$1472=1,CROQUIS_DATOS!$C$1478&gt;=4,((CROQUIS_DATOS!$C$1494+CROQUIS_DATOS!$C$1495))-(CROQUIS_DATOS!$C$1494)&gt;0.5,(CROQUIS_DATOS!$C$1496)-(0)&gt;0.5),(CROQUIS_DATOS!$C$1566+(IF(IF(MOD(MIN(INT(($A82-1)/2)+1,MAX(1,INT(((((CROQUIS_DATOS!$C$1494+CROQUIS_DATOS!$C$1495))-(CROQUIS_DATOS!$C$1494))+((CROQUIS_DATOS!$C$1496)*CROQUIS_DATOS!$C$1561-(0)*CROQUIS_DATOS!$C$1561))/CROQUIS_DATOS!$C$1568-0.000001))),2)=1,IF(INT(($A82-1)/2)+1&gt;MAX(1,INT(((((CROQUIS_DATOS!$C$1494+CROQUIS_DATOS!$C$1495))-(CROQUIS_DATOS!$C$1494))+((CROQUIS_DATOS!$C$1496)*CROQUIS_DATOS!$C$1561-(0)*CROQUIS_DATOS!$C$1561))/CROQUIS_DATOS!$C$1568-0.000001)),1,MOD($A82-1,2)),1-IF(INT(($A82-1)/2)+1&gt;MAX(1,INT(((((CROQUIS_DATOS!$C$1494+CROQUIS_DATOS!$C$1495))-(CROQUIS_DATOS!$C$1494))+((CROQUIS_DATOS!$C$1496)*CROQUIS_DATOS!$C$1561-(0)*CROQUIS_DATOS!$C$1561))/CROQUIS_DATOS!$C$1568-0.000001)),1,MOD($A82-1,2)))=1,MIN((CROQUIS_DATOS!$C$1496)*CROQUIS_DATOS!$C$1561,((CROQUIS_DATOS!$C$1494+CROQUIS_DATOS!$C$1495)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2">
        <f>IF(AND(CROQUIS_DATOS!$C$1472=1,CROQUIS_DATOS!$C$1478&gt;=4,((CROQUIS_DATOS!$C$1494+CROQUIS_DATOS!$C$1495))-(CROQUIS_DATOS!$C$1494)&gt;0.5,(CROQUIS_DATOS!$C$1496)-(0)&gt;0.5),(CROQUIS_DATOS!$C$1567+(IF(IF(MOD(MIN(INT(($A82-1)/2)+1,MAX(1,INT(((((CROQUIS_DATOS!$C$1494+CROQUIS_DATOS!$C$1495))-(CROQUIS_DATOS!$C$1494))+((CROQUIS_DATOS!$C$1496)*CROQUIS_DATOS!$C$1561-(0)*CROQUIS_DATOS!$C$1561))/CROQUIS_DATOS!$C$1568-0.000001))),2)=1,IF(INT(($A82-1)/2)+1&gt;MAX(1,INT(((((CROQUIS_DATOS!$C$1494+CROQUIS_DATOS!$C$1495))-(CROQUIS_DATOS!$C$1494))+((CROQUIS_DATOS!$C$1496)*CROQUIS_DATOS!$C$1561-(0)*CROQUIS_DATOS!$C$1561))/CROQUIS_DATOS!$C$1568-0.000001)),1,MOD($A82-1,2)),1-IF(INT(($A82-1)/2)+1&gt;MAX(1,INT(((((CROQUIS_DATOS!$C$1494+CROQUIS_DATOS!$C$1495))-(CROQUIS_DATOS!$C$1494))+((CROQUIS_DATOS!$C$1496)*CROQUIS_DATOS!$C$1561-(0)*CROQUIS_DATOS!$C$1561))/CROQUIS_DATOS!$C$1568-0.000001)),1,MOD($A82-1,2)))=1,MIN((CROQUIS_DATOS!$C$1496)*CROQUIS_DATOS!$C$1561,((CROQUIS_DATOS!$C$1494+CROQUIS_DATOS!$C$1495)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2">
        <f>IF(AND(CROQUIS_DATOS!$C$1472=1,CROQUIS_DATOS!$C$1478&gt;=4,((CROQUIS_DATOS!$C$1494+CROQUIS_DATOS!$C$1495))-(CROQUIS_DATOS!$C$1494)&gt;0.5,(CROQUIS_DATOS!$C$1476)-((CROQUIS_DATOS!$C$1496+CROQUIS_DATOS!$C$1497))&gt;0.5),(CROQUIS_DATOS!$C$1566+(IF(IF(MOD(MIN(INT(($A82-1)/2)+1,MAX(1,INT(((((CROQUIS_DATOS!$C$1494+CROQUIS_DATOS!$C$1495))-(CROQUIS_DATOS!$C$1494))+((CROQUIS_DATOS!$C$1476)*CROQUIS_DATOS!$C$1561-((CROQUIS_DATOS!$C$1496+CROQUIS_DATOS!$C$1497))*CROQUIS_DATOS!$C$1561))/CROQUIS_DATOS!$C$1568-0.000001))),2)=1,IF(INT(($A82-1)/2)+1&gt;MAX(1,INT(((((CROQUIS_DATOS!$C$1494+CROQUIS_DATOS!$C$1495))-(CROQUIS_DATOS!$C$1494))+((CROQUIS_DATOS!$C$1476)*CROQUIS_DATOS!$C$1561-((CROQUIS_DATOS!$C$1496+CROQUIS_DATOS!$C$1497))*CROQUIS_DATOS!$C$1561))/CROQUIS_DATOS!$C$1568-0.000001)),1,MOD($A82-1,2)),1-IF(INT(($A82-1)/2)+1&gt;MAX(1,INT(((((CROQUIS_DATOS!$C$1494+CROQUIS_DATOS!$C$1495))-(CROQUIS_DATOS!$C$1494))+((CROQUIS_DATOS!$C$1476)*CROQUIS_DATOS!$C$1561-((CROQUIS_DATOS!$C$1496+CROQUIS_DATOS!$C$1497))*CROQUIS_DATOS!$C$1561))/CROQUIS_DATOS!$C$1568-0.000001)),1,MOD($A82-1,2)))=1,MIN((CROQUIS_DATOS!$C$1476)*CROQUIS_DATOS!$C$1561,((CROQUIS_DATOS!$C$1494+CROQUIS_DATOS!$C$1495)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2">
        <f>IF(AND(CROQUIS_DATOS!$C$1472=1,CROQUIS_DATOS!$C$1478&gt;=4,((CROQUIS_DATOS!$C$1494+CROQUIS_DATOS!$C$1495))-(CROQUIS_DATOS!$C$1494)&gt;0.5,(CROQUIS_DATOS!$C$1476)-((CROQUIS_DATOS!$C$1496+CROQUIS_DATOS!$C$1497))&gt;0.5),(CROQUIS_DATOS!$C$1567+(IF(IF(MOD(MIN(INT(($A82-1)/2)+1,MAX(1,INT(((((CROQUIS_DATOS!$C$1494+CROQUIS_DATOS!$C$1495))-(CROQUIS_DATOS!$C$1494))+((CROQUIS_DATOS!$C$1476)*CROQUIS_DATOS!$C$1561-((CROQUIS_DATOS!$C$1496+CROQUIS_DATOS!$C$1497))*CROQUIS_DATOS!$C$1561))/CROQUIS_DATOS!$C$1568-0.000001))),2)=1,IF(INT(($A82-1)/2)+1&gt;MAX(1,INT(((((CROQUIS_DATOS!$C$1494+CROQUIS_DATOS!$C$1495))-(CROQUIS_DATOS!$C$1494))+((CROQUIS_DATOS!$C$1476)*CROQUIS_DATOS!$C$1561-((CROQUIS_DATOS!$C$1496+CROQUIS_DATOS!$C$1497))*CROQUIS_DATOS!$C$1561))/CROQUIS_DATOS!$C$1568-0.000001)),1,MOD($A82-1,2)),1-IF(INT(($A82-1)/2)+1&gt;MAX(1,INT(((((CROQUIS_DATOS!$C$1494+CROQUIS_DATOS!$C$1495))-(CROQUIS_DATOS!$C$1494))+((CROQUIS_DATOS!$C$1476)*CROQUIS_DATOS!$C$1561-((CROQUIS_DATOS!$C$1496+CROQUIS_DATOS!$C$1497))*CROQUIS_DATOS!$C$1561))/CROQUIS_DATOS!$C$1568-0.000001)),1,MOD($A82-1,2)))=1,MIN((CROQUIS_DATOS!$C$1476)*CROQUIS_DATOS!$C$1561,((CROQUIS_DATOS!$C$1494+CROQUIS_DATOS!$C$1495)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2">
        <f>IF(AND(CROQUIS_DATOS!$C$1472=1,1),(CROQUIS_DATOS!$C$1571+(CHOOSE(MIN(MAX(IF(INT(($A82-1)/5)+1&gt;CROQUIS_DATOS!$C$1525,5,MOD($A82-1,5)+1),1),5),(INDEX($E$8:$E$23,MIN(INT(($A82-1)/5)+1,CROQUIS_DATOS!$C$1525))-INDEX($F$8:$F$23,MIN(INT(($A82-1)/5)+1,CROQUIS_DATOS!$C$1525))/2),(INDEX($E$8:$E$23,MIN(INT(($A82-1)/5)+1,CROQUIS_DATOS!$C$1525))+INDEX($F$8:$F$23,MIN(INT(($A82-1)/5)+1,CROQUIS_DATOS!$C$1525))/2),(INDEX($E$8:$E$23,MIN(INT(($A82-1)/5)+1,CROQUIS_DATOS!$C$1525))+INDEX($F$8:$F$23,MIN(INT(($A82-1)/5)+1,CROQUIS_DATOS!$C$1525))/2),(INDEX($E$8:$E$23,MIN(INT(($A82-1)/5)+1,CROQUIS_DATOS!$C$1525))-INDEX($F$8:$F$23,MIN(INT(($A82-1)/5)+1,CROQUIS_DATOS!$C$1525))/2),(INDEX($E$8:$E$23,MIN(INT(($A82-1)/5)+1,CROQUIS_DATOS!$C$1525))-INDEX($F$8:$F$23,MIN(INT(($A82-1)/5)+1,CROQUIS_DATOS!$C$1525))/2)))*CROQUIS_DATOS!$C$1569),-1000)</f>
        <v>95.24</v>
      </c>
      <c r="GE82">
        <f>IF(AND(CROQUIS_DATOS!$C$1472=1,1),(CROQUIS_DATOS!$C$1572+(CHOOSE(MIN(MAX(IF(INT(($A82-1)/5)+1&gt;CROQUIS_DATOS!$C$1525,5,MOD($A82-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3">
      <c r="A83" t="n">
        <v>76</v>
      </c>
      <c r="N83">
        <f>IF(AND(CROQUIS_DATOS!$C$1472=1,1),(CROQUIS_DATOS!$C$1563+(IF(IF(IF(INT(($A83-1)/70)+1&gt;CROQUIS_DATOS!$C$1525,70,MOD($A83-1,70)+1)=1,0,IF(IF(INT(($A83-1)/70)+1&gt;CROQUIS_DATOS!$C$1525,70,MOD($A83-1,70)+1)&gt;2*CROQUIS_DATOS!$C$1541+1,IF(MOD(CROQUIS_DATOS!$C$1541,2)=1,1,0),IF(MOD(MIN(INT((IF(INT(($A83-1)/70)+1&gt;CROQUIS_DATOS!$C$1525,70,MOD($A83-1,70)+1)-2)/2)+1,CROQUIS_DATOS!$C$1541),2)=1,IF(MOD(IF(INT(($A83-1)/70)+1&gt;CROQUIS_DATOS!$C$1525,70,MOD($A83-1,70)+1)-2,2)=0,0,1),IF(MOD(IF(INT(($A83-1)/70)+1&gt;CROQUIS_DATOS!$C$1525,70,MOD($A83-1,70)+1)-2,2)=0,1,0))))=0,(INDEX($E$8:$E$23,MIN(INT(($A83-1)/70)+1,CROQUIS_DATOS!$C$1525))-INDEX($F$8:$F$23,MIN(INT(($A83-1)/70)+1,CROQUIS_DATOS!$C$1525))/2),(INDEX($E$8:$E$23,MIN(INT(($A83-1)/70)+1,CROQUIS_DATOS!$C$1525))+INDEX($F$8:$F$23,MIN(INT(($A83-1)/70)+1,CROQUIS_DATOS!$C$1525))/2)))*CROQUIS_DATOS!$C$1562),-1000)</f>
        <v>18.5775862068965</v>
      </c>
      <c r="O83">
        <f>IF(AND(CROQUIS_DATOS!$C$1472=1,1),(CROQUIS_DATOS!$C$1564+(IF(OR(IF(INT(($A83-1)/70)+1&gt;CROQUIS_DATOS!$C$1525,70,MOD($A83-1,70)+1)=1,IF(INT(($A83-1)/70)+1&gt;CROQUIS_DATOS!$C$1525,70,MOD($A83-1,70)+1)&gt;2*CROQUIS_DATOS!$C$1541+1),CROQUIS_DATOS!$C$1476,INDEX($H$8:$H$41,MIN(INT((IF(INT(($A83-1)/70)+1&gt;CROQUIS_DATOS!$C$1525,70,MOD($A83-1,70)+1)-2)/2)+1,CROQUIS_DATOS!$C$1541))))*CROQUIS_DATOS!$C$1561*CROQUIS_DATOS!$C$1562),-1000)</f>
        <v>8.43534482758621</v>
      </c>
      <c r="P83">
        <f>IF(AND(CROQUIS_DATOS!$C$1472=1,CROQUIS_DATOS!$C$1555=1),(CROQUIS_DATOS!$C$1563+(IF(IF(OR(MOD($A83-1,62)+1=1,IF(CHOOSE(MIN(MAX(MIN(INT(($A83-1)/62)+1,5),1),5),CROQUIS_DATOS!$C$1501,CROQUIS_DATOS!$C$1505,CROQUIS_DATOS!$C$1509,CROQUIS_DATOS!$C$1513,CROQUIS_DATOS!$C$1517)=1,CROQUIS_DATOS!$C$1557,0)=0),0,IF(MOD($A83-1,62)+1&gt;2*IF(CHOOSE(MIN(MAX(MIN(INT(($A83-1)/62)+1,5),1),5),CROQUIS_DATOS!$C$1501,CROQUIS_DATOS!$C$1505,CROQUIS_DATOS!$C$1509,CROQUIS_DATOS!$C$1513,CROQUIS_DATOS!$C$1517)=1,CROQUIS_DATOS!$C$1557,0)+1,IF(MOD(IF(CHOOSE(MIN(MAX(MIN(INT(($A83-1)/62)+1,5),1),5),CROQUIS_DATOS!$C$1501,CROQUIS_DATOS!$C$1505,CROQUIS_DATOS!$C$1509,CROQUIS_DATOS!$C$1513,CROQUIS_DATOS!$C$1517)=1,CROQUIS_DATOS!$C$1557,0),2)=1,1,0),IF(MOD(MIN(INT((MOD($A83-1,62)+1-2)/2)+1,MAX(IF(CHOOSE(MIN(MAX(MIN(INT(($A83-1)/62)+1,5),1),5),CROQUIS_DATOS!$C$1501,CROQUIS_DATOS!$C$1505,CROQUIS_DATOS!$C$1509,CROQUIS_DATOS!$C$1513,CROQUIS_DATOS!$C$1517)=1,CROQUIS_DATOS!$C$1557,0),1)),2)=1,IF(MOD(MOD($A83-1,62)+1-2,2)=0,0,1),IF(MOD(MOD($A83-1,62)+1-2,2)=0,1,0))))=0,(CHOOSE(MIN(MAX(MIN(INT(($A83-1)/62)+1,5),1),5),CROQUIS_DATOS!$C$1499,CROQUIS_DATOS!$C$1503,CROQUIS_DATOS!$C$1507,CROQUIS_DATOS!$C$1511,CROQUIS_DATOS!$C$1515)+IF(CHOOSE(MIN(MAX(MIN(INT(($A83-1)/62)+1,5),1),5),CROQUIS_DATOS!$C$1501,CROQUIS_DATOS!$C$1505,CROQUIS_DATOS!$C$1509,CROQUIS_DATOS!$C$1513,CROQUIS_DATOS!$C$1517)=1,CROQUIS_DATOS!$C$1526,0)),(CHOOSE(MIN(MAX(MIN(INT(($A83-1)/62)+1,5),1),5),CROQUIS_DATOS!$C$1499,CROQUIS_DATOS!$C$1503,CROQUIS_DATOS!$C$1507,CROQUIS_DATOS!$C$1511,CROQUIS_DATOS!$C$1515)+CHOOSE(MIN(MAX(MIN(INT(($A83-1)/62)+1,5),1),5),CROQUIS_DATOS!$C$1500,CROQUIS_DATOS!$C$1504,CROQUIS_DATOS!$C$1508,CROQUIS_DATOS!$C$1512,CROQUIS_DATOS!$C$1516)-IF(CHOOSE(MIN(MAX(MIN(INT(($A83-1)/62)+1,5),1),5),CROQUIS_DATOS!$C$1501,CROQUIS_DATOS!$C$1505,CROQUIS_DATOS!$C$1509,CROQUIS_DATOS!$C$1513,CROQUIS_DATOS!$C$1517)=1,CROQUIS_DATOS!$C$1526,0))))*CROQUIS_DATOS!$C$1562),-1000)</f>
        <v>-1000</v>
      </c>
      <c r="Q83">
        <f>IF(AND(CROQUIS_DATOS!$C$1472=1,CROQUIS_DATOS!$C$1555=1),(CROQUIS_DATOS!$C$1564+(IF(OR(OR(MOD($A83-1,62)+1=1,IF(CHOOSE(MIN(MAX(MIN(INT(($A83-1)/62)+1,5),1),5),CROQUIS_DATOS!$C$1501,CROQUIS_DATOS!$C$1505,CROQUIS_DATOS!$C$1509,CROQUIS_DATOS!$C$1513,CROQUIS_DATOS!$C$1517)=1,CROQUIS_DATOS!$C$1557,0)=0),MOD($A83-1,62)+1&gt;2*IF(CHOOSE(MIN(MAX(MIN(INT(($A83-1)/62)+1,5),1),5),CROQUIS_DATOS!$C$1501,CROQUIS_DATOS!$C$1505,CROQUIS_DATOS!$C$1509,CROQUIS_DATOS!$C$1513,CROQUIS_DATOS!$C$1517)=1,CROQUIS_DATOS!$C$1557,0)+1),CROQUIS_DATOS!$C$1476,MIN(INT((MOD($A83-1,62)+1-2)/2)+1,MAX(IF(CHOOSE(MIN(MAX(MIN(INT(($A83-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3">
        <f>IF(AND(CROQUIS_DATOS!$C$1472=1,1),(CROQUIS_DATOS!$C$1563+(MIN(INT(($A83-1)/2)+1,CROQUIS_DATOS!$C$1558)*CROQUIS_DATOS!$C$1559)*CROQUIS_DATOS!$C$1562),-1000)</f>
        <v>82.2281167108753</v>
      </c>
      <c r="U83">
        <f>IF(AND(CROQUIS_DATOS!$C$1472=1,1),(CROQUIS_DATOS!$C$1564+(IF(INT(($A83-1)/2)+1&gt;CROQUIS_DATOS!$C$1558,IF(MOD(CROQUIS_DATOS!$C$1558,2)=1,CROQUIS_DATOS!$C$1476+CROQUIS_DATOS!$C$1528,CROQUIS_DATOS!$C$1476),IF(IF(MOD(MIN(INT(($A83-1)/2)+1,CROQUIS_DATOS!$C$1558),2)=1,MOD($A83-1,2),1-MOD($A83-1,2))=1,CROQUIS_DATOS!$C$1476+CROQUIS_DATOS!$C$1528,CROQUIS_DATOS!$C$1476)))*CROQUIS_DATOS!$C$1561*CROQUIS_DATOS!$C$1562),-1000)</f>
        <v>43</v>
      </c>
      <c r="BZ83">
        <f>IF(AND(CROQUIS_DATOS!$C$1472=1,CROQUIS_DATOS!$C$1500&gt;0,((CROQUIS_DATOS!$C$1499+CROQUIS_DATOS!$C$1500))-(CROQUIS_DATOS!$C$1499)&gt;0.5,(CROQUIS_DATOS!$C$1476)-(0)&gt;0.5),(CROQUIS_DATOS!$C$1566+(IF(IF(MOD(MIN(INT(($A83-1)/2)+1,MAX(1,INT(((((CROQUIS_DATOS!$C$1499+CROQUIS_DATOS!$C$1500))-(CROQUIS_DATOS!$C$1499))+((CROQUIS_DATOS!$C$1476)*CROQUIS_DATOS!$C$1561-(0)*CROQUIS_DATOS!$C$1561))/CROQUIS_DATOS!$C$1568-0.000001))),2)=1,IF(INT(($A83-1)/2)+1&gt;MAX(1,INT(((((CROQUIS_DATOS!$C$1499+CROQUIS_DATOS!$C$1500))-(CROQUIS_DATOS!$C$1499))+((CROQUIS_DATOS!$C$1476)*CROQUIS_DATOS!$C$1561-(0)*CROQUIS_DATOS!$C$1561))/CROQUIS_DATOS!$C$1568-0.000001)),1,MOD($A83-1,2)),1-IF(INT(($A83-1)/2)+1&gt;MAX(1,INT(((((CROQUIS_DATOS!$C$1499+CROQUIS_DATOS!$C$1500))-(CROQUIS_DATOS!$C$1499))+((CROQUIS_DATOS!$C$1476)*CROQUIS_DATOS!$C$1561-(0)*CROQUIS_DATOS!$C$1561))/CROQUIS_DATOS!$C$1568-0.000001)),1,MOD($A83-1,2)))=1,MIN((CROQUIS_DATOS!$C$1476)*CROQUIS_DATOS!$C$1561,((CROQUIS_DATOS!$C$1499+CROQUIS_DATOS!$C$1500)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3">
        <f>IF(AND(CROQUIS_DATOS!$C$1472=1,CROQUIS_DATOS!$C$1500&gt;0,((CROQUIS_DATOS!$C$1499+CROQUIS_DATOS!$C$1500))-(CROQUIS_DATOS!$C$1499)&gt;0.5,(CROQUIS_DATOS!$C$1476)-(0)&gt;0.5),(CROQUIS_DATOS!$C$1567+(IF(IF(MOD(MIN(INT(($A83-1)/2)+1,MAX(1,INT(((((CROQUIS_DATOS!$C$1499+CROQUIS_DATOS!$C$1500))-(CROQUIS_DATOS!$C$1499))+((CROQUIS_DATOS!$C$1476)*CROQUIS_DATOS!$C$1561-(0)*CROQUIS_DATOS!$C$1561))/CROQUIS_DATOS!$C$1568-0.000001))),2)=1,IF(INT(($A83-1)/2)+1&gt;MAX(1,INT(((((CROQUIS_DATOS!$C$1499+CROQUIS_DATOS!$C$1500))-(CROQUIS_DATOS!$C$1499))+((CROQUIS_DATOS!$C$1476)*CROQUIS_DATOS!$C$1561-(0)*CROQUIS_DATOS!$C$1561))/CROQUIS_DATOS!$C$1568-0.000001)),1,MOD($A83-1,2)),1-IF(INT(($A83-1)/2)+1&gt;MAX(1,INT(((((CROQUIS_DATOS!$C$1499+CROQUIS_DATOS!$C$1500))-(CROQUIS_DATOS!$C$1499))+((CROQUIS_DATOS!$C$1476)*CROQUIS_DATOS!$C$1561-(0)*CROQUIS_DATOS!$C$1561))/CROQUIS_DATOS!$C$1568-0.000001)),1,MOD($A83-1,2)))=1,MIN((CROQUIS_DATOS!$C$1476)*CROQUIS_DATOS!$C$1561,((CROQUIS_DATOS!$C$1499+CROQUIS_DATOS!$C$1500)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3">
        <f>IF(AND(CROQUIS_DATOS!$C$1472=1,CROQUIS_DATOS!$C$1504&gt;0,((CROQUIS_DATOS!$C$1503+CROQUIS_DATOS!$C$1504))-(CROQUIS_DATOS!$C$1503)&gt;0.5,(CROQUIS_DATOS!$C$1476)-(0)&gt;0.5),(CROQUIS_DATOS!$C$1566+(IF(IF(MOD(MIN(INT(($A83-1)/2)+1,MAX(1,INT(((((CROQUIS_DATOS!$C$1503+CROQUIS_DATOS!$C$1504))-(CROQUIS_DATOS!$C$1503))+((CROQUIS_DATOS!$C$1476)*CROQUIS_DATOS!$C$1561-(0)*CROQUIS_DATOS!$C$1561))/CROQUIS_DATOS!$C$1568-0.000001))),2)=1,IF(INT(($A83-1)/2)+1&gt;MAX(1,INT(((((CROQUIS_DATOS!$C$1503+CROQUIS_DATOS!$C$1504))-(CROQUIS_DATOS!$C$1503))+((CROQUIS_DATOS!$C$1476)*CROQUIS_DATOS!$C$1561-(0)*CROQUIS_DATOS!$C$1561))/CROQUIS_DATOS!$C$1568-0.000001)),1,MOD($A83-1,2)),1-IF(INT(($A83-1)/2)+1&gt;MAX(1,INT(((((CROQUIS_DATOS!$C$1503+CROQUIS_DATOS!$C$1504))-(CROQUIS_DATOS!$C$1503))+((CROQUIS_DATOS!$C$1476)*CROQUIS_DATOS!$C$1561-(0)*CROQUIS_DATOS!$C$1561))/CROQUIS_DATOS!$C$1568-0.000001)),1,MOD($A83-1,2)))=1,MIN((CROQUIS_DATOS!$C$1476)*CROQUIS_DATOS!$C$1561,((CROQUIS_DATOS!$C$1503+CROQUIS_DATOS!$C$1504)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3">
        <f>IF(AND(CROQUIS_DATOS!$C$1472=1,CROQUIS_DATOS!$C$1504&gt;0,((CROQUIS_DATOS!$C$1503+CROQUIS_DATOS!$C$1504))-(CROQUIS_DATOS!$C$1503)&gt;0.5,(CROQUIS_DATOS!$C$1476)-(0)&gt;0.5),(CROQUIS_DATOS!$C$1567+(IF(IF(MOD(MIN(INT(($A83-1)/2)+1,MAX(1,INT(((((CROQUIS_DATOS!$C$1503+CROQUIS_DATOS!$C$1504))-(CROQUIS_DATOS!$C$1503))+((CROQUIS_DATOS!$C$1476)*CROQUIS_DATOS!$C$1561-(0)*CROQUIS_DATOS!$C$1561))/CROQUIS_DATOS!$C$1568-0.000001))),2)=1,IF(INT(($A83-1)/2)+1&gt;MAX(1,INT(((((CROQUIS_DATOS!$C$1503+CROQUIS_DATOS!$C$1504))-(CROQUIS_DATOS!$C$1503))+((CROQUIS_DATOS!$C$1476)*CROQUIS_DATOS!$C$1561-(0)*CROQUIS_DATOS!$C$1561))/CROQUIS_DATOS!$C$1568-0.000001)),1,MOD($A83-1,2)),1-IF(INT(($A83-1)/2)+1&gt;MAX(1,INT(((((CROQUIS_DATOS!$C$1503+CROQUIS_DATOS!$C$1504))-(CROQUIS_DATOS!$C$1503))+((CROQUIS_DATOS!$C$1476)*CROQUIS_DATOS!$C$1561-(0)*CROQUIS_DATOS!$C$1561))/CROQUIS_DATOS!$C$1568-0.000001)),1,MOD($A83-1,2)))=1,MIN((CROQUIS_DATOS!$C$1476)*CROQUIS_DATOS!$C$1561,((CROQUIS_DATOS!$C$1503+CROQUIS_DATOS!$C$1504)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3">
        <f>IF(AND(CROQUIS_DATOS!$C$1472=1,CROQUIS_DATOS!$C$1508&gt;0,((CROQUIS_DATOS!$C$1507+CROQUIS_DATOS!$C$1508))-(CROQUIS_DATOS!$C$1507)&gt;0.5,(CROQUIS_DATOS!$C$1476)-(0)&gt;0.5),(CROQUIS_DATOS!$C$1566+(IF(IF(MOD(MIN(INT(($A83-1)/2)+1,MAX(1,INT(((((CROQUIS_DATOS!$C$1507+CROQUIS_DATOS!$C$1508))-(CROQUIS_DATOS!$C$1507))+((CROQUIS_DATOS!$C$1476)*CROQUIS_DATOS!$C$1561-(0)*CROQUIS_DATOS!$C$1561))/CROQUIS_DATOS!$C$1568-0.000001))),2)=1,IF(INT(($A83-1)/2)+1&gt;MAX(1,INT(((((CROQUIS_DATOS!$C$1507+CROQUIS_DATOS!$C$1508))-(CROQUIS_DATOS!$C$1507))+((CROQUIS_DATOS!$C$1476)*CROQUIS_DATOS!$C$1561-(0)*CROQUIS_DATOS!$C$1561))/CROQUIS_DATOS!$C$1568-0.000001)),1,MOD($A83-1,2)),1-IF(INT(($A83-1)/2)+1&gt;MAX(1,INT(((((CROQUIS_DATOS!$C$1507+CROQUIS_DATOS!$C$1508))-(CROQUIS_DATOS!$C$1507))+((CROQUIS_DATOS!$C$1476)*CROQUIS_DATOS!$C$1561-(0)*CROQUIS_DATOS!$C$1561))/CROQUIS_DATOS!$C$1568-0.000001)),1,MOD($A83-1,2)))=1,MIN((CROQUIS_DATOS!$C$1476)*CROQUIS_DATOS!$C$1561,((CROQUIS_DATOS!$C$1507+CROQUIS_DATOS!$C$1508)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3">
        <f>IF(AND(CROQUIS_DATOS!$C$1472=1,CROQUIS_DATOS!$C$1508&gt;0,((CROQUIS_DATOS!$C$1507+CROQUIS_DATOS!$C$1508))-(CROQUIS_DATOS!$C$1507)&gt;0.5,(CROQUIS_DATOS!$C$1476)-(0)&gt;0.5),(CROQUIS_DATOS!$C$1567+(IF(IF(MOD(MIN(INT(($A83-1)/2)+1,MAX(1,INT(((((CROQUIS_DATOS!$C$1507+CROQUIS_DATOS!$C$1508))-(CROQUIS_DATOS!$C$1507))+((CROQUIS_DATOS!$C$1476)*CROQUIS_DATOS!$C$1561-(0)*CROQUIS_DATOS!$C$1561))/CROQUIS_DATOS!$C$1568-0.000001))),2)=1,IF(INT(($A83-1)/2)+1&gt;MAX(1,INT(((((CROQUIS_DATOS!$C$1507+CROQUIS_DATOS!$C$1508))-(CROQUIS_DATOS!$C$1507))+((CROQUIS_DATOS!$C$1476)*CROQUIS_DATOS!$C$1561-(0)*CROQUIS_DATOS!$C$1561))/CROQUIS_DATOS!$C$1568-0.000001)),1,MOD($A83-1,2)),1-IF(INT(($A83-1)/2)+1&gt;MAX(1,INT(((((CROQUIS_DATOS!$C$1507+CROQUIS_DATOS!$C$1508))-(CROQUIS_DATOS!$C$1507))+((CROQUIS_DATOS!$C$1476)*CROQUIS_DATOS!$C$1561-(0)*CROQUIS_DATOS!$C$1561))/CROQUIS_DATOS!$C$1568-0.000001)),1,MOD($A83-1,2)))=1,MIN((CROQUIS_DATOS!$C$1476)*CROQUIS_DATOS!$C$1561,((CROQUIS_DATOS!$C$1507+CROQUIS_DATOS!$C$1508)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3">
        <f>IF(AND(CROQUIS_DATOS!$C$1472=1,CROQUIS_DATOS!$C$1512&gt;0,((CROQUIS_DATOS!$C$1511+CROQUIS_DATOS!$C$1512))-(CROQUIS_DATOS!$C$1511)&gt;0.5,(CROQUIS_DATOS!$C$1476)-(0)&gt;0.5),(CROQUIS_DATOS!$C$1566+(IF(IF(MOD(MIN(INT(($A83-1)/2)+1,MAX(1,INT(((((CROQUIS_DATOS!$C$1511+CROQUIS_DATOS!$C$1512))-(CROQUIS_DATOS!$C$1511))+((CROQUIS_DATOS!$C$1476)*CROQUIS_DATOS!$C$1561-(0)*CROQUIS_DATOS!$C$1561))/CROQUIS_DATOS!$C$1568-0.000001))),2)=1,IF(INT(($A83-1)/2)+1&gt;MAX(1,INT(((((CROQUIS_DATOS!$C$1511+CROQUIS_DATOS!$C$1512))-(CROQUIS_DATOS!$C$1511))+((CROQUIS_DATOS!$C$1476)*CROQUIS_DATOS!$C$1561-(0)*CROQUIS_DATOS!$C$1561))/CROQUIS_DATOS!$C$1568-0.000001)),1,MOD($A83-1,2)),1-IF(INT(($A83-1)/2)+1&gt;MAX(1,INT(((((CROQUIS_DATOS!$C$1511+CROQUIS_DATOS!$C$1512))-(CROQUIS_DATOS!$C$1511))+((CROQUIS_DATOS!$C$1476)*CROQUIS_DATOS!$C$1561-(0)*CROQUIS_DATOS!$C$1561))/CROQUIS_DATOS!$C$1568-0.000001)),1,MOD($A83-1,2)))=1,MIN((CROQUIS_DATOS!$C$1476)*CROQUIS_DATOS!$C$1561,((CROQUIS_DATOS!$C$1511+CROQUIS_DATOS!$C$1512)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3">
        <f>IF(AND(CROQUIS_DATOS!$C$1472=1,CROQUIS_DATOS!$C$1512&gt;0,((CROQUIS_DATOS!$C$1511+CROQUIS_DATOS!$C$1512))-(CROQUIS_DATOS!$C$1511)&gt;0.5,(CROQUIS_DATOS!$C$1476)-(0)&gt;0.5),(CROQUIS_DATOS!$C$1567+(IF(IF(MOD(MIN(INT(($A83-1)/2)+1,MAX(1,INT(((((CROQUIS_DATOS!$C$1511+CROQUIS_DATOS!$C$1512))-(CROQUIS_DATOS!$C$1511))+((CROQUIS_DATOS!$C$1476)*CROQUIS_DATOS!$C$1561-(0)*CROQUIS_DATOS!$C$1561))/CROQUIS_DATOS!$C$1568-0.000001))),2)=1,IF(INT(($A83-1)/2)+1&gt;MAX(1,INT(((((CROQUIS_DATOS!$C$1511+CROQUIS_DATOS!$C$1512))-(CROQUIS_DATOS!$C$1511))+((CROQUIS_DATOS!$C$1476)*CROQUIS_DATOS!$C$1561-(0)*CROQUIS_DATOS!$C$1561))/CROQUIS_DATOS!$C$1568-0.000001)),1,MOD($A83-1,2)),1-IF(INT(($A83-1)/2)+1&gt;MAX(1,INT(((((CROQUIS_DATOS!$C$1511+CROQUIS_DATOS!$C$1512))-(CROQUIS_DATOS!$C$1511))+((CROQUIS_DATOS!$C$1476)*CROQUIS_DATOS!$C$1561-(0)*CROQUIS_DATOS!$C$1561))/CROQUIS_DATOS!$C$1568-0.000001)),1,MOD($A83-1,2)))=1,MIN((CROQUIS_DATOS!$C$1476)*CROQUIS_DATOS!$C$1561,((CROQUIS_DATOS!$C$1511+CROQUIS_DATOS!$C$1512)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3">
        <f>IF(AND(CROQUIS_DATOS!$C$1472=1,CROQUIS_DATOS!$C$1516&gt;0,((CROQUIS_DATOS!$C$1515+CROQUIS_DATOS!$C$1516))-(CROQUIS_DATOS!$C$1515)&gt;0.5,(CROQUIS_DATOS!$C$1476)-(0)&gt;0.5),(CROQUIS_DATOS!$C$1566+(IF(IF(MOD(MIN(INT(($A83-1)/2)+1,MAX(1,INT(((((CROQUIS_DATOS!$C$1515+CROQUIS_DATOS!$C$1516))-(CROQUIS_DATOS!$C$1515))+((CROQUIS_DATOS!$C$1476)*CROQUIS_DATOS!$C$1561-(0)*CROQUIS_DATOS!$C$1561))/CROQUIS_DATOS!$C$1568-0.000001))),2)=1,IF(INT(($A83-1)/2)+1&gt;MAX(1,INT(((((CROQUIS_DATOS!$C$1515+CROQUIS_DATOS!$C$1516))-(CROQUIS_DATOS!$C$1515))+((CROQUIS_DATOS!$C$1476)*CROQUIS_DATOS!$C$1561-(0)*CROQUIS_DATOS!$C$1561))/CROQUIS_DATOS!$C$1568-0.000001)),1,MOD($A83-1,2)),1-IF(INT(($A83-1)/2)+1&gt;MAX(1,INT(((((CROQUIS_DATOS!$C$1515+CROQUIS_DATOS!$C$1516))-(CROQUIS_DATOS!$C$1515))+((CROQUIS_DATOS!$C$1476)*CROQUIS_DATOS!$C$1561-(0)*CROQUIS_DATOS!$C$1561))/CROQUIS_DATOS!$C$1568-0.000001)),1,MOD($A83-1,2)))=1,MIN((CROQUIS_DATOS!$C$1476)*CROQUIS_DATOS!$C$1561,((CROQUIS_DATOS!$C$1515+CROQUIS_DATOS!$C$1516)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3">
        <f>IF(AND(CROQUIS_DATOS!$C$1472=1,CROQUIS_DATOS!$C$1516&gt;0,((CROQUIS_DATOS!$C$1515+CROQUIS_DATOS!$C$1516))-(CROQUIS_DATOS!$C$1515)&gt;0.5,(CROQUIS_DATOS!$C$1476)-(0)&gt;0.5),(CROQUIS_DATOS!$C$1567+(IF(IF(MOD(MIN(INT(($A83-1)/2)+1,MAX(1,INT(((((CROQUIS_DATOS!$C$1515+CROQUIS_DATOS!$C$1516))-(CROQUIS_DATOS!$C$1515))+((CROQUIS_DATOS!$C$1476)*CROQUIS_DATOS!$C$1561-(0)*CROQUIS_DATOS!$C$1561))/CROQUIS_DATOS!$C$1568-0.000001))),2)=1,IF(INT(($A83-1)/2)+1&gt;MAX(1,INT(((((CROQUIS_DATOS!$C$1515+CROQUIS_DATOS!$C$1516))-(CROQUIS_DATOS!$C$1515))+((CROQUIS_DATOS!$C$1476)*CROQUIS_DATOS!$C$1561-(0)*CROQUIS_DATOS!$C$1561))/CROQUIS_DATOS!$C$1568-0.000001)),1,MOD($A83-1,2)),1-IF(INT(($A83-1)/2)+1&gt;MAX(1,INT(((((CROQUIS_DATOS!$C$1515+CROQUIS_DATOS!$C$1516))-(CROQUIS_DATOS!$C$1515))+((CROQUIS_DATOS!$C$1476)*CROQUIS_DATOS!$C$1561-(0)*CROQUIS_DATOS!$C$1561))/CROQUIS_DATOS!$C$1568-0.000001)),1,MOD($A83-1,2)))=1,MIN((CROQUIS_DATOS!$C$1476)*CROQUIS_DATOS!$C$1561,((CROQUIS_DATOS!$C$1515+CROQUIS_DATOS!$C$1516)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3">
        <f>IF(AND(CROQUIS_DATOS!$C$1472=1,CROQUIS_DATOS!$C$1478&gt;=1,((CROQUIS_DATOS!$C$1479+CROQUIS_DATOS!$C$1480))-(CROQUIS_DATOS!$C$1479)&gt;0.5,(CROQUIS_DATOS!$C$1481)-(0)&gt;0.5),(CROQUIS_DATOS!$C$1566+(IF(IF(MOD(MIN(INT(($A83-1)/2)+1,MAX(1,INT(((((CROQUIS_DATOS!$C$1479+CROQUIS_DATOS!$C$1480))-(CROQUIS_DATOS!$C$1479))+((CROQUIS_DATOS!$C$1481)*CROQUIS_DATOS!$C$1561-(0)*CROQUIS_DATOS!$C$1561))/CROQUIS_DATOS!$C$1568-0.000001))),2)=1,IF(INT(($A83-1)/2)+1&gt;MAX(1,INT(((((CROQUIS_DATOS!$C$1479+CROQUIS_DATOS!$C$1480))-(CROQUIS_DATOS!$C$1479))+((CROQUIS_DATOS!$C$1481)*CROQUIS_DATOS!$C$1561-(0)*CROQUIS_DATOS!$C$1561))/CROQUIS_DATOS!$C$1568-0.000001)),1,MOD($A83-1,2)),1-IF(INT(($A83-1)/2)+1&gt;MAX(1,INT(((((CROQUIS_DATOS!$C$1479+CROQUIS_DATOS!$C$1480))-(CROQUIS_DATOS!$C$1479))+((CROQUIS_DATOS!$C$1481)*CROQUIS_DATOS!$C$1561-(0)*CROQUIS_DATOS!$C$1561))/CROQUIS_DATOS!$C$1568-0.000001)),1,MOD($A83-1,2)))=1,MIN((CROQUIS_DATOS!$C$1481)*CROQUIS_DATOS!$C$1561,((CROQUIS_DATOS!$C$1479+CROQUIS_DATOS!$C$1480)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3">
        <f>IF(AND(CROQUIS_DATOS!$C$1472=1,CROQUIS_DATOS!$C$1478&gt;=1,((CROQUIS_DATOS!$C$1479+CROQUIS_DATOS!$C$1480))-(CROQUIS_DATOS!$C$1479)&gt;0.5,(CROQUIS_DATOS!$C$1481)-(0)&gt;0.5),(CROQUIS_DATOS!$C$1567+(IF(IF(MOD(MIN(INT(($A83-1)/2)+1,MAX(1,INT(((((CROQUIS_DATOS!$C$1479+CROQUIS_DATOS!$C$1480))-(CROQUIS_DATOS!$C$1479))+((CROQUIS_DATOS!$C$1481)*CROQUIS_DATOS!$C$1561-(0)*CROQUIS_DATOS!$C$1561))/CROQUIS_DATOS!$C$1568-0.000001))),2)=1,IF(INT(($A83-1)/2)+1&gt;MAX(1,INT(((((CROQUIS_DATOS!$C$1479+CROQUIS_DATOS!$C$1480))-(CROQUIS_DATOS!$C$1479))+((CROQUIS_DATOS!$C$1481)*CROQUIS_DATOS!$C$1561-(0)*CROQUIS_DATOS!$C$1561))/CROQUIS_DATOS!$C$1568-0.000001)),1,MOD($A83-1,2)),1-IF(INT(($A83-1)/2)+1&gt;MAX(1,INT(((((CROQUIS_DATOS!$C$1479+CROQUIS_DATOS!$C$1480))-(CROQUIS_DATOS!$C$1479))+((CROQUIS_DATOS!$C$1481)*CROQUIS_DATOS!$C$1561-(0)*CROQUIS_DATOS!$C$1561))/CROQUIS_DATOS!$C$1568-0.000001)),1,MOD($A83-1,2)))=1,MIN((CROQUIS_DATOS!$C$1481)*CROQUIS_DATOS!$C$1561,((CROQUIS_DATOS!$C$1479+CROQUIS_DATOS!$C$1480)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3">
        <f>IF(AND(CROQUIS_DATOS!$C$1472=1,CROQUIS_DATOS!$C$1478&gt;=1,((CROQUIS_DATOS!$C$1479+CROQUIS_DATOS!$C$1480))-(CROQUIS_DATOS!$C$1479)&gt;0.5,(CROQUIS_DATOS!$C$1476)-((CROQUIS_DATOS!$C$1481+CROQUIS_DATOS!$C$1482))&gt;0.5),(CROQUIS_DATOS!$C$1566+(IF(IF(MOD(MIN(INT(($A83-1)/2)+1,MAX(1,INT(((((CROQUIS_DATOS!$C$1479+CROQUIS_DATOS!$C$1480))-(CROQUIS_DATOS!$C$1479))+((CROQUIS_DATOS!$C$1476)*CROQUIS_DATOS!$C$1561-((CROQUIS_DATOS!$C$1481+CROQUIS_DATOS!$C$1482))*CROQUIS_DATOS!$C$1561))/CROQUIS_DATOS!$C$1568-0.000001))),2)=1,IF(INT(($A83-1)/2)+1&gt;MAX(1,INT(((((CROQUIS_DATOS!$C$1479+CROQUIS_DATOS!$C$1480))-(CROQUIS_DATOS!$C$1479))+((CROQUIS_DATOS!$C$1476)*CROQUIS_DATOS!$C$1561-((CROQUIS_DATOS!$C$1481+CROQUIS_DATOS!$C$1482))*CROQUIS_DATOS!$C$1561))/CROQUIS_DATOS!$C$1568-0.000001)),1,MOD($A83-1,2)),1-IF(INT(($A83-1)/2)+1&gt;MAX(1,INT(((((CROQUIS_DATOS!$C$1479+CROQUIS_DATOS!$C$1480))-(CROQUIS_DATOS!$C$1479))+((CROQUIS_DATOS!$C$1476)*CROQUIS_DATOS!$C$1561-((CROQUIS_DATOS!$C$1481+CROQUIS_DATOS!$C$1482))*CROQUIS_DATOS!$C$1561))/CROQUIS_DATOS!$C$1568-0.000001)),1,MOD($A83-1,2)))=1,MIN((CROQUIS_DATOS!$C$1476)*CROQUIS_DATOS!$C$1561,((CROQUIS_DATOS!$C$1479+CROQUIS_DATOS!$C$1480)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3">
        <f>IF(AND(CROQUIS_DATOS!$C$1472=1,CROQUIS_DATOS!$C$1478&gt;=1,((CROQUIS_DATOS!$C$1479+CROQUIS_DATOS!$C$1480))-(CROQUIS_DATOS!$C$1479)&gt;0.5,(CROQUIS_DATOS!$C$1476)-((CROQUIS_DATOS!$C$1481+CROQUIS_DATOS!$C$1482))&gt;0.5),(CROQUIS_DATOS!$C$1567+(IF(IF(MOD(MIN(INT(($A83-1)/2)+1,MAX(1,INT(((((CROQUIS_DATOS!$C$1479+CROQUIS_DATOS!$C$1480))-(CROQUIS_DATOS!$C$1479))+((CROQUIS_DATOS!$C$1476)*CROQUIS_DATOS!$C$1561-((CROQUIS_DATOS!$C$1481+CROQUIS_DATOS!$C$1482))*CROQUIS_DATOS!$C$1561))/CROQUIS_DATOS!$C$1568-0.000001))),2)=1,IF(INT(($A83-1)/2)+1&gt;MAX(1,INT(((((CROQUIS_DATOS!$C$1479+CROQUIS_DATOS!$C$1480))-(CROQUIS_DATOS!$C$1479))+((CROQUIS_DATOS!$C$1476)*CROQUIS_DATOS!$C$1561-((CROQUIS_DATOS!$C$1481+CROQUIS_DATOS!$C$1482))*CROQUIS_DATOS!$C$1561))/CROQUIS_DATOS!$C$1568-0.000001)),1,MOD($A83-1,2)),1-IF(INT(($A83-1)/2)+1&gt;MAX(1,INT(((((CROQUIS_DATOS!$C$1479+CROQUIS_DATOS!$C$1480))-(CROQUIS_DATOS!$C$1479))+((CROQUIS_DATOS!$C$1476)*CROQUIS_DATOS!$C$1561-((CROQUIS_DATOS!$C$1481+CROQUIS_DATOS!$C$1482))*CROQUIS_DATOS!$C$1561))/CROQUIS_DATOS!$C$1568-0.000001)),1,MOD($A83-1,2)))=1,MIN((CROQUIS_DATOS!$C$1476)*CROQUIS_DATOS!$C$1561,((CROQUIS_DATOS!$C$1479+CROQUIS_DATOS!$C$1480)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3">
        <f>IF(AND(CROQUIS_DATOS!$C$1472=1,CROQUIS_DATOS!$C$1478&gt;=2,((CROQUIS_DATOS!$C$1484+CROQUIS_DATOS!$C$1485))-(CROQUIS_DATOS!$C$1484)&gt;0.5,(CROQUIS_DATOS!$C$1486)-(0)&gt;0.5),(CROQUIS_DATOS!$C$1566+(IF(IF(MOD(MIN(INT(($A83-1)/2)+1,MAX(1,INT(((((CROQUIS_DATOS!$C$1484+CROQUIS_DATOS!$C$1485))-(CROQUIS_DATOS!$C$1484))+((CROQUIS_DATOS!$C$1486)*CROQUIS_DATOS!$C$1561-(0)*CROQUIS_DATOS!$C$1561))/CROQUIS_DATOS!$C$1568-0.000001))),2)=1,IF(INT(($A83-1)/2)+1&gt;MAX(1,INT(((((CROQUIS_DATOS!$C$1484+CROQUIS_DATOS!$C$1485))-(CROQUIS_DATOS!$C$1484))+((CROQUIS_DATOS!$C$1486)*CROQUIS_DATOS!$C$1561-(0)*CROQUIS_DATOS!$C$1561))/CROQUIS_DATOS!$C$1568-0.000001)),1,MOD($A83-1,2)),1-IF(INT(($A83-1)/2)+1&gt;MAX(1,INT(((((CROQUIS_DATOS!$C$1484+CROQUIS_DATOS!$C$1485))-(CROQUIS_DATOS!$C$1484))+((CROQUIS_DATOS!$C$1486)*CROQUIS_DATOS!$C$1561-(0)*CROQUIS_DATOS!$C$1561))/CROQUIS_DATOS!$C$1568-0.000001)),1,MOD($A83-1,2)))=1,MIN((CROQUIS_DATOS!$C$1486)*CROQUIS_DATOS!$C$1561,((CROQUIS_DATOS!$C$1484+CROQUIS_DATOS!$C$1485)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3">
        <f>IF(AND(CROQUIS_DATOS!$C$1472=1,CROQUIS_DATOS!$C$1478&gt;=2,((CROQUIS_DATOS!$C$1484+CROQUIS_DATOS!$C$1485))-(CROQUIS_DATOS!$C$1484)&gt;0.5,(CROQUIS_DATOS!$C$1486)-(0)&gt;0.5),(CROQUIS_DATOS!$C$1567+(IF(IF(MOD(MIN(INT(($A83-1)/2)+1,MAX(1,INT(((((CROQUIS_DATOS!$C$1484+CROQUIS_DATOS!$C$1485))-(CROQUIS_DATOS!$C$1484))+((CROQUIS_DATOS!$C$1486)*CROQUIS_DATOS!$C$1561-(0)*CROQUIS_DATOS!$C$1561))/CROQUIS_DATOS!$C$1568-0.000001))),2)=1,IF(INT(($A83-1)/2)+1&gt;MAX(1,INT(((((CROQUIS_DATOS!$C$1484+CROQUIS_DATOS!$C$1485))-(CROQUIS_DATOS!$C$1484))+((CROQUIS_DATOS!$C$1486)*CROQUIS_DATOS!$C$1561-(0)*CROQUIS_DATOS!$C$1561))/CROQUIS_DATOS!$C$1568-0.000001)),1,MOD($A83-1,2)),1-IF(INT(($A83-1)/2)+1&gt;MAX(1,INT(((((CROQUIS_DATOS!$C$1484+CROQUIS_DATOS!$C$1485))-(CROQUIS_DATOS!$C$1484))+((CROQUIS_DATOS!$C$1486)*CROQUIS_DATOS!$C$1561-(0)*CROQUIS_DATOS!$C$1561))/CROQUIS_DATOS!$C$1568-0.000001)),1,MOD($A83-1,2)))=1,MIN((CROQUIS_DATOS!$C$1486)*CROQUIS_DATOS!$C$1561,((CROQUIS_DATOS!$C$1484+CROQUIS_DATOS!$C$1485)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3">
        <f>IF(AND(CROQUIS_DATOS!$C$1472=1,CROQUIS_DATOS!$C$1478&gt;=2,((CROQUIS_DATOS!$C$1484+CROQUIS_DATOS!$C$1485))-(CROQUIS_DATOS!$C$1484)&gt;0.5,(CROQUIS_DATOS!$C$1476)-((CROQUIS_DATOS!$C$1486+CROQUIS_DATOS!$C$1487))&gt;0.5),(CROQUIS_DATOS!$C$1566+(IF(IF(MOD(MIN(INT(($A83-1)/2)+1,MAX(1,INT(((((CROQUIS_DATOS!$C$1484+CROQUIS_DATOS!$C$1485))-(CROQUIS_DATOS!$C$1484))+((CROQUIS_DATOS!$C$1476)*CROQUIS_DATOS!$C$1561-((CROQUIS_DATOS!$C$1486+CROQUIS_DATOS!$C$1487))*CROQUIS_DATOS!$C$1561))/CROQUIS_DATOS!$C$1568-0.000001))),2)=1,IF(INT(($A83-1)/2)+1&gt;MAX(1,INT(((((CROQUIS_DATOS!$C$1484+CROQUIS_DATOS!$C$1485))-(CROQUIS_DATOS!$C$1484))+((CROQUIS_DATOS!$C$1476)*CROQUIS_DATOS!$C$1561-((CROQUIS_DATOS!$C$1486+CROQUIS_DATOS!$C$1487))*CROQUIS_DATOS!$C$1561))/CROQUIS_DATOS!$C$1568-0.000001)),1,MOD($A83-1,2)),1-IF(INT(($A83-1)/2)+1&gt;MAX(1,INT(((((CROQUIS_DATOS!$C$1484+CROQUIS_DATOS!$C$1485))-(CROQUIS_DATOS!$C$1484))+((CROQUIS_DATOS!$C$1476)*CROQUIS_DATOS!$C$1561-((CROQUIS_DATOS!$C$1486+CROQUIS_DATOS!$C$1487))*CROQUIS_DATOS!$C$1561))/CROQUIS_DATOS!$C$1568-0.000001)),1,MOD($A83-1,2)))=1,MIN((CROQUIS_DATOS!$C$1476)*CROQUIS_DATOS!$C$1561,((CROQUIS_DATOS!$C$1484+CROQUIS_DATOS!$C$1485)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3">
        <f>IF(AND(CROQUIS_DATOS!$C$1472=1,CROQUIS_DATOS!$C$1478&gt;=2,((CROQUIS_DATOS!$C$1484+CROQUIS_DATOS!$C$1485))-(CROQUIS_DATOS!$C$1484)&gt;0.5,(CROQUIS_DATOS!$C$1476)-((CROQUIS_DATOS!$C$1486+CROQUIS_DATOS!$C$1487))&gt;0.5),(CROQUIS_DATOS!$C$1567+(IF(IF(MOD(MIN(INT(($A83-1)/2)+1,MAX(1,INT(((((CROQUIS_DATOS!$C$1484+CROQUIS_DATOS!$C$1485))-(CROQUIS_DATOS!$C$1484))+((CROQUIS_DATOS!$C$1476)*CROQUIS_DATOS!$C$1561-((CROQUIS_DATOS!$C$1486+CROQUIS_DATOS!$C$1487))*CROQUIS_DATOS!$C$1561))/CROQUIS_DATOS!$C$1568-0.000001))),2)=1,IF(INT(($A83-1)/2)+1&gt;MAX(1,INT(((((CROQUIS_DATOS!$C$1484+CROQUIS_DATOS!$C$1485))-(CROQUIS_DATOS!$C$1484))+((CROQUIS_DATOS!$C$1476)*CROQUIS_DATOS!$C$1561-((CROQUIS_DATOS!$C$1486+CROQUIS_DATOS!$C$1487))*CROQUIS_DATOS!$C$1561))/CROQUIS_DATOS!$C$1568-0.000001)),1,MOD($A83-1,2)),1-IF(INT(($A83-1)/2)+1&gt;MAX(1,INT(((((CROQUIS_DATOS!$C$1484+CROQUIS_DATOS!$C$1485))-(CROQUIS_DATOS!$C$1484))+((CROQUIS_DATOS!$C$1476)*CROQUIS_DATOS!$C$1561-((CROQUIS_DATOS!$C$1486+CROQUIS_DATOS!$C$1487))*CROQUIS_DATOS!$C$1561))/CROQUIS_DATOS!$C$1568-0.000001)),1,MOD($A83-1,2)))=1,MIN((CROQUIS_DATOS!$C$1476)*CROQUIS_DATOS!$C$1561,((CROQUIS_DATOS!$C$1484+CROQUIS_DATOS!$C$1485)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3">
        <f>IF(AND(CROQUIS_DATOS!$C$1472=1,CROQUIS_DATOS!$C$1478&gt;=3,((CROQUIS_DATOS!$C$1489+CROQUIS_DATOS!$C$1490))-(CROQUIS_DATOS!$C$1489)&gt;0.5,(CROQUIS_DATOS!$C$1491)-(0)&gt;0.5),(CROQUIS_DATOS!$C$1566+(IF(IF(MOD(MIN(INT(($A83-1)/2)+1,MAX(1,INT(((((CROQUIS_DATOS!$C$1489+CROQUIS_DATOS!$C$1490))-(CROQUIS_DATOS!$C$1489))+((CROQUIS_DATOS!$C$1491)*CROQUIS_DATOS!$C$1561-(0)*CROQUIS_DATOS!$C$1561))/CROQUIS_DATOS!$C$1568-0.000001))),2)=1,IF(INT(($A83-1)/2)+1&gt;MAX(1,INT(((((CROQUIS_DATOS!$C$1489+CROQUIS_DATOS!$C$1490))-(CROQUIS_DATOS!$C$1489))+((CROQUIS_DATOS!$C$1491)*CROQUIS_DATOS!$C$1561-(0)*CROQUIS_DATOS!$C$1561))/CROQUIS_DATOS!$C$1568-0.000001)),1,MOD($A83-1,2)),1-IF(INT(($A83-1)/2)+1&gt;MAX(1,INT(((((CROQUIS_DATOS!$C$1489+CROQUIS_DATOS!$C$1490))-(CROQUIS_DATOS!$C$1489))+((CROQUIS_DATOS!$C$1491)*CROQUIS_DATOS!$C$1561-(0)*CROQUIS_DATOS!$C$1561))/CROQUIS_DATOS!$C$1568-0.000001)),1,MOD($A83-1,2)))=1,MIN((CROQUIS_DATOS!$C$1491)*CROQUIS_DATOS!$C$1561,((CROQUIS_DATOS!$C$1489+CROQUIS_DATOS!$C$1490)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3">
        <f>IF(AND(CROQUIS_DATOS!$C$1472=1,CROQUIS_DATOS!$C$1478&gt;=3,((CROQUIS_DATOS!$C$1489+CROQUIS_DATOS!$C$1490))-(CROQUIS_DATOS!$C$1489)&gt;0.5,(CROQUIS_DATOS!$C$1491)-(0)&gt;0.5),(CROQUIS_DATOS!$C$1567+(IF(IF(MOD(MIN(INT(($A83-1)/2)+1,MAX(1,INT(((((CROQUIS_DATOS!$C$1489+CROQUIS_DATOS!$C$1490))-(CROQUIS_DATOS!$C$1489))+((CROQUIS_DATOS!$C$1491)*CROQUIS_DATOS!$C$1561-(0)*CROQUIS_DATOS!$C$1561))/CROQUIS_DATOS!$C$1568-0.000001))),2)=1,IF(INT(($A83-1)/2)+1&gt;MAX(1,INT(((((CROQUIS_DATOS!$C$1489+CROQUIS_DATOS!$C$1490))-(CROQUIS_DATOS!$C$1489))+((CROQUIS_DATOS!$C$1491)*CROQUIS_DATOS!$C$1561-(0)*CROQUIS_DATOS!$C$1561))/CROQUIS_DATOS!$C$1568-0.000001)),1,MOD($A83-1,2)),1-IF(INT(($A83-1)/2)+1&gt;MAX(1,INT(((((CROQUIS_DATOS!$C$1489+CROQUIS_DATOS!$C$1490))-(CROQUIS_DATOS!$C$1489))+((CROQUIS_DATOS!$C$1491)*CROQUIS_DATOS!$C$1561-(0)*CROQUIS_DATOS!$C$1561))/CROQUIS_DATOS!$C$1568-0.000001)),1,MOD($A83-1,2)))=1,MIN((CROQUIS_DATOS!$C$1491)*CROQUIS_DATOS!$C$1561,((CROQUIS_DATOS!$C$1489+CROQUIS_DATOS!$C$1490)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3">
        <f>IF(AND(CROQUIS_DATOS!$C$1472=1,CROQUIS_DATOS!$C$1478&gt;=3,((CROQUIS_DATOS!$C$1489+CROQUIS_DATOS!$C$1490))-(CROQUIS_DATOS!$C$1489)&gt;0.5,(CROQUIS_DATOS!$C$1476)-((CROQUIS_DATOS!$C$1491+CROQUIS_DATOS!$C$1492))&gt;0.5),(CROQUIS_DATOS!$C$1566+(IF(IF(MOD(MIN(INT(($A83-1)/2)+1,MAX(1,INT(((((CROQUIS_DATOS!$C$1489+CROQUIS_DATOS!$C$1490))-(CROQUIS_DATOS!$C$1489))+((CROQUIS_DATOS!$C$1476)*CROQUIS_DATOS!$C$1561-((CROQUIS_DATOS!$C$1491+CROQUIS_DATOS!$C$1492))*CROQUIS_DATOS!$C$1561))/CROQUIS_DATOS!$C$1568-0.000001))),2)=1,IF(INT(($A83-1)/2)+1&gt;MAX(1,INT(((((CROQUIS_DATOS!$C$1489+CROQUIS_DATOS!$C$1490))-(CROQUIS_DATOS!$C$1489))+((CROQUIS_DATOS!$C$1476)*CROQUIS_DATOS!$C$1561-((CROQUIS_DATOS!$C$1491+CROQUIS_DATOS!$C$1492))*CROQUIS_DATOS!$C$1561))/CROQUIS_DATOS!$C$1568-0.000001)),1,MOD($A83-1,2)),1-IF(INT(($A83-1)/2)+1&gt;MAX(1,INT(((((CROQUIS_DATOS!$C$1489+CROQUIS_DATOS!$C$1490))-(CROQUIS_DATOS!$C$1489))+((CROQUIS_DATOS!$C$1476)*CROQUIS_DATOS!$C$1561-((CROQUIS_DATOS!$C$1491+CROQUIS_DATOS!$C$1492))*CROQUIS_DATOS!$C$1561))/CROQUIS_DATOS!$C$1568-0.000001)),1,MOD($A83-1,2)))=1,MIN((CROQUIS_DATOS!$C$1476)*CROQUIS_DATOS!$C$1561,((CROQUIS_DATOS!$C$1489+CROQUIS_DATOS!$C$1490)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3">
        <f>IF(AND(CROQUIS_DATOS!$C$1472=1,CROQUIS_DATOS!$C$1478&gt;=3,((CROQUIS_DATOS!$C$1489+CROQUIS_DATOS!$C$1490))-(CROQUIS_DATOS!$C$1489)&gt;0.5,(CROQUIS_DATOS!$C$1476)-((CROQUIS_DATOS!$C$1491+CROQUIS_DATOS!$C$1492))&gt;0.5),(CROQUIS_DATOS!$C$1567+(IF(IF(MOD(MIN(INT(($A83-1)/2)+1,MAX(1,INT(((((CROQUIS_DATOS!$C$1489+CROQUIS_DATOS!$C$1490))-(CROQUIS_DATOS!$C$1489))+((CROQUIS_DATOS!$C$1476)*CROQUIS_DATOS!$C$1561-((CROQUIS_DATOS!$C$1491+CROQUIS_DATOS!$C$1492))*CROQUIS_DATOS!$C$1561))/CROQUIS_DATOS!$C$1568-0.000001))),2)=1,IF(INT(($A83-1)/2)+1&gt;MAX(1,INT(((((CROQUIS_DATOS!$C$1489+CROQUIS_DATOS!$C$1490))-(CROQUIS_DATOS!$C$1489))+((CROQUIS_DATOS!$C$1476)*CROQUIS_DATOS!$C$1561-((CROQUIS_DATOS!$C$1491+CROQUIS_DATOS!$C$1492))*CROQUIS_DATOS!$C$1561))/CROQUIS_DATOS!$C$1568-0.000001)),1,MOD($A83-1,2)),1-IF(INT(($A83-1)/2)+1&gt;MAX(1,INT(((((CROQUIS_DATOS!$C$1489+CROQUIS_DATOS!$C$1490))-(CROQUIS_DATOS!$C$1489))+((CROQUIS_DATOS!$C$1476)*CROQUIS_DATOS!$C$1561-((CROQUIS_DATOS!$C$1491+CROQUIS_DATOS!$C$1492))*CROQUIS_DATOS!$C$1561))/CROQUIS_DATOS!$C$1568-0.000001)),1,MOD($A83-1,2)))=1,MIN((CROQUIS_DATOS!$C$1476)*CROQUIS_DATOS!$C$1561,((CROQUIS_DATOS!$C$1489+CROQUIS_DATOS!$C$1490)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3">
        <f>IF(AND(CROQUIS_DATOS!$C$1472=1,CROQUIS_DATOS!$C$1478&gt;=4,((CROQUIS_DATOS!$C$1494+CROQUIS_DATOS!$C$1495))-(CROQUIS_DATOS!$C$1494)&gt;0.5,(CROQUIS_DATOS!$C$1496)-(0)&gt;0.5),(CROQUIS_DATOS!$C$1566+(IF(IF(MOD(MIN(INT(($A83-1)/2)+1,MAX(1,INT(((((CROQUIS_DATOS!$C$1494+CROQUIS_DATOS!$C$1495))-(CROQUIS_DATOS!$C$1494))+((CROQUIS_DATOS!$C$1496)*CROQUIS_DATOS!$C$1561-(0)*CROQUIS_DATOS!$C$1561))/CROQUIS_DATOS!$C$1568-0.000001))),2)=1,IF(INT(($A83-1)/2)+1&gt;MAX(1,INT(((((CROQUIS_DATOS!$C$1494+CROQUIS_DATOS!$C$1495))-(CROQUIS_DATOS!$C$1494))+((CROQUIS_DATOS!$C$1496)*CROQUIS_DATOS!$C$1561-(0)*CROQUIS_DATOS!$C$1561))/CROQUIS_DATOS!$C$1568-0.000001)),1,MOD($A83-1,2)),1-IF(INT(($A83-1)/2)+1&gt;MAX(1,INT(((((CROQUIS_DATOS!$C$1494+CROQUIS_DATOS!$C$1495))-(CROQUIS_DATOS!$C$1494))+((CROQUIS_DATOS!$C$1496)*CROQUIS_DATOS!$C$1561-(0)*CROQUIS_DATOS!$C$1561))/CROQUIS_DATOS!$C$1568-0.000001)),1,MOD($A83-1,2)))=1,MIN((CROQUIS_DATOS!$C$1496)*CROQUIS_DATOS!$C$1561,((CROQUIS_DATOS!$C$1494+CROQUIS_DATOS!$C$1495)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3">
        <f>IF(AND(CROQUIS_DATOS!$C$1472=1,CROQUIS_DATOS!$C$1478&gt;=4,((CROQUIS_DATOS!$C$1494+CROQUIS_DATOS!$C$1495))-(CROQUIS_DATOS!$C$1494)&gt;0.5,(CROQUIS_DATOS!$C$1496)-(0)&gt;0.5),(CROQUIS_DATOS!$C$1567+(IF(IF(MOD(MIN(INT(($A83-1)/2)+1,MAX(1,INT(((((CROQUIS_DATOS!$C$1494+CROQUIS_DATOS!$C$1495))-(CROQUIS_DATOS!$C$1494))+((CROQUIS_DATOS!$C$1496)*CROQUIS_DATOS!$C$1561-(0)*CROQUIS_DATOS!$C$1561))/CROQUIS_DATOS!$C$1568-0.000001))),2)=1,IF(INT(($A83-1)/2)+1&gt;MAX(1,INT(((((CROQUIS_DATOS!$C$1494+CROQUIS_DATOS!$C$1495))-(CROQUIS_DATOS!$C$1494))+((CROQUIS_DATOS!$C$1496)*CROQUIS_DATOS!$C$1561-(0)*CROQUIS_DATOS!$C$1561))/CROQUIS_DATOS!$C$1568-0.000001)),1,MOD($A83-1,2)),1-IF(INT(($A83-1)/2)+1&gt;MAX(1,INT(((((CROQUIS_DATOS!$C$1494+CROQUIS_DATOS!$C$1495))-(CROQUIS_DATOS!$C$1494))+((CROQUIS_DATOS!$C$1496)*CROQUIS_DATOS!$C$1561-(0)*CROQUIS_DATOS!$C$1561))/CROQUIS_DATOS!$C$1568-0.000001)),1,MOD($A83-1,2)))=1,MIN((CROQUIS_DATOS!$C$1496)*CROQUIS_DATOS!$C$1561,((CROQUIS_DATOS!$C$1494+CROQUIS_DATOS!$C$1495)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3">
        <f>IF(AND(CROQUIS_DATOS!$C$1472=1,CROQUIS_DATOS!$C$1478&gt;=4,((CROQUIS_DATOS!$C$1494+CROQUIS_DATOS!$C$1495))-(CROQUIS_DATOS!$C$1494)&gt;0.5,(CROQUIS_DATOS!$C$1476)-((CROQUIS_DATOS!$C$1496+CROQUIS_DATOS!$C$1497))&gt;0.5),(CROQUIS_DATOS!$C$1566+(IF(IF(MOD(MIN(INT(($A83-1)/2)+1,MAX(1,INT(((((CROQUIS_DATOS!$C$1494+CROQUIS_DATOS!$C$1495))-(CROQUIS_DATOS!$C$1494))+((CROQUIS_DATOS!$C$1476)*CROQUIS_DATOS!$C$1561-((CROQUIS_DATOS!$C$1496+CROQUIS_DATOS!$C$1497))*CROQUIS_DATOS!$C$1561))/CROQUIS_DATOS!$C$1568-0.000001))),2)=1,IF(INT(($A83-1)/2)+1&gt;MAX(1,INT(((((CROQUIS_DATOS!$C$1494+CROQUIS_DATOS!$C$1495))-(CROQUIS_DATOS!$C$1494))+((CROQUIS_DATOS!$C$1476)*CROQUIS_DATOS!$C$1561-((CROQUIS_DATOS!$C$1496+CROQUIS_DATOS!$C$1497))*CROQUIS_DATOS!$C$1561))/CROQUIS_DATOS!$C$1568-0.000001)),1,MOD($A83-1,2)),1-IF(INT(($A83-1)/2)+1&gt;MAX(1,INT(((((CROQUIS_DATOS!$C$1494+CROQUIS_DATOS!$C$1495))-(CROQUIS_DATOS!$C$1494))+((CROQUIS_DATOS!$C$1476)*CROQUIS_DATOS!$C$1561-((CROQUIS_DATOS!$C$1496+CROQUIS_DATOS!$C$1497))*CROQUIS_DATOS!$C$1561))/CROQUIS_DATOS!$C$1568-0.000001)),1,MOD($A83-1,2)))=1,MIN((CROQUIS_DATOS!$C$1476)*CROQUIS_DATOS!$C$1561,((CROQUIS_DATOS!$C$1494+CROQUIS_DATOS!$C$1495)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3">
        <f>IF(AND(CROQUIS_DATOS!$C$1472=1,CROQUIS_DATOS!$C$1478&gt;=4,((CROQUIS_DATOS!$C$1494+CROQUIS_DATOS!$C$1495))-(CROQUIS_DATOS!$C$1494)&gt;0.5,(CROQUIS_DATOS!$C$1476)-((CROQUIS_DATOS!$C$1496+CROQUIS_DATOS!$C$1497))&gt;0.5),(CROQUIS_DATOS!$C$1567+(IF(IF(MOD(MIN(INT(($A83-1)/2)+1,MAX(1,INT(((((CROQUIS_DATOS!$C$1494+CROQUIS_DATOS!$C$1495))-(CROQUIS_DATOS!$C$1494))+((CROQUIS_DATOS!$C$1476)*CROQUIS_DATOS!$C$1561-((CROQUIS_DATOS!$C$1496+CROQUIS_DATOS!$C$1497))*CROQUIS_DATOS!$C$1561))/CROQUIS_DATOS!$C$1568-0.000001))),2)=1,IF(INT(($A83-1)/2)+1&gt;MAX(1,INT(((((CROQUIS_DATOS!$C$1494+CROQUIS_DATOS!$C$1495))-(CROQUIS_DATOS!$C$1494))+((CROQUIS_DATOS!$C$1476)*CROQUIS_DATOS!$C$1561-((CROQUIS_DATOS!$C$1496+CROQUIS_DATOS!$C$1497))*CROQUIS_DATOS!$C$1561))/CROQUIS_DATOS!$C$1568-0.000001)),1,MOD($A83-1,2)),1-IF(INT(($A83-1)/2)+1&gt;MAX(1,INT(((((CROQUIS_DATOS!$C$1494+CROQUIS_DATOS!$C$1495))-(CROQUIS_DATOS!$C$1494))+((CROQUIS_DATOS!$C$1476)*CROQUIS_DATOS!$C$1561-((CROQUIS_DATOS!$C$1496+CROQUIS_DATOS!$C$1497))*CROQUIS_DATOS!$C$1561))/CROQUIS_DATOS!$C$1568-0.000001)),1,MOD($A83-1,2)))=1,MIN((CROQUIS_DATOS!$C$1476)*CROQUIS_DATOS!$C$1561,((CROQUIS_DATOS!$C$1494+CROQUIS_DATOS!$C$1495)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3">
        <f>IF(AND(CROQUIS_DATOS!$C$1472=1,1),(CROQUIS_DATOS!$C$1571+(CHOOSE(MIN(MAX(IF(INT(($A83-1)/5)+1&gt;CROQUIS_DATOS!$C$1525,5,MOD($A83-1,5)+1),1),5),(INDEX($E$8:$E$23,MIN(INT(($A83-1)/5)+1,CROQUIS_DATOS!$C$1525))-INDEX($F$8:$F$23,MIN(INT(($A83-1)/5)+1,CROQUIS_DATOS!$C$1525))/2),(INDEX($E$8:$E$23,MIN(INT(($A83-1)/5)+1,CROQUIS_DATOS!$C$1525))+INDEX($F$8:$F$23,MIN(INT(($A83-1)/5)+1,CROQUIS_DATOS!$C$1525))/2),(INDEX($E$8:$E$23,MIN(INT(($A83-1)/5)+1,CROQUIS_DATOS!$C$1525))+INDEX($F$8:$F$23,MIN(INT(($A83-1)/5)+1,CROQUIS_DATOS!$C$1525))/2),(INDEX($E$8:$E$23,MIN(INT(($A83-1)/5)+1,CROQUIS_DATOS!$C$1525))-INDEX($F$8:$F$23,MIN(INT(($A83-1)/5)+1,CROQUIS_DATOS!$C$1525))/2),(INDEX($E$8:$E$23,MIN(INT(($A83-1)/5)+1,CROQUIS_DATOS!$C$1525))-INDEX($F$8:$F$23,MIN(INT(($A83-1)/5)+1,CROQUIS_DATOS!$C$1525))/2)))*CROQUIS_DATOS!$C$1569),-1000)</f>
        <v>95.24</v>
      </c>
      <c r="GE83">
        <f>IF(AND(CROQUIS_DATOS!$C$1472=1,1),(CROQUIS_DATOS!$C$1572+(CHOOSE(MIN(MAX(IF(INT(($A83-1)/5)+1&gt;CROQUIS_DATOS!$C$1525,5,MOD($A83-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4">
      <c r="A84" t="n">
        <v>77</v>
      </c>
      <c r="N84">
        <f>IF(AND(CROQUIS_DATOS!$C$1472=1,1),(CROQUIS_DATOS!$C$1563+(IF(IF(IF(INT(($A84-1)/70)+1&gt;CROQUIS_DATOS!$C$1525,70,MOD($A84-1,70)+1)=1,0,IF(IF(INT(($A84-1)/70)+1&gt;CROQUIS_DATOS!$C$1525,70,MOD($A84-1,70)+1)&gt;2*CROQUIS_DATOS!$C$1541+1,IF(MOD(CROQUIS_DATOS!$C$1541,2)=1,1,0),IF(MOD(MIN(INT((IF(INT(($A84-1)/70)+1&gt;CROQUIS_DATOS!$C$1525,70,MOD($A84-1,70)+1)-2)/2)+1,CROQUIS_DATOS!$C$1541),2)=1,IF(MOD(IF(INT(($A84-1)/70)+1&gt;CROQUIS_DATOS!$C$1525,70,MOD($A84-1,70)+1)-2,2)=0,0,1),IF(MOD(IF(INT(($A84-1)/70)+1&gt;CROQUIS_DATOS!$C$1525,70,MOD($A84-1,70)+1)-2,2)=0,1,0))))=0,(INDEX($E$8:$E$23,MIN(INT(($A84-1)/70)+1,CROQUIS_DATOS!$C$1525))-INDEX($F$8:$F$23,MIN(INT(($A84-1)/70)+1,CROQUIS_DATOS!$C$1525))/2),(INDEX($E$8:$E$23,MIN(INT(($A84-1)/70)+1,CROQUIS_DATOS!$C$1525))+INDEX($F$8:$F$23,MIN(INT(($A84-1)/70)+1,CROQUIS_DATOS!$C$1525))/2)))*CROQUIS_DATOS!$C$1562),-1000)</f>
        <v>20.6724137931034</v>
      </c>
      <c r="O84">
        <f>IF(AND(CROQUIS_DATOS!$C$1472=1,1),(CROQUIS_DATOS!$C$1564+(IF(OR(IF(INT(($A84-1)/70)+1&gt;CROQUIS_DATOS!$C$1525,70,MOD($A84-1,70)+1)=1,IF(INT(($A84-1)/70)+1&gt;CROQUIS_DATOS!$C$1525,70,MOD($A84-1,70)+1)&gt;2*CROQUIS_DATOS!$C$1541+1),CROQUIS_DATOS!$C$1476,INDEX($H$8:$H$41,MIN(INT((IF(INT(($A84-1)/70)+1&gt;CROQUIS_DATOS!$C$1525,70,MOD($A84-1,70)+1)-2)/2)+1,CROQUIS_DATOS!$C$1541))))*CROQUIS_DATOS!$C$1561*CROQUIS_DATOS!$C$1562),-1000)</f>
        <v>8.43534482758621</v>
      </c>
      <c r="P84">
        <f>IF(AND(CROQUIS_DATOS!$C$1472=1,CROQUIS_DATOS!$C$1555=1),(CROQUIS_DATOS!$C$1563+(IF(IF(OR(MOD($A84-1,62)+1=1,IF(CHOOSE(MIN(MAX(MIN(INT(($A84-1)/62)+1,5),1),5),CROQUIS_DATOS!$C$1501,CROQUIS_DATOS!$C$1505,CROQUIS_DATOS!$C$1509,CROQUIS_DATOS!$C$1513,CROQUIS_DATOS!$C$1517)=1,CROQUIS_DATOS!$C$1557,0)=0),0,IF(MOD($A84-1,62)+1&gt;2*IF(CHOOSE(MIN(MAX(MIN(INT(($A84-1)/62)+1,5),1),5),CROQUIS_DATOS!$C$1501,CROQUIS_DATOS!$C$1505,CROQUIS_DATOS!$C$1509,CROQUIS_DATOS!$C$1513,CROQUIS_DATOS!$C$1517)=1,CROQUIS_DATOS!$C$1557,0)+1,IF(MOD(IF(CHOOSE(MIN(MAX(MIN(INT(($A84-1)/62)+1,5),1),5),CROQUIS_DATOS!$C$1501,CROQUIS_DATOS!$C$1505,CROQUIS_DATOS!$C$1509,CROQUIS_DATOS!$C$1513,CROQUIS_DATOS!$C$1517)=1,CROQUIS_DATOS!$C$1557,0),2)=1,1,0),IF(MOD(MIN(INT((MOD($A84-1,62)+1-2)/2)+1,MAX(IF(CHOOSE(MIN(MAX(MIN(INT(($A84-1)/62)+1,5),1),5),CROQUIS_DATOS!$C$1501,CROQUIS_DATOS!$C$1505,CROQUIS_DATOS!$C$1509,CROQUIS_DATOS!$C$1513,CROQUIS_DATOS!$C$1517)=1,CROQUIS_DATOS!$C$1557,0),1)),2)=1,IF(MOD(MOD($A84-1,62)+1-2,2)=0,0,1),IF(MOD(MOD($A84-1,62)+1-2,2)=0,1,0))))=0,(CHOOSE(MIN(MAX(MIN(INT(($A84-1)/62)+1,5),1),5),CROQUIS_DATOS!$C$1499,CROQUIS_DATOS!$C$1503,CROQUIS_DATOS!$C$1507,CROQUIS_DATOS!$C$1511,CROQUIS_DATOS!$C$1515)+IF(CHOOSE(MIN(MAX(MIN(INT(($A84-1)/62)+1,5),1),5),CROQUIS_DATOS!$C$1501,CROQUIS_DATOS!$C$1505,CROQUIS_DATOS!$C$1509,CROQUIS_DATOS!$C$1513,CROQUIS_DATOS!$C$1517)=1,CROQUIS_DATOS!$C$1526,0)),(CHOOSE(MIN(MAX(MIN(INT(($A84-1)/62)+1,5),1),5),CROQUIS_DATOS!$C$1499,CROQUIS_DATOS!$C$1503,CROQUIS_DATOS!$C$1507,CROQUIS_DATOS!$C$1511,CROQUIS_DATOS!$C$1515)+CHOOSE(MIN(MAX(MIN(INT(($A84-1)/62)+1,5),1),5),CROQUIS_DATOS!$C$1500,CROQUIS_DATOS!$C$1504,CROQUIS_DATOS!$C$1508,CROQUIS_DATOS!$C$1512,CROQUIS_DATOS!$C$1516)-IF(CHOOSE(MIN(MAX(MIN(INT(($A84-1)/62)+1,5),1),5),CROQUIS_DATOS!$C$1501,CROQUIS_DATOS!$C$1505,CROQUIS_DATOS!$C$1509,CROQUIS_DATOS!$C$1513,CROQUIS_DATOS!$C$1517)=1,CROQUIS_DATOS!$C$1526,0))))*CROQUIS_DATOS!$C$1562),-1000)</f>
        <v>-1000</v>
      </c>
      <c r="Q84">
        <f>IF(AND(CROQUIS_DATOS!$C$1472=1,CROQUIS_DATOS!$C$1555=1),(CROQUIS_DATOS!$C$1564+(IF(OR(OR(MOD($A84-1,62)+1=1,IF(CHOOSE(MIN(MAX(MIN(INT(($A84-1)/62)+1,5),1),5),CROQUIS_DATOS!$C$1501,CROQUIS_DATOS!$C$1505,CROQUIS_DATOS!$C$1509,CROQUIS_DATOS!$C$1513,CROQUIS_DATOS!$C$1517)=1,CROQUIS_DATOS!$C$1557,0)=0),MOD($A84-1,62)+1&gt;2*IF(CHOOSE(MIN(MAX(MIN(INT(($A84-1)/62)+1,5),1),5),CROQUIS_DATOS!$C$1501,CROQUIS_DATOS!$C$1505,CROQUIS_DATOS!$C$1509,CROQUIS_DATOS!$C$1513,CROQUIS_DATOS!$C$1517)=1,CROQUIS_DATOS!$C$1557,0)+1),CROQUIS_DATOS!$C$1476,MIN(INT((MOD($A84-1,62)+1-2)/2)+1,MAX(IF(CHOOSE(MIN(MAX(MIN(INT(($A84-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4">
        <f>IF(AND(CROQUIS_DATOS!$C$1472=1,1),(CROQUIS_DATOS!$C$1563+(MIN(INT(($A84-1)/2)+1,CROQUIS_DATOS!$C$1558)*CROQUIS_DATOS!$C$1559)*CROQUIS_DATOS!$C$1562),-1000)</f>
        <v>82.2281167108753</v>
      </c>
      <c r="U84">
        <f>IF(AND(CROQUIS_DATOS!$C$1472=1,1),(CROQUIS_DATOS!$C$1564+(IF(INT(($A84-1)/2)+1&gt;CROQUIS_DATOS!$C$1558,IF(MOD(CROQUIS_DATOS!$C$1558,2)=1,CROQUIS_DATOS!$C$1476+CROQUIS_DATOS!$C$1528,CROQUIS_DATOS!$C$1476),IF(IF(MOD(MIN(INT(($A84-1)/2)+1,CROQUIS_DATOS!$C$1558),2)=1,MOD($A84-1,2),1-MOD($A84-1,2))=1,CROQUIS_DATOS!$C$1476+CROQUIS_DATOS!$C$1528,CROQUIS_DATOS!$C$1476)))*CROQUIS_DATOS!$C$1561*CROQUIS_DATOS!$C$1562),-1000)</f>
        <v>43</v>
      </c>
      <c r="BZ84">
        <f>IF(AND(CROQUIS_DATOS!$C$1472=1,CROQUIS_DATOS!$C$1500&gt;0,((CROQUIS_DATOS!$C$1499+CROQUIS_DATOS!$C$1500))-(CROQUIS_DATOS!$C$1499)&gt;0.5,(CROQUIS_DATOS!$C$1476)-(0)&gt;0.5),(CROQUIS_DATOS!$C$1566+(IF(IF(MOD(MIN(INT(($A84-1)/2)+1,MAX(1,INT(((((CROQUIS_DATOS!$C$1499+CROQUIS_DATOS!$C$1500))-(CROQUIS_DATOS!$C$1499))+((CROQUIS_DATOS!$C$1476)*CROQUIS_DATOS!$C$1561-(0)*CROQUIS_DATOS!$C$1561))/CROQUIS_DATOS!$C$1568-0.000001))),2)=1,IF(INT(($A84-1)/2)+1&gt;MAX(1,INT(((((CROQUIS_DATOS!$C$1499+CROQUIS_DATOS!$C$1500))-(CROQUIS_DATOS!$C$1499))+((CROQUIS_DATOS!$C$1476)*CROQUIS_DATOS!$C$1561-(0)*CROQUIS_DATOS!$C$1561))/CROQUIS_DATOS!$C$1568-0.000001)),1,MOD($A84-1,2)),1-IF(INT(($A84-1)/2)+1&gt;MAX(1,INT(((((CROQUIS_DATOS!$C$1499+CROQUIS_DATOS!$C$1500))-(CROQUIS_DATOS!$C$1499))+((CROQUIS_DATOS!$C$1476)*CROQUIS_DATOS!$C$1561-(0)*CROQUIS_DATOS!$C$1561))/CROQUIS_DATOS!$C$1568-0.000001)),1,MOD($A84-1,2)))=1,MIN((CROQUIS_DATOS!$C$1476)*CROQUIS_DATOS!$C$1561,((CROQUIS_DATOS!$C$1499+CROQUIS_DATOS!$C$1500)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4">
        <f>IF(AND(CROQUIS_DATOS!$C$1472=1,CROQUIS_DATOS!$C$1500&gt;0,((CROQUIS_DATOS!$C$1499+CROQUIS_DATOS!$C$1500))-(CROQUIS_DATOS!$C$1499)&gt;0.5,(CROQUIS_DATOS!$C$1476)-(0)&gt;0.5),(CROQUIS_DATOS!$C$1567+(IF(IF(MOD(MIN(INT(($A84-1)/2)+1,MAX(1,INT(((((CROQUIS_DATOS!$C$1499+CROQUIS_DATOS!$C$1500))-(CROQUIS_DATOS!$C$1499))+((CROQUIS_DATOS!$C$1476)*CROQUIS_DATOS!$C$1561-(0)*CROQUIS_DATOS!$C$1561))/CROQUIS_DATOS!$C$1568-0.000001))),2)=1,IF(INT(($A84-1)/2)+1&gt;MAX(1,INT(((((CROQUIS_DATOS!$C$1499+CROQUIS_DATOS!$C$1500))-(CROQUIS_DATOS!$C$1499))+((CROQUIS_DATOS!$C$1476)*CROQUIS_DATOS!$C$1561-(0)*CROQUIS_DATOS!$C$1561))/CROQUIS_DATOS!$C$1568-0.000001)),1,MOD($A84-1,2)),1-IF(INT(($A84-1)/2)+1&gt;MAX(1,INT(((((CROQUIS_DATOS!$C$1499+CROQUIS_DATOS!$C$1500))-(CROQUIS_DATOS!$C$1499))+((CROQUIS_DATOS!$C$1476)*CROQUIS_DATOS!$C$1561-(0)*CROQUIS_DATOS!$C$1561))/CROQUIS_DATOS!$C$1568-0.000001)),1,MOD($A84-1,2)))=1,MIN((CROQUIS_DATOS!$C$1476)*CROQUIS_DATOS!$C$1561,((CROQUIS_DATOS!$C$1499+CROQUIS_DATOS!$C$1500)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4">
        <f>IF(AND(CROQUIS_DATOS!$C$1472=1,CROQUIS_DATOS!$C$1504&gt;0,((CROQUIS_DATOS!$C$1503+CROQUIS_DATOS!$C$1504))-(CROQUIS_DATOS!$C$1503)&gt;0.5,(CROQUIS_DATOS!$C$1476)-(0)&gt;0.5),(CROQUIS_DATOS!$C$1566+(IF(IF(MOD(MIN(INT(($A84-1)/2)+1,MAX(1,INT(((((CROQUIS_DATOS!$C$1503+CROQUIS_DATOS!$C$1504))-(CROQUIS_DATOS!$C$1503))+((CROQUIS_DATOS!$C$1476)*CROQUIS_DATOS!$C$1561-(0)*CROQUIS_DATOS!$C$1561))/CROQUIS_DATOS!$C$1568-0.000001))),2)=1,IF(INT(($A84-1)/2)+1&gt;MAX(1,INT(((((CROQUIS_DATOS!$C$1503+CROQUIS_DATOS!$C$1504))-(CROQUIS_DATOS!$C$1503))+((CROQUIS_DATOS!$C$1476)*CROQUIS_DATOS!$C$1561-(0)*CROQUIS_DATOS!$C$1561))/CROQUIS_DATOS!$C$1568-0.000001)),1,MOD($A84-1,2)),1-IF(INT(($A84-1)/2)+1&gt;MAX(1,INT(((((CROQUIS_DATOS!$C$1503+CROQUIS_DATOS!$C$1504))-(CROQUIS_DATOS!$C$1503))+((CROQUIS_DATOS!$C$1476)*CROQUIS_DATOS!$C$1561-(0)*CROQUIS_DATOS!$C$1561))/CROQUIS_DATOS!$C$1568-0.000001)),1,MOD($A84-1,2)))=1,MIN((CROQUIS_DATOS!$C$1476)*CROQUIS_DATOS!$C$1561,((CROQUIS_DATOS!$C$1503+CROQUIS_DATOS!$C$1504)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4">
        <f>IF(AND(CROQUIS_DATOS!$C$1472=1,CROQUIS_DATOS!$C$1504&gt;0,((CROQUIS_DATOS!$C$1503+CROQUIS_DATOS!$C$1504))-(CROQUIS_DATOS!$C$1503)&gt;0.5,(CROQUIS_DATOS!$C$1476)-(0)&gt;0.5),(CROQUIS_DATOS!$C$1567+(IF(IF(MOD(MIN(INT(($A84-1)/2)+1,MAX(1,INT(((((CROQUIS_DATOS!$C$1503+CROQUIS_DATOS!$C$1504))-(CROQUIS_DATOS!$C$1503))+((CROQUIS_DATOS!$C$1476)*CROQUIS_DATOS!$C$1561-(0)*CROQUIS_DATOS!$C$1561))/CROQUIS_DATOS!$C$1568-0.000001))),2)=1,IF(INT(($A84-1)/2)+1&gt;MAX(1,INT(((((CROQUIS_DATOS!$C$1503+CROQUIS_DATOS!$C$1504))-(CROQUIS_DATOS!$C$1503))+((CROQUIS_DATOS!$C$1476)*CROQUIS_DATOS!$C$1561-(0)*CROQUIS_DATOS!$C$1561))/CROQUIS_DATOS!$C$1568-0.000001)),1,MOD($A84-1,2)),1-IF(INT(($A84-1)/2)+1&gt;MAX(1,INT(((((CROQUIS_DATOS!$C$1503+CROQUIS_DATOS!$C$1504))-(CROQUIS_DATOS!$C$1503))+((CROQUIS_DATOS!$C$1476)*CROQUIS_DATOS!$C$1561-(0)*CROQUIS_DATOS!$C$1561))/CROQUIS_DATOS!$C$1568-0.000001)),1,MOD($A84-1,2)))=1,MIN((CROQUIS_DATOS!$C$1476)*CROQUIS_DATOS!$C$1561,((CROQUIS_DATOS!$C$1503+CROQUIS_DATOS!$C$1504)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4">
        <f>IF(AND(CROQUIS_DATOS!$C$1472=1,CROQUIS_DATOS!$C$1508&gt;0,((CROQUIS_DATOS!$C$1507+CROQUIS_DATOS!$C$1508))-(CROQUIS_DATOS!$C$1507)&gt;0.5,(CROQUIS_DATOS!$C$1476)-(0)&gt;0.5),(CROQUIS_DATOS!$C$1566+(IF(IF(MOD(MIN(INT(($A84-1)/2)+1,MAX(1,INT(((((CROQUIS_DATOS!$C$1507+CROQUIS_DATOS!$C$1508))-(CROQUIS_DATOS!$C$1507))+((CROQUIS_DATOS!$C$1476)*CROQUIS_DATOS!$C$1561-(0)*CROQUIS_DATOS!$C$1561))/CROQUIS_DATOS!$C$1568-0.000001))),2)=1,IF(INT(($A84-1)/2)+1&gt;MAX(1,INT(((((CROQUIS_DATOS!$C$1507+CROQUIS_DATOS!$C$1508))-(CROQUIS_DATOS!$C$1507))+((CROQUIS_DATOS!$C$1476)*CROQUIS_DATOS!$C$1561-(0)*CROQUIS_DATOS!$C$1561))/CROQUIS_DATOS!$C$1568-0.000001)),1,MOD($A84-1,2)),1-IF(INT(($A84-1)/2)+1&gt;MAX(1,INT(((((CROQUIS_DATOS!$C$1507+CROQUIS_DATOS!$C$1508))-(CROQUIS_DATOS!$C$1507))+((CROQUIS_DATOS!$C$1476)*CROQUIS_DATOS!$C$1561-(0)*CROQUIS_DATOS!$C$1561))/CROQUIS_DATOS!$C$1568-0.000001)),1,MOD($A84-1,2)))=1,MIN((CROQUIS_DATOS!$C$1476)*CROQUIS_DATOS!$C$1561,((CROQUIS_DATOS!$C$1507+CROQUIS_DATOS!$C$1508)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4">
        <f>IF(AND(CROQUIS_DATOS!$C$1472=1,CROQUIS_DATOS!$C$1508&gt;0,((CROQUIS_DATOS!$C$1507+CROQUIS_DATOS!$C$1508))-(CROQUIS_DATOS!$C$1507)&gt;0.5,(CROQUIS_DATOS!$C$1476)-(0)&gt;0.5),(CROQUIS_DATOS!$C$1567+(IF(IF(MOD(MIN(INT(($A84-1)/2)+1,MAX(1,INT(((((CROQUIS_DATOS!$C$1507+CROQUIS_DATOS!$C$1508))-(CROQUIS_DATOS!$C$1507))+((CROQUIS_DATOS!$C$1476)*CROQUIS_DATOS!$C$1561-(0)*CROQUIS_DATOS!$C$1561))/CROQUIS_DATOS!$C$1568-0.000001))),2)=1,IF(INT(($A84-1)/2)+1&gt;MAX(1,INT(((((CROQUIS_DATOS!$C$1507+CROQUIS_DATOS!$C$1508))-(CROQUIS_DATOS!$C$1507))+((CROQUIS_DATOS!$C$1476)*CROQUIS_DATOS!$C$1561-(0)*CROQUIS_DATOS!$C$1561))/CROQUIS_DATOS!$C$1568-0.000001)),1,MOD($A84-1,2)),1-IF(INT(($A84-1)/2)+1&gt;MAX(1,INT(((((CROQUIS_DATOS!$C$1507+CROQUIS_DATOS!$C$1508))-(CROQUIS_DATOS!$C$1507))+((CROQUIS_DATOS!$C$1476)*CROQUIS_DATOS!$C$1561-(0)*CROQUIS_DATOS!$C$1561))/CROQUIS_DATOS!$C$1568-0.000001)),1,MOD($A84-1,2)))=1,MIN((CROQUIS_DATOS!$C$1476)*CROQUIS_DATOS!$C$1561,((CROQUIS_DATOS!$C$1507+CROQUIS_DATOS!$C$1508)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4">
        <f>IF(AND(CROQUIS_DATOS!$C$1472=1,CROQUIS_DATOS!$C$1512&gt;0,((CROQUIS_DATOS!$C$1511+CROQUIS_DATOS!$C$1512))-(CROQUIS_DATOS!$C$1511)&gt;0.5,(CROQUIS_DATOS!$C$1476)-(0)&gt;0.5),(CROQUIS_DATOS!$C$1566+(IF(IF(MOD(MIN(INT(($A84-1)/2)+1,MAX(1,INT(((((CROQUIS_DATOS!$C$1511+CROQUIS_DATOS!$C$1512))-(CROQUIS_DATOS!$C$1511))+((CROQUIS_DATOS!$C$1476)*CROQUIS_DATOS!$C$1561-(0)*CROQUIS_DATOS!$C$1561))/CROQUIS_DATOS!$C$1568-0.000001))),2)=1,IF(INT(($A84-1)/2)+1&gt;MAX(1,INT(((((CROQUIS_DATOS!$C$1511+CROQUIS_DATOS!$C$1512))-(CROQUIS_DATOS!$C$1511))+((CROQUIS_DATOS!$C$1476)*CROQUIS_DATOS!$C$1561-(0)*CROQUIS_DATOS!$C$1561))/CROQUIS_DATOS!$C$1568-0.000001)),1,MOD($A84-1,2)),1-IF(INT(($A84-1)/2)+1&gt;MAX(1,INT(((((CROQUIS_DATOS!$C$1511+CROQUIS_DATOS!$C$1512))-(CROQUIS_DATOS!$C$1511))+((CROQUIS_DATOS!$C$1476)*CROQUIS_DATOS!$C$1561-(0)*CROQUIS_DATOS!$C$1561))/CROQUIS_DATOS!$C$1568-0.000001)),1,MOD($A84-1,2)))=1,MIN((CROQUIS_DATOS!$C$1476)*CROQUIS_DATOS!$C$1561,((CROQUIS_DATOS!$C$1511+CROQUIS_DATOS!$C$1512)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4">
        <f>IF(AND(CROQUIS_DATOS!$C$1472=1,CROQUIS_DATOS!$C$1512&gt;0,((CROQUIS_DATOS!$C$1511+CROQUIS_DATOS!$C$1512))-(CROQUIS_DATOS!$C$1511)&gt;0.5,(CROQUIS_DATOS!$C$1476)-(0)&gt;0.5),(CROQUIS_DATOS!$C$1567+(IF(IF(MOD(MIN(INT(($A84-1)/2)+1,MAX(1,INT(((((CROQUIS_DATOS!$C$1511+CROQUIS_DATOS!$C$1512))-(CROQUIS_DATOS!$C$1511))+((CROQUIS_DATOS!$C$1476)*CROQUIS_DATOS!$C$1561-(0)*CROQUIS_DATOS!$C$1561))/CROQUIS_DATOS!$C$1568-0.000001))),2)=1,IF(INT(($A84-1)/2)+1&gt;MAX(1,INT(((((CROQUIS_DATOS!$C$1511+CROQUIS_DATOS!$C$1512))-(CROQUIS_DATOS!$C$1511))+((CROQUIS_DATOS!$C$1476)*CROQUIS_DATOS!$C$1561-(0)*CROQUIS_DATOS!$C$1561))/CROQUIS_DATOS!$C$1568-0.000001)),1,MOD($A84-1,2)),1-IF(INT(($A84-1)/2)+1&gt;MAX(1,INT(((((CROQUIS_DATOS!$C$1511+CROQUIS_DATOS!$C$1512))-(CROQUIS_DATOS!$C$1511))+((CROQUIS_DATOS!$C$1476)*CROQUIS_DATOS!$C$1561-(0)*CROQUIS_DATOS!$C$1561))/CROQUIS_DATOS!$C$1568-0.000001)),1,MOD($A84-1,2)))=1,MIN((CROQUIS_DATOS!$C$1476)*CROQUIS_DATOS!$C$1561,((CROQUIS_DATOS!$C$1511+CROQUIS_DATOS!$C$1512)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4">
        <f>IF(AND(CROQUIS_DATOS!$C$1472=1,CROQUIS_DATOS!$C$1516&gt;0,((CROQUIS_DATOS!$C$1515+CROQUIS_DATOS!$C$1516))-(CROQUIS_DATOS!$C$1515)&gt;0.5,(CROQUIS_DATOS!$C$1476)-(0)&gt;0.5),(CROQUIS_DATOS!$C$1566+(IF(IF(MOD(MIN(INT(($A84-1)/2)+1,MAX(1,INT(((((CROQUIS_DATOS!$C$1515+CROQUIS_DATOS!$C$1516))-(CROQUIS_DATOS!$C$1515))+((CROQUIS_DATOS!$C$1476)*CROQUIS_DATOS!$C$1561-(0)*CROQUIS_DATOS!$C$1561))/CROQUIS_DATOS!$C$1568-0.000001))),2)=1,IF(INT(($A84-1)/2)+1&gt;MAX(1,INT(((((CROQUIS_DATOS!$C$1515+CROQUIS_DATOS!$C$1516))-(CROQUIS_DATOS!$C$1515))+((CROQUIS_DATOS!$C$1476)*CROQUIS_DATOS!$C$1561-(0)*CROQUIS_DATOS!$C$1561))/CROQUIS_DATOS!$C$1568-0.000001)),1,MOD($A84-1,2)),1-IF(INT(($A84-1)/2)+1&gt;MAX(1,INT(((((CROQUIS_DATOS!$C$1515+CROQUIS_DATOS!$C$1516))-(CROQUIS_DATOS!$C$1515))+((CROQUIS_DATOS!$C$1476)*CROQUIS_DATOS!$C$1561-(0)*CROQUIS_DATOS!$C$1561))/CROQUIS_DATOS!$C$1568-0.000001)),1,MOD($A84-1,2)))=1,MIN((CROQUIS_DATOS!$C$1476)*CROQUIS_DATOS!$C$1561,((CROQUIS_DATOS!$C$1515+CROQUIS_DATOS!$C$1516)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4">
        <f>IF(AND(CROQUIS_DATOS!$C$1472=1,CROQUIS_DATOS!$C$1516&gt;0,((CROQUIS_DATOS!$C$1515+CROQUIS_DATOS!$C$1516))-(CROQUIS_DATOS!$C$1515)&gt;0.5,(CROQUIS_DATOS!$C$1476)-(0)&gt;0.5),(CROQUIS_DATOS!$C$1567+(IF(IF(MOD(MIN(INT(($A84-1)/2)+1,MAX(1,INT(((((CROQUIS_DATOS!$C$1515+CROQUIS_DATOS!$C$1516))-(CROQUIS_DATOS!$C$1515))+((CROQUIS_DATOS!$C$1476)*CROQUIS_DATOS!$C$1561-(0)*CROQUIS_DATOS!$C$1561))/CROQUIS_DATOS!$C$1568-0.000001))),2)=1,IF(INT(($A84-1)/2)+1&gt;MAX(1,INT(((((CROQUIS_DATOS!$C$1515+CROQUIS_DATOS!$C$1516))-(CROQUIS_DATOS!$C$1515))+((CROQUIS_DATOS!$C$1476)*CROQUIS_DATOS!$C$1561-(0)*CROQUIS_DATOS!$C$1561))/CROQUIS_DATOS!$C$1568-0.000001)),1,MOD($A84-1,2)),1-IF(INT(($A84-1)/2)+1&gt;MAX(1,INT(((((CROQUIS_DATOS!$C$1515+CROQUIS_DATOS!$C$1516))-(CROQUIS_DATOS!$C$1515))+((CROQUIS_DATOS!$C$1476)*CROQUIS_DATOS!$C$1561-(0)*CROQUIS_DATOS!$C$1561))/CROQUIS_DATOS!$C$1568-0.000001)),1,MOD($A84-1,2)))=1,MIN((CROQUIS_DATOS!$C$1476)*CROQUIS_DATOS!$C$1561,((CROQUIS_DATOS!$C$1515+CROQUIS_DATOS!$C$1516)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4">
        <f>IF(AND(CROQUIS_DATOS!$C$1472=1,CROQUIS_DATOS!$C$1478&gt;=1,((CROQUIS_DATOS!$C$1479+CROQUIS_DATOS!$C$1480))-(CROQUIS_DATOS!$C$1479)&gt;0.5,(CROQUIS_DATOS!$C$1481)-(0)&gt;0.5),(CROQUIS_DATOS!$C$1566+(IF(IF(MOD(MIN(INT(($A84-1)/2)+1,MAX(1,INT(((((CROQUIS_DATOS!$C$1479+CROQUIS_DATOS!$C$1480))-(CROQUIS_DATOS!$C$1479))+((CROQUIS_DATOS!$C$1481)*CROQUIS_DATOS!$C$1561-(0)*CROQUIS_DATOS!$C$1561))/CROQUIS_DATOS!$C$1568-0.000001))),2)=1,IF(INT(($A84-1)/2)+1&gt;MAX(1,INT(((((CROQUIS_DATOS!$C$1479+CROQUIS_DATOS!$C$1480))-(CROQUIS_DATOS!$C$1479))+((CROQUIS_DATOS!$C$1481)*CROQUIS_DATOS!$C$1561-(0)*CROQUIS_DATOS!$C$1561))/CROQUIS_DATOS!$C$1568-0.000001)),1,MOD($A84-1,2)),1-IF(INT(($A84-1)/2)+1&gt;MAX(1,INT(((((CROQUIS_DATOS!$C$1479+CROQUIS_DATOS!$C$1480))-(CROQUIS_DATOS!$C$1479))+((CROQUIS_DATOS!$C$1481)*CROQUIS_DATOS!$C$1561-(0)*CROQUIS_DATOS!$C$1561))/CROQUIS_DATOS!$C$1568-0.000001)),1,MOD($A84-1,2)))=1,MIN((CROQUIS_DATOS!$C$1481)*CROQUIS_DATOS!$C$1561,((CROQUIS_DATOS!$C$1479+CROQUIS_DATOS!$C$1480)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4">
        <f>IF(AND(CROQUIS_DATOS!$C$1472=1,CROQUIS_DATOS!$C$1478&gt;=1,((CROQUIS_DATOS!$C$1479+CROQUIS_DATOS!$C$1480))-(CROQUIS_DATOS!$C$1479)&gt;0.5,(CROQUIS_DATOS!$C$1481)-(0)&gt;0.5),(CROQUIS_DATOS!$C$1567+(IF(IF(MOD(MIN(INT(($A84-1)/2)+1,MAX(1,INT(((((CROQUIS_DATOS!$C$1479+CROQUIS_DATOS!$C$1480))-(CROQUIS_DATOS!$C$1479))+((CROQUIS_DATOS!$C$1481)*CROQUIS_DATOS!$C$1561-(0)*CROQUIS_DATOS!$C$1561))/CROQUIS_DATOS!$C$1568-0.000001))),2)=1,IF(INT(($A84-1)/2)+1&gt;MAX(1,INT(((((CROQUIS_DATOS!$C$1479+CROQUIS_DATOS!$C$1480))-(CROQUIS_DATOS!$C$1479))+((CROQUIS_DATOS!$C$1481)*CROQUIS_DATOS!$C$1561-(0)*CROQUIS_DATOS!$C$1561))/CROQUIS_DATOS!$C$1568-0.000001)),1,MOD($A84-1,2)),1-IF(INT(($A84-1)/2)+1&gt;MAX(1,INT(((((CROQUIS_DATOS!$C$1479+CROQUIS_DATOS!$C$1480))-(CROQUIS_DATOS!$C$1479))+((CROQUIS_DATOS!$C$1481)*CROQUIS_DATOS!$C$1561-(0)*CROQUIS_DATOS!$C$1561))/CROQUIS_DATOS!$C$1568-0.000001)),1,MOD($A84-1,2)))=1,MIN((CROQUIS_DATOS!$C$1481)*CROQUIS_DATOS!$C$1561,((CROQUIS_DATOS!$C$1479+CROQUIS_DATOS!$C$1480)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4">
        <f>IF(AND(CROQUIS_DATOS!$C$1472=1,CROQUIS_DATOS!$C$1478&gt;=1,((CROQUIS_DATOS!$C$1479+CROQUIS_DATOS!$C$1480))-(CROQUIS_DATOS!$C$1479)&gt;0.5,(CROQUIS_DATOS!$C$1476)-((CROQUIS_DATOS!$C$1481+CROQUIS_DATOS!$C$1482))&gt;0.5),(CROQUIS_DATOS!$C$1566+(IF(IF(MOD(MIN(INT(($A84-1)/2)+1,MAX(1,INT(((((CROQUIS_DATOS!$C$1479+CROQUIS_DATOS!$C$1480))-(CROQUIS_DATOS!$C$1479))+((CROQUIS_DATOS!$C$1476)*CROQUIS_DATOS!$C$1561-((CROQUIS_DATOS!$C$1481+CROQUIS_DATOS!$C$1482))*CROQUIS_DATOS!$C$1561))/CROQUIS_DATOS!$C$1568-0.000001))),2)=1,IF(INT(($A84-1)/2)+1&gt;MAX(1,INT(((((CROQUIS_DATOS!$C$1479+CROQUIS_DATOS!$C$1480))-(CROQUIS_DATOS!$C$1479))+((CROQUIS_DATOS!$C$1476)*CROQUIS_DATOS!$C$1561-((CROQUIS_DATOS!$C$1481+CROQUIS_DATOS!$C$1482))*CROQUIS_DATOS!$C$1561))/CROQUIS_DATOS!$C$1568-0.000001)),1,MOD($A84-1,2)),1-IF(INT(($A84-1)/2)+1&gt;MAX(1,INT(((((CROQUIS_DATOS!$C$1479+CROQUIS_DATOS!$C$1480))-(CROQUIS_DATOS!$C$1479))+((CROQUIS_DATOS!$C$1476)*CROQUIS_DATOS!$C$1561-((CROQUIS_DATOS!$C$1481+CROQUIS_DATOS!$C$1482))*CROQUIS_DATOS!$C$1561))/CROQUIS_DATOS!$C$1568-0.000001)),1,MOD($A84-1,2)))=1,MIN((CROQUIS_DATOS!$C$1476)*CROQUIS_DATOS!$C$1561,((CROQUIS_DATOS!$C$1479+CROQUIS_DATOS!$C$1480)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4">
        <f>IF(AND(CROQUIS_DATOS!$C$1472=1,CROQUIS_DATOS!$C$1478&gt;=1,((CROQUIS_DATOS!$C$1479+CROQUIS_DATOS!$C$1480))-(CROQUIS_DATOS!$C$1479)&gt;0.5,(CROQUIS_DATOS!$C$1476)-((CROQUIS_DATOS!$C$1481+CROQUIS_DATOS!$C$1482))&gt;0.5),(CROQUIS_DATOS!$C$1567+(IF(IF(MOD(MIN(INT(($A84-1)/2)+1,MAX(1,INT(((((CROQUIS_DATOS!$C$1479+CROQUIS_DATOS!$C$1480))-(CROQUIS_DATOS!$C$1479))+((CROQUIS_DATOS!$C$1476)*CROQUIS_DATOS!$C$1561-((CROQUIS_DATOS!$C$1481+CROQUIS_DATOS!$C$1482))*CROQUIS_DATOS!$C$1561))/CROQUIS_DATOS!$C$1568-0.000001))),2)=1,IF(INT(($A84-1)/2)+1&gt;MAX(1,INT(((((CROQUIS_DATOS!$C$1479+CROQUIS_DATOS!$C$1480))-(CROQUIS_DATOS!$C$1479))+((CROQUIS_DATOS!$C$1476)*CROQUIS_DATOS!$C$1561-((CROQUIS_DATOS!$C$1481+CROQUIS_DATOS!$C$1482))*CROQUIS_DATOS!$C$1561))/CROQUIS_DATOS!$C$1568-0.000001)),1,MOD($A84-1,2)),1-IF(INT(($A84-1)/2)+1&gt;MAX(1,INT(((((CROQUIS_DATOS!$C$1479+CROQUIS_DATOS!$C$1480))-(CROQUIS_DATOS!$C$1479))+((CROQUIS_DATOS!$C$1476)*CROQUIS_DATOS!$C$1561-((CROQUIS_DATOS!$C$1481+CROQUIS_DATOS!$C$1482))*CROQUIS_DATOS!$C$1561))/CROQUIS_DATOS!$C$1568-0.000001)),1,MOD($A84-1,2)))=1,MIN((CROQUIS_DATOS!$C$1476)*CROQUIS_DATOS!$C$1561,((CROQUIS_DATOS!$C$1479+CROQUIS_DATOS!$C$1480)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4">
        <f>IF(AND(CROQUIS_DATOS!$C$1472=1,CROQUIS_DATOS!$C$1478&gt;=2,((CROQUIS_DATOS!$C$1484+CROQUIS_DATOS!$C$1485))-(CROQUIS_DATOS!$C$1484)&gt;0.5,(CROQUIS_DATOS!$C$1486)-(0)&gt;0.5),(CROQUIS_DATOS!$C$1566+(IF(IF(MOD(MIN(INT(($A84-1)/2)+1,MAX(1,INT(((((CROQUIS_DATOS!$C$1484+CROQUIS_DATOS!$C$1485))-(CROQUIS_DATOS!$C$1484))+((CROQUIS_DATOS!$C$1486)*CROQUIS_DATOS!$C$1561-(0)*CROQUIS_DATOS!$C$1561))/CROQUIS_DATOS!$C$1568-0.000001))),2)=1,IF(INT(($A84-1)/2)+1&gt;MAX(1,INT(((((CROQUIS_DATOS!$C$1484+CROQUIS_DATOS!$C$1485))-(CROQUIS_DATOS!$C$1484))+((CROQUIS_DATOS!$C$1486)*CROQUIS_DATOS!$C$1561-(0)*CROQUIS_DATOS!$C$1561))/CROQUIS_DATOS!$C$1568-0.000001)),1,MOD($A84-1,2)),1-IF(INT(($A84-1)/2)+1&gt;MAX(1,INT(((((CROQUIS_DATOS!$C$1484+CROQUIS_DATOS!$C$1485))-(CROQUIS_DATOS!$C$1484))+((CROQUIS_DATOS!$C$1486)*CROQUIS_DATOS!$C$1561-(0)*CROQUIS_DATOS!$C$1561))/CROQUIS_DATOS!$C$1568-0.000001)),1,MOD($A84-1,2)))=1,MIN((CROQUIS_DATOS!$C$1486)*CROQUIS_DATOS!$C$1561,((CROQUIS_DATOS!$C$1484+CROQUIS_DATOS!$C$1485)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4">
        <f>IF(AND(CROQUIS_DATOS!$C$1472=1,CROQUIS_DATOS!$C$1478&gt;=2,((CROQUIS_DATOS!$C$1484+CROQUIS_DATOS!$C$1485))-(CROQUIS_DATOS!$C$1484)&gt;0.5,(CROQUIS_DATOS!$C$1486)-(0)&gt;0.5),(CROQUIS_DATOS!$C$1567+(IF(IF(MOD(MIN(INT(($A84-1)/2)+1,MAX(1,INT(((((CROQUIS_DATOS!$C$1484+CROQUIS_DATOS!$C$1485))-(CROQUIS_DATOS!$C$1484))+((CROQUIS_DATOS!$C$1486)*CROQUIS_DATOS!$C$1561-(0)*CROQUIS_DATOS!$C$1561))/CROQUIS_DATOS!$C$1568-0.000001))),2)=1,IF(INT(($A84-1)/2)+1&gt;MAX(1,INT(((((CROQUIS_DATOS!$C$1484+CROQUIS_DATOS!$C$1485))-(CROQUIS_DATOS!$C$1484))+((CROQUIS_DATOS!$C$1486)*CROQUIS_DATOS!$C$1561-(0)*CROQUIS_DATOS!$C$1561))/CROQUIS_DATOS!$C$1568-0.000001)),1,MOD($A84-1,2)),1-IF(INT(($A84-1)/2)+1&gt;MAX(1,INT(((((CROQUIS_DATOS!$C$1484+CROQUIS_DATOS!$C$1485))-(CROQUIS_DATOS!$C$1484))+((CROQUIS_DATOS!$C$1486)*CROQUIS_DATOS!$C$1561-(0)*CROQUIS_DATOS!$C$1561))/CROQUIS_DATOS!$C$1568-0.000001)),1,MOD($A84-1,2)))=1,MIN((CROQUIS_DATOS!$C$1486)*CROQUIS_DATOS!$C$1561,((CROQUIS_DATOS!$C$1484+CROQUIS_DATOS!$C$1485)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4">
        <f>IF(AND(CROQUIS_DATOS!$C$1472=1,CROQUIS_DATOS!$C$1478&gt;=2,((CROQUIS_DATOS!$C$1484+CROQUIS_DATOS!$C$1485))-(CROQUIS_DATOS!$C$1484)&gt;0.5,(CROQUIS_DATOS!$C$1476)-((CROQUIS_DATOS!$C$1486+CROQUIS_DATOS!$C$1487))&gt;0.5),(CROQUIS_DATOS!$C$1566+(IF(IF(MOD(MIN(INT(($A84-1)/2)+1,MAX(1,INT(((((CROQUIS_DATOS!$C$1484+CROQUIS_DATOS!$C$1485))-(CROQUIS_DATOS!$C$1484))+((CROQUIS_DATOS!$C$1476)*CROQUIS_DATOS!$C$1561-((CROQUIS_DATOS!$C$1486+CROQUIS_DATOS!$C$1487))*CROQUIS_DATOS!$C$1561))/CROQUIS_DATOS!$C$1568-0.000001))),2)=1,IF(INT(($A84-1)/2)+1&gt;MAX(1,INT(((((CROQUIS_DATOS!$C$1484+CROQUIS_DATOS!$C$1485))-(CROQUIS_DATOS!$C$1484))+((CROQUIS_DATOS!$C$1476)*CROQUIS_DATOS!$C$1561-((CROQUIS_DATOS!$C$1486+CROQUIS_DATOS!$C$1487))*CROQUIS_DATOS!$C$1561))/CROQUIS_DATOS!$C$1568-0.000001)),1,MOD($A84-1,2)),1-IF(INT(($A84-1)/2)+1&gt;MAX(1,INT(((((CROQUIS_DATOS!$C$1484+CROQUIS_DATOS!$C$1485))-(CROQUIS_DATOS!$C$1484))+((CROQUIS_DATOS!$C$1476)*CROQUIS_DATOS!$C$1561-((CROQUIS_DATOS!$C$1486+CROQUIS_DATOS!$C$1487))*CROQUIS_DATOS!$C$1561))/CROQUIS_DATOS!$C$1568-0.000001)),1,MOD($A84-1,2)))=1,MIN((CROQUIS_DATOS!$C$1476)*CROQUIS_DATOS!$C$1561,((CROQUIS_DATOS!$C$1484+CROQUIS_DATOS!$C$1485)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4">
        <f>IF(AND(CROQUIS_DATOS!$C$1472=1,CROQUIS_DATOS!$C$1478&gt;=2,((CROQUIS_DATOS!$C$1484+CROQUIS_DATOS!$C$1485))-(CROQUIS_DATOS!$C$1484)&gt;0.5,(CROQUIS_DATOS!$C$1476)-((CROQUIS_DATOS!$C$1486+CROQUIS_DATOS!$C$1487))&gt;0.5),(CROQUIS_DATOS!$C$1567+(IF(IF(MOD(MIN(INT(($A84-1)/2)+1,MAX(1,INT(((((CROQUIS_DATOS!$C$1484+CROQUIS_DATOS!$C$1485))-(CROQUIS_DATOS!$C$1484))+((CROQUIS_DATOS!$C$1476)*CROQUIS_DATOS!$C$1561-((CROQUIS_DATOS!$C$1486+CROQUIS_DATOS!$C$1487))*CROQUIS_DATOS!$C$1561))/CROQUIS_DATOS!$C$1568-0.000001))),2)=1,IF(INT(($A84-1)/2)+1&gt;MAX(1,INT(((((CROQUIS_DATOS!$C$1484+CROQUIS_DATOS!$C$1485))-(CROQUIS_DATOS!$C$1484))+((CROQUIS_DATOS!$C$1476)*CROQUIS_DATOS!$C$1561-((CROQUIS_DATOS!$C$1486+CROQUIS_DATOS!$C$1487))*CROQUIS_DATOS!$C$1561))/CROQUIS_DATOS!$C$1568-0.000001)),1,MOD($A84-1,2)),1-IF(INT(($A84-1)/2)+1&gt;MAX(1,INT(((((CROQUIS_DATOS!$C$1484+CROQUIS_DATOS!$C$1485))-(CROQUIS_DATOS!$C$1484))+((CROQUIS_DATOS!$C$1476)*CROQUIS_DATOS!$C$1561-((CROQUIS_DATOS!$C$1486+CROQUIS_DATOS!$C$1487))*CROQUIS_DATOS!$C$1561))/CROQUIS_DATOS!$C$1568-0.000001)),1,MOD($A84-1,2)))=1,MIN((CROQUIS_DATOS!$C$1476)*CROQUIS_DATOS!$C$1561,((CROQUIS_DATOS!$C$1484+CROQUIS_DATOS!$C$1485)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4">
        <f>IF(AND(CROQUIS_DATOS!$C$1472=1,CROQUIS_DATOS!$C$1478&gt;=3,((CROQUIS_DATOS!$C$1489+CROQUIS_DATOS!$C$1490))-(CROQUIS_DATOS!$C$1489)&gt;0.5,(CROQUIS_DATOS!$C$1491)-(0)&gt;0.5),(CROQUIS_DATOS!$C$1566+(IF(IF(MOD(MIN(INT(($A84-1)/2)+1,MAX(1,INT(((((CROQUIS_DATOS!$C$1489+CROQUIS_DATOS!$C$1490))-(CROQUIS_DATOS!$C$1489))+((CROQUIS_DATOS!$C$1491)*CROQUIS_DATOS!$C$1561-(0)*CROQUIS_DATOS!$C$1561))/CROQUIS_DATOS!$C$1568-0.000001))),2)=1,IF(INT(($A84-1)/2)+1&gt;MAX(1,INT(((((CROQUIS_DATOS!$C$1489+CROQUIS_DATOS!$C$1490))-(CROQUIS_DATOS!$C$1489))+((CROQUIS_DATOS!$C$1491)*CROQUIS_DATOS!$C$1561-(0)*CROQUIS_DATOS!$C$1561))/CROQUIS_DATOS!$C$1568-0.000001)),1,MOD($A84-1,2)),1-IF(INT(($A84-1)/2)+1&gt;MAX(1,INT(((((CROQUIS_DATOS!$C$1489+CROQUIS_DATOS!$C$1490))-(CROQUIS_DATOS!$C$1489))+((CROQUIS_DATOS!$C$1491)*CROQUIS_DATOS!$C$1561-(0)*CROQUIS_DATOS!$C$1561))/CROQUIS_DATOS!$C$1568-0.000001)),1,MOD($A84-1,2)))=1,MIN((CROQUIS_DATOS!$C$1491)*CROQUIS_DATOS!$C$1561,((CROQUIS_DATOS!$C$1489+CROQUIS_DATOS!$C$1490)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4">
        <f>IF(AND(CROQUIS_DATOS!$C$1472=1,CROQUIS_DATOS!$C$1478&gt;=3,((CROQUIS_DATOS!$C$1489+CROQUIS_DATOS!$C$1490))-(CROQUIS_DATOS!$C$1489)&gt;0.5,(CROQUIS_DATOS!$C$1491)-(0)&gt;0.5),(CROQUIS_DATOS!$C$1567+(IF(IF(MOD(MIN(INT(($A84-1)/2)+1,MAX(1,INT(((((CROQUIS_DATOS!$C$1489+CROQUIS_DATOS!$C$1490))-(CROQUIS_DATOS!$C$1489))+((CROQUIS_DATOS!$C$1491)*CROQUIS_DATOS!$C$1561-(0)*CROQUIS_DATOS!$C$1561))/CROQUIS_DATOS!$C$1568-0.000001))),2)=1,IF(INT(($A84-1)/2)+1&gt;MAX(1,INT(((((CROQUIS_DATOS!$C$1489+CROQUIS_DATOS!$C$1490))-(CROQUIS_DATOS!$C$1489))+((CROQUIS_DATOS!$C$1491)*CROQUIS_DATOS!$C$1561-(0)*CROQUIS_DATOS!$C$1561))/CROQUIS_DATOS!$C$1568-0.000001)),1,MOD($A84-1,2)),1-IF(INT(($A84-1)/2)+1&gt;MAX(1,INT(((((CROQUIS_DATOS!$C$1489+CROQUIS_DATOS!$C$1490))-(CROQUIS_DATOS!$C$1489))+((CROQUIS_DATOS!$C$1491)*CROQUIS_DATOS!$C$1561-(0)*CROQUIS_DATOS!$C$1561))/CROQUIS_DATOS!$C$1568-0.000001)),1,MOD($A84-1,2)))=1,MIN((CROQUIS_DATOS!$C$1491)*CROQUIS_DATOS!$C$1561,((CROQUIS_DATOS!$C$1489+CROQUIS_DATOS!$C$1490)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4">
        <f>IF(AND(CROQUIS_DATOS!$C$1472=1,CROQUIS_DATOS!$C$1478&gt;=3,((CROQUIS_DATOS!$C$1489+CROQUIS_DATOS!$C$1490))-(CROQUIS_DATOS!$C$1489)&gt;0.5,(CROQUIS_DATOS!$C$1476)-((CROQUIS_DATOS!$C$1491+CROQUIS_DATOS!$C$1492))&gt;0.5),(CROQUIS_DATOS!$C$1566+(IF(IF(MOD(MIN(INT(($A84-1)/2)+1,MAX(1,INT(((((CROQUIS_DATOS!$C$1489+CROQUIS_DATOS!$C$1490))-(CROQUIS_DATOS!$C$1489))+((CROQUIS_DATOS!$C$1476)*CROQUIS_DATOS!$C$1561-((CROQUIS_DATOS!$C$1491+CROQUIS_DATOS!$C$1492))*CROQUIS_DATOS!$C$1561))/CROQUIS_DATOS!$C$1568-0.000001))),2)=1,IF(INT(($A84-1)/2)+1&gt;MAX(1,INT(((((CROQUIS_DATOS!$C$1489+CROQUIS_DATOS!$C$1490))-(CROQUIS_DATOS!$C$1489))+((CROQUIS_DATOS!$C$1476)*CROQUIS_DATOS!$C$1561-((CROQUIS_DATOS!$C$1491+CROQUIS_DATOS!$C$1492))*CROQUIS_DATOS!$C$1561))/CROQUIS_DATOS!$C$1568-0.000001)),1,MOD($A84-1,2)),1-IF(INT(($A84-1)/2)+1&gt;MAX(1,INT(((((CROQUIS_DATOS!$C$1489+CROQUIS_DATOS!$C$1490))-(CROQUIS_DATOS!$C$1489))+((CROQUIS_DATOS!$C$1476)*CROQUIS_DATOS!$C$1561-((CROQUIS_DATOS!$C$1491+CROQUIS_DATOS!$C$1492))*CROQUIS_DATOS!$C$1561))/CROQUIS_DATOS!$C$1568-0.000001)),1,MOD($A84-1,2)))=1,MIN((CROQUIS_DATOS!$C$1476)*CROQUIS_DATOS!$C$1561,((CROQUIS_DATOS!$C$1489+CROQUIS_DATOS!$C$1490)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4">
        <f>IF(AND(CROQUIS_DATOS!$C$1472=1,CROQUIS_DATOS!$C$1478&gt;=3,((CROQUIS_DATOS!$C$1489+CROQUIS_DATOS!$C$1490))-(CROQUIS_DATOS!$C$1489)&gt;0.5,(CROQUIS_DATOS!$C$1476)-((CROQUIS_DATOS!$C$1491+CROQUIS_DATOS!$C$1492))&gt;0.5),(CROQUIS_DATOS!$C$1567+(IF(IF(MOD(MIN(INT(($A84-1)/2)+1,MAX(1,INT(((((CROQUIS_DATOS!$C$1489+CROQUIS_DATOS!$C$1490))-(CROQUIS_DATOS!$C$1489))+((CROQUIS_DATOS!$C$1476)*CROQUIS_DATOS!$C$1561-((CROQUIS_DATOS!$C$1491+CROQUIS_DATOS!$C$1492))*CROQUIS_DATOS!$C$1561))/CROQUIS_DATOS!$C$1568-0.000001))),2)=1,IF(INT(($A84-1)/2)+1&gt;MAX(1,INT(((((CROQUIS_DATOS!$C$1489+CROQUIS_DATOS!$C$1490))-(CROQUIS_DATOS!$C$1489))+((CROQUIS_DATOS!$C$1476)*CROQUIS_DATOS!$C$1561-((CROQUIS_DATOS!$C$1491+CROQUIS_DATOS!$C$1492))*CROQUIS_DATOS!$C$1561))/CROQUIS_DATOS!$C$1568-0.000001)),1,MOD($A84-1,2)),1-IF(INT(($A84-1)/2)+1&gt;MAX(1,INT(((((CROQUIS_DATOS!$C$1489+CROQUIS_DATOS!$C$1490))-(CROQUIS_DATOS!$C$1489))+((CROQUIS_DATOS!$C$1476)*CROQUIS_DATOS!$C$1561-((CROQUIS_DATOS!$C$1491+CROQUIS_DATOS!$C$1492))*CROQUIS_DATOS!$C$1561))/CROQUIS_DATOS!$C$1568-0.000001)),1,MOD($A84-1,2)))=1,MIN((CROQUIS_DATOS!$C$1476)*CROQUIS_DATOS!$C$1561,((CROQUIS_DATOS!$C$1489+CROQUIS_DATOS!$C$1490)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4">
        <f>IF(AND(CROQUIS_DATOS!$C$1472=1,CROQUIS_DATOS!$C$1478&gt;=4,((CROQUIS_DATOS!$C$1494+CROQUIS_DATOS!$C$1495))-(CROQUIS_DATOS!$C$1494)&gt;0.5,(CROQUIS_DATOS!$C$1496)-(0)&gt;0.5),(CROQUIS_DATOS!$C$1566+(IF(IF(MOD(MIN(INT(($A84-1)/2)+1,MAX(1,INT(((((CROQUIS_DATOS!$C$1494+CROQUIS_DATOS!$C$1495))-(CROQUIS_DATOS!$C$1494))+((CROQUIS_DATOS!$C$1496)*CROQUIS_DATOS!$C$1561-(0)*CROQUIS_DATOS!$C$1561))/CROQUIS_DATOS!$C$1568-0.000001))),2)=1,IF(INT(($A84-1)/2)+1&gt;MAX(1,INT(((((CROQUIS_DATOS!$C$1494+CROQUIS_DATOS!$C$1495))-(CROQUIS_DATOS!$C$1494))+((CROQUIS_DATOS!$C$1496)*CROQUIS_DATOS!$C$1561-(0)*CROQUIS_DATOS!$C$1561))/CROQUIS_DATOS!$C$1568-0.000001)),1,MOD($A84-1,2)),1-IF(INT(($A84-1)/2)+1&gt;MAX(1,INT(((((CROQUIS_DATOS!$C$1494+CROQUIS_DATOS!$C$1495))-(CROQUIS_DATOS!$C$1494))+((CROQUIS_DATOS!$C$1496)*CROQUIS_DATOS!$C$1561-(0)*CROQUIS_DATOS!$C$1561))/CROQUIS_DATOS!$C$1568-0.000001)),1,MOD($A84-1,2)))=1,MIN((CROQUIS_DATOS!$C$1496)*CROQUIS_DATOS!$C$1561,((CROQUIS_DATOS!$C$1494+CROQUIS_DATOS!$C$1495)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4">
        <f>IF(AND(CROQUIS_DATOS!$C$1472=1,CROQUIS_DATOS!$C$1478&gt;=4,((CROQUIS_DATOS!$C$1494+CROQUIS_DATOS!$C$1495))-(CROQUIS_DATOS!$C$1494)&gt;0.5,(CROQUIS_DATOS!$C$1496)-(0)&gt;0.5),(CROQUIS_DATOS!$C$1567+(IF(IF(MOD(MIN(INT(($A84-1)/2)+1,MAX(1,INT(((((CROQUIS_DATOS!$C$1494+CROQUIS_DATOS!$C$1495))-(CROQUIS_DATOS!$C$1494))+((CROQUIS_DATOS!$C$1496)*CROQUIS_DATOS!$C$1561-(0)*CROQUIS_DATOS!$C$1561))/CROQUIS_DATOS!$C$1568-0.000001))),2)=1,IF(INT(($A84-1)/2)+1&gt;MAX(1,INT(((((CROQUIS_DATOS!$C$1494+CROQUIS_DATOS!$C$1495))-(CROQUIS_DATOS!$C$1494))+((CROQUIS_DATOS!$C$1496)*CROQUIS_DATOS!$C$1561-(0)*CROQUIS_DATOS!$C$1561))/CROQUIS_DATOS!$C$1568-0.000001)),1,MOD($A84-1,2)),1-IF(INT(($A84-1)/2)+1&gt;MAX(1,INT(((((CROQUIS_DATOS!$C$1494+CROQUIS_DATOS!$C$1495))-(CROQUIS_DATOS!$C$1494))+((CROQUIS_DATOS!$C$1496)*CROQUIS_DATOS!$C$1561-(0)*CROQUIS_DATOS!$C$1561))/CROQUIS_DATOS!$C$1568-0.000001)),1,MOD($A84-1,2)))=1,MIN((CROQUIS_DATOS!$C$1496)*CROQUIS_DATOS!$C$1561,((CROQUIS_DATOS!$C$1494+CROQUIS_DATOS!$C$1495)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4">
        <f>IF(AND(CROQUIS_DATOS!$C$1472=1,CROQUIS_DATOS!$C$1478&gt;=4,((CROQUIS_DATOS!$C$1494+CROQUIS_DATOS!$C$1495))-(CROQUIS_DATOS!$C$1494)&gt;0.5,(CROQUIS_DATOS!$C$1476)-((CROQUIS_DATOS!$C$1496+CROQUIS_DATOS!$C$1497))&gt;0.5),(CROQUIS_DATOS!$C$1566+(IF(IF(MOD(MIN(INT(($A84-1)/2)+1,MAX(1,INT(((((CROQUIS_DATOS!$C$1494+CROQUIS_DATOS!$C$1495))-(CROQUIS_DATOS!$C$1494))+((CROQUIS_DATOS!$C$1476)*CROQUIS_DATOS!$C$1561-((CROQUIS_DATOS!$C$1496+CROQUIS_DATOS!$C$1497))*CROQUIS_DATOS!$C$1561))/CROQUIS_DATOS!$C$1568-0.000001))),2)=1,IF(INT(($A84-1)/2)+1&gt;MAX(1,INT(((((CROQUIS_DATOS!$C$1494+CROQUIS_DATOS!$C$1495))-(CROQUIS_DATOS!$C$1494))+((CROQUIS_DATOS!$C$1476)*CROQUIS_DATOS!$C$1561-((CROQUIS_DATOS!$C$1496+CROQUIS_DATOS!$C$1497))*CROQUIS_DATOS!$C$1561))/CROQUIS_DATOS!$C$1568-0.000001)),1,MOD($A84-1,2)),1-IF(INT(($A84-1)/2)+1&gt;MAX(1,INT(((((CROQUIS_DATOS!$C$1494+CROQUIS_DATOS!$C$1495))-(CROQUIS_DATOS!$C$1494))+((CROQUIS_DATOS!$C$1476)*CROQUIS_DATOS!$C$1561-((CROQUIS_DATOS!$C$1496+CROQUIS_DATOS!$C$1497))*CROQUIS_DATOS!$C$1561))/CROQUIS_DATOS!$C$1568-0.000001)),1,MOD($A84-1,2)))=1,MIN((CROQUIS_DATOS!$C$1476)*CROQUIS_DATOS!$C$1561,((CROQUIS_DATOS!$C$1494+CROQUIS_DATOS!$C$1495)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4">
        <f>IF(AND(CROQUIS_DATOS!$C$1472=1,CROQUIS_DATOS!$C$1478&gt;=4,((CROQUIS_DATOS!$C$1494+CROQUIS_DATOS!$C$1495))-(CROQUIS_DATOS!$C$1494)&gt;0.5,(CROQUIS_DATOS!$C$1476)-((CROQUIS_DATOS!$C$1496+CROQUIS_DATOS!$C$1497))&gt;0.5),(CROQUIS_DATOS!$C$1567+(IF(IF(MOD(MIN(INT(($A84-1)/2)+1,MAX(1,INT(((((CROQUIS_DATOS!$C$1494+CROQUIS_DATOS!$C$1495))-(CROQUIS_DATOS!$C$1494))+((CROQUIS_DATOS!$C$1476)*CROQUIS_DATOS!$C$1561-((CROQUIS_DATOS!$C$1496+CROQUIS_DATOS!$C$1497))*CROQUIS_DATOS!$C$1561))/CROQUIS_DATOS!$C$1568-0.000001))),2)=1,IF(INT(($A84-1)/2)+1&gt;MAX(1,INT(((((CROQUIS_DATOS!$C$1494+CROQUIS_DATOS!$C$1495))-(CROQUIS_DATOS!$C$1494))+((CROQUIS_DATOS!$C$1476)*CROQUIS_DATOS!$C$1561-((CROQUIS_DATOS!$C$1496+CROQUIS_DATOS!$C$1497))*CROQUIS_DATOS!$C$1561))/CROQUIS_DATOS!$C$1568-0.000001)),1,MOD($A84-1,2)),1-IF(INT(($A84-1)/2)+1&gt;MAX(1,INT(((((CROQUIS_DATOS!$C$1494+CROQUIS_DATOS!$C$1495))-(CROQUIS_DATOS!$C$1494))+((CROQUIS_DATOS!$C$1476)*CROQUIS_DATOS!$C$1561-((CROQUIS_DATOS!$C$1496+CROQUIS_DATOS!$C$1497))*CROQUIS_DATOS!$C$1561))/CROQUIS_DATOS!$C$1568-0.000001)),1,MOD($A84-1,2)))=1,MIN((CROQUIS_DATOS!$C$1476)*CROQUIS_DATOS!$C$1561,((CROQUIS_DATOS!$C$1494+CROQUIS_DATOS!$C$1495)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4">
        <f>IF(AND(CROQUIS_DATOS!$C$1472=1,1),(CROQUIS_DATOS!$C$1571+(CHOOSE(MIN(MAX(IF(INT(($A84-1)/5)+1&gt;CROQUIS_DATOS!$C$1525,5,MOD($A84-1,5)+1),1),5),(INDEX($E$8:$E$23,MIN(INT(($A84-1)/5)+1,CROQUIS_DATOS!$C$1525))-INDEX($F$8:$F$23,MIN(INT(($A84-1)/5)+1,CROQUIS_DATOS!$C$1525))/2),(INDEX($E$8:$E$23,MIN(INT(($A84-1)/5)+1,CROQUIS_DATOS!$C$1525))+INDEX($F$8:$F$23,MIN(INT(($A84-1)/5)+1,CROQUIS_DATOS!$C$1525))/2),(INDEX($E$8:$E$23,MIN(INT(($A84-1)/5)+1,CROQUIS_DATOS!$C$1525))+INDEX($F$8:$F$23,MIN(INT(($A84-1)/5)+1,CROQUIS_DATOS!$C$1525))/2),(INDEX($E$8:$E$23,MIN(INT(($A84-1)/5)+1,CROQUIS_DATOS!$C$1525))-INDEX($F$8:$F$23,MIN(INT(($A84-1)/5)+1,CROQUIS_DATOS!$C$1525))/2),(INDEX($E$8:$E$23,MIN(INT(($A84-1)/5)+1,CROQUIS_DATOS!$C$1525))-INDEX($F$8:$F$23,MIN(INT(($A84-1)/5)+1,CROQUIS_DATOS!$C$1525))/2)))*CROQUIS_DATOS!$C$1569),-1000)</f>
        <v>95.24</v>
      </c>
      <c r="GE84">
        <f>IF(AND(CROQUIS_DATOS!$C$1472=1,1),(CROQUIS_DATOS!$C$1572+(CHOOSE(MIN(MAX(IF(INT(($A84-1)/5)+1&gt;CROQUIS_DATOS!$C$1525,5,MOD($A84-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5">
      <c r="A85" t="n">
        <v>78</v>
      </c>
      <c r="N85">
        <f>IF(AND(CROQUIS_DATOS!$C$1472=1,1),(CROQUIS_DATOS!$C$1563+(IF(IF(IF(INT(($A85-1)/70)+1&gt;CROQUIS_DATOS!$C$1525,70,MOD($A85-1,70)+1)=1,0,IF(IF(INT(($A85-1)/70)+1&gt;CROQUIS_DATOS!$C$1525,70,MOD($A85-1,70)+1)&gt;2*CROQUIS_DATOS!$C$1541+1,IF(MOD(CROQUIS_DATOS!$C$1541,2)=1,1,0),IF(MOD(MIN(INT((IF(INT(($A85-1)/70)+1&gt;CROQUIS_DATOS!$C$1525,70,MOD($A85-1,70)+1)-2)/2)+1,CROQUIS_DATOS!$C$1541),2)=1,IF(MOD(IF(INT(($A85-1)/70)+1&gt;CROQUIS_DATOS!$C$1525,70,MOD($A85-1,70)+1)-2,2)=0,0,1),IF(MOD(IF(INT(($A85-1)/70)+1&gt;CROQUIS_DATOS!$C$1525,70,MOD($A85-1,70)+1)-2,2)=0,1,0))))=0,(INDEX($E$8:$E$23,MIN(INT(($A85-1)/70)+1,CROQUIS_DATOS!$C$1525))-INDEX($F$8:$F$23,MIN(INT(($A85-1)/70)+1,CROQUIS_DATOS!$C$1525))/2),(INDEX($E$8:$E$23,MIN(INT(($A85-1)/70)+1,CROQUIS_DATOS!$C$1525))+INDEX($F$8:$F$23,MIN(INT(($A85-1)/70)+1,CROQUIS_DATOS!$C$1525))/2)))*CROQUIS_DATOS!$C$1562),-1000)</f>
        <v>20.6724137931034</v>
      </c>
      <c r="O85">
        <f>IF(AND(CROQUIS_DATOS!$C$1472=1,1),(CROQUIS_DATOS!$C$1564+(IF(OR(IF(INT(($A85-1)/70)+1&gt;CROQUIS_DATOS!$C$1525,70,MOD($A85-1,70)+1)=1,IF(INT(($A85-1)/70)+1&gt;CROQUIS_DATOS!$C$1525,70,MOD($A85-1,70)+1)&gt;2*CROQUIS_DATOS!$C$1541+1),CROQUIS_DATOS!$C$1476,INDEX($H$8:$H$41,MIN(INT((IF(INT(($A85-1)/70)+1&gt;CROQUIS_DATOS!$C$1525,70,MOD($A85-1,70)+1)-2)/2)+1,CROQUIS_DATOS!$C$1541))))*CROQUIS_DATOS!$C$1561*CROQUIS_DATOS!$C$1562),-1000)</f>
        <v>9.48275862068966</v>
      </c>
      <c r="P85">
        <f>IF(AND(CROQUIS_DATOS!$C$1472=1,CROQUIS_DATOS!$C$1555=1),(CROQUIS_DATOS!$C$1563+(IF(IF(OR(MOD($A85-1,62)+1=1,IF(CHOOSE(MIN(MAX(MIN(INT(($A85-1)/62)+1,5),1),5),CROQUIS_DATOS!$C$1501,CROQUIS_DATOS!$C$1505,CROQUIS_DATOS!$C$1509,CROQUIS_DATOS!$C$1513,CROQUIS_DATOS!$C$1517)=1,CROQUIS_DATOS!$C$1557,0)=0),0,IF(MOD($A85-1,62)+1&gt;2*IF(CHOOSE(MIN(MAX(MIN(INT(($A85-1)/62)+1,5),1),5),CROQUIS_DATOS!$C$1501,CROQUIS_DATOS!$C$1505,CROQUIS_DATOS!$C$1509,CROQUIS_DATOS!$C$1513,CROQUIS_DATOS!$C$1517)=1,CROQUIS_DATOS!$C$1557,0)+1,IF(MOD(IF(CHOOSE(MIN(MAX(MIN(INT(($A85-1)/62)+1,5),1),5),CROQUIS_DATOS!$C$1501,CROQUIS_DATOS!$C$1505,CROQUIS_DATOS!$C$1509,CROQUIS_DATOS!$C$1513,CROQUIS_DATOS!$C$1517)=1,CROQUIS_DATOS!$C$1557,0),2)=1,1,0),IF(MOD(MIN(INT((MOD($A85-1,62)+1-2)/2)+1,MAX(IF(CHOOSE(MIN(MAX(MIN(INT(($A85-1)/62)+1,5),1),5),CROQUIS_DATOS!$C$1501,CROQUIS_DATOS!$C$1505,CROQUIS_DATOS!$C$1509,CROQUIS_DATOS!$C$1513,CROQUIS_DATOS!$C$1517)=1,CROQUIS_DATOS!$C$1557,0),1)),2)=1,IF(MOD(MOD($A85-1,62)+1-2,2)=0,0,1),IF(MOD(MOD($A85-1,62)+1-2,2)=0,1,0))))=0,(CHOOSE(MIN(MAX(MIN(INT(($A85-1)/62)+1,5),1),5),CROQUIS_DATOS!$C$1499,CROQUIS_DATOS!$C$1503,CROQUIS_DATOS!$C$1507,CROQUIS_DATOS!$C$1511,CROQUIS_DATOS!$C$1515)+IF(CHOOSE(MIN(MAX(MIN(INT(($A85-1)/62)+1,5),1),5),CROQUIS_DATOS!$C$1501,CROQUIS_DATOS!$C$1505,CROQUIS_DATOS!$C$1509,CROQUIS_DATOS!$C$1513,CROQUIS_DATOS!$C$1517)=1,CROQUIS_DATOS!$C$1526,0)),(CHOOSE(MIN(MAX(MIN(INT(($A85-1)/62)+1,5),1),5),CROQUIS_DATOS!$C$1499,CROQUIS_DATOS!$C$1503,CROQUIS_DATOS!$C$1507,CROQUIS_DATOS!$C$1511,CROQUIS_DATOS!$C$1515)+CHOOSE(MIN(MAX(MIN(INT(($A85-1)/62)+1,5),1),5),CROQUIS_DATOS!$C$1500,CROQUIS_DATOS!$C$1504,CROQUIS_DATOS!$C$1508,CROQUIS_DATOS!$C$1512,CROQUIS_DATOS!$C$1516)-IF(CHOOSE(MIN(MAX(MIN(INT(($A85-1)/62)+1,5),1),5),CROQUIS_DATOS!$C$1501,CROQUIS_DATOS!$C$1505,CROQUIS_DATOS!$C$1509,CROQUIS_DATOS!$C$1513,CROQUIS_DATOS!$C$1517)=1,CROQUIS_DATOS!$C$1526,0))))*CROQUIS_DATOS!$C$1562),-1000)</f>
        <v>-1000</v>
      </c>
      <c r="Q85">
        <f>IF(AND(CROQUIS_DATOS!$C$1472=1,CROQUIS_DATOS!$C$1555=1),(CROQUIS_DATOS!$C$1564+(IF(OR(OR(MOD($A85-1,62)+1=1,IF(CHOOSE(MIN(MAX(MIN(INT(($A85-1)/62)+1,5),1),5),CROQUIS_DATOS!$C$1501,CROQUIS_DATOS!$C$1505,CROQUIS_DATOS!$C$1509,CROQUIS_DATOS!$C$1513,CROQUIS_DATOS!$C$1517)=1,CROQUIS_DATOS!$C$1557,0)=0),MOD($A85-1,62)+1&gt;2*IF(CHOOSE(MIN(MAX(MIN(INT(($A85-1)/62)+1,5),1),5),CROQUIS_DATOS!$C$1501,CROQUIS_DATOS!$C$1505,CROQUIS_DATOS!$C$1509,CROQUIS_DATOS!$C$1513,CROQUIS_DATOS!$C$1517)=1,CROQUIS_DATOS!$C$1557,0)+1),CROQUIS_DATOS!$C$1476,MIN(INT((MOD($A85-1,62)+1-2)/2)+1,MAX(IF(CHOOSE(MIN(MAX(MIN(INT(($A85-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5">
        <f>IF(AND(CROQUIS_DATOS!$C$1472=1,1),(CROQUIS_DATOS!$C$1563+(MIN(INT(($A85-1)/2)+1,CROQUIS_DATOS!$C$1558)*CROQUIS_DATOS!$C$1559)*CROQUIS_DATOS!$C$1562),-1000)</f>
        <v>82.2281167108753</v>
      </c>
      <c r="U85">
        <f>IF(AND(CROQUIS_DATOS!$C$1472=1,1),(CROQUIS_DATOS!$C$1564+(IF(INT(($A85-1)/2)+1&gt;CROQUIS_DATOS!$C$1558,IF(MOD(CROQUIS_DATOS!$C$1558,2)=1,CROQUIS_DATOS!$C$1476+CROQUIS_DATOS!$C$1528,CROQUIS_DATOS!$C$1476),IF(IF(MOD(MIN(INT(($A85-1)/2)+1,CROQUIS_DATOS!$C$1558),2)=1,MOD($A85-1,2),1-MOD($A85-1,2))=1,CROQUIS_DATOS!$C$1476+CROQUIS_DATOS!$C$1528,CROQUIS_DATOS!$C$1476)))*CROQUIS_DATOS!$C$1561*CROQUIS_DATOS!$C$1562),-1000)</f>
        <v>43</v>
      </c>
      <c r="BZ85">
        <f>IF(AND(CROQUIS_DATOS!$C$1472=1,CROQUIS_DATOS!$C$1500&gt;0,((CROQUIS_DATOS!$C$1499+CROQUIS_DATOS!$C$1500))-(CROQUIS_DATOS!$C$1499)&gt;0.5,(CROQUIS_DATOS!$C$1476)-(0)&gt;0.5),(CROQUIS_DATOS!$C$1566+(IF(IF(MOD(MIN(INT(($A85-1)/2)+1,MAX(1,INT(((((CROQUIS_DATOS!$C$1499+CROQUIS_DATOS!$C$1500))-(CROQUIS_DATOS!$C$1499))+((CROQUIS_DATOS!$C$1476)*CROQUIS_DATOS!$C$1561-(0)*CROQUIS_DATOS!$C$1561))/CROQUIS_DATOS!$C$1568-0.000001))),2)=1,IF(INT(($A85-1)/2)+1&gt;MAX(1,INT(((((CROQUIS_DATOS!$C$1499+CROQUIS_DATOS!$C$1500))-(CROQUIS_DATOS!$C$1499))+((CROQUIS_DATOS!$C$1476)*CROQUIS_DATOS!$C$1561-(0)*CROQUIS_DATOS!$C$1561))/CROQUIS_DATOS!$C$1568-0.000001)),1,MOD($A85-1,2)),1-IF(INT(($A85-1)/2)+1&gt;MAX(1,INT(((((CROQUIS_DATOS!$C$1499+CROQUIS_DATOS!$C$1500))-(CROQUIS_DATOS!$C$1499))+((CROQUIS_DATOS!$C$1476)*CROQUIS_DATOS!$C$1561-(0)*CROQUIS_DATOS!$C$1561))/CROQUIS_DATOS!$C$1568-0.000001)),1,MOD($A85-1,2)))=1,MIN((CROQUIS_DATOS!$C$1476)*CROQUIS_DATOS!$C$1561,((CROQUIS_DATOS!$C$1499+CROQUIS_DATOS!$C$1500)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5">
        <f>IF(AND(CROQUIS_DATOS!$C$1472=1,CROQUIS_DATOS!$C$1500&gt;0,((CROQUIS_DATOS!$C$1499+CROQUIS_DATOS!$C$1500))-(CROQUIS_DATOS!$C$1499)&gt;0.5,(CROQUIS_DATOS!$C$1476)-(0)&gt;0.5),(CROQUIS_DATOS!$C$1567+(IF(IF(MOD(MIN(INT(($A85-1)/2)+1,MAX(1,INT(((((CROQUIS_DATOS!$C$1499+CROQUIS_DATOS!$C$1500))-(CROQUIS_DATOS!$C$1499))+((CROQUIS_DATOS!$C$1476)*CROQUIS_DATOS!$C$1561-(0)*CROQUIS_DATOS!$C$1561))/CROQUIS_DATOS!$C$1568-0.000001))),2)=1,IF(INT(($A85-1)/2)+1&gt;MAX(1,INT(((((CROQUIS_DATOS!$C$1499+CROQUIS_DATOS!$C$1500))-(CROQUIS_DATOS!$C$1499))+((CROQUIS_DATOS!$C$1476)*CROQUIS_DATOS!$C$1561-(0)*CROQUIS_DATOS!$C$1561))/CROQUIS_DATOS!$C$1568-0.000001)),1,MOD($A85-1,2)),1-IF(INT(($A85-1)/2)+1&gt;MAX(1,INT(((((CROQUIS_DATOS!$C$1499+CROQUIS_DATOS!$C$1500))-(CROQUIS_DATOS!$C$1499))+((CROQUIS_DATOS!$C$1476)*CROQUIS_DATOS!$C$1561-(0)*CROQUIS_DATOS!$C$1561))/CROQUIS_DATOS!$C$1568-0.000001)),1,MOD($A85-1,2)))=1,MIN((CROQUIS_DATOS!$C$1476)*CROQUIS_DATOS!$C$1561,((CROQUIS_DATOS!$C$1499+CROQUIS_DATOS!$C$1500)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5">
        <f>IF(AND(CROQUIS_DATOS!$C$1472=1,CROQUIS_DATOS!$C$1504&gt;0,((CROQUIS_DATOS!$C$1503+CROQUIS_DATOS!$C$1504))-(CROQUIS_DATOS!$C$1503)&gt;0.5,(CROQUIS_DATOS!$C$1476)-(0)&gt;0.5),(CROQUIS_DATOS!$C$1566+(IF(IF(MOD(MIN(INT(($A85-1)/2)+1,MAX(1,INT(((((CROQUIS_DATOS!$C$1503+CROQUIS_DATOS!$C$1504))-(CROQUIS_DATOS!$C$1503))+((CROQUIS_DATOS!$C$1476)*CROQUIS_DATOS!$C$1561-(0)*CROQUIS_DATOS!$C$1561))/CROQUIS_DATOS!$C$1568-0.000001))),2)=1,IF(INT(($A85-1)/2)+1&gt;MAX(1,INT(((((CROQUIS_DATOS!$C$1503+CROQUIS_DATOS!$C$1504))-(CROQUIS_DATOS!$C$1503))+((CROQUIS_DATOS!$C$1476)*CROQUIS_DATOS!$C$1561-(0)*CROQUIS_DATOS!$C$1561))/CROQUIS_DATOS!$C$1568-0.000001)),1,MOD($A85-1,2)),1-IF(INT(($A85-1)/2)+1&gt;MAX(1,INT(((((CROQUIS_DATOS!$C$1503+CROQUIS_DATOS!$C$1504))-(CROQUIS_DATOS!$C$1503))+((CROQUIS_DATOS!$C$1476)*CROQUIS_DATOS!$C$1561-(0)*CROQUIS_DATOS!$C$1561))/CROQUIS_DATOS!$C$1568-0.000001)),1,MOD($A85-1,2)))=1,MIN((CROQUIS_DATOS!$C$1476)*CROQUIS_DATOS!$C$1561,((CROQUIS_DATOS!$C$1503+CROQUIS_DATOS!$C$1504)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5">
        <f>IF(AND(CROQUIS_DATOS!$C$1472=1,CROQUIS_DATOS!$C$1504&gt;0,((CROQUIS_DATOS!$C$1503+CROQUIS_DATOS!$C$1504))-(CROQUIS_DATOS!$C$1503)&gt;0.5,(CROQUIS_DATOS!$C$1476)-(0)&gt;0.5),(CROQUIS_DATOS!$C$1567+(IF(IF(MOD(MIN(INT(($A85-1)/2)+1,MAX(1,INT(((((CROQUIS_DATOS!$C$1503+CROQUIS_DATOS!$C$1504))-(CROQUIS_DATOS!$C$1503))+((CROQUIS_DATOS!$C$1476)*CROQUIS_DATOS!$C$1561-(0)*CROQUIS_DATOS!$C$1561))/CROQUIS_DATOS!$C$1568-0.000001))),2)=1,IF(INT(($A85-1)/2)+1&gt;MAX(1,INT(((((CROQUIS_DATOS!$C$1503+CROQUIS_DATOS!$C$1504))-(CROQUIS_DATOS!$C$1503))+((CROQUIS_DATOS!$C$1476)*CROQUIS_DATOS!$C$1561-(0)*CROQUIS_DATOS!$C$1561))/CROQUIS_DATOS!$C$1568-0.000001)),1,MOD($A85-1,2)),1-IF(INT(($A85-1)/2)+1&gt;MAX(1,INT(((((CROQUIS_DATOS!$C$1503+CROQUIS_DATOS!$C$1504))-(CROQUIS_DATOS!$C$1503))+((CROQUIS_DATOS!$C$1476)*CROQUIS_DATOS!$C$1561-(0)*CROQUIS_DATOS!$C$1561))/CROQUIS_DATOS!$C$1568-0.000001)),1,MOD($A85-1,2)))=1,MIN((CROQUIS_DATOS!$C$1476)*CROQUIS_DATOS!$C$1561,((CROQUIS_DATOS!$C$1503+CROQUIS_DATOS!$C$1504)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5">
        <f>IF(AND(CROQUIS_DATOS!$C$1472=1,CROQUIS_DATOS!$C$1508&gt;0,((CROQUIS_DATOS!$C$1507+CROQUIS_DATOS!$C$1508))-(CROQUIS_DATOS!$C$1507)&gt;0.5,(CROQUIS_DATOS!$C$1476)-(0)&gt;0.5),(CROQUIS_DATOS!$C$1566+(IF(IF(MOD(MIN(INT(($A85-1)/2)+1,MAX(1,INT(((((CROQUIS_DATOS!$C$1507+CROQUIS_DATOS!$C$1508))-(CROQUIS_DATOS!$C$1507))+((CROQUIS_DATOS!$C$1476)*CROQUIS_DATOS!$C$1561-(0)*CROQUIS_DATOS!$C$1561))/CROQUIS_DATOS!$C$1568-0.000001))),2)=1,IF(INT(($A85-1)/2)+1&gt;MAX(1,INT(((((CROQUIS_DATOS!$C$1507+CROQUIS_DATOS!$C$1508))-(CROQUIS_DATOS!$C$1507))+((CROQUIS_DATOS!$C$1476)*CROQUIS_DATOS!$C$1561-(0)*CROQUIS_DATOS!$C$1561))/CROQUIS_DATOS!$C$1568-0.000001)),1,MOD($A85-1,2)),1-IF(INT(($A85-1)/2)+1&gt;MAX(1,INT(((((CROQUIS_DATOS!$C$1507+CROQUIS_DATOS!$C$1508))-(CROQUIS_DATOS!$C$1507))+((CROQUIS_DATOS!$C$1476)*CROQUIS_DATOS!$C$1561-(0)*CROQUIS_DATOS!$C$1561))/CROQUIS_DATOS!$C$1568-0.000001)),1,MOD($A85-1,2)))=1,MIN((CROQUIS_DATOS!$C$1476)*CROQUIS_DATOS!$C$1561,((CROQUIS_DATOS!$C$1507+CROQUIS_DATOS!$C$1508)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5">
        <f>IF(AND(CROQUIS_DATOS!$C$1472=1,CROQUIS_DATOS!$C$1508&gt;0,((CROQUIS_DATOS!$C$1507+CROQUIS_DATOS!$C$1508))-(CROQUIS_DATOS!$C$1507)&gt;0.5,(CROQUIS_DATOS!$C$1476)-(0)&gt;0.5),(CROQUIS_DATOS!$C$1567+(IF(IF(MOD(MIN(INT(($A85-1)/2)+1,MAX(1,INT(((((CROQUIS_DATOS!$C$1507+CROQUIS_DATOS!$C$1508))-(CROQUIS_DATOS!$C$1507))+((CROQUIS_DATOS!$C$1476)*CROQUIS_DATOS!$C$1561-(0)*CROQUIS_DATOS!$C$1561))/CROQUIS_DATOS!$C$1568-0.000001))),2)=1,IF(INT(($A85-1)/2)+1&gt;MAX(1,INT(((((CROQUIS_DATOS!$C$1507+CROQUIS_DATOS!$C$1508))-(CROQUIS_DATOS!$C$1507))+((CROQUIS_DATOS!$C$1476)*CROQUIS_DATOS!$C$1561-(0)*CROQUIS_DATOS!$C$1561))/CROQUIS_DATOS!$C$1568-0.000001)),1,MOD($A85-1,2)),1-IF(INT(($A85-1)/2)+1&gt;MAX(1,INT(((((CROQUIS_DATOS!$C$1507+CROQUIS_DATOS!$C$1508))-(CROQUIS_DATOS!$C$1507))+((CROQUIS_DATOS!$C$1476)*CROQUIS_DATOS!$C$1561-(0)*CROQUIS_DATOS!$C$1561))/CROQUIS_DATOS!$C$1568-0.000001)),1,MOD($A85-1,2)))=1,MIN((CROQUIS_DATOS!$C$1476)*CROQUIS_DATOS!$C$1561,((CROQUIS_DATOS!$C$1507+CROQUIS_DATOS!$C$1508)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5">
        <f>IF(AND(CROQUIS_DATOS!$C$1472=1,CROQUIS_DATOS!$C$1512&gt;0,((CROQUIS_DATOS!$C$1511+CROQUIS_DATOS!$C$1512))-(CROQUIS_DATOS!$C$1511)&gt;0.5,(CROQUIS_DATOS!$C$1476)-(0)&gt;0.5),(CROQUIS_DATOS!$C$1566+(IF(IF(MOD(MIN(INT(($A85-1)/2)+1,MAX(1,INT(((((CROQUIS_DATOS!$C$1511+CROQUIS_DATOS!$C$1512))-(CROQUIS_DATOS!$C$1511))+((CROQUIS_DATOS!$C$1476)*CROQUIS_DATOS!$C$1561-(0)*CROQUIS_DATOS!$C$1561))/CROQUIS_DATOS!$C$1568-0.000001))),2)=1,IF(INT(($A85-1)/2)+1&gt;MAX(1,INT(((((CROQUIS_DATOS!$C$1511+CROQUIS_DATOS!$C$1512))-(CROQUIS_DATOS!$C$1511))+((CROQUIS_DATOS!$C$1476)*CROQUIS_DATOS!$C$1561-(0)*CROQUIS_DATOS!$C$1561))/CROQUIS_DATOS!$C$1568-0.000001)),1,MOD($A85-1,2)),1-IF(INT(($A85-1)/2)+1&gt;MAX(1,INT(((((CROQUIS_DATOS!$C$1511+CROQUIS_DATOS!$C$1512))-(CROQUIS_DATOS!$C$1511))+((CROQUIS_DATOS!$C$1476)*CROQUIS_DATOS!$C$1561-(0)*CROQUIS_DATOS!$C$1561))/CROQUIS_DATOS!$C$1568-0.000001)),1,MOD($A85-1,2)))=1,MIN((CROQUIS_DATOS!$C$1476)*CROQUIS_DATOS!$C$1561,((CROQUIS_DATOS!$C$1511+CROQUIS_DATOS!$C$1512)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5">
        <f>IF(AND(CROQUIS_DATOS!$C$1472=1,CROQUIS_DATOS!$C$1512&gt;0,((CROQUIS_DATOS!$C$1511+CROQUIS_DATOS!$C$1512))-(CROQUIS_DATOS!$C$1511)&gt;0.5,(CROQUIS_DATOS!$C$1476)-(0)&gt;0.5),(CROQUIS_DATOS!$C$1567+(IF(IF(MOD(MIN(INT(($A85-1)/2)+1,MAX(1,INT(((((CROQUIS_DATOS!$C$1511+CROQUIS_DATOS!$C$1512))-(CROQUIS_DATOS!$C$1511))+((CROQUIS_DATOS!$C$1476)*CROQUIS_DATOS!$C$1561-(0)*CROQUIS_DATOS!$C$1561))/CROQUIS_DATOS!$C$1568-0.000001))),2)=1,IF(INT(($A85-1)/2)+1&gt;MAX(1,INT(((((CROQUIS_DATOS!$C$1511+CROQUIS_DATOS!$C$1512))-(CROQUIS_DATOS!$C$1511))+((CROQUIS_DATOS!$C$1476)*CROQUIS_DATOS!$C$1561-(0)*CROQUIS_DATOS!$C$1561))/CROQUIS_DATOS!$C$1568-0.000001)),1,MOD($A85-1,2)),1-IF(INT(($A85-1)/2)+1&gt;MAX(1,INT(((((CROQUIS_DATOS!$C$1511+CROQUIS_DATOS!$C$1512))-(CROQUIS_DATOS!$C$1511))+((CROQUIS_DATOS!$C$1476)*CROQUIS_DATOS!$C$1561-(0)*CROQUIS_DATOS!$C$1561))/CROQUIS_DATOS!$C$1568-0.000001)),1,MOD($A85-1,2)))=1,MIN((CROQUIS_DATOS!$C$1476)*CROQUIS_DATOS!$C$1561,((CROQUIS_DATOS!$C$1511+CROQUIS_DATOS!$C$1512)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5">
        <f>IF(AND(CROQUIS_DATOS!$C$1472=1,CROQUIS_DATOS!$C$1516&gt;0,((CROQUIS_DATOS!$C$1515+CROQUIS_DATOS!$C$1516))-(CROQUIS_DATOS!$C$1515)&gt;0.5,(CROQUIS_DATOS!$C$1476)-(0)&gt;0.5),(CROQUIS_DATOS!$C$1566+(IF(IF(MOD(MIN(INT(($A85-1)/2)+1,MAX(1,INT(((((CROQUIS_DATOS!$C$1515+CROQUIS_DATOS!$C$1516))-(CROQUIS_DATOS!$C$1515))+((CROQUIS_DATOS!$C$1476)*CROQUIS_DATOS!$C$1561-(0)*CROQUIS_DATOS!$C$1561))/CROQUIS_DATOS!$C$1568-0.000001))),2)=1,IF(INT(($A85-1)/2)+1&gt;MAX(1,INT(((((CROQUIS_DATOS!$C$1515+CROQUIS_DATOS!$C$1516))-(CROQUIS_DATOS!$C$1515))+((CROQUIS_DATOS!$C$1476)*CROQUIS_DATOS!$C$1561-(0)*CROQUIS_DATOS!$C$1561))/CROQUIS_DATOS!$C$1568-0.000001)),1,MOD($A85-1,2)),1-IF(INT(($A85-1)/2)+1&gt;MAX(1,INT(((((CROQUIS_DATOS!$C$1515+CROQUIS_DATOS!$C$1516))-(CROQUIS_DATOS!$C$1515))+((CROQUIS_DATOS!$C$1476)*CROQUIS_DATOS!$C$1561-(0)*CROQUIS_DATOS!$C$1561))/CROQUIS_DATOS!$C$1568-0.000001)),1,MOD($A85-1,2)))=1,MIN((CROQUIS_DATOS!$C$1476)*CROQUIS_DATOS!$C$1561,((CROQUIS_DATOS!$C$1515+CROQUIS_DATOS!$C$1516)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5">
        <f>IF(AND(CROQUIS_DATOS!$C$1472=1,CROQUIS_DATOS!$C$1516&gt;0,((CROQUIS_DATOS!$C$1515+CROQUIS_DATOS!$C$1516))-(CROQUIS_DATOS!$C$1515)&gt;0.5,(CROQUIS_DATOS!$C$1476)-(0)&gt;0.5),(CROQUIS_DATOS!$C$1567+(IF(IF(MOD(MIN(INT(($A85-1)/2)+1,MAX(1,INT(((((CROQUIS_DATOS!$C$1515+CROQUIS_DATOS!$C$1516))-(CROQUIS_DATOS!$C$1515))+((CROQUIS_DATOS!$C$1476)*CROQUIS_DATOS!$C$1561-(0)*CROQUIS_DATOS!$C$1561))/CROQUIS_DATOS!$C$1568-0.000001))),2)=1,IF(INT(($A85-1)/2)+1&gt;MAX(1,INT(((((CROQUIS_DATOS!$C$1515+CROQUIS_DATOS!$C$1516))-(CROQUIS_DATOS!$C$1515))+((CROQUIS_DATOS!$C$1476)*CROQUIS_DATOS!$C$1561-(0)*CROQUIS_DATOS!$C$1561))/CROQUIS_DATOS!$C$1568-0.000001)),1,MOD($A85-1,2)),1-IF(INT(($A85-1)/2)+1&gt;MAX(1,INT(((((CROQUIS_DATOS!$C$1515+CROQUIS_DATOS!$C$1516))-(CROQUIS_DATOS!$C$1515))+((CROQUIS_DATOS!$C$1476)*CROQUIS_DATOS!$C$1561-(0)*CROQUIS_DATOS!$C$1561))/CROQUIS_DATOS!$C$1568-0.000001)),1,MOD($A85-1,2)))=1,MIN((CROQUIS_DATOS!$C$1476)*CROQUIS_DATOS!$C$1561,((CROQUIS_DATOS!$C$1515+CROQUIS_DATOS!$C$1516)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5">
        <f>IF(AND(CROQUIS_DATOS!$C$1472=1,CROQUIS_DATOS!$C$1478&gt;=1,((CROQUIS_DATOS!$C$1479+CROQUIS_DATOS!$C$1480))-(CROQUIS_DATOS!$C$1479)&gt;0.5,(CROQUIS_DATOS!$C$1481)-(0)&gt;0.5),(CROQUIS_DATOS!$C$1566+(IF(IF(MOD(MIN(INT(($A85-1)/2)+1,MAX(1,INT(((((CROQUIS_DATOS!$C$1479+CROQUIS_DATOS!$C$1480))-(CROQUIS_DATOS!$C$1479))+((CROQUIS_DATOS!$C$1481)*CROQUIS_DATOS!$C$1561-(0)*CROQUIS_DATOS!$C$1561))/CROQUIS_DATOS!$C$1568-0.000001))),2)=1,IF(INT(($A85-1)/2)+1&gt;MAX(1,INT(((((CROQUIS_DATOS!$C$1479+CROQUIS_DATOS!$C$1480))-(CROQUIS_DATOS!$C$1479))+((CROQUIS_DATOS!$C$1481)*CROQUIS_DATOS!$C$1561-(0)*CROQUIS_DATOS!$C$1561))/CROQUIS_DATOS!$C$1568-0.000001)),1,MOD($A85-1,2)),1-IF(INT(($A85-1)/2)+1&gt;MAX(1,INT(((((CROQUIS_DATOS!$C$1479+CROQUIS_DATOS!$C$1480))-(CROQUIS_DATOS!$C$1479))+((CROQUIS_DATOS!$C$1481)*CROQUIS_DATOS!$C$1561-(0)*CROQUIS_DATOS!$C$1561))/CROQUIS_DATOS!$C$1568-0.000001)),1,MOD($A85-1,2)))=1,MIN((CROQUIS_DATOS!$C$1481)*CROQUIS_DATOS!$C$1561,((CROQUIS_DATOS!$C$1479+CROQUIS_DATOS!$C$1480)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5">
        <f>IF(AND(CROQUIS_DATOS!$C$1472=1,CROQUIS_DATOS!$C$1478&gt;=1,((CROQUIS_DATOS!$C$1479+CROQUIS_DATOS!$C$1480))-(CROQUIS_DATOS!$C$1479)&gt;0.5,(CROQUIS_DATOS!$C$1481)-(0)&gt;0.5),(CROQUIS_DATOS!$C$1567+(IF(IF(MOD(MIN(INT(($A85-1)/2)+1,MAX(1,INT(((((CROQUIS_DATOS!$C$1479+CROQUIS_DATOS!$C$1480))-(CROQUIS_DATOS!$C$1479))+((CROQUIS_DATOS!$C$1481)*CROQUIS_DATOS!$C$1561-(0)*CROQUIS_DATOS!$C$1561))/CROQUIS_DATOS!$C$1568-0.000001))),2)=1,IF(INT(($A85-1)/2)+1&gt;MAX(1,INT(((((CROQUIS_DATOS!$C$1479+CROQUIS_DATOS!$C$1480))-(CROQUIS_DATOS!$C$1479))+((CROQUIS_DATOS!$C$1481)*CROQUIS_DATOS!$C$1561-(0)*CROQUIS_DATOS!$C$1561))/CROQUIS_DATOS!$C$1568-0.000001)),1,MOD($A85-1,2)),1-IF(INT(($A85-1)/2)+1&gt;MAX(1,INT(((((CROQUIS_DATOS!$C$1479+CROQUIS_DATOS!$C$1480))-(CROQUIS_DATOS!$C$1479))+((CROQUIS_DATOS!$C$1481)*CROQUIS_DATOS!$C$1561-(0)*CROQUIS_DATOS!$C$1561))/CROQUIS_DATOS!$C$1568-0.000001)),1,MOD($A85-1,2)))=1,MIN((CROQUIS_DATOS!$C$1481)*CROQUIS_DATOS!$C$1561,((CROQUIS_DATOS!$C$1479+CROQUIS_DATOS!$C$1480)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5">
        <f>IF(AND(CROQUIS_DATOS!$C$1472=1,CROQUIS_DATOS!$C$1478&gt;=1,((CROQUIS_DATOS!$C$1479+CROQUIS_DATOS!$C$1480))-(CROQUIS_DATOS!$C$1479)&gt;0.5,(CROQUIS_DATOS!$C$1476)-((CROQUIS_DATOS!$C$1481+CROQUIS_DATOS!$C$1482))&gt;0.5),(CROQUIS_DATOS!$C$1566+(IF(IF(MOD(MIN(INT(($A85-1)/2)+1,MAX(1,INT(((((CROQUIS_DATOS!$C$1479+CROQUIS_DATOS!$C$1480))-(CROQUIS_DATOS!$C$1479))+((CROQUIS_DATOS!$C$1476)*CROQUIS_DATOS!$C$1561-((CROQUIS_DATOS!$C$1481+CROQUIS_DATOS!$C$1482))*CROQUIS_DATOS!$C$1561))/CROQUIS_DATOS!$C$1568-0.000001))),2)=1,IF(INT(($A85-1)/2)+1&gt;MAX(1,INT(((((CROQUIS_DATOS!$C$1479+CROQUIS_DATOS!$C$1480))-(CROQUIS_DATOS!$C$1479))+((CROQUIS_DATOS!$C$1476)*CROQUIS_DATOS!$C$1561-((CROQUIS_DATOS!$C$1481+CROQUIS_DATOS!$C$1482))*CROQUIS_DATOS!$C$1561))/CROQUIS_DATOS!$C$1568-0.000001)),1,MOD($A85-1,2)),1-IF(INT(($A85-1)/2)+1&gt;MAX(1,INT(((((CROQUIS_DATOS!$C$1479+CROQUIS_DATOS!$C$1480))-(CROQUIS_DATOS!$C$1479))+((CROQUIS_DATOS!$C$1476)*CROQUIS_DATOS!$C$1561-((CROQUIS_DATOS!$C$1481+CROQUIS_DATOS!$C$1482))*CROQUIS_DATOS!$C$1561))/CROQUIS_DATOS!$C$1568-0.000001)),1,MOD($A85-1,2)))=1,MIN((CROQUIS_DATOS!$C$1476)*CROQUIS_DATOS!$C$1561,((CROQUIS_DATOS!$C$1479+CROQUIS_DATOS!$C$1480)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5">
        <f>IF(AND(CROQUIS_DATOS!$C$1472=1,CROQUIS_DATOS!$C$1478&gt;=1,((CROQUIS_DATOS!$C$1479+CROQUIS_DATOS!$C$1480))-(CROQUIS_DATOS!$C$1479)&gt;0.5,(CROQUIS_DATOS!$C$1476)-((CROQUIS_DATOS!$C$1481+CROQUIS_DATOS!$C$1482))&gt;0.5),(CROQUIS_DATOS!$C$1567+(IF(IF(MOD(MIN(INT(($A85-1)/2)+1,MAX(1,INT(((((CROQUIS_DATOS!$C$1479+CROQUIS_DATOS!$C$1480))-(CROQUIS_DATOS!$C$1479))+((CROQUIS_DATOS!$C$1476)*CROQUIS_DATOS!$C$1561-((CROQUIS_DATOS!$C$1481+CROQUIS_DATOS!$C$1482))*CROQUIS_DATOS!$C$1561))/CROQUIS_DATOS!$C$1568-0.000001))),2)=1,IF(INT(($A85-1)/2)+1&gt;MAX(1,INT(((((CROQUIS_DATOS!$C$1479+CROQUIS_DATOS!$C$1480))-(CROQUIS_DATOS!$C$1479))+((CROQUIS_DATOS!$C$1476)*CROQUIS_DATOS!$C$1561-((CROQUIS_DATOS!$C$1481+CROQUIS_DATOS!$C$1482))*CROQUIS_DATOS!$C$1561))/CROQUIS_DATOS!$C$1568-0.000001)),1,MOD($A85-1,2)),1-IF(INT(($A85-1)/2)+1&gt;MAX(1,INT(((((CROQUIS_DATOS!$C$1479+CROQUIS_DATOS!$C$1480))-(CROQUIS_DATOS!$C$1479))+((CROQUIS_DATOS!$C$1476)*CROQUIS_DATOS!$C$1561-((CROQUIS_DATOS!$C$1481+CROQUIS_DATOS!$C$1482))*CROQUIS_DATOS!$C$1561))/CROQUIS_DATOS!$C$1568-0.000001)),1,MOD($A85-1,2)))=1,MIN((CROQUIS_DATOS!$C$1476)*CROQUIS_DATOS!$C$1561,((CROQUIS_DATOS!$C$1479+CROQUIS_DATOS!$C$1480)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5">
        <f>IF(AND(CROQUIS_DATOS!$C$1472=1,CROQUIS_DATOS!$C$1478&gt;=2,((CROQUIS_DATOS!$C$1484+CROQUIS_DATOS!$C$1485))-(CROQUIS_DATOS!$C$1484)&gt;0.5,(CROQUIS_DATOS!$C$1486)-(0)&gt;0.5),(CROQUIS_DATOS!$C$1566+(IF(IF(MOD(MIN(INT(($A85-1)/2)+1,MAX(1,INT(((((CROQUIS_DATOS!$C$1484+CROQUIS_DATOS!$C$1485))-(CROQUIS_DATOS!$C$1484))+((CROQUIS_DATOS!$C$1486)*CROQUIS_DATOS!$C$1561-(0)*CROQUIS_DATOS!$C$1561))/CROQUIS_DATOS!$C$1568-0.000001))),2)=1,IF(INT(($A85-1)/2)+1&gt;MAX(1,INT(((((CROQUIS_DATOS!$C$1484+CROQUIS_DATOS!$C$1485))-(CROQUIS_DATOS!$C$1484))+((CROQUIS_DATOS!$C$1486)*CROQUIS_DATOS!$C$1561-(0)*CROQUIS_DATOS!$C$1561))/CROQUIS_DATOS!$C$1568-0.000001)),1,MOD($A85-1,2)),1-IF(INT(($A85-1)/2)+1&gt;MAX(1,INT(((((CROQUIS_DATOS!$C$1484+CROQUIS_DATOS!$C$1485))-(CROQUIS_DATOS!$C$1484))+((CROQUIS_DATOS!$C$1486)*CROQUIS_DATOS!$C$1561-(0)*CROQUIS_DATOS!$C$1561))/CROQUIS_DATOS!$C$1568-0.000001)),1,MOD($A85-1,2)))=1,MIN((CROQUIS_DATOS!$C$1486)*CROQUIS_DATOS!$C$1561,((CROQUIS_DATOS!$C$1484+CROQUIS_DATOS!$C$1485)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5">
        <f>IF(AND(CROQUIS_DATOS!$C$1472=1,CROQUIS_DATOS!$C$1478&gt;=2,((CROQUIS_DATOS!$C$1484+CROQUIS_DATOS!$C$1485))-(CROQUIS_DATOS!$C$1484)&gt;0.5,(CROQUIS_DATOS!$C$1486)-(0)&gt;0.5),(CROQUIS_DATOS!$C$1567+(IF(IF(MOD(MIN(INT(($A85-1)/2)+1,MAX(1,INT(((((CROQUIS_DATOS!$C$1484+CROQUIS_DATOS!$C$1485))-(CROQUIS_DATOS!$C$1484))+((CROQUIS_DATOS!$C$1486)*CROQUIS_DATOS!$C$1561-(0)*CROQUIS_DATOS!$C$1561))/CROQUIS_DATOS!$C$1568-0.000001))),2)=1,IF(INT(($A85-1)/2)+1&gt;MAX(1,INT(((((CROQUIS_DATOS!$C$1484+CROQUIS_DATOS!$C$1485))-(CROQUIS_DATOS!$C$1484))+((CROQUIS_DATOS!$C$1486)*CROQUIS_DATOS!$C$1561-(0)*CROQUIS_DATOS!$C$1561))/CROQUIS_DATOS!$C$1568-0.000001)),1,MOD($A85-1,2)),1-IF(INT(($A85-1)/2)+1&gt;MAX(1,INT(((((CROQUIS_DATOS!$C$1484+CROQUIS_DATOS!$C$1485))-(CROQUIS_DATOS!$C$1484))+((CROQUIS_DATOS!$C$1486)*CROQUIS_DATOS!$C$1561-(0)*CROQUIS_DATOS!$C$1561))/CROQUIS_DATOS!$C$1568-0.000001)),1,MOD($A85-1,2)))=1,MIN((CROQUIS_DATOS!$C$1486)*CROQUIS_DATOS!$C$1561,((CROQUIS_DATOS!$C$1484+CROQUIS_DATOS!$C$1485)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5">
        <f>IF(AND(CROQUIS_DATOS!$C$1472=1,CROQUIS_DATOS!$C$1478&gt;=2,((CROQUIS_DATOS!$C$1484+CROQUIS_DATOS!$C$1485))-(CROQUIS_DATOS!$C$1484)&gt;0.5,(CROQUIS_DATOS!$C$1476)-((CROQUIS_DATOS!$C$1486+CROQUIS_DATOS!$C$1487))&gt;0.5),(CROQUIS_DATOS!$C$1566+(IF(IF(MOD(MIN(INT(($A85-1)/2)+1,MAX(1,INT(((((CROQUIS_DATOS!$C$1484+CROQUIS_DATOS!$C$1485))-(CROQUIS_DATOS!$C$1484))+((CROQUIS_DATOS!$C$1476)*CROQUIS_DATOS!$C$1561-((CROQUIS_DATOS!$C$1486+CROQUIS_DATOS!$C$1487))*CROQUIS_DATOS!$C$1561))/CROQUIS_DATOS!$C$1568-0.000001))),2)=1,IF(INT(($A85-1)/2)+1&gt;MAX(1,INT(((((CROQUIS_DATOS!$C$1484+CROQUIS_DATOS!$C$1485))-(CROQUIS_DATOS!$C$1484))+((CROQUIS_DATOS!$C$1476)*CROQUIS_DATOS!$C$1561-((CROQUIS_DATOS!$C$1486+CROQUIS_DATOS!$C$1487))*CROQUIS_DATOS!$C$1561))/CROQUIS_DATOS!$C$1568-0.000001)),1,MOD($A85-1,2)),1-IF(INT(($A85-1)/2)+1&gt;MAX(1,INT(((((CROQUIS_DATOS!$C$1484+CROQUIS_DATOS!$C$1485))-(CROQUIS_DATOS!$C$1484))+((CROQUIS_DATOS!$C$1476)*CROQUIS_DATOS!$C$1561-((CROQUIS_DATOS!$C$1486+CROQUIS_DATOS!$C$1487))*CROQUIS_DATOS!$C$1561))/CROQUIS_DATOS!$C$1568-0.000001)),1,MOD($A85-1,2)))=1,MIN((CROQUIS_DATOS!$C$1476)*CROQUIS_DATOS!$C$1561,((CROQUIS_DATOS!$C$1484+CROQUIS_DATOS!$C$1485)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5">
        <f>IF(AND(CROQUIS_DATOS!$C$1472=1,CROQUIS_DATOS!$C$1478&gt;=2,((CROQUIS_DATOS!$C$1484+CROQUIS_DATOS!$C$1485))-(CROQUIS_DATOS!$C$1484)&gt;0.5,(CROQUIS_DATOS!$C$1476)-((CROQUIS_DATOS!$C$1486+CROQUIS_DATOS!$C$1487))&gt;0.5),(CROQUIS_DATOS!$C$1567+(IF(IF(MOD(MIN(INT(($A85-1)/2)+1,MAX(1,INT(((((CROQUIS_DATOS!$C$1484+CROQUIS_DATOS!$C$1485))-(CROQUIS_DATOS!$C$1484))+((CROQUIS_DATOS!$C$1476)*CROQUIS_DATOS!$C$1561-((CROQUIS_DATOS!$C$1486+CROQUIS_DATOS!$C$1487))*CROQUIS_DATOS!$C$1561))/CROQUIS_DATOS!$C$1568-0.000001))),2)=1,IF(INT(($A85-1)/2)+1&gt;MAX(1,INT(((((CROQUIS_DATOS!$C$1484+CROQUIS_DATOS!$C$1485))-(CROQUIS_DATOS!$C$1484))+((CROQUIS_DATOS!$C$1476)*CROQUIS_DATOS!$C$1561-((CROQUIS_DATOS!$C$1486+CROQUIS_DATOS!$C$1487))*CROQUIS_DATOS!$C$1561))/CROQUIS_DATOS!$C$1568-0.000001)),1,MOD($A85-1,2)),1-IF(INT(($A85-1)/2)+1&gt;MAX(1,INT(((((CROQUIS_DATOS!$C$1484+CROQUIS_DATOS!$C$1485))-(CROQUIS_DATOS!$C$1484))+((CROQUIS_DATOS!$C$1476)*CROQUIS_DATOS!$C$1561-((CROQUIS_DATOS!$C$1486+CROQUIS_DATOS!$C$1487))*CROQUIS_DATOS!$C$1561))/CROQUIS_DATOS!$C$1568-0.000001)),1,MOD($A85-1,2)))=1,MIN((CROQUIS_DATOS!$C$1476)*CROQUIS_DATOS!$C$1561,((CROQUIS_DATOS!$C$1484+CROQUIS_DATOS!$C$1485)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5">
        <f>IF(AND(CROQUIS_DATOS!$C$1472=1,CROQUIS_DATOS!$C$1478&gt;=3,((CROQUIS_DATOS!$C$1489+CROQUIS_DATOS!$C$1490))-(CROQUIS_DATOS!$C$1489)&gt;0.5,(CROQUIS_DATOS!$C$1491)-(0)&gt;0.5),(CROQUIS_DATOS!$C$1566+(IF(IF(MOD(MIN(INT(($A85-1)/2)+1,MAX(1,INT(((((CROQUIS_DATOS!$C$1489+CROQUIS_DATOS!$C$1490))-(CROQUIS_DATOS!$C$1489))+((CROQUIS_DATOS!$C$1491)*CROQUIS_DATOS!$C$1561-(0)*CROQUIS_DATOS!$C$1561))/CROQUIS_DATOS!$C$1568-0.000001))),2)=1,IF(INT(($A85-1)/2)+1&gt;MAX(1,INT(((((CROQUIS_DATOS!$C$1489+CROQUIS_DATOS!$C$1490))-(CROQUIS_DATOS!$C$1489))+((CROQUIS_DATOS!$C$1491)*CROQUIS_DATOS!$C$1561-(0)*CROQUIS_DATOS!$C$1561))/CROQUIS_DATOS!$C$1568-0.000001)),1,MOD($A85-1,2)),1-IF(INT(($A85-1)/2)+1&gt;MAX(1,INT(((((CROQUIS_DATOS!$C$1489+CROQUIS_DATOS!$C$1490))-(CROQUIS_DATOS!$C$1489))+((CROQUIS_DATOS!$C$1491)*CROQUIS_DATOS!$C$1561-(0)*CROQUIS_DATOS!$C$1561))/CROQUIS_DATOS!$C$1568-0.000001)),1,MOD($A85-1,2)))=1,MIN((CROQUIS_DATOS!$C$1491)*CROQUIS_DATOS!$C$1561,((CROQUIS_DATOS!$C$1489+CROQUIS_DATOS!$C$1490)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5">
        <f>IF(AND(CROQUIS_DATOS!$C$1472=1,CROQUIS_DATOS!$C$1478&gt;=3,((CROQUIS_DATOS!$C$1489+CROQUIS_DATOS!$C$1490))-(CROQUIS_DATOS!$C$1489)&gt;0.5,(CROQUIS_DATOS!$C$1491)-(0)&gt;0.5),(CROQUIS_DATOS!$C$1567+(IF(IF(MOD(MIN(INT(($A85-1)/2)+1,MAX(1,INT(((((CROQUIS_DATOS!$C$1489+CROQUIS_DATOS!$C$1490))-(CROQUIS_DATOS!$C$1489))+((CROQUIS_DATOS!$C$1491)*CROQUIS_DATOS!$C$1561-(0)*CROQUIS_DATOS!$C$1561))/CROQUIS_DATOS!$C$1568-0.000001))),2)=1,IF(INT(($A85-1)/2)+1&gt;MAX(1,INT(((((CROQUIS_DATOS!$C$1489+CROQUIS_DATOS!$C$1490))-(CROQUIS_DATOS!$C$1489))+((CROQUIS_DATOS!$C$1491)*CROQUIS_DATOS!$C$1561-(0)*CROQUIS_DATOS!$C$1561))/CROQUIS_DATOS!$C$1568-0.000001)),1,MOD($A85-1,2)),1-IF(INT(($A85-1)/2)+1&gt;MAX(1,INT(((((CROQUIS_DATOS!$C$1489+CROQUIS_DATOS!$C$1490))-(CROQUIS_DATOS!$C$1489))+((CROQUIS_DATOS!$C$1491)*CROQUIS_DATOS!$C$1561-(0)*CROQUIS_DATOS!$C$1561))/CROQUIS_DATOS!$C$1568-0.000001)),1,MOD($A85-1,2)))=1,MIN((CROQUIS_DATOS!$C$1491)*CROQUIS_DATOS!$C$1561,((CROQUIS_DATOS!$C$1489+CROQUIS_DATOS!$C$1490)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5">
        <f>IF(AND(CROQUIS_DATOS!$C$1472=1,CROQUIS_DATOS!$C$1478&gt;=3,((CROQUIS_DATOS!$C$1489+CROQUIS_DATOS!$C$1490))-(CROQUIS_DATOS!$C$1489)&gt;0.5,(CROQUIS_DATOS!$C$1476)-((CROQUIS_DATOS!$C$1491+CROQUIS_DATOS!$C$1492))&gt;0.5),(CROQUIS_DATOS!$C$1566+(IF(IF(MOD(MIN(INT(($A85-1)/2)+1,MAX(1,INT(((((CROQUIS_DATOS!$C$1489+CROQUIS_DATOS!$C$1490))-(CROQUIS_DATOS!$C$1489))+((CROQUIS_DATOS!$C$1476)*CROQUIS_DATOS!$C$1561-((CROQUIS_DATOS!$C$1491+CROQUIS_DATOS!$C$1492))*CROQUIS_DATOS!$C$1561))/CROQUIS_DATOS!$C$1568-0.000001))),2)=1,IF(INT(($A85-1)/2)+1&gt;MAX(1,INT(((((CROQUIS_DATOS!$C$1489+CROQUIS_DATOS!$C$1490))-(CROQUIS_DATOS!$C$1489))+((CROQUIS_DATOS!$C$1476)*CROQUIS_DATOS!$C$1561-((CROQUIS_DATOS!$C$1491+CROQUIS_DATOS!$C$1492))*CROQUIS_DATOS!$C$1561))/CROQUIS_DATOS!$C$1568-0.000001)),1,MOD($A85-1,2)),1-IF(INT(($A85-1)/2)+1&gt;MAX(1,INT(((((CROQUIS_DATOS!$C$1489+CROQUIS_DATOS!$C$1490))-(CROQUIS_DATOS!$C$1489))+((CROQUIS_DATOS!$C$1476)*CROQUIS_DATOS!$C$1561-((CROQUIS_DATOS!$C$1491+CROQUIS_DATOS!$C$1492))*CROQUIS_DATOS!$C$1561))/CROQUIS_DATOS!$C$1568-0.000001)),1,MOD($A85-1,2)))=1,MIN((CROQUIS_DATOS!$C$1476)*CROQUIS_DATOS!$C$1561,((CROQUIS_DATOS!$C$1489+CROQUIS_DATOS!$C$1490)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5">
        <f>IF(AND(CROQUIS_DATOS!$C$1472=1,CROQUIS_DATOS!$C$1478&gt;=3,((CROQUIS_DATOS!$C$1489+CROQUIS_DATOS!$C$1490))-(CROQUIS_DATOS!$C$1489)&gt;0.5,(CROQUIS_DATOS!$C$1476)-((CROQUIS_DATOS!$C$1491+CROQUIS_DATOS!$C$1492))&gt;0.5),(CROQUIS_DATOS!$C$1567+(IF(IF(MOD(MIN(INT(($A85-1)/2)+1,MAX(1,INT(((((CROQUIS_DATOS!$C$1489+CROQUIS_DATOS!$C$1490))-(CROQUIS_DATOS!$C$1489))+((CROQUIS_DATOS!$C$1476)*CROQUIS_DATOS!$C$1561-((CROQUIS_DATOS!$C$1491+CROQUIS_DATOS!$C$1492))*CROQUIS_DATOS!$C$1561))/CROQUIS_DATOS!$C$1568-0.000001))),2)=1,IF(INT(($A85-1)/2)+1&gt;MAX(1,INT(((((CROQUIS_DATOS!$C$1489+CROQUIS_DATOS!$C$1490))-(CROQUIS_DATOS!$C$1489))+((CROQUIS_DATOS!$C$1476)*CROQUIS_DATOS!$C$1561-((CROQUIS_DATOS!$C$1491+CROQUIS_DATOS!$C$1492))*CROQUIS_DATOS!$C$1561))/CROQUIS_DATOS!$C$1568-0.000001)),1,MOD($A85-1,2)),1-IF(INT(($A85-1)/2)+1&gt;MAX(1,INT(((((CROQUIS_DATOS!$C$1489+CROQUIS_DATOS!$C$1490))-(CROQUIS_DATOS!$C$1489))+((CROQUIS_DATOS!$C$1476)*CROQUIS_DATOS!$C$1561-((CROQUIS_DATOS!$C$1491+CROQUIS_DATOS!$C$1492))*CROQUIS_DATOS!$C$1561))/CROQUIS_DATOS!$C$1568-0.000001)),1,MOD($A85-1,2)))=1,MIN((CROQUIS_DATOS!$C$1476)*CROQUIS_DATOS!$C$1561,((CROQUIS_DATOS!$C$1489+CROQUIS_DATOS!$C$1490)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5">
        <f>IF(AND(CROQUIS_DATOS!$C$1472=1,CROQUIS_DATOS!$C$1478&gt;=4,((CROQUIS_DATOS!$C$1494+CROQUIS_DATOS!$C$1495))-(CROQUIS_DATOS!$C$1494)&gt;0.5,(CROQUIS_DATOS!$C$1496)-(0)&gt;0.5),(CROQUIS_DATOS!$C$1566+(IF(IF(MOD(MIN(INT(($A85-1)/2)+1,MAX(1,INT(((((CROQUIS_DATOS!$C$1494+CROQUIS_DATOS!$C$1495))-(CROQUIS_DATOS!$C$1494))+((CROQUIS_DATOS!$C$1496)*CROQUIS_DATOS!$C$1561-(0)*CROQUIS_DATOS!$C$1561))/CROQUIS_DATOS!$C$1568-0.000001))),2)=1,IF(INT(($A85-1)/2)+1&gt;MAX(1,INT(((((CROQUIS_DATOS!$C$1494+CROQUIS_DATOS!$C$1495))-(CROQUIS_DATOS!$C$1494))+((CROQUIS_DATOS!$C$1496)*CROQUIS_DATOS!$C$1561-(0)*CROQUIS_DATOS!$C$1561))/CROQUIS_DATOS!$C$1568-0.000001)),1,MOD($A85-1,2)),1-IF(INT(($A85-1)/2)+1&gt;MAX(1,INT(((((CROQUIS_DATOS!$C$1494+CROQUIS_DATOS!$C$1495))-(CROQUIS_DATOS!$C$1494))+((CROQUIS_DATOS!$C$1496)*CROQUIS_DATOS!$C$1561-(0)*CROQUIS_DATOS!$C$1561))/CROQUIS_DATOS!$C$1568-0.000001)),1,MOD($A85-1,2)))=1,MIN((CROQUIS_DATOS!$C$1496)*CROQUIS_DATOS!$C$1561,((CROQUIS_DATOS!$C$1494+CROQUIS_DATOS!$C$1495)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5">
        <f>IF(AND(CROQUIS_DATOS!$C$1472=1,CROQUIS_DATOS!$C$1478&gt;=4,((CROQUIS_DATOS!$C$1494+CROQUIS_DATOS!$C$1495))-(CROQUIS_DATOS!$C$1494)&gt;0.5,(CROQUIS_DATOS!$C$1496)-(0)&gt;0.5),(CROQUIS_DATOS!$C$1567+(IF(IF(MOD(MIN(INT(($A85-1)/2)+1,MAX(1,INT(((((CROQUIS_DATOS!$C$1494+CROQUIS_DATOS!$C$1495))-(CROQUIS_DATOS!$C$1494))+((CROQUIS_DATOS!$C$1496)*CROQUIS_DATOS!$C$1561-(0)*CROQUIS_DATOS!$C$1561))/CROQUIS_DATOS!$C$1568-0.000001))),2)=1,IF(INT(($A85-1)/2)+1&gt;MAX(1,INT(((((CROQUIS_DATOS!$C$1494+CROQUIS_DATOS!$C$1495))-(CROQUIS_DATOS!$C$1494))+((CROQUIS_DATOS!$C$1496)*CROQUIS_DATOS!$C$1561-(0)*CROQUIS_DATOS!$C$1561))/CROQUIS_DATOS!$C$1568-0.000001)),1,MOD($A85-1,2)),1-IF(INT(($A85-1)/2)+1&gt;MAX(1,INT(((((CROQUIS_DATOS!$C$1494+CROQUIS_DATOS!$C$1495))-(CROQUIS_DATOS!$C$1494))+((CROQUIS_DATOS!$C$1496)*CROQUIS_DATOS!$C$1561-(0)*CROQUIS_DATOS!$C$1561))/CROQUIS_DATOS!$C$1568-0.000001)),1,MOD($A85-1,2)))=1,MIN((CROQUIS_DATOS!$C$1496)*CROQUIS_DATOS!$C$1561,((CROQUIS_DATOS!$C$1494+CROQUIS_DATOS!$C$1495)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5">
        <f>IF(AND(CROQUIS_DATOS!$C$1472=1,CROQUIS_DATOS!$C$1478&gt;=4,((CROQUIS_DATOS!$C$1494+CROQUIS_DATOS!$C$1495))-(CROQUIS_DATOS!$C$1494)&gt;0.5,(CROQUIS_DATOS!$C$1476)-((CROQUIS_DATOS!$C$1496+CROQUIS_DATOS!$C$1497))&gt;0.5),(CROQUIS_DATOS!$C$1566+(IF(IF(MOD(MIN(INT(($A85-1)/2)+1,MAX(1,INT(((((CROQUIS_DATOS!$C$1494+CROQUIS_DATOS!$C$1495))-(CROQUIS_DATOS!$C$1494))+((CROQUIS_DATOS!$C$1476)*CROQUIS_DATOS!$C$1561-((CROQUIS_DATOS!$C$1496+CROQUIS_DATOS!$C$1497))*CROQUIS_DATOS!$C$1561))/CROQUIS_DATOS!$C$1568-0.000001))),2)=1,IF(INT(($A85-1)/2)+1&gt;MAX(1,INT(((((CROQUIS_DATOS!$C$1494+CROQUIS_DATOS!$C$1495))-(CROQUIS_DATOS!$C$1494))+((CROQUIS_DATOS!$C$1476)*CROQUIS_DATOS!$C$1561-((CROQUIS_DATOS!$C$1496+CROQUIS_DATOS!$C$1497))*CROQUIS_DATOS!$C$1561))/CROQUIS_DATOS!$C$1568-0.000001)),1,MOD($A85-1,2)),1-IF(INT(($A85-1)/2)+1&gt;MAX(1,INT(((((CROQUIS_DATOS!$C$1494+CROQUIS_DATOS!$C$1495))-(CROQUIS_DATOS!$C$1494))+((CROQUIS_DATOS!$C$1476)*CROQUIS_DATOS!$C$1561-((CROQUIS_DATOS!$C$1496+CROQUIS_DATOS!$C$1497))*CROQUIS_DATOS!$C$1561))/CROQUIS_DATOS!$C$1568-0.000001)),1,MOD($A85-1,2)))=1,MIN((CROQUIS_DATOS!$C$1476)*CROQUIS_DATOS!$C$1561,((CROQUIS_DATOS!$C$1494+CROQUIS_DATOS!$C$1495)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5">
        <f>IF(AND(CROQUIS_DATOS!$C$1472=1,CROQUIS_DATOS!$C$1478&gt;=4,((CROQUIS_DATOS!$C$1494+CROQUIS_DATOS!$C$1495))-(CROQUIS_DATOS!$C$1494)&gt;0.5,(CROQUIS_DATOS!$C$1476)-((CROQUIS_DATOS!$C$1496+CROQUIS_DATOS!$C$1497))&gt;0.5),(CROQUIS_DATOS!$C$1567+(IF(IF(MOD(MIN(INT(($A85-1)/2)+1,MAX(1,INT(((((CROQUIS_DATOS!$C$1494+CROQUIS_DATOS!$C$1495))-(CROQUIS_DATOS!$C$1494))+((CROQUIS_DATOS!$C$1476)*CROQUIS_DATOS!$C$1561-((CROQUIS_DATOS!$C$1496+CROQUIS_DATOS!$C$1497))*CROQUIS_DATOS!$C$1561))/CROQUIS_DATOS!$C$1568-0.000001))),2)=1,IF(INT(($A85-1)/2)+1&gt;MAX(1,INT(((((CROQUIS_DATOS!$C$1494+CROQUIS_DATOS!$C$1495))-(CROQUIS_DATOS!$C$1494))+((CROQUIS_DATOS!$C$1476)*CROQUIS_DATOS!$C$1561-((CROQUIS_DATOS!$C$1496+CROQUIS_DATOS!$C$1497))*CROQUIS_DATOS!$C$1561))/CROQUIS_DATOS!$C$1568-0.000001)),1,MOD($A85-1,2)),1-IF(INT(($A85-1)/2)+1&gt;MAX(1,INT(((((CROQUIS_DATOS!$C$1494+CROQUIS_DATOS!$C$1495))-(CROQUIS_DATOS!$C$1494))+((CROQUIS_DATOS!$C$1476)*CROQUIS_DATOS!$C$1561-((CROQUIS_DATOS!$C$1496+CROQUIS_DATOS!$C$1497))*CROQUIS_DATOS!$C$1561))/CROQUIS_DATOS!$C$1568-0.000001)),1,MOD($A85-1,2)))=1,MIN((CROQUIS_DATOS!$C$1476)*CROQUIS_DATOS!$C$1561,((CROQUIS_DATOS!$C$1494+CROQUIS_DATOS!$C$1495)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5">
        <f>IF(AND(CROQUIS_DATOS!$C$1472=1,1),(CROQUIS_DATOS!$C$1571+(CHOOSE(MIN(MAX(IF(INT(($A85-1)/5)+1&gt;CROQUIS_DATOS!$C$1525,5,MOD($A85-1,5)+1),1),5),(INDEX($E$8:$E$23,MIN(INT(($A85-1)/5)+1,CROQUIS_DATOS!$C$1525))-INDEX($F$8:$F$23,MIN(INT(($A85-1)/5)+1,CROQUIS_DATOS!$C$1525))/2),(INDEX($E$8:$E$23,MIN(INT(($A85-1)/5)+1,CROQUIS_DATOS!$C$1525))+INDEX($F$8:$F$23,MIN(INT(($A85-1)/5)+1,CROQUIS_DATOS!$C$1525))/2),(INDEX($E$8:$E$23,MIN(INT(($A85-1)/5)+1,CROQUIS_DATOS!$C$1525))+INDEX($F$8:$F$23,MIN(INT(($A85-1)/5)+1,CROQUIS_DATOS!$C$1525))/2),(INDEX($E$8:$E$23,MIN(INT(($A85-1)/5)+1,CROQUIS_DATOS!$C$1525))-INDEX($F$8:$F$23,MIN(INT(($A85-1)/5)+1,CROQUIS_DATOS!$C$1525))/2),(INDEX($E$8:$E$23,MIN(INT(($A85-1)/5)+1,CROQUIS_DATOS!$C$1525))-INDEX($F$8:$F$23,MIN(INT(($A85-1)/5)+1,CROQUIS_DATOS!$C$1525))/2)))*CROQUIS_DATOS!$C$1569),-1000)</f>
        <v>95.24</v>
      </c>
      <c r="GE85">
        <f>IF(AND(CROQUIS_DATOS!$C$1472=1,1),(CROQUIS_DATOS!$C$1572+(CHOOSE(MIN(MAX(IF(INT(($A85-1)/5)+1&gt;CROQUIS_DATOS!$C$1525,5,MOD($A85-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6">
      <c r="A86" t="n">
        <v>79</v>
      </c>
      <c r="N86">
        <f>IF(AND(CROQUIS_DATOS!$C$1472=1,1),(CROQUIS_DATOS!$C$1563+(IF(IF(IF(INT(($A86-1)/70)+1&gt;CROQUIS_DATOS!$C$1525,70,MOD($A86-1,70)+1)=1,0,IF(IF(INT(($A86-1)/70)+1&gt;CROQUIS_DATOS!$C$1525,70,MOD($A86-1,70)+1)&gt;2*CROQUIS_DATOS!$C$1541+1,IF(MOD(CROQUIS_DATOS!$C$1541,2)=1,1,0),IF(MOD(MIN(INT((IF(INT(($A86-1)/70)+1&gt;CROQUIS_DATOS!$C$1525,70,MOD($A86-1,70)+1)-2)/2)+1,CROQUIS_DATOS!$C$1541),2)=1,IF(MOD(IF(INT(($A86-1)/70)+1&gt;CROQUIS_DATOS!$C$1525,70,MOD($A86-1,70)+1)-2,2)=0,0,1),IF(MOD(IF(INT(($A86-1)/70)+1&gt;CROQUIS_DATOS!$C$1525,70,MOD($A86-1,70)+1)-2,2)=0,1,0))))=0,(INDEX($E$8:$E$23,MIN(INT(($A86-1)/70)+1,CROQUIS_DATOS!$C$1525))-INDEX($F$8:$F$23,MIN(INT(($A86-1)/70)+1,CROQUIS_DATOS!$C$1525))/2),(INDEX($E$8:$E$23,MIN(INT(($A86-1)/70)+1,CROQUIS_DATOS!$C$1525))+INDEX($F$8:$F$23,MIN(INT(($A86-1)/70)+1,CROQUIS_DATOS!$C$1525))/2)))*CROQUIS_DATOS!$C$1562),-1000)</f>
        <v>18.5775862068965</v>
      </c>
      <c r="O86">
        <f>IF(AND(CROQUIS_DATOS!$C$1472=1,1),(CROQUIS_DATOS!$C$1564+(IF(OR(IF(INT(($A86-1)/70)+1&gt;CROQUIS_DATOS!$C$1525,70,MOD($A86-1,70)+1)=1,IF(INT(($A86-1)/70)+1&gt;CROQUIS_DATOS!$C$1525,70,MOD($A86-1,70)+1)&gt;2*CROQUIS_DATOS!$C$1541+1),CROQUIS_DATOS!$C$1476,INDEX($H$8:$H$41,MIN(INT((IF(INT(($A86-1)/70)+1&gt;CROQUIS_DATOS!$C$1525,70,MOD($A86-1,70)+1)-2)/2)+1,CROQUIS_DATOS!$C$1541))))*CROQUIS_DATOS!$C$1561*CROQUIS_DATOS!$C$1562),-1000)</f>
        <v>9.48275862068966</v>
      </c>
      <c r="P86">
        <f>IF(AND(CROQUIS_DATOS!$C$1472=1,CROQUIS_DATOS!$C$1555=1),(CROQUIS_DATOS!$C$1563+(IF(IF(OR(MOD($A86-1,62)+1=1,IF(CHOOSE(MIN(MAX(MIN(INT(($A86-1)/62)+1,5),1),5),CROQUIS_DATOS!$C$1501,CROQUIS_DATOS!$C$1505,CROQUIS_DATOS!$C$1509,CROQUIS_DATOS!$C$1513,CROQUIS_DATOS!$C$1517)=1,CROQUIS_DATOS!$C$1557,0)=0),0,IF(MOD($A86-1,62)+1&gt;2*IF(CHOOSE(MIN(MAX(MIN(INT(($A86-1)/62)+1,5),1),5),CROQUIS_DATOS!$C$1501,CROQUIS_DATOS!$C$1505,CROQUIS_DATOS!$C$1509,CROQUIS_DATOS!$C$1513,CROQUIS_DATOS!$C$1517)=1,CROQUIS_DATOS!$C$1557,0)+1,IF(MOD(IF(CHOOSE(MIN(MAX(MIN(INT(($A86-1)/62)+1,5),1),5),CROQUIS_DATOS!$C$1501,CROQUIS_DATOS!$C$1505,CROQUIS_DATOS!$C$1509,CROQUIS_DATOS!$C$1513,CROQUIS_DATOS!$C$1517)=1,CROQUIS_DATOS!$C$1557,0),2)=1,1,0),IF(MOD(MIN(INT((MOD($A86-1,62)+1-2)/2)+1,MAX(IF(CHOOSE(MIN(MAX(MIN(INT(($A86-1)/62)+1,5),1),5),CROQUIS_DATOS!$C$1501,CROQUIS_DATOS!$C$1505,CROQUIS_DATOS!$C$1509,CROQUIS_DATOS!$C$1513,CROQUIS_DATOS!$C$1517)=1,CROQUIS_DATOS!$C$1557,0),1)),2)=1,IF(MOD(MOD($A86-1,62)+1-2,2)=0,0,1),IF(MOD(MOD($A86-1,62)+1-2,2)=0,1,0))))=0,(CHOOSE(MIN(MAX(MIN(INT(($A86-1)/62)+1,5),1),5),CROQUIS_DATOS!$C$1499,CROQUIS_DATOS!$C$1503,CROQUIS_DATOS!$C$1507,CROQUIS_DATOS!$C$1511,CROQUIS_DATOS!$C$1515)+IF(CHOOSE(MIN(MAX(MIN(INT(($A86-1)/62)+1,5),1),5),CROQUIS_DATOS!$C$1501,CROQUIS_DATOS!$C$1505,CROQUIS_DATOS!$C$1509,CROQUIS_DATOS!$C$1513,CROQUIS_DATOS!$C$1517)=1,CROQUIS_DATOS!$C$1526,0)),(CHOOSE(MIN(MAX(MIN(INT(($A86-1)/62)+1,5),1),5),CROQUIS_DATOS!$C$1499,CROQUIS_DATOS!$C$1503,CROQUIS_DATOS!$C$1507,CROQUIS_DATOS!$C$1511,CROQUIS_DATOS!$C$1515)+CHOOSE(MIN(MAX(MIN(INT(($A86-1)/62)+1,5),1),5),CROQUIS_DATOS!$C$1500,CROQUIS_DATOS!$C$1504,CROQUIS_DATOS!$C$1508,CROQUIS_DATOS!$C$1512,CROQUIS_DATOS!$C$1516)-IF(CHOOSE(MIN(MAX(MIN(INT(($A86-1)/62)+1,5),1),5),CROQUIS_DATOS!$C$1501,CROQUIS_DATOS!$C$1505,CROQUIS_DATOS!$C$1509,CROQUIS_DATOS!$C$1513,CROQUIS_DATOS!$C$1517)=1,CROQUIS_DATOS!$C$1526,0))))*CROQUIS_DATOS!$C$1562),-1000)</f>
        <v>-1000</v>
      </c>
      <c r="Q86">
        <f>IF(AND(CROQUIS_DATOS!$C$1472=1,CROQUIS_DATOS!$C$1555=1),(CROQUIS_DATOS!$C$1564+(IF(OR(OR(MOD($A86-1,62)+1=1,IF(CHOOSE(MIN(MAX(MIN(INT(($A86-1)/62)+1,5),1),5),CROQUIS_DATOS!$C$1501,CROQUIS_DATOS!$C$1505,CROQUIS_DATOS!$C$1509,CROQUIS_DATOS!$C$1513,CROQUIS_DATOS!$C$1517)=1,CROQUIS_DATOS!$C$1557,0)=0),MOD($A86-1,62)+1&gt;2*IF(CHOOSE(MIN(MAX(MIN(INT(($A86-1)/62)+1,5),1),5),CROQUIS_DATOS!$C$1501,CROQUIS_DATOS!$C$1505,CROQUIS_DATOS!$C$1509,CROQUIS_DATOS!$C$1513,CROQUIS_DATOS!$C$1517)=1,CROQUIS_DATOS!$C$1557,0)+1),CROQUIS_DATOS!$C$1476,MIN(INT((MOD($A86-1,62)+1-2)/2)+1,MAX(IF(CHOOSE(MIN(MAX(MIN(INT(($A86-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6">
        <f>IF(AND(CROQUIS_DATOS!$C$1472=1,1),(CROQUIS_DATOS!$C$1563+(MIN(INT(($A86-1)/2)+1,CROQUIS_DATOS!$C$1558)*CROQUIS_DATOS!$C$1559)*CROQUIS_DATOS!$C$1562),-1000)</f>
        <v>82.2281167108753</v>
      </c>
      <c r="U86">
        <f>IF(AND(CROQUIS_DATOS!$C$1472=1,1),(CROQUIS_DATOS!$C$1564+(IF(INT(($A86-1)/2)+1&gt;CROQUIS_DATOS!$C$1558,IF(MOD(CROQUIS_DATOS!$C$1558,2)=1,CROQUIS_DATOS!$C$1476+CROQUIS_DATOS!$C$1528,CROQUIS_DATOS!$C$1476),IF(IF(MOD(MIN(INT(($A86-1)/2)+1,CROQUIS_DATOS!$C$1558),2)=1,MOD($A86-1,2),1-MOD($A86-1,2))=1,CROQUIS_DATOS!$C$1476+CROQUIS_DATOS!$C$1528,CROQUIS_DATOS!$C$1476)))*CROQUIS_DATOS!$C$1561*CROQUIS_DATOS!$C$1562),-1000)</f>
        <v>43</v>
      </c>
      <c r="BZ86">
        <f>IF(AND(CROQUIS_DATOS!$C$1472=1,CROQUIS_DATOS!$C$1500&gt;0,((CROQUIS_DATOS!$C$1499+CROQUIS_DATOS!$C$1500))-(CROQUIS_DATOS!$C$1499)&gt;0.5,(CROQUIS_DATOS!$C$1476)-(0)&gt;0.5),(CROQUIS_DATOS!$C$1566+(IF(IF(MOD(MIN(INT(($A86-1)/2)+1,MAX(1,INT(((((CROQUIS_DATOS!$C$1499+CROQUIS_DATOS!$C$1500))-(CROQUIS_DATOS!$C$1499))+((CROQUIS_DATOS!$C$1476)*CROQUIS_DATOS!$C$1561-(0)*CROQUIS_DATOS!$C$1561))/CROQUIS_DATOS!$C$1568-0.000001))),2)=1,IF(INT(($A86-1)/2)+1&gt;MAX(1,INT(((((CROQUIS_DATOS!$C$1499+CROQUIS_DATOS!$C$1500))-(CROQUIS_DATOS!$C$1499))+((CROQUIS_DATOS!$C$1476)*CROQUIS_DATOS!$C$1561-(0)*CROQUIS_DATOS!$C$1561))/CROQUIS_DATOS!$C$1568-0.000001)),1,MOD($A86-1,2)),1-IF(INT(($A86-1)/2)+1&gt;MAX(1,INT(((((CROQUIS_DATOS!$C$1499+CROQUIS_DATOS!$C$1500))-(CROQUIS_DATOS!$C$1499))+((CROQUIS_DATOS!$C$1476)*CROQUIS_DATOS!$C$1561-(0)*CROQUIS_DATOS!$C$1561))/CROQUIS_DATOS!$C$1568-0.000001)),1,MOD($A86-1,2)))=1,MIN((CROQUIS_DATOS!$C$1476)*CROQUIS_DATOS!$C$1561,((CROQUIS_DATOS!$C$1499+CROQUIS_DATOS!$C$1500)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6">
        <f>IF(AND(CROQUIS_DATOS!$C$1472=1,CROQUIS_DATOS!$C$1500&gt;0,((CROQUIS_DATOS!$C$1499+CROQUIS_DATOS!$C$1500))-(CROQUIS_DATOS!$C$1499)&gt;0.5,(CROQUIS_DATOS!$C$1476)-(0)&gt;0.5),(CROQUIS_DATOS!$C$1567+(IF(IF(MOD(MIN(INT(($A86-1)/2)+1,MAX(1,INT(((((CROQUIS_DATOS!$C$1499+CROQUIS_DATOS!$C$1500))-(CROQUIS_DATOS!$C$1499))+((CROQUIS_DATOS!$C$1476)*CROQUIS_DATOS!$C$1561-(0)*CROQUIS_DATOS!$C$1561))/CROQUIS_DATOS!$C$1568-0.000001))),2)=1,IF(INT(($A86-1)/2)+1&gt;MAX(1,INT(((((CROQUIS_DATOS!$C$1499+CROQUIS_DATOS!$C$1500))-(CROQUIS_DATOS!$C$1499))+((CROQUIS_DATOS!$C$1476)*CROQUIS_DATOS!$C$1561-(0)*CROQUIS_DATOS!$C$1561))/CROQUIS_DATOS!$C$1568-0.000001)),1,MOD($A86-1,2)),1-IF(INT(($A86-1)/2)+1&gt;MAX(1,INT(((((CROQUIS_DATOS!$C$1499+CROQUIS_DATOS!$C$1500))-(CROQUIS_DATOS!$C$1499))+((CROQUIS_DATOS!$C$1476)*CROQUIS_DATOS!$C$1561-(0)*CROQUIS_DATOS!$C$1561))/CROQUIS_DATOS!$C$1568-0.000001)),1,MOD($A86-1,2)))=1,MIN((CROQUIS_DATOS!$C$1476)*CROQUIS_DATOS!$C$1561,((CROQUIS_DATOS!$C$1499+CROQUIS_DATOS!$C$1500)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6">
        <f>IF(AND(CROQUIS_DATOS!$C$1472=1,CROQUIS_DATOS!$C$1504&gt;0,((CROQUIS_DATOS!$C$1503+CROQUIS_DATOS!$C$1504))-(CROQUIS_DATOS!$C$1503)&gt;0.5,(CROQUIS_DATOS!$C$1476)-(0)&gt;0.5),(CROQUIS_DATOS!$C$1566+(IF(IF(MOD(MIN(INT(($A86-1)/2)+1,MAX(1,INT(((((CROQUIS_DATOS!$C$1503+CROQUIS_DATOS!$C$1504))-(CROQUIS_DATOS!$C$1503))+((CROQUIS_DATOS!$C$1476)*CROQUIS_DATOS!$C$1561-(0)*CROQUIS_DATOS!$C$1561))/CROQUIS_DATOS!$C$1568-0.000001))),2)=1,IF(INT(($A86-1)/2)+1&gt;MAX(1,INT(((((CROQUIS_DATOS!$C$1503+CROQUIS_DATOS!$C$1504))-(CROQUIS_DATOS!$C$1503))+((CROQUIS_DATOS!$C$1476)*CROQUIS_DATOS!$C$1561-(0)*CROQUIS_DATOS!$C$1561))/CROQUIS_DATOS!$C$1568-0.000001)),1,MOD($A86-1,2)),1-IF(INT(($A86-1)/2)+1&gt;MAX(1,INT(((((CROQUIS_DATOS!$C$1503+CROQUIS_DATOS!$C$1504))-(CROQUIS_DATOS!$C$1503))+((CROQUIS_DATOS!$C$1476)*CROQUIS_DATOS!$C$1561-(0)*CROQUIS_DATOS!$C$1561))/CROQUIS_DATOS!$C$1568-0.000001)),1,MOD($A86-1,2)))=1,MIN((CROQUIS_DATOS!$C$1476)*CROQUIS_DATOS!$C$1561,((CROQUIS_DATOS!$C$1503+CROQUIS_DATOS!$C$1504)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6">
        <f>IF(AND(CROQUIS_DATOS!$C$1472=1,CROQUIS_DATOS!$C$1504&gt;0,((CROQUIS_DATOS!$C$1503+CROQUIS_DATOS!$C$1504))-(CROQUIS_DATOS!$C$1503)&gt;0.5,(CROQUIS_DATOS!$C$1476)-(0)&gt;0.5),(CROQUIS_DATOS!$C$1567+(IF(IF(MOD(MIN(INT(($A86-1)/2)+1,MAX(1,INT(((((CROQUIS_DATOS!$C$1503+CROQUIS_DATOS!$C$1504))-(CROQUIS_DATOS!$C$1503))+((CROQUIS_DATOS!$C$1476)*CROQUIS_DATOS!$C$1561-(0)*CROQUIS_DATOS!$C$1561))/CROQUIS_DATOS!$C$1568-0.000001))),2)=1,IF(INT(($A86-1)/2)+1&gt;MAX(1,INT(((((CROQUIS_DATOS!$C$1503+CROQUIS_DATOS!$C$1504))-(CROQUIS_DATOS!$C$1503))+((CROQUIS_DATOS!$C$1476)*CROQUIS_DATOS!$C$1561-(0)*CROQUIS_DATOS!$C$1561))/CROQUIS_DATOS!$C$1568-0.000001)),1,MOD($A86-1,2)),1-IF(INT(($A86-1)/2)+1&gt;MAX(1,INT(((((CROQUIS_DATOS!$C$1503+CROQUIS_DATOS!$C$1504))-(CROQUIS_DATOS!$C$1503))+((CROQUIS_DATOS!$C$1476)*CROQUIS_DATOS!$C$1561-(0)*CROQUIS_DATOS!$C$1561))/CROQUIS_DATOS!$C$1568-0.000001)),1,MOD($A86-1,2)))=1,MIN((CROQUIS_DATOS!$C$1476)*CROQUIS_DATOS!$C$1561,((CROQUIS_DATOS!$C$1503+CROQUIS_DATOS!$C$1504)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6">
        <f>IF(AND(CROQUIS_DATOS!$C$1472=1,CROQUIS_DATOS!$C$1508&gt;0,((CROQUIS_DATOS!$C$1507+CROQUIS_DATOS!$C$1508))-(CROQUIS_DATOS!$C$1507)&gt;0.5,(CROQUIS_DATOS!$C$1476)-(0)&gt;0.5),(CROQUIS_DATOS!$C$1566+(IF(IF(MOD(MIN(INT(($A86-1)/2)+1,MAX(1,INT(((((CROQUIS_DATOS!$C$1507+CROQUIS_DATOS!$C$1508))-(CROQUIS_DATOS!$C$1507))+((CROQUIS_DATOS!$C$1476)*CROQUIS_DATOS!$C$1561-(0)*CROQUIS_DATOS!$C$1561))/CROQUIS_DATOS!$C$1568-0.000001))),2)=1,IF(INT(($A86-1)/2)+1&gt;MAX(1,INT(((((CROQUIS_DATOS!$C$1507+CROQUIS_DATOS!$C$1508))-(CROQUIS_DATOS!$C$1507))+((CROQUIS_DATOS!$C$1476)*CROQUIS_DATOS!$C$1561-(0)*CROQUIS_DATOS!$C$1561))/CROQUIS_DATOS!$C$1568-0.000001)),1,MOD($A86-1,2)),1-IF(INT(($A86-1)/2)+1&gt;MAX(1,INT(((((CROQUIS_DATOS!$C$1507+CROQUIS_DATOS!$C$1508))-(CROQUIS_DATOS!$C$1507))+((CROQUIS_DATOS!$C$1476)*CROQUIS_DATOS!$C$1561-(0)*CROQUIS_DATOS!$C$1561))/CROQUIS_DATOS!$C$1568-0.000001)),1,MOD($A86-1,2)))=1,MIN((CROQUIS_DATOS!$C$1476)*CROQUIS_DATOS!$C$1561,((CROQUIS_DATOS!$C$1507+CROQUIS_DATOS!$C$1508)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6">
        <f>IF(AND(CROQUIS_DATOS!$C$1472=1,CROQUIS_DATOS!$C$1508&gt;0,((CROQUIS_DATOS!$C$1507+CROQUIS_DATOS!$C$1508))-(CROQUIS_DATOS!$C$1507)&gt;0.5,(CROQUIS_DATOS!$C$1476)-(0)&gt;0.5),(CROQUIS_DATOS!$C$1567+(IF(IF(MOD(MIN(INT(($A86-1)/2)+1,MAX(1,INT(((((CROQUIS_DATOS!$C$1507+CROQUIS_DATOS!$C$1508))-(CROQUIS_DATOS!$C$1507))+((CROQUIS_DATOS!$C$1476)*CROQUIS_DATOS!$C$1561-(0)*CROQUIS_DATOS!$C$1561))/CROQUIS_DATOS!$C$1568-0.000001))),2)=1,IF(INT(($A86-1)/2)+1&gt;MAX(1,INT(((((CROQUIS_DATOS!$C$1507+CROQUIS_DATOS!$C$1508))-(CROQUIS_DATOS!$C$1507))+((CROQUIS_DATOS!$C$1476)*CROQUIS_DATOS!$C$1561-(0)*CROQUIS_DATOS!$C$1561))/CROQUIS_DATOS!$C$1568-0.000001)),1,MOD($A86-1,2)),1-IF(INT(($A86-1)/2)+1&gt;MAX(1,INT(((((CROQUIS_DATOS!$C$1507+CROQUIS_DATOS!$C$1508))-(CROQUIS_DATOS!$C$1507))+((CROQUIS_DATOS!$C$1476)*CROQUIS_DATOS!$C$1561-(0)*CROQUIS_DATOS!$C$1561))/CROQUIS_DATOS!$C$1568-0.000001)),1,MOD($A86-1,2)))=1,MIN((CROQUIS_DATOS!$C$1476)*CROQUIS_DATOS!$C$1561,((CROQUIS_DATOS!$C$1507+CROQUIS_DATOS!$C$1508)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6">
        <f>IF(AND(CROQUIS_DATOS!$C$1472=1,CROQUIS_DATOS!$C$1512&gt;0,((CROQUIS_DATOS!$C$1511+CROQUIS_DATOS!$C$1512))-(CROQUIS_DATOS!$C$1511)&gt;0.5,(CROQUIS_DATOS!$C$1476)-(0)&gt;0.5),(CROQUIS_DATOS!$C$1566+(IF(IF(MOD(MIN(INT(($A86-1)/2)+1,MAX(1,INT(((((CROQUIS_DATOS!$C$1511+CROQUIS_DATOS!$C$1512))-(CROQUIS_DATOS!$C$1511))+((CROQUIS_DATOS!$C$1476)*CROQUIS_DATOS!$C$1561-(0)*CROQUIS_DATOS!$C$1561))/CROQUIS_DATOS!$C$1568-0.000001))),2)=1,IF(INT(($A86-1)/2)+1&gt;MAX(1,INT(((((CROQUIS_DATOS!$C$1511+CROQUIS_DATOS!$C$1512))-(CROQUIS_DATOS!$C$1511))+((CROQUIS_DATOS!$C$1476)*CROQUIS_DATOS!$C$1561-(0)*CROQUIS_DATOS!$C$1561))/CROQUIS_DATOS!$C$1568-0.000001)),1,MOD($A86-1,2)),1-IF(INT(($A86-1)/2)+1&gt;MAX(1,INT(((((CROQUIS_DATOS!$C$1511+CROQUIS_DATOS!$C$1512))-(CROQUIS_DATOS!$C$1511))+((CROQUIS_DATOS!$C$1476)*CROQUIS_DATOS!$C$1561-(0)*CROQUIS_DATOS!$C$1561))/CROQUIS_DATOS!$C$1568-0.000001)),1,MOD($A86-1,2)))=1,MIN((CROQUIS_DATOS!$C$1476)*CROQUIS_DATOS!$C$1561,((CROQUIS_DATOS!$C$1511+CROQUIS_DATOS!$C$1512)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6">
        <f>IF(AND(CROQUIS_DATOS!$C$1472=1,CROQUIS_DATOS!$C$1512&gt;0,((CROQUIS_DATOS!$C$1511+CROQUIS_DATOS!$C$1512))-(CROQUIS_DATOS!$C$1511)&gt;0.5,(CROQUIS_DATOS!$C$1476)-(0)&gt;0.5),(CROQUIS_DATOS!$C$1567+(IF(IF(MOD(MIN(INT(($A86-1)/2)+1,MAX(1,INT(((((CROQUIS_DATOS!$C$1511+CROQUIS_DATOS!$C$1512))-(CROQUIS_DATOS!$C$1511))+((CROQUIS_DATOS!$C$1476)*CROQUIS_DATOS!$C$1561-(0)*CROQUIS_DATOS!$C$1561))/CROQUIS_DATOS!$C$1568-0.000001))),2)=1,IF(INT(($A86-1)/2)+1&gt;MAX(1,INT(((((CROQUIS_DATOS!$C$1511+CROQUIS_DATOS!$C$1512))-(CROQUIS_DATOS!$C$1511))+((CROQUIS_DATOS!$C$1476)*CROQUIS_DATOS!$C$1561-(0)*CROQUIS_DATOS!$C$1561))/CROQUIS_DATOS!$C$1568-0.000001)),1,MOD($A86-1,2)),1-IF(INT(($A86-1)/2)+1&gt;MAX(1,INT(((((CROQUIS_DATOS!$C$1511+CROQUIS_DATOS!$C$1512))-(CROQUIS_DATOS!$C$1511))+((CROQUIS_DATOS!$C$1476)*CROQUIS_DATOS!$C$1561-(0)*CROQUIS_DATOS!$C$1561))/CROQUIS_DATOS!$C$1568-0.000001)),1,MOD($A86-1,2)))=1,MIN((CROQUIS_DATOS!$C$1476)*CROQUIS_DATOS!$C$1561,((CROQUIS_DATOS!$C$1511+CROQUIS_DATOS!$C$1512)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6">
        <f>IF(AND(CROQUIS_DATOS!$C$1472=1,CROQUIS_DATOS!$C$1516&gt;0,((CROQUIS_DATOS!$C$1515+CROQUIS_DATOS!$C$1516))-(CROQUIS_DATOS!$C$1515)&gt;0.5,(CROQUIS_DATOS!$C$1476)-(0)&gt;0.5),(CROQUIS_DATOS!$C$1566+(IF(IF(MOD(MIN(INT(($A86-1)/2)+1,MAX(1,INT(((((CROQUIS_DATOS!$C$1515+CROQUIS_DATOS!$C$1516))-(CROQUIS_DATOS!$C$1515))+((CROQUIS_DATOS!$C$1476)*CROQUIS_DATOS!$C$1561-(0)*CROQUIS_DATOS!$C$1561))/CROQUIS_DATOS!$C$1568-0.000001))),2)=1,IF(INT(($A86-1)/2)+1&gt;MAX(1,INT(((((CROQUIS_DATOS!$C$1515+CROQUIS_DATOS!$C$1516))-(CROQUIS_DATOS!$C$1515))+((CROQUIS_DATOS!$C$1476)*CROQUIS_DATOS!$C$1561-(0)*CROQUIS_DATOS!$C$1561))/CROQUIS_DATOS!$C$1568-0.000001)),1,MOD($A86-1,2)),1-IF(INT(($A86-1)/2)+1&gt;MAX(1,INT(((((CROQUIS_DATOS!$C$1515+CROQUIS_DATOS!$C$1516))-(CROQUIS_DATOS!$C$1515))+((CROQUIS_DATOS!$C$1476)*CROQUIS_DATOS!$C$1561-(0)*CROQUIS_DATOS!$C$1561))/CROQUIS_DATOS!$C$1568-0.000001)),1,MOD($A86-1,2)))=1,MIN((CROQUIS_DATOS!$C$1476)*CROQUIS_DATOS!$C$1561,((CROQUIS_DATOS!$C$1515+CROQUIS_DATOS!$C$1516)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6">
        <f>IF(AND(CROQUIS_DATOS!$C$1472=1,CROQUIS_DATOS!$C$1516&gt;0,((CROQUIS_DATOS!$C$1515+CROQUIS_DATOS!$C$1516))-(CROQUIS_DATOS!$C$1515)&gt;0.5,(CROQUIS_DATOS!$C$1476)-(0)&gt;0.5),(CROQUIS_DATOS!$C$1567+(IF(IF(MOD(MIN(INT(($A86-1)/2)+1,MAX(1,INT(((((CROQUIS_DATOS!$C$1515+CROQUIS_DATOS!$C$1516))-(CROQUIS_DATOS!$C$1515))+((CROQUIS_DATOS!$C$1476)*CROQUIS_DATOS!$C$1561-(0)*CROQUIS_DATOS!$C$1561))/CROQUIS_DATOS!$C$1568-0.000001))),2)=1,IF(INT(($A86-1)/2)+1&gt;MAX(1,INT(((((CROQUIS_DATOS!$C$1515+CROQUIS_DATOS!$C$1516))-(CROQUIS_DATOS!$C$1515))+((CROQUIS_DATOS!$C$1476)*CROQUIS_DATOS!$C$1561-(0)*CROQUIS_DATOS!$C$1561))/CROQUIS_DATOS!$C$1568-0.000001)),1,MOD($A86-1,2)),1-IF(INT(($A86-1)/2)+1&gt;MAX(1,INT(((((CROQUIS_DATOS!$C$1515+CROQUIS_DATOS!$C$1516))-(CROQUIS_DATOS!$C$1515))+((CROQUIS_DATOS!$C$1476)*CROQUIS_DATOS!$C$1561-(0)*CROQUIS_DATOS!$C$1561))/CROQUIS_DATOS!$C$1568-0.000001)),1,MOD($A86-1,2)))=1,MIN((CROQUIS_DATOS!$C$1476)*CROQUIS_DATOS!$C$1561,((CROQUIS_DATOS!$C$1515+CROQUIS_DATOS!$C$1516)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6">
        <f>IF(AND(CROQUIS_DATOS!$C$1472=1,CROQUIS_DATOS!$C$1478&gt;=1,((CROQUIS_DATOS!$C$1479+CROQUIS_DATOS!$C$1480))-(CROQUIS_DATOS!$C$1479)&gt;0.5,(CROQUIS_DATOS!$C$1481)-(0)&gt;0.5),(CROQUIS_DATOS!$C$1566+(IF(IF(MOD(MIN(INT(($A86-1)/2)+1,MAX(1,INT(((((CROQUIS_DATOS!$C$1479+CROQUIS_DATOS!$C$1480))-(CROQUIS_DATOS!$C$1479))+((CROQUIS_DATOS!$C$1481)*CROQUIS_DATOS!$C$1561-(0)*CROQUIS_DATOS!$C$1561))/CROQUIS_DATOS!$C$1568-0.000001))),2)=1,IF(INT(($A86-1)/2)+1&gt;MAX(1,INT(((((CROQUIS_DATOS!$C$1479+CROQUIS_DATOS!$C$1480))-(CROQUIS_DATOS!$C$1479))+((CROQUIS_DATOS!$C$1481)*CROQUIS_DATOS!$C$1561-(0)*CROQUIS_DATOS!$C$1561))/CROQUIS_DATOS!$C$1568-0.000001)),1,MOD($A86-1,2)),1-IF(INT(($A86-1)/2)+1&gt;MAX(1,INT(((((CROQUIS_DATOS!$C$1479+CROQUIS_DATOS!$C$1480))-(CROQUIS_DATOS!$C$1479))+((CROQUIS_DATOS!$C$1481)*CROQUIS_DATOS!$C$1561-(0)*CROQUIS_DATOS!$C$1561))/CROQUIS_DATOS!$C$1568-0.000001)),1,MOD($A86-1,2)))=1,MIN((CROQUIS_DATOS!$C$1481)*CROQUIS_DATOS!$C$1561,((CROQUIS_DATOS!$C$1479+CROQUIS_DATOS!$C$1480)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6">
        <f>IF(AND(CROQUIS_DATOS!$C$1472=1,CROQUIS_DATOS!$C$1478&gt;=1,((CROQUIS_DATOS!$C$1479+CROQUIS_DATOS!$C$1480))-(CROQUIS_DATOS!$C$1479)&gt;0.5,(CROQUIS_DATOS!$C$1481)-(0)&gt;0.5),(CROQUIS_DATOS!$C$1567+(IF(IF(MOD(MIN(INT(($A86-1)/2)+1,MAX(1,INT(((((CROQUIS_DATOS!$C$1479+CROQUIS_DATOS!$C$1480))-(CROQUIS_DATOS!$C$1479))+((CROQUIS_DATOS!$C$1481)*CROQUIS_DATOS!$C$1561-(0)*CROQUIS_DATOS!$C$1561))/CROQUIS_DATOS!$C$1568-0.000001))),2)=1,IF(INT(($A86-1)/2)+1&gt;MAX(1,INT(((((CROQUIS_DATOS!$C$1479+CROQUIS_DATOS!$C$1480))-(CROQUIS_DATOS!$C$1479))+((CROQUIS_DATOS!$C$1481)*CROQUIS_DATOS!$C$1561-(0)*CROQUIS_DATOS!$C$1561))/CROQUIS_DATOS!$C$1568-0.000001)),1,MOD($A86-1,2)),1-IF(INT(($A86-1)/2)+1&gt;MAX(1,INT(((((CROQUIS_DATOS!$C$1479+CROQUIS_DATOS!$C$1480))-(CROQUIS_DATOS!$C$1479))+((CROQUIS_DATOS!$C$1481)*CROQUIS_DATOS!$C$1561-(0)*CROQUIS_DATOS!$C$1561))/CROQUIS_DATOS!$C$1568-0.000001)),1,MOD($A86-1,2)))=1,MIN((CROQUIS_DATOS!$C$1481)*CROQUIS_DATOS!$C$1561,((CROQUIS_DATOS!$C$1479+CROQUIS_DATOS!$C$1480)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6">
        <f>IF(AND(CROQUIS_DATOS!$C$1472=1,CROQUIS_DATOS!$C$1478&gt;=1,((CROQUIS_DATOS!$C$1479+CROQUIS_DATOS!$C$1480))-(CROQUIS_DATOS!$C$1479)&gt;0.5,(CROQUIS_DATOS!$C$1476)-((CROQUIS_DATOS!$C$1481+CROQUIS_DATOS!$C$1482))&gt;0.5),(CROQUIS_DATOS!$C$1566+(IF(IF(MOD(MIN(INT(($A86-1)/2)+1,MAX(1,INT(((((CROQUIS_DATOS!$C$1479+CROQUIS_DATOS!$C$1480))-(CROQUIS_DATOS!$C$1479))+((CROQUIS_DATOS!$C$1476)*CROQUIS_DATOS!$C$1561-((CROQUIS_DATOS!$C$1481+CROQUIS_DATOS!$C$1482))*CROQUIS_DATOS!$C$1561))/CROQUIS_DATOS!$C$1568-0.000001))),2)=1,IF(INT(($A86-1)/2)+1&gt;MAX(1,INT(((((CROQUIS_DATOS!$C$1479+CROQUIS_DATOS!$C$1480))-(CROQUIS_DATOS!$C$1479))+((CROQUIS_DATOS!$C$1476)*CROQUIS_DATOS!$C$1561-((CROQUIS_DATOS!$C$1481+CROQUIS_DATOS!$C$1482))*CROQUIS_DATOS!$C$1561))/CROQUIS_DATOS!$C$1568-0.000001)),1,MOD($A86-1,2)),1-IF(INT(($A86-1)/2)+1&gt;MAX(1,INT(((((CROQUIS_DATOS!$C$1479+CROQUIS_DATOS!$C$1480))-(CROQUIS_DATOS!$C$1479))+((CROQUIS_DATOS!$C$1476)*CROQUIS_DATOS!$C$1561-((CROQUIS_DATOS!$C$1481+CROQUIS_DATOS!$C$1482))*CROQUIS_DATOS!$C$1561))/CROQUIS_DATOS!$C$1568-0.000001)),1,MOD($A86-1,2)))=1,MIN((CROQUIS_DATOS!$C$1476)*CROQUIS_DATOS!$C$1561,((CROQUIS_DATOS!$C$1479+CROQUIS_DATOS!$C$1480)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6">
        <f>IF(AND(CROQUIS_DATOS!$C$1472=1,CROQUIS_DATOS!$C$1478&gt;=1,((CROQUIS_DATOS!$C$1479+CROQUIS_DATOS!$C$1480))-(CROQUIS_DATOS!$C$1479)&gt;0.5,(CROQUIS_DATOS!$C$1476)-((CROQUIS_DATOS!$C$1481+CROQUIS_DATOS!$C$1482))&gt;0.5),(CROQUIS_DATOS!$C$1567+(IF(IF(MOD(MIN(INT(($A86-1)/2)+1,MAX(1,INT(((((CROQUIS_DATOS!$C$1479+CROQUIS_DATOS!$C$1480))-(CROQUIS_DATOS!$C$1479))+((CROQUIS_DATOS!$C$1476)*CROQUIS_DATOS!$C$1561-((CROQUIS_DATOS!$C$1481+CROQUIS_DATOS!$C$1482))*CROQUIS_DATOS!$C$1561))/CROQUIS_DATOS!$C$1568-0.000001))),2)=1,IF(INT(($A86-1)/2)+1&gt;MAX(1,INT(((((CROQUIS_DATOS!$C$1479+CROQUIS_DATOS!$C$1480))-(CROQUIS_DATOS!$C$1479))+((CROQUIS_DATOS!$C$1476)*CROQUIS_DATOS!$C$1561-((CROQUIS_DATOS!$C$1481+CROQUIS_DATOS!$C$1482))*CROQUIS_DATOS!$C$1561))/CROQUIS_DATOS!$C$1568-0.000001)),1,MOD($A86-1,2)),1-IF(INT(($A86-1)/2)+1&gt;MAX(1,INT(((((CROQUIS_DATOS!$C$1479+CROQUIS_DATOS!$C$1480))-(CROQUIS_DATOS!$C$1479))+((CROQUIS_DATOS!$C$1476)*CROQUIS_DATOS!$C$1561-((CROQUIS_DATOS!$C$1481+CROQUIS_DATOS!$C$1482))*CROQUIS_DATOS!$C$1561))/CROQUIS_DATOS!$C$1568-0.000001)),1,MOD($A86-1,2)))=1,MIN((CROQUIS_DATOS!$C$1476)*CROQUIS_DATOS!$C$1561,((CROQUIS_DATOS!$C$1479+CROQUIS_DATOS!$C$1480)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6">
        <f>IF(AND(CROQUIS_DATOS!$C$1472=1,CROQUIS_DATOS!$C$1478&gt;=2,((CROQUIS_DATOS!$C$1484+CROQUIS_DATOS!$C$1485))-(CROQUIS_DATOS!$C$1484)&gt;0.5,(CROQUIS_DATOS!$C$1486)-(0)&gt;0.5),(CROQUIS_DATOS!$C$1566+(IF(IF(MOD(MIN(INT(($A86-1)/2)+1,MAX(1,INT(((((CROQUIS_DATOS!$C$1484+CROQUIS_DATOS!$C$1485))-(CROQUIS_DATOS!$C$1484))+((CROQUIS_DATOS!$C$1486)*CROQUIS_DATOS!$C$1561-(0)*CROQUIS_DATOS!$C$1561))/CROQUIS_DATOS!$C$1568-0.000001))),2)=1,IF(INT(($A86-1)/2)+1&gt;MAX(1,INT(((((CROQUIS_DATOS!$C$1484+CROQUIS_DATOS!$C$1485))-(CROQUIS_DATOS!$C$1484))+((CROQUIS_DATOS!$C$1486)*CROQUIS_DATOS!$C$1561-(0)*CROQUIS_DATOS!$C$1561))/CROQUIS_DATOS!$C$1568-0.000001)),1,MOD($A86-1,2)),1-IF(INT(($A86-1)/2)+1&gt;MAX(1,INT(((((CROQUIS_DATOS!$C$1484+CROQUIS_DATOS!$C$1485))-(CROQUIS_DATOS!$C$1484))+((CROQUIS_DATOS!$C$1486)*CROQUIS_DATOS!$C$1561-(0)*CROQUIS_DATOS!$C$1561))/CROQUIS_DATOS!$C$1568-0.000001)),1,MOD($A86-1,2)))=1,MIN((CROQUIS_DATOS!$C$1486)*CROQUIS_DATOS!$C$1561,((CROQUIS_DATOS!$C$1484+CROQUIS_DATOS!$C$1485)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6">
        <f>IF(AND(CROQUIS_DATOS!$C$1472=1,CROQUIS_DATOS!$C$1478&gt;=2,((CROQUIS_DATOS!$C$1484+CROQUIS_DATOS!$C$1485))-(CROQUIS_DATOS!$C$1484)&gt;0.5,(CROQUIS_DATOS!$C$1486)-(0)&gt;0.5),(CROQUIS_DATOS!$C$1567+(IF(IF(MOD(MIN(INT(($A86-1)/2)+1,MAX(1,INT(((((CROQUIS_DATOS!$C$1484+CROQUIS_DATOS!$C$1485))-(CROQUIS_DATOS!$C$1484))+((CROQUIS_DATOS!$C$1486)*CROQUIS_DATOS!$C$1561-(0)*CROQUIS_DATOS!$C$1561))/CROQUIS_DATOS!$C$1568-0.000001))),2)=1,IF(INT(($A86-1)/2)+1&gt;MAX(1,INT(((((CROQUIS_DATOS!$C$1484+CROQUIS_DATOS!$C$1485))-(CROQUIS_DATOS!$C$1484))+((CROQUIS_DATOS!$C$1486)*CROQUIS_DATOS!$C$1561-(0)*CROQUIS_DATOS!$C$1561))/CROQUIS_DATOS!$C$1568-0.000001)),1,MOD($A86-1,2)),1-IF(INT(($A86-1)/2)+1&gt;MAX(1,INT(((((CROQUIS_DATOS!$C$1484+CROQUIS_DATOS!$C$1485))-(CROQUIS_DATOS!$C$1484))+((CROQUIS_DATOS!$C$1486)*CROQUIS_DATOS!$C$1561-(0)*CROQUIS_DATOS!$C$1561))/CROQUIS_DATOS!$C$1568-0.000001)),1,MOD($A86-1,2)))=1,MIN((CROQUIS_DATOS!$C$1486)*CROQUIS_DATOS!$C$1561,((CROQUIS_DATOS!$C$1484+CROQUIS_DATOS!$C$1485)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6">
        <f>IF(AND(CROQUIS_DATOS!$C$1472=1,CROQUIS_DATOS!$C$1478&gt;=2,((CROQUIS_DATOS!$C$1484+CROQUIS_DATOS!$C$1485))-(CROQUIS_DATOS!$C$1484)&gt;0.5,(CROQUIS_DATOS!$C$1476)-((CROQUIS_DATOS!$C$1486+CROQUIS_DATOS!$C$1487))&gt;0.5),(CROQUIS_DATOS!$C$1566+(IF(IF(MOD(MIN(INT(($A86-1)/2)+1,MAX(1,INT(((((CROQUIS_DATOS!$C$1484+CROQUIS_DATOS!$C$1485))-(CROQUIS_DATOS!$C$1484))+((CROQUIS_DATOS!$C$1476)*CROQUIS_DATOS!$C$1561-((CROQUIS_DATOS!$C$1486+CROQUIS_DATOS!$C$1487))*CROQUIS_DATOS!$C$1561))/CROQUIS_DATOS!$C$1568-0.000001))),2)=1,IF(INT(($A86-1)/2)+1&gt;MAX(1,INT(((((CROQUIS_DATOS!$C$1484+CROQUIS_DATOS!$C$1485))-(CROQUIS_DATOS!$C$1484))+((CROQUIS_DATOS!$C$1476)*CROQUIS_DATOS!$C$1561-((CROQUIS_DATOS!$C$1486+CROQUIS_DATOS!$C$1487))*CROQUIS_DATOS!$C$1561))/CROQUIS_DATOS!$C$1568-0.000001)),1,MOD($A86-1,2)),1-IF(INT(($A86-1)/2)+1&gt;MAX(1,INT(((((CROQUIS_DATOS!$C$1484+CROQUIS_DATOS!$C$1485))-(CROQUIS_DATOS!$C$1484))+((CROQUIS_DATOS!$C$1476)*CROQUIS_DATOS!$C$1561-((CROQUIS_DATOS!$C$1486+CROQUIS_DATOS!$C$1487))*CROQUIS_DATOS!$C$1561))/CROQUIS_DATOS!$C$1568-0.000001)),1,MOD($A86-1,2)))=1,MIN((CROQUIS_DATOS!$C$1476)*CROQUIS_DATOS!$C$1561,((CROQUIS_DATOS!$C$1484+CROQUIS_DATOS!$C$1485)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6">
        <f>IF(AND(CROQUIS_DATOS!$C$1472=1,CROQUIS_DATOS!$C$1478&gt;=2,((CROQUIS_DATOS!$C$1484+CROQUIS_DATOS!$C$1485))-(CROQUIS_DATOS!$C$1484)&gt;0.5,(CROQUIS_DATOS!$C$1476)-((CROQUIS_DATOS!$C$1486+CROQUIS_DATOS!$C$1487))&gt;0.5),(CROQUIS_DATOS!$C$1567+(IF(IF(MOD(MIN(INT(($A86-1)/2)+1,MAX(1,INT(((((CROQUIS_DATOS!$C$1484+CROQUIS_DATOS!$C$1485))-(CROQUIS_DATOS!$C$1484))+((CROQUIS_DATOS!$C$1476)*CROQUIS_DATOS!$C$1561-((CROQUIS_DATOS!$C$1486+CROQUIS_DATOS!$C$1487))*CROQUIS_DATOS!$C$1561))/CROQUIS_DATOS!$C$1568-0.000001))),2)=1,IF(INT(($A86-1)/2)+1&gt;MAX(1,INT(((((CROQUIS_DATOS!$C$1484+CROQUIS_DATOS!$C$1485))-(CROQUIS_DATOS!$C$1484))+((CROQUIS_DATOS!$C$1476)*CROQUIS_DATOS!$C$1561-((CROQUIS_DATOS!$C$1486+CROQUIS_DATOS!$C$1487))*CROQUIS_DATOS!$C$1561))/CROQUIS_DATOS!$C$1568-0.000001)),1,MOD($A86-1,2)),1-IF(INT(($A86-1)/2)+1&gt;MAX(1,INT(((((CROQUIS_DATOS!$C$1484+CROQUIS_DATOS!$C$1485))-(CROQUIS_DATOS!$C$1484))+((CROQUIS_DATOS!$C$1476)*CROQUIS_DATOS!$C$1561-((CROQUIS_DATOS!$C$1486+CROQUIS_DATOS!$C$1487))*CROQUIS_DATOS!$C$1561))/CROQUIS_DATOS!$C$1568-0.000001)),1,MOD($A86-1,2)))=1,MIN((CROQUIS_DATOS!$C$1476)*CROQUIS_DATOS!$C$1561,((CROQUIS_DATOS!$C$1484+CROQUIS_DATOS!$C$1485)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6">
        <f>IF(AND(CROQUIS_DATOS!$C$1472=1,CROQUIS_DATOS!$C$1478&gt;=3,((CROQUIS_DATOS!$C$1489+CROQUIS_DATOS!$C$1490))-(CROQUIS_DATOS!$C$1489)&gt;0.5,(CROQUIS_DATOS!$C$1491)-(0)&gt;0.5),(CROQUIS_DATOS!$C$1566+(IF(IF(MOD(MIN(INT(($A86-1)/2)+1,MAX(1,INT(((((CROQUIS_DATOS!$C$1489+CROQUIS_DATOS!$C$1490))-(CROQUIS_DATOS!$C$1489))+((CROQUIS_DATOS!$C$1491)*CROQUIS_DATOS!$C$1561-(0)*CROQUIS_DATOS!$C$1561))/CROQUIS_DATOS!$C$1568-0.000001))),2)=1,IF(INT(($A86-1)/2)+1&gt;MAX(1,INT(((((CROQUIS_DATOS!$C$1489+CROQUIS_DATOS!$C$1490))-(CROQUIS_DATOS!$C$1489))+((CROQUIS_DATOS!$C$1491)*CROQUIS_DATOS!$C$1561-(0)*CROQUIS_DATOS!$C$1561))/CROQUIS_DATOS!$C$1568-0.000001)),1,MOD($A86-1,2)),1-IF(INT(($A86-1)/2)+1&gt;MAX(1,INT(((((CROQUIS_DATOS!$C$1489+CROQUIS_DATOS!$C$1490))-(CROQUIS_DATOS!$C$1489))+((CROQUIS_DATOS!$C$1491)*CROQUIS_DATOS!$C$1561-(0)*CROQUIS_DATOS!$C$1561))/CROQUIS_DATOS!$C$1568-0.000001)),1,MOD($A86-1,2)))=1,MIN((CROQUIS_DATOS!$C$1491)*CROQUIS_DATOS!$C$1561,((CROQUIS_DATOS!$C$1489+CROQUIS_DATOS!$C$1490)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6">
        <f>IF(AND(CROQUIS_DATOS!$C$1472=1,CROQUIS_DATOS!$C$1478&gt;=3,((CROQUIS_DATOS!$C$1489+CROQUIS_DATOS!$C$1490))-(CROQUIS_DATOS!$C$1489)&gt;0.5,(CROQUIS_DATOS!$C$1491)-(0)&gt;0.5),(CROQUIS_DATOS!$C$1567+(IF(IF(MOD(MIN(INT(($A86-1)/2)+1,MAX(1,INT(((((CROQUIS_DATOS!$C$1489+CROQUIS_DATOS!$C$1490))-(CROQUIS_DATOS!$C$1489))+((CROQUIS_DATOS!$C$1491)*CROQUIS_DATOS!$C$1561-(0)*CROQUIS_DATOS!$C$1561))/CROQUIS_DATOS!$C$1568-0.000001))),2)=1,IF(INT(($A86-1)/2)+1&gt;MAX(1,INT(((((CROQUIS_DATOS!$C$1489+CROQUIS_DATOS!$C$1490))-(CROQUIS_DATOS!$C$1489))+((CROQUIS_DATOS!$C$1491)*CROQUIS_DATOS!$C$1561-(0)*CROQUIS_DATOS!$C$1561))/CROQUIS_DATOS!$C$1568-0.000001)),1,MOD($A86-1,2)),1-IF(INT(($A86-1)/2)+1&gt;MAX(1,INT(((((CROQUIS_DATOS!$C$1489+CROQUIS_DATOS!$C$1490))-(CROQUIS_DATOS!$C$1489))+((CROQUIS_DATOS!$C$1491)*CROQUIS_DATOS!$C$1561-(0)*CROQUIS_DATOS!$C$1561))/CROQUIS_DATOS!$C$1568-0.000001)),1,MOD($A86-1,2)))=1,MIN((CROQUIS_DATOS!$C$1491)*CROQUIS_DATOS!$C$1561,((CROQUIS_DATOS!$C$1489+CROQUIS_DATOS!$C$1490)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6">
        <f>IF(AND(CROQUIS_DATOS!$C$1472=1,CROQUIS_DATOS!$C$1478&gt;=3,((CROQUIS_DATOS!$C$1489+CROQUIS_DATOS!$C$1490))-(CROQUIS_DATOS!$C$1489)&gt;0.5,(CROQUIS_DATOS!$C$1476)-((CROQUIS_DATOS!$C$1491+CROQUIS_DATOS!$C$1492))&gt;0.5),(CROQUIS_DATOS!$C$1566+(IF(IF(MOD(MIN(INT(($A86-1)/2)+1,MAX(1,INT(((((CROQUIS_DATOS!$C$1489+CROQUIS_DATOS!$C$1490))-(CROQUIS_DATOS!$C$1489))+((CROQUIS_DATOS!$C$1476)*CROQUIS_DATOS!$C$1561-((CROQUIS_DATOS!$C$1491+CROQUIS_DATOS!$C$1492))*CROQUIS_DATOS!$C$1561))/CROQUIS_DATOS!$C$1568-0.000001))),2)=1,IF(INT(($A86-1)/2)+1&gt;MAX(1,INT(((((CROQUIS_DATOS!$C$1489+CROQUIS_DATOS!$C$1490))-(CROQUIS_DATOS!$C$1489))+((CROQUIS_DATOS!$C$1476)*CROQUIS_DATOS!$C$1561-((CROQUIS_DATOS!$C$1491+CROQUIS_DATOS!$C$1492))*CROQUIS_DATOS!$C$1561))/CROQUIS_DATOS!$C$1568-0.000001)),1,MOD($A86-1,2)),1-IF(INT(($A86-1)/2)+1&gt;MAX(1,INT(((((CROQUIS_DATOS!$C$1489+CROQUIS_DATOS!$C$1490))-(CROQUIS_DATOS!$C$1489))+((CROQUIS_DATOS!$C$1476)*CROQUIS_DATOS!$C$1561-((CROQUIS_DATOS!$C$1491+CROQUIS_DATOS!$C$1492))*CROQUIS_DATOS!$C$1561))/CROQUIS_DATOS!$C$1568-0.000001)),1,MOD($A86-1,2)))=1,MIN((CROQUIS_DATOS!$C$1476)*CROQUIS_DATOS!$C$1561,((CROQUIS_DATOS!$C$1489+CROQUIS_DATOS!$C$1490)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6">
        <f>IF(AND(CROQUIS_DATOS!$C$1472=1,CROQUIS_DATOS!$C$1478&gt;=3,((CROQUIS_DATOS!$C$1489+CROQUIS_DATOS!$C$1490))-(CROQUIS_DATOS!$C$1489)&gt;0.5,(CROQUIS_DATOS!$C$1476)-((CROQUIS_DATOS!$C$1491+CROQUIS_DATOS!$C$1492))&gt;0.5),(CROQUIS_DATOS!$C$1567+(IF(IF(MOD(MIN(INT(($A86-1)/2)+1,MAX(1,INT(((((CROQUIS_DATOS!$C$1489+CROQUIS_DATOS!$C$1490))-(CROQUIS_DATOS!$C$1489))+((CROQUIS_DATOS!$C$1476)*CROQUIS_DATOS!$C$1561-((CROQUIS_DATOS!$C$1491+CROQUIS_DATOS!$C$1492))*CROQUIS_DATOS!$C$1561))/CROQUIS_DATOS!$C$1568-0.000001))),2)=1,IF(INT(($A86-1)/2)+1&gt;MAX(1,INT(((((CROQUIS_DATOS!$C$1489+CROQUIS_DATOS!$C$1490))-(CROQUIS_DATOS!$C$1489))+((CROQUIS_DATOS!$C$1476)*CROQUIS_DATOS!$C$1561-((CROQUIS_DATOS!$C$1491+CROQUIS_DATOS!$C$1492))*CROQUIS_DATOS!$C$1561))/CROQUIS_DATOS!$C$1568-0.000001)),1,MOD($A86-1,2)),1-IF(INT(($A86-1)/2)+1&gt;MAX(1,INT(((((CROQUIS_DATOS!$C$1489+CROQUIS_DATOS!$C$1490))-(CROQUIS_DATOS!$C$1489))+((CROQUIS_DATOS!$C$1476)*CROQUIS_DATOS!$C$1561-((CROQUIS_DATOS!$C$1491+CROQUIS_DATOS!$C$1492))*CROQUIS_DATOS!$C$1561))/CROQUIS_DATOS!$C$1568-0.000001)),1,MOD($A86-1,2)))=1,MIN((CROQUIS_DATOS!$C$1476)*CROQUIS_DATOS!$C$1561,((CROQUIS_DATOS!$C$1489+CROQUIS_DATOS!$C$1490)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6">
        <f>IF(AND(CROQUIS_DATOS!$C$1472=1,CROQUIS_DATOS!$C$1478&gt;=4,((CROQUIS_DATOS!$C$1494+CROQUIS_DATOS!$C$1495))-(CROQUIS_DATOS!$C$1494)&gt;0.5,(CROQUIS_DATOS!$C$1496)-(0)&gt;0.5),(CROQUIS_DATOS!$C$1566+(IF(IF(MOD(MIN(INT(($A86-1)/2)+1,MAX(1,INT(((((CROQUIS_DATOS!$C$1494+CROQUIS_DATOS!$C$1495))-(CROQUIS_DATOS!$C$1494))+((CROQUIS_DATOS!$C$1496)*CROQUIS_DATOS!$C$1561-(0)*CROQUIS_DATOS!$C$1561))/CROQUIS_DATOS!$C$1568-0.000001))),2)=1,IF(INT(($A86-1)/2)+1&gt;MAX(1,INT(((((CROQUIS_DATOS!$C$1494+CROQUIS_DATOS!$C$1495))-(CROQUIS_DATOS!$C$1494))+((CROQUIS_DATOS!$C$1496)*CROQUIS_DATOS!$C$1561-(0)*CROQUIS_DATOS!$C$1561))/CROQUIS_DATOS!$C$1568-0.000001)),1,MOD($A86-1,2)),1-IF(INT(($A86-1)/2)+1&gt;MAX(1,INT(((((CROQUIS_DATOS!$C$1494+CROQUIS_DATOS!$C$1495))-(CROQUIS_DATOS!$C$1494))+((CROQUIS_DATOS!$C$1496)*CROQUIS_DATOS!$C$1561-(0)*CROQUIS_DATOS!$C$1561))/CROQUIS_DATOS!$C$1568-0.000001)),1,MOD($A86-1,2)))=1,MIN((CROQUIS_DATOS!$C$1496)*CROQUIS_DATOS!$C$1561,((CROQUIS_DATOS!$C$1494+CROQUIS_DATOS!$C$1495)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6">
        <f>IF(AND(CROQUIS_DATOS!$C$1472=1,CROQUIS_DATOS!$C$1478&gt;=4,((CROQUIS_DATOS!$C$1494+CROQUIS_DATOS!$C$1495))-(CROQUIS_DATOS!$C$1494)&gt;0.5,(CROQUIS_DATOS!$C$1496)-(0)&gt;0.5),(CROQUIS_DATOS!$C$1567+(IF(IF(MOD(MIN(INT(($A86-1)/2)+1,MAX(1,INT(((((CROQUIS_DATOS!$C$1494+CROQUIS_DATOS!$C$1495))-(CROQUIS_DATOS!$C$1494))+((CROQUIS_DATOS!$C$1496)*CROQUIS_DATOS!$C$1561-(0)*CROQUIS_DATOS!$C$1561))/CROQUIS_DATOS!$C$1568-0.000001))),2)=1,IF(INT(($A86-1)/2)+1&gt;MAX(1,INT(((((CROQUIS_DATOS!$C$1494+CROQUIS_DATOS!$C$1495))-(CROQUIS_DATOS!$C$1494))+((CROQUIS_DATOS!$C$1496)*CROQUIS_DATOS!$C$1561-(0)*CROQUIS_DATOS!$C$1561))/CROQUIS_DATOS!$C$1568-0.000001)),1,MOD($A86-1,2)),1-IF(INT(($A86-1)/2)+1&gt;MAX(1,INT(((((CROQUIS_DATOS!$C$1494+CROQUIS_DATOS!$C$1495))-(CROQUIS_DATOS!$C$1494))+((CROQUIS_DATOS!$C$1496)*CROQUIS_DATOS!$C$1561-(0)*CROQUIS_DATOS!$C$1561))/CROQUIS_DATOS!$C$1568-0.000001)),1,MOD($A86-1,2)))=1,MIN((CROQUIS_DATOS!$C$1496)*CROQUIS_DATOS!$C$1561,((CROQUIS_DATOS!$C$1494+CROQUIS_DATOS!$C$1495)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6">
        <f>IF(AND(CROQUIS_DATOS!$C$1472=1,CROQUIS_DATOS!$C$1478&gt;=4,((CROQUIS_DATOS!$C$1494+CROQUIS_DATOS!$C$1495))-(CROQUIS_DATOS!$C$1494)&gt;0.5,(CROQUIS_DATOS!$C$1476)-((CROQUIS_DATOS!$C$1496+CROQUIS_DATOS!$C$1497))&gt;0.5),(CROQUIS_DATOS!$C$1566+(IF(IF(MOD(MIN(INT(($A86-1)/2)+1,MAX(1,INT(((((CROQUIS_DATOS!$C$1494+CROQUIS_DATOS!$C$1495))-(CROQUIS_DATOS!$C$1494))+((CROQUIS_DATOS!$C$1476)*CROQUIS_DATOS!$C$1561-((CROQUIS_DATOS!$C$1496+CROQUIS_DATOS!$C$1497))*CROQUIS_DATOS!$C$1561))/CROQUIS_DATOS!$C$1568-0.000001))),2)=1,IF(INT(($A86-1)/2)+1&gt;MAX(1,INT(((((CROQUIS_DATOS!$C$1494+CROQUIS_DATOS!$C$1495))-(CROQUIS_DATOS!$C$1494))+((CROQUIS_DATOS!$C$1476)*CROQUIS_DATOS!$C$1561-((CROQUIS_DATOS!$C$1496+CROQUIS_DATOS!$C$1497))*CROQUIS_DATOS!$C$1561))/CROQUIS_DATOS!$C$1568-0.000001)),1,MOD($A86-1,2)),1-IF(INT(($A86-1)/2)+1&gt;MAX(1,INT(((((CROQUIS_DATOS!$C$1494+CROQUIS_DATOS!$C$1495))-(CROQUIS_DATOS!$C$1494))+((CROQUIS_DATOS!$C$1476)*CROQUIS_DATOS!$C$1561-((CROQUIS_DATOS!$C$1496+CROQUIS_DATOS!$C$1497))*CROQUIS_DATOS!$C$1561))/CROQUIS_DATOS!$C$1568-0.000001)),1,MOD($A86-1,2)))=1,MIN((CROQUIS_DATOS!$C$1476)*CROQUIS_DATOS!$C$1561,((CROQUIS_DATOS!$C$1494+CROQUIS_DATOS!$C$1495)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6">
        <f>IF(AND(CROQUIS_DATOS!$C$1472=1,CROQUIS_DATOS!$C$1478&gt;=4,((CROQUIS_DATOS!$C$1494+CROQUIS_DATOS!$C$1495))-(CROQUIS_DATOS!$C$1494)&gt;0.5,(CROQUIS_DATOS!$C$1476)-((CROQUIS_DATOS!$C$1496+CROQUIS_DATOS!$C$1497))&gt;0.5),(CROQUIS_DATOS!$C$1567+(IF(IF(MOD(MIN(INT(($A86-1)/2)+1,MAX(1,INT(((((CROQUIS_DATOS!$C$1494+CROQUIS_DATOS!$C$1495))-(CROQUIS_DATOS!$C$1494))+((CROQUIS_DATOS!$C$1476)*CROQUIS_DATOS!$C$1561-((CROQUIS_DATOS!$C$1496+CROQUIS_DATOS!$C$1497))*CROQUIS_DATOS!$C$1561))/CROQUIS_DATOS!$C$1568-0.000001))),2)=1,IF(INT(($A86-1)/2)+1&gt;MAX(1,INT(((((CROQUIS_DATOS!$C$1494+CROQUIS_DATOS!$C$1495))-(CROQUIS_DATOS!$C$1494))+((CROQUIS_DATOS!$C$1476)*CROQUIS_DATOS!$C$1561-((CROQUIS_DATOS!$C$1496+CROQUIS_DATOS!$C$1497))*CROQUIS_DATOS!$C$1561))/CROQUIS_DATOS!$C$1568-0.000001)),1,MOD($A86-1,2)),1-IF(INT(($A86-1)/2)+1&gt;MAX(1,INT(((((CROQUIS_DATOS!$C$1494+CROQUIS_DATOS!$C$1495))-(CROQUIS_DATOS!$C$1494))+((CROQUIS_DATOS!$C$1476)*CROQUIS_DATOS!$C$1561-((CROQUIS_DATOS!$C$1496+CROQUIS_DATOS!$C$1497))*CROQUIS_DATOS!$C$1561))/CROQUIS_DATOS!$C$1568-0.000001)),1,MOD($A86-1,2)))=1,MIN((CROQUIS_DATOS!$C$1476)*CROQUIS_DATOS!$C$1561,((CROQUIS_DATOS!$C$1494+CROQUIS_DATOS!$C$1495)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6">
        <f>IF(AND(CROQUIS_DATOS!$C$1472=1,1),(CROQUIS_DATOS!$C$1571+(CHOOSE(MIN(MAX(IF(INT(($A86-1)/5)+1&gt;CROQUIS_DATOS!$C$1525,5,MOD($A86-1,5)+1),1),5),(INDEX($E$8:$E$23,MIN(INT(($A86-1)/5)+1,CROQUIS_DATOS!$C$1525))-INDEX($F$8:$F$23,MIN(INT(($A86-1)/5)+1,CROQUIS_DATOS!$C$1525))/2),(INDEX($E$8:$E$23,MIN(INT(($A86-1)/5)+1,CROQUIS_DATOS!$C$1525))+INDEX($F$8:$F$23,MIN(INT(($A86-1)/5)+1,CROQUIS_DATOS!$C$1525))/2),(INDEX($E$8:$E$23,MIN(INT(($A86-1)/5)+1,CROQUIS_DATOS!$C$1525))+INDEX($F$8:$F$23,MIN(INT(($A86-1)/5)+1,CROQUIS_DATOS!$C$1525))/2),(INDEX($E$8:$E$23,MIN(INT(($A86-1)/5)+1,CROQUIS_DATOS!$C$1525))-INDEX($F$8:$F$23,MIN(INT(($A86-1)/5)+1,CROQUIS_DATOS!$C$1525))/2),(INDEX($E$8:$E$23,MIN(INT(($A86-1)/5)+1,CROQUIS_DATOS!$C$1525))-INDEX($F$8:$F$23,MIN(INT(($A86-1)/5)+1,CROQUIS_DATOS!$C$1525))/2)))*CROQUIS_DATOS!$C$1569),-1000)</f>
        <v>95.24</v>
      </c>
      <c r="GE86">
        <f>IF(AND(CROQUIS_DATOS!$C$1472=1,1),(CROQUIS_DATOS!$C$1572+(CHOOSE(MIN(MAX(IF(INT(($A86-1)/5)+1&gt;CROQUIS_DATOS!$C$1525,5,MOD($A86-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7">
      <c r="A87" t="n">
        <v>80</v>
      </c>
      <c r="N87">
        <f>IF(AND(CROQUIS_DATOS!$C$1472=1,1),(CROQUIS_DATOS!$C$1563+(IF(IF(IF(INT(($A87-1)/70)+1&gt;CROQUIS_DATOS!$C$1525,70,MOD($A87-1,70)+1)=1,0,IF(IF(INT(($A87-1)/70)+1&gt;CROQUIS_DATOS!$C$1525,70,MOD($A87-1,70)+1)&gt;2*CROQUIS_DATOS!$C$1541+1,IF(MOD(CROQUIS_DATOS!$C$1541,2)=1,1,0),IF(MOD(MIN(INT((IF(INT(($A87-1)/70)+1&gt;CROQUIS_DATOS!$C$1525,70,MOD($A87-1,70)+1)-2)/2)+1,CROQUIS_DATOS!$C$1541),2)=1,IF(MOD(IF(INT(($A87-1)/70)+1&gt;CROQUIS_DATOS!$C$1525,70,MOD($A87-1,70)+1)-2,2)=0,0,1),IF(MOD(IF(INT(($A87-1)/70)+1&gt;CROQUIS_DATOS!$C$1525,70,MOD($A87-1,70)+1)-2,2)=0,1,0))))=0,(INDEX($E$8:$E$23,MIN(INT(($A87-1)/70)+1,CROQUIS_DATOS!$C$1525))-INDEX($F$8:$F$23,MIN(INT(($A87-1)/70)+1,CROQUIS_DATOS!$C$1525))/2),(INDEX($E$8:$E$23,MIN(INT(($A87-1)/70)+1,CROQUIS_DATOS!$C$1525))+INDEX($F$8:$F$23,MIN(INT(($A87-1)/70)+1,CROQUIS_DATOS!$C$1525))/2)))*CROQUIS_DATOS!$C$1562),-1000)</f>
        <v>18.5775862068965</v>
      </c>
      <c r="O87">
        <f>IF(AND(CROQUIS_DATOS!$C$1472=1,1),(CROQUIS_DATOS!$C$1564+(IF(OR(IF(INT(($A87-1)/70)+1&gt;CROQUIS_DATOS!$C$1525,70,MOD($A87-1,70)+1)=1,IF(INT(($A87-1)/70)+1&gt;CROQUIS_DATOS!$C$1525,70,MOD($A87-1,70)+1)&gt;2*CROQUIS_DATOS!$C$1541+1),CROQUIS_DATOS!$C$1476,INDEX($H$8:$H$41,MIN(INT((IF(INT(($A87-1)/70)+1&gt;CROQUIS_DATOS!$C$1525,70,MOD($A87-1,70)+1)-2)/2)+1,CROQUIS_DATOS!$C$1541))))*CROQUIS_DATOS!$C$1561*CROQUIS_DATOS!$C$1562),-1000)</f>
        <v>10.5301724137931</v>
      </c>
      <c r="P87">
        <f>IF(AND(CROQUIS_DATOS!$C$1472=1,CROQUIS_DATOS!$C$1555=1),(CROQUIS_DATOS!$C$1563+(IF(IF(OR(MOD($A87-1,62)+1=1,IF(CHOOSE(MIN(MAX(MIN(INT(($A87-1)/62)+1,5),1),5),CROQUIS_DATOS!$C$1501,CROQUIS_DATOS!$C$1505,CROQUIS_DATOS!$C$1509,CROQUIS_DATOS!$C$1513,CROQUIS_DATOS!$C$1517)=1,CROQUIS_DATOS!$C$1557,0)=0),0,IF(MOD($A87-1,62)+1&gt;2*IF(CHOOSE(MIN(MAX(MIN(INT(($A87-1)/62)+1,5),1),5),CROQUIS_DATOS!$C$1501,CROQUIS_DATOS!$C$1505,CROQUIS_DATOS!$C$1509,CROQUIS_DATOS!$C$1513,CROQUIS_DATOS!$C$1517)=1,CROQUIS_DATOS!$C$1557,0)+1,IF(MOD(IF(CHOOSE(MIN(MAX(MIN(INT(($A87-1)/62)+1,5),1),5),CROQUIS_DATOS!$C$1501,CROQUIS_DATOS!$C$1505,CROQUIS_DATOS!$C$1509,CROQUIS_DATOS!$C$1513,CROQUIS_DATOS!$C$1517)=1,CROQUIS_DATOS!$C$1557,0),2)=1,1,0),IF(MOD(MIN(INT((MOD($A87-1,62)+1-2)/2)+1,MAX(IF(CHOOSE(MIN(MAX(MIN(INT(($A87-1)/62)+1,5),1),5),CROQUIS_DATOS!$C$1501,CROQUIS_DATOS!$C$1505,CROQUIS_DATOS!$C$1509,CROQUIS_DATOS!$C$1513,CROQUIS_DATOS!$C$1517)=1,CROQUIS_DATOS!$C$1557,0),1)),2)=1,IF(MOD(MOD($A87-1,62)+1-2,2)=0,0,1),IF(MOD(MOD($A87-1,62)+1-2,2)=0,1,0))))=0,(CHOOSE(MIN(MAX(MIN(INT(($A87-1)/62)+1,5),1),5),CROQUIS_DATOS!$C$1499,CROQUIS_DATOS!$C$1503,CROQUIS_DATOS!$C$1507,CROQUIS_DATOS!$C$1511,CROQUIS_DATOS!$C$1515)+IF(CHOOSE(MIN(MAX(MIN(INT(($A87-1)/62)+1,5),1),5),CROQUIS_DATOS!$C$1501,CROQUIS_DATOS!$C$1505,CROQUIS_DATOS!$C$1509,CROQUIS_DATOS!$C$1513,CROQUIS_DATOS!$C$1517)=1,CROQUIS_DATOS!$C$1526,0)),(CHOOSE(MIN(MAX(MIN(INT(($A87-1)/62)+1,5),1),5),CROQUIS_DATOS!$C$1499,CROQUIS_DATOS!$C$1503,CROQUIS_DATOS!$C$1507,CROQUIS_DATOS!$C$1511,CROQUIS_DATOS!$C$1515)+CHOOSE(MIN(MAX(MIN(INT(($A87-1)/62)+1,5),1),5),CROQUIS_DATOS!$C$1500,CROQUIS_DATOS!$C$1504,CROQUIS_DATOS!$C$1508,CROQUIS_DATOS!$C$1512,CROQUIS_DATOS!$C$1516)-IF(CHOOSE(MIN(MAX(MIN(INT(($A87-1)/62)+1,5),1),5),CROQUIS_DATOS!$C$1501,CROQUIS_DATOS!$C$1505,CROQUIS_DATOS!$C$1509,CROQUIS_DATOS!$C$1513,CROQUIS_DATOS!$C$1517)=1,CROQUIS_DATOS!$C$1526,0))))*CROQUIS_DATOS!$C$1562),-1000)</f>
        <v>-1000</v>
      </c>
      <c r="Q87">
        <f>IF(AND(CROQUIS_DATOS!$C$1472=1,CROQUIS_DATOS!$C$1555=1),(CROQUIS_DATOS!$C$1564+(IF(OR(OR(MOD($A87-1,62)+1=1,IF(CHOOSE(MIN(MAX(MIN(INT(($A87-1)/62)+1,5),1),5),CROQUIS_DATOS!$C$1501,CROQUIS_DATOS!$C$1505,CROQUIS_DATOS!$C$1509,CROQUIS_DATOS!$C$1513,CROQUIS_DATOS!$C$1517)=1,CROQUIS_DATOS!$C$1557,0)=0),MOD($A87-1,62)+1&gt;2*IF(CHOOSE(MIN(MAX(MIN(INT(($A87-1)/62)+1,5),1),5),CROQUIS_DATOS!$C$1501,CROQUIS_DATOS!$C$1505,CROQUIS_DATOS!$C$1509,CROQUIS_DATOS!$C$1513,CROQUIS_DATOS!$C$1517)=1,CROQUIS_DATOS!$C$1557,0)+1),CROQUIS_DATOS!$C$1476,MIN(INT((MOD($A87-1,62)+1-2)/2)+1,MAX(IF(CHOOSE(MIN(MAX(MIN(INT(($A87-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7">
        <f>IF(AND(CROQUIS_DATOS!$C$1472=1,1),(CROQUIS_DATOS!$C$1563+(MIN(INT(($A87-1)/2)+1,CROQUIS_DATOS!$C$1558)*CROQUIS_DATOS!$C$1559)*CROQUIS_DATOS!$C$1562),-1000)</f>
        <v>82.2281167108753</v>
      </c>
      <c r="U87">
        <f>IF(AND(CROQUIS_DATOS!$C$1472=1,1),(CROQUIS_DATOS!$C$1564+(IF(INT(($A87-1)/2)+1&gt;CROQUIS_DATOS!$C$1558,IF(MOD(CROQUIS_DATOS!$C$1558,2)=1,CROQUIS_DATOS!$C$1476+CROQUIS_DATOS!$C$1528,CROQUIS_DATOS!$C$1476),IF(IF(MOD(MIN(INT(($A87-1)/2)+1,CROQUIS_DATOS!$C$1558),2)=1,MOD($A87-1,2),1-MOD($A87-1,2))=1,CROQUIS_DATOS!$C$1476+CROQUIS_DATOS!$C$1528,CROQUIS_DATOS!$C$1476)))*CROQUIS_DATOS!$C$1561*CROQUIS_DATOS!$C$1562),-1000)</f>
        <v>43</v>
      </c>
      <c r="BZ87">
        <f>IF(AND(CROQUIS_DATOS!$C$1472=1,CROQUIS_DATOS!$C$1500&gt;0,((CROQUIS_DATOS!$C$1499+CROQUIS_DATOS!$C$1500))-(CROQUIS_DATOS!$C$1499)&gt;0.5,(CROQUIS_DATOS!$C$1476)-(0)&gt;0.5),(CROQUIS_DATOS!$C$1566+(IF(IF(MOD(MIN(INT(($A87-1)/2)+1,MAX(1,INT(((((CROQUIS_DATOS!$C$1499+CROQUIS_DATOS!$C$1500))-(CROQUIS_DATOS!$C$1499))+((CROQUIS_DATOS!$C$1476)*CROQUIS_DATOS!$C$1561-(0)*CROQUIS_DATOS!$C$1561))/CROQUIS_DATOS!$C$1568-0.000001))),2)=1,IF(INT(($A87-1)/2)+1&gt;MAX(1,INT(((((CROQUIS_DATOS!$C$1499+CROQUIS_DATOS!$C$1500))-(CROQUIS_DATOS!$C$1499))+((CROQUIS_DATOS!$C$1476)*CROQUIS_DATOS!$C$1561-(0)*CROQUIS_DATOS!$C$1561))/CROQUIS_DATOS!$C$1568-0.000001)),1,MOD($A87-1,2)),1-IF(INT(($A87-1)/2)+1&gt;MAX(1,INT(((((CROQUIS_DATOS!$C$1499+CROQUIS_DATOS!$C$1500))-(CROQUIS_DATOS!$C$1499))+((CROQUIS_DATOS!$C$1476)*CROQUIS_DATOS!$C$1561-(0)*CROQUIS_DATOS!$C$1561))/CROQUIS_DATOS!$C$1568-0.000001)),1,MOD($A87-1,2)))=1,MIN((CROQUIS_DATOS!$C$1476)*CROQUIS_DATOS!$C$1561,((CROQUIS_DATOS!$C$1499+CROQUIS_DATOS!$C$1500)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7">
        <f>IF(AND(CROQUIS_DATOS!$C$1472=1,CROQUIS_DATOS!$C$1500&gt;0,((CROQUIS_DATOS!$C$1499+CROQUIS_DATOS!$C$1500))-(CROQUIS_DATOS!$C$1499)&gt;0.5,(CROQUIS_DATOS!$C$1476)-(0)&gt;0.5),(CROQUIS_DATOS!$C$1567+(IF(IF(MOD(MIN(INT(($A87-1)/2)+1,MAX(1,INT(((((CROQUIS_DATOS!$C$1499+CROQUIS_DATOS!$C$1500))-(CROQUIS_DATOS!$C$1499))+((CROQUIS_DATOS!$C$1476)*CROQUIS_DATOS!$C$1561-(0)*CROQUIS_DATOS!$C$1561))/CROQUIS_DATOS!$C$1568-0.000001))),2)=1,IF(INT(($A87-1)/2)+1&gt;MAX(1,INT(((((CROQUIS_DATOS!$C$1499+CROQUIS_DATOS!$C$1500))-(CROQUIS_DATOS!$C$1499))+((CROQUIS_DATOS!$C$1476)*CROQUIS_DATOS!$C$1561-(0)*CROQUIS_DATOS!$C$1561))/CROQUIS_DATOS!$C$1568-0.000001)),1,MOD($A87-1,2)),1-IF(INT(($A87-1)/2)+1&gt;MAX(1,INT(((((CROQUIS_DATOS!$C$1499+CROQUIS_DATOS!$C$1500))-(CROQUIS_DATOS!$C$1499))+((CROQUIS_DATOS!$C$1476)*CROQUIS_DATOS!$C$1561-(0)*CROQUIS_DATOS!$C$1561))/CROQUIS_DATOS!$C$1568-0.000001)),1,MOD($A87-1,2)))=1,MIN((CROQUIS_DATOS!$C$1476)*CROQUIS_DATOS!$C$1561,((CROQUIS_DATOS!$C$1499+CROQUIS_DATOS!$C$1500)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7">
        <f>IF(AND(CROQUIS_DATOS!$C$1472=1,CROQUIS_DATOS!$C$1504&gt;0,((CROQUIS_DATOS!$C$1503+CROQUIS_DATOS!$C$1504))-(CROQUIS_DATOS!$C$1503)&gt;0.5,(CROQUIS_DATOS!$C$1476)-(0)&gt;0.5),(CROQUIS_DATOS!$C$1566+(IF(IF(MOD(MIN(INT(($A87-1)/2)+1,MAX(1,INT(((((CROQUIS_DATOS!$C$1503+CROQUIS_DATOS!$C$1504))-(CROQUIS_DATOS!$C$1503))+((CROQUIS_DATOS!$C$1476)*CROQUIS_DATOS!$C$1561-(0)*CROQUIS_DATOS!$C$1561))/CROQUIS_DATOS!$C$1568-0.000001))),2)=1,IF(INT(($A87-1)/2)+1&gt;MAX(1,INT(((((CROQUIS_DATOS!$C$1503+CROQUIS_DATOS!$C$1504))-(CROQUIS_DATOS!$C$1503))+((CROQUIS_DATOS!$C$1476)*CROQUIS_DATOS!$C$1561-(0)*CROQUIS_DATOS!$C$1561))/CROQUIS_DATOS!$C$1568-0.000001)),1,MOD($A87-1,2)),1-IF(INT(($A87-1)/2)+1&gt;MAX(1,INT(((((CROQUIS_DATOS!$C$1503+CROQUIS_DATOS!$C$1504))-(CROQUIS_DATOS!$C$1503))+((CROQUIS_DATOS!$C$1476)*CROQUIS_DATOS!$C$1561-(0)*CROQUIS_DATOS!$C$1561))/CROQUIS_DATOS!$C$1568-0.000001)),1,MOD($A87-1,2)))=1,MIN((CROQUIS_DATOS!$C$1476)*CROQUIS_DATOS!$C$1561,((CROQUIS_DATOS!$C$1503+CROQUIS_DATOS!$C$1504)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7">
        <f>IF(AND(CROQUIS_DATOS!$C$1472=1,CROQUIS_DATOS!$C$1504&gt;0,((CROQUIS_DATOS!$C$1503+CROQUIS_DATOS!$C$1504))-(CROQUIS_DATOS!$C$1503)&gt;0.5,(CROQUIS_DATOS!$C$1476)-(0)&gt;0.5),(CROQUIS_DATOS!$C$1567+(IF(IF(MOD(MIN(INT(($A87-1)/2)+1,MAX(1,INT(((((CROQUIS_DATOS!$C$1503+CROQUIS_DATOS!$C$1504))-(CROQUIS_DATOS!$C$1503))+((CROQUIS_DATOS!$C$1476)*CROQUIS_DATOS!$C$1561-(0)*CROQUIS_DATOS!$C$1561))/CROQUIS_DATOS!$C$1568-0.000001))),2)=1,IF(INT(($A87-1)/2)+1&gt;MAX(1,INT(((((CROQUIS_DATOS!$C$1503+CROQUIS_DATOS!$C$1504))-(CROQUIS_DATOS!$C$1503))+((CROQUIS_DATOS!$C$1476)*CROQUIS_DATOS!$C$1561-(0)*CROQUIS_DATOS!$C$1561))/CROQUIS_DATOS!$C$1568-0.000001)),1,MOD($A87-1,2)),1-IF(INT(($A87-1)/2)+1&gt;MAX(1,INT(((((CROQUIS_DATOS!$C$1503+CROQUIS_DATOS!$C$1504))-(CROQUIS_DATOS!$C$1503))+((CROQUIS_DATOS!$C$1476)*CROQUIS_DATOS!$C$1561-(0)*CROQUIS_DATOS!$C$1561))/CROQUIS_DATOS!$C$1568-0.000001)),1,MOD($A87-1,2)))=1,MIN((CROQUIS_DATOS!$C$1476)*CROQUIS_DATOS!$C$1561,((CROQUIS_DATOS!$C$1503+CROQUIS_DATOS!$C$1504)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7">
        <f>IF(AND(CROQUIS_DATOS!$C$1472=1,CROQUIS_DATOS!$C$1508&gt;0,((CROQUIS_DATOS!$C$1507+CROQUIS_DATOS!$C$1508))-(CROQUIS_DATOS!$C$1507)&gt;0.5,(CROQUIS_DATOS!$C$1476)-(0)&gt;0.5),(CROQUIS_DATOS!$C$1566+(IF(IF(MOD(MIN(INT(($A87-1)/2)+1,MAX(1,INT(((((CROQUIS_DATOS!$C$1507+CROQUIS_DATOS!$C$1508))-(CROQUIS_DATOS!$C$1507))+((CROQUIS_DATOS!$C$1476)*CROQUIS_DATOS!$C$1561-(0)*CROQUIS_DATOS!$C$1561))/CROQUIS_DATOS!$C$1568-0.000001))),2)=1,IF(INT(($A87-1)/2)+1&gt;MAX(1,INT(((((CROQUIS_DATOS!$C$1507+CROQUIS_DATOS!$C$1508))-(CROQUIS_DATOS!$C$1507))+((CROQUIS_DATOS!$C$1476)*CROQUIS_DATOS!$C$1561-(0)*CROQUIS_DATOS!$C$1561))/CROQUIS_DATOS!$C$1568-0.000001)),1,MOD($A87-1,2)),1-IF(INT(($A87-1)/2)+1&gt;MAX(1,INT(((((CROQUIS_DATOS!$C$1507+CROQUIS_DATOS!$C$1508))-(CROQUIS_DATOS!$C$1507))+((CROQUIS_DATOS!$C$1476)*CROQUIS_DATOS!$C$1561-(0)*CROQUIS_DATOS!$C$1561))/CROQUIS_DATOS!$C$1568-0.000001)),1,MOD($A87-1,2)))=1,MIN((CROQUIS_DATOS!$C$1476)*CROQUIS_DATOS!$C$1561,((CROQUIS_DATOS!$C$1507+CROQUIS_DATOS!$C$1508)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7">
        <f>IF(AND(CROQUIS_DATOS!$C$1472=1,CROQUIS_DATOS!$C$1508&gt;0,((CROQUIS_DATOS!$C$1507+CROQUIS_DATOS!$C$1508))-(CROQUIS_DATOS!$C$1507)&gt;0.5,(CROQUIS_DATOS!$C$1476)-(0)&gt;0.5),(CROQUIS_DATOS!$C$1567+(IF(IF(MOD(MIN(INT(($A87-1)/2)+1,MAX(1,INT(((((CROQUIS_DATOS!$C$1507+CROQUIS_DATOS!$C$1508))-(CROQUIS_DATOS!$C$1507))+((CROQUIS_DATOS!$C$1476)*CROQUIS_DATOS!$C$1561-(0)*CROQUIS_DATOS!$C$1561))/CROQUIS_DATOS!$C$1568-0.000001))),2)=1,IF(INT(($A87-1)/2)+1&gt;MAX(1,INT(((((CROQUIS_DATOS!$C$1507+CROQUIS_DATOS!$C$1508))-(CROQUIS_DATOS!$C$1507))+((CROQUIS_DATOS!$C$1476)*CROQUIS_DATOS!$C$1561-(0)*CROQUIS_DATOS!$C$1561))/CROQUIS_DATOS!$C$1568-0.000001)),1,MOD($A87-1,2)),1-IF(INT(($A87-1)/2)+1&gt;MAX(1,INT(((((CROQUIS_DATOS!$C$1507+CROQUIS_DATOS!$C$1508))-(CROQUIS_DATOS!$C$1507))+((CROQUIS_DATOS!$C$1476)*CROQUIS_DATOS!$C$1561-(0)*CROQUIS_DATOS!$C$1561))/CROQUIS_DATOS!$C$1568-0.000001)),1,MOD($A87-1,2)))=1,MIN((CROQUIS_DATOS!$C$1476)*CROQUIS_DATOS!$C$1561,((CROQUIS_DATOS!$C$1507+CROQUIS_DATOS!$C$1508)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7">
        <f>IF(AND(CROQUIS_DATOS!$C$1472=1,CROQUIS_DATOS!$C$1512&gt;0,((CROQUIS_DATOS!$C$1511+CROQUIS_DATOS!$C$1512))-(CROQUIS_DATOS!$C$1511)&gt;0.5,(CROQUIS_DATOS!$C$1476)-(0)&gt;0.5),(CROQUIS_DATOS!$C$1566+(IF(IF(MOD(MIN(INT(($A87-1)/2)+1,MAX(1,INT(((((CROQUIS_DATOS!$C$1511+CROQUIS_DATOS!$C$1512))-(CROQUIS_DATOS!$C$1511))+((CROQUIS_DATOS!$C$1476)*CROQUIS_DATOS!$C$1561-(0)*CROQUIS_DATOS!$C$1561))/CROQUIS_DATOS!$C$1568-0.000001))),2)=1,IF(INT(($A87-1)/2)+1&gt;MAX(1,INT(((((CROQUIS_DATOS!$C$1511+CROQUIS_DATOS!$C$1512))-(CROQUIS_DATOS!$C$1511))+((CROQUIS_DATOS!$C$1476)*CROQUIS_DATOS!$C$1561-(0)*CROQUIS_DATOS!$C$1561))/CROQUIS_DATOS!$C$1568-0.000001)),1,MOD($A87-1,2)),1-IF(INT(($A87-1)/2)+1&gt;MAX(1,INT(((((CROQUIS_DATOS!$C$1511+CROQUIS_DATOS!$C$1512))-(CROQUIS_DATOS!$C$1511))+((CROQUIS_DATOS!$C$1476)*CROQUIS_DATOS!$C$1561-(0)*CROQUIS_DATOS!$C$1561))/CROQUIS_DATOS!$C$1568-0.000001)),1,MOD($A87-1,2)))=1,MIN((CROQUIS_DATOS!$C$1476)*CROQUIS_DATOS!$C$1561,((CROQUIS_DATOS!$C$1511+CROQUIS_DATOS!$C$1512)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7">
        <f>IF(AND(CROQUIS_DATOS!$C$1472=1,CROQUIS_DATOS!$C$1512&gt;0,((CROQUIS_DATOS!$C$1511+CROQUIS_DATOS!$C$1512))-(CROQUIS_DATOS!$C$1511)&gt;0.5,(CROQUIS_DATOS!$C$1476)-(0)&gt;0.5),(CROQUIS_DATOS!$C$1567+(IF(IF(MOD(MIN(INT(($A87-1)/2)+1,MAX(1,INT(((((CROQUIS_DATOS!$C$1511+CROQUIS_DATOS!$C$1512))-(CROQUIS_DATOS!$C$1511))+((CROQUIS_DATOS!$C$1476)*CROQUIS_DATOS!$C$1561-(0)*CROQUIS_DATOS!$C$1561))/CROQUIS_DATOS!$C$1568-0.000001))),2)=1,IF(INT(($A87-1)/2)+1&gt;MAX(1,INT(((((CROQUIS_DATOS!$C$1511+CROQUIS_DATOS!$C$1512))-(CROQUIS_DATOS!$C$1511))+((CROQUIS_DATOS!$C$1476)*CROQUIS_DATOS!$C$1561-(0)*CROQUIS_DATOS!$C$1561))/CROQUIS_DATOS!$C$1568-0.000001)),1,MOD($A87-1,2)),1-IF(INT(($A87-1)/2)+1&gt;MAX(1,INT(((((CROQUIS_DATOS!$C$1511+CROQUIS_DATOS!$C$1512))-(CROQUIS_DATOS!$C$1511))+((CROQUIS_DATOS!$C$1476)*CROQUIS_DATOS!$C$1561-(0)*CROQUIS_DATOS!$C$1561))/CROQUIS_DATOS!$C$1568-0.000001)),1,MOD($A87-1,2)))=1,MIN((CROQUIS_DATOS!$C$1476)*CROQUIS_DATOS!$C$1561,((CROQUIS_DATOS!$C$1511+CROQUIS_DATOS!$C$1512)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7">
        <f>IF(AND(CROQUIS_DATOS!$C$1472=1,CROQUIS_DATOS!$C$1516&gt;0,((CROQUIS_DATOS!$C$1515+CROQUIS_DATOS!$C$1516))-(CROQUIS_DATOS!$C$1515)&gt;0.5,(CROQUIS_DATOS!$C$1476)-(0)&gt;0.5),(CROQUIS_DATOS!$C$1566+(IF(IF(MOD(MIN(INT(($A87-1)/2)+1,MAX(1,INT(((((CROQUIS_DATOS!$C$1515+CROQUIS_DATOS!$C$1516))-(CROQUIS_DATOS!$C$1515))+((CROQUIS_DATOS!$C$1476)*CROQUIS_DATOS!$C$1561-(0)*CROQUIS_DATOS!$C$1561))/CROQUIS_DATOS!$C$1568-0.000001))),2)=1,IF(INT(($A87-1)/2)+1&gt;MAX(1,INT(((((CROQUIS_DATOS!$C$1515+CROQUIS_DATOS!$C$1516))-(CROQUIS_DATOS!$C$1515))+((CROQUIS_DATOS!$C$1476)*CROQUIS_DATOS!$C$1561-(0)*CROQUIS_DATOS!$C$1561))/CROQUIS_DATOS!$C$1568-0.000001)),1,MOD($A87-1,2)),1-IF(INT(($A87-1)/2)+1&gt;MAX(1,INT(((((CROQUIS_DATOS!$C$1515+CROQUIS_DATOS!$C$1516))-(CROQUIS_DATOS!$C$1515))+((CROQUIS_DATOS!$C$1476)*CROQUIS_DATOS!$C$1561-(0)*CROQUIS_DATOS!$C$1561))/CROQUIS_DATOS!$C$1568-0.000001)),1,MOD($A87-1,2)))=1,MIN((CROQUIS_DATOS!$C$1476)*CROQUIS_DATOS!$C$1561,((CROQUIS_DATOS!$C$1515+CROQUIS_DATOS!$C$1516)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7">
        <f>IF(AND(CROQUIS_DATOS!$C$1472=1,CROQUIS_DATOS!$C$1516&gt;0,((CROQUIS_DATOS!$C$1515+CROQUIS_DATOS!$C$1516))-(CROQUIS_DATOS!$C$1515)&gt;0.5,(CROQUIS_DATOS!$C$1476)-(0)&gt;0.5),(CROQUIS_DATOS!$C$1567+(IF(IF(MOD(MIN(INT(($A87-1)/2)+1,MAX(1,INT(((((CROQUIS_DATOS!$C$1515+CROQUIS_DATOS!$C$1516))-(CROQUIS_DATOS!$C$1515))+((CROQUIS_DATOS!$C$1476)*CROQUIS_DATOS!$C$1561-(0)*CROQUIS_DATOS!$C$1561))/CROQUIS_DATOS!$C$1568-0.000001))),2)=1,IF(INT(($A87-1)/2)+1&gt;MAX(1,INT(((((CROQUIS_DATOS!$C$1515+CROQUIS_DATOS!$C$1516))-(CROQUIS_DATOS!$C$1515))+((CROQUIS_DATOS!$C$1476)*CROQUIS_DATOS!$C$1561-(0)*CROQUIS_DATOS!$C$1561))/CROQUIS_DATOS!$C$1568-0.000001)),1,MOD($A87-1,2)),1-IF(INT(($A87-1)/2)+1&gt;MAX(1,INT(((((CROQUIS_DATOS!$C$1515+CROQUIS_DATOS!$C$1516))-(CROQUIS_DATOS!$C$1515))+((CROQUIS_DATOS!$C$1476)*CROQUIS_DATOS!$C$1561-(0)*CROQUIS_DATOS!$C$1561))/CROQUIS_DATOS!$C$1568-0.000001)),1,MOD($A87-1,2)))=1,MIN((CROQUIS_DATOS!$C$1476)*CROQUIS_DATOS!$C$1561,((CROQUIS_DATOS!$C$1515+CROQUIS_DATOS!$C$1516)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7">
        <f>IF(AND(CROQUIS_DATOS!$C$1472=1,CROQUIS_DATOS!$C$1478&gt;=1,((CROQUIS_DATOS!$C$1479+CROQUIS_DATOS!$C$1480))-(CROQUIS_DATOS!$C$1479)&gt;0.5,(CROQUIS_DATOS!$C$1481)-(0)&gt;0.5),(CROQUIS_DATOS!$C$1566+(IF(IF(MOD(MIN(INT(($A87-1)/2)+1,MAX(1,INT(((((CROQUIS_DATOS!$C$1479+CROQUIS_DATOS!$C$1480))-(CROQUIS_DATOS!$C$1479))+((CROQUIS_DATOS!$C$1481)*CROQUIS_DATOS!$C$1561-(0)*CROQUIS_DATOS!$C$1561))/CROQUIS_DATOS!$C$1568-0.000001))),2)=1,IF(INT(($A87-1)/2)+1&gt;MAX(1,INT(((((CROQUIS_DATOS!$C$1479+CROQUIS_DATOS!$C$1480))-(CROQUIS_DATOS!$C$1479))+((CROQUIS_DATOS!$C$1481)*CROQUIS_DATOS!$C$1561-(0)*CROQUIS_DATOS!$C$1561))/CROQUIS_DATOS!$C$1568-0.000001)),1,MOD($A87-1,2)),1-IF(INT(($A87-1)/2)+1&gt;MAX(1,INT(((((CROQUIS_DATOS!$C$1479+CROQUIS_DATOS!$C$1480))-(CROQUIS_DATOS!$C$1479))+((CROQUIS_DATOS!$C$1481)*CROQUIS_DATOS!$C$1561-(0)*CROQUIS_DATOS!$C$1561))/CROQUIS_DATOS!$C$1568-0.000001)),1,MOD($A87-1,2)))=1,MIN((CROQUIS_DATOS!$C$1481)*CROQUIS_DATOS!$C$1561,((CROQUIS_DATOS!$C$1479+CROQUIS_DATOS!$C$1480)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7">
        <f>IF(AND(CROQUIS_DATOS!$C$1472=1,CROQUIS_DATOS!$C$1478&gt;=1,((CROQUIS_DATOS!$C$1479+CROQUIS_DATOS!$C$1480))-(CROQUIS_DATOS!$C$1479)&gt;0.5,(CROQUIS_DATOS!$C$1481)-(0)&gt;0.5),(CROQUIS_DATOS!$C$1567+(IF(IF(MOD(MIN(INT(($A87-1)/2)+1,MAX(1,INT(((((CROQUIS_DATOS!$C$1479+CROQUIS_DATOS!$C$1480))-(CROQUIS_DATOS!$C$1479))+((CROQUIS_DATOS!$C$1481)*CROQUIS_DATOS!$C$1561-(0)*CROQUIS_DATOS!$C$1561))/CROQUIS_DATOS!$C$1568-0.000001))),2)=1,IF(INT(($A87-1)/2)+1&gt;MAX(1,INT(((((CROQUIS_DATOS!$C$1479+CROQUIS_DATOS!$C$1480))-(CROQUIS_DATOS!$C$1479))+((CROQUIS_DATOS!$C$1481)*CROQUIS_DATOS!$C$1561-(0)*CROQUIS_DATOS!$C$1561))/CROQUIS_DATOS!$C$1568-0.000001)),1,MOD($A87-1,2)),1-IF(INT(($A87-1)/2)+1&gt;MAX(1,INT(((((CROQUIS_DATOS!$C$1479+CROQUIS_DATOS!$C$1480))-(CROQUIS_DATOS!$C$1479))+((CROQUIS_DATOS!$C$1481)*CROQUIS_DATOS!$C$1561-(0)*CROQUIS_DATOS!$C$1561))/CROQUIS_DATOS!$C$1568-0.000001)),1,MOD($A87-1,2)))=1,MIN((CROQUIS_DATOS!$C$1481)*CROQUIS_DATOS!$C$1561,((CROQUIS_DATOS!$C$1479+CROQUIS_DATOS!$C$1480)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7">
        <f>IF(AND(CROQUIS_DATOS!$C$1472=1,CROQUIS_DATOS!$C$1478&gt;=1,((CROQUIS_DATOS!$C$1479+CROQUIS_DATOS!$C$1480))-(CROQUIS_DATOS!$C$1479)&gt;0.5,(CROQUIS_DATOS!$C$1476)-((CROQUIS_DATOS!$C$1481+CROQUIS_DATOS!$C$1482))&gt;0.5),(CROQUIS_DATOS!$C$1566+(IF(IF(MOD(MIN(INT(($A87-1)/2)+1,MAX(1,INT(((((CROQUIS_DATOS!$C$1479+CROQUIS_DATOS!$C$1480))-(CROQUIS_DATOS!$C$1479))+((CROQUIS_DATOS!$C$1476)*CROQUIS_DATOS!$C$1561-((CROQUIS_DATOS!$C$1481+CROQUIS_DATOS!$C$1482))*CROQUIS_DATOS!$C$1561))/CROQUIS_DATOS!$C$1568-0.000001))),2)=1,IF(INT(($A87-1)/2)+1&gt;MAX(1,INT(((((CROQUIS_DATOS!$C$1479+CROQUIS_DATOS!$C$1480))-(CROQUIS_DATOS!$C$1479))+((CROQUIS_DATOS!$C$1476)*CROQUIS_DATOS!$C$1561-((CROQUIS_DATOS!$C$1481+CROQUIS_DATOS!$C$1482))*CROQUIS_DATOS!$C$1561))/CROQUIS_DATOS!$C$1568-0.000001)),1,MOD($A87-1,2)),1-IF(INT(($A87-1)/2)+1&gt;MAX(1,INT(((((CROQUIS_DATOS!$C$1479+CROQUIS_DATOS!$C$1480))-(CROQUIS_DATOS!$C$1479))+((CROQUIS_DATOS!$C$1476)*CROQUIS_DATOS!$C$1561-((CROQUIS_DATOS!$C$1481+CROQUIS_DATOS!$C$1482))*CROQUIS_DATOS!$C$1561))/CROQUIS_DATOS!$C$1568-0.000001)),1,MOD($A87-1,2)))=1,MIN((CROQUIS_DATOS!$C$1476)*CROQUIS_DATOS!$C$1561,((CROQUIS_DATOS!$C$1479+CROQUIS_DATOS!$C$1480)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7">
        <f>IF(AND(CROQUIS_DATOS!$C$1472=1,CROQUIS_DATOS!$C$1478&gt;=1,((CROQUIS_DATOS!$C$1479+CROQUIS_DATOS!$C$1480))-(CROQUIS_DATOS!$C$1479)&gt;0.5,(CROQUIS_DATOS!$C$1476)-((CROQUIS_DATOS!$C$1481+CROQUIS_DATOS!$C$1482))&gt;0.5),(CROQUIS_DATOS!$C$1567+(IF(IF(MOD(MIN(INT(($A87-1)/2)+1,MAX(1,INT(((((CROQUIS_DATOS!$C$1479+CROQUIS_DATOS!$C$1480))-(CROQUIS_DATOS!$C$1479))+((CROQUIS_DATOS!$C$1476)*CROQUIS_DATOS!$C$1561-((CROQUIS_DATOS!$C$1481+CROQUIS_DATOS!$C$1482))*CROQUIS_DATOS!$C$1561))/CROQUIS_DATOS!$C$1568-0.000001))),2)=1,IF(INT(($A87-1)/2)+1&gt;MAX(1,INT(((((CROQUIS_DATOS!$C$1479+CROQUIS_DATOS!$C$1480))-(CROQUIS_DATOS!$C$1479))+((CROQUIS_DATOS!$C$1476)*CROQUIS_DATOS!$C$1561-((CROQUIS_DATOS!$C$1481+CROQUIS_DATOS!$C$1482))*CROQUIS_DATOS!$C$1561))/CROQUIS_DATOS!$C$1568-0.000001)),1,MOD($A87-1,2)),1-IF(INT(($A87-1)/2)+1&gt;MAX(1,INT(((((CROQUIS_DATOS!$C$1479+CROQUIS_DATOS!$C$1480))-(CROQUIS_DATOS!$C$1479))+((CROQUIS_DATOS!$C$1476)*CROQUIS_DATOS!$C$1561-((CROQUIS_DATOS!$C$1481+CROQUIS_DATOS!$C$1482))*CROQUIS_DATOS!$C$1561))/CROQUIS_DATOS!$C$1568-0.000001)),1,MOD($A87-1,2)))=1,MIN((CROQUIS_DATOS!$C$1476)*CROQUIS_DATOS!$C$1561,((CROQUIS_DATOS!$C$1479+CROQUIS_DATOS!$C$1480)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7">
        <f>IF(AND(CROQUIS_DATOS!$C$1472=1,CROQUIS_DATOS!$C$1478&gt;=2,((CROQUIS_DATOS!$C$1484+CROQUIS_DATOS!$C$1485))-(CROQUIS_DATOS!$C$1484)&gt;0.5,(CROQUIS_DATOS!$C$1486)-(0)&gt;0.5),(CROQUIS_DATOS!$C$1566+(IF(IF(MOD(MIN(INT(($A87-1)/2)+1,MAX(1,INT(((((CROQUIS_DATOS!$C$1484+CROQUIS_DATOS!$C$1485))-(CROQUIS_DATOS!$C$1484))+((CROQUIS_DATOS!$C$1486)*CROQUIS_DATOS!$C$1561-(0)*CROQUIS_DATOS!$C$1561))/CROQUIS_DATOS!$C$1568-0.000001))),2)=1,IF(INT(($A87-1)/2)+1&gt;MAX(1,INT(((((CROQUIS_DATOS!$C$1484+CROQUIS_DATOS!$C$1485))-(CROQUIS_DATOS!$C$1484))+((CROQUIS_DATOS!$C$1486)*CROQUIS_DATOS!$C$1561-(0)*CROQUIS_DATOS!$C$1561))/CROQUIS_DATOS!$C$1568-0.000001)),1,MOD($A87-1,2)),1-IF(INT(($A87-1)/2)+1&gt;MAX(1,INT(((((CROQUIS_DATOS!$C$1484+CROQUIS_DATOS!$C$1485))-(CROQUIS_DATOS!$C$1484))+((CROQUIS_DATOS!$C$1486)*CROQUIS_DATOS!$C$1561-(0)*CROQUIS_DATOS!$C$1561))/CROQUIS_DATOS!$C$1568-0.000001)),1,MOD($A87-1,2)))=1,MIN((CROQUIS_DATOS!$C$1486)*CROQUIS_DATOS!$C$1561,((CROQUIS_DATOS!$C$1484+CROQUIS_DATOS!$C$1485)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7">
        <f>IF(AND(CROQUIS_DATOS!$C$1472=1,CROQUIS_DATOS!$C$1478&gt;=2,((CROQUIS_DATOS!$C$1484+CROQUIS_DATOS!$C$1485))-(CROQUIS_DATOS!$C$1484)&gt;0.5,(CROQUIS_DATOS!$C$1486)-(0)&gt;0.5),(CROQUIS_DATOS!$C$1567+(IF(IF(MOD(MIN(INT(($A87-1)/2)+1,MAX(1,INT(((((CROQUIS_DATOS!$C$1484+CROQUIS_DATOS!$C$1485))-(CROQUIS_DATOS!$C$1484))+((CROQUIS_DATOS!$C$1486)*CROQUIS_DATOS!$C$1561-(0)*CROQUIS_DATOS!$C$1561))/CROQUIS_DATOS!$C$1568-0.000001))),2)=1,IF(INT(($A87-1)/2)+1&gt;MAX(1,INT(((((CROQUIS_DATOS!$C$1484+CROQUIS_DATOS!$C$1485))-(CROQUIS_DATOS!$C$1484))+((CROQUIS_DATOS!$C$1486)*CROQUIS_DATOS!$C$1561-(0)*CROQUIS_DATOS!$C$1561))/CROQUIS_DATOS!$C$1568-0.000001)),1,MOD($A87-1,2)),1-IF(INT(($A87-1)/2)+1&gt;MAX(1,INT(((((CROQUIS_DATOS!$C$1484+CROQUIS_DATOS!$C$1485))-(CROQUIS_DATOS!$C$1484))+((CROQUIS_DATOS!$C$1486)*CROQUIS_DATOS!$C$1561-(0)*CROQUIS_DATOS!$C$1561))/CROQUIS_DATOS!$C$1568-0.000001)),1,MOD($A87-1,2)))=1,MIN((CROQUIS_DATOS!$C$1486)*CROQUIS_DATOS!$C$1561,((CROQUIS_DATOS!$C$1484+CROQUIS_DATOS!$C$1485)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7">
        <f>IF(AND(CROQUIS_DATOS!$C$1472=1,CROQUIS_DATOS!$C$1478&gt;=2,((CROQUIS_DATOS!$C$1484+CROQUIS_DATOS!$C$1485))-(CROQUIS_DATOS!$C$1484)&gt;0.5,(CROQUIS_DATOS!$C$1476)-((CROQUIS_DATOS!$C$1486+CROQUIS_DATOS!$C$1487))&gt;0.5),(CROQUIS_DATOS!$C$1566+(IF(IF(MOD(MIN(INT(($A87-1)/2)+1,MAX(1,INT(((((CROQUIS_DATOS!$C$1484+CROQUIS_DATOS!$C$1485))-(CROQUIS_DATOS!$C$1484))+((CROQUIS_DATOS!$C$1476)*CROQUIS_DATOS!$C$1561-((CROQUIS_DATOS!$C$1486+CROQUIS_DATOS!$C$1487))*CROQUIS_DATOS!$C$1561))/CROQUIS_DATOS!$C$1568-0.000001))),2)=1,IF(INT(($A87-1)/2)+1&gt;MAX(1,INT(((((CROQUIS_DATOS!$C$1484+CROQUIS_DATOS!$C$1485))-(CROQUIS_DATOS!$C$1484))+((CROQUIS_DATOS!$C$1476)*CROQUIS_DATOS!$C$1561-((CROQUIS_DATOS!$C$1486+CROQUIS_DATOS!$C$1487))*CROQUIS_DATOS!$C$1561))/CROQUIS_DATOS!$C$1568-0.000001)),1,MOD($A87-1,2)),1-IF(INT(($A87-1)/2)+1&gt;MAX(1,INT(((((CROQUIS_DATOS!$C$1484+CROQUIS_DATOS!$C$1485))-(CROQUIS_DATOS!$C$1484))+((CROQUIS_DATOS!$C$1476)*CROQUIS_DATOS!$C$1561-((CROQUIS_DATOS!$C$1486+CROQUIS_DATOS!$C$1487))*CROQUIS_DATOS!$C$1561))/CROQUIS_DATOS!$C$1568-0.000001)),1,MOD($A87-1,2)))=1,MIN((CROQUIS_DATOS!$C$1476)*CROQUIS_DATOS!$C$1561,((CROQUIS_DATOS!$C$1484+CROQUIS_DATOS!$C$1485)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7">
        <f>IF(AND(CROQUIS_DATOS!$C$1472=1,CROQUIS_DATOS!$C$1478&gt;=2,((CROQUIS_DATOS!$C$1484+CROQUIS_DATOS!$C$1485))-(CROQUIS_DATOS!$C$1484)&gt;0.5,(CROQUIS_DATOS!$C$1476)-((CROQUIS_DATOS!$C$1486+CROQUIS_DATOS!$C$1487))&gt;0.5),(CROQUIS_DATOS!$C$1567+(IF(IF(MOD(MIN(INT(($A87-1)/2)+1,MAX(1,INT(((((CROQUIS_DATOS!$C$1484+CROQUIS_DATOS!$C$1485))-(CROQUIS_DATOS!$C$1484))+((CROQUIS_DATOS!$C$1476)*CROQUIS_DATOS!$C$1561-((CROQUIS_DATOS!$C$1486+CROQUIS_DATOS!$C$1487))*CROQUIS_DATOS!$C$1561))/CROQUIS_DATOS!$C$1568-0.000001))),2)=1,IF(INT(($A87-1)/2)+1&gt;MAX(1,INT(((((CROQUIS_DATOS!$C$1484+CROQUIS_DATOS!$C$1485))-(CROQUIS_DATOS!$C$1484))+((CROQUIS_DATOS!$C$1476)*CROQUIS_DATOS!$C$1561-((CROQUIS_DATOS!$C$1486+CROQUIS_DATOS!$C$1487))*CROQUIS_DATOS!$C$1561))/CROQUIS_DATOS!$C$1568-0.000001)),1,MOD($A87-1,2)),1-IF(INT(($A87-1)/2)+1&gt;MAX(1,INT(((((CROQUIS_DATOS!$C$1484+CROQUIS_DATOS!$C$1485))-(CROQUIS_DATOS!$C$1484))+((CROQUIS_DATOS!$C$1476)*CROQUIS_DATOS!$C$1561-((CROQUIS_DATOS!$C$1486+CROQUIS_DATOS!$C$1487))*CROQUIS_DATOS!$C$1561))/CROQUIS_DATOS!$C$1568-0.000001)),1,MOD($A87-1,2)))=1,MIN((CROQUIS_DATOS!$C$1476)*CROQUIS_DATOS!$C$1561,((CROQUIS_DATOS!$C$1484+CROQUIS_DATOS!$C$1485)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7">
        <f>IF(AND(CROQUIS_DATOS!$C$1472=1,CROQUIS_DATOS!$C$1478&gt;=3,((CROQUIS_DATOS!$C$1489+CROQUIS_DATOS!$C$1490))-(CROQUIS_DATOS!$C$1489)&gt;0.5,(CROQUIS_DATOS!$C$1491)-(0)&gt;0.5),(CROQUIS_DATOS!$C$1566+(IF(IF(MOD(MIN(INT(($A87-1)/2)+1,MAX(1,INT(((((CROQUIS_DATOS!$C$1489+CROQUIS_DATOS!$C$1490))-(CROQUIS_DATOS!$C$1489))+((CROQUIS_DATOS!$C$1491)*CROQUIS_DATOS!$C$1561-(0)*CROQUIS_DATOS!$C$1561))/CROQUIS_DATOS!$C$1568-0.000001))),2)=1,IF(INT(($A87-1)/2)+1&gt;MAX(1,INT(((((CROQUIS_DATOS!$C$1489+CROQUIS_DATOS!$C$1490))-(CROQUIS_DATOS!$C$1489))+((CROQUIS_DATOS!$C$1491)*CROQUIS_DATOS!$C$1561-(0)*CROQUIS_DATOS!$C$1561))/CROQUIS_DATOS!$C$1568-0.000001)),1,MOD($A87-1,2)),1-IF(INT(($A87-1)/2)+1&gt;MAX(1,INT(((((CROQUIS_DATOS!$C$1489+CROQUIS_DATOS!$C$1490))-(CROQUIS_DATOS!$C$1489))+((CROQUIS_DATOS!$C$1491)*CROQUIS_DATOS!$C$1561-(0)*CROQUIS_DATOS!$C$1561))/CROQUIS_DATOS!$C$1568-0.000001)),1,MOD($A87-1,2)))=1,MIN((CROQUIS_DATOS!$C$1491)*CROQUIS_DATOS!$C$1561,((CROQUIS_DATOS!$C$1489+CROQUIS_DATOS!$C$1490)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7">
        <f>IF(AND(CROQUIS_DATOS!$C$1472=1,CROQUIS_DATOS!$C$1478&gt;=3,((CROQUIS_DATOS!$C$1489+CROQUIS_DATOS!$C$1490))-(CROQUIS_DATOS!$C$1489)&gt;0.5,(CROQUIS_DATOS!$C$1491)-(0)&gt;0.5),(CROQUIS_DATOS!$C$1567+(IF(IF(MOD(MIN(INT(($A87-1)/2)+1,MAX(1,INT(((((CROQUIS_DATOS!$C$1489+CROQUIS_DATOS!$C$1490))-(CROQUIS_DATOS!$C$1489))+((CROQUIS_DATOS!$C$1491)*CROQUIS_DATOS!$C$1561-(0)*CROQUIS_DATOS!$C$1561))/CROQUIS_DATOS!$C$1568-0.000001))),2)=1,IF(INT(($A87-1)/2)+1&gt;MAX(1,INT(((((CROQUIS_DATOS!$C$1489+CROQUIS_DATOS!$C$1490))-(CROQUIS_DATOS!$C$1489))+((CROQUIS_DATOS!$C$1491)*CROQUIS_DATOS!$C$1561-(0)*CROQUIS_DATOS!$C$1561))/CROQUIS_DATOS!$C$1568-0.000001)),1,MOD($A87-1,2)),1-IF(INT(($A87-1)/2)+1&gt;MAX(1,INT(((((CROQUIS_DATOS!$C$1489+CROQUIS_DATOS!$C$1490))-(CROQUIS_DATOS!$C$1489))+((CROQUIS_DATOS!$C$1491)*CROQUIS_DATOS!$C$1561-(0)*CROQUIS_DATOS!$C$1561))/CROQUIS_DATOS!$C$1568-0.000001)),1,MOD($A87-1,2)))=1,MIN((CROQUIS_DATOS!$C$1491)*CROQUIS_DATOS!$C$1561,((CROQUIS_DATOS!$C$1489+CROQUIS_DATOS!$C$1490)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7">
        <f>IF(AND(CROQUIS_DATOS!$C$1472=1,CROQUIS_DATOS!$C$1478&gt;=3,((CROQUIS_DATOS!$C$1489+CROQUIS_DATOS!$C$1490))-(CROQUIS_DATOS!$C$1489)&gt;0.5,(CROQUIS_DATOS!$C$1476)-((CROQUIS_DATOS!$C$1491+CROQUIS_DATOS!$C$1492))&gt;0.5),(CROQUIS_DATOS!$C$1566+(IF(IF(MOD(MIN(INT(($A87-1)/2)+1,MAX(1,INT(((((CROQUIS_DATOS!$C$1489+CROQUIS_DATOS!$C$1490))-(CROQUIS_DATOS!$C$1489))+((CROQUIS_DATOS!$C$1476)*CROQUIS_DATOS!$C$1561-((CROQUIS_DATOS!$C$1491+CROQUIS_DATOS!$C$1492))*CROQUIS_DATOS!$C$1561))/CROQUIS_DATOS!$C$1568-0.000001))),2)=1,IF(INT(($A87-1)/2)+1&gt;MAX(1,INT(((((CROQUIS_DATOS!$C$1489+CROQUIS_DATOS!$C$1490))-(CROQUIS_DATOS!$C$1489))+((CROQUIS_DATOS!$C$1476)*CROQUIS_DATOS!$C$1561-((CROQUIS_DATOS!$C$1491+CROQUIS_DATOS!$C$1492))*CROQUIS_DATOS!$C$1561))/CROQUIS_DATOS!$C$1568-0.000001)),1,MOD($A87-1,2)),1-IF(INT(($A87-1)/2)+1&gt;MAX(1,INT(((((CROQUIS_DATOS!$C$1489+CROQUIS_DATOS!$C$1490))-(CROQUIS_DATOS!$C$1489))+((CROQUIS_DATOS!$C$1476)*CROQUIS_DATOS!$C$1561-((CROQUIS_DATOS!$C$1491+CROQUIS_DATOS!$C$1492))*CROQUIS_DATOS!$C$1561))/CROQUIS_DATOS!$C$1568-0.000001)),1,MOD($A87-1,2)))=1,MIN((CROQUIS_DATOS!$C$1476)*CROQUIS_DATOS!$C$1561,((CROQUIS_DATOS!$C$1489+CROQUIS_DATOS!$C$1490)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7">
        <f>IF(AND(CROQUIS_DATOS!$C$1472=1,CROQUIS_DATOS!$C$1478&gt;=3,((CROQUIS_DATOS!$C$1489+CROQUIS_DATOS!$C$1490))-(CROQUIS_DATOS!$C$1489)&gt;0.5,(CROQUIS_DATOS!$C$1476)-((CROQUIS_DATOS!$C$1491+CROQUIS_DATOS!$C$1492))&gt;0.5),(CROQUIS_DATOS!$C$1567+(IF(IF(MOD(MIN(INT(($A87-1)/2)+1,MAX(1,INT(((((CROQUIS_DATOS!$C$1489+CROQUIS_DATOS!$C$1490))-(CROQUIS_DATOS!$C$1489))+((CROQUIS_DATOS!$C$1476)*CROQUIS_DATOS!$C$1561-((CROQUIS_DATOS!$C$1491+CROQUIS_DATOS!$C$1492))*CROQUIS_DATOS!$C$1561))/CROQUIS_DATOS!$C$1568-0.000001))),2)=1,IF(INT(($A87-1)/2)+1&gt;MAX(1,INT(((((CROQUIS_DATOS!$C$1489+CROQUIS_DATOS!$C$1490))-(CROQUIS_DATOS!$C$1489))+((CROQUIS_DATOS!$C$1476)*CROQUIS_DATOS!$C$1561-((CROQUIS_DATOS!$C$1491+CROQUIS_DATOS!$C$1492))*CROQUIS_DATOS!$C$1561))/CROQUIS_DATOS!$C$1568-0.000001)),1,MOD($A87-1,2)),1-IF(INT(($A87-1)/2)+1&gt;MAX(1,INT(((((CROQUIS_DATOS!$C$1489+CROQUIS_DATOS!$C$1490))-(CROQUIS_DATOS!$C$1489))+((CROQUIS_DATOS!$C$1476)*CROQUIS_DATOS!$C$1561-((CROQUIS_DATOS!$C$1491+CROQUIS_DATOS!$C$1492))*CROQUIS_DATOS!$C$1561))/CROQUIS_DATOS!$C$1568-0.000001)),1,MOD($A87-1,2)))=1,MIN((CROQUIS_DATOS!$C$1476)*CROQUIS_DATOS!$C$1561,((CROQUIS_DATOS!$C$1489+CROQUIS_DATOS!$C$1490)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7">
        <f>IF(AND(CROQUIS_DATOS!$C$1472=1,CROQUIS_DATOS!$C$1478&gt;=4,((CROQUIS_DATOS!$C$1494+CROQUIS_DATOS!$C$1495))-(CROQUIS_DATOS!$C$1494)&gt;0.5,(CROQUIS_DATOS!$C$1496)-(0)&gt;0.5),(CROQUIS_DATOS!$C$1566+(IF(IF(MOD(MIN(INT(($A87-1)/2)+1,MAX(1,INT(((((CROQUIS_DATOS!$C$1494+CROQUIS_DATOS!$C$1495))-(CROQUIS_DATOS!$C$1494))+((CROQUIS_DATOS!$C$1496)*CROQUIS_DATOS!$C$1561-(0)*CROQUIS_DATOS!$C$1561))/CROQUIS_DATOS!$C$1568-0.000001))),2)=1,IF(INT(($A87-1)/2)+1&gt;MAX(1,INT(((((CROQUIS_DATOS!$C$1494+CROQUIS_DATOS!$C$1495))-(CROQUIS_DATOS!$C$1494))+((CROQUIS_DATOS!$C$1496)*CROQUIS_DATOS!$C$1561-(0)*CROQUIS_DATOS!$C$1561))/CROQUIS_DATOS!$C$1568-0.000001)),1,MOD($A87-1,2)),1-IF(INT(($A87-1)/2)+1&gt;MAX(1,INT(((((CROQUIS_DATOS!$C$1494+CROQUIS_DATOS!$C$1495))-(CROQUIS_DATOS!$C$1494))+((CROQUIS_DATOS!$C$1496)*CROQUIS_DATOS!$C$1561-(0)*CROQUIS_DATOS!$C$1561))/CROQUIS_DATOS!$C$1568-0.000001)),1,MOD($A87-1,2)))=1,MIN((CROQUIS_DATOS!$C$1496)*CROQUIS_DATOS!$C$1561,((CROQUIS_DATOS!$C$1494+CROQUIS_DATOS!$C$1495)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7">
        <f>IF(AND(CROQUIS_DATOS!$C$1472=1,CROQUIS_DATOS!$C$1478&gt;=4,((CROQUIS_DATOS!$C$1494+CROQUIS_DATOS!$C$1495))-(CROQUIS_DATOS!$C$1494)&gt;0.5,(CROQUIS_DATOS!$C$1496)-(0)&gt;0.5),(CROQUIS_DATOS!$C$1567+(IF(IF(MOD(MIN(INT(($A87-1)/2)+1,MAX(1,INT(((((CROQUIS_DATOS!$C$1494+CROQUIS_DATOS!$C$1495))-(CROQUIS_DATOS!$C$1494))+((CROQUIS_DATOS!$C$1496)*CROQUIS_DATOS!$C$1561-(0)*CROQUIS_DATOS!$C$1561))/CROQUIS_DATOS!$C$1568-0.000001))),2)=1,IF(INT(($A87-1)/2)+1&gt;MAX(1,INT(((((CROQUIS_DATOS!$C$1494+CROQUIS_DATOS!$C$1495))-(CROQUIS_DATOS!$C$1494))+((CROQUIS_DATOS!$C$1496)*CROQUIS_DATOS!$C$1561-(0)*CROQUIS_DATOS!$C$1561))/CROQUIS_DATOS!$C$1568-0.000001)),1,MOD($A87-1,2)),1-IF(INT(($A87-1)/2)+1&gt;MAX(1,INT(((((CROQUIS_DATOS!$C$1494+CROQUIS_DATOS!$C$1495))-(CROQUIS_DATOS!$C$1494))+((CROQUIS_DATOS!$C$1496)*CROQUIS_DATOS!$C$1561-(0)*CROQUIS_DATOS!$C$1561))/CROQUIS_DATOS!$C$1568-0.000001)),1,MOD($A87-1,2)))=1,MIN((CROQUIS_DATOS!$C$1496)*CROQUIS_DATOS!$C$1561,((CROQUIS_DATOS!$C$1494+CROQUIS_DATOS!$C$1495)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7">
        <f>IF(AND(CROQUIS_DATOS!$C$1472=1,CROQUIS_DATOS!$C$1478&gt;=4,((CROQUIS_DATOS!$C$1494+CROQUIS_DATOS!$C$1495))-(CROQUIS_DATOS!$C$1494)&gt;0.5,(CROQUIS_DATOS!$C$1476)-((CROQUIS_DATOS!$C$1496+CROQUIS_DATOS!$C$1497))&gt;0.5),(CROQUIS_DATOS!$C$1566+(IF(IF(MOD(MIN(INT(($A87-1)/2)+1,MAX(1,INT(((((CROQUIS_DATOS!$C$1494+CROQUIS_DATOS!$C$1495))-(CROQUIS_DATOS!$C$1494))+((CROQUIS_DATOS!$C$1476)*CROQUIS_DATOS!$C$1561-((CROQUIS_DATOS!$C$1496+CROQUIS_DATOS!$C$1497))*CROQUIS_DATOS!$C$1561))/CROQUIS_DATOS!$C$1568-0.000001))),2)=1,IF(INT(($A87-1)/2)+1&gt;MAX(1,INT(((((CROQUIS_DATOS!$C$1494+CROQUIS_DATOS!$C$1495))-(CROQUIS_DATOS!$C$1494))+((CROQUIS_DATOS!$C$1476)*CROQUIS_DATOS!$C$1561-((CROQUIS_DATOS!$C$1496+CROQUIS_DATOS!$C$1497))*CROQUIS_DATOS!$C$1561))/CROQUIS_DATOS!$C$1568-0.000001)),1,MOD($A87-1,2)),1-IF(INT(($A87-1)/2)+1&gt;MAX(1,INT(((((CROQUIS_DATOS!$C$1494+CROQUIS_DATOS!$C$1495))-(CROQUIS_DATOS!$C$1494))+((CROQUIS_DATOS!$C$1476)*CROQUIS_DATOS!$C$1561-((CROQUIS_DATOS!$C$1496+CROQUIS_DATOS!$C$1497))*CROQUIS_DATOS!$C$1561))/CROQUIS_DATOS!$C$1568-0.000001)),1,MOD($A87-1,2)))=1,MIN((CROQUIS_DATOS!$C$1476)*CROQUIS_DATOS!$C$1561,((CROQUIS_DATOS!$C$1494+CROQUIS_DATOS!$C$1495)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7">
        <f>IF(AND(CROQUIS_DATOS!$C$1472=1,CROQUIS_DATOS!$C$1478&gt;=4,((CROQUIS_DATOS!$C$1494+CROQUIS_DATOS!$C$1495))-(CROQUIS_DATOS!$C$1494)&gt;0.5,(CROQUIS_DATOS!$C$1476)-((CROQUIS_DATOS!$C$1496+CROQUIS_DATOS!$C$1497))&gt;0.5),(CROQUIS_DATOS!$C$1567+(IF(IF(MOD(MIN(INT(($A87-1)/2)+1,MAX(1,INT(((((CROQUIS_DATOS!$C$1494+CROQUIS_DATOS!$C$1495))-(CROQUIS_DATOS!$C$1494))+((CROQUIS_DATOS!$C$1476)*CROQUIS_DATOS!$C$1561-((CROQUIS_DATOS!$C$1496+CROQUIS_DATOS!$C$1497))*CROQUIS_DATOS!$C$1561))/CROQUIS_DATOS!$C$1568-0.000001))),2)=1,IF(INT(($A87-1)/2)+1&gt;MAX(1,INT(((((CROQUIS_DATOS!$C$1494+CROQUIS_DATOS!$C$1495))-(CROQUIS_DATOS!$C$1494))+((CROQUIS_DATOS!$C$1476)*CROQUIS_DATOS!$C$1561-((CROQUIS_DATOS!$C$1496+CROQUIS_DATOS!$C$1497))*CROQUIS_DATOS!$C$1561))/CROQUIS_DATOS!$C$1568-0.000001)),1,MOD($A87-1,2)),1-IF(INT(($A87-1)/2)+1&gt;MAX(1,INT(((((CROQUIS_DATOS!$C$1494+CROQUIS_DATOS!$C$1495))-(CROQUIS_DATOS!$C$1494))+((CROQUIS_DATOS!$C$1476)*CROQUIS_DATOS!$C$1561-((CROQUIS_DATOS!$C$1496+CROQUIS_DATOS!$C$1497))*CROQUIS_DATOS!$C$1561))/CROQUIS_DATOS!$C$1568-0.000001)),1,MOD($A87-1,2)))=1,MIN((CROQUIS_DATOS!$C$1476)*CROQUIS_DATOS!$C$1561,((CROQUIS_DATOS!$C$1494+CROQUIS_DATOS!$C$1495)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  <c r="GD87">
        <f>IF(AND(CROQUIS_DATOS!$C$1472=1,1),(CROQUIS_DATOS!$C$1571+(CHOOSE(MIN(MAX(IF(INT(($A87-1)/5)+1&gt;CROQUIS_DATOS!$C$1525,5,MOD($A87-1,5)+1),1),5),(INDEX($E$8:$E$23,MIN(INT(($A87-1)/5)+1,CROQUIS_DATOS!$C$1525))-INDEX($F$8:$F$23,MIN(INT(($A87-1)/5)+1,CROQUIS_DATOS!$C$1525))/2),(INDEX($E$8:$E$23,MIN(INT(($A87-1)/5)+1,CROQUIS_DATOS!$C$1525))+INDEX($F$8:$F$23,MIN(INT(($A87-1)/5)+1,CROQUIS_DATOS!$C$1525))/2),(INDEX($E$8:$E$23,MIN(INT(($A87-1)/5)+1,CROQUIS_DATOS!$C$1525))+INDEX($F$8:$F$23,MIN(INT(($A87-1)/5)+1,CROQUIS_DATOS!$C$1525))/2),(INDEX($E$8:$E$23,MIN(INT(($A87-1)/5)+1,CROQUIS_DATOS!$C$1525))-INDEX($F$8:$F$23,MIN(INT(($A87-1)/5)+1,CROQUIS_DATOS!$C$1525))/2),(INDEX($E$8:$E$23,MIN(INT(($A87-1)/5)+1,CROQUIS_DATOS!$C$1525))-INDEX($F$8:$F$23,MIN(INT(($A87-1)/5)+1,CROQUIS_DATOS!$C$1525))/2)))*CROQUIS_DATOS!$C$1569),-1000)</f>
        <v>95.24</v>
      </c>
      <c r="GE87">
        <f>IF(AND(CROQUIS_DATOS!$C$1472=1,1),(CROQUIS_DATOS!$C$1572+(CHOOSE(MIN(MAX(IF(INT(($A87-1)/5)+1&gt;CROQUIS_DATOS!$C$1525,5,MOD($A87-1,5)+1),1),5),((CROQUIS_DATOS!$C$1477-CROQUIS_DATOS!$C$1527)/2),((CROQUIS_DATOS!$C$1477-CROQUIS_DATOS!$C$1527)/2),((CROQUIS_DATOS!$C$1477+CROQUIS_DATOS!$C$1527)/2),((CROQUIS_DATOS!$C$1477+CROQUIS_DATOS!$C$1527)/2),((CROQUIS_DATOS!$C$1477-CROQUIS_DATOS!$C$1527)/2)))*CROQUIS_DATOS!$C$1569*CROQUIS_DATOS!$C$1570),-1000)</f>
        <v>9.5</v>
      </c>
    </row>
    <row r="88">
      <c r="A88" t="n">
        <v>81</v>
      </c>
      <c r="N88">
        <f>IF(AND(CROQUIS_DATOS!$C$1472=1,1),(CROQUIS_DATOS!$C$1563+(IF(IF(IF(INT(($A88-1)/70)+1&gt;CROQUIS_DATOS!$C$1525,70,MOD($A88-1,70)+1)=1,0,IF(IF(INT(($A88-1)/70)+1&gt;CROQUIS_DATOS!$C$1525,70,MOD($A88-1,70)+1)&gt;2*CROQUIS_DATOS!$C$1541+1,IF(MOD(CROQUIS_DATOS!$C$1541,2)=1,1,0),IF(MOD(MIN(INT((IF(INT(($A88-1)/70)+1&gt;CROQUIS_DATOS!$C$1525,70,MOD($A88-1,70)+1)-2)/2)+1,CROQUIS_DATOS!$C$1541),2)=1,IF(MOD(IF(INT(($A88-1)/70)+1&gt;CROQUIS_DATOS!$C$1525,70,MOD($A88-1,70)+1)-2,2)=0,0,1),IF(MOD(IF(INT(($A88-1)/70)+1&gt;CROQUIS_DATOS!$C$1525,70,MOD($A88-1,70)+1)-2,2)=0,1,0))))=0,(INDEX($E$8:$E$23,MIN(INT(($A88-1)/70)+1,CROQUIS_DATOS!$C$1525))-INDEX($F$8:$F$23,MIN(INT(($A88-1)/70)+1,CROQUIS_DATOS!$C$1525))/2),(INDEX($E$8:$E$23,MIN(INT(($A88-1)/70)+1,CROQUIS_DATOS!$C$1525))+INDEX($F$8:$F$23,MIN(INT(($A88-1)/70)+1,CROQUIS_DATOS!$C$1525))/2)))*CROQUIS_DATOS!$C$1562),-1000)</f>
        <v>20.6724137931034</v>
      </c>
      <c r="O88">
        <f>IF(AND(CROQUIS_DATOS!$C$1472=1,1),(CROQUIS_DATOS!$C$1564+(IF(OR(IF(INT(($A88-1)/70)+1&gt;CROQUIS_DATOS!$C$1525,70,MOD($A88-1,70)+1)=1,IF(INT(($A88-1)/70)+1&gt;CROQUIS_DATOS!$C$1525,70,MOD($A88-1,70)+1)&gt;2*CROQUIS_DATOS!$C$1541+1),CROQUIS_DATOS!$C$1476,INDEX($H$8:$H$41,MIN(INT((IF(INT(($A88-1)/70)+1&gt;CROQUIS_DATOS!$C$1525,70,MOD($A88-1,70)+1)-2)/2)+1,CROQUIS_DATOS!$C$1541))))*CROQUIS_DATOS!$C$1561*CROQUIS_DATOS!$C$1562),-1000)</f>
        <v>10.5301724137931</v>
      </c>
      <c r="P88">
        <f>IF(AND(CROQUIS_DATOS!$C$1472=1,CROQUIS_DATOS!$C$1555=1),(CROQUIS_DATOS!$C$1563+(IF(IF(OR(MOD($A88-1,62)+1=1,IF(CHOOSE(MIN(MAX(MIN(INT(($A88-1)/62)+1,5),1),5),CROQUIS_DATOS!$C$1501,CROQUIS_DATOS!$C$1505,CROQUIS_DATOS!$C$1509,CROQUIS_DATOS!$C$1513,CROQUIS_DATOS!$C$1517)=1,CROQUIS_DATOS!$C$1557,0)=0),0,IF(MOD($A88-1,62)+1&gt;2*IF(CHOOSE(MIN(MAX(MIN(INT(($A88-1)/62)+1,5),1),5),CROQUIS_DATOS!$C$1501,CROQUIS_DATOS!$C$1505,CROQUIS_DATOS!$C$1509,CROQUIS_DATOS!$C$1513,CROQUIS_DATOS!$C$1517)=1,CROQUIS_DATOS!$C$1557,0)+1,IF(MOD(IF(CHOOSE(MIN(MAX(MIN(INT(($A88-1)/62)+1,5),1),5),CROQUIS_DATOS!$C$1501,CROQUIS_DATOS!$C$1505,CROQUIS_DATOS!$C$1509,CROQUIS_DATOS!$C$1513,CROQUIS_DATOS!$C$1517)=1,CROQUIS_DATOS!$C$1557,0),2)=1,1,0),IF(MOD(MIN(INT((MOD($A88-1,62)+1-2)/2)+1,MAX(IF(CHOOSE(MIN(MAX(MIN(INT(($A88-1)/62)+1,5),1),5),CROQUIS_DATOS!$C$1501,CROQUIS_DATOS!$C$1505,CROQUIS_DATOS!$C$1509,CROQUIS_DATOS!$C$1513,CROQUIS_DATOS!$C$1517)=1,CROQUIS_DATOS!$C$1557,0),1)),2)=1,IF(MOD(MOD($A88-1,62)+1-2,2)=0,0,1),IF(MOD(MOD($A88-1,62)+1-2,2)=0,1,0))))=0,(CHOOSE(MIN(MAX(MIN(INT(($A88-1)/62)+1,5),1),5),CROQUIS_DATOS!$C$1499,CROQUIS_DATOS!$C$1503,CROQUIS_DATOS!$C$1507,CROQUIS_DATOS!$C$1511,CROQUIS_DATOS!$C$1515)+IF(CHOOSE(MIN(MAX(MIN(INT(($A88-1)/62)+1,5),1),5),CROQUIS_DATOS!$C$1501,CROQUIS_DATOS!$C$1505,CROQUIS_DATOS!$C$1509,CROQUIS_DATOS!$C$1513,CROQUIS_DATOS!$C$1517)=1,CROQUIS_DATOS!$C$1526,0)),(CHOOSE(MIN(MAX(MIN(INT(($A88-1)/62)+1,5),1),5),CROQUIS_DATOS!$C$1499,CROQUIS_DATOS!$C$1503,CROQUIS_DATOS!$C$1507,CROQUIS_DATOS!$C$1511,CROQUIS_DATOS!$C$1515)+CHOOSE(MIN(MAX(MIN(INT(($A88-1)/62)+1,5),1),5),CROQUIS_DATOS!$C$1500,CROQUIS_DATOS!$C$1504,CROQUIS_DATOS!$C$1508,CROQUIS_DATOS!$C$1512,CROQUIS_DATOS!$C$1516)-IF(CHOOSE(MIN(MAX(MIN(INT(($A88-1)/62)+1,5),1),5),CROQUIS_DATOS!$C$1501,CROQUIS_DATOS!$C$1505,CROQUIS_DATOS!$C$1509,CROQUIS_DATOS!$C$1513,CROQUIS_DATOS!$C$1517)=1,CROQUIS_DATOS!$C$1526,0))))*CROQUIS_DATOS!$C$1562),-1000)</f>
        <v>-1000</v>
      </c>
      <c r="Q88">
        <f>IF(AND(CROQUIS_DATOS!$C$1472=1,CROQUIS_DATOS!$C$1555=1),(CROQUIS_DATOS!$C$1564+(IF(OR(OR(MOD($A88-1,62)+1=1,IF(CHOOSE(MIN(MAX(MIN(INT(($A88-1)/62)+1,5),1),5),CROQUIS_DATOS!$C$1501,CROQUIS_DATOS!$C$1505,CROQUIS_DATOS!$C$1509,CROQUIS_DATOS!$C$1513,CROQUIS_DATOS!$C$1517)=1,CROQUIS_DATOS!$C$1557,0)=0),MOD($A88-1,62)+1&gt;2*IF(CHOOSE(MIN(MAX(MIN(INT(($A88-1)/62)+1,5),1),5),CROQUIS_DATOS!$C$1501,CROQUIS_DATOS!$C$1505,CROQUIS_DATOS!$C$1509,CROQUIS_DATOS!$C$1513,CROQUIS_DATOS!$C$1517)=1,CROQUIS_DATOS!$C$1557,0)+1),CROQUIS_DATOS!$C$1476,MIN(INT((MOD($A88-1,62)+1-2)/2)+1,MAX(IF(CHOOSE(MIN(MAX(MIN(INT(($A88-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8">
        <f>IF(AND(CROQUIS_DATOS!$C$1472=1,1),(CROQUIS_DATOS!$C$1563+(MIN(INT(($A88-1)/2)+1,CROQUIS_DATOS!$C$1558)*CROQUIS_DATOS!$C$1559)*CROQUIS_DATOS!$C$1562),-1000)</f>
        <v>82.2281167108753</v>
      </c>
      <c r="U88">
        <f>IF(AND(CROQUIS_DATOS!$C$1472=1,1),(CROQUIS_DATOS!$C$1564+(IF(INT(($A88-1)/2)+1&gt;CROQUIS_DATOS!$C$1558,IF(MOD(CROQUIS_DATOS!$C$1558,2)=1,CROQUIS_DATOS!$C$1476+CROQUIS_DATOS!$C$1528,CROQUIS_DATOS!$C$1476),IF(IF(MOD(MIN(INT(($A88-1)/2)+1,CROQUIS_DATOS!$C$1558),2)=1,MOD($A88-1,2),1-MOD($A88-1,2))=1,CROQUIS_DATOS!$C$1476+CROQUIS_DATOS!$C$1528,CROQUIS_DATOS!$C$1476)))*CROQUIS_DATOS!$C$1561*CROQUIS_DATOS!$C$1562),-1000)</f>
        <v>43</v>
      </c>
      <c r="BZ88">
        <f>IF(AND(CROQUIS_DATOS!$C$1472=1,CROQUIS_DATOS!$C$1500&gt;0,((CROQUIS_DATOS!$C$1499+CROQUIS_DATOS!$C$1500))-(CROQUIS_DATOS!$C$1499)&gt;0.5,(CROQUIS_DATOS!$C$1476)-(0)&gt;0.5),(CROQUIS_DATOS!$C$1566+(IF(IF(MOD(MIN(INT(($A88-1)/2)+1,MAX(1,INT(((((CROQUIS_DATOS!$C$1499+CROQUIS_DATOS!$C$1500))-(CROQUIS_DATOS!$C$1499))+((CROQUIS_DATOS!$C$1476)*CROQUIS_DATOS!$C$1561-(0)*CROQUIS_DATOS!$C$1561))/CROQUIS_DATOS!$C$1568-0.000001))),2)=1,IF(INT(($A88-1)/2)+1&gt;MAX(1,INT(((((CROQUIS_DATOS!$C$1499+CROQUIS_DATOS!$C$1500))-(CROQUIS_DATOS!$C$1499))+((CROQUIS_DATOS!$C$1476)*CROQUIS_DATOS!$C$1561-(0)*CROQUIS_DATOS!$C$1561))/CROQUIS_DATOS!$C$1568-0.000001)),1,MOD($A88-1,2)),1-IF(INT(($A88-1)/2)+1&gt;MAX(1,INT(((((CROQUIS_DATOS!$C$1499+CROQUIS_DATOS!$C$1500))-(CROQUIS_DATOS!$C$1499))+((CROQUIS_DATOS!$C$1476)*CROQUIS_DATOS!$C$1561-(0)*CROQUIS_DATOS!$C$1561))/CROQUIS_DATOS!$C$1568-0.000001)),1,MOD($A88-1,2)))=1,MIN((CROQUIS_DATOS!$C$1476)*CROQUIS_DATOS!$C$1561,((CROQUIS_DATOS!$C$1499+CROQUIS_DATOS!$C$1500)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8">
        <f>IF(AND(CROQUIS_DATOS!$C$1472=1,CROQUIS_DATOS!$C$1500&gt;0,((CROQUIS_DATOS!$C$1499+CROQUIS_DATOS!$C$1500))-(CROQUIS_DATOS!$C$1499)&gt;0.5,(CROQUIS_DATOS!$C$1476)-(0)&gt;0.5),(CROQUIS_DATOS!$C$1567+(IF(IF(MOD(MIN(INT(($A88-1)/2)+1,MAX(1,INT(((((CROQUIS_DATOS!$C$1499+CROQUIS_DATOS!$C$1500))-(CROQUIS_DATOS!$C$1499))+((CROQUIS_DATOS!$C$1476)*CROQUIS_DATOS!$C$1561-(0)*CROQUIS_DATOS!$C$1561))/CROQUIS_DATOS!$C$1568-0.000001))),2)=1,IF(INT(($A88-1)/2)+1&gt;MAX(1,INT(((((CROQUIS_DATOS!$C$1499+CROQUIS_DATOS!$C$1500))-(CROQUIS_DATOS!$C$1499))+((CROQUIS_DATOS!$C$1476)*CROQUIS_DATOS!$C$1561-(0)*CROQUIS_DATOS!$C$1561))/CROQUIS_DATOS!$C$1568-0.000001)),1,MOD($A88-1,2)),1-IF(INT(($A88-1)/2)+1&gt;MAX(1,INT(((((CROQUIS_DATOS!$C$1499+CROQUIS_DATOS!$C$1500))-(CROQUIS_DATOS!$C$1499))+((CROQUIS_DATOS!$C$1476)*CROQUIS_DATOS!$C$1561-(0)*CROQUIS_DATOS!$C$1561))/CROQUIS_DATOS!$C$1568-0.000001)),1,MOD($A88-1,2)))=1,MIN((CROQUIS_DATOS!$C$1476)*CROQUIS_DATOS!$C$1561,((CROQUIS_DATOS!$C$1499+CROQUIS_DATOS!$C$1500)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8">
        <f>IF(AND(CROQUIS_DATOS!$C$1472=1,CROQUIS_DATOS!$C$1504&gt;0,((CROQUIS_DATOS!$C$1503+CROQUIS_DATOS!$C$1504))-(CROQUIS_DATOS!$C$1503)&gt;0.5,(CROQUIS_DATOS!$C$1476)-(0)&gt;0.5),(CROQUIS_DATOS!$C$1566+(IF(IF(MOD(MIN(INT(($A88-1)/2)+1,MAX(1,INT(((((CROQUIS_DATOS!$C$1503+CROQUIS_DATOS!$C$1504))-(CROQUIS_DATOS!$C$1503))+((CROQUIS_DATOS!$C$1476)*CROQUIS_DATOS!$C$1561-(0)*CROQUIS_DATOS!$C$1561))/CROQUIS_DATOS!$C$1568-0.000001))),2)=1,IF(INT(($A88-1)/2)+1&gt;MAX(1,INT(((((CROQUIS_DATOS!$C$1503+CROQUIS_DATOS!$C$1504))-(CROQUIS_DATOS!$C$1503))+((CROQUIS_DATOS!$C$1476)*CROQUIS_DATOS!$C$1561-(0)*CROQUIS_DATOS!$C$1561))/CROQUIS_DATOS!$C$1568-0.000001)),1,MOD($A88-1,2)),1-IF(INT(($A88-1)/2)+1&gt;MAX(1,INT(((((CROQUIS_DATOS!$C$1503+CROQUIS_DATOS!$C$1504))-(CROQUIS_DATOS!$C$1503))+((CROQUIS_DATOS!$C$1476)*CROQUIS_DATOS!$C$1561-(0)*CROQUIS_DATOS!$C$1561))/CROQUIS_DATOS!$C$1568-0.000001)),1,MOD($A88-1,2)))=1,MIN((CROQUIS_DATOS!$C$1476)*CROQUIS_DATOS!$C$1561,((CROQUIS_DATOS!$C$1503+CROQUIS_DATOS!$C$1504)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8">
        <f>IF(AND(CROQUIS_DATOS!$C$1472=1,CROQUIS_DATOS!$C$1504&gt;0,((CROQUIS_DATOS!$C$1503+CROQUIS_DATOS!$C$1504))-(CROQUIS_DATOS!$C$1503)&gt;0.5,(CROQUIS_DATOS!$C$1476)-(0)&gt;0.5),(CROQUIS_DATOS!$C$1567+(IF(IF(MOD(MIN(INT(($A88-1)/2)+1,MAX(1,INT(((((CROQUIS_DATOS!$C$1503+CROQUIS_DATOS!$C$1504))-(CROQUIS_DATOS!$C$1503))+((CROQUIS_DATOS!$C$1476)*CROQUIS_DATOS!$C$1561-(0)*CROQUIS_DATOS!$C$1561))/CROQUIS_DATOS!$C$1568-0.000001))),2)=1,IF(INT(($A88-1)/2)+1&gt;MAX(1,INT(((((CROQUIS_DATOS!$C$1503+CROQUIS_DATOS!$C$1504))-(CROQUIS_DATOS!$C$1503))+((CROQUIS_DATOS!$C$1476)*CROQUIS_DATOS!$C$1561-(0)*CROQUIS_DATOS!$C$1561))/CROQUIS_DATOS!$C$1568-0.000001)),1,MOD($A88-1,2)),1-IF(INT(($A88-1)/2)+1&gt;MAX(1,INT(((((CROQUIS_DATOS!$C$1503+CROQUIS_DATOS!$C$1504))-(CROQUIS_DATOS!$C$1503))+((CROQUIS_DATOS!$C$1476)*CROQUIS_DATOS!$C$1561-(0)*CROQUIS_DATOS!$C$1561))/CROQUIS_DATOS!$C$1568-0.000001)),1,MOD($A88-1,2)))=1,MIN((CROQUIS_DATOS!$C$1476)*CROQUIS_DATOS!$C$1561,((CROQUIS_DATOS!$C$1503+CROQUIS_DATOS!$C$1504)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8">
        <f>IF(AND(CROQUIS_DATOS!$C$1472=1,CROQUIS_DATOS!$C$1508&gt;0,((CROQUIS_DATOS!$C$1507+CROQUIS_DATOS!$C$1508))-(CROQUIS_DATOS!$C$1507)&gt;0.5,(CROQUIS_DATOS!$C$1476)-(0)&gt;0.5),(CROQUIS_DATOS!$C$1566+(IF(IF(MOD(MIN(INT(($A88-1)/2)+1,MAX(1,INT(((((CROQUIS_DATOS!$C$1507+CROQUIS_DATOS!$C$1508))-(CROQUIS_DATOS!$C$1507))+((CROQUIS_DATOS!$C$1476)*CROQUIS_DATOS!$C$1561-(0)*CROQUIS_DATOS!$C$1561))/CROQUIS_DATOS!$C$1568-0.000001))),2)=1,IF(INT(($A88-1)/2)+1&gt;MAX(1,INT(((((CROQUIS_DATOS!$C$1507+CROQUIS_DATOS!$C$1508))-(CROQUIS_DATOS!$C$1507))+((CROQUIS_DATOS!$C$1476)*CROQUIS_DATOS!$C$1561-(0)*CROQUIS_DATOS!$C$1561))/CROQUIS_DATOS!$C$1568-0.000001)),1,MOD($A88-1,2)),1-IF(INT(($A88-1)/2)+1&gt;MAX(1,INT(((((CROQUIS_DATOS!$C$1507+CROQUIS_DATOS!$C$1508))-(CROQUIS_DATOS!$C$1507))+((CROQUIS_DATOS!$C$1476)*CROQUIS_DATOS!$C$1561-(0)*CROQUIS_DATOS!$C$1561))/CROQUIS_DATOS!$C$1568-0.000001)),1,MOD($A88-1,2)))=1,MIN((CROQUIS_DATOS!$C$1476)*CROQUIS_DATOS!$C$1561,((CROQUIS_DATOS!$C$1507+CROQUIS_DATOS!$C$1508)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8">
        <f>IF(AND(CROQUIS_DATOS!$C$1472=1,CROQUIS_DATOS!$C$1508&gt;0,((CROQUIS_DATOS!$C$1507+CROQUIS_DATOS!$C$1508))-(CROQUIS_DATOS!$C$1507)&gt;0.5,(CROQUIS_DATOS!$C$1476)-(0)&gt;0.5),(CROQUIS_DATOS!$C$1567+(IF(IF(MOD(MIN(INT(($A88-1)/2)+1,MAX(1,INT(((((CROQUIS_DATOS!$C$1507+CROQUIS_DATOS!$C$1508))-(CROQUIS_DATOS!$C$1507))+((CROQUIS_DATOS!$C$1476)*CROQUIS_DATOS!$C$1561-(0)*CROQUIS_DATOS!$C$1561))/CROQUIS_DATOS!$C$1568-0.000001))),2)=1,IF(INT(($A88-1)/2)+1&gt;MAX(1,INT(((((CROQUIS_DATOS!$C$1507+CROQUIS_DATOS!$C$1508))-(CROQUIS_DATOS!$C$1507))+((CROQUIS_DATOS!$C$1476)*CROQUIS_DATOS!$C$1561-(0)*CROQUIS_DATOS!$C$1561))/CROQUIS_DATOS!$C$1568-0.000001)),1,MOD($A88-1,2)),1-IF(INT(($A88-1)/2)+1&gt;MAX(1,INT(((((CROQUIS_DATOS!$C$1507+CROQUIS_DATOS!$C$1508))-(CROQUIS_DATOS!$C$1507))+((CROQUIS_DATOS!$C$1476)*CROQUIS_DATOS!$C$1561-(0)*CROQUIS_DATOS!$C$1561))/CROQUIS_DATOS!$C$1568-0.000001)),1,MOD($A88-1,2)))=1,MIN((CROQUIS_DATOS!$C$1476)*CROQUIS_DATOS!$C$1561,((CROQUIS_DATOS!$C$1507+CROQUIS_DATOS!$C$1508)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8">
        <f>IF(AND(CROQUIS_DATOS!$C$1472=1,CROQUIS_DATOS!$C$1512&gt;0,((CROQUIS_DATOS!$C$1511+CROQUIS_DATOS!$C$1512))-(CROQUIS_DATOS!$C$1511)&gt;0.5,(CROQUIS_DATOS!$C$1476)-(0)&gt;0.5),(CROQUIS_DATOS!$C$1566+(IF(IF(MOD(MIN(INT(($A88-1)/2)+1,MAX(1,INT(((((CROQUIS_DATOS!$C$1511+CROQUIS_DATOS!$C$1512))-(CROQUIS_DATOS!$C$1511))+((CROQUIS_DATOS!$C$1476)*CROQUIS_DATOS!$C$1561-(0)*CROQUIS_DATOS!$C$1561))/CROQUIS_DATOS!$C$1568-0.000001))),2)=1,IF(INT(($A88-1)/2)+1&gt;MAX(1,INT(((((CROQUIS_DATOS!$C$1511+CROQUIS_DATOS!$C$1512))-(CROQUIS_DATOS!$C$1511))+((CROQUIS_DATOS!$C$1476)*CROQUIS_DATOS!$C$1561-(0)*CROQUIS_DATOS!$C$1561))/CROQUIS_DATOS!$C$1568-0.000001)),1,MOD($A88-1,2)),1-IF(INT(($A88-1)/2)+1&gt;MAX(1,INT(((((CROQUIS_DATOS!$C$1511+CROQUIS_DATOS!$C$1512))-(CROQUIS_DATOS!$C$1511))+((CROQUIS_DATOS!$C$1476)*CROQUIS_DATOS!$C$1561-(0)*CROQUIS_DATOS!$C$1561))/CROQUIS_DATOS!$C$1568-0.000001)),1,MOD($A88-1,2)))=1,MIN((CROQUIS_DATOS!$C$1476)*CROQUIS_DATOS!$C$1561,((CROQUIS_DATOS!$C$1511+CROQUIS_DATOS!$C$1512)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8">
        <f>IF(AND(CROQUIS_DATOS!$C$1472=1,CROQUIS_DATOS!$C$1512&gt;0,((CROQUIS_DATOS!$C$1511+CROQUIS_DATOS!$C$1512))-(CROQUIS_DATOS!$C$1511)&gt;0.5,(CROQUIS_DATOS!$C$1476)-(0)&gt;0.5),(CROQUIS_DATOS!$C$1567+(IF(IF(MOD(MIN(INT(($A88-1)/2)+1,MAX(1,INT(((((CROQUIS_DATOS!$C$1511+CROQUIS_DATOS!$C$1512))-(CROQUIS_DATOS!$C$1511))+((CROQUIS_DATOS!$C$1476)*CROQUIS_DATOS!$C$1561-(0)*CROQUIS_DATOS!$C$1561))/CROQUIS_DATOS!$C$1568-0.000001))),2)=1,IF(INT(($A88-1)/2)+1&gt;MAX(1,INT(((((CROQUIS_DATOS!$C$1511+CROQUIS_DATOS!$C$1512))-(CROQUIS_DATOS!$C$1511))+((CROQUIS_DATOS!$C$1476)*CROQUIS_DATOS!$C$1561-(0)*CROQUIS_DATOS!$C$1561))/CROQUIS_DATOS!$C$1568-0.000001)),1,MOD($A88-1,2)),1-IF(INT(($A88-1)/2)+1&gt;MAX(1,INT(((((CROQUIS_DATOS!$C$1511+CROQUIS_DATOS!$C$1512))-(CROQUIS_DATOS!$C$1511))+((CROQUIS_DATOS!$C$1476)*CROQUIS_DATOS!$C$1561-(0)*CROQUIS_DATOS!$C$1561))/CROQUIS_DATOS!$C$1568-0.000001)),1,MOD($A88-1,2)))=1,MIN((CROQUIS_DATOS!$C$1476)*CROQUIS_DATOS!$C$1561,((CROQUIS_DATOS!$C$1511+CROQUIS_DATOS!$C$1512)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8">
        <f>IF(AND(CROQUIS_DATOS!$C$1472=1,CROQUIS_DATOS!$C$1516&gt;0,((CROQUIS_DATOS!$C$1515+CROQUIS_DATOS!$C$1516))-(CROQUIS_DATOS!$C$1515)&gt;0.5,(CROQUIS_DATOS!$C$1476)-(0)&gt;0.5),(CROQUIS_DATOS!$C$1566+(IF(IF(MOD(MIN(INT(($A88-1)/2)+1,MAX(1,INT(((((CROQUIS_DATOS!$C$1515+CROQUIS_DATOS!$C$1516))-(CROQUIS_DATOS!$C$1515))+((CROQUIS_DATOS!$C$1476)*CROQUIS_DATOS!$C$1561-(0)*CROQUIS_DATOS!$C$1561))/CROQUIS_DATOS!$C$1568-0.000001))),2)=1,IF(INT(($A88-1)/2)+1&gt;MAX(1,INT(((((CROQUIS_DATOS!$C$1515+CROQUIS_DATOS!$C$1516))-(CROQUIS_DATOS!$C$1515))+((CROQUIS_DATOS!$C$1476)*CROQUIS_DATOS!$C$1561-(0)*CROQUIS_DATOS!$C$1561))/CROQUIS_DATOS!$C$1568-0.000001)),1,MOD($A88-1,2)),1-IF(INT(($A88-1)/2)+1&gt;MAX(1,INT(((((CROQUIS_DATOS!$C$1515+CROQUIS_DATOS!$C$1516))-(CROQUIS_DATOS!$C$1515))+((CROQUIS_DATOS!$C$1476)*CROQUIS_DATOS!$C$1561-(0)*CROQUIS_DATOS!$C$1561))/CROQUIS_DATOS!$C$1568-0.000001)),1,MOD($A88-1,2)))=1,MIN((CROQUIS_DATOS!$C$1476)*CROQUIS_DATOS!$C$1561,((CROQUIS_DATOS!$C$1515+CROQUIS_DATOS!$C$1516)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8">
        <f>IF(AND(CROQUIS_DATOS!$C$1472=1,CROQUIS_DATOS!$C$1516&gt;0,((CROQUIS_DATOS!$C$1515+CROQUIS_DATOS!$C$1516))-(CROQUIS_DATOS!$C$1515)&gt;0.5,(CROQUIS_DATOS!$C$1476)-(0)&gt;0.5),(CROQUIS_DATOS!$C$1567+(IF(IF(MOD(MIN(INT(($A88-1)/2)+1,MAX(1,INT(((((CROQUIS_DATOS!$C$1515+CROQUIS_DATOS!$C$1516))-(CROQUIS_DATOS!$C$1515))+((CROQUIS_DATOS!$C$1476)*CROQUIS_DATOS!$C$1561-(0)*CROQUIS_DATOS!$C$1561))/CROQUIS_DATOS!$C$1568-0.000001))),2)=1,IF(INT(($A88-1)/2)+1&gt;MAX(1,INT(((((CROQUIS_DATOS!$C$1515+CROQUIS_DATOS!$C$1516))-(CROQUIS_DATOS!$C$1515))+((CROQUIS_DATOS!$C$1476)*CROQUIS_DATOS!$C$1561-(0)*CROQUIS_DATOS!$C$1561))/CROQUIS_DATOS!$C$1568-0.000001)),1,MOD($A88-1,2)),1-IF(INT(($A88-1)/2)+1&gt;MAX(1,INT(((((CROQUIS_DATOS!$C$1515+CROQUIS_DATOS!$C$1516))-(CROQUIS_DATOS!$C$1515))+((CROQUIS_DATOS!$C$1476)*CROQUIS_DATOS!$C$1561-(0)*CROQUIS_DATOS!$C$1561))/CROQUIS_DATOS!$C$1568-0.000001)),1,MOD($A88-1,2)))=1,MIN((CROQUIS_DATOS!$C$1476)*CROQUIS_DATOS!$C$1561,((CROQUIS_DATOS!$C$1515+CROQUIS_DATOS!$C$1516)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8">
        <f>IF(AND(CROQUIS_DATOS!$C$1472=1,CROQUIS_DATOS!$C$1478&gt;=1,((CROQUIS_DATOS!$C$1479+CROQUIS_DATOS!$C$1480))-(CROQUIS_DATOS!$C$1479)&gt;0.5,(CROQUIS_DATOS!$C$1481)-(0)&gt;0.5),(CROQUIS_DATOS!$C$1566+(IF(IF(MOD(MIN(INT(($A88-1)/2)+1,MAX(1,INT(((((CROQUIS_DATOS!$C$1479+CROQUIS_DATOS!$C$1480))-(CROQUIS_DATOS!$C$1479))+((CROQUIS_DATOS!$C$1481)*CROQUIS_DATOS!$C$1561-(0)*CROQUIS_DATOS!$C$1561))/CROQUIS_DATOS!$C$1568-0.000001))),2)=1,IF(INT(($A88-1)/2)+1&gt;MAX(1,INT(((((CROQUIS_DATOS!$C$1479+CROQUIS_DATOS!$C$1480))-(CROQUIS_DATOS!$C$1479))+((CROQUIS_DATOS!$C$1481)*CROQUIS_DATOS!$C$1561-(0)*CROQUIS_DATOS!$C$1561))/CROQUIS_DATOS!$C$1568-0.000001)),1,MOD($A88-1,2)),1-IF(INT(($A88-1)/2)+1&gt;MAX(1,INT(((((CROQUIS_DATOS!$C$1479+CROQUIS_DATOS!$C$1480))-(CROQUIS_DATOS!$C$1479))+((CROQUIS_DATOS!$C$1481)*CROQUIS_DATOS!$C$1561-(0)*CROQUIS_DATOS!$C$1561))/CROQUIS_DATOS!$C$1568-0.000001)),1,MOD($A88-1,2)))=1,MIN((CROQUIS_DATOS!$C$1481)*CROQUIS_DATOS!$C$1561,((CROQUIS_DATOS!$C$1479+CROQUIS_DATOS!$C$1480)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8">
        <f>IF(AND(CROQUIS_DATOS!$C$1472=1,CROQUIS_DATOS!$C$1478&gt;=1,((CROQUIS_DATOS!$C$1479+CROQUIS_DATOS!$C$1480))-(CROQUIS_DATOS!$C$1479)&gt;0.5,(CROQUIS_DATOS!$C$1481)-(0)&gt;0.5),(CROQUIS_DATOS!$C$1567+(IF(IF(MOD(MIN(INT(($A88-1)/2)+1,MAX(1,INT(((((CROQUIS_DATOS!$C$1479+CROQUIS_DATOS!$C$1480))-(CROQUIS_DATOS!$C$1479))+((CROQUIS_DATOS!$C$1481)*CROQUIS_DATOS!$C$1561-(0)*CROQUIS_DATOS!$C$1561))/CROQUIS_DATOS!$C$1568-0.000001))),2)=1,IF(INT(($A88-1)/2)+1&gt;MAX(1,INT(((((CROQUIS_DATOS!$C$1479+CROQUIS_DATOS!$C$1480))-(CROQUIS_DATOS!$C$1479))+((CROQUIS_DATOS!$C$1481)*CROQUIS_DATOS!$C$1561-(0)*CROQUIS_DATOS!$C$1561))/CROQUIS_DATOS!$C$1568-0.000001)),1,MOD($A88-1,2)),1-IF(INT(($A88-1)/2)+1&gt;MAX(1,INT(((((CROQUIS_DATOS!$C$1479+CROQUIS_DATOS!$C$1480))-(CROQUIS_DATOS!$C$1479))+((CROQUIS_DATOS!$C$1481)*CROQUIS_DATOS!$C$1561-(0)*CROQUIS_DATOS!$C$1561))/CROQUIS_DATOS!$C$1568-0.000001)),1,MOD($A88-1,2)))=1,MIN((CROQUIS_DATOS!$C$1481)*CROQUIS_DATOS!$C$1561,((CROQUIS_DATOS!$C$1479+CROQUIS_DATOS!$C$1480)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8">
        <f>IF(AND(CROQUIS_DATOS!$C$1472=1,CROQUIS_DATOS!$C$1478&gt;=1,((CROQUIS_DATOS!$C$1479+CROQUIS_DATOS!$C$1480))-(CROQUIS_DATOS!$C$1479)&gt;0.5,(CROQUIS_DATOS!$C$1476)-((CROQUIS_DATOS!$C$1481+CROQUIS_DATOS!$C$1482))&gt;0.5),(CROQUIS_DATOS!$C$1566+(IF(IF(MOD(MIN(INT(($A88-1)/2)+1,MAX(1,INT(((((CROQUIS_DATOS!$C$1479+CROQUIS_DATOS!$C$1480))-(CROQUIS_DATOS!$C$1479))+((CROQUIS_DATOS!$C$1476)*CROQUIS_DATOS!$C$1561-((CROQUIS_DATOS!$C$1481+CROQUIS_DATOS!$C$1482))*CROQUIS_DATOS!$C$1561))/CROQUIS_DATOS!$C$1568-0.000001))),2)=1,IF(INT(($A88-1)/2)+1&gt;MAX(1,INT(((((CROQUIS_DATOS!$C$1479+CROQUIS_DATOS!$C$1480))-(CROQUIS_DATOS!$C$1479))+((CROQUIS_DATOS!$C$1476)*CROQUIS_DATOS!$C$1561-((CROQUIS_DATOS!$C$1481+CROQUIS_DATOS!$C$1482))*CROQUIS_DATOS!$C$1561))/CROQUIS_DATOS!$C$1568-0.000001)),1,MOD($A88-1,2)),1-IF(INT(($A88-1)/2)+1&gt;MAX(1,INT(((((CROQUIS_DATOS!$C$1479+CROQUIS_DATOS!$C$1480))-(CROQUIS_DATOS!$C$1479))+((CROQUIS_DATOS!$C$1476)*CROQUIS_DATOS!$C$1561-((CROQUIS_DATOS!$C$1481+CROQUIS_DATOS!$C$1482))*CROQUIS_DATOS!$C$1561))/CROQUIS_DATOS!$C$1568-0.000001)),1,MOD($A88-1,2)))=1,MIN((CROQUIS_DATOS!$C$1476)*CROQUIS_DATOS!$C$1561,((CROQUIS_DATOS!$C$1479+CROQUIS_DATOS!$C$1480)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8">
        <f>IF(AND(CROQUIS_DATOS!$C$1472=1,CROQUIS_DATOS!$C$1478&gt;=1,((CROQUIS_DATOS!$C$1479+CROQUIS_DATOS!$C$1480))-(CROQUIS_DATOS!$C$1479)&gt;0.5,(CROQUIS_DATOS!$C$1476)-((CROQUIS_DATOS!$C$1481+CROQUIS_DATOS!$C$1482))&gt;0.5),(CROQUIS_DATOS!$C$1567+(IF(IF(MOD(MIN(INT(($A88-1)/2)+1,MAX(1,INT(((((CROQUIS_DATOS!$C$1479+CROQUIS_DATOS!$C$1480))-(CROQUIS_DATOS!$C$1479))+((CROQUIS_DATOS!$C$1476)*CROQUIS_DATOS!$C$1561-((CROQUIS_DATOS!$C$1481+CROQUIS_DATOS!$C$1482))*CROQUIS_DATOS!$C$1561))/CROQUIS_DATOS!$C$1568-0.000001))),2)=1,IF(INT(($A88-1)/2)+1&gt;MAX(1,INT(((((CROQUIS_DATOS!$C$1479+CROQUIS_DATOS!$C$1480))-(CROQUIS_DATOS!$C$1479))+((CROQUIS_DATOS!$C$1476)*CROQUIS_DATOS!$C$1561-((CROQUIS_DATOS!$C$1481+CROQUIS_DATOS!$C$1482))*CROQUIS_DATOS!$C$1561))/CROQUIS_DATOS!$C$1568-0.000001)),1,MOD($A88-1,2)),1-IF(INT(($A88-1)/2)+1&gt;MAX(1,INT(((((CROQUIS_DATOS!$C$1479+CROQUIS_DATOS!$C$1480))-(CROQUIS_DATOS!$C$1479))+((CROQUIS_DATOS!$C$1476)*CROQUIS_DATOS!$C$1561-((CROQUIS_DATOS!$C$1481+CROQUIS_DATOS!$C$1482))*CROQUIS_DATOS!$C$1561))/CROQUIS_DATOS!$C$1568-0.000001)),1,MOD($A88-1,2)))=1,MIN((CROQUIS_DATOS!$C$1476)*CROQUIS_DATOS!$C$1561,((CROQUIS_DATOS!$C$1479+CROQUIS_DATOS!$C$1480)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8">
        <f>IF(AND(CROQUIS_DATOS!$C$1472=1,CROQUIS_DATOS!$C$1478&gt;=2,((CROQUIS_DATOS!$C$1484+CROQUIS_DATOS!$C$1485))-(CROQUIS_DATOS!$C$1484)&gt;0.5,(CROQUIS_DATOS!$C$1486)-(0)&gt;0.5),(CROQUIS_DATOS!$C$1566+(IF(IF(MOD(MIN(INT(($A88-1)/2)+1,MAX(1,INT(((((CROQUIS_DATOS!$C$1484+CROQUIS_DATOS!$C$1485))-(CROQUIS_DATOS!$C$1484))+((CROQUIS_DATOS!$C$1486)*CROQUIS_DATOS!$C$1561-(0)*CROQUIS_DATOS!$C$1561))/CROQUIS_DATOS!$C$1568-0.000001))),2)=1,IF(INT(($A88-1)/2)+1&gt;MAX(1,INT(((((CROQUIS_DATOS!$C$1484+CROQUIS_DATOS!$C$1485))-(CROQUIS_DATOS!$C$1484))+((CROQUIS_DATOS!$C$1486)*CROQUIS_DATOS!$C$1561-(0)*CROQUIS_DATOS!$C$1561))/CROQUIS_DATOS!$C$1568-0.000001)),1,MOD($A88-1,2)),1-IF(INT(($A88-1)/2)+1&gt;MAX(1,INT(((((CROQUIS_DATOS!$C$1484+CROQUIS_DATOS!$C$1485))-(CROQUIS_DATOS!$C$1484))+((CROQUIS_DATOS!$C$1486)*CROQUIS_DATOS!$C$1561-(0)*CROQUIS_DATOS!$C$1561))/CROQUIS_DATOS!$C$1568-0.000001)),1,MOD($A88-1,2)))=1,MIN((CROQUIS_DATOS!$C$1486)*CROQUIS_DATOS!$C$1561,((CROQUIS_DATOS!$C$1484+CROQUIS_DATOS!$C$1485)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8">
        <f>IF(AND(CROQUIS_DATOS!$C$1472=1,CROQUIS_DATOS!$C$1478&gt;=2,((CROQUIS_DATOS!$C$1484+CROQUIS_DATOS!$C$1485))-(CROQUIS_DATOS!$C$1484)&gt;0.5,(CROQUIS_DATOS!$C$1486)-(0)&gt;0.5),(CROQUIS_DATOS!$C$1567+(IF(IF(MOD(MIN(INT(($A88-1)/2)+1,MAX(1,INT(((((CROQUIS_DATOS!$C$1484+CROQUIS_DATOS!$C$1485))-(CROQUIS_DATOS!$C$1484))+((CROQUIS_DATOS!$C$1486)*CROQUIS_DATOS!$C$1561-(0)*CROQUIS_DATOS!$C$1561))/CROQUIS_DATOS!$C$1568-0.000001))),2)=1,IF(INT(($A88-1)/2)+1&gt;MAX(1,INT(((((CROQUIS_DATOS!$C$1484+CROQUIS_DATOS!$C$1485))-(CROQUIS_DATOS!$C$1484))+((CROQUIS_DATOS!$C$1486)*CROQUIS_DATOS!$C$1561-(0)*CROQUIS_DATOS!$C$1561))/CROQUIS_DATOS!$C$1568-0.000001)),1,MOD($A88-1,2)),1-IF(INT(($A88-1)/2)+1&gt;MAX(1,INT(((((CROQUIS_DATOS!$C$1484+CROQUIS_DATOS!$C$1485))-(CROQUIS_DATOS!$C$1484))+((CROQUIS_DATOS!$C$1486)*CROQUIS_DATOS!$C$1561-(0)*CROQUIS_DATOS!$C$1561))/CROQUIS_DATOS!$C$1568-0.000001)),1,MOD($A88-1,2)))=1,MIN((CROQUIS_DATOS!$C$1486)*CROQUIS_DATOS!$C$1561,((CROQUIS_DATOS!$C$1484+CROQUIS_DATOS!$C$1485)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8">
        <f>IF(AND(CROQUIS_DATOS!$C$1472=1,CROQUIS_DATOS!$C$1478&gt;=2,((CROQUIS_DATOS!$C$1484+CROQUIS_DATOS!$C$1485))-(CROQUIS_DATOS!$C$1484)&gt;0.5,(CROQUIS_DATOS!$C$1476)-((CROQUIS_DATOS!$C$1486+CROQUIS_DATOS!$C$1487))&gt;0.5),(CROQUIS_DATOS!$C$1566+(IF(IF(MOD(MIN(INT(($A88-1)/2)+1,MAX(1,INT(((((CROQUIS_DATOS!$C$1484+CROQUIS_DATOS!$C$1485))-(CROQUIS_DATOS!$C$1484))+((CROQUIS_DATOS!$C$1476)*CROQUIS_DATOS!$C$1561-((CROQUIS_DATOS!$C$1486+CROQUIS_DATOS!$C$1487))*CROQUIS_DATOS!$C$1561))/CROQUIS_DATOS!$C$1568-0.000001))),2)=1,IF(INT(($A88-1)/2)+1&gt;MAX(1,INT(((((CROQUIS_DATOS!$C$1484+CROQUIS_DATOS!$C$1485))-(CROQUIS_DATOS!$C$1484))+((CROQUIS_DATOS!$C$1476)*CROQUIS_DATOS!$C$1561-((CROQUIS_DATOS!$C$1486+CROQUIS_DATOS!$C$1487))*CROQUIS_DATOS!$C$1561))/CROQUIS_DATOS!$C$1568-0.000001)),1,MOD($A88-1,2)),1-IF(INT(($A88-1)/2)+1&gt;MAX(1,INT(((((CROQUIS_DATOS!$C$1484+CROQUIS_DATOS!$C$1485))-(CROQUIS_DATOS!$C$1484))+((CROQUIS_DATOS!$C$1476)*CROQUIS_DATOS!$C$1561-((CROQUIS_DATOS!$C$1486+CROQUIS_DATOS!$C$1487))*CROQUIS_DATOS!$C$1561))/CROQUIS_DATOS!$C$1568-0.000001)),1,MOD($A88-1,2)))=1,MIN((CROQUIS_DATOS!$C$1476)*CROQUIS_DATOS!$C$1561,((CROQUIS_DATOS!$C$1484+CROQUIS_DATOS!$C$1485)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8">
        <f>IF(AND(CROQUIS_DATOS!$C$1472=1,CROQUIS_DATOS!$C$1478&gt;=2,((CROQUIS_DATOS!$C$1484+CROQUIS_DATOS!$C$1485))-(CROQUIS_DATOS!$C$1484)&gt;0.5,(CROQUIS_DATOS!$C$1476)-((CROQUIS_DATOS!$C$1486+CROQUIS_DATOS!$C$1487))&gt;0.5),(CROQUIS_DATOS!$C$1567+(IF(IF(MOD(MIN(INT(($A88-1)/2)+1,MAX(1,INT(((((CROQUIS_DATOS!$C$1484+CROQUIS_DATOS!$C$1485))-(CROQUIS_DATOS!$C$1484))+((CROQUIS_DATOS!$C$1476)*CROQUIS_DATOS!$C$1561-((CROQUIS_DATOS!$C$1486+CROQUIS_DATOS!$C$1487))*CROQUIS_DATOS!$C$1561))/CROQUIS_DATOS!$C$1568-0.000001))),2)=1,IF(INT(($A88-1)/2)+1&gt;MAX(1,INT(((((CROQUIS_DATOS!$C$1484+CROQUIS_DATOS!$C$1485))-(CROQUIS_DATOS!$C$1484))+((CROQUIS_DATOS!$C$1476)*CROQUIS_DATOS!$C$1561-((CROQUIS_DATOS!$C$1486+CROQUIS_DATOS!$C$1487))*CROQUIS_DATOS!$C$1561))/CROQUIS_DATOS!$C$1568-0.000001)),1,MOD($A88-1,2)),1-IF(INT(($A88-1)/2)+1&gt;MAX(1,INT(((((CROQUIS_DATOS!$C$1484+CROQUIS_DATOS!$C$1485))-(CROQUIS_DATOS!$C$1484))+((CROQUIS_DATOS!$C$1476)*CROQUIS_DATOS!$C$1561-((CROQUIS_DATOS!$C$1486+CROQUIS_DATOS!$C$1487))*CROQUIS_DATOS!$C$1561))/CROQUIS_DATOS!$C$1568-0.000001)),1,MOD($A88-1,2)))=1,MIN((CROQUIS_DATOS!$C$1476)*CROQUIS_DATOS!$C$1561,((CROQUIS_DATOS!$C$1484+CROQUIS_DATOS!$C$1485)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8">
        <f>IF(AND(CROQUIS_DATOS!$C$1472=1,CROQUIS_DATOS!$C$1478&gt;=3,((CROQUIS_DATOS!$C$1489+CROQUIS_DATOS!$C$1490))-(CROQUIS_DATOS!$C$1489)&gt;0.5,(CROQUIS_DATOS!$C$1491)-(0)&gt;0.5),(CROQUIS_DATOS!$C$1566+(IF(IF(MOD(MIN(INT(($A88-1)/2)+1,MAX(1,INT(((((CROQUIS_DATOS!$C$1489+CROQUIS_DATOS!$C$1490))-(CROQUIS_DATOS!$C$1489))+((CROQUIS_DATOS!$C$1491)*CROQUIS_DATOS!$C$1561-(0)*CROQUIS_DATOS!$C$1561))/CROQUIS_DATOS!$C$1568-0.000001))),2)=1,IF(INT(($A88-1)/2)+1&gt;MAX(1,INT(((((CROQUIS_DATOS!$C$1489+CROQUIS_DATOS!$C$1490))-(CROQUIS_DATOS!$C$1489))+((CROQUIS_DATOS!$C$1491)*CROQUIS_DATOS!$C$1561-(0)*CROQUIS_DATOS!$C$1561))/CROQUIS_DATOS!$C$1568-0.000001)),1,MOD($A88-1,2)),1-IF(INT(($A88-1)/2)+1&gt;MAX(1,INT(((((CROQUIS_DATOS!$C$1489+CROQUIS_DATOS!$C$1490))-(CROQUIS_DATOS!$C$1489))+((CROQUIS_DATOS!$C$1491)*CROQUIS_DATOS!$C$1561-(0)*CROQUIS_DATOS!$C$1561))/CROQUIS_DATOS!$C$1568-0.000001)),1,MOD($A88-1,2)))=1,MIN((CROQUIS_DATOS!$C$1491)*CROQUIS_DATOS!$C$1561,((CROQUIS_DATOS!$C$1489+CROQUIS_DATOS!$C$1490)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8">
        <f>IF(AND(CROQUIS_DATOS!$C$1472=1,CROQUIS_DATOS!$C$1478&gt;=3,((CROQUIS_DATOS!$C$1489+CROQUIS_DATOS!$C$1490))-(CROQUIS_DATOS!$C$1489)&gt;0.5,(CROQUIS_DATOS!$C$1491)-(0)&gt;0.5),(CROQUIS_DATOS!$C$1567+(IF(IF(MOD(MIN(INT(($A88-1)/2)+1,MAX(1,INT(((((CROQUIS_DATOS!$C$1489+CROQUIS_DATOS!$C$1490))-(CROQUIS_DATOS!$C$1489))+((CROQUIS_DATOS!$C$1491)*CROQUIS_DATOS!$C$1561-(0)*CROQUIS_DATOS!$C$1561))/CROQUIS_DATOS!$C$1568-0.000001))),2)=1,IF(INT(($A88-1)/2)+1&gt;MAX(1,INT(((((CROQUIS_DATOS!$C$1489+CROQUIS_DATOS!$C$1490))-(CROQUIS_DATOS!$C$1489))+((CROQUIS_DATOS!$C$1491)*CROQUIS_DATOS!$C$1561-(0)*CROQUIS_DATOS!$C$1561))/CROQUIS_DATOS!$C$1568-0.000001)),1,MOD($A88-1,2)),1-IF(INT(($A88-1)/2)+1&gt;MAX(1,INT(((((CROQUIS_DATOS!$C$1489+CROQUIS_DATOS!$C$1490))-(CROQUIS_DATOS!$C$1489))+((CROQUIS_DATOS!$C$1491)*CROQUIS_DATOS!$C$1561-(0)*CROQUIS_DATOS!$C$1561))/CROQUIS_DATOS!$C$1568-0.000001)),1,MOD($A88-1,2)))=1,MIN((CROQUIS_DATOS!$C$1491)*CROQUIS_DATOS!$C$1561,((CROQUIS_DATOS!$C$1489+CROQUIS_DATOS!$C$1490)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8">
        <f>IF(AND(CROQUIS_DATOS!$C$1472=1,CROQUIS_DATOS!$C$1478&gt;=3,((CROQUIS_DATOS!$C$1489+CROQUIS_DATOS!$C$1490))-(CROQUIS_DATOS!$C$1489)&gt;0.5,(CROQUIS_DATOS!$C$1476)-((CROQUIS_DATOS!$C$1491+CROQUIS_DATOS!$C$1492))&gt;0.5),(CROQUIS_DATOS!$C$1566+(IF(IF(MOD(MIN(INT(($A88-1)/2)+1,MAX(1,INT(((((CROQUIS_DATOS!$C$1489+CROQUIS_DATOS!$C$1490))-(CROQUIS_DATOS!$C$1489))+((CROQUIS_DATOS!$C$1476)*CROQUIS_DATOS!$C$1561-((CROQUIS_DATOS!$C$1491+CROQUIS_DATOS!$C$1492))*CROQUIS_DATOS!$C$1561))/CROQUIS_DATOS!$C$1568-0.000001))),2)=1,IF(INT(($A88-1)/2)+1&gt;MAX(1,INT(((((CROQUIS_DATOS!$C$1489+CROQUIS_DATOS!$C$1490))-(CROQUIS_DATOS!$C$1489))+((CROQUIS_DATOS!$C$1476)*CROQUIS_DATOS!$C$1561-((CROQUIS_DATOS!$C$1491+CROQUIS_DATOS!$C$1492))*CROQUIS_DATOS!$C$1561))/CROQUIS_DATOS!$C$1568-0.000001)),1,MOD($A88-1,2)),1-IF(INT(($A88-1)/2)+1&gt;MAX(1,INT(((((CROQUIS_DATOS!$C$1489+CROQUIS_DATOS!$C$1490))-(CROQUIS_DATOS!$C$1489))+((CROQUIS_DATOS!$C$1476)*CROQUIS_DATOS!$C$1561-((CROQUIS_DATOS!$C$1491+CROQUIS_DATOS!$C$1492))*CROQUIS_DATOS!$C$1561))/CROQUIS_DATOS!$C$1568-0.000001)),1,MOD($A88-1,2)))=1,MIN((CROQUIS_DATOS!$C$1476)*CROQUIS_DATOS!$C$1561,((CROQUIS_DATOS!$C$1489+CROQUIS_DATOS!$C$1490)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8">
        <f>IF(AND(CROQUIS_DATOS!$C$1472=1,CROQUIS_DATOS!$C$1478&gt;=3,((CROQUIS_DATOS!$C$1489+CROQUIS_DATOS!$C$1490))-(CROQUIS_DATOS!$C$1489)&gt;0.5,(CROQUIS_DATOS!$C$1476)-((CROQUIS_DATOS!$C$1491+CROQUIS_DATOS!$C$1492))&gt;0.5),(CROQUIS_DATOS!$C$1567+(IF(IF(MOD(MIN(INT(($A88-1)/2)+1,MAX(1,INT(((((CROQUIS_DATOS!$C$1489+CROQUIS_DATOS!$C$1490))-(CROQUIS_DATOS!$C$1489))+((CROQUIS_DATOS!$C$1476)*CROQUIS_DATOS!$C$1561-((CROQUIS_DATOS!$C$1491+CROQUIS_DATOS!$C$1492))*CROQUIS_DATOS!$C$1561))/CROQUIS_DATOS!$C$1568-0.000001))),2)=1,IF(INT(($A88-1)/2)+1&gt;MAX(1,INT(((((CROQUIS_DATOS!$C$1489+CROQUIS_DATOS!$C$1490))-(CROQUIS_DATOS!$C$1489))+((CROQUIS_DATOS!$C$1476)*CROQUIS_DATOS!$C$1561-((CROQUIS_DATOS!$C$1491+CROQUIS_DATOS!$C$1492))*CROQUIS_DATOS!$C$1561))/CROQUIS_DATOS!$C$1568-0.000001)),1,MOD($A88-1,2)),1-IF(INT(($A88-1)/2)+1&gt;MAX(1,INT(((((CROQUIS_DATOS!$C$1489+CROQUIS_DATOS!$C$1490))-(CROQUIS_DATOS!$C$1489))+((CROQUIS_DATOS!$C$1476)*CROQUIS_DATOS!$C$1561-((CROQUIS_DATOS!$C$1491+CROQUIS_DATOS!$C$1492))*CROQUIS_DATOS!$C$1561))/CROQUIS_DATOS!$C$1568-0.000001)),1,MOD($A88-1,2)))=1,MIN((CROQUIS_DATOS!$C$1476)*CROQUIS_DATOS!$C$1561,((CROQUIS_DATOS!$C$1489+CROQUIS_DATOS!$C$1490)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8">
        <f>IF(AND(CROQUIS_DATOS!$C$1472=1,CROQUIS_DATOS!$C$1478&gt;=4,((CROQUIS_DATOS!$C$1494+CROQUIS_DATOS!$C$1495))-(CROQUIS_DATOS!$C$1494)&gt;0.5,(CROQUIS_DATOS!$C$1496)-(0)&gt;0.5),(CROQUIS_DATOS!$C$1566+(IF(IF(MOD(MIN(INT(($A88-1)/2)+1,MAX(1,INT(((((CROQUIS_DATOS!$C$1494+CROQUIS_DATOS!$C$1495))-(CROQUIS_DATOS!$C$1494))+((CROQUIS_DATOS!$C$1496)*CROQUIS_DATOS!$C$1561-(0)*CROQUIS_DATOS!$C$1561))/CROQUIS_DATOS!$C$1568-0.000001))),2)=1,IF(INT(($A88-1)/2)+1&gt;MAX(1,INT(((((CROQUIS_DATOS!$C$1494+CROQUIS_DATOS!$C$1495))-(CROQUIS_DATOS!$C$1494))+((CROQUIS_DATOS!$C$1496)*CROQUIS_DATOS!$C$1561-(0)*CROQUIS_DATOS!$C$1561))/CROQUIS_DATOS!$C$1568-0.000001)),1,MOD($A88-1,2)),1-IF(INT(($A88-1)/2)+1&gt;MAX(1,INT(((((CROQUIS_DATOS!$C$1494+CROQUIS_DATOS!$C$1495))-(CROQUIS_DATOS!$C$1494))+((CROQUIS_DATOS!$C$1496)*CROQUIS_DATOS!$C$1561-(0)*CROQUIS_DATOS!$C$1561))/CROQUIS_DATOS!$C$1568-0.000001)),1,MOD($A88-1,2)))=1,MIN((CROQUIS_DATOS!$C$1496)*CROQUIS_DATOS!$C$1561,((CROQUIS_DATOS!$C$1494+CROQUIS_DATOS!$C$1495)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8">
        <f>IF(AND(CROQUIS_DATOS!$C$1472=1,CROQUIS_DATOS!$C$1478&gt;=4,((CROQUIS_DATOS!$C$1494+CROQUIS_DATOS!$C$1495))-(CROQUIS_DATOS!$C$1494)&gt;0.5,(CROQUIS_DATOS!$C$1496)-(0)&gt;0.5),(CROQUIS_DATOS!$C$1567+(IF(IF(MOD(MIN(INT(($A88-1)/2)+1,MAX(1,INT(((((CROQUIS_DATOS!$C$1494+CROQUIS_DATOS!$C$1495))-(CROQUIS_DATOS!$C$1494))+((CROQUIS_DATOS!$C$1496)*CROQUIS_DATOS!$C$1561-(0)*CROQUIS_DATOS!$C$1561))/CROQUIS_DATOS!$C$1568-0.000001))),2)=1,IF(INT(($A88-1)/2)+1&gt;MAX(1,INT(((((CROQUIS_DATOS!$C$1494+CROQUIS_DATOS!$C$1495))-(CROQUIS_DATOS!$C$1494))+((CROQUIS_DATOS!$C$1496)*CROQUIS_DATOS!$C$1561-(0)*CROQUIS_DATOS!$C$1561))/CROQUIS_DATOS!$C$1568-0.000001)),1,MOD($A88-1,2)),1-IF(INT(($A88-1)/2)+1&gt;MAX(1,INT(((((CROQUIS_DATOS!$C$1494+CROQUIS_DATOS!$C$1495))-(CROQUIS_DATOS!$C$1494))+((CROQUIS_DATOS!$C$1496)*CROQUIS_DATOS!$C$1561-(0)*CROQUIS_DATOS!$C$1561))/CROQUIS_DATOS!$C$1568-0.000001)),1,MOD($A88-1,2)))=1,MIN((CROQUIS_DATOS!$C$1496)*CROQUIS_DATOS!$C$1561,((CROQUIS_DATOS!$C$1494+CROQUIS_DATOS!$C$1495)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8">
        <f>IF(AND(CROQUIS_DATOS!$C$1472=1,CROQUIS_DATOS!$C$1478&gt;=4,((CROQUIS_DATOS!$C$1494+CROQUIS_DATOS!$C$1495))-(CROQUIS_DATOS!$C$1494)&gt;0.5,(CROQUIS_DATOS!$C$1476)-((CROQUIS_DATOS!$C$1496+CROQUIS_DATOS!$C$1497))&gt;0.5),(CROQUIS_DATOS!$C$1566+(IF(IF(MOD(MIN(INT(($A88-1)/2)+1,MAX(1,INT(((((CROQUIS_DATOS!$C$1494+CROQUIS_DATOS!$C$1495))-(CROQUIS_DATOS!$C$1494))+((CROQUIS_DATOS!$C$1476)*CROQUIS_DATOS!$C$1561-((CROQUIS_DATOS!$C$1496+CROQUIS_DATOS!$C$1497))*CROQUIS_DATOS!$C$1561))/CROQUIS_DATOS!$C$1568-0.000001))),2)=1,IF(INT(($A88-1)/2)+1&gt;MAX(1,INT(((((CROQUIS_DATOS!$C$1494+CROQUIS_DATOS!$C$1495))-(CROQUIS_DATOS!$C$1494))+((CROQUIS_DATOS!$C$1476)*CROQUIS_DATOS!$C$1561-((CROQUIS_DATOS!$C$1496+CROQUIS_DATOS!$C$1497))*CROQUIS_DATOS!$C$1561))/CROQUIS_DATOS!$C$1568-0.000001)),1,MOD($A88-1,2)),1-IF(INT(($A88-1)/2)+1&gt;MAX(1,INT(((((CROQUIS_DATOS!$C$1494+CROQUIS_DATOS!$C$1495))-(CROQUIS_DATOS!$C$1494))+((CROQUIS_DATOS!$C$1476)*CROQUIS_DATOS!$C$1561-((CROQUIS_DATOS!$C$1496+CROQUIS_DATOS!$C$1497))*CROQUIS_DATOS!$C$1561))/CROQUIS_DATOS!$C$1568-0.000001)),1,MOD($A88-1,2)))=1,MIN((CROQUIS_DATOS!$C$1476)*CROQUIS_DATOS!$C$1561,((CROQUIS_DATOS!$C$1494+CROQUIS_DATOS!$C$1495)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8">
        <f>IF(AND(CROQUIS_DATOS!$C$1472=1,CROQUIS_DATOS!$C$1478&gt;=4,((CROQUIS_DATOS!$C$1494+CROQUIS_DATOS!$C$1495))-(CROQUIS_DATOS!$C$1494)&gt;0.5,(CROQUIS_DATOS!$C$1476)-((CROQUIS_DATOS!$C$1496+CROQUIS_DATOS!$C$1497))&gt;0.5),(CROQUIS_DATOS!$C$1567+(IF(IF(MOD(MIN(INT(($A88-1)/2)+1,MAX(1,INT(((((CROQUIS_DATOS!$C$1494+CROQUIS_DATOS!$C$1495))-(CROQUIS_DATOS!$C$1494))+((CROQUIS_DATOS!$C$1476)*CROQUIS_DATOS!$C$1561-((CROQUIS_DATOS!$C$1496+CROQUIS_DATOS!$C$1497))*CROQUIS_DATOS!$C$1561))/CROQUIS_DATOS!$C$1568-0.000001))),2)=1,IF(INT(($A88-1)/2)+1&gt;MAX(1,INT(((((CROQUIS_DATOS!$C$1494+CROQUIS_DATOS!$C$1495))-(CROQUIS_DATOS!$C$1494))+((CROQUIS_DATOS!$C$1476)*CROQUIS_DATOS!$C$1561-((CROQUIS_DATOS!$C$1496+CROQUIS_DATOS!$C$1497))*CROQUIS_DATOS!$C$1561))/CROQUIS_DATOS!$C$1568-0.000001)),1,MOD($A88-1,2)),1-IF(INT(($A88-1)/2)+1&gt;MAX(1,INT(((((CROQUIS_DATOS!$C$1494+CROQUIS_DATOS!$C$1495))-(CROQUIS_DATOS!$C$1494))+((CROQUIS_DATOS!$C$1476)*CROQUIS_DATOS!$C$1561-((CROQUIS_DATOS!$C$1496+CROQUIS_DATOS!$C$1497))*CROQUIS_DATOS!$C$1561))/CROQUIS_DATOS!$C$1568-0.000001)),1,MOD($A88-1,2)))=1,MIN((CROQUIS_DATOS!$C$1476)*CROQUIS_DATOS!$C$1561,((CROQUIS_DATOS!$C$1494+CROQUIS_DATOS!$C$1495)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89">
      <c r="A89" t="n">
        <v>82</v>
      </c>
      <c r="N89">
        <f>IF(AND(CROQUIS_DATOS!$C$1472=1,1),(CROQUIS_DATOS!$C$1563+(IF(IF(IF(INT(($A89-1)/70)+1&gt;CROQUIS_DATOS!$C$1525,70,MOD($A89-1,70)+1)=1,0,IF(IF(INT(($A89-1)/70)+1&gt;CROQUIS_DATOS!$C$1525,70,MOD($A89-1,70)+1)&gt;2*CROQUIS_DATOS!$C$1541+1,IF(MOD(CROQUIS_DATOS!$C$1541,2)=1,1,0),IF(MOD(MIN(INT((IF(INT(($A89-1)/70)+1&gt;CROQUIS_DATOS!$C$1525,70,MOD($A89-1,70)+1)-2)/2)+1,CROQUIS_DATOS!$C$1541),2)=1,IF(MOD(IF(INT(($A89-1)/70)+1&gt;CROQUIS_DATOS!$C$1525,70,MOD($A89-1,70)+1)-2,2)=0,0,1),IF(MOD(IF(INT(($A89-1)/70)+1&gt;CROQUIS_DATOS!$C$1525,70,MOD($A89-1,70)+1)-2,2)=0,1,0))))=0,(INDEX($E$8:$E$23,MIN(INT(($A89-1)/70)+1,CROQUIS_DATOS!$C$1525))-INDEX($F$8:$F$23,MIN(INT(($A89-1)/70)+1,CROQUIS_DATOS!$C$1525))/2),(INDEX($E$8:$E$23,MIN(INT(($A89-1)/70)+1,CROQUIS_DATOS!$C$1525))+INDEX($F$8:$F$23,MIN(INT(($A89-1)/70)+1,CROQUIS_DATOS!$C$1525))/2)))*CROQUIS_DATOS!$C$1562),-1000)</f>
        <v>20.6724137931034</v>
      </c>
      <c r="O89">
        <f>IF(AND(CROQUIS_DATOS!$C$1472=1,1),(CROQUIS_DATOS!$C$1564+(IF(OR(IF(INT(($A89-1)/70)+1&gt;CROQUIS_DATOS!$C$1525,70,MOD($A89-1,70)+1)=1,IF(INT(($A89-1)/70)+1&gt;CROQUIS_DATOS!$C$1525,70,MOD($A89-1,70)+1)&gt;2*CROQUIS_DATOS!$C$1541+1),CROQUIS_DATOS!$C$1476,INDEX($H$8:$H$41,MIN(INT((IF(INT(($A89-1)/70)+1&gt;CROQUIS_DATOS!$C$1525,70,MOD($A89-1,70)+1)-2)/2)+1,CROQUIS_DATOS!$C$1541))))*CROQUIS_DATOS!$C$1561*CROQUIS_DATOS!$C$1562),-1000)</f>
        <v>13.2456896551724</v>
      </c>
      <c r="P89">
        <f>IF(AND(CROQUIS_DATOS!$C$1472=1,CROQUIS_DATOS!$C$1555=1),(CROQUIS_DATOS!$C$1563+(IF(IF(OR(MOD($A89-1,62)+1=1,IF(CHOOSE(MIN(MAX(MIN(INT(($A89-1)/62)+1,5),1),5),CROQUIS_DATOS!$C$1501,CROQUIS_DATOS!$C$1505,CROQUIS_DATOS!$C$1509,CROQUIS_DATOS!$C$1513,CROQUIS_DATOS!$C$1517)=1,CROQUIS_DATOS!$C$1557,0)=0),0,IF(MOD($A89-1,62)+1&gt;2*IF(CHOOSE(MIN(MAX(MIN(INT(($A89-1)/62)+1,5),1),5),CROQUIS_DATOS!$C$1501,CROQUIS_DATOS!$C$1505,CROQUIS_DATOS!$C$1509,CROQUIS_DATOS!$C$1513,CROQUIS_DATOS!$C$1517)=1,CROQUIS_DATOS!$C$1557,0)+1,IF(MOD(IF(CHOOSE(MIN(MAX(MIN(INT(($A89-1)/62)+1,5),1),5),CROQUIS_DATOS!$C$1501,CROQUIS_DATOS!$C$1505,CROQUIS_DATOS!$C$1509,CROQUIS_DATOS!$C$1513,CROQUIS_DATOS!$C$1517)=1,CROQUIS_DATOS!$C$1557,0),2)=1,1,0),IF(MOD(MIN(INT((MOD($A89-1,62)+1-2)/2)+1,MAX(IF(CHOOSE(MIN(MAX(MIN(INT(($A89-1)/62)+1,5),1),5),CROQUIS_DATOS!$C$1501,CROQUIS_DATOS!$C$1505,CROQUIS_DATOS!$C$1509,CROQUIS_DATOS!$C$1513,CROQUIS_DATOS!$C$1517)=1,CROQUIS_DATOS!$C$1557,0),1)),2)=1,IF(MOD(MOD($A89-1,62)+1-2,2)=0,0,1),IF(MOD(MOD($A89-1,62)+1-2,2)=0,1,0))))=0,(CHOOSE(MIN(MAX(MIN(INT(($A89-1)/62)+1,5),1),5),CROQUIS_DATOS!$C$1499,CROQUIS_DATOS!$C$1503,CROQUIS_DATOS!$C$1507,CROQUIS_DATOS!$C$1511,CROQUIS_DATOS!$C$1515)+IF(CHOOSE(MIN(MAX(MIN(INT(($A89-1)/62)+1,5),1),5),CROQUIS_DATOS!$C$1501,CROQUIS_DATOS!$C$1505,CROQUIS_DATOS!$C$1509,CROQUIS_DATOS!$C$1513,CROQUIS_DATOS!$C$1517)=1,CROQUIS_DATOS!$C$1526,0)),(CHOOSE(MIN(MAX(MIN(INT(($A89-1)/62)+1,5),1),5),CROQUIS_DATOS!$C$1499,CROQUIS_DATOS!$C$1503,CROQUIS_DATOS!$C$1507,CROQUIS_DATOS!$C$1511,CROQUIS_DATOS!$C$1515)+CHOOSE(MIN(MAX(MIN(INT(($A89-1)/62)+1,5),1),5),CROQUIS_DATOS!$C$1500,CROQUIS_DATOS!$C$1504,CROQUIS_DATOS!$C$1508,CROQUIS_DATOS!$C$1512,CROQUIS_DATOS!$C$1516)-IF(CHOOSE(MIN(MAX(MIN(INT(($A89-1)/62)+1,5),1),5),CROQUIS_DATOS!$C$1501,CROQUIS_DATOS!$C$1505,CROQUIS_DATOS!$C$1509,CROQUIS_DATOS!$C$1513,CROQUIS_DATOS!$C$1517)=1,CROQUIS_DATOS!$C$1526,0))))*CROQUIS_DATOS!$C$1562),-1000)</f>
        <v>-1000</v>
      </c>
      <c r="Q89">
        <f>IF(AND(CROQUIS_DATOS!$C$1472=1,CROQUIS_DATOS!$C$1555=1),(CROQUIS_DATOS!$C$1564+(IF(OR(OR(MOD($A89-1,62)+1=1,IF(CHOOSE(MIN(MAX(MIN(INT(($A89-1)/62)+1,5),1),5),CROQUIS_DATOS!$C$1501,CROQUIS_DATOS!$C$1505,CROQUIS_DATOS!$C$1509,CROQUIS_DATOS!$C$1513,CROQUIS_DATOS!$C$1517)=1,CROQUIS_DATOS!$C$1557,0)=0),MOD($A89-1,62)+1&gt;2*IF(CHOOSE(MIN(MAX(MIN(INT(($A89-1)/62)+1,5),1),5),CROQUIS_DATOS!$C$1501,CROQUIS_DATOS!$C$1505,CROQUIS_DATOS!$C$1509,CROQUIS_DATOS!$C$1513,CROQUIS_DATOS!$C$1517)=1,CROQUIS_DATOS!$C$1557,0)+1),CROQUIS_DATOS!$C$1476,MIN(INT((MOD($A89-1,62)+1-2)/2)+1,MAX(IF(CHOOSE(MIN(MAX(MIN(INT(($A89-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89">
        <f>IF(AND(CROQUIS_DATOS!$C$1472=1,1),(CROQUIS_DATOS!$C$1563+(MIN(INT(($A89-1)/2)+1,CROQUIS_DATOS!$C$1558)*CROQUIS_DATOS!$C$1559)*CROQUIS_DATOS!$C$1562),-1000)</f>
        <v>82.2281167108753</v>
      </c>
      <c r="U89">
        <f>IF(AND(CROQUIS_DATOS!$C$1472=1,1),(CROQUIS_DATOS!$C$1564+(IF(INT(($A89-1)/2)+1&gt;CROQUIS_DATOS!$C$1558,IF(MOD(CROQUIS_DATOS!$C$1558,2)=1,CROQUIS_DATOS!$C$1476+CROQUIS_DATOS!$C$1528,CROQUIS_DATOS!$C$1476),IF(IF(MOD(MIN(INT(($A89-1)/2)+1,CROQUIS_DATOS!$C$1558),2)=1,MOD($A89-1,2),1-MOD($A89-1,2))=1,CROQUIS_DATOS!$C$1476+CROQUIS_DATOS!$C$1528,CROQUIS_DATOS!$C$1476)))*CROQUIS_DATOS!$C$1561*CROQUIS_DATOS!$C$1562),-1000)</f>
        <v>43</v>
      </c>
      <c r="BZ89">
        <f>IF(AND(CROQUIS_DATOS!$C$1472=1,CROQUIS_DATOS!$C$1500&gt;0,((CROQUIS_DATOS!$C$1499+CROQUIS_DATOS!$C$1500))-(CROQUIS_DATOS!$C$1499)&gt;0.5,(CROQUIS_DATOS!$C$1476)-(0)&gt;0.5),(CROQUIS_DATOS!$C$1566+(IF(IF(MOD(MIN(INT(($A89-1)/2)+1,MAX(1,INT(((((CROQUIS_DATOS!$C$1499+CROQUIS_DATOS!$C$1500))-(CROQUIS_DATOS!$C$1499))+((CROQUIS_DATOS!$C$1476)*CROQUIS_DATOS!$C$1561-(0)*CROQUIS_DATOS!$C$1561))/CROQUIS_DATOS!$C$1568-0.000001))),2)=1,IF(INT(($A89-1)/2)+1&gt;MAX(1,INT(((((CROQUIS_DATOS!$C$1499+CROQUIS_DATOS!$C$1500))-(CROQUIS_DATOS!$C$1499))+((CROQUIS_DATOS!$C$1476)*CROQUIS_DATOS!$C$1561-(0)*CROQUIS_DATOS!$C$1561))/CROQUIS_DATOS!$C$1568-0.000001)),1,MOD($A89-1,2)),1-IF(INT(($A89-1)/2)+1&gt;MAX(1,INT(((((CROQUIS_DATOS!$C$1499+CROQUIS_DATOS!$C$1500))-(CROQUIS_DATOS!$C$1499))+((CROQUIS_DATOS!$C$1476)*CROQUIS_DATOS!$C$1561-(0)*CROQUIS_DATOS!$C$1561))/CROQUIS_DATOS!$C$1568-0.000001)),1,MOD($A89-1,2)))=1,MIN((CROQUIS_DATOS!$C$1476)*CROQUIS_DATOS!$C$1561,((CROQUIS_DATOS!$C$1499+CROQUIS_DATOS!$C$1500)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89">
        <f>IF(AND(CROQUIS_DATOS!$C$1472=1,CROQUIS_DATOS!$C$1500&gt;0,((CROQUIS_DATOS!$C$1499+CROQUIS_DATOS!$C$1500))-(CROQUIS_DATOS!$C$1499)&gt;0.5,(CROQUIS_DATOS!$C$1476)-(0)&gt;0.5),(CROQUIS_DATOS!$C$1567+(IF(IF(MOD(MIN(INT(($A89-1)/2)+1,MAX(1,INT(((((CROQUIS_DATOS!$C$1499+CROQUIS_DATOS!$C$1500))-(CROQUIS_DATOS!$C$1499))+((CROQUIS_DATOS!$C$1476)*CROQUIS_DATOS!$C$1561-(0)*CROQUIS_DATOS!$C$1561))/CROQUIS_DATOS!$C$1568-0.000001))),2)=1,IF(INT(($A89-1)/2)+1&gt;MAX(1,INT(((((CROQUIS_DATOS!$C$1499+CROQUIS_DATOS!$C$1500))-(CROQUIS_DATOS!$C$1499))+((CROQUIS_DATOS!$C$1476)*CROQUIS_DATOS!$C$1561-(0)*CROQUIS_DATOS!$C$1561))/CROQUIS_DATOS!$C$1568-0.000001)),1,MOD($A89-1,2)),1-IF(INT(($A89-1)/2)+1&gt;MAX(1,INT(((((CROQUIS_DATOS!$C$1499+CROQUIS_DATOS!$C$1500))-(CROQUIS_DATOS!$C$1499))+((CROQUIS_DATOS!$C$1476)*CROQUIS_DATOS!$C$1561-(0)*CROQUIS_DATOS!$C$1561))/CROQUIS_DATOS!$C$1568-0.000001)),1,MOD($A89-1,2)))=1,MIN((CROQUIS_DATOS!$C$1476)*CROQUIS_DATOS!$C$1561,((CROQUIS_DATOS!$C$1499+CROQUIS_DATOS!$C$1500)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89-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89">
        <f>IF(AND(CROQUIS_DATOS!$C$1472=1,CROQUIS_DATOS!$C$1504&gt;0,((CROQUIS_DATOS!$C$1503+CROQUIS_DATOS!$C$1504))-(CROQUIS_DATOS!$C$1503)&gt;0.5,(CROQUIS_DATOS!$C$1476)-(0)&gt;0.5),(CROQUIS_DATOS!$C$1566+(IF(IF(MOD(MIN(INT(($A89-1)/2)+1,MAX(1,INT(((((CROQUIS_DATOS!$C$1503+CROQUIS_DATOS!$C$1504))-(CROQUIS_DATOS!$C$1503))+((CROQUIS_DATOS!$C$1476)*CROQUIS_DATOS!$C$1561-(0)*CROQUIS_DATOS!$C$1561))/CROQUIS_DATOS!$C$1568-0.000001))),2)=1,IF(INT(($A89-1)/2)+1&gt;MAX(1,INT(((((CROQUIS_DATOS!$C$1503+CROQUIS_DATOS!$C$1504))-(CROQUIS_DATOS!$C$1503))+((CROQUIS_DATOS!$C$1476)*CROQUIS_DATOS!$C$1561-(0)*CROQUIS_DATOS!$C$1561))/CROQUIS_DATOS!$C$1568-0.000001)),1,MOD($A89-1,2)),1-IF(INT(($A89-1)/2)+1&gt;MAX(1,INT(((((CROQUIS_DATOS!$C$1503+CROQUIS_DATOS!$C$1504))-(CROQUIS_DATOS!$C$1503))+((CROQUIS_DATOS!$C$1476)*CROQUIS_DATOS!$C$1561-(0)*CROQUIS_DATOS!$C$1561))/CROQUIS_DATOS!$C$1568-0.000001)),1,MOD($A89-1,2)))=1,MIN((CROQUIS_DATOS!$C$1476)*CROQUIS_DATOS!$C$1561,((CROQUIS_DATOS!$C$1503+CROQUIS_DATOS!$C$1504)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89">
        <f>IF(AND(CROQUIS_DATOS!$C$1472=1,CROQUIS_DATOS!$C$1504&gt;0,((CROQUIS_DATOS!$C$1503+CROQUIS_DATOS!$C$1504))-(CROQUIS_DATOS!$C$1503)&gt;0.5,(CROQUIS_DATOS!$C$1476)-(0)&gt;0.5),(CROQUIS_DATOS!$C$1567+(IF(IF(MOD(MIN(INT(($A89-1)/2)+1,MAX(1,INT(((((CROQUIS_DATOS!$C$1503+CROQUIS_DATOS!$C$1504))-(CROQUIS_DATOS!$C$1503))+((CROQUIS_DATOS!$C$1476)*CROQUIS_DATOS!$C$1561-(0)*CROQUIS_DATOS!$C$1561))/CROQUIS_DATOS!$C$1568-0.000001))),2)=1,IF(INT(($A89-1)/2)+1&gt;MAX(1,INT(((((CROQUIS_DATOS!$C$1503+CROQUIS_DATOS!$C$1504))-(CROQUIS_DATOS!$C$1503))+((CROQUIS_DATOS!$C$1476)*CROQUIS_DATOS!$C$1561-(0)*CROQUIS_DATOS!$C$1561))/CROQUIS_DATOS!$C$1568-0.000001)),1,MOD($A89-1,2)),1-IF(INT(($A89-1)/2)+1&gt;MAX(1,INT(((((CROQUIS_DATOS!$C$1503+CROQUIS_DATOS!$C$1504))-(CROQUIS_DATOS!$C$1503))+((CROQUIS_DATOS!$C$1476)*CROQUIS_DATOS!$C$1561-(0)*CROQUIS_DATOS!$C$1561))/CROQUIS_DATOS!$C$1568-0.000001)),1,MOD($A89-1,2)))=1,MIN((CROQUIS_DATOS!$C$1476)*CROQUIS_DATOS!$C$1561,((CROQUIS_DATOS!$C$1503+CROQUIS_DATOS!$C$1504)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89-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89">
        <f>IF(AND(CROQUIS_DATOS!$C$1472=1,CROQUIS_DATOS!$C$1508&gt;0,((CROQUIS_DATOS!$C$1507+CROQUIS_DATOS!$C$1508))-(CROQUIS_DATOS!$C$1507)&gt;0.5,(CROQUIS_DATOS!$C$1476)-(0)&gt;0.5),(CROQUIS_DATOS!$C$1566+(IF(IF(MOD(MIN(INT(($A89-1)/2)+1,MAX(1,INT(((((CROQUIS_DATOS!$C$1507+CROQUIS_DATOS!$C$1508))-(CROQUIS_DATOS!$C$1507))+((CROQUIS_DATOS!$C$1476)*CROQUIS_DATOS!$C$1561-(0)*CROQUIS_DATOS!$C$1561))/CROQUIS_DATOS!$C$1568-0.000001))),2)=1,IF(INT(($A89-1)/2)+1&gt;MAX(1,INT(((((CROQUIS_DATOS!$C$1507+CROQUIS_DATOS!$C$1508))-(CROQUIS_DATOS!$C$1507))+((CROQUIS_DATOS!$C$1476)*CROQUIS_DATOS!$C$1561-(0)*CROQUIS_DATOS!$C$1561))/CROQUIS_DATOS!$C$1568-0.000001)),1,MOD($A89-1,2)),1-IF(INT(($A89-1)/2)+1&gt;MAX(1,INT(((((CROQUIS_DATOS!$C$1507+CROQUIS_DATOS!$C$1508))-(CROQUIS_DATOS!$C$1507))+((CROQUIS_DATOS!$C$1476)*CROQUIS_DATOS!$C$1561-(0)*CROQUIS_DATOS!$C$1561))/CROQUIS_DATOS!$C$1568-0.000001)),1,MOD($A89-1,2)))=1,MIN((CROQUIS_DATOS!$C$1476)*CROQUIS_DATOS!$C$1561,((CROQUIS_DATOS!$C$1507+CROQUIS_DATOS!$C$1508)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89">
        <f>IF(AND(CROQUIS_DATOS!$C$1472=1,CROQUIS_DATOS!$C$1508&gt;0,((CROQUIS_DATOS!$C$1507+CROQUIS_DATOS!$C$1508))-(CROQUIS_DATOS!$C$1507)&gt;0.5,(CROQUIS_DATOS!$C$1476)-(0)&gt;0.5),(CROQUIS_DATOS!$C$1567+(IF(IF(MOD(MIN(INT(($A89-1)/2)+1,MAX(1,INT(((((CROQUIS_DATOS!$C$1507+CROQUIS_DATOS!$C$1508))-(CROQUIS_DATOS!$C$1507))+((CROQUIS_DATOS!$C$1476)*CROQUIS_DATOS!$C$1561-(0)*CROQUIS_DATOS!$C$1561))/CROQUIS_DATOS!$C$1568-0.000001))),2)=1,IF(INT(($A89-1)/2)+1&gt;MAX(1,INT(((((CROQUIS_DATOS!$C$1507+CROQUIS_DATOS!$C$1508))-(CROQUIS_DATOS!$C$1507))+((CROQUIS_DATOS!$C$1476)*CROQUIS_DATOS!$C$1561-(0)*CROQUIS_DATOS!$C$1561))/CROQUIS_DATOS!$C$1568-0.000001)),1,MOD($A89-1,2)),1-IF(INT(($A89-1)/2)+1&gt;MAX(1,INT(((((CROQUIS_DATOS!$C$1507+CROQUIS_DATOS!$C$1508))-(CROQUIS_DATOS!$C$1507))+((CROQUIS_DATOS!$C$1476)*CROQUIS_DATOS!$C$1561-(0)*CROQUIS_DATOS!$C$1561))/CROQUIS_DATOS!$C$1568-0.000001)),1,MOD($A89-1,2)))=1,MIN((CROQUIS_DATOS!$C$1476)*CROQUIS_DATOS!$C$1561,((CROQUIS_DATOS!$C$1507+CROQUIS_DATOS!$C$1508)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89-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89">
        <f>IF(AND(CROQUIS_DATOS!$C$1472=1,CROQUIS_DATOS!$C$1512&gt;0,((CROQUIS_DATOS!$C$1511+CROQUIS_DATOS!$C$1512))-(CROQUIS_DATOS!$C$1511)&gt;0.5,(CROQUIS_DATOS!$C$1476)-(0)&gt;0.5),(CROQUIS_DATOS!$C$1566+(IF(IF(MOD(MIN(INT(($A89-1)/2)+1,MAX(1,INT(((((CROQUIS_DATOS!$C$1511+CROQUIS_DATOS!$C$1512))-(CROQUIS_DATOS!$C$1511))+((CROQUIS_DATOS!$C$1476)*CROQUIS_DATOS!$C$1561-(0)*CROQUIS_DATOS!$C$1561))/CROQUIS_DATOS!$C$1568-0.000001))),2)=1,IF(INT(($A89-1)/2)+1&gt;MAX(1,INT(((((CROQUIS_DATOS!$C$1511+CROQUIS_DATOS!$C$1512))-(CROQUIS_DATOS!$C$1511))+((CROQUIS_DATOS!$C$1476)*CROQUIS_DATOS!$C$1561-(0)*CROQUIS_DATOS!$C$1561))/CROQUIS_DATOS!$C$1568-0.000001)),1,MOD($A89-1,2)),1-IF(INT(($A89-1)/2)+1&gt;MAX(1,INT(((((CROQUIS_DATOS!$C$1511+CROQUIS_DATOS!$C$1512))-(CROQUIS_DATOS!$C$1511))+((CROQUIS_DATOS!$C$1476)*CROQUIS_DATOS!$C$1561-(0)*CROQUIS_DATOS!$C$1561))/CROQUIS_DATOS!$C$1568-0.000001)),1,MOD($A89-1,2)))=1,MIN((CROQUIS_DATOS!$C$1476)*CROQUIS_DATOS!$C$1561,((CROQUIS_DATOS!$C$1511+CROQUIS_DATOS!$C$1512)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89">
        <f>IF(AND(CROQUIS_DATOS!$C$1472=1,CROQUIS_DATOS!$C$1512&gt;0,((CROQUIS_DATOS!$C$1511+CROQUIS_DATOS!$C$1512))-(CROQUIS_DATOS!$C$1511)&gt;0.5,(CROQUIS_DATOS!$C$1476)-(0)&gt;0.5),(CROQUIS_DATOS!$C$1567+(IF(IF(MOD(MIN(INT(($A89-1)/2)+1,MAX(1,INT(((((CROQUIS_DATOS!$C$1511+CROQUIS_DATOS!$C$1512))-(CROQUIS_DATOS!$C$1511))+((CROQUIS_DATOS!$C$1476)*CROQUIS_DATOS!$C$1561-(0)*CROQUIS_DATOS!$C$1561))/CROQUIS_DATOS!$C$1568-0.000001))),2)=1,IF(INT(($A89-1)/2)+1&gt;MAX(1,INT(((((CROQUIS_DATOS!$C$1511+CROQUIS_DATOS!$C$1512))-(CROQUIS_DATOS!$C$1511))+((CROQUIS_DATOS!$C$1476)*CROQUIS_DATOS!$C$1561-(0)*CROQUIS_DATOS!$C$1561))/CROQUIS_DATOS!$C$1568-0.000001)),1,MOD($A89-1,2)),1-IF(INT(($A89-1)/2)+1&gt;MAX(1,INT(((((CROQUIS_DATOS!$C$1511+CROQUIS_DATOS!$C$1512))-(CROQUIS_DATOS!$C$1511))+((CROQUIS_DATOS!$C$1476)*CROQUIS_DATOS!$C$1561-(0)*CROQUIS_DATOS!$C$1561))/CROQUIS_DATOS!$C$1568-0.000001)),1,MOD($A89-1,2)))=1,MIN((CROQUIS_DATOS!$C$1476)*CROQUIS_DATOS!$C$1561,((CROQUIS_DATOS!$C$1511+CROQUIS_DATOS!$C$1512)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89-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89">
        <f>IF(AND(CROQUIS_DATOS!$C$1472=1,CROQUIS_DATOS!$C$1516&gt;0,((CROQUIS_DATOS!$C$1515+CROQUIS_DATOS!$C$1516))-(CROQUIS_DATOS!$C$1515)&gt;0.5,(CROQUIS_DATOS!$C$1476)-(0)&gt;0.5),(CROQUIS_DATOS!$C$1566+(IF(IF(MOD(MIN(INT(($A89-1)/2)+1,MAX(1,INT(((((CROQUIS_DATOS!$C$1515+CROQUIS_DATOS!$C$1516))-(CROQUIS_DATOS!$C$1515))+((CROQUIS_DATOS!$C$1476)*CROQUIS_DATOS!$C$1561-(0)*CROQUIS_DATOS!$C$1561))/CROQUIS_DATOS!$C$1568-0.000001))),2)=1,IF(INT(($A89-1)/2)+1&gt;MAX(1,INT(((((CROQUIS_DATOS!$C$1515+CROQUIS_DATOS!$C$1516))-(CROQUIS_DATOS!$C$1515))+((CROQUIS_DATOS!$C$1476)*CROQUIS_DATOS!$C$1561-(0)*CROQUIS_DATOS!$C$1561))/CROQUIS_DATOS!$C$1568-0.000001)),1,MOD($A89-1,2)),1-IF(INT(($A89-1)/2)+1&gt;MAX(1,INT(((((CROQUIS_DATOS!$C$1515+CROQUIS_DATOS!$C$1516))-(CROQUIS_DATOS!$C$1515))+((CROQUIS_DATOS!$C$1476)*CROQUIS_DATOS!$C$1561-(0)*CROQUIS_DATOS!$C$1561))/CROQUIS_DATOS!$C$1568-0.000001)),1,MOD($A89-1,2)))=1,MIN((CROQUIS_DATOS!$C$1476)*CROQUIS_DATOS!$C$1561,((CROQUIS_DATOS!$C$1515+CROQUIS_DATOS!$C$1516)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89">
        <f>IF(AND(CROQUIS_DATOS!$C$1472=1,CROQUIS_DATOS!$C$1516&gt;0,((CROQUIS_DATOS!$C$1515+CROQUIS_DATOS!$C$1516))-(CROQUIS_DATOS!$C$1515)&gt;0.5,(CROQUIS_DATOS!$C$1476)-(0)&gt;0.5),(CROQUIS_DATOS!$C$1567+(IF(IF(MOD(MIN(INT(($A89-1)/2)+1,MAX(1,INT(((((CROQUIS_DATOS!$C$1515+CROQUIS_DATOS!$C$1516))-(CROQUIS_DATOS!$C$1515))+((CROQUIS_DATOS!$C$1476)*CROQUIS_DATOS!$C$1561-(0)*CROQUIS_DATOS!$C$1561))/CROQUIS_DATOS!$C$1568-0.000001))),2)=1,IF(INT(($A89-1)/2)+1&gt;MAX(1,INT(((((CROQUIS_DATOS!$C$1515+CROQUIS_DATOS!$C$1516))-(CROQUIS_DATOS!$C$1515))+((CROQUIS_DATOS!$C$1476)*CROQUIS_DATOS!$C$1561-(0)*CROQUIS_DATOS!$C$1561))/CROQUIS_DATOS!$C$1568-0.000001)),1,MOD($A89-1,2)),1-IF(INT(($A89-1)/2)+1&gt;MAX(1,INT(((((CROQUIS_DATOS!$C$1515+CROQUIS_DATOS!$C$1516))-(CROQUIS_DATOS!$C$1515))+((CROQUIS_DATOS!$C$1476)*CROQUIS_DATOS!$C$1561-(0)*CROQUIS_DATOS!$C$1561))/CROQUIS_DATOS!$C$1568-0.000001)),1,MOD($A89-1,2)))=1,MIN((CROQUIS_DATOS!$C$1476)*CROQUIS_DATOS!$C$1561,((CROQUIS_DATOS!$C$1515+CROQUIS_DATOS!$C$1516)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89-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89">
        <f>IF(AND(CROQUIS_DATOS!$C$1472=1,CROQUIS_DATOS!$C$1478&gt;=1,((CROQUIS_DATOS!$C$1479+CROQUIS_DATOS!$C$1480))-(CROQUIS_DATOS!$C$1479)&gt;0.5,(CROQUIS_DATOS!$C$1481)-(0)&gt;0.5),(CROQUIS_DATOS!$C$1566+(IF(IF(MOD(MIN(INT(($A89-1)/2)+1,MAX(1,INT(((((CROQUIS_DATOS!$C$1479+CROQUIS_DATOS!$C$1480))-(CROQUIS_DATOS!$C$1479))+((CROQUIS_DATOS!$C$1481)*CROQUIS_DATOS!$C$1561-(0)*CROQUIS_DATOS!$C$1561))/CROQUIS_DATOS!$C$1568-0.000001))),2)=1,IF(INT(($A89-1)/2)+1&gt;MAX(1,INT(((((CROQUIS_DATOS!$C$1479+CROQUIS_DATOS!$C$1480))-(CROQUIS_DATOS!$C$1479))+((CROQUIS_DATOS!$C$1481)*CROQUIS_DATOS!$C$1561-(0)*CROQUIS_DATOS!$C$1561))/CROQUIS_DATOS!$C$1568-0.000001)),1,MOD($A89-1,2)),1-IF(INT(($A89-1)/2)+1&gt;MAX(1,INT(((((CROQUIS_DATOS!$C$1479+CROQUIS_DATOS!$C$1480))-(CROQUIS_DATOS!$C$1479))+((CROQUIS_DATOS!$C$1481)*CROQUIS_DATOS!$C$1561-(0)*CROQUIS_DATOS!$C$1561))/CROQUIS_DATOS!$C$1568-0.000001)),1,MOD($A89-1,2)))=1,MIN((CROQUIS_DATOS!$C$1481)*CROQUIS_DATOS!$C$1561,((CROQUIS_DATOS!$C$1479+CROQUIS_DATOS!$C$1480)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89">
        <f>IF(AND(CROQUIS_DATOS!$C$1472=1,CROQUIS_DATOS!$C$1478&gt;=1,((CROQUIS_DATOS!$C$1479+CROQUIS_DATOS!$C$1480))-(CROQUIS_DATOS!$C$1479)&gt;0.5,(CROQUIS_DATOS!$C$1481)-(0)&gt;0.5),(CROQUIS_DATOS!$C$1567+(IF(IF(MOD(MIN(INT(($A89-1)/2)+1,MAX(1,INT(((((CROQUIS_DATOS!$C$1479+CROQUIS_DATOS!$C$1480))-(CROQUIS_DATOS!$C$1479))+((CROQUIS_DATOS!$C$1481)*CROQUIS_DATOS!$C$1561-(0)*CROQUIS_DATOS!$C$1561))/CROQUIS_DATOS!$C$1568-0.000001))),2)=1,IF(INT(($A89-1)/2)+1&gt;MAX(1,INT(((((CROQUIS_DATOS!$C$1479+CROQUIS_DATOS!$C$1480))-(CROQUIS_DATOS!$C$1479))+((CROQUIS_DATOS!$C$1481)*CROQUIS_DATOS!$C$1561-(0)*CROQUIS_DATOS!$C$1561))/CROQUIS_DATOS!$C$1568-0.000001)),1,MOD($A89-1,2)),1-IF(INT(($A89-1)/2)+1&gt;MAX(1,INT(((((CROQUIS_DATOS!$C$1479+CROQUIS_DATOS!$C$1480))-(CROQUIS_DATOS!$C$1479))+((CROQUIS_DATOS!$C$1481)*CROQUIS_DATOS!$C$1561-(0)*CROQUIS_DATOS!$C$1561))/CROQUIS_DATOS!$C$1568-0.000001)),1,MOD($A89-1,2)))=1,MIN((CROQUIS_DATOS!$C$1481)*CROQUIS_DATOS!$C$1561,((CROQUIS_DATOS!$C$1479+CROQUIS_DATOS!$C$1480)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89-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89">
        <f>IF(AND(CROQUIS_DATOS!$C$1472=1,CROQUIS_DATOS!$C$1478&gt;=1,((CROQUIS_DATOS!$C$1479+CROQUIS_DATOS!$C$1480))-(CROQUIS_DATOS!$C$1479)&gt;0.5,(CROQUIS_DATOS!$C$1476)-((CROQUIS_DATOS!$C$1481+CROQUIS_DATOS!$C$1482))&gt;0.5),(CROQUIS_DATOS!$C$1566+(IF(IF(MOD(MIN(INT(($A89-1)/2)+1,MAX(1,INT(((((CROQUIS_DATOS!$C$1479+CROQUIS_DATOS!$C$1480))-(CROQUIS_DATOS!$C$1479))+((CROQUIS_DATOS!$C$1476)*CROQUIS_DATOS!$C$1561-((CROQUIS_DATOS!$C$1481+CROQUIS_DATOS!$C$1482))*CROQUIS_DATOS!$C$1561))/CROQUIS_DATOS!$C$1568-0.000001))),2)=1,IF(INT(($A89-1)/2)+1&gt;MAX(1,INT(((((CROQUIS_DATOS!$C$1479+CROQUIS_DATOS!$C$1480))-(CROQUIS_DATOS!$C$1479))+((CROQUIS_DATOS!$C$1476)*CROQUIS_DATOS!$C$1561-((CROQUIS_DATOS!$C$1481+CROQUIS_DATOS!$C$1482))*CROQUIS_DATOS!$C$1561))/CROQUIS_DATOS!$C$1568-0.000001)),1,MOD($A89-1,2)),1-IF(INT(($A89-1)/2)+1&gt;MAX(1,INT(((((CROQUIS_DATOS!$C$1479+CROQUIS_DATOS!$C$1480))-(CROQUIS_DATOS!$C$1479))+((CROQUIS_DATOS!$C$1476)*CROQUIS_DATOS!$C$1561-((CROQUIS_DATOS!$C$1481+CROQUIS_DATOS!$C$1482))*CROQUIS_DATOS!$C$1561))/CROQUIS_DATOS!$C$1568-0.000001)),1,MOD($A89-1,2)))=1,MIN((CROQUIS_DATOS!$C$1476)*CROQUIS_DATOS!$C$1561,((CROQUIS_DATOS!$C$1479+CROQUIS_DATOS!$C$1480)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89">
        <f>IF(AND(CROQUIS_DATOS!$C$1472=1,CROQUIS_DATOS!$C$1478&gt;=1,((CROQUIS_DATOS!$C$1479+CROQUIS_DATOS!$C$1480))-(CROQUIS_DATOS!$C$1479)&gt;0.5,(CROQUIS_DATOS!$C$1476)-((CROQUIS_DATOS!$C$1481+CROQUIS_DATOS!$C$1482))&gt;0.5),(CROQUIS_DATOS!$C$1567+(IF(IF(MOD(MIN(INT(($A89-1)/2)+1,MAX(1,INT(((((CROQUIS_DATOS!$C$1479+CROQUIS_DATOS!$C$1480))-(CROQUIS_DATOS!$C$1479))+((CROQUIS_DATOS!$C$1476)*CROQUIS_DATOS!$C$1561-((CROQUIS_DATOS!$C$1481+CROQUIS_DATOS!$C$1482))*CROQUIS_DATOS!$C$1561))/CROQUIS_DATOS!$C$1568-0.000001))),2)=1,IF(INT(($A89-1)/2)+1&gt;MAX(1,INT(((((CROQUIS_DATOS!$C$1479+CROQUIS_DATOS!$C$1480))-(CROQUIS_DATOS!$C$1479))+((CROQUIS_DATOS!$C$1476)*CROQUIS_DATOS!$C$1561-((CROQUIS_DATOS!$C$1481+CROQUIS_DATOS!$C$1482))*CROQUIS_DATOS!$C$1561))/CROQUIS_DATOS!$C$1568-0.000001)),1,MOD($A89-1,2)),1-IF(INT(($A89-1)/2)+1&gt;MAX(1,INT(((((CROQUIS_DATOS!$C$1479+CROQUIS_DATOS!$C$1480))-(CROQUIS_DATOS!$C$1479))+((CROQUIS_DATOS!$C$1476)*CROQUIS_DATOS!$C$1561-((CROQUIS_DATOS!$C$1481+CROQUIS_DATOS!$C$1482))*CROQUIS_DATOS!$C$1561))/CROQUIS_DATOS!$C$1568-0.000001)),1,MOD($A89-1,2)))=1,MIN((CROQUIS_DATOS!$C$1476)*CROQUIS_DATOS!$C$1561,((CROQUIS_DATOS!$C$1479+CROQUIS_DATOS!$C$1480)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89-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89">
        <f>IF(AND(CROQUIS_DATOS!$C$1472=1,CROQUIS_DATOS!$C$1478&gt;=2,((CROQUIS_DATOS!$C$1484+CROQUIS_DATOS!$C$1485))-(CROQUIS_DATOS!$C$1484)&gt;0.5,(CROQUIS_DATOS!$C$1486)-(0)&gt;0.5),(CROQUIS_DATOS!$C$1566+(IF(IF(MOD(MIN(INT(($A89-1)/2)+1,MAX(1,INT(((((CROQUIS_DATOS!$C$1484+CROQUIS_DATOS!$C$1485))-(CROQUIS_DATOS!$C$1484))+((CROQUIS_DATOS!$C$1486)*CROQUIS_DATOS!$C$1561-(0)*CROQUIS_DATOS!$C$1561))/CROQUIS_DATOS!$C$1568-0.000001))),2)=1,IF(INT(($A89-1)/2)+1&gt;MAX(1,INT(((((CROQUIS_DATOS!$C$1484+CROQUIS_DATOS!$C$1485))-(CROQUIS_DATOS!$C$1484))+((CROQUIS_DATOS!$C$1486)*CROQUIS_DATOS!$C$1561-(0)*CROQUIS_DATOS!$C$1561))/CROQUIS_DATOS!$C$1568-0.000001)),1,MOD($A89-1,2)),1-IF(INT(($A89-1)/2)+1&gt;MAX(1,INT(((((CROQUIS_DATOS!$C$1484+CROQUIS_DATOS!$C$1485))-(CROQUIS_DATOS!$C$1484))+((CROQUIS_DATOS!$C$1486)*CROQUIS_DATOS!$C$1561-(0)*CROQUIS_DATOS!$C$1561))/CROQUIS_DATOS!$C$1568-0.000001)),1,MOD($A89-1,2)))=1,MIN((CROQUIS_DATOS!$C$1486)*CROQUIS_DATOS!$C$1561,((CROQUIS_DATOS!$C$1484+CROQUIS_DATOS!$C$1485)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89">
        <f>IF(AND(CROQUIS_DATOS!$C$1472=1,CROQUIS_DATOS!$C$1478&gt;=2,((CROQUIS_DATOS!$C$1484+CROQUIS_DATOS!$C$1485))-(CROQUIS_DATOS!$C$1484)&gt;0.5,(CROQUIS_DATOS!$C$1486)-(0)&gt;0.5),(CROQUIS_DATOS!$C$1567+(IF(IF(MOD(MIN(INT(($A89-1)/2)+1,MAX(1,INT(((((CROQUIS_DATOS!$C$1484+CROQUIS_DATOS!$C$1485))-(CROQUIS_DATOS!$C$1484))+((CROQUIS_DATOS!$C$1486)*CROQUIS_DATOS!$C$1561-(0)*CROQUIS_DATOS!$C$1561))/CROQUIS_DATOS!$C$1568-0.000001))),2)=1,IF(INT(($A89-1)/2)+1&gt;MAX(1,INT(((((CROQUIS_DATOS!$C$1484+CROQUIS_DATOS!$C$1485))-(CROQUIS_DATOS!$C$1484))+((CROQUIS_DATOS!$C$1486)*CROQUIS_DATOS!$C$1561-(0)*CROQUIS_DATOS!$C$1561))/CROQUIS_DATOS!$C$1568-0.000001)),1,MOD($A89-1,2)),1-IF(INT(($A89-1)/2)+1&gt;MAX(1,INT(((((CROQUIS_DATOS!$C$1484+CROQUIS_DATOS!$C$1485))-(CROQUIS_DATOS!$C$1484))+((CROQUIS_DATOS!$C$1486)*CROQUIS_DATOS!$C$1561-(0)*CROQUIS_DATOS!$C$1561))/CROQUIS_DATOS!$C$1568-0.000001)),1,MOD($A89-1,2)))=1,MIN((CROQUIS_DATOS!$C$1486)*CROQUIS_DATOS!$C$1561,((CROQUIS_DATOS!$C$1484+CROQUIS_DATOS!$C$1485)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89-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89">
        <f>IF(AND(CROQUIS_DATOS!$C$1472=1,CROQUIS_DATOS!$C$1478&gt;=2,((CROQUIS_DATOS!$C$1484+CROQUIS_DATOS!$C$1485))-(CROQUIS_DATOS!$C$1484)&gt;0.5,(CROQUIS_DATOS!$C$1476)-((CROQUIS_DATOS!$C$1486+CROQUIS_DATOS!$C$1487))&gt;0.5),(CROQUIS_DATOS!$C$1566+(IF(IF(MOD(MIN(INT(($A89-1)/2)+1,MAX(1,INT(((((CROQUIS_DATOS!$C$1484+CROQUIS_DATOS!$C$1485))-(CROQUIS_DATOS!$C$1484))+((CROQUIS_DATOS!$C$1476)*CROQUIS_DATOS!$C$1561-((CROQUIS_DATOS!$C$1486+CROQUIS_DATOS!$C$1487))*CROQUIS_DATOS!$C$1561))/CROQUIS_DATOS!$C$1568-0.000001))),2)=1,IF(INT(($A89-1)/2)+1&gt;MAX(1,INT(((((CROQUIS_DATOS!$C$1484+CROQUIS_DATOS!$C$1485))-(CROQUIS_DATOS!$C$1484))+((CROQUIS_DATOS!$C$1476)*CROQUIS_DATOS!$C$1561-((CROQUIS_DATOS!$C$1486+CROQUIS_DATOS!$C$1487))*CROQUIS_DATOS!$C$1561))/CROQUIS_DATOS!$C$1568-0.000001)),1,MOD($A89-1,2)),1-IF(INT(($A89-1)/2)+1&gt;MAX(1,INT(((((CROQUIS_DATOS!$C$1484+CROQUIS_DATOS!$C$1485))-(CROQUIS_DATOS!$C$1484))+((CROQUIS_DATOS!$C$1476)*CROQUIS_DATOS!$C$1561-((CROQUIS_DATOS!$C$1486+CROQUIS_DATOS!$C$1487))*CROQUIS_DATOS!$C$1561))/CROQUIS_DATOS!$C$1568-0.000001)),1,MOD($A89-1,2)))=1,MIN((CROQUIS_DATOS!$C$1476)*CROQUIS_DATOS!$C$1561,((CROQUIS_DATOS!$C$1484+CROQUIS_DATOS!$C$1485)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89">
        <f>IF(AND(CROQUIS_DATOS!$C$1472=1,CROQUIS_DATOS!$C$1478&gt;=2,((CROQUIS_DATOS!$C$1484+CROQUIS_DATOS!$C$1485))-(CROQUIS_DATOS!$C$1484)&gt;0.5,(CROQUIS_DATOS!$C$1476)-((CROQUIS_DATOS!$C$1486+CROQUIS_DATOS!$C$1487))&gt;0.5),(CROQUIS_DATOS!$C$1567+(IF(IF(MOD(MIN(INT(($A89-1)/2)+1,MAX(1,INT(((((CROQUIS_DATOS!$C$1484+CROQUIS_DATOS!$C$1485))-(CROQUIS_DATOS!$C$1484))+((CROQUIS_DATOS!$C$1476)*CROQUIS_DATOS!$C$1561-((CROQUIS_DATOS!$C$1486+CROQUIS_DATOS!$C$1487))*CROQUIS_DATOS!$C$1561))/CROQUIS_DATOS!$C$1568-0.000001))),2)=1,IF(INT(($A89-1)/2)+1&gt;MAX(1,INT(((((CROQUIS_DATOS!$C$1484+CROQUIS_DATOS!$C$1485))-(CROQUIS_DATOS!$C$1484))+((CROQUIS_DATOS!$C$1476)*CROQUIS_DATOS!$C$1561-((CROQUIS_DATOS!$C$1486+CROQUIS_DATOS!$C$1487))*CROQUIS_DATOS!$C$1561))/CROQUIS_DATOS!$C$1568-0.000001)),1,MOD($A89-1,2)),1-IF(INT(($A89-1)/2)+1&gt;MAX(1,INT(((((CROQUIS_DATOS!$C$1484+CROQUIS_DATOS!$C$1485))-(CROQUIS_DATOS!$C$1484))+((CROQUIS_DATOS!$C$1476)*CROQUIS_DATOS!$C$1561-((CROQUIS_DATOS!$C$1486+CROQUIS_DATOS!$C$1487))*CROQUIS_DATOS!$C$1561))/CROQUIS_DATOS!$C$1568-0.000001)),1,MOD($A89-1,2)))=1,MIN((CROQUIS_DATOS!$C$1476)*CROQUIS_DATOS!$C$1561,((CROQUIS_DATOS!$C$1484+CROQUIS_DATOS!$C$1485)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89-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89">
        <f>IF(AND(CROQUIS_DATOS!$C$1472=1,CROQUIS_DATOS!$C$1478&gt;=3,((CROQUIS_DATOS!$C$1489+CROQUIS_DATOS!$C$1490))-(CROQUIS_DATOS!$C$1489)&gt;0.5,(CROQUIS_DATOS!$C$1491)-(0)&gt;0.5),(CROQUIS_DATOS!$C$1566+(IF(IF(MOD(MIN(INT(($A89-1)/2)+1,MAX(1,INT(((((CROQUIS_DATOS!$C$1489+CROQUIS_DATOS!$C$1490))-(CROQUIS_DATOS!$C$1489))+((CROQUIS_DATOS!$C$1491)*CROQUIS_DATOS!$C$1561-(0)*CROQUIS_DATOS!$C$1561))/CROQUIS_DATOS!$C$1568-0.000001))),2)=1,IF(INT(($A89-1)/2)+1&gt;MAX(1,INT(((((CROQUIS_DATOS!$C$1489+CROQUIS_DATOS!$C$1490))-(CROQUIS_DATOS!$C$1489))+((CROQUIS_DATOS!$C$1491)*CROQUIS_DATOS!$C$1561-(0)*CROQUIS_DATOS!$C$1561))/CROQUIS_DATOS!$C$1568-0.000001)),1,MOD($A89-1,2)),1-IF(INT(($A89-1)/2)+1&gt;MAX(1,INT(((((CROQUIS_DATOS!$C$1489+CROQUIS_DATOS!$C$1490))-(CROQUIS_DATOS!$C$1489))+((CROQUIS_DATOS!$C$1491)*CROQUIS_DATOS!$C$1561-(0)*CROQUIS_DATOS!$C$1561))/CROQUIS_DATOS!$C$1568-0.000001)),1,MOD($A89-1,2)))=1,MIN((CROQUIS_DATOS!$C$1491)*CROQUIS_DATOS!$C$1561,((CROQUIS_DATOS!$C$1489+CROQUIS_DATOS!$C$1490)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89">
        <f>IF(AND(CROQUIS_DATOS!$C$1472=1,CROQUIS_DATOS!$C$1478&gt;=3,((CROQUIS_DATOS!$C$1489+CROQUIS_DATOS!$C$1490))-(CROQUIS_DATOS!$C$1489)&gt;0.5,(CROQUIS_DATOS!$C$1491)-(0)&gt;0.5),(CROQUIS_DATOS!$C$1567+(IF(IF(MOD(MIN(INT(($A89-1)/2)+1,MAX(1,INT(((((CROQUIS_DATOS!$C$1489+CROQUIS_DATOS!$C$1490))-(CROQUIS_DATOS!$C$1489))+((CROQUIS_DATOS!$C$1491)*CROQUIS_DATOS!$C$1561-(0)*CROQUIS_DATOS!$C$1561))/CROQUIS_DATOS!$C$1568-0.000001))),2)=1,IF(INT(($A89-1)/2)+1&gt;MAX(1,INT(((((CROQUIS_DATOS!$C$1489+CROQUIS_DATOS!$C$1490))-(CROQUIS_DATOS!$C$1489))+((CROQUIS_DATOS!$C$1491)*CROQUIS_DATOS!$C$1561-(0)*CROQUIS_DATOS!$C$1561))/CROQUIS_DATOS!$C$1568-0.000001)),1,MOD($A89-1,2)),1-IF(INT(($A89-1)/2)+1&gt;MAX(1,INT(((((CROQUIS_DATOS!$C$1489+CROQUIS_DATOS!$C$1490))-(CROQUIS_DATOS!$C$1489))+((CROQUIS_DATOS!$C$1491)*CROQUIS_DATOS!$C$1561-(0)*CROQUIS_DATOS!$C$1561))/CROQUIS_DATOS!$C$1568-0.000001)),1,MOD($A89-1,2)))=1,MIN((CROQUIS_DATOS!$C$1491)*CROQUIS_DATOS!$C$1561,((CROQUIS_DATOS!$C$1489+CROQUIS_DATOS!$C$1490)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89-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89">
        <f>IF(AND(CROQUIS_DATOS!$C$1472=1,CROQUIS_DATOS!$C$1478&gt;=3,((CROQUIS_DATOS!$C$1489+CROQUIS_DATOS!$C$1490))-(CROQUIS_DATOS!$C$1489)&gt;0.5,(CROQUIS_DATOS!$C$1476)-((CROQUIS_DATOS!$C$1491+CROQUIS_DATOS!$C$1492))&gt;0.5),(CROQUIS_DATOS!$C$1566+(IF(IF(MOD(MIN(INT(($A89-1)/2)+1,MAX(1,INT(((((CROQUIS_DATOS!$C$1489+CROQUIS_DATOS!$C$1490))-(CROQUIS_DATOS!$C$1489))+((CROQUIS_DATOS!$C$1476)*CROQUIS_DATOS!$C$1561-((CROQUIS_DATOS!$C$1491+CROQUIS_DATOS!$C$1492))*CROQUIS_DATOS!$C$1561))/CROQUIS_DATOS!$C$1568-0.000001))),2)=1,IF(INT(($A89-1)/2)+1&gt;MAX(1,INT(((((CROQUIS_DATOS!$C$1489+CROQUIS_DATOS!$C$1490))-(CROQUIS_DATOS!$C$1489))+((CROQUIS_DATOS!$C$1476)*CROQUIS_DATOS!$C$1561-((CROQUIS_DATOS!$C$1491+CROQUIS_DATOS!$C$1492))*CROQUIS_DATOS!$C$1561))/CROQUIS_DATOS!$C$1568-0.000001)),1,MOD($A89-1,2)),1-IF(INT(($A89-1)/2)+1&gt;MAX(1,INT(((((CROQUIS_DATOS!$C$1489+CROQUIS_DATOS!$C$1490))-(CROQUIS_DATOS!$C$1489))+((CROQUIS_DATOS!$C$1476)*CROQUIS_DATOS!$C$1561-((CROQUIS_DATOS!$C$1491+CROQUIS_DATOS!$C$1492))*CROQUIS_DATOS!$C$1561))/CROQUIS_DATOS!$C$1568-0.000001)),1,MOD($A89-1,2)))=1,MIN((CROQUIS_DATOS!$C$1476)*CROQUIS_DATOS!$C$1561,((CROQUIS_DATOS!$C$1489+CROQUIS_DATOS!$C$1490)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89">
        <f>IF(AND(CROQUIS_DATOS!$C$1472=1,CROQUIS_DATOS!$C$1478&gt;=3,((CROQUIS_DATOS!$C$1489+CROQUIS_DATOS!$C$1490))-(CROQUIS_DATOS!$C$1489)&gt;0.5,(CROQUIS_DATOS!$C$1476)-((CROQUIS_DATOS!$C$1491+CROQUIS_DATOS!$C$1492))&gt;0.5),(CROQUIS_DATOS!$C$1567+(IF(IF(MOD(MIN(INT(($A89-1)/2)+1,MAX(1,INT(((((CROQUIS_DATOS!$C$1489+CROQUIS_DATOS!$C$1490))-(CROQUIS_DATOS!$C$1489))+((CROQUIS_DATOS!$C$1476)*CROQUIS_DATOS!$C$1561-((CROQUIS_DATOS!$C$1491+CROQUIS_DATOS!$C$1492))*CROQUIS_DATOS!$C$1561))/CROQUIS_DATOS!$C$1568-0.000001))),2)=1,IF(INT(($A89-1)/2)+1&gt;MAX(1,INT(((((CROQUIS_DATOS!$C$1489+CROQUIS_DATOS!$C$1490))-(CROQUIS_DATOS!$C$1489))+((CROQUIS_DATOS!$C$1476)*CROQUIS_DATOS!$C$1561-((CROQUIS_DATOS!$C$1491+CROQUIS_DATOS!$C$1492))*CROQUIS_DATOS!$C$1561))/CROQUIS_DATOS!$C$1568-0.000001)),1,MOD($A89-1,2)),1-IF(INT(($A89-1)/2)+1&gt;MAX(1,INT(((((CROQUIS_DATOS!$C$1489+CROQUIS_DATOS!$C$1490))-(CROQUIS_DATOS!$C$1489))+((CROQUIS_DATOS!$C$1476)*CROQUIS_DATOS!$C$1561-((CROQUIS_DATOS!$C$1491+CROQUIS_DATOS!$C$1492))*CROQUIS_DATOS!$C$1561))/CROQUIS_DATOS!$C$1568-0.000001)),1,MOD($A89-1,2)))=1,MIN((CROQUIS_DATOS!$C$1476)*CROQUIS_DATOS!$C$1561,((CROQUIS_DATOS!$C$1489+CROQUIS_DATOS!$C$1490)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89-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89">
        <f>IF(AND(CROQUIS_DATOS!$C$1472=1,CROQUIS_DATOS!$C$1478&gt;=4,((CROQUIS_DATOS!$C$1494+CROQUIS_DATOS!$C$1495))-(CROQUIS_DATOS!$C$1494)&gt;0.5,(CROQUIS_DATOS!$C$1496)-(0)&gt;0.5),(CROQUIS_DATOS!$C$1566+(IF(IF(MOD(MIN(INT(($A89-1)/2)+1,MAX(1,INT(((((CROQUIS_DATOS!$C$1494+CROQUIS_DATOS!$C$1495))-(CROQUIS_DATOS!$C$1494))+((CROQUIS_DATOS!$C$1496)*CROQUIS_DATOS!$C$1561-(0)*CROQUIS_DATOS!$C$1561))/CROQUIS_DATOS!$C$1568-0.000001))),2)=1,IF(INT(($A89-1)/2)+1&gt;MAX(1,INT(((((CROQUIS_DATOS!$C$1494+CROQUIS_DATOS!$C$1495))-(CROQUIS_DATOS!$C$1494))+((CROQUIS_DATOS!$C$1496)*CROQUIS_DATOS!$C$1561-(0)*CROQUIS_DATOS!$C$1561))/CROQUIS_DATOS!$C$1568-0.000001)),1,MOD($A89-1,2)),1-IF(INT(($A89-1)/2)+1&gt;MAX(1,INT(((((CROQUIS_DATOS!$C$1494+CROQUIS_DATOS!$C$1495))-(CROQUIS_DATOS!$C$1494))+((CROQUIS_DATOS!$C$1496)*CROQUIS_DATOS!$C$1561-(0)*CROQUIS_DATOS!$C$1561))/CROQUIS_DATOS!$C$1568-0.000001)),1,MOD($A89-1,2)))=1,MIN((CROQUIS_DATOS!$C$1496)*CROQUIS_DATOS!$C$1561,((CROQUIS_DATOS!$C$1494+CROQUIS_DATOS!$C$1495)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89">
        <f>IF(AND(CROQUIS_DATOS!$C$1472=1,CROQUIS_DATOS!$C$1478&gt;=4,((CROQUIS_DATOS!$C$1494+CROQUIS_DATOS!$C$1495))-(CROQUIS_DATOS!$C$1494)&gt;0.5,(CROQUIS_DATOS!$C$1496)-(0)&gt;0.5),(CROQUIS_DATOS!$C$1567+(IF(IF(MOD(MIN(INT(($A89-1)/2)+1,MAX(1,INT(((((CROQUIS_DATOS!$C$1494+CROQUIS_DATOS!$C$1495))-(CROQUIS_DATOS!$C$1494))+((CROQUIS_DATOS!$C$1496)*CROQUIS_DATOS!$C$1561-(0)*CROQUIS_DATOS!$C$1561))/CROQUIS_DATOS!$C$1568-0.000001))),2)=1,IF(INT(($A89-1)/2)+1&gt;MAX(1,INT(((((CROQUIS_DATOS!$C$1494+CROQUIS_DATOS!$C$1495))-(CROQUIS_DATOS!$C$1494))+((CROQUIS_DATOS!$C$1496)*CROQUIS_DATOS!$C$1561-(0)*CROQUIS_DATOS!$C$1561))/CROQUIS_DATOS!$C$1568-0.000001)),1,MOD($A89-1,2)),1-IF(INT(($A89-1)/2)+1&gt;MAX(1,INT(((((CROQUIS_DATOS!$C$1494+CROQUIS_DATOS!$C$1495))-(CROQUIS_DATOS!$C$1494))+((CROQUIS_DATOS!$C$1496)*CROQUIS_DATOS!$C$1561-(0)*CROQUIS_DATOS!$C$1561))/CROQUIS_DATOS!$C$1568-0.000001)),1,MOD($A89-1,2)))=1,MIN((CROQUIS_DATOS!$C$1496)*CROQUIS_DATOS!$C$1561,((CROQUIS_DATOS!$C$1494+CROQUIS_DATOS!$C$1495)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89-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89">
        <f>IF(AND(CROQUIS_DATOS!$C$1472=1,CROQUIS_DATOS!$C$1478&gt;=4,((CROQUIS_DATOS!$C$1494+CROQUIS_DATOS!$C$1495))-(CROQUIS_DATOS!$C$1494)&gt;0.5,(CROQUIS_DATOS!$C$1476)-((CROQUIS_DATOS!$C$1496+CROQUIS_DATOS!$C$1497))&gt;0.5),(CROQUIS_DATOS!$C$1566+(IF(IF(MOD(MIN(INT(($A89-1)/2)+1,MAX(1,INT(((((CROQUIS_DATOS!$C$1494+CROQUIS_DATOS!$C$1495))-(CROQUIS_DATOS!$C$1494))+((CROQUIS_DATOS!$C$1476)*CROQUIS_DATOS!$C$1561-((CROQUIS_DATOS!$C$1496+CROQUIS_DATOS!$C$1497))*CROQUIS_DATOS!$C$1561))/CROQUIS_DATOS!$C$1568-0.000001))),2)=1,IF(INT(($A89-1)/2)+1&gt;MAX(1,INT(((((CROQUIS_DATOS!$C$1494+CROQUIS_DATOS!$C$1495))-(CROQUIS_DATOS!$C$1494))+((CROQUIS_DATOS!$C$1476)*CROQUIS_DATOS!$C$1561-((CROQUIS_DATOS!$C$1496+CROQUIS_DATOS!$C$1497))*CROQUIS_DATOS!$C$1561))/CROQUIS_DATOS!$C$1568-0.000001)),1,MOD($A89-1,2)),1-IF(INT(($A89-1)/2)+1&gt;MAX(1,INT(((((CROQUIS_DATOS!$C$1494+CROQUIS_DATOS!$C$1495))-(CROQUIS_DATOS!$C$1494))+((CROQUIS_DATOS!$C$1476)*CROQUIS_DATOS!$C$1561-((CROQUIS_DATOS!$C$1496+CROQUIS_DATOS!$C$1497))*CROQUIS_DATOS!$C$1561))/CROQUIS_DATOS!$C$1568-0.000001)),1,MOD($A89-1,2)))=1,MIN((CROQUIS_DATOS!$C$1476)*CROQUIS_DATOS!$C$1561,((CROQUIS_DATOS!$C$1494+CROQUIS_DATOS!$C$1495)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89">
        <f>IF(AND(CROQUIS_DATOS!$C$1472=1,CROQUIS_DATOS!$C$1478&gt;=4,((CROQUIS_DATOS!$C$1494+CROQUIS_DATOS!$C$1495))-(CROQUIS_DATOS!$C$1494)&gt;0.5,(CROQUIS_DATOS!$C$1476)-((CROQUIS_DATOS!$C$1496+CROQUIS_DATOS!$C$1497))&gt;0.5),(CROQUIS_DATOS!$C$1567+(IF(IF(MOD(MIN(INT(($A89-1)/2)+1,MAX(1,INT(((((CROQUIS_DATOS!$C$1494+CROQUIS_DATOS!$C$1495))-(CROQUIS_DATOS!$C$1494))+((CROQUIS_DATOS!$C$1476)*CROQUIS_DATOS!$C$1561-((CROQUIS_DATOS!$C$1496+CROQUIS_DATOS!$C$1497))*CROQUIS_DATOS!$C$1561))/CROQUIS_DATOS!$C$1568-0.000001))),2)=1,IF(INT(($A89-1)/2)+1&gt;MAX(1,INT(((((CROQUIS_DATOS!$C$1494+CROQUIS_DATOS!$C$1495))-(CROQUIS_DATOS!$C$1494))+((CROQUIS_DATOS!$C$1476)*CROQUIS_DATOS!$C$1561-((CROQUIS_DATOS!$C$1496+CROQUIS_DATOS!$C$1497))*CROQUIS_DATOS!$C$1561))/CROQUIS_DATOS!$C$1568-0.000001)),1,MOD($A89-1,2)),1-IF(INT(($A89-1)/2)+1&gt;MAX(1,INT(((((CROQUIS_DATOS!$C$1494+CROQUIS_DATOS!$C$1495))-(CROQUIS_DATOS!$C$1494))+((CROQUIS_DATOS!$C$1476)*CROQUIS_DATOS!$C$1561-((CROQUIS_DATOS!$C$1496+CROQUIS_DATOS!$C$1497))*CROQUIS_DATOS!$C$1561))/CROQUIS_DATOS!$C$1568-0.000001)),1,MOD($A89-1,2)))=1,MIN((CROQUIS_DATOS!$C$1476)*CROQUIS_DATOS!$C$1561,((CROQUIS_DATOS!$C$1494+CROQUIS_DATOS!$C$1495)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89-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0">
      <c r="A90" t="n">
        <v>83</v>
      </c>
      <c r="N90">
        <f>IF(AND(CROQUIS_DATOS!$C$1472=1,1),(CROQUIS_DATOS!$C$1563+(IF(IF(IF(INT(($A90-1)/70)+1&gt;CROQUIS_DATOS!$C$1525,70,MOD($A90-1,70)+1)=1,0,IF(IF(INT(($A90-1)/70)+1&gt;CROQUIS_DATOS!$C$1525,70,MOD($A90-1,70)+1)&gt;2*CROQUIS_DATOS!$C$1541+1,IF(MOD(CROQUIS_DATOS!$C$1541,2)=1,1,0),IF(MOD(MIN(INT((IF(INT(($A90-1)/70)+1&gt;CROQUIS_DATOS!$C$1525,70,MOD($A90-1,70)+1)-2)/2)+1,CROQUIS_DATOS!$C$1541),2)=1,IF(MOD(IF(INT(($A90-1)/70)+1&gt;CROQUIS_DATOS!$C$1525,70,MOD($A90-1,70)+1)-2,2)=0,0,1),IF(MOD(IF(INT(($A90-1)/70)+1&gt;CROQUIS_DATOS!$C$1525,70,MOD($A90-1,70)+1)-2,2)=0,1,0))))=0,(INDEX($E$8:$E$23,MIN(INT(($A90-1)/70)+1,CROQUIS_DATOS!$C$1525))-INDEX($F$8:$F$23,MIN(INT(($A90-1)/70)+1,CROQUIS_DATOS!$C$1525))/2),(INDEX($E$8:$E$23,MIN(INT(($A90-1)/70)+1,CROQUIS_DATOS!$C$1525))+INDEX($F$8:$F$23,MIN(INT(($A90-1)/70)+1,CROQUIS_DATOS!$C$1525))/2)))*CROQUIS_DATOS!$C$1562),-1000)</f>
        <v>18.5775862068965</v>
      </c>
      <c r="O90">
        <f>IF(AND(CROQUIS_DATOS!$C$1472=1,1),(CROQUIS_DATOS!$C$1564+(IF(OR(IF(INT(($A90-1)/70)+1&gt;CROQUIS_DATOS!$C$1525,70,MOD($A90-1,70)+1)=1,IF(INT(($A90-1)/70)+1&gt;CROQUIS_DATOS!$C$1525,70,MOD($A90-1,70)+1)&gt;2*CROQUIS_DATOS!$C$1541+1),CROQUIS_DATOS!$C$1476,INDEX($H$8:$H$41,MIN(INT((IF(INT(($A90-1)/70)+1&gt;CROQUIS_DATOS!$C$1525,70,MOD($A90-1,70)+1)-2)/2)+1,CROQUIS_DATOS!$C$1541))))*CROQUIS_DATOS!$C$1561*CROQUIS_DATOS!$C$1562),-1000)</f>
        <v>13.2456896551724</v>
      </c>
      <c r="P90">
        <f>IF(AND(CROQUIS_DATOS!$C$1472=1,CROQUIS_DATOS!$C$1555=1),(CROQUIS_DATOS!$C$1563+(IF(IF(OR(MOD($A90-1,62)+1=1,IF(CHOOSE(MIN(MAX(MIN(INT(($A90-1)/62)+1,5),1),5),CROQUIS_DATOS!$C$1501,CROQUIS_DATOS!$C$1505,CROQUIS_DATOS!$C$1509,CROQUIS_DATOS!$C$1513,CROQUIS_DATOS!$C$1517)=1,CROQUIS_DATOS!$C$1557,0)=0),0,IF(MOD($A90-1,62)+1&gt;2*IF(CHOOSE(MIN(MAX(MIN(INT(($A90-1)/62)+1,5),1),5),CROQUIS_DATOS!$C$1501,CROQUIS_DATOS!$C$1505,CROQUIS_DATOS!$C$1509,CROQUIS_DATOS!$C$1513,CROQUIS_DATOS!$C$1517)=1,CROQUIS_DATOS!$C$1557,0)+1,IF(MOD(IF(CHOOSE(MIN(MAX(MIN(INT(($A90-1)/62)+1,5),1),5),CROQUIS_DATOS!$C$1501,CROQUIS_DATOS!$C$1505,CROQUIS_DATOS!$C$1509,CROQUIS_DATOS!$C$1513,CROQUIS_DATOS!$C$1517)=1,CROQUIS_DATOS!$C$1557,0),2)=1,1,0),IF(MOD(MIN(INT((MOD($A90-1,62)+1-2)/2)+1,MAX(IF(CHOOSE(MIN(MAX(MIN(INT(($A90-1)/62)+1,5),1),5),CROQUIS_DATOS!$C$1501,CROQUIS_DATOS!$C$1505,CROQUIS_DATOS!$C$1509,CROQUIS_DATOS!$C$1513,CROQUIS_DATOS!$C$1517)=1,CROQUIS_DATOS!$C$1557,0),1)),2)=1,IF(MOD(MOD($A90-1,62)+1-2,2)=0,0,1),IF(MOD(MOD($A90-1,62)+1-2,2)=0,1,0))))=0,(CHOOSE(MIN(MAX(MIN(INT(($A90-1)/62)+1,5),1),5),CROQUIS_DATOS!$C$1499,CROQUIS_DATOS!$C$1503,CROQUIS_DATOS!$C$1507,CROQUIS_DATOS!$C$1511,CROQUIS_DATOS!$C$1515)+IF(CHOOSE(MIN(MAX(MIN(INT(($A90-1)/62)+1,5),1),5),CROQUIS_DATOS!$C$1501,CROQUIS_DATOS!$C$1505,CROQUIS_DATOS!$C$1509,CROQUIS_DATOS!$C$1513,CROQUIS_DATOS!$C$1517)=1,CROQUIS_DATOS!$C$1526,0)),(CHOOSE(MIN(MAX(MIN(INT(($A90-1)/62)+1,5),1),5),CROQUIS_DATOS!$C$1499,CROQUIS_DATOS!$C$1503,CROQUIS_DATOS!$C$1507,CROQUIS_DATOS!$C$1511,CROQUIS_DATOS!$C$1515)+CHOOSE(MIN(MAX(MIN(INT(($A90-1)/62)+1,5),1),5),CROQUIS_DATOS!$C$1500,CROQUIS_DATOS!$C$1504,CROQUIS_DATOS!$C$1508,CROQUIS_DATOS!$C$1512,CROQUIS_DATOS!$C$1516)-IF(CHOOSE(MIN(MAX(MIN(INT(($A90-1)/62)+1,5),1),5),CROQUIS_DATOS!$C$1501,CROQUIS_DATOS!$C$1505,CROQUIS_DATOS!$C$1509,CROQUIS_DATOS!$C$1513,CROQUIS_DATOS!$C$1517)=1,CROQUIS_DATOS!$C$1526,0))))*CROQUIS_DATOS!$C$1562),-1000)</f>
        <v>-1000</v>
      </c>
      <c r="Q90">
        <f>IF(AND(CROQUIS_DATOS!$C$1472=1,CROQUIS_DATOS!$C$1555=1),(CROQUIS_DATOS!$C$1564+(IF(OR(OR(MOD($A90-1,62)+1=1,IF(CHOOSE(MIN(MAX(MIN(INT(($A90-1)/62)+1,5),1),5),CROQUIS_DATOS!$C$1501,CROQUIS_DATOS!$C$1505,CROQUIS_DATOS!$C$1509,CROQUIS_DATOS!$C$1513,CROQUIS_DATOS!$C$1517)=1,CROQUIS_DATOS!$C$1557,0)=0),MOD($A90-1,62)+1&gt;2*IF(CHOOSE(MIN(MAX(MIN(INT(($A90-1)/62)+1,5),1),5),CROQUIS_DATOS!$C$1501,CROQUIS_DATOS!$C$1505,CROQUIS_DATOS!$C$1509,CROQUIS_DATOS!$C$1513,CROQUIS_DATOS!$C$1517)=1,CROQUIS_DATOS!$C$1557,0)+1),CROQUIS_DATOS!$C$1476,MIN(INT((MOD($A90-1,62)+1-2)/2)+1,MAX(IF(CHOOSE(MIN(MAX(MIN(INT(($A90-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0">
        <f>IF(AND(CROQUIS_DATOS!$C$1472=1,1),(CROQUIS_DATOS!$C$1563+(MIN(INT(($A90-1)/2)+1,CROQUIS_DATOS!$C$1558)*CROQUIS_DATOS!$C$1559)*CROQUIS_DATOS!$C$1562),-1000)</f>
        <v>82.2281167108753</v>
      </c>
      <c r="U90">
        <f>IF(AND(CROQUIS_DATOS!$C$1472=1,1),(CROQUIS_DATOS!$C$1564+(IF(INT(($A90-1)/2)+1&gt;CROQUIS_DATOS!$C$1558,IF(MOD(CROQUIS_DATOS!$C$1558,2)=1,CROQUIS_DATOS!$C$1476+CROQUIS_DATOS!$C$1528,CROQUIS_DATOS!$C$1476),IF(IF(MOD(MIN(INT(($A90-1)/2)+1,CROQUIS_DATOS!$C$1558),2)=1,MOD($A90-1,2),1-MOD($A90-1,2))=1,CROQUIS_DATOS!$C$1476+CROQUIS_DATOS!$C$1528,CROQUIS_DATOS!$C$1476)))*CROQUIS_DATOS!$C$1561*CROQUIS_DATOS!$C$1562),-1000)</f>
        <v>43</v>
      </c>
      <c r="BZ90">
        <f>IF(AND(CROQUIS_DATOS!$C$1472=1,CROQUIS_DATOS!$C$1500&gt;0,((CROQUIS_DATOS!$C$1499+CROQUIS_DATOS!$C$1500))-(CROQUIS_DATOS!$C$1499)&gt;0.5,(CROQUIS_DATOS!$C$1476)-(0)&gt;0.5),(CROQUIS_DATOS!$C$1566+(IF(IF(MOD(MIN(INT(($A90-1)/2)+1,MAX(1,INT(((((CROQUIS_DATOS!$C$1499+CROQUIS_DATOS!$C$1500))-(CROQUIS_DATOS!$C$1499))+((CROQUIS_DATOS!$C$1476)*CROQUIS_DATOS!$C$1561-(0)*CROQUIS_DATOS!$C$1561))/CROQUIS_DATOS!$C$1568-0.000001))),2)=1,IF(INT(($A90-1)/2)+1&gt;MAX(1,INT(((((CROQUIS_DATOS!$C$1499+CROQUIS_DATOS!$C$1500))-(CROQUIS_DATOS!$C$1499))+((CROQUIS_DATOS!$C$1476)*CROQUIS_DATOS!$C$1561-(0)*CROQUIS_DATOS!$C$1561))/CROQUIS_DATOS!$C$1568-0.000001)),1,MOD($A90-1,2)),1-IF(INT(($A90-1)/2)+1&gt;MAX(1,INT(((((CROQUIS_DATOS!$C$1499+CROQUIS_DATOS!$C$1500))-(CROQUIS_DATOS!$C$1499))+((CROQUIS_DATOS!$C$1476)*CROQUIS_DATOS!$C$1561-(0)*CROQUIS_DATOS!$C$1561))/CROQUIS_DATOS!$C$1568-0.000001)),1,MOD($A90-1,2)))=1,MIN((CROQUIS_DATOS!$C$1476)*CROQUIS_DATOS!$C$1561,((CROQUIS_DATOS!$C$1499+CROQUIS_DATOS!$C$1500)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0">
        <f>IF(AND(CROQUIS_DATOS!$C$1472=1,CROQUIS_DATOS!$C$1500&gt;0,((CROQUIS_DATOS!$C$1499+CROQUIS_DATOS!$C$1500))-(CROQUIS_DATOS!$C$1499)&gt;0.5,(CROQUIS_DATOS!$C$1476)-(0)&gt;0.5),(CROQUIS_DATOS!$C$1567+(IF(IF(MOD(MIN(INT(($A90-1)/2)+1,MAX(1,INT(((((CROQUIS_DATOS!$C$1499+CROQUIS_DATOS!$C$1500))-(CROQUIS_DATOS!$C$1499))+((CROQUIS_DATOS!$C$1476)*CROQUIS_DATOS!$C$1561-(0)*CROQUIS_DATOS!$C$1561))/CROQUIS_DATOS!$C$1568-0.000001))),2)=1,IF(INT(($A90-1)/2)+1&gt;MAX(1,INT(((((CROQUIS_DATOS!$C$1499+CROQUIS_DATOS!$C$1500))-(CROQUIS_DATOS!$C$1499))+((CROQUIS_DATOS!$C$1476)*CROQUIS_DATOS!$C$1561-(0)*CROQUIS_DATOS!$C$1561))/CROQUIS_DATOS!$C$1568-0.000001)),1,MOD($A90-1,2)),1-IF(INT(($A90-1)/2)+1&gt;MAX(1,INT(((((CROQUIS_DATOS!$C$1499+CROQUIS_DATOS!$C$1500))-(CROQUIS_DATOS!$C$1499))+((CROQUIS_DATOS!$C$1476)*CROQUIS_DATOS!$C$1561-(0)*CROQUIS_DATOS!$C$1561))/CROQUIS_DATOS!$C$1568-0.000001)),1,MOD($A90-1,2)))=1,MIN((CROQUIS_DATOS!$C$1476)*CROQUIS_DATOS!$C$1561,((CROQUIS_DATOS!$C$1499+CROQUIS_DATOS!$C$1500)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0">
        <f>IF(AND(CROQUIS_DATOS!$C$1472=1,CROQUIS_DATOS!$C$1504&gt;0,((CROQUIS_DATOS!$C$1503+CROQUIS_DATOS!$C$1504))-(CROQUIS_DATOS!$C$1503)&gt;0.5,(CROQUIS_DATOS!$C$1476)-(0)&gt;0.5),(CROQUIS_DATOS!$C$1566+(IF(IF(MOD(MIN(INT(($A90-1)/2)+1,MAX(1,INT(((((CROQUIS_DATOS!$C$1503+CROQUIS_DATOS!$C$1504))-(CROQUIS_DATOS!$C$1503))+((CROQUIS_DATOS!$C$1476)*CROQUIS_DATOS!$C$1561-(0)*CROQUIS_DATOS!$C$1561))/CROQUIS_DATOS!$C$1568-0.000001))),2)=1,IF(INT(($A90-1)/2)+1&gt;MAX(1,INT(((((CROQUIS_DATOS!$C$1503+CROQUIS_DATOS!$C$1504))-(CROQUIS_DATOS!$C$1503))+((CROQUIS_DATOS!$C$1476)*CROQUIS_DATOS!$C$1561-(0)*CROQUIS_DATOS!$C$1561))/CROQUIS_DATOS!$C$1568-0.000001)),1,MOD($A90-1,2)),1-IF(INT(($A90-1)/2)+1&gt;MAX(1,INT(((((CROQUIS_DATOS!$C$1503+CROQUIS_DATOS!$C$1504))-(CROQUIS_DATOS!$C$1503))+((CROQUIS_DATOS!$C$1476)*CROQUIS_DATOS!$C$1561-(0)*CROQUIS_DATOS!$C$1561))/CROQUIS_DATOS!$C$1568-0.000001)),1,MOD($A90-1,2)))=1,MIN((CROQUIS_DATOS!$C$1476)*CROQUIS_DATOS!$C$1561,((CROQUIS_DATOS!$C$1503+CROQUIS_DATOS!$C$1504)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0">
        <f>IF(AND(CROQUIS_DATOS!$C$1472=1,CROQUIS_DATOS!$C$1504&gt;0,((CROQUIS_DATOS!$C$1503+CROQUIS_DATOS!$C$1504))-(CROQUIS_DATOS!$C$1503)&gt;0.5,(CROQUIS_DATOS!$C$1476)-(0)&gt;0.5),(CROQUIS_DATOS!$C$1567+(IF(IF(MOD(MIN(INT(($A90-1)/2)+1,MAX(1,INT(((((CROQUIS_DATOS!$C$1503+CROQUIS_DATOS!$C$1504))-(CROQUIS_DATOS!$C$1503))+((CROQUIS_DATOS!$C$1476)*CROQUIS_DATOS!$C$1561-(0)*CROQUIS_DATOS!$C$1561))/CROQUIS_DATOS!$C$1568-0.000001))),2)=1,IF(INT(($A90-1)/2)+1&gt;MAX(1,INT(((((CROQUIS_DATOS!$C$1503+CROQUIS_DATOS!$C$1504))-(CROQUIS_DATOS!$C$1503))+((CROQUIS_DATOS!$C$1476)*CROQUIS_DATOS!$C$1561-(0)*CROQUIS_DATOS!$C$1561))/CROQUIS_DATOS!$C$1568-0.000001)),1,MOD($A90-1,2)),1-IF(INT(($A90-1)/2)+1&gt;MAX(1,INT(((((CROQUIS_DATOS!$C$1503+CROQUIS_DATOS!$C$1504))-(CROQUIS_DATOS!$C$1503))+((CROQUIS_DATOS!$C$1476)*CROQUIS_DATOS!$C$1561-(0)*CROQUIS_DATOS!$C$1561))/CROQUIS_DATOS!$C$1568-0.000001)),1,MOD($A90-1,2)))=1,MIN((CROQUIS_DATOS!$C$1476)*CROQUIS_DATOS!$C$1561,((CROQUIS_DATOS!$C$1503+CROQUIS_DATOS!$C$1504)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0">
        <f>IF(AND(CROQUIS_DATOS!$C$1472=1,CROQUIS_DATOS!$C$1508&gt;0,((CROQUIS_DATOS!$C$1507+CROQUIS_DATOS!$C$1508))-(CROQUIS_DATOS!$C$1507)&gt;0.5,(CROQUIS_DATOS!$C$1476)-(0)&gt;0.5),(CROQUIS_DATOS!$C$1566+(IF(IF(MOD(MIN(INT(($A90-1)/2)+1,MAX(1,INT(((((CROQUIS_DATOS!$C$1507+CROQUIS_DATOS!$C$1508))-(CROQUIS_DATOS!$C$1507))+((CROQUIS_DATOS!$C$1476)*CROQUIS_DATOS!$C$1561-(0)*CROQUIS_DATOS!$C$1561))/CROQUIS_DATOS!$C$1568-0.000001))),2)=1,IF(INT(($A90-1)/2)+1&gt;MAX(1,INT(((((CROQUIS_DATOS!$C$1507+CROQUIS_DATOS!$C$1508))-(CROQUIS_DATOS!$C$1507))+((CROQUIS_DATOS!$C$1476)*CROQUIS_DATOS!$C$1561-(0)*CROQUIS_DATOS!$C$1561))/CROQUIS_DATOS!$C$1568-0.000001)),1,MOD($A90-1,2)),1-IF(INT(($A90-1)/2)+1&gt;MAX(1,INT(((((CROQUIS_DATOS!$C$1507+CROQUIS_DATOS!$C$1508))-(CROQUIS_DATOS!$C$1507))+((CROQUIS_DATOS!$C$1476)*CROQUIS_DATOS!$C$1561-(0)*CROQUIS_DATOS!$C$1561))/CROQUIS_DATOS!$C$1568-0.000001)),1,MOD($A90-1,2)))=1,MIN((CROQUIS_DATOS!$C$1476)*CROQUIS_DATOS!$C$1561,((CROQUIS_DATOS!$C$1507+CROQUIS_DATOS!$C$1508)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0">
        <f>IF(AND(CROQUIS_DATOS!$C$1472=1,CROQUIS_DATOS!$C$1508&gt;0,((CROQUIS_DATOS!$C$1507+CROQUIS_DATOS!$C$1508))-(CROQUIS_DATOS!$C$1507)&gt;0.5,(CROQUIS_DATOS!$C$1476)-(0)&gt;0.5),(CROQUIS_DATOS!$C$1567+(IF(IF(MOD(MIN(INT(($A90-1)/2)+1,MAX(1,INT(((((CROQUIS_DATOS!$C$1507+CROQUIS_DATOS!$C$1508))-(CROQUIS_DATOS!$C$1507))+((CROQUIS_DATOS!$C$1476)*CROQUIS_DATOS!$C$1561-(0)*CROQUIS_DATOS!$C$1561))/CROQUIS_DATOS!$C$1568-0.000001))),2)=1,IF(INT(($A90-1)/2)+1&gt;MAX(1,INT(((((CROQUIS_DATOS!$C$1507+CROQUIS_DATOS!$C$1508))-(CROQUIS_DATOS!$C$1507))+((CROQUIS_DATOS!$C$1476)*CROQUIS_DATOS!$C$1561-(0)*CROQUIS_DATOS!$C$1561))/CROQUIS_DATOS!$C$1568-0.000001)),1,MOD($A90-1,2)),1-IF(INT(($A90-1)/2)+1&gt;MAX(1,INT(((((CROQUIS_DATOS!$C$1507+CROQUIS_DATOS!$C$1508))-(CROQUIS_DATOS!$C$1507))+((CROQUIS_DATOS!$C$1476)*CROQUIS_DATOS!$C$1561-(0)*CROQUIS_DATOS!$C$1561))/CROQUIS_DATOS!$C$1568-0.000001)),1,MOD($A90-1,2)))=1,MIN((CROQUIS_DATOS!$C$1476)*CROQUIS_DATOS!$C$1561,((CROQUIS_DATOS!$C$1507+CROQUIS_DATOS!$C$1508)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0">
        <f>IF(AND(CROQUIS_DATOS!$C$1472=1,CROQUIS_DATOS!$C$1512&gt;0,((CROQUIS_DATOS!$C$1511+CROQUIS_DATOS!$C$1512))-(CROQUIS_DATOS!$C$1511)&gt;0.5,(CROQUIS_DATOS!$C$1476)-(0)&gt;0.5),(CROQUIS_DATOS!$C$1566+(IF(IF(MOD(MIN(INT(($A90-1)/2)+1,MAX(1,INT(((((CROQUIS_DATOS!$C$1511+CROQUIS_DATOS!$C$1512))-(CROQUIS_DATOS!$C$1511))+((CROQUIS_DATOS!$C$1476)*CROQUIS_DATOS!$C$1561-(0)*CROQUIS_DATOS!$C$1561))/CROQUIS_DATOS!$C$1568-0.000001))),2)=1,IF(INT(($A90-1)/2)+1&gt;MAX(1,INT(((((CROQUIS_DATOS!$C$1511+CROQUIS_DATOS!$C$1512))-(CROQUIS_DATOS!$C$1511))+((CROQUIS_DATOS!$C$1476)*CROQUIS_DATOS!$C$1561-(0)*CROQUIS_DATOS!$C$1561))/CROQUIS_DATOS!$C$1568-0.000001)),1,MOD($A90-1,2)),1-IF(INT(($A90-1)/2)+1&gt;MAX(1,INT(((((CROQUIS_DATOS!$C$1511+CROQUIS_DATOS!$C$1512))-(CROQUIS_DATOS!$C$1511))+((CROQUIS_DATOS!$C$1476)*CROQUIS_DATOS!$C$1561-(0)*CROQUIS_DATOS!$C$1561))/CROQUIS_DATOS!$C$1568-0.000001)),1,MOD($A90-1,2)))=1,MIN((CROQUIS_DATOS!$C$1476)*CROQUIS_DATOS!$C$1561,((CROQUIS_DATOS!$C$1511+CROQUIS_DATOS!$C$1512)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0">
        <f>IF(AND(CROQUIS_DATOS!$C$1472=1,CROQUIS_DATOS!$C$1512&gt;0,((CROQUIS_DATOS!$C$1511+CROQUIS_DATOS!$C$1512))-(CROQUIS_DATOS!$C$1511)&gt;0.5,(CROQUIS_DATOS!$C$1476)-(0)&gt;0.5),(CROQUIS_DATOS!$C$1567+(IF(IF(MOD(MIN(INT(($A90-1)/2)+1,MAX(1,INT(((((CROQUIS_DATOS!$C$1511+CROQUIS_DATOS!$C$1512))-(CROQUIS_DATOS!$C$1511))+((CROQUIS_DATOS!$C$1476)*CROQUIS_DATOS!$C$1561-(0)*CROQUIS_DATOS!$C$1561))/CROQUIS_DATOS!$C$1568-0.000001))),2)=1,IF(INT(($A90-1)/2)+1&gt;MAX(1,INT(((((CROQUIS_DATOS!$C$1511+CROQUIS_DATOS!$C$1512))-(CROQUIS_DATOS!$C$1511))+((CROQUIS_DATOS!$C$1476)*CROQUIS_DATOS!$C$1561-(0)*CROQUIS_DATOS!$C$1561))/CROQUIS_DATOS!$C$1568-0.000001)),1,MOD($A90-1,2)),1-IF(INT(($A90-1)/2)+1&gt;MAX(1,INT(((((CROQUIS_DATOS!$C$1511+CROQUIS_DATOS!$C$1512))-(CROQUIS_DATOS!$C$1511))+((CROQUIS_DATOS!$C$1476)*CROQUIS_DATOS!$C$1561-(0)*CROQUIS_DATOS!$C$1561))/CROQUIS_DATOS!$C$1568-0.000001)),1,MOD($A90-1,2)))=1,MIN((CROQUIS_DATOS!$C$1476)*CROQUIS_DATOS!$C$1561,((CROQUIS_DATOS!$C$1511+CROQUIS_DATOS!$C$1512)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0">
        <f>IF(AND(CROQUIS_DATOS!$C$1472=1,CROQUIS_DATOS!$C$1516&gt;0,((CROQUIS_DATOS!$C$1515+CROQUIS_DATOS!$C$1516))-(CROQUIS_DATOS!$C$1515)&gt;0.5,(CROQUIS_DATOS!$C$1476)-(0)&gt;0.5),(CROQUIS_DATOS!$C$1566+(IF(IF(MOD(MIN(INT(($A90-1)/2)+1,MAX(1,INT(((((CROQUIS_DATOS!$C$1515+CROQUIS_DATOS!$C$1516))-(CROQUIS_DATOS!$C$1515))+((CROQUIS_DATOS!$C$1476)*CROQUIS_DATOS!$C$1561-(0)*CROQUIS_DATOS!$C$1561))/CROQUIS_DATOS!$C$1568-0.000001))),2)=1,IF(INT(($A90-1)/2)+1&gt;MAX(1,INT(((((CROQUIS_DATOS!$C$1515+CROQUIS_DATOS!$C$1516))-(CROQUIS_DATOS!$C$1515))+((CROQUIS_DATOS!$C$1476)*CROQUIS_DATOS!$C$1561-(0)*CROQUIS_DATOS!$C$1561))/CROQUIS_DATOS!$C$1568-0.000001)),1,MOD($A90-1,2)),1-IF(INT(($A90-1)/2)+1&gt;MAX(1,INT(((((CROQUIS_DATOS!$C$1515+CROQUIS_DATOS!$C$1516))-(CROQUIS_DATOS!$C$1515))+((CROQUIS_DATOS!$C$1476)*CROQUIS_DATOS!$C$1561-(0)*CROQUIS_DATOS!$C$1561))/CROQUIS_DATOS!$C$1568-0.000001)),1,MOD($A90-1,2)))=1,MIN((CROQUIS_DATOS!$C$1476)*CROQUIS_DATOS!$C$1561,((CROQUIS_DATOS!$C$1515+CROQUIS_DATOS!$C$1516)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0">
        <f>IF(AND(CROQUIS_DATOS!$C$1472=1,CROQUIS_DATOS!$C$1516&gt;0,((CROQUIS_DATOS!$C$1515+CROQUIS_DATOS!$C$1516))-(CROQUIS_DATOS!$C$1515)&gt;0.5,(CROQUIS_DATOS!$C$1476)-(0)&gt;0.5),(CROQUIS_DATOS!$C$1567+(IF(IF(MOD(MIN(INT(($A90-1)/2)+1,MAX(1,INT(((((CROQUIS_DATOS!$C$1515+CROQUIS_DATOS!$C$1516))-(CROQUIS_DATOS!$C$1515))+((CROQUIS_DATOS!$C$1476)*CROQUIS_DATOS!$C$1561-(0)*CROQUIS_DATOS!$C$1561))/CROQUIS_DATOS!$C$1568-0.000001))),2)=1,IF(INT(($A90-1)/2)+1&gt;MAX(1,INT(((((CROQUIS_DATOS!$C$1515+CROQUIS_DATOS!$C$1516))-(CROQUIS_DATOS!$C$1515))+((CROQUIS_DATOS!$C$1476)*CROQUIS_DATOS!$C$1561-(0)*CROQUIS_DATOS!$C$1561))/CROQUIS_DATOS!$C$1568-0.000001)),1,MOD($A90-1,2)),1-IF(INT(($A90-1)/2)+1&gt;MAX(1,INT(((((CROQUIS_DATOS!$C$1515+CROQUIS_DATOS!$C$1516))-(CROQUIS_DATOS!$C$1515))+((CROQUIS_DATOS!$C$1476)*CROQUIS_DATOS!$C$1561-(0)*CROQUIS_DATOS!$C$1561))/CROQUIS_DATOS!$C$1568-0.000001)),1,MOD($A90-1,2)))=1,MIN((CROQUIS_DATOS!$C$1476)*CROQUIS_DATOS!$C$1561,((CROQUIS_DATOS!$C$1515+CROQUIS_DATOS!$C$1516)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0">
        <f>IF(AND(CROQUIS_DATOS!$C$1472=1,CROQUIS_DATOS!$C$1478&gt;=1,((CROQUIS_DATOS!$C$1479+CROQUIS_DATOS!$C$1480))-(CROQUIS_DATOS!$C$1479)&gt;0.5,(CROQUIS_DATOS!$C$1481)-(0)&gt;0.5),(CROQUIS_DATOS!$C$1566+(IF(IF(MOD(MIN(INT(($A90-1)/2)+1,MAX(1,INT(((((CROQUIS_DATOS!$C$1479+CROQUIS_DATOS!$C$1480))-(CROQUIS_DATOS!$C$1479))+((CROQUIS_DATOS!$C$1481)*CROQUIS_DATOS!$C$1561-(0)*CROQUIS_DATOS!$C$1561))/CROQUIS_DATOS!$C$1568-0.000001))),2)=1,IF(INT(($A90-1)/2)+1&gt;MAX(1,INT(((((CROQUIS_DATOS!$C$1479+CROQUIS_DATOS!$C$1480))-(CROQUIS_DATOS!$C$1479))+((CROQUIS_DATOS!$C$1481)*CROQUIS_DATOS!$C$1561-(0)*CROQUIS_DATOS!$C$1561))/CROQUIS_DATOS!$C$1568-0.000001)),1,MOD($A90-1,2)),1-IF(INT(($A90-1)/2)+1&gt;MAX(1,INT(((((CROQUIS_DATOS!$C$1479+CROQUIS_DATOS!$C$1480))-(CROQUIS_DATOS!$C$1479))+((CROQUIS_DATOS!$C$1481)*CROQUIS_DATOS!$C$1561-(0)*CROQUIS_DATOS!$C$1561))/CROQUIS_DATOS!$C$1568-0.000001)),1,MOD($A90-1,2)))=1,MIN((CROQUIS_DATOS!$C$1481)*CROQUIS_DATOS!$C$1561,((CROQUIS_DATOS!$C$1479+CROQUIS_DATOS!$C$1480)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0">
        <f>IF(AND(CROQUIS_DATOS!$C$1472=1,CROQUIS_DATOS!$C$1478&gt;=1,((CROQUIS_DATOS!$C$1479+CROQUIS_DATOS!$C$1480))-(CROQUIS_DATOS!$C$1479)&gt;0.5,(CROQUIS_DATOS!$C$1481)-(0)&gt;0.5),(CROQUIS_DATOS!$C$1567+(IF(IF(MOD(MIN(INT(($A90-1)/2)+1,MAX(1,INT(((((CROQUIS_DATOS!$C$1479+CROQUIS_DATOS!$C$1480))-(CROQUIS_DATOS!$C$1479))+((CROQUIS_DATOS!$C$1481)*CROQUIS_DATOS!$C$1561-(0)*CROQUIS_DATOS!$C$1561))/CROQUIS_DATOS!$C$1568-0.000001))),2)=1,IF(INT(($A90-1)/2)+1&gt;MAX(1,INT(((((CROQUIS_DATOS!$C$1479+CROQUIS_DATOS!$C$1480))-(CROQUIS_DATOS!$C$1479))+((CROQUIS_DATOS!$C$1481)*CROQUIS_DATOS!$C$1561-(0)*CROQUIS_DATOS!$C$1561))/CROQUIS_DATOS!$C$1568-0.000001)),1,MOD($A90-1,2)),1-IF(INT(($A90-1)/2)+1&gt;MAX(1,INT(((((CROQUIS_DATOS!$C$1479+CROQUIS_DATOS!$C$1480))-(CROQUIS_DATOS!$C$1479))+((CROQUIS_DATOS!$C$1481)*CROQUIS_DATOS!$C$1561-(0)*CROQUIS_DATOS!$C$1561))/CROQUIS_DATOS!$C$1568-0.000001)),1,MOD($A90-1,2)))=1,MIN((CROQUIS_DATOS!$C$1481)*CROQUIS_DATOS!$C$1561,((CROQUIS_DATOS!$C$1479+CROQUIS_DATOS!$C$1480)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0">
        <f>IF(AND(CROQUIS_DATOS!$C$1472=1,CROQUIS_DATOS!$C$1478&gt;=1,((CROQUIS_DATOS!$C$1479+CROQUIS_DATOS!$C$1480))-(CROQUIS_DATOS!$C$1479)&gt;0.5,(CROQUIS_DATOS!$C$1476)-((CROQUIS_DATOS!$C$1481+CROQUIS_DATOS!$C$1482))&gt;0.5),(CROQUIS_DATOS!$C$1566+(IF(IF(MOD(MIN(INT(($A90-1)/2)+1,MAX(1,INT(((((CROQUIS_DATOS!$C$1479+CROQUIS_DATOS!$C$1480))-(CROQUIS_DATOS!$C$1479))+((CROQUIS_DATOS!$C$1476)*CROQUIS_DATOS!$C$1561-((CROQUIS_DATOS!$C$1481+CROQUIS_DATOS!$C$1482))*CROQUIS_DATOS!$C$1561))/CROQUIS_DATOS!$C$1568-0.000001))),2)=1,IF(INT(($A90-1)/2)+1&gt;MAX(1,INT(((((CROQUIS_DATOS!$C$1479+CROQUIS_DATOS!$C$1480))-(CROQUIS_DATOS!$C$1479))+((CROQUIS_DATOS!$C$1476)*CROQUIS_DATOS!$C$1561-((CROQUIS_DATOS!$C$1481+CROQUIS_DATOS!$C$1482))*CROQUIS_DATOS!$C$1561))/CROQUIS_DATOS!$C$1568-0.000001)),1,MOD($A90-1,2)),1-IF(INT(($A90-1)/2)+1&gt;MAX(1,INT(((((CROQUIS_DATOS!$C$1479+CROQUIS_DATOS!$C$1480))-(CROQUIS_DATOS!$C$1479))+((CROQUIS_DATOS!$C$1476)*CROQUIS_DATOS!$C$1561-((CROQUIS_DATOS!$C$1481+CROQUIS_DATOS!$C$1482))*CROQUIS_DATOS!$C$1561))/CROQUIS_DATOS!$C$1568-0.000001)),1,MOD($A90-1,2)))=1,MIN((CROQUIS_DATOS!$C$1476)*CROQUIS_DATOS!$C$1561,((CROQUIS_DATOS!$C$1479+CROQUIS_DATOS!$C$1480)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0">
        <f>IF(AND(CROQUIS_DATOS!$C$1472=1,CROQUIS_DATOS!$C$1478&gt;=1,((CROQUIS_DATOS!$C$1479+CROQUIS_DATOS!$C$1480))-(CROQUIS_DATOS!$C$1479)&gt;0.5,(CROQUIS_DATOS!$C$1476)-((CROQUIS_DATOS!$C$1481+CROQUIS_DATOS!$C$1482))&gt;0.5),(CROQUIS_DATOS!$C$1567+(IF(IF(MOD(MIN(INT(($A90-1)/2)+1,MAX(1,INT(((((CROQUIS_DATOS!$C$1479+CROQUIS_DATOS!$C$1480))-(CROQUIS_DATOS!$C$1479))+((CROQUIS_DATOS!$C$1476)*CROQUIS_DATOS!$C$1561-((CROQUIS_DATOS!$C$1481+CROQUIS_DATOS!$C$1482))*CROQUIS_DATOS!$C$1561))/CROQUIS_DATOS!$C$1568-0.000001))),2)=1,IF(INT(($A90-1)/2)+1&gt;MAX(1,INT(((((CROQUIS_DATOS!$C$1479+CROQUIS_DATOS!$C$1480))-(CROQUIS_DATOS!$C$1479))+((CROQUIS_DATOS!$C$1476)*CROQUIS_DATOS!$C$1561-((CROQUIS_DATOS!$C$1481+CROQUIS_DATOS!$C$1482))*CROQUIS_DATOS!$C$1561))/CROQUIS_DATOS!$C$1568-0.000001)),1,MOD($A90-1,2)),1-IF(INT(($A90-1)/2)+1&gt;MAX(1,INT(((((CROQUIS_DATOS!$C$1479+CROQUIS_DATOS!$C$1480))-(CROQUIS_DATOS!$C$1479))+((CROQUIS_DATOS!$C$1476)*CROQUIS_DATOS!$C$1561-((CROQUIS_DATOS!$C$1481+CROQUIS_DATOS!$C$1482))*CROQUIS_DATOS!$C$1561))/CROQUIS_DATOS!$C$1568-0.000001)),1,MOD($A90-1,2)))=1,MIN((CROQUIS_DATOS!$C$1476)*CROQUIS_DATOS!$C$1561,((CROQUIS_DATOS!$C$1479+CROQUIS_DATOS!$C$1480)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0">
        <f>IF(AND(CROQUIS_DATOS!$C$1472=1,CROQUIS_DATOS!$C$1478&gt;=2,((CROQUIS_DATOS!$C$1484+CROQUIS_DATOS!$C$1485))-(CROQUIS_DATOS!$C$1484)&gt;0.5,(CROQUIS_DATOS!$C$1486)-(0)&gt;0.5),(CROQUIS_DATOS!$C$1566+(IF(IF(MOD(MIN(INT(($A90-1)/2)+1,MAX(1,INT(((((CROQUIS_DATOS!$C$1484+CROQUIS_DATOS!$C$1485))-(CROQUIS_DATOS!$C$1484))+((CROQUIS_DATOS!$C$1486)*CROQUIS_DATOS!$C$1561-(0)*CROQUIS_DATOS!$C$1561))/CROQUIS_DATOS!$C$1568-0.000001))),2)=1,IF(INT(($A90-1)/2)+1&gt;MAX(1,INT(((((CROQUIS_DATOS!$C$1484+CROQUIS_DATOS!$C$1485))-(CROQUIS_DATOS!$C$1484))+((CROQUIS_DATOS!$C$1486)*CROQUIS_DATOS!$C$1561-(0)*CROQUIS_DATOS!$C$1561))/CROQUIS_DATOS!$C$1568-0.000001)),1,MOD($A90-1,2)),1-IF(INT(($A90-1)/2)+1&gt;MAX(1,INT(((((CROQUIS_DATOS!$C$1484+CROQUIS_DATOS!$C$1485))-(CROQUIS_DATOS!$C$1484))+((CROQUIS_DATOS!$C$1486)*CROQUIS_DATOS!$C$1561-(0)*CROQUIS_DATOS!$C$1561))/CROQUIS_DATOS!$C$1568-0.000001)),1,MOD($A90-1,2)))=1,MIN((CROQUIS_DATOS!$C$1486)*CROQUIS_DATOS!$C$1561,((CROQUIS_DATOS!$C$1484+CROQUIS_DATOS!$C$1485)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0">
        <f>IF(AND(CROQUIS_DATOS!$C$1472=1,CROQUIS_DATOS!$C$1478&gt;=2,((CROQUIS_DATOS!$C$1484+CROQUIS_DATOS!$C$1485))-(CROQUIS_DATOS!$C$1484)&gt;0.5,(CROQUIS_DATOS!$C$1486)-(0)&gt;0.5),(CROQUIS_DATOS!$C$1567+(IF(IF(MOD(MIN(INT(($A90-1)/2)+1,MAX(1,INT(((((CROQUIS_DATOS!$C$1484+CROQUIS_DATOS!$C$1485))-(CROQUIS_DATOS!$C$1484))+((CROQUIS_DATOS!$C$1486)*CROQUIS_DATOS!$C$1561-(0)*CROQUIS_DATOS!$C$1561))/CROQUIS_DATOS!$C$1568-0.000001))),2)=1,IF(INT(($A90-1)/2)+1&gt;MAX(1,INT(((((CROQUIS_DATOS!$C$1484+CROQUIS_DATOS!$C$1485))-(CROQUIS_DATOS!$C$1484))+((CROQUIS_DATOS!$C$1486)*CROQUIS_DATOS!$C$1561-(0)*CROQUIS_DATOS!$C$1561))/CROQUIS_DATOS!$C$1568-0.000001)),1,MOD($A90-1,2)),1-IF(INT(($A90-1)/2)+1&gt;MAX(1,INT(((((CROQUIS_DATOS!$C$1484+CROQUIS_DATOS!$C$1485))-(CROQUIS_DATOS!$C$1484))+((CROQUIS_DATOS!$C$1486)*CROQUIS_DATOS!$C$1561-(0)*CROQUIS_DATOS!$C$1561))/CROQUIS_DATOS!$C$1568-0.000001)),1,MOD($A90-1,2)))=1,MIN((CROQUIS_DATOS!$C$1486)*CROQUIS_DATOS!$C$1561,((CROQUIS_DATOS!$C$1484+CROQUIS_DATOS!$C$1485)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0">
        <f>IF(AND(CROQUIS_DATOS!$C$1472=1,CROQUIS_DATOS!$C$1478&gt;=2,((CROQUIS_DATOS!$C$1484+CROQUIS_DATOS!$C$1485))-(CROQUIS_DATOS!$C$1484)&gt;0.5,(CROQUIS_DATOS!$C$1476)-((CROQUIS_DATOS!$C$1486+CROQUIS_DATOS!$C$1487))&gt;0.5),(CROQUIS_DATOS!$C$1566+(IF(IF(MOD(MIN(INT(($A90-1)/2)+1,MAX(1,INT(((((CROQUIS_DATOS!$C$1484+CROQUIS_DATOS!$C$1485))-(CROQUIS_DATOS!$C$1484))+((CROQUIS_DATOS!$C$1476)*CROQUIS_DATOS!$C$1561-((CROQUIS_DATOS!$C$1486+CROQUIS_DATOS!$C$1487))*CROQUIS_DATOS!$C$1561))/CROQUIS_DATOS!$C$1568-0.000001))),2)=1,IF(INT(($A90-1)/2)+1&gt;MAX(1,INT(((((CROQUIS_DATOS!$C$1484+CROQUIS_DATOS!$C$1485))-(CROQUIS_DATOS!$C$1484))+((CROQUIS_DATOS!$C$1476)*CROQUIS_DATOS!$C$1561-((CROQUIS_DATOS!$C$1486+CROQUIS_DATOS!$C$1487))*CROQUIS_DATOS!$C$1561))/CROQUIS_DATOS!$C$1568-0.000001)),1,MOD($A90-1,2)),1-IF(INT(($A90-1)/2)+1&gt;MAX(1,INT(((((CROQUIS_DATOS!$C$1484+CROQUIS_DATOS!$C$1485))-(CROQUIS_DATOS!$C$1484))+((CROQUIS_DATOS!$C$1476)*CROQUIS_DATOS!$C$1561-((CROQUIS_DATOS!$C$1486+CROQUIS_DATOS!$C$1487))*CROQUIS_DATOS!$C$1561))/CROQUIS_DATOS!$C$1568-0.000001)),1,MOD($A90-1,2)))=1,MIN((CROQUIS_DATOS!$C$1476)*CROQUIS_DATOS!$C$1561,((CROQUIS_DATOS!$C$1484+CROQUIS_DATOS!$C$1485)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0">
        <f>IF(AND(CROQUIS_DATOS!$C$1472=1,CROQUIS_DATOS!$C$1478&gt;=2,((CROQUIS_DATOS!$C$1484+CROQUIS_DATOS!$C$1485))-(CROQUIS_DATOS!$C$1484)&gt;0.5,(CROQUIS_DATOS!$C$1476)-((CROQUIS_DATOS!$C$1486+CROQUIS_DATOS!$C$1487))&gt;0.5),(CROQUIS_DATOS!$C$1567+(IF(IF(MOD(MIN(INT(($A90-1)/2)+1,MAX(1,INT(((((CROQUIS_DATOS!$C$1484+CROQUIS_DATOS!$C$1485))-(CROQUIS_DATOS!$C$1484))+((CROQUIS_DATOS!$C$1476)*CROQUIS_DATOS!$C$1561-((CROQUIS_DATOS!$C$1486+CROQUIS_DATOS!$C$1487))*CROQUIS_DATOS!$C$1561))/CROQUIS_DATOS!$C$1568-0.000001))),2)=1,IF(INT(($A90-1)/2)+1&gt;MAX(1,INT(((((CROQUIS_DATOS!$C$1484+CROQUIS_DATOS!$C$1485))-(CROQUIS_DATOS!$C$1484))+((CROQUIS_DATOS!$C$1476)*CROQUIS_DATOS!$C$1561-((CROQUIS_DATOS!$C$1486+CROQUIS_DATOS!$C$1487))*CROQUIS_DATOS!$C$1561))/CROQUIS_DATOS!$C$1568-0.000001)),1,MOD($A90-1,2)),1-IF(INT(($A90-1)/2)+1&gt;MAX(1,INT(((((CROQUIS_DATOS!$C$1484+CROQUIS_DATOS!$C$1485))-(CROQUIS_DATOS!$C$1484))+((CROQUIS_DATOS!$C$1476)*CROQUIS_DATOS!$C$1561-((CROQUIS_DATOS!$C$1486+CROQUIS_DATOS!$C$1487))*CROQUIS_DATOS!$C$1561))/CROQUIS_DATOS!$C$1568-0.000001)),1,MOD($A90-1,2)))=1,MIN((CROQUIS_DATOS!$C$1476)*CROQUIS_DATOS!$C$1561,((CROQUIS_DATOS!$C$1484+CROQUIS_DATOS!$C$1485)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0">
        <f>IF(AND(CROQUIS_DATOS!$C$1472=1,CROQUIS_DATOS!$C$1478&gt;=3,((CROQUIS_DATOS!$C$1489+CROQUIS_DATOS!$C$1490))-(CROQUIS_DATOS!$C$1489)&gt;0.5,(CROQUIS_DATOS!$C$1491)-(0)&gt;0.5),(CROQUIS_DATOS!$C$1566+(IF(IF(MOD(MIN(INT(($A90-1)/2)+1,MAX(1,INT(((((CROQUIS_DATOS!$C$1489+CROQUIS_DATOS!$C$1490))-(CROQUIS_DATOS!$C$1489))+((CROQUIS_DATOS!$C$1491)*CROQUIS_DATOS!$C$1561-(0)*CROQUIS_DATOS!$C$1561))/CROQUIS_DATOS!$C$1568-0.000001))),2)=1,IF(INT(($A90-1)/2)+1&gt;MAX(1,INT(((((CROQUIS_DATOS!$C$1489+CROQUIS_DATOS!$C$1490))-(CROQUIS_DATOS!$C$1489))+((CROQUIS_DATOS!$C$1491)*CROQUIS_DATOS!$C$1561-(0)*CROQUIS_DATOS!$C$1561))/CROQUIS_DATOS!$C$1568-0.000001)),1,MOD($A90-1,2)),1-IF(INT(($A90-1)/2)+1&gt;MAX(1,INT(((((CROQUIS_DATOS!$C$1489+CROQUIS_DATOS!$C$1490))-(CROQUIS_DATOS!$C$1489))+((CROQUIS_DATOS!$C$1491)*CROQUIS_DATOS!$C$1561-(0)*CROQUIS_DATOS!$C$1561))/CROQUIS_DATOS!$C$1568-0.000001)),1,MOD($A90-1,2)))=1,MIN((CROQUIS_DATOS!$C$1491)*CROQUIS_DATOS!$C$1561,((CROQUIS_DATOS!$C$1489+CROQUIS_DATOS!$C$1490)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0">
        <f>IF(AND(CROQUIS_DATOS!$C$1472=1,CROQUIS_DATOS!$C$1478&gt;=3,((CROQUIS_DATOS!$C$1489+CROQUIS_DATOS!$C$1490))-(CROQUIS_DATOS!$C$1489)&gt;0.5,(CROQUIS_DATOS!$C$1491)-(0)&gt;0.5),(CROQUIS_DATOS!$C$1567+(IF(IF(MOD(MIN(INT(($A90-1)/2)+1,MAX(1,INT(((((CROQUIS_DATOS!$C$1489+CROQUIS_DATOS!$C$1490))-(CROQUIS_DATOS!$C$1489))+((CROQUIS_DATOS!$C$1491)*CROQUIS_DATOS!$C$1561-(0)*CROQUIS_DATOS!$C$1561))/CROQUIS_DATOS!$C$1568-0.000001))),2)=1,IF(INT(($A90-1)/2)+1&gt;MAX(1,INT(((((CROQUIS_DATOS!$C$1489+CROQUIS_DATOS!$C$1490))-(CROQUIS_DATOS!$C$1489))+((CROQUIS_DATOS!$C$1491)*CROQUIS_DATOS!$C$1561-(0)*CROQUIS_DATOS!$C$1561))/CROQUIS_DATOS!$C$1568-0.000001)),1,MOD($A90-1,2)),1-IF(INT(($A90-1)/2)+1&gt;MAX(1,INT(((((CROQUIS_DATOS!$C$1489+CROQUIS_DATOS!$C$1490))-(CROQUIS_DATOS!$C$1489))+((CROQUIS_DATOS!$C$1491)*CROQUIS_DATOS!$C$1561-(0)*CROQUIS_DATOS!$C$1561))/CROQUIS_DATOS!$C$1568-0.000001)),1,MOD($A90-1,2)))=1,MIN((CROQUIS_DATOS!$C$1491)*CROQUIS_DATOS!$C$1561,((CROQUIS_DATOS!$C$1489+CROQUIS_DATOS!$C$1490)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0">
        <f>IF(AND(CROQUIS_DATOS!$C$1472=1,CROQUIS_DATOS!$C$1478&gt;=3,((CROQUIS_DATOS!$C$1489+CROQUIS_DATOS!$C$1490))-(CROQUIS_DATOS!$C$1489)&gt;0.5,(CROQUIS_DATOS!$C$1476)-((CROQUIS_DATOS!$C$1491+CROQUIS_DATOS!$C$1492))&gt;0.5),(CROQUIS_DATOS!$C$1566+(IF(IF(MOD(MIN(INT(($A90-1)/2)+1,MAX(1,INT(((((CROQUIS_DATOS!$C$1489+CROQUIS_DATOS!$C$1490))-(CROQUIS_DATOS!$C$1489))+((CROQUIS_DATOS!$C$1476)*CROQUIS_DATOS!$C$1561-((CROQUIS_DATOS!$C$1491+CROQUIS_DATOS!$C$1492))*CROQUIS_DATOS!$C$1561))/CROQUIS_DATOS!$C$1568-0.000001))),2)=1,IF(INT(($A90-1)/2)+1&gt;MAX(1,INT(((((CROQUIS_DATOS!$C$1489+CROQUIS_DATOS!$C$1490))-(CROQUIS_DATOS!$C$1489))+((CROQUIS_DATOS!$C$1476)*CROQUIS_DATOS!$C$1561-((CROQUIS_DATOS!$C$1491+CROQUIS_DATOS!$C$1492))*CROQUIS_DATOS!$C$1561))/CROQUIS_DATOS!$C$1568-0.000001)),1,MOD($A90-1,2)),1-IF(INT(($A90-1)/2)+1&gt;MAX(1,INT(((((CROQUIS_DATOS!$C$1489+CROQUIS_DATOS!$C$1490))-(CROQUIS_DATOS!$C$1489))+((CROQUIS_DATOS!$C$1476)*CROQUIS_DATOS!$C$1561-((CROQUIS_DATOS!$C$1491+CROQUIS_DATOS!$C$1492))*CROQUIS_DATOS!$C$1561))/CROQUIS_DATOS!$C$1568-0.000001)),1,MOD($A90-1,2)))=1,MIN((CROQUIS_DATOS!$C$1476)*CROQUIS_DATOS!$C$1561,((CROQUIS_DATOS!$C$1489+CROQUIS_DATOS!$C$1490)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0">
        <f>IF(AND(CROQUIS_DATOS!$C$1472=1,CROQUIS_DATOS!$C$1478&gt;=3,((CROQUIS_DATOS!$C$1489+CROQUIS_DATOS!$C$1490))-(CROQUIS_DATOS!$C$1489)&gt;0.5,(CROQUIS_DATOS!$C$1476)-((CROQUIS_DATOS!$C$1491+CROQUIS_DATOS!$C$1492))&gt;0.5),(CROQUIS_DATOS!$C$1567+(IF(IF(MOD(MIN(INT(($A90-1)/2)+1,MAX(1,INT(((((CROQUIS_DATOS!$C$1489+CROQUIS_DATOS!$C$1490))-(CROQUIS_DATOS!$C$1489))+((CROQUIS_DATOS!$C$1476)*CROQUIS_DATOS!$C$1561-((CROQUIS_DATOS!$C$1491+CROQUIS_DATOS!$C$1492))*CROQUIS_DATOS!$C$1561))/CROQUIS_DATOS!$C$1568-0.000001))),2)=1,IF(INT(($A90-1)/2)+1&gt;MAX(1,INT(((((CROQUIS_DATOS!$C$1489+CROQUIS_DATOS!$C$1490))-(CROQUIS_DATOS!$C$1489))+((CROQUIS_DATOS!$C$1476)*CROQUIS_DATOS!$C$1561-((CROQUIS_DATOS!$C$1491+CROQUIS_DATOS!$C$1492))*CROQUIS_DATOS!$C$1561))/CROQUIS_DATOS!$C$1568-0.000001)),1,MOD($A90-1,2)),1-IF(INT(($A90-1)/2)+1&gt;MAX(1,INT(((((CROQUIS_DATOS!$C$1489+CROQUIS_DATOS!$C$1490))-(CROQUIS_DATOS!$C$1489))+((CROQUIS_DATOS!$C$1476)*CROQUIS_DATOS!$C$1561-((CROQUIS_DATOS!$C$1491+CROQUIS_DATOS!$C$1492))*CROQUIS_DATOS!$C$1561))/CROQUIS_DATOS!$C$1568-0.000001)),1,MOD($A90-1,2)))=1,MIN((CROQUIS_DATOS!$C$1476)*CROQUIS_DATOS!$C$1561,((CROQUIS_DATOS!$C$1489+CROQUIS_DATOS!$C$1490)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0">
        <f>IF(AND(CROQUIS_DATOS!$C$1472=1,CROQUIS_DATOS!$C$1478&gt;=4,((CROQUIS_DATOS!$C$1494+CROQUIS_DATOS!$C$1495))-(CROQUIS_DATOS!$C$1494)&gt;0.5,(CROQUIS_DATOS!$C$1496)-(0)&gt;0.5),(CROQUIS_DATOS!$C$1566+(IF(IF(MOD(MIN(INT(($A90-1)/2)+1,MAX(1,INT(((((CROQUIS_DATOS!$C$1494+CROQUIS_DATOS!$C$1495))-(CROQUIS_DATOS!$C$1494))+((CROQUIS_DATOS!$C$1496)*CROQUIS_DATOS!$C$1561-(0)*CROQUIS_DATOS!$C$1561))/CROQUIS_DATOS!$C$1568-0.000001))),2)=1,IF(INT(($A90-1)/2)+1&gt;MAX(1,INT(((((CROQUIS_DATOS!$C$1494+CROQUIS_DATOS!$C$1495))-(CROQUIS_DATOS!$C$1494))+((CROQUIS_DATOS!$C$1496)*CROQUIS_DATOS!$C$1561-(0)*CROQUIS_DATOS!$C$1561))/CROQUIS_DATOS!$C$1568-0.000001)),1,MOD($A90-1,2)),1-IF(INT(($A90-1)/2)+1&gt;MAX(1,INT(((((CROQUIS_DATOS!$C$1494+CROQUIS_DATOS!$C$1495))-(CROQUIS_DATOS!$C$1494))+((CROQUIS_DATOS!$C$1496)*CROQUIS_DATOS!$C$1561-(0)*CROQUIS_DATOS!$C$1561))/CROQUIS_DATOS!$C$1568-0.000001)),1,MOD($A90-1,2)))=1,MIN((CROQUIS_DATOS!$C$1496)*CROQUIS_DATOS!$C$1561,((CROQUIS_DATOS!$C$1494+CROQUIS_DATOS!$C$1495)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0">
        <f>IF(AND(CROQUIS_DATOS!$C$1472=1,CROQUIS_DATOS!$C$1478&gt;=4,((CROQUIS_DATOS!$C$1494+CROQUIS_DATOS!$C$1495))-(CROQUIS_DATOS!$C$1494)&gt;0.5,(CROQUIS_DATOS!$C$1496)-(0)&gt;0.5),(CROQUIS_DATOS!$C$1567+(IF(IF(MOD(MIN(INT(($A90-1)/2)+1,MAX(1,INT(((((CROQUIS_DATOS!$C$1494+CROQUIS_DATOS!$C$1495))-(CROQUIS_DATOS!$C$1494))+((CROQUIS_DATOS!$C$1496)*CROQUIS_DATOS!$C$1561-(0)*CROQUIS_DATOS!$C$1561))/CROQUIS_DATOS!$C$1568-0.000001))),2)=1,IF(INT(($A90-1)/2)+1&gt;MAX(1,INT(((((CROQUIS_DATOS!$C$1494+CROQUIS_DATOS!$C$1495))-(CROQUIS_DATOS!$C$1494))+((CROQUIS_DATOS!$C$1496)*CROQUIS_DATOS!$C$1561-(0)*CROQUIS_DATOS!$C$1561))/CROQUIS_DATOS!$C$1568-0.000001)),1,MOD($A90-1,2)),1-IF(INT(($A90-1)/2)+1&gt;MAX(1,INT(((((CROQUIS_DATOS!$C$1494+CROQUIS_DATOS!$C$1495))-(CROQUIS_DATOS!$C$1494))+((CROQUIS_DATOS!$C$1496)*CROQUIS_DATOS!$C$1561-(0)*CROQUIS_DATOS!$C$1561))/CROQUIS_DATOS!$C$1568-0.000001)),1,MOD($A90-1,2)))=1,MIN((CROQUIS_DATOS!$C$1496)*CROQUIS_DATOS!$C$1561,((CROQUIS_DATOS!$C$1494+CROQUIS_DATOS!$C$1495)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0">
        <f>IF(AND(CROQUIS_DATOS!$C$1472=1,CROQUIS_DATOS!$C$1478&gt;=4,((CROQUIS_DATOS!$C$1494+CROQUIS_DATOS!$C$1495))-(CROQUIS_DATOS!$C$1494)&gt;0.5,(CROQUIS_DATOS!$C$1476)-((CROQUIS_DATOS!$C$1496+CROQUIS_DATOS!$C$1497))&gt;0.5),(CROQUIS_DATOS!$C$1566+(IF(IF(MOD(MIN(INT(($A90-1)/2)+1,MAX(1,INT(((((CROQUIS_DATOS!$C$1494+CROQUIS_DATOS!$C$1495))-(CROQUIS_DATOS!$C$1494))+((CROQUIS_DATOS!$C$1476)*CROQUIS_DATOS!$C$1561-((CROQUIS_DATOS!$C$1496+CROQUIS_DATOS!$C$1497))*CROQUIS_DATOS!$C$1561))/CROQUIS_DATOS!$C$1568-0.000001))),2)=1,IF(INT(($A90-1)/2)+1&gt;MAX(1,INT(((((CROQUIS_DATOS!$C$1494+CROQUIS_DATOS!$C$1495))-(CROQUIS_DATOS!$C$1494))+((CROQUIS_DATOS!$C$1476)*CROQUIS_DATOS!$C$1561-((CROQUIS_DATOS!$C$1496+CROQUIS_DATOS!$C$1497))*CROQUIS_DATOS!$C$1561))/CROQUIS_DATOS!$C$1568-0.000001)),1,MOD($A90-1,2)),1-IF(INT(($A90-1)/2)+1&gt;MAX(1,INT(((((CROQUIS_DATOS!$C$1494+CROQUIS_DATOS!$C$1495))-(CROQUIS_DATOS!$C$1494))+((CROQUIS_DATOS!$C$1476)*CROQUIS_DATOS!$C$1561-((CROQUIS_DATOS!$C$1496+CROQUIS_DATOS!$C$1497))*CROQUIS_DATOS!$C$1561))/CROQUIS_DATOS!$C$1568-0.000001)),1,MOD($A90-1,2)))=1,MIN((CROQUIS_DATOS!$C$1476)*CROQUIS_DATOS!$C$1561,((CROQUIS_DATOS!$C$1494+CROQUIS_DATOS!$C$1495)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0">
        <f>IF(AND(CROQUIS_DATOS!$C$1472=1,CROQUIS_DATOS!$C$1478&gt;=4,((CROQUIS_DATOS!$C$1494+CROQUIS_DATOS!$C$1495))-(CROQUIS_DATOS!$C$1494)&gt;0.5,(CROQUIS_DATOS!$C$1476)-((CROQUIS_DATOS!$C$1496+CROQUIS_DATOS!$C$1497))&gt;0.5),(CROQUIS_DATOS!$C$1567+(IF(IF(MOD(MIN(INT(($A90-1)/2)+1,MAX(1,INT(((((CROQUIS_DATOS!$C$1494+CROQUIS_DATOS!$C$1495))-(CROQUIS_DATOS!$C$1494))+((CROQUIS_DATOS!$C$1476)*CROQUIS_DATOS!$C$1561-((CROQUIS_DATOS!$C$1496+CROQUIS_DATOS!$C$1497))*CROQUIS_DATOS!$C$1561))/CROQUIS_DATOS!$C$1568-0.000001))),2)=1,IF(INT(($A90-1)/2)+1&gt;MAX(1,INT(((((CROQUIS_DATOS!$C$1494+CROQUIS_DATOS!$C$1495))-(CROQUIS_DATOS!$C$1494))+((CROQUIS_DATOS!$C$1476)*CROQUIS_DATOS!$C$1561-((CROQUIS_DATOS!$C$1496+CROQUIS_DATOS!$C$1497))*CROQUIS_DATOS!$C$1561))/CROQUIS_DATOS!$C$1568-0.000001)),1,MOD($A90-1,2)),1-IF(INT(($A90-1)/2)+1&gt;MAX(1,INT(((((CROQUIS_DATOS!$C$1494+CROQUIS_DATOS!$C$1495))-(CROQUIS_DATOS!$C$1494))+((CROQUIS_DATOS!$C$1476)*CROQUIS_DATOS!$C$1561-((CROQUIS_DATOS!$C$1496+CROQUIS_DATOS!$C$1497))*CROQUIS_DATOS!$C$1561))/CROQUIS_DATOS!$C$1568-0.000001)),1,MOD($A90-1,2)))=1,MIN((CROQUIS_DATOS!$C$1476)*CROQUIS_DATOS!$C$1561,((CROQUIS_DATOS!$C$1494+CROQUIS_DATOS!$C$1495)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1">
      <c r="A91" t="n">
        <v>84</v>
      </c>
      <c r="N91">
        <f>IF(AND(CROQUIS_DATOS!$C$1472=1,1),(CROQUIS_DATOS!$C$1563+(IF(IF(IF(INT(($A91-1)/70)+1&gt;CROQUIS_DATOS!$C$1525,70,MOD($A91-1,70)+1)=1,0,IF(IF(INT(($A91-1)/70)+1&gt;CROQUIS_DATOS!$C$1525,70,MOD($A91-1,70)+1)&gt;2*CROQUIS_DATOS!$C$1541+1,IF(MOD(CROQUIS_DATOS!$C$1541,2)=1,1,0),IF(MOD(MIN(INT((IF(INT(($A91-1)/70)+1&gt;CROQUIS_DATOS!$C$1525,70,MOD($A91-1,70)+1)-2)/2)+1,CROQUIS_DATOS!$C$1541),2)=1,IF(MOD(IF(INT(($A91-1)/70)+1&gt;CROQUIS_DATOS!$C$1525,70,MOD($A91-1,70)+1)-2,2)=0,0,1),IF(MOD(IF(INT(($A91-1)/70)+1&gt;CROQUIS_DATOS!$C$1525,70,MOD($A91-1,70)+1)-2,2)=0,1,0))))=0,(INDEX($E$8:$E$23,MIN(INT(($A91-1)/70)+1,CROQUIS_DATOS!$C$1525))-INDEX($F$8:$F$23,MIN(INT(($A91-1)/70)+1,CROQUIS_DATOS!$C$1525))/2),(INDEX($E$8:$E$23,MIN(INT(($A91-1)/70)+1,CROQUIS_DATOS!$C$1525))+INDEX($F$8:$F$23,MIN(INT(($A91-1)/70)+1,CROQUIS_DATOS!$C$1525))/2)))*CROQUIS_DATOS!$C$1562),-1000)</f>
        <v>18.5775862068965</v>
      </c>
      <c r="O91">
        <f>IF(AND(CROQUIS_DATOS!$C$1472=1,1),(CROQUIS_DATOS!$C$1564+(IF(OR(IF(INT(($A91-1)/70)+1&gt;CROQUIS_DATOS!$C$1525,70,MOD($A91-1,70)+1)=1,IF(INT(($A91-1)/70)+1&gt;CROQUIS_DATOS!$C$1525,70,MOD($A91-1,70)+1)&gt;2*CROQUIS_DATOS!$C$1541+1),CROQUIS_DATOS!$C$1476,INDEX($H$8:$H$41,MIN(INT((IF(INT(($A91-1)/70)+1&gt;CROQUIS_DATOS!$C$1525,70,MOD($A91-1,70)+1)-2)/2)+1,CROQUIS_DATOS!$C$1541))))*CROQUIS_DATOS!$C$1561*CROQUIS_DATOS!$C$1562),-1000)</f>
        <v>15.9612068965517</v>
      </c>
      <c r="P91">
        <f>IF(AND(CROQUIS_DATOS!$C$1472=1,CROQUIS_DATOS!$C$1555=1),(CROQUIS_DATOS!$C$1563+(IF(IF(OR(MOD($A91-1,62)+1=1,IF(CHOOSE(MIN(MAX(MIN(INT(($A91-1)/62)+1,5),1),5),CROQUIS_DATOS!$C$1501,CROQUIS_DATOS!$C$1505,CROQUIS_DATOS!$C$1509,CROQUIS_DATOS!$C$1513,CROQUIS_DATOS!$C$1517)=1,CROQUIS_DATOS!$C$1557,0)=0),0,IF(MOD($A91-1,62)+1&gt;2*IF(CHOOSE(MIN(MAX(MIN(INT(($A91-1)/62)+1,5),1),5),CROQUIS_DATOS!$C$1501,CROQUIS_DATOS!$C$1505,CROQUIS_DATOS!$C$1509,CROQUIS_DATOS!$C$1513,CROQUIS_DATOS!$C$1517)=1,CROQUIS_DATOS!$C$1557,0)+1,IF(MOD(IF(CHOOSE(MIN(MAX(MIN(INT(($A91-1)/62)+1,5),1),5),CROQUIS_DATOS!$C$1501,CROQUIS_DATOS!$C$1505,CROQUIS_DATOS!$C$1509,CROQUIS_DATOS!$C$1513,CROQUIS_DATOS!$C$1517)=1,CROQUIS_DATOS!$C$1557,0),2)=1,1,0),IF(MOD(MIN(INT((MOD($A91-1,62)+1-2)/2)+1,MAX(IF(CHOOSE(MIN(MAX(MIN(INT(($A91-1)/62)+1,5),1),5),CROQUIS_DATOS!$C$1501,CROQUIS_DATOS!$C$1505,CROQUIS_DATOS!$C$1509,CROQUIS_DATOS!$C$1513,CROQUIS_DATOS!$C$1517)=1,CROQUIS_DATOS!$C$1557,0),1)),2)=1,IF(MOD(MOD($A91-1,62)+1-2,2)=0,0,1),IF(MOD(MOD($A91-1,62)+1-2,2)=0,1,0))))=0,(CHOOSE(MIN(MAX(MIN(INT(($A91-1)/62)+1,5),1),5),CROQUIS_DATOS!$C$1499,CROQUIS_DATOS!$C$1503,CROQUIS_DATOS!$C$1507,CROQUIS_DATOS!$C$1511,CROQUIS_DATOS!$C$1515)+IF(CHOOSE(MIN(MAX(MIN(INT(($A91-1)/62)+1,5),1),5),CROQUIS_DATOS!$C$1501,CROQUIS_DATOS!$C$1505,CROQUIS_DATOS!$C$1509,CROQUIS_DATOS!$C$1513,CROQUIS_DATOS!$C$1517)=1,CROQUIS_DATOS!$C$1526,0)),(CHOOSE(MIN(MAX(MIN(INT(($A91-1)/62)+1,5),1),5),CROQUIS_DATOS!$C$1499,CROQUIS_DATOS!$C$1503,CROQUIS_DATOS!$C$1507,CROQUIS_DATOS!$C$1511,CROQUIS_DATOS!$C$1515)+CHOOSE(MIN(MAX(MIN(INT(($A91-1)/62)+1,5),1),5),CROQUIS_DATOS!$C$1500,CROQUIS_DATOS!$C$1504,CROQUIS_DATOS!$C$1508,CROQUIS_DATOS!$C$1512,CROQUIS_DATOS!$C$1516)-IF(CHOOSE(MIN(MAX(MIN(INT(($A91-1)/62)+1,5),1),5),CROQUIS_DATOS!$C$1501,CROQUIS_DATOS!$C$1505,CROQUIS_DATOS!$C$1509,CROQUIS_DATOS!$C$1513,CROQUIS_DATOS!$C$1517)=1,CROQUIS_DATOS!$C$1526,0))))*CROQUIS_DATOS!$C$1562),-1000)</f>
        <v>-1000</v>
      </c>
      <c r="Q91">
        <f>IF(AND(CROQUIS_DATOS!$C$1472=1,CROQUIS_DATOS!$C$1555=1),(CROQUIS_DATOS!$C$1564+(IF(OR(OR(MOD($A91-1,62)+1=1,IF(CHOOSE(MIN(MAX(MIN(INT(($A91-1)/62)+1,5),1),5),CROQUIS_DATOS!$C$1501,CROQUIS_DATOS!$C$1505,CROQUIS_DATOS!$C$1509,CROQUIS_DATOS!$C$1513,CROQUIS_DATOS!$C$1517)=1,CROQUIS_DATOS!$C$1557,0)=0),MOD($A91-1,62)+1&gt;2*IF(CHOOSE(MIN(MAX(MIN(INT(($A91-1)/62)+1,5),1),5),CROQUIS_DATOS!$C$1501,CROQUIS_DATOS!$C$1505,CROQUIS_DATOS!$C$1509,CROQUIS_DATOS!$C$1513,CROQUIS_DATOS!$C$1517)=1,CROQUIS_DATOS!$C$1557,0)+1),CROQUIS_DATOS!$C$1476,MIN(INT((MOD($A91-1,62)+1-2)/2)+1,MAX(IF(CHOOSE(MIN(MAX(MIN(INT(($A91-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1">
        <f>IF(AND(CROQUIS_DATOS!$C$1472=1,1),(CROQUIS_DATOS!$C$1563+(MIN(INT(($A91-1)/2)+1,CROQUIS_DATOS!$C$1558)*CROQUIS_DATOS!$C$1559)*CROQUIS_DATOS!$C$1562),-1000)</f>
        <v>82.2281167108753</v>
      </c>
      <c r="U91">
        <f>IF(AND(CROQUIS_DATOS!$C$1472=1,1),(CROQUIS_DATOS!$C$1564+(IF(INT(($A91-1)/2)+1&gt;CROQUIS_DATOS!$C$1558,IF(MOD(CROQUIS_DATOS!$C$1558,2)=1,CROQUIS_DATOS!$C$1476+CROQUIS_DATOS!$C$1528,CROQUIS_DATOS!$C$1476),IF(IF(MOD(MIN(INT(($A91-1)/2)+1,CROQUIS_DATOS!$C$1558),2)=1,MOD($A91-1,2),1-MOD($A91-1,2))=1,CROQUIS_DATOS!$C$1476+CROQUIS_DATOS!$C$1528,CROQUIS_DATOS!$C$1476)))*CROQUIS_DATOS!$C$1561*CROQUIS_DATOS!$C$1562),-1000)</f>
        <v>43</v>
      </c>
      <c r="BZ91">
        <f>IF(AND(CROQUIS_DATOS!$C$1472=1,CROQUIS_DATOS!$C$1500&gt;0,((CROQUIS_DATOS!$C$1499+CROQUIS_DATOS!$C$1500))-(CROQUIS_DATOS!$C$1499)&gt;0.5,(CROQUIS_DATOS!$C$1476)-(0)&gt;0.5),(CROQUIS_DATOS!$C$1566+(IF(IF(MOD(MIN(INT(($A91-1)/2)+1,MAX(1,INT(((((CROQUIS_DATOS!$C$1499+CROQUIS_DATOS!$C$1500))-(CROQUIS_DATOS!$C$1499))+((CROQUIS_DATOS!$C$1476)*CROQUIS_DATOS!$C$1561-(0)*CROQUIS_DATOS!$C$1561))/CROQUIS_DATOS!$C$1568-0.000001))),2)=1,IF(INT(($A91-1)/2)+1&gt;MAX(1,INT(((((CROQUIS_DATOS!$C$1499+CROQUIS_DATOS!$C$1500))-(CROQUIS_DATOS!$C$1499))+((CROQUIS_DATOS!$C$1476)*CROQUIS_DATOS!$C$1561-(0)*CROQUIS_DATOS!$C$1561))/CROQUIS_DATOS!$C$1568-0.000001)),1,MOD($A91-1,2)),1-IF(INT(($A91-1)/2)+1&gt;MAX(1,INT(((((CROQUIS_DATOS!$C$1499+CROQUIS_DATOS!$C$1500))-(CROQUIS_DATOS!$C$1499))+((CROQUIS_DATOS!$C$1476)*CROQUIS_DATOS!$C$1561-(0)*CROQUIS_DATOS!$C$1561))/CROQUIS_DATOS!$C$1568-0.000001)),1,MOD($A91-1,2)))=1,MIN((CROQUIS_DATOS!$C$1476)*CROQUIS_DATOS!$C$1561,((CROQUIS_DATOS!$C$1499+CROQUIS_DATOS!$C$1500)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1">
        <f>IF(AND(CROQUIS_DATOS!$C$1472=1,CROQUIS_DATOS!$C$1500&gt;0,((CROQUIS_DATOS!$C$1499+CROQUIS_DATOS!$C$1500))-(CROQUIS_DATOS!$C$1499)&gt;0.5,(CROQUIS_DATOS!$C$1476)-(0)&gt;0.5),(CROQUIS_DATOS!$C$1567+(IF(IF(MOD(MIN(INT(($A91-1)/2)+1,MAX(1,INT(((((CROQUIS_DATOS!$C$1499+CROQUIS_DATOS!$C$1500))-(CROQUIS_DATOS!$C$1499))+((CROQUIS_DATOS!$C$1476)*CROQUIS_DATOS!$C$1561-(0)*CROQUIS_DATOS!$C$1561))/CROQUIS_DATOS!$C$1568-0.000001))),2)=1,IF(INT(($A91-1)/2)+1&gt;MAX(1,INT(((((CROQUIS_DATOS!$C$1499+CROQUIS_DATOS!$C$1500))-(CROQUIS_DATOS!$C$1499))+((CROQUIS_DATOS!$C$1476)*CROQUIS_DATOS!$C$1561-(0)*CROQUIS_DATOS!$C$1561))/CROQUIS_DATOS!$C$1568-0.000001)),1,MOD($A91-1,2)),1-IF(INT(($A91-1)/2)+1&gt;MAX(1,INT(((((CROQUIS_DATOS!$C$1499+CROQUIS_DATOS!$C$1500))-(CROQUIS_DATOS!$C$1499))+((CROQUIS_DATOS!$C$1476)*CROQUIS_DATOS!$C$1561-(0)*CROQUIS_DATOS!$C$1561))/CROQUIS_DATOS!$C$1568-0.000001)),1,MOD($A91-1,2)))=1,MIN((CROQUIS_DATOS!$C$1476)*CROQUIS_DATOS!$C$1561,((CROQUIS_DATOS!$C$1499+CROQUIS_DATOS!$C$1500)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1">
        <f>IF(AND(CROQUIS_DATOS!$C$1472=1,CROQUIS_DATOS!$C$1504&gt;0,((CROQUIS_DATOS!$C$1503+CROQUIS_DATOS!$C$1504))-(CROQUIS_DATOS!$C$1503)&gt;0.5,(CROQUIS_DATOS!$C$1476)-(0)&gt;0.5),(CROQUIS_DATOS!$C$1566+(IF(IF(MOD(MIN(INT(($A91-1)/2)+1,MAX(1,INT(((((CROQUIS_DATOS!$C$1503+CROQUIS_DATOS!$C$1504))-(CROQUIS_DATOS!$C$1503))+((CROQUIS_DATOS!$C$1476)*CROQUIS_DATOS!$C$1561-(0)*CROQUIS_DATOS!$C$1561))/CROQUIS_DATOS!$C$1568-0.000001))),2)=1,IF(INT(($A91-1)/2)+1&gt;MAX(1,INT(((((CROQUIS_DATOS!$C$1503+CROQUIS_DATOS!$C$1504))-(CROQUIS_DATOS!$C$1503))+((CROQUIS_DATOS!$C$1476)*CROQUIS_DATOS!$C$1561-(0)*CROQUIS_DATOS!$C$1561))/CROQUIS_DATOS!$C$1568-0.000001)),1,MOD($A91-1,2)),1-IF(INT(($A91-1)/2)+1&gt;MAX(1,INT(((((CROQUIS_DATOS!$C$1503+CROQUIS_DATOS!$C$1504))-(CROQUIS_DATOS!$C$1503))+((CROQUIS_DATOS!$C$1476)*CROQUIS_DATOS!$C$1561-(0)*CROQUIS_DATOS!$C$1561))/CROQUIS_DATOS!$C$1568-0.000001)),1,MOD($A91-1,2)))=1,MIN((CROQUIS_DATOS!$C$1476)*CROQUIS_DATOS!$C$1561,((CROQUIS_DATOS!$C$1503+CROQUIS_DATOS!$C$1504)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1">
        <f>IF(AND(CROQUIS_DATOS!$C$1472=1,CROQUIS_DATOS!$C$1504&gt;0,((CROQUIS_DATOS!$C$1503+CROQUIS_DATOS!$C$1504))-(CROQUIS_DATOS!$C$1503)&gt;0.5,(CROQUIS_DATOS!$C$1476)-(0)&gt;0.5),(CROQUIS_DATOS!$C$1567+(IF(IF(MOD(MIN(INT(($A91-1)/2)+1,MAX(1,INT(((((CROQUIS_DATOS!$C$1503+CROQUIS_DATOS!$C$1504))-(CROQUIS_DATOS!$C$1503))+((CROQUIS_DATOS!$C$1476)*CROQUIS_DATOS!$C$1561-(0)*CROQUIS_DATOS!$C$1561))/CROQUIS_DATOS!$C$1568-0.000001))),2)=1,IF(INT(($A91-1)/2)+1&gt;MAX(1,INT(((((CROQUIS_DATOS!$C$1503+CROQUIS_DATOS!$C$1504))-(CROQUIS_DATOS!$C$1503))+((CROQUIS_DATOS!$C$1476)*CROQUIS_DATOS!$C$1561-(0)*CROQUIS_DATOS!$C$1561))/CROQUIS_DATOS!$C$1568-0.000001)),1,MOD($A91-1,2)),1-IF(INT(($A91-1)/2)+1&gt;MAX(1,INT(((((CROQUIS_DATOS!$C$1503+CROQUIS_DATOS!$C$1504))-(CROQUIS_DATOS!$C$1503))+((CROQUIS_DATOS!$C$1476)*CROQUIS_DATOS!$C$1561-(0)*CROQUIS_DATOS!$C$1561))/CROQUIS_DATOS!$C$1568-0.000001)),1,MOD($A91-1,2)))=1,MIN((CROQUIS_DATOS!$C$1476)*CROQUIS_DATOS!$C$1561,((CROQUIS_DATOS!$C$1503+CROQUIS_DATOS!$C$1504)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1">
        <f>IF(AND(CROQUIS_DATOS!$C$1472=1,CROQUIS_DATOS!$C$1508&gt;0,((CROQUIS_DATOS!$C$1507+CROQUIS_DATOS!$C$1508))-(CROQUIS_DATOS!$C$1507)&gt;0.5,(CROQUIS_DATOS!$C$1476)-(0)&gt;0.5),(CROQUIS_DATOS!$C$1566+(IF(IF(MOD(MIN(INT(($A91-1)/2)+1,MAX(1,INT(((((CROQUIS_DATOS!$C$1507+CROQUIS_DATOS!$C$1508))-(CROQUIS_DATOS!$C$1507))+((CROQUIS_DATOS!$C$1476)*CROQUIS_DATOS!$C$1561-(0)*CROQUIS_DATOS!$C$1561))/CROQUIS_DATOS!$C$1568-0.000001))),2)=1,IF(INT(($A91-1)/2)+1&gt;MAX(1,INT(((((CROQUIS_DATOS!$C$1507+CROQUIS_DATOS!$C$1508))-(CROQUIS_DATOS!$C$1507))+((CROQUIS_DATOS!$C$1476)*CROQUIS_DATOS!$C$1561-(0)*CROQUIS_DATOS!$C$1561))/CROQUIS_DATOS!$C$1568-0.000001)),1,MOD($A91-1,2)),1-IF(INT(($A91-1)/2)+1&gt;MAX(1,INT(((((CROQUIS_DATOS!$C$1507+CROQUIS_DATOS!$C$1508))-(CROQUIS_DATOS!$C$1507))+((CROQUIS_DATOS!$C$1476)*CROQUIS_DATOS!$C$1561-(0)*CROQUIS_DATOS!$C$1561))/CROQUIS_DATOS!$C$1568-0.000001)),1,MOD($A91-1,2)))=1,MIN((CROQUIS_DATOS!$C$1476)*CROQUIS_DATOS!$C$1561,((CROQUIS_DATOS!$C$1507+CROQUIS_DATOS!$C$1508)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1">
        <f>IF(AND(CROQUIS_DATOS!$C$1472=1,CROQUIS_DATOS!$C$1508&gt;0,((CROQUIS_DATOS!$C$1507+CROQUIS_DATOS!$C$1508))-(CROQUIS_DATOS!$C$1507)&gt;0.5,(CROQUIS_DATOS!$C$1476)-(0)&gt;0.5),(CROQUIS_DATOS!$C$1567+(IF(IF(MOD(MIN(INT(($A91-1)/2)+1,MAX(1,INT(((((CROQUIS_DATOS!$C$1507+CROQUIS_DATOS!$C$1508))-(CROQUIS_DATOS!$C$1507))+((CROQUIS_DATOS!$C$1476)*CROQUIS_DATOS!$C$1561-(0)*CROQUIS_DATOS!$C$1561))/CROQUIS_DATOS!$C$1568-0.000001))),2)=1,IF(INT(($A91-1)/2)+1&gt;MAX(1,INT(((((CROQUIS_DATOS!$C$1507+CROQUIS_DATOS!$C$1508))-(CROQUIS_DATOS!$C$1507))+((CROQUIS_DATOS!$C$1476)*CROQUIS_DATOS!$C$1561-(0)*CROQUIS_DATOS!$C$1561))/CROQUIS_DATOS!$C$1568-0.000001)),1,MOD($A91-1,2)),1-IF(INT(($A91-1)/2)+1&gt;MAX(1,INT(((((CROQUIS_DATOS!$C$1507+CROQUIS_DATOS!$C$1508))-(CROQUIS_DATOS!$C$1507))+((CROQUIS_DATOS!$C$1476)*CROQUIS_DATOS!$C$1561-(0)*CROQUIS_DATOS!$C$1561))/CROQUIS_DATOS!$C$1568-0.000001)),1,MOD($A91-1,2)))=1,MIN((CROQUIS_DATOS!$C$1476)*CROQUIS_DATOS!$C$1561,((CROQUIS_DATOS!$C$1507+CROQUIS_DATOS!$C$1508)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1">
        <f>IF(AND(CROQUIS_DATOS!$C$1472=1,CROQUIS_DATOS!$C$1512&gt;0,((CROQUIS_DATOS!$C$1511+CROQUIS_DATOS!$C$1512))-(CROQUIS_DATOS!$C$1511)&gt;0.5,(CROQUIS_DATOS!$C$1476)-(0)&gt;0.5),(CROQUIS_DATOS!$C$1566+(IF(IF(MOD(MIN(INT(($A91-1)/2)+1,MAX(1,INT(((((CROQUIS_DATOS!$C$1511+CROQUIS_DATOS!$C$1512))-(CROQUIS_DATOS!$C$1511))+((CROQUIS_DATOS!$C$1476)*CROQUIS_DATOS!$C$1561-(0)*CROQUIS_DATOS!$C$1561))/CROQUIS_DATOS!$C$1568-0.000001))),2)=1,IF(INT(($A91-1)/2)+1&gt;MAX(1,INT(((((CROQUIS_DATOS!$C$1511+CROQUIS_DATOS!$C$1512))-(CROQUIS_DATOS!$C$1511))+((CROQUIS_DATOS!$C$1476)*CROQUIS_DATOS!$C$1561-(0)*CROQUIS_DATOS!$C$1561))/CROQUIS_DATOS!$C$1568-0.000001)),1,MOD($A91-1,2)),1-IF(INT(($A91-1)/2)+1&gt;MAX(1,INT(((((CROQUIS_DATOS!$C$1511+CROQUIS_DATOS!$C$1512))-(CROQUIS_DATOS!$C$1511))+((CROQUIS_DATOS!$C$1476)*CROQUIS_DATOS!$C$1561-(0)*CROQUIS_DATOS!$C$1561))/CROQUIS_DATOS!$C$1568-0.000001)),1,MOD($A91-1,2)))=1,MIN((CROQUIS_DATOS!$C$1476)*CROQUIS_DATOS!$C$1561,((CROQUIS_DATOS!$C$1511+CROQUIS_DATOS!$C$1512)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1">
        <f>IF(AND(CROQUIS_DATOS!$C$1472=1,CROQUIS_DATOS!$C$1512&gt;0,((CROQUIS_DATOS!$C$1511+CROQUIS_DATOS!$C$1512))-(CROQUIS_DATOS!$C$1511)&gt;0.5,(CROQUIS_DATOS!$C$1476)-(0)&gt;0.5),(CROQUIS_DATOS!$C$1567+(IF(IF(MOD(MIN(INT(($A91-1)/2)+1,MAX(1,INT(((((CROQUIS_DATOS!$C$1511+CROQUIS_DATOS!$C$1512))-(CROQUIS_DATOS!$C$1511))+((CROQUIS_DATOS!$C$1476)*CROQUIS_DATOS!$C$1561-(0)*CROQUIS_DATOS!$C$1561))/CROQUIS_DATOS!$C$1568-0.000001))),2)=1,IF(INT(($A91-1)/2)+1&gt;MAX(1,INT(((((CROQUIS_DATOS!$C$1511+CROQUIS_DATOS!$C$1512))-(CROQUIS_DATOS!$C$1511))+((CROQUIS_DATOS!$C$1476)*CROQUIS_DATOS!$C$1561-(0)*CROQUIS_DATOS!$C$1561))/CROQUIS_DATOS!$C$1568-0.000001)),1,MOD($A91-1,2)),1-IF(INT(($A91-1)/2)+1&gt;MAX(1,INT(((((CROQUIS_DATOS!$C$1511+CROQUIS_DATOS!$C$1512))-(CROQUIS_DATOS!$C$1511))+((CROQUIS_DATOS!$C$1476)*CROQUIS_DATOS!$C$1561-(0)*CROQUIS_DATOS!$C$1561))/CROQUIS_DATOS!$C$1568-0.000001)),1,MOD($A91-1,2)))=1,MIN((CROQUIS_DATOS!$C$1476)*CROQUIS_DATOS!$C$1561,((CROQUIS_DATOS!$C$1511+CROQUIS_DATOS!$C$1512)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1">
        <f>IF(AND(CROQUIS_DATOS!$C$1472=1,CROQUIS_DATOS!$C$1516&gt;0,((CROQUIS_DATOS!$C$1515+CROQUIS_DATOS!$C$1516))-(CROQUIS_DATOS!$C$1515)&gt;0.5,(CROQUIS_DATOS!$C$1476)-(0)&gt;0.5),(CROQUIS_DATOS!$C$1566+(IF(IF(MOD(MIN(INT(($A91-1)/2)+1,MAX(1,INT(((((CROQUIS_DATOS!$C$1515+CROQUIS_DATOS!$C$1516))-(CROQUIS_DATOS!$C$1515))+((CROQUIS_DATOS!$C$1476)*CROQUIS_DATOS!$C$1561-(0)*CROQUIS_DATOS!$C$1561))/CROQUIS_DATOS!$C$1568-0.000001))),2)=1,IF(INT(($A91-1)/2)+1&gt;MAX(1,INT(((((CROQUIS_DATOS!$C$1515+CROQUIS_DATOS!$C$1516))-(CROQUIS_DATOS!$C$1515))+((CROQUIS_DATOS!$C$1476)*CROQUIS_DATOS!$C$1561-(0)*CROQUIS_DATOS!$C$1561))/CROQUIS_DATOS!$C$1568-0.000001)),1,MOD($A91-1,2)),1-IF(INT(($A91-1)/2)+1&gt;MAX(1,INT(((((CROQUIS_DATOS!$C$1515+CROQUIS_DATOS!$C$1516))-(CROQUIS_DATOS!$C$1515))+((CROQUIS_DATOS!$C$1476)*CROQUIS_DATOS!$C$1561-(0)*CROQUIS_DATOS!$C$1561))/CROQUIS_DATOS!$C$1568-0.000001)),1,MOD($A91-1,2)))=1,MIN((CROQUIS_DATOS!$C$1476)*CROQUIS_DATOS!$C$1561,((CROQUIS_DATOS!$C$1515+CROQUIS_DATOS!$C$1516)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1">
        <f>IF(AND(CROQUIS_DATOS!$C$1472=1,CROQUIS_DATOS!$C$1516&gt;0,((CROQUIS_DATOS!$C$1515+CROQUIS_DATOS!$C$1516))-(CROQUIS_DATOS!$C$1515)&gt;0.5,(CROQUIS_DATOS!$C$1476)-(0)&gt;0.5),(CROQUIS_DATOS!$C$1567+(IF(IF(MOD(MIN(INT(($A91-1)/2)+1,MAX(1,INT(((((CROQUIS_DATOS!$C$1515+CROQUIS_DATOS!$C$1516))-(CROQUIS_DATOS!$C$1515))+((CROQUIS_DATOS!$C$1476)*CROQUIS_DATOS!$C$1561-(0)*CROQUIS_DATOS!$C$1561))/CROQUIS_DATOS!$C$1568-0.000001))),2)=1,IF(INT(($A91-1)/2)+1&gt;MAX(1,INT(((((CROQUIS_DATOS!$C$1515+CROQUIS_DATOS!$C$1516))-(CROQUIS_DATOS!$C$1515))+((CROQUIS_DATOS!$C$1476)*CROQUIS_DATOS!$C$1561-(0)*CROQUIS_DATOS!$C$1561))/CROQUIS_DATOS!$C$1568-0.000001)),1,MOD($A91-1,2)),1-IF(INT(($A91-1)/2)+1&gt;MAX(1,INT(((((CROQUIS_DATOS!$C$1515+CROQUIS_DATOS!$C$1516))-(CROQUIS_DATOS!$C$1515))+((CROQUIS_DATOS!$C$1476)*CROQUIS_DATOS!$C$1561-(0)*CROQUIS_DATOS!$C$1561))/CROQUIS_DATOS!$C$1568-0.000001)),1,MOD($A91-1,2)))=1,MIN((CROQUIS_DATOS!$C$1476)*CROQUIS_DATOS!$C$1561,((CROQUIS_DATOS!$C$1515+CROQUIS_DATOS!$C$1516)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1">
        <f>IF(AND(CROQUIS_DATOS!$C$1472=1,CROQUIS_DATOS!$C$1478&gt;=1,((CROQUIS_DATOS!$C$1479+CROQUIS_DATOS!$C$1480))-(CROQUIS_DATOS!$C$1479)&gt;0.5,(CROQUIS_DATOS!$C$1481)-(0)&gt;0.5),(CROQUIS_DATOS!$C$1566+(IF(IF(MOD(MIN(INT(($A91-1)/2)+1,MAX(1,INT(((((CROQUIS_DATOS!$C$1479+CROQUIS_DATOS!$C$1480))-(CROQUIS_DATOS!$C$1479))+((CROQUIS_DATOS!$C$1481)*CROQUIS_DATOS!$C$1561-(0)*CROQUIS_DATOS!$C$1561))/CROQUIS_DATOS!$C$1568-0.000001))),2)=1,IF(INT(($A91-1)/2)+1&gt;MAX(1,INT(((((CROQUIS_DATOS!$C$1479+CROQUIS_DATOS!$C$1480))-(CROQUIS_DATOS!$C$1479))+((CROQUIS_DATOS!$C$1481)*CROQUIS_DATOS!$C$1561-(0)*CROQUIS_DATOS!$C$1561))/CROQUIS_DATOS!$C$1568-0.000001)),1,MOD($A91-1,2)),1-IF(INT(($A91-1)/2)+1&gt;MAX(1,INT(((((CROQUIS_DATOS!$C$1479+CROQUIS_DATOS!$C$1480))-(CROQUIS_DATOS!$C$1479))+((CROQUIS_DATOS!$C$1481)*CROQUIS_DATOS!$C$1561-(0)*CROQUIS_DATOS!$C$1561))/CROQUIS_DATOS!$C$1568-0.000001)),1,MOD($A91-1,2)))=1,MIN((CROQUIS_DATOS!$C$1481)*CROQUIS_DATOS!$C$1561,((CROQUIS_DATOS!$C$1479+CROQUIS_DATOS!$C$1480)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1">
        <f>IF(AND(CROQUIS_DATOS!$C$1472=1,CROQUIS_DATOS!$C$1478&gt;=1,((CROQUIS_DATOS!$C$1479+CROQUIS_DATOS!$C$1480))-(CROQUIS_DATOS!$C$1479)&gt;0.5,(CROQUIS_DATOS!$C$1481)-(0)&gt;0.5),(CROQUIS_DATOS!$C$1567+(IF(IF(MOD(MIN(INT(($A91-1)/2)+1,MAX(1,INT(((((CROQUIS_DATOS!$C$1479+CROQUIS_DATOS!$C$1480))-(CROQUIS_DATOS!$C$1479))+((CROQUIS_DATOS!$C$1481)*CROQUIS_DATOS!$C$1561-(0)*CROQUIS_DATOS!$C$1561))/CROQUIS_DATOS!$C$1568-0.000001))),2)=1,IF(INT(($A91-1)/2)+1&gt;MAX(1,INT(((((CROQUIS_DATOS!$C$1479+CROQUIS_DATOS!$C$1480))-(CROQUIS_DATOS!$C$1479))+((CROQUIS_DATOS!$C$1481)*CROQUIS_DATOS!$C$1561-(0)*CROQUIS_DATOS!$C$1561))/CROQUIS_DATOS!$C$1568-0.000001)),1,MOD($A91-1,2)),1-IF(INT(($A91-1)/2)+1&gt;MAX(1,INT(((((CROQUIS_DATOS!$C$1479+CROQUIS_DATOS!$C$1480))-(CROQUIS_DATOS!$C$1479))+((CROQUIS_DATOS!$C$1481)*CROQUIS_DATOS!$C$1561-(0)*CROQUIS_DATOS!$C$1561))/CROQUIS_DATOS!$C$1568-0.000001)),1,MOD($A91-1,2)))=1,MIN((CROQUIS_DATOS!$C$1481)*CROQUIS_DATOS!$C$1561,((CROQUIS_DATOS!$C$1479+CROQUIS_DATOS!$C$1480)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1">
        <f>IF(AND(CROQUIS_DATOS!$C$1472=1,CROQUIS_DATOS!$C$1478&gt;=1,((CROQUIS_DATOS!$C$1479+CROQUIS_DATOS!$C$1480))-(CROQUIS_DATOS!$C$1479)&gt;0.5,(CROQUIS_DATOS!$C$1476)-((CROQUIS_DATOS!$C$1481+CROQUIS_DATOS!$C$1482))&gt;0.5),(CROQUIS_DATOS!$C$1566+(IF(IF(MOD(MIN(INT(($A91-1)/2)+1,MAX(1,INT(((((CROQUIS_DATOS!$C$1479+CROQUIS_DATOS!$C$1480))-(CROQUIS_DATOS!$C$1479))+((CROQUIS_DATOS!$C$1476)*CROQUIS_DATOS!$C$1561-((CROQUIS_DATOS!$C$1481+CROQUIS_DATOS!$C$1482))*CROQUIS_DATOS!$C$1561))/CROQUIS_DATOS!$C$1568-0.000001))),2)=1,IF(INT(($A91-1)/2)+1&gt;MAX(1,INT(((((CROQUIS_DATOS!$C$1479+CROQUIS_DATOS!$C$1480))-(CROQUIS_DATOS!$C$1479))+((CROQUIS_DATOS!$C$1476)*CROQUIS_DATOS!$C$1561-((CROQUIS_DATOS!$C$1481+CROQUIS_DATOS!$C$1482))*CROQUIS_DATOS!$C$1561))/CROQUIS_DATOS!$C$1568-0.000001)),1,MOD($A91-1,2)),1-IF(INT(($A91-1)/2)+1&gt;MAX(1,INT(((((CROQUIS_DATOS!$C$1479+CROQUIS_DATOS!$C$1480))-(CROQUIS_DATOS!$C$1479))+((CROQUIS_DATOS!$C$1476)*CROQUIS_DATOS!$C$1561-((CROQUIS_DATOS!$C$1481+CROQUIS_DATOS!$C$1482))*CROQUIS_DATOS!$C$1561))/CROQUIS_DATOS!$C$1568-0.000001)),1,MOD($A91-1,2)))=1,MIN((CROQUIS_DATOS!$C$1476)*CROQUIS_DATOS!$C$1561,((CROQUIS_DATOS!$C$1479+CROQUIS_DATOS!$C$1480)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1">
        <f>IF(AND(CROQUIS_DATOS!$C$1472=1,CROQUIS_DATOS!$C$1478&gt;=1,((CROQUIS_DATOS!$C$1479+CROQUIS_DATOS!$C$1480))-(CROQUIS_DATOS!$C$1479)&gt;0.5,(CROQUIS_DATOS!$C$1476)-((CROQUIS_DATOS!$C$1481+CROQUIS_DATOS!$C$1482))&gt;0.5),(CROQUIS_DATOS!$C$1567+(IF(IF(MOD(MIN(INT(($A91-1)/2)+1,MAX(1,INT(((((CROQUIS_DATOS!$C$1479+CROQUIS_DATOS!$C$1480))-(CROQUIS_DATOS!$C$1479))+((CROQUIS_DATOS!$C$1476)*CROQUIS_DATOS!$C$1561-((CROQUIS_DATOS!$C$1481+CROQUIS_DATOS!$C$1482))*CROQUIS_DATOS!$C$1561))/CROQUIS_DATOS!$C$1568-0.000001))),2)=1,IF(INT(($A91-1)/2)+1&gt;MAX(1,INT(((((CROQUIS_DATOS!$C$1479+CROQUIS_DATOS!$C$1480))-(CROQUIS_DATOS!$C$1479))+((CROQUIS_DATOS!$C$1476)*CROQUIS_DATOS!$C$1561-((CROQUIS_DATOS!$C$1481+CROQUIS_DATOS!$C$1482))*CROQUIS_DATOS!$C$1561))/CROQUIS_DATOS!$C$1568-0.000001)),1,MOD($A91-1,2)),1-IF(INT(($A91-1)/2)+1&gt;MAX(1,INT(((((CROQUIS_DATOS!$C$1479+CROQUIS_DATOS!$C$1480))-(CROQUIS_DATOS!$C$1479))+((CROQUIS_DATOS!$C$1476)*CROQUIS_DATOS!$C$1561-((CROQUIS_DATOS!$C$1481+CROQUIS_DATOS!$C$1482))*CROQUIS_DATOS!$C$1561))/CROQUIS_DATOS!$C$1568-0.000001)),1,MOD($A91-1,2)))=1,MIN((CROQUIS_DATOS!$C$1476)*CROQUIS_DATOS!$C$1561,((CROQUIS_DATOS!$C$1479+CROQUIS_DATOS!$C$1480)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1">
        <f>IF(AND(CROQUIS_DATOS!$C$1472=1,CROQUIS_DATOS!$C$1478&gt;=2,((CROQUIS_DATOS!$C$1484+CROQUIS_DATOS!$C$1485))-(CROQUIS_DATOS!$C$1484)&gt;0.5,(CROQUIS_DATOS!$C$1486)-(0)&gt;0.5),(CROQUIS_DATOS!$C$1566+(IF(IF(MOD(MIN(INT(($A91-1)/2)+1,MAX(1,INT(((((CROQUIS_DATOS!$C$1484+CROQUIS_DATOS!$C$1485))-(CROQUIS_DATOS!$C$1484))+((CROQUIS_DATOS!$C$1486)*CROQUIS_DATOS!$C$1561-(0)*CROQUIS_DATOS!$C$1561))/CROQUIS_DATOS!$C$1568-0.000001))),2)=1,IF(INT(($A91-1)/2)+1&gt;MAX(1,INT(((((CROQUIS_DATOS!$C$1484+CROQUIS_DATOS!$C$1485))-(CROQUIS_DATOS!$C$1484))+((CROQUIS_DATOS!$C$1486)*CROQUIS_DATOS!$C$1561-(0)*CROQUIS_DATOS!$C$1561))/CROQUIS_DATOS!$C$1568-0.000001)),1,MOD($A91-1,2)),1-IF(INT(($A91-1)/2)+1&gt;MAX(1,INT(((((CROQUIS_DATOS!$C$1484+CROQUIS_DATOS!$C$1485))-(CROQUIS_DATOS!$C$1484))+((CROQUIS_DATOS!$C$1486)*CROQUIS_DATOS!$C$1561-(0)*CROQUIS_DATOS!$C$1561))/CROQUIS_DATOS!$C$1568-0.000001)),1,MOD($A91-1,2)))=1,MIN((CROQUIS_DATOS!$C$1486)*CROQUIS_DATOS!$C$1561,((CROQUIS_DATOS!$C$1484+CROQUIS_DATOS!$C$1485)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1">
        <f>IF(AND(CROQUIS_DATOS!$C$1472=1,CROQUIS_DATOS!$C$1478&gt;=2,((CROQUIS_DATOS!$C$1484+CROQUIS_DATOS!$C$1485))-(CROQUIS_DATOS!$C$1484)&gt;0.5,(CROQUIS_DATOS!$C$1486)-(0)&gt;0.5),(CROQUIS_DATOS!$C$1567+(IF(IF(MOD(MIN(INT(($A91-1)/2)+1,MAX(1,INT(((((CROQUIS_DATOS!$C$1484+CROQUIS_DATOS!$C$1485))-(CROQUIS_DATOS!$C$1484))+((CROQUIS_DATOS!$C$1486)*CROQUIS_DATOS!$C$1561-(0)*CROQUIS_DATOS!$C$1561))/CROQUIS_DATOS!$C$1568-0.000001))),2)=1,IF(INT(($A91-1)/2)+1&gt;MAX(1,INT(((((CROQUIS_DATOS!$C$1484+CROQUIS_DATOS!$C$1485))-(CROQUIS_DATOS!$C$1484))+((CROQUIS_DATOS!$C$1486)*CROQUIS_DATOS!$C$1561-(0)*CROQUIS_DATOS!$C$1561))/CROQUIS_DATOS!$C$1568-0.000001)),1,MOD($A91-1,2)),1-IF(INT(($A91-1)/2)+1&gt;MAX(1,INT(((((CROQUIS_DATOS!$C$1484+CROQUIS_DATOS!$C$1485))-(CROQUIS_DATOS!$C$1484))+((CROQUIS_DATOS!$C$1486)*CROQUIS_DATOS!$C$1561-(0)*CROQUIS_DATOS!$C$1561))/CROQUIS_DATOS!$C$1568-0.000001)),1,MOD($A91-1,2)))=1,MIN((CROQUIS_DATOS!$C$1486)*CROQUIS_DATOS!$C$1561,((CROQUIS_DATOS!$C$1484+CROQUIS_DATOS!$C$1485)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1">
        <f>IF(AND(CROQUIS_DATOS!$C$1472=1,CROQUIS_DATOS!$C$1478&gt;=2,((CROQUIS_DATOS!$C$1484+CROQUIS_DATOS!$C$1485))-(CROQUIS_DATOS!$C$1484)&gt;0.5,(CROQUIS_DATOS!$C$1476)-((CROQUIS_DATOS!$C$1486+CROQUIS_DATOS!$C$1487))&gt;0.5),(CROQUIS_DATOS!$C$1566+(IF(IF(MOD(MIN(INT(($A91-1)/2)+1,MAX(1,INT(((((CROQUIS_DATOS!$C$1484+CROQUIS_DATOS!$C$1485))-(CROQUIS_DATOS!$C$1484))+((CROQUIS_DATOS!$C$1476)*CROQUIS_DATOS!$C$1561-((CROQUIS_DATOS!$C$1486+CROQUIS_DATOS!$C$1487))*CROQUIS_DATOS!$C$1561))/CROQUIS_DATOS!$C$1568-0.000001))),2)=1,IF(INT(($A91-1)/2)+1&gt;MAX(1,INT(((((CROQUIS_DATOS!$C$1484+CROQUIS_DATOS!$C$1485))-(CROQUIS_DATOS!$C$1484))+((CROQUIS_DATOS!$C$1476)*CROQUIS_DATOS!$C$1561-((CROQUIS_DATOS!$C$1486+CROQUIS_DATOS!$C$1487))*CROQUIS_DATOS!$C$1561))/CROQUIS_DATOS!$C$1568-0.000001)),1,MOD($A91-1,2)),1-IF(INT(($A91-1)/2)+1&gt;MAX(1,INT(((((CROQUIS_DATOS!$C$1484+CROQUIS_DATOS!$C$1485))-(CROQUIS_DATOS!$C$1484))+((CROQUIS_DATOS!$C$1476)*CROQUIS_DATOS!$C$1561-((CROQUIS_DATOS!$C$1486+CROQUIS_DATOS!$C$1487))*CROQUIS_DATOS!$C$1561))/CROQUIS_DATOS!$C$1568-0.000001)),1,MOD($A91-1,2)))=1,MIN((CROQUIS_DATOS!$C$1476)*CROQUIS_DATOS!$C$1561,((CROQUIS_DATOS!$C$1484+CROQUIS_DATOS!$C$1485)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1">
        <f>IF(AND(CROQUIS_DATOS!$C$1472=1,CROQUIS_DATOS!$C$1478&gt;=2,((CROQUIS_DATOS!$C$1484+CROQUIS_DATOS!$C$1485))-(CROQUIS_DATOS!$C$1484)&gt;0.5,(CROQUIS_DATOS!$C$1476)-((CROQUIS_DATOS!$C$1486+CROQUIS_DATOS!$C$1487))&gt;0.5),(CROQUIS_DATOS!$C$1567+(IF(IF(MOD(MIN(INT(($A91-1)/2)+1,MAX(1,INT(((((CROQUIS_DATOS!$C$1484+CROQUIS_DATOS!$C$1485))-(CROQUIS_DATOS!$C$1484))+((CROQUIS_DATOS!$C$1476)*CROQUIS_DATOS!$C$1561-((CROQUIS_DATOS!$C$1486+CROQUIS_DATOS!$C$1487))*CROQUIS_DATOS!$C$1561))/CROQUIS_DATOS!$C$1568-0.000001))),2)=1,IF(INT(($A91-1)/2)+1&gt;MAX(1,INT(((((CROQUIS_DATOS!$C$1484+CROQUIS_DATOS!$C$1485))-(CROQUIS_DATOS!$C$1484))+((CROQUIS_DATOS!$C$1476)*CROQUIS_DATOS!$C$1561-((CROQUIS_DATOS!$C$1486+CROQUIS_DATOS!$C$1487))*CROQUIS_DATOS!$C$1561))/CROQUIS_DATOS!$C$1568-0.000001)),1,MOD($A91-1,2)),1-IF(INT(($A91-1)/2)+1&gt;MAX(1,INT(((((CROQUIS_DATOS!$C$1484+CROQUIS_DATOS!$C$1485))-(CROQUIS_DATOS!$C$1484))+((CROQUIS_DATOS!$C$1476)*CROQUIS_DATOS!$C$1561-((CROQUIS_DATOS!$C$1486+CROQUIS_DATOS!$C$1487))*CROQUIS_DATOS!$C$1561))/CROQUIS_DATOS!$C$1568-0.000001)),1,MOD($A91-1,2)))=1,MIN((CROQUIS_DATOS!$C$1476)*CROQUIS_DATOS!$C$1561,((CROQUIS_DATOS!$C$1484+CROQUIS_DATOS!$C$1485)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1">
        <f>IF(AND(CROQUIS_DATOS!$C$1472=1,CROQUIS_DATOS!$C$1478&gt;=3,((CROQUIS_DATOS!$C$1489+CROQUIS_DATOS!$C$1490))-(CROQUIS_DATOS!$C$1489)&gt;0.5,(CROQUIS_DATOS!$C$1491)-(0)&gt;0.5),(CROQUIS_DATOS!$C$1566+(IF(IF(MOD(MIN(INT(($A91-1)/2)+1,MAX(1,INT(((((CROQUIS_DATOS!$C$1489+CROQUIS_DATOS!$C$1490))-(CROQUIS_DATOS!$C$1489))+((CROQUIS_DATOS!$C$1491)*CROQUIS_DATOS!$C$1561-(0)*CROQUIS_DATOS!$C$1561))/CROQUIS_DATOS!$C$1568-0.000001))),2)=1,IF(INT(($A91-1)/2)+1&gt;MAX(1,INT(((((CROQUIS_DATOS!$C$1489+CROQUIS_DATOS!$C$1490))-(CROQUIS_DATOS!$C$1489))+((CROQUIS_DATOS!$C$1491)*CROQUIS_DATOS!$C$1561-(0)*CROQUIS_DATOS!$C$1561))/CROQUIS_DATOS!$C$1568-0.000001)),1,MOD($A91-1,2)),1-IF(INT(($A91-1)/2)+1&gt;MAX(1,INT(((((CROQUIS_DATOS!$C$1489+CROQUIS_DATOS!$C$1490))-(CROQUIS_DATOS!$C$1489))+((CROQUIS_DATOS!$C$1491)*CROQUIS_DATOS!$C$1561-(0)*CROQUIS_DATOS!$C$1561))/CROQUIS_DATOS!$C$1568-0.000001)),1,MOD($A91-1,2)))=1,MIN((CROQUIS_DATOS!$C$1491)*CROQUIS_DATOS!$C$1561,((CROQUIS_DATOS!$C$1489+CROQUIS_DATOS!$C$1490)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1">
        <f>IF(AND(CROQUIS_DATOS!$C$1472=1,CROQUIS_DATOS!$C$1478&gt;=3,((CROQUIS_DATOS!$C$1489+CROQUIS_DATOS!$C$1490))-(CROQUIS_DATOS!$C$1489)&gt;0.5,(CROQUIS_DATOS!$C$1491)-(0)&gt;0.5),(CROQUIS_DATOS!$C$1567+(IF(IF(MOD(MIN(INT(($A91-1)/2)+1,MAX(1,INT(((((CROQUIS_DATOS!$C$1489+CROQUIS_DATOS!$C$1490))-(CROQUIS_DATOS!$C$1489))+((CROQUIS_DATOS!$C$1491)*CROQUIS_DATOS!$C$1561-(0)*CROQUIS_DATOS!$C$1561))/CROQUIS_DATOS!$C$1568-0.000001))),2)=1,IF(INT(($A91-1)/2)+1&gt;MAX(1,INT(((((CROQUIS_DATOS!$C$1489+CROQUIS_DATOS!$C$1490))-(CROQUIS_DATOS!$C$1489))+((CROQUIS_DATOS!$C$1491)*CROQUIS_DATOS!$C$1561-(0)*CROQUIS_DATOS!$C$1561))/CROQUIS_DATOS!$C$1568-0.000001)),1,MOD($A91-1,2)),1-IF(INT(($A91-1)/2)+1&gt;MAX(1,INT(((((CROQUIS_DATOS!$C$1489+CROQUIS_DATOS!$C$1490))-(CROQUIS_DATOS!$C$1489))+((CROQUIS_DATOS!$C$1491)*CROQUIS_DATOS!$C$1561-(0)*CROQUIS_DATOS!$C$1561))/CROQUIS_DATOS!$C$1568-0.000001)),1,MOD($A91-1,2)))=1,MIN((CROQUIS_DATOS!$C$1491)*CROQUIS_DATOS!$C$1561,((CROQUIS_DATOS!$C$1489+CROQUIS_DATOS!$C$1490)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1">
        <f>IF(AND(CROQUIS_DATOS!$C$1472=1,CROQUIS_DATOS!$C$1478&gt;=3,((CROQUIS_DATOS!$C$1489+CROQUIS_DATOS!$C$1490))-(CROQUIS_DATOS!$C$1489)&gt;0.5,(CROQUIS_DATOS!$C$1476)-((CROQUIS_DATOS!$C$1491+CROQUIS_DATOS!$C$1492))&gt;0.5),(CROQUIS_DATOS!$C$1566+(IF(IF(MOD(MIN(INT(($A91-1)/2)+1,MAX(1,INT(((((CROQUIS_DATOS!$C$1489+CROQUIS_DATOS!$C$1490))-(CROQUIS_DATOS!$C$1489))+((CROQUIS_DATOS!$C$1476)*CROQUIS_DATOS!$C$1561-((CROQUIS_DATOS!$C$1491+CROQUIS_DATOS!$C$1492))*CROQUIS_DATOS!$C$1561))/CROQUIS_DATOS!$C$1568-0.000001))),2)=1,IF(INT(($A91-1)/2)+1&gt;MAX(1,INT(((((CROQUIS_DATOS!$C$1489+CROQUIS_DATOS!$C$1490))-(CROQUIS_DATOS!$C$1489))+((CROQUIS_DATOS!$C$1476)*CROQUIS_DATOS!$C$1561-((CROQUIS_DATOS!$C$1491+CROQUIS_DATOS!$C$1492))*CROQUIS_DATOS!$C$1561))/CROQUIS_DATOS!$C$1568-0.000001)),1,MOD($A91-1,2)),1-IF(INT(($A91-1)/2)+1&gt;MAX(1,INT(((((CROQUIS_DATOS!$C$1489+CROQUIS_DATOS!$C$1490))-(CROQUIS_DATOS!$C$1489))+((CROQUIS_DATOS!$C$1476)*CROQUIS_DATOS!$C$1561-((CROQUIS_DATOS!$C$1491+CROQUIS_DATOS!$C$1492))*CROQUIS_DATOS!$C$1561))/CROQUIS_DATOS!$C$1568-0.000001)),1,MOD($A91-1,2)))=1,MIN((CROQUIS_DATOS!$C$1476)*CROQUIS_DATOS!$C$1561,((CROQUIS_DATOS!$C$1489+CROQUIS_DATOS!$C$1490)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1">
        <f>IF(AND(CROQUIS_DATOS!$C$1472=1,CROQUIS_DATOS!$C$1478&gt;=3,((CROQUIS_DATOS!$C$1489+CROQUIS_DATOS!$C$1490))-(CROQUIS_DATOS!$C$1489)&gt;0.5,(CROQUIS_DATOS!$C$1476)-((CROQUIS_DATOS!$C$1491+CROQUIS_DATOS!$C$1492))&gt;0.5),(CROQUIS_DATOS!$C$1567+(IF(IF(MOD(MIN(INT(($A91-1)/2)+1,MAX(1,INT(((((CROQUIS_DATOS!$C$1489+CROQUIS_DATOS!$C$1490))-(CROQUIS_DATOS!$C$1489))+((CROQUIS_DATOS!$C$1476)*CROQUIS_DATOS!$C$1561-((CROQUIS_DATOS!$C$1491+CROQUIS_DATOS!$C$1492))*CROQUIS_DATOS!$C$1561))/CROQUIS_DATOS!$C$1568-0.000001))),2)=1,IF(INT(($A91-1)/2)+1&gt;MAX(1,INT(((((CROQUIS_DATOS!$C$1489+CROQUIS_DATOS!$C$1490))-(CROQUIS_DATOS!$C$1489))+((CROQUIS_DATOS!$C$1476)*CROQUIS_DATOS!$C$1561-((CROQUIS_DATOS!$C$1491+CROQUIS_DATOS!$C$1492))*CROQUIS_DATOS!$C$1561))/CROQUIS_DATOS!$C$1568-0.000001)),1,MOD($A91-1,2)),1-IF(INT(($A91-1)/2)+1&gt;MAX(1,INT(((((CROQUIS_DATOS!$C$1489+CROQUIS_DATOS!$C$1490))-(CROQUIS_DATOS!$C$1489))+((CROQUIS_DATOS!$C$1476)*CROQUIS_DATOS!$C$1561-((CROQUIS_DATOS!$C$1491+CROQUIS_DATOS!$C$1492))*CROQUIS_DATOS!$C$1561))/CROQUIS_DATOS!$C$1568-0.000001)),1,MOD($A91-1,2)))=1,MIN((CROQUIS_DATOS!$C$1476)*CROQUIS_DATOS!$C$1561,((CROQUIS_DATOS!$C$1489+CROQUIS_DATOS!$C$1490)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1">
        <f>IF(AND(CROQUIS_DATOS!$C$1472=1,CROQUIS_DATOS!$C$1478&gt;=4,((CROQUIS_DATOS!$C$1494+CROQUIS_DATOS!$C$1495))-(CROQUIS_DATOS!$C$1494)&gt;0.5,(CROQUIS_DATOS!$C$1496)-(0)&gt;0.5),(CROQUIS_DATOS!$C$1566+(IF(IF(MOD(MIN(INT(($A91-1)/2)+1,MAX(1,INT(((((CROQUIS_DATOS!$C$1494+CROQUIS_DATOS!$C$1495))-(CROQUIS_DATOS!$C$1494))+((CROQUIS_DATOS!$C$1496)*CROQUIS_DATOS!$C$1561-(0)*CROQUIS_DATOS!$C$1561))/CROQUIS_DATOS!$C$1568-0.000001))),2)=1,IF(INT(($A91-1)/2)+1&gt;MAX(1,INT(((((CROQUIS_DATOS!$C$1494+CROQUIS_DATOS!$C$1495))-(CROQUIS_DATOS!$C$1494))+((CROQUIS_DATOS!$C$1496)*CROQUIS_DATOS!$C$1561-(0)*CROQUIS_DATOS!$C$1561))/CROQUIS_DATOS!$C$1568-0.000001)),1,MOD($A91-1,2)),1-IF(INT(($A91-1)/2)+1&gt;MAX(1,INT(((((CROQUIS_DATOS!$C$1494+CROQUIS_DATOS!$C$1495))-(CROQUIS_DATOS!$C$1494))+((CROQUIS_DATOS!$C$1496)*CROQUIS_DATOS!$C$1561-(0)*CROQUIS_DATOS!$C$1561))/CROQUIS_DATOS!$C$1568-0.000001)),1,MOD($A91-1,2)))=1,MIN((CROQUIS_DATOS!$C$1496)*CROQUIS_DATOS!$C$1561,((CROQUIS_DATOS!$C$1494+CROQUIS_DATOS!$C$1495)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1">
        <f>IF(AND(CROQUIS_DATOS!$C$1472=1,CROQUIS_DATOS!$C$1478&gt;=4,((CROQUIS_DATOS!$C$1494+CROQUIS_DATOS!$C$1495))-(CROQUIS_DATOS!$C$1494)&gt;0.5,(CROQUIS_DATOS!$C$1496)-(0)&gt;0.5),(CROQUIS_DATOS!$C$1567+(IF(IF(MOD(MIN(INT(($A91-1)/2)+1,MAX(1,INT(((((CROQUIS_DATOS!$C$1494+CROQUIS_DATOS!$C$1495))-(CROQUIS_DATOS!$C$1494))+((CROQUIS_DATOS!$C$1496)*CROQUIS_DATOS!$C$1561-(0)*CROQUIS_DATOS!$C$1561))/CROQUIS_DATOS!$C$1568-0.000001))),2)=1,IF(INT(($A91-1)/2)+1&gt;MAX(1,INT(((((CROQUIS_DATOS!$C$1494+CROQUIS_DATOS!$C$1495))-(CROQUIS_DATOS!$C$1494))+((CROQUIS_DATOS!$C$1496)*CROQUIS_DATOS!$C$1561-(0)*CROQUIS_DATOS!$C$1561))/CROQUIS_DATOS!$C$1568-0.000001)),1,MOD($A91-1,2)),1-IF(INT(($A91-1)/2)+1&gt;MAX(1,INT(((((CROQUIS_DATOS!$C$1494+CROQUIS_DATOS!$C$1495))-(CROQUIS_DATOS!$C$1494))+((CROQUIS_DATOS!$C$1496)*CROQUIS_DATOS!$C$1561-(0)*CROQUIS_DATOS!$C$1561))/CROQUIS_DATOS!$C$1568-0.000001)),1,MOD($A91-1,2)))=1,MIN((CROQUIS_DATOS!$C$1496)*CROQUIS_DATOS!$C$1561,((CROQUIS_DATOS!$C$1494+CROQUIS_DATOS!$C$1495)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1">
        <f>IF(AND(CROQUIS_DATOS!$C$1472=1,CROQUIS_DATOS!$C$1478&gt;=4,((CROQUIS_DATOS!$C$1494+CROQUIS_DATOS!$C$1495))-(CROQUIS_DATOS!$C$1494)&gt;0.5,(CROQUIS_DATOS!$C$1476)-((CROQUIS_DATOS!$C$1496+CROQUIS_DATOS!$C$1497))&gt;0.5),(CROQUIS_DATOS!$C$1566+(IF(IF(MOD(MIN(INT(($A91-1)/2)+1,MAX(1,INT(((((CROQUIS_DATOS!$C$1494+CROQUIS_DATOS!$C$1495))-(CROQUIS_DATOS!$C$1494))+((CROQUIS_DATOS!$C$1476)*CROQUIS_DATOS!$C$1561-((CROQUIS_DATOS!$C$1496+CROQUIS_DATOS!$C$1497))*CROQUIS_DATOS!$C$1561))/CROQUIS_DATOS!$C$1568-0.000001))),2)=1,IF(INT(($A91-1)/2)+1&gt;MAX(1,INT(((((CROQUIS_DATOS!$C$1494+CROQUIS_DATOS!$C$1495))-(CROQUIS_DATOS!$C$1494))+((CROQUIS_DATOS!$C$1476)*CROQUIS_DATOS!$C$1561-((CROQUIS_DATOS!$C$1496+CROQUIS_DATOS!$C$1497))*CROQUIS_DATOS!$C$1561))/CROQUIS_DATOS!$C$1568-0.000001)),1,MOD($A91-1,2)),1-IF(INT(($A91-1)/2)+1&gt;MAX(1,INT(((((CROQUIS_DATOS!$C$1494+CROQUIS_DATOS!$C$1495))-(CROQUIS_DATOS!$C$1494))+((CROQUIS_DATOS!$C$1476)*CROQUIS_DATOS!$C$1561-((CROQUIS_DATOS!$C$1496+CROQUIS_DATOS!$C$1497))*CROQUIS_DATOS!$C$1561))/CROQUIS_DATOS!$C$1568-0.000001)),1,MOD($A91-1,2)))=1,MIN((CROQUIS_DATOS!$C$1476)*CROQUIS_DATOS!$C$1561,((CROQUIS_DATOS!$C$1494+CROQUIS_DATOS!$C$1495)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1">
        <f>IF(AND(CROQUIS_DATOS!$C$1472=1,CROQUIS_DATOS!$C$1478&gt;=4,((CROQUIS_DATOS!$C$1494+CROQUIS_DATOS!$C$1495))-(CROQUIS_DATOS!$C$1494)&gt;0.5,(CROQUIS_DATOS!$C$1476)-((CROQUIS_DATOS!$C$1496+CROQUIS_DATOS!$C$1497))&gt;0.5),(CROQUIS_DATOS!$C$1567+(IF(IF(MOD(MIN(INT(($A91-1)/2)+1,MAX(1,INT(((((CROQUIS_DATOS!$C$1494+CROQUIS_DATOS!$C$1495))-(CROQUIS_DATOS!$C$1494))+((CROQUIS_DATOS!$C$1476)*CROQUIS_DATOS!$C$1561-((CROQUIS_DATOS!$C$1496+CROQUIS_DATOS!$C$1497))*CROQUIS_DATOS!$C$1561))/CROQUIS_DATOS!$C$1568-0.000001))),2)=1,IF(INT(($A91-1)/2)+1&gt;MAX(1,INT(((((CROQUIS_DATOS!$C$1494+CROQUIS_DATOS!$C$1495))-(CROQUIS_DATOS!$C$1494))+((CROQUIS_DATOS!$C$1476)*CROQUIS_DATOS!$C$1561-((CROQUIS_DATOS!$C$1496+CROQUIS_DATOS!$C$1497))*CROQUIS_DATOS!$C$1561))/CROQUIS_DATOS!$C$1568-0.000001)),1,MOD($A91-1,2)),1-IF(INT(($A91-1)/2)+1&gt;MAX(1,INT(((((CROQUIS_DATOS!$C$1494+CROQUIS_DATOS!$C$1495))-(CROQUIS_DATOS!$C$1494))+((CROQUIS_DATOS!$C$1476)*CROQUIS_DATOS!$C$1561-((CROQUIS_DATOS!$C$1496+CROQUIS_DATOS!$C$1497))*CROQUIS_DATOS!$C$1561))/CROQUIS_DATOS!$C$1568-0.000001)),1,MOD($A91-1,2)))=1,MIN((CROQUIS_DATOS!$C$1476)*CROQUIS_DATOS!$C$1561,((CROQUIS_DATOS!$C$1494+CROQUIS_DATOS!$C$1495)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2">
      <c r="A92" t="n">
        <v>85</v>
      </c>
      <c r="N92">
        <f>IF(AND(CROQUIS_DATOS!$C$1472=1,1),(CROQUIS_DATOS!$C$1563+(IF(IF(IF(INT(($A92-1)/70)+1&gt;CROQUIS_DATOS!$C$1525,70,MOD($A92-1,70)+1)=1,0,IF(IF(INT(($A92-1)/70)+1&gt;CROQUIS_DATOS!$C$1525,70,MOD($A92-1,70)+1)&gt;2*CROQUIS_DATOS!$C$1541+1,IF(MOD(CROQUIS_DATOS!$C$1541,2)=1,1,0),IF(MOD(MIN(INT((IF(INT(($A92-1)/70)+1&gt;CROQUIS_DATOS!$C$1525,70,MOD($A92-1,70)+1)-2)/2)+1,CROQUIS_DATOS!$C$1541),2)=1,IF(MOD(IF(INT(($A92-1)/70)+1&gt;CROQUIS_DATOS!$C$1525,70,MOD($A92-1,70)+1)-2,2)=0,0,1),IF(MOD(IF(INT(($A92-1)/70)+1&gt;CROQUIS_DATOS!$C$1525,70,MOD($A92-1,70)+1)-2,2)=0,1,0))))=0,(INDEX($E$8:$E$23,MIN(INT(($A92-1)/70)+1,CROQUIS_DATOS!$C$1525))-INDEX($F$8:$F$23,MIN(INT(($A92-1)/70)+1,CROQUIS_DATOS!$C$1525))/2),(INDEX($E$8:$E$23,MIN(INT(($A92-1)/70)+1,CROQUIS_DATOS!$C$1525))+INDEX($F$8:$F$23,MIN(INT(($A92-1)/70)+1,CROQUIS_DATOS!$C$1525))/2)))*CROQUIS_DATOS!$C$1562),-1000)</f>
        <v>20.6724137931034</v>
      </c>
      <c r="O92">
        <f>IF(AND(CROQUIS_DATOS!$C$1472=1,1),(CROQUIS_DATOS!$C$1564+(IF(OR(IF(INT(($A92-1)/70)+1&gt;CROQUIS_DATOS!$C$1525,70,MOD($A92-1,70)+1)=1,IF(INT(($A92-1)/70)+1&gt;CROQUIS_DATOS!$C$1525,70,MOD($A92-1,70)+1)&gt;2*CROQUIS_DATOS!$C$1541+1),CROQUIS_DATOS!$C$1476,INDEX($H$8:$H$41,MIN(INT((IF(INT(($A92-1)/70)+1&gt;CROQUIS_DATOS!$C$1525,70,MOD($A92-1,70)+1)-2)/2)+1,CROQUIS_DATOS!$C$1541))))*CROQUIS_DATOS!$C$1561*CROQUIS_DATOS!$C$1562),-1000)</f>
        <v>15.9612068965517</v>
      </c>
      <c r="P92">
        <f>IF(AND(CROQUIS_DATOS!$C$1472=1,CROQUIS_DATOS!$C$1555=1),(CROQUIS_DATOS!$C$1563+(IF(IF(OR(MOD($A92-1,62)+1=1,IF(CHOOSE(MIN(MAX(MIN(INT(($A92-1)/62)+1,5),1),5),CROQUIS_DATOS!$C$1501,CROQUIS_DATOS!$C$1505,CROQUIS_DATOS!$C$1509,CROQUIS_DATOS!$C$1513,CROQUIS_DATOS!$C$1517)=1,CROQUIS_DATOS!$C$1557,0)=0),0,IF(MOD($A92-1,62)+1&gt;2*IF(CHOOSE(MIN(MAX(MIN(INT(($A92-1)/62)+1,5),1),5),CROQUIS_DATOS!$C$1501,CROQUIS_DATOS!$C$1505,CROQUIS_DATOS!$C$1509,CROQUIS_DATOS!$C$1513,CROQUIS_DATOS!$C$1517)=1,CROQUIS_DATOS!$C$1557,0)+1,IF(MOD(IF(CHOOSE(MIN(MAX(MIN(INT(($A92-1)/62)+1,5),1),5),CROQUIS_DATOS!$C$1501,CROQUIS_DATOS!$C$1505,CROQUIS_DATOS!$C$1509,CROQUIS_DATOS!$C$1513,CROQUIS_DATOS!$C$1517)=1,CROQUIS_DATOS!$C$1557,0),2)=1,1,0),IF(MOD(MIN(INT((MOD($A92-1,62)+1-2)/2)+1,MAX(IF(CHOOSE(MIN(MAX(MIN(INT(($A92-1)/62)+1,5),1),5),CROQUIS_DATOS!$C$1501,CROQUIS_DATOS!$C$1505,CROQUIS_DATOS!$C$1509,CROQUIS_DATOS!$C$1513,CROQUIS_DATOS!$C$1517)=1,CROQUIS_DATOS!$C$1557,0),1)),2)=1,IF(MOD(MOD($A92-1,62)+1-2,2)=0,0,1),IF(MOD(MOD($A92-1,62)+1-2,2)=0,1,0))))=0,(CHOOSE(MIN(MAX(MIN(INT(($A92-1)/62)+1,5),1),5),CROQUIS_DATOS!$C$1499,CROQUIS_DATOS!$C$1503,CROQUIS_DATOS!$C$1507,CROQUIS_DATOS!$C$1511,CROQUIS_DATOS!$C$1515)+IF(CHOOSE(MIN(MAX(MIN(INT(($A92-1)/62)+1,5),1),5),CROQUIS_DATOS!$C$1501,CROQUIS_DATOS!$C$1505,CROQUIS_DATOS!$C$1509,CROQUIS_DATOS!$C$1513,CROQUIS_DATOS!$C$1517)=1,CROQUIS_DATOS!$C$1526,0)),(CHOOSE(MIN(MAX(MIN(INT(($A92-1)/62)+1,5),1),5),CROQUIS_DATOS!$C$1499,CROQUIS_DATOS!$C$1503,CROQUIS_DATOS!$C$1507,CROQUIS_DATOS!$C$1511,CROQUIS_DATOS!$C$1515)+CHOOSE(MIN(MAX(MIN(INT(($A92-1)/62)+1,5),1),5),CROQUIS_DATOS!$C$1500,CROQUIS_DATOS!$C$1504,CROQUIS_DATOS!$C$1508,CROQUIS_DATOS!$C$1512,CROQUIS_DATOS!$C$1516)-IF(CHOOSE(MIN(MAX(MIN(INT(($A92-1)/62)+1,5),1),5),CROQUIS_DATOS!$C$1501,CROQUIS_DATOS!$C$1505,CROQUIS_DATOS!$C$1509,CROQUIS_DATOS!$C$1513,CROQUIS_DATOS!$C$1517)=1,CROQUIS_DATOS!$C$1526,0))))*CROQUIS_DATOS!$C$1562),-1000)</f>
        <v>-1000</v>
      </c>
      <c r="Q92">
        <f>IF(AND(CROQUIS_DATOS!$C$1472=1,CROQUIS_DATOS!$C$1555=1),(CROQUIS_DATOS!$C$1564+(IF(OR(OR(MOD($A92-1,62)+1=1,IF(CHOOSE(MIN(MAX(MIN(INT(($A92-1)/62)+1,5),1),5),CROQUIS_DATOS!$C$1501,CROQUIS_DATOS!$C$1505,CROQUIS_DATOS!$C$1509,CROQUIS_DATOS!$C$1513,CROQUIS_DATOS!$C$1517)=1,CROQUIS_DATOS!$C$1557,0)=0),MOD($A92-1,62)+1&gt;2*IF(CHOOSE(MIN(MAX(MIN(INT(($A92-1)/62)+1,5),1),5),CROQUIS_DATOS!$C$1501,CROQUIS_DATOS!$C$1505,CROQUIS_DATOS!$C$1509,CROQUIS_DATOS!$C$1513,CROQUIS_DATOS!$C$1517)=1,CROQUIS_DATOS!$C$1557,0)+1),CROQUIS_DATOS!$C$1476,MIN(INT((MOD($A92-1,62)+1-2)/2)+1,MAX(IF(CHOOSE(MIN(MAX(MIN(INT(($A92-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2">
        <f>IF(AND(CROQUIS_DATOS!$C$1472=1,1),(CROQUIS_DATOS!$C$1563+(MIN(INT(($A92-1)/2)+1,CROQUIS_DATOS!$C$1558)*CROQUIS_DATOS!$C$1559)*CROQUIS_DATOS!$C$1562),-1000)</f>
        <v>82.2281167108753</v>
      </c>
      <c r="U92">
        <f>IF(AND(CROQUIS_DATOS!$C$1472=1,1),(CROQUIS_DATOS!$C$1564+(IF(INT(($A92-1)/2)+1&gt;CROQUIS_DATOS!$C$1558,IF(MOD(CROQUIS_DATOS!$C$1558,2)=1,CROQUIS_DATOS!$C$1476+CROQUIS_DATOS!$C$1528,CROQUIS_DATOS!$C$1476),IF(IF(MOD(MIN(INT(($A92-1)/2)+1,CROQUIS_DATOS!$C$1558),2)=1,MOD($A92-1,2),1-MOD($A92-1,2))=1,CROQUIS_DATOS!$C$1476+CROQUIS_DATOS!$C$1528,CROQUIS_DATOS!$C$1476)))*CROQUIS_DATOS!$C$1561*CROQUIS_DATOS!$C$1562),-1000)</f>
        <v>43</v>
      </c>
      <c r="BZ92">
        <f>IF(AND(CROQUIS_DATOS!$C$1472=1,CROQUIS_DATOS!$C$1500&gt;0,((CROQUIS_DATOS!$C$1499+CROQUIS_DATOS!$C$1500))-(CROQUIS_DATOS!$C$1499)&gt;0.5,(CROQUIS_DATOS!$C$1476)-(0)&gt;0.5),(CROQUIS_DATOS!$C$1566+(IF(IF(MOD(MIN(INT(($A92-1)/2)+1,MAX(1,INT(((((CROQUIS_DATOS!$C$1499+CROQUIS_DATOS!$C$1500))-(CROQUIS_DATOS!$C$1499))+((CROQUIS_DATOS!$C$1476)*CROQUIS_DATOS!$C$1561-(0)*CROQUIS_DATOS!$C$1561))/CROQUIS_DATOS!$C$1568-0.000001))),2)=1,IF(INT(($A92-1)/2)+1&gt;MAX(1,INT(((((CROQUIS_DATOS!$C$1499+CROQUIS_DATOS!$C$1500))-(CROQUIS_DATOS!$C$1499))+((CROQUIS_DATOS!$C$1476)*CROQUIS_DATOS!$C$1561-(0)*CROQUIS_DATOS!$C$1561))/CROQUIS_DATOS!$C$1568-0.000001)),1,MOD($A92-1,2)),1-IF(INT(($A92-1)/2)+1&gt;MAX(1,INT(((((CROQUIS_DATOS!$C$1499+CROQUIS_DATOS!$C$1500))-(CROQUIS_DATOS!$C$1499))+((CROQUIS_DATOS!$C$1476)*CROQUIS_DATOS!$C$1561-(0)*CROQUIS_DATOS!$C$1561))/CROQUIS_DATOS!$C$1568-0.000001)),1,MOD($A92-1,2)))=1,MIN((CROQUIS_DATOS!$C$1476)*CROQUIS_DATOS!$C$1561,((CROQUIS_DATOS!$C$1499+CROQUIS_DATOS!$C$1500)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2">
        <f>IF(AND(CROQUIS_DATOS!$C$1472=1,CROQUIS_DATOS!$C$1500&gt;0,((CROQUIS_DATOS!$C$1499+CROQUIS_DATOS!$C$1500))-(CROQUIS_DATOS!$C$1499)&gt;0.5,(CROQUIS_DATOS!$C$1476)-(0)&gt;0.5),(CROQUIS_DATOS!$C$1567+(IF(IF(MOD(MIN(INT(($A92-1)/2)+1,MAX(1,INT(((((CROQUIS_DATOS!$C$1499+CROQUIS_DATOS!$C$1500))-(CROQUIS_DATOS!$C$1499))+((CROQUIS_DATOS!$C$1476)*CROQUIS_DATOS!$C$1561-(0)*CROQUIS_DATOS!$C$1561))/CROQUIS_DATOS!$C$1568-0.000001))),2)=1,IF(INT(($A92-1)/2)+1&gt;MAX(1,INT(((((CROQUIS_DATOS!$C$1499+CROQUIS_DATOS!$C$1500))-(CROQUIS_DATOS!$C$1499))+((CROQUIS_DATOS!$C$1476)*CROQUIS_DATOS!$C$1561-(0)*CROQUIS_DATOS!$C$1561))/CROQUIS_DATOS!$C$1568-0.000001)),1,MOD($A92-1,2)),1-IF(INT(($A92-1)/2)+1&gt;MAX(1,INT(((((CROQUIS_DATOS!$C$1499+CROQUIS_DATOS!$C$1500))-(CROQUIS_DATOS!$C$1499))+((CROQUIS_DATOS!$C$1476)*CROQUIS_DATOS!$C$1561-(0)*CROQUIS_DATOS!$C$1561))/CROQUIS_DATOS!$C$1568-0.000001)),1,MOD($A92-1,2)))=1,MIN((CROQUIS_DATOS!$C$1476)*CROQUIS_DATOS!$C$1561,((CROQUIS_DATOS!$C$1499+CROQUIS_DATOS!$C$1500)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2">
        <f>IF(AND(CROQUIS_DATOS!$C$1472=1,CROQUIS_DATOS!$C$1504&gt;0,((CROQUIS_DATOS!$C$1503+CROQUIS_DATOS!$C$1504))-(CROQUIS_DATOS!$C$1503)&gt;0.5,(CROQUIS_DATOS!$C$1476)-(0)&gt;0.5),(CROQUIS_DATOS!$C$1566+(IF(IF(MOD(MIN(INT(($A92-1)/2)+1,MAX(1,INT(((((CROQUIS_DATOS!$C$1503+CROQUIS_DATOS!$C$1504))-(CROQUIS_DATOS!$C$1503))+((CROQUIS_DATOS!$C$1476)*CROQUIS_DATOS!$C$1561-(0)*CROQUIS_DATOS!$C$1561))/CROQUIS_DATOS!$C$1568-0.000001))),2)=1,IF(INT(($A92-1)/2)+1&gt;MAX(1,INT(((((CROQUIS_DATOS!$C$1503+CROQUIS_DATOS!$C$1504))-(CROQUIS_DATOS!$C$1503))+((CROQUIS_DATOS!$C$1476)*CROQUIS_DATOS!$C$1561-(0)*CROQUIS_DATOS!$C$1561))/CROQUIS_DATOS!$C$1568-0.000001)),1,MOD($A92-1,2)),1-IF(INT(($A92-1)/2)+1&gt;MAX(1,INT(((((CROQUIS_DATOS!$C$1503+CROQUIS_DATOS!$C$1504))-(CROQUIS_DATOS!$C$1503))+((CROQUIS_DATOS!$C$1476)*CROQUIS_DATOS!$C$1561-(0)*CROQUIS_DATOS!$C$1561))/CROQUIS_DATOS!$C$1568-0.000001)),1,MOD($A92-1,2)))=1,MIN((CROQUIS_DATOS!$C$1476)*CROQUIS_DATOS!$C$1561,((CROQUIS_DATOS!$C$1503+CROQUIS_DATOS!$C$1504)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2">
        <f>IF(AND(CROQUIS_DATOS!$C$1472=1,CROQUIS_DATOS!$C$1504&gt;0,((CROQUIS_DATOS!$C$1503+CROQUIS_DATOS!$C$1504))-(CROQUIS_DATOS!$C$1503)&gt;0.5,(CROQUIS_DATOS!$C$1476)-(0)&gt;0.5),(CROQUIS_DATOS!$C$1567+(IF(IF(MOD(MIN(INT(($A92-1)/2)+1,MAX(1,INT(((((CROQUIS_DATOS!$C$1503+CROQUIS_DATOS!$C$1504))-(CROQUIS_DATOS!$C$1503))+((CROQUIS_DATOS!$C$1476)*CROQUIS_DATOS!$C$1561-(0)*CROQUIS_DATOS!$C$1561))/CROQUIS_DATOS!$C$1568-0.000001))),2)=1,IF(INT(($A92-1)/2)+1&gt;MAX(1,INT(((((CROQUIS_DATOS!$C$1503+CROQUIS_DATOS!$C$1504))-(CROQUIS_DATOS!$C$1503))+((CROQUIS_DATOS!$C$1476)*CROQUIS_DATOS!$C$1561-(0)*CROQUIS_DATOS!$C$1561))/CROQUIS_DATOS!$C$1568-0.000001)),1,MOD($A92-1,2)),1-IF(INT(($A92-1)/2)+1&gt;MAX(1,INT(((((CROQUIS_DATOS!$C$1503+CROQUIS_DATOS!$C$1504))-(CROQUIS_DATOS!$C$1503))+((CROQUIS_DATOS!$C$1476)*CROQUIS_DATOS!$C$1561-(0)*CROQUIS_DATOS!$C$1561))/CROQUIS_DATOS!$C$1568-0.000001)),1,MOD($A92-1,2)))=1,MIN((CROQUIS_DATOS!$C$1476)*CROQUIS_DATOS!$C$1561,((CROQUIS_DATOS!$C$1503+CROQUIS_DATOS!$C$1504)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2">
        <f>IF(AND(CROQUIS_DATOS!$C$1472=1,CROQUIS_DATOS!$C$1508&gt;0,((CROQUIS_DATOS!$C$1507+CROQUIS_DATOS!$C$1508))-(CROQUIS_DATOS!$C$1507)&gt;0.5,(CROQUIS_DATOS!$C$1476)-(0)&gt;0.5),(CROQUIS_DATOS!$C$1566+(IF(IF(MOD(MIN(INT(($A92-1)/2)+1,MAX(1,INT(((((CROQUIS_DATOS!$C$1507+CROQUIS_DATOS!$C$1508))-(CROQUIS_DATOS!$C$1507))+((CROQUIS_DATOS!$C$1476)*CROQUIS_DATOS!$C$1561-(0)*CROQUIS_DATOS!$C$1561))/CROQUIS_DATOS!$C$1568-0.000001))),2)=1,IF(INT(($A92-1)/2)+1&gt;MAX(1,INT(((((CROQUIS_DATOS!$C$1507+CROQUIS_DATOS!$C$1508))-(CROQUIS_DATOS!$C$1507))+((CROQUIS_DATOS!$C$1476)*CROQUIS_DATOS!$C$1561-(0)*CROQUIS_DATOS!$C$1561))/CROQUIS_DATOS!$C$1568-0.000001)),1,MOD($A92-1,2)),1-IF(INT(($A92-1)/2)+1&gt;MAX(1,INT(((((CROQUIS_DATOS!$C$1507+CROQUIS_DATOS!$C$1508))-(CROQUIS_DATOS!$C$1507))+((CROQUIS_DATOS!$C$1476)*CROQUIS_DATOS!$C$1561-(0)*CROQUIS_DATOS!$C$1561))/CROQUIS_DATOS!$C$1568-0.000001)),1,MOD($A92-1,2)))=1,MIN((CROQUIS_DATOS!$C$1476)*CROQUIS_DATOS!$C$1561,((CROQUIS_DATOS!$C$1507+CROQUIS_DATOS!$C$1508)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2">
        <f>IF(AND(CROQUIS_DATOS!$C$1472=1,CROQUIS_DATOS!$C$1508&gt;0,((CROQUIS_DATOS!$C$1507+CROQUIS_DATOS!$C$1508))-(CROQUIS_DATOS!$C$1507)&gt;0.5,(CROQUIS_DATOS!$C$1476)-(0)&gt;0.5),(CROQUIS_DATOS!$C$1567+(IF(IF(MOD(MIN(INT(($A92-1)/2)+1,MAX(1,INT(((((CROQUIS_DATOS!$C$1507+CROQUIS_DATOS!$C$1508))-(CROQUIS_DATOS!$C$1507))+((CROQUIS_DATOS!$C$1476)*CROQUIS_DATOS!$C$1561-(0)*CROQUIS_DATOS!$C$1561))/CROQUIS_DATOS!$C$1568-0.000001))),2)=1,IF(INT(($A92-1)/2)+1&gt;MAX(1,INT(((((CROQUIS_DATOS!$C$1507+CROQUIS_DATOS!$C$1508))-(CROQUIS_DATOS!$C$1507))+((CROQUIS_DATOS!$C$1476)*CROQUIS_DATOS!$C$1561-(0)*CROQUIS_DATOS!$C$1561))/CROQUIS_DATOS!$C$1568-0.000001)),1,MOD($A92-1,2)),1-IF(INT(($A92-1)/2)+1&gt;MAX(1,INT(((((CROQUIS_DATOS!$C$1507+CROQUIS_DATOS!$C$1508))-(CROQUIS_DATOS!$C$1507))+((CROQUIS_DATOS!$C$1476)*CROQUIS_DATOS!$C$1561-(0)*CROQUIS_DATOS!$C$1561))/CROQUIS_DATOS!$C$1568-0.000001)),1,MOD($A92-1,2)))=1,MIN((CROQUIS_DATOS!$C$1476)*CROQUIS_DATOS!$C$1561,((CROQUIS_DATOS!$C$1507+CROQUIS_DATOS!$C$1508)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2">
        <f>IF(AND(CROQUIS_DATOS!$C$1472=1,CROQUIS_DATOS!$C$1512&gt;0,((CROQUIS_DATOS!$C$1511+CROQUIS_DATOS!$C$1512))-(CROQUIS_DATOS!$C$1511)&gt;0.5,(CROQUIS_DATOS!$C$1476)-(0)&gt;0.5),(CROQUIS_DATOS!$C$1566+(IF(IF(MOD(MIN(INT(($A92-1)/2)+1,MAX(1,INT(((((CROQUIS_DATOS!$C$1511+CROQUIS_DATOS!$C$1512))-(CROQUIS_DATOS!$C$1511))+((CROQUIS_DATOS!$C$1476)*CROQUIS_DATOS!$C$1561-(0)*CROQUIS_DATOS!$C$1561))/CROQUIS_DATOS!$C$1568-0.000001))),2)=1,IF(INT(($A92-1)/2)+1&gt;MAX(1,INT(((((CROQUIS_DATOS!$C$1511+CROQUIS_DATOS!$C$1512))-(CROQUIS_DATOS!$C$1511))+((CROQUIS_DATOS!$C$1476)*CROQUIS_DATOS!$C$1561-(0)*CROQUIS_DATOS!$C$1561))/CROQUIS_DATOS!$C$1568-0.000001)),1,MOD($A92-1,2)),1-IF(INT(($A92-1)/2)+1&gt;MAX(1,INT(((((CROQUIS_DATOS!$C$1511+CROQUIS_DATOS!$C$1512))-(CROQUIS_DATOS!$C$1511))+((CROQUIS_DATOS!$C$1476)*CROQUIS_DATOS!$C$1561-(0)*CROQUIS_DATOS!$C$1561))/CROQUIS_DATOS!$C$1568-0.000001)),1,MOD($A92-1,2)))=1,MIN((CROQUIS_DATOS!$C$1476)*CROQUIS_DATOS!$C$1561,((CROQUIS_DATOS!$C$1511+CROQUIS_DATOS!$C$1512)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2">
        <f>IF(AND(CROQUIS_DATOS!$C$1472=1,CROQUIS_DATOS!$C$1512&gt;0,((CROQUIS_DATOS!$C$1511+CROQUIS_DATOS!$C$1512))-(CROQUIS_DATOS!$C$1511)&gt;0.5,(CROQUIS_DATOS!$C$1476)-(0)&gt;0.5),(CROQUIS_DATOS!$C$1567+(IF(IF(MOD(MIN(INT(($A92-1)/2)+1,MAX(1,INT(((((CROQUIS_DATOS!$C$1511+CROQUIS_DATOS!$C$1512))-(CROQUIS_DATOS!$C$1511))+((CROQUIS_DATOS!$C$1476)*CROQUIS_DATOS!$C$1561-(0)*CROQUIS_DATOS!$C$1561))/CROQUIS_DATOS!$C$1568-0.000001))),2)=1,IF(INT(($A92-1)/2)+1&gt;MAX(1,INT(((((CROQUIS_DATOS!$C$1511+CROQUIS_DATOS!$C$1512))-(CROQUIS_DATOS!$C$1511))+((CROQUIS_DATOS!$C$1476)*CROQUIS_DATOS!$C$1561-(0)*CROQUIS_DATOS!$C$1561))/CROQUIS_DATOS!$C$1568-0.000001)),1,MOD($A92-1,2)),1-IF(INT(($A92-1)/2)+1&gt;MAX(1,INT(((((CROQUIS_DATOS!$C$1511+CROQUIS_DATOS!$C$1512))-(CROQUIS_DATOS!$C$1511))+((CROQUIS_DATOS!$C$1476)*CROQUIS_DATOS!$C$1561-(0)*CROQUIS_DATOS!$C$1561))/CROQUIS_DATOS!$C$1568-0.000001)),1,MOD($A92-1,2)))=1,MIN((CROQUIS_DATOS!$C$1476)*CROQUIS_DATOS!$C$1561,((CROQUIS_DATOS!$C$1511+CROQUIS_DATOS!$C$1512)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2">
        <f>IF(AND(CROQUIS_DATOS!$C$1472=1,CROQUIS_DATOS!$C$1516&gt;0,((CROQUIS_DATOS!$C$1515+CROQUIS_DATOS!$C$1516))-(CROQUIS_DATOS!$C$1515)&gt;0.5,(CROQUIS_DATOS!$C$1476)-(0)&gt;0.5),(CROQUIS_DATOS!$C$1566+(IF(IF(MOD(MIN(INT(($A92-1)/2)+1,MAX(1,INT(((((CROQUIS_DATOS!$C$1515+CROQUIS_DATOS!$C$1516))-(CROQUIS_DATOS!$C$1515))+((CROQUIS_DATOS!$C$1476)*CROQUIS_DATOS!$C$1561-(0)*CROQUIS_DATOS!$C$1561))/CROQUIS_DATOS!$C$1568-0.000001))),2)=1,IF(INT(($A92-1)/2)+1&gt;MAX(1,INT(((((CROQUIS_DATOS!$C$1515+CROQUIS_DATOS!$C$1516))-(CROQUIS_DATOS!$C$1515))+((CROQUIS_DATOS!$C$1476)*CROQUIS_DATOS!$C$1561-(0)*CROQUIS_DATOS!$C$1561))/CROQUIS_DATOS!$C$1568-0.000001)),1,MOD($A92-1,2)),1-IF(INT(($A92-1)/2)+1&gt;MAX(1,INT(((((CROQUIS_DATOS!$C$1515+CROQUIS_DATOS!$C$1516))-(CROQUIS_DATOS!$C$1515))+((CROQUIS_DATOS!$C$1476)*CROQUIS_DATOS!$C$1561-(0)*CROQUIS_DATOS!$C$1561))/CROQUIS_DATOS!$C$1568-0.000001)),1,MOD($A92-1,2)))=1,MIN((CROQUIS_DATOS!$C$1476)*CROQUIS_DATOS!$C$1561,((CROQUIS_DATOS!$C$1515+CROQUIS_DATOS!$C$1516)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2">
        <f>IF(AND(CROQUIS_DATOS!$C$1472=1,CROQUIS_DATOS!$C$1516&gt;0,((CROQUIS_DATOS!$C$1515+CROQUIS_DATOS!$C$1516))-(CROQUIS_DATOS!$C$1515)&gt;0.5,(CROQUIS_DATOS!$C$1476)-(0)&gt;0.5),(CROQUIS_DATOS!$C$1567+(IF(IF(MOD(MIN(INT(($A92-1)/2)+1,MAX(1,INT(((((CROQUIS_DATOS!$C$1515+CROQUIS_DATOS!$C$1516))-(CROQUIS_DATOS!$C$1515))+((CROQUIS_DATOS!$C$1476)*CROQUIS_DATOS!$C$1561-(0)*CROQUIS_DATOS!$C$1561))/CROQUIS_DATOS!$C$1568-0.000001))),2)=1,IF(INT(($A92-1)/2)+1&gt;MAX(1,INT(((((CROQUIS_DATOS!$C$1515+CROQUIS_DATOS!$C$1516))-(CROQUIS_DATOS!$C$1515))+((CROQUIS_DATOS!$C$1476)*CROQUIS_DATOS!$C$1561-(0)*CROQUIS_DATOS!$C$1561))/CROQUIS_DATOS!$C$1568-0.000001)),1,MOD($A92-1,2)),1-IF(INT(($A92-1)/2)+1&gt;MAX(1,INT(((((CROQUIS_DATOS!$C$1515+CROQUIS_DATOS!$C$1516))-(CROQUIS_DATOS!$C$1515))+((CROQUIS_DATOS!$C$1476)*CROQUIS_DATOS!$C$1561-(0)*CROQUIS_DATOS!$C$1561))/CROQUIS_DATOS!$C$1568-0.000001)),1,MOD($A92-1,2)))=1,MIN((CROQUIS_DATOS!$C$1476)*CROQUIS_DATOS!$C$1561,((CROQUIS_DATOS!$C$1515+CROQUIS_DATOS!$C$1516)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2">
        <f>IF(AND(CROQUIS_DATOS!$C$1472=1,CROQUIS_DATOS!$C$1478&gt;=1,((CROQUIS_DATOS!$C$1479+CROQUIS_DATOS!$C$1480))-(CROQUIS_DATOS!$C$1479)&gt;0.5,(CROQUIS_DATOS!$C$1481)-(0)&gt;0.5),(CROQUIS_DATOS!$C$1566+(IF(IF(MOD(MIN(INT(($A92-1)/2)+1,MAX(1,INT(((((CROQUIS_DATOS!$C$1479+CROQUIS_DATOS!$C$1480))-(CROQUIS_DATOS!$C$1479))+((CROQUIS_DATOS!$C$1481)*CROQUIS_DATOS!$C$1561-(0)*CROQUIS_DATOS!$C$1561))/CROQUIS_DATOS!$C$1568-0.000001))),2)=1,IF(INT(($A92-1)/2)+1&gt;MAX(1,INT(((((CROQUIS_DATOS!$C$1479+CROQUIS_DATOS!$C$1480))-(CROQUIS_DATOS!$C$1479))+((CROQUIS_DATOS!$C$1481)*CROQUIS_DATOS!$C$1561-(0)*CROQUIS_DATOS!$C$1561))/CROQUIS_DATOS!$C$1568-0.000001)),1,MOD($A92-1,2)),1-IF(INT(($A92-1)/2)+1&gt;MAX(1,INT(((((CROQUIS_DATOS!$C$1479+CROQUIS_DATOS!$C$1480))-(CROQUIS_DATOS!$C$1479))+((CROQUIS_DATOS!$C$1481)*CROQUIS_DATOS!$C$1561-(0)*CROQUIS_DATOS!$C$1561))/CROQUIS_DATOS!$C$1568-0.000001)),1,MOD($A92-1,2)))=1,MIN((CROQUIS_DATOS!$C$1481)*CROQUIS_DATOS!$C$1561,((CROQUIS_DATOS!$C$1479+CROQUIS_DATOS!$C$1480)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2">
        <f>IF(AND(CROQUIS_DATOS!$C$1472=1,CROQUIS_DATOS!$C$1478&gt;=1,((CROQUIS_DATOS!$C$1479+CROQUIS_DATOS!$C$1480))-(CROQUIS_DATOS!$C$1479)&gt;0.5,(CROQUIS_DATOS!$C$1481)-(0)&gt;0.5),(CROQUIS_DATOS!$C$1567+(IF(IF(MOD(MIN(INT(($A92-1)/2)+1,MAX(1,INT(((((CROQUIS_DATOS!$C$1479+CROQUIS_DATOS!$C$1480))-(CROQUIS_DATOS!$C$1479))+((CROQUIS_DATOS!$C$1481)*CROQUIS_DATOS!$C$1561-(0)*CROQUIS_DATOS!$C$1561))/CROQUIS_DATOS!$C$1568-0.000001))),2)=1,IF(INT(($A92-1)/2)+1&gt;MAX(1,INT(((((CROQUIS_DATOS!$C$1479+CROQUIS_DATOS!$C$1480))-(CROQUIS_DATOS!$C$1479))+((CROQUIS_DATOS!$C$1481)*CROQUIS_DATOS!$C$1561-(0)*CROQUIS_DATOS!$C$1561))/CROQUIS_DATOS!$C$1568-0.000001)),1,MOD($A92-1,2)),1-IF(INT(($A92-1)/2)+1&gt;MAX(1,INT(((((CROQUIS_DATOS!$C$1479+CROQUIS_DATOS!$C$1480))-(CROQUIS_DATOS!$C$1479))+((CROQUIS_DATOS!$C$1481)*CROQUIS_DATOS!$C$1561-(0)*CROQUIS_DATOS!$C$1561))/CROQUIS_DATOS!$C$1568-0.000001)),1,MOD($A92-1,2)))=1,MIN((CROQUIS_DATOS!$C$1481)*CROQUIS_DATOS!$C$1561,((CROQUIS_DATOS!$C$1479+CROQUIS_DATOS!$C$1480)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2">
        <f>IF(AND(CROQUIS_DATOS!$C$1472=1,CROQUIS_DATOS!$C$1478&gt;=1,((CROQUIS_DATOS!$C$1479+CROQUIS_DATOS!$C$1480))-(CROQUIS_DATOS!$C$1479)&gt;0.5,(CROQUIS_DATOS!$C$1476)-((CROQUIS_DATOS!$C$1481+CROQUIS_DATOS!$C$1482))&gt;0.5),(CROQUIS_DATOS!$C$1566+(IF(IF(MOD(MIN(INT(($A92-1)/2)+1,MAX(1,INT(((((CROQUIS_DATOS!$C$1479+CROQUIS_DATOS!$C$1480))-(CROQUIS_DATOS!$C$1479))+((CROQUIS_DATOS!$C$1476)*CROQUIS_DATOS!$C$1561-((CROQUIS_DATOS!$C$1481+CROQUIS_DATOS!$C$1482))*CROQUIS_DATOS!$C$1561))/CROQUIS_DATOS!$C$1568-0.000001))),2)=1,IF(INT(($A92-1)/2)+1&gt;MAX(1,INT(((((CROQUIS_DATOS!$C$1479+CROQUIS_DATOS!$C$1480))-(CROQUIS_DATOS!$C$1479))+((CROQUIS_DATOS!$C$1476)*CROQUIS_DATOS!$C$1561-((CROQUIS_DATOS!$C$1481+CROQUIS_DATOS!$C$1482))*CROQUIS_DATOS!$C$1561))/CROQUIS_DATOS!$C$1568-0.000001)),1,MOD($A92-1,2)),1-IF(INT(($A92-1)/2)+1&gt;MAX(1,INT(((((CROQUIS_DATOS!$C$1479+CROQUIS_DATOS!$C$1480))-(CROQUIS_DATOS!$C$1479))+((CROQUIS_DATOS!$C$1476)*CROQUIS_DATOS!$C$1561-((CROQUIS_DATOS!$C$1481+CROQUIS_DATOS!$C$1482))*CROQUIS_DATOS!$C$1561))/CROQUIS_DATOS!$C$1568-0.000001)),1,MOD($A92-1,2)))=1,MIN((CROQUIS_DATOS!$C$1476)*CROQUIS_DATOS!$C$1561,((CROQUIS_DATOS!$C$1479+CROQUIS_DATOS!$C$1480)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2">
        <f>IF(AND(CROQUIS_DATOS!$C$1472=1,CROQUIS_DATOS!$C$1478&gt;=1,((CROQUIS_DATOS!$C$1479+CROQUIS_DATOS!$C$1480))-(CROQUIS_DATOS!$C$1479)&gt;0.5,(CROQUIS_DATOS!$C$1476)-((CROQUIS_DATOS!$C$1481+CROQUIS_DATOS!$C$1482))&gt;0.5),(CROQUIS_DATOS!$C$1567+(IF(IF(MOD(MIN(INT(($A92-1)/2)+1,MAX(1,INT(((((CROQUIS_DATOS!$C$1479+CROQUIS_DATOS!$C$1480))-(CROQUIS_DATOS!$C$1479))+((CROQUIS_DATOS!$C$1476)*CROQUIS_DATOS!$C$1561-((CROQUIS_DATOS!$C$1481+CROQUIS_DATOS!$C$1482))*CROQUIS_DATOS!$C$1561))/CROQUIS_DATOS!$C$1568-0.000001))),2)=1,IF(INT(($A92-1)/2)+1&gt;MAX(1,INT(((((CROQUIS_DATOS!$C$1479+CROQUIS_DATOS!$C$1480))-(CROQUIS_DATOS!$C$1479))+((CROQUIS_DATOS!$C$1476)*CROQUIS_DATOS!$C$1561-((CROQUIS_DATOS!$C$1481+CROQUIS_DATOS!$C$1482))*CROQUIS_DATOS!$C$1561))/CROQUIS_DATOS!$C$1568-0.000001)),1,MOD($A92-1,2)),1-IF(INT(($A92-1)/2)+1&gt;MAX(1,INT(((((CROQUIS_DATOS!$C$1479+CROQUIS_DATOS!$C$1480))-(CROQUIS_DATOS!$C$1479))+((CROQUIS_DATOS!$C$1476)*CROQUIS_DATOS!$C$1561-((CROQUIS_DATOS!$C$1481+CROQUIS_DATOS!$C$1482))*CROQUIS_DATOS!$C$1561))/CROQUIS_DATOS!$C$1568-0.000001)),1,MOD($A92-1,2)))=1,MIN((CROQUIS_DATOS!$C$1476)*CROQUIS_DATOS!$C$1561,((CROQUIS_DATOS!$C$1479+CROQUIS_DATOS!$C$1480)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2">
        <f>IF(AND(CROQUIS_DATOS!$C$1472=1,CROQUIS_DATOS!$C$1478&gt;=2,((CROQUIS_DATOS!$C$1484+CROQUIS_DATOS!$C$1485))-(CROQUIS_DATOS!$C$1484)&gt;0.5,(CROQUIS_DATOS!$C$1486)-(0)&gt;0.5),(CROQUIS_DATOS!$C$1566+(IF(IF(MOD(MIN(INT(($A92-1)/2)+1,MAX(1,INT(((((CROQUIS_DATOS!$C$1484+CROQUIS_DATOS!$C$1485))-(CROQUIS_DATOS!$C$1484))+((CROQUIS_DATOS!$C$1486)*CROQUIS_DATOS!$C$1561-(0)*CROQUIS_DATOS!$C$1561))/CROQUIS_DATOS!$C$1568-0.000001))),2)=1,IF(INT(($A92-1)/2)+1&gt;MAX(1,INT(((((CROQUIS_DATOS!$C$1484+CROQUIS_DATOS!$C$1485))-(CROQUIS_DATOS!$C$1484))+((CROQUIS_DATOS!$C$1486)*CROQUIS_DATOS!$C$1561-(0)*CROQUIS_DATOS!$C$1561))/CROQUIS_DATOS!$C$1568-0.000001)),1,MOD($A92-1,2)),1-IF(INT(($A92-1)/2)+1&gt;MAX(1,INT(((((CROQUIS_DATOS!$C$1484+CROQUIS_DATOS!$C$1485))-(CROQUIS_DATOS!$C$1484))+((CROQUIS_DATOS!$C$1486)*CROQUIS_DATOS!$C$1561-(0)*CROQUIS_DATOS!$C$1561))/CROQUIS_DATOS!$C$1568-0.000001)),1,MOD($A92-1,2)))=1,MIN((CROQUIS_DATOS!$C$1486)*CROQUIS_DATOS!$C$1561,((CROQUIS_DATOS!$C$1484+CROQUIS_DATOS!$C$1485)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2">
        <f>IF(AND(CROQUIS_DATOS!$C$1472=1,CROQUIS_DATOS!$C$1478&gt;=2,((CROQUIS_DATOS!$C$1484+CROQUIS_DATOS!$C$1485))-(CROQUIS_DATOS!$C$1484)&gt;0.5,(CROQUIS_DATOS!$C$1486)-(0)&gt;0.5),(CROQUIS_DATOS!$C$1567+(IF(IF(MOD(MIN(INT(($A92-1)/2)+1,MAX(1,INT(((((CROQUIS_DATOS!$C$1484+CROQUIS_DATOS!$C$1485))-(CROQUIS_DATOS!$C$1484))+((CROQUIS_DATOS!$C$1486)*CROQUIS_DATOS!$C$1561-(0)*CROQUIS_DATOS!$C$1561))/CROQUIS_DATOS!$C$1568-0.000001))),2)=1,IF(INT(($A92-1)/2)+1&gt;MAX(1,INT(((((CROQUIS_DATOS!$C$1484+CROQUIS_DATOS!$C$1485))-(CROQUIS_DATOS!$C$1484))+((CROQUIS_DATOS!$C$1486)*CROQUIS_DATOS!$C$1561-(0)*CROQUIS_DATOS!$C$1561))/CROQUIS_DATOS!$C$1568-0.000001)),1,MOD($A92-1,2)),1-IF(INT(($A92-1)/2)+1&gt;MAX(1,INT(((((CROQUIS_DATOS!$C$1484+CROQUIS_DATOS!$C$1485))-(CROQUIS_DATOS!$C$1484))+((CROQUIS_DATOS!$C$1486)*CROQUIS_DATOS!$C$1561-(0)*CROQUIS_DATOS!$C$1561))/CROQUIS_DATOS!$C$1568-0.000001)),1,MOD($A92-1,2)))=1,MIN((CROQUIS_DATOS!$C$1486)*CROQUIS_DATOS!$C$1561,((CROQUIS_DATOS!$C$1484+CROQUIS_DATOS!$C$1485)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2">
        <f>IF(AND(CROQUIS_DATOS!$C$1472=1,CROQUIS_DATOS!$C$1478&gt;=2,((CROQUIS_DATOS!$C$1484+CROQUIS_DATOS!$C$1485))-(CROQUIS_DATOS!$C$1484)&gt;0.5,(CROQUIS_DATOS!$C$1476)-((CROQUIS_DATOS!$C$1486+CROQUIS_DATOS!$C$1487))&gt;0.5),(CROQUIS_DATOS!$C$1566+(IF(IF(MOD(MIN(INT(($A92-1)/2)+1,MAX(1,INT(((((CROQUIS_DATOS!$C$1484+CROQUIS_DATOS!$C$1485))-(CROQUIS_DATOS!$C$1484))+((CROQUIS_DATOS!$C$1476)*CROQUIS_DATOS!$C$1561-((CROQUIS_DATOS!$C$1486+CROQUIS_DATOS!$C$1487))*CROQUIS_DATOS!$C$1561))/CROQUIS_DATOS!$C$1568-0.000001))),2)=1,IF(INT(($A92-1)/2)+1&gt;MAX(1,INT(((((CROQUIS_DATOS!$C$1484+CROQUIS_DATOS!$C$1485))-(CROQUIS_DATOS!$C$1484))+((CROQUIS_DATOS!$C$1476)*CROQUIS_DATOS!$C$1561-((CROQUIS_DATOS!$C$1486+CROQUIS_DATOS!$C$1487))*CROQUIS_DATOS!$C$1561))/CROQUIS_DATOS!$C$1568-0.000001)),1,MOD($A92-1,2)),1-IF(INT(($A92-1)/2)+1&gt;MAX(1,INT(((((CROQUIS_DATOS!$C$1484+CROQUIS_DATOS!$C$1485))-(CROQUIS_DATOS!$C$1484))+((CROQUIS_DATOS!$C$1476)*CROQUIS_DATOS!$C$1561-((CROQUIS_DATOS!$C$1486+CROQUIS_DATOS!$C$1487))*CROQUIS_DATOS!$C$1561))/CROQUIS_DATOS!$C$1568-0.000001)),1,MOD($A92-1,2)))=1,MIN((CROQUIS_DATOS!$C$1476)*CROQUIS_DATOS!$C$1561,((CROQUIS_DATOS!$C$1484+CROQUIS_DATOS!$C$1485)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2">
        <f>IF(AND(CROQUIS_DATOS!$C$1472=1,CROQUIS_DATOS!$C$1478&gt;=2,((CROQUIS_DATOS!$C$1484+CROQUIS_DATOS!$C$1485))-(CROQUIS_DATOS!$C$1484)&gt;0.5,(CROQUIS_DATOS!$C$1476)-((CROQUIS_DATOS!$C$1486+CROQUIS_DATOS!$C$1487))&gt;0.5),(CROQUIS_DATOS!$C$1567+(IF(IF(MOD(MIN(INT(($A92-1)/2)+1,MAX(1,INT(((((CROQUIS_DATOS!$C$1484+CROQUIS_DATOS!$C$1485))-(CROQUIS_DATOS!$C$1484))+((CROQUIS_DATOS!$C$1476)*CROQUIS_DATOS!$C$1561-((CROQUIS_DATOS!$C$1486+CROQUIS_DATOS!$C$1487))*CROQUIS_DATOS!$C$1561))/CROQUIS_DATOS!$C$1568-0.000001))),2)=1,IF(INT(($A92-1)/2)+1&gt;MAX(1,INT(((((CROQUIS_DATOS!$C$1484+CROQUIS_DATOS!$C$1485))-(CROQUIS_DATOS!$C$1484))+((CROQUIS_DATOS!$C$1476)*CROQUIS_DATOS!$C$1561-((CROQUIS_DATOS!$C$1486+CROQUIS_DATOS!$C$1487))*CROQUIS_DATOS!$C$1561))/CROQUIS_DATOS!$C$1568-0.000001)),1,MOD($A92-1,2)),1-IF(INT(($A92-1)/2)+1&gt;MAX(1,INT(((((CROQUIS_DATOS!$C$1484+CROQUIS_DATOS!$C$1485))-(CROQUIS_DATOS!$C$1484))+((CROQUIS_DATOS!$C$1476)*CROQUIS_DATOS!$C$1561-((CROQUIS_DATOS!$C$1486+CROQUIS_DATOS!$C$1487))*CROQUIS_DATOS!$C$1561))/CROQUIS_DATOS!$C$1568-0.000001)),1,MOD($A92-1,2)))=1,MIN((CROQUIS_DATOS!$C$1476)*CROQUIS_DATOS!$C$1561,((CROQUIS_DATOS!$C$1484+CROQUIS_DATOS!$C$1485)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2">
        <f>IF(AND(CROQUIS_DATOS!$C$1472=1,CROQUIS_DATOS!$C$1478&gt;=3,((CROQUIS_DATOS!$C$1489+CROQUIS_DATOS!$C$1490))-(CROQUIS_DATOS!$C$1489)&gt;0.5,(CROQUIS_DATOS!$C$1491)-(0)&gt;0.5),(CROQUIS_DATOS!$C$1566+(IF(IF(MOD(MIN(INT(($A92-1)/2)+1,MAX(1,INT(((((CROQUIS_DATOS!$C$1489+CROQUIS_DATOS!$C$1490))-(CROQUIS_DATOS!$C$1489))+((CROQUIS_DATOS!$C$1491)*CROQUIS_DATOS!$C$1561-(0)*CROQUIS_DATOS!$C$1561))/CROQUIS_DATOS!$C$1568-0.000001))),2)=1,IF(INT(($A92-1)/2)+1&gt;MAX(1,INT(((((CROQUIS_DATOS!$C$1489+CROQUIS_DATOS!$C$1490))-(CROQUIS_DATOS!$C$1489))+((CROQUIS_DATOS!$C$1491)*CROQUIS_DATOS!$C$1561-(0)*CROQUIS_DATOS!$C$1561))/CROQUIS_DATOS!$C$1568-0.000001)),1,MOD($A92-1,2)),1-IF(INT(($A92-1)/2)+1&gt;MAX(1,INT(((((CROQUIS_DATOS!$C$1489+CROQUIS_DATOS!$C$1490))-(CROQUIS_DATOS!$C$1489))+((CROQUIS_DATOS!$C$1491)*CROQUIS_DATOS!$C$1561-(0)*CROQUIS_DATOS!$C$1561))/CROQUIS_DATOS!$C$1568-0.000001)),1,MOD($A92-1,2)))=1,MIN((CROQUIS_DATOS!$C$1491)*CROQUIS_DATOS!$C$1561,((CROQUIS_DATOS!$C$1489+CROQUIS_DATOS!$C$1490)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2">
        <f>IF(AND(CROQUIS_DATOS!$C$1472=1,CROQUIS_DATOS!$C$1478&gt;=3,((CROQUIS_DATOS!$C$1489+CROQUIS_DATOS!$C$1490))-(CROQUIS_DATOS!$C$1489)&gt;0.5,(CROQUIS_DATOS!$C$1491)-(0)&gt;0.5),(CROQUIS_DATOS!$C$1567+(IF(IF(MOD(MIN(INT(($A92-1)/2)+1,MAX(1,INT(((((CROQUIS_DATOS!$C$1489+CROQUIS_DATOS!$C$1490))-(CROQUIS_DATOS!$C$1489))+((CROQUIS_DATOS!$C$1491)*CROQUIS_DATOS!$C$1561-(0)*CROQUIS_DATOS!$C$1561))/CROQUIS_DATOS!$C$1568-0.000001))),2)=1,IF(INT(($A92-1)/2)+1&gt;MAX(1,INT(((((CROQUIS_DATOS!$C$1489+CROQUIS_DATOS!$C$1490))-(CROQUIS_DATOS!$C$1489))+((CROQUIS_DATOS!$C$1491)*CROQUIS_DATOS!$C$1561-(0)*CROQUIS_DATOS!$C$1561))/CROQUIS_DATOS!$C$1568-0.000001)),1,MOD($A92-1,2)),1-IF(INT(($A92-1)/2)+1&gt;MAX(1,INT(((((CROQUIS_DATOS!$C$1489+CROQUIS_DATOS!$C$1490))-(CROQUIS_DATOS!$C$1489))+((CROQUIS_DATOS!$C$1491)*CROQUIS_DATOS!$C$1561-(0)*CROQUIS_DATOS!$C$1561))/CROQUIS_DATOS!$C$1568-0.000001)),1,MOD($A92-1,2)))=1,MIN((CROQUIS_DATOS!$C$1491)*CROQUIS_DATOS!$C$1561,((CROQUIS_DATOS!$C$1489+CROQUIS_DATOS!$C$1490)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2">
        <f>IF(AND(CROQUIS_DATOS!$C$1472=1,CROQUIS_DATOS!$C$1478&gt;=3,((CROQUIS_DATOS!$C$1489+CROQUIS_DATOS!$C$1490))-(CROQUIS_DATOS!$C$1489)&gt;0.5,(CROQUIS_DATOS!$C$1476)-((CROQUIS_DATOS!$C$1491+CROQUIS_DATOS!$C$1492))&gt;0.5),(CROQUIS_DATOS!$C$1566+(IF(IF(MOD(MIN(INT(($A92-1)/2)+1,MAX(1,INT(((((CROQUIS_DATOS!$C$1489+CROQUIS_DATOS!$C$1490))-(CROQUIS_DATOS!$C$1489))+((CROQUIS_DATOS!$C$1476)*CROQUIS_DATOS!$C$1561-((CROQUIS_DATOS!$C$1491+CROQUIS_DATOS!$C$1492))*CROQUIS_DATOS!$C$1561))/CROQUIS_DATOS!$C$1568-0.000001))),2)=1,IF(INT(($A92-1)/2)+1&gt;MAX(1,INT(((((CROQUIS_DATOS!$C$1489+CROQUIS_DATOS!$C$1490))-(CROQUIS_DATOS!$C$1489))+((CROQUIS_DATOS!$C$1476)*CROQUIS_DATOS!$C$1561-((CROQUIS_DATOS!$C$1491+CROQUIS_DATOS!$C$1492))*CROQUIS_DATOS!$C$1561))/CROQUIS_DATOS!$C$1568-0.000001)),1,MOD($A92-1,2)),1-IF(INT(($A92-1)/2)+1&gt;MAX(1,INT(((((CROQUIS_DATOS!$C$1489+CROQUIS_DATOS!$C$1490))-(CROQUIS_DATOS!$C$1489))+((CROQUIS_DATOS!$C$1476)*CROQUIS_DATOS!$C$1561-((CROQUIS_DATOS!$C$1491+CROQUIS_DATOS!$C$1492))*CROQUIS_DATOS!$C$1561))/CROQUIS_DATOS!$C$1568-0.000001)),1,MOD($A92-1,2)))=1,MIN((CROQUIS_DATOS!$C$1476)*CROQUIS_DATOS!$C$1561,((CROQUIS_DATOS!$C$1489+CROQUIS_DATOS!$C$1490)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2">
        <f>IF(AND(CROQUIS_DATOS!$C$1472=1,CROQUIS_DATOS!$C$1478&gt;=3,((CROQUIS_DATOS!$C$1489+CROQUIS_DATOS!$C$1490))-(CROQUIS_DATOS!$C$1489)&gt;0.5,(CROQUIS_DATOS!$C$1476)-((CROQUIS_DATOS!$C$1491+CROQUIS_DATOS!$C$1492))&gt;0.5),(CROQUIS_DATOS!$C$1567+(IF(IF(MOD(MIN(INT(($A92-1)/2)+1,MAX(1,INT(((((CROQUIS_DATOS!$C$1489+CROQUIS_DATOS!$C$1490))-(CROQUIS_DATOS!$C$1489))+((CROQUIS_DATOS!$C$1476)*CROQUIS_DATOS!$C$1561-((CROQUIS_DATOS!$C$1491+CROQUIS_DATOS!$C$1492))*CROQUIS_DATOS!$C$1561))/CROQUIS_DATOS!$C$1568-0.000001))),2)=1,IF(INT(($A92-1)/2)+1&gt;MAX(1,INT(((((CROQUIS_DATOS!$C$1489+CROQUIS_DATOS!$C$1490))-(CROQUIS_DATOS!$C$1489))+((CROQUIS_DATOS!$C$1476)*CROQUIS_DATOS!$C$1561-((CROQUIS_DATOS!$C$1491+CROQUIS_DATOS!$C$1492))*CROQUIS_DATOS!$C$1561))/CROQUIS_DATOS!$C$1568-0.000001)),1,MOD($A92-1,2)),1-IF(INT(($A92-1)/2)+1&gt;MAX(1,INT(((((CROQUIS_DATOS!$C$1489+CROQUIS_DATOS!$C$1490))-(CROQUIS_DATOS!$C$1489))+((CROQUIS_DATOS!$C$1476)*CROQUIS_DATOS!$C$1561-((CROQUIS_DATOS!$C$1491+CROQUIS_DATOS!$C$1492))*CROQUIS_DATOS!$C$1561))/CROQUIS_DATOS!$C$1568-0.000001)),1,MOD($A92-1,2)))=1,MIN((CROQUIS_DATOS!$C$1476)*CROQUIS_DATOS!$C$1561,((CROQUIS_DATOS!$C$1489+CROQUIS_DATOS!$C$1490)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2">
        <f>IF(AND(CROQUIS_DATOS!$C$1472=1,CROQUIS_DATOS!$C$1478&gt;=4,((CROQUIS_DATOS!$C$1494+CROQUIS_DATOS!$C$1495))-(CROQUIS_DATOS!$C$1494)&gt;0.5,(CROQUIS_DATOS!$C$1496)-(0)&gt;0.5),(CROQUIS_DATOS!$C$1566+(IF(IF(MOD(MIN(INT(($A92-1)/2)+1,MAX(1,INT(((((CROQUIS_DATOS!$C$1494+CROQUIS_DATOS!$C$1495))-(CROQUIS_DATOS!$C$1494))+((CROQUIS_DATOS!$C$1496)*CROQUIS_DATOS!$C$1561-(0)*CROQUIS_DATOS!$C$1561))/CROQUIS_DATOS!$C$1568-0.000001))),2)=1,IF(INT(($A92-1)/2)+1&gt;MAX(1,INT(((((CROQUIS_DATOS!$C$1494+CROQUIS_DATOS!$C$1495))-(CROQUIS_DATOS!$C$1494))+((CROQUIS_DATOS!$C$1496)*CROQUIS_DATOS!$C$1561-(0)*CROQUIS_DATOS!$C$1561))/CROQUIS_DATOS!$C$1568-0.000001)),1,MOD($A92-1,2)),1-IF(INT(($A92-1)/2)+1&gt;MAX(1,INT(((((CROQUIS_DATOS!$C$1494+CROQUIS_DATOS!$C$1495))-(CROQUIS_DATOS!$C$1494))+((CROQUIS_DATOS!$C$1496)*CROQUIS_DATOS!$C$1561-(0)*CROQUIS_DATOS!$C$1561))/CROQUIS_DATOS!$C$1568-0.000001)),1,MOD($A92-1,2)))=1,MIN((CROQUIS_DATOS!$C$1496)*CROQUIS_DATOS!$C$1561,((CROQUIS_DATOS!$C$1494+CROQUIS_DATOS!$C$1495)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2">
        <f>IF(AND(CROQUIS_DATOS!$C$1472=1,CROQUIS_DATOS!$C$1478&gt;=4,((CROQUIS_DATOS!$C$1494+CROQUIS_DATOS!$C$1495))-(CROQUIS_DATOS!$C$1494)&gt;0.5,(CROQUIS_DATOS!$C$1496)-(0)&gt;0.5),(CROQUIS_DATOS!$C$1567+(IF(IF(MOD(MIN(INT(($A92-1)/2)+1,MAX(1,INT(((((CROQUIS_DATOS!$C$1494+CROQUIS_DATOS!$C$1495))-(CROQUIS_DATOS!$C$1494))+((CROQUIS_DATOS!$C$1496)*CROQUIS_DATOS!$C$1561-(0)*CROQUIS_DATOS!$C$1561))/CROQUIS_DATOS!$C$1568-0.000001))),2)=1,IF(INT(($A92-1)/2)+1&gt;MAX(1,INT(((((CROQUIS_DATOS!$C$1494+CROQUIS_DATOS!$C$1495))-(CROQUIS_DATOS!$C$1494))+((CROQUIS_DATOS!$C$1496)*CROQUIS_DATOS!$C$1561-(0)*CROQUIS_DATOS!$C$1561))/CROQUIS_DATOS!$C$1568-0.000001)),1,MOD($A92-1,2)),1-IF(INT(($A92-1)/2)+1&gt;MAX(1,INT(((((CROQUIS_DATOS!$C$1494+CROQUIS_DATOS!$C$1495))-(CROQUIS_DATOS!$C$1494))+((CROQUIS_DATOS!$C$1496)*CROQUIS_DATOS!$C$1561-(0)*CROQUIS_DATOS!$C$1561))/CROQUIS_DATOS!$C$1568-0.000001)),1,MOD($A92-1,2)))=1,MIN((CROQUIS_DATOS!$C$1496)*CROQUIS_DATOS!$C$1561,((CROQUIS_DATOS!$C$1494+CROQUIS_DATOS!$C$1495)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2">
        <f>IF(AND(CROQUIS_DATOS!$C$1472=1,CROQUIS_DATOS!$C$1478&gt;=4,((CROQUIS_DATOS!$C$1494+CROQUIS_DATOS!$C$1495))-(CROQUIS_DATOS!$C$1494)&gt;0.5,(CROQUIS_DATOS!$C$1476)-((CROQUIS_DATOS!$C$1496+CROQUIS_DATOS!$C$1497))&gt;0.5),(CROQUIS_DATOS!$C$1566+(IF(IF(MOD(MIN(INT(($A92-1)/2)+1,MAX(1,INT(((((CROQUIS_DATOS!$C$1494+CROQUIS_DATOS!$C$1495))-(CROQUIS_DATOS!$C$1494))+((CROQUIS_DATOS!$C$1476)*CROQUIS_DATOS!$C$1561-((CROQUIS_DATOS!$C$1496+CROQUIS_DATOS!$C$1497))*CROQUIS_DATOS!$C$1561))/CROQUIS_DATOS!$C$1568-0.000001))),2)=1,IF(INT(($A92-1)/2)+1&gt;MAX(1,INT(((((CROQUIS_DATOS!$C$1494+CROQUIS_DATOS!$C$1495))-(CROQUIS_DATOS!$C$1494))+((CROQUIS_DATOS!$C$1476)*CROQUIS_DATOS!$C$1561-((CROQUIS_DATOS!$C$1496+CROQUIS_DATOS!$C$1497))*CROQUIS_DATOS!$C$1561))/CROQUIS_DATOS!$C$1568-0.000001)),1,MOD($A92-1,2)),1-IF(INT(($A92-1)/2)+1&gt;MAX(1,INT(((((CROQUIS_DATOS!$C$1494+CROQUIS_DATOS!$C$1495))-(CROQUIS_DATOS!$C$1494))+((CROQUIS_DATOS!$C$1476)*CROQUIS_DATOS!$C$1561-((CROQUIS_DATOS!$C$1496+CROQUIS_DATOS!$C$1497))*CROQUIS_DATOS!$C$1561))/CROQUIS_DATOS!$C$1568-0.000001)),1,MOD($A92-1,2)))=1,MIN((CROQUIS_DATOS!$C$1476)*CROQUIS_DATOS!$C$1561,((CROQUIS_DATOS!$C$1494+CROQUIS_DATOS!$C$1495)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2">
        <f>IF(AND(CROQUIS_DATOS!$C$1472=1,CROQUIS_DATOS!$C$1478&gt;=4,((CROQUIS_DATOS!$C$1494+CROQUIS_DATOS!$C$1495))-(CROQUIS_DATOS!$C$1494)&gt;0.5,(CROQUIS_DATOS!$C$1476)-((CROQUIS_DATOS!$C$1496+CROQUIS_DATOS!$C$1497))&gt;0.5),(CROQUIS_DATOS!$C$1567+(IF(IF(MOD(MIN(INT(($A92-1)/2)+1,MAX(1,INT(((((CROQUIS_DATOS!$C$1494+CROQUIS_DATOS!$C$1495))-(CROQUIS_DATOS!$C$1494))+((CROQUIS_DATOS!$C$1476)*CROQUIS_DATOS!$C$1561-((CROQUIS_DATOS!$C$1496+CROQUIS_DATOS!$C$1497))*CROQUIS_DATOS!$C$1561))/CROQUIS_DATOS!$C$1568-0.000001))),2)=1,IF(INT(($A92-1)/2)+1&gt;MAX(1,INT(((((CROQUIS_DATOS!$C$1494+CROQUIS_DATOS!$C$1495))-(CROQUIS_DATOS!$C$1494))+((CROQUIS_DATOS!$C$1476)*CROQUIS_DATOS!$C$1561-((CROQUIS_DATOS!$C$1496+CROQUIS_DATOS!$C$1497))*CROQUIS_DATOS!$C$1561))/CROQUIS_DATOS!$C$1568-0.000001)),1,MOD($A92-1,2)),1-IF(INT(($A92-1)/2)+1&gt;MAX(1,INT(((((CROQUIS_DATOS!$C$1494+CROQUIS_DATOS!$C$1495))-(CROQUIS_DATOS!$C$1494))+((CROQUIS_DATOS!$C$1476)*CROQUIS_DATOS!$C$1561-((CROQUIS_DATOS!$C$1496+CROQUIS_DATOS!$C$1497))*CROQUIS_DATOS!$C$1561))/CROQUIS_DATOS!$C$1568-0.000001)),1,MOD($A92-1,2)))=1,MIN((CROQUIS_DATOS!$C$1476)*CROQUIS_DATOS!$C$1561,((CROQUIS_DATOS!$C$1494+CROQUIS_DATOS!$C$1495)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3">
      <c r="A93" t="n">
        <v>86</v>
      </c>
      <c r="N93">
        <f>IF(AND(CROQUIS_DATOS!$C$1472=1,1),(CROQUIS_DATOS!$C$1563+(IF(IF(IF(INT(($A93-1)/70)+1&gt;CROQUIS_DATOS!$C$1525,70,MOD($A93-1,70)+1)=1,0,IF(IF(INT(($A93-1)/70)+1&gt;CROQUIS_DATOS!$C$1525,70,MOD($A93-1,70)+1)&gt;2*CROQUIS_DATOS!$C$1541+1,IF(MOD(CROQUIS_DATOS!$C$1541,2)=1,1,0),IF(MOD(MIN(INT((IF(INT(($A93-1)/70)+1&gt;CROQUIS_DATOS!$C$1525,70,MOD($A93-1,70)+1)-2)/2)+1,CROQUIS_DATOS!$C$1541),2)=1,IF(MOD(IF(INT(($A93-1)/70)+1&gt;CROQUIS_DATOS!$C$1525,70,MOD($A93-1,70)+1)-2,2)=0,0,1),IF(MOD(IF(INT(($A93-1)/70)+1&gt;CROQUIS_DATOS!$C$1525,70,MOD($A93-1,70)+1)-2,2)=0,1,0))))=0,(INDEX($E$8:$E$23,MIN(INT(($A93-1)/70)+1,CROQUIS_DATOS!$C$1525))-INDEX($F$8:$F$23,MIN(INT(($A93-1)/70)+1,CROQUIS_DATOS!$C$1525))/2),(INDEX($E$8:$E$23,MIN(INT(($A93-1)/70)+1,CROQUIS_DATOS!$C$1525))+INDEX($F$8:$F$23,MIN(INT(($A93-1)/70)+1,CROQUIS_DATOS!$C$1525))/2)))*CROQUIS_DATOS!$C$1562),-1000)</f>
        <v>20.6724137931034</v>
      </c>
      <c r="O93">
        <f>IF(AND(CROQUIS_DATOS!$C$1472=1,1),(CROQUIS_DATOS!$C$1564+(IF(OR(IF(INT(($A93-1)/70)+1&gt;CROQUIS_DATOS!$C$1525,70,MOD($A93-1,70)+1)=1,IF(INT(($A93-1)/70)+1&gt;CROQUIS_DATOS!$C$1525,70,MOD($A93-1,70)+1)&gt;2*CROQUIS_DATOS!$C$1541+1),CROQUIS_DATOS!$C$1476,INDEX($H$8:$H$41,MIN(INT((IF(INT(($A93-1)/70)+1&gt;CROQUIS_DATOS!$C$1525,70,MOD($A93-1,70)+1)-2)/2)+1,CROQUIS_DATOS!$C$1541))))*CROQUIS_DATOS!$C$1561*CROQUIS_DATOS!$C$1562),-1000)</f>
        <v>18.676724137931</v>
      </c>
      <c r="P93">
        <f>IF(AND(CROQUIS_DATOS!$C$1472=1,CROQUIS_DATOS!$C$1555=1),(CROQUIS_DATOS!$C$1563+(IF(IF(OR(MOD($A93-1,62)+1=1,IF(CHOOSE(MIN(MAX(MIN(INT(($A93-1)/62)+1,5),1),5),CROQUIS_DATOS!$C$1501,CROQUIS_DATOS!$C$1505,CROQUIS_DATOS!$C$1509,CROQUIS_DATOS!$C$1513,CROQUIS_DATOS!$C$1517)=1,CROQUIS_DATOS!$C$1557,0)=0),0,IF(MOD($A93-1,62)+1&gt;2*IF(CHOOSE(MIN(MAX(MIN(INT(($A93-1)/62)+1,5),1),5),CROQUIS_DATOS!$C$1501,CROQUIS_DATOS!$C$1505,CROQUIS_DATOS!$C$1509,CROQUIS_DATOS!$C$1513,CROQUIS_DATOS!$C$1517)=1,CROQUIS_DATOS!$C$1557,0)+1,IF(MOD(IF(CHOOSE(MIN(MAX(MIN(INT(($A93-1)/62)+1,5),1),5),CROQUIS_DATOS!$C$1501,CROQUIS_DATOS!$C$1505,CROQUIS_DATOS!$C$1509,CROQUIS_DATOS!$C$1513,CROQUIS_DATOS!$C$1517)=1,CROQUIS_DATOS!$C$1557,0),2)=1,1,0),IF(MOD(MIN(INT((MOD($A93-1,62)+1-2)/2)+1,MAX(IF(CHOOSE(MIN(MAX(MIN(INT(($A93-1)/62)+1,5),1),5),CROQUIS_DATOS!$C$1501,CROQUIS_DATOS!$C$1505,CROQUIS_DATOS!$C$1509,CROQUIS_DATOS!$C$1513,CROQUIS_DATOS!$C$1517)=1,CROQUIS_DATOS!$C$1557,0),1)),2)=1,IF(MOD(MOD($A93-1,62)+1-2,2)=0,0,1),IF(MOD(MOD($A93-1,62)+1-2,2)=0,1,0))))=0,(CHOOSE(MIN(MAX(MIN(INT(($A93-1)/62)+1,5),1),5),CROQUIS_DATOS!$C$1499,CROQUIS_DATOS!$C$1503,CROQUIS_DATOS!$C$1507,CROQUIS_DATOS!$C$1511,CROQUIS_DATOS!$C$1515)+IF(CHOOSE(MIN(MAX(MIN(INT(($A93-1)/62)+1,5),1),5),CROQUIS_DATOS!$C$1501,CROQUIS_DATOS!$C$1505,CROQUIS_DATOS!$C$1509,CROQUIS_DATOS!$C$1513,CROQUIS_DATOS!$C$1517)=1,CROQUIS_DATOS!$C$1526,0)),(CHOOSE(MIN(MAX(MIN(INT(($A93-1)/62)+1,5),1),5),CROQUIS_DATOS!$C$1499,CROQUIS_DATOS!$C$1503,CROQUIS_DATOS!$C$1507,CROQUIS_DATOS!$C$1511,CROQUIS_DATOS!$C$1515)+CHOOSE(MIN(MAX(MIN(INT(($A93-1)/62)+1,5),1),5),CROQUIS_DATOS!$C$1500,CROQUIS_DATOS!$C$1504,CROQUIS_DATOS!$C$1508,CROQUIS_DATOS!$C$1512,CROQUIS_DATOS!$C$1516)-IF(CHOOSE(MIN(MAX(MIN(INT(($A93-1)/62)+1,5),1),5),CROQUIS_DATOS!$C$1501,CROQUIS_DATOS!$C$1505,CROQUIS_DATOS!$C$1509,CROQUIS_DATOS!$C$1513,CROQUIS_DATOS!$C$1517)=1,CROQUIS_DATOS!$C$1526,0))))*CROQUIS_DATOS!$C$1562),-1000)</f>
        <v>-1000</v>
      </c>
      <c r="Q93">
        <f>IF(AND(CROQUIS_DATOS!$C$1472=1,CROQUIS_DATOS!$C$1555=1),(CROQUIS_DATOS!$C$1564+(IF(OR(OR(MOD($A93-1,62)+1=1,IF(CHOOSE(MIN(MAX(MIN(INT(($A93-1)/62)+1,5),1),5),CROQUIS_DATOS!$C$1501,CROQUIS_DATOS!$C$1505,CROQUIS_DATOS!$C$1509,CROQUIS_DATOS!$C$1513,CROQUIS_DATOS!$C$1517)=1,CROQUIS_DATOS!$C$1557,0)=0),MOD($A93-1,62)+1&gt;2*IF(CHOOSE(MIN(MAX(MIN(INT(($A93-1)/62)+1,5),1),5),CROQUIS_DATOS!$C$1501,CROQUIS_DATOS!$C$1505,CROQUIS_DATOS!$C$1509,CROQUIS_DATOS!$C$1513,CROQUIS_DATOS!$C$1517)=1,CROQUIS_DATOS!$C$1557,0)+1),CROQUIS_DATOS!$C$1476,MIN(INT((MOD($A93-1,62)+1-2)/2)+1,MAX(IF(CHOOSE(MIN(MAX(MIN(INT(($A93-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3">
        <f>IF(AND(CROQUIS_DATOS!$C$1472=1,1),(CROQUIS_DATOS!$C$1563+(MIN(INT(($A93-1)/2)+1,CROQUIS_DATOS!$C$1558)*CROQUIS_DATOS!$C$1559)*CROQUIS_DATOS!$C$1562),-1000)</f>
        <v>82.2281167108753</v>
      </c>
      <c r="U93">
        <f>IF(AND(CROQUIS_DATOS!$C$1472=1,1),(CROQUIS_DATOS!$C$1564+(IF(INT(($A93-1)/2)+1&gt;CROQUIS_DATOS!$C$1558,IF(MOD(CROQUIS_DATOS!$C$1558,2)=1,CROQUIS_DATOS!$C$1476+CROQUIS_DATOS!$C$1528,CROQUIS_DATOS!$C$1476),IF(IF(MOD(MIN(INT(($A93-1)/2)+1,CROQUIS_DATOS!$C$1558),2)=1,MOD($A93-1,2),1-MOD($A93-1,2))=1,CROQUIS_DATOS!$C$1476+CROQUIS_DATOS!$C$1528,CROQUIS_DATOS!$C$1476)))*CROQUIS_DATOS!$C$1561*CROQUIS_DATOS!$C$1562),-1000)</f>
        <v>43</v>
      </c>
      <c r="BZ93">
        <f>IF(AND(CROQUIS_DATOS!$C$1472=1,CROQUIS_DATOS!$C$1500&gt;0,((CROQUIS_DATOS!$C$1499+CROQUIS_DATOS!$C$1500))-(CROQUIS_DATOS!$C$1499)&gt;0.5,(CROQUIS_DATOS!$C$1476)-(0)&gt;0.5),(CROQUIS_DATOS!$C$1566+(IF(IF(MOD(MIN(INT(($A93-1)/2)+1,MAX(1,INT(((((CROQUIS_DATOS!$C$1499+CROQUIS_DATOS!$C$1500))-(CROQUIS_DATOS!$C$1499))+((CROQUIS_DATOS!$C$1476)*CROQUIS_DATOS!$C$1561-(0)*CROQUIS_DATOS!$C$1561))/CROQUIS_DATOS!$C$1568-0.000001))),2)=1,IF(INT(($A93-1)/2)+1&gt;MAX(1,INT(((((CROQUIS_DATOS!$C$1499+CROQUIS_DATOS!$C$1500))-(CROQUIS_DATOS!$C$1499))+((CROQUIS_DATOS!$C$1476)*CROQUIS_DATOS!$C$1561-(0)*CROQUIS_DATOS!$C$1561))/CROQUIS_DATOS!$C$1568-0.000001)),1,MOD($A93-1,2)),1-IF(INT(($A93-1)/2)+1&gt;MAX(1,INT(((((CROQUIS_DATOS!$C$1499+CROQUIS_DATOS!$C$1500))-(CROQUIS_DATOS!$C$1499))+((CROQUIS_DATOS!$C$1476)*CROQUIS_DATOS!$C$1561-(0)*CROQUIS_DATOS!$C$1561))/CROQUIS_DATOS!$C$1568-0.000001)),1,MOD($A93-1,2)))=1,MIN((CROQUIS_DATOS!$C$1476)*CROQUIS_DATOS!$C$1561,((CROQUIS_DATOS!$C$1499+CROQUIS_DATOS!$C$1500)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3">
        <f>IF(AND(CROQUIS_DATOS!$C$1472=1,CROQUIS_DATOS!$C$1500&gt;0,((CROQUIS_DATOS!$C$1499+CROQUIS_DATOS!$C$1500))-(CROQUIS_DATOS!$C$1499)&gt;0.5,(CROQUIS_DATOS!$C$1476)-(0)&gt;0.5),(CROQUIS_DATOS!$C$1567+(IF(IF(MOD(MIN(INT(($A93-1)/2)+1,MAX(1,INT(((((CROQUIS_DATOS!$C$1499+CROQUIS_DATOS!$C$1500))-(CROQUIS_DATOS!$C$1499))+((CROQUIS_DATOS!$C$1476)*CROQUIS_DATOS!$C$1561-(0)*CROQUIS_DATOS!$C$1561))/CROQUIS_DATOS!$C$1568-0.000001))),2)=1,IF(INT(($A93-1)/2)+1&gt;MAX(1,INT(((((CROQUIS_DATOS!$C$1499+CROQUIS_DATOS!$C$1500))-(CROQUIS_DATOS!$C$1499))+((CROQUIS_DATOS!$C$1476)*CROQUIS_DATOS!$C$1561-(0)*CROQUIS_DATOS!$C$1561))/CROQUIS_DATOS!$C$1568-0.000001)),1,MOD($A93-1,2)),1-IF(INT(($A93-1)/2)+1&gt;MAX(1,INT(((((CROQUIS_DATOS!$C$1499+CROQUIS_DATOS!$C$1500))-(CROQUIS_DATOS!$C$1499))+((CROQUIS_DATOS!$C$1476)*CROQUIS_DATOS!$C$1561-(0)*CROQUIS_DATOS!$C$1561))/CROQUIS_DATOS!$C$1568-0.000001)),1,MOD($A93-1,2)))=1,MIN((CROQUIS_DATOS!$C$1476)*CROQUIS_DATOS!$C$1561,((CROQUIS_DATOS!$C$1499+CROQUIS_DATOS!$C$1500)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3">
        <f>IF(AND(CROQUIS_DATOS!$C$1472=1,CROQUIS_DATOS!$C$1504&gt;0,((CROQUIS_DATOS!$C$1503+CROQUIS_DATOS!$C$1504))-(CROQUIS_DATOS!$C$1503)&gt;0.5,(CROQUIS_DATOS!$C$1476)-(0)&gt;0.5),(CROQUIS_DATOS!$C$1566+(IF(IF(MOD(MIN(INT(($A93-1)/2)+1,MAX(1,INT(((((CROQUIS_DATOS!$C$1503+CROQUIS_DATOS!$C$1504))-(CROQUIS_DATOS!$C$1503))+((CROQUIS_DATOS!$C$1476)*CROQUIS_DATOS!$C$1561-(0)*CROQUIS_DATOS!$C$1561))/CROQUIS_DATOS!$C$1568-0.000001))),2)=1,IF(INT(($A93-1)/2)+1&gt;MAX(1,INT(((((CROQUIS_DATOS!$C$1503+CROQUIS_DATOS!$C$1504))-(CROQUIS_DATOS!$C$1503))+((CROQUIS_DATOS!$C$1476)*CROQUIS_DATOS!$C$1561-(0)*CROQUIS_DATOS!$C$1561))/CROQUIS_DATOS!$C$1568-0.000001)),1,MOD($A93-1,2)),1-IF(INT(($A93-1)/2)+1&gt;MAX(1,INT(((((CROQUIS_DATOS!$C$1503+CROQUIS_DATOS!$C$1504))-(CROQUIS_DATOS!$C$1503))+((CROQUIS_DATOS!$C$1476)*CROQUIS_DATOS!$C$1561-(0)*CROQUIS_DATOS!$C$1561))/CROQUIS_DATOS!$C$1568-0.000001)),1,MOD($A93-1,2)))=1,MIN((CROQUIS_DATOS!$C$1476)*CROQUIS_DATOS!$C$1561,((CROQUIS_DATOS!$C$1503+CROQUIS_DATOS!$C$1504)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3">
        <f>IF(AND(CROQUIS_DATOS!$C$1472=1,CROQUIS_DATOS!$C$1504&gt;0,((CROQUIS_DATOS!$C$1503+CROQUIS_DATOS!$C$1504))-(CROQUIS_DATOS!$C$1503)&gt;0.5,(CROQUIS_DATOS!$C$1476)-(0)&gt;0.5),(CROQUIS_DATOS!$C$1567+(IF(IF(MOD(MIN(INT(($A93-1)/2)+1,MAX(1,INT(((((CROQUIS_DATOS!$C$1503+CROQUIS_DATOS!$C$1504))-(CROQUIS_DATOS!$C$1503))+((CROQUIS_DATOS!$C$1476)*CROQUIS_DATOS!$C$1561-(0)*CROQUIS_DATOS!$C$1561))/CROQUIS_DATOS!$C$1568-0.000001))),2)=1,IF(INT(($A93-1)/2)+1&gt;MAX(1,INT(((((CROQUIS_DATOS!$C$1503+CROQUIS_DATOS!$C$1504))-(CROQUIS_DATOS!$C$1503))+((CROQUIS_DATOS!$C$1476)*CROQUIS_DATOS!$C$1561-(0)*CROQUIS_DATOS!$C$1561))/CROQUIS_DATOS!$C$1568-0.000001)),1,MOD($A93-1,2)),1-IF(INT(($A93-1)/2)+1&gt;MAX(1,INT(((((CROQUIS_DATOS!$C$1503+CROQUIS_DATOS!$C$1504))-(CROQUIS_DATOS!$C$1503))+((CROQUIS_DATOS!$C$1476)*CROQUIS_DATOS!$C$1561-(0)*CROQUIS_DATOS!$C$1561))/CROQUIS_DATOS!$C$1568-0.000001)),1,MOD($A93-1,2)))=1,MIN((CROQUIS_DATOS!$C$1476)*CROQUIS_DATOS!$C$1561,((CROQUIS_DATOS!$C$1503+CROQUIS_DATOS!$C$1504)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3">
        <f>IF(AND(CROQUIS_DATOS!$C$1472=1,CROQUIS_DATOS!$C$1508&gt;0,((CROQUIS_DATOS!$C$1507+CROQUIS_DATOS!$C$1508))-(CROQUIS_DATOS!$C$1507)&gt;0.5,(CROQUIS_DATOS!$C$1476)-(0)&gt;0.5),(CROQUIS_DATOS!$C$1566+(IF(IF(MOD(MIN(INT(($A93-1)/2)+1,MAX(1,INT(((((CROQUIS_DATOS!$C$1507+CROQUIS_DATOS!$C$1508))-(CROQUIS_DATOS!$C$1507))+((CROQUIS_DATOS!$C$1476)*CROQUIS_DATOS!$C$1561-(0)*CROQUIS_DATOS!$C$1561))/CROQUIS_DATOS!$C$1568-0.000001))),2)=1,IF(INT(($A93-1)/2)+1&gt;MAX(1,INT(((((CROQUIS_DATOS!$C$1507+CROQUIS_DATOS!$C$1508))-(CROQUIS_DATOS!$C$1507))+((CROQUIS_DATOS!$C$1476)*CROQUIS_DATOS!$C$1561-(0)*CROQUIS_DATOS!$C$1561))/CROQUIS_DATOS!$C$1568-0.000001)),1,MOD($A93-1,2)),1-IF(INT(($A93-1)/2)+1&gt;MAX(1,INT(((((CROQUIS_DATOS!$C$1507+CROQUIS_DATOS!$C$1508))-(CROQUIS_DATOS!$C$1507))+((CROQUIS_DATOS!$C$1476)*CROQUIS_DATOS!$C$1561-(0)*CROQUIS_DATOS!$C$1561))/CROQUIS_DATOS!$C$1568-0.000001)),1,MOD($A93-1,2)))=1,MIN((CROQUIS_DATOS!$C$1476)*CROQUIS_DATOS!$C$1561,((CROQUIS_DATOS!$C$1507+CROQUIS_DATOS!$C$1508)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3">
        <f>IF(AND(CROQUIS_DATOS!$C$1472=1,CROQUIS_DATOS!$C$1508&gt;0,((CROQUIS_DATOS!$C$1507+CROQUIS_DATOS!$C$1508))-(CROQUIS_DATOS!$C$1507)&gt;0.5,(CROQUIS_DATOS!$C$1476)-(0)&gt;0.5),(CROQUIS_DATOS!$C$1567+(IF(IF(MOD(MIN(INT(($A93-1)/2)+1,MAX(1,INT(((((CROQUIS_DATOS!$C$1507+CROQUIS_DATOS!$C$1508))-(CROQUIS_DATOS!$C$1507))+((CROQUIS_DATOS!$C$1476)*CROQUIS_DATOS!$C$1561-(0)*CROQUIS_DATOS!$C$1561))/CROQUIS_DATOS!$C$1568-0.000001))),2)=1,IF(INT(($A93-1)/2)+1&gt;MAX(1,INT(((((CROQUIS_DATOS!$C$1507+CROQUIS_DATOS!$C$1508))-(CROQUIS_DATOS!$C$1507))+((CROQUIS_DATOS!$C$1476)*CROQUIS_DATOS!$C$1561-(0)*CROQUIS_DATOS!$C$1561))/CROQUIS_DATOS!$C$1568-0.000001)),1,MOD($A93-1,2)),1-IF(INT(($A93-1)/2)+1&gt;MAX(1,INT(((((CROQUIS_DATOS!$C$1507+CROQUIS_DATOS!$C$1508))-(CROQUIS_DATOS!$C$1507))+((CROQUIS_DATOS!$C$1476)*CROQUIS_DATOS!$C$1561-(0)*CROQUIS_DATOS!$C$1561))/CROQUIS_DATOS!$C$1568-0.000001)),1,MOD($A93-1,2)))=1,MIN((CROQUIS_DATOS!$C$1476)*CROQUIS_DATOS!$C$1561,((CROQUIS_DATOS!$C$1507+CROQUIS_DATOS!$C$1508)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3">
        <f>IF(AND(CROQUIS_DATOS!$C$1472=1,CROQUIS_DATOS!$C$1512&gt;0,((CROQUIS_DATOS!$C$1511+CROQUIS_DATOS!$C$1512))-(CROQUIS_DATOS!$C$1511)&gt;0.5,(CROQUIS_DATOS!$C$1476)-(0)&gt;0.5),(CROQUIS_DATOS!$C$1566+(IF(IF(MOD(MIN(INT(($A93-1)/2)+1,MAX(1,INT(((((CROQUIS_DATOS!$C$1511+CROQUIS_DATOS!$C$1512))-(CROQUIS_DATOS!$C$1511))+((CROQUIS_DATOS!$C$1476)*CROQUIS_DATOS!$C$1561-(0)*CROQUIS_DATOS!$C$1561))/CROQUIS_DATOS!$C$1568-0.000001))),2)=1,IF(INT(($A93-1)/2)+1&gt;MAX(1,INT(((((CROQUIS_DATOS!$C$1511+CROQUIS_DATOS!$C$1512))-(CROQUIS_DATOS!$C$1511))+((CROQUIS_DATOS!$C$1476)*CROQUIS_DATOS!$C$1561-(0)*CROQUIS_DATOS!$C$1561))/CROQUIS_DATOS!$C$1568-0.000001)),1,MOD($A93-1,2)),1-IF(INT(($A93-1)/2)+1&gt;MAX(1,INT(((((CROQUIS_DATOS!$C$1511+CROQUIS_DATOS!$C$1512))-(CROQUIS_DATOS!$C$1511))+((CROQUIS_DATOS!$C$1476)*CROQUIS_DATOS!$C$1561-(0)*CROQUIS_DATOS!$C$1561))/CROQUIS_DATOS!$C$1568-0.000001)),1,MOD($A93-1,2)))=1,MIN((CROQUIS_DATOS!$C$1476)*CROQUIS_DATOS!$C$1561,((CROQUIS_DATOS!$C$1511+CROQUIS_DATOS!$C$1512)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3">
        <f>IF(AND(CROQUIS_DATOS!$C$1472=1,CROQUIS_DATOS!$C$1512&gt;0,((CROQUIS_DATOS!$C$1511+CROQUIS_DATOS!$C$1512))-(CROQUIS_DATOS!$C$1511)&gt;0.5,(CROQUIS_DATOS!$C$1476)-(0)&gt;0.5),(CROQUIS_DATOS!$C$1567+(IF(IF(MOD(MIN(INT(($A93-1)/2)+1,MAX(1,INT(((((CROQUIS_DATOS!$C$1511+CROQUIS_DATOS!$C$1512))-(CROQUIS_DATOS!$C$1511))+((CROQUIS_DATOS!$C$1476)*CROQUIS_DATOS!$C$1561-(0)*CROQUIS_DATOS!$C$1561))/CROQUIS_DATOS!$C$1568-0.000001))),2)=1,IF(INT(($A93-1)/2)+1&gt;MAX(1,INT(((((CROQUIS_DATOS!$C$1511+CROQUIS_DATOS!$C$1512))-(CROQUIS_DATOS!$C$1511))+((CROQUIS_DATOS!$C$1476)*CROQUIS_DATOS!$C$1561-(0)*CROQUIS_DATOS!$C$1561))/CROQUIS_DATOS!$C$1568-0.000001)),1,MOD($A93-1,2)),1-IF(INT(($A93-1)/2)+1&gt;MAX(1,INT(((((CROQUIS_DATOS!$C$1511+CROQUIS_DATOS!$C$1512))-(CROQUIS_DATOS!$C$1511))+((CROQUIS_DATOS!$C$1476)*CROQUIS_DATOS!$C$1561-(0)*CROQUIS_DATOS!$C$1561))/CROQUIS_DATOS!$C$1568-0.000001)),1,MOD($A93-1,2)))=1,MIN((CROQUIS_DATOS!$C$1476)*CROQUIS_DATOS!$C$1561,((CROQUIS_DATOS!$C$1511+CROQUIS_DATOS!$C$1512)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3">
        <f>IF(AND(CROQUIS_DATOS!$C$1472=1,CROQUIS_DATOS!$C$1516&gt;0,((CROQUIS_DATOS!$C$1515+CROQUIS_DATOS!$C$1516))-(CROQUIS_DATOS!$C$1515)&gt;0.5,(CROQUIS_DATOS!$C$1476)-(0)&gt;0.5),(CROQUIS_DATOS!$C$1566+(IF(IF(MOD(MIN(INT(($A93-1)/2)+1,MAX(1,INT(((((CROQUIS_DATOS!$C$1515+CROQUIS_DATOS!$C$1516))-(CROQUIS_DATOS!$C$1515))+((CROQUIS_DATOS!$C$1476)*CROQUIS_DATOS!$C$1561-(0)*CROQUIS_DATOS!$C$1561))/CROQUIS_DATOS!$C$1568-0.000001))),2)=1,IF(INT(($A93-1)/2)+1&gt;MAX(1,INT(((((CROQUIS_DATOS!$C$1515+CROQUIS_DATOS!$C$1516))-(CROQUIS_DATOS!$C$1515))+((CROQUIS_DATOS!$C$1476)*CROQUIS_DATOS!$C$1561-(0)*CROQUIS_DATOS!$C$1561))/CROQUIS_DATOS!$C$1568-0.000001)),1,MOD($A93-1,2)),1-IF(INT(($A93-1)/2)+1&gt;MAX(1,INT(((((CROQUIS_DATOS!$C$1515+CROQUIS_DATOS!$C$1516))-(CROQUIS_DATOS!$C$1515))+((CROQUIS_DATOS!$C$1476)*CROQUIS_DATOS!$C$1561-(0)*CROQUIS_DATOS!$C$1561))/CROQUIS_DATOS!$C$1568-0.000001)),1,MOD($A93-1,2)))=1,MIN((CROQUIS_DATOS!$C$1476)*CROQUIS_DATOS!$C$1561,((CROQUIS_DATOS!$C$1515+CROQUIS_DATOS!$C$1516)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3">
        <f>IF(AND(CROQUIS_DATOS!$C$1472=1,CROQUIS_DATOS!$C$1516&gt;0,((CROQUIS_DATOS!$C$1515+CROQUIS_DATOS!$C$1516))-(CROQUIS_DATOS!$C$1515)&gt;0.5,(CROQUIS_DATOS!$C$1476)-(0)&gt;0.5),(CROQUIS_DATOS!$C$1567+(IF(IF(MOD(MIN(INT(($A93-1)/2)+1,MAX(1,INT(((((CROQUIS_DATOS!$C$1515+CROQUIS_DATOS!$C$1516))-(CROQUIS_DATOS!$C$1515))+((CROQUIS_DATOS!$C$1476)*CROQUIS_DATOS!$C$1561-(0)*CROQUIS_DATOS!$C$1561))/CROQUIS_DATOS!$C$1568-0.000001))),2)=1,IF(INT(($A93-1)/2)+1&gt;MAX(1,INT(((((CROQUIS_DATOS!$C$1515+CROQUIS_DATOS!$C$1516))-(CROQUIS_DATOS!$C$1515))+((CROQUIS_DATOS!$C$1476)*CROQUIS_DATOS!$C$1561-(0)*CROQUIS_DATOS!$C$1561))/CROQUIS_DATOS!$C$1568-0.000001)),1,MOD($A93-1,2)),1-IF(INT(($A93-1)/2)+1&gt;MAX(1,INT(((((CROQUIS_DATOS!$C$1515+CROQUIS_DATOS!$C$1516))-(CROQUIS_DATOS!$C$1515))+((CROQUIS_DATOS!$C$1476)*CROQUIS_DATOS!$C$1561-(0)*CROQUIS_DATOS!$C$1561))/CROQUIS_DATOS!$C$1568-0.000001)),1,MOD($A93-1,2)))=1,MIN((CROQUIS_DATOS!$C$1476)*CROQUIS_DATOS!$C$1561,((CROQUIS_DATOS!$C$1515+CROQUIS_DATOS!$C$1516)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3">
        <f>IF(AND(CROQUIS_DATOS!$C$1472=1,CROQUIS_DATOS!$C$1478&gt;=1,((CROQUIS_DATOS!$C$1479+CROQUIS_DATOS!$C$1480))-(CROQUIS_DATOS!$C$1479)&gt;0.5,(CROQUIS_DATOS!$C$1481)-(0)&gt;0.5),(CROQUIS_DATOS!$C$1566+(IF(IF(MOD(MIN(INT(($A93-1)/2)+1,MAX(1,INT(((((CROQUIS_DATOS!$C$1479+CROQUIS_DATOS!$C$1480))-(CROQUIS_DATOS!$C$1479))+((CROQUIS_DATOS!$C$1481)*CROQUIS_DATOS!$C$1561-(0)*CROQUIS_DATOS!$C$1561))/CROQUIS_DATOS!$C$1568-0.000001))),2)=1,IF(INT(($A93-1)/2)+1&gt;MAX(1,INT(((((CROQUIS_DATOS!$C$1479+CROQUIS_DATOS!$C$1480))-(CROQUIS_DATOS!$C$1479))+((CROQUIS_DATOS!$C$1481)*CROQUIS_DATOS!$C$1561-(0)*CROQUIS_DATOS!$C$1561))/CROQUIS_DATOS!$C$1568-0.000001)),1,MOD($A93-1,2)),1-IF(INT(($A93-1)/2)+1&gt;MAX(1,INT(((((CROQUIS_DATOS!$C$1479+CROQUIS_DATOS!$C$1480))-(CROQUIS_DATOS!$C$1479))+((CROQUIS_DATOS!$C$1481)*CROQUIS_DATOS!$C$1561-(0)*CROQUIS_DATOS!$C$1561))/CROQUIS_DATOS!$C$1568-0.000001)),1,MOD($A93-1,2)))=1,MIN((CROQUIS_DATOS!$C$1481)*CROQUIS_DATOS!$C$1561,((CROQUIS_DATOS!$C$1479+CROQUIS_DATOS!$C$1480)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3">
        <f>IF(AND(CROQUIS_DATOS!$C$1472=1,CROQUIS_DATOS!$C$1478&gt;=1,((CROQUIS_DATOS!$C$1479+CROQUIS_DATOS!$C$1480))-(CROQUIS_DATOS!$C$1479)&gt;0.5,(CROQUIS_DATOS!$C$1481)-(0)&gt;0.5),(CROQUIS_DATOS!$C$1567+(IF(IF(MOD(MIN(INT(($A93-1)/2)+1,MAX(1,INT(((((CROQUIS_DATOS!$C$1479+CROQUIS_DATOS!$C$1480))-(CROQUIS_DATOS!$C$1479))+((CROQUIS_DATOS!$C$1481)*CROQUIS_DATOS!$C$1561-(0)*CROQUIS_DATOS!$C$1561))/CROQUIS_DATOS!$C$1568-0.000001))),2)=1,IF(INT(($A93-1)/2)+1&gt;MAX(1,INT(((((CROQUIS_DATOS!$C$1479+CROQUIS_DATOS!$C$1480))-(CROQUIS_DATOS!$C$1479))+((CROQUIS_DATOS!$C$1481)*CROQUIS_DATOS!$C$1561-(0)*CROQUIS_DATOS!$C$1561))/CROQUIS_DATOS!$C$1568-0.000001)),1,MOD($A93-1,2)),1-IF(INT(($A93-1)/2)+1&gt;MAX(1,INT(((((CROQUIS_DATOS!$C$1479+CROQUIS_DATOS!$C$1480))-(CROQUIS_DATOS!$C$1479))+((CROQUIS_DATOS!$C$1481)*CROQUIS_DATOS!$C$1561-(0)*CROQUIS_DATOS!$C$1561))/CROQUIS_DATOS!$C$1568-0.000001)),1,MOD($A93-1,2)))=1,MIN((CROQUIS_DATOS!$C$1481)*CROQUIS_DATOS!$C$1561,((CROQUIS_DATOS!$C$1479+CROQUIS_DATOS!$C$1480)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3">
        <f>IF(AND(CROQUIS_DATOS!$C$1472=1,CROQUIS_DATOS!$C$1478&gt;=1,((CROQUIS_DATOS!$C$1479+CROQUIS_DATOS!$C$1480))-(CROQUIS_DATOS!$C$1479)&gt;0.5,(CROQUIS_DATOS!$C$1476)-((CROQUIS_DATOS!$C$1481+CROQUIS_DATOS!$C$1482))&gt;0.5),(CROQUIS_DATOS!$C$1566+(IF(IF(MOD(MIN(INT(($A93-1)/2)+1,MAX(1,INT(((((CROQUIS_DATOS!$C$1479+CROQUIS_DATOS!$C$1480))-(CROQUIS_DATOS!$C$1479))+((CROQUIS_DATOS!$C$1476)*CROQUIS_DATOS!$C$1561-((CROQUIS_DATOS!$C$1481+CROQUIS_DATOS!$C$1482))*CROQUIS_DATOS!$C$1561))/CROQUIS_DATOS!$C$1568-0.000001))),2)=1,IF(INT(($A93-1)/2)+1&gt;MAX(1,INT(((((CROQUIS_DATOS!$C$1479+CROQUIS_DATOS!$C$1480))-(CROQUIS_DATOS!$C$1479))+((CROQUIS_DATOS!$C$1476)*CROQUIS_DATOS!$C$1561-((CROQUIS_DATOS!$C$1481+CROQUIS_DATOS!$C$1482))*CROQUIS_DATOS!$C$1561))/CROQUIS_DATOS!$C$1568-0.000001)),1,MOD($A93-1,2)),1-IF(INT(($A93-1)/2)+1&gt;MAX(1,INT(((((CROQUIS_DATOS!$C$1479+CROQUIS_DATOS!$C$1480))-(CROQUIS_DATOS!$C$1479))+((CROQUIS_DATOS!$C$1476)*CROQUIS_DATOS!$C$1561-((CROQUIS_DATOS!$C$1481+CROQUIS_DATOS!$C$1482))*CROQUIS_DATOS!$C$1561))/CROQUIS_DATOS!$C$1568-0.000001)),1,MOD($A93-1,2)))=1,MIN((CROQUIS_DATOS!$C$1476)*CROQUIS_DATOS!$C$1561,((CROQUIS_DATOS!$C$1479+CROQUIS_DATOS!$C$1480)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3">
        <f>IF(AND(CROQUIS_DATOS!$C$1472=1,CROQUIS_DATOS!$C$1478&gt;=1,((CROQUIS_DATOS!$C$1479+CROQUIS_DATOS!$C$1480))-(CROQUIS_DATOS!$C$1479)&gt;0.5,(CROQUIS_DATOS!$C$1476)-((CROQUIS_DATOS!$C$1481+CROQUIS_DATOS!$C$1482))&gt;0.5),(CROQUIS_DATOS!$C$1567+(IF(IF(MOD(MIN(INT(($A93-1)/2)+1,MAX(1,INT(((((CROQUIS_DATOS!$C$1479+CROQUIS_DATOS!$C$1480))-(CROQUIS_DATOS!$C$1479))+((CROQUIS_DATOS!$C$1476)*CROQUIS_DATOS!$C$1561-((CROQUIS_DATOS!$C$1481+CROQUIS_DATOS!$C$1482))*CROQUIS_DATOS!$C$1561))/CROQUIS_DATOS!$C$1568-0.000001))),2)=1,IF(INT(($A93-1)/2)+1&gt;MAX(1,INT(((((CROQUIS_DATOS!$C$1479+CROQUIS_DATOS!$C$1480))-(CROQUIS_DATOS!$C$1479))+((CROQUIS_DATOS!$C$1476)*CROQUIS_DATOS!$C$1561-((CROQUIS_DATOS!$C$1481+CROQUIS_DATOS!$C$1482))*CROQUIS_DATOS!$C$1561))/CROQUIS_DATOS!$C$1568-0.000001)),1,MOD($A93-1,2)),1-IF(INT(($A93-1)/2)+1&gt;MAX(1,INT(((((CROQUIS_DATOS!$C$1479+CROQUIS_DATOS!$C$1480))-(CROQUIS_DATOS!$C$1479))+((CROQUIS_DATOS!$C$1476)*CROQUIS_DATOS!$C$1561-((CROQUIS_DATOS!$C$1481+CROQUIS_DATOS!$C$1482))*CROQUIS_DATOS!$C$1561))/CROQUIS_DATOS!$C$1568-0.000001)),1,MOD($A93-1,2)))=1,MIN((CROQUIS_DATOS!$C$1476)*CROQUIS_DATOS!$C$1561,((CROQUIS_DATOS!$C$1479+CROQUIS_DATOS!$C$1480)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3">
        <f>IF(AND(CROQUIS_DATOS!$C$1472=1,CROQUIS_DATOS!$C$1478&gt;=2,((CROQUIS_DATOS!$C$1484+CROQUIS_DATOS!$C$1485))-(CROQUIS_DATOS!$C$1484)&gt;0.5,(CROQUIS_DATOS!$C$1486)-(0)&gt;0.5),(CROQUIS_DATOS!$C$1566+(IF(IF(MOD(MIN(INT(($A93-1)/2)+1,MAX(1,INT(((((CROQUIS_DATOS!$C$1484+CROQUIS_DATOS!$C$1485))-(CROQUIS_DATOS!$C$1484))+((CROQUIS_DATOS!$C$1486)*CROQUIS_DATOS!$C$1561-(0)*CROQUIS_DATOS!$C$1561))/CROQUIS_DATOS!$C$1568-0.000001))),2)=1,IF(INT(($A93-1)/2)+1&gt;MAX(1,INT(((((CROQUIS_DATOS!$C$1484+CROQUIS_DATOS!$C$1485))-(CROQUIS_DATOS!$C$1484))+((CROQUIS_DATOS!$C$1486)*CROQUIS_DATOS!$C$1561-(0)*CROQUIS_DATOS!$C$1561))/CROQUIS_DATOS!$C$1568-0.000001)),1,MOD($A93-1,2)),1-IF(INT(($A93-1)/2)+1&gt;MAX(1,INT(((((CROQUIS_DATOS!$C$1484+CROQUIS_DATOS!$C$1485))-(CROQUIS_DATOS!$C$1484))+((CROQUIS_DATOS!$C$1486)*CROQUIS_DATOS!$C$1561-(0)*CROQUIS_DATOS!$C$1561))/CROQUIS_DATOS!$C$1568-0.000001)),1,MOD($A93-1,2)))=1,MIN((CROQUIS_DATOS!$C$1486)*CROQUIS_DATOS!$C$1561,((CROQUIS_DATOS!$C$1484+CROQUIS_DATOS!$C$1485)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3">
        <f>IF(AND(CROQUIS_DATOS!$C$1472=1,CROQUIS_DATOS!$C$1478&gt;=2,((CROQUIS_DATOS!$C$1484+CROQUIS_DATOS!$C$1485))-(CROQUIS_DATOS!$C$1484)&gt;0.5,(CROQUIS_DATOS!$C$1486)-(0)&gt;0.5),(CROQUIS_DATOS!$C$1567+(IF(IF(MOD(MIN(INT(($A93-1)/2)+1,MAX(1,INT(((((CROQUIS_DATOS!$C$1484+CROQUIS_DATOS!$C$1485))-(CROQUIS_DATOS!$C$1484))+((CROQUIS_DATOS!$C$1486)*CROQUIS_DATOS!$C$1561-(0)*CROQUIS_DATOS!$C$1561))/CROQUIS_DATOS!$C$1568-0.000001))),2)=1,IF(INT(($A93-1)/2)+1&gt;MAX(1,INT(((((CROQUIS_DATOS!$C$1484+CROQUIS_DATOS!$C$1485))-(CROQUIS_DATOS!$C$1484))+((CROQUIS_DATOS!$C$1486)*CROQUIS_DATOS!$C$1561-(0)*CROQUIS_DATOS!$C$1561))/CROQUIS_DATOS!$C$1568-0.000001)),1,MOD($A93-1,2)),1-IF(INT(($A93-1)/2)+1&gt;MAX(1,INT(((((CROQUIS_DATOS!$C$1484+CROQUIS_DATOS!$C$1485))-(CROQUIS_DATOS!$C$1484))+((CROQUIS_DATOS!$C$1486)*CROQUIS_DATOS!$C$1561-(0)*CROQUIS_DATOS!$C$1561))/CROQUIS_DATOS!$C$1568-0.000001)),1,MOD($A93-1,2)))=1,MIN((CROQUIS_DATOS!$C$1486)*CROQUIS_DATOS!$C$1561,((CROQUIS_DATOS!$C$1484+CROQUIS_DATOS!$C$1485)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3">
        <f>IF(AND(CROQUIS_DATOS!$C$1472=1,CROQUIS_DATOS!$C$1478&gt;=2,((CROQUIS_DATOS!$C$1484+CROQUIS_DATOS!$C$1485))-(CROQUIS_DATOS!$C$1484)&gt;0.5,(CROQUIS_DATOS!$C$1476)-((CROQUIS_DATOS!$C$1486+CROQUIS_DATOS!$C$1487))&gt;0.5),(CROQUIS_DATOS!$C$1566+(IF(IF(MOD(MIN(INT(($A93-1)/2)+1,MAX(1,INT(((((CROQUIS_DATOS!$C$1484+CROQUIS_DATOS!$C$1485))-(CROQUIS_DATOS!$C$1484))+((CROQUIS_DATOS!$C$1476)*CROQUIS_DATOS!$C$1561-((CROQUIS_DATOS!$C$1486+CROQUIS_DATOS!$C$1487))*CROQUIS_DATOS!$C$1561))/CROQUIS_DATOS!$C$1568-0.000001))),2)=1,IF(INT(($A93-1)/2)+1&gt;MAX(1,INT(((((CROQUIS_DATOS!$C$1484+CROQUIS_DATOS!$C$1485))-(CROQUIS_DATOS!$C$1484))+((CROQUIS_DATOS!$C$1476)*CROQUIS_DATOS!$C$1561-((CROQUIS_DATOS!$C$1486+CROQUIS_DATOS!$C$1487))*CROQUIS_DATOS!$C$1561))/CROQUIS_DATOS!$C$1568-0.000001)),1,MOD($A93-1,2)),1-IF(INT(($A93-1)/2)+1&gt;MAX(1,INT(((((CROQUIS_DATOS!$C$1484+CROQUIS_DATOS!$C$1485))-(CROQUIS_DATOS!$C$1484))+((CROQUIS_DATOS!$C$1476)*CROQUIS_DATOS!$C$1561-((CROQUIS_DATOS!$C$1486+CROQUIS_DATOS!$C$1487))*CROQUIS_DATOS!$C$1561))/CROQUIS_DATOS!$C$1568-0.000001)),1,MOD($A93-1,2)))=1,MIN((CROQUIS_DATOS!$C$1476)*CROQUIS_DATOS!$C$1561,((CROQUIS_DATOS!$C$1484+CROQUIS_DATOS!$C$1485)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3">
        <f>IF(AND(CROQUIS_DATOS!$C$1472=1,CROQUIS_DATOS!$C$1478&gt;=2,((CROQUIS_DATOS!$C$1484+CROQUIS_DATOS!$C$1485))-(CROQUIS_DATOS!$C$1484)&gt;0.5,(CROQUIS_DATOS!$C$1476)-((CROQUIS_DATOS!$C$1486+CROQUIS_DATOS!$C$1487))&gt;0.5),(CROQUIS_DATOS!$C$1567+(IF(IF(MOD(MIN(INT(($A93-1)/2)+1,MAX(1,INT(((((CROQUIS_DATOS!$C$1484+CROQUIS_DATOS!$C$1485))-(CROQUIS_DATOS!$C$1484))+((CROQUIS_DATOS!$C$1476)*CROQUIS_DATOS!$C$1561-((CROQUIS_DATOS!$C$1486+CROQUIS_DATOS!$C$1487))*CROQUIS_DATOS!$C$1561))/CROQUIS_DATOS!$C$1568-0.000001))),2)=1,IF(INT(($A93-1)/2)+1&gt;MAX(1,INT(((((CROQUIS_DATOS!$C$1484+CROQUIS_DATOS!$C$1485))-(CROQUIS_DATOS!$C$1484))+((CROQUIS_DATOS!$C$1476)*CROQUIS_DATOS!$C$1561-((CROQUIS_DATOS!$C$1486+CROQUIS_DATOS!$C$1487))*CROQUIS_DATOS!$C$1561))/CROQUIS_DATOS!$C$1568-0.000001)),1,MOD($A93-1,2)),1-IF(INT(($A93-1)/2)+1&gt;MAX(1,INT(((((CROQUIS_DATOS!$C$1484+CROQUIS_DATOS!$C$1485))-(CROQUIS_DATOS!$C$1484))+((CROQUIS_DATOS!$C$1476)*CROQUIS_DATOS!$C$1561-((CROQUIS_DATOS!$C$1486+CROQUIS_DATOS!$C$1487))*CROQUIS_DATOS!$C$1561))/CROQUIS_DATOS!$C$1568-0.000001)),1,MOD($A93-1,2)))=1,MIN((CROQUIS_DATOS!$C$1476)*CROQUIS_DATOS!$C$1561,((CROQUIS_DATOS!$C$1484+CROQUIS_DATOS!$C$1485)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3">
        <f>IF(AND(CROQUIS_DATOS!$C$1472=1,CROQUIS_DATOS!$C$1478&gt;=3,((CROQUIS_DATOS!$C$1489+CROQUIS_DATOS!$C$1490))-(CROQUIS_DATOS!$C$1489)&gt;0.5,(CROQUIS_DATOS!$C$1491)-(0)&gt;0.5),(CROQUIS_DATOS!$C$1566+(IF(IF(MOD(MIN(INT(($A93-1)/2)+1,MAX(1,INT(((((CROQUIS_DATOS!$C$1489+CROQUIS_DATOS!$C$1490))-(CROQUIS_DATOS!$C$1489))+((CROQUIS_DATOS!$C$1491)*CROQUIS_DATOS!$C$1561-(0)*CROQUIS_DATOS!$C$1561))/CROQUIS_DATOS!$C$1568-0.000001))),2)=1,IF(INT(($A93-1)/2)+1&gt;MAX(1,INT(((((CROQUIS_DATOS!$C$1489+CROQUIS_DATOS!$C$1490))-(CROQUIS_DATOS!$C$1489))+((CROQUIS_DATOS!$C$1491)*CROQUIS_DATOS!$C$1561-(0)*CROQUIS_DATOS!$C$1561))/CROQUIS_DATOS!$C$1568-0.000001)),1,MOD($A93-1,2)),1-IF(INT(($A93-1)/2)+1&gt;MAX(1,INT(((((CROQUIS_DATOS!$C$1489+CROQUIS_DATOS!$C$1490))-(CROQUIS_DATOS!$C$1489))+((CROQUIS_DATOS!$C$1491)*CROQUIS_DATOS!$C$1561-(0)*CROQUIS_DATOS!$C$1561))/CROQUIS_DATOS!$C$1568-0.000001)),1,MOD($A93-1,2)))=1,MIN((CROQUIS_DATOS!$C$1491)*CROQUIS_DATOS!$C$1561,((CROQUIS_DATOS!$C$1489+CROQUIS_DATOS!$C$1490)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3">
        <f>IF(AND(CROQUIS_DATOS!$C$1472=1,CROQUIS_DATOS!$C$1478&gt;=3,((CROQUIS_DATOS!$C$1489+CROQUIS_DATOS!$C$1490))-(CROQUIS_DATOS!$C$1489)&gt;0.5,(CROQUIS_DATOS!$C$1491)-(0)&gt;0.5),(CROQUIS_DATOS!$C$1567+(IF(IF(MOD(MIN(INT(($A93-1)/2)+1,MAX(1,INT(((((CROQUIS_DATOS!$C$1489+CROQUIS_DATOS!$C$1490))-(CROQUIS_DATOS!$C$1489))+((CROQUIS_DATOS!$C$1491)*CROQUIS_DATOS!$C$1561-(0)*CROQUIS_DATOS!$C$1561))/CROQUIS_DATOS!$C$1568-0.000001))),2)=1,IF(INT(($A93-1)/2)+1&gt;MAX(1,INT(((((CROQUIS_DATOS!$C$1489+CROQUIS_DATOS!$C$1490))-(CROQUIS_DATOS!$C$1489))+((CROQUIS_DATOS!$C$1491)*CROQUIS_DATOS!$C$1561-(0)*CROQUIS_DATOS!$C$1561))/CROQUIS_DATOS!$C$1568-0.000001)),1,MOD($A93-1,2)),1-IF(INT(($A93-1)/2)+1&gt;MAX(1,INT(((((CROQUIS_DATOS!$C$1489+CROQUIS_DATOS!$C$1490))-(CROQUIS_DATOS!$C$1489))+((CROQUIS_DATOS!$C$1491)*CROQUIS_DATOS!$C$1561-(0)*CROQUIS_DATOS!$C$1561))/CROQUIS_DATOS!$C$1568-0.000001)),1,MOD($A93-1,2)))=1,MIN((CROQUIS_DATOS!$C$1491)*CROQUIS_DATOS!$C$1561,((CROQUIS_DATOS!$C$1489+CROQUIS_DATOS!$C$1490)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3">
        <f>IF(AND(CROQUIS_DATOS!$C$1472=1,CROQUIS_DATOS!$C$1478&gt;=3,((CROQUIS_DATOS!$C$1489+CROQUIS_DATOS!$C$1490))-(CROQUIS_DATOS!$C$1489)&gt;0.5,(CROQUIS_DATOS!$C$1476)-((CROQUIS_DATOS!$C$1491+CROQUIS_DATOS!$C$1492))&gt;0.5),(CROQUIS_DATOS!$C$1566+(IF(IF(MOD(MIN(INT(($A93-1)/2)+1,MAX(1,INT(((((CROQUIS_DATOS!$C$1489+CROQUIS_DATOS!$C$1490))-(CROQUIS_DATOS!$C$1489))+((CROQUIS_DATOS!$C$1476)*CROQUIS_DATOS!$C$1561-((CROQUIS_DATOS!$C$1491+CROQUIS_DATOS!$C$1492))*CROQUIS_DATOS!$C$1561))/CROQUIS_DATOS!$C$1568-0.000001))),2)=1,IF(INT(($A93-1)/2)+1&gt;MAX(1,INT(((((CROQUIS_DATOS!$C$1489+CROQUIS_DATOS!$C$1490))-(CROQUIS_DATOS!$C$1489))+((CROQUIS_DATOS!$C$1476)*CROQUIS_DATOS!$C$1561-((CROQUIS_DATOS!$C$1491+CROQUIS_DATOS!$C$1492))*CROQUIS_DATOS!$C$1561))/CROQUIS_DATOS!$C$1568-0.000001)),1,MOD($A93-1,2)),1-IF(INT(($A93-1)/2)+1&gt;MAX(1,INT(((((CROQUIS_DATOS!$C$1489+CROQUIS_DATOS!$C$1490))-(CROQUIS_DATOS!$C$1489))+((CROQUIS_DATOS!$C$1476)*CROQUIS_DATOS!$C$1561-((CROQUIS_DATOS!$C$1491+CROQUIS_DATOS!$C$1492))*CROQUIS_DATOS!$C$1561))/CROQUIS_DATOS!$C$1568-0.000001)),1,MOD($A93-1,2)))=1,MIN((CROQUIS_DATOS!$C$1476)*CROQUIS_DATOS!$C$1561,((CROQUIS_DATOS!$C$1489+CROQUIS_DATOS!$C$1490)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3">
        <f>IF(AND(CROQUIS_DATOS!$C$1472=1,CROQUIS_DATOS!$C$1478&gt;=3,((CROQUIS_DATOS!$C$1489+CROQUIS_DATOS!$C$1490))-(CROQUIS_DATOS!$C$1489)&gt;0.5,(CROQUIS_DATOS!$C$1476)-((CROQUIS_DATOS!$C$1491+CROQUIS_DATOS!$C$1492))&gt;0.5),(CROQUIS_DATOS!$C$1567+(IF(IF(MOD(MIN(INT(($A93-1)/2)+1,MAX(1,INT(((((CROQUIS_DATOS!$C$1489+CROQUIS_DATOS!$C$1490))-(CROQUIS_DATOS!$C$1489))+((CROQUIS_DATOS!$C$1476)*CROQUIS_DATOS!$C$1561-((CROQUIS_DATOS!$C$1491+CROQUIS_DATOS!$C$1492))*CROQUIS_DATOS!$C$1561))/CROQUIS_DATOS!$C$1568-0.000001))),2)=1,IF(INT(($A93-1)/2)+1&gt;MAX(1,INT(((((CROQUIS_DATOS!$C$1489+CROQUIS_DATOS!$C$1490))-(CROQUIS_DATOS!$C$1489))+((CROQUIS_DATOS!$C$1476)*CROQUIS_DATOS!$C$1561-((CROQUIS_DATOS!$C$1491+CROQUIS_DATOS!$C$1492))*CROQUIS_DATOS!$C$1561))/CROQUIS_DATOS!$C$1568-0.000001)),1,MOD($A93-1,2)),1-IF(INT(($A93-1)/2)+1&gt;MAX(1,INT(((((CROQUIS_DATOS!$C$1489+CROQUIS_DATOS!$C$1490))-(CROQUIS_DATOS!$C$1489))+((CROQUIS_DATOS!$C$1476)*CROQUIS_DATOS!$C$1561-((CROQUIS_DATOS!$C$1491+CROQUIS_DATOS!$C$1492))*CROQUIS_DATOS!$C$1561))/CROQUIS_DATOS!$C$1568-0.000001)),1,MOD($A93-1,2)))=1,MIN((CROQUIS_DATOS!$C$1476)*CROQUIS_DATOS!$C$1561,((CROQUIS_DATOS!$C$1489+CROQUIS_DATOS!$C$1490)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3">
        <f>IF(AND(CROQUIS_DATOS!$C$1472=1,CROQUIS_DATOS!$C$1478&gt;=4,((CROQUIS_DATOS!$C$1494+CROQUIS_DATOS!$C$1495))-(CROQUIS_DATOS!$C$1494)&gt;0.5,(CROQUIS_DATOS!$C$1496)-(0)&gt;0.5),(CROQUIS_DATOS!$C$1566+(IF(IF(MOD(MIN(INT(($A93-1)/2)+1,MAX(1,INT(((((CROQUIS_DATOS!$C$1494+CROQUIS_DATOS!$C$1495))-(CROQUIS_DATOS!$C$1494))+((CROQUIS_DATOS!$C$1496)*CROQUIS_DATOS!$C$1561-(0)*CROQUIS_DATOS!$C$1561))/CROQUIS_DATOS!$C$1568-0.000001))),2)=1,IF(INT(($A93-1)/2)+1&gt;MAX(1,INT(((((CROQUIS_DATOS!$C$1494+CROQUIS_DATOS!$C$1495))-(CROQUIS_DATOS!$C$1494))+((CROQUIS_DATOS!$C$1496)*CROQUIS_DATOS!$C$1561-(0)*CROQUIS_DATOS!$C$1561))/CROQUIS_DATOS!$C$1568-0.000001)),1,MOD($A93-1,2)),1-IF(INT(($A93-1)/2)+1&gt;MAX(1,INT(((((CROQUIS_DATOS!$C$1494+CROQUIS_DATOS!$C$1495))-(CROQUIS_DATOS!$C$1494))+((CROQUIS_DATOS!$C$1496)*CROQUIS_DATOS!$C$1561-(0)*CROQUIS_DATOS!$C$1561))/CROQUIS_DATOS!$C$1568-0.000001)),1,MOD($A93-1,2)))=1,MIN((CROQUIS_DATOS!$C$1496)*CROQUIS_DATOS!$C$1561,((CROQUIS_DATOS!$C$1494+CROQUIS_DATOS!$C$1495)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3">
        <f>IF(AND(CROQUIS_DATOS!$C$1472=1,CROQUIS_DATOS!$C$1478&gt;=4,((CROQUIS_DATOS!$C$1494+CROQUIS_DATOS!$C$1495))-(CROQUIS_DATOS!$C$1494)&gt;0.5,(CROQUIS_DATOS!$C$1496)-(0)&gt;0.5),(CROQUIS_DATOS!$C$1567+(IF(IF(MOD(MIN(INT(($A93-1)/2)+1,MAX(1,INT(((((CROQUIS_DATOS!$C$1494+CROQUIS_DATOS!$C$1495))-(CROQUIS_DATOS!$C$1494))+((CROQUIS_DATOS!$C$1496)*CROQUIS_DATOS!$C$1561-(0)*CROQUIS_DATOS!$C$1561))/CROQUIS_DATOS!$C$1568-0.000001))),2)=1,IF(INT(($A93-1)/2)+1&gt;MAX(1,INT(((((CROQUIS_DATOS!$C$1494+CROQUIS_DATOS!$C$1495))-(CROQUIS_DATOS!$C$1494))+((CROQUIS_DATOS!$C$1496)*CROQUIS_DATOS!$C$1561-(0)*CROQUIS_DATOS!$C$1561))/CROQUIS_DATOS!$C$1568-0.000001)),1,MOD($A93-1,2)),1-IF(INT(($A93-1)/2)+1&gt;MAX(1,INT(((((CROQUIS_DATOS!$C$1494+CROQUIS_DATOS!$C$1495))-(CROQUIS_DATOS!$C$1494))+((CROQUIS_DATOS!$C$1496)*CROQUIS_DATOS!$C$1561-(0)*CROQUIS_DATOS!$C$1561))/CROQUIS_DATOS!$C$1568-0.000001)),1,MOD($A93-1,2)))=1,MIN((CROQUIS_DATOS!$C$1496)*CROQUIS_DATOS!$C$1561,((CROQUIS_DATOS!$C$1494+CROQUIS_DATOS!$C$1495)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3">
        <f>IF(AND(CROQUIS_DATOS!$C$1472=1,CROQUIS_DATOS!$C$1478&gt;=4,((CROQUIS_DATOS!$C$1494+CROQUIS_DATOS!$C$1495))-(CROQUIS_DATOS!$C$1494)&gt;0.5,(CROQUIS_DATOS!$C$1476)-((CROQUIS_DATOS!$C$1496+CROQUIS_DATOS!$C$1497))&gt;0.5),(CROQUIS_DATOS!$C$1566+(IF(IF(MOD(MIN(INT(($A93-1)/2)+1,MAX(1,INT(((((CROQUIS_DATOS!$C$1494+CROQUIS_DATOS!$C$1495))-(CROQUIS_DATOS!$C$1494))+((CROQUIS_DATOS!$C$1476)*CROQUIS_DATOS!$C$1561-((CROQUIS_DATOS!$C$1496+CROQUIS_DATOS!$C$1497))*CROQUIS_DATOS!$C$1561))/CROQUIS_DATOS!$C$1568-0.000001))),2)=1,IF(INT(($A93-1)/2)+1&gt;MAX(1,INT(((((CROQUIS_DATOS!$C$1494+CROQUIS_DATOS!$C$1495))-(CROQUIS_DATOS!$C$1494))+((CROQUIS_DATOS!$C$1476)*CROQUIS_DATOS!$C$1561-((CROQUIS_DATOS!$C$1496+CROQUIS_DATOS!$C$1497))*CROQUIS_DATOS!$C$1561))/CROQUIS_DATOS!$C$1568-0.000001)),1,MOD($A93-1,2)),1-IF(INT(($A93-1)/2)+1&gt;MAX(1,INT(((((CROQUIS_DATOS!$C$1494+CROQUIS_DATOS!$C$1495))-(CROQUIS_DATOS!$C$1494))+((CROQUIS_DATOS!$C$1476)*CROQUIS_DATOS!$C$1561-((CROQUIS_DATOS!$C$1496+CROQUIS_DATOS!$C$1497))*CROQUIS_DATOS!$C$1561))/CROQUIS_DATOS!$C$1568-0.000001)),1,MOD($A93-1,2)))=1,MIN((CROQUIS_DATOS!$C$1476)*CROQUIS_DATOS!$C$1561,((CROQUIS_DATOS!$C$1494+CROQUIS_DATOS!$C$1495)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3">
        <f>IF(AND(CROQUIS_DATOS!$C$1472=1,CROQUIS_DATOS!$C$1478&gt;=4,((CROQUIS_DATOS!$C$1494+CROQUIS_DATOS!$C$1495))-(CROQUIS_DATOS!$C$1494)&gt;0.5,(CROQUIS_DATOS!$C$1476)-((CROQUIS_DATOS!$C$1496+CROQUIS_DATOS!$C$1497))&gt;0.5),(CROQUIS_DATOS!$C$1567+(IF(IF(MOD(MIN(INT(($A93-1)/2)+1,MAX(1,INT(((((CROQUIS_DATOS!$C$1494+CROQUIS_DATOS!$C$1495))-(CROQUIS_DATOS!$C$1494))+((CROQUIS_DATOS!$C$1476)*CROQUIS_DATOS!$C$1561-((CROQUIS_DATOS!$C$1496+CROQUIS_DATOS!$C$1497))*CROQUIS_DATOS!$C$1561))/CROQUIS_DATOS!$C$1568-0.000001))),2)=1,IF(INT(($A93-1)/2)+1&gt;MAX(1,INT(((((CROQUIS_DATOS!$C$1494+CROQUIS_DATOS!$C$1495))-(CROQUIS_DATOS!$C$1494))+((CROQUIS_DATOS!$C$1476)*CROQUIS_DATOS!$C$1561-((CROQUIS_DATOS!$C$1496+CROQUIS_DATOS!$C$1497))*CROQUIS_DATOS!$C$1561))/CROQUIS_DATOS!$C$1568-0.000001)),1,MOD($A93-1,2)),1-IF(INT(($A93-1)/2)+1&gt;MAX(1,INT(((((CROQUIS_DATOS!$C$1494+CROQUIS_DATOS!$C$1495))-(CROQUIS_DATOS!$C$1494))+((CROQUIS_DATOS!$C$1476)*CROQUIS_DATOS!$C$1561-((CROQUIS_DATOS!$C$1496+CROQUIS_DATOS!$C$1497))*CROQUIS_DATOS!$C$1561))/CROQUIS_DATOS!$C$1568-0.000001)),1,MOD($A93-1,2)))=1,MIN((CROQUIS_DATOS!$C$1476)*CROQUIS_DATOS!$C$1561,((CROQUIS_DATOS!$C$1494+CROQUIS_DATOS!$C$1495)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4">
      <c r="A94" t="n">
        <v>87</v>
      </c>
      <c r="N94">
        <f>IF(AND(CROQUIS_DATOS!$C$1472=1,1),(CROQUIS_DATOS!$C$1563+(IF(IF(IF(INT(($A94-1)/70)+1&gt;CROQUIS_DATOS!$C$1525,70,MOD($A94-1,70)+1)=1,0,IF(IF(INT(($A94-1)/70)+1&gt;CROQUIS_DATOS!$C$1525,70,MOD($A94-1,70)+1)&gt;2*CROQUIS_DATOS!$C$1541+1,IF(MOD(CROQUIS_DATOS!$C$1541,2)=1,1,0),IF(MOD(MIN(INT((IF(INT(($A94-1)/70)+1&gt;CROQUIS_DATOS!$C$1525,70,MOD($A94-1,70)+1)-2)/2)+1,CROQUIS_DATOS!$C$1541),2)=1,IF(MOD(IF(INT(($A94-1)/70)+1&gt;CROQUIS_DATOS!$C$1525,70,MOD($A94-1,70)+1)-2,2)=0,0,1),IF(MOD(IF(INT(($A94-1)/70)+1&gt;CROQUIS_DATOS!$C$1525,70,MOD($A94-1,70)+1)-2,2)=0,1,0))))=0,(INDEX($E$8:$E$23,MIN(INT(($A94-1)/70)+1,CROQUIS_DATOS!$C$1525))-INDEX($F$8:$F$23,MIN(INT(($A94-1)/70)+1,CROQUIS_DATOS!$C$1525))/2),(INDEX($E$8:$E$23,MIN(INT(($A94-1)/70)+1,CROQUIS_DATOS!$C$1525))+INDEX($F$8:$F$23,MIN(INT(($A94-1)/70)+1,CROQUIS_DATOS!$C$1525))/2)))*CROQUIS_DATOS!$C$1562),-1000)</f>
        <v>18.5775862068965</v>
      </c>
      <c r="O94">
        <f>IF(AND(CROQUIS_DATOS!$C$1472=1,1),(CROQUIS_DATOS!$C$1564+(IF(OR(IF(INT(($A94-1)/70)+1&gt;CROQUIS_DATOS!$C$1525,70,MOD($A94-1,70)+1)=1,IF(INT(($A94-1)/70)+1&gt;CROQUIS_DATOS!$C$1525,70,MOD($A94-1,70)+1)&gt;2*CROQUIS_DATOS!$C$1541+1),CROQUIS_DATOS!$C$1476,INDEX($H$8:$H$41,MIN(INT((IF(INT(($A94-1)/70)+1&gt;CROQUIS_DATOS!$C$1525,70,MOD($A94-1,70)+1)-2)/2)+1,CROQUIS_DATOS!$C$1541))))*CROQUIS_DATOS!$C$1561*CROQUIS_DATOS!$C$1562),-1000)</f>
        <v>18.676724137931</v>
      </c>
      <c r="P94">
        <f>IF(AND(CROQUIS_DATOS!$C$1472=1,CROQUIS_DATOS!$C$1555=1),(CROQUIS_DATOS!$C$1563+(IF(IF(OR(MOD($A94-1,62)+1=1,IF(CHOOSE(MIN(MAX(MIN(INT(($A94-1)/62)+1,5),1),5),CROQUIS_DATOS!$C$1501,CROQUIS_DATOS!$C$1505,CROQUIS_DATOS!$C$1509,CROQUIS_DATOS!$C$1513,CROQUIS_DATOS!$C$1517)=1,CROQUIS_DATOS!$C$1557,0)=0),0,IF(MOD($A94-1,62)+1&gt;2*IF(CHOOSE(MIN(MAX(MIN(INT(($A94-1)/62)+1,5),1),5),CROQUIS_DATOS!$C$1501,CROQUIS_DATOS!$C$1505,CROQUIS_DATOS!$C$1509,CROQUIS_DATOS!$C$1513,CROQUIS_DATOS!$C$1517)=1,CROQUIS_DATOS!$C$1557,0)+1,IF(MOD(IF(CHOOSE(MIN(MAX(MIN(INT(($A94-1)/62)+1,5),1),5),CROQUIS_DATOS!$C$1501,CROQUIS_DATOS!$C$1505,CROQUIS_DATOS!$C$1509,CROQUIS_DATOS!$C$1513,CROQUIS_DATOS!$C$1517)=1,CROQUIS_DATOS!$C$1557,0),2)=1,1,0),IF(MOD(MIN(INT((MOD($A94-1,62)+1-2)/2)+1,MAX(IF(CHOOSE(MIN(MAX(MIN(INT(($A94-1)/62)+1,5),1),5),CROQUIS_DATOS!$C$1501,CROQUIS_DATOS!$C$1505,CROQUIS_DATOS!$C$1509,CROQUIS_DATOS!$C$1513,CROQUIS_DATOS!$C$1517)=1,CROQUIS_DATOS!$C$1557,0),1)),2)=1,IF(MOD(MOD($A94-1,62)+1-2,2)=0,0,1),IF(MOD(MOD($A94-1,62)+1-2,2)=0,1,0))))=0,(CHOOSE(MIN(MAX(MIN(INT(($A94-1)/62)+1,5),1),5),CROQUIS_DATOS!$C$1499,CROQUIS_DATOS!$C$1503,CROQUIS_DATOS!$C$1507,CROQUIS_DATOS!$C$1511,CROQUIS_DATOS!$C$1515)+IF(CHOOSE(MIN(MAX(MIN(INT(($A94-1)/62)+1,5),1),5),CROQUIS_DATOS!$C$1501,CROQUIS_DATOS!$C$1505,CROQUIS_DATOS!$C$1509,CROQUIS_DATOS!$C$1513,CROQUIS_DATOS!$C$1517)=1,CROQUIS_DATOS!$C$1526,0)),(CHOOSE(MIN(MAX(MIN(INT(($A94-1)/62)+1,5),1),5),CROQUIS_DATOS!$C$1499,CROQUIS_DATOS!$C$1503,CROQUIS_DATOS!$C$1507,CROQUIS_DATOS!$C$1511,CROQUIS_DATOS!$C$1515)+CHOOSE(MIN(MAX(MIN(INT(($A94-1)/62)+1,5),1),5),CROQUIS_DATOS!$C$1500,CROQUIS_DATOS!$C$1504,CROQUIS_DATOS!$C$1508,CROQUIS_DATOS!$C$1512,CROQUIS_DATOS!$C$1516)-IF(CHOOSE(MIN(MAX(MIN(INT(($A94-1)/62)+1,5),1),5),CROQUIS_DATOS!$C$1501,CROQUIS_DATOS!$C$1505,CROQUIS_DATOS!$C$1509,CROQUIS_DATOS!$C$1513,CROQUIS_DATOS!$C$1517)=1,CROQUIS_DATOS!$C$1526,0))))*CROQUIS_DATOS!$C$1562),-1000)</f>
        <v>-1000</v>
      </c>
      <c r="Q94">
        <f>IF(AND(CROQUIS_DATOS!$C$1472=1,CROQUIS_DATOS!$C$1555=1),(CROQUIS_DATOS!$C$1564+(IF(OR(OR(MOD($A94-1,62)+1=1,IF(CHOOSE(MIN(MAX(MIN(INT(($A94-1)/62)+1,5),1),5),CROQUIS_DATOS!$C$1501,CROQUIS_DATOS!$C$1505,CROQUIS_DATOS!$C$1509,CROQUIS_DATOS!$C$1513,CROQUIS_DATOS!$C$1517)=1,CROQUIS_DATOS!$C$1557,0)=0),MOD($A94-1,62)+1&gt;2*IF(CHOOSE(MIN(MAX(MIN(INT(($A94-1)/62)+1,5),1),5),CROQUIS_DATOS!$C$1501,CROQUIS_DATOS!$C$1505,CROQUIS_DATOS!$C$1509,CROQUIS_DATOS!$C$1513,CROQUIS_DATOS!$C$1517)=1,CROQUIS_DATOS!$C$1557,0)+1),CROQUIS_DATOS!$C$1476,MIN(INT((MOD($A94-1,62)+1-2)/2)+1,MAX(IF(CHOOSE(MIN(MAX(MIN(INT(($A94-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4">
        <f>IF(AND(CROQUIS_DATOS!$C$1472=1,1),(CROQUIS_DATOS!$C$1563+(MIN(INT(($A94-1)/2)+1,CROQUIS_DATOS!$C$1558)*CROQUIS_DATOS!$C$1559)*CROQUIS_DATOS!$C$1562),-1000)</f>
        <v>82.2281167108753</v>
      </c>
      <c r="U94">
        <f>IF(AND(CROQUIS_DATOS!$C$1472=1,1),(CROQUIS_DATOS!$C$1564+(IF(INT(($A94-1)/2)+1&gt;CROQUIS_DATOS!$C$1558,IF(MOD(CROQUIS_DATOS!$C$1558,2)=1,CROQUIS_DATOS!$C$1476+CROQUIS_DATOS!$C$1528,CROQUIS_DATOS!$C$1476),IF(IF(MOD(MIN(INT(($A94-1)/2)+1,CROQUIS_DATOS!$C$1558),2)=1,MOD($A94-1,2),1-MOD($A94-1,2))=1,CROQUIS_DATOS!$C$1476+CROQUIS_DATOS!$C$1528,CROQUIS_DATOS!$C$1476)))*CROQUIS_DATOS!$C$1561*CROQUIS_DATOS!$C$1562),-1000)</f>
        <v>43</v>
      </c>
      <c r="BZ94">
        <f>IF(AND(CROQUIS_DATOS!$C$1472=1,CROQUIS_DATOS!$C$1500&gt;0,((CROQUIS_DATOS!$C$1499+CROQUIS_DATOS!$C$1500))-(CROQUIS_DATOS!$C$1499)&gt;0.5,(CROQUIS_DATOS!$C$1476)-(0)&gt;0.5),(CROQUIS_DATOS!$C$1566+(IF(IF(MOD(MIN(INT(($A94-1)/2)+1,MAX(1,INT(((((CROQUIS_DATOS!$C$1499+CROQUIS_DATOS!$C$1500))-(CROQUIS_DATOS!$C$1499))+((CROQUIS_DATOS!$C$1476)*CROQUIS_DATOS!$C$1561-(0)*CROQUIS_DATOS!$C$1561))/CROQUIS_DATOS!$C$1568-0.000001))),2)=1,IF(INT(($A94-1)/2)+1&gt;MAX(1,INT(((((CROQUIS_DATOS!$C$1499+CROQUIS_DATOS!$C$1500))-(CROQUIS_DATOS!$C$1499))+((CROQUIS_DATOS!$C$1476)*CROQUIS_DATOS!$C$1561-(0)*CROQUIS_DATOS!$C$1561))/CROQUIS_DATOS!$C$1568-0.000001)),1,MOD($A94-1,2)),1-IF(INT(($A94-1)/2)+1&gt;MAX(1,INT(((((CROQUIS_DATOS!$C$1499+CROQUIS_DATOS!$C$1500))-(CROQUIS_DATOS!$C$1499))+((CROQUIS_DATOS!$C$1476)*CROQUIS_DATOS!$C$1561-(0)*CROQUIS_DATOS!$C$1561))/CROQUIS_DATOS!$C$1568-0.000001)),1,MOD($A94-1,2)))=1,MIN((CROQUIS_DATOS!$C$1476)*CROQUIS_DATOS!$C$1561,((CROQUIS_DATOS!$C$1499+CROQUIS_DATOS!$C$1500)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4">
        <f>IF(AND(CROQUIS_DATOS!$C$1472=1,CROQUIS_DATOS!$C$1500&gt;0,((CROQUIS_DATOS!$C$1499+CROQUIS_DATOS!$C$1500))-(CROQUIS_DATOS!$C$1499)&gt;0.5,(CROQUIS_DATOS!$C$1476)-(0)&gt;0.5),(CROQUIS_DATOS!$C$1567+(IF(IF(MOD(MIN(INT(($A94-1)/2)+1,MAX(1,INT(((((CROQUIS_DATOS!$C$1499+CROQUIS_DATOS!$C$1500))-(CROQUIS_DATOS!$C$1499))+((CROQUIS_DATOS!$C$1476)*CROQUIS_DATOS!$C$1561-(0)*CROQUIS_DATOS!$C$1561))/CROQUIS_DATOS!$C$1568-0.000001))),2)=1,IF(INT(($A94-1)/2)+1&gt;MAX(1,INT(((((CROQUIS_DATOS!$C$1499+CROQUIS_DATOS!$C$1500))-(CROQUIS_DATOS!$C$1499))+((CROQUIS_DATOS!$C$1476)*CROQUIS_DATOS!$C$1561-(0)*CROQUIS_DATOS!$C$1561))/CROQUIS_DATOS!$C$1568-0.000001)),1,MOD($A94-1,2)),1-IF(INT(($A94-1)/2)+1&gt;MAX(1,INT(((((CROQUIS_DATOS!$C$1499+CROQUIS_DATOS!$C$1500))-(CROQUIS_DATOS!$C$1499))+((CROQUIS_DATOS!$C$1476)*CROQUIS_DATOS!$C$1561-(0)*CROQUIS_DATOS!$C$1561))/CROQUIS_DATOS!$C$1568-0.000001)),1,MOD($A94-1,2)))=1,MIN((CROQUIS_DATOS!$C$1476)*CROQUIS_DATOS!$C$1561,((CROQUIS_DATOS!$C$1499+CROQUIS_DATOS!$C$1500)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4">
        <f>IF(AND(CROQUIS_DATOS!$C$1472=1,CROQUIS_DATOS!$C$1504&gt;0,((CROQUIS_DATOS!$C$1503+CROQUIS_DATOS!$C$1504))-(CROQUIS_DATOS!$C$1503)&gt;0.5,(CROQUIS_DATOS!$C$1476)-(0)&gt;0.5),(CROQUIS_DATOS!$C$1566+(IF(IF(MOD(MIN(INT(($A94-1)/2)+1,MAX(1,INT(((((CROQUIS_DATOS!$C$1503+CROQUIS_DATOS!$C$1504))-(CROQUIS_DATOS!$C$1503))+((CROQUIS_DATOS!$C$1476)*CROQUIS_DATOS!$C$1561-(0)*CROQUIS_DATOS!$C$1561))/CROQUIS_DATOS!$C$1568-0.000001))),2)=1,IF(INT(($A94-1)/2)+1&gt;MAX(1,INT(((((CROQUIS_DATOS!$C$1503+CROQUIS_DATOS!$C$1504))-(CROQUIS_DATOS!$C$1503))+((CROQUIS_DATOS!$C$1476)*CROQUIS_DATOS!$C$1561-(0)*CROQUIS_DATOS!$C$1561))/CROQUIS_DATOS!$C$1568-0.000001)),1,MOD($A94-1,2)),1-IF(INT(($A94-1)/2)+1&gt;MAX(1,INT(((((CROQUIS_DATOS!$C$1503+CROQUIS_DATOS!$C$1504))-(CROQUIS_DATOS!$C$1503))+((CROQUIS_DATOS!$C$1476)*CROQUIS_DATOS!$C$1561-(0)*CROQUIS_DATOS!$C$1561))/CROQUIS_DATOS!$C$1568-0.000001)),1,MOD($A94-1,2)))=1,MIN((CROQUIS_DATOS!$C$1476)*CROQUIS_DATOS!$C$1561,((CROQUIS_DATOS!$C$1503+CROQUIS_DATOS!$C$1504)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4">
        <f>IF(AND(CROQUIS_DATOS!$C$1472=1,CROQUIS_DATOS!$C$1504&gt;0,((CROQUIS_DATOS!$C$1503+CROQUIS_DATOS!$C$1504))-(CROQUIS_DATOS!$C$1503)&gt;0.5,(CROQUIS_DATOS!$C$1476)-(0)&gt;0.5),(CROQUIS_DATOS!$C$1567+(IF(IF(MOD(MIN(INT(($A94-1)/2)+1,MAX(1,INT(((((CROQUIS_DATOS!$C$1503+CROQUIS_DATOS!$C$1504))-(CROQUIS_DATOS!$C$1503))+((CROQUIS_DATOS!$C$1476)*CROQUIS_DATOS!$C$1561-(0)*CROQUIS_DATOS!$C$1561))/CROQUIS_DATOS!$C$1568-0.000001))),2)=1,IF(INT(($A94-1)/2)+1&gt;MAX(1,INT(((((CROQUIS_DATOS!$C$1503+CROQUIS_DATOS!$C$1504))-(CROQUIS_DATOS!$C$1503))+((CROQUIS_DATOS!$C$1476)*CROQUIS_DATOS!$C$1561-(0)*CROQUIS_DATOS!$C$1561))/CROQUIS_DATOS!$C$1568-0.000001)),1,MOD($A94-1,2)),1-IF(INT(($A94-1)/2)+1&gt;MAX(1,INT(((((CROQUIS_DATOS!$C$1503+CROQUIS_DATOS!$C$1504))-(CROQUIS_DATOS!$C$1503))+((CROQUIS_DATOS!$C$1476)*CROQUIS_DATOS!$C$1561-(0)*CROQUIS_DATOS!$C$1561))/CROQUIS_DATOS!$C$1568-0.000001)),1,MOD($A94-1,2)))=1,MIN((CROQUIS_DATOS!$C$1476)*CROQUIS_DATOS!$C$1561,((CROQUIS_DATOS!$C$1503+CROQUIS_DATOS!$C$1504)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4">
        <f>IF(AND(CROQUIS_DATOS!$C$1472=1,CROQUIS_DATOS!$C$1508&gt;0,((CROQUIS_DATOS!$C$1507+CROQUIS_DATOS!$C$1508))-(CROQUIS_DATOS!$C$1507)&gt;0.5,(CROQUIS_DATOS!$C$1476)-(0)&gt;0.5),(CROQUIS_DATOS!$C$1566+(IF(IF(MOD(MIN(INT(($A94-1)/2)+1,MAX(1,INT(((((CROQUIS_DATOS!$C$1507+CROQUIS_DATOS!$C$1508))-(CROQUIS_DATOS!$C$1507))+((CROQUIS_DATOS!$C$1476)*CROQUIS_DATOS!$C$1561-(0)*CROQUIS_DATOS!$C$1561))/CROQUIS_DATOS!$C$1568-0.000001))),2)=1,IF(INT(($A94-1)/2)+1&gt;MAX(1,INT(((((CROQUIS_DATOS!$C$1507+CROQUIS_DATOS!$C$1508))-(CROQUIS_DATOS!$C$1507))+((CROQUIS_DATOS!$C$1476)*CROQUIS_DATOS!$C$1561-(0)*CROQUIS_DATOS!$C$1561))/CROQUIS_DATOS!$C$1568-0.000001)),1,MOD($A94-1,2)),1-IF(INT(($A94-1)/2)+1&gt;MAX(1,INT(((((CROQUIS_DATOS!$C$1507+CROQUIS_DATOS!$C$1508))-(CROQUIS_DATOS!$C$1507))+((CROQUIS_DATOS!$C$1476)*CROQUIS_DATOS!$C$1561-(0)*CROQUIS_DATOS!$C$1561))/CROQUIS_DATOS!$C$1568-0.000001)),1,MOD($A94-1,2)))=1,MIN((CROQUIS_DATOS!$C$1476)*CROQUIS_DATOS!$C$1561,((CROQUIS_DATOS!$C$1507+CROQUIS_DATOS!$C$1508)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4">
        <f>IF(AND(CROQUIS_DATOS!$C$1472=1,CROQUIS_DATOS!$C$1508&gt;0,((CROQUIS_DATOS!$C$1507+CROQUIS_DATOS!$C$1508))-(CROQUIS_DATOS!$C$1507)&gt;0.5,(CROQUIS_DATOS!$C$1476)-(0)&gt;0.5),(CROQUIS_DATOS!$C$1567+(IF(IF(MOD(MIN(INT(($A94-1)/2)+1,MAX(1,INT(((((CROQUIS_DATOS!$C$1507+CROQUIS_DATOS!$C$1508))-(CROQUIS_DATOS!$C$1507))+((CROQUIS_DATOS!$C$1476)*CROQUIS_DATOS!$C$1561-(0)*CROQUIS_DATOS!$C$1561))/CROQUIS_DATOS!$C$1568-0.000001))),2)=1,IF(INT(($A94-1)/2)+1&gt;MAX(1,INT(((((CROQUIS_DATOS!$C$1507+CROQUIS_DATOS!$C$1508))-(CROQUIS_DATOS!$C$1507))+((CROQUIS_DATOS!$C$1476)*CROQUIS_DATOS!$C$1561-(0)*CROQUIS_DATOS!$C$1561))/CROQUIS_DATOS!$C$1568-0.000001)),1,MOD($A94-1,2)),1-IF(INT(($A94-1)/2)+1&gt;MAX(1,INT(((((CROQUIS_DATOS!$C$1507+CROQUIS_DATOS!$C$1508))-(CROQUIS_DATOS!$C$1507))+((CROQUIS_DATOS!$C$1476)*CROQUIS_DATOS!$C$1561-(0)*CROQUIS_DATOS!$C$1561))/CROQUIS_DATOS!$C$1568-0.000001)),1,MOD($A94-1,2)))=1,MIN((CROQUIS_DATOS!$C$1476)*CROQUIS_DATOS!$C$1561,((CROQUIS_DATOS!$C$1507+CROQUIS_DATOS!$C$1508)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4">
        <f>IF(AND(CROQUIS_DATOS!$C$1472=1,CROQUIS_DATOS!$C$1512&gt;0,((CROQUIS_DATOS!$C$1511+CROQUIS_DATOS!$C$1512))-(CROQUIS_DATOS!$C$1511)&gt;0.5,(CROQUIS_DATOS!$C$1476)-(0)&gt;0.5),(CROQUIS_DATOS!$C$1566+(IF(IF(MOD(MIN(INT(($A94-1)/2)+1,MAX(1,INT(((((CROQUIS_DATOS!$C$1511+CROQUIS_DATOS!$C$1512))-(CROQUIS_DATOS!$C$1511))+((CROQUIS_DATOS!$C$1476)*CROQUIS_DATOS!$C$1561-(0)*CROQUIS_DATOS!$C$1561))/CROQUIS_DATOS!$C$1568-0.000001))),2)=1,IF(INT(($A94-1)/2)+1&gt;MAX(1,INT(((((CROQUIS_DATOS!$C$1511+CROQUIS_DATOS!$C$1512))-(CROQUIS_DATOS!$C$1511))+((CROQUIS_DATOS!$C$1476)*CROQUIS_DATOS!$C$1561-(0)*CROQUIS_DATOS!$C$1561))/CROQUIS_DATOS!$C$1568-0.000001)),1,MOD($A94-1,2)),1-IF(INT(($A94-1)/2)+1&gt;MAX(1,INT(((((CROQUIS_DATOS!$C$1511+CROQUIS_DATOS!$C$1512))-(CROQUIS_DATOS!$C$1511))+((CROQUIS_DATOS!$C$1476)*CROQUIS_DATOS!$C$1561-(0)*CROQUIS_DATOS!$C$1561))/CROQUIS_DATOS!$C$1568-0.000001)),1,MOD($A94-1,2)))=1,MIN((CROQUIS_DATOS!$C$1476)*CROQUIS_DATOS!$C$1561,((CROQUIS_DATOS!$C$1511+CROQUIS_DATOS!$C$1512)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4">
        <f>IF(AND(CROQUIS_DATOS!$C$1472=1,CROQUIS_DATOS!$C$1512&gt;0,((CROQUIS_DATOS!$C$1511+CROQUIS_DATOS!$C$1512))-(CROQUIS_DATOS!$C$1511)&gt;0.5,(CROQUIS_DATOS!$C$1476)-(0)&gt;0.5),(CROQUIS_DATOS!$C$1567+(IF(IF(MOD(MIN(INT(($A94-1)/2)+1,MAX(1,INT(((((CROQUIS_DATOS!$C$1511+CROQUIS_DATOS!$C$1512))-(CROQUIS_DATOS!$C$1511))+((CROQUIS_DATOS!$C$1476)*CROQUIS_DATOS!$C$1561-(0)*CROQUIS_DATOS!$C$1561))/CROQUIS_DATOS!$C$1568-0.000001))),2)=1,IF(INT(($A94-1)/2)+1&gt;MAX(1,INT(((((CROQUIS_DATOS!$C$1511+CROQUIS_DATOS!$C$1512))-(CROQUIS_DATOS!$C$1511))+((CROQUIS_DATOS!$C$1476)*CROQUIS_DATOS!$C$1561-(0)*CROQUIS_DATOS!$C$1561))/CROQUIS_DATOS!$C$1568-0.000001)),1,MOD($A94-1,2)),1-IF(INT(($A94-1)/2)+1&gt;MAX(1,INT(((((CROQUIS_DATOS!$C$1511+CROQUIS_DATOS!$C$1512))-(CROQUIS_DATOS!$C$1511))+((CROQUIS_DATOS!$C$1476)*CROQUIS_DATOS!$C$1561-(0)*CROQUIS_DATOS!$C$1561))/CROQUIS_DATOS!$C$1568-0.000001)),1,MOD($A94-1,2)))=1,MIN((CROQUIS_DATOS!$C$1476)*CROQUIS_DATOS!$C$1561,((CROQUIS_DATOS!$C$1511+CROQUIS_DATOS!$C$1512)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4">
        <f>IF(AND(CROQUIS_DATOS!$C$1472=1,CROQUIS_DATOS!$C$1516&gt;0,((CROQUIS_DATOS!$C$1515+CROQUIS_DATOS!$C$1516))-(CROQUIS_DATOS!$C$1515)&gt;0.5,(CROQUIS_DATOS!$C$1476)-(0)&gt;0.5),(CROQUIS_DATOS!$C$1566+(IF(IF(MOD(MIN(INT(($A94-1)/2)+1,MAX(1,INT(((((CROQUIS_DATOS!$C$1515+CROQUIS_DATOS!$C$1516))-(CROQUIS_DATOS!$C$1515))+((CROQUIS_DATOS!$C$1476)*CROQUIS_DATOS!$C$1561-(0)*CROQUIS_DATOS!$C$1561))/CROQUIS_DATOS!$C$1568-0.000001))),2)=1,IF(INT(($A94-1)/2)+1&gt;MAX(1,INT(((((CROQUIS_DATOS!$C$1515+CROQUIS_DATOS!$C$1516))-(CROQUIS_DATOS!$C$1515))+((CROQUIS_DATOS!$C$1476)*CROQUIS_DATOS!$C$1561-(0)*CROQUIS_DATOS!$C$1561))/CROQUIS_DATOS!$C$1568-0.000001)),1,MOD($A94-1,2)),1-IF(INT(($A94-1)/2)+1&gt;MAX(1,INT(((((CROQUIS_DATOS!$C$1515+CROQUIS_DATOS!$C$1516))-(CROQUIS_DATOS!$C$1515))+((CROQUIS_DATOS!$C$1476)*CROQUIS_DATOS!$C$1561-(0)*CROQUIS_DATOS!$C$1561))/CROQUIS_DATOS!$C$1568-0.000001)),1,MOD($A94-1,2)))=1,MIN((CROQUIS_DATOS!$C$1476)*CROQUIS_DATOS!$C$1561,((CROQUIS_DATOS!$C$1515+CROQUIS_DATOS!$C$1516)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4">
        <f>IF(AND(CROQUIS_DATOS!$C$1472=1,CROQUIS_DATOS!$C$1516&gt;0,((CROQUIS_DATOS!$C$1515+CROQUIS_DATOS!$C$1516))-(CROQUIS_DATOS!$C$1515)&gt;0.5,(CROQUIS_DATOS!$C$1476)-(0)&gt;0.5),(CROQUIS_DATOS!$C$1567+(IF(IF(MOD(MIN(INT(($A94-1)/2)+1,MAX(1,INT(((((CROQUIS_DATOS!$C$1515+CROQUIS_DATOS!$C$1516))-(CROQUIS_DATOS!$C$1515))+((CROQUIS_DATOS!$C$1476)*CROQUIS_DATOS!$C$1561-(0)*CROQUIS_DATOS!$C$1561))/CROQUIS_DATOS!$C$1568-0.000001))),2)=1,IF(INT(($A94-1)/2)+1&gt;MAX(1,INT(((((CROQUIS_DATOS!$C$1515+CROQUIS_DATOS!$C$1516))-(CROQUIS_DATOS!$C$1515))+((CROQUIS_DATOS!$C$1476)*CROQUIS_DATOS!$C$1561-(0)*CROQUIS_DATOS!$C$1561))/CROQUIS_DATOS!$C$1568-0.000001)),1,MOD($A94-1,2)),1-IF(INT(($A94-1)/2)+1&gt;MAX(1,INT(((((CROQUIS_DATOS!$C$1515+CROQUIS_DATOS!$C$1516))-(CROQUIS_DATOS!$C$1515))+((CROQUIS_DATOS!$C$1476)*CROQUIS_DATOS!$C$1561-(0)*CROQUIS_DATOS!$C$1561))/CROQUIS_DATOS!$C$1568-0.000001)),1,MOD($A94-1,2)))=1,MIN((CROQUIS_DATOS!$C$1476)*CROQUIS_DATOS!$C$1561,((CROQUIS_DATOS!$C$1515+CROQUIS_DATOS!$C$1516)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4">
        <f>IF(AND(CROQUIS_DATOS!$C$1472=1,CROQUIS_DATOS!$C$1478&gt;=1,((CROQUIS_DATOS!$C$1479+CROQUIS_DATOS!$C$1480))-(CROQUIS_DATOS!$C$1479)&gt;0.5,(CROQUIS_DATOS!$C$1481)-(0)&gt;0.5),(CROQUIS_DATOS!$C$1566+(IF(IF(MOD(MIN(INT(($A94-1)/2)+1,MAX(1,INT(((((CROQUIS_DATOS!$C$1479+CROQUIS_DATOS!$C$1480))-(CROQUIS_DATOS!$C$1479))+((CROQUIS_DATOS!$C$1481)*CROQUIS_DATOS!$C$1561-(0)*CROQUIS_DATOS!$C$1561))/CROQUIS_DATOS!$C$1568-0.000001))),2)=1,IF(INT(($A94-1)/2)+1&gt;MAX(1,INT(((((CROQUIS_DATOS!$C$1479+CROQUIS_DATOS!$C$1480))-(CROQUIS_DATOS!$C$1479))+((CROQUIS_DATOS!$C$1481)*CROQUIS_DATOS!$C$1561-(0)*CROQUIS_DATOS!$C$1561))/CROQUIS_DATOS!$C$1568-0.000001)),1,MOD($A94-1,2)),1-IF(INT(($A94-1)/2)+1&gt;MAX(1,INT(((((CROQUIS_DATOS!$C$1479+CROQUIS_DATOS!$C$1480))-(CROQUIS_DATOS!$C$1479))+((CROQUIS_DATOS!$C$1481)*CROQUIS_DATOS!$C$1561-(0)*CROQUIS_DATOS!$C$1561))/CROQUIS_DATOS!$C$1568-0.000001)),1,MOD($A94-1,2)))=1,MIN((CROQUIS_DATOS!$C$1481)*CROQUIS_DATOS!$C$1561,((CROQUIS_DATOS!$C$1479+CROQUIS_DATOS!$C$1480)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4">
        <f>IF(AND(CROQUIS_DATOS!$C$1472=1,CROQUIS_DATOS!$C$1478&gt;=1,((CROQUIS_DATOS!$C$1479+CROQUIS_DATOS!$C$1480))-(CROQUIS_DATOS!$C$1479)&gt;0.5,(CROQUIS_DATOS!$C$1481)-(0)&gt;0.5),(CROQUIS_DATOS!$C$1567+(IF(IF(MOD(MIN(INT(($A94-1)/2)+1,MAX(1,INT(((((CROQUIS_DATOS!$C$1479+CROQUIS_DATOS!$C$1480))-(CROQUIS_DATOS!$C$1479))+((CROQUIS_DATOS!$C$1481)*CROQUIS_DATOS!$C$1561-(0)*CROQUIS_DATOS!$C$1561))/CROQUIS_DATOS!$C$1568-0.000001))),2)=1,IF(INT(($A94-1)/2)+1&gt;MAX(1,INT(((((CROQUIS_DATOS!$C$1479+CROQUIS_DATOS!$C$1480))-(CROQUIS_DATOS!$C$1479))+((CROQUIS_DATOS!$C$1481)*CROQUIS_DATOS!$C$1561-(0)*CROQUIS_DATOS!$C$1561))/CROQUIS_DATOS!$C$1568-0.000001)),1,MOD($A94-1,2)),1-IF(INT(($A94-1)/2)+1&gt;MAX(1,INT(((((CROQUIS_DATOS!$C$1479+CROQUIS_DATOS!$C$1480))-(CROQUIS_DATOS!$C$1479))+((CROQUIS_DATOS!$C$1481)*CROQUIS_DATOS!$C$1561-(0)*CROQUIS_DATOS!$C$1561))/CROQUIS_DATOS!$C$1568-0.000001)),1,MOD($A94-1,2)))=1,MIN((CROQUIS_DATOS!$C$1481)*CROQUIS_DATOS!$C$1561,((CROQUIS_DATOS!$C$1479+CROQUIS_DATOS!$C$1480)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4">
        <f>IF(AND(CROQUIS_DATOS!$C$1472=1,CROQUIS_DATOS!$C$1478&gt;=1,((CROQUIS_DATOS!$C$1479+CROQUIS_DATOS!$C$1480))-(CROQUIS_DATOS!$C$1479)&gt;0.5,(CROQUIS_DATOS!$C$1476)-((CROQUIS_DATOS!$C$1481+CROQUIS_DATOS!$C$1482))&gt;0.5),(CROQUIS_DATOS!$C$1566+(IF(IF(MOD(MIN(INT(($A94-1)/2)+1,MAX(1,INT(((((CROQUIS_DATOS!$C$1479+CROQUIS_DATOS!$C$1480))-(CROQUIS_DATOS!$C$1479))+((CROQUIS_DATOS!$C$1476)*CROQUIS_DATOS!$C$1561-((CROQUIS_DATOS!$C$1481+CROQUIS_DATOS!$C$1482))*CROQUIS_DATOS!$C$1561))/CROQUIS_DATOS!$C$1568-0.000001))),2)=1,IF(INT(($A94-1)/2)+1&gt;MAX(1,INT(((((CROQUIS_DATOS!$C$1479+CROQUIS_DATOS!$C$1480))-(CROQUIS_DATOS!$C$1479))+((CROQUIS_DATOS!$C$1476)*CROQUIS_DATOS!$C$1561-((CROQUIS_DATOS!$C$1481+CROQUIS_DATOS!$C$1482))*CROQUIS_DATOS!$C$1561))/CROQUIS_DATOS!$C$1568-0.000001)),1,MOD($A94-1,2)),1-IF(INT(($A94-1)/2)+1&gt;MAX(1,INT(((((CROQUIS_DATOS!$C$1479+CROQUIS_DATOS!$C$1480))-(CROQUIS_DATOS!$C$1479))+((CROQUIS_DATOS!$C$1476)*CROQUIS_DATOS!$C$1561-((CROQUIS_DATOS!$C$1481+CROQUIS_DATOS!$C$1482))*CROQUIS_DATOS!$C$1561))/CROQUIS_DATOS!$C$1568-0.000001)),1,MOD($A94-1,2)))=1,MIN((CROQUIS_DATOS!$C$1476)*CROQUIS_DATOS!$C$1561,((CROQUIS_DATOS!$C$1479+CROQUIS_DATOS!$C$1480)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4">
        <f>IF(AND(CROQUIS_DATOS!$C$1472=1,CROQUIS_DATOS!$C$1478&gt;=1,((CROQUIS_DATOS!$C$1479+CROQUIS_DATOS!$C$1480))-(CROQUIS_DATOS!$C$1479)&gt;0.5,(CROQUIS_DATOS!$C$1476)-((CROQUIS_DATOS!$C$1481+CROQUIS_DATOS!$C$1482))&gt;0.5),(CROQUIS_DATOS!$C$1567+(IF(IF(MOD(MIN(INT(($A94-1)/2)+1,MAX(1,INT(((((CROQUIS_DATOS!$C$1479+CROQUIS_DATOS!$C$1480))-(CROQUIS_DATOS!$C$1479))+((CROQUIS_DATOS!$C$1476)*CROQUIS_DATOS!$C$1561-((CROQUIS_DATOS!$C$1481+CROQUIS_DATOS!$C$1482))*CROQUIS_DATOS!$C$1561))/CROQUIS_DATOS!$C$1568-0.000001))),2)=1,IF(INT(($A94-1)/2)+1&gt;MAX(1,INT(((((CROQUIS_DATOS!$C$1479+CROQUIS_DATOS!$C$1480))-(CROQUIS_DATOS!$C$1479))+((CROQUIS_DATOS!$C$1476)*CROQUIS_DATOS!$C$1561-((CROQUIS_DATOS!$C$1481+CROQUIS_DATOS!$C$1482))*CROQUIS_DATOS!$C$1561))/CROQUIS_DATOS!$C$1568-0.000001)),1,MOD($A94-1,2)),1-IF(INT(($A94-1)/2)+1&gt;MAX(1,INT(((((CROQUIS_DATOS!$C$1479+CROQUIS_DATOS!$C$1480))-(CROQUIS_DATOS!$C$1479))+((CROQUIS_DATOS!$C$1476)*CROQUIS_DATOS!$C$1561-((CROQUIS_DATOS!$C$1481+CROQUIS_DATOS!$C$1482))*CROQUIS_DATOS!$C$1561))/CROQUIS_DATOS!$C$1568-0.000001)),1,MOD($A94-1,2)))=1,MIN((CROQUIS_DATOS!$C$1476)*CROQUIS_DATOS!$C$1561,((CROQUIS_DATOS!$C$1479+CROQUIS_DATOS!$C$1480)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4">
        <f>IF(AND(CROQUIS_DATOS!$C$1472=1,CROQUIS_DATOS!$C$1478&gt;=2,((CROQUIS_DATOS!$C$1484+CROQUIS_DATOS!$C$1485))-(CROQUIS_DATOS!$C$1484)&gt;0.5,(CROQUIS_DATOS!$C$1486)-(0)&gt;0.5),(CROQUIS_DATOS!$C$1566+(IF(IF(MOD(MIN(INT(($A94-1)/2)+1,MAX(1,INT(((((CROQUIS_DATOS!$C$1484+CROQUIS_DATOS!$C$1485))-(CROQUIS_DATOS!$C$1484))+((CROQUIS_DATOS!$C$1486)*CROQUIS_DATOS!$C$1561-(0)*CROQUIS_DATOS!$C$1561))/CROQUIS_DATOS!$C$1568-0.000001))),2)=1,IF(INT(($A94-1)/2)+1&gt;MAX(1,INT(((((CROQUIS_DATOS!$C$1484+CROQUIS_DATOS!$C$1485))-(CROQUIS_DATOS!$C$1484))+((CROQUIS_DATOS!$C$1486)*CROQUIS_DATOS!$C$1561-(0)*CROQUIS_DATOS!$C$1561))/CROQUIS_DATOS!$C$1568-0.000001)),1,MOD($A94-1,2)),1-IF(INT(($A94-1)/2)+1&gt;MAX(1,INT(((((CROQUIS_DATOS!$C$1484+CROQUIS_DATOS!$C$1485))-(CROQUIS_DATOS!$C$1484))+((CROQUIS_DATOS!$C$1486)*CROQUIS_DATOS!$C$1561-(0)*CROQUIS_DATOS!$C$1561))/CROQUIS_DATOS!$C$1568-0.000001)),1,MOD($A94-1,2)))=1,MIN((CROQUIS_DATOS!$C$1486)*CROQUIS_DATOS!$C$1561,((CROQUIS_DATOS!$C$1484+CROQUIS_DATOS!$C$1485)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4">
        <f>IF(AND(CROQUIS_DATOS!$C$1472=1,CROQUIS_DATOS!$C$1478&gt;=2,((CROQUIS_DATOS!$C$1484+CROQUIS_DATOS!$C$1485))-(CROQUIS_DATOS!$C$1484)&gt;0.5,(CROQUIS_DATOS!$C$1486)-(0)&gt;0.5),(CROQUIS_DATOS!$C$1567+(IF(IF(MOD(MIN(INT(($A94-1)/2)+1,MAX(1,INT(((((CROQUIS_DATOS!$C$1484+CROQUIS_DATOS!$C$1485))-(CROQUIS_DATOS!$C$1484))+((CROQUIS_DATOS!$C$1486)*CROQUIS_DATOS!$C$1561-(0)*CROQUIS_DATOS!$C$1561))/CROQUIS_DATOS!$C$1568-0.000001))),2)=1,IF(INT(($A94-1)/2)+1&gt;MAX(1,INT(((((CROQUIS_DATOS!$C$1484+CROQUIS_DATOS!$C$1485))-(CROQUIS_DATOS!$C$1484))+((CROQUIS_DATOS!$C$1486)*CROQUIS_DATOS!$C$1561-(0)*CROQUIS_DATOS!$C$1561))/CROQUIS_DATOS!$C$1568-0.000001)),1,MOD($A94-1,2)),1-IF(INT(($A94-1)/2)+1&gt;MAX(1,INT(((((CROQUIS_DATOS!$C$1484+CROQUIS_DATOS!$C$1485))-(CROQUIS_DATOS!$C$1484))+((CROQUIS_DATOS!$C$1486)*CROQUIS_DATOS!$C$1561-(0)*CROQUIS_DATOS!$C$1561))/CROQUIS_DATOS!$C$1568-0.000001)),1,MOD($A94-1,2)))=1,MIN((CROQUIS_DATOS!$C$1486)*CROQUIS_DATOS!$C$1561,((CROQUIS_DATOS!$C$1484+CROQUIS_DATOS!$C$1485)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4">
        <f>IF(AND(CROQUIS_DATOS!$C$1472=1,CROQUIS_DATOS!$C$1478&gt;=2,((CROQUIS_DATOS!$C$1484+CROQUIS_DATOS!$C$1485))-(CROQUIS_DATOS!$C$1484)&gt;0.5,(CROQUIS_DATOS!$C$1476)-((CROQUIS_DATOS!$C$1486+CROQUIS_DATOS!$C$1487))&gt;0.5),(CROQUIS_DATOS!$C$1566+(IF(IF(MOD(MIN(INT(($A94-1)/2)+1,MAX(1,INT(((((CROQUIS_DATOS!$C$1484+CROQUIS_DATOS!$C$1485))-(CROQUIS_DATOS!$C$1484))+((CROQUIS_DATOS!$C$1476)*CROQUIS_DATOS!$C$1561-((CROQUIS_DATOS!$C$1486+CROQUIS_DATOS!$C$1487))*CROQUIS_DATOS!$C$1561))/CROQUIS_DATOS!$C$1568-0.000001))),2)=1,IF(INT(($A94-1)/2)+1&gt;MAX(1,INT(((((CROQUIS_DATOS!$C$1484+CROQUIS_DATOS!$C$1485))-(CROQUIS_DATOS!$C$1484))+((CROQUIS_DATOS!$C$1476)*CROQUIS_DATOS!$C$1561-((CROQUIS_DATOS!$C$1486+CROQUIS_DATOS!$C$1487))*CROQUIS_DATOS!$C$1561))/CROQUIS_DATOS!$C$1568-0.000001)),1,MOD($A94-1,2)),1-IF(INT(($A94-1)/2)+1&gt;MAX(1,INT(((((CROQUIS_DATOS!$C$1484+CROQUIS_DATOS!$C$1485))-(CROQUIS_DATOS!$C$1484))+((CROQUIS_DATOS!$C$1476)*CROQUIS_DATOS!$C$1561-((CROQUIS_DATOS!$C$1486+CROQUIS_DATOS!$C$1487))*CROQUIS_DATOS!$C$1561))/CROQUIS_DATOS!$C$1568-0.000001)),1,MOD($A94-1,2)))=1,MIN((CROQUIS_DATOS!$C$1476)*CROQUIS_DATOS!$C$1561,((CROQUIS_DATOS!$C$1484+CROQUIS_DATOS!$C$1485)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4">
        <f>IF(AND(CROQUIS_DATOS!$C$1472=1,CROQUIS_DATOS!$C$1478&gt;=2,((CROQUIS_DATOS!$C$1484+CROQUIS_DATOS!$C$1485))-(CROQUIS_DATOS!$C$1484)&gt;0.5,(CROQUIS_DATOS!$C$1476)-((CROQUIS_DATOS!$C$1486+CROQUIS_DATOS!$C$1487))&gt;0.5),(CROQUIS_DATOS!$C$1567+(IF(IF(MOD(MIN(INT(($A94-1)/2)+1,MAX(1,INT(((((CROQUIS_DATOS!$C$1484+CROQUIS_DATOS!$C$1485))-(CROQUIS_DATOS!$C$1484))+((CROQUIS_DATOS!$C$1476)*CROQUIS_DATOS!$C$1561-((CROQUIS_DATOS!$C$1486+CROQUIS_DATOS!$C$1487))*CROQUIS_DATOS!$C$1561))/CROQUIS_DATOS!$C$1568-0.000001))),2)=1,IF(INT(($A94-1)/2)+1&gt;MAX(1,INT(((((CROQUIS_DATOS!$C$1484+CROQUIS_DATOS!$C$1485))-(CROQUIS_DATOS!$C$1484))+((CROQUIS_DATOS!$C$1476)*CROQUIS_DATOS!$C$1561-((CROQUIS_DATOS!$C$1486+CROQUIS_DATOS!$C$1487))*CROQUIS_DATOS!$C$1561))/CROQUIS_DATOS!$C$1568-0.000001)),1,MOD($A94-1,2)),1-IF(INT(($A94-1)/2)+1&gt;MAX(1,INT(((((CROQUIS_DATOS!$C$1484+CROQUIS_DATOS!$C$1485))-(CROQUIS_DATOS!$C$1484))+((CROQUIS_DATOS!$C$1476)*CROQUIS_DATOS!$C$1561-((CROQUIS_DATOS!$C$1486+CROQUIS_DATOS!$C$1487))*CROQUIS_DATOS!$C$1561))/CROQUIS_DATOS!$C$1568-0.000001)),1,MOD($A94-1,2)))=1,MIN((CROQUIS_DATOS!$C$1476)*CROQUIS_DATOS!$C$1561,((CROQUIS_DATOS!$C$1484+CROQUIS_DATOS!$C$1485)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4">
        <f>IF(AND(CROQUIS_DATOS!$C$1472=1,CROQUIS_DATOS!$C$1478&gt;=3,((CROQUIS_DATOS!$C$1489+CROQUIS_DATOS!$C$1490))-(CROQUIS_DATOS!$C$1489)&gt;0.5,(CROQUIS_DATOS!$C$1491)-(0)&gt;0.5),(CROQUIS_DATOS!$C$1566+(IF(IF(MOD(MIN(INT(($A94-1)/2)+1,MAX(1,INT(((((CROQUIS_DATOS!$C$1489+CROQUIS_DATOS!$C$1490))-(CROQUIS_DATOS!$C$1489))+((CROQUIS_DATOS!$C$1491)*CROQUIS_DATOS!$C$1561-(0)*CROQUIS_DATOS!$C$1561))/CROQUIS_DATOS!$C$1568-0.000001))),2)=1,IF(INT(($A94-1)/2)+1&gt;MAX(1,INT(((((CROQUIS_DATOS!$C$1489+CROQUIS_DATOS!$C$1490))-(CROQUIS_DATOS!$C$1489))+((CROQUIS_DATOS!$C$1491)*CROQUIS_DATOS!$C$1561-(0)*CROQUIS_DATOS!$C$1561))/CROQUIS_DATOS!$C$1568-0.000001)),1,MOD($A94-1,2)),1-IF(INT(($A94-1)/2)+1&gt;MAX(1,INT(((((CROQUIS_DATOS!$C$1489+CROQUIS_DATOS!$C$1490))-(CROQUIS_DATOS!$C$1489))+((CROQUIS_DATOS!$C$1491)*CROQUIS_DATOS!$C$1561-(0)*CROQUIS_DATOS!$C$1561))/CROQUIS_DATOS!$C$1568-0.000001)),1,MOD($A94-1,2)))=1,MIN((CROQUIS_DATOS!$C$1491)*CROQUIS_DATOS!$C$1561,((CROQUIS_DATOS!$C$1489+CROQUIS_DATOS!$C$1490)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4">
        <f>IF(AND(CROQUIS_DATOS!$C$1472=1,CROQUIS_DATOS!$C$1478&gt;=3,((CROQUIS_DATOS!$C$1489+CROQUIS_DATOS!$C$1490))-(CROQUIS_DATOS!$C$1489)&gt;0.5,(CROQUIS_DATOS!$C$1491)-(0)&gt;0.5),(CROQUIS_DATOS!$C$1567+(IF(IF(MOD(MIN(INT(($A94-1)/2)+1,MAX(1,INT(((((CROQUIS_DATOS!$C$1489+CROQUIS_DATOS!$C$1490))-(CROQUIS_DATOS!$C$1489))+((CROQUIS_DATOS!$C$1491)*CROQUIS_DATOS!$C$1561-(0)*CROQUIS_DATOS!$C$1561))/CROQUIS_DATOS!$C$1568-0.000001))),2)=1,IF(INT(($A94-1)/2)+1&gt;MAX(1,INT(((((CROQUIS_DATOS!$C$1489+CROQUIS_DATOS!$C$1490))-(CROQUIS_DATOS!$C$1489))+((CROQUIS_DATOS!$C$1491)*CROQUIS_DATOS!$C$1561-(0)*CROQUIS_DATOS!$C$1561))/CROQUIS_DATOS!$C$1568-0.000001)),1,MOD($A94-1,2)),1-IF(INT(($A94-1)/2)+1&gt;MAX(1,INT(((((CROQUIS_DATOS!$C$1489+CROQUIS_DATOS!$C$1490))-(CROQUIS_DATOS!$C$1489))+((CROQUIS_DATOS!$C$1491)*CROQUIS_DATOS!$C$1561-(0)*CROQUIS_DATOS!$C$1561))/CROQUIS_DATOS!$C$1568-0.000001)),1,MOD($A94-1,2)))=1,MIN((CROQUIS_DATOS!$C$1491)*CROQUIS_DATOS!$C$1561,((CROQUIS_DATOS!$C$1489+CROQUIS_DATOS!$C$1490)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4">
        <f>IF(AND(CROQUIS_DATOS!$C$1472=1,CROQUIS_DATOS!$C$1478&gt;=3,((CROQUIS_DATOS!$C$1489+CROQUIS_DATOS!$C$1490))-(CROQUIS_DATOS!$C$1489)&gt;0.5,(CROQUIS_DATOS!$C$1476)-((CROQUIS_DATOS!$C$1491+CROQUIS_DATOS!$C$1492))&gt;0.5),(CROQUIS_DATOS!$C$1566+(IF(IF(MOD(MIN(INT(($A94-1)/2)+1,MAX(1,INT(((((CROQUIS_DATOS!$C$1489+CROQUIS_DATOS!$C$1490))-(CROQUIS_DATOS!$C$1489))+((CROQUIS_DATOS!$C$1476)*CROQUIS_DATOS!$C$1561-((CROQUIS_DATOS!$C$1491+CROQUIS_DATOS!$C$1492))*CROQUIS_DATOS!$C$1561))/CROQUIS_DATOS!$C$1568-0.000001))),2)=1,IF(INT(($A94-1)/2)+1&gt;MAX(1,INT(((((CROQUIS_DATOS!$C$1489+CROQUIS_DATOS!$C$1490))-(CROQUIS_DATOS!$C$1489))+((CROQUIS_DATOS!$C$1476)*CROQUIS_DATOS!$C$1561-((CROQUIS_DATOS!$C$1491+CROQUIS_DATOS!$C$1492))*CROQUIS_DATOS!$C$1561))/CROQUIS_DATOS!$C$1568-0.000001)),1,MOD($A94-1,2)),1-IF(INT(($A94-1)/2)+1&gt;MAX(1,INT(((((CROQUIS_DATOS!$C$1489+CROQUIS_DATOS!$C$1490))-(CROQUIS_DATOS!$C$1489))+((CROQUIS_DATOS!$C$1476)*CROQUIS_DATOS!$C$1561-((CROQUIS_DATOS!$C$1491+CROQUIS_DATOS!$C$1492))*CROQUIS_DATOS!$C$1561))/CROQUIS_DATOS!$C$1568-0.000001)),1,MOD($A94-1,2)))=1,MIN((CROQUIS_DATOS!$C$1476)*CROQUIS_DATOS!$C$1561,((CROQUIS_DATOS!$C$1489+CROQUIS_DATOS!$C$1490)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4">
        <f>IF(AND(CROQUIS_DATOS!$C$1472=1,CROQUIS_DATOS!$C$1478&gt;=3,((CROQUIS_DATOS!$C$1489+CROQUIS_DATOS!$C$1490))-(CROQUIS_DATOS!$C$1489)&gt;0.5,(CROQUIS_DATOS!$C$1476)-((CROQUIS_DATOS!$C$1491+CROQUIS_DATOS!$C$1492))&gt;0.5),(CROQUIS_DATOS!$C$1567+(IF(IF(MOD(MIN(INT(($A94-1)/2)+1,MAX(1,INT(((((CROQUIS_DATOS!$C$1489+CROQUIS_DATOS!$C$1490))-(CROQUIS_DATOS!$C$1489))+((CROQUIS_DATOS!$C$1476)*CROQUIS_DATOS!$C$1561-((CROQUIS_DATOS!$C$1491+CROQUIS_DATOS!$C$1492))*CROQUIS_DATOS!$C$1561))/CROQUIS_DATOS!$C$1568-0.000001))),2)=1,IF(INT(($A94-1)/2)+1&gt;MAX(1,INT(((((CROQUIS_DATOS!$C$1489+CROQUIS_DATOS!$C$1490))-(CROQUIS_DATOS!$C$1489))+((CROQUIS_DATOS!$C$1476)*CROQUIS_DATOS!$C$1561-((CROQUIS_DATOS!$C$1491+CROQUIS_DATOS!$C$1492))*CROQUIS_DATOS!$C$1561))/CROQUIS_DATOS!$C$1568-0.000001)),1,MOD($A94-1,2)),1-IF(INT(($A94-1)/2)+1&gt;MAX(1,INT(((((CROQUIS_DATOS!$C$1489+CROQUIS_DATOS!$C$1490))-(CROQUIS_DATOS!$C$1489))+((CROQUIS_DATOS!$C$1476)*CROQUIS_DATOS!$C$1561-((CROQUIS_DATOS!$C$1491+CROQUIS_DATOS!$C$1492))*CROQUIS_DATOS!$C$1561))/CROQUIS_DATOS!$C$1568-0.000001)),1,MOD($A94-1,2)))=1,MIN((CROQUIS_DATOS!$C$1476)*CROQUIS_DATOS!$C$1561,((CROQUIS_DATOS!$C$1489+CROQUIS_DATOS!$C$1490)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4">
        <f>IF(AND(CROQUIS_DATOS!$C$1472=1,CROQUIS_DATOS!$C$1478&gt;=4,((CROQUIS_DATOS!$C$1494+CROQUIS_DATOS!$C$1495))-(CROQUIS_DATOS!$C$1494)&gt;0.5,(CROQUIS_DATOS!$C$1496)-(0)&gt;0.5),(CROQUIS_DATOS!$C$1566+(IF(IF(MOD(MIN(INT(($A94-1)/2)+1,MAX(1,INT(((((CROQUIS_DATOS!$C$1494+CROQUIS_DATOS!$C$1495))-(CROQUIS_DATOS!$C$1494))+((CROQUIS_DATOS!$C$1496)*CROQUIS_DATOS!$C$1561-(0)*CROQUIS_DATOS!$C$1561))/CROQUIS_DATOS!$C$1568-0.000001))),2)=1,IF(INT(($A94-1)/2)+1&gt;MAX(1,INT(((((CROQUIS_DATOS!$C$1494+CROQUIS_DATOS!$C$1495))-(CROQUIS_DATOS!$C$1494))+((CROQUIS_DATOS!$C$1496)*CROQUIS_DATOS!$C$1561-(0)*CROQUIS_DATOS!$C$1561))/CROQUIS_DATOS!$C$1568-0.000001)),1,MOD($A94-1,2)),1-IF(INT(($A94-1)/2)+1&gt;MAX(1,INT(((((CROQUIS_DATOS!$C$1494+CROQUIS_DATOS!$C$1495))-(CROQUIS_DATOS!$C$1494))+((CROQUIS_DATOS!$C$1496)*CROQUIS_DATOS!$C$1561-(0)*CROQUIS_DATOS!$C$1561))/CROQUIS_DATOS!$C$1568-0.000001)),1,MOD($A94-1,2)))=1,MIN((CROQUIS_DATOS!$C$1496)*CROQUIS_DATOS!$C$1561,((CROQUIS_DATOS!$C$1494+CROQUIS_DATOS!$C$1495)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4">
        <f>IF(AND(CROQUIS_DATOS!$C$1472=1,CROQUIS_DATOS!$C$1478&gt;=4,((CROQUIS_DATOS!$C$1494+CROQUIS_DATOS!$C$1495))-(CROQUIS_DATOS!$C$1494)&gt;0.5,(CROQUIS_DATOS!$C$1496)-(0)&gt;0.5),(CROQUIS_DATOS!$C$1567+(IF(IF(MOD(MIN(INT(($A94-1)/2)+1,MAX(1,INT(((((CROQUIS_DATOS!$C$1494+CROQUIS_DATOS!$C$1495))-(CROQUIS_DATOS!$C$1494))+((CROQUIS_DATOS!$C$1496)*CROQUIS_DATOS!$C$1561-(0)*CROQUIS_DATOS!$C$1561))/CROQUIS_DATOS!$C$1568-0.000001))),2)=1,IF(INT(($A94-1)/2)+1&gt;MAX(1,INT(((((CROQUIS_DATOS!$C$1494+CROQUIS_DATOS!$C$1495))-(CROQUIS_DATOS!$C$1494))+((CROQUIS_DATOS!$C$1496)*CROQUIS_DATOS!$C$1561-(0)*CROQUIS_DATOS!$C$1561))/CROQUIS_DATOS!$C$1568-0.000001)),1,MOD($A94-1,2)),1-IF(INT(($A94-1)/2)+1&gt;MAX(1,INT(((((CROQUIS_DATOS!$C$1494+CROQUIS_DATOS!$C$1495))-(CROQUIS_DATOS!$C$1494))+((CROQUIS_DATOS!$C$1496)*CROQUIS_DATOS!$C$1561-(0)*CROQUIS_DATOS!$C$1561))/CROQUIS_DATOS!$C$1568-0.000001)),1,MOD($A94-1,2)))=1,MIN((CROQUIS_DATOS!$C$1496)*CROQUIS_DATOS!$C$1561,((CROQUIS_DATOS!$C$1494+CROQUIS_DATOS!$C$1495)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4">
        <f>IF(AND(CROQUIS_DATOS!$C$1472=1,CROQUIS_DATOS!$C$1478&gt;=4,((CROQUIS_DATOS!$C$1494+CROQUIS_DATOS!$C$1495))-(CROQUIS_DATOS!$C$1494)&gt;0.5,(CROQUIS_DATOS!$C$1476)-((CROQUIS_DATOS!$C$1496+CROQUIS_DATOS!$C$1497))&gt;0.5),(CROQUIS_DATOS!$C$1566+(IF(IF(MOD(MIN(INT(($A94-1)/2)+1,MAX(1,INT(((((CROQUIS_DATOS!$C$1494+CROQUIS_DATOS!$C$1495))-(CROQUIS_DATOS!$C$1494))+((CROQUIS_DATOS!$C$1476)*CROQUIS_DATOS!$C$1561-((CROQUIS_DATOS!$C$1496+CROQUIS_DATOS!$C$1497))*CROQUIS_DATOS!$C$1561))/CROQUIS_DATOS!$C$1568-0.000001))),2)=1,IF(INT(($A94-1)/2)+1&gt;MAX(1,INT(((((CROQUIS_DATOS!$C$1494+CROQUIS_DATOS!$C$1495))-(CROQUIS_DATOS!$C$1494))+((CROQUIS_DATOS!$C$1476)*CROQUIS_DATOS!$C$1561-((CROQUIS_DATOS!$C$1496+CROQUIS_DATOS!$C$1497))*CROQUIS_DATOS!$C$1561))/CROQUIS_DATOS!$C$1568-0.000001)),1,MOD($A94-1,2)),1-IF(INT(($A94-1)/2)+1&gt;MAX(1,INT(((((CROQUIS_DATOS!$C$1494+CROQUIS_DATOS!$C$1495))-(CROQUIS_DATOS!$C$1494))+((CROQUIS_DATOS!$C$1476)*CROQUIS_DATOS!$C$1561-((CROQUIS_DATOS!$C$1496+CROQUIS_DATOS!$C$1497))*CROQUIS_DATOS!$C$1561))/CROQUIS_DATOS!$C$1568-0.000001)),1,MOD($A94-1,2)))=1,MIN((CROQUIS_DATOS!$C$1476)*CROQUIS_DATOS!$C$1561,((CROQUIS_DATOS!$C$1494+CROQUIS_DATOS!$C$1495)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4">
        <f>IF(AND(CROQUIS_DATOS!$C$1472=1,CROQUIS_DATOS!$C$1478&gt;=4,((CROQUIS_DATOS!$C$1494+CROQUIS_DATOS!$C$1495))-(CROQUIS_DATOS!$C$1494)&gt;0.5,(CROQUIS_DATOS!$C$1476)-((CROQUIS_DATOS!$C$1496+CROQUIS_DATOS!$C$1497))&gt;0.5),(CROQUIS_DATOS!$C$1567+(IF(IF(MOD(MIN(INT(($A94-1)/2)+1,MAX(1,INT(((((CROQUIS_DATOS!$C$1494+CROQUIS_DATOS!$C$1495))-(CROQUIS_DATOS!$C$1494))+((CROQUIS_DATOS!$C$1476)*CROQUIS_DATOS!$C$1561-((CROQUIS_DATOS!$C$1496+CROQUIS_DATOS!$C$1497))*CROQUIS_DATOS!$C$1561))/CROQUIS_DATOS!$C$1568-0.000001))),2)=1,IF(INT(($A94-1)/2)+1&gt;MAX(1,INT(((((CROQUIS_DATOS!$C$1494+CROQUIS_DATOS!$C$1495))-(CROQUIS_DATOS!$C$1494))+((CROQUIS_DATOS!$C$1476)*CROQUIS_DATOS!$C$1561-((CROQUIS_DATOS!$C$1496+CROQUIS_DATOS!$C$1497))*CROQUIS_DATOS!$C$1561))/CROQUIS_DATOS!$C$1568-0.000001)),1,MOD($A94-1,2)),1-IF(INT(($A94-1)/2)+1&gt;MAX(1,INT(((((CROQUIS_DATOS!$C$1494+CROQUIS_DATOS!$C$1495))-(CROQUIS_DATOS!$C$1494))+((CROQUIS_DATOS!$C$1476)*CROQUIS_DATOS!$C$1561-((CROQUIS_DATOS!$C$1496+CROQUIS_DATOS!$C$1497))*CROQUIS_DATOS!$C$1561))/CROQUIS_DATOS!$C$1568-0.000001)),1,MOD($A94-1,2)))=1,MIN((CROQUIS_DATOS!$C$1476)*CROQUIS_DATOS!$C$1561,((CROQUIS_DATOS!$C$1494+CROQUIS_DATOS!$C$1495)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5">
      <c r="A95" t="n">
        <v>88</v>
      </c>
      <c r="N95">
        <f>IF(AND(CROQUIS_DATOS!$C$1472=1,1),(CROQUIS_DATOS!$C$1563+(IF(IF(IF(INT(($A95-1)/70)+1&gt;CROQUIS_DATOS!$C$1525,70,MOD($A95-1,70)+1)=1,0,IF(IF(INT(($A95-1)/70)+1&gt;CROQUIS_DATOS!$C$1525,70,MOD($A95-1,70)+1)&gt;2*CROQUIS_DATOS!$C$1541+1,IF(MOD(CROQUIS_DATOS!$C$1541,2)=1,1,0),IF(MOD(MIN(INT((IF(INT(($A95-1)/70)+1&gt;CROQUIS_DATOS!$C$1525,70,MOD($A95-1,70)+1)-2)/2)+1,CROQUIS_DATOS!$C$1541),2)=1,IF(MOD(IF(INT(($A95-1)/70)+1&gt;CROQUIS_DATOS!$C$1525,70,MOD($A95-1,70)+1)-2,2)=0,0,1),IF(MOD(IF(INT(($A95-1)/70)+1&gt;CROQUIS_DATOS!$C$1525,70,MOD($A95-1,70)+1)-2,2)=0,1,0))))=0,(INDEX($E$8:$E$23,MIN(INT(($A95-1)/70)+1,CROQUIS_DATOS!$C$1525))-INDEX($F$8:$F$23,MIN(INT(($A95-1)/70)+1,CROQUIS_DATOS!$C$1525))/2),(INDEX($E$8:$E$23,MIN(INT(($A95-1)/70)+1,CROQUIS_DATOS!$C$1525))+INDEX($F$8:$F$23,MIN(INT(($A95-1)/70)+1,CROQUIS_DATOS!$C$1525))/2)))*CROQUIS_DATOS!$C$1562),-1000)</f>
        <v>18.5775862068965</v>
      </c>
      <c r="O95">
        <f>IF(AND(CROQUIS_DATOS!$C$1472=1,1),(CROQUIS_DATOS!$C$1564+(IF(OR(IF(INT(($A95-1)/70)+1&gt;CROQUIS_DATOS!$C$1525,70,MOD($A95-1,70)+1)=1,IF(INT(($A95-1)/70)+1&gt;CROQUIS_DATOS!$C$1525,70,MOD($A95-1,70)+1)&gt;2*CROQUIS_DATOS!$C$1541+1),CROQUIS_DATOS!$C$1476,INDEX($H$8:$H$41,MIN(INT((IF(INT(($A95-1)/70)+1&gt;CROQUIS_DATOS!$C$1525,70,MOD($A95-1,70)+1)-2)/2)+1,CROQUIS_DATOS!$C$1541))))*CROQUIS_DATOS!$C$1561*CROQUIS_DATOS!$C$1562),-1000)</f>
        <v>21.3922413793103</v>
      </c>
      <c r="P95">
        <f>IF(AND(CROQUIS_DATOS!$C$1472=1,CROQUIS_DATOS!$C$1555=1),(CROQUIS_DATOS!$C$1563+(IF(IF(OR(MOD($A95-1,62)+1=1,IF(CHOOSE(MIN(MAX(MIN(INT(($A95-1)/62)+1,5),1),5),CROQUIS_DATOS!$C$1501,CROQUIS_DATOS!$C$1505,CROQUIS_DATOS!$C$1509,CROQUIS_DATOS!$C$1513,CROQUIS_DATOS!$C$1517)=1,CROQUIS_DATOS!$C$1557,0)=0),0,IF(MOD($A95-1,62)+1&gt;2*IF(CHOOSE(MIN(MAX(MIN(INT(($A95-1)/62)+1,5),1),5),CROQUIS_DATOS!$C$1501,CROQUIS_DATOS!$C$1505,CROQUIS_DATOS!$C$1509,CROQUIS_DATOS!$C$1513,CROQUIS_DATOS!$C$1517)=1,CROQUIS_DATOS!$C$1557,0)+1,IF(MOD(IF(CHOOSE(MIN(MAX(MIN(INT(($A95-1)/62)+1,5),1),5),CROQUIS_DATOS!$C$1501,CROQUIS_DATOS!$C$1505,CROQUIS_DATOS!$C$1509,CROQUIS_DATOS!$C$1513,CROQUIS_DATOS!$C$1517)=1,CROQUIS_DATOS!$C$1557,0),2)=1,1,0),IF(MOD(MIN(INT((MOD($A95-1,62)+1-2)/2)+1,MAX(IF(CHOOSE(MIN(MAX(MIN(INT(($A95-1)/62)+1,5),1),5),CROQUIS_DATOS!$C$1501,CROQUIS_DATOS!$C$1505,CROQUIS_DATOS!$C$1509,CROQUIS_DATOS!$C$1513,CROQUIS_DATOS!$C$1517)=1,CROQUIS_DATOS!$C$1557,0),1)),2)=1,IF(MOD(MOD($A95-1,62)+1-2,2)=0,0,1),IF(MOD(MOD($A95-1,62)+1-2,2)=0,1,0))))=0,(CHOOSE(MIN(MAX(MIN(INT(($A95-1)/62)+1,5),1),5),CROQUIS_DATOS!$C$1499,CROQUIS_DATOS!$C$1503,CROQUIS_DATOS!$C$1507,CROQUIS_DATOS!$C$1511,CROQUIS_DATOS!$C$1515)+IF(CHOOSE(MIN(MAX(MIN(INT(($A95-1)/62)+1,5),1),5),CROQUIS_DATOS!$C$1501,CROQUIS_DATOS!$C$1505,CROQUIS_DATOS!$C$1509,CROQUIS_DATOS!$C$1513,CROQUIS_DATOS!$C$1517)=1,CROQUIS_DATOS!$C$1526,0)),(CHOOSE(MIN(MAX(MIN(INT(($A95-1)/62)+1,5),1),5),CROQUIS_DATOS!$C$1499,CROQUIS_DATOS!$C$1503,CROQUIS_DATOS!$C$1507,CROQUIS_DATOS!$C$1511,CROQUIS_DATOS!$C$1515)+CHOOSE(MIN(MAX(MIN(INT(($A95-1)/62)+1,5),1),5),CROQUIS_DATOS!$C$1500,CROQUIS_DATOS!$C$1504,CROQUIS_DATOS!$C$1508,CROQUIS_DATOS!$C$1512,CROQUIS_DATOS!$C$1516)-IF(CHOOSE(MIN(MAX(MIN(INT(($A95-1)/62)+1,5),1),5),CROQUIS_DATOS!$C$1501,CROQUIS_DATOS!$C$1505,CROQUIS_DATOS!$C$1509,CROQUIS_DATOS!$C$1513,CROQUIS_DATOS!$C$1517)=1,CROQUIS_DATOS!$C$1526,0))))*CROQUIS_DATOS!$C$1562),-1000)</f>
        <v>-1000</v>
      </c>
      <c r="Q95">
        <f>IF(AND(CROQUIS_DATOS!$C$1472=1,CROQUIS_DATOS!$C$1555=1),(CROQUIS_DATOS!$C$1564+(IF(OR(OR(MOD($A95-1,62)+1=1,IF(CHOOSE(MIN(MAX(MIN(INT(($A95-1)/62)+1,5),1),5),CROQUIS_DATOS!$C$1501,CROQUIS_DATOS!$C$1505,CROQUIS_DATOS!$C$1509,CROQUIS_DATOS!$C$1513,CROQUIS_DATOS!$C$1517)=1,CROQUIS_DATOS!$C$1557,0)=0),MOD($A95-1,62)+1&gt;2*IF(CHOOSE(MIN(MAX(MIN(INT(($A95-1)/62)+1,5),1),5),CROQUIS_DATOS!$C$1501,CROQUIS_DATOS!$C$1505,CROQUIS_DATOS!$C$1509,CROQUIS_DATOS!$C$1513,CROQUIS_DATOS!$C$1517)=1,CROQUIS_DATOS!$C$1557,0)+1),CROQUIS_DATOS!$C$1476,MIN(INT((MOD($A95-1,62)+1-2)/2)+1,MAX(IF(CHOOSE(MIN(MAX(MIN(INT(($A95-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5">
        <f>IF(AND(CROQUIS_DATOS!$C$1472=1,1),(CROQUIS_DATOS!$C$1563+(MIN(INT(($A95-1)/2)+1,CROQUIS_DATOS!$C$1558)*CROQUIS_DATOS!$C$1559)*CROQUIS_DATOS!$C$1562),-1000)</f>
        <v>82.2281167108753</v>
      </c>
      <c r="U95">
        <f>IF(AND(CROQUIS_DATOS!$C$1472=1,1),(CROQUIS_DATOS!$C$1564+(IF(INT(($A95-1)/2)+1&gt;CROQUIS_DATOS!$C$1558,IF(MOD(CROQUIS_DATOS!$C$1558,2)=1,CROQUIS_DATOS!$C$1476+CROQUIS_DATOS!$C$1528,CROQUIS_DATOS!$C$1476),IF(IF(MOD(MIN(INT(($A95-1)/2)+1,CROQUIS_DATOS!$C$1558),2)=1,MOD($A95-1,2),1-MOD($A95-1,2))=1,CROQUIS_DATOS!$C$1476+CROQUIS_DATOS!$C$1528,CROQUIS_DATOS!$C$1476)))*CROQUIS_DATOS!$C$1561*CROQUIS_DATOS!$C$1562),-1000)</f>
        <v>43</v>
      </c>
      <c r="BZ95">
        <f>IF(AND(CROQUIS_DATOS!$C$1472=1,CROQUIS_DATOS!$C$1500&gt;0,((CROQUIS_DATOS!$C$1499+CROQUIS_DATOS!$C$1500))-(CROQUIS_DATOS!$C$1499)&gt;0.5,(CROQUIS_DATOS!$C$1476)-(0)&gt;0.5),(CROQUIS_DATOS!$C$1566+(IF(IF(MOD(MIN(INT(($A95-1)/2)+1,MAX(1,INT(((((CROQUIS_DATOS!$C$1499+CROQUIS_DATOS!$C$1500))-(CROQUIS_DATOS!$C$1499))+((CROQUIS_DATOS!$C$1476)*CROQUIS_DATOS!$C$1561-(0)*CROQUIS_DATOS!$C$1561))/CROQUIS_DATOS!$C$1568-0.000001))),2)=1,IF(INT(($A95-1)/2)+1&gt;MAX(1,INT(((((CROQUIS_DATOS!$C$1499+CROQUIS_DATOS!$C$1500))-(CROQUIS_DATOS!$C$1499))+((CROQUIS_DATOS!$C$1476)*CROQUIS_DATOS!$C$1561-(0)*CROQUIS_DATOS!$C$1561))/CROQUIS_DATOS!$C$1568-0.000001)),1,MOD($A95-1,2)),1-IF(INT(($A95-1)/2)+1&gt;MAX(1,INT(((((CROQUIS_DATOS!$C$1499+CROQUIS_DATOS!$C$1500))-(CROQUIS_DATOS!$C$1499))+((CROQUIS_DATOS!$C$1476)*CROQUIS_DATOS!$C$1561-(0)*CROQUIS_DATOS!$C$1561))/CROQUIS_DATOS!$C$1568-0.000001)),1,MOD($A95-1,2)))=1,MIN((CROQUIS_DATOS!$C$1476)*CROQUIS_DATOS!$C$1561,((CROQUIS_DATOS!$C$1499+CROQUIS_DATOS!$C$1500)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5">
        <f>IF(AND(CROQUIS_DATOS!$C$1472=1,CROQUIS_DATOS!$C$1500&gt;0,((CROQUIS_DATOS!$C$1499+CROQUIS_DATOS!$C$1500))-(CROQUIS_DATOS!$C$1499)&gt;0.5,(CROQUIS_DATOS!$C$1476)-(0)&gt;0.5),(CROQUIS_DATOS!$C$1567+(IF(IF(MOD(MIN(INT(($A95-1)/2)+1,MAX(1,INT(((((CROQUIS_DATOS!$C$1499+CROQUIS_DATOS!$C$1500))-(CROQUIS_DATOS!$C$1499))+((CROQUIS_DATOS!$C$1476)*CROQUIS_DATOS!$C$1561-(0)*CROQUIS_DATOS!$C$1561))/CROQUIS_DATOS!$C$1568-0.000001))),2)=1,IF(INT(($A95-1)/2)+1&gt;MAX(1,INT(((((CROQUIS_DATOS!$C$1499+CROQUIS_DATOS!$C$1500))-(CROQUIS_DATOS!$C$1499))+((CROQUIS_DATOS!$C$1476)*CROQUIS_DATOS!$C$1561-(0)*CROQUIS_DATOS!$C$1561))/CROQUIS_DATOS!$C$1568-0.000001)),1,MOD($A95-1,2)),1-IF(INT(($A95-1)/2)+1&gt;MAX(1,INT(((((CROQUIS_DATOS!$C$1499+CROQUIS_DATOS!$C$1500))-(CROQUIS_DATOS!$C$1499))+((CROQUIS_DATOS!$C$1476)*CROQUIS_DATOS!$C$1561-(0)*CROQUIS_DATOS!$C$1561))/CROQUIS_DATOS!$C$1568-0.000001)),1,MOD($A95-1,2)))=1,MIN((CROQUIS_DATOS!$C$1476)*CROQUIS_DATOS!$C$1561,((CROQUIS_DATOS!$C$1499+CROQUIS_DATOS!$C$1500)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5">
        <f>IF(AND(CROQUIS_DATOS!$C$1472=1,CROQUIS_DATOS!$C$1504&gt;0,((CROQUIS_DATOS!$C$1503+CROQUIS_DATOS!$C$1504))-(CROQUIS_DATOS!$C$1503)&gt;0.5,(CROQUIS_DATOS!$C$1476)-(0)&gt;0.5),(CROQUIS_DATOS!$C$1566+(IF(IF(MOD(MIN(INT(($A95-1)/2)+1,MAX(1,INT(((((CROQUIS_DATOS!$C$1503+CROQUIS_DATOS!$C$1504))-(CROQUIS_DATOS!$C$1503))+((CROQUIS_DATOS!$C$1476)*CROQUIS_DATOS!$C$1561-(0)*CROQUIS_DATOS!$C$1561))/CROQUIS_DATOS!$C$1568-0.000001))),2)=1,IF(INT(($A95-1)/2)+1&gt;MAX(1,INT(((((CROQUIS_DATOS!$C$1503+CROQUIS_DATOS!$C$1504))-(CROQUIS_DATOS!$C$1503))+((CROQUIS_DATOS!$C$1476)*CROQUIS_DATOS!$C$1561-(0)*CROQUIS_DATOS!$C$1561))/CROQUIS_DATOS!$C$1568-0.000001)),1,MOD($A95-1,2)),1-IF(INT(($A95-1)/2)+1&gt;MAX(1,INT(((((CROQUIS_DATOS!$C$1503+CROQUIS_DATOS!$C$1504))-(CROQUIS_DATOS!$C$1503))+((CROQUIS_DATOS!$C$1476)*CROQUIS_DATOS!$C$1561-(0)*CROQUIS_DATOS!$C$1561))/CROQUIS_DATOS!$C$1568-0.000001)),1,MOD($A95-1,2)))=1,MIN((CROQUIS_DATOS!$C$1476)*CROQUIS_DATOS!$C$1561,((CROQUIS_DATOS!$C$1503+CROQUIS_DATOS!$C$1504)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5">
        <f>IF(AND(CROQUIS_DATOS!$C$1472=1,CROQUIS_DATOS!$C$1504&gt;0,((CROQUIS_DATOS!$C$1503+CROQUIS_DATOS!$C$1504))-(CROQUIS_DATOS!$C$1503)&gt;0.5,(CROQUIS_DATOS!$C$1476)-(0)&gt;0.5),(CROQUIS_DATOS!$C$1567+(IF(IF(MOD(MIN(INT(($A95-1)/2)+1,MAX(1,INT(((((CROQUIS_DATOS!$C$1503+CROQUIS_DATOS!$C$1504))-(CROQUIS_DATOS!$C$1503))+((CROQUIS_DATOS!$C$1476)*CROQUIS_DATOS!$C$1561-(0)*CROQUIS_DATOS!$C$1561))/CROQUIS_DATOS!$C$1568-0.000001))),2)=1,IF(INT(($A95-1)/2)+1&gt;MAX(1,INT(((((CROQUIS_DATOS!$C$1503+CROQUIS_DATOS!$C$1504))-(CROQUIS_DATOS!$C$1503))+((CROQUIS_DATOS!$C$1476)*CROQUIS_DATOS!$C$1561-(0)*CROQUIS_DATOS!$C$1561))/CROQUIS_DATOS!$C$1568-0.000001)),1,MOD($A95-1,2)),1-IF(INT(($A95-1)/2)+1&gt;MAX(1,INT(((((CROQUIS_DATOS!$C$1503+CROQUIS_DATOS!$C$1504))-(CROQUIS_DATOS!$C$1503))+((CROQUIS_DATOS!$C$1476)*CROQUIS_DATOS!$C$1561-(0)*CROQUIS_DATOS!$C$1561))/CROQUIS_DATOS!$C$1568-0.000001)),1,MOD($A95-1,2)))=1,MIN((CROQUIS_DATOS!$C$1476)*CROQUIS_DATOS!$C$1561,((CROQUIS_DATOS!$C$1503+CROQUIS_DATOS!$C$1504)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5">
        <f>IF(AND(CROQUIS_DATOS!$C$1472=1,CROQUIS_DATOS!$C$1508&gt;0,((CROQUIS_DATOS!$C$1507+CROQUIS_DATOS!$C$1508))-(CROQUIS_DATOS!$C$1507)&gt;0.5,(CROQUIS_DATOS!$C$1476)-(0)&gt;0.5),(CROQUIS_DATOS!$C$1566+(IF(IF(MOD(MIN(INT(($A95-1)/2)+1,MAX(1,INT(((((CROQUIS_DATOS!$C$1507+CROQUIS_DATOS!$C$1508))-(CROQUIS_DATOS!$C$1507))+((CROQUIS_DATOS!$C$1476)*CROQUIS_DATOS!$C$1561-(0)*CROQUIS_DATOS!$C$1561))/CROQUIS_DATOS!$C$1568-0.000001))),2)=1,IF(INT(($A95-1)/2)+1&gt;MAX(1,INT(((((CROQUIS_DATOS!$C$1507+CROQUIS_DATOS!$C$1508))-(CROQUIS_DATOS!$C$1507))+((CROQUIS_DATOS!$C$1476)*CROQUIS_DATOS!$C$1561-(0)*CROQUIS_DATOS!$C$1561))/CROQUIS_DATOS!$C$1568-0.000001)),1,MOD($A95-1,2)),1-IF(INT(($A95-1)/2)+1&gt;MAX(1,INT(((((CROQUIS_DATOS!$C$1507+CROQUIS_DATOS!$C$1508))-(CROQUIS_DATOS!$C$1507))+((CROQUIS_DATOS!$C$1476)*CROQUIS_DATOS!$C$1561-(0)*CROQUIS_DATOS!$C$1561))/CROQUIS_DATOS!$C$1568-0.000001)),1,MOD($A95-1,2)))=1,MIN((CROQUIS_DATOS!$C$1476)*CROQUIS_DATOS!$C$1561,((CROQUIS_DATOS!$C$1507+CROQUIS_DATOS!$C$1508)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5">
        <f>IF(AND(CROQUIS_DATOS!$C$1472=1,CROQUIS_DATOS!$C$1508&gt;0,((CROQUIS_DATOS!$C$1507+CROQUIS_DATOS!$C$1508))-(CROQUIS_DATOS!$C$1507)&gt;0.5,(CROQUIS_DATOS!$C$1476)-(0)&gt;0.5),(CROQUIS_DATOS!$C$1567+(IF(IF(MOD(MIN(INT(($A95-1)/2)+1,MAX(1,INT(((((CROQUIS_DATOS!$C$1507+CROQUIS_DATOS!$C$1508))-(CROQUIS_DATOS!$C$1507))+((CROQUIS_DATOS!$C$1476)*CROQUIS_DATOS!$C$1561-(0)*CROQUIS_DATOS!$C$1561))/CROQUIS_DATOS!$C$1568-0.000001))),2)=1,IF(INT(($A95-1)/2)+1&gt;MAX(1,INT(((((CROQUIS_DATOS!$C$1507+CROQUIS_DATOS!$C$1508))-(CROQUIS_DATOS!$C$1507))+((CROQUIS_DATOS!$C$1476)*CROQUIS_DATOS!$C$1561-(0)*CROQUIS_DATOS!$C$1561))/CROQUIS_DATOS!$C$1568-0.000001)),1,MOD($A95-1,2)),1-IF(INT(($A95-1)/2)+1&gt;MAX(1,INT(((((CROQUIS_DATOS!$C$1507+CROQUIS_DATOS!$C$1508))-(CROQUIS_DATOS!$C$1507))+((CROQUIS_DATOS!$C$1476)*CROQUIS_DATOS!$C$1561-(0)*CROQUIS_DATOS!$C$1561))/CROQUIS_DATOS!$C$1568-0.000001)),1,MOD($A95-1,2)))=1,MIN((CROQUIS_DATOS!$C$1476)*CROQUIS_DATOS!$C$1561,((CROQUIS_DATOS!$C$1507+CROQUIS_DATOS!$C$1508)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5">
        <f>IF(AND(CROQUIS_DATOS!$C$1472=1,CROQUIS_DATOS!$C$1512&gt;0,((CROQUIS_DATOS!$C$1511+CROQUIS_DATOS!$C$1512))-(CROQUIS_DATOS!$C$1511)&gt;0.5,(CROQUIS_DATOS!$C$1476)-(0)&gt;0.5),(CROQUIS_DATOS!$C$1566+(IF(IF(MOD(MIN(INT(($A95-1)/2)+1,MAX(1,INT(((((CROQUIS_DATOS!$C$1511+CROQUIS_DATOS!$C$1512))-(CROQUIS_DATOS!$C$1511))+((CROQUIS_DATOS!$C$1476)*CROQUIS_DATOS!$C$1561-(0)*CROQUIS_DATOS!$C$1561))/CROQUIS_DATOS!$C$1568-0.000001))),2)=1,IF(INT(($A95-1)/2)+1&gt;MAX(1,INT(((((CROQUIS_DATOS!$C$1511+CROQUIS_DATOS!$C$1512))-(CROQUIS_DATOS!$C$1511))+((CROQUIS_DATOS!$C$1476)*CROQUIS_DATOS!$C$1561-(0)*CROQUIS_DATOS!$C$1561))/CROQUIS_DATOS!$C$1568-0.000001)),1,MOD($A95-1,2)),1-IF(INT(($A95-1)/2)+1&gt;MAX(1,INT(((((CROQUIS_DATOS!$C$1511+CROQUIS_DATOS!$C$1512))-(CROQUIS_DATOS!$C$1511))+((CROQUIS_DATOS!$C$1476)*CROQUIS_DATOS!$C$1561-(0)*CROQUIS_DATOS!$C$1561))/CROQUIS_DATOS!$C$1568-0.000001)),1,MOD($A95-1,2)))=1,MIN((CROQUIS_DATOS!$C$1476)*CROQUIS_DATOS!$C$1561,((CROQUIS_DATOS!$C$1511+CROQUIS_DATOS!$C$1512)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5">
        <f>IF(AND(CROQUIS_DATOS!$C$1472=1,CROQUIS_DATOS!$C$1512&gt;0,((CROQUIS_DATOS!$C$1511+CROQUIS_DATOS!$C$1512))-(CROQUIS_DATOS!$C$1511)&gt;0.5,(CROQUIS_DATOS!$C$1476)-(0)&gt;0.5),(CROQUIS_DATOS!$C$1567+(IF(IF(MOD(MIN(INT(($A95-1)/2)+1,MAX(1,INT(((((CROQUIS_DATOS!$C$1511+CROQUIS_DATOS!$C$1512))-(CROQUIS_DATOS!$C$1511))+((CROQUIS_DATOS!$C$1476)*CROQUIS_DATOS!$C$1561-(0)*CROQUIS_DATOS!$C$1561))/CROQUIS_DATOS!$C$1568-0.000001))),2)=1,IF(INT(($A95-1)/2)+1&gt;MAX(1,INT(((((CROQUIS_DATOS!$C$1511+CROQUIS_DATOS!$C$1512))-(CROQUIS_DATOS!$C$1511))+((CROQUIS_DATOS!$C$1476)*CROQUIS_DATOS!$C$1561-(0)*CROQUIS_DATOS!$C$1561))/CROQUIS_DATOS!$C$1568-0.000001)),1,MOD($A95-1,2)),1-IF(INT(($A95-1)/2)+1&gt;MAX(1,INT(((((CROQUIS_DATOS!$C$1511+CROQUIS_DATOS!$C$1512))-(CROQUIS_DATOS!$C$1511))+((CROQUIS_DATOS!$C$1476)*CROQUIS_DATOS!$C$1561-(0)*CROQUIS_DATOS!$C$1561))/CROQUIS_DATOS!$C$1568-0.000001)),1,MOD($A95-1,2)))=1,MIN((CROQUIS_DATOS!$C$1476)*CROQUIS_DATOS!$C$1561,((CROQUIS_DATOS!$C$1511+CROQUIS_DATOS!$C$1512)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5">
        <f>IF(AND(CROQUIS_DATOS!$C$1472=1,CROQUIS_DATOS!$C$1516&gt;0,((CROQUIS_DATOS!$C$1515+CROQUIS_DATOS!$C$1516))-(CROQUIS_DATOS!$C$1515)&gt;0.5,(CROQUIS_DATOS!$C$1476)-(0)&gt;0.5),(CROQUIS_DATOS!$C$1566+(IF(IF(MOD(MIN(INT(($A95-1)/2)+1,MAX(1,INT(((((CROQUIS_DATOS!$C$1515+CROQUIS_DATOS!$C$1516))-(CROQUIS_DATOS!$C$1515))+((CROQUIS_DATOS!$C$1476)*CROQUIS_DATOS!$C$1561-(0)*CROQUIS_DATOS!$C$1561))/CROQUIS_DATOS!$C$1568-0.000001))),2)=1,IF(INT(($A95-1)/2)+1&gt;MAX(1,INT(((((CROQUIS_DATOS!$C$1515+CROQUIS_DATOS!$C$1516))-(CROQUIS_DATOS!$C$1515))+((CROQUIS_DATOS!$C$1476)*CROQUIS_DATOS!$C$1561-(0)*CROQUIS_DATOS!$C$1561))/CROQUIS_DATOS!$C$1568-0.000001)),1,MOD($A95-1,2)),1-IF(INT(($A95-1)/2)+1&gt;MAX(1,INT(((((CROQUIS_DATOS!$C$1515+CROQUIS_DATOS!$C$1516))-(CROQUIS_DATOS!$C$1515))+((CROQUIS_DATOS!$C$1476)*CROQUIS_DATOS!$C$1561-(0)*CROQUIS_DATOS!$C$1561))/CROQUIS_DATOS!$C$1568-0.000001)),1,MOD($A95-1,2)))=1,MIN((CROQUIS_DATOS!$C$1476)*CROQUIS_DATOS!$C$1561,((CROQUIS_DATOS!$C$1515+CROQUIS_DATOS!$C$1516)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5">
        <f>IF(AND(CROQUIS_DATOS!$C$1472=1,CROQUIS_DATOS!$C$1516&gt;0,((CROQUIS_DATOS!$C$1515+CROQUIS_DATOS!$C$1516))-(CROQUIS_DATOS!$C$1515)&gt;0.5,(CROQUIS_DATOS!$C$1476)-(0)&gt;0.5),(CROQUIS_DATOS!$C$1567+(IF(IF(MOD(MIN(INT(($A95-1)/2)+1,MAX(1,INT(((((CROQUIS_DATOS!$C$1515+CROQUIS_DATOS!$C$1516))-(CROQUIS_DATOS!$C$1515))+((CROQUIS_DATOS!$C$1476)*CROQUIS_DATOS!$C$1561-(0)*CROQUIS_DATOS!$C$1561))/CROQUIS_DATOS!$C$1568-0.000001))),2)=1,IF(INT(($A95-1)/2)+1&gt;MAX(1,INT(((((CROQUIS_DATOS!$C$1515+CROQUIS_DATOS!$C$1516))-(CROQUIS_DATOS!$C$1515))+((CROQUIS_DATOS!$C$1476)*CROQUIS_DATOS!$C$1561-(0)*CROQUIS_DATOS!$C$1561))/CROQUIS_DATOS!$C$1568-0.000001)),1,MOD($A95-1,2)),1-IF(INT(($A95-1)/2)+1&gt;MAX(1,INT(((((CROQUIS_DATOS!$C$1515+CROQUIS_DATOS!$C$1516))-(CROQUIS_DATOS!$C$1515))+((CROQUIS_DATOS!$C$1476)*CROQUIS_DATOS!$C$1561-(0)*CROQUIS_DATOS!$C$1561))/CROQUIS_DATOS!$C$1568-0.000001)),1,MOD($A95-1,2)))=1,MIN((CROQUIS_DATOS!$C$1476)*CROQUIS_DATOS!$C$1561,((CROQUIS_DATOS!$C$1515+CROQUIS_DATOS!$C$1516)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5">
        <f>IF(AND(CROQUIS_DATOS!$C$1472=1,CROQUIS_DATOS!$C$1478&gt;=1,((CROQUIS_DATOS!$C$1479+CROQUIS_DATOS!$C$1480))-(CROQUIS_DATOS!$C$1479)&gt;0.5,(CROQUIS_DATOS!$C$1481)-(0)&gt;0.5),(CROQUIS_DATOS!$C$1566+(IF(IF(MOD(MIN(INT(($A95-1)/2)+1,MAX(1,INT(((((CROQUIS_DATOS!$C$1479+CROQUIS_DATOS!$C$1480))-(CROQUIS_DATOS!$C$1479))+((CROQUIS_DATOS!$C$1481)*CROQUIS_DATOS!$C$1561-(0)*CROQUIS_DATOS!$C$1561))/CROQUIS_DATOS!$C$1568-0.000001))),2)=1,IF(INT(($A95-1)/2)+1&gt;MAX(1,INT(((((CROQUIS_DATOS!$C$1479+CROQUIS_DATOS!$C$1480))-(CROQUIS_DATOS!$C$1479))+((CROQUIS_DATOS!$C$1481)*CROQUIS_DATOS!$C$1561-(0)*CROQUIS_DATOS!$C$1561))/CROQUIS_DATOS!$C$1568-0.000001)),1,MOD($A95-1,2)),1-IF(INT(($A95-1)/2)+1&gt;MAX(1,INT(((((CROQUIS_DATOS!$C$1479+CROQUIS_DATOS!$C$1480))-(CROQUIS_DATOS!$C$1479))+((CROQUIS_DATOS!$C$1481)*CROQUIS_DATOS!$C$1561-(0)*CROQUIS_DATOS!$C$1561))/CROQUIS_DATOS!$C$1568-0.000001)),1,MOD($A95-1,2)))=1,MIN((CROQUIS_DATOS!$C$1481)*CROQUIS_DATOS!$C$1561,((CROQUIS_DATOS!$C$1479+CROQUIS_DATOS!$C$1480)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5">
        <f>IF(AND(CROQUIS_DATOS!$C$1472=1,CROQUIS_DATOS!$C$1478&gt;=1,((CROQUIS_DATOS!$C$1479+CROQUIS_DATOS!$C$1480))-(CROQUIS_DATOS!$C$1479)&gt;0.5,(CROQUIS_DATOS!$C$1481)-(0)&gt;0.5),(CROQUIS_DATOS!$C$1567+(IF(IF(MOD(MIN(INT(($A95-1)/2)+1,MAX(1,INT(((((CROQUIS_DATOS!$C$1479+CROQUIS_DATOS!$C$1480))-(CROQUIS_DATOS!$C$1479))+((CROQUIS_DATOS!$C$1481)*CROQUIS_DATOS!$C$1561-(0)*CROQUIS_DATOS!$C$1561))/CROQUIS_DATOS!$C$1568-0.000001))),2)=1,IF(INT(($A95-1)/2)+1&gt;MAX(1,INT(((((CROQUIS_DATOS!$C$1479+CROQUIS_DATOS!$C$1480))-(CROQUIS_DATOS!$C$1479))+((CROQUIS_DATOS!$C$1481)*CROQUIS_DATOS!$C$1561-(0)*CROQUIS_DATOS!$C$1561))/CROQUIS_DATOS!$C$1568-0.000001)),1,MOD($A95-1,2)),1-IF(INT(($A95-1)/2)+1&gt;MAX(1,INT(((((CROQUIS_DATOS!$C$1479+CROQUIS_DATOS!$C$1480))-(CROQUIS_DATOS!$C$1479))+((CROQUIS_DATOS!$C$1481)*CROQUIS_DATOS!$C$1561-(0)*CROQUIS_DATOS!$C$1561))/CROQUIS_DATOS!$C$1568-0.000001)),1,MOD($A95-1,2)))=1,MIN((CROQUIS_DATOS!$C$1481)*CROQUIS_DATOS!$C$1561,((CROQUIS_DATOS!$C$1479+CROQUIS_DATOS!$C$1480)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5">
        <f>IF(AND(CROQUIS_DATOS!$C$1472=1,CROQUIS_DATOS!$C$1478&gt;=1,((CROQUIS_DATOS!$C$1479+CROQUIS_DATOS!$C$1480))-(CROQUIS_DATOS!$C$1479)&gt;0.5,(CROQUIS_DATOS!$C$1476)-((CROQUIS_DATOS!$C$1481+CROQUIS_DATOS!$C$1482))&gt;0.5),(CROQUIS_DATOS!$C$1566+(IF(IF(MOD(MIN(INT(($A95-1)/2)+1,MAX(1,INT(((((CROQUIS_DATOS!$C$1479+CROQUIS_DATOS!$C$1480))-(CROQUIS_DATOS!$C$1479))+((CROQUIS_DATOS!$C$1476)*CROQUIS_DATOS!$C$1561-((CROQUIS_DATOS!$C$1481+CROQUIS_DATOS!$C$1482))*CROQUIS_DATOS!$C$1561))/CROQUIS_DATOS!$C$1568-0.000001))),2)=1,IF(INT(($A95-1)/2)+1&gt;MAX(1,INT(((((CROQUIS_DATOS!$C$1479+CROQUIS_DATOS!$C$1480))-(CROQUIS_DATOS!$C$1479))+((CROQUIS_DATOS!$C$1476)*CROQUIS_DATOS!$C$1561-((CROQUIS_DATOS!$C$1481+CROQUIS_DATOS!$C$1482))*CROQUIS_DATOS!$C$1561))/CROQUIS_DATOS!$C$1568-0.000001)),1,MOD($A95-1,2)),1-IF(INT(($A95-1)/2)+1&gt;MAX(1,INT(((((CROQUIS_DATOS!$C$1479+CROQUIS_DATOS!$C$1480))-(CROQUIS_DATOS!$C$1479))+((CROQUIS_DATOS!$C$1476)*CROQUIS_DATOS!$C$1561-((CROQUIS_DATOS!$C$1481+CROQUIS_DATOS!$C$1482))*CROQUIS_DATOS!$C$1561))/CROQUIS_DATOS!$C$1568-0.000001)),1,MOD($A95-1,2)))=1,MIN((CROQUIS_DATOS!$C$1476)*CROQUIS_DATOS!$C$1561,((CROQUIS_DATOS!$C$1479+CROQUIS_DATOS!$C$1480)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5">
        <f>IF(AND(CROQUIS_DATOS!$C$1472=1,CROQUIS_DATOS!$C$1478&gt;=1,((CROQUIS_DATOS!$C$1479+CROQUIS_DATOS!$C$1480))-(CROQUIS_DATOS!$C$1479)&gt;0.5,(CROQUIS_DATOS!$C$1476)-((CROQUIS_DATOS!$C$1481+CROQUIS_DATOS!$C$1482))&gt;0.5),(CROQUIS_DATOS!$C$1567+(IF(IF(MOD(MIN(INT(($A95-1)/2)+1,MAX(1,INT(((((CROQUIS_DATOS!$C$1479+CROQUIS_DATOS!$C$1480))-(CROQUIS_DATOS!$C$1479))+((CROQUIS_DATOS!$C$1476)*CROQUIS_DATOS!$C$1561-((CROQUIS_DATOS!$C$1481+CROQUIS_DATOS!$C$1482))*CROQUIS_DATOS!$C$1561))/CROQUIS_DATOS!$C$1568-0.000001))),2)=1,IF(INT(($A95-1)/2)+1&gt;MAX(1,INT(((((CROQUIS_DATOS!$C$1479+CROQUIS_DATOS!$C$1480))-(CROQUIS_DATOS!$C$1479))+((CROQUIS_DATOS!$C$1476)*CROQUIS_DATOS!$C$1561-((CROQUIS_DATOS!$C$1481+CROQUIS_DATOS!$C$1482))*CROQUIS_DATOS!$C$1561))/CROQUIS_DATOS!$C$1568-0.000001)),1,MOD($A95-1,2)),1-IF(INT(($A95-1)/2)+1&gt;MAX(1,INT(((((CROQUIS_DATOS!$C$1479+CROQUIS_DATOS!$C$1480))-(CROQUIS_DATOS!$C$1479))+((CROQUIS_DATOS!$C$1476)*CROQUIS_DATOS!$C$1561-((CROQUIS_DATOS!$C$1481+CROQUIS_DATOS!$C$1482))*CROQUIS_DATOS!$C$1561))/CROQUIS_DATOS!$C$1568-0.000001)),1,MOD($A95-1,2)))=1,MIN((CROQUIS_DATOS!$C$1476)*CROQUIS_DATOS!$C$1561,((CROQUIS_DATOS!$C$1479+CROQUIS_DATOS!$C$1480)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5">
        <f>IF(AND(CROQUIS_DATOS!$C$1472=1,CROQUIS_DATOS!$C$1478&gt;=2,((CROQUIS_DATOS!$C$1484+CROQUIS_DATOS!$C$1485))-(CROQUIS_DATOS!$C$1484)&gt;0.5,(CROQUIS_DATOS!$C$1486)-(0)&gt;0.5),(CROQUIS_DATOS!$C$1566+(IF(IF(MOD(MIN(INT(($A95-1)/2)+1,MAX(1,INT(((((CROQUIS_DATOS!$C$1484+CROQUIS_DATOS!$C$1485))-(CROQUIS_DATOS!$C$1484))+((CROQUIS_DATOS!$C$1486)*CROQUIS_DATOS!$C$1561-(0)*CROQUIS_DATOS!$C$1561))/CROQUIS_DATOS!$C$1568-0.000001))),2)=1,IF(INT(($A95-1)/2)+1&gt;MAX(1,INT(((((CROQUIS_DATOS!$C$1484+CROQUIS_DATOS!$C$1485))-(CROQUIS_DATOS!$C$1484))+((CROQUIS_DATOS!$C$1486)*CROQUIS_DATOS!$C$1561-(0)*CROQUIS_DATOS!$C$1561))/CROQUIS_DATOS!$C$1568-0.000001)),1,MOD($A95-1,2)),1-IF(INT(($A95-1)/2)+1&gt;MAX(1,INT(((((CROQUIS_DATOS!$C$1484+CROQUIS_DATOS!$C$1485))-(CROQUIS_DATOS!$C$1484))+((CROQUIS_DATOS!$C$1486)*CROQUIS_DATOS!$C$1561-(0)*CROQUIS_DATOS!$C$1561))/CROQUIS_DATOS!$C$1568-0.000001)),1,MOD($A95-1,2)))=1,MIN((CROQUIS_DATOS!$C$1486)*CROQUIS_DATOS!$C$1561,((CROQUIS_DATOS!$C$1484+CROQUIS_DATOS!$C$1485)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5">
        <f>IF(AND(CROQUIS_DATOS!$C$1472=1,CROQUIS_DATOS!$C$1478&gt;=2,((CROQUIS_DATOS!$C$1484+CROQUIS_DATOS!$C$1485))-(CROQUIS_DATOS!$C$1484)&gt;0.5,(CROQUIS_DATOS!$C$1486)-(0)&gt;0.5),(CROQUIS_DATOS!$C$1567+(IF(IF(MOD(MIN(INT(($A95-1)/2)+1,MAX(1,INT(((((CROQUIS_DATOS!$C$1484+CROQUIS_DATOS!$C$1485))-(CROQUIS_DATOS!$C$1484))+((CROQUIS_DATOS!$C$1486)*CROQUIS_DATOS!$C$1561-(0)*CROQUIS_DATOS!$C$1561))/CROQUIS_DATOS!$C$1568-0.000001))),2)=1,IF(INT(($A95-1)/2)+1&gt;MAX(1,INT(((((CROQUIS_DATOS!$C$1484+CROQUIS_DATOS!$C$1485))-(CROQUIS_DATOS!$C$1484))+((CROQUIS_DATOS!$C$1486)*CROQUIS_DATOS!$C$1561-(0)*CROQUIS_DATOS!$C$1561))/CROQUIS_DATOS!$C$1568-0.000001)),1,MOD($A95-1,2)),1-IF(INT(($A95-1)/2)+1&gt;MAX(1,INT(((((CROQUIS_DATOS!$C$1484+CROQUIS_DATOS!$C$1485))-(CROQUIS_DATOS!$C$1484))+((CROQUIS_DATOS!$C$1486)*CROQUIS_DATOS!$C$1561-(0)*CROQUIS_DATOS!$C$1561))/CROQUIS_DATOS!$C$1568-0.000001)),1,MOD($A95-1,2)))=1,MIN((CROQUIS_DATOS!$C$1486)*CROQUIS_DATOS!$C$1561,((CROQUIS_DATOS!$C$1484+CROQUIS_DATOS!$C$1485)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5">
        <f>IF(AND(CROQUIS_DATOS!$C$1472=1,CROQUIS_DATOS!$C$1478&gt;=2,((CROQUIS_DATOS!$C$1484+CROQUIS_DATOS!$C$1485))-(CROQUIS_DATOS!$C$1484)&gt;0.5,(CROQUIS_DATOS!$C$1476)-((CROQUIS_DATOS!$C$1486+CROQUIS_DATOS!$C$1487))&gt;0.5),(CROQUIS_DATOS!$C$1566+(IF(IF(MOD(MIN(INT(($A95-1)/2)+1,MAX(1,INT(((((CROQUIS_DATOS!$C$1484+CROQUIS_DATOS!$C$1485))-(CROQUIS_DATOS!$C$1484))+((CROQUIS_DATOS!$C$1476)*CROQUIS_DATOS!$C$1561-((CROQUIS_DATOS!$C$1486+CROQUIS_DATOS!$C$1487))*CROQUIS_DATOS!$C$1561))/CROQUIS_DATOS!$C$1568-0.000001))),2)=1,IF(INT(($A95-1)/2)+1&gt;MAX(1,INT(((((CROQUIS_DATOS!$C$1484+CROQUIS_DATOS!$C$1485))-(CROQUIS_DATOS!$C$1484))+((CROQUIS_DATOS!$C$1476)*CROQUIS_DATOS!$C$1561-((CROQUIS_DATOS!$C$1486+CROQUIS_DATOS!$C$1487))*CROQUIS_DATOS!$C$1561))/CROQUIS_DATOS!$C$1568-0.000001)),1,MOD($A95-1,2)),1-IF(INT(($A95-1)/2)+1&gt;MAX(1,INT(((((CROQUIS_DATOS!$C$1484+CROQUIS_DATOS!$C$1485))-(CROQUIS_DATOS!$C$1484))+((CROQUIS_DATOS!$C$1476)*CROQUIS_DATOS!$C$1561-((CROQUIS_DATOS!$C$1486+CROQUIS_DATOS!$C$1487))*CROQUIS_DATOS!$C$1561))/CROQUIS_DATOS!$C$1568-0.000001)),1,MOD($A95-1,2)))=1,MIN((CROQUIS_DATOS!$C$1476)*CROQUIS_DATOS!$C$1561,((CROQUIS_DATOS!$C$1484+CROQUIS_DATOS!$C$1485)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5">
        <f>IF(AND(CROQUIS_DATOS!$C$1472=1,CROQUIS_DATOS!$C$1478&gt;=2,((CROQUIS_DATOS!$C$1484+CROQUIS_DATOS!$C$1485))-(CROQUIS_DATOS!$C$1484)&gt;0.5,(CROQUIS_DATOS!$C$1476)-((CROQUIS_DATOS!$C$1486+CROQUIS_DATOS!$C$1487))&gt;0.5),(CROQUIS_DATOS!$C$1567+(IF(IF(MOD(MIN(INT(($A95-1)/2)+1,MAX(1,INT(((((CROQUIS_DATOS!$C$1484+CROQUIS_DATOS!$C$1485))-(CROQUIS_DATOS!$C$1484))+((CROQUIS_DATOS!$C$1476)*CROQUIS_DATOS!$C$1561-((CROQUIS_DATOS!$C$1486+CROQUIS_DATOS!$C$1487))*CROQUIS_DATOS!$C$1561))/CROQUIS_DATOS!$C$1568-0.000001))),2)=1,IF(INT(($A95-1)/2)+1&gt;MAX(1,INT(((((CROQUIS_DATOS!$C$1484+CROQUIS_DATOS!$C$1485))-(CROQUIS_DATOS!$C$1484))+((CROQUIS_DATOS!$C$1476)*CROQUIS_DATOS!$C$1561-((CROQUIS_DATOS!$C$1486+CROQUIS_DATOS!$C$1487))*CROQUIS_DATOS!$C$1561))/CROQUIS_DATOS!$C$1568-0.000001)),1,MOD($A95-1,2)),1-IF(INT(($A95-1)/2)+1&gt;MAX(1,INT(((((CROQUIS_DATOS!$C$1484+CROQUIS_DATOS!$C$1485))-(CROQUIS_DATOS!$C$1484))+((CROQUIS_DATOS!$C$1476)*CROQUIS_DATOS!$C$1561-((CROQUIS_DATOS!$C$1486+CROQUIS_DATOS!$C$1487))*CROQUIS_DATOS!$C$1561))/CROQUIS_DATOS!$C$1568-0.000001)),1,MOD($A95-1,2)))=1,MIN((CROQUIS_DATOS!$C$1476)*CROQUIS_DATOS!$C$1561,((CROQUIS_DATOS!$C$1484+CROQUIS_DATOS!$C$1485)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5">
        <f>IF(AND(CROQUIS_DATOS!$C$1472=1,CROQUIS_DATOS!$C$1478&gt;=3,((CROQUIS_DATOS!$C$1489+CROQUIS_DATOS!$C$1490))-(CROQUIS_DATOS!$C$1489)&gt;0.5,(CROQUIS_DATOS!$C$1491)-(0)&gt;0.5),(CROQUIS_DATOS!$C$1566+(IF(IF(MOD(MIN(INT(($A95-1)/2)+1,MAX(1,INT(((((CROQUIS_DATOS!$C$1489+CROQUIS_DATOS!$C$1490))-(CROQUIS_DATOS!$C$1489))+((CROQUIS_DATOS!$C$1491)*CROQUIS_DATOS!$C$1561-(0)*CROQUIS_DATOS!$C$1561))/CROQUIS_DATOS!$C$1568-0.000001))),2)=1,IF(INT(($A95-1)/2)+1&gt;MAX(1,INT(((((CROQUIS_DATOS!$C$1489+CROQUIS_DATOS!$C$1490))-(CROQUIS_DATOS!$C$1489))+((CROQUIS_DATOS!$C$1491)*CROQUIS_DATOS!$C$1561-(0)*CROQUIS_DATOS!$C$1561))/CROQUIS_DATOS!$C$1568-0.000001)),1,MOD($A95-1,2)),1-IF(INT(($A95-1)/2)+1&gt;MAX(1,INT(((((CROQUIS_DATOS!$C$1489+CROQUIS_DATOS!$C$1490))-(CROQUIS_DATOS!$C$1489))+((CROQUIS_DATOS!$C$1491)*CROQUIS_DATOS!$C$1561-(0)*CROQUIS_DATOS!$C$1561))/CROQUIS_DATOS!$C$1568-0.000001)),1,MOD($A95-1,2)))=1,MIN((CROQUIS_DATOS!$C$1491)*CROQUIS_DATOS!$C$1561,((CROQUIS_DATOS!$C$1489+CROQUIS_DATOS!$C$1490)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5">
        <f>IF(AND(CROQUIS_DATOS!$C$1472=1,CROQUIS_DATOS!$C$1478&gt;=3,((CROQUIS_DATOS!$C$1489+CROQUIS_DATOS!$C$1490))-(CROQUIS_DATOS!$C$1489)&gt;0.5,(CROQUIS_DATOS!$C$1491)-(0)&gt;0.5),(CROQUIS_DATOS!$C$1567+(IF(IF(MOD(MIN(INT(($A95-1)/2)+1,MAX(1,INT(((((CROQUIS_DATOS!$C$1489+CROQUIS_DATOS!$C$1490))-(CROQUIS_DATOS!$C$1489))+((CROQUIS_DATOS!$C$1491)*CROQUIS_DATOS!$C$1561-(0)*CROQUIS_DATOS!$C$1561))/CROQUIS_DATOS!$C$1568-0.000001))),2)=1,IF(INT(($A95-1)/2)+1&gt;MAX(1,INT(((((CROQUIS_DATOS!$C$1489+CROQUIS_DATOS!$C$1490))-(CROQUIS_DATOS!$C$1489))+((CROQUIS_DATOS!$C$1491)*CROQUIS_DATOS!$C$1561-(0)*CROQUIS_DATOS!$C$1561))/CROQUIS_DATOS!$C$1568-0.000001)),1,MOD($A95-1,2)),1-IF(INT(($A95-1)/2)+1&gt;MAX(1,INT(((((CROQUIS_DATOS!$C$1489+CROQUIS_DATOS!$C$1490))-(CROQUIS_DATOS!$C$1489))+((CROQUIS_DATOS!$C$1491)*CROQUIS_DATOS!$C$1561-(0)*CROQUIS_DATOS!$C$1561))/CROQUIS_DATOS!$C$1568-0.000001)),1,MOD($A95-1,2)))=1,MIN((CROQUIS_DATOS!$C$1491)*CROQUIS_DATOS!$C$1561,((CROQUIS_DATOS!$C$1489+CROQUIS_DATOS!$C$1490)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5">
        <f>IF(AND(CROQUIS_DATOS!$C$1472=1,CROQUIS_DATOS!$C$1478&gt;=3,((CROQUIS_DATOS!$C$1489+CROQUIS_DATOS!$C$1490))-(CROQUIS_DATOS!$C$1489)&gt;0.5,(CROQUIS_DATOS!$C$1476)-((CROQUIS_DATOS!$C$1491+CROQUIS_DATOS!$C$1492))&gt;0.5),(CROQUIS_DATOS!$C$1566+(IF(IF(MOD(MIN(INT(($A95-1)/2)+1,MAX(1,INT(((((CROQUIS_DATOS!$C$1489+CROQUIS_DATOS!$C$1490))-(CROQUIS_DATOS!$C$1489))+((CROQUIS_DATOS!$C$1476)*CROQUIS_DATOS!$C$1561-((CROQUIS_DATOS!$C$1491+CROQUIS_DATOS!$C$1492))*CROQUIS_DATOS!$C$1561))/CROQUIS_DATOS!$C$1568-0.000001))),2)=1,IF(INT(($A95-1)/2)+1&gt;MAX(1,INT(((((CROQUIS_DATOS!$C$1489+CROQUIS_DATOS!$C$1490))-(CROQUIS_DATOS!$C$1489))+((CROQUIS_DATOS!$C$1476)*CROQUIS_DATOS!$C$1561-((CROQUIS_DATOS!$C$1491+CROQUIS_DATOS!$C$1492))*CROQUIS_DATOS!$C$1561))/CROQUIS_DATOS!$C$1568-0.000001)),1,MOD($A95-1,2)),1-IF(INT(($A95-1)/2)+1&gt;MAX(1,INT(((((CROQUIS_DATOS!$C$1489+CROQUIS_DATOS!$C$1490))-(CROQUIS_DATOS!$C$1489))+((CROQUIS_DATOS!$C$1476)*CROQUIS_DATOS!$C$1561-((CROQUIS_DATOS!$C$1491+CROQUIS_DATOS!$C$1492))*CROQUIS_DATOS!$C$1561))/CROQUIS_DATOS!$C$1568-0.000001)),1,MOD($A95-1,2)))=1,MIN((CROQUIS_DATOS!$C$1476)*CROQUIS_DATOS!$C$1561,((CROQUIS_DATOS!$C$1489+CROQUIS_DATOS!$C$1490)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5">
        <f>IF(AND(CROQUIS_DATOS!$C$1472=1,CROQUIS_DATOS!$C$1478&gt;=3,((CROQUIS_DATOS!$C$1489+CROQUIS_DATOS!$C$1490))-(CROQUIS_DATOS!$C$1489)&gt;0.5,(CROQUIS_DATOS!$C$1476)-((CROQUIS_DATOS!$C$1491+CROQUIS_DATOS!$C$1492))&gt;0.5),(CROQUIS_DATOS!$C$1567+(IF(IF(MOD(MIN(INT(($A95-1)/2)+1,MAX(1,INT(((((CROQUIS_DATOS!$C$1489+CROQUIS_DATOS!$C$1490))-(CROQUIS_DATOS!$C$1489))+((CROQUIS_DATOS!$C$1476)*CROQUIS_DATOS!$C$1561-((CROQUIS_DATOS!$C$1491+CROQUIS_DATOS!$C$1492))*CROQUIS_DATOS!$C$1561))/CROQUIS_DATOS!$C$1568-0.000001))),2)=1,IF(INT(($A95-1)/2)+1&gt;MAX(1,INT(((((CROQUIS_DATOS!$C$1489+CROQUIS_DATOS!$C$1490))-(CROQUIS_DATOS!$C$1489))+((CROQUIS_DATOS!$C$1476)*CROQUIS_DATOS!$C$1561-((CROQUIS_DATOS!$C$1491+CROQUIS_DATOS!$C$1492))*CROQUIS_DATOS!$C$1561))/CROQUIS_DATOS!$C$1568-0.000001)),1,MOD($A95-1,2)),1-IF(INT(($A95-1)/2)+1&gt;MAX(1,INT(((((CROQUIS_DATOS!$C$1489+CROQUIS_DATOS!$C$1490))-(CROQUIS_DATOS!$C$1489))+((CROQUIS_DATOS!$C$1476)*CROQUIS_DATOS!$C$1561-((CROQUIS_DATOS!$C$1491+CROQUIS_DATOS!$C$1492))*CROQUIS_DATOS!$C$1561))/CROQUIS_DATOS!$C$1568-0.000001)),1,MOD($A95-1,2)))=1,MIN((CROQUIS_DATOS!$C$1476)*CROQUIS_DATOS!$C$1561,((CROQUIS_DATOS!$C$1489+CROQUIS_DATOS!$C$1490)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5">
        <f>IF(AND(CROQUIS_DATOS!$C$1472=1,CROQUIS_DATOS!$C$1478&gt;=4,((CROQUIS_DATOS!$C$1494+CROQUIS_DATOS!$C$1495))-(CROQUIS_DATOS!$C$1494)&gt;0.5,(CROQUIS_DATOS!$C$1496)-(0)&gt;0.5),(CROQUIS_DATOS!$C$1566+(IF(IF(MOD(MIN(INT(($A95-1)/2)+1,MAX(1,INT(((((CROQUIS_DATOS!$C$1494+CROQUIS_DATOS!$C$1495))-(CROQUIS_DATOS!$C$1494))+((CROQUIS_DATOS!$C$1496)*CROQUIS_DATOS!$C$1561-(0)*CROQUIS_DATOS!$C$1561))/CROQUIS_DATOS!$C$1568-0.000001))),2)=1,IF(INT(($A95-1)/2)+1&gt;MAX(1,INT(((((CROQUIS_DATOS!$C$1494+CROQUIS_DATOS!$C$1495))-(CROQUIS_DATOS!$C$1494))+((CROQUIS_DATOS!$C$1496)*CROQUIS_DATOS!$C$1561-(0)*CROQUIS_DATOS!$C$1561))/CROQUIS_DATOS!$C$1568-0.000001)),1,MOD($A95-1,2)),1-IF(INT(($A95-1)/2)+1&gt;MAX(1,INT(((((CROQUIS_DATOS!$C$1494+CROQUIS_DATOS!$C$1495))-(CROQUIS_DATOS!$C$1494))+((CROQUIS_DATOS!$C$1496)*CROQUIS_DATOS!$C$1561-(0)*CROQUIS_DATOS!$C$1561))/CROQUIS_DATOS!$C$1568-0.000001)),1,MOD($A95-1,2)))=1,MIN((CROQUIS_DATOS!$C$1496)*CROQUIS_DATOS!$C$1561,((CROQUIS_DATOS!$C$1494+CROQUIS_DATOS!$C$1495)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5">
        <f>IF(AND(CROQUIS_DATOS!$C$1472=1,CROQUIS_DATOS!$C$1478&gt;=4,((CROQUIS_DATOS!$C$1494+CROQUIS_DATOS!$C$1495))-(CROQUIS_DATOS!$C$1494)&gt;0.5,(CROQUIS_DATOS!$C$1496)-(0)&gt;0.5),(CROQUIS_DATOS!$C$1567+(IF(IF(MOD(MIN(INT(($A95-1)/2)+1,MAX(1,INT(((((CROQUIS_DATOS!$C$1494+CROQUIS_DATOS!$C$1495))-(CROQUIS_DATOS!$C$1494))+((CROQUIS_DATOS!$C$1496)*CROQUIS_DATOS!$C$1561-(0)*CROQUIS_DATOS!$C$1561))/CROQUIS_DATOS!$C$1568-0.000001))),2)=1,IF(INT(($A95-1)/2)+1&gt;MAX(1,INT(((((CROQUIS_DATOS!$C$1494+CROQUIS_DATOS!$C$1495))-(CROQUIS_DATOS!$C$1494))+((CROQUIS_DATOS!$C$1496)*CROQUIS_DATOS!$C$1561-(0)*CROQUIS_DATOS!$C$1561))/CROQUIS_DATOS!$C$1568-0.000001)),1,MOD($A95-1,2)),1-IF(INT(($A95-1)/2)+1&gt;MAX(1,INT(((((CROQUIS_DATOS!$C$1494+CROQUIS_DATOS!$C$1495))-(CROQUIS_DATOS!$C$1494))+((CROQUIS_DATOS!$C$1496)*CROQUIS_DATOS!$C$1561-(0)*CROQUIS_DATOS!$C$1561))/CROQUIS_DATOS!$C$1568-0.000001)),1,MOD($A95-1,2)))=1,MIN((CROQUIS_DATOS!$C$1496)*CROQUIS_DATOS!$C$1561,((CROQUIS_DATOS!$C$1494+CROQUIS_DATOS!$C$1495)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5">
        <f>IF(AND(CROQUIS_DATOS!$C$1472=1,CROQUIS_DATOS!$C$1478&gt;=4,((CROQUIS_DATOS!$C$1494+CROQUIS_DATOS!$C$1495))-(CROQUIS_DATOS!$C$1494)&gt;0.5,(CROQUIS_DATOS!$C$1476)-((CROQUIS_DATOS!$C$1496+CROQUIS_DATOS!$C$1497))&gt;0.5),(CROQUIS_DATOS!$C$1566+(IF(IF(MOD(MIN(INT(($A95-1)/2)+1,MAX(1,INT(((((CROQUIS_DATOS!$C$1494+CROQUIS_DATOS!$C$1495))-(CROQUIS_DATOS!$C$1494))+((CROQUIS_DATOS!$C$1476)*CROQUIS_DATOS!$C$1561-((CROQUIS_DATOS!$C$1496+CROQUIS_DATOS!$C$1497))*CROQUIS_DATOS!$C$1561))/CROQUIS_DATOS!$C$1568-0.000001))),2)=1,IF(INT(($A95-1)/2)+1&gt;MAX(1,INT(((((CROQUIS_DATOS!$C$1494+CROQUIS_DATOS!$C$1495))-(CROQUIS_DATOS!$C$1494))+((CROQUIS_DATOS!$C$1476)*CROQUIS_DATOS!$C$1561-((CROQUIS_DATOS!$C$1496+CROQUIS_DATOS!$C$1497))*CROQUIS_DATOS!$C$1561))/CROQUIS_DATOS!$C$1568-0.000001)),1,MOD($A95-1,2)),1-IF(INT(($A95-1)/2)+1&gt;MAX(1,INT(((((CROQUIS_DATOS!$C$1494+CROQUIS_DATOS!$C$1495))-(CROQUIS_DATOS!$C$1494))+((CROQUIS_DATOS!$C$1476)*CROQUIS_DATOS!$C$1561-((CROQUIS_DATOS!$C$1496+CROQUIS_DATOS!$C$1497))*CROQUIS_DATOS!$C$1561))/CROQUIS_DATOS!$C$1568-0.000001)),1,MOD($A95-1,2)))=1,MIN((CROQUIS_DATOS!$C$1476)*CROQUIS_DATOS!$C$1561,((CROQUIS_DATOS!$C$1494+CROQUIS_DATOS!$C$1495)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5">
        <f>IF(AND(CROQUIS_DATOS!$C$1472=1,CROQUIS_DATOS!$C$1478&gt;=4,((CROQUIS_DATOS!$C$1494+CROQUIS_DATOS!$C$1495))-(CROQUIS_DATOS!$C$1494)&gt;0.5,(CROQUIS_DATOS!$C$1476)-((CROQUIS_DATOS!$C$1496+CROQUIS_DATOS!$C$1497))&gt;0.5),(CROQUIS_DATOS!$C$1567+(IF(IF(MOD(MIN(INT(($A95-1)/2)+1,MAX(1,INT(((((CROQUIS_DATOS!$C$1494+CROQUIS_DATOS!$C$1495))-(CROQUIS_DATOS!$C$1494))+((CROQUIS_DATOS!$C$1476)*CROQUIS_DATOS!$C$1561-((CROQUIS_DATOS!$C$1496+CROQUIS_DATOS!$C$1497))*CROQUIS_DATOS!$C$1561))/CROQUIS_DATOS!$C$1568-0.000001))),2)=1,IF(INT(($A95-1)/2)+1&gt;MAX(1,INT(((((CROQUIS_DATOS!$C$1494+CROQUIS_DATOS!$C$1495))-(CROQUIS_DATOS!$C$1494))+((CROQUIS_DATOS!$C$1476)*CROQUIS_DATOS!$C$1561-((CROQUIS_DATOS!$C$1496+CROQUIS_DATOS!$C$1497))*CROQUIS_DATOS!$C$1561))/CROQUIS_DATOS!$C$1568-0.000001)),1,MOD($A95-1,2)),1-IF(INT(($A95-1)/2)+1&gt;MAX(1,INT(((((CROQUIS_DATOS!$C$1494+CROQUIS_DATOS!$C$1495))-(CROQUIS_DATOS!$C$1494))+((CROQUIS_DATOS!$C$1476)*CROQUIS_DATOS!$C$1561-((CROQUIS_DATOS!$C$1496+CROQUIS_DATOS!$C$1497))*CROQUIS_DATOS!$C$1561))/CROQUIS_DATOS!$C$1568-0.000001)),1,MOD($A95-1,2)))=1,MIN((CROQUIS_DATOS!$C$1476)*CROQUIS_DATOS!$C$1561,((CROQUIS_DATOS!$C$1494+CROQUIS_DATOS!$C$1495)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6">
      <c r="A96" t="n">
        <v>89</v>
      </c>
      <c r="N96">
        <f>IF(AND(CROQUIS_DATOS!$C$1472=1,1),(CROQUIS_DATOS!$C$1563+(IF(IF(IF(INT(($A96-1)/70)+1&gt;CROQUIS_DATOS!$C$1525,70,MOD($A96-1,70)+1)=1,0,IF(IF(INT(($A96-1)/70)+1&gt;CROQUIS_DATOS!$C$1525,70,MOD($A96-1,70)+1)&gt;2*CROQUIS_DATOS!$C$1541+1,IF(MOD(CROQUIS_DATOS!$C$1541,2)=1,1,0),IF(MOD(MIN(INT((IF(INT(($A96-1)/70)+1&gt;CROQUIS_DATOS!$C$1525,70,MOD($A96-1,70)+1)-2)/2)+1,CROQUIS_DATOS!$C$1541),2)=1,IF(MOD(IF(INT(($A96-1)/70)+1&gt;CROQUIS_DATOS!$C$1525,70,MOD($A96-1,70)+1)-2,2)=0,0,1),IF(MOD(IF(INT(($A96-1)/70)+1&gt;CROQUIS_DATOS!$C$1525,70,MOD($A96-1,70)+1)-2,2)=0,1,0))))=0,(INDEX($E$8:$E$23,MIN(INT(($A96-1)/70)+1,CROQUIS_DATOS!$C$1525))-INDEX($F$8:$F$23,MIN(INT(($A96-1)/70)+1,CROQUIS_DATOS!$C$1525))/2),(INDEX($E$8:$E$23,MIN(INT(($A96-1)/70)+1,CROQUIS_DATOS!$C$1525))+INDEX($F$8:$F$23,MIN(INT(($A96-1)/70)+1,CROQUIS_DATOS!$C$1525))/2)))*CROQUIS_DATOS!$C$1562),-1000)</f>
        <v>20.6724137931034</v>
      </c>
      <c r="O96">
        <f>IF(AND(CROQUIS_DATOS!$C$1472=1,1),(CROQUIS_DATOS!$C$1564+(IF(OR(IF(INT(($A96-1)/70)+1&gt;CROQUIS_DATOS!$C$1525,70,MOD($A96-1,70)+1)=1,IF(INT(($A96-1)/70)+1&gt;CROQUIS_DATOS!$C$1525,70,MOD($A96-1,70)+1)&gt;2*CROQUIS_DATOS!$C$1541+1),CROQUIS_DATOS!$C$1476,INDEX($H$8:$H$41,MIN(INT((IF(INT(($A96-1)/70)+1&gt;CROQUIS_DATOS!$C$1525,70,MOD($A96-1,70)+1)-2)/2)+1,CROQUIS_DATOS!$C$1541))))*CROQUIS_DATOS!$C$1561*CROQUIS_DATOS!$C$1562),-1000)</f>
        <v>21.3922413793103</v>
      </c>
      <c r="P96">
        <f>IF(AND(CROQUIS_DATOS!$C$1472=1,CROQUIS_DATOS!$C$1555=1),(CROQUIS_DATOS!$C$1563+(IF(IF(OR(MOD($A96-1,62)+1=1,IF(CHOOSE(MIN(MAX(MIN(INT(($A96-1)/62)+1,5),1),5),CROQUIS_DATOS!$C$1501,CROQUIS_DATOS!$C$1505,CROQUIS_DATOS!$C$1509,CROQUIS_DATOS!$C$1513,CROQUIS_DATOS!$C$1517)=1,CROQUIS_DATOS!$C$1557,0)=0),0,IF(MOD($A96-1,62)+1&gt;2*IF(CHOOSE(MIN(MAX(MIN(INT(($A96-1)/62)+1,5),1),5),CROQUIS_DATOS!$C$1501,CROQUIS_DATOS!$C$1505,CROQUIS_DATOS!$C$1509,CROQUIS_DATOS!$C$1513,CROQUIS_DATOS!$C$1517)=1,CROQUIS_DATOS!$C$1557,0)+1,IF(MOD(IF(CHOOSE(MIN(MAX(MIN(INT(($A96-1)/62)+1,5),1),5),CROQUIS_DATOS!$C$1501,CROQUIS_DATOS!$C$1505,CROQUIS_DATOS!$C$1509,CROQUIS_DATOS!$C$1513,CROQUIS_DATOS!$C$1517)=1,CROQUIS_DATOS!$C$1557,0),2)=1,1,0),IF(MOD(MIN(INT((MOD($A96-1,62)+1-2)/2)+1,MAX(IF(CHOOSE(MIN(MAX(MIN(INT(($A96-1)/62)+1,5),1),5),CROQUIS_DATOS!$C$1501,CROQUIS_DATOS!$C$1505,CROQUIS_DATOS!$C$1509,CROQUIS_DATOS!$C$1513,CROQUIS_DATOS!$C$1517)=1,CROQUIS_DATOS!$C$1557,0),1)),2)=1,IF(MOD(MOD($A96-1,62)+1-2,2)=0,0,1),IF(MOD(MOD($A96-1,62)+1-2,2)=0,1,0))))=0,(CHOOSE(MIN(MAX(MIN(INT(($A96-1)/62)+1,5),1),5),CROQUIS_DATOS!$C$1499,CROQUIS_DATOS!$C$1503,CROQUIS_DATOS!$C$1507,CROQUIS_DATOS!$C$1511,CROQUIS_DATOS!$C$1515)+IF(CHOOSE(MIN(MAX(MIN(INT(($A96-1)/62)+1,5),1),5),CROQUIS_DATOS!$C$1501,CROQUIS_DATOS!$C$1505,CROQUIS_DATOS!$C$1509,CROQUIS_DATOS!$C$1513,CROQUIS_DATOS!$C$1517)=1,CROQUIS_DATOS!$C$1526,0)),(CHOOSE(MIN(MAX(MIN(INT(($A96-1)/62)+1,5),1),5),CROQUIS_DATOS!$C$1499,CROQUIS_DATOS!$C$1503,CROQUIS_DATOS!$C$1507,CROQUIS_DATOS!$C$1511,CROQUIS_DATOS!$C$1515)+CHOOSE(MIN(MAX(MIN(INT(($A96-1)/62)+1,5),1),5),CROQUIS_DATOS!$C$1500,CROQUIS_DATOS!$C$1504,CROQUIS_DATOS!$C$1508,CROQUIS_DATOS!$C$1512,CROQUIS_DATOS!$C$1516)-IF(CHOOSE(MIN(MAX(MIN(INT(($A96-1)/62)+1,5),1),5),CROQUIS_DATOS!$C$1501,CROQUIS_DATOS!$C$1505,CROQUIS_DATOS!$C$1509,CROQUIS_DATOS!$C$1513,CROQUIS_DATOS!$C$1517)=1,CROQUIS_DATOS!$C$1526,0))))*CROQUIS_DATOS!$C$1562),-1000)</f>
        <v>-1000</v>
      </c>
      <c r="Q96">
        <f>IF(AND(CROQUIS_DATOS!$C$1472=1,CROQUIS_DATOS!$C$1555=1),(CROQUIS_DATOS!$C$1564+(IF(OR(OR(MOD($A96-1,62)+1=1,IF(CHOOSE(MIN(MAX(MIN(INT(($A96-1)/62)+1,5),1),5),CROQUIS_DATOS!$C$1501,CROQUIS_DATOS!$C$1505,CROQUIS_DATOS!$C$1509,CROQUIS_DATOS!$C$1513,CROQUIS_DATOS!$C$1517)=1,CROQUIS_DATOS!$C$1557,0)=0),MOD($A96-1,62)+1&gt;2*IF(CHOOSE(MIN(MAX(MIN(INT(($A96-1)/62)+1,5),1),5),CROQUIS_DATOS!$C$1501,CROQUIS_DATOS!$C$1505,CROQUIS_DATOS!$C$1509,CROQUIS_DATOS!$C$1513,CROQUIS_DATOS!$C$1517)=1,CROQUIS_DATOS!$C$1557,0)+1),CROQUIS_DATOS!$C$1476,MIN(INT((MOD($A96-1,62)+1-2)/2)+1,MAX(IF(CHOOSE(MIN(MAX(MIN(INT(($A96-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6">
        <f>IF(AND(CROQUIS_DATOS!$C$1472=1,1),(CROQUIS_DATOS!$C$1563+(MIN(INT(($A96-1)/2)+1,CROQUIS_DATOS!$C$1558)*CROQUIS_DATOS!$C$1559)*CROQUIS_DATOS!$C$1562),-1000)</f>
        <v>82.2281167108753</v>
      </c>
      <c r="U96">
        <f>IF(AND(CROQUIS_DATOS!$C$1472=1,1),(CROQUIS_DATOS!$C$1564+(IF(INT(($A96-1)/2)+1&gt;CROQUIS_DATOS!$C$1558,IF(MOD(CROQUIS_DATOS!$C$1558,2)=1,CROQUIS_DATOS!$C$1476+CROQUIS_DATOS!$C$1528,CROQUIS_DATOS!$C$1476),IF(IF(MOD(MIN(INT(($A96-1)/2)+1,CROQUIS_DATOS!$C$1558),2)=1,MOD($A96-1,2),1-MOD($A96-1,2))=1,CROQUIS_DATOS!$C$1476+CROQUIS_DATOS!$C$1528,CROQUIS_DATOS!$C$1476)))*CROQUIS_DATOS!$C$1561*CROQUIS_DATOS!$C$1562),-1000)</f>
        <v>43</v>
      </c>
      <c r="BZ96">
        <f>IF(AND(CROQUIS_DATOS!$C$1472=1,CROQUIS_DATOS!$C$1500&gt;0,((CROQUIS_DATOS!$C$1499+CROQUIS_DATOS!$C$1500))-(CROQUIS_DATOS!$C$1499)&gt;0.5,(CROQUIS_DATOS!$C$1476)-(0)&gt;0.5),(CROQUIS_DATOS!$C$1566+(IF(IF(MOD(MIN(INT(($A96-1)/2)+1,MAX(1,INT(((((CROQUIS_DATOS!$C$1499+CROQUIS_DATOS!$C$1500))-(CROQUIS_DATOS!$C$1499))+((CROQUIS_DATOS!$C$1476)*CROQUIS_DATOS!$C$1561-(0)*CROQUIS_DATOS!$C$1561))/CROQUIS_DATOS!$C$1568-0.000001))),2)=1,IF(INT(($A96-1)/2)+1&gt;MAX(1,INT(((((CROQUIS_DATOS!$C$1499+CROQUIS_DATOS!$C$1500))-(CROQUIS_DATOS!$C$1499))+((CROQUIS_DATOS!$C$1476)*CROQUIS_DATOS!$C$1561-(0)*CROQUIS_DATOS!$C$1561))/CROQUIS_DATOS!$C$1568-0.000001)),1,MOD($A96-1,2)),1-IF(INT(($A96-1)/2)+1&gt;MAX(1,INT(((((CROQUIS_DATOS!$C$1499+CROQUIS_DATOS!$C$1500))-(CROQUIS_DATOS!$C$1499))+((CROQUIS_DATOS!$C$1476)*CROQUIS_DATOS!$C$1561-(0)*CROQUIS_DATOS!$C$1561))/CROQUIS_DATOS!$C$1568-0.000001)),1,MOD($A96-1,2)))=1,MIN((CROQUIS_DATOS!$C$1476)*CROQUIS_DATOS!$C$1561,((CROQUIS_DATOS!$C$1499+CROQUIS_DATOS!$C$1500)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6">
        <f>IF(AND(CROQUIS_DATOS!$C$1472=1,CROQUIS_DATOS!$C$1500&gt;0,((CROQUIS_DATOS!$C$1499+CROQUIS_DATOS!$C$1500))-(CROQUIS_DATOS!$C$1499)&gt;0.5,(CROQUIS_DATOS!$C$1476)-(0)&gt;0.5),(CROQUIS_DATOS!$C$1567+(IF(IF(MOD(MIN(INT(($A96-1)/2)+1,MAX(1,INT(((((CROQUIS_DATOS!$C$1499+CROQUIS_DATOS!$C$1500))-(CROQUIS_DATOS!$C$1499))+((CROQUIS_DATOS!$C$1476)*CROQUIS_DATOS!$C$1561-(0)*CROQUIS_DATOS!$C$1561))/CROQUIS_DATOS!$C$1568-0.000001))),2)=1,IF(INT(($A96-1)/2)+1&gt;MAX(1,INT(((((CROQUIS_DATOS!$C$1499+CROQUIS_DATOS!$C$1500))-(CROQUIS_DATOS!$C$1499))+((CROQUIS_DATOS!$C$1476)*CROQUIS_DATOS!$C$1561-(0)*CROQUIS_DATOS!$C$1561))/CROQUIS_DATOS!$C$1568-0.000001)),1,MOD($A96-1,2)),1-IF(INT(($A96-1)/2)+1&gt;MAX(1,INT(((((CROQUIS_DATOS!$C$1499+CROQUIS_DATOS!$C$1500))-(CROQUIS_DATOS!$C$1499))+((CROQUIS_DATOS!$C$1476)*CROQUIS_DATOS!$C$1561-(0)*CROQUIS_DATOS!$C$1561))/CROQUIS_DATOS!$C$1568-0.000001)),1,MOD($A96-1,2)))=1,MIN((CROQUIS_DATOS!$C$1476)*CROQUIS_DATOS!$C$1561,((CROQUIS_DATOS!$C$1499+CROQUIS_DATOS!$C$1500)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6">
        <f>IF(AND(CROQUIS_DATOS!$C$1472=1,CROQUIS_DATOS!$C$1504&gt;0,((CROQUIS_DATOS!$C$1503+CROQUIS_DATOS!$C$1504))-(CROQUIS_DATOS!$C$1503)&gt;0.5,(CROQUIS_DATOS!$C$1476)-(0)&gt;0.5),(CROQUIS_DATOS!$C$1566+(IF(IF(MOD(MIN(INT(($A96-1)/2)+1,MAX(1,INT(((((CROQUIS_DATOS!$C$1503+CROQUIS_DATOS!$C$1504))-(CROQUIS_DATOS!$C$1503))+((CROQUIS_DATOS!$C$1476)*CROQUIS_DATOS!$C$1561-(0)*CROQUIS_DATOS!$C$1561))/CROQUIS_DATOS!$C$1568-0.000001))),2)=1,IF(INT(($A96-1)/2)+1&gt;MAX(1,INT(((((CROQUIS_DATOS!$C$1503+CROQUIS_DATOS!$C$1504))-(CROQUIS_DATOS!$C$1503))+((CROQUIS_DATOS!$C$1476)*CROQUIS_DATOS!$C$1561-(0)*CROQUIS_DATOS!$C$1561))/CROQUIS_DATOS!$C$1568-0.000001)),1,MOD($A96-1,2)),1-IF(INT(($A96-1)/2)+1&gt;MAX(1,INT(((((CROQUIS_DATOS!$C$1503+CROQUIS_DATOS!$C$1504))-(CROQUIS_DATOS!$C$1503))+((CROQUIS_DATOS!$C$1476)*CROQUIS_DATOS!$C$1561-(0)*CROQUIS_DATOS!$C$1561))/CROQUIS_DATOS!$C$1568-0.000001)),1,MOD($A96-1,2)))=1,MIN((CROQUIS_DATOS!$C$1476)*CROQUIS_DATOS!$C$1561,((CROQUIS_DATOS!$C$1503+CROQUIS_DATOS!$C$1504)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6">
        <f>IF(AND(CROQUIS_DATOS!$C$1472=1,CROQUIS_DATOS!$C$1504&gt;0,((CROQUIS_DATOS!$C$1503+CROQUIS_DATOS!$C$1504))-(CROQUIS_DATOS!$C$1503)&gt;0.5,(CROQUIS_DATOS!$C$1476)-(0)&gt;0.5),(CROQUIS_DATOS!$C$1567+(IF(IF(MOD(MIN(INT(($A96-1)/2)+1,MAX(1,INT(((((CROQUIS_DATOS!$C$1503+CROQUIS_DATOS!$C$1504))-(CROQUIS_DATOS!$C$1503))+((CROQUIS_DATOS!$C$1476)*CROQUIS_DATOS!$C$1561-(0)*CROQUIS_DATOS!$C$1561))/CROQUIS_DATOS!$C$1568-0.000001))),2)=1,IF(INT(($A96-1)/2)+1&gt;MAX(1,INT(((((CROQUIS_DATOS!$C$1503+CROQUIS_DATOS!$C$1504))-(CROQUIS_DATOS!$C$1503))+((CROQUIS_DATOS!$C$1476)*CROQUIS_DATOS!$C$1561-(0)*CROQUIS_DATOS!$C$1561))/CROQUIS_DATOS!$C$1568-0.000001)),1,MOD($A96-1,2)),1-IF(INT(($A96-1)/2)+1&gt;MAX(1,INT(((((CROQUIS_DATOS!$C$1503+CROQUIS_DATOS!$C$1504))-(CROQUIS_DATOS!$C$1503))+((CROQUIS_DATOS!$C$1476)*CROQUIS_DATOS!$C$1561-(0)*CROQUIS_DATOS!$C$1561))/CROQUIS_DATOS!$C$1568-0.000001)),1,MOD($A96-1,2)))=1,MIN((CROQUIS_DATOS!$C$1476)*CROQUIS_DATOS!$C$1561,((CROQUIS_DATOS!$C$1503+CROQUIS_DATOS!$C$1504)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6">
        <f>IF(AND(CROQUIS_DATOS!$C$1472=1,CROQUIS_DATOS!$C$1508&gt;0,((CROQUIS_DATOS!$C$1507+CROQUIS_DATOS!$C$1508))-(CROQUIS_DATOS!$C$1507)&gt;0.5,(CROQUIS_DATOS!$C$1476)-(0)&gt;0.5),(CROQUIS_DATOS!$C$1566+(IF(IF(MOD(MIN(INT(($A96-1)/2)+1,MAX(1,INT(((((CROQUIS_DATOS!$C$1507+CROQUIS_DATOS!$C$1508))-(CROQUIS_DATOS!$C$1507))+((CROQUIS_DATOS!$C$1476)*CROQUIS_DATOS!$C$1561-(0)*CROQUIS_DATOS!$C$1561))/CROQUIS_DATOS!$C$1568-0.000001))),2)=1,IF(INT(($A96-1)/2)+1&gt;MAX(1,INT(((((CROQUIS_DATOS!$C$1507+CROQUIS_DATOS!$C$1508))-(CROQUIS_DATOS!$C$1507))+((CROQUIS_DATOS!$C$1476)*CROQUIS_DATOS!$C$1561-(0)*CROQUIS_DATOS!$C$1561))/CROQUIS_DATOS!$C$1568-0.000001)),1,MOD($A96-1,2)),1-IF(INT(($A96-1)/2)+1&gt;MAX(1,INT(((((CROQUIS_DATOS!$C$1507+CROQUIS_DATOS!$C$1508))-(CROQUIS_DATOS!$C$1507))+((CROQUIS_DATOS!$C$1476)*CROQUIS_DATOS!$C$1561-(0)*CROQUIS_DATOS!$C$1561))/CROQUIS_DATOS!$C$1568-0.000001)),1,MOD($A96-1,2)))=1,MIN((CROQUIS_DATOS!$C$1476)*CROQUIS_DATOS!$C$1561,((CROQUIS_DATOS!$C$1507+CROQUIS_DATOS!$C$1508)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6">
        <f>IF(AND(CROQUIS_DATOS!$C$1472=1,CROQUIS_DATOS!$C$1508&gt;0,((CROQUIS_DATOS!$C$1507+CROQUIS_DATOS!$C$1508))-(CROQUIS_DATOS!$C$1507)&gt;0.5,(CROQUIS_DATOS!$C$1476)-(0)&gt;0.5),(CROQUIS_DATOS!$C$1567+(IF(IF(MOD(MIN(INT(($A96-1)/2)+1,MAX(1,INT(((((CROQUIS_DATOS!$C$1507+CROQUIS_DATOS!$C$1508))-(CROQUIS_DATOS!$C$1507))+((CROQUIS_DATOS!$C$1476)*CROQUIS_DATOS!$C$1561-(0)*CROQUIS_DATOS!$C$1561))/CROQUIS_DATOS!$C$1568-0.000001))),2)=1,IF(INT(($A96-1)/2)+1&gt;MAX(1,INT(((((CROQUIS_DATOS!$C$1507+CROQUIS_DATOS!$C$1508))-(CROQUIS_DATOS!$C$1507))+((CROQUIS_DATOS!$C$1476)*CROQUIS_DATOS!$C$1561-(0)*CROQUIS_DATOS!$C$1561))/CROQUIS_DATOS!$C$1568-0.000001)),1,MOD($A96-1,2)),1-IF(INT(($A96-1)/2)+1&gt;MAX(1,INT(((((CROQUIS_DATOS!$C$1507+CROQUIS_DATOS!$C$1508))-(CROQUIS_DATOS!$C$1507))+((CROQUIS_DATOS!$C$1476)*CROQUIS_DATOS!$C$1561-(0)*CROQUIS_DATOS!$C$1561))/CROQUIS_DATOS!$C$1568-0.000001)),1,MOD($A96-1,2)))=1,MIN((CROQUIS_DATOS!$C$1476)*CROQUIS_DATOS!$C$1561,((CROQUIS_DATOS!$C$1507+CROQUIS_DATOS!$C$1508)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6">
        <f>IF(AND(CROQUIS_DATOS!$C$1472=1,CROQUIS_DATOS!$C$1512&gt;0,((CROQUIS_DATOS!$C$1511+CROQUIS_DATOS!$C$1512))-(CROQUIS_DATOS!$C$1511)&gt;0.5,(CROQUIS_DATOS!$C$1476)-(0)&gt;0.5),(CROQUIS_DATOS!$C$1566+(IF(IF(MOD(MIN(INT(($A96-1)/2)+1,MAX(1,INT(((((CROQUIS_DATOS!$C$1511+CROQUIS_DATOS!$C$1512))-(CROQUIS_DATOS!$C$1511))+((CROQUIS_DATOS!$C$1476)*CROQUIS_DATOS!$C$1561-(0)*CROQUIS_DATOS!$C$1561))/CROQUIS_DATOS!$C$1568-0.000001))),2)=1,IF(INT(($A96-1)/2)+1&gt;MAX(1,INT(((((CROQUIS_DATOS!$C$1511+CROQUIS_DATOS!$C$1512))-(CROQUIS_DATOS!$C$1511))+((CROQUIS_DATOS!$C$1476)*CROQUIS_DATOS!$C$1561-(0)*CROQUIS_DATOS!$C$1561))/CROQUIS_DATOS!$C$1568-0.000001)),1,MOD($A96-1,2)),1-IF(INT(($A96-1)/2)+1&gt;MAX(1,INT(((((CROQUIS_DATOS!$C$1511+CROQUIS_DATOS!$C$1512))-(CROQUIS_DATOS!$C$1511))+((CROQUIS_DATOS!$C$1476)*CROQUIS_DATOS!$C$1561-(0)*CROQUIS_DATOS!$C$1561))/CROQUIS_DATOS!$C$1568-0.000001)),1,MOD($A96-1,2)))=1,MIN((CROQUIS_DATOS!$C$1476)*CROQUIS_DATOS!$C$1561,((CROQUIS_DATOS!$C$1511+CROQUIS_DATOS!$C$1512)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6">
        <f>IF(AND(CROQUIS_DATOS!$C$1472=1,CROQUIS_DATOS!$C$1512&gt;0,((CROQUIS_DATOS!$C$1511+CROQUIS_DATOS!$C$1512))-(CROQUIS_DATOS!$C$1511)&gt;0.5,(CROQUIS_DATOS!$C$1476)-(0)&gt;0.5),(CROQUIS_DATOS!$C$1567+(IF(IF(MOD(MIN(INT(($A96-1)/2)+1,MAX(1,INT(((((CROQUIS_DATOS!$C$1511+CROQUIS_DATOS!$C$1512))-(CROQUIS_DATOS!$C$1511))+((CROQUIS_DATOS!$C$1476)*CROQUIS_DATOS!$C$1561-(0)*CROQUIS_DATOS!$C$1561))/CROQUIS_DATOS!$C$1568-0.000001))),2)=1,IF(INT(($A96-1)/2)+1&gt;MAX(1,INT(((((CROQUIS_DATOS!$C$1511+CROQUIS_DATOS!$C$1512))-(CROQUIS_DATOS!$C$1511))+((CROQUIS_DATOS!$C$1476)*CROQUIS_DATOS!$C$1561-(0)*CROQUIS_DATOS!$C$1561))/CROQUIS_DATOS!$C$1568-0.000001)),1,MOD($A96-1,2)),1-IF(INT(($A96-1)/2)+1&gt;MAX(1,INT(((((CROQUIS_DATOS!$C$1511+CROQUIS_DATOS!$C$1512))-(CROQUIS_DATOS!$C$1511))+((CROQUIS_DATOS!$C$1476)*CROQUIS_DATOS!$C$1561-(0)*CROQUIS_DATOS!$C$1561))/CROQUIS_DATOS!$C$1568-0.000001)),1,MOD($A96-1,2)))=1,MIN((CROQUIS_DATOS!$C$1476)*CROQUIS_DATOS!$C$1561,((CROQUIS_DATOS!$C$1511+CROQUIS_DATOS!$C$1512)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6">
        <f>IF(AND(CROQUIS_DATOS!$C$1472=1,CROQUIS_DATOS!$C$1516&gt;0,((CROQUIS_DATOS!$C$1515+CROQUIS_DATOS!$C$1516))-(CROQUIS_DATOS!$C$1515)&gt;0.5,(CROQUIS_DATOS!$C$1476)-(0)&gt;0.5),(CROQUIS_DATOS!$C$1566+(IF(IF(MOD(MIN(INT(($A96-1)/2)+1,MAX(1,INT(((((CROQUIS_DATOS!$C$1515+CROQUIS_DATOS!$C$1516))-(CROQUIS_DATOS!$C$1515))+((CROQUIS_DATOS!$C$1476)*CROQUIS_DATOS!$C$1561-(0)*CROQUIS_DATOS!$C$1561))/CROQUIS_DATOS!$C$1568-0.000001))),2)=1,IF(INT(($A96-1)/2)+1&gt;MAX(1,INT(((((CROQUIS_DATOS!$C$1515+CROQUIS_DATOS!$C$1516))-(CROQUIS_DATOS!$C$1515))+((CROQUIS_DATOS!$C$1476)*CROQUIS_DATOS!$C$1561-(0)*CROQUIS_DATOS!$C$1561))/CROQUIS_DATOS!$C$1568-0.000001)),1,MOD($A96-1,2)),1-IF(INT(($A96-1)/2)+1&gt;MAX(1,INT(((((CROQUIS_DATOS!$C$1515+CROQUIS_DATOS!$C$1516))-(CROQUIS_DATOS!$C$1515))+((CROQUIS_DATOS!$C$1476)*CROQUIS_DATOS!$C$1561-(0)*CROQUIS_DATOS!$C$1561))/CROQUIS_DATOS!$C$1568-0.000001)),1,MOD($A96-1,2)))=1,MIN((CROQUIS_DATOS!$C$1476)*CROQUIS_DATOS!$C$1561,((CROQUIS_DATOS!$C$1515+CROQUIS_DATOS!$C$1516)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6">
        <f>IF(AND(CROQUIS_DATOS!$C$1472=1,CROQUIS_DATOS!$C$1516&gt;0,((CROQUIS_DATOS!$C$1515+CROQUIS_DATOS!$C$1516))-(CROQUIS_DATOS!$C$1515)&gt;0.5,(CROQUIS_DATOS!$C$1476)-(0)&gt;0.5),(CROQUIS_DATOS!$C$1567+(IF(IF(MOD(MIN(INT(($A96-1)/2)+1,MAX(1,INT(((((CROQUIS_DATOS!$C$1515+CROQUIS_DATOS!$C$1516))-(CROQUIS_DATOS!$C$1515))+((CROQUIS_DATOS!$C$1476)*CROQUIS_DATOS!$C$1561-(0)*CROQUIS_DATOS!$C$1561))/CROQUIS_DATOS!$C$1568-0.000001))),2)=1,IF(INT(($A96-1)/2)+1&gt;MAX(1,INT(((((CROQUIS_DATOS!$C$1515+CROQUIS_DATOS!$C$1516))-(CROQUIS_DATOS!$C$1515))+((CROQUIS_DATOS!$C$1476)*CROQUIS_DATOS!$C$1561-(0)*CROQUIS_DATOS!$C$1561))/CROQUIS_DATOS!$C$1568-0.000001)),1,MOD($A96-1,2)),1-IF(INT(($A96-1)/2)+1&gt;MAX(1,INT(((((CROQUIS_DATOS!$C$1515+CROQUIS_DATOS!$C$1516))-(CROQUIS_DATOS!$C$1515))+((CROQUIS_DATOS!$C$1476)*CROQUIS_DATOS!$C$1561-(0)*CROQUIS_DATOS!$C$1561))/CROQUIS_DATOS!$C$1568-0.000001)),1,MOD($A96-1,2)))=1,MIN((CROQUIS_DATOS!$C$1476)*CROQUIS_DATOS!$C$1561,((CROQUIS_DATOS!$C$1515+CROQUIS_DATOS!$C$1516)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6">
        <f>IF(AND(CROQUIS_DATOS!$C$1472=1,CROQUIS_DATOS!$C$1478&gt;=1,((CROQUIS_DATOS!$C$1479+CROQUIS_DATOS!$C$1480))-(CROQUIS_DATOS!$C$1479)&gt;0.5,(CROQUIS_DATOS!$C$1481)-(0)&gt;0.5),(CROQUIS_DATOS!$C$1566+(IF(IF(MOD(MIN(INT(($A96-1)/2)+1,MAX(1,INT(((((CROQUIS_DATOS!$C$1479+CROQUIS_DATOS!$C$1480))-(CROQUIS_DATOS!$C$1479))+((CROQUIS_DATOS!$C$1481)*CROQUIS_DATOS!$C$1561-(0)*CROQUIS_DATOS!$C$1561))/CROQUIS_DATOS!$C$1568-0.000001))),2)=1,IF(INT(($A96-1)/2)+1&gt;MAX(1,INT(((((CROQUIS_DATOS!$C$1479+CROQUIS_DATOS!$C$1480))-(CROQUIS_DATOS!$C$1479))+((CROQUIS_DATOS!$C$1481)*CROQUIS_DATOS!$C$1561-(0)*CROQUIS_DATOS!$C$1561))/CROQUIS_DATOS!$C$1568-0.000001)),1,MOD($A96-1,2)),1-IF(INT(($A96-1)/2)+1&gt;MAX(1,INT(((((CROQUIS_DATOS!$C$1479+CROQUIS_DATOS!$C$1480))-(CROQUIS_DATOS!$C$1479))+((CROQUIS_DATOS!$C$1481)*CROQUIS_DATOS!$C$1561-(0)*CROQUIS_DATOS!$C$1561))/CROQUIS_DATOS!$C$1568-0.000001)),1,MOD($A96-1,2)))=1,MIN((CROQUIS_DATOS!$C$1481)*CROQUIS_DATOS!$C$1561,((CROQUIS_DATOS!$C$1479+CROQUIS_DATOS!$C$1480)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6">
        <f>IF(AND(CROQUIS_DATOS!$C$1472=1,CROQUIS_DATOS!$C$1478&gt;=1,((CROQUIS_DATOS!$C$1479+CROQUIS_DATOS!$C$1480))-(CROQUIS_DATOS!$C$1479)&gt;0.5,(CROQUIS_DATOS!$C$1481)-(0)&gt;0.5),(CROQUIS_DATOS!$C$1567+(IF(IF(MOD(MIN(INT(($A96-1)/2)+1,MAX(1,INT(((((CROQUIS_DATOS!$C$1479+CROQUIS_DATOS!$C$1480))-(CROQUIS_DATOS!$C$1479))+((CROQUIS_DATOS!$C$1481)*CROQUIS_DATOS!$C$1561-(0)*CROQUIS_DATOS!$C$1561))/CROQUIS_DATOS!$C$1568-0.000001))),2)=1,IF(INT(($A96-1)/2)+1&gt;MAX(1,INT(((((CROQUIS_DATOS!$C$1479+CROQUIS_DATOS!$C$1480))-(CROQUIS_DATOS!$C$1479))+((CROQUIS_DATOS!$C$1481)*CROQUIS_DATOS!$C$1561-(0)*CROQUIS_DATOS!$C$1561))/CROQUIS_DATOS!$C$1568-0.000001)),1,MOD($A96-1,2)),1-IF(INT(($A96-1)/2)+1&gt;MAX(1,INT(((((CROQUIS_DATOS!$C$1479+CROQUIS_DATOS!$C$1480))-(CROQUIS_DATOS!$C$1479))+((CROQUIS_DATOS!$C$1481)*CROQUIS_DATOS!$C$1561-(0)*CROQUIS_DATOS!$C$1561))/CROQUIS_DATOS!$C$1568-0.000001)),1,MOD($A96-1,2)))=1,MIN((CROQUIS_DATOS!$C$1481)*CROQUIS_DATOS!$C$1561,((CROQUIS_DATOS!$C$1479+CROQUIS_DATOS!$C$1480)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6">
        <f>IF(AND(CROQUIS_DATOS!$C$1472=1,CROQUIS_DATOS!$C$1478&gt;=1,((CROQUIS_DATOS!$C$1479+CROQUIS_DATOS!$C$1480))-(CROQUIS_DATOS!$C$1479)&gt;0.5,(CROQUIS_DATOS!$C$1476)-((CROQUIS_DATOS!$C$1481+CROQUIS_DATOS!$C$1482))&gt;0.5),(CROQUIS_DATOS!$C$1566+(IF(IF(MOD(MIN(INT(($A96-1)/2)+1,MAX(1,INT(((((CROQUIS_DATOS!$C$1479+CROQUIS_DATOS!$C$1480))-(CROQUIS_DATOS!$C$1479))+((CROQUIS_DATOS!$C$1476)*CROQUIS_DATOS!$C$1561-((CROQUIS_DATOS!$C$1481+CROQUIS_DATOS!$C$1482))*CROQUIS_DATOS!$C$1561))/CROQUIS_DATOS!$C$1568-0.000001))),2)=1,IF(INT(($A96-1)/2)+1&gt;MAX(1,INT(((((CROQUIS_DATOS!$C$1479+CROQUIS_DATOS!$C$1480))-(CROQUIS_DATOS!$C$1479))+((CROQUIS_DATOS!$C$1476)*CROQUIS_DATOS!$C$1561-((CROQUIS_DATOS!$C$1481+CROQUIS_DATOS!$C$1482))*CROQUIS_DATOS!$C$1561))/CROQUIS_DATOS!$C$1568-0.000001)),1,MOD($A96-1,2)),1-IF(INT(($A96-1)/2)+1&gt;MAX(1,INT(((((CROQUIS_DATOS!$C$1479+CROQUIS_DATOS!$C$1480))-(CROQUIS_DATOS!$C$1479))+((CROQUIS_DATOS!$C$1476)*CROQUIS_DATOS!$C$1561-((CROQUIS_DATOS!$C$1481+CROQUIS_DATOS!$C$1482))*CROQUIS_DATOS!$C$1561))/CROQUIS_DATOS!$C$1568-0.000001)),1,MOD($A96-1,2)))=1,MIN((CROQUIS_DATOS!$C$1476)*CROQUIS_DATOS!$C$1561,((CROQUIS_DATOS!$C$1479+CROQUIS_DATOS!$C$1480)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6">
        <f>IF(AND(CROQUIS_DATOS!$C$1472=1,CROQUIS_DATOS!$C$1478&gt;=1,((CROQUIS_DATOS!$C$1479+CROQUIS_DATOS!$C$1480))-(CROQUIS_DATOS!$C$1479)&gt;0.5,(CROQUIS_DATOS!$C$1476)-((CROQUIS_DATOS!$C$1481+CROQUIS_DATOS!$C$1482))&gt;0.5),(CROQUIS_DATOS!$C$1567+(IF(IF(MOD(MIN(INT(($A96-1)/2)+1,MAX(1,INT(((((CROQUIS_DATOS!$C$1479+CROQUIS_DATOS!$C$1480))-(CROQUIS_DATOS!$C$1479))+((CROQUIS_DATOS!$C$1476)*CROQUIS_DATOS!$C$1561-((CROQUIS_DATOS!$C$1481+CROQUIS_DATOS!$C$1482))*CROQUIS_DATOS!$C$1561))/CROQUIS_DATOS!$C$1568-0.000001))),2)=1,IF(INT(($A96-1)/2)+1&gt;MAX(1,INT(((((CROQUIS_DATOS!$C$1479+CROQUIS_DATOS!$C$1480))-(CROQUIS_DATOS!$C$1479))+((CROQUIS_DATOS!$C$1476)*CROQUIS_DATOS!$C$1561-((CROQUIS_DATOS!$C$1481+CROQUIS_DATOS!$C$1482))*CROQUIS_DATOS!$C$1561))/CROQUIS_DATOS!$C$1568-0.000001)),1,MOD($A96-1,2)),1-IF(INT(($A96-1)/2)+1&gt;MAX(1,INT(((((CROQUIS_DATOS!$C$1479+CROQUIS_DATOS!$C$1480))-(CROQUIS_DATOS!$C$1479))+((CROQUIS_DATOS!$C$1476)*CROQUIS_DATOS!$C$1561-((CROQUIS_DATOS!$C$1481+CROQUIS_DATOS!$C$1482))*CROQUIS_DATOS!$C$1561))/CROQUIS_DATOS!$C$1568-0.000001)),1,MOD($A96-1,2)))=1,MIN((CROQUIS_DATOS!$C$1476)*CROQUIS_DATOS!$C$1561,((CROQUIS_DATOS!$C$1479+CROQUIS_DATOS!$C$1480)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6">
        <f>IF(AND(CROQUIS_DATOS!$C$1472=1,CROQUIS_DATOS!$C$1478&gt;=2,((CROQUIS_DATOS!$C$1484+CROQUIS_DATOS!$C$1485))-(CROQUIS_DATOS!$C$1484)&gt;0.5,(CROQUIS_DATOS!$C$1486)-(0)&gt;0.5),(CROQUIS_DATOS!$C$1566+(IF(IF(MOD(MIN(INT(($A96-1)/2)+1,MAX(1,INT(((((CROQUIS_DATOS!$C$1484+CROQUIS_DATOS!$C$1485))-(CROQUIS_DATOS!$C$1484))+((CROQUIS_DATOS!$C$1486)*CROQUIS_DATOS!$C$1561-(0)*CROQUIS_DATOS!$C$1561))/CROQUIS_DATOS!$C$1568-0.000001))),2)=1,IF(INT(($A96-1)/2)+1&gt;MAX(1,INT(((((CROQUIS_DATOS!$C$1484+CROQUIS_DATOS!$C$1485))-(CROQUIS_DATOS!$C$1484))+((CROQUIS_DATOS!$C$1486)*CROQUIS_DATOS!$C$1561-(0)*CROQUIS_DATOS!$C$1561))/CROQUIS_DATOS!$C$1568-0.000001)),1,MOD($A96-1,2)),1-IF(INT(($A96-1)/2)+1&gt;MAX(1,INT(((((CROQUIS_DATOS!$C$1484+CROQUIS_DATOS!$C$1485))-(CROQUIS_DATOS!$C$1484))+((CROQUIS_DATOS!$C$1486)*CROQUIS_DATOS!$C$1561-(0)*CROQUIS_DATOS!$C$1561))/CROQUIS_DATOS!$C$1568-0.000001)),1,MOD($A96-1,2)))=1,MIN((CROQUIS_DATOS!$C$1486)*CROQUIS_DATOS!$C$1561,((CROQUIS_DATOS!$C$1484+CROQUIS_DATOS!$C$1485)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6">
        <f>IF(AND(CROQUIS_DATOS!$C$1472=1,CROQUIS_DATOS!$C$1478&gt;=2,((CROQUIS_DATOS!$C$1484+CROQUIS_DATOS!$C$1485))-(CROQUIS_DATOS!$C$1484)&gt;0.5,(CROQUIS_DATOS!$C$1486)-(0)&gt;0.5),(CROQUIS_DATOS!$C$1567+(IF(IF(MOD(MIN(INT(($A96-1)/2)+1,MAX(1,INT(((((CROQUIS_DATOS!$C$1484+CROQUIS_DATOS!$C$1485))-(CROQUIS_DATOS!$C$1484))+((CROQUIS_DATOS!$C$1486)*CROQUIS_DATOS!$C$1561-(0)*CROQUIS_DATOS!$C$1561))/CROQUIS_DATOS!$C$1568-0.000001))),2)=1,IF(INT(($A96-1)/2)+1&gt;MAX(1,INT(((((CROQUIS_DATOS!$C$1484+CROQUIS_DATOS!$C$1485))-(CROQUIS_DATOS!$C$1484))+((CROQUIS_DATOS!$C$1486)*CROQUIS_DATOS!$C$1561-(0)*CROQUIS_DATOS!$C$1561))/CROQUIS_DATOS!$C$1568-0.000001)),1,MOD($A96-1,2)),1-IF(INT(($A96-1)/2)+1&gt;MAX(1,INT(((((CROQUIS_DATOS!$C$1484+CROQUIS_DATOS!$C$1485))-(CROQUIS_DATOS!$C$1484))+((CROQUIS_DATOS!$C$1486)*CROQUIS_DATOS!$C$1561-(0)*CROQUIS_DATOS!$C$1561))/CROQUIS_DATOS!$C$1568-0.000001)),1,MOD($A96-1,2)))=1,MIN((CROQUIS_DATOS!$C$1486)*CROQUIS_DATOS!$C$1561,((CROQUIS_DATOS!$C$1484+CROQUIS_DATOS!$C$1485)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6">
        <f>IF(AND(CROQUIS_DATOS!$C$1472=1,CROQUIS_DATOS!$C$1478&gt;=2,((CROQUIS_DATOS!$C$1484+CROQUIS_DATOS!$C$1485))-(CROQUIS_DATOS!$C$1484)&gt;0.5,(CROQUIS_DATOS!$C$1476)-((CROQUIS_DATOS!$C$1486+CROQUIS_DATOS!$C$1487))&gt;0.5),(CROQUIS_DATOS!$C$1566+(IF(IF(MOD(MIN(INT(($A96-1)/2)+1,MAX(1,INT(((((CROQUIS_DATOS!$C$1484+CROQUIS_DATOS!$C$1485))-(CROQUIS_DATOS!$C$1484))+((CROQUIS_DATOS!$C$1476)*CROQUIS_DATOS!$C$1561-((CROQUIS_DATOS!$C$1486+CROQUIS_DATOS!$C$1487))*CROQUIS_DATOS!$C$1561))/CROQUIS_DATOS!$C$1568-0.000001))),2)=1,IF(INT(($A96-1)/2)+1&gt;MAX(1,INT(((((CROQUIS_DATOS!$C$1484+CROQUIS_DATOS!$C$1485))-(CROQUIS_DATOS!$C$1484))+((CROQUIS_DATOS!$C$1476)*CROQUIS_DATOS!$C$1561-((CROQUIS_DATOS!$C$1486+CROQUIS_DATOS!$C$1487))*CROQUIS_DATOS!$C$1561))/CROQUIS_DATOS!$C$1568-0.000001)),1,MOD($A96-1,2)),1-IF(INT(($A96-1)/2)+1&gt;MAX(1,INT(((((CROQUIS_DATOS!$C$1484+CROQUIS_DATOS!$C$1485))-(CROQUIS_DATOS!$C$1484))+((CROQUIS_DATOS!$C$1476)*CROQUIS_DATOS!$C$1561-((CROQUIS_DATOS!$C$1486+CROQUIS_DATOS!$C$1487))*CROQUIS_DATOS!$C$1561))/CROQUIS_DATOS!$C$1568-0.000001)),1,MOD($A96-1,2)))=1,MIN((CROQUIS_DATOS!$C$1476)*CROQUIS_DATOS!$C$1561,((CROQUIS_DATOS!$C$1484+CROQUIS_DATOS!$C$1485)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6">
        <f>IF(AND(CROQUIS_DATOS!$C$1472=1,CROQUIS_DATOS!$C$1478&gt;=2,((CROQUIS_DATOS!$C$1484+CROQUIS_DATOS!$C$1485))-(CROQUIS_DATOS!$C$1484)&gt;0.5,(CROQUIS_DATOS!$C$1476)-((CROQUIS_DATOS!$C$1486+CROQUIS_DATOS!$C$1487))&gt;0.5),(CROQUIS_DATOS!$C$1567+(IF(IF(MOD(MIN(INT(($A96-1)/2)+1,MAX(1,INT(((((CROQUIS_DATOS!$C$1484+CROQUIS_DATOS!$C$1485))-(CROQUIS_DATOS!$C$1484))+((CROQUIS_DATOS!$C$1476)*CROQUIS_DATOS!$C$1561-((CROQUIS_DATOS!$C$1486+CROQUIS_DATOS!$C$1487))*CROQUIS_DATOS!$C$1561))/CROQUIS_DATOS!$C$1568-0.000001))),2)=1,IF(INT(($A96-1)/2)+1&gt;MAX(1,INT(((((CROQUIS_DATOS!$C$1484+CROQUIS_DATOS!$C$1485))-(CROQUIS_DATOS!$C$1484))+((CROQUIS_DATOS!$C$1476)*CROQUIS_DATOS!$C$1561-((CROQUIS_DATOS!$C$1486+CROQUIS_DATOS!$C$1487))*CROQUIS_DATOS!$C$1561))/CROQUIS_DATOS!$C$1568-0.000001)),1,MOD($A96-1,2)),1-IF(INT(($A96-1)/2)+1&gt;MAX(1,INT(((((CROQUIS_DATOS!$C$1484+CROQUIS_DATOS!$C$1485))-(CROQUIS_DATOS!$C$1484))+((CROQUIS_DATOS!$C$1476)*CROQUIS_DATOS!$C$1561-((CROQUIS_DATOS!$C$1486+CROQUIS_DATOS!$C$1487))*CROQUIS_DATOS!$C$1561))/CROQUIS_DATOS!$C$1568-0.000001)),1,MOD($A96-1,2)))=1,MIN((CROQUIS_DATOS!$C$1476)*CROQUIS_DATOS!$C$1561,((CROQUIS_DATOS!$C$1484+CROQUIS_DATOS!$C$1485)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6">
        <f>IF(AND(CROQUIS_DATOS!$C$1472=1,CROQUIS_DATOS!$C$1478&gt;=3,((CROQUIS_DATOS!$C$1489+CROQUIS_DATOS!$C$1490))-(CROQUIS_DATOS!$C$1489)&gt;0.5,(CROQUIS_DATOS!$C$1491)-(0)&gt;0.5),(CROQUIS_DATOS!$C$1566+(IF(IF(MOD(MIN(INT(($A96-1)/2)+1,MAX(1,INT(((((CROQUIS_DATOS!$C$1489+CROQUIS_DATOS!$C$1490))-(CROQUIS_DATOS!$C$1489))+((CROQUIS_DATOS!$C$1491)*CROQUIS_DATOS!$C$1561-(0)*CROQUIS_DATOS!$C$1561))/CROQUIS_DATOS!$C$1568-0.000001))),2)=1,IF(INT(($A96-1)/2)+1&gt;MAX(1,INT(((((CROQUIS_DATOS!$C$1489+CROQUIS_DATOS!$C$1490))-(CROQUIS_DATOS!$C$1489))+((CROQUIS_DATOS!$C$1491)*CROQUIS_DATOS!$C$1561-(0)*CROQUIS_DATOS!$C$1561))/CROQUIS_DATOS!$C$1568-0.000001)),1,MOD($A96-1,2)),1-IF(INT(($A96-1)/2)+1&gt;MAX(1,INT(((((CROQUIS_DATOS!$C$1489+CROQUIS_DATOS!$C$1490))-(CROQUIS_DATOS!$C$1489))+((CROQUIS_DATOS!$C$1491)*CROQUIS_DATOS!$C$1561-(0)*CROQUIS_DATOS!$C$1561))/CROQUIS_DATOS!$C$1568-0.000001)),1,MOD($A96-1,2)))=1,MIN((CROQUIS_DATOS!$C$1491)*CROQUIS_DATOS!$C$1561,((CROQUIS_DATOS!$C$1489+CROQUIS_DATOS!$C$1490)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6">
        <f>IF(AND(CROQUIS_DATOS!$C$1472=1,CROQUIS_DATOS!$C$1478&gt;=3,((CROQUIS_DATOS!$C$1489+CROQUIS_DATOS!$C$1490))-(CROQUIS_DATOS!$C$1489)&gt;0.5,(CROQUIS_DATOS!$C$1491)-(0)&gt;0.5),(CROQUIS_DATOS!$C$1567+(IF(IF(MOD(MIN(INT(($A96-1)/2)+1,MAX(1,INT(((((CROQUIS_DATOS!$C$1489+CROQUIS_DATOS!$C$1490))-(CROQUIS_DATOS!$C$1489))+((CROQUIS_DATOS!$C$1491)*CROQUIS_DATOS!$C$1561-(0)*CROQUIS_DATOS!$C$1561))/CROQUIS_DATOS!$C$1568-0.000001))),2)=1,IF(INT(($A96-1)/2)+1&gt;MAX(1,INT(((((CROQUIS_DATOS!$C$1489+CROQUIS_DATOS!$C$1490))-(CROQUIS_DATOS!$C$1489))+((CROQUIS_DATOS!$C$1491)*CROQUIS_DATOS!$C$1561-(0)*CROQUIS_DATOS!$C$1561))/CROQUIS_DATOS!$C$1568-0.000001)),1,MOD($A96-1,2)),1-IF(INT(($A96-1)/2)+1&gt;MAX(1,INT(((((CROQUIS_DATOS!$C$1489+CROQUIS_DATOS!$C$1490))-(CROQUIS_DATOS!$C$1489))+((CROQUIS_DATOS!$C$1491)*CROQUIS_DATOS!$C$1561-(0)*CROQUIS_DATOS!$C$1561))/CROQUIS_DATOS!$C$1568-0.000001)),1,MOD($A96-1,2)))=1,MIN((CROQUIS_DATOS!$C$1491)*CROQUIS_DATOS!$C$1561,((CROQUIS_DATOS!$C$1489+CROQUIS_DATOS!$C$1490)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6">
        <f>IF(AND(CROQUIS_DATOS!$C$1472=1,CROQUIS_DATOS!$C$1478&gt;=3,((CROQUIS_DATOS!$C$1489+CROQUIS_DATOS!$C$1490))-(CROQUIS_DATOS!$C$1489)&gt;0.5,(CROQUIS_DATOS!$C$1476)-((CROQUIS_DATOS!$C$1491+CROQUIS_DATOS!$C$1492))&gt;0.5),(CROQUIS_DATOS!$C$1566+(IF(IF(MOD(MIN(INT(($A96-1)/2)+1,MAX(1,INT(((((CROQUIS_DATOS!$C$1489+CROQUIS_DATOS!$C$1490))-(CROQUIS_DATOS!$C$1489))+((CROQUIS_DATOS!$C$1476)*CROQUIS_DATOS!$C$1561-((CROQUIS_DATOS!$C$1491+CROQUIS_DATOS!$C$1492))*CROQUIS_DATOS!$C$1561))/CROQUIS_DATOS!$C$1568-0.000001))),2)=1,IF(INT(($A96-1)/2)+1&gt;MAX(1,INT(((((CROQUIS_DATOS!$C$1489+CROQUIS_DATOS!$C$1490))-(CROQUIS_DATOS!$C$1489))+((CROQUIS_DATOS!$C$1476)*CROQUIS_DATOS!$C$1561-((CROQUIS_DATOS!$C$1491+CROQUIS_DATOS!$C$1492))*CROQUIS_DATOS!$C$1561))/CROQUIS_DATOS!$C$1568-0.000001)),1,MOD($A96-1,2)),1-IF(INT(($A96-1)/2)+1&gt;MAX(1,INT(((((CROQUIS_DATOS!$C$1489+CROQUIS_DATOS!$C$1490))-(CROQUIS_DATOS!$C$1489))+((CROQUIS_DATOS!$C$1476)*CROQUIS_DATOS!$C$1561-((CROQUIS_DATOS!$C$1491+CROQUIS_DATOS!$C$1492))*CROQUIS_DATOS!$C$1561))/CROQUIS_DATOS!$C$1568-0.000001)),1,MOD($A96-1,2)))=1,MIN((CROQUIS_DATOS!$C$1476)*CROQUIS_DATOS!$C$1561,((CROQUIS_DATOS!$C$1489+CROQUIS_DATOS!$C$1490)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6">
        <f>IF(AND(CROQUIS_DATOS!$C$1472=1,CROQUIS_DATOS!$C$1478&gt;=3,((CROQUIS_DATOS!$C$1489+CROQUIS_DATOS!$C$1490))-(CROQUIS_DATOS!$C$1489)&gt;0.5,(CROQUIS_DATOS!$C$1476)-((CROQUIS_DATOS!$C$1491+CROQUIS_DATOS!$C$1492))&gt;0.5),(CROQUIS_DATOS!$C$1567+(IF(IF(MOD(MIN(INT(($A96-1)/2)+1,MAX(1,INT(((((CROQUIS_DATOS!$C$1489+CROQUIS_DATOS!$C$1490))-(CROQUIS_DATOS!$C$1489))+((CROQUIS_DATOS!$C$1476)*CROQUIS_DATOS!$C$1561-((CROQUIS_DATOS!$C$1491+CROQUIS_DATOS!$C$1492))*CROQUIS_DATOS!$C$1561))/CROQUIS_DATOS!$C$1568-0.000001))),2)=1,IF(INT(($A96-1)/2)+1&gt;MAX(1,INT(((((CROQUIS_DATOS!$C$1489+CROQUIS_DATOS!$C$1490))-(CROQUIS_DATOS!$C$1489))+((CROQUIS_DATOS!$C$1476)*CROQUIS_DATOS!$C$1561-((CROQUIS_DATOS!$C$1491+CROQUIS_DATOS!$C$1492))*CROQUIS_DATOS!$C$1561))/CROQUIS_DATOS!$C$1568-0.000001)),1,MOD($A96-1,2)),1-IF(INT(($A96-1)/2)+1&gt;MAX(1,INT(((((CROQUIS_DATOS!$C$1489+CROQUIS_DATOS!$C$1490))-(CROQUIS_DATOS!$C$1489))+((CROQUIS_DATOS!$C$1476)*CROQUIS_DATOS!$C$1561-((CROQUIS_DATOS!$C$1491+CROQUIS_DATOS!$C$1492))*CROQUIS_DATOS!$C$1561))/CROQUIS_DATOS!$C$1568-0.000001)),1,MOD($A96-1,2)))=1,MIN((CROQUIS_DATOS!$C$1476)*CROQUIS_DATOS!$C$1561,((CROQUIS_DATOS!$C$1489+CROQUIS_DATOS!$C$1490)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6">
        <f>IF(AND(CROQUIS_DATOS!$C$1472=1,CROQUIS_DATOS!$C$1478&gt;=4,((CROQUIS_DATOS!$C$1494+CROQUIS_DATOS!$C$1495))-(CROQUIS_DATOS!$C$1494)&gt;0.5,(CROQUIS_DATOS!$C$1496)-(0)&gt;0.5),(CROQUIS_DATOS!$C$1566+(IF(IF(MOD(MIN(INT(($A96-1)/2)+1,MAX(1,INT(((((CROQUIS_DATOS!$C$1494+CROQUIS_DATOS!$C$1495))-(CROQUIS_DATOS!$C$1494))+((CROQUIS_DATOS!$C$1496)*CROQUIS_DATOS!$C$1561-(0)*CROQUIS_DATOS!$C$1561))/CROQUIS_DATOS!$C$1568-0.000001))),2)=1,IF(INT(($A96-1)/2)+1&gt;MAX(1,INT(((((CROQUIS_DATOS!$C$1494+CROQUIS_DATOS!$C$1495))-(CROQUIS_DATOS!$C$1494))+((CROQUIS_DATOS!$C$1496)*CROQUIS_DATOS!$C$1561-(0)*CROQUIS_DATOS!$C$1561))/CROQUIS_DATOS!$C$1568-0.000001)),1,MOD($A96-1,2)),1-IF(INT(($A96-1)/2)+1&gt;MAX(1,INT(((((CROQUIS_DATOS!$C$1494+CROQUIS_DATOS!$C$1495))-(CROQUIS_DATOS!$C$1494))+((CROQUIS_DATOS!$C$1496)*CROQUIS_DATOS!$C$1561-(0)*CROQUIS_DATOS!$C$1561))/CROQUIS_DATOS!$C$1568-0.000001)),1,MOD($A96-1,2)))=1,MIN((CROQUIS_DATOS!$C$1496)*CROQUIS_DATOS!$C$1561,((CROQUIS_DATOS!$C$1494+CROQUIS_DATOS!$C$1495)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6">
        <f>IF(AND(CROQUIS_DATOS!$C$1472=1,CROQUIS_DATOS!$C$1478&gt;=4,((CROQUIS_DATOS!$C$1494+CROQUIS_DATOS!$C$1495))-(CROQUIS_DATOS!$C$1494)&gt;0.5,(CROQUIS_DATOS!$C$1496)-(0)&gt;0.5),(CROQUIS_DATOS!$C$1567+(IF(IF(MOD(MIN(INT(($A96-1)/2)+1,MAX(1,INT(((((CROQUIS_DATOS!$C$1494+CROQUIS_DATOS!$C$1495))-(CROQUIS_DATOS!$C$1494))+((CROQUIS_DATOS!$C$1496)*CROQUIS_DATOS!$C$1561-(0)*CROQUIS_DATOS!$C$1561))/CROQUIS_DATOS!$C$1568-0.000001))),2)=1,IF(INT(($A96-1)/2)+1&gt;MAX(1,INT(((((CROQUIS_DATOS!$C$1494+CROQUIS_DATOS!$C$1495))-(CROQUIS_DATOS!$C$1494))+((CROQUIS_DATOS!$C$1496)*CROQUIS_DATOS!$C$1561-(0)*CROQUIS_DATOS!$C$1561))/CROQUIS_DATOS!$C$1568-0.000001)),1,MOD($A96-1,2)),1-IF(INT(($A96-1)/2)+1&gt;MAX(1,INT(((((CROQUIS_DATOS!$C$1494+CROQUIS_DATOS!$C$1495))-(CROQUIS_DATOS!$C$1494))+((CROQUIS_DATOS!$C$1496)*CROQUIS_DATOS!$C$1561-(0)*CROQUIS_DATOS!$C$1561))/CROQUIS_DATOS!$C$1568-0.000001)),1,MOD($A96-1,2)))=1,MIN((CROQUIS_DATOS!$C$1496)*CROQUIS_DATOS!$C$1561,((CROQUIS_DATOS!$C$1494+CROQUIS_DATOS!$C$1495)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6">
        <f>IF(AND(CROQUIS_DATOS!$C$1472=1,CROQUIS_DATOS!$C$1478&gt;=4,((CROQUIS_DATOS!$C$1494+CROQUIS_DATOS!$C$1495))-(CROQUIS_DATOS!$C$1494)&gt;0.5,(CROQUIS_DATOS!$C$1476)-((CROQUIS_DATOS!$C$1496+CROQUIS_DATOS!$C$1497))&gt;0.5),(CROQUIS_DATOS!$C$1566+(IF(IF(MOD(MIN(INT(($A96-1)/2)+1,MAX(1,INT(((((CROQUIS_DATOS!$C$1494+CROQUIS_DATOS!$C$1495))-(CROQUIS_DATOS!$C$1494))+((CROQUIS_DATOS!$C$1476)*CROQUIS_DATOS!$C$1561-((CROQUIS_DATOS!$C$1496+CROQUIS_DATOS!$C$1497))*CROQUIS_DATOS!$C$1561))/CROQUIS_DATOS!$C$1568-0.000001))),2)=1,IF(INT(($A96-1)/2)+1&gt;MAX(1,INT(((((CROQUIS_DATOS!$C$1494+CROQUIS_DATOS!$C$1495))-(CROQUIS_DATOS!$C$1494))+((CROQUIS_DATOS!$C$1476)*CROQUIS_DATOS!$C$1561-((CROQUIS_DATOS!$C$1496+CROQUIS_DATOS!$C$1497))*CROQUIS_DATOS!$C$1561))/CROQUIS_DATOS!$C$1568-0.000001)),1,MOD($A96-1,2)),1-IF(INT(($A96-1)/2)+1&gt;MAX(1,INT(((((CROQUIS_DATOS!$C$1494+CROQUIS_DATOS!$C$1495))-(CROQUIS_DATOS!$C$1494))+((CROQUIS_DATOS!$C$1476)*CROQUIS_DATOS!$C$1561-((CROQUIS_DATOS!$C$1496+CROQUIS_DATOS!$C$1497))*CROQUIS_DATOS!$C$1561))/CROQUIS_DATOS!$C$1568-0.000001)),1,MOD($A96-1,2)))=1,MIN((CROQUIS_DATOS!$C$1476)*CROQUIS_DATOS!$C$1561,((CROQUIS_DATOS!$C$1494+CROQUIS_DATOS!$C$1495)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6">
        <f>IF(AND(CROQUIS_DATOS!$C$1472=1,CROQUIS_DATOS!$C$1478&gt;=4,((CROQUIS_DATOS!$C$1494+CROQUIS_DATOS!$C$1495))-(CROQUIS_DATOS!$C$1494)&gt;0.5,(CROQUIS_DATOS!$C$1476)-((CROQUIS_DATOS!$C$1496+CROQUIS_DATOS!$C$1497))&gt;0.5),(CROQUIS_DATOS!$C$1567+(IF(IF(MOD(MIN(INT(($A96-1)/2)+1,MAX(1,INT(((((CROQUIS_DATOS!$C$1494+CROQUIS_DATOS!$C$1495))-(CROQUIS_DATOS!$C$1494))+((CROQUIS_DATOS!$C$1476)*CROQUIS_DATOS!$C$1561-((CROQUIS_DATOS!$C$1496+CROQUIS_DATOS!$C$1497))*CROQUIS_DATOS!$C$1561))/CROQUIS_DATOS!$C$1568-0.000001))),2)=1,IF(INT(($A96-1)/2)+1&gt;MAX(1,INT(((((CROQUIS_DATOS!$C$1494+CROQUIS_DATOS!$C$1495))-(CROQUIS_DATOS!$C$1494))+((CROQUIS_DATOS!$C$1476)*CROQUIS_DATOS!$C$1561-((CROQUIS_DATOS!$C$1496+CROQUIS_DATOS!$C$1497))*CROQUIS_DATOS!$C$1561))/CROQUIS_DATOS!$C$1568-0.000001)),1,MOD($A96-1,2)),1-IF(INT(($A96-1)/2)+1&gt;MAX(1,INT(((((CROQUIS_DATOS!$C$1494+CROQUIS_DATOS!$C$1495))-(CROQUIS_DATOS!$C$1494))+((CROQUIS_DATOS!$C$1476)*CROQUIS_DATOS!$C$1561-((CROQUIS_DATOS!$C$1496+CROQUIS_DATOS!$C$1497))*CROQUIS_DATOS!$C$1561))/CROQUIS_DATOS!$C$1568-0.000001)),1,MOD($A96-1,2)))=1,MIN((CROQUIS_DATOS!$C$1476)*CROQUIS_DATOS!$C$1561,((CROQUIS_DATOS!$C$1494+CROQUIS_DATOS!$C$1495)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7">
      <c r="A97" t="n">
        <v>90</v>
      </c>
      <c r="N97">
        <f>IF(AND(CROQUIS_DATOS!$C$1472=1,1),(CROQUIS_DATOS!$C$1563+(IF(IF(IF(INT(($A97-1)/70)+1&gt;CROQUIS_DATOS!$C$1525,70,MOD($A97-1,70)+1)=1,0,IF(IF(INT(($A97-1)/70)+1&gt;CROQUIS_DATOS!$C$1525,70,MOD($A97-1,70)+1)&gt;2*CROQUIS_DATOS!$C$1541+1,IF(MOD(CROQUIS_DATOS!$C$1541,2)=1,1,0),IF(MOD(MIN(INT((IF(INT(($A97-1)/70)+1&gt;CROQUIS_DATOS!$C$1525,70,MOD($A97-1,70)+1)-2)/2)+1,CROQUIS_DATOS!$C$1541),2)=1,IF(MOD(IF(INT(($A97-1)/70)+1&gt;CROQUIS_DATOS!$C$1525,70,MOD($A97-1,70)+1)-2,2)=0,0,1),IF(MOD(IF(INT(($A97-1)/70)+1&gt;CROQUIS_DATOS!$C$1525,70,MOD($A97-1,70)+1)-2,2)=0,1,0))))=0,(INDEX($E$8:$E$23,MIN(INT(($A97-1)/70)+1,CROQUIS_DATOS!$C$1525))-INDEX($F$8:$F$23,MIN(INT(($A97-1)/70)+1,CROQUIS_DATOS!$C$1525))/2),(INDEX($E$8:$E$23,MIN(INT(($A97-1)/70)+1,CROQUIS_DATOS!$C$1525))+INDEX($F$8:$F$23,MIN(INT(($A97-1)/70)+1,CROQUIS_DATOS!$C$1525))/2)))*CROQUIS_DATOS!$C$1562),-1000)</f>
        <v>20.6724137931034</v>
      </c>
      <c r="O97">
        <f>IF(AND(CROQUIS_DATOS!$C$1472=1,1),(CROQUIS_DATOS!$C$1564+(IF(OR(IF(INT(($A97-1)/70)+1&gt;CROQUIS_DATOS!$C$1525,70,MOD($A97-1,70)+1)=1,IF(INT(($A97-1)/70)+1&gt;CROQUIS_DATOS!$C$1525,70,MOD($A97-1,70)+1)&gt;2*CROQUIS_DATOS!$C$1541+1),CROQUIS_DATOS!$C$1476,INDEX($H$8:$H$41,MIN(INT((IF(INT(($A97-1)/70)+1&gt;CROQUIS_DATOS!$C$1525,70,MOD($A97-1,70)+1)-2)/2)+1,CROQUIS_DATOS!$C$1541))))*CROQUIS_DATOS!$C$1561*CROQUIS_DATOS!$C$1562),-1000)</f>
        <v>24.1077586206897</v>
      </c>
      <c r="P97">
        <f>IF(AND(CROQUIS_DATOS!$C$1472=1,CROQUIS_DATOS!$C$1555=1),(CROQUIS_DATOS!$C$1563+(IF(IF(OR(MOD($A97-1,62)+1=1,IF(CHOOSE(MIN(MAX(MIN(INT(($A97-1)/62)+1,5),1),5),CROQUIS_DATOS!$C$1501,CROQUIS_DATOS!$C$1505,CROQUIS_DATOS!$C$1509,CROQUIS_DATOS!$C$1513,CROQUIS_DATOS!$C$1517)=1,CROQUIS_DATOS!$C$1557,0)=0),0,IF(MOD($A97-1,62)+1&gt;2*IF(CHOOSE(MIN(MAX(MIN(INT(($A97-1)/62)+1,5),1),5),CROQUIS_DATOS!$C$1501,CROQUIS_DATOS!$C$1505,CROQUIS_DATOS!$C$1509,CROQUIS_DATOS!$C$1513,CROQUIS_DATOS!$C$1517)=1,CROQUIS_DATOS!$C$1557,0)+1,IF(MOD(IF(CHOOSE(MIN(MAX(MIN(INT(($A97-1)/62)+1,5),1),5),CROQUIS_DATOS!$C$1501,CROQUIS_DATOS!$C$1505,CROQUIS_DATOS!$C$1509,CROQUIS_DATOS!$C$1513,CROQUIS_DATOS!$C$1517)=1,CROQUIS_DATOS!$C$1557,0),2)=1,1,0),IF(MOD(MIN(INT((MOD($A97-1,62)+1-2)/2)+1,MAX(IF(CHOOSE(MIN(MAX(MIN(INT(($A97-1)/62)+1,5),1),5),CROQUIS_DATOS!$C$1501,CROQUIS_DATOS!$C$1505,CROQUIS_DATOS!$C$1509,CROQUIS_DATOS!$C$1513,CROQUIS_DATOS!$C$1517)=1,CROQUIS_DATOS!$C$1557,0),1)),2)=1,IF(MOD(MOD($A97-1,62)+1-2,2)=0,0,1),IF(MOD(MOD($A97-1,62)+1-2,2)=0,1,0))))=0,(CHOOSE(MIN(MAX(MIN(INT(($A97-1)/62)+1,5),1),5),CROQUIS_DATOS!$C$1499,CROQUIS_DATOS!$C$1503,CROQUIS_DATOS!$C$1507,CROQUIS_DATOS!$C$1511,CROQUIS_DATOS!$C$1515)+IF(CHOOSE(MIN(MAX(MIN(INT(($A97-1)/62)+1,5),1),5),CROQUIS_DATOS!$C$1501,CROQUIS_DATOS!$C$1505,CROQUIS_DATOS!$C$1509,CROQUIS_DATOS!$C$1513,CROQUIS_DATOS!$C$1517)=1,CROQUIS_DATOS!$C$1526,0)),(CHOOSE(MIN(MAX(MIN(INT(($A97-1)/62)+1,5),1),5),CROQUIS_DATOS!$C$1499,CROQUIS_DATOS!$C$1503,CROQUIS_DATOS!$C$1507,CROQUIS_DATOS!$C$1511,CROQUIS_DATOS!$C$1515)+CHOOSE(MIN(MAX(MIN(INT(($A97-1)/62)+1,5),1),5),CROQUIS_DATOS!$C$1500,CROQUIS_DATOS!$C$1504,CROQUIS_DATOS!$C$1508,CROQUIS_DATOS!$C$1512,CROQUIS_DATOS!$C$1516)-IF(CHOOSE(MIN(MAX(MIN(INT(($A97-1)/62)+1,5),1),5),CROQUIS_DATOS!$C$1501,CROQUIS_DATOS!$C$1505,CROQUIS_DATOS!$C$1509,CROQUIS_DATOS!$C$1513,CROQUIS_DATOS!$C$1517)=1,CROQUIS_DATOS!$C$1526,0))))*CROQUIS_DATOS!$C$1562),-1000)</f>
        <v>-1000</v>
      </c>
      <c r="Q97">
        <f>IF(AND(CROQUIS_DATOS!$C$1472=1,CROQUIS_DATOS!$C$1555=1),(CROQUIS_DATOS!$C$1564+(IF(OR(OR(MOD($A97-1,62)+1=1,IF(CHOOSE(MIN(MAX(MIN(INT(($A97-1)/62)+1,5),1),5),CROQUIS_DATOS!$C$1501,CROQUIS_DATOS!$C$1505,CROQUIS_DATOS!$C$1509,CROQUIS_DATOS!$C$1513,CROQUIS_DATOS!$C$1517)=1,CROQUIS_DATOS!$C$1557,0)=0),MOD($A97-1,62)+1&gt;2*IF(CHOOSE(MIN(MAX(MIN(INT(($A97-1)/62)+1,5),1),5),CROQUIS_DATOS!$C$1501,CROQUIS_DATOS!$C$1505,CROQUIS_DATOS!$C$1509,CROQUIS_DATOS!$C$1513,CROQUIS_DATOS!$C$1517)=1,CROQUIS_DATOS!$C$1557,0)+1),CROQUIS_DATOS!$C$1476,MIN(INT((MOD($A97-1,62)+1-2)/2)+1,MAX(IF(CHOOSE(MIN(MAX(MIN(INT(($A97-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7">
        <f>IF(AND(CROQUIS_DATOS!$C$1472=1,1),(CROQUIS_DATOS!$C$1563+(MIN(INT(($A97-1)/2)+1,CROQUIS_DATOS!$C$1558)*CROQUIS_DATOS!$C$1559)*CROQUIS_DATOS!$C$1562),-1000)</f>
        <v>82.2281167108753</v>
      </c>
      <c r="U97">
        <f>IF(AND(CROQUIS_DATOS!$C$1472=1,1),(CROQUIS_DATOS!$C$1564+(IF(INT(($A97-1)/2)+1&gt;CROQUIS_DATOS!$C$1558,IF(MOD(CROQUIS_DATOS!$C$1558,2)=1,CROQUIS_DATOS!$C$1476+CROQUIS_DATOS!$C$1528,CROQUIS_DATOS!$C$1476),IF(IF(MOD(MIN(INT(($A97-1)/2)+1,CROQUIS_DATOS!$C$1558),2)=1,MOD($A97-1,2),1-MOD($A97-1,2))=1,CROQUIS_DATOS!$C$1476+CROQUIS_DATOS!$C$1528,CROQUIS_DATOS!$C$1476)))*CROQUIS_DATOS!$C$1561*CROQUIS_DATOS!$C$1562),-1000)</f>
        <v>43</v>
      </c>
      <c r="BZ97">
        <f>IF(AND(CROQUIS_DATOS!$C$1472=1,CROQUIS_DATOS!$C$1500&gt;0,((CROQUIS_DATOS!$C$1499+CROQUIS_DATOS!$C$1500))-(CROQUIS_DATOS!$C$1499)&gt;0.5,(CROQUIS_DATOS!$C$1476)-(0)&gt;0.5),(CROQUIS_DATOS!$C$1566+(IF(IF(MOD(MIN(INT(($A97-1)/2)+1,MAX(1,INT(((((CROQUIS_DATOS!$C$1499+CROQUIS_DATOS!$C$1500))-(CROQUIS_DATOS!$C$1499))+((CROQUIS_DATOS!$C$1476)*CROQUIS_DATOS!$C$1561-(0)*CROQUIS_DATOS!$C$1561))/CROQUIS_DATOS!$C$1568-0.000001))),2)=1,IF(INT(($A97-1)/2)+1&gt;MAX(1,INT(((((CROQUIS_DATOS!$C$1499+CROQUIS_DATOS!$C$1500))-(CROQUIS_DATOS!$C$1499))+((CROQUIS_DATOS!$C$1476)*CROQUIS_DATOS!$C$1561-(0)*CROQUIS_DATOS!$C$1561))/CROQUIS_DATOS!$C$1568-0.000001)),1,MOD($A97-1,2)),1-IF(INT(($A97-1)/2)+1&gt;MAX(1,INT(((((CROQUIS_DATOS!$C$1499+CROQUIS_DATOS!$C$1500))-(CROQUIS_DATOS!$C$1499))+((CROQUIS_DATOS!$C$1476)*CROQUIS_DATOS!$C$1561-(0)*CROQUIS_DATOS!$C$1561))/CROQUIS_DATOS!$C$1568-0.000001)),1,MOD($A97-1,2)))=1,MIN((CROQUIS_DATOS!$C$1476)*CROQUIS_DATOS!$C$1561,((CROQUIS_DATOS!$C$1499+CROQUIS_DATOS!$C$1500)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7">
        <f>IF(AND(CROQUIS_DATOS!$C$1472=1,CROQUIS_DATOS!$C$1500&gt;0,((CROQUIS_DATOS!$C$1499+CROQUIS_DATOS!$C$1500))-(CROQUIS_DATOS!$C$1499)&gt;0.5,(CROQUIS_DATOS!$C$1476)-(0)&gt;0.5),(CROQUIS_DATOS!$C$1567+(IF(IF(MOD(MIN(INT(($A97-1)/2)+1,MAX(1,INT(((((CROQUIS_DATOS!$C$1499+CROQUIS_DATOS!$C$1500))-(CROQUIS_DATOS!$C$1499))+((CROQUIS_DATOS!$C$1476)*CROQUIS_DATOS!$C$1561-(0)*CROQUIS_DATOS!$C$1561))/CROQUIS_DATOS!$C$1568-0.000001))),2)=1,IF(INT(($A97-1)/2)+1&gt;MAX(1,INT(((((CROQUIS_DATOS!$C$1499+CROQUIS_DATOS!$C$1500))-(CROQUIS_DATOS!$C$1499))+((CROQUIS_DATOS!$C$1476)*CROQUIS_DATOS!$C$1561-(0)*CROQUIS_DATOS!$C$1561))/CROQUIS_DATOS!$C$1568-0.000001)),1,MOD($A97-1,2)),1-IF(INT(($A97-1)/2)+1&gt;MAX(1,INT(((((CROQUIS_DATOS!$C$1499+CROQUIS_DATOS!$C$1500))-(CROQUIS_DATOS!$C$1499))+((CROQUIS_DATOS!$C$1476)*CROQUIS_DATOS!$C$1561-(0)*CROQUIS_DATOS!$C$1561))/CROQUIS_DATOS!$C$1568-0.000001)),1,MOD($A97-1,2)))=1,MIN((CROQUIS_DATOS!$C$1476)*CROQUIS_DATOS!$C$1561,((CROQUIS_DATOS!$C$1499+CROQUIS_DATOS!$C$1500)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7">
        <f>IF(AND(CROQUIS_DATOS!$C$1472=1,CROQUIS_DATOS!$C$1504&gt;0,((CROQUIS_DATOS!$C$1503+CROQUIS_DATOS!$C$1504))-(CROQUIS_DATOS!$C$1503)&gt;0.5,(CROQUIS_DATOS!$C$1476)-(0)&gt;0.5),(CROQUIS_DATOS!$C$1566+(IF(IF(MOD(MIN(INT(($A97-1)/2)+1,MAX(1,INT(((((CROQUIS_DATOS!$C$1503+CROQUIS_DATOS!$C$1504))-(CROQUIS_DATOS!$C$1503))+((CROQUIS_DATOS!$C$1476)*CROQUIS_DATOS!$C$1561-(0)*CROQUIS_DATOS!$C$1561))/CROQUIS_DATOS!$C$1568-0.000001))),2)=1,IF(INT(($A97-1)/2)+1&gt;MAX(1,INT(((((CROQUIS_DATOS!$C$1503+CROQUIS_DATOS!$C$1504))-(CROQUIS_DATOS!$C$1503))+((CROQUIS_DATOS!$C$1476)*CROQUIS_DATOS!$C$1561-(0)*CROQUIS_DATOS!$C$1561))/CROQUIS_DATOS!$C$1568-0.000001)),1,MOD($A97-1,2)),1-IF(INT(($A97-1)/2)+1&gt;MAX(1,INT(((((CROQUIS_DATOS!$C$1503+CROQUIS_DATOS!$C$1504))-(CROQUIS_DATOS!$C$1503))+((CROQUIS_DATOS!$C$1476)*CROQUIS_DATOS!$C$1561-(0)*CROQUIS_DATOS!$C$1561))/CROQUIS_DATOS!$C$1568-0.000001)),1,MOD($A97-1,2)))=1,MIN((CROQUIS_DATOS!$C$1476)*CROQUIS_DATOS!$C$1561,((CROQUIS_DATOS!$C$1503+CROQUIS_DATOS!$C$1504)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7">
        <f>IF(AND(CROQUIS_DATOS!$C$1472=1,CROQUIS_DATOS!$C$1504&gt;0,((CROQUIS_DATOS!$C$1503+CROQUIS_DATOS!$C$1504))-(CROQUIS_DATOS!$C$1503)&gt;0.5,(CROQUIS_DATOS!$C$1476)-(0)&gt;0.5),(CROQUIS_DATOS!$C$1567+(IF(IF(MOD(MIN(INT(($A97-1)/2)+1,MAX(1,INT(((((CROQUIS_DATOS!$C$1503+CROQUIS_DATOS!$C$1504))-(CROQUIS_DATOS!$C$1503))+((CROQUIS_DATOS!$C$1476)*CROQUIS_DATOS!$C$1561-(0)*CROQUIS_DATOS!$C$1561))/CROQUIS_DATOS!$C$1568-0.000001))),2)=1,IF(INT(($A97-1)/2)+1&gt;MAX(1,INT(((((CROQUIS_DATOS!$C$1503+CROQUIS_DATOS!$C$1504))-(CROQUIS_DATOS!$C$1503))+((CROQUIS_DATOS!$C$1476)*CROQUIS_DATOS!$C$1561-(0)*CROQUIS_DATOS!$C$1561))/CROQUIS_DATOS!$C$1568-0.000001)),1,MOD($A97-1,2)),1-IF(INT(($A97-1)/2)+1&gt;MAX(1,INT(((((CROQUIS_DATOS!$C$1503+CROQUIS_DATOS!$C$1504))-(CROQUIS_DATOS!$C$1503))+((CROQUIS_DATOS!$C$1476)*CROQUIS_DATOS!$C$1561-(0)*CROQUIS_DATOS!$C$1561))/CROQUIS_DATOS!$C$1568-0.000001)),1,MOD($A97-1,2)))=1,MIN((CROQUIS_DATOS!$C$1476)*CROQUIS_DATOS!$C$1561,((CROQUIS_DATOS!$C$1503+CROQUIS_DATOS!$C$1504)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7">
        <f>IF(AND(CROQUIS_DATOS!$C$1472=1,CROQUIS_DATOS!$C$1508&gt;0,((CROQUIS_DATOS!$C$1507+CROQUIS_DATOS!$C$1508))-(CROQUIS_DATOS!$C$1507)&gt;0.5,(CROQUIS_DATOS!$C$1476)-(0)&gt;0.5),(CROQUIS_DATOS!$C$1566+(IF(IF(MOD(MIN(INT(($A97-1)/2)+1,MAX(1,INT(((((CROQUIS_DATOS!$C$1507+CROQUIS_DATOS!$C$1508))-(CROQUIS_DATOS!$C$1507))+((CROQUIS_DATOS!$C$1476)*CROQUIS_DATOS!$C$1561-(0)*CROQUIS_DATOS!$C$1561))/CROQUIS_DATOS!$C$1568-0.000001))),2)=1,IF(INT(($A97-1)/2)+1&gt;MAX(1,INT(((((CROQUIS_DATOS!$C$1507+CROQUIS_DATOS!$C$1508))-(CROQUIS_DATOS!$C$1507))+((CROQUIS_DATOS!$C$1476)*CROQUIS_DATOS!$C$1561-(0)*CROQUIS_DATOS!$C$1561))/CROQUIS_DATOS!$C$1568-0.000001)),1,MOD($A97-1,2)),1-IF(INT(($A97-1)/2)+1&gt;MAX(1,INT(((((CROQUIS_DATOS!$C$1507+CROQUIS_DATOS!$C$1508))-(CROQUIS_DATOS!$C$1507))+((CROQUIS_DATOS!$C$1476)*CROQUIS_DATOS!$C$1561-(0)*CROQUIS_DATOS!$C$1561))/CROQUIS_DATOS!$C$1568-0.000001)),1,MOD($A97-1,2)))=1,MIN((CROQUIS_DATOS!$C$1476)*CROQUIS_DATOS!$C$1561,((CROQUIS_DATOS!$C$1507+CROQUIS_DATOS!$C$1508)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7">
        <f>IF(AND(CROQUIS_DATOS!$C$1472=1,CROQUIS_DATOS!$C$1508&gt;0,((CROQUIS_DATOS!$C$1507+CROQUIS_DATOS!$C$1508))-(CROQUIS_DATOS!$C$1507)&gt;0.5,(CROQUIS_DATOS!$C$1476)-(0)&gt;0.5),(CROQUIS_DATOS!$C$1567+(IF(IF(MOD(MIN(INT(($A97-1)/2)+1,MAX(1,INT(((((CROQUIS_DATOS!$C$1507+CROQUIS_DATOS!$C$1508))-(CROQUIS_DATOS!$C$1507))+((CROQUIS_DATOS!$C$1476)*CROQUIS_DATOS!$C$1561-(0)*CROQUIS_DATOS!$C$1561))/CROQUIS_DATOS!$C$1568-0.000001))),2)=1,IF(INT(($A97-1)/2)+1&gt;MAX(1,INT(((((CROQUIS_DATOS!$C$1507+CROQUIS_DATOS!$C$1508))-(CROQUIS_DATOS!$C$1507))+((CROQUIS_DATOS!$C$1476)*CROQUIS_DATOS!$C$1561-(0)*CROQUIS_DATOS!$C$1561))/CROQUIS_DATOS!$C$1568-0.000001)),1,MOD($A97-1,2)),1-IF(INT(($A97-1)/2)+1&gt;MAX(1,INT(((((CROQUIS_DATOS!$C$1507+CROQUIS_DATOS!$C$1508))-(CROQUIS_DATOS!$C$1507))+((CROQUIS_DATOS!$C$1476)*CROQUIS_DATOS!$C$1561-(0)*CROQUIS_DATOS!$C$1561))/CROQUIS_DATOS!$C$1568-0.000001)),1,MOD($A97-1,2)))=1,MIN((CROQUIS_DATOS!$C$1476)*CROQUIS_DATOS!$C$1561,((CROQUIS_DATOS!$C$1507+CROQUIS_DATOS!$C$1508)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7">
        <f>IF(AND(CROQUIS_DATOS!$C$1472=1,CROQUIS_DATOS!$C$1512&gt;0,((CROQUIS_DATOS!$C$1511+CROQUIS_DATOS!$C$1512))-(CROQUIS_DATOS!$C$1511)&gt;0.5,(CROQUIS_DATOS!$C$1476)-(0)&gt;0.5),(CROQUIS_DATOS!$C$1566+(IF(IF(MOD(MIN(INT(($A97-1)/2)+1,MAX(1,INT(((((CROQUIS_DATOS!$C$1511+CROQUIS_DATOS!$C$1512))-(CROQUIS_DATOS!$C$1511))+((CROQUIS_DATOS!$C$1476)*CROQUIS_DATOS!$C$1561-(0)*CROQUIS_DATOS!$C$1561))/CROQUIS_DATOS!$C$1568-0.000001))),2)=1,IF(INT(($A97-1)/2)+1&gt;MAX(1,INT(((((CROQUIS_DATOS!$C$1511+CROQUIS_DATOS!$C$1512))-(CROQUIS_DATOS!$C$1511))+((CROQUIS_DATOS!$C$1476)*CROQUIS_DATOS!$C$1561-(0)*CROQUIS_DATOS!$C$1561))/CROQUIS_DATOS!$C$1568-0.000001)),1,MOD($A97-1,2)),1-IF(INT(($A97-1)/2)+1&gt;MAX(1,INT(((((CROQUIS_DATOS!$C$1511+CROQUIS_DATOS!$C$1512))-(CROQUIS_DATOS!$C$1511))+((CROQUIS_DATOS!$C$1476)*CROQUIS_DATOS!$C$1561-(0)*CROQUIS_DATOS!$C$1561))/CROQUIS_DATOS!$C$1568-0.000001)),1,MOD($A97-1,2)))=1,MIN((CROQUIS_DATOS!$C$1476)*CROQUIS_DATOS!$C$1561,((CROQUIS_DATOS!$C$1511+CROQUIS_DATOS!$C$1512)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7">
        <f>IF(AND(CROQUIS_DATOS!$C$1472=1,CROQUIS_DATOS!$C$1512&gt;0,((CROQUIS_DATOS!$C$1511+CROQUIS_DATOS!$C$1512))-(CROQUIS_DATOS!$C$1511)&gt;0.5,(CROQUIS_DATOS!$C$1476)-(0)&gt;0.5),(CROQUIS_DATOS!$C$1567+(IF(IF(MOD(MIN(INT(($A97-1)/2)+1,MAX(1,INT(((((CROQUIS_DATOS!$C$1511+CROQUIS_DATOS!$C$1512))-(CROQUIS_DATOS!$C$1511))+((CROQUIS_DATOS!$C$1476)*CROQUIS_DATOS!$C$1561-(0)*CROQUIS_DATOS!$C$1561))/CROQUIS_DATOS!$C$1568-0.000001))),2)=1,IF(INT(($A97-1)/2)+1&gt;MAX(1,INT(((((CROQUIS_DATOS!$C$1511+CROQUIS_DATOS!$C$1512))-(CROQUIS_DATOS!$C$1511))+((CROQUIS_DATOS!$C$1476)*CROQUIS_DATOS!$C$1561-(0)*CROQUIS_DATOS!$C$1561))/CROQUIS_DATOS!$C$1568-0.000001)),1,MOD($A97-1,2)),1-IF(INT(($A97-1)/2)+1&gt;MAX(1,INT(((((CROQUIS_DATOS!$C$1511+CROQUIS_DATOS!$C$1512))-(CROQUIS_DATOS!$C$1511))+((CROQUIS_DATOS!$C$1476)*CROQUIS_DATOS!$C$1561-(0)*CROQUIS_DATOS!$C$1561))/CROQUIS_DATOS!$C$1568-0.000001)),1,MOD($A97-1,2)))=1,MIN((CROQUIS_DATOS!$C$1476)*CROQUIS_DATOS!$C$1561,((CROQUIS_DATOS!$C$1511+CROQUIS_DATOS!$C$1512)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7">
        <f>IF(AND(CROQUIS_DATOS!$C$1472=1,CROQUIS_DATOS!$C$1516&gt;0,((CROQUIS_DATOS!$C$1515+CROQUIS_DATOS!$C$1516))-(CROQUIS_DATOS!$C$1515)&gt;0.5,(CROQUIS_DATOS!$C$1476)-(0)&gt;0.5),(CROQUIS_DATOS!$C$1566+(IF(IF(MOD(MIN(INT(($A97-1)/2)+1,MAX(1,INT(((((CROQUIS_DATOS!$C$1515+CROQUIS_DATOS!$C$1516))-(CROQUIS_DATOS!$C$1515))+((CROQUIS_DATOS!$C$1476)*CROQUIS_DATOS!$C$1561-(0)*CROQUIS_DATOS!$C$1561))/CROQUIS_DATOS!$C$1568-0.000001))),2)=1,IF(INT(($A97-1)/2)+1&gt;MAX(1,INT(((((CROQUIS_DATOS!$C$1515+CROQUIS_DATOS!$C$1516))-(CROQUIS_DATOS!$C$1515))+((CROQUIS_DATOS!$C$1476)*CROQUIS_DATOS!$C$1561-(0)*CROQUIS_DATOS!$C$1561))/CROQUIS_DATOS!$C$1568-0.000001)),1,MOD($A97-1,2)),1-IF(INT(($A97-1)/2)+1&gt;MAX(1,INT(((((CROQUIS_DATOS!$C$1515+CROQUIS_DATOS!$C$1516))-(CROQUIS_DATOS!$C$1515))+((CROQUIS_DATOS!$C$1476)*CROQUIS_DATOS!$C$1561-(0)*CROQUIS_DATOS!$C$1561))/CROQUIS_DATOS!$C$1568-0.000001)),1,MOD($A97-1,2)))=1,MIN((CROQUIS_DATOS!$C$1476)*CROQUIS_DATOS!$C$1561,((CROQUIS_DATOS!$C$1515+CROQUIS_DATOS!$C$1516)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7">
        <f>IF(AND(CROQUIS_DATOS!$C$1472=1,CROQUIS_DATOS!$C$1516&gt;0,((CROQUIS_DATOS!$C$1515+CROQUIS_DATOS!$C$1516))-(CROQUIS_DATOS!$C$1515)&gt;0.5,(CROQUIS_DATOS!$C$1476)-(0)&gt;0.5),(CROQUIS_DATOS!$C$1567+(IF(IF(MOD(MIN(INT(($A97-1)/2)+1,MAX(1,INT(((((CROQUIS_DATOS!$C$1515+CROQUIS_DATOS!$C$1516))-(CROQUIS_DATOS!$C$1515))+((CROQUIS_DATOS!$C$1476)*CROQUIS_DATOS!$C$1561-(0)*CROQUIS_DATOS!$C$1561))/CROQUIS_DATOS!$C$1568-0.000001))),2)=1,IF(INT(($A97-1)/2)+1&gt;MAX(1,INT(((((CROQUIS_DATOS!$C$1515+CROQUIS_DATOS!$C$1516))-(CROQUIS_DATOS!$C$1515))+((CROQUIS_DATOS!$C$1476)*CROQUIS_DATOS!$C$1561-(0)*CROQUIS_DATOS!$C$1561))/CROQUIS_DATOS!$C$1568-0.000001)),1,MOD($A97-1,2)),1-IF(INT(($A97-1)/2)+1&gt;MAX(1,INT(((((CROQUIS_DATOS!$C$1515+CROQUIS_DATOS!$C$1516))-(CROQUIS_DATOS!$C$1515))+((CROQUIS_DATOS!$C$1476)*CROQUIS_DATOS!$C$1561-(0)*CROQUIS_DATOS!$C$1561))/CROQUIS_DATOS!$C$1568-0.000001)),1,MOD($A97-1,2)))=1,MIN((CROQUIS_DATOS!$C$1476)*CROQUIS_DATOS!$C$1561,((CROQUIS_DATOS!$C$1515+CROQUIS_DATOS!$C$1516)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7">
        <f>IF(AND(CROQUIS_DATOS!$C$1472=1,CROQUIS_DATOS!$C$1478&gt;=1,((CROQUIS_DATOS!$C$1479+CROQUIS_DATOS!$C$1480))-(CROQUIS_DATOS!$C$1479)&gt;0.5,(CROQUIS_DATOS!$C$1481)-(0)&gt;0.5),(CROQUIS_DATOS!$C$1566+(IF(IF(MOD(MIN(INT(($A97-1)/2)+1,MAX(1,INT(((((CROQUIS_DATOS!$C$1479+CROQUIS_DATOS!$C$1480))-(CROQUIS_DATOS!$C$1479))+((CROQUIS_DATOS!$C$1481)*CROQUIS_DATOS!$C$1561-(0)*CROQUIS_DATOS!$C$1561))/CROQUIS_DATOS!$C$1568-0.000001))),2)=1,IF(INT(($A97-1)/2)+1&gt;MAX(1,INT(((((CROQUIS_DATOS!$C$1479+CROQUIS_DATOS!$C$1480))-(CROQUIS_DATOS!$C$1479))+((CROQUIS_DATOS!$C$1481)*CROQUIS_DATOS!$C$1561-(0)*CROQUIS_DATOS!$C$1561))/CROQUIS_DATOS!$C$1568-0.000001)),1,MOD($A97-1,2)),1-IF(INT(($A97-1)/2)+1&gt;MAX(1,INT(((((CROQUIS_DATOS!$C$1479+CROQUIS_DATOS!$C$1480))-(CROQUIS_DATOS!$C$1479))+((CROQUIS_DATOS!$C$1481)*CROQUIS_DATOS!$C$1561-(0)*CROQUIS_DATOS!$C$1561))/CROQUIS_DATOS!$C$1568-0.000001)),1,MOD($A97-1,2)))=1,MIN((CROQUIS_DATOS!$C$1481)*CROQUIS_DATOS!$C$1561,((CROQUIS_DATOS!$C$1479+CROQUIS_DATOS!$C$1480)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7">
        <f>IF(AND(CROQUIS_DATOS!$C$1472=1,CROQUIS_DATOS!$C$1478&gt;=1,((CROQUIS_DATOS!$C$1479+CROQUIS_DATOS!$C$1480))-(CROQUIS_DATOS!$C$1479)&gt;0.5,(CROQUIS_DATOS!$C$1481)-(0)&gt;0.5),(CROQUIS_DATOS!$C$1567+(IF(IF(MOD(MIN(INT(($A97-1)/2)+1,MAX(1,INT(((((CROQUIS_DATOS!$C$1479+CROQUIS_DATOS!$C$1480))-(CROQUIS_DATOS!$C$1479))+((CROQUIS_DATOS!$C$1481)*CROQUIS_DATOS!$C$1561-(0)*CROQUIS_DATOS!$C$1561))/CROQUIS_DATOS!$C$1568-0.000001))),2)=1,IF(INT(($A97-1)/2)+1&gt;MAX(1,INT(((((CROQUIS_DATOS!$C$1479+CROQUIS_DATOS!$C$1480))-(CROQUIS_DATOS!$C$1479))+((CROQUIS_DATOS!$C$1481)*CROQUIS_DATOS!$C$1561-(0)*CROQUIS_DATOS!$C$1561))/CROQUIS_DATOS!$C$1568-0.000001)),1,MOD($A97-1,2)),1-IF(INT(($A97-1)/2)+1&gt;MAX(1,INT(((((CROQUIS_DATOS!$C$1479+CROQUIS_DATOS!$C$1480))-(CROQUIS_DATOS!$C$1479))+((CROQUIS_DATOS!$C$1481)*CROQUIS_DATOS!$C$1561-(0)*CROQUIS_DATOS!$C$1561))/CROQUIS_DATOS!$C$1568-0.000001)),1,MOD($A97-1,2)))=1,MIN((CROQUIS_DATOS!$C$1481)*CROQUIS_DATOS!$C$1561,((CROQUIS_DATOS!$C$1479+CROQUIS_DATOS!$C$1480)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7">
        <f>IF(AND(CROQUIS_DATOS!$C$1472=1,CROQUIS_DATOS!$C$1478&gt;=1,((CROQUIS_DATOS!$C$1479+CROQUIS_DATOS!$C$1480))-(CROQUIS_DATOS!$C$1479)&gt;0.5,(CROQUIS_DATOS!$C$1476)-((CROQUIS_DATOS!$C$1481+CROQUIS_DATOS!$C$1482))&gt;0.5),(CROQUIS_DATOS!$C$1566+(IF(IF(MOD(MIN(INT(($A97-1)/2)+1,MAX(1,INT(((((CROQUIS_DATOS!$C$1479+CROQUIS_DATOS!$C$1480))-(CROQUIS_DATOS!$C$1479))+((CROQUIS_DATOS!$C$1476)*CROQUIS_DATOS!$C$1561-((CROQUIS_DATOS!$C$1481+CROQUIS_DATOS!$C$1482))*CROQUIS_DATOS!$C$1561))/CROQUIS_DATOS!$C$1568-0.000001))),2)=1,IF(INT(($A97-1)/2)+1&gt;MAX(1,INT(((((CROQUIS_DATOS!$C$1479+CROQUIS_DATOS!$C$1480))-(CROQUIS_DATOS!$C$1479))+((CROQUIS_DATOS!$C$1476)*CROQUIS_DATOS!$C$1561-((CROQUIS_DATOS!$C$1481+CROQUIS_DATOS!$C$1482))*CROQUIS_DATOS!$C$1561))/CROQUIS_DATOS!$C$1568-0.000001)),1,MOD($A97-1,2)),1-IF(INT(($A97-1)/2)+1&gt;MAX(1,INT(((((CROQUIS_DATOS!$C$1479+CROQUIS_DATOS!$C$1480))-(CROQUIS_DATOS!$C$1479))+((CROQUIS_DATOS!$C$1476)*CROQUIS_DATOS!$C$1561-((CROQUIS_DATOS!$C$1481+CROQUIS_DATOS!$C$1482))*CROQUIS_DATOS!$C$1561))/CROQUIS_DATOS!$C$1568-0.000001)),1,MOD($A97-1,2)))=1,MIN((CROQUIS_DATOS!$C$1476)*CROQUIS_DATOS!$C$1561,((CROQUIS_DATOS!$C$1479+CROQUIS_DATOS!$C$1480)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7">
        <f>IF(AND(CROQUIS_DATOS!$C$1472=1,CROQUIS_DATOS!$C$1478&gt;=1,((CROQUIS_DATOS!$C$1479+CROQUIS_DATOS!$C$1480))-(CROQUIS_DATOS!$C$1479)&gt;0.5,(CROQUIS_DATOS!$C$1476)-((CROQUIS_DATOS!$C$1481+CROQUIS_DATOS!$C$1482))&gt;0.5),(CROQUIS_DATOS!$C$1567+(IF(IF(MOD(MIN(INT(($A97-1)/2)+1,MAX(1,INT(((((CROQUIS_DATOS!$C$1479+CROQUIS_DATOS!$C$1480))-(CROQUIS_DATOS!$C$1479))+((CROQUIS_DATOS!$C$1476)*CROQUIS_DATOS!$C$1561-((CROQUIS_DATOS!$C$1481+CROQUIS_DATOS!$C$1482))*CROQUIS_DATOS!$C$1561))/CROQUIS_DATOS!$C$1568-0.000001))),2)=1,IF(INT(($A97-1)/2)+1&gt;MAX(1,INT(((((CROQUIS_DATOS!$C$1479+CROQUIS_DATOS!$C$1480))-(CROQUIS_DATOS!$C$1479))+((CROQUIS_DATOS!$C$1476)*CROQUIS_DATOS!$C$1561-((CROQUIS_DATOS!$C$1481+CROQUIS_DATOS!$C$1482))*CROQUIS_DATOS!$C$1561))/CROQUIS_DATOS!$C$1568-0.000001)),1,MOD($A97-1,2)),1-IF(INT(($A97-1)/2)+1&gt;MAX(1,INT(((((CROQUIS_DATOS!$C$1479+CROQUIS_DATOS!$C$1480))-(CROQUIS_DATOS!$C$1479))+((CROQUIS_DATOS!$C$1476)*CROQUIS_DATOS!$C$1561-((CROQUIS_DATOS!$C$1481+CROQUIS_DATOS!$C$1482))*CROQUIS_DATOS!$C$1561))/CROQUIS_DATOS!$C$1568-0.000001)),1,MOD($A97-1,2)))=1,MIN((CROQUIS_DATOS!$C$1476)*CROQUIS_DATOS!$C$1561,((CROQUIS_DATOS!$C$1479+CROQUIS_DATOS!$C$1480)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7">
        <f>IF(AND(CROQUIS_DATOS!$C$1472=1,CROQUIS_DATOS!$C$1478&gt;=2,((CROQUIS_DATOS!$C$1484+CROQUIS_DATOS!$C$1485))-(CROQUIS_DATOS!$C$1484)&gt;0.5,(CROQUIS_DATOS!$C$1486)-(0)&gt;0.5),(CROQUIS_DATOS!$C$1566+(IF(IF(MOD(MIN(INT(($A97-1)/2)+1,MAX(1,INT(((((CROQUIS_DATOS!$C$1484+CROQUIS_DATOS!$C$1485))-(CROQUIS_DATOS!$C$1484))+((CROQUIS_DATOS!$C$1486)*CROQUIS_DATOS!$C$1561-(0)*CROQUIS_DATOS!$C$1561))/CROQUIS_DATOS!$C$1568-0.000001))),2)=1,IF(INT(($A97-1)/2)+1&gt;MAX(1,INT(((((CROQUIS_DATOS!$C$1484+CROQUIS_DATOS!$C$1485))-(CROQUIS_DATOS!$C$1484))+((CROQUIS_DATOS!$C$1486)*CROQUIS_DATOS!$C$1561-(0)*CROQUIS_DATOS!$C$1561))/CROQUIS_DATOS!$C$1568-0.000001)),1,MOD($A97-1,2)),1-IF(INT(($A97-1)/2)+1&gt;MAX(1,INT(((((CROQUIS_DATOS!$C$1484+CROQUIS_DATOS!$C$1485))-(CROQUIS_DATOS!$C$1484))+((CROQUIS_DATOS!$C$1486)*CROQUIS_DATOS!$C$1561-(0)*CROQUIS_DATOS!$C$1561))/CROQUIS_DATOS!$C$1568-0.000001)),1,MOD($A97-1,2)))=1,MIN((CROQUIS_DATOS!$C$1486)*CROQUIS_DATOS!$C$1561,((CROQUIS_DATOS!$C$1484+CROQUIS_DATOS!$C$1485)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7">
        <f>IF(AND(CROQUIS_DATOS!$C$1472=1,CROQUIS_DATOS!$C$1478&gt;=2,((CROQUIS_DATOS!$C$1484+CROQUIS_DATOS!$C$1485))-(CROQUIS_DATOS!$C$1484)&gt;0.5,(CROQUIS_DATOS!$C$1486)-(0)&gt;0.5),(CROQUIS_DATOS!$C$1567+(IF(IF(MOD(MIN(INT(($A97-1)/2)+1,MAX(1,INT(((((CROQUIS_DATOS!$C$1484+CROQUIS_DATOS!$C$1485))-(CROQUIS_DATOS!$C$1484))+((CROQUIS_DATOS!$C$1486)*CROQUIS_DATOS!$C$1561-(0)*CROQUIS_DATOS!$C$1561))/CROQUIS_DATOS!$C$1568-0.000001))),2)=1,IF(INT(($A97-1)/2)+1&gt;MAX(1,INT(((((CROQUIS_DATOS!$C$1484+CROQUIS_DATOS!$C$1485))-(CROQUIS_DATOS!$C$1484))+((CROQUIS_DATOS!$C$1486)*CROQUIS_DATOS!$C$1561-(0)*CROQUIS_DATOS!$C$1561))/CROQUIS_DATOS!$C$1568-0.000001)),1,MOD($A97-1,2)),1-IF(INT(($A97-1)/2)+1&gt;MAX(1,INT(((((CROQUIS_DATOS!$C$1484+CROQUIS_DATOS!$C$1485))-(CROQUIS_DATOS!$C$1484))+((CROQUIS_DATOS!$C$1486)*CROQUIS_DATOS!$C$1561-(0)*CROQUIS_DATOS!$C$1561))/CROQUIS_DATOS!$C$1568-0.000001)),1,MOD($A97-1,2)))=1,MIN((CROQUIS_DATOS!$C$1486)*CROQUIS_DATOS!$C$1561,((CROQUIS_DATOS!$C$1484+CROQUIS_DATOS!$C$1485)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7">
        <f>IF(AND(CROQUIS_DATOS!$C$1472=1,CROQUIS_DATOS!$C$1478&gt;=2,((CROQUIS_DATOS!$C$1484+CROQUIS_DATOS!$C$1485))-(CROQUIS_DATOS!$C$1484)&gt;0.5,(CROQUIS_DATOS!$C$1476)-((CROQUIS_DATOS!$C$1486+CROQUIS_DATOS!$C$1487))&gt;0.5),(CROQUIS_DATOS!$C$1566+(IF(IF(MOD(MIN(INT(($A97-1)/2)+1,MAX(1,INT(((((CROQUIS_DATOS!$C$1484+CROQUIS_DATOS!$C$1485))-(CROQUIS_DATOS!$C$1484))+((CROQUIS_DATOS!$C$1476)*CROQUIS_DATOS!$C$1561-((CROQUIS_DATOS!$C$1486+CROQUIS_DATOS!$C$1487))*CROQUIS_DATOS!$C$1561))/CROQUIS_DATOS!$C$1568-0.000001))),2)=1,IF(INT(($A97-1)/2)+1&gt;MAX(1,INT(((((CROQUIS_DATOS!$C$1484+CROQUIS_DATOS!$C$1485))-(CROQUIS_DATOS!$C$1484))+((CROQUIS_DATOS!$C$1476)*CROQUIS_DATOS!$C$1561-((CROQUIS_DATOS!$C$1486+CROQUIS_DATOS!$C$1487))*CROQUIS_DATOS!$C$1561))/CROQUIS_DATOS!$C$1568-0.000001)),1,MOD($A97-1,2)),1-IF(INT(($A97-1)/2)+1&gt;MAX(1,INT(((((CROQUIS_DATOS!$C$1484+CROQUIS_DATOS!$C$1485))-(CROQUIS_DATOS!$C$1484))+((CROQUIS_DATOS!$C$1476)*CROQUIS_DATOS!$C$1561-((CROQUIS_DATOS!$C$1486+CROQUIS_DATOS!$C$1487))*CROQUIS_DATOS!$C$1561))/CROQUIS_DATOS!$C$1568-0.000001)),1,MOD($A97-1,2)))=1,MIN((CROQUIS_DATOS!$C$1476)*CROQUIS_DATOS!$C$1561,((CROQUIS_DATOS!$C$1484+CROQUIS_DATOS!$C$1485)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7">
        <f>IF(AND(CROQUIS_DATOS!$C$1472=1,CROQUIS_DATOS!$C$1478&gt;=2,((CROQUIS_DATOS!$C$1484+CROQUIS_DATOS!$C$1485))-(CROQUIS_DATOS!$C$1484)&gt;0.5,(CROQUIS_DATOS!$C$1476)-((CROQUIS_DATOS!$C$1486+CROQUIS_DATOS!$C$1487))&gt;0.5),(CROQUIS_DATOS!$C$1567+(IF(IF(MOD(MIN(INT(($A97-1)/2)+1,MAX(1,INT(((((CROQUIS_DATOS!$C$1484+CROQUIS_DATOS!$C$1485))-(CROQUIS_DATOS!$C$1484))+((CROQUIS_DATOS!$C$1476)*CROQUIS_DATOS!$C$1561-((CROQUIS_DATOS!$C$1486+CROQUIS_DATOS!$C$1487))*CROQUIS_DATOS!$C$1561))/CROQUIS_DATOS!$C$1568-0.000001))),2)=1,IF(INT(($A97-1)/2)+1&gt;MAX(1,INT(((((CROQUIS_DATOS!$C$1484+CROQUIS_DATOS!$C$1485))-(CROQUIS_DATOS!$C$1484))+((CROQUIS_DATOS!$C$1476)*CROQUIS_DATOS!$C$1561-((CROQUIS_DATOS!$C$1486+CROQUIS_DATOS!$C$1487))*CROQUIS_DATOS!$C$1561))/CROQUIS_DATOS!$C$1568-0.000001)),1,MOD($A97-1,2)),1-IF(INT(($A97-1)/2)+1&gt;MAX(1,INT(((((CROQUIS_DATOS!$C$1484+CROQUIS_DATOS!$C$1485))-(CROQUIS_DATOS!$C$1484))+((CROQUIS_DATOS!$C$1476)*CROQUIS_DATOS!$C$1561-((CROQUIS_DATOS!$C$1486+CROQUIS_DATOS!$C$1487))*CROQUIS_DATOS!$C$1561))/CROQUIS_DATOS!$C$1568-0.000001)),1,MOD($A97-1,2)))=1,MIN((CROQUIS_DATOS!$C$1476)*CROQUIS_DATOS!$C$1561,((CROQUIS_DATOS!$C$1484+CROQUIS_DATOS!$C$1485)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7">
        <f>IF(AND(CROQUIS_DATOS!$C$1472=1,CROQUIS_DATOS!$C$1478&gt;=3,((CROQUIS_DATOS!$C$1489+CROQUIS_DATOS!$C$1490))-(CROQUIS_DATOS!$C$1489)&gt;0.5,(CROQUIS_DATOS!$C$1491)-(0)&gt;0.5),(CROQUIS_DATOS!$C$1566+(IF(IF(MOD(MIN(INT(($A97-1)/2)+1,MAX(1,INT(((((CROQUIS_DATOS!$C$1489+CROQUIS_DATOS!$C$1490))-(CROQUIS_DATOS!$C$1489))+((CROQUIS_DATOS!$C$1491)*CROQUIS_DATOS!$C$1561-(0)*CROQUIS_DATOS!$C$1561))/CROQUIS_DATOS!$C$1568-0.000001))),2)=1,IF(INT(($A97-1)/2)+1&gt;MAX(1,INT(((((CROQUIS_DATOS!$C$1489+CROQUIS_DATOS!$C$1490))-(CROQUIS_DATOS!$C$1489))+((CROQUIS_DATOS!$C$1491)*CROQUIS_DATOS!$C$1561-(0)*CROQUIS_DATOS!$C$1561))/CROQUIS_DATOS!$C$1568-0.000001)),1,MOD($A97-1,2)),1-IF(INT(($A97-1)/2)+1&gt;MAX(1,INT(((((CROQUIS_DATOS!$C$1489+CROQUIS_DATOS!$C$1490))-(CROQUIS_DATOS!$C$1489))+((CROQUIS_DATOS!$C$1491)*CROQUIS_DATOS!$C$1561-(0)*CROQUIS_DATOS!$C$1561))/CROQUIS_DATOS!$C$1568-0.000001)),1,MOD($A97-1,2)))=1,MIN((CROQUIS_DATOS!$C$1491)*CROQUIS_DATOS!$C$1561,((CROQUIS_DATOS!$C$1489+CROQUIS_DATOS!$C$1490)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7">
        <f>IF(AND(CROQUIS_DATOS!$C$1472=1,CROQUIS_DATOS!$C$1478&gt;=3,((CROQUIS_DATOS!$C$1489+CROQUIS_DATOS!$C$1490))-(CROQUIS_DATOS!$C$1489)&gt;0.5,(CROQUIS_DATOS!$C$1491)-(0)&gt;0.5),(CROQUIS_DATOS!$C$1567+(IF(IF(MOD(MIN(INT(($A97-1)/2)+1,MAX(1,INT(((((CROQUIS_DATOS!$C$1489+CROQUIS_DATOS!$C$1490))-(CROQUIS_DATOS!$C$1489))+((CROQUIS_DATOS!$C$1491)*CROQUIS_DATOS!$C$1561-(0)*CROQUIS_DATOS!$C$1561))/CROQUIS_DATOS!$C$1568-0.000001))),2)=1,IF(INT(($A97-1)/2)+1&gt;MAX(1,INT(((((CROQUIS_DATOS!$C$1489+CROQUIS_DATOS!$C$1490))-(CROQUIS_DATOS!$C$1489))+((CROQUIS_DATOS!$C$1491)*CROQUIS_DATOS!$C$1561-(0)*CROQUIS_DATOS!$C$1561))/CROQUIS_DATOS!$C$1568-0.000001)),1,MOD($A97-1,2)),1-IF(INT(($A97-1)/2)+1&gt;MAX(1,INT(((((CROQUIS_DATOS!$C$1489+CROQUIS_DATOS!$C$1490))-(CROQUIS_DATOS!$C$1489))+((CROQUIS_DATOS!$C$1491)*CROQUIS_DATOS!$C$1561-(0)*CROQUIS_DATOS!$C$1561))/CROQUIS_DATOS!$C$1568-0.000001)),1,MOD($A97-1,2)))=1,MIN((CROQUIS_DATOS!$C$1491)*CROQUIS_DATOS!$C$1561,((CROQUIS_DATOS!$C$1489+CROQUIS_DATOS!$C$1490)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7">
        <f>IF(AND(CROQUIS_DATOS!$C$1472=1,CROQUIS_DATOS!$C$1478&gt;=3,((CROQUIS_DATOS!$C$1489+CROQUIS_DATOS!$C$1490))-(CROQUIS_DATOS!$C$1489)&gt;0.5,(CROQUIS_DATOS!$C$1476)-((CROQUIS_DATOS!$C$1491+CROQUIS_DATOS!$C$1492))&gt;0.5),(CROQUIS_DATOS!$C$1566+(IF(IF(MOD(MIN(INT(($A97-1)/2)+1,MAX(1,INT(((((CROQUIS_DATOS!$C$1489+CROQUIS_DATOS!$C$1490))-(CROQUIS_DATOS!$C$1489))+((CROQUIS_DATOS!$C$1476)*CROQUIS_DATOS!$C$1561-((CROQUIS_DATOS!$C$1491+CROQUIS_DATOS!$C$1492))*CROQUIS_DATOS!$C$1561))/CROQUIS_DATOS!$C$1568-0.000001))),2)=1,IF(INT(($A97-1)/2)+1&gt;MAX(1,INT(((((CROQUIS_DATOS!$C$1489+CROQUIS_DATOS!$C$1490))-(CROQUIS_DATOS!$C$1489))+((CROQUIS_DATOS!$C$1476)*CROQUIS_DATOS!$C$1561-((CROQUIS_DATOS!$C$1491+CROQUIS_DATOS!$C$1492))*CROQUIS_DATOS!$C$1561))/CROQUIS_DATOS!$C$1568-0.000001)),1,MOD($A97-1,2)),1-IF(INT(($A97-1)/2)+1&gt;MAX(1,INT(((((CROQUIS_DATOS!$C$1489+CROQUIS_DATOS!$C$1490))-(CROQUIS_DATOS!$C$1489))+((CROQUIS_DATOS!$C$1476)*CROQUIS_DATOS!$C$1561-((CROQUIS_DATOS!$C$1491+CROQUIS_DATOS!$C$1492))*CROQUIS_DATOS!$C$1561))/CROQUIS_DATOS!$C$1568-0.000001)),1,MOD($A97-1,2)))=1,MIN((CROQUIS_DATOS!$C$1476)*CROQUIS_DATOS!$C$1561,((CROQUIS_DATOS!$C$1489+CROQUIS_DATOS!$C$1490)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7">
        <f>IF(AND(CROQUIS_DATOS!$C$1472=1,CROQUIS_DATOS!$C$1478&gt;=3,((CROQUIS_DATOS!$C$1489+CROQUIS_DATOS!$C$1490))-(CROQUIS_DATOS!$C$1489)&gt;0.5,(CROQUIS_DATOS!$C$1476)-((CROQUIS_DATOS!$C$1491+CROQUIS_DATOS!$C$1492))&gt;0.5),(CROQUIS_DATOS!$C$1567+(IF(IF(MOD(MIN(INT(($A97-1)/2)+1,MAX(1,INT(((((CROQUIS_DATOS!$C$1489+CROQUIS_DATOS!$C$1490))-(CROQUIS_DATOS!$C$1489))+((CROQUIS_DATOS!$C$1476)*CROQUIS_DATOS!$C$1561-((CROQUIS_DATOS!$C$1491+CROQUIS_DATOS!$C$1492))*CROQUIS_DATOS!$C$1561))/CROQUIS_DATOS!$C$1568-0.000001))),2)=1,IF(INT(($A97-1)/2)+1&gt;MAX(1,INT(((((CROQUIS_DATOS!$C$1489+CROQUIS_DATOS!$C$1490))-(CROQUIS_DATOS!$C$1489))+((CROQUIS_DATOS!$C$1476)*CROQUIS_DATOS!$C$1561-((CROQUIS_DATOS!$C$1491+CROQUIS_DATOS!$C$1492))*CROQUIS_DATOS!$C$1561))/CROQUIS_DATOS!$C$1568-0.000001)),1,MOD($A97-1,2)),1-IF(INT(($A97-1)/2)+1&gt;MAX(1,INT(((((CROQUIS_DATOS!$C$1489+CROQUIS_DATOS!$C$1490))-(CROQUIS_DATOS!$C$1489))+((CROQUIS_DATOS!$C$1476)*CROQUIS_DATOS!$C$1561-((CROQUIS_DATOS!$C$1491+CROQUIS_DATOS!$C$1492))*CROQUIS_DATOS!$C$1561))/CROQUIS_DATOS!$C$1568-0.000001)),1,MOD($A97-1,2)))=1,MIN((CROQUIS_DATOS!$C$1476)*CROQUIS_DATOS!$C$1561,((CROQUIS_DATOS!$C$1489+CROQUIS_DATOS!$C$1490)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7">
        <f>IF(AND(CROQUIS_DATOS!$C$1472=1,CROQUIS_DATOS!$C$1478&gt;=4,((CROQUIS_DATOS!$C$1494+CROQUIS_DATOS!$C$1495))-(CROQUIS_DATOS!$C$1494)&gt;0.5,(CROQUIS_DATOS!$C$1496)-(0)&gt;0.5),(CROQUIS_DATOS!$C$1566+(IF(IF(MOD(MIN(INT(($A97-1)/2)+1,MAX(1,INT(((((CROQUIS_DATOS!$C$1494+CROQUIS_DATOS!$C$1495))-(CROQUIS_DATOS!$C$1494))+((CROQUIS_DATOS!$C$1496)*CROQUIS_DATOS!$C$1561-(0)*CROQUIS_DATOS!$C$1561))/CROQUIS_DATOS!$C$1568-0.000001))),2)=1,IF(INT(($A97-1)/2)+1&gt;MAX(1,INT(((((CROQUIS_DATOS!$C$1494+CROQUIS_DATOS!$C$1495))-(CROQUIS_DATOS!$C$1494))+((CROQUIS_DATOS!$C$1496)*CROQUIS_DATOS!$C$1561-(0)*CROQUIS_DATOS!$C$1561))/CROQUIS_DATOS!$C$1568-0.000001)),1,MOD($A97-1,2)),1-IF(INT(($A97-1)/2)+1&gt;MAX(1,INT(((((CROQUIS_DATOS!$C$1494+CROQUIS_DATOS!$C$1495))-(CROQUIS_DATOS!$C$1494))+((CROQUIS_DATOS!$C$1496)*CROQUIS_DATOS!$C$1561-(0)*CROQUIS_DATOS!$C$1561))/CROQUIS_DATOS!$C$1568-0.000001)),1,MOD($A97-1,2)))=1,MIN((CROQUIS_DATOS!$C$1496)*CROQUIS_DATOS!$C$1561,((CROQUIS_DATOS!$C$1494+CROQUIS_DATOS!$C$1495)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7">
        <f>IF(AND(CROQUIS_DATOS!$C$1472=1,CROQUIS_DATOS!$C$1478&gt;=4,((CROQUIS_DATOS!$C$1494+CROQUIS_DATOS!$C$1495))-(CROQUIS_DATOS!$C$1494)&gt;0.5,(CROQUIS_DATOS!$C$1496)-(0)&gt;0.5),(CROQUIS_DATOS!$C$1567+(IF(IF(MOD(MIN(INT(($A97-1)/2)+1,MAX(1,INT(((((CROQUIS_DATOS!$C$1494+CROQUIS_DATOS!$C$1495))-(CROQUIS_DATOS!$C$1494))+((CROQUIS_DATOS!$C$1496)*CROQUIS_DATOS!$C$1561-(0)*CROQUIS_DATOS!$C$1561))/CROQUIS_DATOS!$C$1568-0.000001))),2)=1,IF(INT(($A97-1)/2)+1&gt;MAX(1,INT(((((CROQUIS_DATOS!$C$1494+CROQUIS_DATOS!$C$1495))-(CROQUIS_DATOS!$C$1494))+((CROQUIS_DATOS!$C$1496)*CROQUIS_DATOS!$C$1561-(0)*CROQUIS_DATOS!$C$1561))/CROQUIS_DATOS!$C$1568-0.000001)),1,MOD($A97-1,2)),1-IF(INT(($A97-1)/2)+1&gt;MAX(1,INT(((((CROQUIS_DATOS!$C$1494+CROQUIS_DATOS!$C$1495))-(CROQUIS_DATOS!$C$1494))+((CROQUIS_DATOS!$C$1496)*CROQUIS_DATOS!$C$1561-(0)*CROQUIS_DATOS!$C$1561))/CROQUIS_DATOS!$C$1568-0.000001)),1,MOD($A97-1,2)))=1,MIN((CROQUIS_DATOS!$C$1496)*CROQUIS_DATOS!$C$1561,((CROQUIS_DATOS!$C$1494+CROQUIS_DATOS!$C$1495)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7">
        <f>IF(AND(CROQUIS_DATOS!$C$1472=1,CROQUIS_DATOS!$C$1478&gt;=4,((CROQUIS_DATOS!$C$1494+CROQUIS_DATOS!$C$1495))-(CROQUIS_DATOS!$C$1494)&gt;0.5,(CROQUIS_DATOS!$C$1476)-((CROQUIS_DATOS!$C$1496+CROQUIS_DATOS!$C$1497))&gt;0.5),(CROQUIS_DATOS!$C$1566+(IF(IF(MOD(MIN(INT(($A97-1)/2)+1,MAX(1,INT(((((CROQUIS_DATOS!$C$1494+CROQUIS_DATOS!$C$1495))-(CROQUIS_DATOS!$C$1494))+((CROQUIS_DATOS!$C$1476)*CROQUIS_DATOS!$C$1561-((CROQUIS_DATOS!$C$1496+CROQUIS_DATOS!$C$1497))*CROQUIS_DATOS!$C$1561))/CROQUIS_DATOS!$C$1568-0.000001))),2)=1,IF(INT(($A97-1)/2)+1&gt;MAX(1,INT(((((CROQUIS_DATOS!$C$1494+CROQUIS_DATOS!$C$1495))-(CROQUIS_DATOS!$C$1494))+((CROQUIS_DATOS!$C$1476)*CROQUIS_DATOS!$C$1561-((CROQUIS_DATOS!$C$1496+CROQUIS_DATOS!$C$1497))*CROQUIS_DATOS!$C$1561))/CROQUIS_DATOS!$C$1568-0.000001)),1,MOD($A97-1,2)),1-IF(INT(($A97-1)/2)+1&gt;MAX(1,INT(((((CROQUIS_DATOS!$C$1494+CROQUIS_DATOS!$C$1495))-(CROQUIS_DATOS!$C$1494))+((CROQUIS_DATOS!$C$1476)*CROQUIS_DATOS!$C$1561-((CROQUIS_DATOS!$C$1496+CROQUIS_DATOS!$C$1497))*CROQUIS_DATOS!$C$1561))/CROQUIS_DATOS!$C$1568-0.000001)),1,MOD($A97-1,2)))=1,MIN((CROQUIS_DATOS!$C$1476)*CROQUIS_DATOS!$C$1561,((CROQUIS_DATOS!$C$1494+CROQUIS_DATOS!$C$1495)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7">
        <f>IF(AND(CROQUIS_DATOS!$C$1472=1,CROQUIS_DATOS!$C$1478&gt;=4,((CROQUIS_DATOS!$C$1494+CROQUIS_DATOS!$C$1495))-(CROQUIS_DATOS!$C$1494)&gt;0.5,(CROQUIS_DATOS!$C$1476)-((CROQUIS_DATOS!$C$1496+CROQUIS_DATOS!$C$1497))&gt;0.5),(CROQUIS_DATOS!$C$1567+(IF(IF(MOD(MIN(INT(($A97-1)/2)+1,MAX(1,INT(((((CROQUIS_DATOS!$C$1494+CROQUIS_DATOS!$C$1495))-(CROQUIS_DATOS!$C$1494))+((CROQUIS_DATOS!$C$1476)*CROQUIS_DATOS!$C$1561-((CROQUIS_DATOS!$C$1496+CROQUIS_DATOS!$C$1497))*CROQUIS_DATOS!$C$1561))/CROQUIS_DATOS!$C$1568-0.000001))),2)=1,IF(INT(($A97-1)/2)+1&gt;MAX(1,INT(((((CROQUIS_DATOS!$C$1494+CROQUIS_DATOS!$C$1495))-(CROQUIS_DATOS!$C$1494))+((CROQUIS_DATOS!$C$1476)*CROQUIS_DATOS!$C$1561-((CROQUIS_DATOS!$C$1496+CROQUIS_DATOS!$C$1497))*CROQUIS_DATOS!$C$1561))/CROQUIS_DATOS!$C$1568-0.000001)),1,MOD($A97-1,2)),1-IF(INT(($A97-1)/2)+1&gt;MAX(1,INT(((((CROQUIS_DATOS!$C$1494+CROQUIS_DATOS!$C$1495))-(CROQUIS_DATOS!$C$1494))+((CROQUIS_DATOS!$C$1476)*CROQUIS_DATOS!$C$1561-((CROQUIS_DATOS!$C$1496+CROQUIS_DATOS!$C$1497))*CROQUIS_DATOS!$C$1561))/CROQUIS_DATOS!$C$1568-0.000001)),1,MOD($A97-1,2)))=1,MIN((CROQUIS_DATOS!$C$1476)*CROQUIS_DATOS!$C$1561,((CROQUIS_DATOS!$C$1494+CROQUIS_DATOS!$C$1495)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8">
      <c r="A98" t="n">
        <v>91</v>
      </c>
      <c r="N98">
        <f>IF(AND(CROQUIS_DATOS!$C$1472=1,1),(CROQUIS_DATOS!$C$1563+(IF(IF(IF(INT(($A98-1)/70)+1&gt;CROQUIS_DATOS!$C$1525,70,MOD($A98-1,70)+1)=1,0,IF(IF(INT(($A98-1)/70)+1&gt;CROQUIS_DATOS!$C$1525,70,MOD($A98-1,70)+1)&gt;2*CROQUIS_DATOS!$C$1541+1,IF(MOD(CROQUIS_DATOS!$C$1541,2)=1,1,0),IF(MOD(MIN(INT((IF(INT(($A98-1)/70)+1&gt;CROQUIS_DATOS!$C$1525,70,MOD($A98-1,70)+1)-2)/2)+1,CROQUIS_DATOS!$C$1541),2)=1,IF(MOD(IF(INT(($A98-1)/70)+1&gt;CROQUIS_DATOS!$C$1525,70,MOD($A98-1,70)+1)-2,2)=0,0,1),IF(MOD(IF(INT(($A98-1)/70)+1&gt;CROQUIS_DATOS!$C$1525,70,MOD($A98-1,70)+1)-2,2)=0,1,0))))=0,(INDEX($E$8:$E$23,MIN(INT(($A98-1)/70)+1,CROQUIS_DATOS!$C$1525))-INDEX($F$8:$F$23,MIN(INT(($A98-1)/70)+1,CROQUIS_DATOS!$C$1525))/2),(INDEX($E$8:$E$23,MIN(INT(($A98-1)/70)+1,CROQUIS_DATOS!$C$1525))+INDEX($F$8:$F$23,MIN(INT(($A98-1)/70)+1,CROQUIS_DATOS!$C$1525))/2)))*CROQUIS_DATOS!$C$1562),-1000)</f>
        <v>18.5775862068965</v>
      </c>
      <c r="O98">
        <f>IF(AND(CROQUIS_DATOS!$C$1472=1,1),(CROQUIS_DATOS!$C$1564+(IF(OR(IF(INT(($A98-1)/70)+1&gt;CROQUIS_DATOS!$C$1525,70,MOD($A98-1,70)+1)=1,IF(INT(($A98-1)/70)+1&gt;CROQUIS_DATOS!$C$1525,70,MOD($A98-1,70)+1)&gt;2*CROQUIS_DATOS!$C$1541+1),CROQUIS_DATOS!$C$1476,INDEX($H$8:$H$41,MIN(INT((IF(INT(($A98-1)/70)+1&gt;CROQUIS_DATOS!$C$1525,70,MOD($A98-1,70)+1)-2)/2)+1,CROQUIS_DATOS!$C$1541))))*CROQUIS_DATOS!$C$1561*CROQUIS_DATOS!$C$1562),-1000)</f>
        <v>24.1077586206897</v>
      </c>
      <c r="P98">
        <f>IF(AND(CROQUIS_DATOS!$C$1472=1,CROQUIS_DATOS!$C$1555=1),(CROQUIS_DATOS!$C$1563+(IF(IF(OR(MOD($A98-1,62)+1=1,IF(CHOOSE(MIN(MAX(MIN(INT(($A98-1)/62)+1,5),1),5),CROQUIS_DATOS!$C$1501,CROQUIS_DATOS!$C$1505,CROQUIS_DATOS!$C$1509,CROQUIS_DATOS!$C$1513,CROQUIS_DATOS!$C$1517)=1,CROQUIS_DATOS!$C$1557,0)=0),0,IF(MOD($A98-1,62)+1&gt;2*IF(CHOOSE(MIN(MAX(MIN(INT(($A98-1)/62)+1,5),1),5),CROQUIS_DATOS!$C$1501,CROQUIS_DATOS!$C$1505,CROQUIS_DATOS!$C$1509,CROQUIS_DATOS!$C$1513,CROQUIS_DATOS!$C$1517)=1,CROQUIS_DATOS!$C$1557,0)+1,IF(MOD(IF(CHOOSE(MIN(MAX(MIN(INT(($A98-1)/62)+1,5),1),5),CROQUIS_DATOS!$C$1501,CROQUIS_DATOS!$C$1505,CROQUIS_DATOS!$C$1509,CROQUIS_DATOS!$C$1513,CROQUIS_DATOS!$C$1517)=1,CROQUIS_DATOS!$C$1557,0),2)=1,1,0),IF(MOD(MIN(INT((MOD($A98-1,62)+1-2)/2)+1,MAX(IF(CHOOSE(MIN(MAX(MIN(INT(($A98-1)/62)+1,5),1),5),CROQUIS_DATOS!$C$1501,CROQUIS_DATOS!$C$1505,CROQUIS_DATOS!$C$1509,CROQUIS_DATOS!$C$1513,CROQUIS_DATOS!$C$1517)=1,CROQUIS_DATOS!$C$1557,0),1)),2)=1,IF(MOD(MOD($A98-1,62)+1-2,2)=0,0,1),IF(MOD(MOD($A98-1,62)+1-2,2)=0,1,0))))=0,(CHOOSE(MIN(MAX(MIN(INT(($A98-1)/62)+1,5),1),5),CROQUIS_DATOS!$C$1499,CROQUIS_DATOS!$C$1503,CROQUIS_DATOS!$C$1507,CROQUIS_DATOS!$C$1511,CROQUIS_DATOS!$C$1515)+IF(CHOOSE(MIN(MAX(MIN(INT(($A98-1)/62)+1,5),1),5),CROQUIS_DATOS!$C$1501,CROQUIS_DATOS!$C$1505,CROQUIS_DATOS!$C$1509,CROQUIS_DATOS!$C$1513,CROQUIS_DATOS!$C$1517)=1,CROQUIS_DATOS!$C$1526,0)),(CHOOSE(MIN(MAX(MIN(INT(($A98-1)/62)+1,5),1),5),CROQUIS_DATOS!$C$1499,CROQUIS_DATOS!$C$1503,CROQUIS_DATOS!$C$1507,CROQUIS_DATOS!$C$1511,CROQUIS_DATOS!$C$1515)+CHOOSE(MIN(MAX(MIN(INT(($A98-1)/62)+1,5),1),5),CROQUIS_DATOS!$C$1500,CROQUIS_DATOS!$C$1504,CROQUIS_DATOS!$C$1508,CROQUIS_DATOS!$C$1512,CROQUIS_DATOS!$C$1516)-IF(CHOOSE(MIN(MAX(MIN(INT(($A98-1)/62)+1,5),1),5),CROQUIS_DATOS!$C$1501,CROQUIS_DATOS!$C$1505,CROQUIS_DATOS!$C$1509,CROQUIS_DATOS!$C$1513,CROQUIS_DATOS!$C$1517)=1,CROQUIS_DATOS!$C$1526,0))))*CROQUIS_DATOS!$C$1562),-1000)</f>
        <v>-1000</v>
      </c>
      <c r="Q98">
        <f>IF(AND(CROQUIS_DATOS!$C$1472=1,CROQUIS_DATOS!$C$1555=1),(CROQUIS_DATOS!$C$1564+(IF(OR(OR(MOD($A98-1,62)+1=1,IF(CHOOSE(MIN(MAX(MIN(INT(($A98-1)/62)+1,5),1),5),CROQUIS_DATOS!$C$1501,CROQUIS_DATOS!$C$1505,CROQUIS_DATOS!$C$1509,CROQUIS_DATOS!$C$1513,CROQUIS_DATOS!$C$1517)=1,CROQUIS_DATOS!$C$1557,0)=0),MOD($A98-1,62)+1&gt;2*IF(CHOOSE(MIN(MAX(MIN(INT(($A98-1)/62)+1,5),1),5),CROQUIS_DATOS!$C$1501,CROQUIS_DATOS!$C$1505,CROQUIS_DATOS!$C$1509,CROQUIS_DATOS!$C$1513,CROQUIS_DATOS!$C$1517)=1,CROQUIS_DATOS!$C$1557,0)+1),CROQUIS_DATOS!$C$1476,MIN(INT((MOD($A98-1,62)+1-2)/2)+1,MAX(IF(CHOOSE(MIN(MAX(MIN(INT(($A98-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8">
        <f>IF(AND(CROQUIS_DATOS!$C$1472=1,1),(CROQUIS_DATOS!$C$1563+(MIN(INT(($A98-1)/2)+1,CROQUIS_DATOS!$C$1558)*CROQUIS_DATOS!$C$1559)*CROQUIS_DATOS!$C$1562),-1000)</f>
        <v>82.2281167108753</v>
      </c>
      <c r="U98">
        <f>IF(AND(CROQUIS_DATOS!$C$1472=1,1),(CROQUIS_DATOS!$C$1564+(IF(INT(($A98-1)/2)+1&gt;CROQUIS_DATOS!$C$1558,IF(MOD(CROQUIS_DATOS!$C$1558,2)=1,CROQUIS_DATOS!$C$1476+CROQUIS_DATOS!$C$1528,CROQUIS_DATOS!$C$1476),IF(IF(MOD(MIN(INT(($A98-1)/2)+1,CROQUIS_DATOS!$C$1558),2)=1,MOD($A98-1,2),1-MOD($A98-1,2))=1,CROQUIS_DATOS!$C$1476+CROQUIS_DATOS!$C$1528,CROQUIS_DATOS!$C$1476)))*CROQUIS_DATOS!$C$1561*CROQUIS_DATOS!$C$1562),-1000)</f>
        <v>43</v>
      </c>
      <c r="BZ98">
        <f>IF(AND(CROQUIS_DATOS!$C$1472=1,CROQUIS_DATOS!$C$1500&gt;0,((CROQUIS_DATOS!$C$1499+CROQUIS_DATOS!$C$1500))-(CROQUIS_DATOS!$C$1499)&gt;0.5,(CROQUIS_DATOS!$C$1476)-(0)&gt;0.5),(CROQUIS_DATOS!$C$1566+(IF(IF(MOD(MIN(INT(($A98-1)/2)+1,MAX(1,INT(((((CROQUIS_DATOS!$C$1499+CROQUIS_DATOS!$C$1500))-(CROQUIS_DATOS!$C$1499))+((CROQUIS_DATOS!$C$1476)*CROQUIS_DATOS!$C$1561-(0)*CROQUIS_DATOS!$C$1561))/CROQUIS_DATOS!$C$1568-0.000001))),2)=1,IF(INT(($A98-1)/2)+1&gt;MAX(1,INT(((((CROQUIS_DATOS!$C$1499+CROQUIS_DATOS!$C$1500))-(CROQUIS_DATOS!$C$1499))+((CROQUIS_DATOS!$C$1476)*CROQUIS_DATOS!$C$1561-(0)*CROQUIS_DATOS!$C$1561))/CROQUIS_DATOS!$C$1568-0.000001)),1,MOD($A98-1,2)),1-IF(INT(($A98-1)/2)+1&gt;MAX(1,INT(((((CROQUIS_DATOS!$C$1499+CROQUIS_DATOS!$C$1500))-(CROQUIS_DATOS!$C$1499))+((CROQUIS_DATOS!$C$1476)*CROQUIS_DATOS!$C$1561-(0)*CROQUIS_DATOS!$C$1561))/CROQUIS_DATOS!$C$1568-0.000001)),1,MOD($A98-1,2)))=1,MIN((CROQUIS_DATOS!$C$1476)*CROQUIS_DATOS!$C$1561,((CROQUIS_DATOS!$C$1499+CROQUIS_DATOS!$C$1500)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8">
        <f>IF(AND(CROQUIS_DATOS!$C$1472=1,CROQUIS_DATOS!$C$1500&gt;0,((CROQUIS_DATOS!$C$1499+CROQUIS_DATOS!$C$1500))-(CROQUIS_DATOS!$C$1499)&gt;0.5,(CROQUIS_DATOS!$C$1476)-(0)&gt;0.5),(CROQUIS_DATOS!$C$1567+(IF(IF(MOD(MIN(INT(($A98-1)/2)+1,MAX(1,INT(((((CROQUIS_DATOS!$C$1499+CROQUIS_DATOS!$C$1500))-(CROQUIS_DATOS!$C$1499))+((CROQUIS_DATOS!$C$1476)*CROQUIS_DATOS!$C$1561-(0)*CROQUIS_DATOS!$C$1561))/CROQUIS_DATOS!$C$1568-0.000001))),2)=1,IF(INT(($A98-1)/2)+1&gt;MAX(1,INT(((((CROQUIS_DATOS!$C$1499+CROQUIS_DATOS!$C$1500))-(CROQUIS_DATOS!$C$1499))+((CROQUIS_DATOS!$C$1476)*CROQUIS_DATOS!$C$1561-(0)*CROQUIS_DATOS!$C$1561))/CROQUIS_DATOS!$C$1568-0.000001)),1,MOD($A98-1,2)),1-IF(INT(($A98-1)/2)+1&gt;MAX(1,INT(((((CROQUIS_DATOS!$C$1499+CROQUIS_DATOS!$C$1500))-(CROQUIS_DATOS!$C$1499))+((CROQUIS_DATOS!$C$1476)*CROQUIS_DATOS!$C$1561-(0)*CROQUIS_DATOS!$C$1561))/CROQUIS_DATOS!$C$1568-0.000001)),1,MOD($A98-1,2)))=1,MIN((CROQUIS_DATOS!$C$1476)*CROQUIS_DATOS!$C$1561,((CROQUIS_DATOS!$C$1499+CROQUIS_DATOS!$C$1500)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8">
        <f>IF(AND(CROQUIS_DATOS!$C$1472=1,CROQUIS_DATOS!$C$1504&gt;0,((CROQUIS_DATOS!$C$1503+CROQUIS_DATOS!$C$1504))-(CROQUIS_DATOS!$C$1503)&gt;0.5,(CROQUIS_DATOS!$C$1476)-(0)&gt;0.5),(CROQUIS_DATOS!$C$1566+(IF(IF(MOD(MIN(INT(($A98-1)/2)+1,MAX(1,INT(((((CROQUIS_DATOS!$C$1503+CROQUIS_DATOS!$C$1504))-(CROQUIS_DATOS!$C$1503))+((CROQUIS_DATOS!$C$1476)*CROQUIS_DATOS!$C$1561-(0)*CROQUIS_DATOS!$C$1561))/CROQUIS_DATOS!$C$1568-0.000001))),2)=1,IF(INT(($A98-1)/2)+1&gt;MAX(1,INT(((((CROQUIS_DATOS!$C$1503+CROQUIS_DATOS!$C$1504))-(CROQUIS_DATOS!$C$1503))+((CROQUIS_DATOS!$C$1476)*CROQUIS_DATOS!$C$1561-(0)*CROQUIS_DATOS!$C$1561))/CROQUIS_DATOS!$C$1568-0.000001)),1,MOD($A98-1,2)),1-IF(INT(($A98-1)/2)+1&gt;MAX(1,INT(((((CROQUIS_DATOS!$C$1503+CROQUIS_DATOS!$C$1504))-(CROQUIS_DATOS!$C$1503))+((CROQUIS_DATOS!$C$1476)*CROQUIS_DATOS!$C$1561-(0)*CROQUIS_DATOS!$C$1561))/CROQUIS_DATOS!$C$1568-0.000001)),1,MOD($A98-1,2)))=1,MIN((CROQUIS_DATOS!$C$1476)*CROQUIS_DATOS!$C$1561,((CROQUIS_DATOS!$C$1503+CROQUIS_DATOS!$C$1504)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8">
        <f>IF(AND(CROQUIS_DATOS!$C$1472=1,CROQUIS_DATOS!$C$1504&gt;0,((CROQUIS_DATOS!$C$1503+CROQUIS_DATOS!$C$1504))-(CROQUIS_DATOS!$C$1503)&gt;0.5,(CROQUIS_DATOS!$C$1476)-(0)&gt;0.5),(CROQUIS_DATOS!$C$1567+(IF(IF(MOD(MIN(INT(($A98-1)/2)+1,MAX(1,INT(((((CROQUIS_DATOS!$C$1503+CROQUIS_DATOS!$C$1504))-(CROQUIS_DATOS!$C$1503))+((CROQUIS_DATOS!$C$1476)*CROQUIS_DATOS!$C$1561-(0)*CROQUIS_DATOS!$C$1561))/CROQUIS_DATOS!$C$1568-0.000001))),2)=1,IF(INT(($A98-1)/2)+1&gt;MAX(1,INT(((((CROQUIS_DATOS!$C$1503+CROQUIS_DATOS!$C$1504))-(CROQUIS_DATOS!$C$1503))+((CROQUIS_DATOS!$C$1476)*CROQUIS_DATOS!$C$1561-(0)*CROQUIS_DATOS!$C$1561))/CROQUIS_DATOS!$C$1568-0.000001)),1,MOD($A98-1,2)),1-IF(INT(($A98-1)/2)+1&gt;MAX(1,INT(((((CROQUIS_DATOS!$C$1503+CROQUIS_DATOS!$C$1504))-(CROQUIS_DATOS!$C$1503))+((CROQUIS_DATOS!$C$1476)*CROQUIS_DATOS!$C$1561-(0)*CROQUIS_DATOS!$C$1561))/CROQUIS_DATOS!$C$1568-0.000001)),1,MOD($A98-1,2)))=1,MIN((CROQUIS_DATOS!$C$1476)*CROQUIS_DATOS!$C$1561,((CROQUIS_DATOS!$C$1503+CROQUIS_DATOS!$C$1504)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8">
        <f>IF(AND(CROQUIS_DATOS!$C$1472=1,CROQUIS_DATOS!$C$1508&gt;0,((CROQUIS_DATOS!$C$1507+CROQUIS_DATOS!$C$1508))-(CROQUIS_DATOS!$C$1507)&gt;0.5,(CROQUIS_DATOS!$C$1476)-(0)&gt;0.5),(CROQUIS_DATOS!$C$1566+(IF(IF(MOD(MIN(INT(($A98-1)/2)+1,MAX(1,INT(((((CROQUIS_DATOS!$C$1507+CROQUIS_DATOS!$C$1508))-(CROQUIS_DATOS!$C$1507))+((CROQUIS_DATOS!$C$1476)*CROQUIS_DATOS!$C$1561-(0)*CROQUIS_DATOS!$C$1561))/CROQUIS_DATOS!$C$1568-0.000001))),2)=1,IF(INT(($A98-1)/2)+1&gt;MAX(1,INT(((((CROQUIS_DATOS!$C$1507+CROQUIS_DATOS!$C$1508))-(CROQUIS_DATOS!$C$1507))+((CROQUIS_DATOS!$C$1476)*CROQUIS_DATOS!$C$1561-(0)*CROQUIS_DATOS!$C$1561))/CROQUIS_DATOS!$C$1568-0.000001)),1,MOD($A98-1,2)),1-IF(INT(($A98-1)/2)+1&gt;MAX(1,INT(((((CROQUIS_DATOS!$C$1507+CROQUIS_DATOS!$C$1508))-(CROQUIS_DATOS!$C$1507))+((CROQUIS_DATOS!$C$1476)*CROQUIS_DATOS!$C$1561-(0)*CROQUIS_DATOS!$C$1561))/CROQUIS_DATOS!$C$1568-0.000001)),1,MOD($A98-1,2)))=1,MIN((CROQUIS_DATOS!$C$1476)*CROQUIS_DATOS!$C$1561,((CROQUIS_DATOS!$C$1507+CROQUIS_DATOS!$C$1508)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8">
        <f>IF(AND(CROQUIS_DATOS!$C$1472=1,CROQUIS_DATOS!$C$1508&gt;0,((CROQUIS_DATOS!$C$1507+CROQUIS_DATOS!$C$1508))-(CROQUIS_DATOS!$C$1507)&gt;0.5,(CROQUIS_DATOS!$C$1476)-(0)&gt;0.5),(CROQUIS_DATOS!$C$1567+(IF(IF(MOD(MIN(INT(($A98-1)/2)+1,MAX(1,INT(((((CROQUIS_DATOS!$C$1507+CROQUIS_DATOS!$C$1508))-(CROQUIS_DATOS!$C$1507))+((CROQUIS_DATOS!$C$1476)*CROQUIS_DATOS!$C$1561-(0)*CROQUIS_DATOS!$C$1561))/CROQUIS_DATOS!$C$1568-0.000001))),2)=1,IF(INT(($A98-1)/2)+1&gt;MAX(1,INT(((((CROQUIS_DATOS!$C$1507+CROQUIS_DATOS!$C$1508))-(CROQUIS_DATOS!$C$1507))+((CROQUIS_DATOS!$C$1476)*CROQUIS_DATOS!$C$1561-(0)*CROQUIS_DATOS!$C$1561))/CROQUIS_DATOS!$C$1568-0.000001)),1,MOD($A98-1,2)),1-IF(INT(($A98-1)/2)+1&gt;MAX(1,INT(((((CROQUIS_DATOS!$C$1507+CROQUIS_DATOS!$C$1508))-(CROQUIS_DATOS!$C$1507))+((CROQUIS_DATOS!$C$1476)*CROQUIS_DATOS!$C$1561-(0)*CROQUIS_DATOS!$C$1561))/CROQUIS_DATOS!$C$1568-0.000001)),1,MOD($A98-1,2)))=1,MIN((CROQUIS_DATOS!$C$1476)*CROQUIS_DATOS!$C$1561,((CROQUIS_DATOS!$C$1507+CROQUIS_DATOS!$C$1508)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8">
        <f>IF(AND(CROQUIS_DATOS!$C$1472=1,CROQUIS_DATOS!$C$1512&gt;0,((CROQUIS_DATOS!$C$1511+CROQUIS_DATOS!$C$1512))-(CROQUIS_DATOS!$C$1511)&gt;0.5,(CROQUIS_DATOS!$C$1476)-(0)&gt;0.5),(CROQUIS_DATOS!$C$1566+(IF(IF(MOD(MIN(INT(($A98-1)/2)+1,MAX(1,INT(((((CROQUIS_DATOS!$C$1511+CROQUIS_DATOS!$C$1512))-(CROQUIS_DATOS!$C$1511))+((CROQUIS_DATOS!$C$1476)*CROQUIS_DATOS!$C$1561-(0)*CROQUIS_DATOS!$C$1561))/CROQUIS_DATOS!$C$1568-0.000001))),2)=1,IF(INT(($A98-1)/2)+1&gt;MAX(1,INT(((((CROQUIS_DATOS!$C$1511+CROQUIS_DATOS!$C$1512))-(CROQUIS_DATOS!$C$1511))+((CROQUIS_DATOS!$C$1476)*CROQUIS_DATOS!$C$1561-(0)*CROQUIS_DATOS!$C$1561))/CROQUIS_DATOS!$C$1568-0.000001)),1,MOD($A98-1,2)),1-IF(INT(($A98-1)/2)+1&gt;MAX(1,INT(((((CROQUIS_DATOS!$C$1511+CROQUIS_DATOS!$C$1512))-(CROQUIS_DATOS!$C$1511))+((CROQUIS_DATOS!$C$1476)*CROQUIS_DATOS!$C$1561-(0)*CROQUIS_DATOS!$C$1561))/CROQUIS_DATOS!$C$1568-0.000001)),1,MOD($A98-1,2)))=1,MIN((CROQUIS_DATOS!$C$1476)*CROQUIS_DATOS!$C$1561,((CROQUIS_DATOS!$C$1511+CROQUIS_DATOS!$C$1512)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8">
        <f>IF(AND(CROQUIS_DATOS!$C$1472=1,CROQUIS_DATOS!$C$1512&gt;0,((CROQUIS_DATOS!$C$1511+CROQUIS_DATOS!$C$1512))-(CROQUIS_DATOS!$C$1511)&gt;0.5,(CROQUIS_DATOS!$C$1476)-(0)&gt;0.5),(CROQUIS_DATOS!$C$1567+(IF(IF(MOD(MIN(INT(($A98-1)/2)+1,MAX(1,INT(((((CROQUIS_DATOS!$C$1511+CROQUIS_DATOS!$C$1512))-(CROQUIS_DATOS!$C$1511))+((CROQUIS_DATOS!$C$1476)*CROQUIS_DATOS!$C$1561-(0)*CROQUIS_DATOS!$C$1561))/CROQUIS_DATOS!$C$1568-0.000001))),2)=1,IF(INT(($A98-1)/2)+1&gt;MAX(1,INT(((((CROQUIS_DATOS!$C$1511+CROQUIS_DATOS!$C$1512))-(CROQUIS_DATOS!$C$1511))+((CROQUIS_DATOS!$C$1476)*CROQUIS_DATOS!$C$1561-(0)*CROQUIS_DATOS!$C$1561))/CROQUIS_DATOS!$C$1568-0.000001)),1,MOD($A98-1,2)),1-IF(INT(($A98-1)/2)+1&gt;MAX(1,INT(((((CROQUIS_DATOS!$C$1511+CROQUIS_DATOS!$C$1512))-(CROQUIS_DATOS!$C$1511))+((CROQUIS_DATOS!$C$1476)*CROQUIS_DATOS!$C$1561-(0)*CROQUIS_DATOS!$C$1561))/CROQUIS_DATOS!$C$1568-0.000001)),1,MOD($A98-1,2)))=1,MIN((CROQUIS_DATOS!$C$1476)*CROQUIS_DATOS!$C$1561,((CROQUIS_DATOS!$C$1511+CROQUIS_DATOS!$C$1512)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8">
        <f>IF(AND(CROQUIS_DATOS!$C$1472=1,CROQUIS_DATOS!$C$1516&gt;0,((CROQUIS_DATOS!$C$1515+CROQUIS_DATOS!$C$1516))-(CROQUIS_DATOS!$C$1515)&gt;0.5,(CROQUIS_DATOS!$C$1476)-(0)&gt;0.5),(CROQUIS_DATOS!$C$1566+(IF(IF(MOD(MIN(INT(($A98-1)/2)+1,MAX(1,INT(((((CROQUIS_DATOS!$C$1515+CROQUIS_DATOS!$C$1516))-(CROQUIS_DATOS!$C$1515))+((CROQUIS_DATOS!$C$1476)*CROQUIS_DATOS!$C$1561-(0)*CROQUIS_DATOS!$C$1561))/CROQUIS_DATOS!$C$1568-0.000001))),2)=1,IF(INT(($A98-1)/2)+1&gt;MAX(1,INT(((((CROQUIS_DATOS!$C$1515+CROQUIS_DATOS!$C$1516))-(CROQUIS_DATOS!$C$1515))+((CROQUIS_DATOS!$C$1476)*CROQUIS_DATOS!$C$1561-(0)*CROQUIS_DATOS!$C$1561))/CROQUIS_DATOS!$C$1568-0.000001)),1,MOD($A98-1,2)),1-IF(INT(($A98-1)/2)+1&gt;MAX(1,INT(((((CROQUIS_DATOS!$C$1515+CROQUIS_DATOS!$C$1516))-(CROQUIS_DATOS!$C$1515))+((CROQUIS_DATOS!$C$1476)*CROQUIS_DATOS!$C$1561-(0)*CROQUIS_DATOS!$C$1561))/CROQUIS_DATOS!$C$1568-0.000001)),1,MOD($A98-1,2)))=1,MIN((CROQUIS_DATOS!$C$1476)*CROQUIS_DATOS!$C$1561,((CROQUIS_DATOS!$C$1515+CROQUIS_DATOS!$C$1516)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8">
        <f>IF(AND(CROQUIS_DATOS!$C$1472=1,CROQUIS_DATOS!$C$1516&gt;0,((CROQUIS_DATOS!$C$1515+CROQUIS_DATOS!$C$1516))-(CROQUIS_DATOS!$C$1515)&gt;0.5,(CROQUIS_DATOS!$C$1476)-(0)&gt;0.5),(CROQUIS_DATOS!$C$1567+(IF(IF(MOD(MIN(INT(($A98-1)/2)+1,MAX(1,INT(((((CROQUIS_DATOS!$C$1515+CROQUIS_DATOS!$C$1516))-(CROQUIS_DATOS!$C$1515))+((CROQUIS_DATOS!$C$1476)*CROQUIS_DATOS!$C$1561-(0)*CROQUIS_DATOS!$C$1561))/CROQUIS_DATOS!$C$1568-0.000001))),2)=1,IF(INT(($A98-1)/2)+1&gt;MAX(1,INT(((((CROQUIS_DATOS!$C$1515+CROQUIS_DATOS!$C$1516))-(CROQUIS_DATOS!$C$1515))+((CROQUIS_DATOS!$C$1476)*CROQUIS_DATOS!$C$1561-(0)*CROQUIS_DATOS!$C$1561))/CROQUIS_DATOS!$C$1568-0.000001)),1,MOD($A98-1,2)),1-IF(INT(($A98-1)/2)+1&gt;MAX(1,INT(((((CROQUIS_DATOS!$C$1515+CROQUIS_DATOS!$C$1516))-(CROQUIS_DATOS!$C$1515))+((CROQUIS_DATOS!$C$1476)*CROQUIS_DATOS!$C$1561-(0)*CROQUIS_DATOS!$C$1561))/CROQUIS_DATOS!$C$1568-0.000001)),1,MOD($A98-1,2)))=1,MIN((CROQUIS_DATOS!$C$1476)*CROQUIS_DATOS!$C$1561,((CROQUIS_DATOS!$C$1515+CROQUIS_DATOS!$C$1516)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8">
        <f>IF(AND(CROQUIS_DATOS!$C$1472=1,CROQUIS_DATOS!$C$1478&gt;=1,((CROQUIS_DATOS!$C$1479+CROQUIS_DATOS!$C$1480))-(CROQUIS_DATOS!$C$1479)&gt;0.5,(CROQUIS_DATOS!$C$1481)-(0)&gt;0.5),(CROQUIS_DATOS!$C$1566+(IF(IF(MOD(MIN(INT(($A98-1)/2)+1,MAX(1,INT(((((CROQUIS_DATOS!$C$1479+CROQUIS_DATOS!$C$1480))-(CROQUIS_DATOS!$C$1479))+((CROQUIS_DATOS!$C$1481)*CROQUIS_DATOS!$C$1561-(0)*CROQUIS_DATOS!$C$1561))/CROQUIS_DATOS!$C$1568-0.000001))),2)=1,IF(INT(($A98-1)/2)+1&gt;MAX(1,INT(((((CROQUIS_DATOS!$C$1479+CROQUIS_DATOS!$C$1480))-(CROQUIS_DATOS!$C$1479))+((CROQUIS_DATOS!$C$1481)*CROQUIS_DATOS!$C$1561-(0)*CROQUIS_DATOS!$C$1561))/CROQUIS_DATOS!$C$1568-0.000001)),1,MOD($A98-1,2)),1-IF(INT(($A98-1)/2)+1&gt;MAX(1,INT(((((CROQUIS_DATOS!$C$1479+CROQUIS_DATOS!$C$1480))-(CROQUIS_DATOS!$C$1479))+((CROQUIS_DATOS!$C$1481)*CROQUIS_DATOS!$C$1561-(0)*CROQUIS_DATOS!$C$1561))/CROQUIS_DATOS!$C$1568-0.000001)),1,MOD($A98-1,2)))=1,MIN((CROQUIS_DATOS!$C$1481)*CROQUIS_DATOS!$C$1561,((CROQUIS_DATOS!$C$1479+CROQUIS_DATOS!$C$1480)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8">
        <f>IF(AND(CROQUIS_DATOS!$C$1472=1,CROQUIS_DATOS!$C$1478&gt;=1,((CROQUIS_DATOS!$C$1479+CROQUIS_DATOS!$C$1480))-(CROQUIS_DATOS!$C$1479)&gt;0.5,(CROQUIS_DATOS!$C$1481)-(0)&gt;0.5),(CROQUIS_DATOS!$C$1567+(IF(IF(MOD(MIN(INT(($A98-1)/2)+1,MAX(1,INT(((((CROQUIS_DATOS!$C$1479+CROQUIS_DATOS!$C$1480))-(CROQUIS_DATOS!$C$1479))+((CROQUIS_DATOS!$C$1481)*CROQUIS_DATOS!$C$1561-(0)*CROQUIS_DATOS!$C$1561))/CROQUIS_DATOS!$C$1568-0.000001))),2)=1,IF(INT(($A98-1)/2)+1&gt;MAX(1,INT(((((CROQUIS_DATOS!$C$1479+CROQUIS_DATOS!$C$1480))-(CROQUIS_DATOS!$C$1479))+((CROQUIS_DATOS!$C$1481)*CROQUIS_DATOS!$C$1561-(0)*CROQUIS_DATOS!$C$1561))/CROQUIS_DATOS!$C$1568-0.000001)),1,MOD($A98-1,2)),1-IF(INT(($A98-1)/2)+1&gt;MAX(1,INT(((((CROQUIS_DATOS!$C$1479+CROQUIS_DATOS!$C$1480))-(CROQUIS_DATOS!$C$1479))+((CROQUIS_DATOS!$C$1481)*CROQUIS_DATOS!$C$1561-(0)*CROQUIS_DATOS!$C$1561))/CROQUIS_DATOS!$C$1568-0.000001)),1,MOD($A98-1,2)))=1,MIN((CROQUIS_DATOS!$C$1481)*CROQUIS_DATOS!$C$1561,((CROQUIS_DATOS!$C$1479+CROQUIS_DATOS!$C$1480)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8">
        <f>IF(AND(CROQUIS_DATOS!$C$1472=1,CROQUIS_DATOS!$C$1478&gt;=1,((CROQUIS_DATOS!$C$1479+CROQUIS_DATOS!$C$1480))-(CROQUIS_DATOS!$C$1479)&gt;0.5,(CROQUIS_DATOS!$C$1476)-((CROQUIS_DATOS!$C$1481+CROQUIS_DATOS!$C$1482))&gt;0.5),(CROQUIS_DATOS!$C$1566+(IF(IF(MOD(MIN(INT(($A98-1)/2)+1,MAX(1,INT(((((CROQUIS_DATOS!$C$1479+CROQUIS_DATOS!$C$1480))-(CROQUIS_DATOS!$C$1479))+((CROQUIS_DATOS!$C$1476)*CROQUIS_DATOS!$C$1561-((CROQUIS_DATOS!$C$1481+CROQUIS_DATOS!$C$1482))*CROQUIS_DATOS!$C$1561))/CROQUIS_DATOS!$C$1568-0.000001))),2)=1,IF(INT(($A98-1)/2)+1&gt;MAX(1,INT(((((CROQUIS_DATOS!$C$1479+CROQUIS_DATOS!$C$1480))-(CROQUIS_DATOS!$C$1479))+((CROQUIS_DATOS!$C$1476)*CROQUIS_DATOS!$C$1561-((CROQUIS_DATOS!$C$1481+CROQUIS_DATOS!$C$1482))*CROQUIS_DATOS!$C$1561))/CROQUIS_DATOS!$C$1568-0.000001)),1,MOD($A98-1,2)),1-IF(INT(($A98-1)/2)+1&gt;MAX(1,INT(((((CROQUIS_DATOS!$C$1479+CROQUIS_DATOS!$C$1480))-(CROQUIS_DATOS!$C$1479))+((CROQUIS_DATOS!$C$1476)*CROQUIS_DATOS!$C$1561-((CROQUIS_DATOS!$C$1481+CROQUIS_DATOS!$C$1482))*CROQUIS_DATOS!$C$1561))/CROQUIS_DATOS!$C$1568-0.000001)),1,MOD($A98-1,2)))=1,MIN((CROQUIS_DATOS!$C$1476)*CROQUIS_DATOS!$C$1561,((CROQUIS_DATOS!$C$1479+CROQUIS_DATOS!$C$1480)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8">
        <f>IF(AND(CROQUIS_DATOS!$C$1472=1,CROQUIS_DATOS!$C$1478&gt;=1,((CROQUIS_DATOS!$C$1479+CROQUIS_DATOS!$C$1480))-(CROQUIS_DATOS!$C$1479)&gt;0.5,(CROQUIS_DATOS!$C$1476)-((CROQUIS_DATOS!$C$1481+CROQUIS_DATOS!$C$1482))&gt;0.5),(CROQUIS_DATOS!$C$1567+(IF(IF(MOD(MIN(INT(($A98-1)/2)+1,MAX(1,INT(((((CROQUIS_DATOS!$C$1479+CROQUIS_DATOS!$C$1480))-(CROQUIS_DATOS!$C$1479))+((CROQUIS_DATOS!$C$1476)*CROQUIS_DATOS!$C$1561-((CROQUIS_DATOS!$C$1481+CROQUIS_DATOS!$C$1482))*CROQUIS_DATOS!$C$1561))/CROQUIS_DATOS!$C$1568-0.000001))),2)=1,IF(INT(($A98-1)/2)+1&gt;MAX(1,INT(((((CROQUIS_DATOS!$C$1479+CROQUIS_DATOS!$C$1480))-(CROQUIS_DATOS!$C$1479))+((CROQUIS_DATOS!$C$1476)*CROQUIS_DATOS!$C$1561-((CROQUIS_DATOS!$C$1481+CROQUIS_DATOS!$C$1482))*CROQUIS_DATOS!$C$1561))/CROQUIS_DATOS!$C$1568-0.000001)),1,MOD($A98-1,2)),1-IF(INT(($A98-1)/2)+1&gt;MAX(1,INT(((((CROQUIS_DATOS!$C$1479+CROQUIS_DATOS!$C$1480))-(CROQUIS_DATOS!$C$1479))+((CROQUIS_DATOS!$C$1476)*CROQUIS_DATOS!$C$1561-((CROQUIS_DATOS!$C$1481+CROQUIS_DATOS!$C$1482))*CROQUIS_DATOS!$C$1561))/CROQUIS_DATOS!$C$1568-0.000001)),1,MOD($A98-1,2)))=1,MIN((CROQUIS_DATOS!$C$1476)*CROQUIS_DATOS!$C$1561,((CROQUIS_DATOS!$C$1479+CROQUIS_DATOS!$C$1480)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8">
        <f>IF(AND(CROQUIS_DATOS!$C$1472=1,CROQUIS_DATOS!$C$1478&gt;=2,((CROQUIS_DATOS!$C$1484+CROQUIS_DATOS!$C$1485))-(CROQUIS_DATOS!$C$1484)&gt;0.5,(CROQUIS_DATOS!$C$1486)-(0)&gt;0.5),(CROQUIS_DATOS!$C$1566+(IF(IF(MOD(MIN(INT(($A98-1)/2)+1,MAX(1,INT(((((CROQUIS_DATOS!$C$1484+CROQUIS_DATOS!$C$1485))-(CROQUIS_DATOS!$C$1484))+((CROQUIS_DATOS!$C$1486)*CROQUIS_DATOS!$C$1561-(0)*CROQUIS_DATOS!$C$1561))/CROQUIS_DATOS!$C$1568-0.000001))),2)=1,IF(INT(($A98-1)/2)+1&gt;MAX(1,INT(((((CROQUIS_DATOS!$C$1484+CROQUIS_DATOS!$C$1485))-(CROQUIS_DATOS!$C$1484))+((CROQUIS_DATOS!$C$1486)*CROQUIS_DATOS!$C$1561-(0)*CROQUIS_DATOS!$C$1561))/CROQUIS_DATOS!$C$1568-0.000001)),1,MOD($A98-1,2)),1-IF(INT(($A98-1)/2)+1&gt;MAX(1,INT(((((CROQUIS_DATOS!$C$1484+CROQUIS_DATOS!$C$1485))-(CROQUIS_DATOS!$C$1484))+((CROQUIS_DATOS!$C$1486)*CROQUIS_DATOS!$C$1561-(0)*CROQUIS_DATOS!$C$1561))/CROQUIS_DATOS!$C$1568-0.000001)),1,MOD($A98-1,2)))=1,MIN((CROQUIS_DATOS!$C$1486)*CROQUIS_DATOS!$C$1561,((CROQUIS_DATOS!$C$1484+CROQUIS_DATOS!$C$1485)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8">
        <f>IF(AND(CROQUIS_DATOS!$C$1472=1,CROQUIS_DATOS!$C$1478&gt;=2,((CROQUIS_DATOS!$C$1484+CROQUIS_DATOS!$C$1485))-(CROQUIS_DATOS!$C$1484)&gt;0.5,(CROQUIS_DATOS!$C$1486)-(0)&gt;0.5),(CROQUIS_DATOS!$C$1567+(IF(IF(MOD(MIN(INT(($A98-1)/2)+1,MAX(1,INT(((((CROQUIS_DATOS!$C$1484+CROQUIS_DATOS!$C$1485))-(CROQUIS_DATOS!$C$1484))+((CROQUIS_DATOS!$C$1486)*CROQUIS_DATOS!$C$1561-(0)*CROQUIS_DATOS!$C$1561))/CROQUIS_DATOS!$C$1568-0.000001))),2)=1,IF(INT(($A98-1)/2)+1&gt;MAX(1,INT(((((CROQUIS_DATOS!$C$1484+CROQUIS_DATOS!$C$1485))-(CROQUIS_DATOS!$C$1484))+((CROQUIS_DATOS!$C$1486)*CROQUIS_DATOS!$C$1561-(0)*CROQUIS_DATOS!$C$1561))/CROQUIS_DATOS!$C$1568-0.000001)),1,MOD($A98-1,2)),1-IF(INT(($A98-1)/2)+1&gt;MAX(1,INT(((((CROQUIS_DATOS!$C$1484+CROQUIS_DATOS!$C$1485))-(CROQUIS_DATOS!$C$1484))+((CROQUIS_DATOS!$C$1486)*CROQUIS_DATOS!$C$1561-(0)*CROQUIS_DATOS!$C$1561))/CROQUIS_DATOS!$C$1568-0.000001)),1,MOD($A98-1,2)))=1,MIN((CROQUIS_DATOS!$C$1486)*CROQUIS_DATOS!$C$1561,((CROQUIS_DATOS!$C$1484+CROQUIS_DATOS!$C$1485)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8">
        <f>IF(AND(CROQUIS_DATOS!$C$1472=1,CROQUIS_DATOS!$C$1478&gt;=2,((CROQUIS_DATOS!$C$1484+CROQUIS_DATOS!$C$1485))-(CROQUIS_DATOS!$C$1484)&gt;0.5,(CROQUIS_DATOS!$C$1476)-((CROQUIS_DATOS!$C$1486+CROQUIS_DATOS!$C$1487))&gt;0.5),(CROQUIS_DATOS!$C$1566+(IF(IF(MOD(MIN(INT(($A98-1)/2)+1,MAX(1,INT(((((CROQUIS_DATOS!$C$1484+CROQUIS_DATOS!$C$1485))-(CROQUIS_DATOS!$C$1484))+((CROQUIS_DATOS!$C$1476)*CROQUIS_DATOS!$C$1561-((CROQUIS_DATOS!$C$1486+CROQUIS_DATOS!$C$1487))*CROQUIS_DATOS!$C$1561))/CROQUIS_DATOS!$C$1568-0.000001))),2)=1,IF(INT(($A98-1)/2)+1&gt;MAX(1,INT(((((CROQUIS_DATOS!$C$1484+CROQUIS_DATOS!$C$1485))-(CROQUIS_DATOS!$C$1484))+((CROQUIS_DATOS!$C$1476)*CROQUIS_DATOS!$C$1561-((CROQUIS_DATOS!$C$1486+CROQUIS_DATOS!$C$1487))*CROQUIS_DATOS!$C$1561))/CROQUIS_DATOS!$C$1568-0.000001)),1,MOD($A98-1,2)),1-IF(INT(($A98-1)/2)+1&gt;MAX(1,INT(((((CROQUIS_DATOS!$C$1484+CROQUIS_DATOS!$C$1485))-(CROQUIS_DATOS!$C$1484))+((CROQUIS_DATOS!$C$1476)*CROQUIS_DATOS!$C$1561-((CROQUIS_DATOS!$C$1486+CROQUIS_DATOS!$C$1487))*CROQUIS_DATOS!$C$1561))/CROQUIS_DATOS!$C$1568-0.000001)),1,MOD($A98-1,2)))=1,MIN((CROQUIS_DATOS!$C$1476)*CROQUIS_DATOS!$C$1561,((CROQUIS_DATOS!$C$1484+CROQUIS_DATOS!$C$1485)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8">
        <f>IF(AND(CROQUIS_DATOS!$C$1472=1,CROQUIS_DATOS!$C$1478&gt;=2,((CROQUIS_DATOS!$C$1484+CROQUIS_DATOS!$C$1485))-(CROQUIS_DATOS!$C$1484)&gt;0.5,(CROQUIS_DATOS!$C$1476)-((CROQUIS_DATOS!$C$1486+CROQUIS_DATOS!$C$1487))&gt;0.5),(CROQUIS_DATOS!$C$1567+(IF(IF(MOD(MIN(INT(($A98-1)/2)+1,MAX(1,INT(((((CROQUIS_DATOS!$C$1484+CROQUIS_DATOS!$C$1485))-(CROQUIS_DATOS!$C$1484))+((CROQUIS_DATOS!$C$1476)*CROQUIS_DATOS!$C$1561-((CROQUIS_DATOS!$C$1486+CROQUIS_DATOS!$C$1487))*CROQUIS_DATOS!$C$1561))/CROQUIS_DATOS!$C$1568-0.000001))),2)=1,IF(INT(($A98-1)/2)+1&gt;MAX(1,INT(((((CROQUIS_DATOS!$C$1484+CROQUIS_DATOS!$C$1485))-(CROQUIS_DATOS!$C$1484))+((CROQUIS_DATOS!$C$1476)*CROQUIS_DATOS!$C$1561-((CROQUIS_DATOS!$C$1486+CROQUIS_DATOS!$C$1487))*CROQUIS_DATOS!$C$1561))/CROQUIS_DATOS!$C$1568-0.000001)),1,MOD($A98-1,2)),1-IF(INT(($A98-1)/2)+1&gt;MAX(1,INT(((((CROQUIS_DATOS!$C$1484+CROQUIS_DATOS!$C$1485))-(CROQUIS_DATOS!$C$1484))+((CROQUIS_DATOS!$C$1476)*CROQUIS_DATOS!$C$1561-((CROQUIS_DATOS!$C$1486+CROQUIS_DATOS!$C$1487))*CROQUIS_DATOS!$C$1561))/CROQUIS_DATOS!$C$1568-0.000001)),1,MOD($A98-1,2)))=1,MIN((CROQUIS_DATOS!$C$1476)*CROQUIS_DATOS!$C$1561,((CROQUIS_DATOS!$C$1484+CROQUIS_DATOS!$C$1485)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8">
        <f>IF(AND(CROQUIS_DATOS!$C$1472=1,CROQUIS_DATOS!$C$1478&gt;=3,((CROQUIS_DATOS!$C$1489+CROQUIS_DATOS!$C$1490))-(CROQUIS_DATOS!$C$1489)&gt;0.5,(CROQUIS_DATOS!$C$1491)-(0)&gt;0.5),(CROQUIS_DATOS!$C$1566+(IF(IF(MOD(MIN(INT(($A98-1)/2)+1,MAX(1,INT(((((CROQUIS_DATOS!$C$1489+CROQUIS_DATOS!$C$1490))-(CROQUIS_DATOS!$C$1489))+((CROQUIS_DATOS!$C$1491)*CROQUIS_DATOS!$C$1561-(0)*CROQUIS_DATOS!$C$1561))/CROQUIS_DATOS!$C$1568-0.000001))),2)=1,IF(INT(($A98-1)/2)+1&gt;MAX(1,INT(((((CROQUIS_DATOS!$C$1489+CROQUIS_DATOS!$C$1490))-(CROQUIS_DATOS!$C$1489))+((CROQUIS_DATOS!$C$1491)*CROQUIS_DATOS!$C$1561-(0)*CROQUIS_DATOS!$C$1561))/CROQUIS_DATOS!$C$1568-0.000001)),1,MOD($A98-1,2)),1-IF(INT(($A98-1)/2)+1&gt;MAX(1,INT(((((CROQUIS_DATOS!$C$1489+CROQUIS_DATOS!$C$1490))-(CROQUIS_DATOS!$C$1489))+((CROQUIS_DATOS!$C$1491)*CROQUIS_DATOS!$C$1561-(0)*CROQUIS_DATOS!$C$1561))/CROQUIS_DATOS!$C$1568-0.000001)),1,MOD($A98-1,2)))=1,MIN((CROQUIS_DATOS!$C$1491)*CROQUIS_DATOS!$C$1561,((CROQUIS_DATOS!$C$1489+CROQUIS_DATOS!$C$1490)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8">
        <f>IF(AND(CROQUIS_DATOS!$C$1472=1,CROQUIS_DATOS!$C$1478&gt;=3,((CROQUIS_DATOS!$C$1489+CROQUIS_DATOS!$C$1490))-(CROQUIS_DATOS!$C$1489)&gt;0.5,(CROQUIS_DATOS!$C$1491)-(0)&gt;0.5),(CROQUIS_DATOS!$C$1567+(IF(IF(MOD(MIN(INT(($A98-1)/2)+1,MAX(1,INT(((((CROQUIS_DATOS!$C$1489+CROQUIS_DATOS!$C$1490))-(CROQUIS_DATOS!$C$1489))+((CROQUIS_DATOS!$C$1491)*CROQUIS_DATOS!$C$1561-(0)*CROQUIS_DATOS!$C$1561))/CROQUIS_DATOS!$C$1568-0.000001))),2)=1,IF(INT(($A98-1)/2)+1&gt;MAX(1,INT(((((CROQUIS_DATOS!$C$1489+CROQUIS_DATOS!$C$1490))-(CROQUIS_DATOS!$C$1489))+((CROQUIS_DATOS!$C$1491)*CROQUIS_DATOS!$C$1561-(0)*CROQUIS_DATOS!$C$1561))/CROQUIS_DATOS!$C$1568-0.000001)),1,MOD($A98-1,2)),1-IF(INT(($A98-1)/2)+1&gt;MAX(1,INT(((((CROQUIS_DATOS!$C$1489+CROQUIS_DATOS!$C$1490))-(CROQUIS_DATOS!$C$1489))+((CROQUIS_DATOS!$C$1491)*CROQUIS_DATOS!$C$1561-(0)*CROQUIS_DATOS!$C$1561))/CROQUIS_DATOS!$C$1568-0.000001)),1,MOD($A98-1,2)))=1,MIN((CROQUIS_DATOS!$C$1491)*CROQUIS_DATOS!$C$1561,((CROQUIS_DATOS!$C$1489+CROQUIS_DATOS!$C$1490)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8">
        <f>IF(AND(CROQUIS_DATOS!$C$1472=1,CROQUIS_DATOS!$C$1478&gt;=3,((CROQUIS_DATOS!$C$1489+CROQUIS_DATOS!$C$1490))-(CROQUIS_DATOS!$C$1489)&gt;0.5,(CROQUIS_DATOS!$C$1476)-((CROQUIS_DATOS!$C$1491+CROQUIS_DATOS!$C$1492))&gt;0.5),(CROQUIS_DATOS!$C$1566+(IF(IF(MOD(MIN(INT(($A98-1)/2)+1,MAX(1,INT(((((CROQUIS_DATOS!$C$1489+CROQUIS_DATOS!$C$1490))-(CROQUIS_DATOS!$C$1489))+((CROQUIS_DATOS!$C$1476)*CROQUIS_DATOS!$C$1561-((CROQUIS_DATOS!$C$1491+CROQUIS_DATOS!$C$1492))*CROQUIS_DATOS!$C$1561))/CROQUIS_DATOS!$C$1568-0.000001))),2)=1,IF(INT(($A98-1)/2)+1&gt;MAX(1,INT(((((CROQUIS_DATOS!$C$1489+CROQUIS_DATOS!$C$1490))-(CROQUIS_DATOS!$C$1489))+((CROQUIS_DATOS!$C$1476)*CROQUIS_DATOS!$C$1561-((CROQUIS_DATOS!$C$1491+CROQUIS_DATOS!$C$1492))*CROQUIS_DATOS!$C$1561))/CROQUIS_DATOS!$C$1568-0.000001)),1,MOD($A98-1,2)),1-IF(INT(($A98-1)/2)+1&gt;MAX(1,INT(((((CROQUIS_DATOS!$C$1489+CROQUIS_DATOS!$C$1490))-(CROQUIS_DATOS!$C$1489))+((CROQUIS_DATOS!$C$1476)*CROQUIS_DATOS!$C$1561-((CROQUIS_DATOS!$C$1491+CROQUIS_DATOS!$C$1492))*CROQUIS_DATOS!$C$1561))/CROQUIS_DATOS!$C$1568-0.000001)),1,MOD($A98-1,2)))=1,MIN((CROQUIS_DATOS!$C$1476)*CROQUIS_DATOS!$C$1561,((CROQUIS_DATOS!$C$1489+CROQUIS_DATOS!$C$1490)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8">
        <f>IF(AND(CROQUIS_DATOS!$C$1472=1,CROQUIS_DATOS!$C$1478&gt;=3,((CROQUIS_DATOS!$C$1489+CROQUIS_DATOS!$C$1490))-(CROQUIS_DATOS!$C$1489)&gt;0.5,(CROQUIS_DATOS!$C$1476)-((CROQUIS_DATOS!$C$1491+CROQUIS_DATOS!$C$1492))&gt;0.5),(CROQUIS_DATOS!$C$1567+(IF(IF(MOD(MIN(INT(($A98-1)/2)+1,MAX(1,INT(((((CROQUIS_DATOS!$C$1489+CROQUIS_DATOS!$C$1490))-(CROQUIS_DATOS!$C$1489))+((CROQUIS_DATOS!$C$1476)*CROQUIS_DATOS!$C$1561-((CROQUIS_DATOS!$C$1491+CROQUIS_DATOS!$C$1492))*CROQUIS_DATOS!$C$1561))/CROQUIS_DATOS!$C$1568-0.000001))),2)=1,IF(INT(($A98-1)/2)+1&gt;MAX(1,INT(((((CROQUIS_DATOS!$C$1489+CROQUIS_DATOS!$C$1490))-(CROQUIS_DATOS!$C$1489))+((CROQUIS_DATOS!$C$1476)*CROQUIS_DATOS!$C$1561-((CROQUIS_DATOS!$C$1491+CROQUIS_DATOS!$C$1492))*CROQUIS_DATOS!$C$1561))/CROQUIS_DATOS!$C$1568-0.000001)),1,MOD($A98-1,2)),1-IF(INT(($A98-1)/2)+1&gt;MAX(1,INT(((((CROQUIS_DATOS!$C$1489+CROQUIS_DATOS!$C$1490))-(CROQUIS_DATOS!$C$1489))+((CROQUIS_DATOS!$C$1476)*CROQUIS_DATOS!$C$1561-((CROQUIS_DATOS!$C$1491+CROQUIS_DATOS!$C$1492))*CROQUIS_DATOS!$C$1561))/CROQUIS_DATOS!$C$1568-0.000001)),1,MOD($A98-1,2)))=1,MIN((CROQUIS_DATOS!$C$1476)*CROQUIS_DATOS!$C$1561,((CROQUIS_DATOS!$C$1489+CROQUIS_DATOS!$C$1490)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8">
        <f>IF(AND(CROQUIS_DATOS!$C$1472=1,CROQUIS_DATOS!$C$1478&gt;=4,((CROQUIS_DATOS!$C$1494+CROQUIS_DATOS!$C$1495))-(CROQUIS_DATOS!$C$1494)&gt;0.5,(CROQUIS_DATOS!$C$1496)-(0)&gt;0.5),(CROQUIS_DATOS!$C$1566+(IF(IF(MOD(MIN(INT(($A98-1)/2)+1,MAX(1,INT(((((CROQUIS_DATOS!$C$1494+CROQUIS_DATOS!$C$1495))-(CROQUIS_DATOS!$C$1494))+((CROQUIS_DATOS!$C$1496)*CROQUIS_DATOS!$C$1561-(0)*CROQUIS_DATOS!$C$1561))/CROQUIS_DATOS!$C$1568-0.000001))),2)=1,IF(INT(($A98-1)/2)+1&gt;MAX(1,INT(((((CROQUIS_DATOS!$C$1494+CROQUIS_DATOS!$C$1495))-(CROQUIS_DATOS!$C$1494))+((CROQUIS_DATOS!$C$1496)*CROQUIS_DATOS!$C$1561-(0)*CROQUIS_DATOS!$C$1561))/CROQUIS_DATOS!$C$1568-0.000001)),1,MOD($A98-1,2)),1-IF(INT(($A98-1)/2)+1&gt;MAX(1,INT(((((CROQUIS_DATOS!$C$1494+CROQUIS_DATOS!$C$1495))-(CROQUIS_DATOS!$C$1494))+((CROQUIS_DATOS!$C$1496)*CROQUIS_DATOS!$C$1561-(0)*CROQUIS_DATOS!$C$1561))/CROQUIS_DATOS!$C$1568-0.000001)),1,MOD($A98-1,2)))=1,MIN((CROQUIS_DATOS!$C$1496)*CROQUIS_DATOS!$C$1561,((CROQUIS_DATOS!$C$1494+CROQUIS_DATOS!$C$1495)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8">
        <f>IF(AND(CROQUIS_DATOS!$C$1472=1,CROQUIS_DATOS!$C$1478&gt;=4,((CROQUIS_DATOS!$C$1494+CROQUIS_DATOS!$C$1495))-(CROQUIS_DATOS!$C$1494)&gt;0.5,(CROQUIS_DATOS!$C$1496)-(0)&gt;0.5),(CROQUIS_DATOS!$C$1567+(IF(IF(MOD(MIN(INT(($A98-1)/2)+1,MAX(1,INT(((((CROQUIS_DATOS!$C$1494+CROQUIS_DATOS!$C$1495))-(CROQUIS_DATOS!$C$1494))+((CROQUIS_DATOS!$C$1496)*CROQUIS_DATOS!$C$1561-(0)*CROQUIS_DATOS!$C$1561))/CROQUIS_DATOS!$C$1568-0.000001))),2)=1,IF(INT(($A98-1)/2)+1&gt;MAX(1,INT(((((CROQUIS_DATOS!$C$1494+CROQUIS_DATOS!$C$1495))-(CROQUIS_DATOS!$C$1494))+((CROQUIS_DATOS!$C$1496)*CROQUIS_DATOS!$C$1561-(0)*CROQUIS_DATOS!$C$1561))/CROQUIS_DATOS!$C$1568-0.000001)),1,MOD($A98-1,2)),1-IF(INT(($A98-1)/2)+1&gt;MAX(1,INT(((((CROQUIS_DATOS!$C$1494+CROQUIS_DATOS!$C$1495))-(CROQUIS_DATOS!$C$1494))+((CROQUIS_DATOS!$C$1496)*CROQUIS_DATOS!$C$1561-(0)*CROQUIS_DATOS!$C$1561))/CROQUIS_DATOS!$C$1568-0.000001)),1,MOD($A98-1,2)))=1,MIN((CROQUIS_DATOS!$C$1496)*CROQUIS_DATOS!$C$1561,((CROQUIS_DATOS!$C$1494+CROQUIS_DATOS!$C$1495)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8">
        <f>IF(AND(CROQUIS_DATOS!$C$1472=1,CROQUIS_DATOS!$C$1478&gt;=4,((CROQUIS_DATOS!$C$1494+CROQUIS_DATOS!$C$1495))-(CROQUIS_DATOS!$C$1494)&gt;0.5,(CROQUIS_DATOS!$C$1476)-((CROQUIS_DATOS!$C$1496+CROQUIS_DATOS!$C$1497))&gt;0.5),(CROQUIS_DATOS!$C$1566+(IF(IF(MOD(MIN(INT(($A98-1)/2)+1,MAX(1,INT(((((CROQUIS_DATOS!$C$1494+CROQUIS_DATOS!$C$1495))-(CROQUIS_DATOS!$C$1494))+((CROQUIS_DATOS!$C$1476)*CROQUIS_DATOS!$C$1561-((CROQUIS_DATOS!$C$1496+CROQUIS_DATOS!$C$1497))*CROQUIS_DATOS!$C$1561))/CROQUIS_DATOS!$C$1568-0.000001))),2)=1,IF(INT(($A98-1)/2)+1&gt;MAX(1,INT(((((CROQUIS_DATOS!$C$1494+CROQUIS_DATOS!$C$1495))-(CROQUIS_DATOS!$C$1494))+((CROQUIS_DATOS!$C$1476)*CROQUIS_DATOS!$C$1561-((CROQUIS_DATOS!$C$1496+CROQUIS_DATOS!$C$1497))*CROQUIS_DATOS!$C$1561))/CROQUIS_DATOS!$C$1568-0.000001)),1,MOD($A98-1,2)),1-IF(INT(($A98-1)/2)+1&gt;MAX(1,INT(((((CROQUIS_DATOS!$C$1494+CROQUIS_DATOS!$C$1495))-(CROQUIS_DATOS!$C$1494))+((CROQUIS_DATOS!$C$1476)*CROQUIS_DATOS!$C$1561-((CROQUIS_DATOS!$C$1496+CROQUIS_DATOS!$C$1497))*CROQUIS_DATOS!$C$1561))/CROQUIS_DATOS!$C$1568-0.000001)),1,MOD($A98-1,2)))=1,MIN((CROQUIS_DATOS!$C$1476)*CROQUIS_DATOS!$C$1561,((CROQUIS_DATOS!$C$1494+CROQUIS_DATOS!$C$1495)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8">
        <f>IF(AND(CROQUIS_DATOS!$C$1472=1,CROQUIS_DATOS!$C$1478&gt;=4,((CROQUIS_DATOS!$C$1494+CROQUIS_DATOS!$C$1495))-(CROQUIS_DATOS!$C$1494)&gt;0.5,(CROQUIS_DATOS!$C$1476)-((CROQUIS_DATOS!$C$1496+CROQUIS_DATOS!$C$1497))&gt;0.5),(CROQUIS_DATOS!$C$1567+(IF(IF(MOD(MIN(INT(($A98-1)/2)+1,MAX(1,INT(((((CROQUIS_DATOS!$C$1494+CROQUIS_DATOS!$C$1495))-(CROQUIS_DATOS!$C$1494))+((CROQUIS_DATOS!$C$1476)*CROQUIS_DATOS!$C$1561-((CROQUIS_DATOS!$C$1496+CROQUIS_DATOS!$C$1497))*CROQUIS_DATOS!$C$1561))/CROQUIS_DATOS!$C$1568-0.000001))),2)=1,IF(INT(($A98-1)/2)+1&gt;MAX(1,INT(((((CROQUIS_DATOS!$C$1494+CROQUIS_DATOS!$C$1495))-(CROQUIS_DATOS!$C$1494))+((CROQUIS_DATOS!$C$1476)*CROQUIS_DATOS!$C$1561-((CROQUIS_DATOS!$C$1496+CROQUIS_DATOS!$C$1497))*CROQUIS_DATOS!$C$1561))/CROQUIS_DATOS!$C$1568-0.000001)),1,MOD($A98-1,2)),1-IF(INT(($A98-1)/2)+1&gt;MAX(1,INT(((((CROQUIS_DATOS!$C$1494+CROQUIS_DATOS!$C$1495))-(CROQUIS_DATOS!$C$1494))+((CROQUIS_DATOS!$C$1476)*CROQUIS_DATOS!$C$1561-((CROQUIS_DATOS!$C$1496+CROQUIS_DATOS!$C$1497))*CROQUIS_DATOS!$C$1561))/CROQUIS_DATOS!$C$1568-0.000001)),1,MOD($A98-1,2)))=1,MIN((CROQUIS_DATOS!$C$1476)*CROQUIS_DATOS!$C$1561,((CROQUIS_DATOS!$C$1494+CROQUIS_DATOS!$C$1495)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99">
      <c r="A99" t="n">
        <v>92</v>
      </c>
      <c r="N99">
        <f>IF(AND(CROQUIS_DATOS!$C$1472=1,1),(CROQUIS_DATOS!$C$1563+(IF(IF(IF(INT(($A99-1)/70)+1&gt;CROQUIS_DATOS!$C$1525,70,MOD($A99-1,70)+1)=1,0,IF(IF(INT(($A99-1)/70)+1&gt;CROQUIS_DATOS!$C$1525,70,MOD($A99-1,70)+1)&gt;2*CROQUIS_DATOS!$C$1541+1,IF(MOD(CROQUIS_DATOS!$C$1541,2)=1,1,0),IF(MOD(MIN(INT((IF(INT(($A99-1)/70)+1&gt;CROQUIS_DATOS!$C$1525,70,MOD($A99-1,70)+1)-2)/2)+1,CROQUIS_DATOS!$C$1541),2)=1,IF(MOD(IF(INT(($A99-1)/70)+1&gt;CROQUIS_DATOS!$C$1525,70,MOD($A99-1,70)+1)-2,2)=0,0,1),IF(MOD(IF(INT(($A99-1)/70)+1&gt;CROQUIS_DATOS!$C$1525,70,MOD($A99-1,70)+1)-2,2)=0,1,0))))=0,(INDEX($E$8:$E$23,MIN(INT(($A99-1)/70)+1,CROQUIS_DATOS!$C$1525))-INDEX($F$8:$F$23,MIN(INT(($A99-1)/70)+1,CROQUIS_DATOS!$C$1525))/2),(INDEX($E$8:$E$23,MIN(INT(($A99-1)/70)+1,CROQUIS_DATOS!$C$1525))+INDEX($F$8:$F$23,MIN(INT(($A99-1)/70)+1,CROQUIS_DATOS!$C$1525))/2)))*CROQUIS_DATOS!$C$1562),-1000)</f>
        <v>18.5775862068965</v>
      </c>
      <c r="O99">
        <f>IF(AND(CROQUIS_DATOS!$C$1472=1,1),(CROQUIS_DATOS!$C$1564+(IF(OR(IF(INT(($A99-1)/70)+1&gt;CROQUIS_DATOS!$C$1525,70,MOD($A99-1,70)+1)=1,IF(INT(($A99-1)/70)+1&gt;CROQUIS_DATOS!$C$1525,70,MOD($A99-1,70)+1)&gt;2*CROQUIS_DATOS!$C$1541+1),CROQUIS_DATOS!$C$1476,INDEX($H$8:$H$41,MIN(INT((IF(INT(($A99-1)/70)+1&gt;CROQUIS_DATOS!$C$1525,70,MOD($A99-1,70)+1)-2)/2)+1,CROQUIS_DATOS!$C$1541))))*CROQUIS_DATOS!$C$1561*CROQUIS_DATOS!$C$1562),-1000)</f>
        <v>26.823275862069</v>
      </c>
      <c r="P99">
        <f>IF(AND(CROQUIS_DATOS!$C$1472=1,CROQUIS_DATOS!$C$1555=1),(CROQUIS_DATOS!$C$1563+(IF(IF(OR(MOD($A99-1,62)+1=1,IF(CHOOSE(MIN(MAX(MIN(INT(($A99-1)/62)+1,5),1),5),CROQUIS_DATOS!$C$1501,CROQUIS_DATOS!$C$1505,CROQUIS_DATOS!$C$1509,CROQUIS_DATOS!$C$1513,CROQUIS_DATOS!$C$1517)=1,CROQUIS_DATOS!$C$1557,0)=0),0,IF(MOD($A99-1,62)+1&gt;2*IF(CHOOSE(MIN(MAX(MIN(INT(($A99-1)/62)+1,5),1),5),CROQUIS_DATOS!$C$1501,CROQUIS_DATOS!$C$1505,CROQUIS_DATOS!$C$1509,CROQUIS_DATOS!$C$1513,CROQUIS_DATOS!$C$1517)=1,CROQUIS_DATOS!$C$1557,0)+1,IF(MOD(IF(CHOOSE(MIN(MAX(MIN(INT(($A99-1)/62)+1,5),1),5),CROQUIS_DATOS!$C$1501,CROQUIS_DATOS!$C$1505,CROQUIS_DATOS!$C$1509,CROQUIS_DATOS!$C$1513,CROQUIS_DATOS!$C$1517)=1,CROQUIS_DATOS!$C$1557,0),2)=1,1,0),IF(MOD(MIN(INT((MOD($A99-1,62)+1-2)/2)+1,MAX(IF(CHOOSE(MIN(MAX(MIN(INT(($A99-1)/62)+1,5),1),5),CROQUIS_DATOS!$C$1501,CROQUIS_DATOS!$C$1505,CROQUIS_DATOS!$C$1509,CROQUIS_DATOS!$C$1513,CROQUIS_DATOS!$C$1517)=1,CROQUIS_DATOS!$C$1557,0),1)),2)=1,IF(MOD(MOD($A99-1,62)+1-2,2)=0,0,1),IF(MOD(MOD($A99-1,62)+1-2,2)=0,1,0))))=0,(CHOOSE(MIN(MAX(MIN(INT(($A99-1)/62)+1,5),1),5),CROQUIS_DATOS!$C$1499,CROQUIS_DATOS!$C$1503,CROQUIS_DATOS!$C$1507,CROQUIS_DATOS!$C$1511,CROQUIS_DATOS!$C$1515)+IF(CHOOSE(MIN(MAX(MIN(INT(($A99-1)/62)+1,5),1),5),CROQUIS_DATOS!$C$1501,CROQUIS_DATOS!$C$1505,CROQUIS_DATOS!$C$1509,CROQUIS_DATOS!$C$1513,CROQUIS_DATOS!$C$1517)=1,CROQUIS_DATOS!$C$1526,0)),(CHOOSE(MIN(MAX(MIN(INT(($A99-1)/62)+1,5),1),5),CROQUIS_DATOS!$C$1499,CROQUIS_DATOS!$C$1503,CROQUIS_DATOS!$C$1507,CROQUIS_DATOS!$C$1511,CROQUIS_DATOS!$C$1515)+CHOOSE(MIN(MAX(MIN(INT(($A99-1)/62)+1,5),1),5),CROQUIS_DATOS!$C$1500,CROQUIS_DATOS!$C$1504,CROQUIS_DATOS!$C$1508,CROQUIS_DATOS!$C$1512,CROQUIS_DATOS!$C$1516)-IF(CHOOSE(MIN(MAX(MIN(INT(($A99-1)/62)+1,5),1),5),CROQUIS_DATOS!$C$1501,CROQUIS_DATOS!$C$1505,CROQUIS_DATOS!$C$1509,CROQUIS_DATOS!$C$1513,CROQUIS_DATOS!$C$1517)=1,CROQUIS_DATOS!$C$1526,0))))*CROQUIS_DATOS!$C$1562),-1000)</f>
        <v>-1000</v>
      </c>
      <c r="Q99">
        <f>IF(AND(CROQUIS_DATOS!$C$1472=1,CROQUIS_DATOS!$C$1555=1),(CROQUIS_DATOS!$C$1564+(IF(OR(OR(MOD($A99-1,62)+1=1,IF(CHOOSE(MIN(MAX(MIN(INT(($A99-1)/62)+1,5),1),5),CROQUIS_DATOS!$C$1501,CROQUIS_DATOS!$C$1505,CROQUIS_DATOS!$C$1509,CROQUIS_DATOS!$C$1513,CROQUIS_DATOS!$C$1517)=1,CROQUIS_DATOS!$C$1557,0)=0),MOD($A99-1,62)+1&gt;2*IF(CHOOSE(MIN(MAX(MIN(INT(($A99-1)/62)+1,5),1),5),CROQUIS_DATOS!$C$1501,CROQUIS_DATOS!$C$1505,CROQUIS_DATOS!$C$1509,CROQUIS_DATOS!$C$1513,CROQUIS_DATOS!$C$1517)=1,CROQUIS_DATOS!$C$1557,0)+1),CROQUIS_DATOS!$C$1476,MIN(INT((MOD($A99-1,62)+1-2)/2)+1,MAX(IF(CHOOSE(MIN(MAX(MIN(INT(($A99-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99">
        <f>IF(AND(CROQUIS_DATOS!$C$1472=1,1),(CROQUIS_DATOS!$C$1563+(MIN(INT(($A99-1)/2)+1,CROQUIS_DATOS!$C$1558)*CROQUIS_DATOS!$C$1559)*CROQUIS_DATOS!$C$1562),-1000)</f>
        <v>82.2281167108753</v>
      </c>
      <c r="U99">
        <f>IF(AND(CROQUIS_DATOS!$C$1472=1,1),(CROQUIS_DATOS!$C$1564+(IF(INT(($A99-1)/2)+1&gt;CROQUIS_DATOS!$C$1558,IF(MOD(CROQUIS_DATOS!$C$1558,2)=1,CROQUIS_DATOS!$C$1476+CROQUIS_DATOS!$C$1528,CROQUIS_DATOS!$C$1476),IF(IF(MOD(MIN(INT(($A99-1)/2)+1,CROQUIS_DATOS!$C$1558),2)=1,MOD($A99-1,2),1-MOD($A99-1,2))=1,CROQUIS_DATOS!$C$1476+CROQUIS_DATOS!$C$1528,CROQUIS_DATOS!$C$1476)))*CROQUIS_DATOS!$C$1561*CROQUIS_DATOS!$C$1562),-1000)</f>
        <v>43</v>
      </c>
      <c r="BZ99">
        <f>IF(AND(CROQUIS_DATOS!$C$1472=1,CROQUIS_DATOS!$C$1500&gt;0,((CROQUIS_DATOS!$C$1499+CROQUIS_DATOS!$C$1500))-(CROQUIS_DATOS!$C$1499)&gt;0.5,(CROQUIS_DATOS!$C$1476)-(0)&gt;0.5),(CROQUIS_DATOS!$C$1566+(IF(IF(MOD(MIN(INT(($A99-1)/2)+1,MAX(1,INT(((((CROQUIS_DATOS!$C$1499+CROQUIS_DATOS!$C$1500))-(CROQUIS_DATOS!$C$1499))+((CROQUIS_DATOS!$C$1476)*CROQUIS_DATOS!$C$1561-(0)*CROQUIS_DATOS!$C$1561))/CROQUIS_DATOS!$C$1568-0.000001))),2)=1,IF(INT(($A99-1)/2)+1&gt;MAX(1,INT(((((CROQUIS_DATOS!$C$1499+CROQUIS_DATOS!$C$1500))-(CROQUIS_DATOS!$C$1499))+((CROQUIS_DATOS!$C$1476)*CROQUIS_DATOS!$C$1561-(0)*CROQUIS_DATOS!$C$1561))/CROQUIS_DATOS!$C$1568-0.000001)),1,MOD($A99-1,2)),1-IF(INT(($A99-1)/2)+1&gt;MAX(1,INT(((((CROQUIS_DATOS!$C$1499+CROQUIS_DATOS!$C$1500))-(CROQUIS_DATOS!$C$1499))+((CROQUIS_DATOS!$C$1476)*CROQUIS_DATOS!$C$1561-(0)*CROQUIS_DATOS!$C$1561))/CROQUIS_DATOS!$C$1568-0.000001)),1,MOD($A99-1,2)))=1,MIN((CROQUIS_DATOS!$C$1476)*CROQUIS_DATOS!$C$1561,((CROQUIS_DATOS!$C$1499+CROQUIS_DATOS!$C$1500)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99">
        <f>IF(AND(CROQUIS_DATOS!$C$1472=1,CROQUIS_DATOS!$C$1500&gt;0,((CROQUIS_DATOS!$C$1499+CROQUIS_DATOS!$C$1500))-(CROQUIS_DATOS!$C$1499)&gt;0.5,(CROQUIS_DATOS!$C$1476)-(0)&gt;0.5),(CROQUIS_DATOS!$C$1567+(IF(IF(MOD(MIN(INT(($A99-1)/2)+1,MAX(1,INT(((((CROQUIS_DATOS!$C$1499+CROQUIS_DATOS!$C$1500))-(CROQUIS_DATOS!$C$1499))+((CROQUIS_DATOS!$C$1476)*CROQUIS_DATOS!$C$1561-(0)*CROQUIS_DATOS!$C$1561))/CROQUIS_DATOS!$C$1568-0.000001))),2)=1,IF(INT(($A99-1)/2)+1&gt;MAX(1,INT(((((CROQUIS_DATOS!$C$1499+CROQUIS_DATOS!$C$1500))-(CROQUIS_DATOS!$C$1499))+((CROQUIS_DATOS!$C$1476)*CROQUIS_DATOS!$C$1561-(0)*CROQUIS_DATOS!$C$1561))/CROQUIS_DATOS!$C$1568-0.000001)),1,MOD($A99-1,2)),1-IF(INT(($A99-1)/2)+1&gt;MAX(1,INT(((((CROQUIS_DATOS!$C$1499+CROQUIS_DATOS!$C$1500))-(CROQUIS_DATOS!$C$1499))+((CROQUIS_DATOS!$C$1476)*CROQUIS_DATOS!$C$1561-(0)*CROQUIS_DATOS!$C$1561))/CROQUIS_DATOS!$C$1568-0.000001)),1,MOD($A99-1,2)))=1,MIN((CROQUIS_DATOS!$C$1476)*CROQUIS_DATOS!$C$1561,((CROQUIS_DATOS!$C$1499+CROQUIS_DATOS!$C$1500)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99-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99">
        <f>IF(AND(CROQUIS_DATOS!$C$1472=1,CROQUIS_DATOS!$C$1504&gt;0,((CROQUIS_DATOS!$C$1503+CROQUIS_DATOS!$C$1504))-(CROQUIS_DATOS!$C$1503)&gt;0.5,(CROQUIS_DATOS!$C$1476)-(0)&gt;0.5),(CROQUIS_DATOS!$C$1566+(IF(IF(MOD(MIN(INT(($A99-1)/2)+1,MAX(1,INT(((((CROQUIS_DATOS!$C$1503+CROQUIS_DATOS!$C$1504))-(CROQUIS_DATOS!$C$1503))+((CROQUIS_DATOS!$C$1476)*CROQUIS_DATOS!$C$1561-(0)*CROQUIS_DATOS!$C$1561))/CROQUIS_DATOS!$C$1568-0.000001))),2)=1,IF(INT(($A99-1)/2)+1&gt;MAX(1,INT(((((CROQUIS_DATOS!$C$1503+CROQUIS_DATOS!$C$1504))-(CROQUIS_DATOS!$C$1503))+((CROQUIS_DATOS!$C$1476)*CROQUIS_DATOS!$C$1561-(0)*CROQUIS_DATOS!$C$1561))/CROQUIS_DATOS!$C$1568-0.000001)),1,MOD($A99-1,2)),1-IF(INT(($A99-1)/2)+1&gt;MAX(1,INT(((((CROQUIS_DATOS!$C$1503+CROQUIS_DATOS!$C$1504))-(CROQUIS_DATOS!$C$1503))+((CROQUIS_DATOS!$C$1476)*CROQUIS_DATOS!$C$1561-(0)*CROQUIS_DATOS!$C$1561))/CROQUIS_DATOS!$C$1568-0.000001)),1,MOD($A99-1,2)))=1,MIN((CROQUIS_DATOS!$C$1476)*CROQUIS_DATOS!$C$1561,((CROQUIS_DATOS!$C$1503+CROQUIS_DATOS!$C$1504)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99">
        <f>IF(AND(CROQUIS_DATOS!$C$1472=1,CROQUIS_DATOS!$C$1504&gt;0,((CROQUIS_DATOS!$C$1503+CROQUIS_DATOS!$C$1504))-(CROQUIS_DATOS!$C$1503)&gt;0.5,(CROQUIS_DATOS!$C$1476)-(0)&gt;0.5),(CROQUIS_DATOS!$C$1567+(IF(IF(MOD(MIN(INT(($A99-1)/2)+1,MAX(1,INT(((((CROQUIS_DATOS!$C$1503+CROQUIS_DATOS!$C$1504))-(CROQUIS_DATOS!$C$1503))+((CROQUIS_DATOS!$C$1476)*CROQUIS_DATOS!$C$1561-(0)*CROQUIS_DATOS!$C$1561))/CROQUIS_DATOS!$C$1568-0.000001))),2)=1,IF(INT(($A99-1)/2)+1&gt;MAX(1,INT(((((CROQUIS_DATOS!$C$1503+CROQUIS_DATOS!$C$1504))-(CROQUIS_DATOS!$C$1503))+((CROQUIS_DATOS!$C$1476)*CROQUIS_DATOS!$C$1561-(0)*CROQUIS_DATOS!$C$1561))/CROQUIS_DATOS!$C$1568-0.000001)),1,MOD($A99-1,2)),1-IF(INT(($A99-1)/2)+1&gt;MAX(1,INT(((((CROQUIS_DATOS!$C$1503+CROQUIS_DATOS!$C$1504))-(CROQUIS_DATOS!$C$1503))+((CROQUIS_DATOS!$C$1476)*CROQUIS_DATOS!$C$1561-(0)*CROQUIS_DATOS!$C$1561))/CROQUIS_DATOS!$C$1568-0.000001)),1,MOD($A99-1,2)))=1,MIN((CROQUIS_DATOS!$C$1476)*CROQUIS_DATOS!$C$1561,((CROQUIS_DATOS!$C$1503+CROQUIS_DATOS!$C$1504)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99-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99">
        <f>IF(AND(CROQUIS_DATOS!$C$1472=1,CROQUIS_DATOS!$C$1508&gt;0,((CROQUIS_DATOS!$C$1507+CROQUIS_DATOS!$C$1508))-(CROQUIS_DATOS!$C$1507)&gt;0.5,(CROQUIS_DATOS!$C$1476)-(0)&gt;0.5),(CROQUIS_DATOS!$C$1566+(IF(IF(MOD(MIN(INT(($A99-1)/2)+1,MAX(1,INT(((((CROQUIS_DATOS!$C$1507+CROQUIS_DATOS!$C$1508))-(CROQUIS_DATOS!$C$1507))+((CROQUIS_DATOS!$C$1476)*CROQUIS_DATOS!$C$1561-(0)*CROQUIS_DATOS!$C$1561))/CROQUIS_DATOS!$C$1568-0.000001))),2)=1,IF(INT(($A99-1)/2)+1&gt;MAX(1,INT(((((CROQUIS_DATOS!$C$1507+CROQUIS_DATOS!$C$1508))-(CROQUIS_DATOS!$C$1507))+((CROQUIS_DATOS!$C$1476)*CROQUIS_DATOS!$C$1561-(0)*CROQUIS_DATOS!$C$1561))/CROQUIS_DATOS!$C$1568-0.000001)),1,MOD($A99-1,2)),1-IF(INT(($A99-1)/2)+1&gt;MAX(1,INT(((((CROQUIS_DATOS!$C$1507+CROQUIS_DATOS!$C$1508))-(CROQUIS_DATOS!$C$1507))+((CROQUIS_DATOS!$C$1476)*CROQUIS_DATOS!$C$1561-(0)*CROQUIS_DATOS!$C$1561))/CROQUIS_DATOS!$C$1568-0.000001)),1,MOD($A99-1,2)))=1,MIN((CROQUIS_DATOS!$C$1476)*CROQUIS_DATOS!$C$1561,((CROQUIS_DATOS!$C$1507+CROQUIS_DATOS!$C$1508)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99">
        <f>IF(AND(CROQUIS_DATOS!$C$1472=1,CROQUIS_DATOS!$C$1508&gt;0,((CROQUIS_DATOS!$C$1507+CROQUIS_DATOS!$C$1508))-(CROQUIS_DATOS!$C$1507)&gt;0.5,(CROQUIS_DATOS!$C$1476)-(0)&gt;0.5),(CROQUIS_DATOS!$C$1567+(IF(IF(MOD(MIN(INT(($A99-1)/2)+1,MAX(1,INT(((((CROQUIS_DATOS!$C$1507+CROQUIS_DATOS!$C$1508))-(CROQUIS_DATOS!$C$1507))+((CROQUIS_DATOS!$C$1476)*CROQUIS_DATOS!$C$1561-(0)*CROQUIS_DATOS!$C$1561))/CROQUIS_DATOS!$C$1568-0.000001))),2)=1,IF(INT(($A99-1)/2)+1&gt;MAX(1,INT(((((CROQUIS_DATOS!$C$1507+CROQUIS_DATOS!$C$1508))-(CROQUIS_DATOS!$C$1507))+((CROQUIS_DATOS!$C$1476)*CROQUIS_DATOS!$C$1561-(0)*CROQUIS_DATOS!$C$1561))/CROQUIS_DATOS!$C$1568-0.000001)),1,MOD($A99-1,2)),1-IF(INT(($A99-1)/2)+1&gt;MAX(1,INT(((((CROQUIS_DATOS!$C$1507+CROQUIS_DATOS!$C$1508))-(CROQUIS_DATOS!$C$1507))+((CROQUIS_DATOS!$C$1476)*CROQUIS_DATOS!$C$1561-(0)*CROQUIS_DATOS!$C$1561))/CROQUIS_DATOS!$C$1568-0.000001)),1,MOD($A99-1,2)))=1,MIN((CROQUIS_DATOS!$C$1476)*CROQUIS_DATOS!$C$1561,((CROQUIS_DATOS!$C$1507+CROQUIS_DATOS!$C$1508)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99-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99">
        <f>IF(AND(CROQUIS_DATOS!$C$1472=1,CROQUIS_DATOS!$C$1512&gt;0,((CROQUIS_DATOS!$C$1511+CROQUIS_DATOS!$C$1512))-(CROQUIS_DATOS!$C$1511)&gt;0.5,(CROQUIS_DATOS!$C$1476)-(0)&gt;0.5),(CROQUIS_DATOS!$C$1566+(IF(IF(MOD(MIN(INT(($A99-1)/2)+1,MAX(1,INT(((((CROQUIS_DATOS!$C$1511+CROQUIS_DATOS!$C$1512))-(CROQUIS_DATOS!$C$1511))+((CROQUIS_DATOS!$C$1476)*CROQUIS_DATOS!$C$1561-(0)*CROQUIS_DATOS!$C$1561))/CROQUIS_DATOS!$C$1568-0.000001))),2)=1,IF(INT(($A99-1)/2)+1&gt;MAX(1,INT(((((CROQUIS_DATOS!$C$1511+CROQUIS_DATOS!$C$1512))-(CROQUIS_DATOS!$C$1511))+((CROQUIS_DATOS!$C$1476)*CROQUIS_DATOS!$C$1561-(0)*CROQUIS_DATOS!$C$1561))/CROQUIS_DATOS!$C$1568-0.000001)),1,MOD($A99-1,2)),1-IF(INT(($A99-1)/2)+1&gt;MAX(1,INT(((((CROQUIS_DATOS!$C$1511+CROQUIS_DATOS!$C$1512))-(CROQUIS_DATOS!$C$1511))+((CROQUIS_DATOS!$C$1476)*CROQUIS_DATOS!$C$1561-(0)*CROQUIS_DATOS!$C$1561))/CROQUIS_DATOS!$C$1568-0.000001)),1,MOD($A99-1,2)))=1,MIN((CROQUIS_DATOS!$C$1476)*CROQUIS_DATOS!$C$1561,((CROQUIS_DATOS!$C$1511+CROQUIS_DATOS!$C$1512)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99">
        <f>IF(AND(CROQUIS_DATOS!$C$1472=1,CROQUIS_DATOS!$C$1512&gt;0,((CROQUIS_DATOS!$C$1511+CROQUIS_DATOS!$C$1512))-(CROQUIS_DATOS!$C$1511)&gt;0.5,(CROQUIS_DATOS!$C$1476)-(0)&gt;0.5),(CROQUIS_DATOS!$C$1567+(IF(IF(MOD(MIN(INT(($A99-1)/2)+1,MAX(1,INT(((((CROQUIS_DATOS!$C$1511+CROQUIS_DATOS!$C$1512))-(CROQUIS_DATOS!$C$1511))+((CROQUIS_DATOS!$C$1476)*CROQUIS_DATOS!$C$1561-(0)*CROQUIS_DATOS!$C$1561))/CROQUIS_DATOS!$C$1568-0.000001))),2)=1,IF(INT(($A99-1)/2)+1&gt;MAX(1,INT(((((CROQUIS_DATOS!$C$1511+CROQUIS_DATOS!$C$1512))-(CROQUIS_DATOS!$C$1511))+((CROQUIS_DATOS!$C$1476)*CROQUIS_DATOS!$C$1561-(0)*CROQUIS_DATOS!$C$1561))/CROQUIS_DATOS!$C$1568-0.000001)),1,MOD($A99-1,2)),1-IF(INT(($A99-1)/2)+1&gt;MAX(1,INT(((((CROQUIS_DATOS!$C$1511+CROQUIS_DATOS!$C$1512))-(CROQUIS_DATOS!$C$1511))+((CROQUIS_DATOS!$C$1476)*CROQUIS_DATOS!$C$1561-(0)*CROQUIS_DATOS!$C$1561))/CROQUIS_DATOS!$C$1568-0.000001)),1,MOD($A99-1,2)))=1,MIN((CROQUIS_DATOS!$C$1476)*CROQUIS_DATOS!$C$1561,((CROQUIS_DATOS!$C$1511+CROQUIS_DATOS!$C$1512)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99-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99">
        <f>IF(AND(CROQUIS_DATOS!$C$1472=1,CROQUIS_DATOS!$C$1516&gt;0,((CROQUIS_DATOS!$C$1515+CROQUIS_DATOS!$C$1516))-(CROQUIS_DATOS!$C$1515)&gt;0.5,(CROQUIS_DATOS!$C$1476)-(0)&gt;0.5),(CROQUIS_DATOS!$C$1566+(IF(IF(MOD(MIN(INT(($A99-1)/2)+1,MAX(1,INT(((((CROQUIS_DATOS!$C$1515+CROQUIS_DATOS!$C$1516))-(CROQUIS_DATOS!$C$1515))+((CROQUIS_DATOS!$C$1476)*CROQUIS_DATOS!$C$1561-(0)*CROQUIS_DATOS!$C$1561))/CROQUIS_DATOS!$C$1568-0.000001))),2)=1,IF(INT(($A99-1)/2)+1&gt;MAX(1,INT(((((CROQUIS_DATOS!$C$1515+CROQUIS_DATOS!$C$1516))-(CROQUIS_DATOS!$C$1515))+((CROQUIS_DATOS!$C$1476)*CROQUIS_DATOS!$C$1561-(0)*CROQUIS_DATOS!$C$1561))/CROQUIS_DATOS!$C$1568-0.000001)),1,MOD($A99-1,2)),1-IF(INT(($A99-1)/2)+1&gt;MAX(1,INT(((((CROQUIS_DATOS!$C$1515+CROQUIS_DATOS!$C$1516))-(CROQUIS_DATOS!$C$1515))+((CROQUIS_DATOS!$C$1476)*CROQUIS_DATOS!$C$1561-(0)*CROQUIS_DATOS!$C$1561))/CROQUIS_DATOS!$C$1568-0.000001)),1,MOD($A99-1,2)))=1,MIN((CROQUIS_DATOS!$C$1476)*CROQUIS_DATOS!$C$1561,((CROQUIS_DATOS!$C$1515+CROQUIS_DATOS!$C$1516)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99">
        <f>IF(AND(CROQUIS_DATOS!$C$1472=1,CROQUIS_DATOS!$C$1516&gt;0,((CROQUIS_DATOS!$C$1515+CROQUIS_DATOS!$C$1516))-(CROQUIS_DATOS!$C$1515)&gt;0.5,(CROQUIS_DATOS!$C$1476)-(0)&gt;0.5),(CROQUIS_DATOS!$C$1567+(IF(IF(MOD(MIN(INT(($A99-1)/2)+1,MAX(1,INT(((((CROQUIS_DATOS!$C$1515+CROQUIS_DATOS!$C$1516))-(CROQUIS_DATOS!$C$1515))+((CROQUIS_DATOS!$C$1476)*CROQUIS_DATOS!$C$1561-(0)*CROQUIS_DATOS!$C$1561))/CROQUIS_DATOS!$C$1568-0.000001))),2)=1,IF(INT(($A99-1)/2)+1&gt;MAX(1,INT(((((CROQUIS_DATOS!$C$1515+CROQUIS_DATOS!$C$1516))-(CROQUIS_DATOS!$C$1515))+((CROQUIS_DATOS!$C$1476)*CROQUIS_DATOS!$C$1561-(0)*CROQUIS_DATOS!$C$1561))/CROQUIS_DATOS!$C$1568-0.000001)),1,MOD($A99-1,2)),1-IF(INT(($A99-1)/2)+1&gt;MAX(1,INT(((((CROQUIS_DATOS!$C$1515+CROQUIS_DATOS!$C$1516))-(CROQUIS_DATOS!$C$1515))+((CROQUIS_DATOS!$C$1476)*CROQUIS_DATOS!$C$1561-(0)*CROQUIS_DATOS!$C$1561))/CROQUIS_DATOS!$C$1568-0.000001)),1,MOD($A99-1,2)))=1,MIN((CROQUIS_DATOS!$C$1476)*CROQUIS_DATOS!$C$1561,((CROQUIS_DATOS!$C$1515+CROQUIS_DATOS!$C$1516)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99-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99">
        <f>IF(AND(CROQUIS_DATOS!$C$1472=1,CROQUIS_DATOS!$C$1478&gt;=1,((CROQUIS_DATOS!$C$1479+CROQUIS_DATOS!$C$1480))-(CROQUIS_DATOS!$C$1479)&gt;0.5,(CROQUIS_DATOS!$C$1481)-(0)&gt;0.5),(CROQUIS_DATOS!$C$1566+(IF(IF(MOD(MIN(INT(($A99-1)/2)+1,MAX(1,INT(((((CROQUIS_DATOS!$C$1479+CROQUIS_DATOS!$C$1480))-(CROQUIS_DATOS!$C$1479))+((CROQUIS_DATOS!$C$1481)*CROQUIS_DATOS!$C$1561-(0)*CROQUIS_DATOS!$C$1561))/CROQUIS_DATOS!$C$1568-0.000001))),2)=1,IF(INT(($A99-1)/2)+1&gt;MAX(1,INT(((((CROQUIS_DATOS!$C$1479+CROQUIS_DATOS!$C$1480))-(CROQUIS_DATOS!$C$1479))+((CROQUIS_DATOS!$C$1481)*CROQUIS_DATOS!$C$1561-(0)*CROQUIS_DATOS!$C$1561))/CROQUIS_DATOS!$C$1568-0.000001)),1,MOD($A99-1,2)),1-IF(INT(($A99-1)/2)+1&gt;MAX(1,INT(((((CROQUIS_DATOS!$C$1479+CROQUIS_DATOS!$C$1480))-(CROQUIS_DATOS!$C$1479))+((CROQUIS_DATOS!$C$1481)*CROQUIS_DATOS!$C$1561-(0)*CROQUIS_DATOS!$C$1561))/CROQUIS_DATOS!$C$1568-0.000001)),1,MOD($A99-1,2)))=1,MIN((CROQUIS_DATOS!$C$1481)*CROQUIS_DATOS!$C$1561,((CROQUIS_DATOS!$C$1479+CROQUIS_DATOS!$C$1480)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99">
        <f>IF(AND(CROQUIS_DATOS!$C$1472=1,CROQUIS_DATOS!$C$1478&gt;=1,((CROQUIS_DATOS!$C$1479+CROQUIS_DATOS!$C$1480))-(CROQUIS_DATOS!$C$1479)&gt;0.5,(CROQUIS_DATOS!$C$1481)-(0)&gt;0.5),(CROQUIS_DATOS!$C$1567+(IF(IF(MOD(MIN(INT(($A99-1)/2)+1,MAX(1,INT(((((CROQUIS_DATOS!$C$1479+CROQUIS_DATOS!$C$1480))-(CROQUIS_DATOS!$C$1479))+((CROQUIS_DATOS!$C$1481)*CROQUIS_DATOS!$C$1561-(0)*CROQUIS_DATOS!$C$1561))/CROQUIS_DATOS!$C$1568-0.000001))),2)=1,IF(INT(($A99-1)/2)+1&gt;MAX(1,INT(((((CROQUIS_DATOS!$C$1479+CROQUIS_DATOS!$C$1480))-(CROQUIS_DATOS!$C$1479))+((CROQUIS_DATOS!$C$1481)*CROQUIS_DATOS!$C$1561-(0)*CROQUIS_DATOS!$C$1561))/CROQUIS_DATOS!$C$1568-0.000001)),1,MOD($A99-1,2)),1-IF(INT(($A99-1)/2)+1&gt;MAX(1,INT(((((CROQUIS_DATOS!$C$1479+CROQUIS_DATOS!$C$1480))-(CROQUIS_DATOS!$C$1479))+((CROQUIS_DATOS!$C$1481)*CROQUIS_DATOS!$C$1561-(0)*CROQUIS_DATOS!$C$1561))/CROQUIS_DATOS!$C$1568-0.000001)),1,MOD($A99-1,2)))=1,MIN((CROQUIS_DATOS!$C$1481)*CROQUIS_DATOS!$C$1561,((CROQUIS_DATOS!$C$1479+CROQUIS_DATOS!$C$1480)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99-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99">
        <f>IF(AND(CROQUIS_DATOS!$C$1472=1,CROQUIS_DATOS!$C$1478&gt;=1,((CROQUIS_DATOS!$C$1479+CROQUIS_DATOS!$C$1480))-(CROQUIS_DATOS!$C$1479)&gt;0.5,(CROQUIS_DATOS!$C$1476)-((CROQUIS_DATOS!$C$1481+CROQUIS_DATOS!$C$1482))&gt;0.5),(CROQUIS_DATOS!$C$1566+(IF(IF(MOD(MIN(INT(($A99-1)/2)+1,MAX(1,INT(((((CROQUIS_DATOS!$C$1479+CROQUIS_DATOS!$C$1480))-(CROQUIS_DATOS!$C$1479))+((CROQUIS_DATOS!$C$1476)*CROQUIS_DATOS!$C$1561-((CROQUIS_DATOS!$C$1481+CROQUIS_DATOS!$C$1482))*CROQUIS_DATOS!$C$1561))/CROQUIS_DATOS!$C$1568-0.000001))),2)=1,IF(INT(($A99-1)/2)+1&gt;MAX(1,INT(((((CROQUIS_DATOS!$C$1479+CROQUIS_DATOS!$C$1480))-(CROQUIS_DATOS!$C$1479))+((CROQUIS_DATOS!$C$1476)*CROQUIS_DATOS!$C$1561-((CROQUIS_DATOS!$C$1481+CROQUIS_DATOS!$C$1482))*CROQUIS_DATOS!$C$1561))/CROQUIS_DATOS!$C$1568-0.000001)),1,MOD($A99-1,2)),1-IF(INT(($A99-1)/2)+1&gt;MAX(1,INT(((((CROQUIS_DATOS!$C$1479+CROQUIS_DATOS!$C$1480))-(CROQUIS_DATOS!$C$1479))+((CROQUIS_DATOS!$C$1476)*CROQUIS_DATOS!$C$1561-((CROQUIS_DATOS!$C$1481+CROQUIS_DATOS!$C$1482))*CROQUIS_DATOS!$C$1561))/CROQUIS_DATOS!$C$1568-0.000001)),1,MOD($A99-1,2)))=1,MIN((CROQUIS_DATOS!$C$1476)*CROQUIS_DATOS!$C$1561,((CROQUIS_DATOS!$C$1479+CROQUIS_DATOS!$C$1480)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99">
        <f>IF(AND(CROQUIS_DATOS!$C$1472=1,CROQUIS_DATOS!$C$1478&gt;=1,((CROQUIS_DATOS!$C$1479+CROQUIS_DATOS!$C$1480))-(CROQUIS_DATOS!$C$1479)&gt;0.5,(CROQUIS_DATOS!$C$1476)-((CROQUIS_DATOS!$C$1481+CROQUIS_DATOS!$C$1482))&gt;0.5),(CROQUIS_DATOS!$C$1567+(IF(IF(MOD(MIN(INT(($A99-1)/2)+1,MAX(1,INT(((((CROQUIS_DATOS!$C$1479+CROQUIS_DATOS!$C$1480))-(CROQUIS_DATOS!$C$1479))+((CROQUIS_DATOS!$C$1476)*CROQUIS_DATOS!$C$1561-((CROQUIS_DATOS!$C$1481+CROQUIS_DATOS!$C$1482))*CROQUIS_DATOS!$C$1561))/CROQUIS_DATOS!$C$1568-0.000001))),2)=1,IF(INT(($A99-1)/2)+1&gt;MAX(1,INT(((((CROQUIS_DATOS!$C$1479+CROQUIS_DATOS!$C$1480))-(CROQUIS_DATOS!$C$1479))+((CROQUIS_DATOS!$C$1476)*CROQUIS_DATOS!$C$1561-((CROQUIS_DATOS!$C$1481+CROQUIS_DATOS!$C$1482))*CROQUIS_DATOS!$C$1561))/CROQUIS_DATOS!$C$1568-0.000001)),1,MOD($A99-1,2)),1-IF(INT(($A99-1)/2)+1&gt;MAX(1,INT(((((CROQUIS_DATOS!$C$1479+CROQUIS_DATOS!$C$1480))-(CROQUIS_DATOS!$C$1479))+((CROQUIS_DATOS!$C$1476)*CROQUIS_DATOS!$C$1561-((CROQUIS_DATOS!$C$1481+CROQUIS_DATOS!$C$1482))*CROQUIS_DATOS!$C$1561))/CROQUIS_DATOS!$C$1568-0.000001)),1,MOD($A99-1,2)))=1,MIN((CROQUIS_DATOS!$C$1476)*CROQUIS_DATOS!$C$1561,((CROQUIS_DATOS!$C$1479+CROQUIS_DATOS!$C$1480)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99-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99">
        <f>IF(AND(CROQUIS_DATOS!$C$1472=1,CROQUIS_DATOS!$C$1478&gt;=2,((CROQUIS_DATOS!$C$1484+CROQUIS_DATOS!$C$1485))-(CROQUIS_DATOS!$C$1484)&gt;0.5,(CROQUIS_DATOS!$C$1486)-(0)&gt;0.5),(CROQUIS_DATOS!$C$1566+(IF(IF(MOD(MIN(INT(($A99-1)/2)+1,MAX(1,INT(((((CROQUIS_DATOS!$C$1484+CROQUIS_DATOS!$C$1485))-(CROQUIS_DATOS!$C$1484))+((CROQUIS_DATOS!$C$1486)*CROQUIS_DATOS!$C$1561-(0)*CROQUIS_DATOS!$C$1561))/CROQUIS_DATOS!$C$1568-0.000001))),2)=1,IF(INT(($A99-1)/2)+1&gt;MAX(1,INT(((((CROQUIS_DATOS!$C$1484+CROQUIS_DATOS!$C$1485))-(CROQUIS_DATOS!$C$1484))+((CROQUIS_DATOS!$C$1486)*CROQUIS_DATOS!$C$1561-(0)*CROQUIS_DATOS!$C$1561))/CROQUIS_DATOS!$C$1568-0.000001)),1,MOD($A99-1,2)),1-IF(INT(($A99-1)/2)+1&gt;MAX(1,INT(((((CROQUIS_DATOS!$C$1484+CROQUIS_DATOS!$C$1485))-(CROQUIS_DATOS!$C$1484))+((CROQUIS_DATOS!$C$1486)*CROQUIS_DATOS!$C$1561-(0)*CROQUIS_DATOS!$C$1561))/CROQUIS_DATOS!$C$1568-0.000001)),1,MOD($A99-1,2)))=1,MIN((CROQUIS_DATOS!$C$1486)*CROQUIS_DATOS!$C$1561,((CROQUIS_DATOS!$C$1484+CROQUIS_DATOS!$C$1485)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99">
        <f>IF(AND(CROQUIS_DATOS!$C$1472=1,CROQUIS_DATOS!$C$1478&gt;=2,((CROQUIS_DATOS!$C$1484+CROQUIS_DATOS!$C$1485))-(CROQUIS_DATOS!$C$1484)&gt;0.5,(CROQUIS_DATOS!$C$1486)-(0)&gt;0.5),(CROQUIS_DATOS!$C$1567+(IF(IF(MOD(MIN(INT(($A99-1)/2)+1,MAX(1,INT(((((CROQUIS_DATOS!$C$1484+CROQUIS_DATOS!$C$1485))-(CROQUIS_DATOS!$C$1484))+((CROQUIS_DATOS!$C$1486)*CROQUIS_DATOS!$C$1561-(0)*CROQUIS_DATOS!$C$1561))/CROQUIS_DATOS!$C$1568-0.000001))),2)=1,IF(INT(($A99-1)/2)+1&gt;MAX(1,INT(((((CROQUIS_DATOS!$C$1484+CROQUIS_DATOS!$C$1485))-(CROQUIS_DATOS!$C$1484))+((CROQUIS_DATOS!$C$1486)*CROQUIS_DATOS!$C$1561-(0)*CROQUIS_DATOS!$C$1561))/CROQUIS_DATOS!$C$1568-0.000001)),1,MOD($A99-1,2)),1-IF(INT(($A99-1)/2)+1&gt;MAX(1,INT(((((CROQUIS_DATOS!$C$1484+CROQUIS_DATOS!$C$1485))-(CROQUIS_DATOS!$C$1484))+((CROQUIS_DATOS!$C$1486)*CROQUIS_DATOS!$C$1561-(0)*CROQUIS_DATOS!$C$1561))/CROQUIS_DATOS!$C$1568-0.000001)),1,MOD($A99-1,2)))=1,MIN((CROQUIS_DATOS!$C$1486)*CROQUIS_DATOS!$C$1561,((CROQUIS_DATOS!$C$1484+CROQUIS_DATOS!$C$1485)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99-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99">
        <f>IF(AND(CROQUIS_DATOS!$C$1472=1,CROQUIS_DATOS!$C$1478&gt;=2,((CROQUIS_DATOS!$C$1484+CROQUIS_DATOS!$C$1485))-(CROQUIS_DATOS!$C$1484)&gt;0.5,(CROQUIS_DATOS!$C$1476)-((CROQUIS_DATOS!$C$1486+CROQUIS_DATOS!$C$1487))&gt;0.5),(CROQUIS_DATOS!$C$1566+(IF(IF(MOD(MIN(INT(($A99-1)/2)+1,MAX(1,INT(((((CROQUIS_DATOS!$C$1484+CROQUIS_DATOS!$C$1485))-(CROQUIS_DATOS!$C$1484))+((CROQUIS_DATOS!$C$1476)*CROQUIS_DATOS!$C$1561-((CROQUIS_DATOS!$C$1486+CROQUIS_DATOS!$C$1487))*CROQUIS_DATOS!$C$1561))/CROQUIS_DATOS!$C$1568-0.000001))),2)=1,IF(INT(($A99-1)/2)+1&gt;MAX(1,INT(((((CROQUIS_DATOS!$C$1484+CROQUIS_DATOS!$C$1485))-(CROQUIS_DATOS!$C$1484))+((CROQUIS_DATOS!$C$1476)*CROQUIS_DATOS!$C$1561-((CROQUIS_DATOS!$C$1486+CROQUIS_DATOS!$C$1487))*CROQUIS_DATOS!$C$1561))/CROQUIS_DATOS!$C$1568-0.000001)),1,MOD($A99-1,2)),1-IF(INT(($A99-1)/2)+1&gt;MAX(1,INT(((((CROQUIS_DATOS!$C$1484+CROQUIS_DATOS!$C$1485))-(CROQUIS_DATOS!$C$1484))+((CROQUIS_DATOS!$C$1476)*CROQUIS_DATOS!$C$1561-((CROQUIS_DATOS!$C$1486+CROQUIS_DATOS!$C$1487))*CROQUIS_DATOS!$C$1561))/CROQUIS_DATOS!$C$1568-0.000001)),1,MOD($A99-1,2)))=1,MIN((CROQUIS_DATOS!$C$1476)*CROQUIS_DATOS!$C$1561,((CROQUIS_DATOS!$C$1484+CROQUIS_DATOS!$C$1485)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99">
        <f>IF(AND(CROQUIS_DATOS!$C$1472=1,CROQUIS_DATOS!$C$1478&gt;=2,((CROQUIS_DATOS!$C$1484+CROQUIS_DATOS!$C$1485))-(CROQUIS_DATOS!$C$1484)&gt;0.5,(CROQUIS_DATOS!$C$1476)-((CROQUIS_DATOS!$C$1486+CROQUIS_DATOS!$C$1487))&gt;0.5),(CROQUIS_DATOS!$C$1567+(IF(IF(MOD(MIN(INT(($A99-1)/2)+1,MAX(1,INT(((((CROQUIS_DATOS!$C$1484+CROQUIS_DATOS!$C$1485))-(CROQUIS_DATOS!$C$1484))+((CROQUIS_DATOS!$C$1476)*CROQUIS_DATOS!$C$1561-((CROQUIS_DATOS!$C$1486+CROQUIS_DATOS!$C$1487))*CROQUIS_DATOS!$C$1561))/CROQUIS_DATOS!$C$1568-0.000001))),2)=1,IF(INT(($A99-1)/2)+1&gt;MAX(1,INT(((((CROQUIS_DATOS!$C$1484+CROQUIS_DATOS!$C$1485))-(CROQUIS_DATOS!$C$1484))+((CROQUIS_DATOS!$C$1476)*CROQUIS_DATOS!$C$1561-((CROQUIS_DATOS!$C$1486+CROQUIS_DATOS!$C$1487))*CROQUIS_DATOS!$C$1561))/CROQUIS_DATOS!$C$1568-0.000001)),1,MOD($A99-1,2)),1-IF(INT(($A99-1)/2)+1&gt;MAX(1,INT(((((CROQUIS_DATOS!$C$1484+CROQUIS_DATOS!$C$1485))-(CROQUIS_DATOS!$C$1484))+((CROQUIS_DATOS!$C$1476)*CROQUIS_DATOS!$C$1561-((CROQUIS_DATOS!$C$1486+CROQUIS_DATOS!$C$1487))*CROQUIS_DATOS!$C$1561))/CROQUIS_DATOS!$C$1568-0.000001)),1,MOD($A99-1,2)))=1,MIN((CROQUIS_DATOS!$C$1476)*CROQUIS_DATOS!$C$1561,((CROQUIS_DATOS!$C$1484+CROQUIS_DATOS!$C$1485)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99-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99">
        <f>IF(AND(CROQUIS_DATOS!$C$1472=1,CROQUIS_DATOS!$C$1478&gt;=3,((CROQUIS_DATOS!$C$1489+CROQUIS_DATOS!$C$1490))-(CROQUIS_DATOS!$C$1489)&gt;0.5,(CROQUIS_DATOS!$C$1491)-(0)&gt;0.5),(CROQUIS_DATOS!$C$1566+(IF(IF(MOD(MIN(INT(($A99-1)/2)+1,MAX(1,INT(((((CROQUIS_DATOS!$C$1489+CROQUIS_DATOS!$C$1490))-(CROQUIS_DATOS!$C$1489))+((CROQUIS_DATOS!$C$1491)*CROQUIS_DATOS!$C$1561-(0)*CROQUIS_DATOS!$C$1561))/CROQUIS_DATOS!$C$1568-0.000001))),2)=1,IF(INT(($A99-1)/2)+1&gt;MAX(1,INT(((((CROQUIS_DATOS!$C$1489+CROQUIS_DATOS!$C$1490))-(CROQUIS_DATOS!$C$1489))+((CROQUIS_DATOS!$C$1491)*CROQUIS_DATOS!$C$1561-(0)*CROQUIS_DATOS!$C$1561))/CROQUIS_DATOS!$C$1568-0.000001)),1,MOD($A99-1,2)),1-IF(INT(($A99-1)/2)+1&gt;MAX(1,INT(((((CROQUIS_DATOS!$C$1489+CROQUIS_DATOS!$C$1490))-(CROQUIS_DATOS!$C$1489))+((CROQUIS_DATOS!$C$1491)*CROQUIS_DATOS!$C$1561-(0)*CROQUIS_DATOS!$C$1561))/CROQUIS_DATOS!$C$1568-0.000001)),1,MOD($A99-1,2)))=1,MIN((CROQUIS_DATOS!$C$1491)*CROQUIS_DATOS!$C$1561,((CROQUIS_DATOS!$C$1489+CROQUIS_DATOS!$C$1490)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99">
        <f>IF(AND(CROQUIS_DATOS!$C$1472=1,CROQUIS_DATOS!$C$1478&gt;=3,((CROQUIS_DATOS!$C$1489+CROQUIS_DATOS!$C$1490))-(CROQUIS_DATOS!$C$1489)&gt;0.5,(CROQUIS_DATOS!$C$1491)-(0)&gt;0.5),(CROQUIS_DATOS!$C$1567+(IF(IF(MOD(MIN(INT(($A99-1)/2)+1,MAX(1,INT(((((CROQUIS_DATOS!$C$1489+CROQUIS_DATOS!$C$1490))-(CROQUIS_DATOS!$C$1489))+((CROQUIS_DATOS!$C$1491)*CROQUIS_DATOS!$C$1561-(0)*CROQUIS_DATOS!$C$1561))/CROQUIS_DATOS!$C$1568-0.000001))),2)=1,IF(INT(($A99-1)/2)+1&gt;MAX(1,INT(((((CROQUIS_DATOS!$C$1489+CROQUIS_DATOS!$C$1490))-(CROQUIS_DATOS!$C$1489))+((CROQUIS_DATOS!$C$1491)*CROQUIS_DATOS!$C$1561-(0)*CROQUIS_DATOS!$C$1561))/CROQUIS_DATOS!$C$1568-0.000001)),1,MOD($A99-1,2)),1-IF(INT(($A99-1)/2)+1&gt;MAX(1,INT(((((CROQUIS_DATOS!$C$1489+CROQUIS_DATOS!$C$1490))-(CROQUIS_DATOS!$C$1489))+((CROQUIS_DATOS!$C$1491)*CROQUIS_DATOS!$C$1561-(0)*CROQUIS_DATOS!$C$1561))/CROQUIS_DATOS!$C$1568-0.000001)),1,MOD($A99-1,2)))=1,MIN((CROQUIS_DATOS!$C$1491)*CROQUIS_DATOS!$C$1561,((CROQUIS_DATOS!$C$1489+CROQUIS_DATOS!$C$1490)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99-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99">
        <f>IF(AND(CROQUIS_DATOS!$C$1472=1,CROQUIS_DATOS!$C$1478&gt;=3,((CROQUIS_DATOS!$C$1489+CROQUIS_DATOS!$C$1490))-(CROQUIS_DATOS!$C$1489)&gt;0.5,(CROQUIS_DATOS!$C$1476)-((CROQUIS_DATOS!$C$1491+CROQUIS_DATOS!$C$1492))&gt;0.5),(CROQUIS_DATOS!$C$1566+(IF(IF(MOD(MIN(INT(($A99-1)/2)+1,MAX(1,INT(((((CROQUIS_DATOS!$C$1489+CROQUIS_DATOS!$C$1490))-(CROQUIS_DATOS!$C$1489))+((CROQUIS_DATOS!$C$1476)*CROQUIS_DATOS!$C$1561-((CROQUIS_DATOS!$C$1491+CROQUIS_DATOS!$C$1492))*CROQUIS_DATOS!$C$1561))/CROQUIS_DATOS!$C$1568-0.000001))),2)=1,IF(INT(($A99-1)/2)+1&gt;MAX(1,INT(((((CROQUIS_DATOS!$C$1489+CROQUIS_DATOS!$C$1490))-(CROQUIS_DATOS!$C$1489))+((CROQUIS_DATOS!$C$1476)*CROQUIS_DATOS!$C$1561-((CROQUIS_DATOS!$C$1491+CROQUIS_DATOS!$C$1492))*CROQUIS_DATOS!$C$1561))/CROQUIS_DATOS!$C$1568-0.000001)),1,MOD($A99-1,2)),1-IF(INT(($A99-1)/2)+1&gt;MAX(1,INT(((((CROQUIS_DATOS!$C$1489+CROQUIS_DATOS!$C$1490))-(CROQUIS_DATOS!$C$1489))+((CROQUIS_DATOS!$C$1476)*CROQUIS_DATOS!$C$1561-((CROQUIS_DATOS!$C$1491+CROQUIS_DATOS!$C$1492))*CROQUIS_DATOS!$C$1561))/CROQUIS_DATOS!$C$1568-0.000001)),1,MOD($A99-1,2)))=1,MIN((CROQUIS_DATOS!$C$1476)*CROQUIS_DATOS!$C$1561,((CROQUIS_DATOS!$C$1489+CROQUIS_DATOS!$C$1490)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99">
        <f>IF(AND(CROQUIS_DATOS!$C$1472=1,CROQUIS_DATOS!$C$1478&gt;=3,((CROQUIS_DATOS!$C$1489+CROQUIS_DATOS!$C$1490))-(CROQUIS_DATOS!$C$1489)&gt;0.5,(CROQUIS_DATOS!$C$1476)-((CROQUIS_DATOS!$C$1491+CROQUIS_DATOS!$C$1492))&gt;0.5),(CROQUIS_DATOS!$C$1567+(IF(IF(MOD(MIN(INT(($A99-1)/2)+1,MAX(1,INT(((((CROQUIS_DATOS!$C$1489+CROQUIS_DATOS!$C$1490))-(CROQUIS_DATOS!$C$1489))+((CROQUIS_DATOS!$C$1476)*CROQUIS_DATOS!$C$1561-((CROQUIS_DATOS!$C$1491+CROQUIS_DATOS!$C$1492))*CROQUIS_DATOS!$C$1561))/CROQUIS_DATOS!$C$1568-0.000001))),2)=1,IF(INT(($A99-1)/2)+1&gt;MAX(1,INT(((((CROQUIS_DATOS!$C$1489+CROQUIS_DATOS!$C$1490))-(CROQUIS_DATOS!$C$1489))+((CROQUIS_DATOS!$C$1476)*CROQUIS_DATOS!$C$1561-((CROQUIS_DATOS!$C$1491+CROQUIS_DATOS!$C$1492))*CROQUIS_DATOS!$C$1561))/CROQUIS_DATOS!$C$1568-0.000001)),1,MOD($A99-1,2)),1-IF(INT(($A99-1)/2)+1&gt;MAX(1,INT(((((CROQUIS_DATOS!$C$1489+CROQUIS_DATOS!$C$1490))-(CROQUIS_DATOS!$C$1489))+((CROQUIS_DATOS!$C$1476)*CROQUIS_DATOS!$C$1561-((CROQUIS_DATOS!$C$1491+CROQUIS_DATOS!$C$1492))*CROQUIS_DATOS!$C$1561))/CROQUIS_DATOS!$C$1568-0.000001)),1,MOD($A99-1,2)))=1,MIN((CROQUIS_DATOS!$C$1476)*CROQUIS_DATOS!$C$1561,((CROQUIS_DATOS!$C$1489+CROQUIS_DATOS!$C$1490)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99-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99">
        <f>IF(AND(CROQUIS_DATOS!$C$1472=1,CROQUIS_DATOS!$C$1478&gt;=4,((CROQUIS_DATOS!$C$1494+CROQUIS_DATOS!$C$1495))-(CROQUIS_DATOS!$C$1494)&gt;0.5,(CROQUIS_DATOS!$C$1496)-(0)&gt;0.5),(CROQUIS_DATOS!$C$1566+(IF(IF(MOD(MIN(INT(($A99-1)/2)+1,MAX(1,INT(((((CROQUIS_DATOS!$C$1494+CROQUIS_DATOS!$C$1495))-(CROQUIS_DATOS!$C$1494))+((CROQUIS_DATOS!$C$1496)*CROQUIS_DATOS!$C$1561-(0)*CROQUIS_DATOS!$C$1561))/CROQUIS_DATOS!$C$1568-0.000001))),2)=1,IF(INT(($A99-1)/2)+1&gt;MAX(1,INT(((((CROQUIS_DATOS!$C$1494+CROQUIS_DATOS!$C$1495))-(CROQUIS_DATOS!$C$1494))+((CROQUIS_DATOS!$C$1496)*CROQUIS_DATOS!$C$1561-(0)*CROQUIS_DATOS!$C$1561))/CROQUIS_DATOS!$C$1568-0.000001)),1,MOD($A99-1,2)),1-IF(INT(($A99-1)/2)+1&gt;MAX(1,INT(((((CROQUIS_DATOS!$C$1494+CROQUIS_DATOS!$C$1495))-(CROQUIS_DATOS!$C$1494))+((CROQUIS_DATOS!$C$1496)*CROQUIS_DATOS!$C$1561-(0)*CROQUIS_DATOS!$C$1561))/CROQUIS_DATOS!$C$1568-0.000001)),1,MOD($A99-1,2)))=1,MIN((CROQUIS_DATOS!$C$1496)*CROQUIS_DATOS!$C$1561,((CROQUIS_DATOS!$C$1494+CROQUIS_DATOS!$C$1495)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99">
        <f>IF(AND(CROQUIS_DATOS!$C$1472=1,CROQUIS_DATOS!$C$1478&gt;=4,((CROQUIS_DATOS!$C$1494+CROQUIS_DATOS!$C$1495))-(CROQUIS_DATOS!$C$1494)&gt;0.5,(CROQUIS_DATOS!$C$1496)-(0)&gt;0.5),(CROQUIS_DATOS!$C$1567+(IF(IF(MOD(MIN(INT(($A99-1)/2)+1,MAX(1,INT(((((CROQUIS_DATOS!$C$1494+CROQUIS_DATOS!$C$1495))-(CROQUIS_DATOS!$C$1494))+((CROQUIS_DATOS!$C$1496)*CROQUIS_DATOS!$C$1561-(0)*CROQUIS_DATOS!$C$1561))/CROQUIS_DATOS!$C$1568-0.000001))),2)=1,IF(INT(($A99-1)/2)+1&gt;MAX(1,INT(((((CROQUIS_DATOS!$C$1494+CROQUIS_DATOS!$C$1495))-(CROQUIS_DATOS!$C$1494))+((CROQUIS_DATOS!$C$1496)*CROQUIS_DATOS!$C$1561-(0)*CROQUIS_DATOS!$C$1561))/CROQUIS_DATOS!$C$1568-0.000001)),1,MOD($A99-1,2)),1-IF(INT(($A99-1)/2)+1&gt;MAX(1,INT(((((CROQUIS_DATOS!$C$1494+CROQUIS_DATOS!$C$1495))-(CROQUIS_DATOS!$C$1494))+((CROQUIS_DATOS!$C$1496)*CROQUIS_DATOS!$C$1561-(0)*CROQUIS_DATOS!$C$1561))/CROQUIS_DATOS!$C$1568-0.000001)),1,MOD($A99-1,2)))=1,MIN((CROQUIS_DATOS!$C$1496)*CROQUIS_DATOS!$C$1561,((CROQUIS_DATOS!$C$1494+CROQUIS_DATOS!$C$1495)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99-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99">
        <f>IF(AND(CROQUIS_DATOS!$C$1472=1,CROQUIS_DATOS!$C$1478&gt;=4,((CROQUIS_DATOS!$C$1494+CROQUIS_DATOS!$C$1495))-(CROQUIS_DATOS!$C$1494)&gt;0.5,(CROQUIS_DATOS!$C$1476)-((CROQUIS_DATOS!$C$1496+CROQUIS_DATOS!$C$1497))&gt;0.5),(CROQUIS_DATOS!$C$1566+(IF(IF(MOD(MIN(INT(($A99-1)/2)+1,MAX(1,INT(((((CROQUIS_DATOS!$C$1494+CROQUIS_DATOS!$C$1495))-(CROQUIS_DATOS!$C$1494))+((CROQUIS_DATOS!$C$1476)*CROQUIS_DATOS!$C$1561-((CROQUIS_DATOS!$C$1496+CROQUIS_DATOS!$C$1497))*CROQUIS_DATOS!$C$1561))/CROQUIS_DATOS!$C$1568-0.000001))),2)=1,IF(INT(($A99-1)/2)+1&gt;MAX(1,INT(((((CROQUIS_DATOS!$C$1494+CROQUIS_DATOS!$C$1495))-(CROQUIS_DATOS!$C$1494))+((CROQUIS_DATOS!$C$1476)*CROQUIS_DATOS!$C$1561-((CROQUIS_DATOS!$C$1496+CROQUIS_DATOS!$C$1497))*CROQUIS_DATOS!$C$1561))/CROQUIS_DATOS!$C$1568-0.000001)),1,MOD($A99-1,2)),1-IF(INT(($A99-1)/2)+1&gt;MAX(1,INT(((((CROQUIS_DATOS!$C$1494+CROQUIS_DATOS!$C$1495))-(CROQUIS_DATOS!$C$1494))+((CROQUIS_DATOS!$C$1476)*CROQUIS_DATOS!$C$1561-((CROQUIS_DATOS!$C$1496+CROQUIS_DATOS!$C$1497))*CROQUIS_DATOS!$C$1561))/CROQUIS_DATOS!$C$1568-0.000001)),1,MOD($A99-1,2)))=1,MIN((CROQUIS_DATOS!$C$1476)*CROQUIS_DATOS!$C$1561,((CROQUIS_DATOS!$C$1494+CROQUIS_DATOS!$C$1495)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99">
        <f>IF(AND(CROQUIS_DATOS!$C$1472=1,CROQUIS_DATOS!$C$1478&gt;=4,((CROQUIS_DATOS!$C$1494+CROQUIS_DATOS!$C$1495))-(CROQUIS_DATOS!$C$1494)&gt;0.5,(CROQUIS_DATOS!$C$1476)-((CROQUIS_DATOS!$C$1496+CROQUIS_DATOS!$C$1497))&gt;0.5),(CROQUIS_DATOS!$C$1567+(IF(IF(MOD(MIN(INT(($A99-1)/2)+1,MAX(1,INT(((((CROQUIS_DATOS!$C$1494+CROQUIS_DATOS!$C$1495))-(CROQUIS_DATOS!$C$1494))+((CROQUIS_DATOS!$C$1476)*CROQUIS_DATOS!$C$1561-((CROQUIS_DATOS!$C$1496+CROQUIS_DATOS!$C$1497))*CROQUIS_DATOS!$C$1561))/CROQUIS_DATOS!$C$1568-0.000001))),2)=1,IF(INT(($A99-1)/2)+1&gt;MAX(1,INT(((((CROQUIS_DATOS!$C$1494+CROQUIS_DATOS!$C$1495))-(CROQUIS_DATOS!$C$1494))+((CROQUIS_DATOS!$C$1476)*CROQUIS_DATOS!$C$1561-((CROQUIS_DATOS!$C$1496+CROQUIS_DATOS!$C$1497))*CROQUIS_DATOS!$C$1561))/CROQUIS_DATOS!$C$1568-0.000001)),1,MOD($A99-1,2)),1-IF(INT(($A99-1)/2)+1&gt;MAX(1,INT(((((CROQUIS_DATOS!$C$1494+CROQUIS_DATOS!$C$1495))-(CROQUIS_DATOS!$C$1494))+((CROQUIS_DATOS!$C$1476)*CROQUIS_DATOS!$C$1561-((CROQUIS_DATOS!$C$1496+CROQUIS_DATOS!$C$1497))*CROQUIS_DATOS!$C$1561))/CROQUIS_DATOS!$C$1568-0.000001)),1,MOD($A99-1,2)))=1,MIN((CROQUIS_DATOS!$C$1476)*CROQUIS_DATOS!$C$1561,((CROQUIS_DATOS!$C$1494+CROQUIS_DATOS!$C$1495)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99-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0">
      <c r="A100" t="n">
        <v>93</v>
      </c>
      <c r="N100">
        <f>IF(AND(CROQUIS_DATOS!$C$1472=1,1),(CROQUIS_DATOS!$C$1563+(IF(IF(IF(INT(($A100-1)/70)+1&gt;CROQUIS_DATOS!$C$1525,70,MOD($A100-1,70)+1)=1,0,IF(IF(INT(($A100-1)/70)+1&gt;CROQUIS_DATOS!$C$1525,70,MOD($A100-1,70)+1)&gt;2*CROQUIS_DATOS!$C$1541+1,IF(MOD(CROQUIS_DATOS!$C$1541,2)=1,1,0),IF(MOD(MIN(INT((IF(INT(($A100-1)/70)+1&gt;CROQUIS_DATOS!$C$1525,70,MOD($A100-1,70)+1)-2)/2)+1,CROQUIS_DATOS!$C$1541),2)=1,IF(MOD(IF(INT(($A100-1)/70)+1&gt;CROQUIS_DATOS!$C$1525,70,MOD($A100-1,70)+1)-2,2)=0,0,1),IF(MOD(IF(INT(($A100-1)/70)+1&gt;CROQUIS_DATOS!$C$1525,70,MOD($A100-1,70)+1)-2,2)=0,1,0))))=0,(INDEX($E$8:$E$23,MIN(INT(($A100-1)/70)+1,CROQUIS_DATOS!$C$1525))-INDEX($F$8:$F$23,MIN(INT(($A100-1)/70)+1,CROQUIS_DATOS!$C$1525))/2),(INDEX($E$8:$E$23,MIN(INT(($A100-1)/70)+1,CROQUIS_DATOS!$C$1525))+INDEX($F$8:$F$23,MIN(INT(($A100-1)/70)+1,CROQUIS_DATOS!$C$1525))/2)))*CROQUIS_DATOS!$C$1562),-1000)</f>
        <v>20.6724137931034</v>
      </c>
      <c r="O100">
        <f>IF(AND(CROQUIS_DATOS!$C$1472=1,1),(CROQUIS_DATOS!$C$1564+(IF(OR(IF(INT(($A100-1)/70)+1&gt;CROQUIS_DATOS!$C$1525,70,MOD($A100-1,70)+1)=1,IF(INT(($A100-1)/70)+1&gt;CROQUIS_DATOS!$C$1525,70,MOD($A100-1,70)+1)&gt;2*CROQUIS_DATOS!$C$1541+1),CROQUIS_DATOS!$C$1476,INDEX($H$8:$H$41,MIN(INT((IF(INT(($A100-1)/70)+1&gt;CROQUIS_DATOS!$C$1525,70,MOD($A100-1,70)+1)-2)/2)+1,CROQUIS_DATOS!$C$1541))))*CROQUIS_DATOS!$C$1561*CROQUIS_DATOS!$C$1562),-1000)</f>
        <v>26.823275862069</v>
      </c>
      <c r="P100">
        <f>IF(AND(CROQUIS_DATOS!$C$1472=1,CROQUIS_DATOS!$C$1555=1),(CROQUIS_DATOS!$C$1563+(IF(IF(OR(MOD($A100-1,62)+1=1,IF(CHOOSE(MIN(MAX(MIN(INT(($A100-1)/62)+1,5),1),5),CROQUIS_DATOS!$C$1501,CROQUIS_DATOS!$C$1505,CROQUIS_DATOS!$C$1509,CROQUIS_DATOS!$C$1513,CROQUIS_DATOS!$C$1517)=1,CROQUIS_DATOS!$C$1557,0)=0),0,IF(MOD($A100-1,62)+1&gt;2*IF(CHOOSE(MIN(MAX(MIN(INT(($A100-1)/62)+1,5),1),5),CROQUIS_DATOS!$C$1501,CROQUIS_DATOS!$C$1505,CROQUIS_DATOS!$C$1509,CROQUIS_DATOS!$C$1513,CROQUIS_DATOS!$C$1517)=1,CROQUIS_DATOS!$C$1557,0)+1,IF(MOD(IF(CHOOSE(MIN(MAX(MIN(INT(($A100-1)/62)+1,5),1),5),CROQUIS_DATOS!$C$1501,CROQUIS_DATOS!$C$1505,CROQUIS_DATOS!$C$1509,CROQUIS_DATOS!$C$1513,CROQUIS_DATOS!$C$1517)=1,CROQUIS_DATOS!$C$1557,0),2)=1,1,0),IF(MOD(MIN(INT((MOD($A100-1,62)+1-2)/2)+1,MAX(IF(CHOOSE(MIN(MAX(MIN(INT(($A100-1)/62)+1,5),1),5),CROQUIS_DATOS!$C$1501,CROQUIS_DATOS!$C$1505,CROQUIS_DATOS!$C$1509,CROQUIS_DATOS!$C$1513,CROQUIS_DATOS!$C$1517)=1,CROQUIS_DATOS!$C$1557,0),1)),2)=1,IF(MOD(MOD($A100-1,62)+1-2,2)=0,0,1),IF(MOD(MOD($A100-1,62)+1-2,2)=0,1,0))))=0,(CHOOSE(MIN(MAX(MIN(INT(($A100-1)/62)+1,5),1),5),CROQUIS_DATOS!$C$1499,CROQUIS_DATOS!$C$1503,CROQUIS_DATOS!$C$1507,CROQUIS_DATOS!$C$1511,CROQUIS_DATOS!$C$1515)+IF(CHOOSE(MIN(MAX(MIN(INT(($A100-1)/62)+1,5),1),5),CROQUIS_DATOS!$C$1501,CROQUIS_DATOS!$C$1505,CROQUIS_DATOS!$C$1509,CROQUIS_DATOS!$C$1513,CROQUIS_DATOS!$C$1517)=1,CROQUIS_DATOS!$C$1526,0)),(CHOOSE(MIN(MAX(MIN(INT(($A100-1)/62)+1,5),1),5),CROQUIS_DATOS!$C$1499,CROQUIS_DATOS!$C$1503,CROQUIS_DATOS!$C$1507,CROQUIS_DATOS!$C$1511,CROQUIS_DATOS!$C$1515)+CHOOSE(MIN(MAX(MIN(INT(($A100-1)/62)+1,5),1),5),CROQUIS_DATOS!$C$1500,CROQUIS_DATOS!$C$1504,CROQUIS_DATOS!$C$1508,CROQUIS_DATOS!$C$1512,CROQUIS_DATOS!$C$1516)-IF(CHOOSE(MIN(MAX(MIN(INT(($A100-1)/62)+1,5),1),5),CROQUIS_DATOS!$C$1501,CROQUIS_DATOS!$C$1505,CROQUIS_DATOS!$C$1509,CROQUIS_DATOS!$C$1513,CROQUIS_DATOS!$C$1517)=1,CROQUIS_DATOS!$C$1526,0))))*CROQUIS_DATOS!$C$1562),-1000)</f>
        <v>-1000</v>
      </c>
      <c r="Q100">
        <f>IF(AND(CROQUIS_DATOS!$C$1472=1,CROQUIS_DATOS!$C$1555=1),(CROQUIS_DATOS!$C$1564+(IF(OR(OR(MOD($A100-1,62)+1=1,IF(CHOOSE(MIN(MAX(MIN(INT(($A100-1)/62)+1,5),1),5),CROQUIS_DATOS!$C$1501,CROQUIS_DATOS!$C$1505,CROQUIS_DATOS!$C$1509,CROQUIS_DATOS!$C$1513,CROQUIS_DATOS!$C$1517)=1,CROQUIS_DATOS!$C$1557,0)=0),MOD($A100-1,62)+1&gt;2*IF(CHOOSE(MIN(MAX(MIN(INT(($A100-1)/62)+1,5),1),5),CROQUIS_DATOS!$C$1501,CROQUIS_DATOS!$C$1505,CROQUIS_DATOS!$C$1509,CROQUIS_DATOS!$C$1513,CROQUIS_DATOS!$C$1517)=1,CROQUIS_DATOS!$C$1557,0)+1),CROQUIS_DATOS!$C$1476,MIN(INT((MOD($A100-1,62)+1-2)/2)+1,MAX(IF(CHOOSE(MIN(MAX(MIN(INT(($A100-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0">
        <f>IF(AND(CROQUIS_DATOS!$C$1472=1,1),(CROQUIS_DATOS!$C$1563+(MIN(INT(($A100-1)/2)+1,CROQUIS_DATOS!$C$1558)*CROQUIS_DATOS!$C$1559)*CROQUIS_DATOS!$C$1562),-1000)</f>
        <v>82.2281167108753</v>
      </c>
      <c r="U100">
        <f>IF(AND(CROQUIS_DATOS!$C$1472=1,1),(CROQUIS_DATOS!$C$1564+(IF(INT(($A100-1)/2)+1&gt;CROQUIS_DATOS!$C$1558,IF(MOD(CROQUIS_DATOS!$C$1558,2)=1,CROQUIS_DATOS!$C$1476+CROQUIS_DATOS!$C$1528,CROQUIS_DATOS!$C$1476),IF(IF(MOD(MIN(INT(($A100-1)/2)+1,CROQUIS_DATOS!$C$1558),2)=1,MOD($A100-1,2),1-MOD($A100-1,2))=1,CROQUIS_DATOS!$C$1476+CROQUIS_DATOS!$C$1528,CROQUIS_DATOS!$C$1476)))*CROQUIS_DATOS!$C$1561*CROQUIS_DATOS!$C$1562),-1000)</f>
        <v>43</v>
      </c>
      <c r="BZ100">
        <f>IF(AND(CROQUIS_DATOS!$C$1472=1,CROQUIS_DATOS!$C$1500&gt;0,((CROQUIS_DATOS!$C$1499+CROQUIS_DATOS!$C$1500))-(CROQUIS_DATOS!$C$1499)&gt;0.5,(CROQUIS_DATOS!$C$1476)-(0)&gt;0.5),(CROQUIS_DATOS!$C$1566+(IF(IF(MOD(MIN(INT(($A100-1)/2)+1,MAX(1,INT(((((CROQUIS_DATOS!$C$1499+CROQUIS_DATOS!$C$1500))-(CROQUIS_DATOS!$C$1499))+((CROQUIS_DATOS!$C$1476)*CROQUIS_DATOS!$C$1561-(0)*CROQUIS_DATOS!$C$1561))/CROQUIS_DATOS!$C$1568-0.000001))),2)=1,IF(INT(($A100-1)/2)+1&gt;MAX(1,INT(((((CROQUIS_DATOS!$C$1499+CROQUIS_DATOS!$C$1500))-(CROQUIS_DATOS!$C$1499))+((CROQUIS_DATOS!$C$1476)*CROQUIS_DATOS!$C$1561-(0)*CROQUIS_DATOS!$C$1561))/CROQUIS_DATOS!$C$1568-0.000001)),1,MOD($A100-1,2)),1-IF(INT(($A100-1)/2)+1&gt;MAX(1,INT(((((CROQUIS_DATOS!$C$1499+CROQUIS_DATOS!$C$1500))-(CROQUIS_DATOS!$C$1499))+((CROQUIS_DATOS!$C$1476)*CROQUIS_DATOS!$C$1561-(0)*CROQUIS_DATOS!$C$1561))/CROQUIS_DATOS!$C$1568-0.000001)),1,MOD($A100-1,2)))=1,MIN((CROQUIS_DATOS!$C$1476)*CROQUIS_DATOS!$C$1561,((CROQUIS_DATOS!$C$1499+CROQUIS_DATOS!$C$1500)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0">
        <f>IF(AND(CROQUIS_DATOS!$C$1472=1,CROQUIS_DATOS!$C$1500&gt;0,((CROQUIS_DATOS!$C$1499+CROQUIS_DATOS!$C$1500))-(CROQUIS_DATOS!$C$1499)&gt;0.5,(CROQUIS_DATOS!$C$1476)-(0)&gt;0.5),(CROQUIS_DATOS!$C$1567+(IF(IF(MOD(MIN(INT(($A100-1)/2)+1,MAX(1,INT(((((CROQUIS_DATOS!$C$1499+CROQUIS_DATOS!$C$1500))-(CROQUIS_DATOS!$C$1499))+((CROQUIS_DATOS!$C$1476)*CROQUIS_DATOS!$C$1561-(0)*CROQUIS_DATOS!$C$1561))/CROQUIS_DATOS!$C$1568-0.000001))),2)=1,IF(INT(($A100-1)/2)+1&gt;MAX(1,INT(((((CROQUIS_DATOS!$C$1499+CROQUIS_DATOS!$C$1500))-(CROQUIS_DATOS!$C$1499))+((CROQUIS_DATOS!$C$1476)*CROQUIS_DATOS!$C$1561-(0)*CROQUIS_DATOS!$C$1561))/CROQUIS_DATOS!$C$1568-0.000001)),1,MOD($A100-1,2)),1-IF(INT(($A100-1)/2)+1&gt;MAX(1,INT(((((CROQUIS_DATOS!$C$1499+CROQUIS_DATOS!$C$1500))-(CROQUIS_DATOS!$C$1499))+((CROQUIS_DATOS!$C$1476)*CROQUIS_DATOS!$C$1561-(0)*CROQUIS_DATOS!$C$1561))/CROQUIS_DATOS!$C$1568-0.000001)),1,MOD($A100-1,2)))=1,MIN((CROQUIS_DATOS!$C$1476)*CROQUIS_DATOS!$C$1561,((CROQUIS_DATOS!$C$1499+CROQUIS_DATOS!$C$1500)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0">
        <f>IF(AND(CROQUIS_DATOS!$C$1472=1,CROQUIS_DATOS!$C$1504&gt;0,((CROQUIS_DATOS!$C$1503+CROQUIS_DATOS!$C$1504))-(CROQUIS_DATOS!$C$1503)&gt;0.5,(CROQUIS_DATOS!$C$1476)-(0)&gt;0.5),(CROQUIS_DATOS!$C$1566+(IF(IF(MOD(MIN(INT(($A100-1)/2)+1,MAX(1,INT(((((CROQUIS_DATOS!$C$1503+CROQUIS_DATOS!$C$1504))-(CROQUIS_DATOS!$C$1503))+((CROQUIS_DATOS!$C$1476)*CROQUIS_DATOS!$C$1561-(0)*CROQUIS_DATOS!$C$1561))/CROQUIS_DATOS!$C$1568-0.000001))),2)=1,IF(INT(($A100-1)/2)+1&gt;MAX(1,INT(((((CROQUIS_DATOS!$C$1503+CROQUIS_DATOS!$C$1504))-(CROQUIS_DATOS!$C$1503))+((CROQUIS_DATOS!$C$1476)*CROQUIS_DATOS!$C$1561-(0)*CROQUIS_DATOS!$C$1561))/CROQUIS_DATOS!$C$1568-0.000001)),1,MOD($A100-1,2)),1-IF(INT(($A100-1)/2)+1&gt;MAX(1,INT(((((CROQUIS_DATOS!$C$1503+CROQUIS_DATOS!$C$1504))-(CROQUIS_DATOS!$C$1503))+((CROQUIS_DATOS!$C$1476)*CROQUIS_DATOS!$C$1561-(0)*CROQUIS_DATOS!$C$1561))/CROQUIS_DATOS!$C$1568-0.000001)),1,MOD($A100-1,2)))=1,MIN((CROQUIS_DATOS!$C$1476)*CROQUIS_DATOS!$C$1561,((CROQUIS_DATOS!$C$1503+CROQUIS_DATOS!$C$1504)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0">
        <f>IF(AND(CROQUIS_DATOS!$C$1472=1,CROQUIS_DATOS!$C$1504&gt;0,((CROQUIS_DATOS!$C$1503+CROQUIS_DATOS!$C$1504))-(CROQUIS_DATOS!$C$1503)&gt;0.5,(CROQUIS_DATOS!$C$1476)-(0)&gt;0.5),(CROQUIS_DATOS!$C$1567+(IF(IF(MOD(MIN(INT(($A100-1)/2)+1,MAX(1,INT(((((CROQUIS_DATOS!$C$1503+CROQUIS_DATOS!$C$1504))-(CROQUIS_DATOS!$C$1503))+((CROQUIS_DATOS!$C$1476)*CROQUIS_DATOS!$C$1561-(0)*CROQUIS_DATOS!$C$1561))/CROQUIS_DATOS!$C$1568-0.000001))),2)=1,IF(INT(($A100-1)/2)+1&gt;MAX(1,INT(((((CROQUIS_DATOS!$C$1503+CROQUIS_DATOS!$C$1504))-(CROQUIS_DATOS!$C$1503))+((CROQUIS_DATOS!$C$1476)*CROQUIS_DATOS!$C$1561-(0)*CROQUIS_DATOS!$C$1561))/CROQUIS_DATOS!$C$1568-0.000001)),1,MOD($A100-1,2)),1-IF(INT(($A100-1)/2)+1&gt;MAX(1,INT(((((CROQUIS_DATOS!$C$1503+CROQUIS_DATOS!$C$1504))-(CROQUIS_DATOS!$C$1503))+((CROQUIS_DATOS!$C$1476)*CROQUIS_DATOS!$C$1561-(0)*CROQUIS_DATOS!$C$1561))/CROQUIS_DATOS!$C$1568-0.000001)),1,MOD($A100-1,2)))=1,MIN((CROQUIS_DATOS!$C$1476)*CROQUIS_DATOS!$C$1561,((CROQUIS_DATOS!$C$1503+CROQUIS_DATOS!$C$1504)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0">
        <f>IF(AND(CROQUIS_DATOS!$C$1472=1,CROQUIS_DATOS!$C$1508&gt;0,((CROQUIS_DATOS!$C$1507+CROQUIS_DATOS!$C$1508))-(CROQUIS_DATOS!$C$1507)&gt;0.5,(CROQUIS_DATOS!$C$1476)-(0)&gt;0.5),(CROQUIS_DATOS!$C$1566+(IF(IF(MOD(MIN(INT(($A100-1)/2)+1,MAX(1,INT(((((CROQUIS_DATOS!$C$1507+CROQUIS_DATOS!$C$1508))-(CROQUIS_DATOS!$C$1507))+((CROQUIS_DATOS!$C$1476)*CROQUIS_DATOS!$C$1561-(0)*CROQUIS_DATOS!$C$1561))/CROQUIS_DATOS!$C$1568-0.000001))),2)=1,IF(INT(($A100-1)/2)+1&gt;MAX(1,INT(((((CROQUIS_DATOS!$C$1507+CROQUIS_DATOS!$C$1508))-(CROQUIS_DATOS!$C$1507))+((CROQUIS_DATOS!$C$1476)*CROQUIS_DATOS!$C$1561-(0)*CROQUIS_DATOS!$C$1561))/CROQUIS_DATOS!$C$1568-0.000001)),1,MOD($A100-1,2)),1-IF(INT(($A100-1)/2)+1&gt;MAX(1,INT(((((CROQUIS_DATOS!$C$1507+CROQUIS_DATOS!$C$1508))-(CROQUIS_DATOS!$C$1507))+((CROQUIS_DATOS!$C$1476)*CROQUIS_DATOS!$C$1561-(0)*CROQUIS_DATOS!$C$1561))/CROQUIS_DATOS!$C$1568-0.000001)),1,MOD($A100-1,2)))=1,MIN((CROQUIS_DATOS!$C$1476)*CROQUIS_DATOS!$C$1561,((CROQUIS_DATOS!$C$1507+CROQUIS_DATOS!$C$1508)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0">
        <f>IF(AND(CROQUIS_DATOS!$C$1472=1,CROQUIS_DATOS!$C$1508&gt;0,((CROQUIS_DATOS!$C$1507+CROQUIS_DATOS!$C$1508))-(CROQUIS_DATOS!$C$1507)&gt;0.5,(CROQUIS_DATOS!$C$1476)-(0)&gt;0.5),(CROQUIS_DATOS!$C$1567+(IF(IF(MOD(MIN(INT(($A100-1)/2)+1,MAX(1,INT(((((CROQUIS_DATOS!$C$1507+CROQUIS_DATOS!$C$1508))-(CROQUIS_DATOS!$C$1507))+((CROQUIS_DATOS!$C$1476)*CROQUIS_DATOS!$C$1561-(0)*CROQUIS_DATOS!$C$1561))/CROQUIS_DATOS!$C$1568-0.000001))),2)=1,IF(INT(($A100-1)/2)+1&gt;MAX(1,INT(((((CROQUIS_DATOS!$C$1507+CROQUIS_DATOS!$C$1508))-(CROQUIS_DATOS!$C$1507))+((CROQUIS_DATOS!$C$1476)*CROQUIS_DATOS!$C$1561-(0)*CROQUIS_DATOS!$C$1561))/CROQUIS_DATOS!$C$1568-0.000001)),1,MOD($A100-1,2)),1-IF(INT(($A100-1)/2)+1&gt;MAX(1,INT(((((CROQUIS_DATOS!$C$1507+CROQUIS_DATOS!$C$1508))-(CROQUIS_DATOS!$C$1507))+((CROQUIS_DATOS!$C$1476)*CROQUIS_DATOS!$C$1561-(0)*CROQUIS_DATOS!$C$1561))/CROQUIS_DATOS!$C$1568-0.000001)),1,MOD($A100-1,2)))=1,MIN((CROQUIS_DATOS!$C$1476)*CROQUIS_DATOS!$C$1561,((CROQUIS_DATOS!$C$1507+CROQUIS_DATOS!$C$1508)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0">
        <f>IF(AND(CROQUIS_DATOS!$C$1472=1,CROQUIS_DATOS!$C$1512&gt;0,((CROQUIS_DATOS!$C$1511+CROQUIS_DATOS!$C$1512))-(CROQUIS_DATOS!$C$1511)&gt;0.5,(CROQUIS_DATOS!$C$1476)-(0)&gt;0.5),(CROQUIS_DATOS!$C$1566+(IF(IF(MOD(MIN(INT(($A100-1)/2)+1,MAX(1,INT(((((CROQUIS_DATOS!$C$1511+CROQUIS_DATOS!$C$1512))-(CROQUIS_DATOS!$C$1511))+((CROQUIS_DATOS!$C$1476)*CROQUIS_DATOS!$C$1561-(0)*CROQUIS_DATOS!$C$1561))/CROQUIS_DATOS!$C$1568-0.000001))),2)=1,IF(INT(($A100-1)/2)+1&gt;MAX(1,INT(((((CROQUIS_DATOS!$C$1511+CROQUIS_DATOS!$C$1512))-(CROQUIS_DATOS!$C$1511))+((CROQUIS_DATOS!$C$1476)*CROQUIS_DATOS!$C$1561-(0)*CROQUIS_DATOS!$C$1561))/CROQUIS_DATOS!$C$1568-0.000001)),1,MOD($A100-1,2)),1-IF(INT(($A100-1)/2)+1&gt;MAX(1,INT(((((CROQUIS_DATOS!$C$1511+CROQUIS_DATOS!$C$1512))-(CROQUIS_DATOS!$C$1511))+((CROQUIS_DATOS!$C$1476)*CROQUIS_DATOS!$C$1561-(0)*CROQUIS_DATOS!$C$1561))/CROQUIS_DATOS!$C$1568-0.000001)),1,MOD($A100-1,2)))=1,MIN((CROQUIS_DATOS!$C$1476)*CROQUIS_DATOS!$C$1561,((CROQUIS_DATOS!$C$1511+CROQUIS_DATOS!$C$1512)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0">
        <f>IF(AND(CROQUIS_DATOS!$C$1472=1,CROQUIS_DATOS!$C$1512&gt;0,((CROQUIS_DATOS!$C$1511+CROQUIS_DATOS!$C$1512))-(CROQUIS_DATOS!$C$1511)&gt;0.5,(CROQUIS_DATOS!$C$1476)-(0)&gt;0.5),(CROQUIS_DATOS!$C$1567+(IF(IF(MOD(MIN(INT(($A100-1)/2)+1,MAX(1,INT(((((CROQUIS_DATOS!$C$1511+CROQUIS_DATOS!$C$1512))-(CROQUIS_DATOS!$C$1511))+((CROQUIS_DATOS!$C$1476)*CROQUIS_DATOS!$C$1561-(0)*CROQUIS_DATOS!$C$1561))/CROQUIS_DATOS!$C$1568-0.000001))),2)=1,IF(INT(($A100-1)/2)+1&gt;MAX(1,INT(((((CROQUIS_DATOS!$C$1511+CROQUIS_DATOS!$C$1512))-(CROQUIS_DATOS!$C$1511))+((CROQUIS_DATOS!$C$1476)*CROQUIS_DATOS!$C$1561-(0)*CROQUIS_DATOS!$C$1561))/CROQUIS_DATOS!$C$1568-0.000001)),1,MOD($A100-1,2)),1-IF(INT(($A100-1)/2)+1&gt;MAX(1,INT(((((CROQUIS_DATOS!$C$1511+CROQUIS_DATOS!$C$1512))-(CROQUIS_DATOS!$C$1511))+((CROQUIS_DATOS!$C$1476)*CROQUIS_DATOS!$C$1561-(0)*CROQUIS_DATOS!$C$1561))/CROQUIS_DATOS!$C$1568-0.000001)),1,MOD($A100-1,2)))=1,MIN((CROQUIS_DATOS!$C$1476)*CROQUIS_DATOS!$C$1561,((CROQUIS_DATOS!$C$1511+CROQUIS_DATOS!$C$1512)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0">
        <f>IF(AND(CROQUIS_DATOS!$C$1472=1,CROQUIS_DATOS!$C$1516&gt;0,((CROQUIS_DATOS!$C$1515+CROQUIS_DATOS!$C$1516))-(CROQUIS_DATOS!$C$1515)&gt;0.5,(CROQUIS_DATOS!$C$1476)-(0)&gt;0.5),(CROQUIS_DATOS!$C$1566+(IF(IF(MOD(MIN(INT(($A100-1)/2)+1,MAX(1,INT(((((CROQUIS_DATOS!$C$1515+CROQUIS_DATOS!$C$1516))-(CROQUIS_DATOS!$C$1515))+((CROQUIS_DATOS!$C$1476)*CROQUIS_DATOS!$C$1561-(0)*CROQUIS_DATOS!$C$1561))/CROQUIS_DATOS!$C$1568-0.000001))),2)=1,IF(INT(($A100-1)/2)+1&gt;MAX(1,INT(((((CROQUIS_DATOS!$C$1515+CROQUIS_DATOS!$C$1516))-(CROQUIS_DATOS!$C$1515))+((CROQUIS_DATOS!$C$1476)*CROQUIS_DATOS!$C$1561-(0)*CROQUIS_DATOS!$C$1561))/CROQUIS_DATOS!$C$1568-0.000001)),1,MOD($A100-1,2)),1-IF(INT(($A100-1)/2)+1&gt;MAX(1,INT(((((CROQUIS_DATOS!$C$1515+CROQUIS_DATOS!$C$1516))-(CROQUIS_DATOS!$C$1515))+((CROQUIS_DATOS!$C$1476)*CROQUIS_DATOS!$C$1561-(0)*CROQUIS_DATOS!$C$1561))/CROQUIS_DATOS!$C$1568-0.000001)),1,MOD($A100-1,2)))=1,MIN((CROQUIS_DATOS!$C$1476)*CROQUIS_DATOS!$C$1561,((CROQUIS_DATOS!$C$1515+CROQUIS_DATOS!$C$1516)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0">
        <f>IF(AND(CROQUIS_DATOS!$C$1472=1,CROQUIS_DATOS!$C$1516&gt;0,((CROQUIS_DATOS!$C$1515+CROQUIS_DATOS!$C$1516))-(CROQUIS_DATOS!$C$1515)&gt;0.5,(CROQUIS_DATOS!$C$1476)-(0)&gt;0.5),(CROQUIS_DATOS!$C$1567+(IF(IF(MOD(MIN(INT(($A100-1)/2)+1,MAX(1,INT(((((CROQUIS_DATOS!$C$1515+CROQUIS_DATOS!$C$1516))-(CROQUIS_DATOS!$C$1515))+((CROQUIS_DATOS!$C$1476)*CROQUIS_DATOS!$C$1561-(0)*CROQUIS_DATOS!$C$1561))/CROQUIS_DATOS!$C$1568-0.000001))),2)=1,IF(INT(($A100-1)/2)+1&gt;MAX(1,INT(((((CROQUIS_DATOS!$C$1515+CROQUIS_DATOS!$C$1516))-(CROQUIS_DATOS!$C$1515))+((CROQUIS_DATOS!$C$1476)*CROQUIS_DATOS!$C$1561-(0)*CROQUIS_DATOS!$C$1561))/CROQUIS_DATOS!$C$1568-0.000001)),1,MOD($A100-1,2)),1-IF(INT(($A100-1)/2)+1&gt;MAX(1,INT(((((CROQUIS_DATOS!$C$1515+CROQUIS_DATOS!$C$1516))-(CROQUIS_DATOS!$C$1515))+((CROQUIS_DATOS!$C$1476)*CROQUIS_DATOS!$C$1561-(0)*CROQUIS_DATOS!$C$1561))/CROQUIS_DATOS!$C$1568-0.000001)),1,MOD($A100-1,2)))=1,MIN((CROQUIS_DATOS!$C$1476)*CROQUIS_DATOS!$C$1561,((CROQUIS_DATOS!$C$1515+CROQUIS_DATOS!$C$1516)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0">
        <f>IF(AND(CROQUIS_DATOS!$C$1472=1,CROQUIS_DATOS!$C$1478&gt;=1,((CROQUIS_DATOS!$C$1479+CROQUIS_DATOS!$C$1480))-(CROQUIS_DATOS!$C$1479)&gt;0.5,(CROQUIS_DATOS!$C$1481)-(0)&gt;0.5),(CROQUIS_DATOS!$C$1566+(IF(IF(MOD(MIN(INT(($A100-1)/2)+1,MAX(1,INT(((((CROQUIS_DATOS!$C$1479+CROQUIS_DATOS!$C$1480))-(CROQUIS_DATOS!$C$1479))+((CROQUIS_DATOS!$C$1481)*CROQUIS_DATOS!$C$1561-(0)*CROQUIS_DATOS!$C$1561))/CROQUIS_DATOS!$C$1568-0.000001))),2)=1,IF(INT(($A100-1)/2)+1&gt;MAX(1,INT(((((CROQUIS_DATOS!$C$1479+CROQUIS_DATOS!$C$1480))-(CROQUIS_DATOS!$C$1479))+((CROQUIS_DATOS!$C$1481)*CROQUIS_DATOS!$C$1561-(0)*CROQUIS_DATOS!$C$1561))/CROQUIS_DATOS!$C$1568-0.000001)),1,MOD($A100-1,2)),1-IF(INT(($A100-1)/2)+1&gt;MAX(1,INT(((((CROQUIS_DATOS!$C$1479+CROQUIS_DATOS!$C$1480))-(CROQUIS_DATOS!$C$1479))+((CROQUIS_DATOS!$C$1481)*CROQUIS_DATOS!$C$1561-(0)*CROQUIS_DATOS!$C$1561))/CROQUIS_DATOS!$C$1568-0.000001)),1,MOD($A100-1,2)))=1,MIN((CROQUIS_DATOS!$C$1481)*CROQUIS_DATOS!$C$1561,((CROQUIS_DATOS!$C$1479+CROQUIS_DATOS!$C$1480)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0">
        <f>IF(AND(CROQUIS_DATOS!$C$1472=1,CROQUIS_DATOS!$C$1478&gt;=1,((CROQUIS_DATOS!$C$1479+CROQUIS_DATOS!$C$1480))-(CROQUIS_DATOS!$C$1479)&gt;0.5,(CROQUIS_DATOS!$C$1481)-(0)&gt;0.5),(CROQUIS_DATOS!$C$1567+(IF(IF(MOD(MIN(INT(($A100-1)/2)+1,MAX(1,INT(((((CROQUIS_DATOS!$C$1479+CROQUIS_DATOS!$C$1480))-(CROQUIS_DATOS!$C$1479))+((CROQUIS_DATOS!$C$1481)*CROQUIS_DATOS!$C$1561-(0)*CROQUIS_DATOS!$C$1561))/CROQUIS_DATOS!$C$1568-0.000001))),2)=1,IF(INT(($A100-1)/2)+1&gt;MAX(1,INT(((((CROQUIS_DATOS!$C$1479+CROQUIS_DATOS!$C$1480))-(CROQUIS_DATOS!$C$1479))+((CROQUIS_DATOS!$C$1481)*CROQUIS_DATOS!$C$1561-(0)*CROQUIS_DATOS!$C$1561))/CROQUIS_DATOS!$C$1568-0.000001)),1,MOD($A100-1,2)),1-IF(INT(($A100-1)/2)+1&gt;MAX(1,INT(((((CROQUIS_DATOS!$C$1479+CROQUIS_DATOS!$C$1480))-(CROQUIS_DATOS!$C$1479))+((CROQUIS_DATOS!$C$1481)*CROQUIS_DATOS!$C$1561-(0)*CROQUIS_DATOS!$C$1561))/CROQUIS_DATOS!$C$1568-0.000001)),1,MOD($A100-1,2)))=1,MIN((CROQUIS_DATOS!$C$1481)*CROQUIS_DATOS!$C$1561,((CROQUIS_DATOS!$C$1479+CROQUIS_DATOS!$C$1480)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0">
        <f>IF(AND(CROQUIS_DATOS!$C$1472=1,CROQUIS_DATOS!$C$1478&gt;=1,((CROQUIS_DATOS!$C$1479+CROQUIS_DATOS!$C$1480))-(CROQUIS_DATOS!$C$1479)&gt;0.5,(CROQUIS_DATOS!$C$1476)-((CROQUIS_DATOS!$C$1481+CROQUIS_DATOS!$C$1482))&gt;0.5),(CROQUIS_DATOS!$C$1566+(IF(IF(MOD(MIN(INT(($A100-1)/2)+1,MAX(1,INT(((((CROQUIS_DATOS!$C$1479+CROQUIS_DATOS!$C$1480))-(CROQUIS_DATOS!$C$1479))+((CROQUIS_DATOS!$C$1476)*CROQUIS_DATOS!$C$1561-((CROQUIS_DATOS!$C$1481+CROQUIS_DATOS!$C$1482))*CROQUIS_DATOS!$C$1561))/CROQUIS_DATOS!$C$1568-0.000001))),2)=1,IF(INT(($A100-1)/2)+1&gt;MAX(1,INT(((((CROQUIS_DATOS!$C$1479+CROQUIS_DATOS!$C$1480))-(CROQUIS_DATOS!$C$1479))+((CROQUIS_DATOS!$C$1476)*CROQUIS_DATOS!$C$1561-((CROQUIS_DATOS!$C$1481+CROQUIS_DATOS!$C$1482))*CROQUIS_DATOS!$C$1561))/CROQUIS_DATOS!$C$1568-0.000001)),1,MOD($A100-1,2)),1-IF(INT(($A100-1)/2)+1&gt;MAX(1,INT(((((CROQUIS_DATOS!$C$1479+CROQUIS_DATOS!$C$1480))-(CROQUIS_DATOS!$C$1479))+((CROQUIS_DATOS!$C$1476)*CROQUIS_DATOS!$C$1561-((CROQUIS_DATOS!$C$1481+CROQUIS_DATOS!$C$1482))*CROQUIS_DATOS!$C$1561))/CROQUIS_DATOS!$C$1568-0.000001)),1,MOD($A100-1,2)))=1,MIN((CROQUIS_DATOS!$C$1476)*CROQUIS_DATOS!$C$1561,((CROQUIS_DATOS!$C$1479+CROQUIS_DATOS!$C$1480)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0">
        <f>IF(AND(CROQUIS_DATOS!$C$1472=1,CROQUIS_DATOS!$C$1478&gt;=1,((CROQUIS_DATOS!$C$1479+CROQUIS_DATOS!$C$1480))-(CROQUIS_DATOS!$C$1479)&gt;0.5,(CROQUIS_DATOS!$C$1476)-((CROQUIS_DATOS!$C$1481+CROQUIS_DATOS!$C$1482))&gt;0.5),(CROQUIS_DATOS!$C$1567+(IF(IF(MOD(MIN(INT(($A100-1)/2)+1,MAX(1,INT(((((CROQUIS_DATOS!$C$1479+CROQUIS_DATOS!$C$1480))-(CROQUIS_DATOS!$C$1479))+((CROQUIS_DATOS!$C$1476)*CROQUIS_DATOS!$C$1561-((CROQUIS_DATOS!$C$1481+CROQUIS_DATOS!$C$1482))*CROQUIS_DATOS!$C$1561))/CROQUIS_DATOS!$C$1568-0.000001))),2)=1,IF(INT(($A100-1)/2)+1&gt;MAX(1,INT(((((CROQUIS_DATOS!$C$1479+CROQUIS_DATOS!$C$1480))-(CROQUIS_DATOS!$C$1479))+((CROQUIS_DATOS!$C$1476)*CROQUIS_DATOS!$C$1561-((CROQUIS_DATOS!$C$1481+CROQUIS_DATOS!$C$1482))*CROQUIS_DATOS!$C$1561))/CROQUIS_DATOS!$C$1568-0.000001)),1,MOD($A100-1,2)),1-IF(INT(($A100-1)/2)+1&gt;MAX(1,INT(((((CROQUIS_DATOS!$C$1479+CROQUIS_DATOS!$C$1480))-(CROQUIS_DATOS!$C$1479))+((CROQUIS_DATOS!$C$1476)*CROQUIS_DATOS!$C$1561-((CROQUIS_DATOS!$C$1481+CROQUIS_DATOS!$C$1482))*CROQUIS_DATOS!$C$1561))/CROQUIS_DATOS!$C$1568-0.000001)),1,MOD($A100-1,2)))=1,MIN((CROQUIS_DATOS!$C$1476)*CROQUIS_DATOS!$C$1561,((CROQUIS_DATOS!$C$1479+CROQUIS_DATOS!$C$1480)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0">
        <f>IF(AND(CROQUIS_DATOS!$C$1472=1,CROQUIS_DATOS!$C$1478&gt;=2,((CROQUIS_DATOS!$C$1484+CROQUIS_DATOS!$C$1485))-(CROQUIS_DATOS!$C$1484)&gt;0.5,(CROQUIS_DATOS!$C$1486)-(0)&gt;0.5),(CROQUIS_DATOS!$C$1566+(IF(IF(MOD(MIN(INT(($A100-1)/2)+1,MAX(1,INT(((((CROQUIS_DATOS!$C$1484+CROQUIS_DATOS!$C$1485))-(CROQUIS_DATOS!$C$1484))+((CROQUIS_DATOS!$C$1486)*CROQUIS_DATOS!$C$1561-(0)*CROQUIS_DATOS!$C$1561))/CROQUIS_DATOS!$C$1568-0.000001))),2)=1,IF(INT(($A100-1)/2)+1&gt;MAX(1,INT(((((CROQUIS_DATOS!$C$1484+CROQUIS_DATOS!$C$1485))-(CROQUIS_DATOS!$C$1484))+((CROQUIS_DATOS!$C$1486)*CROQUIS_DATOS!$C$1561-(0)*CROQUIS_DATOS!$C$1561))/CROQUIS_DATOS!$C$1568-0.000001)),1,MOD($A100-1,2)),1-IF(INT(($A100-1)/2)+1&gt;MAX(1,INT(((((CROQUIS_DATOS!$C$1484+CROQUIS_DATOS!$C$1485))-(CROQUIS_DATOS!$C$1484))+((CROQUIS_DATOS!$C$1486)*CROQUIS_DATOS!$C$1561-(0)*CROQUIS_DATOS!$C$1561))/CROQUIS_DATOS!$C$1568-0.000001)),1,MOD($A100-1,2)))=1,MIN((CROQUIS_DATOS!$C$1486)*CROQUIS_DATOS!$C$1561,((CROQUIS_DATOS!$C$1484+CROQUIS_DATOS!$C$1485)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0">
        <f>IF(AND(CROQUIS_DATOS!$C$1472=1,CROQUIS_DATOS!$C$1478&gt;=2,((CROQUIS_DATOS!$C$1484+CROQUIS_DATOS!$C$1485))-(CROQUIS_DATOS!$C$1484)&gt;0.5,(CROQUIS_DATOS!$C$1486)-(0)&gt;0.5),(CROQUIS_DATOS!$C$1567+(IF(IF(MOD(MIN(INT(($A100-1)/2)+1,MAX(1,INT(((((CROQUIS_DATOS!$C$1484+CROQUIS_DATOS!$C$1485))-(CROQUIS_DATOS!$C$1484))+((CROQUIS_DATOS!$C$1486)*CROQUIS_DATOS!$C$1561-(0)*CROQUIS_DATOS!$C$1561))/CROQUIS_DATOS!$C$1568-0.000001))),2)=1,IF(INT(($A100-1)/2)+1&gt;MAX(1,INT(((((CROQUIS_DATOS!$C$1484+CROQUIS_DATOS!$C$1485))-(CROQUIS_DATOS!$C$1484))+((CROQUIS_DATOS!$C$1486)*CROQUIS_DATOS!$C$1561-(0)*CROQUIS_DATOS!$C$1561))/CROQUIS_DATOS!$C$1568-0.000001)),1,MOD($A100-1,2)),1-IF(INT(($A100-1)/2)+1&gt;MAX(1,INT(((((CROQUIS_DATOS!$C$1484+CROQUIS_DATOS!$C$1485))-(CROQUIS_DATOS!$C$1484))+((CROQUIS_DATOS!$C$1486)*CROQUIS_DATOS!$C$1561-(0)*CROQUIS_DATOS!$C$1561))/CROQUIS_DATOS!$C$1568-0.000001)),1,MOD($A100-1,2)))=1,MIN((CROQUIS_DATOS!$C$1486)*CROQUIS_DATOS!$C$1561,((CROQUIS_DATOS!$C$1484+CROQUIS_DATOS!$C$1485)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0">
        <f>IF(AND(CROQUIS_DATOS!$C$1472=1,CROQUIS_DATOS!$C$1478&gt;=2,((CROQUIS_DATOS!$C$1484+CROQUIS_DATOS!$C$1485))-(CROQUIS_DATOS!$C$1484)&gt;0.5,(CROQUIS_DATOS!$C$1476)-((CROQUIS_DATOS!$C$1486+CROQUIS_DATOS!$C$1487))&gt;0.5),(CROQUIS_DATOS!$C$1566+(IF(IF(MOD(MIN(INT(($A100-1)/2)+1,MAX(1,INT(((((CROQUIS_DATOS!$C$1484+CROQUIS_DATOS!$C$1485))-(CROQUIS_DATOS!$C$1484))+((CROQUIS_DATOS!$C$1476)*CROQUIS_DATOS!$C$1561-((CROQUIS_DATOS!$C$1486+CROQUIS_DATOS!$C$1487))*CROQUIS_DATOS!$C$1561))/CROQUIS_DATOS!$C$1568-0.000001))),2)=1,IF(INT(($A100-1)/2)+1&gt;MAX(1,INT(((((CROQUIS_DATOS!$C$1484+CROQUIS_DATOS!$C$1485))-(CROQUIS_DATOS!$C$1484))+((CROQUIS_DATOS!$C$1476)*CROQUIS_DATOS!$C$1561-((CROQUIS_DATOS!$C$1486+CROQUIS_DATOS!$C$1487))*CROQUIS_DATOS!$C$1561))/CROQUIS_DATOS!$C$1568-0.000001)),1,MOD($A100-1,2)),1-IF(INT(($A100-1)/2)+1&gt;MAX(1,INT(((((CROQUIS_DATOS!$C$1484+CROQUIS_DATOS!$C$1485))-(CROQUIS_DATOS!$C$1484))+((CROQUIS_DATOS!$C$1476)*CROQUIS_DATOS!$C$1561-((CROQUIS_DATOS!$C$1486+CROQUIS_DATOS!$C$1487))*CROQUIS_DATOS!$C$1561))/CROQUIS_DATOS!$C$1568-0.000001)),1,MOD($A100-1,2)))=1,MIN((CROQUIS_DATOS!$C$1476)*CROQUIS_DATOS!$C$1561,((CROQUIS_DATOS!$C$1484+CROQUIS_DATOS!$C$1485)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0">
        <f>IF(AND(CROQUIS_DATOS!$C$1472=1,CROQUIS_DATOS!$C$1478&gt;=2,((CROQUIS_DATOS!$C$1484+CROQUIS_DATOS!$C$1485))-(CROQUIS_DATOS!$C$1484)&gt;0.5,(CROQUIS_DATOS!$C$1476)-((CROQUIS_DATOS!$C$1486+CROQUIS_DATOS!$C$1487))&gt;0.5),(CROQUIS_DATOS!$C$1567+(IF(IF(MOD(MIN(INT(($A100-1)/2)+1,MAX(1,INT(((((CROQUIS_DATOS!$C$1484+CROQUIS_DATOS!$C$1485))-(CROQUIS_DATOS!$C$1484))+((CROQUIS_DATOS!$C$1476)*CROQUIS_DATOS!$C$1561-((CROQUIS_DATOS!$C$1486+CROQUIS_DATOS!$C$1487))*CROQUIS_DATOS!$C$1561))/CROQUIS_DATOS!$C$1568-0.000001))),2)=1,IF(INT(($A100-1)/2)+1&gt;MAX(1,INT(((((CROQUIS_DATOS!$C$1484+CROQUIS_DATOS!$C$1485))-(CROQUIS_DATOS!$C$1484))+((CROQUIS_DATOS!$C$1476)*CROQUIS_DATOS!$C$1561-((CROQUIS_DATOS!$C$1486+CROQUIS_DATOS!$C$1487))*CROQUIS_DATOS!$C$1561))/CROQUIS_DATOS!$C$1568-0.000001)),1,MOD($A100-1,2)),1-IF(INT(($A100-1)/2)+1&gt;MAX(1,INT(((((CROQUIS_DATOS!$C$1484+CROQUIS_DATOS!$C$1485))-(CROQUIS_DATOS!$C$1484))+((CROQUIS_DATOS!$C$1476)*CROQUIS_DATOS!$C$1561-((CROQUIS_DATOS!$C$1486+CROQUIS_DATOS!$C$1487))*CROQUIS_DATOS!$C$1561))/CROQUIS_DATOS!$C$1568-0.000001)),1,MOD($A100-1,2)))=1,MIN((CROQUIS_DATOS!$C$1476)*CROQUIS_DATOS!$C$1561,((CROQUIS_DATOS!$C$1484+CROQUIS_DATOS!$C$1485)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0">
        <f>IF(AND(CROQUIS_DATOS!$C$1472=1,CROQUIS_DATOS!$C$1478&gt;=3,((CROQUIS_DATOS!$C$1489+CROQUIS_DATOS!$C$1490))-(CROQUIS_DATOS!$C$1489)&gt;0.5,(CROQUIS_DATOS!$C$1491)-(0)&gt;0.5),(CROQUIS_DATOS!$C$1566+(IF(IF(MOD(MIN(INT(($A100-1)/2)+1,MAX(1,INT(((((CROQUIS_DATOS!$C$1489+CROQUIS_DATOS!$C$1490))-(CROQUIS_DATOS!$C$1489))+((CROQUIS_DATOS!$C$1491)*CROQUIS_DATOS!$C$1561-(0)*CROQUIS_DATOS!$C$1561))/CROQUIS_DATOS!$C$1568-0.000001))),2)=1,IF(INT(($A100-1)/2)+1&gt;MAX(1,INT(((((CROQUIS_DATOS!$C$1489+CROQUIS_DATOS!$C$1490))-(CROQUIS_DATOS!$C$1489))+((CROQUIS_DATOS!$C$1491)*CROQUIS_DATOS!$C$1561-(0)*CROQUIS_DATOS!$C$1561))/CROQUIS_DATOS!$C$1568-0.000001)),1,MOD($A100-1,2)),1-IF(INT(($A100-1)/2)+1&gt;MAX(1,INT(((((CROQUIS_DATOS!$C$1489+CROQUIS_DATOS!$C$1490))-(CROQUIS_DATOS!$C$1489))+((CROQUIS_DATOS!$C$1491)*CROQUIS_DATOS!$C$1561-(0)*CROQUIS_DATOS!$C$1561))/CROQUIS_DATOS!$C$1568-0.000001)),1,MOD($A100-1,2)))=1,MIN((CROQUIS_DATOS!$C$1491)*CROQUIS_DATOS!$C$1561,((CROQUIS_DATOS!$C$1489+CROQUIS_DATOS!$C$1490)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0">
        <f>IF(AND(CROQUIS_DATOS!$C$1472=1,CROQUIS_DATOS!$C$1478&gt;=3,((CROQUIS_DATOS!$C$1489+CROQUIS_DATOS!$C$1490))-(CROQUIS_DATOS!$C$1489)&gt;0.5,(CROQUIS_DATOS!$C$1491)-(0)&gt;0.5),(CROQUIS_DATOS!$C$1567+(IF(IF(MOD(MIN(INT(($A100-1)/2)+1,MAX(1,INT(((((CROQUIS_DATOS!$C$1489+CROQUIS_DATOS!$C$1490))-(CROQUIS_DATOS!$C$1489))+((CROQUIS_DATOS!$C$1491)*CROQUIS_DATOS!$C$1561-(0)*CROQUIS_DATOS!$C$1561))/CROQUIS_DATOS!$C$1568-0.000001))),2)=1,IF(INT(($A100-1)/2)+1&gt;MAX(1,INT(((((CROQUIS_DATOS!$C$1489+CROQUIS_DATOS!$C$1490))-(CROQUIS_DATOS!$C$1489))+((CROQUIS_DATOS!$C$1491)*CROQUIS_DATOS!$C$1561-(0)*CROQUIS_DATOS!$C$1561))/CROQUIS_DATOS!$C$1568-0.000001)),1,MOD($A100-1,2)),1-IF(INT(($A100-1)/2)+1&gt;MAX(1,INT(((((CROQUIS_DATOS!$C$1489+CROQUIS_DATOS!$C$1490))-(CROQUIS_DATOS!$C$1489))+((CROQUIS_DATOS!$C$1491)*CROQUIS_DATOS!$C$1561-(0)*CROQUIS_DATOS!$C$1561))/CROQUIS_DATOS!$C$1568-0.000001)),1,MOD($A100-1,2)))=1,MIN((CROQUIS_DATOS!$C$1491)*CROQUIS_DATOS!$C$1561,((CROQUIS_DATOS!$C$1489+CROQUIS_DATOS!$C$1490)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0">
        <f>IF(AND(CROQUIS_DATOS!$C$1472=1,CROQUIS_DATOS!$C$1478&gt;=3,((CROQUIS_DATOS!$C$1489+CROQUIS_DATOS!$C$1490))-(CROQUIS_DATOS!$C$1489)&gt;0.5,(CROQUIS_DATOS!$C$1476)-((CROQUIS_DATOS!$C$1491+CROQUIS_DATOS!$C$1492))&gt;0.5),(CROQUIS_DATOS!$C$1566+(IF(IF(MOD(MIN(INT(($A100-1)/2)+1,MAX(1,INT(((((CROQUIS_DATOS!$C$1489+CROQUIS_DATOS!$C$1490))-(CROQUIS_DATOS!$C$1489))+((CROQUIS_DATOS!$C$1476)*CROQUIS_DATOS!$C$1561-((CROQUIS_DATOS!$C$1491+CROQUIS_DATOS!$C$1492))*CROQUIS_DATOS!$C$1561))/CROQUIS_DATOS!$C$1568-0.000001))),2)=1,IF(INT(($A100-1)/2)+1&gt;MAX(1,INT(((((CROQUIS_DATOS!$C$1489+CROQUIS_DATOS!$C$1490))-(CROQUIS_DATOS!$C$1489))+((CROQUIS_DATOS!$C$1476)*CROQUIS_DATOS!$C$1561-((CROQUIS_DATOS!$C$1491+CROQUIS_DATOS!$C$1492))*CROQUIS_DATOS!$C$1561))/CROQUIS_DATOS!$C$1568-0.000001)),1,MOD($A100-1,2)),1-IF(INT(($A100-1)/2)+1&gt;MAX(1,INT(((((CROQUIS_DATOS!$C$1489+CROQUIS_DATOS!$C$1490))-(CROQUIS_DATOS!$C$1489))+((CROQUIS_DATOS!$C$1476)*CROQUIS_DATOS!$C$1561-((CROQUIS_DATOS!$C$1491+CROQUIS_DATOS!$C$1492))*CROQUIS_DATOS!$C$1561))/CROQUIS_DATOS!$C$1568-0.000001)),1,MOD($A100-1,2)))=1,MIN((CROQUIS_DATOS!$C$1476)*CROQUIS_DATOS!$C$1561,((CROQUIS_DATOS!$C$1489+CROQUIS_DATOS!$C$1490)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0">
        <f>IF(AND(CROQUIS_DATOS!$C$1472=1,CROQUIS_DATOS!$C$1478&gt;=3,((CROQUIS_DATOS!$C$1489+CROQUIS_DATOS!$C$1490))-(CROQUIS_DATOS!$C$1489)&gt;0.5,(CROQUIS_DATOS!$C$1476)-((CROQUIS_DATOS!$C$1491+CROQUIS_DATOS!$C$1492))&gt;0.5),(CROQUIS_DATOS!$C$1567+(IF(IF(MOD(MIN(INT(($A100-1)/2)+1,MAX(1,INT(((((CROQUIS_DATOS!$C$1489+CROQUIS_DATOS!$C$1490))-(CROQUIS_DATOS!$C$1489))+((CROQUIS_DATOS!$C$1476)*CROQUIS_DATOS!$C$1561-((CROQUIS_DATOS!$C$1491+CROQUIS_DATOS!$C$1492))*CROQUIS_DATOS!$C$1561))/CROQUIS_DATOS!$C$1568-0.000001))),2)=1,IF(INT(($A100-1)/2)+1&gt;MAX(1,INT(((((CROQUIS_DATOS!$C$1489+CROQUIS_DATOS!$C$1490))-(CROQUIS_DATOS!$C$1489))+((CROQUIS_DATOS!$C$1476)*CROQUIS_DATOS!$C$1561-((CROQUIS_DATOS!$C$1491+CROQUIS_DATOS!$C$1492))*CROQUIS_DATOS!$C$1561))/CROQUIS_DATOS!$C$1568-0.000001)),1,MOD($A100-1,2)),1-IF(INT(($A100-1)/2)+1&gt;MAX(1,INT(((((CROQUIS_DATOS!$C$1489+CROQUIS_DATOS!$C$1490))-(CROQUIS_DATOS!$C$1489))+((CROQUIS_DATOS!$C$1476)*CROQUIS_DATOS!$C$1561-((CROQUIS_DATOS!$C$1491+CROQUIS_DATOS!$C$1492))*CROQUIS_DATOS!$C$1561))/CROQUIS_DATOS!$C$1568-0.000001)),1,MOD($A100-1,2)))=1,MIN((CROQUIS_DATOS!$C$1476)*CROQUIS_DATOS!$C$1561,((CROQUIS_DATOS!$C$1489+CROQUIS_DATOS!$C$1490)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0">
        <f>IF(AND(CROQUIS_DATOS!$C$1472=1,CROQUIS_DATOS!$C$1478&gt;=4,((CROQUIS_DATOS!$C$1494+CROQUIS_DATOS!$C$1495))-(CROQUIS_DATOS!$C$1494)&gt;0.5,(CROQUIS_DATOS!$C$1496)-(0)&gt;0.5),(CROQUIS_DATOS!$C$1566+(IF(IF(MOD(MIN(INT(($A100-1)/2)+1,MAX(1,INT(((((CROQUIS_DATOS!$C$1494+CROQUIS_DATOS!$C$1495))-(CROQUIS_DATOS!$C$1494))+((CROQUIS_DATOS!$C$1496)*CROQUIS_DATOS!$C$1561-(0)*CROQUIS_DATOS!$C$1561))/CROQUIS_DATOS!$C$1568-0.000001))),2)=1,IF(INT(($A100-1)/2)+1&gt;MAX(1,INT(((((CROQUIS_DATOS!$C$1494+CROQUIS_DATOS!$C$1495))-(CROQUIS_DATOS!$C$1494))+((CROQUIS_DATOS!$C$1496)*CROQUIS_DATOS!$C$1561-(0)*CROQUIS_DATOS!$C$1561))/CROQUIS_DATOS!$C$1568-0.000001)),1,MOD($A100-1,2)),1-IF(INT(($A100-1)/2)+1&gt;MAX(1,INT(((((CROQUIS_DATOS!$C$1494+CROQUIS_DATOS!$C$1495))-(CROQUIS_DATOS!$C$1494))+((CROQUIS_DATOS!$C$1496)*CROQUIS_DATOS!$C$1561-(0)*CROQUIS_DATOS!$C$1561))/CROQUIS_DATOS!$C$1568-0.000001)),1,MOD($A100-1,2)))=1,MIN((CROQUIS_DATOS!$C$1496)*CROQUIS_DATOS!$C$1561,((CROQUIS_DATOS!$C$1494+CROQUIS_DATOS!$C$1495)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0">
        <f>IF(AND(CROQUIS_DATOS!$C$1472=1,CROQUIS_DATOS!$C$1478&gt;=4,((CROQUIS_DATOS!$C$1494+CROQUIS_DATOS!$C$1495))-(CROQUIS_DATOS!$C$1494)&gt;0.5,(CROQUIS_DATOS!$C$1496)-(0)&gt;0.5),(CROQUIS_DATOS!$C$1567+(IF(IF(MOD(MIN(INT(($A100-1)/2)+1,MAX(1,INT(((((CROQUIS_DATOS!$C$1494+CROQUIS_DATOS!$C$1495))-(CROQUIS_DATOS!$C$1494))+((CROQUIS_DATOS!$C$1496)*CROQUIS_DATOS!$C$1561-(0)*CROQUIS_DATOS!$C$1561))/CROQUIS_DATOS!$C$1568-0.000001))),2)=1,IF(INT(($A100-1)/2)+1&gt;MAX(1,INT(((((CROQUIS_DATOS!$C$1494+CROQUIS_DATOS!$C$1495))-(CROQUIS_DATOS!$C$1494))+((CROQUIS_DATOS!$C$1496)*CROQUIS_DATOS!$C$1561-(0)*CROQUIS_DATOS!$C$1561))/CROQUIS_DATOS!$C$1568-0.000001)),1,MOD($A100-1,2)),1-IF(INT(($A100-1)/2)+1&gt;MAX(1,INT(((((CROQUIS_DATOS!$C$1494+CROQUIS_DATOS!$C$1495))-(CROQUIS_DATOS!$C$1494))+((CROQUIS_DATOS!$C$1496)*CROQUIS_DATOS!$C$1561-(0)*CROQUIS_DATOS!$C$1561))/CROQUIS_DATOS!$C$1568-0.000001)),1,MOD($A100-1,2)))=1,MIN((CROQUIS_DATOS!$C$1496)*CROQUIS_DATOS!$C$1561,((CROQUIS_DATOS!$C$1494+CROQUIS_DATOS!$C$1495)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0">
        <f>IF(AND(CROQUIS_DATOS!$C$1472=1,CROQUIS_DATOS!$C$1478&gt;=4,((CROQUIS_DATOS!$C$1494+CROQUIS_DATOS!$C$1495))-(CROQUIS_DATOS!$C$1494)&gt;0.5,(CROQUIS_DATOS!$C$1476)-((CROQUIS_DATOS!$C$1496+CROQUIS_DATOS!$C$1497))&gt;0.5),(CROQUIS_DATOS!$C$1566+(IF(IF(MOD(MIN(INT(($A100-1)/2)+1,MAX(1,INT(((((CROQUIS_DATOS!$C$1494+CROQUIS_DATOS!$C$1495))-(CROQUIS_DATOS!$C$1494))+((CROQUIS_DATOS!$C$1476)*CROQUIS_DATOS!$C$1561-((CROQUIS_DATOS!$C$1496+CROQUIS_DATOS!$C$1497))*CROQUIS_DATOS!$C$1561))/CROQUIS_DATOS!$C$1568-0.000001))),2)=1,IF(INT(($A100-1)/2)+1&gt;MAX(1,INT(((((CROQUIS_DATOS!$C$1494+CROQUIS_DATOS!$C$1495))-(CROQUIS_DATOS!$C$1494))+((CROQUIS_DATOS!$C$1476)*CROQUIS_DATOS!$C$1561-((CROQUIS_DATOS!$C$1496+CROQUIS_DATOS!$C$1497))*CROQUIS_DATOS!$C$1561))/CROQUIS_DATOS!$C$1568-0.000001)),1,MOD($A100-1,2)),1-IF(INT(($A100-1)/2)+1&gt;MAX(1,INT(((((CROQUIS_DATOS!$C$1494+CROQUIS_DATOS!$C$1495))-(CROQUIS_DATOS!$C$1494))+((CROQUIS_DATOS!$C$1476)*CROQUIS_DATOS!$C$1561-((CROQUIS_DATOS!$C$1496+CROQUIS_DATOS!$C$1497))*CROQUIS_DATOS!$C$1561))/CROQUIS_DATOS!$C$1568-0.000001)),1,MOD($A100-1,2)))=1,MIN((CROQUIS_DATOS!$C$1476)*CROQUIS_DATOS!$C$1561,((CROQUIS_DATOS!$C$1494+CROQUIS_DATOS!$C$1495)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0">
        <f>IF(AND(CROQUIS_DATOS!$C$1472=1,CROQUIS_DATOS!$C$1478&gt;=4,((CROQUIS_DATOS!$C$1494+CROQUIS_DATOS!$C$1495))-(CROQUIS_DATOS!$C$1494)&gt;0.5,(CROQUIS_DATOS!$C$1476)-((CROQUIS_DATOS!$C$1496+CROQUIS_DATOS!$C$1497))&gt;0.5),(CROQUIS_DATOS!$C$1567+(IF(IF(MOD(MIN(INT(($A100-1)/2)+1,MAX(1,INT(((((CROQUIS_DATOS!$C$1494+CROQUIS_DATOS!$C$1495))-(CROQUIS_DATOS!$C$1494))+((CROQUIS_DATOS!$C$1476)*CROQUIS_DATOS!$C$1561-((CROQUIS_DATOS!$C$1496+CROQUIS_DATOS!$C$1497))*CROQUIS_DATOS!$C$1561))/CROQUIS_DATOS!$C$1568-0.000001))),2)=1,IF(INT(($A100-1)/2)+1&gt;MAX(1,INT(((((CROQUIS_DATOS!$C$1494+CROQUIS_DATOS!$C$1495))-(CROQUIS_DATOS!$C$1494))+((CROQUIS_DATOS!$C$1476)*CROQUIS_DATOS!$C$1561-((CROQUIS_DATOS!$C$1496+CROQUIS_DATOS!$C$1497))*CROQUIS_DATOS!$C$1561))/CROQUIS_DATOS!$C$1568-0.000001)),1,MOD($A100-1,2)),1-IF(INT(($A100-1)/2)+1&gt;MAX(1,INT(((((CROQUIS_DATOS!$C$1494+CROQUIS_DATOS!$C$1495))-(CROQUIS_DATOS!$C$1494))+((CROQUIS_DATOS!$C$1476)*CROQUIS_DATOS!$C$1561-((CROQUIS_DATOS!$C$1496+CROQUIS_DATOS!$C$1497))*CROQUIS_DATOS!$C$1561))/CROQUIS_DATOS!$C$1568-0.000001)),1,MOD($A100-1,2)))=1,MIN((CROQUIS_DATOS!$C$1476)*CROQUIS_DATOS!$C$1561,((CROQUIS_DATOS!$C$1494+CROQUIS_DATOS!$C$1495)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1">
      <c r="A101" t="n">
        <v>94</v>
      </c>
      <c r="N101">
        <f>IF(AND(CROQUIS_DATOS!$C$1472=1,1),(CROQUIS_DATOS!$C$1563+(IF(IF(IF(INT(($A101-1)/70)+1&gt;CROQUIS_DATOS!$C$1525,70,MOD($A101-1,70)+1)=1,0,IF(IF(INT(($A101-1)/70)+1&gt;CROQUIS_DATOS!$C$1525,70,MOD($A101-1,70)+1)&gt;2*CROQUIS_DATOS!$C$1541+1,IF(MOD(CROQUIS_DATOS!$C$1541,2)=1,1,0),IF(MOD(MIN(INT((IF(INT(($A101-1)/70)+1&gt;CROQUIS_DATOS!$C$1525,70,MOD($A101-1,70)+1)-2)/2)+1,CROQUIS_DATOS!$C$1541),2)=1,IF(MOD(IF(INT(($A101-1)/70)+1&gt;CROQUIS_DATOS!$C$1525,70,MOD($A101-1,70)+1)-2,2)=0,0,1),IF(MOD(IF(INT(($A101-1)/70)+1&gt;CROQUIS_DATOS!$C$1525,70,MOD($A101-1,70)+1)-2,2)=0,1,0))))=0,(INDEX($E$8:$E$23,MIN(INT(($A101-1)/70)+1,CROQUIS_DATOS!$C$1525))-INDEX($F$8:$F$23,MIN(INT(($A101-1)/70)+1,CROQUIS_DATOS!$C$1525))/2),(INDEX($E$8:$E$23,MIN(INT(($A101-1)/70)+1,CROQUIS_DATOS!$C$1525))+INDEX($F$8:$F$23,MIN(INT(($A101-1)/70)+1,CROQUIS_DATOS!$C$1525))/2)))*CROQUIS_DATOS!$C$1562),-1000)</f>
        <v>20.6724137931034</v>
      </c>
      <c r="O101">
        <f>IF(AND(CROQUIS_DATOS!$C$1472=1,1),(CROQUIS_DATOS!$C$1564+(IF(OR(IF(INT(($A101-1)/70)+1&gt;CROQUIS_DATOS!$C$1525,70,MOD($A101-1,70)+1)=1,IF(INT(($A101-1)/70)+1&gt;CROQUIS_DATOS!$C$1525,70,MOD($A101-1,70)+1)&gt;2*CROQUIS_DATOS!$C$1541+1),CROQUIS_DATOS!$C$1476,INDEX($H$8:$H$41,MIN(INT((IF(INT(($A101-1)/70)+1&gt;CROQUIS_DATOS!$C$1525,70,MOD($A101-1,70)+1)-2)/2)+1,CROQUIS_DATOS!$C$1541))))*CROQUIS_DATOS!$C$1561*CROQUIS_DATOS!$C$1562),-1000)</f>
        <v>29.5387931034483</v>
      </c>
      <c r="P101">
        <f>IF(AND(CROQUIS_DATOS!$C$1472=1,CROQUIS_DATOS!$C$1555=1),(CROQUIS_DATOS!$C$1563+(IF(IF(OR(MOD($A101-1,62)+1=1,IF(CHOOSE(MIN(MAX(MIN(INT(($A101-1)/62)+1,5),1),5),CROQUIS_DATOS!$C$1501,CROQUIS_DATOS!$C$1505,CROQUIS_DATOS!$C$1509,CROQUIS_DATOS!$C$1513,CROQUIS_DATOS!$C$1517)=1,CROQUIS_DATOS!$C$1557,0)=0),0,IF(MOD($A101-1,62)+1&gt;2*IF(CHOOSE(MIN(MAX(MIN(INT(($A101-1)/62)+1,5),1),5),CROQUIS_DATOS!$C$1501,CROQUIS_DATOS!$C$1505,CROQUIS_DATOS!$C$1509,CROQUIS_DATOS!$C$1513,CROQUIS_DATOS!$C$1517)=1,CROQUIS_DATOS!$C$1557,0)+1,IF(MOD(IF(CHOOSE(MIN(MAX(MIN(INT(($A101-1)/62)+1,5),1),5),CROQUIS_DATOS!$C$1501,CROQUIS_DATOS!$C$1505,CROQUIS_DATOS!$C$1509,CROQUIS_DATOS!$C$1513,CROQUIS_DATOS!$C$1517)=1,CROQUIS_DATOS!$C$1557,0),2)=1,1,0),IF(MOD(MIN(INT((MOD($A101-1,62)+1-2)/2)+1,MAX(IF(CHOOSE(MIN(MAX(MIN(INT(($A101-1)/62)+1,5),1),5),CROQUIS_DATOS!$C$1501,CROQUIS_DATOS!$C$1505,CROQUIS_DATOS!$C$1509,CROQUIS_DATOS!$C$1513,CROQUIS_DATOS!$C$1517)=1,CROQUIS_DATOS!$C$1557,0),1)),2)=1,IF(MOD(MOD($A101-1,62)+1-2,2)=0,0,1),IF(MOD(MOD($A101-1,62)+1-2,2)=0,1,0))))=0,(CHOOSE(MIN(MAX(MIN(INT(($A101-1)/62)+1,5),1),5),CROQUIS_DATOS!$C$1499,CROQUIS_DATOS!$C$1503,CROQUIS_DATOS!$C$1507,CROQUIS_DATOS!$C$1511,CROQUIS_DATOS!$C$1515)+IF(CHOOSE(MIN(MAX(MIN(INT(($A101-1)/62)+1,5),1),5),CROQUIS_DATOS!$C$1501,CROQUIS_DATOS!$C$1505,CROQUIS_DATOS!$C$1509,CROQUIS_DATOS!$C$1513,CROQUIS_DATOS!$C$1517)=1,CROQUIS_DATOS!$C$1526,0)),(CHOOSE(MIN(MAX(MIN(INT(($A101-1)/62)+1,5),1),5),CROQUIS_DATOS!$C$1499,CROQUIS_DATOS!$C$1503,CROQUIS_DATOS!$C$1507,CROQUIS_DATOS!$C$1511,CROQUIS_DATOS!$C$1515)+CHOOSE(MIN(MAX(MIN(INT(($A101-1)/62)+1,5),1),5),CROQUIS_DATOS!$C$1500,CROQUIS_DATOS!$C$1504,CROQUIS_DATOS!$C$1508,CROQUIS_DATOS!$C$1512,CROQUIS_DATOS!$C$1516)-IF(CHOOSE(MIN(MAX(MIN(INT(($A101-1)/62)+1,5),1),5),CROQUIS_DATOS!$C$1501,CROQUIS_DATOS!$C$1505,CROQUIS_DATOS!$C$1509,CROQUIS_DATOS!$C$1513,CROQUIS_DATOS!$C$1517)=1,CROQUIS_DATOS!$C$1526,0))))*CROQUIS_DATOS!$C$1562),-1000)</f>
        <v>-1000</v>
      </c>
      <c r="Q101">
        <f>IF(AND(CROQUIS_DATOS!$C$1472=1,CROQUIS_DATOS!$C$1555=1),(CROQUIS_DATOS!$C$1564+(IF(OR(OR(MOD($A101-1,62)+1=1,IF(CHOOSE(MIN(MAX(MIN(INT(($A101-1)/62)+1,5),1),5),CROQUIS_DATOS!$C$1501,CROQUIS_DATOS!$C$1505,CROQUIS_DATOS!$C$1509,CROQUIS_DATOS!$C$1513,CROQUIS_DATOS!$C$1517)=1,CROQUIS_DATOS!$C$1557,0)=0),MOD($A101-1,62)+1&gt;2*IF(CHOOSE(MIN(MAX(MIN(INT(($A101-1)/62)+1,5),1),5),CROQUIS_DATOS!$C$1501,CROQUIS_DATOS!$C$1505,CROQUIS_DATOS!$C$1509,CROQUIS_DATOS!$C$1513,CROQUIS_DATOS!$C$1517)=1,CROQUIS_DATOS!$C$1557,0)+1),CROQUIS_DATOS!$C$1476,MIN(INT((MOD($A101-1,62)+1-2)/2)+1,MAX(IF(CHOOSE(MIN(MAX(MIN(INT(($A101-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1">
        <f>IF(AND(CROQUIS_DATOS!$C$1472=1,1),(CROQUIS_DATOS!$C$1563+(MIN(INT(($A101-1)/2)+1,CROQUIS_DATOS!$C$1558)*CROQUIS_DATOS!$C$1559)*CROQUIS_DATOS!$C$1562),-1000)</f>
        <v>82.2281167108753</v>
      </c>
      <c r="U101">
        <f>IF(AND(CROQUIS_DATOS!$C$1472=1,1),(CROQUIS_DATOS!$C$1564+(IF(INT(($A101-1)/2)+1&gt;CROQUIS_DATOS!$C$1558,IF(MOD(CROQUIS_DATOS!$C$1558,2)=1,CROQUIS_DATOS!$C$1476+CROQUIS_DATOS!$C$1528,CROQUIS_DATOS!$C$1476),IF(IF(MOD(MIN(INT(($A101-1)/2)+1,CROQUIS_DATOS!$C$1558),2)=1,MOD($A101-1,2),1-MOD($A101-1,2))=1,CROQUIS_DATOS!$C$1476+CROQUIS_DATOS!$C$1528,CROQUIS_DATOS!$C$1476)))*CROQUIS_DATOS!$C$1561*CROQUIS_DATOS!$C$1562),-1000)</f>
        <v>43</v>
      </c>
      <c r="BZ101">
        <f>IF(AND(CROQUIS_DATOS!$C$1472=1,CROQUIS_DATOS!$C$1500&gt;0,((CROQUIS_DATOS!$C$1499+CROQUIS_DATOS!$C$1500))-(CROQUIS_DATOS!$C$1499)&gt;0.5,(CROQUIS_DATOS!$C$1476)-(0)&gt;0.5),(CROQUIS_DATOS!$C$1566+(IF(IF(MOD(MIN(INT(($A101-1)/2)+1,MAX(1,INT(((((CROQUIS_DATOS!$C$1499+CROQUIS_DATOS!$C$1500))-(CROQUIS_DATOS!$C$1499))+((CROQUIS_DATOS!$C$1476)*CROQUIS_DATOS!$C$1561-(0)*CROQUIS_DATOS!$C$1561))/CROQUIS_DATOS!$C$1568-0.000001))),2)=1,IF(INT(($A101-1)/2)+1&gt;MAX(1,INT(((((CROQUIS_DATOS!$C$1499+CROQUIS_DATOS!$C$1500))-(CROQUIS_DATOS!$C$1499))+((CROQUIS_DATOS!$C$1476)*CROQUIS_DATOS!$C$1561-(0)*CROQUIS_DATOS!$C$1561))/CROQUIS_DATOS!$C$1568-0.000001)),1,MOD($A101-1,2)),1-IF(INT(($A101-1)/2)+1&gt;MAX(1,INT(((((CROQUIS_DATOS!$C$1499+CROQUIS_DATOS!$C$1500))-(CROQUIS_DATOS!$C$1499))+((CROQUIS_DATOS!$C$1476)*CROQUIS_DATOS!$C$1561-(0)*CROQUIS_DATOS!$C$1561))/CROQUIS_DATOS!$C$1568-0.000001)),1,MOD($A101-1,2)))=1,MIN((CROQUIS_DATOS!$C$1476)*CROQUIS_DATOS!$C$1561,((CROQUIS_DATOS!$C$1499+CROQUIS_DATOS!$C$1500)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1">
        <f>IF(AND(CROQUIS_DATOS!$C$1472=1,CROQUIS_DATOS!$C$1500&gt;0,((CROQUIS_DATOS!$C$1499+CROQUIS_DATOS!$C$1500))-(CROQUIS_DATOS!$C$1499)&gt;0.5,(CROQUIS_DATOS!$C$1476)-(0)&gt;0.5),(CROQUIS_DATOS!$C$1567+(IF(IF(MOD(MIN(INT(($A101-1)/2)+1,MAX(1,INT(((((CROQUIS_DATOS!$C$1499+CROQUIS_DATOS!$C$1500))-(CROQUIS_DATOS!$C$1499))+((CROQUIS_DATOS!$C$1476)*CROQUIS_DATOS!$C$1561-(0)*CROQUIS_DATOS!$C$1561))/CROQUIS_DATOS!$C$1568-0.000001))),2)=1,IF(INT(($A101-1)/2)+1&gt;MAX(1,INT(((((CROQUIS_DATOS!$C$1499+CROQUIS_DATOS!$C$1500))-(CROQUIS_DATOS!$C$1499))+((CROQUIS_DATOS!$C$1476)*CROQUIS_DATOS!$C$1561-(0)*CROQUIS_DATOS!$C$1561))/CROQUIS_DATOS!$C$1568-0.000001)),1,MOD($A101-1,2)),1-IF(INT(($A101-1)/2)+1&gt;MAX(1,INT(((((CROQUIS_DATOS!$C$1499+CROQUIS_DATOS!$C$1500))-(CROQUIS_DATOS!$C$1499))+((CROQUIS_DATOS!$C$1476)*CROQUIS_DATOS!$C$1561-(0)*CROQUIS_DATOS!$C$1561))/CROQUIS_DATOS!$C$1568-0.000001)),1,MOD($A101-1,2)))=1,MIN((CROQUIS_DATOS!$C$1476)*CROQUIS_DATOS!$C$1561,((CROQUIS_DATOS!$C$1499+CROQUIS_DATOS!$C$1500)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1">
        <f>IF(AND(CROQUIS_DATOS!$C$1472=1,CROQUIS_DATOS!$C$1504&gt;0,((CROQUIS_DATOS!$C$1503+CROQUIS_DATOS!$C$1504))-(CROQUIS_DATOS!$C$1503)&gt;0.5,(CROQUIS_DATOS!$C$1476)-(0)&gt;0.5),(CROQUIS_DATOS!$C$1566+(IF(IF(MOD(MIN(INT(($A101-1)/2)+1,MAX(1,INT(((((CROQUIS_DATOS!$C$1503+CROQUIS_DATOS!$C$1504))-(CROQUIS_DATOS!$C$1503))+((CROQUIS_DATOS!$C$1476)*CROQUIS_DATOS!$C$1561-(0)*CROQUIS_DATOS!$C$1561))/CROQUIS_DATOS!$C$1568-0.000001))),2)=1,IF(INT(($A101-1)/2)+1&gt;MAX(1,INT(((((CROQUIS_DATOS!$C$1503+CROQUIS_DATOS!$C$1504))-(CROQUIS_DATOS!$C$1503))+((CROQUIS_DATOS!$C$1476)*CROQUIS_DATOS!$C$1561-(0)*CROQUIS_DATOS!$C$1561))/CROQUIS_DATOS!$C$1568-0.000001)),1,MOD($A101-1,2)),1-IF(INT(($A101-1)/2)+1&gt;MAX(1,INT(((((CROQUIS_DATOS!$C$1503+CROQUIS_DATOS!$C$1504))-(CROQUIS_DATOS!$C$1503))+((CROQUIS_DATOS!$C$1476)*CROQUIS_DATOS!$C$1561-(0)*CROQUIS_DATOS!$C$1561))/CROQUIS_DATOS!$C$1568-0.000001)),1,MOD($A101-1,2)))=1,MIN((CROQUIS_DATOS!$C$1476)*CROQUIS_DATOS!$C$1561,((CROQUIS_DATOS!$C$1503+CROQUIS_DATOS!$C$1504)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1">
        <f>IF(AND(CROQUIS_DATOS!$C$1472=1,CROQUIS_DATOS!$C$1504&gt;0,((CROQUIS_DATOS!$C$1503+CROQUIS_DATOS!$C$1504))-(CROQUIS_DATOS!$C$1503)&gt;0.5,(CROQUIS_DATOS!$C$1476)-(0)&gt;0.5),(CROQUIS_DATOS!$C$1567+(IF(IF(MOD(MIN(INT(($A101-1)/2)+1,MAX(1,INT(((((CROQUIS_DATOS!$C$1503+CROQUIS_DATOS!$C$1504))-(CROQUIS_DATOS!$C$1503))+((CROQUIS_DATOS!$C$1476)*CROQUIS_DATOS!$C$1561-(0)*CROQUIS_DATOS!$C$1561))/CROQUIS_DATOS!$C$1568-0.000001))),2)=1,IF(INT(($A101-1)/2)+1&gt;MAX(1,INT(((((CROQUIS_DATOS!$C$1503+CROQUIS_DATOS!$C$1504))-(CROQUIS_DATOS!$C$1503))+((CROQUIS_DATOS!$C$1476)*CROQUIS_DATOS!$C$1561-(0)*CROQUIS_DATOS!$C$1561))/CROQUIS_DATOS!$C$1568-0.000001)),1,MOD($A101-1,2)),1-IF(INT(($A101-1)/2)+1&gt;MAX(1,INT(((((CROQUIS_DATOS!$C$1503+CROQUIS_DATOS!$C$1504))-(CROQUIS_DATOS!$C$1503))+((CROQUIS_DATOS!$C$1476)*CROQUIS_DATOS!$C$1561-(0)*CROQUIS_DATOS!$C$1561))/CROQUIS_DATOS!$C$1568-0.000001)),1,MOD($A101-1,2)))=1,MIN((CROQUIS_DATOS!$C$1476)*CROQUIS_DATOS!$C$1561,((CROQUIS_DATOS!$C$1503+CROQUIS_DATOS!$C$1504)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1">
        <f>IF(AND(CROQUIS_DATOS!$C$1472=1,CROQUIS_DATOS!$C$1508&gt;0,((CROQUIS_DATOS!$C$1507+CROQUIS_DATOS!$C$1508))-(CROQUIS_DATOS!$C$1507)&gt;0.5,(CROQUIS_DATOS!$C$1476)-(0)&gt;0.5),(CROQUIS_DATOS!$C$1566+(IF(IF(MOD(MIN(INT(($A101-1)/2)+1,MAX(1,INT(((((CROQUIS_DATOS!$C$1507+CROQUIS_DATOS!$C$1508))-(CROQUIS_DATOS!$C$1507))+((CROQUIS_DATOS!$C$1476)*CROQUIS_DATOS!$C$1561-(0)*CROQUIS_DATOS!$C$1561))/CROQUIS_DATOS!$C$1568-0.000001))),2)=1,IF(INT(($A101-1)/2)+1&gt;MAX(1,INT(((((CROQUIS_DATOS!$C$1507+CROQUIS_DATOS!$C$1508))-(CROQUIS_DATOS!$C$1507))+((CROQUIS_DATOS!$C$1476)*CROQUIS_DATOS!$C$1561-(0)*CROQUIS_DATOS!$C$1561))/CROQUIS_DATOS!$C$1568-0.000001)),1,MOD($A101-1,2)),1-IF(INT(($A101-1)/2)+1&gt;MAX(1,INT(((((CROQUIS_DATOS!$C$1507+CROQUIS_DATOS!$C$1508))-(CROQUIS_DATOS!$C$1507))+((CROQUIS_DATOS!$C$1476)*CROQUIS_DATOS!$C$1561-(0)*CROQUIS_DATOS!$C$1561))/CROQUIS_DATOS!$C$1568-0.000001)),1,MOD($A101-1,2)))=1,MIN((CROQUIS_DATOS!$C$1476)*CROQUIS_DATOS!$C$1561,((CROQUIS_DATOS!$C$1507+CROQUIS_DATOS!$C$1508)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1">
        <f>IF(AND(CROQUIS_DATOS!$C$1472=1,CROQUIS_DATOS!$C$1508&gt;0,((CROQUIS_DATOS!$C$1507+CROQUIS_DATOS!$C$1508))-(CROQUIS_DATOS!$C$1507)&gt;0.5,(CROQUIS_DATOS!$C$1476)-(0)&gt;0.5),(CROQUIS_DATOS!$C$1567+(IF(IF(MOD(MIN(INT(($A101-1)/2)+1,MAX(1,INT(((((CROQUIS_DATOS!$C$1507+CROQUIS_DATOS!$C$1508))-(CROQUIS_DATOS!$C$1507))+((CROQUIS_DATOS!$C$1476)*CROQUIS_DATOS!$C$1561-(0)*CROQUIS_DATOS!$C$1561))/CROQUIS_DATOS!$C$1568-0.000001))),2)=1,IF(INT(($A101-1)/2)+1&gt;MAX(1,INT(((((CROQUIS_DATOS!$C$1507+CROQUIS_DATOS!$C$1508))-(CROQUIS_DATOS!$C$1507))+((CROQUIS_DATOS!$C$1476)*CROQUIS_DATOS!$C$1561-(0)*CROQUIS_DATOS!$C$1561))/CROQUIS_DATOS!$C$1568-0.000001)),1,MOD($A101-1,2)),1-IF(INT(($A101-1)/2)+1&gt;MAX(1,INT(((((CROQUIS_DATOS!$C$1507+CROQUIS_DATOS!$C$1508))-(CROQUIS_DATOS!$C$1507))+((CROQUIS_DATOS!$C$1476)*CROQUIS_DATOS!$C$1561-(0)*CROQUIS_DATOS!$C$1561))/CROQUIS_DATOS!$C$1568-0.000001)),1,MOD($A101-1,2)))=1,MIN((CROQUIS_DATOS!$C$1476)*CROQUIS_DATOS!$C$1561,((CROQUIS_DATOS!$C$1507+CROQUIS_DATOS!$C$1508)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1">
        <f>IF(AND(CROQUIS_DATOS!$C$1472=1,CROQUIS_DATOS!$C$1512&gt;0,((CROQUIS_DATOS!$C$1511+CROQUIS_DATOS!$C$1512))-(CROQUIS_DATOS!$C$1511)&gt;0.5,(CROQUIS_DATOS!$C$1476)-(0)&gt;0.5),(CROQUIS_DATOS!$C$1566+(IF(IF(MOD(MIN(INT(($A101-1)/2)+1,MAX(1,INT(((((CROQUIS_DATOS!$C$1511+CROQUIS_DATOS!$C$1512))-(CROQUIS_DATOS!$C$1511))+((CROQUIS_DATOS!$C$1476)*CROQUIS_DATOS!$C$1561-(0)*CROQUIS_DATOS!$C$1561))/CROQUIS_DATOS!$C$1568-0.000001))),2)=1,IF(INT(($A101-1)/2)+1&gt;MAX(1,INT(((((CROQUIS_DATOS!$C$1511+CROQUIS_DATOS!$C$1512))-(CROQUIS_DATOS!$C$1511))+((CROQUIS_DATOS!$C$1476)*CROQUIS_DATOS!$C$1561-(0)*CROQUIS_DATOS!$C$1561))/CROQUIS_DATOS!$C$1568-0.000001)),1,MOD($A101-1,2)),1-IF(INT(($A101-1)/2)+1&gt;MAX(1,INT(((((CROQUIS_DATOS!$C$1511+CROQUIS_DATOS!$C$1512))-(CROQUIS_DATOS!$C$1511))+((CROQUIS_DATOS!$C$1476)*CROQUIS_DATOS!$C$1561-(0)*CROQUIS_DATOS!$C$1561))/CROQUIS_DATOS!$C$1568-0.000001)),1,MOD($A101-1,2)))=1,MIN((CROQUIS_DATOS!$C$1476)*CROQUIS_DATOS!$C$1561,((CROQUIS_DATOS!$C$1511+CROQUIS_DATOS!$C$1512)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1">
        <f>IF(AND(CROQUIS_DATOS!$C$1472=1,CROQUIS_DATOS!$C$1512&gt;0,((CROQUIS_DATOS!$C$1511+CROQUIS_DATOS!$C$1512))-(CROQUIS_DATOS!$C$1511)&gt;0.5,(CROQUIS_DATOS!$C$1476)-(0)&gt;0.5),(CROQUIS_DATOS!$C$1567+(IF(IF(MOD(MIN(INT(($A101-1)/2)+1,MAX(1,INT(((((CROQUIS_DATOS!$C$1511+CROQUIS_DATOS!$C$1512))-(CROQUIS_DATOS!$C$1511))+((CROQUIS_DATOS!$C$1476)*CROQUIS_DATOS!$C$1561-(0)*CROQUIS_DATOS!$C$1561))/CROQUIS_DATOS!$C$1568-0.000001))),2)=1,IF(INT(($A101-1)/2)+1&gt;MAX(1,INT(((((CROQUIS_DATOS!$C$1511+CROQUIS_DATOS!$C$1512))-(CROQUIS_DATOS!$C$1511))+((CROQUIS_DATOS!$C$1476)*CROQUIS_DATOS!$C$1561-(0)*CROQUIS_DATOS!$C$1561))/CROQUIS_DATOS!$C$1568-0.000001)),1,MOD($A101-1,2)),1-IF(INT(($A101-1)/2)+1&gt;MAX(1,INT(((((CROQUIS_DATOS!$C$1511+CROQUIS_DATOS!$C$1512))-(CROQUIS_DATOS!$C$1511))+((CROQUIS_DATOS!$C$1476)*CROQUIS_DATOS!$C$1561-(0)*CROQUIS_DATOS!$C$1561))/CROQUIS_DATOS!$C$1568-0.000001)),1,MOD($A101-1,2)))=1,MIN((CROQUIS_DATOS!$C$1476)*CROQUIS_DATOS!$C$1561,((CROQUIS_DATOS!$C$1511+CROQUIS_DATOS!$C$1512)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1">
        <f>IF(AND(CROQUIS_DATOS!$C$1472=1,CROQUIS_DATOS!$C$1516&gt;0,((CROQUIS_DATOS!$C$1515+CROQUIS_DATOS!$C$1516))-(CROQUIS_DATOS!$C$1515)&gt;0.5,(CROQUIS_DATOS!$C$1476)-(0)&gt;0.5),(CROQUIS_DATOS!$C$1566+(IF(IF(MOD(MIN(INT(($A101-1)/2)+1,MAX(1,INT(((((CROQUIS_DATOS!$C$1515+CROQUIS_DATOS!$C$1516))-(CROQUIS_DATOS!$C$1515))+((CROQUIS_DATOS!$C$1476)*CROQUIS_DATOS!$C$1561-(0)*CROQUIS_DATOS!$C$1561))/CROQUIS_DATOS!$C$1568-0.000001))),2)=1,IF(INT(($A101-1)/2)+1&gt;MAX(1,INT(((((CROQUIS_DATOS!$C$1515+CROQUIS_DATOS!$C$1516))-(CROQUIS_DATOS!$C$1515))+((CROQUIS_DATOS!$C$1476)*CROQUIS_DATOS!$C$1561-(0)*CROQUIS_DATOS!$C$1561))/CROQUIS_DATOS!$C$1568-0.000001)),1,MOD($A101-1,2)),1-IF(INT(($A101-1)/2)+1&gt;MAX(1,INT(((((CROQUIS_DATOS!$C$1515+CROQUIS_DATOS!$C$1516))-(CROQUIS_DATOS!$C$1515))+((CROQUIS_DATOS!$C$1476)*CROQUIS_DATOS!$C$1561-(0)*CROQUIS_DATOS!$C$1561))/CROQUIS_DATOS!$C$1568-0.000001)),1,MOD($A101-1,2)))=1,MIN((CROQUIS_DATOS!$C$1476)*CROQUIS_DATOS!$C$1561,((CROQUIS_DATOS!$C$1515+CROQUIS_DATOS!$C$1516)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1">
        <f>IF(AND(CROQUIS_DATOS!$C$1472=1,CROQUIS_DATOS!$C$1516&gt;0,((CROQUIS_DATOS!$C$1515+CROQUIS_DATOS!$C$1516))-(CROQUIS_DATOS!$C$1515)&gt;0.5,(CROQUIS_DATOS!$C$1476)-(0)&gt;0.5),(CROQUIS_DATOS!$C$1567+(IF(IF(MOD(MIN(INT(($A101-1)/2)+1,MAX(1,INT(((((CROQUIS_DATOS!$C$1515+CROQUIS_DATOS!$C$1516))-(CROQUIS_DATOS!$C$1515))+((CROQUIS_DATOS!$C$1476)*CROQUIS_DATOS!$C$1561-(0)*CROQUIS_DATOS!$C$1561))/CROQUIS_DATOS!$C$1568-0.000001))),2)=1,IF(INT(($A101-1)/2)+1&gt;MAX(1,INT(((((CROQUIS_DATOS!$C$1515+CROQUIS_DATOS!$C$1516))-(CROQUIS_DATOS!$C$1515))+((CROQUIS_DATOS!$C$1476)*CROQUIS_DATOS!$C$1561-(0)*CROQUIS_DATOS!$C$1561))/CROQUIS_DATOS!$C$1568-0.000001)),1,MOD($A101-1,2)),1-IF(INT(($A101-1)/2)+1&gt;MAX(1,INT(((((CROQUIS_DATOS!$C$1515+CROQUIS_DATOS!$C$1516))-(CROQUIS_DATOS!$C$1515))+((CROQUIS_DATOS!$C$1476)*CROQUIS_DATOS!$C$1561-(0)*CROQUIS_DATOS!$C$1561))/CROQUIS_DATOS!$C$1568-0.000001)),1,MOD($A101-1,2)))=1,MIN((CROQUIS_DATOS!$C$1476)*CROQUIS_DATOS!$C$1561,((CROQUIS_DATOS!$C$1515+CROQUIS_DATOS!$C$1516)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1">
        <f>IF(AND(CROQUIS_DATOS!$C$1472=1,CROQUIS_DATOS!$C$1478&gt;=1,((CROQUIS_DATOS!$C$1479+CROQUIS_DATOS!$C$1480))-(CROQUIS_DATOS!$C$1479)&gt;0.5,(CROQUIS_DATOS!$C$1481)-(0)&gt;0.5),(CROQUIS_DATOS!$C$1566+(IF(IF(MOD(MIN(INT(($A101-1)/2)+1,MAX(1,INT(((((CROQUIS_DATOS!$C$1479+CROQUIS_DATOS!$C$1480))-(CROQUIS_DATOS!$C$1479))+((CROQUIS_DATOS!$C$1481)*CROQUIS_DATOS!$C$1561-(0)*CROQUIS_DATOS!$C$1561))/CROQUIS_DATOS!$C$1568-0.000001))),2)=1,IF(INT(($A101-1)/2)+1&gt;MAX(1,INT(((((CROQUIS_DATOS!$C$1479+CROQUIS_DATOS!$C$1480))-(CROQUIS_DATOS!$C$1479))+((CROQUIS_DATOS!$C$1481)*CROQUIS_DATOS!$C$1561-(0)*CROQUIS_DATOS!$C$1561))/CROQUIS_DATOS!$C$1568-0.000001)),1,MOD($A101-1,2)),1-IF(INT(($A101-1)/2)+1&gt;MAX(1,INT(((((CROQUIS_DATOS!$C$1479+CROQUIS_DATOS!$C$1480))-(CROQUIS_DATOS!$C$1479))+((CROQUIS_DATOS!$C$1481)*CROQUIS_DATOS!$C$1561-(0)*CROQUIS_DATOS!$C$1561))/CROQUIS_DATOS!$C$1568-0.000001)),1,MOD($A101-1,2)))=1,MIN((CROQUIS_DATOS!$C$1481)*CROQUIS_DATOS!$C$1561,((CROQUIS_DATOS!$C$1479+CROQUIS_DATOS!$C$1480)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1">
        <f>IF(AND(CROQUIS_DATOS!$C$1472=1,CROQUIS_DATOS!$C$1478&gt;=1,((CROQUIS_DATOS!$C$1479+CROQUIS_DATOS!$C$1480))-(CROQUIS_DATOS!$C$1479)&gt;0.5,(CROQUIS_DATOS!$C$1481)-(0)&gt;0.5),(CROQUIS_DATOS!$C$1567+(IF(IF(MOD(MIN(INT(($A101-1)/2)+1,MAX(1,INT(((((CROQUIS_DATOS!$C$1479+CROQUIS_DATOS!$C$1480))-(CROQUIS_DATOS!$C$1479))+((CROQUIS_DATOS!$C$1481)*CROQUIS_DATOS!$C$1561-(0)*CROQUIS_DATOS!$C$1561))/CROQUIS_DATOS!$C$1568-0.000001))),2)=1,IF(INT(($A101-1)/2)+1&gt;MAX(1,INT(((((CROQUIS_DATOS!$C$1479+CROQUIS_DATOS!$C$1480))-(CROQUIS_DATOS!$C$1479))+((CROQUIS_DATOS!$C$1481)*CROQUIS_DATOS!$C$1561-(0)*CROQUIS_DATOS!$C$1561))/CROQUIS_DATOS!$C$1568-0.000001)),1,MOD($A101-1,2)),1-IF(INT(($A101-1)/2)+1&gt;MAX(1,INT(((((CROQUIS_DATOS!$C$1479+CROQUIS_DATOS!$C$1480))-(CROQUIS_DATOS!$C$1479))+((CROQUIS_DATOS!$C$1481)*CROQUIS_DATOS!$C$1561-(0)*CROQUIS_DATOS!$C$1561))/CROQUIS_DATOS!$C$1568-0.000001)),1,MOD($A101-1,2)))=1,MIN((CROQUIS_DATOS!$C$1481)*CROQUIS_DATOS!$C$1561,((CROQUIS_DATOS!$C$1479+CROQUIS_DATOS!$C$1480)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1">
        <f>IF(AND(CROQUIS_DATOS!$C$1472=1,CROQUIS_DATOS!$C$1478&gt;=1,((CROQUIS_DATOS!$C$1479+CROQUIS_DATOS!$C$1480))-(CROQUIS_DATOS!$C$1479)&gt;0.5,(CROQUIS_DATOS!$C$1476)-((CROQUIS_DATOS!$C$1481+CROQUIS_DATOS!$C$1482))&gt;0.5),(CROQUIS_DATOS!$C$1566+(IF(IF(MOD(MIN(INT(($A101-1)/2)+1,MAX(1,INT(((((CROQUIS_DATOS!$C$1479+CROQUIS_DATOS!$C$1480))-(CROQUIS_DATOS!$C$1479))+((CROQUIS_DATOS!$C$1476)*CROQUIS_DATOS!$C$1561-((CROQUIS_DATOS!$C$1481+CROQUIS_DATOS!$C$1482))*CROQUIS_DATOS!$C$1561))/CROQUIS_DATOS!$C$1568-0.000001))),2)=1,IF(INT(($A101-1)/2)+1&gt;MAX(1,INT(((((CROQUIS_DATOS!$C$1479+CROQUIS_DATOS!$C$1480))-(CROQUIS_DATOS!$C$1479))+((CROQUIS_DATOS!$C$1476)*CROQUIS_DATOS!$C$1561-((CROQUIS_DATOS!$C$1481+CROQUIS_DATOS!$C$1482))*CROQUIS_DATOS!$C$1561))/CROQUIS_DATOS!$C$1568-0.000001)),1,MOD($A101-1,2)),1-IF(INT(($A101-1)/2)+1&gt;MAX(1,INT(((((CROQUIS_DATOS!$C$1479+CROQUIS_DATOS!$C$1480))-(CROQUIS_DATOS!$C$1479))+((CROQUIS_DATOS!$C$1476)*CROQUIS_DATOS!$C$1561-((CROQUIS_DATOS!$C$1481+CROQUIS_DATOS!$C$1482))*CROQUIS_DATOS!$C$1561))/CROQUIS_DATOS!$C$1568-0.000001)),1,MOD($A101-1,2)))=1,MIN((CROQUIS_DATOS!$C$1476)*CROQUIS_DATOS!$C$1561,((CROQUIS_DATOS!$C$1479+CROQUIS_DATOS!$C$1480)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1">
        <f>IF(AND(CROQUIS_DATOS!$C$1472=1,CROQUIS_DATOS!$C$1478&gt;=1,((CROQUIS_DATOS!$C$1479+CROQUIS_DATOS!$C$1480))-(CROQUIS_DATOS!$C$1479)&gt;0.5,(CROQUIS_DATOS!$C$1476)-((CROQUIS_DATOS!$C$1481+CROQUIS_DATOS!$C$1482))&gt;0.5),(CROQUIS_DATOS!$C$1567+(IF(IF(MOD(MIN(INT(($A101-1)/2)+1,MAX(1,INT(((((CROQUIS_DATOS!$C$1479+CROQUIS_DATOS!$C$1480))-(CROQUIS_DATOS!$C$1479))+((CROQUIS_DATOS!$C$1476)*CROQUIS_DATOS!$C$1561-((CROQUIS_DATOS!$C$1481+CROQUIS_DATOS!$C$1482))*CROQUIS_DATOS!$C$1561))/CROQUIS_DATOS!$C$1568-0.000001))),2)=1,IF(INT(($A101-1)/2)+1&gt;MAX(1,INT(((((CROQUIS_DATOS!$C$1479+CROQUIS_DATOS!$C$1480))-(CROQUIS_DATOS!$C$1479))+((CROQUIS_DATOS!$C$1476)*CROQUIS_DATOS!$C$1561-((CROQUIS_DATOS!$C$1481+CROQUIS_DATOS!$C$1482))*CROQUIS_DATOS!$C$1561))/CROQUIS_DATOS!$C$1568-0.000001)),1,MOD($A101-1,2)),1-IF(INT(($A101-1)/2)+1&gt;MAX(1,INT(((((CROQUIS_DATOS!$C$1479+CROQUIS_DATOS!$C$1480))-(CROQUIS_DATOS!$C$1479))+((CROQUIS_DATOS!$C$1476)*CROQUIS_DATOS!$C$1561-((CROQUIS_DATOS!$C$1481+CROQUIS_DATOS!$C$1482))*CROQUIS_DATOS!$C$1561))/CROQUIS_DATOS!$C$1568-0.000001)),1,MOD($A101-1,2)))=1,MIN((CROQUIS_DATOS!$C$1476)*CROQUIS_DATOS!$C$1561,((CROQUIS_DATOS!$C$1479+CROQUIS_DATOS!$C$1480)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1">
        <f>IF(AND(CROQUIS_DATOS!$C$1472=1,CROQUIS_DATOS!$C$1478&gt;=2,((CROQUIS_DATOS!$C$1484+CROQUIS_DATOS!$C$1485))-(CROQUIS_DATOS!$C$1484)&gt;0.5,(CROQUIS_DATOS!$C$1486)-(0)&gt;0.5),(CROQUIS_DATOS!$C$1566+(IF(IF(MOD(MIN(INT(($A101-1)/2)+1,MAX(1,INT(((((CROQUIS_DATOS!$C$1484+CROQUIS_DATOS!$C$1485))-(CROQUIS_DATOS!$C$1484))+((CROQUIS_DATOS!$C$1486)*CROQUIS_DATOS!$C$1561-(0)*CROQUIS_DATOS!$C$1561))/CROQUIS_DATOS!$C$1568-0.000001))),2)=1,IF(INT(($A101-1)/2)+1&gt;MAX(1,INT(((((CROQUIS_DATOS!$C$1484+CROQUIS_DATOS!$C$1485))-(CROQUIS_DATOS!$C$1484))+((CROQUIS_DATOS!$C$1486)*CROQUIS_DATOS!$C$1561-(0)*CROQUIS_DATOS!$C$1561))/CROQUIS_DATOS!$C$1568-0.000001)),1,MOD($A101-1,2)),1-IF(INT(($A101-1)/2)+1&gt;MAX(1,INT(((((CROQUIS_DATOS!$C$1484+CROQUIS_DATOS!$C$1485))-(CROQUIS_DATOS!$C$1484))+((CROQUIS_DATOS!$C$1486)*CROQUIS_DATOS!$C$1561-(0)*CROQUIS_DATOS!$C$1561))/CROQUIS_DATOS!$C$1568-0.000001)),1,MOD($A101-1,2)))=1,MIN((CROQUIS_DATOS!$C$1486)*CROQUIS_DATOS!$C$1561,((CROQUIS_DATOS!$C$1484+CROQUIS_DATOS!$C$1485)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1">
        <f>IF(AND(CROQUIS_DATOS!$C$1472=1,CROQUIS_DATOS!$C$1478&gt;=2,((CROQUIS_DATOS!$C$1484+CROQUIS_DATOS!$C$1485))-(CROQUIS_DATOS!$C$1484)&gt;0.5,(CROQUIS_DATOS!$C$1486)-(0)&gt;0.5),(CROQUIS_DATOS!$C$1567+(IF(IF(MOD(MIN(INT(($A101-1)/2)+1,MAX(1,INT(((((CROQUIS_DATOS!$C$1484+CROQUIS_DATOS!$C$1485))-(CROQUIS_DATOS!$C$1484))+((CROQUIS_DATOS!$C$1486)*CROQUIS_DATOS!$C$1561-(0)*CROQUIS_DATOS!$C$1561))/CROQUIS_DATOS!$C$1568-0.000001))),2)=1,IF(INT(($A101-1)/2)+1&gt;MAX(1,INT(((((CROQUIS_DATOS!$C$1484+CROQUIS_DATOS!$C$1485))-(CROQUIS_DATOS!$C$1484))+((CROQUIS_DATOS!$C$1486)*CROQUIS_DATOS!$C$1561-(0)*CROQUIS_DATOS!$C$1561))/CROQUIS_DATOS!$C$1568-0.000001)),1,MOD($A101-1,2)),1-IF(INT(($A101-1)/2)+1&gt;MAX(1,INT(((((CROQUIS_DATOS!$C$1484+CROQUIS_DATOS!$C$1485))-(CROQUIS_DATOS!$C$1484))+((CROQUIS_DATOS!$C$1486)*CROQUIS_DATOS!$C$1561-(0)*CROQUIS_DATOS!$C$1561))/CROQUIS_DATOS!$C$1568-0.000001)),1,MOD($A101-1,2)))=1,MIN((CROQUIS_DATOS!$C$1486)*CROQUIS_DATOS!$C$1561,((CROQUIS_DATOS!$C$1484+CROQUIS_DATOS!$C$1485)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1">
        <f>IF(AND(CROQUIS_DATOS!$C$1472=1,CROQUIS_DATOS!$C$1478&gt;=2,((CROQUIS_DATOS!$C$1484+CROQUIS_DATOS!$C$1485))-(CROQUIS_DATOS!$C$1484)&gt;0.5,(CROQUIS_DATOS!$C$1476)-((CROQUIS_DATOS!$C$1486+CROQUIS_DATOS!$C$1487))&gt;0.5),(CROQUIS_DATOS!$C$1566+(IF(IF(MOD(MIN(INT(($A101-1)/2)+1,MAX(1,INT(((((CROQUIS_DATOS!$C$1484+CROQUIS_DATOS!$C$1485))-(CROQUIS_DATOS!$C$1484))+((CROQUIS_DATOS!$C$1476)*CROQUIS_DATOS!$C$1561-((CROQUIS_DATOS!$C$1486+CROQUIS_DATOS!$C$1487))*CROQUIS_DATOS!$C$1561))/CROQUIS_DATOS!$C$1568-0.000001))),2)=1,IF(INT(($A101-1)/2)+1&gt;MAX(1,INT(((((CROQUIS_DATOS!$C$1484+CROQUIS_DATOS!$C$1485))-(CROQUIS_DATOS!$C$1484))+((CROQUIS_DATOS!$C$1476)*CROQUIS_DATOS!$C$1561-((CROQUIS_DATOS!$C$1486+CROQUIS_DATOS!$C$1487))*CROQUIS_DATOS!$C$1561))/CROQUIS_DATOS!$C$1568-0.000001)),1,MOD($A101-1,2)),1-IF(INT(($A101-1)/2)+1&gt;MAX(1,INT(((((CROQUIS_DATOS!$C$1484+CROQUIS_DATOS!$C$1485))-(CROQUIS_DATOS!$C$1484))+((CROQUIS_DATOS!$C$1476)*CROQUIS_DATOS!$C$1561-((CROQUIS_DATOS!$C$1486+CROQUIS_DATOS!$C$1487))*CROQUIS_DATOS!$C$1561))/CROQUIS_DATOS!$C$1568-0.000001)),1,MOD($A101-1,2)))=1,MIN((CROQUIS_DATOS!$C$1476)*CROQUIS_DATOS!$C$1561,((CROQUIS_DATOS!$C$1484+CROQUIS_DATOS!$C$1485)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1">
        <f>IF(AND(CROQUIS_DATOS!$C$1472=1,CROQUIS_DATOS!$C$1478&gt;=2,((CROQUIS_DATOS!$C$1484+CROQUIS_DATOS!$C$1485))-(CROQUIS_DATOS!$C$1484)&gt;0.5,(CROQUIS_DATOS!$C$1476)-((CROQUIS_DATOS!$C$1486+CROQUIS_DATOS!$C$1487))&gt;0.5),(CROQUIS_DATOS!$C$1567+(IF(IF(MOD(MIN(INT(($A101-1)/2)+1,MAX(1,INT(((((CROQUIS_DATOS!$C$1484+CROQUIS_DATOS!$C$1485))-(CROQUIS_DATOS!$C$1484))+((CROQUIS_DATOS!$C$1476)*CROQUIS_DATOS!$C$1561-((CROQUIS_DATOS!$C$1486+CROQUIS_DATOS!$C$1487))*CROQUIS_DATOS!$C$1561))/CROQUIS_DATOS!$C$1568-0.000001))),2)=1,IF(INT(($A101-1)/2)+1&gt;MAX(1,INT(((((CROQUIS_DATOS!$C$1484+CROQUIS_DATOS!$C$1485))-(CROQUIS_DATOS!$C$1484))+((CROQUIS_DATOS!$C$1476)*CROQUIS_DATOS!$C$1561-((CROQUIS_DATOS!$C$1486+CROQUIS_DATOS!$C$1487))*CROQUIS_DATOS!$C$1561))/CROQUIS_DATOS!$C$1568-0.000001)),1,MOD($A101-1,2)),1-IF(INT(($A101-1)/2)+1&gt;MAX(1,INT(((((CROQUIS_DATOS!$C$1484+CROQUIS_DATOS!$C$1485))-(CROQUIS_DATOS!$C$1484))+((CROQUIS_DATOS!$C$1476)*CROQUIS_DATOS!$C$1561-((CROQUIS_DATOS!$C$1486+CROQUIS_DATOS!$C$1487))*CROQUIS_DATOS!$C$1561))/CROQUIS_DATOS!$C$1568-0.000001)),1,MOD($A101-1,2)))=1,MIN((CROQUIS_DATOS!$C$1476)*CROQUIS_DATOS!$C$1561,((CROQUIS_DATOS!$C$1484+CROQUIS_DATOS!$C$1485)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1">
        <f>IF(AND(CROQUIS_DATOS!$C$1472=1,CROQUIS_DATOS!$C$1478&gt;=3,((CROQUIS_DATOS!$C$1489+CROQUIS_DATOS!$C$1490))-(CROQUIS_DATOS!$C$1489)&gt;0.5,(CROQUIS_DATOS!$C$1491)-(0)&gt;0.5),(CROQUIS_DATOS!$C$1566+(IF(IF(MOD(MIN(INT(($A101-1)/2)+1,MAX(1,INT(((((CROQUIS_DATOS!$C$1489+CROQUIS_DATOS!$C$1490))-(CROQUIS_DATOS!$C$1489))+((CROQUIS_DATOS!$C$1491)*CROQUIS_DATOS!$C$1561-(0)*CROQUIS_DATOS!$C$1561))/CROQUIS_DATOS!$C$1568-0.000001))),2)=1,IF(INT(($A101-1)/2)+1&gt;MAX(1,INT(((((CROQUIS_DATOS!$C$1489+CROQUIS_DATOS!$C$1490))-(CROQUIS_DATOS!$C$1489))+((CROQUIS_DATOS!$C$1491)*CROQUIS_DATOS!$C$1561-(0)*CROQUIS_DATOS!$C$1561))/CROQUIS_DATOS!$C$1568-0.000001)),1,MOD($A101-1,2)),1-IF(INT(($A101-1)/2)+1&gt;MAX(1,INT(((((CROQUIS_DATOS!$C$1489+CROQUIS_DATOS!$C$1490))-(CROQUIS_DATOS!$C$1489))+((CROQUIS_DATOS!$C$1491)*CROQUIS_DATOS!$C$1561-(0)*CROQUIS_DATOS!$C$1561))/CROQUIS_DATOS!$C$1568-0.000001)),1,MOD($A101-1,2)))=1,MIN((CROQUIS_DATOS!$C$1491)*CROQUIS_DATOS!$C$1561,((CROQUIS_DATOS!$C$1489+CROQUIS_DATOS!$C$1490)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1">
        <f>IF(AND(CROQUIS_DATOS!$C$1472=1,CROQUIS_DATOS!$C$1478&gt;=3,((CROQUIS_DATOS!$C$1489+CROQUIS_DATOS!$C$1490))-(CROQUIS_DATOS!$C$1489)&gt;0.5,(CROQUIS_DATOS!$C$1491)-(0)&gt;0.5),(CROQUIS_DATOS!$C$1567+(IF(IF(MOD(MIN(INT(($A101-1)/2)+1,MAX(1,INT(((((CROQUIS_DATOS!$C$1489+CROQUIS_DATOS!$C$1490))-(CROQUIS_DATOS!$C$1489))+((CROQUIS_DATOS!$C$1491)*CROQUIS_DATOS!$C$1561-(0)*CROQUIS_DATOS!$C$1561))/CROQUIS_DATOS!$C$1568-0.000001))),2)=1,IF(INT(($A101-1)/2)+1&gt;MAX(1,INT(((((CROQUIS_DATOS!$C$1489+CROQUIS_DATOS!$C$1490))-(CROQUIS_DATOS!$C$1489))+((CROQUIS_DATOS!$C$1491)*CROQUIS_DATOS!$C$1561-(0)*CROQUIS_DATOS!$C$1561))/CROQUIS_DATOS!$C$1568-0.000001)),1,MOD($A101-1,2)),1-IF(INT(($A101-1)/2)+1&gt;MAX(1,INT(((((CROQUIS_DATOS!$C$1489+CROQUIS_DATOS!$C$1490))-(CROQUIS_DATOS!$C$1489))+((CROQUIS_DATOS!$C$1491)*CROQUIS_DATOS!$C$1561-(0)*CROQUIS_DATOS!$C$1561))/CROQUIS_DATOS!$C$1568-0.000001)),1,MOD($A101-1,2)))=1,MIN((CROQUIS_DATOS!$C$1491)*CROQUIS_DATOS!$C$1561,((CROQUIS_DATOS!$C$1489+CROQUIS_DATOS!$C$1490)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1">
        <f>IF(AND(CROQUIS_DATOS!$C$1472=1,CROQUIS_DATOS!$C$1478&gt;=3,((CROQUIS_DATOS!$C$1489+CROQUIS_DATOS!$C$1490))-(CROQUIS_DATOS!$C$1489)&gt;0.5,(CROQUIS_DATOS!$C$1476)-((CROQUIS_DATOS!$C$1491+CROQUIS_DATOS!$C$1492))&gt;0.5),(CROQUIS_DATOS!$C$1566+(IF(IF(MOD(MIN(INT(($A101-1)/2)+1,MAX(1,INT(((((CROQUIS_DATOS!$C$1489+CROQUIS_DATOS!$C$1490))-(CROQUIS_DATOS!$C$1489))+((CROQUIS_DATOS!$C$1476)*CROQUIS_DATOS!$C$1561-((CROQUIS_DATOS!$C$1491+CROQUIS_DATOS!$C$1492))*CROQUIS_DATOS!$C$1561))/CROQUIS_DATOS!$C$1568-0.000001))),2)=1,IF(INT(($A101-1)/2)+1&gt;MAX(1,INT(((((CROQUIS_DATOS!$C$1489+CROQUIS_DATOS!$C$1490))-(CROQUIS_DATOS!$C$1489))+((CROQUIS_DATOS!$C$1476)*CROQUIS_DATOS!$C$1561-((CROQUIS_DATOS!$C$1491+CROQUIS_DATOS!$C$1492))*CROQUIS_DATOS!$C$1561))/CROQUIS_DATOS!$C$1568-0.000001)),1,MOD($A101-1,2)),1-IF(INT(($A101-1)/2)+1&gt;MAX(1,INT(((((CROQUIS_DATOS!$C$1489+CROQUIS_DATOS!$C$1490))-(CROQUIS_DATOS!$C$1489))+((CROQUIS_DATOS!$C$1476)*CROQUIS_DATOS!$C$1561-((CROQUIS_DATOS!$C$1491+CROQUIS_DATOS!$C$1492))*CROQUIS_DATOS!$C$1561))/CROQUIS_DATOS!$C$1568-0.000001)),1,MOD($A101-1,2)))=1,MIN((CROQUIS_DATOS!$C$1476)*CROQUIS_DATOS!$C$1561,((CROQUIS_DATOS!$C$1489+CROQUIS_DATOS!$C$1490)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1">
        <f>IF(AND(CROQUIS_DATOS!$C$1472=1,CROQUIS_DATOS!$C$1478&gt;=3,((CROQUIS_DATOS!$C$1489+CROQUIS_DATOS!$C$1490))-(CROQUIS_DATOS!$C$1489)&gt;0.5,(CROQUIS_DATOS!$C$1476)-((CROQUIS_DATOS!$C$1491+CROQUIS_DATOS!$C$1492))&gt;0.5),(CROQUIS_DATOS!$C$1567+(IF(IF(MOD(MIN(INT(($A101-1)/2)+1,MAX(1,INT(((((CROQUIS_DATOS!$C$1489+CROQUIS_DATOS!$C$1490))-(CROQUIS_DATOS!$C$1489))+((CROQUIS_DATOS!$C$1476)*CROQUIS_DATOS!$C$1561-((CROQUIS_DATOS!$C$1491+CROQUIS_DATOS!$C$1492))*CROQUIS_DATOS!$C$1561))/CROQUIS_DATOS!$C$1568-0.000001))),2)=1,IF(INT(($A101-1)/2)+1&gt;MAX(1,INT(((((CROQUIS_DATOS!$C$1489+CROQUIS_DATOS!$C$1490))-(CROQUIS_DATOS!$C$1489))+((CROQUIS_DATOS!$C$1476)*CROQUIS_DATOS!$C$1561-((CROQUIS_DATOS!$C$1491+CROQUIS_DATOS!$C$1492))*CROQUIS_DATOS!$C$1561))/CROQUIS_DATOS!$C$1568-0.000001)),1,MOD($A101-1,2)),1-IF(INT(($A101-1)/2)+1&gt;MAX(1,INT(((((CROQUIS_DATOS!$C$1489+CROQUIS_DATOS!$C$1490))-(CROQUIS_DATOS!$C$1489))+((CROQUIS_DATOS!$C$1476)*CROQUIS_DATOS!$C$1561-((CROQUIS_DATOS!$C$1491+CROQUIS_DATOS!$C$1492))*CROQUIS_DATOS!$C$1561))/CROQUIS_DATOS!$C$1568-0.000001)),1,MOD($A101-1,2)))=1,MIN((CROQUIS_DATOS!$C$1476)*CROQUIS_DATOS!$C$1561,((CROQUIS_DATOS!$C$1489+CROQUIS_DATOS!$C$1490)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1">
        <f>IF(AND(CROQUIS_DATOS!$C$1472=1,CROQUIS_DATOS!$C$1478&gt;=4,((CROQUIS_DATOS!$C$1494+CROQUIS_DATOS!$C$1495))-(CROQUIS_DATOS!$C$1494)&gt;0.5,(CROQUIS_DATOS!$C$1496)-(0)&gt;0.5),(CROQUIS_DATOS!$C$1566+(IF(IF(MOD(MIN(INT(($A101-1)/2)+1,MAX(1,INT(((((CROQUIS_DATOS!$C$1494+CROQUIS_DATOS!$C$1495))-(CROQUIS_DATOS!$C$1494))+((CROQUIS_DATOS!$C$1496)*CROQUIS_DATOS!$C$1561-(0)*CROQUIS_DATOS!$C$1561))/CROQUIS_DATOS!$C$1568-0.000001))),2)=1,IF(INT(($A101-1)/2)+1&gt;MAX(1,INT(((((CROQUIS_DATOS!$C$1494+CROQUIS_DATOS!$C$1495))-(CROQUIS_DATOS!$C$1494))+((CROQUIS_DATOS!$C$1496)*CROQUIS_DATOS!$C$1561-(0)*CROQUIS_DATOS!$C$1561))/CROQUIS_DATOS!$C$1568-0.000001)),1,MOD($A101-1,2)),1-IF(INT(($A101-1)/2)+1&gt;MAX(1,INT(((((CROQUIS_DATOS!$C$1494+CROQUIS_DATOS!$C$1495))-(CROQUIS_DATOS!$C$1494))+((CROQUIS_DATOS!$C$1496)*CROQUIS_DATOS!$C$1561-(0)*CROQUIS_DATOS!$C$1561))/CROQUIS_DATOS!$C$1568-0.000001)),1,MOD($A101-1,2)))=1,MIN((CROQUIS_DATOS!$C$1496)*CROQUIS_DATOS!$C$1561,((CROQUIS_DATOS!$C$1494+CROQUIS_DATOS!$C$1495)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1">
        <f>IF(AND(CROQUIS_DATOS!$C$1472=1,CROQUIS_DATOS!$C$1478&gt;=4,((CROQUIS_DATOS!$C$1494+CROQUIS_DATOS!$C$1495))-(CROQUIS_DATOS!$C$1494)&gt;0.5,(CROQUIS_DATOS!$C$1496)-(0)&gt;0.5),(CROQUIS_DATOS!$C$1567+(IF(IF(MOD(MIN(INT(($A101-1)/2)+1,MAX(1,INT(((((CROQUIS_DATOS!$C$1494+CROQUIS_DATOS!$C$1495))-(CROQUIS_DATOS!$C$1494))+((CROQUIS_DATOS!$C$1496)*CROQUIS_DATOS!$C$1561-(0)*CROQUIS_DATOS!$C$1561))/CROQUIS_DATOS!$C$1568-0.000001))),2)=1,IF(INT(($A101-1)/2)+1&gt;MAX(1,INT(((((CROQUIS_DATOS!$C$1494+CROQUIS_DATOS!$C$1495))-(CROQUIS_DATOS!$C$1494))+((CROQUIS_DATOS!$C$1496)*CROQUIS_DATOS!$C$1561-(0)*CROQUIS_DATOS!$C$1561))/CROQUIS_DATOS!$C$1568-0.000001)),1,MOD($A101-1,2)),1-IF(INT(($A101-1)/2)+1&gt;MAX(1,INT(((((CROQUIS_DATOS!$C$1494+CROQUIS_DATOS!$C$1495))-(CROQUIS_DATOS!$C$1494))+((CROQUIS_DATOS!$C$1496)*CROQUIS_DATOS!$C$1561-(0)*CROQUIS_DATOS!$C$1561))/CROQUIS_DATOS!$C$1568-0.000001)),1,MOD($A101-1,2)))=1,MIN((CROQUIS_DATOS!$C$1496)*CROQUIS_DATOS!$C$1561,((CROQUIS_DATOS!$C$1494+CROQUIS_DATOS!$C$1495)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1">
        <f>IF(AND(CROQUIS_DATOS!$C$1472=1,CROQUIS_DATOS!$C$1478&gt;=4,((CROQUIS_DATOS!$C$1494+CROQUIS_DATOS!$C$1495))-(CROQUIS_DATOS!$C$1494)&gt;0.5,(CROQUIS_DATOS!$C$1476)-((CROQUIS_DATOS!$C$1496+CROQUIS_DATOS!$C$1497))&gt;0.5),(CROQUIS_DATOS!$C$1566+(IF(IF(MOD(MIN(INT(($A101-1)/2)+1,MAX(1,INT(((((CROQUIS_DATOS!$C$1494+CROQUIS_DATOS!$C$1495))-(CROQUIS_DATOS!$C$1494))+((CROQUIS_DATOS!$C$1476)*CROQUIS_DATOS!$C$1561-((CROQUIS_DATOS!$C$1496+CROQUIS_DATOS!$C$1497))*CROQUIS_DATOS!$C$1561))/CROQUIS_DATOS!$C$1568-0.000001))),2)=1,IF(INT(($A101-1)/2)+1&gt;MAX(1,INT(((((CROQUIS_DATOS!$C$1494+CROQUIS_DATOS!$C$1495))-(CROQUIS_DATOS!$C$1494))+((CROQUIS_DATOS!$C$1476)*CROQUIS_DATOS!$C$1561-((CROQUIS_DATOS!$C$1496+CROQUIS_DATOS!$C$1497))*CROQUIS_DATOS!$C$1561))/CROQUIS_DATOS!$C$1568-0.000001)),1,MOD($A101-1,2)),1-IF(INT(($A101-1)/2)+1&gt;MAX(1,INT(((((CROQUIS_DATOS!$C$1494+CROQUIS_DATOS!$C$1495))-(CROQUIS_DATOS!$C$1494))+((CROQUIS_DATOS!$C$1476)*CROQUIS_DATOS!$C$1561-((CROQUIS_DATOS!$C$1496+CROQUIS_DATOS!$C$1497))*CROQUIS_DATOS!$C$1561))/CROQUIS_DATOS!$C$1568-0.000001)),1,MOD($A101-1,2)))=1,MIN((CROQUIS_DATOS!$C$1476)*CROQUIS_DATOS!$C$1561,((CROQUIS_DATOS!$C$1494+CROQUIS_DATOS!$C$1495)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1">
        <f>IF(AND(CROQUIS_DATOS!$C$1472=1,CROQUIS_DATOS!$C$1478&gt;=4,((CROQUIS_DATOS!$C$1494+CROQUIS_DATOS!$C$1495))-(CROQUIS_DATOS!$C$1494)&gt;0.5,(CROQUIS_DATOS!$C$1476)-((CROQUIS_DATOS!$C$1496+CROQUIS_DATOS!$C$1497))&gt;0.5),(CROQUIS_DATOS!$C$1567+(IF(IF(MOD(MIN(INT(($A101-1)/2)+1,MAX(1,INT(((((CROQUIS_DATOS!$C$1494+CROQUIS_DATOS!$C$1495))-(CROQUIS_DATOS!$C$1494))+((CROQUIS_DATOS!$C$1476)*CROQUIS_DATOS!$C$1561-((CROQUIS_DATOS!$C$1496+CROQUIS_DATOS!$C$1497))*CROQUIS_DATOS!$C$1561))/CROQUIS_DATOS!$C$1568-0.000001))),2)=1,IF(INT(($A101-1)/2)+1&gt;MAX(1,INT(((((CROQUIS_DATOS!$C$1494+CROQUIS_DATOS!$C$1495))-(CROQUIS_DATOS!$C$1494))+((CROQUIS_DATOS!$C$1476)*CROQUIS_DATOS!$C$1561-((CROQUIS_DATOS!$C$1496+CROQUIS_DATOS!$C$1497))*CROQUIS_DATOS!$C$1561))/CROQUIS_DATOS!$C$1568-0.000001)),1,MOD($A101-1,2)),1-IF(INT(($A101-1)/2)+1&gt;MAX(1,INT(((((CROQUIS_DATOS!$C$1494+CROQUIS_DATOS!$C$1495))-(CROQUIS_DATOS!$C$1494))+((CROQUIS_DATOS!$C$1476)*CROQUIS_DATOS!$C$1561-((CROQUIS_DATOS!$C$1496+CROQUIS_DATOS!$C$1497))*CROQUIS_DATOS!$C$1561))/CROQUIS_DATOS!$C$1568-0.000001)),1,MOD($A101-1,2)))=1,MIN((CROQUIS_DATOS!$C$1476)*CROQUIS_DATOS!$C$1561,((CROQUIS_DATOS!$C$1494+CROQUIS_DATOS!$C$1495)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2">
      <c r="A102" t="n">
        <v>95</v>
      </c>
      <c r="N102">
        <f>IF(AND(CROQUIS_DATOS!$C$1472=1,1),(CROQUIS_DATOS!$C$1563+(IF(IF(IF(INT(($A102-1)/70)+1&gt;CROQUIS_DATOS!$C$1525,70,MOD($A102-1,70)+1)=1,0,IF(IF(INT(($A102-1)/70)+1&gt;CROQUIS_DATOS!$C$1525,70,MOD($A102-1,70)+1)&gt;2*CROQUIS_DATOS!$C$1541+1,IF(MOD(CROQUIS_DATOS!$C$1541,2)=1,1,0),IF(MOD(MIN(INT((IF(INT(($A102-1)/70)+1&gt;CROQUIS_DATOS!$C$1525,70,MOD($A102-1,70)+1)-2)/2)+1,CROQUIS_DATOS!$C$1541),2)=1,IF(MOD(IF(INT(($A102-1)/70)+1&gt;CROQUIS_DATOS!$C$1525,70,MOD($A102-1,70)+1)-2,2)=0,0,1),IF(MOD(IF(INT(($A102-1)/70)+1&gt;CROQUIS_DATOS!$C$1525,70,MOD($A102-1,70)+1)-2,2)=0,1,0))))=0,(INDEX($E$8:$E$23,MIN(INT(($A102-1)/70)+1,CROQUIS_DATOS!$C$1525))-INDEX($F$8:$F$23,MIN(INT(($A102-1)/70)+1,CROQUIS_DATOS!$C$1525))/2),(INDEX($E$8:$E$23,MIN(INT(($A102-1)/70)+1,CROQUIS_DATOS!$C$1525))+INDEX($F$8:$F$23,MIN(INT(($A102-1)/70)+1,CROQUIS_DATOS!$C$1525))/2)))*CROQUIS_DATOS!$C$1562),-1000)</f>
        <v>18.5775862068965</v>
      </c>
      <c r="O102">
        <f>IF(AND(CROQUIS_DATOS!$C$1472=1,1),(CROQUIS_DATOS!$C$1564+(IF(OR(IF(INT(($A102-1)/70)+1&gt;CROQUIS_DATOS!$C$1525,70,MOD($A102-1,70)+1)=1,IF(INT(($A102-1)/70)+1&gt;CROQUIS_DATOS!$C$1525,70,MOD($A102-1,70)+1)&gt;2*CROQUIS_DATOS!$C$1541+1),CROQUIS_DATOS!$C$1476,INDEX($H$8:$H$41,MIN(INT((IF(INT(($A102-1)/70)+1&gt;CROQUIS_DATOS!$C$1525,70,MOD($A102-1,70)+1)-2)/2)+1,CROQUIS_DATOS!$C$1541))))*CROQUIS_DATOS!$C$1561*CROQUIS_DATOS!$C$1562),-1000)</f>
        <v>29.5387931034483</v>
      </c>
      <c r="P102">
        <f>IF(AND(CROQUIS_DATOS!$C$1472=1,CROQUIS_DATOS!$C$1555=1),(CROQUIS_DATOS!$C$1563+(IF(IF(OR(MOD($A102-1,62)+1=1,IF(CHOOSE(MIN(MAX(MIN(INT(($A102-1)/62)+1,5),1),5),CROQUIS_DATOS!$C$1501,CROQUIS_DATOS!$C$1505,CROQUIS_DATOS!$C$1509,CROQUIS_DATOS!$C$1513,CROQUIS_DATOS!$C$1517)=1,CROQUIS_DATOS!$C$1557,0)=0),0,IF(MOD($A102-1,62)+1&gt;2*IF(CHOOSE(MIN(MAX(MIN(INT(($A102-1)/62)+1,5),1),5),CROQUIS_DATOS!$C$1501,CROQUIS_DATOS!$C$1505,CROQUIS_DATOS!$C$1509,CROQUIS_DATOS!$C$1513,CROQUIS_DATOS!$C$1517)=1,CROQUIS_DATOS!$C$1557,0)+1,IF(MOD(IF(CHOOSE(MIN(MAX(MIN(INT(($A102-1)/62)+1,5),1),5),CROQUIS_DATOS!$C$1501,CROQUIS_DATOS!$C$1505,CROQUIS_DATOS!$C$1509,CROQUIS_DATOS!$C$1513,CROQUIS_DATOS!$C$1517)=1,CROQUIS_DATOS!$C$1557,0),2)=1,1,0),IF(MOD(MIN(INT((MOD($A102-1,62)+1-2)/2)+1,MAX(IF(CHOOSE(MIN(MAX(MIN(INT(($A102-1)/62)+1,5),1),5),CROQUIS_DATOS!$C$1501,CROQUIS_DATOS!$C$1505,CROQUIS_DATOS!$C$1509,CROQUIS_DATOS!$C$1513,CROQUIS_DATOS!$C$1517)=1,CROQUIS_DATOS!$C$1557,0),1)),2)=1,IF(MOD(MOD($A102-1,62)+1-2,2)=0,0,1),IF(MOD(MOD($A102-1,62)+1-2,2)=0,1,0))))=0,(CHOOSE(MIN(MAX(MIN(INT(($A102-1)/62)+1,5),1),5),CROQUIS_DATOS!$C$1499,CROQUIS_DATOS!$C$1503,CROQUIS_DATOS!$C$1507,CROQUIS_DATOS!$C$1511,CROQUIS_DATOS!$C$1515)+IF(CHOOSE(MIN(MAX(MIN(INT(($A102-1)/62)+1,5),1),5),CROQUIS_DATOS!$C$1501,CROQUIS_DATOS!$C$1505,CROQUIS_DATOS!$C$1509,CROQUIS_DATOS!$C$1513,CROQUIS_DATOS!$C$1517)=1,CROQUIS_DATOS!$C$1526,0)),(CHOOSE(MIN(MAX(MIN(INT(($A102-1)/62)+1,5),1),5),CROQUIS_DATOS!$C$1499,CROQUIS_DATOS!$C$1503,CROQUIS_DATOS!$C$1507,CROQUIS_DATOS!$C$1511,CROQUIS_DATOS!$C$1515)+CHOOSE(MIN(MAX(MIN(INT(($A102-1)/62)+1,5),1),5),CROQUIS_DATOS!$C$1500,CROQUIS_DATOS!$C$1504,CROQUIS_DATOS!$C$1508,CROQUIS_DATOS!$C$1512,CROQUIS_DATOS!$C$1516)-IF(CHOOSE(MIN(MAX(MIN(INT(($A102-1)/62)+1,5),1),5),CROQUIS_DATOS!$C$1501,CROQUIS_DATOS!$C$1505,CROQUIS_DATOS!$C$1509,CROQUIS_DATOS!$C$1513,CROQUIS_DATOS!$C$1517)=1,CROQUIS_DATOS!$C$1526,0))))*CROQUIS_DATOS!$C$1562),-1000)</f>
        <v>-1000</v>
      </c>
      <c r="Q102">
        <f>IF(AND(CROQUIS_DATOS!$C$1472=1,CROQUIS_DATOS!$C$1555=1),(CROQUIS_DATOS!$C$1564+(IF(OR(OR(MOD($A102-1,62)+1=1,IF(CHOOSE(MIN(MAX(MIN(INT(($A102-1)/62)+1,5),1),5),CROQUIS_DATOS!$C$1501,CROQUIS_DATOS!$C$1505,CROQUIS_DATOS!$C$1509,CROQUIS_DATOS!$C$1513,CROQUIS_DATOS!$C$1517)=1,CROQUIS_DATOS!$C$1557,0)=0),MOD($A102-1,62)+1&gt;2*IF(CHOOSE(MIN(MAX(MIN(INT(($A102-1)/62)+1,5),1),5),CROQUIS_DATOS!$C$1501,CROQUIS_DATOS!$C$1505,CROQUIS_DATOS!$C$1509,CROQUIS_DATOS!$C$1513,CROQUIS_DATOS!$C$1517)=1,CROQUIS_DATOS!$C$1557,0)+1),CROQUIS_DATOS!$C$1476,MIN(INT((MOD($A102-1,62)+1-2)/2)+1,MAX(IF(CHOOSE(MIN(MAX(MIN(INT(($A102-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2">
        <f>IF(AND(CROQUIS_DATOS!$C$1472=1,1),(CROQUIS_DATOS!$C$1563+(MIN(INT(($A102-1)/2)+1,CROQUIS_DATOS!$C$1558)*CROQUIS_DATOS!$C$1559)*CROQUIS_DATOS!$C$1562),-1000)</f>
        <v>82.2281167108753</v>
      </c>
      <c r="U102">
        <f>IF(AND(CROQUIS_DATOS!$C$1472=1,1),(CROQUIS_DATOS!$C$1564+(IF(INT(($A102-1)/2)+1&gt;CROQUIS_DATOS!$C$1558,IF(MOD(CROQUIS_DATOS!$C$1558,2)=1,CROQUIS_DATOS!$C$1476+CROQUIS_DATOS!$C$1528,CROQUIS_DATOS!$C$1476),IF(IF(MOD(MIN(INT(($A102-1)/2)+1,CROQUIS_DATOS!$C$1558),2)=1,MOD($A102-1,2),1-MOD($A102-1,2))=1,CROQUIS_DATOS!$C$1476+CROQUIS_DATOS!$C$1528,CROQUIS_DATOS!$C$1476)))*CROQUIS_DATOS!$C$1561*CROQUIS_DATOS!$C$1562),-1000)</f>
        <v>43</v>
      </c>
      <c r="BZ102">
        <f>IF(AND(CROQUIS_DATOS!$C$1472=1,CROQUIS_DATOS!$C$1500&gt;0,((CROQUIS_DATOS!$C$1499+CROQUIS_DATOS!$C$1500))-(CROQUIS_DATOS!$C$1499)&gt;0.5,(CROQUIS_DATOS!$C$1476)-(0)&gt;0.5),(CROQUIS_DATOS!$C$1566+(IF(IF(MOD(MIN(INT(($A102-1)/2)+1,MAX(1,INT(((((CROQUIS_DATOS!$C$1499+CROQUIS_DATOS!$C$1500))-(CROQUIS_DATOS!$C$1499))+((CROQUIS_DATOS!$C$1476)*CROQUIS_DATOS!$C$1561-(0)*CROQUIS_DATOS!$C$1561))/CROQUIS_DATOS!$C$1568-0.000001))),2)=1,IF(INT(($A102-1)/2)+1&gt;MAX(1,INT(((((CROQUIS_DATOS!$C$1499+CROQUIS_DATOS!$C$1500))-(CROQUIS_DATOS!$C$1499))+((CROQUIS_DATOS!$C$1476)*CROQUIS_DATOS!$C$1561-(0)*CROQUIS_DATOS!$C$1561))/CROQUIS_DATOS!$C$1568-0.000001)),1,MOD($A102-1,2)),1-IF(INT(($A102-1)/2)+1&gt;MAX(1,INT(((((CROQUIS_DATOS!$C$1499+CROQUIS_DATOS!$C$1500))-(CROQUIS_DATOS!$C$1499))+((CROQUIS_DATOS!$C$1476)*CROQUIS_DATOS!$C$1561-(0)*CROQUIS_DATOS!$C$1561))/CROQUIS_DATOS!$C$1568-0.000001)),1,MOD($A102-1,2)))=1,MIN((CROQUIS_DATOS!$C$1476)*CROQUIS_DATOS!$C$1561,((CROQUIS_DATOS!$C$1499+CROQUIS_DATOS!$C$1500)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2">
        <f>IF(AND(CROQUIS_DATOS!$C$1472=1,CROQUIS_DATOS!$C$1500&gt;0,((CROQUIS_DATOS!$C$1499+CROQUIS_DATOS!$C$1500))-(CROQUIS_DATOS!$C$1499)&gt;0.5,(CROQUIS_DATOS!$C$1476)-(0)&gt;0.5),(CROQUIS_DATOS!$C$1567+(IF(IF(MOD(MIN(INT(($A102-1)/2)+1,MAX(1,INT(((((CROQUIS_DATOS!$C$1499+CROQUIS_DATOS!$C$1500))-(CROQUIS_DATOS!$C$1499))+((CROQUIS_DATOS!$C$1476)*CROQUIS_DATOS!$C$1561-(0)*CROQUIS_DATOS!$C$1561))/CROQUIS_DATOS!$C$1568-0.000001))),2)=1,IF(INT(($A102-1)/2)+1&gt;MAX(1,INT(((((CROQUIS_DATOS!$C$1499+CROQUIS_DATOS!$C$1500))-(CROQUIS_DATOS!$C$1499))+((CROQUIS_DATOS!$C$1476)*CROQUIS_DATOS!$C$1561-(0)*CROQUIS_DATOS!$C$1561))/CROQUIS_DATOS!$C$1568-0.000001)),1,MOD($A102-1,2)),1-IF(INT(($A102-1)/2)+1&gt;MAX(1,INT(((((CROQUIS_DATOS!$C$1499+CROQUIS_DATOS!$C$1500))-(CROQUIS_DATOS!$C$1499))+((CROQUIS_DATOS!$C$1476)*CROQUIS_DATOS!$C$1561-(0)*CROQUIS_DATOS!$C$1561))/CROQUIS_DATOS!$C$1568-0.000001)),1,MOD($A102-1,2)))=1,MIN((CROQUIS_DATOS!$C$1476)*CROQUIS_DATOS!$C$1561,((CROQUIS_DATOS!$C$1499+CROQUIS_DATOS!$C$1500)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2">
        <f>IF(AND(CROQUIS_DATOS!$C$1472=1,CROQUIS_DATOS!$C$1504&gt;0,((CROQUIS_DATOS!$C$1503+CROQUIS_DATOS!$C$1504))-(CROQUIS_DATOS!$C$1503)&gt;0.5,(CROQUIS_DATOS!$C$1476)-(0)&gt;0.5),(CROQUIS_DATOS!$C$1566+(IF(IF(MOD(MIN(INT(($A102-1)/2)+1,MAX(1,INT(((((CROQUIS_DATOS!$C$1503+CROQUIS_DATOS!$C$1504))-(CROQUIS_DATOS!$C$1503))+((CROQUIS_DATOS!$C$1476)*CROQUIS_DATOS!$C$1561-(0)*CROQUIS_DATOS!$C$1561))/CROQUIS_DATOS!$C$1568-0.000001))),2)=1,IF(INT(($A102-1)/2)+1&gt;MAX(1,INT(((((CROQUIS_DATOS!$C$1503+CROQUIS_DATOS!$C$1504))-(CROQUIS_DATOS!$C$1503))+((CROQUIS_DATOS!$C$1476)*CROQUIS_DATOS!$C$1561-(0)*CROQUIS_DATOS!$C$1561))/CROQUIS_DATOS!$C$1568-0.000001)),1,MOD($A102-1,2)),1-IF(INT(($A102-1)/2)+1&gt;MAX(1,INT(((((CROQUIS_DATOS!$C$1503+CROQUIS_DATOS!$C$1504))-(CROQUIS_DATOS!$C$1503))+((CROQUIS_DATOS!$C$1476)*CROQUIS_DATOS!$C$1561-(0)*CROQUIS_DATOS!$C$1561))/CROQUIS_DATOS!$C$1568-0.000001)),1,MOD($A102-1,2)))=1,MIN((CROQUIS_DATOS!$C$1476)*CROQUIS_DATOS!$C$1561,((CROQUIS_DATOS!$C$1503+CROQUIS_DATOS!$C$1504)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2">
        <f>IF(AND(CROQUIS_DATOS!$C$1472=1,CROQUIS_DATOS!$C$1504&gt;0,((CROQUIS_DATOS!$C$1503+CROQUIS_DATOS!$C$1504))-(CROQUIS_DATOS!$C$1503)&gt;0.5,(CROQUIS_DATOS!$C$1476)-(0)&gt;0.5),(CROQUIS_DATOS!$C$1567+(IF(IF(MOD(MIN(INT(($A102-1)/2)+1,MAX(1,INT(((((CROQUIS_DATOS!$C$1503+CROQUIS_DATOS!$C$1504))-(CROQUIS_DATOS!$C$1503))+((CROQUIS_DATOS!$C$1476)*CROQUIS_DATOS!$C$1561-(0)*CROQUIS_DATOS!$C$1561))/CROQUIS_DATOS!$C$1568-0.000001))),2)=1,IF(INT(($A102-1)/2)+1&gt;MAX(1,INT(((((CROQUIS_DATOS!$C$1503+CROQUIS_DATOS!$C$1504))-(CROQUIS_DATOS!$C$1503))+((CROQUIS_DATOS!$C$1476)*CROQUIS_DATOS!$C$1561-(0)*CROQUIS_DATOS!$C$1561))/CROQUIS_DATOS!$C$1568-0.000001)),1,MOD($A102-1,2)),1-IF(INT(($A102-1)/2)+1&gt;MAX(1,INT(((((CROQUIS_DATOS!$C$1503+CROQUIS_DATOS!$C$1504))-(CROQUIS_DATOS!$C$1503))+((CROQUIS_DATOS!$C$1476)*CROQUIS_DATOS!$C$1561-(0)*CROQUIS_DATOS!$C$1561))/CROQUIS_DATOS!$C$1568-0.000001)),1,MOD($A102-1,2)))=1,MIN((CROQUIS_DATOS!$C$1476)*CROQUIS_DATOS!$C$1561,((CROQUIS_DATOS!$C$1503+CROQUIS_DATOS!$C$1504)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2">
        <f>IF(AND(CROQUIS_DATOS!$C$1472=1,CROQUIS_DATOS!$C$1508&gt;0,((CROQUIS_DATOS!$C$1507+CROQUIS_DATOS!$C$1508))-(CROQUIS_DATOS!$C$1507)&gt;0.5,(CROQUIS_DATOS!$C$1476)-(0)&gt;0.5),(CROQUIS_DATOS!$C$1566+(IF(IF(MOD(MIN(INT(($A102-1)/2)+1,MAX(1,INT(((((CROQUIS_DATOS!$C$1507+CROQUIS_DATOS!$C$1508))-(CROQUIS_DATOS!$C$1507))+((CROQUIS_DATOS!$C$1476)*CROQUIS_DATOS!$C$1561-(0)*CROQUIS_DATOS!$C$1561))/CROQUIS_DATOS!$C$1568-0.000001))),2)=1,IF(INT(($A102-1)/2)+1&gt;MAX(1,INT(((((CROQUIS_DATOS!$C$1507+CROQUIS_DATOS!$C$1508))-(CROQUIS_DATOS!$C$1507))+((CROQUIS_DATOS!$C$1476)*CROQUIS_DATOS!$C$1561-(0)*CROQUIS_DATOS!$C$1561))/CROQUIS_DATOS!$C$1568-0.000001)),1,MOD($A102-1,2)),1-IF(INT(($A102-1)/2)+1&gt;MAX(1,INT(((((CROQUIS_DATOS!$C$1507+CROQUIS_DATOS!$C$1508))-(CROQUIS_DATOS!$C$1507))+((CROQUIS_DATOS!$C$1476)*CROQUIS_DATOS!$C$1561-(0)*CROQUIS_DATOS!$C$1561))/CROQUIS_DATOS!$C$1568-0.000001)),1,MOD($A102-1,2)))=1,MIN((CROQUIS_DATOS!$C$1476)*CROQUIS_DATOS!$C$1561,((CROQUIS_DATOS!$C$1507+CROQUIS_DATOS!$C$1508)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2">
        <f>IF(AND(CROQUIS_DATOS!$C$1472=1,CROQUIS_DATOS!$C$1508&gt;0,((CROQUIS_DATOS!$C$1507+CROQUIS_DATOS!$C$1508))-(CROQUIS_DATOS!$C$1507)&gt;0.5,(CROQUIS_DATOS!$C$1476)-(0)&gt;0.5),(CROQUIS_DATOS!$C$1567+(IF(IF(MOD(MIN(INT(($A102-1)/2)+1,MAX(1,INT(((((CROQUIS_DATOS!$C$1507+CROQUIS_DATOS!$C$1508))-(CROQUIS_DATOS!$C$1507))+((CROQUIS_DATOS!$C$1476)*CROQUIS_DATOS!$C$1561-(0)*CROQUIS_DATOS!$C$1561))/CROQUIS_DATOS!$C$1568-0.000001))),2)=1,IF(INT(($A102-1)/2)+1&gt;MAX(1,INT(((((CROQUIS_DATOS!$C$1507+CROQUIS_DATOS!$C$1508))-(CROQUIS_DATOS!$C$1507))+((CROQUIS_DATOS!$C$1476)*CROQUIS_DATOS!$C$1561-(0)*CROQUIS_DATOS!$C$1561))/CROQUIS_DATOS!$C$1568-0.000001)),1,MOD($A102-1,2)),1-IF(INT(($A102-1)/2)+1&gt;MAX(1,INT(((((CROQUIS_DATOS!$C$1507+CROQUIS_DATOS!$C$1508))-(CROQUIS_DATOS!$C$1507))+((CROQUIS_DATOS!$C$1476)*CROQUIS_DATOS!$C$1561-(0)*CROQUIS_DATOS!$C$1561))/CROQUIS_DATOS!$C$1568-0.000001)),1,MOD($A102-1,2)))=1,MIN((CROQUIS_DATOS!$C$1476)*CROQUIS_DATOS!$C$1561,((CROQUIS_DATOS!$C$1507+CROQUIS_DATOS!$C$1508)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2">
        <f>IF(AND(CROQUIS_DATOS!$C$1472=1,CROQUIS_DATOS!$C$1512&gt;0,((CROQUIS_DATOS!$C$1511+CROQUIS_DATOS!$C$1512))-(CROQUIS_DATOS!$C$1511)&gt;0.5,(CROQUIS_DATOS!$C$1476)-(0)&gt;0.5),(CROQUIS_DATOS!$C$1566+(IF(IF(MOD(MIN(INT(($A102-1)/2)+1,MAX(1,INT(((((CROQUIS_DATOS!$C$1511+CROQUIS_DATOS!$C$1512))-(CROQUIS_DATOS!$C$1511))+((CROQUIS_DATOS!$C$1476)*CROQUIS_DATOS!$C$1561-(0)*CROQUIS_DATOS!$C$1561))/CROQUIS_DATOS!$C$1568-0.000001))),2)=1,IF(INT(($A102-1)/2)+1&gt;MAX(1,INT(((((CROQUIS_DATOS!$C$1511+CROQUIS_DATOS!$C$1512))-(CROQUIS_DATOS!$C$1511))+((CROQUIS_DATOS!$C$1476)*CROQUIS_DATOS!$C$1561-(0)*CROQUIS_DATOS!$C$1561))/CROQUIS_DATOS!$C$1568-0.000001)),1,MOD($A102-1,2)),1-IF(INT(($A102-1)/2)+1&gt;MAX(1,INT(((((CROQUIS_DATOS!$C$1511+CROQUIS_DATOS!$C$1512))-(CROQUIS_DATOS!$C$1511))+((CROQUIS_DATOS!$C$1476)*CROQUIS_DATOS!$C$1561-(0)*CROQUIS_DATOS!$C$1561))/CROQUIS_DATOS!$C$1568-0.000001)),1,MOD($A102-1,2)))=1,MIN((CROQUIS_DATOS!$C$1476)*CROQUIS_DATOS!$C$1561,((CROQUIS_DATOS!$C$1511+CROQUIS_DATOS!$C$1512)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2">
        <f>IF(AND(CROQUIS_DATOS!$C$1472=1,CROQUIS_DATOS!$C$1512&gt;0,((CROQUIS_DATOS!$C$1511+CROQUIS_DATOS!$C$1512))-(CROQUIS_DATOS!$C$1511)&gt;0.5,(CROQUIS_DATOS!$C$1476)-(0)&gt;0.5),(CROQUIS_DATOS!$C$1567+(IF(IF(MOD(MIN(INT(($A102-1)/2)+1,MAX(1,INT(((((CROQUIS_DATOS!$C$1511+CROQUIS_DATOS!$C$1512))-(CROQUIS_DATOS!$C$1511))+((CROQUIS_DATOS!$C$1476)*CROQUIS_DATOS!$C$1561-(0)*CROQUIS_DATOS!$C$1561))/CROQUIS_DATOS!$C$1568-0.000001))),2)=1,IF(INT(($A102-1)/2)+1&gt;MAX(1,INT(((((CROQUIS_DATOS!$C$1511+CROQUIS_DATOS!$C$1512))-(CROQUIS_DATOS!$C$1511))+((CROQUIS_DATOS!$C$1476)*CROQUIS_DATOS!$C$1561-(0)*CROQUIS_DATOS!$C$1561))/CROQUIS_DATOS!$C$1568-0.000001)),1,MOD($A102-1,2)),1-IF(INT(($A102-1)/2)+1&gt;MAX(1,INT(((((CROQUIS_DATOS!$C$1511+CROQUIS_DATOS!$C$1512))-(CROQUIS_DATOS!$C$1511))+((CROQUIS_DATOS!$C$1476)*CROQUIS_DATOS!$C$1561-(0)*CROQUIS_DATOS!$C$1561))/CROQUIS_DATOS!$C$1568-0.000001)),1,MOD($A102-1,2)))=1,MIN((CROQUIS_DATOS!$C$1476)*CROQUIS_DATOS!$C$1561,((CROQUIS_DATOS!$C$1511+CROQUIS_DATOS!$C$1512)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2">
        <f>IF(AND(CROQUIS_DATOS!$C$1472=1,CROQUIS_DATOS!$C$1516&gt;0,((CROQUIS_DATOS!$C$1515+CROQUIS_DATOS!$C$1516))-(CROQUIS_DATOS!$C$1515)&gt;0.5,(CROQUIS_DATOS!$C$1476)-(0)&gt;0.5),(CROQUIS_DATOS!$C$1566+(IF(IF(MOD(MIN(INT(($A102-1)/2)+1,MAX(1,INT(((((CROQUIS_DATOS!$C$1515+CROQUIS_DATOS!$C$1516))-(CROQUIS_DATOS!$C$1515))+((CROQUIS_DATOS!$C$1476)*CROQUIS_DATOS!$C$1561-(0)*CROQUIS_DATOS!$C$1561))/CROQUIS_DATOS!$C$1568-0.000001))),2)=1,IF(INT(($A102-1)/2)+1&gt;MAX(1,INT(((((CROQUIS_DATOS!$C$1515+CROQUIS_DATOS!$C$1516))-(CROQUIS_DATOS!$C$1515))+((CROQUIS_DATOS!$C$1476)*CROQUIS_DATOS!$C$1561-(0)*CROQUIS_DATOS!$C$1561))/CROQUIS_DATOS!$C$1568-0.000001)),1,MOD($A102-1,2)),1-IF(INT(($A102-1)/2)+1&gt;MAX(1,INT(((((CROQUIS_DATOS!$C$1515+CROQUIS_DATOS!$C$1516))-(CROQUIS_DATOS!$C$1515))+((CROQUIS_DATOS!$C$1476)*CROQUIS_DATOS!$C$1561-(0)*CROQUIS_DATOS!$C$1561))/CROQUIS_DATOS!$C$1568-0.000001)),1,MOD($A102-1,2)))=1,MIN((CROQUIS_DATOS!$C$1476)*CROQUIS_DATOS!$C$1561,((CROQUIS_DATOS!$C$1515+CROQUIS_DATOS!$C$1516)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2">
        <f>IF(AND(CROQUIS_DATOS!$C$1472=1,CROQUIS_DATOS!$C$1516&gt;0,((CROQUIS_DATOS!$C$1515+CROQUIS_DATOS!$C$1516))-(CROQUIS_DATOS!$C$1515)&gt;0.5,(CROQUIS_DATOS!$C$1476)-(0)&gt;0.5),(CROQUIS_DATOS!$C$1567+(IF(IF(MOD(MIN(INT(($A102-1)/2)+1,MAX(1,INT(((((CROQUIS_DATOS!$C$1515+CROQUIS_DATOS!$C$1516))-(CROQUIS_DATOS!$C$1515))+((CROQUIS_DATOS!$C$1476)*CROQUIS_DATOS!$C$1561-(0)*CROQUIS_DATOS!$C$1561))/CROQUIS_DATOS!$C$1568-0.000001))),2)=1,IF(INT(($A102-1)/2)+1&gt;MAX(1,INT(((((CROQUIS_DATOS!$C$1515+CROQUIS_DATOS!$C$1516))-(CROQUIS_DATOS!$C$1515))+((CROQUIS_DATOS!$C$1476)*CROQUIS_DATOS!$C$1561-(0)*CROQUIS_DATOS!$C$1561))/CROQUIS_DATOS!$C$1568-0.000001)),1,MOD($A102-1,2)),1-IF(INT(($A102-1)/2)+1&gt;MAX(1,INT(((((CROQUIS_DATOS!$C$1515+CROQUIS_DATOS!$C$1516))-(CROQUIS_DATOS!$C$1515))+((CROQUIS_DATOS!$C$1476)*CROQUIS_DATOS!$C$1561-(0)*CROQUIS_DATOS!$C$1561))/CROQUIS_DATOS!$C$1568-0.000001)),1,MOD($A102-1,2)))=1,MIN((CROQUIS_DATOS!$C$1476)*CROQUIS_DATOS!$C$1561,((CROQUIS_DATOS!$C$1515+CROQUIS_DATOS!$C$1516)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2">
        <f>IF(AND(CROQUIS_DATOS!$C$1472=1,CROQUIS_DATOS!$C$1478&gt;=1,((CROQUIS_DATOS!$C$1479+CROQUIS_DATOS!$C$1480))-(CROQUIS_DATOS!$C$1479)&gt;0.5,(CROQUIS_DATOS!$C$1481)-(0)&gt;0.5),(CROQUIS_DATOS!$C$1566+(IF(IF(MOD(MIN(INT(($A102-1)/2)+1,MAX(1,INT(((((CROQUIS_DATOS!$C$1479+CROQUIS_DATOS!$C$1480))-(CROQUIS_DATOS!$C$1479))+((CROQUIS_DATOS!$C$1481)*CROQUIS_DATOS!$C$1561-(0)*CROQUIS_DATOS!$C$1561))/CROQUIS_DATOS!$C$1568-0.000001))),2)=1,IF(INT(($A102-1)/2)+1&gt;MAX(1,INT(((((CROQUIS_DATOS!$C$1479+CROQUIS_DATOS!$C$1480))-(CROQUIS_DATOS!$C$1479))+((CROQUIS_DATOS!$C$1481)*CROQUIS_DATOS!$C$1561-(0)*CROQUIS_DATOS!$C$1561))/CROQUIS_DATOS!$C$1568-0.000001)),1,MOD($A102-1,2)),1-IF(INT(($A102-1)/2)+1&gt;MAX(1,INT(((((CROQUIS_DATOS!$C$1479+CROQUIS_DATOS!$C$1480))-(CROQUIS_DATOS!$C$1479))+((CROQUIS_DATOS!$C$1481)*CROQUIS_DATOS!$C$1561-(0)*CROQUIS_DATOS!$C$1561))/CROQUIS_DATOS!$C$1568-0.000001)),1,MOD($A102-1,2)))=1,MIN((CROQUIS_DATOS!$C$1481)*CROQUIS_DATOS!$C$1561,((CROQUIS_DATOS!$C$1479+CROQUIS_DATOS!$C$1480)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2">
        <f>IF(AND(CROQUIS_DATOS!$C$1472=1,CROQUIS_DATOS!$C$1478&gt;=1,((CROQUIS_DATOS!$C$1479+CROQUIS_DATOS!$C$1480))-(CROQUIS_DATOS!$C$1479)&gt;0.5,(CROQUIS_DATOS!$C$1481)-(0)&gt;0.5),(CROQUIS_DATOS!$C$1567+(IF(IF(MOD(MIN(INT(($A102-1)/2)+1,MAX(1,INT(((((CROQUIS_DATOS!$C$1479+CROQUIS_DATOS!$C$1480))-(CROQUIS_DATOS!$C$1479))+((CROQUIS_DATOS!$C$1481)*CROQUIS_DATOS!$C$1561-(0)*CROQUIS_DATOS!$C$1561))/CROQUIS_DATOS!$C$1568-0.000001))),2)=1,IF(INT(($A102-1)/2)+1&gt;MAX(1,INT(((((CROQUIS_DATOS!$C$1479+CROQUIS_DATOS!$C$1480))-(CROQUIS_DATOS!$C$1479))+((CROQUIS_DATOS!$C$1481)*CROQUIS_DATOS!$C$1561-(0)*CROQUIS_DATOS!$C$1561))/CROQUIS_DATOS!$C$1568-0.000001)),1,MOD($A102-1,2)),1-IF(INT(($A102-1)/2)+1&gt;MAX(1,INT(((((CROQUIS_DATOS!$C$1479+CROQUIS_DATOS!$C$1480))-(CROQUIS_DATOS!$C$1479))+((CROQUIS_DATOS!$C$1481)*CROQUIS_DATOS!$C$1561-(0)*CROQUIS_DATOS!$C$1561))/CROQUIS_DATOS!$C$1568-0.000001)),1,MOD($A102-1,2)))=1,MIN((CROQUIS_DATOS!$C$1481)*CROQUIS_DATOS!$C$1561,((CROQUIS_DATOS!$C$1479+CROQUIS_DATOS!$C$1480)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2">
        <f>IF(AND(CROQUIS_DATOS!$C$1472=1,CROQUIS_DATOS!$C$1478&gt;=1,((CROQUIS_DATOS!$C$1479+CROQUIS_DATOS!$C$1480))-(CROQUIS_DATOS!$C$1479)&gt;0.5,(CROQUIS_DATOS!$C$1476)-((CROQUIS_DATOS!$C$1481+CROQUIS_DATOS!$C$1482))&gt;0.5),(CROQUIS_DATOS!$C$1566+(IF(IF(MOD(MIN(INT(($A102-1)/2)+1,MAX(1,INT(((((CROQUIS_DATOS!$C$1479+CROQUIS_DATOS!$C$1480))-(CROQUIS_DATOS!$C$1479))+((CROQUIS_DATOS!$C$1476)*CROQUIS_DATOS!$C$1561-((CROQUIS_DATOS!$C$1481+CROQUIS_DATOS!$C$1482))*CROQUIS_DATOS!$C$1561))/CROQUIS_DATOS!$C$1568-0.000001))),2)=1,IF(INT(($A102-1)/2)+1&gt;MAX(1,INT(((((CROQUIS_DATOS!$C$1479+CROQUIS_DATOS!$C$1480))-(CROQUIS_DATOS!$C$1479))+((CROQUIS_DATOS!$C$1476)*CROQUIS_DATOS!$C$1561-((CROQUIS_DATOS!$C$1481+CROQUIS_DATOS!$C$1482))*CROQUIS_DATOS!$C$1561))/CROQUIS_DATOS!$C$1568-0.000001)),1,MOD($A102-1,2)),1-IF(INT(($A102-1)/2)+1&gt;MAX(1,INT(((((CROQUIS_DATOS!$C$1479+CROQUIS_DATOS!$C$1480))-(CROQUIS_DATOS!$C$1479))+((CROQUIS_DATOS!$C$1476)*CROQUIS_DATOS!$C$1561-((CROQUIS_DATOS!$C$1481+CROQUIS_DATOS!$C$1482))*CROQUIS_DATOS!$C$1561))/CROQUIS_DATOS!$C$1568-0.000001)),1,MOD($A102-1,2)))=1,MIN((CROQUIS_DATOS!$C$1476)*CROQUIS_DATOS!$C$1561,((CROQUIS_DATOS!$C$1479+CROQUIS_DATOS!$C$1480)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2">
        <f>IF(AND(CROQUIS_DATOS!$C$1472=1,CROQUIS_DATOS!$C$1478&gt;=1,((CROQUIS_DATOS!$C$1479+CROQUIS_DATOS!$C$1480))-(CROQUIS_DATOS!$C$1479)&gt;0.5,(CROQUIS_DATOS!$C$1476)-((CROQUIS_DATOS!$C$1481+CROQUIS_DATOS!$C$1482))&gt;0.5),(CROQUIS_DATOS!$C$1567+(IF(IF(MOD(MIN(INT(($A102-1)/2)+1,MAX(1,INT(((((CROQUIS_DATOS!$C$1479+CROQUIS_DATOS!$C$1480))-(CROQUIS_DATOS!$C$1479))+((CROQUIS_DATOS!$C$1476)*CROQUIS_DATOS!$C$1561-((CROQUIS_DATOS!$C$1481+CROQUIS_DATOS!$C$1482))*CROQUIS_DATOS!$C$1561))/CROQUIS_DATOS!$C$1568-0.000001))),2)=1,IF(INT(($A102-1)/2)+1&gt;MAX(1,INT(((((CROQUIS_DATOS!$C$1479+CROQUIS_DATOS!$C$1480))-(CROQUIS_DATOS!$C$1479))+((CROQUIS_DATOS!$C$1476)*CROQUIS_DATOS!$C$1561-((CROQUIS_DATOS!$C$1481+CROQUIS_DATOS!$C$1482))*CROQUIS_DATOS!$C$1561))/CROQUIS_DATOS!$C$1568-0.000001)),1,MOD($A102-1,2)),1-IF(INT(($A102-1)/2)+1&gt;MAX(1,INT(((((CROQUIS_DATOS!$C$1479+CROQUIS_DATOS!$C$1480))-(CROQUIS_DATOS!$C$1479))+((CROQUIS_DATOS!$C$1476)*CROQUIS_DATOS!$C$1561-((CROQUIS_DATOS!$C$1481+CROQUIS_DATOS!$C$1482))*CROQUIS_DATOS!$C$1561))/CROQUIS_DATOS!$C$1568-0.000001)),1,MOD($A102-1,2)))=1,MIN((CROQUIS_DATOS!$C$1476)*CROQUIS_DATOS!$C$1561,((CROQUIS_DATOS!$C$1479+CROQUIS_DATOS!$C$1480)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2">
        <f>IF(AND(CROQUIS_DATOS!$C$1472=1,CROQUIS_DATOS!$C$1478&gt;=2,((CROQUIS_DATOS!$C$1484+CROQUIS_DATOS!$C$1485))-(CROQUIS_DATOS!$C$1484)&gt;0.5,(CROQUIS_DATOS!$C$1486)-(0)&gt;0.5),(CROQUIS_DATOS!$C$1566+(IF(IF(MOD(MIN(INT(($A102-1)/2)+1,MAX(1,INT(((((CROQUIS_DATOS!$C$1484+CROQUIS_DATOS!$C$1485))-(CROQUIS_DATOS!$C$1484))+((CROQUIS_DATOS!$C$1486)*CROQUIS_DATOS!$C$1561-(0)*CROQUIS_DATOS!$C$1561))/CROQUIS_DATOS!$C$1568-0.000001))),2)=1,IF(INT(($A102-1)/2)+1&gt;MAX(1,INT(((((CROQUIS_DATOS!$C$1484+CROQUIS_DATOS!$C$1485))-(CROQUIS_DATOS!$C$1484))+((CROQUIS_DATOS!$C$1486)*CROQUIS_DATOS!$C$1561-(0)*CROQUIS_DATOS!$C$1561))/CROQUIS_DATOS!$C$1568-0.000001)),1,MOD($A102-1,2)),1-IF(INT(($A102-1)/2)+1&gt;MAX(1,INT(((((CROQUIS_DATOS!$C$1484+CROQUIS_DATOS!$C$1485))-(CROQUIS_DATOS!$C$1484))+((CROQUIS_DATOS!$C$1486)*CROQUIS_DATOS!$C$1561-(0)*CROQUIS_DATOS!$C$1561))/CROQUIS_DATOS!$C$1568-0.000001)),1,MOD($A102-1,2)))=1,MIN((CROQUIS_DATOS!$C$1486)*CROQUIS_DATOS!$C$1561,((CROQUIS_DATOS!$C$1484+CROQUIS_DATOS!$C$1485)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2">
        <f>IF(AND(CROQUIS_DATOS!$C$1472=1,CROQUIS_DATOS!$C$1478&gt;=2,((CROQUIS_DATOS!$C$1484+CROQUIS_DATOS!$C$1485))-(CROQUIS_DATOS!$C$1484)&gt;0.5,(CROQUIS_DATOS!$C$1486)-(0)&gt;0.5),(CROQUIS_DATOS!$C$1567+(IF(IF(MOD(MIN(INT(($A102-1)/2)+1,MAX(1,INT(((((CROQUIS_DATOS!$C$1484+CROQUIS_DATOS!$C$1485))-(CROQUIS_DATOS!$C$1484))+((CROQUIS_DATOS!$C$1486)*CROQUIS_DATOS!$C$1561-(0)*CROQUIS_DATOS!$C$1561))/CROQUIS_DATOS!$C$1568-0.000001))),2)=1,IF(INT(($A102-1)/2)+1&gt;MAX(1,INT(((((CROQUIS_DATOS!$C$1484+CROQUIS_DATOS!$C$1485))-(CROQUIS_DATOS!$C$1484))+((CROQUIS_DATOS!$C$1486)*CROQUIS_DATOS!$C$1561-(0)*CROQUIS_DATOS!$C$1561))/CROQUIS_DATOS!$C$1568-0.000001)),1,MOD($A102-1,2)),1-IF(INT(($A102-1)/2)+1&gt;MAX(1,INT(((((CROQUIS_DATOS!$C$1484+CROQUIS_DATOS!$C$1485))-(CROQUIS_DATOS!$C$1484))+((CROQUIS_DATOS!$C$1486)*CROQUIS_DATOS!$C$1561-(0)*CROQUIS_DATOS!$C$1561))/CROQUIS_DATOS!$C$1568-0.000001)),1,MOD($A102-1,2)))=1,MIN((CROQUIS_DATOS!$C$1486)*CROQUIS_DATOS!$C$1561,((CROQUIS_DATOS!$C$1484+CROQUIS_DATOS!$C$1485)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2">
        <f>IF(AND(CROQUIS_DATOS!$C$1472=1,CROQUIS_DATOS!$C$1478&gt;=2,((CROQUIS_DATOS!$C$1484+CROQUIS_DATOS!$C$1485))-(CROQUIS_DATOS!$C$1484)&gt;0.5,(CROQUIS_DATOS!$C$1476)-((CROQUIS_DATOS!$C$1486+CROQUIS_DATOS!$C$1487))&gt;0.5),(CROQUIS_DATOS!$C$1566+(IF(IF(MOD(MIN(INT(($A102-1)/2)+1,MAX(1,INT(((((CROQUIS_DATOS!$C$1484+CROQUIS_DATOS!$C$1485))-(CROQUIS_DATOS!$C$1484))+((CROQUIS_DATOS!$C$1476)*CROQUIS_DATOS!$C$1561-((CROQUIS_DATOS!$C$1486+CROQUIS_DATOS!$C$1487))*CROQUIS_DATOS!$C$1561))/CROQUIS_DATOS!$C$1568-0.000001))),2)=1,IF(INT(($A102-1)/2)+1&gt;MAX(1,INT(((((CROQUIS_DATOS!$C$1484+CROQUIS_DATOS!$C$1485))-(CROQUIS_DATOS!$C$1484))+((CROQUIS_DATOS!$C$1476)*CROQUIS_DATOS!$C$1561-((CROQUIS_DATOS!$C$1486+CROQUIS_DATOS!$C$1487))*CROQUIS_DATOS!$C$1561))/CROQUIS_DATOS!$C$1568-0.000001)),1,MOD($A102-1,2)),1-IF(INT(($A102-1)/2)+1&gt;MAX(1,INT(((((CROQUIS_DATOS!$C$1484+CROQUIS_DATOS!$C$1485))-(CROQUIS_DATOS!$C$1484))+((CROQUIS_DATOS!$C$1476)*CROQUIS_DATOS!$C$1561-((CROQUIS_DATOS!$C$1486+CROQUIS_DATOS!$C$1487))*CROQUIS_DATOS!$C$1561))/CROQUIS_DATOS!$C$1568-0.000001)),1,MOD($A102-1,2)))=1,MIN((CROQUIS_DATOS!$C$1476)*CROQUIS_DATOS!$C$1561,((CROQUIS_DATOS!$C$1484+CROQUIS_DATOS!$C$1485)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2">
        <f>IF(AND(CROQUIS_DATOS!$C$1472=1,CROQUIS_DATOS!$C$1478&gt;=2,((CROQUIS_DATOS!$C$1484+CROQUIS_DATOS!$C$1485))-(CROQUIS_DATOS!$C$1484)&gt;0.5,(CROQUIS_DATOS!$C$1476)-((CROQUIS_DATOS!$C$1486+CROQUIS_DATOS!$C$1487))&gt;0.5),(CROQUIS_DATOS!$C$1567+(IF(IF(MOD(MIN(INT(($A102-1)/2)+1,MAX(1,INT(((((CROQUIS_DATOS!$C$1484+CROQUIS_DATOS!$C$1485))-(CROQUIS_DATOS!$C$1484))+((CROQUIS_DATOS!$C$1476)*CROQUIS_DATOS!$C$1561-((CROQUIS_DATOS!$C$1486+CROQUIS_DATOS!$C$1487))*CROQUIS_DATOS!$C$1561))/CROQUIS_DATOS!$C$1568-0.000001))),2)=1,IF(INT(($A102-1)/2)+1&gt;MAX(1,INT(((((CROQUIS_DATOS!$C$1484+CROQUIS_DATOS!$C$1485))-(CROQUIS_DATOS!$C$1484))+((CROQUIS_DATOS!$C$1476)*CROQUIS_DATOS!$C$1561-((CROQUIS_DATOS!$C$1486+CROQUIS_DATOS!$C$1487))*CROQUIS_DATOS!$C$1561))/CROQUIS_DATOS!$C$1568-0.000001)),1,MOD($A102-1,2)),1-IF(INT(($A102-1)/2)+1&gt;MAX(1,INT(((((CROQUIS_DATOS!$C$1484+CROQUIS_DATOS!$C$1485))-(CROQUIS_DATOS!$C$1484))+((CROQUIS_DATOS!$C$1476)*CROQUIS_DATOS!$C$1561-((CROQUIS_DATOS!$C$1486+CROQUIS_DATOS!$C$1487))*CROQUIS_DATOS!$C$1561))/CROQUIS_DATOS!$C$1568-0.000001)),1,MOD($A102-1,2)))=1,MIN((CROQUIS_DATOS!$C$1476)*CROQUIS_DATOS!$C$1561,((CROQUIS_DATOS!$C$1484+CROQUIS_DATOS!$C$1485)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2">
        <f>IF(AND(CROQUIS_DATOS!$C$1472=1,CROQUIS_DATOS!$C$1478&gt;=3,((CROQUIS_DATOS!$C$1489+CROQUIS_DATOS!$C$1490))-(CROQUIS_DATOS!$C$1489)&gt;0.5,(CROQUIS_DATOS!$C$1491)-(0)&gt;0.5),(CROQUIS_DATOS!$C$1566+(IF(IF(MOD(MIN(INT(($A102-1)/2)+1,MAX(1,INT(((((CROQUIS_DATOS!$C$1489+CROQUIS_DATOS!$C$1490))-(CROQUIS_DATOS!$C$1489))+((CROQUIS_DATOS!$C$1491)*CROQUIS_DATOS!$C$1561-(0)*CROQUIS_DATOS!$C$1561))/CROQUIS_DATOS!$C$1568-0.000001))),2)=1,IF(INT(($A102-1)/2)+1&gt;MAX(1,INT(((((CROQUIS_DATOS!$C$1489+CROQUIS_DATOS!$C$1490))-(CROQUIS_DATOS!$C$1489))+((CROQUIS_DATOS!$C$1491)*CROQUIS_DATOS!$C$1561-(0)*CROQUIS_DATOS!$C$1561))/CROQUIS_DATOS!$C$1568-0.000001)),1,MOD($A102-1,2)),1-IF(INT(($A102-1)/2)+1&gt;MAX(1,INT(((((CROQUIS_DATOS!$C$1489+CROQUIS_DATOS!$C$1490))-(CROQUIS_DATOS!$C$1489))+((CROQUIS_DATOS!$C$1491)*CROQUIS_DATOS!$C$1561-(0)*CROQUIS_DATOS!$C$1561))/CROQUIS_DATOS!$C$1568-0.000001)),1,MOD($A102-1,2)))=1,MIN((CROQUIS_DATOS!$C$1491)*CROQUIS_DATOS!$C$1561,((CROQUIS_DATOS!$C$1489+CROQUIS_DATOS!$C$1490)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2">
        <f>IF(AND(CROQUIS_DATOS!$C$1472=1,CROQUIS_DATOS!$C$1478&gt;=3,((CROQUIS_DATOS!$C$1489+CROQUIS_DATOS!$C$1490))-(CROQUIS_DATOS!$C$1489)&gt;0.5,(CROQUIS_DATOS!$C$1491)-(0)&gt;0.5),(CROQUIS_DATOS!$C$1567+(IF(IF(MOD(MIN(INT(($A102-1)/2)+1,MAX(1,INT(((((CROQUIS_DATOS!$C$1489+CROQUIS_DATOS!$C$1490))-(CROQUIS_DATOS!$C$1489))+((CROQUIS_DATOS!$C$1491)*CROQUIS_DATOS!$C$1561-(0)*CROQUIS_DATOS!$C$1561))/CROQUIS_DATOS!$C$1568-0.000001))),2)=1,IF(INT(($A102-1)/2)+1&gt;MAX(1,INT(((((CROQUIS_DATOS!$C$1489+CROQUIS_DATOS!$C$1490))-(CROQUIS_DATOS!$C$1489))+((CROQUIS_DATOS!$C$1491)*CROQUIS_DATOS!$C$1561-(0)*CROQUIS_DATOS!$C$1561))/CROQUIS_DATOS!$C$1568-0.000001)),1,MOD($A102-1,2)),1-IF(INT(($A102-1)/2)+1&gt;MAX(1,INT(((((CROQUIS_DATOS!$C$1489+CROQUIS_DATOS!$C$1490))-(CROQUIS_DATOS!$C$1489))+((CROQUIS_DATOS!$C$1491)*CROQUIS_DATOS!$C$1561-(0)*CROQUIS_DATOS!$C$1561))/CROQUIS_DATOS!$C$1568-0.000001)),1,MOD($A102-1,2)))=1,MIN((CROQUIS_DATOS!$C$1491)*CROQUIS_DATOS!$C$1561,((CROQUIS_DATOS!$C$1489+CROQUIS_DATOS!$C$1490)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2">
        <f>IF(AND(CROQUIS_DATOS!$C$1472=1,CROQUIS_DATOS!$C$1478&gt;=3,((CROQUIS_DATOS!$C$1489+CROQUIS_DATOS!$C$1490))-(CROQUIS_DATOS!$C$1489)&gt;0.5,(CROQUIS_DATOS!$C$1476)-((CROQUIS_DATOS!$C$1491+CROQUIS_DATOS!$C$1492))&gt;0.5),(CROQUIS_DATOS!$C$1566+(IF(IF(MOD(MIN(INT(($A102-1)/2)+1,MAX(1,INT(((((CROQUIS_DATOS!$C$1489+CROQUIS_DATOS!$C$1490))-(CROQUIS_DATOS!$C$1489))+((CROQUIS_DATOS!$C$1476)*CROQUIS_DATOS!$C$1561-((CROQUIS_DATOS!$C$1491+CROQUIS_DATOS!$C$1492))*CROQUIS_DATOS!$C$1561))/CROQUIS_DATOS!$C$1568-0.000001))),2)=1,IF(INT(($A102-1)/2)+1&gt;MAX(1,INT(((((CROQUIS_DATOS!$C$1489+CROQUIS_DATOS!$C$1490))-(CROQUIS_DATOS!$C$1489))+((CROQUIS_DATOS!$C$1476)*CROQUIS_DATOS!$C$1561-((CROQUIS_DATOS!$C$1491+CROQUIS_DATOS!$C$1492))*CROQUIS_DATOS!$C$1561))/CROQUIS_DATOS!$C$1568-0.000001)),1,MOD($A102-1,2)),1-IF(INT(($A102-1)/2)+1&gt;MAX(1,INT(((((CROQUIS_DATOS!$C$1489+CROQUIS_DATOS!$C$1490))-(CROQUIS_DATOS!$C$1489))+((CROQUIS_DATOS!$C$1476)*CROQUIS_DATOS!$C$1561-((CROQUIS_DATOS!$C$1491+CROQUIS_DATOS!$C$1492))*CROQUIS_DATOS!$C$1561))/CROQUIS_DATOS!$C$1568-0.000001)),1,MOD($A102-1,2)))=1,MIN((CROQUIS_DATOS!$C$1476)*CROQUIS_DATOS!$C$1561,((CROQUIS_DATOS!$C$1489+CROQUIS_DATOS!$C$1490)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2">
        <f>IF(AND(CROQUIS_DATOS!$C$1472=1,CROQUIS_DATOS!$C$1478&gt;=3,((CROQUIS_DATOS!$C$1489+CROQUIS_DATOS!$C$1490))-(CROQUIS_DATOS!$C$1489)&gt;0.5,(CROQUIS_DATOS!$C$1476)-((CROQUIS_DATOS!$C$1491+CROQUIS_DATOS!$C$1492))&gt;0.5),(CROQUIS_DATOS!$C$1567+(IF(IF(MOD(MIN(INT(($A102-1)/2)+1,MAX(1,INT(((((CROQUIS_DATOS!$C$1489+CROQUIS_DATOS!$C$1490))-(CROQUIS_DATOS!$C$1489))+((CROQUIS_DATOS!$C$1476)*CROQUIS_DATOS!$C$1561-((CROQUIS_DATOS!$C$1491+CROQUIS_DATOS!$C$1492))*CROQUIS_DATOS!$C$1561))/CROQUIS_DATOS!$C$1568-0.000001))),2)=1,IF(INT(($A102-1)/2)+1&gt;MAX(1,INT(((((CROQUIS_DATOS!$C$1489+CROQUIS_DATOS!$C$1490))-(CROQUIS_DATOS!$C$1489))+((CROQUIS_DATOS!$C$1476)*CROQUIS_DATOS!$C$1561-((CROQUIS_DATOS!$C$1491+CROQUIS_DATOS!$C$1492))*CROQUIS_DATOS!$C$1561))/CROQUIS_DATOS!$C$1568-0.000001)),1,MOD($A102-1,2)),1-IF(INT(($A102-1)/2)+1&gt;MAX(1,INT(((((CROQUIS_DATOS!$C$1489+CROQUIS_DATOS!$C$1490))-(CROQUIS_DATOS!$C$1489))+((CROQUIS_DATOS!$C$1476)*CROQUIS_DATOS!$C$1561-((CROQUIS_DATOS!$C$1491+CROQUIS_DATOS!$C$1492))*CROQUIS_DATOS!$C$1561))/CROQUIS_DATOS!$C$1568-0.000001)),1,MOD($A102-1,2)))=1,MIN((CROQUIS_DATOS!$C$1476)*CROQUIS_DATOS!$C$1561,((CROQUIS_DATOS!$C$1489+CROQUIS_DATOS!$C$1490)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2">
        <f>IF(AND(CROQUIS_DATOS!$C$1472=1,CROQUIS_DATOS!$C$1478&gt;=4,((CROQUIS_DATOS!$C$1494+CROQUIS_DATOS!$C$1495))-(CROQUIS_DATOS!$C$1494)&gt;0.5,(CROQUIS_DATOS!$C$1496)-(0)&gt;0.5),(CROQUIS_DATOS!$C$1566+(IF(IF(MOD(MIN(INT(($A102-1)/2)+1,MAX(1,INT(((((CROQUIS_DATOS!$C$1494+CROQUIS_DATOS!$C$1495))-(CROQUIS_DATOS!$C$1494))+((CROQUIS_DATOS!$C$1496)*CROQUIS_DATOS!$C$1561-(0)*CROQUIS_DATOS!$C$1561))/CROQUIS_DATOS!$C$1568-0.000001))),2)=1,IF(INT(($A102-1)/2)+1&gt;MAX(1,INT(((((CROQUIS_DATOS!$C$1494+CROQUIS_DATOS!$C$1495))-(CROQUIS_DATOS!$C$1494))+((CROQUIS_DATOS!$C$1496)*CROQUIS_DATOS!$C$1561-(0)*CROQUIS_DATOS!$C$1561))/CROQUIS_DATOS!$C$1568-0.000001)),1,MOD($A102-1,2)),1-IF(INT(($A102-1)/2)+1&gt;MAX(1,INT(((((CROQUIS_DATOS!$C$1494+CROQUIS_DATOS!$C$1495))-(CROQUIS_DATOS!$C$1494))+((CROQUIS_DATOS!$C$1496)*CROQUIS_DATOS!$C$1561-(0)*CROQUIS_DATOS!$C$1561))/CROQUIS_DATOS!$C$1568-0.000001)),1,MOD($A102-1,2)))=1,MIN((CROQUIS_DATOS!$C$1496)*CROQUIS_DATOS!$C$1561,((CROQUIS_DATOS!$C$1494+CROQUIS_DATOS!$C$1495)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2">
        <f>IF(AND(CROQUIS_DATOS!$C$1472=1,CROQUIS_DATOS!$C$1478&gt;=4,((CROQUIS_DATOS!$C$1494+CROQUIS_DATOS!$C$1495))-(CROQUIS_DATOS!$C$1494)&gt;0.5,(CROQUIS_DATOS!$C$1496)-(0)&gt;0.5),(CROQUIS_DATOS!$C$1567+(IF(IF(MOD(MIN(INT(($A102-1)/2)+1,MAX(1,INT(((((CROQUIS_DATOS!$C$1494+CROQUIS_DATOS!$C$1495))-(CROQUIS_DATOS!$C$1494))+((CROQUIS_DATOS!$C$1496)*CROQUIS_DATOS!$C$1561-(0)*CROQUIS_DATOS!$C$1561))/CROQUIS_DATOS!$C$1568-0.000001))),2)=1,IF(INT(($A102-1)/2)+1&gt;MAX(1,INT(((((CROQUIS_DATOS!$C$1494+CROQUIS_DATOS!$C$1495))-(CROQUIS_DATOS!$C$1494))+((CROQUIS_DATOS!$C$1496)*CROQUIS_DATOS!$C$1561-(0)*CROQUIS_DATOS!$C$1561))/CROQUIS_DATOS!$C$1568-0.000001)),1,MOD($A102-1,2)),1-IF(INT(($A102-1)/2)+1&gt;MAX(1,INT(((((CROQUIS_DATOS!$C$1494+CROQUIS_DATOS!$C$1495))-(CROQUIS_DATOS!$C$1494))+((CROQUIS_DATOS!$C$1496)*CROQUIS_DATOS!$C$1561-(0)*CROQUIS_DATOS!$C$1561))/CROQUIS_DATOS!$C$1568-0.000001)),1,MOD($A102-1,2)))=1,MIN((CROQUIS_DATOS!$C$1496)*CROQUIS_DATOS!$C$1561,((CROQUIS_DATOS!$C$1494+CROQUIS_DATOS!$C$1495)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2">
        <f>IF(AND(CROQUIS_DATOS!$C$1472=1,CROQUIS_DATOS!$C$1478&gt;=4,((CROQUIS_DATOS!$C$1494+CROQUIS_DATOS!$C$1495))-(CROQUIS_DATOS!$C$1494)&gt;0.5,(CROQUIS_DATOS!$C$1476)-((CROQUIS_DATOS!$C$1496+CROQUIS_DATOS!$C$1497))&gt;0.5),(CROQUIS_DATOS!$C$1566+(IF(IF(MOD(MIN(INT(($A102-1)/2)+1,MAX(1,INT(((((CROQUIS_DATOS!$C$1494+CROQUIS_DATOS!$C$1495))-(CROQUIS_DATOS!$C$1494))+((CROQUIS_DATOS!$C$1476)*CROQUIS_DATOS!$C$1561-((CROQUIS_DATOS!$C$1496+CROQUIS_DATOS!$C$1497))*CROQUIS_DATOS!$C$1561))/CROQUIS_DATOS!$C$1568-0.000001))),2)=1,IF(INT(($A102-1)/2)+1&gt;MAX(1,INT(((((CROQUIS_DATOS!$C$1494+CROQUIS_DATOS!$C$1495))-(CROQUIS_DATOS!$C$1494))+((CROQUIS_DATOS!$C$1476)*CROQUIS_DATOS!$C$1561-((CROQUIS_DATOS!$C$1496+CROQUIS_DATOS!$C$1497))*CROQUIS_DATOS!$C$1561))/CROQUIS_DATOS!$C$1568-0.000001)),1,MOD($A102-1,2)),1-IF(INT(($A102-1)/2)+1&gt;MAX(1,INT(((((CROQUIS_DATOS!$C$1494+CROQUIS_DATOS!$C$1495))-(CROQUIS_DATOS!$C$1494))+((CROQUIS_DATOS!$C$1476)*CROQUIS_DATOS!$C$1561-((CROQUIS_DATOS!$C$1496+CROQUIS_DATOS!$C$1497))*CROQUIS_DATOS!$C$1561))/CROQUIS_DATOS!$C$1568-0.000001)),1,MOD($A102-1,2)))=1,MIN((CROQUIS_DATOS!$C$1476)*CROQUIS_DATOS!$C$1561,((CROQUIS_DATOS!$C$1494+CROQUIS_DATOS!$C$1495)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2">
        <f>IF(AND(CROQUIS_DATOS!$C$1472=1,CROQUIS_DATOS!$C$1478&gt;=4,((CROQUIS_DATOS!$C$1494+CROQUIS_DATOS!$C$1495))-(CROQUIS_DATOS!$C$1494)&gt;0.5,(CROQUIS_DATOS!$C$1476)-((CROQUIS_DATOS!$C$1496+CROQUIS_DATOS!$C$1497))&gt;0.5),(CROQUIS_DATOS!$C$1567+(IF(IF(MOD(MIN(INT(($A102-1)/2)+1,MAX(1,INT(((((CROQUIS_DATOS!$C$1494+CROQUIS_DATOS!$C$1495))-(CROQUIS_DATOS!$C$1494))+((CROQUIS_DATOS!$C$1476)*CROQUIS_DATOS!$C$1561-((CROQUIS_DATOS!$C$1496+CROQUIS_DATOS!$C$1497))*CROQUIS_DATOS!$C$1561))/CROQUIS_DATOS!$C$1568-0.000001))),2)=1,IF(INT(($A102-1)/2)+1&gt;MAX(1,INT(((((CROQUIS_DATOS!$C$1494+CROQUIS_DATOS!$C$1495))-(CROQUIS_DATOS!$C$1494))+((CROQUIS_DATOS!$C$1476)*CROQUIS_DATOS!$C$1561-((CROQUIS_DATOS!$C$1496+CROQUIS_DATOS!$C$1497))*CROQUIS_DATOS!$C$1561))/CROQUIS_DATOS!$C$1568-0.000001)),1,MOD($A102-1,2)),1-IF(INT(($A102-1)/2)+1&gt;MAX(1,INT(((((CROQUIS_DATOS!$C$1494+CROQUIS_DATOS!$C$1495))-(CROQUIS_DATOS!$C$1494))+((CROQUIS_DATOS!$C$1476)*CROQUIS_DATOS!$C$1561-((CROQUIS_DATOS!$C$1496+CROQUIS_DATOS!$C$1497))*CROQUIS_DATOS!$C$1561))/CROQUIS_DATOS!$C$1568-0.000001)),1,MOD($A102-1,2)))=1,MIN((CROQUIS_DATOS!$C$1476)*CROQUIS_DATOS!$C$1561,((CROQUIS_DATOS!$C$1494+CROQUIS_DATOS!$C$1495)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3">
      <c r="A103" t="n">
        <v>96</v>
      </c>
      <c r="N103">
        <f>IF(AND(CROQUIS_DATOS!$C$1472=1,1),(CROQUIS_DATOS!$C$1563+(IF(IF(IF(INT(($A103-1)/70)+1&gt;CROQUIS_DATOS!$C$1525,70,MOD($A103-1,70)+1)=1,0,IF(IF(INT(($A103-1)/70)+1&gt;CROQUIS_DATOS!$C$1525,70,MOD($A103-1,70)+1)&gt;2*CROQUIS_DATOS!$C$1541+1,IF(MOD(CROQUIS_DATOS!$C$1541,2)=1,1,0),IF(MOD(MIN(INT((IF(INT(($A103-1)/70)+1&gt;CROQUIS_DATOS!$C$1525,70,MOD($A103-1,70)+1)-2)/2)+1,CROQUIS_DATOS!$C$1541),2)=1,IF(MOD(IF(INT(($A103-1)/70)+1&gt;CROQUIS_DATOS!$C$1525,70,MOD($A103-1,70)+1)-2,2)=0,0,1),IF(MOD(IF(INT(($A103-1)/70)+1&gt;CROQUIS_DATOS!$C$1525,70,MOD($A103-1,70)+1)-2,2)=0,1,0))))=0,(INDEX($E$8:$E$23,MIN(INT(($A103-1)/70)+1,CROQUIS_DATOS!$C$1525))-INDEX($F$8:$F$23,MIN(INT(($A103-1)/70)+1,CROQUIS_DATOS!$C$1525))/2),(INDEX($E$8:$E$23,MIN(INT(($A103-1)/70)+1,CROQUIS_DATOS!$C$1525))+INDEX($F$8:$F$23,MIN(INT(($A103-1)/70)+1,CROQUIS_DATOS!$C$1525))/2)))*CROQUIS_DATOS!$C$1562),-1000)</f>
        <v>18.5775862068965</v>
      </c>
      <c r="O103">
        <f>IF(AND(CROQUIS_DATOS!$C$1472=1,1),(CROQUIS_DATOS!$C$1564+(IF(OR(IF(INT(($A103-1)/70)+1&gt;CROQUIS_DATOS!$C$1525,70,MOD($A103-1,70)+1)=1,IF(INT(($A103-1)/70)+1&gt;CROQUIS_DATOS!$C$1525,70,MOD($A103-1,70)+1)&gt;2*CROQUIS_DATOS!$C$1541+1),CROQUIS_DATOS!$C$1476,INDEX($H$8:$H$41,MIN(INT((IF(INT(($A103-1)/70)+1&gt;CROQUIS_DATOS!$C$1525,70,MOD($A103-1,70)+1)-2)/2)+1,CROQUIS_DATOS!$C$1541))))*CROQUIS_DATOS!$C$1561*CROQUIS_DATOS!$C$1562),-1000)</f>
        <v>32.2543103448276</v>
      </c>
      <c r="P103">
        <f>IF(AND(CROQUIS_DATOS!$C$1472=1,CROQUIS_DATOS!$C$1555=1),(CROQUIS_DATOS!$C$1563+(IF(IF(OR(MOD($A103-1,62)+1=1,IF(CHOOSE(MIN(MAX(MIN(INT(($A103-1)/62)+1,5),1),5),CROQUIS_DATOS!$C$1501,CROQUIS_DATOS!$C$1505,CROQUIS_DATOS!$C$1509,CROQUIS_DATOS!$C$1513,CROQUIS_DATOS!$C$1517)=1,CROQUIS_DATOS!$C$1557,0)=0),0,IF(MOD($A103-1,62)+1&gt;2*IF(CHOOSE(MIN(MAX(MIN(INT(($A103-1)/62)+1,5),1),5),CROQUIS_DATOS!$C$1501,CROQUIS_DATOS!$C$1505,CROQUIS_DATOS!$C$1509,CROQUIS_DATOS!$C$1513,CROQUIS_DATOS!$C$1517)=1,CROQUIS_DATOS!$C$1557,0)+1,IF(MOD(IF(CHOOSE(MIN(MAX(MIN(INT(($A103-1)/62)+1,5),1),5),CROQUIS_DATOS!$C$1501,CROQUIS_DATOS!$C$1505,CROQUIS_DATOS!$C$1509,CROQUIS_DATOS!$C$1513,CROQUIS_DATOS!$C$1517)=1,CROQUIS_DATOS!$C$1557,0),2)=1,1,0),IF(MOD(MIN(INT((MOD($A103-1,62)+1-2)/2)+1,MAX(IF(CHOOSE(MIN(MAX(MIN(INT(($A103-1)/62)+1,5),1),5),CROQUIS_DATOS!$C$1501,CROQUIS_DATOS!$C$1505,CROQUIS_DATOS!$C$1509,CROQUIS_DATOS!$C$1513,CROQUIS_DATOS!$C$1517)=1,CROQUIS_DATOS!$C$1557,0),1)),2)=1,IF(MOD(MOD($A103-1,62)+1-2,2)=0,0,1),IF(MOD(MOD($A103-1,62)+1-2,2)=0,1,0))))=0,(CHOOSE(MIN(MAX(MIN(INT(($A103-1)/62)+1,5),1),5),CROQUIS_DATOS!$C$1499,CROQUIS_DATOS!$C$1503,CROQUIS_DATOS!$C$1507,CROQUIS_DATOS!$C$1511,CROQUIS_DATOS!$C$1515)+IF(CHOOSE(MIN(MAX(MIN(INT(($A103-1)/62)+1,5),1),5),CROQUIS_DATOS!$C$1501,CROQUIS_DATOS!$C$1505,CROQUIS_DATOS!$C$1509,CROQUIS_DATOS!$C$1513,CROQUIS_DATOS!$C$1517)=1,CROQUIS_DATOS!$C$1526,0)),(CHOOSE(MIN(MAX(MIN(INT(($A103-1)/62)+1,5),1),5),CROQUIS_DATOS!$C$1499,CROQUIS_DATOS!$C$1503,CROQUIS_DATOS!$C$1507,CROQUIS_DATOS!$C$1511,CROQUIS_DATOS!$C$1515)+CHOOSE(MIN(MAX(MIN(INT(($A103-1)/62)+1,5),1),5),CROQUIS_DATOS!$C$1500,CROQUIS_DATOS!$C$1504,CROQUIS_DATOS!$C$1508,CROQUIS_DATOS!$C$1512,CROQUIS_DATOS!$C$1516)-IF(CHOOSE(MIN(MAX(MIN(INT(($A103-1)/62)+1,5),1),5),CROQUIS_DATOS!$C$1501,CROQUIS_DATOS!$C$1505,CROQUIS_DATOS!$C$1509,CROQUIS_DATOS!$C$1513,CROQUIS_DATOS!$C$1517)=1,CROQUIS_DATOS!$C$1526,0))))*CROQUIS_DATOS!$C$1562),-1000)</f>
        <v>-1000</v>
      </c>
      <c r="Q103">
        <f>IF(AND(CROQUIS_DATOS!$C$1472=1,CROQUIS_DATOS!$C$1555=1),(CROQUIS_DATOS!$C$1564+(IF(OR(OR(MOD($A103-1,62)+1=1,IF(CHOOSE(MIN(MAX(MIN(INT(($A103-1)/62)+1,5),1),5),CROQUIS_DATOS!$C$1501,CROQUIS_DATOS!$C$1505,CROQUIS_DATOS!$C$1509,CROQUIS_DATOS!$C$1513,CROQUIS_DATOS!$C$1517)=1,CROQUIS_DATOS!$C$1557,0)=0),MOD($A103-1,62)+1&gt;2*IF(CHOOSE(MIN(MAX(MIN(INT(($A103-1)/62)+1,5),1),5),CROQUIS_DATOS!$C$1501,CROQUIS_DATOS!$C$1505,CROQUIS_DATOS!$C$1509,CROQUIS_DATOS!$C$1513,CROQUIS_DATOS!$C$1517)=1,CROQUIS_DATOS!$C$1557,0)+1),CROQUIS_DATOS!$C$1476,MIN(INT((MOD($A103-1,62)+1-2)/2)+1,MAX(IF(CHOOSE(MIN(MAX(MIN(INT(($A103-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3">
        <f>IF(AND(CROQUIS_DATOS!$C$1472=1,1),(CROQUIS_DATOS!$C$1563+(MIN(INT(($A103-1)/2)+1,CROQUIS_DATOS!$C$1558)*CROQUIS_DATOS!$C$1559)*CROQUIS_DATOS!$C$1562),-1000)</f>
        <v>82.2281167108753</v>
      </c>
      <c r="U103">
        <f>IF(AND(CROQUIS_DATOS!$C$1472=1,1),(CROQUIS_DATOS!$C$1564+(IF(INT(($A103-1)/2)+1&gt;CROQUIS_DATOS!$C$1558,IF(MOD(CROQUIS_DATOS!$C$1558,2)=1,CROQUIS_DATOS!$C$1476+CROQUIS_DATOS!$C$1528,CROQUIS_DATOS!$C$1476),IF(IF(MOD(MIN(INT(($A103-1)/2)+1,CROQUIS_DATOS!$C$1558),2)=1,MOD($A103-1,2),1-MOD($A103-1,2))=1,CROQUIS_DATOS!$C$1476+CROQUIS_DATOS!$C$1528,CROQUIS_DATOS!$C$1476)))*CROQUIS_DATOS!$C$1561*CROQUIS_DATOS!$C$1562),-1000)</f>
        <v>43</v>
      </c>
      <c r="BZ103">
        <f>IF(AND(CROQUIS_DATOS!$C$1472=1,CROQUIS_DATOS!$C$1500&gt;0,((CROQUIS_DATOS!$C$1499+CROQUIS_DATOS!$C$1500))-(CROQUIS_DATOS!$C$1499)&gt;0.5,(CROQUIS_DATOS!$C$1476)-(0)&gt;0.5),(CROQUIS_DATOS!$C$1566+(IF(IF(MOD(MIN(INT(($A103-1)/2)+1,MAX(1,INT(((((CROQUIS_DATOS!$C$1499+CROQUIS_DATOS!$C$1500))-(CROQUIS_DATOS!$C$1499))+((CROQUIS_DATOS!$C$1476)*CROQUIS_DATOS!$C$1561-(0)*CROQUIS_DATOS!$C$1561))/CROQUIS_DATOS!$C$1568-0.000001))),2)=1,IF(INT(($A103-1)/2)+1&gt;MAX(1,INT(((((CROQUIS_DATOS!$C$1499+CROQUIS_DATOS!$C$1500))-(CROQUIS_DATOS!$C$1499))+((CROQUIS_DATOS!$C$1476)*CROQUIS_DATOS!$C$1561-(0)*CROQUIS_DATOS!$C$1561))/CROQUIS_DATOS!$C$1568-0.000001)),1,MOD($A103-1,2)),1-IF(INT(($A103-1)/2)+1&gt;MAX(1,INT(((((CROQUIS_DATOS!$C$1499+CROQUIS_DATOS!$C$1500))-(CROQUIS_DATOS!$C$1499))+((CROQUIS_DATOS!$C$1476)*CROQUIS_DATOS!$C$1561-(0)*CROQUIS_DATOS!$C$1561))/CROQUIS_DATOS!$C$1568-0.000001)),1,MOD($A103-1,2)))=1,MIN((CROQUIS_DATOS!$C$1476)*CROQUIS_DATOS!$C$1561,((CROQUIS_DATOS!$C$1499+CROQUIS_DATOS!$C$1500)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3">
        <f>IF(AND(CROQUIS_DATOS!$C$1472=1,CROQUIS_DATOS!$C$1500&gt;0,((CROQUIS_DATOS!$C$1499+CROQUIS_DATOS!$C$1500))-(CROQUIS_DATOS!$C$1499)&gt;0.5,(CROQUIS_DATOS!$C$1476)-(0)&gt;0.5),(CROQUIS_DATOS!$C$1567+(IF(IF(MOD(MIN(INT(($A103-1)/2)+1,MAX(1,INT(((((CROQUIS_DATOS!$C$1499+CROQUIS_DATOS!$C$1500))-(CROQUIS_DATOS!$C$1499))+((CROQUIS_DATOS!$C$1476)*CROQUIS_DATOS!$C$1561-(0)*CROQUIS_DATOS!$C$1561))/CROQUIS_DATOS!$C$1568-0.000001))),2)=1,IF(INT(($A103-1)/2)+1&gt;MAX(1,INT(((((CROQUIS_DATOS!$C$1499+CROQUIS_DATOS!$C$1500))-(CROQUIS_DATOS!$C$1499))+((CROQUIS_DATOS!$C$1476)*CROQUIS_DATOS!$C$1561-(0)*CROQUIS_DATOS!$C$1561))/CROQUIS_DATOS!$C$1568-0.000001)),1,MOD($A103-1,2)),1-IF(INT(($A103-1)/2)+1&gt;MAX(1,INT(((((CROQUIS_DATOS!$C$1499+CROQUIS_DATOS!$C$1500))-(CROQUIS_DATOS!$C$1499))+((CROQUIS_DATOS!$C$1476)*CROQUIS_DATOS!$C$1561-(0)*CROQUIS_DATOS!$C$1561))/CROQUIS_DATOS!$C$1568-0.000001)),1,MOD($A103-1,2)))=1,MIN((CROQUIS_DATOS!$C$1476)*CROQUIS_DATOS!$C$1561,((CROQUIS_DATOS!$C$1499+CROQUIS_DATOS!$C$1500)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3">
        <f>IF(AND(CROQUIS_DATOS!$C$1472=1,CROQUIS_DATOS!$C$1504&gt;0,((CROQUIS_DATOS!$C$1503+CROQUIS_DATOS!$C$1504))-(CROQUIS_DATOS!$C$1503)&gt;0.5,(CROQUIS_DATOS!$C$1476)-(0)&gt;0.5),(CROQUIS_DATOS!$C$1566+(IF(IF(MOD(MIN(INT(($A103-1)/2)+1,MAX(1,INT(((((CROQUIS_DATOS!$C$1503+CROQUIS_DATOS!$C$1504))-(CROQUIS_DATOS!$C$1503))+((CROQUIS_DATOS!$C$1476)*CROQUIS_DATOS!$C$1561-(0)*CROQUIS_DATOS!$C$1561))/CROQUIS_DATOS!$C$1568-0.000001))),2)=1,IF(INT(($A103-1)/2)+1&gt;MAX(1,INT(((((CROQUIS_DATOS!$C$1503+CROQUIS_DATOS!$C$1504))-(CROQUIS_DATOS!$C$1503))+((CROQUIS_DATOS!$C$1476)*CROQUIS_DATOS!$C$1561-(0)*CROQUIS_DATOS!$C$1561))/CROQUIS_DATOS!$C$1568-0.000001)),1,MOD($A103-1,2)),1-IF(INT(($A103-1)/2)+1&gt;MAX(1,INT(((((CROQUIS_DATOS!$C$1503+CROQUIS_DATOS!$C$1504))-(CROQUIS_DATOS!$C$1503))+((CROQUIS_DATOS!$C$1476)*CROQUIS_DATOS!$C$1561-(0)*CROQUIS_DATOS!$C$1561))/CROQUIS_DATOS!$C$1568-0.000001)),1,MOD($A103-1,2)))=1,MIN((CROQUIS_DATOS!$C$1476)*CROQUIS_DATOS!$C$1561,((CROQUIS_DATOS!$C$1503+CROQUIS_DATOS!$C$1504)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3">
        <f>IF(AND(CROQUIS_DATOS!$C$1472=1,CROQUIS_DATOS!$C$1504&gt;0,((CROQUIS_DATOS!$C$1503+CROQUIS_DATOS!$C$1504))-(CROQUIS_DATOS!$C$1503)&gt;0.5,(CROQUIS_DATOS!$C$1476)-(0)&gt;0.5),(CROQUIS_DATOS!$C$1567+(IF(IF(MOD(MIN(INT(($A103-1)/2)+1,MAX(1,INT(((((CROQUIS_DATOS!$C$1503+CROQUIS_DATOS!$C$1504))-(CROQUIS_DATOS!$C$1503))+((CROQUIS_DATOS!$C$1476)*CROQUIS_DATOS!$C$1561-(0)*CROQUIS_DATOS!$C$1561))/CROQUIS_DATOS!$C$1568-0.000001))),2)=1,IF(INT(($A103-1)/2)+1&gt;MAX(1,INT(((((CROQUIS_DATOS!$C$1503+CROQUIS_DATOS!$C$1504))-(CROQUIS_DATOS!$C$1503))+((CROQUIS_DATOS!$C$1476)*CROQUIS_DATOS!$C$1561-(0)*CROQUIS_DATOS!$C$1561))/CROQUIS_DATOS!$C$1568-0.000001)),1,MOD($A103-1,2)),1-IF(INT(($A103-1)/2)+1&gt;MAX(1,INT(((((CROQUIS_DATOS!$C$1503+CROQUIS_DATOS!$C$1504))-(CROQUIS_DATOS!$C$1503))+((CROQUIS_DATOS!$C$1476)*CROQUIS_DATOS!$C$1561-(0)*CROQUIS_DATOS!$C$1561))/CROQUIS_DATOS!$C$1568-0.000001)),1,MOD($A103-1,2)))=1,MIN((CROQUIS_DATOS!$C$1476)*CROQUIS_DATOS!$C$1561,((CROQUIS_DATOS!$C$1503+CROQUIS_DATOS!$C$1504)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3">
        <f>IF(AND(CROQUIS_DATOS!$C$1472=1,CROQUIS_DATOS!$C$1508&gt;0,((CROQUIS_DATOS!$C$1507+CROQUIS_DATOS!$C$1508))-(CROQUIS_DATOS!$C$1507)&gt;0.5,(CROQUIS_DATOS!$C$1476)-(0)&gt;0.5),(CROQUIS_DATOS!$C$1566+(IF(IF(MOD(MIN(INT(($A103-1)/2)+1,MAX(1,INT(((((CROQUIS_DATOS!$C$1507+CROQUIS_DATOS!$C$1508))-(CROQUIS_DATOS!$C$1507))+((CROQUIS_DATOS!$C$1476)*CROQUIS_DATOS!$C$1561-(0)*CROQUIS_DATOS!$C$1561))/CROQUIS_DATOS!$C$1568-0.000001))),2)=1,IF(INT(($A103-1)/2)+1&gt;MAX(1,INT(((((CROQUIS_DATOS!$C$1507+CROQUIS_DATOS!$C$1508))-(CROQUIS_DATOS!$C$1507))+((CROQUIS_DATOS!$C$1476)*CROQUIS_DATOS!$C$1561-(0)*CROQUIS_DATOS!$C$1561))/CROQUIS_DATOS!$C$1568-0.000001)),1,MOD($A103-1,2)),1-IF(INT(($A103-1)/2)+1&gt;MAX(1,INT(((((CROQUIS_DATOS!$C$1507+CROQUIS_DATOS!$C$1508))-(CROQUIS_DATOS!$C$1507))+((CROQUIS_DATOS!$C$1476)*CROQUIS_DATOS!$C$1561-(0)*CROQUIS_DATOS!$C$1561))/CROQUIS_DATOS!$C$1568-0.000001)),1,MOD($A103-1,2)))=1,MIN((CROQUIS_DATOS!$C$1476)*CROQUIS_DATOS!$C$1561,((CROQUIS_DATOS!$C$1507+CROQUIS_DATOS!$C$1508)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3">
        <f>IF(AND(CROQUIS_DATOS!$C$1472=1,CROQUIS_DATOS!$C$1508&gt;0,((CROQUIS_DATOS!$C$1507+CROQUIS_DATOS!$C$1508))-(CROQUIS_DATOS!$C$1507)&gt;0.5,(CROQUIS_DATOS!$C$1476)-(0)&gt;0.5),(CROQUIS_DATOS!$C$1567+(IF(IF(MOD(MIN(INT(($A103-1)/2)+1,MAX(1,INT(((((CROQUIS_DATOS!$C$1507+CROQUIS_DATOS!$C$1508))-(CROQUIS_DATOS!$C$1507))+((CROQUIS_DATOS!$C$1476)*CROQUIS_DATOS!$C$1561-(0)*CROQUIS_DATOS!$C$1561))/CROQUIS_DATOS!$C$1568-0.000001))),2)=1,IF(INT(($A103-1)/2)+1&gt;MAX(1,INT(((((CROQUIS_DATOS!$C$1507+CROQUIS_DATOS!$C$1508))-(CROQUIS_DATOS!$C$1507))+((CROQUIS_DATOS!$C$1476)*CROQUIS_DATOS!$C$1561-(0)*CROQUIS_DATOS!$C$1561))/CROQUIS_DATOS!$C$1568-0.000001)),1,MOD($A103-1,2)),1-IF(INT(($A103-1)/2)+1&gt;MAX(1,INT(((((CROQUIS_DATOS!$C$1507+CROQUIS_DATOS!$C$1508))-(CROQUIS_DATOS!$C$1507))+((CROQUIS_DATOS!$C$1476)*CROQUIS_DATOS!$C$1561-(0)*CROQUIS_DATOS!$C$1561))/CROQUIS_DATOS!$C$1568-0.000001)),1,MOD($A103-1,2)))=1,MIN((CROQUIS_DATOS!$C$1476)*CROQUIS_DATOS!$C$1561,((CROQUIS_DATOS!$C$1507+CROQUIS_DATOS!$C$1508)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3">
        <f>IF(AND(CROQUIS_DATOS!$C$1472=1,CROQUIS_DATOS!$C$1512&gt;0,((CROQUIS_DATOS!$C$1511+CROQUIS_DATOS!$C$1512))-(CROQUIS_DATOS!$C$1511)&gt;0.5,(CROQUIS_DATOS!$C$1476)-(0)&gt;0.5),(CROQUIS_DATOS!$C$1566+(IF(IF(MOD(MIN(INT(($A103-1)/2)+1,MAX(1,INT(((((CROQUIS_DATOS!$C$1511+CROQUIS_DATOS!$C$1512))-(CROQUIS_DATOS!$C$1511))+((CROQUIS_DATOS!$C$1476)*CROQUIS_DATOS!$C$1561-(0)*CROQUIS_DATOS!$C$1561))/CROQUIS_DATOS!$C$1568-0.000001))),2)=1,IF(INT(($A103-1)/2)+1&gt;MAX(1,INT(((((CROQUIS_DATOS!$C$1511+CROQUIS_DATOS!$C$1512))-(CROQUIS_DATOS!$C$1511))+((CROQUIS_DATOS!$C$1476)*CROQUIS_DATOS!$C$1561-(0)*CROQUIS_DATOS!$C$1561))/CROQUIS_DATOS!$C$1568-0.000001)),1,MOD($A103-1,2)),1-IF(INT(($A103-1)/2)+1&gt;MAX(1,INT(((((CROQUIS_DATOS!$C$1511+CROQUIS_DATOS!$C$1512))-(CROQUIS_DATOS!$C$1511))+((CROQUIS_DATOS!$C$1476)*CROQUIS_DATOS!$C$1561-(0)*CROQUIS_DATOS!$C$1561))/CROQUIS_DATOS!$C$1568-0.000001)),1,MOD($A103-1,2)))=1,MIN((CROQUIS_DATOS!$C$1476)*CROQUIS_DATOS!$C$1561,((CROQUIS_DATOS!$C$1511+CROQUIS_DATOS!$C$1512)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3">
        <f>IF(AND(CROQUIS_DATOS!$C$1472=1,CROQUIS_DATOS!$C$1512&gt;0,((CROQUIS_DATOS!$C$1511+CROQUIS_DATOS!$C$1512))-(CROQUIS_DATOS!$C$1511)&gt;0.5,(CROQUIS_DATOS!$C$1476)-(0)&gt;0.5),(CROQUIS_DATOS!$C$1567+(IF(IF(MOD(MIN(INT(($A103-1)/2)+1,MAX(1,INT(((((CROQUIS_DATOS!$C$1511+CROQUIS_DATOS!$C$1512))-(CROQUIS_DATOS!$C$1511))+((CROQUIS_DATOS!$C$1476)*CROQUIS_DATOS!$C$1561-(0)*CROQUIS_DATOS!$C$1561))/CROQUIS_DATOS!$C$1568-0.000001))),2)=1,IF(INT(($A103-1)/2)+1&gt;MAX(1,INT(((((CROQUIS_DATOS!$C$1511+CROQUIS_DATOS!$C$1512))-(CROQUIS_DATOS!$C$1511))+((CROQUIS_DATOS!$C$1476)*CROQUIS_DATOS!$C$1561-(0)*CROQUIS_DATOS!$C$1561))/CROQUIS_DATOS!$C$1568-0.000001)),1,MOD($A103-1,2)),1-IF(INT(($A103-1)/2)+1&gt;MAX(1,INT(((((CROQUIS_DATOS!$C$1511+CROQUIS_DATOS!$C$1512))-(CROQUIS_DATOS!$C$1511))+((CROQUIS_DATOS!$C$1476)*CROQUIS_DATOS!$C$1561-(0)*CROQUIS_DATOS!$C$1561))/CROQUIS_DATOS!$C$1568-0.000001)),1,MOD($A103-1,2)))=1,MIN((CROQUIS_DATOS!$C$1476)*CROQUIS_DATOS!$C$1561,((CROQUIS_DATOS!$C$1511+CROQUIS_DATOS!$C$1512)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3">
        <f>IF(AND(CROQUIS_DATOS!$C$1472=1,CROQUIS_DATOS!$C$1516&gt;0,((CROQUIS_DATOS!$C$1515+CROQUIS_DATOS!$C$1516))-(CROQUIS_DATOS!$C$1515)&gt;0.5,(CROQUIS_DATOS!$C$1476)-(0)&gt;0.5),(CROQUIS_DATOS!$C$1566+(IF(IF(MOD(MIN(INT(($A103-1)/2)+1,MAX(1,INT(((((CROQUIS_DATOS!$C$1515+CROQUIS_DATOS!$C$1516))-(CROQUIS_DATOS!$C$1515))+((CROQUIS_DATOS!$C$1476)*CROQUIS_DATOS!$C$1561-(0)*CROQUIS_DATOS!$C$1561))/CROQUIS_DATOS!$C$1568-0.000001))),2)=1,IF(INT(($A103-1)/2)+1&gt;MAX(1,INT(((((CROQUIS_DATOS!$C$1515+CROQUIS_DATOS!$C$1516))-(CROQUIS_DATOS!$C$1515))+((CROQUIS_DATOS!$C$1476)*CROQUIS_DATOS!$C$1561-(0)*CROQUIS_DATOS!$C$1561))/CROQUIS_DATOS!$C$1568-0.000001)),1,MOD($A103-1,2)),1-IF(INT(($A103-1)/2)+1&gt;MAX(1,INT(((((CROQUIS_DATOS!$C$1515+CROQUIS_DATOS!$C$1516))-(CROQUIS_DATOS!$C$1515))+((CROQUIS_DATOS!$C$1476)*CROQUIS_DATOS!$C$1561-(0)*CROQUIS_DATOS!$C$1561))/CROQUIS_DATOS!$C$1568-0.000001)),1,MOD($A103-1,2)))=1,MIN((CROQUIS_DATOS!$C$1476)*CROQUIS_DATOS!$C$1561,((CROQUIS_DATOS!$C$1515+CROQUIS_DATOS!$C$1516)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3">
        <f>IF(AND(CROQUIS_DATOS!$C$1472=1,CROQUIS_DATOS!$C$1516&gt;0,((CROQUIS_DATOS!$C$1515+CROQUIS_DATOS!$C$1516))-(CROQUIS_DATOS!$C$1515)&gt;0.5,(CROQUIS_DATOS!$C$1476)-(0)&gt;0.5),(CROQUIS_DATOS!$C$1567+(IF(IF(MOD(MIN(INT(($A103-1)/2)+1,MAX(1,INT(((((CROQUIS_DATOS!$C$1515+CROQUIS_DATOS!$C$1516))-(CROQUIS_DATOS!$C$1515))+((CROQUIS_DATOS!$C$1476)*CROQUIS_DATOS!$C$1561-(0)*CROQUIS_DATOS!$C$1561))/CROQUIS_DATOS!$C$1568-0.000001))),2)=1,IF(INT(($A103-1)/2)+1&gt;MAX(1,INT(((((CROQUIS_DATOS!$C$1515+CROQUIS_DATOS!$C$1516))-(CROQUIS_DATOS!$C$1515))+((CROQUIS_DATOS!$C$1476)*CROQUIS_DATOS!$C$1561-(0)*CROQUIS_DATOS!$C$1561))/CROQUIS_DATOS!$C$1568-0.000001)),1,MOD($A103-1,2)),1-IF(INT(($A103-1)/2)+1&gt;MAX(1,INT(((((CROQUIS_DATOS!$C$1515+CROQUIS_DATOS!$C$1516))-(CROQUIS_DATOS!$C$1515))+((CROQUIS_DATOS!$C$1476)*CROQUIS_DATOS!$C$1561-(0)*CROQUIS_DATOS!$C$1561))/CROQUIS_DATOS!$C$1568-0.000001)),1,MOD($A103-1,2)))=1,MIN((CROQUIS_DATOS!$C$1476)*CROQUIS_DATOS!$C$1561,((CROQUIS_DATOS!$C$1515+CROQUIS_DATOS!$C$1516)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3">
        <f>IF(AND(CROQUIS_DATOS!$C$1472=1,CROQUIS_DATOS!$C$1478&gt;=1,((CROQUIS_DATOS!$C$1479+CROQUIS_DATOS!$C$1480))-(CROQUIS_DATOS!$C$1479)&gt;0.5,(CROQUIS_DATOS!$C$1481)-(0)&gt;0.5),(CROQUIS_DATOS!$C$1566+(IF(IF(MOD(MIN(INT(($A103-1)/2)+1,MAX(1,INT(((((CROQUIS_DATOS!$C$1479+CROQUIS_DATOS!$C$1480))-(CROQUIS_DATOS!$C$1479))+((CROQUIS_DATOS!$C$1481)*CROQUIS_DATOS!$C$1561-(0)*CROQUIS_DATOS!$C$1561))/CROQUIS_DATOS!$C$1568-0.000001))),2)=1,IF(INT(($A103-1)/2)+1&gt;MAX(1,INT(((((CROQUIS_DATOS!$C$1479+CROQUIS_DATOS!$C$1480))-(CROQUIS_DATOS!$C$1479))+((CROQUIS_DATOS!$C$1481)*CROQUIS_DATOS!$C$1561-(0)*CROQUIS_DATOS!$C$1561))/CROQUIS_DATOS!$C$1568-0.000001)),1,MOD($A103-1,2)),1-IF(INT(($A103-1)/2)+1&gt;MAX(1,INT(((((CROQUIS_DATOS!$C$1479+CROQUIS_DATOS!$C$1480))-(CROQUIS_DATOS!$C$1479))+((CROQUIS_DATOS!$C$1481)*CROQUIS_DATOS!$C$1561-(0)*CROQUIS_DATOS!$C$1561))/CROQUIS_DATOS!$C$1568-0.000001)),1,MOD($A103-1,2)))=1,MIN((CROQUIS_DATOS!$C$1481)*CROQUIS_DATOS!$C$1561,((CROQUIS_DATOS!$C$1479+CROQUIS_DATOS!$C$1480)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3">
        <f>IF(AND(CROQUIS_DATOS!$C$1472=1,CROQUIS_DATOS!$C$1478&gt;=1,((CROQUIS_DATOS!$C$1479+CROQUIS_DATOS!$C$1480))-(CROQUIS_DATOS!$C$1479)&gt;0.5,(CROQUIS_DATOS!$C$1481)-(0)&gt;0.5),(CROQUIS_DATOS!$C$1567+(IF(IF(MOD(MIN(INT(($A103-1)/2)+1,MAX(1,INT(((((CROQUIS_DATOS!$C$1479+CROQUIS_DATOS!$C$1480))-(CROQUIS_DATOS!$C$1479))+((CROQUIS_DATOS!$C$1481)*CROQUIS_DATOS!$C$1561-(0)*CROQUIS_DATOS!$C$1561))/CROQUIS_DATOS!$C$1568-0.000001))),2)=1,IF(INT(($A103-1)/2)+1&gt;MAX(1,INT(((((CROQUIS_DATOS!$C$1479+CROQUIS_DATOS!$C$1480))-(CROQUIS_DATOS!$C$1479))+((CROQUIS_DATOS!$C$1481)*CROQUIS_DATOS!$C$1561-(0)*CROQUIS_DATOS!$C$1561))/CROQUIS_DATOS!$C$1568-0.000001)),1,MOD($A103-1,2)),1-IF(INT(($A103-1)/2)+1&gt;MAX(1,INT(((((CROQUIS_DATOS!$C$1479+CROQUIS_DATOS!$C$1480))-(CROQUIS_DATOS!$C$1479))+((CROQUIS_DATOS!$C$1481)*CROQUIS_DATOS!$C$1561-(0)*CROQUIS_DATOS!$C$1561))/CROQUIS_DATOS!$C$1568-0.000001)),1,MOD($A103-1,2)))=1,MIN((CROQUIS_DATOS!$C$1481)*CROQUIS_DATOS!$C$1561,((CROQUIS_DATOS!$C$1479+CROQUIS_DATOS!$C$1480)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3">
        <f>IF(AND(CROQUIS_DATOS!$C$1472=1,CROQUIS_DATOS!$C$1478&gt;=1,((CROQUIS_DATOS!$C$1479+CROQUIS_DATOS!$C$1480))-(CROQUIS_DATOS!$C$1479)&gt;0.5,(CROQUIS_DATOS!$C$1476)-((CROQUIS_DATOS!$C$1481+CROQUIS_DATOS!$C$1482))&gt;0.5),(CROQUIS_DATOS!$C$1566+(IF(IF(MOD(MIN(INT(($A103-1)/2)+1,MAX(1,INT(((((CROQUIS_DATOS!$C$1479+CROQUIS_DATOS!$C$1480))-(CROQUIS_DATOS!$C$1479))+((CROQUIS_DATOS!$C$1476)*CROQUIS_DATOS!$C$1561-((CROQUIS_DATOS!$C$1481+CROQUIS_DATOS!$C$1482))*CROQUIS_DATOS!$C$1561))/CROQUIS_DATOS!$C$1568-0.000001))),2)=1,IF(INT(($A103-1)/2)+1&gt;MAX(1,INT(((((CROQUIS_DATOS!$C$1479+CROQUIS_DATOS!$C$1480))-(CROQUIS_DATOS!$C$1479))+((CROQUIS_DATOS!$C$1476)*CROQUIS_DATOS!$C$1561-((CROQUIS_DATOS!$C$1481+CROQUIS_DATOS!$C$1482))*CROQUIS_DATOS!$C$1561))/CROQUIS_DATOS!$C$1568-0.000001)),1,MOD($A103-1,2)),1-IF(INT(($A103-1)/2)+1&gt;MAX(1,INT(((((CROQUIS_DATOS!$C$1479+CROQUIS_DATOS!$C$1480))-(CROQUIS_DATOS!$C$1479))+((CROQUIS_DATOS!$C$1476)*CROQUIS_DATOS!$C$1561-((CROQUIS_DATOS!$C$1481+CROQUIS_DATOS!$C$1482))*CROQUIS_DATOS!$C$1561))/CROQUIS_DATOS!$C$1568-0.000001)),1,MOD($A103-1,2)))=1,MIN((CROQUIS_DATOS!$C$1476)*CROQUIS_DATOS!$C$1561,((CROQUIS_DATOS!$C$1479+CROQUIS_DATOS!$C$1480)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3">
        <f>IF(AND(CROQUIS_DATOS!$C$1472=1,CROQUIS_DATOS!$C$1478&gt;=1,((CROQUIS_DATOS!$C$1479+CROQUIS_DATOS!$C$1480))-(CROQUIS_DATOS!$C$1479)&gt;0.5,(CROQUIS_DATOS!$C$1476)-((CROQUIS_DATOS!$C$1481+CROQUIS_DATOS!$C$1482))&gt;0.5),(CROQUIS_DATOS!$C$1567+(IF(IF(MOD(MIN(INT(($A103-1)/2)+1,MAX(1,INT(((((CROQUIS_DATOS!$C$1479+CROQUIS_DATOS!$C$1480))-(CROQUIS_DATOS!$C$1479))+((CROQUIS_DATOS!$C$1476)*CROQUIS_DATOS!$C$1561-((CROQUIS_DATOS!$C$1481+CROQUIS_DATOS!$C$1482))*CROQUIS_DATOS!$C$1561))/CROQUIS_DATOS!$C$1568-0.000001))),2)=1,IF(INT(($A103-1)/2)+1&gt;MAX(1,INT(((((CROQUIS_DATOS!$C$1479+CROQUIS_DATOS!$C$1480))-(CROQUIS_DATOS!$C$1479))+((CROQUIS_DATOS!$C$1476)*CROQUIS_DATOS!$C$1561-((CROQUIS_DATOS!$C$1481+CROQUIS_DATOS!$C$1482))*CROQUIS_DATOS!$C$1561))/CROQUIS_DATOS!$C$1568-0.000001)),1,MOD($A103-1,2)),1-IF(INT(($A103-1)/2)+1&gt;MAX(1,INT(((((CROQUIS_DATOS!$C$1479+CROQUIS_DATOS!$C$1480))-(CROQUIS_DATOS!$C$1479))+((CROQUIS_DATOS!$C$1476)*CROQUIS_DATOS!$C$1561-((CROQUIS_DATOS!$C$1481+CROQUIS_DATOS!$C$1482))*CROQUIS_DATOS!$C$1561))/CROQUIS_DATOS!$C$1568-0.000001)),1,MOD($A103-1,2)))=1,MIN((CROQUIS_DATOS!$C$1476)*CROQUIS_DATOS!$C$1561,((CROQUIS_DATOS!$C$1479+CROQUIS_DATOS!$C$1480)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3">
        <f>IF(AND(CROQUIS_DATOS!$C$1472=1,CROQUIS_DATOS!$C$1478&gt;=2,((CROQUIS_DATOS!$C$1484+CROQUIS_DATOS!$C$1485))-(CROQUIS_DATOS!$C$1484)&gt;0.5,(CROQUIS_DATOS!$C$1486)-(0)&gt;0.5),(CROQUIS_DATOS!$C$1566+(IF(IF(MOD(MIN(INT(($A103-1)/2)+1,MAX(1,INT(((((CROQUIS_DATOS!$C$1484+CROQUIS_DATOS!$C$1485))-(CROQUIS_DATOS!$C$1484))+((CROQUIS_DATOS!$C$1486)*CROQUIS_DATOS!$C$1561-(0)*CROQUIS_DATOS!$C$1561))/CROQUIS_DATOS!$C$1568-0.000001))),2)=1,IF(INT(($A103-1)/2)+1&gt;MAX(1,INT(((((CROQUIS_DATOS!$C$1484+CROQUIS_DATOS!$C$1485))-(CROQUIS_DATOS!$C$1484))+((CROQUIS_DATOS!$C$1486)*CROQUIS_DATOS!$C$1561-(0)*CROQUIS_DATOS!$C$1561))/CROQUIS_DATOS!$C$1568-0.000001)),1,MOD($A103-1,2)),1-IF(INT(($A103-1)/2)+1&gt;MAX(1,INT(((((CROQUIS_DATOS!$C$1484+CROQUIS_DATOS!$C$1485))-(CROQUIS_DATOS!$C$1484))+((CROQUIS_DATOS!$C$1486)*CROQUIS_DATOS!$C$1561-(0)*CROQUIS_DATOS!$C$1561))/CROQUIS_DATOS!$C$1568-0.000001)),1,MOD($A103-1,2)))=1,MIN((CROQUIS_DATOS!$C$1486)*CROQUIS_DATOS!$C$1561,((CROQUIS_DATOS!$C$1484+CROQUIS_DATOS!$C$1485)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3">
        <f>IF(AND(CROQUIS_DATOS!$C$1472=1,CROQUIS_DATOS!$C$1478&gt;=2,((CROQUIS_DATOS!$C$1484+CROQUIS_DATOS!$C$1485))-(CROQUIS_DATOS!$C$1484)&gt;0.5,(CROQUIS_DATOS!$C$1486)-(0)&gt;0.5),(CROQUIS_DATOS!$C$1567+(IF(IF(MOD(MIN(INT(($A103-1)/2)+1,MAX(1,INT(((((CROQUIS_DATOS!$C$1484+CROQUIS_DATOS!$C$1485))-(CROQUIS_DATOS!$C$1484))+((CROQUIS_DATOS!$C$1486)*CROQUIS_DATOS!$C$1561-(0)*CROQUIS_DATOS!$C$1561))/CROQUIS_DATOS!$C$1568-0.000001))),2)=1,IF(INT(($A103-1)/2)+1&gt;MAX(1,INT(((((CROQUIS_DATOS!$C$1484+CROQUIS_DATOS!$C$1485))-(CROQUIS_DATOS!$C$1484))+((CROQUIS_DATOS!$C$1486)*CROQUIS_DATOS!$C$1561-(0)*CROQUIS_DATOS!$C$1561))/CROQUIS_DATOS!$C$1568-0.000001)),1,MOD($A103-1,2)),1-IF(INT(($A103-1)/2)+1&gt;MAX(1,INT(((((CROQUIS_DATOS!$C$1484+CROQUIS_DATOS!$C$1485))-(CROQUIS_DATOS!$C$1484))+((CROQUIS_DATOS!$C$1486)*CROQUIS_DATOS!$C$1561-(0)*CROQUIS_DATOS!$C$1561))/CROQUIS_DATOS!$C$1568-0.000001)),1,MOD($A103-1,2)))=1,MIN((CROQUIS_DATOS!$C$1486)*CROQUIS_DATOS!$C$1561,((CROQUIS_DATOS!$C$1484+CROQUIS_DATOS!$C$1485)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3">
        <f>IF(AND(CROQUIS_DATOS!$C$1472=1,CROQUIS_DATOS!$C$1478&gt;=2,((CROQUIS_DATOS!$C$1484+CROQUIS_DATOS!$C$1485))-(CROQUIS_DATOS!$C$1484)&gt;0.5,(CROQUIS_DATOS!$C$1476)-((CROQUIS_DATOS!$C$1486+CROQUIS_DATOS!$C$1487))&gt;0.5),(CROQUIS_DATOS!$C$1566+(IF(IF(MOD(MIN(INT(($A103-1)/2)+1,MAX(1,INT(((((CROQUIS_DATOS!$C$1484+CROQUIS_DATOS!$C$1485))-(CROQUIS_DATOS!$C$1484))+((CROQUIS_DATOS!$C$1476)*CROQUIS_DATOS!$C$1561-((CROQUIS_DATOS!$C$1486+CROQUIS_DATOS!$C$1487))*CROQUIS_DATOS!$C$1561))/CROQUIS_DATOS!$C$1568-0.000001))),2)=1,IF(INT(($A103-1)/2)+1&gt;MAX(1,INT(((((CROQUIS_DATOS!$C$1484+CROQUIS_DATOS!$C$1485))-(CROQUIS_DATOS!$C$1484))+((CROQUIS_DATOS!$C$1476)*CROQUIS_DATOS!$C$1561-((CROQUIS_DATOS!$C$1486+CROQUIS_DATOS!$C$1487))*CROQUIS_DATOS!$C$1561))/CROQUIS_DATOS!$C$1568-0.000001)),1,MOD($A103-1,2)),1-IF(INT(($A103-1)/2)+1&gt;MAX(1,INT(((((CROQUIS_DATOS!$C$1484+CROQUIS_DATOS!$C$1485))-(CROQUIS_DATOS!$C$1484))+((CROQUIS_DATOS!$C$1476)*CROQUIS_DATOS!$C$1561-((CROQUIS_DATOS!$C$1486+CROQUIS_DATOS!$C$1487))*CROQUIS_DATOS!$C$1561))/CROQUIS_DATOS!$C$1568-0.000001)),1,MOD($A103-1,2)))=1,MIN((CROQUIS_DATOS!$C$1476)*CROQUIS_DATOS!$C$1561,((CROQUIS_DATOS!$C$1484+CROQUIS_DATOS!$C$1485)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3">
        <f>IF(AND(CROQUIS_DATOS!$C$1472=1,CROQUIS_DATOS!$C$1478&gt;=2,((CROQUIS_DATOS!$C$1484+CROQUIS_DATOS!$C$1485))-(CROQUIS_DATOS!$C$1484)&gt;0.5,(CROQUIS_DATOS!$C$1476)-((CROQUIS_DATOS!$C$1486+CROQUIS_DATOS!$C$1487))&gt;0.5),(CROQUIS_DATOS!$C$1567+(IF(IF(MOD(MIN(INT(($A103-1)/2)+1,MAX(1,INT(((((CROQUIS_DATOS!$C$1484+CROQUIS_DATOS!$C$1485))-(CROQUIS_DATOS!$C$1484))+((CROQUIS_DATOS!$C$1476)*CROQUIS_DATOS!$C$1561-((CROQUIS_DATOS!$C$1486+CROQUIS_DATOS!$C$1487))*CROQUIS_DATOS!$C$1561))/CROQUIS_DATOS!$C$1568-0.000001))),2)=1,IF(INT(($A103-1)/2)+1&gt;MAX(1,INT(((((CROQUIS_DATOS!$C$1484+CROQUIS_DATOS!$C$1485))-(CROQUIS_DATOS!$C$1484))+((CROQUIS_DATOS!$C$1476)*CROQUIS_DATOS!$C$1561-((CROQUIS_DATOS!$C$1486+CROQUIS_DATOS!$C$1487))*CROQUIS_DATOS!$C$1561))/CROQUIS_DATOS!$C$1568-0.000001)),1,MOD($A103-1,2)),1-IF(INT(($A103-1)/2)+1&gt;MAX(1,INT(((((CROQUIS_DATOS!$C$1484+CROQUIS_DATOS!$C$1485))-(CROQUIS_DATOS!$C$1484))+((CROQUIS_DATOS!$C$1476)*CROQUIS_DATOS!$C$1561-((CROQUIS_DATOS!$C$1486+CROQUIS_DATOS!$C$1487))*CROQUIS_DATOS!$C$1561))/CROQUIS_DATOS!$C$1568-0.000001)),1,MOD($A103-1,2)))=1,MIN((CROQUIS_DATOS!$C$1476)*CROQUIS_DATOS!$C$1561,((CROQUIS_DATOS!$C$1484+CROQUIS_DATOS!$C$1485)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3">
        <f>IF(AND(CROQUIS_DATOS!$C$1472=1,CROQUIS_DATOS!$C$1478&gt;=3,((CROQUIS_DATOS!$C$1489+CROQUIS_DATOS!$C$1490))-(CROQUIS_DATOS!$C$1489)&gt;0.5,(CROQUIS_DATOS!$C$1491)-(0)&gt;0.5),(CROQUIS_DATOS!$C$1566+(IF(IF(MOD(MIN(INT(($A103-1)/2)+1,MAX(1,INT(((((CROQUIS_DATOS!$C$1489+CROQUIS_DATOS!$C$1490))-(CROQUIS_DATOS!$C$1489))+((CROQUIS_DATOS!$C$1491)*CROQUIS_DATOS!$C$1561-(0)*CROQUIS_DATOS!$C$1561))/CROQUIS_DATOS!$C$1568-0.000001))),2)=1,IF(INT(($A103-1)/2)+1&gt;MAX(1,INT(((((CROQUIS_DATOS!$C$1489+CROQUIS_DATOS!$C$1490))-(CROQUIS_DATOS!$C$1489))+((CROQUIS_DATOS!$C$1491)*CROQUIS_DATOS!$C$1561-(0)*CROQUIS_DATOS!$C$1561))/CROQUIS_DATOS!$C$1568-0.000001)),1,MOD($A103-1,2)),1-IF(INT(($A103-1)/2)+1&gt;MAX(1,INT(((((CROQUIS_DATOS!$C$1489+CROQUIS_DATOS!$C$1490))-(CROQUIS_DATOS!$C$1489))+((CROQUIS_DATOS!$C$1491)*CROQUIS_DATOS!$C$1561-(0)*CROQUIS_DATOS!$C$1561))/CROQUIS_DATOS!$C$1568-0.000001)),1,MOD($A103-1,2)))=1,MIN((CROQUIS_DATOS!$C$1491)*CROQUIS_DATOS!$C$1561,((CROQUIS_DATOS!$C$1489+CROQUIS_DATOS!$C$1490)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3">
        <f>IF(AND(CROQUIS_DATOS!$C$1472=1,CROQUIS_DATOS!$C$1478&gt;=3,((CROQUIS_DATOS!$C$1489+CROQUIS_DATOS!$C$1490))-(CROQUIS_DATOS!$C$1489)&gt;0.5,(CROQUIS_DATOS!$C$1491)-(0)&gt;0.5),(CROQUIS_DATOS!$C$1567+(IF(IF(MOD(MIN(INT(($A103-1)/2)+1,MAX(1,INT(((((CROQUIS_DATOS!$C$1489+CROQUIS_DATOS!$C$1490))-(CROQUIS_DATOS!$C$1489))+((CROQUIS_DATOS!$C$1491)*CROQUIS_DATOS!$C$1561-(0)*CROQUIS_DATOS!$C$1561))/CROQUIS_DATOS!$C$1568-0.000001))),2)=1,IF(INT(($A103-1)/2)+1&gt;MAX(1,INT(((((CROQUIS_DATOS!$C$1489+CROQUIS_DATOS!$C$1490))-(CROQUIS_DATOS!$C$1489))+((CROQUIS_DATOS!$C$1491)*CROQUIS_DATOS!$C$1561-(0)*CROQUIS_DATOS!$C$1561))/CROQUIS_DATOS!$C$1568-0.000001)),1,MOD($A103-1,2)),1-IF(INT(($A103-1)/2)+1&gt;MAX(1,INT(((((CROQUIS_DATOS!$C$1489+CROQUIS_DATOS!$C$1490))-(CROQUIS_DATOS!$C$1489))+((CROQUIS_DATOS!$C$1491)*CROQUIS_DATOS!$C$1561-(0)*CROQUIS_DATOS!$C$1561))/CROQUIS_DATOS!$C$1568-0.000001)),1,MOD($A103-1,2)))=1,MIN((CROQUIS_DATOS!$C$1491)*CROQUIS_DATOS!$C$1561,((CROQUIS_DATOS!$C$1489+CROQUIS_DATOS!$C$1490)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3">
        <f>IF(AND(CROQUIS_DATOS!$C$1472=1,CROQUIS_DATOS!$C$1478&gt;=3,((CROQUIS_DATOS!$C$1489+CROQUIS_DATOS!$C$1490))-(CROQUIS_DATOS!$C$1489)&gt;0.5,(CROQUIS_DATOS!$C$1476)-((CROQUIS_DATOS!$C$1491+CROQUIS_DATOS!$C$1492))&gt;0.5),(CROQUIS_DATOS!$C$1566+(IF(IF(MOD(MIN(INT(($A103-1)/2)+1,MAX(1,INT(((((CROQUIS_DATOS!$C$1489+CROQUIS_DATOS!$C$1490))-(CROQUIS_DATOS!$C$1489))+((CROQUIS_DATOS!$C$1476)*CROQUIS_DATOS!$C$1561-((CROQUIS_DATOS!$C$1491+CROQUIS_DATOS!$C$1492))*CROQUIS_DATOS!$C$1561))/CROQUIS_DATOS!$C$1568-0.000001))),2)=1,IF(INT(($A103-1)/2)+1&gt;MAX(1,INT(((((CROQUIS_DATOS!$C$1489+CROQUIS_DATOS!$C$1490))-(CROQUIS_DATOS!$C$1489))+((CROQUIS_DATOS!$C$1476)*CROQUIS_DATOS!$C$1561-((CROQUIS_DATOS!$C$1491+CROQUIS_DATOS!$C$1492))*CROQUIS_DATOS!$C$1561))/CROQUIS_DATOS!$C$1568-0.000001)),1,MOD($A103-1,2)),1-IF(INT(($A103-1)/2)+1&gt;MAX(1,INT(((((CROQUIS_DATOS!$C$1489+CROQUIS_DATOS!$C$1490))-(CROQUIS_DATOS!$C$1489))+((CROQUIS_DATOS!$C$1476)*CROQUIS_DATOS!$C$1561-((CROQUIS_DATOS!$C$1491+CROQUIS_DATOS!$C$1492))*CROQUIS_DATOS!$C$1561))/CROQUIS_DATOS!$C$1568-0.000001)),1,MOD($A103-1,2)))=1,MIN((CROQUIS_DATOS!$C$1476)*CROQUIS_DATOS!$C$1561,((CROQUIS_DATOS!$C$1489+CROQUIS_DATOS!$C$1490)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3">
        <f>IF(AND(CROQUIS_DATOS!$C$1472=1,CROQUIS_DATOS!$C$1478&gt;=3,((CROQUIS_DATOS!$C$1489+CROQUIS_DATOS!$C$1490))-(CROQUIS_DATOS!$C$1489)&gt;0.5,(CROQUIS_DATOS!$C$1476)-((CROQUIS_DATOS!$C$1491+CROQUIS_DATOS!$C$1492))&gt;0.5),(CROQUIS_DATOS!$C$1567+(IF(IF(MOD(MIN(INT(($A103-1)/2)+1,MAX(1,INT(((((CROQUIS_DATOS!$C$1489+CROQUIS_DATOS!$C$1490))-(CROQUIS_DATOS!$C$1489))+((CROQUIS_DATOS!$C$1476)*CROQUIS_DATOS!$C$1561-((CROQUIS_DATOS!$C$1491+CROQUIS_DATOS!$C$1492))*CROQUIS_DATOS!$C$1561))/CROQUIS_DATOS!$C$1568-0.000001))),2)=1,IF(INT(($A103-1)/2)+1&gt;MAX(1,INT(((((CROQUIS_DATOS!$C$1489+CROQUIS_DATOS!$C$1490))-(CROQUIS_DATOS!$C$1489))+((CROQUIS_DATOS!$C$1476)*CROQUIS_DATOS!$C$1561-((CROQUIS_DATOS!$C$1491+CROQUIS_DATOS!$C$1492))*CROQUIS_DATOS!$C$1561))/CROQUIS_DATOS!$C$1568-0.000001)),1,MOD($A103-1,2)),1-IF(INT(($A103-1)/2)+1&gt;MAX(1,INT(((((CROQUIS_DATOS!$C$1489+CROQUIS_DATOS!$C$1490))-(CROQUIS_DATOS!$C$1489))+((CROQUIS_DATOS!$C$1476)*CROQUIS_DATOS!$C$1561-((CROQUIS_DATOS!$C$1491+CROQUIS_DATOS!$C$1492))*CROQUIS_DATOS!$C$1561))/CROQUIS_DATOS!$C$1568-0.000001)),1,MOD($A103-1,2)))=1,MIN((CROQUIS_DATOS!$C$1476)*CROQUIS_DATOS!$C$1561,((CROQUIS_DATOS!$C$1489+CROQUIS_DATOS!$C$1490)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3">
        <f>IF(AND(CROQUIS_DATOS!$C$1472=1,CROQUIS_DATOS!$C$1478&gt;=4,((CROQUIS_DATOS!$C$1494+CROQUIS_DATOS!$C$1495))-(CROQUIS_DATOS!$C$1494)&gt;0.5,(CROQUIS_DATOS!$C$1496)-(0)&gt;0.5),(CROQUIS_DATOS!$C$1566+(IF(IF(MOD(MIN(INT(($A103-1)/2)+1,MAX(1,INT(((((CROQUIS_DATOS!$C$1494+CROQUIS_DATOS!$C$1495))-(CROQUIS_DATOS!$C$1494))+((CROQUIS_DATOS!$C$1496)*CROQUIS_DATOS!$C$1561-(0)*CROQUIS_DATOS!$C$1561))/CROQUIS_DATOS!$C$1568-0.000001))),2)=1,IF(INT(($A103-1)/2)+1&gt;MAX(1,INT(((((CROQUIS_DATOS!$C$1494+CROQUIS_DATOS!$C$1495))-(CROQUIS_DATOS!$C$1494))+((CROQUIS_DATOS!$C$1496)*CROQUIS_DATOS!$C$1561-(0)*CROQUIS_DATOS!$C$1561))/CROQUIS_DATOS!$C$1568-0.000001)),1,MOD($A103-1,2)),1-IF(INT(($A103-1)/2)+1&gt;MAX(1,INT(((((CROQUIS_DATOS!$C$1494+CROQUIS_DATOS!$C$1495))-(CROQUIS_DATOS!$C$1494))+((CROQUIS_DATOS!$C$1496)*CROQUIS_DATOS!$C$1561-(0)*CROQUIS_DATOS!$C$1561))/CROQUIS_DATOS!$C$1568-0.000001)),1,MOD($A103-1,2)))=1,MIN((CROQUIS_DATOS!$C$1496)*CROQUIS_DATOS!$C$1561,((CROQUIS_DATOS!$C$1494+CROQUIS_DATOS!$C$1495)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3">
        <f>IF(AND(CROQUIS_DATOS!$C$1472=1,CROQUIS_DATOS!$C$1478&gt;=4,((CROQUIS_DATOS!$C$1494+CROQUIS_DATOS!$C$1495))-(CROQUIS_DATOS!$C$1494)&gt;0.5,(CROQUIS_DATOS!$C$1496)-(0)&gt;0.5),(CROQUIS_DATOS!$C$1567+(IF(IF(MOD(MIN(INT(($A103-1)/2)+1,MAX(1,INT(((((CROQUIS_DATOS!$C$1494+CROQUIS_DATOS!$C$1495))-(CROQUIS_DATOS!$C$1494))+((CROQUIS_DATOS!$C$1496)*CROQUIS_DATOS!$C$1561-(0)*CROQUIS_DATOS!$C$1561))/CROQUIS_DATOS!$C$1568-0.000001))),2)=1,IF(INT(($A103-1)/2)+1&gt;MAX(1,INT(((((CROQUIS_DATOS!$C$1494+CROQUIS_DATOS!$C$1495))-(CROQUIS_DATOS!$C$1494))+((CROQUIS_DATOS!$C$1496)*CROQUIS_DATOS!$C$1561-(0)*CROQUIS_DATOS!$C$1561))/CROQUIS_DATOS!$C$1568-0.000001)),1,MOD($A103-1,2)),1-IF(INT(($A103-1)/2)+1&gt;MAX(1,INT(((((CROQUIS_DATOS!$C$1494+CROQUIS_DATOS!$C$1495))-(CROQUIS_DATOS!$C$1494))+((CROQUIS_DATOS!$C$1496)*CROQUIS_DATOS!$C$1561-(0)*CROQUIS_DATOS!$C$1561))/CROQUIS_DATOS!$C$1568-0.000001)),1,MOD($A103-1,2)))=1,MIN((CROQUIS_DATOS!$C$1496)*CROQUIS_DATOS!$C$1561,((CROQUIS_DATOS!$C$1494+CROQUIS_DATOS!$C$1495)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3">
        <f>IF(AND(CROQUIS_DATOS!$C$1472=1,CROQUIS_DATOS!$C$1478&gt;=4,((CROQUIS_DATOS!$C$1494+CROQUIS_DATOS!$C$1495))-(CROQUIS_DATOS!$C$1494)&gt;0.5,(CROQUIS_DATOS!$C$1476)-((CROQUIS_DATOS!$C$1496+CROQUIS_DATOS!$C$1497))&gt;0.5),(CROQUIS_DATOS!$C$1566+(IF(IF(MOD(MIN(INT(($A103-1)/2)+1,MAX(1,INT(((((CROQUIS_DATOS!$C$1494+CROQUIS_DATOS!$C$1495))-(CROQUIS_DATOS!$C$1494))+((CROQUIS_DATOS!$C$1476)*CROQUIS_DATOS!$C$1561-((CROQUIS_DATOS!$C$1496+CROQUIS_DATOS!$C$1497))*CROQUIS_DATOS!$C$1561))/CROQUIS_DATOS!$C$1568-0.000001))),2)=1,IF(INT(($A103-1)/2)+1&gt;MAX(1,INT(((((CROQUIS_DATOS!$C$1494+CROQUIS_DATOS!$C$1495))-(CROQUIS_DATOS!$C$1494))+((CROQUIS_DATOS!$C$1476)*CROQUIS_DATOS!$C$1561-((CROQUIS_DATOS!$C$1496+CROQUIS_DATOS!$C$1497))*CROQUIS_DATOS!$C$1561))/CROQUIS_DATOS!$C$1568-0.000001)),1,MOD($A103-1,2)),1-IF(INT(($A103-1)/2)+1&gt;MAX(1,INT(((((CROQUIS_DATOS!$C$1494+CROQUIS_DATOS!$C$1495))-(CROQUIS_DATOS!$C$1494))+((CROQUIS_DATOS!$C$1476)*CROQUIS_DATOS!$C$1561-((CROQUIS_DATOS!$C$1496+CROQUIS_DATOS!$C$1497))*CROQUIS_DATOS!$C$1561))/CROQUIS_DATOS!$C$1568-0.000001)),1,MOD($A103-1,2)))=1,MIN((CROQUIS_DATOS!$C$1476)*CROQUIS_DATOS!$C$1561,((CROQUIS_DATOS!$C$1494+CROQUIS_DATOS!$C$1495)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3">
        <f>IF(AND(CROQUIS_DATOS!$C$1472=1,CROQUIS_DATOS!$C$1478&gt;=4,((CROQUIS_DATOS!$C$1494+CROQUIS_DATOS!$C$1495))-(CROQUIS_DATOS!$C$1494)&gt;0.5,(CROQUIS_DATOS!$C$1476)-((CROQUIS_DATOS!$C$1496+CROQUIS_DATOS!$C$1497))&gt;0.5),(CROQUIS_DATOS!$C$1567+(IF(IF(MOD(MIN(INT(($A103-1)/2)+1,MAX(1,INT(((((CROQUIS_DATOS!$C$1494+CROQUIS_DATOS!$C$1495))-(CROQUIS_DATOS!$C$1494))+((CROQUIS_DATOS!$C$1476)*CROQUIS_DATOS!$C$1561-((CROQUIS_DATOS!$C$1496+CROQUIS_DATOS!$C$1497))*CROQUIS_DATOS!$C$1561))/CROQUIS_DATOS!$C$1568-0.000001))),2)=1,IF(INT(($A103-1)/2)+1&gt;MAX(1,INT(((((CROQUIS_DATOS!$C$1494+CROQUIS_DATOS!$C$1495))-(CROQUIS_DATOS!$C$1494))+((CROQUIS_DATOS!$C$1476)*CROQUIS_DATOS!$C$1561-((CROQUIS_DATOS!$C$1496+CROQUIS_DATOS!$C$1497))*CROQUIS_DATOS!$C$1561))/CROQUIS_DATOS!$C$1568-0.000001)),1,MOD($A103-1,2)),1-IF(INT(($A103-1)/2)+1&gt;MAX(1,INT(((((CROQUIS_DATOS!$C$1494+CROQUIS_DATOS!$C$1495))-(CROQUIS_DATOS!$C$1494))+((CROQUIS_DATOS!$C$1476)*CROQUIS_DATOS!$C$1561-((CROQUIS_DATOS!$C$1496+CROQUIS_DATOS!$C$1497))*CROQUIS_DATOS!$C$1561))/CROQUIS_DATOS!$C$1568-0.000001)),1,MOD($A103-1,2)))=1,MIN((CROQUIS_DATOS!$C$1476)*CROQUIS_DATOS!$C$1561,((CROQUIS_DATOS!$C$1494+CROQUIS_DATOS!$C$1495)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4">
      <c r="A104" t="n">
        <v>97</v>
      </c>
      <c r="N104">
        <f>IF(AND(CROQUIS_DATOS!$C$1472=1,1),(CROQUIS_DATOS!$C$1563+(IF(IF(IF(INT(($A104-1)/70)+1&gt;CROQUIS_DATOS!$C$1525,70,MOD($A104-1,70)+1)=1,0,IF(IF(INT(($A104-1)/70)+1&gt;CROQUIS_DATOS!$C$1525,70,MOD($A104-1,70)+1)&gt;2*CROQUIS_DATOS!$C$1541+1,IF(MOD(CROQUIS_DATOS!$C$1541,2)=1,1,0),IF(MOD(MIN(INT((IF(INT(($A104-1)/70)+1&gt;CROQUIS_DATOS!$C$1525,70,MOD($A104-1,70)+1)-2)/2)+1,CROQUIS_DATOS!$C$1541),2)=1,IF(MOD(IF(INT(($A104-1)/70)+1&gt;CROQUIS_DATOS!$C$1525,70,MOD($A104-1,70)+1)-2,2)=0,0,1),IF(MOD(IF(INT(($A104-1)/70)+1&gt;CROQUIS_DATOS!$C$1525,70,MOD($A104-1,70)+1)-2,2)=0,1,0))))=0,(INDEX($E$8:$E$23,MIN(INT(($A104-1)/70)+1,CROQUIS_DATOS!$C$1525))-INDEX($F$8:$F$23,MIN(INT(($A104-1)/70)+1,CROQUIS_DATOS!$C$1525))/2),(INDEX($E$8:$E$23,MIN(INT(($A104-1)/70)+1,CROQUIS_DATOS!$C$1525))+INDEX($F$8:$F$23,MIN(INT(($A104-1)/70)+1,CROQUIS_DATOS!$C$1525))/2)))*CROQUIS_DATOS!$C$1562),-1000)</f>
        <v>20.6724137931034</v>
      </c>
      <c r="O104">
        <f>IF(AND(CROQUIS_DATOS!$C$1472=1,1),(CROQUIS_DATOS!$C$1564+(IF(OR(IF(INT(($A104-1)/70)+1&gt;CROQUIS_DATOS!$C$1525,70,MOD($A104-1,70)+1)=1,IF(INT(($A104-1)/70)+1&gt;CROQUIS_DATOS!$C$1525,70,MOD($A104-1,70)+1)&gt;2*CROQUIS_DATOS!$C$1541+1),CROQUIS_DATOS!$C$1476,INDEX($H$8:$H$41,MIN(INT((IF(INT(($A104-1)/70)+1&gt;CROQUIS_DATOS!$C$1525,70,MOD($A104-1,70)+1)-2)/2)+1,CROQUIS_DATOS!$C$1541))))*CROQUIS_DATOS!$C$1561*CROQUIS_DATOS!$C$1562),-1000)</f>
        <v>32.2543103448276</v>
      </c>
      <c r="P104">
        <f>IF(AND(CROQUIS_DATOS!$C$1472=1,CROQUIS_DATOS!$C$1555=1),(CROQUIS_DATOS!$C$1563+(IF(IF(OR(MOD($A104-1,62)+1=1,IF(CHOOSE(MIN(MAX(MIN(INT(($A104-1)/62)+1,5),1),5),CROQUIS_DATOS!$C$1501,CROQUIS_DATOS!$C$1505,CROQUIS_DATOS!$C$1509,CROQUIS_DATOS!$C$1513,CROQUIS_DATOS!$C$1517)=1,CROQUIS_DATOS!$C$1557,0)=0),0,IF(MOD($A104-1,62)+1&gt;2*IF(CHOOSE(MIN(MAX(MIN(INT(($A104-1)/62)+1,5),1),5),CROQUIS_DATOS!$C$1501,CROQUIS_DATOS!$C$1505,CROQUIS_DATOS!$C$1509,CROQUIS_DATOS!$C$1513,CROQUIS_DATOS!$C$1517)=1,CROQUIS_DATOS!$C$1557,0)+1,IF(MOD(IF(CHOOSE(MIN(MAX(MIN(INT(($A104-1)/62)+1,5),1),5),CROQUIS_DATOS!$C$1501,CROQUIS_DATOS!$C$1505,CROQUIS_DATOS!$C$1509,CROQUIS_DATOS!$C$1513,CROQUIS_DATOS!$C$1517)=1,CROQUIS_DATOS!$C$1557,0),2)=1,1,0),IF(MOD(MIN(INT((MOD($A104-1,62)+1-2)/2)+1,MAX(IF(CHOOSE(MIN(MAX(MIN(INT(($A104-1)/62)+1,5),1),5),CROQUIS_DATOS!$C$1501,CROQUIS_DATOS!$C$1505,CROQUIS_DATOS!$C$1509,CROQUIS_DATOS!$C$1513,CROQUIS_DATOS!$C$1517)=1,CROQUIS_DATOS!$C$1557,0),1)),2)=1,IF(MOD(MOD($A104-1,62)+1-2,2)=0,0,1),IF(MOD(MOD($A104-1,62)+1-2,2)=0,1,0))))=0,(CHOOSE(MIN(MAX(MIN(INT(($A104-1)/62)+1,5),1),5),CROQUIS_DATOS!$C$1499,CROQUIS_DATOS!$C$1503,CROQUIS_DATOS!$C$1507,CROQUIS_DATOS!$C$1511,CROQUIS_DATOS!$C$1515)+IF(CHOOSE(MIN(MAX(MIN(INT(($A104-1)/62)+1,5),1),5),CROQUIS_DATOS!$C$1501,CROQUIS_DATOS!$C$1505,CROQUIS_DATOS!$C$1509,CROQUIS_DATOS!$C$1513,CROQUIS_DATOS!$C$1517)=1,CROQUIS_DATOS!$C$1526,0)),(CHOOSE(MIN(MAX(MIN(INT(($A104-1)/62)+1,5),1),5),CROQUIS_DATOS!$C$1499,CROQUIS_DATOS!$C$1503,CROQUIS_DATOS!$C$1507,CROQUIS_DATOS!$C$1511,CROQUIS_DATOS!$C$1515)+CHOOSE(MIN(MAX(MIN(INT(($A104-1)/62)+1,5),1),5),CROQUIS_DATOS!$C$1500,CROQUIS_DATOS!$C$1504,CROQUIS_DATOS!$C$1508,CROQUIS_DATOS!$C$1512,CROQUIS_DATOS!$C$1516)-IF(CHOOSE(MIN(MAX(MIN(INT(($A104-1)/62)+1,5),1),5),CROQUIS_DATOS!$C$1501,CROQUIS_DATOS!$C$1505,CROQUIS_DATOS!$C$1509,CROQUIS_DATOS!$C$1513,CROQUIS_DATOS!$C$1517)=1,CROQUIS_DATOS!$C$1526,0))))*CROQUIS_DATOS!$C$1562),-1000)</f>
        <v>-1000</v>
      </c>
      <c r="Q104">
        <f>IF(AND(CROQUIS_DATOS!$C$1472=1,CROQUIS_DATOS!$C$1555=1),(CROQUIS_DATOS!$C$1564+(IF(OR(OR(MOD($A104-1,62)+1=1,IF(CHOOSE(MIN(MAX(MIN(INT(($A104-1)/62)+1,5),1),5),CROQUIS_DATOS!$C$1501,CROQUIS_DATOS!$C$1505,CROQUIS_DATOS!$C$1509,CROQUIS_DATOS!$C$1513,CROQUIS_DATOS!$C$1517)=1,CROQUIS_DATOS!$C$1557,0)=0),MOD($A104-1,62)+1&gt;2*IF(CHOOSE(MIN(MAX(MIN(INT(($A104-1)/62)+1,5),1),5),CROQUIS_DATOS!$C$1501,CROQUIS_DATOS!$C$1505,CROQUIS_DATOS!$C$1509,CROQUIS_DATOS!$C$1513,CROQUIS_DATOS!$C$1517)=1,CROQUIS_DATOS!$C$1557,0)+1),CROQUIS_DATOS!$C$1476,MIN(INT((MOD($A104-1,62)+1-2)/2)+1,MAX(IF(CHOOSE(MIN(MAX(MIN(INT(($A104-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4">
        <f>IF(AND(CROQUIS_DATOS!$C$1472=1,1),(CROQUIS_DATOS!$C$1563+(MIN(INT(($A104-1)/2)+1,CROQUIS_DATOS!$C$1558)*CROQUIS_DATOS!$C$1559)*CROQUIS_DATOS!$C$1562),-1000)</f>
        <v>82.2281167108753</v>
      </c>
      <c r="U104">
        <f>IF(AND(CROQUIS_DATOS!$C$1472=1,1),(CROQUIS_DATOS!$C$1564+(IF(INT(($A104-1)/2)+1&gt;CROQUIS_DATOS!$C$1558,IF(MOD(CROQUIS_DATOS!$C$1558,2)=1,CROQUIS_DATOS!$C$1476+CROQUIS_DATOS!$C$1528,CROQUIS_DATOS!$C$1476),IF(IF(MOD(MIN(INT(($A104-1)/2)+1,CROQUIS_DATOS!$C$1558),2)=1,MOD($A104-1,2),1-MOD($A104-1,2))=1,CROQUIS_DATOS!$C$1476+CROQUIS_DATOS!$C$1528,CROQUIS_DATOS!$C$1476)))*CROQUIS_DATOS!$C$1561*CROQUIS_DATOS!$C$1562),-1000)</f>
        <v>43</v>
      </c>
      <c r="BZ104">
        <f>IF(AND(CROQUIS_DATOS!$C$1472=1,CROQUIS_DATOS!$C$1500&gt;0,((CROQUIS_DATOS!$C$1499+CROQUIS_DATOS!$C$1500))-(CROQUIS_DATOS!$C$1499)&gt;0.5,(CROQUIS_DATOS!$C$1476)-(0)&gt;0.5),(CROQUIS_DATOS!$C$1566+(IF(IF(MOD(MIN(INT(($A104-1)/2)+1,MAX(1,INT(((((CROQUIS_DATOS!$C$1499+CROQUIS_DATOS!$C$1500))-(CROQUIS_DATOS!$C$1499))+((CROQUIS_DATOS!$C$1476)*CROQUIS_DATOS!$C$1561-(0)*CROQUIS_DATOS!$C$1561))/CROQUIS_DATOS!$C$1568-0.000001))),2)=1,IF(INT(($A104-1)/2)+1&gt;MAX(1,INT(((((CROQUIS_DATOS!$C$1499+CROQUIS_DATOS!$C$1500))-(CROQUIS_DATOS!$C$1499))+((CROQUIS_DATOS!$C$1476)*CROQUIS_DATOS!$C$1561-(0)*CROQUIS_DATOS!$C$1561))/CROQUIS_DATOS!$C$1568-0.000001)),1,MOD($A104-1,2)),1-IF(INT(($A104-1)/2)+1&gt;MAX(1,INT(((((CROQUIS_DATOS!$C$1499+CROQUIS_DATOS!$C$1500))-(CROQUIS_DATOS!$C$1499))+((CROQUIS_DATOS!$C$1476)*CROQUIS_DATOS!$C$1561-(0)*CROQUIS_DATOS!$C$1561))/CROQUIS_DATOS!$C$1568-0.000001)),1,MOD($A104-1,2)))=1,MIN((CROQUIS_DATOS!$C$1476)*CROQUIS_DATOS!$C$1561,((CROQUIS_DATOS!$C$1499+CROQUIS_DATOS!$C$1500)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4">
        <f>IF(AND(CROQUIS_DATOS!$C$1472=1,CROQUIS_DATOS!$C$1500&gt;0,((CROQUIS_DATOS!$C$1499+CROQUIS_DATOS!$C$1500))-(CROQUIS_DATOS!$C$1499)&gt;0.5,(CROQUIS_DATOS!$C$1476)-(0)&gt;0.5),(CROQUIS_DATOS!$C$1567+(IF(IF(MOD(MIN(INT(($A104-1)/2)+1,MAX(1,INT(((((CROQUIS_DATOS!$C$1499+CROQUIS_DATOS!$C$1500))-(CROQUIS_DATOS!$C$1499))+((CROQUIS_DATOS!$C$1476)*CROQUIS_DATOS!$C$1561-(0)*CROQUIS_DATOS!$C$1561))/CROQUIS_DATOS!$C$1568-0.000001))),2)=1,IF(INT(($A104-1)/2)+1&gt;MAX(1,INT(((((CROQUIS_DATOS!$C$1499+CROQUIS_DATOS!$C$1500))-(CROQUIS_DATOS!$C$1499))+((CROQUIS_DATOS!$C$1476)*CROQUIS_DATOS!$C$1561-(0)*CROQUIS_DATOS!$C$1561))/CROQUIS_DATOS!$C$1568-0.000001)),1,MOD($A104-1,2)),1-IF(INT(($A104-1)/2)+1&gt;MAX(1,INT(((((CROQUIS_DATOS!$C$1499+CROQUIS_DATOS!$C$1500))-(CROQUIS_DATOS!$C$1499))+((CROQUIS_DATOS!$C$1476)*CROQUIS_DATOS!$C$1561-(0)*CROQUIS_DATOS!$C$1561))/CROQUIS_DATOS!$C$1568-0.000001)),1,MOD($A104-1,2)))=1,MIN((CROQUIS_DATOS!$C$1476)*CROQUIS_DATOS!$C$1561,((CROQUIS_DATOS!$C$1499+CROQUIS_DATOS!$C$1500)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4">
        <f>IF(AND(CROQUIS_DATOS!$C$1472=1,CROQUIS_DATOS!$C$1504&gt;0,((CROQUIS_DATOS!$C$1503+CROQUIS_DATOS!$C$1504))-(CROQUIS_DATOS!$C$1503)&gt;0.5,(CROQUIS_DATOS!$C$1476)-(0)&gt;0.5),(CROQUIS_DATOS!$C$1566+(IF(IF(MOD(MIN(INT(($A104-1)/2)+1,MAX(1,INT(((((CROQUIS_DATOS!$C$1503+CROQUIS_DATOS!$C$1504))-(CROQUIS_DATOS!$C$1503))+((CROQUIS_DATOS!$C$1476)*CROQUIS_DATOS!$C$1561-(0)*CROQUIS_DATOS!$C$1561))/CROQUIS_DATOS!$C$1568-0.000001))),2)=1,IF(INT(($A104-1)/2)+1&gt;MAX(1,INT(((((CROQUIS_DATOS!$C$1503+CROQUIS_DATOS!$C$1504))-(CROQUIS_DATOS!$C$1503))+((CROQUIS_DATOS!$C$1476)*CROQUIS_DATOS!$C$1561-(0)*CROQUIS_DATOS!$C$1561))/CROQUIS_DATOS!$C$1568-0.000001)),1,MOD($A104-1,2)),1-IF(INT(($A104-1)/2)+1&gt;MAX(1,INT(((((CROQUIS_DATOS!$C$1503+CROQUIS_DATOS!$C$1504))-(CROQUIS_DATOS!$C$1503))+((CROQUIS_DATOS!$C$1476)*CROQUIS_DATOS!$C$1561-(0)*CROQUIS_DATOS!$C$1561))/CROQUIS_DATOS!$C$1568-0.000001)),1,MOD($A104-1,2)))=1,MIN((CROQUIS_DATOS!$C$1476)*CROQUIS_DATOS!$C$1561,((CROQUIS_DATOS!$C$1503+CROQUIS_DATOS!$C$1504)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4">
        <f>IF(AND(CROQUIS_DATOS!$C$1472=1,CROQUIS_DATOS!$C$1504&gt;0,((CROQUIS_DATOS!$C$1503+CROQUIS_DATOS!$C$1504))-(CROQUIS_DATOS!$C$1503)&gt;0.5,(CROQUIS_DATOS!$C$1476)-(0)&gt;0.5),(CROQUIS_DATOS!$C$1567+(IF(IF(MOD(MIN(INT(($A104-1)/2)+1,MAX(1,INT(((((CROQUIS_DATOS!$C$1503+CROQUIS_DATOS!$C$1504))-(CROQUIS_DATOS!$C$1503))+((CROQUIS_DATOS!$C$1476)*CROQUIS_DATOS!$C$1561-(0)*CROQUIS_DATOS!$C$1561))/CROQUIS_DATOS!$C$1568-0.000001))),2)=1,IF(INT(($A104-1)/2)+1&gt;MAX(1,INT(((((CROQUIS_DATOS!$C$1503+CROQUIS_DATOS!$C$1504))-(CROQUIS_DATOS!$C$1503))+((CROQUIS_DATOS!$C$1476)*CROQUIS_DATOS!$C$1561-(0)*CROQUIS_DATOS!$C$1561))/CROQUIS_DATOS!$C$1568-0.000001)),1,MOD($A104-1,2)),1-IF(INT(($A104-1)/2)+1&gt;MAX(1,INT(((((CROQUIS_DATOS!$C$1503+CROQUIS_DATOS!$C$1504))-(CROQUIS_DATOS!$C$1503))+((CROQUIS_DATOS!$C$1476)*CROQUIS_DATOS!$C$1561-(0)*CROQUIS_DATOS!$C$1561))/CROQUIS_DATOS!$C$1568-0.000001)),1,MOD($A104-1,2)))=1,MIN((CROQUIS_DATOS!$C$1476)*CROQUIS_DATOS!$C$1561,((CROQUIS_DATOS!$C$1503+CROQUIS_DATOS!$C$1504)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4">
        <f>IF(AND(CROQUIS_DATOS!$C$1472=1,CROQUIS_DATOS!$C$1508&gt;0,((CROQUIS_DATOS!$C$1507+CROQUIS_DATOS!$C$1508))-(CROQUIS_DATOS!$C$1507)&gt;0.5,(CROQUIS_DATOS!$C$1476)-(0)&gt;0.5),(CROQUIS_DATOS!$C$1566+(IF(IF(MOD(MIN(INT(($A104-1)/2)+1,MAX(1,INT(((((CROQUIS_DATOS!$C$1507+CROQUIS_DATOS!$C$1508))-(CROQUIS_DATOS!$C$1507))+((CROQUIS_DATOS!$C$1476)*CROQUIS_DATOS!$C$1561-(0)*CROQUIS_DATOS!$C$1561))/CROQUIS_DATOS!$C$1568-0.000001))),2)=1,IF(INT(($A104-1)/2)+1&gt;MAX(1,INT(((((CROQUIS_DATOS!$C$1507+CROQUIS_DATOS!$C$1508))-(CROQUIS_DATOS!$C$1507))+((CROQUIS_DATOS!$C$1476)*CROQUIS_DATOS!$C$1561-(0)*CROQUIS_DATOS!$C$1561))/CROQUIS_DATOS!$C$1568-0.000001)),1,MOD($A104-1,2)),1-IF(INT(($A104-1)/2)+1&gt;MAX(1,INT(((((CROQUIS_DATOS!$C$1507+CROQUIS_DATOS!$C$1508))-(CROQUIS_DATOS!$C$1507))+((CROQUIS_DATOS!$C$1476)*CROQUIS_DATOS!$C$1561-(0)*CROQUIS_DATOS!$C$1561))/CROQUIS_DATOS!$C$1568-0.000001)),1,MOD($A104-1,2)))=1,MIN((CROQUIS_DATOS!$C$1476)*CROQUIS_DATOS!$C$1561,((CROQUIS_DATOS!$C$1507+CROQUIS_DATOS!$C$1508)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4">
        <f>IF(AND(CROQUIS_DATOS!$C$1472=1,CROQUIS_DATOS!$C$1508&gt;0,((CROQUIS_DATOS!$C$1507+CROQUIS_DATOS!$C$1508))-(CROQUIS_DATOS!$C$1507)&gt;0.5,(CROQUIS_DATOS!$C$1476)-(0)&gt;0.5),(CROQUIS_DATOS!$C$1567+(IF(IF(MOD(MIN(INT(($A104-1)/2)+1,MAX(1,INT(((((CROQUIS_DATOS!$C$1507+CROQUIS_DATOS!$C$1508))-(CROQUIS_DATOS!$C$1507))+((CROQUIS_DATOS!$C$1476)*CROQUIS_DATOS!$C$1561-(0)*CROQUIS_DATOS!$C$1561))/CROQUIS_DATOS!$C$1568-0.000001))),2)=1,IF(INT(($A104-1)/2)+1&gt;MAX(1,INT(((((CROQUIS_DATOS!$C$1507+CROQUIS_DATOS!$C$1508))-(CROQUIS_DATOS!$C$1507))+((CROQUIS_DATOS!$C$1476)*CROQUIS_DATOS!$C$1561-(0)*CROQUIS_DATOS!$C$1561))/CROQUIS_DATOS!$C$1568-0.000001)),1,MOD($A104-1,2)),1-IF(INT(($A104-1)/2)+1&gt;MAX(1,INT(((((CROQUIS_DATOS!$C$1507+CROQUIS_DATOS!$C$1508))-(CROQUIS_DATOS!$C$1507))+((CROQUIS_DATOS!$C$1476)*CROQUIS_DATOS!$C$1561-(0)*CROQUIS_DATOS!$C$1561))/CROQUIS_DATOS!$C$1568-0.000001)),1,MOD($A104-1,2)))=1,MIN((CROQUIS_DATOS!$C$1476)*CROQUIS_DATOS!$C$1561,((CROQUIS_DATOS!$C$1507+CROQUIS_DATOS!$C$1508)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4">
        <f>IF(AND(CROQUIS_DATOS!$C$1472=1,CROQUIS_DATOS!$C$1512&gt;0,((CROQUIS_DATOS!$C$1511+CROQUIS_DATOS!$C$1512))-(CROQUIS_DATOS!$C$1511)&gt;0.5,(CROQUIS_DATOS!$C$1476)-(0)&gt;0.5),(CROQUIS_DATOS!$C$1566+(IF(IF(MOD(MIN(INT(($A104-1)/2)+1,MAX(1,INT(((((CROQUIS_DATOS!$C$1511+CROQUIS_DATOS!$C$1512))-(CROQUIS_DATOS!$C$1511))+((CROQUIS_DATOS!$C$1476)*CROQUIS_DATOS!$C$1561-(0)*CROQUIS_DATOS!$C$1561))/CROQUIS_DATOS!$C$1568-0.000001))),2)=1,IF(INT(($A104-1)/2)+1&gt;MAX(1,INT(((((CROQUIS_DATOS!$C$1511+CROQUIS_DATOS!$C$1512))-(CROQUIS_DATOS!$C$1511))+((CROQUIS_DATOS!$C$1476)*CROQUIS_DATOS!$C$1561-(0)*CROQUIS_DATOS!$C$1561))/CROQUIS_DATOS!$C$1568-0.000001)),1,MOD($A104-1,2)),1-IF(INT(($A104-1)/2)+1&gt;MAX(1,INT(((((CROQUIS_DATOS!$C$1511+CROQUIS_DATOS!$C$1512))-(CROQUIS_DATOS!$C$1511))+((CROQUIS_DATOS!$C$1476)*CROQUIS_DATOS!$C$1561-(0)*CROQUIS_DATOS!$C$1561))/CROQUIS_DATOS!$C$1568-0.000001)),1,MOD($A104-1,2)))=1,MIN((CROQUIS_DATOS!$C$1476)*CROQUIS_DATOS!$C$1561,((CROQUIS_DATOS!$C$1511+CROQUIS_DATOS!$C$1512)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4">
        <f>IF(AND(CROQUIS_DATOS!$C$1472=1,CROQUIS_DATOS!$C$1512&gt;0,((CROQUIS_DATOS!$C$1511+CROQUIS_DATOS!$C$1512))-(CROQUIS_DATOS!$C$1511)&gt;0.5,(CROQUIS_DATOS!$C$1476)-(0)&gt;0.5),(CROQUIS_DATOS!$C$1567+(IF(IF(MOD(MIN(INT(($A104-1)/2)+1,MAX(1,INT(((((CROQUIS_DATOS!$C$1511+CROQUIS_DATOS!$C$1512))-(CROQUIS_DATOS!$C$1511))+((CROQUIS_DATOS!$C$1476)*CROQUIS_DATOS!$C$1561-(0)*CROQUIS_DATOS!$C$1561))/CROQUIS_DATOS!$C$1568-0.000001))),2)=1,IF(INT(($A104-1)/2)+1&gt;MAX(1,INT(((((CROQUIS_DATOS!$C$1511+CROQUIS_DATOS!$C$1512))-(CROQUIS_DATOS!$C$1511))+((CROQUIS_DATOS!$C$1476)*CROQUIS_DATOS!$C$1561-(0)*CROQUIS_DATOS!$C$1561))/CROQUIS_DATOS!$C$1568-0.000001)),1,MOD($A104-1,2)),1-IF(INT(($A104-1)/2)+1&gt;MAX(1,INT(((((CROQUIS_DATOS!$C$1511+CROQUIS_DATOS!$C$1512))-(CROQUIS_DATOS!$C$1511))+((CROQUIS_DATOS!$C$1476)*CROQUIS_DATOS!$C$1561-(0)*CROQUIS_DATOS!$C$1561))/CROQUIS_DATOS!$C$1568-0.000001)),1,MOD($A104-1,2)))=1,MIN((CROQUIS_DATOS!$C$1476)*CROQUIS_DATOS!$C$1561,((CROQUIS_DATOS!$C$1511+CROQUIS_DATOS!$C$1512)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4">
        <f>IF(AND(CROQUIS_DATOS!$C$1472=1,CROQUIS_DATOS!$C$1516&gt;0,((CROQUIS_DATOS!$C$1515+CROQUIS_DATOS!$C$1516))-(CROQUIS_DATOS!$C$1515)&gt;0.5,(CROQUIS_DATOS!$C$1476)-(0)&gt;0.5),(CROQUIS_DATOS!$C$1566+(IF(IF(MOD(MIN(INT(($A104-1)/2)+1,MAX(1,INT(((((CROQUIS_DATOS!$C$1515+CROQUIS_DATOS!$C$1516))-(CROQUIS_DATOS!$C$1515))+((CROQUIS_DATOS!$C$1476)*CROQUIS_DATOS!$C$1561-(0)*CROQUIS_DATOS!$C$1561))/CROQUIS_DATOS!$C$1568-0.000001))),2)=1,IF(INT(($A104-1)/2)+1&gt;MAX(1,INT(((((CROQUIS_DATOS!$C$1515+CROQUIS_DATOS!$C$1516))-(CROQUIS_DATOS!$C$1515))+((CROQUIS_DATOS!$C$1476)*CROQUIS_DATOS!$C$1561-(0)*CROQUIS_DATOS!$C$1561))/CROQUIS_DATOS!$C$1568-0.000001)),1,MOD($A104-1,2)),1-IF(INT(($A104-1)/2)+1&gt;MAX(1,INT(((((CROQUIS_DATOS!$C$1515+CROQUIS_DATOS!$C$1516))-(CROQUIS_DATOS!$C$1515))+((CROQUIS_DATOS!$C$1476)*CROQUIS_DATOS!$C$1561-(0)*CROQUIS_DATOS!$C$1561))/CROQUIS_DATOS!$C$1568-0.000001)),1,MOD($A104-1,2)))=1,MIN((CROQUIS_DATOS!$C$1476)*CROQUIS_DATOS!$C$1561,((CROQUIS_DATOS!$C$1515+CROQUIS_DATOS!$C$1516)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4">
        <f>IF(AND(CROQUIS_DATOS!$C$1472=1,CROQUIS_DATOS!$C$1516&gt;0,((CROQUIS_DATOS!$C$1515+CROQUIS_DATOS!$C$1516))-(CROQUIS_DATOS!$C$1515)&gt;0.5,(CROQUIS_DATOS!$C$1476)-(0)&gt;0.5),(CROQUIS_DATOS!$C$1567+(IF(IF(MOD(MIN(INT(($A104-1)/2)+1,MAX(1,INT(((((CROQUIS_DATOS!$C$1515+CROQUIS_DATOS!$C$1516))-(CROQUIS_DATOS!$C$1515))+((CROQUIS_DATOS!$C$1476)*CROQUIS_DATOS!$C$1561-(0)*CROQUIS_DATOS!$C$1561))/CROQUIS_DATOS!$C$1568-0.000001))),2)=1,IF(INT(($A104-1)/2)+1&gt;MAX(1,INT(((((CROQUIS_DATOS!$C$1515+CROQUIS_DATOS!$C$1516))-(CROQUIS_DATOS!$C$1515))+((CROQUIS_DATOS!$C$1476)*CROQUIS_DATOS!$C$1561-(0)*CROQUIS_DATOS!$C$1561))/CROQUIS_DATOS!$C$1568-0.000001)),1,MOD($A104-1,2)),1-IF(INT(($A104-1)/2)+1&gt;MAX(1,INT(((((CROQUIS_DATOS!$C$1515+CROQUIS_DATOS!$C$1516))-(CROQUIS_DATOS!$C$1515))+((CROQUIS_DATOS!$C$1476)*CROQUIS_DATOS!$C$1561-(0)*CROQUIS_DATOS!$C$1561))/CROQUIS_DATOS!$C$1568-0.000001)),1,MOD($A104-1,2)))=1,MIN((CROQUIS_DATOS!$C$1476)*CROQUIS_DATOS!$C$1561,((CROQUIS_DATOS!$C$1515+CROQUIS_DATOS!$C$1516)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4">
        <f>IF(AND(CROQUIS_DATOS!$C$1472=1,CROQUIS_DATOS!$C$1478&gt;=1,((CROQUIS_DATOS!$C$1479+CROQUIS_DATOS!$C$1480))-(CROQUIS_DATOS!$C$1479)&gt;0.5,(CROQUIS_DATOS!$C$1481)-(0)&gt;0.5),(CROQUIS_DATOS!$C$1566+(IF(IF(MOD(MIN(INT(($A104-1)/2)+1,MAX(1,INT(((((CROQUIS_DATOS!$C$1479+CROQUIS_DATOS!$C$1480))-(CROQUIS_DATOS!$C$1479))+((CROQUIS_DATOS!$C$1481)*CROQUIS_DATOS!$C$1561-(0)*CROQUIS_DATOS!$C$1561))/CROQUIS_DATOS!$C$1568-0.000001))),2)=1,IF(INT(($A104-1)/2)+1&gt;MAX(1,INT(((((CROQUIS_DATOS!$C$1479+CROQUIS_DATOS!$C$1480))-(CROQUIS_DATOS!$C$1479))+((CROQUIS_DATOS!$C$1481)*CROQUIS_DATOS!$C$1561-(0)*CROQUIS_DATOS!$C$1561))/CROQUIS_DATOS!$C$1568-0.000001)),1,MOD($A104-1,2)),1-IF(INT(($A104-1)/2)+1&gt;MAX(1,INT(((((CROQUIS_DATOS!$C$1479+CROQUIS_DATOS!$C$1480))-(CROQUIS_DATOS!$C$1479))+((CROQUIS_DATOS!$C$1481)*CROQUIS_DATOS!$C$1561-(0)*CROQUIS_DATOS!$C$1561))/CROQUIS_DATOS!$C$1568-0.000001)),1,MOD($A104-1,2)))=1,MIN((CROQUIS_DATOS!$C$1481)*CROQUIS_DATOS!$C$1561,((CROQUIS_DATOS!$C$1479+CROQUIS_DATOS!$C$1480)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4">
        <f>IF(AND(CROQUIS_DATOS!$C$1472=1,CROQUIS_DATOS!$C$1478&gt;=1,((CROQUIS_DATOS!$C$1479+CROQUIS_DATOS!$C$1480))-(CROQUIS_DATOS!$C$1479)&gt;0.5,(CROQUIS_DATOS!$C$1481)-(0)&gt;0.5),(CROQUIS_DATOS!$C$1567+(IF(IF(MOD(MIN(INT(($A104-1)/2)+1,MAX(1,INT(((((CROQUIS_DATOS!$C$1479+CROQUIS_DATOS!$C$1480))-(CROQUIS_DATOS!$C$1479))+((CROQUIS_DATOS!$C$1481)*CROQUIS_DATOS!$C$1561-(0)*CROQUIS_DATOS!$C$1561))/CROQUIS_DATOS!$C$1568-0.000001))),2)=1,IF(INT(($A104-1)/2)+1&gt;MAX(1,INT(((((CROQUIS_DATOS!$C$1479+CROQUIS_DATOS!$C$1480))-(CROQUIS_DATOS!$C$1479))+((CROQUIS_DATOS!$C$1481)*CROQUIS_DATOS!$C$1561-(0)*CROQUIS_DATOS!$C$1561))/CROQUIS_DATOS!$C$1568-0.000001)),1,MOD($A104-1,2)),1-IF(INT(($A104-1)/2)+1&gt;MAX(1,INT(((((CROQUIS_DATOS!$C$1479+CROQUIS_DATOS!$C$1480))-(CROQUIS_DATOS!$C$1479))+((CROQUIS_DATOS!$C$1481)*CROQUIS_DATOS!$C$1561-(0)*CROQUIS_DATOS!$C$1561))/CROQUIS_DATOS!$C$1568-0.000001)),1,MOD($A104-1,2)))=1,MIN((CROQUIS_DATOS!$C$1481)*CROQUIS_DATOS!$C$1561,((CROQUIS_DATOS!$C$1479+CROQUIS_DATOS!$C$1480)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4">
        <f>IF(AND(CROQUIS_DATOS!$C$1472=1,CROQUIS_DATOS!$C$1478&gt;=1,((CROQUIS_DATOS!$C$1479+CROQUIS_DATOS!$C$1480))-(CROQUIS_DATOS!$C$1479)&gt;0.5,(CROQUIS_DATOS!$C$1476)-((CROQUIS_DATOS!$C$1481+CROQUIS_DATOS!$C$1482))&gt;0.5),(CROQUIS_DATOS!$C$1566+(IF(IF(MOD(MIN(INT(($A104-1)/2)+1,MAX(1,INT(((((CROQUIS_DATOS!$C$1479+CROQUIS_DATOS!$C$1480))-(CROQUIS_DATOS!$C$1479))+((CROQUIS_DATOS!$C$1476)*CROQUIS_DATOS!$C$1561-((CROQUIS_DATOS!$C$1481+CROQUIS_DATOS!$C$1482))*CROQUIS_DATOS!$C$1561))/CROQUIS_DATOS!$C$1568-0.000001))),2)=1,IF(INT(($A104-1)/2)+1&gt;MAX(1,INT(((((CROQUIS_DATOS!$C$1479+CROQUIS_DATOS!$C$1480))-(CROQUIS_DATOS!$C$1479))+((CROQUIS_DATOS!$C$1476)*CROQUIS_DATOS!$C$1561-((CROQUIS_DATOS!$C$1481+CROQUIS_DATOS!$C$1482))*CROQUIS_DATOS!$C$1561))/CROQUIS_DATOS!$C$1568-0.000001)),1,MOD($A104-1,2)),1-IF(INT(($A104-1)/2)+1&gt;MAX(1,INT(((((CROQUIS_DATOS!$C$1479+CROQUIS_DATOS!$C$1480))-(CROQUIS_DATOS!$C$1479))+((CROQUIS_DATOS!$C$1476)*CROQUIS_DATOS!$C$1561-((CROQUIS_DATOS!$C$1481+CROQUIS_DATOS!$C$1482))*CROQUIS_DATOS!$C$1561))/CROQUIS_DATOS!$C$1568-0.000001)),1,MOD($A104-1,2)))=1,MIN((CROQUIS_DATOS!$C$1476)*CROQUIS_DATOS!$C$1561,((CROQUIS_DATOS!$C$1479+CROQUIS_DATOS!$C$1480)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4">
        <f>IF(AND(CROQUIS_DATOS!$C$1472=1,CROQUIS_DATOS!$C$1478&gt;=1,((CROQUIS_DATOS!$C$1479+CROQUIS_DATOS!$C$1480))-(CROQUIS_DATOS!$C$1479)&gt;0.5,(CROQUIS_DATOS!$C$1476)-((CROQUIS_DATOS!$C$1481+CROQUIS_DATOS!$C$1482))&gt;0.5),(CROQUIS_DATOS!$C$1567+(IF(IF(MOD(MIN(INT(($A104-1)/2)+1,MAX(1,INT(((((CROQUIS_DATOS!$C$1479+CROQUIS_DATOS!$C$1480))-(CROQUIS_DATOS!$C$1479))+((CROQUIS_DATOS!$C$1476)*CROQUIS_DATOS!$C$1561-((CROQUIS_DATOS!$C$1481+CROQUIS_DATOS!$C$1482))*CROQUIS_DATOS!$C$1561))/CROQUIS_DATOS!$C$1568-0.000001))),2)=1,IF(INT(($A104-1)/2)+1&gt;MAX(1,INT(((((CROQUIS_DATOS!$C$1479+CROQUIS_DATOS!$C$1480))-(CROQUIS_DATOS!$C$1479))+((CROQUIS_DATOS!$C$1476)*CROQUIS_DATOS!$C$1561-((CROQUIS_DATOS!$C$1481+CROQUIS_DATOS!$C$1482))*CROQUIS_DATOS!$C$1561))/CROQUIS_DATOS!$C$1568-0.000001)),1,MOD($A104-1,2)),1-IF(INT(($A104-1)/2)+1&gt;MAX(1,INT(((((CROQUIS_DATOS!$C$1479+CROQUIS_DATOS!$C$1480))-(CROQUIS_DATOS!$C$1479))+((CROQUIS_DATOS!$C$1476)*CROQUIS_DATOS!$C$1561-((CROQUIS_DATOS!$C$1481+CROQUIS_DATOS!$C$1482))*CROQUIS_DATOS!$C$1561))/CROQUIS_DATOS!$C$1568-0.000001)),1,MOD($A104-1,2)))=1,MIN((CROQUIS_DATOS!$C$1476)*CROQUIS_DATOS!$C$1561,((CROQUIS_DATOS!$C$1479+CROQUIS_DATOS!$C$1480)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4">
        <f>IF(AND(CROQUIS_DATOS!$C$1472=1,CROQUIS_DATOS!$C$1478&gt;=2,((CROQUIS_DATOS!$C$1484+CROQUIS_DATOS!$C$1485))-(CROQUIS_DATOS!$C$1484)&gt;0.5,(CROQUIS_DATOS!$C$1486)-(0)&gt;0.5),(CROQUIS_DATOS!$C$1566+(IF(IF(MOD(MIN(INT(($A104-1)/2)+1,MAX(1,INT(((((CROQUIS_DATOS!$C$1484+CROQUIS_DATOS!$C$1485))-(CROQUIS_DATOS!$C$1484))+((CROQUIS_DATOS!$C$1486)*CROQUIS_DATOS!$C$1561-(0)*CROQUIS_DATOS!$C$1561))/CROQUIS_DATOS!$C$1568-0.000001))),2)=1,IF(INT(($A104-1)/2)+1&gt;MAX(1,INT(((((CROQUIS_DATOS!$C$1484+CROQUIS_DATOS!$C$1485))-(CROQUIS_DATOS!$C$1484))+((CROQUIS_DATOS!$C$1486)*CROQUIS_DATOS!$C$1561-(0)*CROQUIS_DATOS!$C$1561))/CROQUIS_DATOS!$C$1568-0.000001)),1,MOD($A104-1,2)),1-IF(INT(($A104-1)/2)+1&gt;MAX(1,INT(((((CROQUIS_DATOS!$C$1484+CROQUIS_DATOS!$C$1485))-(CROQUIS_DATOS!$C$1484))+((CROQUIS_DATOS!$C$1486)*CROQUIS_DATOS!$C$1561-(0)*CROQUIS_DATOS!$C$1561))/CROQUIS_DATOS!$C$1568-0.000001)),1,MOD($A104-1,2)))=1,MIN((CROQUIS_DATOS!$C$1486)*CROQUIS_DATOS!$C$1561,((CROQUIS_DATOS!$C$1484+CROQUIS_DATOS!$C$1485)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4">
        <f>IF(AND(CROQUIS_DATOS!$C$1472=1,CROQUIS_DATOS!$C$1478&gt;=2,((CROQUIS_DATOS!$C$1484+CROQUIS_DATOS!$C$1485))-(CROQUIS_DATOS!$C$1484)&gt;0.5,(CROQUIS_DATOS!$C$1486)-(0)&gt;0.5),(CROQUIS_DATOS!$C$1567+(IF(IF(MOD(MIN(INT(($A104-1)/2)+1,MAX(1,INT(((((CROQUIS_DATOS!$C$1484+CROQUIS_DATOS!$C$1485))-(CROQUIS_DATOS!$C$1484))+((CROQUIS_DATOS!$C$1486)*CROQUIS_DATOS!$C$1561-(0)*CROQUIS_DATOS!$C$1561))/CROQUIS_DATOS!$C$1568-0.000001))),2)=1,IF(INT(($A104-1)/2)+1&gt;MAX(1,INT(((((CROQUIS_DATOS!$C$1484+CROQUIS_DATOS!$C$1485))-(CROQUIS_DATOS!$C$1484))+((CROQUIS_DATOS!$C$1486)*CROQUIS_DATOS!$C$1561-(0)*CROQUIS_DATOS!$C$1561))/CROQUIS_DATOS!$C$1568-0.000001)),1,MOD($A104-1,2)),1-IF(INT(($A104-1)/2)+1&gt;MAX(1,INT(((((CROQUIS_DATOS!$C$1484+CROQUIS_DATOS!$C$1485))-(CROQUIS_DATOS!$C$1484))+((CROQUIS_DATOS!$C$1486)*CROQUIS_DATOS!$C$1561-(0)*CROQUIS_DATOS!$C$1561))/CROQUIS_DATOS!$C$1568-0.000001)),1,MOD($A104-1,2)))=1,MIN((CROQUIS_DATOS!$C$1486)*CROQUIS_DATOS!$C$1561,((CROQUIS_DATOS!$C$1484+CROQUIS_DATOS!$C$1485)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4">
        <f>IF(AND(CROQUIS_DATOS!$C$1472=1,CROQUIS_DATOS!$C$1478&gt;=2,((CROQUIS_DATOS!$C$1484+CROQUIS_DATOS!$C$1485))-(CROQUIS_DATOS!$C$1484)&gt;0.5,(CROQUIS_DATOS!$C$1476)-((CROQUIS_DATOS!$C$1486+CROQUIS_DATOS!$C$1487))&gt;0.5),(CROQUIS_DATOS!$C$1566+(IF(IF(MOD(MIN(INT(($A104-1)/2)+1,MAX(1,INT(((((CROQUIS_DATOS!$C$1484+CROQUIS_DATOS!$C$1485))-(CROQUIS_DATOS!$C$1484))+((CROQUIS_DATOS!$C$1476)*CROQUIS_DATOS!$C$1561-((CROQUIS_DATOS!$C$1486+CROQUIS_DATOS!$C$1487))*CROQUIS_DATOS!$C$1561))/CROQUIS_DATOS!$C$1568-0.000001))),2)=1,IF(INT(($A104-1)/2)+1&gt;MAX(1,INT(((((CROQUIS_DATOS!$C$1484+CROQUIS_DATOS!$C$1485))-(CROQUIS_DATOS!$C$1484))+((CROQUIS_DATOS!$C$1476)*CROQUIS_DATOS!$C$1561-((CROQUIS_DATOS!$C$1486+CROQUIS_DATOS!$C$1487))*CROQUIS_DATOS!$C$1561))/CROQUIS_DATOS!$C$1568-0.000001)),1,MOD($A104-1,2)),1-IF(INT(($A104-1)/2)+1&gt;MAX(1,INT(((((CROQUIS_DATOS!$C$1484+CROQUIS_DATOS!$C$1485))-(CROQUIS_DATOS!$C$1484))+((CROQUIS_DATOS!$C$1476)*CROQUIS_DATOS!$C$1561-((CROQUIS_DATOS!$C$1486+CROQUIS_DATOS!$C$1487))*CROQUIS_DATOS!$C$1561))/CROQUIS_DATOS!$C$1568-0.000001)),1,MOD($A104-1,2)))=1,MIN((CROQUIS_DATOS!$C$1476)*CROQUIS_DATOS!$C$1561,((CROQUIS_DATOS!$C$1484+CROQUIS_DATOS!$C$1485)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4">
        <f>IF(AND(CROQUIS_DATOS!$C$1472=1,CROQUIS_DATOS!$C$1478&gt;=2,((CROQUIS_DATOS!$C$1484+CROQUIS_DATOS!$C$1485))-(CROQUIS_DATOS!$C$1484)&gt;0.5,(CROQUIS_DATOS!$C$1476)-((CROQUIS_DATOS!$C$1486+CROQUIS_DATOS!$C$1487))&gt;0.5),(CROQUIS_DATOS!$C$1567+(IF(IF(MOD(MIN(INT(($A104-1)/2)+1,MAX(1,INT(((((CROQUIS_DATOS!$C$1484+CROQUIS_DATOS!$C$1485))-(CROQUIS_DATOS!$C$1484))+((CROQUIS_DATOS!$C$1476)*CROQUIS_DATOS!$C$1561-((CROQUIS_DATOS!$C$1486+CROQUIS_DATOS!$C$1487))*CROQUIS_DATOS!$C$1561))/CROQUIS_DATOS!$C$1568-0.000001))),2)=1,IF(INT(($A104-1)/2)+1&gt;MAX(1,INT(((((CROQUIS_DATOS!$C$1484+CROQUIS_DATOS!$C$1485))-(CROQUIS_DATOS!$C$1484))+((CROQUIS_DATOS!$C$1476)*CROQUIS_DATOS!$C$1561-((CROQUIS_DATOS!$C$1486+CROQUIS_DATOS!$C$1487))*CROQUIS_DATOS!$C$1561))/CROQUIS_DATOS!$C$1568-0.000001)),1,MOD($A104-1,2)),1-IF(INT(($A104-1)/2)+1&gt;MAX(1,INT(((((CROQUIS_DATOS!$C$1484+CROQUIS_DATOS!$C$1485))-(CROQUIS_DATOS!$C$1484))+((CROQUIS_DATOS!$C$1476)*CROQUIS_DATOS!$C$1561-((CROQUIS_DATOS!$C$1486+CROQUIS_DATOS!$C$1487))*CROQUIS_DATOS!$C$1561))/CROQUIS_DATOS!$C$1568-0.000001)),1,MOD($A104-1,2)))=1,MIN((CROQUIS_DATOS!$C$1476)*CROQUIS_DATOS!$C$1561,((CROQUIS_DATOS!$C$1484+CROQUIS_DATOS!$C$1485)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4">
        <f>IF(AND(CROQUIS_DATOS!$C$1472=1,CROQUIS_DATOS!$C$1478&gt;=3,((CROQUIS_DATOS!$C$1489+CROQUIS_DATOS!$C$1490))-(CROQUIS_DATOS!$C$1489)&gt;0.5,(CROQUIS_DATOS!$C$1491)-(0)&gt;0.5),(CROQUIS_DATOS!$C$1566+(IF(IF(MOD(MIN(INT(($A104-1)/2)+1,MAX(1,INT(((((CROQUIS_DATOS!$C$1489+CROQUIS_DATOS!$C$1490))-(CROQUIS_DATOS!$C$1489))+((CROQUIS_DATOS!$C$1491)*CROQUIS_DATOS!$C$1561-(0)*CROQUIS_DATOS!$C$1561))/CROQUIS_DATOS!$C$1568-0.000001))),2)=1,IF(INT(($A104-1)/2)+1&gt;MAX(1,INT(((((CROQUIS_DATOS!$C$1489+CROQUIS_DATOS!$C$1490))-(CROQUIS_DATOS!$C$1489))+((CROQUIS_DATOS!$C$1491)*CROQUIS_DATOS!$C$1561-(0)*CROQUIS_DATOS!$C$1561))/CROQUIS_DATOS!$C$1568-0.000001)),1,MOD($A104-1,2)),1-IF(INT(($A104-1)/2)+1&gt;MAX(1,INT(((((CROQUIS_DATOS!$C$1489+CROQUIS_DATOS!$C$1490))-(CROQUIS_DATOS!$C$1489))+((CROQUIS_DATOS!$C$1491)*CROQUIS_DATOS!$C$1561-(0)*CROQUIS_DATOS!$C$1561))/CROQUIS_DATOS!$C$1568-0.000001)),1,MOD($A104-1,2)))=1,MIN((CROQUIS_DATOS!$C$1491)*CROQUIS_DATOS!$C$1561,((CROQUIS_DATOS!$C$1489+CROQUIS_DATOS!$C$1490)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4">
        <f>IF(AND(CROQUIS_DATOS!$C$1472=1,CROQUIS_DATOS!$C$1478&gt;=3,((CROQUIS_DATOS!$C$1489+CROQUIS_DATOS!$C$1490))-(CROQUIS_DATOS!$C$1489)&gt;0.5,(CROQUIS_DATOS!$C$1491)-(0)&gt;0.5),(CROQUIS_DATOS!$C$1567+(IF(IF(MOD(MIN(INT(($A104-1)/2)+1,MAX(1,INT(((((CROQUIS_DATOS!$C$1489+CROQUIS_DATOS!$C$1490))-(CROQUIS_DATOS!$C$1489))+((CROQUIS_DATOS!$C$1491)*CROQUIS_DATOS!$C$1561-(0)*CROQUIS_DATOS!$C$1561))/CROQUIS_DATOS!$C$1568-0.000001))),2)=1,IF(INT(($A104-1)/2)+1&gt;MAX(1,INT(((((CROQUIS_DATOS!$C$1489+CROQUIS_DATOS!$C$1490))-(CROQUIS_DATOS!$C$1489))+((CROQUIS_DATOS!$C$1491)*CROQUIS_DATOS!$C$1561-(0)*CROQUIS_DATOS!$C$1561))/CROQUIS_DATOS!$C$1568-0.000001)),1,MOD($A104-1,2)),1-IF(INT(($A104-1)/2)+1&gt;MAX(1,INT(((((CROQUIS_DATOS!$C$1489+CROQUIS_DATOS!$C$1490))-(CROQUIS_DATOS!$C$1489))+((CROQUIS_DATOS!$C$1491)*CROQUIS_DATOS!$C$1561-(0)*CROQUIS_DATOS!$C$1561))/CROQUIS_DATOS!$C$1568-0.000001)),1,MOD($A104-1,2)))=1,MIN((CROQUIS_DATOS!$C$1491)*CROQUIS_DATOS!$C$1561,((CROQUIS_DATOS!$C$1489+CROQUIS_DATOS!$C$1490)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4">
        <f>IF(AND(CROQUIS_DATOS!$C$1472=1,CROQUIS_DATOS!$C$1478&gt;=3,((CROQUIS_DATOS!$C$1489+CROQUIS_DATOS!$C$1490))-(CROQUIS_DATOS!$C$1489)&gt;0.5,(CROQUIS_DATOS!$C$1476)-((CROQUIS_DATOS!$C$1491+CROQUIS_DATOS!$C$1492))&gt;0.5),(CROQUIS_DATOS!$C$1566+(IF(IF(MOD(MIN(INT(($A104-1)/2)+1,MAX(1,INT(((((CROQUIS_DATOS!$C$1489+CROQUIS_DATOS!$C$1490))-(CROQUIS_DATOS!$C$1489))+((CROQUIS_DATOS!$C$1476)*CROQUIS_DATOS!$C$1561-((CROQUIS_DATOS!$C$1491+CROQUIS_DATOS!$C$1492))*CROQUIS_DATOS!$C$1561))/CROQUIS_DATOS!$C$1568-0.000001))),2)=1,IF(INT(($A104-1)/2)+1&gt;MAX(1,INT(((((CROQUIS_DATOS!$C$1489+CROQUIS_DATOS!$C$1490))-(CROQUIS_DATOS!$C$1489))+((CROQUIS_DATOS!$C$1476)*CROQUIS_DATOS!$C$1561-((CROQUIS_DATOS!$C$1491+CROQUIS_DATOS!$C$1492))*CROQUIS_DATOS!$C$1561))/CROQUIS_DATOS!$C$1568-0.000001)),1,MOD($A104-1,2)),1-IF(INT(($A104-1)/2)+1&gt;MAX(1,INT(((((CROQUIS_DATOS!$C$1489+CROQUIS_DATOS!$C$1490))-(CROQUIS_DATOS!$C$1489))+((CROQUIS_DATOS!$C$1476)*CROQUIS_DATOS!$C$1561-((CROQUIS_DATOS!$C$1491+CROQUIS_DATOS!$C$1492))*CROQUIS_DATOS!$C$1561))/CROQUIS_DATOS!$C$1568-0.000001)),1,MOD($A104-1,2)))=1,MIN((CROQUIS_DATOS!$C$1476)*CROQUIS_DATOS!$C$1561,((CROQUIS_DATOS!$C$1489+CROQUIS_DATOS!$C$1490)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4">
        <f>IF(AND(CROQUIS_DATOS!$C$1472=1,CROQUIS_DATOS!$C$1478&gt;=3,((CROQUIS_DATOS!$C$1489+CROQUIS_DATOS!$C$1490))-(CROQUIS_DATOS!$C$1489)&gt;0.5,(CROQUIS_DATOS!$C$1476)-((CROQUIS_DATOS!$C$1491+CROQUIS_DATOS!$C$1492))&gt;0.5),(CROQUIS_DATOS!$C$1567+(IF(IF(MOD(MIN(INT(($A104-1)/2)+1,MAX(1,INT(((((CROQUIS_DATOS!$C$1489+CROQUIS_DATOS!$C$1490))-(CROQUIS_DATOS!$C$1489))+((CROQUIS_DATOS!$C$1476)*CROQUIS_DATOS!$C$1561-((CROQUIS_DATOS!$C$1491+CROQUIS_DATOS!$C$1492))*CROQUIS_DATOS!$C$1561))/CROQUIS_DATOS!$C$1568-0.000001))),2)=1,IF(INT(($A104-1)/2)+1&gt;MAX(1,INT(((((CROQUIS_DATOS!$C$1489+CROQUIS_DATOS!$C$1490))-(CROQUIS_DATOS!$C$1489))+((CROQUIS_DATOS!$C$1476)*CROQUIS_DATOS!$C$1561-((CROQUIS_DATOS!$C$1491+CROQUIS_DATOS!$C$1492))*CROQUIS_DATOS!$C$1561))/CROQUIS_DATOS!$C$1568-0.000001)),1,MOD($A104-1,2)),1-IF(INT(($A104-1)/2)+1&gt;MAX(1,INT(((((CROQUIS_DATOS!$C$1489+CROQUIS_DATOS!$C$1490))-(CROQUIS_DATOS!$C$1489))+((CROQUIS_DATOS!$C$1476)*CROQUIS_DATOS!$C$1561-((CROQUIS_DATOS!$C$1491+CROQUIS_DATOS!$C$1492))*CROQUIS_DATOS!$C$1561))/CROQUIS_DATOS!$C$1568-0.000001)),1,MOD($A104-1,2)))=1,MIN((CROQUIS_DATOS!$C$1476)*CROQUIS_DATOS!$C$1561,((CROQUIS_DATOS!$C$1489+CROQUIS_DATOS!$C$1490)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4">
        <f>IF(AND(CROQUIS_DATOS!$C$1472=1,CROQUIS_DATOS!$C$1478&gt;=4,((CROQUIS_DATOS!$C$1494+CROQUIS_DATOS!$C$1495))-(CROQUIS_DATOS!$C$1494)&gt;0.5,(CROQUIS_DATOS!$C$1496)-(0)&gt;0.5),(CROQUIS_DATOS!$C$1566+(IF(IF(MOD(MIN(INT(($A104-1)/2)+1,MAX(1,INT(((((CROQUIS_DATOS!$C$1494+CROQUIS_DATOS!$C$1495))-(CROQUIS_DATOS!$C$1494))+((CROQUIS_DATOS!$C$1496)*CROQUIS_DATOS!$C$1561-(0)*CROQUIS_DATOS!$C$1561))/CROQUIS_DATOS!$C$1568-0.000001))),2)=1,IF(INT(($A104-1)/2)+1&gt;MAX(1,INT(((((CROQUIS_DATOS!$C$1494+CROQUIS_DATOS!$C$1495))-(CROQUIS_DATOS!$C$1494))+((CROQUIS_DATOS!$C$1496)*CROQUIS_DATOS!$C$1561-(0)*CROQUIS_DATOS!$C$1561))/CROQUIS_DATOS!$C$1568-0.000001)),1,MOD($A104-1,2)),1-IF(INT(($A104-1)/2)+1&gt;MAX(1,INT(((((CROQUIS_DATOS!$C$1494+CROQUIS_DATOS!$C$1495))-(CROQUIS_DATOS!$C$1494))+((CROQUIS_DATOS!$C$1496)*CROQUIS_DATOS!$C$1561-(0)*CROQUIS_DATOS!$C$1561))/CROQUIS_DATOS!$C$1568-0.000001)),1,MOD($A104-1,2)))=1,MIN((CROQUIS_DATOS!$C$1496)*CROQUIS_DATOS!$C$1561,((CROQUIS_DATOS!$C$1494+CROQUIS_DATOS!$C$1495)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4">
        <f>IF(AND(CROQUIS_DATOS!$C$1472=1,CROQUIS_DATOS!$C$1478&gt;=4,((CROQUIS_DATOS!$C$1494+CROQUIS_DATOS!$C$1495))-(CROQUIS_DATOS!$C$1494)&gt;0.5,(CROQUIS_DATOS!$C$1496)-(0)&gt;0.5),(CROQUIS_DATOS!$C$1567+(IF(IF(MOD(MIN(INT(($A104-1)/2)+1,MAX(1,INT(((((CROQUIS_DATOS!$C$1494+CROQUIS_DATOS!$C$1495))-(CROQUIS_DATOS!$C$1494))+((CROQUIS_DATOS!$C$1496)*CROQUIS_DATOS!$C$1561-(0)*CROQUIS_DATOS!$C$1561))/CROQUIS_DATOS!$C$1568-0.000001))),2)=1,IF(INT(($A104-1)/2)+1&gt;MAX(1,INT(((((CROQUIS_DATOS!$C$1494+CROQUIS_DATOS!$C$1495))-(CROQUIS_DATOS!$C$1494))+((CROQUIS_DATOS!$C$1496)*CROQUIS_DATOS!$C$1561-(0)*CROQUIS_DATOS!$C$1561))/CROQUIS_DATOS!$C$1568-0.000001)),1,MOD($A104-1,2)),1-IF(INT(($A104-1)/2)+1&gt;MAX(1,INT(((((CROQUIS_DATOS!$C$1494+CROQUIS_DATOS!$C$1495))-(CROQUIS_DATOS!$C$1494))+((CROQUIS_DATOS!$C$1496)*CROQUIS_DATOS!$C$1561-(0)*CROQUIS_DATOS!$C$1561))/CROQUIS_DATOS!$C$1568-0.000001)),1,MOD($A104-1,2)))=1,MIN((CROQUIS_DATOS!$C$1496)*CROQUIS_DATOS!$C$1561,((CROQUIS_DATOS!$C$1494+CROQUIS_DATOS!$C$1495)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4">
        <f>IF(AND(CROQUIS_DATOS!$C$1472=1,CROQUIS_DATOS!$C$1478&gt;=4,((CROQUIS_DATOS!$C$1494+CROQUIS_DATOS!$C$1495))-(CROQUIS_DATOS!$C$1494)&gt;0.5,(CROQUIS_DATOS!$C$1476)-((CROQUIS_DATOS!$C$1496+CROQUIS_DATOS!$C$1497))&gt;0.5),(CROQUIS_DATOS!$C$1566+(IF(IF(MOD(MIN(INT(($A104-1)/2)+1,MAX(1,INT(((((CROQUIS_DATOS!$C$1494+CROQUIS_DATOS!$C$1495))-(CROQUIS_DATOS!$C$1494))+((CROQUIS_DATOS!$C$1476)*CROQUIS_DATOS!$C$1561-((CROQUIS_DATOS!$C$1496+CROQUIS_DATOS!$C$1497))*CROQUIS_DATOS!$C$1561))/CROQUIS_DATOS!$C$1568-0.000001))),2)=1,IF(INT(($A104-1)/2)+1&gt;MAX(1,INT(((((CROQUIS_DATOS!$C$1494+CROQUIS_DATOS!$C$1495))-(CROQUIS_DATOS!$C$1494))+((CROQUIS_DATOS!$C$1476)*CROQUIS_DATOS!$C$1561-((CROQUIS_DATOS!$C$1496+CROQUIS_DATOS!$C$1497))*CROQUIS_DATOS!$C$1561))/CROQUIS_DATOS!$C$1568-0.000001)),1,MOD($A104-1,2)),1-IF(INT(($A104-1)/2)+1&gt;MAX(1,INT(((((CROQUIS_DATOS!$C$1494+CROQUIS_DATOS!$C$1495))-(CROQUIS_DATOS!$C$1494))+((CROQUIS_DATOS!$C$1476)*CROQUIS_DATOS!$C$1561-((CROQUIS_DATOS!$C$1496+CROQUIS_DATOS!$C$1497))*CROQUIS_DATOS!$C$1561))/CROQUIS_DATOS!$C$1568-0.000001)),1,MOD($A104-1,2)))=1,MIN((CROQUIS_DATOS!$C$1476)*CROQUIS_DATOS!$C$1561,((CROQUIS_DATOS!$C$1494+CROQUIS_DATOS!$C$1495)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4">
        <f>IF(AND(CROQUIS_DATOS!$C$1472=1,CROQUIS_DATOS!$C$1478&gt;=4,((CROQUIS_DATOS!$C$1494+CROQUIS_DATOS!$C$1495))-(CROQUIS_DATOS!$C$1494)&gt;0.5,(CROQUIS_DATOS!$C$1476)-((CROQUIS_DATOS!$C$1496+CROQUIS_DATOS!$C$1497))&gt;0.5),(CROQUIS_DATOS!$C$1567+(IF(IF(MOD(MIN(INT(($A104-1)/2)+1,MAX(1,INT(((((CROQUIS_DATOS!$C$1494+CROQUIS_DATOS!$C$1495))-(CROQUIS_DATOS!$C$1494))+((CROQUIS_DATOS!$C$1476)*CROQUIS_DATOS!$C$1561-((CROQUIS_DATOS!$C$1496+CROQUIS_DATOS!$C$1497))*CROQUIS_DATOS!$C$1561))/CROQUIS_DATOS!$C$1568-0.000001))),2)=1,IF(INT(($A104-1)/2)+1&gt;MAX(1,INT(((((CROQUIS_DATOS!$C$1494+CROQUIS_DATOS!$C$1495))-(CROQUIS_DATOS!$C$1494))+((CROQUIS_DATOS!$C$1476)*CROQUIS_DATOS!$C$1561-((CROQUIS_DATOS!$C$1496+CROQUIS_DATOS!$C$1497))*CROQUIS_DATOS!$C$1561))/CROQUIS_DATOS!$C$1568-0.000001)),1,MOD($A104-1,2)),1-IF(INT(($A104-1)/2)+1&gt;MAX(1,INT(((((CROQUIS_DATOS!$C$1494+CROQUIS_DATOS!$C$1495))-(CROQUIS_DATOS!$C$1494))+((CROQUIS_DATOS!$C$1476)*CROQUIS_DATOS!$C$1561-((CROQUIS_DATOS!$C$1496+CROQUIS_DATOS!$C$1497))*CROQUIS_DATOS!$C$1561))/CROQUIS_DATOS!$C$1568-0.000001)),1,MOD($A104-1,2)))=1,MIN((CROQUIS_DATOS!$C$1476)*CROQUIS_DATOS!$C$1561,((CROQUIS_DATOS!$C$1494+CROQUIS_DATOS!$C$1495)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5">
      <c r="A105" t="n">
        <v>98</v>
      </c>
      <c r="N105">
        <f>IF(AND(CROQUIS_DATOS!$C$1472=1,1),(CROQUIS_DATOS!$C$1563+(IF(IF(IF(INT(($A105-1)/70)+1&gt;CROQUIS_DATOS!$C$1525,70,MOD($A105-1,70)+1)=1,0,IF(IF(INT(($A105-1)/70)+1&gt;CROQUIS_DATOS!$C$1525,70,MOD($A105-1,70)+1)&gt;2*CROQUIS_DATOS!$C$1541+1,IF(MOD(CROQUIS_DATOS!$C$1541,2)=1,1,0),IF(MOD(MIN(INT((IF(INT(($A105-1)/70)+1&gt;CROQUIS_DATOS!$C$1525,70,MOD($A105-1,70)+1)-2)/2)+1,CROQUIS_DATOS!$C$1541),2)=1,IF(MOD(IF(INT(($A105-1)/70)+1&gt;CROQUIS_DATOS!$C$1525,70,MOD($A105-1,70)+1)-2,2)=0,0,1),IF(MOD(IF(INT(($A105-1)/70)+1&gt;CROQUIS_DATOS!$C$1525,70,MOD($A105-1,70)+1)-2,2)=0,1,0))))=0,(INDEX($E$8:$E$23,MIN(INT(($A105-1)/70)+1,CROQUIS_DATOS!$C$1525))-INDEX($F$8:$F$23,MIN(INT(($A105-1)/70)+1,CROQUIS_DATOS!$C$1525))/2),(INDEX($E$8:$E$23,MIN(INT(($A105-1)/70)+1,CROQUIS_DATOS!$C$1525))+INDEX($F$8:$F$23,MIN(INT(($A105-1)/70)+1,CROQUIS_DATOS!$C$1525))/2)))*CROQUIS_DATOS!$C$1562),-1000)</f>
        <v>20.6724137931034</v>
      </c>
      <c r="O105">
        <f>IF(AND(CROQUIS_DATOS!$C$1472=1,1),(CROQUIS_DATOS!$C$1564+(IF(OR(IF(INT(($A105-1)/70)+1&gt;CROQUIS_DATOS!$C$1525,70,MOD($A105-1,70)+1)=1,IF(INT(($A105-1)/70)+1&gt;CROQUIS_DATOS!$C$1525,70,MOD($A105-1,70)+1)&gt;2*CROQUIS_DATOS!$C$1541+1),CROQUIS_DATOS!$C$1476,INDEX($H$8:$H$41,MIN(INT((IF(INT(($A105-1)/70)+1&gt;CROQUIS_DATOS!$C$1525,70,MOD($A105-1,70)+1)-2)/2)+1,CROQUIS_DATOS!$C$1541))))*CROQUIS_DATOS!$C$1561*CROQUIS_DATOS!$C$1562),-1000)</f>
        <v>34.9698275862069</v>
      </c>
      <c r="P105">
        <f>IF(AND(CROQUIS_DATOS!$C$1472=1,CROQUIS_DATOS!$C$1555=1),(CROQUIS_DATOS!$C$1563+(IF(IF(OR(MOD($A105-1,62)+1=1,IF(CHOOSE(MIN(MAX(MIN(INT(($A105-1)/62)+1,5),1),5),CROQUIS_DATOS!$C$1501,CROQUIS_DATOS!$C$1505,CROQUIS_DATOS!$C$1509,CROQUIS_DATOS!$C$1513,CROQUIS_DATOS!$C$1517)=1,CROQUIS_DATOS!$C$1557,0)=0),0,IF(MOD($A105-1,62)+1&gt;2*IF(CHOOSE(MIN(MAX(MIN(INT(($A105-1)/62)+1,5),1),5),CROQUIS_DATOS!$C$1501,CROQUIS_DATOS!$C$1505,CROQUIS_DATOS!$C$1509,CROQUIS_DATOS!$C$1513,CROQUIS_DATOS!$C$1517)=1,CROQUIS_DATOS!$C$1557,0)+1,IF(MOD(IF(CHOOSE(MIN(MAX(MIN(INT(($A105-1)/62)+1,5),1),5),CROQUIS_DATOS!$C$1501,CROQUIS_DATOS!$C$1505,CROQUIS_DATOS!$C$1509,CROQUIS_DATOS!$C$1513,CROQUIS_DATOS!$C$1517)=1,CROQUIS_DATOS!$C$1557,0),2)=1,1,0),IF(MOD(MIN(INT((MOD($A105-1,62)+1-2)/2)+1,MAX(IF(CHOOSE(MIN(MAX(MIN(INT(($A105-1)/62)+1,5),1),5),CROQUIS_DATOS!$C$1501,CROQUIS_DATOS!$C$1505,CROQUIS_DATOS!$C$1509,CROQUIS_DATOS!$C$1513,CROQUIS_DATOS!$C$1517)=1,CROQUIS_DATOS!$C$1557,0),1)),2)=1,IF(MOD(MOD($A105-1,62)+1-2,2)=0,0,1),IF(MOD(MOD($A105-1,62)+1-2,2)=0,1,0))))=0,(CHOOSE(MIN(MAX(MIN(INT(($A105-1)/62)+1,5),1),5),CROQUIS_DATOS!$C$1499,CROQUIS_DATOS!$C$1503,CROQUIS_DATOS!$C$1507,CROQUIS_DATOS!$C$1511,CROQUIS_DATOS!$C$1515)+IF(CHOOSE(MIN(MAX(MIN(INT(($A105-1)/62)+1,5),1),5),CROQUIS_DATOS!$C$1501,CROQUIS_DATOS!$C$1505,CROQUIS_DATOS!$C$1509,CROQUIS_DATOS!$C$1513,CROQUIS_DATOS!$C$1517)=1,CROQUIS_DATOS!$C$1526,0)),(CHOOSE(MIN(MAX(MIN(INT(($A105-1)/62)+1,5),1),5),CROQUIS_DATOS!$C$1499,CROQUIS_DATOS!$C$1503,CROQUIS_DATOS!$C$1507,CROQUIS_DATOS!$C$1511,CROQUIS_DATOS!$C$1515)+CHOOSE(MIN(MAX(MIN(INT(($A105-1)/62)+1,5),1),5),CROQUIS_DATOS!$C$1500,CROQUIS_DATOS!$C$1504,CROQUIS_DATOS!$C$1508,CROQUIS_DATOS!$C$1512,CROQUIS_DATOS!$C$1516)-IF(CHOOSE(MIN(MAX(MIN(INT(($A105-1)/62)+1,5),1),5),CROQUIS_DATOS!$C$1501,CROQUIS_DATOS!$C$1505,CROQUIS_DATOS!$C$1509,CROQUIS_DATOS!$C$1513,CROQUIS_DATOS!$C$1517)=1,CROQUIS_DATOS!$C$1526,0))))*CROQUIS_DATOS!$C$1562),-1000)</f>
        <v>-1000</v>
      </c>
      <c r="Q105">
        <f>IF(AND(CROQUIS_DATOS!$C$1472=1,CROQUIS_DATOS!$C$1555=1),(CROQUIS_DATOS!$C$1564+(IF(OR(OR(MOD($A105-1,62)+1=1,IF(CHOOSE(MIN(MAX(MIN(INT(($A105-1)/62)+1,5),1),5),CROQUIS_DATOS!$C$1501,CROQUIS_DATOS!$C$1505,CROQUIS_DATOS!$C$1509,CROQUIS_DATOS!$C$1513,CROQUIS_DATOS!$C$1517)=1,CROQUIS_DATOS!$C$1557,0)=0),MOD($A105-1,62)+1&gt;2*IF(CHOOSE(MIN(MAX(MIN(INT(($A105-1)/62)+1,5),1),5),CROQUIS_DATOS!$C$1501,CROQUIS_DATOS!$C$1505,CROQUIS_DATOS!$C$1509,CROQUIS_DATOS!$C$1513,CROQUIS_DATOS!$C$1517)=1,CROQUIS_DATOS!$C$1557,0)+1),CROQUIS_DATOS!$C$1476,MIN(INT((MOD($A105-1,62)+1-2)/2)+1,MAX(IF(CHOOSE(MIN(MAX(MIN(INT(($A105-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5">
        <f>IF(AND(CROQUIS_DATOS!$C$1472=1,1),(CROQUIS_DATOS!$C$1563+(MIN(INT(($A105-1)/2)+1,CROQUIS_DATOS!$C$1558)*CROQUIS_DATOS!$C$1559)*CROQUIS_DATOS!$C$1562),-1000)</f>
        <v>82.2281167108753</v>
      </c>
      <c r="U105">
        <f>IF(AND(CROQUIS_DATOS!$C$1472=1,1),(CROQUIS_DATOS!$C$1564+(IF(INT(($A105-1)/2)+1&gt;CROQUIS_DATOS!$C$1558,IF(MOD(CROQUIS_DATOS!$C$1558,2)=1,CROQUIS_DATOS!$C$1476+CROQUIS_DATOS!$C$1528,CROQUIS_DATOS!$C$1476),IF(IF(MOD(MIN(INT(($A105-1)/2)+1,CROQUIS_DATOS!$C$1558),2)=1,MOD($A105-1,2),1-MOD($A105-1,2))=1,CROQUIS_DATOS!$C$1476+CROQUIS_DATOS!$C$1528,CROQUIS_DATOS!$C$1476)))*CROQUIS_DATOS!$C$1561*CROQUIS_DATOS!$C$1562),-1000)</f>
        <v>43</v>
      </c>
      <c r="BZ105">
        <f>IF(AND(CROQUIS_DATOS!$C$1472=1,CROQUIS_DATOS!$C$1500&gt;0,((CROQUIS_DATOS!$C$1499+CROQUIS_DATOS!$C$1500))-(CROQUIS_DATOS!$C$1499)&gt;0.5,(CROQUIS_DATOS!$C$1476)-(0)&gt;0.5),(CROQUIS_DATOS!$C$1566+(IF(IF(MOD(MIN(INT(($A105-1)/2)+1,MAX(1,INT(((((CROQUIS_DATOS!$C$1499+CROQUIS_DATOS!$C$1500))-(CROQUIS_DATOS!$C$1499))+((CROQUIS_DATOS!$C$1476)*CROQUIS_DATOS!$C$1561-(0)*CROQUIS_DATOS!$C$1561))/CROQUIS_DATOS!$C$1568-0.000001))),2)=1,IF(INT(($A105-1)/2)+1&gt;MAX(1,INT(((((CROQUIS_DATOS!$C$1499+CROQUIS_DATOS!$C$1500))-(CROQUIS_DATOS!$C$1499))+((CROQUIS_DATOS!$C$1476)*CROQUIS_DATOS!$C$1561-(0)*CROQUIS_DATOS!$C$1561))/CROQUIS_DATOS!$C$1568-0.000001)),1,MOD($A105-1,2)),1-IF(INT(($A105-1)/2)+1&gt;MAX(1,INT(((((CROQUIS_DATOS!$C$1499+CROQUIS_DATOS!$C$1500))-(CROQUIS_DATOS!$C$1499))+((CROQUIS_DATOS!$C$1476)*CROQUIS_DATOS!$C$1561-(0)*CROQUIS_DATOS!$C$1561))/CROQUIS_DATOS!$C$1568-0.000001)),1,MOD($A105-1,2)))=1,MIN((CROQUIS_DATOS!$C$1476)*CROQUIS_DATOS!$C$1561,((CROQUIS_DATOS!$C$1499+CROQUIS_DATOS!$C$1500)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5">
        <f>IF(AND(CROQUIS_DATOS!$C$1472=1,CROQUIS_DATOS!$C$1500&gt;0,((CROQUIS_DATOS!$C$1499+CROQUIS_DATOS!$C$1500))-(CROQUIS_DATOS!$C$1499)&gt;0.5,(CROQUIS_DATOS!$C$1476)-(0)&gt;0.5),(CROQUIS_DATOS!$C$1567+(IF(IF(MOD(MIN(INT(($A105-1)/2)+1,MAX(1,INT(((((CROQUIS_DATOS!$C$1499+CROQUIS_DATOS!$C$1500))-(CROQUIS_DATOS!$C$1499))+((CROQUIS_DATOS!$C$1476)*CROQUIS_DATOS!$C$1561-(0)*CROQUIS_DATOS!$C$1561))/CROQUIS_DATOS!$C$1568-0.000001))),2)=1,IF(INT(($A105-1)/2)+1&gt;MAX(1,INT(((((CROQUIS_DATOS!$C$1499+CROQUIS_DATOS!$C$1500))-(CROQUIS_DATOS!$C$1499))+((CROQUIS_DATOS!$C$1476)*CROQUIS_DATOS!$C$1561-(0)*CROQUIS_DATOS!$C$1561))/CROQUIS_DATOS!$C$1568-0.000001)),1,MOD($A105-1,2)),1-IF(INT(($A105-1)/2)+1&gt;MAX(1,INT(((((CROQUIS_DATOS!$C$1499+CROQUIS_DATOS!$C$1500))-(CROQUIS_DATOS!$C$1499))+((CROQUIS_DATOS!$C$1476)*CROQUIS_DATOS!$C$1561-(0)*CROQUIS_DATOS!$C$1561))/CROQUIS_DATOS!$C$1568-0.000001)),1,MOD($A105-1,2)))=1,MIN((CROQUIS_DATOS!$C$1476)*CROQUIS_DATOS!$C$1561,((CROQUIS_DATOS!$C$1499+CROQUIS_DATOS!$C$1500)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5">
        <f>IF(AND(CROQUIS_DATOS!$C$1472=1,CROQUIS_DATOS!$C$1504&gt;0,((CROQUIS_DATOS!$C$1503+CROQUIS_DATOS!$C$1504))-(CROQUIS_DATOS!$C$1503)&gt;0.5,(CROQUIS_DATOS!$C$1476)-(0)&gt;0.5),(CROQUIS_DATOS!$C$1566+(IF(IF(MOD(MIN(INT(($A105-1)/2)+1,MAX(1,INT(((((CROQUIS_DATOS!$C$1503+CROQUIS_DATOS!$C$1504))-(CROQUIS_DATOS!$C$1503))+((CROQUIS_DATOS!$C$1476)*CROQUIS_DATOS!$C$1561-(0)*CROQUIS_DATOS!$C$1561))/CROQUIS_DATOS!$C$1568-0.000001))),2)=1,IF(INT(($A105-1)/2)+1&gt;MAX(1,INT(((((CROQUIS_DATOS!$C$1503+CROQUIS_DATOS!$C$1504))-(CROQUIS_DATOS!$C$1503))+((CROQUIS_DATOS!$C$1476)*CROQUIS_DATOS!$C$1561-(0)*CROQUIS_DATOS!$C$1561))/CROQUIS_DATOS!$C$1568-0.000001)),1,MOD($A105-1,2)),1-IF(INT(($A105-1)/2)+1&gt;MAX(1,INT(((((CROQUIS_DATOS!$C$1503+CROQUIS_DATOS!$C$1504))-(CROQUIS_DATOS!$C$1503))+((CROQUIS_DATOS!$C$1476)*CROQUIS_DATOS!$C$1561-(0)*CROQUIS_DATOS!$C$1561))/CROQUIS_DATOS!$C$1568-0.000001)),1,MOD($A105-1,2)))=1,MIN((CROQUIS_DATOS!$C$1476)*CROQUIS_DATOS!$C$1561,((CROQUIS_DATOS!$C$1503+CROQUIS_DATOS!$C$1504)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5">
        <f>IF(AND(CROQUIS_DATOS!$C$1472=1,CROQUIS_DATOS!$C$1504&gt;0,((CROQUIS_DATOS!$C$1503+CROQUIS_DATOS!$C$1504))-(CROQUIS_DATOS!$C$1503)&gt;0.5,(CROQUIS_DATOS!$C$1476)-(0)&gt;0.5),(CROQUIS_DATOS!$C$1567+(IF(IF(MOD(MIN(INT(($A105-1)/2)+1,MAX(1,INT(((((CROQUIS_DATOS!$C$1503+CROQUIS_DATOS!$C$1504))-(CROQUIS_DATOS!$C$1503))+((CROQUIS_DATOS!$C$1476)*CROQUIS_DATOS!$C$1561-(0)*CROQUIS_DATOS!$C$1561))/CROQUIS_DATOS!$C$1568-0.000001))),2)=1,IF(INT(($A105-1)/2)+1&gt;MAX(1,INT(((((CROQUIS_DATOS!$C$1503+CROQUIS_DATOS!$C$1504))-(CROQUIS_DATOS!$C$1503))+((CROQUIS_DATOS!$C$1476)*CROQUIS_DATOS!$C$1561-(0)*CROQUIS_DATOS!$C$1561))/CROQUIS_DATOS!$C$1568-0.000001)),1,MOD($A105-1,2)),1-IF(INT(($A105-1)/2)+1&gt;MAX(1,INT(((((CROQUIS_DATOS!$C$1503+CROQUIS_DATOS!$C$1504))-(CROQUIS_DATOS!$C$1503))+((CROQUIS_DATOS!$C$1476)*CROQUIS_DATOS!$C$1561-(0)*CROQUIS_DATOS!$C$1561))/CROQUIS_DATOS!$C$1568-0.000001)),1,MOD($A105-1,2)))=1,MIN((CROQUIS_DATOS!$C$1476)*CROQUIS_DATOS!$C$1561,((CROQUIS_DATOS!$C$1503+CROQUIS_DATOS!$C$1504)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5">
        <f>IF(AND(CROQUIS_DATOS!$C$1472=1,CROQUIS_DATOS!$C$1508&gt;0,((CROQUIS_DATOS!$C$1507+CROQUIS_DATOS!$C$1508))-(CROQUIS_DATOS!$C$1507)&gt;0.5,(CROQUIS_DATOS!$C$1476)-(0)&gt;0.5),(CROQUIS_DATOS!$C$1566+(IF(IF(MOD(MIN(INT(($A105-1)/2)+1,MAX(1,INT(((((CROQUIS_DATOS!$C$1507+CROQUIS_DATOS!$C$1508))-(CROQUIS_DATOS!$C$1507))+((CROQUIS_DATOS!$C$1476)*CROQUIS_DATOS!$C$1561-(0)*CROQUIS_DATOS!$C$1561))/CROQUIS_DATOS!$C$1568-0.000001))),2)=1,IF(INT(($A105-1)/2)+1&gt;MAX(1,INT(((((CROQUIS_DATOS!$C$1507+CROQUIS_DATOS!$C$1508))-(CROQUIS_DATOS!$C$1507))+((CROQUIS_DATOS!$C$1476)*CROQUIS_DATOS!$C$1561-(0)*CROQUIS_DATOS!$C$1561))/CROQUIS_DATOS!$C$1568-0.000001)),1,MOD($A105-1,2)),1-IF(INT(($A105-1)/2)+1&gt;MAX(1,INT(((((CROQUIS_DATOS!$C$1507+CROQUIS_DATOS!$C$1508))-(CROQUIS_DATOS!$C$1507))+((CROQUIS_DATOS!$C$1476)*CROQUIS_DATOS!$C$1561-(0)*CROQUIS_DATOS!$C$1561))/CROQUIS_DATOS!$C$1568-0.000001)),1,MOD($A105-1,2)))=1,MIN((CROQUIS_DATOS!$C$1476)*CROQUIS_DATOS!$C$1561,((CROQUIS_DATOS!$C$1507+CROQUIS_DATOS!$C$1508)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5">
        <f>IF(AND(CROQUIS_DATOS!$C$1472=1,CROQUIS_DATOS!$C$1508&gt;0,((CROQUIS_DATOS!$C$1507+CROQUIS_DATOS!$C$1508))-(CROQUIS_DATOS!$C$1507)&gt;0.5,(CROQUIS_DATOS!$C$1476)-(0)&gt;0.5),(CROQUIS_DATOS!$C$1567+(IF(IF(MOD(MIN(INT(($A105-1)/2)+1,MAX(1,INT(((((CROQUIS_DATOS!$C$1507+CROQUIS_DATOS!$C$1508))-(CROQUIS_DATOS!$C$1507))+((CROQUIS_DATOS!$C$1476)*CROQUIS_DATOS!$C$1561-(0)*CROQUIS_DATOS!$C$1561))/CROQUIS_DATOS!$C$1568-0.000001))),2)=1,IF(INT(($A105-1)/2)+1&gt;MAX(1,INT(((((CROQUIS_DATOS!$C$1507+CROQUIS_DATOS!$C$1508))-(CROQUIS_DATOS!$C$1507))+((CROQUIS_DATOS!$C$1476)*CROQUIS_DATOS!$C$1561-(0)*CROQUIS_DATOS!$C$1561))/CROQUIS_DATOS!$C$1568-0.000001)),1,MOD($A105-1,2)),1-IF(INT(($A105-1)/2)+1&gt;MAX(1,INT(((((CROQUIS_DATOS!$C$1507+CROQUIS_DATOS!$C$1508))-(CROQUIS_DATOS!$C$1507))+((CROQUIS_DATOS!$C$1476)*CROQUIS_DATOS!$C$1561-(0)*CROQUIS_DATOS!$C$1561))/CROQUIS_DATOS!$C$1568-0.000001)),1,MOD($A105-1,2)))=1,MIN((CROQUIS_DATOS!$C$1476)*CROQUIS_DATOS!$C$1561,((CROQUIS_DATOS!$C$1507+CROQUIS_DATOS!$C$1508)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5">
        <f>IF(AND(CROQUIS_DATOS!$C$1472=1,CROQUIS_DATOS!$C$1512&gt;0,((CROQUIS_DATOS!$C$1511+CROQUIS_DATOS!$C$1512))-(CROQUIS_DATOS!$C$1511)&gt;0.5,(CROQUIS_DATOS!$C$1476)-(0)&gt;0.5),(CROQUIS_DATOS!$C$1566+(IF(IF(MOD(MIN(INT(($A105-1)/2)+1,MAX(1,INT(((((CROQUIS_DATOS!$C$1511+CROQUIS_DATOS!$C$1512))-(CROQUIS_DATOS!$C$1511))+((CROQUIS_DATOS!$C$1476)*CROQUIS_DATOS!$C$1561-(0)*CROQUIS_DATOS!$C$1561))/CROQUIS_DATOS!$C$1568-0.000001))),2)=1,IF(INT(($A105-1)/2)+1&gt;MAX(1,INT(((((CROQUIS_DATOS!$C$1511+CROQUIS_DATOS!$C$1512))-(CROQUIS_DATOS!$C$1511))+((CROQUIS_DATOS!$C$1476)*CROQUIS_DATOS!$C$1561-(0)*CROQUIS_DATOS!$C$1561))/CROQUIS_DATOS!$C$1568-0.000001)),1,MOD($A105-1,2)),1-IF(INT(($A105-1)/2)+1&gt;MAX(1,INT(((((CROQUIS_DATOS!$C$1511+CROQUIS_DATOS!$C$1512))-(CROQUIS_DATOS!$C$1511))+((CROQUIS_DATOS!$C$1476)*CROQUIS_DATOS!$C$1561-(0)*CROQUIS_DATOS!$C$1561))/CROQUIS_DATOS!$C$1568-0.000001)),1,MOD($A105-1,2)))=1,MIN((CROQUIS_DATOS!$C$1476)*CROQUIS_DATOS!$C$1561,((CROQUIS_DATOS!$C$1511+CROQUIS_DATOS!$C$1512)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5">
        <f>IF(AND(CROQUIS_DATOS!$C$1472=1,CROQUIS_DATOS!$C$1512&gt;0,((CROQUIS_DATOS!$C$1511+CROQUIS_DATOS!$C$1512))-(CROQUIS_DATOS!$C$1511)&gt;0.5,(CROQUIS_DATOS!$C$1476)-(0)&gt;0.5),(CROQUIS_DATOS!$C$1567+(IF(IF(MOD(MIN(INT(($A105-1)/2)+1,MAX(1,INT(((((CROQUIS_DATOS!$C$1511+CROQUIS_DATOS!$C$1512))-(CROQUIS_DATOS!$C$1511))+((CROQUIS_DATOS!$C$1476)*CROQUIS_DATOS!$C$1561-(0)*CROQUIS_DATOS!$C$1561))/CROQUIS_DATOS!$C$1568-0.000001))),2)=1,IF(INT(($A105-1)/2)+1&gt;MAX(1,INT(((((CROQUIS_DATOS!$C$1511+CROQUIS_DATOS!$C$1512))-(CROQUIS_DATOS!$C$1511))+((CROQUIS_DATOS!$C$1476)*CROQUIS_DATOS!$C$1561-(0)*CROQUIS_DATOS!$C$1561))/CROQUIS_DATOS!$C$1568-0.000001)),1,MOD($A105-1,2)),1-IF(INT(($A105-1)/2)+1&gt;MAX(1,INT(((((CROQUIS_DATOS!$C$1511+CROQUIS_DATOS!$C$1512))-(CROQUIS_DATOS!$C$1511))+((CROQUIS_DATOS!$C$1476)*CROQUIS_DATOS!$C$1561-(0)*CROQUIS_DATOS!$C$1561))/CROQUIS_DATOS!$C$1568-0.000001)),1,MOD($A105-1,2)))=1,MIN((CROQUIS_DATOS!$C$1476)*CROQUIS_DATOS!$C$1561,((CROQUIS_DATOS!$C$1511+CROQUIS_DATOS!$C$1512)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5">
        <f>IF(AND(CROQUIS_DATOS!$C$1472=1,CROQUIS_DATOS!$C$1516&gt;0,((CROQUIS_DATOS!$C$1515+CROQUIS_DATOS!$C$1516))-(CROQUIS_DATOS!$C$1515)&gt;0.5,(CROQUIS_DATOS!$C$1476)-(0)&gt;0.5),(CROQUIS_DATOS!$C$1566+(IF(IF(MOD(MIN(INT(($A105-1)/2)+1,MAX(1,INT(((((CROQUIS_DATOS!$C$1515+CROQUIS_DATOS!$C$1516))-(CROQUIS_DATOS!$C$1515))+((CROQUIS_DATOS!$C$1476)*CROQUIS_DATOS!$C$1561-(0)*CROQUIS_DATOS!$C$1561))/CROQUIS_DATOS!$C$1568-0.000001))),2)=1,IF(INT(($A105-1)/2)+1&gt;MAX(1,INT(((((CROQUIS_DATOS!$C$1515+CROQUIS_DATOS!$C$1516))-(CROQUIS_DATOS!$C$1515))+((CROQUIS_DATOS!$C$1476)*CROQUIS_DATOS!$C$1561-(0)*CROQUIS_DATOS!$C$1561))/CROQUIS_DATOS!$C$1568-0.000001)),1,MOD($A105-1,2)),1-IF(INT(($A105-1)/2)+1&gt;MAX(1,INT(((((CROQUIS_DATOS!$C$1515+CROQUIS_DATOS!$C$1516))-(CROQUIS_DATOS!$C$1515))+((CROQUIS_DATOS!$C$1476)*CROQUIS_DATOS!$C$1561-(0)*CROQUIS_DATOS!$C$1561))/CROQUIS_DATOS!$C$1568-0.000001)),1,MOD($A105-1,2)))=1,MIN((CROQUIS_DATOS!$C$1476)*CROQUIS_DATOS!$C$1561,((CROQUIS_DATOS!$C$1515+CROQUIS_DATOS!$C$1516)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5">
        <f>IF(AND(CROQUIS_DATOS!$C$1472=1,CROQUIS_DATOS!$C$1516&gt;0,((CROQUIS_DATOS!$C$1515+CROQUIS_DATOS!$C$1516))-(CROQUIS_DATOS!$C$1515)&gt;0.5,(CROQUIS_DATOS!$C$1476)-(0)&gt;0.5),(CROQUIS_DATOS!$C$1567+(IF(IF(MOD(MIN(INT(($A105-1)/2)+1,MAX(1,INT(((((CROQUIS_DATOS!$C$1515+CROQUIS_DATOS!$C$1516))-(CROQUIS_DATOS!$C$1515))+((CROQUIS_DATOS!$C$1476)*CROQUIS_DATOS!$C$1561-(0)*CROQUIS_DATOS!$C$1561))/CROQUIS_DATOS!$C$1568-0.000001))),2)=1,IF(INT(($A105-1)/2)+1&gt;MAX(1,INT(((((CROQUIS_DATOS!$C$1515+CROQUIS_DATOS!$C$1516))-(CROQUIS_DATOS!$C$1515))+((CROQUIS_DATOS!$C$1476)*CROQUIS_DATOS!$C$1561-(0)*CROQUIS_DATOS!$C$1561))/CROQUIS_DATOS!$C$1568-0.000001)),1,MOD($A105-1,2)),1-IF(INT(($A105-1)/2)+1&gt;MAX(1,INT(((((CROQUIS_DATOS!$C$1515+CROQUIS_DATOS!$C$1516))-(CROQUIS_DATOS!$C$1515))+((CROQUIS_DATOS!$C$1476)*CROQUIS_DATOS!$C$1561-(0)*CROQUIS_DATOS!$C$1561))/CROQUIS_DATOS!$C$1568-0.000001)),1,MOD($A105-1,2)))=1,MIN((CROQUIS_DATOS!$C$1476)*CROQUIS_DATOS!$C$1561,((CROQUIS_DATOS!$C$1515+CROQUIS_DATOS!$C$1516)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5">
        <f>IF(AND(CROQUIS_DATOS!$C$1472=1,CROQUIS_DATOS!$C$1478&gt;=1,((CROQUIS_DATOS!$C$1479+CROQUIS_DATOS!$C$1480))-(CROQUIS_DATOS!$C$1479)&gt;0.5,(CROQUIS_DATOS!$C$1481)-(0)&gt;0.5),(CROQUIS_DATOS!$C$1566+(IF(IF(MOD(MIN(INT(($A105-1)/2)+1,MAX(1,INT(((((CROQUIS_DATOS!$C$1479+CROQUIS_DATOS!$C$1480))-(CROQUIS_DATOS!$C$1479))+((CROQUIS_DATOS!$C$1481)*CROQUIS_DATOS!$C$1561-(0)*CROQUIS_DATOS!$C$1561))/CROQUIS_DATOS!$C$1568-0.000001))),2)=1,IF(INT(($A105-1)/2)+1&gt;MAX(1,INT(((((CROQUIS_DATOS!$C$1479+CROQUIS_DATOS!$C$1480))-(CROQUIS_DATOS!$C$1479))+((CROQUIS_DATOS!$C$1481)*CROQUIS_DATOS!$C$1561-(0)*CROQUIS_DATOS!$C$1561))/CROQUIS_DATOS!$C$1568-0.000001)),1,MOD($A105-1,2)),1-IF(INT(($A105-1)/2)+1&gt;MAX(1,INT(((((CROQUIS_DATOS!$C$1479+CROQUIS_DATOS!$C$1480))-(CROQUIS_DATOS!$C$1479))+((CROQUIS_DATOS!$C$1481)*CROQUIS_DATOS!$C$1561-(0)*CROQUIS_DATOS!$C$1561))/CROQUIS_DATOS!$C$1568-0.000001)),1,MOD($A105-1,2)))=1,MIN((CROQUIS_DATOS!$C$1481)*CROQUIS_DATOS!$C$1561,((CROQUIS_DATOS!$C$1479+CROQUIS_DATOS!$C$1480)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5">
        <f>IF(AND(CROQUIS_DATOS!$C$1472=1,CROQUIS_DATOS!$C$1478&gt;=1,((CROQUIS_DATOS!$C$1479+CROQUIS_DATOS!$C$1480))-(CROQUIS_DATOS!$C$1479)&gt;0.5,(CROQUIS_DATOS!$C$1481)-(0)&gt;0.5),(CROQUIS_DATOS!$C$1567+(IF(IF(MOD(MIN(INT(($A105-1)/2)+1,MAX(1,INT(((((CROQUIS_DATOS!$C$1479+CROQUIS_DATOS!$C$1480))-(CROQUIS_DATOS!$C$1479))+((CROQUIS_DATOS!$C$1481)*CROQUIS_DATOS!$C$1561-(0)*CROQUIS_DATOS!$C$1561))/CROQUIS_DATOS!$C$1568-0.000001))),2)=1,IF(INT(($A105-1)/2)+1&gt;MAX(1,INT(((((CROQUIS_DATOS!$C$1479+CROQUIS_DATOS!$C$1480))-(CROQUIS_DATOS!$C$1479))+((CROQUIS_DATOS!$C$1481)*CROQUIS_DATOS!$C$1561-(0)*CROQUIS_DATOS!$C$1561))/CROQUIS_DATOS!$C$1568-0.000001)),1,MOD($A105-1,2)),1-IF(INT(($A105-1)/2)+1&gt;MAX(1,INT(((((CROQUIS_DATOS!$C$1479+CROQUIS_DATOS!$C$1480))-(CROQUIS_DATOS!$C$1479))+((CROQUIS_DATOS!$C$1481)*CROQUIS_DATOS!$C$1561-(0)*CROQUIS_DATOS!$C$1561))/CROQUIS_DATOS!$C$1568-0.000001)),1,MOD($A105-1,2)))=1,MIN((CROQUIS_DATOS!$C$1481)*CROQUIS_DATOS!$C$1561,((CROQUIS_DATOS!$C$1479+CROQUIS_DATOS!$C$1480)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5">
        <f>IF(AND(CROQUIS_DATOS!$C$1472=1,CROQUIS_DATOS!$C$1478&gt;=1,((CROQUIS_DATOS!$C$1479+CROQUIS_DATOS!$C$1480))-(CROQUIS_DATOS!$C$1479)&gt;0.5,(CROQUIS_DATOS!$C$1476)-((CROQUIS_DATOS!$C$1481+CROQUIS_DATOS!$C$1482))&gt;0.5),(CROQUIS_DATOS!$C$1566+(IF(IF(MOD(MIN(INT(($A105-1)/2)+1,MAX(1,INT(((((CROQUIS_DATOS!$C$1479+CROQUIS_DATOS!$C$1480))-(CROQUIS_DATOS!$C$1479))+((CROQUIS_DATOS!$C$1476)*CROQUIS_DATOS!$C$1561-((CROQUIS_DATOS!$C$1481+CROQUIS_DATOS!$C$1482))*CROQUIS_DATOS!$C$1561))/CROQUIS_DATOS!$C$1568-0.000001))),2)=1,IF(INT(($A105-1)/2)+1&gt;MAX(1,INT(((((CROQUIS_DATOS!$C$1479+CROQUIS_DATOS!$C$1480))-(CROQUIS_DATOS!$C$1479))+((CROQUIS_DATOS!$C$1476)*CROQUIS_DATOS!$C$1561-((CROQUIS_DATOS!$C$1481+CROQUIS_DATOS!$C$1482))*CROQUIS_DATOS!$C$1561))/CROQUIS_DATOS!$C$1568-0.000001)),1,MOD($A105-1,2)),1-IF(INT(($A105-1)/2)+1&gt;MAX(1,INT(((((CROQUIS_DATOS!$C$1479+CROQUIS_DATOS!$C$1480))-(CROQUIS_DATOS!$C$1479))+((CROQUIS_DATOS!$C$1476)*CROQUIS_DATOS!$C$1561-((CROQUIS_DATOS!$C$1481+CROQUIS_DATOS!$C$1482))*CROQUIS_DATOS!$C$1561))/CROQUIS_DATOS!$C$1568-0.000001)),1,MOD($A105-1,2)))=1,MIN((CROQUIS_DATOS!$C$1476)*CROQUIS_DATOS!$C$1561,((CROQUIS_DATOS!$C$1479+CROQUIS_DATOS!$C$1480)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5">
        <f>IF(AND(CROQUIS_DATOS!$C$1472=1,CROQUIS_DATOS!$C$1478&gt;=1,((CROQUIS_DATOS!$C$1479+CROQUIS_DATOS!$C$1480))-(CROQUIS_DATOS!$C$1479)&gt;0.5,(CROQUIS_DATOS!$C$1476)-((CROQUIS_DATOS!$C$1481+CROQUIS_DATOS!$C$1482))&gt;0.5),(CROQUIS_DATOS!$C$1567+(IF(IF(MOD(MIN(INT(($A105-1)/2)+1,MAX(1,INT(((((CROQUIS_DATOS!$C$1479+CROQUIS_DATOS!$C$1480))-(CROQUIS_DATOS!$C$1479))+((CROQUIS_DATOS!$C$1476)*CROQUIS_DATOS!$C$1561-((CROQUIS_DATOS!$C$1481+CROQUIS_DATOS!$C$1482))*CROQUIS_DATOS!$C$1561))/CROQUIS_DATOS!$C$1568-0.000001))),2)=1,IF(INT(($A105-1)/2)+1&gt;MAX(1,INT(((((CROQUIS_DATOS!$C$1479+CROQUIS_DATOS!$C$1480))-(CROQUIS_DATOS!$C$1479))+((CROQUIS_DATOS!$C$1476)*CROQUIS_DATOS!$C$1561-((CROQUIS_DATOS!$C$1481+CROQUIS_DATOS!$C$1482))*CROQUIS_DATOS!$C$1561))/CROQUIS_DATOS!$C$1568-0.000001)),1,MOD($A105-1,2)),1-IF(INT(($A105-1)/2)+1&gt;MAX(1,INT(((((CROQUIS_DATOS!$C$1479+CROQUIS_DATOS!$C$1480))-(CROQUIS_DATOS!$C$1479))+((CROQUIS_DATOS!$C$1476)*CROQUIS_DATOS!$C$1561-((CROQUIS_DATOS!$C$1481+CROQUIS_DATOS!$C$1482))*CROQUIS_DATOS!$C$1561))/CROQUIS_DATOS!$C$1568-0.000001)),1,MOD($A105-1,2)))=1,MIN((CROQUIS_DATOS!$C$1476)*CROQUIS_DATOS!$C$1561,((CROQUIS_DATOS!$C$1479+CROQUIS_DATOS!$C$1480)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5">
        <f>IF(AND(CROQUIS_DATOS!$C$1472=1,CROQUIS_DATOS!$C$1478&gt;=2,((CROQUIS_DATOS!$C$1484+CROQUIS_DATOS!$C$1485))-(CROQUIS_DATOS!$C$1484)&gt;0.5,(CROQUIS_DATOS!$C$1486)-(0)&gt;0.5),(CROQUIS_DATOS!$C$1566+(IF(IF(MOD(MIN(INT(($A105-1)/2)+1,MAX(1,INT(((((CROQUIS_DATOS!$C$1484+CROQUIS_DATOS!$C$1485))-(CROQUIS_DATOS!$C$1484))+((CROQUIS_DATOS!$C$1486)*CROQUIS_DATOS!$C$1561-(0)*CROQUIS_DATOS!$C$1561))/CROQUIS_DATOS!$C$1568-0.000001))),2)=1,IF(INT(($A105-1)/2)+1&gt;MAX(1,INT(((((CROQUIS_DATOS!$C$1484+CROQUIS_DATOS!$C$1485))-(CROQUIS_DATOS!$C$1484))+((CROQUIS_DATOS!$C$1486)*CROQUIS_DATOS!$C$1561-(0)*CROQUIS_DATOS!$C$1561))/CROQUIS_DATOS!$C$1568-0.000001)),1,MOD($A105-1,2)),1-IF(INT(($A105-1)/2)+1&gt;MAX(1,INT(((((CROQUIS_DATOS!$C$1484+CROQUIS_DATOS!$C$1485))-(CROQUIS_DATOS!$C$1484))+((CROQUIS_DATOS!$C$1486)*CROQUIS_DATOS!$C$1561-(0)*CROQUIS_DATOS!$C$1561))/CROQUIS_DATOS!$C$1568-0.000001)),1,MOD($A105-1,2)))=1,MIN((CROQUIS_DATOS!$C$1486)*CROQUIS_DATOS!$C$1561,((CROQUIS_DATOS!$C$1484+CROQUIS_DATOS!$C$1485)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5">
        <f>IF(AND(CROQUIS_DATOS!$C$1472=1,CROQUIS_DATOS!$C$1478&gt;=2,((CROQUIS_DATOS!$C$1484+CROQUIS_DATOS!$C$1485))-(CROQUIS_DATOS!$C$1484)&gt;0.5,(CROQUIS_DATOS!$C$1486)-(0)&gt;0.5),(CROQUIS_DATOS!$C$1567+(IF(IF(MOD(MIN(INT(($A105-1)/2)+1,MAX(1,INT(((((CROQUIS_DATOS!$C$1484+CROQUIS_DATOS!$C$1485))-(CROQUIS_DATOS!$C$1484))+((CROQUIS_DATOS!$C$1486)*CROQUIS_DATOS!$C$1561-(0)*CROQUIS_DATOS!$C$1561))/CROQUIS_DATOS!$C$1568-0.000001))),2)=1,IF(INT(($A105-1)/2)+1&gt;MAX(1,INT(((((CROQUIS_DATOS!$C$1484+CROQUIS_DATOS!$C$1485))-(CROQUIS_DATOS!$C$1484))+((CROQUIS_DATOS!$C$1486)*CROQUIS_DATOS!$C$1561-(0)*CROQUIS_DATOS!$C$1561))/CROQUIS_DATOS!$C$1568-0.000001)),1,MOD($A105-1,2)),1-IF(INT(($A105-1)/2)+1&gt;MAX(1,INT(((((CROQUIS_DATOS!$C$1484+CROQUIS_DATOS!$C$1485))-(CROQUIS_DATOS!$C$1484))+((CROQUIS_DATOS!$C$1486)*CROQUIS_DATOS!$C$1561-(0)*CROQUIS_DATOS!$C$1561))/CROQUIS_DATOS!$C$1568-0.000001)),1,MOD($A105-1,2)))=1,MIN((CROQUIS_DATOS!$C$1486)*CROQUIS_DATOS!$C$1561,((CROQUIS_DATOS!$C$1484+CROQUIS_DATOS!$C$1485)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5">
        <f>IF(AND(CROQUIS_DATOS!$C$1472=1,CROQUIS_DATOS!$C$1478&gt;=2,((CROQUIS_DATOS!$C$1484+CROQUIS_DATOS!$C$1485))-(CROQUIS_DATOS!$C$1484)&gt;0.5,(CROQUIS_DATOS!$C$1476)-((CROQUIS_DATOS!$C$1486+CROQUIS_DATOS!$C$1487))&gt;0.5),(CROQUIS_DATOS!$C$1566+(IF(IF(MOD(MIN(INT(($A105-1)/2)+1,MAX(1,INT(((((CROQUIS_DATOS!$C$1484+CROQUIS_DATOS!$C$1485))-(CROQUIS_DATOS!$C$1484))+((CROQUIS_DATOS!$C$1476)*CROQUIS_DATOS!$C$1561-((CROQUIS_DATOS!$C$1486+CROQUIS_DATOS!$C$1487))*CROQUIS_DATOS!$C$1561))/CROQUIS_DATOS!$C$1568-0.000001))),2)=1,IF(INT(($A105-1)/2)+1&gt;MAX(1,INT(((((CROQUIS_DATOS!$C$1484+CROQUIS_DATOS!$C$1485))-(CROQUIS_DATOS!$C$1484))+((CROQUIS_DATOS!$C$1476)*CROQUIS_DATOS!$C$1561-((CROQUIS_DATOS!$C$1486+CROQUIS_DATOS!$C$1487))*CROQUIS_DATOS!$C$1561))/CROQUIS_DATOS!$C$1568-0.000001)),1,MOD($A105-1,2)),1-IF(INT(($A105-1)/2)+1&gt;MAX(1,INT(((((CROQUIS_DATOS!$C$1484+CROQUIS_DATOS!$C$1485))-(CROQUIS_DATOS!$C$1484))+((CROQUIS_DATOS!$C$1476)*CROQUIS_DATOS!$C$1561-((CROQUIS_DATOS!$C$1486+CROQUIS_DATOS!$C$1487))*CROQUIS_DATOS!$C$1561))/CROQUIS_DATOS!$C$1568-0.000001)),1,MOD($A105-1,2)))=1,MIN((CROQUIS_DATOS!$C$1476)*CROQUIS_DATOS!$C$1561,((CROQUIS_DATOS!$C$1484+CROQUIS_DATOS!$C$1485)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5">
        <f>IF(AND(CROQUIS_DATOS!$C$1472=1,CROQUIS_DATOS!$C$1478&gt;=2,((CROQUIS_DATOS!$C$1484+CROQUIS_DATOS!$C$1485))-(CROQUIS_DATOS!$C$1484)&gt;0.5,(CROQUIS_DATOS!$C$1476)-((CROQUIS_DATOS!$C$1486+CROQUIS_DATOS!$C$1487))&gt;0.5),(CROQUIS_DATOS!$C$1567+(IF(IF(MOD(MIN(INT(($A105-1)/2)+1,MAX(1,INT(((((CROQUIS_DATOS!$C$1484+CROQUIS_DATOS!$C$1485))-(CROQUIS_DATOS!$C$1484))+((CROQUIS_DATOS!$C$1476)*CROQUIS_DATOS!$C$1561-((CROQUIS_DATOS!$C$1486+CROQUIS_DATOS!$C$1487))*CROQUIS_DATOS!$C$1561))/CROQUIS_DATOS!$C$1568-0.000001))),2)=1,IF(INT(($A105-1)/2)+1&gt;MAX(1,INT(((((CROQUIS_DATOS!$C$1484+CROQUIS_DATOS!$C$1485))-(CROQUIS_DATOS!$C$1484))+((CROQUIS_DATOS!$C$1476)*CROQUIS_DATOS!$C$1561-((CROQUIS_DATOS!$C$1486+CROQUIS_DATOS!$C$1487))*CROQUIS_DATOS!$C$1561))/CROQUIS_DATOS!$C$1568-0.000001)),1,MOD($A105-1,2)),1-IF(INT(($A105-1)/2)+1&gt;MAX(1,INT(((((CROQUIS_DATOS!$C$1484+CROQUIS_DATOS!$C$1485))-(CROQUIS_DATOS!$C$1484))+((CROQUIS_DATOS!$C$1476)*CROQUIS_DATOS!$C$1561-((CROQUIS_DATOS!$C$1486+CROQUIS_DATOS!$C$1487))*CROQUIS_DATOS!$C$1561))/CROQUIS_DATOS!$C$1568-0.000001)),1,MOD($A105-1,2)))=1,MIN((CROQUIS_DATOS!$C$1476)*CROQUIS_DATOS!$C$1561,((CROQUIS_DATOS!$C$1484+CROQUIS_DATOS!$C$1485)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5">
        <f>IF(AND(CROQUIS_DATOS!$C$1472=1,CROQUIS_DATOS!$C$1478&gt;=3,((CROQUIS_DATOS!$C$1489+CROQUIS_DATOS!$C$1490))-(CROQUIS_DATOS!$C$1489)&gt;0.5,(CROQUIS_DATOS!$C$1491)-(0)&gt;0.5),(CROQUIS_DATOS!$C$1566+(IF(IF(MOD(MIN(INT(($A105-1)/2)+1,MAX(1,INT(((((CROQUIS_DATOS!$C$1489+CROQUIS_DATOS!$C$1490))-(CROQUIS_DATOS!$C$1489))+((CROQUIS_DATOS!$C$1491)*CROQUIS_DATOS!$C$1561-(0)*CROQUIS_DATOS!$C$1561))/CROQUIS_DATOS!$C$1568-0.000001))),2)=1,IF(INT(($A105-1)/2)+1&gt;MAX(1,INT(((((CROQUIS_DATOS!$C$1489+CROQUIS_DATOS!$C$1490))-(CROQUIS_DATOS!$C$1489))+((CROQUIS_DATOS!$C$1491)*CROQUIS_DATOS!$C$1561-(0)*CROQUIS_DATOS!$C$1561))/CROQUIS_DATOS!$C$1568-0.000001)),1,MOD($A105-1,2)),1-IF(INT(($A105-1)/2)+1&gt;MAX(1,INT(((((CROQUIS_DATOS!$C$1489+CROQUIS_DATOS!$C$1490))-(CROQUIS_DATOS!$C$1489))+((CROQUIS_DATOS!$C$1491)*CROQUIS_DATOS!$C$1561-(0)*CROQUIS_DATOS!$C$1561))/CROQUIS_DATOS!$C$1568-0.000001)),1,MOD($A105-1,2)))=1,MIN((CROQUIS_DATOS!$C$1491)*CROQUIS_DATOS!$C$1561,((CROQUIS_DATOS!$C$1489+CROQUIS_DATOS!$C$1490)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5">
        <f>IF(AND(CROQUIS_DATOS!$C$1472=1,CROQUIS_DATOS!$C$1478&gt;=3,((CROQUIS_DATOS!$C$1489+CROQUIS_DATOS!$C$1490))-(CROQUIS_DATOS!$C$1489)&gt;0.5,(CROQUIS_DATOS!$C$1491)-(0)&gt;0.5),(CROQUIS_DATOS!$C$1567+(IF(IF(MOD(MIN(INT(($A105-1)/2)+1,MAX(1,INT(((((CROQUIS_DATOS!$C$1489+CROQUIS_DATOS!$C$1490))-(CROQUIS_DATOS!$C$1489))+((CROQUIS_DATOS!$C$1491)*CROQUIS_DATOS!$C$1561-(0)*CROQUIS_DATOS!$C$1561))/CROQUIS_DATOS!$C$1568-0.000001))),2)=1,IF(INT(($A105-1)/2)+1&gt;MAX(1,INT(((((CROQUIS_DATOS!$C$1489+CROQUIS_DATOS!$C$1490))-(CROQUIS_DATOS!$C$1489))+((CROQUIS_DATOS!$C$1491)*CROQUIS_DATOS!$C$1561-(0)*CROQUIS_DATOS!$C$1561))/CROQUIS_DATOS!$C$1568-0.000001)),1,MOD($A105-1,2)),1-IF(INT(($A105-1)/2)+1&gt;MAX(1,INT(((((CROQUIS_DATOS!$C$1489+CROQUIS_DATOS!$C$1490))-(CROQUIS_DATOS!$C$1489))+((CROQUIS_DATOS!$C$1491)*CROQUIS_DATOS!$C$1561-(0)*CROQUIS_DATOS!$C$1561))/CROQUIS_DATOS!$C$1568-0.000001)),1,MOD($A105-1,2)))=1,MIN((CROQUIS_DATOS!$C$1491)*CROQUIS_DATOS!$C$1561,((CROQUIS_DATOS!$C$1489+CROQUIS_DATOS!$C$1490)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5">
        <f>IF(AND(CROQUIS_DATOS!$C$1472=1,CROQUIS_DATOS!$C$1478&gt;=3,((CROQUIS_DATOS!$C$1489+CROQUIS_DATOS!$C$1490))-(CROQUIS_DATOS!$C$1489)&gt;0.5,(CROQUIS_DATOS!$C$1476)-((CROQUIS_DATOS!$C$1491+CROQUIS_DATOS!$C$1492))&gt;0.5),(CROQUIS_DATOS!$C$1566+(IF(IF(MOD(MIN(INT(($A105-1)/2)+1,MAX(1,INT(((((CROQUIS_DATOS!$C$1489+CROQUIS_DATOS!$C$1490))-(CROQUIS_DATOS!$C$1489))+((CROQUIS_DATOS!$C$1476)*CROQUIS_DATOS!$C$1561-((CROQUIS_DATOS!$C$1491+CROQUIS_DATOS!$C$1492))*CROQUIS_DATOS!$C$1561))/CROQUIS_DATOS!$C$1568-0.000001))),2)=1,IF(INT(($A105-1)/2)+1&gt;MAX(1,INT(((((CROQUIS_DATOS!$C$1489+CROQUIS_DATOS!$C$1490))-(CROQUIS_DATOS!$C$1489))+((CROQUIS_DATOS!$C$1476)*CROQUIS_DATOS!$C$1561-((CROQUIS_DATOS!$C$1491+CROQUIS_DATOS!$C$1492))*CROQUIS_DATOS!$C$1561))/CROQUIS_DATOS!$C$1568-0.000001)),1,MOD($A105-1,2)),1-IF(INT(($A105-1)/2)+1&gt;MAX(1,INT(((((CROQUIS_DATOS!$C$1489+CROQUIS_DATOS!$C$1490))-(CROQUIS_DATOS!$C$1489))+((CROQUIS_DATOS!$C$1476)*CROQUIS_DATOS!$C$1561-((CROQUIS_DATOS!$C$1491+CROQUIS_DATOS!$C$1492))*CROQUIS_DATOS!$C$1561))/CROQUIS_DATOS!$C$1568-0.000001)),1,MOD($A105-1,2)))=1,MIN((CROQUIS_DATOS!$C$1476)*CROQUIS_DATOS!$C$1561,((CROQUIS_DATOS!$C$1489+CROQUIS_DATOS!$C$1490)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5">
        <f>IF(AND(CROQUIS_DATOS!$C$1472=1,CROQUIS_DATOS!$C$1478&gt;=3,((CROQUIS_DATOS!$C$1489+CROQUIS_DATOS!$C$1490))-(CROQUIS_DATOS!$C$1489)&gt;0.5,(CROQUIS_DATOS!$C$1476)-((CROQUIS_DATOS!$C$1491+CROQUIS_DATOS!$C$1492))&gt;0.5),(CROQUIS_DATOS!$C$1567+(IF(IF(MOD(MIN(INT(($A105-1)/2)+1,MAX(1,INT(((((CROQUIS_DATOS!$C$1489+CROQUIS_DATOS!$C$1490))-(CROQUIS_DATOS!$C$1489))+((CROQUIS_DATOS!$C$1476)*CROQUIS_DATOS!$C$1561-((CROQUIS_DATOS!$C$1491+CROQUIS_DATOS!$C$1492))*CROQUIS_DATOS!$C$1561))/CROQUIS_DATOS!$C$1568-0.000001))),2)=1,IF(INT(($A105-1)/2)+1&gt;MAX(1,INT(((((CROQUIS_DATOS!$C$1489+CROQUIS_DATOS!$C$1490))-(CROQUIS_DATOS!$C$1489))+((CROQUIS_DATOS!$C$1476)*CROQUIS_DATOS!$C$1561-((CROQUIS_DATOS!$C$1491+CROQUIS_DATOS!$C$1492))*CROQUIS_DATOS!$C$1561))/CROQUIS_DATOS!$C$1568-0.000001)),1,MOD($A105-1,2)),1-IF(INT(($A105-1)/2)+1&gt;MAX(1,INT(((((CROQUIS_DATOS!$C$1489+CROQUIS_DATOS!$C$1490))-(CROQUIS_DATOS!$C$1489))+((CROQUIS_DATOS!$C$1476)*CROQUIS_DATOS!$C$1561-((CROQUIS_DATOS!$C$1491+CROQUIS_DATOS!$C$1492))*CROQUIS_DATOS!$C$1561))/CROQUIS_DATOS!$C$1568-0.000001)),1,MOD($A105-1,2)))=1,MIN((CROQUIS_DATOS!$C$1476)*CROQUIS_DATOS!$C$1561,((CROQUIS_DATOS!$C$1489+CROQUIS_DATOS!$C$1490)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5">
        <f>IF(AND(CROQUIS_DATOS!$C$1472=1,CROQUIS_DATOS!$C$1478&gt;=4,((CROQUIS_DATOS!$C$1494+CROQUIS_DATOS!$C$1495))-(CROQUIS_DATOS!$C$1494)&gt;0.5,(CROQUIS_DATOS!$C$1496)-(0)&gt;0.5),(CROQUIS_DATOS!$C$1566+(IF(IF(MOD(MIN(INT(($A105-1)/2)+1,MAX(1,INT(((((CROQUIS_DATOS!$C$1494+CROQUIS_DATOS!$C$1495))-(CROQUIS_DATOS!$C$1494))+((CROQUIS_DATOS!$C$1496)*CROQUIS_DATOS!$C$1561-(0)*CROQUIS_DATOS!$C$1561))/CROQUIS_DATOS!$C$1568-0.000001))),2)=1,IF(INT(($A105-1)/2)+1&gt;MAX(1,INT(((((CROQUIS_DATOS!$C$1494+CROQUIS_DATOS!$C$1495))-(CROQUIS_DATOS!$C$1494))+((CROQUIS_DATOS!$C$1496)*CROQUIS_DATOS!$C$1561-(0)*CROQUIS_DATOS!$C$1561))/CROQUIS_DATOS!$C$1568-0.000001)),1,MOD($A105-1,2)),1-IF(INT(($A105-1)/2)+1&gt;MAX(1,INT(((((CROQUIS_DATOS!$C$1494+CROQUIS_DATOS!$C$1495))-(CROQUIS_DATOS!$C$1494))+((CROQUIS_DATOS!$C$1496)*CROQUIS_DATOS!$C$1561-(0)*CROQUIS_DATOS!$C$1561))/CROQUIS_DATOS!$C$1568-0.000001)),1,MOD($A105-1,2)))=1,MIN((CROQUIS_DATOS!$C$1496)*CROQUIS_DATOS!$C$1561,((CROQUIS_DATOS!$C$1494+CROQUIS_DATOS!$C$1495)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5">
        <f>IF(AND(CROQUIS_DATOS!$C$1472=1,CROQUIS_DATOS!$C$1478&gt;=4,((CROQUIS_DATOS!$C$1494+CROQUIS_DATOS!$C$1495))-(CROQUIS_DATOS!$C$1494)&gt;0.5,(CROQUIS_DATOS!$C$1496)-(0)&gt;0.5),(CROQUIS_DATOS!$C$1567+(IF(IF(MOD(MIN(INT(($A105-1)/2)+1,MAX(1,INT(((((CROQUIS_DATOS!$C$1494+CROQUIS_DATOS!$C$1495))-(CROQUIS_DATOS!$C$1494))+((CROQUIS_DATOS!$C$1496)*CROQUIS_DATOS!$C$1561-(0)*CROQUIS_DATOS!$C$1561))/CROQUIS_DATOS!$C$1568-0.000001))),2)=1,IF(INT(($A105-1)/2)+1&gt;MAX(1,INT(((((CROQUIS_DATOS!$C$1494+CROQUIS_DATOS!$C$1495))-(CROQUIS_DATOS!$C$1494))+((CROQUIS_DATOS!$C$1496)*CROQUIS_DATOS!$C$1561-(0)*CROQUIS_DATOS!$C$1561))/CROQUIS_DATOS!$C$1568-0.000001)),1,MOD($A105-1,2)),1-IF(INT(($A105-1)/2)+1&gt;MAX(1,INT(((((CROQUIS_DATOS!$C$1494+CROQUIS_DATOS!$C$1495))-(CROQUIS_DATOS!$C$1494))+((CROQUIS_DATOS!$C$1496)*CROQUIS_DATOS!$C$1561-(0)*CROQUIS_DATOS!$C$1561))/CROQUIS_DATOS!$C$1568-0.000001)),1,MOD($A105-1,2)))=1,MIN((CROQUIS_DATOS!$C$1496)*CROQUIS_DATOS!$C$1561,((CROQUIS_DATOS!$C$1494+CROQUIS_DATOS!$C$1495)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5">
        <f>IF(AND(CROQUIS_DATOS!$C$1472=1,CROQUIS_DATOS!$C$1478&gt;=4,((CROQUIS_DATOS!$C$1494+CROQUIS_DATOS!$C$1495))-(CROQUIS_DATOS!$C$1494)&gt;0.5,(CROQUIS_DATOS!$C$1476)-((CROQUIS_DATOS!$C$1496+CROQUIS_DATOS!$C$1497))&gt;0.5),(CROQUIS_DATOS!$C$1566+(IF(IF(MOD(MIN(INT(($A105-1)/2)+1,MAX(1,INT(((((CROQUIS_DATOS!$C$1494+CROQUIS_DATOS!$C$1495))-(CROQUIS_DATOS!$C$1494))+((CROQUIS_DATOS!$C$1476)*CROQUIS_DATOS!$C$1561-((CROQUIS_DATOS!$C$1496+CROQUIS_DATOS!$C$1497))*CROQUIS_DATOS!$C$1561))/CROQUIS_DATOS!$C$1568-0.000001))),2)=1,IF(INT(($A105-1)/2)+1&gt;MAX(1,INT(((((CROQUIS_DATOS!$C$1494+CROQUIS_DATOS!$C$1495))-(CROQUIS_DATOS!$C$1494))+((CROQUIS_DATOS!$C$1476)*CROQUIS_DATOS!$C$1561-((CROQUIS_DATOS!$C$1496+CROQUIS_DATOS!$C$1497))*CROQUIS_DATOS!$C$1561))/CROQUIS_DATOS!$C$1568-0.000001)),1,MOD($A105-1,2)),1-IF(INT(($A105-1)/2)+1&gt;MAX(1,INT(((((CROQUIS_DATOS!$C$1494+CROQUIS_DATOS!$C$1495))-(CROQUIS_DATOS!$C$1494))+((CROQUIS_DATOS!$C$1476)*CROQUIS_DATOS!$C$1561-((CROQUIS_DATOS!$C$1496+CROQUIS_DATOS!$C$1497))*CROQUIS_DATOS!$C$1561))/CROQUIS_DATOS!$C$1568-0.000001)),1,MOD($A105-1,2)))=1,MIN((CROQUIS_DATOS!$C$1476)*CROQUIS_DATOS!$C$1561,((CROQUIS_DATOS!$C$1494+CROQUIS_DATOS!$C$1495)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5">
        <f>IF(AND(CROQUIS_DATOS!$C$1472=1,CROQUIS_DATOS!$C$1478&gt;=4,((CROQUIS_DATOS!$C$1494+CROQUIS_DATOS!$C$1495))-(CROQUIS_DATOS!$C$1494)&gt;0.5,(CROQUIS_DATOS!$C$1476)-((CROQUIS_DATOS!$C$1496+CROQUIS_DATOS!$C$1497))&gt;0.5),(CROQUIS_DATOS!$C$1567+(IF(IF(MOD(MIN(INT(($A105-1)/2)+1,MAX(1,INT(((((CROQUIS_DATOS!$C$1494+CROQUIS_DATOS!$C$1495))-(CROQUIS_DATOS!$C$1494))+((CROQUIS_DATOS!$C$1476)*CROQUIS_DATOS!$C$1561-((CROQUIS_DATOS!$C$1496+CROQUIS_DATOS!$C$1497))*CROQUIS_DATOS!$C$1561))/CROQUIS_DATOS!$C$1568-0.000001))),2)=1,IF(INT(($A105-1)/2)+1&gt;MAX(1,INT(((((CROQUIS_DATOS!$C$1494+CROQUIS_DATOS!$C$1495))-(CROQUIS_DATOS!$C$1494))+((CROQUIS_DATOS!$C$1476)*CROQUIS_DATOS!$C$1561-((CROQUIS_DATOS!$C$1496+CROQUIS_DATOS!$C$1497))*CROQUIS_DATOS!$C$1561))/CROQUIS_DATOS!$C$1568-0.000001)),1,MOD($A105-1,2)),1-IF(INT(($A105-1)/2)+1&gt;MAX(1,INT(((((CROQUIS_DATOS!$C$1494+CROQUIS_DATOS!$C$1495))-(CROQUIS_DATOS!$C$1494))+((CROQUIS_DATOS!$C$1476)*CROQUIS_DATOS!$C$1561-((CROQUIS_DATOS!$C$1496+CROQUIS_DATOS!$C$1497))*CROQUIS_DATOS!$C$1561))/CROQUIS_DATOS!$C$1568-0.000001)),1,MOD($A105-1,2)))=1,MIN((CROQUIS_DATOS!$C$1476)*CROQUIS_DATOS!$C$1561,((CROQUIS_DATOS!$C$1494+CROQUIS_DATOS!$C$1495)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6">
      <c r="A106" t="n">
        <v>99</v>
      </c>
      <c r="N106">
        <f>IF(AND(CROQUIS_DATOS!$C$1472=1,1),(CROQUIS_DATOS!$C$1563+(IF(IF(IF(INT(($A106-1)/70)+1&gt;CROQUIS_DATOS!$C$1525,70,MOD($A106-1,70)+1)=1,0,IF(IF(INT(($A106-1)/70)+1&gt;CROQUIS_DATOS!$C$1525,70,MOD($A106-1,70)+1)&gt;2*CROQUIS_DATOS!$C$1541+1,IF(MOD(CROQUIS_DATOS!$C$1541,2)=1,1,0),IF(MOD(MIN(INT((IF(INT(($A106-1)/70)+1&gt;CROQUIS_DATOS!$C$1525,70,MOD($A106-1,70)+1)-2)/2)+1,CROQUIS_DATOS!$C$1541),2)=1,IF(MOD(IF(INT(($A106-1)/70)+1&gt;CROQUIS_DATOS!$C$1525,70,MOD($A106-1,70)+1)-2,2)=0,0,1),IF(MOD(IF(INT(($A106-1)/70)+1&gt;CROQUIS_DATOS!$C$1525,70,MOD($A106-1,70)+1)-2,2)=0,1,0))))=0,(INDEX($E$8:$E$23,MIN(INT(($A106-1)/70)+1,CROQUIS_DATOS!$C$1525))-INDEX($F$8:$F$23,MIN(INT(($A106-1)/70)+1,CROQUIS_DATOS!$C$1525))/2),(INDEX($E$8:$E$23,MIN(INT(($A106-1)/70)+1,CROQUIS_DATOS!$C$1525))+INDEX($F$8:$F$23,MIN(INT(($A106-1)/70)+1,CROQUIS_DATOS!$C$1525))/2)))*CROQUIS_DATOS!$C$1562),-1000)</f>
        <v>18.5775862068965</v>
      </c>
      <c r="O106">
        <f>IF(AND(CROQUIS_DATOS!$C$1472=1,1),(CROQUIS_DATOS!$C$1564+(IF(OR(IF(INT(($A106-1)/70)+1&gt;CROQUIS_DATOS!$C$1525,70,MOD($A106-1,70)+1)=1,IF(INT(($A106-1)/70)+1&gt;CROQUIS_DATOS!$C$1525,70,MOD($A106-1,70)+1)&gt;2*CROQUIS_DATOS!$C$1541+1),CROQUIS_DATOS!$C$1476,INDEX($H$8:$H$41,MIN(INT((IF(INT(($A106-1)/70)+1&gt;CROQUIS_DATOS!$C$1525,70,MOD($A106-1,70)+1)-2)/2)+1,CROQUIS_DATOS!$C$1541))))*CROQUIS_DATOS!$C$1561*CROQUIS_DATOS!$C$1562),-1000)</f>
        <v>34.9698275862069</v>
      </c>
      <c r="P106">
        <f>IF(AND(CROQUIS_DATOS!$C$1472=1,CROQUIS_DATOS!$C$1555=1),(CROQUIS_DATOS!$C$1563+(IF(IF(OR(MOD($A106-1,62)+1=1,IF(CHOOSE(MIN(MAX(MIN(INT(($A106-1)/62)+1,5),1),5),CROQUIS_DATOS!$C$1501,CROQUIS_DATOS!$C$1505,CROQUIS_DATOS!$C$1509,CROQUIS_DATOS!$C$1513,CROQUIS_DATOS!$C$1517)=1,CROQUIS_DATOS!$C$1557,0)=0),0,IF(MOD($A106-1,62)+1&gt;2*IF(CHOOSE(MIN(MAX(MIN(INT(($A106-1)/62)+1,5),1),5),CROQUIS_DATOS!$C$1501,CROQUIS_DATOS!$C$1505,CROQUIS_DATOS!$C$1509,CROQUIS_DATOS!$C$1513,CROQUIS_DATOS!$C$1517)=1,CROQUIS_DATOS!$C$1557,0)+1,IF(MOD(IF(CHOOSE(MIN(MAX(MIN(INT(($A106-1)/62)+1,5),1),5),CROQUIS_DATOS!$C$1501,CROQUIS_DATOS!$C$1505,CROQUIS_DATOS!$C$1509,CROQUIS_DATOS!$C$1513,CROQUIS_DATOS!$C$1517)=1,CROQUIS_DATOS!$C$1557,0),2)=1,1,0),IF(MOD(MIN(INT((MOD($A106-1,62)+1-2)/2)+1,MAX(IF(CHOOSE(MIN(MAX(MIN(INT(($A106-1)/62)+1,5),1),5),CROQUIS_DATOS!$C$1501,CROQUIS_DATOS!$C$1505,CROQUIS_DATOS!$C$1509,CROQUIS_DATOS!$C$1513,CROQUIS_DATOS!$C$1517)=1,CROQUIS_DATOS!$C$1557,0),1)),2)=1,IF(MOD(MOD($A106-1,62)+1-2,2)=0,0,1),IF(MOD(MOD($A106-1,62)+1-2,2)=0,1,0))))=0,(CHOOSE(MIN(MAX(MIN(INT(($A106-1)/62)+1,5),1),5),CROQUIS_DATOS!$C$1499,CROQUIS_DATOS!$C$1503,CROQUIS_DATOS!$C$1507,CROQUIS_DATOS!$C$1511,CROQUIS_DATOS!$C$1515)+IF(CHOOSE(MIN(MAX(MIN(INT(($A106-1)/62)+1,5),1),5),CROQUIS_DATOS!$C$1501,CROQUIS_DATOS!$C$1505,CROQUIS_DATOS!$C$1509,CROQUIS_DATOS!$C$1513,CROQUIS_DATOS!$C$1517)=1,CROQUIS_DATOS!$C$1526,0)),(CHOOSE(MIN(MAX(MIN(INT(($A106-1)/62)+1,5),1),5),CROQUIS_DATOS!$C$1499,CROQUIS_DATOS!$C$1503,CROQUIS_DATOS!$C$1507,CROQUIS_DATOS!$C$1511,CROQUIS_DATOS!$C$1515)+CHOOSE(MIN(MAX(MIN(INT(($A106-1)/62)+1,5),1),5),CROQUIS_DATOS!$C$1500,CROQUIS_DATOS!$C$1504,CROQUIS_DATOS!$C$1508,CROQUIS_DATOS!$C$1512,CROQUIS_DATOS!$C$1516)-IF(CHOOSE(MIN(MAX(MIN(INT(($A106-1)/62)+1,5),1),5),CROQUIS_DATOS!$C$1501,CROQUIS_DATOS!$C$1505,CROQUIS_DATOS!$C$1509,CROQUIS_DATOS!$C$1513,CROQUIS_DATOS!$C$1517)=1,CROQUIS_DATOS!$C$1526,0))))*CROQUIS_DATOS!$C$1562),-1000)</f>
        <v>-1000</v>
      </c>
      <c r="Q106">
        <f>IF(AND(CROQUIS_DATOS!$C$1472=1,CROQUIS_DATOS!$C$1555=1),(CROQUIS_DATOS!$C$1564+(IF(OR(OR(MOD($A106-1,62)+1=1,IF(CHOOSE(MIN(MAX(MIN(INT(($A106-1)/62)+1,5),1),5),CROQUIS_DATOS!$C$1501,CROQUIS_DATOS!$C$1505,CROQUIS_DATOS!$C$1509,CROQUIS_DATOS!$C$1513,CROQUIS_DATOS!$C$1517)=1,CROQUIS_DATOS!$C$1557,0)=0),MOD($A106-1,62)+1&gt;2*IF(CHOOSE(MIN(MAX(MIN(INT(($A106-1)/62)+1,5),1),5),CROQUIS_DATOS!$C$1501,CROQUIS_DATOS!$C$1505,CROQUIS_DATOS!$C$1509,CROQUIS_DATOS!$C$1513,CROQUIS_DATOS!$C$1517)=1,CROQUIS_DATOS!$C$1557,0)+1),CROQUIS_DATOS!$C$1476,MIN(INT((MOD($A106-1,62)+1-2)/2)+1,MAX(IF(CHOOSE(MIN(MAX(MIN(INT(($A106-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6">
        <f>IF(AND(CROQUIS_DATOS!$C$1472=1,1),(CROQUIS_DATOS!$C$1563+(MIN(INT(($A106-1)/2)+1,CROQUIS_DATOS!$C$1558)*CROQUIS_DATOS!$C$1559)*CROQUIS_DATOS!$C$1562),-1000)</f>
        <v>82.2281167108753</v>
      </c>
      <c r="U106">
        <f>IF(AND(CROQUIS_DATOS!$C$1472=1,1),(CROQUIS_DATOS!$C$1564+(IF(INT(($A106-1)/2)+1&gt;CROQUIS_DATOS!$C$1558,IF(MOD(CROQUIS_DATOS!$C$1558,2)=1,CROQUIS_DATOS!$C$1476+CROQUIS_DATOS!$C$1528,CROQUIS_DATOS!$C$1476),IF(IF(MOD(MIN(INT(($A106-1)/2)+1,CROQUIS_DATOS!$C$1558),2)=1,MOD($A106-1,2),1-MOD($A106-1,2))=1,CROQUIS_DATOS!$C$1476+CROQUIS_DATOS!$C$1528,CROQUIS_DATOS!$C$1476)))*CROQUIS_DATOS!$C$1561*CROQUIS_DATOS!$C$1562),-1000)</f>
        <v>43</v>
      </c>
      <c r="BZ106">
        <f>IF(AND(CROQUIS_DATOS!$C$1472=1,CROQUIS_DATOS!$C$1500&gt;0,((CROQUIS_DATOS!$C$1499+CROQUIS_DATOS!$C$1500))-(CROQUIS_DATOS!$C$1499)&gt;0.5,(CROQUIS_DATOS!$C$1476)-(0)&gt;0.5),(CROQUIS_DATOS!$C$1566+(IF(IF(MOD(MIN(INT(($A106-1)/2)+1,MAX(1,INT(((((CROQUIS_DATOS!$C$1499+CROQUIS_DATOS!$C$1500))-(CROQUIS_DATOS!$C$1499))+((CROQUIS_DATOS!$C$1476)*CROQUIS_DATOS!$C$1561-(0)*CROQUIS_DATOS!$C$1561))/CROQUIS_DATOS!$C$1568-0.000001))),2)=1,IF(INT(($A106-1)/2)+1&gt;MAX(1,INT(((((CROQUIS_DATOS!$C$1499+CROQUIS_DATOS!$C$1500))-(CROQUIS_DATOS!$C$1499))+((CROQUIS_DATOS!$C$1476)*CROQUIS_DATOS!$C$1561-(0)*CROQUIS_DATOS!$C$1561))/CROQUIS_DATOS!$C$1568-0.000001)),1,MOD($A106-1,2)),1-IF(INT(($A106-1)/2)+1&gt;MAX(1,INT(((((CROQUIS_DATOS!$C$1499+CROQUIS_DATOS!$C$1500))-(CROQUIS_DATOS!$C$1499))+((CROQUIS_DATOS!$C$1476)*CROQUIS_DATOS!$C$1561-(0)*CROQUIS_DATOS!$C$1561))/CROQUIS_DATOS!$C$1568-0.000001)),1,MOD($A106-1,2)))=1,MIN((CROQUIS_DATOS!$C$1476)*CROQUIS_DATOS!$C$1561,((CROQUIS_DATOS!$C$1499+CROQUIS_DATOS!$C$1500)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6">
        <f>IF(AND(CROQUIS_DATOS!$C$1472=1,CROQUIS_DATOS!$C$1500&gt;0,((CROQUIS_DATOS!$C$1499+CROQUIS_DATOS!$C$1500))-(CROQUIS_DATOS!$C$1499)&gt;0.5,(CROQUIS_DATOS!$C$1476)-(0)&gt;0.5),(CROQUIS_DATOS!$C$1567+(IF(IF(MOD(MIN(INT(($A106-1)/2)+1,MAX(1,INT(((((CROQUIS_DATOS!$C$1499+CROQUIS_DATOS!$C$1500))-(CROQUIS_DATOS!$C$1499))+((CROQUIS_DATOS!$C$1476)*CROQUIS_DATOS!$C$1561-(0)*CROQUIS_DATOS!$C$1561))/CROQUIS_DATOS!$C$1568-0.000001))),2)=1,IF(INT(($A106-1)/2)+1&gt;MAX(1,INT(((((CROQUIS_DATOS!$C$1499+CROQUIS_DATOS!$C$1500))-(CROQUIS_DATOS!$C$1499))+((CROQUIS_DATOS!$C$1476)*CROQUIS_DATOS!$C$1561-(0)*CROQUIS_DATOS!$C$1561))/CROQUIS_DATOS!$C$1568-0.000001)),1,MOD($A106-1,2)),1-IF(INT(($A106-1)/2)+1&gt;MAX(1,INT(((((CROQUIS_DATOS!$C$1499+CROQUIS_DATOS!$C$1500))-(CROQUIS_DATOS!$C$1499))+((CROQUIS_DATOS!$C$1476)*CROQUIS_DATOS!$C$1561-(0)*CROQUIS_DATOS!$C$1561))/CROQUIS_DATOS!$C$1568-0.000001)),1,MOD($A106-1,2)))=1,MIN((CROQUIS_DATOS!$C$1476)*CROQUIS_DATOS!$C$1561,((CROQUIS_DATOS!$C$1499+CROQUIS_DATOS!$C$1500)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6">
        <f>IF(AND(CROQUIS_DATOS!$C$1472=1,CROQUIS_DATOS!$C$1504&gt;0,((CROQUIS_DATOS!$C$1503+CROQUIS_DATOS!$C$1504))-(CROQUIS_DATOS!$C$1503)&gt;0.5,(CROQUIS_DATOS!$C$1476)-(0)&gt;0.5),(CROQUIS_DATOS!$C$1566+(IF(IF(MOD(MIN(INT(($A106-1)/2)+1,MAX(1,INT(((((CROQUIS_DATOS!$C$1503+CROQUIS_DATOS!$C$1504))-(CROQUIS_DATOS!$C$1503))+((CROQUIS_DATOS!$C$1476)*CROQUIS_DATOS!$C$1561-(0)*CROQUIS_DATOS!$C$1561))/CROQUIS_DATOS!$C$1568-0.000001))),2)=1,IF(INT(($A106-1)/2)+1&gt;MAX(1,INT(((((CROQUIS_DATOS!$C$1503+CROQUIS_DATOS!$C$1504))-(CROQUIS_DATOS!$C$1503))+((CROQUIS_DATOS!$C$1476)*CROQUIS_DATOS!$C$1561-(0)*CROQUIS_DATOS!$C$1561))/CROQUIS_DATOS!$C$1568-0.000001)),1,MOD($A106-1,2)),1-IF(INT(($A106-1)/2)+1&gt;MAX(1,INT(((((CROQUIS_DATOS!$C$1503+CROQUIS_DATOS!$C$1504))-(CROQUIS_DATOS!$C$1503))+((CROQUIS_DATOS!$C$1476)*CROQUIS_DATOS!$C$1561-(0)*CROQUIS_DATOS!$C$1561))/CROQUIS_DATOS!$C$1568-0.000001)),1,MOD($A106-1,2)))=1,MIN((CROQUIS_DATOS!$C$1476)*CROQUIS_DATOS!$C$1561,((CROQUIS_DATOS!$C$1503+CROQUIS_DATOS!$C$1504)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6">
        <f>IF(AND(CROQUIS_DATOS!$C$1472=1,CROQUIS_DATOS!$C$1504&gt;0,((CROQUIS_DATOS!$C$1503+CROQUIS_DATOS!$C$1504))-(CROQUIS_DATOS!$C$1503)&gt;0.5,(CROQUIS_DATOS!$C$1476)-(0)&gt;0.5),(CROQUIS_DATOS!$C$1567+(IF(IF(MOD(MIN(INT(($A106-1)/2)+1,MAX(1,INT(((((CROQUIS_DATOS!$C$1503+CROQUIS_DATOS!$C$1504))-(CROQUIS_DATOS!$C$1503))+((CROQUIS_DATOS!$C$1476)*CROQUIS_DATOS!$C$1561-(0)*CROQUIS_DATOS!$C$1561))/CROQUIS_DATOS!$C$1568-0.000001))),2)=1,IF(INT(($A106-1)/2)+1&gt;MAX(1,INT(((((CROQUIS_DATOS!$C$1503+CROQUIS_DATOS!$C$1504))-(CROQUIS_DATOS!$C$1503))+((CROQUIS_DATOS!$C$1476)*CROQUIS_DATOS!$C$1561-(0)*CROQUIS_DATOS!$C$1561))/CROQUIS_DATOS!$C$1568-0.000001)),1,MOD($A106-1,2)),1-IF(INT(($A106-1)/2)+1&gt;MAX(1,INT(((((CROQUIS_DATOS!$C$1503+CROQUIS_DATOS!$C$1504))-(CROQUIS_DATOS!$C$1503))+((CROQUIS_DATOS!$C$1476)*CROQUIS_DATOS!$C$1561-(0)*CROQUIS_DATOS!$C$1561))/CROQUIS_DATOS!$C$1568-0.000001)),1,MOD($A106-1,2)))=1,MIN((CROQUIS_DATOS!$C$1476)*CROQUIS_DATOS!$C$1561,((CROQUIS_DATOS!$C$1503+CROQUIS_DATOS!$C$1504)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6">
        <f>IF(AND(CROQUIS_DATOS!$C$1472=1,CROQUIS_DATOS!$C$1508&gt;0,((CROQUIS_DATOS!$C$1507+CROQUIS_DATOS!$C$1508))-(CROQUIS_DATOS!$C$1507)&gt;0.5,(CROQUIS_DATOS!$C$1476)-(0)&gt;0.5),(CROQUIS_DATOS!$C$1566+(IF(IF(MOD(MIN(INT(($A106-1)/2)+1,MAX(1,INT(((((CROQUIS_DATOS!$C$1507+CROQUIS_DATOS!$C$1508))-(CROQUIS_DATOS!$C$1507))+((CROQUIS_DATOS!$C$1476)*CROQUIS_DATOS!$C$1561-(0)*CROQUIS_DATOS!$C$1561))/CROQUIS_DATOS!$C$1568-0.000001))),2)=1,IF(INT(($A106-1)/2)+1&gt;MAX(1,INT(((((CROQUIS_DATOS!$C$1507+CROQUIS_DATOS!$C$1508))-(CROQUIS_DATOS!$C$1507))+((CROQUIS_DATOS!$C$1476)*CROQUIS_DATOS!$C$1561-(0)*CROQUIS_DATOS!$C$1561))/CROQUIS_DATOS!$C$1568-0.000001)),1,MOD($A106-1,2)),1-IF(INT(($A106-1)/2)+1&gt;MAX(1,INT(((((CROQUIS_DATOS!$C$1507+CROQUIS_DATOS!$C$1508))-(CROQUIS_DATOS!$C$1507))+((CROQUIS_DATOS!$C$1476)*CROQUIS_DATOS!$C$1561-(0)*CROQUIS_DATOS!$C$1561))/CROQUIS_DATOS!$C$1568-0.000001)),1,MOD($A106-1,2)))=1,MIN((CROQUIS_DATOS!$C$1476)*CROQUIS_DATOS!$C$1561,((CROQUIS_DATOS!$C$1507+CROQUIS_DATOS!$C$1508)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6">
        <f>IF(AND(CROQUIS_DATOS!$C$1472=1,CROQUIS_DATOS!$C$1508&gt;0,((CROQUIS_DATOS!$C$1507+CROQUIS_DATOS!$C$1508))-(CROQUIS_DATOS!$C$1507)&gt;0.5,(CROQUIS_DATOS!$C$1476)-(0)&gt;0.5),(CROQUIS_DATOS!$C$1567+(IF(IF(MOD(MIN(INT(($A106-1)/2)+1,MAX(1,INT(((((CROQUIS_DATOS!$C$1507+CROQUIS_DATOS!$C$1508))-(CROQUIS_DATOS!$C$1507))+((CROQUIS_DATOS!$C$1476)*CROQUIS_DATOS!$C$1561-(0)*CROQUIS_DATOS!$C$1561))/CROQUIS_DATOS!$C$1568-0.000001))),2)=1,IF(INT(($A106-1)/2)+1&gt;MAX(1,INT(((((CROQUIS_DATOS!$C$1507+CROQUIS_DATOS!$C$1508))-(CROQUIS_DATOS!$C$1507))+((CROQUIS_DATOS!$C$1476)*CROQUIS_DATOS!$C$1561-(0)*CROQUIS_DATOS!$C$1561))/CROQUIS_DATOS!$C$1568-0.000001)),1,MOD($A106-1,2)),1-IF(INT(($A106-1)/2)+1&gt;MAX(1,INT(((((CROQUIS_DATOS!$C$1507+CROQUIS_DATOS!$C$1508))-(CROQUIS_DATOS!$C$1507))+((CROQUIS_DATOS!$C$1476)*CROQUIS_DATOS!$C$1561-(0)*CROQUIS_DATOS!$C$1561))/CROQUIS_DATOS!$C$1568-0.000001)),1,MOD($A106-1,2)))=1,MIN((CROQUIS_DATOS!$C$1476)*CROQUIS_DATOS!$C$1561,((CROQUIS_DATOS!$C$1507+CROQUIS_DATOS!$C$1508)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6">
        <f>IF(AND(CROQUIS_DATOS!$C$1472=1,CROQUIS_DATOS!$C$1512&gt;0,((CROQUIS_DATOS!$C$1511+CROQUIS_DATOS!$C$1512))-(CROQUIS_DATOS!$C$1511)&gt;0.5,(CROQUIS_DATOS!$C$1476)-(0)&gt;0.5),(CROQUIS_DATOS!$C$1566+(IF(IF(MOD(MIN(INT(($A106-1)/2)+1,MAX(1,INT(((((CROQUIS_DATOS!$C$1511+CROQUIS_DATOS!$C$1512))-(CROQUIS_DATOS!$C$1511))+((CROQUIS_DATOS!$C$1476)*CROQUIS_DATOS!$C$1561-(0)*CROQUIS_DATOS!$C$1561))/CROQUIS_DATOS!$C$1568-0.000001))),2)=1,IF(INT(($A106-1)/2)+1&gt;MAX(1,INT(((((CROQUIS_DATOS!$C$1511+CROQUIS_DATOS!$C$1512))-(CROQUIS_DATOS!$C$1511))+((CROQUIS_DATOS!$C$1476)*CROQUIS_DATOS!$C$1561-(0)*CROQUIS_DATOS!$C$1561))/CROQUIS_DATOS!$C$1568-0.000001)),1,MOD($A106-1,2)),1-IF(INT(($A106-1)/2)+1&gt;MAX(1,INT(((((CROQUIS_DATOS!$C$1511+CROQUIS_DATOS!$C$1512))-(CROQUIS_DATOS!$C$1511))+((CROQUIS_DATOS!$C$1476)*CROQUIS_DATOS!$C$1561-(0)*CROQUIS_DATOS!$C$1561))/CROQUIS_DATOS!$C$1568-0.000001)),1,MOD($A106-1,2)))=1,MIN((CROQUIS_DATOS!$C$1476)*CROQUIS_DATOS!$C$1561,((CROQUIS_DATOS!$C$1511+CROQUIS_DATOS!$C$1512)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6">
        <f>IF(AND(CROQUIS_DATOS!$C$1472=1,CROQUIS_DATOS!$C$1512&gt;0,((CROQUIS_DATOS!$C$1511+CROQUIS_DATOS!$C$1512))-(CROQUIS_DATOS!$C$1511)&gt;0.5,(CROQUIS_DATOS!$C$1476)-(0)&gt;0.5),(CROQUIS_DATOS!$C$1567+(IF(IF(MOD(MIN(INT(($A106-1)/2)+1,MAX(1,INT(((((CROQUIS_DATOS!$C$1511+CROQUIS_DATOS!$C$1512))-(CROQUIS_DATOS!$C$1511))+((CROQUIS_DATOS!$C$1476)*CROQUIS_DATOS!$C$1561-(0)*CROQUIS_DATOS!$C$1561))/CROQUIS_DATOS!$C$1568-0.000001))),2)=1,IF(INT(($A106-1)/2)+1&gt;MAX(1,INT(((((CROQUIS_DATOS!$C$1511+CROQUIS_DATOS!$C$1512))-(CROQUIS_DATOS!$C$1511))+((CROQUIS_DATOS!$C$1476)*CROQUIS_DATOS!$C$1561-(0)*CROQUIS_DATOS!$C$1561))/CROQUIS_DATOS!$C$1568-0.000001)),1,MOD($A106-1,2)),1-IF(INT(($A106-1)/2)+1&gt;MAX(1,INT(((((CROQUIS_DATOS!$C$1511+CROQUIS_DATOS!$C$1512))-(CROQUIS_DATOS!$C$1511))+((CROQUIS_DATOS!$C$1476)*CROQUIS_DATOS!$C$1561-(0)*CROQUIS_DATOS!$C$1561))/CROQUIS_DATOS!$C$1568-0.000001)),1,MOD($A106-1,2)))=1,MIN((CROQUIS_DATOS!$C$1476)*CROQUIS_DATOS!$C$1561,((CROQUIS_DATOS!$C$1511+CROQUIS_DATOS!$C$1512)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6">
        <f>IF(AND(CROQUIS_DATOS!$C$1472=1,CROQUIS_DATOS!$C$1516&gt;0,((CROQUIS_DATOS!$C$1515+CROQUIS_DATOS!$C$1516))-(CROQUIS_DATOS!$C$1515)&gt;0.5,(CROQUIS_DATOS!$C$1476)-(0)&gt;0.5),(CROQUIS_DATOS!$C$1566+(IF(IF(MOD(MIN(INT(($A106-1)/2)+1,MAX(1,INT(((((CROQUIS_DATOS!$C$1515+CROQUIS_DATOS!$C$1516))-(CROQUIS_DATOS!$C$1515))+((CROQUIS_DATOS!$C$1476)*CROQUIS_DATOS!$C$1561-(0)*CROQUIS_DATOS!$C$1561))/CROQUIS_DATOS!$C$1568-0.000001))),2)=1,IF(INT(($A106-1)/2)+1&gt;MAX(1,INT(((((CROQUIS_DATOS!$C$1515+CROQUIS_DATOS!$C$1516))-(CROQUIS_DATOS!$C$1515))+((CROQUIS_DATOS!$C$1476)*CROQUIS_DATOS!$C$1561-(0)*CROQUIS_DATOS!$C$1561))/CROQUIS_DATOS!$C$1568-0.000001)),1,MOD($A106-1,2)),1-IF(INT(($A106-1)/2)+1&gt;MAX(1,INT(((((CROQUIS_DATOS!$C$1515+CROQUIS_DATOS!$C$1516))-(CROQUIS_DATOS!$C$1515))+((CROQUIS_DATOS!$C$1476)*CROQUIS_DATOS!$C$1561-(0)*CROQUIS_DATOS!$C$1561))/CROQUIS_DATOS!$C$1568-0.000001)),1,MOD($A106-1,2)))=1,MIN((CROQUIS_DATOS!$C$1476)*CROQUIS_DATOS!$C$1561,((CROQUIS_DATOS!$C$1515+CROQUIS_DATOS!$C$1516)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6">
        <f>IF(AND(CROQUIS_DATOS!$C$1472=1,CROQUIS_DATOS!$C$1516&gt;0,((CROQUIS_DATOS!$C$1515+CROQUIS_DATOS!$C$1516))-(CROQUIS_DATOS!$C$1515)&gt;0.5,(CROQUIS_DATOS!$C$1476)-(0)&gt;0.5),(CROQUIS_DATOS!$C$1567+(IF(IF(MOD(MIN(INT(($A106-1)/2)+1,MAX(1,INT(((((CROQUIS_DATOS!$C$1515+CROQUIS_DATOS!$C$1516))-(CROQUIS_DATOS!$C$1515))+((CROQUIS_DATOS!$C$1476)*CROQUIS_DATOS!$C$1561-(0)*CROQUIS_DATOS!$C$1561))/CROQUIS_DATOS!$C$1568-0.000001))),2)=1,IF(INT(($A106-1)/2)+1&gt;MAX(1,INT(((((CROQUIS_DATOS!$C$1515+CROQUIS_DATOS!$C$1516))-(CROQUIS_DATOS!$C$1515))+((CROQUIS_DATOS!$C$1476)*CROQUIS_DATOS!$C$1561-(0)*CROQUIS_DATOS!$C$1561))/CROQUIS_DATOS!$C$1568-0.000001)),1,MOD($A106-1,2)),1-IF(INT(($A106-1)/2)+1&gt;MAX(1,INT(((((CROQUIS_DATOS!$C$1515+CROQUIS_DATOS!$C$1516))-(CROQUIS_DATOS!$C$1515))+((CROQUIS_DATOS!$C$1476)*CROQUIS_DATOS!$C$1561-(0)*CROQUIS_DATOS!$C$1561))/CROQUIS_DATOS!$C$1568-0.000001)),1,MOD($A106-1,2)))=1,MIN((CROQUIS_DATOS!$C$1476)*CROQUIS_DATOS!$C$1561,((CROQUIS_DATOS!$C$1515+CROQUIS_DATOS!$C$1516)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6">
        <f>IF(AND(CROQUIS_DATOS!$C$1472=1,CROQUIS_DATOS!$C$1478&gt;=1,((CROQUIS_DATOS!$C$1479+CROQUIS_DATOS!$C$1480))-(CROQUIS_DATOS!$C$1479)&gt;0.5,(CROQUIS_DATOS!$C$1481)-(0)&gt;0.5),(CROQUIS_DATOS!$C$1566+(IF(IF(MOD(MIN(INT(($A106-1)/2)+1,MAX(1,INT(((((CROQUIS_DATOS!$C$1479+CROQUIS_DATOS!$C$1480))-(CROQUIS_DATOS!$C$1479))+((CROQUIS_DATOS!$C$1481)*CROQUIS_DATOS!$C$1561-(0)*CROQUIS_DATOS!$C$1561))/CROQUIS_DATOS!$C$1568-0.000001))),2)=1,IF(INT(($A106-1)/2)+1&gt;MAX(1,INT(((((CROQUIS_DATOS!$C$1479+CROQUIS_DATOS!$C$1480))-(CROQUIS_DATOS!$C$1479))+((CROQUIS_DATOS!$C$1481)*CROQUIS_DATOS!$C$1561-(0)*CROQUIS_DATOS!$C$1561))/CROQUIS_DATOS!$C$1568-0.000001)),1,MOD($A106-1,2)),1-IF(INT(($A106-1)/2)+1&gt;MAX(1,INT(((((CROQUIS_DATOS!$C$1479+CROQUIS_DATOS!$C$1480))-(CROQUIS_DATOS!$C$1479))+((CROQUIS_DATOS!$C$1481)*CROQUIS_DATOS!$C$1561-(0)*CROQUIS_DATOS!$C$1561))/CROQUIS_DATOS!$C$1568-0.000001)),1,MOD($A106-1,2)))=1,MIN((CROQUIS_DATOS!$C$1481)*CROQUIS_DATOS!$C$1561,((CROQUIS_DATOS!$C$1479+CROQUIS_DATOS!$C$1480)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6">
        <f>IF(AND(CROQUIS_DATOS!$C$1472=1,CROQUIS_DATOS!$C$1478&gt;=1,((CROQUIS_DATOS!$C$1479+CROQUIS_DATOS!$C$1480))-(CROQUIS_DATOS!$C$1479)&gt;0.5,(CROQUIS_DATOS!$C$1481)-(0)&gt;0.5),(CROQUIS_DATOS!$C$1567+(IF(IF(MOD(MIN(INT(($A106-1)/2)+1,MAX(1,INT(((((CROQUIS_DATOS!$C$1479+CROQUIS_DATOS!$C$1480))-(CROQUIS_DATOS!$C$1479))+((CROQUIS_DATOS!$C$1481)*CROQUIS_DATOS!$C$1561-(0)*CROQUIS_DATOS!$C$1561))/CROQUIS_DATOS!$C$1568-0.000001))),2)=1,IF(INT(($A106-1)/2)+1&gt;MAX(1,INT(((((CROQUIS_DATOS!$C$1479+CROQUIS_DATOS!$C$1480))-(CROQUIS_DATOS!$C$1479))+((CROQUIS_DATOS!$C$1481)*CROQUIS_DATOS!$C$1561-(0)*CROQUIS_DATOS!$C$1561))/CROQUIS_DATOS!$C$1568-0.000001)),1,MOD($A106-1,2)),1-IF(INT(($A106-1)/2)+1&gt;MAX(1,INT(((((CROQUIS_DATOS!$C$1479+CROQUIS_DATOS!$C$1480))-(CROQUIS_DATOS!$C$1479))+((CROQUIS_DATOS!$C$1481)*CROQUIS_DATOS!$C$1561-(0)*CROQUIS_DATOS!$C$1561))/CROQUIS_DATOS!$C$1568-0.000001)),1,MOD($A106-1,2)))=1,MIN((CROQUIS_DATOS!$C$1481)*CROQUIS_DATOS!$C$1561,((CROQUIS_DATOS!$C$1479+CROQUIS_DATOS!$C$1480)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6">
        <f>IF(AND(CROQUIS_DATOS!$C$1472=1,CROQUIS_DATOS!$C$1478&gt;=1,((CROQUIS_DATOS!$C$1479+CROQUIS_DATOS!$C$1480))-(CROQUIS_DATOS!$C$1479)&gt;0.5,(CROQUIS_DATOS!$C$1476)-((CROQUIS_DATOS!$C$1481+CROQUIS_DATOS!$C$1482))&gt;0.5),(CROQUIS_DATOS!$C$1566+(IF(IF(MOD(MIN(INT(($A106-1)/2)+1,MAX(1,INT(((((CROQUIS_DATOS!$C$1479+CROQUIS_DATOS!$C$1480))-(CROQUIS_DATOS!$C$1479))+((CROQUIS_DATOS!$C$1476)*CROQUIS_DATOS!$C$1561-((CROQUIS_DATOS!$C$1481+CROQUIS_DATOS!$C$1482))*CROQUIS_DATOS!$C$1561))/CROQUIS_DATOS!$C$1568-0.000001))),2)=1,IF(INT(($A106-1)/2)+1&gt;MAX(1,INT(((((CROQUIS_DATOS!$C$1479+CROQUIS_DATOS!$C$1480))-(CROQUIS_DATOS!$C$1479))+((CROQUIS_DATOS!$C$1476)*CROQUIS_DATOS!$C$1561-((CROQUIS_DATOS!$C$1481+CROQUIS_DATOS!$C$1482))*CROQUIS_DATOS!$C$1561))/CROQUIS_DATOS!$C$1568-0.000001)),1,MOD($A106-1,2)),1-IF(INT(($A106-1)/2)+1&gt;MAX(1,INT(((((CROQUIS_DATOS!$C$1479+CROQUIS_DATOS!$C$1480))-(CROQUIS_DATOS!$C$1479))+((CROQUIS_DATOS!$C$1476)*CROQUIS_DATOS!$C$1561-((CROQUIS_DATOS!$C$1481+CROQUIS_DATOS!$C$1482))*CROQUIS_DATOS!$C$1561))/CROQUIS_DATOS!$C$1568-0.000001)),1,MOD($A106-1,2)))=1,MIN((CROQUIS_DATOS!$C$1476)*CROQUIS_DATOS!$C$1561,((CROQUIS_DATOS!$C$1479+CROQUIS_DATOS!$C$1480)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6">
        <f>IF(AND(CROQUIS_DATOS!$C$1472=1,CROQUIS_DATOS!$C$1478&gt;=1,((CROQUIS_DATOS!$C$1479+CROQUIS_DATOS!$C$1480))-(CROQUIS_DATOS!$C$1479)&gt;0.5,(CROQUIS_DATOS!$C$1476)-((CROQUIS_DATOS!$C$1481+CROQUIS_DATOS!$C$1482))&gt;0.5),(CROQUIS_DATOS!$C$1567+(IF(IF(MOD(MIN(INT(($A106-1)/2)+1,MAX(1,INT(((((CROQUIS_DATOS!$C$1479+CROQUIS_DATOS!$C$1480))-(CROQUIS_DATOS!$C$1479))+((CROQUIS_DATOS!$C$1476)*CROQUIS_DATOS!$C$1561-((CROQUIS_DATOS!$C$1481+CROQUIS_DATOS!$C$1482))*CROQUIS_DATOS!$C$1561))/CROQUIS_DATOS!$C$1568-0.000001))),2)=1,IF(INT(($A106-1)/2)+1&gt;MAX(1,INT(((((CROQUIS_DATOS!$C$1479+CROQUIS_DATOS!$C$1480))-(CROQUIS_DATOS!$C$1479))+((CROQUIS_DATOS!$C$1476)*CROQUIS_DATOS!$C$1561-((CROQUIS_DATOS!$C$1481+CROQUIS_DATOS!$C$1482))*CROQUIS_DATOS!$C$1561))/CROQUIS_DATOS!$C$1568-0.000001)),1,MOD($A106-1,2)),1-IF(INT(($A106-1)/2)+1&gt;MAX(1,INT(((((CROQUIS_DATOS!$C$1479+CROQUIS_DATOS!$C$1480))-(CROQUIS_DATOS!$C$1479))+((CROQUIS_DATOS!$C$1476)*CROQUIS_DATOS!$C$1561-((CROQUIS_DATOS!$C$1481+CROQUIS_DATOS!$C$1482))*CROQUIS_DATOS!$C$1561))/CROQUIS_DATOS!$C$1568-0.000001)),1,MOD($A106-1,2)))=1,MIN((CROQUIS_DATOS!$C$1476)*CROQUIS_DATOS!$C$1561,((CROQUIS_DATOS!$C$1479+CROQUIS_DATOS!$C$1480)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6">
        <f>IF(AND(CROQUIS_DATOS!$C$1472=1,CROQUIS_DATOS!$C$1478&gt;=2,((CROQUIS_DATOS!$C$1484+CROQUIS_DATOS!$C$1485))-(CROQUIS_DATOS!$C$1484)&gt;0.5,(CROQUIS_DATOS!$C$1486)-(0)&gt;0.5),(CROQUIS_DATOS!$C$1566+(IF(IF(MOD(MIN(INT(($A106-1)/2)+1,MAX(1,INT(((((CROQUIS_DATOS!$C$1484+CROQUIS_DATOS!$C$1485))-(CROQUIS_DATOS!$C$1484))+((CROQUIS_DATOS!$C$1486)*CROQUIS_DATOS!$C$1561-(0)*CROQUIS_DATOS!$C$1561))/CROQUIS_DATOS!$C$1568-0.000001))),2)=1,IF(INT(($A106-1)/2)+1&gt;MAX(1,INT(((((CROQUIS_DATOS!$C$1484+CROQUIS_DATOS!$C$1485))-(CROQUIS_DATOS!$C$1484))+((CROQUIS_DATOS!$C$1486)*CROQUIS_DATOS!$C$1561-(0)*CROQUIS_DATOS!$C$1561))/CROQUIS_DATOS!$C$1568-0.000001)),1,MOD($A106-1,2)),1-IF(INT(($A106-1)/2)+1&gt;MAX(1,INT(((((CROQUIS_DATOS!$C$1484+CROQUIS_DATOS!$C$1485))-(CROQUIS_DATOS!$C$1484))+((CROQUIS_DATOS!$C$1486)*CROQUIS_DATOS!$C$1561-(0)*CROQUIS_DATOS!$C$1561))/CROQUIS_DATOS!$C$1568-0.000001)),1,MOD($A106-1,2)))=1,MIN((CROQUIS_DATOS!$C$1486)*CROQUIS_DATOS!$C$1561,((CROQUIS_DATOS!$C$1484+CROQUIS_DATOS!$C$1485)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6">
        <f>IF(AND(CROQUIS_DATOS!$C$1472=1,CROQUIS_DATOS!$C$1478&gt;=2,((CROQUIS_DATOS!$C$1484+CROQUIS_DATOS!$C$1485))-(CROQUIS_DATOS!$C$1484)&gt;0.5,(CROQUIS_DATOS!$C$1486)-(0)&gt;0.5),(CROQUIS_DATOS!$C$1567+(IF(IF(MOD(MIN(INT(($A106-1)/2)+1,MAX(1,INT(((((CROQUIS_DATOS!$C$1484+CROQUIS_DATOS!$C$1485))-(CROQUIS_DATOS!$C$1484))+((CROQUIS_DATOS!$C$1486)*CROQUIS_DATOS!$C$1561-(0)*CROQUIS_DATOS!$C$1561))/CROQUIS_DATOS!$C$1568-0.000001))),2)=1,IF(INT(($A106-1)/2)+1&gt;MAX(1,INT(((((CROQUIS_DATOS!$C$1484+CROQUIS_DATOS!$C$1485))-(CROQUIS_DATOS!$C$1484))+((CROQUIS_DATOS!$C$1486)*CROQUIS_DATOS!$C$1561-(0)*CROQUIS_DATOS!$C$1561))/CROQUIS_DATOS!$C$1568-0.000001)),1,MOD($A106-1,2)),1-IF(INT(($A106-1)/2)+1&gt;MAX(1,INT(((((CROQUIS_DATOS!$C$1484+CROQUIS_DATOS!$C$1485))-(CROQUIS_DATOS!$C$1484))+((CROQUIS_DATOS!$C$1486)*CROQUIS_DATOS!$C$1561-(0)*CROQUIS_DATOS!$C$1561))/CROQUIS_DATOS!$C$1568-0.000001)),1,MOD($A106-1,2)))=1,MIN((CROQUIS_DATOS!$C$1486)*CROQUIS_DATOS!$C$1561,((CROQUIS_DATOS!$C$1484+CROQUIS_DATOS!$C$1485)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6">
        <f>IF(AND(CROQUIS_DATOS!$C$1472=1,CROQUIS_DATOS!$C$1478&gt;=2,((CROQUIS_DATOS!$C$1484+CROQUIS_DATOS!$C$1485))-(CROQUIS_DATOS!$C$1484)&gt;0.5,(CROQUIS_DATOS!$C$1476)-((CROQUIS_DATOS!$C$1486+CROQUIS_DATOS!$C$1487))&gt;0.5),(CROQUIS_DATOS!$C$1566+(IF(IF(MOD(MIN(INT(($A106-1)/2)+1,MAX(1,INT(((((CROQUIS_DATOS!$C$1484+CROQUIS_DATOS!$C$1485))-(CROQUIS_DATOS!$C$1484))+((CROQUIS_DATOS!$C$1476)*CROQUIS_DATOS!$C$1561-((CROQUIS_DATOS!$C$1486+CROQUIS_DATOS!$C$1487))*CROQUIS_DATOS!$C$1561))/CROQUIS_DATOS!$C$1568-0.000001))),2)=1,IF(INT(($A106-1)/2)+1&gt;MAX(1,INT(((((CROQUIS_DATOS!$C$1484+CROQUIS_DATOS!$C$1485))-(CROQUIS_DATOS!$C$1484))+((CROQUIS_DATOS!$C$1476)*CROQUIS_DATOS!$C$1561-((CROQUIS_DATOS!$C$1486+CROQUIS_DATOS!$C$1487))*CROQUIS_DATOS!$C$1561))/CROQUIS_DATOS!$C$1568-0.000001)),1,MOD($A106-1,2)),1-IF(INT(($A106-1)/2)+1&gt;MAX(1,INT(((((CROQUIS_DATOS!$C$1484+CROQUIS_DATOS!$C$1485))-(CROQUIS_DATOS!$C$1484))+((CROQUIS_DATOS!$C$1476)*CROQUIS_DATOS!$C$1561-((CROQUIS_DATOS!$C$1486+CROQUIS_DATOS!$C$1487))*CROQUIS_DATOS!$C$1561))/CROQUIS_DATOS!$C$1568-0.000001)),1,MOD($A106-1,2)))=1,MIN((CROQUIS_DATOS!$C$1476)*CROQUIS_DATOS!$C$1561,((CROQUIS_DATOS!$C$1484+CROQUIS_DATOS!$C$1485)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6">
        <f>IF(AND(CROQUIS_DATOS!$C$1472=1,CROQUIS_DATOS!$C$1478&gt;=2,((CROQUIS_DATOS!$C$1484+CROQUIS_DATOS!$C$1485))-(CROQUIS_DATOS!$C$1484)&gt;0.5,(CROQUIS_DATOS!$C$1476)-((CROQUIS_DATOS!$C$1486+CROQUIS_DATOS!$C$1487))&gt;0.5),(CROQUIS_DATOS!$C$1567+(IF(IF(MOD(MIN(INT(($A106-1)/2)+1,MAX(1,INT(((((CROQUIS_DATOS!$C$1484+CROQUIS_DATOS!$C$1485))-(CROQUIS_DATOS!$C$1484))+((CROQUIS_DATOS!$C$1476)*CROQUIS_DATOS!$C$1561-((CROQUIS_DATOS!$C$1486+CROQUIS_DATOS!$C$1487))*CROQUIS_DATOS!$C$1561))/CROQUIS_DATOS!$C$1568-0.000001))),2)=1,IF(INT(($A106-1)/2)+1&gt;MAX(1,INT(((((CROQUIS_DATOS!$C$1484+CROQUIS_DATOS!$C$1485))-(CROQUIS_DATOS!$C$1484))+((CROQUIS_DATOS!$C$1476)*CROQUIS_DATOS!$C$1561-((CROQUIS_DATOS!$C$1486+CROQUIS_DATOS!$C$1487))*CROQUIS_DATOS!$C$1561))/CROQUIS_DATOS!$C$1568-0.000001)),1,MOD($A106-1,2)),1-IF(INT(($A106-1)/2)+1&gt;MAX(1,INT(((((CROQUIS_DATOS!$C$1484+CROQUIS_DATOS!$C$1485))-(CROQUIS_DATOS!$C$1484))+((CROQUIS_DATOS!$C$1476)*CROQUIS_DATOS!$C$1561-((CROQUIS_DATOS!$C$1486+CROQUIS_DATOS!$C$1487))*CROQUIS_DATOS!$C$1561))/CROQUIS_DATOS!$C$1568-0.000001)),1,MOD($A106-1,2)))=1,MIN((CROQUIS_DATOS!$C$1476)*CROQUIS_DATOS!$C$1561,((CROQUIS_DATOS!$C$1484+CROQUIS_DATOS!$C$1485)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6">
        <f>IF(AND(CROQUIS_DATOS!$C$1472=1,CROQUIS_DATOS!$C$1478&gt;=3,((CROQUIS_DATOS!$C$1489+CROQUIS_DATOS!$C$1490))-(CROQUIS_DATOS!$C$1489)&gt;0.5,(CROQUIS_DATOS!$C$1491)-(0)&gt;0.5),(CROQUIS_DATOS!$C$1566+(IF(IF(MOD(MIN(INT(($A106-1)/2)+1,MAX(1,INT(((((CROQUIS_DATOS!$C$1489+CROQUIS_DATOS!$C$1490))-(CROQUIS_DATOS!$C$1489))+((CROQUIS_DATOS!$C$1491)*CROQUIS_DATOS!$C$1561-(0)*CROQUIS_DATOS!$C$1561))/CROQUIS_DATOS!$C$1568-0.000001))),2)=1,IF(INT(($A106-1)/2)+1&gt;MAX(1,INT(((((CROQUIS_DATOS!$C$1489+CROQUIS_DATOS!$C$1490))-(CROQUIS_DATOS!$C$1489))+((CROQUIS_DATOS!$C$1491)*CROQUIS_DATOS!$C$1561-(0)*CROQUIS_DATOS!$C$1561))/CROQUIS_DATOS!$C$1568-0.000001)),1,MOD($A106-1,2)),1-IF(INT(($A106-1)/2)+1&gt;MAX(1,INT(((((CROQUIS_DATOS!$C$1489+CROQUIS_DATOS!$C$1490))-(CROQUIS_DATOS!$C$1489))+((CROQUIS_DATOS!$C$1491)*CROQUIS_DATOS!$C$1561-(0)*CROQUIS_DATOS!$C$1561))/CROQUIS_DATOS!$C$1568-0.000001)),1,MOD($A106-1,2)))=1,MIN((CROQUIS_DATOS!$C$1491)*CROQUIS_DATOS!$C$1561,((CROQUIS_DATOS!$C$1489+CROQUIS_DATOS!$C$1490)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6">
        <f>IF(AND(CROQUIS_DATOS!$C$1472=1,CROQUIS_DATOS!$C$1478&gt;=3,((CROQUIS_DATOS!$C$1489+CROQUIS_DATOS!$C$1490))-(CROQUIS_DATOS!$C$1489)&gt;0.5,(CROQUIS_DATOS!$C$1491)-(0)&gt;0.5),(CROQUIS_DATOS!$C$1567+(IF(IF(MOD(MIN(INT(($A106-1)/2)+1,MAX(1,INT(((((CROQUIS_DATOS!$C$1489+CROQUIS_DATOS!$C$1490))-(CROQUIS_DATOS!$C$1489))+((CROQUIS_DATOS!$C$1491)*CROQUIS_DATOS!$C$1561-(0)*CROQUIS_DATOS!$C$1561))/CROQUIS_DATOS!$C$1568-0.000001))),2)=1,IF(INT(($A106-1)/2)+1&gt;MAX(1,INT(((((CROQUIS_DATOS!$C$1489+CROQUIS_DATOS!$C$1490))-(CROQUIS_DATOS!$C$1489))+((CROQUIS_DATOS!$C$1491)*CROQUIS_DATOS!$C$1561-(0)*CROQUIS_DATOS!$C$1561))/CROQUIS_DATOS!$C$1568-0.000001)),1,MOD($A106-1,2)),1-IF(INT(($A106-1)/2)+1&gt;MAX(1,INT(((((CROQUIS_DATOS!$C$1489+CROQUIS_DATOS!$C$1490))-(CROQUIS_DATOS!$C$1489))+((CROQUIS_DATOS!$C$1491)*CROQUIS_DATOS!$C$1561-(0)*CROQUIS_DATOS!$C$1561))/CROQUIS_DATOS!$C$1568-0.000001)),1,MOD($A106-1,2)))=1,MIN((CROQUIS_DATOS!$C$1491)*CROQUIS_DATOS!$C$1561,((CROQUIS_DATOS!$C$1489+CROQUIS_DATOS!$C$1490)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6">
        <f>IF(AND(CROQUIS_DATOS!$C$1472=1,CROQUIS_DATOS!$C$1478&gt;=3,((CROQUIS_DATOS!$C$1489+CROQUIS_DATOS!$C$1490))-(CROQUIS_DATOS!$C$1489)&gt;0.5,(CROQUIS_DATOS!$C$1476)-((CROQUIS_DATOS!$C$1491+CROQUIS_DATOS!$C$1492))&gt;0.5),(CROQUIS_DATOS!$C$1566+(IF(IF(MOD(MIN(INT(($A106-1)/2)+1,MAX(1,INT(((((CROQUIS_DATOS!$C$1489+CROQUIS_DATOS!$C$1490))-(CROQUIS_DATOS!$C$1489))+((CROQUIS_DATOS!$C$1476)*CROQUIS_DATOS!$C$1561-((CROQUIS_DATOS!$C$1491+CROQUIS_DATOS!$C$1492))*CROQUIS_DATOS!$C$1561))/CROQUIS_DATOS!$C$1568-0.000001))),2)=1,IF(INT(($A106-1)/2)+1&gt;MAX(1,INT(((((CROQUIS_DATOS!$C$1489+CROQUIS_DATOS!$C$1490))-(CROQUIS_DATOS!$C$1489))+((CROQUIS_DATOS!$C$1476)*CROQUIS_DATOS!$C$1561-((CROQUIS_DATOS!$C$1491+CROQUIS_DATOS!$C$1492))*CROQUIS_DATOS!$C$1561))/CROQUIS_DATOS!$C$1568-0.000001)),1,MOD($A106-1,2)),1-IF(INT(($A106-1)/2)+1&gt;MAX(1,INT(((((CROQUIS_DATOS!$C$1489+CROQUIS_DATOS!$C$1490))-(CROQUIS_DATOS!$C$1489))+((CROQUIS_DATOS!$C$1476)*CROQUIS_DATOS!$C$1561-((CROQUIS_DATOS!$C$1491+CROQUIS_DATOS!$C$1492))*CROQUIS_DATOS!$C$1561))/CROQUIS_DATOS!$C$1568-0.000001)),1,MOD($A106-1,2)))=1,MIN((CROQUIS_DATOS!$C$1476)*CROQUIS_DATOS!$C$1561,((CROQUIS_DATOS!$C$1489+CROQUIS_DATOS!$C$1490)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6">
        <f>IF(AND(CROQUIS_DATOS!$C$1472=1,CROQUIS_DATOS!$C$1478&gt;=3,((CROQUIS_DATOS!$C$1489+CROQUIS_DATOS!$C$1490))-(CROQUIS_DATOS!$C$1489)&gt;0.5,(CROQUIS_DATOS!$C$1476)-((CROQUIS_DATOS!$C$1491+CROQUIS_DATOS!$C$1492))&gt;0.5),(CROQUIS_DATOS!$C$1567+(IF(IF(MOD(MIN(INT(($A106-1)/2)+1,MAX(1,INT(((((CROQUIS_DATOS!$C$1489+CROQUIS_DATOS!$C$1490))-(CROQUIS_DATOS!$C$1489))+((CROQUIS_DATOS!$C$1476)*CROQUIS_DATOS!$C$1561-((CROQUIS_DATOS!$C$1491+CROQUIS_DATOS!$C$1492))*CROQUIS_DATOS!$C$1561))/CROQUIS_DATOS!$C$1568-0.000001))),2)=1,IF(INT(($A106-1)/2)+1&gt;MAX(1,INT(((((CROQUIS_DATOS!$C$1489+CROQUIS_DATOS!$C$1490))-(CROQUIS_DATOS!$C$1489))+((CROQUIS_DATOS!$C$1476)*CROQUIS_DATOS!$C$1561-((CROQUIS_DATOS!$C$1491+CROQUIS_DATOS!$C$1492))*CROQUIS_DATOS!$C$1561))/CROQUIS_DATOS!$C$1568-0.000001)),1,MOD($A106-1,2)),1-IF(INT(($A106-1)/2)+1&gt;MAX(1,INT(((((CROQUIS_DATOS!$C$1489+CROQUIS_DATOS!$C$1490))-(CROQUIS_DATOS!$C$1489))+((CROQUIS_DATOS!$C$1476)*CROQUIS_DATOS!$C$1561-((CROQUIS_DATOS!$C$1491+CROQUIS_DATOS!$C$1492))*CROQUIS_DATOS!$C$1561))/CROQUIS_DATOS!$C$1568-0.000001)),1,MOD($A106-1,2)))=1,MIN((CROQUIS_DATOS!$C$1476)*CROQUIS_DATOS!$C$1561,((CROQUIS_DATOS!$C$1489+CROQUIS_DATOS!$C$1490)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6">
        <f>IF(AND(CROQUIS_DATOS!$C$1472=1,CROQUIS_DATOS!$C$1478&gt;=4,((CROQUIS_DATOS!$C$1494+CROQUIS_DATOS!$C$1495))-(CROQUIS_DATOS!$C$1494)&gt;0.5,(CROQUIS_DATOS!$C$1496)-(0)&gt;0.5),(CROQUIS_DATOS!$C$1566+(IF(IF(MOD(MIN(INT(($A106-1)/2)+1,MAX(1,INT(((((CROQUIS_DATOS!$C$1494+CROQUIS_DATOS!$C$1495))-(CROQUIS_DATOS!$C$1494))+((CROQUIS_DATOS!$C$1496)*CROQUIS_DATOS!$C$1561-(0)*CROQUIS_DATOS!$C$1561))/CROQUIS_DATOS!$C$1568-0.000001))),2)=1,IF(INT(($A106-1)/2)+1&gt;MAX(1,INT(((((CROQUIS_DATOS!$C$1494+CROQUIS_DATOS!$C$1495))-(CROQUIS_DATOS!$C$1494))+((CROQUIS_DATOS!$C$1496)*CROQUIS_DATOS!$C$1561-(0)*CROQUIS_DATOS!$C$1561))/CROQUIS_DATOS!$C$1568-0.000001)),1,MOD($A106-1,2)),1-IF(INT(($A106-1)/2)+1&gt;MAX(1,INT(((((CROQUIS_DATOS!$C$1494+CROQUIS_DATOS!$C$1495))-(CROQUIS_DATOS!$C$1494))+((CROQUIS_DATOS!$C$1496)*CROQUIS_DATOS!$C$1561-(0)*CROQUIS_DATOS!$C$1561))/CROQUIS_DATOS!$C$1568-0.000001)),1,MOD($A106-1,2)))=1,MIN((CROQUIS_DATOS!$C$1496)*CROQUIS_DATOS!$C$1561,((CROQUIS_DATOS!$C$1494+CROQUIS_DATOS!$C$1495)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6">
        <f>IF(AND(CROQUIS_DATOS!$C$1472=1,CROQUIS_DATOS!$C$1478&gt;=4,((CROQUIS_DATOS!$C$1494+CROQUIS_DATOS!$C$1495))-(CROQUIS_DATOS!$C$1494)&gt;0.5,(CROQUIS_DATOS!$C$1496)-(0)&gt;0.5),(CROQUIS_DATOS!$C$1567+(IF(IF(MOD(MIN(INT(($A106-1)/2)+1,MAX(1,INT(((((CROQUIS_DATOS!$C$1494+CROQUIS_DATOS!$C$1495))-(CROQUIS_DATOS!$C$1494))+((CROQUIS_DATOS!$C$1496)*CROQUIS_DATOS!$C$1561-(0)*CROQUIS_DATOS!$C$1561))/CROQUIS_DATOS!$C$1568-0.000001))),2)=1,IF(INT(($A106-1)/2)+1&gt;MAX(1,INT(((((CROQUIS_DATOS!$C$1494+CROQUIS_DATOS!$C$1495))-(CROQUIS_DATOS!$C$1494))+((CROQUIS_DATOS!$C$1496)*CROQUIS_DATOS!$C$1561-(0)*CROQUIS_DATOS!$C$1561))/CROQUIS_DATOS!$C$1568-0.000001)),1,MOD($A106-1,2)),1-IF(INT(($A106-1)/2)+1&gt;MAX(1,INT(((((CROQUIS_DATOS!$C$1494+CROQUIS_DATOS!$C$1495))-(CROQUIS_DATOS!$C$1494))+((CROQUIS_DATOS!$C$1496)*CROQUIS_DATOS!$C$1561-(0)*CROQUIS_DATOS!$C$1561))/CROQUIS_DATOS!$C$1568-0.000001)),1,MOD($A106-1,2)))=1,MIN((CROQUIS_DATOS!$C$1496)*CROQUIS_DATOS!$C$1561,((CROQUIS_DATOS!$C$1494+CROQUIS_DATOS!$C$1495)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6">
        <f>IF(AND(CROQUIS_DATOS!$C$1472=1,CROQUIS_DATOS!$C$1478&gt;=4,((CROQUIS_DATOS!$C$1494+CROQUIS_DATOS!$C$1495))-(CROQUIS_DATOS!$C$1494)&gt;0.5,(CROQUIS_DATOS!$C$1476)-((CROQUIS_DATOS!$C$1496+CROQUIS_DATOS!$C$1497))&gt;0.5),(CROQUIS_DATOS!$C$1566+(IF(IF(MOD(MIN(INT(($A106-1)/2)+1,MAX(1,INT(((((CROQUIS_DATOS!$C$1494+CROQUIS_DATOS!$C$1495))-(CROQUIS_DATOS!$C$1494))+((CROQUIS_DATOS!$C$1476)*CROQUIS_DATOS!$C$1561-((CROQUIS_DATOS!$C$1496+CROQUIS_DATOS!$C$1497))*CROQUIS_DATOS!$C$1561))/CROQUIS_DATOS!$C$1568-0.000001))),2)=1,IF(INT(($A106-1)/2)+1&gt;MAX(1,INT(((((CROQUIS_DATOS!$C$1494+CROQUIS_DATOS!$C$1495))-(CROQUIS_DATOS!$C$1494))+((CROQUIS_DATOS!$C$1476)*CROQUIS_DATOS!$C$1561-((CROQUIS_DATOS!$C$1496+CROQUIS_DATOS!$C$1497))*CROQUIS_DATOS!$C$1561))/CROQUIS_DATOS!$C$1568-0.000001)),1,MOD($A106-1,2)),1-IF(INT(($A106-1)/2)+1&gt;MAX(1,INT(((((CROQUIS_DATOS!$C$1494+CROQUIS_DATOS!$C$1495))-(CROQUIS_DATOS!$C$1494))+((CROQUIS_DATOS!$C$1476)*CROQUIS_DATOS!$C$1561-((CROQUIS_DATOS!$C$1496+CROQUIS_DATOS!$C$1497))*CROQUIS_DATOS!$C$1561))/CROQUIS_DATOS!$C$1568-0.000001)),1,MOD($A106-1,2)))=1,MIN((CROQUIS_DATOS!$C$1476)*CROQUIS_DATOS!$C$1561,((CROQUIS_DATOS!$C$1494+CROQUIS_DATOS!$C$1495)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6">
        <f>IF(AND(CROQUIS_DATOS!$C$1472=1,CROQUIS_DATOS!$C$1478&gt;=4,((CROQUIS_DATOS!$C$1494+CROQUIS_DATOS!$C$1495))-(CROQUIS_DATOS!$C$1494)&gt;0.5,(CROQUIS_DATOS!$C$1476)-((CROQUIS_DATOS!$C$1496+CROQUIS_DATOS!$C$1497))&gt;0.5),(CROQUIS_DATOS!$C$1567+(IF(IF(MOD(MIN(INT(($A106-1)/2)+1,MAX(1,INT(((((CROQUIS_DATOS!$C$1494+CROQUIS_DATOS!$C$1495))-(CROQUIS_DATOS!$C$1494))+((CROQUIS_DATOS!$C$1476)*CROQUIS_DATOS!$C$1561-((CROQUIS_DATOS!$C$1496+CROQUIS_DATOS!$C$1497))*CROQUIS_DATOS!$C$1561))/CROQUIS_DATOS!$C$1568-0.000001))),2)=1,IF(INT(($A106-1)/2)+1&gt;MAX(1,INT(((((CROQUIS_DATOS!$C$1494+CROQUIS_DATOS!$C$1495))-(CROQUIS_DATOS!$C$1494))+((CROQUIS_DATOS!$C$1476)*CROQUIS_DATOS!$C$1561-((CROQUIS_DATOS!$C$1496+CROQUIS_DATOS!$C$1497))*CROQUIS_DATOS!$C$1561))/CROQUIS_DATOS!$C$1568-0.000001)),1,MOD($A106-1,2)),1-IF(INT(($A106-1)/2)+1&gt;MAX(1,INT(((((CROQUIS_DATOS!$C$1494+CROQUIS_DATOS!$C$1495))-(CROQUIS_DATOS!$C$1494))+((CROQUIS_DATOS!$C$1476)*CROQUIS_DATOS!$C$1561-((CROQUIS_DATOS!$C$1496+CROQUIS_DATOS!$C$1497))*CROQUIS_DATOS!$C$1561))/CROQUIS_DATOS!$C$1568-0.000001)),1,MOD($A106-1,2)))=1,MIN((CROQUIS_DATOS!$C$1476)*CROQUIS_DATOS!$C$1561,((CROQUIS_DATOS!$C$1494+CROQUIS_DATOS!$C$1495)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7">
      <c r="A107" t="n">
        <v>100</v>
      </c>
      <c r="N107">
        <f>IF(AND(CROQUIS_DATOS!$C$1472=1,1),(CROQUIS_DATOS!$C$1563+(IF(IF(IF(INT(($A107-1)/70)+1&gt;CROQUIS_DATOS!$C$1525,70,MOD($A107-1,70)+1)=1,0,IF(IF(INT(($A107-1)/70)+1&gt;CROQUIS_DATOS!$C$1525,70,MOD($A107-1,70)+1)&gt;2*CROQUIS_DATOS!$C$1541+1,IF(MOD(CROQUIS_DATOS!$C$1541,2)=1,1,0),IF(MOD(MIN(INT((IF(INT(($A107-1)/70)+1&gt;CROQUIS_DATOS!$C$1525,70,MOD($A107-1,70)+1)-2)/2)+1,CROQUIS_DATOS!$C$1541),2)=1,IF(MOD(IF(INT(($A107-1)/70)+1&gt;CROQUIS_DATOS!$C$1525,70,MOD($A107-1,70)+1)-2,2)=0,0,1),IF(MOD(IF(INT(($A107-1)/70)+1&gt;CROQUIS_DATOS!$C$1525,70,MOD($A107-1,70)+1)-2,2)=0,1,0))))=0,(INDEX($E$8:$E$23,MIN(INT(($A107-1)/70)+1,CROQUIS_DATOS!$C$1525))-INDEX($F$8:$F$23,MIN(INT(($A107-1)/70)+1,CROQUIS_DATOS!$C$1525))/2),(INDEX($E$8:$E$23,MIN(INT(($A107-1)/70)+1,CROQUIS_DATOS!$C$1525))+INDEX($F$8:$F$23,MIN(INT(($A107-1)/70)+1,CROQUIS_DATOS!$C$1525))/2)))*CROQUIS_DATOS!$C$1562),-1000)</f>
        <v>18.5775862068965</v>
      </c>
      <c r="O107">
        <f>IF(AND(CROQUIS_DATOS!$C$1472=1,1),(CROQUIS_DATOS!$C$1564+(IF(OR(IF(INT(($A107-1)/70)+1&gt;CROQUIS_DATOS!$C$1525,70,MOD($A107-1,70)+1)=1,IF(INT(($A107-1)/70)+1&gt;CROQUIS_DATOS!$C$1525,70,MOD($A107-1,70)+1)&gt;2*CROQUIS_DATOS!$C$1541+1),CROQUIS_DATOS!$C$1476,INDEX($H$8:$H$41,MIN(INT((IF(INT(($A107-1)/70)+1&gt;CROQUIS_DATOS!$C$1525,70,MOD($A107-1,70)+1)-2)/2)+1,CROQUIS_DATOS!$C$1541))))*CROQUIS_DATOS!$C$1561*CROQUIS_DATOS!$C$1562),-1000)</f>
        <v>36.0172413793104</v>
      </c>
      <c r="P107">
        <f>IF(AND(CROQUIS_DATOS!$C$1472=1,CROQUIS_DATOS!$C$1555=1),(CROQUIS_DATOS!$C$1563+(IF(IF(OR(MOD($A107-1,62)+1=1,IF(CHOOSE(MIN(MAX(MIN(INT(($A107-1)/62)+1,5),1),5),CROQUIS_DATOS!$C$1501,CROQUIS_DATOS!$C$1505,CROQUIS_DATOS!$C$1509,CROQUIS_DATOS!$C$1513,CROQUIS_DATOS!$C$1517)=1,CROQUIS_DATOS!$C$1557,0)=0),0,IF(MOD($A107-1,62)+1&gt;2*IF(CHOOSE(MIN(MAX(MIN(INT(($A107-1)/62)+1,5),1),5),CROQUIS_DATOS!$C$1501,CROQUIS_DATOS!$C$1505,CROQUIS_DATOS!$C$1509,CROQUIS_DATOS!$C$1513,CROQUIS_DATOS!$C$1517)=1,CROQUIS_DATOS!$C$1557,0)+1,IF(MOD(IF(CHOOSE(MIN(MAX(MIN(INT(($A107-1)/62)+1,5),1),5),CROQUIS_DATOS!$C$1501,CROQUIS_DATOS!$C$1505,CROQUIS_DATOS!$C$1509,CROQUIS_DATOS!$C$1513,CROQUIS_DATOS!$C$1517)=1,CROQUIS_DATOS!$C$1557,0),2)=1,1,0),IF(MOD(MIN(INT((MOD($A107-1,62)+1-2)/2)+1,MAX(IF(CHOOSE(MIN(MAX(MIN(INT(($A107-1)/62)+1,5),1),5),CROQUIS_DATOS!$C$1501,CROQUIS_DATOS!$C$1505,CROQUIS_DATOS!$C$1509,CROQUIS_DATOS!$C$1513,CROQUIS_DATOS!$C$1517)=1,CROQUIS_DATOS!$C$1557,0),1)),2)=1,IF(MOD(MOD($A107-1,62)+1-2,2)=0,0,1),IF(MOD(MOD($A107-1,62)+1-2,2)=0,1,0))))=0,(CHOOSE(MIN(MAX(MIN(INT(($A107-1)/62)+1,5),1),5),CROQUIS_DATOS!$C$1499,CROQUIS_DATOS!$C$1503,CROQUIS_DATOS!$C$1507,CROQUIS_DATOS!$C$1511,CROQUIS_DATOS!$C$1515)+IF(CHOOSE(MIN(MAX(MIN(INT(($A107-1)/62)+1,5),1),5),CROQUIS_DATOS!$C$1501,CROQUIS_DATOS!$C$1505,CROQUIS_DATOS!$C$1509,CROQUIS_DATOS!$C$1513,CROQUIS_DATOS!$C$1517)=1,CROQUIS_DATOS!$C$1526,0)),(CHOOSE(MIN(MAX(MIN(INT(($A107-1)/62)+1,5),1),5),CROQUIS_DATOS!$C$1499,CROQUIS_DATOS!$C$1503,CROQUIS_DATOS!$C$1507,CROQUIS_DATOS!$C$1511,CROQUIS_DATOS!$C$1515)+CHOOSE(MIN(MAX(MIN(INT(($A107-1)/62)+1,5),1),5),CROQUIS_DATOS!$C$1500,CROQUIS_DATOS!$C$1504,CROQUIS_DATOS!$C$1508,CROQUIS_DATOS!$C$1512,CROQUIS_DATOS!$C$1516)-IF(CHOOSE(MIN(MAX(MIN(INT(($A107-1)/62)+1,5),1),5),CROQUIS_DATOS!$C$1501,CROQUIS_DATOS!$C$1505,CROQUIS_DATOS!$C$1509,CROQUIS_DATOS!$C$1513,CROQUIS_DATOS!$C$1517)=1,CROQUIS_DATOS!$C$1526,0))))*CROQUIS_DATOS!$C$1562),-1000)</f>
        <v>-1000</v>
      </c>
      <c r="Q107">
        <f>IF(AND(CROQUIS_DATOS!$C$1472=1,CROQUIS_DATOS!$C$1555=1),(CROQUIS_DATOS!$C$1564+(IF(OR(OR(MOD($A107-1,62)+1=1,IF(CHOOSE(MIN(MAX(MIN(INT(($A107-1)/62)+1,5),1),5),CROQUIS_DATOS!$C$1501,CROQUIS_DATOS!$C$1505,CROQUIS_DATOS!$C$1509,CROQUIS_DATOS!$C$1513,CROQUIS_DATOS!$C$1517)=1,CROQUIS_DATOS!$C$1557,0)=0),MOD($A107-1,62)+1&gt;2*IF(CHOOSE(MIN(MAX(MIN(INT(($A107-1)/62)+1,5),1),5),CROQUIS_DATOS!$C$1501,CROQUIS_DATOS!$C$1505,CROQUIS_DATOS!$C$1509,CROQUIS_DATOS!$C$1513,CROQUIS_DATOS!$C$1517)=1,CROQUIS_DATOS!$C$1557,0)+1),CROQUIS_DATOS!$C$1476,MIN(INT((MOD($A107-1,62)+1-2)/2)+1,MAX(IF(CHOOSE(MIN(MAX(MIN(INT(($A107-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7">
        <f>IF(AND(CROQUIS_DATOS!$C$1472=1,1),(CROQUIS_DATOS!$C$1563+(MIN(INT(($A107-1)/2)+1,CROQUIS_DATOS!$C$1558)*CROQUIS_DATOS!$C$1559)*CROQUIS_DATOS!$C$1562),-1000)</f>
        <v>82.2281167108753</v>
      </c>
      <c r="U107">
        <f>IF(AND(CROQUIS_DATOS!$C$1472=1,1),(CROQUIS_DATOS!$C$1564+(IF(INT(($A107-1)/2)+1&gt;CROQUIS_DATOS!$C$1558,IF(MOD(CROQUIS_DATOS!$C$1558,2)=1,CROQUIS_DATOS!$C$1476+CROQUIS_DATOS!$C$1528,CROQUIS_DATOS!$C$1476),IF(IF(MOD(MIN(INT(($A107-1)/2)+1,CROQUIS_DATOS!$C$1558),2)=1,MOD($A107-1,2),1-MOD($A107-1,2))=1,CROQUIS_DATOS!$C$1476+CROQUIS_DATOS!$C$1528,CROQUIS_DATOS!$C$1476)))*CROQUIS_DATOS!$C$1561*CROQUIS_DATOS!$C$1562),-1000)</f>
        <v>43</v>
      </c>
      <c r="BZ107">
        <f>IF(AND(CROQUIS_DATOS!$C$1472=1,CROQUIS_DATOS!$C$1500&gt;0,((CROQUIS_DATOS!$C$1499+CROQUIS_DATOS!$C$1500))-(CROQUIS_DATOS!$C$1499)&gt;0.5,(CROQUIS_DATOS!$C$1476)-(0)&gt;0.5),(CROQUIS_DATOS!$C$1566+(IF(IF(MOD(MIN(INT(($A107-1)/2)+1,MAX(1,INT(((((CROQUIS_DATOS!$C$1499+CROQUIS_DATOS!$C$1500))-(CROQUIS_DATOS!$C$1499))+((CROQUIS_DATOS!$C$1476)*CROQUIS_DATOS!$C$1561-(0)*CROQUIS_DATOS!$C$1561))/CROQUIS_DATOS!$C$1568-0.000001))),2)=1,IF(INT(($A107-1)/2)+1&gt;MAX(1,INT(((((CROQUIS_DATOS!$C$1499+CROQUIS_DATOS!$C$1500))-(CROQUIS_DATOS!$C$1499))+((CROQUIS_DATOS!$C$1476)*CROQUIS_DATOS!$C$1561-(0)*CROQUIS_DATOS!$C$1561))/CROQUIS_DATOS!$C$1568-0.000001)),1,MOD($A107-1,2)),1-IF(INT(($A107-1)/2)+1&gt;MAX(1,INT(((((CROQUIS_DATOS!$C$1499+CROQUIS_DATOS!$C$1500))-(CROQUIS_DATOS!$C$1499))+((CROQUIS_DATOS!$C$1476)*CROQUIS_DATOS!$C$1561-(0)*CROQUIS_DATOS!$C$1561))/CROQUIS_DATOS!$C$1568-0.000001)),1,MOD($A107-1,2)))=1,MIN((CROQUIS_DATOS!$C$1476)*CROQUIS_DATOS!$C$1561,((CROQUIS_DATOS!$C$1499+CROQUIS_DATOS!$C$1500)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7">
        <f>IF(AND(CROQUIS_DATOS!$C$1472=1,CROQUIS_DATOS!$C$1500&gt;0,((CROQUIS_DATOS!$C$1499+CROQUIS_DATOS!$C$1500))-(CROQUIS_DATOS!$C$1499)&gt;0.5,(CROQUIS_DATOS!$C$1476)-(0)&gt;0.5),(CROQUIS_DATOS!$C$1567+(IF(IF(MOD(MIN(INT(($A107-1)/2)+1,MAX(1,INT(((((CROQUIS_DATOS!$C$1499+CROQUIS_DATOS!$C$1500))-(CROQUIS_DATOS!$C$1499))+((CROQUIS_DATOS!$C$1476)*CROQUIS_DATOS!$C$1561-(0)*CROQUIS_DATOS!$C$1561))/CROQUIS_DATOS!$C$1568-0.000001))),2)=1,IF(INT(($A107-1)/2)+1&gt;MAX(1,INT(((((CROQUIS_DATOS!$C$1499+CROQUIS_DATOS!$C$1500))-(CROQUIS_DATOS!$C$1499))+((CROQUIS_DATOS!$C$1476)*CROQUIS_DATOS!$C$1561-(0)*CROQUIS_DATOS!$C$1561))/CROQUIS_DATOS!$C$1568-0.000001)),1,MOD($A107-1,2)),1-IF(INT(($A107-1)/2)+1&gt;MAX(1,INT(((((CROQUIS_DATOS!$C$1499+CROQUIS_DATOS!$C$1500))-(CROQUIS_DATOS!$C$1499))+((CROQUIS_DATOS!$C$1476)*CROQUIS_DATOS!$C$1561-(0)*CROQUIS_DATOS!$C$1561))/CROQUIS_DATOS!$C$1568-0.000001)),1,MOD($A107-1,2)))=1,MIN((CROQUIS_DATOS!$C$1476)*CROQUIS_DATOS!$C$1561,((CROQUIS_DATOS!$C$1499+CROQUIS_DATOS!$C$1500)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7">
        <f>IF(AND(CROQUIS_DATOS!$C$1472=1,CROQUIS_DATOS!$C$1504&gt;0,((CROQUIS_DATOS!$C$1503+CROQUIS_DATOS!$C$1504))-(CROQUIS_DATOS!$C$1503)&gt;0.5,(CROQUIS_DATOS!$C$1476)-(0)&gt;0.5),(CROQUIS_DATOS!$C$1566+(IF(IF(MOD(MIN(INT(($A107-1)/2)+1,MAX(1,INT(((((CROQUIS_DATOS!$C$1503+CROQUIS_DATOS!$C$1504))-(CROQUIS_DATOS!$C$1503))+((CROQUIS_DATOS!$C$1476)*CROQUIS_DATOS!$C$1561-(0)*CROQUIS_DATOS!$C$1561))/CROQUIS_DATOS!$C$1568-0.000001))),2)=1,IF(INT(($A107-1)/2)+1&gt;MAX(1,INT(((((CROQUIS_DATOS!$C$1503+CROQUIS_DATOS!$C$1504))-(CROQUIS_DATOS!$C$1503))+((CROQUIS_DATOS!$C$1476)*CROQUIS_DATOS!$C$1561-(0)*CROQUIS_DATOS!$C$1561))/CROQUIS_DATOS!$C$1568-0.000001)),1,MOD($A107-1,2)),1-IF(INT(($A107-1)/2)+1&gt;MAX(1,INT(((((CROQUIS_DATOS!$C$1503+CROQUIS_DATOS!$C$1504))-(CROQUIS_DATOS!$C$1503))+((CROQUIS_DATOS!$C$1476)*CROQUIS_DATOS!$C$1561-(0)*CROQUIS_DATOS!$C$1561))/CROQUIS_DATOS!$C$1568-0.000001)),1,MOD($A107-1,2)))=1,MIN((CROQUIS_DATOS!$C$1476)*CROQUIS_DATOS!$C$1561,((CROQUIS_DATOS!$C$1503+CROQUIS_DATOS!$C$1504)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7">
        <f>IF(AND(CROQUIS_DATOS!$C$1472=1,CROQUIS_DATOS!$C$1504&gt;0,((CROQUIS_DATOS!$C$1503+CROQUIS_DATOS!$C$1504))-(CROQUIS_DATOS!$C$1503)&gt;0.5,(CROQUIS_DATOS!$C$1476)-(0)&gt;0.5),(CROQUIS_DATOS!$C$1567+(IF(IF(MOD(MIN(INT(($A107-1)/2)+1,MAX(1,INT(((((CROQUIS_DATOS!$C$1503+CROQUIS_DATOS!$C$1504))-(CROQUIS_DATOS!$C$1503))+((CROQUIS_DATOS!$C$1476)*CROQUIS_DATOS!$C$1561-(0)*CROQUIS_DATOS!$C$1561))/CROQUIS_DATOS!$C$1568-0.000001))),2)=1,IF(INT(($A107-1)/2)+1&gt;MAX(1,INT(((((CROQUIS_DATOS!$C$1503+CROQUIS_DATOS!$C$1504))-(CROQUIS_DATOS!$C$1503))+((CROQUIS_DATOS!$C$1476)*CROQUIS_DATOS!$C$1561-(0)*CROQUIS_DATOS!$C$1561))/CROQUIS_DATOS!$C$1568-0.000001)),1,MOD($A107-1,2)),1-IF(INT(($A107-1)/2)+1&gt;MAX(1,INT(((((CROQUIS_DATOS!$C$1503+CROQUIS_DATOS!$C$1504))-(CROQUIS_DATOS!$C$1503))+((CROQUIS_DATOS!$C$1476)*CROQUIS_DATOS!$C$1561-(0)*CROQUIS_DATOS!$C$1561))/CROQUIS_DATOS!$C$1568-0.000001)),1,MOD($A107-1,2)))=1,MIN((CROQUIS_DATOS!$C$1476)*CROQUIS_DATOS!$C$1561,((CROQUIS_DATOS!$C$1503+CROQUIS_DATOS!$C$1504)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7">
        <f>IF(AND(CROQUIS_DATOS!$C$1472=1,CROQUIS_DATOS!$C$1508&gt;0,((CROQUIS_DATOS!$C$1507+CROQUIS_DATOS!$C$1508))-(CROQUIS_DATOS!$C$1507)&gt;0.5,(CROQUIS_DATOS!$C$1476)-(0)&gt;0.5),(CROQUIS_DATOS!$C$1566+(IF(IF(MOD(MIN(INT(($A107-1)/2)+1,MAX(1,INT(((((CROQUIS_DATOS!$C$1507+CROQUIS_DATOS!$C$1508))-(CROQUIS_DATOS!$C$1507))+((CROQUIS_DATOS!$C$1476)*CROQUIS_DATOS!$C$1561-(0)*CROQUIS_DATOS!$C$1561))/CROQUIS_DATOS!$C$1568-0.000001))),2)=1,IF(INT(($A107-1)/2)+1&gt;MAX(1,INT(((((CROQUIS_DATOS!$C$1507+CROQUIS_DATOS!$C$1508))-(CROQUIS_DATOS!$C$1507))+((CROQUIS_DATOS!$C$1476)*CROQUIS_DATOS!$C$1561-(0)*CROQUIS_DATOS!$C$1561))/CROQUIS_DATOS!$C$1568-0.000001)),1,MOD($A107-1,2)),1-IF(INT(($A107-1)/2)+1&gt;MAX(1,INT(((((CROQUIS_DATOS!$C$1507+CROQUIS_DATOS!$C$1508))-(CROQUIS_DATOS!$C$1507))+((CROQUIS_DATOS!$C$1476)*CROQUIS_DATOS!$C$1561-(0)*CROQUIS_DATOS!$C$1561))/CROQUIS_DATOS!$C$1568-0.000001)),1,MOD($A107-1,2)))=1,MIN((CROQUIS_DATOS!$C$1476)*CROQUIS_DATOS!$C$1561,((CROQUIS_DATOS!$C$1507+CROQUIS_DATOS!$C$1508)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7">
        <f>IF(AND(CROQUIS_DATOS!$C$1472=1,CROQUIS_DATOS!$C$1508&gt;0,((CROQUIS_DATOS!$C$1507+CROQUIS_DATOS!$C$1508))-(CROQUIS_DATOS!$C$1507)&gt;0.5,(CROQUIS_DATOS!$C$1476)-(0)&gt;0.5),(CROQUIS_DATOS!$C$1567+(IF(IF(MOD(MIN(INT(($A107-1)/2)+1,MAX(1,INT(((((CROQUIS_DATOS!$C$1507+CROQUIS_DATOS!$C$1508))-(CROQUIS_DATOS!$C$1507))+((CROQUIS_DATOS!$C$1476)*CROQUIS_DATOS!$C$1561-(0)*CROQUIS_DATOS!$C$1561))/CROQUIS_DATOS!$C$1568-0.000001))),2)=1,IF(INT(($A107-1)/2)+1&gt;MAX(1,INT(((((CROQUIS_DATOS!$C$1507+CROQUIS_DATOS!$C$1508))-(CROQUIS_DATOS!$C$1507))+((CROQUIS_DATOS!$C$1476)*CROQUIS_DATOS!$C$1561-(0)*CROQUIS_DATOS!$C$1561))/CROQUIS_DATOS!$C$1568-0.000001)),1,MOD($A107-1,2)),1-IF(INT(($A107-1)/2)+1&gt;MAX(1,INT(((((CROQUIS_DATOS!$C$1507+CROQUIS_DATOS!$C$1508))-(CROQUIS_DATOS!$C$1507))+((CROQUIS_DATOS!$C$1476)*CROQUIS_DATOS!$C$1561-(0)*CROQUIS_DATOS!$C$1561))/CROQUIS_DATOS!$C$1568-0.000001)),1,MOD($A107-1,2)))=1,MIN((CROQUIS_DATOS!$C$1476)*CROQUIS_DATOS!$C$1561,((CROQUIS_DATOS!$C$1507+CROQUIS_DATOS!$C$1508)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7">
        <f>IF(AND(CROQUIS_DATOS!$C$1472=1,CROQUIS_DATOS!$C$1512&gt;0,((CROQUIS_DATOS!$C$1511+CROQUIS_DATOS!$C$1512))-(CROQUIS_DATOS!$C$1511)&gt;0.5,(CROQUIS_DATOS!$C$1476)-(0)&gt;0.5),(CROQUIS_DATOS!$C$1566+(IF(IF(MOD(MIN(INT(($A107-1)/2)+1,MAX(1,INT(((((CROQUIS_DATOS!$C$1511+CROQUIS_DATOS!$C$1512))-(CROQUIS_DATOS!$C$1511))+((CROQUIS_DATOS!$C$1476)*CROQUIS_DATOS!$C$1561-(0)*CROQUIS_DATOS!$C$1561))/CROQUIS_DATOS!$C$1568-0.000001))),2)=1,IF(INT(($A107-1)/2)+1&gt;MAX(1,INT(((((CROQUIS_DATOS!$C$1511+CROQUIS_DATOS!$C$1512))-(CROQUIS_DATOS!$C$1511))+((CROQUIS_DATOS!$C$1476)*CROQUIS_DATOS!$C$1561-(0)*CROQUIS_DATOS!$C$1561))/CROQUIS_DATOS!$C$1568-0.000001)),1,MOD($A107-1,2)),1-IF(INT(($A107-1)/2)+1&gt;MAX(1,INT(((((CROQUIS_DATOS!$C$1511+CROQUIS_DATOS!$C$1512))-(CROQUIS_DATOS!$C$1511))+((CROQUIS_DATOS!$C$1476)*CROQUIS_DATOS!$C$1561-(0)*CROQUIS_DATOS!$C$1561))/CROQUIS_DATOS!$C$1568-0.000001)),1,MOD($A107-1,2)))=1,MIN((CROQUIS_DATOS!$C$1476)*CROQUIS_DATOS!$C$1561,((CROQUIS_DATOS!$C$1511+CROQUIS_DATOS!$C$1512)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7">
        <f>IF(AND(CROQUIS_DATOS!$C$1472=1,CROQUIS_DATOS!$C$1512&gt;0,((CROQUIS_DATOS!$C$1511+CROQUIS_DATOS!$C$1512))-(CROQUIS_DATOS!$C$1511)&gt;0.5,(CROQUIS_DATOS!$C$1476)-(0)&gt;0.5),(CROQUIS_DATOS!$C$1567+(IF(IF(MOD(MIN(INT(($A107-1)/2)+1,MAX(1,INT(((((CROQUIS_DATOS!$C$1511+CROQUIS_DATOS!$C$1512))-(CROQUIS_DATOS!$C$1511))+((CROQUIS_DATOS!$C$1476)*CROQUIS_DATOS!$C$1561-(0)*CROQUIS_DATOS!$C$1561))/CROQUIS_DATOS!$C$1568-0.000001))),2)=1,IF(INT(($A107-1)/2)+1&gt;MAX(1,INT(((((CROQUIS_DATOS!$C$1511+CROQUIS_DATOS!$C$1512))-(CROQUIS_DATOS!$C$1511))+((CROQUIS_DATOS!$C$1476)*CROQUIS_DATOS!$C$1561-(0)*CROQUIS_DATOS!$C$1561))/CROQUIS_DATOS!$C$1568-0.000001)),1,MOD($A107-1,2)),1-IF(INT(($A107-1)/2)+1&gt;MAX(1,INT(((((CROQUIS_DATOS!$C$1511+CROQUIS_DATOS!$C$1512))-(CROQUIS_DATOS!$C$1511))+((CROQUIS_DATOS!$C$1476)*CROQUIS_DATOS!$C$1561-(0)*CROQUIS_DATOS!$C$1561))/CROQUIS_DATOS!$C$1568-0.000001)),1,MOD($A107-1,2)))=1,MIN((CROQUIS_DATOS!$C$1476)*CROQUIS_DATOS!$C$1561,((CROQUIS_DATOS!$C$1511+CROQUIS_DATOS!$C$1512)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7">
        <f>IF(AND(CROQUIS_DATOS!$C$1472=1,CROQUIS_DATOS!$C$1516&gt;0,((CROQUIS_DATOS!$C$1515+CROQUIS_DATOS!$C$1516))-(CROQUIS_DATOS!$C$1515)&gt;0.5,(CROQUIS_DATOS!$C$1476)-(0)&gt;0.5),(CROQUIS_DATOS!$C$1566+(IF(IF(MOD(MIN(INT(($A107-1)/2)+1,MAX(1,INT(((((CROQUIS_DATOS!$C$1515+CROQUIS_DATOS!$C$1516))-(CROQUIS_DATOS!$C$1515))+((CROQUIS_DATOS!$C$1476)*CROQUIS_DATOS!$C$1561-(0)*CROQUIS_DATOS!$C$1561))/CROQUIS_DATOS!$C$1568-0.000001))),2)=1,IF(INT(($A107-1)/2)+1&gt;MAX(1,INT(((((CROQUIS_DATOS!$C$1515+CROQUIS_DATOS!$C$1516))-(CROQUIS_DATOS!$C$1515))+((CROQUIS_DATOS!$C$1476)*CROQUIS_DATOS!$C$1561-(0)*CROQUIS_DATOS!$C$1561))/CROQUIS_DATOS!$C$1568-0.000001)),1,MOD($A107-1,2)),1-IF(INT(($A107-1)/2)+1&gt;MAX(1,INT(((((CROQUIS_DATOS!$C$1515+CROQUIS_DATOS!$C$1516))-(CROQUIS_DATOS!$C$1515))+((CROQUIS_DATOS!$C$1476)*CROQUIS_DATOS!$C$1561-(0)*CROQUIS_DATOS!$C$1561))/CROQUIS_DATOS!$C$1568-0.000001)),1,MOD($A107-1,2)))=1,MIN((CROQUIS_DATOS!$C$1476)*CROQUIS_DATOS!$C$1561,((CROQUIS_DATOS!$C$1515+CROQUIS_DATOS!$C$1516)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7">
        <f>IF(AND(CROQUIS_DATOS!$C$1472=1,CROQUIS_DATOS!$C$1516&gt;0,((CROQUIS_DATOS!$C$1515+CROQUIS_DATOS!$C$1516))-(CROQUIS_DATOS!$C$1515)&gt;0.5,(CROQUIS_DATOS!$C$1476)-(0)&gt;0.5),(CROQUIS_DATOS!$C$1567+(IF(IF(MOD(MIN(INT(($A107-1)/2)+1,MAX(1,INT(((((CROQUIS_DATOS!$C$1515+CROQUIS_DATOS!$C$1516))-(CROQUIS_DATOS!$C$1515))+((CROQUIS_DATOS!$C$1476)*CROQUIS_DATOS!$C$1561-(0)*CROQUIS_DATOS!$C$1561))/CROQUIS_DATOS!$C$1568-0.000001))),2)=1,IF(INT(($A107-1)/2)+1&gt;MAX(1,INT(((((CROQUIS_DATOS!$C$1515+CROQUIS_DATOS!$C$1516))-(CROQUIS_DATOS!$C$1515))+((CROQUIS_DATOS!$C$1476)*CROQUIS_DATOS!$C$1561-(0)*CROQUIS_DATOS!$C$1561))/CROQUIS_DATOS!$C$1568-0.000001)),1,MOD($A107-1,2)),1-IF(INT(($A107-1)/2)+1&gt;MAX(1,INT(((((CROQUIS_DATOS!$C$1515+CROQUIS_DATOS!$C$1516))-(CROQUIS_DATOS!$C$1515))+((CROQUIS_DATOS!$C$1476)*CROQUIS_DATOS!$C$1561-(0)*CROQUIS_DATOS!$C$1561))/CROQUIS_DATOS!$C$1568-0.000001)),1,MOD($A107-1,2)))=1,MIN((CROQUIS_DATOS!$C$1476)*CROQUIS_DATOS!$C$1561,((CROQUIS_DATOS!$C$1515+CROQUIS_DATOS!$C$1516)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7">
        <f>IF(AND(CROQUIS_DATOS!$C$1472=1,CROQUIS_DATOS!$C$1478&gt;=1,((CROQUIS_DATOS!$C$1479+CROQUIS_DATOS!$C$1480))-(CROQUIS_DATOS!$C$1479)&gt;0.5,(CROQUIS_DATOS!$C$1481)-(0)&gt;0.5),(CROQUIS_DATOS!$C$1566+(IF(IF(MOD(MIN(INT(($A107-1)/2)+1,MAX(1,INT(((((CROQUIS_DATOS!$C$1479+CROQUIS_DATOS!$C$1480))-(CROQUIS_DATOS!$C$1479))+((CROQUIS_DATOS!$C$1481)*CROQUIS_DATOS!$C$1561-(0)*CROQUIS_DATOS!$C$1561))/CROQUIS_DATOS!$C$1568-0.000001))),2)=1,IF(INT(($A107-1)/2)+1&gt;MAX(1,INT(((((CROQUIS_DATOS!$C$1479+CROQUIS_DATOS!$C$1480))-(CROQUIS_DATOS!$C$1479))+((CROQUIS_DATOS!$C$1481)*CROQUIS_DATOS!$C$1561-(0)*CROQUIS_DATOS!$C$1561))/CROQUIS_DATOS!$C$1568-0.000001)),1,MOD($A107-1,2)),1-IF(INT(($A107-1)/2)+1&gt;MAX(1,INT(((((CROQUIS_DATOS!$C$1479+CROQUIS_DATOS!$C$1480))-(CROQUIS_DATOS!$C$1479))+((CROQUIS_DATOS!$C$1481)*CROQUIS_DATOS!$C$1561-(0)*CROQUIS_DATOS!$C$1561))/CROQUIS_DATOS!$C$1568-0.000001)),1,MOD($A107-1,2)))=1,MIN((CROQUIS_DATOS!$C$1481)*CROQUIS_DATOS!$C$1561,((CROQUIS_DATOS!$C$1479+CROQUIS_DATOS!$C$1480)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7">
        <f>IF(AND(CROQUIS_DATOS!$C$1472=1,CROQUIS_DATOS!$C$1478&gt;=1,((CROQUIS_DATOS!$C$1479+CROQUIS_DATOS!$C$1480))-(CROQUIS_DATOS!$C$1479)&gt;0.5,(CROQUIS_DATOS!$C$1481)-(0)&gt;0.5),(CROQUIS_DATOS!$C$1567+(IF(IF(MOD(MIN(INT(($A107-1)/2)+1,MAX(1,INT(((((CROQUIS_DATOS!$C$1479+CROQUIS_DATOS!$C$1480))-(CROQUIS_DATOS!$C$1479))+((CROQUIS_DATOS!$C$1481)*CROQUIS_DATOS!$C$1561-(0)*CROQUIS_DATOS!$C$1561))/CROQUIS_DATOS!$C$1568-0.000001))),2)=1,IF(INT(($A107-1)/2)+1&gt;MAX(1,INT(((((CROQUIS_DATOS!$C$1479+CROQUIS_DATOS!$C$1480))-(CROQUIS_DATOS!$C$1479))+((CROQUIS_DATOS!$C$1481)*CROQUIS_DATOS!$C$1561-(0)*CROQUIS_DATOS!$C$1561))/CROQUIS_DATOS!$C$1568-0.000001)),1,MOD($A107-1,2)),1-IF(INT(($A107-1)/2)+1&gt;MAX(1,INT(((((CROQUIS_DATOS!$C$1479+CROQUIS_DATOS!$C$1480))-(CROQUIS_DATOS!$C$1479))+((CROQUIS_DATOS!$C$1481)*CROQUIS_DATOS!$C$1561-(0)*CROQUIS_DATOS!$C$1561))/CROQUIS_DATOS!$C$1568-0.000001)),1,MOD($A107-1,2)))=1,MIN((CROQUIS_DATOS!$C$1481)*CROQUIS_DATOS!$C$1561,((CROQUIS_DATOS!$C$1479+CROQUIS_DATOS!$C$1480)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7">
        <f>IF(AND(CROQUIS_DATOS!$C$1472=1,CROQUIS_DATOS!$C$1478&gt;=1,((CROQUIS_DATOS!$C$1479+CROQUIS_DATOS!$C$1480))-(CROQUIS_DATOS!$C$1479)&gt;0.5,(CROQUIS_DATOS!$C$1476)-((CROQUIS_DATOS!$C$1481+CROQUIS_DATOS!$C$1482))&gt;0.5),(CROQUIS_DATOS!$C$1566+(IF(IF(MOD(MIN(INT(($A107-1)/2)+1,MAX(1,INT(((((CROQUIS_DATOS!$C$1479+CROQUIS_DATOS!$C$1480))-(CROQUIS_DATOS!$C$1479))+((CROQUIS_DATOS!$C$1476)*CROQUIS_DATOS!$C$1561-((CROQUIS_DATOS!$C$1481+CROQUIS_DATOS!$C$1482))*CROQUIS_DATOS!$C$1561))/CROQUIS_DATOS!$C$1568-0.000001))),2)=1,IF(INT(($A107-1)/2)+1&gt;MAX(1,INT(((((CROQUIS_DATOS!$C$1479+CROQUIS_DATOS!$C$1480))-(CROQUIS_DATOS!$C$1479))+((CROQUIS_DATOS!$C$1476)*CROQUIS_DATOS!$C$1561-((CROQUIS_DATOS!$C$1481+CROQUIS_DATOS!$C$1482))*CROQUIS_DATOS!$C$1561))/CROQUIS_DATOS!$C$1568-0.000001)),1,MOD($A107-1,2)),1-IF(INT(($A107-1)/2)+1&gt;MAX(1,INT(((((CROQUIS_DATOS!$C$1479+CROQUIS_DATOS!$C$1480))-(CROQUIS_DATOS!$C$1479))+((CROQUIS_DATOS!$C$1476)*CROQUIS_DATOS!$C$1561-((CROQUIS_DATOS!$C$1481+CROQUIS_DATOS!$C$1482))*CROQUIS_DATOS!$C$1561))/CROQUIS_DATOS!$C$1568-0.000001)),1,MOD($A107-1,2)))=1,MIN((CROQUIS_DATOS!$C$1476)*CROQUIS_DATOS!$C$1561,((CROQUIS_DATOS!$C$1479+CROQUIS_DATOS!$C$1480)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7">
        <f>IF(AND(CROQUIS_DATOS!$C$1472=1,CROQUIS_DATOS!$C$1478&gt;=1,((CROQUIS_DATOS!$C$1479+CROQUIS_DATOS!$C$1480))-(CROQUIS_DATOS!$C$1479)&gt;0.5,(CROQUIS_DATOS!$C$1476)-((CROQUIS_DATOS!$C$1481+CROQUIS_DATOS!$C$1482))&gt;0.5),(CROQUIS_DATOS!$C$1567+(IF(IF(MOD(MIN(INT(($A107-1)/2)+1,MAX(1,INT(((((CROQUIS_DATOS!$C$1479+CROQUIS_DATOS!$C$1480))-(CROQUIS_DATOS!$C$1479))+((CROQUIS_DATOS!$C$1476)*CROQUIS_DATOS!$C$1561-((CROQUIS_DATOS!$C$1481+CROQUIS_DATOS!$C$1482))*CROQUIS_DATOS!$C$1561))/CROQUIS_DATOS!$C$1568-0.000001))),2)=1,IF(INT(($A107-1)/2)+1&gt;MAX(1,INT(((((CROQUIS_DATOS!$C$1479+CROQUIS_DATOS!$C$1480))-(CROQUIS_DATOS!$C$1479))+((CROQUIS_DATOS!$C$1476)*CROQUIS_DATOS!$C$1561-((CROQUIS_DATOS!$C$1481+CROQUIS_DATOS!$C$1482))*CROQUIS_DATOS!$C$1561))/CROQUIS_DATOS!$C$1568-0.000001)),1,MOD($A107-1,2)),1-IF(INT(($A107-1)/2)+1&gt;MAX(1,INT(((((CROQUIS_DATOS!$C$1479+CROQUIS_DATOS!$C$1480))-(CROQUIS_DATOS!$C$1479))+((CROQUIS_DATOS!$C$1476)*CROQUIS_DATOS!$C$1561-((CROQUIS_DATOS!$C$1481+CROQUIS_DATOS!$C$1482))*CROQUIS_DATOS!$C$1561))/CROQUIS_DATOS!$C$1568-0.000001)),1,MOD($A107-1,2)))=1,MIN((CROQUIS_DATOS!$C$1476)*CROQUIS_DATOS!$C$1561,((CROQUIS_DATOS!$C$1479+CROQUIS_DATOS!$C$1480)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7">
        <f>IF(AND(CROQUIS_DATOS!$C$1472=1,CROQUIS_DATOS!$C$1478&gt;=2,((CROQUIS_DATOS!$C$1484+CROQUIS_DATOS!$C$1485))-(CROQUIS_DATOS!$C$1484)&gt;0.5,(CROQUIS_DATOS!$C$1486)-(0)&gt;0.5),(CROQUIS_DATOS!$C$1566+(IF(IF(MOD(MIN(INT(($A107-1)/2)+1,MAX(1,INT(((((CROQUIS_DATOS!$C$1484+CROQUIS_DATOS!$C$1485))-(CROQUIS_DATOS!$C$1484))+((CROQUIS_DATOS!$C$1486)*CROQUIS_DATOS!$C$1561-(0)*CROQUIS_DATOS!$C$1561))/CROQUIS_DATOS!$C$1568-0.000001))),2)=1,IF(INT(($A107-1)/2)+1&gt;MAX(1,INT(((((CROQUIS_DATOS!$C$1484+CROQUIS_DATOS!$C$1485))-(CROQUIS_DATOS!$C$1484))+((CROQUIS_DATOS!$C$1486)*CROQUIS_DATOS!$C$1561-(0)*CROQUIS_DATOS!$C$1561))/CROQUIS_DATOS!$C$1568-0.000001)),1,MOD($A107-1,2)),1-IF(INT(($A107-1)/2)+1&gt;MAX(1,INT(((((CROQUIS_DATOS!$C$1484+CROQUIS_DATOS!$C$1485))-(CROQUIS_DATOS!$C$1484))+((CROQUIS_DATOS!$C$1486)*CROQUIS_DATOS!$C$1561-(0)*CROQUIS_DATOS!$C$1561))/CROQUIS_DATOS!$C$1568-0.000001)),1,MOD($A107-1,2)))=1,MIN((CROQUIS_DATOS!$C$1486)*CROQUIS_DATOS!$C$1561,((CROQUIS_DATOS!$C$1484+CROQUIS_DATOS!$C$1485)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7">
        <f>IF(AND(CROQUIS_DATOS!$C$1472=1,CROQUIS_DATOS!$C$1478&gt;=2,((CROQUIS_DATOS!$C$1484+CROQUIS_DATOS!$C$1485))-(CROQUIS_DATOS!$C$1484)&gt;0.5,(CROQUIS_DATOS!$C$1486)-(0)&gt;0.5),(CROQUIS_DATOS!$C$1567+(IF(IF(MOD(MIN(INT(($A107-1)/2)+1,MAX(1,INT(((((CROQUIS_DATOS!$C$1484+CROQUIS_DATOS!$C$1485))-(CROQUIS_DATOS!$C$1484))+((CROQUIS_DATOS!$C$1486)*CROQUIS_DATOS!$C$1561-(0)*CROQUIS_DATOS!$C$1561))/CROQUIS_DATOS!$C$1568-0.000001))),2)=1,IF(INT(($A107-1)/2)+1&gt;MAX(1,INT(((((CROQUIS_DATOS!$C$1484+CROQUIS_DATOS!$C$1485))-(CROQUIS_DATOS!$C$1484))+((CROQUIS_DATOS!$C$1486)*CROQUIS_DATOS!$C$1561-(0)*CROQUIS_DATOS!$C$1561))/CROQUIS_DATOS!$C$1568-0.000001)),1,MOD($A107-1,2)),1-IF(INT(($A107-1)/2)+1&gt;MAX(1,INT(((((CROQUIS_DATOS!$C$1484+CROQUIS_DATOS!$C$1485))-(CROQUIS_DATOS!$C$1484))+((CROQUIS_DATOS!$C$1486)*CROQUIS_DATOS!$C$1561-(0)*CROQUIS_DATOS!$C$1561))/CROQUIS_DATOS!$C$1568-0.000001)),1,MOD($A107-1,2)))=1,MIN((CROQUIS_DATOS!$C$1486)*CROQUIS_DATOS!$C$1561,((CROQUIS_DATOS!$C$1484+CROQUIS_DATOS!$C$1485)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7">
        <f>IF(AND(CROQUIS_DATOS!$C$1472=1,CROQUIS_DATOS!$C$1478&gt;=2,((CROQUIS_DATOS!$C$1484+CROQUIS_DATOS!$C$1485))-(CROQUIS_DATOS!$C$1484)&gt;0.5,(CROQUIS_DATOS!$C$1476)-((CROQUIS_DATOS!$C$1486+CROQUIS_DATOS!$C$1487))&gt;0.5),(CROQUIS_DATOS!$C$1566+(IF(IF(MOD(MIN(INT(($A107-1)/2)+1,MAX(1,INT(((((CROQUIS_DATOS!$C$1484+CROQUIS_DATOS!$C$1485))-(CROQUIS_DATOS!$C$1484))+((CROQUIS_DATOS!$C$1476)*CROQUIS_DATOS!$C$1561-((CROQUIS_DATOS!$C$1486+CROQUIS_DATOS!$C$1487))*CROQUIS_DATOS!$C$1561))/CROQUIS_DATOS!$C$1568-0.000001))),2)=1,IF(INT(($A107-1)/2)+1&gt;MAX(1,INT(((((CROQUIS_DATOS!$C$1484+CROQUIS_DATOS!$C$1485))-(CROQUIS_DATOS!$C$1484))+((CROQUIS_DATOS!$C$1476)*CROQUIS_DATOS!$C$1561-((CROQUIS_DATOS!$C$1486+CROQUIS_DATOS!$C$1487))*CROQUIS_DATOS!$C$1561))/CROQUIS_DATOS!$C$1568-0.000001)),1,MOD($A107-1,2)),1-IF(INT(($A107-1)/2)+1&gt;MAX(1,INT(((((CROQUIS_DATOS!$C$1484+CROQUIS_DATOS!$C$1485))-(CROQUIS_DATOS!$C$1484))+((CROQUIS_DATOS!$C$1476)*CROQUIS_DATOS!$C$1561-((CROQUIS_DATOS!$C$1486+CROQUIS_DATOS!$C$1487))*CROQUIS_DATOS!$C$1561))/CROQUIS_DATOS!$C$1568-0.000001)),1,MOD($A107-1,2)))=1,MIN((CROQUIS_DATOS!$C$1476)*CROQUIS_DATOS!$C$1561,((CROQUIS_DATOS!$C$1484+CROQUIS_DATOS!$C$1485)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7">
        <f>IF(AND(CROQUIS_DATOS!$C$1472=1,CROQUIS_DATOS!$C$1478&gt;=2,((CROQUIS_DATOS!$C$1484+CROQUIS_DATOS!$C$1485))-(CROQUIS_DATOS!$C$1484)&gt;0.5,(CROQUIS_DATOS!$C$1476)-((CROQUIS_DATOS!$C$1486+CROQUIS_DATOS!$C$1487))&gt;0.5),(CROQUIS_DATOS!$C$1567+(IF(IF(MOD(MIN(INT(($A107-1)/2)+1,MAX(1,INT(((((CROQUIS_DATOS!$C$1484+CROQUIS_DATOS!$C$1485))-(CROQUIS_DATOS!$C$1484))+((CROQUIS_DATOS!$C$1476)*CROQUIS_DATOS!$C$1561-((CROQUIS_DATOS!$C$1486+CROQUIS_DATOS!$C$1487))*CROQUIS_DATOS!$C$1561))/CROQUIS_DATOS!$C$1568-0.000001))),2)=1,IF(INT(($A107-1)/2)+1&gt;MAX(1,INT(((((CROQUIS_DATOS!$C$1484+CROQUIS_DATOS!$C$1485))-(CROQUIS_DATOS!$C$1484))+((CROQUIS_DATOS!$C$1476)*CROQUIS_DATOS!$C$1561-((CROQUIS_DATOS!$C$1486+CROQUIS_DATOS!$C$1487))*CROQUIS_DATOS!$C$1561))/CROQUIS_DATOS!$C$1568-0.000001)),1,MOD($A107-1,2)),1-IF(INT(($A107-1)/2)+1&gt;MAX(1,INT(((((CROQUIS_DATOS!$C$1484+CROQUIS_DATOS!$C$1485))-(CROQUIS_DATOS!$C$1484))+((CROQUIS_DATOS!$C$1476)*CROQUIS_DATOS!$C$1561-((CROQUIS_DATOS!$C$1486+CROQUIS_DATOS!$C$1487))*CROQUIS_DATOS!$C$1561))/CROQUIS_DATOS!$C$1568-0.000001)),1,MOD($A107-1,2)))=1,MIN((CROQUIS_DATOS!$C$1476)*CROQUIS_DATOS!$C$1561,((CROQUIS_DATOS!$C$1484+CROQUIS_DATOS!$C$1485)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7">
        <f>IF(AND(CROQUIS_DATOS!$C$1472=1,CROQUIS_DATOS!$C$1478&gt;=3,((CROQUIS_DATOS!$C$1489+CROQUIS_DATOS!$C$1490))-(CROQUIS_DATOS!$C$1489)&gt;0.5,(CROQUIS_DATOS!$C$1491)-(0)&gt;0.5),(CROQUIS_DATOS!$C$1566+(IF(IF(MOD(MIN(INT(($A107-1)/2)+1,MAX(1,INT(((((CROQUIS_DATOS!$C$1489+CROQUIS_DATOS!$C$1490))-(CROQUIS_DATOS!$C$1489))+((CROQUIS_DATOS!$C$1491)*CROQUIS_DATOS!$C$1561-(0)*CROQUIS_DATOS!$C$1561))/CROQUIS_DATOS!$C$1568-0.000001))),2)=1,IF(INT(($A107-1)/2)+1&gt;MAX(1,INT(((((CROQUIS_DATOS!$C$1489+CROQUIS_DATOS!$C$1490))-(CROQUIS_DATOS!$C$1489))+((CROQUIS_DATOS!$C$1491)*CROQUIS_DATOS!$C$1561-(0)*CROQUIS_DATOS!$C$1561))/CROQUIS_DATOS!$C$1568-0.000001)),1,MOD($A107-1,2)),1-IF(INT(($A107-1)/2)+1&gt;MAX(1,INT(((((CROQUIS_DATOS!$C$1489+CROQUIS_DATOS!$C$1490))-(CROQUIS_DATOS!$C$1489))+((CROQUIS_DATOS!$C$1491)*CROQUIS_DATOS!$C$1561-(0)*CROQUIS_DATOS!$C$1561))/CROQUIS_DATOS!$C$1568-0.000001)),1,MOD($A107-1,2)))=1,MIN((CROQUIS_DATOS!$C$1491)*CROQUIS_DATOS!$C$1561,((CROQUIS_DATOS!$C$1489+CROQUIS_DATOS!$C$1490)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7">
        <f>IF(AND(CROQUIS_DATOS!$C$1472=1,CROQUIS_DATOS!$C$1478&gt;=3,((CROQUIS_DATOS!$C$1489+CROQUIS_DATOS!$C$1490))-(CROQUIS_DATOS!$C$1489)&gt;0.5,(CROQUIS_DATOS!$C$1491)-(0)&gt;0.5),(CROQUIS_DATOS!$C$1567+(IF(IF(MOD(MIN(INT(($A107-1)/2)+1,MAX(1,INT(((((CROQUIS_DATOS!$C$1489+CROQUIS_DATOS!$C$1490))-(CROQUIS_DATOS!$C$1489))+((CROQUIS_DATOS!$C$1491)*CROQUIS_DATOS!$C$1561-(0)*CROQUIS_DATOS!$C$1561))/CROQUIS_DATOS!$C$1568-0.000001))),2)=1,IF(INT(($A107-1)/2)+1&gt;MAX(1,INT(((((CROQUIS_DATOS!$C$1489+CROQUIS_DATOS!$C$1490))-(CROQUIS_DATOS!$C$1489))+((CROQUIS_DATOS!$C$1491)*CROQUIS_DATOS!$C$1561-(0)*CROQUIS_DATOS!$C$1561))/CROQUIS_DATOS!$C$1568-0.000001)),1,MOD($A107-1,2)),1-IF(INT(($A107-1)/2)+1&gt;MAX(1,INT(((((CROQUIS_DATOS!$C$1489+CROQUIS_DATOS!$C$1490))-(CROQUIS_DATOS!$C$1489))+((CROQUIS_DATOS!$C$1491)*CROQUIS_DATOS!$C$1561-(0)*CROQUIS_DATOS!$C$1561))/CROQUIS_DATOS!$C$1568-0.000001)),1,MOD($A107-1,2)))=1,MIN((CROQUIS_DATOS!$C$1491)*CROQUIS_DATOS!$C$1561,((CROQUIS_DATOS!$C$1489+CROQUIS_DATOS!$C$1490)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7">
        <f>IF(AND(CROQUIS_DATOS!$C$1472=1,CROQUIS_DATOS!$C$1478&gt;=3,((CROQUIS_DATOS!$C$1489+CROQUIS_DATOS!$C$1490))-(CROQUIS_DATOS!$C$1489)&gt;0.5,(CROQUIS_DATOS!$C$1476)-((CROQUIS_DATOS!$C$1491+CROQUIS_DATOS!$C$1492))&gt;0.5),(CROQUIS_DATOS!$C$1566+(IF(IF(MOD(MIN(INT(($A107-1)/2)+1,MAX(1,INT(((((CROQUIS_DATOS!$C$1489+CROQUIS_DATOS!$C$1490))-(CROQUIS_DATOS!$C$1489))+((CROQUIS_DATOS!$C$1476)*CROQUIS_DATOS!$C$1561-((CROQUIS_DATOS!$C$1491+CROQUIS_DATOS!$C$1492))*CROQUIS_DATOS!$C$1561))/CROQUIS_DATOS!$C$1568-0.000001))),2)=1,IF(INT(($A107-1)/2)+1&gt;MAX(1,INT(((((CROQUIS_DATOS!$C$1489+CROQUIS_DATOS!$C$1490))-(CROQUIS_DATOS!$C$1489))+((CROQUIS_DATOS!$C$1476)*CROQUIS_DATOS!$C$1561-((CROQUIS_DATOS!$C$1491+CROQUIS_DATOS!$C$1492))*CROQUIS_DATOS!$C$1561))/CROQUIS_DATOS!$C$1568-0.000001)),1,MOD($A107-1,2)),1-IF(INT(($A107-1)/2)+1&gt;MAX(1,INT(((((CROQUIS_DATOS!$C$1489+CROQUIS_DATOS!$C$1490))-(CROQUIS_DATOS!$C$1489))+((CROQUIS_DATOS!$C$1476)*CROQUIS_DATOS!$C$1561-((CROQUIS_DATOS!$C$1491+CROQUIS_DATOS!$C$1492))*CROQUIS_DATOS!$C$1561))/CROQUIS_DATOS!$C$1568-0.000001)),1,MOD($A107-1,2)))=1,MIN((CROQUIS_DATOS!$C$1476)*CROQUIS_DATOS!$C$1561,((CROQUIS_DATOS!$C$1489+CROQUIS_DATOS!$C$1490)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7">
        <f>IF(AND(CROQUIS_DATOS!$C$1472=1,CROQUIS_DATOS!$C$1478&gt;=3,((CROQUIS_DATOS!$C$1489+CROQUIS_DATOS!$C$1490))-(CROQUIS_DATOS!$C$1489)&gt;0.5,(CROQUIS_DATOS!$C$1476)-((CROQUIS_DATOS!$C$1491+CROQUIS_DATOS!$C$1492))&gt;0.5),(CROQUIS_DATOS!$C$1567+(IF(IF(MOD(MIN(INT(($A107-1)/2)+1,MAX(1,INT(((((CROQUIS_DATOS!$C$1489+CROQUIS_DATOS!$C$1490))-(CROQUIS_DATOS!$C$1489))+((CROQUIS_DATOS!$C$1476)*CROQUIS_DATOS!$C$1561-((CROQUIS_DATOS!$C$1491+CROQUIS_DATOS!$C$1492))*CROQUIS_DATOS!$C$1561))/CROQUIS_DATOS!$C$1568-0.000001))),2)=1,IF(INT(($A107-1)/2)+1&gt;MAX(1,INT(((((CROQUIS_DATOS!$C$1489+CROQUIS_DATOS!$C$1490))-(CROQUIS_DATOS!$C$1489))+((CROQUIS_DATOS!$C$1476)*CROQUIS_DATOS!$C$1561-((CROQUIS_DATOS!$C$1491+CROQUIS_DATOS!$C$1492))*CROQUIS_DATOS!$C$1561))/CROQUIS_DATOS!$C$1568-0.000001)),1,MOD($A107-1,2)),1-IF(INT(($A107-1)/2)+1&gt;MAX(1,INT(((((CROQUIS_DATOS!$C$1489+CROQUIS_DATOS!$C$1490))-(CROQUIS_DATOS!$C$1489))+((CROQUIS_DATOS!$C$1476)*CROQUIS_DATOS!$C$1561-((CROQUIS_DATOS!$C$1491+CROQUIS_DATOS!$C$1492))*CROQUIS_DATOS!$C$1561))/CROQUIS_DATOS!$C$1568-0.000001)),1,MOD($A107-1,2)))=1,MIN((CROQUIS_DATOS!$C$1476)*CROQUIS_DATOS!$C$1561,((CROQUIS_DATOS!$C$1489+CROQUIS_DATOS!$C$1490)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7">
        <f>IF(AND(CROQUIS_DATOS!$C$1472=1,CROQUIS_DATOS!$C$1478&gt;=4,((CROQUIS_DATOS!$C$1494+CROQUIS_DATOS!$C$1495))-(CROQUIS_DATOS!$C$1494)&gt;0.5,(CROQUIS_DATOS!$C$1496)-(0)&gt;0.5),(CROQUIS_DATOS!$C$1566+(IF(IF(MOD(MIN(INT(($A107-1)/2)+1,MAX(1,INT(((((CROQUIS_DATOS!$C$1494+CROQUIS_DATOS!$C$1495))-(CROQUIS_DATOS!$C$1494))+((CROQUIS_DATOS!$C$1496)*CROQUIS_DATOS!$C$1561-(0)*CROQUIS_DATOS!$C$1561))/CROQUIS_DATOS!$C$1568-0.000001))),2)=1,IF(INT(($A107-1)/2)+1&gt;MAX(1,INT(((((CROQUIS_DATOS!$C$1494+CROQUIS_DATOS!$C$1495))-(CROQUIS_DATOS!$C$1494))+((CROQUIS_DATOS!$C$1496)*CROQUIS_DATOS!$C$1561-(0)*CROQUIS_DATOS!$C$1561))/CROQUIS_DATOS!$C$1568-0.000001)),1,MOD($A107-1,2)),1-IF(INT(($A107-1)/2)+1&gt;MAX(1,INT(((((CROQUIS_DATOS!$C$1494+CROQUIS_DATOS!$C$1495))-(CROQUIS_DATOS!$C$1494))+((CROQUIS_DATOS!$C$1496)*CROQUIS_DATOS!$C$1561-(0)*CROQUIS_DATOS!$C$1561))/CROQUIS_DATOS!$C$1568-0.000001)),1,MOD($A107-1,2)))=1,MIN((CROQUIS_DATOS!$C$1496)*CROQUIS_DATOS!$C$1561,((CROQUIS_DATOS!$C$1494+CROQUIS_DATOS!$C$1495)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7">
        <f>IF(AND(CROQUIS_DATOS!$C$1472=1,CROQUIS_DATOS!$C$1478&gt;=4,((CROQUIS_DATOS!$C$1494+CROQUIS_DATOS!$C$1495))-(CROQUIS_DATOS!$C$1494)&gt;0.5,(CROQUIS_DATOS!$C$1496)-(0)&gt;0.5),(CROQUIS_DATOS!$C$1567+(IF(IF(MOD(MIN(INT(($A107-1)/2)+1,MAX(1,INT(((((CROQUIS_DATOS!$C$1494+CROQUIS_DATOS!$C$1495))-(CROQUIS_DATOS!$C$1494))+((CROQUIS_DATOS!$C$1496)*CROQUIS_DATOS!$C$1561-(0)*CROQUIS_DATOS!$C$1561))/CROQUIS_DATOS!$C$1568-0.000001))),2)=1,IF(INT(($A107-1)/2)+1&gt;MAX(1,INT(((((CROQUIS_DATOS!$C$1494+CROQUIS_DATOS!$C$1495))-(CROQUIS_DATOS!$C$1494))+((CROQUIS_DATOS!$C$1496)*CROQUIS_DATOS!$C$1561-(0)*CROQUIS_DATOS!$C$1561))/CROQUIS_DATOS!$C$1568-0.000001)),1,MOD($A107-1,2)),1-IF(INT(($A107-1)/2)+1&gt;MAX(1,INT(((((CROQUIS_DATOS!$C$1494+CROQUIS_DATOS!$C$1495))-(CROQUIS_DATOS!$C$1494))+((CROQUIS_DATOS!$C$1496)*CROQUIS_DATOS!$C$1561-(0)*CROQUIS_DATOS!$C$1561))/CROQUIS_DATOS!$C$1568-0.000001)),1,MOD($A107-1,2)))=1,MIN((CROQUIS_DATOS!$C$1496)*CROQUIS_DATOS!$C$1561,((CROQUIS_DATOS!$C$1494+CROQUIS_DATOS!$C$1495)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7">
        <f>IF(AND(CROQUIS_DATOS!$C$1472=1,CROQUIS_DATOS!$C$1478&gt;=4,((CROQUIS_DATOS!$C$1494+CROQUIS_DATOS!$C$1495))-(CROQUIS_DATOS!$C$1494)&gt;0.5,(CROQUIS_DATOS!$C$1476)-((CROQUIS_DATOS!$C$1496+CROQUIS_DATOS!$C$1497))&gt;0.5),(CROQUIS_DATOS!$C$1566+(IF(IF(MOD(MIN(INT(($A107-1)/2)+1,MAX(1,INT(((((CROQUIS_DATOS!$C$1494+CROQUIS_DATOS!$C$1495))-(CROQUIS_DATOS!$C$1494))+((CROQUIS_DATOS!$C$1476)*CROQUIS_DATOS!$C$1561-((CROQUIS_DATOS!$C$1496+CROQUIS_DATOS!$C$1497))*CROQUIS_DATOS!$C$1561))/CROQUIS_DATOS!$C$1568-0.000001))),2)=1,IF(INT(($A107-1)/2)+1&gt;MAX(1,INT(((((CROQUIS_DATOS!$C$1494+CROQUIS_DATOS!$C$1495))-(CROQUIS_DATOS!$C$1494))+((CROQUIS_DATOS!$C$1476)*CROQUIS_DATOS!$C$1561-((CROQUIS_DATOS!$C$1496+CROQUIS_DATOS!$C$1497))*CROQUIS_DATOS!$C$1561))/CROQUIS_DATOS!$C$1568-0.000001)),1,MOD($A107-1,2)),1-IF(INT(($A107-1)/2)+1&gt;MAX(1,INT(((((CROQUIS_DATOS!$C$1494+CROQUIS_DATOS!$C$1495))-(CROQUIS_DATOS!$C$1494))+((CROQUIS_DATOS!$C$1476)*CROQUIS_DATOS!$C$1561-((CROQUIS_DATOS!$C$1496+CROQUIS_DATOS!$C$1497))*CROQUIS_DATOS!$C$1561))/CROQUIS_DATOS!$C$1568-0.000001)),1,MOD($A107-1,2)))=1,MIN((CROQUIS_DATOS!$C$1476)*CROQUIS_DATOS!$C$1561,((CROQUIS_DATOS!$C$1494+CROQUIS_DATOS!$C$1495)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7">
        <f>IF(AND(CROQUIS_DATOS!$C$1472=1,CROQUIS_DATOS!$C$1478&gt;=4,((CROQUIS_DATOS!$C$1494+CROQUIS_DATOS!$C$1495))-(CROQUIS_DATOS!$C$1494)&gt;0.5,(CROQUIS_DATOS!$C$1476)-((CROQUIS_DATOS!$C$1496+CROQUIS_DATOS!$C$1497))&gt;0.5),(CROQUIS_DATOS!$C$1567+(IF(IF(MOD(MIN(INT(($A107-1)/2)+1,MAX(1,INT(((((CROQUIS_DATOS!$C$1494+CROQUIS_DATOS!$C$1495))-(CROQUIS_DATOS!$C$1494))+((CROQUIS_DATOS!$C$1476)*CROQUIS_DATOS!$C$1561-((CROQUIS_DATOS!$C$1496+CROQUIS_DATOS!$C$1497))*CROQUIS_DATOS!$C$1561))/CROQUIS_DATOS!$C$1568-0.000001))),2)=1,IF(INT(($A107-1)/2)+1&gt;MAX(1,INT(((((CROQUIS_DATOS!$C$1494+CROQUIS_DATOS!$C$1495))-(CROQUIS_DATOS!$C$1494))+((CROQUIS_DATOS!$C$1476)*CROQUIS_DATOS!$C$1561-((CROQUIS_DATOS!$C$1496+CROQUIS_DATOS!$C$1497))*CROQUIS_DATOS!$C$1561))/CROQUIS_DATOS!$C$1568-0.000001)),1,MOD($A107-1,2)),1-IF(INT(($A107-1)/2)+1&gt;MAX(1,INT(((((CROQUIS_DATOS!$C$1494+CROQUIS_DATOS!$C$1495))-(CROQUIS_DATOS!$C$1494))+((CROQUIS_DATOS!$C$1476)*CROQUIS_DATOS!$C$1561-((CROQUIS_DATOS!$C$1496+CROQUIS_DATOS!$C$1497))*CROQUIS_DATOS!$C$1561))/CROQUIS_DATOS!$C$1568-0.000001)),1,MOD($A107-1,2)))=1,MIN((CROQUIS_DATOS!$C$1476)*CROQUIS_DATOS!$C$1561,((CROQUIS_DATOS!$C$1494+CROQUIS_DATOS!$C$1495)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8">
      <c r="A108" t="n">
        <v>101</v>
      </c>
      <c r="N108">
        <f>IF(AND(CROQUIS_DATOS!$C$1472=1,1),(CROQUIS_DATOS!$C$1563+(IF(IF(IF(INT(($A108-1)/70)+1&gt;CROQUIS_DATOS!$C$1525,70,MOD($A108-1,70)+1)=1,0,IF(IF(INT(($A108-1)/70)+1&gt;CROQUIS_DATOS!$C$1525,70,MOD($A108-1,70)+1)&gt;2*CROQUIS_DATOS!$C$1541+1,IF(MOD(CROQUIS_DATOS!$C$1541,2)=1,1,0),IF(MOD(MIN(INT((IF(INT(($A108-1)/70)+1&gt;CROQUIS_DATOS!$C$1525,70,MOD($A108-1,70)+1)-2)/2)+1,CROQUIS_DATOS!$C$1541),2)=1,IF(MOD(IF(INT(($A108-1)/70)+1&gt;CROQUIS_DATOS!$C$1525,70,MOD($A108-1,70)+1)-2,2)=0,0,1),IF(MOD(IF(INT(($A108-1)/70)+1&gt;CROQUIS_DATOS!$C$1525,70,MOD($A108-1,70)+1)-2,2)=0,1,0))))=0,(INDEX($E$8:$E$23,MIN(INT(($A108-1)/70)+1,CROQUIS_DATOS!$C$1525))-INDEX($F$8:$F$23,MIN(INT(($A108-1)/70)+1,CROQUIS_DATOS!$C$1525))/2),(INDEX($E$8:$E$23,MIN(INT(($A108-1)/70)+1,CROQUIS_DATOS!$C$1525))+INDEX($F$8:$F$23,MIN(INT(($A108-1)/70)+1,CROQUIS_DATOS!$C$1525))/2)))*CROQUIS_DATOS!$C$1562),-1000)</f>
        <v>20.6724137931034</v>
      </c>
      <c r="O108">
        <f>IF(AND(CROQUIS_DATOS!$C$1472=1,1),(CROQUIS_DATOS!$C$1564+(IF(OR(IF(INT(($A108-1)/70)+1&gt;CROQUIS_DATOS!$C$1525,70,MOD($A108-1,70)+1)=1,IF(INT(($A108-1)/70)+1&gt;CROQUIS_DATOS!$C$1525,70,MOD($A108-1,70)+1)&gt;2*CROQUIS_DATOS!$C$1541+1),CROQUIS_DATOS!$C$1476,INDEX($H$8:$H$41,MIN(INT((IF(INT(($A108-1)/70)+1&gt;CROQUIS_DATOS!$C$1525,70,MOD($A108-1,70)+1)-2)/2)+1,CROQUIS_DATOS!$C$1541))))*CROQUIS_DATOS!$C$1561*CROQUIS_DATOS!$C$1562),-1000)</f>
        <v>36.0172413793104</v>
      </c>
      <c r="P108">
        <f>IF(AND(CROQUIS_DATOS!$C$1472=1,CROQUIS_DATOS!$C$1555=1),(CROQUIS_DATOS!$C$1563+(IF(IF(OR(MOD($A108-1,62)+1=1,IF(CHOOSE(MIN(MAX(MIN(INT(($A108-1)/62)+1,5),1),5),CROQUIS_DATOS!$C$1501,CROQUIS_DATOS!$C$1505,CROQUIS_DATOS!$C$1509,CROQUIS_DATOS!$C$1513,CROQUIS_DATOS!$C$1517)=1,CROQUIS_DATOS!$C$1557,0)=0),0,IF(MOD($A108-1,62)+1&gt;2*IF(CHOOSE(MIN(MAX(MIN(INT(($A108-1)/62)+1,5),1),5),CROQUIS_DATOS!$C$1501,CROQUIS_DATOS!$C$1505,CROQUIS_DATOS!$C$1509,CROQUIS_DATOS!$C$1513,CROQUIS_DATOS!$C$1517)=1,CROQUIS_DATOS!$C$1557,0)+1,IF(MOD(IF(CHOOSE(MIN(MAX(MIN(INT(($A108-1)/62)+1,5),1),5),CROQUIS_DATOS!$C$1501,CROQUIS_DATOS!$C$1505,CROQUIS_DATOS!$C$1509,CROQUIS_DATOS!$C$1513,CROQUIS_DATOS!$C$1517)=1,CROQUIS_DATOS!$C$1557,0),2)=1,1,0),IF(MOD(MIN(INT((MOD($A108-1,62)+1-2)/2)+1,MAX(IF(CHOOSE(MIN(MAX(MIN(INT(($A108-1)/62)+1,5),1),5),CROQUIS_DATOS!$C$1501,CROQUIS_DATOS!$C$1505,CROQUIS_DATOS!$C$1509,CROQUIS_DATOS!$C$1513,CROQUIS_DATOS!$C$1517)=1,CROQUIS_DATOS!$C$1557,0),1)),2)=1,IF(MOD(MOD($A108-1,62)+1-2,2)=0,0,1),IF(MOD(MOD($A108-1,62)+1-2,2)=0,1,0))))=0,(CHOOSE(MIN(MAX(MIN(INT(($A108-1)/62)+1,5),1),5),CROQUIS_DATOS!$C$1499,CROQUIS_DATOS!$C$1503,CROQUIS_DATOS!$C$1507,CROQUIS_DATOS!$C$1511,CROQUIS_DATOS!$C$1515)+IF(CHOOSE(MIN(MAX(MIN(INT(($A108-1)/62)+1,5),1),5),CROQUIS_DATOS!$C$1501,CROQUIS_DATOS!$C$1505,CROQUIS_DATOS!$C$1509,CROQUIS_DATOS!$C$1513,CROQUIS_DATOS!$C$1517)=1,CROQUIS_DATOS!$C$1526,0)),(CHOOSE(MIN(MAX(MIN(INT(($A108-1)/62)+1,5),1),5),CROQUIS_DATOS!$C$1499,CROQUIS_DATOS!$C$1503,CROQUIS_DATOS!$C$1507,CROQUIS_DATOS!$C$1511,CROQUIS_DATOS!$C$1515)+CHOOSE(MIN(MAX(MIN(INT(($A108-1)/62)+1,5),1),5),CROQUIS_DATOS!$C$1500,CROQUIS_DATOS!$C$1504,CROQUIS_DATOS!$C$1508,CROQUIS_DATOS!$C$1512,CROQUIS_DATOS!$C$1516)-IF(CHOOSE(MIN(MAX(MIN(INT(($A108-1)/62)+1,5),1),5),CROQUIS_DATOS!$C$1501,CROQUIS_DATOS!$C$1505,CROQUIS_DATOS!$C$1509,CROQUIS_DATOS!$C$1513,CROQUIS_DATOS!$C$1517)=1,CROQUIS_DATOS!$C$1526,0))))*CROQUIS_DATOS!$C$1562),-1000)</f>
        <v>-1000</v>
      </c>
      <c r="Q108">
        <f>IF(AND(CROQUIS_DATOS!$C$1472=1,CROQUIS_DATOS!$C$1555=1),(CROQUIS_DATOS!$C$1564+(IF(OR(OR(MOD($A108-1,62)+1=1,IF(CHOOSE(MIN(MAX(MIN(INT(($A108-1)/62)+1,5),1),5),CROQUIS_DATOS!$C$1501,CROQUIS_DATOS!$C$1505,CROQUIS_DATOS!$C$1509,CROQUIS_DATOS!$C$1513,CROQUIS_DATOS!$C$1517)=1,CROQUIS_DATOS!$C$1557,0)=0),MOD($A108-1,62)+1&gt;2*IF(CHOOSE(MIN(MAX(MIN(INT(($A108-1)/62)+1,5),1),5),CROQUIS_DATOS!$C$1501,CROQUIS_DATOS!$C$1505,CROQUIS_DATOS!$C$1509,CROQUIS_DATOS!$C$1513,CROQUIS_DATOS!$C$1517)=1,CROQUIS_DATOS!$C$1557,0)+1),CROQUIS_DATOS!$C$1476,MIN(INT((MOD($A108-1,62)+1-2)/2)+1,MAX(IF(CHOOSE(MIN(MAX(MIN(INT(($A108-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8">
        <f>IF(AND(CROQUIS_DATOS!$C$1472=1,1),(CROQUIS_DATOS!$C$1563+(MIN(INT(($A108-1)/2)+1,CROQUIS_DATOS!$C$1558)*CROQUIS_DATOS!$C$1559)*CROQUIS_DATOS!$C$1562),-1000)</f>
        <v>82.2281167108753</v>
      </c>
      <c r="U108">
        <f>IF(AND(CROQUIS_DATOS!$C$1472=1,1),(CROQUIS_DATOS!$C$1564+(IF(INT(($A108-1)/2)+1&gt;CROQUIS_DATOS!$C$1558,IF(MOD(CROQUIS_DATOS!$C$1558,2)=1,CROQUIS_DATOS!$C$1476+CROQUIS_DATOS!$C$1528,CROQUIS_DATOS!$C$1476),IF(IF(MOD(MIN(INT(($A108-1)/2)+1,CROQUIS_DATOS!$C$1558),2)=1,MOD($A108-1,2),1-MOD($A108-1,2))=1,CROQUIS_DATOS!$C$1476+CROQUIS_DATOS!$C$1528,CROQUIS_DATOS!$C$1476)))*CROQUIS_DATOS!$C$1561*CROQUIS_DATOS!$C$1562),-1000)</f>
        <v>43</v>
      </c>
      <c r="BZ108">
        <f>IF(AND(CROQUIS_DATOS!$C$1472=1,CROQUIS_DATOS!$C$1500&gt;0,((CROQUIS_DATOS!$C$1499+CROQUIS_DATOS!$C$1500))-(CROQUIS_DATOS!$C$1499)&gt;0.5,(CROQUIS_DATOS!$C$1476)-(0)&gt;0.5),(CROQUIS_DATOS!$C$1566+(IF(IF(MOD(MIN(INT(($A108-1)/2)+1,MAX(1,INT(((((CROQUIS_DATOS!$C$1499+CROQUIS_DATOS!$C$1500))-(CROQUIS_DATOS!$C$1499))+((CROQUIS_DATOS!$C$1476)*CROQUIS_DATOS!$C$1561-(0)*CROQUIS_DATOS!$C$1561))/CROQUIS_DATOS!$C$1568-0.000001))),2)=1,IF(INT(($A108-1)/2)+1&gt;MAX(1,INT(((((CROQUIS_DATOS!$C$1499+CROQUIS_DATOS!$C$1500))-(CROQUIS_DATOS!$C$1499))+((CROQUIS_DATOS!$C$1476)*CROQUIS_DATOS!$C$1561-(0)*CROQUIS_DATOS!$C$1561))/CROQUIS_DATOS!$C$1568-0.000001)),1,MOD($A108-1,2)),1-IF(INT(($A108-1)/2)+1&gt;MAX(1,INT(((((CROQUIS_DATOS!$C$1499+CROQUIS_DATOS!$C$1500))-(CROQUIS_DATOS!$C$1499))+((CROQUIS_DATOS!$C$1476)*CROQUIS_DATOS!$C$1561-(0)*CROQUIS_DATOS!$C$1561))/CROQUIS_DATOS!$C$1568-0.000001)),1,MOD($A108-1,2)))=1,MIN((CROQUIS_DATOS!$C$1476)*CROQUIS_DATOS!$C$1561,((CROQUIS_DATOS!$C$1499+CROQUIS_DATOS!$C$1500)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8">
        <f>IF(AND(CROQUIS_DATOS!$C$1472=1,CROQUIS_DATOS!$C$1500&gt;0,((CROQUIS_DATOS!$C$1499+CROQUIS_DATOS!$C$1500))-(CROQUIS_DATOS!$C$1499)&gt;0.5,(CROQUIS_DATOS!$C$1476)-(0)&gt;0.5),(CROQUIS_DATOS!$C$1567+(IF(IF(MOD(MIN(INT(($A108-1)/2)+1,MAX(1,INT(((((CROQUIS_DATOS!$C$1499+CROQUIS_DATOS!$C$1500))-(CROQUIS_DATOS!$C$1499))+((CROQUIS_DATOS!$C$1476)*CROQUIS_DATOS!$C$1561-(0)*CROQUIS_DATOS!$C$1561))/CROQUIS_DATOS!$C$1568-0.000001))),2)=1,IF(INT(($A108-1)/2)+1&gt;MAX(1,INT(((((CROQUIS_DATOS!$C$1499+CROQUIS_DATOS!$C$1500))-(CROQUIS_DATOS!$C$1499))+((CROQUIS_DATOS!$C$1476)*CROQUIS_DATOS!$C$1561-(0)*CROQUIS_DATOS!$C$1561))/CROQUIS_DATOS!$C$1568-0.000001)),1,MOD($A108-1,2)),1-IF(INT(($A108-1)/2)+1&gt;MAX(1,INT(((((CROQUIS_DATOS!$C$1499+CROQUIS_DATOS!$C$1500))-(CROQUIS_DATOS!$C$1499))+((CROQUIS_DATOS!$C$1476)*CROQUIS_DATOS!$C$1561-(0)*CROQUIS_DATOS!$C$1561))/CROQUIS_DATOS!$C$1568-0.000001)),1,MOD($A108-1,2)))=1,MIN((CROQUIS_DATOS!$C$1476)*CROQUIS_DATOS!$C$1561,((CROQUIS_DATOS!$C$1499+CROQUIS_DATOS!$C$1500)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8">
        <f>IF(AND(CROQUIS_DATOS!$C$1472=1,CROQUIS_DATOS!$C$1504&gt;0,((CROQUIS_DATOS!$C$1503+CROQUIS_DATOS!$C$1504))-(CROQUIS_DATOS!$C$1503)&gt;0.5,(CROQUIS_DATOS!$C$1476)-(0)&gt;0.5),(CROQUIS_DATOS!$C$1566+(IF(IF(MOD(MIN(INT(($A108-1)/2)+1,MAX(1,INT(((((CROQUIS_DATOS!$C$1503+CROQUIS_DATOS!$C$1504))-(CROQUIS_DATOS!$C$1503))+((CROQUIS_DATOS!$C$1476)*CROQUIS_DATOS!$C$1561-(0)*CROQUIS_DATOS!$C$1561))/CROQUIS_DATOS!$C$1568-0.000001))),2)=1,IF(INT(($A108-1)/2)+1&gt;MAX(1,INT(((((CROQUIS_DATOS!$C$1503+CROQUIS_DATOS!$C$1504))-(CROQUIS_DATOS!$C$1503))+((CROQUIS_DATOS!$C$1476)*CROQUIS_DATOS!$C$1561-(0)*CROQUIS_DATOS!$C$1561))/CROQUIS_DATOS!$C$1568-0.000001)),1,MOD($A108-1,2)),1-IF(INT(($A108-1)/2)+1&gt;MAX(1,INT(((((CROQUIS_DATOS!$C$1503+CROQUIS_DATOS!$C$1504))-(CROQUIS_DATOS!$C$1503))+((CROQUIS_DATOS!$C$1476)*CROQUIS_DATOS!$C$1561-(0)*CROQUIS_DATOS!$C$1561))/CROQUIS_DATOS!$C$1568-0.000001)),1,MOD($A108-1,2)))=1,MIN((CROQUIS_DATOS!$C$1476)*CROQUIS_DATOS!$C$1561,((CROQUIS_DATOS!$C$1503+CROQUIS_DATOS!$C$1504)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8">
        <f>IF(AND(CROQUIS_DATOS!$C$1472=1,CROQUIS_DATOS!$C$1504&gt;0,((CROQUIS_DATOS!$C$1503+CROQUIS_DATOS!$C$1504))-(CROQUIS_DATOS!$C$1503)&gt;0.5,(CROQUIS_DATOS!$C$1476)-(0)&gt;0.5),(CROQUIS_DATOS!$C$1567+(IF(IF(MOD(MIN(INT(($A108-1)/2)+1,MAX(1,INT(((((CROQUIS_DATOS!$C$1503+CROQUIS_DATOS!$C$1504))-(CROQUIS_DATOS!$C$1503))+((CROQUIS_DATOS!$C$1476)*CROQUIS_DATOS!$C$1561-(0)*CROQUIS_DATOS!$C$1561))/CROQUIS_DATOS!$C$1568-0.000001))),2)=1,IF(INT(($A108-1)/2)+1&gt;MAX(1,INT(((((CROQUIS_DATOS!$C$1503+CROQUIS_DATOS!$C$1504))-(CROQUIS_DATOS!$C$1503))+((CROQUIS_DATOS!$C$1476)*CROQUIS_DATOS!$C$1561-(0)*CROQUIS_DATOS!$C$1561))/CROQUIS_DATOS!$C$1568-0.000001)),1,MOD($A108-1,2)),1-IF(INT(($A108-1)/2)+1&gt;MAX(1,INT(((((CROQUIS_DATOS!$C$1503+CROQUIS_DATOS!$C$1504))-(CROQUIS_DATOS!$C$1503))+((CROQUIS_DATOS!$C$1476)*CROQUIS_DATOS!$C$1561-(0)*CROQUIS_DATOS!$C$1561))/CROQUIS_DATOS!$C$1568-0.000001)),1,MOD($A108-1,2)))=1,MIN((CROQUIS_DATOS!$C$1476)*CROQUIS_DATOS!$C$1561,((CROQUIS_DATOS!$C$1503+CROQUIS_DATOS!$C$1504)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8">
        <f>IF(AND(CROQUIS_DATOS!$C$1472=1,CROQUIS_DATOS!$C$1508&gt;0,((CROQUIS_DATOS!$C$1507+CROQUIS_DATOS!$C$1508))-(CROQUIS_DATOS!$C$1507)&gt;0.5,(CROQUIS_DATOS!$C$1476)-(0)&gt;0.5),(CROQUIS_DATOS!$C$1566+(IF(IF(MOD(MIN(INT(($A108-1)/2)+1,MAX(1,INT(((((CROQUIS_DATOS!$C$1507+CROQUIS_DATOS!$C$1508))-(CROQUIS_DATOS!$C$1507))+((CROQUIS_DATOS!$C$1476)*CROQUIS_DATOS!$C$1561-(0)*CROQUIS_DATOS!$C$1561))/CROQUIS_DATOS!$C$1568-0.000001))),2)=1,IF(INT(($A108-1)/2)+1&gt;MAX(1,INT(((((CROQUIS_DATOS!$C$1507+CROQUIS_DATOS!$C$1508))-(CROQUIS_DATOS!$C$1507))+((CROQUIS_DATOS!$C$1476)*CROQUIS_DATOS!$C$1561-(0)*CROQUIS_DATOS!$C$1561))/CROQUIS_DATOS!$C$1568-0.000001)),1,MOD($A108-1,2)),1-IF(INT(($A108-1)/2)+1&gt;MAX(1,INT(((((CROQUIS_DATOS!$C$1507+CROQUIS_DATOS!$C$1508))-(CROQUIS_DATOS!$C$1507))+((CROQUIS_DATOS!$C$1476)*CROQUIS_DATOS!$C$1561-(0)*CROQUIS_DATOS!$C$1561))/CROQUIS_DATOS!$C$1568-0.000001)),1,MOD($A108-1,2)))=1,MIN((CROQUIS_DATOS!$C$1476)*CROQUIS_DATOS!$C$1561,((CROQUIS_DATOS!$C$1507+CROQUIS_DATOS!$C$1508)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8">
        <f>IF(AND(CROQUIS_DATOS!$C$1472=1,CROQUIS_DATOS!$C$1508&gt;0,((CROQUIS_DATOS!$C$1507+CROQUIS_DATOS!$C$1508))-(CROQUIS_DATOS!$C$1507)&gt;0.5,(CROQUIS_DATOS!$C$1476)-(0)&gt;0.5),(CROQUIS_DATOS!$C$1567+(IF(IF(MOD(MIN(INT(($A108-1)/2)+1,MAX(1,INT(((((CROQUIS_DATOS!$C$1507+CROQUIS_DATOS!$C$1508))-(CROQUIS_DATOS!$C$1507))+((CROQUIS_DATOS!$C$1476)*CROQUIS_DATOS!$C$1561-(0)*CROQUIS_DATOS!$C$1561))/CROQUIS_DATOS!$C$1568-0.000001))),2)=1,IF(INT(($A108-1)/2)+1&gt;MAX(1,INT(((((CROQUIS_DATOS!$C$1507+CROQUIS_DATOS!$C$1508))-(CROQUIS_DATOS!$C$1507))+((CROQUIS_DATOS!$C$1476)*CROQUIS_DATOS!$C$1561-(0)*CROQUIS_DATOS!$C$1561))/CROQUIS_DATOS!$C$1568-0.000001)),1,MOD($A108-1,2)),1-IF(INT(($A108-1)/2)+1&gt;MAX(1,INT(((((CROQUIS_DATOS!$C$1507+CROQUIS_DATOS!$C$1508))-(CROQUIS_DATOS!$C$1507))+((CROQUIS_DATOS!$C$1476)*CROQUIS_DATOS!$C$1561-(0)*CROQUIS_DATOS!$C$1561))/CROQUIS_DATOS!$C$1568-0.000001)),1,MOD($A108-1,2)))=1,MIN((CROQUIS_DATOS!$C$1476)*CROQUIS_DATOS!$C$1561,((CROQUIS_DATOS!$C$1507+CROQUIS_DATOS!$C$1508)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8">
        <f>IF(AND(CROQUIS_DATOS!$C$1472=1,CROQUIS_DATOS!$C$1512&gt;0,((CROQUIS_DATOS!$C$1511+CROQUIS_DATOS!$C$1512))-(CROQUIS_DATOS!$C$1511)&gt;0.5,(CROQUIS_DATOS!$C$1476)-(0)&gt;0.5),(CROQUIS_DATOS!$C$1566+(IF(IF(MOD(MIN(INT(($A108-1)/2)+1,MAX(1,INT(((((CROQUIS_DATOS!$C$1511+CROQUIS_DATOS!$C$1512))-(CROQUIS_DATOS!$C$1511))+((CROQUIS_DATOS!$C$1476)*CROQUIS_DATOS!$C$1561-(0)*CROQUIS_DATOS!$C$1561))/CROQUIS_DATOS!$C$1568-0.000001))),2)=1,IF(INT(($A108-1)/2)+1&gt;MAX(1,INT(((((CROQUIS_DATOS!$C$1511+CROQUIS_DATOS!$C$1512))-(CROQUIS_DATOS!$C$1511))+((CROQUIS_DATOS!$C$1476)*CROQUIS_DATOS!$C$1561-(0)*CROQUIS_DATOS!$C$1561))/CROQUIS_DATOS!$C$1568-0.000001)),1,MOD($A108-1,2)),1-IF(INT(($A108-1)/2)+1&gt;MAX(1,INT(((((CROQUIS_DATOS!$C$1511+CROQUIS_DATOS!$C$1512))-(CROQUIS_DATOS!$C$1511))+((CROQUIS_DATOS!$C$1476)*CROQUIS_DATOS!$C$1561-(0)*CROQUIS_DATOS!$C$1561))/CROQUIS_DATOS!$C$1568-0.000001)),1,MOD($A108-1,2)))=1,MIN((CROQUIS_DATOS!$C$1476)*CROQUIS_DATOS!$C$1561,((CROQUIS_DATOS!$C$1511+CROQUIS_DATOS!$C$1512)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8">
        <f>IF(AND(CROQUIS_DATOS!$C$1472=1,CROQUIS_DATOS!$C$1512&gt;0,((CROQUIS_DATOS!$C$1511+CROQUIS_DATOS!$C$1512))-(CROQUIS_DATOS!$C$1511)&gt;0.5,(CROQUIS_DATOS!$C$1476)-(0)&gt;0.5),(CROQUIS_DATOS!$C$1567+(IF(IF(MOD(MIN(INT(($A108-1)/2)+1,MAX(1,INT(((((CROQUIS_DATOS!$C$1511+CROQUIS_DATOS!$C$1512))-(CROQUIS_DATOS!$C$1511))+((CROQUIS_DATOS!$C$1476)*CROQUIS_DATOS!$C$1561-(0)*CROQUIS_DATOS!$C$1561))/CROQUIS_DATOS!$C$1568-0.000001))),2)=1,IF(INT(($A108-1)/2)+1&gt;MAX(1,INT(((((CROQUIS_DATOS!$C$1511+CROQUIS_DATOS!$C$1512))-(CROQUIS_DATOS!$C$1511))+((CROQUIS_DATOS!$C$1476)*CROQUIS_DATOS!$C$1561-(0)*CROQUIS_DATOS!$C$1561))/CROQUIS_DATOS!$C$1568-0.000001)),1,MOD($A108-1,2)),1-IF(INT(($A108-1)/2)+1&gt;MAX(1,INT(((((CROQUIS_DATOS!$C$1511+CROQUIS_DATOS!$C$1512))-(CROQUIS_DATOS!$C$1511))+((CROQUIS_DATOS!$C$1476)*CROQUIS_DATOS!$C$1561-(0)*CROQUIS_DATOS!$C$1561))/CROQUIS_DATOS!$C$1568-0.000001)),1,MOD($A108-1,2)))=1,MIN((CROQUIS_DATOS!$C$1476)*CROQUIS_DATOS!$C$1561,((CROQUIS_DATOS!$C$1511+CROQUIS_DATOS!$C$1512)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8">
        <f>IF(AND(CROQUIS_DATOS!$C$1472=1,CROQUIS_DATOS!$C$1516&gt;0,((CROQUIS_DATOS!$C$1515+CROQUIS_DATOS!$C$1516))-(CROQUIS_DATOS!$C$1515)&gt;0.5,(CROQUIS_DATOS!$C$1476)-(0)&gt;0.5),(CROQUIS_DATOS!$C$1566+(IF(IF(MOD(MIN(INT(($A108-1)/2)+1,MAX(1,INT(((((CROQUIS_DATOS!$C$1515+CROQUIS_DATOS!$C$1516))-(CROQUIS_DATOS!$C$1515))+((CROQUIS_DATOS!$C$1476)*CROQUIS_DATOS!$C$1561-(0)*CROQUIS_DATOS!$C$1561))/CROQUIS_DATOS!$C$1568-0.000001))),2)=1,IF(INT(($A108-1)/2)+1&gt;MAX(1,INT(((((CROQUIS_DATOS!$C$1515+CROQUIS_DATOS!$C$1516))-(CROQUIS_DATOS!$C$1515))+((CROQUIS_DATOS!$C$1476)*CROQUIS_DATOS!$C$1561-(0)*CROQUIS_DATOS!$C$1561))/CROQUIS_DATOS!$C$1568-0.000001)),1,MOD($A108-1,2)),1-IF(INT(($A108-1)/2)+1&gt;MAX(1,INT(((((CROQUIS_DATOS!$C$1515+CROQUIS_DATOS!$C$1516))-(CROQUIS_DATOS!$C$1515))+((CROQUIS_DATOS!$C$1476)*CROQUIS_DATOS!$C$1561-(0)*CROQUIS_DATOS!$C$1561))/CROQUIS_DATOS!$C$1568-0.000001)),1,MOD($A108-1,2)))=1,MIN((CROQUIS_DATOS!$C$1476)*CROQUIS_DATOS!$C$1561,((CROQUIS_DATOS!$C$1515+CROQUIS_DATOS!$C$1516)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8">
        <f>IF(AND(CROQUIS_DATOS!$C$1472=1,CROQUIS_DATOS!$C$1516&gt;0,((CROQUIS_DATOS!$C$1515+CROQUIS_DATOS!$C$1516))-(CROQUIS_DATOS!$C$1515)&gt;0.5,(CROQUIS_DATOS!$C$1476)-(0)&gt;0.5),(CROQUIS_DATOS!$C$1567+(IF(IF(MOD(MIN(INT(($A108-1)/2)+1,MAX(1,INT(((((CROQUIS_DATOS!$C$1515+CROQUIS_DATOS!$C$1516))-(CROQUIS_DATOS!$C$1515))+((CROQUIS_DATOS!$C$1476)*CROQUIS_DATOS!$C$1561-(0)*CROQUIS_DATOS!$C$1561))/CROQUIS_DATOS!$C$1568-0.000001))),2)=1,IF(INT(($A108-1)/2)+1&gt;MAX(1,INT(((((CROQUIS_DATOS!$C$1515+CROQUIS_DATOS!$C$1516))-(CROQUIS_DATOS!$C$1515))+((CROQUIS_DATOS!$C$1476)*CROQUIS_DATOS!$C$1561-(0)*CROQUIS_DATOS!$C$1561))/CROQUIS_DATOS!$C$1568-0.000001)),1,MOD($A108-1,2)),1-IF(INT(($A108-1)/2)+1&gt;MAX(1,INT(((((CROQUIS_DATOS!$C$1515+CROQUIS_DATOS!$C$1516))-(CROQUIS_DATOS!$C$1515))+((CROQUIS_DATOS!$C$1476)*CROQUIS_DATOS!$C$1561-(0)*CROQUIS_DATOS!$C$1561))/CROQUIS_DATOS!$C$1568-0.000001)),1,MOD($A108-1,2)))=1,MIN((CROQUIS_DATOS!$C$1476)*CROQUIS_DATOS!$C$1561,((CROQUIS_DATOS!$C$1515+CROQUIS_DATOS!$C$1516)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8">
        <f>IF(AND(CROQUIS_DATOS!$C$1472=1,CROQUIS_DATOS!$C$1478&gt;=1,((CROQUIS_DATOS!$C$1479+CROQUIS_DATOS!$C$1480))-(CROQUIS_DATOS!$C$1479)&gt;0.5,(CROQUIS_DATOS!$C$1481)-(0)&gt;0.5),(CROQUIS_DATOS!$C$1566+(IF(IF(MOD(MIN(INT(($A108-1)/2)+1,MAX(1,INT(((((CROQUIS_DATOS!$C$1479+CROQUIS_DATOS!$C$1480))-(CROQUIS_DATOS!$C$1479))+((CROQUIS_DATOS!$C$1481)*CROQUIS_DATOS!$C$1561-(0)*CROQUIS_DATOS!$C$1561))/CROQUIS_DATOS!$C$1568-0.000001))),2)=1,IF(INT(($A108-1)/2)+1&gt;MAX(1,INT(((((CROQUIS_DATOS!$C$1479+CROQUIS_DATOS!$C$1480))-(CROQUIS_DATOS!$C$1479))+((CROQUIS_DATOS!$C$1481)*CROQUIS_DATOS!$C$1561-(0)*CROQUIS_DATOS!$C$1561))/CROQUIS_DATOS!$C$1568-0.000001)),1,MOD($A108-1,2)),1-IF(INT(($A108-1)/2)+1&gt;MAX(1,INT(((((CROQUIS_DATOS!$C$1479+CROQUIS_DATOS!$C$1480))-(CROQUIS_DATOS!$C$1479))+((CROQUIS_DATOS!$C$1481)*CROQUIS_DATOS!$C$1561-(0)*CROQUIS_DATOS!$C$1561))/CROQUIS_DATOS!$C$1568-0.000001)),1,MOD($A108-1,2)))=1,MIN((CROQUIS_DATOS!$C$1481)*CROQUIS_DATOS!$C$1561,((CROQUIS_DATOS!$C$1479+CROQUIS_DATOS!$C$1480)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8">
        <f>IF(AND(CROQUIS_DATOS!$C$1472=1,CROQUIS_DATOS!$C$1478&gt;=1,((CROQUIS_DATOS!$C$1479+CROQUIS_DATOS!$C$1480))-(CROQUIS_DATOS!$C$1479)&gt;0.5,(CROQUIS_DATOS!$C$1481)-(0)&gt;0.5),(CROQUIS_DATOS!$C$1567+(IF(IF(MOD(MIN(INT(($A108-1)/2)+1,MAX(1,INT(((((CROQUIS_DATOS!$C$1479+CROQUIS_DATOS!$C$1480))-(CROQUIS_DATOS!$C$1479))+((CROQUIS_DATOS!$C$1481)*CROQUIS_DATOS!$C$1561-(0)*CROQUIS_DATOS!$C$1561))/CROQUIS_DATOS!$C$1568-0.000001))),2)=1,IF(INT(($A108-1)/2)+1&gt;MAX(1,INT(((((CROQUIS_DATOS!$C$1479+CROQUIS_DATOS!$C$1480))-(CROQUIS_DATOS!$C$1479))+((CROQUIS_DATOS!$C$1481)*CROQUIS_DATOS!$C$1561-(0)*CROQUIS_DATOS!$C$1561))/CROQUIS_DATOS!$C$1568-0.000001)),1,MOD($A108-1,2)),1-IF(INT(($A108-1)/2)+1&gt;MAX(1,INT(((((CROQUIS_DATOS!$C$1479+CROQUIS_DATOS!$C$1480))-(CROQUIS_DATOS!$C$1479))+((CROQUIS_DATOS!$C$1481)*CROQUIS_DATOS!$C$1561-(0)*CROQUIS_DATOS!$C$1561))/CROQUIS_DATOS!$C$1568-0.000001)),1,MOD($A108-1,2)))=1,MIN((CROQUIS_DATOS!$C$1481)*CROQUIS_DATOS!$C$1561,((CROQUIS_DATOS!$C$1479+CROQUIS_DATOS!$C$1480)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8">
        <f>IF(AND(CROQUIS_DATOS!$C$1472=1,CROQUIS_DATOS!$C$1478&gt;=1,((CROQUIS_DATOS!$C$1479+CROQUIS_DATOS!$C$1480))-(CROQUIS_DATOS!$C$1479)&gt;0.5,(CROQUIS_DATOS!$C$1476)-((CROQUIS_DATOS!$C$1481+CROQUIS_DATOS!$C$1482))&gt;0.5),(CROQUIS_DATOS!$C$1566+(IF(IF(MOD(MIN(INT(($A108-1)/2)+1,MAX(1,INT(((((CROQUIS_DATOS!$C$1479+CROQUIS_DATOS!$C$1480))-(CROQUIS_DATOS!$C$1479))+((CROQUIS_DATOS!$C$1476)*CROQUIS_DATOS!$C$1561-((CROQUIS_DATOS!$C$1481+CROQUIS_DATOS!$C$1482))*CROQUIS_DATOS!$C$1561))/CROQUIS_DATOS!$C$1568-0.000001))),2)=1,IF(INT(($A108-1)/2)+1&gt;MAX(1,INT(((((CROQUIS_DATOS!$C$1479+CROQUIS_DATOS!$C$1480))-(CROQUIS_DATOS!$C$1479))+((CROQUIS_DATOS!$C$1476)*CROQUIS_DATOS!$C$1561-((CROQUIS_DATOS!$C$1481+CROQUIS_DATOS!$C$1482))*CROQUIS_DATOS!$C$1561))/CROQUIS_DATOS!$C$1568-0.000001)),1,MOD($A108-1,2)),1-IF(INT(($A108-1)/2)+1&gt;MAX(1,INT(((((CROQUIS_DATOS!$C$1479+CROQUIS_DATOS!$C$1480))-(CROQUIS_DATOS!$C$1479))+((CROQUIS_DATOS!$C$1476)*CROQUIS_DATOS!$C$1561-((CROQUIS_DATOS!$C$1481+CROQUIS_DATOS!$C$1482))*CROQUIS_DATOS!$C$1561))/CROQUIS_DATOS!$C$1568-0.000001)),1,MOD($A108-1,2)))=1,MIN((CROQUIS_DATOS!$C$1476)*CROQUIS_DATOS!$C$1561,((CROQUIS_DATOS!$C$1479+CROQUIS_DATOS!$C$1480)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8">
        <f>IF(AND(CROQUIS_DATOS!$C$1472=1,CROQUIS_DATOS!$C$1478&gt;=1,((CROQUIS_DATOS!$C$1479+CROQUIS_DATOS!$C$1480))-(CROQUIS_DATOS!$C$1479)&gt;0.5,(CROQUIS_DATOS!$C$1476)-((CROQUIS_DATOS!$C$1481+CROQUIS_DATOS!$C$1482))&gt;0.5),(CROQUIS_DATOS!$C$1567+(IF(IF(MOD(MIN(INT(($A108-1)/2)+1,MAX(1,INT(((((CROQUIS_DATOS!$C$1479+CROQUIS_DATOS!$C$1480))-(CROQUIS_DATOS!$C$1479))+((CROQUIS_DATOS!$C$1476)*CROQUIS_DATOS!$C$1561-((CROQUIS_DATOS!$C$1481+CROQUIS_DATOS!$C$1482))*CROQUIS_DATOS!$C$1561))/CROQUIS_DATOS!$C$1568-0.000001))),2)=1,IF(INT(($A108-1)/2)+1&gt;MAX(1,INT(((((CROQUIS_DATOS!$C$1479+CROQUIS_DATOS!$C$1480))-(CROQUIS_DATOS!$C$1479))+((CROQUIS_DATOS!$C$1476)*CROQUIS_DATOS!$C$1561-((CROQUIS_DATOS!$C$1481+CROQUIS_DATOS!$C$1482))*CROQUIS_DATOS!$C$1561))/CROQUIS_DATOS!$C$1568-0.000001)),1,MOD($A108-1,2)),1-IF(INT(($A108-1)/2)+1&gt;MAX(1,INT(((((CROQUIS_DATOS!$C$1479+CROQUIS_DATOS!$C$1480))-(CROQUIS_DATOS!$C$1479))+((CROQUIS_DATOS!$C$1476)*CROQUIS_DATOS!$C$1561-((CROQUIS_DATOS!$C$1481+CROQUIS_DATOS!$C$1482))*CROQUIS_DATOS!$C$1561))/CROQUIS_DATOS!$C$1568-0.000001)),1,MOD($A108-1,2)))=1,MIN((CROQUIS_DATOS!$C$1476)*CROQUIS_DATOS!$C$1561,((CROQUIS_DATOS!$C$1479+CROQUIS_DATOS!$C$1480)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8">
        <f>IF(AND(CROQUIS_DATOS!$C$1472=1,CROQUIS_DATOS!$C$1478&gt;=2,((CROQUIS_DATOS!$C$1484+CROQUIS_DATOS!$C$1485))-(CROQUIS_DATOS!$C$1484)&gt;0.5,(CROQUIS_DATOS!$C$1486)-(0)&gt;0.5),(CROQUIS_DATOS!$C$1566+(IF(IF(MOD(MIN(INT(($A108-1)/2)+1,MAX(1,INT(((((CROQUIS_DATOS!$C$1484+CROQUIS_DATOS!$C$1485))-(CROQUIS_DATOS!$C$1484))+((CROQUIS_DATOS!$C$1486)*CROQUIS_DATOS!$C$1561-(0)*CROQUIS_DATOS!$C$1561))/CROQUIS_DATOS!$C$1568-0.000001))),2)=1,IF(INT(($A108-1)/2)+1&gt;MAX(1,INT(((((CROQUIS_DATOS!$C$1484+CROQUIS_DATOS!$C$1485))-(CROQUIS_DATOS!$C$1484))+((CROQUIS_DATOS!$C$1486)*CROQUIS_DATOS!$C$1561-(0)*CROQUIS_DATOS!$C$1561))/CROQUIS_DATOS!$C$1568-0.000001)),1,MOD($A108-1,2)),1-IF(INT(($A108-1)/2)+1&gt;MAX(1,INT(((((CROQUIS_DATOS!$C$1484+CROQUIS_DATOS!$C$1485))-(CROQUIS_DATOS!$C$1484))+((CROQUIS_DATOS!$C$1486)*CROQUIS_DATOS!$C$1561-(0)*CROQUIS_DATOS!$C$1561))/CROQUIS_DATOS!$C$1568-0.000001)),1,MOD($A108-1,2)))=1,MIN((CROQUIS_DATOS!$C$1486)*CROQUIS_DATOS!$C$1561,((CROQUIS_DATOS!$C$1484+CROQUIS_DATOS!$C$1485)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8">
        <f>IF(AND(CROQUIS_DATOS!$C$1472=1,CROQUIS_DATOS!$C$1478&gt;=2,((CROQUIS_DATOS!$C$1484+CROQUIS_DATOS!$C$1485))-(CROQUIS_DATOS!$C$1484)&gt;0.5,(CROQUIS_DATOS!$C$1486)-(0)&gt;0.5),(CROQUIS_DATOS!$C$1567+(IF(IF(MOD(MIN(INT(($A108-1)/2)+1,MAX(1,INT(((((CROQUIS_DATOS!$C$1484+CROQUIS_DATOS!$C$1485))-(CROQUIS_DATOS!$C$1484))+((CROQUIS_DATOS!$C$1486)*CROQUIS_DATOS!$C$1561-(0)*CROQUIS_DATOS!$C$1561))/CROQUIS_DATOS!$C$1568-0.000001))),2)=1,IF(INT(($A108-1)/2)+1&gt;MAX(1,INT(((((CROQUIS_DATOS!$C$1484+CROQUIS_DATOS!$C$1485))-(CROQUIS_DATOS!$C$1484))+((CROQUIS_DATOS!$C$1486)*CROQUIS_DATOS!$C$1561-(0)*CROQUIS_DATOS!$C$1561))/CROQUIS_DATOS!$C$1568-0.000001)),1,MOD($A108-1,2)),1-IF(INT(($A108-1)/2)+1&gt;MAX(1,INT(((((CROQUIS_DATOS!$C$1484+CROQUIS_DATOS!$C$1485))-(CROQUIS_DATOS!$C$1484))+((CROQUIS_DATOS!$C$1486)*CROQUIS_DATOS!$C$1561-(0)*CROQUIS_DATOS!$C$1561))/CROQUIS_DATOS!$C$1568-0.000001)),1,MOD($A108-1,2)))=1,MIN((CROQUIS_DATOS!$C$1486)*CROQUIS_DATOS!$C$1561,((CROQUIS_DATOS!$C$1484+CROQUIS_DATOS!$C$1485)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8">
        <f>IF(AND(CROQUIS_DATOS!$C$1472=1,CROQUIS_DATOS!$C$1478&gt;=2,((CROQUIS_DATOS!$C$1484+CROQUIS_DATOS!$C$1485))-(CROQUIS_DATOS!$C$1484)&gt;0.5,(CROQUIS_DATOS!$C$1476)-((CROQUIS_DATOS!$C$1486+CROQUIS_DATOS!$C$1487))&gt;0.5),(CROQUIS_DATOS!$C$1566+(IF(IF(MOD(MIN(INT(($A108-1)/2)+1,MAX(1,INT(((((CROQUIS_DATOS!$C$1484+CROQUIS_DATOS!$C$1485))-(CROQUIS_DATOS!$C$1484))+((CROQUIS_DATOS!$C$1476)*CROQUIS_DATOS!$C$1561-((CROQUIS_DATOS!$C$1486+CROQUIS_DATOS!$C$1487))*CROQUIS_DATOS!$C$1561))/CROQUIS_DATOS!$C$1568-0.000001))),2)=1,IF(INT(($A108-1)/2)+1&gt;MAX(1,INT(((((CROQUIS_DATOS!$C$1484+CROQUIS_DATOS!$C$1485))-(CROQUIS_DATOS!$C$1484))+((CROQUIS_DATOS!$C$1476)*CROQUIS_DATOS!$C$1561-((CROQUIS_DATOS!$C$1486+CROQUIS_DATOS!$C$1487))*CROQUIS_DATOS!$C$1561))/CROQUIS_DATOS!$C$1568-0.000001)),1,MOD($A108-1,2)),1-IF(INT(($A108-1)/2)+1&gt;MAX(1,INT(((((CROQUIS_DATOS!$C$1484+CROQUIS_DATOS!$C$1485))-(CROQUIS_DATOS!$C$1484))+((CROQUIS_DATOS!$C$1476)*CROQUIS_DATOS!$C$1561-((CROQUIS_DATOS!$C$1486+CROQUIS_DATOS!$C$1487))*CROQUIS_DATOS!$C$1561))/CROQUIS_DATOS!$C$1568-0.000001)),1,MOD($A108-1,2)))=1,MIN((CROQUIS_DATOS!$C$1476)*CROQUIS_DATOS!$C$1561,((CROQUIS_DATOS!$C$1484+CROQUIS_DATOS!$C$1485)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8">
        <f>IF(AND(CROQUIS_DATOS!$C$1472=1,CROQUIS_DATOS!$C$1478&gt;=2,((CROQUIS_DATOS!$C$1484+CROQUIS_DATOS!$C$1485))-(CROQUIS_DATOS!$C$1484)&gt;0.5,(CROQUIS_DATOS!$C$1476)-((CROQUIS_DATOS!$C$1486+CROQUIS_DATOS!$C$1487))&gt;0.5),(CROQUIS_DATOS!$C$1567+(IF(IF(MOD(MIN(INT(($A108-1)/2)+1,MAX(1,INT(((((CROQUIS_DATOS!$C$1484+CROQUIS_DATOS!$C$1485))-(CROQUIS_DATOS!$C$1484))+((CROQUIS_DATOS!$C$1476)*CROQUIS_DATOS!$C$1561-((CROQUIS_DATOS!$C$1486+CROQUIS_DATOS!$C$1487))*CROQUIS_DATOS!$C$1561))/CROQUIS_DATOS!$C$1568-0.000001))),2)=1,IF(INT(($A108-1)/2)+1&gt;MAX(1,INT(((((CROQUIS_DATOS!$C$1484+CROQUIS_DATOS!$C$1485))-(CROQUIS_DATOS!$C$1484))+((CROQUIS_DATOS!$C$1476)*CROQUIS_DATOS!$C$1561-((CROQUIS_DATOS!$C$1486+CROQUIS_DATOS!$C$1487))*CROQUIS_DATOS!$C$1561))/CROQUIS_DATOS!$C$1568-0.000001)),1,MOD($A108-1,2)),1-IF(INT(($A108-1)/2)+1&gt;MAX(1,INT(((((CROQUIS_DATOS!$C$1484+CROQUIS_DATOS!$C$1485))-(CROQUIS_DATOS!$C$1484))+((CROQUIS_DATOS!$C$1476)*CROQUIS_DATOS!$C$1561-((CROQUIS_DATOS!$C$1486+CROQUIS_DATOS!$C$1487))*CROQUIS_DATOS!$C$1561))/CROQUIS_DATOS!$C$1568-0.000001)),1,MOD($A108-1,2)))=1,MIN((CROQUIS_DATOS!$C$1476)*CROQUIS_DATOS!$C$1561,((CROQUIS_DATOS!$C$1484+CROQUIS_DATOS!$C$1485)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8">
        <f>IF(AND(CROQUIS_DATOS!$C$1472=1,CROQUIS_DATOS!$C$1478&gt;=3,((CROQUIS_DATOS!$C$1489+CROQUIS_DATOS!$C$1490))-(CROQUIS_DATOS!$C$1489)&gt;0.5,(CROQUIS_DATOS!$C$1491)-(0)&gt;0.5),(CROQUIS_DATOS!$C$1566+(IF(IF(MOD(MIN(INT(($A108-1)/2)+1,MAX(1,INT(((((CROQUIS_DATOS!$C$1489+CROQUIS_DATOS!$C$1490))-(CROQUIS_DATOS!$C$1489))+((CROQUIS_DATOS!$C$1491)*CROQUIS_DATOS!$C$1561-(0)*CROQUIS_DATOS!$C$1561))/CROQUIS_DATOS!$C$1568-0.000001))),2)=1,IF(INT(($A108-1)/2)+1&gt;MAX(1,INT(((((CROQUIS_DATOS!$C$1489+CROQUIS_DATOS!$C$1490))-(CROQUIS_DATOS!$C$1489))+((CROQUIS_DATOS!$C$1491)*CROQUIS_DATOS!$C$1561-(0)*CROQUIS_DATOS!$C$1561))/CROQUIS_DATOS!$C$1568-0.000001)),1,MOD($A108-1,2)),1-IF(INT(($A108-1)/2)+1&gt;MAX(1,INT(((((CROQUIS_DATOS!$C$1489+CROQUIS_DATOS!$C$1490))-(CROQUIS_DATOS!$C$1489))+((CROQUIS_DATOS!$C$1491)*CROQUIS_DATOS!$C$1561-(0)*CROQUIS_DATOS!$C$1561))/CROQUIS_DATOS!$C$1568-0.000001)),1,MOD($A108-1,2)))=1,MIN((CROQUIS_DATOS!$C$1491)*CROQUIS_DATOS!$C$1561,((CROQUIS_DATOS!$C$1489+CROQUIS_DATOS!$C$1490)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8">
        <f>IF(AND(CROQUIS_DATOS!$C$1472=1,CROQUIS_DATOS!$C$1478&gt;=3,((CROQUIS_DATOS!$C$1489+CROQUIS_DATOS!$C$1490))-(CROQUIS_DATOS!$C$1489)&gt;0.5,(CROQUIS_DATOS!$C$1491)-(0)&gt;0.5),(CROQUIS_DATOS!$C$1567+(IF(IF(MOD(MIN(INT(($A108-1)/2)+1,MAX(1,INT(((((CROQUIS_DATOS!$C$1489+CROQUIS_DATOS!$C$1490))-(CROQUIS_DATOS!$C$1489))+((CROQUIS_DATOS!$C$1491)*CROQUIS_DATOS!$C$1561-(0)*CROQUIS_DATOS!$C$1561))/CROQUIS_DATOS!$C$1568-0.000001))),2)=1,IF(INT(($A108-1)/2)+1&gt;MAX(1,INT(((((CROQUIS_DATOS!$C$1489+CROQUIS_DATOS!$C$1490))-(CROQUIS_DATOS!$C$1489))+((CROQUIS_DATOS!$C$1491)*CROQUIS_DATOS!$C$1561-(0)*CROQUIS_DATOS!$C$1561))/CROQUIS_DATOS!$C$1568-0.000001)),1,MOD($A108-1,2)),1-IF(INT(($A108-1)/2)+1&gt;MAX(1,INT(((((CROQUIS_DATOS!$C$1489+CROQUIS_DATOS!$C$1490))-(CROQUIS_DATOS!$C$1489))+((CROQUIS_DATOS!$C$1491)*CROQUIS_DATOS!$C$1561-(0)*CROQUIS_DATOS!$C$1561))/CROQUIS_DATOS!$C$1568-0.000001)),1,MOD($A108-1,2)))=1,MIN((CROQUIS_DATOS!$C$1491)*CROQUIS_DATOS!$C$1561,((CROQUIS_DATOS!$C$1489+CROQUIS_DATOS!$C$1490)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8">
        <f>IF(AND(CROQUIS_DATOS!$C$1472=1,CROQUIS_DATOS!$C$1478&gt;=3,((CROQUIS_DATOS!$C$1489+CROQUIS_DATOS!$C$1490))-(CROQUIS_DATOS!$C$1489)&gt;0.5,(CROQUIS_DATOS!$C$1476)-((CROQUIS_DATOS!$C$1491+CROQUIS_DATOS!$C$1492))&gt;0.5),(CROQUIS_DATOS!$C$1566+(IF(IF(MOD(MIN(INT(($A108-1)/2)+1,MAX(1,INT(((((CROQUIS_DATOS!$C$1489+CROQUIS_DATOS!$C$1490))-(CROQUIS_DATOS!$C$1489))+((CROQUIS_DATOS!$C$1476)*CROQUIS_DATOS!$C$1561-((CROQUIS_DATOS!$C$1491+CROQUIS_DATOS!$C$1492))*CROQUIS_DATOS!$C$1561))/CROQUIS_DATOS!$C$1568-0.000001))),2)=1,IF(INT(($A108-1)/2)+1&gt;MAX(1,INT(((((CROQUIS_DATOS!$C$1489+CROQUIS_DATOS!$C$1490))-(CROQUIS_DATOS!$C$1489))+((CROQUIS_DATOS!$C$1476)*CROQUIS_DATOS!$C$1561-((CROQUIS_DATOS!$C$1491+CROQUIS_DATOS!$C$1492))*CROQUIS_DATOS!$C$1561))/CROQUIS_DATOS!$C$1568-0.000001)),1,MOD($A108-1,2)),1-IF(INT(($A108-1)/2)+1&gt;MAX(1,INT(((((CROQUIS_DATOS!$C$1489+CROQUIS_DATOS!$C$1490))-(CROQUIS_DATOS!$C$1489))+((CROQUIS_DATOS!$C$1476)*CROQUIS_DATOS!$C$1561-((CROQUIS_DATOS!$C$1491+CROQUIS_DATOS!$C$1492))*CROQUIS_DATOS!$C$1561))/CROQUIS_DATOS!$C$1568-0.000001)),1,MOD($A108-1,2)))=1,MIN((CROQUIS_DATOS!$C$1476)*CROQUIS_DATOS!$C$1561,((CROQUIS_DATOS!$C$1489+CROQUIS_DATOS!$C$1490)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8">
        <f>IF(AND(CROQUIS_DATOS!$C$1472=1,CROQUIS_DATOS!$C$1478&gt;=3,((CROQUIS_DATOS!$C$1489+CROQUIS_DATOS!$C$1490))-(CROQUIS_DATOS!$C$1489)&gt;0.5,(CROQUIS_DATOS!$C$1476)-((CROQUIS_DATOS!$C$1491+CROQUIS_DATOS!$C$1492))&gt;0.5),(CROQUIS_DATOS!$C$1567+(IF(IF(MOD(MIN(INT(($A108-1)/2)+1,MAX(1,INT(((((CROQUIS_DATOS!$C$1489+CROQUIS_DATOS!$C$1490))-(CROQUIS_DATOS!$C$1489))+((CROQUIS_DATOS!$C$1476)*CROQUIS_DATOS!$C$1561-((CROQUIS_DATOS!$C$1491+CROQUIS_DATOS!$C$1492))*CROQUIS_DATOS!$C$1561))/CROQUIS_DATOS!$C$1568-0.000001))),2)=1,IF(INT(($A108-1)/2)+1&gt;MAX(1,INT(((((CROQUIS_DATOS!$C$1489+CROQUIS_DATOS!$C$1490))-(CROQUIS_DATOS!$C$1489))+((CROQUIS_DATOS!$C$1476)*CROQUIS_DATOS!$C$1561-((CROQUIS_DATOS!$C$1491+CROQUIS_DATOS!$C$1492))*CROQUIS_DATOS!$C$1561))/CROQUIS_DATOS!$C$1568-0.000001)),1,MOD($A108-1,2)),1-IF(INT(($A108-1)/2)+1&gt;MAX(1,INT(((((CROQUIS_DATOS!$C$1489+CROQUIS_DATOS!$C$1490))-(CROQUIS_DATOS!$C$1489))+((CROQUIS_DATOS!$C$1476)*CROQUIS_DATOS!$C$1561-((CROQUIS_DATOS!$C$1491+CROQUIS_DATOS!$C$1492))*CROQUIS_DATOS!$C$1561))/CROQUIS_DATOS!$C$1568-0.000001)),1,MOD($A108-1,2)))=1,MIN((CROQUIS_DATOS!$C$1476)*CROQUIS_DATOS!$C$1561,((CROQUIS_DATOS!$C$1489+CROQUIS_DATOS!$C$1490)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8">
        <f>IF(AND(CROQUIS_DATOS!$C$1472=1,CROQUIS_DATOS!$C$1478&gt;=4,((CROQUIS_DATOS!$C$1494+CROQUIS_DATOS!$C$1495))-(CROQUIS_DATOS!$C$1494)&gt;0.5,(CROQUIS_DATOS!$C$1496)-(0)&gt;0.5),(CROQUIS_DATOS!$C$1566+(IF(IF(MOD(MIN(INT(($A108-1)/2)+1,MAX(1,INT(((((CROQUIS_DATOS!$C$1494+CROQUIS_DATOS!$C$1495))-(CROQUIS_DATOS!$C$1494))+((CROQUIS_DATOS!$C$1496)*CROQUIS_DATOS!$C$1561-(0)*CROQUIS_DATOS!$C$1561))/CROQUIS_DATOS!$C$1568-0.000001))),2)=1,IF(INT(($A108-1)/2)+1&gt;MAX(1,INT(((((CROQUIS_DATOS!$C$1494+CROQUIS_DATOS!$C$1495))-(CROQUIS_DATOS!$C$1494))+((CROQUIS_DATOS!$C$1496)*CROQUIS_DATOS!$C$1561-(0)*CROQUIS_DATOS!$C$1561))/CROQUIS_DATOS!$C$1568-0.000001)),1,MOD($A108-1,2)),1-IF(INT(($A108-1)/2)+1&gt;MAX(1,INT(((((CROQUIS_DATOS!$C$1494+CROQUIS_DATOS!$C$1495))-(CROQUIS_DATOS!$C$1494))+((CROQUIS_DATOS!$C$1496)*CROQUIS_DATOS!$C$1561-(0)*CROQUIS_DATOS!$C$1561))/CROQUIS_DATOS!$C$1568-0.000001)),1,MOD($A108-1,2)))=1,MIN((CROQUIS_DATOS!$C$1496)*CROQUIS_DATOS!$C$1561,((CROQUIS_DATOS!$C$1494+CROQUIS_DATOS!$C$1495)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8">
        <f>IF(AND(CROQUIS_DATOS!$C$1472=1,CROQUIS_DATOS!$C$1478&gt;=4,((CROQUIS_DATOS!$C$1494+CROQUIS_DATOS!$C$1495))-(CROQUIS_DATOS!$C$1494)&gt;0.5,(CROQUIS_DATOS!$C$1496)-(0)&gt;0.5),(CROQUIS_DATOS!$C$1567+(IF(IF(MOD(MIN(INT(($A108-1)/2)+1,MAX(1,INT(((((CROQUIS_DATOS!$C$1494+CROQUIS_DATOS!$C$1495))-(CROQUIS_DATOS!$C$1494))+((CROQUIS_DATOS!$C$1496)*CROQUIS_DATOS!$C$1561-(0)*CROQUIS_DATOS!$C$1561))/CROQUIS_DATOS!$C$1568-0.000001))),2)=1,IF(INT(($A108-1)/2)+1&gt;MAX(1,INT(((((CROQUIS_DATOS!$C$1494+CROQUIS_DATOS!$C$1495))-(CROQUIS_DATOS!$C$1494))+((CROQUIS_DATOS!$C$1496)*CROQUIS_DATOS!$C$1561-(0)*CROQUIS_DATOS!$C$1561))/CROQUIS_DATOS!$C$1568-0.000001)),1,MOD($A108-1,2)),1-IF(INT(($A108-1)/2)+1&gt;MAX(1,INT(((((CROQUIS_DATOS!$C$1494+CROQUIS_DATOS!$C$1495))-(CROQUIS_DATOS!$C$1494))+((CROQUIS_DATOS!$C$1496)*CROQUIS_DATOS!$C$1561-(0)*CROQUIS_DATOS!$C$1561))/CROQUIS_DATOS!$C$1568-0.000001)),1,MOD($A108-1,2)))=1,MIN((CROQUIS_DATOS!$C$1496)*CROQUIS_DATOS!$C$1561,((CROQUIS_DATOS!$C$1494+CROQUIS_DATOS!$C$1495)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8">
        <f>IF(AND(CROQUIS_DATOS!$C$1472=1,CROQUIS_DATOS!$C$1478&gt;=4,((CROQUIS_DATOS!$C$1494+CROQUIS_DATOS!$C$1495))-(CROQUIS_DATOS!$C$1494)&gt;0.5,(CROQUIS_DATOS!$C$1476)-((CROQUIS_DATOS!$C$1496+CROQUIS_DATOS!$C$1497))&gt;0.5),(CROQUIS_DATOS!$C$1566+(IF(IF(MOD(MIN(INT(($A108-1)/2)+1,MAX(1,INT(((((CROQUIS_DATOS!$C$1494+CROQUIS_DATOS!$C$1495))-(CROQUIS_DATOS!$C$1494))+((CROQUIS_DATOS!$C$1476)*CROQUIS_DATOS!$C$1561-((CROQUIS_DATOS!$C$1496+CROQUIS_DATOS!$C$1497))*CROQUIS_DATOS!$C$1561))/CROQUIS_DATOS!$C$1568-0.000001))),2)=1,IF(INT(($A108-1)/2)+1&gt;MAX(1,INT(((((CROQUIS_DATOS!$C$1494+CROQUIS_DATOS!$C$1495))-(CROQUIS_DATOS!$C$1494))+((CROQUIS_DATOS!$C$1476)*CROQUIS_DATOS!$C$1561-((CROQUIS_DATOS!$C$1496+CROQUIS_DATOS!$C$1497))*CROQUIS_DATOS!$C$1561))/CROQUIS_DATOS!$C$1568-0.000001)),1,MOD($A108-1,2)),1-IF(INT(($A108-1)/2)+1&gt;MAX(1,INT(((((CROQUIS_DATOS!$C$1494+CROQUIS_DATOS!$C$1495))-(CROQUIS_DATOS!$C$1494))+((CROQUIS_DATOS!$C$1476)*CROQUIS_DATOS!$C$1561-((CROQUIS_DATOS!$C$1496+CROQUIS_DATOS!$C$1497))*CROQUIS_DATOS!$C$1561))/CROQUIS_DATOS!$C$1568-0.000001)),1,MOD($A108-1,2)))=1,MIN((CROQUIS_DATOS!$C$1476)*CROQUIS_DATOS!$C$1561,((CROQUIS_DATOS!$C$1494+CROQUIS_DATOS!$C$1495)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8">
        <f>IF(AND(CROQUIS_DATOS!$C$1472=1,CROQUIS_DATOS!$C$1478&gt;=4,((CROQUIS_DATOS!$C$1494+CROQUIS_DATOS!$C$1495))-(CROQUIS_DATOS!$C$1494)&gt;0.5,(CROQUIS_DATOS!$C$1476)-((CROQUIS_DATOS!$C$1496+CROQUIS_DATOS!$C$1497))&gt;0.5),(CROQUIS_DATOS!$C$1567+(IF(IF(MOD(MIN(INT(($A108-1)/2)+1,MAX(1,INT(((((CROQUIS_DATOS!$C$1494+CROQUIS_DATOS!$C$1495))-(CROQUIS_DATOS!$C$1494))+((CROQUIS_DATOS!$C$1476)*CROQUIS_DATOS!$C$1561-((CROQUIS_DATOS!$C$1496+CROQUIS_DATOS!$C$1497))*CROQUIS_DATOS!$C$1561))/CROQUIS_DATOS!$C$1568-0.000001))),2)=1,IF(INT(($A108-1)/2)+1&gt;MAX(1,INT(((((CROQUIS_DATOS!$C$1494+CROQUIS_DATOS!$C$1495))-(CROQUIS_DATOS!$C$1494))+((CROQUIS_DATOS!$C$1476)*CROQUIS_DATOS!$C$1561-((CROQUIS_DATOS!$C$1496+CROQUIS_DATOS!$C$1497))*CROQUIS_DATOS!$C$1561))/CROQUIS_DATOS!$C$1568-0.000001)),1,MOD($A108-1,2)),1-IF(INT(($A108-1)/2)+1&gt;MAX(1,INT(((((CROQUIS_DATOS!$C$1494+CROQUIS_DATOS!$C$1495))-(CROQUIS_DATOS!$C$1494))+((CROQUIS_DATOS!$C$1476)*CROQUIS_DATOS!$C$1561-((CROQUIS_DATOS!$C$1496+CROQUIS_DATOS!$C$1497))*CROQUIS_DATOS!$C$1561))/CROQUIS_DATOS!$C$1568-0.000001)),1,MOD($A108-1,2)))=1,MIN((CROQUIS_DATOS!$C$1476)*CROQUIS_DATOS!$C$1561,((CROQUIS_DATOS!$C$1494+CROQUIS_DATOS!$C$1495)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09">
      <c r="A109" t="n">
        <v>102</v>
      </c>
      <c r="N109">
        <f>IF(AND(CROQUIS_DATOS!$C$1472=1,1),(CROQUIS_DATOS!$C$1563+(IF(IF(IF(INT(($A109-1)/70)+1&gt;CROQUIS_DATOS!$C$1525,70,MOD($A109-1,70)+1)=1,0,IF(IF(INT(($A109-1)/70)+1&gt;CROQUIS_DATOS!$C$1525,70,MOD($A109-1,70)+1)&gt;2*CROQUIS_DATOS!$C$1541+1,IF(MOD(CROQUIS_DATOS!$C$1541,2)=1,1,0),IF(MOD(MIN(INT((IF(INT(($A109-1)/70)+1&gt;CROQUIS_DATOS!$C$1525,70,MOD($A109-1,70)+1)-2)/2)+1,CROQUIS_DATOS!$C$1541),2)=1,IF(MOD(IF(INT(($A109-1)/70)+1&gt;CROQUIS_DATOS!$C$1525,70,MOD($A109-1,70)+1)-2,2)=0,0,1),IF(MOD(IF(INT(($A109-1)/70)+1&gt;CROQUIS_DATOS!$C$1525,70,MOD($A109-1,70)+1)-2,2)=0,1,0))))=0,(INDEX($E$8:$E$23,MIN(INT(($A109-1)/70)+1,CROQUIS_DATOS!$C$1525))-INDEX($F$8:$F$23,MIN(INT(($A109-1)/70)+1,CROQUIS_DATOS!$C$1525))/2),(INDEX($E$8:$E$23,MIN(INT(($A109-1)/70)+1,CROQUIS_DATOS!$C$1525))+INDEX($F$8:$F$23,MIN(INT(($A109-1)/70)+1,CROQUIS_DATOS!$C$1525))/2)))*CROQUIS_DATOS!$C$1562),-1000)</f>
        <v>20.6724137931034</v>
      </c>
      <c r="O109">
        <f>IF(AND(CROQUIS_DATOS!$C$1472=1,1),(CROQUIS_DATOS!$C$1564+(IF(OR(IF(INT(($A109-1)/70)+1&gt;CROQUIS_DATOS!$C$1525,70,MOD($A109-1,70)+1)=1,IF(INT(($A109-1)/70)+1&gt;CROQUIS_DATOS!$C$1525,70,MOD($A109-1,70)+1)&gt;2*CROQUIS_DATOS!$C$1541+1),CROQUIS_DATOS!$C$1476,INDEX($H$8:$H$41,MIN(INT((IF(INT(($A109-1)/70)+1&gt;CROQUIS_DATOS!$C$1525,70,MOD($A109-1,70)+1)-2)/2)+1,CROQUIS_DATOS!$C$1541))))*CROQUIS_DATOS!$C$1561*CROQUIS_DATOS!$C$1562),-1000)</f>
        <v>37.0646551724138</v>
      </c>
      <c r="P109">
        <f>IF(AND(CROQUIS_DATOS!$C$1472=1,CROQUIS_DATOS!$C$1555=1),(CROQUIS_DATOS!$C$1563+(IF(IF(OR(MOD($A109-1,62)+1=1,IF(CHOOSE(MIN(MAX(MIN(INT(($A109-1)/62)+1,5),1),5),CROQUIS_DATOS!$C$1501,CROQUIS_DATOS!$C$1505,CROQUIS_DATOS!$C$1509,CROQUIS_DATOS!$C$1513,CROQUIS_DATOS!$C$1517)=1,CROQUIS_DATOS!$C$1557,0)=0),0,IF(MOD($A109-1,62)+1&gt;2*IF(CHOOSE(MIN(MAX(MIN(INT(($A109-1)/62)+1,5),1),5),CROQUIS_DATOS!$C$1501,CROQUIS_DATOS!$C$1505,CROQUIS_DATOS!$C$1509,CROQUIS_DATOS!$C$1513,CROQUIS_DATOS!$C$1517)=1,CROQUIS_DATOS!$C$1557,0)+1,IF(MOD(IF(CHOOSE(MIN(MAX(MIN(INT(($A109-1)/62)+1,5),1),5),CROQUIS_DATOS!$C$1501,CROQUIS_DATOS!$C$1505,CROQUIS_DATOS!$C$1509,CROQUIS_DATOS!$C$1513,CROQUIS_DATOS!$C$1517)=1,CROQUIS_DATOS!$C$1557,0),2)=1,1,0),IF(MOD(MIN(INT((MOD($A109-1,62)+1-2)/2)+1,MAX(IF(CHOOSE(MIN(MAX(MIN(INT(($A109-1)/62)+1,5),1),5),CROQUIS_DATOS!$C$1501,CROQUIS_DATOS!$C$1505,CROQUIS_DATOS!$C$1509,CROQUIS_DATOS!$C$1513,CROQUIS_DATOS!$C$1517)=1,CROQUIS_DATOS!$C$1557,0),1)),2)=1,IF(MOD(MOD($A109-1,62)+1-2,2)=0,0,1),IF(MOD(MOD($A109-1,62)+1-2,2)=0,1,0))))=0,(CHOOSE(MIN(MAX(MIN(INT(($A109-1)/62)+1,5),1),5),CROQUIS_DATOS!$C$1499,CROQUIS_DATOS!$C$1503,CROQUIS_DATOS!$C$1507,CROQUIS_DATOS!$C$1511,CROQUIS_DATOS!$C$1515)+IF(CHOOSE(MIN(MAX(MIN(INT(($A109-1)/62)+1,5),1),5),CROQUIS_DATOS!$C$1501,CROQUIS_DATOS!$C$1505,CROQUIS_DATOS!$C$1509,CROQUIS_DATOS!$C$1513,CROQUIS_DATOS!$C$1517)=1,CROQUIS_DATOS!$C$1526,0)),(CHOOSE(MIN(MAX(MIN(INT(($A109-1)/62)+1,5),1),5),CROQUIS_DATOS!$C$1499,CROQUIS_DATOS!$C$1503,CROQUIS_DATOS!$C$1507,CROQUIS_DATOS!$C$1511,CROQUIS_DATOS!$C$1515)+CHOOSE(MIN(MAX(MIN(INT(($A109-1)/62)+1,5),1),5),CROQUIS_DATOS!$C$1500,CROQUIS_DATOS!$C$1504,CROQUIS_DATOS!$C$1508,CROQUIS_DATOS!$C$1512,CROQUIS_DATOS!$C$1516)-IF(CHOOSE(MIN(MAX(MIN(INT(($A109-1)/62)+1,5),1),5),CROQUIS_DATOS!$C$1501,CROQUIS_DATOS!$C$1505,CROQUIS_DATOS!$C$1509,CROQUIS_DATOS!$C$1513,CROQUIS_DATOS!$C$1517)=1,CROQUIS_DATOS!$C$1526,0))))*CROQUIS_DATOS!$C$1562),-1000)</f>
        <v>-1000</v>
      </c>
      <c r="Q109">
        <f>IF(AND(CROQUIS_DATOS!$C$1472=1,CROQUIS_DATOS!$C$1555=1),(CROQUIS_DATOS!$C$1564+(IF(OR(OR(MOD($A109-1,62)+1=1,IF(CHOOSE(MIN(MAX(MIN(INT(($A109-1)/62)+1,5),1),5),CROQUIS_DATOS!$C$1501,CROQUIS_DATOS!$C$1505,CROQUIS_DATOS!$C$1509,CROQUIS_DATOS!$C$1513,CROQUIS_DATOS!$C$1517)=1,CROQUIS_DATOS!$C$1557,0)=0),MOD($A109-1,62)+1&gt;2*IF(CHOOSE(MIN(MAX(MIN(INT(($A109-1)/62)+1,5),1),5),CROQUIS_DATOS!$C$1501,CROQUIS_DATOS!$C$1505,CROQUIS_DATOS!$C$1509,CROQUIS_DATOS!$C$1513,CROQUIS_DATOS!$C$1517)=1,CROQUIS_DATOS!$C$1557,0)+1),CROQUIS_DATOS!$C$1476,MIN(INT((MOD($A109-1,62)+1-2)/2)+1,MAX(IF(CHOOSE(MIN(MAX(MIN(INT(($A109-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09">
        <f>IF(AND(CROQUIS_DATOS!$C$1472=1,1),(CROQUIS_DATOS!$C$1563+(MIN(INT(($A109-1)/2)+1,CROQUIS_DATOS!$C$1558)*CROQUIS_DATOS!$C$1559)*CROQUIS_DATOS!$C$1562),-1000)</f>
        <v>82.2281167108753</v>
      </c>
      <c r="U109">
        <f>IF(AND(CROQUIS_DATOS!$C$1472=1,1),(CROQUIS_DATOS!$C$1564+(IF(INT(($A109-1)/2)+1&gt;CROQUIS_DATOS!$C$1558,IF(MOD(CROQUIS_DATOS!$C$1558,2)=1,CROQUIS_DATOS!$C$1476+CROQUIS_DATOS!$C$1528,CROQUIS_DATOS!$C$1476),IF(IF(MOD(MIN(INT(($A109-1)/2)+1,CROQUIS_DATOS!$C$1558),2)=1,MOD($A109-1,2),1-MOD($A109-1,2))=1,CROQUIS_DATOS!$C$1476+CROQUIS_DATOS!$C$1528,CROQUIS_DATOS!$C$1476)))*CROQUIS_DATOS!$C$1561*CROQUIS_DATOS!$C$1562),-1000)</f>
        <v>43</v>
      </c>
      <c r="BZ109">
        <f>IF(AND(CROQUIS_DATOS!$C$1472=1,CROQUIS_DATOS!$C$1500&gt;0,((CROQUIS_DATOS!$C$1499+CROQUIS_DATOS!$C$1500))-(CROQUIS_DATOS!$C$1499)&gt;0.5,(CROQUIS_DATOS!$C$1476)-(0)&gt;0.5),(CROQUIS_DATOS!$C$1566+(IF(IF(MOD(MIN(INT(($A109-1)/2)+1,MAX(1,INT(((((CROQUIS_DATOS!$C$1499+CROQUIS_DATOS!$C$1500))-(CROQUIS_DATOS!$C$1499))+((CROQUIS_DATOS!$C$1476)*CROQUIS_DATOS!$C$1561-(0)*CROQUIS_DATOS!$C$1561))/CROQUIS_DATOS!$C$1568-0.000001))),2)=1,IF(INT(($A109-1)/2)+1&gt;MAX(1,INT(((((CROQUIS_DATOS!$C$1499+CROQUIS_DATOS!$C$1500))-(CROQUIS_DATOS!$C$1499))+((CROQUIS_DATOS!$C$1476)*CROQUIS_DATOS!$C$1561-(0)*CROQUIS_DATOS!$C$1561))/CROQUIS_DATOS!$C$1568-0.000001)),1,MOD($A109-1,2)),1-IF(INT(($A109-1)/2)+1&gt;MAX(1,INT(((((CROQUIS_DATOS!$C$1499+CROQUIS_DATOS!$C$1500))-(CROQUIS_DATOS!$C$1499))+((CROQUIS_DATOS!$C$1476)*CROQUIS_DATOS!$C$1561-(0)*CROQUIS_DATOS!$C$1561))/CROQUIS_DATOS!$C$1568-0.000001)),1,MOD($A109-1,2)))=1,MIN((CROQUIS_DATOS!$C$1476)*CROQUIS_DATOS!$C$1561,((CROQUIS_DATOS!$C$1499+CROQUIS_DATOS!$C$1500)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09">
        <f>IF(AND(CROQUIS_DATOS!$C$1472=1,CROQUIS_DATOS!$C$1500&gt;0,((CROQUIS_DATOS!$C$1499+CROQUIS_DATOS!$C$1500))-(CROQUIS_DATOS!$C$1499)&gt;0.5,(CROQUIS_DATOS!$C$1476)-(0)&gt;0.5),(CROQUIS_DATOS!$C$1567+(IF(IF(MOD(MIN(INT(($A109-1)/2)+1,MAX(1,INT(((((CROQUIS_DATOS!$C$1499+CROQUIS_DATOS!$C$1500))-(CROQUIS_DATOS!$C$1499))+((CROQUIS_DATOS!$C$1476)*CROQUIS_DATOS!$C$1561-(0)*CROQUIS_DATOS!$C$1561))/CROQUIS_DATOS!$C$1568-0.000001))),2)=1,IF(INT(($A109-1)/2)+1&gt;MAX(1,INT(((((CROQUIS_DATOS!$C$1499+CROQUIS_DATOS!$C$1500))-(CROQUIS_DATOS!$C$1499))+((CROQUIS_DATOS!$C$1476)*CROQUIS_DATOS!$C$1561-(0)*CROQUIS_DATOS!$C$1561))/CROQUIS_DATOS!$C$1568-0.000001)),1,MOD($A109-1,2)),1-IF(INT(($A109-1)/2)+1&gt;MAX(1,INT(((((CROQUIS_DATOS!$C$1499+CROQUIS_DATOS!$C$1500))-(CROQUIS_DATOS!$C$1499))+((CROQUIS_DATOS!$C$1476)*CROQUIS_DATOS!$C$1561-(0)*CROQUIS_DATOS!$C$1561))/CROQUIS_DATOS!$C$1568-0.000001)),1,MOD($A109-1,2)))=1,MIN((CROQUIS_DATOS!$C$1476)*CROQUIS_DATOS!$C$1561,((CROQUIS_DATOS!$C$1499+CROQUIS_DATOS!$C$1500)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109-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09">
        <f>IF(AND(CROQUIS_DATOS!$C$1472=1,CROQUIS_DATOS!$C$1504&gt;0,((CROQUIS_DATOS!$C$1503+CROQUIS_DATOS!$C$1504))-(CROQUIS_DATOS!$C$1503)&gt;0.5,(CROQUIS_DATOS!$C$1476)-(0)&gt;0.5),(CROQUIS_DATOS!$C$1566+(IF(IF(MOD(MIN(INT(($A109-1)/2)+1,MAX(1,INT(((((CROQUIS_DATOS!$C$1503+CROQUIS_DATOS!$C$1504))-(CROQUIS_DATOS!$C$1503))+((CROQUIS_DATOS!$C$1476)*CROQUIS_DATOS!$C$1561-(0)*CROQUIS_DATOS!$C$1561))/CROQUIS_DATOS!$C$1568-0.000001))),2)=1,IF(INT(($A109-1)/2)+1&gt;MAX(1,INT(((((CROQUIS_DATOS!$C$1503+CROQUIS_DATOS!$C$1504))-(CROQUIS_DATOS!$C$1503))+((CROQUIS_DATOS!$C$1476)*CROQUIS_DATOS!$C$1561-(0)*CROQUIS_DATOS!$C$1561))/CROQUIS_DATOS!$C$1568-0.000001)),1,MOD($A109-1,2)),1-IF(INT(($A109-1)/2)+1&gt;MAX(1,INT(((((CROQUIS_DATOS!$C$1503+CROQUIS_DATOS!$C$1504))-(CROQUIS_DATOS!$C$1503))+((CROQUIS_DATOS!$C$1476)*CROQUIS_DATOS!$C$1561-(0)*CROQUIS_DATOS!$C$1561))/CROQUIS_DATOS!$C$1568-0.000001)),1,MOD($A109-1,2)))=1,MIN((CROQUIS_DATOS!$C$1476)*CROQUIS_DATOS!$C$1561,((CROQUIS_DATOS!$C$1503+CROQUIS_DATOS!$C$1504)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09">
        <f>IF(AND(CROQUIS_DATOS!$C$1472=1,CROQUIS_DATOS!$C$1504&gt;0,((CROQUIS_DATOS!$C$1503+CROQUIS_DATOS!$C$1504))-(CROQUIS_DATOS!$C$1503)&gt;0.5,(CROQUIS_DATOS!$C$1476)-(0)&gt;0.5),(CROQUIS_DATOS!$C$1567+(IF(IF(MOD(MIN(INT(($A109-1)/2)+1,MAX(1,INT(((((CROQUIS_DATOS!$C$1503+CROQUIS_DATOS!$C$1504))-(CROQUIS_DATOS!$C$1503))+((CROQUIS_DATOS!$C$1476)*CROQUIS_DATOS!$C$1561-(0)*CROQUIS_DATOS!$C$1561))/CROQUIS_DATOS!$C$1568-0.000001))),2)=1,IF(INT(($A109-1)/2)+1&gt;MAX(1,INT(((((CROQUIS_DATOS!$C$1503+CROQUIS_DATOS!$C$1504))-(CROQUIS_DATOS!$C$1503))+((CROQUIS_DATOS!$C$1476)*CROQUIS_DATOS!$C$1561-(0)*CROQUIS_DATOS!$C$1561))/CROQUIS_DATOS!$C$1568-0.000001)),1,MOD($A109-1,2)),1-IF(INT(($A109-1)/2)+1&gt;MAX(1,INT(((((CROQUIS_DATOS!$C$1503+CROQUIS_DATOS!$C$1504))-(CROQUIS_DATOS!$C$1503))+((CROQUIS_DATOS!$C$1476)*CROQUIS_DATOS!$C$1561-(0)*CROQUIS_DATOS!$C$1561))/CROQUIS_DATOS!$C$1568-0.000001)),1,MOD($A109-1,2)))=1,MIN((CROQUIS_DATOS!$C$1476)*CROQUIS_DATOS!$C$1561,((CROQUIS_DATOS!$C$1503+CROQUIS_DATOS!$C$1504)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109-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09">
        <f>IF(AND(CROQUIS_DATOS!$C$1472=1,CROQUIS_DATOS!$C$1508&gt;0,((CROQUIS_DATOS!$C$1507+CROQUIS_DATOS!$C$1508))-(CROQUIS_DATOS!$C$1507)&gt;0.5,(CROQUIS_DATOS!$C$1476)-(0)&gt;0.5),(CROQUIS_DATOS!$C$1566+(IF(IF(MOD(MIN(INT(($A109-1)/2)+1,MAX(1,INT(((((CROQUIS_DATOS!$C$1507+CROQUIS_DATOS!$C$1508))-(CROQUIS_DATOS!$C$1507))+((CROQUIS_DATOS!$C$1476)*CROQUIS_DATOS!$C$1561-(0)*CROQUIS_DATOS!$C$1561))/CROQUIS_DATOS!$C$1568-0.000001))),2)=1,IF(INT(($A109-1)/2)+1&gt;MAX(1,INT(((((CROQUIS_DATOS!$C$1507+CROQUIS_DATOS!$C$1508))-(CROQUIS_DATOS!$C$1507))+((CROQUIS_DATOS!$C$1476)*CROQUIS_DATOS!$C$1561-(0)*CROQUIS_DATOS!$C$1561))/CROQUIS_DATOS!$C$1568-0.000001)),1,MOD($A109-1,2)),1-IF(INT(($A109-1)/2)+1&gt;MAX(1,INT(((((CROQUIS_DATOS!$C$1507+CROQUIS_DATOS!$C$1508))-(CROQUIS_DATOS!$C$1507))+((CROQUIS_DATOS!$C$1476)*CROQUIS_DATOS!$C$1561-(0)*CROQUIS_DATOS!$C$1561))/CROQUIS_DATOS!$C$1568-0.000001)),1,MOD($A109-1,2)))=1,MIN((CROQUIS_DATOS!$C$1476)*CROQUIS_DATOS!$C$1561,((CROQUIS_DATOS!$C$1507+CROQUIS_DATOS!$C$1508)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09">
        <f>IF(AND(CROQUIS_DATOS!$C$1472=1,CROQUIS_DATOS!$C$1508&gt;0,((CROQUIS_DATOS!$C$1507+CROQUIS_DATOS!$C$1508))-(CROQUIS_DATOS!$C$1507)&gt;0.5,(CROQUIS_DATOS!$C$1476)-(0)&gt;0.5),(CROQUIS_DATOS!$C$1567+(IF(IF(MOD(MIN(INT(($A109-1)/2)+1,MAX(1,INT(((((CROQUIS_DATOS!$C$1507+CROQUIS_DATOS!$C$1508))-(CROQUIS_DATOS!$C$1507))+((CROQUIS_DATOS!$C$1476)*CROQUIS_DATOS!$C$1561-(0)*CROQUIS_DATOS!$C$1561))/CROQUIS_DATOS!$C$1568-0.000001))),2)=1,IF(INT(($A109-1)/2)+1&gt;MAX(1,INT(((((CROQUIS_DATOS!$C$1507+CROQUIS_DATOS!$C$1508))-(CROQUIS_DATOS!$C$1507))+((CROQUIS_DATOS!$C$1476)*CROQUIS_DATOS!$C$1561-(0)*CROQUIS_DATOS!$C$1561))/CROQUIS_DATOS!$C$1568-0.000001)),1,MOD($A109-1,2)),1-IF(INT(($A109-1)/2)+1&gt;MAX(1,INT(((((CROQUIS_DATOS!$C$1507+CROQUIS_DATOS!$C$1508))-(CROQUIS_DATOS!$C$1507))+((CROQUIS_DATOS!$C$1476)*CROQUIS_DATOS!$C$1561-(0)*CROQUIS_DATOS!$C$1561))/CROQUIS_DATOS!$C$1568-0.000001)),1,MOD($A109-1,2)))=1,MIN((CROQUIS_DATOS!$C$1476)*CROQUIS_DATOS!$C$1561,((CROQUIS_DATOS!$C$1507+CROQUIS_DATOS!$C$1508)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109-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09">
        <f>IF(AND(CROQUIS_DATOS!$C$1472=1,CROQUIS_DATOS!$C$1512&gt;0,((CROQUIS_DATOS!$C$1511+CROQUIS_DATOS!$C$1512))-(CROQUIS_DATOS!$C$1511)&gt;0.5,(CROQUIS_DATOS!$C$1476)-(0)&gt;0.5),(CROQUIS_DATOS!$C$1566+(IF(IF(MOD(MIN(INT(($A109-1)/2)+1,MAX(1,INT(((((CROQUIS_DATOS!$C$1511+CROQUIS_DATOS!$C$1512))-(CROQUIS_DATOS!$C$1511))+((CROQUIS_DATOS!$C$1476)*CROQUIS_DATOS!$C$1561-(0)*CROQUIS_DATOS!$C$1561))/CROQUIS_DATOS!$C$1568-0.000001))),2)=1,IF(INT(($A109-1)/2)+1&gt;MAX(1,INT(((((CROQUIS_DATOS!$C$1511+CROQUIS_DATOS!$C$1512))-(CROQUIS_DATOS!$C$1511))+((CROQUIS_DATOS!$C$1476)*CROQUIS_DATOS!$C$1561-(0)*CROQUIS_DATOS!$C$1561))/CROQUIS_DATOS!$C$1568-0.000001)),1,MOD($A109-1,2)),1-IF(INT(($A109-1)/2)+1&gt;MAX(1,INT(((((CROQUIS_DATOS!$C$1511+CROQUIS_DATOS!$C$1512))-(CROQUIS_DATOS!$C$1511))+((CROQUIS_DATOS!$C$1476)*CROQUIS_DATOS!$C$1561-(0)*CROQUIS_DATOS!$C$1561))/CROQUIS_DATOS!$C$1568-0.000001)),1,MOD($A109-1,2)))=1,MIN((CROQUIS_DATOS!$C$1476)*CROQUIS_DATOS!$C$1561,((CROQUIS_DATOS!$C$1511+CROQUIS_DATOS!$C$1512)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09">
        <f>IF(AND(CROQUIS_DATOS!$C$1472=1,CROQUIS_DATOS!$C$1512&gt;0,((CROQUIS_DATOS!$C$1511+CROQUIS_DATOS!$C$1512))-(CROQUIS_DATOS!$C$1511)&gt;0.5,(CROQUIS_DATOS!$C$1476)-(0)&gt;0.5),(CROQUIS_DATOS!$C$1567+(IF(IF(MOD(MIN(INT(($A109-1)/2)+1,MAX(1,INT(((((CROQUIS_DATOS!$C$1511+CROQUIS_DATOS!$C$1512))-(CROQUIS_DATOS!$C$1511))+((CROQUIS_DATOS!$C$1476)*CROQUIS_DATOS!$C$1561-(0)*CROQUIS_DATOS!$C$1561))/CROQUIS_DATOS!$C$1568-0.000001))),2)=1,IF(INT(($A109-1)/2)+1&gt;MAX(1,INT(((((CROQUIS_DATOS!$C$1511+CROQUIS_DATOS!$C$1512))-(CROQUIS_DATOS!$C$1511))+((CROQUIS_DATOS!$C$1476)*CROQUIS_DATOS!$C$1561-(0)*CROQUIS_DATOS!$C$1561))/CROQUIS_DATOS!$C$1568-0.000001)),1,MOD($A109-1,2)),1-IF(INT(($A109-1)/2)+1&gt;MAX(1,INT(((((CROQUIS_DATOS!$C$1511+CROQUIS_DATOS!$C$1512))-(CROQUIS_DATOS!$C$1511))+((CROQUIS_DATOS!$C$1476)*CROQUIS_DATOS!$C$1561-(0)*CROQUIS_DATOS!$C$1561))/CROQUIS_DATOS!$C$1568-0.000001)),1,MOD($A109-1,2)))=1,MIN((CROQUIS_DATOS!$C$1476)*CROQUIS_DATOS!$C$1561,((CROQUIS_DATOS!$C$1511+CROQUIS_DATOS!$C$1512)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109-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09">
        <f>IF(AND(CROQUIS_DATOS!$C$1472=1,CROQUIS_DATOS!$C$1516&gt;0,((CROQUIS_DATOS!$C$1515+CROQUIS_DATOS!$C$1516))-(CROQUIS_DATOS!$C$1515)&gt;0.5,(CROQUIS_DATOS!$C$1476)-(0)&gt;0.5),(CROQUIS_DATOS!$C$1566+(IF(IF(MOD(MIN(INT(($A109-1)/2)+1,MAX(1,INT(((((CROQUIS_DATOS!$C$1515+CROQUIS_DATOS!$C$1516))-(CROQUIS_DATOS!$C$1515))+((CROQUIS_DATOS!$C$1476)*CROQUIS_DATOS!$C$1561-(0)*CROQUIS_DATOS!$C$1561))/CROQUIS_DATOS!$C$1568-0.000001))),2)=1,IF(INT(($A109-1)/2)+1&gt;MAX(1,INT(((((CROQUIS_DATOS!$C$1515+CROQUIS_DATOS!$C$1516))-(CROQUIS_DATOS!$C$1515))+((CROQUIS_DATOS!$C$1476)*CROQUIS_DATOS!$C$1561-(0)*CROQUIS_DATOS!$C$1561))/CROQUIS_DATOS!$C$1568-0.000001)),1,MOD($A109-1,2)),1-IF(INT(($A109-1)/2)+1&gt;MAX(1,INT(((((CROQUIS_DATOS!$C$1515+CROQUIS_DATOS!$C$1516))-(CROQUIS_DATOS!$C$1515))+((CROQUIS_DATOS!$C$1476)*CROQUIS_DATOS!$C$1561-(0)*CROQUIS_DATOS!$C$1561))/CROQUIS_DATOS!$C$1568-0.000001)),1,MOD($A109-1,2)))=1,MIN((CROQUIS_DATOS!$C$1476)*CROQUIS_DATOS!$C$1561,((CROQUIS_DATOS!$C$1515+CROQUIS_DATOS!$C$1516)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09">
        <f>IF(AND(CROQUIS_DATOS!$C$1472=1,CROQUIS_DATOS!$C$1516&gt;0,((CROQUIS_DATOS!$C$1515+CROQUIS_DATOS!$C$1516))-(CROQUIS_DATOS!$C$1515)&gt;0.5,(CROQUIS_DATOS!$C$1476)-(0)&gt;0.5),(CROQUIS_DATOS!$C$1567+(IF(IF(MOD(MIN(INT(($A109-1)/2)+1,MAX(1,INT(((((CROQUIS_DATOS!$C$1515+CROQUIS_DATOS!$C$1516))-(CROQUIS_DATOS!$C$1515))+((CROQUIS_DATOS!$C$1476)*CROQUIS_DATOS!$C$1561-(0)*CROQUIS_DATOS!$C$1561))/CROQUIS_DATOS!$C$1568-0.000001))),2)=1,IF(INT(($A109-1)/2)+1&gt;MAX(1,INT(((((CROQUIS_DATOS!$C$1515+CROQUIS_DATOS!$C$1516))-(CROQUIS_DATOS!$C$1515))+((CROQUIS_DATOS!$C$1476)*CROQUIS_DATOS!$C$1561-(0)*CROQUIS_DATOS!$C$1561))/CROQUIS_DATOS!$C$1568-0.000001)),1,MOD($A109-1,2)),1-IF(INT(($A109-1)/2)+1&gt;MAX(1,INT(((((CROQUIS_DATOS!$C$1515+CROQUIS_DATOS!$C$1516))-(CROQUIS_DATOS!$C$1515))+((CROQUIS_DATOS!$C$1476)*CROQUIS_DATOS!$C$1561-(0)*CROQUIS_DATOS!$C$1561))/CROQUIS_DATOS!$C$1568-0.000001)),1,MOD($A109-1,2)))=1,MIN((CROQUIS_DATOS!$C$1476)*CROQUIS_DATOS!$C$1561,((CROQUIS_DATOS!$C$1515+CROQUIS_DATOS!$C$1516)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109-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09">
        <f>IF(AND(CROQUIS_DATOS!$C$1472=1,CROQUIS_DATOS!$C$1478&gt;=1,((CROQUIS_DATOS!$C$1479+CROQUIS_DATOS!$C$1480))-(CROQUIS_DATOS!$C$1479)&gt;0.5,(CROQUIS_DATOS!$C$1481)-(0)&gt;0.5),(CROQUIS_DATOS!$C$1566+(IF(IF(MOD(MIN(INT(($A109-1)/2)+1,MAX(1,INT(((((CROQUIS_DATOS!$C$1479+CROQUIS_DATOS!$C$1480))-(CROQUIS_DATOS!$C$1479))+((CROQUIS_DATOS!$C$1481)*CROQUIS_DATOS!$C$1561-(0)*CROQUIS_DATOS!$C$1561))/CROQUIS_DATOS!$C$1568-0.000001))),2)=1,IF(INT(($A109-1)/2)+1&gt;MAX(1,INT(((((CROQUIS_DATOS!$C$1479+CROQUIS_DATOS!$C$1480))-(CROQUIS_DATOS!$C$1479))+((CROQUIS_DATOS!$C$1481)*CROQUIS_DATOS!$C$1561-(0)*CROQUIS_DATOS!$C$1561))/CROQUIS_DATOS!$C$1568-0.000001)),1,MOD($A109-1,2)),1-IF(INT(($A109-1)/2)+1&gt;MAX(1,INT(((((CROQUIS_DATOS!$C$1479+CROQUIS_DATOS!$C$1480))-(CROQUIS_DATOS!$C$1479))+((CROQUIS_DATOS!$C$1481)*CROQUIS_DATOS!$C$1561-(0)*CROQUIS_DATOS!$C$1561))/CROQUIS_DATOS!$C$1568-0.000001)),1,MOD($A109-1,2)))=1,MIN((CROQUIS_DATOS!$C$1481)*CROQUIS_DATOS!$C$1561,((CROQUIS_DATOS!$C$1479+CROQUIS_DATOS!$C$1480)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09">
        <f>IF(AND(CROQUIS_DATOS!$C$1472=1,CROQUIS_DATOS!$C$1478&gt;=1,((CROQUIS_DATOS!$C$1479+CROQUIS_DATOS!$C$1480))-(CROQUIS_DATOS!$C$1479)&gt;0.5,(CROQUIS_DATOS!$C$1481)-(0)&gt;0.5),(CROQUIS_DATOS!$C$1567+(IF(IF(MOD(MIN(INT(($A109-1)/2)+1,MAX(1,INT(((((CROQUIS_DATOS!$C$1479+CROQUIS_DATOS!$C$1480))-(CROQUIS_DATOS!$C$1479))+((CROQUIS_DATOS!$C$1481)*CROQUIS_DATOS!$C$1561-(0)*CROQUIS_DATOS!$C$1561))/CROQUIS_DATOS!$C$1568-0.000001))),2)=1,IF(INT(($A109-1)/2)+1&gt;MAX(1,INT(((((CROQUIS_DATOS!$C$1479+CROQUIS_DATOS!$C$1480))-(CROQUIS_DATOS!$C$1479))+((CROQUIS_DATOS!$C$1481)*CROQUIS_DATOS!$C$1561-(0)*CROQUIS_DATOS!$C$1561))/CROQUIS_DATOS!$C$1568-0.000001)),1,MOD($A109-1,2)),1-IF(INT(($A109-1)/2)+1&gt;MAX(1,INT(((((CROQUIS_DATOS!$C$1479+CROQUIS_DATOS!$C$1480))-(CROQUIS_DATOS!$C$1479))+((CROQUIS_DATOS!$C$1481)*CROQUIS_DATOS!$C$1561-(0)*CROQUIS_DATOS!$C$1561))/CROQUIS_DATOS!$C$1568-0.000001)),1,MOD($A109-1,2)))=1,MIN((CROQUIS_DATOS!$C$1481)*CROQUIS_DATOS!$C$1561,((CROQUIS_DATOS!$C$1479+CROQUIS_DATOS!$C$1480)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109-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09">
        <f>IF(AND(CROQUIS_DATOS!$C$1472=1,CROQUIS_DATOS!$C$1478&gt;=1,((CROQUIS_DATOS!$C$1479+CROQUIS_DATOS!$C$1480))-(CROQUIS_DATOS!$C$1479)&gt;0.5,(CROQUIS_DATOS!$C$1476)-((CROQUIS_DATOS!$C$1481+CROQUIS_DATOS!$C$1482))&gt;0.5),(CROQUIS_DATOS!$C$1566+(IF(IF(MOD(MIN(INT(($A109-1)/2)+1,MAX(1,INT(((((CROQUIS_DATOS!$C$1479+CROQUIS_DATOS!$C$1480))-(CROQUIS_DATOS!$C$1479))+((CROQUIS_DATOS!$C$1476)*CROQUIS_DATOS!$C$1561-((CROQUIS_DATOS!$C$1481+CROQUIS_DATOS!$C$1482))*CROQUIS_DATOS!$C$1561))/CROQUIS_DATOS!$C$1568-0.000001))),2)=1,IF(INT(($A109-1)/2)+1&gt;MAX(1,INT(((((CROQUIS_DATOS!$C$1479+CROQUIS_DATOS!$C$1480))-(CROQUIS_DATOS!$C$1479))+((CROQUIS_DATOS!$C$1476)*CROQUIS_DATOS!$C$1561-((CROQUIS_DATOS!$C$1481+CROQUIS_DATOS!$C$1482))*CROQUIS_DATOS!$C$1561))/CROQUIS_DATOS!$C$1568-0.000001)),1,MOD($A109-1,2)),1-IF(INT(($A109-1)/2)+1&gt;MAX(1,INT(((((CROQUIS_DATOS!$C$1479+CROQUIS_DATOS!$C$1480))-(CROQUIS_DATOS!$C$1479))+((CROQUIS_DATOS!$C$1476)*CROQUIS_DATOS!$C$1561-((CROQUIS_DATOS!$C$1481+CROQUIS_DATOS!$C$1482))*CROQUIS_DATOS!$C$1561))/CROQUIS_DATOS!$C$1568-0.000001)),1,MOD($A109-1,2)))=1,MIN((CROQUIS_DATOS!$C$1476)*CROQUIS_DATOS!$C$1561,((CROQUIS_DATOS!$C$1479+CROQUIS_DATOS!$C$1480)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09">
        <f>IF(AND(CROQUIS_DATOS!$C$1472=1,CROQUIS_DATOS!$C$1478&gt;=1,((CROQUIS_DATOS!$C$1479+CROQUIS_DATOS!$C$1480))-(CROQUIS_DATOS!$C$1479)&gt;0.5,(CROQUIS_DATOS!$C$1476)-((CROQUIS_DATOS!$C$1481+CROQUIS_DATOS!$C$1482))&gt;0.5),(CROQUIS_DATOS!$C$1567+(IF(IF(MOD(MIN(INT(($A109-1)/2)+1,MAX(1,INT(((((CROQUIS_DATOS!$C$1479+CROQUIS_DATOS!$C$1480))-(CROQUIS_DATOS!$C$1479))+((CROQUIS_DATOS!$C$1476)*CROQUIS_DATOS!$C$1561-((CROQUIS_DATOS!$C$1481+CROQUIS_DATOS!$C$1482))*CROQUIS_DATOS!$C$1561))/CROQUIS_DATOS!$C$1568-0.000001))),2)=1,IF(INT(($A109-1)/2)+1&gt;MAX(1,INT(((((CROQUIS_DATOS!$C$1479+CROQUIS_DATOS!$C$1480))-(CROQUIS_DATOS!$C$1479))+((CROQUIS_DATOS!$C$1476)*CROQUIS_DATOS!$C$1561-((CROQUIS_DATOS!$C$1481+CROQUIS_DATOS!$C$1482))*CROQUIS_DATOS!$C$1561))/CROQUIS_DATOS!$C$1568-0.000001)),1,MOD($A109-1,2)),1-IF(INT(($A109-1)/2)+1&gt;MAX(1,INT(((((CROQUIS_DATOS!$C$1479+CROQUIS_DATOS!$C$1480))-(CROQUIS_DATOS!$C$1479))+((CROQUIS_DATOS!$C$1476)*CROQUIS_DATOS!$C$1561-((CROQUIS_DATOS!$C$1481+CROQUIS_DATOS!$C$1482))*CROQUIS_DATOS!$C$1561))/CROQUIS_DATOS!$C$1568-0.000001)),1,MOD($A109-1,2)))=1,MIN((CROQUIS_DATOS!$C$1476)*CROQUIS_DATOS!$C$1561,((CROQUIS_DATOS!$C$1479+CROQUIS_DATOS!$C$1480)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109-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09">
        <f>IF(AND(CROQUIS_DATOS!$C$1472=1,CROQUIS_DATOS!$C$1478&gt;=2,((CROQUIS_DATOS!$C$1484+CROQUIS_DATOS!$C$1485))-(CROQUIS_DATOS!$C$1484)&gt;0.5,(CROQUIS_DATOS!$C$1486)-(0)&gt;0.5),(CROQUIS_DATOS!$C$1566+(IF(IF(MOD(MIN(INT(($A109-1)/2)+1,MAX(1,INT(((((CROQUIS_DATOS!$C$1484+CROQUIS_DATOS!$C$1485))-(CROQUIS_DATOS!$C$1484))+((CROQUIS_DATOS!$C$1486)*CROQUIS_DATOS!$C$1561-(0)*CROQUIS_DATOS!$C$1561))/CROQUIS_DATOS!$C$1568-0.000001))),2)=1,IF(INT(($A109-1)/2)+1&gt;MAX(1,INT(((((CROQUIS_DATOS!$C$1484+CROQUIS_DATOS!$C$1485))-(CROQUIS_DATOS!$C$1484))+((CROQUIS_DATOS!$C$1486)*CROQUIS_DATOS!$C$1561-(0)*CROQUIS_DATOS!$C$1561))/CROQUIS_DATOS!$C$1568-0.000001)),1,MOD($A109-1,2)),1-IF(INT(($A109-1)/2)+1&gt;MAX(1,INT(((((CROQUIS_DATOS!$C$1484+CROQUIS_DATOS!$C$1485))-(CROQUIS_DATOS!$C$1484))+((CROQUIS_DATOS!$C$1486)*CROQUIS_DATOS!$C$1561-(0)*CROQUIS_DATOS!$C$1561))/CROQUIS_DATOS!$C$1568-0.000001)),1,MOD($A109-1,2)))=1,MIN((CROQUIS_DATOS!$C$1486)*CROQUIS_DATOS!$C$1561,((CROQUIS_DATOS!$C$1484+CROQUIS_DATOS!$C$1485)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09">
        <f>IF(AND(CROQUIS_DATOS!$C$1472=1,CROQUIS_DATOS!$C$1478&gt;=2,((CROQUIS_DATOS!$C$1484+CROQUIS_DATOS!$C$1485))-(CROQUIS_DATOS!$C$1484)&gt;0.5,(CROQUIS_DATOS!$C$1486)-(0)&gt;0.5),(CROQUIS_DATOS!$C$1567+(IF(IF(MOD(MIN(INT(($A109-1)/2)+1,MAX(1,INT(((((CROQUIS_DATOS!$C$1484+CROQUIS_DATOS!$C$1485))-(CROQUIS_DATOS!$C$1484))+((CROQUIS_DATOS!$C$1486)*CROQUIS_DATOS!$C$1561-(0)*CROQUIS_DATOS!$C$1561))/CROQUIS_DATOS!$C$1568-0.000001))),2)=1,IF(INT(($A109-1)/2)+1&gt;MAX(1,INT(((((CROQUIS_DATOS!$C$1484+CROQUIS_DATOS!$C$1485))-(CROQUIS_DATOS!$C$1484))+((CROQUIS_DATOS!$C$1486)*CROQUIS_DATOS!$C$1561-(0)*CROQUIS_DATOS!$C$1561))/CROQUIS_DATOS!$C$1568-0.000001)),1,MOD($A109-1,2)),1-IF(INT(($A109-1)/2)+1&gt;MAX(1,INT(((((CROQUIS_DATOS!$C$1484+CROQUIS_DATOS!$C$1485))-(CROQUIS_DATOS!$C$1484))+((CROQUIS_DATOS!$C$1486)*CROQUIS_DATOS!$C$1561-(0)*CROQUIS_DATOS!$C$1561))/CROQUIS_DATOS!$C$1568-0.000001)),1,MOD($A109-1,2)))=1,MIN((CROQUIS_DATOS!$C$1486)*CROQUIS_DATOS!$C$1561,((CROQUIS_DATOS!$C$1484+CROQUIS_DATOS!$C$1485)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109-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09">
        <f>IF(AND(CROQUIS_DATOS!$C$1472=1,CROQUIS_DATOS!$C$1478&gt;=2,((CROQUIS_DATOS!$C$1484+CROQUIS_DATOS!$C$1485))-(CROQUIS_DATOS!$C$1484)&gt;0.5,(CROQUIS_DATOS!$C$1476)-((CROQUIS_DATOS!$C$1486+CROQUIS_DATOS!$C$1487))&gt;0.5),(CROQUIS_DATOS!$C$1566+(IF(IF(MOD(MIN(INT(($A109-1)/2)+1,MAX(1,INT(((((CROQUIS_DATOS!$C$1484+CROQUIS_DATOS!$C$1485))-(CROQUIS_DATOS!$C$1484))+((CROQUIS_DATOS!$C$1476)*CROQUIS_DATOS!$C$1561-((CROQUIS_DATOS!$C$1486+CROQUIS_DATOS!$C$1487))*CROQUIS_DATOS!$C$1561))/CROQUIS_DATOS!$C$1568-0.000001))),2)=1,IF(INT(($A109-1)/2)+1&gt;MAX(1,INT(((((CROQUIS_DATOS!$C$1484+CROQUIS_DATOS!$C$1485))-(CROQUIS_DATOS!$C$1484))+((CROQUIS_DATOS!$C$1476)*CROQUIS_DATOS!$C$1561-((CROQUIS_DATOS!$C$1486+CROQUIS_DATOS!$C$1487))*CROQUIS_DATOS!$C$1561))/CROQUIS_DATOS!$C$1568-0.000001)),1,MOD($A109-1,2)),1-IF(INT(($A109-1)/2)+1&gt;MAX(1,INT(((((CROQUIS_DATOS!$C$1484+CROQUIS_DATOS!$C$1485))-(CROQUIS_DATOS!$C$1484))+((CROQUIS_DATOS!$C$1476)*CROQUIS_DATOS!$C$1561-((CROQUIS_DATOS!$C$1486+CROQUIS_DATOS!$C$1487))*CROQUIS_DATOS!$C$1561))/CROQUIS_DATOS!$C$1568-0.000001)),1,MOD($A109-1,2)))=1,MIN((CROQUIS_DATOS!$C$1476)*CROQUIS_DATOS!$C$1561,((CROQUIS_DATOS!$C$1484+CROQUIS_DATOS!$C$1485)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09">
        <f>IF(AND(CROQUIS_DATOS!$C$1472=1,CROQUIS_DATOS!$C$1478&gt;=2,((CROQUIS_DATOS!$C$1484+CROQUIS_DATOS!$C$1485))-(CROQUIS_DATOS!$C$1484)&gt;0.5,(CROQUIS_DATOS!$C$1476)-((CROQUIS_DATOS!$C$1486+CROQUIS_DATOS!$C$1487))&gt;0.5),(CROQUIS_DATOS!$C$1567+(IF(IF(MOD(MIN(INT(($A109-1)/2)+1,MAX(1,INT(((((CROQUIS_DATOS!$C$1484+CROQUIS_DATOS!$C$1485))-(CROQUIS_DATOS!$C$1484))+((CROQUIS_DATOS!$C$1476)*CROQUIS_DATOS!$C$1561-((CROQUIS_DATOS!$C$1486+CROQUIS_DATOS!$C$1487))*CROQUIS_DATOS!$C$1561))/CROQUIS_DATOS!$C$1568-0.000001))),2)=1,IF(INT(($A109-1)/2)+1&gt;MAX(1,INT(((((CROQUIS_DATOS!$C$1484+CROQUIS_DATOS!$C$1485))-(CROQUIS_DATOS!$C$1484))+((CROQUIS_DATOS!$C$1476)*CROQUIS_DATOS!$C$1561-((CROQUIS_DATOS!$C$1486+CROQUIS_DATOS!$C$1487))*CROQUIS_DATOS!$C$1561))/CROQUIS_DATOS!$C$1568-0.000001)),1,MOD($A109-1,2)),1-IF(INT(($A109-1)/2)+1&gt;MAX(1,INT(((((CROQUIS_DATOS!$C$1484+CROQUIS_DATOS!$C$1485))-(CROQUIS_DATOS!$C$1484))+((CROQUIS_DATOS!$C$1476)*CROQUIS_DATOS!$C$1561-((CROQUIS_DATOS!$C$1486+CROQUIS_DATOS!$C$1487))*CROQUIS_DATOS!$C$1561))/CROQUIS_DATOS!$C$1568-0.000001)),1,MOD($A109-1,2)))=1,MIN((CROQUIS_DATOS!$C$1476)*CROQUIS_DATOS!$C$1561,((CROQUIS_DATOS!$C$1484+CROQUIS_DATOS!$C$1485)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109-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09">
        <f>IF(AND(CROQUIS_DATOS!$C$1472=1,CROQUIS_DATOS!$C$1478&gt;=3,((CROQUIS_DATOS!$C$1489+CROQUIS_DATOS!$C$1490))-(CROQUIS_DATOS!$C$1489)&gt;0.5,(CROQUIS_DATOS!$C$1491)-(0)&gt;0.5),(CROQUIS_DATOS!$C$1566+(IF(IF(MOD(MIN(INT(($A109-1)/2)+1,MAX(1,INT(((((CROQUIS_DATOS!$C$1489+CROQUIS_DATOS!$C$1490))-(CROQUIS_DATOS!$C$1489))+((CROQUIS_DATOS!$C$1491)*CROQUIS_DATOS!$C$1561-(0)*CROQUIS_DATOS!$C$1561))/CROQUIS_DATOS!$C$1568-0.000001))),2)=1,IF(INT(($A109-1)/2)+1&gt;MAX(1,INT(((((CROQUIS_DATOS!$C$1489+CROQUIS_DATOS!$C$1490))-(CROQUIS_DATOS!$C$1489))+((CROQUIS_DATOS!$C$1491)*CROQUIS_DATOS!$C$1561-(0)*CROQUIS_DATOS!$C$1561))/CROQUIS_DATOS!$C$1568-0.000001)),1,MOD($A109-1,2)),1-IF(INT(($A109-1)/2)+1&gt;MAX(1,INT(((((CROQUIS_DATOS!$C$1489+CROQUIS_DATOS!$C$1490))-(CROQUIS_DATOS!$C$1489))+((CROQUIS_DATOS!$C$1491)*CROQUIS_DATOS!$C$1561-(0)*CROQUIS_DATOS!$C$1561))/CROQUIS_DATOS!$C$1568-0.000001)),1,MOD($A109-1,2)))=1,MIN((CROQUIS_DATOS!$C$1491)*CROQUIS_DATOS!$C$1561,((CROQUIS_DATOS!$C$1489+CROQUIS_DATOS!$C$1490)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09">
        <f>IF(AND(CROQUIS_DATOS!$C$1472=1,CROQUIS_DATOS!$C$1478&gt;=3,((CROQUIS_DATOS!$C$1489+CROQUIS_DATOS!$C$1490))-(CROQUIS_DATOS!$C$1489)&gt;0.5,(CROQUIS_DATOS!$C$1491)-(0)&gt;0.5),(CROQUIS_DATOS!$C$1567+(IF(IF(MOD(MIN(INT(($A109-1)/2)+1,MAX(1,INT(((((CROQUIS_DATOS!$C$1489+CROQUIS_DATOS!$C$1490))-(CROQUIS_DATOS!$C$1489))+((CROQUIS_DATOS!$C$1491)*CROQUIS_DATOS!$C$1561-(0)*CROQUIS_DATOS!$C$1561))/CROQUIS_DATOS!$C$1568-0.000001))),2)=1,IF(INT(($A109-1)/2)+1&gt;MAX(1,INT(((((CROQUIS_DATOS!$C$1489+CROQUIS_DATOS!$C$1490))-(CROQUIS_DATOS!$C$1489))+((CROQUIS_DATOS!$C$1491)*CROQUIS_DATOS!$C$1561-(0)*CROQUIS_DATOS!$C$1561))/CROQUIS_DATOS!$C$1568-0.000001)),1,MOD($A109-1,2)),1-IF(INT(($A109-1)/2)+1&gt;MAX(1,INT(((((CROQUIS_DATOS!$C$1489+CROQUIS_DATOS!$C$1490))-(CROQUIS_DATOS!$C$1489))+((CROQUIS_DATOS!$C$1491)*CROQUIS_DATOS!$C$1561-(0)*CROQUIS_DATOS!$C$1561))/CROQUIS_DATOS!$C$1568-0.000001)),1,MOD($A109-1,2)))=1,MIN((CROQUIS_DATOS!$C$1491)*CROQUIS_DATOS!$C$1561,((CROQUIS_DATOS!$C$1489+CROQUIS_DATOS!$C$1490)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109-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09">
        <f>IF(AND(CROQUIS_DATOS!$C$1472=1,CROQUIS_DATOS!$C$1478&gt;=3,((CROQUIS_DATOS!$C$1489+CROQUIS_DATOS!$C$1490))-(CROQUIS_DATOS!$C$1489)&gt;0.5,(CROQUIS_DATOS!$C$1476)-((CROQUIS_DATOS!$C$1491+CROQUIS_DATOS!$C$1492))&gt;0.5),(CROQUIS_DATOS!$C$1566+(IF(IF(MOD(MIN(INT(($A109-1)/2)+1,MAX(1,INT(((((CROQUIS_DATOS!$C$1489+CROQUIS_DATOS!$C$1490))-(CROQUIS_DATOS!$C$1489))+((CROQUIS_DATOS!$C$1476)*CROQUIS_DATOS!$C$1561-((CROQUIS_DATOS!$C$1491+CROQUIS_DATOS!$C$1492))*CROQUIS_DATOS!$C$1561))/CROQUIS_DATOS!$C$1568-0.000001))),2)=1,IF(INT(($A109-1)/2)+1&gt;MAX(1,INT(((((CROQUIS_DATOS!$C$1489+CROQUIS_DATOS!$C$1490))-(CROQUIS_DATOS!$C$1489))+((CROQUIS_DATOS!$C$1476)*CROQUIS_DATOS!$C$1561-((CROQUIS_DATOS!$C$1491+CROQUIS_DATOS!$C$1492))*CROQUIS_DATOS!$C$1561))/CROQUIS_DATOS!$C$1568-0.000001)),1,MOD($A109-1,2)),1-IF(INT(($A109-1)/2)+1&gt;MAX(1,INT(((((CROQUIS_DATOS!$C$1489+CROQUIS_DATOS!$C$1490))-(CROQUIS_DATOS!$C$1489))+((CROQUIS_DATOS!$C$1476)*CROQUIS_DATOS!$C$1561-((CROQUIS_DATOS!$C$1491+CROQUIS_DATOS!$C$1492))*CROQUIS_DATOS!$C$1561))/CROQUIS_DATOS!$C$1568-0.000001)),1,MOD($A109-1,2)))=1,MIN((CROQUIS_DATOS!$C$1476)*CROQUIS_DATOS!$C$1561,((CROQUIS_DATOS!$C$1489+CROQUIS_DATOS!$C$1490)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09">
        <f>IF(AND(CROQUIS_DATOS!$C$1472=1,CROQUIS_DATOS!$C$1478&gt;=3,((CROQUIS_DATOS!$C$1489+CROQUIS_DATOS!$C$1490))-(CROQUIS_DATOS!$C$1489)&gt;0.5,(CROQUIS_DATOS!$C$1476)-((CROQUIS_DATOS!$C$1491+CROQUIS_DATOS!$C$1492))&gt;0.5),(CROQUIS_DATOS!$C$1567+(IF(IF(MOD(MIN(INT(($A109-1)/2)+1,MAX(1,INT(((((CROQUIS_DATOS!$C$1489+CROQUIS_DATOS!$C$1490))-(CROQUIS_DATOS!$C$1489))+((CROQUIS_DATOS!$C$1476)*CROQUIS_DATOS!$C$1561-((CROQUIS_DATOS!$C$1491+CROQUIS_DATOS!$C$1492))*CROQUIS_DATOS!$C$1561))/CROQUIS_DATOS!$C$1568-0.000001))),2)=1,IF(INT(($A109-1)/2)+1&gt;MAX(1,INT(((((CROQUIS_DATOS!$C$1489+CROQUIS_DATOS!$C$1490))-(CROQUIS_DATOS!$C$1489))+((CROQUIS_DATOS!$C$1476)*CROQUIS_DATOS!$C$1561-((CROQUIS_DATOS!$C$1491+CROQUIS_DATOS!$C$1492))*CROQUIS_DATOS!$C$1561))/CROQUIS_DATOS!$C$1568-0.000001)),1,MOD($A109-1,2)),1-IF(INT(($A109-1)/2)+1&gt;MAX(1,INT(((((CROQUIS_DATOS!$C$1489+CROQUIS_DATOS!$C$1490))-(CROQUIS_DATOS!$C$1489))+((CROQUIS_DATOS!$C$1476)*CROQUIS_DATOS!$C$1561-((CROQUIS_DATOS!$C$1491+CROQUIS_DATOS!$C$1492))*CROQUIS_DATOS!$C$1561))/CROQUIS_DATOS!$C$1568-0.000001)),1,MOD($A109-1,2)))=1,MIN((CROQUIS_DATOS!$C$1476)*CROQUIS_DATOS!$C$1561,((CROQUIS_DATOS!$C$1489+CROQUIS_DATOS!$C$1490)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109-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09">
        <f>IF(AND(CROQUIS_DATOS!$C$1472=1,CROQUIS_DATOS!$C$1478&gt;=4,((CROQUIS_DATOS!$C$1494+CROQUIS_DATOS!$C$1495))-(CROQUIS_DATOS!$C$1494)&gt;0.5,(CROQUIS_DATOS!$C$1496)-(0)&gt;0.5),(CROQUIS_DATOS!$C$1566+(IF(IF(MOD(MIN(INT(($A109-1)/2)+1,MAX(1,INT(((((CROQUIS_DATOS!$C$1494+CROQUIS_DATOS!$C$1495))-(CROQUIS_DATOS!$C$1494))+((CROQUIS_DATOS!$C$1496)*CROQUIS_DATOS!$C$1561-(0)*CROQUIS_DATOS!$C$1561))/CROQUIS_DATOS!$C$1568-0.000001))),2)=1,IF(INT(($A109-1)/2)+1&gt;MAX(1,INT(((((CROQUIS_DATOS!$C$1494+CROQUIS_DATOS!$C$1495))-(CROQUIS_DATOS!$C$1494))+((CROQUIS_DATOS!$C$1496)*CROQUIS_DATOS!$C$1561-(0)*CROQUIS_DATOS!$C$1561))/CROQUIS_DATOS!$C$1568-0.000001)),1,MOD($A109-1,2)),1-IF(INT(($A109-1)/2)+1&gt;MAX(1,INT(((((CROQUIS_DATOS!$C$1494+CROQUIS_DATOS!$C$1495))-(CROQUIS_DATOS!$C$1494))+((CROQUIS_DATOS!$C$1496)*CROQUIS_DATOS!$C$1561-(0)*CROQUIS_DATOS!$C$1561))/CROQUIS_DATOS!$C$1568-0.000001)),1,MOD($A109-1,2)))=1,MIN((CROQUIS_DATOS!$C$1496)*CROQUIS_DATOS!$C$1561,((CROQUIS_DATOS!$C$1494+CROQUIS_DATOS!$C$1495)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09">
        <f>IF(AND(CROQUIS_DATOS!$C$1472=1,CROQUIS_DATOS!$C$1478&gt;=4,((CROQUIS_DATOS!$C$1494+CROQUIS_DATOS!$C$1495))-(CROQUIS_DATOS!$C$1494)&gt;0.5,(CROQUIS_DATOS!$C$1496)-(0)&gt;0.5),(CROQUIS_DATOS!$C$1567+(IF(IF(MOD(MIN(INT(($A109-1)/2)+1,MAX(1,INT(((((CROQUIS_DATOS!$C$1494+CROQUIS_DATOS!$C$1495))-(CROQUIS_DATOS!$C$1494))+((CROQUIS_DATOS!$C$1496)*CROQUIS_DATOS!$C$1561-(0)*CROQUIS_DATOS!$C$1561))/CROQUIS_DATOS!$C$1568-0.000001))),2)=1,IF(INT(($A109-1)/2)+1&gt;MAX(1,INT(((((CROQUIS_DATOS!$C$1494+CROQUIS_DATOS!$C$1495))-(CROQUIS_DATOS!$C$1494))+((CROQUIS_DATOS!$C$1496)*CROQUIS_DATOS!$C$1561-(0)*CROQUIS_DATOS!$C$1561))/CROQUIS_DATOS!$C$1568-0.000001)),1,MOD($A109-1,2)),1-IF(INT(($A109-1)/2)+1&gt;MAX(1,INT(((((CROQUIS_DATOS!$C$1494+CROQUIS_DATOS!$C$1495))-(CROQUIS_DATOS!$C$1494))+((CROQUIS_DATOS!$C$1496)*CROQUIS_DATOS!$C$1561-(0)*CROQUIS_DATOS!$C$1561))/CROQUIS_DATOS!$C$1568-0.000001)),1,MOD($A109-1,2)))=1,MIN((CROQUIS_DATOS!$C$1496)*CROQUIS_DATOS!$C$1561,((CROQUIS_DATOS!$C$1494+CROQUIS_DATOS!$C$1495)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109-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09">
        <f>IF(AND(CROQUIS_DATOS!$C$1472=1,CROQUIS_DATOS!$C$1478&gt;=4,((CROQUIS_DATOS!$C$1494+CROQUIS_DATOS!$C$1495))-(CROQUIS_DATOS!$C$1494)&gt;0.5,(CROQUIS_DATOS!$C$1476)-((CROQUIS_DATOS!$C$1496+CROQUIS_DATOS!$C$1497))&gt;0.5),(CROQUIS_DATOS!$C$1566+(IF(IF(MOD(MIN(INT(($A109-1)/2)+1,MAX(1,INT(((((CROQUIS_DATOS!$C$1494+CROQUIS_DATOS!$C$1495))-(CROQUIS_DATOS!$C$1494))+((CROQUIS_DATOS!$C$1476)*CROQUIS_DATOS!$C$1561-((CROQUIS_DATOS!$C$1496+CROQUIS_DATOS!$C$1497))*CROQUIS_DATOS!$C$1561))/CROQUIS_DATOS!$C$1568-0.000001))),2)=1,IF(INT(($A109-1)/2)+1&gt;MAX(1,INT(((((CROQUIS_DATOS!$C$1494+CROQUIS_DATOS!$C$1495))-(CROQUIS_DATOS!$C$1494))+((CROQUIS_DATOS!$C$1476)*CROQUIS_DATOS!$C$1561-((CROQUIS_DATOS!$C$1496+CROQUIS_DATOS!$C$1497))*CROQUIS_DATOS!$C$1561))/CROQUIS_DATOS!$C$1568-0.000001)),1,MOD($A109-1,2)),1-IF(INT(($A109-1)/2)+1&gt;MAX(1,INT(((((CROQUIS_DATOS!$C$1494+CROQUIS_DATOS!$C$1495))-(CROQUIS_DATOS!$C$1494))+((CROQUIS_DATOS!$C$1476)*CROQUIS_DATOS!$C$1561-((CROQUIS_DATOS!$C$1496+CROQUIS_DATOS!$C$1497))*CROQUIS_DATOS!$C$1561))/CROQUIS_DATOS!$C$1568-0.000001)),1,MOD($A109-1,2)))=1,MIN((CROQUIS_DATOS!$C$1476)*CROQUIS_DATOS!$C$1561,((CROQUIS_DATOS!$C$1494+CROQUIS_DATOS!$C$1495)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09">
        <f>IF(AND(CROQUIS_DATOS!$C$1472=1,CROQUIS_DATOS!$C$1478&gt;=4,((CROQUIS_DATOS!$C$1494+CROQUIS_DATOS!$C$1495))-(CROQUIS_DATOS!$C$1494)&gt;0.5,(CROQUIS_DATOS!$C$1476)-((CROQUIS_DATOS!$C$1496+CROQUIS_DATOS!$C$1497))&gt;0.5),(CROQUIS_DATOS!$C$1567+(IF(IF(MOD(MIN(INT(($A109-1)/2)+1,MAX(1,INT(((((CROQUIS_DATOS!$C$1494+CROQUIS_DATOS!$C$1495))-(CROQUIS_DATOS!$C$1494))+((CROQUIS_DATOS!$C$1476)*CROQUIS_DATOS!$C$1561-((CROQUIS_DATOS!$C$1496+CROQUIS_DATOS!$C$1497))*CROQUIS_DATOS!$C$1561))/CROQUIS_DATOS!$C$1568-0.000001))),2)=1,IF(INT(($A109-1)/2)+1&gt;MAX(1,INT(((((CROQUIS_DATOS!$C$1494+CROQUIS_DATOS!$C$1495))-(CROQUIS_DATOS!$C$1494))+((CROQUIS_DATOS!$C$1476)*CROQUIS_DATOS!$C$1561-((CROQUIS_DATOS!$C$1496+CROQUIS_DATOS!$C$1497))*CROQUIS_DATOS!$C$1561))/CROQUIS_DATOS!$C$1568-0.000001)),1,MOD($A109-1,2)),1-IF(INT(($A109-1)/2)+1&gt;MAX(1,INT(((((CROQUIS_DATOS!$C$1494+CROQUIS_DATOS!$C$1495))-(CROQUIS_DATOS!$C$1494))+((CROQUIS_DATOS!$C$1476)*CROQUIS_DATOS!$C$1561-((CROQUIS_DATOS!$C$1496+CROQUIS_DATOS!$C$1497))*CROQUIS_DATOS!$C$1561))/CROQUIS_DATOS!$C$1568-0.000001)),1,MOD($A109-1,2)))=1,MIN((CROQUIS_DATOS!$C$1476)*CROQUIS_DATOS!$C$1561,((CROQUIS_DATOS!$C$1494+CROQUIS_DATOS!$C$1495)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109-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0">
      <c r="A110" t="n">
        <v>103</v>
      </c>
      <c r="N110">
        <f>IF(AND(CROQUIS_DATOS!$C$1472=1,1),(CROQUIS_DATOS!$C$1563+(IF(IF(IF(INT(($A110-1)/70)+1&gt;CROQUIS_DATOS!$C$1525,70,MOD($A110-1,70)+1)=1,0,IF(IF(INT(($A110-1)/70)+1&gt;CROQUIS_DATOS!$C$1525,70,MOD($A110-1,70)+1)&gt;2*CROQUIS_DATOS!$C$1541+1,IF(MOD(CROQUIS_DATOS!$C$1541,2)=1,1,0),IF(MOD(MIN(INT((IF(INT(($A110-1)/70)+1&gt;CROQUIS_DATOS!$C$1525,70,MOD($A110-1,70)+1)-2)/2)+1,CROQUIS_DATOS!$C$1541),2)=1,IF(MOD(IF(INT(($A110-1)/70)+1&gt;CROQUIS_DATOS!$C$1525,70,MOD($A110-1,70)+1)-2,2)=0,0,1),IF(MOD(IF(INT(($A110-1)/70)+1&gt;CROQUIS_DATOS!$C$1525,70,MOD($A110-1,70)+1)-2,2)=0,1,0))))=0,(INDEX($E$8:$E$23,MIN(INT(($A110-1)/70)+1,CROQUIS_DATOS!$C$1525))-INDEX($F$8:$F$23,MIN(INT(($A110-1)/70)+1,CROQUIS_DATOS!$C$1525))/2),(INDEX($E$8:$E$23,MIN(INT(($A110-1)/70)+1,CROQUIS_DATOS!$C$1525))+INDEX($F$8:$F$23,MIN(INT(($A110-1)/70)+1,CROQUIS_DATOS!$C$1525))/2)))*CROQUIS_DATOS!$C$1562),-1000)</f>
        <v>18.5775862068965</v>
      </c>
      <c r="O110">
        <f>IF(AND(CROQUIS_DATOS!$C$1472=1,1),(CROQUIS_DATOS!$C$1564+(IF(OR(IF(INT(($A110-1)/70)+1&gt;CROQUIS_DATOS!$C$1525,70,MOD($A110-1,70)+1)=1,IF(INT(($A110-1)/70)+1&gt;CROQUIS_DATOS!$C$1525,70,MOD($A110-1,70)+1)&gt;2*CROQUIS_DATOS!$C$1541+1),CROQUIS_DATOS!$C$1476,INDEX($H$8:$H$41,MIN(INT((IF(INT(($A110-1)/70)+1&gt;CROQUIS_DATOS!$C$1525,70,MOD($A110-1,70)+1)-2)/2)+1,CROQUIS_DATOS!$C$1541))))*CROQUIS_DATOS!$C$1561*CROQUIS_DATOS!$C$1562),-1000)</f>
        <v>37.0646551724138</v>
      </c>
      <c r="P110">
        <f>IF(AND(CROQUIS_DATOS!$C$1472=1,CROQUIS_DATOS!$C$1555=1),(CROQUIS_DATOS!$C$1563+(IF(IF(OR(MOD($A110-1,62)+1=1,IF(CHOOSE(MIN(MAX(MIN(INT(($A110-1)/62)+1,5),1),5),CROQUIS_DATOS!$C$1501,CROQUIS_DATOS!$C$1505,CROQUIS_DATOS!$C$1509,CROQUIS_DATOS!$C$1513,CROQUIS_DATOS!$C$1517)=1,CROQUIS_DATOS!$C$1557,0)=0),0,IF(MOD($A110-1,62)+1&gt;2*IF(CHOOSE(MIN(MAX(MIN(INT(($A110-1)/62)+1,5),1),5),CROQUIS_DATOS!$C$1501,CROQUIS_DATOS!$C$1505,CROQUIS_DATOS!$C$1509,CROQUIS_DATOS!$C$1513,CROQUIS_DATOS!$C$1517)=1,CROQUIS_DATOS!$C$1557,0)+1,IF(MOD(IF(CHOOSE(MIN(MAX(MIN(INT(($A110-1)/62)+1,5),1),5),CROQUIS_DATOS!$C$1501,CROQUIS_DATOS!$C$1505,CROQUIS_DATOS!$C$1509,CROQUIS_DATOS!$C$1513,CROQUIS_DATOS!$C$1517)=1,CROQUIS_DATOS!$C$1557,0),2)=1,1,0),IF(MOD(MIN(INT((MOD($A110-1,62)+1-2)/2)+1,MAX(IF(CHOOSE(MIN(MAX(MIN(INT(($A110-1)/62)+1,5),1),5),CROQUIS_DATOS!$C$1501,CROQUIS_DATOS!$C$1505,CROQUIS_DATOS!$C$1509,CROQUIS_DATOS!$C$1513,CROQUIS_DATOS!$C$1517)=1,CROQUIS_DATOS!$C$1557,0),1)),2)=1,IF(MOD(MOD($A110-1,62)+1-2,2)=0,0,1),IF(MOD(MOD($A110-1,62)+1-2,2)=0,1,0))))=0,(CHOOSE(MIN(MAX(MIN(INT(($A110-1)/62)+1,5),1),5),CROQUIS_DATOS!$C$1499,CROQUIS_DATOS!$C$1503,CROQUIS_DATOS!$C$1507,CROQUIS_DATOS!$C$1511,CROQUIS_DATOS!$C$1515)+IF(CHOOSE(MIN(MAX(MIN(INT(($A110-1)/62)+1,5),1),5),CROQUIS_DATOS!$C$1501,CROQUIS_DATOS!$C$1505,CROQUIS_DATOS!$C$1509,CROQUIS_DATOS!$C$1513,CROQUIS_DATOS!$C$1517)=1,CROQUIS_DATOS!$C$1526,0)),(CHOOSE(MIN(MAX(MIN(INT(($A110-1)/62)+1,5),1),5),CROQUIS_DATOS!$C$1499,CROQUIS_DATOS!$C$1503,CROQUIS_DATOS!$C$1507,CROQUIS_DATOS!$C$1511,CROQUIS_DATOS!$C$1515)+CHOOSE(MIN(MAX(MIN(INT(($A110-1)/62)+1,5),1),5),CROQUIS_DATOS!$C$1500,CROQUIS_DATOS!$C$1504,CROQUIS_DATOS!$C$1508,CROQUIS_DATOS!$C$1512,CROQUIS_DATOS!$C$1516)-IF(CHOOSE(MIN(MAX(MIN(INT(($A110-1)/62)+1,5),1),5),CROQUIS_DATOS!$C$1501,CROQUIS_DATOS!$C$1505,CROQUIS_DATOS!$C$1509,CROQUIS_DATOS!$C$1513,CROQUIS_DATOS!$C$1517)=1,CROQUIS_DATOS!$C$1526,0))))*CROQUIS_DATOS!$C$1562),-1000)</f>
        <v>-1000</v>
      </c>
      <c r="Q110">
        <f>IF(AND(CROQUIS_DATOS!$C$1472=1,CROQUIS_DATOS!$C$1555=1),(CROQUIS_DATOS!$C$1564+(IF(OR(OR(MOD($A110-1,62)+1=1,IF(CHOOSE(MIN(MAX(MIN(INT(($A110-1)/62)+1,5),1),5),CROQUIS_DATOS!$C$1501,CROQUIS_DATOS!$C$1505,CROQUIS_DATOS!$C$1509,CROQUIS_DATOS!$C$1513,CROQUIS_DATOS!$C$1517)=1,CROQUIS_DATOS!$C$1557,0)=0),MOD($A110-1,62)+1&gt;2*IF(CHOOSE(MIN(MAX(MIN(INT(($A110-1)/62)+1,5),1),5),CROQUIS_DATOS!$C$1501,CROQUIS_DATOS!$C$1505,CROQUIS_DATOS!$C$1509,CROQUIS_DATOS!$C$1513,CROQUIS_DATOS!$C$1517)=1,CROQUIS_DATOS!$C$1557,0)+1),CROQUIS_DATOS!$C$1476,MIN(INT((MOD($A110-1,62)+1-2)/2)+1,MAX(IF(CHOOSE(MIN(MAX(MIN(INT(($A110-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0">
        <f>IF(AND(CROQUIS_DATOS!$C$1472=1,1),(CROQUIS_DATOS!$C$1563+(MIN(INT(($A110-1)/2)+1,CROQUIS_DATOS!$C$1558)*CROQUIS_DATOS!$C$1559)*CROQUIS_DATOS!$C$1562),-1000)</f>
        <v>82.2281167108753</v>
      </c>
      <c r="U110">
        <f>IF(AND(CROQUIS_DATOS!$C$1472=1,1),(CROQUIS_DATOS!$C$1564+(IF(INT(($A110-1)/2)+1&gt;CROQUIS_DATOS!$C$1558,IF(MOD(CROQUIS_DATOS!$C$1558,2)=1,CROQUIS_DATOS!$C$1476+CROQUIS_DATOS!$C$1528,CROQUIS_DATOS!$C$1476),IF(IF(MOD(MIN(INT(($A110-1)/2)+1,CROQUIS_DATOS!$C$1558),2)=1,MOD($A110-1,2),1-MOD($A110-1,2))=1,CROQUIS_DATOS!$C$1476+CROQUIS_DATOS!$C$1528,CROQUIS_DATOS!$C$1476)))*CROQUIS_DATOS!$C$1561*CROQUIS_DATOS!$C$1562),-1000)</f>
        <v>43</v>
      </c>
      <c r="BZ110">
        <f>IF(AND(CROQUIS_DATOS!$C$1472=1,CROQUIS_DATOS!$C$1500&gt;0,((CROQUIS_DATOS!$C$1499+CROQUIS_DATOS!$C$1500))-(CROQUIS_DATOS!$C$1499)&gt;0.5,(CROQUIS_DATOS!$C$1476)-(0)&gt;0.5),(CROQUIS_DATOS!$C$1566+(IF(IF(MOD(MIN(INT(($A110-1)/2)+1,MAX(1,INT(((((CROQUIS_DATOS!$C$1499+CROQUIS_DATOS!$C$1500))-(CROQUIS_DATOS!$C$1499))+((CROQUIS_DATOS!$C$1476)*CROQUIS_DATOS!$C$1561-(0)*CROQUIS_DATOS!$C$1561))/CROQUIS_DATOS!$C$1568-0.000001))),2)=1,IF(INT(($A110-1)/2)+1&gt;MAX(1,INT(((((CROQUIS_DATOS!$C$1499+CROQUIS_DATOS!$C$1500))-(CROQUIS_DATOS!$C$1499))+((CROQUIS_DATOS!$C$1476)*CROQUIS_DATOS!$C$1561-(0)*CROQUIS_DATOS!$C$1561))/CROQUIS_DATOS!$C$1568-0.000001)),1,MOD($A110-1,2)),1-IF(INT(($A110-1)/2)+1&gt;MAX(1,INT(((((CROQUIS_DATOS!$C$1499+CROQUIS_DATOS!$C$1500))-(CROQUIS_DATOS!$C$1499))+((CROQUIS_DATOS!$C$1476)*CROQUIS_DATOS!$C$1561-(0)*CROQUIS_DATOS!$C$1561))/CROQUIS_DATOS!$C$1568-0.000001)),1,MOD($A110-1,2)))=1,MIN((CROQUIS_DATOS!$C$1476)*CROQUIS_DATOS!$C$1561,((CROQUIS_DATOS!$C$1499+CROQUIS_DATOS!$C$1500)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0">
        <f>IF(AND(CROQUIS_DATOS!$C$1472=1,CROQUIS_DATOS!$C$1500&gt;0,((CROQUIS_DATOS!$C$1499+CROQUIS_DATOS!$C$1500))-(CROQUIS_DATOS!$C$1499)&gt;0.5,(CROQUIS_DATOS!$C$1476)-(0)&gt;0.5),(CROQUIS_DATOS!$C$1567+(IF(IF(MOD(MIN(INT(($A110-1)/2)+1,MAX(1,INT(((((CROQUIS_DATOS!$C$1499+CROQUIS_DATOS!$C$1500))-(CROQUIS_DATOS!$C$1499))+((CROQUIS_DATOS!$C$1476)*CROQUIS_DATOS!$C$1561-(0)*CROQUIS_DATOS!$C$1561))/CROQUIS_DATOS!$C$1568-0.000001))),2)=1,IF(INT(($A110-1)/2)+1&gt;MAX(1,INT(((((CROQUIS_DATOS!$C$1499+CROQUIS_DATOS!$C$1500))-(CROQUIS_DATOS!$C$1499))+((CROQUIS_DATOS!$C$1476)*CROQUIS_DATOS!$C$1561-(0)*CROQUIS_DATOS!$C$1561))/CROQUIS_DATOS!$C$1568-0.000001)),1,MOD($A110-1,2)),1-IF(INT(($A110-1)/2)+1&gt;MAX(1,INT(((((CROQUIS_DATOS!$C$1499+CROQUIS_DATOS!$C$1500))-(CROQUIS_DATOS!$C$1499))+((CROQUIS_DATOS!$C$1476)*CROQUIS_DATOS!$C$1561-(0)*CROQUIS_DATOS!$C$1561))/CROQUIS_DATOS!$C$1568-0.000001)),1,MOD($A110-1,2)))=1,MIN((CROQUIS_DATOS!$C$1476)*CROQUIS_DATOS!$C$1561,((CROQUIS_DATOS!$C$1499+CROQUIS_DATOS!$C$1500)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0">
        <f>IF(AND(CROQUIS_DATOS!$C$1472=1,CROQUIS_DATOS!$C$1504&gt;0,((CROQUIS_DATOS!$C$1503+CROQUIS_DATOS!$C$1504))-(CROQUIS_DATOS!$C$1503)&gt;0.5,(CROQUIS_DATOS!$C$1476)-(0)&gt;0.5),(CROQUIS_DATOS!$C$1566+(IF(IF(MOD(MIN(INT(($A110-1)/2)+1,MAX(1,INT(((((CROQUIS_DATOS!$C$1503+CROQUIS_DATOS!$C$1504))-(CROQUIS_DATOS!$C$1503))+((CROQUIS_DATOS!$C$1476)*CROQUIS_DATOS!$C$1561-(0)*CROQUIS_DATOS!$C$1561))/CROQUIS_DATOS!$C$1568-0.000001))),2)=1,IF(INT(($A110-1)/2)+1&gt;MAX(1,INT(((((CROQUIS_DATOS!$C$1503+CROQUIS_DATOS!$C$1504))-(CROQUIS_DATOS!$C$1503))+((CROQUIS_DATOS!$C$1476)*CROQUIS_DATOS!$C$1561-(0)*CROQUIS_DATOS!$C$1561))/CROQUIS_DATOS!$C$1568-0.000001)),1,MOD($A110-1,2)),1-IF(INT(($A110-1)/2)+1&gt;MAX(1,INT(((((CROQUIS_DATOS!$C$1503+CROQUIS_DATOS!$C$1504))-(CROQUIS_DATOS!$C$1503))+((CROQUIS_DATOS!$C$1476)*CROQUIS_DATOS!$C$1561-(0)*CROQUIS_DATOS!$C$1561))/CROQUIS_DATOS!$C$1568-0.000001)),1,MOD($A110-1,2)))=1,MIN((CROQUIS_DATOS!$C$1476)*CROQUIS_DATOS!$C$1561,((CROQUIS_DATOS!$C$1503+CROQUIS_DATOS!$C$1504)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0">
        <f>IF(AND(CROQUIS_DATOS!$C$1472=1,CROQUIS_DATOS!$C$1504&gt;0,((CROQUIS_DATOS!$C$1503+CROQUIS_DATOS!$C$1504))-(CROQUIS_DATOS!$C$1503)&gt;0.5,(CROQUIS_DATOS!$C$1476)-(0)&gt;0.5),(CROQUIS_DATOS!$C$1567+(IF(IF(MOD(MIN(INT(($A110-1)/2)+1,MAX(1,INT(((((CROQUIS_DATOS!$C$1503+CROQUIS_DATOS!$C$1504))-(CROQUIS_DATOS!$C$1503))+((CROQUIS_DATOS!$C$1476)*CROQUIS_DATOS!$C$1561-(0)*CROQUIS_DATOS!$C$1561))/CROQUIS_DATOS!$C$1568-0.000001))),2)=1,IF(INT(($A110-1)/2)+1&gt;MAX(1,INT(((((CROQUIS_DATOS!$C$1503+CROQUIS_DATOS!$C$1504))-(CROQUIS_DATOS!$C$1503))+((CROQUIS_DATOS!$C$1476)*CROQUIS_DATOS!$C$1561-(0)*CROQUIS_DATOS!$C$1561))/CROQUIS_DATOS!$C$1568-0.000001)),1,MOD($A110-1,2)),1-IF(INT(($A110-1)/2)+1&gt;MAX(1,INT(((((CROQUIS_DATOS!$C$1503+CROQUIS_DATOS!$C$1504))-(CROQUIS_DATOS!$C$1503))+((CROQUIS_DATOS!$C$1476)*CROQUIS_DATOS!$C$1561-(0)*CROQUIS_DATOS!$C$1561))/CROQUIS_DATOS!$C$1568-0.000001)),1,MOD($A110-1,2)))=1,MIN((CROQUIS_DATOS!$C$1476)*CROQUIS_DATOS!$C$1561,((CROQUIS_DATOS!$C$1503+CROQUIS_DATOS!$C$1504)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0">
        <f>IF(AND(CROQUIS_DATOS!$C$1472=1,CROQUIS_DATOS!$C$1508&gt;0,((CROQUIS_DATOS!$C$1507+CROQUIS_DATOS!$C$1508))-(CROQUIS_DATOS!$C$1507)&gt;0.5,(CROQUIS_DATOS!$C$1476)-(0)&gt;0.5),(CROQUIS_DATOS!$C$1566+(IF(IF(MOD(MIN(INT(($A110-1)/2)+1,MAX(1,INT(((((CROQUIS_DATOS!$C$1507+CROQUIS_DATOS!$C$1508))-(CROQUIS_DATOS!$C$1507))+((CROQUIS_DATOS!$C$1476)*CROQUIS_DATOS!$C$1561-(0)*CROQUIS_DATOS!$C$1561))/CROQUIS_DATOS!$C$1568-0.000001))),2)=1,IF(INT(($A110-1)/2)+1&gt;MAX(1,INT(((((CROQUIS_DATOS!$C$1507+CROQUIS_DATOS!$C$1508))-(CROQUIS_DATOS!$C$1507))+((CROQUIS_DATOS!$C$1476)*CROQUIS_DATOS!$C$1561-(0)*CROQUIS_DATOS!$C$1561))/CROQUIS_DATOS!$C$1568-0.000001)),1,MOD($A110-1,2)),1-IF(INT(($A110-1)/2)+1&gt;MAX(1,INT(((((CROQUIS_DATOS!$C$1507+CROQUIS_DATOS!$C$1508))-(CROQUIS_DATOS!$C$1507))+((CROQUIS_DATOS!$C$1476)*CROQUIS_DATOS!$C$1561-(0)*CROQUIS_DATOS!$C$1561))/CROQUIS_DATOS!$C$1568-0.000001)),1,MOD($A110-1,2)))=1,MIN((CROQUIS_DATOS!$C$1476)*CROQUIS_DATOS!$C$1561,((CROQUIS_DATOS!$C$1507+CROQUIS_DATOS!$C$1508)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0">
        <f>IF(AND(CROQUIS_DATOS!$C$1472=1,CROQUIS_DATOS!$C$1508&gt;0,((CROQUIS_DATOS!$C$1507+CROQUIS_DATOS!$C$1508))-(CROQUIS_DATOS!$C$1507)&gt;0.5,(CROQUIS_DATOS!$C$1476)-(0)&gt;0.5),(CROQUIS_DATOS!$C$1567+(IF(IF(MOD(MIN(INT(($A110-1)/2)+1,MAX(1,INT(((((CROQUIS_DATOS!$C$1507+CROQUIS_DATOS!$C$1508))-(CROQUIS_DATOS!$C$1507))+((CROQUIS_DATOS!$C$1476)*CROQUIS_DATOS!$C$1561-(0)*CROQUIS_DATOS!$C$1561))/CROQUIS_DATOS!$C$1568-0.000001))),2)=1,IF(INT(($A110-1)/2)+1&gt;MAX(1,INT(((((CROQUIS_DATOS!$C$1507+CROQUIS_DATOS!$C$1508))-(CROQUIS_DATOS!$C$1507))+((CROQUIS_DATOS!$C$1476)*CROQUIS_DATOS!$C$1561-(0)*CROQUIS_DATOS!$C$1561))/CROQUIS_DATOS!$C$1568-0.000001)),1,MOD($A110-1,2)),1-IF(INT(($A110-1)/2)+1&gt;MAX(1,INT(((((CROQUIS_DATOS!$C$1507+CROQUIS_DATOS!$C$1508))-(CROQUIS_DATOS!$C$1507))+((CROQUIS_DATOS!$C$1476)*CROQUIS_DATOS!$C$1561-(0)*CROQUIS_DATOS!$C$1561))/CROQUIS_DATOS!$C$1568-0.000001)),1,MOD($A110-1,2)))=1,MIN((CROQUIS_DATOS!$C$1476)*CROQUIS_DATOS!$C$1561,((CROQUIS_DATOS!$C$1507+CROQUIS_DATOS!$C$1508)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0">
        <f>IF(AND(CROQUIS_DATOS!$C$1472=1,CROQUIS_DATOS!$C$1512&gt;0,((CROQUIS_DATOS!$C$1511+CROQUIS_DATOS!$C$1512))-(CROQUIS_DATOS!$C$1511)&gt;0.5,(CROQUIS_DATOS!$C$1476)-(0)&gt;0.5),(CROQUIS_DATOS!$C$1566+(IF(IF(MOD(MIN(INT(($A110-1)/2)+1,MAX(1,INT(((((CROQUIS_DATOS!$C$1511+CROQUIS_DATOS!$C$1512))-(CROQUIS_DATOS!$C$1511))+((CROQUIS_DATOS!$C$1476)*CROQUIS_DATOS!$C$1561-(0)*CROQUIS_DATOS!$C$1561))/CROQUIS_DATOS!$C$1568-0.000001))),2)=1,IF(INT(($A110-1)/2)+1&gt;MAX(1,INT(((((CROQUIS_DATOS!$C$1511+CROQUIS_DATOS!$C$1512))-(CROQUIS_DATOS!$C$1511))+((CROQUIS_DATOS!$C$1476)*CROQUIS_DATOS!$C$1561-(0)*CROQUIS_DATOS!$C$1561))/CROQUIS_DATOS!$C$1568-0.000001)),1,MOD($A110-1,2)),1-IF(INT(($A110-1)/2)+1&gt;MAX(1,INT(((((CROQUIS_DATOS!$C$1511+CROQUIS_DATOS!$C$1512))-(CROQUIS_DATOS!$C$1511))+((CROQUIS_DATOS!$C$1476)*CROQUIS_DATOS!$C$1561-(0)*CROQUIS_DATOS!$C$1561))/CROQUIS_DATOS!$C$1568-0.000001)),1,MOD($A110-1,2)))=1,MIN((CROQUIS_DATOS!$C$1476)*CROQUIS_DATOS!$C$1561,((CROQUIS_DATOS!$C$1511+CROQUIS_DATOS!$C$1512)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0">
        <f>IF(AND(CROQUIS_DATOS!$C$1472=1,CROQUIS_DATOS!$C$1512&gt;0,((CROQUIS_DATOS!$C$1511+CROQUIS_DATOS!$C$1512))-(CROQUIS_DATOS!$C$1511)&gt;0.5,(CROQUIS_DATOS!$C$1476)-(0)&gt;0.5),(CROQUIS_DATOS!$C$1567+(IF(IF(MOD(MIN(INT(($A110-1)/2)+1,MAX(1,INT(((((CROQUIS_DATOS!$C$1511+CROQUIS_DATOS!$C$1512))-(CROQUIS_DATOS!$C$1511))+((CROQUIS_DATOS!$C$1476)*CROQUIS_DATOS!$C$1561-(0)*CROQUIS_DATOS!$C$1561))/CROQUIS_DATOS!$C$1568-0.000001))),2)=1,IF(INT(($A110-1)/2)+1&gt;MAX(1,INT(((((CROQUIS_DATOS!$C$1511+CROQUIS_DATOS!$C$1512))-(CROQUIS_DATOS!$C$1511))+((CROQUIS_DATOS!$C$1476)*CROQUIS_DATOS!$C$1561-(0)*CROQUIS_DATOS!$C$1561))/CROQUIS_DATOS!$C$1568-0.000001)),1,MOD($A110-1,2)),1-IF(INT(($A110-1)/2)+1&gt;MAX(1,INT(((((CROQUIS_DATOS!$C$1511+CROQUIS_DATOS!$C$1512))-(CROQUIS_DATOS!$C$1511))+((CROQUIS_DATOS!$C$1476)*CROQUIS_DATOS!$C$1561-(0)*CROQUIS_DATOS!$C$1561))/CROQUIS_DATOS!$C$1568-0.000001)),1,MOD($A110-1,2)))=1,MIN((CROQUIS_DATOS!$C$1476)*CROQUIS_DATOS!$C$1561,((CROQUIS_DATOS!$C$1511+CROQUIS_DATOS!$C$1512)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0">
        <f>IF(AND(CROQUIS_DATOS!$C$1472=1,CROQUIS_DATOS!$C$1516&gt;0,((CROQUIS_DATOS!$C$1515+CROQUIS_DATOS!$C$1516))-(CROQUIS_DATOS!$C$1515)&gt;0.5,(CROQUIS_DATOS!$C$1476)-(0)&gt;0.5),(CROQUIS_DATOS!$C$1566+(IF(IF(MOD(MIN(INT(($A110-1)/2)+1,MAX(1,INT(((((CROQUIS_DATOS!$C$1515+CROQUIS_DATOS!$C$1516))-(CROQUIS_DATOS!$C$1515))+((CROQUIS_DATOS!$C$1476)*CROQUIS_DATOS!$C$1561-(0)*CROQUIS_DATOS!$C$1561))/CROQUIS_DATOS!$C$1568-0.000001))),2)=1,IF(INT(($A110-1)/2)+1&gt;MAX(1,INT(((((CROQUIS_DATOS!$C$1515+CROQUIS_DATOS!$C$1516))-(CROQUIS_DATOS!$C$1515))+((CROQUIS_DATOS!$C$1476)*CROQUIS_DATOS!$C$1561-(0)*CROQUIS_DATOS!$C$1561))/CROQUIS_DATOS!$C$1568-0.000001)),1,MOD($A110-1,2)),1-IF(INT(($A110-1)/2)+1&gt;MAX(1,INT(((((CROQUIS_DATOS!$C$1515+CROQUIS_DATOS!$C$1516))-(CROQUIS_DATOS!$C$1515))+((CROQUIS_DATOS!$C$1476)*CROQUIS_DATOS!$C$1561-(0)*CROQUIS_DATOS!$C$1561))/CROQUIS_DATOS!$C$1568-0.000001)),1,MOD($A110-1,2)))=1,MIN((CROQUIS_DATOS!$C$1476)*CROQUIS_DATOS!$C$1561,((CROQUIS_DATOS!$C$1515+CROQUIS_DATOS!$C$1516)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0">
        <f>IF(AND(CROQUIS_DATOS!$C$1472=1,CROQUIS_DATOS!$C$1516&gt;0,((CROQUIS_DATOS!$C$1515+CROQUIS_DATOS!$C$1516))-(CROQUIS_DATOS!$C$1515)&gt;0.5,(CROQUIS_DATOS!$C$1476)-(0)&gt;0.5),(CROQUIS_DATOS!$C$1567+(IF(IF(MOD(MIN(INT(($A110-1)/2)+1,MAX(1,INT(((((CROQUIS_DATOS!$C$1515+CROQUIS_DATOS!$C$1516))-(CROQUIS_DATOS!$C$1515))+((CROQUIS_DATOS!$C$1476)*CROQUIS_DATOS!$C$1561-(0)*CROQUIS_DATOS!$C$1561))/CROQUIS_DATOS!$C$1568-0.000001))),2)=1,IF(INT(($A110-1)/2)+1&gt;MAX(1,INT(((((CROQUIS_DATOS!$C$1515+CROQUIS_DATOS!$C$1516))-(CROQUIS_DATOS!$C$1515))+((CROQUIS_DATOS!$C$1476)*CROQUIS_DATOS!$C$1561-(0)*CROQUIS_DATOS!$C$1561))/CROQUIS_DATOS!$C$1568-0.000001)),1,MOD($A110-1,2)),1-IF(INT(($A110-1)/2)+1&gt;MAX(1,INT(((((CROQUIS_DATOS!$C$1515+CROQUIS_DATOS!$C$1516))-(CROQUIS_DATOS!$C$1515))+((CROQUIS_DATOS!$C$1476)*CROQUIS_DATOS!$C$1561-(0)*CROQUIS_DATOS!$C$1561))/CROQUIS_DATOS!$C$1568-0.000001)),1,MOD($A110-1,2)))=1,MIN((CROQUIS_DATOS!$C$1476)*CROQUIS_DATOS!$C$1561,((CROQUIS_DATOS!$C$1515+CROQUIS_DATOS!$C$1516)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0">
        <f>IF(AND(CROQUIS_DATOS!$C$1472=1,CROQUIS_DATOS!$C$1478&gt;=1,((CROQUIS_DATOS!$C$1479+CROQUIS_DATOS!$C$1480))-(CROQUIS_DATOS!$C$1479)&gt;0.5,(CROQUIS_DATOS!$C$1481)-(0)&gt;0.5),(CROQUIS_DATOS!$C$1566+(IF(IF(MOD(MIN(INT(($A110-1)/2)+1,MAX(1,INT(((((CROQUIS_DATOS!$C$1479+CROQUIS_DATOS!$C$1480))-(CROQUIS_DATOS!$C$1479))+((CROQUIS_DATOS!$C$1481)*CROQUIS_DATOS!$C$1561-(0)*CROQUIS_DATOS!$C$1561))/CROQUIS_DATOS!$C$1568-0.000001))),2)=1,IF(INT(($A110-1)/2)+1&gt;MAX(1,INT(((((CROQUIS_DATOS!$C$1479+CROQUIS_DATOS!$C$1480))-(CROQUIS_DATOS!$C$1479))+((CROQUIS_DATOS!$C$1481)*CROQUIS_DATOS!$C$1561-(0)*CROQUIS_DATOS!$C$1561))/CROQUIS_DATOS!$C$1568-0.000001)),1,MOD($A110-1,2)),1-IF(INT(($A110-1)/2)+1&gt;MAX(1,INT(((((CROQUIS_DATOS!$C$1479+CROQUIS_DATOS!$C$1480))-(CROQUIS_DATOS!$C$1479))+((CROQUIS_DATOS!$C$1481)*CROQUIS_DATOS!$C$1561-(0)*CROQUIS_DATOS!$C$1561))/CROQUIS_DATOS!$C$1568-0.000001)),1,MOD($A110-1,2)))=1,MIN((CROQUIS_DATOS!$C$1481)*CROQUIS_DATOS!$C$1561,((CROQUIS_DATOS!$C$1479+CROQUIS_DATOS!$C$1480)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0">
        <f>IF(AND(CROQUIS_DATOS!$C$1472=1,CROQUIS_DATOS!$C$1478&gt;=1,((CROQUIS_DATOS!$C$1479+CROQUIS_DATOS!$C$1480))-(CROQUIS_DATOS!$C$1479)&gt;0.5,(CROQUIS_DATOS!$C$1481)-(0)&gt;0.5),(CROQUIS_DATOS!$C$1567+(IF(IF(MOD(MIN(INT(($A110-1)/2)+1,MAX(1,INT(((((CROQUIS_DATOS!$C$1479+CROQUIS_DATOS!$C$1480))-(CROQUIS_DATOS!$C$1479))+((CROQUIS_DATOS!$C$1481)*CROQUIS_DATOS!$C$1561-(0)*CROQUIS_DATOS!$C$1561))/CROQUIS_DATOS!$C$1568-0.000001))),2)=1,IF(INT(($A110-1)/2)+1&gt;MAX(1,INT(((((CROQUIS_DATOS!$C$1479+CROQUIS_DATOS!$C$1480))-(CROQUIS_DATOS!$C$1479))+((CROQUIS_DATOS!$C$1481)*CROQUIS_DATOS!$C$1561-(0)*CROQUIS_DATOS!$C$1561))/CROQUIS_DATOS!$C$1568-0.000001)),1,MOD($A110-1,2)),1-IF(INT(($A110-1)/2)+1&gt;MAX(1,INT(((((CROQUIS_DATOS!$C$1479+CROQUIS_DATOS!$C$1480))-(CROQUIS_DATOS!$C$1479))+((CROQUIS_DATOS!$C$1481)*CROQUIS_DATOS!$C$1561-(0)*CROQUIS_DATOS!$C$1561))/CROQUIS_DATOS!$C$1568-0.000001)),1,MOD($A110-1,2)))=1,MIN((CROQUIS_DATOS!$C$1481)*CROQUIS_DATOS!$C$1561,((CROQUIS_DATOS!$C$1479+CROQUIS_DATOS!$C$1480)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0">
        <f>IF(AND(CROQUIS_DATOS!$C$1472=1,CROQUIS_DATOS!$C$1478&gt;=1,((CROQUIS_DATOS!$C$1479+CROQUIS_DATOS!$C$1480))-(CROQUIS_DATOS!$C$1479)&gt;0.5,(CROQUIS_DATOS!$C$1476)-((CROQUIS_DATOS!$C$1481+CROQUIS_DATOS!$C$1482))&gt;0.5),(CROQUIS_DATOS!$C$1566+(IF(IF(MOD(MIN(INT(($A110-1)/2)+1,MAX(1,INT(((((CROQUIS_DATOS!$C$1479+CROQUIS_DATOS!$C$1480))-(CROQUIS_DATOS!$C$1479))+((CROQUIS_DATOS!$C$1476)*CROQUIS_DATOS!$C$1561-((CROQUIS_DATOS!$C$1481+CROQUIS_DATOS!$C$1482))*CROQUIS_DATOS!$C$1561))/CROQUIS_DATOS!$C$1568-0.000001))),2)=1,IF(INT(($A110-1)/2)+1&gt;MAX(1,INT(((((CROQUIS_DATOS!$C$1479+CROQUIS_DATOS!$C$1480))-(CROQUIS_DATOS!$C$1479))+((CROQUIS_DATOS!$C$1476)*CROQUIS_DATOS!$C$1561-((CROQUIS_DATOS!$C$1481+CROQUIS_DATOS!$C$1482))*CROQUIS_DATOS!$C$1561))/CROQUIS_DATOS!$C$1568-0.000001)),1,MOD($A110-1,2)),1-IF(INT(($A110-1)/2)+1&gt;MAX(1,INT(((((CROQUIS_DATOS!$C$1479+CROQUIS_DATOS!$C$1480))-(CROQUIS_DATOS!$C$1479))+((CROQUIS_DATOS!$C$1476)*CROQUIS_DATOS!$C$1561-((CROQUIS_DATOS!$C$1481+CROQUIS_DATOS!$C$1482))*CROQUIS_DATOS!$C$1561))/CROQUIS_DATOS!$C$1568-0.000001)),1,MOD($A110-1,2)))=1,MIN((CROQUIS_DATOS!$C$1476)*CROQUIS_DATOS!$C$1561,((CROQUIS_DATOS!$C$1479+CROQUIS_DATOS!$C$1480)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0">
        <f>IF(AND(CROQUIS_DATOS!$C$1472=1,CROQUIS_DATOS!$C$1478&gt;=1,((CROQUIS_DATOS!$C$1479+CROQUIS_DATOS!$C$1480))-(CROQUIS_DATOS!$C$1479)&gt;0.5,(CROQUIS_DATOS!$C$1476)-((CROQUIS_DATOS!$C$1481+CROQUIS_DATOS!$C$1482))&gt;0.5),(CROQUIS_DATOS!$C$1567+(IF(IF(MOD(MIN(INT(($A110-1)/2)+1,MAX(1,INT(((((CROQUIS_DATOS!$C$1479+CROQUIS_DATOS!$C$1480))-(CROQUIS_DATOS!$C$1479))+((CROQUIS_DATOS!$C$1476)*CROQUIS_DATOS!$C$1561-((CROQUIS_DATOS!$C$1481+CROQUIS_DATOS!$C$1482))*CROQUIS_DATOS!$C$1561))/CROQUIS_DATOS!$C$1568-0.000001))),2)=1,IF(INT(($A110-1)/2)+1&gt;MAX(1,INT(((((CROQUIS_DATOS!$C$1479+CROQUIS_DATOS!$C$1480))-(CROQUIS_DATOS!$C$1479))+((CROQUIS_DATOS!$C$1476)*CROQUIS_DATOS!$C$1561-((CROQUIS_DATOS!$C$1481+CROQUIS_DATOS!$C$1482))*CROQUIS_DATOS!$C$1561))/CROQUIS_DATOS!$C$1568-0.000001)),1,MOD($A110-1,2)),1-IF(INT(($A110-1)/2)+1&gt;MAX(1,INT(((((CROQUIS_DATOS!$C$1479+CROQUIS_DATOS!$C$1480))-(CROQUIS_DATOS!$C$1479))+((CROQUIS_DATOS!$C$1476)*CROQUIS_DATOS!$C$1561-((CROQUIS_DATOS!$C$1481+CROQUIS_DATOS!$C$1482))*CROQUIS_DATOS!$C$1561))/CROQUIS_DATOS!$C$1568-0.000001)),1,MOD($A110-1,2)))=1,MIN((CROQUIS_DATOS!$C$1476)*CROQUIS_DATOS!$C$1561,((CROQUIS_DATOS!$C$1479+CROQUIS_DATOS!$C$1480)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0">
        <f>IF(AND(CROQUIS_DATOS!$C$1472=1,CROQUIS_DATOS!$C$1478&gt;=2,((CROQUIS_DATOS!$C$1484+CROQUIS_DATOS!$C$1485))-(CROQUIS_DATOS!$C$1484)&gt;0.5,(CROQUIS_DATOS!$C$1486)-(0)&gt;0.5),(CROQUIS_DATOS!$C$1566+(IF(IF(MOD(MIN(INT(($A110-1)/2)+1,MAX(1,INT(((((CROQUIS_DATOS!$C$1484+CROQUIS_DATOS!$C$1485))-(CROQUIS_DATOS!$C$1484))+((CROQUIS_DATOS!$C$1486)*CROQUIS_DATOS!$C$1561-(0)*CROQUIS_DATOS!$C$1561))/CROQUIS_DATOS!$C$1568-0.000001))),2)=1,IF(INT(($A110-1)/2)+1&gt;MAX(1,INT(((((CROQUIS_DATOS!$C$1484+CROQUIS_DATOS!$C$1485))-(CROQUIS_DATOS!$C$1484))+((CROQUIS_DATOS!$C$1486)*CROQUIS_DATOS!$C$1561-(0)*CROQUIS_DATOS!$C$1561))/CROQUIS_DATOS!$C$1568-0.000001)),1,MOD($A110-1,2)),1-IF(INT(($A110-1)/2)+1&gt;MAX(1,INT(((((CROQUIS_DATOS!$C$1484+CROQUIS_DATOS!$C$1485))-(CROQUIS_DATOS!$C$1484))+((CROQUIS_DATOS!$C$1486)*CROQUIS_DATOS!$C$1561-(0)*CROQUIS_DATOS!$C$1561))/CROQUIS_DATOS!$C$1568-0.000001)),1,MOD($A110-1,2)))=1,MIN((CROQUIS_DATOS!$C$1486)*CROQUIS_DATOS!$C$1561,((CROQUIS_DATOS!$C$1484+CROQUIS_DATOS!$C$1485)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0">
        <f>IF(AND(CROQUIS_DATOS!$C$1472=1,CROQUIS_DATOS!$C$1478&gt;=2,((CROQUIS_DATOS!$C$1484+CROQUIS_DATOS!$C$1485))-(CROQUIS_DATOS!$C$1484)&gt;0.5,(CROQUIS_DATOS!$C$1486)-(0)&gt;0.5),(CROQUIS_DATOS!$C$1567+(IF(IF(MOD(MIN(INT(($A110-1)/2)+1,MAX(1,INT(((((CROQUIS_DATOS!$C$1484+CROQUIS_DATOS!$C$1485))-(CROQUIS_DATOS!$C$1484))+((CROQUIS_DATOS!$C$1486)*CROQUIS_DATOS!$C$1561-(0)*CROQUIS_DATOS!$C$1561))/CROQUIS_DATOS!$C$1568-0.000001))),2)=1,IF(INT(($A110-1)/2)+1&gt;MAX(1,INT(((((CROQUIS_DATOS!$C$1484+CROQUIS_DATOS!$C$1485))-(CROQUIS_DATOS!$C$1484))+((CROQUIS_DATOS!$C$1486)*CROQUIS_DATOS!$C$1561-(0)*CROQUIS_DATOS!$C$1561))/CROQUIS_DATOS!$C$1568-0.000001)),1,MOD($A110-1,2)),1-IF(INT(($A110-1)/2)+1&gt;MAX(1,INT(((((CROQUIS_DATOS!$C$1484+CROQUIS_DATOS!$C$1485))-(CROQUIS_DATOS!$C$1484))+((CROQUIS_DATOS!$C$1486)*CROQUIS_DATOS!$C$1561-(0)*CROQUIS_DATOS!$C$1561))/CROQUIS_DATOS!$C$1568-0.000001)),1,MOD($A110-1,2)))=1,MIN((CROQUIS_DATOS!$C$1486)*CROQUIS_DATOS!$C$1561,((CROQUIS_DATOS!$C$1484+CROQUIS_DATOS!$C$1485)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0">
        <f>IF(AND(CROQUIS_DATOS!$C$1472=1,CROQUIS_DATOS!$C$1478&gt;=2,((CROQUIS_DATOS!$C$1484+CROQUIS_DATOS!$C$1485))-(CROQUIS_DATOS!$C$1484)&gt;0.5,(CROQUIS_DATOS!$C$1476)-((CROQUIS_DATOS!$C$1486+CROQUIS_DATOS!$C$1487))&gt;0.5),(CROQUIS_DATOS!$C$1566+(IF(IF(MOD(MIN(INT(($A110-1)/2)+1,MAX(1,INT(((((CROQUIS_DATOS!$C$1484+CROQUIS_DATOS!$C$1485))-(CROQUIS_DATOS!$C$1484))+((CROQUIS_DATOS!$C$1476)*CROQUIS_DATOS!$C$1561-((CROQUIS_DATOS!$C$1486+CROQUIS_DATOS!$C$1487))*CROQUIS_DATOS!$C$1561))/CROQUIS_DATOS!$C$1568-0.000001))),2)=1,IF(INT(($A110-1)/2)+1&gt;MAX(1,INT(((((CROQUIS_DATOS!$C$1484+CROQUIS_DATOS!$C$1485))-(CROQUIS_DATOS!$C$1484))+((CROQUIS_DATOS!$C$1476)*CROQUIS_DATOS!$C$1561-((CROQUIS_DATOS!$C$1486+CROQUIS_DATOS!$C$1487))*CROQUIS_DATOS!$C$1561))/CROQUIS_DATOS!$C$1568-0.000001)),1,MOD($A110-1,2)),1-IF(INT(($A110-1)/2)+1&gt;MAX(1,INT(((((CROQUIS_DATOS!$C$1484+CROQUIS_DATOS!$C$1485))-(CROQUIS_DATOS!$C$1484))+((CROQUIS_DATOS!$C$1476)*CROQUIS_DATOS!$C$1561-((CROQUIS_DATOS!$C$1486+CROQUIS_DATOS!$C$1487))*CROQUIS_DATOS!$C$1561))/CROQUIS_DATOS!$C$1568-0.000001)),1,MOD($A110-1,2)))=1,MIN((CROQUIS_DATOS!$C$1476)*CROQUIS_DATOS!$C$1561,((CROQUIS_DATOS!$C$1484+CROQUIS_DATOS!$C$1485)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0">
        <f>IF(AND(CROQUIS_DATOS!$C$1472=1,CROQUIS_DATOS!$C$1478&gt;=2,((CROQUIS_DATOS!$C$1484+CROQUIS_DATOS!$C$1485))-(CROQUIS_DATOS!$C$1484)&gt;0.5,(CROQUIS_DATOS!$C$1476)-((CROQUIS_DATOS!$C$1486+CROQUIS_DATOS!$C$1487))&gt;0.5),(CROQUIS_DATOS!$C$1567+(IF(IF(MOD(MIN(INT(($A110-1)/2)+1,MAX(1,INT(((((CROQUIS_DATOS!$C$1484+CROQUIS_DATOS!$C$1485))-(CROQUIS_DATOS!$C$1484))+((CROQUIS_DATOS!$C$1476)*CROQUIS_DATOS!$C$1561-((CROQUIS_DATOS!$C$1486+CROQUIS_DATOS!$C$1487))*CROQUIS_DATOS!$C$1561))/CROQUIS_DATOS!$C$1568-0.000001))),2)=1,IF(INT(($A110-1)/2)+1&gt;MAX(1,INT(((((CROQUIS_DATOS!$C$1484+CROQUIS_DATOS!$C$1485))-(CROQUIS_DATOS!$C$1484))+((CROQUIS_DATOS!$C$1476)*CROQUIS_DATOS!$C$1561-((CROQUIS_DATOS!$C$1486+CROQUIS_DATOS!$C$1487))*CROQUIS_DATOS!$C$1561))/CROQUIS_DATOS!$C$1568-0.000001)),1,MOD($A110-1,2)),1-IF(INT(($A110-1)/2)+1&gt;MAX(1,INT(((((CROQUIS_DATOS!$C$1484+CROQUIS_DATOS!$C$1485))-(CROQUIS_DATOS!$C$1484))+((CROQUIS_DATOS!$C$1476)*CROQUIS_DATOS!$C$1561-((CROQUIS_DATOS!$C$1486+CROQUIS_DATOS!$C$1487))*CROQUIS_DATOS!$C$1561))/CROQUIS_DATOS!$C$1568-0.000001)),1,MOD($A110-1,2)))=1,MIN((CROQUIS_DATOS!$C$1476)*CROQUIS_DATOS!$C$1561,((CROQUIS_DATOS!$C$1484+CROQUIS_DATOS!$C$1485)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0">
        <f>IF(AND(CROQUIS_DATOS!$C$1472=1,CROQUIS_DATOS!$C$1478&gt;=3,((CROQUIS_DATOS!$C$1489+CROQUIS_DATOS!$C$1490))-(CROQUIS_DATOS!$C$1489)&gt;0.5,(CROQUIS_DATOS!$C$1491)-(0)&gt;0.5),(CROQUIS_DATOS!$C$1566+(IF(IF(MOD(MIN(INT(($A110-1)/2)+1,MAX(1,INT(((((CROQUIS_DATOS!$C$1489+CROQUIS_DATOS!$C$1490))-(CROQUIS_DATOS!$C$1489))+((CROQUIS_DATOS!$C$1491)*CROQUIS_DATOS!$C$1561-(0)*CROQUIS_DATOS!$C$1561))/CROQUIS_DATOS!$C$1568-0.000001))),2)=1,IF(INT(($A110-1)/2)+1&gt;MAX(1,INT(((((CROQUIS_DATOS!$C$1489+CROQUIS_DATOS!$C$1490))-(CROQUIS_DATOS!$C$1489))+((CROQUIS_DATOS!$C$1491)*CROQUIS_DATOS!$C$1561-(0)*CROQUIS_DATOS!$C$1561))/CROQUIS_DATOS!$C$1568-0.000001)),1,MOD($A110-1,2)),1-IF(INT(($A110-1)/2)+1&gt;MAX(1,INT(((((CROQUIS_DATOS!$C$1489+CROQUIS_DATOS!$C$1490))-(CROQUIS_DATOS!$C$1489))+((CROQUIS_DATOS!$C$1491)*CROQUIS_DATOS!$C$1561-(0)*CROQUIS_DATOS!$C$1561))/CROQUIS_DATOS!$C$1568-0.000001)),1,MOD($A110-1,2)))=1,MIN((CROQUIS_DATOS!$C$1491)*CROQUIS_DATOS!$C$1561,((CROQUIS_DATOS!$C$1489+CROQUIS_DATOS!$C$1490)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0">
        <f>IF(AND(CROQUIS_DATOS!$C$1472=1,CROQUIS_DATOS!$C$1478&gt;=3,((CROQUIS_DATOS!$C$1489+CROQUIS_DATOS!$C$1490))-(CROQUIS_DATOS!$C$1489)&gt;0.5,(CROQUIS_DATOS!$C$1491)-(0)&gt;0.5),(CROQUIS_DATOS!$C$1567+(IF(IF(MOD(MIN(INT(($A110-1)/2)+1,MAX(1,INT(((((CROQUIS_DATOS!$C$1489+CROQUIS_DATOS!$C$1490))-(CROQUIS_DATOS!$C$1489))+((CROQUIS_DATOS!$C$1491)*CROQUIS_DATOS!$C$1561-(0)*CROQUIS_DATOS!$C$1561))/CROQUIS_DATOS!$C$1568-0.000001))),2)=1,IF(INT(($A110-1)/2)+1&gt;MAX(1,INT(((((CROQUIS_DATOS!$C$1489+CROQUIS_DATOS!$C$1490))-(CROQUIS_DATOS!$C$1489))+((CROQUIS_DATOS!$C$1491)*CROQUIS_DATOS!$C$1561-(0)*CROQUIS_DATOS!$C$1561))/CROQUIS_DATOS!$C$1568-0.000001)),1,MOD($A110-1,2)),1-IF(INT(($A110-1)/2)+1&gt;MAX(1,INT(((((CROQUIS_DATOS!$C$1489+CROQUIS_DATOS!$C$1490))-(CROQUIS_DATOS!$C$1489))+((CROQUIS_DATOS!$C$1491)*CROQUIS_DATOS!$C$1561-(0)*CROQUIS_DATOS!$C$1561))/CROQUIS_DATOS!$C$1568-0.000001)),1,MOD($A110-1,2)))=1,MIN((CROQUIS_DATOS!$C$1491)*CROQUIS_DATOS!$C$1561,((CROQUIS_DATOS!$C$1489+CROQUIS_DATOS!$C$1490)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0">
        <f>IF(AND(CROQUIS_DATOS!$C$1472=1,CROQUIS_DATOS!$C$1478&gt;=3,((CROQUIS_DATOS!$C$1489+CROQUIS_DATOS!$C$1490))-(CROQUIS_DATOS!$C$1489)&gt;0.5,(CROQUIS_DATOS!$C$1476)-((CROQUIS_DATOS!$C$1491+CROQUIS_DATOS!$C$1492))&gt;0.5),(CROQUIS_DATOS!$C$1566+(IF(IF(MOD(MIN(INT(($A110-1)/2)+1,MAX(1,INT(((((CROQUIS_DATOS!$C$1489+CROQUIS_DATOS!$C$1490))-(CROQUIS_DATOS!$C$1489))+((CROQUIS_DATOS!$C$1476)*CROQUIS_DATOS!$C$1561-((CROQUIS_DATOS!$C$1491+CROQUIS_DATOS!$C$1492))*CROQUIS_DATOS!$C$1561))/CROQUIS_DATOS!$C$1568-0.000001))),2)=1,IF(INT(($A110-1)/2)+1&gt;MAX(1,INT(((((CROQUIS_DATOS!$C$1489+CROQUIS_DATOS!$C$1490))-(CROQUIS_DATOS!$C$1489))+((CROQUIS_DATOS!$C$1476)*CROQUIS_DATOS!$C$1561-((CROQUIS_DATOS!$C$1491+CROQUIS_DATOS!$C$1492))*CROQUIS_DATOS!$C$1561))/CROQUIS_DATOS!$C$1568-0.000001)),1,MOD($A110-1,2)),1-IF(INT(($A110-1)/2)+1&gt;MAX(1,INT(((((CROQUIS_DATOS!$C$1489+CROQUIS_DATOS!$C$1490))-(CROQUIS_DATOS!$C$1489))+((CROQUIS_DATOS!$C$1476)*CROQUIS_DATOS!$C$1561-((CROQUIS_DATOS!$C$1491+CROQUIS_DATOS!$C$1492))*CROQUIS_DATOS!$C$1561))/CROQUIS_DATOS!$C$1568-0.000001)),1,MOD($A110-1,2)))=1,MIN((CROQUIS_DATOS!$C$1476)*CROQUIS_DATOS!$C$1561,((CROQUIS_DATOS!$C$1489+CROQUIS_DATOS!$C$1490)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0">
        <f>IF(AND(CROQUIS_DATOS!$C$1472=1,CROQUIS_DATOS!$C$1478&gt;=3,((CROQUIS_DATOS!$C$1489+CROQUIS_DATOS!$C$1490))-(CROQUIS_DATOS!$C$1489)&gt;0.5,(CROQUIS_DATOS!$C$1476)-((CROQUIS_DATOS!$C$1491+CROQUIS_DATOS!$C$1492))&gt;0.5),(CROQUIS_DATOS!$C$1567+(IF(IF(MOD(MIN(INT(($A110-1)/2)+1,MAX(1,INT(((((CROQUIS_DATOS!$C$1489+CROQUIS_DATOS!$C$1490))-(CROQUIS_DATOS!$C$1489))+((CROQUIS_DATOS!$C$1476)*CROQUIS_DATOS!$C$1561-((CROQUIS_DATOS!$C$1491+CROQUIS_DATOS!$C$1492))*CROQUIS_DATOS!$C$1561))/CROQUIS_DATOS!$C$1568-0.000001))),2)=1,IF(INT(($A110-1)/2)+1&gt;MAX(1,INT(((((CROQUIS_DATOS!$C$1489+CROQUIS_DATOS!$C$1490))-(CROQUIS_DATOS!$C$1489))+((CROQUIS_DATOS!$C$1476)*CROQUIS_DATOS!$C$1561-((CROQUIS_DATOS!$C$1491+CROQUIS_DATOS!$C$1492))*CROQUIS_DATOS!$C$1561))/CROQUIS_DATOS!$C$1568-0.000001)),1,MOD($A110-1,2)),1-IF(INT(($A110-1)/2)+1&gt;MAX(1,INT(((((CROQUIS_DATOS!$C$1489+CROQUIS_DATOS!$C$1490))-(CROQUIS_DATOS!$C$1489))+((CROQUIS_DATOS!$C$1476)*CROQUIS_DATOS!$C$1561-((CROQUIS_DATOS!$C$1491+CROQUIS_DATOS!$C$1492))*CROQUIS_DATOS!$C$1561))/CROQUIS_DATOS!$C$1568-0.000001)),1,MOD($A110-1,2)))=1,MIN((CROQUIS_DATOS!$C$1476)*CROQUIS_DATOS!$C$1561,((CROQUIS_DATOS!$C$1489+CROQUIS_DATOS!$C$1490)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0">
        <f>IF(AND(CROQUIS_DATOS!$C$1472=1,CROQUIS_DATOS!$C$1478&gt;=4,((CROQUIS_DATOS!$C$1494+CROQUIS_DATOS!$C$1495))-(CROQUIS_DATOS!$C$1494)&gt;0.5,(CROQUIS_DATOS!$C$1496)-(0)&gt;0.5),(CROQUIS_DATOS!$C$1566+(IF(IF(MOD(MIN(INT(($A110-1)/2)+1,MAX(1,INT(((((CROQUIS_DATOS!$C$1494+CROQUIS_DATOS!$C$1495))-(CROQUIS_DATOS!$C$1494))+((CROQUIS_DATOS!$C$1496)*CROQUIS_DATOS!$C$1561-(0)*CROQUIS_DATOS!$C$1561))/CROQUIS_DATOS!$C$1568-0.000001))),2)=1,IF(INT(($A110-1)/2)+1&gt;MAX(1,INT(((((CROQUIS_DATOS!$C$1494+CROQUIS_DATOS!$C$1495))-(CROQUIS_DATOS!$C$1494))+((CROQUIS_DATOS!$C$1496)*CROQUIS_DATOS!$C$1561-(0)*CROQUIS_DATOS!$C$1561))/CROQUIS_DATOS!$C$1568-0.000001)),1,MOD($A110-1,2)),1-IF(INT(($A110-1)/2)+1&gt;MAX(1,INT(((((CROQUIS_DATOS!$C$1494+CROQUIS_DATOS!$C$1495))-(CROQUIS_DATOS!$C$1494))+((CROQUIS_DATOS!$C$1496)*CROQUIS_DATOS!$C$1561-(0)*CROQUIS_DATOS!$C$1561))/CROQUIS_DATOS!$C$1568-0.000001)),1,MOD($A110-1,2)))=1,MIN((CROQUIS_DATOS!$C$1496)*CROQUIS_DATOS!$C$1561,((CROQUIS_DATOS!$C$1494+CROQUIS_DATOS!$C$1495)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0">
        <f>IF(AND(CROQUIS_DATOS!$C$1472=1,CROQUIS_DATOS!$C$1478&gt;=4,((CROQUIS_DATOS!$C$1494+CROQUIS_DATOS!$C$1495))-(CROQUIS_DATOS!$C$1494)&gt;0.5,(CROQUIS_DATOS!$C$1496)-(0)&gt;0.5),(CROQUIS_DATOS!$C$1567+(IF(IF(MOD(MIN(INT(($A110-1)/2)+1,MAX(1,INT(((((CROQUIS_DATOS!$C$1494+CROQUIS_DATOS!$C$1495))-(CROQUIS_DATOS!$C$1494))+((CROQUIS_DATOS!$C$1496)*CROQUIS_DATOS!$C$1561-(0)*CROQUIS_DATOS!$C$1561))/CROQUIS_DATOS!$C$1568-0.000001))),2)=1,IF(INT(($A110-1)/2)+1&gt;MAX(1,INT(((((CROQUIS_DATOS!$C$1494+CROQUIS_DATOS!$C$1495))-(CROQUIS_DATOS!$C$1494))+((CROQUIS_DATOS!$C$1496)*CROQUIS_DATOS!$C$1561-(0)*CROQUIS_DATOS!$C$1561))/CROQUIS_DATOS!$C$1568-0.000001)),1,MOD($A110-1,2)),1-IF(INT(($A110-1)/2)+1&gt;MAX(1,INT(((((CROQUIS_DATOS!$C$1494+CROQUIS_DATOS!$C$1495))-(CROQUIS_DATOS!$C$1494))+((CROQUIS_DATOS!$C$1496)*CROQUIS_DATOS!$C$1561-(0)*CROQUIS_DATOS!$C$1561))/CROQUIS_DATOS!$C$1568-0.000001)),1,MOD($A110-1,2)))=1,MIN((CROQUIS_DATOS!$C$1496)*CROQUIS_DATOS!$C$1561,((CROQUIS_DATOS!$C$1494+CROQUIS_DATOS!$C$1495)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0">
        <f>IF(AND(CROQUIS_DATOS!$C$1472=1,CROQUIS_DATOS!$C$1478&gt;=4,((CROQUIS_DATOS!$C$1494+CROQUIS_DATOS!$C$1495))-(CROQUIS_DATOS!$C$1494)&gt;0.5,(CROQUIS_DATOS!$C$1476)-((CROQUIS_DATOS!$C$1496+CROQUIS_DATOS!$C$1497))&gt;0.5),(CROQUIS_DATOS!$C$1566+(IF(IF(MOD(MIN(INT(($A110-1)/2)+1,MAX(1,INT(((((CROQUIS_DATOS!$C$1494+CROQUIS_DATOS!$C$1495))-(CROQUIS_DATOS!$C$1494))+((CROQUIS_DATOS!$C$1476)*CROQUIS_DATOS!$C$1561-((CROQUIS_DATOS!$C$1496+CROQUIS_DATOS!$C$1497))*CROQUIS_DATOS!$C$1561))/CROQUIS_DATOS!$C$1568-0.000001))),2)=1,IF(INT(($A110-1)/2)+1&gt;MAX(1,INT(((((CROQUIS_DATOS!$C$1494+CROQUIS_DATOS!$C$1495))-(CROQUIS_DATOS!$C$1494))+((CROQUIS_DATOS!$C$1476)*CROQUIS_DATOS!$C$1561-((CROQUIS_DATOS!$C$1496+CROQUIS_DATOS!$C$1497))*CROQUIS_DATOS!$C$1561))/CROQUIS_DATOS!$C$1568-0.000001)),1,MOD($A110-1,2)),1-IF(INT(($A110-1)/2)+1&gt;MAX(1,INT(((((CROQUIS_DATOS!$C$1494+CROQUIS_DATOS!$C$1495))-(CROQUIS_DATOS!$C$1494))+((CROQUIS_DATOS!$C$1476)*CROQUIS_DATOS!$C$1561-((CROQUIS_DATOS!$C$1496+CROQUIS_DATOS!$C$1497))*CROQUIS_DATOS!$C$1561))/CROQUIS_DATOS!$C$1568-0.000001)),1,MOD($A110-1,2)))=1,MIN((CROQUIS_DATOS!$C$1476)*CROQUIS_DATOS!$C$1561,((CROQUIS_DATOS!$C$1494+CROQUIS_DATOS!$C$1495)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0">
        <f>IF(AND(CROQUIS_DATOS!$C$1472=1,CROQUIS_DATOS!$C$1478&gt;=4,((CROQUIS_DATOS!$C$1494+CROQUIS_DATOS!$C$1495))-(CROQUIS_DATOS!$C$1494)&gt;0.5,(CROQUIS_DATOS!$C$1476)-((CROQUIS_DATOS!$C$1496+CROQUIS_DATOS!$C$1497))&gt;0.5),(CROQUIS_DATOS!$C$1567+(IF(IF(MOD(MIN(INT(($A110-1)/2)+1,MAX(1,INT(((((CROQUIS_DATOS!$C$1494+CROQUIS_DATOS!$C$1495))-(CROQUIS_DATOS!$C$1494))+((CROQUIS_DATOS!$C$1476)*CROQUIS_DATOS!$C$1561-((CROQUIS_DATOS!$C$1496+CROQUIS_DATOS!$C$1497))*CROQUIS_DATOS!$C$1561))/CROQUIS_DATOS!$C$1568-0.000001))),2)=1,IF(INT(($A110-1)/2)+1&gt;MAX(1,INT(((((CROQUIS_DATOS!$C$1494+CROQUIS_DATOS!$C$1495))-(CROQUIS_DATOS!$C$1494))+((CROQUIS_DATOS!$C$1476)*CROQUIS_DATOS!$C$1561-((CROQUIS_DATOS!$C$1496+CROQUIS_DATOS!$C$1497))*CROQUIS_DATOS!$C$1561))/CROQUIS_DATOS!$C$1568-0.000001)),1,MOD($A110-1,2)),1-IF(INT(($A110-1)/2)+1&gt;MAX(1,INT(((((CROQUIS_DATOS!$C$1494+CROQUIS_DATOS!$C$1495))-(CROQUIS_DATOS!$C$1494))+((CROQUIS_DATOS!$C$1476)*CROQUIS_DATOS!$C$1561-((CROQUIS_DATOS!$C$1496+CROQUIS_DATOS!$C$1497))*CROQUIS_DATOS!$C$1561))/CROQUIS_DATOS!$C$1568-0.000001)),1,MOD($A110-1,2)))=1,MIN((CROQUIS_DATOS!$C$1476)*CROQUIS_DATOS!$C$1561,((CROQUIS_DATOS!$C$1494+CROQUIS_DATOS!$C$1495)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1">
      <c r="A111" t="n">
        <v>104</v>
      </c>
      <c r="N111">
        <f>IF(AND(CROQUIS_DATOS!$C$1472=1,1),(CROQUIS_DATOS!$C$1563+(IF(IF(IF(INT(($A111-1)/70)+1&gt;CROQUIS_DATOS!$C$1525,70,MOD($A111-1,70)+1)=1,0,IF(IF(INT(($A111-1)/70)+1&gt;CROQUIS_DATOS!$C$1525,70,MOD($A111-1,70)+1)&gt;2*CROQUIS_DATOS!$C$1541+1,IF(MOD(CROQUIS_DATOS!$C$1541,2)=1,1,0),IF(MOD(MIN(INT((IF(INT(($A111-1)/70)+1&gt;CROQUIS_DATOS!$C$1525,70,MOD($A111-1,70)+1)-2)/2)+1,CROQUIS_DATOS!$C$1541),2)=1,IF(MOD(IF(INT(($A111-1)/70)+1&gt;CROQUIS_DATOS!$C$1525,70,MOD($A111-1,70)+1)-2,2)=0,0,1),IF(MOD(IF(INT(($A111-1)/70)+1&gt;CROQUIS_DATOS!$C$1525,70,MOD($A111-1,70)+1)-2,2)=0,1,0))))=0,(INDEX($E$8:$E$23,MIN(INT(($A111-1)/70)+1,CROQUIS_DATOS!$C$1525))-INDEX($F$8:$F$23,MIN(INT(($A111-1)/70)+1,CROQUIS_DATOS!$C$1525))/2),(INDEX($E$8:$E$23,MIN(INT(($A111-1)/70)+1,CROQUIS_DATOS!$C$1525))+INDEX($F$8:$F$23,MIN(INT(($A111-1)/70)+1,CROQUIS_DATOS!$C$1525))/2)))*CROQUIS_DATOS!$C$1562),-1000)</f>
        <v>18.5775862068965</v>
      </c>
      <c r="O111">
        <f>IF(AND(CROQUIS_DATOS!$C$1472=1,1),(CROQUIS_DATOS!$C$1564+(IF(OR(IF(INT(($A111-1)/70)+1&gt;CROQUIS_DATOS!$C$1525,70,MOD($A111-1,70)+1)=1,IF(INT(($A111-1)/70)+1&gt;CROQUIS_DATOS!$C$1525,70,MOD($A111-1,70)+1)&gt;2*CROQUIS_DATOS!$C$1541+1),CROQUIS_DATOS!$C$1476,INDEX($H$8:$H$41,MIN(INT((IF(INT(($A111-1)/70)+1&gt;CROQUIS_DATOS!$C$1525,70,MOD($A111-1,70)+1)-2)/2)+1,CROQUIS_DATOS!$C$1541))))*CROQUIS_DATOS!$C$1561*CROQUIS_DATOS!$C$1562),-1000)</f>
        <v>38.1120689655172</v>
      </c>
      <c r="P111">
        <f>IF(AND(CROQUIS_DATOS!$C$1472=1,CROQUIS_DATOS!$C$1555=1),(CROQUIS_DATOS!$C$1563+(IF(IF(OR(MOD($A111-1,62)+1=1,IF(CHOOSE(MIN(MAX(MIN(INT(($A111-1)/62)+1,5),1),5),CROQUIS_DATOS!$C$1501,CROQUIS_DATOS!$C$1505,CROQUIS_DATOS!$C$1509,CROQUIS_DATOS!$C$1513,CROQUIS_DATOS!$C$1517)=1,CROQUIS_DATOS!$C$1557,0)=0),0,IF(MOD($A111-1,62)+1&gt;2*IF(CHOOSE(MIN(MAX(MIN(INT(($A111-1)/62)+1,5),1),5),CROQUIS_DATOS!$C$1501,CROQUIS_DATOS!$C$1505,CROQUIS_DATOS!$C$1509,CROQUIS_DATOS!$C$1513,CROQUIS_DATOS!$C$1517)=1,CROQUIS_DATOS!$C$1557,0)+1,IF(MOD(IF(CHOOSE(MIN(MAX(MIN(INT(($A111-1)/62)+1,5),1),5),CROQUIS_DATOS!$C$1501,CROQUIS_DATOS!$C$1505,CROQUIS_DATOS!$C$1509,CROQUIS_DATOS!$C$1513,CROQUIS_DATOS!$C$1517)=1,CROQUIS_DATOS!$C$1557,0),2)=1,1,0),IF(MOD(MIN(INT((MOD($A111-1,62)+1-2)/2)+1,MAX(IF(CHOOSE(MIN(MAX(MIN(INT(($A111-1)/62)+1,5),1),5),CROQUIS_DATOS!$C$1501,CROQUIS_DATOS!$C$1505,CROQUIS_DATOS!$C$1509,CROQUIS_DATOS!$C$1513,CROQUIS_DATOS!$C$1517)=1,CROQUIS_DATOS!$C$1557,0),1)),2)=1,IF(MOD(MOD($A111-1,62)+1-2,2)=0,0,1),IF(MOD(MOD($A111-1,62)+1-2,2)=0,1,0))))=0,(CHOOSE(MIN(MAX(MIN(INT(($A111-1)/62)+1,5),1),5),CROQUIS_DATOS!$C$1499,CROQUIS_DATOS!$C$1503,CROQUIS_DATOS!$C$1507,CROQUIS_DATOS!$C$1511,CROQUIS_DATOS!$C$1515)+IF(CHOOSE(MIN(MAX(MIN(INT(($A111-1)/62)+1,5),1),5),CROQUIS_DATOS!$C$1501,CROQUIS_DATOS!$C$1505,CROQUIS_DATOS!$C$1509,CROQUIS_DATOS!$C$1513,CROQUIS_DATOS!$C$1517)=1,CROQUIS_DATOS!$C$1526,0)),(CHOOSE(MIN(MAX(MIN(INT(($A111-1)/62)+1,5),1),5),CROQUIS_DATOS!$C$1499,CROQUIS_DATOS!$C$1503,CROQUIS_DATOS!$C$1507,CROQUIS_DATOS!$C$1511,CROQUIS_DATOS!$C$1515)+CHOOSE(MIN(MAX(MIN(INT(($A111-1)/62)+1,5),1),5),CROQUIS_DATOS!$C$1500,CROQUIS_DATOS!$C$1504,CROQUIS_DATOS!$C$1508,CROQUIS_DATOS!$C$1512,CROQUIS_DATOS!$C$1516)-IF(CHOOSE(MIN(MAX(MIN(INT(($A111-1)/62)+1,5),1),5),CROQUIS_DATOS!$C$1501,CROQUIS_DATOS!$C$1505,CROQUIS_DATOS!$C$1509,CROQUIS_DATOS!$C$1513,CROQUIS_DATOS!$C$1517)=1,CROQUIS_DATOS!$C$1526,0))))*CROQUIS_DATOS!$C$1562),-1000)</f>
        <v>-1000</v>
      </c>
      <c r="Q111">
        <f>IF(AND(CROQUIS_DATOS!$C$1472=1,CROQUIS_DATOS!$C$1555=1),(CROQUIS_DATOS!$C$1564+(IF(OR(OR(MOD($A111-1,62)+1=1,IF(CHOOSE(MIN(MAX(MIN(INT(($A111-1)/62)+1,5),1),5),CROQUIS_DATOS!$C$1501,CROQUIS_DATOS!$C$1505,CROQUIS_DATOS!$C$1509,CROQUIS_DATOS!$C$1513,CROQUIS_DATOS!$C$1517)=1,CROQUIS_DATOS!$C$1557,0)=0),MOD($A111-1,62)+1&gt;2*IF(CHOOSE(MIN(MAX(MIN(INT(($A111-1)/62)+1,5),1),5),CROQUIS_DATOS!$C$1501,CROQUIS_DATOS!$C$1505,CROQUIS_DATOS!$C$1509,CROQUIS_DATOS!$C$1513,CROQUIS_DATOS!$C$1517)=1,CROQUIS_DATOS!$C$1557,0)+1),CROQUIS_DATOS!$C$1476,MIN(INT((MOD($A111-1,62)+1-2)/2)+1,MAX(IF(CHOOSE(MIN(MAX(MIN(INT(($A111-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1">
        <f>IF(AND(CROQUIS_DATOS!$C$1472=1,1),(CROQUIS_DATOS!$C$1563+(MIN(INT(($A111-1)/2)+1,CROQUIS_DATOS!$C$1558)*CROQUIS_DATOS!$C$1559)*CROQUIS_DATOS!$C$1562),-1000)</f>
        <v>82.2281167108753</v>
      </c>
      <c r="U111">
        <f>IF(AND(CROQUIS_DATOS!$C$1472=1,1),(CROQUIS_DATOS!$C$1564+(IF(INT(($A111-1)/2)+1&gt;CROQUIS_DATOS!$C$1558,IF(MOD(CROQUIS_DATOS!$C$1558,2)=1,CROQUIS_DATOS!$C$1476+CROQUIS_DATOS!$C$1528,CROQUIS_DATOS!$C$1476),IF(IF(MOD(MIN(INT(($A111-1)/2)+1,CROQUIS_DATOS!$C$1558),2)=1,MOD($A111-1,2),1-MOD($A111-1,2))=1,CROQUIS_DATOS!$C$1476+CROQUIS_DATOS!$C$1528,CROQUIS_DATOS!$C$1476)))*CROQUIS_DATOS!$C$1561*CROQUIS_DATOS!$C$1562),-1000)</f>
        <v>43</v>
      </c>
      <c r="BZ111">
        <f>IF(AND(CROQUIS_DATOS!$C$1472=1,CROQUIS_DATOS!$C$1500&gt;0,((CROQUIS_DATOS!$C$1499+CROQUIS_DATOS!$C$1500))-(CROQUIS_DATOS!$C$1499)&gt;0.5,(CROQUIS_DATOS!$C$1476)-(0)&gt;0.5),(CROQUIS_DATOS!$C$1566+(IF(IF(MOD(MIN(INT(($A111-1)/2)+1,MAX(1,INT(((((CROQUIS_DATOS!$C$1499+CROQUIS_DATOS!$C$1500))-(CROQUIS_DATOS!$C$1499))+((CROQUIS_DATOS!$C$1476)*CROQUIS_DATOS!$C$1561-(0)*CROQUIS_DATOS!$C$1561))/CROQUIS_DATOS!$C$1568-0.000001))),2)=1,IF(INT(($A111-1)/2)+1&gt;MAX(1,INT(((((CROQUIS_DATOS!$C$1499+CROQUIS_DATOS!$C$1500))-(CROQUIS_DATOS!$C$1499))+((CROQUIS_DATOS!$C$1476)*CROQUIS_DATOS!$C$1561-(0)*CROQUIS_DATOS!$C$1561))/CROQUIS_DATOS!$C$1568-0.000001)),1,MOD($A111-1,2)),1-IF(INT(($A111-1)/2)+1&gt;MAX(1,INT(((((CROQUIS_DATOS!$C$1499+CROQUIS_DATOS!$C$1500))-(CROQUIS_DATOS!$C$1499))+((CROQUIS_DATOS!$C$1476)*CROQUIS_DATOS!$C$1561-(0)*CROQUIS_DATOS!$C$1561))/CROQUIS_DATOS!$C$1568-0.000001)),1,MOD($A111-1,2)))=1,MIN((CROQUIS_DATOS!$C$1476)*CROQUIS_DATOS!$C$1561,((CROQUIS_DATOS!$C$1499+CROQUIS_DATOS!$C$1500)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1">
        <f>IF(AND(CROQUIS_DATOS!$C$1472=1,CROQUIS_DATOS!$C$1500&gt;0,((CROQUIS_DATOS!$C$1499+CROQUIS_DATOS!$C$1500))-(CROQUIS_DATOS!$C$1499)&gt;0.5,(CROQUIS_DATOS!$C$1476)-(0)&gt;0.5),(CROQUIS_DATOS!$C$1567+(IF(IF(MOD(MIN(INT(($A111-1)/2)+1,MAX(1,INT(((((CROQUIS_DATOS!$C$1499+CROQUIS_DATOS!$C$1500))-(CROQUIS_DATOS!$C$1499))+((CROQUIS_DATOS!$C$1476)*CROQUIS_DATOS!$C$1561-(0)*CROQUIS_DATOS!$C$1561))/CROQUIS_DATOS!$C$1568-0.000001))),2)=1,IF(INT(($A111-1)/2)+1&gt;MAX(1,INT(((((CROQUIS_DATOS!$C$1499+CROQUIS_DATOS!$C$1500))-(CROQUIS_DATOS!$C$1499))+((CROQUIS_DATOS!$C$1476)*CROQUIS_DATOS!$C$1561-(0)*CROQUIS_DATOS!$C$1561))/CROQUIS_DATOS!$C$1568-0.000001)),1,MOD($A111-1,2)),1-IF(INT(($A111-1)/2)+1&gt;MAX(1,INT(((((CROQUIS_DATOS!$C$1499+CROQUIS_DATOS!$C$1500))-(CROQUIS_DATOS!$C$1499))+((CROQUIS_DATOS!$C$1476)*CROQUIS_DATOS!$C$1561-(0)*CROQUIS_DATOS!$C$1561))/CROQUIS_DATOS!$C$1568-0.000001)),1,MOD($A111-1,2)))=1,MIN((CROQUIS_DATOS!$C$1476)*CROQUIS_DATOS!$C$1561,((CROQUIS_DATOS!$C$1499+CROQUIS_DATOS!$C$1500)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1">
        <f>IF(AND(CROQUIS_DATOS!$C$1472=1,CROQUIS_DATOS!$C$1504&gt;0,((CROQUIS_DATOS!$C$1503+CROQUIS_DATOS!$C$1504))-(CROQUIS_DATOS!$C$1503)&gt;0.5,(CROQUIS_DATOS!$C$1476)-(0)&gt;0.5),(CROQUIS_DATOS!$C$1566+(IF(IF(MOD(MIN(INT(($A111-1)/2)+1,MAX(1,INT(((((CROQUIS_DATOS!$C$1503+CROQUIS_DATOS!$C$1504))-(CROQUIS_DATOS!$C$1503))+((CROQUIS_DATOS!$C$1476)*CROQUIS_DATOS!$C$1561-(0)*CROQUIS_DATOS!$C$1561))/CROQUIS_DATOS!$C$1568-0.000001))),2)=1,IF(INT(($A111-1)/2)+1&gt;MAX(1,INT(((((CROQUIS_DATOS!$C$1503+CROQUIS_DATOS!$C$1504))-(CROQUIS_DATOS!$C$1503))+((CROQUIS_DATOS!$C$1476)*CROQUIS_DATOS!$C$1561-(0)*CROQUIS_DATOS!$C$1561))/CROQUIS_DATOS!$C$1568-0.000001)),1,MOD($A111-1,2)),1-IF(INT(($A111-1)/2)+1&gt;MAX(1,INT(((((CROQUIS_DATOS!$C$1503+CROQUIS_DATOS!$C$1504))-(CROQUIS_DATOS!$C$1503))+((CROQUIS_DATOS!$C$1476)*CROQUIS_DATOS!$C$1561-(0)*CROQUIS_DATOS!$C$1561))/CROQUIS_DATOS!$C$1568-0.000001)),1,MOD($A111-1,2)))=1,MIN((CROQUIS_DATOS!$C$1476)*CROQUIS_DATOS!$C$1561,((CROQUIS_DATOS!$C$1503+CROQUIS_DATOS!$C$1504)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1">
        <f>IF(AND(CROQUIS_DATOS!$C$1472=1,CROQUIS_DATOS!$C$1504&gt;0,((CROQUIS_DATOS!$C$1503+CROQUIS_DATOS!$C$1504))-(CROQUIS_DATOS!$C$1503)&gt;0.5,(CROQUIS_DATOS!$C$1476)-(0)&gt;0.5),(CROQUIS_DATOS!$C$1567+(IF(IF(MOD(MIN(INT(($A111-1)/2)+1,MAX(1,INT(((((CROQUIS_DATOS!$C$1503+CROQUIS_DATOS!$C$1504))-(CROQUIS_DATOS!$C$1503))+((CROQUIS_DATOS!$C$1476)*CROQUIS_DATOS!$C$1561-(0)*CROQUIS_DATOS!$C$1561))/CROQUIS_DATOS!$C$1568-0.000001))),2)=1,IF(INT(($A111-1)/2)+1&gt;MAX(1,INT(((((CROQUIS_DATOS!$C$1503+CROQUIS_DATOS!$C$1504))-(CROQUIS_DATOS!$C$1503))+((CROQUIS_DATOS!$C$1476)*CROQUIS_DATOS!$C$1561-(0)*CROQUIS_DATOS!$C$1561))/CROQUIS_DATOS!$C$1568-0.000001)),1,MOD($A111-1,2)),1-IF(INT(($A111-1)/2)+1&gt;MAX(1,INT(((((CROQUIS_DATOS!$C$1503+CROQUIS_DATOS!$C$1504))-(CROQUIS_DATOS!$C$1503))+((CROQUIS_DATOS!$C$1476)*CROQUIS_DATOS!$C$1561-(0)*CROQUIS_DATOS!$C$1561))/CROQUIS_DATOS!$C$1568-0.000001)),1,MOD($A111-1,2)))=1,MIN((CROQUIS_DATOS!$C$1476)*CROQUIS_DATOS!$C$1561,((CROQUIS_DATOS!$C$1503+CROQUIS_DATOS!$C$1504)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1">
        <f>IF(AND(CROQUIS_DATOS!$C$1472=1,CROQUIS_DATOS!$C$1508&gt;0,((CROQUIS_DATOS!$C$1507+CROQUIS_DATOS!$C$1508))-(CROQUIS_DATOS!$C$1507)&gt;0.5,(CROQUIS_DATOS!$C$1476)-(0)&gt;0.5),(CROQUIS_DATOS!$C$1566+(IF(IF(MOD(MIN(INT(($A111-1)/2)+1,MAX(1,INT(((((CROQUIS_DATOS!$C$1507+CROQUIS_DATOS!$C$1508))-(CROQUIS_DATOS!$C$1507))+((CROQUIS_DATOS!$C$1476)*CROQUIS_DATOS!$C$1561-(0)*CROQUIS_DATOS!$C$1561))/CROQUIS_DATOS!$C$1568-0.000001))),2)=1,IF(INT(($A111-1)/2)+1&gt;MAX(1,INT(((((CROQUIS_DATOS!$C$1507+CROQUIS_DATOS!$C$1508))-(CROQUIS_DATOS!$C$1507))+((CROQUIS_DATOS!$C$1476)*CROQUIS_DATOS!$C$1561-(0)*CROQUIS_DATOS!$C$1561))/CROQUIS_DATOS!$C$1568-0.000001)),1,MOD($A111-1,2)),1-IF(INT(($A111-1)/2)+1&gt;MAX(1,INT(((((CROQUIS_DATOS!$C$1507+CROQUIS_DATOS!$C$1508))-(CROQUIS_DATOS!$C$1507))+((CROQUIS_DATOS!$C$1476)*CROQUIS_DATOS!$C$1561-(0)*CROQUIS_DATOS!$C$1561))/CROQUIS_DATOS!$C$1568-0.000001)),1,MOD($A111-1,2)))=1,MIN((CROQUIS_DATOS!$C$1476)*CROQUIS_DATOS!$C$1561,((CROQUIS_DATOS!$C$1507+CROQUIS_DATOS!$C$1508)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1">
        <f>IF(AND(CROQUIS_DATOS!$C$1472=1,CROQUIS_DATOS!$C$1508&gt;0,((CROQUIS_DATOS!$C$1507+CROQUIS_DATOS!$C$1508))-(CROQUIS_DATOS!$C$1507)&gt;0.5,(CROQUIS_DATOS!$C$1476)-(0)&gt;0.5),(CROQUIS_DATOS!$C$1567+(IF(IF(MOD(MIN(INT(($A111-1)/2)+1,MAX(1,INT(((((CROQUIS_DATOS!$C$1507+CROQUIS_DATOS!$C$1508))-(CROQUIS_DATOS!$C$1507))+((CROQUIS_DATOS!$C$1476)*CROQUIS_DATOS!$C$1561-(0)*CROQUIS_DATOS!$C$1561))/CROQUIS_DATOS!$C$1568-0.000001))),2)=1,IF(INT(($A111-1)/2)+1&gt;MAX(1,INT(((((CROQUIS_DATOS!$C$1507+CROQUIS_DATOS!$C$1508))-(CROQUIS_DATOS!$C$1507))+((CROQUIS_DATOS!$C$1476)*CROQUIS_DATOS!$C$1561-(0)*CROQUIS_DATOS!$C$1561))/CROQUIS_DATOS!$C$1568-0.000001)),1,MOD($A111-1,2)),1-IF(INT(($A111-1)/2)+1&gt;MAX(1,INT(((((CROQUIS_DATOS!$C$1507+CROQUIS_DATOS!$C$1508))-(CROQUIS_DATOS!$C$1507))+((CROQUIS_DATOS!$C$1476)*CROQUIS_DATOS!$C$1561-(0)*CROQUIS_DATOS!$C$1561))/CROQUIS_DATOS!$C$1568-0.000001)),1,MOD($A111-1,2)))=1,MIN((CROQUIS_DATOS!$C$1476)*CROQUIS_DATOS!$C$1561,((CROQUIS_DATOS!$C$1507+CROQUIS_DATOS!$C$1508)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1">
        <f>IF(AND(CROQUIS_DATOS!$C$1472=1,CROQUIS_DATOS!$C$1512&gt;0,((CROQUIS_DATOS!$C$1511+CROQUIS_DATOS!$C$1512))-(CROQUIS_DATOS!$C$1511)&gt;0.5,(CROQUIS_DATOS!$C$1476)-(0)&gt;0.5),(CROQUIS_DATOS!$C$1566+(IF(IF(MOD(MIN(INT(($A111-1)/2)+1,MAX(1,INT(((((CROQUIS_DATOS!$C$1511+CROQUIS_DATOS!$C$1512))-(CROQUIS_DATOS!$C$1511))+((CROQUIS_DATOS!$C$1476)*CROQUIS_DATOS!$C$1561-(0)*CROQUIS_DATOS!$C$1561))/CROQUIS_DATOS!$C$1568-0.000001))),2)=1,IF(INT(($A111-1)/2)+1&gt;MAX(1,INT(((((CROQUIS_DATOS!$C$1511+CROQUIS_DATOS!$C$1512))-(CROQUIS_DATOS!$C$1511))+((CROQUIS_DATOS!$C$1476)*CROQUIS_DATOS!$C$1561-(0)*CROQUIS_DATOS!$C$1561))/CROQUIS_DATOS!$C$1568-0.000001)),1,MOD($A111-1,2)),1-IF(INT(($A111-1)/2)+1&gt;MAX(1,INT(((((CROQUIS_DATOS!$C$1511+CROQUIS_DATOS!$C$1512))-(CROQUIS_DATOS!$C$1511))+((CROQUIS_DATOS!$C$1476)*CROQUIS_DATOS!$C$1561-(0)*CROQUIS_DATOS!$C$1561))/CROQUIS_DATOS!$C$1568-0.000001)),1,MOD($A111-1,2)))=1,MIN((CROQUIS_DATOS!$C$1476)*CROQUIS_DATOS!$C$1561,((CROQUIS_DATOS!$C$1511+CROQUIS_DATOS!$C$1512)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1">
        <f>IF(AND(CROQUIS_DATOS!$C$1472=1,CROQUIS_DATOS!$C$1512&gt;0,((CROQUIS_DATOS!$C$1511+CROQUIS_DATOS!$C$1512))-(CROQUIS_DATOS!$C$1511)&gt;0.5,(CROQUIS_DATOS!$C$1476)-(0)&gt;0.5),(CROQUIS_DATOS!$C$1567+(IF(IF(MOD(MIN(INT(($A111-1)/2)+1,MAX(1,INT(((((CROQUIS_DATOS!$C$1511+CROQUIS_DATOS!$C$1512))-(CROQUIS_DATOS!$C$1511))+((CROQUIS_DATOS!$C$1476)*CROQUIS_DATOS!$C$1561-(0)*CROQUIS_DATOS!$C$1561))/CROQUIS_DATOS!$C$1568-0.000001))),2)=1,IF(INT(($A111-1)/2)+1&gt;MAX(1,INT(((((CROQUIS_DATOS!$C$1511+CROQUIS_DATOS!$C$1512))-(CROQUIS_DATOS!$C$1511))+((CROQUIS_DATOS!$C$1476)*CROQUIS_DATOS!$C$1561-(0)*CROQUIS_DATOS!$C$1561))/CROQUIS_DATOS!$C$1568-0.000001)),1,MOD($A111-1,2)),1-IF(INT(($A111-1)/2)+1&gt;MAX(1,INT(((((CROQUIS_DATOS!$C$1511+CROQUIS_DATOS!$C$1512))-(CROQUIS_DATOS!$C$1511))+((CROQUIS_DATOS!$C$1476)*CROQUIS_DATOS!$C$1561-(0)*CROQUIS_DATOS!$C$1561))/CROQUIS_DATOS!$C$1568-0.000001)),1,MOD($A111-1,2)))=1,MIN((CROQUIS_DATOS!$C$1476)*CROQUIS_DATOS!$C$1561,((CROQUIS_DATOS!$C$1511+CROQUIS_DATOS!$C$1512)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1">
        <f>IF(AND(CROQUIS_DATOS!$C$1472=1,CROQUIS_DATOS!$C$1516&gt;0,((CROQUIS_DATOS!$C$1515+CROQUIS_DATOS!$C$1516))-(CROQUIS_DATOS!$C$1515)&gt;0.5,(CROQUIS_DATOS!$C$1476)-(0)&gt;0.5),(CROQUIS_DATOS!$C$1566+(IF(IF(MOD(MIN(INT(($A111-1)/2)+1,MAX(1,INT(((((CROQUIS_DATOS!$C$1515+CROQUIS_DATOS!$C$1516))-(CROQUIS_DATOS!$C$1515))+((CROQUIS_DATOS!$C$1476)*CROQUIS_DATOS!$C$1561-(0)*CROQUIS_DATOS!$C$1561))/CROQUIS_DATOS!$C$1568-0.000001))),2)=1,IF(INT(($A111-1)/2)+1&gt;MAX(1,INT(((((CROQUIS_DATOS!$C$1515+CROQUIS_DATOS!$C$1516))-(CROQUIS_DATOS!$C$1515))+((CROQUIS_DATOS!$C$1476)*CROQUIS_DATOS!$C$1561-(0)*CROQUIS_DATOS!$C$1561))/CROQUIS_DATOS!$C$1568-0.000001)),1,MOD($A111-1,2)),1-IF(INT(($A111-1)/2)+1&gt;MAX(1,INT(((((CROQUIS_DATOS!$C$1515+CROQUIS_DATOS!$C$1516))-(CROQUIS_DATOS!$C$1515))+((CROQUIS_DATOS!$C$1476)*CROQUIS_DATOS!$C$1561-(0)*CROQUIS_DATOS!$C$1561))/CROQUIS_DATOS!$C$1568-0.000001)),1,MOD($A111-1,2)))=1,MIN((CROQUIS_DATOS!$C$1476)*CROQUIS_DATOS!$C$1561,((CROQUIS_DATOS!$C$1515+CROQUIS_DATOS!$C$1516)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1">
        <f>IF(AND(CROQUIS_DATOS!$C$1472=1,CROQUIS_DATOS!$C$1516&gt;0,((CROQUIS_DATOS!$C$1515+CROQUIS_DATOS!$C$1516))-(CROQUIS_DATOS!$C$1515)&gt;0.5,(CROQUIS_DATOS!$C$1476)-(0)&gt;0.5),(CROQUIS_DATOS!$C$1567+(IF(IF(MOD(MIN(INT(($A111-1)/2)+1,MAX(1,INT(((((CROQUIS_DATOS!$C$1515+CROQUIS_DATOS!$C$1516))-(CROQUIS_DATOS!$C$1515))+((CROQUIS_DATOS!$C$1476)*CROQUIS_DATOS!$C$1561-(0)*CROQUIS_DATOS!$C$1561))/CROQUIS_DATOS!$C$1568-0.000001))),2)=1,IF(INT(($A111-1)/2)+1&gt;MAX(1,INT(((((CROQUIS_DATOS!$C$1515+CROQUIS_DATOS!$C$1516))-(CROQUIS_DATOS!$C$1515))+((CROQUIS_DATOS!$C$1476)*CROQUIS_DATOS!$C$1561-(0)*CROQUIS_DATOS!$C$1561))/CROQUIS_DATOS!$C$1568-0.000001)),1,MOD($A111-1,2)),1-IF(INT(($A111-1)/2)+1&gt;MAX(1,INT(((((CROQUIS_DATOS!$C$1515+CROQUIS_DATOS!$C$1516))-(CROQUIS_DATOS!$C$1515))+((CROQUIS_DATOS!$C$1476)*CROQUIS_DATOS!$C$1561-(0)*CROQUIS_DATOS!$C$1561))/CROQUIS_DATOS!$C$1568-0.000001)),1,MOD($A111-1,2)))=1,MIN((CROQUIS_DATOS!$C$1476)*CROQUIS_DATOS!$C$1561,((CROQUIS_DATOS!$C$1515+CROQUIS_DATOS!$C$1516)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1">
        <f>IF(AND(CROQUIS_DATOS!$C$1472=1,CROQUIS_DATOS!$C$1478&gt;=1,((CROQUIS_DATOS!$C$1479+CROQUIS_DATOS!$C$1480))-(CROQUIS_DATOS!$C$1479)&gt;0.5,(CROQUIS_DATOS!$C$1481)-(0)&gt;0.5),(CROQUIS_DATOS!$C$1566+(IF(IF(MOD(MIN(INT(($A111-1)/2)+1,MAX(1,INT(((((CROQUIS_DATOS!$C$1479+CROQUIS_DATOS!$C$1480))-(CROQUIS_DATOS!$C$1479))+((CROQUIS_DATOS!$C$1481)*CROQUIS_DATOS!$C$1561-(0)*CROQUIS_DATOS!$C$1561))/CROQUIS_DATOS!$C$1568-0.000001))),2)=1,IF(INT(($A111-1)/2)+1&gt;MAX(1,INT(((((CROQUIS_DATOS!$C$1479+CROQUIS_DATOS!$C$1480))-(CROQUIS_DATOS!$C$1479))+((CROQUIS_DATOS!$C$1481)*CROQUIS_DATOS!$C$1561-(0)*CROQUIS_DATOS!$C$1561))/CROQUIS_DATOS!$C$1568-0.000001)),1,MOD($A111-1,2)),1-IF(INT(($A111-1)/2)+1&gt;MAX(1,INT(((((CROQUIS_DATOS!$C$1479+CROQUIS_DATOS!$C$1480))-(CROQUIS_DATOS!$C$1479))+((CROQUIS_DATOS!$C$1481)*CROQUIS_DATOS!$C$1561-(0)*CROQUIS_DATOS!$C$1561))/CROQUIS_DATOS!$C$1568-0.000001)),1,MOD($A111-1,2)))=1,MIN((CROQUIS_DATOS!$C$1481)*CROQUIS_DATOS!$C$1561,((CROQUIS_DATOS!$C$1479+CROQUIS_DATOS!$C$1480)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1">
        <f>IF(AND(CROQUIS_DATOS!$C$1472=1,CROQUIS_DATOS!$C$1478&gt;=1,((CROQUIS_DATOS!$C$1479+CROQUIS_DATOS!$C$1480))-(CROQUIS_DATOS!$C$1479)&gt;0.5,(CROQUIS_DATOS!$C$1481)-(0)&gt;0.5),(CROQUIS_DATOS!$C$1567+(IF(IF(MOD(MIN(INT(($A111-1)/2)+1,MAX(1,INT(((((CROQUIS_DATOS!$C$1479+CROQUIS_DATOS!$C$1480))-(CROQUIS_DATOS!$C$1479))+((CROQUIS_DATOS!$C$1481)*CROQUIS_DATOS!$C$1561-(0)*CROQUIS_DATOS!$C$1561))/CROQUIS_DATOS!$C$1568-0.000001))),2)=1,IF(INT(($A111-1)/2)+1&gt;MAX(1,INT(((((CROQUIS_DATOS!$C$1479+CROQUIS_DATOS!$C$1480))-(CROQUIS_DATOS!$C$1479))+((CROQUIS_DATOS!$C$1481)*CROQUIS_DATOS!$C$1561-(0)*CROQUIS_DATOS!$C$1561))/CROQUIS_DATOS!$C$1568-0.000001)),1,MOD($A111-1,2)),1-IF(INT(($A111-1)/2)+1&gt;MAX(1,INT(((((CROQUIS_DATOS!$C$1479+CROQUIS_DATOS!$C$1480))-(CROQUIS_DATOS!$C$1479))+((CROQUIS_DATOS!$C$1481)*CROQUIS_DATOS!$C$1561-(0)*CROQUIS_DATOS!$C$1561))/CROQUIS_DATOS!$C$1568-0.000001)),1,MOD($A111-1,2)))=1,MIN((CROQUIS_DATOS!$C$1481)*CROQUIS_DATOS!$C$1561,((CROQUIS_DATOS!$C$1479+CROQUIS_DATOS!$C$1480)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1">
        <f>IF(AND(CROQUIS_DATOS!$C$1472=1,CROQUIS_DATOS!$C$1478&gt;=1,((CROQUIS_DATOS!$C$1479+CROQUIS_DATOS!$C$1480))-(CROQUIS_DATOS!$C$1479)&gt;0.5,(CROQUIS_DATOS!$C$1476)-((CROQUIS_DATOS!$C$1481+CROQUIS_DATOS!$C$1482))&gt;0.5),(CROQUIS_DATOS!$C$1566+(IF(IF(MOD(MIN(INT(($A111-1)/2)+1,MAX(1,INT(((((CROQUIS_DATOS!$C$1479+CROQUIS_DATOS!$C$1480))-(CROQUIS_DATOS!$C$1479))+((CROQUIS_DATOS!$C$1476)*CROQUIS_DATOS!$C$1561-((CROQUIS_DATOS!$C$1481+CROQUIS_DATOS!$C$1482))*CROQUIS_DATOS!$C$1561))/CROQUIS_DATOS!$C$1568-0.000001))),2)=1,IF(INT(($A111-1)/2)+1&gt;MAX(1,INT(((((CROQUIS_DATOS!$C$1479+CROQUIS_DATOS!$C$1480))-(CROQUIS_DATOS!$C$1479))+((CROQUIS_DATOS!$C$1476)*CROQUIS_DATOS!$C$1561-((CROQUIS_DATOS!$C$1481+CROQUIS_DATOS!$C$1482))*CROQUIS_DATOS!$C$1561))/CROQUIS_DATOS!$C$1568-0.000001)),1,MOD($A111-1,2)),1-IF(INT(($A111-1)/2)+1&gt;MAX(1,INT(((((CROQUIS_DATOS!$C$1479+CROQUIS_DATOS!$C$1480))-(CROQUIS_DATOS!$C$1479))+((CROQUIS_DATOS!$C$1476)*CROQUIS_DATOS!$C$1561-((CROQUIS_DATOS!$C$1481+CROQUIS_DATOS!$C$1482))*CROQUIS_DATOS!$C$1561))/CROQUIS_DATOS!$C$1568-0.000001)),1,MOD($A111-1,2)))=1,MIN((CROQUIS_DATOS!$C$1476)*CROQUIS_DATOS!$C$1561,((CROQUIS_DATOS!$C$1479+CROQUIS_DATOS!$C$1480)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1">
        <f>IF(AND(CROQUIS_DATOS!$C$1472=1,CROQUIS_DATOS!$C$1478&gt;=1,((CROQUIS_DATOS!$C$1479+CROQUIS_DATOS!$C$1480))-(CROQUIS_DATOS!$C$1479)&gt;0.5,(CROQUIS_DATOS!$C$1476)-((CROQUIS_DATOS!$C$1481+CROQUIS_DATOS!$C$1482))&gt;0.5),(CROQUIS_DATOS!$C$1567+(IF(IF(MOD(MIN(INT(($A111-1)/2)+1,MAX(1,INT(((((CROQUIS_DATOS!$C$1479+CROQUIS_DATOS!$C$1480))-(CROQUIS_DATOS!$C$1479))+((CROQUIS_DATOS!$C$1476)*CROQUIS_DATOS!$C$1561-((CROQUIS_DATOS!$C$1481+CROQUIS_DATOS!$C$1482))*CROQUIS_DATOS!$C$1561))/CROQUIS_DATOS!$C$1568-0.000001))),2)=1,IF(INT(($A111-1)/2)+1&gt;MAX(1,INT(((((CROQUIS_DATOS!$C$1479+CROQUIS_DATOS!$C$1480))-(CROQUIS_DATOS!$C$1479))+((CROQUIS_DATOS!$C$1476)*CROQUIS_DATOS!$C$1561-((CROQUIS_DATOS!$C$1481+CROQUIS_DATOS!$C$1482))*CROQUIS_DATOS!$C$1561))/CROQUIS_DATOS!$C$1568-0.000001)),1,MOD($A111-1,2)),1-IF(INT(($A111-1)/2)+1&gt;MAX(1,INT(((((CROQUIS_DATOS!$C$1479+CROQUIS_DATOS!$C$1480))-(CROQUIS_DATOS!$C$1479))+((CROQUIS_DATOS!$C$1476)*CROQUIS_DATOS!$C$1561-((CROQUIS_DATOS!$C$1481+CROQUIS_DATOS!$C$1482))*CROQUIS_DATOS!$C$1561))/CROQUIS_DATOS!$C$1568-0.000001)),1,MOD($A111-1,2)))=1,MIN((CROQUIS_DATOS!$C$1476)*CROQUIS_DATOS!$C$1561,((CROQUIS_DATOS!$C$1479+CROQUIS_DATOS!$C$1480)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1">
        <f>IF(AND(CROQUIS_DATOS!$C$1472=1,CROQUIS_DATOS!$C$1478&gt;=2,((CROQUIS_DATOS!$C$1484+CROQUIS_DATOS!$C$1485))-(CROQUIS_DATOS!$C$1484)&gt;0.5,(CROQUIS_DATOS!$C$1486)-(0)&gt;0.5),(CROQUIS_DATOS!$C$1566+(IF(IF(MOD(MIN(INT(($A111-1)/2)+1,MAX(1,INT(((((CROQUIS_DATOS!$C$1484+CROQUIS_DATOS!$C$1485))-(CROQUIS_DATOS!$C$1484))+((CROQUIS_DATOS!$C$1486)*CROQUIS_DATOS!$C$1561-(0)*CROQUIS_DATOS!$C$1561))/CROQUIS_DATOS!$C$1568-0.000001))),2)=1,IF(INT(($A111-1)/2)+1&gt;MAX(1,INT(((((CROQUIS_DATOS!$C$1484+CROQUIS_DATOS!$C$1485))-(CROQUIS_DATOS!$C$1484))+((CROQUIS_DATOS!$C$1486)*CROQUIS_DATOS!$C$1561-(0)*CROQUIS_DATOS!$C$1561))/CROQUIS_DATOS!$C$1568-0.000001)),1,MOD($A111-1,2)),1-IF(INT(($A111-1)/2)+1&gt;MAX(1,INT(((((CROQUIS_DATOS!$C$1484+CROQUIS_DATOS!$C$1485))-(CROQUIS_DATOS!$C$1484))+((CROQUIS_DATOS!$C$1486)*CROQUIS_DATOS!$C$1561-(0)*CROQUIS_DATOS!$C$1561))/CROQUIS_DATOS!$C$1568-0.000001)),1,MOD($A111-1,2)))=1,MIN((CROQUIS_DATOS!$C$1486)*CROQUIS_DATOS!$C$1561,((CROQUIS_DATOS!$C$1484+CROQUIS_DATOS!$C$1485)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1">
        <f>IF(AND(CROQUIS_DATOS!$C$1472=1,CROQUIS_DATOS!$C$1478&gt;=2,((CROQUIS_DATOS!$C$1484+CROQUIS_DATOS!$C$1485))-(CROQUIS_DATOS!$C$1484)&gt;0.5,(CROQUIS_DATOS!$C$1486)-(0)&gt;0.5),(CROQUIS_DATOS!$C$1567+(IF(IF(MOD(MIN(INT(($A111-1)/2)+1,MAX(1,INT(((((CROQUIS_DATOS!$C$1484+CROQUIS_DATOS!$C$1485))-(CROQUIS_DATOS!$C$1484))+((CROQUIS_DATOS!$C$1486)*CROQUIS_DATOS!$C$1561-(0)*CROQUIS_DATOS!$C$1561))/CROQUIS_DATOS!$C$1568-0.000001))),2)=1,IF(INT(($A111-1)/2)+1&gt;MAX(1,INT(((((CROQUIS_DATOS!$C$1484+CROQUIS_DATOS!$C$1485))-(CROQUIS_DATOS!$C$1484))+((CROQUIS_DATOS!$C$1486)*CROQUIS_DATOS!$C$1561-(0)*CROQUIS_DATOS!$C$1561))/CROQUIS_DATOS!$C$1568-0.000001)),1,MOD($A111-1,2)),1-IF(INT(($A111-1)/2)+1&gt;MAX(1,INT(((((CROQUIS_DATOS!$C$1484+CROQUIS_DATOS!$C$1485))-(CROQUIS_DATOS!$C$1484))+((CROQUIS_DATOS!$C$1486)*CROQUIS_DATOS!$C$1561-(0)*CROQUIS_DATOS!$C$1561))/CROQUIS_DATOS!$C$1568-0.000001)),1,MOD($A111-1,2)))=1,MIN((CROQUIS_DATOS!$C$1486)*CROQUIS_DATOS!$C$1561,((CROQUIS_DATOS!$C$1484+CROQUIS_DATOS!$C$1485)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1">
        <f>IF(AND(CROQUIS_DATOS!$C$1472=1,CROQUIS_DATOS!$C$1478&gt;=2,((CROQUIS_DATOS!$C$1484+CROQUIS_DATOS!$C$1485))-(CROQUIS_DATOS!$C$1484)&gt;0.5,(CROQUIS_DATOS!$C$1476)-((CROQUIS_DATOS!$C$1486+CROQUIS_DATOS!$C$1487))&gt;0.5),(CROQUIS_DATOS!$C$1566+(IF(IF(MOD(MIN(INT(($A111-1)/2)+1,MAX(1,INT(((((CROQUIS_DATOS!$C$1484+CROQUIS_DATOS!$C$1485))-(CROQUIS_DATOS!$C$1484))+((CROQUIS_DATOS!$C$1476)*CROQUIS_DATOS!$C$1561-((CROQUIS_DATOS!$C$1486+CROQUIS_DATOS!$C$1487))*CROQUIS_DATOS!$C$1561))/CROQUIS_DATOS!$C$1568-0.000001))),2)=1,IF(INT(($A111-1)/2)+1&gt;MAX(1,INT(((((CROQUIS_DATOS!$C$1484+CROQUIS_DATOS!$C$1485))-(CROQUIS_DATOS!$C$1484))+((CROQUIS_DATOS!$C$1476)*CROQUIS_DATOS!$C$1561-((CROQUIS_DATOS!$C$1486+CROQUIS_DATOS!$C$1487))*CROQUIS_DATOS!$C$1561))/CROQUIS_DATOS!$C$1568-0.000001)),1,MOD($A111-1,2)),1-IF(INT(($A111-1)/2)+1&gt;MAX(1,INT(((((CROQUIS_DATOS!$C$1484+CROQUIS_DATOS!$C$1485))-(CROQUIS_DATOS!$C$1484))+((CROQUIS_DATOS!$C$1476)*CROQUIS_DATOS!$C$1561-((CROQUIS_DATOS!$C$1486+CROQUIS_DATOS!$C$1487))*CROQUIS_DATOS!$C$1561))/CROQUIS_DATOS!$C$1568-0.000001)),1,MOD($A111-1,2)))=1,MIN((CROQUIS_DATOS!$C$1476)*CROQUIS_DATOS!$C$1561,((CROQUIS_DATOS!$C$1484+CROQUIS_DATOS!$C$1485)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1">
        <f>IF(AND(CROQUIS_DATOS!$C$1472=1,CROQUIS_DATOS!$C$1478&gt;=2,((CROQUIS_DATOS!$C$1484+CROQUIS_DATOS!$C$1485))-(CROQUIS_DATOS!$C$1484)&gt;0.5,(CROQUIS_DATOS!$C$1476)-((CROQUIS_DATOS!$C$1486+CROQUIS_DATOS!$C$1487))&gt;0.5),(CROQUIS_DATOS!$C$1567+(IF(IF(MOD(MIN(INT(($A111-1)/2)+1,MAX(1,INT(((((CROQUIS_DATOS!$C$1484+CROQUIS_DATOS!$C$1485))-(CROQUIS_DATOS!$C$1484))+((CROQUIS_DATOS!$C$1476)*CROQUIS_DATOS!$C$1561-((CROQUIS_DATOS!$C$1486+CROQUIS_DATOS!$C$1487))*CROQUIS_DATOS!$C$1561))/CROQUIS_DATOS!$C$1568-0.000001))),2)=1,IF(INT(($A111-1)/2)+1&gt;MAX(1,INT(((((CROQUIS_DATOS!$C$1484+CROQUIS_DATOS!$C$1485))-(CROQUIS_DATOS!$C$1484))+((CROQUIS_DATOS!$C$1476)*CROQUIS_DATOS!$C$1561-((CROQUIS_DATOS!$C$1486+CROQUIS_DATOS!$C$1487))*CROQUIS_DATOS!$C$1561))/CROQUIS_DATOS!$C$1568-0.000001)),1,MOD($A111-1,2)),1-IF(INT(($A111-1)/2)+1&gt;MAX(1,INT(((((CROQUIS_DATOS!$C$1484+CROQUIS_DATOS!$C$1485))-(CROQUIS_DATOS!$C$1484))+((CROQUIS_DATOS!$C$1476)*CROQUIS_DATOS!$C$1561-((CROQUIS_DATOS!$C$1486+CROQUIS_DATOS!$C$1487))*CROQUIS_DATOS!$C$1561))/CROQUIS_DATOS!$C$1568-0.000001)),1,MOD($A111-1,2)))=1,MIN((CROQUIS_DATOS!$C$1476)*CROQUIS_DATOS!$C$1561,((CROQUIS_DATOS!$C$1484+CROQUIS_DATOS!$C$1485)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1">
        <f>IF(AND(CROQUIS_DATOS!$C$1472=1,CROQUIS_DATOS!$C$1478&gt;=3,((CROQUIS_DATOS!$C$1489+CROQUIS_DATOS!$C$1490))-(CROQUIS_DATOS!$C$1489)&gt;0.5,(CROQUIS_DATOS!$C$1491)-(0)&gt;0.5),(CROQUIS_DATOS!$C$1566+(IF(IF(MOD(MIN(INT(($A111-1)/2)+1,MAX(1,INT(((((CROQUIS_DATOS!$C$1489+CROQUIS_DATOS!$C$1490))-(CROQUIS_DATOS!$C$1489))+((CROQUIS_DATOS!$C$1491)*CROQUIS_DATOS!$C$1561-(0)*CROQUIS_DATOS!$C$1561))/CROQUIS_DATOS!$C$1568-0.000001))),2)=1,IF(INT(($A111-1)/2)+1&gt;MAX(1,INT(((((CROQUIS_DATOS!$C$1489+CROQUIS_DATOS!$C$1490))-(CROQUIS_DATOS!$C$1489))+((CROQUIS_DATOS!$C$1491)*CROQUIS_DATOS!$C$1561-(0)*CROQUIS_DATOS!$C$1561))/CROQUIS_DATOS!$C$1568-0.000001)),1,MOD($A111-1,2)),1-IF(INT(($A111-1)/2)+1&gt;MAX(1,INT(((((CROQUIS_DATOS!$C$1489+CROQUIS_DATOS!$C$1490))-(CROQUIS_DATOS!$C$1489))+((CROQUIS_DATOS!$C$1491)*CROQUIS_DATOS!$C$1561-(0)*CROQUIS_DATOS!$C$1561))/CROQUIS_DATOS!$C$1568-0.000001)),1,MOD($A111-1,2)))=1,MIN((CROQUIS_DATOS!$C$1491)*CROQUIS_DATOS!$C$1561,((CROQUIS_DATOS!$C$1489+CROQUIS_DATOS!$C$1490)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1">
        <f>IF(AND(CROQUIS_DATOS!$C$1472=1,CROQUIS_DATOS!$C$1478&gt;=3,((CROQUIS_DATOS!$C$1489+CROQUIS_DATOS!$C$1490))-(CROQUIS_DATOS!$C$1489)&gt;0.5,(CROQUIS_DATOS!$C$1491)-(0)&gt;0.5),(CROQUIS_DATOS!$C$1567+(IF(IF(MOD(MIN(INT(($A111-1)/2)+1,MAX(1,INT(((((CROQUIS_DATOS!$C$1489+CROQUIS_DATOS!$C$1490))-(CROQUIS_DATOS!$C$1489))+((CROQUIS_DATOS!$C$1491)*CROQUIS_DATOS!$C$1561-(0)*CROQUIS_DATOS!$C$1561))/CROQUIS_DATOS!$C$1568-0.000001))),2)=1,IF(INT(($A111-1)/2)+1&gt;MAX(1,INT(((((CROQUIS_DATOS!$C$1489+CROQUIS_DATOS!$C$1490))-(CROQUIS_DATOS!$C$1489))+((CROQUIS_DATOS!$C$1491)*CROQUIS_DATOS!$C$1561-(0)*CROQUIS_DATOS!$C$1561))/CROQUIS_DATOS!$C$1568-0.000001)),1,MOD($A111-1,2)),1-IF(INT(($A111-1)/2)+1&gt;MAX(1,INT(((((CROQUIS_DATOS!$C$1489+CROQUIS_DATOS!$C$1490))-(CROQUIS_DATOS!$C$1489))+((CROQUIS_DATOS!$C$1491)*CROQUIS_DATOS!$C$1561-(0)*CROQUIS_DATOS!$C$1561))/CROQUIS_DATOS!$C$1568-0.000001)),1,MOD($A111-1,2)))=1,MIN((CROQUIS_DATOS!$C$1491)*CROQUIS_DATOS!$C$1561,((CROQUIS_DATOS!$C$1489+CROQUIS_DATOS!$C$1490)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1">
        <f>IF(AND(CROQUIS_DATOS!$C$1472=1,CROQUIS_DATOS!$C$1478&gt;=3,((CROQUIS_DATOS!$C$1489+CROQUIS_DATOS!$C$1490))-(CROQUIS_DATOS!$C$1489)&gt;0.5,(CROQUIS_DATOS!$C$1476)-((CROQUIS_DATOS!$C$1491+CROQUIS_DATOS!$C$1492))&gt;0.5),(CROQUIS_DATOS!$C$1566+(IF(IF(MOD(MIN(INT(($A111-1)/2)+1,MAX(1,INT(((((CROQUIS_DATOS!$C$1489+CROQUIS_DATOS!$C$1490))-(CROQUIS_DATOS!$C$1489))+((CROQUIS_DATOS!$C$1476)*CROQUIS_DATOS!$C$1561-((CROQUIS_DATOS!$C$1491+CROQUIS_DATOS!$C$1492))*CROQUIS_DATOS!$C$1561))/CROQUIS_DATOS!$C$1568-0.000001))),2)=1,IF(INT(($A111-1)/2)+1&gt;MAX(1,INT(((((CROQUIS_DATOS!$C$1489+CROQUIS_DATOS!$C$1490))-(CROQUIS_DATOS!$C$1489))+((CROQUIS_DATOS!$C$1476)*CROQUIS_DATOS!$C$1561-((CROQUIS_DATOS!$C$1491+CROQUIS_DATOS!$C$1492))*CROQUIS_DATOS!$C$1561))/CROQUIS_DATOS!$C$1568-0.000001)),1,MOD($A111-1,2)),1-IF(INT(($A111-1)/2)+1&gt;MAX(1,INT(((((CROQUIS_DATOS!$C$1489+CROQUIS_DATOS!$C$1490))-(CROQUIS_DATOS!$C$1489))+((CROQUIS_DATOS!$C$1476)*CROQUIS_DATOS!$C$1561-((CROQUIS_DATOS!$C$1491+CROQUIS_DATOS!$C$1492))*CROQUIS_DATOS!$C$1561))/CROQUIS_DATOS!$C$1568-0.000001)),1,MOD($A111-1,2)))=1,MIN((CROQUIS_DATOS!$C$1476)*CROQUIS_DATOS!$C$1561,((CROQUIS_DATOS!$C$1489+CROQUIS_DATOS!$C$1490)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1">
        <f>IF(AND(CROQUIS_DATOS!$C$1472=1,CROQUIS_DATOS!$C$1478&gt;=3,((CROQUIS_DATOS!$C$1489+CROQUIS_DATOS!$C$1490))-(CROQUIS_DATOS!$C$1489)&gt;0.5,(CROQUIS_DATOS!$C$1476)-((CROQUIS_DATOS!$C$1491+CROQUIS_DATOS!$C$1492))&gt;0.5),(CROQUIS_DATOS!$C$1567+(IF(IF(MOD(MIN(INT(($A111-1)/2)+1,MAX(1,INT(((((CROQUIS_DATOS!$C$1489+CROQUIS_DATOS!$C$1490))-(CROQUIS_DATOS!$C$1489))+((CROQUIS_DATOS!$C$1476)*CROQUIS_DATOS!$C$1561-((CROQUIS_DATOS!$C$1491+CROQUIS_DATOS!$C$1492))*CROQUIS_DATOS!$C$1561))/CROQUIS_DATOS!$C$1568-0.000001))),2)=1,IF(INT(($A111-1)/2)+1&gt;MAX(1,INT(((((CROQUIS_DATOS!$C$1489+CROQUIS_DATOS!$C$1490))-(CROQUIS_DATOS!$C$1489))+((CROQUIS_DATOS!$C$1476)*CROQUIS_DATOS!$C$1561-((CROQUIS_DATOS!$C$1491+CROQUIS_DATOS!$C$1492))*CROQUIS_DATOS!$C$1561))/CROQUIS_DATOS!$C$1568-0.000001)),1,MOD($A111-1,2)),1-IF(INT(($A111-1)/2)+1&gt;MAX(1,INT(((((CROQUIS_DATOS!$C$1489+CROQUIS_DATOS!$C$1490))-(CROQUIS_DATOS!$C$1489))+((CROQUIS_DATOS!$C$1476)*CROQUIS_DATOS!$C$1561-((CROQUIS_DATOS!$C$1491+CROQUIS_DATOS!$C$1492))*CROQUIS_DATOS!$C$1561))/CROQUIS_DATOS!$C$1568-0.000001)),1,MOD($A111-1,2)))=1,MIN((CROQUIS_DATOS!$C$1476)*CROQUIS_DATOS!$C$1561,((CROQUIS_DATOS!$C$1489+CROQUIS_DATOS!$C$1490)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1">
        <f>IF(AND(CROQUIS_DATOS!$C$1472=1,CROQUIS_DATOS!$C$1478&gt;=4,((CROQUIS_DATOS!$C$1494+CROQUIS_DATOS!$C$1495))-(CROQUIS_DATOS!$C$1494)&gt;0.5,(CROQUIS_DATOS!$C$1496)-(0)&gt;0.5),(CROQUIS_DATOS!$C$1566+(IF(IF(MOD(MIN(INT(($A111-1)/2)+1,MAX(1,INT(((((CROQUIS_DATOS!$C$1494+CROQUIS_DATOS!$C$1495))-(CROQUIS_DATOS!$C$1494))+((CROQUIS_DATOS!$C$1496)*CROQUIS_DATOS!$C$1561-(0)*CROQUIS_DATOS!$C$1561))/CROQUIS_DATOS!$C$1568-0.000001))),2)=1,IF(INT(($A111-1)/2)+1&gt;MAX(1,INT(((((CROQUIS_DATOS!$C$1494+CROQUIS_DATOS!$C$1495))-(CROQUIS_DATOS!$C$1494))+((CROQUIS_DATOS!$C$1496)*CROQUIS_DATOS!$C$1561-(0)*CROQUIS_DATOS!$C$1561))/CROQUIS_DATOS!$C$1568-0.000001)),1,MOD($A111-1,2)),1-IF(INT(($A111-1)/2)+1&gt;MAX(1,INT(((((CROQUIS_DATOS!$C$1494+CROQUIS_DATOS!$C$1495))-(CROQUIS_DATOS!$C$1494))+((CROQUIS_DATOS!$C$1496)*CROQUIS_DATOS!$C$1561-(0)*CROQUIS_DATOS!$C$1561))/CROQUIS_DATOS!$C$1568-0.000001)),1,MOD($A111-1,2)))=1,MIN((CROQUIS_DATOS!$C$1496)*CROQUIS_DATOS!$C$1561,((CROQUIS_DATOS!$C$1494+CROQUIS_DATOS!$C$1495)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1">
        <f>IF(AND(CROQUIS_DATOS!$C$1472=1,CROQUIS_DATOS!$C$1478&gt;=4,((CROQUIS_DATOS!$C$1494+CROQUIS_DATOS!$C$1495))-(CROQUIS_DATOS!$C$1494)&gt;0.5,(CROQUIS_DATOS!$C$1496)-(0)&gt;0.5),(CROQUIS_DATOS!$C$1567+(IF(IF(MOD(MIN(INT(($A111-1)/2)+1,MAX(1,INT(((((CROQUIS_DATOS!$C$1494+CROQUIS_DATOS!$C$1495))-(CROQUIS_DATOS!$C$1494))+((CROQUIS_DATOS!$C$1496)*CROQUIS_DATOS!$C$1561-(0)*CROQUIS_DATOS!$C$1561))/CROQUIS_DATOS!$C$1568-0.000001))),2)=1,IF(INT(($A111-1)/2)+1&gt;MAX(1,INT(((((CROQUIS_DATOS!$C$1494+CROQUIS_DATOS!$C$1495))-(CROQUIS_DATOS!$C$1494))+((CROQUIS_DATOS!$C$1496)*CROQUIS_DATOS!$C$1561-(0)*CROQUIS_DATOS!$C$1561))/CROQUIS_DATOS!$C$1568-0.000001)),1,MOD($A111-1,2)),1-IF(INT(($A111-1)/2)+1&gt;MAX(1,INT(((((CROQUIS_DATOS!$C$1494+CROQUIS_DATOS!$C$1495))-(CROQUIS_DATOS!$C$1494))+((CROQUIS_DATOS!$C$1496)*CROQUIS_DATOS!$C$1561-(0)*CROQUIS_DATOS!$C$1561))/CROQUIS_DATOS!$C$1568-0.000001)),1,MOD($A111-1,2)))=1,MIN((CROQUIS_DATOS!$C$1496)*CROQUIS_DATOS!$C$1561,((CROQUIS_DATOS!$C$1494+CROQUIS_DATOS!$C$1495)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1">
        <f>IF(AND(CROQUIS_DATOS!$C$1472=1,CROQUIS_DATOS!$C$1478&gt;=4,((CROQUIS_DATOS!$C$1494+CROQUIS_DATOS!$C$1495))-(CROQUIS_DATOS!$C$1494)&gt;0.5,(CROQUIS_DATOS!$C$1476)-((CROQUIS_DATOS!$C$1496+CROQUIS_DATOS!$C$1497))&gt;0.5),(CROQUIS_DATOS!$C$1566+(IF(IF(MOD(MIN(INT(($A111-1)/2)+1,MAX(1,INT(((((CROQUIS_DATOS!$C$1494+CROQUIS_DATOS!$C$1495))-(CROQUIS_DATOS!$C$1494))+((CROQUIS_DATOS!$C$1476)*CROQUIS_DATOS!$C$1561-((CROQUIS_DATOS!$C$1496+CROQUIS_DATOS!$C$1497))*CROQUIS_DATOS!$C$1561))/CROQUIS_DATOS!$C$1568-0.000001))),2)=1,IF(INT(($A111-1)/2)+1&gt;MAX(1,INT(((((CROQUIS_DATOS!$C$1494+CROQUIS_DATOS!$C$1495))-(CROQUIS_DATOS!$C$1494))+((CROQUIS_DATOS!$C$1476)*CROQUIS_DATOS!$C$1561-((CROQUIS_DATOS!$C$1496+CROQUIS_DATOS!$C$1497))*CROQUIS_DATOS!$C$1561))/CROQUIS_DATOS!$C$1568-0.000001)),1,MOD($A111-1,2)),1-IF(INT(($A111-1)/2)+1&gt;MAX(1,INT(((((CROQUIS_DATOS!$C$1494+CROQUIS_DATOS!$C$1495))-(CROQUIS_DATOS!$C$1494))+((CROQUIS_DATOS!$C$1476)*CROQUIS_DATOS!$C$1561-((CROQUIS_DATOS!$C$1496+CROQUIS_DATOS!$C$1497))*CROQUIS_DATOS!$C$1561))/CROQUIS_DATOS!$C$1568-0.000001)),1,MOD($A111-1,2)))=1,MIN((CROQUIS_DATOS!$C$1476)*CROQUIS_DATOS!$C$1561,((CROQUIS_DATOS!$C$1494+CROQUIS_DATOS!$C$1495)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1">
        <f>IF(AND(CROQUIS_DATOS!$C$1472=1,CROQUIS_DATOS!$C$1478&gt;=4,((CROQUIS_DATOS!$C$1494+CROQUIS_DATOS!$C$1495))-(CROQUIS_DATOS!$C$1494)&gt;0.5,(CROQUIS_DATOS!$C$1476)-((CROQUIS_DATOS!$C$1496+CROQUIS_DATOS!$C$1497))&gt;0.5),(CROQUIS_DATOS!$C$1567+(IF(IF(MOD(MIN(INT(($A111-1)/2)+1,MAX(1,INT(((((CROQUIS_DATOS!$C$1494+CROQUIS_DATOS!$C$1495))-(CROQUIS_DATOS!$C$1494))+((CROQUIS_DATOS!$C$1476)*CROQUIS_DATOS!$C$1561-((CROQUIS_DATOS!$C$1496+CROQUIS_DATOS!$C$1497))*CROQUIS_DATOS!$C$1561))/CROQUIS_DATOS!$C$1568-0.000001))),2)=1,IF(INT(($A111-1)/2)+1&gt;MAX(1,INT(((((CROQUIS_DATOS!$C$1494+CROQUIS_DATOS!$C$1495))-(CROQUIS_DATOS!$C$1494))+((CROQUIS_DATOS!$C$1476)*CROQUIS_DATOS!$C$1561-((CROQUIS_DATOS!$C$1496+CROQUIS_DATOS!$C$1497))*CROQUIS_DATOS!$C$1561))/CROQUIS_DATOS!$C$1568-0.000001)),1,MOD($A111-1,2)),1-IF(INT(($A111-1)/2)+1&gt;MAX(1,INT(((((CROQUIS_DATOS!$C$1494+CROQUIS_DATOS!$C$1495))-(CROQUIS_DATOS!$C$1494))+((CROQUIS_DATOS!$C$1476)*CROQUIS_DATOS!$C$1561-((CROQUIS_DATOS!$C$1496+CROQUIS_DATOS!$C$1497))*CROQUIS_DATOS!$C$1561))/CROQUIS_DATOS!$C$1568-0.000001)),1,MOD($A111-1,2)))=1,MIN((CROQUIS_DATOS!$C$1476)*CROQUIS_DATOS!$C$1561,((CROQUIS_DATOS!$C$1494+CROQUIS_DATOS!$C$1495)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2">
      <c r="A112" t="n">
        <v>105</v>
      </c>
      <c r="N112">
        <f>IF(AND(CROQUIS_DATOS!$C$1472=1,1),(CROQUIS_DATOS!$C$1563+(IF(IF(IF(INT(($A112-1)/70)+1&gt;CROQUIS_DATOS!$C$1525,70,MOD($A112-1,70)+1)=1,0,IF(IF(INT(($A112-1)/70)+1&gt;CROQUIS_DATOS!$C$1525,70,MOD($A112-1,70)+1)&gt;2*CROQUIS_DATOS!$C$1541+1,IF(MOD(CROQUIS_DATOS!$C$1541,2)=1,1,0),IF(MOD(MIN(INT((IF(INT(($A112-1)/70)+1&gt;CROQUIS_DATOS!$C$1525,70,MOD($A112-1,70)+1)-2)/2)+1,CROQUIS_DATOS!$C$1541),2)=1,IF(MOD(IF(INT(($A112-1)/70)+1&gt;CROQUIS_DATOS!$C$1525,70,MOD($A112-1,70)+1)-2,2)=0,0,1),IF(MOD(IF(INT(($A112-1)/70)+1&gt;CROQUIS_DATOS!$C$1525,70,MOD($A112-1,70)+1)-2,2)=0,1,0))))=0,(INDEX($E$8:$E$23,MIN(INT(($A112-1)/70)+1,CROQUIS_DATOS!$C$1525))-INDEX($F$8:$F$23,MIN(INT(($A112-1)/70)+1,CROQUIS_DATOS!$C$1525))/2),(INDEX($E$8:$E$23,MIN(INT(($A112-1)/70)+1,CROQUIS_DATOS!$C$1525))+INDEX($F$8:$F$23,MIN(INT(($A112-1)/70)+1,CROQUIS_DATOS!$C$1525))/2)))*CROQUIS_DATOS!$C$1562),-1000)</f>
        <v>20.6724137931034</v>
      </c>
      <c r="O112">
        <f>IF(AND(CROQUIS_DATOS!$C$1472=1,1),(CROQUIS_DATOS!$C$1564+(IF(OR(IF(INT(($A112-1)/70)+1&gt;CROQUIS_DATOS!$C$1525,70,MOD($A112-1,70)+1)=1,IF(INT(($A112-1)/70)+1&gt;CROQUIS_DATOS!$C$1525,70,MOD($A112-1,70)+1)&gt;2*CROQUIS_DATOS!$C$1541+1),CROQUIS_DATOS!$C$1476,INDEX($H$8:$H$41,MIN(INT((IF(INT(($A112-1)/70)+1&gt;CROQUIS_DATOS!$C$1525,70,MOD($A112-1,70)+1)-2)/2)+1,CROQUIS_DATOS!$C$1541))))*CROQUIS_DATOS!$C$1561*CROQUIS_DATOS!$C$1562),-1000)</f>
        <v>38.1120689655172</v>
      </c>
      <c r="P112">
        <f>IF(AND(CROQUIS_DATOS!$C$1472=1,CROQUIS_DATOS!$C$1555=1),(CROQUIS_DATOS!$C$1563+(IF(IF(OR(MOD($A112-1,62)+1=1,IF(CHOOSE(MIN(MAX(MIN(INT(($A112-1)/62)+1,5),1),5),CROQUIS_DATOS!$C$1501,CROQUIS_DATOS!$C$1505,CROQUIS_DATOS!$C$1509,CROQUIS_DATOS!$C$1513,CROQUIS_DATOS!$C$1517)=1,CROQUIS_DATOS!$C$1557,0)=0),0,IF(MOD($A112-1,62)+1&gt;2*IF(CHOOSE(MIN(MAX(MIN(INT(($A112-1)/62)+1,5),1),5),CROQUIS_DATOS!$C$1501,CROQUIS_DATOS!$C$1505,CROQUIS_DATOS!$C$1509,CROQUIS_DATOS!$C$1513,CROQUIS_DATOS!$C$1517)=1,CROQUIS_DATOS!$C$1557,0)+1,IF(MOD(IF(CHOOSE(MIN(MAX(MIN(INT(($A112-1)/62)+1,5),1),5),CROQUIS_DATOS!$C$1501,CROQUIS_DATOS!$C$1505,CROQUIS_DATOS!$C$1509,CROQUIS_DATOS!$C$1513,CROQUIS_DATOS!$C$1517)=1,CROQUIS_DATOS!$C$1557,0),2)=1,1,0),IF(MOD(MIN(INT((MOD($A112-1,62)+1-2)/2)+1,MAX(IF(CHOOSE(MIN(MAX(MIN(INT(($A112-1)/62)+1,5),1),5),CROQUIS_DATOS!$C$1501,CROQUIS_DATOS!$C$1505,CROQUIS_DATOS!$C$1509,CROQUIS_DATOS!$C$1513,CROQUIS_DATOS!$C$1517)=1,CROQUIS_DATOS!$C$1557,0),1)),2)=1,IF(MOD(MOD($A112-1,62)+1-2,2)=0,0,1),IF(MOD(MOD($A112-1,62)+1-2,2)=0,1,0))))=0,(CHOOSE(MIN(MAX(MIN(INT(($A112-1)/62)+1,5),1),5),CROQUIS_DATOS!$C$1499,CROQUIS_DATOS!$C$1503,CROQUIS_DATOS!$C$1507,CROQUIS_DATOS!$C$1511,CROQUIS_DATOS!$C$1515)+IF(CHOOSE(MIN(MAX(MIN(INT(($A112-1)/62)+1,5),1),5),CROQUIS_DATOS!$C$1501,CROQUIS_DATOS!$C$1505,CROQUIS_DATOS!$C$1509,CROQUIS_DATOS!$C$1513,CROQUIS_DATOS!$C$1517)=1,CROQUIS_DATOS!$C$1526,0)),(CHOOSE(MIN(MAX(MIN(INT(($A112-1)/62)+1,5),1),5),CROQUIS_DATOS!$C$1499,CROQUIS_DATOS!$C$1503,CROQUIS_DATOS!$C$1507,CROQUIS_DATOS!$C$1511,CROQUIS_DATOS!$C$1515)+CHOOSE(MIN(MAX(MIN(INT(($A112-1)/62)+1,5),1),5),CROQUIS_DATOS!$C$1500,CROQUIS_DATOS!$C$1504,CROQUIS_DATOS!$C$1508,CROQUIS_DATOS!$C$1512,CROQUIS_DATOS!$C$1516)-IF(CHOOSE(MIN(MAX(MIN(INT(($A112-1)/62)+1,5),1),5),CROQUIS_DATOS!$C$1501,CROQUIS_DATOS!$C$1505,CROQUIS_DATOS!$C$1509,CROQUIS_DATOS!$C$1513,CROQUIS_DATOS!$C$1517)=1,CROQUIS_DATOS!$C$1526,0))))*CROQUIS_DATOS!$C$1562),-1000)</f>
        <v>-1000</v>
      </c>
      <c r="Q112">
        <f>IF(AND(CROQUIS_DATOS!$C$1472=1,CROQUIS_DATOS!$C$1555=1),(CROQUIS_DATOS!$C$1564+(IF(OR(OR(MOD($A112-1,62)+1=1,IF(CHOOSE(MIN(MAX(MIN(INT(($A112-1)/62)+1,5),1),5),CROQUIS_DATOS!$C$1501,CROQUIS_DATOS!$C$1505,CROQUIS_DATOS!$C$1509,CROQUIS_DATOS!$C$1513,CROQUIS_DATOS!$C$1517)=1,CROQUIS_DATOS!$C$1557,0)=0),MOD($A112-1,62)+1&gt;2*IF(CHOOSE(MIN(MAX(MIN(INT(($A112-1)/62)+1,5),1),5),CROQUIS_DATOS!$C$1501,CROQUIS_DATOS!$C$1505,CROQUIS_DATOS!$C$1509,CROQUIS_DATOS!$C$1513,CROQUIS_DATOS!$C$1517)=1,CROQUIS_DATOS!$C$1557,0)+1),CROQUIS_DATOS!$C$1476,MIN(INT((MOD($A112-1,62)+1-2)/2)+1,MAX(IF(CHOOSE(MIN(MAX(MIN(INT(($A112-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2">
        <f>IF(AND(CROQUIS_DATOS!$C$1472=1,1),(CROQUIS_DATOS!$C$1563+(MIN(INT(($A112-1)/2)+1,CROQUIS_DATOS!$C$1558)*CROQUIS_DATOS!$C$1559)*CROQUIS_DATOS!$C$1562),-1000)</f>
        <v>82.2281167108753</v>
      </c>
      <c r="U112">
        <f>IF(AND(CROQUIS_DATOS!$C$1472=1,1),(CROQUIS_DATOS!$C$1564+(IF(INT(($A112-1)/2)+1&gt;CROQUIS_DATOS!$C$1558,IF(MOD(CROQUIS_DATOS!$C$1558,2)=1,CROQUIS_DATOS!$C$1476+CROQUIS_DATOS!$C$1528,CROQUIS_DATOS!$C$1476),IF(IF(MOD(MIN(INT(($A112-1)/2)+1,CROQUIS_DATOS!$C$1558),2)=1,MOD($A112-1,2),1-MOD($A112-1,2))=1,CROQUIS_DATOS!$C$1476+CROQUIS_DATOS!$C$1528,CROQUIS_DATOS!$C$1476)))*CROQUIS_DATOS!$C$1561*CROQUIS_DATOS!$C$1562),-1000)</f>
        <v>43</v>
      </c>
      <c r="BZ112">
        <f>IF(AND(CROQUIS_DATOS!$C$1472=1,CROQUIS_DATOS!$C$1500&gt;0,((CROQUIS_DATOS!$C$1499+CROQUIS_DATOS!$C$1500))-(CROQUIS_DATOS!$C$1499)&gt;0.5,(CROQUIS_DATOS!$C$1476)-(0)&gt;0.5),(CROQUIS_DATOS!$C$1566+(IF(IF(MOD(MIN(INT(($A112-1)/2)+1,MAX(1,INT(((((CROQUIS_DATOS!$C$1499+CROQUIS_DATOS!$C$1500))-(CROQUIS_DATOS!$C$1499))+((CROQUIS_DATOS!$C$1476)*CROQUIS_DATOS!$C$1561-(0)*CROQUIS_DATOS!$C$1561))/CROQUIS_DATOS!$C$1568-0.000001))),2)=1,IF(INT(($A112-1)/2)+1&gt;MAX(1,INT(((((CROQUIS_DATOS!$C$1499+CROQUIS_DATOS!$C$1500))-(CROQUIS_DATOS!$C$1499))+((CROQUIS_DATOS!$C$1476)*CROQUIS_DATOS!$C$1561-(0)*CROQUIS_DATOS!$C$1561))/CROQUIS_DATOS!$C$1568-0.000001)),1,MOD($A112-1,2)),1-IF(INT(($A112-1)/2)+1&gt;MAX(1,INT(((((CROQUIS_DATOS!$C$1499+CROQUIS_DATOS!$C$1500))-(CROQUIS_DATOS!$C$1499))+((CROQUIS_DATOS!$C$1476)*CROQUIS_DATOS!$C$1561-(0)*CROQUIS_DATOS!$C$1561))/CROQUIS_DATOS!$C$1568-0.000001)),1,MOD($A112-1,2)))=1,MIN((CROQUIS_DATOS!$C$1476)*CROQUIS_DATOS!$C$1561,((CROQUIS_DATOS!$C$1499+CROQUIS_DATOS!$C$1500)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2">
        <f>IF(AND(CROQUIS_DATOS!$C$1472=1,CROQUIS_DATOS!$C$1500&gt;0,((CROQUIS_DATOS!$C$1499+CROQUIS_DATOS!$C$1500))-(CROQUIS_DATOS!$C$1499)&gt;0.5,(CROQUIS_DATOS!$C$1476)-(0)&gt;0.5),(CROQUIS_DATOS!$C$1567+(IF(IF(MOD(MIN(INT(($A112-1)/2)+1,MAX(1,INT(((((CROQUIS_DATOS!$C$1499+CROQUIS_DATOS!$C$1500))-(CROQUIS_DATOS!$C$1499))+((CROQUIS_DATOS!$C$1476)*CROQUIS_DATOS!$C$1561-(0)*CROQUIS_DATOS!$C$1561))/CROQUIS_DATOS!$C$1568-0.000001))),2)=1,IF(INT(($A112-1)/2)+1&gt;MAX(1,INT(((((CROQUIS_DATOS!$C$1499+CROQUIS_DATOS!$C$1500))-(CROQUIS_DATOS!$C$1499))+((CROQUIS_DATOS!$C$1476)*CROQUIS_DATOS!$C$1561-(0)*CROQUIS_DATOS!$C$1561))/CROQUIS_DATOS!$C$1568-0.000001)),1,MOD($A112-1,2)),1-IF(INT(($A112-1)/2)+1&gt;MAX(1,INT(((((CROQUIS_DATOS!$C$1499+CROQUIS_DATOS!$C$1500))-(CROQUIS_DATOS!$C$1499))+((CROQUIS_DATOS!$C$1476)*CROQUIS_DATOS!$C$1561-(0)*CROQUIS_DATOS!$C$1561))/CROQUIS_DATOS!$C$1568-0.000001)),1,MOD($A112-1,2)))=1,MIN((CROQUIS_DATOS!$C$1476)*CROQUIS_DATOS!$C$1561,((CROQUIS_DATOS!$C$1499+CROQUIS_DATOS!$C$1500)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2">
        <f>IF(AND(CROQUIS_DATOS!$C$1472=1,CROQUIS_DATOS!$C$1504&gt;0,((CROQUIS_DATOS!$C$1503+CROQUIS_DATOS!$C$1504))-(CROQUIS_DATOS!$C$1503)&gt;0.5,(CROQUIS_DATOS!$C$1476)-(0)&gt;0.5),(CROQUIS_DATOS!$C$1566+(IF(IF(MOD(MIN(INT(($A112-1)/2)+1,MAX(1,INT(((((CROQUIS_DATOS!$C$1503+CROQUIS_DATOS!$C$1504))-(CROQUIS_DATOS!$C$1503))+((CROQUIS_DATOS!$C$1476)*CROQUIS_DATOS!$C$1561-(0)*CROQUIS_DATOS!$C$1561))/CROQUIS_DATOS!$C$1568-0.000001))),2)=1,IF(INT(($A112-1)/2)+1&gt;MAX(1,INT(((((CROQUIS_DATOS!$C$1503+CROQUIS_DATOS!$C$1504))-(CROQUIS_DATOS!$C$1503))+((CROQUIS_DATOS!$C$1476)*CROQUIS_DATOS!$C$1561-(0)*CROQUIS_DATOS!$C$1561))/CROQUIS_DATOS!$C$1568-0.000001)),1,MOD($A112-1,2)),1-IF(INT(($A112-1)/2)+1&gt;MAX(1,INT(((((CROQUIS_DATOS!$C$1503+CROQUIS_DATOS!$C$1504))-(CROQUIS_DATOS!$C$1503))+((CROQUIS_DATOS!$C$1476)*CROQUIS_DATOS!$C$1561-(0)*CROQUIS_DATOS!$C$1561))/CROQUIS_DATOS!$C$1568-0.000001)),1,MOD($A112-1,2)))=1,MIN((CROQUIS_DATOS!$C$1476)*CROQUIS_DATOS!$C$1561,((CROQUIS_DATOS!$C$1503+CROQUIS_DATOS!$C$1504)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2">
        <f>IF(AND(CROQUIS_DATOS!$C$1472=1,CROQUIS_DATOS!$C$1504&gt;0,((CROQUIS_DATOS!$C$1503+CROQUIS_DATOS!$C$1504))-(CROQUIS_DATOS!$C$1503)&gt;0.5,(CROQUIS_DATOS!$C$1476)-(0)&gt;0.5),(CROQUIS_DATOS!$C$1567+(IF(IF(MOD(MIN(INT(($A112-1)/2)+1,MAX(1,INT(((((CROQUIS_DATOS!$C$1503+CROQUIS_DATOS!$C$1504))-(CROQUIS_DATOS!$C$1503))+((CROQUIS_DATOS!$C$1476)*CROQUIS_DATOS!$C$1561-(0)*CROQUIS_DATOS!$C$1561))/CROQUIS_DATOS!$C$1568-0.000001))),2)=1,IF(INT(($A112-1)/2)+1&gt;MAX(1,INT(((((CROQUIS_DATOS!$C$1503+CROQUIS_DATOS!$C$1504))-(CROQUIS_DATOS!$C$1503))+((CROQUIS_DATOS!$C$1476)*CROQUIS_DATOS!$C$1561-(0)*CROQUIS_DATOS!$C$1561))/CROQUIS_DATOS!$C$1568-0.000001)),1,MOD($A112-1,2)),1-IF(INT(($A112-1)/2)+1&gt;MAX(1,INT(((((CROQUIS_DATOS!$C$1503+CROQUIS_DATOS!$C$1504))-(CROQUIS_DATOS!$C$1503))+((CROQUIS_DATOS!$C$1476)*CROQUIS_DATOS!$C$1561-(0)*CROQUIS_DATOS!$C$1561))/CROQUIS_DATOS!$C$1568-0.000001)),1,MOD($A112-1,2)))=1,MIN((CROQUIS_DATOS!$C$1476)*CROQUIS_DATOS!$C$1561,((CROQUIS_DATOS!$C$1503+CROQUIS_DATOS!$C$1504)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2">
        <f>IF(AND(CROQUIS_DATOS!$C$1472=1,CROQUIS_DATOS!$C$1508&gt;0,((CROQUIS_DATOS!$C$1507+CROQUIS_DATOS!$C$1508))-(CROQUIS_DATOS!$C$1507)&gt;0.5,(CROQUIS_DATOS!$C$1476)-(0)&gt;0.5),(CROQUIS_DATOS!$C$1566+(IF(IF(MOD(MIN(INT(($A112-1)/2)+1,MAX(1,INT(((((CROQUIS_DATOS!$C$1507+CROQUIS_DATOS!$C$1508))-(CROQUIS_DATOS!$C$1507))+((CROQUIS_DATOS!$C$1476)*CROQUIS_DATOS!$C$1561-(0)*CROQUIS_DATOS!$C$1561))/CROQUIS_DATOS!$C$1568-0.000001))),2)=1,IF(INT(($A112-1)/2)+1&gt;MAX(1,INT(((((CROQUIS_DATOS!$C$1507+CROQUIS_DATOS!$C$1508))-(CROQUIS_DATOS!$C$1507))+((CROQUIS_DATOS!$C$1476)*CROQUIS_DATOS!$C$1561-(0)*CROQUIS_DATOS!$C$1561))/CROQUIS_DATOS!$C$1568-0.000001)),1,MOD($A112-1,2)),1-IF(INT(($A112-1)/2)+1&gt;MAX(1,INT(((((CROQUIS_DATOS!$C$1507+CROQUIS_DATOS!$C$1508))-(CROQUIS_DATOS!$C$1507))+((CROQUIS_DATOS!$C$1476)*CROQUIS_DATOS!$C$1561-(0)*CROQUIS_DATOS!$C$1561))/CROQUIS_DATOS!$C$1568-0.000001)),1,MOD($A112-1,2)))=1,MIN((CROQUIS_DATOS!$C$1476)*CROQUIS_DATOS!$C$1561,((CROQUIS_DATOS!$C$1507+CROQUIS_DATOS!$C$1508)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2">
        <f>IF(AND(CROQUIS_DATOS!$C$1472=1,CROQUIS_DATOS!$C$1508&gt;0,((CROQUIS_DATOS!$C$1507+CROQUIS_DATOS!$C$1508))-(CROQUIS_DATOS!$C$1507)&gt;0.5,(CROQUIS_DATOS!$C$1476)-(0)&gt;0.5),(CROQUIS_DATOS!$C$1567+(IF(IF(MOD(MIN(INT(($A112-1)/2)+1,MAX(1,INT(((((CROQUIS_DATOS!$C$1507+CROQUIS_DATOS!$C$1508))-(CROQUIS_DATOS!$C$1507))+((CROQUIS_DATOS!$C$1476)*CROQUIS_DATOS!$C$1561-(0)*CROQUIS_DATOS!$C$1561))/CROQUIS_DATOS!$C$1568-0.000001))),2)=1,IF(INT(($A112-1)/2)+1&gt;MAX(1,INT(((((CROQUIS_DATOS!$C$1507+CROQUIS_DATOS!$C$1508))-(CROQUIS_DATOS!$C$1507))+((CROQUIS_DATOS!$C$1476)*CROQUIS_DATOS!$C$1561-(0)*CROQUIS_DATOS!$C$1561))/CROQUIS_DATOS!$C$1568-0.000001)),1,MOD($A112-1,2)),1-IF(INT(($A112-1)/2)+1&gt;MAX(1,INT(((((CROQUIS_DATOS!$C$1507+CROQUIS_DATOS!$C$1508))-(CROQUIS_DATOS!$C$1507))+((CROQUIS_DATOS!$C$1476)*CROQUIS_DATOS!$C$1561-(0)*CROQUIS_DATOS!$C$1561))/CROQUIS_DATOS!$C$1568-0.000001)),1,MOD($A112-1,2)))=1,MIN((CROQUIS_DATOS!$C$1476)*CROQUIS_DATOS!$C$1561,((CROQUIS_DATOS!$C$1507+CROQUIS_DATOS!$C$1508)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2">
        <f>IF(AND(CROQUIS_DATOS!$C$1472=1,CROQUIS_DATOS!$C$1512&gt;0,((CROQUIS_DATOS!$C$1511+CROQUIS_DATOS!$C$1512))-(CROQUIS_DATOS!$C$1511)&gt;0.5,(CROQUIS_DATOS!$C$1476)-(0)&gt;0.5),(CROQUIS_DATOS!$C$1566+(IF(IF(MOD(MIN(INT(($A112-1)/2)+1,MAX(1,INT(((((CROQUIS_DATOS!$C$1511+CROQUIS_DATOS!$C$1512))-(CROQUIS_DATOS!$C$1511))+((CROQUIS_DATOS!$C$1476)*CROQUIS_DATOS!$C$1561-(0)*CROQUIS_DATOS!$C$1561))/CROQUIS_DATOS!$C$1568-0.000001))),2)=1,IF(INT(($A112-1)/2)+1&gt;MAX(1,INT(((((CROQUIS_DATOS!$C$1511+CROQUIS_DATOS!$C$1512))-(CROQUIS_DATOS!$C$1511))+((CROQUIS_DATOS!$C$1476)*CROQUIS_DATOS!$C$1561-(0)*CROQUIS_DATOS!$C$1561))/CROQUIS_DATOS!$C$1568-0.000001)),1,MOD($A112-1,2)),1-IF(INT(($A112-1)/2)+1&gt;MAX(1,INT(((((CROQUIS_DATOS!$C$1511+CROQUIS_DATOS!$C$1512))-(CROQUIS_DATOS!$C$1511))+((CROQUIS_DATOS!$C$1476)*CROQUIS_DATOS!$C$1561-(0)*CROQUIS_DATOS!$C$1561))/CROQUIS_DATOS!$C$1568-0.000001)),1,MOD($A112-1,2)))=1,MIN((CROQUIS_DATOS!$C$1476)*CROQUIS_DATOS!$C$1561,((CROQUIS_DATOS!$C$1511+CROQUIS_DATOS!$C$1512)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2">
        <f>IF(AND(CROQUIS_DATOS!$C$1472=1,CROQUIS_DATOS!$C$1512&gt;0,((CROQUIS_DATOS!$C$1511+CROQUIS_DATOS!$C$1512))-(CROQUIS_DATOS!$C$1511)&gt;0.5,(CROQUIS_DATOS!$C$1476)-(0)&gt;0.5),(CROQUIS_DATOS!$C$1567+(IF(IF(MOD(MIN(INT(($A112-1)/2)+1,MAX(1,INT(((((CROQUIS_DATOS!$C$1511+CROQUIS_DATOS!$C$1512))-(CROQUIS_DATOS!$C$1511))+((CROQUIS_DATOS!$C$1476)*CROQUIS_DATOS!$C$1561-(0)*CROQUIS_DATOS!$C$1561))/CROQUIS_DATOS!$C$1568-0.000001))),2)=1,IF(INT(($A112-1)/2)+1&gt;MAX(1,INT(((((CROQUIS_DATOS!$C$1511+CROQUIS_DATOS!$C$1512))-(CROQUIS_DATOS!$C$1511))+((CROQUIS_DATOS!$C$1476)*CROQUIS_DATOS!$C$1561-(0)*CROQUIS_DATOS!$C$1561))/CROQUIS_DATOS!$C$1568-0.000001)),1,MOD($A112-1,2)),1-IF(INT(($A112-1)/2)+1&gt;MAX(1,INT(((((CROQUIS_DATOS!$C$1511+CROQUIS_DATOS!$C$1512))-(CROQUIS_DATOS!$C$1511))+((CROQUIS_DATOS!$C$1476)*CROQUIS_DATOS!$C$1561-(0)*CROQUIS_DATOS!$C$1561))/CROQUIS_DATOS!$C$1568-0.000001)),1,MOD($A112-1,2)))=1,MIN((CROQUIS_DATOS!$C$1476)*CROQUIS_DATOS!$C$1561,((CROQUIS_DATOS!$C$1511+CROQUIS_DATOS!$C$1512)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2">
        <f>IF(AND(CROQUIS_DATOS!$C$1472=1,CROQUIS_DATOS!$C$1516&gt;0,((CROQUIS_DATOS!$C$1515+CROQUIS_DATOS!$C$1516))-(CROQUIS_DATOS!$C$1515)&gt;0.5,(CROQUIS_DATOS!$C$1476)-(0)&gt;0.5),(CROQUIS_DATOS!$C$1566+(IF(IF(MOD(MIN(INT(($A112-1)/2)+1,MAX(1,INT(((((CROQUIS_DATOS!$C$1515+CROQUIS_DATOS!$C$1516))-(CROQUIS_DATOS!$C$1515))+((CROQUIS_DATOS!$C$1476)*CROQUIS_DATOS!$C$1561-(0)*CROQUIS_DATOS!$C$1561))/CROQUIS_DATOS!$C$1568-0.000001))),2)=1,IF(INT(($A112-1)/2)+1&gt;MAX(1,INT(((((CROQUIS_DATOS!$C$1515+CROQUIS_DATOS!$C$1516))-(CROQUIS_DATOS!$C$1515))+((CROQUIS_DATOS!$C$1476)*CROQUIS_DATOS!$C$1561-(0)*CROQUIS_DATOS!$C$1561))/CROQUIS_DATOS!$C$1568-0.000001)),1,MOD($A112-1,2)),1-IF(INT(($A112-1)/2)+1&gt;MAX(1,INT(((((CROQUIS_DATOS!$C$1515+CROQUIS_DATOS!$C$1516))-(CROQUIS_DATOS!$C$1515))+((CROQUIS_DATOS!$C$1476)*CROQUIS_DATOS!$C$1561-(0)*CROQUIS_DATOS!$C$1561))/CROQUIS_DATOS!$C$1568-0.000001)),1,MOD($A112-1,2)))=1,MIN((CROQUIS_DATOS!$C$1476)*CROQUIS_DATOS!$C$1561,((CROQUIS_DATOS!$C$1515+CROQUIS_DATOS!$C$1516)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2">
        <f>IF(AND(CROQUIS_DATOS!$C$1472=1,CROQUIS_DATOS!$C$1516&gt;0,((CROQUIS_DATOS!$C$1515+CROQUIS_DATOS!$C$1516))-(CROQUIS_DATOS!$C$1515)&gt;0.5,(CROQUIS_DATOS!$C$1476)-(0)&gt;0.5),(CROQUIS_DATOS!$C$1567+(IF(IF(MOD(MIN(INT(($A112-1)/2)+1,MAX(1,INT(((((CROQUIS_DATOS!$C$1515+CROQUIS_DATOS!$C$1516))-(CROQUIS_DATOS!$C$1515))+((CROQUIS_DATOS!$C$1476)*CROQUIS_DATOS!$C$1561-(0)*CROQUIS_DATOS!$C$1561))/CROQUIS_DATOS!$C$1568-0.000001))),2)=1,IF(INT(($A112-1)/2)+1&gt;MAX(1,INT(((((CROQUIS_DATOS!$C$1515+CROQUIS_DATOS!$C$1516))-(CROQUIS_DATOS!$C$1515))+((CROQUIS_DATOS!$C$1476)*CROQUIS_DATOS!$C$1561-(0)*CROQUIS_DATOS!$C$1561))/CROQUIS_DATOS!$C$1568-0.000001)),1,MOD($A112-1,2)),1-IF(INT(($A112-1)/2)+1&gt;MAX(1,INT(((((CROQUIS_DATOS!$C$1515+CROQUIS_DATOS!$C$1516))-(CROQUIS_DATOS!$C$1515))+((CROQUIS_DATOS!$C$1476)*CROQUIS_DATOS!$C$1561-(0)*CROQUIS_DATOS!$C$1561))/CROQUIS_DATOS!$C$1568-0.000001)),1,MOD($A112-1,2)))=1,MIN((CROQUIS_DATOS!$C$1476)*CROQUIS_DATOS!$C$1561,((CROQUIS_DATOS!$C$1515+CROQUIS_DATOS!$C$1516)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2">
        <f>IF(AND(CROQUIS_DATOS!$C$1472=1,CROQUIS_DATOS!$C$1478&gt;=1,((CROQUIS_DATOS!$C$1479+CROQUIS_DATOS!$C$1480))-(CROQUIS_DATOS!$C$1479)&gt;0.5,(CROQUIS_DATOS!$C$1481)-(0)&gt;0.5),(CROQUIS_DATOS!$C$1566+(IF(IF(MOD(MIN(INT(($A112-1)/2)+1,MAX(1,INT(((((CROQUIS_DATOS!$C$1479+CROQUIS_DATOS!$C$1480))-(CROQUIS_DATOS!$C$1479))+((CROQUIS_DATOS!$C$1481)*CROQUIS_DATOS!$C$1561-(0)*CROQUIS_DATOS!$C$1561))/CROQUIS_DATOS!$C$1568-0.000001))),2)=1,IF(INT(($A112-1)/2)+1&gt;MAX(1,INT(((((CROQUIS_DATOS!$C$1479+CROQUIS_DATOS!$C$1480))-(CROQUIS_DATOS!$C$1479))+((CROQUIS_DATOS!$C$1481)*CROQUIS_DATOS!$C$1561-(0)*CROQUIS_DATOS!$C$1561))/CROQUIS_DATOS!$C$1568-0.000001)),1,MOD($A112-1,2)),1-IF(INT(($A112-1)/2)+1&gt;MAX(1,INT(((((CROQUIS_DATOS!$C$1479+CROQUIS_DATOS!$C$1480))-(CROQUIS_DATOS!$C$1479))+((CROQUIS_DATOS!$C$1481)*CROQUIS_DATOS!$C$1561-(0)*CROQUIS_DATOS!$C$1561))/CROQUIS_DATOS!$C$1568-0.000001)),1,MOD($A112-1,2)))=1,MIN((CROQUIS_DATOS!$C$1481)*CROQUIS_DATOS!$C$1561,((CROQUIS_DATOS!$C$1479+CROQUIS_DATOS!$C$1480)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2">
        <f>IF(AND(CROQUIS_DATOS!$C$1472=1,CROQUIS_DATOS!$C$1478&gt;=1,((CROQUIS_DATOS!$C$1479+CROQUIS_DATOS!$C$1480))-(CROQUIS_DATOS!$C$1479)&gt;0.5,(CROQUIS_DATOS!$C$1481)-(0)&gt;0.5),(CROQUIS_DATOS!$C$1567+(IF(IF(MOD(MIN(INT(($A112-1)/2)+1,MAX(1,INT(((((CROQUIS_DATOS!$C$1479+CROQUIS_DATOS!$C$1480))-(CROQUIS_DATOS!$C$1479))+((CROQUIS_DATOS!$C$1481)*CROQUIS_DATOS!$C$1561-(0)*CROQUIS_DATOS!$C$1561))/CROQUIS_DATOS!$C$1568-0.000001))),2)=1,IF(INT(($A112-1)/2)+1&gt;MAX(1,INT(((((CROQUIS_DATOS!$C$1479+CROQUIS_DATOS!$C$1480))-(CROQUIS_DATOS!$C$1479))+((CROQUIS_DATOS!$C$1481)*CROQUIS_DATOS!$C$1561-(0)*CROQUIS_DATOS!$C$1561))/CROQUIS_DATOS!$C$1568-0.000001)),1,MOD($A112-1,2)),1-IF(INT(($A112-1)/2)+1&gt;MAX(1,INT(((((CROQUIS_DATOS!$C$1479+CROQUIS_DATOS!$C$1480))-(CROQUIS_DATOS!$C$1479))+((CROQUIS_DATOS!$C$1481)*CROQUIS_DATOS!$C$1561-(0)*CROQUIS_DATOS!$C$1561))/CROQUIS_DATOS!$C$1568-0.000001)),1,MOD($A112-1,2)))=1,MIN((CROQUIS_DATOS!$C$1481)*CROQUIS_DATOS!$C$1561,((CROQUIS_DATOS!$C$1479+CROQUIS_DATOS!$C$1480)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2">
        <f>IF(AND(CROQUIS_DATOS!$C$1472=1,CROQUIS_DATOS!$C$1478&gt;=1,((CROQUIS_DATOS!$C$1479+CROQUIS_DATOS!$C$1480))-(CROQUIS_DATOS!$C$1479)&gt;0.5,(CROQUIS_DATOS!$C$1476)-((CROQUIS_DATOS!$C$1481+CROQUIS_DATOS!$C$1482))&gt;0.5),(CROQUIS_DATOS!$C$1566+(IF(IF(MOD(MIN(INT(($A112-1)/2)+1,MAX(1,INT(((((CROQUIS_DATOS!$C$1479+CROQUIS_DATOS!$C$1480))-(CROQUIS_DATOS!$C$1479))+((CROQUIS_DATOS!$C$1476)*CROQUIS_DATOS!$C$1561-((CROQUIS_DATOS!$C$1481+CROQUIS_DATOS!$C$1482))*CROQUIS_DATOS!$C$1561))/CROQUIS_DATOS!$C$1568-0.000001))),2)=1,IF(INT(($A112-1)/2)+1&gt;MAX(1,INT(((((CROQUIS_DATOS!$C$1479+CROQUIS_DATOS!$C$1480))-(CROQUIS_DATOS!$C$1479))+((CROQUIS_DATOS!$C$1476)*CROQUIS_DATOS!$C$1561-((CROQUIS_DATOS!$C$1481+CROQUIS_DATOS!$C$1482))*CROQUIS_DATOS!$C$1561))/CROQUIS_DATOS!$C$1568-0.000001)),1,MOD($A112-1,2)),1-IF(INT(($A112-1)/2)+1&gt;MAX(1,INT(((((CROQUIS_DATOS!$C$1479+CROQUIS_DATOS!$C$1480))-(CROQUIS_DATOS!$C$1479))+((CROQUIS_DATOS!$C$1476)*CROQUIS_DATOS!$C$1561-((CROQUIS_DATOS!$C$1481+CROQUIS_DATOS!$C$1482))*CROQUIS_DATOS!$C$1561))/CROQUIS_DATOS!$C$1568-0.000001)),1,MOD($A112-1,2)))=1,MIN((CROQUIS_DATOS!$C$1476)*CROQUIS_DATOS!$C$1561,((CROQUIS_DATOS!$C$1479+CROQUIS_DATOS!$C$1480)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2">
        <f>IF(AND(CROQUIS_DATOS!$C$1472=1,CROQUIS_DATOS!$C$1478&gt;=1,((CROQUIS_DATOS!$C$1479+CROQUIS_DATOS!$C$1480))-(CROQUIS_DATOS!$C$1479)&gt;0.5,(CROQUIS_DATOS!$C$1476)-((CROQUIS_DATOS!$C$1481+CROQUIS_DATOS!$C$1482))&gt;0.5),(CROQUIS_DATOS!$C$1567+(IF(IF(MOD(MIN(INT(($A112-1)/2)+1,MAX(1,INT(((((CROQUIS_DATOS!$C$1479+CROQUIS_DATOS!$C$1480))-(CROQUIS_DATOS!$C$1479))+((CROQUIS_DATOS!$C$1476)*CROQUIS_DATOS!$C$1561-((CROQUIS_DATOS!$C$1481+CROQUIS_DATOS!$C$1482))*CROQUIS_DATOS!$C$1561))/CROQUIS_DATOS!$C$1568-0.000001))),2)=1,IF(INT(($A112-1)/2)+1&gt;MAX(1,INT(((((CROQUIS_DATOS!$C$1479+CROQUIS_DATOS!$C$1480))-(CROQUIS_DATOS!$C$1479))+((CROQUIS_DATOS!$C$1476)*CROQUIS_DATOS!$C$1561-((CROQUIS_DATOS!$C$1481+CROQUIS_DATOS!$C$1482))*CROQUIS_DATOS!$C$1561))/CROQUIS_DATOS!$C$1568-0.000001)),1,MOD($A112-1,2)),1-IF(INT(($A112-1)/2)+1&gt;MAX(1,INT(((((CROQUIS_DATOS!$C$1479+CROQUIS_DATOS!$C$1480))-(CROQUIS_DATOS!$C$1479))+((CROQUIS_DATOS!$C$1476)*CROQUIS_DATOS!$C$1561-((CROQUIS_DATOS!$C$1481+CROQUIS_DATOS!$C$1482))*CROQUIS_DATOS!$C$1561))/CROQUIS_DATOS!$C$1568-0.000001)),1,MOD($A112-1,2)))=1,MIN((CROQUIS_DATOS!$C$1476)*CROQUIS_DATOS!$C$1561,((CROQUIS_DATOS!$C$1479+CROQUIS_DATOS!$C$1480)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2">
        <f>IF(AND(CROQUIS_DATOS!$C$1472=1,CROQUIS_DATOS!$C$1478&gt;=2,((CROQUIS_DATOS!$C$1484+CROQUIS_DATOS!$C$1485))-(CROQUIS_DATOS!$C$1484)&gt;0.5,(CROQUIS_DATOS!$C$1486)-(0)&gt;0.5),(CROQUIS_DATOS!$C$1566+(IF(IF(MOD(MIN(INT(($A112-1)/2)+1,MAX(1,INT(((((CROQUIS_DATOS!$C$1484+CROQUIS_DATOS!$C$1485))-(CROQUIS_DATOS!$C$1484))+((CROQUIS_DATOS!$C$1486)*CROQUIS_DATOS!$C$1561-(0)*CROQUIS_DATOS!$C$1561))/CROQUIS_DATOS!$C$1568-0.000001))),2)=1,IF(INT(($A112-1)/2)+1&gt;MAX(1,INT(((((CROQUIS_DATOS!$C$1484+CROQUIS_DATOS!$C$1485))-(CROQUIS_DATOS!$C$1484))+((CROQUIS_DATOS!$C$1486)*CROQUIS_DATOS!$C$1561-(0)*CROQUIS_DATOS!$C$1561))/CROQUIS_DATOS!$C$1568-0.000001)),1,MOD($A112-1,2)),1-IF(INT(($A112-1)/2)+1&gt;MAX(1,INT(((((CROQUIS_DATOS!$C$1484+CROQUIS_DATOS!$C$1485))-(CROQUIS_DATOS!$C$1484))+((CROQUIS_DATOS!$C$1486)*CROQUIS_DATOS!$C$1561-(0)*CROQUIS_DATOS!$C$1561))/CROQUIS_DATOS!$C$1568-0.000001)),1,MOD($A112-1,2)))=1,MIN((CROQUIS_DATOS!$C$1486)*CROQUIS_DATOS!$C$1561,((CROQUIS_DATOS!$C$1484+CROQUIS_DATOS!$C$1485)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2">
        <f>IF(AND(CROQUIS_DATOS!$C$1472=1,CROQUIS_DATOS!$C$1478&gt;=2,((CROQUIS_DATOS!$C$1484+CROQUIS_DATOS!$C$1485))-(CROQUIS_DATOS!$C$1484)&gt;0.5,(CROQUIS_DATOS!$C$1486)-(0)&gt;0.5),(CROQUIS_DATOS!$C$1567+(IF(IF(MOD(MIN(INT(($A112-1)/2)+1,MAX(1,INT(((((CROQUIS_DATOS!$C$1484+CROQUIS_DATOS!$C$1485))-(CROQUIS_DATOS!$C$1484))+((CROQUIS_DATOS!$C$1486)*CROQUIS_DATOS!$C$1561-(0)*CROQUIS_DATOS!$C$1561))/CROQUIS_DATOS!$C$1568-0.000001))),2)=1,IF(INT(($A112-1)/2)+1&gt;MAX(1,INT(((((CROQUIS_DATOS!$C$1484+CROQUIS_DATOS!$C$1485))-(CROQUIS_DATOS!$C$1484))+((CROQUIS_DATOS!$C$1486)*CROQUIS_DATOS!$C$1561-(0)*CROQUIS_DATOS!$C$1561))/CROQUIS_DATOS!$C$1568-0.000001)),1,MOD($A112-1,2)),1-IF(INT(($A112-1)/2)+1&gt;MAX(1,INT(((((CROQUIS_DATOS!$C$1484+CROQUIS_DATOS!$C$1485))-(CROQUIS_DATOS!$C$1484))+((CROQUIS_DATOS!$C$1486)*CROQUIS_DATOS!$C$1561-(0)*CROQUIS_DATOS!$C$1561))/CROQUIS_DATOS!$C$1568-0.000001)),1,MOD($A112-1,2)))=1,MIN((CROQUIS_DATOS!$C$1486)*CROQUIS_DATOS!$C$1561,((CROQUIS_DATOS!$C$1484+CROQUIS_DATOS!$C$1485)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2">
        <f>IF(AND(CROQUIS_DATOS!$C$1472=1,CROQUIS_DATOS!$C$1478&gt;=2,((CROQUIS_DATOS!$C$1484+CROQUIS_DATOS!$C$1485))-(CROQUIS_DATOS!$C$1484)&gt;0.5,(CROQUIS_DATOS!$C$1476)-((CROQUIS_DATOS!$C$1486+CROQUIS_DATOS!$C$1487))&gt;0.5),(CROQUIS_DATOS!$C$1566+(IF(IF(MOD(MIN(INT(($A112-1)/2)+1,MAX(1,INT(((((CROQUIS_DATOS!$C$1484+CROQUIS_DATOS!$C$1485))-(CROQUIS_DATOS!$C$1484))+((CROQUIS_DATOS!$C$1476)*CROQUIS_DATOS!$C$1561-((CROQUIS_DATOS!$C$1486+CROQUIS_DATOS!$C$1487))*CROQUIS_DATOS!$C$1561))/CROQUIS_DATOS!$C$1568-0.000001))),2)=1,IF(INT(($A112-1)/2)+1&gt;MAX(1,INT(((((CROQUIS_DATOS!$C$1484+CROQUIS_DATOS!$C$1485))-(CROQUIS_DATOS!$C$1484))+((CROQUIS_DATOS!$C$1476)*CROQUIS_DATOS!$C$1561-((CROQUIS_DATOS!$C$1486+CROQUIS_DATOS!$C$1487))*CROQUIS_DATOS!$C$1561))/CROQUIS_DATOS!$C$1568-0.000001)),1,MOD($A112-1,2)),1-IF(INT(($A112-1)/2)+1&gt;MAX(1,INT(((((CROQUIS_DATOS!$C$1484+CROQUIS_DATOS!$C$1485))-(CROQUIS_DATOS!$C$1484))+((CROQUIS_DATOS!$C$1476)*CROQUIS_DATOS!$C$1561-((CROQUIS_DATOS!$C$1486+CROQUIS_DATOS!$C$1487))*CROQUIS_DATOS!$C$1561))/CROQUIS_DATOS!$C$1568-0.000001)),1,MOD($A112-1,2)))=1,MIN((CROQUIS_DATOS!$C$1476)*CROQUIS_DATOS!$C$1561,((CROQUIS_DATOS!$C$1484+CROQUIS_DATOS!$C$1485)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2">
        <f>IF(AND(CROQUIS_DATOS!$C$1472=1,CROQUIS_DATOS!$C$1478&gt;=2,((CROQUIS_DATOS!$C$1484+CROQUIS_DATOS!$C$1485))-(CROQUIS_DATOS!$C$1484)&gt;0.5,(CROQUIS_DATOS!$C$1476)-((CROQUIS_DATOS!$C$1486+CROQUIS_DATOS!$C$1487))&gt;0.5),(CROQUIS_DATOS!$C$1567+(IF(IF(MOD(MIN(INT(($A112-1)/2)+1,MAX(1,INT(((((CROQUIS_DATOS!$C$1484+CROQUIS_DATOS!$C$1485))-(CROQUIS_DATOS!$C$1484))+((CROQUIS_DATOS!$C$1476)*CROQUIS_DATOS!$C$1561-((CROQUIS_DATOS!$C$1486+CROQUIS_DATOS!$C$1487))*CROQUIS_DATOS!$C$1561))/CROQUIS_DATOS!$C$1568-0.000001))),2)=1,IF(INT(($A112-1)/2)+1&gt;MAX(1,INT(((((CROQUIS_DATOS!$C$1484+CROQUIS_DATOS!$C$1485))-(CROQUIS_DATOS!$C$1484))+((CROQUIS_DATOS!$C$1476)*CROQUIS_DATOS!$C$1561-((CROQUIS_DATOS!$C$1486+CROQUIS_DATOS!$C$1487))*CROQUIS_DATOS!$C$1561))/CROQUIS_DATOS!$C$1568-0.000001)),1,MOD($A112-1,2)),1-IF(INT(($A112-1)/2)+1&gt;MAX(1,INT(((((CROQUIS_DATOS!$C$1484+CROQUIS_DATOS!$C$1485))-(CROQUIS_DATOS!$C$1484))+((CROQUIS_DATOS!$C$1476)*CROQUIS_DATOS!$C$1561-((CROQUIS_DATOS!$C$1486+CROQUIS_DATOS!$C$1487))*CROQUIS_DATOS!$C$1561))/CROQUIS_DATOS!$C$1568-0.000001)),1,MOD($A112-1,2)))=1,MIN((CROQUIS_DATOS!$C$1476)*CROQUIS_DATOS!$C$1561,((CROQUIS_DATOS!$C$1484+CROQUIS_DATOS!$C$1485)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2">
        <f>IF(AND(CROQUIS_DATOS!$C$1472=1,CROQUIS_DATOS!$C$1478&gt;=3,((CROQUIS_DATOS!$C$1489+CROQUIS_DATOS!$C$1490))-(CROQUIS_DATOS!$C$1489)&gt;0.5,(CROQUIS_DATOS!$C$1491)-(0)&gt;0.5),(CROQUIS_DATOS!$C$1566+(IF(IF(MOD(MIN(INT(($A112-1)/2)+1,MAX(1,INT(((((CROQUIS_DATOS!$C$1489+CROQUIS_DATOS!$C$1490))-(CROQUIS_DATOS!$C$1489))+((CROQUIS_DATOS!$C$1491)*CROQUIS_DATOS!$C$1561-(0)*CROQUIS_DATOS!$C$1561))/CROQUIS_DATOS!$C$1568-0.000001))),2)=1,IF(INT(($A112-1)/2)+1&gt;MAX(1,INT(((((CROQUIS_DATOS!$C$1489+CROQUIS_DATOS!$C$1490))-(CROQUIS_DATOS!$C$1489))+((CROQUIS_DATOS!$C$1491)*CROQUIS_DATOS!$C$1561-(0)*CROQUIS_DATOS!$C$1561))/CROQUIS_DATOS!$C$1568-0.000001)),1,MOD($A112-1,2)),1-IF(INT(($A112-1)/2)+1&gt;MAX(1,INT(((((CROQUIS_DATOS!$C$1489+CROQUIS_DATOS!$C$1490))-(CROQUIS_DATOS!$C$1489))+((CROQUIS_DATOS!$C$1491)*CROQUIS_DATOS!$C$1561-(0)*CROQUIS_DATOS!$C$1561))/CROQUIS_DATOS!$C$1568-0.000001)),1,MOD($A112-1,2)))=1,MIN((CROQUIS_DATOS!$C$1491)*CROQUIS_DATOS!$C$1561,((CROQUIS_DATOS!$C$1489+CROQUIS_DATOS!$C$1490)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2">
        <f>IF(AND(CROQUIS_DATOS!$C$1472=1,CROQUIS_DATOS!$C$1478&gt;=3,((CROQUIS_DATOS!$C$1489+CROQUIS_DATOS!$C$1490))-(CROQUIS_DATOS!$C$1489)&gt;0.5,(CROQUIS_DATOS!$C$1491)-(0)&gt;0.5),(CROQUIS_DATOS!$C$1567+(IF(IF(MOD(MIN(INT(($A112-1)/2)+1,MAX(1,INT(((((CROQUIS_DATOS!$C$1489+CROQUIS_DATOS!$C$1490))-(CROQUIS_DATOS!$C$1489))+((CROQUIS_DATOS!$C$1491)*CROQUIS_DATOS!$C$1561-(0)*CROQUIS_DATOS!$C$1561))/CROQUIS_DATOS!$C$1568-0.000001))),2)=1,IF(INT(($A112-1)/2)+1&gt;MAX(1,INT(((((CROQUIS_DATOS!$C$1489+CROQUIS_DATOS!$C$1490))-(CROQUIS_DATOS!$C$1489))+((CROQUIS_DATOS!$C$1491)*CROQUIS_DATOS!$C$1561-(0)*CROQUIS_DATOS!$C$1561))/CROQUIS_DATOS!$C$1568-0.000001)),1,MOD($A112-1,2)),1-IF(INT(($A112-1)/2)+1&gt;MAX(1,INT(((((CROQUIS_DATOS!$C$1489+CROQUIS_DATOS!$C$1490))-(CROQUIS_DATOS!$C$1489))+((CROQUIS_DATOS!$C$1491)*CROQUIS_DATOS!$C$1561-(0)*CROQUIS_DATOS!$C$1561))/CROQUIS_DATOS!$C$1568-0.000001)),1,MOD($A112-1,2)))=1,MIN((CROQUIS_DATOS!$C$1491)*CROQUIS_DATOS!$C$1561,((CROQUIS_DATOS!$C$1489+CROQUIS_DATOS!$C$1490)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2">
        <f>IF(AND(CROQUIS_DATOS!$C$1472=1,CROQUIS_DATOS!$C$1478&gt;=3,((CROQUIS_DATOS!$C$1489+CROQUIS_DATOS!$C$1490))-(CROQUIS_DATOS!$C$1489)&gt;0.5,(CROQUIS_DATOS!$C$1476)-((CROQUIS_DATOS!$C$1491+CROQUIS_DATOS!$C$1492))&gt;0.5),(CROQUIS_DATOS!$C$1566+(IF(IF(MOD(MIN(INT(($A112-1)/2)+1,MAX(1,INT(((((CROQUIS_DATOS!$C$1489+CROQUIS_DATOS!$C$1490))-(CROQUIS_DATOS!$C$1489))+((CROQUIS_DATOS!$C$1476)*CROQUIS_DATOS!$C$1561-((CROQUIS_DATOS!$C$1491+CROQUIS_DATOS!$C$1492))*CROQUIS_DATOS!$C$1561))/CROQUIS_DATOS!$C$1568-0.000001))),2)=1,IF(INT(($A112-1)/2)+1&gt;MAX(1,INT(((((CROQUIS_DATOS!$C$1489+CROQUIS_DATOS!$C$1490))-(CROQUIS_DATOS!$C$1489))+((CROQUIS_DATOS!$C$1476)*CROQUIS_DATOS!$C$1561-((CROQUIS_DATOS!$C$1491+CROQUIS_DATOS!$C$1492))*CROQUIS_DATOS!$C$1561))/CROQUIS_DATOS!$C$1568-0.000001)),1,MOD($A112-1,2)),1-IF(INT(($A112-1)/2)+1&gt;MAX(1,INT(((((CROQUIS_DATOS!$C$1489+CROQUIS_DATOS!$C$1490))-(CROQUIS_DATOS!$C$1489))+((CROQUIS_DATOS!$C$1476)*CROQUIS_DATOS!$C$1561-((CROQUIS_DATOS!$C$1491+CROQUIS_DATOS!$C$1492))*CROQUIS_DATOS!$C$1561))/CROQUIS_DATOS!$C$1568-0.000001)),1,MOD($A112-1,2)))=1,MIN((CROQUIS_DATOS!$C$1476)*CROQUIS_DATOS!$C$1561,((CROQUIS_DATOS!$C$1489+CROQUIS_DATOS!$C$1490)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2">
        <f>IF(AND(CROQUIS_DATOS!$C$1472=1,CROQUIS_DATOS!$C$1478&gt;=3,((CROQUIS_DATOS!$C$1489+CROQUIS_DATOS!$C$1490))-(CROQUIS_DATOS!$C$1489)&gt;0.5,(CROQUIS_DATOS!$C$1476)-((CROQUIS_DATOS!$C$1491+CROQUIS_DATOS!$C$1492))&gt;0.5),(CROQUIS_DATOS!$C$1567+(IF(IF(MOD(MIN(INT(($A112-1)/2)+1,MAX(1,INT(((((CROQUIS_DATOS!$C$1489+CROQUIS_DATOS!$C$1490))-(CROQUIS_DATOS!$C$1489))+((CROQUIS_DATOS!$C$1476)*CROQUIS_DATOS!$C$1561-((CROQUIS_DATOS!$C$1491+CROQUIS_DATOS!$C$1492))*CROQUIS_DATOS!$C$1561))/CROQUIS_DATOS!$C$1568-0.000001))),2)=1,IF(INT(($A112-1)/2)+1&gt;MAX(1,INT(((((CROQUIS_DATOS!$C$1489+CROQUIS_DATOS!$C$1490))-(CROQUIS_DATOS!$C$1489))+((CROQUIS_DATOS!$C$1476)*CROQUIS_DATOS!$C$1561-((CROQUIS_DATOS!$C$1491+CROQUIS_DATOS!$C$1492))*CROQUIS_DATOS!$C$1561))/CROQUIS_DATOS!$C$1568-0.000001)),1,MOD($A112-1,2)),1-IF(INT(($A112-1)/2)+1&gt;MAX(1,INT(((((CROQUIS_DATOS!$C$1489+CROQUIS_DATOS!$C$1490))-(CROQUIS_DATOS!$C$1489))+((CROQUIS_DATOS!$C$1476)*CROQUIS_DATOS!$C$1561-((CROQUIS_DATOS!$C$1491+CROQUIS_DATOS!$C$1492))*CROQUIS_DATOS!$C$1561))/CROQUIS_DATOS!$C$1568-0.000001)),1,MOD($A112-1,2)))=1,MIN((CROQUIS_DATOS!$C$1476)*CROQUIS_DATOS!$C$1561,((CROQUIS_DATOS!$C$1489+CROQUIS_DATOS!$C$1490)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2">
        <f>IF(AND(CROQUIS_DATOS!$C$1472=1,CROQUIS_DATOS!$C$1478&gt;=4,((CROQUIS_DATOS!$C$1494+CROQUIS_DATOS!$C$1495))-(CROQUIS_DATOS!$C$1494)&gt;0.5,(CROQUIS_DATOS!$C$1496)-(0)&gt;0.5),(CROQUIS_DATOS!$C$1566+(IF(IF(MOD(MIN(INT(($A112-1)/2)+1,MAX(1,INT(((((CROQUIS_DATOS!$C$1494+CROQUIS_DATOS!$C$1495))-(CROQUIS_DATOS!$C$1494))+((CROQUIS_DATOS!$C$1496)*CROQUIS_DATOS!$C$1561-(0)*CROQUIS_DATOS!$C$1561))/CROQUIS_DATOS!$C$1568-0.000001))),2)=1,IF(INT(($A112-1)/2)+1&gt;MAX(1,INT(((((CROQUIS_DATOS!$C$1494+CROQUIS_DATOS!$C$1495))-(CROQUIS_DATOS!$C$1494))+((CROQUIS_DATOS!$C$1496)*CROQUIS_DATOS!$C$1561-(0)*CROQUIS_DATOS!$C$1561))/CROQUIS_DATOS!$C$1568-0.000001)),1,MOD($A112-1,2)),1-IF(INT(($A112-1)/2)+1&gt;MAX(1,INT(((((CROQUIS_DATOS!$C$1494+CROQUIS_DATOS!$C$1495))-(CROQUIS_DATOS!$C$1494))+((CROQUIS_DATOS!$C$1496)*CROQUIS_DATOS!$C$1561-(0)*CROQUIS_DATOS!$C$1561))/CROQUIS_DATOS!$C$1568-0.000001)),1,MOD($A112-1,2)))=1,MIN((CROQUIS_DATOS!$C$1496)*CROQUIS_DATOS!$C$1561,((CROQUIS_DATOS!$C$1494+CROQUIS_DATOS!$C$1495)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2">
        <f>IF(AND(CROQUIS_DATOS!$C$1472=1,CROQUIS_DATOS!$C$1478&gt;=4,((CROQUIS_DATOS!$C$1494+CROQUIS_DATOS!$C$1495))-(CROQUIS_DATOS!$C$1494)&gt;0.5,(CROQUIS_DATOS!$C$1496)-(0)&gt;0.5),(CROQUIS_DATOS!$C$1567+(IF(IF(MOD(MIN(INT(($A112-1)/2)+1,MAX(1,INT(((((CROQUIS_DATOS!$C$1494+CROQUIS_DATOS!$C$1495))-(CROQUIS_DATOS!$C$1494))+((CROQUIS_DATOS!$C$1496)*CROQUIS_DATOS!$C$1561-(0)*CROQUIS_DATOS!$C$1561))/CROQUIS_DATOS!$C$1568-0.000001))),2)=1,IF(INT(($A112-1)/2)+1&gt;MAX(1,INT(((((CROQUIS_DATOS!$C$1494+CROQUIS_DATOS!$C$1495))-(CROQUIS_DATOS!$C$1494))+((CROQUIS_DATOS!$C$1496)*CROQUIS_DATOS!$C$1561-(0)*CROQUIS_DATOS!$C$1561))/CROQUIS_DATOS!$C$1568-0.000001)),1,MOD($A112-1,2)),1-IF(INT(($A112-1)/2)+1&gt;MAX(1,INT(((((CROQUIS_DATOS!$C$1494+CROQUIS_DATOS!$C$1495))-(CROQUIS_DATOS!$C$1494))+((CROQUIS_DATOS!$C$1496)*CROQUIS_DATOS!$C$1561-(0)*CROQUIS_DATOS!$C$1561))/CROQUIS_DATOS!$C$1568-0.000001)),1,MOD($A112-1,2)))=1,MIN((CROQUIS_DATOS!$C$1496)*CROQUIS_DATOS!$C$1561,((CROQUIS_DATOS!$C$1494+CROQUIS_DATOS!$C$1495)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2">
        <f>IF(AND(CROQUIS_DATOS!$C$1472=1,CROQUIS_DATOS!$C$1478&gt;=4,((CROQUIS_DATOS!$C$1494+CROQUIS_DATOS!$C$1495))-(CROQUIS_DATOS!$C$1494)&gt;0.5,(CROQUIS_DATOS!$C$1476)-((CROQUIS_DATOS!$C$1496+CROQUIS_DATOS!$C$1497))&gt;0.5),(CROQUIS_DATOS!$C$1566+(IF(IF(MOD(MIN(INT(($A112-1)/2)+1,MAX(1,INT(((((CROQUIS_DATOS!$C$1494+CROQUIS_DATOS!$C$1495))-(CROQUIS_DATOS!$C$1494))+((CROQUIS_DATOS!$C$1476)*CROQUIS_DATOS!$C$1561-((CROQUIS_DATOS!$C$1496+CROQUIS_DATOS!$C$1497))*CROQUIS_DATOS!$C$1561))/CROQUIS_DATOS!$C$1568-0.000001))),2)=1,IF(INT(($A112-1)/2)+1&gt;MAX(1,INT(((((CROQUIS_DATOS!$C$1494+CROQUIS_DATOS!$C$1495))-(CROQUIS_DATOS!$C$1494))+((CROQUIS_DATOS!$C$1476)*CROQUIS_DATOS!$C$1561-((CROQUIS_DATOS!$C$1496+CROQUIS_DATOS!$C$1497))*CROQUIS_DATOS!$C$1561))/CROQUIS_DATOS!$C$1568-0.000001)),1,MOD($A112-1,2)),1-IF(INT(($A112-1)/2)+1&gt;MAX(1,INT(((((CROQUIS_DATOS!$C$1494+CROQUIS_DATOS!$C$1495))-(CROQUIS_DATOS!$C$1494))+((CROQUIS_DATOS!$C$1476)*CROQUIS_DATOS!$C$1561-((CROQUIS_DATOS!$C$1496+CROQUIS_DATOS!$C$1497))*CROQUIS_DATOS!$C$1561))/CROQUIS_DATOS!$C$1568-0.000001)),1,MOD($A112-1,2)))=1,MIN((CROQUIS_DATOS!$C$1476)*CROQUIS_DATOS!$C$1561,((CROQUIS_DATOS!$C$1494+CROQUIS_DATOS!$C$1495)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2">
        <f>IF(AND(CROQUIS_DATOS!$C$1472=1,CROQUIS_DATOS!$C$1478&gt;=4,((CROQUIS_DATOS!$C$1494+CROQUIS_DATOS!$C$1495))-(CROQUIS_DATOS!$C$1494)&gt;0.5,(CROQUIS_DATOS!$C$1476)-((CROQUIS_DATOS!$C$1496+CROQUIS_DATOS!$C$1497))&gt;0.5),(CROQUIS_DATOS!$C$1567+(IF(IF(MOD(MIN(INT(($A112-1)/2)+1,MAX(1,INT(((((CROQUIS_DATOS!$C$1494+CROQUIS_DATOS!$C$1495))-(CROQUIS_DATOS!$C$1494))+((CROQUIS_DATOS!$C$1476)*CROQUIS_DATOS!$C$1561-((CROQUIS_DATOS!$C$1496+CROQUIS_DATOS!$C$1497))*CROQUIS_DATOS!$C$1561))/CROQUIS_DATOS!$C$1568-0.000001))),2)=1,IF(INT(($A112-1)/2)+1&gt;MAX(1,INT(((((CROQUIS_DATOS!$C$1494+CROQUIS_DATOS!$C$1495))-(CROQUIS_DATOS!$C$1494))+((CROQUIS_DATOS!$C$1476)*CROQUIS_DATOS!$C$1561-((CROQUIS_DATOS!$C$1496+CROQUIS_DATOS!$C$1497))*CROQUIS_DATOS!$C$1561))/CROQUIS_DATOS!$C$1568-0.000001)),1,MOD($A112-1,2)),1-IF(INT(($A112-1)/2)+1&gt;MAX(1,INT(((((CROQUIS_DATOS!$C$1494+CROQUIS_DATOS!$C$1495))-(CROQUIS_DATOS!$C$1494))+((CROQUIS_DATOS!$C$1476)*CROQUIS_DATOS!$C$1561-((CROQUIS_DATOS!$C$1496+CROQUIS_DATOS!$C$1497))*CROQUIS_DATOS!$C$1561))/CROQUIS_DATOS!$C$1568-0.000001)),1,MOD($A112-1,2)))=1,MIN((CROQUIS_DATOS!$C$1476)*CROQUIS_DATOS!$C$1561,((CROQUIS_DATOS!$C$1494+CROQUIS_DATOS!$C$1495)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3">
      <c r="A113" t="n">
        <v>106</v>
      </c>
      <c r="N113">
        <f>IF(AND(CROQUIS_DATOS!$C$1472=1,1),(CROQUIS_DATOS!$C$1563+(IF(IF(IF(INT(($A113-1)/70)+1&gt;CROQUIS_DATOS!$C$1525,70,MOD($A113-1,70)+1)=1,0,IF(IF(INT(($A113-1)/70)+1&gt;CROQUIS_DATOS!$C$1525,70,MOD($A113-1,70)+1)&gt;2*CROQUIS_DATOS!$C$1541+1,IF(MOD(CROQUIS_DATOS!$C$1541,2)=1,1,0),IF(MOD(MIN(INT((IF(INT(($A113-1)/70)+1&gt;CROQUIS_DATOS!$C$1525,70,MOD($A113-1,70)+1)-2)/2)+1,CROQUIS_DATOS!$C$1541),2)=1,IF(MOD(IF(INT(($A113-1)/70)+1&gt;CROQUIS_DATOS!$C$1525,70,MOD($A113-1,70)+1)-2,2)=0,0,1),IF(MOD(IF(INT(($A113-1)/70)+1&gt;CROQUIS_DATOS!$C$1525,70,MOD($A113-1,70)+1)-2,2)=0,1,0))))=0,(INDEX($E$8:$E$23,MIN(INT(($A113-1)/70)+1,CROQUIS_DATOS!$C$1525))-INDEX($F$8:$F$23,MIN(INT(($A113-1)/70)+1,CROQUIS_DATOS!$C$1525))/2),(INDEX($E$8:$E$23,MIN(INT(($A113-1)/70)+1,CROQUIS_DATOS!$C$1525))+INDEX($F$8:$F$23,MIN(INT(($A113-1)/70)+1,CROQUIS_DATOS!$C$1525))/2)))*CROQUIS_DATOS!$C$1562),-1000)</f>
        <v>20.6724137931034</v>
      </c>
      <c r="O113">
        <f>IF(AND(CROQUIS_DATOS!$C$1472=1,1),(CROQUIS_DATOS!$C$1564+(IF(OR(IF(INT(($A113-1)/70)+1&gt;CROQUIS_DATOS!$C$1525,70,MOD($A113-1,70)+1)=1,IF(INT(($A113-1)/70)+1&gt;CROQUIS_DATOS!$C$1525,70,MOD($A113-1,70)+1)&gt;2*CROQUIS_DATOS!$C$1541+1),CROQUIS_DATOS!$C$1476,INDEX($H$8:$H$41,MIN(INT((IF(INT(($A113-1)/70)+1&gt;CROQUIS_DATOS!$C$1525,70,MOD($A113-1,70)+1)-2)/2)+1,CROQUIS_DATOS!$C$1541))))*CROQUIS_DATOS!$C$1561*CROQUIS_DATOS!$C$1562),-1000)</f>
        <v>39.1594827586207</v>
      </c>
      <c r="P113">
        <f>IF(AND(CROQUIS_DATOS!$C$1472=1,CROQUIS_DATOS!$C$1555=1),(CROQUIS_DATOS!$C$1563+(IF(IF(OR(MOD($A113-1,62)+1=1,IF(CHOOSE(MIN(MAX(MIN(INT(($A113-1)/62)+1,5),1),5),CROQUIS_DATOS!$C$1501,CROQUIS_DATOS!$C$1505,CROQUIS_DATOS!$C$1509,CROQUIS_DATOS!$C$1513,CROQUIS_DATOS!$C$1517)=1,CROQUIS_DATOS!$C$1557,0)=0),0,IF(MOD($A113-1,62)+1&gt;2*IF(CHOOSE(MIN(MAX(MIN(INT(($A113-1)/62)+1,5),1),5),CROQUIS_DATOS!$C$1501,CROQUIS_DATOS!$C$1505,CROQUIS_DATOS!$C$1509,CROQUIS_DATOS!$C$1513,CROQUIS_DATOS!$C$1517)=1,CROQUIS_DATOS!$C$1557,0)+1,IF(MOD(IF(CHOOSE(MIN(MAX(MIN(INT(($A113-1)/62)+1,5),1),5),CROQUIS_DATOS!$C$1501,CROQUIS_DATOS!$C$1505,CROQUIS_DATOS!$C$1509,CROQUIS_DATOS!$C$1513,CROQUIS_DATOS!$C$1517)=1,CROQUIS_DATOS!$C$1557,0),2)=1,1,0),IF(MOD(MIN(INT((MOD($A113-1,62)+1-2)/2)+1,MAX(IF(CHOOSE(MIN(MAX(MIN(INT(($A113-1)/62)+1,5),1),5),CROQUIS_DATOS!$C$1501,CROQUIS_DATOS!$C$1505,CROQUIS_DATOS!$C$1509,CROQUIS_DATOS!$C$1513,CROQUIS_DATOS!$C$1517)=1,CROQUIS_DATOS!$C$1557,0),1)),2)=1,IF(MOD(MOD($A113-1,62)+1-2,2)=0,0,1),IF(MOD(MOD($A113-1,62)+1-2,2)=0,1,0))))=0,(CHOOSE(MIN(MAX(MIN(INT(($A113-1)/62)+1,5),1),5),CROQUIS_DATOS!$C$1499,CROQUIS_DATOS!$C$1503,CROQUIS_DATOS!$C$1507,CROQUIS_DATOS!$C$1511,CROQUIS_DATOS!$C$1515)+IF(CHOOSE(MIN(MAX(MIN(INT(($A113-1)/62)+1,5),1),5),CROQUIS_DATOS!$C$1501,CROQUIS_DATOS!$C$1505,CROQUIS_DATOS!$C$1509,CROQUIS_DATOS!$C$1513,CROQUIS_DATOS!$C$1517)=1,CROQUIS_DATOS!$C$1526,0)),(CHOOSE(MIN(MAX(MIN(INT(($A113-1)/62)+1,5),1),5),CROQUIS_DATOS!$C$1499,CROQUIS_DATOS!$C$1503,CROQUIS_DATOS!$C$1507,CROQUIS_DATOS!$C$1511,CROQUIS_DATOS!$C$1515)+CHOOSE(MIN(MAX(MIN(INT(($A113-1)/62)+1,5),1),5),CROQUIS_DATOS!$C$1500,CROQUIS_DATOS!$C$1504,CROQUIS_DATOS!$C$1508,CROQUIS_DATOS!$C$1512,CROQUIS_DATOS!$C$1516)-IF(CHOOSE(MIN(MAX(MIN(INT(($A113-1)/62)+1,5),1),5),CROQUIS_DATOS!$C$1501,CROQUIS_DATOS!$C$1505,CROQUIS_DATOS!$C$1509,CROQUIS_DATOS!$C$1513,CROQUIS_DATOS!$C$1517)=1,CROQUIS_DATOS!$C$1526,0))))*CROQUIS_DATOS!$C$1562),-1000)</f>
        <v>-1000</v>
      </c>
      <c r="Q113">
        <f>IF(AND(CROQUIS_DATOS!$C$1472=1,CROQUIS_DATOS!$C$1555=1),(CROQUIS_DATOS!$C$1564+(IF(OR(OR(MOD($A113-1,62)+1=1,IF(CHOOSE(MIN(MAX(MIN(INT(($A113-1)/62)+1,5),1),5),CROQUIS_DATOS!$C$1501,CROQUIS_DATOS!$C$1505,CROQUIS_DATOS!$C$1509,CROQUIS_DATOS!$C$1513,CROQUIS_DATOS!$C$1517)=1,CROQUIS_DATOS!$C$1557,0)=0),MOD($A113-1,62)+1&gt;2*IF(CHOOSE(MIN(MAX(MIN(INT(($A113-1)/62)+1,5),1),5),CROQUIS_DATOS!$C$1501,CROQUIS_DATOS!$C$1505,CROQUIS_DATOS!$C$1509,CROQUIS_DATOS!$C$1513,CROQUIS_DATOS!$C$1517)=1,CROQUIS_DATOS!$C$1557,0)+1),CROQUIS_DATOS!$C$1476,MIN(INT((MOD($A113-1,62)+1-2)/2)+1,MAX(IF(CHOOSE(MIN(MAX(MIN(INT(($A113-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3">
        <f>IF(AND(CROQUIS_DATOS!$C$1472=1,1),(CROQUIS_DATOS!$C$1563+(MIN(INT(($A113-1)/2)+1,CROQUIS_DATOS!$C$1558)*CROQUIS_DATOS!$C$1559)*CROQUIS_DATOS!$C$1562),-1000)</f>
        <v>82.2281167108753</v>
      </c>
      <c r="U113">
        <f>IF(AND(CROQUIS_DATOS!$C$1472=1,1),(CROQUIS_DATOS!$C$1564+(IF(INT(($A113-1)/2)+1&gt;CROQUIS_DATOS!$C$1558,IF(MOD(CROQUIS_DATOS!$C$1558,2)=1,CROQUIS_DATOS!$C$1476+CROQUIS_DATOS!$C$1528,CROQUIS_DATOS!$C$1476),IF(IF(MOD(MIN(INT(($A113-1)/2)+1,CROQUIS_DATOS!$C$1558),2)=1,MOD($A113-1,2),1-MOD($A113-1,2))=1,CROQUIS_DATOS!$C$1476+CROQUIS_DATOS!$C$1528,CROQUIS_DATOS!$C$1476)))*CROQUIS_DATOS!$C$1561*CROQUIS_DATOS!$C$1562),-1000)</f>
        <v>43</v>
      </c>
      <c r="BZ113">
        <f>IF(AND(CROQUIS_DATOS!$C$1472=1,CROQUIS_DATOS!$C$1500&gt;0,((CROQUIS_DATOS!$C$1499+CROQUIS_DATOS!$C$1500))-(CROQUIS_DATOS!$C$1499)&gt;0.5,(CROQUIS_DATOS!$C$1476)-(0)&gt;0.5),(CROQUIS_DATOS!$C$1566+(IF(IF(MOD(MIN(INT(($A113-1)/2)+1,MAX(1,INT(((((CROQUIS_DATOS!$C$1499+CROQUIS_DATOS!$C$1500))-(CROQUIS_DATOS!$C$1499))+((CROQUIS_DATOS!$C$1476)*CROQUIS_DATOS!$C$1561-(0)*CROQUIS_DATOS!$C$1561))/CROQUIS_DATOS!$C$1568-0.000001))),2)=1,IF(INT(($A113-1)/2)+1&gt;MAX(1,INT(((((CROQUIS_DATOS!$C$1499+CROQUIS_DATOS!$C$1500))-(CROQUIS_DATOS!$C$1499))+((CROQUIS_DATOS!$C$1476)*CROQUIS_DATOS!$C$1561-(0)*CROQUIS_DATOS!$C$1561))/CROQUIS_DATOS!$C$1568-0.000001)),1,MOD($A113-1,2)),1-IF(INT(($A113-1)/2)+1&gt;MAX(1,INT(((((CROQUIS_DATOS!$C$1499+CROQUIS_DATOS!$C$1500))-(CROQUIS_DATOS!$C$1499))+((CROQUIS_DATOS!$C$1476)*CROQUIS_DATOS!$C$1561-(0)*CROQUIS_DATOS!$C$1561))/CROQUIS_DATOS!$C$1568-0.000001)),1,MOD($A113-1,2)))=1,MIN((CROQUIS_DATOS!$C$1476)*CROQUIS_DATOS!$C$1561,((CROQUIS_DATOS!$C$1499+CROQUIS_DATOS!$C$1500)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3">
        <f>IF(AND(CROQUIS_DATOS!$C$1472=1,CROQUIS_DATOS!$C$1500&gt;0,((CROQUIS_DATOS!$C$1499+CROQUIS_DATOS!$C$1500))-(CROQUIS_DATOS!$C$1499)&gt;0.5,(CROQUIS_DATOS!$C$1476)-(0)&gt;0.5),(CROQUIS_DATOS!$C$1567+(IF(IF(MOD(MIN(INT(($A113-1)/2)+1,MAX(1,INT(((((CROQUIS_DATOS!$C$1499+CROQUIS_DATOS!$C$1500))-(CROQUIS_DATOS!$C$1499))+((CROQUIS_DATOS!$C$1476)*CROQUIS_DATOS!$C$1561-(0)*CROQUIS_DATOS!$C$1561))/CROQUIS_DATOS!$C$1568-0.000001))),2)=1,IF(INT(($A113-1)/2)+1&gt;MAX(1,INT(((((CROQUIS_DATOS!$C$1499+CROQUIS_DATOS!$C$1500))-(CROQUIS_DATOS!$C$1499))+((CROQUIS_DATOS!$C$1476)*CROQUIS_DATOS!$C$1561-(0)*CROQUIS_DATOS!$C$1561))/CROQUIS_DATOS!$C$1568-0.000001)),1,MOD($A113-1,2)),1-IF(INT(($A113-1)/2)+1&gt;MAX(1,INT(((((CROQUIS_DATOS!$C$1499+CROQUIS_DATOS!$C$1500))-(CROQUIS_DATOS!$C$1499))+((CROQUIS_DATOS!$C$1476)*CROQUIS_DATOS!$C$1561-(0)*CROQUIS_DATOS!$C$1561))/CROQUIS_DATOS!$C$1568-0.000001)),1,MOD($A113-1,2)))=1,MIN((CROQUIS_DATOS!$C$1476)*CROQUIS_DATOS!$C$1561,((CROQUIS_DATOS!$C$1499+CROQUIS_DATOS!$C$1500)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3">
        <f>IF(AND(CROQUIS_DATOS!$C$1472=1,CROQUIS_DATOS!$C$1504&gt;0,((CROQUIS_DATOS!$C$1503+CROQUIS_DATOS!$C$1504))-(CROQUIS_DATOS!$C$1503)&gt;0.5,(CROQUIS_DATOS!$C$1476)-(0)&gt;0.5),(CROQUIS_DATOS!$C$1566+(IF(IF(MOD(MIN(INT(($A113-1)/2)+1,MAX(1,INT(((((CROQUIS_DATOS!$C$1503+CROQUIS_DATOS!$C$1504))-(CROQUIS_DATOS!$C$1503))+((CROQUIS_DATOS!$C$1476)*CROQUIS_DATOS!$C$1561-(0)*CROQUIS_DATOS!$C$1561))/CROQUIS_DATOS!$C$1568-0.000001))),2)=1,IF(INT(($A113-1)/2)+1&gt;MAX(1,INT(((((CROQUIS_DATOS!$C$1503+CROQUIS_DATOS!$C$1504))-(CROQUIS_DATOS!$C$1503))+((CROQUIS_DATOS!$C$1476)*CROQUIS_DATOS!$C$1561-(0)*CROQUIS_DATOS!$C$1561))/CROQUIS_DATOS!$C$1568-0.000001)),1,MOD($A113-1,2)),1-IF(INT(($A113-1)/2)+1&gt;MAX(1,INT(((((CROQUIS_DATOS!$C$1503+CROQUIS_DATOS!$C$1504))-(CROQUIS_DATOS!$C$1503))+((CROQUIS_DATOS!$C$1476)*CROQUIS_DATOS!$C$1561-(0)*CROQUIS_DATOS!$C$1561))/CROQUIS_DATOS!$C$1568-0.000001)),1,MOD($A113-1,2)))=1,MIN((CROQUIS_DATOS!$C$1476)*CROQUIS_DATOS!$C$1561,((CROQUIS_DATOS!$C$1503+CROQUIS_DATOS!$C$1504)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3">
        <f>IF(AND(CROQUIS_DATOS!$C$1472=1,CROQUIS_DATOS!$C$1504&gt;0,((CROQUIS_DATOS!$C$1503+CROQUIS_DATOS!$C$1504))-(CROQUIS_DATOS!$C$1503)&gt;0.5,(CROQUIS_DATOS!$C$1476)-(0)&gt;0.5),(CROQUIS_DATOS!$C$1567+(IF(IF(MOD(MIN(INT(($A113-1)/2)+1,MAX(1,INT(((((CROQUIS_DATOS!$C$1503+CROQUIS_DATOS!$C$1504))-(CROQUIS_DATOS!$C$1503))+((CROQUIS_DATOS!$C$1476)*CROQUIS_DATOS!$C$1561-(0)*CROQUIS_DATOS!$C$1561))/CROQUIS_DATOS!$C$1568-0.000001))),2)=1,IF(INT(($A113-1)/2)+1&gt;MAX(1,INT(((((CROQUIS_DATOS!$C$1503+CROQUIS_DATOS!$C$1504))-(CROQUIS_DATOS!$C$1503))+((CROQUIS_DATOS!$C$1476)*CROQUIS_DATOS!$C$1561-(0)*CROQUIS_DATOS!$C$1561))/CROQUIS_DATOS!$C$1568-0.000001)),1,MOD($A113-1,2)),1-IF(INT(($A113-1)/2)+1&gt;MAX(1,INT(((((CROQUIS_DATOS!$C$1503+CROQUIS_DATOS!$C$1504))-(CROQUIS_DATOS!$C$1503))+((CROQUIS_DATOS!$C$1476)*CROQUIS_DATOS!$C$1561-(0)*CROQUIS_DATOS!$C$1561))/CROQUIS_DATOS!$C$1568-0.000001)),1,MOD($A113-1,2)))=1,MIN((CROQUIS_DATOS!$C$1476)*CROQUIS_DATOS!$C$1561,((CROQUIS_DATOS!$C$1503+CROQUIS_DATOS!$C$1504)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3">
        <f>IF(AND(CROQUIS_DATOS!$C$1472=1,CROQUIS_DATOS!$C$1508&gt;0,((CROQUIS_DATOS!$C$1507+CROQUIS_DATOS!$C$1508))-(CROQUIS_DATOS!$C$1507)&gt;0.5,(CROQUIS_DATOS!$C$1476)-(0)&gt;0.5),(CROQUIS_DATOS!$C$1566+(IF(IF(MOD(MIN(INT(($A113-1)/2)+1,MAX(1,INT(((((CROQUIS_DATOS!$C$1507+CROQUIS_DATOS!$C$1508))-(CROQUIS_DATOS!$C$1507))+((CROQUIS_DATOS!$C$1476)*CROQUIS_DATOS!$C$1561-(0)*CROQUIS_DATOS!$C$1561))/CROQUIS_DATOS!$C$1568-0.000001))),2)=1,IF(INT(($A113-1)/2)+1&gt;MAX(1,INT(((((CROQUIS_DATOS!$C$1507+CROQUIS_DATOS!$C$1508))-(CROQUIS_DATOS!$C$1507))+((CROQUIS_DATOS!$C$1476)*CROQUIS_DATOS!$C$1561-(0)*CROQUIS_DATOS!$C$1561))/CROQUIS_DATOS!$C$1568-0.000001)),1,MOD($A113-1,2)),1-IF(INT(($A113-1)/2)+1&gt;MAX(1,INT(((((CROQUIS_DATOS!$C$1507+CROQUIS_DATOS!$C$1508))-(CROQUIS_DATOS!$C$1507))+((CROQUIS_DATOS!$C$1476)*CROQUIS_DATOS!$C$1561-(0)*CROQUIS_DATOS!$C$1561))/CROQUIS_DATOS!$C$1568-0.000001)),1,MOD($A113-1,2)))=1,MIN((CROQUIS_DATOS!$C$1476)*CROQUIS_DATOS!$C$1561,((CROQUIS_DATOS!$C$1507+CROQUIS_DATOS!$C$1508)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3">
        <f>IF(AND(CROQUIS_DATOS!$C$1472=1,CROQUIS_DATOS!$C$1508&gt;0,((CROQUIS_DATOS!$C$1507+CROQUIS_DATOS!$C$1508))-(CROQUIS_DATOS!$C$1507)&gt;0.5,(CROQUIS_DATOS!$C$1476)-(0)&gt;0.5),(CROQUIS_DATOS!$C$1567+(IF(IF(MOD(MIN(INT(($A113-1)/2)+1,MAX(1,INT(((((CROQUIS_DATOS!$C$1507+CROQUIS_DATOS!$C$1508))-(CROQUIS_DATOS!$C$1507))+((CROQUIS_DATOS!$C$1476)*CROQUIS_DATOS!$C$1561-(0)*CROQUIS_DATOS!$C$1561))/CROQUIS_DATOS!$C$1568-0.000001))),2)=1,IF(INT(($A113-1)/2)+1&gt;MAX(1,INT(((((CROQUIS_DATOS!$C$1507+CROQUIS_DATOS!$C$1508))-(CROQUIS_DATOS!$C$1507))+((CROQUIS_DATOS!$C$1476)*CROQUIS_DATOS!$C$1561-(0)*CROQUIS_DATOS!$C$1561))/CROQUIS_DATOS!$C$1568-0.000001)),1,MOD($A113-1,2)),1-IF(INT(($A113-1)/2)+1&gt;MAX(1,INT(((((CROQUIS_DATOS!$C$1507+CROQUIS_DATOS!$C$1508))-(CROQUIS_DATOS!$C$1507))+((CROQUIS_DATOS!$C$1476)*CROQUIS_DATOS!$C$1561-(0)*CROQUIS_DATOS!$C$1561))/CROQUIS_DATOS!$C$1568-0.000001)),1,MOD($A113-1,2)))=1,MIN((CROQUIS_DATOS!$C$1476)*CROQUIS_DATOS!$C$1561,((CROQUIS_DATOS!$C$1507+CROQUIS_DATOS!$C$1508)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3">
        <f>IF(AND(CROQUIS_DATOS!$C$1472=1,CROQUIS_DATOS!$C$1512&gt;0,((CROQUIS_DATOS!$C$1511+CROQUIS_DATOS!$C$1512))-(CROQUIS_DATOS!$C$1511)&gt;0.5,(CROQUIS_DATOS!$C$1476)-(0)&gt;0.5),(CROQUIS_DATOS!$C$1566+(IF(IF(MOD(MIN(INT(($A113-1)/2)+1,MAX(1,INT(((((CROQUIS_DATOS!$C$1511+CROQUIS_DATOS!$C$1512))-(CROQUIS_DATOS!$C$1511))+((CROQUIS_DATOS!$C$1476)*CROQUIS_DATOS!$C$1561-(0)*CROQUIS_DATOS!$C$1561))/CROQUIS_DATOS!$C$1568-0.000001))),2)=1,IF(INT(($A113-1)/2)+1&gt;MAX(1,INT(((((CROQUIS_DATOS!$C$1511+CROQUIS_DATOS!$C$1512))-(CROQUIS_DATOS!$C$1511))+((CROQUIS_DATOS!$C$1476)*CROQUIS_DATOS!$C$1561-(0)*CROQUIS_DATOS!$C$1561))/CROQUIS_DATOS!$C$1568-0.000001)),1,MOD($A113-1,2)),1-IF(INT(($A113-1)/2)+1&gt;MAX(1,INT(((((CROQUIS_DATOS!$C$1511+CROQUIS_DATOS!$C$1512))-(CROQUIS_DATOS!$C$1511))+((CROQUIS_DATOS!$C$1476)*CROQUIS_DATOS!$C$1561-(0)*CROQUIS_DATOS!$C$1561))/CROQUIS_DATOS!$C$1568-0.000001)),1,MOD($A113-1,2)))=1,MIN((CROQUIS_DATOS!$C$1476)*CROQUIS_DATOS!$C$1561,((CROQUIS_DATOS!$C$1511+CROQUIS_DATOS!$C$1512)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3">
        <f>IF(AND(CROQUIS_DATOS!$C$1472=1,CROQUIS_DATOS!$C$1512&gt;0,((CROQUIS_DATOS!$C$1511+CROQUIS_DATOS!$C$1512))-(CROQUIS_DATOS!$C$1511)&gt;0.5,(CROQUIS_DATOS!$C$1476)-(0)&gt;0.5),(CROQUIS_DATOS!$C$1567+(IF(IF(MOD(MIN(INT(($A113-1)/2)+1,MAX(1,INT(((((CROQUIS_DATOS!$C$1511+CROQUIS_DATOS!$C$1512))-(CROQUIS_DATOS!$C$1511))+((CROQUIS_DATOS!$C$1476)*CROQUIS_DATOS!$C$1561-(0)*CROQUIS_DATOS!$C$1561))/CROQUIS_DATOS!$C$1568-0.000001))),2)=1,IF(INT(($A113-1)/2)+1&gt;MAX(1,INT(((((CROQUIS_DATOS!$C$1511+CROQUIS_DATOS!$C$1512))-(CROQUIS_DATOS!$C$1511))+((CROQUIS_DATOS!$C$1476)*CROQUIS_DATOS!$C$1561-(0)*CROQUIS_DATOS!$C$1561))/CROQUIS_DATOS!$C$1568-0.000001)),1,MOD($A113-1,2)),1-IF(INT(($A113-1)/2)+1&gt;MAX(1,INT(((((CROQUIS_DATOS!$C$1511+CROQUIS_DATOS!$C$1512))-(CROQUIS_DATOS!$C$1511))+((CROQUIS_DATOS!$C$1476)*CROQUIS_DATOS!$C$1561-(0)*CROQUIS_DATOS!$C$1561))/CROQUIS_DATOS!$C$1568-0.000001)),1,MOD($A113-1,2)))=1,MIN((CROQUIS_DATOS!$C$1476)*CROQUIS_DATOS!$C$1561,((CROQUIS_DATOS!$C$1511+CROQUIS_DATOS!$C$1512)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3">
        <f>IF(AND(CROQUIS_DATOS!$C$1472=1,CROQUIS_DATOS!$C$1516&gt;0,((CROQUIS_DATOS!$C$1515+CROQUIS_DATOS!$C$1516))-(CROQUIS_DATOS!$C$1515)&gt;0.5,(CROQUIS_DATOS!$C$1476)-(0)&gt;0.5),(CROQUIS_DATOS!$C$1566+(IF(IF(MOD(MIN(INT(($A113-1)/2)+1,MAX(1,INT(((((CROQUIS_DATOS!$C$1515+CROQUIS_DATOS!$C$1516))-(CROQUIS_DATOS!$C$1515))+((CROQUIS_DATOS!$C$1476)*CROQUIS_DATOS!$C$1561-(0)*CROQUIS_DATOS!$C$1561))/CROQUIS_DATOS!$C$1568-0.000001))),2)=1,IF(INT(($A113-1)/2)+1&gt;MAX(1,INT(((((CROQUIS_DATOS!$C$1515+CROQUIS_DATOS!$C$1516))-(CROQUIS_DATOS!$C$1515))+((CROQUIS_DATOS!$C$1476)*CROQUIS_DATOS!$C$1561-(0)*CROQUIS_DATOS!$C$1561))/CROQUIS_DATOS!$C$1568-0.000001)),1,MOD($A113-1,2)),1-IF(INT(($A113-1)/2)+1&gt;MAX(1,INT(((((CROQUIS_DATOS!$C$1515+CROQUIS_DATOS!$C$1516))-(CROQUIS_DATOS!$C$1515))+((CROQUIS_DATOS!$C$1476)*CROQUIS_DATOS!$C$1561-(0)*CROQUIS_DATOS!$C$1561))/CROQUIS_DATOS!$C$1568-0.000001)),1,MOD($A113-1,2)))=1,MIN((CROQUIS_DATOS!$C$1476)*CROQUIS_DATOS!$C$1561,((CROQUIS_DATOS!$C$1515+CROQUIS_DATOS!$C$1516)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3">
        <f>IF(AND(CROQUIS_DATOS!$C$1472=1,CROQUIS_DATOS!$C$1516&gt;0,((CROQUIS_DATOS!$C$1515+CROQUIS_DATOS!$C$1516))-(CROQUIS_DATOS!$C$1515)&gt;0.5,(CROQUIS_DATOS!$C$1476)-(0)&gt;0.5),(CROQUIS_DATOS!$C$1567+(IF(IF(MOD(MIN(INT(($A113-1)/2)+1,MAX(1,INT(((((CROQUIS_DATOS!$C$1515+CROQUIS_DATOS!$C$1516))-(CROQUIS_DATOS!$C$1515))+((CROQUIS_DATOS!$C$1476)*CROQUIS_DATOS!$C$1561-(0)*CROQUIS_DATOS!$C$1561))/CROQUIS_DATOS!$C$1568-0.000001))),2)=1,IF(INT(($A113-1)/2)+1&gt;MAX(1,INT(((((CROQUIS_DATOS!$C$1515+CROQUIS_DATOS!$C$1516))-(CROQUIS_DATOS!$C$1515))+((CROQUIS_DATOS!$C$1476)*CROQUIS_DATOS!$C$1561-(0)*CROQUIS_DATOS!$C$1561))/CROQUIS_DATOS!$C$1568-0.000001)),1,MOD($A113-1,2)),1-IF(INT(($A113-1)/2)+1&gt;MAX(1,INT(((((CROQUIS_DATOS!$C$1515+CROQUIS_DATOS!$C$1516))-(CROQUIS_DATOS!$C$1515))+((CROQUIS_DATOS!$C$1476)*CROQUIS_DATOS!$C$1561-(0)*CROQUIS_DATOS!$C$1561))/CROQUIS_DATOS!$C$1568-0.000001)),1,MOD($A113-1,2)))=1,MIN((CROQUIS_DATOS!$C$1476)*CROQUIS_DATOS!$C$1561,((CROQUIS_DATOS!$C$1515+CROQUIS_DATOS!$C$1516)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3">
        <f>IF(AND(CROQUIS_DATOS!$C$1472=1,CROQUIS_DATOS!$C$1478&gt;=1,((CROQUIS_DATOS!$C$1479+CROQUIS_DATOS!$C$1480))-(CROQUIS_DATOS!$C$1479)&gt;0.5,(CROQUIS_DATOS!$C$1481)-(0)&gt;0.5),(CROQUIS_DATOS!$C$1566+(IF(IF(MOD(MIN(INT(($A113-1)/2)+1,MAX(1,INT(((((CROQUIS_DATOS!$C$1479+CROQUIS_DATOS!$C$1480))-(CROQUIS_DATOS!$C$1479))+((CROQUIS_DATOS!$C$1481)*CROQUIS_DATOS!$C$1561-(0)*CROQUIS_DATOS!$C$1561))/CROQUIS_DATOS!$C$1568-0.000001))),2)=1,IF(INT(($A113-1)/2)+1&gt;MAX(1,INT(((((CROQUIS_DATOS!$C$1479+CROQUIS_DATOS!$C$1480))-(CROQUIS_DATOS!$C$1479))+((CROQUIS_DATOS!$C$1481)*CROQUIS_DATOS!$C$1561-(0)*CROQUIS_DATOS!$C$1561))/CROQUIS_DATOS!$C$1568-0.000001)),1,MOD($A113-1,2)),1-IF(INT(($A113-1)/2)+1&gt;MAX(1,INT(((((CROQUIS_DATOS!$C$1479+CROQUIS_DATOS!$C$1480))-(CROQUIS_DATOS!$C$1479))+((CROQUIS_DATOS!$C$1481)*CROQUIS_DATOS!$C$1561-(0)*CROQUIS_DATOS!$C$1561))/CROQUIS_DATOS!$C$1568-0.000001)),1,MOD($A113-1,2)))=1,MIN((CROQUIS_DATOS!$C$1481)*CROQUIS_DATOS!$C$1561,((CROQUIS_DATOS!$C$1479+CROQUIS_DATOS!$C$1480)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3">
        <f>IF(AND(CROQUIS_DATOS!$C$1472=1,CROQUIS_DATOS!$C$1478&gt;=1,((CROQUIS_DATOS!$C$1479+CROQUIS_DATOS!$C$1480))-(CROQUIS_DATOS!$C$1479)&gt;0.5,(CROQUIS_DATOS!$C$1481)-(0)&gt;0.5),(CROQUIS_DATOS!$C$1567+(IF(IF(MOD(MIN(INT(($A113-1)/2)+1,MAX(1,INT(((((CROQUIS_DATOS!$C$1479+CROQUIS_DATOS!$C$1480))-(CROQUIS_DATOS!$C$1479))+((CROQUIS_DATOS!$C$1481)*CROQUIS_DATOS!$C$1561-(0)*CROQUIS_DATOS!$C$1561))/CROQUIS_DATOS!$C$1568-0.000001))),2)=1,IF(INT(($A113-1)/2)+1&gt;MAX(1,INT(((((CROQUIS_DATOS!$C$1479+CROQUIS_DATOS!$C$1480))-(CROQUIS_DATOS!$C$1479))+((CROQUIS_DATOS!$C$1481)*CROQUIS_DATOS!$C$1561-(0)*CROQUIS_DATOS!$C$1561))/CROQUIS_DATOS!$C$1568-0.000001)),1,MOD($A113-1,2)),1-IF(INT(($A113-1)/2)+1&gt;MAX(1,INT(((((CROQUIS_DATOS!$C$1479+CROQUIS_DATOS!$C$1480))-(CROQUIS_DATOS!$C$1479))+((CROQUIS_DATOS!$C$1481)*CROQUIS_DATOS!$C$1561-(0)*CROQUIS_DATOS!$C$1561))/CROQUIS_DATOS!$C$1568-0.000001)),1,MOD($A113-1,2)))=1,MIN((CROQUIS_DATOS!$C$1481)*CROQUIS_DATOS!$C$1561,((CROQUIS_DATOS!$C$1479+CROQUIS_DATOS!$C$1480)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3">
        <f>IF(AND(CROQUIS_DATOS!$C$1472=1,CROQUIS_DATOS!$C$1478&gt;=1,((CROQUIS_DATOS!$C$1479+CROQUIS_DATOS!$C$1480))-(CROQUIS_DATOS!$C$1479)&gt;0.5,(CROQUIS_DATOS!$C$1476)-((CROQUIS_DATOS!$C$1481+CROQUIS_DATOS!$C$1482))&gt;0.5),(CROQUIS_DATOS!$C$1566+(IF(IF(MOD(MIN(INT(($A113-1)/2)+1,MAX(1,INT(((((CROQUIS_DATOS!$C$1479+CROQUIS_DATOS!$C$1480))-(CROQUIS_DATOS!$C$1479))+((CROQUIS_DATOS!$C$1476)*CROQUIS_DATOS!$C$1561-((CROQUIS_DATOS!$C$1481+CROQUIS_DATOS!$C$1482))*CROQUIS_DATOS!$C$1561))/CROQUIS_DATOS!$C$1568-0.000001))),2)=1,IF(INT(($A113-1)/2)+1&gt;MAX(1,INT(((((CROQUIS_DATOS!$C$1479+CROQUIS_DATOS!$C$1480))-(CROQUIS_DATOS!$C$1479))+((CROQUIS_DATOS!$C$1476)*CROQUIS_DATOS!$C$1561-((CROQUIS_DATOS!$C$1481+CROQUIS_DATOS!$C$1482))*CROQUIS_DATOS!$C$1561))/CROQUIS_DATOS!$C$1568-0.000001)),1,MOD($A113-1,2)),1-IF(INT(($A113-1)/2)+1&gt;MAX(1,INT(((((CROQUIS_DATOS!$C$1479+CROQUIS_DATOS!$C$1480))-(CROQUIS_DATOS!$C$1479))+((CROQUIS_DATOS!$C$1476)*CROQUIS_DATOS!$C$1561-((CROQUIS_DATOS!$C$1481+CROQUIS_DATOS!$C$1482))*CROQUIS_DATOS!$C$1561))/CROQUIS_DATOS!$C$1568-0.000001)),1,MOD($A113-1,2)))=1,MIN((CROQUIS_DATOS!$C$1476)*CROQUIS_DATOS!$C$1561,((CROQUIS_DATOS!$C$1479+CROQUIS_DATOS!$C$1480)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3">
        <f>IF(AND(CROQUIS_DATOS!$C$1472=1,CROQUIS_DATOS!$C$1478&gt;=1,((CROQUIS_DATOS!$C$1479+CROQUIS_DATOS!$C$1480))-(CROQUIS_DATOS!$C$1479)&gt;0.5,(CROQUIS_DATOS!$C$1476)-((CROQUIS_DATOS!$C$1481+CROQUIS_DATOS!$C$1482))&gt;0.5),(CROQUIS_DATOS!$C$1567+(IF(IF(MOD(MIN(INT(($A113-1)/2)+1,MAX(1,INT(((((CROQUIS_DATOS!$C$1479+CROQUIS_DATOS!$C$1480))-(CROQUIS_DATOS!$C$1479))+((CROQUIS_DATOS!$C$1476)*CROQUIS_DATOS!$C$1561-((CROQUIS_DATOS!$C$1481+CROQUIS_DATOS!$C$1482))*CROQUIS_DATOS!$C$1561))/CROQUIS_DATOS!$C$1568-0.000001))),2)=1,IF(INT(($A113-1)/2)+1&gt;MAX(1,INT(((((CROQUIS_DATOS!$C$1479+CROQUIS_DATOS!$C$1480))-(CROQUIS_DATOS!$C$1479))+((CROQUIS_DATOS!$C$1476)*CROQUIS_DATOS!$C$1561-((CROQUIS_DATOS!$C$1481+CROQUIS_DATOS!$C$1482))*CROQUIS_DATOS!$C$1561))/CROQUIS_DATOS!$C$1568-0.000001)),1,MOD($A113-1,2)),1-IF(INT(($A113-1)/2)+1&gt;MAX(1,INT(((((CROQUIS_DATOS!$C$1479+CROQUIS_DATOS!$C$1480))-(CROQUIS_DATOS!$C$1479))+((CROQUIS_DATOS!$C$1476)*CROQUIS_DATOS!$C$1561-((CROQUIS_DATOS!$C$1481+CROQUIS_DATOS!$C$1482))*CROQUIS_DATOS!$C$1561))/CROQUIS_DATOS!$C$1568-0.000001)),1,MOD($A113-1,2)))=1,MIN((CROQUIS_DATOS!$C$1476)*CROQUIS_DATOS!$C$1561,((CROQUIS_DATOS!$C$1479+CROQUIS_DATOS!$C$1480)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3">
        <f>IF(AND(CROQUIS_DATOS!$C$1472=1,CROQUIS_DATOS!$C$1478&gt;=2,((CROQUIS_DATOS!$C$1484+CROQUIS_DATOS!$C$1485))-(CROQUIS_DATOS!$C$1484)&gt;0.5,(CROQUIS_DATOS!$C$1486)-(0)&gt;0.5),(CROQUIS_DATOS!$C$1566+(IF(IF(MOD(MIN(INT(($A113-1)/2)+1,MAX(1,INT(((((CROQUIS_DATOS!$C$1484+CROQUIS_DATOS!$C$1485))-(CROQUIS_DATOS!$C$1484))+((CROQUIS_DATOS!$C$1486)*CROQUIS_DATOS!$C$1561-(0)*CROQUIS_DATOS!$C$1561))/CROQUIS_DATOS!$C$1568-0.000001))),2)=1,IF(INT(($A113-1)/2)+1&gt;MAX(1,INT(((((CROQUIS_DATOS!$C$1484+CROQUIS_DATOS!$C$1485))-(CROQUIS_DATOS!$C$1484))+((CROQUIS_DATOS!$C$1486)*CROQUIS_DATOS!$C$1561-(0)*CROQUIS_DATOS!$C$1561))/CROQUIS_DATOS!$C$1568-0.000001)),1,MOD($A113-1,2)),1-IF(INT(($A113-1)/2)+1&gt;MAX(1,INT(((((CROQUIS_DATOS!$C$1484+CROQUIS_DATOS!$C$1485))-(CROQUIS_DATOS!$C$1484))+((CROQUIS_DATOS!$C$1486)*CROQUIS_DATOS!$C$1561-(0)*CROQUIS_DATOS!$C$1561))/CROQUIS_DATOS!$C$1568-0.000001)),1,MOD($A113-1,2)))=1,MIN((CROQUIS_DATOS!$C$1486)*CROQUIS_DATOS!$C$1561,((CROQUIS_DATOS!$C$1484+CROQUIS_DATOS!$C$1485)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3">
        <f>IF(AND(CROQUIS_DATOS!$C$1472=1,CROQUIS_DATOS!$C$1478&gt;=2,((CROQUIS_DATOS!$C$1484+CROQUIS_DATOS!$C$1485))-(CROQUIS_DATOS!$C$1484)&gt;0.5,(CROQUIS_DATOS!$C$1486)-(0)&gt;0.5),(CROQUIS_DATOS!$C$1567+(IF(IF(MOD(MIN(INT(($A113-1)/2)+1,MAX(1,INT(((((CROQUIS_DATOS!$C$1484+CROQUIS_DATOS!$C$1485))-(CROQUIS_DATOS!$C$1484))+((CROQUIS_DATOS!$C$1486)*CROQUIS_DATOS!$C$1561-(0)*CROQUIS_DATOS!$C$1561))/CROQUIS_DATOS!$C$1568-0.000001))),2)=1,IF(INT(($A113-1)/2)+1&gt;MAX(1,INT(((((CROQUIS_DATOS!$C$1484+CROQUIS_DATOS!$C$1485))-(CROQUIS_DATOS!$C$1484))+((CROQUIS_DATOS!$C$1486)*CROQUIS_DATOS!$C$1561-(0)*CROQUIS_DATOS!$C$1561))/CROQUIS_DATOS!$C$1568-0.000001)),1,MOD($A113-1,2)),1-IF(INT(($A113-1)/2)+1&gt;MAX(1,INT(((((CROQUIS_DATOS!$C$1484+CROQUIS_DATOS!$C$1485))-(CROQUIS_DATOS!$C$1484))+((CROQUIS_DATOS!$C$1486)*CROQUIS_DATOS!$C$1561-(0)*CROQUIS_DATOS!$C$1561))/CROQUIS_DATOS!$C$1568-0.000001)),1,MOD($A113-1,2)))=1,MIN((CROQUIS_DATOS!$C$1486)*CROQUIS_DATOS!$C$1561,((CROQUIS_DATOS!$C$1484+CROQUIS_DATOS!$C$1485)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3">
        <f>IF(AND(CROQUIS_DATOS!$C$1472=1,CROQUIS_DATOS!$C$1478&gt;=2,((CROQUIS_DATOS!$C$1484+CROQUIS_DATOS!$C$1485))-(CROQUIS_DATOS!$C$1484)&gt;0.5,(CROQUIS_DATOS!$C$1476)-((CROQUIS_DATOS!$C$1486+CROQUIS_DATOS!$C$1487))&gt;0.5),(CROQUIS_DATOS!$C$1566+(IF(IF(MOD(MIN(INT(($A113-1)/2)+1,MAX(1,INT(((((CROQUIS_DATOS!$C$1484+CROQUIS_DATOS!$C$1485))-(CROQUIS_DATOS!$C$1484))+((CROQUIS_DATOS!$C$1476)*CROQUIS_DATOS!$C$1561-((CROQUIS_DATOS!$C$1486+CROQUIS_DATOS!$C$1487))*CROQUIS_DATOS!$C$1561))/CROQUIS_DATOS!$C$1568-0.000001))),2)=1,IF(INT(($A113-1)/2)+1&gt;MAX(1,INT(((((CROQUIS_DATOS!$C$1484+CROQUIS_DATOS!$C$1485))-(CROQUIS_DATOS!$C$1484))+((CROQUIS_DATOS!$C$1476)*CROQUIS_DATOS!$C$1561-((CROQUIS_DATOS!$C$1486+CROQUIS_DATOS!$C$1487))*CROQUIS_DATOS!$C$1561))/CROQUIS_DATOS!$C$1568-0.000001)),1,MOD($A113-1,2)),1-IF(INT(($A113-1)/2)+1&gt;MAX(1,INT(((((CROQUIS_DATOS!$C$1484+CROQUIS_DATOS!$C$1485))-(CROQUIS_DATOS!$C$1484))+((CROQUIS_DATOS!$C$1476)*CROQUIS_DATOS!$C$1561-((CROQUIS_DATOS!$C$1486+CROQUIS_DATOS!$C$1487))*CROQUIS_DATOS!$C$1561))/CROQUIS_DATOS!$C$1568-0.000001)),1,MOD($A113-1,2)))=1,MIN((CROQUIS_DATOS!$C$1476)*CROQUIS_DATOS!$C$1561,((CROQUIS_DATOS!$C$1484+CROQUIS_DATOS!$C$1485)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3">
        <f>IF(AND(CROQUIS_DATOS!$C$1472=1,CROQUIS_DATOS!$C$1478&gt;=2,((CROQUIS_DATOS!$C$1484+CROQUIS_DATOS!$C$1485))-(CROQUIS_DATOS!$C$1484)&gt;0.5,(CROQUIS_DATOS!$C$1476)-((CROQUIS_DATOS!$C$1486+CROQUIS_DATOS!$C$1487))&gt;0.5),(CROQUIS_DATOS!$C$1567+(IF(IF(MOD(MIN(INT(($A113-1)/2)+1,MAX(1,INT(((((CROQUIS_DATOS!$C$1484+CROQUIS_DATOS!$C$1485))-(CROQUIS_DATOS!$C$1484))+((CROQUIS_DATOS!$C$1476)*CROQUIS_DATOS!$C$1561-((CROQUIS_DATOS!$C$1486+CROQUIS_DATOS!$C$1487))*CROQUIS_DATOS!$C$1561))/CROQUIS_DATOS!$C$1568-0.000001))),2)=1,IF(INT(($A113-1)/2)+1&gt;MAX(1,INT(((((CROQUIS_DATOS!$C$1484+CROQUIS_DATOS!$C$1485))-(CROQUIS_DATOS!$C$1484))+((CROQUIS_DATOS!$C$1476)*CROQUIS_DATOS!$C$1561-((CROQUIS_DATOS!$C$1486+CROQUIS_DATOS!$C$1487))*CROQUIS_DATOS!$C$1561))/CROQUIS_DATOS!$C$1568-0.000001)),1,MOD($A113-1,2)),1-IF(INT(($A113-1)/2)+1&gt;MAX(1,INT(((((CROQUIS_DATOS!$C$1484+CROQUIS_DATOS!$C$1485))-(CROQUIS_DATOS!$C$1484))+((CROQUIS_DATOS!$C$1476)*CROQUIS_DATOS!$C$1561-((CROQUIS_DATOS!$C$1486+CROQUIS_DATOS!$C$1487))*CROQUIS_DATOS!$C$1561))/CROQUIS_DATOS!$C$1568-0.000001)),1,MOD($A113-1,2)))=1,MIN((CROQUIS_DATOS!$C$1476)*CROQUIS_DATOS!$C$1561,((CROQUIS_DATOS!$C$1484+CROQUIS_DATOS!$C$1485)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3">
        <f>IF(AND(CROQUIS_DATOS!$C$1472=1,CROQUIS_DATOS!$C$1478&gt;=3,((CROQUIS_DATOS!$C$1489+CROQUIS_DATOS!$C$1490))-(CROQUIS_DATOS!$C$1489)&gt;0.5,(CROQUIS_DATOS!$C$1491)-(0)&gt;0.5),(CROQUIS_DATOS!$C$1566+(IF(IF(MOD(MIN(INT(($A113-1)/2)+1,MAX(1,INT(((((CROQUIS_DATOS!$C$1489+CROQUIS_DATOS!$C$1490))-(CROQUIS_DATOS!$C$1489))+((CROQUIS_DATOS!$C$1491)*CROQUIS_DATOS!$C$1561-(0)*CROQUIS_DATOS!$C$1561))/CROQUIS_DATOS!$C$1568-0.000001))),2)=1,IF(INT(($A113-1)/2)+1&gt;MAX(1,INT(((((CROQUIS_DATOS!$C$1489+CROQUIS_DATOS!$C$1490))-(CROQUIS_DATOS!$C$1489))+((CROQUIS_DATOS!$C$1491)*CROQUIS_DATOS!$C$1561-(0)*CROQUIS_DATOS!$C$1561))/CROQUIS_DATOS!$C$1568-0.000001)),1,MOD($A113-1,2)),1-IF(INT(($A113-1)/2)+1&gt;MAX(1,INT(((((CROQUIS_DATOS!$C$1489+CROQUIS_DATOS!$C$1490))-(CROQUIS_DATOS!$C$1489))+((CROQUIS_DATOS!$C$1491)*CROQUIS_DATOS!$C$1561-(0)*CROQUIS_DATOS!$C$1561))/CROQUIS_DATOS!$C$1568-0.000001)),1,MOD($A113-1,2)))=1,MIN((CROQUIS_DATOS!$C$1491)*CROQUIS_DATOS!$C$1561,((CROQUIS_DATOS!$C$1489+CROQUIS_DATOS!$C$1490)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3">
        <f>IF(AND(CROQUIS_DATOS!$C$1472=1,CROQUIS_DATOS!$C$1478&gt;=3,((CROQUIS_DATOS!$C$1489+CROQUIS_DATOS!$C$1490))-(CROQUIS_DATOS!$C$1489)&gt;0.5,(CROQUIS_DATOS!$C$1491)-(0)&gt;0.5),(CROQUIS_DATOS!$C$1567+(IF(IF(MOD(MIN(INT(($A113-1)/2)+1,MAX(1,INT(((((CROQUIS_DATOS!$C$1489+CROQUIS_DATOS!$C$1490))-(CROQUIS_DATOS!$C$1489))+((CROQUIS_DATOS!$C$1491)*CROQUIS_DATOS!$C$1561-(0)*CROQUIS_DATOS!$C$1561))/CROQUIS_DATOS!$C$1568-0.000001))),2)=1,IF(INT(($A113-1)/2)+1&gt;MAX(1,INT(((((CROQUIS_DATOS!$C$1489+CROQUIS_DATOS!$C$1490))-(CROQUIS_DATOS!$C$1489))+((CROQUIS_DATOS!$C$1491)*CROQUIS_DATOS!$C$1561-(0)*CROQUIS_DATOS!$C$1561))/CROQUIS_DATOS!$C$1568-0.000001)),1,MOD($A113-1,2)),1-IF(INT(($A113-1)/2)+1&gt;MAX(1,INT(((((CROQUIS_DATOS!$C$1489+CROQUIS_DATOS!$C$1490))-(CROQUIS_DATOS!$C$1489))+((CROQUIS_DATOS!$C$1491)*CROQUIS_DATOS!$C$1561-(0)*CROQUIS_DATOS!$C$1561))/CROQUIS_DATOS!$C$1568-0.000001)),1,MOD($A113-1,2)))=1,MIN((CROQUIS_DATOS!$C$1491)*CROQUIS_DATOS!$C$1561,((CROQUIS_DATOS!$C$1489+CROQUIS_DATOS!$C$1490)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3">
        <f>IF(AND(CROQUIS_DATOS!$C$1472=1,CROQUIS_DATOS!$C$1478&gt;=3,((CROQUIS_DATOS!$C$1489+CROQUIS_DATOS!$C$1490))-(CROQUIS_DATOS!$C$1489)&gt;0.5,(CROQUIS_DATOS!$C$1476)-((CROQUIS_DATOS!$C$1491+CROQUIS_DATOS!$C$1492))&gt;0.5),(CROQUIS_DATOS!$C$1566+(IF(IF(MOD(MIN(INT(($A113-1)/2)+1,MAX(1,INT(((((CROQUIS_DATOS!$C$1489+CROQUIS_DATOS!$C$1490))-(CROQUIS_DATOS!$C$1489))+((CROQUIS_DATOS!$C$1476)*CROQUIS_DATOS!$C$1561-((CROQUIS_DATOS!$C$1491+CROQUIS_DATOS!$C$1492))*CROQUIS_DATOS!$C$1561))/CROQUIS_DATOS!$C$1568-0.000001))),2)=1,IF(INT(($A113-1)/2)+1&gt;MAX(1,INT(((((CROQUIS_DATOS!$C$1489+CROQUIS_DATOS!$C$1490))-(CROQUIS_DATOS!$C$1489))+((CROQUIS_DATOS!$C$1476)*CROQUIS_DATOS!$C$1561-((CROQUIS_DATOS!$C$1491+CROQUIS_DATOS!$C$1492))*CROQUIS_DATOS!$C$1561))/CROQUIS_DATOS!$C$1568-0.000001)),1,MOD($A113-1,2)),1-IF(INT(($A113-1)/2)+1&gt;MAX(1,INT(((((CROQUIS_DATOS!$C$1489+CROQUIS_DATOS!$C$1490))-(CROQUIS_DATOS!$C$1489))+((CROQUIS_DATOS!$C$1476)*CROQUIS_DATOS!$C$1561-((CROQUIS_DATOS!$C$1491+CROQUIS_DATOS!$C$1492))*CROQUIS_DATOS!$C$1561))/CROQUIS_DATOS!$C$1568-0.000001)),1,MOD($A113-1,2)))=1,MIN((CROQUIS_DATOS!$C$1476)*CROQUIS_DATOS!$C$1561,((CROQUIS_DATOS!$C$1489+CROQUIS_DATOS!$C$1490)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3">
        <f>IF(AND(CROQUIS_DATOS!$C$1472=1,CROQUIS_DATOS!$C$1478&gt;=3,((CROQUIS_DATOS!$C$1489+CROQUIS_DATOS!$C$1490))-(CROQUIS_DATOS!$C$1489)&gt;0.5,(CROQUIS_DATOS!$C$1476)-((CROQUIS_DATOS!$C$1491+CROQUIS_DATOS!$C$1492))&gt;0.5),(CROQUIS_DATOS!$C$1567+(IF(IF(MOD(MIN(INT(($A113-1)/2)+1,MAX(1,INT(((((CROQUIS_DATOS!$C$1489+CROQUIS_DATOS!$C$1490))-(CROQUIS_DATOS!$C$1489))+((CROQUIS_DATOS!$C$1476)*CROQUIS_DATOS!$C$1561-((CROQUIS_DATOS!$C$1491+CROQUIS_DATOS!$C$1492))*CROQUIS_DATOS!$C$1561))/CROQUIS_DATOS!$C$1568-0.000001))),2)=1,IF(INT(($A113-1)/2)+1&gt;MAX(1,INT(((((CROQUIS_DATOS!$C$1489+CROQUIS_DATOS!$C$1490))-(CROQUIS_DATOS!$C$1489))+((CROQUIS_DATOS!$C$1476)*CROQUIS_DATOS!$C$1561-((CROQUIS_DATOS!$C$1491+CROQUIS_DATOS!$C$1492))*CROQUIS_DATOS!$C$1561))/CROQUIS_DATOS!$C$1568-0.000001)),1,MOD($A113-1,2)),1-IF(INT(($A113-1)/2)+1&gt;MAX(1,INT(((((CROQUIS_DATOS!$C$1489+CROQUIS_DATOS!$C$1490))-(CROQUIS_DATOS!$C$1489))+((CROQUIS_DATOS!$C$1476)*CROQUIS_DATOS!$C$1561-((CROQUIS_DATOS!$C$1491+CROQUIS_DATOS!$C$1492))*CROQUIS_DATOS!$C$1561))/CROQUIS_DATOS!$C$1568-0.000001)),1,MOD($A113-1,2)))=1,MIN((CROQUIS_DATOS!$C$1476)*CROQUIS_DATOS!$C$1561,((CROQUIS_DATOS!$C$1489+CROQUIS_DATOS!$C$1490)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3">
        <f>IF(AND(CROQUIS_DATOS!$C$1472=1,CROQUIS_DATOS!$C$1478&gt;=4,((CROQUIS_DATOS!$C$1494+CROQUIS_DATOS!$C$1495))-(CROQUIS_DATOS!$C$1494)&gt;0.5,(CROQUIS_DATOS!$C$1496)-(0)&gt;0.5),(CROQUIS_DATOS!$C$1566+(IF(IF(MOD(MIN(INT(($A113-1)/2)+1,MAX(1,INT(((((CROQUIS_DATOS!$C$1494+CROQUIS_DATOS!$C$1495))-(CROQUIS_DATOS!$C$1494))+((CROQUIS_DATOS!$C$1496)*CROQUIS_DATOS!$C$1561-(0)*CROQUIS_DATOS!$C$1561))/CROQUIS_DATOS!$C$1568-0.000001))),2)=1,IF(INT(($A113-1)/2)+1&gt;MAX(1,INT(((((CROQUIS_DATOS!$C$1494+CROQUIS_DATOS!$C$1495))-(CROQUIS_DATOS!$C$1494))+((CROQUIS_DATOS!$C$1496)*CROQUIS_DATOS!$C$1561-(0)*CROQUIS_DATOS!$C$1561))/CROQUIS_DATOS!$C$1568-0.000001)),1,MOD($A113-1,2)),1-IF(INT(($A113-1)/2)+1&gt;MAX(1,INT(((((CROQUIS_DATOS!$C$1494+CROQUIS_DATOS!$C$1495))-(CROQUIS_DATOS!$C$1494))+((CROQUIS_DATOS!$C$1496)*CROQUIS_DATOS!$C$1561-(0)*CROQUIS_DATOS!$C$1561))/CROQUIS_DATOS!$C$1568-0.000001)),1,MOD($A113-1,2)))=1,MIN((CROQUIS_DATOS!$C$1496)*CROQUIS_DATOS!$C$1561,((CROQUIS_DATOS!$C$1494+CROQUIS_DATOS!$C$1495)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3">
        <f>IF(AND(CROQUIS_DATOS!$C$1472=1,CROQUIS_DATOS!$C$1478&gt;=4,((CROQUIS_DATOS!$C$1494+CROQUIS_DATOS!$C$1495))-(CROQUIS_DATOS!$C$1494)&gt;0.5,(CROQUIS_DATOS!$C$1496)-(0)&gt;0.5),(CROQUIS_DATOS!$C$1567+(IF(IF(MOD(MIN(INT(($A113-1)/2)+1,MAX(1,INT(((((CROQUIS_DATOS!$C$1494+CROQUIS_DATOS!$C$1495))-(CROQUIS_DATOS!$C$1494))+((CROQUIS_DATOS!$C$1496)*CROQUIS_DATOS!$C$1561-(0)*CROQUIS_DATOS!$C$1561))/CROQUIS_DATOS!$C$1568-0.000001))),2)=1,IF(INT(($A113-1)/2)+1&gt;MAX(1,INT(((((CROQUIS_DATOS!$C$1494+CROQUIS_DATOS!$C$1495))-(CROQUIS_DATOS!$C$1494))+((CROQUIS_DATOS!$C$1496)*CROQUIS_DATOS!$C$1561-(0)*CROQUIS_DATOS!$C$1561))/CROQUIS_DATOS!$C$1568-0.000001)),1,MOD($A113-1,2)),1-IF(INT(($A113-1)/2)+1&gt;MAX(1,INT(((((CROQUIS_DATOS!$C$1494+CROQUIS_DATOS!$C$1495))-(CROQUIS_DATOS!$C$1494))+((CROQUIS_DATOS!$C$1496)*CROQUIS_DATOS!$C$1561-(0)*CROQUIS_DATOS!$C$1561))/CROQUIS_DATOS!$C$1568-0.000001)),1,MOD($A113-1,2)))=1,MIN((CROQUIS_DATOS!$C$1496)*CROQUIS_DATOS!$C$1561,((CROQUIS_DATOS!$C$1494+CROQUIS_DATOS!$C$1495)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3">
        <f>IF(AND(CROQUIS_DATOS!$C$1472=1,CROQUIS_DATOS!$C$1478&gt;=4,((CROQUIS_DATOS!$C$1494+CROQUIS_DATOS!$C$1495))-(CROQUIS_DATOS!$C$1494)&gt;0.5,(CROQUIS_DATOS!$C$1476)-((CROQUIS_DATOS!$C$1496+CROQUIS_DATOS!$C$1497))&gt;0.5),(CROQUIS_DATOS!$C$1566+(IF(IF(MOD(MIN(INT(($A113-1)/2)+1,MAX(1,INT(((((CROQUIS_DATOS!$C$1494+CROQUIS_DATOS!$C$1495))-(CROQUIS_DATOS!$C$1494))+((CROQUIS_DATOS!$C$1476)*CROQUIS_DATOS!$C$1561-((CROQUIS_DATOS!$C$1496+CROQUIS_DATOS!$C$1497))*CROQUIS_DATOS!$C$1561))/CROQUIS_DATOS!$C$1568-0.000001))),2)=1,IF(INT(($A113-1)/2)+1&gt;MAX(1,INT(((((CROQUIS_DATOS!$C$1494+CROQUIS_DATOS!$C$1495))-(CROQUIS_DATOS!$C$1494))+((CROQUIS_DATOS!$C$1476)*CROQUIS_DATOS!$C$1561-((CROQUIS_DATOS!$C$1496+CROQUIS_DATOS!$C$1497))*CROQUIS_DATOS!$C$1561))/CROQUIS_DATOS!$C$1568-0.000001)),1,MOD($A113-1,2)),1-IF(INT(($A113-1)/2)+1&gt;MAX(1,INT(((((CROQUIS_DATOS!$C$1494+CROQUIS_DATOS!$C$1495))-(CROQUIS_DATOS!$C$1494))+((CROQUIS_DATOS!$C$1476)*CROQUIS_DATOS!$C$1561-((CROQUIS_DATOS!$C$1496+CROQUIS_DATOS!$C$1497))*CROQUIS_DATOS!$C$1561))/CROQUIS_DATOS!$C$1568-0.000001)),1,MOD($A113-1,2)))=1,MIN((CROQUIS_DATOS!$C$1476)*CROQUIS_DATOS!$C$1561,((CROQUIS_DATOS!$C$1494+CROQUIS_DATOS!$C$1495)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3">
        <f>IF(AND(CROQUIS_DATOS!$C$1472=1,CROQUIS_DATOS!$C$1478&gt;=4,((CROQUIS_DATOS!$C$1494+CROQUIS_DATOS!$C$1495))-(CROQUIS_DATOS!$C$1494)&gt;0.5,(CROQUIS_DATOS!$C$1476)-((CROQUIS_DATOS!$C$1496+CROQUIS_DATOS!$C$1497))&gt;0.5),(CROQUIS_DATOS!$C$1567+(IF(IF(MOD(MIN(INT(($A113-1)/2)+1,MAX(1,INT(((((CROQUIS_DATOS!$C$1494+CROQUIS_DATOS!$C$1495))-(CROQUIS_DATOS!$C$1494))+((CROQUIS_DATOS!$C$1476)*CROQUIS_DATOS!$C$1561-((CROQUIS_DATOS!$C$1496+CROQUIS_DATOS!$C$1497))*CROQUIS_DATOS!$C$1561))/CROQUIS_DATOS!$C$1568-0.000001))),2)=1,IF(INT(($A113-1)/2)+1&gt;MAX(1,INT(((((CROQUIS_DATOS!$C$1494+CROQUIS_DATOS!$C$1495))-(CROQUIS_DATOS!$C$1494))+((CROQUIS_DATOS!$C$1476)*CROQUIS_DATOS!$C$1561-((CROQUIS_DATOS!$C$1496+CROQUIS_DATOS!$C$1497))*CROQUIS_DATOS!$C$1561))/CROQUIS_DATOS!$C$1568-0.000001)),1,MOD($A113-1,2)),1-IF(INT(($A113-1)/2)+1&gt;MAX(1,INT(((((CROQUIS_DATOS!$C$1494+CROQUIS_DATOS!$C$1495))-(CROQUIS_DATOS!$C$1494))+((CROQUIS_DATOS!$C$1476)*CROQUIS_DATOS!$C$1561-((CROQUIS_DATOS!$C$1496+CROQUIS_DATOS!$C$1497))*CROQUIS_DATOS!$C$1561))/CROQUIS_DATOS!$C$1568-0.000001)),1,MOD($A113-1,2)))=1,MIN((CROQUIS_DATOS!$C$1476)*CROQUIS_DATOS!$C$1561,((CROQUIS_DATOS!$C$1494+CROQUIS_DATOS!$C$1495)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4">
      <c r="A114" t="n">
        <v>107</v>
      </c>
      <c r="N114">
        <f>IF(AND(CROQUIS_DATOS!$C$1472=1,1),(CROQUIS_DATOS!$C$1563+(IF(IF(IF(INT(($A114-1)/70)+1&gt;CROQUIS_DATOS!$C$1525,70,MOD($A114-1,70)+1)=1,0,IF(IF(INT(($A114-1)/70)+1&gt;CROQUIS_DATOS!$C$1525,70,MOD($A114-1,70)+1)&gt;2*CROQUIS_DATOS!$C$1541+1,IF(MOD(CROQUIS_DATOS!$C$1541,2)=1,1,0),IF(MOD(MIN(INT((IF(INT(($A114-1)/70)+1&gt;CROQUIS_DATOS!$C$1525,70,MOD($A114-1,70)+1)-2)/2)+1,CROQUIS_DATOS!$C$1541),2)=1,IF(MOD(IF(INT(($A114-1)/70)+1&gt;CROQUIS_DATOS!$C$1525,70,MOD($A114-1,70)+1)-2,2)=0,0,1),IF(MOD(IF(INT(($A114-1)/70)+1&gt;CROQUIS_DATOS!$C$1525,70,MOD($A114-1,70)+1)-2,2)=0,1,0))))=0,(INDEX($E$8:$E$23,MIN(INT(($A114-1)/70)+1,CROQUIS_DATOS!$C$1525))-INDEX($F$8:$F$23,MIN(INT(($A114-1)/70)+1,CROQUIS_DATOS!$C$1525))/2),(INDEX($E$8:$E$23,MIN(INT(($A114-1)/70)+1,CROQUIS_DATOS!$C$1525))+INDEX($F$8:$F$23,MIN(INT(($A114-1)/70)+1,CROQUIS_DATOS!$C$1525))/2)))*CROQUIS_DATOS!$C$1562),-1000)</f>
        <v>18.5775862068965</v>
      </c>
      <c r="O114">
        <f>IF(AND(CROQUIS_DATOS!$C$1472=1,1),(CROQUIS_DATOS!$C$1564+(IF(OR(IF(INT(($A114-1)/70)+1&gt;CROQUIS_DATOS!$C$1525,70,MOD($A114-1,70)+1)=1,IF(INT(($A114-1)/70)+1&gt;CROQUIS_DATOS!$C$1525,70,MOD($A114-1,70)+1)&gt;2*CROQUIS_DATOS!$C$1541+1),CROQUIS_DATOS!$C$1476,INDEX($H$8:$H$41,MIN(INT((IF(INT(($A114-1)/70)+1&gt;CROQUIS_DATOS!$C$1525,70,MOD($A114-1,70)+1)-2)/2)+1,CROQUIS_DATOS!$C$1541))))*CROQUIS_DATOS!$C$1561*CROQUIS_DATOS!$C$1562),-1000)</f>
        <v>39.1594827586207</v>
      </c>
      <c r="P114">
        <f>IF(AND(CROQUIS_DATOS!$C$1472=1,CROQUIS_DATOS!$C$1555=1),(CROQUIS_DATOS!$C$1563+(IF(IF(OR(MOD($A114-1,62)+1=1,IF(CHOOSE(MIN(MAX(MIN(INT(($A114-1)/62)+1,5),1),5),CROQUIS_DATOS!$C$1501,CROQUIS_DATOS!$C$1505,CROQUIS_DATOS!$C$1509,CROQUIS_DATOS!$C$1513,CROQUIS_DATOS!$C$1517)=1,CROQUIS_DATOS!$C$1557,0)=0),0,IF(MOD($A114-1,62)+1&gt;2*IF(CHOOSE(MIN(MAX(MIN(INT(($A114-1)/62)+1,5),1),5),CROQUIS_DATOS!$C$1501,CROQUIS_DATOS!$C$1505,CROQUIS_DATOS!$C$1509,CROQUIS_DATOS!$C$1513,CROQUIS_DATOS!$C$1517)=1,CROQUIS_DATOS!$C$1557,0)+1,IF(MOD(IF(CHOOSE(MIN(MAX(MIN(INT(($A114-1)/62)+1,5),1),5),CROQUIS_DATOS!$C$1501,CROQUIS_DATOS!$C$1505,CROQUIS_DATOS!$C$1509,CROQUIS_DATOS!$C$1513,CROQUIS_DATOS!$C$1517)=1,CROQUIS_DATOS!$C$1557,0),2)=1,1,0),IF(MOD(MIN(INT((MOD($A114-1,62)+1-2)/2)+1,MAX(IF(CHOOSE(MIN(MAX(MIN(INT(($A114-1)/62)+1,5),1),5),CROQUIS_DATOS!$C$1501,CROQUIS_DATOS!$C$1505,CROQUIS_DATOS!$C$1509,CROQUIS_DATOS!$C$1513,CROQUIS_DATOS!$C$1517)=1,CROQUIS_DATOS!$C$1557,0),1)),2)=1,IF(MOD(MOD($A114-1,62)+1-2,2)=0,0,1),IF(MOD(MOD($A114-1,62)+1-2,2)=0,1,0))))=0,(CHOOSE(MIN(MAX(MIN(INT(($A114-1)/62)+1,5),1),5),CROQUIS_DATOS!$C$1499,CROQUIS_DATOS!$C$1503,CROQUIS_DATOS!$C$1507,CROQUIS_DATOS!$C$1511,CROQUIS_DATOS!$C$1515)+IF(CHOOSE(MIN(MAX(MIN(INT(($A114-1)/62)+1,5),1),5),CROQUIS_DATOS!$C$1501,CROQUIS_DATOS!$C$1505,CROQUIS_DATOS!$C$1509,CROQUIS_DATOS!$C$1513,CROQUIS_DATOS!$C$1517)=1,CROQUIS_DATOS!$C$1526,0)),(CHOOSE(MIN(MAX(MIN(INT(($A114-1)/62)+1,5),1),5),CROQUIS_DATOS!$C$1499,CROQUIS_DATOS!$C$1503,CROQUIS_DATOS!$C$1507,CROQUIS_DATOS!$C$1511,CROQUIS_DATOS!$C$1515)+CHOOSE(MIN(MAX(MIN(INT(($A114-1)/62)+1,5),1),5),CROQUIS_DATOS!$C$1500,CROQUIS_DATOS!$C$1504,CROQUIS_DATOS!$C$1508,CROQUIS_DATOS!$C$1512,CROQUIS_DATOS!$C$1516)-IF(CHOOSE(MIN(MAX(MIN(INT(($A114-1)/62)+1,5),1),5),CROQUIS_DATOS!$C$1501,CROQUIS_DATOS!$C$1505,CROQUIS_DATOS!$C$1509,CROQUIS_DATOS!$C$1513,CROQUIS_DATOS!$C$1517)=1,CROQUIS_DATOS!$C$1526,0))))*CROQUIS_DATOS!$C$1562),-1000)</f>
        <v>-1000</v>
      </c>
      <c r="Q114">
        <f>IF(AND(CROQUIS_DATOS!$C$1472=1,CROQUIS_DATOS!$C$1555=1),(CROQUIS_DATOS!$C$1564+(IF(OR(OR(MOD($A114-1,62)+1=1,IF(CHOOSE(MIN(MAX(MIN(INT(($A114-1)/62)+1,5),1),5),CROQUIS_DATOS!$C$1501,CROQUIS_DATOS!$C$1505,CROQUIS_DATOS!$C$1509,CROQUIS_DATOS!$C$1513,CROQUIS_DATOS!$C$1517)=1,CROQUIS_DATOS!$C$1557,0)=0),MOD($A114-1,62)+1&gt;2*IF(CHOOSE(MIN(MAX(MIN(INT(($A114-1)/62)+1,5),1),5),CROQUIS_DATOS!$C$1501,CROQUIS_DATOS!$C$1505,CROQUIS_DATOS!$C$1509,CROQUIS_DATOS!$C$1513,CROQUIS_DATOS!$C$1517)=1,CROQUIS_DATOS!$C$1557,0)+1),CROQUIS_DATOS!$C$1476,MIN(INT((MOD($A114-1,62)+1-2)/2)+1,MAX(IF(CHOOSE(MIN(MAX(MIN(INT(($A114-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4">
        <f>IF(AND(CROQUIS_DATOS!$C$1472=1,1),(CROQUIS_DATOS!$C$1563+(MIN(INT(($A114-1)/2)+1,CROQUIS_DATOS!$C$1558)*CROQUIS_DATOS!$C$1559)*CROQUIS_DATOS!$C$1562),-1000)</f>
        <v>82.2281167108753</v>
      </c>
      <c r="U114">
        <f>IF(AND(CROQUIS_DATOS!$C$1472=1,1),(CROQUIS_DATOS!$C$1564+(IF(INT(($A114-1)/2)+1&gt;CROQUIS_DATOS!$C$1558,IF(MOD(CROQUIS_DATOS!$C$1558,2)=1,CROQUIS_DATOS!$C$1476+CROQUIS_DATOS!$C$1528,CROQUIS_DATOS!$C$1476),IF(IF(MOD(MIN(INT(($A114-1)/2)+1,CROQUIS_DATOS!$C$1558),2)=1,MOD($A114-1,2),1-MOD($A114-1,2))=1,CROQUIS_DATOS!$C$1476+CROQUIS_DATOS!$C$1528,CROQUIS_DATOS!$C$1476)))*CROQUIS_DATOS!$C$1561*CROQUIS_DATOS!$C$1562),-1000)</f>
        <v>43</v>
      </c>
      <c r="BZ114">
        <f>IF(AND(CROQUIS_DATOS!$C$1472=1,CROQUIS_DATOS!$C$1500&gt;0,((CROQUIS_DATOS!$C$1499+CROQUIS_DATOS!$C$1500))-(CROQUIS_DATOS!$C$1499)&gt;0.5,(CROQUIS_DATOS!$C$1476)-(0)&gt;0.5),(CROQUIS_DATOS!$C$1566+(IF(IF(MOD(MIN(INT(($A114-1)/2)+1,MAX(1,INT(((((CROQUIS_DATOS!$C$1499+CROQUIS_DATOS!$C$1500))-(CROQUIS_DATOS!$C$1499))+((CROQUIS_DATOS!$C$1476)*CROQUIS_DATOS!$C$1561-(0)*CROQUIS_DATOS!$C$1561))/CROQUIS_DATOS!$C$1568-0.000001))),2)=1,IF(INT(($A114-1)/2)+1&gt;MAX(1,INT(((((CROQUIS_DATOS!$C$1499+CROQUIS_DATOS!$C$1500))-(CROQUIS_DATOS!$C$1499))+((CROQUIS_DATOS!$C$1476)*CROQUIS_DATOS!$C$1561-(0)*CROQUIS_DATOS!$C$1561))/CROQUIS_DATOS!$C$1568-0.000001)),1,MOD($A114-1,2)),1-IF(INT(($A114-1)/2)+1&gt;MAX(1,INT(((((CROQUIS_DATOS!$C$1499+CROQUIS_DATOS!$C$1500))-(CROQUIS_DATOS!$C$1499))+((CROQUIS_DATOS!$C$1476)*CROQUIS_DATOS!$C$1561-(0)*CROQUIS_DATOS!$C$1561))/CROQUIS_DATOS!$C$1568-0.000001)),1,MOD($A114-1,2)))=1,MIN((CROQUIS_DATOS!$C$1476)*CROQUIS_DATOS!$C$1561,((CROQUIS_DATOS!$C$1499+CROQUIS_DATOS!$C$1500)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4">
        <f>IF(AND(CROQUIS_DATOS!$C$1472=1,CROQUIS_DATOS!$C$1500&gt;0,((CROQUIS_DATOS!$C$1499+CROQUIS_DATOS!$C$1500))-(CROQUIS_DATOS!$C$1499)&gt;0.5,(CROQUIS_DATOS!$C$1476)-(0)&gt;0.5),(CROQUIS_DATOS!$C$1567+(IF(IF(MOD(MIN(INT(($A114-1)/2)+1,MAX(1,INT(((((CROQUIS_DATOS!$C$1499+CROQUIS_DATOS!$C$1500))-(CROQUIS_DATOS!$C$1499))+((CROQUIS_DATOS!$C$1476)*CROQUIS_DATOS!$C$1561-(0)*CROQUIS_DATOS!$C$1561))/CROQUIS_DATOS!$C$1568-0.000001))),2)=1,IF(INT(($A114-1)/2)+1&gt;MAX(1,INT(((((CROQUIS_DATOS!$C$1499+CROQUIS_DATOS!$C$1500))-(CROQUIS_DATOS!$C$1499))+((CROQUIS_DATOS!$C$1476)*CROQUIS_DATOS!$C$1561-(0)*CROQUIS_DATOS!$C$1561))/CROQUIS_DATOS!$C$1568-0.000001)),1,MOD($A114-1,2)),1-IF(INT(($A114-1)/2)+1&gt;MAX(1,INT(((((CROQUIS_DATOS!$C$1499+CROQUIS_DATOS!$C$1500))-(CROQUIS_DATOS!$C$1499))+((CROQUIS_DATOS!$C$1476)*CROQUIS_DATOS!$C$1561-(0)*CROQUIS_DATOS!$C$1561))/CROQUIS_DATOS!$C$1568-0.000001)),1,MOD($A114-1,2)))=1,MIN((CROQUIS_DATOS!$C$1476)*CROQUIS_DATOS!$C$1561,((CROQUIS_DATOS!$C$1499+CROQUIS_DATOS!$C$1500)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4">
        <f>IF(AND(CROQUIS_DATOS!$C$1472=1,CROQUIS_DATOS!$C$1504&gt;0,((CROQUIS_DATOS!$C$1503+CROQUIS_DATOS!$C$1504))-(CROQUIS_DATOS!$C$1503)&gt;0.5,(CROQUIS_DATOS!$C$1476)-(0)&gt;0.5),(CROQUIS_DATOS!$C$1566+(IF(IF(MOD(MIN(INT(($A114-1)/2)+1,MAX(1,INT(((((CROQUIS_DATOS!$C$1503+CROQUIS_DATOS!$C$1504))-(CROQUIS_DATOS!$C$1503))+((CROQUIS_DATOS!$C$1476)*CROQUIS_DATOS!$C$1561-(0)*CROQUIS_DATOS!$C$1561))/CROQUIS_DATOS!$C$1568-0.000001))),2)=1,IF(INT(($A114-1)/2)+1&gt;MAX(1,INT(((((CROQUIS_DATOS!$C$1503+CROQUIS_DATOS!$C$1504))-(CROQUIS_DATOS!$C$1503))+((CROQUIS_DATOS!$C$1476)*CROQUIS_DATOS!$C$1561-(0)*CROQUIS_DATOS!$C$1561))/CROQUIS_DATOS!$C$1568-0.000001)),1,MOD($A114-1,2)),1-IF(INT(($A114-1)/2)+1&gt;MAX(1,INT(((((CROQUIS_DATOS!$C$1503+CROQUIS_DATOS!$C$1504))-(CROQUIS_DATOS!$C$1503))+((CROQUIS_DATOS!$C$1476)*CROQUIS_DATOS!$C$1561-(0)*CROQUIS_DATOS!$C$1561))/CROQUIS_DATOS!$C$1568-0.000001)),1,MOD($A114-1,2)))=1,MIN((CROQUIS_DATOS!$C$1476)*CROQUIS_DATOS!$C$1561,((CROQUIS_DATOS!$C$1503+CROQUIS_DATOS!$C$1504)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4">
        <f>IF(AND(CROQUIS_DATOS!$C$1472=1,CROQUIS_DATOS!$C$1504&gt;0,((CROQUIS_DATOS!$C$1503+CROQUIS_DATOS!$C$1504))-(CROQUIS_DATOS!$C$1503)&gt;0.5,(CROQUIS_DATOS!$C$1476)-(0)&gt;0.5),(CROQUIS_DATOS!$C$1567+(IF(IF(MOD(MIN(INT(($A114-1)/2)+1,MAX(1,INT(((((CROQUIS_DATOS!$C$1503+CROQUIS_DATOS!$C$1504))-(CROQUIS_DATOS!$C$1503))+((CROQUIS_DATOS!$C$1476)*CROQUIS_DATOS!$C$1561-(0)*CROQUIS_DATOS!$C$1561))/CROQUIS_DATOS!$C$1568-0.000001))),2)=1,IF(INT(($A114-1)/2)+1&gt;MAX(1,INT(((((CROQUIS_DATOS!$C$1503+CROQUIS_DATOS!$C$1504))-(CROQUIS_DATOS!$C$1503))+((CROQUIS_DATOS!$C$1476)*CROQUIS_DATOS!$C$1561-(0)*CROQUIS_DATOS!$C$1561))/CROQUIS_DATOS!$C$1568-0.000001)),1,MOD($A114-1,2)),1-IF(INT(($A114-1)/2)+1&gt;MAX(1,INT(((((CROQUIS_DATOS!$C$1503+CROQUIS_DATOS!$C$1504))-(CROQUIS_DATOS!$C$1503))+((CROQUIS_DATOS!$C$1476)*CROQUIS_DATOS!$C$1561-(0)*CROQUIS_DATOS!$C$1561))/CROQUIS_DATOS!$C$1568-0.000001)),1,MOD($A114-1,2)))=1,MIN((CROQUIS_DATOS!$C$1476)*CROQUIS_DATOS!$C$1561,((CROQUIS_DATOS!$C$1503+CROQUIS_DATOS!$C$1504)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4">
        <f>IF(AND(CROQUIS_DATOS!$C$1472=1,CROQUIS_DATOS!$C$1508&gt;0,((CROQUIS_DATOS!$C$1507+CROQUIS_DATOS!$C$1508))-(CROQUIS_DATOS!$C$1507)&gt;0.5,(CROQUIS_DATOS!$C$1476)-(0)&gt;0.5),(CROQUIS_DATOS!$C$1566+(IF(IF(MOD(MIN(INT(($A114-1)/2)+1,MAX(1,INT(((((CROQUIS_DATOS!$C$1507+CROQUIS_DATOS!$C$1508))-(CROQUIS_DATOS!$C$1507))+((CROQUIS_DATOS!$C$1476)*CROQUIS_DATOS!$C$1561-(0)*CROQUIS_DATOS!$C$1561))/CROQUIS_DATOS!$C$1568-0.000001))),2)=1,IF(INT(($A114-1)/2)+1&gt;MAX(1,INT(((((CROQUIS_DATOS!$C$1507+CROQUIS_DATOS!$C$1508))-(CROQUIS_DATOS!$C$1507))+((CROQUIS_DATOS!$C$1476)*CROQUIS_DATOS!$C$1561-(0)*CROQUIS_DATOS!$C$1561))/CROQUIS_DATOS!$C$1568-0.000001)),1,MOD($A114-1,2)),1-IF(INT(($A114-1)/2)+1&gt;MAX(1,INT(((((CROQUIS_DATOS!$C$1507+CROQUIS_DATOS!$C$1508))-(CROQUIS_DATOS!$C$1507))+((CROQUIS_DATOS!$C$1476)*CROQUIS_DATOS!$C$1561-(0)*CROQUIS_DATOS!$C$1561))/CROQUIS_DATOS!$C$1568-0.000001)),1,MOD($A114-1,2)))=1,MIN((CROQUIS_DATOS!$C$1476)*CROQUIS_DATOS!$C$1561,((CROQUIS_DATOS!$C$1507+CROQUIS_DATOS!$C$1508)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4">
        <f>IF(AND(CROQUIS_DATOS!$C$1472=1,CROQUIS_DATOS!$C$1508&gt;0,((CROQUIS_DATOS!$C$1507+CROQUIS_DATOS!$C$1508))-(CROQUIS_DATOS!$C$1507)&gt;0.5,(CROQUIS_DATOS!$C$1476)-(0)&gt;0.5),(CROQUIS_DATOS!$C$1567+(IF(IF(MOD(MIN(INT(($A114-1)/2)+1,MAX(1,INT(((((CROQUIS_DATOS!$C$1507+CROQUIS_DATOS!$C$1508))-(CROQUIS_DATOS!$C$1507))+((CROQUIS_DATOS!$C$1476)*CROQUIS_DATOS!$C$1561-(0)*CROQUIS_DATOS!$C$1561))/CROQUIS_DATOS!$C$1568-0.000001))),2)=1,IF(INT(($A114-1)/2)+1&gt;MAX(1,INT(((((CROQUIS_DATOS!$C$1507+CROQUIS_DATOS!$C$1508))-(CROQUIS_DATOS!$C$1507))+((CROQUIS_DATOS!$C$1476)*CROQUIS_DATOS!$C$1561-(0)*CROQUIS_DATOS!$C$1561))/CROQUIS_DATOS!$C$1568-0.000001)),1,MOD($A114-1,2)),1-IF(INT(($A114-1)/2)+1&gt;MAX(1,INT(((((CROQUIS_DATOS!$C$1507+CROQUIS_DATOS!$C$1508))-(CROQUIS_DATOS!$C$1507))+((CROQUIS_DATOS!$C$1476)*CROQUIS_DATOS!$C$1561-(0)*CROQUIS_DATOS!$C$1561))/CROQUIS_DATOS!$C$1568-0.000001)),1,MOD($A114-1,2)))=1,MIN((CROQUIS_DATOS!$C$1476)*CROQUIS_DATOS!$C$1561,((CROQUIS_DATOS!$C$1507+CROQUIS_DATOS!$C$1508)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4">
        <f>IF(AND(CROQUIS_DATOS!$C$1472=1,CROQUIS_DATOS!$C$1512&gt;0,((CROQUIS_DATOS!$C$1511+CROQUIS_DATOS!$C$1512))-(CROQUIS_DATOS!$C$1511)&gt;0.5,(CROQUIS_DATOS!$C$1476)-(0)&gt;0.5),(CROQUIS_DATOS!$C$1566+(IF(IF(MOD(MIN(INT(($A114-1)/2)+1,MAX(1,INT(((((CROQUIS_DATOS!$C$1511+CROQUIS_DATOS!$C$1512))-(CROQUIS_DATOS!$C$1511))+((CROQUIS_DATOS!$C$1476)*CROQUIS_DATOS!$C$1561-(0)*CROQUIS_DATOS!$C$1561))/CROQUIS_DATOS!$C$1568-0.000001))),2)=1,IF(INT(($A114-1)/2)+1&gt;MAX(1,INT(((((CROQUIS_DATOS!$C$1511+CROQUIS_DATOS!$C$1512))-(CROQUIS_DATOS!$C$1511))+((CROQUIS_DATOS!$C$1476)*CROQUIS_DATOS!$C$1561-(0)*CROQUIS_DATOS!$C$1561))/CROQUIS_DATOS!$C$1568-0.000001)),1,MOD($A114-1,2)),1-IF(INT(($A114-1)/2)+1&gt;MAX(1,INT(((((CROQUIS_DATOS!$C$1511+CROQUIS_DATOS!$C$1512))-(CROQUIS_DATOS!$C$1511))+((CROQUIS_DATOS!$C$1476)*CROQUIS_DATOS!$C$1561-(0)*CROQUIS_DATOS!$C$1561))/CROQUIS_DATOS!$C$1568-0.000001)),1,MOD($A114-1,2)))=1,MIN((CROQUIS_DATOS!$C$1476)*CROQUIS_DATOS!$C$1561,((CROQUIS_DATOS!$C$1511+CROQUIS_DATOS!$C$1512)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4">
        <f>IF(AND(CROQUIS_DATOS!$C$1472=1,CROQUIS_DATOS!$C$1512&gt;0,((CROQUIS_DATOS!$C$1511+CROQUIS_DATOS!$C$1512))-(CROQUIS_DATOS!$C$1511)&gt;0.5,(CROQUIS_DATOS!$C$1476)-(0)&gt;0.5),(CROQUIS_DATOS!$C$1567+(IF(IF(MOD(MIN(INT(($A114-1)/2)+1,MAX(1,INT(((((CROQUIS_DATOS!$C$1511+CROQUIS_DATOS!$C$1512))-(CROQUIS_DATOS!$C$1511))+((CROQUIS_DATOS!$C$1476)*CROQUIS_DATOS!$C$1561-(0)*CROQUIS_DATOS!$C$1561))/CROQUIS_DATOS!$C$1568-0.000001))),2)=1,IF(INT(($A114-1)/2)+1&gt;MAX(1,INT(((((CROQUIS_DATOS!$C$1511+CROQUIS_DATOS!$C$1512))-(CROQUIS_DATOS!$C$1511))+((CROQUIS_DATOS!$C$1476)*CROQUIS_DATOS!$C$1561-(0)*CROQUIS_DATOS!$C$1561))/CROQUIS_DATOS!$C$1568-0.000001)),1,MOD($A114-1,2)),1-IF(INT(($A114-1)/2)+1&gt;MAX(1,INT(((((CROQUIS_DATOS!$C$1511+CROQUIS_DATOS!$C$1512))-(CROQUIS_DATOS!$C$1511))+((CROQUIS_DATOS!$C$1476)*CROQUIS_DATOS!$C$1561-(0)*CROQUIS_DATOS!$C$1561))/CROQUIS_DATOS!$C$1568-0.000001)),1,MOD($A114-1,2)))=1,MIN((CROQUIS_DATOS!$C$1476)*CROQUIS_DATOS!$C$1561,((CROQUIS_DATOS!$C$1511+CROQUIS_DATOS!$C$1512)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4">
        <f>IF(AND(CROQUIS_DATOS!$C$1472=1,CROQUIS_DATOS!$C$1516&gt;0,((CROQUIS_DATOS!$C$1515+CROQUIS_DATOS!$C$1516))-(CROQUIS_DATOS!$C$1515)&gt;0.5,(CROQUIS_DATOS!$C$1476)-(0)&gt;0.5),(CROQUIS_DATOS!$C$1566+(IF(IF(MOD(MIN(INT(($A114-1)/2)+1,MAX(1,INT(((((CROQUIS_DATOS!$C$1515+CROQUIS_DATOS!$C$1516))-(CROQUIS_DATOS!$C$1515))+((CROQUIS_DATOS!$C$1476)*CROQUIS_DATOS!$C$1561-(0)*CROQUIS_DATOS!$C$1561))/CROQUIS_DATOS!$C$1568-0.000001))),2)=1,IF(INT(($A114-1)/2)+1&gt;MAX(1,INT(((((CROQUIS_DATOS!$C$1515+CROQUIS_DATOS!$C$1516))-(CROQUIS_DATOS!$C$1515))+((CROQUIS_DATOS!$C$1476)*CROQUIS_DATOS!$C$1561-(0)*CROQUIS_DATOS!$C$1561))/CROQUIS_DATOS!$C$1568-0.000001)),1,MOD($A114-1,2)),1-IF(INT(($A114-1)/2)+1&gt;MAX(1,INT(((((CROQUIS_DATOS!$C$1515+CROQUIS_DATOS!$C$1516))-(CROQUIS_DATOS!$C$1515))+((CROQUIS_DATOS!$C$1476)*CROQUIS_DATOS!$C$1561-(0)*CROQUIS_DATOS!$C$1561))/CROQUIS_DATOS!$C$1568-0.000001)),1,MOD($A114-1,2)))=1,MIN((CROQUIS_DATOS!$C$1476)*CROQUIS_DATOS!$C$1561,((CROQUIS_DATOS!$C$1515+CROQUIS_DATOS!$C$1516)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4">
        <f>IF(AND(CROQUIS_DATOS!$C$1472=1,CROQUIS_DATOS!$C$1516&gt;0,((CROQUIS_DATOS!$C$1515+CROQUIS_DATOS!$C$1516))-(CROQUIS_DATOS!$C$1515)&gt;0.5,(CROQUIS_DATOS!$C$1476)-(0)&gt;0.5),(CROQUIS_DATOS!$C$1567+(IF(IF(MOD(MIN(INT(($A114-1)/2)+1,MAX(1,INT(((((CROQUIS_DATOS!$C$1515+CROQUIS_DATOS!$C$1516))-(CROQUIS_DATOS!$C$1515))+((CROQUIS_DATOS!$C$1476)*CROQUIS_DATOS!$C$1561-(0)*CROQUIS_DATOS!$C$1561))/CROQUIS_DATOS!$C$1568-0.000001))),2)=1,IF(INT(($A114-1)/2)+1&gt;MAX(1,INT(((((CROQUIS_DATOS!$C$1515+CROQUIS_DATOS!$C$1516))-(CROQUIS_DATOS!$C$1515))+((CROQUIS_DATOS!$C$1476)*CROQUIS_DATOS!$C$1561-(0)*CROQUIS_DATOS!$C$1561))/CROQUIS_DATOS!$C$1568-0.000001)),1,MOD($A114-1,2)),1-IF(INT(($A114-1)/2)+1&gt;MAX(1,INT(((((CROQUIS_DATOS!$C$1515+CROQUIS_DATOS!$C$1516))-(CROQUIS_DATOS!$C$1515))+((CROQUIS_DATOS!$C$1476)*CROQUIS_DATOS!$C$1561-(0)*CROQUIS_DATOS!$C$1561))/CROQUIS_DATOS!$C$1568-0.000001)),1,MOD($A114-1,2)))=1,MIN((CROQUIS_DATOS!$C$1476)*CROQUIS_DATOS!$C$1561,((CROQUIS_DATOS!$C$1515+CROQUIS_DATOS!$C$1516)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4">
        <f>IF(AND(CROQUIS_DATOS!$C$1472=1,CROQUIS_DATOS!$C$1478&gt;=1,((CROQUIS_DATOS!$C$1479+CROQUIS_DATOS!$C$1480))-(CROQUIS_DATOS!$C$1479)&gt;0.5,(CROQUIS_DATOS!$C$1481)-(0)&gt;0.5),(CROQUIS_DATOS!$C$1566+(IF(IF(MOD(MIN(INT(($A114-1)/2)+1,MAX(1,INT(((((CROQUIS_DATOS!$C$1479+CROQUIS_DATOS!$C$1480))-(CROQUIS_DATOS!$C$1479))+((CROQUIS_DATOS!$C$1481)*CROQUIS_DATOS!$C$1561-(0)*CROQUIS_DATOS!$C$1561))/CROQUIS_DATOS!$C$1568-0.000001))),2)=1,IF(INT(($A114-1)/2)+1&gt;MAX(1,INT(((((CROQUIS_DATOS!$C$1479+CROQUIS_DATOS!$C$1480))-(CROQUIS_DATOS!$C$1479))+((CROQUIS_DATOS!$C$1481)*CROQUIS_DATOS!$C$1561-(0)*CROQUIS_DATOS!$C$1561))/CROQUIS_DATOS!$C$1568-0.000001)),1,MOD($A114-1,2)),1-IF(INT(($A114-1)/2)+1&gt;MAX(1,INT(((((CROQUIS_DATOS!$C$1479+CROQUIS_DATOS!$C$1480))-(CROQUIS_DATOS!$C$1479))+((CROQUIS_DATOS!$C$1481)*CROQUIS_DATOS!$C$1561-(0)*CROQUIS_DATOS!$C$1561))/CROQUIS_DATOS!$C$1568-0.000001)),1,MOD($A114-1,2)))=1,MIN((CROQUIS_DATOS!$C$1481)*CROQUIS_DATOS!$C$1561,((CROQUIS_DATOS!$C$1479+CROQUIS_DATOS!$C$1480)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4">
        <f>IF(AND(CROQUIS_DATOS!$C$1472=1,CROQUIS_DATOS!$C$1478&gt;=1,((CROQUIS_DATOS!$C$1479+CROQUIS_DATOS!$C$1480))-(CROQUIS_DATOS!$C$1479)&gt;0.5,(CROQUIS_DATOS!$C$1481)-(0)&gt;0.5),(CROQUIS_DATOS!$C$1567+(IF(IF(MOD(MIN(INT(($A114-1)/2)+1,MAX(1,INT(((((CROQUIS_DATOS!$C$1479+CROQUIS_DATOS!$C$1480))-(CROQUIS_DATOS!$C$1479))+((CROQUIS_DATOS!$C$1481)*CROQUIS_DATOS!$C$1561-(0)*CROQUIS_DATOS!$C$1561))/CROQUIS_DATOS!$C$1568-0.000001))),2)=1,IF(INT(($A114-1)/2)+1&gt;MAX(1,INT(((((CROQUIS_DATOS!$C$1479+CROQUIS_DATOS!$C$1480))-(CROQUIS_DATOS!$C$1479))+((CROQUIS_DATOS!$C$1481)*CROQUIS_DATOS!$C$1561-(0)*CROQUIS_DATOS!$C$1561))/CROQUIS_DATOS!$C$1568-0.000001)),1,MOD($A114-1,2)),1-IF(INT(($A114-1)/2)+1&gt;MAX(1,INT(((((CROQUIS_DATOS!$C$1479+CROQUIS_DATOS!$C$1480))-(CROQUIS_DATOS!$C$1479))+((CROQUIS_DATOS!$C$1481)*CROQUIS_DATOS!$C$1561-(0)*CROQUIS_DATOS!$C$1561))/CROQUIS_DATOS!$C$1568-0.000001)),1,MOD($A114-1,2)))=1,MIN((CROQUIS_DATOS!$C$1481)*CROQUIS_DATOS!$C$1561,((CROQUIS_DATOS!$C$1479+CROQUIS_DATOS!$C$1480)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4">
        <f>IF(AND(CROQUIS_DATOS!$C$1472=1,CROQUIS_DATOS!$C$1478&gt;=1,((CROQUIS_DATOS!$C$1479+CROQUIS_DATOS!$C$1480))-(CROQUIS_DATOS!$C$1479)&gt;0.5,(CROQUIS_DATOS!$C$1476)-((CROQUIS_DATOS!$C$1481+CROQUIS_DATOS!$C$1482))&gt;0.5),(CROQUIS_DATOS!$C$1566+(IF(IF(MOD(MIN(INT(($A114-1)/2)+1,MAX(1,INT(((((CROQUIS_DATOS!$C$1479+CROQUIS_DATOS!$C$1480))-(CROQUIS_DATOS!$C$1479))+((CROQUIS_DATOS!$C$1476)*CROQUIS_DATOS!$C$1561-((CROQUIS_DATOS!$C$1481+CROQUIS_DATOS!$C$1482))*CROQUIS_DATOS!$C$1561))/CROQUIS_DATOS!$C$1568-0.000001))),2)=1,IF(INT(($A114-1)/2)+1&gt;MAX(1,INT(((((CROQUIS_DATOS!$C$1479+CROQUIS_DATOS!$C$1480))-(CROQUIS_DATOS!$C$1479))+((CROQUIS_DATOS!$C$1476)*CROQUIS_DATOS!$C$1561-((CROQUIS_DATOS!$C$1481+CROQUIS_DATOS!$C$1482))*CROQUIS_DATOS!$C$1561))/CROQUIS_DATOS!$C$1568-0.000001)),1,MOD($A114-1,2)),1-IF(INT(($A114-1)/2)+1&gt;MAX(1,INT(((((CROQUIS_DATOS!$C$1479+CROQUIS_DATOS!$C$1480))-(CROQUIS_DATOS!$C$1479))+((CROQUIS_DATOS!$C$1476)*CROQUIS_DATOS!$C$1561-((CROQUIS_DATOS!$C$1481+CROQUIS_DATOS!$C$1482))*CROQUIS_DATOS!$C$1561))/CROQUIS_DATOS!$C$1568-0.000001)),1,MOD($A114-1,2)))=1,MIN((CROQUIS_DATOS!$C$1476)*CROQUIS_DATOS!$C$1561,((CROQUIS_DATOS!$C$1479+CROQUIS_DATOS!$C$1480)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4">
        <f>IF(AND(CROQUIS_DATOS!$C$1472=1,CROQUIS_DATOS!$C$1478&gt;=1,((CROQUIS_DATOS!$C$1479+CROQUIS_DATOS!$C$1480))-(CROQUIS_DATOS!$C$1479)&gt;0.5,(CROQUIS_DATOS!$C$1476)-((CROQUIS_DATOS!$C$1481+CROQUIS_DATOS!$C$1482))&gt;0.5),(CROQUIS_DATOS!$C$1567+(IF(IF(MOD(MIN(INT(($A114-1)/2)+1,MAX(1,INT(((((CROQUIS_DATOS!$C$1479+CROQUIS_DATOS!$C$1480))-(CROQUIS_DATOS!$C$1479))+((CROQUIS_DATOS!$C$1476)*CROQUIS_DATOS!$C$1561-((CROQUIS_DATOS!$C$1481+CROQUIS_DATOS!$C$1482))*CROQUIS_DATOS!$C$1561))/CROQUIS_DATOS!$C$1568-0.000001))),2)=1,IF(INT(($A114-1)/2)+1&gt;MAX(1,INT(((((CROQUIS_DATOS!$C$1479+CROQUIS_DATOS!$C$1480))-(CROQUIS_DATOS!$C$1479))+((CROQUIS_DATOS!$C$1476)*CROQUIS_DATOS!$C$1561-((CROQUIS_DATOS!$C$1481+CROQUIS_DATOS!$C$1482))*CROQUIS_DATOS!$C$1561))/CROQUIS_DATOS!$C$1568-0.000001)),1,MOD($A114-1,2)),1-IF(INT(($A114-1)/2)+1&gt;MAX(1,INT(((((CROQUIS_DATOS!$C$1479+CROQUIS_DATOS!$C$1480))-(CROQUIS_DATOS!$C$1479))+((CROQUIS_DATOS!$C$1476)*CROQUIS_DATOS!$C$1561-((CROQUIS_DATOS!$C$1481+CROQUIS_DATOS!$C$1482))*CROQUIS_DATOS!$C$1561))/CROQUIS_DATOS!$C$1568-0.000001)),1,MOD($A114-1,2)))=1,MIN((CROQUIS_DATOS!$C$1476)*CROQUIS_DATOS!$C$1561,((CROQUIS_DATOS!$C$1479+CROQUIS_DATOS!$C$1480)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4">
        <f>IF(AND(CROQUIS_DATOS!$C$1472=1,CROQUIS_DATOS!$C$1478&gt;=2,((CROQUIS_DATOS!$C$1484+CROQUIS_DATOS!$C$1485))-(CROQUIS_DATOS!$C$1484)&gt;0.5,(CROQUIS_DATOS!$C$1486)-(0)&gt;0.5),(CROQUIS_DATOS!$C$1566+(IF(IF(MOD(MIN(INT(($A114-1)/2)+1,MAX(1,INT(((((CROQUIS_DATOS!$C$1484+CROQUIS_DATOS!$C$1485))-(CROQUIS_DATOS!$C$1484))+((CROQUIS_DATOS!$C$1486)*CROQUIS_DATOS!$C$1561-(0)*CROQUIS_DATOS!$C$1561))/CROQUIS_DATOS!$C$1568-0.000001))),2)=1,IF(INT(($A114-1)/2)+1&gt;MAX(1,INT(((((CROQUIS_DATOS!$C$1484+CROQUIS_DATOS!$C$1485))-(CROQUIS_DATOS!$C$1484))+((CROQUIS_DATOS!$C$1486)*CROQUIS_DATOS!$C$1561-(0)*CROQUIS_DATOS!$C$1561))/CROQUIS_DATOS!$C$1568-0.000001)),1,MOD($A114-1,2)),1-IF(INT(($A114-1)/2)+1&gt;MAX(1,INT(((((CROQUIS_DATOS!$C$1484+CROQUIS_DATOS!$C$1485))-(CROQUIS_DATOS!$C$1484))+((CROQUIS_DATOS!$C$1486)*CROQUIS_DATOS!$C$1561-(0)*CROQUIS_DATOS!$C$1561))/CROQUIS_DATOS!$C$1568-0.000001)),1,MOD($A114-1,2)))=1,MIN((CROQUIS_DATOS!$C$1486)*CROQUIS_DATOS!$C$1561,((CROQUIS_DATOS!$C$1484+CROQUIS_DATOS!$C$1485)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4">
        <f>IF(AND(CROQUIS_DATOS!$C$1472=1,CROQUIS_DATOS!$C$1478&gt;=2,((CROQUIS_DATOS!$C$1484+CROQUIS_DATOS!$C$1485))-(CROQUIS_DATOS!$C$1484)&gt;0.5,(CROQUIS_DATOS!$C$1486)-(0)&gt;0.5),(CROQUIS_DATOS!$C$1567+(IF(IF(MOD(MIN(INT(($A114-1)/2)+1,MAX(1,INT(((((CROQUIS_DATOS!$C$1484+CROQUIS_DATOS!$C$1485))-(CROQUIS_DATOS!$C$1484))+((CROQUIS_DATOS!$C$1486)*CROQUIS_DATOS!$C$1561-(0)*CROQUIS_DATOS!$C$1561))/CROQUIS_DATOS!$C$1568-0.000001))),2)=1,IF(INT(($A114-1)/2)+1&gt;MAX(1,INT(((((CROQUIS_DATOS!$C$1484+CROQUIS_DATOS!$C$1485))-(CROQUIS_DATOS!$C$1484))+((CROQUIS_DATOS!$C$1486)*CROQUIS_DATOS!$C$1561-(0)*CROQUIS_DATOS!$C$1561))/CROQUIS_DATOS!$C$1568-0.000001)),1,MOD($A114-1,2)),1-IF(INT(($A114-1)/2)+1&gt;MAX(1,INT(((((CROQUIS_DATOS!$C$1484+CROQUIS_DATOS!$C$1485))-(CROQUIS_DATOS!$C$1484))+((CROQUIS_DATOS!$C$1486)*CROQUIS_DATOS!$C$1561-(0)*CROQUIS_DATOS!$C$1561))/CROQUIS_DATOS!$C$1568-0.000001)),1,MOD($A114-1,2)))=1,MIN((CROQUIS_DATOS!$C$1486)*CROQUIS_DATOS!$C$1561,((CROQUIS_DATOS!$C$1484+CROQUIS_DATOS!$C$1485)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4">
        <f>IF(AND(CROQUIS_DATOS!$C$1472=1,CROQUIS_DATOS!$C$1478&gt;=2,((CROQUIS_DATOS!$C$1484+CROQUIS_DATOS!$C$1485))-(CROQUIS_DATOS!$C$1484)&gt;0.5,(CROQUIS_DATOS!$C$1476)-((CROQUIS_DATOS!$C$1486+CROQUIS_DATOS!$C$1487))&gt;0.5),(CROQUIS_DATOS!$C$1566+(IF(IF(MOD(MIN(INT(($A114-1)/2)+1,MAX(1,INT(((((CROQUIS_DATOS!$C$1484+CROQUIS_DATOS!$C$1485))-(CROQUIS_DATOS!$C$1484))+((CROQUIS_DATOS!$C$1476)*CROQUIS_DATOS!$C$1561-((CROQUIS_DATOS!$C$1486+CROQUIS_DATOS!$C$1487))*CROQUIS_DATOS!$C$1561))/CROQUIS_DATOS!$C$1568-0.000001))),2)=1,IF(INT(($A114-1)/2)+1&gt;MAX(1,INT(((((CROQUIS_DATOS!$C$1484+CROQUIS_DATOS!$C$1485))-(CROQUIS_DATOS!$C$1484))+((CROQUIS_DATOS!$C$1476)*CROQUIS_DATOS!$C$1561-((CROQUIS_DATOS!$C$1486+CROQUIS_DATOS!$C$1487))*CROQUIS_DATOS!$C$1561))/CROQUIS_DATOS!$C$1568-0.000001)),1,MOD($A114-1,2)),1-IF(INT(($A114-1)/2)+1&gt;MAX(1,INT(((((CROQUIS_DATOS!$C$1484+CROQUIS_DATOS!$C$1485))-(CROQUIS_DATOS!$C$1484))+((CROQUIS_DATOS!$C$1476)*CROQUIS_DATOS!$C$1561-((CROQUIS_DATOS!$C$1486+CROQUIS_DATOS!$C$1487))*CROQUIS_DATOS!$C$1561))/CROQUIS_DATOS!$C$1568-0.000001)),1,MOD($A114-1,2)))=1,MIN((CROQUIS_DATOS!$C$1476)*CROQUIS_DATOS!$C$1561,((CROQUIS_DATOS!$C$1484+CROQUIS_DATOS!$C$1485)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4">
        <f>IF(AND(CROQUIS_DATOS!$C$1472=1,CROQUIS_DATOS!$C$1478&gt;=2,((CROQUIS_DATOS!$C$1484+CROQUIS_DATOS!$C$1485))-(CROQUIS_DATOS!$C$1484)&gt;0.5,(CROQUIS_DATOS!$C$1476)-((CROQUIS_DATOS!$C$1486+CROQUIS_DATOS!$C$1487))&gt;0.5),(CROQUIS_DATOS!$C$1567+(IF(IF(MOD(MIN(INT(($A114-1)/2)+1,MAX(1,INT(((((CROQUIS_DATOS!$C$1484+CROQUIS_DATOS!$C$1485))-(CROQUIS_DATOS!$C$1484))+((CROQUIS_DATOS!$C$1476)*CROQUIS_DATOS!$C$1561-((CROQUIS_DATOS!$C$1486+CROQUIS_DATOS!$C$1487))*CROQUIS_DATOS!$C$1561))/CROQUIS_DATOS!$C$1568-0.000001))),2)=1,IF(INT(($A114-1)/2)+1&gt;MAX(1,INT(((((CROQUIS_DATOS!$C$1484+CROQUIS_DATOS!$C$1485))-(CROQUIS_DATOS!$C$1484))+((CROQUIS_DATOS!$C$1476)*CROQUIS_DATOS!$C$1561-((CROQUIS_DATOS!$C$1486+CROQUIS_DATOS!$C$1487))*CROQUIS_DATOS!$C$1561))/CROQUIS_DATOS!$C$1568-0.000001)),1,MOD($A114-1,2)),1-IF(INT(($A114-1)/2)+1&gt;MAX(1,INT(((((CROQUIS_DATOS!$C$1484+CROQUIS_DATOS!$C$1485))-(CROQUIS_DATOS!$C$1484))+((CROQUIS_DATOS!$C$1476)*CROQUIS_DATOS!$C$1561-((CROQUIS_DATOS!$C$1486+CROQUIS_DATOS!$C$1487))*CROQUIS_DATOS!$C$1561))/CROQUIS_DATOS!$C$1568-0.000001)),1,MOD($A114-1,2)))=1,MIN((CROQUIS_DATOS!$C$1476)*CROQUIS_DATOS!$C$1561,((CROQUIS_DATOS!$C$1484+CROQUIS_DATOS!$C$1485)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4">
        <f>IF(AND(CROQUIS_DATOS!$C$1472=1,CROQUIS_DATOS!$C$1478&gt;=3,((CROQUIS_DATOS!$C$1489+CROQUIS_DATOS!$C$1490))-(CROQUIS_DATOS!$C$1489)&gt;0.5,(CROQUIS_DATOS!$C$1491)-(0)&gt;0.5),(CROQUIS_DATOS!$C$1566+(IF(IF(MOD(MIN(INT(($A114-1)/2)+1,MAX(1,INT(((((CROQUIS_DATOS!$C$1489+CROQUIS_DATOS!$C$1490))-(CROQUIS_DATOS!$C$1489))+((CROQUIS_DATOS!$C$1491)*CROQUIS_DATOS!$C$1561-(0)*CROQUIS_DATOS!$C$1561))/CROQUIS_DATOS!$C$1568-0.000001))),2)=1,IF(INT(($A114-1)/2)+1&gt;MAX(1,INT(((((CROQUIS_DATOS!$C$1489+CROQUIS_DATOS!$C$1490))-(CROQUIS_DATOS!$C$1489))+((CROQUIS_DATOS!$C$1491)*CROQUIS_DATOS!$C$1561-(0)*CROQUIS_DATOS!$C$1561))/CROQUIS_DATOS!$C$1568-0.000001)),1,MOD($A114-1,2)),1-IF(INT(($A114-1)/2)+1&gt;MAX(1,INT(((((CROQUIS_DATOS!$C$1489+CROQUIS_DATOS!$C$1490))-(CROQUIS_DATOS!$C$1489))+((CROQUIS_DATOS!$C$1491)*CROQUIS_DATOS!$C$1561-(0)*CROQUIS_DATOS!$C$1561))/CROQUIS_DATOS!$C$1568-0.000001)),1,MOD($A114-1,2)))=1,MIN((CROQUIS_DATOS!$C$1491)*CROQUIS_DATOS!$C$1561,((CROQUIS_DATOS!$C$1489+CROQUIS_DATOS!$C$1490)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4">
        <f>IF(AND(CROQUIS_DATOS!$C$1472=1,CROQUIS_DATOS!$C$1478&gt;=3,((CROQUIS_DATOS!$C$1489+CROQUIS_DATOS!$C$1490))-(CROQUIS_DATOS!$C$1489)&gt;0.5,(CROQUIS_DATOS!$C$1491)-(0)&gt;0.5),(CROQUIS_DATOS!$C$1567+(IF(IF(MOD(MIN(INT(($A114-1)/2)+1,MAX(1,INT(((((CROQUIS_DATOS!$C$1489+CROQUIS_DATOS!$C$1490))-(CROQUIS_DATOS!$C$1489))+((CROQUIS_DATOS!$C$1491)*CROQUIS_DATOS!$C$1561-(0)*CROQUIS_DATOS!$C$1561))/CROQUIS_DATOS!$C$1568-0.000001))),2)=1,IF(INT(($A114-1)/2)+1&gt;MAX(1,INT(((((CROQUIS_DATOS!$C$1489+CROQUIS_DATOS!$C$1490))-(CROQUIS_DATOS!$C$1489))+((CROQUIS_DATOS!$C$1491)*CROQUIS_DATOS!$C$1561-(0)*CROQUIS_DATOS!$C$1561))/CROQUIS_DATOS!$C$1568-0.000001)),1,MOD($A114-1,2)),1-IF(INT(($A114-1)/2)+1&gt;MAX(1,INT(((((CROQUIS_DATOS!$C$1489+CROQUIS_DATOS!$C$1490))-(CROQUIS_DATOS!$C$1489))+((CROQUIS_DATOS!$C$1491)*CROQUIS_DATOS!$C$1561-(0)*CROQUIS_DATOS!$C$1561))/CROQUIS_DATOS!$C$1568-0.000001)),1,MOD($A114-1,2)))=1,MIN((CROQUIS_DATOS!$C$1491)*CROQUIS_DATOS!$C$1561,((CROQUIS_DATOS!$C$1489+CROQUIS_DATOS!$C$1490)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4">
        <f>IF(AND(CROQUIS_DATOS!$C$1472=1,CROQUIS_DATOS!$C$1478&gt;=3,((CROQUIS_DATOS!$C$1489+CROQUIS_DATOS!$C$1490))-(CROQUIS_DATOS!$C$1489)&gt;0.5,(CROQUIS_DATOS!$C$1476)-((CROQUIS_DATOS!$C$1491+CROQUIS_DATOS!$C$1492))&gt;0.5),(CROQUIS_DATOS!$C$1566+(IF(IF(MOD(MIN(INT(($A114-1)/2)+1,MAX(1,INT(((((CROQUIS_DATOS!$C$1489+CROQUIS_DATOS!$C$1490))-(CROQUIS_DATOS!$C$1489))+((CROQUIS_DATOS!$C$1476)*CROQUIS_DATOS!$C$1561-((CROQUIS_DATOS!$C$1491+CROQUIS_DATOS!$C$1492))*CROQUIS_DATOS!$C$1561))/CROQUIS_DATOS!$C$1568-0.000001))),2)=1,IF(INT(($A114-1)/2)+1&gt;MAX(1,INT(((((CROQUIS_DATOS!$C$1489+CROQUIS_DATOS!$C$1490))-(CROQUIS_DATOS!$C$1489))+((CROQUIS_DATOS!$C$1476)*CROQUIS_DATOS!$C$1561-((CROQUIS_DATOS!$C$1491+CROQUIS_DATOS!$C$1492))*CROQUIS_DATOS!$C$1561))/CROQUIS_DATOS!$C$1568-0.000001)),1,MOD($A114-1,2)),1-IF(INT(($A114-1)/2)+1&gt;MAX(1,INT(((((CROQUIS_DATOS!$C$1489+CROQUIS_DATOS!$C$1490))-(CROQUIS_DATOS!$C$1489))+((CROQUIS_DATOS!$C$1476)*CROQUIS_DATOS!$C$1561-((CROQUIS_DATOS!$C$1491+CROQUIS_DATOS!$C$1492))*CROQUIS_DATOS!$C$1561))/CROQUIS_DATOS!$C$1568-0.000001)),1,MOD($A114-1,2)))=1,MIN((CROQUIS_DATOS!$C$1476)*CROQUIS_DATOS!$C$1561,((CROQUIS_DATOS!$C$1489+CROQUIS_DATOS!$C$1490)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4">
        <f>IF(AND(CROQUIS_DATOS!$C$1472=1,CROQUIS_DATOS!$C$1478&gt;=3,((CROQUIS_DATOS!$C$1489+CROQUIS_DATOS!$C$1490))-(CROQUIS_DATOS!$C$1489)&gt;0.5,(CROQUIS_DATOS!$C$1476)-((CROQUIS_DATOS!$C$1491+CROQUIS_DATOS!$C$1492))&gt;0.5),(CROQUIS_DATOS!$C$1567+(IF(IF(MOD(MIN(INT(($A114-1)/2)+1,MAX(1,INT(((((CROQUIS_DATOS!$C$1489+CROQUIS_DATOS!$C$1490))-(CROQUIS_DATOS!$C$1489))+((CROQUIS_DATOS!$C$1476)*CROQUIS_DATOS!$C$1561-((CROQUIS_DATOS!$C$1491+CROQUIS_DATOS!$C$1492))*CROQUIS_DATOS!$C$1561))/CROQUIS_DATOS!$C$1568-0.000001))),2)=1,IF(INT(($A114-1)/2)+1&gt;MAX(1,INT(((((CROQUIS_DATOS!$C$1489+CROQUIS_DATOS!$C$1490))-(CROQUIS_DATOS!$C$1489))+((CROQUIS_DATOS!$C$1476)*CROQUIS_DATOS!$C$1561-((CROQUIS_DATOS!$C$1491+CROQUIS_DATOS!$C$1492))*CROQUIS_DATOS!$C$1561))/CROQUIS_DATOS!$C$1568-0.000001)),1,MOD($A114-1,2)),1-IF(INT(($A114-1)/2)+1&gt;MAX(1,INT(((((CROQUIS_DATOS!$C$1489+CROQUIS_DATOS!$C$1490))-(CROQUIS_DATOS!$C$1489))+((CROQUIS_DATOS!$C$1476)*CROQUIS_DATOS!$C$1561-((CROQUIS_DATOS!$C$1491+CROQUIS_DATOS!$C$1492))*CROQUIS_DATOS!$C$1561))/CROQUIS_DATOS!$C$1568-0.000001)),1,MOD($A114-1,2)))=1,MIN((CROQUIS_DATOS!$C$1476)*CROQUIS_DATOS!$C$1561,((CROQUIS_DATOS!$C$1489+CROQUIS_DATOS!$C$1490)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4">
        <f>IF(AND(CROQUIS_DATOS!$C$1472=1,CROQUIS_DATOS!$C$1478&gt;=4,((CROQUIS_DATOS!$C$1494+CROQUIS_DATOS!$C$1495))-(CROQUIS_DATOS!$C$1494)&gt;0.5,(CROQUIS_DATOS!$C$1496)-(0)&gt;0.5),(CROQUIS_DATOS!$C$1566+(IF(IF(MOD(MIN(INT(($A114-1)/2)+1,MAX(1,INT(((((CROQUIS_DATOS!$C$1494+CROQUIS_DATOS!$C$1495))-(CROQUIS_DATOS!$C$1494))+((CROQUIS_DATOS!$C$1496)*CROQUIS_DATOS!$C$1561-(0)*CROQUIS_DATOS!$C$1561))/CROQUIS_DATOS!$C$1568-0.000001))),2)=1,IF(INT(($A114-1)/2)+1&gt;MAX(1,INT(((((CROQUIS_DATOS!$C$1494+CROQUIS_DATOS!$C$1495))-(CROQUIS_DATOS!$C$1494))+((CROQUIS_DATOS!$C$1496)*CROQUIS_DATOS!$C$1561-(0)*CROQUIS_DATOS!$C$1561))/CROQUIS_DATOS!$C$1568-0.000001)),1,MOD($A114-1,2)),1-IF(INT(($A114-1)/2)+1&gt;MAX(1,INT(((((CROQUIS_DATOS!$C$1494+CROQUIS_DATOS!$C$1495))-(CROQUIS_DATOS!$C$1494))+((CROQUIS_DATOS!$C$1496)*CROQUIS_DATOS!$C$1561-(0)*CROQUIS_DATOS!$C$1561))/CROQUIS_DATOS!$C$1568-0.000001)),1,MOD($A114-1,2)))=1,MIN((CROQUIS_DATOS!$C$1496)*CROQUIS_DATOS!$C$1561,((CROQUIS_DATOS!$C$1494+CROQUIS_DATOS!$C$1495)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4">
        <f>IF(AND(CROQUIS_DATOS!$C$1472=1,CROQUIS_DATOS!$C$1478&gt;=4,((CROQUIS_DATOS!$C$1494+CROQUIS_DATOS!$C$1495))-(CROQUIS_DATOS!$C$1494)&gt;0.5,(CROQUIS_DATOS!$C$1496)-(0)&gt;0.5),(CROQUIS_DATOS!$C$1567+(IF(IF(MOD(MIN(INT(($A114-1)/2)+1,MAX(1,INT(((((CROQUIS_DATOS!$C$1494+CROQUIS_DATOS!$C$1495))-(CROQUIS_DATOS!$C$1494))+((CROQUIS_DATOS!$C$1496)*CROQUIS_DATOS!$C$1561-(0)*CROQUIS_DATOS!$C$1561))/CROQUIS_DATOS!$C$1568-0.000001))),2)=1,IF(INT(($A114-1)/2)+1&gt;MAX(1,INT(((((CROQUIS_DATOS!$C$1494+CROQUIS_DATOS!$C$1495))-(CROQUIS_DATOS!$C$1494))+((CROQUIS_DATOS!$C$1496)*CROQUIS_DATOS!$C$1561-(0)*CROQUIS_DATOS!$C$1561))/CROQUIS_DATOS!$C$1568-0.000001)),1,MOD($A114-1,2)),1-IF(INT(($A114-1)/2)+1&gt;MAX(1,INT(((((CROQUIS_DATOS!$C$1494+CROQUIS_DATOS!$C$1495))-(CROQUIS_DATOS!$C$1494))+((CROQUIS_DATOS!$C$1496)*CROQUIS_DATOS!$C$1561-(0)*CROQUIS_DATOS!$C$1561))/CROQUIS_DATOS!$C$1568-0.000001)),1,MOD($A114-1,2)))=1,MIN((CROQUIS_DATOS!$C$1496)*CROQUIS_DATOS!$C$1561,((CROQUIS_DATOS!$C$1494+CROQUIS_DATOS!$C$1495)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4">
        <f>IF(AND(CROQUIS_DATOS!$C$1472=1,CROQUIS_DATOS!$C$1478&gt;=4,((CROQUIS_DATOS!$C$1494+CROQUIS_DATOS!$C$1495))-(CROQUIS_DATOS!$C$1494)&gt;0.5,(CROQUIS_DATOS!$C$1476)-((CROQUIS_DATOS!$C$1496+CROQUIS_DATOS!$C$1497))&gt;0.5),(CROQUIS_DATOS!$C$1566+(IF(IF(MOD(MIN(INT(($A114-1)/2)+1,MAX(1,INT(((((CROQUIS_DATOS!$C$1494+CROQUIS_DATOS!$C$1495))-(CROQUIS_DATOS!$C$1494))+((CROQUIS_DATOS!$C$1476)*CROQUIS_DATOS!$C$1561-((CROQUIS_DATOS!$C$1496+CROQUIS_DATOS!$C$1497))*CROQUIS_DATOS!$C$1561))/CROQUIS_DATOS!$C$1568-0.000001))),2)=1,IF(INT(($A114-1)/2)+1&gt;MAX(1,INT(((((CROQUIS_DATOS!$C$1494+CROQUIS_DATOS!$C$1495))-(CROQUIS_DATOS!$C$1494))+((CROQUIS_DATOS!$C$1476)*CROQUIS_DATOS!$C$1561-((CROQUIS_DATOS!$C$1496+CROQUIS_DATOS!$C$1497))*CROQUIS_DATOS!$C$1561))/CROQUIS_DATOS!$C$1568-0.000001)),1,MOD($A114-1,2)),1-IF(INT(($A114-1)/2)+1&gt;MAX(1,INT(((((CROQUIS_DATOS!$C$1494+CROQUIS_DATOS!$C$1495))-(CROQUIS_DATOS!$C$1494))+((CROQUIS_DATOS!$C$1476)*CROQUIS_DATOS!$C$1561-((CROQUIS_DATOS!$C$1496+CROQUIS_DATOS!$C$1497))*CROQUIS_DATOS!$C$1561))/CROQUIS_DATOS!$C$1568-0.000001)),1,MOD($A114-1,2)))=1,MIN((CROQUIS_DATOS!$C$1476)*CROQUIS_DATOS!$C$1561,((CROQUIS_DATOS!$C$1494+CROQUIS_DATOS!$C$1495)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4">
        <f>IF(AND(CROQUIS_DATOS!$C$1472=1,CROQUIS_DATOS!$C$1478&gt;=4,((CROQUIS_DATOS!$C$1494+CROQUIS_DATOS!$C$1495))-(CROQUIS_DATOS!$C$1494)&gt;0.5,(CROQUIS_DATOS!$C$1476)-((CROQUIS_DATOS!$C$1496+CROQUIS_DATOS!$C$1497))&gt;0.5),(CROQUIS_DATOS!$C$1567+(IF(IF(MOD(MIN(INT(($A114-1)/2)+1,MAX(1,INT(((((CROQUIS_DATOS!$C$1494+CROQUIS_DATOS!$C$1495))-(CROQUIS_DATOS!$C$1494))+((CROQUIS_DATOS!$C$1476)*CROQUIS_DATOS!$C$1561-((CROQUIS_DATOS!$C$1496+CROQUIS_DATOS!$C$1497))*CROQUIS_DATOS!$C$1561))/CROQUIS_DATOS!$C$1568-0.000001))),2)=1,IF(INT(($A114-1)/2)+1&gt;MAX(1,INT(((((CROQUIS_DATOS!$C$1494+CROQUIS_DATOS!$C$1495))-(CROQUIS_DATOS!$C$1494))+((CROQUIS_DATOS!$C$1476)*CROQUIS_DATOS!$C$1561-((CROQUIS_DATOS!$C$1496+CROQUIS_DATOS!$C$1497))*CROQUIS_DATOS!$C$1561))/CROQUIS_DATOS!$C$1568-0.000001)),1,MOD($A114-1,2)),1-IF(INT(($A114-1)/2)+1&gt;MAX(1,INT(((((CROQUIS_DATOS!$C$1494+CROQUIS_DATOS!$C$1495))-(CROQUIS_DATOS!$C$1494))+((CROQUIS_DATOS!$C$1476)*CROQUIS_DATOS!$C$1561-((CROQUIS_DATOS!$C$1496+CROQUIS_DATOS!$C$1497))*CROQUIS_DATOS!$C$1561))/CROQUIS_DATOS!$C$1568-0.000001)),1,MOD($A114-1,2)))=1,MIN((CROQUIS_DATOS!$C$1476)*CROQUIS_DATOS!$C$1561,((CROQUIS_DATOS!$C$1494+CROQUIS_DATOS!$C$1495)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5">
      <c r="A115" t="n">
        <v>108</v>
      </c>
      <c r="N115">
        <f>IF(AND(CROQUIS_DATOS!$C$1472=1,1),(CROQUIS_DATOS!$C$1563+(IF(IF(IF(INT(($A115-1)/70)+1&gt;CROQUIS_DATOS!$C$1525,70,MOD($A115-1,70)+1)=1,0,IF(IF(INT(($A115-1)/70)+1&gt;CROQUIS_DATOS!$C$1525,70,MOD($A115-1,70)+1)&gt;2*CROQUIS_DATOS!$C$1541+1,IF(MOD(CROQUIS_DATOS!$C$1541,2)=1,1,0),IF(MOD(MIN(INT((IF(INT(($A115-1)/70)+1&gt;CROQUIS_DATOS!$C$1525,70,MOD($A115-1,70)+1)-2)/2)+1,CROQUIS_DATOS!$C$1541),2)=1,IF(MOD(IF(INT(($A115-1)/70)+1&gt;CROQUIS_DATOS!$C$1525,70,MOD($A115-1,70)+1)-2,2)=0,0,1),IF(MOD(IF(INT(($A115-1)/70)+1&gt;CROQUIS_DATOS!$C$1525,70,MOD($A115-1,70)+1)-2,2)=0,1,0))))=0,(INDEX($E$8:$E$23,MIN(INT(($A115-1)/70)+1,CROQUIS_DATOS!$C$1525))-INDEX($F$8:$F$23,MIN(INT(($A115-1)/70)+1,CROQUIS_DATOS!$C$1525))/2),(INDEX($E$8:$E$23,MIN(INT(($A115-1)/70)+1,CROQUIS_DATOS!$C$1525))+INDEX($F$8:$F$23,MIN(INT(($A115-1)/70)+1,CROQUIS_DATOS!$C$1525))/2)))*CROQUIS_DATOS!$C$1562),-1000)</f>
        <v>18.5775862068965</v>
      </c>
      <c r="O115">
        <f>IF(AND(CROQUIS_DATOS!$C$1472=1,1),(CROQUIS_DATOS!$C$1564+(IF(OR(IF(INT(($A115-1)/70)+1&gt;CROQUIS_DATOS!$C$1525,70,MOD($A115-1,70)+1)=1,IF(INT(($A115-1)/70)+1&gt;CROQUIS_DATOS!$C$1525,70,MOD($A115-1,70)+1)&gt;2*CROQUIS_DATOS!$C$1541+1),CROQUIS_DATOS!$C$1476,INDEX($H$8:$H$41,MIN(INT((IF(INT(($A115-1)/70)+1&gt;CROQUIS_DATOS!$C$1525,70,MOD($A115-1,70)+1)-2)/2)+1,CROQUIS_DATOS!$C$1541))))*CROQUIS_DATOS!$C$1561*CROQUIS_DATOS!$C$1562),-1000)</f>
        <v>40.2068965517241</v>
      </c>
      <c r="P115">
        <f>IF(AND(CROQUIS_DATOS!$C$1472=1,CROQUIS_DATOS!$C$1555=1),(CROQUIS_DATOS!$C$1563+(IF(IF(OR(MOD($A115-1,62)+1=1,IF(CHOOSE(MIN(MAX(MIN(INT(($A115-1)/62)+1,5),1),5),CROQUIS_DATOS!$C$1501,CROQUIS_DATOS!$C$1505,CROQUIS_DATOS!$C$1509,CROQUIS_DATOS!$C$1513,CROQUIS_DATOS!$C$1517)=1,CROQUIS_DATOS!$C$1557,0)=0),0,IF(MOD($A115-1,62)+1&gt;2*IF(CHOOSE(MIN(MAX(MIN(INT(($A115-1)/62)+1,5),1),5),CROQUIS_DATOS!$C$1501,CROQUIS_DATOS!$C$1505,CROQUIS_DATOS!$C$1509,CROQUIS_DATOS!$C$1513,CROQUIS_DATOS!$C$1517)=1,CROQUIS_DATOS!$C$1557,0)+1,IF(MOD(IF(CHOOSE(MIN(MAX(MIN(INT(($A115-1)/62)+1,5),1),5),CROQUIS_DATOS!$C$1501,CROQUIS_DATOS!$C$1505,CROQUIS_DATOS!$C$1509,CROQUIS_DATOS!$C$1513,CROQUIS_DATOS!$C$1517)=1,CROQUIS_DATOS!$C$1557,0),2)=1,1,0),IF(MOD(MIN(INT((MOD($A115-1,62)+1-2)/2)+1,MAX(IF(CHOOSE(MIN(MAX(MIN(INT(($A115-1)/62)+1,5),1),5),CROQUIS_DATOS!$C$1501,CROQUIS_DATOS!$C$1505,CROQUIS_DATOS!$C$1509,CROQUIS_DATOS!$C$1513,CROQUIS_DATOS!$C$1517)=1,CROQUIS_DATOS!$C$1557,0),1)),2)=1,IF(MOD(MOD($A115-1,62)+1-2,2)=0,0,1),IF(MOD(MOD($A115-1,62)+1-2,2)=0,1,0))))=0,(CHOOSE(MIN(MAX(MIN(INT(($A115-1)/62)+1,5),1),5),CROQUIS_DATOS!$C$1499,CROQUIS_DATOS!$C$1503,CROQUIS_DATOS!$C$1507,CROQUIS_DATOS!$C$1511,CROQUIS_DATOS!$C$1515)+IF(CHOOSE(MIN(MAX(MIN(INT(($A115-1)/62)+1,5),1),5),CROQUIS_DATOS!$C$1501,CROQUIS_DATOS!$C$1505,CROQUIS_DATOS!$C$1509,CROQUIS_DATOS!$C$1513,CROQUIS_DATOS!$C$1517)=1,CROQUIS_DATOS!$C$1526,0)),(CHOOSE(MIN(MAX(MIN(INT(($A115-1)/62)+1,5),1),5),CROQUIS_DATOS!$C$1499,CROQUIS_DATOS!$C$1503,CROQUIS_DATOS!$C$1507,CROQUIS_DATOS!$C$1511,CROQUIS_DATOS!$C$1515)+CHOOSE(MIN(MAX(MIN(INT(($A115-1)/62)+1,5),1),5),CROQUIS_DATOS!$C$1500,CROQUIS_DATOS!$C$1504,CROQUIS_DATOS!$C$1508,CROQUIS_DATOS!$C$1512,CROQUIS_DATOS!$C$1516)-IF(CHOOSE(MIN(MAX(MIN(INT(($A115-1)/62)+1,5),1),5),CROQUIS_DATOS!$C$1501,CROQUIS_DATOS!$C$1505,CROQUIS_DATOS!$C$1509,CROQUIS_DATOS!$C$1513,CROQUIS_DATOS!$C$1517)=1,CROQUIS_DATOS!$C$1526,0))))*CROQUIS_DATOS!$C$1562),-1000)</f>
        <v>-1000</v>
      </c>
      <c r="Q115">
        <f>IF(AND(CROQUIS_DATOS!$C$1472=1,CROQUIS_DATOS!$C$1555=1),(CROQUIS_DATOS!$C$1564+(IF(OR(OR(MOD($A115-1,62)+1=1,IF(CHOOSE(MIN(MAX(MIN(INT(($A115-1)/62)+1,5),1),5),CROQUIS_DATOS!$C$1501,CROQUIS_DATOS!$C$1505,CROQUIS_DATOS!$C$1509,CROQUIS_DATOS!$C$1513,CROQUIS_DATOS!$C$1517)=1,CROQUIS_DATOS!$C$1557,0)=0),MOD($A115-1,62)+1&gt;2*IF(CHOOSE(MIN(MAX(MIN(INT(($A115-1)/62)+1,5),1),5),CROQUIS_DATOS!$C$1501,CROQUIS_DATOS!$C$1505,CROQUIS_DATOS!$C$1509,CROQUIS_DATOS!$C$1513,CROQUIS_DATOS!$C$1517)=1,CROQUIS_DATOS!$C$1557,0)+1),CROQUIS_DATOS!$C$1476,MIN(INT((MOD($A115-1,62)+1-2)/2)+1,MAX(IF(CHOOSE(MIN(MAX(MIN(INT(($A115-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5">
        <f>IF(AND(CROQUIS_DATOS!$C$1472=1,1),(CROQUIS_DATOS!$C$1563+(MIN(INT(($A115-1)/2)+1,CROQUIS_DATOS!$C$1558)*CROQUIS_DATOS!$C$1559)*CROQUIS_DATOS!$C$1562),-1000)</f>
        <v>82.2281167108753</v>
      </c>
      <c r="U115">
        <f>IF(AND(CROQUIS_DATOS!$C$1472=1,1),(CROQUIS_DATOS!$C$1564+(IF(INT(($A115-1)/2)+1&gt;CROQUIS_DATOS!$C$1558,IF(MOD(CROQUIS_DATOS!$C$1558,2)=1,CROQUIS_DATOS!$C$1476+CROQUIS_DATOS!$C$1528,CROQUIS_DATOS!$C$1476),IF(IF(MOD(MIN(INT(($A115-1)/2)+1,CROQUIS_DATOS!$C$1558),2)=1,MOD($A115-1,2),1-MOD($A115-1,2))=1,CROQUIS_DATOS!$C$1476+CROQUIS_DATOS!$C$1528,CROQUIS_DATOS!$C$1476)))*CROQUIS_DATOS!$C$1561*CROQUIS_DATOS!$C$1562),-1000)</f>
        <v>43</v>
      </c>
      <c r="BZ115">
        <f>IF(AND(CROQUIS_DATOS!$C$1472=1,CROQUIS_DATOS!$C$1500&gt;0,((CROQUIS_DATOS!$C$1499+CROQUIS_DATOS!$C$1500))-(CROQUIS_DATOS!$C$1499)&gt;0.5,(CROQUIS_DATOS!$C$1476)-(0)&gt;0.5),(CROQUIS_DATOS!$C$1566+(IF(IF(MOD(MIN(INT(($A115-1)/2)+1,MAX(1,INT(((((CROQUIS_DATOS!$C$1499+CROQUIS_DATOS!$C$1500))-(CROQUIS_DATOS!$C$1499))+((CROQUIS_DATOS!$C$1476)*CROQUIS_DATOS!$C$1561-(0)*CROQUIS_DATOS!$C$1561))/CROQUIS_DATOS!$C$1568-0.000001))),2)=1,IF(INT(($A115-1)/2)+1&gt;MAX(1,INT(((((CROQUIS_DATOS!$C$1499+CROQUIS_DATOS!$C$1500))-(CROQUIS_DATOS!$C$1499))+((CROQUIS_DATOS!$C$1476)*CROQUIS_DATOS!$C$1561-(0)*CROQUIS_DATOS!$C$1561))/CROQUIS_DATOS!$C$1568-0.000001)),1,MOD($A115-1,2)),1-IF(INT(($A115-1)/2)+1&gt;MAX(1,INT(((((CROQUIS_DATOS!$C$1499+CROQUIS_DATOS!$C$1500))-(CROQUIS_DATOS!$C$1499))+((CROQUIS_DATOS!$C$1476)*CROQUIS_DATOS!$C$1561-(0)*CROQUIS_DATOS!$C$1561))/CROQUIS_DATOS!$C$1568-0.000001)),1,MOD($A115-1,2)))=1,MIN((CROQUIS_DATOS!$C$1476)*CROQUIS_DATOS!$C$1561,((CROQUIS_DATOS!$C$1499+CROQUIS_DATOS!$C$1500)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5">
        <f>IF(AND(CROQUIS_DATOS!$C$1472=1,CROQUIS_DATOS!$C$1500&gt;0,((CROQUIS_DATOS!$C$1499+CROQUIS_DATOS!$C$1500))-(CROQUIS_DATOS!$C$1499)&gt;0.5,(CROQUIS_DATOS!$C$1476)-(0)&gt;0.5),(CROQUIS_DATOS!$C$1567+(IF(IF(MOD(MIN(INT(($A115-1)/2)+1,MAX(1,INT(((((CROQUIS_DATOS!$C$1499+CROQUIS_DATOS!$C$1500))-(CROQUIS_DATOS!$C$1499))+((CROQUIS_DATOS!$C$1476)*CROQUIS_DATOS!$C$1561-(0)*CROQUIS_DATOS!$C$1561))/CROQUIS_DATOS!$C$1568-0.000001))),2)=1,IF(INT(($A115-1)/2)+1&gt;MAX(1,INT(((((CROQUIS_DATOS!$C$1499+CROQUIS_DATOS!$C$1500))-(CROQUIS_DATOS!$C$1499))+((CROQUIS_DATOS!$C$1476)*CROQUIS_DATOS!$C$1561-(0)*CROQUIS_DATOS!$C$1561))/CROQUIS_DATOS!$C$1568-0.000001)),1,MOD($A115-1,2)),1-IF(INT(($A115-1)/2)+1&gt;MAX(1,INT(((((CROQUIS_DATOS!$C$1499+CROQUIS_DATOS!$C$1500))-(CROQUIS_DATOS!$C$1499))+((CROQUIS_DATOS!$C$1476)*CROQUIS_DATOS!$C$1561-(0)*CROQUIS_DATOS!$C$1561))/CROQUIS_DATOS!$C$1568-0.000001)),1,MOD($A115-1,2)))=1,MIN((CROQUIS_DATOS!$C$1476)*CROQUIS_DATOS!$C$1561,((CROQUIS_DATOS!$C$1499+CROQUIS_DATOS!$C$1500)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5">
        <f>IF(AND(CROQUIS_DATOS!$C$1472=1,CROQUIS_DATOS!$C$1504&gt;0,((CROQUIS_DATOS!$C$1503+CROQUIS_DATOS!$C$1504))-(CROQUIS_DATOS!$C$1503)&gt;0.5,(CROQUIS_DATOS!$C$1476)-(0)&gt;0.5),(CROQUIS_DATOS!$C$1566+(IF(IF(MOD(MIN(INT(($A115-1)/2)+1,MAX(1,INT(((((CROQUIS_DATOS!$C$1503+CROQUIS_DATOS!$C$1504))-(CROQUIS_DATOS!$C$1503))+((CROQUIS_DATOS!$C$1476)*CROQUIS_DATOS!$C$1561-(0)*CROQUIS_DATOS!$C$1561))/CROQUIS_DATOS!$C$1568-0.000001))),2)=1,IF(INT(($A115-1)/2)+1&gt;MAX(1,INT(((((CROQUIS_DATOS!$C$1503+CROQUIS_DATOS!$C$1504))-(CROQUIS_DATOS!$C$1503))+((CROQUIS_DATOS!$C$1476)*CROQUIS_DATOS!$C$1561-(0)*CROQUIS_DATOS!$C$1561))/CROQUIS_DATOS!$C$1568-0.000001)),1,MOD($A115-1,2)),1-IF(INT(($A115-1)/2)+1&gt;MAX(1,INT(((((CROQUIS_DATOS!$C$1503+CROQUIS_DATOS!$C$1504))-(CROQUIS_DATOS!$C$1503))+((CROQUIS_DATOS!$C$1476)*CROQUIS_DATOS!$C$1561-(0)*CROQUIS_DATOS!$C$1561))/CROQUIS_DATOS!$C$1568-0.000001)),1,MOD($A115-1,2)))=1,MIN((CROQUIS_DATOS!$C$1476)*CROQUIS_DATOS!$C$1561,((CROQUIS_DATOS!$C$1503+CROQUIS_DATOS!$C$1504)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5">
        <f>IF(AND(CROQUIS_DATOS!$C$1472=1,CROQUIS_DATOS!$C$1504&gt;0,((CROQUIS_DATOS!$C$1503+CROQUIS_DATOS!$C$1504))-(CROQUIS_DATOS!$C$1503)&gt;0.5,(CROQUIS_DATOS!$C$1476)-(0)&gt;0.5),(CROQUIS_DATOS!$C$1567+(IF(IF(MOD(MIN(INT(($A115-1)/2)+1,MAX(1,INT(((((CROQUIS_DATOS!$C$1503+CROQUIS_DATOS!$C$1504))-(CROQUIS_DATOS!$C$1503))+((CROQUIS_DATOS!$C$1476)*CROQUIS_DATOS!$C$1561-(0)*CROQUIS_DATOS!$C$1561))/CROQUIS_DATOS!$C$1568-0.000001))),2)=1,IF(INT(($A115-1)/2)+1&gt;MAX(1,INT(((((CROQUIS_DATOS!$C$1503+CROQUIS_DATOS!$C$1504))-(CROQUIS_DATOS!$C$1503))+((CROQUIS_DATOS!$C$1476)*CROQUIS_DATOS!$C$1561-(0)*CROQUIS_DATOS!$C$1561))/CROQUIS_DATOS!$C$1568-0.000001)),1,MOD($A115-1,2)),1-IF(INT(($A115-1)/2)+1&gt;MAX(1,INT(((((CROQUIS_DATOS!$C$1503+CROQUIS_DATOS!$C$1504))-(CROQUIS_DATOS!$C$1503))+((CROQUIS_DATOS!$C$1476)*CROQUIS_DATOS!$C$1561-(0)*CROQUIS_DATOS!$C$1561))/CROQUIS_DATOS!$C$1568-0.000001)),1,MOD($A115-1,2)))=1,MIN((CROQUIS_DATOS!$C$1476)*CROQUIS_DATOS!$C$1561,((CROQUIS_DATOS!$C$1503+CROQUIS_DATOS!$C$1504)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5">
        <f>IF(AND(CROQUIS_DATOS!$C$1472=1,CROQUIS_DATOS!$C$1508&gt;0,((CROQUIS_DATOS!$C$1507+CROQUIS_DATOS!$C$1508))-(CROQUIS_DATOS!$C$1507)&gt;0.5,(CROQUIS_DATOS!$C$1476)-(0)&gt;0.5),(CROQUIS_DATOS!$C$1566+(IF(IF(MOD(MIN(INT(($A115-1)/2)+1,MAX(1,INT(((((CROQUIS_DATOS!$C$1507+CROQUIS_DATOS!$C$1508))-(CROQUIS_DATOS!$C$1507))+((CROQUIS_DATOS!$C$1476)*CROQUIS_DATOS!$C$1561-(0)*CROQUIS_DATOS!$C$1561))/CROQUIS_DATOS!$C$1568-0.000001))),2)=1,IF(INT(($A115-1)/2)+1&gt;MAX(1,INT(((((CROQUIS_DATOS!$C$1507+CROQUIS_DATOS!$C$1508))-(CROQUIS_DATOS!$C$1507))+((CROQUIS_DATOS!$C$1476)*CROQUIS_DATOS!$C$1561-(0)*CROQUIS_DATOS!$C$1561))/CROQUIS_DATOS!$C$1568-0.000001)),1,MOD($A115-1,2)),1-IF(INT(($A115-1)/2)+1&gt;MAX(1,INT(((((CROQUIS_DATOS!$C$1507+CROQUIS_DATOS!$C$1508))-(CROQUIS_DATOS!$C$1507))+((CROQUIS_DATOS!$C$1476)*CROQUIS_DATOS!$C$1561-(0)*CROQUIS_DATOS!$C$1561))/CROQUIS_DATOS!$C$1568-0.000001)),1,MOD($A115-1,2)))=1,MIN((CROQUIS_DATOS!$C$1476)*CROQUIS_DATOS!$C$1561,((CROQUIS_DATOS!$C$1507+CROQUIS_DATOS!$C$1508)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5">
        <f>IF(AND(CROQUIS_DATOS!$C$1472=1,CROQUIS_DATOS!$C$1508&gt;0,((CROQUIS_DATOS!$C$1507+CROQUIS_DATOS!$C$1508))-(CROQUIS_DATOS!$C$1507)&gt;0.5,(CROQUIS_DATOS!$C$1476)-(0)&gt;0.5),(CROQUIS_DATOS!$C$1567+(IF(IF(MOD(MIN(INT(($A115-1)/2)+1,MAX(1,INT(((((CROQUIS_DATOS!$C$1507+CROQUIS_DATOS!$C$1508))-(CROQUIS_DATOS!$C$1507))+((CROQUIS_DATOS!$C$1476)*CROQUIS_DATOS!$C$1561-(0)*CROQUIS_DATOS!$C$1561))/CROQUIS_DATOS!$C$1568-0.000001))),2)=1,IF(INT(($A115-1)/2)+1&gt;MAX(1,INT(((((CROQUIS_DATOS!$C$1507+CROQUIS_DATOS!$C$1508))-(CROQUIS_DATOS!$C$1507))+((CROQUIS_DATOS!$C$1476)*CROQUIS_DATOS!$C$1561-(0)*CROQUIS_DATOS!$C$1561))/CROQUIS_DATOS!$C$1568-0.000001)),1,MOD($A115-1,2)),1-IF(INT(($A115-1)/2)+1&gt;MAX(1,INT(((((CROQUIS_DATOS!$C$1507+CROQUIS_DATOS!$C$1508))-(CROQUIS_DATOS!$C$1507))+((CROQUIS_DATOS!$C$1476)*CROQUIS_DATOS!$C$1561-(0)*CROQUIS_DATOS!$C$1561))/CROQUIS_DATOS!$C$1568-0.000001)),1,MOD($A115-1,2)))=1,MIN((CROQUIS_DATOS!$C$1476)*CROQUIS_DATOS!$C$1561,((CROQUIS_DATOS!$C$1507+CROQUIS_DATOS!$C$1508)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5">
        <f>IF(AND(CROQUIS_DATOS!$C$1472=1,CROQUIS_DATOS!$C$1512&gt;0,((CROQUIS_DATOS!$C$1511+CROQUIS_DATOS!$C$1512))-(CROQUIS_DATOS!$C$1511)&gt;0.5,(CROQUIS_DATOS!$C$1476)-(0)&gt;0.5),(CROQUIS_DATOS!$C$1566+(IF(IF(MOD(MIN(INT(($A115-1)/2)+1,MAX(1,INT(((((CROQUIS_DATOS!$C$1511+CROQUIS_DATOS!$C$1512))-(CROQUIS_DATOS!$C$1511))+((CROQUIS_DATOS!$C$1476)*CROQUIS_DATOS!$C$1561-(0)*CROQUIS_DATOS!$C$1561))/CROQUIS_DATOS!$C$1568-0.000001))),2)=1,IF(INT(($A115-1)/2)+1&gt;MAX(1,INT(((((CROQUIS_DATOS!$C$1511+CROQUIS_DATOS!$C$1512))-(CROQUIS_DATOS!$C$1511))+((CROQUIS_DATOS!$C$1476)*CROQUIS_DATOS!$C$1561-(0)*CROQUIS_DATOS!$C$1561))/CROQUIS_DATOS!$C$1568-0.000001)),1,MOD($A115-1,2)),1-IF(INT(($A115-1)/2)+1&gt;MAX(1,INT(((((CROQUIS_DATOS!$C$1511+CROQUIS_DATOS!$C$1512))-(CROQUIS_DATOS!$C$1511))+((CROQUIS_DATOS!$C$1476)*CROQUIS_DATOS!$C$1561-(0)*CROQUIS_DATOS!$C$1561))/CROQUIS_DATOS!$C$1568-0.000001)),1,MOD($A115-1,2)))=1,MIN((CROQUIS_DATOS!$C$1476)*CROQUIS_DATOS!$C$1561,((CROQUIS_DATOS!$C$1511+CROQUIS_DATOS!$C$1512)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5">
        <f>IF(AND(CROQUIS_DATOS!$C$1472=1,CROQUIS_DATOS!$C$1512&gt;0,((CROQUIS_DATOS!$C$1511+CROQUIS_DATOS!$C$1512))-(CROQUIS_DATOS!$C$1511)&gt;0.5,(CROQUIS_DATOS!$C$1476)-(0)&gt;0.5),(CROQUIS_DATOS!$C$1567+(IF(IF(MOD(MIN(INT(($A115-1)/2)+1,MAX(1,INT(((((CROQUIS_DATOS!$C$1511+CROQUIS_DATOS!$C$1512))-(CROQUIS_DATOS!$C$1511))+((CROQUIS_DATOS!$C$1476)*CROQUIS_DATOS!$C$1561-(0)*CROQUIS_DATOS!$C$1561))/CROQUIS_DATOS!$C$1568-0.000001))),2)=1,IF(INT(($A115-1)/2)+1&gt;MAX(1,INT(((((CROQUIS_DATOS!$C$1511+CROQUIS_DATOS!$C$1512))-(CROQUIS_DATOS!$C$1511))+((CROQUIS_DATOS!$C$1476)*CROQUIS_DATOS!$C$1561-(0)*CROQUIS_DATOS!$C$1561))/CROQUIS_DATOS!$C$1568-0.000001)),1,MOD($A115-1,2)),1-IF(INT(($A115-1)/2)+1&gt;MAX(1,INT(((((CROQUIS_DATOS!$C$1511+CROQUIS_DATOS!$C$1512))-(CROQUIS_DATOS!$C$1511))+((CROQUIS_DATOS!$C$1476)*CROQUIS_DATOS!$C$1561-(0)*CROQUIS_DATOS!$C$1561))/CROQUIS_DATOS!$C$1568-0.000001)),1,MOD($A115-1,2)))=1,MIN((CROQUIS_DATOS!$C$1476)*CROQUIS_DATOS!$C$1561,((CROQUIS_DATOS!$C$1511+CROQUIS_DATOS!$C$1512)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5">
        <f>IF(AND(CROQUIS_DATOS!$C$1472=1,CROQUIS_DATOS!$C$1516&gt;0,((CROQUIS_DATOS!$C$1515+CROQUIS_DATOS!$C$1516))-(CROQUIS_DATOS!$C$1515)&gt;0.5,(CROQUIS_DATOS!$C$1476)-(0)&gt;0.5),(CROQUIS_DATOS!$C$1566+(IF(IF(MOD(MIN(INT(($A115-1)/2)+1,MAX(1,INT(((((CROQUIS_DATOS!$C$1515+CROQUIS_DATOS!$C$1516))-(CROQUIS_DATOS!$C$1515))+((CROQUIS_DATOS!$C$1476)*CROQUIS_DATOS!$C$1561-(0)*CROQUIS_DATOS!$C$1561))/CROQUIS_DATOS!$C$1568-0.000001))),2)=1,IF(INT(($A115-1)/2)+1&gt;MAX(1,INT(((((CROQUIS_DATOS!$C$1515+CROQUIS_DATOS!$C$1516))-(CROQUIS_DATOS!$C$1515))+((CROQUIS_DATOS!$C$1476)*CROQUIS_DATOS!$C$1561-(0)*CROQUIS_DATOS!$C$1561))/CROQUIS_DATOS!$C$1568-0.000001)),1,MOD($A115-1,2)),1-IF(INT(($A115-1)/2)+1&gt;MAX(1,INT(((((CROQUIS_DATOS!$C$1515+CROQUIS_DATOS!$C$1516))-(CROQUIS_DATOS!$C$1515))+((CROQUIS_DATOS!$C$1476)*CROQUIS_DATOS!$C$1561-(0)*CROQUIS_DATOS!$C$1561))/CROQUIS_DATOS!$C$1568-0.000001)),1,MOD($A115-1,2)))=1,MIN((CROQUIS_DATOS!$C$1476)*CROQUIS_DATOS!$C$1561,((CROQUIS_DATOS!$C$1515+CROQUIS_DATOS!$C$1516)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5">
        <f>IF(AND(CROQUIS_DATOS!$C$1472=1,CROQUIS_DATOS!$C$1516&gt;0,((CROQUIS_DATOS!$C$1515+CROQUIS_DATOS!$C$1516))-(CROQUIS_DATOS!$C$1515)&gt;0.5,(CROQUIS_DATOS!$C$1476)-(0)&gt;0.5),(CROQUIS_DATOS!$C$1567+(IF(IF(MOD(MIN(INT(($A115-1)/2)+1,MAX(1,INT(((((CROQUIS_DATOS!$C$1515+CROQUIS_DATOS!$C$1516))-(CROQUIS_DATOS!$C$1515))+((CROQUIS_DATOS!$C$1476)*CROQUIS_DATOS!$C$1561-(0)*CROQUIS_DATOS!$C$1561))/CROQUIS_DATOS!$C$1568-0.000001))),2)=1,IF(INT(($A115-1)/2)+1&gt;MAX(1,INT(((((CROQUIS_DATOS!$C$1515+CROQUIS_DATOS!$C$1516))-(CROQUIS_DATOS!$C$1515))+((CROQUIS_DATOS!$C$1476)*CROQUIS_DATOS!$C$1561-(0)*CROQUIS_DATOS!$C$1561))/CROQUIS_DATOS!$C$1568-0.000001)),1,MOD($A115-1,2)),1-IF(INT(($A115-1)/2)+1&gt;MAX(1,INT(((((CROQUIS_DATOS!$C$1515+CROQUIS_DATOS!$C$1516))-(CROQUIS_DATOS!$C$1515))+((CROQUIS_DATOS!$C$1476)*CROQUIS_DATOS!$C$1561-(0)*CROQUIS_DATOS!$C$1561))/CROQUIS_DATOS!$C$1568-0.000001)),1,MOD($A115-1,2)))=1,MIN((CROQUIS_DATOS!$C$1476)*CROQUIS_DATOS!$C$1561,((CROQUIS_DATOS!$C$1515+CROQUIS_DATOS!$C$1516)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5">
        <f>IF(AND(CROQUIS_DATOS!$C$1472=1,CROQUIS_DATOS!$C$1478&gt;=1,((CROQUIS_DATOS!$C$1479+CROQUIS_DATOS!$C$1480))-(CROQUIS_DATOS!$C$1479)&gt;0.5,(CROQUIS_DATOS!$C$1481)-(0)&gt;0.5),(CROQUIS_DATOS!$C$1566+(IF(IF(MOD(MIN(INT(($A115-1)/2)+1,MAX(1,INT(((((CROQUIS_DATOS!$C$1479+CROQUIS_DATOS!$C$1480))-(CROQUIS_DATOS!$C$1479))+((CROQUIS_DATOS!$C$1481)*CROQUIS_DATOS!$C$1561-(0)*CROQUIS_DATOS!$C$1561))/CROQUIS_DATOS!$C$1568-0.000001))),2)=1,IF(INT(($A115-1)/2)+1&gt;MAX(1,INT(((((CROQUIS_DATOS!$C$1479+CROQUIS_DATOS!$C$1480))-(CROQUIS_DATOS!$C$1479))+((CROQUIS_DATOS!$C$1481)*CROQUIS_DATOS!$C$1561-(0)*CROQUIS_DATOS!$C$1561))/CROQUIS_DATOS!$C$1568-0.000001)),1,MOD($A115-1,2)),1-IF(INT(($A115-1)/2)+1&gt;MAX(1,INT(((((CROQUIS_DATOS!$C$1479+CROQUIS_DATOS!$C$1480))-(CROQUIS_DATOS!$C$1479))+((CROQUIS_DATOS!$C$1481)*CROQUIS_DATOS!$C$1561-(0)*CROQUIS_DATOS!$C$1561))/CROQUIS_DATOS!$C$1568-0.000001)),1,MOD($A115-1,2)))=1,MIN((CROQUIS_DATOS!$C$1481)*CROQUIS_DATOS!$C$1561,((CROQUIS_DATOS!$C$1479+CROQUIS_DATOS!$C$1480)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5">
        <f>IF(AND(CROQUIS_DATOS!$C$1472=1,CROQUIS_DATOS!$C$1478&gt;=1,((CROQUIS_DATOS!$C$1479+CROQUIS_DATOS!$C$1480))-(CROQUIS_DATOS!$C$1479)&gt;0.5,(CROQUIS_DATOS!$C$1481)-(0)&gt;0.5),(CROQUIS_DATOS!$C$1567+(IF(IF(MOD(MIN(INT(($A115-1)/2)+1,MAX(1,INT(((((CROQUIS_DATOS!$C$1479+CROQUIS_DATOS!$C$1480))-(CROQUIS_DATOS!$C$1479))+((CROQUIS_DATOS!$C$1481)*CROQUIS_DATOS!$C$1561-(0)*CROQUIS_DATOS!$C$1561))/CROQUIS_DATOS!$C$1568-0.000001))),2)=1,IF(INT(($A115-1)/2)+1&gt;MAX(1,INT(((((CROQUIS_DATOS!$C$1479+CROQUIS_DATOS!$C$1480))-(CROQUIS_DATOS!$C$1479))+((CROQUIS_DATOS!$C$1481)*CROQUIS_DATOS!$C$1561-(0)*CROQUIS_DATOS!$C$1561))/CROQUIS_DATOS!$C$1568-0.000001)),1,MOD($A115-1,2)),1-IF(INT(($A115-1)/2)+1&gt;MAX(1,INT(((((CROQUIS_DATOS!$C$1479+CROQUIS_DATOS!$C$1480))-(CROQUIS_DATOS!$C$1479))+((CROQUIS_DATOS!$C$1481)*CROQUIS_DATOS!$C$1561-(0)*CROQUIS_DATOS!$C$1561))/CROQUIS_DATOS!$C$1568-0.000001)),1,MOD($A115-1,2)))=1,MIN((CROQUIS_DATOS!$C$1481)*CROQUIS_DATOS!$C$1561,((CROQUIS_DATOS!$C$1479+CROQUIS_DATOS!$C$1480)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5">
        <f>IF(AND(CROQUIS_DATOS!$C$1472=1,CROQUIS_DATOS!$C$1478&gt;=1,((CROQUIS_DATOS!$C$1479+CROQUIS_DATOS!$C$1480))-(CROQUIS_DATOS!$C$1479)&gt;0.5,(CROQUIS_DATOS!$C$1476)-((CROQUIS_DATOS!$C$1481+CROQUIS_DATOS!$C$1482))&gt;0.5),(CROQUIS_DATOS!$C$1566+(IF(IF(MOD(MIN(INT(($A115-1)/2)+1,MAX(1,INT(((((CROQUIS_DATOS!$C$1479+CROQUIS_DATOS!$C$1480))-(CROQUIS_DATOS!$C$1479))+((CROQUIS_DATOS!$C$1476)*CROQUIS_DATOS!$C$1561-((CROQUIS_DATOS!$C$1481+CROQUIS_DATOS!$C$1482))*CROQUIS_DATOS!$C$1561))/CROQUIS_DATOS!$C$1568-0.000001))),2)=1,IF(INT(($A115-1)/2)+1&gt;MAX(1,INT(((((CROQUIS_DATOS!$C$1479+CROQUIS_DATOS!$C$1480))-(CROQUIS_DATOS!$C$1479))+((CROQUIS_DATOS!$C$1476)*CROQUIS_DATOS!$C$1561-((CROQUIS_DATOS!$C$1481+CROQUIS_DATOS!$C$1482))*CROQUIS_DATOS!$C$1561))/CROQUIS_DATOS!$C$1568-0.000001)),1,MOD($A115-1,2)),1-IF(INT(($A115-1)/2)+1&gt;MAX(1,INT(((((CROQUIS_DATOS!$C$1479+CROQUIS_DATOS!$C$1480))-(CROQUIS_DATOS!$C$1479))+((CROQUIS_DATOS!$C$1476)*CROQUIS_DATOS!$C$1561-((CROQUIS_DATOS!$C$1481+CROQUIS_DATOS!$C$1482))*CROQUIS_DATOS!$C$1561))/CROQUIS_DATOS!$C$1568-0.000001)),1,MOD($A115-1,2)))=1,MIN((CROQUIS_DATOS!$C$1476)*CROQUIS_DATOS!$C$1561,((CROQUIS_DATOS!$C$1479+CROQUIS_DATOS!$C$1480)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5">
        <f>IF(AND(CROQUIS_DATOS!$C$1472=1,CROQUIS_DATOS!$C$1478&gt;=1,((CROQUIS_DATOS!$C$1479+CROQUIS_DATOS!$C$1480))-(CROQUIS_DATOS!$C$1479)&gt;0.5,(CROQUIS_DATOS!$C$1476)-((CROQUIS_DATOS!$C$1481+CROQUIS_DATOS!$C$1482))&gt;0.5),(CROQUIS_DATOS!$C$1567+(IF(IF(MOD(MIN(INT(($A115-1)/2)+1,MAX(1,INT(((((CROQUIS_DATOS!$C$1479+CROQUIS_DATOS!$C$1480))-(CROQUIS_DATOS!$C$1479))+((CROQUIS_DATOS!$C$1476)*CROQUIS_DATOS!$C$1561-((CROQUIS_DATOS!$C$1481+CROQUIS_DATOS!$C$1482))*CROQUIS_DATOS!$C$1561))/CROQUIS_DATOS!$C$1568-0.000001))),2)=1,IF(INT(($A115-1)/2)+1&gt;MAX(1,INT(((((CROQUIS_DATOS!$C$1479+CROQUIS_DATOS!$C$1480))-(CROQUIS_DATOS!$C$1479))+((CROQUIS_DATOS!$C$1476)*CROQUIS_DATOS!$C$1561-((CROQUIS_DATOS!$C$1481+CROQUIS_DATOS!$C$1482))*CROQUIS_DATOS!$C$1561))/CROQUIS_DATOS!$C$1568-0.000001)),1,MOD($A115-1,2)),1-IF(INT(($A115-1)/2)+1&gt;MAX(1,INT(((((CROQUIS_DATOS!$C$1479+CROQUIS_DATOS!$C$1480))-(CROQUIS_DATOS!$C$1479))+((CROQUIS_DATOS!$C$1476)*CROQUIS_DATOS!$C$1561-((CROQUIS_DATOS!$C$1481+CROQUIS_DATOS!$C$1482))*CROQUIS_DATOS!$C$1561))/CROQUIS_DATOS!$C$1568-0.000001)),1,MOD($A115-1,2)))=1,MIN((CROQUIS_DATOS!$C$1476)*CROQUIS_DATOS!$C$1561,((CROQUIS_DATOS!$C$1479+CROQUIS_DATOS!$C$1480)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5">
        <f>IF(AND(CROQUIS_DATOS!$C$1472=1,CROQUIS_DATOS!$C$1478&gt;=2,((CROQUIS_DATOS!$C$1484+CROQUIS_DATOS!$C$1485))-(CROQUIS_DATOS!$C$1484)&gt;0.5,(CROQUIS_DATOS!$C$1486)-(0)&gt;0.5),(CROQUIS_DATOS!$C$1566+(IF(IF(MOD(MIN(INT(($A115-1)/2)+1,MAX(1,INT(((((CROQUIS_DATOS!$C$1484+CROQUIS_DATOS!$C$1485))-(CROQUIS_DATOS!$C$1484))+((CROQUIS_DATOS!$C$1486)*CROQUIS_DATOS!$C$1561-(0)*CROQUIS_DATOS!$C$1561))/CROQUIS_DATOS!$C$1568-0.000001))),2)=1,IF(INT(($A115-1)/2)+1&gt;MAX(1,INT(((((CROQUIS_DATOS!$C$1484+CROQUIS_DATOS!$C$1485))-(CROQUIS_DATOS!$C$1484))+((CROQUIS_DATOS!$C$1486)*CROQUIS_DATOS!$C$1561-(0)*CROQUIS_DATOS!$C$1561))/CROQUIS_DATOS!$C$1568-0.000001)),1,MOD($A115-1,2)),1-IF(INT(($A115-1)/2)+1&gt;MAX(1,INT(((((CROQUIS_DATOS!$C$1484+CROQUIS_DATOS!$C$1485))-(CROQUIS_DATOS!$C$1484))+((CROQUIS_DATOS!$C$1486)*CROQUIS_DATOS!$C$1561-(0)*CROQUIS_DATOS!$C$1561))/CROQUIS_DATOS!$C$1568-0.000001)),1,MOD($A115-1,2)))=1,MIN((CROQUIS_DATOS!$C$1486)*CROQUIS_DATOS!$C$1561,((CROQUIS_DATOS!$C$1484+CROQUIS_DATOS!$C$1485)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5">
        <f>IF(AND(CROQUIS_DATOS!$C$1472=1,CROQUIS_DATOS!$C$1478&gt;=2,((CROQUIS_DATOS!$C$1484+CROQUIS_DATOS!$C$1485))-(CROQUIS_DATOS!$C$1484)&gt;0.5,(CROQUIS_DATOS!$C$1486)-(0)&gt;0.5),(CROQUIS_DATOS!$C$1567+(IF(IF(MOD(MIN(INT(($A115-1)/2)+1,MAX(1,INT(((((CROQUIS_DATOS!$C$1484+CROQUIS_DATOS!$C$1485))-(CROQUIS_DATOS!$C$1484))+((CROQUIS_DATOS!$C$1486)*CROQUIS_DATOS!$C$1561-(0)*CROQUIS_DATOS!$C$1561))/CROQUIS_DATOS!$C$1568-0.000001))),2)=1,IF(INT(($A115-1)/2)+1&gt;MAX(1,INT(((((CROQUIS_DATOS!$C$1484+CROQUIS_DATOS!$C$1485))-(CROQUIS_DATOS!$C$1484))+((CROQUIS_DATOS!$C$1486)*CROQUIS_DATOS!$C$1561-(0)*CROQUIS_DATOS!$C$1561))/CROQUIS_DATOS!$C$1568-0.000001)),1,MOD($A115-1,2)),1-IF(INT(($A115-1)/2)+1&gt;MAX(1,INT(((((CROQUIS_DATOS!$C$1484+CROQUIS_DATOS!$C$1485))-(CROQUIS_DATOS!$C$1484))+((CROQUIS_DATOS!$C$1486)*CROQUIS_DATOS!$C$1561-(0)*CROQUIS_DATOS!$C$1561))/CROQUIS_DATOS!$C$1568-0.000001)),1,MOD($A115-1,2)))=1,MIN((CROQUIS_DATOS!$C$1486)*CROQUIS_DATOS!$C$1561,((CROQUIS_DATOS!$C$1484+CROQUIS_DATOS!$C$1485)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5">
        <f>IF(AND(CROQUIS_DATOS!$C$1472=1,CROQUIS_DATOS!$C$1478&gt;=2,((CROQUIS_DATOS!$C$1484+CROQUIS_DATOS!$C$1485))-(CROQUIS_DATOS!$C$1484)&gt;0.5,(CROQUIS_DATOS!$C$1476)-((CROQUIS_DATOS!$C$1486+CROQUIS_DATOS!$C$1487))&gt;0.5),(CROQUIS_DATOS!$C$1566+(IF(IF(MOD(MIN(INT(($A115-1)/2)+1,MAX(1,INT(((((CROQUIS_DATOS!$C$1484+CROQUIS_DATOS!$C$1485))-(CROQUIS_DATOS!$C$1484))+((CROQUIS_DATOS!$C$1476)*CROQUIS_DATOS!$C$1561-((CROQUIS_DATOS!$C$1486+CROQUIS_DATOS!$C$1487))*CROQUIS_DATOS!$C$1561))/CROQUIS_DATOS!$C$1568-0.000001))),2)=1,IF(INT(($A115-1)/2)+1&gt;MAX(1,INT(((((CROQUIS_DATOS!$C$1484+CROQUIS_DATOS!$C$1485))-(CROQUIS_DATOS!$C$1484))+((CROQUIS_DATOS!$C$1476)*CROQUIS_DATOS!$C$1561-((CROQUIS_DATOS!$C$1486+CROQUIS_DATOS!$C$1487))*CROQUIS_DATOS!$C$1561))/CROQUIS_DATOS!$C$1568-0.000001)),1,MOD($A115-1,2)),1-IF(INT(($A115-1)/2)+1&gt;MAX(1,INT(((((CROQUIS_DATOS!$C$1484+CROQUIS_DATOS!$C$1485))-(CROQUIS_DATOS!$C$1484))+((CROQUIS_DATOS!$C$1476)*CROQUIS_DATOS!$C$1561-((CROQUIS_DATOS!$C$1486+CROQUIS_DATOS!$C$1487))*CROQUIS_DATOS!$C$1561))/CROQUIS_DATOS!$C$1568-0.000001)),1,MOD($A115-1,2)))=1,MIN((CROQUIS_DATOS!$C$1476)*CROQUIS_DATOS!$C$1561,((CROQUIS_DATOS!$C$1484+CROQUIS_DATOS!$C$1485)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5">
        <f>IF(AND(CROQUIS_DATOS!$C$1472=1,CROQUIS_DATOS!$C$1478&gt;=2,((CROQUIS_DATOS!$C$1484+CROQUIS_DATOS!$C$1485))-(CROQUIS_DATOS!$C$1484)&gt;0.5,(CROQUIS_DATOS!$C$1476)-((CROQUIS_DATOS!$C$1486+CROQUIS_DATOS!$C$1487))&gt;0.5),(CROQUIS_DATOS!$C$1567+(IF(IF(MOD(MIN(INT(($A115-1)/2)+1,MAX(1,INT(((((CROQUIS_DATOS!$C$1484+CROQUIS_DATOS!$C$1485))-(CROQUIS_DATOS!$C$1484))+((CROQUIS_DATOS!$C$1476)*CROQUIS_DATOS!$C$1561-((CROQUIS_DATOS!$C$1486+CROQUIS_DATOS!$C$1487))*CROQUIS_DATOS!$C$1561))/CROQUIS_DATOS!$C$1568-0.000001))),2)=1,IF(INT(($A115-1)/2)+1&gt;MAX(1,INT(((((CROQUIS_DATOS!$C$1484+CROQUIS_DATOS!$C$1485))-(CROQUIS_DATOS!$C$1484))+((CROQUIS_DATOS!$C$1476)*CROQUIS_DATOS!$C$1561-((CROQUIS_DATOS!$C$1486+CROQUIS_DATOS!$C$1487))*CROQUIS_DATOS!$C$1561))/CROQUIS_DATOS!$C$1568-0.000001)),1,MOD($A115-1,2)),1-IF(INT(($A115-1)/2)+1&gt;MAX(1,INT(((((CROQUIS_DATOS!$C$1484+CROQUIS_DATOS!$C$1485))-(CROQUIS_DATOS!$C$1484))+((CROQUIS_DATOS!$C$1476)*CROQUIS_DATOS!$C$1561-((CROQUIS_DATOS!$C$1486+CROQUIS_DATOS!$C$1487))*CROQUIS_DATOS!$C$1561))/CROQUIS_DATOS!$C$1568-0.000001)),1,MOD($A115-1,2)))=1,MIN((CROQUIS_DATOS!$C$1476)*CROQUIS_DATOS!$C$1561,((CROQUIS_DATOS!$C$1484+CROQUIS_DATOS!$C$1485)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5">
        <f>IF(AND(CROQUIS_DATOS!$C$1472=1,CROQUIS_DATOS!$C$1478&gt;=3,((CROQUIS_DATOS!$C$1489+CROQUIS_DATOS!$C$1490))-(CROQUIS_DATOS!$C$1489)&gt;0.5,(CROQUIS_DATOS!$C$1491)-(0)&gt;0.5),(CROQUIS_DATOS!$C$1566+(IF(IF(MOD(MIN(INT(($A115-1)/2)+1,MAX(1,INT(((((CROQUIS_DATOS!$C$1489+CROQUIS_DATOS!$C$1490))-(CROQUIS_DATOS!$C$1489))+((CROQUIS_DATOS!$C$1491)*CROQUIS_DATOS!$C$1561-(0)*CROQUIS_DATOS!$C$1561))/CROQUIS_DATOS!$C$1568-0.000001))),2)=1,IF(INT(($A115-1)/2)+1&gt;MAX(1,INT(((((CROQUIS_DATOS!$C$1489+CROQUIS_DATOS!$C$1490))-(CROQUIS_DATOS!$C$1489))+((CROQUIS_DATOS!$C$1491)*CROQUIS_DATOS!$C$1561-(0)*CROQUIS_DATOS!$C$1561))/CROQUIS_DATOS!$C$1568-0.000001)),1,MOD($A115-1,2)),1-IF(INT(($A115-1)/2)+1&gt;MAX(1,INT(((((CROQUIS_DATOS!$C$1489+CROQUIS_DATOS!$C$1490))-(CROQUIS_DATOS!$C$1489))+((CROQUIS_DATOS!$C$1491)*CROQUIS_DATOS!$C$1561-(0)*CROQUIS_DATOS!$C$1561))/CROQUIS_DATOS!$C$1568-0.000001)),1,MOD($A115-1,2)))=1,MIN((CROQUIS_DATOS!$C$1491)*CROQUIS_DATOS!$C$1561,((CROQUIS_DATOS!$C$1489+CROQUIS_DATOS!$C$1490)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5">
        <f>IF(AND(CROQUIS_DATOS!$C$1472=1,CROQUIS_DATOS!$C$1478&gt;=3,((CROQUIS_DATOS!$C$1489+CROQUIS_DATOS!$C$1490))-(CROQUIS_DATOS!$C$1489)&gt;0.5,(CROQUIS_DATOS!$C$1491)-(0)&gt;0.5),(CROQUIS_DATOS!$C$1567+(IF(IF(MOD(MIN(INT(($A115-1)/2)+1,MAX(1,INT(((((CROQUIS_DATOS!$C$1489+CROQUIS_DATOS!$C$1490))-(CROQUIS_DATOS!$C$1489))+((CROQUIS_DATOS!$C$1491)*CROQUIS_DATOS!$C$1561-(0)*CROQUIS_DATOS!$C$1561))/CROQUIS_DATOS!$C$1568-0.000001))),2)=1,IF(INT(($A115-1)/2)+1&gt;MAX(1,INT(((((CROQUIS_DATOS!$C$1489+CROQUIS_DATOS!$C$1490))-(CROQUIS_DATOS!$C$1489))+((CROQUIS_DATOS!$C$1491)*CROQUIS_DATOS!$C$1561-(0)*CROQUIS_DATOS!$C$1561))/CROQUIS_DATOS!$C$1568-0.000001)),1,MOD($A115-1,2)),1-IF(INT(($A115-1)/2)+1&gt;MAX(1,INT(((((CROQUIS_DATOS!$C$1489+CROQUIS_DATOS!$C$1490))-(CROQUIS_DATOS!$C$1489))+((CROQUIS_DATOS!$C$1491)*CROQUIS_DATOS!$C$1561-(0)*CROQUIS_DATOS!$C$1561))/CROQUIS_DATOS!$C$1568-0.000001)),1,MOD($A115-1,2)))=1,MIN((CROQUIS_DATOS!$C$1491)*CROQUIS_DATOS!$C$1561,((CROQUIS_DATOS!$C$1489+CROQUIS_DATOS!$C$1490)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5">
        <f>IF(AND(CROQUIS_DATOS!$C$1472=1,CROQUIS_DATOS!$C$1478&gt;=3,((CROQUIS_DATOS!$C$1489+CROQUIS_DATOS!$C$1490))-(CROQUIS_DATOS!$C$1489)&gt;0.5,(CROQUIS_DATOS!$C$1476)-((CROQUIS_DATOS!$C$1491+CROQUIS_DATOS!$C$1492))&gt;0.5),(CROQUIS_DATOS!$C$1566+(IF(IF(MOD(MIN(INT(($A115-1)/2)+1,MAX(1,INT(((((CROQUIS_DATOS!$C$1489+CROQUIS_DATOS!$C$1490))-(CROQUIS_DATOS!$C$1489))+((CROQUIS_DATOS!$C$1476)*CROQUIS_DATOS!$C$1561-((CROQUIS_DATOS!$C$1491+CROQUIS_DATOS!$C$1492))*CROQUIS_DATOS!$C$1561))/CROQUIS_DATOS!$C$1568-0.000001))),2)=1,IF(INT(($A115-1)/2)+1&gt;MAX(1,INT(((((CROQUIS_DATOS!$C$1489+CROQUIS_DATOS!$C$1490))-(CROQUIS_DATOS!$C$1489))+((CROQUIS_DATOS!$C$1476)*CROQUIS_DATOS!$C$1561-((CROQUIS_DATOS!$C$1491+CROQUIS_DATOS!$C$1492))*CROQUIS_DATOS!$C$1561))/CROQUIS_DATOS!$C$1568-0.000001)),1,MOD($A115-1,2)),1-IF(INT(($A115-1)/2)+1&gt;MAX(1,INT(((((CROQUIS_DATOS!$C$1489+CROQUIS_DATOS!$C$1490))-(CROQUIS_DATOS!$C$1489))+((CROQUIS_DATOS!$C$1476)*CROQUIS_DATOS!$C$1561-((CROQUIS_DATOS!$C$1491+CROQUIS_DATOS!$C$1492))*CROQUIS_DATOS!$C$1561))/CROQUIS_DATOS!$C$1568-0.000001)),1,MOD($A115-1,2)))=1,MIN((CROQUIS_DATOS!$C$1476)*CROQUIS_DATOS!$C$1561,((CROQUIS_DATOS!$C$1489+CROQUIS_DATOS!$C$1490)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5">
        <f>IF(AND(CROQUIS_DATOS!$C$1472=1,CROQUIS_DATOS!$C$1478&gt;=3,((CROQUIS_DATOS!$C$1489+CROQUIS_DATOS!$C$1490))-(CROQUIS_DATOS!$C$1489)&gt;0.5,(CROQUIS_DATOS!$C$1476)-((CROQUIS_DATOS!$C$1491+CROQUIS_DATOS!$C$1492))&gt;0.5),(CROQUIS_DATOS!$C$1567+(IF(IF(MOD(MIN(INT(($A115-1)/2)+1,MAX(1,INT(((((CROQUIS_DATOS!$C$1489+CROQUIS_DATOS!$C$1490))-(CROQUIS_DATOS!$C$1489))+((CROQUIS_DATOS!$C$1476)*CROQUIS_DATOS!$C$1561-((CROQUIS_DATOS!$C$1491+CROQUIS_DATOS!$C$1492))*CROQUIS_DATOS!$C$1561))/CROQUIS_DATOS!$C$1568-0.000001))),2)=1,IF(INT(($A115-1)/2)+1&gt;MAX(1,INT(((((CROQUIS_DATOS!$C$1489+CROQUIS_DATOS!$C$1490))-(CROQUIS_DATOS!$C$1489))+((CROQUIS_DATOS!$C$1476)*CROQUIS_DATOS!$C$1561-((CROQUIS_DATOS!$C$1491+CROQUIS_DATOS!$C$1492))*CROQUIS_DATOS!$C$1561))/CROQUIS_DATOS!$C$1568-0.000001)),1,MOD($A115-1,2)),1-IF(INT(($A115-1)/2)+1&gt;MAX(1,INT(((((CROQUIS_DATOS!$C$1489+CROQUIS_DATOS!$C$1490))-(CROQUIS_DATOS!$C$1489))+((CROQUIS_DATOS!$C$1476)*CROQUIS_DATOS!$C$1561-((CROQUIS_DATOS!$C$1491+CROQUIS_DATOS!$C$1492))*CROQUIS_DATOS!$C$1561))/CROQUIS_DATOS!$C$1568-0.000001)),1,MOD($A115-1,2)))=1,MIN((CROQUIS_DATOS!$C$1476)*CROQUIS_DATOS!$C$1561,((CROQUIS_DATOS!$C$1489+CROQUIS_DATOS!$C$1490)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5">
        <f>IF(AND(CROQUIS_DATOS!$C$1472=1,CROQUIS_DATOS!$C$1478&gt;=4,((CROQUIS_DATOS!$C$1494+CROQUIS_DATOS!$C$1495))-(CROQUIS_DATOS!$C$1494)&gt;0.5,(CROQUIS_DATOS!$C$1496)-(0)&gt;0.5),(CROQUIS_DATOS!$C$1566+(IF(IF(MOD(MIN(INT(($A115-1)/2)+1,MAX(1,INT(((((CROQUIS_DATOS!$C$1494+CROQUIS_DATOS!$C$1495))-(CROQUIS_DATOS!$C$1494))+((CROQUIS_DATOS!$C$1496)*CROQUIS_DATOS!$C$1561-(0)*CROQUIS_DATOS!$C$1561))/CROQUIS_DATOS!$C$1568-0.000001))),2)=1,IF(INT(($A115-1)/2)+1&gt;MAX(1,INT(((((CROQUIS_DATOS!$C$1494+CROQUIS_DATOS!$C$1495))-(CROQUIS_DATOS!$C$1494))+((CROQUIS_DATOS!$C$1496)*CROQUIS_DATOS!$C$1561-(0)*CROQUIS_DATOS!$C$1561))/CROQUIS_DATOS!$C$1568-0.000001)),1,MOD($A115-1,2)),1-IF(INT(($A115-1)/2)+1&gt;MAX(1,INT(((((CROQUIS_DATOS!$C$1494+CROQUIS_DATOS!$C$1495))-(CROQUIS_DATOS!$C$1494))+((CROQUIS_DATOS!$C$1496)*CROQUIS_DATOS!$C$1561-(0)*CROQUIS_DATOS!$C$1561))/CROQUIS_DATOS!$C$1568-0.000001)),1,MOD($A115-1,2)))=1,MIN((CROQUIS_DATOS!$C$1496)*CROQUIS_DATOS!$C$1561,((CROQUIS_DATOS!$C$1494+CROQUIS_DATOS!$C$1495)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5">
        <f>IF(AND(CROQUIS_DATOS!$C$1472=1,CROQUIS_DATOS!$C$1478&gt;=4,((CROQUIS_DATOS!$C$1494+CROQUIS_DATOS!$C$1495))-(CROQUIS_DATOS!$C$1494)&gt;0.5,(CROQUIS_DATOS!$C$1496)-(0)&gt;0.5),(CROQUIS_DATOS!$C$1567+(IF(IF(MOD(MIN(INT(($A115-1)/2)+1,MAX(1,INT(((((CROQUIS_DATOS!$C$1494+CROQUIS_DATOS!$C$1495))-(CROQUIS_DATOS!$C$1494))+((CROQUIS_DATOS!$C$1496)*CROQUIS_DATOS!$C$1561-(0)*CROQUIS_DATOS!$C$1561))/CROQUIS_DATOS!$C$1568-0.000001))),2)=1,IF(INT(($A115-1)/2)+1&gt;MAX(1,INT(((((CROQUIS_DATOS!$C$1494+CROQUIS_DATOS!$C$1495))-(CROQUIS_DATOS!$C$1494))+((CROQUIS_DATOS!$C$1496)*CROQUIS_DATOS!$C$1561-(0)*CROQUIS_DATOS!$C$1561))/CROQUIS_DATOS!$C$1568-0.000001)),1,MOD($A115-1,2)),1-IF(INT(($A115-1)/2)+1&gt;MAX(1,INT(((((CROQUIS_DATOS!$C$1494+CROQUIS_DATOS!$C$1495))-(CROQUIS_DATOS!$C$1494))+((CROQUIS_DATOS!$C$1496)*CROQUIS_DATOS!$C$1561-(0)*CROQUIS_DATOS!$C$1561))/CROQUIS_DATOS!$C$1568-0.000001)),1,MOD($A115-1,2)))=1,MIN((CROQUIS_DATOS!$C$1496)*CROQUIS_DATOS!$C$1561,((CROQUIS_DATOS!$C$1494+CROQUIS_DATOS!$C$1495)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5">
        <f>IF(AND(CROQUIS_DATOS!$C$1472=1,CROQUIS_DATOS!$C$1478&gt;=4,((CROQUIS_DATOS!$C$1494+CROQUIS_DATOS!$C$1495))-(CROQUIS_DATOS!$C$1494)&gt;0.5,(CROQUIS_DATOS!$C$1476)-((CROQUIS_DATOS!$C$1496+CROQUIS_DATOS!$C$1497))&gt;0.5),(CROQUIS_DATOS!$C$1566+(IF(IF(MOD(MIN(INT(($A115-1)/2)+1,MAX(1,INT(((((CROQUIS_DATOS!$C$1494+CROQUIS_DATOS!$C$1495))-(CROQUIS_DATOS!$C$1494))+((CROQUIS_DATOS!$C$1476)*CROQUIS_DATOS!$C$1561-((CROQUIS_DATOS!$C$1496+CROQUIS_DATOS!$C$1497))*CROQUIS_DATOS!$C$1561))/CROQUIS_DATOS!$C$1568-0.000001))),2)=1,IF(INT(($A115-1)/2)+1&gt;MAX(1,INT(((((CROQUIS_DATOS!$C$1494+CROQUIS_DATOS!$C$1495))-(CROQUIS_DATOS!$C$1494))+((CROQUIS_DATOS!$C$1476)*CROQUIS_DATOS!$C$1561-((CROQUIS_DATOS!$C$1496+CROQUIS_DATOS!$C$1497))*CROQUIS_DATOS!$C$1561))/CROQUIS_DATOS!$C$1568-0.000001)),1,MOD($A115-1,2)),1-IF(INT(($A115-1)/2)+1&gt;MAX(1,INT(((((CROQUIS_DATOS!$C$1494+CROQUIS_DATOS!$C$1495))-(CROQUIS_DATOS!$C$1494))+((CROQUIS_DATOS!$C$1476)*CROQUIS_DATOS!$C$1561-((CROQUIS_DATOS!$C$1496+CROQUIS_DATOS!$C$1497))*CROQUIS_DATOS!$C$1561))/CROQUIS_DATOS!$C$1568-0.000001)),1,MOD($A115-1,2)))=1,MIN((CROQUIS_DATOS!$C$1476)*CROQUIS_DATOS!$C$1561,((CROQUIS_DATOS!$C$1494+CROQUIS_DATOS!$C$1495)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5">
        <f>IF(AND(CROQUIS_DATOS!$C$1472=1,CROQUIS_DATOS!$C$1478&gt;=4,((CROQUIS_DATOS!$C$1494+CROQUIS_DATOS!$C$1495))-(CROQUIS_DATOS!$C$1494)&gt;0.5,(CROQUIS_DATOS!$C$1476)-((CROQUIS_DATOS!$C$1496+CROQUIS_DATOS!$C$1497))&gt;0.5),(CROQUIS_DATOS!$C$1567+(IF(IF(MOD(MIN(INT(($A115-1)/2)+1,MAX(1,INT(((((CROQUIS_DATOS!$C$1494+CROQUIS_DATOS!$C$1495))-(CROQUIS_DATOS!$C$1494))+((CROQUIS_DATOS!$C$1476)*CROQUIS_DATOS!$C$1561-((CROQUIS_DATOS!$C$1496+CROQUIS_DATOS!$C$1497))*CROQUIS_DATOS!$C$1561))/CROQUIS_DATOS!$C$1568-0.000001))),2)=1,IF(INT(($A115-1)/2)+1&gt;MAX(1,INT(((((CROQUIS_DATOS!$C$1494+CROQUIS_DATOS!$C$1495))-(CROQUIS_DATOS!$C$1494))+((CROQUIS_DATOS!$C$1476)*CROQUIS_DATOS!$C$1561-((CROQUIS_DATOS!$C$1496+CROQUIS_DATOS!$C$1497))*CROQUIS_DATOS!$C$1561))/CROQUIS_DATOS!$C$1568-0.000001)),1,MOD($A115-1,2)),1-IF(INT(($A115-1)/2)+1&gt;MAX(1,INT(((((CROQUIS_DATOS!$C$1494+CROQUIS_DATOS!$C$1495))-(CROQUIS_DATOS!$C$1494))+((CROQUIS_DATOS!$C$1476)*CROQUIS_DATOS!$C$1561-((CROQUIS_DATOS!$C$1496+CROQUIS_DATOS!$C$1497))*CROQUIS_DATOS!$C$1561))/CROQUIS_DATOS!$C$1568-0.000001)),1,MOD($A115-1,2)))=1,MIN((CROQUIS_DATOS!$C$1476)*CROQUIS_DATOS!$C$1561,((CROQUIS_DATOS!$C$1494+CROQUIS_DATOS!$C$1495)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6">
      <c r="A116" t="n">
        <v>109</v>
      </c>
      <c r="N116">
        <f>IF(AND(CROQUIS_DATOS!$C$1472=1,1),(CROQUIS_DATOS!$C$1563+(IF(IF(IF(INT(($A116-1)/70)+1&gt;CROQUIS_DATOS!$C$1525,70,MOD($A116-1,70)+1)=1,0,IF(IF(INT(($A116-1)/70)+1&gt;CROQUIS_DATOS!$C$1525,70,MOD($A116-1,70)+1)&gt;2*CROQUIS_DATOS!$C$1541+1,IF(MOD(CROQUIS_DATOS!$C$1541,2)=1,1,0),IF(MOD(MIN(INT((IF(INT(($A116-1)/70)+1&gt;CROQUIS_DATOS!$C$1525,70,MOD($A116-1,70)+1)-2)/2)+1,CROQUIS_DATOS!$C$1541),2)=1,IF(MOD(IF(INT(($A116-1)/70)+1&gt;CROQUIS_DATOS!$C$1525,70,MOD($A116-1,70)+1)-2,2)=0,0,1),IF(MOD(IF(INT(($A116-1)/70)+1&gt;CROQUIS_DATOS!$C$1525,70,MOD($A116-1,70)+1)-2,2)=0,1,0))))=0,(INDEX($E$8:$E$23,MIN(INT(($A116-1)/70)+1,CROQUIS_DATOS!$C$1525))-INDEX($F$8:$F$23,MIN(INT(($A116-1)/70)+1,CROQUIS_DATOS!$C$1525))/2),(INDEX($E$8:$E$23,MIN(INT(($A116-1)/70)+1,CROQUIS_DATOS!$C$1525))+INDEX($F$8:$F$23,MIN(INT(($A116-1)/70)+1,CROQUIS_DATOS!$C$1525))/2)))*CROQUIS_DATOS!$C$1562),-1000)</f>
        <v>18.5775862068965</v>
      </c>
      <c r="O116">
        <f>IF(AND(CROQUIS_DATOS!$C$1472=1,1),(CROQUIS_DATOS!$C$1564+(IF(OR(IF(INT(($A116-1)/70)+1&gt;CROQUIS_DATOS!$C$1525,70,MOD($A116-1,70)+1)=1,IF(INT(($A116-1)/70)+1&gt;CROQUIS_DATOS!$C$1525,70,MOD($A116-1,70)+1)&gt;2*CROQUIS_DATOS!$C$1541+1),CROQUIS_DATOS!$C$1476,INDEX($H$8:$H$41,MIN(INT((IF(INT(($A116-1)/70)+1&gt;CROQUIS_DATOS!$C$1525,70,MOD($A116-1,70)+1)-2)/2)+1,CROQUIS_DATOS!$C$1541))))*CROQUIS_DATOS!$C$1561*CROQUIS_DATOS!$C$1562),-1000)</f>
        <v>40.2068965517241</v>
      </c>
      <c r="P116">
        <f>IF(AND(CROQUIS_DATOS!$C$1472=1,CROQUIS_DATOS!$C$1555=1),(CROQUIS_DATOS!$C$1563+(IF(IF(OR(MOD($A116-1,62)+1=1,IF(CHOOSE(MIN(MAX(MIN(INT(($A116-1)/62)+1,5),1),5),CROQUIS_DATOS!$C$1501,CROQUIS_DATOS!$C$1505,CROQUIS_DATOS!$C$1509,CROQUIS_DATOS!$C$1513,CROQUIS_DATOS!$C$1517)=1,CROQUIS_DATOS!$C$1557,0)=0),0,IF(MOD($A116-1,62)+1&gt;2*IF(CHOOSE(MIN(MAX(MIN(INT(($A116-1)/62)+1,5),1),5),CROQUIS_DATOS!$C$1501,CROQUIS_DATOS!$C$1505,CROQUIS_DATOS!$C$1509,CROQUIS_DATOS!$C$1513,CROQUIS_DATOS!$C$1517)=1,CROQUIS_DATOS!$C$1557,0)+1,IF(MOD(IF(CHOOSE(MIN(MAX(MIN(INT(($A116-1)/62)+1,5),1),5),CROQUIS_DATOS!$C$1501,CROQUIS_DATOS!$C$1505,CROQUIS_DATOS!$C$1509,CROQUIS_DATOS!$C$1513,CROQUIS_DATOS!$C$1517)=1,CROQUIS_DATOS!$C$1557,0),2)=1,1,0),IF(MOD(MIN(INT((MOD($A116-1,62)+1-2)/2)+1,MAX(IF(CHOOSE(MIN(MAX(MIN(INT(($A116-1)/62)+1,5),1),5),CROQUIS_DATOS!$C$1501,CROQUIS_DATOS!$C$1505,CROQUIS_DATOS!$C$1509,CROQUIS_DATOS!$C$1513,CROQUIS_DATOS!$C$1517)=1,CROQUIS_DATOS!$C$1557,0),1)),2)=1,IF(MOD(MOD($A116-1,62)+1-2,2)=0,0,1),IF(MOD(MOD($A116-1,62)+1-2,2)=0,1,0))))=0,(CHOOSE(MIN(MAX(MIN(INT(($A116-1)/62)+1,5),1),5),CROQUIS_DATOS!$C$1499,CROQUIS_DATOS!$C$1503,CROQUIS_DATOS!$C$1507,CROQUIS_DATOS!$C$1511,CROQUIS_DATOS!$C$1515)+IF(CHOOSE(MIN(MAX(MIN(INT(($A116-1)/62)+1,5),1),5),CROQUIS_DATOS!$C$1501,CROQUIS_DATOS!$C$1505,CROQUIS_DATOS!$C$1509,CROQUIS_DATOS!$C$1513,CROQUIS_DATOS!$C$1517)=1,CROQUIS_DATOS!$C$1526,0)),(CHOOSE(MIN(MAX(MIN(INT(($A116-1)/62)+1,5),1),5),CROQUIS_DATOS!$C$1499,CROQUIS_DATOS!$C$1503,CROQUIS_DATOS!$C$1507,CROQUIS_DATOS!$C$1511,CROQUIS_DATOS!$C$1515)+CHOOSE(MIN(MAX(MIN(INT(($A116-1)/62)+1,5),1),5),CROQUIS_DATOS!$C$1500,CROQUIS_DATOS!$C$1504,CROQUIS_DATOS!$C$1508,CROQUIS_DATOS!$C$1512,CROQUIS_DATOS!$C$1516)-IF(CHOOSE(MIN(MAX(MIN(INT(($A116-1)/62)+1,5),1),5),CROQUIS_DATOS!$C$1501,CROQUIS_DATOS!$C$1505,CROQUIS_DATOS!$C$1509,CROQUIS_DATOS!$C$1513,CROQUIS_DATOS!$C$1517)=1,CROQUIS_DATOS!$C$1526,0))))*CROQUIS_DATOS!$C$1562),-1000)</f>
        <v>-1000</v>
      </c>
      <c r="Q116">
        <f>IF(AND(CROQUIS_DATOS!$C$1472=1,CROQUIS_DATOS!$C$1555=1),(CROQUIS_DATOS!$C$1564+(IF(OR(OR(MOD($A116-1,62)+1=1,IF(CHOOSE(MIN(MAX(MIN(INT(($A116-1)/62)+1,5),1),5),CROQUIS_DATOS!$C$1501,CROQUIS_DATOS!$C$1505,CROQUIS_DATOS!$C$1509,CROQUIS_DATOS!$C$1513,CROQUIS_DATOS!$C$1517)=1,CROQUIS_DATOS!$C$1557,0)=0),MOD($A116-1,62)+1&gt;2*IF(CHOOSE(MIN(MAX(MIN(INT(($A116-1)/62)+1,5),1),5),CROQUIS_DATOS!$C$1501,CROQUIS_DATOS!$C$1505,CROQUIS_DATOS!$C$1509,CROQUIS_DATOS!$C$1513,CROQUIS_DATOS!$C$1517)=1,CROQUIS_DATOS!$C$1557,0)+1),CROQUIS_DATOS!$C$1476,MIN(INT((MOD($A116-1,62)+1-2)/2)+1,MAX(IF(CHOOSE(MIN(MAX(MIN(INT(($A116-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6">
        <f>IF(AND(CROQUIS_DATOS!$C$1472=1,1),(CROQUIS_DATOS!$C$1563+(MIN(INT(($A116-1)/2)+1,CROQUIS_DATOS!$C$1558)*CROQUIS_DATOS!$C$1559)*CROQUIS_DATOS!$C$1562),-1000)</f>
        <v>82.2281167108753</v>
      </c>
      <c r="U116">
        <f>IF(AND(CROQUIS_DATOS!$C$1472=1,1),(CROQUIS_DATOS!$C$1564+(IF(INT(($A116-1)/2)+1&gt;CROQUIS_DATOS!$C$1558,IF(MOD(CROQUIS_DATOS!$C$1558,2)=1,CROQUIS_DATOS!$C$1476+CROQUIS_DATOS!$C$1528,CROQUIS_DATOS!$C$1476),IF(IF(MOD(MIN(INT(($A116-1)/2)+1,CROQUIS_DATOS!$C$1558),2)=1,MOD($A116-1,2),1-MOD($A116-1,2))=1,CROQUIS_DATOS!$C$1476+CROQUIS_DATOS!$C$1528,CROQUIS_DATOS!$C$1476)))*CROQUIS_DATOS!$C$1561*CROQUIS_DATOS!$C$1562),-1000)</f>
        <v>43</v>
      </c>
      <c r="BZ116">
        <f>IF(AND(CROQUIS_DATOS!$C$1472=1,CROQUIS_DATOS!$C$1500&gt;0,((CROQUIS_DATOS!$C$1499+CROQUIS_DATOS!$C$1500))-(CROQUIS_DATOS!$C$1499)&gt;0.5,(CROQUIS_DATOS!$C$1476)-(0)&gt;0.5),(CROQUIS_DATOS!$C$1566+(IF(IF(MOD(MIN(INT(($A116-1)/2)+1,MAX(1,INT(((((CROQUIS_DATOS!$C$1499+CROQUIS_DATOS!$C$1500))-(CROQUIS_DATOS!$C$1499))+((CROQUIS_DATOS!$C$1476)*CROQUIS_DATOS!$C$1561-(0)*CROQUIS_DATOS!$C$1561))/CROQUIS_DATOS!$C$1568-0.000001))),2)=1,IF(INT(($A116-1)/2)+1&gt;MAX(1,INT(((((CROQUIS_DATOS!$C$1499+CROQUIS_DATOS!$C$1500))-(CROQUIS_DATOS!$C$1499))+((CROQUIS_DATOS!$C$1476)*CROQUIS_DATOS!$C$1561-(0)*CROQUIS_DATOS!$C$1561))/CROQUIS_DATOS!$C$1568-0.000001)),1,MOD($A116-1,2)),1-IF(INT(($A116-1)/2)+1&gt;MAX(1,INT(((((CROQUIS_DATOS!$C$1499+CROQUIS_DATOS!$C$1500))-(CROQUIS_DATOS!$C$1499))+((CROQUIS_DATOS!$C$1476)*CROQUIS_DATOS!$C$1561-(0)*CROQUIS_DATOS!$C$1561))/CROQUIS_DATOS!$C$1568-0.000001)),1,MOD($A116-1,2)))=1,MIN((CROQUIS_DATOS!$C$1476)*CROQUIS_DATOS!$C$1561,((CROQUIS_DATOS!$C$1499+CROQUIS_DATOS!$C$1500)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6">
        <f>IF(AND(CROQUIS_DATOS!$C$1472=1,CROQUIS_DATOS!$C$1500&gt;0,((CROQUIS_DATOS!$C$1499+CROQUIS_DATOS!$C$1500))-(CROQUIS_DATOS!$C$1499)&gt;0.5,(CROQUIS_DATOS!$C$1476)-(0)&gt;0.5),(CROQUIS_DATOS!$C$1567+(IF(IF(MOD(MIN(INT(($A116-1)/2)+1,MAX(1,INT(((((CROQUIS_DATOS!$C$1499+CROQUIS_DATOS!$C$1500))-(CROQUIS_DATOS!$C$1499))+((CROQUIS_DATOS!$C$1476)*CROQUIS_DATOS!$C$1561-(0)*CROQUIS_DATOS!$C$1561))/CROQUIS_DATOS!$C$1568-0.000001))),2)=1,IF(INT(($A116-1)/2)+1&gt;MAX(1,INT(((((CROQUIS_DATOS!$C$1499+CROQUIS_DATOS!$C$1500))-(CROQUIS_DATOS!$C$1499))+((CROQUIS_DATOS!$C$1476)*CROQUIS_DATOS!$C$1561-(0)*CROQUIS_DATOS!$C$1561))/CROQUIS_DATOS!$C$1568-0.000001)),1,MOD($A116-1,2)),1-IF(INT(($A116-1)/2)+1&gt;MAX(1,INT(((((CROQUIS_DATOS!$C$1499+CROQUIS_DATOS!$C$1500))-(CROQUIS_DATOS!$C$1499))+((CROQUIS_DATOS!$C$1476)*CROQUIS_DATOS!$C$1561-(0)*CROQUIS_DATOS!$C$1561))/CROQUIS_DATOS!$C$1568-0.000001)),1,MOD($A116-1,2)))=1,MIN((CROQUIS_DATOS!$C$1476)*CROQUIS_DATOS!$C$1561,((CROQUIS_DATOS!$C$1499+CROQUIS_DATOS!$C$1500)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6">
        <f>IF(AND(CROQUIS_DATOS!$C$1472=1,CROQUIS_DATOS!$C$1504&gt;0,((CROQUIS_DATOS!$C$1503+CROQUIS_DATOS!$C$1504))-(CROQUIS_DATOS!$C$1503)&gt;0.5,(CROQUIS_DATOS!$C$1476)-(0)&gt;0.5),(CROQUIS_DATOS!$C$1566+(IF(IF(MOD(MIN(INT(($A116-1)/2)+1,MAX(1,INT(((((CROQUIS_DATOS!$C$1503+CROQUIS_DATOS!$C$1504))-(CROQUIS_DATOS!$C$1503))+((CROQUIS_DATOS!$C$1476)*CROQUIS_DATOS!$C$1561-(0)*CROQUIS_DATOS!$C$1561))/CROQUIS_DATOS!$C$1568-0.000001))),2)=1,IF(INT(($A116-1)/2)+1&gt;MAX(1,INT(((((CROQUIS_DATOS!$C$1503+CROQUIS_DATOS!$C$1504))-(CROQUIS_DATOS!$C$1503))+((CROQUIS_DATOS!$C$1476)*CROQUIS_DATOS!$C$1561-(0)*CROQUIS_DATOS!$C$1561))/CROQUIS_DATOS!$C$1568-0.000001)),1,MOD($A116-1,2)),1-IF(INT(($A116-1)/2)+1&gt;MAX(1,INT(((((CROQUIS_DATOS!$C$1503+CROQUIS_DATOS!$C$1504))-(CROQUIS_DATOS!$C$1503))+((CROQUIS_DATOS!$C$1476)*CROQUIS_DATOS!$C$1561-(0)*CROQUIS_DATOS!$C$1561))/CROQUIS_DATOS!$C$1568-0.000001)),1,MOD($A116-1,2)))=1,MIN((CROQUIS_DATOS!$C$1476)*CROQUIS_DATOS!$C$1561,((CROQUIS_DATOS!$C$1503+CROQUIS_DATOS!$C$1504)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6">
        <f>IF(AND(CROQUIS_DATOS!$C$1472=1,CROQUIS_DATOS!$C$1504&gt;0,((CROQUIS_DATOS!$C$1503+CROQUIS_DATOS!$C$1504))-(CROQUIS_DATOS!$C$1503)&gt;0.5,(CROQUIS_DATOS!$C$1476)-(0)&gt;0.5),(CROQUIS_DATOS!$C$1567+(IF(IF(MOD(MIN(INT(($A116-1)/2)+1,MAX(1,INT(((((CROQUIS_DATOS!$C$1503+CROQUIS_DATOS!$C$1504))-(CROQUIS_DATOS!$C$1503))+((CROQUIS_DATOS!$C$1476)*CROQUIS_DATOS!$C$1561-(0)*CROQUIS_DATOS!$C$1561))/CROQUIS_DATOS!$C$1568-0.000001))),2)=1,IF(INT(($A116-1)/2)+1&gt;MAX(1,INT(((((CROQUIS_DATOS!$C$1503+CROQUIS_DATOS!$C$1504))-(CROQUIS_DATOS!$C$1503))+((CROQUIS_DATOS!$C$1476)*CROQUIS_DATOS!$C$1561-(0)*CROQUIS_DATOS!$C$1561))/CROQUIS_DATOS!$C$1568-0.000001)),1,MOD($A116-1,2)),1-IF(INT(($A116-1)/2)+1&gt;MAX(1,INT(((((CROQUIS_DATOS!$C$1503+CROQUIS_DATOS!$C$1504))-(CROQUIS_DATOS!$C$1503))+((CROQUIS_DATOS!$C$1476)*CROQUIS_DATOS!$C$1561-(0)*CROQUIS_DATOS!$C$1561))/CROQUIS_DATOS!$C$1568-0.000001)),1,MOD($A116-1,2)))=1,MIN((CROQUIS_DATOS!$C$1476)*CROQUIS_DATOS!$C$1561,((CROQUIS_DATOS!$C$1503+CROQUIS_DATOS!$C$1504)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6">
        <f>IF(AND(CROQUIS_DATOS!$C$1472=1,CROQUIS_DATOS!$C$1508&gt;0,((CROQUIS_DATOS!$C$1507+CROQUIS_DATOS!$C$1508))-(CROQUIS_DATOS!$C$1507)&gt;0.5,(CROQUIS_DATOS!$C$1476)-(0)&gt;0.5),(CROQUIS_DATOS!$C$1566+(IF(IF(MOD(MIN(INT(($A116-1)/2)+1,MAX(1,INT(((((CROQUIS_DATOS!$C$1507+CROQUIS_DATOS!$C$1508))-(CROQUIS_DATOS!$C$1507))+((CROQUIS_DATOS!$C$1476)*CROQUIS_DATOS!$C$1561-(0)*CROQUIS_DATOS!$C$1561))/CROQUIS_DATOS!$C$1568-0.000001))),2)=1,IF(INT(($A116-1)/2)+1&gt;MAX(1,INT(((((CROQUIS_DATOS!$C$1507+CROQUIS_DATOS!$C$1508))-(CROQUIS_DATOS!$C$1507))+((CROQUIS_DATOS!$C$1476)*CROQUIS_DATOS!$C$1561-(0)*CROQUIS_DATOS!$C$1561))/CROQUIS_DATOS!$C$1568-0.000001)),1,MOD($A116-1,2)),1-IF(INT(($A116-1)/2)+1&gt;MAX(1,INT(((((CROQUIS_DATOS!$C$1507+CROQUIS_DATOS!$C$1508))-(CROQUIS_DATOS!$C$1507))+((CROQUIS_DATOS!$C$1476)*CROQUIS_DATOS!$C$1561-(0)*CROQUIS_DATOS!$C$1561))/CROQUIS_DATOS!$C$1568-0.000001)),1,MOD($A116-1,2)))=1,MIN((CROQUIS_DATOS!$C$1476)*CROQUIS_DATOS!$C$1561,((CROQUIS_DATOS!$C$1507+CROQUIS_DATOS!$C$1508)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6">
        <f>IF(AND(CROQUIS_DATOS!$C$1472=1,CROQUIS_DATOS!$C$1508&gt;0,((CROQUIS_DATOS!$C$1507+CROQUIS_DATOS!$C$1508))-(CROQUIS_DATOS!$C$1507)&gt;0.5,(CROQUIS_DATOS!$C$1476)-(0)&gt;0.5),(CROQUIS_DATOS!$C$1567+(IF(IF(MOD(MIN(INT(($A116-1)/2)+1,MAX(1,INT(((((CROQUIS_DATOS!$C$1507+CROQUIS_DATOS!$C$1508))-(CROQUIS_DATOS!$C$1507))+((CROQUIS_DATOS!$C$1476)*CROQUIS_DATOS!$C$1561-(0)*CROQUIS_DATOS!$C$1561))/CROQUIS_DATOS!$C$1568-0.000001))),2)=1,IF(INT(($A116-1)/2)+1&gt;MAX(1,INT(((((CROQUIS_DATOS!$C$1507+CROQUIS_DATOS!$C$1508))-(CROQUIS_DATOS!$C$1507))+((CROQUIS_DATOS!$C$1476)*CROQUIS_DATOS!$C$1561-(0)*CROQUIS_DATOS!$C$1561))/CROQUIS_DATOS!$C$1568-0.000001)),1,MOD($A116-1,2)),1-IF(INT(($A116-1)/2)+1&gt;MAX(1,INT(((((CROQUIS_DATOS!$C$1507+CROQUIS_DATOS!$C$1508))-(CROQUIS_DATOS!$C$1507))+((CROQUIS_DATOS!$C$1476)*CROQUIS_DATOS!$C$1561-(0)*CROQUIS_DATOS!$C$1561))/CROQUIS_DATOS!$C$1568-0.000001)),1,MOD($A116-1,2)))=1,MIN((CROQUIS_DATOS!$C$1476)*CROQUIS_DATOS!$C$1561,((CROQUIS_DATOS!$C$1507+CROQUIS_DATOS!$C$1508)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6">
        <f>IF(AND(CROQUIS_DATOS!$C$1472=1,CROQUIS_DATOS!$C$1512&gt;0,((CROQUIS_DATOS!$C$1511+CROQUIS_DATOS!$C$1512))-(CROQUIS_DATOS!$C$1511)&gt;0.5,(CROQUIS_DATOS!$C$1476)-(0)&gt;0.5),(CROQUIS_DATOS!$C$1566+(IF(IF(MOD(MIN(INT(($A116-1)/2)+1,MAX(1,INT(((((CROQUIS_DATOS!$C$1511+CROQUIS_DATOS!$C$1512))-(CROQUIS_DATOS!$C$1511))+((CROQUIS_DATOS!$C$1476)*CROQUIS_DATOS!$C$1561-(0)*CROQUIS_DATOS!$C$1561))/CROQUIS_DATOS!$C$1568-0.000001))),2)=1,IF(INT(($A116-1)/2)+1&gt;MAX(1,INT(((((CROQUIS_DATOS!$C$1511+CROQUIS_DATOS!$C$1512))-(CROQUIS_DATOS!$C$1511))+((CROQUIS_DATOS!$C$1476)*CROQUIS_DATOS!$C$1561-(0)*CROQUIS_DATOS!$C$1561))/CROQUIS_DATOS!$C$1568-0.000001)),1,MOD($A116-1,2)),1-IF(INT(($A116-1)/2)+1&gt;MAX(1,INT(((((CROQUIS_DATOS!$C$1511+CROQUIS_DATOS!$C$1512))-(CROQUIS_DATOS!$C$1511))+((CROQUIS_DATOS!$C$1476)*CROQUIS_DATOS!$C$1561-(0)*CROQUIS_DATOS!$C$1561))/CROQUIS_DATOS!$C$1568-0.000001)),1,MOD($A116-1,2)))=1,MIN((CROQUIS_DATOS!$C$1476)*CROQUIS_DATOS!$C$1561,((CROQUIS_DATOS!$C$1511+CROQUIS_DATOS!$C$1512)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6">
        <f>IF(AND(CROQUIS_DATOS!$C$1472=1,CROQUIS_DATOS!$C$1512&gt;0,((CROQUIS_DATOS!$C$1511+CROQUIS_DATOS!$C$1512))-(CROQUIS_DATOS!$C$1511)&gt;0.5,(CROQUIS_DATOS!$C$1476)-(0)&gt;0.5),(CROQUIS_DATOS!$C$1567+(IF(IF(MOD(MIN(INT(($A116-1)/2)+1,MAX(1,INT(((((CROQUIS_DATOS!$C$1511+CROQUIS_DATOS!$C$1512))-(CROQUIS_DATOS!$C$1511))+((CROQUIS_DATOS!$C$1476)*CROQUIS_DATOS!$C$1561-(0)*CROQUIS_DATOS!$C$1561))/CROQUIS_DATOS!$C$1568-0.000001))),2)=1,IF(INT(($A116-1)/2)+1&gt;MAX(1,INT(((((CROQUIS_DATOS!$C$1511+CROQUIS_DATOS!$C$1512))-(CROQUIS_DATOS!$C$1511))+((CROQUIS_DATOS!$C$1476)*CROQUIS_DATOS!$C$1561-(0)*CROQUIS_DATOS!$C$1561))/CROQUIS_DATOS!$C$1568-0.000001)),1,MOD($A116-1,2)),1-IF(INT(($A116-1)/2)+1&gt;MAX(1,INT(((((CROQUIS_DATOS!$C$1511+CROQUIS_DATOS!$C$1512))-(CROQUIS_DATOS!$C$1511))+((CROQUIS_DATOS!$C$1476)*CROQUIS_DATOS!$C$1561-(0)*CROQUIS_DATOS!$C$1561))/CROQUIS_DATOS!$C$1568-0.000001)),1,MOD($A116-1,2)))=1,MIN((CROQUIS_DATOS!$C$1476)*CROQUIS_DATOS!$C$1561,((CROQUIS_DATOS!$C$1511+CROQUIS_DATOS!$C$1512)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6">
        <f>IF(AND(CROQUIS_DATOS!$C$1472=1,CROQUIS_DATOS!$C$1516&gt;0,((CROQUIS_DATOS!$C$1515+CROQUIS_DATOS!$C$1516))-(CROQUIS_DATOS!$C$1515)&gt;0.5,(CROQUIS_DATOS!$C$1476)-(0)&gt;0.5),(CROQUIS_DATOS!$C$1566+(IF(IF(MOD(MIN(INT(($A116-1)/2)+1,MAX(1,INT(((((CROQUIS_DATOS!$C$1515+CROQUIS_DATOS!$C$1516))-(CROQUIS_DATOS!$C$1515))+((CROQUIS_DATOS!$C$1476)*CROQUIS_DATOS!$C$1561-(0)*CROQUIS_DATOS!$C$1561))/CROQUIS_DATOS!$C$1568-0.000001))),2)=1,IF(INT(($A116-1)/2)+1&gt;MAX(1,INT(((((CROQUIS_DATOS!$C$1515+CROQUIS_DATOS!$C$1516))-(CROQUIS_DATOS!$C$1515))+((CROQUIS_DATOS!$C$1476)*CROQUIS_DATOS!$C$1561-(0)*CROQUIS_DATOS!$C$1561))/CROQUIS_DATOS!$C$1568-0.000001)),1,MOD($A116-1,2)),1-IF(INT(($A116-1)/2)+1&gt;MAX(1,INT(((((CROQUIS_DATOS!$C$1515+CROQUIS_DATOS!$C$1516))-(CROQUIS_DATOS!$C$1515))+((CROQUIS_DATOS!$C$1476)*CROQUIS_DATOS!$C$1561-(0)*CROQUIS_DATOS!$C$1561))/CROQUIS_DATOS!$C$1568-0.000001)),1,MOD($A116-1,2)))=1,MIN((CROQUIS_DATOS!$C$1476)*CROQUIS_DATOS!$C$1561,((CROQUIS_DATOS!$C$1515+CROQUIS_DATOS!$C$1516)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6">
        <f>IF(AND(CROQUIS_DATOS!$C$1472=1,CROQUIS_DATOS!$C$1516&gt;0,((CROQUIS_DATOS!$C$1515+CROQUIS_DATOS!$C$1516))-(CROQUIS_DATOS!$C$1515)&gt;0.5,(CROQUIS_DATOS!$C$1476)-(0)&gt;0.5),(CROQUIS_DATOS!$C$1567+(IF(IF(MOD(MIN(INT(($A116-1)/2)+1,MAX(1,INT(((((CROQUIS_DATOS!$C$1515+CROQUIS_DATOS!$C$1516))-(CROQUIS_DATOS!$C$1515))+((CROQUIS_DATOS!$C$1476)*CROQUIS_DATOS!$C$1561-(0)*CROQUIS_DATOS!$C$1561))/CROQUIS_DATOS!$C$1568-0.000001))),2)=1,IF(INT(($A116-1)/2)+1&gt;MAX(1,INT(((((CROQUIS_DATOS!$C$1515+CROQUIS_DATOS!$C$1516))-(CROQUIS_DATOS!$C$1515))+((CROQUIS_DATOS!$C$1476)*CROQUIS_DATOS!$C$1561-(0)*CROQUIS_DATOS!$C$1561))/CROQUIS_DATOS!$C$1568-0.000001)),1,MOD($A116-1,2)),1-IF(INT(($A116-1)/2)+1&gt;MAX(1,INT(((((CROQUIS_DATOS!$C$1515+CROQUIS_DATOS!$C$1516))-(CROQUIS_DATOS!$C$1515))+((CROQUIS_DATOS!$C$1476)*CROQUIS_DATOS!$C$1561-(0)*CROQUIS_DATOS!$C$1561))/CROQUIS_DATOS!$C$1568-0.000001)),1,MOD($A116-1,2)))=1,MIN((CROQUIS_DATOS!$C$1476)*CROQUIS_DATOS!$C$1561,((CROQUIS_DATOS!$C$1515+CROQUIS_DATOS!$C$1516)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6">
        <f>IF(AND(CROQUIS_DATOS!$C$1472=1,CROQUIS_DATOS!$C$1478&gt;=1,((CROQUIS_DATOS!$C$1479+CROQUIS_DATOS!$C$1480))-(CROQUIS_DATOS!$C$1479)&gt;0.5,(CROQUIS_DATOS!$C$1481)-(0)&gt;0.5),(CROQUIS_DATOS!$C$1566+(IF(IF(MOD(MIN(INT(($A116-1)/2)+1,MAX(1,INT(((((CROQUIS_DATOS!$C$1479+CROQUIS_DATOS!$C$1480))-(CROQUIS_DATOS!$C$1479))+((CROQUIS_DATOS!$C$1481)*CROQUIS_DATOS!$C$1561-(0)*CROQUIS_DATOS!$C$1561))/CROQUIS_DATOS!$C$1568-0.000001))),2)=1,IF(INT(($A116-1)/2)+1&gt;MAX(1,INT(((((CROQUIS_DATOS!$C$1479+CROQUIS_DATOS!$C$1480))-(CROQUIS_DATOS!$C$1479))+((CROQUIS_DATOS!$C$1481)*CROQUIS_DATOS!$C$1561-(0)*CROQUIS_DATOS!$C$1561))/CROQUIS_DATOS!$C$1568-0.000001)),1,MOD($A116-1,2)),1-IF(INT(($A116-1)/2)+1&gt;MAX(1,INT(((((CROQUIS_DATOS!$C$1479+CROQUIS_DATOS!$C$1480))-(CROQUIS_DATOS!$C$1479))+((CROQUIS_DATOS!$C$1481)*CROQUIS_DATOS!$C$1561-(0)*CROQUIS_DATOS!$C$1561))/CROQUIS_DATOS!$C$1568-0.000001)),1,MOD($A116-1,2)))=1,MIN((CROQUIS_DATOS!$C$1481)*CROQUIS_DATOS!$C$1561,((CROQUIS_DATOS!$C$1479+CROQUIS_DATOS!$C$1480)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6">
        <f>IF(AND(CROQUIS_DATOS!$C$1472=1,CROQUIS_DATOS!$C$1478&gt;=1,((CROQUIS_DATOS!$C$1479+CROQUIS_DATOS!$C$1480))-(CROQUIS_DATOS!$C$1479)&gt;0.5,(CROQUIS_DATOS!$C$1481)-(0)&gt;0.5),(CROQUIS_DATOS!$C$1567+(IF(IF(MOD(MIN(INT(($A116-1)/2)+1,MAX(1,INT(((((CROQUIS_DATOS!$C$1479+CROQUIS_DATOS!$C$1480))-(CROQUIS_DATOS!$C$1479))+((CROQUIS_DATOS!$C$1481)*CROQUIS_DATOS!$C$1561-(0)*CROQUIS_DATOS!$C$1561))/CROQUIS_DATOS!$C$1568-0.000001))),2)=1,IF(INT(($A116-1)/2)+1&gt;MAX(1,INT(((((CROQUIS_DATOS!$C$1479+CROQUIS_DATOS!$C$1480))-(CROQUIS_DATOS!$C$1479))+((CROQUIS_DATOS!$C$1481)*CROQUIS_DATOS!$C$1561-(0)*CROQUIS_DATOS!$C$1561))/CROQUIS_DATOS!$C$1568-0.000001)),1,MOD($A116-1,2)),1-IF(INT(($A116-1)/2)+1&gt;MAX(1,INT(((((CROQUIS_DATOS!$C$1479+CROQUIS_DATOS!$C$1480))-(CROQUIS_DATOS!$C$1479))+((CROQUIS_DATOS!$C$1481)*CROQUIS_DATOS!$C$1561-(0)*CROQUIS_DATOS!$C$1561))/CROQUIS_DATOS!$C$1568-0.000001)),1,MOD($A116-1,2)))=1,MIN((CROQUIS_DATOS!$C$1481)*CROQUIS_DATOS!$C$1561,((CROQUIS_DATOS!$C$1479+CROQUIS_DATOS!$C$1480)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6">
        <f>IF(AND(CROQUIS_DATOS!$C$1472=1,CROQUIS_DATOS!$C$1478&gt;=1,((CROQUIS_DATOS!$C$1479+CROQUIS_DATOS!$C$1480))-(CROQUIS_DATOS!$C$1479)&gt;0.5,(CROQUIS_DATOS!$C$1476)-((CROQUIS_DATOS!$C$1481+CROQUIS_DATOS!$C$1482))&gt;0.5),(CROQUIS_DATOS!$C$1566+(IF(IF(MOD(MIN(INT(($A116-1)/2)+1,MAX(1,INT(((((CROQUIS_DATOS!$C$1479+CROQUIS_DATOS!$C$1480))-(CROQUIS_DATOS!$C$1479))+((CROQUIS_DATOS!$C$1476)*CROQUIS_DATOS!$C$1561-((CROQUIS_DATOS!$C$1481+CROQUIS_DATOS!$C$1482))*CROQUIS_DATOS!$C$1561))/CROQUIS_DATOS!$C$1568-0.000001))),2)=1,IF(INT(($A116-1)/2)+1&gt;MAX(1,INT(((((CROQUIS_DATOS!$C$1479+CROQUIS_DATOS!$C$1480))-(CROQUIS_DATOS!$C$1479))+((CROQUIS_DATOS!$C$1476)*CROQUIS_DATOS!$C$1561-((CROQUIS_DATOS!$C$1481+CROQUIS_DATOS!$C$1482))*CROQUIS_DATOS!$C$1561))/CROQUIS_DATOS!$C$1568-0.000001)),1,MOD($A116-1,2)),1-IF(INT(($A116-1)/2)+1&gt;MAX(1,INT(((((CROQUIS_DATOS!$C$1479+CROQUIS_DATOS!$C$1480))-(CROQUIS_DATOS!$C$1479))+((CROQUIS_DATOS!$C$1476)*CROQUIS_DATOS!$C$1561-((CROQUIS_DATOS!$C$1481+CROQUIS_DATOS!$C$1482))*CROQUIS_DATOS!$C$1561))/CROQUIS_DATOS!$C$1568-0.000001)),1,MOD($A116-1,2)))=1,MIN((CROQUIS_DATOS!$C$1476)*CROQUIS_DATOS!$C$1561,((CROQUIS_DATOS!$C$1479+CROQUIS_DATOS!$C$1480)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6">
        <f>IF(AND(CROQUIS_DATOS!$C$1472=1,CROQUIS_DATOS!$C$1478&gt;=1,((CROQUIS_DATOS!$C$1479+CROQUIS_DATOS!$C$1480))-(CROQUIS_DATOS!$C$1479)&gt;0.5,(CROQUIS_DATOS!$C$1476)-((CROQUIS_DATOS!$C$1481+CROQUIS_DATOS!$C$1482))&gt;0.5),(CROQUIS_DATOS!$C$1567+(IF(IF(MOD(MIN(INT(($A116-1)/2)+1,MAX(1,INT(((((CROQUIS_DATOS!$C$1479+CROQUIS_DATOS!$C$1480))-(CROQUIS_DATOS!$C$1479))+((CROQUIS_DATOS!$C$1476)*CROQUIS_DATOS!$C$1561-((CROQUIS_DATOS!$C$1481+CROQUIS_DATOS!$C$1482))*CROQUIS_DATOS!$C$1561))/CROQUIS_DATOS!$C$1568-0.000001))),2)=1,IF(INT(($A116-1)/2)+1&gt;MAX(1,INT(((((CROQUIS_DATOS!$C$1479+CROQUIS_DATOS!$C$1480))-(CROQUIS_DATOS!$C$1479))+((CROQUIS_DATOS!$C$1476)*CROQUIS_DATOS!$C$1561-((CROQUIS_DATOS!$C$1481+CROQUIS_DATOS!$C$1482))*CROQUIS_DATOS!$C$1561))/CROQUIS_DATOS!$C$1568-0.000001)),1,MOD($A116-1,2)),1-IF(INT(($A116-1)/2)+1&gt;MAX(1,INT(((((CROQUIS_DATOS!$C$1479+CROQUIS_DATOS!$C$1480))-(CROQUIS_DATOS!$C$1479))+((CROQUIS_DATOS!$C$1476)*CROQUIS_DATOS!$C$1561-((CROQUIS_DATOS!$C$1481+CROQUIS_DATOS!$C$1482))*CROQUIS_DATOS!$C$1561))/CROQUIS_DATOS!$C$1568-0.000001)),1,MOD($A116-1,2)))=1,MIN((CROQUIS_DATOS!$C$1476)*CROQUIS_DATOS!$C$1561,((CROQUIS_DATOS!$C$1479+CROQUIS_DATOS!$C$1480)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6">
        <f>IF(AND(CROQUIS_DATOS!$C$1472=1,CROQUIS_DATOS!$C$1478&gt;=2,((CROQUIS_DATOS!$C$1484+CROQUIS_DATOS!$C$1485))-(CROQUIS_DATOS!$C$1484)&gt;0.5,(CROQUIS_DATOS!$C$1486)-(0)&gt;0.5),(CROQUIS_DATOS!$C$1566+(IF(IF(MOD(MIN(INT(($A116-1)/2)+1,MAX(1,INT(((((CROQUIS_DATOS!$C$1484+CROQUIS_DATOS!$C$1485))-(CROQUIS_DATOS!$C$1484))+((CROQUIS_DATOS!$C$1486)*CROQUIS_DATOS!$C$1561-(0)*CROQUIS_DATOS!$C$1561))/CROQUIS_DATOS!$C$1568-0.000001))),2)=1,IF(INT(($A116-1)/2)+1&gt;MAX(1,INT(((((CROQUIS_DATOS!$C$1484+CROQUIS_DATOS!$C$1485))-(CROQUIS_DATOS!$C$1484))+((CROQUIS_DATOS!$C$1486)*CROQUIS_DATOS!$C$1561-(0)*CROQUIS_DATOS!$C$1561))/CROQUIS_DATOS!$C$1568-0.000001)),1,MOD($A116-1,2)),1-IF(INT(($A116-1)/2)+1&gt;MAX(1,INT(((((CROQUIS_DATOS!$C$1484+CROQUIS_DATOS!$C$1485))-(CROQUIS_DATOS!$C$1484))+((CROQUIS_DATOS!$C$1486)*CROQUIS_DATOS!$C$1561-(0)*CROQUIS_DATOS!$C$1561))/CROQUIS_DATOS!$C$1568-0.000001)),1,MOD($A116-1,2)))=1,MIN((CROQUIS_DATOS!$C$1486)*CROQUIS_DATOS!$C$1561,((CROQUIS_DATOS!$C$1484+CROQUIS_DATOS!$C$1485)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6">
        <f>IF(AND(CROQUIS_DATOS!$C$1472=1,CROQUIS_DATOS!$C$1478&gt;=2,((CROQUIS_DATOS!$C$1484+CROQUIS_DATOS!$C$1485))-(CROQUIS_DATOS!$C$1484)&gt;0.5,(CROQUIS_DATOS!$C$1486)-(0)&gt;0.5),(CROQUIS_DATOS!$C$1567+(IF(IF(MOD(MIN(INT(($A116-1)/2)+1,MAX(1,INT(((((CROQUIS_DATOS!$C$1484+CROQUIS_DATOS!$C$1485))-(CROQUIS_DATOS!$C$1484))+((CROQUIS_DATOS!$C$1486)*CROQUIS_DATOS!$C$1561-(0)*CROQUIS_DATOS!$C$1561))/CROQUIS_DATOS!$C$1568-0.000001))),2)=1,IF(INT(($A116-1)/2)+1&gt;MAX(1,INT(((((CROQUIS_DATOS!$C$1484+CROQUIS_DATOS!$C$1485))-(CROQUIS_DATOS!$C$1484))+((CROQUIS_DATOS!$C$1486)*CROQUIS_DATOS!$C$1561-(0)*CROQUIS_DATOS!$C$1561))/CROQUIS_DATOS!$C$1568-0.000001)),1,MOD($A116-1,2)),1-IF(INT(($A116-1)/2)+1&gt;MAX(1,INT(((((CROQUIS_DATOS!$C$1484+CROQUIS_DATOS!$C$1485))-(CROQUIS_DATOS!$C$1484))+((CROQUIS_DATOS!$C$1486)*CROQUIS_DATOS!$C$1561-(0)*CROQUIS_DATOS!$C$1561))/CROQUIS_DATOS!$C$1568-0.000001)),1,MOD($A116-1,2)))=1,MIN((CROQUIS_DATOS!$C$1486)*CROQUIS_DATOS!$C$1561,((CROQUIS_DATOS!$C$1484+CROQUIS_DATOS!$C$1485)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6">
        <f>IF(AND(CROQUIS_DATOS!$C$1472=1,CROQUIS_DATOS!$C$1478&gt;=2,((CROQUIS_DATOS!$C$1484+CROQUIS_DATOS!$C$1485))-(CROQUIS_DATOS!$C$1484)&gt;0.5,(CROQUIS_DATOS!$C$1476)-((CROQUIS_DATOS!$C$1486+CROQUIS_DATOS!$C$1487))&gt;0.5),(CROQUIS_DATOS!$C$1566+(IF(IF(MOD(MIN(INT(($A116-1)/2)+1,MAX(1,INT(((((CROQUIS_DATOS!$C$1484+CROQUIS_DATOS!$C$1485))-(CROQUIS_DATOS!$C$1484))+((CROQUIS_DATOS!$C$1476)*CROQUIS_DATOS!$C$1561-((CROQUIS_DATOS!$C$1486+CROQUIS_DATOS!$C$1487))*CROQUIS_DATOS!$C$1561))/CROQUIS_DATOS!$C$1568-0.000001))),2)=1,IF(INT(($A116-1)/2)+1&gt;MAX(1,INT(((((CROQUIS_DATOS!$C$1484+CROQUIS_DATOS!$C$1485))-(CROQUIS_DATOS!$C$1484))+((CROQUIS_DATOS!$C$1476)*CROQUIS_DATOS!$C$1561-((CROQUIS_DATOS!$C$1486+CROQUIS_DATOS!$C$1487))*CROQUIS_DATOS!$C$1561))/CROQUIS_DATOS!$C$1568-0.000001)),1,MOD($A116-1,2)),1-IF(INT(($A116-1)/2)+1&gt;MAX(1,INT(((((CROQUIS_DATOS!$C$1484+CROQUIS_DATOS!$C$1485))-(CROQUIS_DATOS!$C$1484))+((CROQUIS_DATOS!$C$1476)*CROQUIS_DATOS!$C$1561-((CROQUIS_DATOS!$C$1486+CROQUIS_DATOS!$C$1487))*CROQUIS_DATOS!$C$1561))/CROQUIS_DATOS!$C$1568-0.000001)),1,MOD($A116-1,2)))=1,MIN((CROQUIS_DATOS!$C$1476)*CROQUIS_DATOS!$C$1561,((CROQUIS_DATOS!$C$1484+CROQUIS_DATOS!$C$1485)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6">
        <f>IF(AND(CROQUIS_DATOS!$C$1472=1,CROQUIS_DATOS!$C$1478&gt;=2,((CROQUIS_DATOS!$C$1484+CROQUIS_DATOS!$C$1485))-(CROQUIS_DATOS!$C$1484)&gt;0.5,(CROQUIS_DATOS!$C$1476)-((CROQUIS_DATOS!$C$1486+CROQUIS_DATOS!$C$1487))&gt;0.5),(CROQUIS_DATOS!$C$1567+(IF(IF(MOD(MIN(INT(($A116-1)/2)+1,MAX(1,INT(((((CROQUIS_DATOS!$C$1484+CROQUIS_DATOS!$C$1485))-(CROQUIS_DATOS!$C$1484))+((CROQUIS_DATOS!$C$1476)*CROQUIS_DATOS!$C$1561-((CROQUIS_DATOS!$C$1486+CROQUIS_DATOS!$C$1487))*CROQUIS_DATOS!$C$1561))/CROQUIS_DATOS!$C$1568-0.000001))),2)=1,IF(INT(($A116-1)/2)+1&gt;MAX(1,INT(((((CROQUIS_DATOS!$C$1484+CROQUIS_DATOS!$C$1485))-(CROQUIS_DATOS!$C$1484))+((CROQUIS_DATOS!$C$1476)*CROQUIS_DATOS!$C$1561-((CROQUIS_DATOS!$C$1486+CROQUIS_DATOS!$C$1487))*CROQUIS_DATOS!$C$1561))/CROQUIS_DATOS!$C$1568-0.000001)),1,MOD($A116-1,2)),1-IF(INT(($A116-1)/2)+1&gt;MAX(1,INT(((((CROQUIS_DATOS!$C$1484+CROQUIS_DATOS!$C$1485))-(CROQUIS_DATOS!$C$1484))+((CROQUIS_DATOS!$C$1476)*CROQUIS_DATOS!$C$1561-((CROQUIS_DATOS!$C$1486+CROQUIS_DATOS!$C$1487))*CROQUIS_DATOS!$C$1561))/CROQUIS_DATOS!$C$1568-0.000001)),1,MOD($A116-1,2)))=1,MIN((CROQUIS_DATOS!$C$1476)*CROQUIS_DATOS!$C$1561,((CROQUIS_DATOS!$C$1484+CROQUIS_DATOS!$C$1485)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6">
        <f>IF(AND(CROQUIS_DATOS!$C$1472=1,CROQUIS_DATOS!$C$1478&gt;=3,((CROQUIS_DATOS!$C$1489+CROQUIS_DATOS!$C$1490))-(CROQUIS_DATOS!$C$1489)&gt;0.5,(CROQUIS_DATOS!$C$1491)-(0)&gt;0.5),(CROQUIS_DATOS!$C$1566+(IF(IF(MOD(MIN(INT(($A116-1)/2)+1,MAX(1,INT(((((CROQUIS_DATOS!$C$1489+CROQUIS_DATOS!$C$1490))-(CROQUIS_DATOS!$C$1489))+((CROQUIS_DATOS!$C$1491)*CROQUIS_DATOS!$C$1561-(0)*CROQUIS_DATOS!$C$1561))/CROQUIS_DATOS!$C$1568-0.000001))),2)=1,IF(INT(($A116-1)/2)+1&gt;MAX(1,INT(((((CROQUIS_DATOS!$C$1489+CROQUIS_DATOS!$C$1490))-(CROQUIS_DATOS!$C$1489))+((CROQUIS_DATOS!$C$1491)*CROQUIS_DATOS!$C$1561-(0)*CROQUIS_DATOS!$C$1561))/CROQUIS_DATOS!$C$1568-0.000001)),1,MOD($A116-1,2)),1-IF(INT(($A116-1)/2)+1&gt;MAX(1,INT(((((CROQUIS_DATOS!$C$1489+CROQUIS_DATOS!$C$1490))-(CROQUIS_DATOS!$C$1489))+((CROQUIS_DATOS!$C$1491)*CROQUIS_DATOS!$C$1561-(0)*CROQUIS_DATOS!$C$1561))/CROQUIS_DATOS!$C$1568-0.000001)),1,MOD($A116-1,2)))=1,MIN((CROQUIS_DATOS!$C$1491)*CROQUIS_DATOS!$C$1561,((CROQUIS_DATOS!$C$1489+CROQUIS_DATOS!$C$1490)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6">
        <f>IF(AND(CROQUIS_DATOS!$C$1472=1,CROQUIS_DATOS!$C$1478&gt;=3,((CROQUIS_DATOS!$C$1489+CROQUIS_DATOS!$C$1490))-(CROQUIS_DATOS!$C$1489)&gt;0.5,(CROQUIS_DATOS!$C$1491)-(0)&gt;0.5),(CROQUIS_DATOS!$C$1567+(IF(IF(MOD(MIN(INT(($A116-1)/2)+1,MAX(1,INT(((((CROQUIS_DATOS!$C$1489+CROQUIS_DATOS!$C$1490))-(CROQUIS_DATOS!$C$1489))+((CROQUIS_DATOS!$C$1491)*CROQUIS_DATOS!$C$1561-(0)*CROQUIS_DATOS!$C$1561))/CROQUIS_DATOS!$C$1568-0.000001))),2)=1,IF(INT(($A116-1)/2)+1&gt;MAX(1,INT(((((CROQUIS_DATOS!$C$1489+CROQUIS_DATOS!$C$1490))-(CROQUIS_DATOS!$C$1489))+((CROQUIS_DATOS!$C$1491)*CROQUIS_DATOS!$C$1561-(0)*CROQUIS_DATOS!$C$1561))/CROQUIS_DATOS!$C$1568-0.000001)),1,MOD($A116-1,2)),1-IF(INT(($A116-1)/2)+1&gt;MAX(1,INT(((((CROQUIS_DATOS!$C$1489+CROQUIS_DATOS!$C$1490))-(CROQUIS_DATOS!$C$1489))+((CROQUIS_DATOS!$C$1491)*CROQUIS_DATOS!$C$1561-(0)*CROQUIS_DATOS!$C$1561))/CROQUIS_DATOS!$C$1568-0.000001)),1,MOD($A116-1,2)))=1,MIN((CROQUIS_DATOS!$C$1491)*CROQUIS_DATOS!$C$1561,((CROQUIS_DATOS!$C$1489+CROQUIS_DATOS!$C$1490)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6">
        <f>IF(AND(CROQUIS_DATOS!$C$1472=1,CROQUIS_DATOS!$C$1478&gt;=3,((CROQUIS_DATOS!$C$1489+CROQUIS_DATOS!$C$1490))-(CROQUIS_DATOS!$C$1489)&gt;0.5,(CROQUIS_DATOS!$C$1476)-((CROQUIS_DATOS!$C$1491+CROQUIS_DATOS!$C$1492))&gt;0.5),(CROQUIS_DATOS!$C$1566+(IF(IF(MOD(MIN(INT(($A116-1)/2)+1,MAX(1,INT(((((CROQUIS_DATOS!$C$1489+CROQUIS_DATOS!$C$1490))-(CROQUIS_DATOS!$C$1489))+((CROQUIS_DATOS!$C$1476)*CROQUIS_DATOS!$C$1561-((CROQUIS_DATOS!$C$1491+CROQUIS_DATOS!$C$1492))*CROQUIS_DATOS!$C$1561))/CROQUIS_DATOS!$C$1568-0.000001))),2)=1,IF(INT(($A116-1)/2)+1&gt;MAX(1,INT(((((CROQUIS_DATOS!$C$1489+CROQUIS_DATOS!$C$1490))-(CROQUIS_DATOS!$C$1489))+((CROQUIS_DATOS!$C$1476)*CROQUIS_DATOS!$C$1561-((CROQUIS_DATOS!$C$1491+CROQUIS_DATOS!$C$1492))*CROQUIS_DATOS!$C$1561))/CROQUIS_DATOS!$C$1568-0.000001)),1,MOD($A116-1,2)),1-IF(INT(($A116-1)/2)+1&gt;MAX(1,INT(((((CROQUIS_DATOS!$C$1489+CROQUIS_DATOS!$C$1490))-(CROQUIS_DATOS!$C$1489))+((CROQUIS_DATOS!$C$1476)*CROQUIS_DATOS!$C$1561-((CROQUIS_DATOS!$C$1491+CROQUIS_DATOS!$C$1492))*CROQUIS_DATOS!$C$1561))/CROQUIS_DATOS!$C$1568-0.000001)),1,MOD($A116-1,2)))=1,MIN((CROQUIS_DATOS!$C$1476)*CROQUIS_DATOS!$C$1561,((CROQUIS_DATOS!$C$1489+CROQUIS_DATOS!$C$1490)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6">
        <f>IF(AND(CROQUIS_DATOS!$C$1472=1,CROQUIS_DATOS!$C$1478&gt;=3,((CROQUIS_DATOS!$C$1489+CROQUIS_DATOS!$C$1490))-(CROQUIS_DATOS!$C$1489)&gt;0.5,(CROQUIS_DATOS!$C$1476)-((CROQUIS_DATOS!$C$1491+CROQUIS_DATOS!$C$1492))&gt;0.5),(CROQUIS_DATOS!$C$1567+(IF(IF(MOD(MIN(INT(($A116-1)/2)+1,MAX(1,INT(((((CROQUIS_DATOS!$C$1489+CROQUIS_DATOS!$C$1490))-(CROQUIS_DATOS!$C$1489))+((CROQUIS_DATOS!$C$1476)*CROQUIS_DATOS!$C$1561-((CROQUIS_DATOS!$C$1491+CROQUIS_DATOS!$C$1492))*CROQUIS_DATOS!$C$1561))/CROQUIS_DATOS!$C$1568-0.000001))),2)=1,IF(INT(($A116-1)/2)+1&gt;MAX(1,INT(((((CROQUIS_DATOS!$C$1489+CROQUIS_DATOS!$C$1490))-(CROQUIS_DATOS!$C$1489))+((CROQUIS_DATOS!$C$1476)*CROQUIS_DATOS!$C$1561-((CROQUIS_DATOS!$C$1491+CROQUIS_DATOS!$C$1492))*CROQUIS_DATOS!$C$1561))/CROQUIS_DATOS!$C$1568-0.000001)),1,MOD($A116-1,2)),1-IF(INT(($A116-1)/2)+1&gt;MAX(1,INT(((((CROQUIS_DATOS!$C$1489+CROQUIS_DATOS!$C$1490))-(CROQUIS_DATOS!$C$1489))+((CROQUIS_DATOS!$C$1476)*CROQUIS_DATOS!$C$1561-((CROQUIS_DATOS!$C$1491+CROQUIS_DATOS!$C$1492))*CROQUIS_DATOS!$C$1561))/CROQUIS_DATOS!$C$1568-0.000001)),1,MOD($A116-1,2)))=1,MIN((CROQUIS_DATOS!$C$1476)*CROQUIS_DATOS!$C$1561,((CROQUIS_DATOS!$C$1489+CROQUIS_DATOS!$C$1490)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6">
        <f>IF(AND(CROQUIS_DATOS!$C$1472=1,CROQUIS_DATOS!$C$1478&gt;=4,((CROQUIS_DATOS!$C$1494+CROQUIS_DATOS!$C$1495))-(CROQUIS_DATOS!$C$1494)&gt;0.5,(CROQUIS_DATOS!$C$1496)-(0)&gt;0.5),(CROQUIS_DATOS!$C$1566+(IF(IF(MOD(MIN(INT(($A116-1)/2)+1,MAX(1,INT(((((CROQUIS_DATOS!$C$1494+CROQUIS_DATOS!$C$1495))-(CROQUIS_DATOS!$C$1494))+((CROQUIS_DATOS!$C$1496)*CROQUIS_DATOS!$C$1561-(0)*CROQUIS_DATOS!$C$1561))/CROQUIS_DATOS!$C$1568-0.000001))),2)=1,IF(INT(($A116-1)/2)+1&gt;MAX(1,INT(((((CROQUIS_DATOS!$C$1494+CROQUIS_DATOS!$C$1495))-(CROQUIS_DATOS!$C$1494))+((CROQUIS_DATOS!$C$1496)*CROQUIS_DATOS!$C$1561-(0)*CROQUIS_DATOS!$C$1561))/CROQUIS_DATOS!$C$1568-0.000001)),1,MOD($A116-1,2)),1-IF(INT(($A116-1)/2)+1&gt;MAX(1,INT(((((CROQUIS_DATOS!$C$1494+CROQUIS_DATOS!$C$1495))-(CROQUIS_DATOS!$C$1494))+((CROQUIS_DATOS!$C$1496)*CROQUIS_DATOS!$C$1561-(0)*CROQUIS_DATOS!$C$1561))/CROQUIS_DATOS!$C$1568-0.000001)),1,MOD($A116-1,2)))=1,MIN((CROQUIS_DATOS!$C$1496)*CROQUIS_DATOS!$C$1561,((CROQUIS_DATOS!$C$1494+CROQUIS_DATOS!$C$1495)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6">
        <f>IF(AND(CROQUIS_DATOS!$C$1472=1,CROQUIS_DATOS!$C$1478&gt;=4,((CROQUIS_DATOS!$C$1494+CROQUIS_DATOS!$C$1495))-(CROQUIS_DATOS!$C$1494)&gt;0.5,(CROQUIS_DATOS!$C$1496)-(0)&gt;0.5),(CROQUIS_DATOS!$C$1567+(IF(IF(MOD(MIN(INT(($A116-1)/2)+1,MAX(1,INT(((((CROQUIS_DATOS!$C$1494+CROQUIS_DATOS!$C$1495))-(CROQUIS_DATOS!$C$1494))+((CROQUIS_DATOS!$C$1496)*CROQUIS_DATOS!$C$1561-(0)*CROQUIS_DATOS!$C$1561))/CROQUIS_DATOS!$C$1568-0.000001))),2)=1,IF(INT(($A116-1)/2)+1&gt;MAX(1,INT(((((CROQUIS_DATOS!$C$1494+CROQUIS_DATOS!$C$1495))-(CROQUIS_DATOS!$C$1494))+((CROQUIS_DATOS!$C$1496)*CROQUIS_DATOS!$C$1561-(0)*CROQUIS_DATOS!$C$1561))/CROQUIS_DATOS!$C$1568-0.000001)),1,MOD($A116-1,2)),1-IF(INT(($A116-1)/2)+1&gt;MAX(1,INT(((((CROQUIS_DATOS!$C$1494+CROQUIS_DATOS!$C$1495))-(CROQUIS_DATOS!$C$1494))+((CROQUIS_DATOS!$C$1496)*CROQUIS_DATOS!$C$1561-(0)*CROQUIS_DATOS!$C$1561))/CROQUIS_DATOS!$C$1568-0.000001)),1,MOD($A116-1,2)))=1,MIN((CROQUIS_DATOS!$C$1496)*CROQUIS_DATOS!$C$1561,((CROQUIS_DATOS!$C$1494+CROQUIS_DATOS!$C$1495)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6">
        <f>IF(AND(CROQUIS_DATOS!$C$1472=1,CROQUIS_DATOS!$C$1478&gt;=4,((CROQUIS_DATOS!$C$1494+CROQUIS_DATOS!$C$1495))-(CROQUIS_DATOS!$C$1494)&gt;0.5,(CROQUIS_DATOS!$C$1476)-((CROQUIS_DATOS!$C$1496+CROQUIS_DATOS!$C$1497))&gt;0.5),(CROQUIS_DATOS!$C$1566+(IF(IF(MOD(MIN(INT(($A116-1)/2)+1,MAX(1,INT(((((CROQUIS_DATOS!$C$1494+CROQUIS_DATOS!$C$1495))-(CROQUIS_DATOS!$C$1494))+((CROQUIS_DATOS!$C$1476)*CROQUIS_DATOS!$C$1561-((CROQUIS_DATOS!$C$1496+CROQUIS_DATOS!$C$1497))*CROQUIS_DATOS!$C$1561))/CROQUIS_DATOS!$C$1568-0.000001))),2)=1,IF(INT(($A116-1)/2)+1&gt;MAX(1,INT(((((CROQUIS_DATOS!$C$1494+CROQUIS_DATOS!$C$1495))-(CROQUIS_DATOS!$C$1494))+((CROQUIS_DATOS!$C$1476)*CROQUIS_DATOS!$C$1561-((CROQUIS_DATOS!$C$1496+CROQUIS_DATOS!$C$1497))*CROQUIS_DATOS!$C$1561))/CROQUIS_DATOS!$C$1568-0.000001)),1,MOD($A116-1,2)),1-IF(INT(($A116-1)/2)+1&gt;MAX(1,INT(((((CROQUIS_DATOS!$C$1494+CROQUIS_DATOS!$C$1495))-(CROQUIS_DATOS!$C$1494))+((CROQUIS_DATOS!$C$1476)*CROQUIS_DATOS!$C$1561-((CROQUIS_DATOS!$C$1496+CROQUIS_DATOS!$C$1497))*CROQUIS_DATOS!$C$1561))/CROQUIS_DATOS!$C$1568-0.000001)),1,MOD($A116-1,2)))=1,MIN((CROQUIS_DATOS!$C$1476)*CROQUIS_DATOS!$C$1561,((CROQUIS_DATOS!$C$1494+CROQUIS_DATOS!$C$1495)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6">
        <f>IF(AND(CROQUIS_DATOS!$C$1472=1,CROQUIS_DATOS!$C$1478&gt;=4,((CROQUIS_DATOS!$C$1494+CROQUIS_DATOS!$C$1495))-(CROQUIS_DATOS!$C$1494)&gt;0.5,(CROQUIS_DATOS!$C$1476)-((CROQUIS_DATOS!$C$1496+CROQUIS_DATOS!$C$1497))&gt;0.5),(CROQUIS_DATOS!$C$1567+(IF(IF(MOD(MIN(INT(($A116-1)/2)+1,MAX(1,INT(((((CROQUIS_DATOS!$C$1494+CROQUIS_DATOS!$C$1495))-(CROQUIS_DATOS!$C$1494))+((CROQUIS_DATOS!$C$1476)*CROQUIS_DATOS!$C$1561-((CROQUIS_DATOS!$C$1496+CROQUIS_DATOS!$C$1497))*CROQUIS_DATOS!$C$1561))/CROQUIS_DATOS!$C$1568-0.000001))),2)=1,IF(INT(($A116-1)/2)+1&gt;MAX(1,INT(((((CROQUIS_DATOS!$C$1494+CROQUIS_DATOS!$C$1495))-(CROQUIS_DATOS!$C$1494))+((CROQUIS_DATOS!$C$1476)*CROQUIS_DATOS!$C$1561-((CROQUIS_DATOS!$C$1496+CROQUIS_DATOS!$C$1497))*CROQUIS_DATOS!$C$1561))/CROQUIS_DATOS!$C$1568-0.000001)),1,MOD($A116-1,2)),1-IF(INT(($A116-1)/2)+1&gt;MAX(1,INT(((((CROQUIS_DATOS!$C$1494+CROQUIS_DATOS!$C$1495))-(CROQUIS_DATOS!$C$1494))+((CROQUIS_DATOS!$C$1476)*CROQUIS_DATOS!$C$1561-((CROQUIS_DATOS!$C$1496+CROQUIS_DATOS!$C$1497))*CROQUIS_DATOS!$C$1561))/CROQUIS_DATOS!$C$1568-0.000001)),1,MOD($A116-1,2)))=1,MIN((CROQUIS_DATOS!$C$1476)*CROQUIS_DATOS!$C$1561,((CROQUIS_DATOS!$C$1494+CROQUIS_DATOS!$C$1495)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7">
      <c r="A117" t="n">
        <v>110</v>
      </c>
      <c r="N117">
        <f>IF(AND(CROQUIS_DATOS!$C$1472=1,1),(CROQUIS_DATOS!$C$1563+(IF(IF(IF(INT(($A117-1)/70)+1&gt;CROQUIS_DATOS!$C$1525,70,MOD($A117-1,70)+1)=1,0,IF(IF(INT(($A117-1)/70)+1&gt;CROQUIS_DATOS!$C$1525,70,MOD($A117-1,70)+1)&gt;2*CROQUIS_DATOS!$C$1541+1,IF(MOD(CROQUIS_DATOS!$C$1541,2)=1,1,0),IF(MOD(MIN(INT((IF(INT(($A117-1)/70)+1&gt;CROQUIS_DATOS!$C$1525,70,MOD($A117-1,70)+1)-2)/2)+1,CROQUIS_DATOS!$C$1541),2)=1,IF(MOD(IF(INT(($A117-1)/70)+1&gt;CROQUIS_DATOS!$C$1525,70,MOD($A117-1,70)+1)-2,2)=0,0,1),IF(MOD(IF(INT(($A117-1)/70)+1&gt;CROQUIS_DATOS!$C$1525,70,MOD($A117-1,70)+1)-2,2)=0,1,0))))=0,(INDEX($E$8:$E$23,MIN(INT(($A117-1)/70)+1,CROQUIS_DATOS!$C$1525))-INDEX($F$8:$F$23,MIN(INT(($A117-1)/70)+1,CROQUIS_DATOS!$C$1525))/2),(INDEX($E$8:$E$23,MIN(INT(($A117-1)/70)+1,CROQUIS_DATOS!$C$1525))+INDEX($F$8:$F$23,MIN(INT(($A117-1)/70)+1,CROQUIS_DATOS!$C$1525))/2)))*CROQUIS_DATOS!$C$1562),-1000)</f>
        <v>18.5775862068965</v>
      </c>
      <c r="O117">
        <f>IF(AND(CROQUIS_DATOS!$C$1472=1,1),(CROQUIS_DATOS!$C$1564+(IF(OR(IF(INT(($A117-1)/70)+1&gt;CROQUIS_DATOS!$C$1525,70,MOD($A117-1,70)+1)=1,IF(INT(($A117-1)/70)+1&gt;CROQUIS_DATOS!$C$1525,70,MOD($A117-1,70)+1)&gt;2*CROQUIS_DATOS!$C$1541+1),CROQUIS_DATOS!$C$1476,INDEX($H$8:$H$41,MIN(INT((IF(INT(($A117-1)/70)+1&gt;CROQUIS_DATOS!$C$1525,70,MOD($A117-1,70)+1)-2)/2)+1,CROQUIS_DATOS!$C$1541))))*CROQUIS_DATOS!$C$1561*CROQUIS_DATOS!$C$1562),-1000)</f>
        <v>40.2068965517241</v>
      </c>
      <c r="P117">
        <f>IF(AND(CROQUIS_DATOS!$C$1472=1,CROQUIS_DATOS!$C$1555=1),(CROQUIS_DATOS!$C$1563+(IF(IF(OR(MOD($A117-1,62)+1=1,IF(CHOOSE(MIN(MAX(MIN(INT(($A117-1)/62)+1,5),1),5),CROQUIS_DATOS!$C$1501,CROQUIS_DATOS!$C$1505,CROQUIS_DATOS!$C$1509,CROQUIS_DATOS!$C$1513,CROQUIS_DATOS!$C$1517)=1,CROQUIS_DATOS!$C$1557,0)=0),0,IF(MOD($A117-1,62)+1&gt;2*IF(CHOOSE(MIN(MAX(MIN(INT(($A117-1)/62)+1,5),1),5),CROQUIS_DATOS!$C$1501,CROQUIS_DATOS!$C$1505,CROQUIS_DATOS!$C$1509,CROQUIS_DATOS!$C$1513,CROQUIS_DATOS!$C$1517)=1,CROQUIS_DATOS!$C$1557,0)+1,IF(MOD(IF(CHOOSE(MIN(MAX(MIN(INT(($A117-1)/62)+1,5),1),5),CROQUIS_DATOS!$C$1501,CROQUIS_DATOS!$C$1505,CROQUIS_DATOS!$C$1509,CROQUIS_DATOS!$C$1513,CROQUIS_DATOS!$C$1517)=1,CROQUIS_DATOS!$C$1557,0),2)=1,1,0),IF(MOD(MIN(INT((MOD($A117-1,62)+1-2)/2)+1,MAX(IF(CHOOSE(MIN(MAX(MIN(INT(($A117-1)/62)+1,5),1),5),CROQUIS_DATOS!$C$1501,CROQUIS_DATOS!$C$1505,CROQUIS_DATOS!$C$1509,CROQUIS_DATOS!$C$1513,CROQUIS_DATOS!$C$1517)=1,CROQUIS_DATOS!$C$1557,0),1)),2)=1,IF(MOD(MOD($A117-1,62)+1-2,2)=0,0,1),IF(MOD(MOD($A117-1,62)+1-2,2)=0,1,0))))=0,(CHOOSE(MIN(MAX(MIN(INT(($A117-1)/62)+1,5),1),5),CROQUIS_DATOS!$C$1499,CROQUIS_DATOS!$C$1503,CROQUIS_DATOS!$C$1507,CROQUIS_DATOS!$C$1511,CROQUIS_DATOS!$C$1515)+IF(CHOOSE(MIN(MAX(MIN(INT(($A117-1)/62)+1,5),1),5),CROQUIS_DATOS!$C$1501,CROQUIS_DATOS!$C$1505,CROQUIS_DATOS!$C$1509,CROQUIS_DATOS!$C$1513,CROQUIS_DATOS!$C$1517)=1,CROQUIS_DATOS!$C$1526,0)),(CHOOSE(MIN(MAX(MIN(INT(($A117-1)/62)+1,5),1),5),CROQUIS_DATOS!$C$1499,CROQUIS_DATOS!$C$1503,CROQUIS_DATOS!$C$1507,CROQUIS_DATOS!$C$1511,CROQUIS_DATOS!$C$1515)+CHOOSE(MIN(MAX(MIN(INT(($A117-1)/62)+1,5),1),5),CROQUIS_DATOS!$C$1500,CROQUIS_DATOS!$C$1504,CROQUIS_DATOS!$C$1508,CROQUIS_DATOS!$C$1512,CROQUIS_DATOS!$C$1516)-IF(CHOOSE(MIN(MAX(MIN(INT(($A117-1)/62)+1,5),1),5),CROQUIS_DATOS!$C$1501,CROQUIS_DATOS!$C$1505,CROQUIS_DATOS!$C$1509,CROQUIS_DATOS!$C$1513,CROQUIS_DATOS!$C$1517)=1,CROQUIS_DATOS!$C$1526,0))))*CROQUIS_DATOS!$C$1562),-1000)</f>
        <v>-1000</v>
      </c>
      <c r="Q117">
        <f>IF(AND(CROQUIS_DATOS!$C$1472=1,CROQUIS_DATOS!$C$1555=1),(CROQUIS_DATOS!$C$1564+(IF(OR(OR(MOD($A117-1,62)+1=1,IF(CHOOSE(MIN(MAX(MIN(INT(($A117-1)/62)+1,5),1),5),CROQUIS_DATOS!$C$1501,CROQUIS_DATOS!$C$1505,CROQUIS_DATOS!$C$1509,CROQUIS_DATOS!$C$1513,CROQUIS_DATOS!$C$1517)=1,CROQUIS_DATOS!$C$1557,0)=0),MOD($A117-1,62)+1&gt;2*IF(CHOOSE(MIN(MAX(MIN(INT(($A117-1)/62)+1,5),1),5),CROQUIS_DATOS!$C$1501,CROQUIS_DATOS!$C$1505,CROQUIS_DATOS!$C$1509,CROQUIS_DATOS!$C$1513,CROQUIS_DATOS!$C$1517)=1,CROQUIS_DATOS!$C$1557,0)+1),CROQUIS_DATOS!$C$1476,MIN(INT((MOD($A117-1,62)+1-2)/2)+1,MAX(IF(CHOOSE(MIN(MAX(MIN(INT(($A117-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7">
        <f>IF(AND(CROQUIS_DATOS!$C$1472=1,1),(CROQUIS_DATOS!$C$1563+(MIN(INT(($A117-1)/2)+1,CROQUIS_DATOS!$C$1558)*CROQUIS_DATOS!$C$1559)*CROQUIS_DATOS!$C$1562),-1000)</f>
        <v>82.2281167108753</v>
      </c>
      <c r="U117">
        <f>IF(AND(CROQUIS_DATOS!$C$1472=1,1),(CROQUIS_DATOS!$C$1564+(IF(INT(($A117-1)/2)+1&gt;CROQUIS_DATOS!$C$1558,IF(MOD(CROQUIS_DATOS!$C$1558,2)=1,CROQUIS_DATOS!$C$1476+CROQUIS_DATOS!$C$1528,CROQUIS_DATOS!$C$1476),IF(IF(MOD(MIN(INT(($A117-1)/2)+1,CROQUIS_DATOS!$C$1558),2)=1,MOD($A117-1,2),1-MOD($A117-1,2))=1,CROQUIS_DATOS!$C$1476+CROQUIS_DATOS!$C$1528,CROQUIS_DATOS!$C$1476)))*CROQUIS_DATOS!$C$1561*CROQUIS_DATOS!$C$1562),-1000)</f>
        <v>43</v>
      </c>
      <c r="BZ117">
        <f>IF(AND(CROQUIS_DATOS!$C$1472=1,CROQUIS_DATOS!$C$1500&gt;0,((CROQUIS_DATOS!$C$1499+CROQUIS_DATOS!$C$1500))-(CROQUIS_DATOS!$C$1499)&gt;0.5,(CROQUIS_DATOS!$C$1476)-(0)&gt;0.5),(CROQUIS_DATOS!$C$1566+(IF(IF(MOD(MIN(INT(($A117-1)/2)+1,MAX(1,INT(((((CROQUIS_DATOS!$C$1499+CROQUIS_DATOS!$C$1500))-(CROQUIS_DATOS!$C$1499))+((CROQUIS_DATOS!$C$1476)*CROQUIS_DATOS!$C$1561-(0)*CROQUIS_DATOS!$C$1561))/CROQUIS_DATOS!$C$1568-0.000001))),2)=1,IF(INT(($A117-1)/2)+1&gt;MAX(1,INT(((((CROQUIS_DATOS!$C$1499+CROQUIS_DATOS!$C$1500))-(CROQUIS_DATOS!$C$1499))+((CROQUIS_DATOS!$C$1476)*CROQUIS_DATOS!$C$1561-(0)*CROQUIS_DATOS!$C$1561))/CROQUIS_DATOS!$C$1568-0.000001)),1,MOD($A117-1,2)),1-IF(INT(($A117-1)/2)+1&gt;MAX(1,INT(((((CROQUIS_DATOS!$C$1499+CROQUIS_DATOS!$C$1500))-(CROQUIS_DATOS!$C$1499))+((CROQUIS_DATOS!$C$1476)*CROQUIS_DATOS!$C$1561-(0)*CROQUIS_DATOS!$C$1561))/CROQUIS_DATOS!$C$1568-0.000001)),1,MOD($A117-1,2)))=1,MIN((CROQUIS_DATOS!$C$1476)*CROQUIS_DATOS!$C$1561,((CROQUIS_DATOS!$C$1499+CROQUIS_DATOS!$C$1500)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7">
        <f>IF(AND(CROQUIS_DATOS!$C$1472=1,CROQUIS_DATOS!$C$1500&gt;0,((CROQUIS_DATOS!$C$1499+CROQUIS_DATOS!$C$1500))-(CROQUIS_DATOS!$C$1499)&gt;0.5,(CROQUIS_DATOS!$C$1476)-(0)&gt;0.5),(CROQUIS_DATOS!$C$1567+(IF(IF(MOD(MIN(INT(($A117-1)/2)+1,MAX(1,INT(((((CROQUIS_DATOS!$C$1499+CROQUIS_DATOS!$C$1500))-(CROQUIS_DATOS!$C$1499))+((CROQUIS_DATOS!$C$1476)*CROQUIS_DATOS!$C$1561-(0)*CROQUIS_DATOS!$C$1561))/CROQUIS_DATOS!$C$1568-0.000001))),2)=1,IF(INT(($A117-1)/2)+1&gt;MAX(1,INT(((((CROQUIS_DATOS!$C$1499+CROQUIS_DATOS!$C$1500))-(CROQUIS_DATOS!$C$1499))+((CROQUIS_DATOS!$C$1476)*CROQUIS_DATOS!$C$1561-(0)*CROQUIS_DATOS!$C$1561))/CROQUIS_DATOS!$C$1568-0.000001)),1,MOD($A117-1,2)),1-IF(INT(($A117-1)/2)+1&gt;MAX(1,INT(((((CROQUIS_DATOS!$C$1499+CROQUIS_DATOS!$C$1500))-(CROQUIS_DATOS!$C$1499))+((CROQUIS_DATOS!$C$1476)*CROQUIS_DATOS!$C$1561-(0)*CROQUIS_DATOS!$C$1561))/CROQUIS_DATOS!$C$1568-0.000001)),1,MOD($A117-1,2)))=1,MIN((CROQUIS_DATOS!$C$1476)*CROQUIS_DATOS!$C$1561,((CROQUIS_DATOS!$C$1499+CROQUIS_DATOS!$C$1500)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7">
        <f>IF(AND(CROQUIS_DATOS!$C$1472=1,CROQUIS_DATOS!$C$1504&gt;0,((CROQUIS_DATOS!$C$1503+CROQUIS_DATOS!$C$1504))-(CROQUIS_DATOS!$C$1503)&gt;0.5,(CROQUIS_DATOS!$C$1476)-(0)&gt;0.5),(CROQUIS_DATOS!$C$1566+(IF(IF(MOD(MIN(INT(($A117-1)/2)+1,MAX(1,INT(((((CROQUIS_DATOS!$C$1503+CROQUIS_DATOS!$C$1504))-(CROQUIS_DATOS!$C$1503))+((CROQUIS_DATOS!$C$1476)*CROQUIS_DATOS!$C$1561-(0)*CROQUIS_DATOS!$C$1561))/CROQUIS_DATOS!$C$1568-0.000001))),2)=1,IF(INT(($A117-1)/2)+1&gt;MAX(1,INT(((((CROQUIS_DATOS!$C$1503+CROQUIS_DATOS!$C$1504))-(CROQUIS_DATOS!$C$1503))+((CROQUIS_DATOS!$C$1476)*CROQUIS_DATOS!$C$1561-(0)*CROQUIS_DATOS!$C$1561))/CROQUIS_DATOS!$C$1568-0.000001)),1,MOD($A117-1,2)),1-IF(INT(($A117-1)/2)+1&gt;MAX(1,INT(((((CROQUIS_DATOS!$C$1503+CROQUIS_DATOS!$C$1504))-(CROQUIS_DATOS!$C$1503))+((CROQUIS_DATOS!$C$1476)*CROQUIS_DATOS!$C$1561-(0)*CROQUIS_DATOS!$C$1561))/CROQUIS_DATOS!$C$1568-0.000001)),1,MOD($A117-1,2)))=1,MIN((CROQUIS_DATOS!$C$1476)*CROQUIS_DATOS!$C$1561,((CROQUIS_DATOS!$C$1503+CROQUIS_DATOS!$C$1504)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7">
        <f>IF(AND(CROQUIS_DATOS!$C$1472=1,CROQUIS_DATOS!$C$1504&gt;0,((CROQUIS_DATOS!$C$1503+CROQUIS_DATOS!$C$1504))-(CROQUIS_DATOS!$C$1503)&gt;0.5,(CROQUIS_DATOS!$C$1476)-(0)&gt;0.5),(CROQUIS_DATOS!$C$1567+(IF(IF(MOD(MIN(INT(($A117-1)/2)+1,MAX(1,INT(((((CROQUIS_DATOS!$C$1503+CROQUIS_DATOS!$C$1504))-(CROQUIS_DATOS!$C$1503))+((CROQUIS_DATOS!$C$1476)*CROQUIS_DATOS!$C$1561-(0)*CROQUIS_DATOS!$C$1561))/CROQUIS_DATOS!$C$1568-0.000001))),2)=1,IF(INT(($A117-1)/2)+1&gt;MAX(1,INT(((((CROQUIS_DATOS!$C$1503+CROQUIS_DATOS!$C$1504))-(CROQUIS_DATOS!$C$1503))+((CROQUIS_DATOS!$C$1476)*CROQUIS_DATOS!$C$1561-(0)*CROQUIS_DATOS!$C$1561))/CROQUIS_DATOS!$C$1568-0.000001)),1,MOD($A117-1,2)),1-IF(INT(($A117-1)/2)+1&gt;MAX(1,INT(((((CROQUIS_DATOS!$C$1503+CROQUIS_DATOS!$C$1504))-(CROQUIS_DATOS!$C$1503))+((CROQUIS_DATOS!$C$1476)*CROQUIS_DATOS!$C$1561-(0)*CROQUIS_DATOS!$C$1561))/CROQUIS_DATOS!$C$1568-0.000001)),1,MOD($A117-1,2)))=1,MIN((CROQUIS_DATOS!$C$1476)*CROQUIS_DATOS!$C$1561,((CROQUIS_DATOS!$C$1503+CROQUIS_DATOS!$C$1504)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7">
        <f>IF(AND(CROQUIS_DATOS!$C$1472=1,CROQUIS_DATOS!$C$1508&gt;0,((CROQUIS_DATOS!$C$1507+CROQUIS_DATOS!$C$1508))-(CROQUIS_DATOS!$C$1507)&gt;0.5,(CROQUIS_DATOS!$C$1476)-(0)&gt;0.5),(CROQUIS_DATOS!$C$1566+(IF(IF(MOD(MIN(INT(($A117-1)/2)+1,MAX(1,INT(((((CROQUIS_DATOS!$C$1507+CROQUIS_DATOS!$C$1508))-(CROQUIS_DATOS!$C$1507))+((CROQUIS_DATOS!$C$1476)*CROQUIS_DATOS!$C$1561-(0)*CROQUIS_DATOS!$C$1561))/CROQUIS_DATOS!$C$1568-0.000001))),2)=1,IF(INT(($A117-1)/2)+1&gt;MAX(1,INT(((((CROQUIS_DATOS!$C$1507+CROQUIS_DATOS!$C$1508))-(CROQUIS_DATOS!$C$1507))+((CROQUIS_DATOS!$C$1476)*CROQUIS_DATOS!$C$1561-(0)*CROQUIS_DATOS!$C$1561))/CROQUIS_DATOS!$C$1568-0.000001)),1,MOD($A117-1,2)),1-IF(INT(($A117-1)/2)+1&gt;MAX(1,INT(((((CROQUIS_DATOS!$C$1507+CROQUIS_DATOS!$C$1508))-(CROQUIS_DATOS!$C$1507))+((CROQUIS_DATOS!$C$1476)*CROQUIS_DATOS!$C$1561-(0)*CROQUIS_DATOS!$C$1561))/CROQUIS_DATOS!$C$1568-0.000001)),1,MOD($A117-1,2)))=1,MIN((CROQUIS_DATOS!$C$1476)*CROQUIS_DATOS!$C$1561,((CROQUIS_DATOS!$C$1507+CROQUIS_DATOS!$C$1508)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7">
        <f>IF(AND(CROQUIS_DATOS!$C$1472=1,CROQUIS_DATOS!$C$1508&gt;0,((CROQUIS_DATOS!$C$1507+CROQUIS_DATOS!$C$1508))-(CROQUIS_DATOS!$C$1507)&gt;0.5,(CROQUIS_DATOS!$C$1476)-(0)&gt;0.5),(CROQUIS_DATOS!$C$1567+(IF(IF(MOD(MIN(INT(($A117-1)/2)+1,MAX(1,INT(((((CROQUIS_DATOS!$C$1507+CROQUIS_DATOS!$C$1508))-(CROQUIS_DATOS!$C$1507))+((CROQUIS_DATOS!$C$1476)*CROQUIS_DATOS!$C$1561-(0)*CROQUIS_DATOS!$C$1561))/CROQUIS_DATOS!$C$1568-0.000001))),2)=1,IF(INT(($A117-1)/2)+1&gt;MAX(1,INT(((((CROQUIS_DATOS!$C$1507+CROQUIS_DATOS!$C$1508))-(CROQUIS_DATOS!$C$1507))+((CROQUIS_DATOS!$C$1476)*CROQUIS_DATOS!$C$1561-(0)*CROQUIS_DATOS!$C$1561))/CROQUIS_DATOS!$C$1568-0.000001)),1,MOD($A117-1,2)),1-IF(INT(($A117-1)/2)+1&gt;MAX(1,INT(((((CROQUIS_DATOS!$C$1507+CROQUIS_DATOS!$C$1508))-(CROQUIS_DATOS!$C$1507))+((CROQUIS_DATOS!$C$1476)*CROQUIS_DATOS!$C$1561-(0)*CROQUIS_DATOS!$C$1561))/CROQUIS_DATOS!$C$1568-0.000001)),1,MOD($A117-1,2)))=1,MIN((CROQUIS_DATOS!$C$1476)*CROQUIS_DATOS!$C$1561,((CROQUIS_DATOS!$C$1507+CROQUIS_DATOS!$C$1508)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7">
        <f>IF(AND(CROQUIS_DATOS!$C$1472=1,CROQUIS_DATOS!$C$1512&gt;0,((CROQUIS_DATOS!$C$1511+CROQUIS_DATOS!$C$1512))-(CROQUIS_DATOS!$C$1511)&gt;0.5,(CROQUIS_DATOS!$C$1476)-(0)&gt;0.5),(CROQUIS_DATOS!$C$1566+(IF(IF(MOD(MIN(INT(($A117-1)/2)+1,MAX(1,INT(((((CROQUIS_DATOS!$C$1511+CROQUIS_DATOS!$C$1512))-(CROQUIS_DATOS!$C$1511))+((CROQUIS_DATOS!$C$1476)*CROQUIS_DATOS!$C$1561-(0)*CROQUIS_DATOS!$C$1561))/CROQUIS_DATOS!$C$1568-0.000001))),2)=1,IF(INT(($A117-1)/2)+1&gt;MAX(1,INT(((((CROQUIS_DATOS!$C$1511+CROQUIS_DATOS!$C$1512))-(CROQUIS_DATOS!$C$1511))+((CROQUIS_DATOS!$C$1476)*CROQUIS_DATOS!$C$1561-(0)*CROQUIS_DATOS!$C$1561))/CROQUIS_DATOS!$C$1568-0.000001)),1,MOD($A117-1,2)),1-IF(INT(($A117-1)/2)+1&gt;MAX(1,INT(((((CROQUIS_DATOS!$C$1511+CROQUIS_DATOS!$C$1512))-(CROQUIS_DATOS!$C$1511))+((CROQUIS_DATOS!$C$1476)*CROQUIS_DATOS!$C$1561-(0)*CROQUIS_DATOS!$C$1561))/CROQUIS_DATOS!$C$1568-0.000001)),1,MOD($A117-1,2)))=1,MIN((CROQUIS_DATOS!$C$1476)*CROQUIS_DATOS!$C$1561,((CROQUIS_DATOS!$C$1511+CROQUIS_DATOS!$C$1512)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7">
        <f>IF(AND(CROQUIS_DATOS!$C$1472=1,CROQUIS_DATOS!$C$1512&gt;0,((CROQUIS_DATOS!$C$1511+CROQUIS_DATOS!$C$1512))-(CROQUIS_DATOS!$C$1511)&gt;0.5,(CROQUIS_DATOS!$C$1476)-(0)&gt;0.5),(CROQUIS_DATOS!$C$1567+(IF(IF(MOD(MIN(INT(($A117-1)/2)+1,MAX(1,INT(((((CROQUIS_DATOS!$C$1511+CROQUIS_DATOS!$C$1512))-(CROQUIS_DATOS!$C$1511))+((CROQUIS_DATOS!$C$1476)*CROQUIS_DATOS!$C$1561-(0)*CROQUIS_DATOS!$C$1561))/CROQUIS_DATOS!$C$1568-0.000001))),2)=1,IF(INT(($A117-1)/2)+1&gt;MAX(1,INT(((((CROQUIS_DATOS!$C$1511+CROQUIS_DATOS!$C$1512))-(CROQUIS_DATOS!$C$1511))+((CROQUIS_DATOS!$C$1476)*CROQUIS_DATOS!$C$1561-(0)*CROQUIS_DATOS!$C$1561))/CROQUIS_DATOS!$C$1568-0.000001)),1,MOD($A117-1,2)),1-IF(INT(($A117-1)/2)+1&gt;MAX(1,INT(((((CROQUIS_DATOS!$C$1511+CROQUIS_DATOS!$C$1512))-(CROQUIS_DATOS!$C$1511))+((CROQUIS_DATOS!$C$1476)*CROQUIS_DATOS!$C$1561-(0)*CROQUIS_DATOS!$C$1561))/CROQUIS_DATOS!$C$1568-0.000001)),1,MOD($A117-1,2)))=1,MIN((CROQUIS_DATOS!$C$1476)*CROQUIS_DATOS!$C$1561,((CROQUIS_DATOS!$C$1511+CROQUIS_DATOS!$C$1512)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7">
        <f>IF(AND(CROQUIS_DATOS!$C$1472=1,CROQUIS_DATOS!$C$1516&gt;0,((CROQUIS_DATOS!$C$1515+CROQUIS_DATOS!$C$1516))-(CROQUIS_DATOS!$C$1515)&gt;0.5,(CROQUIS_DATOS!$C$1476)-(0)&gt;0.5),(CROQUIS_DATOS!$C$1566+(IF(IF(MOD(MIN(INT(($A117-1)/2)+1,MAX(1,INT(((((CROQUIS_DATOS!$C$1515+CROQUIS_DATOS!$C$1516))-(CROQUIS_DATOS!$C$1515))+((CROQUIS_DATOS!$C$1476)*CROQUIS_DATOS!$C$1561-(0)*CROQUIS_DATOS!$C$1561))/CROQUIS_DATOS!$C$1568-0.000001))),2)=1,IF(INT(($A117-1)/2)+1&gt;MAX(1,INT(((((CROQUIS_DATOS!$C$1515+CROQUIS_DATOS!$C$1516))-(CROQUIS_DATOS!$C$1515))+((CROQUIS_DATOS!$C$1476)*CROQUIS_DATOS!$C$1561-(0)*CROQUIS_DATOS!$C$1561))/CROQUIS_DATOS!$C$1568-0.000001)),1,MOD($A117-1,2)),1-IF(INT(($A117-1)/2)+1&gt;MAX(1,INT(((((CROQUIS_DATOS!$C$1515+CROQUIS_DATOS!$C$1516))-(CROQUIS_DATOS!$C$1515))+((CROQUIS_DATOS!$C$1476)*CROQUIS_DATOS!$C$1561-(0)*CROQUIS_DATOS!$C$1561))/CROQUIS_DATOS!$C$1568-0.000001)),1,MOD($A117-1,2)))=1,MIN((CROQUIS_DATOS!$C$1476)*CROQUIS_DATOS!$C$1561,((CROQUIS_DATOS!$C$1515+CROQUIS_DATOS!$C$1516)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7">
        <f>IF(AND(CROQUIS_DATOS!$C$1472=1,CROQUIS_DATOS!$C$1516&gt;0,((CROQUIS_DATOS!$C$1515+CROQUIS_DATOS!$C$1516))-(CROQUIS_DATOS!$C$1515)&gt;0.5,(CROQUIS_DATOS!$C$1476)-(0)&gt;0.5),(CROQUIS_DATOS!$C$1567+(IF(IF(MOD(MIN(INT(($A117-1)/2)+1,MAX(1,INT(((((CROQUIS_DATOS!$C$1515+CROQUIS_DATOS!$C$1516))-(CROQUIS_DATOS!$C$1515))+((CROQUIS_DATOS!$C$1476)*CROQUIS_DATOS!$C$1561-(0)*CROQUIS_DATOS!$C$1561))/CROQUIS_DATOS!$C$1568-0.000001))),2)=1,IF(INT(($A117-1)/2)+1&gt;MAX(1,INT(((((CROQUIS_DATOS!$C$1515+CROQUIS_DATOS!$C$1516))-(CROQUIS_DATOS!$C$1515))+((CROQUIS_DATOS!$C$1476)*CROQUIS_DATOS!$C$1561-(0)*CROQUIS_DATOS!$C$1561))/CROQUIS_DATOS!$C$1568-0.000001)),1,MOD($A117-1,2)),1-IF(INT(($A117-1)/2)+1&gt;MAX(1,INT(((((CROQUIS_DATOS!$C$1515+CROQUIS_DATOS!$C$1516))-(CROQUIS_DATOS!$C$1515))+((CROQUIS_DATOS!$C$1476)*CROQUIS_DATOS!$C$1561-(0)*CROQUIS_DATOS!$C$1561))/CROQUIS_DATOS!$C$1568-0.000001)),1,MOD($A117-1,2)))=1,MIN((CROQUIS_DATOS!$C$1476)*CROQUIS_DATOS!$C$1561,((CROQUIS_DATOS!$C$1515+CROQUIS_DATOS!$C$1516)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7">
        <f>IF(AND(CROQUIS_DATOS!$C$1472=1,CROQUIS_DATOS!$C$1478&gt;=1,((CROQUIS_DATOS!$C$1479+CROQUIS_DATOS!$C$1480))-(CROQUIS_DATOS!$C$1479)&gt;0.5,(CROQUIS_DATOS!$C$1481)-(0)&gt;0.5),(CROQUIS_DATOS!$C$1566+(IF(IF(MOD(MIN(INT(($A117-1)/2)+1,MAX(1,INT(((((CROQUIS_DATOS!$C$1479+CROQUIS_DATOS!$C$1480))-(CROQUIS_DATOS!$C$1479))+((CROQUIS_DATOS!$C$1481)*CROQUIS_DATOS!$C$1561-(0)*CROQUIS_DATOS!$C$1561))/CROQUIS_DATOS!$C$1568-0.000001))),2)=1,IF(INT(($A117-1)/2)+1&gt;MAX(1,INT(((((CROQUIS_DATOS!$C$1479+CROQUIS_DATOS!$C$1480))-(CROQUIS_DATOS!$C$1479))+((CROQUIS_DATOS!$C$1481)*CROQUIS_DATOS!$C$1561-(0)*CROQUIS_DATOS!$C$1561))/CROQUIS_DATOS!$C$1568-0.000001)),1,MOD($A117-1,2)),1-IF(INT(($A117-1)/2)+1&gt;MAX(1,INT(((((CROQUIS_DATOS!$C$1479+CROQUIS_DATOS!$C$1480))-(CROQUIS_DATOS!$C$1479))+((CROQUIS_DATOS!$C$1481)*CROQUIS_DATOS!$C$1561-(0)*CROQUIS_DATOS!$C$1561))/CROQUIS_DATOS!$C$1568-0.000001)),1,MOD($A117-1,2)))=1,MIN((CROQUIS_DATOS!$C$1481)*CROQUIS_DATOS!$C$1561,((CROQUIS_DATOS!$C$1479+CROQUIS_DATOS!$C$1480)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7">
        <f>IF(AND(CROQUIS_DATOS!$C$1472=1,CROQUIS_DATOS!$C$1478&gt;=1,((CROQUIS_DATOS!$C$1479+CROQUIS_DATOS!$C$1480))-(CROQUIS_DATOS!$C$1479)&gt;0.5,(CROQUIS_DATOS!$C$1481)-(0)&gt;0.5),(CROQUIS_DATOS!$C$1567+(IF(IF(MOD(MIN(INT(($A117-1)/2)+1,MAX(1,INT(((((CROQUIS_DATOS!$C$1479+CROQUIS_DATOS!$C$1480))-(CROQUIS_DATOS!$C$1479))+((CROQUIS_DATOS!$C$1481)*CROQUIS_DATOS!$C$1561-(0)*CROQUIS_DATOS!$C$1561))/CROQUIS_DATOS!$C$1568-0.000001))),2)=1,IF(INT(($A117-1)/2)+1&gt;MAX(1,INT(((((CROQUIS_DATOS!$C$1479+CROQUIS_DATOS!$C$1480))-(CROQUIS_DATOS!$C$1479))+((CROQUIS_DATOS!$C$1481)*CROQUIS_DATOS!$C$1561-(0)*CROQUIS_DATOS!$C$1561))/CROQUIS_DATOS!$C$1568-0.000001)),1,MOD($A117-1,2)),1-IF(INT(($A117-1)/2)+1&gt;MAX(1,INT(((((CROQUIS_DATOS!$C$1479+CROQUIS_DATOS!$C$1480))-(CROQUIS_DATOS!$C$1479))+((CROQUIS_DATOS!$C$1481)*CROQUIS_DATOS!$C$1561-(0)*CROQUIS_DATOS!$C$1561))/CROQUIS_DATOS!$C$1568-0.000001)),1,MOD($A117-1,2)))=1,MIN((CROQUIS_DATOS!$C$1481)*CROQUIS_DATOS!$C$1561,((CROQUIS_DATOS!$C$1479+CROQUIS_DATOS!$C$1480)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7">
        <f>IF(AND(CROQUIS_DATOS!$C$1472=1,CROQUIS_DATOS!$C$1478&gt;=1,((CROQUIS_DATOS!$C$1479+CROQUIS_DATOS!$C$1480))-(CROQUIS_DATOS!$C$1479)&gt;0.5,(CROQUIS_DATOS!$C$1476)-((CROQUIS_DATOS!$C$1481+CROQUIS_DATOS!$C$1482))&gt;0.5),(CROQUIS_DATOS!$C$1566+(IF(IF(MOD(MIN(INT(($A117-1)/2)+1,MAX(1,INT(((((CROQUIS_DATOS!$C$1479+CROQUIS_DATOS!$C$1480))-(CROQUIS_DATOS!$C$1479))+((CROQUIS_DATOS!$C$1476)*CROQUIS_DATOS!$C$1561-((CROQUIS_DATOS!$C$1481+CROQUIS_DATOS!$C$1482))*CROQUIS_DATOS!$C$1561))/CROQUIS_DATOS!$C$1568-0.000001))),2)=1,IF(INT(($A117-1)/2)+1&gt;MAX(1,INT(((((CROQUIS_DATOS!$C$1479+CROQUIS_DATOS!$C$1480))-(CROQUIS_DATOS!$C$1479))+((CROQUIS_DATOS!$C$1476)*CROQUIS_DATOS!$C$1561-((CROQUIS_DATOS!$C$1481+CROQUIS_DATOS!$C$1482))*CROQUIS_DATOS!$C$1561))/CROQUIS_DATOS!$C$1568-0.000001)),1,MOD($A117-1,2)),1-IF(INT(($A117-1)/2)+1&gt;MAX(1,INT(((((CROQUIS_DATOS!$C$1479+CROQUIS_DATOS!$C$1480))-(CROQUIS_DATOS!$C$1479))+((CROQUIS_DATOS!$C$1476)*CROQUIS_DATOS!$C$1561-((CROQUIS_DATOS!$C$1481+CROQUIS_DATOS!$C$1482))*CROQUIS_DATOS!$C$1561))/CROQUIS_DATOS!$C$1568-0.000001)),1,MOD($A117-1,2)))=1,MIN((CROQUIS_DATOS!$C$1476)*CROQUIS_DATOS!$C$1561,((CROQUIS_DATOS!$C$1479+CROQUIS_DATOS!$C$1480)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7">
        <f>IF(AND(CROQUIS_DATOS!$C$1472=1,CROQUIS_DATOS!$C$1478&gt;=1,((CROQUIS_DATOS!$C$1479+CROQUIS_DATOS!$C$1480))-(CROQUIS_DATOS!$C$1479)&gt;0.5,(CROQUIS_DATOS!$C$1476)-((CROQUIS_DATOS!$C$1481+CROQUIS_DATOS!$C$1482))&gt;0.5),(CROQUIS_DATOS!$C$1567+(IF(IF(MOD(MIN(INT(($A117-1)/2)+1,MAX(1,INT(((((CROQUIS_DATOS!$C$1479+CROQUIS_DATOS!$C$1480))-(CROQUIS_DATOS!$C$1479))+((CROQUIS_DATOS!$C$1476)*CROQUIS_DATOS!$C$1561-((CROQUIS_DATOS!$C$1481+CROQUIS_DATOS!$C$1482))*CROQUIS_DATOS!$C$1561))/CROQUIS_DATOS!$C$1568-0.000001))),2)=1,IF(INT(($A117-1)/2)+1&gt;MAX(1,INT(((((CROQUIS_DATOS!$C$1479+CROQUIS_DATOS!$C$1480))-(CROQUIS_DATOS!$C$1479))+((CROQUIS_DATOS!$C$1476)*CROQUIS_DATOS!$C$1561-((CROQUIS_DATOS!$C$1481+CROQUIS_DATOS!$C$1482))*CROQUIS_DATOS!$C$1561))/CROQUIS_DATOS!$C$1568-0.000001)),1,MOD($A117-1,2)),1-IF(INT(($A117-1)/2)+1&gt;MAX(1,INT(((((CROQUIS_DATOS!$C$1479+CROQUIS_DATOS!$C$1480))-(CROQUIS_DATOS!$C$1479))+((CROQUIS_DATOS!$C$1476)*CROQUIS_DATOS!$C$1561-((CROQUIS_DATOS!$C$1481+CROQUIS_DATOS!$C$1482))*CROQUIS_DATOS!$C$1561))/CROQUIS_DATOS!$C$1568-0.000001)),1,MOD($A117-1,2)))=1,MIN((CROQUIS_DATOS!$C$1476)*CROQUIS_DATOS!$C$1561,((CROQUIS_DATOS!$C$1479+CROQUIS_DATOS!$C$1480)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7">
        <f>IF(AND(CROQUIS_DATOS!$C$1472=1,CROQUIS_DATOS!$C$1478&gt;=2,((CROQUIS_DATOS!$C$1484+CROQUIS_DATOS!$C$1485))-(CROQUIS_DATOS!$C$1484)&gt;0.5,(CROQUIS_DATOS!$C$1486)-(0)&gt;0.5),(CROQUIS_DATOS!$C$1566+(IF(IF(MOD(MIN(INT(($A117-1)/2)+1,MAX(1,INT(((((CROQUIS_DATOS!$C$1484+CROQUIS_DATOS!$C$1485))-(CROQUIS_DATOS!$C$1484))+((CROQUIS_DATOS!$C$1486)*CROQUIS_DATOS!$C$1561-(0)*CROQUIS_DATOS!$C$1561))/CROQUIS_DATOS!$C$1568-0.000001))),2)=1,IF(INT(($A117-1)/2)+1&gt;MAX(1,INT(((((CROQUIS_DATOS!$C$1484+CROQUIS_DATOS!$C$1485))-(CROQUIS_DATOS!$C$1484))+((CROQUIS_DATOS!$C$1486)*CROQUIS_DATOS!$C$1561-(0)*CROQUIS_DATOS!$C$1561))/CROQUIS_DATOS!$C$1568-0.000001)),1,MOD($A117-1,2)),1-IF(INT(($A117-1)/2)+1&gt;MAX(1,INT(((((CROQUIS_DATOS!$C$1484+CROQUIS_DATOS!$C$1485))-(CROQUIS_DATOS!$C$1484))+((CROQUIS_DATOS!$C$1486)*CROQUIS_DATOS!$C$1561-(0)*CROQUIS_DATOS!$C$1561))/CROQUIS_DATOS!$C$1568-0.000001)),1,MOD($A117-1,2)))=1,MIN((CROQUIS_DATOS!$C$1486)*CROQUIS_DATOS!$C$1561,((CROQUIS_DATOS!$C$1484+CROQUIS_DATOS!$C$1485)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7">
        <f>IF(AND(CROQUIS_DATOS!$C$1472=1,CROQUIS_DATOS!$C$1478&gt;=2,((CROQUIS_DATOS!$C$1484+CROQUIS_DATOS!$C$1485))-(CROQUIS_DATOS!$C$1484)&gt;0.5,(CROQUIS_DATOS!$C$1486)-(0)&gt;0.5),(CROQUIS_DATOS!$C$1567+(IF(IF(MOD(MIN(INT(($A117-1)/2)+1,MAX(1,INT(((((CROQUIS_DATOS!$C$1484+CROQUIS_DATOS!$C$1485))-(CROQUIS_DATOS!$C$1484))+((CROQUIS_DATOS!$C$1486)*CROQUIS_DATOS!$C$1561-(0)*CROQUIS_DATOS!$C$1561))/CROQUIS_DATOS!$C$1568-0.000001))),2)=1,IF(INT(($A117-1)/2)+1&gt;MAX(1,INT(((((CROQUIS_DATOS!$C$1484+CROQUIS_DATOS!$C$1485))-(CROQUIS_DATOS!$C$1484))+((CROQUIS_DATOS!$C$1486)*CROQUIS_DATOS!$C$1561-(0)*CROQUIS_DATOS!$C$1561))/CROQUIS_DATOS!$C$1568-0.000001)),1,MOD($A117-1,2)),1-IF(INT(($A117-1)/2)+1&gt;MAX(1,INT(((((CROQUIS_DATOS!$C$1484+CROQUIS_DATOS!$C$1485))-(CROQUIS_DATOS!$C$1484))+((CROQUIS_DATOS!$C$1486)*CROQUIS_DATOS!$C$1561-(0)*CROQUIS_DATOS!$C$1561))/CROQUIS_DATOS!$C$1568-0.000001)),1,MOD($A117-1,2)))=1,MIN((CROQUIS_DATOS!$C$1486)*CROQUIS_DATOS!$C$1561,((CROQUIS_DATOS!$C$1484+CROQUIS_DATOS!$C$1485)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7">
        <f>IF(AND(CROQUIS_DATOS!$C$1472=1,CROQUIS_DATOS!$C$1478&gt;=2,((CROQUIS_DATOS!$C$1484+CROQUIS_DATOS!$C$1485))-(CROQUIS_DATOS!$C$1484)&gt;0.5,(CROQUIS_DATOS!$C$1476)-((CROQUIS_DATOS!$C$1486+CROQUIS_DATOS!$C$1487))&gt;0.5),(CROQUIS_DATOS!$C$1566+(IF(IF(MOD(MIN(INT(($A117-1)/2)+1,MAX(1,INT(((((CROQUIS_DATOS!$C$1484+CROQUIS_DATOS!$C$1485))-(CROQUIS_DATOS!$C$1484))+((CROQUIS_DATOS!$C$1476)*CROQUIS_DATOS!$C$1561-((CROQUIS_DATOS!$C$1486+CROQUIS_DATOS!$C$1487))*CROQUIS_DATOS!$C$1561))/CROQUIS_DATOS!$C$1568-0.000001))),2)=1,IF(INT(($A117-1)/2)+1&gt;MAX(1,INT(((((CROQUIS_DATOS!$C$1484+CROQUIS_DATOS!$C$1485))-(CROQUIS_DATOS!$C$1484))+((CROQUIS_DATOS!$C$1476)*CROQUIS_DATOS!$C$1561-((CROQUIS_DATOS!$C$1486+CROQUIS_DATOS!$C$1487))*CROQUIS_DATOS!$C$1561))/CROQUIS_DATOS!$C$1568-0.000001)),1,MOD($A117-1,2)),1-IF(INT(($A117-1)/2)+1&gt;MAX(1,INT(((((CROQUIS_DATOS!$C$1484+CROQUIS_DATOS!$C$1485))-(CROQUIS_DATOS!$C$1484))+((CROQUIS_DATOS!$C$1476)*CROQUIS_DATOS!$C$1561-((CROQUIS_DATOS!$C$1486+CROQUIS_DATOS!$C$1487))*CROQUIS_DATOS!$C$1561))/CROQUIS_DATOS!$C$1568-0.000001)),1,MOD($A117-1,2)))=1,MIN((CROQUIS_DATOS!$C$1476)*CROQUIS_DATOS!$C$1561,((CROQUIS_DATOS!$C$1484+CROQUIS_DATOS!$C$1485)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7">
        <f>IF(AND(CROQUIS_DATOS!$C$1472=1,CROQUIS_DATOS!$C$1478&gt;=2,((CROQUIS_DATOS!$C$1484+CROQUIS_DATOS!$C$1485))-(CROQUIS_DATOS!$C$1484)&gt;0.5,(CROQUIS_DATOS!$C$1476)-((CROQUIS_DATOS!$C$1486+CROQUIS_DATOS!$C$1487))&gt;0.5),(CROQUIS_DATOS!$C$1567+(IF(IF(MOD(MIN(INT(($A117-1)/2)+1,MAX(1,INT(((((CROQUIS_DATOS!$C$1484+CROQUIS_DATOS!$C$1485))-(CROQUIS_DATOS!$C$1484))+((CROQUIS_DATOS!$C$1476)*CROQUIS_DATOS!$C$1561-((CROQUIS_DATOS!$C$1486+CROQUIS_DATOS!$C$1487))*CROQUIS_DATOS!$C$1561))/CROQUIS_DATOS!$C$1568-0.000001))),2)=1,IF(INT(($A117-1)/2)+1&gt;MAX(1,INT(((((CROQUIS_DATOS!$C$1484+CROQUIS_DATOS!$C$1485))-(CROQUIS_DATOS!$C$1484))+((CROQUIS_DATOS!$C$1476)*CROQUIS_DATOS!$C$1561-((CROQUIS_DATOS!$C$1486+CROQUIS_DATOS!$C$1487))*CROQUIS_DATOS!$C$1561))/CROQUIS_DATOS!$C$1568-0.000001)),1,MOD($A117-1,2)),1-IF(INT(($A117-1)/2)+1&gt;MAX(1,INT(((((CROQUIS_DATOS!$C$1484+CROQUIS_DATOS!$C$1485))-(CROQUIS_DATOS!$C$1484))+((CROQUIS_DATOS!$C$1476)*CROQUIS_DATOS!$C$1561-((CROQUIS_DATOS!$C$1486+CROQUIS_DATOS!$C$1487))*CROQUIS_DATOS!$C$1561))/CROQUIS_DATOS!$C$1568-0.000001)),1,MOD($A117-1,2)))=1,MIN((CROQUIS_DATOS!$C$1476)*CROQUIS_DATOS!$C$1561,((CROQUIS_DATOS!$C$1484+CROQUIS_DATOS!$C$1485)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7">
        <f>IF(AND(CROQUIS_DATOS!$C$1472=1,CROQUIS_DATOS!$C$1478&gt;=3,((CROQUIS_DATOS!$C$1489+CROQUIS_DATOS!$C$1490))-(CROQUIS_DATOS!$C$1489)&gt;0.5,(CROQUIS_DATOS!$C$1491)-(0)&gt;0.5),(CROQUIS_DATOS!$C$1566+(IF(IF(MOD(MIN(INT(($A117-1)/2)+1,MAX(1,INT(((((CROQUIS_DATOS!$C$1489+CROQUIS_DATOS!$C$1490))-(CROQUIS_DATOS!$C$1489))+((CROQUIS_DATOS!$C$1491)*CROQUIS_DATOS!$C$1561-(0)*CROQUIS_DATOS!$C$1561))/CROQUIS_DATOS!$C$1568-0.000001))),2)=1,IF(INT(($A117-1)/2)+1&gt;MAX(1,INT(((((CROQUIS_DATOS!$C$1489+CROQUIS_DATOS!$C$1490))-(CROQUIS_DATOS!$C$1489))+((CROQUIS_DATOS!$C$1491)*CROQUIS_DATOS!$C$1561-(0)*CROQUIS_DATOS!$C$1561))/CROQUIS_DATOS!$C$1568-0.000001)),1,MOD($A117-1,2)),1-IF(INT(($A117-1)/2)+1&gt;MAX(1,INT(((((CROQUIS_DATOS!$C$1489+CROQUIS_DATOS!$C$1490))-(CROQUIS_DATOS!$C$1489))+((CROQUIS_DATOS!$C$1491)*CROQUIS_DATOS!$C$1561-(0)*CROQUIS_DATOS!$C$1561))/CROQUIS_DATOS!$C$1568-0.000001)),1,MOD($A117-1,2)))=1,MIN((CROQUIS_DATOS!$C$1491)*CROQUIS_DATOS!$C$1561,((CROQUIS_DATOS!$C$1489+CROQUIS_DATOS!$C$1490)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7">
        <f>IF(AND(CROQUIS_DATOS!$C$1472=1,CROQUIS_DATOS!$C$1478&gt;=3,((CROQUIS_DATOS!$C$1489+CROQUIS_DATOS!$C$1490))-(CROQUIS_DATOS!$C$1489)&gt;0.5,(CROQUIS_DATOS!$C$1491)-(0)&gt;0.5),(CROQUIS_DATOS!$C$1567+(IF(IF(MOD(MIN(INT(($A117-1)/2)+1,MAX(1,INT(((((CROQUIS_DATOS!$C$1489+CROQUIS_DATOS!$C$1490))-(CROQUIS_DATOS!$C$1489))+((CROQUIS_DATOS!$C$1491)*CROQUIS_DATOS!$C$1561-(0)*CROQUIS_DATOS!$C$1561))/CROQUIS_DATOS!$C$1568-0.000001))),2)=1,IF(INT(($A117-1)/2)+1&gt;MAX(1,INT(((((CROQUIS_DATOS!$C$1489+CROQUIS_DATOS!$C$1490))-(CROQUIS_DATOS!$C$1489))+((CROQUIS_DATOS!$C$1491)*CROQUIS_DATOS!$C$1561-(0)*CROQUIS_DATOS!$C$1561))/CROQUIS_DATOS!$C$1568-0.000001)),1,MOD($A117-1,2)),1-IF(INT(($A117-1)/2)+1&gt;MAX(1,INT(((((CROQUIS_DATOS!$C$1489+CROQUIS_DATOS!$C$1490))-(CROQUIS_DATOS!$C$1489))+((CROQUIS_DATOS!$C$1491)*CROQUIS_DATOS!$C$1561-(0)*CROQUIS_DATOS!$C$1561))/CROQUIS_DATOS!$C$1568-0.000001)),1,MOD($A117-1,2)))=1,MIN((CROQUIS_DATOS!$C$1491)*CROQUIS_DATOS!$C$1561,((CROQUIS_DATOS!$C$1489+CROQUIS_DATOS!$C$1490)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7">
        <f>IF(AND(CROQUIS_DATOS!$C$1472=1,CROQUIS_DATOS!$C$1478&gt;=3,((CROQUIS_DATOS!$C$1489+CROQUIS_DATOS!$C$1490))-(CROQUIS_DATOS!$C$1489)&gt;0.5,(CROQUIS_DATOS!$C$1476)-((CROQUIS_DATOS!$C$1491+CROQUIS_DATOS!$C$1492))&gt;0.5),(CROQUIS_DATOS!$C$1566+(IF(IF(MOD(MIN(INT(($A117-1)/2)+1,MAX(1,INT(((((CROQUIS_DATOS!$C$1489+CROQUIS_DATOS!$C$1490))-(CROQUIS_DATOS!$C$1489))+((CROQUIS_DATOS!$C$1476)*CROQUIS_DATOS!$C$1561-((CROQUIS_DATOS!$C$1491+CROQUIS_DATOS!$C$1492))*CROQUIS_DATOS!$C$1561))/CROQUIS_DATOS!$C$1568-0.000001))),2)=1,IF(INT(($A117-1)/2)+1&gt;MAX(1,INT(((((CROQUIS_DATOS!$C$1489+CROQUIS_DATOS!$C$1490))-(CROQUIS_DATOS!$C$1489))+((CROQUIS_DATOS!$C$1476)*CROQUIS_DATOS!$C$1561-((CROQUIS_DATOS!$C$1491+CROQUIS_DATOS!$C$1492))*CROQUIS_DATOS!$C$1561))/CROQUIS_DATOS!$C$1568-0.000001)),1,MOD($A117-1,2)),1-IF(INT(($A117-1)/2)+1&gt;MAX(1,INT(((((CROQUIS_DATOS!$C$1489+CROQUIS_DATOS!$C$1490))-(CROQUIS_DATOS!$C$1489))+((CROQUIS_DATOS!$C$1476)*CROQUIS_DATOS!$C$1561-((CROQUIS_DATOS!$C$1491+CROQUIS_DATOS!$C$1492))*CROQUIS_DATOS!$C$1561))/CROQUIS_DATOS!$C$1568-0.000001)),1,MOD($A117-1,2)))=1,MIN((CROQUIS_DATOS!$C$1476)*CROQUIS_DATOS!$C$1561,((CROQUIS_DATOS!$C$1489+CROQUIS_DATOS!$C$1490)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7">
        <f>IF(AND(CROQUIS_DATOS!$C$1472=1,CROQUIS_DATOS!$C$1478&gt;=3,((CROQUIS_DATOS!$C$1489+CROQUIS_DATOS!$C$1490))-(CROQUIS_DATOS!$C$1489)&gt;0.5,(CROQUIS_DATOS!$C$1476)-((CROQUIS_DATOS!$C$1491+CROQUIS_DATOS!$C$1492))&gt;0.5),(CROQUIS_DATOS!$C$1567+(IF(IF(MOD(MIN(INT(($A117-1)/2)+1,MAX(1,INT(((((CROQUIS_DATOS!$C$1489+CROQUIS_DATOS!$C$1490))-(CROQUIS_DATOS!$C$1489))+((CROQUIS_DATOS!$C$1476)*CROQUIS_DATOS!$C$1561-((CROQUIS_DATOS!$C$1491+CROQUIS_DATOS!$C$1492))*CROQUIS_DATOS!$C$1561))/CROQUIS_DATOS!$C$1568-0.000001))),2)=1,IF(INT(($A117-1)/2)+1&gt;MAX(1,INT(((((CROQUIS_DATOS!$C$1489+CROQUIS_DATOS!$C$1490))-(CROQUIS_DATOS!$C$1489))+((CROQUIS_DATOS!$C$1476)*CROQUIS_DATOS!$C$1561-((CROQUIS_DATOS!$C$1491+CROQUIS_DATOS!$C$1492))*CROQUIS_DATOS!$C$1561))/CROQUIS_DATOS!$C$1568-0.000001)),1,MOD($A117-1,2)),1-IF(INT(($A117-1)/2)+1&gt;MAX(1,INT(((((CROQUIS_DATOS!$C$1489+CROQUIS_DATOS!$C$1490))-(CROQUIS_DATOS!$C$1489))+((CROQUIS_DATOS!$C$1476)*CROQUIS_DATOS!$C$1561-((CROQUIS_DATOS!$C$1491+CROQUIS_DATOS!$C$1492))*CROQUIS_DATOS!$C$1561))/CROQUIS_DATOS!$C$1568-0.000001)),1,MOD($A117-1,2)))=1,MIN((CROQUIS_DATOS!$C$1476)*CROQUIS_DATOS!$C$1561,((CROQUIS_DATOS!$C$1489+CROQUIS_DATOS!$C$1490)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7">
        <f>IF(AND(CROQUIS_DATOS!$C$1472=1,CROQUIS_DATOS!$C$1478&gt;=4,((CROQUIS_DATOS!$C$1494+CROQUIS_DATOS!$C$1495))-(CROQUIS_DATOS!$C$1494)&gt;0.5,(CROQUIS_DATOS!$C$1496)-(0)&gt;0.5),(CROQUIS_DATOS!$C$1566+(IF(IF(MOD(MIN(INT(($A117-1)/2)+1,MAX(1,INT(((((CROQUIS_DATOS!$C$1494+CROQUIS_DATOS!$C$1495))-(CROQUIS_DATOS!$C$1494))+((CROQUIS_DATOS!$C$1496)*CROQUIS_DATOS!$C$1561-(0)*CROQUIS_DATOS!$C$1561))/CROQUIS_DATOS!$C$1568-0.000001))),2)=1,IF(INT(($A117-1)/2)+1&gt;MAX(1,INT(((((CROQUIS_DATOS!$C$1494+CROQUIS_DATOS!$C$1495))-(CROQUIS_DATOS!$C$1494))+((CROQUIS_DATOS!$C$1496)*CROQUIS_DATOS!$C$1561-(0)*CROQUIS_DATOS!$C$1561))/CROQUIS_DATOS!$C$1568-0.000001)),1,MOD($A117-1,2)),1-IF(INT(($A117-1)/2)+1&gt;MAX(1,INT(((((CROQUIS_DATOS!$C$1494+CROQUIS_DATOS!$C$1495))-(CROQUIS_DATOS!$C$1494))+((CROQUIS_DATOS!$C$1496)*CROQUIS_DATOS!$C$1561-(0)*CROQUIS_DATOS!$C$1561))/CROQUIS_DATOS!$C$1568-0.000001)),1,MOD($A117-1,2)))=1,MIN((CROQUIS_DATOS!$C$1496)*CROQUIS_DATOS!$C$1561,((CROQUIS_DATOS!$C$1494+CROQUIS_DATOS!$C$1495)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7">
        <f>IF(AND(CROQUIS_DATOS!$C$1472=1,CROQUIS_DATOS!$C$1478&gt;=4,((CROQUIS_DATOS!$C$1494+CROQUIS_DATOS!$C$1495))-(CROQUIS_DATOS!$C$1494)&gt;0.5,(CROQUIS_DATOS!$C$1496)-(0)&gt;0.5),(CROQUIS_DATOS!$C$1567+(IF(IF(MOD(MIN(INT(($A117-1)/2)+1,MAX(1,INT(((((CROQUIS_DATOS!$C$1494+CROQUIS_DATOS!$C$1495))-(CROQUIS_DATOS!$C$1494))+((CROQUIS_DATOS!$C$1496)*CROQUIS_DATOS!$C$1561-(0)*CROQUIS_DATOS!$C$1561))/CROQUIS_DATOS!$C$1568-0.000001))),2)=1,IF(INT(($A117-1)/2)+1&gt;MAX(1,INT(((((CROQUIS_DATOS!$C$1494+CROQUIS_DATOS!$C$1495))-(CROQUIS_DATOS!$C$1494))+((CROQUIS_DATOS!$C$1496)*CROQUIS_DATOS!$C$1561-(0)*CROQUIS_DATOS!$C$1561))/CROQUIS_DATOS!$C$1568-0.000001)),1,MOD($A117-1,2)),1-IF(INT(($A117-1)/2)+1&gt;MAX(1,INT(((((CROQUIS_DATOS!$C$1494+CROQUIS_DATOS!$C$1495))-(CROQUIS_DATOS!$C$1494))+((CROQUIS_DATOS!$C$1496)*CROQUIS_DATOS!$C$1561-(0)*CROQUIS_DATOS!$C$1561))/CROQUIS_DATOS!$C$1568-0.000001)),1,MOD($A117-1,2)))=1,MIN((CROQUIS_DATOS!$C$1496)*CROQUIS_DATOS!$C$1561,((CROQUIS_DATOS!$C$1494+CROQUIS_DATOS!$C$1495)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7">
        <f>IF(AND(CROQUIS_DATOS!$C$1472=1,CROQUIS_DATOS!$C$1478&gt;=4,((CROQUIS_DATOS!$C$1494+CROQUIS_DATOS!$C$1495))-(CROQUIS_DATOS!$C$1494)&gt;0.5,(CROQUIS_DATOS!$C$1476)-((CROQUIS_DATOS!$C$1496+CROQUIS_DATOS!$C$1497))&gt;0.5),(CROQUIS_DATOS!$C$1566+(IF(IF(MOD(MIN(INT(($A117-1)/2)+1,MAX(1,INT(((((CROQUIS_DATOS!$C$1494+CROQUIS_DATOS!$C$1495))-(CROQUIS_DATOS!$C$1494))+((CROQUIS_DATOS!$C$1476)*CROQUIS_DATOS!$C$1561-((CROQUIS_DATOS!$C$1496+CROQUIS_DATOS!$C$1497))*CROQUIS_DATOS!$C$1561))/CROQUIS_DATOS!$C$1568-0.000001))),2)=1,IF(INT(($A117-1)/2)+1&gt;MAX(1,INT(((((CROQUIS_DATOS!$C$1494+CROQUIS_DATOS!$C$1495))-(CROQUIS_DATOS!$C$1494))+((CROQUIS_DATOS!$C$1476)*CROQUIS_DATOS!$C$1561-((CROQUIS_DATOS!$C$1496+CROQUIS_DATOS!$C$1497))*CROQUIS_DATOS!$C$1561))/CROQUIS_DATOS!$C$1568-0.000001)),1,MOD($A117-1,2)),1-IF(INT(($A117-1)/2)+1&gt;MAX(1,INT(((((CROQUIS_DATOS!$C$1494+CROQUIS_DATOS!$C$1495))-(CROQUIS_DATOS!$C$1494))+((CROQUIS_DATOS!$C$1476)*CROQUIS_DATOS!$C$1561-((CROQUIS_DATOS!$C$1496+CROQUIS_DATOS!$C$1497))*CROQUIS_DATOS!$C$1561))/CROQUIS_DATOS!$C$1568-0.000001)),1,MOD($A117-1,2)))=1,MIN((CROQUIS_DATOS!$C$1476)*CROQUIS_DATOS!$C$1561,((CROQUIS_DATOS!$C$1494+CROQUIS_DATOS!$C$1495)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7">
        <f>IF(AND(CROQUIS_DATOS!$C$1472=1,CROQUIS_DATOS!$C$1478&gt;=4,((CROQUIS_DATOS!$C$1494+CROQUIS_DATOS!$C$1495))-(CROQUIS_DATOS!$C$1494)&gt;0.5,(CROQUIS_DATOS!$C$1476)-((CROQUIS_DATOS!$C$1496+CROQUIS_DATOS!$C$1497))&gt;0.5),(CROQUIS_DATOS!$C$1567+(IF(IF(MOD(MIN(INT(($A117-1)/2)+1,MAX(1,INT(((((CROQUIS_DATOS!$C$1494+CROQUIS_DATOS!$C$1495))-(CROQUIS_DATOS!$C$1494))+((CROQUIS_DATOS!$C$1476)*CROQUIS_DATOS!$C$1561-((CROQUIS_DATOS!$C$1496+CROQUIS_DATOS!$C$1497))*CROQUIS_DATOS!$C$1561))/CROQUIS_DATOS!$C$1568-0.000001))),2)=1,IF(INT(($A117-1)/2)+1&gt;MAX(1,INT(((((CROQUIS_DATOS!$C$1494+CROQUIS_DATOS!$C$1495))-(CROQUIS_DATOS!$C$1494))+((CROQUIS_DATOS!$C$1476)*CROQUIS_DATOS!$C$1561-((CROQUIS_DATOS!$C$1496+CROQUIS_DATOS!$C$1497))*CROQUIS_DATOS!$C$1561))/CROQUIS_DATOS!$C$1568-0.000001)),1,MOD($A117-1,2)),1-IF(INT(($A117-1)/2)+1&gt;MAX(1,INT(((((CROQUIS_DATOS!$C$1494+CROQUIS_DATOS!$C$1495))-(CROQUIS_DATOS!$C$1494))+((CROQUIS_DATOS!$C$1476)*CROQUIS_DATOS!$C$1561-((CROQUIS_DATOS!$C$1496+CROQUIS_DATOS!$C$1497))*CROQUIS_DATOS!$C$1561))/CROQUIS_DATOS!$C$1568-0.000001)),1,MOD($A117-1,2)))=1,MIN((CROQUIS_DATOS!$C$1476)*CROQUIS_DATOS!$C$1561,((CROQUIS_DATOS!$C$1494+CROQUIS_DATOS!$C$1495)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8">
      <c r="A118" t="n">
        <v>111</v>
      </c>
      <c r="N118">
        <f>IF(AND(CROQUIS_DATOS!$C$1472=1,1),(CROQUIS_DATOS!$C$1563+(IF(IF(IF(INT(($A118-1)/70)+1&gt;CROQUIS_DATOS!$C$1525,70,MOD($A118-1,70)+1)=1,0,IF(IF(INT(($A118-1)/70)+1&gt;CROQUIS_DATOS!$C$1525,70,MOD($A118-1,70)+1)&gt;2*CROQUIS_DATOS!$C$1541+1,IF(MOD(CROQUIS_DATOS!$C$1541,2)=1,1,0),IF(MOD(MIN(INT((IF(INT(($A118-1)/70)+1&gt;CROQUIS_DATOS!$C$1525,70,MOD($A118-1,70)+1)-2)/2)+1,CROQUIS_DATOS!$C$1541),2)=1,IF(MOD(IF(INT(($A118-1)/70)+1&gt;CROQUIS_DATOS!$C$1525,70,MOD($A118-1,70)+1)-2,2)=0,0,1),IF(MOD(IF(INT(($A118-1)/70)+1&gt;CROQUIS_DATOS!$C$1525,70,MOD($A118-1,70)+1)-2,2)=0,1,0))))=0,(INDEX($E$8:$E$23,MIN(INT(($A118-1)/70)+1,CROQUIS_DATOS!$C$1525))-INDEX($F$8:$F$23,MIN(INT(($A118-1)/70)+1,CROQUIS_DATOS!$C$1525))/2),(INDEX($E$8:$E$23,MIN(INT(($A118-1)/70)+1,CROQUIS_DATOS!$C$1525))+INDEX($F$8:$F$23,MIN(INT(($A118-1)/70)+1,CROQUIS_DATOS!$C$1525))/2)))*CROQUIS_DATOS!$C$1562),-1000)</f>
        <v>18.5775862068965</v>
      </c>
      <c r="O118">
        <f>IF(AND(CROQUIS_DATOS!$C$1472=1,1),(CROQUIS_DATOS!$C$1564+(IF(OR(IF(INT(($A118-1)/70)+1&gt;CROQUIS_DATOS!$C$1525,70,MOD($A118-1,70)+1)=1,IF(INT(($A118-1)/70)+1&gt;CROQUIS_DATOS!$C$1525,70,MOD($A118-1,70)+1)&gt;2*CROQUIS_DATOS!$C$1541+1),CROQUIS_DATOS!$C$1476,INDEX($H$8:$H$41,MIN(INT((IF(INT(($A118-1)/70)+1&gt;CROQUIS_DATOS!$C$1525,70,MOD($A118-1,70)+1)-2)/2)+1,CROQUIS_DATOS!$C$1541))))*CROQUIS_DATOS!$C$1561*CROQUIS_DATOS!$C$1562),-1000)</f>
        <v>40.2068965517241</v>
      </c>
      <c r="P118">
        <f>IF(AND(CROQUIS_DATOS!$C$1472=1,CROQUIS_DATOS!$C$1555=1),(CROQUIS_DATOS!$C$1563+(IF(IF(OR(MOD($A118-1,62)+1=1,IF(CHOOSE(MIN(MAX(MIN(INT(($A118-1)/62)+1,5),1),5),CROQUIS_DATOS!$C$1501,CROQUIS_DATOS!$C$1505,CROQUIS_DATOS!$C$1509,CROQUIS_DATOS!$C$1513,CROQUIS_DATOS!$C$1517)=1,CROQUIS_DATOS!$C$1557,0)=0),0,IF(MOD($A118-1,62)+1&gt;2*IF(CHOOSE(MIN(MAX(MIN(INT(($A118-1)/62)+1,5),1),5),CROQUIS_DATOS!$C$1501,CROQUIS_DATOS!$C$1505,CROQUIS_DATOS!$C$1509,CROQUIS_DATOS!$C$1513,CROQUIS_DATOS!$C$1517)=1,CROQUIS_DATOS!$C$1557,0)+1,IF(MOD(IF(CHOOSE(MIN(MAX(MIN(INT(($A118-1)/62)+1,5),1),5),CROQUIS_DATOS!$C$1501,CROQUIS_DATOS!$C$1505,CROQUIS_DATOS!$C$1509,CROQUIS_DATOS!$C$1513,CROQUIS_DATOS!$C$1517)=1,CROQUIS_DATOS!$C$1557,0),2)=1,1,0),IF(MOD(MIN(INT((MOD($A118-1,62)+1-2)/2)+1,MAX(IF(CHOOSE(MIN(MAX(MIN(INT(($A118-1)/62)+1,5),1),5),CROQUIS_DATOS!$C$1501,CROQUIS_DATOS!$C$1505,CROQUIS_DATOS!$C$1509,CROQUIS_DATOS!$C$1513,CROQUIS_DATOS!$C$1517)=1,CROQUIS_DATOS!$C$1557,0),1)),2)=1,IF(MOD(MOD($A118-1,62)+1-2,2)=0,0,1),IF(MOD(MOD($A118-1,62)+1-2,2)=0,1,0))))=0,(CHOOSE(MIN(MAX(MIN(INT(($A118-1)/62)+1,5),1),5),CROQUIS_DATOS!$C$1499,CROQUIS_DATOS!$C$1503,CROQUIS_DATOS!$C$1507,CROQUIS_DATOS!$C$1511,CROQUIS_DATOS!$C$1515)+IF(CHOOSE(MIN(MAX(MIN(INT(($A118-1)/62)+1,5),1),5),CROQUIS_DATOS!$C$1501,CROQUIS_DATOS!$C$1505,CROQUIS_DATOS!$C$1509,CROQUIS_DATOS!$C$1513,CROQUIS_DATOS!$C$1517)=1,CROQUIS_DATOS!$C$1526,0)),(CHOOSE(MIN(MAX(MIN(INT(($A118-1)/62)+1,5),1),5),CROQUIS_DATOS!$C$1499,CROQUIS_DATOS!$C$1503,CROQUIS_DATOS!$C$1507,CROQUIS_DATOS!$C$1511,CROQUIS_DATOS!$C$1515)+CHOOSE(MIN(MAX(MIN(INT(($A118-1)/62)+1,5),1),5),CROQUIS_DATOS!$C$1500,CROQUIS_DATOS!$C$1504,CROQUIS_DATOS!$C$1508,CROQUIS_DATOS!$C$1512,CROQUIS_DATOS!$C$1516)-IF(CHOOSE(MIN(MAX(MIN(INT(($A118-1)/62)+1,5),1),5),CROQUIS_DATOS!$C$1501,CROQUIS_DATOS!$C$1505,CROQUIS_DATOS!$C$1509,CROQUIS_DATOS!$C$1513,CROQUIS_DATOS!$C$1517)=1,CROQUIS_DATOS!$C$1526,0))))*CROQUIS_DATOS!$C$1562),-1000)</f>
        <v>-1000</v>
      </c>
      <c r="Q118">
        <f>IF(AND(CROQUIS_DATOS!$C$1472=1,CROQUIS_DATOS!$C$1555=1),(CROQUIS_DATOS!$C$1564+(IF(OR(OR(MOD($A118-1,62)+1=1,IF(CHOOSE(MIN(MAX(MIN(INT(($A118-1)/62)+1,5),1),5),CROQUIS_DATOS!$C$1501,CROQUIS_DATOS!$C$1505,CROQUIS_DATOS!$C$1509,CROQUIS_DATOS!$C$1513,CROQUIS_DATOS!$C$1517)=1,CROQUIS_DATOS!$C$1557,0)=0),MOD($A118-1,62)+1&gt;2*IF(CHOOSE(MIN(MAX(MIN(INT(($A118-1)/62)+1,5),1),5),CROQUIS_DATOS!$C$1501,CROQUIS_DATOS!$C$1505,CROQUIS_DATOS!$C$1509,CROQUIS_DATOS!$C$1513,CROQUIS_DATOS!$C$1517)=1,CROQUIS_DATOS!$C$1557,0)+1),CROQUIS_DATOS!$C$1476,MIN(INT((MOD($A118-1,62)+1-2)/2)+1,MAX(IF(CHOOSE(MIN(MAX(MIN(INT(($A118-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8">
        <f>IF(AND(CROQUIS_DATOS!$C$1472=1,1),(CROQUIS_DATOS!$C$1563+(MIN(INT(($A118-1)/2)+1,CROQUIS_DATOS!$C$1558)*CROQUIS_DATOS!$C$1559)*CROQUIS_DATOS!$C$1562),-1000)</f>
        <v>82.2281167108753</v>
      </c>
      <c r="U118">
        <f>IF(AND(CROQUIS_DATOS!$C$1472=1,1),(CROQUIS_DATOS!$C$1564+(IF(INT(($A118-1)/2)+1&gt;CROQUIS_DATOS!$C$1558,IF(MOD(CROQUIS_DATOS!$C$1558,2)=1,CROQUIS_DATOS!$C$1476+CROQUIS_DATOS!$C$1528,CROQUIS_DATOS!$C$1476),IF(IF(MOD(MIN(INT(($A118-1)/2)+1,CROQUIS_DATOS!$C$1558),2)=1,MOD($A118-1,2),1-MOD($A118-1,2))=1,CROQUIS_DATOS!$C$1476+CROQUIS_DATOS!$C$1528,CROQUIS_DATOS!$C$1476)))*CROQUIS_DATOS!$C$1561*CROQUIS_DATOS!$C$1562),-1000)</f>
        <v>43</v>
      </c>
      <c r="BZ118">
        <f>IF(AND(CROQUIS_DATOS!$C$1472=1,CROQUIS_DATOS!$C$1500&gt;0,((CROQUIS_DATOS!$C$1499+CROQUIS_DATOS!$C$1500))-(CROQUIS_DATOS!$C$1499)&gt;0.5,(CROQUIS_DATOS!$C$1476)-(0)&gt;0.5),(CROQUIS_DATOS!$C$1566+(IF(IF(MOD(MIN(INT(($A118-1)/2)+1,MAX(1,INT(((((CROQUIS_DATOS!$C$1499+CROQUIS_DATOS!$C$1500))-(CROQUIS_DATOS!$C$1499))+((CROQUIS_DATOS!$C$1476)*CROQUIS_DATOS!$C$1561-(0)*CROQUIS_DATOS!$C$1561))/CROQUIS_DATOS!$C$1568-0.000001))),2)=1,IF(INT(($A118-1)/2)+1&gt;MAX(1,INT(((((CROQUIS_DATOS!$C$1499+CROQUIS_DATOS!$C$1500))-(CROQUIS_DATOS!$C$1499))+((CROQUIS_DATOS!$C$1476)*CROQUIS_DATOS!$C$1561-(0)*CROQUIS_DATOS!$C$1561))/CROQUIS_DATOS!$C$1568-0.000001)),1,MOD($A118-1,2)),1-IF(INT(($A118-1)/2)+1&gt;MAX(1,INT(((((CROQUIS_DATOS!$C$1499+CROQUIS_DATOS!$C$1500))-(CROQUIS_DATOS!$C$1499))+((CROQUIS_DATOS!$C$1476)*CROQUIS_DATOS!$C$1561-(0)*CROQUIS_DATOS!$C$1561))/CROQUIS_DATOS!$C$1568-0.000001)),1,MOD($A118-1,2)))=1,MIN((CROQUIS_DATOS!$C$1476)*CROQUIS_DATOS!$C$1561,((CROQUIS_DATOS!$C$1499+CROQUIS_DATOS!$C$1500)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8">
        <f>IF(AND(CROQUIS_DATOS!$C$1472=1,CROQUIS_DATOS!$C$1500&gt;0,((CROQUIS_DATOS!$C$1499+CROQUIS_DATOS!$C$1500))-(CROQUIS_DATOS!$C$1499)&gt;0.5,(CROQUIS_DATOS!$C$1476)-(0)&gt;0.5),(CROQUIS_DATOS!$C$1567+(IF(IF(MOD(MIN(INT(($A118-1)/2)+1,MAX(1,INT(((((CROQUIS_DATOS!$C$1499+CROQUIS_DATOS!$C$1500))-(CROQUIS_DATOS!$C$1499))+((CROQUIS_DATOS!$C$1476)*CROQUIS_DATOS!$C$1561-(0)*CROQUIS_DATOS!$C$1561))/CROQUIS_DATOS!$C$1568-0.000001))),2)=1,IF(INT(($A118-1)/2)+1&gt;MAX(1,INT(((((CROQUIS_DATOS!$C$1499+CROQUIS_DATOS!$C$1500))-(CROQUIS_DATOS!$C$1499))+((CROQUIS_DATOS!$C$1476)*CROQUIS_DATOS!$C$1561-(0)*CROQUIS_DATOS!$C$1561))/CROQUIS_DATOS!$C$1568-0.000001)),1,MOD($A118-1,2)),1-IF(INT(($A118-1)/2)+1&gt;MAX(1,INT(((((CROQUIS_DATOS!$C$1499+CROQUIS_DATOS!$C$1500))-(CROQUIS_DATOS!$C$1499))+((CROQUIS_DATOS!$C$1476)*CROQUIS_DATOS!$C$1561-(0)*CROQUIS_DATOS!$C$1561))/CROQUIS_DATOS!$C$1568-0.000001)),1,MOD($A118-1,2)))=1,MIN((CROQUIS_DATOS!$C$1476)*CROQUIS_DATOS!$C$1561,((CROQUIS_DATOS!$C$1499+CROQUIS_DATOS!$C$1500)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8">
        <f>IF(AND(CROQUIS_DATOS!$C$1472=1,CROQUIS_DATOS!$C$1504&gt;0,((CROQUIS_DATOS!$C$1503+CROQUIS_DATOS!$C$1504))-(CROQUIS_DATOS!$C$1503)&gt;0.5,(CROQUIS_DATOS!$C$1476)-(0)&gt;0.5),(CROQUIS_DATOS!$C$1566+(IF(IF(MOD(MIN(INT(($A118-1)/2)+1,MAX(1,INT(((((CROQUIS_DATOS!$C$1503+CROQUIS_DATOS!$C$1504))-(CROQUIS_DATOS!$C$1503))+((CROQUIS_DATOS!$C$1476)*CROQUIS_DATOS!$C$1561-(0)*CROQUIS_DATOS!$C$1561))/CROQUIS_DATOS!$C$1568-0.000001))),2)=1,IF(INT(($A118-1)/2)+1&gt;MAX(1,INT(((((CROQUIS_DATOS!$C$1503+CROQUIS_DATOS!$C$1504))-(CROQUIS_DATOS!$C$1503))+((CROQUIS_DATOS!$C$1476)*CROQUIS_DATOS!$C$1561-(0)*CROQUIS_DATOS!$C$1561))/CROQUIS_DATOS!$C$1568-0.000001)),1,MOD($A118-1,2)),1-IF(INT(($A118-1)/2)+1&gt;MAX(1,INT(((((CROQUIS_DATOS!$C$1503+CROQUIS_DATOS!$C$1504))-(CROQUIS_DATOS!$C$1503))+((CROQUIS_DATOS!$C$1476)*CROQUIS_DATOS!$C$1561-(0)*CROQUIS_DATOS!$C$1561))/CROQUIS_DATOS!$C$1568-0.000001)),1,MOD($A118-1,2)))=1,MIN((CROQUIS_DATOS!$C$1476)*CROQUIS_DATOS!$C$1561,((CROQUIS_DATOS!$C$1503+CROQUIS_DATOS!$C$1504)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8">
        <f>IF(AND(CROQUIS_DATOS!$C$1472=1,CROQUIS_DATOS!$C$1504&gt;0,((CROQUIS_DATOS!$C$1503+CROQUIS_DATOS!$C$1504))-(CROQUIS_DATOS!$C$1503)&gt;0.5,(CROQUIS_DATOS!$C$1476)-(0)&gt;0.5),(CROQUIS_DATOS!$C$1567+(IF(IF(MOD(MIN(INT(($A118-1)/2)+1,MAX(1,INT(((((CROQUIS_DATOS!$C$1503+CROQUIS_DATOS!$C$1504))-(CROQUIS_DATOS!$C$1503))+((CROQUIS_DATOS!$C$1476)*CROQUIS_DATOS!$C$1561-(0)*CROQUIS_DATOS!$C$1561))/CROQUIS_DATOS!$C$1568-0.000001))),2)=1,IF(INT(($A118-1)/2)+1&gt;MAX(1,INT(((((CROQUIS_DATOS!$C$1503+CROQUIS_DATOS!$C$1504))-(CROQUIS_DATOS!$C$1503))+((CROQUIS_DATOS!$C$1476)*CROQUIS_DATOS!$C$1561-(0)*CROQUIS_DATOS!$C$1561))/CROQUIS_DATOS!$C$1568-0.000001)),1,MOD($A118-1,2)),1-IF(INT(($A118-1)/2)+1&gt;MAX(1,INT(((((CROQUIS_DATOS!$C$1503+CROQUIS_DATOS!$C$1504))-(CROQUIS_DATOS!$C$1503))+((CROQUIS_DATOS!$C$1476)*CROQUIS_DATOS!$C$1561-(0)*CROQUIS_DATOS!$C$1561))/CROQUIS_DATOS!$C$1568-0.000001)),1,MOD($A118-1,2)))=1,MIN((CROQUIS_DATOS!$C$1476)*CROQUIS_DATOS!$C$1561,((CROQUIS_DATOS!$C$1503+CROQUIS_DATOS!$C$1504)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8">
        <f>IF(AND(CROQUIS_DATOS!$C$1472=1,CROQUIS_DATOS!$C$1508&gt;0,((CROQUIS_DATOS!$C$1507+CROQUIS_DATOS!$C$1508))-(CROQUIS_DATOS!$C$1507)&gt;0.5,(CROQUIS_DATOS!$C$1476)-(0)&gt;0.5),(CROQUIS_DATOS!$C$1566+(IF(IF(MOD(MIN(INT(($A118-1)/2)+1,MAX(1,INT(((((CROQUIS_DATOS!$C$1507+CROQUIS_DATOS!$C$1508))-(CROQUIS_DATOS!$C$1507))+((CROQUIS_DATOS!$C$1476)*CROQUIS_DATOS!$C$1561-(0)*CROQUIS_DATOS!$C$1561))/CROQUIS_DATOS!$C$1568-0.000001))),2)=1,IF(INT(($A118-1)/2)+1&gt;MAX(1,INT(((((CROQUIS_DATOS!$C$1507+CROQUIS_DATOS!$C$1508))-(CROQUIS_DATOS!$C$1507))+((CROQUIS_DATOS!$C$1476)*CROQUIS_DATOS!$C$1561-(0)*CROQUIS_DATOS!$C$1561))/CROQUIS_DATOS!$C$1568-0.000001)),1,MOD($A118-1,2)),1-IF(INT(($A118-1)/2)+1&gt;MAX(1,INT(((((CROQUIS_DATOS!$C$1507+CROQUIS_DATOS!$C$1508))-(CROQUIS_DATOS!$C$1507))+((CROQUIS_DATOS!$C$1476)*CROQUIS_DATOS!$C$1561-(0)*CROQUIS_DATOS!$C$1561))/CROQUIS_DATOS!$C$1568-0.000001)),1,MOD($A118-1,2)))=1,MIN((CROQUIS_DATOS!$C$1476)*CROQUIS_DATOS!$C$1561,((CROQUIS_DATOS!$C$1507+CROQUIS_DATOS!$C$1508)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8">
        <f>IF(AND(CROQUIS_DATOS!$C$1472=1,CROQUIS_DATOS!$C$1508&gt;0,((CROQUIS_DATOS!$C$1507+CROQUIS_DATOS!$C$1508))-(CROQUIS_DATOS!$C$1507)&gt;0.5,(CROQUIS_DATOS!$C$1476)-(0)&gt;0.5),(CROQUIS_DATOS!$C$1567+(IF(IF(MOD(MIN(INT(($A118-1)/2)+1,MAX(1,INT(((((CROQUIS_DATOS!$C$1507+CROQUIS_DATOS!$C$1508))-(CROQUIS_DATOS!$C$1507))+((CROQUIS_DATOS!$C$1476)*CROQUIS_DATOS!$C$1561-(0)*CROQUIS_DATOS!$C$1561))/CROQUIS_DATOS!$C$1568-0.000001))),2)=1,IF(INT(($A118-1)/2)+1&gt;MAX(1,INT(((((CROQUIS_DATOS!$C$1507+CROQUIS_DATOS!$C$1508))-(CROQUIS_DATOS!$C$1507))+((CROQUIS_DATOS!$C$1476)*CROQUIS_DATOS!$C$1561-(0)*CROQUIS_DATOS!$C$1561))/CROQUIS_DATOS!$C$1568-0.000001)),1,MOD($A118-1,2)),1-IF(INT(($A118-1)/2)+1&gt;MAX(1,INT(((((CROQUIS_DATOS!$C$1507+CROQUIS_DATOS!$C$1508))-(CROQUIS_DATOS!$C$1507))+((CROQUIS_DATOS!$C$1476)*CROQUIS_DATOS!$C$1561-(0)*CROQUIS_DATOS!$C$1561))/CROQUIS_DATOS!$C$1568-0.000001)),1,MOD($A118-1,2)))=1,MIN((CROQUIS_DATOS!$C$1476)*CROQUIS_DATOS!$C$1561,((CROQUIS_DATOS!$C$1507+CROQUIS_DATOS!$C$1508)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8">
        <f>IF(AND(CROQUIS_DATOS!$C$1472=1,CROQUIS_DATOS!$C$1512&gt;0,((CROQUIS_DATOS!$C$1511+CROQUIS_DATOS!$C$1512))-(CROQUIS_DATOS!$C$1511)&gt;0.5,(CROQUIS_DATOS!$C$1476)-(0)&gt;0.5),(CROQUIS_DATOS!$C$1566+(IF(IF(MOD(MIN(INT(($A118-1)/2)+1,MAX(1,INT(((((CROQUIS_DATOS!$C$1511+CROQUIS_DATOS!$C$1512))-(CROQUIS_DATOS!$C$1511))+((CROQUIS_DATOS!$C$1476)*CROQUIS_DATOS!$C$1561-(0)*CROQUIS_DATOS!$C$1561))/CROQUIS_DATOS!$C$1568-0.000001))),2)=1,IF(INT(($A118-1)/2)+1&gt;MAX(1,INT(((((CROQUIS_DATOS!$C$1511+CROQUIS_DATOS!$C$1512))-(CROQUIS_DATOS!$C$1511))+((CROQUIS_DATOS!$C$1476)*CROQUIS_DATOS!$C$1561-(0)*CROQUIS_DATOS!$C$1561))/CROQUIS_DATOS!$C$1568-0.000001)),1,MOD($A118-1,2)),1-IF(INT(($A118-1)/2)+1&gt;MAX(1,INT(((((CROQUIS_DATOS!$C$1511+CROQUIS_DATOS!$C$1512))-(CROQUIS_DATOS!$C$1511))+((CROQUIS_DATOS!$C$1476)*CROQUIS_DATOS!$C$1561-(0)*CROQUIS_DATOS!$C$1561))/CROQUIS_DATOS!$C$1568-0.000001)),1,MOD($A118-1,2)))=1,MIN((CROQUIS_DATOS!$C$1476)*CROQUIS_DATOS!$C$1561,((CROQUIS_DATOS!$C$1511+CROQUIS_DATOS!$C$1512)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8">
        <f>IF(AND(CROQUIS_DATOS!$C$1472=1,CROQUIS_DATOS!$C$1512&gt;0,((CROQUIS_DATOS!$C$1511+CROQUIS_DATOS!$C$1512))-(CROQUIS_DATOS!$C$1511)&gt;0.5,(CROQUIS_DATOS!$C$1476)-(0)&gt;0.5),(CROQUIS_DATOS!$C$1567+(IF(IF(MOD(MIN(INT(($A118-1)/2)+1,MAX(1,INT(((((CROQUIS_DATOS!$C$1511+CROQUIS_DATOS!$C$1512))-(CROQUIS_DATOS!$C$1511))+((CROQUIS_DATOS!$C$1476)*CROQUIS_DATOS!$C$1561-(0)*CROQUIS_DATOS!$C$1561))/CROQUIS_DATOS!$C$1568-0.000001))),2)=1,IF(INT(($A118-1)/2)+1&gt;MAX(1,INT(((((CROQUIS_DATOS!$C$1511+CROQUIS_DATOS!$C$1512))-(CROQUIS_DATOS!$C$1511))+((CROQUIS_DATOS!$C$1476)*CROQUIS_DATOS!$C$1561-(0)*CROQUIS_DATOS!$C$1561))/CROQUIS_DATOS!$C$1568-0.000001)),1,MOD($A118-1,2)),1-IF(INT(($A118-1)/2)+1&gt;MAX(1,INT(((((CROQUIS_DATOS!$C$1511+CROQUIS_DATOS!$C$1512))-(CROQUIS_DATOS!$C$1511))+((CROQUIS_DATOS!$C$1476)*CROQUIS_DATOS!$C$1561-(0)*CROQUIS_DATOS!$C$1561))/CROQUIS_DATOS!$C$1568-0.000001)),1,MOD($A118-1,2)))=1,MIN((CROQUIS_DATOS!$C$1476)*CROQUIS_DATOS!$C$1561,((CROQUIS_DATOS!$C$1511+CROQUIS_DATOS!$C$1512)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8">
        <f>IF(AND(CROQUIS_DATOS!$C$1472=1,CROQUIS_DATOS!$C$1516&gt;0,((CROQUIS_DATOS!$C$1515+CROQUIS_DATOS!$C$1516))-(CROQUIS_DATOS!$C$1515)&gt;0.5,(CROQUIS_DATOS!$C$1476)-(0)&gt;0.5),(CROQUIS_DATOS!$C$1566+(IF(IF(MOD(MIN(INT(($A118-1)/2)+1,MAX(1,INT(((((CROQUIS_DATOS!$C$1515+CROQUIS_DATOS!$C$1516))-(CROQUIS_DATOS!$C$1515))+((CROQUIS_DATOS!$C$1476)*CROQUIS_DATOS!$C$1561-(0)*CROQUIS_DATOS!$C$1561))/CROQUIS_DATOS!$C$1568-0.000001))),2)=1,IF(INT(($A118-1)/2)+1&gt;MAX(1,INT(((((CROQUIS_DATOS!$C$1515+CROQUIS_DATOS!$C$1516))-(CROQUIS_DATOS!$C$1515))+((CROQUIS_DATOS!$C$1476)*CROQUIS_DATOS!$C$1561-(0)*CROQUIS_DATOS!$C$1561))/CROQUIS_DATOS!$C$1568-0.000001)),1,MOD($A118-1,2)),1-IF(INT(($A118-1)/2)+1&gt;MAX(1,INT(((((CROQUIS_DATOS!$C$1515+CROQUIS_DATOS!$C$1516))-(CROQUIS_DATOS!$C$1515))+((CROQUIS_DATOS!$C$1476)*CROQUIS_DATOS!$C$1561-(0)*CROQUIS_DATOS!$C$1561))/CROQUIS_DATOS!$C$1568-0.000001)),1,MOD($A118-1,2)))=1,MIN((CROQUIS_DATOS!$C$1476)*CROQUIS_DATOS!$C$1561,((CROQUIS_DATOS!$C$1515+CROQUIS_DATOS!$C$1516)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8">
        <f>IF(AND(CROQUIS_DATOS!$C$1472=1,CROQUIS_DATOS!$C$1516&gt;0,((CROQUIS_DATOS!$C$1515+CROQUIS_DATOS!$C$1516))-(CROQUIS_DATOS!$C$1515)&gt;0.5,(CROQUIS_DATOS!$C$1476)-(0)&gt;0.5),(CROQUIS_DATOS!$C$1567+(IF(IF(MOD(MIN(INT(($A118-1)/2)+1,MAX(1,INT(((((CROQUIS_DATOS!$C$1515+CROQUIS_DATOS!$C$1516))-(CROQUIS_DATOS!$C$1515))+((CROQUIS_DATOS!$C$1476)*CROQUIS_DATOS!$C$1561-(0)*CROQUIS_DATOS!$C$1561))/CROQUIS_DATOS!$C$1568-0.000001))),2)=1,IF(INT(($A118-1)/2)+1&gt;MAX(1,INT(((((CROQUIS_DATOS!$C$1515+CROQUIS_DATOS!$C$1516))-(CROQUIS_DATOS!$C$1515))+((CROQUIS_DATOS!$C$1476)*CROQUIS_DATOS!$C$1561-(0)*CROQUIS_DATOS!$C$1561))/CROQUIS_DATOS!$C$1568-0.000001)),1,MOD($A118-1,2)),1-IF(INT(($A118-1)/2)+1&gt;MAX(1,INT(((((CROQUIS_DATOS!$C$1515+CROQUIS_DATOS!$C$1516))-(CROQUIS_DATOS!$C$1515))+((CROQUIS_DATOS!$C$1476)*CROQUIS_DATOS!$C$1561-(0)*CROQUIS_DATOS!$C$1561))/CROQUIS_DATOS!$C$1568-0.000001)),1,MOD($A118-1,2)))=1,MIN((CROQUIS_DATOS!$C$1476)*CROQUIS_DATOS!$C$1561,((CROQUIS_DATOS!$C$1515+CROQUIS_DATOS!$C$1516)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8">
        <f>IF(AND(CROQUIS_DATOS!$C$1472=1,CROQUIS_DATOS!$C$1478&gt;=1,((CROQUIS_DATOS!$C$1479+CROQUIS_DATOS!$C$1480))-(CROQUIS_DATOS!$C$1479)&gt;0.5,(CROQUIS_DATOS!$C$1481)-(0)&gt;0.5),(CROQUIS_DATOS!$C$1566+(IF(IF(MOD(MIN(INT(($A118-1)/2)+1,MAX(1,INT(((((CROQUIS_DATOS!$C$1479+CROQUIS_DATOS!$C$1480))-(CROQUIS_DATOS!$C$1479))+((CROQUIS_DATOS!$C$1481)*CROQUIS_DATOS!$C$1561-(0)*CROQUIS_DATOS!$C$1561))/CROQUIS_DATOS!$C$1568-0.000001))),2)=1,IF(INT(($A118-1)/2)+1&gt;MAX(1,INT(((((CROQUIS_DATOS!$C$1479+CROQUIS_DATOS!$C$1480))-(CROQUIS_DATOS!$C$1479))+((CROQUIS_DATOS!$C$1481)*CROQUIS_DATOS!$C$1561-(0)*CROQUIS_DATOS!$C$1561))/CROQUIS_DATOS!$C$1568-0.000001)),1,MOD($A118-1,2)),1-IF(INT(($A118-1)/2)+1&gt;MAX(1,INT(((((CROQUIS_DATOS!$C$1479+CROQUIS_DATOS!$C$1480))-(CROQUIS_DATOS!$C$1479))+((CROQUIS_DATOS!$C$1481)*CROQUIS_DATOS!$C$1561-(0)*CROQUIS_DATOS!$C$1561))/CROQUIS_DATOS!$C$1568-0.000001)),1,MOD($A118-1,2)))=1,MIN((CROQUIS_DATOS!$C$1481)*CROQUIS_DATOS!$C$1561,((CROQUIS_DATOS!$C$1479+CROQUIS_DATOS!$C$1480)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8">
        <f>IF(AND(CROQUIS_DATOS!$C$1472=1,CROQUIS_DATOS!$C$1478&gt;=1,((CROQUIS_DATOS!$C$1479+CROQUIS_DATOS!$C$1480))-(CROQUIS_DATOS!$C$1479)&gt;0.5,(CROQUIS_DATOS!$C$1481)-(0)&gt;0.5),(CROQUIS_DATOS!$C$1567+(IF(IF(MOD(MIN(INT(($A118-1)/2)+1,MAX(1,INT(((((CROQUIS_DATOS!$C$1479+CROQUIS_DATOS!$C$1480))-(CROQUIS_DATOS!$C$1479))+((CROQUIS_DATOS!$C$1481)*CROQUIS_DATOS!$C$1561-(0)*CROQUIS_DATOS!$C$1561))/CROQUIS_DATOS!$C$1568-0.000001))),2)=1,IF(INT(($A118-1)/2)+1&gt;MAX(1,INT(((((CROQUIS_DATOS!$C$1479+CROQUIS_DATOS!$C$1480))-(CROQUIS_DATOS!$C$1479))+((CROQUIS_DATOS!$C$1481)*CROQUIS_DATOS!$C$1561-(0)*CROQUIS_DATOS!$C$1561))/CROQUIS_DATOS!$C$1568-0.000001)),1,MOD($A118-1,2)),1-IF(INT(($A118-1)/2)+1&gt;MAX(1,INT(((((CROQUIS_DATOS!$C$1479+CROQUIS_DATOS!$C$1480))-(CROQUIS_DATOS!$C$1479))+((CROQUIS_DATOS!$C$1481)*CROQUIS_DATOS!$C$1561-(0)*CROQUIS_DATOS!$C$1561))/CROQUIS_DATOS!$C$1568-0.000001)),1,MOD($A118-1,2)))=1,MIN((CROQUIS_DATOS!$C$1481)*CROQUIS_DATOS!$C$1561,((CROQUIS_DATOS!$C$1479+CROQUIS_DATOS!$C$1480)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8">
        <f>IF(AND(CROQUIS_DATOS!$C$1472=1,CROQUIS_DATOS!$C$1478&gt;=1,((CROQUIS_DATOS!$C$1479+CROQUIS_DATOS!$C$1480))-(CROQUIS_DATOS!$C$1479)&gt;0.5,(CROQUIS_DATOS!$C$1476)-((CROQUIS_DATOS!$C$1481+CROQUIS_DATOS!$C$1482))&gt;0.5),(CROQUIS_DATOS!$C$1566+(IF(IF(MOD(MIN(INT(($A118-1)/2)+1,MAX(1,INT(((((CROQUIS_DATOS!$C$1479+CROQUIS_DATOS!$C$1480))-(CROQUIS_DATOS!$C$1479))+((CROQUIS_DATOS!$C$1476)*CROQUIS_DATOS!$C$1561-((CROQUIS_DATOS!$C$1481+CROQUIS_DATOS!$C$1482))*CROQUIS_DATOS!$C$1561))/CROQUIS_DATOS!$C$1568-0.000001))),2)=1,IF(INT(($A118-1)/2)+1&gt;MAX(1,INT(((((CROQUIS_DATOS!$C$1479+CROQUIS_DATOS!$C$1480))-(CROQUIS_DATOS!$C$1479))+((CROQUIS_DATOS!$C$1476)*CROQUIS_DATOS!$C$1561-((CROQUIS_DATOS!$C$1481+CROQUIS_DATOS!$C$1482))*CROQUIS_DATOS!$C$1561))/CROQUIS_DATOS!$C$1568-0.000001)),1,MOD($A118-1,2)),1-IF(INT(($A118-1)/2)+1&gt;MAX(1,INT(((((CROQUIS_DATOS!$C$1479+CROQUIS_DATOS!$C$1480))-(CROQUIS_DATOS!$C$1479))+((CROQUIS_DATOS!$C$1476)*CROQUIS_DATOS!$C$1561-((CROQUIS_DATOS!$C$1481+CROQUIS_DATOS!$C$1482))*CROQUIS_DATOS!$C$1561))/CROQUIS_DATOS!$C$1568-0.000001)),1,MOD($A118-1,2)))=1,MIN((CROQUIS_DATOS!$C$1476)*CROQUIS_DATOS!$C$1561,((CROQUIS_DATOS!$C$1479+CROQUIS_DATOS!$C$1480)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8">
        <f>IF(AND(CROQUIS_DATOS!$C$1472=1,CROQUIS_DATOS!$C$1478&gt;=1,((CROQUIS_DATOS!$C$1479+CROQUIS_DATOS!$C$1480))-(CROQUIS_DATOS!$C$1479)&gt;0.5,(CROQUIS_DATOS!$C$1476)-((CROQUIS_DATOS!$C$1481+CROQUIS_DATOS!$C$1482))&gt;0.5),(CROQUIS_DATOS!$C$1567+(IF(IF(MOD(MIN(INT(($A118-1)/2)+1,MAX(1,INT(((((CROQUIS_DATOS!$C$1479+CROQUIS_DATOS!$C$1480))-(CROQUIS_DATOS!$C$1479))+((CROQUIS_DATOS!$C$1476)*CROQUIS_DATOS!$C$1561-((CROQUIS_DATOS!$C$1481+CROQUIS_DATOS!$C$1482))*CROQUIS_DATOS!$C$1561))/CROQUIS_DATOS!$C$1568-0.000001))),2)=1,IF(INT(($A118-1)/2)+1&gt;MAX(1,INT(((((CROQUIS_DATOS!$C$1479+CROQUIS_DATOS!$C$1480))-(CROQUIS_DATOS!$C$1479))+((CROQUIS_DATOS!$C$1476)*CROQUIS_DATOS!$C$1561-((CROQUIS_DATOS!$C$1481+CROQUIS_DATOS!$C$1482))*CROQUIS_DATOS!$C$1561))/CROQUIS_DATOS!$C$1568-0.000001)),1,MOD($A118-1,2)),1-IF(INT(($A118-1)/2)+1&gt;MAX(1,INT(((((CROQUIS_DATOS!$C$1479+CROQUIS_DATOS!$C$1480))-(CROQUIS_DATOS!$C$1479))+((CROQUIS_DATOS!$C$1476)*CROQUIS_DATOS!$C$1561-((CROQUIS_DATOS!$C$1481+CROQUIS_DATOS!$C$1482))*CROQUIS_DATOS!$C$1561))/CROQUIS_DATOS!$C$1568-0.000001)),1,MOD($A118-1,2)))=1,MIN((CROQUIS_DATOS!$C$1476)*CROQUIS_DATOS!$C$1561,((CROQUIS_DATOS!$C$1479+CROQUIS_DATOS!$C$1480)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8">
        <f>IF(AND(CROQUIS_DATOS!$C$1472=1,CROQUIS_DATOS!$C$1478&gt;=2,((CROQUIS_DATOS!$C$1484+CROQUIS_DATOS!$C$1485))-(CROQUIS_DATOS!$C$1484)&gt;0.5,(CROQUIS_DATOS!$C$1486)-(0)&gt;0.5),(CROQUIS_DATOS!$C$1566+(IF(IF(MOD(MIN(INT(($A118-1)/2)+1,MAX(1,INT(((((CROQUIS_DATOS!$C$1484+CROQUIS_DATOS!$C$1485))-(CROQUIS_DATOS!$C$1484))+((CROQUIS_DATOS!$C$1486)*CROQUIS_DATOS!$C$1561-(0)*CROQUIS_DATOS!$C$1561))/CROQUIS_DATOS!$C$1568-0.000001))),2)=1,IF(INT(($A118-1)/2)+1&gt;MAX(1,INT(((((CROQUIS_DATOS!$C$1484+CROQUIS_DATOS!$C$1485))-(CROQUIS_DATOS!$C$1484))+((CROQUIS_DATOS!$C$1486)*CROQUIS_DATOS!$C$1561-(0)*CROQUIS_DATOS!$C$1561))/CROQUIS_DATOS!$C$1568-0.000001)),1,MOD($A118-1,2)),1-IF(INT(($A118-1)/2)+1&gt;MAX(1,INT(((((CROQUIS_DATOS!$C$1484+CROQUIS_DATOS!$C$1485))-(CROQUIS_DATOS!$C$1484))+((CROQUIS_DATOS!$C$1486)*CROQUIS_DATOS!$C$1561-(0)*CROQUIS_DATOS!$C$1561))/CROQUIS_DATOS!$C$1568-0.000001)),1,MOD($A118-1,2)))=1,MIN((CROQUIS_DATOS!$C$1486)*CROQUIS_DATOS!$C$1561,((CROQUIS_DATOS!$C$1484+CROQUIS_DATOS!$C$1485)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8">
        <f>IF(AND(CROQUIS_DATOS!$C$1472=1,CROQUIS_DATOS!$C$1478&gt;=2,((CROQUIS_DATOS!$C$1484+CROQUIS_DATOS!$C$1485))-(CROQUIS_DATOS!$C$1484)&gt;0.5,(CROQUIS_DATOS!$C$1486)-(0)&gt;0.5),(CROQUIS_DATOS!$C$1567+(IF(IF(MOD(MIN(INT(($A118-1)/2)+1,MAX(1,INT(((((CROQUIS_DATOS!$C$1484+CROQUIS_DATOS!$C$1485))-(CROQUIS_DATOS!$C$1484))+((CROQUIS_DATOS!$C$1486)*CROQUIS_DATOS!$C$1561-(0)*CROQUIS_DATOS!$C$1561))/CROQUIS_DATOS!$C$1568-0.000001))),2)=1,IF(INT(($A118-1)/2)+1&gt;MAX(1,INT(((((CROQUIS_DATOS!$C$1484+CROQUIS_DATOS!$C$1485))-(CROQUIS_DATOS!$C$1484))+((CROQUIS_DATOS!$C$1486)*CROQUIS_DATOS!$C$1561-(0)*CROQUIS_DATOS!$C$1561))/CROQUIS_DATOS!$C$1568-0.000001)),1,MOD($A118-1,2)),1-IF(INT(($A118-1)/2)+1&gt;MAX(1,INT(((((CROQUIS_DATOS!$C$1484+CROQUIS_DATOS!$C$1485))-(CROQUIS_DATOS!$C$1484))+((CROQUIS_DATOS!$C$1486)*CROQUIS_DATOS!$C$1561-(0)*CROQUIS_DATOS!$C$1561))/CROQUIS_DATOS!$C$1568-0.000001)),1,MOD($A118-1,2)))=1,MIN((CROQUIS_DATOS!$C$1486)*CROQUIS_DATOS!$C$1561,((CROQUIS_DATOS!$C$1484+CROQUIS_DATOS!$C$1485)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8">
        <f>IF(AND(CROQUIS_DATOS!$C$1472=1,CROQUIS_DATOS!$C$1478&gt;=2,((CROQUIS_DATOS!$C$1484+CROQUIS_DATOS!$C$1485))-(CROQUIS_DATOS!$C$1484)&gt;0.5,(CROQUIS_DATOS!$C$1476)-((CROQUIS_DATOS!$C$1486+CROQUIS_DATOS!$C$1487))&gt;0.5),(CROQUIS_DATOS!$C$1566+(IF(IF(MOD(MIN(INT(($A118-1)/2)+1,MAX(1,INT(((((CROQUIS_DATOS!$C$1484+CROQUIS_DATOS!$C$1485))-(CROQUIS_DATOS!$C$1484))+((CROQUIS_DATOS!$C$1476)*CROQUIS_DATOS!$C$1561-((CROQUIS_DATOS!$C$1486+CROQUIS_DATOS!$C$1487))*CROQUIS_DATOS!$C$1561))/CROQUIS_DATOS!$C$1568-0.000001))),2)=1,IF(INT(($A118-1)/2)+1&gt;MAX(1,INT(((((CROQUIS_DATOS!$C$1484+CROQUIS_DATOS!$C$1485))-(CROQUIS_DATOS!$C$1484))+((CROQUIS_DATOS!$C$1476)*CROQUIS_DATOS!$C$1561-((CROQUIS_DATOS!$C$1486+CROQUIS_DATOS!$C$1487))*CROQUIS_DATOS!$C$1561))/CROQUIS_DATOS!$C$1568-0.000001)),1,MOD($A118-1,2)),1-IF(INT(($A118-1)/2)+1&gt;MAX(1,INT(((((CROQUIS_DATOS!$C$1484+CROQUIS_DATOS!$C$1485))-(CROQUIS_DATOS!$C$1484))+((CROQUIS_DATOS!$C$1476)*CROQUIS_DATOS!$C$1561-((CROQUIS_DATOS!$C$1486+CROQUIS_DATOS!$C$1487))*CROQUIS_DATOS!$C$1561))/CROQUIS_DATOS!$C$1568-0.000001)),1,MOD($A118-1,2)))=1,MIN((CROQUIS_DATOS!$C$1476)*CROQUIS_DATOS!$C$1561,((CROQUIS_DATOS!$C$1484+CROQUIS_DATOS!$C$1485)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8">
        <f>IF(AND(CROQUIS_DATOS!$C$1472=1,CROQUIS_DATOS!$C$1478&gt;=2,((CROQUIS_DATOS!$C$1484+CROQUIS_DATOS!$C$1485))-(CROQUIS_DATOS!$C$1484)&gt;0.5,(CROQUIS_DATOS!$C$1476)-((CROQUIS_DATOS!$C$1486+CROQUIS_DATOS!$C$1487))&gt;0.5),(CROQUIS_DATOS!$C$1567+(IF(IF(MOD(MIN(INT(($A118-1)/2)+1,MAX(1,INT(((((CROQUIS_DATOS!$C$1484+CROQUIS_DATOS!$C$1485))-(CROQUIS_DATOS!$C$1484))+((CROQUIS_DATOS!$C$1476)*CROQUIS_DATOS!$C$1561-((CROQUIS_DATOS!$C$1486+CROQUIS_DATOS!$C$1487))*CROQUIS_DATOS!$C$1561))/CROQUIS_DATOS!$C$1568-0.000001))),2)=1,IF(INT(($A118-1)/2)+1&gt;MAX(1,INT(((((CROQUIS_DATOS!$C$1484+CROQUIS_DATOS!$C$1485))-(CROQUIS_DATOS!$C$1484))+((CROQUIS_DATOS!$C$1476)*CROQUIS_DATOS!$C$1561-((CROQUIS_DATOS!$C$1486+CROQUIS_DATOS!$C$1487))*CROQUIS_DATOS!$C$1561))/CROQUIS_DATOS!$C$1568-0.000001)),1,MOD($A118-1,2)),1-IF(INT(($A118-1)/2)+1&gt;MAX(1,INT(((((CROQUIS_DATOS!$C$1484+CROQUIS_DATOS!$C$1485))-(CROQUIS_DATOS!$C$1484))+((CROQUIS_DATOS!$C$1476)*CROQUIS_DATOS!$C$1561-((CROQUIS_DATOS!$C$1486+CROQUIS_DATOS!$C$1487))*CROQUIS_DATOS!$C$1561))/CROQUIS_DATOS!$C$1568-0.000001)),1,MOD($A118-1,2)))=1,MIN((CROQUIS_DATOS!$C$1476)*CROQUIS_DATOS!$C$1561,((CROQUIS_DATOS!$C$1484+CROQUIS_DATOS!$C$1485)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8">
        <f>IF(AND(CROQUIS_DATOS!$C$1472=1,CROQUIS_DATOS!$C$1478&gt;=3,((CROQUIS_DATOS!$C$1489+CROQUIS_DATOS!$C$1490))-(CROQUIS_DATOS!$C$1489)&gt;0.5,(CROQUIS_DATOS!$C$1491)-(0)&gt;0.5),(CROQUIS_DATOS!$C$1566+(IF(IF(MOD(MIN(INT(($A118-1)/2)+1,MAX(1,INT(((((CROQUIS_DATOS!$C$1489+CROQUIS_DATOS!$C$1490))-(CROQUIS_DATOS!$C$1489))+((CROQUIS_DATOS!$C$1491)*CROQUIS_DATOS!$C$1561-(0)*CROQUIS_DATOS!$C$1561))/CROQUIS_DATOS!$C$1568-0.000001))),2)=1,IF(INT(($A118-1)/2)+1&gt;MAX(1,INT(((((CROQUIS_DATOS!$C$1489+CROQUIS_DATOS!$C$1490))-(CROQUIS_DATOS!$C$1489))+((CROQUIS_DATOS!$C$1491)*CROQUIS_DATOS!$C$1561-(0)*CROQUIS_DATOS!$C$1561))/CROQUIS_DATOS!$C$1568-0.000001)),1,MOD($A118-1,2)),1-IF(INT(($A118-1)/2)+1&gt;MAX(1,INT(((((CROQUIS_DATOS!$C$1489+CROQUIS_DATOS!$C$1490))-(CROQUIS_DATOS!$C$1489))+((CROQUIS_DATOS!$C$1491)*CROQUIS_DATOS!$C$1561-(0)*CROQUIS_DATOS!$C$1561))/CROQUIS_DATOS!$C$1568-0.000001)),1,MOD($A118-1,2)))=1,MIN((CROQUIS_DATOS!$C$1491)*CROQUIS_DATOS!$C$1561,((CROQUIS_DATOS!$C$1489+CROQUIS_DATOS!$C$1490)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8">
        <f>IF(AND(CROQUIS_DATOS!$C$1472=1,CROQUIS_DATOS!$C$1478&gt;=3,((CROQUIS_DATOS!$C$1489+CROQUIS_DATOS!$C$1490))-(CROQUIS_DATOS!$C$1489)&gt;0.5,(CROQUIS_DATOS!$C$1491)-(0)&gt;0.5),(CROQUIS_DATOS!$C$1567+(IF(IF(MOD(MIN(INT(($A118-1)/2)+1,MAX(1,INT(((((CROQUIS_DATOS!$C$1489+CROQUIS_DATOS!$C$1490))-(CROQUIS_DATOS!$C$1489))+((CROQUIS_DATOS!$C$1491)*CROQUIS_DATOS!$C$1561-(0)*CROQUIS_DATOS!$C$1561))/CROQUIS_DATOS!$C$1568-0.000001))),2)=1,IF(INT(($A118-1)/2)+1&gt;MAX(1,INT(((((CROQUIS_DATOS!$C$1489+CROQUIS_DATOS!$C$1490))-(CROQUIS_DATOS!$C$1489))+((CROQUIS_DATOS!$C$1491)*CROQUIS_DATOS!$C$1561-(0)*CROQUIS_DATOS!$C$1561))/CROQUIS_DATOS!$C$1568-0.000001)),1,MOD($A118-1,2)),1-IF(INT(($A118-1)/2)+1&gt;MAX(1,INT(((((CROQUIS_DATOS!$C$1489+CROQUIS_DATOS!$C$1490))-(CROQUIS_DATOS!$C$1489))+((CROQUIS_DATOS!$C$1491)*CROQUIS_DATOS!$C$1561-(0)*CROQUIS_DATOS!$C$1561))/CROQUIS_DATOS!$C$1568-0.000001)),1,MOD($A118-1,2)))=1,MIN((CROQUIS_DATOS!$C$1491)*CROQUIS_DATOS!$C$1561,((CROQUIS_DATOS!$C$1489+CROQUIS_DATOS!$C$1490)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8">
        <f>IF(AND(CROQUIS_DATOS!$C$1472=1,CROQUIS_DATOS!$C$1478&gt;=3,((CROQUIS_DATOS!$C$1489+CROQUIS_DATOS!$C$1490))-(CROQUIS_DATOS!$C$1489)&gt;0.5,(CROQUIS_DATOS!$C$1476)-((CROQUIS_DATOS!$C$1491+CROQUIS_DATOS!$C$1492))&gt;0.5),(CROQUIS_DATOS!$C$1566+(IF(IF(MOD(MIN(INT(($A118-1)/2)+1,MAX(1,INT(((((CROQUIS_DATOS!$C$1489+CROQUIS_DATOS!$C$1490))-(CROQUIS_DATOS!$C$1489))+((CROQUIS_DATOS!$C$1476)*CROQUIS_DATOS!$C$1561-((CROQUIS_DATOS!$C$1491+CROQUIS_DATOS!$C$1492))*CROQUIS_DATOS!$C$1561))/CROQUIS_DATOS!$C$1568-0.000001))),2)=1,IF(INT(($A118-1)/2)+1&gt;MAX(1,INT(((((CROQUIS_DATOS!$C$1489+CROQUIS_DATOS!$C$1490))-(CROQUIS_DATOS!$C$1489))+((CROQUIS_DATOS!$C$1476)*CROQUIS_DATOS!$C$1561-((CROQUIS_DATOS!$C$1491+CROQUIS_DATOS!$C$1492))*CROQUIS_DATOS!$C$1561))/CROQUIS_DATOS!$C$1568-0.000001)),1,MOD($A118-1,2)),1-IF(INT(($A118-1)/2)+1&gt;MAX(1,INT(((((CROQUIS_DATOS!$C$1489+CROQUIS_DATOS!$C$1490))-(CROQUIS_DATOS!$C$1489))+((CROQUIS_DATOS!$C$1476)*CROQUIS_DATOS!$C$1561-((CROQUIS_DATOS!$C$1491+CROQUIS_DATOS!$C$1492))*CROQUIS_DATOS!$C$1561))/CROQUIS_DATOS!$C$1568-0.000001)),1,MOD($A118-1,2)))=1,MIN((CROQUIS_DATOS!$C$1476)*CROQUIS_DATOS!$C$1561,((CROQUIS_DATOS!$C$1489+CROQUIS_DATOS!$C$1490)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8">
        <f>IF(AND(CROQUIS_DATOS!$C$1472=1,CROQUIS_DATOS!$C$1478&gt;=3,((CROQUIS_DATOS!$C$1489+CROQUIS_DATOS!$C$1490))-(CROQUIS_DATOS!$C$1489)&gt;0.5,(CROQUIS_DATOS!$C$1476)-((CROQUIS_DATOS!$C$1491+CROQUIS_DATOS!$C$1492))&gt;0.5),(CROQUIS_DATOS!$C$1567+(IF(IF(MOD(MIN(INT(($A118-1)/2)+1,MAX(1,INT(((((CROQUIS_DATOS!$C$1489+CROQUIS_DATOS!$C$1490))-(CROQUIS_DATOS!$C$1489))+((CROQUIS_DATOS!$C$1476)*CROQUIS_DATOS!$C$1561-((CROQUIS_DATOS!$C$1491+CROQUIS_DATOS!$C$1492))*CROQUIS_DATOS!$C$1561))/CROQUIS_DATOS!$C$1568-0.000001))),2)=1,IF(INT(($A118-1)/2)+1&gt;MAX(1,INT(((((CROQUIS_DATOS!$C$1489+CROQUIS_DATOS!$C$1490))-(CROQUIS_DATOS!$C$1489))+((CROQUIS_DATOS!$C$1476)*CROQUIS_DATOS!$C$1561-((CROQUIS_DATOS!$C$1491+CROQUIS_DATOS!$C$1492))*CROQUIS_DATOS!$C$1561))/CROQUIS_DATOS!$C$1568-0.000001)),1,MOD($A118-1,2)),1-IF(INT(($A118-1)/2)+1&gt;MAX(1,INT(((((CROQUIS_DATOS!$C$1489+CROQUIS_DATOS!$C$1490))-(CROQUIS_DATOS!$C$1489))+((CROQUIS_DATOS!$C$1476)*CROQUIS_DATOS!$C$1561-((CROQUIS_DATOS!$C$1491+CROQUIS_DATOS!$C$1492))*CROQUIS_DATOS!$C$1561))/CROQUIS_DATOS!$C$1568-0.000001)),1,MOD($A118-1,2)))=1,MIN((CROQUIS_DATOS!$C$1476)*CROQUIS_DATOS!$C$1561,((CROQUIS_DATOS!$C$1489+CROQUIS_DATOS!$C$1490)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8">
        <f>IF(AND(CROQUIS_DATOS!$C$1472=1,CROQUIS_DATOS!$C$1478&gt;=4,((CROQUIS_DATOS!$C$1494+CROQUIS_DATOS!$C$1495))-(CROQUIS_DATOS!$C$1494)&gt;0.5,(CROQUIS_DATOS!$C$1496)-(0)&gt;0.5),(CROQUIS_DATOS!$C$1566+(IF(IF(MOD(MIN(INT(($A118-1)/2)+1,MAX(1,INT(((((CROQUIS_DATOS!$C$1494+CROQUIS_DATOS!$C$1495))-(CROQUIS_DATOS!$C$1494))+((CROQUIS_DATOS!$C$1496)*CROQUIS_DATOS!$C$1561-(0)*CROQUIS_DATOS!$C$1561))/CROQUIS_DATOS!$C$1568-0.000001))),2)=1,IF(INT(($A118-1)/2)+1&gt;MAX(1,INT(((((CROQUIS_DATOS!$C$1494+CROQUIS_DATOS!$C$1495))-(CROQUIS_DATOS!$C$1494))+((CROQUIS_DATOS!$C$1496)*CROQUIS_DATOS!$C$1561-(0)*CROQUIS_DATOS!$C$1561))/CROQUIS_DATOS!$C$1568-0.000001)),1,MOD($A118-1,2)),1-IF(INT(($A118-1)/2)+1&gt;MAX(1,INT(((((CROQUIS_DATOS!$C$1494+CROQUIS_DATOS!$C$1495))-(CROQUIS_DATOS!$C$1494))+((CROQUIS_DATOS!$C$1496)*CROQUIS_DATOS!$C$1561-(0)*CROQUIS_DATOS!$C$1561))/CROQUIS_DATOS!$C$1568-0.000001)),1,MOD($A118-1,2)))=1,MIN((CROQUIS_DATOS!$C$1496)*CROQUIS_DATOS!$C$1561,((CROQUIS_DATOS!$C$1494+CROQUIS_DATOS!$C$1495)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8">
        <f>IF(AND(CROQUIS_DATOS!$C$1472=1,CROQUIS_DATOS!$C$1478&gt;=4,((CROQUIS_DATOS!$C$1494+CROQUIS_DATOS!$C$1495))-(CROQUIS_DATOS!$C$1494)&gt;0.5,(CROQUIS_DATOS!$C$1496)-(0)&gt;0.5),(CROQUIS_DATOS!$C$1567+(IF(IF(MOD(MIN(INT(($A118-1)/2)+1,MAX(1,INT(((((CROQUIS_DATOS!$C$1494+CROQUIS_DATOS!$C$1495))-(CROQUIS_DATOS!$C$1494))+((CROQUIS_DATOS!$C$1496)*CROQUIS_DATOS!$C$1561-(0)*CROQUIS_DATOS!$C$1561))/CROQUIS_DATOS!$C$1568-0.000001))),2)=1,IF(INT(($A118-1)/2)+1&gt;MAX(1,INT(((((CROQUIS_DATOS!$C$1494+CROQUIS_DATOS!$C$1495))-(CROQUIS_DATOS!$C$1494))+((CROQUIS_DATOS!$C$1496)*CROQUIS_DATOS!$C$1561-(0)*CROQUIS_DATOS!$C$1561))/CROQUIS_DATOS!$C$1568-0.000001)),1,MOD($A118-1,2)),1-IF(INT(($A118-1)/2)+1&gt;MAX(1,INT(((((CROQUIS_DATOS!$C$1494+CROQUIS_DATOS!$C$1495))-(CROQUIS_DATOS!$C$1494))+((CROQUIS_DATOS!$C$1496)*CROQUIS_DATOS!$C$1561-(0)*CROQUIS_DATOS!$C$1561))/CROQUIS_DATOS!$C$1568-0.000001)),1,MOD($A118-1,2)))=1,MIN((CROQUIS_DATOS!$C$1496)*CROQUIS_DATOS!$C$1561,((CROQUIS_DATOS!$C$1494+CROQUIS_DATOS!$C$1495)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8">
        <f>IF(AND(CROQUIS_DATOS!$C$1472=1,CROQUIS_DATOS!$C$1478&gt;=4,((CROQUIS_DATOS!$C$1494+CROQUIS_DATOS!$C$1495))-(CROQUIS_DATOS!$C$1494)&gt;0.5,(CROQUIS_DATOS!$C$1476)-((CROQUIS_DATOS!$C$1496+CROQUIS_DATOS!$C$1497))&gt;0.5),(CROQUIS_DATOS!$C$1566+(IF(IF(MOD(MIN(INT(($A118-1)/2)+1,MAX(1,INT(((((CROQUIS_DATOS!$C$1494+CROQUIS_DATOS!$C$1495))-(CROQUIS_DATOS!$C$1494))+((CROQUIS_DATOS!$C$1476)*CROQUIS_DATOS!$C$1561-((CROQUIS_DATOS!$C$1496+CROQUIS_DATOS!$C$1497))*CROQUIS_DATOS!$C$1561))/CROQUIS_DATOS!$C$1568-0.000001))),2)=1,IF(INT(($A118-1)/2)+1&gt;MAX(1,INT(((((CROQUIS_DATOS!$C$1494+CROQUIS_DATOS!$C$1495))-(CROQUIS_DATOS!$C$1494))+((CROQUIS_DATOS!$C$1476)*CROQUIS_DATOS!$C$1561-((CROQUIS_DATOS!$C$1496+CROQUIS_DATOS!$C$1497))*CROQUIS_DATOS!$C$1561))/CROQUIS_DATOS!$C$1568-0.000001)),1,MOD($A118-1,2)),1-IF(INT(($A118-1)/2)+1&gt;MAX(1,INT(((((CROQUIS_DATOS!$C$1494+CROQUIS_DATOS!$C$1495))-(CROQUIS_DATOS!$C$1494))+((CROQUIS_DATOS!$C$1476)*CROQUIS_DATOS!$C$1561-((CROQUIS_DATOS!$C$1496+CROQUIS_DATOS!$C$1497))*CROQUIS_DATOS!$C$1561))/CROQUIS_DATOS!$C$1568-0.000001)),1,MOD($A118-1,2)))=1,MIN((CROQUIS_DATOS!$C$1476)*CROQUIS_DATOS!$C$1561,((CROQUIS_DATOS!$C$1494+CROQUIS_DATOS!$C$1495)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8">
        <f>IF(AND(CROQUIS_DATOS!$C$1472=1,CROQUIS_DATOS!$C$1478&gt;=4,((CROQUIS_DATOS!$C$1494+CROQUIS_DATOS!$C$1495))-(CROQUIS_DATOS!$C$1494)&gt;0.5,(CROQUIS_DATOS!$C$1476)-((CROQUIS_DATOS!$C$1496+CROQUIS_DATOS!$C$1497))&gt;0.5),(CROQUIS_DATOS!$C$1567+(IF(IF(MOD(MIN(INT(($A118-1)/2)+1,MAX(1,INT(((((CROQUIS_DATOS!$C$1494+CROQUIS_DATOS!$C$1495))-(CROQUIS_DATOS!$C$1494))+((CROQUIS_DATOS!$C$1476)*CROQUIS_DATOS!$C$1561-((CROQUIS_DATOS!$C$1496+CROQUIS_DATOS!$C$1497))*CROQUIS_DATOS!$C$1561))/CROQUIS_DATOS!$C$1568-0.000001))),2)=1,IF(INT(($A118-1)/2)+1&gt;MAX(1,INT(((((CROQUIS_DATOS!$C$1494+CROQUIS_DATOS!$C$1495))-(CROQUIS_DATOS!$C$1494))+((CROQUIS_DATOS!$C$1476)*CROQUIS_DATOS!$C$1561-((CROQUIS_DATOS!$C$1496+CROQUIS_DATOS!$C$1497))*CROQUIS_DATOS!$C$1561))/CROQUIS_DATOS!$C$1568-0.000001)),1,MOD($A118-1,2)),1-IF(INT(($A118-1)/2)+1&gt;MAX(1,INT(((((CROQUIS_DATOS!$C$1494+CROQUIS_DATOS!$C$1495))-(CROQUIS_DATOS!$C$1494))+((CROQUIS_DATOS!$C$1476)*CROQUIS_DATOS!$C$1561-((CROQUIS_DATOS!$C$1496+CROQUIS_DATOS!$C$1497))*CROQUIS_DATOS!$C$1561))/CROQUIS_DATOS!$C$1568-0.000001)),1,MOD($A118-1,2)))=1,MIN((CROQUIS_DATOS!$C$1476)*CROQUIS_DATOS!$C$1561,((CROQUIS_DATOS!$C$1494+CROQUIS_DATOS!$C$1495)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19">
      <c r="A119" t="n">
        <v>112</v>
      </c>
      <c r="N119">
        <f>IF(AND(CROQUIS_DATOS!$C$1472=1,1),(CROQUIS_DATOS!$C$1563+(IF(IF(IF(INT(($A119-1)/70)+1&gt;CROQUIS_DATOS!$C$1525,70,MOD($A119-1,70)+1)=1,0,IF(IF(INT(($A119-1)/70)+1&gt;CROQUIS_DATOS!$C$1525,70,MOD($A119-1,70)+1)&gt;2*CROQUIS_DATOS!$C$1541+1,IF(MOD(CROQUIS_DATOS!$C$1541,2)=1,1,0),IF(MOD(MIN(INT((IF(INT(($A119-1)/70)+1&gt;CROQUIS_DATOS!$C$1525,70,MOD($A119-1,70)+1)-2)/2)+1,CROQUIS_DATOS!$C$1541),2)=1,IF(MOD(IF(INT(($A119-1)/70)+1&gt;CROQUIS_DATOS!$C$1525,70,MOD($A119-1,70)+1)-2,2)=0,0,1),IF(MOD(IF(INT(($A119-1)/70)+1&gt;CROQUIS_DATOS!$C$1525,70,MOD($A119-1,70)+1)-2,2)=0,1,0))))=0,(INDEX($E$8:$E$23,MIN(INT(($A119-1)/70)+1,CROQUIS_DATOS!$C$1525))-INDEX($F$8:$F$23,MIN(INT(($A119-1)/70)+1,CROQUIS_DATOS!$C$1525))/2),(INDEX($E$8:$E$23,MIN(INT(($A119-1)/70)+1,CROQUIS_DATOS!$C$1525))+INDEX($F$8:$F$23,MIN(INT(($A119-1)/70)+1,CROQUIS_DATOS!$C$1525))/2)))*CROQUIS_DATOS!$C$1562),-1000)</f>
        <v>18.5775862068965</v>
      </c>
      <c r="O119">
        <f>IF(AND(CROQUIS_DATOS!$C$1472=1,1),(CROQUIS_DATOS!$C$1564+(IF(OR(IF(INT(($A119-1)/70)+1&gt;CROQUIS_DATOS!$C$1525,70,MOD($A119-1,70)+1)=1,IF(INT(($A119-1)/70)+1&gt;CROQUIS_DATOS!$C$1525,70,MOD($A119-1,70)+1)&gt;2*CROQUIS_DATOS!$C$1541+1),CROQUIS_DATOS!$C$1476,INDEX($H$8:$H$41,MIN(INT((IF(INT(($A119-1)/70)+1&gt;CROQUIS_DATOS!$C$1525,70,MOD($A119-1,70)+1)-2)/2)+1,CROQUIS_DATOS!$C$1541))))*CROQUIS_DATOS!$C$1561*CROQUIS_DATOS!$C$1562),-1000)</f>
        <v>40.2068965517241</v>
      </c>
      <c r="P119">
        <f>IF(AND(CROQUIS_DATOS!$C$1472=1,CROQUIS_DATOS!$C$1555=1),(CROQUIS_DATOS!$C$1563+(IF(IF(OR(MOD($A119-1,62)+1=1,IF(CHOOSE(MIN(MAX(MIN(INT(($A119-1)/62)+1,5),1),5),CROQUIS_DATOS!$C$1501,CROQUIS_DATOS!$C$1505,CROQUIS_DATOS!$C$1509,CROQUIS_DATOS!$C$1513,CROQUIS_DATOS!$C$1517)=1,CROQUIS_DATOS!$C$1557,0)=0),0,IF(MOD($A119-1,62)+1&gt;2*IF(CHOOSE(MIN(MAX(MIN(INT(($A119-1)/62)+1,5),1),5),CROQUIS_DATOS!$C$1501,CROQUIS_DATOS!$C$1505,CROQUIS_DATOS!$C$1509,CROQUIS_DATOS!$C$1513,CROQUIS_DATOS!$C$1517)=1,CROQUIS_DATOS!$C$1557,0)+1,IF(MOD(IF(CHOOSE(MIN(MAX(MIN(INT(($A119-1)/62)+1,5),1),5),CROQUIS_DATOS!$C$1501,CROQUIS_DATOS!$C$1505,CROQUIS_DATOS!$C$1509,CROQUIS_DATOS!$C$1513,CROQUIS_DATOS!$C$1517)=1,CROQUIS_DATOS!$C$1557,0),2)=1,1,0),IF(MOD(MIN(INT((MOD($A119-1,62)+1-2)/2)+1,MAX(IF(CHOOSE(MIN(MAX(MIN(INT(($A119-1)/62)+1,5),1),5),CROQUIS_DATOS!$C$1501,CROQUIS_DATOS!$C$1505,CROQUIS_DATOS!$C$1509,CROQUIS_DATOS!$C$1513,CROQUIS_DATOS!$C$1517)=1,CROQUIS_DATOS!$C$1557,0),1)),2)=1,IF(MOD(MOD($A119-1,62)+1-2,2)=0,0,1),IF(MOD(MOD($A119-1,62)+1-2,2)=0,1,0))))=0,(CHOOSE(MIN(MAX(MIN(INT(($A119-1)/62)+1,5),1),5),CROQUIS_DATOS!$C$1499,CROQUIS_DATOS!$C$1503,CROQUIS_DATOS!$C$1507,CROQUIS_DATOS!$C$1511,CROQUIS_DATOS!$C$1515)+IF(CHOOSE(MIN(MAX(MIN(INT(($A119-1)/62)+1,5),1),5),CROQUIS_DATOS!$C$1501,CROQUIS_DATOS!$C$1505,CROQUIS_DATOS!$C$1509,CROQUIS_DATOS!$C$1513,CROQUIS_DATOS!$C$1517)=1,CROQUIS_DATOS!$C$1526,0)),(CHOOSE(MIN(MAX(MIN(INT(($A119-1)/62)+1,5),1),5),CROQUIS_DATOS!$C$1499,CROQUIS_DATOS!$C$1503,CROQUIS_DATOS!$C$1507,CROQUIS_DATOS!$C$1511,CROQUIS_DATOS!$C$1515)+CHOOSE(MIN(MAX(MIN(INT(($A119-1)/62)+1,5),1),5),CROQUIS_DATOS!$C$1500,CROQUIS_DATOS!$C$1504,CROQUIS_DATOS!$C$1508,CROQUIS_DATOS!$C$1512,CROQUIS_DATOS!$C$1516)-IF(CHOOSE(MIN(MAX(MIN(INT(($A119-1)/62)+1,5),1),5),CROQUIS_DATOS!$C$1501,CROQUIS_DATOS!$C$1505,CROQUIS_DATOS!$C$1509,CROQUIS_DATOS!$C$1513,CROQUIS_DATOS!$C$1517)=1,CROQUIS_DATOS!$C$1526,0))))*CROQUIS_DATOS!$C$1562),-1000)</f>
        <v>-1000</v>
      </c>
      <c r="Q119">
        <f>IF(AND(CROQUIS_DATOS!$C$1472=1,CROQUIS_DATOS!$C$1555=1),(CROQUIS_DATOS!$C$1564+(IF(OR(OR(MOD($A119-1,62)+1=1,IF(CHOOSE(MIN(MAX(MIN(INT(($A119-1)/62)+1,5),1),5),CROQUIS_DATOS!$C$1501,CROQUIS_DATOS!$C$1505,CROQUIS_DATOS!$C$1509,CROQUIS_DATOS!$C$1513,CROQUIS_DATOS!$C$1517)=1,CROQUIS_DATOS!$C$1557,0)=0),MOD($A119-1,62)+1&gt;2*IF(CHOOSE(MIN(MAX(MIN(INT(($A119-1)/62)+1,5),1),5),CROQUIS_DATOS!$C$1501,CROQUIS_DATOS!$C$1505,CROQUIS_DATOS!$C$1509,CROQUIS_DATOS!$C$1513,CROQUIS_DATOS!$C$1517)=1,CROQUIS_DATOS!$C$1557,0)+1),CROQUIS_DATOS!$C$1476,MIN(INT((MOD($A119-1,62)+1-2)/2)+1,MAX(IF(CHOOSE(MIN(MAX(MIN(INT(($A119-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19">
        <f>IF(AND(CROQUIS_DATOS!$C$1472=1,1),(CROQUIS_DATOS!$C$1563+(MIN(INT(($A119-1)/2)+1,CROQUIS_DATOS!$C$1558)*CROQUIS_DATOS!$C$1559)*CROQUIS_DATOS!$C$1562),-1000)</f>
        <v>82.2281167108753</v>
      </c>
      <c r="U119">
        <f>IF(AND(CROQUIS_DATOS!$C$1472=1,1),(CROQUIS_DATOS!$C$1564+(IF(INT(($A119-1)/2)+1&gt;CROQUIS_DATOS!$C$1558,IF(MOD(CROQUIS_DATOS!$C$1558,2)=1,CROQUIS_DATOS!$C$1476+CROQUIS_DATOS!$C$1528,CROQUIS_DATOS!$C$1476),IF(IF(MOD(MIN(INT(($A119-1)/2)+1,CROQUIS_DATOS!$C$1558),2)=1,MOD($A119-1,2),1-MOD($A119-1,2))=1,CROQUIS_DATOS!$C$1476+CROQUIS_DATOS!$C$1528,CROQUIS_DATOS!$C$1476)))*CROQUIS_DATOS!$C$1561*CROQUIS_DATOS!$C$1562),-1000)</f>
        <v>43</v>
      </c>
      <c r="BZ119">
        <f>IF(AND(CROQUIS_DATOS!$C$1472=1,CROQUIS_DATOS!$C$1500&gt;0,((CROQUIS_DATOS!$C$1499+CROQUIS_DATOS!$C$1500))-(CROQUIS_DATOS!$C$1499)&gt;0.5,(CROQUIS_DATOS!$C$1476)-(0)&gt;0.5),(CROQUIS_DATOS!$C$1566+(IF(IF(MOD(MIN(INT(($A119-1)/2)+1,MAX(1,INT(((((CROQUIS_DATOS!$C$1499+CROQUIS_DATOS!$C$1500))-(CROQUIS_DATOS!$C$1499))+((CROQUIS_DATOS!$C$1476)*CROQUIS_DATOS!$C$1561-(0)*CROQUIS_DATOS!$C$1561))/CROQUIS_DATOS!$C$1568-0.000001))),2)=1,IF(INT(($A119-1)/2)+1&gt;MAX(1,INT(((((CROQUIS_DATOS!$C$1499+CROQUIS_DATOS!$C$1500))-(CROQUIS_DATOS!$C$1499))+((CROQUIS_DATOS!$C$1476)*CROQUIS_DATOS!$C$1561-(0)*CROQUIS_DATOS!$C$1561))/CROQUIS_DATOS!$C$1568-0.000001)),1,MOD($A119-1,2)),1-IF(INT(($A119-1)/2)+1&gt;MAX(1,INT(((((CROQUIS_DATOS!$C$1499+CROQUIS_DATOS!$C$1500))-(CROQUIS_DATOS!$C$1499))+((CROQUIS_DATOS!$C$1476)*CROQUIS_DATOS!$C$1561-(0)*CROQUIS_DATOS!$C$1561))/CROQUIS_DATOS!$C$1568-0.000001)),1,MOD($A119-1,2)))=1,MIN((CROQUIS_DATOS!$C$1476)*CROQUIS_DATOS!$C$1561,((CROQUIS_DATOS!$C$1499+CROQUIS_DATOS!$C$1500)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19">
        <f>IF(AND(CROQUIS_DATOS!$C$1472=1,CROQUIS_DATOS!$C$1500&gt;0,((CROQUIS_DATOS!$C$1499+CROQUIS_DATOS!$C$1500))-(CROQUIS_DATOS!$C$1499)&gt;0.5,(CROQUIS_DATOS!$C$1476)-(0)&gt;0.5),(CROQUIS_DATOS!$C$1567+(IF(IF(MOD(MIN(INT(($A119-1)/2)+1,MAX(1,INT(((((CROQUIS_DATOS!$C$1499+CROQUIS_DATOS!$C$1500))-(CROQUIS_DATOS!$C$1499))+((CROQUIS_DATOS!$C$1476)*CROQUIS_DATOS!$C$1561-(0)*CROQUIS_DATOS!$C$1561))/CROQUIS_DATOS!$C$1568-0.000001))),2)=1,IF(INT(($A119-1)/2)+1&gt;MAX(1,INT(((((CROQUIS_DATOS!$C$1499+CROQUIS_DATOS!$C$1500))-(CROQUIS_DATOS!$C$1499))+((CROQUIS_DATOS!$C$1476)*CROQUIS_DATOS!$C$1561-(0)*CROQUIS_DATOS!$C$1561))/CROQUIS_DATOS!$C$1568-0.000001)),1,MOD($A119-1,2)),1-IF(INT(($A119-1)/2)+1&gt;MAX(1,INT(((((CROQUIS_DATOS!$C$1499+CROQUIS_DATOS!$C$1500))-(CROQUIS_DATOS!$C$1499))+((CROQUIS_DATOS!$C$1476)*CROQUIS_DATOS!$C$1561-(0)*CROQUIS_DATOS!$C$1561))/CROQUIS_DATOS!$C$1568-0.000001)),1,MOD($A119-1,2)))=1,MIN((CROQUIS_DATOS!$C$1476)*CROQUIS_DATOS!$C$1561,((CROQUIS_DATOS!$C$1499+CROQUIS_DATOS!$C$1500)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119-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19">
        <f>IF(AND(CROQUIS_DATOS!$C$1472=1,CROQUIS_DATOS!$C$1504&gt;0,((CROQUIS_DATOS!$C$1503+CROQUIS_DATOS!$C$1504))-(CROQUIS_DATOS!$C$1503)&gt;0.5,(CROQUIS_DATOS!$C$1476)-(0)&gt;0.5),(CROQUIS_DATOS!$C$1566+(IF(IF(MOD(MIN(INT(($A119-1)/2)+1,MAX(1,INT(((((CROQUIS_DATOS!$C$1503+CROQUIS_DATOS!$C$1504))-(CROQUIS_DATOS!$C$1503))+((CROQUIS_DATOS!$C$1476)*CROQUIS_DATOS!$C$1561-(0)*CROQUIS_DATOS!$C$1561))/CROQUIS_DATOS!$C$1568-0.000001))),2)=1,IF(INT(($A119-1)/2)+1&gt;MAX(1,INT(((((CROQUIS_DATOS!$C$1503+CROQUIS_DATOS!$C$1504))-(CROQUIS_DATOS!$C$1503))+((CROQUIS_DATOS!$C$1476)*CROQUIS_DATOS!$C$1561-(0)*CROQUIS_DATOS!$C$1561))/CROQUIS_DATOS!$C$1568-0.000001)),1,MOD($A119-1,2)),1-IF(INT(($A119-1)/2)+1&gt;MAX(1,INT(((((CROQUIS_DATOS!$C$1503+CROQUIS_DATOS!$C$1504))-(CROQUIS_DATOS!$C$1503))+((CROQUIS_DATOS!$C$1476)*CROQUIS_DATOS!$C$1561-(0)*CROQUIS_DATOS!$C$1561))/CROQUIS_DATOS!$C$1568-0.000001)),1,MOD($A119-1,2)))=1,MIN((CROQUIS_DATOS!$C$1476)*CROQUIS_DATOS!$C$1561,((CROQUIS_DATOS!$C$1503+CROQUIS_DATOS!$C$1504)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19">
        <f>IF(AND(CROQUIS_DATOS!$C$1472=1,CROQUIS_DATOS!$C$1504&gt;0,((CROQUIS_DATOS!$C$1503+CROQUIS_DATOS!$C$1504))-(CROQUIS_DATOS!$C$1503)&gt;0.5,(CROQUIS_DATOS!$C$1476)-(0)&gt;0.5),(CROQUIS_DATOS!$C$1567+(IF(IF(MOD(MIN(INT(($A119-1)/2)+1,MAX(1,INT(((((CROQUIS_DATOS!$C$1503+CROQUIS_DATOS!$C$1504))-(CROQUIS_DATOS!$C$1503))+((CROQUIS_DATOS!$C$1476)*CROQUIS_DATOS!$C$1561-(0)*CROQUIS_DATOS!$C$1561))/CROQUIS_DATOS!$C$1568-0.000001))),2)=1,IF(INT(($A119-1)/2)+1&gt;MAX(1,INT(((((CROQUIS_DATOS!$C$1503+CROQUIS_DATOS!$C$1504))-(CROQUIS_DATOS!$C$1503))+((CROQUIS_DATOS!$C$1476)*CROQUIS_DATOS!$C$1561-(0)*CROQUIS_DATOS!$C$1561))/CROQUIS_DATOS!$C$1568-0.000001)),1,MOD($A119-1,2)),1-IF(INT(($A119-1)/2)+1&gt;MAX(1,INT(((((CROQUIS_DATOS!$C$1503+CROQUIS_DATOS!$C$1504))-(CROQUIS_DATOS!$C$1503))+((CROQUIS_DATOS!$C$1476)*CROQUIS_DATOS!$C$1561-(0)*CROQUIS_DATOS!$C$1561))/CROQUIS_DATOS!$C$1568-0.000001)),1,MOD($A119-1,2)))=1,MIN((CROQUIS_DATOS!$C$1476)*CROQUIS_DATOS!$C$1561,((CROQUIS_DATOS!$C$1503+CROQUIS_DATOS!$C$1504)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119-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19">
        <f>IF(AND(CROQUIS_DATOS!$C$1472=1,CROQUIS_DATOS!$C$1508&gt;0,((CROQUIS_DATOS!$C$1507+CROQUIS_DATOS!$C$1508))-(CROQUIS_DATOS!$C$1507)&gt;0.5,(CROQUIS_DATOS!$C$1476)-(0)&gt;0.5),(CROQUIS_DATOS!$C$1566+(IF(IF(MOD(MIN(INT(($A119-1)/2)+1,MAX(1,INT(((((CROQUIS_DATOS!$C$1507+CROQUIS_DATOS!$C$1508))-(CROQUIS_DATOS!$C$1507))+((CROQUIS_DATOS!$C$1476)*CROQUIS_DATOS!$C$1561-(0)*CROQUIS_DATOS!$C$1561))/CROQUIS_DATOS!$C$1568-0.000001))),2)=1,IF(INT(($A119-1)/2)+1&gt;MAX(1,INT(((((CROQUIS_DATOS!$C$1507+CROQUIS_DATOS!$C$1508))-(CROQUIS_DATOS!$C$1507))+((CROQUIS_DATOS!$C$1476)*CROQUIS_DATOS!$C$1561-(0)*CROQUIS_DATOS!$C$1561))/CROQUIS_DATOS!$C$1568-0.000001)),1,MOD($A119-1,2)),1-IF(INT(($A119-1)/2)+1&gt;MAX(1,INT(((((CROQUIS_DATOS!$C$1507+CROQUIS_DATOS!$C$1508))-(CROQUIS_DATOS!$C$1507))+((CROQUIS_DATOS!$C$1476)*CROQUIS_DATOS!$C$1561-(0)*CROQUIS_DATOS!$C$1561))/CROQUIS_DATOS!$C$1568-0.000001)),1,MOD($A119-1,2)))=1,MIN((CROQUIS_DATOS!$C$1476)*CROQUIS_DATOS!$C$1561,((CROQUIS_DATOS!$C$1507+CROQUIS_DATOS!$C$1508)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19">
        <f>IF(AND(CROQUIS_DATOS!$C$1472=1,CROQUIS_DATOS!$C$1508&gt;0,((CROQUIS_DATOS!$C$1507+CROQUIS_DATOS!$C$1508))-(CROQUIS_DATOS!$C$1507)&gt;0.5,(CROQUIS_DATOS!$C$1476)-(0)&gt;0.5),(CROQUIS_DATOS!$C$1567+(IF(IF(MOD(MIN(INT(($A119-1)/2)+1,MAX(1,INT(((((CROQUIS_DATOS!$C$1507+CROQUIS_DATOS!$C$1508))-(CROQUIS_DATOS!$C$1507))+((CROQUIS_DATOS!$C$1476)*CROQUIS_DATOS!$C$1561-(0)*CROQUIS_DATOS!$C$1561))/CROQUIS_DATOS!$C$1568-0.000001))),2)=1,IF(INT(($A119-1)/2)+1&gt;MAX(1,INT(((((CROQUIS_DATOS!$C$1507+CROQUIS_DATOS!$C$1508))-(CROQUIS_DATOS!$C$1507))+((CROQUIS_DATOS!$C$1476)*CROQUIS_DATOS!$C$1561-(0)*CROQUIS_DATOS!$C$1561))/CROQUIS_DATOS!$C$1568-0.000001)),1,MOD($A119-1,2)),1-IF(INT(($A119-1)/2)+1&gt;MAX(1,INT(((((CROQUIS_DATOS!$C$1507+CROQUIS_DATOS!$C$1508))-(CROQUIS_DATOS!$C$1507))+((CROQUIS_DATOS!$C$1476)*CROQUIS_DATOS!$C$1561-(0)*CROQUIS_DATOS!$C$1561))/CROQUIS_DATOS!$C$1568-0.000001)),1,MOD($A119-1,2)))=1,MIN((CROQUIS_DATOS!$C$1476)*CROQUIS_DATOS!$C$1561,((CROQUIS_DATOS!$C$1507+CROQUIS_DATOS!$C$1508)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119-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19">
        <f>IF(AND(CROQUIS_DATOS!$C$1472=1,CROQUIS_DATOS!$C$1512&gt;0,((CROQUIS_DATOS!$C$1511+CROQUIS_DATOS!$C$1512))-(CROQUIS_DATOS!$C$1511)&gt;0.5,(CROQUIS_DATOS!$C$1476)-(0)&gt;0.5),(CROQUIS_DATOS!$C$1566+(IF(IF(MOD(MIN(INT(($A119-1)/2)+1,MAX(1,INT(((((CROQUIS_DATOS!$C$1511+CROQUIS_DATOS!$C$1512))-(CROQUIS_DATOS!$C$1511))+((CROQUIS_DATOS!$C$1476)*CROQUIS_DATOS!$C$1561-(0)*CROQUIS_DATOS!$C$1561))/CROQUIS_DATOS!$C$1568-0.000001))),2)=1,IF(INT(($A119-1)/2)+1&gt;MAX(1,INT(((((CROQUIS_DATOS!$C$1511+CROQUIS_DATOS!$C$1512))-(CROQUIS_DATOS!$C$1511))+((CROQUIS_DATOS!$C$1476)*CROQUIS_DATOS!$C$1561-(0)*CROQUIS_DATOS!$C$1561))/CROQUIS_DATOS!$C$1568-0.000001)),1,MOD($A119-1,2)),1-IF(INT(($A119-1)/2)+1&gt;MAX(1,INT(((((CROQUIS_DATOS!$C$1511+CROQUIS_DATOS!$C$1512))-(CROQUIS_DATOS!$C$1511))+((CROQUIS_DATOS!$C$1476)*CROQUIS_DATOS!$C$1561-(0)*CROQUIS_DATOS!$C$1561))/CROQUIS_DATOS!$C$1568-0.000001)),1,MOD($A119-1,2)))=1,MIN((CROQUIS_DATOS!$C$1476)*CROQUIS_DATOS!$C$1561,((CROQUIS_DATOS!$C$1511+CROQUIS_DATOS!$C$1512)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19">
        <f>IF(AND(CROQUIS_DATOS!$C$1472=1,CROQUIS_DATOS!$C$1512&gt;0,((CROQUIS_DATOS!$C$1511+CROQUIS_DATOS!$C$1512))-(CROQUIS_DATOS!$C$1511)&gt;0.5,(CROQUIS_DATOS!$C$1476)-(0)&gt;0.5),(CROQUIS_DATOS!$C$1567+(IF(IF(MOD(MIN(INT(($A119-1)/2)+1,MAX(1,INT(((((CROQUIS_DATOS!$C$1511+CROQUIS_DATOS!$C$1512))-(CROQUIS_DATOS!$C$1511))+((CROQUIS_DATOS!$C$1476)*CROQUIS_DATOS!$C$1561-(0)*CROQUIS_DATOS!$C$1561))/CROQUIS_DATOS!$C$1568-0.000001))),2)=1,IF(INT(($A119-1)/2)+1&gt;MAX(1,INT(((((CROQUIS_DATOS!$C$1511+CROQUIS_DATOS!$C$1512))-(CROQUIS_DATOS!$C$1511))+((CROQUIS_DATOS!$C$1476)*CROQUIS_DATOS!$C$1561-(0)*CROQUIS_DATOS!$C$1561))/CROQUIS_DATOS!$C$1568-0.000001)),1,MOD($A119-1,2)),1-IF(INT(($A119-1)/2)+1&gt;MAX(1,INT(((((CROQUIS_DATOS!$C$1511+CROQUIS_DATOS!$C$1512))-(CROQUIS_DATOS!$C$1511))+((CROQUIS_DATOS!$C$1476)*CROQUIS_DATOS!$C$1561-(0)*CROQUIS_DATOS!$C$1561))/CROQUIS_DATOS!$C$1568-0.000001)),1,MOD($A119-1,2)))=1,MIN((CROQUIS_DATOS!$C$1476)*CROQUIS_DATOS!$C$1561,((CROQUIS_DATOS!$C$1511+CROQUIS_DATOS!$C$1512)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119-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19">
        <f>IF(AND(CROQUIS_DATOS!$C$1472=1,CROQUIS_DATOS!$C$1516&gt;0,((CROQUIS_DATOS!$C$1515+CROQUIS_DATOS!$C$1516))-(CROQUIS_DATOS!$C$1515)&gt;0.5,(CROQUIS_DATOS!$C$1476)-(0)&gt;0.5),(CROQUIS_DATOS!$C$1566+(IF(IF(MOD(MIN(INT(($A119-1)/2)+1,MAX(1,INT(((((CROQUIS_DATOS!$C$1515+CROQUIS_DATOS!$C$1516))-(CROQUIS_DATOS!$C$1515))+((CROQUIS_DATOS!$C$1476)*CROQUIS_DATOS!$C$1561-(0)*CROQUIS_DATOS!$C$1561))/CROQUIS_DATOS!$C$1568-0.000001))),2)=1,IF(INT(($A119-1)/2)+1&gt;MAX(1,INT(((((CROQUIS_DATOS!$C$1515+CROQUIS_DATOS!$C$1516))-(CROQUIS_DATOS!$C$1515))+((CROQUIS_DATOS!$C$1476)*CROQUIS_DATOS!$C$1561-(0)*CROQUIS_DATOS!$C$1561))/CROQUIS_DATOS!$C$1568-0.000001)),1,MOD($A119-1,2)),1-IF(INT(($A119-1)/2)+1&gt;MAX(1,INT(((((CROQUIS_DATOS!$C$1515+CROQUIS_DATOS!$C$1516))-(CROQUIS_DATOS!$C$1515))+((CROQUIS_DATOS!$C$1476)*CROQUIS_DATOS!$C$1561-(0)*CROQUIS_DATOS!$C$1561))/CROQUIS_DATOS!$C$1568-0.000001)),1,MOD($A119-1,2)))=1,MIN((CROQUIS_DATOS!$C$1476)*CROQUIS_DATOS!$C$1561,((CROQUIS_DATOS!$C$1515+CROQUIS_DATOS!$C$1516)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19">
        <f>IF(AND(CROQUIS_DATOS!$C$1472=1,CROQUIS_DATOS!$C$1516&gt;0,((CROQUIS_DATOS!$C$1515+CROQUIS_DATOS!$C$1516))-(CROQUIS_DATOS!$C$1515)&gt;0.5,(CROQUIS_DATOS!$C$1476)-(0)&gt;0.5),(CROQUIS_DATOS!$C$1567+(IF(IF(MOD(MIN(INT(($A119-1)/2)+1,MAX(1,INT(((((CROQUIS_DATOS!$C$1515+CROQUIS_DATOS!$C$1516))-(CROQUIS_DATOS!$C$1515))+((CROQUIS_DATOS!$C$1476)*CROQUIS_DATOS!$C$1561-(0)*CROQUIS_DATOS!$C$1561))/CROQUIS_DATOS!$C$1568-0.000001))),2)=1,IF(INT(($A119-1)/2)+1&gt;MAX(1,INT(((((CROQUIS_DATOS!$C$1515+CROQUIS_DATOS!$C$1516))-(CROQUIS_DATOS!$C$1515))+((CROQUIS_DATOS!$C$1476)*CROQUIS_DATOS!$C$1561-(0)*CROQUIS_DATOS!$C$1561))/CROQUIS_DATOS!$C$1568-0.000001)),1,MOD($A119-1,2)),1-IF(INT(($A119-1)/2)+1&gt;MAX(1,INT(((((CROQUIS_DATOS!$C$1515+CROQUIS_DATOS!$C$1516))-(CROQUIS_DATOS!$C$1515))+((CROQUIS_DATOS!$C$1476)*CROQUIS_DATOS!$C$1561-(0)*CROQUIS_DATOS!$C$1561))/CROQUIS_DATOS!$C$1568-0.000001)),1,MOD($A119-1,2)))=1,MIN((CROQUIS_DATOS!$C$1476)*CROQUIS_DATOS!$C$1561,((CROQUIS_DATOS!$C$1515+CROQUIS_DATOS!$C$1516)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119-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19">
        <f>IF(AND(CROQUIS_DATOS!$C$1472=1,CROQUIS_DATOS!$C$1478&gt;=1,((CROQUIS_DATOS!$C$1479+CROQUIS_DATOS!$C$1480))-(CROQUIS_DATOS!$C$1479)&gt;0.5,(CROQUIS_DATOS!$C$1481)-(0)&gt;0.5),(CROQUIS_DATOS!$C$1566+(IF(IF(MOD(MIN(INT(($A119-1)/2)+1,MAX(1,INT(((((CROQUIS_DATOS!$C$1479+CROQUIS_DATOS!$C$1480))-(CROQUIS_DATOS!$C$1479))+((CROQUIS_DATOS!$C$1481)*CROQUIS_DATOS!$C$1561-(0)*CROQUIS_DATOS!$C$1561))/CROQUIS_DATOS!$C$1568-0.000001))),2)=1,IF(INT(($A119-1)/2)+1&gt;MAX(1,INT(((((CROQUIS_DATOS!$C$1479+CROQUIS_DATOS!$C$1480))-(CROQUIS_DATOS!$C$1479))+((CROQUIS_DATOS!$C$1481)*CROQUIS_DATOS!$C$1561-(0)*CROQUIS_DATOS!$C$1561))/CROQUIS_DATOS!$C$1568-0.000001)),1,MOD($A119-1,2)),1-IF(INT(($A119-1)/2)+1&gt;MAX(1,INT(((((CROQUIS_DATOS!$C$1479+CROQUIS_DATOS!$C$1480))-(CROQUIS_DATOS!$C$1479))+((CROQUIS_DATOS!$C$1481)*CROQUIS_DATOS!$C$1561-(0)*CROQUIS_DATOS!$C$1561))/CROQUIS_DATOS!$C$1568-0.000001)),1,MOD($A119-1,2)))=1,MIN((CROQUIS_DATOS!$C$1481)*CROQUIS_DATOS!$C$1561,((CROQUIS_DATOS!$C$1479+CROQUIS_DATOS!$C$1480)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19">
        <f>IF(AND(CROQUIS_DATOS!$C$1472=1,CROQUIS_DATOS!$C$1478&gt;=1,((CROQUIS_DATOS!$C$1479+CROQUIS_DATOS!$C$1480))-(CROQUIS_DATOS!$C$1479)&gt;0.5,(CROQUIS_DATOS!$C$1481)-(0)&gt;0.5),(CROQUIS_DATOS!$C$1567+(IF(IF(MOD(MIN(INT(($A119-1)/2)+1,MAX(1,INT(((((CROQUIS_DATOS!$C$1479+CROQUIS_DATOS!$C$1480))-(CROQUIS_DATOS!$C$1479))+((CROQUIS_DATOS!$C$1481)*CROQUIS_DATOS!$C$1561-(0)*CROQUIS_DATOS!$C$1561))/CROQUIS_DATOS!$C$1568-0.000001))),2)=1,IF(INT(($A119-1)/2)+1&gt;MAX(1,INT(((((CROQUIS_DATOS!$C$1479+CROQUIS_DATOS!$C$1480))-(CROQUIS_DATOS!$C$1479))+((CROQUIS_DATOS!$C$1481)*CROQUIS_DATOS!$C$1561-(0)*CROQUIS_DATOS!$C$1561))/CROQUIS_DATOS!$C$1568-0.000001)),1,MOD($A119-1,2)),1-IF(INT(($A119-1)/2)+1&gt;MAX(1,INT(((((CROQUIS_DATOS!$C$1479+CROQUIS_DATOS!$C$1480))-(CROQUIS_DATOS!$C$1479))+((CROQUIS_DATOS!$C$1481)*CROQUIS_DATOS!$C$1561-(0)*CROQUIS_DATOS!$C$1561))/CROQUIS_DATOS!$C$1568-0.000001)),1,MOD($A119-1,2)))=1,MIN((CROQUIS_DATOS!$C$1481)*CROQUIS_DATOS!$C$1561,((CROQUIS_DATOS!$C$1479+CROQUIS_DATOS!$C$1480)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119-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19">
        <f>IF(AND(CROQUIS_DATOS!$C$1472=1,CROQUIS_DATOS!$C$1478&gt;=1,((CROQUIS_DATOS!$C$1479+CROQUIS_DATOS!$C$1480))-(CROQUIS_DATOS!$C$1479)&gt;0.5,(CROQUIS_DATOS!$C$1476)-((CROQUIS_DATOS!$C$1481+CROQUIS_DATOS!$C$1482))&gt;0.5),(CROQUIS_DATOS!$C$1566+(IF(IF(MOD(MIN(INT(($A119-1)/2)+1,MAX(1,INT(((((CROQUIS_DATOS!$C$1479+CROQUIS_DATOS!$C$1480))-(CROQUIS_DATOS!$C$1479))+((CROQUIS_DATOS!$C$1476)*CROQUIS_DATOS!$C$1561-((CROQUIS_DATOS!$C$1481+CROQUIS_DATOS!$C$1482))*CROQUIS_DATOS!$C$1561))/CROQUIS_DATOS!$C$1568-0.000001))),2)=1,IF(INT(($A119-1)/2)+1&gt;MAX(1,INT(((((CROQUIS_DATOS!$C$1479+CROQUIS_DATOS!$C$1480))-(CROQUIS_DATOS!$C$1479))+((CROQUIS_DATOS!$C$1476)*CROQUIS_DATOS!$C$1561-((CROQUIS_DATOS!$C$1481+CROQUIS_DATOS!$C$1482))*CROQUIS_DATOS!$C$1561))/CROQUIS_DATOS!$C$1568-0.000001)),1,MOD($A119-1,2)),1-IF(INT(($A119-1)/2)+1&gt;MAX(1,INT(((((CROQUIS_DATOS!$C$1479+CROQUIS_DATOS!$C$1480))-(CROQUIS_DATOS!$C$1479))+((CROQUIS_DATOS!$C$1476)*CROQUIS_DATOS!$C$1561-((CROQUIS_DATOS!$C$1481+CROQUIS_DATOS!$C$1482))*CROQUIS_DATOS!$C$1561))/CROQUIS_DATOS!$C$1568-0.000001)),1,MOD($A119-1,2)))=1,MIN((CROQUIS_DATOS!$C$1476)*CROQUIS_DATOS!$C$1561,((CROQUIS_DATOS!$C$1479+CROQUIS_DATOS!$C$1480)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19">
        <f>IF(AND(CROQUIS_DATOS!$C$1472=1,CROQUIS_DATOS!$C$1478&gt;=1,((CROQUIS_DATOS!$C$1479+CROQUIS_DATOS!$C$1480))-(CROQUIS_DATOS!$C$1479)&gt;0.5,(CROQUIS_DATOS!$C$1476)-((CROQUIS_DATOS!$C$1481+CROQUIS_DATOS!$C$1482))&gt;0.5),(CROQUIS_DATOS!$C$1567+(IF(IF(MOD(MIN(INT(($A119-1)/2)+1,MAX(1,INT(((((CROQUIS_DATOS!$C$1479+CROQUIS_DATOS!$C$1480))-(CROQUIS_DATOS!$C$1479))+((CROQUIS_DATOS!$C$1476)*CROQUIS_DATOS!$C$1561-((CROQUIS_DATOS!$C$1481+CROQUIS_DATOS!$C$1482))*CROQUIS_DATOS!$C$1561))/CROQUIS_DATOS!$C$1568-0.000001))),2)=1,IF(INT(($A119-1)/2)+1&gt;MAX(1,INT(((((CROQUIS_DATOS!$C$1479+CROQUIS_DATOS!$C$1480))-(CROQUIS_DATOS!$C$1479))+((CROQUIS_DATOS!$C$1476)*CROQUIS_DATOS!$C$1561-((CROQUIS_DATOS!$C$1481+CROQUIS_DATOS!$C$1482))*CROQUIS_DATOS!$C$1561))/CROQUIS_DATOS!$C$1568-0.000001)),1,MOD($A119-1,2)),1-IF(INT(($A119-1)/2)+1&gt;MAX(1,INT(((((CROQUIS_DATOS!$C$1479+CROQUIS_DATOS!$C$1480))-(CROQUIS_DATOS!$C$1479))+((CROQUIS_DATOS!$C$1476)*CROQUIS_DATOS!$C$1561-((CROQUIS_DATOS!$C$1481+CROQUIS_DATOS!$C$1482))*CROQUIS_DATOS!$C$1561))/CROQUIS_DATOS!$C$1568-0.000001)),1,MOD($A119-1,2)))=1,MIN((CROQUIS_DATOS!$C$1476)*CROQUIS_DATOS!$C$1561,((CROQUIS_DATOS!$C$1479+CROQUIS_DATOS!$C$1480)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119-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19">
        <f>IF(AND(CROQUIS_DATOS!$C$1472=1,CROQUIS_DATOS!$C$1478&gt;=2,((CROQUIS_DATOS!$C$1484+CROQUIS_DATOS!$C$1485))-(CROQUIS_DATOS!$C$1484)&gt;0.5,(CROQUIS_DATOS!$C$1486)-(0)&gt;0.5),(CROQUIS_DATOS!$C$1566+(IF(IF(MOD(MIN(INT(($A119-1)/2)+1,MAX(1,INT(((((CROQUIS_DATOS!$C$1484+CROQUIS_DATOS!$C$1485))-(CROQUIS_DATOS!$C$1484))+((CROQUIS_DATOS!$C$1486)*CROQUIS_DATOS!$C$1561-(0)*CROQUIS_DATOS!$C$1561))/CROQUIS_DATOS!$C$1568-0.000001))),2)=1,IF(INT(($A119-1)/2)+1&gt;MAX(1,INT(((((CROQUIS_DATOS!$C$1484+CROQUIS_DATOS!$C$1485))-(CROQUIS_DATOS!$C$1484))+((CROQUIS_DATOS!$C$1486)*CROQUIS_DATOS!$C$1561-(0)*CROQUIS_DATOS!$C$1561))/CROQUIS_DATOS!$C$1568-0.000001)),1,MOD($A119-1,2)),1-IF(INT(($A119-1)/2)+1&gt;MAX(1,INT(((((CROQUIS_DATOS!$C$1484+CROQUIS_DATOS!$C$1485))-(CROQUIS_DATOS!$C$1484))+((CROQUIS_DATOS!$C$1486)*CROQUIS_DATOS!$C$1561-(0)*CROQUIS_DATOS!$C$1561))/CROQUIS_DATOS!$C$1568-0.000001)),1,MOD($A119-1,2)))=1,MIN((CROQUIS_DATOS!$C$1486)*CROQUIS_DATOS!$C$1561,((CROQUIS_DATOS!$C$1484+CROQUIS_DATOS!$C$1485)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19">
        <f>IF(AND(CROQUIS_DATOS!$C$1472=1,CROQUIS_DATOS!$C$1478&gt;=2,((CROQUIS_DATOS!$C$1484+CROQUIS_DATOS!$C$1485))-(CROQUIS_DATOS!$C$1484)&gt;0.5,(CROQUIS_DATOS!$C$1486)-(0)&gt;0.5),(CROQUIS_DATOS!$C$1567+(IF(IF(MOD(MIN(INT(($A119-1)/2)+1,MAX(1,INT(((((CROQUIS_DATOS!$C$1484+CROQUIS_DATOS!$C$1485))-(CROQUIS_DATOS!$C$1484))+((CROQUIS_DATOS!$C$1486)*CROQUIS_DATOS!$C$1561-(0)*CROQUIS_DATOS!$C$1561))/CROQUIS_DATOS!$C$1568-0.000001))),2)=1,IF(INT(($A119-1)/2)+1&gt;MAX(1,INT(((((CROQUIS_DATOS!$C$1484+CROQUIS_DATOS!$C$1485))-(CROQUIS_DATOS!$C$1484))+((CROQUIS_DATOS!$C$1486)*CROQUIS_DATOS!$C$1561-(0)*CROQUIS_DATOS!$C$1561))/CROQUIS_DATOS!$C$1568-0.000001)),1,MOD($A119-1,2)),1-IF(INT(($A119-1)/2)+1&gt;MAX(1,INT(((((CROQUIS_DATOS!$C$1484+CROQUIS_DATOS!$C$1485))-(CROQUIS_DATOS!$C$1484))+((CROQUIS_DATOS!$C$1486)*CROQUIS_DATOS!$C$1561-(0)*CROQUIS_DATOS!$C$1561))/CROQUIS_DATOS!$C$1568-0.000001)),1,MOD($A119-1,2)))=1,MIN((CROQUIS_DATOS!$C$1486)*CROQUIS_DATOS!$C$1561,((CROQUIS_DATOS!$C$1484+CROQUIS_DATOS!$C$1485)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119-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19">
        <f>IF(AND(CROQUIS_DATOS!$C$1472=1,CROQUIS_DATOS!$C$1478&gt;=2,((CROQUIS_DATOS!$C$1484+CROQUIS_DATOS!$C$1485))-(CROQUIS_DATOS!$C$1484)&gt;0.5,(CROQUIS_DATOS!$C$1476)-((CROQUIS_DATOS!$C$1486+CROQUIS_DATOS!$C$1487))&gt;0.5),(CROQUIS_DATOS!$C$1566+(IF(IF(MOD(MIN(INT(($A119-1)/2)+1,MAX(1,INT(((((CROQUIS_DATOS!$C$1484+CROQUIS_DATOS!$C$1485))-(CROQUIS_DATOS!$C$1484))+((CROQUIS_DATOS!$C$1476)*CROQUIS_DATOS!$C$1561-((CROQUIS_DATOS!$C$1486+CROQUIS_DATOS!$C$1487))*CROQUIS_DATOS!$C$1561))/CROQUIS_DATOS!$C$1568-0.000001))),2)=1,IF(INT(($A119-1)/2)+1&gt;MAX(1,INT(((((CROQUIS_DATOS!$C$1484+CROQUIS_DATOS!$C$1485))-(CROQUIS_DATOS!$C$1484))+((CROQUIS_DATOS!$C$1476)*CROQUIS_DATOS!$C$1561-((CROQUIS_DATOS!$C$1486+CROQUIS_DATOS!$C$1487))*CROQUIS_DATOS!$C$1561))/CROQUIS_DATOS!$C$1568-0.000001)),1,MOD($A119-1,2)),1-IF(INT(($A119-1)/2)+1&gt;MAX(1,INT(((((CROQUIS_DATOS!$C$1484+CROQUIS_DATOS!$C$1485))-(CROQUIS_DATOS!$C$1484))+((CROQUIS_DATOS!$C$1476)*CROQUIS_DATOS!$C$1561-((CROQUIS_DATOS!$C$1486+CROQUIS_DATOS!$C$1487))*CROQUIS_DATOS!$C$1561))/CROQUIS_DATOS!$C$1568-0.000001)),1,MOD($A119-1,2)))=1,MIN((CROQUIS_DATOS!$C$1476)*CROQUIS_DATOS!$C$1561,((CROQUIS_DATOS!$C$1484+CROQUIS_DATOS!$C$1485)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19">
        <f>IF(AND(CROQUIS_DATOS!$C$1472=1,CROQUIS_DATOS!$C$1478&gt;=2,((CROQUIS_DATOS!$C$1484+CROQUIS_DATOS!$C$1485))-(CROQUIS_DATOS!$C$1484)&gt;0.5,(CROQUIS_DATOS!$C$1476)-((CROQUIS_DATOS!$C$1486+CROQUIS_DATOS!$C$1487))&gt;0.5),(CROQUIS_DATOS!$C$1567+(IF(IF(MOD(MIN(INT(($A119-1)/2)+1,MAX(1,INT(((((CROQUIS_DATOS!$C$1484+CROQUIS_DATOS!$C$1485))-(CROQUIS_DATOS!$C$1484))+((CROQUIS_DATOS!$C$1476)*CROQUIS_DATOS!$C$1561-((CROQUIS_DATOS!$C$1486+CROQUIS_DATOS!$C$1487))*CROQUIS_DATOS!$C$1561))/CROQUIS_DATOS!$C$1568-0.000001))),2)=1,IF(INT(($A119-1)/2)+1&gt;MAX(1,INT(((((CROQUIS_DATOS!$C$1484+CROQUIS_DATOS!$C$1485))-(CROQUIS_DATOS!$C$1484))+((CROQUIS_DATOS!$C$1476)*CROQUIS_DATOS!$C$1561-((CROQUIS_DATOS!$C$1486+CROQUIS_DATOS!$C$1487))*CROQUIS_DATOS!$C$1561))/CROQUIS_DATOS!$C$1568-0.000001)),1,MOD($A119-1,2)),1-IF(INT(($A119-1)/2)+1&gt;MAX(1,INT(((((CROQUIS_DATOS!$C$1484+CROQUIS_DATOS!$C$1485))-(CROQUIS_DATOS!$C$1484))+((CROQUIS_DATOS!$C$1476)*CROQUIS_DATOS!$C$1561-((CROQUIS_DATOS!$C$1486+CROQUIS_DATOS!$C$1487))*CROQUIS_DATOS!$C$1561))/CROQUIS_DATOS!$C$1568-0.000001)),1,MOD($A119-1,2)))=1,MIN((CROQUIS_DATOS!$C$1476)*CROQUIS_DATOS!$C$1561,((CROQUIS_DATOS!$C$1484+CROQUIS_DATOS!$C$1485)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119-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19">
        <f>IF(AND(CROQUIS_DATOS!$C$1472=1,CROQUIS_DATOS!$C$1478&gt;=3,((CROQUIS_DATOS!$C$1489+CROQUIS_DATOS!$C$1490))-(CROQUIS_DATOS!$C$1489)&gt;0.5,(CROQUIS_DATOS!$C$1491)-(0)&gt;0.5),(CROQUIS_DATOS!$C$1566+(IF(IF(MOD(MIN(INT(($A119-1)/2)+1,MAX(1,INT(((((CROQUIS_DATOS!$C$1489+CROQUIS_DATOS!$C$1490))-(CROQUIS_DATOS!$C$1489))+((CROQUIS_DATOS!$C$1491)*CROQUIS_DATOS!$C$1561-(0)*CROQUIS_DATOS!$C$1561))/CROQUIS_DATOS!$C$1568-0.000001))),2)=1,IF(INT(($A119-1)/2)+1&gt;MAX(1,INT(((((CROQUIS_DATOS!$C$1489+CROQUIS_DATOS!$C$1490))-(CROQUIS_DATOS!$C$1489))+((CROQUIS_DATOS!$C$1491)*CROQUIS_DATOS!$C$1561-(0)*CROQUIS_DATOS!$C$1561))/CROQUIS_DATOS!$C$1568-0.000001)),1,MOD($A119-1,2)),1-IF(INT(($A119-1)/2)+1&gt;MAX(1,INT(((((CROQUIS_DATOS!$C$1489+CROQUIS_DATOS!$C$1490))-(CROQUIS_DATOS!$C$1489))+((CROQUIS_DATOS!$C$1491)*CROQUIS_DATOS!$C$1561-(0)*CROQUIS_DATOS!$C$1561))/CROQUIS_DATOS!$C$1568-0.000001)),1,MOD($A119-1,2)))=1,MIN((CROQUIS_DATOS!$C$1491)*CROQUIS_DATOS!$C$1561,((CROQUIS_DATOS!$C$1489+CROQUIS_DATOS!$C$1490)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19">
        <f>IF(AND(CROQUIS_DATOS!$C$1472=1,CROQUIS_DATOS!$C$1478&gt;=3,((CROQUIS_DATOS!$C$1489+CROQUIS_DATOS!$C$1490))-(CROQUIS_DATOS!$C$1489)&gt;0.5,(CROQUIS_DATOS!$C$1491)-(0)&gt;0.5),(CROQUIS_DATOS!$C$1567+(IF(IF(MOD(MIN(INT(($A119-1)/2)+1,MAX(1,INT(((((CROQUIS_DATOS!$C$1489+CROQUIS_DATOS!$C$1490))-(CROQUIS_DATOS!$C$1489))+((CROQUIS_DATOS!$C$1491)*CROQUIS_DATOS!$C$1561-(0)*CROQUIS_DATOS!$C$1561))/CROQUIS_DATOS!$C$1568-0.000001))),2)=1,IF(INT(($A119-1)/2)+1&gt;MAX(1,INT(((((CROQUIS_DATOS!$C$1489+CROQUIS_DATOS!$C$1490))-(CROQUIS_DATOS!$C$1489))+((CROQUIS_DATOS!$C$1491)*CROQUIS_DATOS!$C$1561-(0)*CROQUIS_DATOS!$C$1561))/CROQUIS_DATOS!$C$1568-0.000001)),1,MOD($A119-1,2)),1-IF(INT(($A119-1)/2)+1&gt;MAX(1,INT(((((CROQUIS_DATOS!$C$1489+CROQUIS_DATOS!$C$1490))-(CROQUIS_DATOS!$C$1489))+((CROQUIS_DATOS!$C$1491)*CROQUIS_DATOS!$C$1561-(0)*CROQUIS_DATOS!$C$1561))/CROQUIS_DATOS!$C$1568-0.000001)),1,MOD($A119-1,2)))=1,MIN((CROQUIS_DATOS!$C$1491)*CROQUIS_DATOS!$C$1561,((CROQUIS_DATOS!$C$1489+CROQUIS_DATOS!$C$1490)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119-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19">
        <f>IF(AND(CROQUIS_DATOS!$C$1472=1,CROQUIS_DATOS!$C$1478&gt;=3,((CROQUIS_DATOS!$C$1489+CROQUIS_DATOS!$C$1490))-(CROQUIS_DATOS!$C$1489)&gt;0.5,(CROQUIS_DATOS!$C$1476)-((CROQUIS_DATOS!$C$1491+CROQUIS_DATOS!$C$1492))&gt;0.5),(CROQUIS_DATOS!$C$1566+(IF(IF(MOD(MIN(INT(($A119-1)/2)+1,MAX(1,INT(((((CROQUIS_DATOS!$C$1489+CROQUIS_DATOS!$C$1490))-(CROQUIS_DATOS!$C$1489))+((CROQUIS_DATOS!$C$1476)*CROQUIS_DATOS!$C$1561-((CROQUIS_DATOS!$C$1491+CROQUIS_DATOS!$C$1492))*CROQUIS_DATOS!$C$1561))/CROQUIS_DATOS!$C$1568-0.000001))),2)=1,IF(INT(($A119-1)/2)+1&gt;MAX(1,INT(((((CROQUIS_DATOS!$C$1489+CROQUIS_DATOS!$C$1490))-(CROQUIS_DATOS!$C$1489))+((CROQUIS_DATOS!$C$1476)*CROQUIS_DATOS!$C$1561-((CROQUIS_DATOS!$C$1491+CROQUIS_DATOS!$C$1492))*CROQUIS_DATOS!$C$1561))/CROQUIS_DATOS!$C$1568-0.000001)),1,MOD($A119-1,2)),1-IF(INT(($A119-1)/2)+1&gt;MAX(1,INT(((((CROQUIS_DATOS!$C$1489+CROQUIS_DATOS!$C$1490))-(CROQUIS_DATOS!$C$1489))+((CROQUIS_DATOS!$C$1476)*CROQUIS_DATOS!$C$1561-((CROQUIS_DATOS!$C$1491+CROQUIS_DATOS!$C$1492))*CROQUIS_DATOS!$C$1561))/CROQUIS_DATOS!$C$1568-0.000001)),1,MOD($A119-1,2)))=1,MIN((CROQUIS_DATOS!$C$1476)*CROQUIS_DATOS!$C$1561,((CROQUIS_DATOS!$C$1489+CROQUIS_DATOS!$C$1490)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19">
        <f>IF(AND(CROQUIS_DATOS!$C$1472=1,CROQUIS_DATOS!$C$1478&gt;=3,((CROQUIS_DATOS!$C$1489+CROQUIS_DATOS!$C$1490))-(CROQUIS_DATOS!$C$1489)&gt;0.5,(CROQUIS_DATOS!$C$1476)-((CROQUIS_DATOS!$C$1491+CROQUIS_DATOS!$C$1492))&gt;0.5),(CROQUIS_DATOS!$C$1567+(IF(IF(MOD(MIN(INT(($A119-1)/2)+1,MAX(1,INT(((((CROQUIS_DATOS!$C$1489+CROQUIS_DATOS!$C$1490))-(CROQUIS_DATOS!$C$1489))+((CROQUIS_DATOS!$C$1476)*CROQUIS_DATOS!$C$1561-((CROQUIS_DATOS!$C$1491+CROQUIS_DATOS!$C$1492))*CROQUIS_DATOS!$C$1561))/CROQUIS_DATOS!$C$1568-0.000001))),2)=1,IF(INT(($A119-1)/2)+1&gt;MAX(1,INT(((((CROQUIS_DATOS!$C$1489+CROQUIS_DATOS!$C$1490))-(CROQUIS_DATOS!$C$1489))+((CROQUIS_DATOS!$C$1476)*CROQUIS_DATOS!$C$1561-((CROQUIS_DATOS!$C$1491+CROQUIS_DATOS!$C$1492))*CROQUIS_DATOS!$C$1561))/CROQUIS_DATOS!$C$1568-0.000001)),1,MOD($A119-1,2)),1-IF(INT(($A119-1)/2)+1&gt;MAX(1,INT(((((CROQUIS_DATOS!$C$1489+CROQUIS_DATOS!$C$1490))-(CROQUIS_DATOS!$C$1489))+((CROQUIS_DATOS!$C$1476)*CROQUIS_DATOS!$C$1561-((CROQUIS_DATOS!$C$1491+CROQUIS_DATOS!$C$1492))*CROQUIS_DATOS!$C$1561))/CROQUIS_DATOS!$C$1568-0.000001)),1,MOD($A119-1,2)))=1,MIN((CROQUIS_DATOS!$C$1476)*CROQUIS_DATOS!$C$1561,((CROQUIS_DATOS!$C$1489+CROQUIS_DATOS!$C$1490)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119-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19">
        <f>IF(AND(CROQUIS_DATOS!$C$1472=1,CROQUIS_DATOS!$C$1478&gt;=4,((CROQUIS_DATOS!$C$1494+CROQUIS_DATOS!$C$1495))-(CROQUIS_DATOS!$C$1494)&gt;0.5,(CROQUIS_DATOS!$C$1496)-(0)&gt;0.5),(CROQUIS_DATOS!$C$1566+(IF(IF(MOD(MIN(INT(($A119-1)/2)+1,MAX(1,INT(((((CROQUIS_DATOS!$C$1494+CROQUIS_DATOS!$C$1495))-(CROQUIS_DATOS!$C$1494))+((CROQUIS_DATOS!$C$1496)*CROQUIS_DATOS!$C$1561-(0)*CROQUIS_DATOS!$C$1561))/CROQUIS_DATOS!$C$1568-0.000001))),2)=1,IF(INT(($A119-1)/2)+1&gt;MAX(1,INT(((((CROQUIS_DATOS!$C$1494+CROQUIS_DATOS!$C$1495))-(CROQUIS_DATOS!$C$1494))+((CROQUIS_DATOS!$C$1496)*CROQUIS_DATOS!$C$1561-(0)*CROQUIS_DATOS!$C$1561))/CROQUIS_DATOS!$C$1568-0.000001)),1,MOD($A119-1,2)),1-IF(INT(($A119-1)/2)+1&gt;MAX(1,INT(((((CROQUIS_DATOS!$C$1494+CROQUIS_DATOS!$C$1495))-(CROQUIS_DATOS!$C$1494))+((CROQUIS_DATOS!$C$1496)*CROQUIS_DATOS!$C$1561-(0)*CROQUIS_DATOS!$C$1561))/CROQUIS_DATOS!$C$1568-0.000001)),1,MOD($A119-1,2)))=1,MIN((CROQUIS_DATOS!$C$1496)*CROQUIS_DATOS!$C$1561,((CROQUIS_DATOS!$C$1494+CROQUIS_DATOS!$C$1495)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19">
        <f>IF(AND(CROQUIS_DATOS!$C$1472=1,CROQUIS_DATOS!$C$1478&gt;=4,((CROQUIS_DATOS!$C$1494+CROQUIS_DATOS!$C$1495))-(CROQUIS_DATOS!$C$1494)&gt;0.5,(CROQUIS_DATOS!$C$1496)-(0)&gt;0.5),(CROQUIS_DATOS!$C$1567+(IF(IF(MOD(MIN(INT(($A119-1)/2)+1,MAX(1,INT(((((CROQUIS_DATOS!$C$1494+CROQUIS_DATOS!$C$1495))-(CROQUIS_DATOS!$C$1494))+((CROQUIS_DATOS!$C$1496)*CROQUIS_DATOS!$C$1561-(0)*CROQUIS_DATOS!$C$1561))/CROQUIS_DATOS!$C$1568-0.000001))),2)=1,IF(INT(($A119-1)/2)+1&gt;MAX(1,INT(((((CROQUIS_DATOS!$C$1494+CROQUIS_DATOS!$C$1495))-(CROQUIS_DATOS!$C$1494))+((CROQUIS_DATOS!$C$1496)*CROQUIS_DATOS!$C$1561-(0)*CROQUIS_DATOS!$C$1561))/CROQUIS_DATOS!$C$1568-0.000001)),1,MOD($A119-1,2)),1-IF(INT(($A119-1)/2)+1&gt;MAX(1,INT(((((CROQUIS_DATOS!$C$1494+CROQUIS_DATOS!$C$1495))-(CROQUIS_DATOS!$C$1494))+((CROQUIS_DATOS!$C$1496)*CROQUIS_DATOS!$C$1561-(0)*CROQUIS_DATOS!$C$1561))/CROQUIS_DATOS!$C$1568-0.000001)),1,MOD($A119-1,2)))=1,MIN((CROQUIS_DATOS!$C$1496)*CROQUIS_DATOS!$C$1561,((CROQUIS_DATOS!$C$1494+CROQUIS_DATOS!$C$1495)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119-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19">
        <f>IF(AND(CROQUIS_DATOS!$C$1472=1,CROQUIS_DATOS!$C$1478&gt;=4,((CROQUIS_DATOS!$C$1494+CROQUIS_DATOS!$C$1495))-(CROQUIS_DATOS!$C$1494)&gt;0.5,(CROQUIS_DATOS!$C$1476)-((CROQUIS_DATOS!$C$1496+CROQUIS_DATOS!$C$1497))&gt;0.5),(CROQUIS_DATOS!$C$1566+(IF(IF(MOD(MIN(INT(($A119-1)/2)+1,MAX(1,INT(((((CROQUIS_DATOS!$C$1494+CROQUIS_DATOS!$C$1495))-(CROQUIS_DATOS!$C$1494))+((CROQUIS_DATOS!$C$1476)*CROQUIS_DATOS!$C$1561-((CROQUIS_DATOS!$C$1496+CROQUIS_DATOS!$C$1497))*CROQUIS_DATOS!$C$1561))/CROQUIS_DATOS!$C$1568-0.000001))),2)=1,IF(INT(($A119-1)/2)+1&gt;MAX(1,INT(((((CROQUIS_DATOS!$C$1494+CROQUIS_DATOS!$C$1495))-(CROQUIS_DATOS!$C$1494))+((CROQUIS_DATOS!$C$1476)*CROQUIS_DATOS!$C$1561-((CROQUIS_DATOS!$C$1496+CROQUIS_DATOS!$C$1497))*CROQUIS_DATOS!$C$1561))/CROQUIS_DATOS!$C$1568-0.000001)),1,MOD($A119-1,2)),1-IF(INT(($A119-1)/2)+1&gt;MAX(1,INT(((((CROQUIS_DATOS!$C$1494+CROQUIS_DATOS!$C$1495))-(CROQUIS_DATOS!$C$1494))+((CROQUIS_DATOS!$C$1476)*CROQUIS_DATOS!$C$1561-((CROQUIS_DATOS!$C$1496+CROQUIS_DATOS!$C$1497))*CROQUIS_DATOS!$C$1561))/CROQUIS_DATOS!$C$1568-0.000001)),1,MOD($A119-1,2)))=1,MIN((CROQUIS_DATOS!$C$1476)*CROQUIS_DATOS!$C$1561,((CROQUIS_DATOS!$C$1494+CROQUIS_DATOS!$C$1495)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19">
        <f>IF(AND(CROQUIS_DATOS!$C$1472=1,CROQUIS_DATOS!$C$1478&gt;=4,((CROQUIS_DATOS!$C$1494+CROQUIS_DATOS!$C$1495))-(CROQUIS_DATOS!$C$1494)&gt;0.5,(CROQUIS_DATOS!$C$1476)-((CROQUIS_DATOS!$C$1496+CROQUIS_DATOS!$C$1497))&gt;0.5),(CROQUIS_DATOS!$C$1567+(IF(IF(MOD(MIN(INT(($A119-1)/2)+1,MAX(1,INT(((((CROQUIS_DATOS!$C$1494+CROQUIS_DATOS!$C$1495))-(CROQUIS_DATOS!$C$1494))+((CROQUIS_DATOS!$C$1476)*CROQUIS_DATOS!$C$1561-((CROQUIS_DATOS!$C$1496+CROQUIS_DATOS!$C$1497))*CROQUIS_DATOS!$C$1561))/CROQUIS_DATOS!$C$1568-0.000001))),2)=1,IF(INT(($A119-1)/2)+1&gt;MAX(1,INT(((((CROQUIS_DATOS!$C$1494+CROQUIS_DATOS!$C$1495))-(CROQUIS_DATOS!$C$1494))+((CROQUIS_DATOS!$C$1476)*CROQUIS_DATOS!$C$1561-((CROQUIS_DATOS!$C$1496+CROQUIS_DATOS!$C$1497))*CROQUIS_DATOS!$C$1561))/CROQUIS_DATOS!$C$1568-0.000001)),1,MOD($A119-1,2)),1-IF(INT(($A119-1)/2)+1&gt;MAX(1,INT(((((CROQUIS_DATOS!$C$1494+CROQUIS_DATOS!$C$1495))-(CROQUIS_DATOS!$C$1494))+((CROQUIS_DATOS!$C$1476)*CROQUIS_DATOS!$C$1561-((CROQUIS_DATOS!$C$1496+CROQUIS_DATOS!$C$1497))*CROQUIS_DATOS!$C$1561))/CROQUIS_DATOS!$C$1568-0.000001)),1,MOD($A119-1,2)))=1,MIN((CROQUIS_DATOS!$C$1476)*CROQUIS_DATOS!$C$1561,((CROQUIS_DATOS!$C$1494+CROQUIS_DATOS!$C$1495)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119-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0">
      <c r="A120" t="n">
        <v>113</v>
      </c>
      <c r="N120">
        <f>IF(AND(CROQUIS_DATOS!$C$1472=1,1),(CROQUIS_DATOS!$C$1563+(IF(IF(IF(INT(($A120-1)/70)+1&gt;CROQUIS_DATOS!$C$1525,70,MOD($A120-1,70)+1)=1,0,IF(IF(INT(($A120-1)/70)+1&gt;CROQUIS_DATOS!$C$1525,70,MOD($A120-1,70)+1)&gt;2*CROQUIS_DATOS!$C$1541+1,IF(MOD(CROQUIS_DATOS!$C$1541,2)=1,1,0),IF(MOD(MIN(INT((IF(INT(($A120-1)/70)+1&gt;CROQUIS_DATOS!$C$1525,70,MOD($A120-1,70)+1)-2)/2)+1,CROQUIS_DATOS!$C$1541),2)=1,IF(MOD(IF(INT(($A120-1)/70)+1&gt;CROQUIS_DATOS!$C$1525,70,MOD($A120-1,70)+1)-2,2)=0,0,1),IF(MOD(IF(INT(($A120-1)/70)+1&gt;CROQUIS_DATOS!$C$1525,70,MOD($A120-1,70)+1)-2,2)=0,1,0))))=0,(INDEX($E$8:$E$23,MIN(INT(($A120-1)/70)+1,CROQUIS_DATOS!$C$1525))-INDEX($F$8:$F$23,MIN(INT(($A120-1)/70)+1,CROQUIS_DATOS!$C$1525))/2),(INDEX($E$8:$E$23,MIN(INT(($A120-1)/70)+1,CROQUIS_DATOS!$C$1525))+INDEX($F$8:$F$23,MIN(INT(($A120-1)/70)+1,CROQUIS_DATOS!$C$1525))/2)))*CROQUIS_DATOS!$C$1562),-1000)</f>
        <v>18.5775862068965</v>
      </c>
      <c r="O120">
        <f>IF(AND(CROQUIS_DATOS!$C$1472=1,1),(CROQUIS_DATOS!$C$1564+(IF(OR(IF(INT(($A120-1)/70)+1&gt;CROQUIS_DATOS!$C$1525,70,MOD($A120-1,70)+1)=1,IF(INT(($A120-1)/70)+1&gt;CROQUIS_DATOS!$C$1525,70,MOD($A120-1,70)+1)&gt;2*CROQUIS_DATOS!$C$1541+1),CROQUIS_DATOS!$C$1476,INDEX($H$8:$H$41,MIN(INT((IF(INT(($A120-1)/70)+1&gt;CROQUIS_DATOS!$C$1525,70,MOD($A120-1,70)+1)-2)/2)+1,CROQUIS_DATOS!$C$1541))))*CROQUIS_DATOS!$C$1561*CROQUIS_DATOS!$C$1562),-1000)</f>
        <v>40.2068965517241</v>
      </c>
      <c r="P120">
        <f>IF(AND(CROQUIS_DATOS!$C$1472=1,CROQUIS_DATOS!$C$1555=1),(CROQUIS_DATOS!$C$1563+(IF(IF(OR(MOD($A120-1,62)+1=1,IF(CHOOSE(MIN(MAX(MIN(INT(($A120-1)/62)+1,5),1),5),CROQUIS_DATOS!$C$1501,CROQUIS_DATOS!$C$1505,CROQUIS_DATOS!$C$1509,CROQUIS_DATOS!$C$1513,CROQUIS_DATOS!$C$1517)=1,CROQUIS_DATOS!$C$1557,0)=0),0,IF(MOD($A120-1,62)+1&gt;2*IF(CHOOSE(MIN(MAX(MIN(INT(($A120-1)/62)+1,5),1),5),CROQUIS_DATOS!$C$1501,CROQUIS_DATOS!$C$1505,CROQUIS_DATOS!$C$1509,CROQUIS_DATOS!$C$1513,CROQUIS_DATOS!$C$1517)=1,CROQUIS_DATOS!$C$1557,0)+1,IF(MOD(IF(CHOOSE(MIN(MAX(MIN(INT(($A120-1)/62)+1,5),1),5),CROQUIS_DATOS!$C$1501,CROQUIS_DATOS!$C$1505,CROQUIS_DATOS!$C$1509,CROQUIS_DATOS!$C$1513,CROQUIS_DATOS!$C$1517)=1,CROQUIS_DATOS!$C$1557,0),2)=1,1,0),IF(MOD(MIN(INT((MOD($A120-1,62)+1-2)/2)+1,MAX(IF(CHOOSE(MIN(MAX(MIN(INT(($A120-1)/62)+1,5),1),5),CROQUIS_DATOS!$C$1501,CROQUIS_DATOS!$C$1505,CROQUIS_DATOS!$C$1509,CROQUIS_DATOS!$C$1513,CROQUIS_DATOS!$C$1517)=1,CROQUIS_DATOS!$C$1557,0),1)),2)=1,IF(MOD(MOD($A120-1,62)+1-2,2)=0,0,1),IF(MOD(MOD($A120-1,62)+1-2,2)=0,1,0))))=0,(CHOOSE(MIN(MAX(MIN(INT(($A120-1)/62)+1,5),1),5),CROQUIS_DATOS!$C$1499,CROQUIS_DATOS!$C$1503,CROQUIS_DATOS!$C$1507,CROQUIS_DATOS!$C$1511,CROQUIS_DATOS!$C$1515)+IF(CHOOSE(MIN(MAX(MIN(INT(($A120-1)/62)+1,5),1),5),CROQUIS_DATOS!$C$1501,CROQUIS_DATOS!$C$1505,CROQUIS_DATOS!$C$1509,CROQUIS_DATOS!$C$1513,CROQUIS_DATOS!$C$1517)=1,CROQUIS_DATOS!$C$1526,0)),(CHOOSE(MIN(MAX(MIN(INT(($A120-1)/62)+1,5),1),5),CROQUIS_DATOS!$C$1499,CROQUIS_DATOS!$C$1503,CROQUIS_DATOS!$C$1507,CROQUIS_DATOS!$C$1511,CROQUIS_DATOS!$C$1515)+CHOOSE(MIN(MAX(MIN(INT(($A120-1)/62)+1,5),1),5),CROQUIS_DATOS!$C$1500,CROQUIS_DATOS!$C$1504,CROQUIS_DATOS!$C$1508,CROQUIS_DATOS!$C$1512,CROQUIS_DATOS!$C$1516)-IF(CHOOSE(MIN(MAX(MIN(INT(($A120-1)/62)+1,5),1),5),CROQUIS_DATOS!$C$1501,CROQUIS_DATOS!$C$1505,CROQUIS_DATOS!$C$1509,CROQUIS_DATOS!$C$1513,CROQUIS_DATOS!$C$1517)=1,CROQUIS_DATOS!$C$1526,0))))*CROQUIS_DATOS!$C$1562),-1000)</f>
        <v>-1000</v>
      </c>
      <c r="Q120">
        <f>IF(AND(CROQUIS_DATOS!$C$1472=1,CROQUIS_DATOS!$C$1555=1),(CROQUIS_DATOS!$C$1564+(IF(OR(OR(MOD($A120-1,62)+1=1,IF(CHOOSE(MIN(MAX(MIN(INT(($A120-1)/62)+1,5),1),5),CROQUIS_DATOS!$C$1501,CROQUIS_DATOS!$C$1505,CROQUIS_DATOS!$C$1509,CROQUIS_DATOS!$C$1513,CROQUIS_DATOS!$C$1517)=1,CROQUIS_DATOS!$C$1557,0)=0),MOD($A120-1,62)+1&gt;2*IF(CHOOSE(MIN(MAX(MIN(INT(($A120-1)/62)+1,5),1),5),CROQUIS_DATOS!$C$1501,CROQUIS_DATOS!$C$1505,CROQUIS_DATOS!$C$1509,CROQUIS_DATOS!$C$1513,CROQUIS_DATOS!$C$1517)=1,CROQUIS_DATOS!$C$1557,0)+1),CROQUIS_DATOS!$C$1476,MIN(INT((MOD($A120-1,62)+1-2)/2)+1,MAX(IF(CHOOSE(MIN(MAX(MIN(INT(($A120-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0">
        <f>IF(AND(CROQUIS_DATOS!$C$1472=1,1),(CROQUIS_DATOS!$C$1563+(MIN(INT(($A120-1)/2)+1,CROQUIS_DATOS!$C$1558)*CROQUIS_DATOS!$C$1559)*CROQUIS_DATOS!$C$1562),-1000)</f>
        <v>82.2281167108753</v>
      </c>
      <c r="U120">
        <f>IF(AND(CROQUIS_DATOS!$C$1472=1,1),(CROQUIS_DATOS!$C$1564+(IF(INT(($A120-1)/2)+1&gt;CROQUIS_DATOS!$C$1558,IF(MOD(CROQUIS_DATOS!$C$1558,2)=1,CROQUIS_DATOS!$C$1476+CROQUIS_DATOS!$C$1528,CROQUIS_DATOS!$C$1476),IF(IF(MOD(MIN(INT(($A120-1)/2)+1,CROQUIS_DATOS!$C$1558),2)=1,MOD($A120-1,2),1-MOD($A120-1,2))=1,CROQUIS_DATOS!$C$1476+CROQUIS_DATOS!$C$1528,CROQUIS_DATOS!$C$1476)))*CROQUIS_DATOS!$C$1561*CROQUIS_DATOS!$C$1562),-1000)</f>
        <v>43</v>
      </c>
      <c r="BZ120">
        <f>IF(AND(CROQUIS_DATOS!$C$1472=1,CROQUIS_DATOS!$C$1500&gt;0,((CROQUIS_DATOS!$C$1499+CROQUIS_DATOS!$C$1500))-(CROQUIS_DATOS!$C$1499)&gt;0.5,(CROQUIS_DATOS!$C$1476)-(0)&gt;0.5),(CROQUIS_DATOS!$C$1566+(IF(IF(MOD(MIN(INT(($A120-1)/2)+1,MAX(1,INT(((((CROQUIS_DATOS!$C$1499+CROQUIS_DATOS!$C$1500))-(CROQUIS_DATOS!$C$1499))+((CROQUIS_DATOS!$C$1476)*CROQUIS_DATOS!$C$1561-(0)*CROQUIS_DATOS!$C$1561))/CROQUIS_DATOS!$C$1568-0.000001))),2)=1,IF(INT(($A120-1)/2)+1&gt;MAX(1,INT(((((CROQUIS_DATOS!$C$1499+CROQUIS_DATOS!$C$1500))-(CROQUIS_DATOS!$C$1499))+((CROQUIS_DATOS!$C$1476)*CROQUIS_DATOS!$C$1561-(0)*CROQUIS_DATOS!$C$1561))/CROQUIS_DATOS!$C$1568-0.000001)),1,MOD($A120-1,2)),1-IF(INT(($A120-1)/2)+1&gt;MAX(1,INT(((((CROQUIS_DATOS!$C$1499+CROQUIS_DATOS!$C$1500))-(CROQUIS_DATOS!$C$1499))+((CROQUIS_DATOS!$C$1476)*CROQUIS_DATOS!$C$1561-(0)*CROQUIS_DATOS!$C$1561))/CROQUIS_DATOS!$C$1568-0.000001)),1,MOD($A120-1,2)))=1,MIN((CROQUIS_DATOS!$C$1476)*CROQUIS_DATOS!$C$1561,((CROQUIS_DATOS!$C$1499+CROQUIS_DATOS!$C$1500)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0">
        <f>IF(AND(CROQUIS_DATOS!$C$1472=1,CROQUIS_DATOS!$C$1500&gt;0,((CROQUIS_DATOS!$C$1499+CROQUIS_DATOS!$C$1500))-(CROQUIS_DATOS!$C$1499)&gt;0.5,(CROQUIS_DATOS!$C$1476)-(0)&gt;0.5),(CROQUIS_DATOS!$C$1567+(IF(IF(MOD(MIN(INT(($A120-1)/2)+1,MAX(1,INT(((((CROQUIS_DATOS!$C$1499+CROQUIS_DATOS!$C$1500))-(CROQUIS_DATOS!$C$1499))+((CROQUIS_DATOS!$C$1476)*CROQUIS_DATOS!$C$1561-(0)*CROQUIS_DATOS!$C$1561))/CROQUIS_DATOS!$C$1568-0.000001))),2)=1,IF(INT(($A120-1)/2)+1&gt;MAX(1,INT(((((CROQUIS_DATOS!$C$1499+CROQUIS_DATOS!$C$1500))-(CROQUIS_DATOS!$C$1499))+((CROQUIS_DATOS!$C$1476)*CROQUIS_DATOS!$C$1561-(0)*CROQUIS_DATOS!$C$1561))/CROQUIS_DATOS!$C$1568-0.000001)),1,MOD($A120-1,2)),1-IF(INT(($A120-1)/2)+1&gt;MAX(1,INT(((((CROQUIS_DATOS!$C$1499+CROQUIS_DATOS!$C$1500))-(CROQUIS_DATOS!$C$1499))+((CROQUIS_DATOS!$C$1476)*CROQUIS_DATOS!$C$1561-(0)*CROQUIS_DATOS!$C$1561))/CROQUIS_DATOS!$C$1568-0.000001)),1,MOD($A120-1,2)))=1,MIN((CROQUIS_DATOS!$C$1476)*CROQUIS_DATOS!$C$1561,((CROQUIS_DATOS!$C$1499+CROQUIS_DATOS!$C$1500)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0">
        <f>IF(AND(CROQUIS_DATOS!$C$1472=1,CROQUIS_DATOS!$C$1504&gt;0,((CROQUIS_DATOS!$C$1503+CROQUIS_DATOS!$C$1504))-(CROQUIS_DATOS!$C$1503)&gt;0.5,(CROQUIS_DATOS!$C$1476)-(0)&gt;0.5),(CROQUIS_DATOS!$C$1566+(IF(IF(MOD(MIN(INT(($A120-1)/2)+1,MAX(1,INT(((((CROQUIS_DATOS!$C$1503+CROQUIS_DATOS!$C$1504))-(CROQUIS_DATOS!$C$1503))+((CROQUIS_DATOS!$C$1476)*CROQUIS_DATOS!$C$1561-(0)*CROQUIS_DATOS!$C$1561))/CROQUIS_DATOS!$C$1568-0.000001))),2)=1,IF(INT(($A120-1)/2)+1&gt;MAX(1,INT(((((CROQUIS_DATOS!$C$1503+CROQUIS_DATOS!$C$1504))-(CROQUIS_DATOS!$C$1503))+((CROQUIS_DATOS!$C$1476)*CROQUIS_DATOS!$C$1561-(0)*CROQUIS_DATOS!$C$1561))/CROQUIS_DATOS!$C$1568-0.000001)),1,MOD($A120-1,2)),1-IF(INT(($A120-1)/2)+1&gt;MAX(1,INT(((((CROQUIS_DATOS!$C$1503+CROQUIS_DATOS!$C$1504))-(CROQUIS_DATOS!$C$1503))+((CROQUIS_DATOS!$C$1476)*CROQUIS_DATOS!$C$1561-(0)*CROQUIS_DATOS!$C$1561))/CROQUIS_DATOS!$C$1568-0.000001)),1,MOD($A120-1,2)))=1,MIN((CROQUIS_DATOS!$C$1476)*CROQUIS_DATOS!$C$1561,((CROQUIS_DATOS!$C$1503+CROQUIS_DATOS!$C$1504)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0">
        <f>IF(AND(CROQUIS_DATOS!$C$1472=1,CROQUIS_DATOS!$C$1504&gt;0,((CROQUIS_DATOS!$C$1503+CROQUIS_DATOS!$C$1504))-(CROQUIS_DATOS!$C$1503)&gt;0.5,(CROQUIS_DATOS!$C$1476)-(0)&gt;0.5),(CROQUIS_DATOS!$C$1567+(IF(IF(MOD(MIN(INT(($A120-1)/2)+1,MAX(1,INT(((((CROQUIS_DATOS!$C$1503+CROQUIS_DATOS!$C$1504))-(CROQUIS_DATOS!$C$1503))+((CROQUIS_DATOS!$C$1476)*CROQUIS_DATOS!$C$1561-(0)*CROQUIS_DATOS!$C$1561))/CROQUIS_DATOS!$C$1568-0.000001))),2)=1,IF(INT(($A120-1)/2)+1&gt;MAX(1,INT(((((CROQUIS_DATOS!$C$1503+CROQUIS_DATOS!$C$1504))-(CROQUIS_DATOS!$C$1503))+((CROQUIS_DATOS!$C$1476)*CROQUIS_DATOS!$C$1561-(0)*CROQUIS_DATOS!$C$1561))/CROQUIS_DATOS!$C$1568-0.000001)),1,MOD($A120-1,2)),1-IF(INT(($A120-1)/2)+1&gt;MAX(1,INT(((((CROQUIS_DATOS!$C$1503+CROQUIS_DATOS!$C$1504))-(CROQUIS_DATOS!$C$1503))+((CROQUIS_DATOS!$C$1476)*CROQUIS_DATOS!$C$1561-(0)*CROQUIS_DATOS!$C$1561))/CROQUIS_DATOS!$C$1568-0.000001)),1,MOD($A120-1,2)))=1,MIN((CROQUIS_DATOS!$C$1476)*CROQUIS_DATOS!$C$1561,((CROQUIS_DATOS!$C$1503+CROQUIS_DATOS!$C$1504)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0">
        <f>IF(AND(CROQUIS_DATOS!$C$1472=1,CROQUIS_DATOS!$C$1508&gt;0,((CROQUIS_DATOS!$C$1507+CROQUIS_DATOS!$C$1508))-(CROQUIS_DATOS!$C$1507)&gt;0.5,(CROQUIS_DATOS!$C$1476)-(0)&gt;0.5),(CROQUIS_DATOS!$C$1566+(IF(IF(MOD(MIN(INT(($A120-1)/2)+1,MAX(1,INT(((((CROQUIS_DATOS!$C$1507+CROQUIS_DATOS!$C$1508))-(CROQUIS_DATOS!$C$1507))+((CROQUIS_DATOS!$C$1476)*CROQUIS_DATOS!$C$1561-(0)*CROQUIS_DATOS!$C$1561))/CROQUIS_DATOS!$C$1568-0.000001))),2)=1,IF(INT(($A120-1)/2)+1&gt;MAX(1,INT(((((CROQUIS_DATOS!$C$1507+CROQUIS_DATOS!$C$1508))-(CROQUIS_DATOS!$C$1507))+((CROQUIS_DATOS!$C$1476)*CROQUIS_DATOS!$C$1561-(0)*CROQUIS_DATOS!$C$1561))/CROQUIS_DATOS!$C$1568-0.000001)),1,MOD($A120-1,2)),1-IF(INT(($A120-1)/2)+1&gt;MAX(1,INT(((((CROQUIS_DATOS!$C$1507+CROQUIS_DATOS!$C$1508))-(CROQUIS_DATOS!$C$1507))+((CROQUIS_DATOS!$C$1476)*CROQUIS_DATOS!$C$1561-(0)*CROQUIS_DATOS!$C$1561))/CROQUIS_DATOS!$C$1568-0.000001)),1,MOD($A120-1,2)))=1,MIN((CROQUIS_DATOS!$C$1476)*CROQUIS_DATOS!$C$1561,((CROQUIS_DATOS!$C$1507+CROQUIS_DATOS!$C$1508)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0">
        <f>IF(AND(CROQUIS_DATOS!$C$1472=1,CROQUIS_DATOS!$C$1508&gt;0,((CROQUIS_DATOS!$C$1507+CROQUIS_DATOS!$C$1508))-(CROQUIS_DATOS!$C$1507)&gt;0.5,(CROQUIS_DATOS!$C$1476)-(0)&gt;0.5),(CROQUIS_DATOS!$C$1567+(IF(IF(MOD(MIN(INT(($A120-1)/2)+1,MAX(1,INT(((((CROQUIS_DATOS!$C$1507+CROQUIS_DATOS!$C$1508))-(CROQUIS_DATOS!$C$1507))+((CROQUIS_DATOS!$C$1476)*CROQUIS_DATOS!$C$1561-(0)*CROQUIS_DATOS!$C$1561))/CROQUIS_DATOS!$C$1568-0.000001))),2)=1,IF(INT(($A120-1)/2)+1&gt;MAX(1,INT(((((CROQUIS_DATOS!$C$1507+CROQUIS_DATOS!$C$1508))-(CROQUIS_DATOS!$C$1507))+((CROQUIS_DATOS!$C$1476)*CROQUIS_DATOS!$C$1561-(0)*CROQUIS_DATOS!$C$1561))/CROQUIS_DATOS!$C$1568-0.000001)),1,MOD($A120-1,2)),1-IF(INT(($A120-1)/2)+1&gt;MAX(1,INT(((((CROQUIS_DATOS!$C$1507+CROQUIS_DATOS!$C$1508))-(CROQUIS_DATOS!$C$1507))+((CROQUIS_DATOS!$C$1476)*CROQUIS_DATOS!$C$1561-(0)*CROQUIS_DATOS!$C$1561))/CROQUIS_DATOS!$C$1568-0.000001)),1,MOD($A120-1,2)))=1,MIN((CROQUIS_DATOS!$C$1476)*CROQUIS_DATOS!$C$1561,((CROQUIS_DATOS!$C$1507+CROQUIS_DATOS!$C$1508)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0">
        <f>IF(AND(CROQUIS_DATOS!$C$1472=1,CROQUIS_DATOS!$C$1512&gt;0,((CROQUIS_DATOS!$C$1511+CROQUIS_DATOS!$C$1512))-(CROQUIS_DATOS!$C$1511)&gt;0.5,(CROQUIS_DATOS!$C$1476)-(0)&gt;0.5),(CROQUIS_DATOS!$C$1566+(IF(IF(MOD(MIN(INT(($A120-1)/2)+1,MAX(1,INT(((((CROQUIS_DATOS!$C$1511+CROQUIS_DATOS!$C$1512))-(CROQUIS_DATOS!$C$1511))+((CROQUIS_DATOS!$C$1476)*CROQUIS_DATOS!$C$1561-(0)*CROQUIS_DATOS!$C$1561))/CROQUIS_DATOS!$C$1568-0.000001))),2)=1,IF(INT(($A120-1)/2)+1&gt;MAX(1,INT(((((CROQUIS_DATOS!$C$1511+CROQUIS_DATOS!$C$1512))-(CROQUIS_DATOS!$C$1511))+((CROQUIS_DATOS!$C$1476)*CROQUIS_DATOS!$C$1561-(0)*CROQUIS_DATOS!$C$1561))/CROQUIS_DATOS!$C$1568-0.000001)),1,MOD($A120-1,2)),1-IF(INT(($A120-1)/2)+1&gt;MAX(1,INT(((((CROQUIS_DATOS!$C$1511+CROQUIS_DATOS!$C$1512))-(CROQUIS_DATOS!$C$1511))+((CROQUIS_DATOS!$C$1476)*CROQUIS_DATOS!$C$1561-(0)*CROQUIS_DATOS!$C$1561))/CROQUIS_DATOS!$C$1568-0.000001)),1,MOD($A120-1,2)))=1,MIN((CROQUIS_DATOS!$C$1476)*CROQUIS_DATOS!$C$1561,((CROQUIS_DATOS!$C$1511+CROQUIS_DATOS!$C$1512)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0">
        <f>IF(AND(CROQUIS_DATOS!$C$1472=1,CROQUIS_DATOS!$C$1512&gt;0,((CROQUIS_DATOS!$C$1511+CROQUIS_DATOS!$C$1512))-(CROQUIS_DATOS!$C$1511)&gt;0.5,(CROQUIS_DATOS!$C$1476)-(0)&gt;0.5),(CROQUIS_DATOS!$C$1567+(IF(IF(MOD(MIN(INT(($A120-1)/2)+1,MAX(1,INT(((((CROQUIS_DATOS!$C$1511+CROQUIS_DATOS!$C$1512))-(CROQUIS_DATOS!$C$1511))+((CROQUIS_DATOS!$C$1476)*CROQUIS_DATOS!$C$1561-(0)*CROQUIS_DATOS!$C$1561))/CROQUIS_DATOS!$C$1568-0.000001))),2)=1,IF(INT(($A120-1)/2)+1&gt;MAX(1,INT(((((CROQUIS_DATOS!$C$1511+CROQUIS_DATOS!$C$1512))-(CROQUIS_DATOS!$C$1511))+((CROQUIS_DATOS!$C$1476)*CROQUIS_DATOS!$C$1561-(0)*CROQUIS_DATOS!$C$1561))/CROQUIS_DATOS!$C$1568-0.000001)),1,MOD($A120-1,2)),1-IF(INT(($A120-1)/2)+1&gt;MAX(1,INT(((((CROQUIS_DATOS!$C$1511+CROQUIS_DATOS!$C$1512))-(CROQUIS_DATOS!$C$1511))+((CROQUIS_DATOS!$C$1476)*CROQUIS_DATOS!$C$1561-(0)*CROQUIS_DATOS!$C$1561))/CROQUIS_DATOS!$C$1568-0.000001)),1,MOD($A120-1,2)))=1,MIN((CROQUIS_DATOS!$C$1476)*CROQUIS_DATOS!$C$1561,((CROQUIS_DATOS!$C$1511+CROQUIS_DATOS!$C$1512)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0">
        <f>IF(AND(CROQUIS_DATOS!$C$1472=1,CROQUIS_DATOS!$C$1516&gt;0,((CROQUIS_DATOS!$C$1515+CROQUIS_DATOS!$C$1516))-(CROQUIS_DATOS!$C$1515)&gt;0.5,(CROQUIS_DATOS!$C$1476)-(0)&gt;0.5),(CROQUIS_DATOS!$C$1566+(IF(IF(MOD(MIN(INT(($A120-1)/2)+1,MAX(1,INT(((((CROQUIS_DATOS!$C$1515+CROQUIS_DATOS!$C$1516))-(CROQUIS_DATOS!$C$1515))+((CROQUIS_DATOS!$C$1476)*CROQUIS_DATOS!$C$1561-(0)*CROQUIS_DATOS!$C$1561))/CROQUIS_DATOS!$C$1568-0.000001))),2)=1,IF(INT(($A120-1)/2)+1&gt;MAX(1,INT(((((CROQUIS_DATOS!$C$1515+CROQUIS_DATOS!$C$1516))-(CROQUIS_DATOS!$C$1515))+((CROQUIS_DATOS!$C$1476)*CROQUIS_DATOS!$C$1561-(0)*CROQUIS_DATOS!$C$1561))/CROQUIS_DATOS!$C$1568-0.000001)),1,MOD($A120-1,2)),1-IF(INT(($A120-1)/2)+1&gt;MAX(1,INT(((((CROQUIS_DATOS!$C$1515+CROQUIS_DATOS!$C$1516))-(CROQUIS_DATOS!$C$1515))+((CROQUIS_DATOS!$C$1476)*CROQUIS_DATOS!$C$1561-(0)*CROQUIS_DATOS!$C$1561))/CROQUIS_DATOS!$C$1568-0.000001)),1,MOD($A120-1,2)))=1,MIN((CROQUIS_DATOS!$C$1476)*CROQUIS_DATOS!$C$1561,((CROQUIS_DATOS!$C$1515+CROQUIS_DATOS!$C$1516)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0">
        <f>IF(AND(CROQUIS_DATOS!$C$1472=1,CROQUIS_DATOS!$C$1516&gt;0,((CROQUIS_DATOS!$C$1515+CROQUIS_DATOS!$C$1516))-(CROQUIS_DATOS!$C$1515)&gt;0.5,(CROQUIS_DATOS!$C$1476)-(0)&gt;0.5),(CROQUIS_DATOS!$C$1567+(IF(IF(MOD(MIN(INT(($A120-1)/2)+1,MAX(1,INT(((((CROQUIS_DATOS!$C$1515+CROQUIS_DATOS!$C$1516))-(CROQUIS_DATOS!$C$1515))+((CROQUIS_DATOS!$C$1476)*CROQUIS_DATOS!$C$1561-(0)*CROQUIS_DATOS!$C$1561))/CROQUIS_DATOS!$C$1568-0.000001))),2)=1,IF(INT(($A120-1)/2)+1&gt;MAX(1,INT(((((CROQUIS_DATOS!$C$1515+CROQUIS_DATOS!$C$1516))-(CROQUIS_DATOS!$C$1515))+((CROQUIS_DATOS!$C$1476)*CROQUIS_DATOS!$C$1561-(0)*CROQUIS_DATOS!$C$1561))/CROQUIS_DATOS!$C$1568-0.000001)),1,MOD($A120-1,2)),1-IF(INT(($A120-1)/2)+1&gt;MAX(1,INT(((((CROQUIS_DATOS!$C$1515+CROQUIS_DATOS!$C$1516))-(CROQUIS_DATOS!$C$1515))+((CROQUIS_DATOS!$C$1476)*CROQUIS_DATOS!$C$1561-(0)*CROQUIS_DATOS!$C$1561))/CROQUIS_DATOS!$C$1568-0.000001)),1,MOD($A120-1,2)))=1,MIN((CROQUIS_DATOS!$C$1476)*CROQUIS_DATOS!$C$1561,((CROQUIS_DATOS!$C$1515+CROQUIS_DATOS!$C$1516)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0">
        <f>IF(AND(CROQUIS_DATOS!$C$1472=1,CROQUIS_DATOS!$C$1478&gt;=1,((CROQUIS_DATOS!$C$1479+CROQUIS_DATOS!$C$1480))-(CROQUIS_DATOS!$C$1479)&gt;0.5,(CROQUIS_DATOS!$C$1481)-(0)&gt;0.5),(CROQUIS_DATOS!$C$1566+(IF(IF(MOD(MIN(INT(($A120-1)/2)+1,MAX(1,INT(((((CROQUIS_DATOS!$C$1479+CROQUIS_DATOS!$C$1480))-(CROQUIS_DATOS!$C$1479))+((CROQUIS_DATOS!$C$1481)*CROQUIS_DATOS!$C$1561-(0)*CROQUIS_DATOS!$C$1561))/CROQUIS_DATOS!$C$1568-0.000001))),2)=1,IF(INT(($A120-1)/2)+1&gt;MAX(1,INT(((((CROQUIS_DATOS!$C$1479+CROQUIS_DATOS!$C$1480))-(CROQUIS_DATOS!$C$1479))+((CROQUIS_DATOS!$C$1481)*CROQUIS_DATOS!$C$1561-(0)*CROQUIS_DATOS!$C$1561))/CROQUIS_DATOS!$C$1568-0.000001)),1,MOD($A120-1,2)),1-IF(INT(($A120-1)/2)+1&gt;MAX(1,INT(((((CROQUIS_DATOS!$C$1479+CROQUIS_DATOS!$C$1480))-(CROQUIS_DATOS!$C$1479))+((CROQUIS_DATOS!$C$1481)*CROQUIS_DATOS!$C$1561-(0)*CROQUIS_DATOS!$C$1561))/CROQUIS_DATOS!$C$1568-0.000001)),1,MOD($A120-1,2)))=1,MIN((CROQUIS_DATOS!$C$1481)*CROQUIS_DATOS!$C$1561,((CROQUIS_DATOS!$C$1479+CROQUIS_DATOS!$C$1480)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0">
        <f>IF(AND(CROQUIS_DATOS!$C$1472=1,CROQUIS_DATOS!$C$1478&gt;=1,((CROQUIS_DATOS!$C$1479+CROQUIS_DATOS!$C$1480))-(CROQUIS_DATOS!$C$1479)&gt;0.5,(CROQUIS_DATOS!$C$1481)-(0)&gt;0.5),(CROQUIS_DATOS!$C$1567+(IF(IF(MOD(MIN(INT(($A120-1)/2)+1,MAX(1,INT(((((CROQUIS_DATOS!$C$1479+CROQUIS_DATOS!$C$1480))-(CROQUIS_DATOS!$C$1479))+((CROQUIS_DATOS!$C$1481)*CROQUIS_DATOS!$C$1561-(0)*CROQUIS_DATOS!$C$1561))/CROQUIS_DATOS!$C$1568-0.000001))),2)=1,IF(INT(($A120-1)/2)+1&gt;MAX(1,INT(((((CROQUIS_DATOS!$C$1479+CROQUIS_DATOS!$C$1480))-(CROQUIS_DATOS!$C$1479))+((CROQUIS_DATOS!$C$1481)*CROQUIS_DATOS!$C$1561-(0)*CROQUIS_DATOS!$C$1561))/CROQUIS_DATOS!$C$1568-0.000001)),1,MOD($A120-1,2)),1-IF(INT(($A120-1)/2)+1&gt;MAX(1,INT(((((CROQUIS_DATOS!$C$1479+CROQUIS_DATOS!$C$1480))-(CROQUIS_DATOS!$C$1479))+((CROQUIS_DATOS!$C$1481)*CROQUIS_DATOS!$C$1561-(0)*CROQUIS_DATOS!$C$1561))/CROQUIS_DATOS!$C$1568-0.000001)),1,MOD($A120-1,2)))=1,MIN((CROQUIS_DATOS!$C$1481)*CROQUIS_DATOS!$C$1561,((CROQUIS_DATOS!$C$1479+CROQUIS_DATOS!$C$1480)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0">
        <f>IF(AND(CROQUIS_DATOS!$C$1472=1,CROQUIS_DATOS!$C$1478&gt;=1,((CROQUIS_DATOS!$C$1479+CROQUIS_DATOS!$C$1480))-(CROQUIS_DATOS!$C$1479)&gt;0.5,(CROQUIS_DATOS!$C$1476)-((CROQUIS_DATOS!$C$1481+CROQUIS_DATOS!$C$1482))&gt;0.5),(CROQUIS_DATOS!$C$1566+(IF(IF(MOD(MIN(INT(($A120-1)/2)+1,MAX(1,INT(((((CROQUIS_DATOS!$C$1479+CROQUIS_DATOS!$C$1480))-(CROQUIS_DATOS!$C$1479))+((CROQUIS_DATOS!$C$1476)*CROQUIS_DATOS!$C$1561-((CROQUIS_DATOS!$C$1481+CROQUIS_DATOS!$C$1482))*CROQUIS_DATOS!$C$1561))/CROQUIS_DATOS!$C$1568-0.000001))),2)=1,IF(INT(($A120-1)/2)+1&gt;MAX(1,INT(((((CROQUIS_DATOS!$C$1479+CROQUIS_DATOS!$C$1480))-(CROQUIS_DATOS!$C$1479))+((CROQUIS_DATOS!$C$1476)*CROQUIS_DATOS!$C$1561-((CROQUIS_DATOS!$C$1481+CROQUIS_DATOS!$C$1482))*CROQUIS_DATOS!$C$1561))/CROQUIS_DATOS!$C$1568-0.000001)),1,MOD($A120-1,2)),1-IF(INT(($A120-1)/2)+1&gt;MAX(1,INT(((((CROQUIS_DATOS!$C$1479+CROQUIS_DATOS!$C$1480))-(CROQUIS_DATOS!$C$1479))+((CROQUIS_DATOS!$C$1476)*CROQUIS_DATOS!$C$1561-((CROQUIS_DATOS!$C$1481+CROQUIS_DATOS!$C$1482))*CROQUIS_DATOS!$C$1561))/CROQUIS_DATOS!$C$1568-0.000001)),1,MOD($A120-1,2)))=1,MIN((CROQUIS_DATOS!$C$1476)*CROQUIS_DATOS!$C$1561,((CROQUIS_DATOS!$C$1479+CROQUIS_DATOS!$C$1480)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0">
        <f>IF(AND(CROQUIS_DATOS!$C$1472=1,CROQUIS_DATOS!$C$1478&gt;=1,((CROQUIS_DATOS!$C$1479+CROQUIS_DATOS!$C$1480))-(CROQUIS_DATOS!$C$1479)&gt;0.5,(CROQUIS_DATOS!$C$1476)-((CROQUIS_DATOS!$C$1481+CROQUIS_DATOS!$C$1482))&gt;0.5),(CROQUIS_DATOS!$C$1567+(IF(IF(MOD(MIN(INT(($A120-1)/2)+1,MAX(1,INT(((((CROQUIS_DATOS!$C$1479+CROQUIS_DATOS!$C$1480))-(CROQUIS_DATOS!$C$1479))+((CROQUIS_DATOS!$C$1476)*CROQUIS_DATOS!$C$1561-((CROQUIS_DATOS!$C$1481+CROQUIS_DATOS!$C$1482))*CROQUIS_DATOS!$C$1561))/CROQUIS_DATOS!$C$1568-0.000001))),2)=1,IF(INT(($A120-1)/2)+1&gt;MAX(1,INT(((((CROQUIS_DATOS!$C$1479+CROQUIS_DATOS!$C$1480))-(CROQUIS_DATOS!$C$1479))+((CROQUIS_DATOS!$C$1476)*CROQUIS_DATOS!$C$1561-((CROQUIS_DATOS!$C$1481+CROQUIS_DATOS!$C$1482))*CROQUIS_DATOS!$C$1561))/CROQUIS_DATOS!$C$1568-0.000001)),1,MOD($A120-1,2)),1-IF(INT(($A120-1)/2)+1&gt;MAX(1,INT(((((CROQUIS_DATOS!$C$1479+CROQUIS_DATOS!$C$1480))-(CROQUIS_DATOS!$C$1479))+((CROQUIS_DATOS!$C$1476)*CROQUIS_DATOS!$C$1561-((CROQUIS_DATOS!$C$1481+CROQUIS_DATOS!$C$1482))*CROQUIS_DATOS!$C$1561))/CROQUIS_DATOS!$C$1568-0.000001)),1,MOD($A120-1,2)))=1,MIN((CROQUIS_DATOS!$C$1476)*CROQUIS_DATOS!$C$1561,((CROQUIS_DATOS!$C$1479+CROQUIS_DATOS!$C$1480)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0">
        <f>IF(AND(CROQUIS_DATOS!$C$1472=1,CROQUIS_DATOS!$C$1478&gt;=2,((CROQUIS_DATOS!$C$1484+CROQUIS_DATOS!$C$1485))-(CROQUIS_DATOS!$C$1484)&gt;0.5,(CROQUIS_DATOS!$C$1486)-(0)&gt;0.5),(CROQUIS_DATOS!$C$1566+(IF(IF(MOD(MIN(INT(($A120-1)/2)+1,MAX(1,INT(((((CROQUIS_DATOS!$C$1484+CROQUIS_DATOS!$C$1485))-(CROQUIS_DATOS!$C$1484))+((CROQUIS_DATOS!$C$1486)*CROQUIS_DATOS!$C$1561-(0)*CROQUIS_DATOS!$C$1561))/CROQUIS_DATOS!$C$1568-0.000001))),2)=1,IF(INT(($A120-1)/2)+1&gt;MAX(1,INT(((((CROQUIS_DATOS!$C$1484+CROQUIS_DATOS!$C$1485))-(CROQUIS_DATOS!$C$1484))+((CROQUIS_DATOS!$C$1486)*CROQUIS_DATOS!$C$1561-(0)*CROQUIS_DATOS!$C$1561))/CROQUIS_DATOS!$C$1568-0.000001)),1,MOD($A120-1,2)),1-IF(INT(($A120-1)/2)+1&gt;MAX(1,INT(((((CROQUIS_DATOS!$C$1484+CROQUIS_DATOS!$C$1485))-(CROQUIS_DATOS!$C$1484))+((CROQUIS_DATOS!$C$1486)*CROQUIS_DATOS!$C$1561-(0)*CROQUIS_DATOS!$C$1561))/CROQUIS_DATOS!$C$1568-0.000001)),1,MOD($A120-1,2)))=1,MIN((CROQUIS_DATOS!$C$1486)*CROQUIS_DATOS!$C$1561,((CROQUIS_DATOS!$C$1484+CROQUIS_DATOS!$C$1485)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0">
        <f>IF(AND(CROQUIS_DATOS!$C$1472=1,CROQUIS_DATOS!$C$1478&gt;=2,((CROQUIS_DATOS!$C$1484+CROQUIS_DATOS!$C$1485))-(CROQUIS_DATOS!$C$1484)&gt;0.5,(CROQUIS_DATOS!$C$1486)-(0)&gt;0.5),(CROQUIS_DATOS!$C$1567+(IF(IF(MOD(MIN(INT(($A120-1)/2)+1,MAX(1,INT(((((CROQUIS_DATOS!$C$1484+CROQUIS_DATOS!$C$1485))-(CROQUIS_DATOS!$C$1484))+((CROQUIS_DATOS!$C$1486)*CROQUIS_DATOS!$C$1561-(0)*CROQUIS_DATOS!$C$1561))/CROQUIS_DATOS!$C$1568-0.000001))),2)=1,IF(INT(($A120-1)/2)+1&gt;MAX(1,INT(((((CROQUIS_DATOS!$C$1484+CROQUIS_DATOS!$C$1485))-(CROQUIS_DATOS!$C$1484))+((CROQUIS_DATOS!$C$1486)*CROQUIS_DATOS!$C$1561-(0)*CROQUIS_DATOS!$C$1561))/CROQUIS_DATOS!$C$1568-0.000001)),1,MOD($A120-1,2)),1-IF(INT(($A120-1)/2)+1&gt;MAX(1,INT(((((CROQUIS_DATOS!$C$1484+CROQUIS_DATOS!$C$1485))-(CROQUIS_DATOS!$C$1484))+((CROQUIS_DATOS!$C$1486)*CROQUIS_DATOS!$C$1561-(0)*CROQUIS_DATOS!$C$1561))/CROQUIS_DATOS!$C$1568-0.000001)),1,MOD($A120-1,2)))=1,MIN((CROQUIS_DATOS!$C$1486)*CROQUIS_DATOS!$C$1561,((CROQUIS_DATOS!$C$1484+CROQUIS_DATOS!$C$1485)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0">
        <f>IF(AND(CROQUIS_DATOS!$C$1472=1,CROQUIS_DATOS!$C$1478&gt;=2,((CROQUIS_DATOS!$C$1484+CROQUIS_DATOS!$C$1485))-(CROQUIS_DATOS!$C$1484)&gt;0.5,(CROQUIS_DATOS!$C$1476)-((CROQUIS_DATOS!$C$1486+CROQUIS_DATOS!$C$1487))&gt;0.5),(CROQUIS_DATOS!$C$1566+(IF(IF(MOD(MIN(INT(($A120-1)/2)+1,MAX(1,INT(((((CROQUIS_DATOS!$C$1484+CROQUIS_DATOS!$C$1485))-(CROQUIS_DATOS!$C$1484))+((CROQUIS_DATOS!$C$1476)*CROQUIS_DATOS!$C$1561-((CROQUIS_DATOS!$C$1486+CROQUIS_DATOS!$C$1487))*CROQUIS_DATOS!$C$1561))/CROQUIS_DATOS!$C$1568-0.000001))),2)=1,IF(INT(($A120-1)/2)+1&gt;MAX(1,INT(((((CROQUIS_DATOS!$C$1484+CROQUIS_DATOS!$C$1485))-(CROQUIS_DATOS!$C$1484))+((CROQUIS_DATOS!$C$1476)*CROQUIS_DATOS!$C$1561-((CROQUIS_DATOS!$C$1486+CROQUIS_DATOS!$C$1487))*CROQUIS_DATOS!$C$1561))/CROQUIS_DATOS!$C$1568-0.000001)),1,MOD($A120-1,2)),1-IF(INT(($A120-1)/2)+1&gt;MAX(1,INT(((((CROQUIS_DATOS!$C$1484+CROQUIS_DATOS!$C$1485))-(CROQUIS_DATOS!$C$1484))+((CROQUIS_DATOS!$C$1476)*CROQUIS_DATOS!$C$1561-((CROQUIS_DATOS!$C$1486+CROQUIS_DATOS!$C$1487))*CROQUIS_DATOS!$C$1561))/CROQUIS_DATOS!$C$1568-0.000001)),1,MOD($A120-1,2)))=1,MIN((CROQUIS_DATOS!$C$1476)*CROQUIS_DATOS!$C$1561,((CROQUIS_DATOS!$C$1484+CROQUIS_DATOS!$C$1485)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0">
        <f>IF(AND(CROQUIS_DATOS!$C$1472=1,CROQUIS_DATOS!$C$1478&gt;=2,((CROQUIS_DATOS!$C$1484+CROQUIS_DATOS!$C$1485))-(CROQUIS_DATOS!$C$1484)&gt;0.5,(CROQUIS_DATOS!$C$1476)-((CROQUIS_DATOS!$C$1486+CROQUIS_DATOS!$C$1487))&gt;0.5),(CROQUIS_DATOS!$C$1567+(IF(IF(MOD(MIN(INT(($A120-1)/2)+1,MAX(1,INT(((((CROQUIS_DATOS!$C$1484+CROQUIS_DATOS!$C$1485))-(CROQUIS_DATOS!$C$1484))+((CROQUIS_DATOS!$C$1476)*CROQUIS_DATOS!$C$1561-((CROQUIS_DATOS!$C$1486+CROQUIS_DATOS!$C$1487))*CROQUIS_DATOS!$C$1561))/CROQUIS_DATOS!$C$1568-0.000001))),2)=1,IF(INT(($A120-1)/2)+1&gt;MAX(1,INT(((((CROQUIS_DATOS!$C$1484+CROQUIS_DATOS!$C$1485))-(CROQUIS_DATOS!$C$1484))+((CROQUIS_DATOS!$C$1476)*CROQUIS_DATOS!$C$1561-((CROQUIS_DATOS!$C$1486+CROQUIS_DATOS!$C$1487))*CROQUIS_DATOS!$C$1561))/CROQUIS_DATOS!$C$1568-0.000001)),1,MOD($A120-1,2)),1-IF(INT(($A120-1)/2)+1&gt;MAX(1,INT(((((CROQUIS_DATOS!$C$1484+CROQUIS_DATOS!$C$1485))-(CROQUIS_DATOS!$C$1484))+((CROQUIS_DATOS!$C$1476)*CROQUIS_DATOS!$C$1561-((CROQUIS_DATOS!$C$1486+CROQUIS_DATOS!$C$1487))*CROQUIS_DATOS!$C$1561))/CROQUIS_DATOS!$C$1568-0.000001)),1,MOD($A120-1,2)))=1,MIN((CROQUIS_DATOS!$C$1476)*CROQUIS_DATOS!$C$1561,((CROQUIS_DATOS!$C$1484+CROQUIS_DATOS!$C$1485)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0">
        <f>IF(AND(CROQUIS_DATOS!$C$1472=1,CROQUIS_DATOS!$C$1478&gt;=3,((CROQUIS_DATOS!$C$1489+CROQUIS_DATOS!$C$1490))-(CROQUIS_DATOS!$C$1489)&gt;0.5,(CROQUIS_DATOS!$C$1491)-(0)&gt;0.5),(CROQUIS_DATOS!$C$1566+(IF(IF(MOD(MIN(INT(($A120-1)/2)+1,MAX(1,INT(((((CROQUIS_DATOS!$C$1489+CROQUIS_DATOS!$C$1490))-(CROQUIS_DATOS!$C$1489))+((CROQUIS_DATOS!$C$1491)*CROQUIS_DATOS!$C$1561-(0)*CROQUIS_DATOS!$C$1561))/CROQUIS_DATOS!$C$1568-0.000001))),2)=1,IF(INT(($A120-1)/2)+1&gt;MAX(1,INT(((((CROQUIS_DATOS!$C$1489+CROQUIS_DATOS!$C$1490))-(CROQUIS_DATOS!$C$1489))+((CROQUIS_DATOS!$C$1491)*CROQUIS_DATOS!$C$1561-(0)*CROQUIS_DATOS!$C$1561))/CROQUIS_DATOS!$C$1568-0.000001)),1,MOD($A120-1,2)),1-IF(INT(($A120-1)/2)+1&gt;MAX(1,INT(((((CROQUIS_DATOS!$C$1489+CROQUIS_DATOS!$C$1490))-(CROQUIS_DATOS!$C$1489))+((CROQUIS_DATOS!$C$1491)*CROQUIS_DATOS!$C$1561-(0)*CROQUIS_DATOS!$C$1561))/CROQUIS_DATOS!$C$1568-0.000001)),1,MOD($A120-1,2)))=1,MIN((CROQUIS_DATOS!$C$1491)*CROQUIS_DATOS!$C$1561,((CROQUIS_DATOS!$C$1489+CROQUIS_DATOS!$C$1490)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0">
        <f>IF(AND(CROQUIS_DATOS!$C$1472=1,CROQUIS_DATOS!$C$1478&gt;=3,((CROQUIS_DATOS!$C$1489+CROQUIS_DATOS!$C$1490))-(CROQUIS_DATOS!$C$1489)&gt;0.5,(CROQUIS_DATOS!$C$1491)-(0)&gt;0.5),(CROQUIS_DATOS!$C$1567+(IF(IF(MOD(MIN(INT(($A120-1)/2)+1,MAX(1,INT(((((CROQUIS_DATOS!$C$1489+CROQUIS_DATOS!$C$1490))-(CROQUIS_DATOS!$C$1489))+((CROQUIS_DATOS!$C$1491)*CROQUIS_DATOS!$C$1561-(0)*CROQUIS_DATOS!$C$1561))/CROQUIS_DATOS!$C$1568-0.000001))),2)=1,IF(INT(($A120-1)/2)+1&gt;MAX(1,INT(((((CROQUIS_DATOS!$C$1489+CROQUIS_DATOS!$C$1490))-(CROQUIS_DATOS!$C$1489))+((CROQUIS_DATOS!$C$1491)*CROQUIS_DATOS!$C$1561-(0)*CROQUIS_DATOS!$C$1561))/CROQUIS_DATOS!$C$1568-0.000001)),1,MOD($A120-1,2)),1-IF(INT(($A120-1)/2)+1&gt;MAX(1,INT(((((CROQUIS_DATOS!$C$1489+CROQUIS_DATOS!$C$1490))-(CROQUIS_DATOS!$C$1489))+((CROQUIS_DATOS!$C$1491)*CROQUIS_DATOS!$C$1561-(0)*CROQUIS_DATOS!$C$1561))/CROQUIS_DATOS!$C$1568-0.000001)),1,MOD($A120-1,2)))=1,MIN((CROQUIS_DATOS!$C$1491)*CROQUIS_DATOS!$C$1561,((CROQUIS_DATOS!$C$1489+CROQUIS_DATOS!$C$1490)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0">
        <f>IF(AND(CROQUIS_DATOS!$C$1472=1,CROQUIS_DATOS!$C$1478&gt;=3,((CROQUIS_DATOS!$C$1489+CROQUIS_DATOS!$C$1490))-(CROQUIS_DATOS!$C$1489)&gt;0.5,(CROQUIS_DATOS!$C$1476)-((CROQUIS_DATOS!$C$1491+CROQUIS_DATOS!$C$1492))&gt;0.5),(CROQUIS_DATOS!$C$1566+(IF(IF(MOD(MIN(INT(($A120-1)/2)+1,MAX(1,INT(((((CROQUIS_DATOS!$C$1489+CROQUIS_DATOS!$C$1490))-(CROQUIS_DATOS!$C$1489))+((CROQUIS_DATOS!$C$1476)*CROQUIS_DATOS!$C$1561-((CROQUIS_DATOS!$C$1491+CROQUIS_DATOS!$C$1492))*CROQUIS_DATOS!$C$1561))/CROQUIS_DATOS!$C$1568-0.000001))),2)=1,IF(INT(($A120-1)/2)+1&gt;MAX(1,INT(((((CROQUIS_DATOS!$C$1489+CROQUIS_DATOS!$C$1490))-(CROQUIS_DATOS!$C$1489))+((CROQUIS_DATOS!$C$1476)*CROQUIS_DATOS!$C$1561-((CROQUIS_DATOS!$C$1491+CROQUIS_DATOS!$C$1492))*CROQUIS_DATOS!$C$1561))/CROQUIS_DATOS!$C$1568-0.000001)),1,MOD($A120-1,2)),1-IF(INT(($A120-1)/2)+1&gt;MAX(1,INT(((((CROQUIS_DATOS!$C$1489+CROQUIS_DATOS!$C$1490))-(CROQUIS_DATOS!$C$1489))+((CROQUIS_DATOS!$C$1476)*CROQUIS_DATOS!$C$1561-((CROQUIS_DATOS!$C$1491+CROQUIS_DATOS!$C$1492))*CROQUIS_DATOS!$C$1561))/CROQUIS_DATOS!$C$1568-0.000001)),1,MOD($A120-1,2)))=1,MIN((CROQUIS_DATOS!$C$1476)*CROQUIS_DATOS!$C$1561,((CROQUIS_DATOS!$C$1489+CROQUIS_DATOS!$C$1490)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0">
        <f>IF(AND(CROQUIS_DATOS!$C$1472=1,CROQUIS_DATOS!$C$1478&gt;=3,((CROQUIS_DATOS!$C$1489+CROQUIS_DATOS!$C$1490))-(CROQUIS_DATOS!$C$1489)&gt;0.5,(CROQUIS_DATOS!$C$1476)-((CROQUIS_DATOS!$C$1491+CROQUIS_DATOS!$C$1492))&gt;0.5),(CROQUIS_DATOS!$C$1567+(IF(IF(MOD(MIN(INT(($A120-1)/2)+1,MAX(1,INT(((((CROQUIS_DATOS!$C$1489+CROQUIS_DATOS!$C$1490))-(CROQUIS_DATOS!$C$1489))+((CROQUIS_DATOS!$C$1476)*CROQUIS_DATOS!$C$1561-((CROQUIS_DATOS!$C$1491+CROQUIS_DATOS!$C$1492))*CROQUIS_DATOS!$C$1561))/CROQUIS_DATOS!$C$1568-0.000001))),2)=1,IF(INT(($A120-1)/2)+1&gt;MAX(1,INT(((((CROQUIS_DATOS!$C$1489+CROQUIS_DATOS!$C$1490))-(CROQUIS_DATOS!$C$1489))+((CROQUIS_DATOS!$C$1476)*CROQUIS_DATOS!$C$1561-((CROQUIS_DATOS!$C$1491+CROQUIS_DATOS!$C$1492))*CROQUIS_DATOS!$C$1561))/CROQUIS_DATOS!$C$1568-0.000001)),1,MOD($A120-1,2)),1-IF(INT(($A120-1)/2)+1&gt;MAX(1,INT(((((CROQUIS_DATOS!$C$1489+CROQUIS_DATOS!$C$1490))-(CROQUIS_DATOS!$C$1489))+((CROQUIS_DATOS!$C$1476)*CROQUIS_DATOS!$C$1561-((CROQUIS_DATOS!$C$1491+CROQUIS_DATOS!$C$1492))*CROQUIS_DATOS!$C$1561))/CROQUIS_DATOS!$C$1568-0.000001)),1,MOD($A120-1,2)))=1,MIN((CROQUIS_DATOS!$C$1476)*CROQUIS_DATOS!$C$1561,((CROQUIS_DATOS!$C$1489+CROQUIS_DATOS!$C$1490)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0">
        <f>IF(AND(CROQUIS_DATOS!$C$1472=1,CROQUIS_DATOS!$C$1478&gt;=4,((CROQUIS_DATOS!$C$1494+CROQUIS_DATOS!$C$1495))-(CROQUIS_DATOS!$C$1494)&gt;0.5,(CROQUIS_DATOS!$C$1496)-(0)&gt;0.5),(CROQUIS_DATOS!$C$1566+(IF(IF(MOD(MIN(INT(($A120-1)/2)+1,MAX(1,INT(((((CROQUIS_DATOS!$C$1494+CROQUIS_DATOS!$C$1495))-(CROQUIS_DATOS!$C$1494))+((CROQUIS_DATOS!$C$1496)*CROQUIS_DATOS!$C$1561-(0)*CROQUIS_DATOS!$C$1561))/CROQUIS_DATOS!$C$1568-0.000001))),2)=1,IF(INT(($A120-1)/2)+1&gt;MAX(1,INT(((((CROQUIS_DATOS!$C$1494+CROQUIS_DATOS!$C$1495))-(CROQUIS_DATOS!$C$1494))+((CROQUIS_DATOS!$C$1496)*CROQUIS_DATOS!$C$1561-(0)*CROQUIS_DATOS!$C$1561))/CROQUIS_DATOS!$C$1568-0.000001)),1,MOD($A120-1,2)),1-IF(INT(($A120-1)/2)+1&gt;MAX(1,INT(((((CROQUIS_DATOS!$C$1494+CROQUIS_DATOS!$C$1495))-(CROQUIS_DATOS!$C$1494))+((CROQUIS_DATOS!$C$1496)*CROQUIS_DATOS!$C$1561-(0)*CROQUIS_DATOS!$C$1561))/CROQUIS_DATOS!$C$1568-0.000001)),1,MOD($A120-1,2)))=1,MIN((CROQUIS_DATOS!$C$1496)*CROQUIS_DATOS!$C$1561,((CROQUIS_DATOS!$C$1494+CROQUIS_DATOS!$C$1495)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0">
        <f>IF(AND(CROQUIS_DATOS!$C$1472=1,CROQUIS_DATOS!$C$1478&gt;=4,((CROQUIS_DATOS!$C$1494+CROQUIS_DATOS!$C$1495))-(CROQUIS_DATOS!$C$1494)&gt;0.5,(CROQUIS_DATOS!$C$1496)-(0)&gt;0.5),(CROQUIS_DATOS!$C$1567+(IF(IF(MOD(MIN(INT(($A120-1)/2)+1,MAX(1,INT(((((CROQUIS_DATOS!$C$1494+CROQUIS_DATOS!$C$1495))-(CROQUIS_DATOS!$C$1494))+((CROQUIS_DATOS!$C$1496)*CROQUIS_DATOS!$C$1561-(0)*CROQUIS_DATOS!$C$1561))/CROQUIS_DATOS!$C$1568-0.000001))),2)=1,IF(INT(($A120-1)/2)+1&gt;MAX(1,INT(((((CROQUIS_DATOS!$C$1494+CROQUIS_DATOS!$C$1495))-(CROQUIS_DATOS!$C$1494))+((CROQUIS_DATOS!$C$1496)*CROQUIS_DATOS!$C$1561-(0)*CROQUIS_DATOS!$C$1561))/CROQUIS_DATOS!$C$1568-0.000001)),1,MOD($A120-1,2)),1-IF(INT(($A120-1)/2)+1&gt;MAX(1,INT(((((CROQUIS_DATOS!$C$1494+CROQUIS_DATOS!$C$1495))-(CROQUIS_DATOS!$C$1494))+((CROQUIS_DATOS!$C$1496)*CROQUIS_DATOS!$C$1561-(0)*CROQUIS_DATOS!$C$1561))/CROQUIS_DATOS!$C$1568-0.000001)),1,MOD($A120-1,2)))=1,MIN((CROQUIS_DATOS!$C$1496)*CROQUIS_DATOS!$C$1561,((CROQUIS_DATOS!$C$1494+CROQUIS_DATOS!$C$1495)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0">
        <f>IF(AND(CROQUIS_DATOS!$C$1472=1,CROQUIS_DATOS!$C$1478&gt;=4,((CROQUIS_DATOS!$C$1494+CROQUIS_DATOS!$C$1495))-(CROQUIS_DATOS!$C$1494)&gt;0.5,(CROQUIS_DATOS!$C$1476)-((CROQUIS_DATOS!$C$1496+CROQUIS_DATOS!$C$1497))&gt;0.5),(CROQUIS_DATOS!$C$1566+(IF(IF(MOD(MIN(INT(($A120-1)/2)+1,MAX(1,INT(((((CROQUIS_DATOS!$C$1494+CROQUIS_DATOS!$C$1495))-(CROQUIS_DATOS!$C$1494))+((CROQUIS_DATOS!$C$1476)*CROQUIS_DATOS!$C$1561-((CROQUIS_DATOS!$C$1496+CROQUIS_DATOS!$C$1497))*CROQUIS_DATOS!$C$1561))/CROQUIS_DATOS!$C$1568-0.000001))),2)=1,IF(INT(($A120-1)/2)+1&gt;MAX(1,INT(((((CROQUIS_DATOS!$C$1494+CROQUIS_DATOS!$C$1495))-(CROQUIS_DATOS!$C$1494))+((CROQUIS_DATOS!$C$1476)*CROQUIS_DATOS!$C$1561-((CROQUIS_DATOS!$C$1496+CROQUIS_DATOS!$C$1497))*CROQUIS_DATOS!$C$1561))/CROQUIS_DATOS!$C$1568-0.000001)),1,MOD($A120-1,2)),1-IF(INT(($A120-1)/2)+1&gt;MAX(1,INT(((((CROQUIS_DATOS!$C$1494+CROQUIS_DATOS!$C$1495))-(CROQUIS_DATOS!$C$1494))+((CROQUIS_DATOS!$C$1476)*CROQUIS_DATOS!$C$1561-((CROQUIS_DATOS!$C$1496+CROQUIS_DATOS!$C$1497))*CROQUIS_DATOS!$C$1561))/CROQUIS_DATOS!$C$1568-0.000001)),1,MOD($A120-1,2)))=1,MIN((CROQUIS_DATOS!$C$1476)*CROQUIS_DATOS!$C$1561,((CROQUIS_DATOS!$C$1494+CROQUIS_DATOS!$C$1495)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0">
        <f>IF(AND(CROQUIS_DATOS!$C$1472=1,CROQUIS_DATOS!$C$1478&gt;=4,((CROQUIS_DATOS!$C$1494+CROQUIS_DATOS!$C$1495))-(CROQUIS_DATOS!$C$1494)&gt;0.5,(CROQUIS_DATOS!$C$1476)-((CROQUIS_DATOS!$C$1496+CROQUIS_DATOS!$C$1497))&gt;0.5),(CROQUIS_DATOS!$C$1567+(IF(IF(MOD(MIN(INT(($A120-1)/2)+1,MAX(1,INT(((((CROQUIS_DATOS!$C$1494+CROQUIS_DATOS!$C$1495))-(CROQUIS_DATOS!$C$1494))+((CROQUIS_DATOS!$C$1476)*CROQUIS_DATOS!$C$1561-((CROQUIS_DATOS!$C$1496+CROQUIS_DATOS!$C$1497))*CROQUIS_DATOS!$C$1561))/CROQUIS_DATOS!$C$1568-0.000001))),2)=1,IF(INT(($A120-1)/2)+1&gt;MAX(1,INT(((((CROQUIS_DATOS!$C$1494+CROQUIS_DATOS!$C$1495))-(CROQUIS_DATOS!$C$1494))+((CROQUIS_DATOS!$C$1476)*CROQUIS_DATOS!$C$1561-((CROQUIS_DATOS!$C$1496+CROQUIS_DATOS!$C$1497))*CROQUIS_DATOS!$C$1561))/CROQUIS_DATOS!$C$1568-0.000001)),1,MOD($A120-1,2)),1-IF(INT(($A120-1)/2)+1&gt;MAX(1,INT(((((CROQUIS_DATOS!$C$1494+CROQUIS_DATOS!$C$1495))-(CROQUIS_DATOS!$C$1494))+((CROQUIS_DATOS!$C$1476)*CROQUIS_DATOS!$C$1561-((CROQUIS_DATOS!$C$1496+CROQUIS_DATOS!$C$1497))*CROQUIS_DATOS!$C$1561))/CROQUIS_DATOS!$C$1568-0.000001)),1,MOD($A120-1,2)))=1,MIN((CROQUIS_DATOS!$C$1476)*CROQUIS_DATOS!$C$1561,((CROQUIS_DATOS!$C$1494+CROQUIS_DATOS!$C$1495)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1">
      <c r="A121" t="n">
        <v>114</v>
      </c>
      <c r="N121">
        <f>IF(AND(CROQUIS_DATOS!$C$1472=1,1),(CROQUIS_DATOS!$C$1563+(IF(IF(IF(INT(($A121-1)/70)+1&gt;CROQUIS_DATOS!$C$1525,70,MOD($A121-1,70)+1)=1,0,IF(IF(INT(($A121-1)/70)+1&gt;CROQUIS_DATOS!$C$1525,70,MOD($A121-1,70)+1)&gt;2*CROQUIS_DATOS!$C$1541+1,IF(MOD(CROQUIS_DATOS!$C$1541,2)=1,1,0),IF(MOD(MIN(INT((IF(INT(($A121-1)/70)+1&gt;CROQUIS_DATOS!$C$1525,70,MOD($A121-1,70)+1)-2)/2)+1,CROQUIS_DATOS!$C$1541),2)=1,IF(MOD(IF(INT(($A121-1)/70)+1&gt;CROQUIS_DATOS!$C$1525,70,MOD($A121-1,70)+1)-2,2)=0,0,1),IF(MOD(IF(INT(($A121-1)/70)+1&gt;CROQUIS_DATOS!$C$1525,70,MOD($A121-1,70)+1)-2,2)=0,1,0))))=0,(INDEX($E$8:$E$23,MIN(INT(($A121-1)/70)+1,CROQUIS_DATOS!$C$1525))-INDEX($F$8:$F$23,MIN(INT(($A121-1)/70)+1,CROQUIS_DATOS!$C$1525))/2),(INDEX($E$8:$E$23,MIN(INT(($A121-1)/70)+1,CROQUIS_DATOS!$C$1525))+INDEX($F$8:$F$23,MIN(INT(($A121-1)/70)+1,CROQUIS_DATOS!$C$1525))/2)))*CROQUIS_DATOS!$C$1562),-1000)</f>
        <v>18.5775862068965</v>
      </c>
      <c r="O121">
        <f>IF(AND(CROQUIS_DATOS!$C$1472=1,1),(CROQUIS_DATOS!$C$1564+(IF(OR(IF(INT(($A121-1)/70)+1&gt;CROQUIS_DATOS!$C$1525,70,MOD($A121-1,70)+1)=1,IF(INT(($A121-1)/70)+1&gt;CROQUIS_DATOS!$C$1525,70,MOD($A121-1,70)+1)&gt;2*CROQUIS_DATOS!$C$1541+1),CROQUIS_DATOS!$C$1476,INDEX($H$8:$H$41,MIN(INT((IF(INT(($A121-1)/70)+1&gt;CROQUIS_DATOS!$C$1525,70,MOD($A121-1,70)+1)-2)/2)+1,CROQUIS_DATOS!$C$1541))))*CROQUIS_DATOS!$C$1561*CROQUIS_DATOS!$C$1562),-1000)</f>
        <v>40.2068965517241</v>
      </c>
      <c r="P121">
        <f>IF(AND(CROQUIS_DATOS!$C$1472=1,CROQUIS_DATOS!$C$1555=1),(CROQUIS_DATOS!$C$1563+(IF(IF(OR(MOD($A121-1,62)+1=1,IF(CHOOSE(MIN(MAX(MIN(INT(($A121-1)/62)+1,5),1),5),CROQUIS_DATOS!$C$1501,CROQUIS_DATOS!$C$1505,CROQUIS_DATOS!$C$1509,CROQUIS_DATOS!$C$1513,CROQUIS_DATOS!$C$1517)=1,CROQUIS_DATOS!$C$1557,0)=0),0,IF(MOD($A121-1,62)+1&gt;2*IF(CHOOSE(MIN(MAX(MIN(INT(($A121-1)/62)+1,5),1),5),CROQUIS_DATOS!$C$1501,CROQUIS_DATOS!$C$1505,CROQUIS_DATOS!$C$1509,CROQUIS_DATOS!$C$1513,CROQUIS_DATOS!$C$1517)=1,CROQUIS_DATOS!$C$1557,0)+1,IF(MOD(IF(CHOOSE(MIN(MAX(MIN(INT(($A121-1)/62)+1,5),1),5),CROQUIS_DATOS!$C$1501,CROQUIS_DATOS!$C$1505,CROQUIS_DATOS!$C$1509,CROQUIS_DATOS!$C$1513,CROQUIS_DATOS!$C$1517)=1,CROQUIS_DATOS!$C$1557,0),2)=1,1,0),IF(MOD(MIN(INT((MOD($A121-1,62)+1-2)/2)+1,MAX(IF(CHOOSE(MIN(MAX(MIN(INT(($A121-1)/62)+1,5),1),5),CROQUIS_DATOS!$C$1501,CROQUIS_DATOS!$C$1505,CROQUIS_DATOS!$C$1509,CROQUIS_DATOS!$C$1513,CROQUIS_DATOS!$C$1517)=1,CROQUIS_DATOS!$C$1557,0),1)),2)=1,IF(MOD(MOD($A121-1,62)+1-2,2)=0,0,1),IF(MOD(MOD($A121-1,62)+1-2,2)=0,1,0))))=0,(CHOOSE(MIN(MAX(MIN(INT(($A121-1)/62)+1,5),1),5),CROQUIS_DATOS!$C$1499,CROQUIS_DATOS!$C$1503,CROQUIS_DATOS!$C$1507,CROQUIS_DATOS!$C$1511,CROQUIS_DATOS!$C$1515)+IF(CHOOSE(MIN(MAX(MIN(INT(($A121-1)/62)+1,5),1),5),CROQUIS_DATOS!$C$1501,CROQUIS_DATOS!$C$1505,CROQUIS_DATOS!$C$1509,CROQUIS_DATOS!$C$1513,CROQUIS_DATOS!$C$1517)=1,CROQUIS_DATOS!$C$1526,0)),(CHOOSE(MIN(MAX(MIN(INT(($A121-1)/62)+1,5),1),5),CROQUIS_DATOS!$C$1499,CROQUIS_DATOS!$C$1503,CROQUIS_DATOS!$C$1507,CROQUIS_DATOS!$C$1511,CROQUIS_DATOS!$C$1515)+CHOOSE(MIN(MAX(MIN(INT(($A121-1)/62)+1,5),1),5),CROQUIS_DATOS!$C$1500,CROQUIS_DATOS!$C$1504,CROQUIS_DATOS!$C$1508,CROQUIS_DATOS!$C$1512,CROQUIS_DATOS!$C$1516)-IF(CHOOSE(MIN(MAX(MIN(INT(($A121-1)/62)+1,5),1),5),CROQUIS_DATOS!$C$1501,CROQUIS_DATOS!$C$1505,CROQUIS_DATOS!$C$1509,CROQUIS_DATOS!$C$1513,CROQUIS_DATOS!$C$1517)=1,CROQUIS_DATOS!$C$1526,0))))*CROQUIS_DATOS!$C$1562),-1000)</f>
        <v>-1000</v>
      </c>
      <c r="Q121">
        <f>IF(AND(CROQUIS_DATOS!$C$1472=1,CROQUIS_DATOS!$C$1555=1),(CROQUIS_DATOS!$C$1564+(IF(OR(OR(MOD($A121-1,62)+1=1,IF(CHOOSE(MIN(MAX(MIN(INT(($A121-1)/62)+1,5),1),5),CROQUIS_DATOS!$C$1501,CROQUIS_DATOS!$C$1505,CROQUIS_DATOS!$C$1509,CROQUIS_DATOS!$C$1513,CROQUIS_DATOS!$C$1517)=1,CROQUIS_DATOS!$C$1557,0)=0),MOD($A121-1,62)+1&gt;2*IF(CHOOSE(MIN(MAX(MIN(INT(($A121-1)/62)+1,5),1),5),CROQUIS_DATOS!$C$1501,CROQUIS_DATOS!$C$1505,CROQUIS_DATOS!$C$1509,CROQUIS_DATOS!$C$1513,CROQUIS_DATOS!$C$1517)=1,CROQUIS_DATOS!$C$1557,0)+1),CROQUIS_DATOS!$C$1476,MIN(INT((MOD($A121-1,62)+1-2)/2)+1,MAX(IF(CHOOSE(MIN(MAX(MIN(INT(($A121-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1">
        <f>IF(AND(CROQUIS_DATOS!$C$1472=1,1),(CROQUIS_DATOS!$C$1563+(MIN(INT(($A121-1)/2)+1,CROQUIS_DATOS!$C$1558)*CROQUIS_DATOS!$C$1559)*CROQUIS_DATOS!$C$1562),-1000)</f>
        <v>82.2281167108753</v>
      </c>
      <c r="U121">
        <f>IF(AND(CROQUIS_DATOS!$C$1472=1,1),(CROQUIS_DATOS!$C$1564+(IF(INT(($A121-1)/2)+1&gt;CROQUIS_DATOS!$C$1558,IF(MOD(CROQUIS_DATOS!$C$1558,2)=1,CROQUIS_DATOS!$C$1476+CROQUIS_DATOS!$C$1528,CROQUIS_DATOS!$C$1476),IF(IF(MOD(MIN(INT(($A121-1)/2)+1,CROQUIS_DATOS!$C$1558),2)=1,MOD($A121-1,2),1-MOD($A121-1,2))=1,CROQUIS_DATOS!$C$1476+CROQUIS_DATOS!$C$1528,CROQUIS_DATOS!$C$1476)))*CROQUIS_DATOS!$C$1561*CROQUIS_DATOS!$C$1562),-1000)</f>
        <v>43</v>
      </c>
      <c r="BZ121">
        <f>IF(AND(CROQUIS_DATOS!$C$1472=1,CROQUIS_DATOS!$C$1500&gt;0,((CROQUIS_DATOS!$C$1499+CROQUIS_DATOS!$C$1500))-(CROQUIS_DATOS!$C$1499)&gt;0.5,(CROQUIS_DATOS!$C$1476)-(0)&gt;0.5),(CROQUIS_DATOS!$C$1566+(IF(IF(MOD(MIN(INT(($A121-1)/2)+1,MAX(1,INT(((((CROQUIS_DATOS!$C$1499+CROQUIS_DATOS!$C$1500))-(CROQUIS_DATOS!$C$1499))+((CROQUIS_DATOS!$C$1476)*CROQUIS_DATOS!$C$1561-(0)*CROQUIS_DATOS!$C$1561))/CROQUIS_DATOS!$C$1568-0.000001))),2)=1,IF(INT(($A121-1)/2)+1&gt;MAX(1,INT(((((CROQUIS_DATOS!$C$1499+CROQUIS_DATOS!$C$1500))-(CROQUIS_DATOS!$C$1499))+((CROQUIS_DATOS!$C$1476)*CROQUIS_DATOS!$C$1561-(0)*CROQUIS_DATOS!$C$1561))/CROQUIS_DATOS!$C$1568-0.000001)),1,MOD($A121-1,2)),1-IF(INT(($A121-1)/2)+1&gt;MAX(1,INT(((((CROQUIS_DATOS!$C$1499+CROQUIS_DATOS!$C$1500))-(CROQUIS_DATOS!$C$1499))+((CROQUIS_DATOS!$C$1476)*CROQUIS_DATOS!$C$1561-(0)*CROQUIS_DATOS!$C$1561))/CROQUIS_DATOS!$C$1568-0.000001)),1,MOD($A121-1,2)))=1,MIN((CROQUIS_DATOS!$C$1476)*CROQUIS_DATOS!$C$1561,((CROQUIS_DATOS!$C$1499+CROQUIS_DATOS!$C$1500)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1">
        <f>IF(AND(CROQUIS_DATOS!$C$1472=1,CROQUIS_DATOS!$C$1500&gt;0,((CROQUIS_DATOS!$C$1499+CROQUIS_DATOS!$C$1500))-(CROQUIS_DATOS!$C$1499)&gt;0.5,(CROQUIS_DATOS!$C$1476)-(0)&gt;0.5),(CROQUIS_DATOS!$C$1567+(IF(IF(MOD(MIN(INT(($A121-1)/2)+1,MAX(1,INT(((((CROQUIS_DATOS!$C$1499+CROQUIS_DATOS!$C$1500))-(CROQUIS_DATOS!$C$1499))+((CROQUIS_DATOS!$C$1476)*CROQUIS_DATOS!$C$1561-(0)*CROQUIS_DATOS!$C$1561))/CROQUIS_DATOS!$C$1568-0.000001))),2)=1,IF(INT(($A121-1)/2)+1&gt;MAX(1,INT(((((CROQUIS_DATOS!$C$1499+CROQUIS_DATOS!$C$1500))-(CROQUIS_DATOS!$C$1499))+((CROQUIS_DATOS!$C$1476)*CROQUIS_DATOS!$C$1561-(0)*CROQUIS_DATOS!$C$1561))/CROQUIS_DATOS!$C$1568-0.000001)),1,MOD($A121-1,2)),1-IF(INT(($A121-1)/2)+1&gt;MAX(1,INT(((((CROQUIS_DATOS!$C$1499+CROQUIS_DATOS!$C$1500))-(CROQUIS_DATOS!$C$1499))+((CROQUIS_DATOS!$C$1476)*CROQUIS_DATOS!$C$1561-(0)*CROQUIS_DATOS!$C$1561))/CROQUIS_DATOS!$C$1568-0.000001)),1,MOD($A121-1,2)))=1,MIN((CROQUIS_DATOS!$C$1476)*CROQUIS_DATOS!$C$1561,((CROQUIS_DATOS!$C$1499+CROQUIS_DATOS!$C$1500)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1">
        <f>IF(AND(CROQUIS_DATOS!$C$1472=1,CROQUIS_DATOS!$C$1504&gt;0,((CROQUIS_DATOS!$C$1503+CROQUIS_DATOS!$C$1504))-(CROQUIS_DATOS!$C$1503)&gt;0.5,(CROQUIS_DATOS!$C$1476)-(0)&gt;0.5),(CROQUIS_DATOS!$C$1566+(IF(IF(MOD(MIN(INT(($A121-1)/2)+1,MAX(1,INT(((((CROQUIS_DATOS!$C$1503+CROQUIS_DATOS!$C$1504))-(CROQUIS_DATOS!$C$1503))+((CROQUIS_DATOS!$C$1476)*CROQUIS_DATOS!$C$1561-(0)*CROQUIS_DATOS!$C$1561))/CROQUIS_DATOS!$C$1568-0.000001))),2)=1,IF(INT(($A121-1)/2)+1&gt;MAX(1,INT(((((CROQUIS_DATOS!$C$1503+CROQUIS_DATOS!$C$1504))-(CROQUIS_DATOS!$C$1503))+((CROQUIS_DATOS!$C$1476)*CROQUIS_DATOS!$C$1561-(0)*CROQUIS_DATOS!$C$1561))/CROQUIS_DATOS!$C$1568-0.000001)),1,MOD($A121-1,2)),1-IF(INT(($A121-1)/2)+1&gt;MAX(1,INT(((((CROQUIS_DATOS!$C$1503+CROQUIS_DATOS!$C$1504))-(CROQUIS_DATOS!$C$1503))+((CROQUIS_DATOS!$C$1476)*CROQUIS_DATOS!$C$1561-(0)*CROQUIS_DATOS!$C$1561))/CROQUIS_DATOS!$C$1568-0.000001)),1,MOD($A121-1,2)))=1,MIN((CROQUIS_DATOS!$C$1476)*CROQUIS_DATOS!$C$1561,((CROQUIS_DATOS!$C$1503+CROQUIS_DATOS!$C$1504)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1">
        <f>IF(AND(CROQUIS_DATOS!$C$1472=1,CROQUIS_DATOS!$C$1504&gt;0,((CROQUIS_DATOS!$C$1503+CROQUIS_DATOS!$C$1504))-(CROQUIS_DATOS!$C$1503)&gt;0.5,(CROQUIS_DATOS!$C$1476)-(0)&gt;0.5),(CROQUIS_DATOS!$C$1567+(IF(IF(MOD(MIN(INT(($A121-1)/2)+1,MAX(1,INT(((((CROQUIS_DATOS!$C$1503+CROQUIS_DATOS!$C$1504))-(CROQUIS_DATOS!$C$1503))+((CROQUIS_DATOS!$C$1476)*CROQUIS_DATOS!$C$1561-(0)*CROQUIS_DATOS!$C$1561))/CROQUIS_DATOS!$C$1568-0.000001))),2)=1,IF(INT(($A121-1)/2)+1&gt;MAX(1,INT(((((CROQUIS_DATOS!$C$1503+CROQUIS_DATOS!$C$1504))-(CROQUIS_DATOS!$C$1503))+((CROQUIS_DATOS!$C$1476)*CROQUIS_DATOS!$C$1561-(0)*CROQUIS_DATOS!$C$1561))/CROQUIS_DATOS!$C$1568-0.000001)),1,MOD($A121-1,2)),1-IF(INT(($A121-1)/2)+1&gt;MAX(1,INT(((((CROQUIS_DATOS!$C$1503+CROQUIS_DATOS!$C$1504))-(CROQUIS_DATOS!$C$1503))+((CROQUIS_DATOS!$C$1476)*CROQUIS_DATOS!$C$1561-(0)*CROQUIS_DATOS!$C$1561))/CROQUIS_DATOS!$C$1568-0.000001)),1,MOD($A121-1,2)))=1,MIN((CROQUIS_DATOS!$C$1476)*CROQUIS_DATOS!$C$1561,((CROQUIS_DATOS!$C$1503+CROQUIS_DATOS!$C$1504)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1">
        <f>IF(AND(CROQUIS_DATOS!$C$1472=1,CROQUIS_DATOS!$C$1508&gt;0,((CROQUIS_DATOS!$C$1507+CROQUIS_DATOS!$C$1508))-(CROQUIS_DATOS!$C$1507)&gt;0.5,(CROQUIS_DATOS!$C$1476)-(0)&gt;0.5),(CROQUIS_DATOS!$C$1566+(IF(IF(MOD(MIN(INT(($A121-1)/2)+1,MAX(1,INT(((((CROQUIS_DATOS!$C$1507+CROQUIS_DATOS!$C$1508))-(CROQUIS_DATOS!$C$1507))+((CROQUIS_DATOS!$C$1476)*CROQUIS_DATOS!$C$1561-(0)*CROQUIS_DATOS!$C$1561))/CROQUIS_DATOS!$C$1568-0.000001))),2)=1,IF(INT(($A121-1)/2)+1&gt;MAX(1,INT(((((CROQUIS_DATOS!$C$1507+CROQUIS_DATOS!$C$1508))-(CROQUIS_DATOS!$C$1507))+((CROQUIS_DATOS!$C$1476)*CROQUIS_DATOS!$C$1561-(0)*CROQUIS_DATOS!$C$1561))/CROQUIS_DATOS!$C$1568-0.000001)),1,MOD($A121-1,2)),1-IF(INT(($A121-1)/2)+1&gt;MAX(1,INT(((((CROQUIS_DATOS!$C$1507+CROQUIS_DATOS!$C$1508))-(CROQUIS_DATOS!$C$1507))+((CROQUIS_DATOS!$C$1476)*CROQUIS_DATOS!$C$1561-(0)*CROQUIS_DATOS!$C$1561))/CROQUIS_DATOS!$C$1568-0.000001)),1,MOD($A121-1,2)))=1,MIN((CROQUIS_DATOS!$C$1476)*CROQUIS_DATOS!$C$1561,((CROQUIS_DATOS!$C$1507+CROQUIS_DATOS!$C$1508)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1">
        <f>IF(AND(CROQUIS_DATOS!$C$1472=1,CROQUIS_DATOS!$C$1508&gt;0,((CROQUIS_DATOS!$C$1507+CROQUIS_DATOS!$C$1508))-(CROQUIS_DATOS!$C$1507)&gt;0.5,(CROQUIS_DATOS!$C$1476)-(0)&gt;0.5),(CROQUIS_DATOS!$C$1567+(IF(IF(MOD(MIN(INT(($A121-1)/2)+1,MAX(1,INT(((((CROQUIS_DATOS!$C$1507+CROQUIS_DATOS!$C$1508))-(CROQUIS_DATOS!$C$1507))+((CROQUIS_DATOS!$C$1476)*CROQUIS_DATOS!$C$1561-(0)*CROQUIS_DATOS!$C$1561))/CROQUIS_DATOS!$C$1568-0.000001))),2)=1,IF(INT(($A121-1)/2)+1&gt;MAX(1,INT(((((CROQUIS_DATOS!$C$1507+CROQUIS_DATOS!$C$1508))-(CROQUIS_DATOS!$C$1507))+((CROQUIS_DATOS!$C$1476)*CROQUIS_DATOS!$C$1561-(0)*CROQUIS_DATOS!$C$1561))/CROQUIS_DATOS!$C$1568-0.000001)),1,MOD($A121-1,2)),1-IF(INT(($A121-1)/2)+1&gt;MAX(1,INT(((((CROQUIS_DATOS!$C$1507+CROQUIS_DATOS!$C$1508))-(CROQUIS_DATOS!$C$1507))+((CROQUIS_DATOS!$C$1476)*CROQUIS_DATOS!$C$1561-(0)*CROQUIS_DATOS!$C$1561))/CROQUIS_DATOS!$C$1568-0.000001)),1,MOD($A121-1,2)))=1,MIN((CROQUIS_DATOS!$C$1476)*CROQUIS_DATOS!$C$1561,((CROQUIS_DATOS!$C$1507+CROQUIS_DATOS!$C$1508)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1">
        <f>IF(AND(CROQUIS_DATOS!$C$1472=1,CROQUIS_DATOS!$C$1512&gt;0,((CROQUIS_DATOS!$C$1511+CROQUIS_DATOS!$C$1512))-(CROQUIS_DATOS!$C$1511)&gt;0.5,(CROQUIS_DATOS!$C$1476)-(0)&gt;0.5),(CROQUIS_DATOS!$C$1566+(IF(IF(MOD(MIN(INT(($A121-1)/2)+1,MAX(1,INT(((((CROQUIS_DATOS!$C$1511+CROQUIS_DATOS!$C$1512))-(CROQUIS_DATOS!$C$1511))+((CROQUIS_DATOS!$C$1476)*CROQUIS_DATOS!$C$1561-(0)*CROQUIS_DATOS!$C$1561))/CROQUIS_DATOS!$C$1568-0.000001))),2)=1,IF(INT(($A121-1)/2)+1&gt;MAX(1,INT(((((CROQUIS_DATOS!$C$1511+CROQUIS_DATOS!$C$1512))-(CROQUIS_DATOS!$C$1511))+((CROQUIS_DATOS!$C$1476)*CROQUIS_DATOS!$C$1561-(0)*CROQUIS_DATOS!$C$1561))/CROQUIS_DATOS!$C$1568-0.000001)),1,MOD($A121-1,2)),1-IF(INT(($A121-1)/2)+1&gt;MAX(1,INT(((((CROQUIS_DATOS!$C$1511+CROQUIS_DATOS!$C$1512))-(CROQUIS_DATOS!$C$1511))+((CROQUIS_DATOS!$C$1476)*CROQUIS_DATOS!$C$1561-(0)*CROQUIS_DATOS!$C$1561))/CROQUIS_DATOS!$C$1568-0.000001)),1,MOD($A121-1,2)))=1,MIN((CROQUIS_DATOS!$C$1476)*CROQUIS_DATOS!$C$1561,((CROQUIS_DATOS!$C$1511+CROQUIS_DATOS!$C$1512)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1">
        <f>IF(AND(CROQUIS_DATOS!$C$1472=1,CROQUIS_DATOS!$C$1512&gt;0,((CROQUIS_DATOS!$C$1511+CROQUIS_DATOS!$C$1512))-(CROQUIS_DATOS!$C$1511)&gt;0.5,(CROQUIS_DATOS!$C$1476)-(0)&gt;0.5),(CROQUIS_DATOS!$C$1567+(IF(IF(MOD(MIN(INT(($A121-1)/2)+1,MAX(1,INT(((((CROQUIS_DATOS!$C$1511+CROQUIS_DATOS!$C$1512))-(CROQUIS_DATOS!$C$1511))+((CROQUIS_DATOS!$C$1476)*CROQUIS_DATOS!$C$1561-(0)*CROQUIS_DATOS!$C$1561))/CROQUIS_DATOS!$C$1568-0.000001))),2)=1,IF(INT(($A121-1)/2)+1&gt;MAX(1,INT(((((CROQUIS_DATOS!$C$1511+CROQUIS_DATOS!$C$1512))-(CROQUIS_DATOS!$C$1511))+((CROQUIS_DATOS!$C$1476)*CROQUIS_DATOS!$C$1561-(0)*CROQUIS_DATOS!$C$1561))/CROQUIS_DATOS!$C$1568-0.000001)),1,MOD($A121-1,2)),1-IF(INT(($A121-1)/2)+1&gt;MAX(1,INT(((((CROQUIS_DATOS!$C$1511+CROQUIS_DATOS!$C$1512))-(CROQUIS_DATOS!$C$1511))+((CROQUIS_DATOS!$C$1476)*CROQUIS_DATOS!$C$1561-(0)*CROQUIS_DATOS!$C$1561))/CROQUIS_DATOS!$C$1568-0.000001)),1,MOD($A121-1,2)))=1,MIN((CROQUIS_DATOS!$C$1476)*CROQUIS_DATOS!$C$1561,((CROQUIS_DATOS!$C$1511+CROQUIS_DATOS!$C$1512)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1">
        <f>IF(AND(CROQUIS_DATOS!$C$1472=1,CROQUIS_DATOS!$C$1516&gt;0,((CROQUIS_DATOS!$C$1515+CROQUIS_DATOS!$C$1516))-(CROQUIS_DATOS!$C$1515)&gt;0.5,(CROQUIS_DATOS!$C$1476)-(0)&gt;0.5),(CROQUIS_DATOS!$C$1566+(IF(IF(MOD(MIN(INT(($A121-1)/2)+1,MAX(1,INT(((((CROQUIS_DATOS!$C$1515+CROQUIS_DATOS!$C$1516))-(CROQUIS_DATOS!$C$1515))+((CROQUIS_DATOS!$C$1476)*CROQUIS_DATOS!$C$1561-(0)*CROQUIS_DATOS!$C$1561))/CROQUIS_DATOS!$C$1568-0.000001))),2)=1,IF(INT(($A121-1)/2)+1&gt;MAX(1,INT(((((CROQUIS_DATOS!$C$1515+CROQUIS_DATOS!$C$1516))-(CROQUIS_DATOS!$C$1515))+((CROQUIS_DATOS!$C$1476)*CROQUIS_DATOS!$C$1561-(0)*CROQUIS_DATOS!$C$1561))/CROQUIS_DATOS!$C$1568-0.000001)),1,MOD($A121-1,2)),1-IF(INT(($A121-1)/2)+1&gt;MAX(1,INT(((((CROQUIS_DATOS!$C$1515+CROQUIS_DATOS!$C$1516))-(CROQUIS_DATOS!$C$1515))+((CROQUIS_DATOS!$C$1476)*CROQUIS_DATOS!$C$1561-(0)*CROQUIS_DATOS!$C$1561))/CROQUIS_DATOS!$C$1568-0.000001)),1,MOD($A121-1,2)))=1,MIN((CROQUIS_DATOS!$C$1476)*CROQUIS_DATOS!$C$1561,((CROQUIS_DATOS!$C$1515+CROQUIS_DATOS!$C$1516)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1">
        <f>IF(AND(CROQUIS_DATOS!$C$1472=1,CROQUIS_DATOS!$C$1516&gt;0,((CROQUIS_DATOS!$C$1515+CROQUIS_DATOS!$C$1516))-(CROQUIS_DATOS!$C$1515)&gt;0.5,(CROQUIS_DATOS!$C$1476)-(0)&gt;0.5),(CROQUIS_DATOS!$C$1567+(IF(IF(MOD(MIN(INT(($A121-1)/2)+1,MAX(1,INT(((((CROQUIS_DATOS!$C$1515+CROQUIS_DATOS!$C$1516))-(CROQUIS_DATOS!$C$1515))+((CROQUIS_DATOS!$C$1476)*CROQUIS_DATOS!$C$1561-(0)*CROQUIS_DATOS!$C$1561))/CROQUIS_DATOS!$C$1568-0.000001))),2)=1,IF(INT(($A121-1)/2)+1&gt;MAX(1,INT(((((CROQUIS_DATOS!$C$1515+CROQUIS_DATOS!$C$1516))-(CROQUIS_DATOS!$C$1515))+((CROQUIS_DATOS!$C$1476)*CROQUIS_DATOS!$C$1561-(0)*CROQUIS_DATOS!$C$1561))/CROQUIS_DATOS!$C$1568-0.000001)),1,MOD($A121-1,2)),1-IF(INT(($A121-1)/2)+1&gt;MAX(1,INT(((((CROQUIS_DATOS!$C$1515+CROQUIS_DATOS!$C$1516))-(CROQUIS_DATOS!$C$1515))+((CROQUIS_DATOS!$C$1476)*CROQUIS_DATOS!$C$1561-(0)*CROQUIS_DATOS!$C$1561))/CROQUIS_DATOS!$C$1568-0.000001)),1,MOD($A121-1,2)))=1,MIN((CROQUIS_DATOS!$C$1476)*CROQUIS_DATOS!$C$1561,((CROQUIS_DATOS!$C$1515+CROQUIS_DATOS!$C$1516)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1">
        <f>IF(AND(CROQUIS_DATOS!$C$1472=1,CROQUIS_DATOS!$C$1478&gt;=1,((CROQUIS_DATOS!$C$1479+CROQUIS_DATOS!$C$1480))-(CROQUIS_DATOS!$C$1479)&gt;0.5,(CROQUIS_DATOS!$C$1481)-(0)&gt;0.5),(CROQUIS_DATOS!$C$1566+(IF(IF(MOD(MIN(INT(($A121-1)/2)+1,MAX(1,INT(((((CROQUIS_DATOS!$C$1479+CROQUIS_DATOS!$C$1480))-(CROQUIS_DATOS!$C$1479))+((CROQUIS_DATOS!$C$1481)*CROQUIS_DATOS!$C$1561-(0)*CROQUIS_DATOS!$C$1561))/CROQUIS_DATOS!$C$1568-0.000001))),2)=1,IF(INT(($A121-1)/2)+1&gt;MAX(1,INT(((((CROQUIS_DATOS!$C$1479+CROQUIS_DATOS!$C$1480))-(CROQUIS_DATOS!$C$1479))+((CROQUIS_DATOS!$C$1481)*CROQUIS_DATOS!$C$1561-(0)*CROQUIS_DATOS!$C$1561))/CROQUIS_DATOS!$C$1568-0.000001)),1,MOD($A121-1,2)),1-IF(INT(($A121-1)/2)+1&gt;MAX(1,INT(((((CROQUIS_DATOS!$C$1479+CROQUIS_DATOS!$C$1480))-(CROQUIS_DATOS!$C$1479))+((CROQUIS_DATOS!$C$1481)*CROQUIS_DATOS!$C$1561-(0)*CROQUIS_DATOS!$C$1561))/CROQUIS_DATOS!$C$1568-0.000001)),1,MOD($A121-1,2)))=1,MIN((CROQUIS_DATOS!$C$1481)*CROQUIS_DATOS!$C$1561,((CROQUIS_DATOS!$C$1479+CROQUIS_DATOS!$C$1480)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1">
        <f>IF(AND(CROQUIS_DATOS!$C$1472=1,CROQUIS_DATOS!$C$1478&gt;=1,((CROQUIS_DATOS!$C$1479+CROQUIS_DATOS!$C$1480))-(CROQUIS_DATOS!$C$1479)&gt;0.5,(CROQUIS_DATOS!$C$1481)-(0)&gt;0.5),(CROQUIS_DATOS!$C$1567+(IF(IF(MOD(MIN(INT(($A121-1)/2)+1,MAX(1,INT(((((CROQUIS_DATOS!$C$1479+CROQUIS_DATOS!$C$1480))-(CROQUIS_DATOS!$C$1479))+((CROQUIS_DATOS!$C$1481)*CROQUIS_DATOS!$C$1561-(0)*CROQUIS_DATOS!$C$1561))/CROQUIS_DATOS!$C$1568-0.000001))),2)=1,IF(INT(($A121-1)/2)+1&gt;MAX(1,INT(((((CROQUIS_DATOS!$C$1479+CROQUIS_DATOS!$C$1480))-(CROQUIS_DATOS!$C$1479))+((CROQUIS_DATOS!$C$1481)*CROQUIS_DATOS!$C$1561-(0)*CROQUIS_DATOS!$C$1561))/CROQUIS_DATOS!$C$1568-0.000001)),1,MOD($A121-1,2)),1-IF(INT(($A121-1)/2)+1&gt;MAX(1,INT(((((CROQUIS_DATOS!$C$1479+CROQUIS_DATOS!$C$1480))-(CROQUIS_DATOS!$C$1479))+((CROQUIS_DATOS!$C$1481)*CROQUIS_DATOS!$C$1561-(0)*CROQUIS_DATOS!$C$1561))/CROQUIS_DATOS!$C$1568-0.000001)),1,MOD($A121-1,2)))=1,MIN((CROQUIS_DATOS!$C$1481)*CROQUIS_DATOS!$C$1561,((CROQUIS_DATOS!$C$1479+CROQUIS_DATOS!$C$1480)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1">
        <f>IF(AND(CROQUIS_DATOS!$C$1472=1,CROQUIS_DATOS!$C$1478&gt;=1,((CROQUIS_DATOS!$C$1479+CROQUIS_DATOS!$C$1480))-(CROQUIS_DATOS!$C$1479)&gt;0.5,(CROQUIS_DATOS!$C$1476)-((CROQUIS_DATOS!$C$1481+CROQUIS_DATOS!$C$1482))&gt;0.5),(CROQUIS_DATOS!$C$1566+(IF(IF(MOD(MIN(INT(($A121-1)/2)+1,MAX(1,INT(((((CROQUIS_DATOS!$C$1479+CROQUIS_DATOS!$C$1480))-(CROQUIS_DATOS!$C$1479))+((CROQUIS_DATOS!$C$1476)*CROQUIS_DATOS!$C$1561-((CROQUIS_DATOS!$C$1481+CROQUIS_DATOS!$C$1482))*CROQUIS_DATOS!$C$1561))/CROQUIS_DATOS!$C$1568-0.000001))),2)=1,IF(INT(($A121-1)/2)+1&gt;MAX(1,INT(((((CROQUIS_DATOS!$C$1479+CROQUIS_DATOS!$C$1480))-(CROQUIS_DATOS!$C$1479))+((CROQUIS_DATOS!$C$1476)*CROQUIS_DATOS!$C$1561-((CROQUIS_DATOS!$C$1481+CROQUIS_DATOS!$C$1482))*CROQUIS_DATOS!$C$1561))/CROQUIS_DATOS!$C$1568-0.000001)),1,MOD($A121-1,2)),1-IF(INT(($A121-1)/2)+1&gt;MAX(1,INT(((((CROQUIS_DATOS!$C$1479+CROQUIS_DATOS!$C$1480))-(CROQUIS_DATOS!$C$1479))+((CROQUIS_DATOS!$C$1476)*CROQUIS_DATOS!$C$1561-((CROQUIS_DATOS!$C$1481+CROQUIS_DATOS!$C$1482))*CROQUIS_DATOS!$C$1561))/CROQUIS_DATOS!$C$1568-0.000001)),1,MOD($A121-1,2)))=1,MIN((CROQUIS_DATOS!$C$1476)*CROQUIS_DATOS!$C$1561,((CROQUIS_DATOS!$C$1479+CROQUIS_DATOS!$C$1480)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1">
        <f>IF(AND(CROQUIS_DATOS!$C$1472=1,CROQUIS_DATOS!$C$1478&gt;=1,((CROQUIS_DATOS!$C$1479+CROQUIS_DATOS!$C$1480))-(CROQUIS_DATOS!$C$1479)&gt;0.5,(CROQUIS_DATOS!$C$1476)-((CROQUIS_DATOS!$C$1481+CROQUIS_DATOS!$C$1482))&gt;0.5),(CROQUIS_DATOS!$C$1567+(IF(IF(MOD(MIN(INT(($A121-1)/2)+1,MAX(1,INT(((((CROQUIS_DATOS!$C$1479+CROQUIS_DATOS!$C$1480))-(CROQUIS_DATOS!$C$1479))+((CROQUIS_DATOS!$C$1476)*CROQUIS_DATOS!$C$1561-((CROQUIS_DATOS!$C$1481+CROQUIS_DATOS!$C$1482))*CROQUIS_DATOS!$C$1561))/CROQUIS_DATOS!$C$1568-0.000001))),2)=1,IF(INT(($A121-1)/2)+1&gt;MAX(1,INT(((((CROQUIS_DATOS!$C$1479+CROQUIS_DATOS!$C$1480))-(CROQUIS_DATOS!$C$1479))+((CROQUIS_DATOS!$C$1476)*CROQUIS_DATOS!$C$1561-((CROQUIS_DATOS!$C$1481+CROQUIS_DATOS!$C$1482))*CROQUIS_DATOS!$C$1561))/CROQUIS_DATOS!$C$1568-0.000001)),1,MOD($A121-1,2)),1-IF(INT(($A121-1)/2)+1&gt;MAX(1,INT(((((CROQUIS_DATOS!$C$1479+CROQUIS_DATOS!$C$1480))-(CROQUIS_DATOS!$C$1479))+((CROQUIS_DATOS!$C$1476)*CROQUIS_DATOS!$C$1561-((CROQUIS_DATOS!$C$1481+CROQUIS_DATOS!$C$1482))*CROQUIS_DATOS!$C$1561))/CROQUIS_DATOS!$C$1568-0.000001)),1,MOD($A121-1,2)))=1,MIN((CROQUIS_DATOS!$C$1476)*CROQUIS_DATOS!$C$1561,((CROQUIS_DATOS!$C$1479+CROQUIS_DATOS!$C$1480)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1">
        <f>IF(AND(CROQUIS_DATOS!$C$1472=1,CROQUIS_DATOS!$C$1478&gt;=2,((CROQUIS_DATOS!$C$1484+CROQUIS_DATOS!$C$1485))-(CROQUIS_DATOS!$C$1484)&gt;0.5,(CROQUIS_DATOS!$C$1486)-(0)&gt;0.5),(CROQUIS_DATOS!$C$1566+(IF(IF(MOD(MIN(INT(($A121-1)/2)+1,MAX(1,INT(((((CROQUIS_DATOS!$C$1484+CROQUIS_DATOS!$C$1485))-(CROQUIS_DATOS!$C$1484))+((CROQUIS_DATOS!$C$1486)*CROQUIS_DATOS!$C$1561-(0)*CROQUIS_DATOS!$C$1561))/CROQUIS_DATOS!$C$1568-0.000001))),2)=1,IF(INT(($A121-1)/2)+1&gt;MAX(1,INT(((((CROQUIS_DATOS!$C$1484+CROQUIS_DATOS!$C$1485))-(CROQUIS_DATOS!$C$1484))+((CROQUIS_DATOS!$C$1486)*CROQUIS_DATOS!$C$1561-(0)*CROQUIS_DATOS!$C$1561))/CROQUIS_DATOS!$C$1568-0.000001)),1,MOD($A121-1,2)),1-IF(INT(($A121-1)/2)+1&gt;MAX(1,INT(((((CROQUIS_DATOS!$C$1484+CROQUIS_DATOS!$C$1485))-(CROQUIS_DATOS!$C$1484))+((CROQUIS_DATOS!$C$1486)*CROQUIS_DATOS!$C$1561-(0)*CROQUIS_DATOS!$C$1561))/CROQUIS_DATOS!$C$1568-0.000001)),1,MOD($A121-1,2)))=1,MIN((CROQUIS_DATOS!$C$1486)*CROQUIS_DATOS!$C$1561,((CROQUIS_DATOS!$C$1484+CROQUIS_DATOS!$C$1485)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1">
        <f>IF(AND(CROQUIS_DATOS!$C$1472=1,CROQUIS_DATOS!$C$1478&gt;=2,((CROQUIS_DATOS!$C$1484+CROQUIS_DATOS!$C$1485))-(CROQUIS_DATOS!$C$1484)&gt;0.5,(CROQUIS_DATOS!$C$1486)-(0)&gt;0.5),(CROQUIS_DATOS!$C$1567+(IF(IF(MOD(MIN(INT(($A121-1)/2)+1,MAX(1,INT(((((CROQUIS_DATOS!$C$1484+CROQUIS_DATOS!$C$1485))-(CROQUIS_DATOS!$C$1484))+((CROQUIS_DATOS!$C$1486)*CROQUIS_DATOS!$C$1561-(0)*CROQUIS_DATOS!$C$1561))/CROQUIS_DATOS!$C$1568-0.000001))),2)=1,IF(INT(($A121-1)/2)+1&gt;MAX(1,INT(((((CROQUIS_DATOS!$C$1484+CROQUIS_DATOS!$C$1485))-(CROQUIS_DATOS!$C$1484))+((CROQUIS_DATOS!$C$1486)*CROQUIS_DATOS!$C$1561-(0)*CROQUIS_DATOS!$C$1561))/CROQUIS_DATOS!$C$1568-0.000001)),1,MOD($A121-1,2)),1-IF(INT(($A121-1)/2)+1&gt;MAX(1,INT(((((CROQUIS_DATOS!$C$1484+CROQUIS_DATOS!$C$1485))-(CROQUIS_DATOS!$C$1484))+((CROQUIS_DATOS!$C$1486)*CROQUIS_DATOS!$C$1561-(0)*CROQUIS_DATOS!$C$1561))/CROQUIS_DATOS!$C$1568-0.000001)),1,MOD($A121-1,2)))=1,MIN((CROQUIS_DATOS!$C$1486)*CROQUIS_DATOS!$C$1561,((CROQUIS_DATOS!$C$1484+CROQUIS_DATOS!$C$1485)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1">
        <f>IF(AND(CROQUIS_DATOS!$C$1472=1,CROQUIS_DATOS!$C$1478&gt;=2,((CROQUIS_DATOS!$C$1484+CROQUIS_DATOS!$C$1485))-(CROQUIS_DATOS!$C$1484)&gt;0.5,(CROQUIS_DATOS!$C$1476)-((CROQUIS_DATOS!$C$1486+CROQUIS_DATOS!$C$1487))&gt;0.5),(CROQUIS_DATOS!$C$1566+(IF(IF(MOD(MIN(INT(($A121-1)/2)+1,MAX(1,INT(((((CROQUIS_DATOS!$C$1484+CROQUIS_DATOS!$C$1485))-(CROQUIS_DATOS!$C$1484))+((CROQUIS_DATOS!$C$1476)*CROQUIS_DATOS!$C$1561-((CROQUIS_DATOS!$C$1486+CROQUIS_DATOS!$C$1487))*CROQUIS_DATOS!$C$1561))/CROQUIS_DATOS!$C$1568-0.000001))),2)=1,IF(INT(($A121-1)/2)+1&gt;MAX(1,INT(((((CROQUIS_DATOS!$C$1484+CROQUIS_DATOS!$C$1485))-(CROQUIS_DATOS!$C$1484))+((CROQUIS_DATOS!$C$1476)*CROQUIS_DATOS!$C$1561-((CROQUIS_DATOS!$C$1486+CROQUIS_DATOS!$C$1487))*CROQUIS_DATOS!$C$1561))/CROQUIS_DATOS!$C$1568-0.000001)),1,MOD($A121-1,2)),1-IF(INT(($A121-1)/2)+1&gt;MAX(1,INT(((((CROQUIS_DATOS!$C$1484+CROQUIS_DATOS!$C$1485))-(CROQUIS_DATOS!$C$1484))+((CROQUIS_DATOS!$C$1476)*CROQUIS_DATOS!$C$1561-((CROQUIS_DATOS!$C$1486+CROQUIS_DATOS!$C$1487))*CROQUIS_DATOS!$C$1561))/CROQUIS_DATOS!$C$1568-0.000001)),1,MOD($A121-1,2)))=1,MIN((CROQUIS_DATOS!$C$1476)*CROQUIS_DATOS!$C$1561,((CROQUIS_DATOS!$C$1484+CROQUIS_DATOS!$C$1485)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1">
        <f>IF(AND(CROQUIS_DATOS!$C$1472=1,CROQUIS_DATOS!$C$1478&gt;=2,((CROQUIS_DATOS!$C$1484+CROQUIS_DATOS!$C$1485))-(CROQUIS_DATOS!$C$1484)&gt;0.5,(CROQUIS_DATOS!$C$1476)-((CROQUIS_DATOS!$C$1486+CROQUIS_DATOS!$C$1487))&gt;0.5),(CROQUIS_DATOS!$C$1567+(IF(IF(MOD(MIN(INT(($A121-1)/2)+1,MAX(1,INT(((((CROQUIS_DATOS!$C$1484+CROQUIS_DATOS!$C$1485))-(CROQUIS_DATOS!$C$1484))+((CROQUIS_DATOS!$C$1476)*CROQUIS_DATOS!$C$1561-((CROQUIS_DATOS!$C$1486+CROQUIS_DATOS!$C$1487))*CROQUIS_DATOS!$C$1561))/CROQUIS_DATOS!$C$1568-0.000001))),2)=1,IF(INT(($A121-1)/2)+1&gt;MAX(1,INT(((((CROQUIS_DATOS!$C$1484+CROQUIS_DATOS!$C$1485))-(CROQUIS_DATOS!$C$1484))+((CROQUIS_DATOS!$C$1476)*CROQUIS_DATOS!$C$1561-((CROQUIS_DATOS!$C$1486+CROQUIS_DATOS!$C$1487))*CROQUIS_DATOS!$C$1561))/CROQUIS_DATOS!$C$1568-0.000001)),1,MOD($A121-1,2)),1-IF(INT(($A121-1)/2)+1&gt;MAX(1,INT(((((CROQUIS_DATOS!$C$1484+CROQUIS_DATOS!$C$1485))-(CROQUIS_DATOS!$C$1484))+((CROQUIS_DATOS!$C$1476)*CROQUIS_DATOS!$C$1561-((CROQUIS_DATOS!$C$1486+CROQUIS_DATOS!$C$1487))*CROQUIS_DATOS!$C$1561))/CROQUIS_DATOS!$C$1568-0.000001)),1,MOD($A121-1,2)))=1,MIN((CROQUIS_DATOS!$C$1476)*CROQUIS_DATOS!$C$1561,((CROQUIS_DATOS!$C$1484+CROQUIS_DATOS!$C$1485)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1">
        <f>IF(AND(CROQUIS_DATOS!$C$1472=1,CROQUIS_DATOS!$C$1478&gt;=3,((CROQUIS_DATOS!$C$1489+CROQUIS_DATOS!$C$1490))-(CROQUIS_DATOS!$C$1489)&gt;0.5,(CROQUIS_DATOS!$C$1491)-(0)&gt;0.5),(CROQUIS_DATOS!$C$1566+(IF(IF(MOD(MIN(INT(($A121-1)/2)+1,MAX(1,INT(((((CROQUIS_DATOS!$C$1489+CROQUIS_DATOS!$C$1490))-(CROQUIS_DATOS!$C$1489))+((CROQUIS_DATOS!$C$1491)*CROQUIS_DATOS!$C$1561-(0)*CROQUIS_DATOS!$C$1561))/CROQUIS_DATOS!$C$1568-0.000001))),2)=1,IF(INT(($A121-1)/2)+1&gt;MAX(1,INT(((((CROQUIS_DATOS!$C$1489+CROQUIS_DATOS!$C$1490))-(CROQUIS_DATOS!$C$1489))+((CROQUIS_DATOS!$C$1491)*CROQUIS_DATOS!$C$1561-(0)*CROQUIS_DATOS!$C$1561))/CROQUIS_DATOS!$C$1568-0.000001)),1,MOD($A121-1,2)),1-IF(INT(($A121-1)/2)+1&gt;MAX(1,INT(((((CROQUIS_DATOS!$C$1489+CROQUIS_DATOS!$C$1490))-(CROQUIS_DATOS!$C$1489))+((CROQUIS_DATOS!$C$1491)*CROQUIS_DATOS!$C$1561-(0)*CROQUIS_DATOS!$C$1561))/CROQUIS_DATOS!$C$1568-0.000001)),1,MOD($A121-1,2)))=1,MIN((CROQUIS_DATOS!$C$1491)*CROQUIS_DATOS!$C$1561,((CROQUIS_DATOS!$C$1489+CROQUIS_DATOS!$C$1490)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1">
        <f>IF(AND(CROQUIS_DATOS!$C$1472=1,CROQUIS_DATOS!$C$1478&gt;=3,((CROQUIS_DATOS!$C$1489+CROQUIS_DATOS!$C$1490))-(CROQUIS_DATOS!$C$1489)&gt;0.5,(CROQUIS_DATOS!$C$1491)-(0)&gt;0.5),(CROQUIS_DATOS!$C$1567+(IF(IF(MOD(MIN(INT(($A121-1)/2)+1,MAX(1,INT(((((CROQUIS_DATOS!$C$1489+CROQUIS_DATOS!$C$1490))-(CROQUIS_DATOS!$C$1489))+((CROQUIS_DATOS!$C$1491)*CROQUIS_DATOS!$C$1561-(0)*CROQUIS_DATOS!$C$1561))/CROQUIS_DATOS!$C$1568-0.000001))),2)=1,IF(INT(($A121-1)/2)+1&gt;MAX(1,INT(((((CROQUIS_DATOS!$C$1489+CROQUIS_DATOS!$C$1490))-(CROQUIS_DATOS!$C$1489))+((CROQUIS_DATOS!$C$1491)*CROQUIS_DATOS!$C$1561-(0)*CROQUIS_DATOS!$C$1561))/CROQUIS_DATOS!$C$1568-0.000001)),1,MOD($A121-1,2)),1-IF(INT(($A121-1)/2)+1&gt;MAX(1,INT(((((CROQUIS_DATOS!$C$1489+CROQUIS_DATOS!$C$1490))-(CROQUIS_DATOS!$C$1489))+((CROQUIS_DATOS!$C$1491)*CROQUIS_DATOS!$C$1561-(0)*CROQUIS_DATOS!$C$1561))/CROQUIS_DATOS!$C$1568-0.000001)),1,MOD($A121-1,2)))=1,MIN((CROQUIS_DATOS!$C$1491)*CROQUIS_DATOS!$C$1561,((CROQUIS_DATOS!$C$1489+CROQUIS_DATOS!$C$1490)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1">
        <f>IF(AND(CROQUIS_DATOS!$C$1472=1,CROQUIS_DATOS!$C$1478&gt;=3,((CROQUIS_DATOS!$C$1489+CROQUIS_DATOS!$C$1490))-(CROQUIS_DATOS!$C$1489)&gt;0.5,(CROQUIS_DATOS!$C$1476)-((CROQUIS_DATOS!$C$1491+CROQUIS_DATOS!$C$1492))&gt;0.5),(CROQUIS_DATOS!$C$1566+(IF(IF(MOD(MIN(INT(($A121-1)/2)+1,MAX(1,INT(((((CROQUIS_DATOS!$C$1489+CROQUIS_DATOS!$C$1490))-(CROQUIS_DATOS!$C$1489))+((CROQUIS_DATOS!$C$1476)*CROQUIS_DATOS!$C$1561-((CROQUIS_DATOS!$C$1491+CROQUIS_DATOS!$C$1492))*CROQUIS_DATOS!$C$1561))/CROQUIS_DATOS!$C$1568-0.000001))),2)=1,IF(INT(($A121-1)/2)+1&gt;MAX(1,INT(((((CROQUIS_DATOS!$C$1489+CROQUIS_DATOS!$C$1490))-(CROQUIS_DATOS!$C$1489))+((CROQUIS_DATOS!$C$1476)*CROQUIS_DATOS!$C$1561-((CROQUIS_DATOS!$C$1491+CROQUIS_DATOS!$C$1492))*CROQUIS_DATOS!$C$1561))/CROQUIS_DATOS!$C$1568-0.000001)),1,MOD($A121-1,2)),1-IF(INT(($A121-1)/2)+1&gt;MAX(1,INT(((((CROQUIS_DATOS!$C$1489+CROQUIS_DATOS!$C$1490))-(CROQUIS_DATOS!$C$1489))+((CROQUIS_DATOS!$C$1476)*CROQUIS_DATOS!$C$1561-((CROQUIS_DATOS!$C$1491+CROQUIS_DATOS!$C$1492))*CROQUIS_DATOS!$C$1561))/CROQUIS_DATOS!$C$1568-0.000001)),1,MOD($A121-1,2)))=1,MIN((CROQUIS_DATOS!$C$1476)*CROQUIS_DATOS!$C$1561,((CROQUIS_DATOS!$C$1489+CROQUIS_DATOS!$C$1490)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1">
        <f>IF(AND(CROQUIS_DATOS!$C$1472=1,CROQUIS_DATOS!$C$1478&gt;=3,((CROQUIS_DATOS!$C$1489+CROQUIS_DATOS!$C$1490))-(CROQUIS_DATOS!$C$1489)&gt;0.5,(CROQUIS_DATOS!$C$1476)-((CROQUIS_DATOS!$C$1491+CROQUIS_DATOS!$C$1492))&gt;0.5),(CROQUIS_DATOS!$C$1567+(IF(IF(MOD(MIN(INT(($A121-1)/2)+1,MAX(1,INT(((((CROQUIS_DATOS!$C$1489+CROQUIS_DATOS!$C$1490))-(CROQUIS_DATOS!$C$1489))+((CROQUIS_DATOS!$C$1476)*CROQUIS_DATOS!$C$1561-((CROQUIS_DATOS!$C$1491+CROQUIS_DATOS!$C$1492))*CROQUIS_DATOS!$C$1561))/CROQUIS_DATOS!$C$1568-0.000001))),2)=1,IF(INT(($A121-1)/2)+1&gt;MAX(1,INT(((((CROQUIS_DATOS!$C$1489+CROQUIS_DATOS!$C$1490))-(CROQUIS_DATOS!$C$1489))+((CROQUIS_DATOS!$C$1476)*CROQUIS_DATOS!$C$1561-((CROQUIS_DATOS!$C$1491+CROQUIS_DATOS!$C$1492))*CROQUIS_DATOS!$C$1561))/CROQUIS_DATOS!$C$1568-0.000001)),1,MOD($A121-1,2)),1-IF(INT(($A121-1)/2)+1&gt;MAX(1,INT(((((CROQUIS_DATOS!$C$1489+CROQUIS_DATOS!$C$1490))-(CROQUIS_DATOS!$C$1489))+((CROQUIS_DATOS!$C$1476)*CROQUIS_DATOS!$C$1561-((CROQUIS_DATOS!$C$1491+CROQUIS_DATOS!$C$1492))*CROQUIS_DATOS!$C$1561))/CROQUIS_DATOS!$C$1568-0.000001)),1,MOD($A121-1,2)))=1,MIN((CROQUIS_DATOS!$C$1476)*CROQUIS_DATOS!$C$1561,((CROQUIS_DATOS!$C$1489+CROQUIS_DATOS!$C$1490)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1">
        <f>IF(AND(CROQUIS_DATOS!$C$1472=1,CROQUIS_DATOS!$C$1478&gt;=4,((CROQUIS_DATOS!$C$1494+CROQUIS_DATOS!$C$1495))-(CROQUIS_DATOS!$C$1494)&gt;0.5,(CROQUIS_DATOS!$C$1496)-(0)&gt;0.5),(CROQUIS_DATOS!$C$1566+(IF(IF(MOD(MIN(INT(($A121-1)/2)+1,MAX(1,INT(((((CROQUIS_DATOS!$C$1494+CROQUIS_DATOS!$C$1495))-(CROQUIS_DATOS!$C$1494))+((CROQUIS_DATOS!$C$1496)*CROQUIS_DATOS!$C$1561-(0)*CROQUIS_DATOS!$C$1561))/CROQUIS_DATOS!$C$1568-0.000001))),2)=1,IF(INT(($A121-1)/2)+1&gt;MAX(1,INT(((((CROQUIS_DATOS!$C$1494+CROQUIS_DATOS!$C$1495))-(CROQUIS_DATOS!$C$1494))+((CROQUIS_DATOS!$C$1496)*CROQUIS_DATOS!$C$1561-(0)*CROQUIS_DATOS!$C$1561))/CROQUIS_DATOS!$C$1568-0.000001)),1,MOD($A121-1,2)),1-IF(INT(($A121-1)/2)+1&gt;MAX(1,INT(((((CROQUIS_DATOS!$C$1494+CROQUIS_DATOS!$C$1495))-(CROQUIS_DATOS!$C$1494))+((CROQUIS_DATOS!$C$1496)*CROQUIS_DATOS!$C$1561-(0)*CROQUIS_DATOS!$C$1561))/CROQUIS_DATOS!$C$1568-0.000001)),1,MOD($A121-1,2)))=1,MIN((CROQUIS_DATOS!$C$1496)*CROQUIS_DATOS!$C$1561,((CROQUIS_DATOS!$C$1494+CROQUIS_DATOS!$C$1495)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1">
        <f>IF(AND(CROQUIS_DATOS!$C$1472=1,CROQUIS_DATOS!$C$1478&gt;=4,((CROQUIS_DATOS!$C$1494+CROQUIS_DATOS!$C$1495))-(CROQUIS_DATOS!$C$1494)&gt;0.5,(CROQUIS_DATOS!$C$1496)-(0)&gt;0.5),(CROQUIS_DATOS!$C$1567+(IF(IF(MOD(MIN(INT(($A121-1)/2)+1,MAX(1,INT(((((CROQUIS_DATOS!$C$1494+CROQUIS_DATOS!$C$1495))-(CROQUIS_DATOS!$C$1494))+((CROQUIS_DATOS!$C$1496)*CROQUIS_DATOS!$C$1561-(0)*CROQUIS_DATOS!$C$1561))/CROQUIS_DATOS!$C$1568-0.000001))),2)=1,IF(INT(($A121-1)/2)+1&gt;MAX(1,INT(((((CROQUIS_DATOS!$C$1494+CROQUIS_DATOS!$C$1495))-(CROQUIS_DATOS!$C$1494))+((CROQUIS_DATOS!$C$1496)*CROQUIS_DATOS!$C$1561-(0)*CROQUIS_DATOS!$C$1561))/CROQUIS_DATOS!$C$1568-0.000001)),1,MOD($A121-1,2)),1-IF(INT(($A121-1)/2)+1&gt;MAX(1,INT(((((CROQUIS_DATOS!$C$1494+CROQUIS_DATOS!$C$1495))-(CROQUIS_DATOS!$C$1494))+((CROQUIS_DATOS!$C$1496)*CROQUIS_DATOS!$C$1561-(0)*CROQUIS_DATOS!$C$1561))/CROQUIS_DATOS!$C$1568-0.000001)),1,MOD($A121-1,2)))=1,MIN((CROQUIS_DATOS!$C$1496)*CROQUIS_DATOS!$C$1561,((CROQUIS_DATOS!$C$1494+CROQUIS_DATOS!$C$1495)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1">
        <f>IF(AND(CROQUIS_DATOS!$C$1472=1,CROQUIS_DATOS!$C$1478&gt;=4,((CROQUIS_DATOS!$C$1494+CROQUIS_DATOS!$C$1495))-(CROQUIS_DATOS!$C$1494)&gt;0.5,(CROQUIS_DATOS!$C$1476)-((CROQUIS_DATOS!$C$1496+CROQUIS_DATOS!$C$1497))&gt;0.5),(CROQUIS_DATOS!$C$1566+(IF(IF(MOD(MIN(INT(($A121-1)/2)+1,MAX(1,INT(((((CROQUIS_DATOS!$C$1494+CROQUIS_DATOS!$C$1495))-(CROQUIS_DATOS!$C$1494))+((CROQUIS_DATOS!$C$1476)*CROQUIS_DATOS!$C$1561-((CROQUIS_DATOS!$C$1496+CROQUIS_DATOS!$C$1497))*CROQUIS_DATOS!$C$1561))/CROQUIS_DATOS!$C$1568-0.000001))),2)=1,IF(INT(($A121-1)/2)+1&gt;MAX(1,INT(((((CROQUIS_DATOS!$C$1494+CROQUIS_DATOS!$C$1495))-(CROQUIS_DATOS!$C$1494))+((CROQUIS_DATOS!$C$1476)*CROQUIS_DATOS!$C$1561-((CROQUIS_DATOS!$C$1496+CROQUIS_DATOS!$C$1497))*CROQUIS_DATOS!$C$1561))/CROQUIS_DATOS!$C$1568-0.000001)),1,MOD($A121-1,2)),1-IF(INT(($A121-1)/2)+1&gt;MAX(1,INT(((((CROQUIS_DATOS!$C$1494+CROQUIS_DATOS!$C$1495))-(CROQUIS_DATOS!$C$1494))+((CROQUIS_DATOS!$C$1476)*CROQUIS_DATOS!$C$1561-((CROQUIS_DATOS!$C$1496+CROQUIS_DATOS!$C$1497))*CROQUIS_DATOS!$C$1561))/CROQUIS_DATOS!$C$1568-0.000001)),1,MOD($A121-1,2)))=1,MIN((CROQUIS_DATOS!$C$1476)*CROQUIS_DATOS!$C$1561,((CROQUIS_DATOS!$C$1494+CROQUIS_DATOS!$C$1495)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1">
        <f>IF(AND(CROQUIS_DATOS!$C$1472=1,CROQUIS_DATOS!$C$1478&gt;=4,((CROQUIS_DATOS!$C$1494+CROQUIS_DATOS!$C$1495))-(CROQUIS_DATOS!$C$1494)&gt;0.5,(CROQUIS_DATOS!$C$1476)-((CROQUIS_DATOS!$C$1496+CROQUIS_DATOS!$C$1497))&gt;0.5),(CROQUIS_DATOS!$C$1567+(IF(IF(MOD(MIN(INT(($A121-1)/2)+1,MAX(1,INT(((((CROQUIS_DATOS!$C$1494+CROQUIS_DATOS!$C$1495))-(CROQUIS_DATOS!$C$1494))+((CROQUIS_DATOS!$C$1476)*CROQUIS_DATOS!$C$1561-((CROQUIS_DATOS!$C$1496+CROQUIS_DATOS!$C$1497))*CROQUIS_DATOS!$C$1561))/CROQUIS_DATOS!$C$1568-0.000001))),2)=1,IF(INT(($A121-1)/2)+1&gt;MAX(1,INT(((((CROQUIS_DATOS!$C$1494+CROQUIS_DATOS!$C$1495))-(CROQUIS_DATOS!$C$1494))+((CROQUIS_DATOS!$C$1476)*CROQUIS_DATOS!$C$1561-((CROQUIS_DATOS!$C$1496+CROQUIS_DATOS!$C$1497))*CROQUIS_DATOS!$C$1561))/CROQUIS_DATOS!$C$1568-0.000001)),1,MOD($A121-1,2)),1-IF(INT(($A121-1)/2)+1&gt;MAX(1,INT(((((CROQUIS_DATOS!$C$1494+CROQUIS_DATOS!$C$1495))-(CROQUIS_DATOS!$C$1494))+((CROQUIS_DATOS!$C$1476)*CROQUIS_DATOS!$C$1561-((CROQUIS_DATOS!$C$1496+CROQUIS_DATOS!$C$1497))*CROQUIS_DATOS!$C$1561))/CROQUIS_DATOS!$C$1568-0.000001)),1,MOD($A121-1,2)))=1,MIN((CROQUIS_DATOS!$C$1476)*CROQUIS_DATOS!$C$1561,((CROQUIS_DATOS!$C$1494+CROQUIS_DATOS!$C$1495)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2">
      <c r="A122" t="n">
        <v>115</v>
      </c>
      <c r="N122">
        <f>IF(AND(CROQUIS_DATOS!$C$1472=1,1),(CROQUIS_DATOS!$C$1563+(IF(IF(IF(INT(($A122-1)/70)+1&gt;CROQUIS_DATOS!$C$1525,70,MOD($A122-1,70)+1)=1,0,IF(IF(INT(($A122-1)/70)+1&gt;CROQUIS_DATOS!$C$1525,70,MOD($A122-1,70)+1)&gt;2*CROQUIS_DATOS!$C$1541+1,IF(MOD(CROQUIS_DATOS!$C$1541,2)=1,1,0),IF(MOD(MIN(INT((IF(INT(($A122-1)/70)+1&gt;CROQUIS_DATOS!$C$1525,70,MOD($A122-1,70)+1)-2)/2)+1,CROQUIS_DATOS!$C$1541),2)=1,IF(MOD(IF(INT(($A122-1)/70)+1&gt;CROQUIS_DATOS!$C$1525,70,MOD($A122-1,70)+1)-2,2)=0,0,1),IF(MOD(IF(INT(($A122-1)/70)+1&gt;CROQUIS_DATOS!$C$1525,70,MOD($A122-1,70)+1)-2,2)=0,1,0))))=0,(INDEX($E$8:$E$23,MIN(INT(($A122-1)/70)+1,CROQUIS_DATOS!$C$1525))-INDEX($F$8:$F$23,MIN(INT(($A122-1)/70)+1,CROQUIS_DATOS!$C$1525))/2),(INDEX($E$8:$E$23,MIN(INT(($A122-1)/70)+1,CROQUIS_DATOS!$C$1525))+INDEX($F$8:$F$23,MIN(INT(($A122-1)/70)+1,CROQUIS_DATOS!$C$1525))/2)))*CROQUIS_DATOS!$C$1562),-1000)</f>
        <v>18.5775862068965</v>
      </c>
      <c r="O122">
        <f>IF(AND(CROQUIS_DATOS!$C$1472=1,1),(CROQUIS_DATOS!$C$1564+(IF(OR(IF(INT(($A122-1)/70)+1&gt;CROQUIS_DATOS!$C$1525,70,MOD($A122-1,70)+1)=1,IF(INT(($A122-1)/70)+1&gt;CROQUIS_DATOS!$C$1525,70,MOD($A122-1,70)+1)&gt;2*CROQUIS_DATOS!$C$1541+1),CROQUIS_DATOS!$C$1476,INDEX($H$8:$H$41,MIN(INT((IF(INT(($A122-1)/70)+1&gt;CROQUIS_DATOS!$C$1525,70,MOD($A122-1,70)+1)-2)/2)+1,CROQUIS_DATOS!$C$1541))))*CROQUIS_DATOS!$C$1561*CROQUIS_DATOS!$C$1562),-1000)</f>
        <v>40.2068965517241</v>
      </c>
      <c r="P122">
        <f>IF(AND(CROQUIS_DATOS!$C$1472=1,CROQUIS_DATOS!$C$1555=1),(CROQUIS_DATOS!$C$1563+(IF(IF(OR(MOD($A122-1,62)+1=1,IF(CHOOSE(MIN(MAX(MIN(INT(($A122-1)/62)+1,5),1),5),CROQUIS_DATOS!$C$1501,CROQUIS_DATOS!$C$1505,CROQUIS_DATOS!$C$1509,CROQUIS_DATOS!$C$1513,CROQUIS_DATOS!$C$1517)=1,CROQUIS_DATOS!$C$1557,0)=0),0,IF(MOD($A122-1,62)+1&gt;2*IF(CHOOSE(MIN(MAX(MIN(INT(($A122-1)/62)+1,5),1),5),CROQUIS_DATOS!$C$1501,CROQUIS_DATOS!$C$1505,CROQUIS_DATOS!$C$1509,CROQUIS_DATOS!$C$1513,CROQUIS_DATOS!$C$1517)=1,CROQUIS_DATOS!$C$1557,0)+1,IF(MOD(IF(CHOOSE(MIN(MAX(MIN(INT(($A122-1)/62)+1,5),1),5),CROQUIS_DATOS!$C$1501,CROQUIS_DATOS!$C$1505,CROQUIS_DATOS!$C$1509,CROQUIS_DATOS!$C$1513,CROQUIS_DATOS!$C$1517)=1,CROQUIS_DATOS!$C$1557,0),2)=1,1,0),IF(MOD(MIN(INT((MOD($A122-1,62)+1-2)/2)+1,MAX(IF(CHOOSE(MIN(MAX(MIN(INT(($A122-1)/62)+1,5),1),5),CROQUIS_DATOS!$C$1501,CROQUIS_DATOS!$C$1505,CROQUIS_DATOS!$C$1509,CROQUIS_DATOS!$C$1513,CROQUIS_DATOS!$C$1517)=1,CROQUIS_DATOS!$C$1557,0),1)),2)=1,IF(MOD(MOD($A122-1,62)+1-2,2)=0,0,1),IF(MOD(MOD($A122-1,62)+1-2,2)=0,1,0))))=0,(CHOOSE(MIN(MAX(MIN(INT(($A122-1)/62)+1,5),1),5),CROQUIS_DATOS!$C$1499,CROQUIS_DATOS!$C$1503,CROQUIS_DATOS!$C$1507,CROQUIS_DATOS!$C$1511,CROQUIS_DATOS!$C$1515)+IF(CHOOSE(MIN(MAX(MIN(INT(($A122-1)/62)+1,5),1),5),CROQUIS_DATOS!$C$1501,CROQUIS_DATOS!$C$1505,CROQUIS_DATOS!$C$1509,CROQUIS_DATOS!$C$1513,CROQUIS_DATOS!$C$1517)=1,CROQUIS_DATOS!$C$1526,0)),(CHOOSE(MIN(MAX(MIN(INT(($A122-1)/62)+1,5),1),5),CROQUIS_DATOS!$C$1499,CROQUIS_DATOS!$C$1503,CROQUIS_DATOS!$C$1507,CROQUIS_DATOS!$C$1511,CROQUIS_DATOS!$C$1515)+CHOOSE(MIN(MAX(MIN(INT(($A122-1)/62)+1,5),1),5),CROQUIS_DATOS!$C$1500,CROQUIS_DATOS!$C$1504,CROQUIS_DATOS!$C$1508,CROQUIS_DATOS!$C$1512,CROQUIS_DATOS!$C$1516)-IF(CHOOSE(MIN(MAX(MIN(INT(($A122-1)/62)+1,5),1),5),CROQUIS_DATOS!$C$1501,CROQUIS_DATOS!$C$1505,CROQUIS_DATOS!$C$1509,CROQUIS_DATOS!$C$1513,CROQUIS_DATOS!$C$1517)=1,CROQUIS_DATOS!$C$1526,0))))*CROQUIS_DATOS!$C$1562),-1000)</f>
        <v>-1000</v>
      </c>
      <c r="Q122">
        <f>IF(AND(CROQUIS_DATOS!$C$1472=1,CROQUIS_DATOS!$C$1555=1),(CROQUIS_DATOS!$C$1564+(IF(OR(OR(MOD($A122-1,62)+1=1,IF(CHOOSE(MIN(MAX(MIN(INT(($A122-1)/62)+1,5),1),5),CROQUIS_DATOS!$C$1501,CROQUIS_DATOS!$C$1505,CROQUIS_DATOS!$C$1509,CROQUIS_DATOS!$C$1513,CROQUIS_DATOS!$C$1517)=1,CROQUIS_DATOS!$C$1557,0)=0),MOD($A122-1,62)+1&gt;2*IF(CHOOSE(MIN(MAX(MIN(INT(($A122-1)/62)+1,5),1),5),CROQUIS_DATOS!$C$1501,CROQUIS_DATOS!$C$1505,CROQUIS_DATOS!$C$1509,CROQUIS_DATOS!$C$1513,CROQUIS_DATOS!$C$1517)=1,CROQUIS_DATOS!$C$1557,0)+1),CROQUIS_DATOS!$C$1476,MIN(INT((MOD($A122-1,62)+1-2)/2)+1,MAX(IF(CHOOSE(MIN(MAX(MIN(INT(($A122-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2">
        <f>IF(AND(CROQUIS_DATOS!$C$1472=1,1),(CROQUIS_DATOS!$C$1563+(MIN(INT(($A122-1)/2)+1,CROQUIS_DATOS!$C$1558)*CROQUIS_DATOS!$C$1559)*CROQUIS_DATOS!$C$1562),-1000)</f>
        <v>82.2281167108753</v>
      </c>
      <c r="U122">
        <f>IF(AND(CROQUIS_DATOS!$C$1472=1,1),(CROQUIS_DATOS!$C$1564+(IF(INT(($A122-1)/2)+1&gt;CROQUIS_DATOS!$C$1558,IF(MOD(CROQUIS_DATOS!$C$1558,2)=1,CROQUIS_DATOS!$C$1476+CROQUIS_DATOS!$C$1528,CROQUIS_DATOS!$C$1476),IF(IF(MOD(MIN(INT(($A122-1)/2)+1,CROQUIS_DATOS!$C$1558),2)=1,MOD($A122-1,2),1-MOD($A122-1,2))=1,CROQUIS_DATOS!$C$1476+CROQUIS_DATOS!$C$1528,CROQUIS_DATOS!$C$1476)))*CROQUIS_DATOS!$C$1561*CROQUIS_DATOS!$C$1562),-1000)</f>
        <v>43</v>
      </c>
      <c r="BZ122">
        <f>IF(AND(CROQUIS_DATOS!$C$1472=1,CROQUIS_DATOS!$C$1500&gt;0,((CROQUIS_DATOS!$C$1499+CROQUIS_DATOS!$C$1500))-(CROQUIS_DATOS!$C$1499)&gt;0.5,(CROQUIS_DATOS!$C$1476)-(0)&gt;0.5),(CROQUIS_DATOS!$C$1566+(IF(IF(MOD(MIN(INT(($A122-1)/2)+1,MAX(1,INT(((((CROQUIS_DATOS!$C$1499+CROQUIS_DATOS!$C$1500))-(CROQUIS_DATOS!$C$1499))+((CROQUIS_DATOS!$C$1476)*CROQUIS_DATOS!$C$1561-(0)*CROQUIS_DATOS!$C$1561))/CROQUIS_DATOS!$C$1568-0.000001))),2)=1,IF(INT(($A122-1)/2)+1&gt;MAX(1,INT(((((CROQUIS_DATOS!$C$1499+CROQUIS_DATOS!$C$1500))-(CROQUIS_DATOS!$C$1499))+((CROQUIS_DATOS!$C$1476)*CROQUIS_DATOS!$C$1561-(0)*CROQUIS_DATOS!$C$1561))/CROQUIS_DATOS!$C$1568-0.000001)),1,MOD($A122-1,2)),1-IF(INT(($A122-1)/2)+1&gt;MAX(1,INT(((((CROQUIS_DATOS!$C$1499+CROQUIS_DATOS!$C$1500))-(CROQUIS_DATOS!$C$1499))+((CROQUIS_DATOS!$C$1476)*CROQUIS_DATOS!$C$1561-(0)*CROQUIS_DATOS!$C$1561))/CROQUIS_DATOS!$C$1568-0.000001)),1,MOD($A122-1,2)))=1,MIN((CROQUIS_DATOS!$C$1476)*CROQUIS_DATOS!$C$1561,((CROQUIS_DATOS!$C$1499+CROQUIS_DATOS!$C$1500)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2">
        <f>IF(AND(CROQUIS_DATOS!$C$1472=1,CROQUIS_DATOS!$C$1500&gt;0,((CROQUIS_DATOS!$C$1499+CROQUIS_DATOS!$C$1500))-(CROQUIS_DATOS!$C$1499)&gt;0.5,(CROQUIS_DATOS!$C$1476)-(0)&gt;0.5),(CROQUIS_DATOS!$C$1567+(IF(IF(MOD(MIN(INT(($A122-1)/2)+1,MAX(1,INT(((((CROQUIS_DATOS!$C$1499+CROQUIS_DATOS!$C$1500))-(CROQUIS_DATOS!$C$1499))+((CROQUIS_DATOS!$C$1476)*CROQUIS_DATOS!$C$1561-(0)*CROQUIS_DATOS!$C$1561))/CROQUIS_DATOS!$C$1568-0.000001))),2)=1,IF(INT(($A122-1)/2)+1&gt;MAX(1,INT(((((CROQUIS_DATOS!$C$1499+CROQUIS_DATOS!$C$1500))-(CROQUIS_DATOS!$C$1499))+((CROQUIS_DATOS!$C$1476)*CROQUIS_DATOS!$C$1561-(0)*CROQUIS_DATOS!$C$1561))/CROQUIS_DATOS!$C$1568-0.000001)),1,MOD($A122-1,2)),1-IF(INT(($A122-1)/2)+1&gt;MAX(1,INT(((((CROQUIS_DATOS!$C$1499+CROQUIS_DATOS!$C$1500))-(CROQUIS_DATOS!$C$1499))+((CROQUIS_DATOS!$C$1476)*CROQUIS_DATOS!$C$1561-(0)*CROQUIS_DATOS!$C$1561))/CROQUIS_DATOS!$C$1568-0.000001)),1,MOD($A122-1,2)))=1,MIN((CROQUIS_DATOS!$C$1476)*CROQUIS_DATOS!$C$1561,((CROQUIS_DATOS!$C$1499+CROQUIS_DATOS!$C$1500)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2">
        <f>IF(AND(CROQUIS_DATOS!$C$1472=1,CROQUIS_DATOS!$C$1504&gt;0,((CROQUIS_DATOS!$C$1503+CROQUIS_DATOS!$C$1504))-(CROQUIS_DATOS!$C$1503)&gt;0.5,(CROQUIS_DATOS!$C$1476)-(0)&gt;0.5),(CROQUIS_DATOS!$C$1566+(IF(IF(MOD(MIN(INT(($A122-1)/2)+1,MAX(1,INT(((((CROQUIS_DATOS!$C$1503+CROQUIS_DATOS!$C$1504))-(CROQUIS_DATOS!$C$1503))+((CROQUIS_DATOS!$C$1476)*CROQUIS_DATOS!$C$1561-(0)*CROQUIS_DATOS!$C$1561))/CROQUIS_DATOS!$C$1568-0.000001))),2)=1,IF(INT(($A122-1)/2)+1&gt;MAX(1,INT(((((CROQUIS_DATOS!$C$1503+CROQUIS_DATOS!$C$1504))-(CROQUIS_DATOS!$C$1503))+((CROQUIS_DATOS!$C$1476)*CROQUIS_DATOS!$C$1561-(0)*CROQUIS_DATOS!$C$1561))/CROQUIS_DATOS!$C$1568-0.000001)),1,MOD($A122-1,2)),1-IF(INT(($A122-1)/2)+1&gt;MAX(1,INT(((((CROQUIS_DATOS!$C$1503+CROQUIS_DATOS!$C$1504))-(CROQUIS_DATOS!$C$1503))+((CROQUIS_DATOS!$C$1476)*CROQUIS_DATOS!$C$1561-(0)*CROQUIS_DATOS!$C$1561))/CROQUIS_DATOS!$C$1568-0.000001)),1,MOD($A122-1,2)))=1,MIN((CROQUIS_DATOS!$C$1476)*CROQUIS_DATOS!$C$1561,((CROQUIS_DATOS!$C$1503+CROQUIS_DATOS!$C$1504)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2">
        <f>IF(AND(CROQUIS_DATOS!$C$1472=1,CROQUIS_DATOS!$C$1504&gt;0,((CROQUIS_DATOS!$C$1503+CROQUIS_DATOS!$C$1504))-(CROQUIS_DATOS!$C$1503)&gt;0.5,(CROQUIS_DATOS!$C$1476)-(0)&gt;0.5),(CROQUIS_DATOS!$C$1567+(IF(IF(MOD(MIN(INT(($A122-1)/2)+1,MAX(1,INT(((((CROQUIS_DATOS!$C$1503+CROQUIS_DATOS!$C$1504))-(CROQUIS_DATOS!$C$1503))+((CROQUIS_DATOS!$C$1476)*CROQUIS_DATOS!$C$1561-(0)*CROQUIS_DATOS!$C$1561))/CROQUIS_DATOS!$C$1568-0.000001))),2)=1,IF(INT(($A122-1)/2)+1&gt;MAX(1,INT(((((CROQUIS_DATOS!$C$1503+CROQUIS_DATOS!$C$1504))-(CROQUIS_DATOS!$C$1503))+((CROQUIS_DATOS!$C$1476)*CROQUIS_DATOS!$C$1561-(0)*CROQUIS_DATOS!$C$1561))/CROQUIS_DATOS!$C$1568-0.000001)),1,MOD($A122-1,2)),1-IF(INT(($A122-1)/2)+1&gt;MAX(1,INT(((((CROQUIS_DATOS!$C$1503+CROQUIS_DATOS!$C$1504))-(CROQUIS_DATOS!$C$1503))+((CROQUIS_DATOS!$C$1476)*CROQUIS_DATOS!$C$1561-(0)*CROQUIS_DATOS!$C$1561))/CROQUIS_DATOS!$C$1568-0.000001)),1,MOD($A122-1,2)))=1,MIN((CROQUIS_DATOS!$C$1476)*CROQUIS_DATOS!$C$1561,((CROQUIS_DATOS!$C$1503+CROQUIS_DATOS!$C$1504)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2">
        <f>IF(AND(CROQUIS_DATOS!$C$1472=1,CROQUIS_DATOS!$C$1508&gt;0,((CROQUIS_DATOS!$C$1507+CROQUIS_DATOS!$C$1508))-(CROQUIS_DATOS!$C$1507)&gt;0.5,(CROQUIS_DATOS!$C$1476)-(0)&gt;0.5),(CROQUIS_DATOS!$C$1566+(IF(IF(MOD(MIN(INT(($A122-1)/2)+1,MAX(1,INT(((((CROQUIS_DATOS!$C$1507+CROQUIS_DATOS!$C$1508))-(CROQUIS_DATOS!$C$1507))+((CROQUIS_DATOS!$C$1476)*CROQUIS_DATOS!$C$1561-(0)*CROQUIS_DATOS!$C$1561))/CROQUIS_DATOS!$C$1568-0.000001))),2)=1,IF(INT(($A122-1)/2)+1&gt;MAX(1,INT(((((CROQUIS_DATOS!$C$1507+CROQUIS_DATOS!$C$1508))-(CROQUIS_DATOS!$C$1507))+((CROQUIS_DATOS!$C$1476)*CROQUIS_DATOS!$C$1561-(0)*CROQUIS_DATOS!$C$1561))/CROQUIS_DATOS!$C$1568-0.000001)),1,MOD($A122-1,2)),1-IF(INT(($A122-1)/2)+1&gt;MAX(1,INT(((((CROQUIS_DATOS!$C$1507+CROQUIS_DATOS!$C$1508))-(CROQUIS_DATOS!$C$1507))+((CROQUIS_DATOS!$C$1476)*CROQUIS_DATOS!$C$1561-(0)*CROQUIS_DATOS!$C$1561))/CROQUIS_DATOS!$C$1568-0.000001)),1,MOD($A122-1,2)))=1,MIN((CROQUIS_DATOS!$C$1476)*CROQUIS_DATOS!$C$1561,((CROQUIS_DATOS!$C$1507+CROQUIS_DATOS!$C$1508)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2">
        <f>IF(AND(CROQUIS_DATOS!$C$1472=1,CROQUIS_DATOS!$C$1508&gt;0,((CROQUIS_DATOS!$C$1507+CROQUIS_DATOS!$C$1508))-(CROQUIS_DATOS!$C$1507)&gt;0.5,(CROQUIS_DATOS!$C$1476)-(0)&gt;0.5),(CROQUIS_DATOS!$C$1567+(IF(IF(MOD(MIN(INT(($A122-1)/2)+1,MAX(1,INT(((((CROQUIS_DATOS!$C$1507+CROQUIS_DATOS!$C$1508))-(CROQUIS_DATOS!$C$1507))+((CROQUIS_DATOS!$C$1476)*CROQUIS_DATOS!$C$1561-(0)*CROQUIS_DATOS!$C$1561))/CROQUIS_DATOS!$C$1568-0.000001))),2)=1,IF(INT(($A122-1)/2)+1&gt;MAX(1,INT(((((CROQUIS_DATOS!$C$1507+CROQUIS_DATOS!$C$1508))-(CROQUIS_DATOS!$C$1507))+((CROQUIS_DATOS!$C$1476)*CROQUIS_DATOS!$C$1561-(0)*CROQUIS_DATOS!$C$1561))/CROQUIS_DATOS!$C$1568-0.000001)),1,MOD($A122-1,2)),1-IF(INT(($A122-1)/2)+1&gt;MAX(1,INT(((((CROQUIS_DATOS!$C$1507+CROQUIS_DATOS!$C$1508))-(CROQUIS_DATOS!$C$1507))+((CROQUIS_DATOS!$C$1476)*CROQUIS_DATOS!$C$1561-(0)*CROQUIS_DATOS!$C$1561))/CROQUIS_DATOS!$C$1568-0.000001)),1,MOD($A122-1,2)))=1,MIN((CROQUIS_DATOS!$C$1476)*CROQUIS_DATOS!$C$1561,((CROQUIS_DATOS!$C$1507+CROQUIS_DATOS!$C$1508)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2">
        <f>IF(AND(CROQUIS_DATOS!$C$1472=1,CROQUIS_DATOS!$C$1512&gt;0,((CROQUIS_DATOS!$C$1511+CROQUIS_DATOS!$C$1512))-(CROQUIS_DATOS!$C$1511)&gt;0.5,(CROQUIS_DATOS!$C$1476)-(0)&gt;0.5),(CROQUIS_DATOS!$C$1566+(IF(IF(MOD(MIN(INT(($A122-1)/2)+1,MAX(1,INT(((((CROQUIS_DATOS!$C$1511+CROQUIS_DATOS!$C$1512))-(CROQUIS_DATOS!$C$1511))+((CROQUIS_DATOS!$C$1476)*CROQUIS_DATOS!$C$1561-(0)*CROQUIS_DATOS!$C$1561))/CROQUIS_DATOS!$C$1568-0.000001))),2)=1,IF(INT(($A122-1)/2)+1&gt;MAX(1,INT(((((CROQUIS_DATOS!$C$1511+CROQUIS_DATOS!$C$1512))-(CROQUIS_DATOS!$C$1511))+((CROQUIS_DATOS!$C$1476)*CROQUIS_DATOS!$C$1561-(0)*CROQUIS_DATOS!$C$1561))/CROQUIS_DATOS!$C$1568-0.000001)),1,MOD($A122-1,2)),1-IF(INT(($A122-1)/2)+1&gt;MAX(1,INT(((((CROQUIS_DATOS!$C$1511+CROQUIS_DATOS!$C$1512))-(CROQUIS_DATOS!$C$1511))+((CROQUIS_DATOS!$C$1476)*CROQUIS_DATOS!$C$1561-(0)*CROQUIS_DATOS!$C$1561))/CROQUIS_DATOS!$C$1568-0.000001)),1,MOD($A122-1,2)))=1,MIN((CROQUIS_DATOS!$C$1476)*CROQUIS_DATOS!$C$1561,((CROQUIS_DATOS!$C$1511+CROQUIS_DATOS!$C$1512)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2">
        <f>IF(AND(CROQUIS_DATOS!$C$1472=1,CROQUIS_DATOS!$C$1512&gt;0,((CROQUIS_DATOS!$C$1511+CROQUIS_DATOS!$C$1512))-(CROQUIS_DATOS!$C$1511)&gt;0.5,(CROQUIS_DATOS!$C$1476)-(0)&gt;0.5),(CROQUIS_DATOS!$C$1567+(IF(IF(MOD(MIN(INT(($A122-1)/2)+1,MAX(1,INT(((((CROQUIS_DATOS!$C$1511+CROQUIS_DATOS!$C$1512))-(CROQUIS_DATOS!$C$1511))+((CROQUIS_DATOS!$C$1476)*CROQUIS_DATOS!$C$1561-(0)*CROQUIS_DATOS!$C$1561))/CROQUIS_DATOS!$C$1568-0.000001))),2)=1,IF(INT(($A122-1)/2)+1&gt;MAX(1,INT(((((CROQUIS_DATOS!$C$1511+CROQUIS_DATOS!$C$1512))-(CROQUIS_DATOS!$C$1511))+((CROQUIS_DATOS!$C$1476)*CROQUIS_DATOS!$C$1561-(0)*CROQUIS_DATOS!$C$1561))/CROQUIS_DATOS!$C$1568-0.000001)),1,MOD($A122-1,2)),1-IF(INT(($A122-1)/2)+1&gt;MAX(1,INT(((((CROQUIS_DATOS!$C$1511+CROQUIS_DATOS!$C$1512))-(CROQUIS_DATOS!$C$1511))+((CROQUIS_DATOS!$C$1476)*CROQUIS_DATOS!$C$1561-(0)*CROQUIS_DATOS!$C$1561))/CROQUIS_DATOS!$C$1568-0.000001)),1,MOD($A122-1,2)))=1,MIN((CROQUIS_DATOS!$C$1476)*CROQUIS_DATOS!$C$1561,((CROQUIS_DATOS!$C$1511+CROQUIS_DATOS!$C$1512)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2">
        <f>IF(AND(CROQUIS_DATOS!$C$1472=1,CROQUIS_DATOS!$C$1516&gt;0,((CROQUIS_DATOS!$C$1515+CROQUIS_DATOS!$C$1516))-(CROQUIS_DATOS!$C$1515)&gt;0.5,(CROQUIS_DATOS!$C$1476)-(0)&gt;0.5),(CROQUIS_DATOS!$C$1566+(IF(IF(MOD(MIN(INT(($A122-1)/2)+1,MAX(1,INT(((((CROQUIS_DATOS!$C$1515+CROQUIS_DATOS!$C$1516))-(CROQUIS_DATOS!$C$1515))+((CROQUIS_DATOS!$C$1476)*CROQUIS_DATOS!$C$1561-(0)*CROQUIS_DATOS!$C$1561))/CROQUIS_DATOS!$C$1568-0.000001))),2)=1,IF(INT(($A122-1)/2)+1&gt;MAX(1,INT(((((CROQUIS_DATOS!$C$1515+CROQUIS_DATOS!$C$1516))-(CROQUIS_DATOS!$C$1515))+((CROQUIS_DATOS!$C$1476)*CROQUIS_DATOS!$C$1561-(0)*CROQUIS_DATOS!$C$1561))/CROQUIS_DATOS!$C$1568-0.000001)),1,MOD($A122-1,2)),1-IF(INT(($A122-1)/2)+1&gt;MAX(1,INT(((((CROQUIS_DATOS!$C$1515+CROQUIS_DATOS!$C$1516))-(CROQUIS_DATOS!$C$1515))+((CROQUIS_DATOS!$C$1476)*CROQUIS_DATOS!$C$1561-(0)*CROQUIS_DATOS!$C$1561))/CROQUIS_DATOS!$C$1568-0.000001)),1,MOD($A122-1,2)))=1,MIN((CROQUIS_DATOS!$C$1476)*CROQUIS_DATOS!$C$1561,((CROQUIS_DATOS!$C$1515+CROQUIS_DATOS!$C$1516)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2">
        <f>IF(AND(CROQUIS_DATOS!$C$1472=1,CROQUIS_DATOS!$C$1516&gt;0,((CROQUIS_DATOS!$C$1515+CROQUIS_DATOS!$C$1516))-(CROQUIS_DATOS!$C$1515)&gt;0.5,(CROQUIS_DATOS!$C$1476)-(0)&gt;0.5),(CROQUIS_DATOS!$C$1567+(IF(IF(MOD(MIN(INT(($A122-1)/2)+1,MAX(1,INT(((((CROQUIS_DATOS!$C$1515+CROQUIS_DATOS!$C$1516))-(CROQUIS_DATOS!$C$1515))+((CROQUIS_DATOS!$C$1476)*CROQUIS_DATOS!$C$1561-(0)*CROQUIS_DATOS!$C$1561))/CROQUIS_DATOS!$C$1568-0.000001))),2)=1,IF(INT(($A122-1)/2)+1&gt;MAX(1,INT(((((CROQUIS_DATOS!$C$1515+CROQUIS_DATOS!$C$1516))-(CROQUIS_DATOS!$C$1515))+((CROQUIS_DATOS!$C$1476)*CROQUIS_DATOS!$C$1561-(0)*CROQUIS_DATOS!$C$1561))/CROQUIS_DATOS!$C$1568-0.000001)),1,MOD($A122-1,2)),1-IF(INT(($A122-1)/2)+1&gt;MAX(1,INT(((((CROQUIS_DATOS!$C$1515+CROQUIS_DATOS!$C$1516))-(CROQUIS_DATOS!$C$1515))+((CROQUIS_DATOS!$C$1476)*CROQUIS_DATOS!$C$1561-(0)*CROQUIS_DATOS!$C$1561))/CROQUIS_DATOS!$C$1568-0.000001)),1,MOD($A122-1,2)))=1,MIN((CROQUIS_DATOS!$C$1476)*CROQUIS_DATOS!$C$1561,((CROQUIS_DATOS!$C$1515+CROQUIS_DATOS!$C$1516)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2">
        <f>IF(AND(CROQUIS_DATOS!$C$1472=1,CROQUIS_DATOS!$C$1478&gt;=1,((CROQUIS_DATOS!$C$1479+CROQUIS_DATOS!$C$1480))-(CROQUIS_DATOS!$C$1479)&gt;0.5,(CROQUIS_DATOS!$C$1481)-(0)&gt;0.5),(CROQUIS_DATOS!$C$1566+(IF(IF(MOD(MIN(INT(($A122-1)/2)+1,MAX(1,INT(((((CROQUIS_DATOS!$C$1479+CROQUIS_DATOS!$C$1480))-(CROQUIS_DATOS!$C$1479))+((CROQUIS_DATOS!$C$1481)*CROQUIS_DATOS!$C$1561-(0)*CROQUIS_DATOS!$C$1561))/CROQUIS_DATOS!$C$1568-0.000001))),2)=1,IF(INT(($A122-1)/2)+1&gt;MAX(1,INT(((((CROQUIS_DATOS!$C$1479+CROQUIS_DATOS!$C$1480))-(CROQUIS_DATOS!$C$1479))+((CROQUIS_DATOS!$C$1481)*CROQUIS_DATOS!$C$1561-(0)*CROQUIS_DATOS!$C$1561))/CROQUIS_DATOS!$C$1568-0.000001)),1,MOD($A122-1,2)),1-IF(INT(($A122-1)/2)+1&gt;MAX(1,INT(((((CROQUIS_DATOS!$C$1479+CROQUIS_DATOS!$C$1480))-(CROQUIS_DATOS!$C$1479))+((CROQUIS_DATOS!$C$1481)*CROQUIS_DATOS!$C$1561-(0)*CROQUIS_DATOS!$C$1561))/CROQUIS_DATOS!$C$1568-0.000001)),1,MOD($A122-1,2)))=1,MIN((CROQUIS_DATOS!$C$1481)*CROQUIS_DATOS!$C$1561,((CROQUIS_DATOS!$C$1479+CROQUIS_DATOS!$C$1480)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2">
        <f>IF(AND(CROQUIS_DATOS!$C$1472=1,CROQUIS_DATOS!$C$1478&gt;=1,((CROQUIS_DATOS!$C$1479+CROQUIS_DATOS!$C$1480))-(CROQUIS_DATOS!$C$1479)&gt;0.5,(CROQUIS_DATOS!$C$1481)-(0)&gt;0.5),(CROQUIS_DATOS!$C$1567+(IF(IF(MOD(MIN(INT(($A122-1)/2)+1,MAX(1,INT(((((CROQUIS_DATOS!$C$1479+CROQUIS_DATOS!$C$1480))-(CROQUIS_DATOS!$C$1479))+((CROQUIS_DATOS!$C$1481)*CROQUIS_DATOS!$C$1561-(0)*CROQUIS_DATOS!$C$1561))/CROQUIS_DATOS!$C$1568-0.000001))),2)=1,IF(INT(($A122-1)/2)+1&gt;MAX(1,INT(((((CROQUIS_DATOS!$C$1479+CROQUIS_DATOS!$C$1480))-(CROQUIS_DATOS!$C$1479))+((CROQUIS_DATOS!$C$1481)*CROQUIS_DATOS!$C$1561-(0)*CROQUIS_DATOS!$C$1561))/CROQUIS_DATOS!$C$1568-0.000001)),1,MOD($A122-1,2)),1-IF(INT(($A122-1)/2)+1&gt;MAX(1,INT(((((CROQUIS_DATOS!$C$1479+CROQUIS_DATOS!$C$1480))-(CROQUIS_DATOS!$C$1479))+((CROQUIS_DATOS!$C$1481)*CROQUIS_DATOS!$C$1561-(0)*CROQUIS_DATOS!$C$1561))/CROQUIS_DATOS!$C$1568-0.000001)),1,MOD($A122-1,2)))=1,MIN((CROQUIS_DATOS!$C$1481)*CROQUIS_DATOS!$C$1561,((CROQUIS_DATOS!$C$1479+CROQUIS_DATOS!$C$1480)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2">
        <f>IF(AND(CROQUIS_DATOS!$C$1472=1,CROQUIS_DATOS!$C$1478&gt;=1,((CROQUIS_DATOS!$C$1479+CROQUIS_DATOS!$C$1480))-(CROQUIS_DATOS!$C$1479)&gt;0.5,(CROQUIS_DATOS!$C$1476)-((CROQUIS_DATOS!$C$1481+CROQUIS_DATOS!$C$1482))&gt;0.5),(CROQUIS_DATOS!$C$1566+(IF(IF(MOD(MIN(INT(($A122-1)/2)+1,MAX(1,INT(((((CROQUIS_DATOS!$C$1479+CROQUIS_DATOS!$C$1480))-(CROQUIS_DATOS!$C$1479))+((CROQUIS_DATOS!$C$1476)*CROQUIS_DATOS!$C$1561-((CROQUIS_DATOS!$C$1481+CROQUIS_DATOS!$C$1482))*CROQUIS_DATOS!$C$1561))/CROQUIS_DATOS!$C$1568-0.000001))),2)=1,IF(INT(($A122-1)/2)+1&gt;MAX(1,INT(((((CROQUIS_DATOS!$C$1479+CROQUIS_DATOS!$C$1480))-(CROQUIS_DATOS!$C$1479))+((CROQUIS_DATOS!$C$1476)*CROQUIS_DATOS!$C$1561-((CROQUIS_DATOS!$C$1481+CROQUIS_DATOS!$C$1482))*CROQUIS_DATOS!$C$1561))/CROQUIS_DATOS!$C$1568-0.000001)),1,MOD($A122-1,2)),1-IF(INT(($A122-1)/2)+1&gt;MAX(1,INT(((((CROQUIS_DATOS!$C$1479+CROQUIS_DATOS!$C$1480))-(CROQUIS_DATOS!$C$1479))+((CROQUIS_DATOS!$C$1476)*CROQUIS_DATOS!$C$1561-((CROQUIS_DATOS!$C$1481+CROQUIS_DATOS!$C$1482))*CROQUIS_DATOS!$C$1561))/CROQUIS_DATOS!$C$1568-0.000001)),1,MOD($A122-1,2)))=1,MIN((CROQUIS_DATOS!$C$1476)*CROQUIS_DATOS!$C$1561,((CROQUIS_DATOS!$C$1479+CROQUIS_DATOS!$C$1480)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2">
        <f>IF(AND(CROQUIS_DATOS!$C$1472=1,CROQUIS_DATOS!$C$1478&gt;=1,((CROQUIS_DATOS!$C$1479+CROQUIS_DATOS!$C$1480))-(CROQUIS_DATOS!$C$1479)&gt;0.5,(CROQUIS_DATOS!$C$1476)-((CROQUIS_DATOS!$C$1481+CROQUIS_DATOS!$C$1482))&gt;0.5),(CROQUIS_DATOS!$C$1567+(IF(IF(MOD(MIN(INT(($A122-1)/2)+1,MAX(1,INT(((((CROQUIS_DATOS!$C$1479+CROQUIS_DATOS!$C$1480))-(CROQUIS_DATOS!$C$1479))+((CROQUIS_DATOS!$C$1476)*CROQUIS_DATOS!$C$1561-((CROQUIS_DATOS!$C$1481+CROQUIS_DATOS!$C$1482))*CROQUIS_DATOS!$C$1561))/CROQUIS_DATOS!$C$1568-0.000001))),2)=1,IF(INT(($A122-1)/2)+1&gt;MAX(1,INT(((((CROQUIS_DATOS!$C$1479+CROQUIS_DATOS!$C$1480))-(CROQUIS_DATOS!$C$1479))+((CROQUIS_DATOS!$C$1476)*CROQUIS_DATOS!$C$1561-((CROQUIS_DATOS!$C$1481+CROQUIS_DATOS!$C$1482))*CROQUIS_DATOS!$C$1561))/CROQUIS_DATOS!$C$1568-0.000001)),1,MOD($A122-1,2)),1-IF(INT(($A122-1)/2)+1&gt;MAX(1,INT(((((CROQUIS_DATOS!$C$1479+CROQUIS_DATOS!$C$1480))-(CROQUIS_DATOS!$C$1479))+((CROQUIS_DATOS!$C$1476)*CROQUIS_DATOS!$C$1561-((CROQUIS_DATOS!$C$1481+CROQUIS_DATOS!$C$1482))*CROQUIS_DATOS!$C$1561))/CROQUIS_DATOS!$C$1568-0.000001)),1,MOD($A122-1,2)))=1,MIN((CROQUIS_DATOS!$C$1476)*CROQUIS_DATOS!$C$1561,((CROQUIS_DATOS!$C$1479+CROQUIS_DATOS!$C$1480)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2">
        <f>IF(AND(CROQUIS_DATOS!$C$1472=1,CROQUIS_DATOS!$C$1478&gt;=2,((CROQUIS_DATOS!$C$1484+CROQUIS_DATOS!$C$1485))-(CROQUIS_DATOS!$C$1484)&gt;0.5,(CROQUIS_DATOS!$C$1486)-(0)&gt;0.5),(CROQUIS_DATOS!$C$1566+(IF(IF(MOD(MIN(INT(($A122-1)/2)+1,MAX(1,INT(((((CROQUIS_DATOS!$C$1484+CROQUIS_DATOS!$C$1485))-(CROQUIS_DATOS!$C$1484))+((CROQUIS_DATOS!$C$1486)*CROQUIS_DATOS!$C$1561-(0)*CROQUIS_DATOS!$C$1561))/CROQUIS_DATOS!$C$1568-0.000001))),2)=1,IF(INT(($A122-1)/2)+1&gt;MAX(1,INT(((((CROQUIS_DATOS!$C$1484+CROQUIS_DATOS!$C$1485))-(CROQUIS_DATOS!$C$1484))+((CROQUIS_DATOS!$C$1486)*CROQUIS_DATOS!$C$1561-(0)*CROQUIS_DATOS!$C$1561))/CROQUIS_DATOS!$C$1568-0.000001)),1,MOD($A122-1,2)),1-IF(INT(($A122-1)/2)+1&gt;MAX(1,INT(((((CROQUIS_DATOS!$C$1484+CROQUIS_DATOS!$C$1485))-(CROQUIS_DATOS!$C$1484))+((CROQUIS_DATOS!$C$1486)*CROQUIS_DATOS!$C$1561-(0)*CROQUIS_DATOS!$C$1561))/CROQUIS_DATOS!$C$1568-0.000001)),1,MOD($A122-1,2)))=1,MIN((CROQUIS_DATOS!$C$1486)*CROQUIS_DATOS!$C$1561,((CROQUIS_DATOS!$C$1484+CROQUIS_DATOS!$C$1485)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2">
        <f>IF(AND(CROQUIS_DATOS!$C$1472=1,CROQUIS_DATOS!$C$1478&gt;=2,((CROQUIS_DATOS!$C$1484+CROQUIS_DATOS!$C$1485))-(CROQUIS_DATOS!$C$1484)&gt;0.5,(CROQUIS_DATOS!$C$1486)-(0)&gt;0.5),(CROQUIS_DATOS!$C$1567+(IF(IF(MOD(MIN(INT(($A122-1)/2)+1,MAX(1,INT(((((CROQUIS_DATOS!$C$1484+CROQUIS_DATOS!$C$1485))-(CROQUIS_DATOS!$C$1484))+((CROQUIS_DATOS!$C$1486)*CROQUIS_DATOS!$C$1561-(0)*CROQUIS_DATOS!$C$1561))/CROQUIS_DATOS!$C$1568-0.000001))),2)=1,IF(INT(($A122-1)/2)+1&gt;MAX(1,INT(((((CROQUIS_DATOS!$C$1484+CROQUIS_DATOS!$C$1485))-(CROQUIS_DATOS!$C$1484))+((CROQUIS_DATOS!$C$1486)*CROQUIS_DATOS!$C$1561-(0)*CROQUIS_DATOS!$C$1561))/CROQUIS_DATOS!$C$1568-0.000001)),1,MOD($A122-1,2)),1-IF(INT(($A122-1)/2)+1&gt;MAX(1,INT(((((CROQUIS_DATOS!$C$1484+CROQUIS_DATOS!$C$1485))-(CROQUIS_DATOS!$C$1484))+((CROQUIS_DATOS!$C$1486)*CROQUIS_DATOS!$C$1561-(0)*CROQUIS_DATOS!$C$1561))/CROQUIS_DATOS!$C$1568-0.000001)),1,MOD($A122-1,2)))=1,MIN((CROQUIS_DATOS!$C$1486)*CROQUIS_DATOS!$C$1561,((CROQUIS_DATOS!$C$1484+CROQUIS_DATOS!$C$1485)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2">
        <f>IF(AND(CROQUIS_DATOS!$C$1472=1,CROQUIS_DATOS!$C$1478&gt;=2,((CROQUIS_DATOS!$C$1484+CROQUIS_DATOS!$C$1485))-(CROQUIS_DATOS!$C$1484)&gt;0.5,(CROQUIS_DATOS!$C$1476)-((CROQUIS_DATOS!$C$1486+CROQUIS_DATOS!$C$1487))&gt;0.5),(CROQUIS_DATOS!$C$1566+(IF(IF(MOD(MIN(INT(($A122-1)/2)+1,MAX(1,INT(((((CROQUIS_DATOS!$C$1484+CROQUIS_DATOS!$C$1485))-(CROQUIS_DATOS!$C$1484))+((CROQUIS_DATOS!$C$1476)*CROQUIS_DATOS!$C$1561-((CROQUIS_DATOS!$C$1486+CROQUIS_DATOS!$C$1487))*CROQUIS_DATOS!$C$1561))/CROQUIS_DATOS!$C$1568-0.000001))),2)=1,IF(INT(($A122-1)/2)+1&gt;MAX(1,INT(((((CROQUIS_DATOS!$C$1484+CROQUIS_DATOS!$C$1485))-(CROQUIS_DATOS!$C$1484))+((CROQUIS_DATOS!$C$1476)*CROQUIS_DATOS!$C$1561-((CROQUIS_DATOS!$C$1486+CROQUIS_DATOS!$C$1487))*CROQUIS_DATOS!$C$1561))/CROQUIS_DATOS!$C$1568-0.000001)),1,MOD($A122-1,2)),1-IF(INT(($A122-1)/2)+1&gt;MAX(1,INT(((((CROQUIS_DATOS!$C$1484+CROQUIS_DATOS!$C$1485))-(CROQUIS_DATOS!$C$1484))+((CROQUIS_DATOS!$C$1476)*CROQUIS_DATOS!$C$1561-((CROQUIS_DATOS!$C$1486+CROQUIS_DATOS!$C$1487))*CROQUIS_DATOS!$C$1561))/CROQUIS_DATOS!$C$1568-0.000001)),1,MOD($A122-1,2)))=1,MIN((CROQUIS_DATOS!$C$1476)*CROQUIS_DATOS!$C$1561,((CROQUIS_DATOS!$C$1484+CROQUIS_DATOS!$C$1485)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2">
        <f>IF(AND(CROQUIS_DATOS!$C$1472=1,CROQUIS_DATOS!$C$1478&gt;=2,((CROQUIS_DATOS!$C$1484+CROQUIS_DATOS!$C$1485))-(CROQUIS_DATOS!$C$1484)&gt;0.5,(CROQUIS_DATOS!$C$1476)-((CROQUIS_DATOS!$C$1486+CROQUIS_DATOS!$C$1487))&gt;0.5),(CROQUIS_DATOS!$C$1567+(IF(IF(MOD(MIN(INT(($A122-1)/2)+1,MAX(1,INT(((((CROQUIS_DATOS!$C$1484+CROQUIS_DATOS!$C$1485))-(CROQUIS_DATOS!$C$1484))+((CROQUIS_DATOS!$C$1476)*CROQUIS_DATOS!$C$1561-((CROQUIS_DATOS!$C$1486+CROQUIS_DATOS!$C$1487))*CROQUIS_DATOS!$C$1561))/CROQUIS_DATOS!$C$1568-0.000001))),2)=1,IF(INT(($A122-1)/2)+1&gt;MAX(1,INT(((((CROQUIS_DATOS!$C$1484+CROQUIS_DATOS!$C$1485))-(CROQUIS_DATOS!$C$1484))+((CROQUIS_DATOS!$C$1476)*CROQUIS_DATOS!$C$1561-((CROQUIS_DATOS!$C$1486+CROQUIS_DATOS!$C$1487))*CROQUIS_DATOS!$C$1561))/CROQUIS_DATOS!$C$1568-0.000001)),1,MOD($A122-1,2)),1-IF(INT(($A122-1)/2)+1&gt;MAX(1,INT(((((CROQUIS_DATOS!$C$1484+CROQUIS_DATOS!$C$1485))-(CROQUIS_DATOS!$C$1484))+((CROQUIS_DATOS!$C$1476)*CROQUIS_DATOS!$C$1561-((CROQUIS_DATOS!$C$1486+CROQUIS_DATOS!$C$1487))*CROQUIS_DATOS!$C$1561))/CROQUIS_DATOS!$C$1568-0.000001)),1,MOD($A122-1,2)))=1,MIN((CROQUIS_DATOS!$C$1476)*CROQUIS_DATOS!$C$1561,((CROQUIS_DATOS!$C$1484+CROQUIS_DATOS!$C$1485)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2">
        <f>IF(AND(CROQUIS_DATOS!$C$1472=1,CROQUIS_DATOS!$C$1478&gt;=3,((CROQUIS_DATOS!$C$1489+CROQUIS_DATOS!$C$1490))-(CROQUIS_DATOS!$C$1489)&gt;0.5,(CROQUIS_DATOS!$C$1491)-(0)&gt;0.5),(CROQUIS_DATOS!$C$1566+(IF(IF(MOD(MIN(INT(($A122-1)/2)+1,MAX(1,INT(((((CROQUIS_DATOS!$C$1489+CROQUIS_DATOS!$C$1490))-(CROQUIS_DATOS!$C$1489))+((CROQUIS_DATOS!$C$1491)*CROQUIS_DATOS!$C$1561-(0)*CROQUIS_DATOS!$C$1561))/CROQUIS_DATOS!$C$1568-0.000001))),2)=1,IF(INT(($A122-1)/2)+1&gt;MAX(1,INT(((((CROQUIS_DATOS!$C$1489+CROQUIS_DATOS!$C$1490))-(CROQUIS_DATOS!$C$1489))+((CROQUIS_DATOS!$C$1491)*CROQUIS_DATOS!$C$1561-(0)*CROQUIS_DATOS!$C$1561))/CROQUIS_DATOS!$C$1568-0.000001)),1,MOD($A122-1,2)),1-IF(INT(($A122-1)/2)+1&gt;MAX(1,INT(((((CROQUIS_DATOS!$C$1489+CROQUIS_DATOS!$C$1490))-(CROQUIS_DATOS!$C$1489))+((CROQUIS_DATOS!$C$1491)*CROQUIS_DATOS!$C$1561-(0)*CROQUIS_DATOS!$C$1561))/CROQUIS_DATOS!$C$1568-0.000001)),1,MOD($A122-1,2)))=1,MIN((CROQUIS_DATOS!$C$1491)*CROQUIS_DATOS!$C$1561,((CROQUIS_DATOS!$C$1489+CROQUIS_DATOS!$C$1490)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2">
        <f>IF(AND(CROQUIS_DATOS!$C$1472=1,CROQUIS_DATOS!$C$1478&gt;=3,((CROQUIS_DATOS!$C$1489+CROQUIS_DATOS!$C$1490))-(CROQUIS_DATOS!$C$1489)&gt;0.5,(CROQUIS_DATOS!$C$1491)-(0)&gt;0.5),(CROQUIS_DATOS!$C$1567+(IF(IF(MOD(MIN(INT(($A122-1)/2)+1,MAX(1,INT(((((CROQUIS_DATOS!$C$1489+CROQUIS_DATOS!$C$1490))-(CROQUIS_DATOS!$C$1489))+((CROQUIS_DATOS!$C$1491)*CROQUIS_DATOS!$C$1561-(0)*CROQUIS_DATOS!$C$1561))/CROQUIS_DATOS!$C$1568-0.000001))),2)=1,IF(INT(($A122-1)/2)+1&gt;MAX(1,INT(((((CROQUIS_DATOS!$C$1489+CROQUIS_DATOS!$C$1490))-(CROQUIS_DATOS!$C$1489))+((CROQUIS_DATOS!$C$1491)*CROQUIS_DATOS!$C$1561-(0)*CROQUIS_DATOS!$C$1561))/CROQUIS_DATOS!$C$1568-0.000001)),1,MOD($A122-1,2)),1-IF(INT(($A122-1)/2)+1&gt;MAX(1,INT(((((CROQUIS_DATOS!$C$1489+CROQUIS_DATOS!$C$1490))-(CROQUIS_DATOS!$C$1489))+((CROQUIS_DATOS!$C$1491)*CROQUIS_DATOS!$C$1561-(0)*CROQUIS_DATOS!$C$1561))/CROQUIS_DATOS!$C$1568-0.000001)),1,MOD($A122-1,2)))=1,MIN((CROQUIS_DATOS!$C$1491)*CROQUIS_DATOS!$C$1561,((CROQUIS_DATOS!$C$1489+CROQUIS_DATOS!$C$1490)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2">
        <f>IF(AND(CROQUIS_DATOS!$C$1472=1,CROQUIS_DATOS!$C$1478&gt;=3,((CROQUIS_DATOS!$C$1489+CROQUIS_DATOS!$C$1490))-(CROQUIS_DATOS!$C$1489)&gt;0.5,(CROQUIS_DATOS!$C$1476)-((CROQUIS_DATOS!$C$1491+CROQUIS_DATOS!$C$1492))&gt;0.5),(CROQUIS_DATOS!$C$1566+(IF(IF(MOD(MIN(INT(($A122-1)/2)+1,MAX(1,INT(((((CROQUIS_DATOS!$C$1489+CROQUIS_DATOS!$C$1490))-(CROQUIS_DATOS!$C$1489))+((CROQUIS_DATOS!$C$1476)*CROQUIS_DATOS!$C$1561-((CROQUIS_DATOS!$C$1491+CROQUIS_DATOS!$C$1492))*CROQUIS_DATOS!$C$1561))/CROQUIS_DATOS!$C$1568-0.000001))),2)=1,IF(INT(($A122-1)/2)+1&gt;MAX(1,INT(((((CROQUIS_DATOS!$C$1489+CROQUIS_DATOS!$C$1490))-(CROQUIS_DATOS!$C$1489))+((CROQUIS_DATOS!$C$1476)*CROQUIS_DATOS!$C$1561-((CROQUIS_DATOS!$C$1491+CROQUIS_DATOS!$C$1492))*CROQUIS_DATOS!$C$1561))/CROQUIS_DATOS!$C$1568-0.000001)),1,MOD($A122-1,2)),1-IF(INT(($A122-1)/2)+1&gt;MAX(1,INT(((((CROQUIS_DATOS!$C$1489+CROQUIS_DATOS!$C$1490))-(CROQUIS_DATOS!$C$1489))+((CROQUIS_DATOS!$C$1476)*CROQUIS_DATOS!$C$1561-((CROQUIS_DATOS!$C$1491+CROQUIS_DATOS!$C$1492))*CROQUIS_DATOS!$C$1561))/CROQUIS_DATOS!$C$1568-0.000001)),1,MOD($A122-1,2)))=1,MIN((CROQUIS_DATOS!$C$1476)*CROQUIS_DATOS!$C$1561,((CROQUIS_DATOS!$C$1489+CROQUIS_DATOS!$C$1490)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2">
        <f>IF(AND(CROQUIS_DATOS!$C$1472=1,CROQUIS_DATOS!$C$1478&gt;=3,((CROQUIS_DATOS!$C$1489+CROQUIS_DATOS!$C$1490))-(CROQUIS_DATOS!$C$1489)&gt;0.5,(CROQUIS_DATOS!$C$1476)-((CROQUIS_DATOS!$C$1491+CROQUIS_DATOS!$C$1492))&gt;0.5),(CROQUIS_DATOS!$C$1567+(IF(IF(MOD(MIN(INT(($A122-1)/2)+1,MAX(1,INT(((((CROQUIS_DATOS!$C$1489+CROQUIS_DATOS!$C$1490))-(CROQUIS_DATOS!$C$1489))+((CROQUIS_DATOS!$C$1476)*CROQUIS_DATOS!$C$1561-((CROQUIS_DATOS!$C$1491+CROQUIS_DATOS!$C$1492))*CROQUIS_DATOS!$C$1561))/CROQUIS_DATOS!$C$1568-0.000001))),2)=1,IF(INT(($A122-1)/2)+1&gt;MAX(1,INT(((((CROQUIS_DATOS!$C$1489+CROQUIS_DATOS!$C$1490))-(CROQUIS_DATOS!$C$1489))+((CROQUIS_DATOS!$C$1476)*CROQUIS_DATOS!$C$1561-((CROQUIS_DATOS!$C$1491+CROQUIS_DATOS!$C$1492))*CROQUIS_DATOS!$C$1561))/CROQUIS_DATOS!$C$1568-0.000001)),1,MOD($A122-1,2)),1-IF(INT(($A122-1)/2)+1&gt;MAX(1,INT(((((CROQUIS_DATOS!$C$1489+CROQUIS_DATOS!$C$1490))-(CROQUIS_DATOS!$C$1489))+((CROQUIS_DATOS!$C$1476)*CROQUIS_DATOS!$C$1561-((CROQUIS_DATOS!$C$1491+CROQUIS_DATOS!$C$1492))*CROQUIS_DATOS!$C$1561))/CROQUIS_DATOS!$C$1568-0.000001)),1,MOD($A122-1,2)))=1,MIN((CROQUIS_DATOS!$C$1476)*CROQUIS_DATOS!$C$1561,((CROQUIS_DATOS!$C$1489+CROQUIS_DATOS!$C$1490)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2">
        <f>IF(AND(CROQUIS_DATOS!$C$1472=1,CROQUIS_DATOS!$C$1478&gt;=4,((CROQUIS_DATOS!$C$1494+CROQUIS_DATOS!$C$1495))-(CROQUIS_DATOS!$C$1494)&gt;0.5,(CROQUIS_DATOS!$C$1496)-(0)&gt;0.5),(CROQUIS_DATOS!$C$1566+(IF(IF(MOD(MIN(INT(($A122-1)/2)+1,MAX(1,INT(((((CROQUIS_DATOS!$C$1494+CROQUIS_DATOS!$C$1495))-(CROQUIS_DATOS!$C$1494))+((CROQUIS_DATOS!$C$1496)*CROQUIS_DATOS!$C$1561-(0)*CROQUIS_DATOS!$C$1561))/CROQUIS_DATOS!$C$1568-0.000001))),2)=1,IF(INT(($A122-1)/2)+1&gt;MAX(1,INT(((((CROQUIS_DATOS!$C$1494+CROQUIS_DATOS!$C$1495))-(CROQUIS_DATOS!$C$1494))+((CROQUIS_DATOS!$C$1496)*CROQUIS_DATOS!$C$1561-(0)*CROQUIS_DATOS!$C$1561))/CROQUIS_DATOS!$C$1568-0.000001)),1,MOD($A122-1,2)),1-IF(INT(($A122-1)/2)+1&gt;MAX(1,INT(((((CROQUIS_DATOS!$C$1494+CROQUIS_DATOS!$C$1495))-(CROQUIS_DATOS!$C$1494))+((CROQUIS_DATOS!$C$1496)*CROQUIS_DATOS!$C$1561-(0)*CROQUIS_DATOS!$C$1561))/CROQUIS_DATOS!$C$1568-0.000001)),1,MOD($A122-1,2)))=1,MIN((CROQUIS_DATOS!$C$1496)*CROQUIS_DATOS!$C$1561,((CROQUIS_DATOS!$C$1494+CROQUIS_DATOS!$C$1495)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2">
        <f>IF(AND(CROQUIS_DATOS!$C$1472=1,CROQUIS_DATOS!$C$1478&gt;=4,((CROQUIS_DATOS!$C$1494+CROQUIS_DATOS!$C$1495))-(CROQUIS_DATOS!$C$1494)&gt;0.5,(CROQUIS_DATOS!$C$1496)-(0)&gt;0.5),(CROQUIS_DATOS!$C$1567+(IF(IF(MOD(MIN(INT(($A122-1)/2)+1,MAX(1,INT(((((CROQUIS_DATOS!$C$1494+CROQUIS_DATOS!$C$1495))-(CROQUIS_DATOS!$C$1494))+((CROQUIS_DATOS!$C$1496)*CROQUIS_DATOS!$C$1561-(0)*CROQUIS_DATOS!$C$1561))/CROQUIS_DATOS!$C$1568-0.000001))),2)=1,IF(INT(($A122-1)/2)+1&gt;MAX(1,INT(((((CROQUIS_DATOS!$C$1494+CROQUIS_DATOS!$C$1495))-(CROQUIS_DATOS!$C$1494))+((CROQUIS_DATOS!$C$1496)*CROQUIS_DATOS!$C$1561-(0)*CROQUIS_DATOS!$C$1561))/CROQUIS_DATOS!$C$1568-0.000001)),1,MOD($A122-1,2)),1-IF(INT(($A122-1)/2)+1&gt;MAX(1,INT(((((CROQUIS_DATOS!$C$1494+CROQUIS_DATOS!$C$1495))-(CROQUIS_DATOS!$C$1494))+((CROQUIS_DATOS!$C$1496)*CROQUIS_DATOS!$C$1561-(0)*CROQUIS_DATOS!$C$1561))/CROQUIS_DATOS!$C$1568-0.000001)),1,MOD($A122-1,2)))=1,MIN((CROQUIS_DATOS!$C$1496)*CROQUIS_DATOS!$C$1561,((CROQUIS_DATOS!$C$1494+CROQUIS_DATOS!$C$1495)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2">
        <f>IF(AND(CROQUIS_DATOS!$C$1472=1,CROQUIS_DATOS!$C$1478&gt;=4,((CROQUIS_DATOS!$C$1494+CROQUIS_DATOS!$C$1495))-(CROQUIS_DATOS!$C$1494)&gt;0.5,(CROQUIS_DATOS!$C$1476)-((CROQUIS_DATOS!$C$1496+CROQUIS_DATOS!$C$1497))&gt;0.5),(CROQUIS_DATOS!$C$1566+(IF(IF(MOD(MIN(INT(($A122-1)/2)+1,MAX(1,INT(((((CROQUIS_DATOS!$C$1494+CROQUIS_DATOS!$C$1495))-(CROQUIS_DATOS!$C$1494))+((CROQUIS_DATOS!$C$1476)*CROQUIS_DATOS!$C$1561-((CROQUIS_DATOS!$C$1496+CROQUIS_DATOS!$C$1497))*CROQUIS_DATOS!$C$1561))/CROQUIS_DATOS!$C$1568-0.000001))),2)=1,IF(INT(($A122-1)/2)+1&gt;MAX(1,INT(((((CROQUIS_DATOS!$C$1494+CROQUIS_DATOS!$C$1495))-(CROQUIS_DATOS!$C$1494))+((CROQUIS_DATOS!$C$1476)*CROQUIS_DATOS!$C$1561-((CROQUIS_DATOS!$C$1496+CROQUIS_DATOS!$C$1497))*CROQUIS_DATOS!$C$1561))/CROQUIS_DATOS!$C$1568-0.000001)),1,MOD($A122-1,2)),1-IF(INT(($A122-1)/2)+1&gt;MAX(1,INT(((((CROQUIS_DATOS!$C$1494+CROQUIS_DATOS!$C$1495))-(CROQUIS_DATOS!$C$1494))+((CROQUIS_DATOS!$C$1476)*CROQUIS_DATOS!$C$1561-((CROQUIS_DATOS!$C$1496+CROQUIS_DATOS!$C$1497))*CROQUIS_DATOS!$C$1561))/CROQUIS_DATOS!$C$1568-0.000001)),1,MOD($A122-1,2)))=1,MIN((CROQUIS_DATOS!$C$1476)*CROQUIS_DATOS!$C$1561,((CROQUIS_DATOS!$C$1494+CROQUIS_DATOS!$C$1495)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2">
        <f>IF(AND(CROQUIS_DATOS!$C$1472=1,CROQUIS_DATOS!$C$1478&gt;=4,((CROQUIS_DATOS!$C$1494+CROQUIS_DATOS!$C$1495))-(CROQUIS_DATOS!$C$1494)&gt;0.5,(CROQUIS_DATOS!$C$1476)-((CROQUIS_DATOS!$C$1496+CROQUIS_DATOS!$C$1497))&gt;0.5),(CROQUIS_DATOS!$C$1567+(IF(IF(MOD(MIN(INT(($A122-1)/2)+1,MAX(1,INT(((((CROQUIS_DATOS!$C$1494+CROQUIS_DATOS!$C$1495))-(CROQUIS_DATOS!$C$1494))+((CROQUIS_DATOS!$C$1476)*CROQUIS_DATOS!$C$1561-((CROQUIS_DATOS!$C$1496+CROQUIS_DATOS!$C$1497))*CROQUIS_DATOS!$C$1561))/CROQUIS_DATOS!$C$1568-0.000001))),2)=1,IF(INT(($A122-1)/2)+1&gt;MAX(1,INT(((((CROQUIS_DATOS!$C$1494+CROQUIS_DATOS!$C$1495))-(CROQUIS_DATOS!$C$1494))+((CROQUIS_DATOS!$C$1476)*CROQUIS_DATOS!$C$1561-((CROQUIS_DATOS!$C$1496+CROQUIS_DATOS!$C$1497))*CROQUIS_DATOS!$C$1561))/CROQUIS_DATOS!$C$1568-0.000001)),1,MOD($A122-1,2)),1-IF(INT(($A122-1)/2)+1&gt;MAX(1,INT(((((CROQUIS_DATOS!$C$1494+CROQUIS_DATOS!$C$1495))-(CROQUIS_DATOS!$C$1494))+((CROQUIS_DATOS!$C$1476)*CROQUIS_DATOS!$C$1561-((CROQUIS_DATOS!$C$1496+CROQUIS_DATOS!$C$1497))*CROQUIS_DATOS!$C$1561))/CROQUIS_DATOS!$C$1568-0.000001)),1,MOD($A122-1,2)))=1,MIN((CROQUIS_DATOS!$C$1476)*CROQUIS_DATOS!$C$1561,((CROQUIS_DATOS!$C$1494+CROQUIS_DATOS!$C$1495)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3">
      <c r="A123" t="n">
        <v>116</v>
      </c>
      <c r="N123">
        <f>IF(AND(CROQUIS_DATOS!$C$1472=1,1),(CROQUIS_DATOS!$C$1563+(IF(IF(IF(INT(($A123-1)/70)+1&gt;CROQUIS_DATOS!$C$1525,70,MOD($A123-1,70)+1)=1,0,IF(IF(INT(($A123-1)/70)+1&gt;CROQUIS_DATOS!$C$1525,70,MOD($A123-1,70)+1)&gt;2*CROQUIS_DATOS!$C$1541+1,IF(MOD(CROQUIS_DATOS!$C$1541,2)=1,1,0),IF(MOD(MIN(INT((IF(INT(($A123-1)/70)+1&gt;CROQUIS_DATOS!$C$1525,70,MOD($A123-1,70)+1)-2)/2)+1,CROQUIS_DATOS!$C$1541),2)=1,IF(MOD(IF(INT(($A123-1)/70)+1&gt;CROQUIS_DATOS!$C$1525,70,MOD($A123-1,70)+1)-2,2)=0,0,1),IF(MOD(IF(INT(($A123-1)/70)+1&gt;CROQUIS_DATOS!$C$1525,70,MOD($A123-1,70)+1)-2,2)=0,1,0))))=0,(INDEX($E$8:$E$23,MIN(INT(($A123-1)/70)+1,CROQUIS_DATOS!$C$1525))-INDEX($F$8:$F$23,MIN(INT(($A123-1)/70)+1,CROQUIS_DATOS!$C$1525))/2),(INDEX($E$8:$E$23,MIN(INT(($A123-1)/70)+1,CROQUIS_DATOS!$C$1525))+INDEX($F$8:$F$23,MIN(INT(($A123-1)/70)+1,CROQUIS_DATOS!$C$1525))/2)))*CROQUIS_DATOS!$C$1562),-1000)</f>
        <v>18.5775862068965</v>
      </c>
      <c r="O123">
        <f>IF(AND(CROQUIS_DATOS!$C$1472=1,1),(CROQUIS_DATOS!$C$1564+(IF(OR(IF(INT(($A123-1)/70)+1&gt;CROQUIS_DATOS!$C$1525,70,MOD($A123-1,70)+1)=1,IF(INT(($A123-1)/70)+1&gt;CROQUIS_DATOS!$C$1525,70,MOD($A123-1,70)+1)&gt;2*CROQUIS_DATOS!$C$1541+1),CROQUIS_DATOS!$C$1476,INDEX($H$8:$H$41,MIN(INT((IF(INT(($A123-1)/70)+1&gt;CROQUIS_DATOS!$C$1525,70,MOD($A123-1,70)+1)-2)/2)+1,CROQUIS_DATOS!$C$1541))))*CROQUIS_DATOS!$C$1561*CROQUIS_DATOS!$C$1562),-1000)</f>
        <v>40.2068965517241</v>
      </c>
      <c r="P123">
        <f>IF(AND(CROQUIS_DATOS!$C$1472=1,CROQUIS_DATOS!$C$1555=1),(CROQUIS_DATOS!$C$1563+(IF(IF(OR(MOD($A123-1,62)+1=1,IF(CHOOSE(MIN(MAX(MIN(INT(($A123-1)/62)+1,5),1),5),CROQUIS_DATOS!$C$1501,CROQUIS_DATOS!$C$1505,CROQUIS_DATOS!$C$1509,CROQUIS_DATOS!$C$1513,CROQUIS_DATOS!$C$1517)=1,CROQUIS_DATOS!$C$1557,0)=0),0,IF(MOD($A123-1,62)+1&gt;2*IF(CHOOSE(MIN(MAX(MIN(INT(($A123-1)/62)+1,5),1),5),CROQUIS_DATOS!$C$1501,CROQUIS_DATOS!$C$1505,CROQUIS_DATOS!$C$1509,CROQUIS_DATOS!$C$1513,CROQUIS_DATOS!$C$1517)=1,CROQUIS_DATOS!$C$1557,0)+1,IF(MOD(IF(CHOOSE(MIN(MAX(MIN(INT(($A123-1)/62)+1,5),1),5),CROQUIS_DATOS!$C$1501,CROQUIS_DATOS!$C$1505,CROQUIS_DATOS!$C$1509,CROQUIS_DATOS!$C$1513,CROQUIS_DATOS!$C$1517)=1,CROQUIS_DATOS!$C$1557,0),2)=1,1,0),IF(MOD(MIN(INT((MOD($A123-1,62)+1-2)/2)+1,MAX(IF(CHOOSE(MIN(MAX(MIN(INT(($A123-1)/62)+1,5),1),5),CROQUIS_DATOS!$C$1501,CROQUIS_DATOS!$C$1505,CROQUIS_DATOS!$C$1509,CROQUIS_DATOS!$C$1513,CROQUIS_DATOS!$C$1517)=1,CROQUIS_DATOS!$C$1557,0),1)),2)=1,IF(MOD(MOD($A123-1,62)+1-2,2)=0,0,1),IF(MOD(MOD($A123-1,62)+1-2,2)=0,1,0))))=0,(CHOOSE(MIN(MAX(MIN(INT(($A123-1)/62)+1,5),1),5),CROQUIS_DATOS!$C$1499,CROQUIS_DATOS!$C$1503,CROQUIS_DATOS!$C$1507,CROQUIS_DATOS!$C$1511,CROQUIS_DATOS!$C$1515)+IF(CHOOSE(MIN(MAX(MIN(INT(($A123-1)/62)+1,5),1),5),CROQUIS_DATOS!$C$1501,CROQUIS_DATOS!$C$1505,CROQUIS_DATOS!$C$1509,CROQUIS_DATOS!$C$1513,CROQUIS_DATOS!$C$1517)=1,CROQUIS_DATOS!$C$1526,0)),(CHOOSE(MIN(MAX(MIN(INT(($A123-1)/62)+1,5),1),5),CROQUIS_DATOS!$C$1499,CROQUIS_DATOS!$C$1503,CROQUIS_DATOS!$C$1507,CROQUIS_DATOS!$C$1511,CROQUIS_DATOS!$C$1515)+CHOOSE(MIN(MAX(MIN(INT(($A123-1)/62)+1,5),1),5),CROQUIS_DATOS!$C$1500,CROQUIS_DATOS!$C$1504,CROQUIS_DATOS!$C$1508,CROQUIS_DATOS!$C$1512,CROQUIS_DATOS!$C$1516)-IF(CHOOSE(MIN(MAX(MIN(INT(($A123-1)/62)+1,5),1),5),CROQUIS_DATOS!$C$1501,CROQUIS_DATOS!$C$1505,CROQUIS_DATOS!$C$1509,CROQUIS_DATOS!$C$1513,CROQUIS_DATOS!$C$1517)=1,CROQUIS_DATOS!$C$1526,0))))*CROQUIS_DATOS!$C$1562),-1000)</f>
        <v>-1000</v>
      </c>
      <c r="Q123">
        <f>IF(AND(CROQUIS_DATOS!$C$1472=1,CROQUIS_DATOS!$C$1555=1),(CROQUIS_DATOS!$C$1564+(IF(OR(OR(MOD($A123-1,62)+1=1,IF(CHOOSE(MIN(MAX(MIN(INT(($A123-1)/62)+1,5),1),5),CROQUIS_DATOS!$C$1501,CROQUIS_DATOS!$C$1505,CROQUIS_DATOS!$C$1509,CROQUIS_DATOS!$C$1513,CROQUIS_DATOS!$C$1517)=1,CROQUIS_DATOS!$C$1557,0)=0),MOD($A123-1,62)+1&gt;2*IF(CHOOSE(MIN(MAX(MIN(INT(($A123-1)/62)+1,5),1),5),CROQUIS_DATOS!$C$1501,CROQUIS_DATOS!$C$1505,CROQUIS_DATOS!$C$1509,CROQUIS_DATOS!$C$1513,CROQUIS_DATOS!$C$1517)=1,CROQUIS_DATOS!$C$1557,0)+1),CROQUIS_DATOS!$C$1476,MIN(INT((MOD($A123-1,62)+1-2)/2)+1,MAX(IF(CHOOSE(MIN(MAX(MIN(INT(($A123-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3">
        <f>IF(AND(CROQUIS_DATOS!$C$1472=1,1),(CROQUIS_DATOS!$C$1563+(MIN(INT(($A123-1)/2)+1,CROQUIS_DATOS!$C$1558)*CROQUIS_DATOS!$C$1559)*CROQUIS_DATOS!$C$1562),-1000)</f>
        <v>82.2281167108753</v>
      </c>
      <c r="U123">
        <f>IF(AND(CROQUIS_DATOS!$C$1472=1,1),(CROQUIS_DATOS!$C$1564+(IF(INT(($A123-1)/2)+1&gt;CROQUIS_DATOS!$C$1558,IF(MOD(CROQUIS_DATOS!$C$1558,2)=1,CROQUIS_DATOS!$C$1476+CROQUIS_DATOS!$C$1528,CROQUIS_DATOS!$C$1476),IF(IF(MOD(MIN(INT(($A123-1)/2)+1,CROQUIS_DATOS!$C$1558),2)=1,MOD($A123-1,2),1-MOD($A123-1,2))=1,CROQUIS_DATOS!$C$1476+CROQUIS_DATOS!$C$1528,CROQUIS_DATOS!$C$1476)))*CROQUIS_DATOS!$C$1561*CROQUIS_DATOS!$C$1562),-1000)</f>
        <v>43</v>
      </c>
      <c r="BZ123">
        <f>IF(AND(CROQUIS_DATOS!$C$1472=1,CROQUIS_DATOS!$C$1500&gt;0,((CROQUIS_DATOS!$C$1499+CROQUIS_DATOS!$C$1500))-(CROQUIS_DATOS!$C$1499)&gt;0.5,(CROQUIS_DATOS!$C$1476)-(0)&gt;0.5),(CROQUIS_DATOS!$C$1566+(IF(IF(MOD(MIN(INT(($A123-1)/2)+1,MAX(1,INT(((((CROQUIS_DATOS!$C$1499+CROQUIS_DATOS!$C$1500))-(CROQUIS_DATOS!$C$1499))+((CROQUIS_DATOS!$C$1476)*CROQUIS_DATOS!$C$1561-(0)*CROQUIS_DATOS!$C$1561))/CROQUIS_DATOS!$C$1568-0.000001))),2)=1,IF(INT(($A123-1)/2)+1&gt;MAX(1,INT(((((CROQUIS_DATOS!$C$1499+CROQUIS_DATOS!$C$1500))-(CROQUIS_DATOS!$C$1499))+((CROQUIS_DATOS!$C$1476)*CROQUIS_DATOS!$C$1561-(0)*CROQUIS_DATOS!$C$1561))/CROQUIS_DATOS!$C$1568-0.000001)),1,MOD($A123-1,2)),1-IF(INT(($A123-1)/2)+1&gt;MAX(1,INT(((((CROQUIS_DATOS!$C$1499+CROQUIS_DATOS!$C$1500))-(CROQUIS_DATOS!$C$1499))+((CROQUIS_DATOS!$C$1476)*CROQUIS_DATOS!$C$1561-(0)*CROQUIS_DATOS!$C$1561))/CROQUIS_DATOS!$C$1568-0.000001)),1,MOD($A123-1,2)))=1,MIN((CROQUIS_DATOS!$C$1476)*CROQUIS_DATOS!$C$1561,((CROQUIS_DATOS!$C$1499+CROQUIS_DATOS!$C$1500)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3">
        <f>IF(AND(CROQUIS_DATOS!$C$1472=1,CROQUIS_DATOS!$C$1500&gt;0,((CROQUIS_DATOS!$C$1499+CROQUIS_DATOS!$C$1500))-(CROQUIS_DATOS!$C$1499)&gt;0.5,(CROQUIS_DATOS!$C$1476)-(0)&gt;0.5),(CROQUIS_DATOS!$C$1567+(IF(IF(MOD(MIN(INT(($A123-1)/2)+1,MAX(1,INT(((((CROQUIS_DATOS!$C$1499+CROQUIS_DATOS!$C$1500))-(CROQUIS_DATOS!$C$1499))+((CROQUIS_DATOS!$C$1476)*CROQUIS_DATOS!$C$1561-(0)*CROQUIS_DATOS!$C$1561))/CROQUIS_DATOS!$C$1568-0.000001))),2)=1,IF(INT(($A123-1)/2)+1&gt;MAX(1,INT(((((CROQUIS_DATOS!$C$1499+CROQUIS_DATOS!$C$1500))-(CROQUIS_DATOS!$C$1499))+((CROQUIS_DATOS!$C$1476)*CROQUIS_DATOS!$C$1561-(0)*CROQUIS_DATOS!$C$1561))/CROQUIS_DATOS!$C$1568-0.000001)),1,MOD($A123-1,2)),1-IF(INT(($A123-1)/2)+1&gt;MAX(1,INT(((((CROQUIS_DATOS!$C$1499+CROQUIS_DATOS!$C$1500))-(CROQUIS_DATOS!$C$1499))+((CROQUIS_DATOS!$C$1476)*CROQUIS_DATOS!$C$1561-(0)*CROQUIS_DATOS!$C$1561))/CROQUIS_DATOS!$C$1568-0.000001)),1,MOD($A123-1,2)))=1,MIN((CROQUIS_DATOS!$C$1476)*CROQUIS_DATOS!$C$1561,((CROQUIS_DATOS!$C$1499+CROQUIS_DATOS!$C$1500)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3">
        <f>IF(AND(CROQUIS_DATOS!$C$1472=1,CROQUIS_DATOS!$C$1504&gt;0,((CROQUIS_DATOS!$C$1503+CROQUIS_DATOS!$C$1504))-(CROQUIS_DATOS!$C$1503)&gt;0.5,(CROQUIS_DATOS!$C$1476)-(0)&gt;0.5),(CROQUIS_DATOS!$C$1566+(IF(IF(MOD(MIN(INT(($A123-1)/2)+1,MAX(1,INT(((((CROQUIS_DATOS!$C$1503+CROQUIS_DATOS!$C$1504))-(CROQUIS_DATOS!$C$1503))+((CROQUIS_DATOS!$C$1476)*CROQUIS_DATOS!$C$1561-(0)*CROQUIS_DATOS!$C$1561))/CROQUIS_DATOS!$C$1568-0.000001))),2)=1,IF(INT(($A123-1)/2)+1&gt;MAX(1,INT(((((CROQUIS_DATOS!$C$1503+CROQUIS_DATOS!$C$1504))-(CROQUIS_DATOS!$C$1503))+((CROQUIS_DATOS!$C$1476)*CROQUIS_DATOS!$C$1561-(0)*CROQUIS_DATOS!$C$1561))/CROQUIS_DATOS!$C$1568-0.000001)),1,MOD($A123-1,2)),1-IF(INT(($A123-1)/2)+1&gt;MAX(1,INT(((((CROQUIS_DATOS!$C$1503+CROQUIS_DATOS!$C$1504))-(CROQUIS_DATOS!$C$1503))+((CROQUIS_DATOS!$C$1476)*CROQUIS_DATOS!$C$1561-(0)*CROQUIS_DATOS!$C$1561))/CROQUIS_DATOS!$C$1568-0.000001)),1,MOD($A123-1,2)))=1,MIN((CROQUIS_DATOS!$C$1476)*CROQUIS_DATOS!$C$1561,((CROQUIS_DATOS!$C$1503+CROQUIS_DATOS!$C$1504)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3">
        <f>IF(AND(CROQUIS_DATOS!$C$1472=1,CROQUIS_DATOS!$C$1504&gt;0,((CROQUIS_DATOS!$C$1503+CROQUIS_DATOS!$C$1504))-(CROQUIS_DATOS!$C$1503)&gt;0.5,(CROQUIS_DATOS!$C$1476)-(0)&gt;0.5),(CROQUIS_DATOS!$C$1567+(IF(IF(MOD(MIN(INT(($A123-1)/2)+1,MAX(1,INT(((((CROQUIS_DATOS!$C$1503+CROQUIS_DATOS!$C$1504))-(CROQUIS_DATOS!$C$1503))+((CROQUIS_DATOS!$C$1476)*CROQUIS_DATOS!$C$1561-(0)*CROQUIS_DATOS!$C$1561))/CROQUIS_DATOS!$C$1568-0.000001))),2)=1,IF(INT(($A123-1)/2)+1&gt;MAX(1,INT(((((CROQUIS_DATOS!$C$1503+CROQUIS_DATOS!$C$1504))-(CROQUIS_DATOS!$C$1503))+((CROQUIS_DATOS!$C$1476)*CROQUIS_DATOS!$C$1561-(0)*CROQUIS_DATOS!$C$1561))/CROQUIS_DATOS!$C$1568-0.000001)),1,MOD($A123-1,2)),1-IF(INT(($A123-1)/2)+1&gt;MAX(1,INT(((((CROQUIS_DATOS!$C$1503+CROQUIS_DATOS!$C$1504))-(CROQUIS_DATOS!$C$1503))+((CROQUIS_DATOS!$C$1476)*CROQUIS_DATOS!$C$1561-(0)*CROQUIS_DATOS!$C$1561))/CROQUIS_DATOS!$C$1568-0.000001)),1,MOD($A123-1,2)))=1,MIN((CROQUIS_DATOS!$C$1476)*CROQUIS_DATOS!$C$1561,((CROQUIS_DATOS!$C$1503+CROQUIS_DATOS!$C$1504)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3">
        <f>IF(AND(CROQUIS_DATOS!$C$1472=1,CROQUIS_DATOS!$C$1508&gt;0,((CROQUIS_DATOS!$C$1507+CROQUIS_DATOS!$C$1508))-(CROQUIS_DATOS!$C$1507)&gt;0.5,(CROQUIS_DATOS!$C$1476)-(0)&gt;0.5),(CROQUIS_DATOS!$C$1566+(IF(IF(MOD(MIN(INT(($A123-1)/2)+1,MAX(1,INT(((((CROQUIS_DATOS!$C$1507+CROQUIS_DATOS!$C$1508))-(CROQUIS_DATOS!$C$1507))+((CROQUIS_DATOS!$C$1476)*CROQUIS_DATOS!$C$1561-(0)*CROQUIS_DATOS!$C$1561))/CROQUIS_DATOS!$C$1568-0.000001))),2)=1,IF(INT(($A123-1)/2)+1&gt;MAX(1,INT(((((CROQUIS_DATOS!$C$1507+CROQUIS_DATOS!$C$1508))-(CROQUIS_DATOS!$C$1507))+((CROQUIS_DATOS!$C$1476)*CROQUIS_DATOS!$C$1561-(0)*CROQUIS_DATOS!$C$1561))/CROQUIS_DATOS!$C$1568-0.000001)),1,MOD($A123-1,2)),1-IF(INT(($A123-1)/2)+1&gt;MAX(1,INT(((((CROQUIS_DATOS!$C$1507+CROQUIS_DATOS!$C$1508))-(CROQUIS_DATOS!$C$1507))+((CROQUIS_DATOS!$C$1476)*CROQUIS_DATOS!$C$1561-(0)*CROQUIS_DATOS!$C$1561))/CROQUIS_DATOS!$C$1568-0.000001)),1,MOD($A123-1,2)))=1,MIN((CROQUIS_DATOS!$C$1476)*CROQUIS_DATOS!$C$1561,((CROQUIS_DATOS!$C$1507+CROQUIS_DATOS!$C$1508)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3">
        <f>IF(AND(CROQUIS_DATOS!$C$1472=1,CROQUIS_DATOS!$C$1508&gt;0,((CROQUIS_DATOS!$C$1507+CROQUIS_DATOS!$C$1508))-(CROQUIS_DATOS!$C$1507)&gt;0.5,(CROQUIS_DATOS!$C$1476)-(0)&gt;0.5),(CROQUIS_DATOS!$C$1567+(IF(IF(MOD(MIN(INT(($A123-1)/2)+1,MAX(1,INT(((((CROQUIS_DATOS!$C$1507+CROQUIS_DATOS!$C$1508))-(CROQUIS_DATOS!$C$1507))+((CROQUIS_DATOS!$C$1476)*CROQUIS_DATOS!$C$1561-(0)*CROQUIS_DATOS!$C$1561))/CROQUIS_DATOS!$C$1568-0.000001))),2)=1,IF(INT(($A123-1)/2)+1&gt;MAX(1,INT(((((CROQUIS_DATOS!$C$1507+CROQUIS_DATOS!$C$1508))-(CROQUIS_DATOS!$C$1507))+((CROQUIS_DATOS!$C$1476)*CROQUIS_DATOS!$C$1561-(0)*CROQUIS_DATOS!$C$1561))/CROQUIS_DATOS!$C$1568-0.000001)),1,MOD($A123-1,2)),1-IF(INT(($A123-1)/2)+1&gt;MAX(1,INT(((((CROQUIS_DATOS!$C$1507+CROQUIS_DATOS!$C$1508))-(CROQUIS_DATOS!$C$1507))+((CROQUIS_DATOS!$C$1476)*CROQUIS_DATOS!$C$1561-(0)*CROQUIS_DATOS!$C$1561))/CROQUIS_DATOS!$C$1568-0.000001)),1,MOD($A123-1,2)))=1,MIN((CROQUIS_DATOS!$C$1476)*CROQUIS_DATOS!$C$1561,((CROQUIS_DATOS!$C$1507+CROQUIS_DATOS!$C$1508)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3">
        <f>IF(AND(CROQUIS_DATOS!$C$1472=1,CROQUIS_DATOS!$C$1512&gt;0,((CROQUIS_DATOS!$C$1511+CROQUIS_DATOS!$C$1512))-(CROQUIS_DATOS!$C$1511)&gt;0.5,(CROQUIS_DATOS!$C$1476)-(0)&gt;0.5),(CROQUIS_DATOS!$C$1566+(IF(IF(MOD(MIN(INT(($A123-1)/2)+1,MAX(1,INT(((((CROQUIS_DATOS!$C$1511+CROQUIS_DATOS!$C$1512))-(CROQUIS_DATOS!$C$1511))+((CROQUIS_DATOS!$C$1476)*CROQUIS_DATOS!$C$1561-(0)*CROQUIS_DATOS!$C$1561))/CROQUIS_DATOS!$C$1568-0.000001))),2)=1,IF(INT(($A123-1)/2)+1&gt;MAX(1,INT(((((CROQUIS_DATOS!$C$1511+CROQUIS_DATOS!$C$1512))-(CROQUIS_DATOS!$C$1511))+((CROQUIS_DATOS!$C$1476)*CROQUIS_DATOS!$C$1561-(0)*CROQUIS_DATOS!$C$1561))/CROQUIS_DATOS!$C$1568-0.000001)),1,MOD($A123-1,2)),1-IF(INT(($A123-1)/2)+1&gt;MAX(1,INT(((((CROQUIS_DATOS!$C$1511+CROQUIS_DATOS!$C$1512))-(CROQUIS_DATOS!$C$1511))+((CROQUIS_DATOS!$C$1476)*CROQUIS_DATOS!$C$1561-(0)*CROQUIS_DATOS!$C$1561))/CROQUIS_DATOS!$C$1568-0.000001)),1,MOD($A123-1,2)))=1,MIN((CROQUIS_DATOS!$C$1476)*CROQUIS_DATOS!$C$1561,((CROQUIS_DATOS!$C$1511+CROQUIS_DATOS!$C$1512)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3">
        <f>IF(AND(CROQUIS_DATOS!$C$1472=1,CROQUIS_DATOS!$C$1512&gt;0,((CROQUIS_DATOS!$C$1511+CROQUIS_DATOS!$C$1512))-(CROQUIS_DATOS!$C$1511)&gt;0.5,(CROQUIS_DATOS!$C$1476)-(0)&gt;0.5),(CROQUIS_DATOS!$C$1567+(IF(IF(MOD(MIN(INT(($A123-1)/2)+1,MAX(1,INT(((((CROQUIS_DATOS!$C$1511+CROQUIS_DATOS!$C$1512))-(CROQUIS_DATOS!$C$1511))+((CROQUIS_DATOS!$C$1476)*CROQUIS_DATOS!$C$1561-(0)*CROQUIS_DATOS!$C$1561))/CROQUIS_DATOS!$C$1568-0.000001))),2)=1,IF(INT(($A123-1)/2)+1&gt;MAX(1,INT(((((CROQUIS_DATOS!$C$1511+CROQUIS_DATOS!$C$1512))-(CROQUIS_DATOS!$C$1511))+((CROQUIS_DATOS!$C$1476)*CROQUIS_DATOS!$C$1561-(0)*CROQUIS_DATOS!$C$1561))/CROQUIS_DATOS!$C$1568-0.000001)),1,MOD($A123-1,2)),1-IF(INT(($A123-1)/2)+1&gt;MAX(1,INT(((((CROQUIS_DATOS!$C$1511+CROQUIS_DATOS!$C$1512))-(CROQUIS_DATOS!$C$1511))+((CROQUIS_DATOS!$C$1476)*CROQUIS_DATOS!$C$1561-(0)*CROQUIS_DATOS!$C$1561))/CROQUIS_DATOS!$C$1568-0.000001)),1,MOD($A123-1,2)))=1,MIN((CROQUIS_DATOS!$C$1476)*CROQUIS_DATOS!$C$1561,((CROQUIS_DATOS!$C$1511+CROQUIS_DATOS!$C$1512)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3">
        <f>IF(AND(CROQUIS_DATOS!$C$1472=1,CROQUIS_DATOS!$C$1516&gt;0,((CROQUIS_DATOS!$C$1515+CROQUIS_DATOS!$C$1516))-(CROQUIS_DATOS!$C$1515)&gt;0.5,(CROQUIS_DATOS!$C$1476)-(0)&gt;0.5),(CROQUIS_DATOS!$C$1566+(IF(IF(MOD(MIN(INT(($A123-1)/2)+1,MAX(1,INT(((((CROQUIS_DATOS!$C$1515+CROQUIS_DATOS!$C$1516))-(CROQUIS_DATOS!$C$1515))+((CROQUIS_DATOS!$C$1476)*CROQUIS_DATOS!$C$1561-(0)*CROQUIS_DATOS!$C$1561))/CROQUIS_DATOS!$C$1568-0.000001))),2)=1,IF(INT(($A123-1)/2)+1&gt;MAX(1,INT(((((CROQUIS_DATOS!$C$1515+CROQUIS_DATOS!$C$1516))-(CROQUIS_DATOS!$C$1515))+((CROQUIS_DATOS!$C$1476)*CROQUIS_DATOS!$C$1561-(0)*CROQUIS_DATOS!$C$1561))/CROQUIS_DATOS!$C$1568-0.000001)),1,MOD($A123-1,2)),1-IF(INT(($A123-1)/2)+1&gt;MAX(1,INT(((((CROQUIS_DATOS!$C$1515+CROQUIS_DATOS!$C$1516))-(CROQUIS_DATOS!$C$1515))+((CROQUIS_DATOS!$C$1476)*CROQUIS_DATOS!$C$1561-(0)*CROQUIS_DATOS!$C$1561))/CROQUIS_DATOS!$C$1568-0.000001)),1,MOD($A123-1,2)))=1,MIN((CROQUIS_DATOS!$C$1476)*CROQUIS_DATOS!$C$1561,((CROQUIS_DATOS!$C$1515+CROQUIS_DATOS!$C$1516)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3">
        <f>IF(AND(CROQUIS_DATOS!$C$1472=1,CROQUIS_DATOS!$C$1516&gt;0,((CROQUIS_DATOS!$C$1515+CROQUIS_DATOS!$C$1516))-(CROQUIS_DATOS!$C$1515)&gt;0.5,(CROQUIS_DATOS!$C$1476)-(0)&gt;0.5),(CROQUIS_DATOS!$C$1567+(IF(IF(MOD(MIN(INT(($A123-1)/2)+1,MAX(1,INT(((((CROQUIS_DATOS!$C$1515+CROQUIS_DATOS!$C$1516))-(CROQUIS_DATOS!$C$1515))+((CROQUIS_DATOS!$C$1476)*CROQUIS_DATOS!$C$1561-(0)*CROQUIS_DATOS!$C$1561))/CROQUIS_DATOS!$C$1568-0.000001))),2)=1,IF(INT(($A123-1)/2)+1&gt;MAX(1,INT(((((CROQUIS_DATOS!$C$1515+CROQUIS_DATOS!$C$1516))-(CROQUIS_DATOS!$C$1515))+((CROQUIS_DATOS!$C$1476)*CROQUIS_DATOS!$C$1561-(0)*CROQUIS_DATOS!$C$1561))/CROQUIS_DATOS!$C$1568-0.000001)),1,MOD($A123-1,2)),1-IF(INT(($A123-1)/2)+1&gt;MAX(1,INT(((((CROQUIS_DATOS!$C$1515+CROQUIS_DATOS!$C$1516))-(CROQUIS_DATOS!$C$1515))+((CROQUIS_DATOS!$C$1476)*CROQUIS_DATOS!$C$1561-(0)*CROQUIS_DATOS!$C$1561))/CROQUIS_DATOS!$C$1568-0.000001)),1,MOD($A123-1,2)))=1,MIN((CROQUIS_DATOS!$C$1476)*CROQUIS_DATOS!$C$1561,((CROQUIS_DATOS!$C$1515+CROQUIS_DATOS!$C$1516)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3">
        <f>IF(AND(CROQUIS_DATOS!$C$1472=1,CROQUIS_DATOS!$C$1478&gt;=1,((CROQUIS_DATOS!$C$1479+CROQUIS_DATOS!$C$1480))-(CROQUIS_DATOS!$C$1479)&gt;0.5,(CROQUIS_DATOS!$C$1481)-(0)&gt;0.5),(CROQUIS_DATOS!$C$1566+(IF(IF(MOD(MIN(INT(($A123-1)/2)+1,MAX(1,INT(((((CROQUIS_DATOS!$C$1479+CROQUIS_DATOS!$C$1480))-(CROQUIS_DATOS!$C$1479))+((CROQUIS_DATOS!$C$1481)*CROQUIS_DATOS!$C$1561-(0)*CROQUIS_DATOS!$C$1561))/CROQUIS_DATOS!$C$1568-0.000001))),2)=1,IF(INT(($A123-1)/2)+1&gt;MAX(1,INT(((((CROQUIS_DATOS!$C$1479+CROQUIS_DATOS!$C$1480))-(CROQUIS_DATOS!$C$1479))+((CROQUIS_DATOS!$C$1481)*CROQUIS_DATOS!$C$1561-(0)*CROQUIS_DATOS!$C$1561))/CROQUIS_DATOS!$C$1568-0.000001)),1,MOD($A123-1,2)),1-IF(INT(($A123-1)/2)+1&gt;MAX(1,INT(((((CROQUIS_DATOS!$C$1479+CROQUIS_DATOS!$C$1480))-(CROQUIS_DATOS!$C$1479))+((CROQUIS_DATOS!$C$1481)*CROQUIS_DATOS!$C$1561-(0)*CROQUIS_DATOS!$C$1561))/CROQUIS_DATOS!$C$1568-0.000001)),1,MOD($A123-1,2)))=1,MIN((CROQUIS_DATOS!$C$1481)*CROQUIS_DATOS!$C$1561,((CROQUIS_DATOS!$C$1479+CROQUIS_DATOS!$C$1480)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3">
        <f>IF(AND(CROQUIS_DATOS!$C$1472=1,CROQUIS_DATOS!$C$1478&gt;=1,((CROQUIS_DATOS!$C$1479+CROQUIS_DATOS!$C$1480))-(CROQUIS_DATOS!$C$1479)&gt;0.5,(CROQUIS_DATOS!$C$1481)-(0)&gt;0.5),(CROQUIS_DATOS!$C$1567+(IF(IF(MOD(MIN(INT(($A123-1)/2)+1,MAX(1,INT(((((CROQUIS_DATOS!$C$1479+CROQUIS_DATOS!$C$1480))-(CROQUIS_DATOS!$C$1479))+((CROQUIS_DATOS!$C$1481)*CROQUIS_DATOS!$C$1561-(0)*CROQUIS_DATOS!$C$1561))/CROQUIS_DATOS!$C$1568-0.000001))),2)=1,IF(INT(($A123-1)/2)+1&gt;MAX(1,INT(((((CROQUIS_DATOS!$C$1479+CROQUIS_DATOS!$C$1480))-(CROQUIS_DATOS!$C$1479))+((CROQUIS_DATOS!$C$1481)*CROQUIS_DATOS!$C$1561-(0)*CROQUIS_DATOS!$C$1561))/CROQUIS_DATOS!$C$1568-0.000001)),1,MOD($A123-1,2)),1-IF(INT(($A123-1)/2)+1&gt;MAX(1,INT(((((CROQUIS_DATOS!$C$1479+CROQUIS_DATOS!$C$1480))-(CROQUIS_DATOS!$C$1479))+((CROQUIS_DATOS!$C$1481)*CROQUIS_DATOS!$C$1561-(0)*CROQUIS_DATOS!$C$1561))/CROQUIS_DATOS!$C$1568-0.000001)),1,MOD($A123-1,2)))=1,MIN((CROQUIS_DATOS!$C$1481)*CROQUIS_DATOS!$C$1561,((CROQUIS_DATOS!$C$1479+CROQUIS_DATOS!$C$1480)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3">
        <f>IF(AND(CROQUIS_DATOS!$C$1472=1,CROQUIS_DATOS!$C$1478&gt;=1,((CROQUIS_DATOS!$C$1479+CROQUIS_DATOS!$C$1480))-(CROQUIS_DATOS!$C$1479)&gt;0.5,(CROQUIS_DATOS!$C$1476)-((CROQUIS_DATOS!$C$1481+CROQUIS_DATOS!$C$1482))&gt;0.5),(CROQUIS_DATOS!$C$1566+(IF(IF(MOD(MIN(INT(($A123-1)/2)+1,MAX(1,INT(((((CROQUIS_DATOS!$C$1479+CROQUIS_DATOS!$C$1480))-(CROQUIS_DATOS!$C$1479))+((CROQUIS_DATOS!$C$1476)*CROQUIS_DATOS!$C$1561-((CROQUIS_DATOS!$C$1481+CROQUIS_DATOS!$C$1482))*CROQUIS_DATOS!$C$1561))/CROQUIS_DATOS!$C$1568-0.000001))),2)=1,IF(INT(($A123-1)/2)+1&gt;MAX(1,INT(((((CROQUIS_DATOS!$C$1479+CROQUIS_DATOS!$C$1480))-(CROQUIS_DATOS!$C$1479))+((CROQUIS_DATOS!$C$1476)*CROQUIS_DATOS!$C$1561-((CROQUIS_DATOS!$C$1481+CROQUIS_DATOS!$C$1482))*CROQUIS_DATOS!$C$1561))/CROQUIS_DATOS!$C$1568-0.000001)),1,MOD($A123-1,2)),1-IF(INT(($A123-1)/2)+1&gt;MAX(1,INT(((((CROQUIS_DATOS!$C$1479+CROQUIS_DATOS!$C$1480))-(CROQUIS_DATOS!$C$1479))+((CROQUIS_DATOS!$C$1476)*CROQUIS_DATOS!$C$1561-((CROQUIS_DATOS!$C$1481+CROQUIS_DATOS!$C$1482))*CROQUIS_DATOS!$C$1561))/CROQUIS_DATOS!$C$1568-0.000001)),1,MOD($A123-1,2)))=1,MIN((CROQUIS_DATOS!$C$1476)*CROQUIS_DATOS!$C$1561,((CROQUIS_DATOS!$C$1479+CROQUIS_DATOS!$C$1480)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3">
        <f>IF(AND(CROQUIS_DATOS!$C$1472=1,CROQUIS_DATOS!$C$1478&gt;=1,((CROQUIS_DATOS!$C$1479+CROQUIS_DATOS!$C$1480))-(CROQUIS_DATOS!$C$1479)&gt;0.5,(CROQUIS_DATOS!$C$1476)-((CROQUIS_DATOS!$C$1481+CROQUIS_DATOS!$C$1482))&gt;0.5),(CROQUIS_DATOS!$C$1567+(IF(IF(MOD(MIN(INT(($A123-1)/2)+1,MAX(1,INT(((((CROQUIS_DATOS!$C$1479+CROQUIS_DATOS!$C$1480))-(CROQUIS_DATOS!$C$1479))+((CROQUIS_DATOS!$C$1476)*CROQUIS_DATOS!$C$1561-((CROQUIS_DATOS!$C$1481+CROQUIS_DATOS!$C$1482))*CROQUIS_DATOS!$C$1561))/CROQUIS_DATOS!$C$1568-0.000001))),2)=1,IF(INT(($A123-1)/2)+1&gt;MAX(1,INT(((((CROQUIS_DATOS!$C$1479+CROQUIS_DATOS!$C$1480))-(CROQUIS_DATOS!$C$1479))+((CROQUIS_DATOS!$C$1476)*CROQUIS_DATOS!$C$1561-((CROQUIS_DATOS!$C$1481+CROQUIS_DATOS!$C$1482))*CROQUIS_DATOS!$C$1561))/CROQUIS_DATOS!$C$1568-0.000001)),1,MOD($A123-1,2)),1-IF(INT(($A123-1)/2)+1&gt;MAX(1,INT(((((CROQUIS_DATOS!$C$1479+CROQUIS_DATOS!$C$1480))-(CROQUIS_DATOS!$C$1479))+((CROQUIS_DATOS!$C$1476)*CROQUIS_DATOS!$C$1561-((CROQUIS_DATOS!$C$1481+CROQUIS_DATOS!$C$1482))*CROQUIS_DATOS!$C$1561))/CROQUIS_DATOS!$C$1568-0.000001)),1,MOD($A123-1,2)))=1,MIN((CROQUIS_DATOS!$C$1476)*CROQUIS_DATOS!$C$1561,((CROQUIS_DATOS!$C$1479+CROQUIS_DATOS!$C$1480)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3">
        <f>IF(AND(CROQUIS_DATOS!$C$1472=1,CROQUIS_DATOS!$C$1478&gt;=2,((CROQUIS_DATOS!$C$1484+CROQUIS_DATOS!$C$1485))-(CROQUIS_DATOS!$C$1484)&gt;0.5,(CROQUIS_DATOS!$C$1486)-(0)&gt;0.5),(CROQUIS_DATOS!$C$1566+(IF(IF(MOD(MIN(INT(($A123-1)/2)+1,MAX(1,INT(((((CROQUIS_DATOS!$C$1484+CROQUIS_DATOS!$C$1485))-(CROQUIS_DATOS!$C$1484))+((CROQUIS_DATOS!$C$1486)*CROQUIS_DATOS!$C$1561-(0)*CROQUIS_DATOS!$C$1561))/CROQUIS_DATOS!$C$1568-0.000001))),2)=1,IF(INT(($A123-1)/2)+1&gt;MAX(1,INT(((((CROQUIS_DATOS!$C$1484+CROQUIS_DATOS!$C$1485))-(CROQUIS_DATOS!$C$1484))+((CROQUIS_DATOS!$C$1486)*CROQUIS_DATOS!$C$1561-(0)*CROQUIS_DATOS!$C$1561))/CROQUIS_DATOS!$C$1568-0.000001)),1,MOD($A123-1,2)),1-IF(INT(($A123-1)/2)+1&gt;MAX(1,INT(((((CROQUIS_DATOS!$C$1484+CROQUIS_DATOS!$C$1485))-(CROQUIS_DATOS!$C$1484))+((CROQUIS_DATOS!$C$1486)*CROQUIS_DATOS!$C$1561-(0)*CROQUIS_DATOS!$C$1561))/CROQUIS_DATOS!$C$1568-0.000001)),1,MOD($A123-1,2)))=1,MIN((CROQUIS_DATOS!$C$1486)*CROQUIS_DATOS!$C$1561,((CROQUIS_DATOS!$C$1484+CROQUIS_DATOS!$C$1485)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3">
        <f>IF(AND(CROQUIS_DATOS!$C$1472=1,CROQUIS_DATOS!$C$1478&gt;=2,((CROQUIS_DATOS!$C$1484+CROQUIS_DATOS!$C$1485))-(CROQUIS_DATOS!$C$1484)&gt;0.5,(CROQUIS_DATOS!$C$1486)-(0)&gt;0.5),(CROQUIS_DATOS!$C$1567+(IF(IF(MOD(MIN(INT(($A123-1)/2)+1,MAX(1,INT(((((CROQUIS_DATOS!$C$1484+CROQUIS_DATOS!$C$1485))-(CROQUIS_DATOS!$C$1484))+((CROQUIS_DATOS!$C$1486)*CROQUIS_DATOS!$C$1561-(0)*CROQUIS_DATOS!$C$1561))/CROQUIS_DATOS!$C$1568-0.000001))),2)=1,IF(INT(($A123-1)/2)+1&gt;MAX(1,INT(((((CROQUIS_DATOS!$C$1484+CROQUIS_DATOS!$C$1485))-(CROQUIS_DATOS!$C$1484))+((CROQUIS_DATOS!$C$1486)*CROQUIS_DATOS!$C$1561-(0)*CROQUIS_DATOS!$C$1561))/CROQUIS_DATOS!$C$1568-0.000001)),1,MOD($A123-1,2)),1-IF(INT(($A123-1)/2)+1&gt;MAX(1,INT(((((CROQUIS_DATOS!$C$1484+CROQUIS_DATOS!$C$1485))-(CROQUIS_DATOS!$C$1484))+((CROQUIS_DATOS!$C$1486)*CROQUIS_DATOS!$C$1561-(0)*CROQUIS_DATOS!$C$1561))/CROQUIS_DATOS!$C$1568-0.000001)),1,MOD($A123-1,2)))=1,MIN((CROQUIS_DATOS!$C$1486)*CROQUIS_DATOS!$C$1561,((CROQUIS_DATOS!$C$1484+CROQUIS_DATOS!$C$1485)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3">
        <f>IF(AND(CROQUIS_DATOS!$C$1472=1,CROQUIS_DATOS!$C$1478&gt;=2,((CROQUIS_DATOS!$C$1484+CROQUIS_DATOS!$C$1485))-(CROQUIS_DATOS!$C$1484)&gt;0.5,(CROQUIS_DATOS!$C$1476)-((CROQUIS_DATOS!$C$1486+CROQUIS_DATOS!$C$1487))&gt;0.5),(CROQUIS_DATOS!$C$1566+(IF(IF(MOD(MIN(INT(($A123-1)/2)+1,MAX(1,INT(((((CROQUIS_DATOS!$C$1484+CROQUIS_DATOS!$C$1485))-(CROQUIS_DATOS!$C$1484))+((CROQUIS_DATOS!$C$1476)*CROQUIS_DATOS!$C$1561-((CROQUIS_DATOS!$C$1486+CROQUIS_DATOS!$C$1487))*CROQUIS_DATOS!$C$1561))/CROQUIS_DATOS!$C$1568-0.000001))),2)=1,IF(INT(($A123-1)/2)+1&gt;MAX(1,INT(((((CROQUIS_DATOS!$C$1484+CROQUIS_DATOS!$C$1485))-(CROQUIS_DATOS!$C$1484))+((CROQUIS_DATOS!$C$1476)*CROQUIS_DATOS!$C$1561-((CROQUIS_DATOS!$C$1486+CROQUIS_DATOS!$C$1487))*CROQUIS_DATOS!$C$1561))/CROQUIS_DATOS!$C$1568-0.000001)),1,MOD($A123-1,2)),1-IF(INT(($A123-1)/2)+1&gt;MAX(1,INT(((((CROQUIS_DATOS!$C$1484+CROQUIS_DATOS!$C$1485))-(CROQUIS_DATOS!$C$1484))+((CROQUIS_DATOS!$C$1476)*CROQUIS_DATOS!$C$1561-((CROQUIS_DATOS!$C$1486+CROQUIS_DATOS!$C$1487))*CROQUIS_DATOS!$C$1561))/CROQUIS_DATOS!$C$1568-0.000001)),1,MOD($A123-1,2)))=1,MIN((CROQUIS_DATOS!$C$1476)*CROQUIS_DATOS!$C$1561,((CROQUIS_DATOS!$C$1484+CROQUIS_DATOS!$C$1485)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3">
        <f>IF(AND(CROQUIS_DATOS!$C$1472=1,CROQUIS_DATOS!$C$1478&gt;=2,((CROQUIS_DATOS!$C$1484+CROQUIS_DATOS!$C$1485))-(CROQUIS_DATOS!$C$1484)&gt;0.5,(CROQUIS_DATOS!$C$1476)-((CROQUIS_DATOS!$C$1486+CROQUIS_DATOS!$C$1487))&gt;0.5),(CROQUIS_DATOS!$C$1567+(IF(IF(MOD(MIN(INT(($A123-1)/2)+1,MAX(1,INT(((((CROQUIS_DATOS!$C$1484+CROQUIS_DATOS!$C$1485))-(CROQUIS_DATOS!$C$1484))+((CROQUIS_DATOS!$C$1476)*CROQUIS_DATOS!$C$1561-((CROQUIS_DATOS!$C$1486+CROQUIS_DATOS!$C$1487))*CROQUIS_DATOS!$C$1561))/CROQUIS_DATOS!$C$1568-0.000001))),2)=1,IF(INT(($A123-1)/2)+1&gt;MAX(1,INT(((((CROQUIS_DATOS!$C$1484+CROQUIS_DATOS!$C$1485))-(CROQUIS_DATOS!$C$1484))+((CROQUIS_DATOS!$C$1476)*CROQUIS_DATOS!$C$1561-((CROQUIS_DATOS!$C$1486+CROQUIS_DATOS!$C$1487))*CROQUIS_DATOS!$C$1561))/CROQUIS_DATOS!$C$1568-0.000001)),1,MOD($A123-1,2)),1-IF(INT(($A123-1)/2)+1&gt;MAX(1,INT(((((CROQUIS_DATOS!$C$1484+CROQUIS_DATOS!$C$1485))-(CROQUIS_DATOS!$C$1484))+((CROQUIS_DATOS!$C$1476)*CROQUIS_DATOS!$C$1561-((CROQUIS_DATOS!$C$1486+CROQUIS_DATOS!$C$1487))*CROQUIS_DATOS!$C$1561))/CROQUIS_DATOS!$C$1568-0.000001)),1,MOD($A123-1,2)))=1,MIN((CROQUIS_DATOS!$C$1476)*CROQUIS_DATOS!$C$1561,((CROQUIS_DATOS!$C$1484+CROQUIS_DATOS!$C$1485)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3">
        <f>IF(AND(CROQUIS_DATOS!$C$1472=1,CROQUIS_DATOS!$C$1478&gt;=3,((CROQUIS_DATOS!$C$1489+CROQUIS_DATOS!$C$1490))-(CROQUIS_DATOS!$C$1489)&gt;0.5,(CROQUIS_DATOS!$C$1491)-(0)&gt;0.5),(CROQUIS_DATOS!$C$1566+(IF(IF(MOD(MIN(INT(($A123-1)/2)+1,MAX(1,INT(((((CROQUIS_DATOS!$C$1489+CROQUIS_DATOS!$C$1490))-(CROQUIS_DATOS!$C$1489))+((CROQUIS_DATOS!$C$1491)*CROQUIS_DATOS!$C$1561-(0)*CROQUIS_DATOS!$C$1561))/CROQUIS_DATOS!$C$1568-0.000001))),2)=1,IF(INT(($A123-1)/2)+1&gt;MAX(1,INT(((((CROQUIS_DATOS!$C$1489+CROQUIS_DATOS!$C$1490))-(CROQUIS_DATOS!$C$1489))+((CROQUIS_DATOS!$C$1491)*CROQUIS_DATOS!$C$1561-(0)*CROQUIS_DATOS!$C$1561))/CROQUIS_DATOS!$C$1568-0.000001)),1,MOD($A123-1,2)),1-IF(INT(($A123-1)/2)+1&gt;MAX(1,INT(((((CROQUIS_DATOS!$C$1489+CROQUIS_DATOS!$C$1490))-(CROQUIS_DATOS!$C$1489))+((CROQUIS_DATOS!$C$1491)*CROQUIS_DATOS!$C$1561-(0)*CROQUIS_DATOS!$C$1561))/CROQUIS_DATOS!$C$1568-0.000001)),1,MOD($A123-1,2)))=1,MIN((CROQUIS_DATOS!$C$1491)*CROQUIS_DATOS!$C$1561,((CROQUIS_DATOS!$C$1489+CROQUIS_DATOS!$C$1490)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3">
        <f>IF(AND(CROQUIS_DATOS!$C$1472=1,CROQUIS_DATOS!$C$1478&gt;=3,((CROQUIS_DATOS!$C$1489+CROQUIS_DATOS!$C$1490))-(CROQUIS_DATOS!$C$1489)&gt;0.5,(CROQUIS_DATOS!$C$1491)-(0)&gt;0.5),(CROQUIS_DATOS!$C$1567+(IF(IF(MOD(MIN(INT(($A123-1)/2)+1,MAX(1,INT(((((CROQUIS_DATOS!$C$1489+CROQUIS_DATOS!$C$1490))-(CROQUIS_DATOS!$C$1489))+((CROQUIS_DATOS!$C$1491)*CROQUIS_DATOS!$C$1561-(0)*CROQUIS_DATOS!$C$1561))/CROQUIS_DATOS!$C$1568-0.000001))),2)=1,IF(INT(($A123-1)/2)+1&gt;MAX(1,INT(((((CROQUIS_DATOS!$C$1489+CROQUIS_DATOS!$C$1490))-(CROQUIS_DATOS!$C$1489))+((CROQUIS_DATOS!$C$1491)*CROQUIS_DATOS!$C$1561-(0)*CROQUIS_DATOS!$C$1561))/CROQUIS_DATOS!$C$1568-0.000001)),1,MOD($A123-1,2)),1-IF(INT(($A123-1)/2)+1&gt;MAX(1,INT(((((CROQUIS_DATOS!$C$1489+CROQUIS_DATOS!$C$1490))-(CROQUIS_DATOS!$C$1489))+((CROQUIS_DATOS!$C$1491)*CROQUIS_DATOS!$C$1561-(0)*CROQUIS_DATOS!$C$1561))/CROQUIS_DATOS!$C$1568-0.000001)),1,MOD($A123-1,2)))=1,MIN((CROQUIS_DATOS!$C$1491)*CROQUIS_DATOS!$C$1561,((CROQUIS_DATOS!$C$1489+CROQUIS_DATOS!$C$1490)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3">
        <f>IF(AND(CROQUIS_DATOS!$C$1472=1,CROQUIS_DATOS!$C$1478&gt;=3,((CROQUIS_DATOS!$C$1489+CROQUIS_DATOS!$C$1490))-(CROQUIS_DATOS!$C$1489)&gt;0.5,(CROQUIS_DATOS!$C$1476)-((CROQUIS_DATOS!$C$1491+CROQUIS_DATOS!$C$1492))&gt;0.5),(CROQUIS_DATOS!$C$1566+(IF(IF(MOD(MIN(INT(($A123-1)/2)+1,MAX(1,INT(((((CROQUIS_DATOS!$C$1489+CROQUIS_DATOS!$C$1490))-(CROQUIS_DATOS!$C$1489))+((CROQUIS_DATOS!$C$1476)*CROQUIS_DATOS!$C$1561-((CROQUIS_DATOS!$C$1491+CROQUIS_DATOS!$C$1492))*CROQUIS_DATOS!$C$1561))/CROQUIS_DATOS!$C$1568-0.000001))),2)=1,IF(INT(($A123-1)/2)+1&gt;MAX(1,INT(((((CROQUIS_DATOS!$C$1489+CROQUIS_DATOS!$C$1490))-(CROQUIS_DATOS!$C$1489))+((CROQUIS_DATOS!$C$1476)*CROQUIS_DATOS!$C$1561-((CROQUIS_DATOS!$C$1491+CROQUIS_DATOS!$C$1492))*CROQUIS_DATOS!$C$1561))/CROQUIS_DATOS!$C$1568-0.000001)),1,MOD($A123-1,2)),1-IF(INT(($A123-1)/2)+1&gt;MAX(1,INT(((((CROQUIS_DATOS!$C$1489+CROQUIS_DATOS!$C$1490))-(CROQUIS_DATOS!$C$1489))+((CROQUIS_DATOS!$C$1476)*CROQUIS_DATOS!$C$1561-((CROQUIS_DATOS!$C$1491+CROQUIS_DATOS!$C$1492))*CROQUIS_DATOS!$C$1561))/CROQUIS_DATOS!$C$1568-0.000001)),1,MOD($A123-1,2)))=1,MIN((CROQUIS_DATOS!$C$1476)*CROQUIS_DATOS!$C$1561,((CROQUIS_DATOS!$C$1489+CROQUIS_DATOS!$C$1490)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3">
        <f>IF(AND(CROQUIS_DATOS!$C$1472=1,CROQUIS_DATOS!$C$1478&gt;=3,((CROQUIS_DATOS!$C$1489+CROQUIS_DATOS!$C$1490))-(CROQUIS_DATOS!$C$1489)&gt;0.5,(CROQUIS_DATOS!$C$1476)-((CROQUIS_DATOS!$C$1491+CROQUIS_DATOS!$C$1492))&gt;0.5),(CROQUIS_DATOS!$C$1567+(IF(IF(MOD(MIN(INT(($A123-1)/2)+1,MAX(1,INT(((((CROQUIS_DATOS!$C$1489+CROQUIS_DATOS!$C$1490))-(CROQUIS_DATOS!$C$1489))+((CROQUIS_DATOS!$C$1476)*CROQUIS_DATOS!$C$1561-((CROQUIS_DATOS!$C$1491+CROQUIS_DATOS!$C$1492))*CROQUIS_DATOS!$C$1561))/CROQUIS_DATOS!$C$1568-0.000001))),2)=1,IF(INT(($A123-1)/2)+1&gt;MAX(1,INT(((((CROQUIS_DATOS!$C$1489+CROQUIS_DATOS!$C$1490))-(CROQUIS_DATOS!$C$1489))+((CROQUIS_DATOS!$C$1476)*CROQUIS_DATOS!$C$1561-((CROQUIS_DATOS!$C$1491+CROQUIS_DATOS!$C$1492))*CROQUIS_DATOS!$C$1561))/CROQUIS_DATOS!$C$1568-0.000001)),1,MOD($A123-1,2)),1-IF(INT(($A123-1)/2)+1&gt;MAX(1,INT(((((CROQUIS_DATOS!$C$1489+CROQUIS_DATOS!$C$1490))-(CROQUIS_DATOS!$C$1489))+((CROQUIS_DATOS!$C$1476)*CROQUIS_DATOS!$C$1561-((CROQUIS_DATOS!$C$1491+CROQUIS_DATOS!$C$1492))*CROQUIS_DATOS!$C$1561))/CROQUIS_DATOS!$C$1568-0.000001)),1,MOD($A123-1,2)))=1,MIN((CROQUIS_DATOS!$C$1476)*CROQUIS_DATOS!$C$1561,((CROQUIS_DATOS!$C$1489+CROQUIS_DATOS!$C$1490)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3">
        <f>IF(AND(CROQUIS_DATOS!$C$1472=1,CROQUIS_DATOS!$C$1478&gt;=4,((CROQUIS_DATOS!$C$1494+CROQUIS_DATOS!$C$1495))-(CROQUIS_DATOS!$C$1494)&gt;0.5,(CROQUIS_DATOS!$C$1496)-(0)&gt;0.5),(CROQUIS_DATOS!$C$1566+(IF(IF(MOD(MIN(INT(($A123-1)/2)+1,MAX(1,INT(((((CROQUIS_DATOS!$C$1494+CROQUIS_DATOS!$C$1495))-(CROQUIS_DATOS!$C$1494))+((CROQUIS_DATOS!$C$1496)*CROQUIS_DATOS!$C$1561-(0)*CROQUIS_DATOS!$C$1561))/CROQUIS_DATOS!$C$1568-0.000001))),2)=1,IF(INT(($A123-1)/2)+1&gt;MAX(1,INT(((((CROQUIS_DATOS!$C$1494+CROQUIS_DATOS!$C$1495))-(CROQUIS_DATOS!$C$1494))+((CROQUIS_DATOS!$C$1496)*CROQUIS_DATOS!$C$1561-(0)*CROQUIS_DATOS!$C$1561))/CROQUIS_DATOS!$C$1568-0.000001)),1,MOD($A123-1,2)),1-IF(INT(($A123-1)/2)+1&gt;MAX(1,INT(((((CROQUIS_DATOS!$C$1494+CROQUIS_DATOS!$C$1495))-(CROQUIS_DATOS!$C$1494))+((CROQUIS_DATOS!$C$1496)*CROQUIS_DATOS!$C$1561-(0)*CROQUIS_DATOS!$C$1561))/CROQUIS_DATOS!$C$1568-0.000001)),1,MOD($A123-1,2)))=1,MIN((CROQUIS_DATOS!$C$1496)*CROQUIS_DATOS!$C$1561,((CROQUIS_DATOS!$C$1494+CROQUIS_DATOS!$C$1495)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3">
        <f>IF(AND(CROQUIS_DATOS!$C$1472=1,CROQUIS_DATOS!$C$1478&gt;=4,((CROQUIS_DATOS!$C$1494+CROQUIS_DATOS!$C$1495))-(CROQUIS_DATOS!$C$1494)&gt;0.5,(CROQUIS_DATOS!$C$1496)-(0)&gt;0.5),(CROQUIS_DATOS!$C$1567+(IF(IF(MOD(MIN(INT(($A123-1)/2)+1,MAX(1,INT(((((CROQUIS_DATOS!$C$1494+CROQUIS_DATOS!$C$1495))-(CROQUIS_DATOS!$C$1494))+((CROQUIS_DATOS!$C$1496)*CROQUIS_DATOS!$C$1561-(0)*CROQUIS_DATOS!$C$1561))/CROQUIS_DATOS!$C$1568-0.000001))),2)=1,IF(INT(($A123-1)/2)+1&gt;MAX(1,INT(((((CROQUIS_DATOS!$C$1494+CROQUIS_DATOS!$C$1495))-(CROQUIS_DATOS!$C$1494))+((CROQUIS_DATOS!$C$1496)*CROQUIS_DATOS!$C$1561-(0)*CROQUIS_DATOS!$C$1561))/CROQUIS_DATOS!$C$1568-0.000001)),1,MOD($A123-1,2)),1-IF(INT(($A123-1)/2)+1&gt;MAX(1,INT(((((CROQUIS_DATOS!$C$1494+CROQUIS_DATOS!$C$1495))-(CROQUIS_DATOS!$C$1494))+((CROQUIS_DATOS!$C$1496)*CROQUIS_DATOS!$C$1561-(0)*CROQUIS_DATOS!$C$1561))/CROQUIS_DATOS!$C$1568-0.000001)),1,MOD($A123-1,2)))=1,MIN((CROQUIS_DATOS!$C$1496)*CROQUIS_DATOS!$C$1561,((CROQUIS_DATOS!$C$1494+CROQUIS_DATOS!$C$1495)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3">
        <f>IF(AND(CROQUIS_DATOS!$C$1472=1,CROQUIS_DATOS!$C$1478&gt;=4,((CROQUIS_DATOS!$C$1494+CROQUIS_DATOS!$C$1495))-(CROQUIS_DATOS!$C$1494)&gt;0.5,(CROQUIS_DATOS!$C$1476)-((CROQUIS_DATOS!$C$1496+CROQUIS_DATOS!$C$1497))&gt;0.5),(CROQUIS_DATOS!$C$1566+(IF(IF(MOD(MIN(INT(($A123-1)/2)+1,MAX(1,INT(((((CROQUIS_DATOS!$C$1494+CROQUIS_DATOS!$C$1495))-(CROQUIS_DATOS!$C$1494))+((CROQUIS_DATOS!$C$1476)*CROQUIS_DATOS!$C$1561-((CROQUIS_DATOS!$C$1496+CROQUIS_DATOS!$C$1497))*CROQUIS_DATOS!$C$1561))/CROQUIS_DATOS!$C$1568-0.000001))),2)=1,IF(INT(($A123-1)/2)+1&gt;MAX(1,INT(((((CROQUIS_DATOS!$C$1494+CROQUIS_DATOS!$C$1495))-(CROQUIS_DATOS!$C$1494))+((CROQUIS_DATOS!$C$1476)*CROQUIS_DATOS!$C$1561-((CROQUIS_DATOS!$C$1496+CROQUIS_DATOS!$C$1497))*CROQUIS_DATOS!$C$1561))/CROQUIS_DATOS!$C$1568-0.000001)),1,MOD($A123-1,2)),1-IF(INT(($A123-1)/2)+1&gt;MAX(1,INT(((((CROQUIS_DATOS!$C$1494+CROQUIS_DATOS!$C$1495))-(CROQUIS_DATOS!$C$1494))+((CROQUIS_DATOS!$C$1476)*CROQUIS_DATOS!$C$1561-((CROQUIS_DATOS!$C$1496+CROQUIS_DATOS!$C$1497))*CROQUIS_DATOS!$C$1561))/CROQUIS_DATOS!$C$1568-0.000001)),1,MOD($A123-1,2)))=1,MIN((CROQUIS_DATOS!$C$1476)*CROQUIS_DATOS!$C$1561,((CROQUIS_DATOS!$C$1494+CROQUIS_DATOS!$C$1495)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3">
        <f>IF(AND(CROQUIS_DATOS!$C$1472=1,CROQUIS_DATOS!$C$1478&gt;=4,((CROQUIS_DATOS!$C$1494+CROQUIS_DATOS!$C$1495))-(CROQUIS_DATOS!$C$1494)&gt;0.5,(CROQUIS_DATOS!$C$1476)-((CROQUIS_DATOS!$C$1496+CROQUIS_DATOS!$C$1497))&gt;0.5),(CROQUIS_DATOS!$C$1567+(IF(IF(MOD(MIN(INT(($A123-1)/2)+1,MAX(1,INT(((((CROQUIS_DATOS!$C$1494+CROQUIS_DATOS!$C$1495))-(CROQUIS_DATOS!$C$1494))+((CROQUIS_DATOS!$C$1476)*CROQUIS_DATOS!$C$1561-((CROQUIS_DATOS!$C$1496+CROQUIS_DATOS!$C$1497))*CROQUIS_DATOS!$C$1561))/CROQUIS_DATOS!$C$1568-0.000001))),2)=1,IF(INT(($A123-1)/2)+1&gt;MAX(1,INT(((((CROQUIS_DATOS!$C$1494+CROQUIS_DATOS!$C$1495))-(CROQUIS_DATOS!$C$1494))+((CROQUIS_DATOS!$C$1476)*CROQUIS_DATOS!$C$1561-((CROQUIS_DATOS!$C$1496+CROQUIS_DATOS!$C$1497))*CROQUIS_DATOS!$C$1561))/CROQUIS_DATOS!$C$1568-0.000001)),1,MOD($A123-1,2)),1-IF(INT(($A123-1)/2)+1&gt;MAX(1,INT(((((CROQUIS_DATOS!$C$1494+CROQUIS_DATOS!$C$1495))-(CROQUIS_DATOS!$C$1494))+((CROQUIS_DATOS!$C$1476)*CROQUIS_DATOS!$C$1561-((CROQUIS_DATOS!$C$1496+CROQUIS_DATOS!$C$1497))*CROQUIS_DATOS!$C$1561))/CROQUIS_DATOS!$C$1568-0.000001)),1,MOD($A123-1,2)))=1,MIN((CROQUIS_DATOS!$C$1476)*CROQUIS_DATOS!$C$1561,((CROQUIS_DATOS!$C$1494+CROQUIS_DATOS!$C$1495)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4">
      <c r="A124" t="n">
        <v>117</v>
      </c>
      <c r="N124">
        <f>IF(AND(CROQUIS_DATOS!$C$1472=1,1),(CROQUIS_DATOS!$C$1563+(IF(IF(IF(INT(($A124-1)/70)+1&gt;CROQUIS_DATOS!$C$1525,70,MOD($A124-1,70)+1)=1,0,IF(IF(INT(($A124-1)/70)+1&gt;CROQUIS_DATOS!$C$1525,70,MOD($A124-1,70)+1)&gt;2*CROQUIS_DATOS!$C$1541+1,IF(MOD(CROQUIS_DATOS!$C$1541,2)=1,1,0),IF(MOD(MIN(INT((IF(INT(($A124-1)/70)+1&gt;CROQUIS_DATOS!$C$1525,70,MOD($A124-1,70)+1)-2)/2)+1,CROQUIS_DATOS!$C$1541),2)=1,IF(MOD(IF(INT(($A124-1)/70)+1&gt;CROQUIS_DATOS!$C$1525,70,MOD($A124-1,70)+1)-2,2)=0,0,1),IF(MOD(IF(INT(($A124-1)/70)+1&gt;CROQUIS_DATOS!$C$1525,70,MOD($A124-1,70)+1)-2,2)=0,1,0))))=0,(INDEX($E$8:$E$23,MIN(INT(($A124-1)/70)+1,CROQUIS_DATOS!$C$1525))-INDEX($F$8:$F$23,MIN(INT(($A124-1)/70)+1,CROQUIS_DATOS!$C$1525))/2),(INDEX($E$8:$E$23,MIN(INT(($A124-1)/70)+1,CROQUIS_DATOS!$C$1525))+INDEX($F$8:$F$23,MIN(INT(($A124-1)/70)+1,CROQUIS_DATOS!$C$1525))/2)))*CROQUIS_DATOS!$C$1562),-1000)</f>
        <v>18.5775862068965</v>
      </c>
      <c r="O124">
        <f>IF(AND(CROQUIS_DATOS!$C$1472=1,1),(CROQUIS_DATOS!$C$1564+(IF(OR(IF(INT(($A124-1)/70)+1&gt;CROQUIS_DATOS!$C$1525,70,MOD($A124-1,70)+1)=1,IF(INT(($A124-1)/70)+1&gt;CROQUIS_DATOS!$C$1525,70,MOD($A124-1,70)+1)&gt;2*CROQUIS_DATOS!$C$1541+1),CROQUIS_DATOS!$C$1476,INDEX($H$8:$H$41,MIN(INT((IF(INT(($A124-1)/70)+1&gt;CROQUIS_DATOS!$C$1525,70,MOD($A124-1,70)+1)-2)/2)+1,CROQUIS_DATOS!$C$1541))))*CROQUIS_DATOS!$C$1561*CROQUIS_DATOS!$C$1562),-1000)</f>
        <v>40.2068965517241</v>
      </c>
      <c r="P124">
        <f>IF(AND(CROQUIS_DATOS!$C$1472=1,CROQUIS_DATOS!$C$1555=1),(CROQUIS_DATOS!$C$1563+(IF(IF(OR(MOD($A124-1,62)+1=1,IF(CHOOSE(MIN(MAX(MIN(INT(($A124-1)/62)+1,5),1),5),CROQUIS_DATOS!$C$1501,CROQUIS_DATOS!$C$1505,CROQUIS_DATOS!$C$1509,CROQUIS_DATOS!$C$1513,CROQUIS_DATOS!$C$1517)=1,CROQUIS_DATOS!$C$1557,0)=0),0,IF(MOD($A124-1,62)+1&gt;2*IF(CHOOSE(MIN(MAX(MIN(INT(($A124-1)/62)+1,5),1),5),CROQUIS_DATOS!$C$1501,CROQUIS_DATOS!$C$1505,CROQUIS_DATOS!$C$1509,CROQUIS_DATOS!$C$1513,CROQUIS_DATOS!$C$1517)=1,CROQUIS_DATOS!$C$1557,0)+1,IF(MOD(IF(CHOOSE(MIN(MAX(MIN(INT(($A124-1)/62)+1,5),1),5),CROQUIS_DATOS!$C$1501,CROQUIS_DATOS!$C$1505,CROQUIS_DATOS!$C$1509,CROQUIS_DATOS!$C$1513,CROQUIS_DATOS!$C$1517)=1,CROQUIS_DATOS!$C$1557,0),2)=1,1,0),IF(MOD(MIN(INT((MOD($A124-1,62)+1-2)/2)+1,MAX(IF(CHOOSE(MIN(MAX(MIN(INT(($A124-1)/62)+1,5),1),5),CROQUIS_DATOS!$C$1501,CROQUIS_DATOS!$C$1505,CROQUIS_DATOS!$C$1509,CROQUIS_DATOS!$C$1513,CROQUIS_DATOS!$C$1517)=1,CROQUIS_DATOS!$C$1557,0),1)),2)=1,IF(MOD(MOD($A124-1,62)+1-2,2)=0,0,1),IF(MOD(MOD($A124-1,62)+1-2,2)=0,1,0))))=0,(CHOOSE(MIN(MAX(MIN(INT(($A124-1)/62)+1,5),1),5),CROQUIS_DATOS!$C$1499,CROQUIS_DATOS!$C$1503,CROQUIS_DATOS!$C$1507,CROQUIS_DATOS!$C$1511,CROQUIS_DATOS!$C$1515)+IF(CHOOSE(MIN(MAX(MIN(INT(($A124-1)/62)+1,5),1),5),CROQUIS_DATOS!$C$1501,CROQUIS_DATOS!$C$1505,CROQUIS_DATOS!$C$1509,CROQUIS_DATOS!$C$1513,CROQUIS_DATOS!$C$1517)=1,CROQUIS_DATOS!$C$1526,0)),(CHOOSE(MIN(MAX(MIN(INT(($A124-1)/62)+1,5),1),5),CROQUIS_DATOS!$C$1499,CROQUIS_DATOS!$C$1503,CROQUIS_DATOS!$C$1507,CROQUIS_DATOS!$C$1511,CROQUIS_DATOS!$C$1515)+CHOOSE(MIN(MAX(MIN(INT(($A124-1)/62)+1,5),1),5),CROQUIS_DATOS!$C$1500,CROQUIS_DATOS!$C$1504,CROQUIS_DATOS!$C$1508,CROQUIS_DATOS!$C$1512,CROQUIS_DATOS!$C$1516)-IF(CHOOSE(MIN(MAX(MIN(INT(($A124-1)/62)+1,5),1),5),CROQUIS_DATOS!$C$1501,CROQUIS_DATOS!$C$1505,CROQUIS_DATOS!$C$1509,CROQUIS_DATOS!$C$1513,CROQUIS_DATOS!$C$1517)=1,CROQUIS_DATOS!$C$1526,0))))*CROQUIS_DATOS!$C$1562),-1000)</f>
        <v>-1000</v>
      </c>
      <c r="Q124">
        <f>IF(AND(CROQUIS_DATOS!$C$1472=1,CROQUIS_DATOS!$C$1555=1),(CROQUIS_DATOS!$C$1564+(IF(OR(OR(MOD($A124-1,62)+1=1,IF(CHOOSE(MIN(MAX(MIN(INT(($A124-1)/62)+1,5),1),5),CROQUIS_DATOS!$C$1501,CROQUIS_DATOS!$C$1505,CROQUIS_DATOS!$C$1509,CROQUIS_DATOS!$C$1513,CROQUIS_DATOS!$C$1517)=1,CROQUIS_DATOS!$C$1557,0)=0),MOD($A124-1,62)+1&gt;2*IF(CHOOSE(MIN(MAX(MIN(INT(($A124-1)/62)+1,5),1),5),CROQUIS_DATOS!$C$1501,CROQUIS_DATOS!$C$1505,CROQUIS_DATOS!$C$1509,CROQUIS_DATOS!$C$1513,CROQUIS_DATOS!$C$1517)=1,CROQUIS_DATOS!$C$1557,0)+1),CROQUIS_DATOS!$C$1476,MIN(INT((MOD($A124-1,62)+1-2)/2)+1,MAX(IF(CHOOSE(MIN(MAX(MIN(INT(($A124-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4">
        <f>IF(AND(CROQUIS_DATOS!$C$1472=1,1),(CROQUIS_DATOS!$C$1563+(MIN(INT(($A124-1)/2)+1,CROQUIS_DATOS!$C$1558)*CROQUIS_DATOS!$C$1559)*CROQUIS_DATOS!$C$1562),-1000)</f>
        <v>82.2281167108753</v>
      </c>
      <c r="U124">
        <f>IF(AND(CROQUIS_DATOS!$C$1472=1,1),(CROQUIS_DATOS!$C$1564+(IF(INT(($A124-1)/2)+1&gt;CROQUIS_DATOS!$C$1558,IF(MOD(CROQUIS_DATOS!$C$1558,2)=1,CROQUIS_DATOS!$C$1476+CROQUIS_DATOS!$C$1528,CROQUIS_DATOS!$C$1476),IF(IF(MOD(MIN(INT(($A124-1)/2)+1,CROQUIS_DATOS!$C$1558),2)=1,MOD($A124-1,2),1-MOD($A124-1,2))=1,CROQUIS_DATOS!$C$1476+CROQUIS_DATOS!$C$1528,CROQUIS_DATOS!$C$1476)))*CROQUIS_DATOS!$C$1561*CROQUIS_DATOS!$C$1562),-1000)</f>
        <v>43</v>
      </c>
      <c r="BZ124">
        <f>IF(AND(CROQUIS_DATOS!$C$1472=1,CROQUIS_DATOS!$C$1500&gt;0,((CROQUIS_DATOS!$C$1499+CROQUIS_DATOS!$C$1500))-(CROQUIS_DATOS!$C$1499)&gt;0.5,(CROQUIS_DATOS!$C$1476)-(0)&gt;0.5),(CROQUIS_DATOS!$C$1566+(IF(IF(MOD(MIN(INT(($A124-1)/2)+1,MAX(1,INT(((((CROQUIS_DATOS!$C$1499+CROQUIS_DATOS!$C$1500))-(CROQUIS_DATOS!$C$1499))+((CROQUIS_DATOS!$C$1476)*CROQUIS_DATOS!$C$1561-(0)*CROQUIS_DATOS!$C$1561))/CROQUIS_DATOS!$C$1568-0.000001))),2)=1,IF(INT(($A124-1)/2)+1&gt;MAX(1,INT(((((CROQUIS_DATOS!$C$1499+CROQUIS_DATOS!$C$1500))-(CROQUIS_DATOS!$C$1499))+((CROQUIS_DATOS!$C$1476)*CROQUIS_DATOS!$C$1561-(0)*CROQUIS_DATOS!$C$1561))/CROQUIS_DATOS!$C$1568-0.000001)),1,MOD($A124-1,2)),1-IF(INT(($A124-1)/2)+1&gt;MAX(1,INT(((((CROQUIS_DATOS!$C$1499+CROQUIS_DATOS!$C$1500))-(CROQUIS_DATOS!$C$1499))+((CROQUIS_DATOS!$C$1476)*CROQUIS_DATOS!$C$1561-(0)*CROQUIS_DATOS!$C$1561))/CROQUIS_DATOS!$C$1568-0.000001)),1,MOD($A124-1,2)))=1,MIN((CROQUIS_DATOS!$C$1476)*CROQUIS_DATOS!$C$1561,((CROQUIS_DATOS!$C$1499+CROQUIS_DATOS!$C$1500)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4">
        <f>IF(AND(CROQUIS_DATOS!$C$1472=1,CROQUIS_DATOS!$C$1500&gt;0,((CROQUIS_DATOS!$C$1499+CROQUIS_DATOS!$C$1500))-(CROQUIS_DATOS!$C$1499)&gt;0.5,(CROQUIS_DATOS!$C$1476)-(0)&gt;0.5),(CROQUIS_DATOS!$C$1567+(IF(IF(MOD(MIN(INT(($A124-1)/2)+1,MAX(1,INT(((((CROQUIS_DATOS!$C$1499+CROQUIS_DATOS!$C$1500))-(CROQUIS_DATOS!$C$1499))+((CROQUIS_DATOS!$C$1476)*CROQUIS_DATOS!$C$1561-(0)*CROQUIS_DATOS!$C$1561))/CROQUIS_DATOS!$C$1568-0.000001))),2)=1,IF(INT(($A124-1)/2)+1&gt;MAX(1,INT(((((CROQUIS_DATOS!$C$1499+CROQUIS_DATOS!$C$1500))-(CROQUIS_DATOS!$C$1499))+((CROQUIS_DATOS!$C$1476)*CROQUIS_DATOS!$C$1561-(0)*CROQUIS_DATOS!$C$1561))/CROQUIS_DATOS!$C$1568-0.000001)),1,MOD($A124-1,2)),1-IF(INT(($A124-1)/2)+1&gt;MAX(1,INT(((((CROQUIS_DATOS!$C$1499+CROQUIS_DATOS!$C$1500))-(CROQUIS_DATOS!$C$1499))+((CROQUIS_DATOS!$C$1476)*CROQUIS_DATOS!$C$1561-(0)*CROQUIS_DATOS!$C$1561))/CROQUIS_DATOS!$C$1568-0.000001)),1,MOD($A124-1,2)))=1,MIN((CROQUIS_DATOS!$C$1476)*CROQUIS_DATOS!$C$1561,((CROQUIS_DATOS!$C$1499+CROQUIS_DATOS!$C$1500)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4">
        <f>IF(AND(CROQUIS_DATOS!$C$1472=1,CROQUIS_DATOS!$C$1504&gt;0,((CROQUIS_DATOS!$C$1503+CROQUIS_DATOS!$C$1504))-(CROQUIS_DATOS!$C$1503)&gt;0.5,(CROQUIS_DATOS!$C$1476)-(0)&gt;0.5),(CROQUIS_DATOS!$C$1566+(IF(IF(MOD(MIN(INT(($A124-1)/2)+1,MAX(1,INT(((((CROQUIS_DATOS!$C$1503+CROQUIS_DATOS!$C$1504))-(CROQUIS_DATOS!$C$1503))+((CROQUIS_DATOS!$C$1476)*CROQUIS_DATOS!$C$1561-(0)*CROQUIS_DATOS!$C$1561))/CROQUIS_DATOS!$C$1568-0.000001))),2)=1,IF(INT(($A124-1)/2)+1&gt;MAX(1,INT(((((CROQUIS_DATOS!$C$1503+CROQUIS_DATOS!$C$1504))-(CROQUIS_DATOS!$C$1503))+((CROQUIS_DATOS!$C$1476)*CROQUIS_DATOS!$C$1561-(0)*CROQUIS_DATOS!$C$1561))/CROQUIS_DATOS!$C$1568-0.000001)),1,MOD($A124-1,2)),1-IF(INT(($A124-1)/2)+1&gt;MAX(1,INT(((((CROQUIS_DATOS!$C$1503+CROQUIS_DATOS!$C$1504))-(CROQUIS_DATOS!$C$1503))+((CROQUIS_DATOS!$C$1476)*CROQUIS_DATOS!$C$1561-(0)*CROQUIS_DATOS!$C$1561))/CROQUIS_DATOS!$C$1568-0.000001)),1,MOD($A124-1,2)))=1,MIN((CROQUIS_DATOS!$C$1476)*CROQUIS_DATOS!$C$1561,((CROQUIS_DATOS!$C$1503+CROQUIS_DATOS!$C$1504)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4">
        <f>IF(AND(CROQUIS_DATOS!$C$1472=1,CROQUIS_DATOS!$C$1504&gt;0,((CROQUIS_DATOS!$C$1503+CROQUIS_DATOS!$C$1504))-(CROQUIS_DATOS!$C$1503)&gt;0.5,(CROQUIS_DATOS!$C$1476)-(0)&gt;0.5),(CROQUIS_DATOS!$C$1567+(IF(IF(MOD(MIN(INT(($A124-1)/2)+1,MAX(1,INT(((((CROQUIS_DATOS!$C$1503+CROQUIS_DATOS!$C$1504))-(CROQUIS_DATOS!$C$1503))+((CROQUIS_DATOS!$C$1476)*CROQUIS_DATOS!$C$1561-(0)*CROQUIS_DATOS!$C$1561))/CROQUIS_DATOS!$C$1568-0.000001))),2)=1,IF(INT(($A124-1)/2)+1&gt;MAX(1,INT(((((CROQUIS_DATOS!$C$1503+CROQUIS_DATOS!$C$1504))-(CROQUIS_DATOS!$C$1503))+((CROQUIS_DATOS!$C$1476)*CROQUIS_DATOS!$C$1561-(0)*CROQUIS_DATOS!$C$1561))/CROQUIS_DATOS!$C$1568-0.000001)),1,MOD($A124-1,2)),1-IF(INT(($A124-1)/2)+1&gt;MAX(1,INT(((((CROQUIS_DATOS!$C$1503+CROQUIS_DATOS!$C$1504))-(CROQUIS_DATOS!$C$1503))+((CROQUIS_DATOS!$C$1476)*CROQUIS_DATOS!$C$1561-(0)*CROQUIS_DATOS!$C$1561))/CROQUIS_DATOS!$C$1568-0.000001)),1,MOD($A124-1,2)))=1,MIN((CROQUIS_DATOS!$C$1476)*CROQUIS_DATOS!$C$1561,((CROQUIS_DATOS!$C$1503+CROQUIS_DATOS!$C$1504)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4">
        <f>IF(AND(CROQUIS_DATOS!$C$1472=1,CROQUIS_DATOS!$C$1508&gt;0,((CROQUIS_DATOS!$C$1507+CROQUIS_DATOS!$C$1508))-(CROQUIS_DATOS!$C$1507)&gt;0.5,(CROQUIS_DATOS!$C$1476)-(0)&gt;0.5),(CROQUIS_DATOS!$C$1566+(IF(IF(MOD(MIN(INT(($A124-1)/2)+1,MAX(1,INT(((((CROQUIS_DATOS!$C$1507+CROQUIS_DATOS!$C$1508))-(CROQUIS_DATOS!$C$1507))+((CROQUIS_DATOS!$C$1476)*CROQUIS_DATOS!$C$1561-(0)*CROQUIS_DATOS!$C$1561))/CROQUIS_DATOS!$C$1568-0.000001))),2)=1,IF(INT(($A124-1)/2)+1&gt;MAX(1,INT(((((CROQUIS_DATOS!$C$1507+CROQUIS_DATOS!$C$1508))-(CROQUIS_DATOS!$C$1507))+((CROQUIS_DATOS!$C$1476)*CROQUIS_DATOS!$C$1561-(0)*CROQUIS_DATOS!$C$1561))/CROQUIS_DATOS!$C$1568-0.000001)),1,MOD($A124-1,2)),1-IF(INT(($A124-1)/2)+1&gt;MAX(1,INT(((((CROQUIS_DATOS!$C$1507+CROQUIS_DATOS!$C$1508))-(CROQUIS_DATOS!$C$1507))+((CROQUIS_DATOS!$C$1476)*CROQUIS_DATOS!$C$1561-(0)*CROQUIS_DATOS!$C$1561))/CROQUIS_DATOS!$C$1568-0.000001)),1,MOD($A124-1,2)))=1,MIN((CROQUIS_DATOS!$C$1476)*CROQUIS_DATOS!$C$1561,((CROQUIS_DATOS!$C$1507+CROQUIS_DATOS!$C$1508)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4">
        <f>IF(AND(CROQUIS_DATOS!$C$1472=1,CROQUIS_DATOS!$C$1508&gt;0,((CROQUIS_DATOS!$C$1507+CROQUIS_DATOS!$C$1508))-(CROQUIS_DATOS!$C$1507)&gt;0.5,(CROQUIS_DATOS!$C$1476)-(0)&gt;0.5),(CROQUIS_DATOS!$C$1567+(IF(IF(MOD(MIN(INT(($A124-1)/2)+1,MAX(1,INT(((((CROQUIS_DATOS!$C$1507+CROQUIS_DATOS!$C$1508))-(CROQUIS_DATOS!$C$1507))+((CROQUIS_DATOS!$C$1476)*CROQUIS_DATOS!$C$1561-(0)*CROQUIS_DATOS!$C$1561))/CROQUIS_DATOS!$C$1568-0.000001))),2)=1,IF(INT(($A124-1)/2)+1&gt;MAX(1,INT(((((CROQUIS_DATOS!$C$1507+CROQUIS_DATOS!$C$1508))-(CROQUIS_DATOS!$C$1507))+((CROQUIS_DATOS!$C$1476)*CROQUIS_DATOS!$C$1561-(0)*CROQUIS_DATOS!$C$1561))/CROQUIS_DATOS!$C$1568-0.000001)),1,MOD($A124-1,2)),1-IF(INT(($A124-1)/2)+1&gt;MAX(1,INT(((((CROQUIS_DATOS!$C$1507+CROQUIS_DATOS!$C$1508))-(CROQUIS_DATOS!$C$1507))+((CROQUIS_DATOS!$C$1476)*CROQUIS_DATOS!$C$1561-(0)*CROQUIS_DATOS!$C$1561))/CROQUIS_DATOS!$C$1568-0.000001)),1,MOD($A124-1,2)))=1,MIN((CROQUIS_DATOS!$C$1476)*CROQUIS_DATOS!$C$1561,((CROQUIS_DATOS!$C$1507+CROQUIS_DATOS!$C$1508)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4">
        <f>IF(AND(CROQUIS_DATOS!$C$1472=1,CROQUIS_DATOS!$C$1512&gt;0,((CROQUIS_DATOS!$C$1511+CROQUIS_DATOS!$C$1512))-(CROQUIS_DATOS!$C$1511)&gt;0.5,(CROQUIS_DATOS!$C$1476)-(0)&gt;0.5),(CROQUIS_DATOS!$C$1566+(IF(IF(MOD(MIN(INT(($A124-1)/2)+1,MAX(1,INT(((((CROQUIS_DATOS!$C$1511+CROQUIS_DATOS!$C$1512))-(CROQUIS_DATOS!$C$1511))+((CROQUIS_DATOS!$C$1476)*CROQUIS_DATOS!$C$1561-(0)*CROQUIS_DATOS!$C$1561))/CROQUIS_DATOS!$C$1568-0.000001))),2)=1,IF(INT(($A124-1)/2)+1&gt;MAX(1,INT(((((CROQUIS_DATOS!$C$1511+CROQUIS_DATOS!$C$1512))-(CROQUIS_DATOS!$C$1511))+((CROQUIS_DATOS!$C$1476)*CROQUIS_DATOS!$C$1561-(0)*CROQUIS_DATOS!$C$1561))/CROQUIS_DATOS!$C$1568-0.000001)),1,MOD($A124-1,2)),1-IF(INT(($A124-1)/2)+1&gt;MAX(1,INT(((((CROQUIS_DATOS!$C$1511+CROQUIS_DATOS!$C$1512))-(CROQUIS_DATOS!$C$1511))+((CROQUIS_DATOS!$C$1476)*CROQUIS_DATOS!$C$1561-(0)*CROQUIS_DATOS!$C$1561))/CROQUIS_DATOS!$C$1568-0.000001)),1,MOD($A124-1,2)))=1,MIN((CROQUIS_DATOS!$C$1476)*CROQUIS_DATOS!$C$1561,((CROQUIS_DATOS!$C$1511+CROQUIS_DATOS!$C$1512)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4">
        <f>IF(AND(CROQUIS_DATOS!$C$1472=1,CROQUIS_DATOS!$C$1512&gt;0,((CROQUIS_DATOS!$C$1511+CROQUIS_DATOS!$C$1512))-(CROQUIS_DATOS!$C$1511)&gt;0.5,(CROQUIS_DATOS!$C$1476)-(0)&gt;0.5),(CROQUIS_DATOS!$C$1567+(IF(IF(MOD(MIN(INT(($A124-1)/2)+1,MAX(1,INT(((((CROQUIS_DATOS!$C$1511+CROQUIS_DATOS!$C$1512))-(CROQUIS_DATOS!$C$1511))+((CROQUIS_DATOS!$C$1476)*CROQUIS_DATOS!$C$1561-(0)*CROQUIS_DATOS!$C$1561))/CROQUIS_DATOS!$C$1568-0.000001))),2)=1,IF(INT(($A124-1)/2)+1&gt;MAX(1,INT(((((CROQUIS_DATOS!$C$1511+CROQUIS_DATOS!$C$1512))-(CROQUIS_DATOS!$C$1511))+((CROQUIS_DATOS!$C$1476)*CROQUIS_DATOS!$C$1561-(0)*CROQUIS_DATOS!$C$1561))/CROQUIS_DATOS!$C$1568-0.000001)),1,MOD($A124-1,2)),1-IF(INT(($A124-1)/2)+1&gt;MAX(1,INT(((((CROQUIS_DATOS!$C$1511+CROQUIS_DATOS!$C$1512))-(CROQUIS_DATOS!$C$1511))+((CROQUIS_DATOS!$C$1476)*CROQUIS_DATOS!$C$1561-(0)*CROQUIS_DATOS!$C$1561))/CROQUIS_DATOS!$C$1568-0.000001)),1,MOD($A124-1,2)))=1,MIN((CROQUIS_DATOS!$C$1476)*CROQUIS_DATOS!$C$1561,((CROQUIS_DATOS!$C$1511+CROQUIS_DATOS!$C$1512)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4">
        <f>IF(AND(CROQUIS_DATOS!$C$1472=1,CROQUIS_DATOS!$C$1516&gt;0,((CROQUIS_DATOS!$C$1515+CROQUIS_DATOS!$C$1516))-(CROQUIS_DATOS!$C$1515)&gt;0.5,(CROQUIS_DATOS!$C$1476)-(0)&gt;0.5),(CROQUIS_DATOS!$C$1566+(IF(IF(MOD(MIN(INT(($A124-1)/2)+1,MAX(1,INT(((((CROQUIS_DATOS!$C$1515+CROQUIS_DATOS!$C$1516))-(CROQUIS_DATOS!$C$1515))+((CROQUIS_DATOS!$C$1476)*CROQUIS_DATOS!$C$1561-(0)*CROQUIS_DATOS!$C$1561))/CROQUIS_DATOS!$C$1568-0.000001))),2)=1,IF(INT(($A124-1)/2)+1&gt;MAX(1,INT(((((CROQUIS_DATOS!$C$1515+CROQUIS_DATOS!$C$1516))-(CROQUIS_DATOS!$C$1515))+((CROQUIS_DATOS!$C$1476)*CROQUIS_DATOS!$C$1561-(0)*CROQUIS_DATOS!$C$1561))/CROQUIS_DATOS!$C$1568-0.000001)),1,MOD($A124-1,2)),1-IF(INT(($A124-1)/2)+1&gt;MAX(1,INT(((((CROQUIS_DATOS!$C$1515+CROQUIS_DATOS!$C$1516))-(CROQUIS_DATOS!$C$1515))+((CROQUIS_DATOS!$C$1476)*CROQUIS_DATOS!$C$1561-(0)*CROQUIS_DATOS!$C$1561))/CROQUIS_DATOS!$C$1568-0.000001)),1,MOD($A124-1,2)))=1,MIN((CROQUIS_DATOS!$C$1476)*CROQUIS_DATOS!$C$1561,((CROQUIS_DATOS!$C$1515+CROQUIS_DATOS!$C$1516)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4">
        <f>IF(AND(CROQUIS_DATOS!$C$1472=1,CROQUIS_DATOS!$C$1516&gt;0,((CROQUIS_DATOS!$C$1515+CROQUIS_DATOS!$C$1516))-(CROQUIS_DATOS!$C$1515)&gt;0.5,(CROQUIS_DATOS!$C$1476)-(0)&gt;0.5),(CROQUIS_DATOS!$C$1567+(IF(IF(MOD(MIN(INT(($A124-1)/2)+1,MAX(1,INT(((((CROQUIS_DATOS!$C$1515+CROQUIS_DATOS!$C$1516))-(CROQUIS_DATOS!$C$1515))+((CROQUIS_DATOS!$C$1476)*CROQUIS_DATOS!$C$1561-(0)*CROQUIS_DATOS!$C$1561))/CROQUIS_DATOS!$C$1568-0.000001))),2)=1,IF(INT(($A124-1)/2)+1&gt;MAX(1,INT(((((CROQUIS_DATOS!$C$1515+CROQUIS_DATOS!$C$1516))-(CROQUIS_DATOS!$C$1515))+((CROQUIS_DATOS!$C$1476)*CROQUIS_DATOS!$C$1561-(0)*CROQUIS_DATOS!$C$1561))/CROQUIS_DATOS!$C$1568-0.000001)),1,MOD($A124-1,2)),1-IF(INT(($A124-1)/2)+1&gt;MAX(1,INT(((((CROQUIS_DATOS!$C$1515+CROQUIS_DATOS!$C$1516))-(CROQUIS_DATOS!$C$1515))+((CROQUIS_DATOS!$C$1476)*CROQUIS_DATOS!$C$1561-(0)*CROQUIS_DATOS!$C$1561))/CROQUIS_DATOS!$C$1568-0.000001)),1,MOD($A124-1,2)))=1,MIN((CROQUIS_DATOS!$C$1476)*CROQUIS_DATOS!$C$1561,((CROQUIS_DATOS!$C$1515+CROQUIS_DATOS!$C$1516)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4">
        <f>IF(AND(CROQUIS_DATOS!$C$1472=1,CROQUIS_DATOS!$C$1478&gt;=1,((CROQUIS_DATOS!$C$1479+CROQUIS_DATOS!$C$1480))-(CROQUIS_DATOS!$C$1479)&gt;0.5,(CROQUIS_DATOS!$C$1481)-(0)&gt;0.5),(CROQUIS_DATOS!$C$1566+(IF(IF(MOD(MIN(INT(($A124-1)/2)+1,MAX(1,INT(((((CROQUIS_DATOS!$C$1479+CROQUIS_DATOS!$C$1480))-(CROQUIS_DATOS!$C$1479))+((CROQUIS_DATOS!$C$1481)*CROQUIS_DATOS!$C$1561-(0)*CROQUIS_DATOS!$C$1561))/CROQUIS_DATOS!$C$1568-0.000001))),2)=1,IF(INT(($A124-1)/2)+1&gt;MAX(1,INT(((((CROQUIS_DATOS!$C$1479+CROQUIS_DATOS!$C$1480))-(CROQUIS_DATOS!$C$1479))+((CROQUIS_DATOS!$C$1481)*CROQUIS_DATOS!$C$1561-(0)*CROQUIS_DATOS!$C$1561))/CROQUIS_DATOS!$C$1568-0.000001)),1,MOD($A124-1,2)),1-IF(INT(($A124-1)/2)+1&gt;MAX(1,INT(((((CROQUIS_DATOS!$C$1479+CROQUIS_DATOS!$C$1480))-(CROQUIS_DATOS!$C$1479))+((CROQUIS_DATOS!$C$1481)*CROQUIS_DATOS!$C$1561-(0)*CROQUIS_DATOS!$C$1561))/CROQUIS_DATOS!$C$1568-0.000001)),1,MOD($A124-1,2)))=1,MIN((CROQUIS_DATOS!$C$1481)*CROQUIS_DATOS!$C$1561,((CROQUIS_DATOS!$C$1479+CROQUIS_DATOS!$C$1480)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4">
        <f>IF(AND(CROQUIS_DATOS!$C$1472=1,CROQUIS_DATOS!$C$1478&gt;=1,((CROQUIS_DATOS!$C$1479+CROQUIS_DATOS!$C$1480))-(CROQUIS_DATOS!$C$1479)&gt;0.5,(CROQUIS_DATOS!$C$1481)-(0)&gt;0.5),(CROQUIS_DATOS!$C$1567+(IF(IF(MOD(MIN(INT(($A124-1)/2)+1,MAX(1,INT(((((CROQUIS_DATOS!$C$1479+CROQUIS_DATOS!$C$1480))-(CROQUIS_DATOS!$C$1479))+((CROQUIS_DATOS!$C$1481)*CROQUIS_DATOS!$C$1561-(0)*CROQUIS_DATOS!$C$1561))/CROQUIS_DATOS!$C$1568-0.000001))),2)=1,IF(INT(($A124-1)/2)+1&gt;MAX(1,INT(((((CROQUIS_DATOS!$C$1479+CROQUIS_DATOS!$C$1480))-(CROQUIS_DATOS!$C$1479))+((CROQUIS_DATOS!$C$1481)*CROQUIS_DATOS!$C$1561-(0)*CROQUIS_DATOS!$C$1561))/CROQUIS_DATOS!$C$1568-0.000001)),1,MOD($A124-1,2)),1-IF(INT(($A124-1)/2)+1&gt;MAX(1,INT(((((CROQUIS_DATOS!$C$1479+CROQUIS_DATOS!$C$1480))-(CROQUIS_DATOS!$C$1479))+((CROQUIS_DATOS!$C$1481)*CROQUIS_DATOS!$C$1561-(0)*CROQUIS_DATOS!$C$1561))/CROQUIS_DATOS!$C$1568-0.000001)),1,MOD($A124-1,2)))=1,MIN((CROQUIS_DATOS!$C$1481)*CROQUIS_DATOS!$C$1561,((CROQUIS_DATOS!$C$1479+CROQUIS_DATOS!$C$1480)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4">
        <f>IF(AND(CROQUIS_DATOS!$C$1472=1,CROQUIS_DATOS!$C$1478&gt;=1,((CROQUIS_DATOS!$C$1479+CROQUIS_DATOS!$C$1480))-(CROQUIS_DATOS!$C$1479)&gt;0.5,(CROQUIS_DATOS!$C$1476)-((CROQUIS_DATOS!$C$1481+CROQUIS_DATOS!$C$1482))&gt;0.5),(CROQUIS_DATOS!$C$1566+(IF(IF(MOD(MIN(INT(($A124-1)/2)+1,MAX(1,INT(((((CROQUIS_DATOS!$C$1479+CROQUIS_DATOS!$C$1480))-(CROQUIS_DATOS!$C$1479))+((CROQUIS_DATOS!$C$1476)*CROQUIS_DATOS!$C$1561-((CROQUIS_DATOS!$C$1481+CROQUIS_DATOS!$C$1482))*CROQUIS_DATOS!$C$1561))/CROQUIS_DATOS!$C$1568-0.000001))),2)=1,IF(INT(($A124-1)/2)+1&gt;MAX(1,INT(((((CROQUIS_DATOS!$C$1479+CROQUIS_DATOS!$C$1480))-(CROQUIS_DATOS!$C$1479))+((CROQUIS_DATOS!$C$1476)*CROQUIS_DATOS!$C$1561-((CROQUIS_DATOS!$C$1481+CROQUIS_DATOS!$C$1482))*CROQUIS_DATOS!$C$1561))/CROQUIS_DATOS!$C$1568-0.000001)),1,MOD($A124-1,2)),1-IF(INT(($A124-1)/2)+1&gt;MAX(1,INT(((((CROQUIS_DATOS!$C$1479+CROQUIS_DATOS!$C$1480))-(CROQUIS_DATOS!$C$1479))+((CROQUIS_DATOS!$C$1476)*CROQUIS_DATOS!$C$1561-((CROQUIS_DATOS!$C$1481+CROQUIS_DATOS!$C$1482))*CROQUIS_DATOS!$C$1561))/CROQUIS_DATOS!$C$1568-0.000001)),1,MOD($A124-1,2)))=1,MIN((CROQUIS_DATOS!$C$1476)*CROQUIS_DATOS!$C$1561,((CROQUIS_DATOS!$C$1479+CROQUIS_DATOS!$C$1480)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4">
        <f>IF(AND(CROQUIS_DATOS!$C$1472=1,CROQUIS_DATOS!$C$1478&gt;=1,((CROQUIS_DATOS!$C$1479+CROQUIS_DATOS!$C$1480))-(CROQUIS_DATOS!$C$1479)&gt;0.5,(CROQUIS_DATOS!$C$1476)-((CROQUIS_DATOS!$C$1481+CROQUIS_DATOS!$C$1482))&gt;0.5),(CROQUIS_DATOS!$C$1567+(IF(IF(MOD(MIN(INT(($A124-1)/2)+1,MAX(1,INT(((((CROQUIS_DATOS!$C$1479+CROQUIS_DATOS!$C$1480))-(CROQUIS_DATOS!$C$1479))+((CROQUIS_DATOS!$C$1476)*CROQUIS_DATOS!$C$1561-((CROQUIS_DATOS!$C$1481+CROQUIS_DATOS!$C$1482))*CROQUIS_DATOS!$C$1561))/CROQUIS_DATOS!$C$1568-0.000001))),2)=1,IF(INT(($A124-1)/2)+1&gt;MAX(1,INT(((((CROQUIS_DATOS!$C$1479+CROQUIS_DATOS!$C$1480))-(CROQUIS_DATOS!$C$1479))+((CROQUIS_DATOS!$C$1476)*CROQUIS_DATOS!$C$1561-((CROQUIS_DATOS!$C$1481+CROQUIS_DATOS!$C$1482))*CROQUIS_DATOS!$C$1561))/CROQUIS_DATOS!$C$1568-0.000001)),1,MOD($A124-1,2)),1-IF(INT(($A124-1)/2)+1&gt;MAX(1,INT(((((CROQUIS_DATOS!$C$1479+CROQUIS_DATOS!$C$1480))-(CROQUIS_DATOS!$C$1479))+((CROQUIS_DATOS!$C$1476)*CROQUIS_DATOS!$C$1561-((CROQUIS_DATOS!$C$1481+CROQUIS_DATOS!$C$1482))*CROQUIS_DATOS!$C$1561))/CROQUIS_DATOS!$C$1568-0.000001)),1,MOD($A124-1,2)))=1,MIN((CROQUIS_DATOS!$C$1476)*CROQUIS_DATOS!$C$1561,((CROQUIS_DATOS!$C$1479+CROQUIS_DATOS!$C$1480)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4">
        <f>IF(AND(CROQUIS_DATOS!$C$1472=1,CROQUIS_DATOS!$C$1478&gt;=2,((CROQUIS_DATOS!$C$1484+CROQUIS_DATOS!$C$1485))-(CROQUIS_DATOS!$C$1484)&gt;0.5,(CROQUIS_DATOS!$C$1486)-(0)&gt;0.5),(CROQUIS_DATOS!$C$1566+(IF(IF(MOD(MIN(INT(($A124-1)/2)+1,MAX(1,INT(((((CROQUIS_DATOS!$C$1484+CROQUIS_DATOS!$C$1485))-(CROQUIS_DATOS!$C$1484))+((CROQUIS_DATOS!$C$1486)*CROQUIS_DATOS!$C$1561-(0)*CROQUIS_DATOS!$C$1561))/CROQUIS_DATOS!$C$1568-0.000001))),2)=1,IF(INT(($A124-1)/2)+1&gt;MAX(1,INT(((((CROQUIS_DATOS!$C$1484+CROQUIS_DATOS!$C$1485))-(CROQUIS_DATOS!$C$1484))+((CROQUIS_DATOS!$C$1486)*CROQUIS_DATOS!$C$1561-(0)*CROQUIS_DATOS!$C$1561))/CROQUIS_DATOS!$C$1568-0.000001)),1,MOD($A124-1,2)),1-IF(INT(($A124-1)/2)+1&gt;MAX(1,INT(((((CROQUIS_DATOS!$C$1484+CROQUIS_DATOS!$C$1485))-(CROQUIS_DATOS!$C$1484))+((CROQUIS_DATOS!$C$1486)*CROQUIS_DATOS!$C$1561-(0)*CROQUIS_DATOS!$C$1561))/CROQUIS_DATOS!$C$1568-0.000001)),1,MOD($A124-1,2)))=1,MIN((CROQUIS_DATOS!$C$1486)*CROQUIS_DATOS!$C$1561,((CROQUIS_DATOS!$C$1484+CROQUIS_DATOS!$C$1485)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4">
        <f>IF(AND(CROQUIS_DATOS!$C$1472=1,CROQUIS_DATOS!$C$1478&gt;=2,((CROQUIS_DATOS!$C$1484+CROQUIS_DATOS!$C$1485))-(CROQUIS_DATOS!$C$1484)&gt;0.5,(CROQUIS_DATOS!$C$1486)-(0)&gt;0.5),(CROQUIS_DATOS!$C$1567+(IF(IF(MOD(MIN(INT(($A124-1)/2)+1,MAX(1,INT(((((CROQUIS_DATOS!$C$1484+CROQUIS_DATOS!$C$1485))-(CROQUIS_DATOS!$C$1484))+((CROQUIS_DATOS!$C$1486)*CROQUIS_DATOS!$C$1561-(0)*CROQUIS_DATOS!$C$1561))/CROQUIS_DATOS!$C$1568-0.000001))),2)=1,IF(INT(($A124-1)/2)+1&gt;MAX(1,INT(((((CROQUIS_DATOS!$C$1484+CROQUIS_DATOS!$C$1485))-(CROQUIS_DATOS!$C$1484))+((CROQUIS_DATOS!$C$1486)*CROQUIS_DATOS!$C$1561-(0)*CROQUIS_DATOS!$C$1561))/CROQUIS_DATOS!$C$1568-0.000001)),1,MOD($A124-1,2)),1-IF(INT(($A124-1)/2)+1&gt;MAX(1,INT(((((CROQUIS_DATOS!$C$1484+CROQUIS_DATOS!$C$1485))-(CROQUIS_DATOS!$C$1484))+((CROQUIS_DATOS!$C$1486)*CROQUIS_DATOS!$C$1561-(0)*CROQUIS_DATOS!$C$1561))/CROQUIS_DATOS!$C$1568-0.000001)),1,MOD($A124-1,2)))=1,MIN((CROQUIS_DATOS!$C$1486)*CROQUIS_DATOS!$C$1561,((CROQUIS_DATOS!$C$1484+CROQUIS_DATOS!$C$1485)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4">
        <f>IF(AND(CROQUIS_DATOS!$C$1472=1,CROQUIS_DATOS!$C$1478&gt;=2,((CROQUIS_DATOS!$C$1484+CROQUIS_DATOS!$C$1485))-(CROQUIS_DATOS!$C$1484)&gt;0.5,(CROQUIS_DATOS!$C$1476)-((CROQUIS_DATOS!$C$1486+CROQUIS_DATOS!$C$1487))&gt;0.5),(CROQUIS_DATOS!$C$1566+(IF(IF(MOD(MIN(INT(($A124-1)/2)+1,MAX(1,INT(((((CROQUIS_DATOS!$C$1484+CROQUIS_DATOS!$C$1485))-(CROQUIS_DATOS!$C$1484))+((CROQUIS_DATOS!$C$1476)*CROQUIS_DATOS!$C$1561-((CROQUIS_DATOS!$C$1486+CROQUIS_DATOS!$C$1487))*CROQUIS_DATOS!$C$1561))/CROQUIS_DATOS!$C$1568-0.000001))),2)=1,IF(INT(($A124-1)/2)+1&gt;MAX(1,INT(((((CROQUIS_DATOS!$C$1484+CROQUIS_DATOS!$C$1485))-(CROQUIS_DATOS!$C$1484))+((CROQUIS_DATOS!$C$1476)*CROQUIS_DATOS!$C$1561-((CROQUIS_DATOS!$C$1486+CROQUIS_DATOS!$C$1487))*CROQUIS_DATOS!$C$1561))/CROQUIS_DATOS!$C$1568-0.000001)),1,MOD($A124-1,2)),1-IF(INT(($A124-1)/2)+1&gt;MAX(1,INT(((((CROQUIS_DATOS!$C$1484+CROQUIS_DATOS!$C$1485))-(CROQUIS_DATOS!$C$1484))+((CROQUIS_DATOS!$C$1476)*CROQUIS_DATOS!$C$1561-((CROQUIS_DATOS!$C$1486+CROQUIS_DATOS!$C$1487))*CROQUIS_DATOS!$C$1561))/CROQUIS_DATOS!$C$1568-0.000001)),1,MOD($A124-1,2)))=1,MIN((CROQUIS_DATOS!$C$1476)*CROQUIS_DATOS!$C$1561,((CROQUIS_DATOS!$C$1484+CROQUIS_DATOS!$C$1485)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4">
        <f>IF(AND(CROQUIS_DATOS!$C$1472=1,CROQUIS_DATOS!$C$1478&gt;=2,((CROQUIS_DATOS!$C$1484+CROQUIS_DATOS!$C$1485))-(CROQUIS_DATOS!$C$1484)&gt;0.5,(CROQUIS_DATOS!$C$1476)-((CROQUIS_DATOS!$C$1486+CROQUIS_DATOS!$C$1487))&gt;0.5),(CROQUIS_DATOS!$C$1567+(IF(IF(MOD(MIN(INT(($A124-1)/2)+1,MAX(1,INT(((((CROQUIS_DATOS!$C$1484+CROQUIS_DATOS!$C$1485))-(CROQUIS_DATOS!$C$1484))+((CROQUIS_DATOS!$C$1476)*CROQUIS_DATOS!$C$1561-((CROQUIS_DATOS!$C$1486+CROQUIS_DATOS!$C$1487))*CROQUIS_DATOS!$C$1561))/CROQUIS_DATOS!$C$1568-0.000001))),2)=1,IF(INT(($A124-1)/2)+1&gt;MAX(1,INT(((((CROQUIS_DATOS!$C$1484+CROQUIS_DATOS!$C$1485))-(CROQUIS_DATOS!$C$1484))+((CROQUIS_DATOS!$C$1476)*CROQUIS_DATOS!$C$1561-((CROQUIS_DATOS!$C$1486+CROQUIS_DATOS!$C$1487))*CROQUIS_DATOS!$C$1561))/CROQUIS_DATOS!$C$1568-0.000001)),1,MOD($A124-1,2)),1-IF(INT(($A124-1)/2)+1&gt;MAX(1,INT(((((CROQUIS_DATOS!$C$1484+CROQUIS_DATOS!$C$1485))-(CROQUIS_DATOS!$C$1484))+((CROQUIS_DATOS!$C$1476)*CROQUIS_DATOS!$C$1561-((CROQUIS_DATOS!$C$1486+CROQUIS_DATOS!$C$1487))*CROQUIS_DATOS!$C$1561))/CROQUIS_DATOS!$C$1568-0.000001)),1,MOD($A124-1,2)))=1,MIN((CROQUIS_DATOS!$C$1476)*CROQUIS_DATOS!$C$1561,((CROQUIS_DATOS!$C$1484+CROQUIS_DATOS!$C$1485)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4">
        <f>IF(AND(CROQUIS_DATOS!$C$1472=1,CROQUIS_DATOS!$C$1478&gt;=3,((CROQUIS_DATOS!$C$1489+CROQUIS_DATOS!$C$1490))-(CROQUIS_DATOS!$C$1489)&gt;0.5,(CROQUIS_DATOS!$C$1491)-(0)&gt;0.5),(CROQUIS_DATOS!$C$1566+(IF(IF(MOD(MIN(INT(($A124-1)/2)+1,MAX(1,INT(((((CROQUIS_DATOS!$C$1489+CROQUIS_DATOS!$C$1490))-(CROQUIS_DATOS!$C$1489))+((CROQUIS_DATOS!$C$1491)*CROQUIS_DATOS!$C$1561-(0)*CROQUIS_DATOS!$C$1561))/CROQUIS_DATOS!$C$1568-0.000001))),2)=1,IF(INT(($A124-1)/2)+1&gt;MAX(1,INT(((((CROQUIS_DATOS!$C$1489+CROQUIS_DATOS!$C$1490))-(CROQUIS_DATOS!$C$1489))+((CROQUIS_DATOS!$C$1491)*CROQUIS_DATOS!$C$1561-(0)*CROQUIS_DATOS!$C$1561))/CROQUIS_DATOS!$C$1568-0.000001)),1,MOD($A124-1,2)),1-IF(INT(($A124-1)/2)+1&gt;MAX(1,INT(((((CROQUIS_DATOS!$C$1489+CROQUIS_DATOS!$C$1490))-(CROQUIS_DATOS!$C$1489))+((CROQUIS_DATOS!$C$1491)*CROQUIS_DATOS!$C$1561-(0)*CROQUIS_DATOS!$C$1561))/CROQUIS_DATOS!$C$1568-0.000001)),1,MOD($A124-1,2)))=1,MIN((CROQUIS_DATOS!$C$1491)*CROQUIS_DATOS!$C$1561,((CROQUIS_DATOS!$C$1489+CROQUIS_DATOS!$C$1490)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4">
        <f>IF(AND(CROQUIS_DATOS!$C$1472=1,CROQUIS_DATOS!$C$1478&gt;=3,((CROQUIS_DATOS!$C$1489+CROQUIS_DATOS!$C$1490))-(CROQUIS_DATOS!$C$1489)&gt;0.5,(CROQUIS_DATOS!$C$1491)-(0)&gt;0.5),(CROQUIS_DATOS!$C$1567+(IF(IF(MOD(MIN(INT(($A124-1)/2)+1,MAX(1,INT(((((CROQUIS_DATOS!$C$1489+CROQUIS_DATOS!$C$1490))-(CROQUIS_DATOS!$C$1489))+((CROQUIS_DATOS!$C$1491)*CROQUIS_DATOS!$C$1561-(0)*CROQUIS_DATOS!$C$1561))/CROQUIS_DATOS!$C$1568-0.000001))),2)=1,IF(INT(($A124-1)/2)+1&gt;MAX(1,INT(((((CROQUIS_DATOS!$C$1489+CROQUIS_DATOS!$C$1490))-(CROQUIS_DATOS!$C$1489))+((CROQUIS_DATOS!$C$1491)*CROQUIS_DATOS!$C$1561-(0)*CROQUIS_DATOS!$C$1561))/CROQUIS_DATOS!$C$1568-0.000001)),1,MOD($A124-1,2)),1-IF(INT(($A124-1)/2)+1&gt;MAX(1,INT(((((CROQUIS_DATOS!$C$1489+CROQUIS_DATOS!$C$1490))-(CROQUIS_DATOS!$C$1489))+((CROQUIS_DATOS!$C$1491)*CROQUIS_DATOS!$C$1561-(0)*CROQUIS_DATOS!$C$1561))/CROQUIS_DATOS!$C$1568-0.000001)),1,MOD($A124-1,2)))=1,MIN((CROQUIS_DATOS!$C$1491)*CROQUIS_DATOS!$C$1561,((CROQUIS_DATOS!$C$1489+CROQUIS_DATOS!$C$1490)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4">
        <f>IF(AND(CROQUIS_DATOS!$C$1472=1,CROQUIS_DATOS!$C$1478&gt;=3,((CROQUIS_DATOS!$C$1489+CROQUIS_DATOS!$C$1490))-(CROQUIS_DATOS!$C$1489)&gt;0.5,(CROQUIS_DATOS!$C$1476)-((CROQUIS_DATOS!$C$1491+CROQUIS_DATOS!$C$1492))&gt;0.5),(CROQUIS_DATOS!$C$1566+(IF(IF(MOD(MIN(INT(($A124-1)/2)+1,MAX(1,INT(((((CROQUIS_DATOS!$C$1489+CROQUIS_DATOS!$C$1490))-(CROQUIS_DATOS!$C$1489))+((CROQUIS_DATOS!$C$1476)*CROQUIS_DATOS!$C$1561-((CROQUIS_DATOS!$C$1491+CROQUIS_DATOS!$C$1492))*CROQUIS_DATOS!$C$1561))/CROQUIS_DATOS!$C$1568-0.000001))),2)=1,IF(INT(($A124-1)/2)+1&gt;MAX(1,INT(((((CROQUIS_DATOS!$C$1489+CROQUIS_DATOS!$C$1490))-(CROQUIS_DATOS!$C$1489))+((CROQUIS_DATOS!$C$1476)*CROQUIS_DATOS!$C$1561-((CROQUIS_DATOS!$C$1491+CROQUIS_DATOS!$C$1492))*CROQUIS_DATOS!$C$1561))/CROQUIS_DATOS!$C$1568-0.000001)),1,MOD($A124-1,2)),1-IF(INT(($A124-1)/2)+1&gt;MAX(1,INT(((((CROQUIS_DATOS!$C$1489+CROQUIS_DATOS!$C$1490))-(CROQUIS_DATOS!$C$1489))+((CROQUIS_DATOS!$C$1476)*CROQUIS_DATOS!$C$1561-((CROQUIS_DATOS!$C$1491+CROQUIS_DATOS!$C$1492))*CROQUIS_DATOS!$C$1561))/CROQUIS_DATOS!$C$1568-0.000001)),1,MOD($A124-1,2)))=1,MIN((CROQUIS_DATOS!$C$1476)*CROQUIS_DATOS!$C$1561,((CROQUIS_DATOS!$C$1489+CROQUIS_DATOS!$C$1490)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4">
        <f>IF(AND(CROQUIS_DATOS!$C$1472=1,CROQUIS_DATOS!$C$1478&gt;=3,((CROQUIS_DATOS!$C$1489+CROQUIS_DATOS!$C$1490))-(CROQUIS_DATOS!$C$1489)&gt;0.5,(CROQUIS_DATOS!$C$1476)-((CROQUIS_DATOS!$C$1491+CROQUIS_DATOS!$C$1492))&gt;0.5),(CROQUIS_DATOS!$C$1567+(IF(IF(MOD(MIN(INT(($A124-1)/2)+1,MAX(1,INT(((((CROQUIS_DATOS!$C$1489+CROQUIS_DATOS!$C$1490))-(CROQUIS_DATOS!$C$1489))+((CROQUIS_DATOS!$C$1476)*CROQUIS_DATOS!$C$1561-((CROQUIS_DATOS!$C$1491+CROQUIS_DATOS!$C$1492))*CROQUIS_DATOS!$C$1561))/CROQUIS_DATOS!$C$1568-0.000001))),2)=1,IF(INT(($A124-1)/2)+1&gt;MAX(1,INT(((((CROQUIS_DATOS!$C$1489+CROQUIS_DATOS!$C$1490))-(CROQUIS_DATOS!$C$1489))+((CROQUIS_DATOS!$C$1476)*CROQUIS_DATOS!$C$1561-((CROQUIS_DATOS!$C$1491+CROQUIS_DATOS!$C$1492))*CROQUIS_DATOS!$C$1561))/CROQUIS_DATOS!$C$1568-0.000001)),1,MOD($A124-1,2)),1-IF(INT(($A124-1)/2)+1&gt;MAX(1,INT(((((CROQUIS_DATOS!$C$1489+CROQUIS_DATOS!$C$1490))-(CROQUIS_DATOS!$C$1489))+((CROQUIS_DATOS!$C$1476)*CROQUIS_DATOS!$C$1561-((CROQUIS_DATOS!$C$1491+CROQUIS_DATOS!$C$1492))*CROQUIS_DATOS!$C$1561))/CROQUIS_DATOS!$C$1568-0.000001)),1,MOD($A124-1,2)))=1,MIN((CROQUIS_DATOS!$C$1476)*CROQUIS_DATOS!$C$1561,((CROQUIS_DATOS!$C$1489+CROQUIS_DATOS!$C$1490)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4">
        <f>IF(AND(CROQUIS_DATOS!$C$1472=1,CROQUIS_DATOS!$C$1478&gt;=4,((CROQUIS_DATOS!$C$1494+CROQUIS_DATOS!$C$1495))-(CROQUIS_DATOS!$C$1494)&gt;0.5,(CROQUIS_DATOS!$C$1496)-(0)&gt;0.5),(CROQUIS_DATOS!$C$1566+(IF(IF(MOD(MIN(INT(($A124-1)/2)+1,MAX(1,INT(((((CROQUIS_DATOS!$C$1494+CROQUIS_DATOS!$C$1495))-(CROQUIS_DATOS!$C$1494))+((CROQUIS_DATOS!$C$1496)*CROQUIS_DATOS!$C$1561-(0)*CROQUIS_DATOS!$C$1561))/CROQUIS_DATOS!$C$1568-0.000001))),2)=1,IF(INT(($A124-1)/2)+1&gt;MAX(1,INT(((((CROQUIS_DATOS!$C$1494+CROQUIS_DATOS!$C$1495))-(CROQUIS_DATOS!$C$1494))+((CROQUIS_DATOS!$C$1496)*CROQUIS_DATOS!$C$1561-(0)*CROQUIS_DATOS!$C$1561))/CROQUIS_DATOS!$C$1568-0.000001)),1,MOD($A124-1,2)),1-IF(INT(($A124-1)/2)+1&gt;MAX(1,INT(((((CROQUIS_DATOS!$C$1494+CROQUIS_DATOS!$C$1495))-(CROQUIS_DATOS!$C$1494))+((CROQUIS_DATOS!$C$1496)*CROQUIS_DATOS!$C$1561-(0)*CROQUIS_DATOS!$C$1561))/CROQUIS_DATOS!$C$1568-0.000001)),1,MOD($A124-1,2)))=1,MIN((CROQUIS_DATOS!$C$1496)*CROQUIS_DATOS!$C$1561,((CROQUIS_DATOS!$C$1494+CROQUIS_DATOS!$C$1495)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4">
        <f>IF(AND(CROQUIS_DATOS!$C$1472=1,CROQUIS_DATOS!$C$1478&gt;=4,((CROQUIS_DATOS!$C$1494+CROQUIS_DATOS!$C$1495))-(CROQUIS_DATOS!$C$1494)&gt;0.5,(CROQUIS_DATOS!$C$1496)-(0)&gt;0.5),(CROQUIS_DATOS!$C$1567+(IF(IF(MOD(MIN(INT(($A124-1)/2)+1,MAX(1,INT(((((CROQUIS_DATOS!$C$1494+CROQUIS_DATOS!$C$1495))-(CROQUIS_DATOS!$C$1494))+((CROQUIS_DATOS!$C$1496)*CROQUIS_DATOS!$C$1561-(0)*CROQUIS_DATOS!$C$1561))/CROQUIS_DATOS!$C$1568-0.000001))),2)=1,IF(INT(($A124-1)/2)+1&gt;MAX(1,INT(((((CROQUIS_DATOS!$C$1494+CROQUIS_DATOS!$C$1495))-(CROQUIS_DATOS!$C$1494))+((CROQUIS_DATOS!$C$1496)*CROQUIS_DATOS!$C$1561-(0)*CROQUIS_DATOS!$C$1561))/CROQUIS_DATOS!$C$1568-0.000001)),1,MOD($A124-1,2)),1-IF(INT(($A124-1)/2)+1&gt;MAX(1,INT(((((CROQUIS_DATOS!$C$1494+CROQUIS_DATOS!$C$1495))-(CROQUIS_DATOS!$C$1494))+((CROQUIS_DATOS!$C$1496)*CROQUIS_DATOS!$C$1561-(0)*CROQUIS_DATOS!$C$1561))/CROQUIS_DATOS!$C$1568-0.000001)),1,MOD($A124-1,2)))=1,MIN((CROQUIS_DATOS!$C$1496)*CROQUIS_DATOS!$C$1561,((CROQUIS_DATOS!$C$1494+CROQUIS_DATOS!$C$1495)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4">
        <f>IF(AND(CROQUIS_DATOS!$C$1472=1,CROQUIS_DATOS!$C$1478&gt;=4,((CROQUIS_DATOS!$C$1494+CROQUIS_DATOS!$C$1495))-(CROQUIS_DATOS!$C$1494)&gt;0.5,(CROQUIS_DATOS!$C$1476)-((CROQUIS_DATOS!$C$1496+CROQUIS_DATOS!$C$1497))&gt;0.5),(CROQUIS_DATOS!$C$1566+(IF(IF(MOD(MIN(INT(($A124-1)/2)+1,MAX(1,INT(((((CROQUIS_DATOS!$C$1494+CROQUIS_DATOS!$C$1495))-(CROQUIS_DATOS!$C$1494))+((CROQUIS_DATOS!$C$1476)*CROQUIS_DATOS!$C$1561-((CROQUIS_DATOS!$C$1496+CROQUIS_DATOS!$C$1497))*CROQUIS_DATOS!$C$1561))/CROQUIS_DATOS!$C$1568-0.000001))),2)=1,IF(INT(($A124-1)/2)+1&gt;MAX(1,INT(((((CROQUIS_DATOS!$C$1494+CROQUIS_DATOS!$C$1495))-(CROQUIS_DATOS!$C$1494))+((CROQUIS_DATOS!$C$1476)*CROQUIS_DATOS!$C$1561-((CROQUIS_DATOS!$C$1496+CROQUIS_DATOS!$C$1497))*CROQUIS_DATOS!$C$1561))/CROQUIS_DATOS!$C$1568-0.000001)),1,MOD($A124-1,2)),1-IF(INT(($A124-1)/2)+1&gt;MAX(1,INT(((((CROQUIS_DATOS!$C$1494+CROQUIS_DATOS!$C$1495))-(CROQUIS_DATOS!$C$1494))+((CROQUIS_DATOS!$C$1476)*CROQUIS_DATOS!$C$1561-((CROQUIS_DATOS!$C$1496+CROQUIS_DATOS!$C$1497))*CROQUIS_DATOS!$C$1561))/CROQUIS_DATOS!$C$1568-0.000001)),1,MOD($A124-1,2)))=1,MIN((CROQUIS_DATOS!$C$1476)*CROQUIS_DATOS!$C$1561,((CROQUIS_DATOS!$C$1494+CROQUIS_DATOS!$C$1495)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4">
        <f>IF(AND(CROQUIS_DATOS!$C$1472=1,CROQUIS_DATOS!$C$1478&gt;=4,((CROQUIS_DATOS!$C$1494+CROQUIS_DATOS!$C$1495))-(CROQUIS_DATOS!$C$1494)&gt;0.5,(CROQUIS_DATOS!$C$1476)-((CROQUIS_DATOS!$C$1496+CROQUIS_DATOS!$C$1497))&gt;0.5),(CROQUIS_DATOS!$C$1567+(IF(IF(MOD(MIN(INT(($A124-1)/2)+1,MAX(1,INT(((((CROQUIS_DATOS!$C$1494+CROQUIS_DATOS!$C$1495))-(CROQUIS_DATOS!$C$1494))+((CROQUIS_DATOS!$C$1476)*CROQUIS_DATOS!$C$1561-((CROQUIS_DATOS!$C$1496+CROQUIS_DATOS!$C$1497))*CROQUIS_DATOS!$C$1561))/CROQUIS_DATOS!$C$1568-0.000001))),2)=1,IF(INT(($A124-1)/2)+1&gt;MAX(1,INT(((((CROQUIS_DATOS!$C$1494+CROQUIS_DATOS!$C$1495))-(CROQUIS_DATOS!$C$1494))+((CROQUIS_DATOS!$C$1476)*CROQUIS_DATOS!$C$1561-((CROQUIS_DATOS!$C$1496+CROQUIS_DATOS!$C$1497))*CROQUIS_DATOS!$C$1561))/CROQUIS_DATOS!$C$1568-0.000001)),1,MOD($A124-1,2)),1-IF(INT(($A124-1)/2)+1&gt;MAX(1,INT(((((CROQUIS_DATOS!$C$1494+CROQUIS_DATOS!$C$1495))-(CROQUIS_DATOS!$C$1494))+((CROQUIS_DATOS!$C$1476)*CROQUIS_DATOS!$C$1561-((CROQUIS_DATOS!$C$1496+CROQUIS_DATOS!$C$1497))*CROQUIS_DATOS!$C$1561))/CROQUIS_DATOS!$C$1568-0.000001)),1,MOD($A124-1,2)))=1,MIN((CROQUIS_DATOS!$C$1476)*CROQUIS_DATOS!$C$1561,((CROQUIS_DATOS!$C$1494+CROQUIS_DATOS!$C$1495)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5">
      <c r="A125" t="n">
        <v>118</v>
      </c>
      <c r="N125">
        <f>IF(AND(CROQUIS_DATOS!$C$1472=1,1),(CROQUIS_DATOS!$C$1563+(IF(IF(IF(INT(($A125-1)/70)+1&gt;CROQUIS_DATOS!$C$1525,70,MOD($A125-1,70)+1)=1,0,IF(IF(INT(($A125-1)/70)+1&gt;CROQUIS_DATOS!$C$1525,70,MOD($A125-1,70)+1)&gt;2*CROQUIS_DATOS!$C$1541+1,IF(MOD(CROQUIS_DATOS!$C$1541,2)=1,1,0),IF(MOD(MIN(INT((IF(INT(($A125-1)/70)+1&gt;CROQUIS_DATOS!$C$1525,70,MOD($A125-1,70)+1)-2)/2)+1,CROQUIS_DATOS!$C$1541),2)=1,IF(MOD(IF(INT(($A125-1)/70)+1&gt;CROQUIS_DATOS!$C$1525,70,MOD($A125-1,70)+1)-2,2)=0,0,1),IF(MOD(IF(INT(($A125-1)/70)+1&gt;CROQUIS_DATOS!$C$1525,70,MOD($A125-1,70)+1)-2,2)=0,1,0))))=0,(INDEX($E$8:$E$23,MIN(INT(($A125-1)/70)+1,CROQUIS_DATOS!$C$1525))-INDEX($F$8:$F$23,MIN(INT(($A125-1)/70)+1,CROQUIS_DATOS!$C$1525))/2),(INDEX($E$8:$E$23,MIN(INT(($A125-1)/70)+1,CROQUIS_DATOS!$C$1525))+INDEX($F$8:$F$23,MIN(INT(($A125-1)/70)+1,CROQUIS_DATOS!$C$1525))/2)))*CROQUIS_DATOS!$C$1562),-1000)</f>
        <v>18.5775862068965</v>
      </c>
      <c r="O125">
        <f>IF(AND(CROQUIS_DATOS!$C$1472=1,1),(CROQUIS_DATOS!$C$1564+(IF(OR(IF(INT(($A125-1)/70)+1&gt;CROQUIS_DATOS!$C$1525,70,MOD($A125-1,70)+1)=1,IF(INT(($A125-1)/70)+1&gt;CROQUIS_DATOS!$C$1525,70,MOD($A125-1,70)+1)&gt;2*CROQUIS_DATOS!$C$1541+1),CROQUIS_DATOS!$C$1476,INDEX($H$8:$H$41,MIN(INT((IF(INT(($A125-1)/70)+1&gt;CROQUIS_DATOS!$C$1525,70,MOD($A125-1,70)+1)-2)/2)+1,CROQUIS_DATOS!$C$1541))))*CROQUIS_DATOS!$C$1561*CROQUIS_DATOS!$C$1562),-1000)</f>
        <v>40.2068965517241</v>
      </c>
      <c r="P125">
        <f>IF(AND(CROQUIS_DATOS!$C$1472=1,CROQUIS_DATOS!$C$1555=1),(CROQUIS_DATOS!$C$1563+(IF(IF(OR(MOD($A125-1,62)+1=1,IF(CHOOSE(MIN(MAX(MIN(INT(($A125-1)/62)+1,5),1),5),CROQUIS_DATOS!$C$1501,CROQUIS_DATOS!$C$1505,CROQUIS_DATOS!$C$1509,CROQUIS_DATOS!$C$1513,CROQUIS_DATOS!$C$1517)=1,CROQUIS_DATOS!$C$1557,0)=0),0,IF(MOD($A125-1,62)+1&gt;2*IF(CHOOSE(MIN(MAX(MIN(INT(($A125-1)/62)+1,5),1),5),CROQUIS_DATOS!$C$1501,CROQUIS_DATOS!$C$1505,CROQUIS_DATOS!$C$1509,CROQUIS_DATOS!$C$1513,CROQUIS_DATOS!$C$1517)=1,CROQUIS_DATOS!$C$1557,0)+1,IF(MOD(IF(CHOOSE(MIN(MAX(MIN(INT(($A125-1)/62)+1,5),1),5),CROQUIS_DATOS!$C$1501,CROQUIS_DATOS!$C$1505,CROQUIS_DATOS!$C$1509,CROQUIS_DATOS!$C$1513,CROQUIS_DATOS!$C$1517)=1,CROQUIS_DATOS!$C$1557,0),2)=1,1,0),IF(MOD(MIN(INT((MOD($A125-1,62)+1-2)/2)+1,MAX(IF(CHOOSE(MIN(MAX(MIN(INT(($A125-1)/62)+1,5),1),5),CROQUIS_DATOS!$C$1501,CROQUIS_DATOS!$C$1505,CROQUIS_DATOS!$C$1509,CROQUIS_DATOS!$C$1513,CROQUIS_DATOS!$C$1517)=1,CROQUIS_DATOS!$C$1557,0),1)),2)=1,IF(MOD(MOD($A125-1,62)+1-2,2)=0,0,1),IF(MOD(MOD($A125-1,62)+1-2,2)=0,1,0))))=0,(CHOOSE(MIN(MAX(MIN(INT(($A125-1)/62)+1,5),1),5),CROQUIS_DATOS!$C$1499,CROQUIS_DATOS!$C$1503,CROQUIS_DATOS!$C$1507,CROQUIS_DATOS!$C$1511,CROQUIS_DATOS!$C$1515)+IF(CHOOSE(MIN(MAX(MIN(INT(($A125-1)/62)+1,5),1),5),CROQUIS_DATOS!$C$1501,CROQUIS_DATOS!$C$1505,CROQUIS_DATOS!$C$1509,CROQUIS_DATOS!$C$1513,CROQUIS_DATOS!$C$1517)=1,CROQUIS_DATOS!$C$1526,0)),(CHOOSE(MIN(MAX(MIN(INT(($A125-1)/62)+1,5),1),5),CROQUIS_DATOS!$C$1499,CROQUIS_DATOS!$C$1503,CROQUIS_DATOS!$C$1507,CROQUIS_DATOS!$C$1511,CROQUIS_DATOS!$C$1515)+CHOOSE(MIN(MAX(MIN(INT(($A125-1)/62)+1,5),1),5),CROQUIS_DATOS!$C$1500,CROQUIS_DATOS!$C$1504,CROQUIS_DATOS!$C$1508,CROQUIS_DATOS!$C$1512,CROQUIS_DATOS!$C$1516)-IF(CHOOSE(MIN(MAX(MIN(INT(($A125-1)/62)+1,5),1),5),CROQUIS_DATOS!$C$1501,CROQUIS_DATOS!$C$1505,CROQUIS_DATOS!$C$1509,CROQUIS_DATOS!$C$1513,CROQUIS_DATOS!$C$1517)=1,CROQUIS_DATOS!$C$1526,0))))*CROQUIS_DATOS!$C$1562),-1000)</f>
        <v>-1000</v>
      </c>
      <c r="Q125">
        <f>IF(AND(CROQUIS_DATOS!$C$1472=1,CROQUIS_DATOS!$C$1555=1),(CROQUIS_DATOS!$C$1564+(IF(OR(OR(MOD($A125-1,62)+1=1,IF(CHOOSE(MIN(MAX(MIN(INT(($A125-1)/62)+1,5),1),5),CROQUIS_DATOS!$C$1501,CROQUIS_DATOS!$C$1505,CROQUIS_DATOS!$C$1509,CROQUIS_DATOS!$C$1513,CROQUIS_DATOS!$C$1517)=1,CROQUIS_DATOS!$C$1557,0)=0),MOD($A125-1,62)+1&gt;2*IF(CHOOSE(MIN(MAX(MIN(INT(($A125-1)/62)+1,5),1),5),CROQUIS_DATOS!$C$1501,CROQUIS_DATOS!$C$1505,CROQUIS_DATOS!$C$1509,CROQUIS_DATOS!$C$1513,CROQUIS_DATOS!$C$1517)=1,CROQUIS_DATOS!$C$1557,0)+1),CROQUIS_DATOS!$C$1476,MIN(INT((MOD($A125-1,62)+1-2)/2)+1,MAX(IF(CHOOSE(MIN(MAX(MIN(INT(($A125-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5">
        <f>IF(AND(CROQUIS_DATOS!$C$1472=1,1),(CROQUIS_DATOS!$C$1563+(MIN(INT(($A125-1)/2)+1,CROQUIS_DATOS!$C$1558)*CROQUIS_DATOS!$C$1559)*CROQUIS_DATOS!$C$1562),-1000)</f>
        <v>82.2281167108753</v>
      </c>
      <c r="U125">
        <f>IF(AND(CROQUIS_DATOS!$C$1472=1,1),(CROQUIS_DATOS!$C$1564+(IF(INT(($A125-1)/2)+1&gt;CROQUIS_DATOS!$C$1558,IF(MOD(CROQUIS_DATOS!$C$1558,2)=1,CROQUIS_DATOS!$C$1476+CROQUIS_DATOS!$C$1528,CROQUIS_DATOS!$C$1476),IF(IF(MOD(MIN(INT(($A125-1)/2)+1,CROQUIS_DATOS!$C$1558),2)=1,MOD($A125-1,2),1-MOD($A125-1,2))=1,CROQUIS_DATOS!$C$1476+CROQUIS_DATOS!$C$1528,CROQUIS_DATOS!$C$1476)))*CROQUIS_DATOS!$C$1561*CROQUIS_DATOS!$C$1562),-1000)</f>
        <v>43</v>
      </c>
      <c r="BZ125">
        <f>IF(AND(CROQUIS_DATOS!$C$1472=1,CROQUIS_DATOS!$C$1500&gt;0,((CROQUIS_DATOS!$C$1499+CROQUIS_DATOS!$C$1500))-(CROQUIS_DATOS!$C$1499)&gt;0.5,(CROQUIS_DATOS!$C$1476)-(0)&gt;0.5),(CROQUIS_DATOS!$C$1566+(IF(IF(MOD(MIN(INT(($A125-1)/2)+1,MAX(1,INT(((((CROQUIS_DATOS!$C$1499+CROQUIS_DATOS!$C$1500))-(CROQUIS_DATOS!$C$1499))+((CROQUIS_DATOS!$C$1476)*CROQUIS_DATOS!$C$1561-(0)*CROQUIS_DATOS!$C$1561))/CROQUIS_DATOS!$C$1568-0.000001))),2)=1,IF(INT(($A125-1)/2)+1&gt;MAX(1,INT(((((CROQUIS_DATOS!$C$1499+CROQUIS_DATOS!$C$1500))-(CROQUIS_DATOS!$C$1499))+((CROQUIS_DATOS!$C$1476)*CROQUIS_DATOS!$C$1561-(0)*CROQUIS_DATOS!$C$1561))/CROQUIS_DATOS!$C$1568-0.000001)),1,MOD($A125-1,2)),1-IF(INT(($A125-1)/2)+1&gt;MAX(1,INT(((((CROQUIS_DATOS!$C$1499+CROQUIS_DATOS!$C$1500))-(CROQUIS_DATOS!$C$1499))+((CROQUIS_DATOS!$C$1476)*CROQUIS_DATOS!$C$1561-(0)*CROQUIS_DATOS!$C$1561))/CROQUIS_DATOS!$C$1568-0.000001)),1,MOD($A125-1,2)))=1,MIN((CROQUIS_DATOS!$C$1476)*CROQUIS_DATOS!$C$1561,((CROQUIS_DATOS!$C$1499+CROQUIS_DATOS!$C$1500)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5">
        <f>IF(AND(CROQUIS_DATOS!$C$1472=1,CROQUIS_DATOS!$C$1500&gt;0,((CROQUIS_DATOS!$C$1499+CROQUIS_DATOS!$C$1500))-(CROQUIS_DATOS!$C$1499)&gt;0.5,(CROQUIS_DATOS!$C$1476)-(0)&gt;0.5),(CROQUIS_DATOS!$C$1567+(IF(IF(MOD(MIN(INT(($A125-1)/2)+1,MAX(1,INT(((((CROQUIS_DATOS!$C$1499+CROQUIS_DATOS!$C$1500))-(CROQUIS_DATOS!$C$1499))+((CROQUIS_DATOS!$C$1476)*CROQUIS_DATOS!$C$1561-(0)*CROQUIS_DATOS!$C$1561))/CROQUIS_DATOS!$C$1568-0.000001))),2)=1,IF(INT(($A125-1)/2)+1&gt;MAX(1,INT(((((CROQUIS_DATOS!$C$1499+CROQUIS_DATOS!$C$1500))-(CROQUIS_DATOS!$C$1499))+((CROQUIS_DATOS!$C$1476)*CROQUIS_DATOS!$C$1561-(0)*CROQUIS_DATOS!$C$1561))/CROQUIS_DATOS!$C$1568-0.000001)),1,MOD($A125-1,2)),1-IF(INT(($A125-1)/2)+1&gt;MAX(1,INT(((((CROQUIS_DATOS!$C$1499+CROQUIS_DATOS!$C$1500))-(CROQUIS_DATOS!$C$1499))+((CROQUIS_DATOS!$C$1476)*CROQUIS_DATOS!$C$1561-(0)*CROQUIS_DATOS!$C$1561))/CROQUIS_DATOS!$C$1568-0.000001)),1,MOD($A125-1,2)))=1,MIN((CROQUIS_DATOS!$C$1476)*CROQUIS_DATOS!$C$1561,((CROQUIS_DATOS!$C$1499+CROQUIS_DATOS!$C$1500)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5">
        <f>IF(AND(CROQUIS_DATOS!$C$1472=1,CROQUIS_DATOS!$C$1504&gt;0,((CROQUIS_DATOS!$C$1503+CROQUIS_DATOS!$C$1504))-(CROQUIS_DATOS!$C$1503)&gt;0.5,(CROQUIS_DATOS!$C$1476)-(0)&gt;0.5),(CROQUIS_DATOS!$C$1566+(IF(IF(MOD(MIN(INT(($A125-1)/2)+1,MAX(1,INT(((((CROQUIS_DATOS!$C$1503+CROQUIS_DATOS!$C$1504))-(CROQUIS_DATOS!$C$1503))+((CROQUIS_DATOS!$C$1476)*CROQUIS_DATOS!$C$1561-(0)*CROQUIS_DATOS!$C$1561))/CROQUIS_DATOS!$C$1568-0.000001))),2)=1,IF(INT(($A125-1)/2)+1&gt;MAX(1,INT(((((CROQUIS_DATOS!$C$1503+CROQUIS_DATOS!$C$1504))-(CROQUIS_DATOS!$C$1503))+((CROQUIS_DATOS!$C$1476)*CROQUIS_DATOS!$C$1561-(0)*CROQUIS_DATOS!$C$1561))/CROQUIS_DATOS!$C$1568-0.000001)),1,MOD($A125-1,2)),1-IF(INT(($A125-1)/2)+1&gt;MAX(1,INT(((((CROQUIS_DATOS!$C$1503+CROQUIS_DATOS!$C$1504))-(CROQUIS_DATOS!$C$1503))+((CROQUIS_DATOS!$C$1476)*CROQUIS_DATOS!$C$1561-(0)*CROQUIS_DATOS!$C$1561))/CROQUIS_DATOS!$C$1568-0.000001)),1,MOD($A125-1,2)))=1,MIN((CROQUIS_DATOS!$C$1476)*CROQUIS_DATOS!$C$1561,((CROQUIS_DATOS!$C$1503+CROQUIS_DATOS!$C$1504)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5">
        <f>IF(AND(CROQUIS_DATOS!$C$1472=1,CROQUIS_DATOS!$C$1504&gt;0,((CROQUIS_DATOS!$C$1503+CROQUIS_DATOS!$C$1504))-(CROQUIS_DATOS!$C$1503)&gt;0.5,(CROQUIS_DATOS!$C$1476)-(0)&gt;0.5),(CROQUIS_DATOS!$C$1567+(IF(IF(MOD(MIN(INT(($A125-1)/2)+1,MAX(1,INT(((((CROQUIS_DATOS!$C$1503+CROQUIS_DATOS!$C$1504))-(CROQUIS_DATOS!$C$1503))+((CROQUIS_DATOS!$C$1476)*CROQUIS_DATOS!$C$1561-(0)*CROQUIS_DATOS!$C$1561))/CROQUIS_DATOS!$C$1568-0.000001))),2)=1,IF(INT(($A125-1)/2)+1&gt;MAX(1,INT(((((CROQUIS_DATOS!$C$1503+CROQUIS_DATOS!$C$1504))-(CROQUIS_DATOS!$C$1503))+((CROQUIS_DATOS!$C$1476)*CROQUIS_DATOS!$C$1561-(0)*CROQUIS_DATOS!$C$1561))/CROQUIS_DATOS!$C$1568-0.000001)),1,MOD($A125-1,2)),1-IF(INT(($A125-1)/2)+1&gt;MAX(1,INT(((((CROQUIS_DATOS!$C$1503+CROQUIS_DATOS!$C$1504))-(CROQUIS_DATOS!$C$1503))+((CROQUIS_DATOS!$C$1476)*CROQUIS_DATOS!$C$1561-(0)*CROQUIS_DATOS!$C$1561))/CROQUIS_DATOS!$C$1568-0.000001)),1,MOD($A125-1,2)))=1,MIN((CROQUIS_DATOS!$C$1476)*CROQUIS_DATOS!$C$1561,((CROQUIS_DATOS!$C$1503+CROQUIS_DATOS!$C$1504)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5">
        <f>IF(AND(CROQUIS_DATOS!$C$1472=1,CROQUIS_DATOS!$C$1508&gt;0,((CROQUIS_DATOS!$C$1507+CROQUIS_DATOS!$C$1508))-(CROQUIS_DATOS!$C$1507)&gt;0.5,(CROQUIS_DATOS!$C$1476)-(0)&gt;0.5),(CROQUIS_DATOS!$C$1566+(IF(IF(MOD(MIN(INT(($A125-1)/2)+1,MAX(1,INT(((((CROQUIS_DATOS!$C$1507+CROQUIS_DATOS!$C$1508))-(CROQUIS_DATOS!$C$1507))+((CROQUIS_DATOS!$C$1476)*CROQUIS_DATOS!$C$1561-(0)*CROQUIS_DATOS!$C$1561))/CROQUIS_DATOS!$C$1568-0.000001))),2)=1,IF(INT(($A125-1)/2)+1&gt;MAX(1,INT(((((CROQUIS_DATOS!$C$1507+CROQUIS_DATOS!$C$1508))-(CROQUIS_DATOS!$C$1507))+((CROQUIS_DATOS!$C$1476)*CROQUIS_DATOS!$C$1561-(0)*CROQUIS_DATOS!$C$1561))/CROQUIS_DATOS!$C$1568-0.000001)),1,MOD($A125-1,2)),1-IF(INT(($A125-1)/2)+1&gt;MAX(1,INT(((((CROQUIS_DATOS!$C$1507+CROQUIS_DATOS!$C$1508))-(CROQUIS_DATOS!$C$1507))+((CROQUIS_DATOS!$C$1476)*CROQUIS_DATOS!$C$1561-(0)*CROQUIS_DATOS!$C$1561))/CROQUIS_DATOS!$C$1568-0.000001)),1,MOD($A125-1,2)))=1,MIN((CROQUIS_DATOS!$C$1476)*CROQUIS_DATOS!$C$1561,((CROQUIS_DATOS!$C$1507+CROQUIS_DATOS!$C$1508)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5">
        <f>IF(AND(CROQUIS_DATOS!$C$1472=1,CROQUIS_DATOS!$C$1508&gt;0,((CROQUIS_DATOS!$C$1507+CROQUIS_DATOS!$C$1508))-(CROQUIS_DATOS!$C$1507)&gt;0.5,(CROQUIS_DATOS!$C$1476)-(0)&gt;0.5),(CROQUIS_DATOS!$C$1567+(IF(IF(MOD(MIN(INT(($A125-1)/2)+1,MAX(1,INT(((((CROQUIS_DATOS!$C$1507+CROQUIS_DATOS!$C$1508))-(CROQUIS_DATOS!$C$1507))+((CROQUIS_DATOS!$C$1476)*CROQUIS_DATOS!$C$1561-(0)*CROQUIS_DATOS!$C$1561))/CROQUIS_DATOS!$C$1568-0.000001))),2)=1,IF(INT(($A125-1)/2)+1&gt;MAX(1,INT(((((CROQUIS_DATOS!$C$1507+CROQUIS_DATOS!$C$1508))-(CROQUIS_DATOS!$C$1507))+((CROQUIS_DATOS!$C$1476)*CROQUIS_DATOS!$C$1561-(0)*CROQUIS_DATOS!$C$1561))/CROQUIS_DATOS!$C$1568-0.000001)),1,MOD($A125-1,2)),1-IF(INT(($A125-1)/2)+1&gt;MAX(1,INT(((((CROQUIS_DATOS!$C$1507+CROQUIS_DATOS!$C$1508))-(CROQUIS_DATOS!$C$1507))+((CROQUIS_DATOS!$C$1476)*CROQUIS_DATOS!$C$1561-(0)*CROQUIS_DATOS!$C$1561))/CROQUIS_DATOS!$C$1568-0.000001)),1,MOD($A125-1,2)))=1,MIN((CROQUIS_DATOS!$C$1476)*CROQUIS_DATOS!$C$1561,((CROQUIS_DATOS!$C$1507+CROQUIS_DATOS!$C$1508)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5">
        <f>IF(AND(CROQUIS_DATOS!$C$1472=1,CROQUIS_DATOS!$C$1512&gt;0,((CROQUIS_DATOS!$C$1511+CROQUIS_DATOS!$C$1512))-(CROQUIS_DATOS!$C$1511)&gt;0.5,(CROQUIS_DATOS!$C$1476)-(0)&gt;0.5),(CROQUIS_DATOS!$C$1566+(IF(IF(MOD(MIN(INT(($A125-1)/2)+1,MAX(1,INT(((((CROQUIS_DATOS!$C$1511+CROQUIS_DATOS!$C$1512))-(CROQUIS_DATOS!$C$1511))+((CROQUIS_DATOS!$C$1476)*CROQUIS_DATOS!$C$1561-(0)*CROQUIS_DATOS!$C$1561))/CROQUIS_DATOS!$C$1568-0.000001))),2)=1,IF(INT(($A125-1)/2)+1&gt;MAX(1,INT(((((CROQUIS_DATOS!$C$1511+CROQUIS_DATOS!$C$1512))-(CROQUIS_DATOS!$C$1511))+((CROQUIS_DATOS!$C$1476)*CROQUIS_DATOS!$C$1561-(0)*CROQUIS_DATOS!$C$1561))/CROQUIS_DATOS!$C$1568-0.000001)),1,MOD($A125-1,2)),1-IF(INT(($A125-1)/2)+1&gt;MAX(1,INT(((((CROQUIS_DATOS!$C$1511+CROQUIS_DATOS!$C$1512))-(CROQUIS_DATOS!$C$1511))+((CROQUIS_DATOS!$C$1476)*CROQUIS_DATOS!$C$1561-(0)*CROQUIS_DATOS!$C$1561))/CROQUIS_DATOS!$C$1568-0.000001)),1,MOD($A125-1,2)))=1,MIN((CROQUIS_DATOS!$C$1476)*CROQUIS_DATOS!$C$1561,((CROQUIS_DATOS!$C$1511+CROQUIS_DATOS!$C$1512)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5">
        <f>IF(AND(CROQUIS_DATOS!$C$1472=1,CROQUIS_DATOS!$C$1512&gt;0,((CROQUIS_DATOS!$C$1511+CROQUIS_DATOS!$C$1512))-(CROQUIS_DATOS!$C$1511)&gt;0.5,(CROQUIS_DATOS!$C$1476)-(0)&gt;0.5),(CROQUIS_DATOS!$C$1567+(IF(IF(MOD(MIN(INT(($A125-1)/2)+1,MAX(1,INT(((((CROQUIS_DATOS!$C$1511+CROQUIS_DATOS!$C$1512))-(CROQUIS_DATOS!$C$1511))+((CROQUIS_DATOS!$C$1476)*CROQUIS_DATOS!$C$1561-(0)*CROQUIS_DATOS!$C$1561))/CROQUIS_DATOS!$C$1568-0.000001))),2)=1,IF(INT(($A125-1)/2)+1&gt;MAX(1,INT(((((CROQUIS_DATOS!$C$1511+CROQUIS_DATOS!$C$1512))-(CROQUIS_DATOS!$C$1511))+((CROQUIS_DATOS!$C$1476)*CROQUIS_DATOS!$C$1561-(0)*CROQUIS_DATOS!$C$1561))/CROQUIS_DATOS!$C$1568-0.000001)),1,MOD($A125-1,2)),1-IF(INT(($A125-1)/2)+1&gt;MAX(1,INT(((((CROQUIS_DATOS!$C$1511+CROQUIS_DATOS!$C$1512))-(CROQUIS_DATOS!$C$1511))+((CROQUIS_DATOS!$C$1476)*CROQUIS_DATOS!$C$1561-(0)*CROQUIS_DATOS!$C$1561))/CROQUIS_DATOS!$C$1568-0.000001)),1,MOD($A125-1,2)))=1,MIN((CROQUIS_DATOS!$C$1476)*CROQUIS_DATOS!$C$1561,((CROQUIS_DATOS!$C$1511+CROQUIS_DATOS!$C$1512)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5">
        <f>IF(AND(CROQUIS_DATOS!$C$1472=1,CROQUIS_DATOS!$C$1516&gt;0,((CROQUIS_DATOS!$C$1515+CROQUIS_DATOS!$C$1516))-(CROQUIS_DATOS!$C$1515)&gt;0.5,(CROQUIS_DATOS!$C$1476)-(0)&gt;0.5),(CROQUIS_DATOS!$C$1566+(IF(IF(MOD(MIN(INT(($A125-1)/2)+1,MAX(1,INT(((((CROQUIS_DATOS!$C$1515+CROQUIS_DATOS!$C$1516))-(CROQUIS_DATOS!$C$1515))+((CROQUIS_DATOS!$C$1476)*CROQUIS_DATOS!$C$1561-(0)*CROQUIS_DATOS!$C$1561))/CROQUIS_DATOS!$C$1568-0.000001))),2)=1,IF(INT(($A125-1)/2)+1&gt;MAX(1,INT(((((CROQUIS_DATOS!$C$1515+CROQUIS_DATOS!$C$1516))-(CROQUIS_DATOS!$C$1515))+((CROQUIS_DATOS!$C$1476)*CROQUIS_DATOS!$C$1561-(0)*CROQUIS_DATOS!$C$1561))/CROQUIS_DATOS!$C$1568-0.000001)),1,MOD($A125-1,2)),1-IF(INT(($A125-1)/2)+1&gt;MAX(1,INT(((((CROQUIS_DATOS!$C$1515+CROQUIS_DATOS!$C$1516))-(CROQUIS_DATOS!$C$1515))+((CROQUIS_DATOS!$C$1476)*CROQUIS_DATOS!$C$1561-(0)*CROQUIS_DATOS!$C$1561))/CROQUIS_DATOS!$C$1568-0.000001)),1,MOD($A125-1,2)))=1,MIN((CROQUIS_DATOS!$C$1476)*CROQUIS_DATOS!$C$1561,((CROQUIS_DATOS!$C$1515+CROQUIS_DATOS!$C$1516)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5">
        <f>IF(AND(CROQUIS_DATOS!$C$1472=1,CROQUIS_DATOS!$C$1516&gt;0,((CROQUIS_DATOS!$C$1515+CROQUIS_DATOS!$C$1516))-(CROQUIS_DATOS!$C$1515)&gt;0.5,(CROQUIS_DATOS!$C$1476)-(0)&gt;0.5),(CROQUIS_DATOS!$C$1567+(IF(IF(MOD(MIN(INT(($A125-1)/2)+1,MAX(1,INT(((((CROQUIS_DATOS!$C$1515+CROQUIS_DATOS!$C$1516))-(CROQUIS_DATOS!$C$1515))+((CROQUIS_DATOS!$C$1476)*CROQUIS_DATOS!$C$1561-(0)*CROQUIS_DATOS!$C$1561))/CROQUIS_DATOS!$C$1568-0.000001))),2)=1,IF(INT(($A125-1)/2)+1&gt;MAX(1,INT(((((CROQUIS_DATOS!$C$1515+CROQUIS_DATOS!$C$1516))-(CROQUIS_DATOS!$C$1515))+((CROQUIS_DATOS!$C$1476)*CROQUIS_DATOS!$C$1561-(0)*CROQUIS_DATOS!$C$1561))/CROQUIS_DATOS!$C$1568-0.000001)),1,MOD($A125-1,2)),1-IF(INT(($A125-1)/2)+1&gt;MAX(1,INT(((((CROQUIS_DATOS!$C$1515+CROQUIS_DATOS!$C$1516))-(CROQUIS_DATOS!$C$1515))+((CROQUIS_DATOS!$C$1476)*CROQUIS_DATOS!$C$1561-(0)*CROQUIS_DATOS!$C$1561))/CROQUIS_DATOS!$C$1568-0.000001)),1,MOD($A125-1,2)))=1,MIN((CROQUIS_DATOS!$C$1476)*CROQUIS_DATOS!$C$1561,((CROQUIS_DATOS!$C$1515+CROQUIS_DATOS!$C$1516)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5">
        <f>IF(AND(CROQUIS_DATOS!$C$1472=1,CROQUIS_DATOS!$C$1478&gt;=1,((CROQUIS_DATOS!$C$1479+CROQUIS_DATOS!$C$1480))-(CROQUIS_DATOS!$C$1479)&gt;0.5,(CROQUIS_DATOS!$C$1481)-(0)&gt;0.5),(CROQUIS_DATOS!$C$1566+(IF(IF(MOD(MIN(INT(($A125-1)/2)+1,MAX(1,INT(((((CROQUIS_DATOS!$C$1479+CROQUIS_DATOS!$C$1480))-(CROQUIS_DATOS!$C$1479))+((CROQUIS_DATOS!$C$1481)*CROQUIS_DATOS!$C$1561-(0)*CROQUIS_DATOS!$C$1561))/CROQUIS_DATOS!$C$1568-0.000001))),2)=1,IF(INT(($A125-1)/2)+1&gt;MAX(1,INT(((((CROQUIS_DATOS!$C$1479+CROQUIS_DATOS!$C$1480))-(CROQUIS_DATOS!$C$1479))+((CROQUIS_DATOS!$C$1481)*CROQUIS_DATOS!$C$1561-(0)*CROQUIS_DATOS!$C$1561))/CROQUIS_DATOS!$C$1568-0.000001)),1,MOD($A125-1,2)),1-IF(INT(($A125-1)/2)+1&gt;MAX(1,INT(((((CROQUIS_DATOS!$C$1479+CROQUIS_DATOS!$C$1480))-(CROQUIS_DATOS!$C$1479))+((CROQUIS_DATOS!$C$1481)*CROQUIS_DATOS!$C$1561-(0)*CROQUIS_DATOS!$C$1561))/CROQUIS_DATOS!$C$1568-0.000001)),1,MOD($A125-1,2)))=1,MIN((CROQUIS_DATOS!$C$1481)*CROQUIS_DATOS!$C$1561,((CROQUIS_DATOS!$C$1479+CROQUIS_DATOS!$C$1480)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5">
        <f>IF(AND(CROQUIS_DATOS!$C$1472=1,CROQUIS_DATOS!$C$1478&gt;=1,((CROQUIS_DATOS!$C$1479+CROQUIS_DATOS!$C$1480))-(CROQUIS_DATOS!$C$1479)&gt;0.5,(CROQUIS_DATOS!$C$1481)-(0)&gt;0.5),(CROQUIS_DATOS!$C$1567+(IF(IF(MOD(MIN(INT(($A125-1)/2)+1,MAX(1,INT(((((CROQUIS_DATOS!$C$1479+CROQUIS_DATOS!$C$1480))-(CROQUIS_DATOS!$C$1479))+((CROQUIS_DATOS!$C$1481)*CROQUIS_DATOS!$C$1561-(0)*CROQUIS_DATOS!$C$1561))/CROQUIS_DATOS!$C$1568-0.000001))),2)=1,IF(INT(($A125-1)/2)+1&gt;MAX(1,INT(((((CROQUIS_DATOS!$C$1479+CROQUIS_DATOS!$C$1480))-(CROQUIS_DATOS!$C$1479))+((CROQUIS_DATOS!$C$1481)*CROQUIS_DATOS!$C$1561-(0)*CROQUIS_DATOS!$C$1561))/CROQUIS_DATOS!$C$1568-0.000001)),1,MOD($A125-1,2)),1-IF(INT(($A125-1)/2)+1&gt;MAX(1,INT(((((CROQUIS_DATOS!$C$1479+CROQUIS_DATOS!$C$1480))-(CROQUIS_DATOS!$C$1479))+((CROQUIS_DATOS!$C$1481)*CROQUIS_DATOS!$C$1561-(0)*CROQUIS_DATOS!$C$1561))/CROQUIS_DATOS!$C$1568-0.000001)),1,MOD($A125-1,2)))=1,MIN((CROQUIS_DATOS!$C$1481)*CROQUIS_DATOS!$C$1561,((CROQUIS_DATOS!$C$1479+CROQUIS_DATOS!$C$1480)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5">
        <f>IF(AND(CROQUIS_DATOS!$C$1472=1,CROQUIS_DATOS!$C$1478&gt;=1,((CROQUIS_DATOS!$C$1479+CROQUIS_DATOS!$C$1480))-(CROQUIS_DATOS!$C$1479)&gt;0.5,(CROQUIS_DATOS!$C$1476)-((CROQUIS_DATOS!$C$1481+CROQUIS_DATOS!$C$1482))&gt;0.5),(CROQUIS_DATOS!$C$1566+(IF(IF(MOD(MIN(INT(($A125-1)/2)+1,MAX(1,INT(((((CROQUIS_DATOS!$C$1479+CROQUIS_DATOS!$C$1480))-(CROQUIS_DATOS!$C$1479))+((CROQUIS_DATOS!$C$1476)*CROQUIS_DATOS!$C$1561-((CROQUIS_DATOS!$C$1481+CROQUIS_DATOS!$C$1482))*CROQUIS_DATOS!$C$1561))/CROQUIS_DATOS!$C$1568-0.000001))),2)=1,IF(INT(($A125-1)/2)+1&gt;MAX(1,INT(((((CROQUIS_DATOS!$C$1479+CROQUIS_DATOS!$C$1480))-(CROQUIS_DATOS!$C$1479))+((CROQUIS_DATOS!$C$1476)*CROQUIS_DATOS!$C$1561-((CROQUIS_DATOS!$C$1481+CROQUIS_DATOS!$C$1482))*CROQUIS_DATOS!$C$1561))/CROQUIS_DATOS!$C$1568-0.000001)),1,MOD($A125-1,2)),1-IF(INT(($A125-1)/2)+1&gt;MAX(1,INT(((((CROQUIS_DATOS!$C$1479+CROQUIS_DATOS!$C$1480))-(CROQUIS_DATOS!$C$1479))+((CROQUIS_DATOS!$C$1476)*CROQUIS_DATOS!$C$1561-((CROQUIS_DATOS!$C$1481+CROQUIS_DATOS!$C$1482))*CROQUIS_DATOS!$C$1561))/CROQUIS_DATOS!$C$1568-0.000001)),1,MOD($A125-1,2)))=1,MIN((CROQUIS_DATOS!$C$1476)*CROQUIS_DATOS!$C$1561,((CROQUIS_DATOS!$C$1479+CROQUIS_DATOS!$C$1480)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5">
        <f>IF(AND(CROQUIS_DATOS!$C$1472=1,CROQUIS_DATOS!$C$1478&gt;=1,((CROQUIS_DATOS!$C$1479+CROQUIS_DATOS!$C$1480))-(CROQUIS_DATOS!$C$1479)&gt;0.5,(CROQUIS_DATOS!$C$1476)-((CROQUIS_DATOS!$C$1481+CROQUIS_DATOS!$C$1482))&gt;0.5),(CROQUIS_DATOS!$C$1567+(IF(IF(MOD(MIN(INT(($A125-1)/2)+1,MAX(1,INT(((((CROQUIS_DATOS!$C$1479+CROQUIS_DATOS!$C$1480))-(CROQUIS_DATOS!$C$1479))+((CROQUIS_DATOS!$C$1476)*CROQUIS_DATOS!$C$1561-((CROQUIS_DATOS!$C$1481+CROQUIS_DATOS!$C$1482))*CROQUIS_DATOS!$C$1561))/CROQUIS_DATOS!$C$1568-0.000001))),2)=1,IF(INT(($A125-1)/2)+1&gt;MAX(1,INT(((((CROQUIS_DATOS!$C$1479+CROQUIS_DATOS!$C$1480))-(CROQUIS_DATOS!$C$1479))+((CROQUIS_DATOS!$C$1476)*CROQUIS_DATOS!$C$1561-((CROQUIS_DATOS!$C$1481+CROQUIS_DATOS!$C$1482))*CROQUIS_DATOS!$C$1561))/CROQUIS_DATOS!$C$1568-0.000001)),1,MOD($A125-1,2)),1-IF(INT(($A125-1)/2)+1&gt;MAX(1,INT(((((CROQUIS_DATOS!$C$1479+CROQUIS_DATOS!$C$1480))-(CROQUIS_DATOS!$C$1479))+((CROQUIS_DATOS!$C$1476)*CROQUIS_DATOS!$C$1561-((CROQUIS_DATOS!$C$1481+CROQUIS_DATOS!$C$1482))*CROQUIS_DATOS!$C$1561))/CROQUIS_DATOS!$C$1568-0.000001)),1,MOD($A125-1,2)))=1,MIN((CROQUIS_DATOS!$C$1476)*CROQUIS_DATOS!$C$1561,((CROQUIS_DATOS!$C$1479+CROQUIS_DATOS!$C$1480)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5">
        <f>IF(AND(CROQUIS_DATOS!$C$1472=1,CROQUIS_DATOS!$C$1478&gt;=2,((CROQUIS_DATOS!$C$1484+CROQUIS_DATOS!$C$1485))-(CROQUIS_DATOS!$C$1484)&gt;0.5,(CROQUIS_DATOS!$C$1486)-(0)&gt;0.5),(CROQUIS_DATOS!$C$1566+(IF(IF(MOD(MIN(INT(($A125-1)/2)+1,MAX(1,INT(((((CROQUIS_DATOS!$C$1484+CROQUIS_DATOS!$C$1485))-(CROQUIS_DATOS!$C$1484))+((CROQUIS_DATOS!$C$1486)*CROQUIS_DATOS!$C$1561-(0)*CROQUIS_DATOS!$C$1561))/CROQUIS_DATOS!$C$1568-0.000001))),2)=1,IF(INT(($A125-1)/2)+1&gt;MAX(1,INT(((((CROQUIS_DATOS!$C$1484+CROQUIS_DATOS!$C$1485))-(CROQUIS_DATOS!$C$1484))+((CROQUIS_DATOS!$C$1486)*CROQUIS_DATOS!$C$1561-(0)*CROQUIS_DATOS!$C$1561))/CROQUIS_DATOS!$C$1568-0.000001)),1,MOD($A125-1,2)),1-IF(INT(($A125-1)/2)+1&gt;MAX(1,INT(((((CROQUIS_DATOS!$C$1484+CROQUIS_DATOS!$C$1485))-(CROQUIS_DATOS!$C$1484))+((CROQUIS_DATOS!$C$1486)*CROQUIS_DATOS!$C$1561-(0)*CROQUIS_DATOS!$C$1561))/CROQUIS_DATOS!$C$1568-0.000001)),1,MOD($A125-1,2)))=1,MIN((CROQUIS_DATOS!$C$1486)*CROQUIS_DATOS!$C$1561,((CROQUIS_DATOS!$C$1484+CROQUIS_DATOS!$C$1485)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5">
        <f>IF(AND(CROQUIS_DATOS!$C$1472=1,CROQUIS_DATOS!$C$1478&gt;=2,((CROQUIS_DATOS!$C$1484+CROQUIS_DATOS!$C$1485))-(CROQUIS_DATOS!$C$1484)&gt;0.5,(CROQUIS_DATOS!$C$1486)-(0)&gt;0.5),(CROQUIS_DATOS!$C$1567+(IF(IF(MOD(MIN(INT(($A125-1)/2)+1,MAX(1,INT(((((CROQUIS_DATOS!$C$1484+CROQUIS_DATOS!$C$1485))-(CROQUIS_DATOS!$C$1484))+((CROQUIS_DATOS!$C$1486)*CROQUIS_DATOS!$C$1561-(0)*CROQUIS_DATOS!$C$1561))/CROQUIS_DATOS!$C$1568-0.000001))),2)=1,IF(INT(($A125-1)/2)+1&gt;MAX(1,INT(((((CROQUIS_DATOS!$C$1484+CROQUIS_DATOS!$C$1485))-(CROQUIS_DATOS!$C$1484))+((CROQUIS_DATOS!$C$1486)*CROQUIS_DATOS!$C$1561-(0)*CROQUIS_DATOS!$C$1561))/CROQUIS_DATOS!$C$1568-0.000001)),1,MOD($A125-1,2)),1-IF(INT(($A125-1)/2)+1&gt;MAX(1,INT(((((CROQUIS_DATOS!$C$1484+CROQUIS_DATOS!$C$1485))-(CROQUIS_DATOS!$C$1484))+((CROQUIS_DATOS!$C$1486)*CROQUIS_DATOS!$C$1561-(0)*CROQUIS_DATOS!$C$1561))/CROQUIS_DATOS!$C$1568-0.000001)),1,MOD($A125-1,2)))=1,MIN((CROQUIS_DATOS!$C$1486)*CROQUIS_DATOS!$C$1561,((CROQUIS_DATOS!$C$1484+CROQUIS_DATOS!$C$1485)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5">
        <f>IF(AND(CROQUIS_DATOS!$C$1472=1,CROQUIS_DATOS!$C$1478&gt;=2,((CROQUIS_DATOS!$C$1484+CROQUIS_DATOS!$C$1485))-(CROQUIS_DATOS!$C$1484)&gt;0.5,(CROQUIS_DATOS!$C$1476)-((CROQUIS_DATOS!$C$1486+CROQUIS_DATOS!$C$1487))&gt;0.5),(CROQUIS_DATOS!$C$1566+(IF(IF(MOD(MIN(INT(($A125-1)/2)+1,MAX(1,INT(((((CROQUIS_DATOS!$C$1484+CROQUIS_DATOS!$C$1485))-(CROQUIS_DATOS!$C$1484))+((CROQUIS_DATOS!$C$1476)*CROQUIS_DATOS!$C$1561-((CROQUIS_DATOS!$C$1486+CROQUIS_DATOS!$C$1487))*CROQUIS_DATOS!$C$1561))/CROQUIS_DATOS!$C$1568-0.000001))),2)=1,IF(INT(($A125-1)/2)+1&gt;MAX(1,INT(((((CROQUIS_DATOS!$C$1484+CROQUIS_DATOS!$C$1485))-(CROQUIS_DATOS!$C$1484))+((CROQUIS_DATOS!$C$1476)*CROQUIS_DATOS!$C$1561-((CROQUIS_DATOS!$C$1486+CROQUIS_DATOS!$C$1487))*CROQUIS_DATOS!$C$1561))/CROQUIS_DATOS!$C$1568-0.000001)),1,MOD($A125-1,2)),1-IF(INT(($A125-1)/2)+1&gt;MAX(1,INT(((((CROQUIS_DATOS!$C$1484+CROQUIS_DATOS!$C$1485))-(CROQUIS_DATOS!$C$1484))+((CROQUIS_DATOS!$C$1476)*CROQUIS_DATOS!$C$1561-((CROQUIS_DATOS!$C$1486+CROQUIS_DATOS!$C$1487))*CROQUIS_DATOS!$C$1561))/CROQUIS_DATOS!$C$1568-0.000001)),1,MOD($A125-1,2)))=1,MIN((CROQUIS_DATOS!$C$1476)*CROQUIS_DATOS!$C$1561,((CROQUIS_DATOS!$C$1484+CROQUIS_DATOS!$C$1485)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5">
        <f>IF(AND(CROQUIS_DATOS!$C$1472=1,CROQUIS_DATOS!$C$1478&gt;=2,((CROQUIS_DATOS!$C$1484+CROQUIS_DATOS!$C$1485))-(CROQUIS_DATOS!$C$1484)&gt;0.5,(CROQUIS_DATOS!$C$1476)-((CROQUIS_DATOS!$C$1486+CROQUIS_DATOS!$C$1487))&gt;0.5),(CROQUIS_DATOS!$C$1567+(IF(IF(MOD(MIN(INT(($A125-1)/2)+1,MAX(1,INT(((((CROQUIS_DATOS!$C$1484+CROQUIS_DATOS!$C$1485))-(CROQUIS_DATOS!$C$1484))+((CROQUIS_DATOS!$C$1476)*CROQUIS_DATOS!$C$1561-((CROQUIS_DATOS!$C$1486+CROQUIS_DATOS!$C$1487))*CROQUIS_DATOS!$C$1561))/CROQUIS_DATOS!$C$1568-0.000001))),2)=1,IF(INT(($A125-1)/2)+1&gt;MAX(1,INT(((((CROQUIS_DATOS!$C$1484+CROQUIS_DATOS!$C$1485))-(CROQUIS_DATOS!$C$1484))+((CROQUIS_DATOS!$C$1476)*CROQUIS_DATOS!$C$1561-((CROQUIS_DATOS!$C$1486+CROQUIS_DATOS!$C$1487))*CROQUIS_DATOS!$C$1561))/CROQUIS_DATOS!$C$1568-0.000001)),1,MOD($A125-1,2)),1-IF(INT(($A125-1)/2)+1&gt;MAX(1,INT(((((CROQUIS_DATOS!$C$1484+CROQUIS_DATOS!$C$1485))-(CROQUIS_DATOS!$C$1484))+((CROQUIS_DATOS!$C$1476)*CROQUIS_DATOS!$C$1561-((CROQUIS_DATOS!$C$1486+CROQUIS_DATOS!$C$1487))*CROQUIS_DATOS!$C$1561))/CROQUIS_DATOS!$C$1568-0.000001)),1,MOD($A125-1,2)))=1,MIN((CROQUIS_DATOS!$C$1476)*CROQUIS_DATOS!$C$1561,((CROQUIS_DATOS!$C$1484+CROQUIS_DATOS!$C$1485)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5">
        <f>IF(AND(CROQUIS_DATOS!$C$1472=1,CROQUIS_DATOS!$C$1478&gt;=3,((CROQUIS_DATOS!$C$1489+CROQUIS_DATOS!$C$1490))-(CROQUIS_DATOS!$C$1489)&gt;0.5,(CROQUIS_DATOS!$C$1491)-(0)&gt;0.5),(CROQUIS_DATOS!$C$1566+(IF(IF(MOD(MIN(INT(($A125-1)/2)+1,MAX(1,INT(((((CROQUIS_DATOS!$C$1489+CROQUIS_DATOS!$C$1490))-(CROQUIS_DATOS!$C$1489))+((CROQUIS_DATOS!$C$1491)*CROQUIS_DATOS!$C$1561-(0)*CROQUIS_DATOS!$C$1561))/CROQUIS_DATOS!$C$1568-0.000001))),2)=1,IF(INT(($A125-1)/2)+1&gt;MAX(1,INT(((((CROQUIS_DATOS!$C$1489+CROQUIS_DATOS!$C$1490))-(CROQUIS_DATOS!$C$1489))+((CROQUIS_DATOS!$C$1491)*CROQUIS_DATOS!$C$1561-(0)*CROQUIS_DATOS!$C$1561))/CROQUIS_DATOS!$C$1568-0.000001)),1,MOD($A125-1,2)),1-IF(INT(($A125-1)/2)+1&gt;MAX(1,INT(((((CROQUIS_DATOS!$C$1489+CROQUIS_DATOS!$C$1490))-(CROQUIS_DATOS!$C$1489))+((CROQUIS_DATOS!$C$1491)*CROQUIS_DATOS!$C$1561-(0)*CROQUIS_DATOS!$C$1561))/CROQUIS_DATOS!$C$1568-0.000001)),1,MOD($A125-1,2)))=1,MIN((CROQUIS_DATOS!$C$1491)*CROQUIS_DATOS!$C$1561,((CROQUIS_DATOS!$C$1489+CROQUIS_DATOS!$C$1490)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5">
        <f>IF(AND(CROQUIS_DATOS!$C$1472=1,CROQUIS_DATOS!$C$1478&gt;=3,((CROQUIS_DATOS!$C$1489+CROQUIS_DATOS!$C$1490))-(CROQUIS_DATOS!$C$1489)&gt;0.5,(CROQUIS_DATOS!$C$1491)-(0)&gt;0.5),(CROQUIS_DATOS!$C$1567+(IF(IF(MOD(MIN(INT(($A125-1)/2)+1,MAX(1,INT(((((CROQUIS_DATOS!$C$1489+CROQUIS_DATOS!$C$1490))-(CROQUIS_DATOS!$C$1489))+((CROQUIS_DATOS!$C$1491)*CROQUIS_DATOS!$C$1561-(0)*CROQUIS_DATOS!$C$1561))/CROQUIS_DATOS!$C$1568-0.000001))),2)=1,IF(INT(($A125-1)/2)+1&gt;MAX(1,INT(((((CROQUIS_DATOS!$C$1489+CROQUIS_DATOS!$C$1490))-(CROQUIS_DATOS!$C$1489))+((CROQUIS_DATOS!$C$1491)*CROQUIS_DATOS!$C$1561-(0)*CROQUIS_DATOS!$C$1561))/CROQUIS_DATOS!$C$1568-0.000001)),1,MOD($A125-1,2)),1-IF(INT(($A125-1)/2)+1&gt;MAX(1,INT(((((CROQUIS_DATOS!$C$1489+CROQUIS_DATOS!$C$1490))-(CROQUIS_DATOS!$C$1489))+((CROQUIS_DATOS!$C$1491)*CROQUIS_DATOS!$C$1561-(0)*CROQUIS_DATOS!$C$1561))/CROQUIS_DATOS!$C$1568-0.000001)),1,MOD($A125-1,2)))=1,MIN((CROQUIS_DATOS!$C$1491)*CROQUIS_DATOS!$C$1561,((CROQUIS_DATOS!$C$1489+CROQUIS_DATOS!$C$1490)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5">
        <f>IF(AND(CROQUIS_DATOS!$C$1472=1,CROQUIS_DATOS!$C$1478&gt;=3,((CROQUIS_DATOS!$C$1489+CROQUIS_DATOS!$C$1490))-(CROQUIS_DATOS!$C$1489)&gt;0.5,(CROQUIS_DATOS!$C$1476)-((CROQUIS_DATOS!$C$1491+CROQUIS_DATOS!$C$1492))&gt;0.5),(CROQUIS_DATOS!$C$1566+(IF(IF(MOD(MIN(INT(($A125-1)/2)+1,MAX(1,INT(((((CROQUIS_DATOS!$C$1489+CROQUIS_DATOS!$C$1490))-(CROQUIS_DATOS!$C$1489))+((CROQUIS_DATOS!$C$1476)*CROQUIS_DATOS!$C$1561-((CROQUIS_DATOS!$C$1491+CROQUIS_DATOS!$C$1492))*CROQUIS_DATOS!$C$1561))/CROQUIS_DATOS!$C$1568-0.000001))),2)=1,IF(INT(($A125-1)/2)+1&gt;MAX(1,INT(((((CROQUIS_DATOS!$C$1489+CROQUIS_DATOS!$C$1490))-(CROQUIS_DATOS!$C$1489))+((CROQUIS_DATOS!$C$1476)*CROQUIS_DATOS!$C$1561-((CROQUIS_DATOS!$C$1491+CROQUIS_DATOS!$C$1492))*CROQUIS_DATOS!$C$1561))/CROQUIS_DATOS!$C$1568-0.000001)),1,MOD($A125-1,2)),1-IF(INT(($A125-1)/2)+1&gt;MAX(1,INT(((((CROQUIS_DATOS!$C$1489+CROQUIS_DATOS!$C$1490))-(CROQUIS_DATOS!$C$1489))+((CROQUIS_DATOS!$C$1476)*CROQUIS_DATOS!$C$1561-((CROQUIS_DATOS!$C$1491+CROQUIS_DATOS!$C$1492))*CROQUIS_DATOS!$C$1561))/CROQUIS_DATOS!$C$1568-0.000001)),1,MOD($A125-1,2)))=1,MIN((CROQUIS_DATOS!$C$1476)*CROQUIS_DATOS!$C$1561,((CROQUIS_DATOS!$C$1489+CROQUIS_DATOS!$C$1490)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5">
        <f>IF(AND(CROQUIS_DATOS!$C$1472=1,CROQUIS_DATOS!$C$1478&gt;=3,((CROQUIS_DATOS!$C$1489+CROQUIS_DATOS!$C$1490))-(CROQUIS_DATOS!$C$1489)&gt;0.5,(CROQUIS_DATOS!$C$1476)-((CROQUIS_DATOS!$C$1491+CROQUIS_DATOS!$C$1492))&gt;0.5),(CROQUIS_DATOS!$C$1567+(IF(IF(MOD(MIN(INT(($A125-1)/2)+1,MAX(1,INT(((((CROQUIS_DATOS!$C$1489+CROQUIS_DATOS!$C$1490))-(CROQUIS_DATOS!$C$1489))+((CROQUIS_DATOS!$C$1476)*CROQUIS_DATOS!$C$1561-((CROQUIS_DATOS!$C$1491+CROQUIS_DATOS!$C$1492))*CROQUIS_DATOS!$C$1561))/CROQUIS_DATOS!$C$1568-0.000001))),2)=1,IF(INT(($A125-1)/2)+1&gt;MAX(1,INT(((((CROQUIS_DATOS!$C$1489+CROQUIS_DATOS!$C$1490))-(CROQUIS_DATOS!$C$1489))+((CROQUIS_DATOS!$C$1476)*CROQUIS_DATOS!$C$1561-((CROQUIS_DATOS!$C$1491+CROQUIS_DATOS!$C$1492))*CROQUIS_DATOS!$C$1561))/CROQUIS_DATOS!$C$1568-0.000001)),1,MOD($A125-1,2)),1-IF(INT(($A125-1)/2)+1&gt;MAX(1,INT(((((CROQUIS_DATOS!$C$1489+CROQUIS_DATOS!$C$1490))-(CROQUIS_DATOS!$C$1489))+((CROQUIS_DATOS!$C$1476)*CROQUIS_DATOS!$C$1561-((CROQUIS_DATOS!$C$1491+CROQUIS_DATOS!$C$1492))*CROQUIS_DATOS!$C$1561))/CROQUIS_DATOS!$C$1568-0.000001)),1,MOD($A125-1,2)))=1,MIN((CROQUIS_DATOS!$C$1476)*CROQUIS_DATOS!$C$1561,((CROQUIS_DATOS!$C$1489+CROQUIS_DATOS!$C$1490)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5">
        <f>IF(AND(CROQUIS_DATOS!$C$1472=1,CROQUIS_DATOS!$C$1478&gt;=4,((CROQUIS_DATOS!$C$1494+CROQUIS_DATOS!$C$1495))-(CROQUIS_DATOS!$C$1494)&gt;0.5,(CROQUIS_DATOS!$C$1496)-(0)&gt;0.5),(CROQUIS_DATOS!$C$1566+(IF(IF(MOD(MIN(INT(($A125-1)/2)+1,MAX(1,INT(((((CROQUIS_DATOS!$C$1494+CROQUIS_DATOS!$C$1495))-(CROQUIS_DATOS!$C$1494))+((CROQUIS_DATOS!$C$1496)*CROQUIS_DATOS!$C$1561-(0)*CROQUIS_DATOS!$C$1561))/CROQUIS_DATOS!$C$1568-0.000001))),2)=1,IF(INT(($A125-1)/2)+1&gt;MAX(1,INT(((((CROQUIS_DATOS!$C$1494+CROQUIS_DATOS!$C$1495))-(CROQUIS_DATOS!$C$1494))+((CROQUIS_DATOS!$C$1496)*CROQUIS_DATOS!$C$1561-(0)*CROQUIS_DATOS!$C$1561))/CROQUIS_DATOS!$C$1568-0.000001)),1,MOD($A125-1,2)),1-IF(INT(($A125-1)/2)+1&gt;MAX(1,INT(((((CROQUIS_DATOS!$C$1494+CROQUIS_DATOS!$C$1495))-(CROQUIS_DATOS!$C$1494))+((CROQUIS_DATOS!$C$1496)*CROQUIS_DATOS!$C$1561-(0)*CROQUIS_DATOS!$C$1561))/CROQUIS_DATOS!$C$1568-0.000001)),1,MOD($A125-1,2)))=1,MIN((CROQUIS_DATOS!$C$1496)*CROQUIS_DATOS!$C$1561,((CROQUIS_DATOS!$C$1494+CROQUIS_DATOS!$C$1495)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5">
        <f>IF(AND(CROQUIS_DATOS!$C$1472=1,CROQUIS_DATOS!$C$1478&gt;=4,((CROQUIS_DATOS!$C$1494+CROQUIS_DATOS!$C$1495))-(CROQUIS_DATOS!$C$1494)&gt;0.5,(CROQUIS_DATOS!$C$1496)-(0)&gt;0.5),(CROQUIS_DATOS!$C$1567+(IF(IF(MOD(MIN(INT(($A125-1)/2)+1,MAX(1,INT(((((CROQUIS_DATOS!$C$1494+CROQUIS_DATOS!$C$1495))-(CROQUIS_DATOS!$C$1494))+((CROQUIS_DATOS!$C$1496)*CROQUIS_DATOS!$C$1561-(0)*CROQUIS_DATOS!$C$1561))/CROQUIS_DATOS!$C$1568-0.000001))),2)=1,IF(INT(($A125-1)/2)+1&gt;MAX(1,INT(((((CROQUIS_DATOS!$C$1494+CROQUIS_DATOS!$C$1495))-(CROQUIS_DATOS!$C$1494))+((CROQUIS_DATOS!$C$1496)*CROQUIS_DATOS!$C$1561-(0)*CROQUIS_DATOS!$C$1561))/CROQUIS_DATOS!$C$1568-0.000001)),1,MOD($A125-1,2)),1-IF(INT(($A125-1)/2)+1&gt;MAX(1,INT(((((CROQUIS_DATOS!$C$1494+CROQUIS_DATOS!$C$1495))-(CROQUIS_DATOS!$C$1494))+((CROQUIS_DATOS!$C$1496)*CROQUIS_DATOS!$C$1561-(0)*CROQUIS_DATOS!$C$1561))/CROQUIS_DATOS!$C$1568-0.000001)),1,MOD($A125-1,2)))=1,MIN((CROQUIS_DATOS!$C$1496)*CROQUIS_DATOS!$C$1561,((CROQUIS_DATOS!$C$1494+CROQUIS_DATOS!$C$1495)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5">
        <f>IF(AND(CROQUIS_DATOS!$C$1472=1,CROQUIS_DATOS!$C$1478&gt;=4,((CROQUIS_DATOS!$C$1494+CROQUIS_DATOS!$C$1495))-(CROQUIS_DATOS!$C$1494)&gt;0.5,(CROQUIS_DATOS!$C$1476)-((CROQUIS_DATOS!$C$1496+CROQUIS_DATOS!$C$1497))&gt;0.5),(CROQUIS_DATOS!$C$1566+(IF(IF(MOD(MIN(INT(($A125-1)/2)+1,MAX(1,INT(((((CROQUIS_DATOS!$C$1494+CROQUIS_DATOS!$C$1495))-(CROQUIS_DATOS!$C$1494))+((CROQUIS_DATOS!$C$1476)*CROQUIS_DATOS!$C$1561-((CROQUIS_DATOS!$C$1496+CROQUIS_DATOS!$C$1497))*CROQUIS_DATOS!$C$1561))/CROQUIS_DATOS!$C$1568-0.000001))),2)=1,IF(INT(($A125-1)/2)+1&gt;MAX(1,INT(((((CROQUIS_DATOS!$C$1494+CROQUIS_DATOS!$C$1495))-(CROQUIS_DATOS!$C$1494))+((CROQUIS_DATOS!$C$1476)*CROQUIS_DATOS!$C$1561-((CROQUIS_DATOS!$C$1496+CROQUIS_DATOS!$C$1497))*CROQUIS_DATOS!$C$1561))/CROQUIS_DATOS!$C$1568-0.000001)),1,MOD($A125-1,2)),1-IF(INT(($A125-1)/2)+1&gt;MAX(1,INT(((((CROQUIS_DATOS!$C$1494+CROQUIS_DATOS!$C$1495))-(CROQUIS_DATOS!$C$1494))+((CROQUIS_DATOS!$C$1476)*CROQUIS_DATOS!$C$1561-((CROQUIS_DATOS!$C$1496+CROQUIS_DATOS!$C$1497))*CROQUIS_DATOS!$C$1561))/CROQUIS_DATOS!$C$1568-0.000001)),1,MOD($A125-1,2)))=1,MIN((CROQUIS_DATOS!$C$1476)*CROQUIS_DATOS!$C$1561,((CROQUIS_DATOS!$C$1494+CROQUIS_DATOS!$C$1495)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5">
        <f>IF(AND(CROQUIS_DATOS!$C$1472=1,CROQUIS_DATOS!$C$1478&gt;=4,((CROQUIS_DATOS!$C$1494+CROQUIS_DATOS!$C$1495))-(CROQUIS_DATOS!$C$1494)&gt;0.5,(CROQUIS_DATOS!$C$1476)-((CROQUIS_DATOS!$C$1496+CROQUIS_DATOS!$C$1497))&gt;0.5),(CROQUIS_DATOS!$C$1567+(IF(IF(MOD(MIN(INT(($A125-1)/2)+1,MAX(1,INT(((((CROQUIS_DATOS!$C$1494+CROQUIS_DATOS!$C$1495))-(CROQUIS_DATOS!$C$1494))+((CROQUIS_DATOS!$C$1476)*CROQUIS_DATOS!$C$1561-((CROQUIS_DATOS!$C$1496+CROQUIS_DATOS!$C$1497))*CROQUIS_DATOS!$C$1561))/CROQUIS_DATOS!$C$1568-0.000001))),2)=1,IF(INT(($A125-1)/2)+1&gt;MAX(1,INT(((((CROQUIS_DATOS!$C$1494+CROQUIS_DATOS!$C$1495))-(CROQUIS_DATOS!$C$1494))+((CROQUIS_DATOS!$C$1476)*CROQUIS_DATOS!$C$1561-((CROQUIS_DATOS!$C$1496+CROQUIS_DATOS!$C$1497))*CROQUIS_DATOS!$C$1561))/CROQUIS_DATOS!$C$1568-0.000001)),1,MOD($A125-1,2)),1-IF(INT(($A125-1)/2)+1&gt;MAX(1,INT(((((CROQUIS_DATOS!$C$1494+CROQUIS_DATOS!$C$1495))-(CROQUIS_DATOS!$C$1494))+((CROQUIS_DATOS!$C$1476)*CROQUIS_DATOS!$C$1561-((CROQUIS_DATOS!$C$1496+CROQUIS_DATOS!$C$1497))*CROQUIS_DATOS!$C$1561))/CROQUIS_DATOS!$C$1568-0.000001)),1,MOD($A125-1,2)))=1,MIN((CROQUIS_DATOS!$C$1476)*CROQUIS_DATOS!$C$1561,((CROQUIS_DATOS!$C$1494+CROQUIS_DATOS!$C$1495)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6">
      <c r="A126" t="n">
        <v>119</v>
      </c>
      <c r="N126">
        <f>IF(AND(CROQUIS_DATOS!$C$1472=1,1),(CROQUIS_DATOS!$C$1563+(IF(IF(IF(INT(($A126-1)/70)+1&gt;CROQUIS_DATOS!$C$1525,70,MOD($A126-1,70)+1)=1,0,IF(IF(INT(($A126-1)/70)+1&gt;CROQUIS_DATOS!$C$1525,70,MOD($A126-1,70)+1)&gt;2*CROQUIS_DATOS!$C$1541+1,IF(MOD(CROQUIS_DATOS!$C$1541,2)=1,1,0),IF(MOD(MIN(INT((IF(INT(($A126-1)/70)+1&gt;CROQUIS_DATOS!$C$1525,70,MOD($A126-1,70)+1)-2)/2)+1,CROQUIS_DATOS!$C$1541),2)=1,IF(MOD(IF(INT(($A126-1)/70)+1&gt;CROQUIS_DATOS!$C$1525,70,MOD($A126-1,70)+1)-2,2)=0,0,1),IF(MOD(IF(INT(($A126-1)/70)+1&gt;CROQUIS_DATOS!$C$1525,70,MOD($A126-1,70)+1)-2,2)=0,1,0))))=0,(INDEX($E$8:$E$23,MIN(INT(($A126-1)/70)+1,CROQUIS_DATOS!$C$1525))-INDEX($F$8:$F$23,MIN(INT(($A126-1)/70)+1,CROQUIS_DATOS!$C$1525))/2),(INDEX($E$8:$E$23,MIN(INT(($A126-1)/70)+1,CROQUIS_DATOS!$C$1525))+INDEX($F$8:$F$23,MIN(INT(($A126-1)/70)+1,CROQUIS_DATOS!$C$1525))/2)))*CROQUIS_DATOS!$C$1562),-1000)</f>
        <v>18.5775862068965</v>
      </c>
      <c r="O126">
        <f>IF(AND(CROQUIS_DATOS!$C$1472=1,1),(CROQUIS_DATOS!$C$1564+(IF(OR(IF(INT(($A126-1)/70)+1&gt;CROQUIS_DATOS!$C$1525,70,MOD($A126-1,70)+1)=1,IF(INT(($A126-1)/70)+1&gt;CROQUIS_DATOS!$C$1525,70,MOD($A126-1,70)+1)&gt;2*CROQUIS_DATOS!$C$1541+1),CROQUIS_DATOS!$C$1476,INDEX($H$8:$H$41,MIN(INT((IF(INT(($A126-1)/70)+1&gt;CROQUIS_DATOS!$C$1525,70,MOD($A126-1,70)+1)-2)/2)+1,CROQUIS_DATOS!$C$1541))))*CROQUIS_DATOS!$C$1561*CROQUIS_DATOS!$C$1562),-1000)</f>
        <v>40.2068965517241</v>
      </c>
      <c r="P126">
        <f>IF(AND(CROQUIS_DATOS!$C$1472=1,CROQUIS_DATOS!$C$1555=1),(CROQUIS_DATOS!$C$1563+(IF(IF(OR(MOD($A126-1,62)+1=1,IF(CHOOSE(MIN(MAX(MIN(INT(($A126-1)/62)+1,5),1),5),CROQUIS_DATOS!$C$1501,CROQUIS_DATOS!$C$1505,CROQUIS_DATOS!$C$1509,CROQUIS_DATOS!$C$1513,CROQUIS_DATOS!$C$1517)=1,CROQUIS_DATOS!$C$1557,0)=0),0,IF(MOD($A126-1,62)+1&gt;2*IF(CHOOSE(MIN(MAX(MIN(INT(($A126-1)/62)+1,5),1),5),CROQUIS_DATOS!$C$1501,CROQUIS_DATOS!$C$1505,CROQUIS_DATOS!$C$1509,CROQUIS_DATOS!$C$1513,CROQUIS_DATOS!$C$1517)=1,CROQUIS_DATOS!$C$1557,0)+1,IF(MOD(IF(CHOOSE(MIN(MAX(MIN(INT(($A126-1)/62)+1,5),1),5),CROQUIS_DATOS!$C$1501,CROQUIS_DATOS!$C$1505,CROQUIS_DATOS!$C$1509,CROQUIS_DATOS!$C$1513,CROQUIS_DATOS!$C$1517)=1,CROQUIS_DATOS!$C$1557,0),2)=1,1,0),IF(MOD(MIN(INT((MOD($A126-1,62)+1-2)/2)+1,MAX(IF(CHOOSE(MIN(MAX(MIN(INT(($A126-1)/62)+1,5),1),5),CROQUIS_DATOS!$C$1501,CROQUIS_DATOS!$C$1505,CROQUIS_DATOS!$C$1509,CROQUIS_DATOS!$C$1513,CROQUIS_DATOS!$C$1517)=1,CROQUIS_DATOS!$C$1557,0),1)),2)=1,IF(MOD(MOD($A126-1,62)+1-2,2)=0,0,1),IF(MOD(MOD($A126-1,62)+1-2,2)=0,1,0))))=0,(CHOOSE(MIN(MAX(MIN(INT(($A126-1)/62)+1,5),1),5),CROQUIS_DATOS!$C$1499,CROQUIS_DATOS!$C$1503,CROQUIS_DATOS!$C$1507,CROQUIS_DATOS!$C$1511,CROQUIS_DATOS!$C$1515)+IF(CHOOSE(MIN(MAX(MIN(INT(($A126-1)/62)+1,5),1),5),CROQUIS_DATOS!$C$1501,CROQUIS_DATOS!$C$1505,CROQUIS_DATOS!$C$1509,CROQUIS_DATOS!$C$1513,CROQUIS_DATOS!$C$1517)=1,CROQUIS_DATOS!$C$1526,0)),(CHOOSE(MIN(MAX(MIN(INT(($A126-1)/62)+1,5),1),5),CROQUIS_DATOS!$C$1499,CROQUIS_DATOS!$C$1503,CROQUIS_DATOS!$C$1507,CROQUIS_DATOS!$C$1511,CROQUIS_DATOS!$C$1515)+CHOOSE(MIN(MAX(MIN(INT(($A126-1)/62)+1,5),1),5),CROQUIS_DATOS!$C$1500,CROQUIS_DATOS!$C$1504,CROQUIS_DATOS!$C$1508,CROQUIS_DATOS!$C$1512,CROQUIS_DATOS!$C$1516)-IF(CHOOSE(MIN(MAX(MIN(INT(($A126-1)/62)+1,5),1),5),CROQUIS_DATOS!$C$1501,CROQUIS_DATOS!$C$1505,CROQUIS_DATOS!$C$1509,CROQUIS_DATOS!$C$1513,CROQUIS_DATOS!$C$1517)=1,CROQUIS_DATOS!$C$1526,0))))*CROQUIS_DATOS!$C$1562),-1000)</f>
        <v>-1000</v>
      </c>
      <c r="Q126">
        <f>IF(AND(CROQUIS_DATOS!$C$1472=1,CROQUIS_DATOS!$C$1555=1),(CROQUIS_DATOS!$C$1564+(IF(OR(OR(MOD($A126-1,62)+1=1,IF(CHOOSE(MIN(MAX(MIN(INT(($A126-1)/62)+1,5),1),5),CROQUIS_DATOS!$C$1501,CROQUIS_DATOS!$C$1505,CROQUIS_DATOS!$C$1509,CROQUIS_DATOS!$C$1513,CROQUIS_DATOS!$C$1517)=1,CROQUIS_DATOS!$C$1557,0)=0),MOD($A126-1,62)+1&gt;2*IF(CHOOSE(MIN(MAX(MIN(INT(($A126-1)/62)+1,5),1),5),CROQUIS_DATOS!$C$1501,CROQUIS_DATOS!$C$1505,CROQUIS_DATOS!$C$1509,CROQUIS_DATOS!$C$1513,CROQUIS_DATOS!$C$1517)=1,CROQUIS_DATOS!$C$1557,0)+1),CROQUIS_DATOS!$C$1476,MIN(INT((MOD($A126-1,62)+1-2)/2)+1,MAX(IF(CHOOSE(MIN(MAX(MIN(INT(($A126-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6">
        <f>IF(AND(CROQUIS_DATOS!$C$1472=1,1),(CROQUIS_DATOS!$C$1563+(MIN(INT(($A126-1)/2)+1,CROQUIS_DATOS!$C$1558)*CROQUIS_DATOS!$C$1559)*CROQUIS_DATOS!$C$1562),-1000)</f>
        <v>82.2281167108753</v>
      </c>
      <c r="U126">
        <f>IF(AND(CROQUIS_DATOS!$C$1472=1,1),(CROQUIS_DATOS!$C$1564+(IF(INT(($A126-1)/2)+1&gt;CROQUIS_DATOS!$C$1558,IF(MOD(CROQUIS_DATOS!$C$1558,2)=1,CROQUIS_DATOS!$C$1476+CROQUIS_DATOS!$C$1528,CROQUIS_DATOS!$C$1476),IF(IF(MOD(MIN(INT(($A126-1)/2)+1,CROQUIS_DATOS!$C$1558),2)=1,MOD($A126-1,2),1-MOD($A126-1,2))=1,CROQUIS_DATOS!$C$1476+CROQUIS_DATOS!$C$1528,CROQUIS_DATOS!$C$1476)))*CROQUIS_DATOS!$C$1561*CROQUIS_DATOS!$C$1562),-1000)</f>
        <v>43</v>
      </c>
      <c r="BZ126">
        <f>IF(AND(CROQUIS_DATOS!$C$1472=1,CROQUIS_DATOS!$C$1500&gt;0,((CROQUIS_DATOS!$C$1499+CROQUIS_DATOS!$C$1500))-(CROQUIS_DATOS!$C$1499)&gt;0.5,(CROQUIS_DATOS!$C$1476)-(0)&gt;0.5),(CROQUIS_DATOS!$C$1566+(IF(IF(MOD(MIN(INT(($A126-1)/2)+1,MAX(1,INT(((((CROQUIS_DATOS!$C$1499+CROQUIS_DATOS!$C$1500))-(CROQUIS_DATOS!$C$1499))+((CROQUIS_DATOS!$C$1476)*CROQUIS_DATOS!$C$1561-(0)*CROQUIS_DATOS!$C$1561))/CROQUIS_DATOS!$C$1568-0.000001))),2)=1,IF(INT(($A126-1)/2)+1&gt;MAX(1,INT(((((CROQUIS_DATOS!$C$1499+CROQUIS_DATOS!$C$1500))-(CROQUIS_DATOS!$C$1499))+((CROQUIS_DATOS!$C$1476)*CROQUIS_DATOS!$C$1561-(0)*CROQUIS_DATOS!$C$1561))/CROQUIS_DATOS!$C$1568-0.000001)),1,MOD($A126-1,2)),1-IF(INT(($A126-1)/2)+1&gt;MAX(1,INT(((((CROQUIS_DATOS!$C$1499+CROQUIS_DATOS!$C$1500))-(CROQUIS_DATOS!$C$1499))+((CROQUIS_DATOS!$C$1476)*CROQUIS_DATOS!$C$1561-(0)*CROQUIS_DATOS!$C$1561))/CROQUIS_DATOS!$C$1568-0.000001)),1,MOD($A126-1,2)))=1,MIN((CROQUIS_DATOS!$C$1476)*CROQUIS_DATOS!$C$1561,((CROQUIS_DATOS!$C$1499+CROQUIS_DATOS!$C$1500)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6">
        <f>IF(AND(CROQUIS_DATOS!$C$1472=1,CROQUIS_DATOS!$C$1500&gt;0,((CROQUIS_DATOS!$C$1499+CROQUIS_DATOS!$C$1500))-(CROQUIS_DATOS!$C$1499)&gt;0.5,(CROQUIS_DATOS!$C$1476)-(0)&gt;0.5),(CROQUIS_DATOS!$C$1567+(IF(IF(MOD(MIN(INT(($A126-1)/2)+1,MAX(1,INT(((((CROQUIS_DATOS!$C$1499+CROQUIS_DATOS!$C$1500))-(CROQUIS_DATOS!$C$1499))+((CROQUIS_DATOS!$C$1476)*CROQUIS_DATOS!$C$1561-(0)*CROQUIS_DATOS!$C$1561))/CROQUIS_DATOS!$C$1568-0.000001))),2)=1,IF(INT(($A126-1)/2)+1&gt;MAX(1,INT(((((CROQUIS_DATOS!$C$1499+CROQUIS_DATOS!$C$1500))-(CROQUIS_DATOS!$C$1499))+((CROQUIS_DATOS!$C$1476)*CROQUIS_DATOS!$C$1561-(0)*CROQUIS_DATOS!$C$1561))/CROQUIS_DATOS!$C$1568-0.000001)),1,MOD($A126-1,2)),1-IF(INT(($A126-1)/2)+1&gt;MAX(1,INT(((((CROQUIS_DATOS!$C$1499+CROQUIS_DATOS!$C$1500))-(CROQUIS_DATOS!$C$1499))+((CROQUIS_DATOS!$C$1476)*CROQUIS_DATOS!$C$1561-(0)*CROQUIS_DATOS!$C$1561))/CROQUIS_DATOS!$C$1568-0.000001)),1,MOD($A126-1,2)))=1,MIN((CROQUIS_DATOS!$C$1476)*CROQUIS_DATOS!$C$1561,((CROQUIS_DATOS!$C$1499+CROQUIS_DATOS!$C$1500)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6">
        <f>IF(AND(CROQUIS_DATOS!$C$1472=1,CROQUIS_DATOS!$C$1504&gt;0,((CROQUIS_DATOS!$C$1503+CROQUIS_DATOS!$C$1504))-(CROQUIS_DATOS!$C$1503)&gt;0.5,(CROQUIS_DATOS!$C$1476)-(0)&gt;0.5),(CROQUIS_DATOS!$C$1566+(IF(IF(MOD(MIN(INT(($A126-1)/2)+1,MAX(1,INT(((((CROQUIS_DATOS!$C$1503+CROQUIS_DATOS!$C$1504))-(CROQUIS_DATOS!$C$1503))+((CROQUIS_DATOS!$C$1476)*CROQUIS_DATOS!$C$1561-(0)*CROQUIS_DATOS!$C$1561))/CROQUIS_DATOS!$C$1568-0.000001))),2)=1,IF(INT(($A126-1)/2)+1&gt;MAX(1,INT(((((CROQUIS_DATOS!$C$1503+CROQUIS_DATOS!$C$1504))-(CROQUIS_DATOS!$C$1503))+((CROQUIS_DATOS!$C$1476)*CROQUIS_DATOS!$C$1561-(0)*CROQUIS_DATOS!$C$1561))/CROQUIS_DATOS!$C$1568-0.000001)),1,MOD($A126-1,2)),1-IF(INT(($A126-1)/2)+1&gt;MAX(1,INT(((((CROQUIS_DATOS!$C$1503+CROQUIS_DATOS!$C$1504))-(CROQUIS_DATOS!$C$1503))+((CROQUIS_DATOS!$C$1476)*CROQUIS_DATOS!$C$1561-(0)*CROQUIS_DATOS!$C$1561))/CROQUIS_DATOS!$C$1568-0.000001)),1,MOD($A126-1,2)))=1,MIN((CROQUIS_DATOS!$C$1476)*CROQUIS_DATOS!$C$1561,((CROQUIS_DATOS!$C$1503+CROQUIS_DATOS!$C$1504)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6">
        <f>IF(AND(CROQUIS_DATOS!$C$1472=1,CROQUIS_DATOS!$C$1504&gt;0,((CROQUIS_DATOS!$C$1503+CROQUIS_DATOS!$C$1504))-(CROQUIS_DATOS!$C$1503)&gt;0.5,(CROQUIS_DATOS!$C$1476)-(0)&gt;0.5),(CROQUIS_DATOS!$C$1567+(IF(IF(MOD(MIN(INT(($A126-1)/2)+1,MAX(1,INT(((((CROQUIS_DATOS!$C$1503+CROQUIS_DATOS!$C$1504))-(CROQUIS_DATOS!$C$1503))+((CROQUIS_DATOS!$C$1476)*CROQUIS_DATOS!$C$1561-(0)*CROQUIS_DATOS!$C$1561))/CROQUIS_DATOS!$C$1568-0.000001))),2)=1,IF(INT(($A126-1)/2)+1&gt;MAX(1,INT(((((CROQUIS_DATOS!$C$1503+CROQUIS_DATOS!$C$1504))-(CROQUIS_DATOS!$C$1503))+((CROQUIS_DATOS!$C$1476)*CROQUIS_DATOS!$C$1561-(0)*CROQUIS_DATOS!$C$1561))/CROQUIS_DATOS!$C$1568-0.000001)),1,MOD($A126-1,2)),1-IF(INT(($A126-1)/2)+1&gt;MAX(1,INT(((((CROQUIS_DATOS!$C$1503+CROQUIS_DATOS!$C$1504))-(CROQUIS_DATOS!$C$1503))+((CROQUIS_DATOS!$C$1476)*CROQUIS_DATOS!$C$1561-(0)*CROQUIS_DATOS!$C$1561))/CROQUIS_DATOS!$C$1568-0.000001)),1,MOD($A126-1,2)))=1,MIN((CROQUIS_DATOS!$C$1476)*CROQUIS_DATOS!$C$1561,((CROQUIS_DATOS!$C$1503+CROQUIS_DATOS!$C$1504)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6">
        <f>IF(AND(CROQUIS_DATOS!$C$1472=1,CROQUIS_DATOS!$C$1508&gt;0,((CROQUIS_DATOS!$C$1507+CROQUIS_DATOS!$C$1508))-(CROQUIS_DATOS!$C$1507)&gt;0.5,(CROQUIS_DATOS!$C$1476)-(0)&gt;0.5),(CROQUIS_DATOS!$C$1566+(IF(IF(MOD(MIN(INT(($A126-1)/2)+1,MAX(1,INT(((((CROQUIS_DATOS!$C$1507+CROQUIS_DATOS!$C$1508))-(CROQUIS_DATOS!$C$1507))+((CROQUIS_DATOS!$C$1476)*CROQUIS_DATOS!$C$1561-(0)*CROQUIS_DATOS!$C$1561))/CROQUIS_DATOS!$C$1568-0.000001))),2)=1,IF(INT(($A126-1)/2)+1&gt;MAX(1,INT(((((CROQUIS_DATOS!$C$1507+CROQUIS_DATOS!$C$1508))-(CROQUIS_DATOS!$C$1507))+((CROQUIS_DATOS!$C$1476)*CROQUIS_DATOS!$C$1561-(0)*CROQUIS_DATOS!$C$1561))/CROQUIS_DATOS!$C$1568-0.000001)),1,MOD($A126-1,2)),1-IF(INT(($A126-1)/2)+1&gt;MAX(1,INT(((((CROQUIS_DATOS!$C$1507+CROQUIS_DATOS!$C$1508))-(CROQUIS_DATOS!$C$1507))+((CROQUIS_DATOS!$C$1476)*CROQUIS_DATOS!$C$1561-(0)*CROQUIS_DATOS!$C$1561))/CROQUIS_DATOS!$C$1568-0.000001)),1,MOD($A126-1,2)))=1,MIN((CROQUIS_DATOS!$C$1476)*CROQUIS_DATOS!$C$1561,((CROQUIS_DATOS!$C$1507+CROQUIS_DATOS!$C$1508)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6">
        <f>IF(AND(CROQUIS_DATOS!$C$1472=1,CROQUIS_DATOS!$C$1508&gt;0,((CROQUIS_DATOS!$C$1507+CROQUIS_DATOS!$C$1508))-(CROQUIS_DATOS!$C$1507)&gt;0.5,(CROQUIS_DATOS!$C$1476)-(0)&gt;0.5),(CROQUIS_DATOS!$C$1567+(IF(IF(MOD(MIN(INT(($A126-1)/2)+1,MAX(1,INT(((((CROQUIS_DATOS!$C$1507+CROQUIS_DATOS!$C$1508))-(CROQUIS_DATOS!$C$1507))+((CROQUIS_DATOS!$C$1476)*CROQUIS_DATOS!$C$1561-(0)*CROQUIS_DATOS!$C$1561))/CROQUIS_DATOS!$C$1568-0.000001))),2)=1,IF(INT(($A126-1)/2)+1&gt;MAX(1,INT(((((CROQUIS_DATOS!$C$1507+CROQUIS_DATOS!$C$1508))-(CROQUIS_DATOS!$C$1507))+((CROQUIS_DATOS!$C$1476)*CROQUIS_DATOS!$C$1561-(0)*CROQUIS_DATOS!$C$1561))/CROQUIS_DATOS!$C$1568-0.000001)),1,MOD($A126-1,2)),1-IF(INT(($A126-1)/2)+1&gt;MAX(1,INT(((((CROQUIS_DATOS!$C$1507+CROQUIS_DATOS!$C$1508))-(CROQUIS_DATOS!$C$1507))+((CROQUIS_DATOS!$C$1476)*CROQUIS_DATOS!$C$1561-(0)*CROQUIS_DATOS!$C$1561))/CROQUIS_DATOS!$C$1568-0.000001)),1,MOD($A126-1,2)))=1,MIN((CROQUIS_DATOS!$C$1476)*CROQUIS_DATOS!$C$1561,((CROQUIS_DATOS!$C$1507+CROQUIS_DATOS!$C$1508)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6">
        <f>IF(AND(CROQUIS_DATOS!$C$1472=1,CROQUIS_DATOS!$C$1512&gt;0,((CROQUIS_DATOS!$C$1511+CROQUIS_DATOS!$C$1512))-(CROQUIS_DATOS!$C$1511)&gt;0.5,(CROQUIS_DATOS!$C$1476)-(0)&gt;0.5),(CROQUIS_DATOS!$C$1566+(IF(IF(MOD(MIN(INT(($A126-1)/2)+1,MAX(1,INT(((((CROQUIS_DATOS!$C$1511+CROQUIS_DATOS!$C$1512))-(CROQUIS_DATOS!$C$1511))+((CROQUIS_DATOS!$C$1476)*CROQUIS_DATOS!$C$1561-(0)*CROQUIS_DATOS!$C$1561))/CROQUIS_DATOS!$C$1568-0.000001))),2)=1,IF(INT(($A126-1)/2)+1&gt;MAX(1,INT(((((CROQUIS_DATOS!$C$1511+CROQUIS_DATOS!$C$1512))-(CROQUIS_DATOS!$C$1511))+((CROQUIS_DATOS!$C$1476)*CROQUIS_DATOS!$C$1561-(0)*CROQUIS_DATOS!$C$1561))/CROQUIS_DATOS!$C$1568-0.000001)),1,MOD($A126-1,2)),1-IF(INT(($A126-1)/2)+1&gt;MAX(1,INT(((((CROQUIS_DATOS!$C$1511+CROQUIS_DATOS!$C$1512))-(CROQUIS_DATOS!$C$1511))+((CROQUIS_DATOS!$C$1476)*CROQUIS_DATOS!$C$1561-(0)*CROQUIS_DATOS!$C$1561))/CROQUIS_DATOS!$C$1568-0.000001)),1,MOD($A126-1,2)))=1,MIN((CROQUIS_DATOS!$C$1476)*CROQUIS_DATOS!$C$1561,((CROQUIS_DATOS!$C$1511+CROQUIS_DATOS!$C$1512)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6">
        <f>IF(AND(CROQUIS_DATOS!$C$1472=1,CROQUIS_DATOS!$C$1512&gt;0,((CROQUIS_DATOS!$C$1511+CROQUIS_DATOS!$C$1512))-(CROQUIS_DATOS!$C$1511)&gt;0.5,(CROQUIS_DATOS!$C$1476)-(0)&gt;0.5),(CROQUIS_DATOS!$C$1567+(IF(IF(MOD(MIN(INT(($A126-1)/2)+1,MAX(1,INT(((((CROQUIS_DATOS!$C$1511+CROQUIS_DATOS!$C$1512))-(CROQUIS_DATOS!$C$1511))+((CROQUIS_DATOS!$C$1476)*CROQUIS_DATOS!$C$1561-(0)*CROQUIS_DATOS!$C$1561))/CROQUIS_DATOS!$C$1568-0.000001))),2)=1,IF(INT(($A126-1)/2)+1&gt;MAX(1,INT(((((CROQUIS_DATOS!$C$1511+CROQUIS_DATOS!$C$1512))-(CROQUIS_DATOS!$C$1511))+((CROQUIS_DATOS!$C$1476)*CROQUIS_DATOS!$C$1561-(0)*CROQUIS_DATOS!$C$1561))/CROQUIS_DATOS!$C$1568-0.000001)),1,MOD($A126-1,2)),1-IF(INT(($A126-1)/2)+1&gt;MAX(1,INT(((((CROQUIS_DATOS!$C$1511+CROQUIS_DATOS!$C$1512))-(CROQUIS_DATOS!$C$1511))+((CROQUIS_DATOS!$C$1476)*CROQUIS_DATOS!$C$1561-(0)*CROQUIS_DATOS!$C$1561))/CROQUIS_DATOS!$C$1568-0.000001)),1,MOD($A126-1,2)))=1,MIN((CROQUIS_DATOS!$C$1476)*CROQUIS_DATOS!$C$1561,((CROQUIS_DATOS!$C$1511+CROQUIS_DATOS!$C$1512)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6">
        <f>IF(AND(CROQUIS_DATOS!$C$1472=1,CROQUIS_DATOS!$C$1516&gt;0,((CROQUIS_DATOS!$C$1515+CROQUIS_DATOS!$C$1516))-(CROQUIS_DATOS!$C$1515)&gt;0.5,(CROQUIS_DATOS!$C$1476)-(0)&gt;0.5),(CROQUIS_DATOS!$C$1566+(IF(IF(MOD(MIN(INT(($A126-1)/2)+1,MAX(1,INT(((((CROQUIS_DATOS!$C$1515+CROQUIS_DATOS!$C$1516))-(CROQUIS_DATOS!$C$1515))+((CROQUIS_DATOS!$C$1476)*CROQUIS_DATOS!$C$1561-(0)*CROQUIS_DATOS!$C$1561))/CROQUIS_DATOS!$C$1568-0.000001))),2)=1,IF(INT(($A126-1)/2)+1&gt;MAX(1,INT(((((CROQUIS_DATOS!$C$1515+CROQUIS_DATOS!$C$1516))-(CROQUIS_DATOS!$C$1515))+((CROQUIS_DATOS!$C$1476)*CROQUIS_DATOS!$C$1561-(0)*CROQUIS_DATOS!$C$1561))/CROQUIS_DATOS!$C$1568-0.000001)),1,MOD($A126-1,2)),1-IF(INT(($A126-1)/2)+1&gt;MAX(1,INT(((((CROQUIS_DATOS!$C$1515+CROQUIS_DATOS!$C$1516))-(CROQUIS_DATOS!$C$1515))+((CROQUIS_DATOS!$C$1476)*CROQUIS_DATOS!$C$1561-(0)*CROQUIS_DATOS!$C$1561))/CROQUIS_DATOS!$C$1568-0.000001)),1,MOD($A126-1,2)))=1,MIN((CROQUIS_DATOS!$C$1476)*CROQUIS_DATOS!$C$1561,((CROQUIS_DATOS!$C$1515+CROQUIS_DATOS!$C$1516)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6">
        <f>IF(AND(CROQUIS_DATOS!$C$1472=1,CROQUIS_DATOS!$C$1516&gt;0,((CROQUIS_DATOS!$C$1515+CROQUIS_DATOS!$C$1516))-(CROQUIS_DATOS!$C$1515)&gt;0.5,(CROQUIS_DATOS!$C$1476)-(0)&gt;0.5),(CROQUIS_DATOS!$C$1567+(IF(IF(MOD(MIN(INT(($A126-1)/2)+1,MAX(1,INT(((((CROQUIS_DATOS!$C$1515+CROQUIS_DATOS!$C$1516))-(CROQUIS_DATOS!$C$1515))+((CROQUIS_DATOS!$C$1476)*CROQUIS_DATOS!$C$1561-(0)*CROQUIS_DATOS!$C$1561))/CROQUIS_DATOS!$C$1568-0.000001))),2)=1,IF(INT(($A126-1)/2)+1&gt;MAX(1,INT(((((CROQUIS_DATOS!$C$1515+CROQUIS_DATOS!$C$1516))-(CROQUIS_DATOS!$C$1515))+((CROQUIS_DATOS!$C$1476)*CROQUIS_DATOS!$C$1561-(0)*CROQUIS_DATOS!$C$1561))/CROQUIS_DATOS!$C$1568-0.000001)),1,MOD($A126-1,2)),1-IF(INT(($A126-1)/2)+1&gt;MAX(1,INT(((((CROQUIS_DATOS!$C$1515+CROQUIS_DATOS!$C$1516))-(CROQUIS_DATOS!$C$1515))+((CROQUIS_DATOS!$C$1476)*CROQUIS_DATOS!$C$1561-(0)*CROQUIS_DATOS!$C$1561))/CROQUIS_DATOS!$C$1568-0.000001)),1,MOD($A126-1,2)))=1,MIN((CROQUIS_DATOS!$C$1476)*CROQUIS_DATOS!$C$1561,((CROQUIS_DATOS!$C$1515+CROQUIS_DATOS!$C$1516)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6">
        <f>IF(AND(CROQUIS_DATOS!$C$1472=1,CROQUIS_DATOS!$C$1478&gt;=1,((CROQUIS_DATOS!$C$1479+CROQUIS_DATOS!$C$1480))-(CROQUIS_DATOS!$C$1479)&gt;0.5,(CROQUIS_DATOS!$C$1481)-(0)&gt;0.5),(CROQUIS_DATOS!$C$1566+(IF(IF(MOD(MIN(INT(($A126-1)/2)+1,MAX(1,INT(((((CROQUIS_DATOS!$C$1479+CROQUIS_DATOS!$C$1480))-(CROQUIS_DATOS!$C$1479))+((CROQUIS_DATOS!$C$1481)*CROQUIS_DATOS!$C$1561-(0)*CROQUIS_DATOS!$C$1561))/CROQUIS_DATOS!$C$1568-0.000001))),2)=1,IF(INT(($A126-1)/2)+1&gt;MAX(1,INT(((((CROQUIS_DATOS!$C$1479+CROQUIS_DATOS!$C$1480))-(CROQUIS_DATOS!$C$1479))+((CROQUIS_DATOS!$C$1481)*CROQUIS_DATOS!$C$1561-(0)*CROQUIS_DATOS!$C$1561))/CROQUIS_DATOS!$C$1568-0.000001)),1,MOD($A126-1,2)),1-IF(INT(($A126-1)/2)+1&gt;MAX(1,INT(((((CROQUIS_DATOS!$C$1479+CROQUIS_DATOS!$C$1480))-(CROQUIS_DATOS!$C$1479))+((CROQUIS_DATOS!$C$1481)*CROQUIS_DATOS!$C$1561-(0)*CROQUIS_DATOS!$C$1561))/CROQUIS_DATOS!$C$1568-0.000001)),1,MOD($A126-1,2)))=1,MIN((CROQUIS_DATOS!$C$1481)*CROQUIS_DATOS!$C$1561,((CROQUIS_DATOS!$C$1479+CROQUIS_DATOS!$C$1480)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6">
        <f>IF(AND(CROQUIS_DATOS!$C$1472=1,CROQUIS_DATOS!$C$1478&gt;=1,((CROQUIS_DATOS!$C$1479+CROQUIS_DATOS!$C$1480))-(CROQUIS_DATOS!$C$1479)&gt;0.5,(CROQUIS_DATOS!$C$1481)-(0)&gt;0.5),(CROQUIS_DATOS!$C$1567+(IF(IF(MOD(MIN(INT(($A126-1)/2)+1,MAX(1,INT(((((CROQUIS_DATOS!$C$1479+CROQUIS_DATOS!$C$1480))-(CROQUIS_DATOS!$C$1479))+((CROQUIS_DATOS!$C$1481)*CROQUIS_DATOS!$C$1561-(0)*CROQUIS_DATOS!$C$1561))/CROQUIS_DATOS!$C$1568-0.000001))),2)=1,IF(INT(($A126-1)/2)+1&gt;MAX(1,INT(((((CROQUIS_DATOS!$C$1479+CROQUIS_DATOS!$C$1480))-(CROQUIS_DATOS!$C$1479))+((CROQUIS_DATOS!$C$1481)*CROQUIS_DATOS!$C$1561-(0)*CROQUIS_DATOS!$C$1561))/CROQUIS_DATOS!$C$1568-0.000001)),1,MOD($A126-1,2)),1-IF(INT(($A126-1)/2)+1&gt;MAX(1,INT(((((CROQUIS_DATOS!$C$1479+CROQUIS_DATOS!$C$1480))-(CROQUIS_DATOS!$C$1479))+((CROQUIS_DATOS!$C$1481)*CROQUIS_DATOS!$C$1561-(0)*CROQUIS_DATOS!$C$1561))/CROQUIS_DATOS!$C$1568-0.000001)),1,MOD($A126-1,2)))=1,MIN((CROQUIS_DATOS!$C$1481)*CROQUIS_DATOS!$C$1561,((CROQUIS_DATOS!$C$1479+CROQUIS_DATOS!$C$1480)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6">
        <f>IF(AND(CROQUIS_DATOS!$C$1472=1,CROQUIS_DATOS!$C$1478&gt;=1,((CROQUIS_DATOS!$C$1479+CROQUIS_DATOS!$C$1480))-(CROQUIS_DATOS!$C$1479)&gt;0.5,(CROQUIS_DATOS!$C$1476)-((CROQUIS_DATOS!$C$1481+CROQUIS_DATOS!$C$1482))&gt;0.5),(CROQUIS_DATOS!$C$1566+(IF(IF(MOD(MIN(INT(($A126-1)/2)+1,MAX(1,INT(((((CROQUIS_DATOS!$C$1479+CROQUIS_DATOS!$C$1480))-(CROQUIS_DATOS!$C$1479))+((CROQUIS_DATOS!$C$1476)*CROQUIS_DATOS!$C$1561-((CROQUIS_DATOS!$C$1481+CROQUIS_DATOS!$C$1482))*CROQUIS_DATOS!$C$1561))/CROQUIS_DATOS!$C$1568-0.000001))),2)=1,IF(INT(($A126-1)/2)+1&gt;MAX(1,INT(((((CROQUIS_DATOS!$C$1479+CROQUIS_DATOS!$C$1480))-(CROQUIS_DATOS!$C$1479))+((CROQUIS_DATOS!$C$1476)*CROQUIS_DATOS!$C$1561-((CROQUIS_DATOS!$C$1481+CROQUIS_DATOS!$C$1482))*CROQUIS_DATOS!$C$1561))/CROQUIS_DATOS!$C$1568-0.000001)),1,MOD($A126-1,2)),1-IF(INT(($A126-1)/2)+1&gt;MAX(1,INT(((((CROQUIS_DATOS!$C$1479+CROQUIS_DATOS!$C$1480))-(CROQUIS_DATOS!$C$1479))+((CROQUIS_DATOS!$C$1476)*CROQUIS_DATOS!$C$1561-((CROQUIS_DATOS!$C$1481+CROQUIS_DATOS!$C$1482))*CROQUIS_DATOS!$C$1561))/CROQUIS_DATOS!$C$1568-0.000001)),1,MOD($A126-1,2)))=1,MIN((CROQUIS_DATOS!$C$1476)*CROQUIS_DATOS!$C$1561,((CROQUIS_DATOS!$C$1479+CROQUIS_DATOS!$C$1480)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6">
        <f>IF(AND(CROQUIS_DATOS!$C$1472=1,CROQUIS_DATOS!$C$1478&gt;=1,((CROQUIS_DATOS!$C$1479+CROQUIS_DATOS!$C$1480))-(CROQUIS_DATOS!$C$1479)&gt;0.5,(CROQUIS_DATOS!$C$1476)-((CROQUIS_DATOS!$C$1481+CROQUIS_DATOS!$C$1482))&gt;0.5),(CROQUIS_DATOS!$C$1567+(IF(IF(MOD(MIN(INT(($A126-1)/2)+1,MAX(1,INT(((((CROQUIS_DATOS!$C$1479+CROQUIS_DATOS!$C$1480))-(CROQUIS_DATOS!$C$1479))+((CROQUIS_DATOS!$C$1476)*CROQUIS_DATOS!$C$1561-((CROQUIS_DATOS!$C$1481+CROQUIS_DATOS!$C$1482))*CROQUIS_DATOS!$C$1561))/CROQUIS_DATOS!$C$1568-0.000001))),2)=1,IF(INT(($A126-1)/2)+1&gt;MAX(1,INT(((((CROQUIS_DATOS!$C$1479+CROQUIS_DATOS!$C$1480))-(CROQUIS_DATOS!$C$1479))+((CROQUIS_DATOS!$C$1476)*CROQUIS_DATOS!$C$1561-((CROQUIS_DATOS!$C$1481+CROQUIS_DATOS!$C$1482))*CROQUIS_DATOS!$C$1561))/CROQUIS_DATOS!$C$1568-0.000001)),1,MOD($A126-1,2)),1-IF(INT(($A126-1)/2)+1&gt;MAX(1,INT(((((CROQUIS_DATOS!$C$1479+CROQUIS_DATOS!$C$1480))-(CROQUIS_DATOS!$C$1479))+((CROQUIS_DATOS!$C$1476)*CROQUIS_DATOS!$C$1561-((CROQUIS_DATOS!$C$1481+CROQUIS_DATOS!$C$1482))*CROQUIS_DATOS!$C$1561))/CROQUIS_DATOS!$C$1568-0.000001)),1,MOD($A126-1,2)))=1,MIN((CROQUIS_DATOS!$C$1476)*CROQUIS_DATOS!$C$1561,((CROQUIS_DATOS!$C$1479+CROQUIS_DATOS!$C$1480)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6">
        <f>IF(AND(CROQUIS_DATOS!$C$1472=1,CROQUIS_DATOS!$C$1478&gt;=2,((CROQUIS_DATOS!$C$1484+CROQUIS_DATOS!$C$1485))-(CROQUIS_DATOS!$C$1484)&gt;0.5,(CROQUIS_DATOS!$C$1486)-(0)&gt;0.5),(CROQUIS_DATOS!$C$1566+(IF(IF(MOD(MIN(INT(($A126-1)/2)+1,MAX(1,INT(((((CROQUIS_DATOS!$C$1484+CROQUIS_DATOS!$C$1485))-(CROQUIS_DATOS!$C$1484))+((CROQUIS_DATOS!$C$1486)*CROQUIS_DATOS!$C$1561-(0)*CROQUIS_DATOS!$C$1561))/CROQUIS_DATOS!$C$1568-0.000001))),2)=1,IF(INT(($A126-1)/2)+1&gt;MAX(1,INT(((((CROQUIS_DATOS!$C$1484+CROQUIS_DATOS!$C$1485))-(CROQUIS_DATOS!$C$1484))+((CROQUIS_DATOS!$C$1486)*CROQUIS_DATOS!$C$1561-(0)*CROQUIS_DATOS!$C$1561))/CROQUIS_DATOS!$C$1568-0.000001)),1,MOD($A126-1,2)),1-IF(INT(($A126-1)/2)+1&gt;MAX(1,INT(((((CROQUIS_DATOS!$C$1484+CROQUIS_DATOS!$C$1485))-(CROQUIS_DATOS!$C$1484))+((CROQUIS_DATOS!$C$1486)*CROQUIS_DATOS!$C$1561-(0)*CROQUIS_DATOS!$C$1561))/CROQUIS_DATOS!$C$1568-0.000001)),1,MOD($A126-1,2)))=1,MIN((CROQUIS_DATOS!$C$1486)*CROQUIS_DATOS!$C$1561,((CROQUIS_DATOS!$C$1484+CROQUIS_DATOS!$C$1485)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6">
        <f>IF(AND(CROQUIS_DATOS!$C$1472=1,CROQUIS_DATOS!$C$1478&gt;=2,((CROQUIS_DATOS!$C$1484+CROQUIS_DATOS!$C$1485))-(CROQUIS_DATOS!$C$1484)&gt;0.5,(CROQUIS_DATOS!$C$1486)-(0)&gt;0.5),(CROQUIS_DATOS!$C$1567+(IF(IF(MOD(MIN(INT(($A126-1)/2)+1,MAX(1,INT(((((CROQUIS_DATOS!$C$1484+CROQUIS_DATOS!$C$1485))-(CROQUIS_DATOS!$C$1484))+((CROQUIS_DATOS!$C$1486)*CROQUIS_DATOS!$C$1561-(0)*CROQUIS_DATOS!$C$1561))/CROQUIS_DATOS!$C$1568-0.000001))),2)=1,IF(INT(($A126-1)/2)+1&gt;MAX(1,INT(((((CROQUIS_DATOS!$C$1484+CROQUIS_DATOS!$C$1485))-(CROQUIS_DATOS!$C$1484))+((CROQUIS_DATOS!$C$1486)*CROQUIS_DATOS!$C$1561-(0)*CROQUIS_DATOS!$C$1561))/CROQUIS_DATOS!$C$1568-0.000001)),1,MOD($A126-1,2)),1-IF(INT(($A126-1)/2)+1&gt;MAX(1,INT(((((CROQUIS_DATOS!$C$1484+CROQUIS_DATOS!$C$1485))-(CROQUIS_DATOS!$C$1484))+((CROQUIS_DATOS!$C$1486)*CROQUIS_DATOS!$C$1561-(0)*CROQUIS_DATOS!$C$1561))/CROQUIS_DATOS!$C$1568-0.000001)),1,MOD($A126-1,2)))=1,MIN((CROQUIS_DATOS!$C$1486)*CROQUIS_DATOS!$C$1561,((CROQUIS_DATOS!$C$1484+CROQUIS_DATOS!$C$1485)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6">
        <f>IF(AND(CROQUIS_DATOS!$C$1472=1,CROQUIS_DATOS!$C$1478&gt;=2,((CROQUIS_DATOS!$C$1484+CROQUIS_DATOS!$C$1485))-(CROQUIS_DATOS!$C$1484)&gt;0.5,(CROQUIS_DATOS!$C$1476)-((CROQUIS_DATOS!$C$1486+CROQUIS_DATOS!$C$1487))&gt;0.5),(CROQUIS_DATOS!$C$1566+(IF(IF(MOD(MIN(INT(($A126-1)/2)+1,MAX(1,INT(((((CROQUIS_DATOS!$C$1484+CROQUIS_DATOS!$C$1485))-(CROQUIS_DATOS!$C$1484))+((CROQUIS_DATOS!$C$1476)*CROQUIS_DATOS!$C$1561-((CROQUIS_DATOS!$C$1486+CROQUIS_DATOS!$C$1487))*CROQUIS_DATOS!$C$1561))/CROQUIS_DATOS!$C$1568-0.000001))),2)=1,IF(INT(($A126-1)/2)+1&gt;MAX(1,INT(((((CROQUIS_DATOS!$C$1484+CROQUIS_DATOS!$C$1485))-(CROQUIS_DATOS!$C$1484))+((CROQUIS_DATOS!$C$1476)*CROQUIS_DATOS!$C$1561-((CROQUIS_DATOS!$C$1486+CROQUIS_DATOS!$C$1487))*CROQUIS_DATOS!$C$1561))/CROQUIS_DATOS!$C$1568-0.000001)),1,MOD($A126-1,2)),1-IF(INT(($A126-1)/2)+1&gt;MAX(1,INT(((((CROQUIS_DATOS!$C$1484+CROQUIS_DATOS!$C$1485))-(CROQUIS_DATOS!$C$1484))+((CROQUIS_DATOS!$C$1476)*CROQUIS_DATOS!$C$1561-((CROQUIS_DATOS!$C$1486+CROQUIS_DATOS!$C$1487))*CROQUIS_DATOS!$C$1561))/CROQUIS_DATOS!$C$1568-0.000001)),1,MOD($A126-1,2)))=1,MIN((CROQUIS_DATOS!$C$1476)*CROQUIS_DATOS!$C$1561,((CROQUIS_DATOS!$C$1484+CROQUIS_DATOS!$C$1485)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6">
        <f>IF(AND(CROQUIS_DATOS!$C$1472=1,CROQUIS_DATOS!$C$1478&gt;=2,((CROQUIS_DATOS!$C$1484+CROQUIS_DATOS!$C$1485))-(CROQUIS_DATOS!$C$1484)&gt;0.5,(CROQUIS_DATOS!$C$1476)-((CROQUIS_DATOS!$C$1486+CROQUIS_DATOS!$C$1487))&gt;0.5),(CROQUIS_DATOS!$C$1567+(IF(IF(MOD(MIN(INT(($A126-1)/2)+1,MAX(1,INT(((((CROQUIS_DATOS!$C$1484+CROQUIS_DATOS!$C$1485))-(CROQUIS_DATOS!$C$1484))+((CROQUIS_DATOS!$C$1476)*CROQUIS_DATOS!$C$1561-((CROQUIS_DATOS!$C$1486+CROQUIS_DATOS!$C$1487))*CROQUIS_DATOS!$C$1561))/CROQUIS_DATOS!$C$1568-0.000001))),2)=1,IF(INT(($A126-1)/2)+1&gt;MAX(1,INT(((((CROQUIS_DATOS!$C$1484+CROQUIS_DATOS!$C$1485))-(CROQUIS_DATOS!$C$1484))+((CROQUIS_DATOS!$C$1476)*CROQUIS_DATOS!$C$1561-((CROQUIS_DATOS!$C$1486+CROQUIS_DATOS!$C$1487))*CROQUIS_DATOS!$C$1561))/CROQUIS_DATOS!$C$1568-0.000001)),1,MOD($A126-1,2)),1-IF(INT(($A126-1)/2)+1&gt;MAX(1,INT(((((CROQUIS_DATOS!$C$1484+CROQUIS_DATOS!$C$1485))-(CROQUIS_DATOS!$C$1484))+((CROQUIS_DATOS!$C$1476)*CROQUIS_DATOS!$C$1561-((CROQUIS_DATOS!$C$1486+CROQUIS_DATOS!$C$1487))*CROQUIS_DATOS!$C$1561))/CROQUIS_DATOS!$C$1568-0.000001)),1,MOD($A126-1,2)))=1,MIN((CROQUIS_DATOS!$C$1476)*CROQUIS_DATOS!$C$1561,((CROQUIS_DATOS!$C$1484+CROQUIS_DATOS!$C$1485)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6">
        <f>IF(AND(CROQUIS_DATOS!$C$1472=1,CROQUIS_DATOS!$C$1478&gt;=3,((CROQUIS_DATOS!$C$1489+CROQUIS_DATOS!$C$1490))-(CROQUIS_DATOS!$C$1489)&gt;0.5,(CROQUIS_DATOS!$C$1491)-(0)&gt;0.5),(CROQUIS_DATOS!$C$1566+(IF(IF(MOD(MIN(INT(($A126-1)/2)+1,MAX(1,INT(((((CROQUIS_DATOS!$C$1489+CROQUIS_DATOS!$C$1490))-(CROQUIS_DATOS!$C$1489))+((CROQUIS_DATOS!$C$1491)*CROQUIS_DATOS!$C$1561-(0)*CROQUIS_DATOS!$C$1561))/CROQUIS_DATOS!$C$1568-0.000001))),2)=1,IF(INT(($A126-1)/2)+1&gt;MAX(1,INT(((((CROQUIS_DATOS!$C$1489+CROQUIS_DATOS!$C$1490))-(CROQUIS_DATOS!$C$1489))+((CROQUIS_DATOS!$C$1491)*CROQUIS_DATOS!$C$1561-(0)*CROQUIS_DATOS!$C$1561))/CROQUIS_DATOS!$C$1568-0.000001)),1,MOD($A126-1,2)),1-IF(INT(($A126-1)/2)+1&gt;MAX(1,INT(((((CROQUIS_DATOS!$C$1489+CROQUIS_DATOS!$C$1490))-(CROQUIS_DATOS!$C$1489))+((CROQUIS_DATOS!$C$1491)*CROQUIS_DATOS!$C$1561-(0)*CROQUIS_DATOS!$C$1561))/CROQUIS_DATOS!$C$1568-0.000001)),1,MOD($A126-1,2)))=1,MIN((CROQUIS_DATOS!$C$1491)*CROQUIS_DATOS!$C$1561,((CROQUIS_DATOS!$C$1489+CROQUIS_DATOS!$C$1490)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6">
        <f>IF(AND(CROQUIS_DATOS!$C$1472=1,CROQUIS_DATOS!$C$1478&gt;=3,((CROQUIS_DATOS!$C$1489+CROQUIS_DATOS!$C$1490))-(CROQUIS_DATOS!$C$1489)&gt;0.5,(CROQUIS_DATOS!$C$1491)-(0)&gt;0.5),(CROQUIS_DATOS!$C$1567+(IF(IF(MOD(MIN(INT(($A126-1)/2)+1,MAX(1,INT(((((CROQUIS_DATOS!$C$1489+CROQUIS_DATOS!$C$1490))-(CROQUIS_DATOS!$C$1489))+((CROQUIS_DATOS!$C$1491)*CROQUIS_DATOS!$C$1561-(0)*CROQUIS_DATOS!$C$1561))/CROQUIS_DATOS!$C$1568-0.000001))),2)=1,IF(INT(($A126-1)/2)+1&gt;MAX(1,INT(((((CROQUIS_DATOS!$C$1489+CROQUIS_DATOS!$C$1490))-(CROQUIS_DATOS!$C$1489))+((CROQUIS_DATOS!$C$1491)*CROQUIS_DATOS!$C$1561-(0)*CROQUIS_DATOS!$C$1561))/CROQUIS_DATOS!$C$1568-0.000001)),1,MOD($A126-1,2)),1-IF(INT(($A126-1)/2)+1&gt;MAX(1,INT(((((CROQUIS_DATOS!$C$1489+CROQUIS_DATOS!$C$1490))-(CROQUIS_DATOS!$C$1489))+((CROQUIS_DATOS!$C$1491)*CROQUIS_DATOS!$C$1561-(0)*CROQUIS_DATOS!$C$1561))/CROQUIS_DATOS!$C$1568-0.000001)),1,MOD($A126-1,2)))=1,MIN((CROQUIS_DATOS!$C$1491)*CROQUIS_DATOS!$C$1561,((CROQUIS_DATOS!$C$1489+CROQUIS_DATOS!$C$1490)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6">
        <f>IF(AND(CROQUIS_DATOS!$C$1472=1,CROQUIS_DATOS!$C$1478&gt;=3,((CROQUIS_DATOS!$C$1489+CROQUIS_DATOS!$C$1490))-(CROQUIS_DATOS!$C$1489)&gt;0.5,(CROQUIS_DATOS!$C$1476)-((CROQUIS_DATOS!$C$1491+CROQUIS_DATOS!$C$1492))&gt;0.5),(CROQUIS_DATOS!$C$1566+(IF(IF(MOD(MIN(INT(($A126-1)/2)+1,MAX(1,INT(((((CROQUIS_DATOS!$C$1489+CROQUIS_DATOS!$C$1490))-(CROQUIS_DATOS!$C$1489))+((CROQUIS_DATOS!$C$1476)*CROQUIS_DATOS!$C$1561-((CROQUIS_DATOS!$C$1491+CROQUIS_DATOS!$C$1492))*CROQUIS_DATOS!$C$1561))/CROQUIS_DATOS!$C$1568-0.000001))),2)=1,IF(INT(($A126-1)/2)+1&gt;MAX(1,INT(((((CROQUIS_DATOS!$C$1489+CROQUIS_DATOS!$C$1490))-(CROQUIS_DATOS!$C$1489))+((CROQUIS_DATOS!$C$1476)*CROQUIS_DATOS!$C$1561-((CROQUIS_DATOS!$C$1491+CROQUIS_DATOS!$C$1492))*CROQUIS_DATOS!$C$1561))/CROQUIS_DATOS!$C$1568-0.000001)),1,MOD($A126-1,2)),1-IF(INT(($A126-1)/2)+1&gt;MAX(1,INT(((((CROQUIS_DATOS!$C$1489+CROQUIS_DATOS!$C$1490))-(CROQUIS_DATOS!$C$1489))+((CROQUIS_DATOS!$C$1476)*CROQUIS_DATOS!$C$1561-((CROQUIS_DATOS!$C$1491+CROQUIS_DATOS!$C$1492))*CROQUIS_DATOS!$C$1561))/CROQUIS_DATOS!$C$1568-0.000001)),1,MOD($A126-1,2)))=1,MIN((CROQUIS_DATOS!$C$1476)*CROQUIS_DATOS!$C$1561,((CROQUIS_DATOS!$C$1489+CROQUIS_DATOS!$C$1490)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6">
        <f>IF(AND(CROQUIS_DATOS!$C$1472=1,CROQUIS_DATOS!$C$1478&gt;=3,((CROQUIS_DATOS!$C$1489+CROQUIS_DATOS!$C$1490))-(CROQUIS_DATOS!$C$1489)&gt;0.5,(CROQUIS_DATOS!$C$1476)-((CROQUIS_DATOS!$C$1491+CROQUIS_DATOS!$C$1492))&gt;0.5),(CROQUIS_DATOS!$C$1567+(IF(IF(MOD(MIN(INT(($A126-1)/2)+1,MAX(1,INT(((((CROQUIS_DATOS!$C$1489+CROQUIS_DATOS!$C$1490))-(CROQUIS_DATOS!$C$1489))+((CROQUIS_DATOS!$C$1476)*CROQUIS_DATOS!$C$1561-((CROQUIS_DATOS!$C$1491+CROQUIS_DATOS!$C$1492))*CROQUIS_DATOS!$C$1561))/CROQUIS_DATOS!$C$1568-0.000001))),2)=1,IF(INT(($A126-1)/2)+1&gt;MAX(1,INT(((((CROQUIS_DATOS!$C$1489+CROQUIS_DATOS!$C$1490))-(CROQUIS_DATOS!$C$1489))+((CROQUIS_DATOS!$C$1476)*CROQUIS_DATOS!$C$1561-((CROQUIS_DATOS!$C$1491+CROQUIS_DATOS!$C$1492))*CROQUIS_DATOS!$C$1561))/CROQUIS_DATOS!$C$1568-0.000001)),1,MOD($A126-1,2)),1-IF(INT(($A126-1)/2)+1&gt;MAX(1,INT(((((CROQUIS_DATOS!$C$1489+CROQUIS_DATOS!$C$1490))-(CROQUIS_DATOS!$C$1489))+((CROQUIS_DATOS!$C$1476)*CROQUIS_DATOS!$C$1561-((CROQUIS_DATOS!$C$1491+CROQUIS_DATOS!$C$1492))*CROQUIS_DATOS!$C$1561))/CROQUIS_DATOS!$C$1568-0.000001)),1,MOD($A126-1,2)))=1,MIN((CROQUIS_DATOS!$C$1476)*CROQUIS_DATOS!$C$1561,((CROQUIS_DATOS!$C$1489+CROQUIS_DATOS!$C$1490)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6">
        <f>IF(AND(CROQUIS_DATOS!$C$1472=1,CROQUIS_DATOS!$C$1478&gt;=4,((CROQUIS_DATOS!$C$1494+CROQUIS_DATOS!$C$1495))-(CROQUIS_DATOS!$C$1494)&gt;0.5,(CROQUIS_DATOS!$C$1496)-(0)&gt;0.5),(CROQUIS_DATOS!$C$1566+(IF(IF(MOD(MIN(INT(($A126-1)/2)+1,MAX(1,INT(((((CROQUIS_DATOS!$C$1494+CROQUIS_DATOS!$C$1495))-(CROQUIS_DATOS!$C$1494))+((CROQUIS_DATOS!$C$1496)*CROQUIS_DATOS!$C$1561-(0)*CROQUIS_DATOS!$C$1561))/CROQUIS_DATOS!$C$1568-0.000001))),2)=1,IF(INT(($A126-1)/2)+1&gt;MAX(1,INT(((((CROQUIS_DATOS!$C$1494+CROQUIS_DATOS!$C$1495))-(CROQUIS_DATOS!$C$1494))+((CROQUIS_DATOS!$C$1496)*CROQUIS_DATOS!$C$1561-(0)*CROQUIS_DATOS!$C$1561))/CROQUIS_DATOS!$C$1568-0.000001)),1,MOD($A126-1,2)),1-IF(INT(($A126-1)/2)+1&gt;MAX(1,INT(((((CROQUIS_DATOS!$C$1494+CROQUIS_DATOS!$C$1495))-(CROQUIS_DATOS!$C$1494))+((CROQUIS_DATOS!$C$1496)*CROQUIS_DATOS!$C$1561-(0)*CROQUIS_DATOS!$C$1561))/CROQUIS_DATOS!$C$1568-0.000001)),1,MOD($A126-1,2)))=1,MIN((CROQUIS_DATOS!$C$1496)*CROQUIS_DATOS!$C$1561,((CROQUIS_DATOS!$C$1494+CROQUIS_DATOS!$C$1495)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6">
        <f>IF(AND(CROQUIS_DATOS!$C$1472=1,CROQUIS_DATOS!$C$1478&gt;=4,((CROQUIS_DATOS!$C$1494+CROQUIS_DATOS!$C$1495))-(CROQUIS_DATOS!$C$1494)&gt;0.5,(CROQUIS_DATOS!$C$1496)-(0)&gt;0.5),(CROQUIS_DATOS!$C$1567+(IF(IF(MOD(MIN(INT(($A126-1)/2)+1,MAX(1,INT(((((CROQUIS_DATOS!$C$1494+CROQUIS_DATOS!$C$1495))-(CROQUIS_DATOS!$C$1494))+((CROQUIS_DATOS!$C$1496)*CROQUIS_DATOS!$C$1561-(0)*CROQUIS_DATOS!$C$1561))/CROQUIS_DATOS!$C$1568-0.000001))),2)=1,IF(INT(($A126-1)/2)+1&gt;MAX(1,INT(((((CROQUIS_DATOS!$C$1494+CROQUIS_DATOS!$C$1495))-(CROQUIS_DATOS!$C$1494))+((CROQUIS_DATOS!$C$1496)*CROQUIS_DATOS!$C$1561-(0)*CROQUIS_DATOS!$C$1561))/CROQUIS_DATOS!$C$1568-0.000001)),1,MOD($A126-1,2)),1-IF(INT(($A126-1)/2)+1&gt;MAX(1,INT(((((CROQUIS_DATOS!$C$1494+CROQUIS_DATOS!$C$1495))-(CROQUIS_DATOS!$C$1494))+((CROQUIS_DATOS!$C$1496)*CROQUIS_DATOS!$C$1561-(0)*CROQUIS_DATOS!$C$1561))/CROQUIS_DATOS!$C$1568-0.000001)),1,MOD($A126-1,2)))=1,MIN((CROQUIS_DATOS!$C$1496)*CROQUIS_DATOS!$C$1561,((CROQUIS_DATOS!$C$1494+CROQUIS_DATOS!$C$1495)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6">
        <f>IF(AND(CROQUIS_DATOS!$C$1472=1,CROQUIS_DATOS!$C$1478&gt;=4,((CROQUIS_DATOS!$C$1494+CROQUIS_DATOS!$C$1495))-(CROQUIS_DATOS!$C$1494)&gt;0.5,(CROQUIS_DATOS!$C$1476)-((CROQUIS_DATOS!$C$1496+CROQUIS_DATOS!$C$1497))&gt;0.5),(CROQUIS_DATOS!$C$1566+(IF(IF(MOD(MIN(INT(($A126-1)/2)+1,MAX(1,INT(((((CROQUIS_DATOS!$C$1494+CROQUIS_DATOS!$C$1495))-(CROQUIS_DATOS!$C$1494))+((CROQUIS_DATOS!$C$1476)*CROQUIS_DATOS!$C$1561-((CROQUIS_DATOS!$C$1496+CROQUIS_DATOS!$C$1497))*CROQUIS_DATOS!$C$1561))/CROQUIS_DATOS!$C$1568-0.000001))),2)=1,IF(INT(($A126-1)/2)+1&gt;MAX(1,INT(((((CROQUIS_DATOS!$C$1494+CROQUIS_DATOS!$C$1495))-(CROQUIS_DATOS!$C$1494))+((CROQUIS_DATOS!$C$1476)*CROQUIS_DATOS!$C$1561-((CROQUIS_DATOS!$C$1496+CROQUIS_DATOS!$C$1497))*CROQUIS_DATOS!$C$1561))/CROQUIS_DATOS!$C$1568-0.000001)),1,MOD($A126-1,2)),1-IF(INT(($A126-1)/2)+1&gt;MAX(1,INT(((((CROQUIS_DATOS!$C$1494+CROQUIS_DATOS!$C$1495))-(CROQUIS_DATOS!$C$1494))+((CROQUIS_DATOS!$C$1476)*CROQUIS_DATOS!$C$1561-((CROQUIS_DATOS!$C$1496+CROQUIS_DATOS!$C$1497))*CROQUIS_DATOS!$C$1561))/CROQUIS_DATOS!$C$1568-0.000001)),1,MOD($A126-1,2)))=1,MIN((CROQUIS_DATOS!$C$1476)*CROQUIS_DATOS!$C$1561,((CROQUIS_DATOS!$C$1494+CROQUIS_DATOS!$C$1495)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6">
        <f>IF(AND(CROQUIS_DATOS!$C$1472=1,CROQUIS_DATOS!$C$1478&gt;=4,((CROQUIS_DATOS!$C$1494+CROQUIS_DATOS!$C$1495))-(CROQUIS_DATOS!$C$1494)&gt;0.5,(CROQUIS_DATOS!$C$1476)-((CROQUIS_DATOS!$C$1496+CROQUIS_DATOS!$C$1497))&gt;0.5),(CROQUIS_DATOS!$C$1567+(IF(IF(MOD(MIN(INT(($A126-1)/2)+1,MAX(1,INT(((((CROQUIS_DATOS!$C$1494+CROQUIS_DATOS!$C$1495))-(CROQUIS_DATOS!$C$1494))+((CROQUIS_DATOS!$C$1476)*CROQUIS_DATOS!$C$1561-((CROQUIS_DATOS!$C$1496+CROQUIS_DATOS!$C$1497))*CROQUIS_DATOS!$C$1561))/CROQUIS_DATOS!$C$1568-0.000001))),2)=1,IF(INT(($A126-1)/2)+1&gt;MAX(1,INT(((((CROQUIS_DATOS!$C$1494+CROQUIS_DATOS!$C$1495))-(CROQUIS_DATOS!$C$1494))+((CROQUIS_DATOS!$C$1476)*CROQUIS_DATOS!$C$1561-((CROQUIS_DATOS!$C$1496+CROQUIS_DATOS!$C$1497))*CROQUIS_DATOS!$C$1561))/CROQUIS_DATOS!$C$1568-0.000001)),1,MOD($A126-1,2)),1-IF(INT(($A126-1)/2)+1&gt;MAX(1,INT(((((CROQUIS_DATOS!$C$1494+CROQUIS_DATOS!$C$1495))-(CROQUIS_DATOS!$C$1494))+((CROQUIS_DATOS!$C$1476)*CROQUIS_DATOS!$C$1561-((CROQUIS_DATOS!$C$1496+CROQUIS_DATOS!$C$1497))*CROQUIS_DATOS!$C$1561))/CROQUIS_DATOS!$C$1568-0.000001)),1,MOD($A126-1,2)))=1,MIN((CROQUIS_DATOS!$C$1476)*CROQUIS_DATOS!$C$1561,((CROQUIS_DATOS!$C$1494+CROQUIS_DATOS!$C$1495)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7">
      <c r="A127" t="n">
        <v>120</v>
      </c>
      <c r="N127">
        <f>IF(AND(CROQUIS_DATOS!$C$1472=1,1),(CROQUIS_DATOS!$C$1563+(IF(IF(IF(INT(($A127-1)/70)+1&gt;CROQUIS_DATOS!$C$1525,70,MOD($A127-1,70)+1)=1,0,IF(IF(INT(($A127-1)/70)+1&gt;CROQUIS_DATOS!$C$1525,70,MOD($A127-1,70)+1)&gt;2*CROQUIS_DATOS!$C$1541+1,IF(MOD(CROQUIS_DATOS!$C$1541,2)=1,1,0),IF(MOD(MIN(INT((IF(INT(($A127-1)/70)+1&gt;CROQUIS_DATOS!$C$1525,70,MOD($A127-1,70)+1)-2)/2)+1,CROQUIS_DATOS!$C$1541),2)=1,IF(MOD(IF(INT(($A127-1)/70)+1&gt;CROQUIS_DATOS!$C$1525,70,MOD($A127-1,70)+1)-2,2)=0,0,1),IF(MOD(IF(INT(($A127-1)/70)+1&gt;CROQUIS_DATOS!$C$1525,70,MOD($A127-1,70)+1)-2,2)=0,1,0))))=0,(INDEX($E$8:$E$23,MIN(INT(($A127-1)/70)+1,CROQUIS_DATOS!$C$1525))-INDEX($F$8:$F$23,MIN(INT(($A127-1)/70)+1,CROQUIS_DATOS!$C$1525))/2),(INDEX($E$8:$E$23,MIN(INT(($A127-1)/70)+1,CROQUIS_DATOS!$C$1525))+INDEX($F$8:$F$23,MIN(INT(($A127-1)/70)+1,CROQUIS_DATOS!$C$1525))/2)))*CROQUIS_DATOS!$C$1562),-1000)</f>
        <v>18.5775862068965</v>
      </c>
      <c r="O127">
        <f>IF(AND(CROQUIS_DATOS!$C$1472=1,1),(CROQUIS_DATOS!$C$1564+(IF(OR(IF(INT(($A127-1)/70)+1&gt;CROQUIS_DATOS!$C$1525,70,MOD($A127-1,70)+1)=1,IF(INT(($A127-1)/70)+1&gt;CROQUIS_DATOS!$C$1525,70,MOD($A127-1,70)+1)&gt;2*CROQUIS_DATOS!$C$1541+1),CROQUIS_DATOS!$C$1476,INDEX($H$8:$H$41,MIN(INT((IF(INT(($A127-1)/70)+1&gt;CROQUIS_DATOS!$C$1525,70,MOD($A127-1,70)+1)-2)/2)+1,CROQUIS_DATOS!$C$1541))))*CROQUIS_DATOS!$C$1561*CROQUIS_DATOS!$C$1562),-1000)</f>
        <v>40.2068965517241</v>
      </c>
      <c r="P127">
        <f>IF(AND(CROQUIS_DATOS!$C$1472=1,CROQUIS_DATOS!$C$1555=1),(CROQUIS_DATOS!$C$1563+(IF(IF(OR(MOD($A127-1,62)+1=1,IF(CHOOSE(MIN(MAX(MIN(INT(($A127-1)/62)+1,5),1),5),CROQUIS_DATOS!$C$1501,CROQUIS_DATOS!$C$1505,CROQUIS_DATOS!$C$1509,CROQUIS_DATOS!$C$1513,CROQUIS_DATOS!$C$1517)=1,CROQUIS_DATOS!$C$1557,0)=0),0,IF(MOD($A127-1,62)+1&gt;2*IF(CHOOSE(MIN(MAX(MIN(INT(($A127-1)/62)+1,5),1),5),CROQUIS_DATOS!$C$1501,CROQUIS_DATOS!$C$1505,CROQUIS_DATOS!$C$1509,CROQUIS_DATOS!$C$1513,CROQUIS_DATOS!$C$1517)=1,CROQUIS_DATOS!$C$1557,0)+1,IF(MOD(IF(CHOOSE(MIN(MAX(MIN(INT(($A127-1)/62)+1,5),1),5),CROQUIS_DATOS!$C$1501,CROQUIS_DATOS!$C$1505,CROQUIS_DATOS!$C$1509,CROQUIS_DATOS!$C$1513,CROQUIS_DATOS!$C$1517)=1,CROQUIS_DATOS!$C$1557,0),2)=1,1,0),IF(MOD(MIN(INT((MOD($A127-1,62)+1-2)/2)+1,MAX(IF(CHOOSE(MIN(MAX(MIN(INT(($A127-1)/62)+1,5),1),5),CROQUIS_DATOS!$C$1501,CROQUIS_DATOS!$C$1505,CROQUIS_DATOS!$C$1509,CROQUIS_DATOS!$C$1513,CROQUIS_DATOS!$C$1517)=1,CROQUIS_DATOS!$C$1557,0),1)),2)=1,IF(MOD(MOD($A127-1,62)+1-2,2)=0,0,1),IF(MOD(MOD($A127-1,62)+1-2,2)=0,1,0))))=0,(CHOOSE(MIN(MAX(MIN(INT(($A127-1)/62)+1,5),1),5),CROQUIS_DATOS!$C$1499,CROQUIS_DATOS!$C$1503,CROQUIS_DATOS!$C$1507,CROQUIS_DATOS!$C$1511,CROQUIS_DATOS!$C$1515)+IF(CHOOSE(MIN(MAX(MIN(INT(($A127-1)/62)+1,5),1),5),CROQUIS_DATOS!$C$1501,CROQUIS_DATOS!$C$1505,CROQUIS_DATOS!$C$1509,CROQUIS_DATOS!$C$1513,CROQUIS_DATOS!$C$1517)=1,CROQUIS_DATOS!$C$1526,0)),(CHOOSE(MIN(MAX(MIN(INT(($A127-1)/62)+1,5),1),5),CROQUIS_DATOS!$C$1499,CROQUIS_DATOS!$C$1503,CROQUIS_DATOS!$C$1507,CROQUIS_DATOS!$C$1511,CROQUIS_DATOS!$C$1515)+CHOOSE(MIN(MAX(MIN(INT(($A127-1)/62)+1,5),1),5),CROQUIS_DATOS!$C$1500,CROQUIS_DATOS!$C$1504,CROQUIS_DATOS!$C$1508,CROQUIS_DATOS!$C$1512,CROQUIS_DATOS!$C$1516)-IF(CHOOSE(MIN(MAX(MIN(INT(($A127-1)/62)+1,5),1),5),CROQUIS_DATOS!$C$1501,CROQUIS_DATOS!$C$1505,CROQUIS_DATOS!$C$1509,CROQUIS_DATOS!$C$1513,CROQUIS_DATOS!$C$1517)=1,CROQUIS_DATOS!$C$1526,0))))*CROQUIS_DATOS!$C$1562),-1000)</f>
        <v>-1000</v>
      </c>
      <c r="Q127">
        <f>IF(AND(CROQUIS_DATOS!$C$1472=1,CROQUIS_DATOS!$C$1555=1),(CROQUIS_DATOS!$C$1564+(IF(OR(OR(MOD($A127-1,62)+1=1,IF(CHOOSE(MIN(MAX(MIN(INT(($A127-1)/62)+1,5),1),5),CROQUIS_DATOS!$C$1501,CROQUIS_DATOS!$C$1505,CROQUIS_DATOS!$C$1509,CROQUIS_DATOS!$C$1513,CROQUIS_DATOS!$C$1517)=1,CROQUIS_DATOS!$C$1557,0)=0),MOD($A127-1,62)+1&gt;2*IF(CHOOSE(MIN(MAX(MIN(INT(($A127-1)/62)+1,5),1),5),CROQUIS_DATOS!$C$1501,CROQUIS_DATOS!$C$1505,CROQUIS_DATOS!$C$1509,CROQUIS_DATOS!$C$1513,CROQUIS_DATOS!$C$1517)=1,CROQUIS_DATOS!$C$1557,0)+1),CROQUIS_DATOS!$C$1476,MIN(INT((MOD($A127-1,62)+1-2)/2)+1,MAX(IF(CHOOSE(MIN(MAX(MIN(INT(($A127-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7">
        <f>IF(AND(CROQUIS_DATOS!$C$1472=1,1),(CROQUIS_DATOS!$C$1563+(MIN(INT(($A127-1)/2)+1,CROQUIS_DATOS!$C$1558)*CROQUIS_DATOS!$C$1559)*CROQUIS_DATOS!$C$1562),-1000)</f>
        <v>82.2281167108753</v>
      </c>
      <c r="U127">
        <f>IF(AND(CROQUIS_DATOS!$C$1472=1,1),(CROQUIS_DATOS!$C$1564+(IF(INT(($A127-1)/2)+1&gt;CROQUIS_DATOS!$C$1558,IF(MOD(CROQUIS_DATOS!$C$1558,2)=1,CROQUIS_DATOS!$C$1476+CROQUIS_DATOS!$C$1528,CROQUIS_DATOS!$C$1476),IF(IF(MOD(MIN(INT(($A127-1)/2)+1,CROQUIS_DATOS!$C$1558),2)=1,MOD($A127-1,2),1-MOD($A127-1,2))=1,CROQUIS_DATOS!$C$1476+CROQUIS_DATOS!$C$1528,CROQUIS_DATOS!$C$1476)))*CROQUIS_DATOS!$C$1561*CROQUIS_DATOS!$C$1562),-1000)</f>
        <v>43</v>
      </c>
      <c r="BZ127">
        <f>IF(AND(CROQUIS_DATOS!$C$1472=1,CROQUIS_DATOS!$C$1500&gt;0,((CROQUIS_DATOS!$C$1499+CROQUIS_DATOS!$C$1500))-(CROQUIS_DATOS!$C$1499)&gt;0.5,(CROQUIS_DATOS!$C$1476)-(0)&gt;0.5),(CROQUIS_DATOS!$C$1566+(IF(IF(MOD(MIN(INT(($A127-1)/2)+1,MAX(1,INT(((((CROQUIS_DATOS!$C$1499+CROQUIS_DATOS!$C$1500))-(CROQUIS_DATOS!$C$1499))+((CROQUIS_DATOS!$C$1476)*CROQUIS_DATOS!$C$1561-(0)*CROQUIS_DATOS!$C$1561))/CROQUIS_DATOS!$C$1568-0.000001))),2)=1,IF(INT(($A127-1)/2)+1&gt;MAX(1,INT(((((CROQUIS_DATOS!$C$1499+CROQUIS_DATOS!$C$1500))-(CROQUIS_DATOS!$C$1499))+((CROQUIS_DATOS!$C$1476)*CROQUIS_DATOS!$C$1561-(0)*CROQUIS_DATOS!$C$1561))/CROQUIS_DATOS!$C$1568-0.000001)),1,MOD($A127-1,2)),1-IF(INT(($A127-1)/2)+1&gt;MAX(1,INT(((((CROQUIS_DATOS!$C$1499+CROQUIS_DATOS!$C$1500))-(CROQUIS_DATOS!$C$1499))+((CROQUIS_DATOS!$C$1476)*CROQUIS_DATOS!$C$1561-(0)*CROQUIS_DATOS!$C$1561))/CROQUIS_DATOS!$C$1568-0.000001)),1,MOD($A127-1,2)))=1,MIN((CROQUIS_DATOS!$C$1476)*CROQUIS_DATOS!$C$1561,((CROQUIS_DATOS!$C$1499+CROQUIS_DATOS!$C$1500)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7">
        <f>IF(AND(CROQUIS_DATOS!$C$1472=1,CROQUIS_DATOS!$C$1500&gt;0,((CROQUIS_DATOS!$C$1499+CROQUIS_DATOS!$C$1500))-(CROQUIS_DATOS!$C$1499)&gt;0.5,(CROQUIS_DATOS!$C$1476)-(0)&gt;0.5),(CROQUIS_DATOS!$C$1567+(IF(IF(MOD(MIN(INT(($A127-1)/2)+1,MAX(1,INT(((((CROQUIS_DATOS!$C$1499+CROQUIS_DATOS!$C$1500))-(CROQUIS_DATOS!$C$1499))+((CROQUIS_DATOS!$C$1476)*CROQUIS_DATOS!$C$1561-(0)*CROQUIS_DATOS!$C$1561))/CROQUIS_DATOS!$C$1568-0.000001))),2)=1,IF(INT(($A127-1)/2)+1&gt;MAX(1,INT(((((CROQUIS_DATOS!$C$1499+CROQUIS_DATOS!$C$1500))-(CROQUIS_DATOS!$C$1499))+((CROQUIS_DATOS!$C$1476)*CROQUIS_DATOS!$C$1561-(0)*CROQUIS_DATOS!$C$1561))/CROQUIS_DATOS!$C$1568-0.000001)),1,MOD($A127-1,2)),1-IF(INT(($A127-1)/2)+1&gt;MAX(1,INT(((((CROQUIS_DATOS!$C$1499+CROQUIS_DATOS!$C$1500))-(CROQUIS_DATOS!$C$1499))+((CROQUIS_DATOS!$C$1476)*CROQUIS_DATOS!$C$1561-(0)*CROQUIS_DATOS!$C$1561))/CROQUIS_DATOS!$C$1568-0.000001)),1,MOD($A127-1,2)))=1,MIN((CROQUIS_DATOS!$C$1476)*CROQUIS_DATOS!$C$1561,((CROQUIS_DATOS!$C$1499+CROQUIS_DATOS!$C$1500)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7">
        <f>IF(AND(CROQUIS_DATOS!$C$1472=1,CROQUIS_DATOS!$C$1504&gt;0,((CROQUIS_DATOS!$C$1503+CROQUIS_DATOS!$C$1504))-(CROQUIS_DATOS!$C$1503)&gt;0.5,(CROQUIS_DATOS!$C$1476)-(0)&gt;0.5),(CROQUIS_DATOS!$C$1566+(IF(IF(MOD(MIN(INT(($A127-1)/2)+1,MAX(1,INT(((((CROQUIS_DATOS!$C$1503+CROQUIS_DATOS!$C$1504))-(CROQUIS_DATOS!$C$1503))+((CROQUIS_DATOS!$C$1476)*CROQUIS_DATOS!$C$1561-(0)*CROQUIS_DATOS!$C$1561))/CROQUIS_DATOS!$C$1568-0.000001))),2)=1,IF(INT(($A127-1)/2)+1&gt;MAX(1,INT(((((CROQUIS_DATOS!$C$1503+CROQUIS_DATOS!$C$1504))-(CROQUIS_DATOS!$C$1503))+((CROQUIS_DATOS!$C$1476)*CROQUIS_DATOS!$C$1561-(0)*CROQUIS_DATOS!$C$1561))/CROQUIS_DATOS!$C$1568-0.000001)),1,MOD($A127-1,2)),1-IF(INT(($A127-1)/2)+1&gt;MAX(1,INT(((((CROQUIS_DATOS!$C$1503+CROQUIS_DATOS!$C$1504))-(CROQUIS_DATOS!$C$1503))+((CROQUIS_DATOS!$C$1476)*CROQUIS_DATOS!$C$1561-(0)*CROQUIS_DATOS!$C$1561))/CROQUIS_DATOS!$C$1568-0.000001)),1,MOD($A127-1,2)))=1,MIN((CROQUIS_DATOS!$C$1476)*CROQUIS_DATOS!$C$1561,((CROQUIS_DATOS!$C$1503+CROQUIS_DATOS!$C$1504)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7">
        <f>IF(AND(CROQUIS_DATOS!$C$1472=1,CROQUIS_DATOS!$C$1504&gt;0,((CROQUIS_DATOS!$C$1503+CROQUIS_DATOS!$C$1504))-(CROQUIS_DATOS!$C$1503)&gt;0.5,(CROQUIS_DATOS!$C$1476)-(0)&gt;0.5),(CROQUIS_DATOS!$C$1567+(IF(IF(MOD(MIN(INT(($A127-1)/2)+1,MAX(1,INT(((((CROQUIS_DATOS!$C$1503+CROQUIS_DATOS!$C$1504))-(CROQUIS_DATOS!$C$1503))+((CROQUIS_DATOS!$C$1476)*CROQUIS_DATOS!$C$1561-(0)*CROQUIS_DATOS!$C$1561))/CROQUIS_DATOS!$C$1568-0.000001))),2)=1,IF(INT(($A127-1)/2)+1&gt;MAX(1,INT(((((CROQUIS_DATOS!$C$1503+CROQUIS_DATOS!$C$1504))-(CROQUIS_DATOS!$C$1503))+((CROQUIS_DATOS!$C$1476)*CROQUIS_DATOS!$C$1561-(0)*CROQUIS_DATOS!$C$1561))/CROQUIS_DATOS!$C$1568-0.000001)),1,MOD($A127-1,2)),1-IF(INT(($A127-1)/2)+1&gt;MAX(1,INT(((((CROQUIS_DATOS!$C$1503+CROQUIS_DATOS!$C$1504))-(CROQUIS_DATOS!$C$1503))+((CROQUIS_DATOS!$C$1476)*CROQUIS_DATOS!$C$1561-(0)*CROQUIS_DATOS!$C$1561))/CROQUIS_DATOS!$C$1568-0.000001)),1,MOD($A127-1,2)))=1,MIN((CROQUIS_DATOS!$C$1476)*CROQUIS_DATOS!$C$1561,((CROQUIS_DATOS!$C$1503+CROQUIS_DATOS!$C$1504)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7">
        <f>IF(AND(CROQUIS_DATOS!$C$1472=1,CROQUIS_DATOS!$C$1508&gt;0,((CROQUIS_DATOS!$C$1507+CROQUIS_DATOS!$C$1508))-(CROQUIS_DATOS!$C$1507)&gt;0.5,(CROQUIS_DATOS!$C$1476)-(0)&gt;0.5),(CROQUIS_DATOS!$C$1566+(IF(IF(MOD(MIN(INT(($A127-1)/2)+1,MAX(1,INT(((((CROQUIS_DATOS!$C$1507+CROQUIS_DATOS!$C$1508))-(CROQUIS_DATOS!$C$1507))+((CROQUIS_DATOS!$C$1476)*CROQUIS_DATOS!$C$1561-(0)*CROQUIS_DATOS!$C$1561))/CROQUIS_DATOS!$C$1568-0.000001))),2)=1,IF(INT(($A127-1)/2)+1&gt;MAX(1,INT(((((CROQUIS_DATOS!$C$1507+CROQUIS_DATOS!$C$1508))-(CROQUIS_DATOS!$C$1507))+((CROQUIS_DATOS!$C$1476)*CROQUIS_DATOS!$C$1561-(0)*CROQUIS_DATOS!$C$1561))/CROQUIS_DATOS!$C$1568-0.000001)),1,MOD($A127-1,2)),1-IF(INT(($A127-1)/2)+1&gt;MAX(1,INT(((((CROQUIS_DATOS!$C$1507+CROQUIS_DATOS!$C$1508))-(CROQUIS_DATOS!$C$1507))+((CROQUIS_DATOS!$C$1476)*CROQUIS_DATOS!$C$1561-(0)*CROQUIS_DATOS!$C$1561))/CROQUIS_DATOS!$C$1568-0.000001)),1,MOD($A127-1,2)))=1,MIN((CROQUIS_DATOS!$C$1476)*CROQUIS_DATOS!$C$1561,((CROQUIS_DATOS!$C$1507+CROQUIS_DATOS!$C$1508)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7">
        <f>IF(AND(CROQUIS_DATOS!$C$1472=1,CROQUIS_DATOS!$C$1508&gt;0,((CROQUIS_DATOS!$C$1507+CROQUIS_DATOS!$C$1508))-(CROQUIS_DATOS!$C$1507)&gt;0.5,(CROQUIS_DATOS!$C$1476)-(0)&gt;0.5),(CROQUIS_DATOS!$C$1567+(IF(IF(MOD(MIN(INT(($A127-1)/2)+1,MAX(1,INT(((((CROQUIS_DATOS!$C$1507+CROQUIS_DATOS!$C$1508))-(CROQUIS_DATOS!$C$1507))+((CROQUIS_DATOS!$C$1476)*CROQUIS_DATOS!$C$1561-(0)*CROQUIS_DATOS!$C$1561))/CROQUIS_DATOS!$C$1568-0.000001))),2)=1,IF(INT(($A127-1)/2)+1&gt;MAX(1,INT(((((CROQUIS_DATOS!$C$1507+CROQUIS_DATOS!$C$1508))-(CROQUIS_DATOS!$C$1507))+((CROQUIS_DATOS!$C$1476)*CROQUIS_DATOS!$C$1561-(0)*CROQUIS_DATOS!$C$1561))/CROQUIS_DATOS!$C$1568-0.000001)),1,MOD($A127-1,2)),1-IF(INT(($A127-1)/2)+1&gt;MAX(1,INT(((((CROQUIS_DATOS!$C$1507+CROQUIS_DATOS!$C$1508))-(CROQUIS_DATOS!$C$1507))+((CROQUIS_DATOS!$C$1476)*CROQUIS_DATOS!$C$1561-(0)*CROQUIS_DATOS!$C$1561))/CROQUIS_DATOS!$C$1568-0.000001)),1,MOD($A127-1,2)))=1,MIN((CROQUIS_DATOS!$C$1476)*CROQUIS_DATOS!$C$1561,((CROQUIS_DATOS!$C$1507+CROQUIS_DATOS!$C$1508)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7">
        <f>IF(AND(CROQUIS_DATOS!$C$1472=1,CROQUIS_DATOS!$C$1512&gt;0,((CROQUIS_DATOS!$C$1511+CROQUIS_DATOS!$C$1512))-(CROQUIS_DATOS!$C$1511)&gt;0.5,(CROQUIS_DATOS!$C$1476)-(0)&gt;0.5),(CROQUIS_DATOS!$C$1566+(IF(IF(MOD(MIN(INT(($A127-1)/2)+1,MAX(1,INT(((((CROQUIS_DATOS!$C$1511+CROQUIS_DATOS!$C$1512))-(CROQUIS_DATOS!$C$1511))+((CROQUIS_DATOS!$C$1476)*CROQUIS_DATOS!$C$1561-(0)*CROQUIS_DATOS!$C$1561))/CROQUIS_DATOS!$C$1568-0.000001))),2)=1,IF(INT(($A127-1)/2)+1&gt;MAX(1,INT(((((CROQUIS_DATOS!$C$1511+CROQUIS_DATOS!$C$1512))-(CROQUIS_DATOS!$C$1511))+((CROQUIS_DATOS!$C$1476)*CROQUIS_DATOS!$C$1561-(0)*CROQUIS_DATOS!$C$1561))/CROQUIS_DATOS!$C$1568-0.000001)),1,MOD($A127-1,2)),1-IF(INT(($A127-1)/2)+1&gt;MAX(1,INT(((((CROQUIS_DATOS!$C$1511+CROQUIS_DATOS!$C$1512))-(CROQUIS_DATOS!$C$1511))+((CROQUIS_DATOS!$C$1476)*CROQUIS_DATOS!$C$1561-(0)*CROQUIS_DATOS!$C$1561))/CROQUIS_DATOS!$C$1568-0.000001)),1,MOD($A127-1,2)))=1,MIN((CROQUIS_DATOS!$C$1476)*CROQUIS_DATOS!$C$1561,((CROQUIS_DATOS!$C$1511+CROQUIS_DATOS!$C$1512)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7">
        <f>IF(AND(CROQUIS_DATOS!$C$1472=1,CROQUIS_DATOS!$C$1512&gt;0,((CROQUIS_DATOS!$C$1511+CROQUIS_DATOS!$C$1512))-(CROQUIS_DATOS!$C$1511)&gt;0.5,(CROQUIS_DATOS!$C$1476)-(0)&gt;0.5),(CROQUIS_DATOS!$C$1567+(IF(IF(MOD(MIN(INT(($A127-1)/2)+1,MAX(1,INT(((((CROQUIS_DATOS!$C$1511+CROQUIS_DATOS!$C$1512))-(CROQUIS_DATOS!$C$1511))+((CROQUIS_DATOS!$C$1476)*CROQUIS_DATOS!$C$1561-(0)*CROQUIS_DATOS!$C$1561))/CROQUIS_DATOS!$C$1568-0.000001))),2)=1,IF(INT(($A127-1)/2)+1&gt;MAX(1,INT(((((CROQUIS_DATOS!$C$1511+CROQUIS_DATOS!$C$1512))-(CROQUIS_DATOS!$C$1511))+((CROQUIS_DATOS!$C$1476)*CROQUIS_DATOS!$C$1561-(0)*CROQUIS_DATOS!$C$1561))/CROQUIS_DATOS!$C$1568-0.000001)),1,MOD($A127-1,2)),1-IF(INT(($A127-1)/2)+1&gt;MAX(1,INT(((((CROQUIS_DATOS!$C$1511+CROQUIS_DATOS!$C$1512))-(CROQUIS_DATOS!$C$1511))+((CROQUIS_DATOS!$C$1476)*CROQUIS_DATOS!$C$1561-(0)*CROQUIS_DATOS!$C$1561))/CROQUIS_DATOS!$C$1568-0.000001)),1,MOD($A127-1,2)))=1,MIN((CROQUIS_DATOS!$C$1476)*CROQUIS_DATOS!$C$1561,((CROQUIS_DATOS!$C$1511+CROQUIS_DATOS!$C$1512)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7">
        <f>IF(AND(CROQUIS_DATOS!$C$1472=1,CROQUIS_DATOS!$C$1516&gt;0,((CROQUIS_DATOS!$C$1515+CROQUIS_DATOS!$C$1516))-(CROQUIS_DATOS!$C$1515)&gt;0.5,(CROQUIS_DATOS!$C$1476)-(0)&gt;0.5),(CROQUIS_DATOS!$C$1566+(IF(IF(MOD(MIN(INT(($A127-1)/2)+1,MAX(1,INT(((((CROQUIS_DATOS!$C$1515+CROQUIS_DATOS!$C$1516))-(CROQUIS_DATOS!$C$1515))+((CROQUIS_DATOS!$C$1476)*CROQUIS_DATOS!$C$1561-(0)*CROQUIS_DATOS!$C$1561))/CROQUIS_DATOS!$C$1568-0.000001))),2)=1,IF(INT(($A127-1)/2)+1&gt;MAX(1,INT(((((CROQUIS_DATOS!$C$1515+CROQUIS_DATOS!$C$1516))-(CROQUIS_DATOS!$C$1515))+((CROQUIS_DATOS!$C$1476)*CROQUIS_DATOS!$C$1561-(0)*CROQUIS_DATOS!$C$1561))/CROQUIS_DATOS!$C$1568-0.000001)),1,MOD($A127-1,2)),1-IF(INT(($A127-1)/2)+1&gt;MAX(1,INT(((((CROQUIS_DATOS!$C$1515+CROQUIS_DATOS!$C$1516))-(CROQUIS_DATOS!$C$1515))+((CROQUIS_DATOS!$C$1476)*CROQUIS_DATOS!$C$1561-(0)*CROQUIS_DATOS!$C$1561))/CROQUIS_DATOS!$C$1568-0.000001)),1,MOD($A127-1,2)))=1,MIN((CROQUIS_DATOS!$C$1476)*CROQUIS_DATOS!$C$1561,((CROQUIS_DATOS!$C$1515+CROQUIS_DATOS!$C$1516)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7">
        <f>IF(AND(CROQUIS_DATOS!$C$1472=1,CROQUIS_DATOS!$C$1516&gt;0,((CROQUIS_DATOS!$C$1515+CROQUIS_DATOS!$C$1516))-(CROQUIS_DATOS!$C$1515)&gt;0.5,(CROQUIS_DATOS!$C$1476)-(0)&gt;0.5),(CROQUIS_DATOS!$C$1567+(IF(IF(MOD(MIN(INT(($A127-1)/2)+1,MAX(1,INT(((((CROQUIS_DATOS!$C$1515+CROQUIS_DATOS!$C$1516))-(CROQUIS_DATOS!$C$1515))+((CROQUIS_DATOS!$C$1476)*CROQUIS_DATOS!$C$1561-(0)*CROQUIS_DATOS!$C$1561))/CROQUIS_DATOS!$C$1568-0.000001))),2)=1,IF(INT(($A127-1)/2)+1&gt;MAX(1,INT(((((CROQUIS_DATOS!$C$1515+CROQUIS_DATOS!$C$1516))-(CROQUIS_DATOS!$C$1515))+((CROQUIS_DATOS!$C$1476)*CROQUIS_DATOS!$C$1561-(0)*CROQUIS_DATOS!$C$1561))/CROQUIS_DATOS!$C$1568-0.000001)),1,MOD($A127-1,2)),1-IF(INT(($A127-1)/2)+1&gt;MAX(1,INT(((((CROQUIS_DATOS!$C$1515+CROQUIS_DATOS!$C$1516))-(CROQUIS_DATOS!$C$1515))+((CROQUIS_DATOS!$C$1476)*CROQUIS_DATOS!$C$1561-(0)*CROQUIS_DATOS!$C$1561))/CROQUIS_DATOS!$C$1568-0.000001)),1,MOD($A127-1,2)))=1,MIN((CROQUIS_DATOS!$C$1476)*CROQUIS_DATOS!$C$1561,((CROQUIS_DATOS!$C$1515+CROQUIS_DATOS!$C$1516)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7">
        <f>IF(AND(CROQUIS_DATOS!$C$1472=1,CROQUIS_DATOS!$C$1478&gt;=1,((CROQUIS_DATOS!$C$1479+CROQUIS_DATOS!$C$1480))-(CROQUIS_DATOS!$C$1479)&gt;0.5,(CROQUIS_DATOS!$C$1481)-(0)&gt;0.5),(CROQUIS_DATOS!$C$1566+(IF(IF(MOD(MIN(INT(($A127-1)/2)+1,MAX(1,INT(((((CROQUIS_DATOS!$C$1479+CROQUIS_DATOS!$C$1480))-(CROQUIS_DATOS!$C$1479))+((CROQUIS_DATOS!$C$1481)*CROQUIS_DATOS!$C$1561-(0)*CROQUIS_DATOS!$C$1561))/CROQUIS_DATOS!$C$1568-0.000001))),2)=1,IF(INT(($A127-1)/2)+1&gt;MAX(1,INT(((((CROQUIS_DATOS!$C$1479+CROQUIS_DATOS!$C$1480))-(CROQUIS_DATOS!$C$1479))+((CROQUIS_DATOS!$C$1481)*CROQUIS_DATOS!$C$1561-(0)*CROQUIS_DATOS!$C$1561))/CROQUIS_DATOS!$C$1568-0.000001)),1,MOD($A127-1,2)),1-IF(INT(($A127-1)/2)+1&gt;MAX(1,INT(((((CROQUIS_DATOS!$C$1479+CROQUIS_DATOS!$C$1480))-(CROQUIS_DATOS!$C$1479))+((CROQUIS_DATOS!$C$1481)*CROQUIS_DATOS!$C$1561-(0)*CROQUIS_DATOS!$C$1561))/CROQUIS_DATOS!$C$1568-0.000001)),1,MOD($A127-1,2)))=1,MIN((CROQUIS_DATOS!$C$1481)*CROQUIS_DATOS!$C$1561,((CROQUIS_DATOS!$C$1479+CROQUIS_DATOS!$C$1480)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7">
        <f>IF(AND(CROQUIS_DATOS!$C$1472=1,CROQUIS_DATOS!$C$1478&gt;=1,((CROQUIS_DATOS!$C$1479+CROQUIS_DATOS!$C$1480))-(CROQUIS_DATOS!$C$1479)&gt;0.5,(CROQUIS_DATOS!$C$1481)-(0)&gt;0.5),(CROQUIS_DATOS!$C$1567+(IF(IF(MOD(MIN(INT(($A127-1)/2)+1,MAX(1,INT(((((CROQUIS_DATOS!$C$1479+CROQUIS_DATOS!$C$1480))-(CROQUIS_DATOS!$C$1479))+((CROQUIS_DATOS!$C$1481)*CROQUIS_DATOS!$C$1561-(0)*CROQUIS_DATOS!$C$1561))/CROQUIS_DATOS!$C$1568-0.000001))),2)=1,IF(INT(($A127-1)/2)+1&gt;MAX(1,INT(((((CROQUIS_DATOS!$C$1479+CROQUIS_DATOS!$C$1480))-(CROQUIS_DATOS!$C$1479))+((CROQUIS_DATOS!$C$1481)*CROQUIS_DATOS!$C$1561-(0)*CROQUIS_DATOS!$C$1561))/CROQUIS_DATOS!$C$1568-0.000001)),1,MOD($A127-1,2)),1-IF(INT(($A127-1)/2)+1&gt;MAX(1,INT(((((CROQUIS_DATOS!$C$1479+CROQUIS_DATOS!$C$1480))-(CROQUIS_DATOS!$C$1479))+((CROQUIS_DATOS!$C$1481)*CROQUIS_DATOS!$C$1561-(0)*CROQUIS_DATOS!$C$1561))/CROQUIS_DATOS!$C$1568-0.000001)),1,MOD($A127-1,2)))=1,MIN((CROQUIS_DATOS!$C$1481)*CROQUIS_DATOS!$C$1561,((CROQUIS_DATOS!$C$1479+CROQUIS_DATOS!$C$1480)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7">
        <f>IF(AND(CROQUIS_DATOS!$C$1472=1,CROQUIS_DATOS!$C$1478&gt;=1,((CROQUIS_DATOS!$C$1479+CROQUIS_DATOS!$C$1480))-(CROQUIS_DATOS!$C$1479)&gt;0.5,(CROQUIS_DATOS!$C$1476)-((CROQUIS_DATOS!$C$1481+CROQUIS_DATOS!$C$1482))&gt;0.5),(CROQUIS_DATOS!$C$1566+(IF(IF(MOD(MIN(INT(($A127-1)/2)+1,MAX(1,INT(((((CROQUIS_DATOS!$C$1479+CROQUIS_DATOS!$C$1480))-(CROQUIS_DATOS!$C$1479))+((CROQUIS_DATOS!$C$1476)*CROQUIS_DATOS!$C$1561-((CROQUIS_DATOS!$C$1481+CROQUIS_DATOS!$C$1482))*CROQUIS_DATOS!$C$1561))/CROQUIS_DATOS!$C$1568-0.000001))),2)=1,IF(INT(($A127-1)/2)+1&gt;MAX(1,INT(((((CROQUIS_DATOS!$C$1479+CROQUIS_DATOS!$C$1480))-(CROQUIS_DATOS!$C$1479))+((CROQUIS_DATOS!$C$1476)*CROQUIS_DATOS!$C$1561-((CROQUIS_DATOS!$C$1481+CROQUIS_DATOS!$C$1482))*CROQUIS_DATOS!$C$1561))/CROQUIS_DATOS!$C$1568-0.000001)),1,MOD($A127-1,2)),1-IF(INT(($A127-1)/2)+1&gt;MAX(1,INT(((((CROQUIS_DATOS!$C$1479+CROQUIS_DATOS!$C$1480))-(CROQUIS_DATOS!$C$1479))+((CROQUIS_DATOS!$C$1476)*CROQUIS_DATOS!$C$1561-((CROQUIS_DATOS!$C$1481+CROQUIS_DATOS!$C$1482))*CROQUIS_DATOS!$C$1561))/CROQUIS_DATOS!$C$1568-0.000001)),1,MOD($A127-1,2)))=1,MIN((CROQUIS_DATOS!$C$1476)*CROQUIS_DATOS!$C$1561,((CROQUIS_DATOS!$C$1479+CROQUIS_DATOS!$C$1480)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7">
        <f>IF(AND(CROQUIS_DATOS!$C$1472=1,CROQUIS_DATOS!$C$1478&gt;=1,((CROQUIS_DATOS!$C$1479+CROQUIS_DATOS!$C$1480))-(CROQUIS_DATOS!$C$1479)&gt;0.5,(CROQUIS_DATOS!$C$1476)-((CROQUIS_DATOS!$C$1481+CROQUIS_DATOS!$C$1482))&gt;0.5),(CROQUIS_DATOS!$C$1567+(IF(IF(MOD(MIN(INT(($A127-1)/2)+1,MAX(1,INT(((((CROQUIS_DATOS!$C$1479+CROQUIS_DATOS!$C$1480))-(CROQUIS_DATOS!$C$1479))+((CROQUIS_DATOS!$C$1476)*CROQUIS_DATOS!$C$1561-((CROQUIS_DATOS!$C$1481+CROQUIS_DATOS!$C$1482))*CROQUIS_DATOS!$C$1561))/CROQUIS_DATOS!$C$1568-0.000001))),2)=1,IF(INT(($A127-1)/2)+1&gt;MAX(1,INT(((((CROQUIS_DATOS!$C$1479+CROQUIS_DATOS!$C$1480))-(CROQUIS_DATOS!$C$1479))+((CROQUIS_DATOS!$C$1476)*CROQUIS_DATOS!$C$1561-((CROQUIS_DATOS!$C$1481+CROQUIS_DATOS!$C$1482))*CROQUIS_DATOS!$C$1561))/CROQUIS_DATOS!$C$1568-0.000001)),1,MOD($A127-1,2)),1-IF(INT(($A127-1)/2)+1&gt;MAX(1,INT(((((CROQUIS_DATOS!$C$1479+CROQUIS_DATOS!$C$1480))-(CROQUIS_DATOS!$C$1479))+((CROQUIS_DATOS!$C$1476)*CROQUIS_DATOS!$C$1561-((CROQUIS_DATOS!$C$1481+CROQUIS_DATOS!$C$1482))*CROQUIS_DATOS!$C$1561))/CROQUIS_DATOS!$C$1568-0.000001)),1,MOD($A127-1,2)))=1,MIN((CROQUIS_DATOS!$C$1476)*CROQUIS_DATOS!$C$1561,((CROQUIS_DATOS!$C$1479+CROQUIS_DATOS!$C$1480)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7">
        <f>IF(AND(CROQUIS_DATOS!$C$1472=1,CROQUIS_DATOS!$C$1478&gt;=2,((CROQUIS_DATOS!$C$1484+CROQUIS_DATOS!$C$1485))-(CROQUIS_DATOS!$C$1484)&gt;0.5,(CROQUIS_DATOS!$C$1486)-(0)&gt;0.5),(CROQUIS_DATOS!$C$1566+(IF(IF(MOD(MIN(INT(($A127-1)/2)+1,MAX(1,INT(((((CROQUIS_DATOS!$C$1484+CROQUIS_DATOS!$C$1485))-(CROQUIS_DATOS!$C$1484))+((CROQUIS_DATOS!$C$1486)*CROQUIS_DATOS!$C$1561-(0)*CROQUIS_DATOS!$C$1561))/CROQUIS_DATOS!$C$1568-0.000001))),2)=1,IF(INT(($A127-1)/2)+1&gt;MAX(1,INT(((((CROQUIS_DATOS!$C$1484+CROQUIS_DATOS!$C$1485))-(CROQUIS_DATOS!$C$1484))+((CROQUIS_DATOS!$C$1486)*CROQUIS_DATOS!$C$1561-(0)*CROQUIS_DATOS!$C$1561))/CROQUIS_DATOS!$C$1568-0.000001)),1,MOD($A127-1,2)),1-IF(INT(($A127-1)/2)+1&gt;MAX(1,INT(((((CROQUIS_DATOS!$C$1484+CROQUIS_DATOS!$C$1485))-(CROQUIS_DATOS!$C$1484))+((CROQUIS_DATOS!$C$1486)*CROQUIS_DATOS!$C$1561-(0)*CROQUIS_DATOS!$C$1561))/CROQUIS_DATOS!$C$1568-0.000001)),1,MOD($A127-1,2)))=1,MIN((CROQUIS_DATOS!$C$1486)*CROQUIS_DATOS!$C$1561,((CROQUIS_DATOS!$C$1484+CROQUIS_DATOS!$C$1485)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7">
        <f>IF(AND(CROQUIS_DATOS!$C$1472=1,CROQUIS_DATOS!$C$1478&gt;=2,((CROQUIS_DATOS!$C$1484+CROQUIS_DATOS!$C$1485))-(CROQUIS_DATOS!$C$1484)&gt;0.5,(CROQUIS_DATOS!$C$1486)-(0)&gt;0.5),(CROQUIS_DATOS!$C$1567+(IF(IF(MOD(MIN(INT(($A127-1)/2)+1,MAX(1,INT(((((CROQUIS_DATOS!$C$1484+CROQUIS_DATOS!$C$1485))-(CROQUIS_DATOS!$C$1484))+((CROQUIS_DATOS!$C$1486)*CROQUIS_DATOS!$C$1561-(0)*CROQUIS_DATOS!$C$1561))/CROQUIS_DATOS!$C$1568-0.000001))),2)=1,IF(INT(($A127-1)/2)+1&gt;MAX(1,INT(((((CROQUIS_DATOS!$C$1484+CROQUIS_DATOS!$C$1485))-(CROQUIS_DATOS!$C$1484))+((CROQUIS_DATOS!$C$1486)*CROQUIS_DATOS!$C$1561-(0)*CROQUIS_DATOS!$C$1561))/CROQUIS_DATOS!$C$1568-0.000001)),1,MOD($A127-1,2)),1-IF(INT(($A127-1)/2)+1&gt;MAX(1,INT(((((CROQUIS_DATOS!$C$1484+CROQUIS_DATOS!$C$1485))-(CROQUIS_DATOS!$C$1484))+((CROQUIS_DATOS!$C$1486)*CROQUIS_DATOS!$C$1561-(0)*CROQUIS_DATOS!$C$1561))/CROQUIS_DATOS!$C$1568-0.000001)),1,MOD($A127-1,2)))=1,MIN((CROQUIS_DATOS!$C$1486)*CROQUIS_DATOS!$C$1561,((CROQUIS_DATOS!$C$1484+CROQUIS_DATOS!$C$1485)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7">
        <f>IF(AND(CROQUIS_DATOS!$C$1472=1,CROQUIS_DATOS!$C$1478&gt;=2,((CROQUIS_DATOS!$C$1484+CROQUIS_DATOS!$C$1485))-(CROQUIS_DATOS!$C$1484)&gt;0.5,(CROQUIS_DATOS!$C$1476)-((CROQUIS_DATOS!$C$1486+CROQUIS_DATOS!$C$1487))&gt;0.5),(CROQUIS_DATOS!$C$1566+(IF(IF(MOD(MIN(INT(($A127-1)/2)+1,MAX(1,INT(((((CROQUIS_DATOS!$C$1484+CROQUIS_DATOS!$C$1485))-(CROQUIS_DATOS!$C$1484))+((CROQUIS_DATOS!$C$1476)*CROQUIS_DATOS!$C$1561-((CROQUIS_DATOS!$C$1486+CROQUIS_DATOS!$C$1487))*CROQUIS_DATOS!$C$1561))/CROQUIS_DATOS!$C$1568-0.000001))),2)=1,IF(INT(($A127-1)/2)+1&gt;MAX(1,INT(((((CROQUIS_DATOS!$C$1484+CROQUIS_DATOS!$C$1485))-(CROQUIS_DATOS!$C$1484))+((CROQUIS_DATOS!$C$1476)*CROQUIS_DATOS!$C$1561-((CROQUIS_DATOS!$C$1486+CROQUIS_DATOS!$C$1487))*CROQUIS_DATOS!$C$1561))/CROQUIS_DATOS!$C$1568-0.000001)),1,MOD($A127-1,2)),1-IF(INT(($A127-1)/2)+1&gt;MAX(1,INT(((((CROQUIS_DATOS!$C$1484+CROQUIS_DATOS!$C$1485))-(CROQUIS_DATOS!$C$1484))+((CROQUIS_DATOS!$C$1476)*CROQUIS_DATOS!$C$1561-((CROQUIS_DATOS!$C$1486+CROQUIS_DATOS!$C$1487))*CROQUIS_DATOS!$C$1561))/CROQUIS_DATOS!$C$1568-0.000001)),1,MOD($A127-1,2)))=1,MIN((CROQUIS_DATOS!$C$1476)*CROQUIS_DATOS!$C$1561,((CROQUIS_DATOS!$C$1484+CROQUIS_DATOS!$C$1485)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7">
        <f>IF(AND(CROQUIS_DATOS!$C$1472=1,CROQUIS_DATOS!$C$1478&gt;=2,((CROQUIS_DATOS!$C$1484+CROQUIS_DATOS!$C$1485))-(CROQUIS_DATOS!$C$1484)&gt;0.5,(CROQUIS_DATOS!$C$1476)-((CROQUIS_DATOS!$C$1486+CROQUIS_DATOS!$C$1487))&gt;0.5),(CROQUIS_DATOS!$C$1567+(IF(IF(MOD(MIN(INT(($A127-1)/2)+1,MAX(1,INT(((((CROQUIS_DATOS!$C$1484+CROQUIS_DATOS!$C$1485))-(CROQUIS_DATOS!$C$1484))+((CROQUIS_DATOS!$C$1476)*CROQUIS_DATOS!$C$1561-((CROQUIS_DATOS!$C$1486+CROQUIS_DATOS!$C$1487))*CROQUIS_DATOS!$C$1561))/CROQUIS_DATOS!$C$1568-0.000001))),2)=1,IF(INT(($A127-1)/2)+1&gt;MAX(1,INT(((((CROQUIS_DATOS!$C$1484+CROQUIS_DATOS!$C$1485))-(CROQUIS_DATOS!$C$1484))+((CROQUIS_DATOS!$C$1476)*CROQUIS_DATOS!$C$1561-((CROQUIS_DATOS!$C$1486+CROQUIS_DATOS!$C$1487))*CROQUIS_DATOS!$C$1561))/CROQUIS_DATOS!$C$1568-0.000001)),1,MOD($A127-1,2)),1-IF(INT(($A127-1)/2)+1&gt;MAX(1,INT(((((CROQUIS_DATOS!$C$1484+CROQUIS_DATOS!$C$1485))-(CROQUIS_DATOS!$C$1484))+((CROQUIS_DATOS!$C$1476)*CROQUIS_DATOS!$C$1561-((CROQUIS_DATOS!$C$1486+CROQUIS_DATOS!$C$1487))*CROQUIS_DATOS!$C$1561))/CROQUIS_DATOS!$C$1568-0.000001)),1,MOD($A127-1,2)))=1,MIN((CROQUIS_DATOS!$C$1476)*CROQUIS_DATOS!$C$1561,((CROQUIS_DATOS!$C$1484+CROQUIS_DATOS!$C$1485)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7">
        <f>IF(AND(CROQUIS_DATOS!$C$1472=1,CROQUIS_DATOS!$C$1478&gt;=3,((CROQUIS_DATOS!$C$1489+CROQUIS_DATOS!$C$1490))-(CROQUIS_DATOS!$C$1489)&gt;0.5,(CROQUIS_DATOS!$C$1491)-(0)&gt;0.5),(CROQUIS_DATOS!$C$1566+(IF(IF(MOD(MIN(INT(($A127-1)/2)+1,MAX(1,INT(((((CROQUIS_DATOS!$C$1489+CROQUIS_DATOS!$C$1490))-(CROQUIS_DATOS!$C$1489))+((CROQUIS_DATOS!$C$1491)*CROQUIS_DATOS!$C$1561-(0)*CROQUIS_DATOS!$C$1561))/CROQUIS_DATOS!$C$1568-0.000001))),2)=1,IF(INT(($A127-1)/2)+1&gt;MAX(1,INT(((((CROQUIS_DATOS!$C$1489+CROQUIS_DATOS!$C$1490))-(CROQUIS_DATOS!$C$1489))+((CROQUIS_DATOS!$C$1491)*CROQUIS_DATOS!$C$1561-(0)*CROQUIS_DATOS!$C$1561))/CROQUIS_DATOS!$C$1568-0.000001)),1,MOD($A127-1,2)),1-IF(INT(($A127-1)/2)+1&gt;MAX(1,INT(((((CROQUIS_DATOS!$C$1489+CROQUIS_DATOS!$C$1490))-(CROQUIS_DATOS!$C$1489))+((CROQUIS_DATOS!$C$1491)*CROQUIS_DATOS!$C$1561-(0)*CROQUIS_DATOS!$C$1561))/CROQUIS_DATOS!$C$1568-0.000001)),1,MOD($A127-1,2)))=1,MIN((CROQUIS_DATOS!$C$1491)*CROQUIS_DATOS!$C$1561,((CROQUIS_DATOS!$C$1489+CROQUIS_DATOS!$C$1490)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7">
        <f>IF(AND(CROQUIS_DATOS!$C$1472=1,CROQUIS_DATOS!$C$1478&gt;=3,((CROQUIS_DATOS!$C$1489+CROQUIS_DATOS!$C$1490))-(CROQUIS_DATOS!$C$1489)&gt;0.5,(CROQUIS_DATOS!$C$1491)-(0)&gt;0.5),(CROQUIS_DATOS!$C$1567+(IF(IF(MOD(MIN(INT(($A127-1)/2)+1,MAX(1,INT(((((CROQUIS_DATOS!$C$1489+CROQUIS_DATOS!$C$1490))-(CROQUIS_DATOS!$C$1489))+((CROQUIS_DATOS!$C$1491)*CROQUIS_DATOS!$C$1561-(0)*CROQUIS_DATOS!$C$1561))/CROQUIS_DATOS!$C$1568-0.000001))),2)=1,IF(INT(($A127-1)/2)+1&gt;MAX(1,INT(((((CROQUIS_DATOS!$C$1489+CROQUIS_DATOS!$C$1490))-(CROQUIS_DATOS!$C$1489))+((CROQUIS_DATOS!$C$1491)*CROQUIS_DATOS!$C$1561-(0)*CROQUIS_DATOS!$C$1561))/CROQUIS_DATOS!$C$1568-0.000001)),1,MOD($A127-1,2)),1-IF(INT(($A127-1)/2)+1&gt;MAX(1,INT(((((CROQUIS_DATOS!$C$1489+CROQUIS_DATOS!$C$1490))-(CROQUIS_DATOS!$C$1489))+((CROQUIS_DATOS!$C$1491)*CROQUIS_DATOS!$C$1561-(0)*CROQUIS_DATOS!$C$1561))/CROQUIS_DATOS!$C$1568-0.000001)),1,MOD($A127-1,2)))=1,MIN((CROQUIS_DATOS!$C$1491)*CROQUIS_DATOS!$C$1561,((CROQUIS_DATOS!$C$1489+CROQUIS_DATOS!$C$1490)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7">
        <f>IF(AND(CROQUIS_DATOS!$C$1472=1,CROQUIS_DATOS!$C$1478&gt;=3,((CROQUIS_DATOS!$C$1489+CROQUIS_DATOS!$C$1490))-(CROQUIS_DATOS!$C$1489)&gt;0.5,(CROQUIS_DATOS!$C$1476)-((CROQUIS_DATOS!$C$1491+CROQUIS_DATOS!$C$1492))&gt;0.5),(CROQUIS_DATOS!$C$1566+(IF(IF(MOD(MIN(INT(($A127-1)/2)+1,MAX(1,INT(((((CROQUIS_DATOS!$C$1489+CROQUIS_DATOS!$C$1490))-(CROQUIS_DATOS!$C$1489))+((CROQUIS_DATOS!$C$1476)*CROQUIS_DATOS!$C$1561-((CROQUIS_DATOS!$C$1491+CROQUIS_DATOS!$C$1492))*CROQUIS_DATOS!$C$1561))/CROQUIS_DATOS!$C$1568-0.000001))),2)=1,IF(INT(($A127-1)/2)+1&gt;MAX(1,INT(((((CROQUIS_DATOS!$C$1489+CROQUIS_DATOS!$C$1490))-(CROQUIS_DATOS!$C$1489))+((CROQUIS_DATOS!$C$1476)*CROQUIS_DATOS!$C$1561-((CROQUIS_DATOS!$C$1491+CROQUIS_DATOS!$C$1492))*CROQUIS_DATOS!$C$1561))/CROQUIS_DATOS!$C$1568-0.000001)),1,MOD($A127-1,2)),1-IF(INT(($A127-1)/2)+1&gt;MAX(1,INT(((((CROQUIS_DATOS!$C$1489+CROQUIS_DATOS!$C$1490))-(CROQUIS_DATOS!$C$1489))+((CROQUIS_DATOS!$C$1476)*CROQUIS_DATOS!$C$1561-((CROQUIS_DATOS!$C$1491+CROQUIS_DATOS!$C$1492))*CROQUIS_DATOS!$C$1561))/CROQUIS_DATOS!$C$1568-0.000001)),1,MOD($A127-1,2)))=1,MIN((CROQUIS_DATOS!$C$1476)*CROQUIS_DATOS!$C$1561,((CROQUIS_DATOS!$C$1489+CROQUIS_DATOS!$C$1490)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7">
        <f>IF(AND(CROQUIS_DATOS!$C$1472=1,CROQUIS_DATOS!$C$1478&gt;=3,((CROQUIS_DATOS!$C$1489+CROQUIS_DATOS!$C$1490))-(CROQUIS_DATOS!$C$1489)&gt;0.5,(CROQUIS_DATOS!$C$1476)-((CROQUIS_DATOS!$C$1491+CROQUIS_DATOS!$C$1492))&gt;0.5),(CROQUIS_DATOS!$C$1567+(IF(IF(MOD(MIN(INT(($A127-1)/2)+1,MAX(1,INT(((((CROQUIS_DATOS!$C$1489+CROQUIS_DATOS!$C$1490))-(CROQUIS_DATOS!$C$1489))+((CROQUIS_DATOS!$C$1476)*CROQUIS_DATOS!$C$1561-((CROQUIS_DATOS!$C$1491+CROQUIS_DATOS!$C$1492))*CROQUIS_DATOS!$C$1561))/CROQUIS_DATOS!$C$1568-0.000001))),2)=1,IF(INT(($A127-1)/2)+1&gt;MAX(1,INT(((((CROQUIS_DATOS!$C$1489+CROQUIS_DATOS!$C$1490))-(CROQUIS_DATOS!$C$1489))+((CROQUIS_DATOS!$C$1476)*CROQUIS_DATOS!$C$1561-((CROQUIS_DATOS!$C$1491+CROQUIS_DATOS!$C$1492))*CROQUIS_DATOS!$C$1561))/CROQUIS_DATOS!$C$1568-0.000001)),1,MOD($A127-1,2)),1-IF(INT(($A127-1)/2)+1&gt;MAX(1,INT(((((CROQUIS_DATOS!$C$1489+CROQUIS_DATOS!$C$1490))-(CROQUIS_DATOS!$C$1489))+((CROQUIS_DATOS!$C$1476)*CROQUIS_DATOS!$C$1561-((CROQUIS_DATOS!$C$1491+CROQUIS_DATOS!$C$1492))*CROQUIS_DATOS!$C$1561))/CROQUIS_DATOS!$C$1568-0.000001)),1,MOD($A127-1,2)))=1,MIN((CROQUIS_DATOS!$C$1476)*CROQUIS_DATOS!$C$1561,((CROQUIS_DATOS!$C$1489+CROQUIS_DATOS!$C$1490)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7">
        <f>IF(AND(CROQUIS_DATOS!$C$1472=1,CROQUIS_DATOS!$C$1478&gt;=4,((CROQUIS_DATOS!$C$1494+CROQUIS_DATOS!$C$1495))-(CROQUIS_DATOS!$C$1494)&gt;0.5,(CROQUIS_DATOS!$C$1496)-(0)&gt;0.5),(CROQUIS_DATOS!$C$1566+(IF(IF(MOD(MIN(INT(($A127-1)/2)+1,MAX(1,INT(((((CROQUIS_DATOS!$C$1494+CROQUIS_DATOS!$C$1495))-(CROQUIS_DATOS!$C$1494))+((CROQUIS_DATOS!$C$1496)*CROQUIS_DATOS!$C$1561-(0)*CROQUIS_DATOS!$C$1561))/CROQUIS_DATOS!$C$1568-0.000001))),2)=1,IF(INT(($A127-1)/2)+1&gt;MAX(1,INT(((((CROQUIS_DATOS!$C$1494+CROQUIS_DATOS!$C$1495))-(CROQUIS_DATOS!$C$1494))+((CROQUIS_DATOS!$C$1496)*CROQUIS_DATOS!$C$1561-(0)*CROQUIS_DATOS!$C$1561))/CROQUIS_DATOS!$C$1568-0.000001)),1,MOD($A127-1,2)),1-IF(INT(($A127-1)/2)+1&gt;MAX(1,INT(((((CROQUIS_DATOS!$C$1494+CROQUIS_DATOS!$C$1495))-(CROQUIS_DATOS!$C$1494))+((CROQUIS_DATOS!$C$1496)*CROQUIS_DATOS!$C$1561-(0)*CROQUIS_DATOS!$C$1561))/CROQUIS_DATOS!$C$1568-0.000001)),1,MOD($A127-1,2)))=1,MIN((CROQUIS_DATOS!$C$1496)*CROQUIS_DATOS!$C$1561,((CROQUIS_DATOS!$C$1494+CROQUIS_DATOS!$C$1495)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7">
        <f>IF(AND(CROQUIS_DATOS!$C$1472=1,CROQUIS_DATOS!$C$1478&gt;=4,((CROQUIS_DATOS!$C$1494+CROQUIS_DATOS!$C$1495))-(CROQUIS_DATOS!$C$1494)&gt;0.5,(CROQUIS_DATOS!$C$1496)-(0)&gt;0.5),(CROQUIS_DATOS!$C$1567+(IF(IF(MOD(MIN(INT(($A127-1)/2)+1,MAX(1,INT(((((CROQUIS_DATOS!$C$1494+CROQUIS_DATOS!$C$1495))-(CROQUIS_DATOS!$C$1494))+((CROQUIS_DATOS!$C$1496)*CROQUIS_DATOS!$C$1561-(0)*CROQUIS_DATOS!$C$1561))/CROQUIS_DATOS!$C$1568-0.000001))),2)=1,IF(INT(($A127-1)/2)+1&gt;MAX(1,INT(((((CROQUIS_DATOS!$C$1494+CROQUIS_DATOS!$C$1495))-(CROQUIS_DATOS!$C$1494))+((CROQUIS_DATOS!$C$1496)*CROQUIS_DATOS!$C$1561-(0)*CROQUIS_DATOS!$C$1561))/CROQUIS_DATOS!$C$1568-0.000001)),1,MOD($A127-1,2)),1-IF(INT(($A127-1)/2)+1&gt;MAX(1,INT(((((CROQUIS_DATOS!$C$1494+CROQUIS_DATOS!$C$1495))-(CROQUIS_DATOS!$C$1494))+((CROQUIS_DATOS!$C$1496)*CROQUIS_DATOS!$C$1561-(0)*CROQUIS_DATOS!$C$1561))/CROQUIS_DATOS!$C$1568-0.000001)),1,MOD($A127-1,2)))=1,MIN((CROQUIS_DATOS!$C$1496)*CROQUIS_DATOS!$C$1561,((CROQUIS_DATOS!$C$1494+CROQUIS_DATOS!$C$1495)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7">
        <f>IF(AND(CROQUIS_DATOS!$C$1472=1,CROQUIS_DATOS!$C$1478&gt;=4,((CROQUIS_DATOS!$C$1494+CROQUIS_DATOS!$C$1495))-(CROQUIS_DATOS!$C$1494)&gt;0.5,(CROQUIS_DATOS!$C$1476)-((CROQUIS_DATOS!$C$1496+CROQUIS_DATOS!$C$1497))&gt;0.5),(CROQUIS_DATOS!$C$1566+(IF(IF(MOD(MIN(INT(($A127-1)/2)+1,MAX(1,INT(((((CROQUIS_DATOS!$C$1494+CROQUIS_DATOS!$C$1495))-(CROQUIS_DATOS!$C$1494))+((CROQUIS_DATOS!$C$1476)*CROQUIS_DATOS!$C$1561-((CROQUIS_DATOS!$C$1496+CROQUIS_DATOS!$C$1497))*CROQUIS_DATOS!$C$1561))/CROQUIS_DATOS!$C$1568-0.000001))),2)=1,IF(INT(($A127-1)/2)+1&gt;MAX(1,INT(((((CROQUIS_DATOS!$C$1494+CROQUIS_DATOS!$C$1495))-(CROQUIS_DATOS!$C$1494))+((CROQUIS_DATOS!$C$1476)*CROQUIS_DATOS!$C$1561-((CROQUIS_DATOS!$C$1496+CROQUIS_DATOS!$C$1497))*CROQUIS_DATOS!$C$1561))/CROQUIS_DATOS!$C$1568-0.000001)),1,MOD($A127-1,2)),1-IF(INT(($A127-1)/2)+1&gt;MAX(1,INT(((((CROQUIS_DATOS!$C$1494+CROQUIS_DATOS!$C$1495))-(CROQUIS_DATOS!$C$1494))+((CROQUIS_DATOS!$C$1476)*CROQUIS_DATOS!$C$1561-((CROQUIS_DATOS!$C$1496+CROQUIS_DATOS!$C$1497))*CROQUIS_DATOS!$C$1561))/CROQUIS_DATOS!$C$1568-0.000001)),1,MOD($A127-1,2)))=1,MIN((CROQUIS_DATOS!$C$1476)*CROQUIS_DATOS!$C$1561,((CROQUIS_DATOS!$C$1494+CROQUIS_DATOS!$C$1495)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7">
        <f>IF(AND(CROQUIS_DATOS!$C$1472=1,CROQUIS_DATOS!$C$1478&gt;=4,((CROQUIS_DATOS!$C$1494+CROQUIS_DATOS!$C$1495))-(CROQUIS_DATOS!$C$1494)&gt;0.5,(CROQUIS_DATOS!$C$1476)-((CROQUIS_DATOS!$C$1496+CROQUIS_DATOS!$C$1497))&gt;0.5),(CROQUIS_DATOS!$C$1567+(IF(IF(MOD(MIN(INT(($A127-1)/2)+1,MAX(1,INT(((((CROQUIS_DATOS!$C$1494+CROQUIS_DATOS!$C$1495))-(CROQUIS_DATOS!$C$1494))+((CROQUIS_DATOS!$C$1476)*CROQUIS_DATOS!$C$1561-((CROQUIS_DATOS!$C$1496+CROQUIS_DATOS!$C$1497))*CROQUIS_DATOS!$C$1561))/CROQUIS_DATOS!$C$1568-0.000001))),2)=1,IF(INT(($A127-1)/2)+1&gt;MAX(1,INT(((((CROQUIS_DATOS!$C$1494+CROQUIS_DATOS!$C$1495))-(CROQUIS_DATOS!$C$1494))+((CROQUIS_DATOS!$C$1476)*CROQUIS_DATOS!$C$1561-((CROQUIS_DATOS!$C$1496+CROQUIS_DATOS!$C$1497))*CROQUIS_DATOS!$C$1561))/CROQUIS_DATOS!$C$1568-0.000001)),1,MOD($A127-1,2)),1-IF(INT(($A127-1)/2)+1&gt;MAX(1,INT(((((CROQUIS_DATOS!$C$1494+CROQUIS_DATOS!$C$1495))-(CROQUIS_DATOS!$C$1494))+((CROQUIS_DATOS!$C$1476)*CROQUIS_DATOS!$C$1561-((CROQUIS_DATOS!$C$1496+CROQUIS_DATOS!$C$1497))*CROQUIS_DATOS!$C$1561))/CROQUIS_DATOS!$C$1568-0.000001)),1,MOD($A127-1,2)))=1,MIN((CROQUIS_DATOS!$C$1476)*CROQUIS_DATOS!$C$1561,((CROQUIS_DATOS!$C$1494+CROQUIS_DATOS!$C$1495)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8">
      <c r="A128" t="n">
        <v>121</v>
      </c>
      <c r="N128">
        <f>IF(AND(CROQUIS_DATOS!$C$1472=1,1),(CROQUIS_DATOS!$C$1563+(IF(IF(IF(INT(($A128-1)/70)+1&gt;CROQUIS_DATOS!$C$1525,70,MOD($A128-1,70)+1)=1,0,IF(IF(INT(($A128-1)/70)+1&gt;CROQUIS_DATOS!$C$1525,70,MOD($A128-1,70)+1)&gt;2*CROQUIS_DATOS!$C$1541+1,IF(MOD(CROQUIS_DATOS!$C$1541,2)=1,1,0),IF(MOD(MIN(INT((IF(INT(($A128-1)/70)+1&gt;CROQUIS_DATOS!$C$1525,70,MOD($A128-1,70)+1)-2)/2)+1,CROQUIS_DATOS!$C$1541),2)=1,IF(MOD(IF(INT(($A128-1)/70)+1&gt;CROQUIS_DATOS!$C$1525,70,MOD($A128-1,70)+1)-2,2)=0,0,1),IF(MOD(IF(INT(($A128-1)/70)+1&gt;CROQUIS_DATOS!$C$1525,70,MOD($A128-1,70)+1)-2,2)=0,1,0))))=0,(INDEX($E$8:$E$23,MIN(INT(($A128-1)/70)+1,CROQUIS_DATOS!$C$1525))-INDEX($F$8:$F$23,MIN(INT(($A128-1)/70)+1,CROQUIS_DATOS!$C$1525))/2),(INDEX($E$8:$E$23,MIN(INT(($A128-1)/70)+1,CROQUIS_DATOS!$C$1525))+INDEX($F$8:$F$23,MIN(INT(($A128-1)/70)+1,CROQUIS_DATOS!$C$1525))/2)))*CROQUIS_DATOS!$C$1562),-1000)</f>
        <v>18.5775862068965</v>
      </c>
      <c r="O128">
        <f>IF(AND(CROQUIS_DATOS!$C$1472=1,1),(CROQUIS_DATOS!$C$1564+(IF(OR(IF(INT(($A128-1)/70)+1&gt;CROQUIS_DATOS!$C$1525,70,MOD($A128-1,70)+1)=1,IF(INT(($A128-1)/70)+1&gt;CROQUIS_DATOS!$C$1525,70,MOD($A128-1,70)+1)&gt;2*CROQUIS_DATOS!$C$1541+1),CROQUIS_DATOS!$C$1476,INDEX($H$8:$H$41,MIN(INT((IF(INT(($A128-1)/70)+1&gt;CROQUIS_DATOS!$C$1525,70,MOD($A128-1,70)+1)-2)/2)+1,CROQUIS_DATOS!$C$1541))))*CROQUIS_DATOS!$C$1561*CROQUIS_DATOS!$C$1562),-1000)</f>
        <v>40.2068965517241</v>
      </c>
      <c r="P128">
        <f>IF(AND(CROQUIS_DATOS!$C$1472=1,CROQUIS_DATOS!$C$1555=1),(CROQUIS_DATOS!$C$1563+(IF(IF(OR(MOD($A128-1,62)+1=1,IF(CHOOSE(MIN(MAX(MIN(INT(($A128-1)/62)+1,5),1),5),CROQUIS_DATOS!$C$1501,CROQUIS_DATOS!$C$1505,CROQUIS_DATOS!$C$1509,CROQUIS_DATOS!$C$1513,CROQUIS_DATOS!$C$1517)=1,CROQUIS_DATOS!$C$1557,0)=0),0,IF(MOD($A128-1,62)+1&gt;2*IF(CHOOSE(MIN(MAX(MIN(INT(($A128-1)/62)+1,5),1),5),CROQUIS_DATOS!$C$1501,CROQUIS_DATOS!$C$1505,CROQUIS_DATOS!$C$1509,CROQUIS_DATOS!$C$1513,CROQUIS_DATOS!$C$1517)=1,CROQUIS_DATOS!$C$1557,0)+1,IF(MOD(IF(CHOOSE(MIN(MAX(MIN(INT(($A128-1)/62)+1,5),1),5),CROQUIS_DATOS!$C$1501,CROQUIS_DATOS!$C$1505,CROQUIS_DATOS!$C$1509,CROQUIS_DATOS!$C$1513,CROQUIS_DATOS!$C$1517)=1,CROQUIS_DATOS!$C$1557,0),2)=1,1,0),IF(MOD(MIN(INT((MOD($A128-1,62)+1-2)/2)+1,MAX(IF(CHOOSE(MIN(MAX(MIN(INT(($A128-1)/62)+1,5),1),5),CROQUIS_DATOS!$C$1501,CROQUIS_DATOS!$C$1505,CROQUIS_DATOS!$C$1509,CROQUIS_DATOS!$C$1513,CROQUIS_DATOS!$C$1517)=1,CROQUIS_DATOS!$C$1557,0),1)),2)=1,IF(MOD(MOD($A128-1,62)+1-2,2)=0,0,1),IF(MOD(MOD($A128-1,62)+1-2,2)=0,1,0))))=0,(CHOOSE(MIN(MAX(MIN(INT(($A128-1)/62)+1,5),1),5),CROQUIS_DATOS!$C$1499,CROQUIS_DATOS!$C$1503,CROQUIS_DATOS!$C$1507,CROQUIS_DATOS!$C$1511,CROQUIS_DATOS!$C$1515)+IF(CHOOSE(MIN(MAX(MIN(INT(($A128-1)/62)+1,5),1),5),CROQUIS_DATOS!$C$1501,CROQUIS_DATOS!$C$1505,CROQUIS_DATOS!$C$1509,CROQUIS_DATOS!$C$1513,CROQUIS_DATOS!$C$1517)=1,CROQUIS_DATOS!$C$1526,0)),(CHOOSE(MIN(MAX(MIN(INT(($A128-1)/62)+1,5),1),5),CROQUIS_DATOS!$C$1499,CROQUIS_DATOS!$C$1503,CROQUIS_DATOS!$C$1507,CROQUIS_DATOS!$C$1511,CROQUIS_DATOS!$C$1515)+CHOOSE(MIN(MAX(MIN(INT(($A128-1)/62)+1,5),1),5),CROQUIS_DATOS!$C$1500,CROQUIS_DATOS!$C$1504,CROQUIS_DATOS!$C$1508,CROQUIS_DATOS!$C$1512,CROQUIS_DATOS!$C$1516)-IF(CHOOSE(MIN(MAX(MIN(INT(($A128-1)/62)+1,5),1),5),CROQUIS_DATOS!$C$1501,CROQUIS_DATOS!$C$1505,CROQUIS_DATOS!$C$1509,CROQUIS_DATOS!$C$1513,CROQUIS_DATOS!$C$1517)=1,CROQUIS_DATOS!$C$1526,0))))*CROQUIS_DATOS!$C$1562),-1000)</f>
        <v>-1000</v>
      </c>
      <c r="Q128">
        <f>IF(AND(CROQUIS_DATOS!$C$1472=1,CROQUIS_DATOS!$C$1555=1),(CROQUIS_DATOS!$C$1564+(IF(OR(OR(MOD($A128-1,62)+1=1,IF(CHOOSE(MIN(MAX(MIN(INT(($A128-1)/62)+1,5),1),5),CROQUIS_DATOS!$C$1501,CROQUIS_DATOS!$C$1505,CROQUIS_DATOS!$C$1509,CROQUIS_DATOS!$C$1513,CROQUIS_DATOS!$C$1517)=1,CROQUIS_DATOS!$C$1557,0)=0),MOD($A128-1,62)+1&gt;2*IF(CHOOSE(MIN(MAX(MIN(INT(($A128-1)/62)+1,5),1),5),CROQUIS_DATOS!$C$1501,CROQUIS_DATOS!$C$1505,CROQUIS_DATOS!$C$1509,CROQUIS_DATOS!$C$1513,CROQUIS_DATOS!$C$1517)=1,CROQUIS_DATOS!$C$1557,0)+1),CROQUIS_DATOS!$C$1476,MIN(INT((MOD($A128-1,62)+1-2)/2)+1,MAX(IF(CHOOSE(MIN(MAX(MIN(INT(($A128-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8">
        <f>IF(AND(CROQUIS_DATOS!$C$1472=1,1),(CROQUIS_DATOS!$C$1563+(MIN(INT(($A128-1)/2)+1,CROQUIS_DATOS!$C$1558)*CROQUIS_DATOS!$C$1559)*CROQUIS_DATOS!$C$1562),-1000)</f>
        <v>82.2281167108753</v>
      </c>
      <c r="U128">
        <f>IF(AND(CROQUIS_DATOS!$C$1472=1,1),(CROQUIS_DATOS!$C$1564+(IF(INT(($A128-1)/2)+1&gt;CROQUIS_DATOS!$C$1558,IF(MOD(CROQUIS_DATOS!$C$1558,2)=1,CROQUIS_DATOS!$C$1476+CROQUIS_DATOS!$C$1528,CROQUIS_DATOS!$C$1476),IF(IF(MOD(MIN(INT(($A128-1)/2)+1,CROQUIS_DATOS!$C$1558),2)=1,MOD($A128-1,2),1-MOD($A128-1,2))=1,CROQUIS_DATOS!$C$1476+CROQUIS_DATOS!$C$1528,CROQUIS_DATOS!$C$1476)))*CROQUIS_DATOS!$C$1561*CROQUIS_DATOS!$C$1562),-1000)</f>
        <v>43</v>
      </c>
      <c r="BZ128">
        <f>IF(AND(CROQUIS_DATOS!$C$1472=1,CROQUIS_DATOS!$C$1500&gt;0,((CROQUIS_DATOS!$C$1499+CROQUIS_DATOS!$C$1500))-(CROQUIS_DATOS!$C$1499)&gt;0.5,(CROQUIS_DATOS!$C$1476)-(0)&gt;0.5),(CROQUIS_DATOS!$C$1566+(IF(IF(MOD(MIN(INT(($A128-1)/2)+1,MAX(1,INT(((((CROQUIS_DATOS!$C$1499+CROQUIS_DATOS!$C$1500))-(CROQUIS_DATOS!$C$1499))+((CROQUIS_DATOS!$C$1476)*CROQUIS_DATOS!$C$1561-(0)*CROQUIS_DATOS!$C$1561))/CROQUIS_DATOS!$C$1568-0.000001))),2)=1,IF(INT(($A128-1)/2)+1&gt;MAX(1,INT(((((CROQUIS_DATOS!$C$1499+CROQUIS_DATOS!$C$1500))-(CROQUIS_DATOS!$C$1499))+((CROQUIS_DATOS!$C$1476)*CROQUIS_DATOS!$C$1561-(0)*CROQUIS_DATOS!$C$1561))/CROQUIS_DATOS!$C$1568-0.000001)),1,MOD($A128-1,2)),1-IF(INT(($A128-1)/2)+1&gt;MAX(1,INT(((((CROQUIS_DATOS!$C$1499+CROQUIS_DATOS!$C$1500))-(CROQUIS_DATOS!$C$1499))+((CROQUIS_DATOS!$C$1476)*CROQUIS_DATOS!$C$1561-(0)*CROQUIS_DATOS!$C$1561))/CROQUIS_DATOS!$C$1568-0.000001)),1,MOD($A128-1,2)))=1,MIN((CROQUIS_DATOS!$C$1476)*CROQUIS_DATOS!$C$1561,((CROQUIS_DATOS!$C$1499+CROQUIS_DATOS!$C$1500)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8">
        <f>IF(AND(CROQUIS_DATOS!$C$1472=1,CROQUIS_DATOS!$C$1500&gt;0,((CROQUIS_DATOS!$C$1499+CROQUIS_DATOS!$C$1500))-(CROQUIS_DATOS!$C$1499)&gt;0.5,(CROQUIS_DATOS!$C$1476)-(0)&gt;0.5),(CROQUIS_DATOS!$C$1567+(IF(IF(MOD(MIN(INT(($A128-1)/2)+1,MAX(1,INT(((((CROQUIS_DATOS!$C$1499+CROQUIS_DATOS!$C$1500))-(CROQUIS_DATOS!$C$1499))+((CROQUIS_DATOS!$C$1476)*CROQUIS_DATOS!$C$1561-(0)*CROQUIS_DATOS!$C$1561))/CROQUIS_DATOS!$C$1568-0.000001))),2)=1,IF(INT(($A128-1)/2)+1&gt;MAX(1,INT(((((CROQUIS_DATOS!$C$1499+CROQUIS_DATOS!$C$1500))-(CROQUIS_DATOS!$C$1499))+((CROQUIS_DATOS!$C$1476)*CROQUIS_DATOS!$C$1561-(0)*CROQUIS_DATOS!$C$1561))/CROQUIS_DATOS!$C$1568-0.000001)),1,MOD($A128-1,2)),1-IF(INT(($A128-1)/2)+1&gt;MAX(1,INT(((((CROQUIS_DATOS!$C$1499+CROQUIS_DATOS!$C$1500))-(CROQUIS_DATOS!$C$1499))+((CROQUIS_DATOS!$C$1476)*CROQUIS_DATOS!$C$1561-(0)*CROQUIS_DATOS!$C$1561))/CROQUIS_DATOS!$C$1568-0.000001)),1,MOD($A128-1,2)))=1,MIN((CROQUIS_DATOS!$C$1476)*CROQUIS_DATOS!$C$1561,((CROQUIS_DATOS!$C$1499+CROQUIS_DATOS!$C$1500)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8">
        <f>IF(AND(CROQUIS_DATOS!$C$1472=1,CROQUIS_DATOS!$C$1504&gt;0,((CROQUIS_DATOS!$C$1503+CROQUIS_DATOS!$C$1504))-(CROQUIS_DATOS!$C$1503)&gt;0.5,(CROQUIS_DATOS!$C$1476)-(0)&gt;0.5),(CROQUIS_DATOS!$C$1566+(IF(IF(MOD(MIN(INT(($A128-1)/2)+1,MAX(1,INT(((((CROQUIS_DATOS!$C$1503+CROQUIS_DATOS!$C$1504))-(CROQUIS_DATOS!$C$1503))+((CROQUIS_DATOS!$C$1476)*CROQUIS_DATOS!$C$1561-(0)*CROQUIS_DATOS!$C$1561))/CROQUIS_DATOS!$C$1568-0.000001))),2)=1,IF(INT(($A128-1)/2)+1&gt;MAX(1,INT(((((CROQUIS_DATOS!$C$1503+CROQUIS_DATOS!$C$1504))-(CROQUIS_DATOS!$C$1503))+((CROQUIS_DATOS!$C$1476)*CROQUIS_DATOS!$C$1561-(0)*CROQUIS_DATOS!$C$1561))/CROQUIS_DATOS!$C$1568-0.000001)),1,MOD($A128-1,2)),1-IF(INT(($A128-1)/2)+1&gt;MAX(1,INT(((((CROQUIS_DATOS!$C$1503+CROQUIS_DATOS!$C$1504))-(CROQUIS_DATOS!$C$1503))+((CROQUIS_DATOS!$C$1476)*CROQUIS_DATOS!$C$1561-(0)*CROQUIS_DATOS!$C$1561))/CROQUIS_DATOS!$C$1568-0.000001)),1,MOD($A128-1,2)))=1,MIN((CROQUIS_DATOS!$C$1476)*CROQUIS_DATOS!$C$1561,((CROQUIS_DATOS!$C$1503+CROQUIS_DATOS!$C$1504)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8">
        <f>IF(AND(CROQUIS_DATOS!$C$1472=1,CROQUIS_DATOS!$C$1504&gt;0,((CROQUIS_DATOS!$C$1503+CROQUIS_DATOS!$C$1504))-(CROQUIS_DATOS!$C$1503)&gt;0.5,(CROQUIS_DATOS!$C$1476)-(0)&gt;0.5),(CROQUIS_DATOS!$C$1567+(IF(IF(MOD(MIN(INT(($A128-1)/2)+1,MAX(1,INT(((((CROQUIS_DATOS!$C$1503+CROQUIS_DATOS!$C$1504))-(CROQUIS_DATOS!$C$1503))+((CROQUIS_DATOS!$C$1476)*CROQUIS_DATOS!$C$1561-(0)*CROQUIS_DATOS!$C$1561))/CROQUIS_DATOS!$C$1568-0.000001))),2)=1,IF(INT(($A128-1)/2)+1&gt;MAX(1,INT(((((CROQUIS_DATOS!$C$1503+CROQUIS_DATOS!$C$1504))-(CROQUIS_DATOS!$C$1503))+((CROQUIS_DATOS!$C$1476)*CROQUIS_DATOS!$C$1561-(0)*CROQUIS_DATOS!$C$1561))/CROQUIS_DATOS!$C$1568-0.000001)),1,MOD($A128-1,2)),1-IF(INT(($A128-1)/2)+1&gt;MAX(1,INT(((((CROQUIS_DATOS!$C$1503+CROQUIS_DATOS!$C$1504))-(CROQUIS_DATOS!$C$1503))+((CROQUIS_DATOS!$C$1476)*CROQUIS_DATOS!$C$1561-(0)*CROQUIS_DATOS!$C$1561))/CROQUIS_DATOS!$C$1568-0.000001)),1,MOD($A128-1,2)))=1,MIN((CROQUIS_DATOS!$C$1476)*CROQUIS_DATOS!$C$1561,((CROQUIS_DATOS!$C$1503+CROQUIS_DATOS!$C$1504)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8">
        <f>IF(AND(CROQUIS_DATOS!$C$1472=1,CROQUIS_DATOS!$C$1508&gt;0,((CROQUIS_DATOS!$C$1507+CROQUIS_DATOS!$C$1508))-(CROQUIS_DATOS!$C$1507)&gt;0.5,(CROQUIS_DATOS!$C$1476)-(0)&gt;0.5),(CROQUIS_DATOS!$C$1566+(IF(IF(MOD(MIN(INT(($A128-1)/2)+1,MAX(1,INT(((((CROQUIS_DATOS!$C$1507+CROQUIS_DATOS!$C$1508))-(CROQUIS_DATOS!$C$1507))+((CROQUIS_DATOS!$C$1476)*CROQUIS_DATOS!$C$1561-(0)*CROQUIS_DATOS!$C$1561))/CROQUIS_DATOS!$C$1568-0.000001))),2)=1,IF(INT(($A128-1)/2)+1&gt;MAX(1,INT(((((CROQUIS_DATOS!$C$1507+CROQUIS_DATOS!$C$1508))-(CROQUIS_DATOS!$C$1507))+((CROQUIS_DATOS!$C$1476)*CROQUIS_DATOS!$C$1561-(0)*CROQUIS_DATOS!$C$1561))/CROQUIS_DATOS!$C$1568-0.000001)),1,MOD($A128-1,2)),1-IF(INT(($A128-1)/2)+1&gt;MAX(1,INT(((((CROQUIS_DATOS!$C$1507+CROQUIS_DATOS!$C$1508))-(CROQUIS_DATOS!$C$1507))+((CROQUIS_DATOS!$C$1476)*CROQUIS_DATOS!$C$1561-(0)*CROQUIS_DATOS!$C$1561))/CROQUIS_DATOS!$C$1568-0.000001)),1,MOD($A128-1,2)))=1,MIN((CROQUIS_DATOS!$C$1476)*CROQUIS_DATOS!$C$1561,((CROQUIS_DATOS!$C$1507+CROQUIS_DATOS!$C$1508)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8">
        <f>IF(AND(CROQUIS_DATOS!$C$1472=1,CROQUIS_DATOS!$C$1508&gt;0,((CROQUIS_DATOS!$C$1507+CROQUIS_DATOS!$C$1508))-(CROQUIS_DATOS!$C$1507)&gt;0.5,(CROQUIS_DATOS!$C$1476)-(0)&gt;0.5),(CROQUIS_DATOS!$C$1567+(IF(IF(MOD(MIN(INT(($A128-1)/2)+1,MAX(1,INT(((((CROQUIS_DATOS!$C$1507+CROQUIS_DATOS!$C$1508))-(CROQUIS_DATOS!$C$1507))+((CROQUIS_DATOS!$C$1476)*CROQUIS_DATOS!$C$1561-(0)*CROQUIS_DATOS!$C$1561))/CROQUIS_DATOS!$C$1568-0.000001))),2)=1,IF(INT(($A128-1)/2)+1&gt;MAX(1,INT(((((CROQUIS_DATOS!$C$1507+CROQUIS_DATOS!$C$1508))-(CROQUIS_DATOS!$C$1507))+((CROQUIS_DATOS!$C$1476)*CROQUIS_DATOS!$C$1561-(0)*CROQUIS_DATOS!$C$1561))/CROQUIS_DATOS!$C$1568-0.000001)),1,MOD($A128-1,2)),1-IF(INT(($A128-1)/2)+1&gt;MAX(1,INT(((((CROQUIS_DATOS!$C$1507+CROQUIS_DATOS!$C$1508))-(CROQUIS_DATOS!$C$1507))+((CROQUIS_DATOS!$C$1476)*CROQUIS_DATOS!$C$1561-(0)*CROQUIS_DATOS!$C$1561))/CROQUIS_DATOS!$C$1568-0.000001)),1,MOD($A128-1,2)))=1,MIN((CROQUIS_DATOS!$C$1476)*CROQUIS_DATOS!$C$1561,((CROQUIS_DATOS!$C$1507+CROQUIS_DATOS!$C$1508)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8">
        <f>IF(AND(CROQUIS_DATOS!$C$1472=1,CROQUIS_DATOS!$C$1512&gt;0,((CROQUIS_DATOS!$C$1511+CROQUIS_DATOS!$C$1512))-(CROQUIS_DATOS!$C$1511)&gt;0.5,(CROQUIS_DATOS!$C$1476)-(0)&gt;0.5),(CROQUIS_DATOS!$C$1566+(IF(IF(MOD(MIN(INT(($A128-1)/2)+1,MAX(1,INT(((((CROQUIS_DATOS!$C$1511+CROQUIS_DATOS!$C$1512))-(CROQUIS_DATOS!$C$1511))+((CROQUIS_DATOS!$C$1476)*CROQUIS_DATOS!$C$1561-(0)*CROQUIS_DATOS!$C$1561))/CROQUIS_DATOS!$C$1568-0.000001))),2)=1,IF(INT(($A128-1)/2)+1&gt;MAX(1,INT(((((CROQUIS_DATOS!$C$1511+CROQUIS_DATOS!$C$1512))-(CROQUIS_DATOS!$C$1511))+((CROQUIS_DATOS!$C$1476)*CROQUIS_DATOS!$C$1561-(0)*CROQUIS_DATOS!$C$1561))/CROQUIS_DATOS!$C$1568-0.000001)),1,MOD($A128-1,2)),1-IF(INT(($A128-1)/2)+1&gt;MAX(1,INT(((((CROQUIS_DATOS!$C$1511+CROQUIS_DATOS!$C$1512))-(CROQUIS_DATOS!$C$1511))+((CROQUIS_DATOS!$C$1476)*CROQUIS_DATOS!$C$1561-(0)*CROQUIS_DATOS!$C$1561))/CROQUIS_DATOS!$C$1568-0.000001)),1,MOD($A128-1,2)))=1,MIN((CROQUIS_DATOS!$C$1476)*CROQUIS_DATOS!$C$1561,((CROQUIS_DATOS!$C$1511+CROQUIS_DATOS!$C$1512)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8">
        <f>IF(AND(CROQUIS_DATOS!$C$1472=1,CROQUIS_DATOS!$C$1512&gt;0,((CROQUIS_DATOS!$C$1511+CROQUIS_DATOS!$C$1512))-(CROQUIS_DATOS!$C$1511)&gt;0.5,(CROQUIS_DATOS!$C$1476)-(0)&gt;0.5),(CROQUIS_DATOS!$C$1567+(IF(IF(MOD(MIN(INT(($A128-1)/2)+1,MAX(1,INT(((((CROQUIS_DATOS!$C$1511+CROQUIS_DATOS!$C$1512))-(CROQUIS_DATOS!$C$1511))+((CROQUIS_DATOS!$C$1476)*CROQUIS_DATOS!$C$1561-(0)*CROQUIS_DATOS!$C$1561))/CROQUIS_DATOS!$C$1568-0.000001))),2)=1,IF(INT(($A128-1)/2)+1&gt;MAX(1,INT(((((CROQUIS_DATOS!$C$1511+CROQUIS_DATOS!$C$1512))-(CROQUIS_DATOS!$C$1511))+((CROQUIS_DATOS!$C$1476)*CROQUIS_DATOS!$C$1561-(0)*CROQUIS_DATOS!$C$1561))/CROQUIS_DATOS!$C$1568-0.000001)),1,MOD($A128-1,2)),1-IF(INT(($A128-1)/2)+1&gt;MAX(1,INT(((((CROQUIS_DATOS!$C$1511+CROQUIS_DATOS!$C$1512))-(CROQUIS_DATOS!$C$1511))+((CROQUIS_DATOS!$C$1476)*CROQUIS_DATOS!$C$1561-(0)*CROQUIS_DATOS!$C$1561))/CROQUIS_DATOS!$C$1568-0.000001)),1,MOD($A128-1,2)))=1,MIN((CROQUIS_DATOS!$C$1476)*CROQUIS_DATOS!$C$1561,((CROQUIS_DATOS!$C$1511+CROQUIS_DATOS!$C$1512)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8">
        <f>IF(AND(CROQUIS_DATOS!$C$1472=1,CROQUIS_DATOS!$C$1516&gt;0,((CROQUIS_DATOS!$C$1515+CROQUIS_DATOS!$C$1516))-(CROQUIS_DATOS!$C$1515)&gt;0.5,(CROQUIS_DATOS!$C$1476)-(0)&gt;0.5),(CROQUIS_DATOS!$C$1566+(IF(IF(MOD(MIN(INT(($A128-1)/2)+1,MAX(1,INT(((((CROQUIS_DATOS!$C$1515+CROQUIS_DATOS!$C$1516))-(CROQUIS_DATOS!$C$1515))+((CROQUIS_DATOS!$C$1476)*CROQUIS_DATOS!$C$1561-(0)*CROQUIS_DATOS!$C$1561))/CROQUIS_DATOS!$C$1568-0.000001))),2)=1,IF(INT(($A128-1)/2)+1&gt;MAX(1,INT(((((CROQUIS_DATOS!$C$1515+CROQUIS_DATOS!$C$1516))-(CROQUIS_DATOS!$C$1515))+((CROQUIS_DATOS!$C$1476)*CROQUIS_DATOS!$C$1561-(0)*CROQUIS_DATOS!$C$1561))/CROQUIS_DATOS!$C$1568-0.000001)),1,MOD($A128-1,2)),1-IF(INT(($A128-1)/2)+1&gt;MAX(1,INT(((((CROQUIS_DATOS!$C$1515+CROQUIS_DATOS!$C$1516))-(CROQUIS_DATOS!$C$1515))+((CROQUIS_DATOS!$C$1476)*CROQUIS_DATOS!$C$1561-(0)*CROQUIS_DATOS!$C$1561))/CROQUIS_DATOS!$C$1568-0.000001)),1,MOD($A128-1,2)))=1,MIN((CROQUIS_DATOS!$C$1476)*CROQUIS_DATOS!$C$1561,((CROQUIS_DATOS!$C$1515+CROQUIS_DATOS!$C$1516)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8">
        <f>IF(AND(CROQUIS_DATOS!$C$1472=1,CROQUIS_DATOS!$C$1516&gt;0,((CROQUIS_DATOS!$C$1515+CROQUIS_DATOS!$C$1516))-(CROQUIS_DATOS!$C$1515)&gt;0.5,(CROQUIS_DATOS!$C$1476)-(0)&gt;0.5),(CROQUIS_DATOS!$C$1567+(IF(IF(MOD(MIN(INT(($A128-1)/2)+1,MAX(1,INT(((((CROQUIS_DATOS!$C$1515+CROQUIS_DATOS!$C$1516))-(CROQUIS_DATOS!$C$1515))+((CROQUIS_DATOS!$C$1476)*CROQUIS_DATOS!$C$1561-(0)*CROQUIS_DATOS!$C$1561))/CROQUIS_DATOS!$C$1568-0.000001))),2)=1,IF(INT(($A128-1)/2)+1&gt;MAX(1,INT(((((CROQUIS_DATOS!$C$1515+CROQUIS_DATOS!$C$1516))-(CROQUIS_DATOS!$C$1515))+((CROQUIS_DATOS!$C$1476)*CROQUIS_DATOS!$C$1561-(0)*CROQUIS_DATOS!$C$1561))/CROQUIS_DATOS!$C$1568-0.000001)),1,MOD($A128-1,2)),1-IF(INT(($A128-1)/2)+1&gt;MAX(1,INT(((((CROQUIS_DATOS!$C$1515+CROQUIS_DATOS!$C$1516))-(CROQUIS_DATOS!$C$1515))+((CROQUIS_DATOS!$C$1476)*CROQUIS_DATOS!$C$1561-(0)*CROQUIS_DATOS!$C$1561))/CROQUIS_DATOS!$C$1568-0.000001)),1,MOD($A128-1,2)))=1,MIN((CROQUIS_DATOS!$C$1476)*CROQUIS_DATOS!$C$1561,((CROQUIS_DATOS!$C$1515+CROQUIS_DATOS!$C$1516)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8">
        <f>IF(AND(CROQUIS_DATOS!$C$1472=1,CROQUIS_DATOS!$C$1478&gt;=1,((CROQUIS_DATOS!$C$1479+CROQUIS_DATOS!$C$1480))-(CROQUIS_DATOS!$C$1479)&gt;0.5,(CROQUIS_DATOS!$C$1481)-(0)&gt;0.5),(CROQUIS_DATOS!$C$1566+(IF(IF(MOD(MIN(INT(($A128-1)/2)+1,MAX(1,INT(((((CROQUIS_DATOS!$C$1479+CROQUIS_DATOS!$C$1480))-(CROQUIS_DATOS!$C$1479))+((CROQUIS_DATOS!$C$1481)*CROQUIS_DATOS!$C$1561-(0)*CROQUIS_DATOS!$C$1561))/CROQUIS_DATOS!$C$1568-0.000001))),2)=1,IF(INT(($A128-1)/2)+1&gt;MAX(1,INT(((((CROQUIS_DATOS!$C$1479+CROQUIS_DATOS!$C$1480))-(CROQUIS_DATOS!$C$1479))+((CROQUIS_DATOS!$C$1481)*CROQUIS_DATOS!$C$1561-(0)*CROQUIS_DATOS!$C$1561))/CROQUIS_DATOS!$C$1568-0.000001)),1,MOD($A128-1,2)),1-IF(INT(($A128-1)/2)+1&gt;MAX(1,INT(((((CROQUIS_DATOS!$C$1479+CROQUIS_DATOS!$C$1480))-(CROQUIS_DATOS!$C$1479))+((CROQUIS_DATOS!$C$1481)*CROQUIS_DATOS!$C$1561-(0)*CROQUIS_DATOS!$C$1561))/CROQUIS_DATOS!$C$1568-0.000001)),1,MOD($A128-1,2)))=1,MIN((CROQUIS_DATOS!$C$1481)*CROQUIS_DATOS!$C$1561,((CROQUIS_DATOS!$C$1479+CROQUIS_DATOS!$C$1480)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8">
        <f>IF(AND(CROQUIS_DATOS!$C$1472=1,CROQUIS_DATOS!$C$1478&gt;=1,((CROQUIS_DATOS!$C$1479+CROQUIS_DATOS!$C$1480))-(CROQUIS_DATOS!$C$1479)&gt;0.5,(CROQUIS_DATOS!$C$1481)-(0)&gt;0.5),(CROQUIS_DATOS!$C$1567+(IF(IF(MOD(MIN(INT(($A128-1)/2)+1,MAX(1,INT(((((CROQUIS_DATOS!$C$1479+CROQUIS_DATOS!$C$1480))-(CROQUIS_DATOS!$C$1479))+((CROQUIS_DATOS!$C$1481)*CROQUIS_DATOS!$C$1561-(0)*CROQUIS_DATOS!$C$1561))/CROQUIS_DATOS!$C$1568-0.000001))),2)=1,IF(INT(($A128-1)/2)+1&gt;MAX(1,INT(((((CROQUIS_DATOS!$C$1479+CROQUIS_DATOS!$C$1480))-(CROQUIS_DATOS!$C$1479))+((CROQUIS_DATOS!$C$1481)*CROQUIS_DATOS!$C$1561-(0)*CROQUIS_DATOS!$C$1561))/CROQUIS_DATOS!$C$1568-0.000001)),1,MOD($A128-1,2)),1-IF(INT(($A128-1)/2)+1&gt;MAX(1,INT(((((CROQUIS_DATOS!$C$1479+CROQUIS_DATOS!$C$1480))-(CROQUIS_DATOS!$C$1479))+((CROQUIS_DATOS!$C$1481)*CROQUIS_DATOS!$C$1561-(0)*CROQUIS_DATOS!$C$1561))/CROQUIS_DATOS!$C$1568-0.000001)),1,MOD($A128-1,2)))=1,MIN((CROQUIS_DATOS!$C$1481)*CROQUIS_DATOS!$C$1561,((CROQUIS_DATOS!$C$1479+CROQUIS_DATOS!$C$1480)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8">
        <f>IF(AND(CROQUIS_DATOS!$C$1472=1,CROQUIS_DATOS!$C$1478&gt;=1,((CROQUIS_DATOS!$C$1479+CROQUIS_DATOS!$C$1480))-(CROQUIS_DATOS!$C$1479)&gt;0.5,(CROQUIS_DATOS!$C$1476)-((CROQUIS_DATOS!$C$1481+CROQUIS_DATOS!$C$1482))&gt;0.5),(CROQUIS_DATOS!$C$1566+(IF(IF(MOD(MIN(INT(($A128-1)/2)+1,MAX(1,INT(((((CROQUIS_DATOS!$C$1479+CROQUIS_DATOS!$C$1480))-(CROQUIS_DATOS!$C$1479))+((CROQUIS_DATOS!$C$1476)*CROQUIS_DATOS!$C$1561-((CROQUIS_DATOS!$C$1481+CROQUIS_DATOS!$C$1482))*CROQUIS_DATOS!$C$1561))/CROQUIS_DATOS!$C$1568-0.000001))),2)=1,IF(INT(($A128-1)/2)+1&gt;MAX(1,INT(((((CROQUIS_DATOS!$C$1479+CROQUIS_DATOS!$C$1480))-(CROQUIS_DATOS!$C$1479))+((CROQUIS_DATOS!$C$1476)*CROQUIS_DATOS!$C$1561-((CROQUIS_DATOS!$C$1481+CROQUIS_DATOS!$C$1482))*CROQUIS_DATOS!$C$1561))/CROQUIS_DATOS!$C$1568-0.000001)),1,MOD($A128-1,2)),1-IF(INT(($A128-1)/2)+1&gt;MAX(1,INT(((((CROQUIS_DATOS!$C$1479+CROQUIS_DATOS!$C$1480))-(CROQUIS_DATOS!$C$1479))+((CROQUIS_DATOS!$C$1476)*CROQUIS_DATOS!$C$1561-((CROQUIS_DATOS!$C$1481+CROQUIS_DATOS!$C$1482))*CROQUIS_DATOS!$C$1561))/CROQUIS_DATOS!$C$1568-0.000001)),1,MOD($A128-1,2)))=1,MIN((CROQUIS_DATOS!$C$1476)*CROQUIS_DATOS!$C$1561,((CROQUIS_DATOS!$C$1479+CROQUIS_DATOS!$C$1480)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8">
        <f>IF(AND(CROQUIS_DATOS!$C$1472=1,CROQUIS_DATOS!$C$1478&gt;=1,((CROQUIS_DATOS!$C$1479+CROQUIS_DATOS!$C$1480))-(CROQUIS_DATOS!$C$1479)&gt;0.5,(CROQUIS_DATOS!$C$1476)-((CROQUIS_DATOS!$C$1481+CROQUIS_DATOS!$C$1482))&gt;0.5),(CROQUIS_DATOS!$C$1567+(IF(IF(MOD(MIN(INT(($A128-1)/2)+1,MAX(1,INT(((((CROQUIS_DATOS!$C$1479+CROQUIS_DATOS!$C$1480))-(CROQUIS_DATOS!$C$1479))+((CROQUIS_DATOS!$C$1476)*CROQUIS_DATOS!$C$1561-((CROQUIS_DATOS!$C$1481+CROQUIS_DATOS!$C$1482))*CROQUIS_DATOS!$C$1561))/CROQUIS_DATOS!$C$1568-0.000001))),2)=1,IF(INT(($A128-1)/2)+1&gt;MAX(1,INT(((((CROQUIS_DATOS!$C$1479+CROQUIS_DATOS!$C$1480))-(CROQUIS_DATOS!$C$1479))+((CROQUIS_DATOS!$C$1476)*CROQUIS_DATOS!$C$1561-((CROQUIS_DATOS!$C$1481+CROQUIS_DATOS!$C$1482))*CROQUIS_DATOS!$C$1561))/CROQUIS_DATOS!$C$1568-0.000001)),1,MOD($A128-1,2)),1-IF(INT(($A128-1)/2)+1&gt;MAX(1,INT(((((CROQUIS_DATOS!$C$1479+CROQUIS_DATOS!$C$1480))-(CROQUIS_DATOS!$C$1479))+((CROQUIS_DATOS!$C$1476)*CROQUIS_DATOS!$C$1561-((CROQUIS_DATOS!$C$1481+CROQUIS_DATOS!$C$1482))*CROQUIS_DATOS!$C$1561))/CROQUIS_DATOS!$C$1568-0.000001)),1,MOD($A128-1,2)))=1,MIN((CROQUIS_DATOS!$C$1476)*CROQUIS_DATOS!$C$1561,((CROQUIS_DATOS!$C$1479+CROQUIS_DATOS!$C$1480)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8">
        <f>IF(AND(CROQUIS_DATOS!$C$1472=1,CROQUIS_DATOS!$C$1478&gt;=2,((CROQUIS_DATOS!$C$1484+CROQUIS_DATOS!$C$1485))-(CROQUIS_DATOS!$C$1484)&gt;0.5,(CROQUIS_DATOS!$C$1486)-(0)&gt;0.5),(CROQUIS_DATOS!$C$1566+(IF(IF(MOD(MIN(INT(($A128-1)/2)+1,MAX(1,INT(((((CROQUIS_DATOS!$C$1484+CROQUIS_DATOS!$C$1485))-(CROQUIS_DATOS!$C$1484))+((CROQUIS_DATOS!$C$1486)*CROQUIS_DATOS!$C$1561-(0)*CROQUIS_DATOS!$C$1561))/CROQUIS_DATOS!$C$1568-0.000001))),2)=1,IF(INT(($A128-1)/2)+1&gt;MAX(1,INT(((((CROQUIS_DATOS!$C$1484+CROQUIS_DATOS!$C$1485))-(CROQUIS_DATOS!$C$1484))+((CROQUIS_DATOS!$C$1486)*CROQUIS_DATOS!$C$1561-(0)*CROQUIS_DATOS!$C$1561))/CROQUIS_DATOS!$C$1568-0.000001)),1,MOD($A128-1,2)),1-IF(INT(($A128-1)/2)+1&gt;MAX(1,INT(((((CROQUIS_DATOS!$C$1484+CROQUIS_DATOS!$C$1485))-(CROQUIS_DATOS!$C$1484))+((CROQUIS_DATOS!$C$1486)*CROQUIS_DATOS!$C$1561-(0)*CROQUIS_DATOS!$C$1561))/CROQUIS_DATOS!$C$1568-0.000001)),1,MOD($A128-1,2)))=1,MIN((CROQUIS_DATOS!$C$1486)*CROQUIS_DATOS!$C$1561,((CROQUIS_DATOS!$C$1484+CROQUIS_DATOS!$C$1485)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8">
        <f>IF(AND(CROQUIS_DATOS!$C$1472=1,CROQUIS_DATOS!$C$1478&gt;=2,((CROQUIS_DATOS!$C$1484+CROQUIS_DATOS!$C$1485))-(CROQUIS_DATOS!$C$1484)&gt;0.5,(CROQUIS_DATOS!$C$1486)-(0)&gt;0.5),(CROQUIS_DATOS!$C$1567+(IF(IF(MOD(MIN(INT(($A128-1)/2)+1,MAX(1,INT(((((CROQUIS_DATOS!$C$1484+CROQUIS_DATOS!$C$1485))-(CROQUIS_DATOS!$C$1484))+((CROQUIS_DATOS!$C$1486)*CROQUIS_DATOS!$C$1561-(0)*CROQUIS_DATOS!$C$1561))/CROQUIS_DATOS!$C$1568-0.000001))),2)=1,IF(INT(($A128-1)/2)+1&gt;MAX(1,INT(((((CROQUIS_DATOS!$C$1484+CROQUIS_DATOS!$C$1485))-(CROQUIS_DATOS!$C$1484))+((CROQUIS_DATOS!$C$1486)*CROQUIS_DATOS!$C$1561-(0)*CROQUIS_DATOS!$C$1561))/CROQUIS_DATOS!$C$1568-0.000001)),1,MOD($A128-1,2)),1-IF(INT(($A128-1)/2)+1&gt;MAX(1,INT(((((CROQUIS_DATOS!$C$1484+CROQUIS_DATOS!$C$1485))-(CROQUIS_DATOS!$C$1484))+((CROQUIS_DATOS!$C$1486)*CROQUIS_DATOS!$C$1561-(0)*CROQUIS_DATOS!$C$1561))/CROQUIS_DATOS!$C$1568-0.000001)),1,MOD($A128-1,2)))=1,MIN((CROQUIS_DATOS!$C$1486)*CROQUIS_DATOS!$C$1561,((CROQUIS_DATOS!$C$1484+CROQUIS_DATOS!$C$1485)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8">
        <f>IF(AND(CROQUIS_DATOS!$C$1472=1,CROQUIS_DATOS!$C$1478&gt;=2,((CROQUIS_DATOS!$C$1484+CROQUIS_DATOS!$C$1485))-(CROQUIS_DATOS!$C$1484)&gt;0.5,(CROQUIS_DATOS!$C$1476)-((CROQUIS_DATOS!$C$1486+CROQUIS_DATOS!$C$1487))&gt;0.5),(CROQUIS_DATOS!$C$1566+(IF(IF(MOD(MIN(INT(($A128-1)/2)+1,MAX(1,INT(((((CROQUIS_DATOS!$C$1484+CROQUIS_DATOS!$C$1485))-(CROQUIS_DATOS!$C$1484))+((CROQUIS_DATOS!$C$1476)*CROQUIS_DATOS!$C$1561-((CROQUIS_DATOS!$C$1486+CROQUIS_DATOS!$C$1487))*CROQUIS_DATOS!$C$1561))/CROQUIS_DATOS!$C$1568-0.000001))),2)=1,IF(INT(($A128-1)/2)+1&gt;MAX(1,INT(((((CROQUIS_DATOS!$C$1484+CROQUIS_DATOS!$C$1485))-(CROQUIS_DATOS!$C$1484))+((CROQUIS_DATOS!$C$1476)*CROQUIS_DATOS!$C$1561-((CROQUIS_DATOS!$C$1486+CROQUIS_DATOS!$C$1487))*CROQUIS_DATOS!$C$1561))/CROQUIS_DATOS!$C$1568-0.000001)),1,MOD($A128-1,2)),1-IF(INT(($A128-1)/2)+1&gt;MAX(1,INT(((((CROQUIS_DATOS!$C$1484+CROQUIS_DATOS!$C$1485))-(CROQUIS_DATOS!$C$1484))+((CROQUIS_DATOS!$C$1476)*CROQUIS_DATOS!$C$1561-((CROQUIS_DATOS!$C$1486+CROQUIS_DATOS!$C$1487))*CROQUIS_DATOS!$C$1561))/CROQUIS_DATOS!$C$1568-0.000001)),1,MOD($A128-1,2)))=1,MIN((CROQUIS_DATOS!$C$1476)*CROQUIS_DATOS!$C$1561,((CROQUIS_DATOS!$C$1484+CROQUIS_DATOS!$C$1485)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8">
        <f>IF(AND(CROQUIS_DATOS!$C$1472=1,CROQUIS_DATOS!$C$1478&gt;=2,((CROQUIS_DATOS!$C$1484+CROQUIS_DATOS!$C$1485))-(CROQUIS_DATOS!$C$1484)&gt;0.5,(CROQUIS_DATOS!$C$1476)-((CROQUIS_DATOS!$C$1486+CROQUIS_DATOS!$C$1487))&gt;0.5),(CROQUIS_DATOS!$C$1567+(IF(IF(MOD(MIN(INT(($A128-1)/2)+1,MAX(1,INT(((((CROQUIS_DATOS!$C$1484+CROQUIS_DATOS!$C$1485))-(CROQUIS_DATOS!$C$1484))+((CROQUIS_DATOS!$C$1476)*CROQUIS_DATOS!$C$1561-((CROQUIS_DATOS!$C$1486+CROQUIS_DATOS!$C$1487))*CROQUIS_DATOS!$C$1561))/CROQUIS_DATOS!$C$1568-0.000001))),2)=1,IF(INT(($A128-1)/2)+1&gt;MAX(1,INT(((((CROQUIS_DATOS!$C$1484+CROQUIS_DATOS!$C$1485))-(CROQUIS_DATOS!$C$1484))+((CROQUIS_DATOS!$C$1476)*CROQUIS_DATOS!$C$1561-((CROQUIS_DATOS!$C$1486+CROQUIS_DATOS!$C$1487))*CROQUIS_DATOS!$C$1561))/CROQUIS_DATOS!$C$1568-0.000001)),1,MOD($A128-1,2)),1-IF(INT(($A128-1)/2)+1&gt;MAX(1,INT(((((CROQUIS_DATOS!$C$1484+CROQUIS_DATOS!$C$1485))-(CROQUIS_DATOS!$C$1484))+((CROQUIS_DATOS!$C$1476)*CROQUIS_DATOS!$C$1561-((CROQUIS_DATOS!$C$1486+CROQUIS_DATOS!$C$1487))*CROQUIS_DATOS!$C$1561))/CROQUIS_DATOS!$C$1568-0.000001)),1,MOD($A128-1,2)))=1,MIN((CROQUIS_DATOS!$C$1476)*CROQUIS_DATOS!$C$1561,((CROQUIS_DATOS!$C$1484+CROQUIS_DATOS!$C$1485)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8">
        <f>IF(AND(CROQUIS_DATOS!$C$1472=1,CROQUIS_DATOS!$C$1478&gt;=3,((CROQUIS_DATOS!$C$1489+CROQUIS_DATOS!$C$1490))-(CROQUIS_DATOS!$C$1489)&gt;0.5,(CROQUIS_DATOS!$C$1491)-(0)&gt;0.5),(CROQUIS_DATOS!$C$1566+(IF(IF(MOD(MIN(INT(($A128-1)/2)+1,MAX(1,INT(((((CROQUIS_DATOS!$C$1489+CROQUIS_DATOS!$C$1490))-(CROQUIS_DATOS!$C$1489))+((CROQUIS_DATOS!$C$1491)*CROQUIS_DATOS!$C$1561-(0)*CROQUIS_DATOS!$C$1561))/CROQUIS_DATOS!$C$1568-0.000001))),2)=1,IF(INT(($A128-1)/2)+1&gt;MAX(1,INT(((((CROQUIS_DATOS!$C$1489+CROQUIS_DATOS!$C$1490))-(CROQUIS_DATOS!$C$1489))+((CROQUIS_DATOS!$C$1491)*CROQUIS_DATOS!$C$1561-(0)*CROQUIS_DATOS!$C$1561))/CROQUIS_DATOS!$C$1568-0.000001)),1,MOD($A128-1,2)),1-IF(INT(($A128-1)/2)+1&gt;MAX(1,INT(((((CROQUIS_DATOS!$C$1489+CROQUIS_DATOS!$C$1490))-(CROQUIS_DATOS!$C$1489))+((CROQUIS_DATOS!$C$1491)*CROQUIS_DATOS!$C$1561-(0)*CROQUIS_DATOS!$C$1561))/CROQUIS_DATOS!$C$1568-0.000001)),1,MOD($A128-1,2)))=1,MIN((CROQUIS_DATOS!$C$1491)*CROQUIS_DATOS!$C$1561,((CROQUIS_DATOS!$C$1489+CROQUIS_DATOS!$C$1490)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8">
        <f>IF(AND(CROQUIS_DATOS!$C$1472=1,CROQUIS_DATOS!$C$1478&gt;=3,((CROQUIS_DATOS!$C$1489+CROQUIS_DATOS!$C$1490))-(CROQUIS_DATOS!$C$1489)&gt;0.5,(CROQUIS_DATOS!$C$1491)-(0)&gt;0.5),(CROQUIS_DATOS!$C$1567+(IF(IF(MOD(MIN(INT(($A128-1)/2)+1,MAX(1,INT(((((CROQUIS_DATOS!$C$1489+CROQUIS_DATOS!$C$1490))-(CROQUIS_DATOS!$C$1489))+((CROQUIS_DATOS!$C$1491)*CROQUIS_DATOS!$C$1561-(0)*CROQUIS_DATOS!$C$1561))/CROQUIS_DATOS!$C$1568-0.000001))),2)=1,IF(INT(($A128-1)/2)+1&gt;MAX(1,INT(((((CROQUIS_DATOS!$C$1489+CROQUIS_DATOS!$C$1490))-(CROQUIS_DATOS!$C$1489))+((CROQUIS_DATOS!$C$1491)*CROQUIS_DATOS!$C$1561-(0)*CROQUIS_DATOS!$C$1561))/CROQUIS_DATOS!$C$1568-0.000001)),1,MOD($A128-1,2)),1-IF(INT(($A128-1)/2)+1&gt;MAX(1,INT(((((CROQUIS_DATOS!$C$1489+CROQUIS_DATOS!$C$1490))-(CROQUIS_DATOS!$C$1489))+((CROQUIS_DATOS!$C$1491)*CROQUIS_DATOS!$C$1561-(0)*CROQUIS_DATOS!$C$1561))/CROQUIS_DATOS!$C$1568-0.000001)),1,MOD($A128-1,2)))=1,MIN((CROQUIS_DATOS!$C$1491)*CROQUIS_DATOS!$C$1561,((CROQUIS_DATOS!$C$1489+CROQUIS_DATOS!$C$1490)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8">
        <f>IF(AND(CROQUIS_DATOS!$C$1472=1,CROQUIS_DATOS!$C$1478&gt;=3,((CROQUIS_DATOS!$C$1489+CROQUIS_DATOS!$C$1490))-(CROQUIS_DATOS!$C$1489)&gt;0.5,(CROQUIS_DATOS!$C$1476)-((CROQUIS_DATOS!$C$1491+CROQUIS_DATOS!$C$1492))&gt;0.5),(CROQUIS_DATOS!$C$1566+(IF(IF(MOD(MIN(INT(($A128-1)/2)+1,MAX(1,INT(((((CROQUIS_DATOS!$C$1489+CROQUIS_DATOS!$C$1490))-(CROQUIS_DATOS!$C$1489))+((CROQUIS_DATOS!$C$1476)*CROQUIS_DATOS!$C$1561-((CROQUIS_DATOS!$C$1491+CROQUIS_DATOS!$C$1492))*CROQUIS_DATOS!$C$1561))/CROQUIS_DATOS!$C$1568-0.000001))),2)=1,IF(INT(($A128-1)/2)+1&gt;MAX(1,INT(((((CROQUIS_DATOS!$C$1489+CROQUIS_DATOS!$C$1490))-(CROQUIS_DATOS!$C$1489))+((CROQUIS_DATOS!$C$1476)*CROQUIS_DATOS!$C$1561-((CROQUIS_DATOS!$C$1491+CROQUIS_DATOS!$C$1492))*CROQUIS_DATOS!$C$1561))/CROQUIS_DATOS!$C$1568-0.000001)),1,MOD($A128-1,2)),1-IF(INT(($A128-1)/2)+1&gt;MAX(1,INT(((((CROQUIS_DATOS!$C$1489+CROQUIS_DATOS!$C$1490))-(CROQUIS_DATOS!$C$1489))+((CROQUIS_DATOS!$C$1476)*CROQUIS_DATOS!$C$1561-((CROQUIS_DATOS!$C$1491+CROQUIS_DATOS!$C$1492))*CROQUIS_DATOS!$C$1561))/CROQUIS_DATOS!$C$1568-0.000001)),1,MOD($A128-1,2)))=1,MIN((CROQUIS_DATOS!$C$1476)*CROQUIS_DATOS!$C$1561,((CROQUIS_DATOS!$C$1489+CROQUIS_DATOS!$C$1490)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8">
        <f>IF(AND(CROQUIS_DATOS!$C$1472=1,CROQUIS_DATOS!$C$1478&gt;=3,((CROQUIS_DATOS!$C$1489+CROQUIS_DATOS!$C$1490))-(CROQUIS_DATOS!$C$1489)&gt;0.5,(CROQUIS_DATOS!$C$1476)-((CROQUIS_DATOS!$C$1491+CROQUIS_DATOS!$C$1492))&gt;0.5),(CROQUIS_DATOS!$C$1567+(IF(IF(MOD(MIN(INT(($A128-1)/2)+1,MAX(1,INT(((((CROQUIS_DATOS!$C$1489+CROQUIS_DATOS!$C$1490))-(CROQUIS_DATOS!$C$1489))+((CROQUIS_DATOS!$C$1476)*CROQUIS_DATOS!$C$1561-((CROQUIS_DATOS!$C$1491+CROQUIS_DATOS!$C$1492))*CROQUIS_DATOS!$C$1561))/CROQUIS_DATOS!$C$1568-0.000001))),2)=1,IF(INT(($A128-1)/2)+1&gt;MAX(1,INT(((((CROQUIS_DATOS!$C$1489+CROQUIS_DATOS!$C$1490))-(CROQUIS_DATOS!$C$1489))+((CROQUIS_DATOS!$C$1476)*CROQUIS_DATOS!$C$1561-((CROQUIS_DATOS!$C$1491+CROQUIS_DATOS!$C$1492))*CROQUIS_DATOS!$C$1561))/CROQUIS_DATOS!$C$1568-0.000001)),1,MOD($A128-1,2)),1-IF(INT(($A128-1)/2)+1&gt;MAX(1,INT(((((CROQUIS_DATOS!$C$1489+CROQUIS_DATOS!$C$1490))-(CROQUIS_DATOS!$C$1489))+((CROQUIS_DATOS!$C$1476)*CROQUIS_DATOS!$C$1561-((CROQUIS_DATOS!$C$1491+CROQUIS_DATOS!$C$1492))*CROQUIS_DATOS!$C$1561))/CROQUIS_DATOS!$C$1568-0.000001)),1,MOD($A128-1,2)))=1,MIN((CROQUIS_DATOS!$C$1476)*CROQUIS_DATOS!$C$1561,((CROQUIS_DATOS!$C$1489+CROQUIS_DATOS!$C$1490)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8">
        <f>IF(AND(CROQUIS_DATOS!$C$1472=1,CROQUIS_DATOS!$C$1478&gt;=4,((CROQUIS_DATOS!$C$1494+CROQUIS_DATOS!$C$1495))-(CROQUIS_DATOS!$C$1494)&gt;0.5,(CROQUIS_DATOS!$C$1496)-(0)&gt;0.5),(CROQUIS_DATOS!$C$1566+(IF(IF(MOD(MIN(INT(($A128-1)/2)+1,MAX(1,INT(((((CROQUIS_DATOS!$C$1494+CROQUIS_DATOS!$C$1495))-(CROQUIS_DATOS!$C$1494))+((CROQUIS_DATOS!$C$1496)*CROQUIS_DATOS!$C$1561-(0)*CROQUIS_DATOS!$C$1561))/CROQUIS_DATOS!$C$1568-0.000001))),2)=1,IF(INT(($A128-1)/2)+1&gt;MAX(1,INT(((((CROQUIS_DATOS!$C$1494+CROQUIS_DATOS!$C$1495))-(CROQUIS_DATOS!$C$1494))+((CROQUIS_DATOS!$C$1496)*CROQUIS_DATOS!$C$1561-(0)*CROQUIS_DATOS!$C$1561))/CROQUIS_DATOS!$C$1568-0.000001)),1,MOD($A128-1,2)),1-IF(INT(($A128-1)/2)+1&gt;MAX(1,INT(((((CROQUIS_DATOS!$C$1494+CROQUIS_DATOS!$C$1495))-(CROQUIS_DATOS!$C$1494))+((CROQUIS_DATOS!$C$1496)*CROQUIS_DATOS!$C$1561-(0)*CROQUIS_DATOS!$C$1561))/CROQUIS_DATOS!$C$1568-0.000001)),1,MOD($A128-1,2)))=1,MIN((CROQUIS_DATOS!$C$1496)*CROQUIS_DATOS!$C$1561,((CROQUIS_DATOS!$C$1494+CROQUIS_DATOS!$C$1495)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8">
        <f>IF(AND(CROQUIS_DATOS!$C$1472=1,CROQUIS_DATOS!$C$1478&gt;=4,((CROQUIS_DATOS!$C$1494+CROQUIS_DATOS!$C$1495))-(CROQUIS_DATOS!$C$1494)&gt;0.5,(CROQUIS_DATOS!$C$1496)-(0)&gt;0.5),(CROQUIS_DATOS!$C$1567+(IF(IF(MOD(MIN(INT(($A128-1)/2)+1,MAX(1,INT(((((CROQUIS_DATOS!$C$1494+CROQUIS_DATOS!$C$1495))-(CROQUIS_DATOS!$C$1494))+((CROQUIS_DATOS!$C$1496)*CROQUIS_DATOS!$C$1561-(0)*CROQUIS_DATOS!$C$1561))/CROQUIS_DATOS!$C$1568-0.000001))),2)=1,IF(INT(($A128-1)/2)+1&gt;MAX(1,INT(((((CROQUIS_DATOS!$C$1494+CROQUIS_DATOS!$C$1495))-(CROQUIS_DATOS!$C$1494))+((CROQUIS_DATOS!$C$1496)*CROQUIS_DATOS!$C$1561-(0)*CROQUIS_DATOS!$C$1561))/CROQUIS_DATOS!$C$1568-0.000001)),1,MOD($A128-1,2)),1-IF(INT(($A128-1)/2)+1&gt;MAX(1,INT(((((CROQUIS_DATOS!$C$1494+CROQUIS_DATOS!$C$1495))-(CROQUIS_DATOS!$C$1494))+((CROQUIS_DATOS!$C$1496)*CROQUIS_DATOS!$C$1561-(0)*CROQUIS_DATOS!$C$1561))/CROQUIS_DATOS!$C$1568-0.000001)),1,MOD($A128-1,2)))=1,MIN((CROQUIS_DATOS!$C$1496)*CROQUIS_DATOS!$C$1561,((CROQUIS_DATOS!$C$1494+CROQUIS_DATOS!$C$1495)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8">
        <f>IF(AND(CROQUIS_DATOS!$C$1472=1,CROQUIS_DATOS!$C$1478&gt;=4,((CROQUIS_DATOS!$C$1494+CROQUIS_DATOS!$C$1495))-(CROQUIS_DATOS!$C$1494)&gt;0.5,(CROQUIS_DATOS!$C$1476)-((CROQUIS_DATOS!$C$1496+CROQUIS_DATOS!$C$1497))&gt;0.5),(CROQUIS_DATOS!$C$1566+(IF(IF(MOD(MIN(INT(($A128-1)/2)+1,MAX(1,INT(((((CROQUIS_DATOS!$C$1494+CROQUIS_DATOS!$C$1495))-(CROQUIS_DATOS!$C$1494))+((CROQUIS_DATOS!$C$1476)*CROQUIS_DATOS!$C$1561-((CROQUIS_DATOS!$C$1496+CROQUIS_DATOS!$C$1497))*CROQUIS_DATOS!$C$1561))/CROQUIS_DATOS!$C$1568-0.000001))),2)=1,IF(INT(($A128-1)/2)+1&gt;MAX(1,INT(((((CROQUIS_DATOS!$C$1494+CROQUIS_DATOS!$C$1495))-(CROQUIS_DATOS!$C$1494))+((CROQUIS_DATOS!$C$1476)*CROQUIS_DATOS!$C$1561-((CROQUIS_DATOS!$C$1496+CROQUIS_DATOS!$C$1497))*CROQUIS_DATOS!$C$1561))/CROQUIS_DATOS!$C$1568-0.000001)),1,MOD($A128-1,2)),1-IF(INT(($A128-1)/2)+1&gt;MAX(1,INT(((((CROQUIS_DATOS!$C$1494+CROQUIS_DATOS!$C$1495))-(CROQUIS_DATOS!$C$1494))+((CROQUIS_DATOS!$C$1476)*CROQUIS_DATOS!$C$1561-((CROQUIS_DATOS!$C$1496+CROQUIS_DATOS!$C$1497))*CROQUIS_DATOS!$C$1561))/CROQUIS_DATOS!$C$1568-0.000001)),1,MOD($A128-1,2)))=1,MIN((CROQUIS_DATOS!$C$1476)*CROQUIS_DATOS!$C$1561,((CROQUIS_DATOS!$C$1494+CROQUIS_DATOS!$C$1495)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8">
        <f>IF(AND(CROQUIS_DATOS!$C$1472=1,CROQUIS_DATOS!$C$1478&gt;=4,((CROQUIS_DATOS!$C$1494+CROQUIS_DATOS!$C$1495))-(CROQUIS_DATOS!$C$1494)&gt;0.5,(CROQUIS_DATOS!$C$1476)-((CROQUIS_DATOS!$C$1496+CROQUIS_DATOS!$C$1497))&gt;0.5),(CROQUIS_DATOS!$C$1567+(IF(IF(MOD(MIN(INT(($A128-1)/2)+1,MAX(1,INT(((((CROQUIS_DATOS!$C$1494+CROQUIS_DATOS!$C$1495))-(CROQUIS_DATOS!$C$1494))+((CROQUIS_DATOS!$C$1476)*CROQUIS_DATOS!$C$1561-((CROQUIS_DATOS!$C$1496+CROQUIS_DATOS!$C$1497))*CROQUIS_DATOS!$C$1561))/CROQUIS_DATOS!$C$1568-0.000001))),2)=1,IF(INT(($A128-1)/2)+1&gt;MAX(1,INT(((((CROQUIS_DATOS!$C$1494+CROQUIS_DATOS!$C$1495))-(CROQUIS_DATOS!$C$1494))+((CROQUIS_DATOS!$C$1476)*CROQUIS_DATOS!$C$1561-((CROQUIS_DATOS!$C$1496+CROQUIS_DATOS!$C$1497))*CROQUIS_DATOS!$C$1561))/CROQUIS_DATOS!$C$1568-0.000001)),1,MOD($A128-1,2)),1-IF(INT(($A128-1)/2)+1&gt;MAX(1,INT(((((CROQUIS_DATOS!$C$1494+CROQUIS_DATOS!$C$1495))-(CROQUIS_DATOS!$C$1494))+((CROQUIS_DATOS!$C$1476)*CROQUIS_DATOS!$C$1561-((CROQUIS_DATOS!$C$1496+CROQUIS_DATOS!$C$1497))*CROQUIS_DATOS!$C$1561))/CROQUIS_DATOS!$C$1568-0.000001)),1,MOD($A128-1,2)))=1,MIN((CROQUIS_DATOS!$C$1476)*CROQUIS_DATOS!$C$1561,((CROQUIS_DATOS!$C$1494+CROQUIS_DATOS!$C$1495)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29">
      <c r="A129" t="n">
        <v>122</v>
      </c>
      <c r="N129">
        <f>IF(AND(CROQUIS_DATOS!$C$1472=1,1),(CROQUIS_DATOS!$C$1563+(IF(IF(IF(INT(($A129-1)/70)+1&gt;CROQUIS_DATOS!$C$1525,70,MOD($A129-1,70)+1)=1,0,IF(IF(INT(($A129-1)/70)+1&gt;CROQUIS_DATOS!$C$1525,70,MOD($A129-1,70)+1)&gt;2*CROQUIS_DATOS!$C$1541+1,IF(MOD(CROQUIS_DATOS!$C$1541,2)=1,1,0),IF(MOD(MIN(INT((IF(INT(($A129-1)/70)+1&gt;CROQUIS_DATOS!$C$1525,70,MOD($A129-1,70)+1)-2)/2)+1,CROQUIS_DATOS!$C$1541),2)=1,IF(MOD(IF(INT(($A129-1)/70)+1&gt;CROQUIS_DATOS!$C$1525,70,MOD($A129-1,70)+1)-2,2)=0,0,1),IF(MOD(IF(INT(($A129-1)/70)+1&gt;CROQUIS_DATOS!$C$1525,70,MOD($A129-1,70)+1)-2,2)=0,1,0))))=0,(INDEX($E$8:$E$23,MIN(INT(($A129-1)/70)+1,CROQUIS_DATOS!$C$1525))-INDEX($F$8:$F$23,MIN(INT(($A129-1)/70)+1,CROQUIS_DATOS!$C$1525))/2),(INDEX($E$8:$E$23,MIN(INT(($A129-1)/70)+1,CROQUIS_DATOS!$C$1525))+INDEX($F$8:$F$23,MIN(INT(($A129-1)/70)+1,CROQUIS_DATOS!$C$1525))/2)))*CROQUIS_DATOS!$C$1562),-1000)</f>
        <v>18.5775862068965</v>
      </c>
      <c r="O129">
        <f>IF(AND(CROQUIS_DATOS!$C$1472=1,1),(CROQUIS_DATOS!$C$1564+(IF(OR(IF(INT(($A129-1)/70)+1&gt;CROQUIS_DATOS!$C$1525,70,MOD($A129-1,70)+1)=1,IF(INT(($A129-1)/70)+1&gt;CROQUIS_DATOS!$C$1525,70,MOD($A129-1,70)+1)&gt;2*CROQUIS_DATOS!$C$1541+1),CROQUIS_DATOS!$C$1476,INDEX($H$8:$H$41,MIN(INT((IF(INT(($A129-1)/70)+1&gt;CROQUIS_DATOS!$C$1525,70,MOD($A129-1,70)+1)-2)/2)+1,CROQUIS_DATOS!$C$1541))))*CROQUIS_DATOS!$C$1561*CROQUIS_DATOS!$C$1562),-1000)</f>
        <v>40.2068965517241</v>
      </c>
      <c r="P129">
        <f>IF(AND(CROQUIS_DATOS!$C$1472=1,CROQUIS_DATOS!$C$1555=1),(CROQUIS_DATOS!$C$1563+(IF(IF(OR(MOD($A129-1,62)+1=1,IF(CHOOSE(MIN(MAX(MIN(INT(($A129-1)/62)+1,5),1),5),CROQUIS_DATOS!$C$1501,CROQUIS_DATOS!$C$1505,CROQUIS_DATOS!$C$1509,CROQUIS_DATOS!$C$1513,CROQUIS_DATOS!$C$1517)=1,CROQUIS_DATOS!$C$1557,0)=0),0,IF(MOD($A129-1,62)+1&gt;2*IF(CHOOSE(MIN(MAX(MIN(INT(($A129-1)/62)+1,5),1),5),CROQUIS_DATOS!$C$1501,CROQUIS_DATOS!$C$1505,CROQUIS_DATOS!$C$1509,CROQUIS_DATOS!$C$1513,CROQUIS_DATOS!$C$1517)=1,CROQUIS_DATOS!$C$1557,0)+1,IF(MOD(IF(CHOOSE(MIN(MAX(MIN(INT(($A129-1)/62)+1,5),1),5),CROQUIS_DATOS!$C$1501,CROQUIS_DATOS!$C$1505,CROQUIS_DATOS!$C$1509,CROQUIS_DATOS!$C$1513,CROQUIS_DATOS!$C$1517)=1,CROQUIS_DATOS!$C$1557,0),2)=1,1,0),IF(MOD(MIN(INT((MOD($A129-1,62)+1-2)/2)+1,MAX(IF(CHOOSE(MIN(MAX(MIN(INT(($A129-1)/62)+1,5),1),5),CROQUIS_DATOS!$C$1501,CROQUIS_DATOS!$C$1505,CROQUIS_DATOS!$C$1509,CROQUIS_DATOS!$C$1513,CROQUIS_DATOS!$C$1517)=1,CROQUIS_DATOS!$C$1557,0),1)),2)=1,IF(MOD(MOD($A129-1,62)+1-2,2)=0,0,1),IF(MOD(MOD($A129-1,62)+1-2,2)=0,1,0))))=0,(CHOOSE(MIN(MAX(MIN(INT(($A129-1)/62)+1,5),1),5),CROQUIS_DATOS!$C$1499,CROQUIS_DATOS!$C$1503,CROQUIS_DATOS!$C$1507,CROQUIS_DATOS!$C$1511,CROQUIS_DATOS!$C$1515)+IF(CHOOSE(MIN(MAX(MIN(INT(($A129-1)/62)+1,5),1),5),CROQUIS_DATOS!$C$1501,CROQUIS_DATOS!$C$1505,CROQUIS_DATOS!$C$1509,CROQUIS_DATOS!$C$1513,CROQUIS_DATOS!$C$1517)=1,CROQUIS_DATOS!$C$1526,0)),(CHOOSE(MIN(MAX(MIN(INT(($A129-1)/62)+1,5),1),5),CROQUIS_DATOS!$C$1499,CROQUIS_DATOS!$C$1503,CROQUIS_DATOS!$C$1507,CROQUIS_DATOS!$C$1511,CROQUIS_DATOS!$C$1515)+CHOOSE(MIN(MAX(MIN(INT(($A129-1)/62)+1,5),1),5),CROQUIS_DATOS!$C$1500,CROQUIS_DATOS!$C$1504,CROQUIS_DATOS!$C$1508,CROQUIS_DATOS!$C$1512,CROQUIS_DATOS!$C$1516)-IF(CHOOSE(MIN(MAX(MIN(INT(($A129-1)/62)+1,5),1),5),CROQUIS_DATOS!$C$1501,CROQUIS_DATOS!$C$1505,CROQUIS_DATOS!$C$1509,CROQUIS_DATOS!$C$1513,CROQUIS_DATOS!$C$1517)=1,CROQUIS_DATOS!$C$1526,0))))*CROQUIS_DATOS!$C$1562),-1000)</f>
        <v>-1000</v>
      </c>
      <c r="Q129">
        <f>IF(AND(CROQUIS_DATOS!$C$1472=1,CROQUIS_DATOS!$C$1555=1),(CROQUIS_DATOS!$C$1564+(IF(OR(OR(MOD($A129-1,62)+1=1,IF(CHOOSE(MIN(MAX(MIN(INT(($A129-1)/62)+1,5),1),5),CROQUIS_DATOS!$C$1501,CROQUIS_DATOS!$C$1505,CROQUIS_DATOS!$C$1509,CROQUIS_DATOS!$C$1513,CROQUIS_DATOS!$C$1517)=1,CROQUIS_DATOS!$C$1557,0)=0),MOD($A129-1,62)+1&gt;2*IF(CHOOSE(MIN(MAX(MIN(INT(($A129-1)/62)+1,5),1),5),CROQUIS_DATOS!$C$1501,CROQUIS_DATOS!$C$1505,CROQUIS_DATOS!$C$1509,CROQUIS_DATOS!$C$1513,CROQUIS_DATOS!$C$1517)=1,CROQUIS_DATOS!$C$1557,0)+1),CROQUIS_DATOS!$C$1476,MIN(INT((MOD($A129-1,62)+1-2)/2)+1,MAX(IF(CHOOSE(MIN(MAX(MIN(INT(($A129-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29">
        <f>IF(AND(CROQUIS_DATOS!$C$1472=1,1),(CROQUIS_DATOS!$C$1563+(MIN(INT(($A129-1)/2)+1,CROQUIS_DATOS!$C$1558)*CROQUIS_DATOS!$C$1559)*CROQUIS_DATOS!$C$1562),-1000)</f>
        <v>82.2281167108753</v>
      </c>
      <c r="U129">
        <f>IF(AND(CROQUIS_DATOS!$C$1472=1,1),(CROQUIS_DATOS!$C$1564+(IF(INT(($A129-1)/2)+1&gt;CROQUIS_DATOS!$C$1558,IF(MOD(CROQUIS_DATOS!$C$1558,2)=1,CROQUIS_DATOS!$C$1476+CROQUIS_DATOS!$C$1528,CROQUIS_DATOS!$C$1476),IF(IF(MOD(MIN(INT(($A129-1)/2)+1,CROQUIS_DATOS!$C$1558),2)=1,MOD($A129-1,2),1-MOD($A129-1,2))=1,CROQUIS_DATOS!$C$1476+CROQUIS_DATOS!$C$1528,CROQUIS_DATOS!$C$1476)))*CROQUIS_DATOS!$C$1561*CROQUIS_DATOS!$C$1562),-1000)</f>
        <v>43</v>
      </c>
      <c r="BZ129">
        <f>IF(AND(CROQUIS_DATOS!$C$1472=1,CROQUIS_DATOS!$C$1500&gt;0,((CROQUIS_DATOS!$C$1499+CROQUIS_DATOS!$C$1500))-(CROQUIS_DATOS!$C$1499)&gt;0.5,(CROQUIS_DATOS!$C$1476)-(0)&gt;0.5),(CROQUIS_DATOS!$C$1566+(IF(IF(MOD(MIN(INT(($A129-1)/2)+1,MAX(1,INT(((((CROQUIS_DATOS!$C$1499+CROQUIS_DATOS!$C$1500))-(CROQUIS_DATOS!$C$1499))+((CROQUIS_DATOS!$C$1476)*CROQUIS_DATOS!$C$1561-(0)*CROQUIS_DATOS!$C$1561))/CROQUIS_DATOS!$C$1568-0.000001))),2)=1,IF(INT(($A129-1)/2)+1&gt;MAX(1,INT(((((CROQUIS_DATOS!$C$1499+CROQUIS_DATOS!$C$1500))-(CROQUIS_DATOS!$C$1499))+((CROQUIS_DATOS!$C$1476)*CROQUIS_DATOS!$C$1561-(0)*CROQUIS_DATOS!$C$1561))/CROQUIS_DATOS!$C$1568-0.000001)),1,MOD($A129-1,2)),1-IF(INT(($A129-1)/2)+1&gt;MAX(1,INT(((((CROQUIS_DATOS!$C$1499+CROQUIS_DATOS!$C$1500))-(CROQUIS_DATOS!$C$1499))+((CROQUIS_DATOS!$C$1476)*CROQUIS_DATOS!$C$1561-(0)*CROQUIS_DATOS!$C$1561))/CROQUIS_DATOS!$C$1568-0.000001)),1,MOD($A129-1,2)))=1,MIN((CROQUIS_DATOS!$C$1476)*CROQUIS_DATOS!$C$1561,((CROQUIS_DATOS!$C$1499+CROQUIS_DATOS!$C$1500)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29">
        <f>IF(AND(CROQUIS_DATOS!$C$1472=1,CROQUIS_DATOS!$C$1500&gt;0,((CROQUIS_DATOS!$C$1499+CROQUIS_DATOS!$C$1500))-(CROQUIS_DATOS!$C$1499)&gt;0.5,(CROQUIS_DATOS!$C$1476)-(0)&gt;0.5),(CROQUIS_DATOS!$C$1567+(IF(IF(MOD(MIN(INT(($A129-1)/2)+1,MAX(1,INT(((((CROQUIS_DATOS!$C$1499+CROQUIS_DATOS!$C$1500))-(CROQUIS_DATOS!$C$1499))+((CROQUIS_DATOS!$C$1476)*CROQUIS_DATOS!$C$1561-(0)*CROQUIS_DATOS!$C$1561))/CROQUIS_DATOS!$C$1568-0.000001))),2)=1,IF(INT(($A129-1)/2)+1&gt;MAX(1,INT(((((CROQUIS_DATOS!$C$1499+CROQUIS_DATOS!$C$1500))-(CROQUIS_DATOS!$C$1499))+((CROQUIS_DATOS!$C$1476)*CROQUIS_DATOS!$C$1561-(0)*CROQUIS_DATOS!$C$1561))/CROQUIS_DATOS!$C$1568-0.000001)),1,MOD($A129-1,2)),1-IF(INT(($A129-1)/2)+1&gt;MAX(1,INT(((((CROQUIS_DATOS!$C$1499+CROQUIS_DATOS!$C$1500))-(CROQUIS_DATOS!$C$1499))+((CROQUIS_DATOS!$C$1476)*CROQUIS_DATOS!$C$1561-(0)*CROQUIS_DATOS!$C$1561))/CROQUIS_DATOS!$C$1568-0.000001)),1,MOD($A129-1,2)))=1,MIN((CROQUIS_DATOS!$C$1476)*CROQUIS_DATOS!$C$1561,((CROQUIS_DATOS!$C$1499+CROQUIS_DATOS!$C$1500)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129-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29">
        <f>IF(AND(CROQUIS_DATOS!$C$1472=1,CROQUIS_DATOS!$C$1504&gt;0,((CROQUIS_DATOS!$C$1503+CROQUIS_DATOS!$C$1504))-(CROQUIS_DATOS!$C$1503)&gt;0.5,(CROQUIS_DATOS!$C$1476)-(0)&gt;0.5),(CROQUIS_DATOS!$C$1566+(IF(IF(MOD(MIN(INT(($A129-1)/2)+1,MAX(1,INT(((((CROQUIS_DATOS!$C$1503+CROQUIS_DATOS!$C$1504))-(CROQUIS_DATOS!$C$1503))+((CROQUIS_DATOS!$C$1476)*CROQUIS_DATOS!$C$1561-(0)*CROQUIS_DATOS!$C$1561))/CROQUIS_DATOS!$C$1568-0.000001))),2)=1,IF(INT(($A129-1)/2)+1&gt;MAX(1,INT(((((CROQUIS_DATOS!$C$1503+CROQUIS_DATOS!$C$1504))-(CROQUIS_DATOS!$C$1503))+((CROQUIS_DATOS!$C$1476)*CROQUIS_DATOS!$C$1561-(0)*CROQUIS_DATOS!$C$1561))/CROQUIS_DATOS!$C$1568-0.000001)),1,MOD($A129-1,2)),1-IF(INT(($A129-1)/2)+1&gt;MAX(1,INT(((((CROQUIS_DATOS!$C$1503+CROQUIS_DATOS!$C$1504))-(CROQUIS_DATOS!$C$1503))+((CROQUIS_DATOS!$C$1476)*CROQUIS_DATOS!$C$1561-(0)*CROQUIS_DATOS!$C$1561))/CROQUIS_DATOS!$C$1568-0.000001)),1,MOD($A129-1,2)))=1,MIN((CROQUIS_DATOS!$C$1476)*CROQUIS_DATOS!$C$1561,((CROQUIS_DATOS!$C$1503+CROQUIS_DATOS!$C$1504)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29">
        <f>IF(AND(CROQUIS_DATOS!$C$1472=1,CROQUIS_DATOS!$C$1504&gt;0,((CROQUIS_DATOS!$C$1503+CROQUIS_DATOS!$C$1504))-(CROQUIS_DATOS!$C$1503)&gt;0.5,(CROQUIS_DATOS!$C$1476)-(0)&gt;0.5),(CROQUIS_DATOS!$C$1567+(IF(IF(MOD(MIN(INT(($A129-1)/2)+1,MAX(1,INT(((((CROQUIS_DATOS!$C$1503+CROQUIS_DATOS!$C$1504))-(CROQUIS_DATOS!$C$1503))+((CROQUIS_DATOS!$C$1476)*CROQUIS_DATOS!$C$1561-(0)*CROQUIS_DATOS!$C$1561))/CROQUIS_DATOS!$C$1568-0.000001))),2)=1,IF(INT(($A129-1)/2)+1&gt;MAX(1,INT(((((CROQUIS_DATOS!$C$1503+CROQUIS_DATOS!$C$1504))-(CROQUIS_DATOS!$C$1503))+((CROQUIS_DATOS!$C$1476)*CROQUIS_DATOS!$C$1561-(0)*CROQUIS_DATOS!$C$1561))/CROQUIS_DATOS!$C$1568-0.000001)),1,MOD($A129-1,2)),1-IF(INT(($A129-1)/2)+1&gt;MAX(1,INT(((((CROQUIS_DATOS!$C$1503+CROQUIS_DATOS!$C$1504))-(CROQUIS_DATOS!$C$1503))+((CROQUIS_DATOS!$C$1476)*CROQUIS_DATOS!$C$1561-(0)*CROQUIS_DATOS!$C$1561))/CROQUIS_DATOS!$C$1568-0.000001)),1,MOD($A129-1,2)))=1,MIN((CROQUIS_DATOS!$C$1476)*CROQUIS_DATOS!$C$1561,((CROQUIS_DATOS!$C$1503+CROQUIS_DATOS!$C$1504)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129-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29">
        <f>IF(AND(CROQUIS_DATOS!$C$1472=1,CROQUIS_DATOS!$C$1508&gt;0,((CROQUIS_DATOS!$C$1507+CROQUIS_DATOS!$C$1508))-(CROQUIS_DATOS!$C$1507)&gt;0.5,(CROQUIS_DATOS!$C$1476)-(0)&gt;0.5),(CROQUIS_DATOS!$C$1566+(IF(IF(MOD(MIN(INT(($A129-1)/2)+1,MAX(1,INT(((((CROQUIS_DATOS!$C$1507+CROQUIS_DATOS!$C$1508))-(CROQUIS_DATOS!$C$1507))+((CROQUIS_DATOS!$C$1476)*CROQUIS_DATOS!$C$1561-(0)*CROQUIS_DATOS!$C$1561))/CROQUIS_DATOS!$C$1568-0.000001))),2)=1,IF(INT(($A129-1)/2)+1&gt;MAX(1,INT(((((CROQUIS_DATOS!$C$1507+CROQUIS_DATOS!$C$1508))-(CROQUIS_DATOS!$C$1507))+((CROQUIS_DATOS!$C$1476)*CROQUIS_DATOS!$C$1561-(0)*CROQUIS_DATOS!$C$1561))/CROQUIS_DATOS!$C$1568-0.000001)),1,MOD($A129-1,2)),1-IF(INT(($A129-1)/2)+1&gt;MAX(1,INT(((((CROQUIS_DATOS!$C$1507+CROQUIS_DATOS!$C$1508))-(CROQUIS_DATOS!$C$1507))+((CROQUIS_DATOS!$C$1476)*CROQUIS_DATOS!$C$1561-(0)*CROQUIS_DATOS!$C$1561))/CROQUIS_DATOS!$C$1568-0.000001)),1,MOD($A129-1,2)))=1,MIN((CROQUIS_DATOS!$C$1476)*CROQUIS_DATOS!$C$1561,((CROQUIS_DATOS!$C$1507+CROQUIS_DATOS!$C$1508)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29">
        <f>IF(AND(CROQUIS_DATOS!$C$1472=1,CROQUIS_DATOS!$C$1508&gt;0,((CROQUIS_DATOS!$C$1507+CROQUIS_DATOS!$C$1508))-(CROQUIS_DATOS!$C$1507)&gt;0.5,(CROQUIS_DATOS!$C$1476)-(0)&gt;0.5),(CROQUIS_DATOS!$C$1567+(IF(IF(MOD(MIN(INT(($A129-1)/2)+1,MAX(1,INT(((((CROQUIS_DATOS!$C$1507+CROQUIS_DATOS!$C$1508))-(CROQUIS_DATOS!$C$1507))+((CROQUIS_DATOS!$C$1476)*CROQUIS_DATOS!$C$1561-(0)*CROQUIS_DATOS!$C$1561))/CROQUIS_DATOS!$C$1568-0.000001))),2)=1,IF(INT(($A129-1)/2)+1&gt;MAX(1,INT(((((CROQUIS_DATOS!$C$1507+CROQUIS_DATOS!$C$1508))-(CROQUIS_DATOS!$C$1507))+((CROQUIS_DATOS!$C$1476)*CROQUIS_DATOS!$C$1561-(0)*CROQUIS_DATOS!$C$1561))/CROQUIS_DATOS!$C$1568-0.000001)),1,MOD($A129-1,2)),1-IF(INT(($A129-1)/2)+1&gt;MAX(1,INT(((((CROQUIS_DATOS!$C$1507+CROQUIS_DATOS!$C$1508))-(CROQUIS_DATOS!$C$1507))+((CROQUIS_DATOS!$C$1476)*CROQUIS_DATOS!$C$1561-(0)*CROQUIS_DATOS!$C$1561))/CROQUIS_DATOS!$C$1568-0.000001)),1,MOD($A129-1,2)))=1,MIN((CROQUIS_DATOS!$C$1476)*CROQUIS_DATOS!$C$1561,((CROQUIS_DATOS!$C$1507+CROQUIS_DATOS!$C$1508)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129-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29">
        <f>IF(AND(CROQUIS_DATOS!$C$1472=1,CROQUIS_DATOS!$C$1512&gt;0,((CROQUIS_DATOS!$C$1511+CROQUIS_DATOS!$C$1512))-(CROQUIS_DATOS!$C$1511)&gt;0.5,(CROQUIS_DATOS!$C$1476)-(0)&gt;0.5),(CROQUIS_DATOS!$C$1566+(IF(IF(MOD(MIN(INT(($A129-1)/2)+1,MAX(1,INT(((((CROQUIS_DATOS!$C$1511+CROQUIS_DATOS!$C$1512))-(CROQUIS_DATOS!$C$1511))+((CROQUIS_DATOS!$C$1476)*CROQUIS_DATOS!$C$1561-(0)*CROQUIS_DATOS!$C$1561))/CROQUIS_DATOS!$C$1568-0.000001))),2)=1,IF(INT(($A129-1)/2)+1&gt;MAX(1,INT(((((CROQUIS_DATOS!$C$1511+CROQUIS_DATOS!$C$1512))-(CROQUIS_DATOS!$C$1511))+((CROQUIS_DATOS!$C$1476)*CROQUIS_DATOS!$C$1561-(0)*CROQUIS_DATOS!$C$1561))/CROQUIS_DATOS!$C$1568-0.000001)),1,MOD($A129-1,2)),1-IF(INT(($A129-1)/2)+1&gt;MAX(1,INT(((((CROQUIS_DATOS!$C$1511+CROQUIS_DATOS!$C$1512))-(CROQUIS_DATOS!$C$1511))+((CROQUIS_DATOS!$C$1476)*CROQUIS_DATOS!$C$1561-(0)*CROQUIS_DATOS!$C$1561))/CROQUIS_DATOS!$C$1568-0.000001)),1,MOD($A129-1,2)))=1,MIN((CROQUIS_DATOS!$C$1476)*CROQUIS_DATOS!$C$1561,((CROQUIS_DATOS!$C$1511+CROQUIS_DATOS!$C$1512)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29">
        <f>IF(AND(CROQUIS_DATOS!$C$1472=1,CROQUIS_DATOS!$C$1512&gt;0,((CROQUIS_DATOS!$C$1511+CROQUIS_DATOS!$C$1512))-(CROQUIS_DATOS!$C$1511)&gt;0.5,(CROQUIS_DATOS!$C$1476)-(0)&gt;0.5),(CROQUIS_DATOS!$C$1567+(IF(IF(MOD(MIN(INT(($A129-1)/2)+1,MAX(1,INT(((((CROQUIS_DATOS!$C$1511+CROQUIS_DATOS!$C$1512))-(CROQUIS_DATOS!$C$1511))+((CROQUIS_DATOS!$C$1476)*CROQUIS_DATOS!$C$1561-(0)*CROQUIS_DATOS!$C$1561))/CROQUIS_DATOS!$C$1568-0.000001))),2)=1,IF(INT(($A129-1)/2)+1&gt;MAX(1,INT(((((CROQUIS_DATOS!$C$1511+CROQUIS_DATOS!$C$1512))-(CROQUIS_DATOS!$C$1511))+((CROQUIS_DATOS!$C$1476)*CROQUIS_DATOS!$C$1561-(0)*CROQUIS_DATOS!$C$1561))/CROQUIS_DATOS!$C$1568-0.000001)),1,MOD($A129-1,2)),1-IF(INT(($A129-1)/2)+1&gt;MAX(1,INT(((((CROQUIS_DATOS!$C$1511+CROQUIS_DATOS!$C$1512))-(CROQUIS_DATOS!$C$1511))+((CROQUIS_DATOS!$C$1476)*CROQUIS_DATOS!$C$1561-(0)*CROQUIS_DATOS!$C$1561))/CROQUIS_DATOS!$C$1568-0.000001)),1,MOD($A129-1,2)))=1,MIN((CROQUIS_DATOS!$C$1476)*CROQUIS_DATOS!$C$1561,((CROQUIS_DATOS!$C$1511+CROQUIS_DATOS!$C$1512)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129-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29">
        <f>IF(AND(CROQUIS_DATOS!$C$1472=1,CROQUIS_DATOS!$C$1516&gt;0,((CROQUIS_DATOS!$C$1515+CROQUIS_DATOS!$C$1516))-(CROQUIS_DATOS!$C$1515)&gt;0.5,(CROQUIS_DATOS!$C$1476)-(0)&gt;0.5),(CROQUIS_DATOS!$C$1566+(IF(IF(MOD(MIN(INT(($A129-1)/2)+1,MAX(1,INT(((((CROQUIS_DATOS!$C$1515+CROQUIS_DATOS!$C$1516))-(CROQUIS_DATOS!$C$1515))+((CROQUIS_DATOS!$C$1476)*CROQUIS_DATOS!$C$1561-(0)*CROQUIS_DATOS!$C$1561))/CROQUIS_DATOS!$C$1568-0.000001))),2)=1,IF(INT(($A129-1)/2)+1&gt;MAX(1,INT(((((CROQUIS_DATOS!$C$1515+CROQUIS_DATOS!$C$1516))-(CROQUIS_DATOS!$C$1515))+((CROQUIS_DATOS!$C$1476)*CROQUIS_DATOS!$C$1561-(0)*CROQUIS_DATOS!$C$1561))/CROQUIS_DATOS!$C$1568-0.000001)),1,MOD($A129-1,2)),1-IF(INT(($A129-1)/2)+1&gt;MAX(1,INT(((((CROQUIS_DATOS!$C$1515+CROQUIS_DATOS!$C$1516))-(CROQUIS_DATOS!$C$1515))+((CROQUIS_DATOS!$C$1476)*CROQUIS_DATOS!$C$1561-(0)*CROQUIS_DATOS!$C$1561))/CROQUIS_DATOS!$C$1568-0.000001)),1,MOD($A129-1,2)))=1,MIN((CROQUIS_DATOS!$C$1476)*CROQUIS_DATOS!$C$1561,((CROQUIS_DATOS!$C$1515+CROQUIS_DATOS!$C$1516)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29">
        <f>IF(AND(CROQUIS_DATOS!$C$1472=1,CROQUIS_DATOS!$C$1516&gt;0,((CROQUIS_DATOS!$C$1515+CROQUIS_DATOS!$C$1516))-(CROQUIS_DATOS!$C$1515)&gt;0.5,(CROQUIS_DATOS!$C$1476)-(0)&gt;0.5),(CROQUIS_DATOS!$C$1567+(IF(IF(MOD(MIN(INT(($A129-1)/2)+1,MAX(1,INT(((((CROQUIS_DATOS!$C$1515+CROQUIS_DATOS!$C$1516))-(CROQUIS_DATOS!$C$1515))+((CROQUIS_DATOS!$C$1476)*CROQUIS_DATOS!$C$1561-(0)*CROQUIS_DATOS!$C$1561))/CROQUIS_DATOS!$C$1568-0.000001))),2)=1,IF(INT(($A129-1)/2)+1&gt;MAX(1,INT(((((CROQUIS_DATOS!$C$1515+CROQUIS_DATOS!$C$1516))-(CROQUIS_DATOS!$C$1515))+((CROQUIS_DATOS!$C$1476)*CROQUIS_DATOS!$C$1561-(0)*CROQUIS_DATOS!$C$1561))/CROQUIS_DATOS!$C$1568-0.000001)),1,MOD($A129-1,2)),1-IF(INT(($A129-1)/2)+1&gt;MAX(1,INT(((((CROQUIS_DATOS!$C$1515+CROQUIS_DATOS!$C$1516))-(CROQUIS_DATOS!$C$1515))+((CROQUIS_DATOS!$C$1476)*CROQUIS_DATOS!$C$1561-(0)*CROQUIS_DATOS!$C$1561))/CROQUIS_DATOS!$C$1568-0.000001)),1,MOD($A129-1,2)))=1,MIN((CROQUIS_DATOS!$C$1476)*CROQUIS_DATOS!$C$1561,((CROQUIS_DATOS!$C$1515+CROQUIS_DATOS!$C$1516)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129-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29">
        <f>IF(AND(CROQUIS_DATOS!$C$1472=1,CROQUIS_DATOS!$C$1478&gt;=1,((CROQUIS_DATOS!$C$1479+CROQUIS_DATOS!$C$1480))-(CROQUIS_DATOS!$C$1479)&gt;0.5,(CROQUIS_DATOS!$C$1481)-(0)&gt;0.5),(CROQUIS_DATOS!$C$1566+(IF(IF(MOD(MIN(INT(($A129-1)/2)+1,MAX(1,INT(((((CROQUIS_DATOS!$C$1479+CROQUIS_DATOS!$C$1480))-(CROQUIS_DATOS!$C$1479))+((CROQUIS_DATOS!$C$1481)*CROQUIS_DATOS!$C$1561-(0)*CROQUIS_DATOS!$C$1561))/CROQUIS_DATOS!$C$1568-0.000001))),2)=1,IF(INT(($A129-1)/2)+1&gt;MAX(1,INT(((((CROQUIS_DATOS!$C$1479+CROQUIS_DATOS!$C$1480))-(CROQUIS_DATOS!$C$1479))+((CROQUIS_DATOS!$C$1481)*CROQUIS_DATOS!$C$1561-(0)*CROQUIS_DATOS!$C$1561))/CROQUIS_DATOS!$C$1568-0.000001)),1,MOD($A129-1,2)),1-IF(INT(($A129-1)/2)+1&gt;MAX(1,INT(((((CROQUIS_DATOS!$C$1479+CROQUIS_DATOS!$C$1480))-(CROQUIS_DATOS!$C$1479))+((CROQUIS_DATOS!$C$1481)*CROQUIS_DATOS!$C$1561-(0)*CROQUIS_DATOS!$C$1561))/CROQUIS_DATOS!$C$1568-0.000001)),1,MOD($A129-1,2)))=1,MIN((CROQUIS_DATOS!$C$1481)*CROQUIS_DATOS!$C$1561,((CROQUIS_DATOS!$C$1479+CROQUIS_DATOS!$C$1480)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29">
        <f>IF(AND(CROQUIS_DATOS!$C$1472=1,CROQUIS_DATOS!$C$1478&gt;=1,((CROQUIS_DATOS!$C$1479+CROQUIS_DATOS!$C$1480))-(CROQUIS_DATOS!$C$1479)&gt;0.5,(CROQUIS_DATOS!$C$1481)-(0)&gt;0.5),(CROQUIS_DATOS!$C$1567+(IF(IF(MOD(MIN(INT(($A129-1)/2)+1,MAX(1,INT(((((CROQUIS_DATOS!$C$1479+CROQUIS_DATOS!$C$1480))-(CROQUIS_DATOS!$C$1479))+((CROQUIS_DATOS!$C$1481)*CROQUIS_DATOS!$C$1561-(0)*CROQUIS_DATOS!$C$1561))/CROQUIS_DATOS!$C$1568-0.000001))),2)=1,IF(INT(($A129-1)/2)+1&gt;MAX(1,INT(((((CROQUIS_DATOS!$C$1479+CROQUIS_DATOS!$C$1480))-(CROQUIS_DATOS!$C$1479))+((CROQUIS_DATOS!$C$1481)*CROQUIS_DATOS!$C$1561-(0)*CROQUIS_DATOS!$C$1561))/CROQUIS_DATOS!$C$1568-0.000001)),1,MOD($A129-1,2)),1-IF(INT(($A129-1)/2)+1&gt;MAX(1,INT(((((CROQUIS_DATOS!$C$1479+CROQUIS_DATOS!$C$1480))-(CROQUIS_DATOS!$C$1479))+((CROQUIS_DATOS!$C$1481)*CROQUIS_DATOS!$C$1561-(0)*CROQUIS_DATOS!$C$1561))/CROQUIS_DATOS!$C$1568-0.000001)),1,MOD($A129-1,2)))=1,MIN((CROQUIS_DATOS!$C$1481)*CROQUIS_DATOS!$C$1561,((CROQUIS_DATOS!$C$1479+CROQUIS_DATOS!$C$1480)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129-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29">
        <f>IF(AND(CROQUIS_DATOS!$C$1472=1,CROQUIS_DATOS!$C$1478&gt;=1,((CROQUIS_DATOS!$C$1479+CROQUIS_DATOS!$C$1480))-(CROQUIS_DATOS!$C$1479)&gt;0.5,(CROQUIS_DATOS!$C$1476)-((CROQUIS_DATOS!$C$1481+CROQUIS_DATOS!$C$1482))&gt;0.5),(CROQUIS_DATOS!$C$1566+(IF(IF(MOD(MIN(INT(($A129-1)/2)+1,MAX(1,INT(((((CROQUIS_DATOS!$C$1479+CROQUIS_DATOS!$C$1480))-(CROQUIS_DATOS!$C$1479))+((CROQUIS_DATOS!$C$1476)*CROQUIS_DATOS!$C$1561-((CROQUIS_DATOS!$C$1481+CROQUIS_DATOS!$C$1482))*CROQUIS_DATOS!$C$1561))/CROQUIS_DATOS!$C$1568-0.000001))),2)=1,IF(INT(($A129-1)/2)+1&gt;MAX(1,INT(((((CROQUIS_DATOS!$C$1479+CROQUIS_DATOS!$C$1480))-(CROQUIS_DATOS!$C$1479))+((CROQUIS_DATOS!$C$1476)*CROQUIS_DATOS!$C$1561-((CROQUIS_DATOS!$C$1481+CROQUIS_DATOS!$C$1482))*CROQUIS_DATOS!$C$1561))/CROQUIS_DATOS!$C$1568-0.000001)),1,MOD($A129-1,2)),1-IF(INT(($A129-1)/2)+1&gt;MAX(1,INT(((((CROQUIS_DATOS!$C$1479+CROQUIS_DATOS!$C$1480))-(CROQUIS_DATOS!$C$1479))+((CROQUIS_DATOS!$C$1476)*CROQUIS_DATOS!$C$1561-((CROQUIS_DATOS!$C$1481+CROQUIS_DATOS!$C$1482))*CROQUIS_DATOS!$C$1561))/CROQUIS_DATOS!$C$1568-0.000001)),1,MOD($A129-1,2)))=1,MIN((CROQUIS_DATOS!$C$1476)*CROQUIS_DATOS!$C$1561,((CROQUIS_DATOS!$C$1479+CROQUIS_DATOS!$C$1480)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29">
        <f>IF(AND(CROQUIS_DATOS!$C$1472=1,CROQUIS_DATOS!$C$1478&gt;=1,((CROQUIS_DATOS!$C$1479+CROQUIS_DATOS!$C$1480))-(CROQUIS_DATOS!$C$1479)&gt;0.5,(CROQUIS_DATOS!$C$1476)-((CROQUIS_DATOS!$C$1481+CROQUIS_DATOS!$C$1482))&gt;0.5),(CROQUIS_DATOS!$C$1567+(IF(IF(MOD(MIN(INT(($A129-1)/2)+1,MAX(1,INT(((((CROQUIS_DATOS!$C$1479+CROQUIS_DATOS!$C$1480))-(CROQUIS_DATOS!$C$1479))+((CROQUIS_DATOS!$C$1476)*CROQUIS_DATOS!$C$1561-((CROQUIS_DATOS!$C$1481+CROQUIS_DATOS!$C$1482))*CROQUIS_DATOS!$C$1561))/CROQUIS_DATOS!$C$1568-0.000001))),2)=1,IF(INT(($A129-1)/2)+1&gt;MAX(1,INT(((((CROQUIS_DATOS!$C$1479+CROQUIS_DATOS!$C$1480))-(CROQUIS_DATOS!$C$1479))+((CROQUIS_DATOS!$C$1476)*CROQUIS_DATOS!$C$1561-((CROQUIS_DATOS!$C$1481+CROQUIS_DATOS!$C$1482))*CROQUIS_DATOS!$C$1561))/CROQUIS_DATOS!$C$1568-0.000001)),1,MOD($A129-1,2)),1-IF(INT(($A129-1)/2)+1&gt;MAX(1,INT(((((CROQUIS_DATOS!$C$1479+CROQUIS_DATOS!$C$1480))-(CROQUIS_DATOS!$C$1479))+((CROQUIS_DATOS!$C$1476)*CROQUIS_DATOS!$C$1561-((CROQUIS_DATOS!$C$1481+CROQUIS_DATOS!$C$1482))*CROQUIS_DATOS!$C$1561))/CROQUIS_DATOS!$C$1568-0.000001)),1,MOD($A129-1,2)))=1,MIN((CROQUIS_DATOS!$C$1476)*CROQUIS_DATOS!$C$1561,((CROQUIS_DATOS!$C$1479+CROQUIS_DATOS!$C$1480)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129-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29">
        <f>IF(AND(CROQUIS_DATOS!$C$1472=1,CROQUIS_DATOS!$C$1478&gt;=2,((CROQUIS_DATOS!$C$1484+CROQUIS_DATOS!$C$1485))-(CROQUIS_DATOS!$C$1484)&gt;0.5,(CROQUIS_DATOS!$C$1486)-(0)&gt;0.5),(CROQUIS_DATOS!$C$1566+(IF(IF(MOD(MIN(INT(($A129-1)/2)+1,MAX(1,INT(((((CROQUIS_DATOS!$C$1484+CROQUIS_DATOS!$C$1485))-(CROQUIS_DATOS!$C$1484))+((CROQUIS_DATOS!$C$1486)*CROQUIS_DATOS!$C$1561-(0)*CROQUIS_DATOS!$C$1561))/CROQUIS_DATOS!$C$1568-0.000001))),2)=1,IF(INT(($A129-1)/2)+1&gt;MAX(1,INT(((((CROQUIS_DATOS!$C$1484+CROQUIS_DATOS!$C$1485))-(CROQUIS_DATOS!$C$1484))+((CROQUIS_DATOS!$C$1486)*CROQUIS_DATOS!$C$1561-(0)*CROQUIS_DATOS!$C$1561))/CROQUIS_DATOS!$C$1568-0.000001)),1,MOD($A129-1,2)),1-IF(INT(($A129-1)/2)+1&gt;MAX(1,INT(((((CROQUIS_DATOS!$C$1484+CROQUIS_DATOS!$C$1485))-(CROQUIS_DATOS!$C$1484))+((CROQUIS_DATOS!$C$1486)*CROQUIS_DATOS!$C$1561-(0)*CROQUIS_DATOS!$C$1561))/CROQUIS_DATOS!$C$1568-0.000001)),1,MOD($A129-1,2)))=1,MIN((CROQUIS_DATOS!$C$1486)*CROQUIS_DATOS!$C$1561,((CROQUIS_DATOS!$C$1484+CROQUIS_DATOS!$C$1485)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29">
        <f>IF(AND(CROQUIS_DATOS!$C$1472=1,CROQUIS_DATOS!$C$1478&gt;=2,((CROQUIS_DATOS!$C$1484+CROQUIS_DATOS!$C$1485))-(CROQUIS_DATOS!$C$1484)&gt;0.5,(CROQUIS_DATOS!$C$1486)-(0)&gt;0.5),(CROQUIS_DATOS!$C$1567+(IF(IF(MOD(MIN(INT(($A129-1)/2)+1,MAX(1,INT(((((CROQUIS_DATOS!$C$1484+CROQUIS_DATOS!$C$1485))-(CROQUIS_DATOS!$C$1484))+((CROQUIS_DATOS!$C$1486)*CROQUIS_DATOS!$C$1561-(0)*CROQUIS_DATOS!$C$1561))/CROQUIS_DATOS!$C$1568-0.000001))),2)=1,IF(INT(($A129-1)/2)+1&gt;MAX(1,INT(((((CROQUIS_DATOS!$C$1484+CROQUIS_DATOS!$C$1485))-(CROQUIS_DATOS!$C$1484))+((CROQUIS_DATOS!$C$1486)*CROQUIS_DATOS!$C$1561-(0)*CROQUIS_DATOS!$C$1561))/CROQUIS_DATOS!$C$1568-0.000001)),1,MOD($A129-1,2)),1-IF(INT(($A129-1)/2)+1&gt;MAX(1,INT(((((CROQUIS_DATOS!$C$1484+CROQUIS_DATOS!$C$1485))-(CROQUIS_DATOS!$C$1484))+((CROQUIS_DATOS!$C$1486)*CROQUIS_DATOS!$C$1561-(0)*CROQUIS_DATOS!$C$1561))/CROQUIS_DATOS!$C$1568-0.000001)),1,MOD($A129-1,2)))=1,MIN((CROQUIS_DATOS!$C$1486)*CROQUIS_DATOS!$C$1561,((CROQUIS_DATOS!$C$1484+CROQUIS_DATOS!$C$1485)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129-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29">
        <f>IF(AND(CROQUIS_DATOS!$C$1472=1,CROQUIS_DATOS!$C$1478&gt;=2,((CROQUIS_DATOS!$C$1484+CROQUIS_DATOS!$C$1485))-(CROQUIS_DATOS!$C$1484)&gt;0.5,(CROQUIS_DATOS!$C$1476)-((CROQUIS_DATOS!$C$1486+CROQUIS_DATOS!$C$1487))&gt;0.5),(CROQUIS_DATOS!$C$1566+(IF(IF(MOD(MIN(INT(($A129-1)/2)+1,MAX(1,INT(((((CROQUIS_DATOS!$C$1484+CROQUIS_DATOS!$C$1485))-(CROQUIS_DATOS!$C$1484))+((CROQUIS_DATOS!$C$1476)*CROQUIS_DATOS!$C$1561-((CROQUIS_DATOS!$C$1486+CROQUIS_DATOS!$C$1487))*CROQUIS_DATOS!$C$1561))/CROQUIS_DATOS!$C$1568-0.000001))),2)=1,IF(INT(($A129-1)/2)+1&gt;MAX(1,INT(((((CROQUIS_DATOS!$C$1484+CROQUIS_DATOS!$C$1485))-(CROQUIS_DATOS!$C$1484))+((CROQUIS_DATOS!$C$1476)*CROQUIS_DATOS!$C$1561-((CROQUIS_DATOS!$C$1486+CROQUIS_DATOS!$C$1487))*CROQUIS_DATOS!$C$1561))/CROQUIS_DATOS!$C$1568-0.000001)),1,MOD($A129-1,2)),1-IF(INT(($A129-1)/2)+1&gt;MAX(1,INT(((((CROQUIS_DATOS!$C$1484+CROQUIS_DATOS!$C$1485))-(CROQUIS_DATOS!$C$1484))+((CROQUIS_DATOS!$C$1476)*CROQUIS_DATOS!$C$1561-((CROQUIS_DATOS!$C$1486+CROQUIS_DATOS!$C$1487))*CROQUIS_DATOS!$C$1561))/CROQUIS_DATOS!$C$1568-0.000001)),1,MOD($A129-1,2)))=1,MIN((CROQUIS_DATOS!$C$1476)*CROQUIS_DATOS!$C$1561,((CROQUIS_DATOS!$C$1484+CROQUIS_DATOS!$C$1485)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29">
        <f>IF(AND(CROQUIS_DATOS!$C$1472=1,CROQUIS_DATOS!$C$1478&gt;=2,((CROQUIS_DATOS!$C$1484+CROQUIS_DATOS!$C$1485))-(CROQUIS_DATOS!$C$1484)&gt;0.5,(CROQUIS_DATOS!$C$1476)-((CROQUIS_DATOS!$C$1486+CROQUIS_DATOS!$C$1487))&gt;0.5),(CROQUIS_DATOS!$C$1567+(IF(IF(MOD(MIN(INT(($A129-1)/2)+1,MAX(1,INT(((((CROQUIS_DATOS!$C$1484+CROQUIS_DATOS!$C$1485))-(CROQUIS_DATOS!$C$1484))+((CROQUIS_DATOS!$C$1476)*CROQUIS_DATOS!$C$1561-((CROQUIS_DATOS!$C$1486+CROQUIS_DATOS!$C$1487))*CROQUIS_DATOS!$C$1561))/CROQUIS_DATOS!$C$1568-0.000001))),2)=1,IF(INT(($A129-1)/2)+1&gt;MAX(1,INT(((((CROQUIS_DATOS!$C$1484+CROQUIS_DATOS!$C$1485))-(CROQUIS_DATOS!$C$1484))+((CROQUIS_DATOS!$C$1476)*CROQUIS_DATOS!$C$1561-((CROQUIS_DATOS!$C$1486+CROQUIS_DATOS!$C$1487))*CROQUIS_DATOS!$C$1561))/CROQUIS_DATOS!$C$1568-0.000001)),1,MOD($A129-1,2)),1-IF(INT(($A129-1)/2)+1&gt;MAX(1,INT(((((CROQUIS_DATOS!$C$1484+CROQUIS_DATOS!$C$1485))-(CROQUIS_DATOS!$C$1484))+((CROQUIS_DATOS!$C$1476)*CROQUIS_DATOS!$C$1561-((CROQUIS_DATOS!$C$1486+CROQUIS_DATOS!$C$1487))*CROQUIS_DATOS!$C$1561))/CROQUIS_DATOS!$C$1568-0.000001)),1,MOD($A129-1,2)))=1,MIN((CROQUIS_DATOS!$C$1476)*CROQUIS_DATOS!$C$1561,((CROQUIS_DATOS!$C$1484+CROQUIS_DATOS!$C$1485)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129-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29">
        <f>IF(AND(CROQUIS_DATOS!$C$1472=1,CROQUIS_DATOS!$C$1478&gt;=3,((CROQUIS_DATOS!$C$1489+CROQUIS_DATOS!$C$1490))-(CROQUIS_DATOS!$C$1489)&gt;0.5,(CROQUIS_DATOS!$C$1491)-(0)&gt;0.5),(CROQUIS_DATOS!$C$1566+(IF(IF(MOD(MIN(INT(($A129-1)/2)+1,MAX(1,INT(((((CROQUIS_DATOS!$C$1489+CROQUIS_DATOS!$C$1490))-(CROQUIS_DATOS!$C$1489))+((CROQUIS_DATOS!$C$1491)*CROQUIS_DATOS!$C$1561-(0)*CROQUIS_DATOS!$C$1561))/CROQUIS_DATOS!$C$1568-0.000001))),2)=1,IF(INT(($A129-1)/2)+1&gt;MAX(1,INT(((((CROQUIS_DATOS!$C$1489+CROQUIS_DATOS!$C$1490))-(CROQUIS_DATOS!$C$1489))+((CROQUIS_DATOS!$C$1491)*CROQUIS_DATOS!$C$1561-(0)*CROQUIS_DATOS!$C$1561))/CROQUIS_DATOS!$C$1568-0.000001)),1,MOD($A129-1,2)),1-IF(INT(($A129-1)/2)+1&gt;MAX(1,INT(((((CROQUIS_DATOS!$C$1489+CROQUIS_DATOS!$C$1490))-(CROQUIS_DATOS!$C$1489))+((CROQUIS_DATOS!$C$1491)*CROQUIS_DATOS!$C$1561-(0)*CROQUIS_DATOS!$C$1561))/CROQUIS_DATOS!$C$1568-0.000001)),1,MOD($A129-1,2)))=1,MIN((CROQUIS_DATOS!$C$1491)*CROQUIS_DATOS!$C$1561,((CROQUIS_DATOS!$C$1489+CROQUIS_DATOS!$C$1490)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29">
        <f>IF(AND(CROQUIS_DATOS!$C$1472=1,CROQUIS_DATOS!$C$1478&gt;=3,((CROQUIS_DATOS!$C$1489+CROQUIS_DATOS!$C$1490))-(CROQUIS_DATOS!$C$1489)&gt;0.5,(CROQUIS_DATOS!$C$1491)-(0)&gt;0.5),(CROQUIS_DATOS!$C$1567+(IF(IF(MOD(MIN(INT(($A129-1)/2)+1,MAX(1,INT(((((CROQUIS_DATOS!$C$1489+CROQUIS_DATOS!$C$1490))-(CROQUIS_DATOS!$C$1489))+((CROQUIS_DATOS!$C$1491)*CROQUIS_DATOS!$C$1561-(0)*CROQUIS_DATOS!$C$1561))/CROQUIS_DATOS!$C$1568-0.000001))),2)=1,IF(INT(($A129-1)/2)+1&gt;MAX(1,INT(((((CROQUIS_DATOS!$C$1489+CROQUIS_DATOS!$C$1490))-(CROQUIS_DATOS!$C$1489))+((CROQUIS_DATOS!$C$1491)*CROQUIS_DATOS!$C$1561-(0)*CROQUIS_DATOS!$C$1561))/CROQUIS_DATOS!$C$1568-0.000001)),1,MOD($A129-1,2)),1-IF(INT(($A129-1)/2)+1&gt;MAX(1,INT(((((CROQUIS_DATOS!$C$1489+CROQUIS_DATOS!$C$1490))-(CROQUIS_DATOS!$C$1489))+((CROQUIS_DATOS!$C$1491)*CROQUIS_DATOS!$C$1561-(0)*CROQUIS_DATOS!$C$1561))/CROQUIS_DATOS!$C$1568-0.000001)),1,MOD($A129-1,2)))=1,MIN((CROQUIS_DATOS!$C$1491)*CROQUIS_DATOS!$C$1561,((CROQUIS_DATOS!$C$1489+CROQUIS_DATOS!$C$1490)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129-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29">
        <f>IF(AND(CROQUIS_DATOS!$C$1472=1,CROQUIS_DATOS!$C$1478&gt;=3,((CROQUIS_DATOS!$C$1489+CROQUIS_DATOS!$C$1490))-(CROQUIS_DATOS!$C$1489)&gt;0.5,(CROQUIS_DATOS!$C$1476)-((CROQUIS_DATOS!$C$1491+CROQUIS_DATOS!$C$1492))&gt;0.5),(CROQUIS_DATOS!$C$1566+(IF(IF(MOD(MIN(INT(($A129-1)/2)+1,MAX(1,INT(((((CROQUIS_DATOS!$C$1489+CROQUIS_DATOS!$C$1490))-(CROQUIS_DATOS!$C$1489))+((CROQUIS_DATOS!$C$1476)*CROQUIS_DATOS!$C$1561-((CROQUIS_DATOS!$C$1491+CROQUIS_DATOS!$C$1492))*CROQUIS_DATOS!$C$1561))/CROQUIS_DATOS!$C$1568-0.000001))),2)=1,IF(INT(($A129-1)/2)+1&gt;MAX(1,INT(((((CROQUIS_DATOS!$C$1489+CROQUIS_DATOS!$C$1490))-(CROQUIS_DATOS!$C$1489))+((CROQUIS_DATOS!$C$1476)*CROQUIS_DATOS!$C$1561-((CROQUIS_DATOS!$C$1491+CROQUIS_DATOS!$C$1492))*CROQUIS_DATOS!$C$1561))/CROQUIS_DATOS!$C$1568-0.000001)),1,MOD($A129-1,2)),1-IF(INT(($A129-1)/2)+1&gt;MAX(1,INT(((((CROQUIS_DATOS!$C$1489+CROQUIS_DATOS!$C$1490))-(CROQUIS_DATOS!$C$1489))+((CROQUIS_DATOS!$C$1476)*CROQUIS_DATOS!$C$1561-((CROQUIS_DATOS!$C$1491+CROQUIS_DATOS!$C$1492))*CROQUIS_DATOS!$C$1561))/CROQUIS_DATOS!$C$1568-0.000001)),1,MOD($A129-1,2)))=1,MIN((CROQUIS_DATOS!$C$1476)*CROQUIS_DATOS!$C$1561,((CROQUIS_DATOS!$C$1489+CROQUIS_DATOS!$C$1490)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29">
        <f>IF(AND(CROQUIS_DATOS!$C$1472=1,CROQUIS_DATOS!$C$1478&gt;=3,((CROQUIS_DATOS!$C$1489+CROQUIS_DATOS!$C$1490))-(CROQUIS_DATOS!$C$1489)&gt;0.5,(CROQUIS_DATOS!$C$1476)-((CROQUIS_DATOS!$C$1491+CROQUIS_DATOS!$C$1492))&gt;0.5),(CROQUIS_DATOS!$C$1567+(IF(IF(MOD(MIN(INT(($A129-1)/2)+1,MAX(1,INT(((((CROQUIS_DATOS!$C$1489+CROQUIS_DATOS!$C$1490))-(CROQUIS_DATOS!$C$1489))+((CROQUIS_DATOS!$C$1476)*CROQUIS_DATOS!$C$1561-((CROQUIS_DATOS!$C$1491+CROQUIS_DATOS!$C$1492))*CROQUIS_DATOS!$C$1561))/CROQUIS_DATOS!$C$1568-0.000001))),2)=1,IF(INT(($A129-1)/2)+1&gt;MAX(1,INT(((((CROQUIS_DATOS!$C$1489+CROQUIS_DATOS!$C$1490))-(CROQUIS_DATOS!$C$1489))+((CROQUIS_DATOS!$C$1476)*CROQUIS_DATOS!$C$1561-((CROQUIS_DATOS!$C$1491+CROQUIS_DATOS!$C$1492))*CROQUIS_DATOS!$C$1561))/CROQUIS_DATOS!$C$1568-0.000001)),1,MOD($A129-1,2)),1-IF(INT(($A129-1)/2)+1&gt;MAX(1,INT(((((CROQUIS_DATOS!$C$1489+CROQUIS_DATOS!$C$1490))-(CROQUIS_DATOS!$C$1489))+((CROQUIS_DATOS!$C$1476)*CROQUIS_DATOS!$C$1561-((CROQUIS_DATOS!$C$1491+CROQUIS_DATOS!$C$1492))*CROQUIS_DATOS!$C$1561))/CROQUIS_DATOS!$C$1568-0.000001)),1,MOD($A129-1,2)))=1,MIN((CROQUIS_DATOS!$C$1476)*CROQUIS_DATOS!$C$1561,((CROQUIS_DATOS!$C$1489+CROQUIS_DATOS!$C$1490)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129-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29">
        <f>IF(AND(CROQUIS_DATOS!$C$1472=1,CROQUIS_DATOS!$C$1478&gt;=4,((CROQUIS_DATOS!$C$1494+CROQUIS_DATOS!$C$1495))-(CROQUIS_DATOS!$C$1494)&gt;0.5,(CROQUIS_DATOS!$C$1496)-(0)&gt;0.5),(CROQUIS_DATOS!$C$1566+(IF(IF(MOD(MIN(INT(($A129-1)/2)+1,MAX(1,INT(((((CROQUIS_DATOS!$C$1494+CROQUIS_DATOS!$C$1495))-(CROQUIS_DATOS!$C$1494))+((CROQUIS_DATOS!$C$1496)*CROQUIS_DATOS!$C$1561-(0)*CROQUIS_DATOS!$C$1561))/CROQUIS_DATOS!$C$1568-0.000001))),2)=1,IF(INT(($A129-1)/2)+1&gt;MAX(1,INT(((((CROQUIS_DATOS!$C$1494+CROQUIS_DATOS!$C$1495))-(CROQUIS_DATOS!$C$1494))+((CROQUIS_DATOS!$C$1496)*CROQUIS_DATOS!$C$1561-(0)*CROQUIS_DATOS!$C$1561))/CROQUIS_DATOS!$C$1568-0.000001)),1,MOD($A129-1,2)),1-IF(INT(($A129-1)/2)+1&gt;MAX(1,INT(((((CROQUIS_DATOS!$C$1494+CROQUIS_DATOS!$C$1495))-(CROQUIS_DATOS!$C$1494))+((CROQUIS_DATOS!$C$1496)*CROQUIS_DATOS!$C$1561-(0)*CROQUIS_DATOS!$C$1561))/CROQUIS_DATOS!$C$1568-0.000001)),1,MOD($A129-1,2)))=1,MIN((CROQUIS_DATOS!$C$1496)*CROQUIS_DATOS!$C$1561,((CROQUIS_DATOS!$C$1494+CROQUIS_DATOS!$C$1495)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29">
        <f>IF(AND(CROQUIS_DATOS!$C$1472=1,CROQUIS_DATOS!$C$1478&gt;=4,((CROQUIS_DATOS!$C$1494+CROQUIS_DATOS!$C$1495))-(CROQUIS_DATOS!$C$1494)&gt;0.5,(CROQUIS_DATOS!$C$1496)-(0)&gt;0.5),(CROQUIS_DATOS!$C$1567+(IF(IF(MOD(MIN(INT(($A129-1)/2)+1,MAX(1,INT(((((CROQUIS_DATOS!$C$1494+CROQUIS_DATOS!$C$1495))-(CROQUIS_DATOS!$C$1494))+((CROQUIS_DATOS!$C$1496)*CROQUIS_DATOS!$C$1561-(0)*CROQUIS_DATOS!$C$1561))/CROQUIS_DATOS!$C$1568-0.000001))),2)=1,IF(INT(($A129-1)/2)+1&gt;MAX(1,INT(((((CROQUIS_DATOS!$C$1494+CROQUIS_DATOS!$C$1495))-(CROQUIS_DATOS!$C$1494))+((CROQUIS_DATOS!$C$1496)*CROQUIS_DATOS!$C$1561-(0)*CROQUIS_DATOS!$C$1561))/CROQUIS_DATOS!$C$1568-0.000001)),1,MOD($A129-1,2)),1-IF(INT(($A129-1)/2)+1&gt;MAX(1,INT(((((CROQUIS_DATOS!$C$1494+CROQUIS_DATOS!$C$1495))-(CROQUIS_DATOS!$C$1494))+((CROQUIS_DATOS!$C$1496)*CROQUIS_DATOS!$C$1561-(0)*CROQUIS_DATOS!$C$1561))/CROQUIS_DATOS!$C$1568-0.000001)),1,MOD($A129-1,2)))=1,MIN((CROQUIS_DATOS!$C$1496)*CROQUIS_DATOS!$C$1561,((CROQUIS_DATOS!$C$1494+CROQUIS_DATOS!$C$1495)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129-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29">
        <f>IF(AND(CROQUIS_DATOS!$C$1472=1,CROQUIS_DATOS!$C$1478&gt;=4,((CROQUIS_DATOS!$C$1494+CROQUIS_DATOS!$C$1495))-(CROQUIS_DATOS!$C$1494)&gt;0.5,(CROQUIS_DATOS!$C$1476)-((CROQUIS_DATOS!$C$1496+CROQUIS_DATOS!$C$1497))&gt;0.5),(CROQUIS_DATOS!$C$1566+(IF(IF(MOD(MIN(INT(($A129-1)/2)+1,MAX(1,INT(((((CROQUIS_DATOS!$C$1494+CROQUIS_DATOS!$C$1495))-(CROQUIS_DATOS!$C$1494))+((CROQUIS_DATOS!$C$1476)*CROQUIS_DATOS!$C$1561-((CROQUIS_DATOS!$C$1496+CROQUIS_DATOS!$C$1497))*CROQUIS_DATOS!$C$1561))/CROQUIS_DATOS!$C$1568-0.000001))),2)=1,IF(INT(($A129-1)/2)+1&gt;MAX(1,INT(((((CROQUIS_DATOS!$C$1494+CROQUIS_DATOS!$C$1495))-(CROQUIS_DATOS!$C$1494))+((CROQUIS_DATOS!$C$1476)*CROQUIS_DATOS!$C$1561-((CROQUIS_DATOS!$C$1496+CROQUIS_DATOS!$C$1497))*CROQUIS_DATOS!$C$1561))/CROQUIS_DATOS!$C$1568-0.000001)),1,MOD($A129-1,2)),1-IF(INT(($A129-1)/2)+1&gt;MAX(1,INT(((((CROQUIS_DATOS!$C$1494+CROQUIS_DATOS!$C$1495))-(CROQUIS_DATOS!$C$1494))+((CROQUIS_DATOS!$C$1476)*CROQUIS_DATOS!$C$1561-((CROQUIS_DATOS!$C$1496+CROQUIS_DATOS!$C$1497))*CROQUIS_DATOS!$C$1561))/CROQUIS_DATOS!$C$1568-0.000001)),1,MOD($A129-1,2)))=1,MIN((CROQUIS_DATOS!$C$1476)*CROQUIS_DATOS!$C$1561,((CROQUIS_DATOS!$C$1494+CROQUIS_DATOS!$C$1495)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29">
        <f>IF(AND(CROQUIS_DATOS!$C$1472=1,CROQUIS_DATOS!$C$1478&gt;=4,((CROQUIS_DATOS!$C$1494+CROQUIS_DATOS!$C$1495))-(CROQUIS_DATOS!$C$1494)&gt;0.5,(CROQUIS_DATOS!$C$1476)-((CROQUIS_DATOS!$C$1496+CROQUIS_DATOS!$C$1497))&gt;0.5),(CROQUIS_DATOS!$C$1567+(IF(IF(MOD(MIN(INT(($A129-1)/2)+1,MAX(1,INT(((((CROQUIS_DATOS!$C$1494+CROQUIS_DATOS!$C$1495))-(CROQUIS_DATOS!$C$1494))+((CROQUIS_DATOS!$C$1476)*CROQUIS_DATOS!$C$1561-((CROQUIS_DATOS!$C$1496+CROQUIS_DATOS!$C$1497))*CROQUIS_DATOS!$C$1561))/CROQUIS_DATOS!$C$1568-0.000001))),2)=1,IF(INT(($A129-1)/2)+1&gt;MAX(1,INT(((((CROQUIS_DATOS!$C$1494+CROQUIS_DATOS!$C$1495))-(CROQUIS_DATOS!$C$1494))+((CROQUIS_DATOS!$C$1476)*CROQUIS_DATOS!$C$1561-((CROQUIS_DATOS!$C$1496+CROQUIS_DATOS!$C$1497))*CROQUIS_DATOS!$C$1561))/CROQUIS_DATOS!$C$1568-0.000001)),1,MOD($A129-1,2)),1-IF(INT(($A129-1)/2)+1&gt;MAX(1,INT(((((CROQUIS_DATOS!$C$1494+CROQUIS_DATOS!$C$1495))-(CROQUIS_DATOS!$C$1494))+((CROQUIS_DATOS!$C$1476)*CROQUIS_DATOS!$C$1561-((CROQUIS_DATOS!$C$1496+CROQUIS_DATOS!$C$1497))*CROQUIS_DATOS!$C$1561))/CROQUIS_DATOS!$C$1568-0.000001)),1,MOD($A129-1,2)))=1,MIN((CROQUIS_DATOS!$C$1476)*CROQUIS_DATOS!$C$1561,((CROQUIS_DATOS!$C$1494+CROQUIS_DATOS!$C$1495)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129-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0">
      <c r="A130" t="n">
        <v>123</v>
      </c>
      <c r="N130">
        <f>IF(AND(CROQUIS_DATOS!$C$1472=1,1),(CROQUIS_DATOS!$C$1563+(IF(IF(IF(INT(($A130-1)/70)+1&gt;CROQUIS_DATOS!$C$1525,70,MOD($A130-1,70)+1)=1,0,IF(IF(INT(($A130-1)/70)+1&gt;CROQUIS_DATOS!$C$1525,70,MOD($A130-1,70)+1)&gt;2*CROQUIS_DATOS!$C$1541+1,IF(MOD(CROQUIS_DATOS!$C$1541,2)=1,1,0),IF(MOD(MIN(INT((IF(INT(($A130-1)/70)+1&gt;CROQUIS_DATOS!$C$1525,70,MOD($A130-1,70)+1)-2)/2)+1,CROQUIS_DATOS!$C$1541),2)=1,IF(MOD(IF(INT(($A130-1)/70)+1&gt;CROQUIS_DATOS!$C$1525,70,MOD($A130-1,70)+1)-2,2)=0,0,1),IF(MOD(IF(INT(($A130-1)/70)+1&gt;CROQUIS_DATOS!$C$1525,70,MOD($A130-1,70)+1)-2,2)=0,1,0))))=0,(INDEX($E$8:$E$23,MIN(INT(($A130-1)/70)+1,CROQUIS_DATOS!$C$1525))-INDEX($F$8:$F$23,MIN(INT(($A130-1)/70)+1,CROQUIS_DATOS!$C$1525))/2),(INDEX($E$8:$E$23,MIN(INT(($A130-1)/70)+1,CROQUIS_DATOS!$C$1525))+INDEX($F$8:$F$23,MIN(INT(($A130-1)/70)+1,CROQUIS_DATOS!$C$1525))/2)))*CROQUIS_DATOS!$C$1562),-1000)</f>
        <v>18.5775862068965</v>
      </c>
      <c r="O130">
        <f>IF(AND(CROQUIS_DATOS!$C$1472=1,1),(CROQUIS_DATOS!$C$1564+(IF(OR(IF(INT(($A130-1)/70)+1&gt;CROQUIS_DATOS!$C$1525,70,MOD($A130-1,70)+1)=1,IF(INT(($A130-1)/70)+1&gt;CROQUIS_DATOS!$C$1525,70,MOD($A130-1,70)+1)&gt;2*CROQUIS_DATOS!$C$1541+1),CROQUIS_DATOS!$C$1476,INDEX($H$8:$H$41,MIN(INT((IF(INT(($A130-1)/70)+1&gt;CROQUIS_DATOS!$C$1525,70,MOD($A130-1,70)+1)-2)/2)+1,CROQUIS_DATOS!$C$1541))))*CROQUIS_DATOS!$C$1561*CROQUIS_DATOS!$C$1562),-1000)</f>
        <v>40.2068965517241</v>
      </c>
      <c r="P130">
        <f>IF(AND(CROQUIS_DATOS!$C$1472=1,CROQUIS_DATOS!$C$1555=1),(CROQUIS_DATOS!$C$1563+(IF(IF(OR(MOD($A130-1,62)+1=1,IF(CHOOSE(MIN(MAX(MIN(INT(($A130-1)/62)+1,5),1),5),CROQUIS_DATOS!$C$1501,CROQUIS_DATOS!$C$1505,CROQUIS_DATOS!$C$1509,CROQUIS_DATOS!$C$1513,CROQUIS_DATOS!$C$1517)=1,CROQUIS_DATOS!$C$1557,0)=0),0,IF(MOD($A130-1,62)+1&gt;2*IF(CHOOSE(MIN(MAX(MIN(INT(($A130-1)/62)+1,5),1),5),CROQUIS_DATOS!$C$1501,CROQUIS_DATOS!$C$1505,CROQUIS_DATOS!$C$1509,CROQUIS_DATOS!$C$1513,CROQUIS_DATOS!$C$1517)=1,CROQUIS_DATOS!$C$1557,0)+1,IF(MOD(IF(CHOOSE(MIN(MAX(MIN(INT(($A130-1)/62)+1,5),1),5),CROQUIS_DATOS!$C$1501,CROQUIS_DATOS!$C$1505,CROQUIS_DATOS!$C$1509,CROQUIS_DATOS!$C$1513,CROQUIS_DATOS!$C$1517)=1,CROQUIS_DATOS!$C$1557,0),2)=1,1,0),IF(MOD(MIN(INT((MOD($A130-1,62)+1-2)/2)+1,MAX(IF(CHOOSE(MIN(MAX(MIN(INT(($A130-1)/62)+1,5),1),5),CROQUIS_DATOS!$C$1501,CROQUIS_DATOS!$C$1505,CROQUIS_DATOS!$C$1509,CROQUIS_DATOS!$C$1513,CROQUIS_DATOS!$C$1517)=1,CROQUIS_DATOS!$C$1557,0),1)),2)=1,IF(MOD(MOD($A130-1,62)+1-2,2)=0,0,1),IF(MOD(MOD($A130-1,62)+1-2,2)=0,1,0))))=0,(CHOOSE(MIN(MAX(MIN(INT(($A130-1)/62)+1,5),1),5),CROQUIS_DATOS!$C$1499,CROQUIS_DATOS!$C$1503,CROQUIS_DATOS!$C$1507,CROQUIS_DATOS!$C$1511,CROQUIS_DATOS!$C$1515)+IF(CHOOSE(MIN(MAX(MIN(INT(($A130-1)/62)+1,5),1),5),CROQUIS_DATOS!$C$1501,CROQUIS_DATOS!$C$1505,CROQUIS_DATOS!$C$1509,CROQUIS_DATOS!$C$1513,CROQUIS_DATOS!$C$1517)=1,CROQUIS_DATOS!$C$1526,0)),(CHOOSE(MIN(MAX(MIN(INT(($A130-1)/62)+1,5),1),5),CROQUIS_DATOS!$C$1499,CROQUIS_DATOS!$C$1503,CROQUIS_DATOS!$C$1507,CROQUIS_DATOS!$C$1511,CROQUIS_DATOS!$C$1515)+CHOOSE(MIN(MAX(MIN(INT(($A130-1)/62)+1,5),1),5),CROQUIS_DATOS!$C$1500,CROQUIS_DATOS!$C$1504,CROQUIS_DATOS!$C$1508,CROQUIS_DATOS!$C$1512,CROQUIS_DATOS!$C$1516)-IF(CHOOSE(MIN(MAX(MIN(INT(($A130-1)/62)+1,5),1),5),CROQUIS_DATOS!$C$1501,CROQUIS_DATOS!$C$1505,CROQUIS_DATOS!$C$1509,CROQUIS_DATOS!$C$1513,CROQUIS_DATOS!$C$1517)=1,CROQUIS_DATOS!$C$1526,0))))*CROQUIS_DATOS!$C$1562),-1000)</f>
        <v>-1000</v>
      </c>
      <c r="Q130">
        <f>IF(AND(CROQUIS_DATOS!$C$1472=1,CROQUIS_DATOS!$C$1555=1),(CROQUIS_DATOS!$C$1564+(IF(OR(OR(MOD($A130-1,62)+1=1,IF(CHOOSE(MIN(MAX(MIN(INT(($A130-1)/62)+1,5),1),5),CROQUIS_DATOS!$C$1501,CROQUIS_DATOS!$C$1505,CROQUIS_DATOS!$C$1509,CROQUIS_DATOS!$C$1513,CROQUIS_DATOS!$C$1517)=1,CROQUIS_DATOS!$C$1557,0)=0),MOD($A130-1,62)+1&gt;2*IF(CHOOSE(MIN(MAX(MIN(INT(($A130-1)/62)+1,5),1),5),CROQUIS_DATOS!$C$1501,CROQUIS_DATOS!$C$1505,CROQUIS_DATOS!$C$1509,CROQUIS_DATOS!$C$1513,CROQUIS_DATOS!$C$1517)=1,CROQUIS_DATOS!$C$1557,0)+1),CROQUIS_DATOS!$C$1476,MIN(INT((MOD($A130-1,62)+1-2)/2)+1,MAX(IF(CHOOSE(MIN(MAX(MIN(INT(($A130-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0">
        <f>IF(AND(CROQUIS_DATOS!$C$1472=1,1),(CROQUIS_DATOS!$C$1563+(MIN(INT(($A130-1)/2)+1,CROQUIS_DATOS!$C$1558)*CROQUIS_DATOS!$C$1559)*CROQUIS_DATOS!$C$1562),-1000)</f>
        <v>82.2281167108753</v>
      </c>
      <c r="U130">
        <f>IF(AND(CROQUIS_DATOS!$C$1472=1,1),(CROQUIS_DATOS!$C$1564+(IF(INT(($A130-1)/2)+1&gt;CROQUIS_DATOS!$C$1558,IF(MOD(CROQUIS_DATOS!$C$1558,2)=1,CROQUIS_DATOS!$C$1476+CROQUIS_DATOS!$C$1528,CROQUIS_DATOS!$C$1476),IF(IF(MOD(MIN(INT(($A130-1)/2)+1,CROQUIS_DATOS!$C$1558),2)=1,MOD($A130-1,2),1-MOD($A130-1,2))=1,CROQUIS_DATOS!$C$1476+CROQUIS_DATOS!$C$1528,CROQUIS_DATOS!$C$1476)))*CROQUIS_DATOS!$C$1561*CROQUIS_DATOS!$C$1562),-1000)</f>
        <v>43</v>
      </c>
      <c r="BZ130">
        <f>IF(AND(CROQUIS_DATOS!$C$1472=1,CROQUIS_DATOS!$C$1500&gt;0,((CROQUIS_DATOS!$C$1499+CROQUIS_DATOS!$C$1500))-(CROQUIS_DATOS!$C$1499)&gt;0.5,(CROQUIS_DATOS!$C$1476)-(0)&gt;0.5),(CROQUIS_DATOS!$C$1566+(IF(IF(MOD(MIN(INT(($A130-1)/2)+1,MAX(1,INT(((((CROQUIS_DATOS!$C$1499+CROQUIS_DATOS!$C$1500))-(CROQUIS_DATOS!$C$1499))+((CROQUIS_DATOS!$C$1476)*CROQUIS_DATOS!$C$1561-(0)*CROQUIS_DATOS!$C$1561))/CROQUIS_DATOS!$C$1568-0.000001))),2)=1,IF(INT(($A130-1)/2)+1&gt;MAX(1,INT(((((CROQUIS_DATOS!$C$1499+CROQUIS_DATOS!$C$1500))-(CROQUIS_DATOS!$C$1499))+((CROQUIS_DATOS!$C$1476)*CROQUIS_DATOS!$C$1561-(0)*CROQUIS_DATOS!$C$1561))/CROQUIS_DATOS!$C$1568-0.000001)),1,MOD($A130-1,2)),1-IF(INT(($A130-1)/2)+1&gt;MAX(1,INT(((((CROQUIS_DATOS!$C$1499+CROQUIS_DATOS!$C$1500))-(CROQUIS_DATOS!$C$1499))+((CROQUIS_DATOS!$C$1476)*CROQUIS_DATOS!$C$1561-(0)*CROQUIS_DATOS!$C$1561))/CROQUIS_DATOS!$C$1568-0.000001)),1,MOD($A130-1,2)))=1,MIN((CROQUIS_DATOS!$C$1476)*CROQUIS_DATOS!$C$1561,((CROQUIS_DATOS!$C$1499+CROQUIS_DATOS!$C$1500)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0">
        <f>IF(AND(CROQUIS_DATOS!$C$1472=1,CROQUIS_DATOS!$C$1500&gt;0,((CROQUIS_DATOS!$C$1499+CROQUIS_DATOS!$C$1500))-(CROQUIS_DATOS!$C$1499)&gt;0.5,(CROQUIS_DATOS!$C$1476)-(0)&gt;0.5),(CROQUIS_DATOS!$C$1567+(IF(IF(MOD(MIN(INT(($A130-1)/2)+1,MAX(1,INT(((((CROQUIS_DATOS!$C$1499+CROQUIS_DATOS!$C$1500))-(CROQUIS_DATOS!$C$1499))+((CROQUIS_DATOS!$C$1476)*CROQUIS_DATOS!$C$1561-(0)*CROQUIS_DATOS!$C$1561))/CROQUIS_DATOS!$C$1568-0.000001))),2)=1,IF(INT(($A130-1)/2)+1&gt;MAX(1,INT(((((CROQUIS_DATOS!$C$1499+CROQUIS_DATOS!$C$1500))-(CROQUIS_DATOS!$C$1499))+((CROQUIS_DATOS!$C$1476)*CROQUIS_DATOS!$C$1561-(0)*CROQUIS_DATOS!$C$1561))/CROQUIS_DATOS!$C$1568-0.000001)),1,MOD($A130-1,2)),1-IF(INT(($A130-1)/2)+1&gt;MAX(1,INT(((((CROQUIS_DATOS!$C$1499+CROQUIS_DATOS!$C$1500))-(CROQUIS_DATOS!$C$1499))+((CROQUIS_DATOS!$C$1476)*CROQUIS_DATOS!$C$1561-(0)*CROQUIS_DATOS!$C$1561))/CROQUIS_DATOS!$C$1568-0.000001)),1,MOD($A130-1,2)))=1,MIN((CROQUIS_DATOS!$C$1476)*CROQUIS_DATOS!$C$1561,((CROQUIS_DATOS!$C$1499+CROQUIS_DATOS!$C$1500)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0">
        <f>IF(AND(CROQUIS_DATOS!$C$1472=1,CROQUIS_DATOS!$C$1504&gt;0,((CROQUIS_DATOS!$C$1503+CROQUIS_DATOS!$C$1504))-(CROQUIS_DATOS!$C$1503)&gt;0.5,(CROQUIS_DATOS!$C$1476)-(0)&gt;0.5),(CROQUIS_DATOS!$C$1566+(IF(IF(MOD(MIN(INT(($A130-1)/2)+1,MAX(1,INT(((((CROQUIS_DATOS!$C$1503+CROQUIS_DATOS!$C$1504))-(CROQUIS_DATOS!$C$1503))+((CROQUIS_DATOS!$C$1476)*CROQUIS_DATOS!$C$1561-(0)*CROQUIS_DATOS!$C$1561))/CROQUIS_DATOS!$C$1568-0.000001))),2)=1,IF(INT(($A130-1)/2)+1&gt;MAX(1,INT(((((CROQUIS_DATOS!$C$1503+CROQUIS_DATOS!$C$1504))-(CROQUIS_DATOS!$C$1503))+((CROQUIS_DATOS!$C$1476)*CROQUIS_DATOS!$C$1561-(0)*CROQUIS_DATOS!$C$1561))/CROQUIS_DATOS!$C$1568-0.000001)),1,MOD($A130-1,2)),1-IF(INT(($A130-1)/2)+1&gt;MAX(1,INT(((((CROQUIS_DATOS!$C$1503+CROQUIS_DATOS!$C$1504))-(CROQUIS_DATOS!$C$1503))+((CROQUIS_DATOS!$C$1476)*CROQUIS_DATOS!$C$1561-(0)*CROQUIS_DATOS!$C$1561))/CROQUIS_DATOS!$C$1568-0.000001)),1,MOD($A130-1,2)))=1,MIN((CROQUIS_DATOS!$C$1476)*CROQUIS_DATOS!$C$1561,((CROQUIS_DATOS!$C$1503+CROQUIS_DATOS!$C$1504)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0">
        <f>IF(AND(CROQUIS_DATOS!$C$1472=1,CROQUIS_DATOS!$C$1504&gt;0,((CROQUIS_DATOS!$C$1503+CROQUIS_DATOS!$C$1504))-(CROQUIS_DATOS!$C$1503)&gt;0.5,(CROQUIS_DATOS!$C$1476)-(0)&gt;0.5),(CROQUIS_DATOS!$C$1567+(IF(IF(MOD(MIN(INT(($A130-1)/2)+1,MAX(1,INT(((((CROQUIS_DATOS!$C$1503+CROQUIS_DATOS!$C$1504))-(CROQUIS_DATOS!$C$1503))+((CROQUIS_DATOS!$C$1476)*CROQUIS_DATOS!$C$1561-(0)*CROQUIS_DATOS!$C$1561))/CROQUIS_DATOS!$C$1568-0.000001))),2)=1,IF(INT(($A130-1)/2)+1&gt;MAX(1,INT(((((CROQUIS_DATOS!$C$1503+CROQUIS_DATOS!$C$1504))-(CROQUIS_DATOS!$C$1503))+((CROQUIS_DATOS!$C$1476)*CROQUIS_DATOS!$C$1561-(0)*CROQUIS_DATOS!$C$1561))/CROQUIS_DATOS!$C$1568-0.000001)),1,MOD($A130-1,2)),1-IF(INT(($A130-1)/2)+1&gt;MAX(1,INT(((((CROQUIS_DATOS!$C$1503+CROQUIS_DATOS!$C$1504))-(CROQUIS_DATOS!$C$1503))+((CROQUIS_DATOS!$C$1476)*CROQUIS_DATOS!$C$1561-(0)*CROQUIS_DATOS!$C$1561))/CROQUIS_DATOS!$C$1568-0.000001)),1,MOD($A130-1,2)))=1,MIN((CROQUIS_DATOS!$C$1476)*CROQUIS_DATOS!$C$1561,((CROQUIS_DATOS!$C$1503+CROQUIS_DATOS!$C$1504)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0">
        <f>IF(AND(CROQUIS_DATOS!$C$1472=1,CROQUIS_DATOS!$C$1508&gt;0,((CROQUIS_DATOS!$C$1507+CROQUIS_DATOS!$C$1508))-(CROQUIS_DATOS!$C$1507)&gt;0.5,(CROQUIS_DATOS!$C$1476)-(0)&gt;0.5),(CROQUIS_DATOS!$C$1566+(IF(IF(MOD(MIN(INT(($A130-1)/2)+1,MAX(1,INT(((((CROQUIS_DATOS!$C$1507+CROQUIS_DATOS!$C$1508))-(CROQUIS_DATOS!$C$1507))+((CROQUIS_DATOS!$C$1476)*CROQUIS_DATOS!$C$1561-(0)*CROQUIS_DATOS!$C$1561))/CROQUIS_DATOS!$C$1568-0.000001))),2)=1,IF(INT(($A130-1)/2)+1&gt;MAX(1,INT(((((CROQUIS_DATOS!$C$1507+CROQUIS_DATOS!$C$1508))-(CROQUIS_DATOS!$C$1507))+((CROQUIS_DATOS!$C$1476)*CROQUIS_DATOS!$C$1561-(0)*CROQUIS_DATOS!$C$1561))/CROQUIS_DATOS!$C$1568-0.000001)),1,MOD($A130-1,2)),1-IF(INT(($A130-1)/2)+1&gt;MAX(1,INT(((((CROQUIS_DATOS!$C$1507+CROQUIS_DATOS!$C$1508))-(CROQUIS_DATOS!$C$1507))+((CROQUIS_DATOS!$C$1476)*CROQUIS_DATOS!$C$1561-(0)*CROQUIS_DATOS!$C$1561))/CROQUIS_DATOS!$C$1568-0.000001)),1,MOD($A130-1,2)))=1,MIN((CROQUIS_DATOS!$C$1476)*CROQUIS_DATOS!$C$1561,((CROQUIS_DATOS!$C$1507+CROQUIS_DATOS!$C$1508)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0">
        <f>IF(AND(CROQUIS_DATOS!$C$1472=1,CROQUIS_DATOS!$C$1508&gt;0,((CROQUIS_DATOS!$C$1507+CROQUIS_DATOS!$C$1508))-(CROQUIS_DATOS!$C$1507)&gt;0.5,(CROQUIS_DATOS!$C$1476)-(0)&gt;0.5),(CROQUIS_DATOS!$C$1567+(IF(IF(MOD(MIN(INT(($A130-1)/2)+1,MAX(1,INT(((((CROQUIS_DATOS!$C$1507+CROQUIS_DATOS!$C$1508))-(CROQUIS_DATOS!$C$1507))+((CROQUIS_DATOS!$C$1476)*CROQUIS_DATOS!$C$1561-(0)*CROQUIS_DATOS!$C$1561))/CROQUIS_DATOS!$C$1568-0.000001))),2)=1,IF(INT(($A130-1)/2)+1&gt;MAX(1,INT(((((CROQUIS_DATOS!$C$1507+CROQUIS_DATOS!$C$1508))-(CROQUIS_DATOS!$C$1507))+((CROQUIS_DATOS!$C$1476)*CROQUIS_DATOS!$C$1561-(0)*CROQUIS_DATOS!$C$1561))/CROQUIS_DATOS!$C$1568-0.000001)),1,MOD($A130-1,2)),1-IF(INT(($A130-1)/2)+1&gt;MAX(1,INT(((((CROQUIS_DATOS!$C$1507+CROQUIS_DATOS!$C$1508))-(CROQUIS_DATOS!$C$1507))+((CROQUIS_DATOS!$C$1476)*CROQUIS_DATOS!$C$1561-(0)*CROQUIS_DATOS!$C$1561))/CROQUIS_DATOS!$C$1568-0.000001)),1,MOD($A130-1,2)))=1,MIN((CROQUIS_DATOS!$C$1476)*CROQUIS_DATOS!$C$1561,((CROQUIS_DATOS!$C$1507+CROQUIS_DATOS!$C$1508)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0">
        <f>IF(AND(CROQUIS_DATOS!$C$1472=1,CROQUIS_DATOS!$C$1512&gt;0,((CROQUIS_DATOS!$C$1511+CROQUIS_DATOS!$C$1512))-(CROQUIS_DATOS!$C$1511)&gt;0.5,(CROQUIS_DATOS!$C$1476)-(0)&gt;0.5),(CROQUIS_DATOS!$C$1566+(IF(IF(MOD(MIN(INT(($A130-1)/2)+1,MAX(1,INT(((((CROQUIS_DATOS!$C$1511+CROQUIS_DATOS!$C$1512))-(CROQUIS_DATOS!$C$1511))+((CROQUIS_DATOS!$C$1476)*CROQUIS_DATOS!$C$1561-(0)*CROQUIS_DATOS!$C$1561))/CROQUIS_DATOS!$C$1568-0.000001))),2)=1,IF(INT(($A130-1)/2)+1&gt;MAX(1,INT(((((CROQUIS_DATOS!$C$1511+CROQUIS_DATOS!$C$1512))-(CROQUIS_DATOS!$C$1511))+((CROQUIS_DATOS!$C$1476)*CROQUIS_DATOS!$C$1561-(0)*CROQUIS_DATOS!$C$1561))/CROQUIS_DATOS!$C$1568-0.000001)),1,MOD($A130-1,2)),1-IF(INT(($A130-1)/2)+1&gt;MAX(1,INT(((((CROQUIS_DATOS!$C$1511+CROQUIS_DATOS!$C$1512))-(CROQUIS_DATOS!$C$1511))+((CROQUIS_DATOS!$C$1476)*CROQUIS_DATOS!$C$1561-(0)*CROQUIS_DATOS!$C$1561))/CROQUIS_DATOS!$C$1568-0.000001)),1,MOD($A130-1,2)))=1,MIN((CROQUIS_DATOS!$C$1476)*CROQUIS_DATOS!$C$1561,((CROQUIS_DATOS!$C$1511+CROQUIS_DATOS!$C$1512)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0">
        <f>IF(AND(CROQUIS_DATOS!$C$1472=1,CROQUIS_DATOS!$C$1512&gt;0,((CROQUIS_DATOS!$C$1511+CROQUIS_DATOS!$C$1512))-(CROQUIS_DATOS!$C$1511)&gt;0.5,(CROQUIS_DATOS!$C$1476)-(0)&gt;0.5),(CROQUIS_DATOS!$C$1567+(IF(IF(MOD(MIN(INT(($A130-1)/2)+1,MAX(1,INT(((((CROQUIS_DATOS!$C$1511+CROQUIS_DATOS!$C$1512))-(CROQUIS_DATOS!$C$1511))+((CROQUIS_DATOS!$C$1476)*CROQUIS_DATOS!$C$1561-(0)*CROQUIS_DATOS!$C$1561))/CROQUIS_DATOS!$C$1568-0.000001))),2)=1,IF(INT(($A130-1)/2)+1&gt;MAX(1,INT(((((CROQUIS_DATOS!$C$1511+CROQUIS_DATOS!$C$1512))-(CROQUIS_DATOS!$C$1511))+((CROQUIS_DATOS!$C$1476)*CROQUIS_DATOS!$C$1561-(0)*CROQUIS_DATOS!$C$1561))/CROQUIS_DATOS!$C$1568-0.000001)),1,MOD($A130-1,2)),1-IF(INT(($A130-1)/2)+1&gt;MAX(1,INT(((((CROQUIS_DATOS!$C$1511+CROQUIS_DATOS!$C$1512))-(CROQUIS_DATOS!$C$1511))+((CROQUIS_DATOS!$C$1476)*CROQUIS_DATOS!$C$1561-(0)*CROQUIS_DATOS!$C$1561))/CROQUIS_DATOS!$C$1568-0.000001)),1,MOD($A130-1,2)))=1,MIN((CROQUIS_DATOS!$C$1476)*CROQUIS_DATOS!$C$1561,((CROQUIS_DATOS!$C$1511+CROQUIS_DATOS!$C$1512)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0">
        <f>IF(AND(CROQUIS_DATOS!$C$1472=1,CROQUIS_DATOS!$C$1516&gt;0,((CROQUIS_DATOS!$C$1515+CROQUIS_DATOS!$C$1516))-(CROQUIS_DATOS!$C$1515)&gt;0.5,(CROQUIS_DATOS!$C$1476)-(0)&gt;0.5),(CROQUIS_DATOS!$C$1566+(IF(IF(MOD(MIN(INT(($A130-1)/2)+1,MAX(1,INT(((((CROQUIS_DATOS!$C$1515+CROQUIS_DATOS!$C$1516))-(CROQUIS_DATOS!$C$1515))+((CROQUIS_DATOS!$C$1476)*CROQUIS_DATOS!$C$1561-(0)*CROQUIS_DATOS!$C$1561))/CROQUIS_DATOS!$C$1568-0.000001))),2)=1,IF(INT(($A130-1)/2)+1&gt;MAX(1,INT(((((CROQUIS_DATOS!$C$1515+CROQUIS_DATOS!$C$1516))-(CROQUIS_DATOS!$C$1515))+((CROQUIS_DATOS!$C$1476)*CROQUIS_DATOS!$C$1561-(0)*CROQUIS_DATOS!$C$1561))/CROQUIS_DATOS!$C$1568-0.000001)),1,MOD($A130-1,2)),1-IF(INT(($A130-1)/2)+1&gt;MAX(1,INT(((((CROQUIS_DATOS!$C$1515+CROQUIS_DATOS!$C$1516))-(CROQUIS_DATOS!$C$1515))+((CROQUIS_DATOS!$C$1476)*CROQUIS_DATOS!$C$1561-(0)*CROQUIS_DATOS!$C$1561))/CROQUIS_DATOS!$C$1568-0.000001)),1,MOD($A130-1,2)))=1,MIN((CROQUIS_DATOS!$C$1476)*CROQUIS_DATOS!$C$1561,((CROQUIS_DATOS!$C$1515+CROQUIS_DATOS!$C$1516)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0">
        <f>IF(AND(CROQUIS_DATOS!$C$1472=1,CROQUIS_DATOS!$C$1516&gt;0,((CROQUIS_DATOS!$C$1515+CROQUIS_DATOS!$C$1516))-(CROQUIS_DATOS!$C$1515)&gt;0.5,(CROQUIS_DATOS!$C$1476)-(0)&gt;0.5),(CROQUIS_DATOS!$C$1567+(IF(IF(MOD(MIN(INT(($A130-1)/2)+1,MAX(1,INT(((((CROQUIS_DATOS!$C$1515+CROQUIS_DATOS!$C$1516))-(CROQUIS_DATOS!$C$1515))+((CROQUIS_DATOS!$C$1476)*CROQUIS_DATOS!$C$1561-(0)*CROQUIS_DATOS!$C$1561))/CROQUIS_DATOS!$C$1568-0.000001))),2)=1,IF(INT(($A130-1)/2)+1&gt;MAX(1,INT(((((CROQUIS_DATOS!$C$1515+CROQUIS_DATOS!$C$1516))-(CROQUIS_DATOS!$C$1515))+((CROQUIS_DATOS!$C$1476)*CROQUIS_DATOS!$C$1561-(0)*CROQUIS_DATOS!$C$1561))/CROQUIS_DATOS!$C$1568-0.000001)),1,MOD($A130-1,2)),1-IF(INT(($A130-1)/2)+1&gt;MAX(1,INT(((((CROQUIS_DATOS!$C$1515+CROQUIS_DATOS!$C$1516))-(CROQUIS_DATOS!$C$1515))+((CROQUIS_DATOS!$C$1476)*CROQUIS_DATOS!$C$1561-(0)*CROQUIS_DATOS!$C$1561))/CROQUIS_DATOS!$C$1568-0.000001)),1,MOD($A130-1,2)))=1,MIN((CROQUIS_DATOS!$C$1476)*CROQUIS_DATOS!$C$1561,((CROQUIS_DATOS!$C$1515+CROQUIS_DATOS!$C$1516)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0">
        <f>IF(AND(CROQUIS_DATOS!$C$1472=1,CROQUIS_DATOS!$C$1478&gt;=1,((CROQUIS_DATOS!$C$1479+CROQUIS_DATOS!$C$1480))-(CROQUIS_DATOS!$C$1479)&gt;0.5,(CROQUIS_DATOS!$C$1481)-(0)&gt;0.5),(CROQUIS_DATOS!$C$1566+(IF(IF(MOD(MIN(INT(($A130-1)/2)+1,MAX(1,INT(((((CROQUIS_DATOS!$C$1479+CROQUIS_DATOS!$C$1480))-(CROQUIS_DATOS!$C$1479))+((CROQUIS_DATOS!$C$1481)*CROQUIS_DATOS!$C$1561-(0)*CROQUIS_DATOS!$C$1561))/CROQUIS_DATOS!$C$1568-0.000001))),2)=1,IF(INT(($A130-1)/2)+1&gt;MAX(1,INT(((((CROQUIS_DATOS!$C$1479+CROQUIS_DATOS!$C$1480))-(CROQUIS_DATOS!$C$1479))+((CROQUIS_DATOS!$C$1481)*CROQUIS_DATOS!$C$1561-(0)*CROQUIS_DATOS!$C$1561))/CROQUIS_DATOS!$C$1568-0.000001)),1,MOD($A130-1,2)),1-IF(INT(($A130-1)/2)+1&gt;MAX(1,INT(((((CROQUIS_DATOS!$C$1479+CROQUIS_DATOS!$C$1480))-(CROQUIS_DATOS!$C$1479))+((CROQUIS_DATOS!$C$1481)*CROQUIS_DATOS!$C$1561-(0)*CROQUIS_DATOS!$C$1561))/CROQUIS_DATOS!$C$1568-0.000001)),1,MOD($A130-1,2)))=1,MIN((CROQUIS_DATOS!$C$1481)*CROQUIS_DATOS!$C$1561,((CROQUIS_DATOS!$C$1479+CROQUIS_DATOS!$C$1480)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0">
        <f>IF(AND(CROQUIS_DATOS!$C$1472=1,CROQUIS_DATOS!$C$1478&gt;=1,((CROQUIS_DATOS!$C$1479+CROQUIS_DATOS!$C$1480))-(CROQUIS_DATOS!$C$1479)&gt;0.5,(CROQUIS_DATOS!$C$1481)-(0)&gt;0.5),(CROQUIS_DATOS!$C$1567+(IF(IF(MOD(MIN(INT(($A130-1)/2)+1,MAX(1,INT(((((CROQUIS_DATOS!$C$1479+CROQUIS_DATOS!$C$1480))-(CROQUIS_DATOS!$C$1479))+((CROQUIS_DATOS!$C$1481)*CROQUIS_DATOS!$C$1561-(0)*CROQUIS_DATOS!$C$1561))/CROQUIS_DATOS!$C$1568-0.000001))),2)=1,IF(INT(($A130-1)/2)+1&gt;MAX(1,INT(((((CROQUIS_DATOS!$C$1479+CROQUIS_DATOS!$C$1480))-(CROQUIS_DATOS!$C$1479))+((CROQUIS_DATOS!$C$1481)*CROQUIS_DATOS!$C$1561-(0)*CROQUIS_DATOS!$C$1561))/CROQUIS_DATOS!$C$1568-0.000001)),1,MOD($A130-1,2)),1-IF(INT(($A130-1)/2)+1&gt;MAX(1,INT(((((CROQUIS_DATOS!$C$1479+CROQUIS_DATOS!$C$1480))-(CROQUIS_DATOS!$C$1479))+((CROQUIS_DATOS!$C$1481)*CROQUIS_DATOS!$C$1561-(0)*CROQUIS_DATOS!$C$1561))/CROQUIS_DATOS!$C$1568-0.000001)),1,MOD($A130-1,2)))=1,MIN((CROQUIS_DATOS!$C$1481)*CROQUIS_DATOS!$C$1561,((CROQUIS_DATOS!$C$1479+CROQUIS_DATOS!$C$1480)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0">
        <f>IF(AND(CROQUIS_DATOS!$C$1472=1,CROQUIS_DATOS!$C$1478&gt;=1,((CROQUIS_DATOS!$C$1479+CROQUIS_DATOS!$C$1480))-(CROQUIS_DATOS!$C$1479)&gt;0.5,(CROQUIS_DATOS!$C$1476)-((CROQUIS_DATOS!$C$1481+CROQUIS_DATOS!$C$1482))&gt;0.5),(CROQUIS_DATOS!$C$1566+(IF(IF(MOD(MIN(INT(($A130-1)/2)+1,MAX(1,INT(((((CROQUIS_DATOS!$C$1479+CROQUIS_DATOS!$C$1480))-(CROQUIS_DATOS!$C$1479))+((CROQUIS_DATOS!$C$1476)*CROQUIS_DATOS!$C$1561-((CROQUIS_DATOS!$C$1481+CROQUIS_DATOS!$C$1482))*CROQUIS_DATOS!$C$1561))/CROQUIS_DATOS!$C$1568-0.000001))),2)=1,IF(INT(($A130-1)/2)+1&gt;MAX(1,INT(((((CROQUIS_DATOS!$C$1479+CROQUIS_DATOS!$C$1480))-(CROQUIS_DATOS!$C$1479))+((CROQUIS_DATOS!$C$1476)*CROQUIS_DATOS!$C$1561-((CROQUIS_DATOS!$C$1481+CROQUIS_DATOS!$C$1482))*CROQUIS_DATOS!$C$1561))/CROQUIS_DATOS!$C$1568-0.000001)),1,MOD($A130-1,2)),1-IF(INT(($A130-1)/2)+1&gt;MAX(1,INT(((((CROQUIS_DATOS!$C$1479+CROQUIS_DATOS!$C$1480))-(CROQUIS_DATOS!$C$1479))+((CROQUIS_DATOS!$C$1476)*CROQUIS_DATOS!$C$1561-((CROQUIS_DATOS!$C$1481+CROQUIS_DATOS!$C$1482))*CROQUIS_DATOS!$C$1561))/CROQUIS_DATOS!$C$1568-0.000001)),1,MOD($A130-1,2)))=1,MIN((CROQUIS_DATOS!$C$1476)*CROQUIS_DATOS!$C$1561,((CROQUIS_DATOS!$C$1479+CROQUIS_DATOS!$C$1480)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0">
        <f>IF(AND(CROQUIS_DATOS!$C$1472=1,CROQUIS_DATOS!$C$1478&gt;=1,((CROQUIS_DATOS!$C$1479+CROQUIS_DATOS!$C$1480))-(CROQUIS_DATOS!$C$1479)&gt;0.5,(CROQUIS_DATOS!$C$1476)-((CROQUIS_DATOS!$C$1481+CROQUIS_DATOS!$C$1482))&gt;0.5),(CROQUIS_DATOS!$C$1567+(IF(IF(MOD(MIN(INT(($A130-1)/2)+1,MAX(1,INT(((((CROQUIS_DATOS!$C$1479+CROQUIS_DATOS!$C$1480))-(CROQUIS_DATOS!$C$1479))+((CROQUIS_DATOS!$C$1476)*CROQUIS_DATOS!$C$1561-((CROQUIS_DATOS!$C$1481+CROQUIS_DATOS!$C$1482))*CROQUIS_DATOS!$C$1561))/CROQUIS_DATOS!$C$1568-0.000001))),2)=1,IF(INT(($A130-1)/2)+1&gt;MAX(1,INT(((((CROQUIS_DATOS!$C$1479+CROQUIS_DATOS!$C$1480))-(CROQUIS_DATOS!$C$1479))+((CROQUIS_DATOS!$C$1476)*CROQUIS_DATOS!$C$1561-((CROQUIS_DATOS!$C$1481+CROQUIS_DATOS!$C$1482))*CROQUIS_DATOS!$C$1561))/CROQUIS_DATOS!$C$1568-0.000001)),1,MOD($A130-1,2)),1-IF(INT(($A130-1)/2)+1&gt;MAX(1,INT(((((CROQUIS_DATOS!$C$1479+CROQUIS_DATOS!$C$1480))-(CROQUIS_DATOS!$C$1479))+((CROQUIS_DATOS!$C$1476)*CROQUIS_DATOS!$C$1561-((CROQUIS_DATOS!$C$1481+CROQUIS_DATOS!$C$1482))*CROQUIS_DATOS!$C$1561))/CROQUIS_DATOS!$C$1568-0.000001)),1,MOD($A130-1,2)))=1,MIN((CROQUIS_DATOS!$C$1476)*CROQUIS_DATOS!$C$1561,((CROQUIS_DATOS!$C$1479+CROQUIS_DATOS!$C$1480)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0">
        <f>IF(AND(CROQUIS_DATOS!$C$1472=1,CROQUIS_DATOS!$C$1478&gt;=2,((CROQUIS_DATOS!$C$1484+CROQUIS_DATOS!$C$1485))-(CROQUIS_DATOS!$C$1484)&gt;0.5,(CROQUIS_DATOS!$C$1486)-(0)&gt;0.5),(CROQUIS_DATOS!$C$1566+(IF(IF(MOD(MIN(INT(($A130-1)/2)+1,MAX(1,INT(((((CROQUIS_DATOS!$C$1484+CROQUIS_DATOS!$C$1485))-(CROQUIS_DATOS!$C$1484))+((CROQUIS_DATOS!$C$1486)*CROQUIS_DATOS!$C$1561-(0)*CROQUIS_DATOS!$C$1561))/CROQUIS_DATOS!$C$1568-0.000001))),2)=1,IF(INT(($A130-1)/2)+1&gt;MAX(1,INT(((((CROQUIS_DATOS!$C$1484+CROQUIS_DATOS!$C$1485))-(CROQUIS_DATOS!$C$1484))+((CROQUIS_DATOS!$C$1486)*CROQUIS_DATOS!$C$1561-(0)*CROQUIS_DATOS!$C$1561))/CROQUIS_DATOS!$C$1568-0.000001)),1,MOD($A130-1,2)),1-IF(INT(($A130-1)/2)+1&gt;MAX(1,INT(((((CROQUIS_DATOS!$C$1484+CROQUIS_DATOS!$C$1485))-(CROQUIS_DATOS!$C$1484))+((CROQUIS_DATOS!$C$1486)*CROQUIS_DATOS!$C$1561-(0)*CROQUIS_DATOS!$C$1561))/CROQUIS_DATOS!$C$1568-0.000001)),1,MOD($A130-1,2)))=1,MIN((CROQUIS_DATOS!$C$1486)*CROQUIS_DATOS!$C$1561,((CROQUIS_DATOS!$C$1484+CROQUIS_DATOS!$C$1485)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0">
        <f>IF(AND(CROQUIS_DATOS!$C$1472=1,CROQUIS_DATOS!$C$1478&gt;=2,((CROQUIS_DATOS!$C$1484+CROQUIS_DATOS!$C$1485))-(CROQUIS_DATOS!$C$1484)&gt;0.5,(CROQUIS_DATOS!$C$1486)-(0)&gt;0.5),(CROQUIS_DATOS!$C$1567+(IF(IF(MOD(MIN(INT(($A130-1)/2)+1,MAX(1,INT(((((CROQUIS_DATOS!$C$1484+CROQUIS_DATOS!$C$1485))-(CROQUIS_DATOS!$C$1484))+((CROQUIS_DATOS!$C$1486)*CROQUIS_DATOS!$C$1561-(0)*CROQUIS_DATOS!$C$1561))/CROQUIS_DATOS!$C$1568-0.000001))),2)=1,IF(INT(($A130-1)/2)+1&gt;MAX(1,INT(((((CROQUIS_DATOS!$C$1484+CROQUIS_DATOS!$C$1485))-(CROQUIS_DATOS!$C$1484))+((CROQUIS_DATOS!$C$1486)*CROQUIS_DATOS!$C$1561-(0)*CROQUIS_DATOS!$C$1561))/CROQUIS_DATOS!$C$1568-0.000001)),1,MOD($A130-1,2)),1-IF(INT(($A130-1)/2)+1&gt;MAX(1,INT(((((CROQUIS_DATOS!$C$1484+CROQUIS_DATOS!$C$1485))-(CROQUIS_DATOS!$C$1484))+((CROQUIS_DATOS!$C$1486)*CROQUIS_DATOS!$C$1561-(0)*CROQUIS_DATOS!$C$1561))/CROQUIS_DATOS!$C$1568-0.000001)),1,MOD($A130-1,2)))=1,MIN((CROQUIS_DATOS!$C$1486)*CROQUIS_DATOS!$C$1561,((CROQUIS_DATOS!$C$1484+CROQUIS_DATOS!$C$1485)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0">
        <f>IF(AND(CROQUIS_DATOS!$C$1472=1,CROQUIS_DATOS!$C$1478&gt;=2,((CROQUIS_DATOS!$C$1484+CROQUIS_DATOS!$C$1485))-(CROQUIS_DATOS!$C$1484)&gt;0.5,(CROQUIS_DATOS!$C$1476)-((CROQUIS_DATOS!$C$1486+CROQUIS_DATOS!$C$1487))&gt;0.5),(CROQUIS_DATOS!$C$1566+(IF(IF(MOD(MIN(INT(($A130-1)/2)+1,MAX(1,INT(((((CROQUIS_DATOS!$C$1484+CROQUIS_DATOS!$C$1485))-(CROQUIS_DATOS!$C$1484))+((CROQUIS_DATOS!$C$1476)*CROQUIS_DATOS!$C$1561-((CROQUIS_DATOS!$C$1486+CROQUIS_DATOS!$C$1487))*CROQUIS_DATOS!$C$1561))/CROQUIS_DATOS!$C$1568-0.000001))),2)=1,IF(INT(($A130-1)/2)+1&gt;MAX(1,INT(((((CROQUIS_DATOS!$C$1484+CROQUIS_DATOS!$C$1485))-(CROQUIS_DATOS!$C$1484))+((CROQUIS_DATOS!$C$1476)*CROQUIS_DATOS!$C$1561-((CROQUIS_DATOS!$C$1486+CROQUIS_DATOS!$C$1487))*CROQUIS_DATOS!$C$1561))/CROQUIS_DATOS!$C$1568-0.000001)),1,MOD($A130-1,2)),1-IF(INT(($A130-1)/2)+1&gt;MAX(1,INT(((((CROQUIS_DATOS!$C$1484+CROQUIS_DATOS!$C$1485))-(CROQUIS_DATOS!$C$1484))+((CROQUIS_DATOS!$C$1476)*CROQUIS_DATOS!$C$1561-((CROQUIS_DATOS!$C$1486+CROQUIS_DATOS!$C$1487))*CROQUIS_DATOS!$C$1561))/CROQUIS_DATOS!$C$1568-0.000001)),1,MOD($A130-1,2)))=1,MIN((CROQUIS_DATOS!$C$1476)*CROQUIS_DATOS!$C$1561,((CROQUIS_DATOS!$C$1484+CROQUIS_DATOS!$C$1485)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0">
        <f>IF(AND(CROQUIS_DATOS!$C$1472=1,CROQUIS_DATOS!$C$1478&gt;=2,((CROQUIS_DATOS!$C$1484+CROQUIS_DATOS!$C$1485))-(CROQUIS_DATOS!$C$1484)&gt;0.5,(CROQUIS_DATOS!$C$1476)-((CROQUIS_DATOS!$C$1486+CROQUIS_DATOS!$C$1487))&gt;0.5),(CROQUIS_DATOS!$C$1567+(IF(IF(MOD(MIN(INT(($A130-1)/2)+1,MAX(1,INT(((((CROQUIS_DATOS!$C$1484+CROQUIS_DATOS!$C$1485))-(CROQUIS_DATOS!$C$1484))+((CROQUIS_DATOS!$C$1476)*CROQUIS_DATOS!$C$1561-((CROQUIS_DATOS!$C$1486+CROQUIS_DATOS!$C$1487))*CROQUIS_DATOS!$C$1561))/CROQUIS_DATOS!$C$1568-0.000001))),2)=1,IF(INT(($A130-1)/2)+1&gt;MAX(1,INT(((((CROQUIS_DATOS!$C$1484+CROQUIS_DATOS!$C$1485))-(CROQUIS_DATOS!$C$1484))+((CROQUIS_DATOS!$C$1476)*CROQUIS_DATOS!$C$1561-((CROQUIS_DATOS!$C$1486+CROQUIS_DATOS!$C$1487))*CROQUIS_DATOS!$C$1561))/CROQUIS_DATOS!$C$1568-0.000001)),1,MOD($A130-1,2)),1-IF(INT(($A130-1)/2)+1&gt;MAX(1,INT(((((CROQUIS_DATOS!$C$1484+CROQUIS_DATOS!$C$1485))-(CROQUIS_DATOS!$C$1484))+((CROQUIS_DATOS!$C$1476)*CROQUIS_DATOS!$C$1561-((CROQUIS_DATOS!$C$1486+CROQUIS_DATOS!$C$1487))*CROQUIS_DATOS!$C$1561))/CROQUIS_DATOS!$C$1568-0.000001)),1,MOD($A130-1,2)))=1,MIN((CROQUIS_DATOS!$C$1476)*CROQUIS_DATOS!$C$1561,((CROQUIS_DATOS!$C$1484+CROQUIS_DATOS!$C$1485)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0">
        <f>IF(AND(CROQUIS_DATOS!$C$1472=1,CROQUIS_DATOS!$C$1478&gt;=3,((CROQUIS_DATOS!$C$1489+CROQUIS_DATOS!$C$1490))-(CROQUIS_DATOS!$C$1489)&gt;0.5,(CROQUIS_DATOS!$C$1491)-(0)&gt;0.5),(CROQUIS_DATOS!$C$1566+(IF(IF(MOD(MIN(INT(($A130-1)/2)+1,MAX(1,INT(((((CROQUIS_DATOS!$C$1489+CROQUIS_DATOS!$C$1490))-(CROQUIS_DATOS!$C$1489))+((CROQUIS_DATOS!$C$1491)*CROQUIS_DATOS!$C$1561-(0)*CROQUIS_DATOS!$C$1561))/CROQUIS_DATOS!$C$1568-0.000001))),2)=1,IF(INT(($A130-1)/2)+1&gt;MAX(1,INT(((((CROQUIS_DATOS!$C$1489+CROQUIS_DATOS!$C$1490))-(CROQUIS_DATOS!$C$1489))+((CROQUIS_DATOS!$C$1491)*CROQUIS_DATOS!$C$1561-(0)*CROQUIS_DATOS!$C$1561))/CROQUIS_DATOS!$C$1568-0.000001)),1,MOD($A130-1,2)),1-IF(INT(($A130-1)/2)+1&gt;MAX(1,INT(((((CROQUIS_DATOS!$C$1489+CROQUIS_DATOS!$C$1490))-(CROQUIS_DATOS!$C$1489))+((CROQUIS_DATOS!$C$1491)*CROQUIS_DATOS!$C$1561-(0)*CROQUIS_DATOS!$C$1561))/CROQUIS_DATOS!$C$1568-0.000001)),1,MOD($A130-1,2)))=1,MIN((CROQUIS_DATOS!$C$1491)*CROQUIS_DATOS!$C$1561,((CROQUIS_DATOS!$C$1489+CROQUIS_DATOS!$C$1490)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0">
        <f>IF(AND(CROQUIS_DATOS!$C$1472=1,CROQUIS_DATOS!$C$1478&gt;=3,((CROQUIS_DATOS!$C$1489+CROQUIS_DATOS!$C$1490))-(CROQUIS_DATOS!$C$1489)&gt;0.5,(CROQUIS_DATOS!$C$1491)-(0)&gt;0.5),(CROQUIS_DATOS!$C$1567+(IF(IF(MOD(MIN(INT(($A130-1)/2)+1,MAX(1,INT(((((CROQUIS_DATOS!$C$1489+CROQUIS_DATOS!$C$1490))-(CROQUIS_DATOS!$C$1489))+((CROQUIS_DATOS!$C$1491)*CROQUIS_DATOS!$C$1561-(0)*CROQUIS_DATOS!$C$1561))/CROQUIS_DATOS!$C$1568-0.000001))),2)=1,IF(INT(($A130-1)/2)+1&gt;MAX(1,INT(((((CROQUIS_DATOS!$C$1489+CROQUIS_DATOS!$C$1490))-(CROQUIS_DATOS!$C$1489))+((CROQUIS_DATOS!$C$1491)*CROQUIS_DATOS!$C$1561-(0)*CROQUIS_DATOS!$C$1561))/CROQUIS_DATOS!$C$1568-0.000001)),1,MOD($A130-1,2)),1-IF(INT(($A130-1)/2)+1&gt;MAX(1,INT(((((CROQUIS_DATOS!$C$1489+CROQUIS_DATOS!$C$1490))-(CROQUIS_DATOS!$C$1489))+((CROQUIS_DATOS!$C$1491)*CROQUIS_DATOS!$C$1561-(0)*CROQUIS_DATOS!$C$1561))/CROQUIS_DATOS!$C$1568-0.000001)),1,MOD($A130-1,2)))=1,MIN((CROQUIS_DATOS!$C$1491)*CROQUIS_DATOS!$C$1561,((CROQUIS_DATOS!$C$1489+CROQUIS_DATOS!$C$1490)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0">
        <f>IF(AND(CROQUIS_DATOS!$C$1472=1,CROQUIS_DATOS!$C$1478&gt;=3,((CROQUIS_DATOS!$C$1489+CROQUIS_DATOS!$C$1490))-(CROQUIS_DATOS!$C$1489)&gt;0.5,(CROQUIS_DATOS!$C$1476)-((CROQUIS_DATOS!$C$1491+CROQUIS_DATOS!$C$1492))&gt;0.5),(CROQUIS_DATOS!$C$1566+(IF(IF(MOD(MIN(INT(($A130-1)/2)+1,MAX(1,INT(((((CROQUIS_DATOS!$C$1489+CROQUIS_DATOS!$C$1490))-(CROQUIS_DATOS!$C$1489))+((CROQUIS_DATOS!$C$1476)*CROQUIS_DATOS!$C$1561-((CROQUIS_DATOS!$C$1491+CROQUIS_DATOS!$C$1492))*CROQUIS_DATOS!$C$1561))/CROQUIS_DATOS!$C$1568-0.000001))),2)=1,IF(INT(($A130-1)/2)+1&gt;MAX(1,INT(((((CROQUIS_DATOS!$C$1489+CROQUIS_DATOS!$C$1490))-(CROQUIS_DATOS!$C$1489))+((CROQUIS_DATOS!$C$1476)*CROQUIS_DATOS!$C$1561-((CROQUIS_DATOS!$C$1491+CROQUIS_DATOS!$C$1492))*CROQUIS_DATOS!$C$1561))/CROQUIS_DATOS!$C$1568-0.000001)),1,MOD($A130-1,2)),1-IF(INT(($A130-1)/2)+1&gt;MAX(1,INT(((((CROQUIS_DATOS!$C$1489+CROQUIS_DATOS!$C$1490))-(CROQUIS_DATOS!$C$1489))+((CROQUIS_DATOS!$C$1476)*CROQUIS_DATOS!$C$1561-((CROQUIS_DATOS!$C$1491+CROQUIS_DATOS!$C$1492))*CROQUIS_DATOS!$C$1561))/CROQUIS_DATOS!$C$1568-0.000001)),1,MOD($A130-1,2)))=1,MIN((CROQUIS_DATOS!$C$1476)*CROQUIS_DATOS!$C$1561,((CROQUIS_DATOS!$C$1489+CROQUIS_DATOS!$C$1490)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0">
        <f>IF(AND(CROQUIS_DATOS!$C$1472=1,CROQUIS_DATOS!$C$1478&gt;=3,((CROQUIS_DATOS!$C$1489+CROQUIS_DATOS!$C$1490))-(CROQUIS_DATOS!$C$1489)&gt;0.5,(CROQUIS_DATOS!$C$1476)-((CROQUIS_DATOS!$C$1491+CROQUIS_DATOS!$C$1492))&gt;0.5),(CROQUIS_DATOS!$C$1567+(IF(IF(MOD(MIN(INT(($A130-1)/2)+1,MAX(1,INT(((((CROQUIS_DATOS!$C$1489+CROQUIS_DATOS!$C$1490))-(CROQUIS_DATOS!$C$1489))+((CROQUIS_DATOS!$C$1476)*CROQUIS_DATOS!$C$1561-((CROQUIS_DATOS!$C$1491+CROQUIS_DATOS!$C$1492))*CROQUIS_DATOS!$C$1561))/CROQUIS_DATOS!$C$1568-0.000001))),2)=1,IF(INT(($A130-1)/2)+1&gt;MAX(1,INT(((((CROQUIS_DATOS!$C$1489+CROQUIS_DATOS!$C$1490))-(CROQUIS_DATOS!$C$1489))+((CROQUIS_DATOS!$C$1476)*CROQUIS_DATOS!$C$1561-((CROQUIS_DATOS!$C$1491+CROQUIS_DATOS!$C$1492))*CROQUIS_DATOS!$C$1561))/CROQUIS_DATOS!$C$1568-0.000001)),1,MOD($A130-1,2)),1-IF(INT(($A130-1)/2)+1&gt;MAX(1,INT(((((CROQUIS_DATOS!$C$1489+CROQUIS_DATOS!$C$1490))-(CROQUIS_DATOS!$C$1489))+((CROQUIS_DATOS!$C$1476)*CROQUIS_DATOS!$C$1561-((CROQUIS_DATOS!$C$1491+CROQUIS_DATOS!$C$1492))*CROQUIS_DATOS!$C$1561))/CROQUIS_DATOS!$C$1568-0.000001)),1,MOD($A130-1,2)))=1,MIN((CROQUIS_DATOS!$C$1476)*CROQUIS_DATOS!$C$1561,((CROQUIS_DATOS!$C$1489+CROQUIS_DATOS!$C$1490)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0">
        <f>IF(AND(CROQUIS_DATOS!$C$1472=1,CROQUIS_DATOS!$C$1478&gt;=4,((CROQUIS_DATOS!$C$1494+CROQUIS_DATOS!$C$1495))-(CROQUIS_DATOS!$C$1494)&gt;0.5,(CROQUIS_DATOS!$C$1496)-(0)&gt;0.5),(CROQUIS_DATOS!$C$1566+(IF(IF(MOD(MIN(INT(($A130-1)/2)+1,MAX(1,INT(((((CROQUIS_DATOS!$C$1494+CROQUIS_DATOS!$C$1495))-(CROQUIS_DATOS!$C$1494))+((CROQUIS_DATOS!$C$1496)*CROQUIS_DATOS!$C$1561-(0)*CROQUIS_DATOS!$C$1561))/CROQUIS_DATOS!$C$1568-0.000001))),2)=1,IF(INT(($A130-1)/2)+1&gt;MAX(1,INT(((((CROQUIS_DATOS!$C$1494+CROQUIS_DATOS!$C$1495))-(CROQUIS_DATOS!$C$1494))+((CROQUIS_DATOS!$C$1496)*CROQUIS_DATOS!$C$1561-(0)*CROQUIS_DATOS!$C$1561))/CROQUIS_DATOS!$C$1568-0.000001)),1,MOD($A130-1,2)),1-IF(INT(($A130-1)/2)+1&gt;MAX(1,INT(((((CROQUIS_DATOS!$C$1494+CROQUIS_DATOS!$C$1495))-(CROQUIS_DATOS!$C$1494))+((CROQUIS_DATOS!$C$1496)*CROQUIS_DATOS!$C$1561-(0)*CROQUIS_DATOS!$C$1561))/CROQUIS_DATOS!$C$1568-0.000001)),1,MOD($A130-1,2)))=1,MIN((CROQUIS_DATOS!$C$1496)*CROQUIS_DATOS!$C$1561,((CROQUIS_DATOS!$C$1494+CROQUIS_DATOS!$C$1495)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0">
        <f>IF(AND(CROQUIS_DATOS!$C$1472=1,CROQUIS_DATOS!$C$1478&gt;=4,((CROQUIS_DATOS!$C$1494+CROQUIS_DATOS!$C$1495))-(CROQUIS_DATOS!$C$1494)&gt;0.5,(CROQUIS_DATOS!$C$1496)-(0)&gt;0.5),(CROQUIS_DATOS!$C$1567+(IF(IF(MOD(MIN(INT(($A130-1)/2)+1,MAX(1,INT(((((CROQUIS_DATOS!$C$1494+CROQUIS_DATOS!$C$1495))-(CROQUIS_DATOS!$C$1494))+((CROQUIS_DATOS!$C$1496)*CROQUIS_DATOS!$C$1561-(0)*CROQUIS_DATOS!$C$1561))/CROQUIS_DATOS!$C$1568-0.000001))),2)=1,IF(INT(($A130-1)/2)+1&gt;MAX(1,INT(((((CROQUIS_DATOS!$C$1494+CROQUIS_DATOS!$C$1495))-(CROQUIS_DATOS!$C$1494))+((CROQUIS_DATOS!$C$1496)*CROQUIS_DATOS!$C$1561-(0)*CROQUIS_DATOS!$C$1561))/CROQUIS_DATOS!$C$1568-0.000001)),1,MOD($A130-1,2)),1-IF(INT(($A130-1)/2)+1&gt;MAX(1,INT(((((CROQUIS_DATOS!$C$1494+CROQUIS_DATOS!$C$1495))-(CROQUIS_DATOS!$C$1494))+((CROQUIS_DATOS!$C$1496)*CROQUIS_DATOS!$C$1561-(0)*CROQUIS_DATOS!$C$1561))/CROQUIS_DATOS!$C$1568-0.000001)),1,MOD($A130-1,2)))=1,MIN((CROQUIS_DATOS!$C$1496)*CROQUIS_DATOS!$C$1561,((CROQUIS_DATOS!$C$1494+CROQUIS_DATOS!$C$1495)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0">
        <f>IF(AND(CROQUIS_DATOS!$C$1472=1,CROQUIS_DATOS!$C$1478&gt;=4,((CROQUIS_DATOS!$C$1494+CROQUIS_DATOS!$C$1495))-(CROQUIS_DATOS!$C$1494)&gt;0.5,(CROQUIS_DATOS!$C$1476)-((CROQUIS_DATOS!$C$1496+CROQUIS_DATOS!$C$1497))&gt;0.5),(CROQUIS_DATOS!$C$1566+(IF(IF(MOD(MIN(INT(($A130-1)/2)+1,MAX(1,INT(((((CROQUIS_DATOS!$C$1494+CROQUIS_DATOS!$C$1495))-(CROQUIS_DATOS!$C$1494))+((CROQUIS_DATOS!$C$1476)*CROQUIS_DATOS!$C$1561-((CROQUIS_DATOS!$C$1496+CROQUIS_DATOS!$C$1497))*CROQUIS_DATOS!$C$1561))/CROQUIS_DATOS!$C$1568-0.000001))),2)=1,IF(INT(($A130-1)/2)+1&gt;MAX(1,INT(((((CROQUIS_DATOS!$C$1494+CROQUIS_DATOS!$C$1495))-(CROQUIS_DATOS!$C$1494))+((CROQUIS_DATOS!$C$1476)*CROQUIS_DATOS!$C$1561-((CROQUIS_DATOS!$C$1496+CROQUIS_DATOS!$C$1497))*CROQUIS_DATOS!$C$1561))/CROQUIS_DATOS!$C$1568-0.000001)),1,MOD($A130-1,2)),1-IF(INT(($A130-1)/2)+1&gt;MAX(1,INT(((((CROQUIS_DATOS!$C$1494+CROQUIS_DATOS!$C$1495))-(CROQUIS_DATOS!$C$1494))+((CROQUIS_DATOS!$C$1476)*CROQUIS_DATOS!$C$1561-((CROQUIS_DATOS!$C$1496+CROQUIS_DATOS!$C$1497))*CROQUIS_DATOS!$C$1561))/CROQUIS_DATOS!$C$1568-0.000001)),1,MOD($A130-1,2)))=1,MIN((CROQUIS_DATOS!$C$1476)*CROQUIS_DATOS!$C$1561,((CROQUIS_DATOS!$C$1494+CROQUIS_DATOS!$C$1495)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0">
        <f>IF(AND(CROQUIS_DATOS!$C$1472=1,CROQUIS_DATOS!$C$1478&gt;=4,((CROQUIS_DATOS!$C$1494+CROQUIS_DATOS!$C$1495))-(CROQUIS_DATOS!$C$1494)&gt;0.5,(CROQUIS_DATOS!$C$1476)-((CROQUIS_DATOS!$C$1496+CROQUIS_DATOS!$C$1497))&gt;0.5),(CROQUIS_DATOS!$C$1567+(IF(IF(MOD(MIN(INT(($A130-1)/2)+1,MAX(1,INT(((((CROQUIS_DATOS!$C$1494+CROQUIS_DATOS!$C$1495))-(CROQUIS_DATOS!$C$1494))+((CROQUIS_DATOS!$C$1476)*CROQUIS_DATOS!$C$1561-((CROQUIS_DATOS!$C$1496+CROQUIS_DATOS!$C$1497))*CROQUIS_DATOS!$C$1561))/CROQUIS_DATOS!$C$1568-0.000001))),2)=1,IF(INT(($A130-1)/2)+1&gt;MAX(1,INT(((((CROQUIS_DATOS!$C$1494+CROQUIS_DATOS!$C$1495))-(CROQUIS_DATOS!$C$1494))+((CROQUIS_DATOS!$C$1476)*CROQUIS_DATOS!$C$1561-((CROQUIS_DATOS!$C$1496+CROQUIS_DATOS!$C$1497))*CROQUIS_DATOS!$C$1561))/CROQUIS_DATOS!$C$1568-0.000001)),1,MOD($A130-1,2)),1-IF(INT(($A130-1)/2)+1&gt;MAX(1,INT(((((CROQUIS_DATOS!$C$1494+CROQUIS_DATOS!$C$1495))-(CROQUIS_DATOS!$C$1494))+((CROQUIS_DATOS!$C$1476)*CROQUIS_DATOS!$C$1561-((CROQUIS_DATOS!$C$1496+CROQUIS_DATOS!$C$1497))*CROQUIS_DATOS!$C$1561))/CROQUIS_DATOS!$C$1568-0.000001)),1,MOD($A130-1,2)))=1,MIN((CROQUIS_DATOS!$C$1476)*CROQUIS_DATOS!$C$1561,((CROQUIS_DATOS!$C$1494+CROQUIS_DATOS!$C$1495)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1">
      <c r="A131" t="n">
        <v>124</v>
      </c>
      <c r="N131">
        <f>IF(AND(CROQUIS_DATOS!$C$1472=1,1),(CROQUIS_DATOS!$C$1563+(IF(IF(IF(INT(($A131-1)/70)+1&gt;CROQUIS_DATOS!$C$1525,70,MOD($A131-1,70)+1)=1,0,IF(IF(INT(($A131-1)/70)+1&gt;CROQUIS_DATOS!$C$1525,70,MOD($A131-1,70)+1)&gt;2*CROQUIS_DATOS!$C$1541+1,IF(MOD(CROQUIS_DATOS!$C$1541,2)=1,1,0),IF(MOD(MIN(INT((IF(INT(($A131-1)/70)+1&gt;CROQUIS_DATOS!$C$1525,70,MOD($A131-1,70)+1)-2)/2)+1,CROQUIS_DATOS!$C$1541),2)=1,IF(MOD(IF(INT(($A131-1)/70)+1&gt;CROQUIS_DATOS!$C$1525,70,MOD($A131-1,70)+1)-2,2)=0,0,1),IF(MOD(IF(INT(($A131-1)/70)+1&gt;CROQUIS_DATOS!$C$1525,70,MOD($A131-1,70)+1)-2,2)=0,1,0))))=0,(INDEX($E$8:$E$23,MIN(INT(($A131-1)/70)+1,CROQUIS_DATOS!$C$1525))-INDEX($F$8:$F$23,MIN(INT(($A131-1)/70)+1,CROQUIS_DATOS!$C$1525))/2),(INDEX($E$8:$E$23,MIN(INT(($A131-1)/70)+1,CROQUIS_DATOS!$C$1525))+INDEX($F$8:$F$23,MIN(INT(($A131-1)/70)+1,CROQUIS_DATOS!$C$1525))/2)))*CROQUIS_DATOS!$C$1562),-1000)</f>
        <v>18.5775862068965</v>
      </c>
      <c r="O131">
        <f>IF(AND(CROQUIS_DATOS!$C$1472=1,1),(CROQUIS_DATOS!$C$1564+(IF(OR(IF(INT(($A131-1)/70)+1&gt;CROQUIS_DATOS!$C$1525,70,MOD($A131-1,70)+1)=1,IF(INT(($A131-1)/70)+1&gt;CROQUIS_DATOS!$C$1525,70,MOD($A131-1,70)+1)&gt;2*CROQUIS_DATOS!$C$1541+1),CROQUIS_DATOS!$C$1476,INDEX($H$8:$H$41,MIN(INT((IF(INT(($A131-1)/70)+1&gt;CROQUIS_DATOS!$C$1525,70,MOD($A131-1,70)+1)-2)/2)+1,CROQUIS_DATOS!$C$1541))))*CROQUIS_DATOS!$C$1561*CROQUIS_DATOS!$C$1562),-1000)</f>
        <v>40.2068965517241</v>
      </c>
      <c r="P131">
        <f>IF(AND(CROQUIS_DATOS!$C$1472=1,CROQUIS_DATOS!$C$1555=1),(CROQUIS_DATOS!$C$1563+(IF(IF(OR(MOD($A131-1,62)+1=1,IF(CHOOSE(MIN(MAX(MIN(INT(($A131-1)/62)+1,5),1),5),CROQUIS_DATOS!$C$1501,CROQUIS_DATOS!$C$1505,CROQUIS_DATOS!$C$1509,CROQUIS_DATOS!$C$1513,CROQUIS_DATOS!$C$1517)=1,CROQUIS_DATOS!$C$1557,0)=0),0,IF(MOD($A131-1,62)+1&gt;2*IF(CHOOSE(MIN(MAX(MIN(INT(($A131-1)/62)+1,5),1),5),CROQUIS_DATOS!$C$1501,CROQUIS_DATOS!$C$1505,CROQUIS_DATOS!$C$1509,CROQUIS_DATOS!$C$1513,CROQUIS_DATOS!$C$1517)=1,CROQUIS_DATOS!$C$1557,0)+1,IF(MOD(IF(CHOOSE(MIN(MAX(MIN(INT(($A131-1)/62)+1,5),1),5),CROQUIS_DATOS!$C$1501,CROQUIS_DATOS!$C$1505,CROQUIS_DATOS!$C$1509,CROQUIS_DATOS!$C$1513,CROQUIS_DATOS!$C$1517)=1,CROQUIS_DATOS!$C$1557,0),2)=1,1,0),IF(MOD(MIN(INT((MOD($A131-1,62)+1-2)/2)+1,MAX(IF(CHOOSE(MIN(MAX(MIN(INT(($A131-1)/62)+1,5),1),5),CROQUIS_DATOS!$C$1501,CROQUIS_DATOS!$C$1505,CROQUIS_DATOS!$C$1509,CROQUIS_DATOS!$C$1513,CROQUIS_DATOS!$C$1517)=1,CROQUIS_DATOS!$C$1557,0),1)),2)=1,IF(MOD(MOD($A131-1,62)+1-2,2)=0,0,1),IF(MOD(MOD($A131-1,62)+1-2,2)=0,1,0))))=0,(CHOOSE(MIN(MAX(MIN(INT(($A131-1)/62)+1,5),1),5),CROQUIS_DATOS!$C$1499,CROQUIS_DATOS!$C$1503,CROQUIS_DATOS!$C$1507,CROQUIS_DATOS!$C$1511,CROQUIS_DATOS!$C$1515)+IF(CHOOSE(MIN(MAX(MIN(INT(($A131-1)/62)+1,5),1),5),CROQUIS_DATOS!$C$1501,CROQUIS_DATOS!$C$1505,CROQUIS_DATOS!$C$1509,CROQUIS_DATOS!$C$1513,CROQUIS_DATOS!$C$1517)=1,CROQUIS_DATOS!$C$1526,0)),(CHOOSE(MIN(MAX(MIN(INT(($A131-1)/62)+1,5),1),5),CROQUIS_DATOS!$C$1499,CROQUIS_DATOS!$C$1503,CROQUIS_DATOS!$C$1507,CROQUIS_DATOS!$C$1511,CROQUIS_DATOS!$C$1515)+CHOOSE(MIN(MAX(MIN(INT(($A131-1)/62)+1,5),1),5),CROQUIS_DATOS!$C$1500,CROQUIS_DATOS!$C$1504,CROQUIS_DATOS!$C$1508,CROQUIS_DATOS!$C$1512,CROQUIS_DATOS!$C$1516)-IF(CHOOSE(MIN(MAX(MIN(INT(($A131-1)/62)+1,5),1),5),CROQUIS_DATOS!$C$1501,CROQUIS_DATOS!$C$1505,CROQUIS_DATOS!$C$1509,CROQUIS_DATOS!$C$1513,CROQUIS_DATOS!$C$1517)=1,CROQUIS_DATOS!$C$1526,0))))*CROQUIS_DATOS!$C$1562),-1000)</f>
        <v>-1000</v>
      </c>
      <c r="Q131">
        <f>IF(AND(CROQUIS_DATOS!$C$1472=1,CROQUIS_DATOS!$C$1555=1),(CROQUIS_DATOS!$C$1564+(IF(OR(OR(MOD($A131-1,62)+1=1,IF(CHOOSE(MIN(MAX(MIN(INT(($A131-1)/62)+1,5),1),5),CROQUIS_DATOS!$C$1501,CROQUIS_DATOS!$C$1505,CROQUIS_DATOS!$C$1509,CROQUIS_DATOS!$C$1513,CROQUIS_DATOS!$C$1517)=1,CROQUIS_DATOS!$C$1557,0)=0),MOD($A131-1,62)+1&gt;2*IF(CHOOSE(MIN(MAX(MIN(INT(($A131-1)/62)+1,5),1),5),CROQUIS_DATOS!$C$1501,CROQUIS_DATOS!$C$1505,CROQUIS_DATOS!$C$1509,CROQUIS_DATOS!$C$1513,CROQUIS_DATOS!$C$1517)=1,CROQUIS_DATOS!$C$1557,0)+1),CROQUIS_DATOS!$C$1476,MIN(INT((MOD($A131-1,62)+1-2)/2)+1,MAX(IF(CHOOSE(MIN(MAX(MIN(INT(($A131-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1">
        <f>IF(AND(CROQUIS_DATOS!$C$1472=1,1),(CROQUIS_DATOS!$C$1563+(MIN(INT(($A131-1)/2)+1,CROQUIS_DATOS!$C$1558)*CROQUIS_DATOS!$C$1559)*CROQUIS_DATOS!$C$1562),-1000)</f>
        <v>82.2281167108753</v>
      </c>
      <c r="U131">
        <f>IF(AND(CROQUIS_DATOS!$C$1472=1,1),(CROQUIS_DATOS!$C$1564+(IF(INT(($A131-1)/2)+1&gt;CROQUIS_DATOS!$C$1558,IF(MOD(CROQUIS_DATOS!$C$1558,2)=1,CROQUIS_DATOS!$C$1476+CROQUIS_DATOS!$C$1528,CROQUIS_DATOS!$C$1476),IF(IF(MOD(MIN(INT(($A131-1)/2)+1,CROQUIS_DATOS!$C$1558),2)=1,MOD($A131-1,2),1-MOD($A131-1,2))=1,CROQUIS_DATOS!$C$1476+CROQUIS_DATOS!$C$1528,CROQUIS_DATOS!$C$1476)))*CROQUIS_DATOS!$C$1561*CROQUIS_DATOS!$C$1562),-1000)</f>
        <v>43</v>
      </c>
      <c r="BZ131">
        <f>IF(AND(CROQUIS_DATOS!$C$1472=1,CROQUIS_DATOS!$C$1500&gt;0,((CROQUIS_DATOS!$C$1499+CROQUIS_DATOS!$C$1500))-(CROQUIS_DATOS!$C$1499)&gt;0.5,(CROQUIS_DATOS!$C$1476)-(0)&gt;0.5),(CROQUIS_DATOS!$C$1566+(IF(IF(MOD(MIN(INT(($A131-1)/2)+1,MAX(1,INT(((((CROQUIS_DATOS!$C$1499+CROQUIS_DATOS!$C$1500))-(CROQUIS_DATOS!$C$1499))+((CROQUIS_DATOS!$C$1476)*CROQUIS_DATOS!$C$1561-(0)*CROQUIS_DATOS!$C$1561))/CROQUIS_DATOS!$C$1568-0.000001))),2)=1,IF(INT(($A131-1)/2)+1&gt;MAX(1,INT(((((CROQUIS_DATOS!$C$1499+CROQUIS_DATOS!$C$1500))-(CROQUIS_DATOS!$C$1499))+((CROQUIS_DATOS!$C$1476)*CROQUIS_DATOS!$C$1561-(0)*CROQUIS_DATOS!$C$1561))/CROQUIS_DATOS!$C$1568-0.000001)),1,MOD($A131-1,2)),1-IF(INT(($A131-1)/2)+1&gt;MAX(1,INT(((((CROQUIS_DATOS!$C$1499+CROQUIS_DATOS!$C$1500))-(CROQUIS_DATOS!$C$1499))+((CROQUIS_DATOS!$C$1476)*CROQUIS_DATOS!$C$1561-(0)*CROQUIS_DATOS!$C$1561))/CROQUIS_DATOS!$C$1568-0.000001)),1,MOD($A131-1,2)))=1,MIN((CROQUIS_DATOS!$C$1476)*CROQUIS_DATOS!$C$1561,((CROQUIS_DATOS!$C$1499+CROQUIS_DATOS!$C$1500)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1">
        <f>IF(AND(CROQUIS_DATOS!$C$1472=1,CROQUIS_DATOS!$C$1500&gt;0,((CROQUIS_DATOS!$C$1499+CROQUIS_DATOS!$C$1500))-(CROQUIS_DATOS!$C$1499)&gt;0.5,(CROQUIS_DATOS!$C$1476)-(0)&gt;0.5),(CROQUIS_DATOS!$C$1567+(IF(IF(MOD(MIN(INT(($A131-1)/2)+1,MAX(1,INT(((((CROQUIS_DATOS!$C$1499+CROQUIS_DATOS!$C$1500))-(CROQUIS_DATOS!$C$1499))+((CROQUIS_DATOS!$C$1476)*CROQUIS_DATOS!$C$1561-(0)*CROQUIS_DATOS!$C$1561))/CROQUIS_DATOS!$C$1568-0.000001))),2)=1,IF(INT(($A131-1)/2)+1&gt;MAX(1,INT(((((CROQUIS_DATOS!$C$1499+CROQUIS_DATOS!$C$1500))-(CROQUIS_DATOS!$C$1499))+((CROQUIS_DATOS!$C$1476)*CROQUIS_DATOS!$C$1561-(0)*CROQUIS_DATOS!$C$1561))/CROQUIS_DATOS!$C$1568-0.000001)),1,MOD($A131-1,2)),1-IF(INT(($A131-1)/2)+1&gt;MAX(1,INT(((((CROQUIS_DATOS!$C$1499+CROQUIS_DATOS!$C$1500))-(CROQUIS_DATOS!$C$1499))+((CROQUIS_DATOS!$C$1476)*CROQUIS_DATOS!$C$1561-(0)*CROQUIS_DATOS!$C$1561))/CROQUIS_DATOS!$C$1568-0.000001)),1,MOD($A131-1,2)))=1,MIN((CROQUIS_DATOS!$C$1476)*CROQUIS_DATOS!$C$1561,((CROQUIS_DATOS!$C$1499+CROQUIS_DATOS!$C$1500)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1">
        <f>IF(AND(CROQUIS_DATOS!$C$1472=1,CROQUIS_DATOS!$C$1504&gt;0,((CROQUIS_DATOS!$C$1503+CROQUIS_DATOS!$C$1504))-(CROQUIS_DATOS!$C$1503)&gt;0.5,(CROQUIS_DATOS!$C$1476)-(0)&gt;0.5),(CROQUIS_DATOS!$C$1566+(IF(IF(MOD(MIN(INT(($A131-1)/2)+1,MAX(1,INT(((((CROQUIS_DATOS!$C$1503+CROQUIS_DATOS!$C$1504))-(CROQUIS_DATOS!$C$1503))+((CROQUIS_DATOS!$C$1476)*CROQUIS_DATOS!$C$1561-(0)*CROQUIS_DATOS!$C$1561))/CROQUIS_DATOS!$C$1568-0.000001))),2)=1,IF(INT(($A131-1)/2)+1&gt;MAX(1,INT(((((CROQUIS_DATOS!$C$1503+CROQUIS_DATOS!$C$1504))-(CROQUIS_DATOS!$C$1503))+((CROQUIS_DATOS!$C$1476)*CROQUIS_DATOS!$C$1561-(0)*CROQUIS_DATOS!$C$1561))/CROQUIS_DATOS!$C$1568-0.000001)),1,MOD($A131-1,2)),1-IF(INT(($A131-1)/2)+1&gt;MAX(1,INT(((((CROQUIS_DATOS!$C$1503+CROQUIS_DATOS!$C$1504))-(CROQUIS_DATOS!$C$1503))+((CROQUIS_DATOS!$C$1476)*CROQUIS_DATOS!$C$1561-(0)*CROQUIS_DATOS!$C$1561))/CROQUIS_DATOS!$C$1568-0.000001)),1,MOD($A131-1,2)))=1,MIN((CROQUIS_DATOS!$C$1476)*CROQUIS_DATOS!$C$1561,((CROQUIS_DATOS!$C$1503+CROQUIS_DATOS!$C$1504)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1">
        <f>IF(AND(CROQUIS_DATOS!$C$1472=1,CROQUIS_DATOS!$C$1504&gt;0,((CROQUIS_DATOS!$C$1503+CROQUIS_DATOS!$C$1504))-(CROQUIS_DATOS!$C$1503)&gt;0.5,(CROQUIS_DATOS!$C$1476)-(0)&gt;0.5),(CROQUIS_DATOS!$C$1567+(IF(IF(MOD(MIN(INT(($A131-1)/2)+1,MAX(1,INT(((((CROQUIS_DATOS!$C$1503+CROQUIS_DATOS!$C$1504))-(CROQUIS_DATOS!$C$1503))+((CROQUIS_DATOS!$C$1476)*CROQUIS_DATOS!$C$1561-(0)*CROQUIS_DATOS!$C$1561))/CROQUIS_DATOS!$C$1568-0.000001))),2)=1,IF(INT(($A131-1)/2)+1&gt;MAX(1,INT(((((CROQUIS_DATOS!$C$1503+CROQUIS_DATOS!$C$1504))-(CROQUIS_DATOS!$C$1503))+((CROQUIS_DATOS!$C$1476)*CROQUIS_DATOS!$C$1561-(0)*CROQUIS_DATOS!$C$1561))/CROQUIS_DATOS!$C$1568-0.000001)),1,MOD($A131-1,2)),1-IF(INT(($A131-1)/2)+1&gt;MAX(1,INT(((((CROQUIS_DATOS!$C$1503+CROQUIS_DATOS!$C$1504))-(CROQUIS_DATOS!$C$1503))+((CROQUIS_DATOS!$C$1476)*CROQUIS_DATOS!$C$1561-(0)*CROQUIS_DATOS!$C$1561))/CROQUIS_DATOS!$C$1568-0.000001)),1,MOD($A131-1,2)))=1,MIN((CROQUIS_DATOS!$C$1476)*CROQUIS_DATOS!$C$1561,((CROQUIS_DATOS!$C$1503+CROQUIS_DATOS!$C$1504)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1">
        <f>IF(AND(CROQUIS_DATOS!$C$1472=1,CROQUIS_DATOS!$C$1508&gt;0,((CROQUIS_DATOS!$C$1507+CROQUIS_DATOS!$C$1508))-(CROQUIS_DATOS!$C$1507)&gt;0.5,(CROQUIS_DATOS!$C$1476)-(0)&gt;0.5),(CROQUIS_DATOS!$C$1566+(IF(IF(MOD(MIN(INT(($A131-1)/2)+1,MAX(1,INT(((((CROQUIS_DATOS!$C$1507+CROQUIS_DATOS!$C$1508))-(CROQUIS_DATOS!$C$1507))+((CROQUIS_DATOS!$C$1476)*CROQUIS_DATOS!$C$1561-(0)*CROQUIS_DATOS!$C$1561))/CROQUIS_DATOS!$C$1568-0.000001))),2)=1,IF(INT(($A131-1)/2)+1&gt;MAX(1,INT(((((CROQUIS_DATOS!$C$1507+CROQUIS_DATOS!$C$1508))-(CROQUIS_DATOS!$C$1507))+((CROQUIS_DATOS!$C$1476)*CROQUIS_DATOS!$C$1561-(0)*CROQUIS_DATOS!$C$1561))/CROQUIS_DATOS!$C$1568-0.000001)),1,MOD($A131-1,2)),1-IF(INT(($A131-1)/2)+1&gt;MAX(1,INT(((((CROQUIS_DATOS!$C$1507+CROQUIS_DATOS!$C$1508))-(CROQUIS_DATOS!$C$1507))+((CROQUIS_DATOS!$C$1476)*CROQUIS_DATOS!$C$1561-(0)*CROQUIS_DATOS!$C$1561))/CROQUIS_DATOS!$C$1568-0.000001)),1,MOD($A131-1,2)))=1,MIN((CROQUIS_DATOS!$C$1476)*CROQUIS_DATOS!$C$1561,((CROQUIS_DATOS!$C$1507+CROQUIS_DATOS!$C$1508)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1">
        <f>IF(AND(CROQUIS_DATOS!$C$1472=1,CROQUIS_DATOS!$C$1508&gt;0,((CROQUIS_DATOS!$C$1507+CROQUIS_DATOS!$C$1508))-(CROQUIS_DATOS!$C$1507)&gt;0.5,(CROQUIS_DATOS!$C$1476)-(0)&gt;0.5),(CROQUIS_DATOS!$C$1567+(IF(IF(MOD(MIN(INT(($A131-1)/2)+1,MAX(1,INT(((((CROQUIS_DATOS!$C$1507+CROQUIS_DATOS!$C$1508))-(CROQUIS_DATOS!$C$1507))+((CROQUIS_DATOS!$C$1476)*CROQUIS_DATOS!$C$1561-(0)*CROQUIS_DATOS!$C$1561))/CROQUIS_DATOS!$C$1568-0.000001))),2)=1,IF(INT(($A131-1)/2)+1&gt;MAX(1,INT(((((CROQUIS_DATOS!$C$1507+CROQUIS_DATOS!$C$1508))-(CROQUIS_DATOS!$C$1507))+((CROQUIS_DATOS!$C$1476)*CROQUIS_DATOS!$C$1561-(0)*CROQUIS_DATOS!$C$1561))/CROQUIS_DATOS!$C$1568-0.000001)),1,MOD($A131-1,2)),1-IF(INT(($A131-1)/2)+1&gt;MAX(1,INT(((((CROQUIS_DATOS!$C$1507+CROQUIS_DATOS!$C$1508))-(CROQUIS_DATOS!$C$1507))+((CROQUIS_DATOS!$C$1476)*CROQUIS_DATOS!$C$1561-(0)*CROQUIS_DATOS!$C$1561))/CROQUIS_DATOS!$C$1568-0.000001)),1,MOD($A131-1,2)))=1,MIN((CROQUIS_DATOS!$C$1476)*CROQUIS_DATOS!$C$1561,((CROQUIS_DATOS!$C$1507+CROQUIS_DATOS!$C$1508)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1">
        <f>IF(AND(CROQUIS_DATOS!$C$1472=1,CROQUIS_DATOS!$C$1512&gt;0,((CROQUIS_DATOS!$C$1511+CROQUIS_DATOS!$C$1512))-(CROQUIS_DATOS!$C$1511)&gt;0.5,(CROQUIS_DATOS!$C$1476)-(0)&gt;0.5),(CROQUIS_DATOS!$C$1566+(IF(IF(MOD(MIN(INT(($A131-1)/2)+1,MAX(1,INT(((((CROQUIS_DATOS!$C$1511+CROQUIS_DATOS!$C$1512))-(CROQUIS_DATOS!$C$1511))+((CROQUIS_DATOS!$C$1476)*CROQUIS_DATOS!$C$1561-(0)*CROQUIS_DATOS!$C$1561))/CROQUIS_DATOS!$C$1568-0.000001))),2)=1,IF(INT(($A131-1)/2)+1&gt;MAX(1,INT(((((CROQUIS_DATOS!$C$1511+CROQUIS_DATOS!$C$1512))-(CROQUIS_DATOS!$C$1511))+((CROQUIS_DATOS!$C$1476)*CROQUIS_DATOS!$C$1561-(0)*CROQUIS_DATOS!$C$1561))/CROQUIS_DATOS!$C$1568-0.000001)),1,MOD($A131-1,2)),1-IF(INT(($A131-1)/2)+1&gt;MAX(1,INT(((((CROQUIS_DATOS!$C$1511+CROQUIS_DATOS!$C$1512))-(CROQUIS_DATOS!$C$1511))+((CROQUIS_DATOS!$C$1476)*CROQUIS_DATOS!$C$1561-(0)*CROQUIS_DATOS!$C$1561))/CROQUIS_DATOS!$C$1568-0.000001)),1,MOD($A131-1,2)))=1,MIN((CROQUIS_DATOS!$C$1476)*CROQUIS_DATOS!$C$1561,((CROQUIS_DATOS!$C$1511+CROQUIS_DATOS!$C$1512)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1">
        <f>IF(AND(CROQUIS_DATOS!$C$1472=1,CROQUIS_DATOS!$C$1512&gt;0,((CROQUIS_DATOS!$C$1511+CROQUIS_DATOS!$C$1512))-(CROQUIS_DATOS!$C$1511)&gt;0.5,(CROQUIS_DATOS!$C$1476)-(0)&gt;0.5),(CROQUIS_DATOS!$C$1567+(IF(IF(MOD(MIN(INT(($A131-1)/2)+1,MAX(1,INT(((((CROQUIS_DATOS!$C$1511+CROQUIS_DATOS!$C$1512))-(CROQUIS_DATOS!$C$1511))+((CROQUIS_DATOS!$C$1476)*CROQUIS_DATOS!$C$1561-(0)*CROQUIS_DATOS!$C$1561))/CROQUIS_DATOS!$C$1568-0.000001))),2)=1,IF(INT(($A131-1)/2)+1&gt;MAX(1,INT(((((CROQUIS_DATOS!$C$1511+CROQUIS_DATOS!$C$1512))-(CROQUIS_DATOS!$C$1511))+((CROQUIS_DATOS!$C$1476)*CROQUIS_DATOS!$C$1561-(0)*CROQUIS_DATOS!$C$1561))/CROQUIS_DATOS!$C$1568-0.000001)),1,MOD($A131-1,2)),1-IF(INT(($A131-1)/2)+1&gt;MAX(1,INT(((((CROQUIS_DATOS!$C$1511+CROQUIS_DATOS!$C$1512))-(CROQUIS_DATOS!$C$1511))+((CROQUIS_DATOS!$C$1476)*CROQUIS_DATOS!$C$1561-(0)*CROQUIS_DATOS!$C$1561))/CROQUIS_DATOS!$C$1568-0.000001)),1,MOD($A131-1,2)))=1,MIN((CROQUIS_DATOS!$C$1476)*CROQUIS_DATOS!$C$1561,((CROQUIS_DATOS!$C$1511+CROQUIS_DATOS!$C$1512)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1">
        <f>IF(AND(CROQUIS_DATOS!$C$1472=1,CROQUIS_DATOS!$C$1516&gt;0,((CROQUIS_DATOS!$C$1515+CROQUIS_DATOS!$C$1516))-(CROQUIS_DATOS!$C$1515)&gt;0.5,(CROQUIS_DATOS!$C$1476)-(0)&gt;0.5),(CROQUIS_DATOS!$C$1566+(IF(IF(MOD(MIN(INT(($A131-1)/2)+1,MAX(1,INT(((((CROQUIS_DATOS!$C$1515+CROQUIS_DATOS!$C$1516))-(CROQUIS_DATOS!$C$1515))+((CROQUIS_DATOS!$C$1476)*CROQUIS_DATOS!$C$1561-(0)*CROQUIS_DATOS!$C$1561))/CROQUIS_DATOS!$C$1568-0.000001))),2)=1,IF(INT(($A131-1)/2)+1&gt;MAX(1,INT(((((CROQUIS_DATOS!$C$1515+CROQUIS_DATOS!$C$1516))-(CROQUIS_DATOS!$C$1515))+((CROQUIS_DATOS!$C$1476)*CROQUIS_DATOS!$C$1561-(0)*CROQUIS_DATOS!$C$1561))/CROQUIS_DATOS!$C$1568-0.000001)),1,MOD($A131-1,2)),1-IF(INT(($A131-1)/2)+1&gt;MAX(1,INT(((((CROQUIS_DATOS!$C$1515+CROQUIS_DATOS!$C$1516))-(CROQUIS_DATOS!$C$1515))+((CROQUIS_DATOS!$C$1476)*CROQUIS_DATOS!$C$1561-(0)*CROQUIS_DATOS!$C$1561))/CROQUIS_DATOS!$C$1568-0.000001)),1,MOD($A131-1,2)))=1,MIN((CROQUIS_DATOS!$C$1476)*CROQUIS_DATOS!$C$1561,((CROQUIS_DATOS!$C$1515+CROQUIS_DATOS!$C$1516)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1">
        <f>IF(AND(CROQUIS_DATOS!$C$1472=1,CROQUIS_DATOS!$C$1516&gt;0,((CROQUIS_DATOS!$C$1515+CROQUIS_DATOS!$C$1516))-(CROQUIS_DATOS!$C$1515)&gt;0.5,(CROQUIS_DATOS!$C$1476)-(0)&gt;0.5),(CROQUIS_DATOS!$C$1567+(IF(IF(MOD(MIN(INT(($A131-1)/2)+1,MAX(1,INT(((((CROQUIS_DATOS!$C$1515+CROQUIS_DATOS!$C$1516))-(CROQUIS_DATOS!$C$1515))+((CROQUIS_DATOS!$C$1476)*CROQUIS_DATOS!$C$1561-(0)*CROQUIS_DATOS!$C$1561))/CROQUIS_DATOS!$C$1568-0.000001))),2)=1,IF(INT(($A131-1)/2)+1&gt;MAX(1,INT(((((CROQUIS_DATOS!$C$1515+CROQUIS_DATOS!$C$1516))-(CROQUIS_DATOS!$C$1515))+((CROQUIS_DATOS!$C$1476)*CROQUIS_DATOS!$C$1561-(0)*CROQUIS_DATOS!$C$1561))/CROQUIS_DATOS!$C$1568-0.000001)),1,MOD($A131-1,2)),1-IF(INT(($A131-1)/2)+1&gt;MAX(1,INT(((((CROQUIS_DATOS!$C$1515+CROQUIS_DATOS!$C$1516))-(CROQUIS_DATOS!$C$1515))+((CROQUIS_DATOS!$C$1476)*CROQUIS_DATOS!$C$1561-(0)*CROQUIS_DATOS!$C$1561))/CROQUIS_DATOS!$C$1568-0.000001)),1,MOD($A131-1,2)))=1,MIN((CROQUIS_DATOS!$C$1476)*CROQUIS_DATOS!$C$1561,((CROQUIS_DATOS!$C$1515+CROQUIS_DATOS!$C$1516)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1">
        <f>IF(AND(CROQUIS_DATOS!$C$1472=1,CROQUIS_DATOS!$C$1478&gt;=1,((CROQUIS_DATOS!$C$1479+CROQUIS_DATOS!$C$1480))-(CROQUIS_DATOS!$C$1479)&gt;0.5,(CROQUIS_DATOS!$C$1481)-(0)&gt;0.5),(CROQUIS_DATOS!$C$1566+(IF(IF(MOD(MIN(INT(($A131-1)/2)+1,MAX(1,INT(((((CROQUIS_DATOS!$C$1479+CROQUIS_DATOS!$C$1480))-(CROQUIS_DATOS!$C$1479))+((CROQUIS_DATOS!$C$1481)*CROQUIS_DATOS!$C$1561-(0)*CROQUIS_DATOS!$C$1561))/CROQUIS_DATOS!$C$1568-0.000001))),2)=1,IF(INT(($A131-1)/2)+1&gt;MAX(1,INT(((((CROQUIS_DATOS!$C$1479+CROQUIS_DATOS!$C$1480))-(CROQUIS_DATOS!$C$1479))+((CROQUIS_DATOS!$C$1481)*CROQUIS_DATOS!$C$1561-(0)*CROQUIS_DATOS!$C$1561))/CROQUIS_DATOS!$C$1568-0.000001)),1,MOD($A131-1,2)),1-IF(INT(($A131-1)/2)+1&gt;MAX(1,INT(((((CROQUIS_DATOS!$C$1479+CROQUIS_DATOS!$C$1480))-(CROQUIS_DATOS!$C$1479))+((CROQUIS_DATOS!$C$1481)*CROQUIS_DATOS!$C$1561-(0)*CROQUIS_DATOS!$C$1561))/CROQUIS_DATOS!$C$1568-0.000001)),1,MOD($A131-1,2)))=1,MIN((CROQUIS_DATOS!$C$1481)*CROQUIS_DATOS!$C$1561,((CROQUIS_DATOS!$C$1479+CROQUIS_DATOS!$C$1480)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1">
        <f>IF(AND(CROQUIS_DATOS!$C$1472=1,CROQUIS_DATOS!$C$1478&gt;=1,((CROQUIS_DATOS!$C$1479+CROQUIS_DATOS!$C$1480))-(CROQUIS_DATOS!$C$1479)&gt;0.5,(CROQUIS_DATOS!$C$1481)-(0)&gt;0.5),(CROQUIS_DATOS!$C$1567+(IF(IF(MOD(MIN(INT(($A131-1)/2)+1,MAX(1,INT(((((CROQUIS_DATOS!$C$1479+CROQUIS_DATOS!$C$1480))-(CROQUIS_DATOS!$C$1479))+((CROQUIS_DATOS!$C$1481)*CROQUIS_DATOS!$C$1561-(0)*CROQUIS_DATOS!$C$1561))/CROQUIS_DATOS!$C$1568-0.000001))),2)=1,IF(INT(($A131-1)/2)+1&gt;MAX(1,INT(((((CROQUIS_DATOS!$C$1479+CROQUIS_DATOS!$C$1480))-(CROQUIS_DATOS!$C$1479))+((CROQUIS_DATOS!$C$1481)*CROQUIS_DATOS!$C$1561-(0)*CROQUIS_DATOS!$C$1561))/CROQUIS_DATOS!$C$1568-0.000001)),1,MOD($A131-1,2)),1-IF(INT(($A131-1)/2)+1&gt;MAX(1,INT(((((CROQUIS_DATOS!$C$1479+CROQUIS_DATOS!$C$1480))-(CROQUIS_DATOS!$C$1479))+((CROQUIS_DATOS!$C$1481)*CROQUIS_DATOS!$C$1561-(0)*CROQUIS_DATOS!$C$1561))/CROQUIS_DATOS!$C$1568-0.000001)),1,MOD($A131-1,2)))=1,MIN((CROQUIS_DATOS!$C$1481)*CROQUIS_DATOS!$C$1561,((CROQUIS_DATOS!$C$1479+CROQUIS_DATOS!$C$1480)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1">
        <f>IF(AND(CROQUIS_DATOS!$C$1472=1,CROQUIS_DATOS!$C$1478&gt;=1,((CROQUIS_DATOS!$C$1479+CROQUIS_DATOS!$C$1480))-(CROQUIS_DATOS!$C$1479)&gt;0.5,(CROQUIS_DATOS!$C$1476)-((CROQUIS_DATOS!$C$1481+CROQUIS_DATOS!$C$1482))&gt;0.5),(CROQUIS_DATOS!$C$1566+(IF(IF(MOD(MIN(INT(($A131-1)/2)+1,MAX(1,INT(((((CROQUIS_DATOS!$C$1479+CROQUIS_DATOS!$C$1480))-(CROQUIS_DATOS!$C$1479))+((CROQUIS_DATOS!$C$1476)*CROQUIS_DATOS!$C$1561-((CROQUIS_DATOS!$C$1481+CROQUIS_DATOS!$C$1482))*CROQUIS_DATOS!$C$1561))/CROQUIS_DATOS!$C$1568-0.000001))),2)=1,IF(INT(($A131-1)/2)+1&gt;MAX(1,INT(((((CROQUIS_DATOS!$C$1479+CROQUIS_DATOS!$C$1480))-(CROQUIS_DATOS!$C$1479))+((CROQUIS_DATOS!$C$1476)*CROQUIS_DATOS!$C$1561-((CROQUIS_DATOS!$C$1481+CROQUIS_DATOS!$C$1482))*CROQUIS_DATOS!$C$1561))/CROQUIS_DATOS!$C$1568-0.000001)),1,MOD($A131-1,2)),1-IF(INT(($A131-1)/2)+1&gt;MAX(1,INT(((((CROQUIS_DATOS!$C$1479+CROQUIS_DATOS!$C$1480))-(CROQUIS_DATOS!$C$1479))+((CROQUIS_DATOS!$C$1476)*CROQUIS_DATOS!$C$1561-((CROQUIS_DATOS!$C$1481+CROQUIS_DATOS!$C$1482))*CROQUIS_DATOS!$C$1561))/CROQUIS_DATOS!$C$1568-0.000001)),1,MOD($A131-1,2)))=1,MIN((CROQUIS_DATOS!$C$1476)*CROQUIS_DATOS!$C$1561,((CROQUIS_DATOS!$C$1479+CROQUIS_DATOS!$C$1480)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1">
        <f>IF(AND(CROQUIS_DATOS!$C$1472=1,CROQUIS_DATOS!$C$1478&gt;=1,((CROQUIS_DATOS!$C$1479+CROQUIS_DATOS!$C$1480))-(CROQUIS_DATOS!$C$1479)&gt;0.5,(CROQUIS_DATOS!$C$1476)-((CROQUIS_DATOS!$C$1481+CROQUIS_DATOS!$C$1482))&gt;0.5),(CROQUIS_DATOS!$C$1567+(IF(IF(MOD(MIN(INT(($A131-1)/2)+1,MAX(1,INT(((((CROQUIS_DATOS!$C$1479+CROQUIS_DATOS!$C$1480))-(CROQUIS_DATOS!$C$1479))+((CROQUIS_DATOS!$C$1476)*CROQUIS_DATOS!$C$1561-((CROQUIS_DATOS!$C$1481+CROQUIS_DATOS!$C$1482))*CROQUIS_DATOS!$C$1561))/CROQUIS_DATOS!$C$1568-0.000001))),2)=1,IF(INT(($A131-1)/2)+1&gt;MAX(1,INT(((((CROQUIS_DATOS!$C$1479+CROQUIS_DATOS!$C$1480))-(CROQUIS_DATOS!$C$1479))+((CROQUIS_DATOS!$C$1476)*CROQUIS_DATOS!$C$1561-((CROQUIS_DATOS!$C$1481+CROQUIS_DATOS!$C$1482))*CROQUIS_DATOS!$C$1561))/CROQUIS_DATOS!$C$1568-0.000001)),1,MOD($A131-1,2)),1-IF(INT(($A131-1)/2)+1&gt;MAX(1,INT(((((CROQUIS_DATOS!$C$1479+CROQUIS_DATOS!$C$1480))-(CROQUIS_DATOS!$C$1479))+((CROQUIS_DATOS!$C$1476)*CROQUIS_DATOS!$C$1561-((CROQUIS_DATOS!$C$1481+CROQUIS_DATOS!$C$1482))*CROQUIS_DATOS!$C$1561))/CROQUIS_DATOS!$C$1568-0.000001)),1,MOD($A131-1,2)))=1,MIN((CROQUIS_DATOS!$C$1476)*CROQUIS_DATOS!$C$1561,((CROQUIS_DATOS!$C$1479+CROQUIS_DATOS!$C$1480)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1">
        <f>IF(AND(CROQUIS_DATOS!$C$1472=1,CROQUIS_DATOS!$C$1478&gt;=2,((CROQUIS_DATOS!$C$1484+CROQUIS_DATOS!$C$1485))-(CROQUIS_DATOS!$C$1484)&gt;0.5,(CROQUIS_DATOS!$C$1486)-(0)&gt;0.5),(CROQUIS_DATOS!$C$1566+(IF(IF(MOD(MIN(INT(($A131-1)/2)+1,MAX(1,INT(((((CROQUIS_DATOS!$C$1484+CROQUIS_DATOS!$C$1485))-(CROQUIS_DATOS!$C$1484))+((CROQUIS_DATOS!$C$1486)*CROQUIS_DATOS!$C$1561-(0)*CROQUIS_DATOS!$C$1561))/CROQUIS_DATOS!$C$1568-0.000001))),2)=1,IF(INT(($A131-1)/2)+1&gt;MAX(1,INT(((((CROQUIS_DATOS!$C$1484+CROQUIS_DATOS!$C$1485))-(CROQUIS_DATOS!$C$1484))+((CROQUIS_DATOS!$C$1486)*CROQUIS_DATOS!$C$1561-(0)*CROQUIS_DATOS!$C$1561))/CROQUIS_DATOS!$C$1568-0.000001)),1,MOD($A131-1,2)),1-IF(INT(($A131-1)/2)+1&gt;MAX(1,INT(((((CROQUIS_DATOS!$C$1484+CROQUIS_DATOS!$C$1485))-(CROQUIS_DATOS!$C$1484))+((CROQUIS_DATOS!$C$1486)*CROQUIS_DATOS!$C$1561-(0)*CROQUIS_DATOS!$C$1561))/CROQUIS_DATOS!$C$1568-0.000001)),1,MOD($A131-1,2)))=1,MIN((CROQUIS_DATOS!$C$1486)*CROQUIS_DATOS!$C$1561,((CROQUIS_DATOS!$C$1484+CROQUIS_DATOS!$C$1485)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1">
        <f>IF(AND(CROQUIS_DATOS!$C$1472=1,CROQUIS_DATOS!$C$1478&gt;=2,((CROQUIS_DATOS!$C$1484+CROQUIS_DATOS!$C$1485))-(CROQUIS_DATOS!$C$1484)&gt;0.5,(CROQUIS_DATOS!$C$1486)-(0)&gt;0.5),(CROQUIS_DATOS!$C$1567+(IF(IF(MOD(MIN(INT(($A131-1)/2)+1,MAX(1,INT(((((CROQUIS_DATOS!$C$1484+CROQUIS_DATOS!$C$1485))-(CROQUIS_DATOS!$C$1484))+((CROQUIS_DATOS!$C$1486)*CROQUIS_DATOS!$C$1561-(0)*CROQUIS_DATOS!$C$1561))/CROQUIS_DATOS!$C$1568-0.000001))),2)=1,IF(INT(($A131-1)/2)+1&gt;MAX(1,INT(((((CROQUIS_DATOS!$C$1484+CROQUIS_DATOS!$C$1485))-(CROQUIS_DATOS!$C$1484))+((CROQUIS_DATOS!$C$1486)*CROQUIS_DATOS!$C$1561-(0)*CROQUIS_DATOS!$C$1561))/CROQUIS_DATOS!$C$1568-0.000001)),1,MOD($A131-1,2)),1-IF(INT(($A131-1)/2)+1&gt;MAX(1,INT(((((CROQUIS_DATOS!$C$1484+CROQUIS_DATOS!$C$1485))-(CROQUIS_DATOS!$C$1484))+((CROQUIS_DATOS!$C$1486)*CROQUIS_DATOS!$C$1561-(0)*CROQUIS_DATOS!$C$1561))/CROQUIS_DATOS!$C$1568-0.000001)),1,MOD($A131-1,2)))=1,MIN((CROQUIS_DATOS!$C$1486)*CROQUIS_DATOS!$C$1561,((CROQUIS_DATOS!$C$1484+CROQUIS_DATOS!$C$1485)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1">
        <f>IF(AND(CROQUIS_DATOS!$C$1472=1,CROQUIS_DATOS!$C$1478&gt;=2,((CROQUIS_DATOS!$C$1484+CROQUIS_DATOS!$C$1485))-(CROQUIS_DATOS!$C$1484)&gt;0.5,(CROQUIS_DATOS!$C$1476)-((CROQUIS_DATOS!$C$1486+CROQUIS_DATOS!$C$1487))&gt;0.5),(CROQUIS_DATOS!$C$1566+(IF(IF(MOD(MIN(INT(($A131-1)/2)+1,MAX(1,INT(((((CROQUIS_DATOS!$C$1484+CROQUIS_DATOS!$C$1485))-(CROQUIS_DATOS!$C$1484))+((CROQUIS_DATOS!$C$1476)*CROQUIS_DATOS!$C$1561-((CROQUIS_DATOS!$C$1486+CROQUIS_DATOS!$C$1487))*CROQUIS_DATOS!$C$1561))/CROQUIS_DATOS!$C$1568-0.000001))),2)=1,IF(INT(($A131-1)/2)+1&gt;MAX(1,INT(((((CROQUIS_DATOS!$C$1484+CROQUIS_DATOS!$C$1485))-(CROQUIS_DATOS!$C$1484))+((CROQUIS_DATOS!$C$1476)*CROQUIS_DATOS!$C$1561-((CROQUIS_DATOS!$C$1486+CROQUIS_DATOS!$C$1487))*CROQUIS_DATOS!$C$1561))/CROQUIS_DATOS!$C$1568-0.000001)),1,MOD($A131-1,2)),1-IF(INT(($A131-1)/2)+1&gt;MAX(1,INT(((((CROQUIS_DATOS!$C$1484+CROQUIS_DATOS!$C$1485))-(CROQUIS_DATOS!$C$1484))+((CROQUIS_DATOS!$C$1476)*CROQUIS_DATOS!$C$1561-((CROQUIS_DATOS!$C$1486+CROQUIS_DATOS!$C$1487))*CROQUIS_DATOS!$C$1561))/CROQUIS_DATOS!$C$1568-0.000001)),1,MOD($A131-1,2)))=1,MIN((CROQUIS_DATOS!$C$1476)*CROQUIS_DATOS!$C$1561,((CROQUIS_DATOS!$C$1484+CROQUIS_DATOS!$C$1485)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1">
        <f>IF(AND(CROQUIS_DATOS!$C$1472=1,CROQUIS_DATOS!$C$1478&gt;=2,((CROQUIS_DATOS!$C$1484+CROQUIS_DATOS!$C$1485))-(CROQUIS_DATOS!$C$1484)&gt;0.5,(CROQUIS_DATOS!$C$1476)-((CROQUIS_DATOS!$C$1486+CROQUIS_DATOS!$C$1487))&gt;0.5),(CROQUIS_DATOS!$C$1567+(IF(IF(MOD(MIN(INT(($A131-1)/2)+1,MAX(1,INT(((((CROQUIS_DATOS!$C$1484+CROQUIS_DATOS!$C$1485))-(CROQUIS_DATOS!$C$1484))+((CROQUIS_DATOS!$C$1476)*CROQUIS_DATOS!$C$1561-((CROQUIS_DATOS!$C$1486+CROQUIS_DATOS!$C$1487))*CROQUIS_DATOS!$C$1561))/CROQUIS_DATOS!$C$1568-0.000001))),2)=1,IF(INT(($A131-1)/2)+1&gt;MAX(1,INT(((((CROQUIS_DATOS!$C$1484+CROQUIS_DATOS!$C$1485))-(CROQUIS_DATOS!$C$1484))+((CROQUIS_DATOS!$C$1476)*CROQUIS_DATOS!$C$1561-((CROQUIS_DATOS!$C$1486+CROQUIS_DATOS!$C$1487))*CROQUIS_DATOS!$C$1561))/CROQUIS_DATOS!$C$1568-0.000001)),1,MOD($A131-1,2)),1-IF(INT(($A131-1)/2)+1&gt;MAX(1,INT(((((CROQUIS_DATOS!$C$1484+CROQUIS_DATOS!$C$1485))-(CROQUIS_DATOS!$C$1484))+((CROQUIS_DATOS!$C$1476)*CROQUIS_DATOS!$C$1561-((CROQUIS_DATOS!$C$1486+CROQUIS_DATOS!$C$1487))*CROQUIS_DATOS!$C$1561))/CROQUIS_DATOS!$C$1568-0.000001)),1,MOD($A131-1,2)))=1,MIN((CROQUIS_DATOS!$C$1476)*CROQUIS_DATOS!$C$1561,((CROQUIS_DATOS!$C$1484+CROQUIS_DATOS!$C$1485)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1">
        <f>IF(AND(CROQUIS_DATOS!$C$1472=1,CROQUIS_DATOS!$C$1478&gt;=3,((CROQUIS_DATOS!$C$1489+CROQUIS_DATOS!$C$1490))-(CROQUIS_DATOS!$C$1489)&gt;0.5,(CROQUIS_DATOS!$C$1491)-(0)&gt;0.5),(CROQUIS_DATOS!$C$1566+(IF(IF(MOD(MIN(INT(($A131-1)/2)+1,MAX(1,INT(((((CROQUIS_DATOS!$C$1489+CROQUIS_DATOS!$C$1490))-(CROQUIS_DATOS!$C$1489))+((CROQUIS_DATOS!$C$1491)*CROQUIS_DATOS!$C$1561-(0)*CROQUIS_DATOS!$C$1561))/CROQUIS_DATOS!$C$1568-0.000001))),2)=1,IF(INT(($A131-1)/2)+1&gt;MAX(1,INT(((((CROQUIS_DATOS!$C$1489+CROQUIS_DATOS!$C$1490))-(CROQUIS_DATOS!$C$1489))+((CROQUIS_DATOS!$C$1491)*CROQUIS_DATOS!$C$1561-(0)*CROQUIS_DATOS!$C$1561))/CROQUIS_DATOS!$C$1568-0.000001)),1,MOD($A131-1,2)),1-IF(INT(($A131-1)/2)+1&gt;MAX(1,INT(((((CROQUIS_DATOS!$C$1489+CROQUIS_DATOS!$C$1490))-(CROQUIS_DATOS!$C$1489))+((CROQUIS_DATOS!$C$1491)*CROQUIS_DATOS!$C$1561-(0)*CROQUIS_DATOS!$C$1561))/CROQUIS_DATOS!$C$1568-0.000001)),1,MOD($A131-1,2)))=1,MIN((CROQUIS_DATOS!$C$1491)*CROQUIS_DATOS!$C$1561,((CROQUIS_DATOS!$C$1489+CROQUIS_DATOS!$C$1490)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1">
        <f>IF(AND(CROQUIS_DATOS!$C$1472=1,CROQUIS_DATOS!$C$1478&gt;=3,((CROQUIS_DATOS!$C$1489+CROQUIS_DATOS!$C$1490))-(CROQUIS_DATOS!$C$1489)&gt;0.5,(CROQUIS_DATOS!$C$1491)-(0)&gt;0.5),(CROQUIS_DATOS!$C$1567+(IF(IF(MOD(MIN(INT(($A131-1)/2)+1,MAX(1,INT(((((CROQUIS_DATOS!$C$1489+CROQUIS_DATOS!$C$1490))-(CROQUIS_DATOS!$C$1489))+((CROQUIS_DATOS!$C$1491)*CROQUIS_DATOS!$C$1561-(0)*CROQUIS_DATOS!$C$1561))/CROQUIS_DATOS!$C$1568-0.000001))),2)=1,IF(INT(($A131-1)/2)+1&gt;MAX(1,INT(((((CROQUIS_DATOS!$C$1489+CROQUIS_DATOS!$C$1490))-(CROQUIS_DATOS!$C$1489))+((CROQUIS_DATOS!$C$1491)*CROQUIS_DATOS!$C$1561-(0)*CROQUIS_DATOS!$C$1561))/CROQUIS_DATOS!$C$1568-0.000001)),1,MOD($A131-1,2)),1-IF(INT(($A131-1)/2)+1&gt;MAX(1,INT(((((CROQUIS_DATOS!$C$1489+CROQUIS_DATOS!$C$1490))-(CROQUIS_DATOS!$C$1489))+((CROQUIS_DATOS!$C$1491)*CROQUIS_DATOS!$C$1561-(0)*CROQUIS_DATOS!$C$1561))/CROQUIS_DATOS!$C$1568-0.000001)),1,MOD($A131-1,2)))=1,MIN((CROQUIS_DATOS!$C$1491)*CROQUIS_DATOS!$C$1561,((CROQUIS_DATOS!$C$1489+CROQUIS_DATOS!$C$1490)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1">
        <f>IF(AND(CROQUIS_DATOS!$C$1472=1,CROQUIS_DATOS!$C$1478&gt;=3,((CROQUIS_DATOS!$C$1489+CROQUIS_DATOS!$C$1490))-(CROQUIS_DATOS!$C$1489)&gt;0.5,(CROQUIS_DATOS!$C$1476)-((CROQUIS_DATOS!$C$1491+CROQUIS_DATOS!$C$1492))&gt;0.5),(CROQUIS_DATOS!$C$1566+(IF(IF(MOD(MIN(INT(($A131-1)/2)+1,MAX(1,INT(((((CROQUIS_DATOS!$C$1489+CROQUIS_DATOS!$C$1490))-(CROQUIS_DATOS!$C$1489))+((CROQUIS_DATOS!$C$1476)*CROQUIS_DATOS!$C$1561-((CROQUIS_DATOS!$C$1491+CROQUIS_DATOS!$C$1492))*CROQUIS_DATOS!$C$1561))/CROQUIS_DATOS!$C$1568-0.000001))),2)=1,IF(INT(($A131-1)/2)+1&gt;MAX(1,INT(((((CROQUIS_DATOS!$C$1489+CROQUIS_DATOS!$C$1490))-(CROQUIS_DATOS!$C$1489))+((CROQUIS_DATOS!$C$1476)*CROQUIS_DATOS!$C$1561-((CROQUIS_DATOS!$C$1491+CROQUIS_DATOS!$C$1492))*CROQUIS_DATOS!$C$1561))/CROQUIS_DATOS!$C$1568-0.000001)),1,MOD($A131-1,2)),1-IF(INT(($A131-1)/2)+1&gt;MAX(1,INT(((((CROQUIS_DATOS!$C$1489+CROQUIS_DATOS!$C$1490))-(CROQUIS_DATOS!$C$1489))+((CROQUIS_DATOS!$C$1476)*CROQUIS_DATOS!$C$1561-((CROQUIS_DATOS!$C$1491+CROQUIS_DATOS!$C$1492))*CROQUIS_DATOS!$C$1561))/CROQUIS_DATOS!$C$1568-0.000001)),1,MOD($A131-1,2)))=1,MIN((CROQUIS_DATOS!$C$1476)*CROQUIS_DATOS!$C$1561,((CROQUIS_DATOS!$C$1489+CROQUIS_DATOS!$C$1490)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1">
        <f>IF(AND(CROQUIS_DATOS!$C$1472=1,CROQUIS_DATOS!$C$1478&gt;=3,((CROQUIS_DATOS!$C$1489+CROQUIS_DATOS!$C$1490))-(CROQUIS_DATOS!$C$1489)&gt;0.5,(CROQUIS_DATOS!$C$1476)-((CROQUIS_DATOS!$C$1491+CROQUIS_DATOS!$C$1492))&gt;0.5),(CROQUIS_DATOS!$C$1567+(IF(IF(MOD(MIN(INT(($A131-1)/2)+1,MAX(1,INT(((((CROQUIS_DATOS!$C$1489+CROQUIS_DATOS!$C$1490))-(CROQUIS_DATOS!$C$1489))+((CROQUIS_DATOS!$C$1476)*CROQUIS_DATOS!$C$1561-((CROQUIS_DATOS!$C$1491+CROQUIS_DATOS!$C$1492))*CROQUIS_DATOS!$C$1561))/CROQUIS_DATOS!$C$1568-0.000001))),2)=1,IF(INT(($A131-1)/2)+1&gt;MAX(1,INT(((((CROQUIS_DATOS!$C$1489+CROQUIS_DATOS!$C$1490))-(CROQUIS_DATOS!$C$1489))+((CROQUIS_DATOS!$C$1476)*CROQUIS_DATOS!$C$1561-((CROQUIS_DATOS!$C$1491+CROQUIS_DATOS!$C$1492))*CROQUIS_DATOS!$C$1561))/CROQUIS_DATOS!$C$1568-0.000001)),1,MOD($A131-1,2)),1-IF(INT(($A131-1)/2)+1&gt;MAX(1,INT(((((CROQUIS_DATOS!$C$1489+CROQUIS_DATOS!$C$1490))-(CROQUIS_DATOS!$C$1489))+((CROQUIS_DATOS!$C$1476)*CROQUIS_DATOS!$C$1561-((CROQUIS_DATOS!$C$1491+CROQUIS_DATOS!$C$1492))*CROQUIS_DATOS!$C$1561))/CROQUIS_DATOS!$C$1568-0.000001)),1,MOD($A131-1,2)))=1,MIN((CROQUIS_DATOS!$C$1476)*CROQUIS_DATOS!$C$1561,((CROQUIS_DATOS!$C$1489+CROQUIS_DATOS!$C$1490)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1">
        <f>IF(AND(CROQUIS_DATOS!$C$1472=1,CROQUIS_DATOS!$C$1478&gt;=4,((CROQUIS_DATOS!$C$1494+CROQUIS_DATOS!$C$1495))-(CROQUIS_DATOS!$C$1494)&gt;0.5,(CROQUIS_DATOS!$C$1496)-(0)&gt;0.5),(CROQUIS_DATOS!$C$1566+(IF(IF(MOD(MIN(INT(($A131-1)/2)+1,MAX(1,INT(((((CROQUIS_DATOS!$C$1494+CROQUIS_DATOS!$C$1495))-(CROQUIS_DATOS!$C$1494))+((CROQUIS_DATOS!$C$1496)*CROQUIS_DATOS!$C$1561-(0)*CROQUIS_DATOS!$C$1561))/CROQUIS_DATOS!$C$1568-0.000001))),2)=1,IF(INT(($A131-1)/2)+1&gt;MAX(1,INT(((((CROQUIS_DATOS!$C$1494+CROQUIS_DATOS!$C$1495))-(CROQUIS_DATOS!$C$1494))+((CROQUIS_DATOS!$C$1496)*CROQUIS_DATOS!$C$1561-(0)*CROQUIS_DATOS!$C$1561))/CROQUIS_DATOS!$C$1568-0.000001)),1,MOD($A131-1,2)),1-IF(INT(($A131-1)/2)+1&gt;MAX(1,INT(((((CROQUIS_DATOS!$C$1494+CROQUIS_DATOS!$C$1495))-(CROQUIS_DATOS!$C$1494))+((CROQUIS_DATOS!$C$1496)*CROQUIS_DATOS!$C$1561-(0)*CROQUIS_DATOS!$C$1561))/CROQUIS_DATOS!$C$1568-0.000001)),1,MOD($A131-1,2)))=1,MIN((CROQUIS_DATOS!$C$1496)*CROQUIS_DATOS!$C$1561,((CROQUIS_DATOS!$C$1494+CROQUIS_DATOS!$C$1495)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1">
        <f>IF(AND(CROQUIS_DATOS!$C$1472=1,CROQUIS_DATOS!$C$1478&gt;=4,((CROQUIS_DATOS!$C$1494+CROQUIS_DATOS!$C$1495))-(CROQUIS_DATOS!$C$1494)&gt;0.5,(CROQUIS_DATOS!$C$1496)-(0)&gt;0.5),(CROQUIS_DATOS!$C$1567+(IF(IF(MOD(MIN(INT(($A131-1)/2)+1,MAX(1,INT(((((CROQUIS_DATOS!$C$1494+CROQUIS_DATOS!$C$1495))-(CROQUIS_DATOS!$C$1494))+((CROQUIS_DATOS!$C$1496)*CROQUIS_DATOS!$C$1561-(0)*CROQUIS_DATOS!$C$1561))/CROQUIS_DATOS!$C$1568-0.000001))),2)=1,IF(INT(($A131-1)/2)+1&gt;MAX(1,INT(((((CROQUIS_DATOS!$C$1494+CROQUIS_DATOS!$C$1495))-(CROQUIS_DATOS!$C$1494))+((CROQUIS_DATOS!$C$1496)*CROQUIS_DATOS!$C$1561-(0)*CROQUIS_DATOS!$C$1561))/CROQUIS_DATOS!$C$1568-0.000001)),1,MOD($A131-1,2)),1-IF(INT(($A131-1)/2)+1&gt;MAX(1,INT(((((CROQUIS_DATOS!$C$1494+CROQUIS_DATOS!$C$1495))-(CROQUIS_DATOS!$C$1494))+((CROQUIS_DATOS!$C$1496)*CROQUIS_DATOS!$C$1561-(0)*CROQUIS_DATOS!$C$1561))/CROQUIS_DATOS!$C$1568-0.000001)),1,MOD($A131-1,2)))=1,MIN((CROQUIS_DATOS!$C$1496)*CROQUIS_DATOS!$C$1561,((CROQUIS_DATOS!$C$1494+CROQUIS_DATOS!$C$1495)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1">
        <f>IF(AND(CROQUIS_DATOS!$C$1472=1,CROQUIS_DATOS!$C$1478&gt;=4,((CROQUIS_DATOS!$C$1494+CROQUIS_DATOS!$C$1495))-(CROQUIS_DATOS!$C$1494)&gt;0.5,(CROQUIS_DATOS!$C$1476)-((CROQUIS_DATOS!$C$1496+CROQUIS_DATOS!$C$1497))&gt;0.5),(CROQUIS_DATOS!$C$1566+(IF(IF(MOD(MIN(INT(($A131-1)/2)+1,MAX(1,INT(((((CROQUIS_DATOS!$C$1494+CROQUIS_DATOS!$C$1495))-(CROQUIS_DATOS!$C$1494))+((CROQUIS_DATOS!$C$1476)*CROQUIS_DATOS!$C$1561-((CROQUIS_DATOS!$C$1496+CROQUIS_DATOS!$C$1497))*CROQUIS_DATOS!$C$1561))/CROQUIS_DATOS!$C$1568-0.000001))),2)=1,IF(INT(($A131-1)/2)+1&gt;MAX(1,INT(((((CROQUIS_DATOS!$C$1494+CROQUIS_DATOS!$C$1495))-(CROQUIS_DATOS!$C$1494))+((CROQUIS_DATOS!$C$1476)*CROQUIS_DATOS!$C$1561-((CROQUIS_DATOS!$C$1496+CROQUIS_DATOS!$C$1497))*CROQUIS_DATOS!$C$1561))/CROQUIS_DATOS!$C$1568-0.000001)),1,MOD($A131-1,2)),1-IF(INT(($A131-1)/2)+1&gt;MAX(1,INT(((((CROQUIS_DATOS!$C$1494+CROQUIS_DATOS!$C$1495))-(CROQUIS_DATOS!$C$1494))+((CROQUIS_DATOS!$C$1476)*CROQUIS_DATOS!$C$1561-((CROQUIS_DATOS!$C$1496+CROQUIS_DATOS!$C$1497))*CROQUIS_DATOS!$C$1561))/CROQUIS_DATOS!$C$1568-0.000001)),1,MOD($A131-1,2)))=1,MIN((CROQUIS_DATOS!$C$1476)*CROQUIS_DATOS!$C$1561,((CROQUIS_DATOS!$C$1494+CROQUIS_DATOS!$C$1495)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1">
        <f>IF(AND(CROQUIS_DATOS!$C$1472=1,CROQUIS_DATOS!$C$1478&gt;=4,((CROQUIS_DATOS!$C$1494+CROQUIS_DATOS!$C$1495))-(CROQUIS_DATOS!$C$1494)&gt;0.5,(CROQUIS_DATOS!$C$1476)-((CROQUIS_DATOS!$C$1496+CROQUIS_DATOS!$C$1497))&gt;0.5),(CROQUIS_DATOS!$C$1567+(IF(IF(MOD(MIN(INT(($A131-1)/2)+1,MAX(1,INT(((((CROQUIS_DATOS!$C$1494+CROQUIS_DATOS!$C$1495))-(CROQUIS_DATOS!$C$1494))+((CROQUIS_DATOS!$C$1476)*CROQUIS_DATOS!$C$1561-((CROQUIS_DATOS!$C$1496+CROQUIS_DATOS!$C$1497))*CROQUIS_DATOS!$C$1561))/CROQUIS_DATOS!$C$1568-0.000001))),2)=1,IF(INT(($A131-1)/2)+1&gt;MAX(1,INT(((((CROQUIS_DATOS!$C$1494+CROQUIS_DATOS!$C$1495))-(CROQUIS_DATOS!$C$1494))+((CROQUIS_DATOS!$C$1476)*CROQUIS_DATOS!$C$1561-((CROQUIS_DATOS!$C$1496+CROQUIS_DATOS!$C$1497))*CROQUIS_DATOS!$C$1561))/CROQUIS_DATOS!$C$1568-0.000001)),1,MOD($A131-1,2)),1-IF(INT(($A131-1)/2)+1&gt;MAX(1,INT(((((CROQUIS_DATOS!$C$1494+CROQUIS_DATOS!$C$1495))-(CROQUIS_DATOS!$C$1494))+((CROQUIS_DATOS!$C$1476)*CROQUIS_DATOS!$C$1561-((CROQUIS_DATOS!$C$1496+CROQUIS_DATOS!$C$1497))*CROQUIS_DATOS!$C$1561))/CROQUIS_DATOS!$C$1568-0.000001)),1,MOD($A131-1,2)))=1,MIN((CROQUIS_DATOS!$C$1476)*CROQUIS_DATOS!$C$1561,((CROQUIS_DATOS!$C$1494+CROQUIS_DATOS!$C$1495)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2">
      <c r="A132" t="n">
        <v>125</v>
      </c>
      <c r="N132">
        <f>IF(AND(CROQUIS_DATOS!$C$1472=1,1),(CROQUIS_DATOS!$C$1563+(IF(IF(IF(INT(($A132-1)/70)+1&gt;CROQUIS_DATOS!$C$1525,70,MOD($A132-1,70)+1)=1,0,IF(IF(INT(($A132-1)/70)+1&gt;CROQUIS_DATOS!$C$1525,70,MOD($A132-1,70)+1)&gt;2*CROQUIS_DATOS!$C$1541+1,IF(MOD(CROQUIS_DATOS!$C$1541,2)=1,1,0),IF(MOD(MIN(INT((IF(INT(($A132-1)/70)+1&gt;CROQUIS_DATOS!$C$1525,70,MOD($A132-1,70)+1)-2)/2)+1,CROQUIS_DATOS!$C$1541),2)=1,IF(MOD(IF(INT(($A132-1)/70)+1&gt;CROQUIS_DATOS!$C$1525,70,MOD($A132-1,70)+1)-2,2)=0,0,1),IF(MOD(IF(INT(($A132-1)/70)+1&gt;CROQUIS_DATOS!$C$1525,70,MOD($A132-1,70)+1)-2,2)=0,1,0))))=0,(INDEX($E$8:$E$23,MIN(INT(($A132-1)/70)+1,CROQUIS_DATOS!$C$1525))-INDEX($F$8:$F$23,MIN(INT(($A132-1)/70)+1,CROQUIS_DATOS!$C$1525))/2),(INDEX($E$8:$E$23,MIN(INT(($A132-1)/70)+1,CROQUIS_DATOS!$C$1525))+INDEX($F$8:$F$23,MIN(INT(($A132-1)/70)+1,CROQUIS_DATOS!$C$1525))/2)))*CROQUIS_DATOS!$C$1562),-1000)</f>
        <v>18.5775862068965</v>
      </c>
      <c r="O132">
        <f>IF(AND(CROQUIS_DATOS!$C$1472=1,1),(CROQUIS_DATOS!$C$1564+(IF(OR(IF(INT(($A132-1)/70)+1&gt;CROQUIS_DATOS!$C$1525,70,MOD($A132-1,70)+1)=1,IF(INT(($A132-1)/70)+1&gt;CROQUIS_DATOS!$C$1525,70,MOD($A132-1,70)+1)&gt;2*CROQUIS_DATOS!$C$1541+1),CROQUIS_DATOS!$C$1476,INDEX($H$8:$H$41,MIN(INT((IF(INT(($A132-1)/70)+1&gt;CROQUIS_DATOS!$C$1525,70,MOD($A132-1,70)+1)-2)/2)+1,CROQUIS_DATOS!$C$1541))))*CROQUIS_DATOS!$C$1561*CROQUIS_DATOS!$C$1562),-1000)</f>
        <v>40.2068965517241</v>
      </c>
      <c r="P132">
        <f>IF(AND(CROQUIS_DATOS!$C$1472=1,CROQUIS_DATOS!$C$1555=1),(CROQUIS_DATOS!$C$1563+(IF(IF(OR(MOD($A132-1,62)+1=1,IF(CHOOSE(MIN(MAX(MIN(INT(($A132-1)/62)+1,5),1),5),CROQUIS_DATOS!$C$1501,CROQUIS_DATOS!$C$1505,CROQUIS_DATOS!$C$1509,CROQUIS_DATOS!$C$1513,CROQUIS_DATOS!$C$1517)=1,CROQUIS_DATOS!$C$1557,0)=0),0,IF(MOD($A132-1,62)+1&gt;2*IF(CHOOSE(MIN(MAX(MIN(INT(($A132-1)/62)+1,5),1),5),CROQUIS_DATOS!$C$1501,CROQUIS_DATOS!$C$1505,CROQUIS_DATOS!$C$1509,CROQUIS_DATOS!$C$1513,CROQUIS_DATOS!$C$1517)=1,CROQUIS_DATOS!$C$1557,0)+1,IF(MOD(IF(CHOOSE(MIN(MAX(MIN(INT(($A132-1)/62)+1,5),1),5),CROQUIS_DATOS!$C$1501,CROQUIS_DATOS!$C$1505,CROQUIS_DATOS!$C$1509,CROQUIS_DATOS!$C$1513,CROQUIS_DATOS!$C$1517)=1,CROQUIS_DATOS!$C$1557,0),2)=1,1,0),IF(MOD(MIN(INT((MOD($A132-1,62)+1-2)/2)+1,MAX(IF(CHOOSE(MIN(MAX(MIN(INT(($A132-1)/62)+1,5),1),5),CROQUIS_DATOS!$C$1501,CROQUIS_DATOS!$C$1505,CROQUIS_DATOS!$C$1509,CROQUIS_DATOS!$C$1513,CROQUIS_DATOS!$C$1517)=1,CROQUIS_DATOS!$C$1557,0),1)),2)=1,IF(MOD(MOD($A132-1,62)+1-2,2)=0,0,1),IF(MOD(MOD($A132-1,62)+1-2,2)=0,1,0))))=0,(CHOOSE(MIN(MAX(MIN(INT(($A132-1)/62)+1,5),1),5),CROQUIS_DATOS!$C$1499,CROQUIS_DATOS!$C$1503,CROQUIS_DATOS!$C$1507,CROQUIS_DATOS!$C$1511,CROQUIS_DATOS!$C$1515)+IF(CHOOSE(MIN(MAX(MIN(INT(($A132-1)/62)+1,5),1),5),CROQUIS_DATOS!$C$1501,CROQUIS_DATOS!$C$1505,CROQUIS_DATOS!$C$1509,CROQUIS_DATOS!$C$1513,CROQUIS_DATOS!$C$1517)=1,CROQUIS_DATOS!$C$1526,0)),(CHOOSE(MIN(MAX(MIN(INT(($A132-1)/62)+1,5),1),5),CROQUIS_DATOS!$C$1499,CROQUIS_DATOS!$C$1503,CROQUIS_DATOS!$C$1507,CROQUIS_DATOS!$C$1511,CROQUIS_DATOS!$C$1515)+CHOOSE(MIN(MAX(MIN(INT(($A132-1)/62)+1,5),1),5),CROQUIS_DATOS!$C$1500,CROQUIS_DATOS!$C$1504,CROQUIS_DATOS!$C$1508,CROQUIS_DATOS!$C$1512,CROQUIS_DATOS!$C$1516)-IF(CHOOSE(MIN(MAX(MIN(INT(($A132-1)/62)+1,5),1),5),CROQUIS_DATOS!$C$1501,CROQUIS_DATOS!$C$1505,CROQUIS_DATOS!$C$1509,CROQUIS_DATOS!$C$1513,CROQUIS_DATOS!$C$1517)=1,CROQUIS_DATOS!$C$1526,0))))*CROQUIS_DATOS!$C$1562),-1000)</f>
        <v>-1000</v>
      </c>
      <c r="Q132">
        <f>IF(AND(CROQUIS_DATOS!$C$1472=1,CROQUIS_DATOS!$C$1555=1),(CROQUIS_DATOS!$C$1564+(IF(OR(OR(MOD($A132-1,62)+1=1,IF(CHOOSE(MIN(MAX(MIN(INT(($A132-1)/62)+1,5),1),5),CROQUIS_DATOS!$C$1501,CROQUIS_DATOS!$C$1505,CROQUIS_DATOS!$C$1509,CROQUIS_DATOS!$C$1513,CROQUIS_DATOS!$C$1517)=1,CROQUIS_DATOS!$C$1557,0)=0),MOD($A132-1,62)+1&gt;2*IF(CHOOSE(MIN(MAX(MIN(INT(($A132-1)/62)+1,5),1),5),CROQUIS_DATOS!$C$1501,CROQUIS_DATOS!$C$1505,CROQUIS_DATOS!$C$1509,CROQUIS_DATOS!$C$1513,CROQUIS_DATOS!$C$1517)=1,CROQUIS_DATOS!$C$1557,0)+1),CROQUIS_DATOS!$C$1476,MIN(INT((MOD($A132-1,62)+1-2)/2)+1,MAX(IF(CHOOSE(MIN(MAX(MIN(INT(($A132-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2">
        <f>IF(AND(CROQUIS_DATOS!$C$1472=1,1),(CROQUIS_DATOS!$C$1563+(MIN(INT(($A132-1)/2)+1,CROQUIS_DATOS!$C$1558)*CROQUIS_DATOS!$C$1559)*CROQUIS_DATOS!$C$1562),-1000)</f>
        <v>82.2281167108753</v>
      </c>
      <c r="U132">
        <f>IF(AND(CROQUIS_DATOS!$C$1472=1,1),(CROQUIS_DATOS!$C$1564+(IF(INT(($A132-1)/2)+1&gt;CROQUIS_DATOS!$C$1558,IF(MOD(CROQUIS_DATOS!$C$1558,2)=1,CROQUIS_DATOS!$C$1476+CROQUIS_DATOS!$C$1528,CROQUIS_DATOS!$C$1476),IF(IF(MOD(MIN(INT(($A132-1)/2)+1,CROQUIS_DATOS!$C$1558),2)=1,MOD($A132-1,2),1-MOD($A132-1,2))=1,CROQUIS_DATOS!$C$1476+CROQUIS_DATOS!$C$1528,CROQUIS_DATOS!$C$1476)))*CROQUIS_DATOS!$C$1561*CROQUIS_DATOS!$C$1562),-1000)</f>
        <v>43</v>
      </c>
      <c r="BZ132">
        <f>IF(AND(CROQUIS_DATOS!$C$1472=1,CROQUIS_DATOS!$C$1500&gt;0,((CROQUIS_DATOS!$C$1499+CROQUIS_DATOS!$C$1500))-(CROQUIS_DATOS!$C$1499)&gt;0.5,(CROQUIS_DATOS!$C$1476)-(0)&gt;0.5),(CROQUIS_DATOS!$C$1566+(IF(IF(MOD(MIN(INT(($A132-1)/2)+1,MAX(1,INT(((((CROQUIS_DATOS!$C$1499+CROQUIS_DATOS!$C$1500))-(CROQUIS_DATOS!$C$1499))+((CROQUIS_DATOS!$C$1476)*CROQUIS_DATOS!$C$1561-(0)*CROQUIS_DATOS!$C$1561))/CROQUIS_DATOS!$C$1568-0.000001))),2)=1,IF(INT(($A132-1)/2)+1&gt;MAX(1,INT(((((CROQUIS_DATOS!$C$1499+CROQUIS_DATOS!$C$1500))-(CROQUIS_DATOS!$C$1499))+((CROQUIS_DATOS!$C$1476)*CROQUIS_DATOS!$C$1561-(0)*CROQUIS_DATOS!$C$1561))/CROQUIS_DATOS!$C$1568-0.000001)),1,MOD($A132-1,2)),1-IF(INT(($A132-1)/2)+1&gt;MAX(1,INT(((((CROQUIS_DATOS!$C$1499+CROQUIS_DATOS!$C$1500))-(CROQUIS_DATOS!$C$1499))+((CROQUIS_DATOS!$C$1476)*CROQUIS_DATOS!$C$1561-(0)*CROQUIS_DATOS!$C$1561))/CROQUIS_DATOS!$C$1568-0.000001)),1,MOD($A132-1,2)))=1,MIN((CROQUIS_DATOS!$C$1476)*CROQUIS_DATOS!$C$1561,((CROQUIS_DATOS!$C$1499+CROQUIS_DATOS!$C$1500)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2">
        <f>IF(AND(CROQUIS_DATOS!$C$1472=1,CROQUIS_DATOS!$C$1500&gt;0,((CROQUIS_DATOS!$C$1499+CROQUIS_DATOS!$C$1500))-(CROQUIS_DATOS!$C$1499)&gt;0.5,(CROQUIS_DATOS!$C$1476)-(0)&gt;0.5),(CROQUIS_DATOS!$C$1567+(IF(IF(MOD(MIN(INT(($A132-1)/2)+1,MAX(1,INT(((((CROQUIS_DATOS!$C$1499+CROQUIS_DATOS!$C$1500))-(CROQUIS_DATOS!$C$1499))+((CROQUIS_DATOS!$C$1476)*CROQUIS_DATOS!$C$1561-(0)*CROQUIS_DATOS!$C$1561))/CROQUIS_DATOS!$C$1568-0.000001))),2)=1,IF(INT(($A132-1)/2)+1&gt;MAX(1,INT(((((CROQUIS_DATOS!$C$1499+CROQUIS_DATOS!$C$1500))-(CROQUIS_DATOS!$C$1499))+((CROQUIS_DATOS!$C$1476)*CROQUIS_DATOS!$C$1561-(0)*CROQUIS_DATOS!$C$1561))/CROQUIS_DATOS!$C$1568-0.000001)),1,MOD($A132-1,2)),1-IF(INT(($A132-1)/2)+1&gt;MAX(1,INT(((((CROQUIS_DATOS!$C$1499+CROQUIS_DATOS!$C$1500))-(CROQUIS_DATOS!$C$1499))+((CROQUIS_DATOS!$C$1476)*CROQUIS_DATOS!$C$1561-(0)*CROQUIS_DATOS!$C$1561))/CROQUIS_DATOS!$C$1568-0.000001)),1,MOD($A132-1,2)))=1,MIN((CROQUIS_DATOS!$C$1476)*CROQUIS_DATOS!$C$1561,((CROQUIS_DATOS!$C$1499+CROQUIS_DATOS!$C$1500)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2">
        <f>IF(AND(CROQUIS_DATOS!$C$1472=1,CROQUIS_DATOS!$C$1504&gt;0,((CROQUIS_DATOS!$C$1503+CROQUIS_DATOS!$C$1504))-(CROQUIS_DATOS!$C$1503)&gt;0.5,(CROQUIS_DATOS!$C$1476)-(0)&gt;0.5),(CROQUIS_DATOS!$C$1566+(IF(IF(MOD(MIN(INT(($A132-1)/2)+1,MAX(1,INT(((((CROQUIS_DATOS!$C$1503+CROQUIS_DATOS!$C$1504))-(CROQUIS_DATOS!$C$1503))+((CROQUIS_DATOS!$C$1476)*CROQUIS_DATOS!$C$1561-(0)*CROQUIS_DATOS!$C$1561))/CROQUIS_DATOS!$C$1568-0.000001))),2)=1,IF(INT(($A132-1)/2)+1&gt;MAX(1,INT(((((CROQUIS_DATOS!$C$1503+CROQUIS_DATOS!$C$1504))-(CROQUIS_DATOS!$C$1503))+((CROQUIS_DATOS!$C$1476)*CROQUIS_DATOS!$C$1561-(0)*CROQUIS_DATOS!$C$1561))/CROQUIS_DATOS!$C$1568-0.000001)),1,MOD($A132-1,2)),1-IF(INT(($A132-1)/2)+1&gt;MAX(1,INT(((((CROQUIS_DATOS!$C$1503+CROQUIS_DATOS!$C$1504))-(CROQUIS_DATOS!$C$1503))+((CROQUIS_DATOS!$C$1476)*CROQUIS_DATOS!$C$1561-(0)*CROQUIS_DATOS!$C$1561))/CROQUIS_DATOS!$C$1568-0.000001)),1,MOD($A132-1,2)))=1,MIN((CROQUIS_DATOS!$C$1476)*CROQUIS_DATOS!$C$1561,((CROQUIS_DATOS!$C$1503+CROQUIS_DATOS!$C$1504)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2">
        <f>IF(AND(CROQUIS_DATOS!$C$1472=1,CROQUIS_DATOS!$C$1504&gt;0,((CROQUIS_DATOS!$C$1503+CROQUIS_DATOS!$C$1504))-(CROQUIS_DATOS!$C$1503)&gt;0.5,(CROQUIS_DATOS!$C$1476)-(0)&gt;0.5),(CROQUIS_DATOS!$C$1567+(IF(IF(MOD(MIN(INT(($A132-1)/2)+1,MAX(1,INT(((((CROQUIS_DATOS!$C$1503+CROQUIS_DATOS!$C$1504))-(CROQUIS_DATOS!$C$1503))+((CROQUIS_DATOS!$C$1476)*CROQUIS_DATOS!$C$1561-(0)*CROQUIS_DATOS!$C$1561))/CROQUIS_DATOS!$C$1568-0.000001))),2)=1,IF(INT(($A132-1)/2)+1&gt;MAX(1,INT(((((CROQUIS_DATOS!$C$1503+CROQUIS_DATOS!$C$1504))-(CROQUIS_DATOS!$C$1503))+((CROQUIS_DATOS!$C$1476)*CROQUIS_DATOS!$C$1561-(0)*CROQUIS_DATOS!$C$1561))/CROQUIS_DATOS!$C$1568-0.000001)),1,MOD($A132-1,2)),1-IF(INT(($A132-1)/2)+1&gt;MAX(1,INT(((((CROQUIS_DATOS!$C$1503+CROQUIS_DATOS!$C$1504))-(CROQUIS_DATOS!$C$1503))+((CROQUIS_DATOS!$C$1476)*CROQUIS_DATOS!$C$1561-(0)*CROQUIS_DATOS!$C$1561))/CROQUIS_DATOS!$C$1568-0.000001)),1,MOD($A132-1,2)))=1,MIN((CROQUIS_DATOS!$C$1476)*CROQUIS_DATOS!$C$1561,((CROQUIS_DATOS!$C$1503+CROQUIS_DATOS!$C$1504)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2">
        <f>IF(AND(CROQUIS_DATOS!$C$1472=1,CROQUIS_DATOS!$C$1508&gt;0,((CROQUIS_DATOS!$C$1507+CROQUIS_DATOS!$C$1508))-(CROQUIS_DATOS!$C$1507)&gt;0.5,(CROQUIS_DATOS!$C$1476)-(0)&gt;0.5),(CROQUIS_DATOS!$C$1566+(IF(IF(MOD(MIN(INT(($A132-1)/2)+1,MAX(1,INT(((((CROQUIS_DATOS!$C$1507+CROQUIS_DATOS!$C$1508))-(CROQUIS_DATOS!$C$1507))+((CROQUIS_DATOS!$C$1476)*CROQUIS_DATOS!$C$1561-(0)*CROQUIS_DATOS!$C$1561))/CROQUIS_DATOS!$C$1568-0.000001))),2)=1,IF(INT(($A132-1)/2)+1&gt;MAX(1,INT(((((CROQUIS_DATOS!$C$1507+CROQUIS_DATOS!$C$1508))-(CROQUIS_DATOS!$C$1507))+((CROQUIS_DATOS!$C$1476)*CROQUIS_DATOS!$C$1561-(0)*CROQUIS_DATOS!$C$1561))/CROQUIS_DATOS!$C$1568-0.000001)),1,MOD($A132-1,2)),1-IF(INT(($A132-1)/2)+1&gt;MAX(1,INT(((((CROQUIS_DATOS!$C$1507+CROQUIS_DATOS!$C$1508))-(CROQUIS_DATOS!$C$1507))+((CROQUIS_DATOS!$C$1476)*CROQUIS_DATOS!$C$1561-(0)*CROQUIS_DATOS!$C$1561))/CROQUIS_DATOS!$C$1568-0.000001)),1,MOD($A132-1,2)))=1,MIN((CROQUIS_DATOS!$C$1476)*CROQUIS_DATOS!$C$1561,((CROQUIS_DATOS!$C$1507+CROQUIS_DATOS!$C$1508)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2">
        <f>IF(AND(CROQUIS_DATOS!$C$1472=1,CROQUIS_DATOS!$C$1508&gt;0,((CROQUIS_DATOS!$C$1507+CROQUIS_DATOS!$C$1508))-(CROQUIS_DATOS!$C$1507)&gt;0.5,(CROQUIS_DATOS!$C$1476)-(0)&gt;0.5),(CROQUIS_DATOS!$C$1567+(IF(IF(MOD(MIN(INT(($A132-1)/2)+1,MAX(1,INT(((((CROQUIS_DATOS!$C$1507+CROQUIS_DATOS!$C$1508))-(CROQUIS_DATOS!$C$1507))+((CROQUIS_DATOS!$C$1476)*CROQUIS_DATOS!$C$1561-(0)*CROQUIS_DATOS!$C$1561))/CROQUIS_DATOS!$C$1568-0.000001))),2)=1,IF(INT(($A132-1)/2)+1&gt;MAX(1,INT(((((CROQUIS_DATOS!$C$1507+CROQUIS_DATOS!$C$1508))-(CROQUIS_DATOS!$C$1507))+((CROQUIS_DATOS!$C$1476)*CROQUIS_DATOS!$C$1561-(0)*CROQUIS_DATOS!$C$1561))/CROQUIS_DATOS!$C$1568-0.000001)),1,MOD($A132-1,2)),1-IF(INT(($A132-1)/2)+1&gt;MAX(1,INT(((((CROQUIS_DATOS!$C$1507+CROQUIS_DATOS!$C$1508))-(CROQUIS_DATOS!$C$1507))+((CROQUIS_DATOS!$C$1476)*CROQUIS_DATOS!$C$1561-(0)*CROQUIS_DATOS!$C$1561))/CROQUIS_DATOS!$C$1568-0.000001)),1,MOD($A132-1,2)))=1,MIN((CROQUIS_DATOS!$C$1476)*CROQUIS_DATOS!$C$1561,((CROQUIS_DATOS!$C$1507+CROQUIS_DATOS!$C$1508)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2">
        <f>IF(AND(CROQUIS_DATOS!$C$1472=1,CROQUIS_DATOS!$C$1512&gt;0,((CROQUIS_DATOS!$C$1511+CROQUIS_DATOS!$C$1512))-(CROQUIS_DATOS!$C$1511)&gt;0.5,(CROQUIS_DATOS!$C$1476)-(0)&gt;0.5),(CROQUIS_DATOS!$C$1566+(IF(IF(MOD(MIN(INT(($A132-1)/2)+1,MAX(1,INT(((((CROQUIS_DATOS!$C$1511+CROQUIS_DATOS!$C$1512))-(CROQUIS_DATOS!$C$1511))+((CROQUIS_DATOS!$C$1476)*CROQUIS_DATOS!$C$1561-(0)*CROQUIS_DATOS!$C$1561))/CROQUIS_DATOS!$C$1568-0.000001))),2)=1,IF(INT(($A132-1)/2)+1&gt;MAX(1,INT(((((CROQUIS_DATOS!$C$1511+CROQUIS_DATOS!$C$1512))-(CROQUIS_DATOS!$C$1511))+((CROQUIS_DATOS!$C$1476)*CROQUIS_DATOS!$C$1561-(0)*CROQUIS_DATOS!$C$1561))/CROQUIS_DATOS!$C$1568-0.000001)),1,MOD($A132-1,2)),1-IF(INT(($A132-1)/2)+1&gt;MAX(1,INT(((((CROQUIS_DATOS!$C$1511+CROQUIS_DATOS!$C$1512))-(CROQUIS_DATOS!$C$1511))+((CROQUIS_DATOS!$C$1476)*CROQUIS_DATOS!$C$1561-(0)*CROQUIS_DATOS!$C$1561))/CROQUIS_DATOS!$C$1568-0.000001)),1,MOD($A132-1,2)))=1,MIN((CROQUIS_DATOS!$C$1476)*CROQUIS_DATOS!$C$1561,((CROQUIS_DATOS!$C$1511+CROQUIS_DATOS!$C$1512)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2">
        <f>IF(AND(CROQUIS_DATOS!$C$1472=1,CROQUIS_DATOS!$C$1512&gt;0,((CROQUIS_DATOS!$C$1511+CROQUIS_DATOS!$C$1512))-(CROQUIS_DATOS!$C$1511)&gt;0.5,(CROQUIS_DATOS!$C$1476)-(0)&gt;0.5),(CROQUIS_DATOS!$C$1567+(IF(IF(MOD(MIN(INT(($A132-1)/2)+1,MAX(1,INT(((((CROQUIS_DATOS!$C$1511+CROQUIS_DATOS!$C$1512))-(CROQUIS_DATOS!$C$1511))+((CROQUIS_DATOS!$C$1476)*CROQUIS_DATOS!$C$1561-(0)*CROQUIS_DATOS!$C$1561))/CROQUIS_DATOS!$C$1568-0.000001))),2)=1,IF(INT(($A132-1)/2)+1&gt;MAX(1,INT(((((CROQUIS_DATOS!$C$1511+CROQUIS_DATOS!$C$1512))-(CROQUIS_DATOS!$C$1511))+((CROQUIS_DATOS!$C$1476)*CROQUIS_DATOS!$C$1561-(0)*CROQUIS_DATOS!$C$1561))/CROQUIS_DATOS!$C$1568-0.000001)),1,MOD($A132-1,2)),1-IF(INT(($A132-1)/2)+1&gt;MAX(1,INT(((((CROQUIS_DATOS!$C$1511+CROQUIS_DATOS!$C$1512))-(CROQUIS_DATOS!$C$1511))+((CROQUIS_DATOS!$C$1476)*CROQUIS_DATOS!$C$1561-(0)*CROQUIS_DATOS!$C$1561))/CROQUIS_DATOS!$C$1568-0.000001)),1,MOD($A132-1,2)))=1,MIN((CROQUIS_DATOS!$C$1476)*CROQUIS_DATOS!$C$1561,((CROQUIS_DATOS!$C$1511+CROQUIS_DATOS!$C$1512)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2">
        <f>IF(AND(CROQUIS_DATOS!$C$1472=1,CROQUIS_DATOS!$C$1516&gt;0,((CROQUIS_DATOS!$C$1515+CROQUIS_DATOS!$C$1516))-(CROQUIS_DATOS!$C$1515)&gt;0.5,(CROQUIS_DATOS!$C$1476)-(0)&gt;0.5),(CROQUIS_DATOS!$C$1566+(IF(IF(MOD(MIN(INT(($A132-1)/2)+1,MAX(1,INT(((((CROQUIS_DATOS!$C$1515+CROQUIS_DATOS!$C$1516))-(CROQUIS_DATOS!$C$1515))+((CROQUIS_DATOS!$C$1476)*CROQUIS_DATOS!$C$1561-(0)*CROQUIS_DATOS!$C$1561))/CROQUIS_DATOS!$C$1568-0.000001))),2)=1,IF(INT(($A132-1)/2)+1&gt;MAX(1,INT(((((CROQUIS_DATOS!$C$1515+CROQUIS_DATOS!$C$1516))-(CROQUIS_DATOS!$C$1515))+((CROQUIS_DATOS!$C$1476)*CROQUIS_DATOS!$C$1561-(0)*CROQUIS_DATOS!$C$1561))/CROQUIS_DATOS!$C$1568-0.000001)),1,MOD($A132-1,2)),1-IF(INT(($A132-1)/2)+1&gt;MAX(1,INT(((((CROQUIS_DATOS!$C$1515+CROQUIS_DATOS!$C$1516))-(CROQUIS_DATOS!$C$1515))+((CROQUIS_DATOS!$C$1476)*CROQUIS_DATOS!$C$1561-(0)*CROQUIS_DATOS!$C$1561))/CROQUIS_DATOS!$C$1568-0.000001)),1,MOD($A132-1,2)))=1,MIN((CROQUIS_DATOS!$C$1476)*CROQUIS_DATOS!$C$1561,((CROQUIS_DATOS!$C$1515+CROQUIS_DATOS!$C$1516)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2">
        <f>IF(AND(CROQUIS_DATOS!$C$1472=1,CROQUIS_DATOS!$C$1516&gt;0,((CROQUIS_DATOS!$C$1515+CROQUIS_DATOS!$C$1516))-(CROQUIS_DATOS!$C$1515)&gt;0.5,(CROQUIS_DATOS!$C$1476)-(0)&gt;0.5),(CROQUIS_DATOS!$C$1567+(IF(IF(MOD(MIN(INT(($A132-1)/2)+1,MAX(1,INT(((((CROQUIS_DATOS!$C$1515+CROQUIS_DATOS!$C$1516))-(CROQUIS_DATOS!$C$1515))+((CROQUIS_DATOS!$C$1476)*CROQUIS_DATOS!$C$1561-(0)*CROQUIS_DATOS!$C$1561))/CROQUIS_DATOS!$C$1568-0.000001))),2)=1,IF(INT(($A132-1)/2)+1&gt;MAX(1,INT(((((CROQUIS_DATOS!$C$1515+CROQUIS_DATOS!$C$1516))-(CROQUIS_DATOS!$C$1515))+((CROQUIS_DATOS!$C$1476)*CROQUIS_DATOS!$C$1561-(0)*CROQUIS_DATOS!$C$1561))/CROQUIS_DATOS!$C$1568-0.000001)),1,MOD($A132-1,2)),1-IF(INT(($A132-1)/2)+1&gt;MAX(1,INT(((((CROQUIS_DATOS!$C$1515+CROQUIS_DATOS!$C$1516))-(CROQUIS_DATOS!$C$1515))+((CROQUIS_DATOS!$C$1476)*CROQUIS_DATOS!$C$1561-(0)*CROQUIS_DATOS!$C$1561))/CROQUIS_DATOS!$C$1568-0.000001)),1,MOD($A132-1,2)))=1,MIN((CROQUIS_DATOS!$C$1476)*CROQUIS_DATOS!$C$1561,((CROQUIS_DATOS!$C$1515+CROQUIS_DATOS!$C$1516)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2">
        <f>IF(AND(CROQUIS_DATOS!$C$1472=1,CROQUIS_DATOS!$C$1478&gt;=1,((CROQUIS_DATOS!$C$1479+CROQUIS_DATOS!$C$1480))-(CROQUIS_DATOS!$C$1479)&gt;0.5,(CROQUIS_DATOS!$C$1481)-(0)&gt;0.5),(CROQUIS_DATOS!$C$1566+(IF(IF(MOD(MIN(INT(($A132-1)/2)+1,MAX(1,INT(((((CROQUIS_DATOS!$C$1479+CROQUIS_DATOS!$C$1480))-(CROQUIS_DATOS!$C$1479))+((CROQUIS_DATOS!$C$1481)*CROQUIS_DATOS!$C$1561-(0)*CROQUIS_DATOS!$C$1561))/CROQUIS_DATOS!$C$1568-0.000001))),2)=1,IF(INT(($A132-1)/2)+1&gt;MAX(1,INT(((((CROQUIS_DATOS!$C$1479+CROQUIS_DATOS!$C$1480))-(CROQUIS_DATOS!$C$1479))+((CROQUIS_DATOS!$C$1481)*CROQUIS_DATOS!$C$1561-(0)*CROQUIS_DATOS!$C$1561))/CROQUIS_DATOS!$C$1568-0.000001)),1,MOD($A132-1,2)),1-IF(INT(($A132-1)/2)+1&gt;MAX(1,INT(((((CROQUIS_DATOS!$C$1479+CROQUIS_DATOS!$C$1480))-(CROQUIS_DATOS!$C$1479))+((CROQUIS_DATOS!$C$1481)*CROQUIS_DATOS!$C$1561-(0)*CROQUIS_DATOS!$C$1561))/CROQUIS_DATOS!$C$1568-0.000001)),1,MOD($A132-1,2)))=1,MIN((CROQUIS_DATOS!$C$1481)*CROQUIS_DATOS!$C$1561,((CROQUIS_DATOS!$C$1479+CROQUIS_DATOS!$C$1480)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2">
        <f>IF(AND(CROQUIS_DATOS!$C$1472=1,CROQUIS_DATOS!$C$1478&gt;=1,((CROQUIS_DATOS!$C$1479+CROQUIS_DATOS!$C$1480))-(CROQUIS_DATOS!$C$1479)&gt;0.5,(CROQUIS_DATOS!$C$1481)-(0)&gt;0.5),(CROQUIS_DATOS!$C$1567+(IF(IF(MOD(MIN(INT(($A132-1)/2)+1,MAX(1,INT(((((CROQUIS_DATOS!$C$1479+CROQUIS_DATOS!$C$1480))-(CROQUIS_DATOS!$C$1479))+((CROQUIS_DATOS!$C$1481)*CROQUIS_DATOS!$C$1561-(0)*CROQUIS_DATOS!$C$1561))/CROQUIS_DATOS!$C$1568-0.000001))),2)=1,IF(INT(($A132-1)/2)+1&gt;MAX(1,INT(((((CROQUIS_DATOS!$C$1479+CROQUIS_DATOS!$C$1480))-(CROQUIS_DATOS!$C$1479))+((CROQUIS_DATOS!$C$1481)*CROQUIS_DATOS!$C$1561-(0)*CROQUIS_DATOS!$C$1561))/CROQUIS_DATOS!$C$1568-0.000001)),1,MOD($A132-1,2)),1-IF(INT(($A132-1)/2)+1&gt;MAX(1,INT(((((CROQUIS_DATOS!$C$1479+CROQUIS_DATOS!$C$1480))-(CROQUIS_DATOS!$C$1479))+((CROQUIS_DATOS!$C$1481)*CROQUIS_DATOS!$C$1561-(0)*CROQUIS_DATOS!$C$1561))/CROQUIS_DATOS!$C$1568-0.000001)),1,MOD($A132-1,2)))=1,MIN((CROQUIS_DATOS!$C$1481)*CROQUIS_DATOS!$C$1561,((CROQUIS_DATOS!$C$1479+CROQUIS_DATOS!$C$1480)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2">
        <f>IF(AND(CROQUIS_DATOS!$C$1472=1,CROQUIS_DATOS!$C$1478&gt;=1,((CROQUIS_DATOS!$C$1479+CROQUIS_DATOS!$C$1480))-(CROQUIS_DATOS!$C$1479)&gt;0.5,(CROQUIS_DATOS!$C$1476)-((CROQUIS_DATOS!$C$1481+CROQUIS_DATOS!$C$1482))&gt;0.5),(CROQUIS_DATOS!$C$1566+(IF(IF(MOD(MIN(INT(($A132-1)/2)+1,MAX(1,INT(((((CROQUIS_DATOS!$C$1479+CROQUIS_DATOS!$C$1480))-(CROQUIS_DATOS!$C$1479))+((CROQUIS_DATOS!$C$1476)*CROQUIS_DATOS!$C$1561-((CROQUIS_DATOS!$C$1481+CROQUIS_DATOS!$C$1482))*CROQUIS_DATOS!$C$1561))/CROQUIS_DATOS!$C$1568-0.000001))),2)=1,IF(INT(($A132-1)/2)+1&gt;MAX(1,INT(((((CROQUIS_DATOS!$C$1479+CROQUIS_DATOS!$C$1480))-(CROQUIS_DATOS!$C$1479))+((CROQUIS_DATOS!$C$1476)*CROQUIS_DATOS!$C$1561-((CROQUIS_DATOS!$C$1481+CROQUIS_DATOS!$C$1482))*CROQUIS_DATOS!$C$1561))/CROQUIS_DATOS!$C$1568-0.000001)),1,MOD($A132-1,2)),1-IF(INT(($A132-1)/2)+1&gt;MAX(1,INT(((((CROQUIS_DATOS!$C$1479+CROQUIS_DATOS!$C$1480))-(CROQUIS_DATOS!$C$1479))+((CROQUIS_DATOS!$C$1476)*CROQUIS_DATOS!$C$1561-((CROQUIS_DATOS!$C$1481+CROQUIS_DATOS!$C$1482))*CROQUIS_DATOS!$C$1561))/CROQUIS_DATOS!$C$1568-0.000001)),1,MOD($A132-1,2)))=1,MIN((CROQUIS_DATOS!$C$1476)*CROQUIS_DATOS!$C$1561,((CROQUIS_DATOS!$C$1479+CROQUIS_DATOS!$C$1480)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2">
        <f>IF(AND(CROQUIS_DATOS!$C$1472=1,CROQUIS_DATOS!$C$1478&gt;=1,((CROQUIS_DATOS!$C$1479+CROQUIS_DATOS!$C$1480))-(CROQUIS_DATOS!$C$1479)&gt;0.5,(CROQUIS_DATOS!$C$1476)-((CROQUIS_DATOS!$C$1481+CROQUIS_DATOS!$C$1482))&gt;0.5),(CROQUIS_DATOS!$C$1567+(IF(IF(MOD(MIN(INT(($A132-1)/2)+1,MAX(1,INT(((((CROQUIS_DATOS!$C$1479+CROQUIS_DATOS!$C$1480))-(CROQUIS_DATOS!$C$1479))+((CROQUIS_DATOS!$C$1476)*CROQUIS_DATOS!$C$1561-((CROQUIS_DATOS!$C$1481+CROQUIS_DATOS!$C$1482))*CROQUIS_DATOS!$C$1561))/CROQUIS_DATOS!$C$1568-0.000001))),2)=1,IF(INT(($A132-1)/2)+1&gt;MAX(1,INT(((((CROQUIS_DATOS!$C$1479+CROQUIS_DATOS!$C$1480))-(CROQUIS_DATOS!$C$1479))+((CROQUIS_DATOS!$C$1476)*CROQUIS_DATOS!$C$1561-((CROQUIS_DATOS!$C$1481+CROQUIS_DATOS!$C$1482))*CROQUIS_DATOS!$C$1561))/CROQUIS_DATOS!$C$1568-0.000001)),1,MOD($A132-1,2)),1-IF(INT(($A132-1)/2)+1&gt;MAX(1,INT(((((CROQUIS_DATOS!$C$1479+CROQUIS_DATOS!$C$1480))-(CROQUIS_DATOS!$C$1479))+((CROQUIS_DATOS!$C$1476)*CROQUIS_DATOS!$C$1561-((CROQUIS_DATOS!$C$1481+CROQUIS_DATOS!$C$1482))*CROQUIS_DATOS!$C$1561))/CROQUIS_DATOS!$C$1568-0.000001)),1,MOD($A132-1,2)))=1,MIN((CROQUIS_DATOS!$C$1476)*CROQUIS_DATOS!$C$1561,((CROQUIS_DATOS!$C$1479+CROQUIS_DATOS!$C$1480)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2">
        <f>IF(AND(CROQUIS_DATOS!$C$1472=1,CROQUIS_DATOS!$C$1478&gt;=2,((CROQUIS_DATOS!$C$1484+CROQUIS_DATOS!$C$1485))-(CROQUIS_DATOS!$C$1484)&gt;0.5,(CROQUIS_DATOS!$C$1486)-(0)&gt;0.5),(CROQUIS_DATOS!$C$1566+(IF(IF(MOD(MIN(INT(($A132-1)/2)+1,MAX(1,INT(((((CROQUIS_DATOS!$C$1484+CROQUIS_DATOS!$C$1485))-(CROQUIS_DATOS!$C$1484))+((CROQUIS_DATOS!$C$1486)*CROQUIS_DATOS!$C$1561-(0)*CROQUIS_DATOS!$C$1561))/CROQUIS_DATOS!$C$1568-0.000001))),2)=1,IF(INT(($A132-1)/2)+1&gt;MAX(1,INT(((((CROQUIS_DATOS!$C$1484+CROQUIS_DATOS!$C$1485))-(CROQUIS_DATOS!$C$1484))+((CROQUIS_DATOS!$C$1486)*CROQUIS_DATOS!$C$1561-(0)*CROQUIS_DATOS!$C$1561))/CROQUIS_DATOS!$C$1568-0.000001)),1,MOD($A132-1,2)),1-IF(INT(($A132-1)/2)+1&gt;MAX(1,INT(((((CROQUIS_DATOS!$C$1484+CROQUIS_DATOS!$C$1485))-(CROQUIS_DATOS!$C$1484))+((CROQUIS_DATOS!$C$1486)*CROQUIS_DATOS!$C$1561-(0)*CROQUIS_DATOS!$C$1561))/CROQUIS_DATOS!$C$1568-0.000001)),1,MOD($A132-1,2)))=1,MIN((CROQUIS_DATOS!$C$1486)*CROQUIS_DATOS!$C$1561,((CROQUIS_DATOS!$C$1484+CROQUIS_DATOS!$C$1485)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2">
        <f>IF(AND(CROQUIS_DATOS!$C$1472=1,CROQUIS_DATOS!$C$1478&gt;=2,((CROQUIS_DATOS!$C$1484+CROQUIS_DATOS!$C$1485))-(CROQUIS_DATOS!$C$1484)&gt;0.5,(CROQUIS_DATOS!$C$1486)-(0)&gt;0.5),(CROQUIS_DATOS!$C$1567+(IF(IF(MOD(MIN(INT(($A132-1)/2)+1,MAX(1,INT(((((CROQUIS_DATOS!$C$1484+CROQUIS_DATOS!$C$1485))-(CROQUIS_DATOS!$C$1484))+((CROQUIS_DATOS!$C$1486)*CROQUIS_DATOS!$C$1561-(0)*CROQUIS_DATOS!$C$1561))/CROQUIS_DATOS!$C$1568-0.000001))),2)=1,IF(INT(($A132-1)/2)+1&gt;MAX(1,INT(((((CROQUIS_DATOS!$C$1484+CROQUIS_DATOS!$C$1485))-(CROQUIS_DATOS!$C$1484))+((CROQUIS_DATOS!$C$1486)*CROQUIS_DATOS!$C$1561-(0)*CROQUIS_DATOS!$C$1561))/CROQUIS_DATOS!$C$1568-0.000001)),1,MOD($A132-1,2)),1-IF(INT(($A132-1)/2)+1&gt;MAX(1,INT(((((CROQUIS_DATOS!$C$1484+CROQUIS_DATOS!$C$1485))-(CROQUIS_DATOS!$C$1484))+((CROQUIS_DATOS!$C$1486)*CROQUIS_DATOS!$C$1561-(0)*CROQUIS_DATOS!$C$1561))/CROQUIS_DATOS!$C$1568-0.000001)),1,MOD($A132-1,2)))=1,MIN((CROQUIS_DATOS!$C$1486)*CROQUIS_DATOS!$C$1561,((CROQUIS_DATOS!$C$1484+CROQUIS_DATOS!$C$1485)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2">
        <f>IF(AND(CROQUIS_DATOS!$C$1472=1,CROQUIS_DATOS!$C$1478&gt;=2,((CROQUIS_DATOS!$C$1484+CROQUIS_DATOS!$C$1485))-(CROQUIS_DATOS!$C$1484)&gt;0.5,(CROQUIS_DATOS!$C$1476)-((CROQUIS_DATOS!$C$1486+CROQUIS_DATOS!$C$1487))&gt;0.5),(CROQUIS_DATOS!$C$1566+(IF(IF(MOD(MIN(INT(($A132-1)/2)+1,MAX(1,INT(((((CROQUIS_DATOS!$C$1484+CROQUIS_DATOS!$C$1485))-(CROQUIS_DATOS!$C$1484))+((CROQUIS_DATOS!$C$1476)*CROQUIS_DATOS!$C$1561-((CROQUIS_DATOS!$C$1486+CROQUIS_DATOS!$C$1487))*CROQUIS_DATOS!$C$1561))/CROQUIS_DATOS!$C$1568-0.000001))),2)=1,IF(INT(($A132-1)/2)+1&gt;MAX(1,INT(((((CROQUIS_DATOS!$C$1484+CROQUIS_DATOS!$C$1485))-(CROQUIS_DATOS!$C$1484))+((CROQUIS_DATOS!$C$1476)*CROQUIS_DATOS!$C$1561-((CROQUIS_DATOS!$C$1486+CROQUIS_DATOS!$C$1487))*CROQUIS_DATOS!$C$1561))/CROQUIS_DATOS!$C$1568-0.000001)),1,MOD($A132-1,2)),1-IF(INT(($A132-1)/2)+1&gt;MAX(1,INT(((((CROQUIS_DATOS!$C$1484+CROQUIS_DATOS!$C$1485))-(CROQUIS_DATOS!$C$1484))+((CROQUIS_DATOS!$C$1476)*CROQUIS_DATOS!$C$1561-((CROQUIS_DATOS!$C$1486+CROQUIS_DATOS!$C$1487))*CROQUIS_DATOS!$C$1561))/CROQUIS_DATOS!$C$1568-0.000001)),1,MOD($A132-1,2)))=1,MIN((CROQUIS_DATOS!$C$1476)*CROQUIS_DATOS!$C$1561,((CROQUIS_DATOS!$C$1484+CROQUIS_DATOS!$C$1485)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2">
        <f>IF(AND(CROQUIS_DATOS!$C$1472=1,CROQUIS_DATOS!$C$1478&gt;=2,((CROQUIS_DATOS!$C$1484+CROQUIS_DATOS!$C$1485))-(CROQUIS_DATOS!$C$1484)&gt;0.5,(CROQUIS_DATOS!$C$1476)-((CROQUIS_DATOS!$C$1486+CROQUIS_DATOS!$C$1487))&gt;0.5),(CROQUIS_DATOS!$C$1567+(IF(IF(MOD(MIN(INT(($A132-1)/2)+1,MAX(1,INT(((((CROQUIS_DATOS!$C$1484+CROQUIS_DATOS!$C$1485))-(CROQUIS_DATOS!$C$1484))+((CROQUIS_DATOS!$C$1476)*CROQUIS_DATOS!$C$1561-((CROQUIS_DATOS!$C$1486+CROQUIS_DATOS!$C$1487))*CROQUIS_DATOS!$C$1561))/CROQUIS_DATOS!$C$1568-0.000001))),2)=1,IF(INT(($A132-1)/2)+1&gt;MAX(1,INT(((((CROQUIS_DATOS!$C$1484+CROQUIS_DATOS!$C$1485))-(CROQUIS_DATOS!$C$1484))+((CROQUIS_DATOS!$C$1476)*CROQUIS_DATOS!$C$1561-((CROQUIS_DATOS!$C$1486+CROQUIS_DATOS!$C$1487))*CROQUIS_DATOS!$C$1561))/CROQUIS_DATOS!$C$1568-0.000001)),1,MOD($A132-1,2)),1-IF(INT(($A132-1)/2)+1&gt;MAX(1,INT(((((CROQUIS_DATOS!$C$1484+CROQUIS_DATOS!$C$1485))-(CROQUIS_DATOS!$C$1484))+((CROQUIS_DATOS!$C$1476)*CROQUIS_DATOS!$C$1561-((CROQUIS_DATOS!$C$1486+CROQUIS_DATOS!$C$1487))*CROQUIS_DATOS!$C$1561))/CROQUIS_DATOS!$C$1568-0.000001)),1,MOD($A132-1,2)))=1,MIN((CROQUIS_DATOS!$C$1476)*CROQUIS_DATOS!$C$1561,((CROQUIS_DATOS!$C$1484+CROQUIS_DATOS!$C$1485)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2">
        <f>IF(AND(CROQUIS_DATOS!$C$1472=1,CROQUIS_DATOS!$C$1478&gt;=3,((CROQUIS_DATOS!$C$1489+CROQUIS_DATOS!$C$1490))-(CROQUIS_DATOS!$C$1489)&gt;0.5,(CROQUIS_DATOS!$C$1491)-(0)&gt;0.5),(CROQUIS_DATOS!$C$1566+(IF(IF(MOD(MIN(INT(($A132-1)/2)+1,MAX(1,INT(((((CROQUIS_DATOS!$C$1489+CROQUIS_DATOS!$C$1490))-(CROQUIS_DATOS!$C$1489))+((CROQUIS_DATOS!$C$1491)*CROQUIS_DATOS!$C$1561-(0)*CROQUIS_DATOS!$C$1561))/CROQUIS_DATOS!$C$1568-0.000001))),2)=1,IF(INT(($A132-1)/2)+1&gt;MAX(1,INT(((((CROQUIS_DATOS!$C$1489+CROQUIS_DATOS!$C$1490))-(CROQUIS_DATOS!$C$1489))+((CROQUIS_DATOS!$C$1491)*CROQUIS_DATOS!$C$1561-(0)*CROQUIS_DATOS!$C$1561))/CROQUIS_DATOS!$C$1568-0.000001)),1,MOD($A132-1,2)),1-IF(INT(($A132-1)/2)+1&gt;MAX(1,INT(((((CROQUIS_DATOS!$C$1489+CROQUIS_DATOS!$C$1490))-(CROQUIS_DATOS!$C$1489))+((CROQUIS_DATOS!$C$1491)*CROQUIS_DATOS!$C$1561-(0)*CROQUIS_DATOS!$C$1561))/CROQUIS_DATOS!$C$1568-0.000001)),1,MOD($A132-1,2)))=1,MIN((CROQUIS_DATOS!$C$1491)*CROQUIS_DATOS!$C$1561,((CROQUIS_DATOS!$C$1489+CROQUIS_DATOS!$C$1490)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2">
        <f>IF(AND(CROQUIS_DATOS!$C$1472=1,CROQUIS_DATOS!$C$1478&gt;=3,((CROQUIS_DATOS!$C$1489+CROQUIS_DATOS!$C$1490))-(CROQUIS_DATOS!$C$1489)&gt;0.5,(CROQUIS_DATOS!$C$1491)-(0)&gt;0.5),(CROQUIS_DATOS!$C$1567+(IF(IF(MOD(MIN(INT(($A132-1)/2)+1,MAX(1,INT(((((CROQUIS_DATOS!$C$1489+CROQUIS_DATOS!$C$1490))-(CROQUIS_DATOS!$C$1489))+((CROQUIS_DATOS!$C$1491)*CROQUIS_DATOS!$C$1561-(0)*CROQUIS_DATOS!$C$1561))/CROQUIS_DATOS!$C$1568-0.000001))),2)=1,IF(INT(($A132-1)/2)+1&gt;MAX(1,INT(((((CROQUIS_DATOS!$C$1489+CROQUIS_DATOS!$C$1490))-(CROQUIS_DATOS!$C$1489))+((CROQUIS_DATOS!$C$1491)*CROQUIS_DATOS!$C$1561-(0)*CROQUIS_DATOS!$C$1561))/CROQUIS_DATOS!$C$1568-0.000001)),1,MOD($A132-1,2)),1-IF(INT(($A132-1)/2)+1&gt;MAX(1,INT(((((CROQUIS_DATOS!$C$1489+CROQUIS_DATOS!$C$1490))-(CROQUIS_DATOS!$C$1489))+((CROQUIS_DATOS!$C$1491)*CROQUIS_DATOS!$C$1561-(0)*CROQUIS_DATOS!$C$1561))/CROQUIS_DATOS!$C$1568-0.000001)),1,MOD($A132-1,2)))=1,MIN((CROQUIS_DATOS!$C$1491)*CROQUIS_DATOS!$C$1561,((CROQUIS_DATOS!$C$1489+CROQUIS_DATOS!$C$1490)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2">
        <f>IF(AND(CROQUIS_DATOS!$C$1472=1,CROQUIS_DATOS!$C$1478&gt;=3,((CROQUIS_DATOS!$C$1489+CROQUIS_DATOS!$C$1490))-(CROQUIS_DATOS!$C$1489)&gt;0.5,(CROQUIS_DATOS!$C$1476)-((CROQUIS_DATOS!$C$1491+CROQUIS_DATOS!$C$1492))&gt;0.5),(CROQUIS_DATOS!$C$1566+(IF(IF(MOD(MIN(INT(($A132-1)/2)+1,MAX(1,INT(((((CROQUIS_DATOS!$C$1489+CROQUIS_DATOS!$C$1490))-(CROQUIS_DATOS!$C$1489))+((CROQUIS_DATOS!$C$1476)*CROQUIS_DATOS!$C$1561-((CROQUIS_DATOS!$C$1491+CROQUIS_DATOS!$C$1492))*CROQUIS_DATOS!$C$1561))/CROQUIS_DATOS!$C$1568-0.000001))),2)=1,IF(INT(($A132-1)/2)+1&gt;MAX(1,INT(((((CROQUIS_DATOS!$C$1489+CROQUIS_DATOS!$C$1490))-(CROQUIS_DATOS!$C$1489))+((CROQUIS_DATOS!$C$1476)*CROQUIS_DATOS!$C$1561-((CROQUIS_DATOS!$C$1491+CROQUIS_DATOS!$C$1492))*CROQUIS_DATOS!$C$1561))/CROQUIS_DATOS!$C$1568-0.000001)),1,MOD($A132-1,2)),1-IF(INT(($A132-1)/2)+1&gt;MAX(1,INT(((((CROQUIS_DATOS!$C$1489+CROQUIS_DATOS!$C$1490))-(CROQUIS_DATOS!$C$1489))+((CROQUIS_DATOS!$C$1476)*CROQUIS_DATOS!$C$1561-((CROQUIS_DATOS!$C$1491+CROQUIS_DATOS!$C$1492))*CROQUIS_DATOS!$C$1561))/CROQUIS_DATOS!$C$1568-0.000001)),1,MOD($A132-1,2)))=1,MIN((CROQUIS_DATOS!$C$1476)*CROQUIS_DATOS!$C$1561,((CROQUIS_DATOS!$C$1489+CROQUIS_DATOS!$C$1490)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2">
        <f>IF(AND(CROQUIS_DATOS!$C$1472=1,CROQUIS_DATOS!$C$1478&gt;=3,((CROQUIS_DATOS!$C$1489+CROQUIS_DATOS!$C$1490))-(CROQUIS_DATOS!$C$1489)&gt;0.5,(CROQUIS_DATOS!$C$1476)-((CROQUIS_DATOS!$C$1491+CROQUIS_DATOS!$C$1492))&gt;0.5),(CROQUIS_DATOS!$C$1567+(IF(IF(MOD(MIN(INT(($A132-1)/2)+1,MAX(1,INT(((((CROQUIS_DATOS!$C$1489+CROQUIS_DATOS!$C$1490))-(CROQUIS_DATOS!$C$1489))+((CROQUIS_DATOS!$C$1476)*CROQUIS_DATOS!$C$1561-((CROQUIS_DATOS!$C$1491+CROQUIS_DATOS!$C$1492))*CROQUIS_DATOS!$C$1561))/CROQUIS_DATOS!$C$1568-0.000001))),2)=1,IF(INT(($A132-1)/2)+1&gt;MAX(1,INT(((((CROQUIS_DATOS!$C$1489+CROQUIS_DATOS!$C$1490))-(CROQUIS_DATOS!$C$1489))+((CROQUIS_DATOS!$C$1476)*CROQUIS_DATOS!$C$1561-((CROQUIS_DATOS!$C$1491+CROQUIS_DATOS!$C$1492))*CROQUIS_DATOS!$C$1561))/CROQUIS_DATOS!$C$1568-0.000001)),1,MOD($A132-1,2)),1-IF(INT(($A132-1)/2)+1&gt;MAX(1,INT(((((CROQUIS_DATOS!$C$1489+CROQUIS_DATOS!$C$1490))-(CROQUIS_DATOS!$C$1489))+((CROQUIS_DATOS!$C$1476)*CROQUIS_DATOS!$C$1561-((CROQUIS_DATOS!$C$1491+CROQUIS_DATOS!$C$1492))*CROQUIS_DATOS!$C$1561))/CROQUIS_DATOS!$C$1568-0.000001)),1,MOD($A132-1,2)))=1,MIN((CROQUIS_DATOS!$C$1476)*CROQUIS_DATOS!$C$1561,((CROQUIS_DATOS!$C$1489+CROQUIS_DATOS!$C$1490)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2">
        <f>IF(AND(CROQUIS_DATOS!$C$1472=1,CROQUIS_DATOS!$C$1478&gt;=4,((CROQUIS_DATOS!$C$1494+CROQUIS_DATOS!$C$1495))-(CROQUIS_DATOS!$C$1494)&gt;0.5,(CROQUIS_DATOS!$C$1496)-(0)&gt;0.5),(CROQUIS_DATOS!$C$1566+(IF(IF(MOD(MIN(INT(($A132-1)/2)+1,MAX(1,INT(((((CROQUIS_DATOS!$C$1494+CROQUIS_DATOS!$C$1495))-(CROQUIS_DATOS!$C$1494))+((CROQUIS_DATOS!$C$1496)*CROQUIS_DATOS!$C$1561-(0)*CROQUIS_DATOS!$C$1561))/CROQUIS_DATOS!$C$1568-0.000001))),2)=1,IF(INT(($A132-1)/2)+1&gt;MAX(1,INT(((((CROQUIS_DATOS!$C$1494+CROQUIS_DATOS!$C$1495))-(CROQUIS_DATOS!$C$1494))+((CROQUIS_DATOS!$C$1496)*CROQUIS_DATOS!$C$1561-(0)*CROQUIS_DATOS!$C$1561))/CROQUIS_DATOS!$C$1568-0.000001)),1,MOD($A132-1,2)),1-IF(INT(($A132-1)/2)+1&gt;MAX(1,INT(((((CROQUIS_DATOS!$C$1494+CROQUIS_DATOS!$C$1495))-(CROQUIS_DATOS!$C$1494))+((CROQUIS_DATOS!$C$1496)*CROQUIS_DATOS!$C$1561-(0)*CROQUIS_DATOS!$C$1561))/CROQUIS_DATOS!$C$1568-0.000001)),1,MOD($A132-1,2)))=1,MIN((CROQUIS_DATOS!$C$1496)*CROQUIS_DATOS!$C$1561,((CROQUIS_DATOS!$C$1494+CROQUIS_DATOS!$C$1495)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2">
        <f>IF(AND(CROQUIS_DATOS!$C$1472=1,CROQUIS_DATOS!$C$1478&gt;=4,((CROQUIS_DATOS!$C$1494+CROQUIS_DATOS!$C$1495))-(CROQUIS_DATOS!$C$1494)&gt;0.5,(CROQUIS_DATOS!$C$1496)-(0)&gt;0.5),(CROQUIS_DATOS!$C$1567+(IF(IF(MOD(MIN(INT(($A132-1)/2)+1,MAX(1,INT(((((CROQUIS_DATOS!$C$1494+CROQUIS_DATOS!$C$1495))-(CROQUIS_DATOS!$C$1494))+((CROQUIS_DATOS!$C$1496)*CROQUIS_DATOS!$C$1561-(0)*CROQUIS_DATOS!$C$1561))/CROQUIS_DATOS!$C$1568-0.000001))),2)=1,IF(INT(($A132-1)/2)+1&gt;MAX(1,INT(((((CROQUIS_DATOS!$C$1494+CROQUIS_DATOS!$C$1495))-(CROQUIS_DATOS!$C$1494))+((CROQUIS_DATOS!$C$1496)*CROQUIS_DATOS!$C$1561-(0)*CROQUIS_DATOS!$C$1561))/CROQUIS_DATOS!$C$1568-0.000001)),1,MOD($A132-1,2)),1-IF(INT(($A132-1)/2)+1&gt;MAX(1,INT(((((CROQUIS_DATOS!$C$1494+CROQUIS_DATOS!$C$1495))-(CROQUIS_DATOS!$C$1494))+((CROQUIS_DATOS!$C$1496)*CROQUIS_DATOS!$C$1561-(0)*CROQUIS_DATOS!$C$1561))/CROQUIS_DATOS!$C$1568-0.000001)),1,MOD($A132-1,2)))=1,MIN((CROQUIS_DATOS!$C$1496)*CROQUIS_DATOS!$C$1561,((CROQUIS_DATOS!$C$1494+CROQUIS_DATOS!$C$1495)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2">
        <f>IF(AND(CROQUIS_DATOS!$C$1472=1,CROQUIS_DATOS!$C$1478&gt;=4,((CROQUIS_DATOS!$C$1494+CROQUIS_DATOS!$C$1495))-(CROQUIS_DATOS!$C$1494)&gt;0.5,(CROQUIS_DATOS!$C$1476)-((CROQUIS_DATOS!$C$1496+CROQUIS_DATOS!$C$1497))&gt;0.5),(CROQUIS_DATOS!$C$1566+(IF(IF(MOD(MIN(INT(($A132-1)/2)+1,MAX(1,INT(((((CROQUIS_DATOS!$C$1494+CROQUIS_DATOS!$C$1495))-(CROQUIS_DATOS!$C$1494))+((CROQUIS_DATOS!$C$1476)*CROQUIS_DATOS!$C$1561-((CROQUIS_DATOS!$C$1496+CROQUIS_DATOS!$C$1497))*CROQUIS_DATOS!$C$1561))/CROQUIS_DATOS!$C$1568-0.000001))),2)=1,IF(INT(($A132-1)/2)+1&gt;MAX(1,INT(((((CROQUIS_DATOS!$C$1494+CROQUIS_DATOS!$C$1495))-(CROQUIS_DATOS!$C$1494))+((CROQUIS_DATOS!$C$1476)*CROQUIS_DATOS!$C$1561-((CROQUIS_DATOS!$C$1496+CROQUIS_DATOS!$C$1497))*CROQUIS_DATOS!$C$1561))/CROQUIS_DATOS!$C$1568-0.000001)),1,MOD($A132-1,2)),1-IF(INT(($A132-1)/2)+1&gt;MAX(1,INT(((((CROQUIS_DATOS!$C$1494+CROQUIS_DATOS!$C$1495))-(CROQUIS_DATOS!$C$1494))+((CROQUIS_DATOS!$C$1476)*CROQUIS_DATOS!$C$1561-((CROQUIS_DATOS!$C$1496+CROQUIS_DATOS!$C$1497))*CROQUIS_DATOS!$C$1561))/CROQUIS_DATOS!$C$1568-0.000001)),1,MOD($A132-1,2)))=1,MIN((CROQUIS_DATOS!$C$1476)*CROQUIS_DATOS!$C$1561,((CROQUIS_DATOS!$C$1494+CROQUIS_DATOS!$C$1495)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2">
        <f>IF(AND(CROQUIS_DATOS!$C$1472=1,CROQUIS_DATOS!$C$1478&gt;=4,((CROQUIS_DATOS!$C$1494+CROQUIS_DATOS!$C$1495))-(CROQUIS_DATOS!$C$1494)&gt;0.5,(CROQUIS_DATOS!$C$1476)-((CROQUIS_DATOS!$C$1496+CROQUIS_DATOS!$C$1497))&gt;0.5),(CROQUIS_DATOS!$C$1567+(IF(IF(MOD(MIN(INT(($A132-1)/2)+1,MAX(1,INT(((((CROQUIS_DATOS!$C$1494+CROQUIS_DATOS!$C$1495))-(CROQUIS_DATOS!$C$1494))+((CROQUIS_DATOS!$C$1476)*CROQUIS_DATOS!$C$1561-((CROQUIS_DATOS!$C$1496+CROQUIS_DATOS!$C$1497))*CROQUIS_DATOS!$C$1561))/CROQUIS_DATOS!$C$1568-0.000001))),2)=1,IF(INT(($A132-1)/2)+1&gt;MAX(1,INT(((((CROQUIS_DATOS!$C$1494+CROQUIS_DATOS!$C$1495))-(CROQUIS_DATOS!$C$1494))+((CROQUIS_DATOS!$C$1476)*CROQUIS_DATOS!$C$1561-((CROQUIS_DATOS!$C$1496+CROQUIS_DATOS!$C$1497))*CROQUIS_DATOS!$C$1561))/CROQUIS_DATOS!$C$1568-0.000001)),1,MOD($A132-1,2)),1-IF(INT(($A132-1)/2)+1&gt;MAX(1,INT(((((CROQUIS_DATOS!$C$1494+CROQUIS_DATOS!$C$1495))-(CROQUIS_DATOS!$C$1494))+((CROQUIS_DATOS!$C$1476)*CROQUIS_DATOS!$C$1561-((CROQUIS_DATOS!$C$1496+CROQUIS_DATOS!$C$1497))*CROQUIS_DATOS!$C$1561))/CROQUIS_DATOS!$C$1568-0.000001)),1,MOD($A132-1,2)))=1,MIN((CROQUIS_DATOS!$C$1476)*CROQUIS_DATOS!$C$1561,((CROQUIS_DATOS!$C$1494+CROQUIS_DATOS!$C$1495)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3">
      <c r="A133" t="n">
        <v>126</v>
      </c>
      <c r="N133">
        <f>IF(AND(CROQUIS_DATOS!$C$1472=1,1),(CROQUIS_DATOS!$C$1563+(IF(IF(IF(INT(($A133-1)/70)+1&gt;CROQUIS_DATOS!$C$1525,70,MOD($A133-1,70)+1)=1,0,IF(IF(INT(($A133-1)/70)+1&gt;CROQUIS_DATOS!$C$1525,70,MOD($A133-1,70)+1)&gt;2*CROQUIS_DATOS!$C$1541+1,IF(MOD(CROQUIS_DATOS!$C$1541,2)=1,1,0),IF(MOD(MIN(INT((IF(INT(($A133-1)/70)+1&gt;CROQUIS_DATOS!$C$1525,70,MOD($A133-1,70)+1)-2)/2)+1,CROQUIS_DATOS!$C$1541),2)=1,IF(MOD(IF(INT(($A133-1)/70)+1&gt;CROQUIS_DATOS!$C$1525,70,MOD($A133-1,70)+1)-2,2)=0,0,1),IF(MOD(IF(INT(($A133-1)/70)+1&gt;CROQUIS_DATOS!$C$1525,70,MOD($A133-1,70)+1)-2,2)=0,1,0))))=0,(INDEX($E$8:$E$23,MIN(INT(($A133-1)/70)+1,CROQUIS_DATOS!$C$1525))-INDEX($F$8:$F$23,MIN(INT(($A133-1)/70)+1,CROQUIS_DATOS!$C$1525))/2),(INDEX($E$8:$E$23,MIN(INT(($A133-1)/70)+1,CROQUIS_DATOS!$C$1525))+INDEX($F$8:$F$23,MIN(INT(($A133-1)/70)+1,CROQUIS_DATOS!$C$1525))/2)))*CROQUIS_DATOS!$C$1562),-1000)</f>
        <v>18.5775862068965</v>
      </c>
      <c r="O133">
        <f>IF(AND(CROQUIS_DATOS!$C$1472=1,1),(CROQUIS_DATOS!$C$1564+(IF(OR(IF(INT(($A133-1)/70)+1&gt;CROQUIS_DATOS!$C$1525,70,MOD($A133-1,70)+1)=1,IF(INT(($A133-1)/70)+1&gt;CROQUIS_DATOS!$C$1525,70,MOD($A133-1,70)+1)&gt;2*CROQUIS_DATOS!$C$1541+1),CROQUIS_DATOS!$C$1476,INDEX($H$8:$H$41,MIN(INT((IF(INT(($A133-1)/70)+1&gt;CROQUIS_DATOS!$C$1525,70,MOD($A133-1,70)+1)-2)/2)+1,CROQUIS_DATOS!$C$1541))))*CROQUIS_DATOS!$C$1561*CROQUIS_DATOS!$C$1562),-1000)</f>
        <v>40.2068965517241</v>
      </c>
      <c r="P133">
        <f>IF(AND(CROQUIS_DATOS!$C$1472=1,CROQUIS_DATOS!$C$1555=1),(CROQUIS_DATOS!$C$1563+(IF(IF(OR(MOD($A133-1,62)+1=1,IF(CHOOSE(MIN(MAX(MIN(INT(($A133-1)/62)+1,5),1),5),CROQUIS_DATOS!$C$1501,CROQUIS_DATOS!$C$1505,CROQUIS_DATOS!$C$1509,CROQUIS_DATOS!$C$1513,CROQUIS_DATOS!$C$1517)=1,CROQUIS_DATOS!$C$1557,0)=0),0,IF(MOD($A133-1,62)+1&gt;2*IF(CHOOSE(MIN(MAX(MIN(INT(($A133-1)/62)+1,5),1),5),CROQUIS_DATOS!$C$1501,CROQUIS_DATOS!$C$1505,CROQUIS_DATOS!$C$1509,CROQUIS_DATOS!$C$1513,CROQUIS_DATOS!$C$1517)=1,CROQUIS_DATOS!$C$1557,0)+1,IF(MOD(IF(CHOOSE(MIN(MAX(MIN(INT(($A133-1)/62)+1,5),1),5),CROQUIS_DATOS!$C$1501,CROQUIS_DATOS!$C$1505,CROQUIS_DATOS!$C$1509,CROQUIS_DATOS!$C$1513,CROQUIS_DATOS!$C$1517)=1,CROQUIS_DATOS!$C$1557,0),2)=1,1,0),IF(MOD(MIN(INT((MOD($A133-1,62)+1-2)/2)+1,MAX(IF(CHOOSE(MIN(MAX(MIN(INT(($A133-1)/62)+1,5),1),5),CROQUIS_DATOS!$C$1501,CROQUIS_DATOS!$C$1505,CROQUIS_DATOS!$C$1509,CROQUIS_DATOS!$C$1513,CROQUIS_DATOS!$C$1517)=1,CROQUIS_DATOS!$C$1557,0),1)),2)=1,IF(MOD(MOD($A133-1,62)+1-2,2)=0,0,1),IF(MOD(MOD($A133-1,62)+1-2,2)=0,1,0))))=0,(CHOOSE(MIN(MAX(MIN(INT(($A133-1)/62)+1,5),1),5),CROQUIS_DATOS!$C$1499,CROQUIS_DATOS!$C$1503,CROQUIS_DATOS!$C$1507,CROQUIS_DATOS!$C$1511,CROQUIS_DATOS!$C$1515)+IF(CHOOSE(MIN(MAX(MIN(INT(($A133-1)/62)+1,5),1),5),CROQUIS_DATOS!$C$1501,CROQUIS_DATOS!$C$1505,CROQUIS_DATOS!$C$1509,CROQUIS_DATOS!$C$1513,CROQUIS_DATOS!$C$1517)=1,CROQUIS_DATOS!$C$1526,0)),(CHOOSE(MIN(MAX(MIN(INT(($A133-1)/62)+1,5),1),5),CROQUIS_DATOS!$C$1499,CROQUIS_DATOS!$C$1503,CROQUIS_DATOS!$C$1507,CROQUIS_DATOS!$C$1511,CROQUIS_DATOS!$C$1515)+CHOOSE(MIN(MAX(MIN(INT(($A133-1)/62)+1,5),1),5),CROQUIS_DATOS!$C$1500,CROQUIS_DATOS!$C$1504,CROQUIS_DATOS!$C$1508,CROQUIS_DATOS!$C$1512,CROQUIS_DATOS!$C$1516)-IF(CHOOSE(MIN(MAX(MIN(INT(($A133-1)/62)+1,5),1),5),CROQUIS_DATOS!$C$1501,CROQUIS_DATOS!$C$1505,CROQUIS_DATOS!$C$1509,CROQUIS_DATOS!$C$1513,CROQUIS_DATOS!$C$1517)=1,CROQUIS_DATOS!$C$1526,0))))*CROQUIS_DATOS!$C$1562),-1000)</f>
        <v>-1000</v>
      </c>
      <c r="Q133">
        <f>IF(AND(CROQUIS_DATOS!$C$1472=1,CROQUIS_DATOS!$C$1555=1),(CROQUIS_DATOS!$C$1564+(IF(OR(OR(MOD($A133-1,62)+1=1,IF(CHOOSE(MIN(MAX(MIN(INT(($A133-1)/62)+1,5),1),5),CROQUIS_DATOS!$C$1501,CROQUIS_DATOS!$C$1505,CROQUIS_DATOS!$C$1509,CROQUIS_DATOS!$C$1513,CROQUIS_DATOS!$C$1517)=1,CROQUIS_DATOS!$C$1557,0)=0),MOD($A133-1,62)+1&gt;2*IF(CHOOSE(MIN(MAX(MIN(INT(($A133-1)/62)+1,5),1),5),CROQUIS_DATOS!$C$1501,CROQUIS_DATOS!$C$1505,CROQUIS_DATOS!$C$1509,CROQUIS_DATOS!$C$1513,CROQUIS_DATOS!$C$1517)=1,CROQUIS_DATOS!$C$1557,0)+1),CROQUIS_DATOS!$C$1476,MIN(INT((MOD($A133-1,62)+1-2)/2)+1,MAX(IF(CHOOSE(MIN(MAX(MIN(INT(($A133-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3">
        <f>IF(AND(CROQUIS_DATOS!$C$1472=1,1),(CROQUIS_DATOS!$C$1563+(MIN(INT(($A133-1)/2)+1,CROQUIS_DATOS!$C$1558)*CROQUIS_DATOS!$C$1559)*CROQUIS_DATOS!$C$1562),-1000)</f>
        <v>82.2281167108753</v>
      </c>
      <c r="U133">
        <f>IF(AND(CROQUIS_DATOS!$C$1472=1,1),(CROQUIS_DATOS!$C$1564+(IF(INT(($A133-1)/2)+1&gt;CROQUIS_DATOS!$C$1558,IF(MOD(CROQUIS_DATOS!$C$1558,2)=1,CROQUIS_DATOS!$C$1476+CROQUIS_DATOS!$C$1528,CROQUIS_DATOS!$C$1476),IF(IF(MOD(MIN(INT(($A133-1)/2)+1,CROQUIS_DATOS!$C$1558),2)=1,MOD($A133-1,2),1-MOD($A133-1,2))=1,CROQUIS_DATOS!$C$1476+CROQUIS_DATOS!$C$1528,CROQUIS_DATOS!$C$1476)))*CROQUIS_DATOS!$C$1561*CROQUIS_DATOS!$C$1562),-1000)</f>
        <v>43</v>
      </c>
      <c r="BZ133">
        <f>IF(AND(CROQUIS_DATOS!$C$1472=1,CROQUIS_DATOS!$C$1500&gt;0,((CROQUIS_DATOS!$C$1499+CROQUIS_DATOS!$C$1500))-(CROQUIS_DATOS!$C$1499)&gt;0.5,(CROQUIS_DATOS!$C$1476)-(0)&gt;0.5),(CROQUIS_DATOS!$C$1566+(IF(IF(MOD(MIN(INT(($A133-1)/2)+1,MAX(1,INT(((((CROQUIS_DATOS!$C$1499+CROQUIS_DATOS!$C$1500))-(CROQUIS_DATOS!$C$1499))+((CROQUIS_DATOS!$C$1476)*CROQUIS_DATOS!$C$1561-(0)*CROQUIS_DATOS!$C$1561))/CROQUIS_DATOS!$C$1568-0.000001))),2)=1,IF(INT(($A133-1)/2)+1&gt;MAX(1,INT(((((CROQUIS_DATOS!$C$1499+CROQUIS_DATOS!$C$1500))-(CROQUIS_DATOS!$C$1499))+((CROQUIS_DATOS!$C$1476)*CROQUIS_DATOS!$C$1561-(0)*CROQUIS_DATOS!$C$1561))/CROQUIS_DATOS!$C$1568-0.000001)),1,MOD($A133-1,2)),1-IF(INT(($A133-1)/2)+1&gt;MAX(1,INT(((((CROQUIS_DATOS!$C$1499+CROQUIS_DATOS!$C$1500))-(CROQUIS_DATOS!$C$1499))+((CROQUIS_DATOS!$C$1476)*CROQUIS_DATOS!$C$1561-(0)*CROQUIS_DATOS!$C$1561))/CROQUIS_DATOS!$C$1568-0.000001)),1,MOD($A133-1,2)))=1,MIN((CROQUIS_DATOS!$C$1476)*CROQUIS_DATOS!$C$1561,((CROQUIS_DATOS!$C$1499+CROQUIS_DATOS!$C$1500)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3">
        <f>IF(AND(CROQUIS_DATOS!$C$1472=1,CROQUIS_DATOS!$C$1500&gt;0,((CROQUIS_DATOS!$C$1499+CROQUIS_DATOS!$C$1500))-(CROQUIS_DATOS!$C$1499)&gt;0.5,(CROQUIS_DATOS!$C$1476)-(0)&gt;0.5),(CROQUIS_DATOS!$C$1567+(IF(IF(MOD(MIN(INT(($A133-1)/2)+1,MAX(1,INT(((((CROQUIS_DATOS!$C$1499+CROQUIS_DATOS!$C$1500))-(CROQUIS_DATOS!$C$1499))+((CROQUIS_DATOS!$C$1476)*CROQUIS_DATOS!$C$1561-(0)*CROQUIS_DATOS!$C$1561))/CROQUIS_DATOS!$C$1568-0.000001))),2)=1,IF(INT(($A133-1)/2)+1&gt;MAX(1,INT(((((CROQUIS_DATOS!$C$1499+CROQUIS_DATOS!$C$1500))-(CROQUIS_DATOS!$C$1499))+((CROQUIS_DATOS!$C$1476)*CROQUIS_DATOS!$C$1561-(0)*CROQUIS_DATOS!$C$1561))/CROQUIS_DATOS!$C$1568-0.000001)),1,MOD($A133-1,2)),1-IF(INT(($A133-1)/2)+1&gt;MAX(1,INT(((((CROQUIS_DATOS!$C$1499+CROQUIS_DATOS!$C$1500))-(CROQUIS_DATOS!$C$1499))+((CROQUIS_DATOS!$C$1476)*CROQUIS_DATOS!$C$1561-(0)*CROQUIS_DATOS!$C$1561))/CROQUIS_DATOS!$C$1568-0.000001)),1,MOD($A133-1,2)))=1,MIN((CROQUIS_DATOS!$C$1476)*CROQUIS_DATOS!$C$1561,((CROQUIS_DATOS!$C$1499+CROQUIS_DATOS!$C$1500)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3">
        <f>IF(AND(CROQUIS_DATOS!$C$1472=1,CROQUIS_DATOS!$C$1504&gt;0,((CROQUIS_DATOS!$C$1503+CROQUIS_DATOS!$C$1504))-(CROQUIS_DATOS!$C$1503)&gt;0.5,(CROQUIS_DATOS!$C$1476)-(0)&gt;0.5),(CROQUIS_DATOS!$C$1566+(IF(IF(MOD(MIN(INT(($A133-1)/2)+1,MAX(1,INT(((((CROQUIS_DATOS!$C$1503+CROQUIS_DATOS!$C$1504))-(CROQUIS_DATOS!$C$1503))+((CROQUIS_DATOS!$C$1476)*CROQUIS_DATOS!$C$1561-(0)*CROQUIS_DATOS!$C$1561))/CROQUIS_DATOS!$C$1568-0.000001))),2)=1,IF(INT(($A133-1)/2)+1&gt;MAX(1,INT(((((CROQUIS_DATOS!$C$1503+CROQUIS_DATOS!$C$1504))-(CROQUIS_DATOS!$C$1503))+((CROQUIS_DATOS!$C$1476)*CROQUIS_DATOS!$C$1561-(0)*CROQUIS_DATOS!$C$1561))/CROQUIS_DATOS!$C$1568-0.000001)),1,MOD($A133-1,2)),1-IF(INT(($A133-1)/2)+1&gt;MAX(1,INT(((((CROQUIS_DATOS!$C$1503+CROQUIS_DATOS!$C$1504))-(CROQUIS_DATOS!$C$1503))+((CROQUIS_DATOS!$C$1476)*CROQUIS_DATOS!$C$1561-(0)*CROQUIS_DATOS!$C$1561))/CROQUIS_DATOS!$C$1568-0.000001)),1,MOD($A133-1,2)))=1,MIN((CROQUIS_DATOS!$C$1476)*CROQUIS_DATOS!$C$1561,((CROQUIS_DATOS!$C$1503+CROQUIS_DATOS!$C$1504)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3">
        <f>IF(AND(CROQUIS_DATOS!$C$1472=1,CROQUIS_DATOS!$C$1504&gt;0,((CROQUIS_DATOS!$C$1503+CROQUIS_DATOS!$C$1504))-(CROQUIS_DATOS!$C$1503)&gt;0.5,(CROQUIS_DATOS!$C$1476)-(0)&gt;0.5),(CROQUIS_DATOS!$C$1567+(IF(IF(MOD(MIN(INT(($A133-1)/2)+1,MAX(1,INT(((((CROQUIS_DATOS!$C$1503+CROQUIS_DATOS!$C$1504))-(CROQUIS_DATOS!$C$1503))+((CROQUIS_DATOS!$C$1476)*CROQUIS_DATOS!$C$1561-(0)*CROQUIS_DATOS!$C$1561))/CROQUIS_DATOS!$C$1568-0.000001))),2)=1,IF(INT(($A133-1)/2)+1&gt;MAX(1,INT(((((CROQUIS_DATOS!$C$1503+CROQUIS_DATOS!$C$1504))-(CROQUIS_DATOS!$C$1503))+((CROQUIS_DATOS!$C$1476)*CROQUIS_DATOS!$C$1561-(0)*CROQUIS_DATOS!$C$1561))/CROQUIS_DATOS!$C$1568-0.000001)),1,MOD($A133-1,2)),1-IF(INT(($A133-1)/2)+1&gt;MAX(1,INT(((((CROQUIS_DATOS!$C$1503+CROQUIS_DATOS!$C$1504))-(CROQUIS_DATOS!$C$1503))+((CROQUIS_DATOS!$C$1476)*CROQUIS_DATOS!$C$1561-(0)*CROQUIS_DATOS!$C$1561))/CROQUIS_DATOS!$C$1568-0.000001)),1,MOD($A133-1,2)))=1,MIN((CROQUIS_DATOS!$C$1476)*CROQUIS_DATOS!$C$1561,((CROQUIS_DATOS!$C$1503+CROQUIS_DATOS!$C$1504)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3">
        <f>IF(AND(CROQUIS_DATOS!$C$1472=1,CROQUIS_DATOS!$C$1508&gt;0,((CROQUIS_DATOS!$C$1507+CROQUIS_DATOS!$C$1508))-(CROQUIS_DATOS!$C$1507)&gt;0.5,(CROQUIS_DATOS!$C$1476)-(0)&gt;0.5),(CROQUIS_DATOS!$C$1566+(IF(IF(MOD(MIN(INT(($A133-1)/2)+1,MAX(1,INT(((((CROQUIS_DATOS!$C$1507+CROQUIS_DATOS!$C$1508))-(CROQUIS_DATOS!$C$1507))+((CROQUIS_DATOS!$C$1476)*CROQUIS_DATOS!$C$1561-(0)*CROQUIS_DATOS!$C$1561))/CROQUIS_DATOS!$C$1568-0.000001))),2)=1,IF(INT(($A133-1)/2)+1&gt;MAX(1,INT(((((CROQUIS_DATOS!$C$1507+CROQUIS_DATOS!$C$1508))-(CROQUIS_DATOS!$C$1507))+((CROQUIS_DATOS!$C$1476)*CROQUIS_DATOS!$C$1561-(0)*CROQUIS_DATOS!$C$1561))/CROQUIS_DATOS!$C$1568-0.000001)),1,MOD($A133-1,2)),1-IF(INT(($A133-1)/2)+1&gt;MAX(1,INT(((((CROQUIS_DATOS!$C$1507+CROQUIS_DATOS!$C$1508))-(CROQUIS_DATOS!$C$1507))+((CROQUIS_DATOS!$C$1476)*CROQUIS_DATOS!$C$1561-(0)*CROQUIS_DATOS!$C$1561))/CROQUIS_DATOS!$C$1568-0.000001)),1,MOD($A133-1,2)))=1,MIN((CROQUIS_DATOS!$C$1476)*CROQUIS_DATOS!$C$1561,((CROQUIS_DATOS!$C$1507+CROQUIS_DATOS!$C$1508)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3">
        <f>IF(AND(CROQUIS_DATOS!$C$1472=1,CROQUIS_DATOS!$C$1508&gt;0,((CROQUIS_DATOS!$C$1507+CROQUIS_DATOS!$C$1508))-(CROQUIS_DATOS!$C$1507)&gt;0.5,(CROQUIS_DATOS!$C$1476)-(0)&gt;0.5),(CROQUIS_DATOS!$C$1567+(IF(IF(MOD(MIN(INT(($A133-1)/2)+1,MAX(1,INT(((((CROQUIS_DATOS!$C$1507+CROQUIS_DATOS!$C$1508))-(CROQUIS_DATOS!$C$1507))+((CROQUIS_DATOS!$C$1476)*CROQUIS_DATOS!$C$1561-(0)*CROQUIS_DATOS!$C$1561))/CROQUIS_DATOS!$C$1568-0.000001))),2)=1,IF(INT(($A133-1)/2)+1&gt;MAX(1,INT(((((CROQUIS_DATOS!$C$1507+CROQUIS_DATOS!$C$1508))-(CROQUIS_DATOS!$C$1507))+((CROQUIS_DATOS!$C$1476)*CROQUIS_DATOS!$C$1561-(0)*CROQUIS_DATOS!$C$1561))/CROQUIS_DATOS!$C$1568-0.000001)),1,MOD($A133-1,2)),1-IF(INT(($A133-1)/2)+1&gt;MAX(1,INT(((((CROQUIS_DATOS!$C$1507+CROQUIS_DATOS!$C$1508))-(CROQUIS_DATOS!$C$1507))+((CROQUIS_DATOS!$C$1476)*CROQUIS_DATOS!$C$1561-(0)*CROQUIS_DATOS!$C$1561))/CROQUIS_DATOS!$C$1568-0.000001)),1,MOD($A133-1,2)))=1,MIN((CROQUIS_DATOS!$C$1476)*CROQUIS_DATOS!$C$1561,((CROQUIS_DATOS!$C$1507+CROQUIS_DATOS!$C$1508)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3">
        <f>IF(AND(CROQUIS_DATOS!$C$1472=1,CROQUIS_DATOS!$C$1512&gt;0,((CROQUIS_DATOS!$C$1511+CROQUIS_DATOS!$C$1512))-(CROQUIS_DATOS!$C$1511)&gt;0.5,(CROQUIS_DATOS!$C$1476)-(0)&gt;0.5),(CROQUIS_DATOS!$C$1566+(IF(IF(MOD(MIN(INT(($A133-1)/2)+1,MAX(1,INT(((((CROQUIS_DATOS!$C$1511+CROQUIS_DATOS!$C$1512))-(CROQUIS_DATOS!$C$1511))+((CROQUIS_DATOS!$C$1476)*CROQUIS_DATOS!$C$1561-(0)*CROQUIS_DATOS!$C$1561))/CROQUIS_DATOS!$C$1568-0.000001))),2)=1,IF(INT(($A133-1)/2)+1&gt;MAX(1,INT(((((CROQUIS_DATOS!$C$1511+CROQUIS_DATOS!$C$1512))-(CROQUIS_DATOS!$C$1511))+((CROQUIS_DATOS!$C$1476)*CROQUIS_DATOS!$C$1561-(0)*CROQUIS_DATOS!$C$1561))/CROQUIS_DATOS!$C$1568-0.000001)),1,MOD($A133-1,2)),1-IF(INT(($A133-1)/2)+1&gt;MAX(1,INT(((((CROQUIS_DATOS!$C$1511+CROQUIS_DATOS!$C$1512))-(CROQUIS_DATOS!$C$1511))+((CROQUIS_DATOS!$C$1476)*CROQUIS_DATOS!$C$1561-(0)*CROQUIS_DATOS!$C$1561))/CROQUIS_DATOS!$C$1568-0.000001)),1,MOD($A133-1,2)))=1,MIN((CROQUIS_DATOS!$C$1476)*CROQUIS_DATOS!$C$1561,((CROQUIS_DATOS!$C$1511+CROQUIS_DATOS!$C$1512)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3">
        <f>IF(AND(CROQUIS_DATOS!$C$1472=1,CROQUIS_DATOS!$C$1512&gt;0,((CROQUIS_DATOS!$C$1511+CROQUIS_DATOS!$C$1512))-(CROQUIS_DATOS!$C$1511)&gt;0.5,(CROQUIS_DATOS!$C$1476)-(0)&gt;0.5),(CROQUIS_DATOS!$C$1567+(IF(IF(MOD(MIN(INT(($A133-1)/2)+1,MAX(1,INT(((((CROQUIS_DATOS!$C$1511+CROQUIS_DATOS!$C$1512))-(CROQUIS_DATOS!$C$1511))+((CROQUIS_DATOS!$C$1476)*CROQUIS_DATOS!$C$1561-(0)*CROQUIS_DATOS!$C$1561))/CROQUIS_DATOS!$C$1568-0.000001))),2)=1,IF(INT(($A133-1)/2)+1&gt;MAX(1,INT(((((CROQUIS_DATOS!$C$1511+CROQUIS_DATOS!$C$1512))-(CROQUIS_DATOS!$C$1511))+((CROQUIS_DATOS!$C$1476)*CROQUIS_DATOS!$C$1561-(0)*CROQUIS_DATOS!$C$1561))/CROQUIS_DATOS!$C$1568-0.000001)),1,MOD($A133-1,2)),1-IF(INT(($A133-1)/2)+1&gt;MAX(1,INT(((((CROQUIS_DATOS!$C$1511+CROQUIS_DATOS!$C$1512))-(CROQUIS_DATOS!$C$1511))+((CROQUIS_DATOS!$C$1476)*CROQUIS_DATOS!$C$1561-(0)*CROQUIS_DATOS!$C$1561))/CROQUIS_DATOS!$C$1568-0.000001)),1,MOD($A133-1,2)))=1,MIN((CROQUIS_DATOS!$C$1476)*CROQUIS_DATOS!$C$1561,((CROQUIS_DATOS!$C$1511+CROQUIS_DATOS!$C$1512)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3">
        <f>IF(AND(CROQUIS_DATOS!$C$1472=1,CROQUIS_DATOS!$C$1516&gt;0,((CROQUIS_DATOS!$C$1515+CROQUIS_DATOS!$C$1516))-(CROQUIS_DATOS!$C$1515)&gt;0.5,(CROQUIS_DATOS!$C$1476)-(0)&gt;0.5),(CROQUIS_DATOS!$C$1566+(IF(IF(MOD(MIN(INT(($A133-1)/2)+1,MAX(1,INT(((((CROQUIS_DATOS!$C$1515+CROQUIS_DATOS!$C$1516))-(CROQUIS_DATOS!$C$1515))+((CROQUIS_DATOS!$C$1476)*CROQUIS_DATOS!$C$1561-(0)*CROQUIS_DATOS!$C$1561))/CROQUIS_DATOS!$C$1568-0.000001))),2)=1,IF(INT(($A133-1)/2)+1&gt;MAX(1,INT(((((CROQUIS_DATOS!$C$1515+CROQUIS_DATOS!$C$1516))-(CROQUIS_DATOS!$C$1515))+((CROQUIS_DATOS!$C$1476)*CROQUIS_DATOS!$C$1561-(0)*CROQUIS_DATOS!$C$1561))/CROQUIS_DATOS!$C$1568-0.000001)),1,MOD($A133-1,2)),1-IF(INT(($A133-1)/2)+1&gt;MAX(1,INT(((((CROQUIS_DATOS!$C$1515+CROQUIS_DATOS!$C$1516))-(CROQUIS_DATOS!$C$1515))+((CROQUIS_DATOS!$C$1476)*CROQUIS_DATOS!$C$1561-(0)*CROQUIS_DATOS!$C$1561))/CROQUIS_DATOS!$C$1568-0.000001)),1,MOD($A133-1,2)))=1,MIN((CROQUIS_DATOS!$C$1476)*CROQUIS_DATOS!$C$1561,((CROQUIS_DATOS!$C$1515+CROQUIS_DATOS!$C$1516)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3">
        <f>IF(AND(CROQUIS_DATOS!$C$1472=1,CROQUIS_DATOS!$C$1516&gt;0,((CROQUIS_DATOS!$C$1515+CROQUIS_DATOS!$C$1516))-(CROQUIS_DATOS!$C$1515)&gt;0.5,(CROQUIS_DATOS!$C$1476)-(0)&gt;0.5),(CROQUIS_DATOS!$C$1567+(IF(IF(MOD(MIN(INT(($A133-1)/2)+1,MAX(1,INT(((((CROQUIS_DATOS!$C$1515+CROQUIS_DATOS!$C$1516))-(CROQUIS_DATOS!$C$1515))+((CROQUIS_DATOS!$C$1476)*CROQUIS_DATOS!$C$1561-(0)*CROQUIS_DATOS!$C$1561))/CROQUIS_DATOS!$C$1568-0.000001))),2)=1,IF(INT(($A133-1)/2)+1&gt;MAX(1,INT(((((CROQUIS_DATOS!$C$1515+CROQUIS_DATOS!$C$1516))-(CROQUIS_DATOS!$C$1515))+((CROQUIS_DATOS!$C$1476)*CROQUIS_DATOS!$C$1561-(0)*CROQUIS_DATOS!$C$1561))/CROQUIS_DATOS!$C$1568-0.000001)),1,MOD($A133-1,2)),1-IF(INT(($A133-1)/2)+1&gt;MAX(1,INT(((((CROQUIS_DATOS!$C$1515+CROQUIS_DATOS!$C$1516))-(CROQUIS_DATOS!$C$1515))+((CROQUIS_DATOS!$C$1476)*CROQUIS_DATOS!$C$1561-(0)*CROQUIS_DATOS!$C$1561))/CROQUIS_DATOS!$C$1568-0.000001)),1,MOD($A133-1,2)))=1,MIN((CROQUIS_DATOS!$C$1476)*CROQUIS_DATOS!$C$1561,((CROQUIS_DATOS!$C$1515+CROQUIS_DATOS!$C$1516)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3">
        <f>IF(AND(CROQUIS_DATOS!$C$1472=1,CROQUIS_DATOS!$C$1478&gt;=1,((CROQUIS_DATOS!$C$1479+CROQUIS_DATOS!$C$1480))-(CROQUIS_DATOS!$C$1479)&gt;0.5,(CROQUIS_DATOS!$C$1481)-(0)&gt;0.5),(CROQUIS_DATOS!$C$1566+(IF(IF(MOD(MIN(INT(($A133-1)/2)+1,MAX(1,INT(((((CROQUIS_DATOS!$C$1479+CROQUIS_DATOS!$C$1480))-(CROQUIS_DATOS!$C$1479))+((CROQUIS_DATOS!$C$1481)*CROQUIS_DATOS!$C$1561-(0)*CROQUIS_DATOS!$C$1561))/CROQUIS_DATOS!$C$1568-0.000001))),2)=1,IF(INT(($A133-1)/2)+1&gt;MAX(1,INT(((((CROQUIS_DATOS!$C$1479+CROQUIS_DATOS!$C$1480))-(CROQUIS_DATOS!$C$1479))+((CROQUIS_DATOS!$C$1481)*CROQUIS_DATOS!$C$1561-(0)*CROQUIS_DATOS!$C$1561))/CROQUIS_DATOS!$C$1568-0.000001)),1,MOD($A133-1,2)),1-IF(INT(($A133-1)/2)+1&gt;MAX(1,INT(((((CROQUIS_DATOS!$C$1479+CROQUIS_DATOS!$C$1480))-(CROQUIS_DATOS!$C$1479))+((CROQUIS_DATOS!$C$1481)*CROQUIS_DATOS!$C$1561-(0)*CROQUIS_DATOS!$C$1561))/CROQUIS_DATOS!$C$1568-0.000001)),1,MOD($A133-1,2)))=1,MIN((CROQUIS_DATOS!$C$1481)*CROQUIS_DATOS!$C$1561,((CROQUIS_DATOS!$C$1479+CROQUIS_DATOS!$C$1480)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3">
        <f>IF(AND(CROQUIS_DATOS!$C$1472=1,CROQUIS_DATOS!$C$1478&gt;=1,((CROQUIS_DATOS!$C$1479+CROQUIS_DATOS!$C$1480))-(CROQUIS_DATOS!$C$1479)&gt;0.5,(CROQUIS_DATOS!$C$1481)-(0)&gt;0.5),(CROQUIS_DATOS!$C$1567+(IF(IF(MOD(MIN(INT(($A133-1)/2)+1,MAX(1,INT(((((CROQUIS_DATOS!$C$1479+CROQUIS_DATOS!$C$1480))-(CROQUIS_DATOS!$C$1479))+((CROQUIS_DATOS!$C$1481)*CROQUIS_DATOS!$C$1561-(0)*CROQUIS_DATOS!$C$1561))/CROQUIS_DATOS!$C$1568-0.000001))),2)=1,IF(INT(($A133-1)/2)+1&gt;MAX(1,INT(((((CROQUIS_DATOS!$C$1479+CROQUIS_DATOS!$C$1480))-(CROQUIS_DATOS!$C$1479))+((CROQUIS_DATOS!$C$1481)*CROQUIS_DATOS!$C$1561-(0)*CROQUIS_DATOS!$C$1561))/CROQUIS_DATOS!$C$1568-0.000001)),1,MOD($A133-1,2)),1-IF(INT(($A133-1)/2)+1&gt;MAX(1,INT(((((CROQUIS_DATOS!$C$1479+CROQUIS_DATOS!$C$1480))-(CROQUIS_DATOS!$C$1479))+((CROQUIS_DATOS!$C$1481)*CROQUIS_DATOS!$C$1561-(0)*CROQUIS_DATOS!$C$1561))/CROQUIS_DATOS!$C$1568-0.000001)),1,MOD($A133-1,2)))=1,MIN((CROQUIS_DATOS!$C$1481)*CROQUIS_DATOS!$C$1561,((CROQUIS_DATOS!$C$1479+CROQUIS_DATOS!$C$1480)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3">
        <f>IF(AND(CROQUIS_DATOS!$C$1472=1,CROQUIS_DATOS!$C$1478&gt;=1,((CROQUIS_DATOS!$C$1479+CROQUIS_DATOS!$C$1480))-(CROQUIS_DATOS!$C$1479)&gt;0.5,(CROQUIS_DATOS!$C$1476)-((CROQUIS_DATOS!$C$1481+CROQUIS_DATOS!$C$1482))&gt;0.5),(CROQUIS_DATOS!$C$1566+(IF(IF(MOD(MIN(INT(($A133-1)/2)+1,MAX(1,INT(((((CROQUIS_DATOS!$C$1479+CROQUIS_DATOS!$C$1480))-(CROQUIS_DATOS!$C$1479))+((CROQUIS_DATOS!$C$1476)*CROQUIS_DATOS!$C$1561-((CROQUIS_DATOS!$C$1481+CROQUIS_DATOS!$C$1482))*CROQUIS_DATOS!$C$1561))/CROQUIS_DATOS!$C$1568-0.000001))),2)=1,IF(INT(($A133-1)/2)+1&gt;MAX(1,INT(((((CROQUIS_DATOS!$C$1479+CROQUIS_DATOS!$C$1480))-(CROQUIS_DATOS!$C$1479))+((CROQUIS_DATOS!$C$1476)*CROQUIS_DATOS!$C$1561-((CROQUIS_DATOS!$C$1481+CROQUIS_DATOS!$C$1482))*CROQUIS_DATOS!$C$1561))/CROQUIS_DATOS!$C$1568-0.000001)),1,MOD($A133-1,2)),1-IF(INT(($A133-1)/2)+1&gt;MAX(1,INT(((((CROQUIS_DATOS!$C$1479+CROQUIS_DATOS!$C$1480))-(CROQUIS_DATOS!$C$1479))+((CROQUIS_DATOS!$C$1476)*CROQUIS_DATOS!$C$1561-((CROQUIS_DATOS!$C$1481+CROQUIS_DATOS!$C$1482))*CROQUIS_DATOS!$C$1561))/CROQUIS_DATOS!$C$1568-0.000001)),1,MOD($A133-1,2)))=1,MIN((CROQUIS_DATOS!$C$1476)*CROQUIS_DATOS!$C$1561,((CROQUIS_DATOS!$C$1479+CROQUIS_DATOS!$C$1480)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3">
        <f>IF(AND(CROQUIS_DATOS!$C$1472=1,CROQUIS_DATOS!$C$1478&gt;=1,((CROQUIS_DATOS!$C$1479+CROQUIS_DATOS!$C$1480))-(CROQUIS_DATOS!$C$1479)&gt;0.5,(CROQUIS_DATOS!$C$1476)-((CROQUIS_DATOS!$C$1481+CROQUIS_DATOS!$C$1482))&gt;0.5),(CROQUIS_DATOS!$C$1567+(IF(IF(MOD(MIN(INT(($A133-1)/2)+1,MAX(1,INT(((((CROQUIS_DATOS!$C$1479+CROQUIS_DATOS!$C$1480))-(CROQUIS_DATOS!$C$1479))+((CROQUIS_DATOS!$C$1476)*CROQUIS_DATOS!$C$1561-((CROQUIS_DATOS!$C$1481+CROQUIS_DATOS!$C$1482))*CROQUIS_DATOS!$C$1561))/CROQUIS_DATOS!$C$1568-0.000001))),2)=1,IF(INT(($A133-1)/2)+1&gt;MAX(1,INT(((((CROQUIS_DATOS!$C$1479+CROQUIS_DATOS!$C$1480))-(CROQUIS_DATOS!$C$1479))+((CROQUIS_DATOS!$C$1476)*CROQUIS_DATOS!$C$1561-((CROQUIS_DATOS!$C$1481+CROQUIS_DATOS!$C$1482))*CROQUIS_DATOS!$C$1561))/CROQUIS_DATOS!$C$1568-0.000001)),1,MOD($A133-1,2)),1-IF(INT(($A133-1)/2)+1&gt;MAX(1,INT(((((CROQUIS_DATOS!$C$1479+CROQUIS_DATOS!$C$1480))-(CROQUIS_DATOS!$C$1479))+((CROQUIS_DATOS!$C$1476)*CROQUIS_DATOS!$C$1561-((CROQUIS_DATOS!$C$1481+CROQUIS_DATOS!$C$1482))*CROQUIS_DATOS!$C$1561))/CROQUIS_DATOS!$C$1568-0.000001)),1,MOD($A133-1,2)))=1,MIN((CROQUIS_DATOS!$C$1476)*CROQUIS_DATOS!$C$1561,((CROQUIS_DATOS!$C$1479+CROQUIS_DATOS!$C$1480)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3">
        <f>IF(AND(CROQUIS_DATOS!$C$1472=1,CROQUIS_DATOS!$C$1478&gt;=2,((CROQUIS_DATOS!$C$1484+CROQUIS_DATOS!$C$1485))-(CROQUIS_DATOS!$C$1484)&gt;0.5,(CROQUIS_DATOS!$C$1486)-(0)&gt;0.5),(CROQUIS_DATOS!$C$1566+(IF(IF(MOD(MIN(INT(($A133-1)/2)+1,MAX(1,INT(((((CROQUIS_DATOS!$C$1484+CROQUIS_DATOS!$C$1485))-(CROQUIS_DATOS!$C$1484))+((CROQUIS_DATOS!$C$1486)*CROQUIS_DATOS!$C$1561-(0)*CROQUIS_DATOS!$C$1561))/CROQUIS_DATOS!$C$1568-0.000001))),2)=1,IF(INT(($A133-1)/2)+1&gt;MAX(1,INT(((((CROQUIS_DATOS!$C$1484+CROQUIS_DATOS!$C$1485))-(CROQUIS_DATOS!$C$1484))+((CROQUIS_DATOS!$C$1486)*CROQUIS_DATOS!$C$1561-(0)*CROQUIS_DATOS!$C$1561))/CROQUIS_DATOS!$C$1568-0.000001)),1,MOD($A133-1,2)),1-IF(INT(($A133-1)/2)+1&gt;MAX(1,INT(((((CROQUIS_DATOS!$C$1484+CROQUIS_DATOS!$C$1485))-(CROQUIS_DATOS!$C$1484))+((CROQUIS_DATOS!$C$1486)*CROQUIS_DATOS!$C$1561-(0)*CROQUIS_DATOS!$C$1561))/CROQUIS_DATOS!$C$1568-0.000001)),1,MOD($A133-1,2)))=1,MIN((CROQUIS_DATOS!$C$1486)*CROQUIS_DATOS!$C$1561,((CROQUIS_DATOS!$C$1484+CROQUIS_DATOS!$C$1485)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3">
        <f>IF(AND(CROQUIS_DATOS!$C$1472=1,CROQUIS_DATOS!$C$1478&gt;=2,((CROQUIS_DATOS!$C$1484+CROQUIS_DATOS!$C$1485))-(CROQUIS_DATOS!$C$1484)&gt;0.5,(CROQUIS_DATOS!$C$1486)-(0)&gt;0.5),(CROQUIS_DATOS!$C$1567+(IF(IF(MOD(MIN(INT(($A133-1)/2)+1,MAX(1,INT(((((CROQUIS_DATOS!$C$1484+CROQUIS_DATOS!$C$1485))-(CROQUIS_DATOS!$C$1484))+((CROQUIS_DATOS!$C$1486)*CROQUIS_DATOS!$C$1561-(0)*CROQUIS_DATOS!$C$1561))/CROQUIS_DATOS!$C$1568-0.000001))),2)=1,IF(INT(($A133-1)/2)+1&gt;MAX(1,INT(((((CROQUIS_DATOS!$C$1484+CROQUIS_DATOS!$C$1485))-(CROQUIS_DATOS!$C$1484))+((CROQUIS_DATOS!$C$1486)*CROQUIS_DATOS!$C$1561-(0)*CROQUIS_DATOS!$C$1561))/CROQUIS_DATOS!$C$1568-0.000001)),1,MOD($A133-1,2)),1-IF(INT(($A133-1)/2)+1&gt;MAX(1,INT(((((CROQUIS_DATOS!$C$1484+CROQUIS_DATOS!$C$1485))-(CROQUIS_DATOS!$C$1484))+((CROQUIS_DATOS!$C$1486)*CROQUIS_DATOS!$C$1561-(0)*CROQUIS_DATOS!$C$1561))/CROQUIS_DATOS!$C$1568-0.000001)),1,MOD($A133-1,2)))=1,MIN((CROQUIS_DATOS!$C$1486)*CROQUIS_DATOS!$C$1561,((CROQUIS_DATOS!$C$1484+CROQUIS_DATOS!$C$1485)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3">
        <f>IF(AND(CROQUIS_DATOS!$C$1472=1,CROQUIS_DATOS!$C$1478&gt;=2,((CROQUIS_DATOS!$C$1484+CROQUIS_DATOS!$C$1485))-(CROQUIS_DATOS!$C$1484)&gt;0.5,(CROQUIS_DATOS!$C$1476)-((CROQUIS_DATOS!$C$1486+CROQUIS_DATOS!$C$1487))&gt;0.5),(CROQUIS_DATOS!$C$1566+(IF(IF(MOD(MIN(INT(($A133-1)/2)+1,MAX(1,INT(((((CROQUIS_DATOS!$C$1484+CROQUIS_DATOS!$C$1485))-(CROQUIS_DATOS!$C$1484))+((CROQUIS_DATOS!$C$1476)*CROQUIS_DATOS!$C$1561-((CROQUIS_DATOS!$C$1486+CROQUIS_DATOS!$C$1487))*CROQUIS_DATOS!$C$1561))/CROQUIS_DATOS!$C$1568-0.000001))),2)=1,IF(INT(($A133-1)/2)+1&gt;MAX(1,INT(((((CROQUIS_DATOS!$C$1484+CROQUIS_DATOS!$C$1485))-(CROQUIS_DATOS!$C$1484))+((CROQUIS_DATOS!$C$1476)*CROQUIS_DATOS!$C$1561-((CROQUIS_DATOS!$C$1486+CROQUIS_DATOS!$C$1487))*CROQUIS_DATOS!$C$1561))/CROQUIS_DATOS!$C$1568-0.000001)),1,MOD($A133-1,2)),1-IF(INT(($A133-1)/2)+1&gt;MAX(1,INT(((((CROQUIS_DATOS!$C$1484+CROQUIS_DATOS!$C$1485))-(CROQUIS_DATOS!$C$1484))+((CROQUIS_DATOS!$C$1476)*CROQUIS_DATOS!$C$1561-((CROQUIS_DATOS!$C$1486+CROQUIS_DATOS!$C$1487))*CROQUIS_DATOS!$C$1561))/CROQUIS_DATOS!$C$1568-0.000001)),1,MOD($A133-1,2)))=1,MIN((CROQUIS_DATOS!$C$1476)*CROQUIS_DATOS!$C$1561,((CROQUIS_DATOS!$C$1484+CROQUIS_DATOS!$C$1485)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3">
        <f>IF(AND(CROQUIS_DATOS!$C$1472=1,CROQUIS_DATOS!$C$1478&gt;=2,((CROQUIS_DATOS!$C$1484+CROQUIS_DATOS!$C$1485))-(CROQUIS_DATOS!$C$1484)&gt;0.5,(CROQUIS_DATOS!$C$1476)-((CROQUIS_DATOS!$C$1486+CROQUIS_DATOS!$C$1487))&gt;0.5),(CROQUIS_DATOS!$C$1567+(IF(IF(MOD(MIN(INT(($A133-1)/2)+1,MAX(1,INT(((((CROQUIS_DATOS!$C$1484+CROQUIS_DATOS!$C$1485))-(CROQUIS_DATOS!$C$1484))+((CROQUIS_DATOS!$C$1476)*CROQUIS_DATOS!$C$1561-((CROQUIS_DATOS!$C$1486+CROQUIS_DATOS!$C$1487))*CROQUIS_DATOS!$C$1561))/CROQUIS_DATOS!$C$1568-0.000001))),2)=1,IF(INT(($A133-1)/2)+1&gt;MAX(1,INT(((((CROQUIS_DATOS!$C$1484+CROQUIS_DATOS!$C$1485))-(CROQUIS_DATOS!$C$1484))+((CROQUIS_DATOS!$C$1476)*CROQUIS_DATOS!$C$1561-((CROQUIS_DATOS!$C$1486+CROQUIS_DATOS!$C$1487))*CROQUIS_DATOS!$C$1561))/CROQUIS_DATOS!$C$1568-0.000001)),1,MOD($A133-1,2)),1-IF(INT(($A133-1)/2)+1&gt;MAX(1,INT(((((CROQUIS_DATOS!$C$1484+CROQUIS_DATOS!$C$1485))-(CROQUIS_DATOS!$C$1484))+((CROQUIS_DATOS!$C$1476)*CROQUIS_DATOS!$C$1561-((CROQUIS_DATOS!$C$1486+CROQUIS_DATOS!$C$1487))*CROQUIS_DATOS!$C$1561))/CROQUIS_DATOS!$C$1568-0.000001)),1,MOD($A133-1,2)))=1,MIN((CROQUIS_DATOS!$C$1476)*CROQUIS_DATOS!$C$1561,((CROQUIS_DATOS!$C$1484+CROQUIS_DATOS!$C$1485)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3">
        <f>IF(AND(CROQUIS_DATOS!$C$1472=1,CROQUIS_DATOS!$C$1478&gt;=3,((CROQUIS_DATOS!$C$1489+CROQUIS_DATOS!$C$1490))-(CROQUIS_DATOS!$C$1489)&gt;0.5,(CROQUIS_DATOS!$C$1491)-(0)&gt;0.5),(CROQUIS_DATOS!$C$1566+(IF(IF(MOD(MIN(INT(($A133-1)/2)+1,MAX(1,INT(((((CROQUIS_DATOS!$C$1489+CROQUIS_DATOS!$C$1490))-(CROQUIS_DATOS!$C$1489))+((CROQUIS_DATOS!$C$1491)*CROQUIS_DATOS!$C$1561-(0)*CROQUIS_DATOS!$C$1561))/CROQUIS_DATOS!$C$1568-0.000001))),2)=1,IF(INT(($A133-1)/2)+1&gt;MAX(1,INT(((((CROQUIS_DATOS!$C$1489+CROQUIS_DATOS!$C$1490))-(CROQUIS_DATOS!$C$1489))+((CROQUIS_DATOS!$C$1491)*CROQUIS_DATOS!$C$1561-(0)*CROQUIS_DATOS!$C$1561))/CROQUIS_DATOS!$C$1568-0.000001)),1,MOD($A133-1,2)),1-IF(INT(($A133-1)/2)+1&gt;MAX(1,INT(((((CROQUIS_DATOS!$C$1489+CROQUIS_DATOS!$C$1490))-(CROQUIS_DATOS!$C$1489))+((CROQUIS_DATOS!$C$1491)*CROQUIS_DATOS!$C$1561-(0)*CROQUIS_DATOS!$C$1561))/CROQUIS_DATOS!$C$1568-0.000001)),1,MOD($A133-1,2)))=1,MIN((CROQUIS_DATOS!$C$1491)*CROQUIS_DATOS!$C$1561,((CROQUIS_DATOS!$C$1489+CROQUIS_DATOS!$C$1490)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3">
        <f>IF(AND(CROQUIS_DATOS!$C$1472=1,CROQUIS_DATOS!$C$1478&gt;=3,((CROQUIS_DATOS!$C$1489+CROQUIS_DATOS!$C$1490))-(CROQUIS_DATOS!$C$1489)&gt;0.5,(CROQUIS_DATOS!$C$1491)-(0)&gt;0.5),(CROQUIS_DATOS!$C$1567+(IF(IF(MOD(MIN(INT(($A133-1)/2)+1,MAX(1,INT(((((CROQUIS_DATOS!$C$1489+CROQUIS_DATOS!$C$1490))-(CROQUIS_DATOS!$C$1489))+((CROQUIS_DATOS!$C$1491)*CROQUIS_DATOS!$C$1561-(0)*CROQUIS_DATOS!$C$1561))/CROQUIS_DATOS!$C$1568-0.000001))),2)=1,IF(INT(($A133-1)/2)+1&gt;MAX(1,INT(((((CROQUIS_DATOS!$C$1489+CROQUIS_DATOS!$C$1490))-(CROQUIS_DATOS!$C$1489))+((CROQUIS_DATOS!$C$1491)*CROQUIS_DATOS!$C$1561-(0)*CROQUIS_DATOS!$C$1561))/CROQUIS_DATOS!$C$1568-0.000001)),1,MOD($A133-1,2)),1-IF(INT(($A133-1)/2)+1&gt;MAX(1,INT(((((CROQUIS_DATOS!$C$1489+CROQUIS_DATOS!$C$1490))-(CROQUIS_DATOS!$C$1489))+((CROQUIS_DATOS!$C$1491)*CROQUIS_DATOS!$C$1561-(0)*CROQUIS_DATOS!$C$1561))/CROQUIS_DATOS!$C$1568-0.000001)),1,MOD($A133-1,2)))=1,MIN((CROQUIS_DATOS!$C$1491)*CROQUIS_DATOS!$C$1561,((CROQUIS_DATOS!$C$1489+CROQUIS_DATOS!$C$1490)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3">
        <f>IF(AND(CROQUIS_DATOS!$C$1472=1,CROQUIS_DATOS!$C$1478&gt;=3,((CROQUIS_DATOS!$C$1489+CROQUIS_DATOS!$C$1490))-(CROQUIS_DATOS!$C$1489)&gt;0.5,(CROQUIS_DATOS!$C$1476)-((CROQUIS_DATOS!$C$1491+CROQUIS_DATOS!$C$1492))&gt;0.5),(CROQUIS_DATOS!$C$1566+(IF(IF(MOD(MIN(INT(($A133-1)/2)+1,MAX(1,INT(((((CROQUIS_DATOS!$C$1489+CROQUIS_DATOS!$C$1490))-(CROQUIS_DATOS!$C$1489))+((CROQUIS_DATOS!$C$1476)*CROQUIS_DATOS!$C$1561-((CROQUIS_DATOS!$C$1491+CROQUIS_DATOS!$C$1492))*CROQUIS_DATOS!$C$1561))/CROQUIS_DATOS!$C$1568-0.000001))),2)=1,IF(INT(($A133-1)/2)+1&gt;MAX(1,INT(((((CROQUIS_DATOS!$C$1489+CROQUIS_DATOS!$C$1490))-(CROQUIS_DATOS!$C$1489))+((CROQUIS_DATOS!$C$1476)*CROQUIS_DATOS!$C$1561-((CROQUIS_DATOS!$C$1491+CROQUIS_DATOS!$C$1492))*CROQUIS_DATOS!$C$1561))/CROQUIS_DATOS!$C$1568-0.000001)),1,MOD($A133-1,2)),1-IF(INT(($A133-1)/2)+1&gt;MAX(1,INT(((((CROQUIS_DATOS!$C$1489+CROQUIS_DATOS!$C$1490))-(CROQUIS_DATOS!$C$1489))+((CROQUIS_DATOS!$C$1476)*CROQUIS_DATOS!$C$1561-((CROQUIS_DATOS!$C$1491+CROQUIS_DATOS!$C$1492))*CROQUIS_DATOS!$C$1561))/CROQUIS_DATOS!$C$1568-0.000001)),1,MOD($A133-1,2)))=1,MIN((CROQUIS_DATOS!$C$1476)*CROQUIS_DATOS!$C$1561,((CROQUIS_DATOS!$C$1489+CROQUIS_DATOS!$C$1490)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3">
        <f>IF(AND(CROQUIS_DATOS!$C$1472=1,CROQUIS_DATOS!$C$1478&gt;=3,((CROQUIS_DATOS!$C$1489+CROQUIS_DATOS!$C$1490))-(CROQUIS_DATOS!$C$1489)&gt;0.5,(CROQUIS_DATOS!$C$1476)-((CROQUIS_DATOS!$C$1491+CROQUIS_DATOS!$C$1492))&gt;0.5),(CROQUIS_DATOS!$C$1567+(IF(IF(MOD(MIN(INT(($A133-1)/2)+1,MAX(1,INT(((((CROQUIS_DATOS!$C$1489+CROQUIS_DATOS!$C$1490))-(CROQUIS_DATOS!$C$1489))+((CROQUIS_DATOS!$C$1476)*CROQUIS_DATOS!$C$1561-((CROQUIS_DATOS!$C$1491+CROQUIS_DATOS!$C$1492))*CROQUIS_DATOS!$C$1561))/CROQUIS_DATOS!$C$1568-0.000001))),2)=1,IF(INT(($A133-1)/2)+1&gt;MAX(1,INT(((((CROQUIS_DATOS!$C$1489+CROQUIS_DATOS!$C$1490))-(CROQUIS_DATOS!$C$1489))+((CROQUIS_DATOS!$C$1476)*CROQUIS_DATOS!$C$1561-((CROQUIS_DATOS!$C$1491+CROQUIS_DATOS!$C$1492))*CROQUIS_DATOS!$C$1561))/CROQUIS_DATOS!$C$1568-0.000001)),1,MOD($A133-1,2)),1-IF(INT(($A133-1)/2)+1&gt;MAX(1,INT(((((CROQUIS_DATOS!$C$1489+CROQUIS_DATOS!$C$1490))-(CROQUIS_DATOS!$C$1489))+((CROQUIS_DATOS!$C$1476)*CROQUIS_DATOS!$C$1561-((CROQUIS_DATOS!$C$1491+CROQUIS_DATOS!$C$1492))*CROQUIS_DATOS!$C$1561))/CROQUIS_DATOS!$C$1568-0.000001)),1,MOD($A133-1,2)))=1,MIN((CROQUIS_DATOS!$C$1476)*CROQUIS_DATOS!$C$1561,((CROQUIS_DATOS!$C$1489+CROQUIS_DATOS!$C$1490)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3">
        <f>IF(AND(CROQUIS_DATOS!$C$1472=1,CROQUIS_DATOS!$C$1478&gt;=4,((CROQUIS_DATOS!$C$1494+CROQUIS_DATOS!$C$1495))-(CROQUIS_DATOS!$C$1494)&gt;0.5,(CROQUIS_DATOS!$C$1496)-(0)&gt;0.5),(CROQUIS_DATOS!$C$1566+(IF(IF(MOD(MIN(INT(($A133-1)/2)+1,MAX(1,INT(((((CROQUIS_DATOS!$C$1494+CROQUIS_DATOS!$C$1495))-(CROQUIS_DATOS!$C$1494))+((CROQUIS_DATOS!$C$1496)*CROQUIS_DATOS!$C$1561-(0)*CROQUIS_DATOS!$C$1561))/CROQUIS_DATOS!$C$1568-0.000001))),2)=1,IF(INT(($A133-1)/2)+1&gt;MAX(1,INT(((((CROQUIS_DATOS!$C$1494+CROQUIS_DATOS!$C$1495))-(CROQUIS_DATOS!$C$1494))+((CROQUIS_DATOS!$C$1496)*CROQUIS_DATOS!$C$1561-(0)*CROQUIS_DATOS!$C$1561))/CROQUIS_DATOS!$C$1568-0.000001)),1,MOD($A133-1,2)),1-IF(INT(($A133-1)/2)+1&gt;MAX(1,INT(((((CROQUIS_DATOS!$C$1494+CROQUIS_DATOS!$C$1495))-(CROQUIS_DATOS!$C$1494))+((CROQUIS_DATOS!$C$1496)*CROQUIS_DATOS!$C$1561-(0)*CROQUIS_DATOS!$C$1561))/CROQUIS_DATOS!$C$1568-0.000001)),1,MOD($A133-1,2)))=1,MIN((CROQUIS_DATOS!$C$1496)*CROQUIS_DATOS!$C$1561,((CROQUIS_DATOS!$C$1494+CROQUIS_DATOS!$C$1495)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3">
        <f>IF(AND(CROQUIS_DATOS!$C$1472=1,CROQUIS_DATOS!$C$1478&gt;=4,((CROQUIS_DATOS!$C$1494+CROQUIS_DATOS!$C$1495))-(CROQUIS_DATOS!$C$1494)&gt;0.5,(CROQUIS_DATOS!$C$1496)-(0)&gt;0.5),(CROQUIS_DATOS!$C$1567+(IF(IF(MOD(MIN(INT(($A133-1)/2)+1,MAX(1,INT(((((CROQUIS_DATOS!$C$1494+CROQUIS_DATOS!$C$1495))-(CROQUIS_DATOS!$C$1494))+((CROQUIS_DATOS!$C$1496)*CROQUIS_DATOS!$C$1561-(0)*CROQUIS_DATOS!$C$1561))/CROQUIS_DATOS!$C$1568-0.000001))),2)=1,IF(INT(($A133-1)/2)+1&gt;MAX(1,INT(((((CROQUIS_DATOS!$C$1494+CROQUIS_DATOS!$C$1495))-(CROQUIS_DATOS!$C$1494))+((CROQUIS_DATOS!$C$1496)*CROQUIS_DATOS!$C$1561-(0)*CROQUIS_DATOS!$C$1561))/CROQUIS_DATOS!$C$1568-0.000001)),1,MOD($A133-1,2)),1-IF(INT(($A133-1)/2)+1&gt;MAX(1,INT(((((CROQUIS_DATOS!$C$1494+CROQUIS_DATOS!$C$1495))-(CROQUIS_DATOS!$C$1494))+((CROQUIS_DATOS!$C$1496)*CROQUIS_DATOS!$C$1561-(0)*CROQUIS_DATOS!$C$1561))/CROQUIS_DATOS!$C$1568-0.000001)),1,MOD($A133-1,2)))=1,MIN((CROQUIS_DATOS!$C$1496)*CROQUIS_DATOS!$C$1561,((CROQUIS_DATOS!$C$1494+CROQUIS_DATOS!$C$1495)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3">
        <f>IF(AND(CROQUIS_DATOS!$C$1472=1,CROQUIS_DATOS!$C$1478&gt;=4,((CROQUIS_DATOS!$C$1494+CROQUIS_DATOS!$C$1495))-(CROQUIS_DATOS!$C$1494)&gt;0.5,(CROQUIS_DATOS!$C$1476)-((CROQUIS_DATOS!$C$1496+CROQUIS_DATOS!$C$1497))&gt;0.5),(CROQUIS_DATOS!$C$1566+(IF(IF(MOD(MIN(INT(($A133-1)/2)+1,MAX(1,INT(((((CROQUIS_DATOS!$C$1494+CROQUIS_DATOS!$C$1495))-(CROQUIS_DATOS!$C$1494))+((CROQUIS_DATOS!$C$1476)*CROQUIS_DATOS!$C$1561-((CROQUIS_DATOS!$C$1496+CROQUIS_DATOS!$C$1497))*CROQUIS_DATOS!$C$1561))/CROQUIS_DATOS!$C$1568-0.000001))),2)=1,IF(INT(($A133-1)/2)+1&gt;MAX(1,INT(((((CROQUIS_DATOS!$C$1494+CROQUIS_DATOS!$C$1495))-(CROQUIS_DATOS!$C$1494))+((CROQUIS_DATOS!$C$1476)*CROQUIS_DATOS!$C$1561-((CROQUIS_DATOS!$C$1496+CROQUIS_DATOS!$C$1497))*CROQUIS_DATOS!$C$1561))/CROQUIS_DATOS!$C$1568-0.000001)),1,MOD($A133-1,2)),1-IF(INT(($A133-1)/2)+1&gt;MAX(1,INT(((((CROQUIS_DATOS!$C$1494+CROQUIS_DATOS!$C$1495))-(CROQUIS_DATOS!$C$1494))+((CROQUIS_DATOS!$C$1476)*CROQUIS_DATOS!$C$1561-((CROQUIS_DATOS!$C$1496+CROQUIS_DATOS!$C$1497))*CROQUIS_DATOS!$C$1561))/CROQUIS_DATOS!$C$1568-0.000001)),1,MOD($A133-1,2)))=1,MIN((CROQUIS_DATOS!$C$1476)*CROQUIS_DATOS!$C$1561,((CROQUIS_DATOS!$C$1494+CROQUIS_DATOS!$C$1495)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3">
        <f>IF(AND(CROQUIS_DATOS!$C$1472=1,CROQUIS_DATOS!$C$1478&gt;=4,((CROQUIS_DATOS!$C$1494+CROQUIS_DATOS!$C$1495))-(CROQUIS_DATOS!$C$1494)&gt;0.5,(CROQUIS_DATOS!$C$1476)-((CROQUIS_DATOS!$C$1496+CROQUIS_DATOS!$C$1497))&gt;0.5),(CROQUIS_DATOS!$C$1567+(IF(IF(MOD(MIN(INT(($A133-1)/2)+1,MAX(1,INT(((((CROQUIS_DATOS!$C$1494+CROQUIS_DATOS!$C$1495))-(CROQUIS_DATOS!$C$1494))+((CROQUIS_DATOS!$C$1476)*CROQUIS_DATOS!$C$1561-((CROQUIS_DATOS!$C$1496+CROQUIS_DATOS!$C$1497))*CROQUIS_DATOS!$C$1561))/CROQUIS_DATOS!$C$1568-0.000001))),2)=1,IF(INT(($A133-1)/2)+1&gt;MAX(1,INT(((((CROQUIS_DATOS!$C$1494+CROQUIS_DATOS!$C$1495))-(CROQUIS_DATOS!$C$1494))+((CROQUIS_DATOS!$C$1476)*CROQUIS_DATOS!$C$1561-((CROQUIS_DATOS!$C$1496+CROQUIS_DATOS!$C$1497))*CROQUIS_DATOS!$C$1561))/CROQUIS_DATOS!$C$1568-0.000001)),1,MOD($A133-1,2)),1-IF(INT(($A133-1)/2)+1&gt;MAX(1,INT(((((CROQUIS_DATOS!$C$1494+CROQUIS_DATOS!$C$1495))-(CROQUIS_DATOS!$C$1494))+((CROQUIS_DATOS!$C$1476)*CROQUIS_DATOS!$C$1561-((CROQUIS_DATOS!$C$1496+CROQUIS_DATOS!$C$1497))*CROQUIS_DATOS!$C$1561))/CROQUIS_DATOS!$C$1568-0.000001)),1,MOD($A133-1,2)))=1,MIN((CROQUIS_DATOS!$C$1476)*CROQUIS_DATOS!$C$1561,((CROQUIS_DATOS!$C$1494+CROQUIS_DATOS!$C$1495)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4">
      <c r="A134" t="n">
        <v>127</v>
      </c>
      <c r="N134">
        <f>IF(AND(CROQUIS_DATOS!$C$1472=1,1),(CROQUIS_DATOS!$C$1563+(IF(IF(IF(INT(($A134-1)/70)+1&gt;CROQUIS_DATOS!$C$1525,70,MOD($A134-1,70)+1)=1,0,IF(IF(INT(($A134-1)/70)+1&gt;CROQUIS_DATOS!$C$1525,70,MOD($A134-1,70)+1)&gt;2*CROQUIS_DATOS!$C$1541+1,IF(MOD(CROQUIS_DATOS!$C$1541,2)=1,1,0),IF(MOD(MIN(INT((IF(INT(($A134-1)/70)+1&gt;CROQUIS_DATOS!$C$1525,70,MOD($A134-1,70)+1)-2)/2)+1,CROQUIS_DATOS!$C$1541),2)=1,IF(MOD(IF(INT(($A134-1)/70)+1&gt;CROQUIS_DATOS!$C$1525,70,MOD($A134-1,70)+1)-2,2)=0,0,1),IF(MOD(IF(INT(($A134-1)/70)+1&gt;CROQUIS_DATOS!$C$1525,70,MOD($A134-1,70)+1)-2,2)=0,1,0))))=0,(INDEX($E$8:$E$23,MIN(INT(($A134-1)/70)+1,CROQUIS_DATOS!$C$1525))-INDEX($F$8:$F$23,MIN(INT(($A134-1)/70)+1,CROQUIS_DATOS!$C$1525))/2),(INDEX($E$8:$E$23,MIN(INT(($A134-1)/70)+1,CROQUIS_DATOS!$C$1525))+INDEX($F$8:$F$23,MIN(INT(($A134-1)/70)+1,CROQUIS_DATOS!$C$1525))/2)))*CROQUIS_DATOS!$C$1562),-1000)</f>
        <v>18.5775862068965</v>
      </c>
      <c r="O134">
        <f>IF(AND(CROQUIS_DATOS!$C$1472=1,1),(CROQUIS_DATOS!$C$1564+(IF(OR(IF(INT(($A134-1)/70)+1&gt;CROQUIS_DATOS!$C$1525,70,MOD($A134-1,70)+1)=1,IF(INT(($A134-1)/70)+1&gt;CROQUIS_DATOS!$C$1525,70,MOD($A134-1,70)+1)&gt;2*CROQUIS_DATOS!$C$1541+1),CROQUIS_DATOS!$C$1476,INDEX($H$8:$H$41,MIN(INT((IF(INT(($A134-1)/70)+1&gt;CROQUIS_DATOS!$C$1525,70,MOD($A134-1,70)+1)-2)/2)+1,CROQUIS_DATOS!$C$1541))))*CROQUIS_DATOS!$C$1561*CROQUIS_DATOS!$C$1562),-1000)</f>
        <v>40.2068965517241</v>
      </c>
      <c r="P134">
        <f>IF(AND(CROQUIS_DATOS!$C$1472=1,CROQUIS_DATOS!$C$1555=1),(CROQUIS_DATOS!$C$1563+(IF(IF(OR(MOD($A134-1,62)+1=1,IF(CHOOSE(MIN(MAX(MIN(INT(($A134-1)/62)+1,5),1),5),CROQUIS_DATOS!$C$1501,CROQUIS_DATOS!$C$1505,CROQUIS_DATOS!$C$1509,CROQUIS_DATOS!$C$1513,CROQUIS_DATOS!$C$1517)=1,CROQUIS_DATOS!$C$1557,0)=0),0,IF(MOD($A134-1,62)+1&gt;2*IF(CHOOSE(MIN(MAX(MIN(INT(($A134-1)/62)+1,5),1),5),CROQUIS_DATOS!$C$1501,CROQUIS_DATOS!$C$1505,CROQUIS_DATOS!$C$1509,CROQUIS_DATOS!$C$1513,CROQUIS_DATOS!$C$1517)=1,CROQUIS_DATOS!$C$1557,0)+1,IF(MOD(IF(CHOOSE(MIN(MAX(MIN(INT(($A134-1)/62)+1,5),1),5),CROQUIS_DATOS!$C$1501,CROQUIS_DATOS!$C$1505,CROQUIS_DATOS!$C$1509,CROQUIS_DATOS!$C$1513,CROQUIS_DATOS!$C$1517)=1,CROQUIS_DATOS!$C$1557,0),2)=1,1,0),IF(MOD(MIN(INT((MOD($A134-1,62)+1-2)/2)+1,MAX(IF(CHOOSE(MIN(MAX(MIN(INT(($A134-1)/62)+1,5),1),5),CROQUIS_DATOS!$C$1501,CROQUIS_DATOS!$C$1505,CROQUIS_DATOS!$C$1509,CROQUIS_DATOS!$C$1513,CROQUIS_DATOS!$C$1517)=1,CROQUIS_DATOS!$C$1557,0),1)),2)=1,IF(MOD(MOD($A134-1,62)+1-2,2)=0,0,1),IF(MOD(MOD($A134-1,62)+1-2,2)=0,1,0))))=0,(CHOOSE(MIN(MAX(MIN(INT(($A134-1)/62)+1,5),1),5),CROQUIS_DATOS!$C$1499,CROQUIS_DATOS!$C$1503,CROQUIS_DATOS!$C$1507,CROQUIS_DATOS!$C$1511,CROQUIS_DATOS!$C$1515)+IF(CHOOSE(MIN(MAX(MIN(INT(($A134-1)/62)+1,5),1),5),CROQUIS_DATOS!$C$1501,CROQUIS_DATOS!$C$1505,CROQUIS_DATOS!$C$1509,CROQUIS_DATOS!$C$1513,CROQUIS_DATOS!$C$1517)=1,CROQUIS_DATOS!$C$1526,0)),(CHOOSE(MIN(MAX(MIN(INT(($A134-1)/62)+1,5),1),5),CROQUIS_DATOS!$C$1499,CROQUIS_DATOS!$C$1503,CROQUIS_DATOS!$C$1507,CROQUIS_DATOS!$C$1511,CROQUIS_DATOS!$C$1515)+CHOOSE(MIN(MAX(MIN(INT(($A134-1)/62)+1,5),1),5),CROQUIS_DATOS!$C$1500,CROQUIS_DATOS!$C$1504,CROQUIS_DATOS!$C$1508,CROQUIS_DATOS!$C$1512,CROQUIS_DATOS!$C$1516)-IF(CHOOSE(MIN(MAX(MIN(INT(($A134-1)/62)+1,5),1),5),CROQUIS_DATOS!$C$1501,CROQUIS_DATOS!$C$1505,CROQUIS_DATOS!$C$1509,CROQUIS_DATOS!$C$1513,CROQUIS_DATOS!$C$1517)=1,CROQUIS_DATOS!$C$1526,0))))*CROQUIS_DATOS!$C$1562),-1000)</f>
        <v>-1000</v>
      </c>
      <c r="Q134">
        <f>IF(AND(CROQUIS_DATOS!$C$1472=1,CROQUIS_DATOS!$C$1555=1),(CROQUIS_DATOS!$C$1564+(IF(OR(OR(MOD($A134-1,62)+1=1,IF(CHOOSE(MIN(MAX(MIN(INT(($A134-1)/62)+1,5),1),5),CROQUIS_DATOS!$C$1501,CROQUIS_DATOS!$C$1505,CROQUIS_DATOS!$C$1509,CROQUIS_DATOS!$C$1513,CROQUIS_DATOS!$C$1517)=1,CROQUIS_DATOS!$C$1557,0)=0),MOD($A134-1,62)+1&gt;2*IF(CHOOSE(MIN(MAX(MIN(INT(($A134-1)/62)+1,5),1),5),CROQUIS_DATOS!$C$1501,CROQUIS_DATOS!$C$1505,CROQUIS_DATOS!$C$1509,CROQUIS_DATOS!$C$1513,CROQUIS_DATOS!$C$1517)=1,CROQUIS_DATOS!$C$1557,0)+1),CROQUIS_DATOS!$C$1476,MIN(INT((MOD($A134-1,62)+1-2)/2)+1,MAX(IF(CHOOSE(MIN(MAX(MIN(INT(($A134-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4">
        <f>IF(AND(CROQUIS_DATOS!$C$1472=1,1),(CROQUIS_DATOS!$C$1563+(MIN(INT(($A134-1)/2)+1,CROQUIS_DATOS!$C$1558)*CROQUIS_DATOS!$C$1559)*CROQUIS_DATOS!$C$1562),-1000)</f>
        <v>82.2281167108753</v>
      </c>
      <c r="U134">
        <f>IF(AND(CROQUIS_DATOS!$C$1472=1,1),(CROQUIS_DATOS!$C$1564+(IF(INT(($A134-1)/2)+1&gt;CROQUIS_DATOS!$C$1558,IF(MOD(CROQUIS_DATOS!$C$1558,2)=1,CROQUIS_DATOS!$C$1476+CROQUIS_DATOS!$C$1528,CROQUIS_DATOS!$C$1476),IF(IF(MOD(MIN(INT(($A134-1)/2)+1,CROQUIS_DATOS!$C$1558),2)=1,MOD($A134-1,2),1-MOD($A134-1,2))=1,CROQUIS_DATOS!$C$1476+CROQUIS_DATOS!$C$1528,CROQUIS_DATOS!$C$1476)))*CROQUIS_DATOS!$C$1561*CROQUIS_DATOS!$C$1562),-1000)</f>
        <v>43</v>
      </c>
      <c r="BZ134">
        <f>IF(AND(CROQUIS_DATOS!$C$1472=1,CROQUIS_DATOS!$C$1500&gt;0,((CROQUIS_DATOS!$C$1499+CROQUIS_DATOS!$C$1500))-(CROQUIS_DATOS!$C$1499)&gt;0.5,(CROQUIS_DATOS!$C$1476)-(0)&gt;0.5),(CROQUIS_DATOS!$C$1566+(IF(IF(MOD(MIN(INT(($A134-1)/2)+1,MAX(1,INT(((((CROQUIS_DATOS!$C$1499+CROQUIS_DATOS!$C$1500))-(CROQUIS_DATOS!$C$1499))+((CROQUIS_DATOS!$C$1476)*CROQUIS_DATOS!$C$1561-(0)*CROQUIS_DATOS!$C$1561))/CROQUIS_DATOS!$C$1568-0.000001))),2)=1,IF(INT(($A134-1)/2)+1&gt;MAX(1,INT(((((CROQUIS_DATOS!$C$1499+CROQUIS_DATOS!$C$1500))-(CROQUIS_DATOS!$C$1499))+((CROQUIS_DATOS!$C$1476)*CROQUIS_DATOS!$C$1561-(0)*CROQUIS_DATOS!$C$1561))/CROQUIS_DATOS!$C$1568-0.000001)),1,MOD($A134-1,2)),1-IF(INT(($A134-1)/2)+1&gt;MAX(1,INT(((((CROQUIS_DATOS!$C$1499+CROQUIS_DATOS!$C$1500))-(CROQUIS_DATOS!$C$1499))+((CROQUIS_DATOS!$C$1476)*CROQUIS_DATOS!$C$1561-(0)*CROQUIS_DATOS!$C$1561))/CROQUIS_DATOS!$C$1568-0.000001)),1,MOD($A134-1,2)))=1,MIN((CROQUIS_DATOS!$C$1476)*CROQUIS_DATOS!$C$1561,((CROQUIS_DATOS!$C$1499+CROQUIS_DATOS!$C$1500)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4">
        <f>IF(AND(CROQUIS_DATOS!$C$1472=1,CROQUIS_DATOS!$C$1500&gt;0,((CROQUIS_DATOS!$C$1499+CROQUIS_DATOS!$C$1500))-(CROQUIS_DATOS!$C$1499)&gt;0.5,(CROQUIS_DATOS!$C$1476)-(0)&gt;0.5),(CROQUIS_DATOS!$C$1567+(IF(IF(MOD(MIN(INT(($A134-1)/2)+1,MAX(1,INT(((((CROQUIS_DATOS!$C$1499+CROQUIS_DATOS!$C$1500))-(CROQUIS_DATOS!$C$1499))+((CROQUIS_DATOS!$C$1476)*CROQUIS_DATOS!$C$1561-(0)*CROQUIS_DATOS!$C$1561))/CROQUIS_DATOS!$C$1568-0.000001))),2)=1,IF(INT(($A134-1)/2)+1&gt;MAX(1,INT(((((CROQUIS_DATOS!$C$1499+CROQUIS_DATOS!$C$1500))-(CROQUIS_DATOS!$C$1499))+((CROQUIS_DATOS!$C$1476)*CROQUIS_DATOS!$C$1561-(0)*CROQUIS_DATOS!$C$1561))/CROQUIS_DATOS!$C$1568-0.000001)),1,MOD($A134-1,2)),1-IF(INT(($A134-1)/2)+1&gt;MAX(1,INT(((((CROQUIS_DATOS!$C$1499+CROQUIS_DATOS!$C$1500))-(CROQUIS_DATOS!$C$1499))+((CROQUIS_DATOS!$C$1476)*CROQUIS_DATOS!$C$1561-(0)*CROQUIS_DATOS!$C$1561))/CROQUIS_DATOS!$C$1568-0.000001)),1,MOD($A134-1,2)))=1,MIN((CROQUIS_DATOS!$C$1476)*CROQUIS_DATOS!$C$1561,((CROQUIS_DATOS!$C$1499+CROQUIS_DATOS!$C$1500)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4">
        <f>IF(AND(CROQUIS_DATOS!$C$1472=1,CROQUIS_DATOS!$C$1504&gt;0,((CROQUIS_DATOS!$C$1503+CROQUIS_DATOS!$C$1504))-(CROQUIS_DATOS!$C$1503)&gt;0.5,(CROQUIS_DATOS!$C$1476)-(0)&gt;0.5),(CROQUIS_DATOS!$C$1566+(IF(IF(MOD(MIN(INT(($A134-1)/2)+1,MAX(1,INT(((((CROQUIS_DATOS!$C$1503+CROQUIS_DATOS!$C$1504))-(CROQUIS_DATOS!$C$1503))+((CROQUIS_DATOS!$C$1476)*CROQUIS_DATOS!$C$1561-(0)*CROQUIS_DATOS!$C$1561))/CROQUIS_DATOS!$C$1568-0.000001))),2)=1,IF(INT(($A134-1)/2)+1&gt;MAX(1,INT(((((CROQUIS_DATOS!$C$1503+CROQUIS_DATOS!$C$1504))-(CROQUIS_DATOS!$C$1503))+((CROQUIS_DATOS!$C$1476)*CROQUIS_DATOS!$C$1561-(0)*CROQUIS_DATOS!$C$1561))/CROQUIS_DATOS!$C$1568-0.000001)),1,MOD($A134-1,2)),1-IF(INT(($A134-1)/2)+1&gt;MAX(1,INT(((((CROQUIS_DATOS!$C$1503+CROQUIS_DATOS!$C$1504))-(CROQUIS_DATOS!$C$1503))+((CROQUIS_DATOS!$C$1476)*CROQUIS_DATOS!$C$1561-(0)*CROQUIS_DATOS!$C$1561))/CROQUIS_DATOS!$C$1568-0.000001)),1,MOD($A134-1,2)))=1,MIN((CROQUIS_DATOS!$C$1476)*CROQUIS_DATOS!$C$1561,((CROQUIS_DATOS!$C$1503+CROQUIS_DATOS!$C$1504)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4">
        <f>IF(AND(CROQUIS_DATOS!$C$1472=1,CROQUIS_DATOS!$C$1504&gt;0,((CROQUIS_DATOS!$C$1503+CROQUIS_DATOS!$C$1504))-(CROQUIS_DATOS!$C$1503)&gt;0.5,(CROQUIS_DATOS!$C$1476)-(0)&gt;0.5),(CROQUIS_DATOS!$C$1567+(IF(IF(MOD(MIN(INT(($A134-1)/2)+1,MAX(1,INT(((((CROQUIS_DATOS!$C$1503+CROQUIS_DATOS!$C$1504))-(CROQUIS_DATOS!$C$1503))+((CROQUIS_DATOS!$C$1476)*CROQUIS_DATOS!$C$1561-(0)*CROQUIS_DATOS!$C$1561))/CROQUIS_DATOS!$C$1568-0.000001))),2)=1,IF(INT(($A134-1)/2)+1&gt;MAX(1,INT(((((CROQUIS_DATOS!$C$1503+CROQUIS_DATOS!$C$1504))-(CROQUIS_DATOS!$C$1503))+((CROQUIS_DATOS!$C$1476)*CROQUIS_DATOS!$C$1561-(0)*CROQUIS_DATOS!$C$1561))/CROQUIS_DATOS!$C$1568-0.000001)),1,MOD($A134-1,2)),1-IF(INT(($A134-1)/2)+1&gt;MAX(1,INT(((((CROQUIS_DATOS!$C$1503+CROQUIS_DATOS!$C$1504))-(CROQUIS_DATOS!$C$1503))+((CROQUIS_DATOS!$C$1476)*CROQUIS_DATOS!$C$1561-(0)*CROQUIS_DATOS!$C$1561))/CROQUIS_DATOS!$C$1568-0.000001)),1,MOD($A134-1,2)))=1,MIN((CROQUIS_DATOS!$C$1476)*CROQUIS_DATOS!$C$1561,((CROQUIS_DATOS!$C$1503+CROQUIS_DATOS!$C$1504)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4">
        <f>IF(AND(CROQUIS_DATOS!$C$1472=1,CROQUIS_DATOS!$C$1508&gt;0,((CROQUIS_DATOS!$C$1507+CROQUIS_DATOS!$C$1508))-(CROQUIS_DATOS!$C$1507)&gt;0.5,(CROQUIS_DATOS!$C$1476)-(0)&gt;0.5),(CROQUIS_DATOS!$C$1566+(IF(IF(MOD(MIN(INT(($A134-1)/2)+1,MAX(1,INT(((((CROQUIS_DATOS!$C$1507+CROQUIS_DATOS!$C$1508))-(CROQUIS_DATOS!$C$1507))+((CROQUIS_DATOS!$C$1476)*CROQUIS_DATOS!$C$1561-(0)*CROQUIS_DATOS!$C$1561))/CROQUIS_DATOS!$C$1568-0.000001))),2)=1,IF(INT(($A134-1)/2)+1&gt;MAX(1,INT(((((CROQUIS_DATOS!$C$1507+CROQUIS_DATOS!$C$1508))-(CROQUIS_DATOS!$C$1507))+((CROQUIS_DATOS!$C$1476)*CROQUIS_DATOS!$C$1561-(0)*CROQUIS_DATOS!$C$1561))/CROQUIS_DATOS!$C$1568-0.000001)),1,MOD($A134-1,2)),1-IF(INT(($A134-1)/2)+1&gt;MAX(1,INT(((((CROQUIS_DATOS!$C$1507+CROQUIS_DATOS!$C$1508))-(CROQUIS_DATOS!$C$1507))+((CROQUIS_DATOS!$C$1476)*CROQUIS_DATOS!$C$1561-(0)*CROQUIS_DATOS!$C$1561))/CROQUIS_DATOS!$C$1568-0.000001)),1,MOD($A134-1,2)))=1,MIN((CROQUIS_DATOS!$C$1476)*CROQUIS_DATOS!$C$1561,((CROQUIS_DATOS!$C$1507+CROQUIS_DATOS!$C$1508)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4">
        <f>IF(AND(CROQUIS_DATOS!$C$1472=1,CROQUIS_DATOS!$C$1508&gt;0,((CROQUIS_DATOS!$C$1507+CROQUIS_DATOS!$C$1508))-(CROQUIS_DATOS!$C$1507)&gt;0.5,(CROQUIS_DATOS!$C$1476)-(0)&gt;0.5),(CROQUIS_DATOS!$C$1567+(IF(IF(MOD(MIN(INT(($A134-1)/2)+1,MAX(1,INT(((((CROQUIS_DATOS!$C$1507+CROQUIS_DATOS!$C$1508))-(CROQUIS_DATOS!$C$1507))+((CROQUIS_DATOS!$C$1476)*CROQUIS_DATOS!$C$1561-(0)*CROQUIS_DATOS!$C$1561))/CROQUIS_DATOS!$C$1568-0.000001))),2)=1,IF(INT(($A134-1)/2)+1&gt;MAX(1,INT(((((CROQUIS_DATOS!$C$1507+CROQUIS_DATOS!$C$1508))-(CROQUIS_DATOS!$C$1507))+((CROQUIS_DATOS!$C$1476)*CROQUIS_DATOS!$C$1561-(0)*CROQUIS_DATOS!$C$1561))/CROQUIS_DATOS!$C$1568-0.000001)),1,MOD($A134-1,2)),1-IF(INT(($A134-1)/2)+1&gt;MAX(1,INT(((((CROQUIS_DATOS!$C$1507+CROQUIS_DATOS!$C$1508))-(CROQUIS_DATOS!$C$1507))+((CROQUIS_DATOS!$C$1476)*CROQUIS_DATOS!$C$1561-(0)*CROQUIS_DATOS!$C$1561))/CROQUIS_DATOS!$C$1568-0.000001)),1,MOD($A134-1,2)))=1,MIN((CROQUIS_DATOS!$C$1476)*CROQUIS_DATOS!$C$1561,((CROQUIS_DATOS!$C$1507+CROQUIS_DATOS!$C$1508)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4">
        <f>IF(AND(CROQUIS_DATOS!$C$1472=1,CROQUIS_DATOS!$C$1512&gt;0,((CROQUIS_DATOS!$C$1511+CROQUIS_DATOS!$C$1512))-(CROQUIS_DATOS!$C$1511)&gt;0.5,(CROQUIS_DATOS!$C$1476)-(0)&gt;0.5),(CROQUIS_DATOS!$C$1566+(IF(IF(MOD(MIN(INT(($A134-1)/2)+1,MAX(1,INT(((((CROQUIS_DATOS!$C$1511+CROQUIS_DATOS!$C$1512))-(CROQUIS_DATOS!$C$1511))+((CROQUIS_DATOS!$C$1476)*CROQUIS_DATOS!$C$1561-(0)*CROQUIS_DATOS!$C$1561))/CROQUIS_DATOS!$C$1568-0.000001))),2)=1,IF(INT(($A134-1)/2)+1&gt;MAX(1,INT(((((CROQUIS_DATOS!$C$1511+CROQUIS_DATOS!$C$1512))-(CROQUIS_DATOS!$C$1511))+((CROQUIS_DATOS!$C$1476)*CROQUIS_DATOS!$C$1561-(0)*CROQUIS_DATOS!$C$1561))/CROQUIS_DATOS!$C$1568-0.000001)),1,MOD($A134-1,2)),1-IF(INT(($A134-1)/2)+1&gt;MAX(1,INT(((((CROQUIS_DATOS!$C$1511+CROQUIS_DATOS!$C$1512))-(CROQUIS_DATOS!$C$1511))+((CROQUIS_DATOS!$C$1476)*CROQUIS_DATOS!$C$1561-(0)*CROQUIS_DATOS!$C$1561))/CROQUIS_DATOS!$C$1568-0.000001)),1,MOD($A134-1,2)))=1,MIN((CROQUIS_DATOS!$C$1476)*CROQUIS_DATOS!$C$1561,((CROQUIS_DATOS!$C$1511+CROQUIS_DATOS!$C$1512)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4">
        <f>IF(AND(CROQUIS_DATOS!$C$1472=1,CROQUIS_DATOS!$C$1512&gt;0,((CROQUIS_DATOS!$C$1511+CROQUIS_DATOS!$C$1512))-(CROQUIS_DATOS!$C$1511)&gt;0.5,(CROQUIS_DATOS!$C$1476)-(0)&gt;0.5),(CROQUIS_DATOS!$C$1567+(IF(IF(MOD(MIN(INT(($A134-1)/2)+1,MAX(1,INT(((((CROQUIS_DATOS!$C$1511+CROQUIS_DATOS!$C$1512))-(CROQUIS_DATOS!$C$1511))+((CROQUIS_DATOS!$C$1476)*CROQUIS_DATOS!$C$1561-(0)*CROQUIS_DATOS!$C$1561))/CROQUIS_DATOS!$C$1568-0.000001))),2)=1,IF(INT(($A134-1)/2)+1&gt;MAX(1,INT(((((CROQUIS_DATOS!$C$1511+CROQUIS_DATOS!$C$1512))-(CROQUIS_DATOS!$C$1511))+((CROQUIS_DATOS!$C$1476)*CROQUIS_DATOS!$C$1561-(0)*CROQUIS_DATOS!$C$1561))/CROQUIS_DATOS!$C$1568-0.000001)),1,MOD($A134-1,2)),1-IF(INT(($A134-1)/2)+1&gt;MAX(1,INT(((((CROQUIS_DATOS!$C$1511+CROQUIS_DATOS!$C$1512))-(CROQUIS_DATOS!$C$1511))+((CROQUIS_DATOS!$C$1476)*CROQUIS_DATOS!$C$1561-(0)*CROQUIS_DATOS!$C$1561))/CROQUIS_DATOS!$C$1568-0.000001)),1,MOD($A134-1,2)))=1,MIN((CROQUIS_DATOS!$C$1476)*CROQUIS_DATOS!$C$1561,((CROQUIS_DATOS!$C$1511+CROQUIS_DATOS!$C$1512)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4">
        <f>IF(AND(CROQUIS_DATOS!$C$1472=1,CROQUIS_DATOS!$C$1516&gt;0,((CROQUIS_DATOS!$C$1515+CROQUIS_DATOS!$C$1516))-(CROQUIS_DATOS!$C$1515)&gt;0.5,(CROQUIS_DATOS!$C$1476)-(0)&gt;0.5),(CROQUIS_DATOS!$C$1566+(IF(IF(MOD(MIN(INT(($A134-1)/2)+1,MAX(1,INT(((((CROQUIS_DATOS!$C$1515+CROQUIS_DATOS!$C$1516))-(CROQUIS_DATOS!$C$1515))+((CROQUIS_DATOS!$C$1476)*CROQUIS_DATOS!$C$1561-(0)*CROQUIS_DATOS!$C$1561))/CROQUIS_DATOS!$C$1568-0.000001))),2)=1,IF(INT(($A134-1)/2)+1&gt;MAX(1,INT(((((CROQUIS_DATOS!$C$1515+CROQUIS_DATOS!$C$1516))-(CROQUIS_DATOS!$C$1515))+((CROQUIS_DATOS!$C$1476)*CROQUIS_DATOS!$C$1561-(0)*CROQUIS_DATOS!$C$1561))/CROQUIS_DATOS!$C$1568-0.000001)),1,MOD($A134-1,2)),1-IF(INT(($A134-1)/2)+1&gt;MAX(1,INT(((((CROQUIS_DATOS!$C$1515+CROQUIS_DATOS!$C$1516))-(CROQUIS_DATOS!$C$1515))+((CROQUIS_DATOS!$C$1476)*CROQUIS_DATOS!$C$1561-(0)*CROQUIS_DATOS!$C$1561))/CROQUIS_DATOS!$C$1568-0.000001)),1,MOD($A134-1,2)))=1,MIN((CROQUIS_DATOS!$C$1476)*CROQUIS_DATOS!$C$1561,((CROQUIS_DATOS!$C$1515+CROQUIS_DATOS!$C$1516)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4">
        <f>IF(AND(CROQUIS_DATOS!$C$1472=1,CROQUIS_DATOS!$C$1516&gt;0,((CROQUIS_DATOS!$C$1515+CROQUIS_DATOS!$C$1516))-(CROQUIS_DATOS!$C$1515)&gt;0.5,(CROQUIS_DATOS!$C$1476)-(0)&gt;0.5),(CROQUIS_DATOS!$C$1567+(IF(IF(MOD(MIN(INT(($A134-1)/2)+1,MAX(1,INT(((((CROQUIS_DATOS!$C$1515+CROQUIS_DATOS!$C$1516))-(CROQUIS_DATOS!$C$1515))+((CROQUIS_DATOS!$C$1476)*CROQUIS_DATOS!$C$1561-(0)*CROQUIS_DATOS!$C$1561))/CROQUIS_DATOS!$C$1568-0.000001))),2)=1,IF(INT(($A134-1)/2)+1&gt;MAX(1,INT(((((CROQUIS_DATOS!$C$1515+CROQUIS_DATOS!$C$1516))-(CROQUIS_DATOS!$C$1515))+((CROQUIS_DATOS!$C$1476)*CROQUIS_DATOS!$C$1561-(0)*CROQUIS_DATOS!$C$1561))/CROQUIS_DATOS!$C$1568-0.000001)),1,MOD($A134-1,2)),1-IF(INT(($A134-1)/2)+1&gt;MAX(1,INT(((((CROQUIS_DATOS!$C$1515+CROQUIS_DATOS!$C$1516))-(CROQUIS_DATOS!$C$1515))+((CROQUIS_DATOS!$C$1476)*CROQUIS_DATOS!$C$1561-(0)*CROQUIS_DATOS!$C$1561))/CROQUIS_DATOS!$C$1568-0.000001)),1,MOD($A134-1,2)))=1,MIN((CROQUIS_DATOS!$C$1476)*CROQUIS_DATOS!$C$1561,((CROQUIS_DATOS!$C$1515+CROQUIS_DATOS!$C$1516)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4">
        <f>IF(AND(CROQUIS_DATOS!$C$1472=1,CROQUIS_DATOS!$C$1478&gt;=1,((CROQUIS_DATOS!$C$1479+CROQUIS_DATOS!$C$1480))-(CROQUIS_DATOS!$C$1479)&gt;0.5,(CROQUIS_DATOS!$C$1481)-(0)&gt;0.5),(CROQUIS_DATOS!$C$1566+(IF(IF(MOD(MIN(INT(($A134-1)/2)+1,MAX(1,INT(((((CROQUIS_DATOS!$C$1479+CROQUIS_DATOS!$C$1480))-(CROQUIS_DATOS!$C$1479))+((CROQUIS_DATOS!$C$1481)*CROQUIS_DATOS!$C$1561-(0)*CROQUIS_DATOS!$C$1561))/CROQUIS_DATOS!$C$1568-0.000001))),2)=1,IF(INT(($A134-1)/2)+1&gt;MAX(1,INT(((((CROQUIS_DATOS!$C$1479+CROQUIS_DATOS!$C$1480))-(CROQUIS_DATOS!$C$1479))+((CROQUIS_DATOS!$C$1481)*CROQUIS_DATOS!$C$1561-(0)*CROQUIS_DATOS!$C$1561))/CROQUIS_DATOS!$C$1568-0.000001)),1,MOD($A134-1,2)),1-IF(INT(($A134-1)/2)+1&gt;MAX(1,INT(((((CROQUIS_DATOS!$C$1479+CROQUIS_DATOS!$C$1480))-(CROQUIS_DATOS!$C$1479))+((CROQUIS_DATOS!$C$1481)*CROQUIS_DATOS!$C$1561-(0)*CROQUIS_DATOS!$C$1561))/CROQUIS_DATOS!$C$1568-0.000001)),1,MOD($A134-1,2)))=1,MIN((CROQUIS_DATOS!$C$1481)*CROQUIS_DATOS!$C$1561,((CROQUIS_DATOS!$C$1479+CROQUIS_DATOS!$C$1480)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4">
        <f>IF(AND(CROQUIS_DATOS!$C$1472=1,CROQUIS_DATOS!$C$1478&gt;=1,((CROQUIS_DATOS!$C$1479+CROQUIS_DATOS!$C$1480))-(CROQUIS_DATOS!$C$1479)&gt;0.5,(CROQUIS_DATOS!$C$1481)-(0)&gt;0.5),(CROQUIS_DATOS!$C$1567+(IF(IF(MOD(MIN(INT(($A134-1)/2)+1,MAX(1,INT(((((CROQUIS_DATOS!$C$1479+CROQUIS_DATOS!$C$1480))-(CROQUIS_DATOS!$C$1479))+((CROQUIS_DATOS!$C$1481)*CROQUIS_DATOS!$C$1561-(0)*CROQUIS_DATOS!$C$1561))/CROQUIS_DATOS!$C$1568-0.000001))),2)=1,IF(INT(($A134-1)/2)+1&gt;MAX(1,INT(((((CROQUIS_DATOS!$C$1479+CROQUIS_DATOS!$C$1480))-(CROQUIS_DATOS!$C$1479))+((CROQUIS_DATOS!$C$1481)*CROQUIS_DATOS!$C$1561-(0)*CROQUIS_DATOS!$C$1561))/CROQUIS_DATOS!$C$1568-0.000001)),1,MOD($A134-1,2)),1-IF(INT(($A134-1)/2)+1&gt;MAX(1,INT(((((CROQUIS_DATOS!$C$1479+CROQUIS_DATOS!$C$1480))-(CROQUIS_DATOS!$C$1479))+((CROQUIS_DATOS!$C$1481)*CROQUIS_DATOS!$C$1561-(0)*CROQUIS_DATOS!$C$1561))/CROQUIS_DATOS!$C$1568-0.000001)),1,MOD($A134-1,2)))=1,MIN((CROQUIS_DATOS!$C$1481)*CROQUIS_DATOS!$C$1561,((CROQUIS_DATOS!$C$1479+CROQUIS_DATOS!$C$1480)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4">
        <f>IF(AND(CROQUIS_DATOS!$C$1472=1,CROQUIS_DATOS!$C$1478&gt;=1,((CROQUIS_DATOS!$C$1479+CROQUIS_DATOS!$C$1480))-(CROQUIS_DATOS!$C$1479)&gt;0.5,(CROQUIS_DATOS!$C$1476)-((CROQUIS_DATOS!$C$1481+CROQUIS_DATOS!$C$1482))&gt;0.5),(CROQUIS_DATOS!$C$1566+(IF(IF(MOD(MIN(INT(($A134-1)/2)+1,MAX(1,INT(((((CROQUIS_DATOS!$C$1479+CROQUIS_DATOS!$C$1480))-(CROQUIS_DATOS!$C$1479))+((CROQUIS_DATOS!$C$1476)*CROQUIS_DATOS!$C$1561-((CROQUIS_DATOS!$C$1481+CROQUIS_DATOS!$C$1482))*CROQUIS_DATOS!$C$1561))/CROQUIS_DATOS!$C$1568-0.000001))),2)=1,IF(INT(($A134-1)/2)+1&gt;MAX(1,INT(((((CROQUIS_DATOS!$C$1479+CROQUIS_DATOS!$C$1480))-(CROQUIS_DATOS!$C$1479))+((CROQUIS_DATOS!$C$1476)*CROQUIS_DATOS!$C$1561-((CROQUIS_DATOS!$C$1481+CROQUIS_DATOS!$C$1482))*CROQUIS_DATOS!$C$1561))/CROQUIS_DATOS!$C$1568-0.000001)),1,MOD($A134-1,2)),1-IF(INT(($A134-1)/2)+1&gt;MAX(1,INT(((((CROQUIS_DATOS!$C$1479+CROQUIS_DATOS!$C$1480))-(CROQUIS_DATOS!$C$1479))+((CROQUIS_DATOS!$C$1476)*CROQUIS_DATOS!$C$1561-((CROQUIS_DATOS!$C$1481+CROQUIS_DATOS!$C$1482))*CROQUIS_DATOS!$C$1561))/CROQUIS_DATOS!$C$1568-0.000001)),1,MOD($A134-1,2)))=1,MIN((CROQUIS_DATOS!$C$1476)*CROQUIS_DATOS!$C$1561,((CROQUIS_DATOS!$C$1479+CROQUIS_DATOS!$C$1480)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4">
        <f>IF(AND(CROQUIS_DATOS!$C$1472=1,CROQUIS_DATOS!$C$1478&gt;=1,((CROQUIS_DATOS!$C$1479+CROQUIS_DATOS!$C$1480))-(CROQUIS_DATOS!$C$1479)&gt;0.5,(CROQUIS_DATOS!$C$1476)-((CROQUIS_DATOS!$C$1481+CROQUIS_DATOS!$C$1482))&gt;0.5),(CROQUIS_DATOS!$C$1567+(IF(IF(MOD(MIN(INT(($A134-1)/2)+1,MAX(1,INT(((((CROQUIS_DATOS!$C$1479+CROQUIS_DATOS!$C$1480))-(CROQUIS_DATOS!$C$1479))+((CROQUIS_DATOS!$C$1476)*CROQUIS_DATOS!$C$1561-((CROQUIS_DATOS!$C$1481+CROQUIS_DATOS!$C$1482))*CROQUIS_DATOS!$C$1561))/CROQUIS_DATOS!$C$1568-0.000001))),2)=1,IF(INT(($A134-1)/2)+1&gt;MAX(1,INT(((((CROQUIS_DATOS!$C$1479+CROQUIS_DATOS!$C$1480))-(CROQUIS_DATOS!$C$1479))+((CROQUIS_DATOS!$C$1476)*CROQUIS_DATOS!$C$1561-((CROQUIS_DATOS!$C$1481+CROQUIS_DATOS!$C$1482))*CROQUIS_DATOS!$C$1561))/CROQUIS_DATOS!$C$1568-0.000001)),1,MOD($A134-1,2)),1-IF(INT(($A134-1)/2)+1&gt;MAX(1,INT(((((CROQUIS_DATOS!$C$1479+CROQUIS_DATOS!$C$1480))-(CROQUIS_DATOS!$C$1479))+((CROQUIS_DATOS!$C$1476)*CROQUIS_DATOS!$C$1561-((CROQUIS_DATOS!$C$1481+CROQUIS_DATOS!$C$1482))*CROQUIS_DATOS!$C$1561))/CROQUIS_DATOS!$C$1568-0.000001)),1,MOD($A134-1,2)))=1,MIN((CROQUIS_DATOS!$C$1476)*CROQUIS_DATOS!$C$1561,((CROQUIS_DATOS!$C$1479+CROQUIS_DATOS!$C$1480)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4">
        <f>IF(AND(CROQUIS_DATOS!$C$1472=1,CROQUIS_DATOS!$C$1478&gt;=2,((CROQUIS_DATOS!$C$1484+CROQUIS_DATOS!$C$1485))-(CROQUIS_DATOS!$C$1484)&gt;0.5,(CROQUIS_DATOS!$C$1486)-(0)&gt;0.5),(CROQUIS_DATOS!$C$1566+(IF(IF(MOD(MIN(INT(($A134-1)/2)+1,MAX(1,INT(((((CROQUIS_DATOS!$C$1484+CROQUIS_DATOS!$C$1485))-(CROQUIS_DATOS!$C$1484))+((CROQUIS_DATOS!$C$1486)*CROQUIS_DATOS!$C$1561-(0)*CROQUIS_DATOS!$C$1561))/CROQUIS_DATOS!$C$1568-0.000001))),2)=1,IF(INT(($A134-1)/2)+1&gt;MAX(1,INT(((((CROQUIS_DATOS!$C$1484+CROQUIS_DATOS!$C$1485))-(CROQUIS_DATOS!$C$1484))+((CROQUIS_DATOS!$C$1486)*CROQUIS_DATOS!$C$1561-(0)*CROQUIS_DATOS!$C$1561))/CROQUIS_DATOS!$C$1568-0.000001)),1,MOD($A134-1,2)),1-IF(INT(($A134-1)/2)+1&gt;MAX(1,INT(((((CROQUIS_DATOS!$C$1484+CROQUIS_DATOS!$C$1485))-(CROQUIS_DATOS!$C$1484))+((CROQUIS_DATOS!$C$1486)*CROQUIS_DATOS!$C$1561-(0)*CROQUIS_DATOS!$C$1561))/CROQUIS_DATOS!$C$1568-0.000001)),1,MOD($A134-1,2)))=1,MIN((CROQUIS_DATOS!$C$1486)*CROQUIS_DATOS!$C$1561,((CROQUIS_DATOS!$C$1484+CROQUIS_DATOS!$C$1485)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4">
        <f>IF(AND(CROQUIS_DATOS!$C$1472=1,CROQUIS_DATOS!$C$1478&gt;=2,((CROQUIS_DATOS!$C$1484+CROQUIS_DATOS!$C$1485))-(CROQUIS_DATOS!$C$1484)&gt;0.5,(CROQUIS_DATOS!$C$1486)-(0)&gt;0.5),(CROQUIS_DATOS!$C$1567+(IF(IF(MOD(MIN(INT(($A134-1)/2)+1,MAX(1,INT(((((CROQUIS_DATOS!$C$1484+CROQUIS_DATOS!$C$1485))-(CROQUIS_DATOS!$C$1484))+((CROQUIS_DATOS!$C$1486)*CROQUIS_DATOS!$C$1561-(0)*CROQUIS_DATOS!$C$1561))/CROQUIS_DATOS!$C$1568-0.000001))),2)=1,IF(INT(($A134-1)/2)+1&gt;MAX(1,INT(((((CROQUIS_DATOS!$C$1484+CROQUIS_DATOS!$C$1485))-(CROQUIS_DATOS!$C$1484))+((CROQUIS_DATOS!$C$1486)*CROQUIS_DATOS!$C$1561-(0)*CROQUIS_DATOS!$C$1561))/CROQUIS_DATOS!$C$1568-0.000001)),1,MOD($A134-1,2)),1-IF(INT(($A134-1)/2)+1&gt;MAX(1,INT(((((CROQUIS_DATOS!$C$1484+CROQUIS_DATOS!$C$1485))-(CROQUIS_DATOS!$C$1484))+((CROQUIS_DATOS!$C$1486)*CROQUIS_DATOS!$C$1561-(0)*CROQUIS_DATOS!$C$1561))/CROQUIS_DATOS!$C$1568-0.000001)),1,MOD($A134-1,2)))=1,MIN((CROQUIS_DATOS!$C$1486)*CROQUIS_DATOS!$C$1561,((CROQUIS_DATOS!$C$1484+CROQUIS_DATOS!$C$1485)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4">
        <f>IF(AND(CROQUIS_DATOS!$C$1472=1,CROQUIS_DATOS!$C$1478&gt;=2,((CROQUIS_DATOS!$C$1484+CROQUIS_DATOS!$C$1485))-(CROQUIS_DATOS!$C$1484)&gt;0.5,(CROQUIS_DATOS!$C$1476)-((CROQUIS_DATOS!$C$1486+CROQUIS_DATOS!$C$1487))&gt;0.5),(CROQUIS_DATOS!$C$1566+(IF(IF(MOD(MIN(INT(($A134-1)/2)+1,MAX(1,INT(((((CROQUIS_DATOS!$C$1484+CROQUIS_DATOS!$C$1485))-(CROQUIS_DATOS!$C$1484))+((CROQUIS_DATOS!$C$1476)*CROQUIS_DATOS!$C$1561-((CROQUIS_DATOS!$C$1486+CROQUIS_DATOS!$C$1487))*CROQUIS_DATOS!$C$1561))/CROQUIS_DATOS!$C$1568-0.000001))),2)=1,IF(INT(($A134-1)/2)+1&gt;MAX(1,INT(((((CROQUIS_DATOS!$C$1484+CROQUIS_DATOS!$C$1485))-(CROQUIS_DATOS!$C$1484))+((CROQUIS_DATOS!$C$1476)*CROQUIS_DATOS!$C$1561-((CROQUIS_DATOS!$C$1486+CROQUIS_DATOS!$C$1487))*CROQUIS_DATOS!$C$1561))/CROQUIS_DATOS!$C$1568-0.000001)),1,MOD($A134-1,2)),1-IF(INT(($A134-1)/2)+1&gt;MAX(1,INT(((((CROQUIS_DATOS!$C$1484+CROQUIS_DATOS!$C$1485))-(CROQUIS_DATOS!$C$1484))+((CROQUIS_DATOS!$C$1476)*CROQUIS_DATOS!$C$1561-((CROQUIS_DATOS!$C$1486+CROQUIS_DATOS!$C$1487))*CROQUIS_DATOS!$C$1561))/CROQUIS_DATOS!$C$1568-0.000001)),1,MOD($A134-1,2)))=1,MIN((CROQUIS_DATOS!$C$1476)*CROQUIS_DATOS!$C$1561,((CROQUIS_DATOS!$C$1484+CROQUIS_DATOS!$C$1485)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4">
        <f>IF(AND(CROQUIS_DATOS!$C$1472=1,CROQUIS_DATOS!$C$1478&gt;=2,((CROQUIS_DATOS!$C$1484+CROQUIS_DATOS!$C$1485))-(CROQUIS_DATOS!$C$1484)&gt;0.5,(CROQUIS_DATOS!$C$1476)-((CROQUIS_DATOS!$C$1486+CROQUIS_DATOS!$C$1487))&gt;0.5),(CROQUIS_DATOS!$C$1567+(IF(IF(MOD(MIN(INT(($A134-1)/2)+1,MAX(1,INT(((((CROQUIS_DATOS!$C$1484+CROQUIS_DATOS!$C$1485))-(CROQUIS_DATOS!$C$1484))+((CROQUIS_DATOS!$C$1476)*CROQUIS_DATOS!$C$1561-((CROQUIS_DATOS!$C$1486+CROQUIS_DATOS!$C$1487))*CROQUIS_DATOS!$C$1561))/CROQUIS_DATOS!$C$1568-0.000001))),2)=1,IF(INT(($A134-1)/2)+1&gt;MAX(1,INT(((((CROQUIS_DATOS!$C$1484+CROQUIS_DATOS!$C$1485))-(CROQUIS_DATOS!$C$1484))+((CROQUIS_DATOS!$C$1476)*CROQUIS_DATOS!$C$1561-((CROQUIS_DATOS!$C$1486+CROQUIS_DATOS!$C$1487))*CROQUIS_DATOS!$C$1561))/CROQUIS_DATOS!$C$1568-0.000001)),1,MOD($A134-1,2)),1-IF(INT(($A134-1)/2)+1&gt;MAX(1,INT(((((CROQUIS_DATOS!$C$1484+CROQUIS_DATOS!$C$1485))-(CROQUIS_DATOS!$C$1484))+((CROQUIS_DATOS!$C$1476)*CROQUIS_DATOS!$C$1561-((CROQUIS_DATOS!$C$1486+CROQUIS_DATOS!$C$1487))*CROQUIS_DATOS!$C$1561))/CROQUIS_DATOS!$C$1568-0.000001)),1,MOD($A134-1,2)))=1,MIN((CROQUIS_DATOS!$C$1476)*CROQUIS_DATOS!$C$1561,((CROQUIS_DATOS!$C$1484+CROQUIS_DATOS!$C$1485)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4">
        <f>IF(AND(CROQUIS_DATOS!$C$1472=1,CROQUIS_DATOS!$C$1478&gt;=3,((CROQUIS_DATOS!$C$1489+CROQUIS_DATOS!$C$1490))-(CROQUIS_DATOS!$C$1489)&gt;0.5,(CROQUIS_DATOS!$C$1491)-(0)&gt;0.5),(CROQUIS_DATOS!$C$1566+(IF(IF(MOD(MIN(INT(($A134-1)/2)+1,MAX(1,INT(((((CROQUIS_DATOS!$C$1489+CROQUIS_DATOS!$C$1490))-(CROQUIS_DATOS!$C$1489))+((CROQUIS_DATOS!$C$1491)*CROQUIS_DATOS!$C$1561-(0)*CROQUIS_DATOS!$C$1561))/CROQUIS_DATOS!$C$1568-0.000001))),2)=1,IF(INT(($A134-1)/2)+1&gt;MAX(1,INT(((((CROQUIS_DATOS!$C$1489+CROQUIS_DATOS!$C$1490))-(CROQUIS_DATOS!$C$1489))+((CROQUIS_DATOS!$C$1491)*CROQUIS_DATOS!$C$1561-(0)*CROQUIS_DATOS!$C$1561))/CROQUIS_DATOS!$C$1568-0.000001)),1,MOD($A134-1,2)),1-IF(INT(($A134-1)/2)+1&gt;MAX(1,INT(((((CROQUIS_DATOS!$C$1489+CROQUIS_DATOS!$C$1490))-(CROQUIS_DATOS!$C$1489))+((CROQUIS_DATOS!$C$1491)*CROQUIS_DATOS!$C$1561-(0)*CROQUIS_DATOS!$C$1561))/CROQUIS_DATOS!$C$1568-0.000001)),1,MOD($A134-1,2)))=1,MIN((CROQUIS_DATOS!$C$1491)*CROQUIS_DATOS!$C$1561,((CROQUIS_DATOS!$C$1489+CROQUIS_DATOS!$C$1490)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4">
        <f>IF(AND(CROQUIS_DATOS!$C$1472=1,CROQUIS_DATOS!$C$1478&gt;=3,((CROQUIS_DATOS!$C$1489+CROQUIS_DATOS!$C$1490))-(CROQUIS_DATOS!$C$1489)&gt;0.5,(CROQUIS_DATOS!$C$1491)-(0)&gt;0.5),(CROQUIS_DATOS!$C$1567+(IF(IF(MOD(MIN(INT(($A134-1)/2)+1,MAX(1,INT(((((CROQUIS_DATOS!$C$1489+CROQUIS_DATOS!$C$1490))-(CROQUIS_DATOS!$C$1489))+((CROQUIS_DATOS!$C$1491)*CROQUIS_DATOS!$C$1561-(0)*CROQUIS_DATOS!$C$1561))/CROQUIS_DATOS!$C$1568-0.000001))),2)=1,IF(INT(($A134-1)/2)+1&gt;MAX(1,INT(((((CROQUIS_DATOS!$C$1489+CROQUIS_DATOS!$C$1490))-(CROQUIS_DATOS!$C$1489))+((CROQUIS_DATOS!$C$1491)*CROQUIS_DATOS!$C$1561-(0)*CROQUIS_DATOS!$C$1561))/CROQUIS_DATOS!$C$1568-0.000001)),1,MOD($A134-1,2)),1-IF(INT(($A134-1)/2)+1&gt;MAX(1,INT(((((CROQUIS_DATOS!$C$1489+CROQUIS_DATOS!$C$1490))-(CROQUIS_DATOS!$C$1489))+((CROQUIS_DATOS!$C$1491)*CROQUIS_DATOS!$C$1561-(0)*CROQUIS_DATOS!$C$1561))/CROQUIS_DATOS!$C$1568-0.000001)),1,MOD($A134-1,2)))=1,MIN((CROQUIS_DATOS!$C$1491)*CROQUIS_DATOS!$C$1561,((CROQUIS_DATOS!$C$1489+CROQUIS_DATOS!$C$1490)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4">
        <f>IF(AND(CROQUIS_DATOS!$C$1472=1,CROQUIS_DATOS!$C$1478&gt;=3,((CROQUIS_DATOS!$C$1489+CROQUIS_DATOS!$C$1490))-(CROQUIS_DATOS!$C$1489)&gt;0.5,(CROQUIS_DATOS!$C$1476)-((CROQUIS_DATOS!$C$1491+CROQUIS_DATOS!$C$1492))&gt;0.5),(CROQUIS_DATOS!$C$1566+(IF(IF(MOD(MIN(INT(($A134-1)/2)+1,MAX(1,INT(((((CROQUIS_DATOS!$C$1489+CROQUIS_DATOS!$C$1490))-(CROQUIS_DATOS!$C$1489))+((CROQUIS_DATOS!$C$1476)*CROQUIS_DATOS!$C$1561-((CROQUIS_DATOS!$C$1491+CROQUIS_DATOS!$C$1492))*CROQUIS_DATOS!$C$1561))/CROQUIS_DATOS!$C$1568-0.000001))),2)=1,IF(INT(($A134-1)/2)+1&gt;MAX(1,INT(((((CROQUIS_DATOS!$C$1489+CROQUIS_DATOS!$C$1490))-(CROQUIS_DATOS!$C$1489))+((CROQUIS_DATOS!$C$1476)*CROQUIS_DATOS!$C$1561-((CROQUIS_DATOS!$C$1491+CROQUIS_DATOS!$C$1492))*CROQUIS_DATOS!$C$1561))/CROQUIS_DATOS!$C$1568-0.000001)),1,MOD($A134-1,2)),1-IF(INT(($A134-1)/2)+1&gt;MAX(1,INT(((((CROQUIS_DATOS!$C$1489+CROQUIS_DATOS!$C$1490))-(CROQUIS_DATOS!$C$1489))+((CROQUIS_DATOS!$C$1476)*CROQUIS_DATOS!$C$1561-((CROQUIS_DATOS!$C$1491+CROQUIS_DATOS!$C$1492))*CROQUIS_DATOS!$C$1561))/CROQUIS_DATOS!$C$1568-0.000001)),1,MOD($A134-1,2)))=1,MIN((CROQUIS_DATOS!$C$1476)*CROQUIS_DATOS!$C$1561,((CROQUIS_DATOS!$C$1489+CROQUIS_DATOS!$C$1490)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4">
        <f>IF(AND(CROQUIS_DATOS!$C$1472=1,CROQUIS_DATOS!$C$1478&gt;=3,((CROQUIS_DATOS!$C$1489+CROQUIS_DATOS!$C$1490))-(CROQUIS_DATOS!$C$1489)&gt;0.5,(CROQUIS_DATOS!$C$1476)-((CROQUIS_DATOS!$C$1491+CROQUIS_DATOS!$C$1492))&gt;0.5),(CROQUIS_DATOS!$C$1567+(IF(IF(MOD(MIN(INT(($A134-1)/2)+1,MAX(1,INT(((((CROQUIS_DATOS!$C$1489+CROQUIS_DATOS!$C$1490))-(CROQUIS_DATOS!$C$1489))+((CROQUIS_DATOS!$C$1476)*CROQUIS_DATOS!$C$1561-((CROQUIS_DATOS!$C$1491+CROQUIS_DATOS!$C$1492))*CROQUIS_DATOS!$C$1561))/CROQUIS_DATOS!$C$1568-0.000001))),2)=1,IF(INT(($A134-1)/2)+1&gt;MAX(1,INT(((((CROQUIS_DATOS!$C$1489+CROQUIS_DATOS!$C$1490))-(CROQUIS_DATOS!$C$1489))+((CROQUIS_DATOS!$C$1476)*CROQUIS_DATOS!$C$1561-((CROQUIS_DATOS!$C$1491+CROQUIS_DATOS!$C$1492))*CROQUIS_DATOS!$C$1561))/CROQUIS_DATOS!$C$1568-0.000001)),1,MOD($A134-1,2)),1-IF(INT(($A134-1)/2)+1&gt;MAX(1,INT(((((CROQUIS_DATOS!$C$1489+CROQUIS_DATOS!$C$1490))-(CROQUIS_DATOS!$C$1489))+((CROQUIS_DATOS!$C$1476)*CROQUIS_DATOS!$C$1561-((CROQUIS_DATOS!$C$1491+CROQUIS_DATOS!$C$1492))*CROQUIS_DATOS!$C$1561))/CROQUIS_DATOS!$C$1568-0.000001)),1,MOD($A134-1,2)))=1,MIN((CROQUIS_DATOS!$C$1476)*CROQUIS_DATOS!$C$1561,((CROQUIS_DATOS!$C$1489+CROQUIS_DATOS!$C$1490)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4">
        <f>IF(AND(CROQUIS_DATOS!$C$1472=1,CROQUIS_DATOS!$C$1478&gt;=4,((CROQUIS_DATOS!$C$1494+CROQUIS_DATOS!$C$1495))-(CROQUIS_DATOS!$C$1494)&gt;0.5,(CROQUIS_DATOS!$C$1496)-(0)&gt;0.5),(CROQUIS_DATOS!$C$1566+(IF(IF(MOD(MIN(INT(($A134-1)/2)+1,MAX(1,INT(((((CROQUIS_DATOS!$C$1494+CROQUIS_DATOS!$C$1495))-(CROQUIS_DATOS!$C$1494))+((CROQUIS_DATOS!$C$1496)*CROQUIS_DATOS!$C$1561-(0)*CROQUIS_DATOS!$C$1561))/CROQUIS_DATOS!$C$1568-0.000001))),2)=1,IF(INT(($A134-1)/2)+1&gt;MAX(1,INT(((((CROQUIS_DATOS!$C$1494+CROQUIS_DATOS!$C$1495))-(CROQUIS_DATOS!$C$1494))+((CROQUIS_DATOS!$C$1496)*CROQUIS_DATOS!$C$1561-(0)*CROQUIS_DATOS!$C$1561))/CROQUIS_DATOS!$C$1568-0.000001)),1,MOD($A134-1,2)),1-IF(INT(($A134-1)/2)+1&gt;MAX(1,INT(((((CROQUIS_DATOS!$C$1494+CROQUIS_DATOS!$C$1495))-(CROQUIS_DATOS!$C$1494))+((CROQUIS_DATOS!$C$1496)*CROQUIS_DATOS!$C$1561-(0)*CROQUIS_DATOS!$C$1561))/CROQUIS_DATOS!$C$1568-0.000001)),1,MOD($A134-1,2)))=1,MIN((CROQUIS_DATOS!$C$1496)*CROQUIS_DATOS!$C$1561,((CROQUIS_DATOS!$C$1494+CROQUIS_DATOS!$C$1495)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4">
        <f>IF(AND(CROQUIS_DATOS!$C$1472=1,CROQUIS_DATOS!$C$1478&gt;=4,((CROQUIS_DATOS!$C$1494+CROQUIS_DATOS!$C$1495))-(CROQUIS_DATOS!$C$1494)&gt;0.5,(CROQUIS_DATOS!$C$1496)-(0)&gt;0.5),(CROQUIS_DATOS!$C$1567+(IF(IF(MOD(MIN(INT(($A134-1)/2)+1,MAX(1,INT(((((CROQUIS_DATOS!$C$1494+CROQUIS_DATOS!$C$1495))-(CROQUIS_DATOS!$C$1494))+((CROQUIS_DATOS!$C$1496)*CROQUIS_DATOS!$C$1561-(0)*CROQUIS_DATOS!$C$1561))/CROQUIS_DATOS!$C$1568-0.000001))),2)=1,IF(INT(($A134-1)/2)+1&gt;MAX(1,INT(((((CROQUIS_DATOS!$C$1494+CROQUIS_DATOS!$C$1495))-(CROQUIS_DATOS!$C$1494))+((CROQUIS_DATOS!$C$1496)*CROQUIS_DATOS!$C$1561-(0)*CROQUIS_DATOS!$C$1561))/CROQUIS_DATOS!$C$1568-0.000001)),1,MOD($A134-1,2)),1-IF(INT(($A134-1)/2)+1&gt;MAX(1,INT(((((CROQUIS_DATOS!$C$1494+CROQUIS_DATOS!$C$1495))-(CROQUIS_DATOS!$C$1494))+((CROQUIS_DATOS!$C$1496)*CROQUIS_DATOS!$C$1561-(0)*CROQUIS_DATOS!$C$1561))/CROQUIS_DATOS!$C$1568-0.000001)),1,MOD($A134-1,2)))=1,MIN((CROQUIS_DATOS!$C$1496)*CROQUIS_DATOS!$C$1561,((CROQUIS_DATOS!$C$1494+CROQUIS_DATOS!$C$1495)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4">
        <f>IF(AND(CROQUIS_DATOS!$C$1472=1,CROQUIS_DATOS!$C$1478&gt;=4,((CROQUIS_DATOS!$C$1494+CROQUIS_DATOS!$C$1495))-(CROQUIS_DATOS!$C$1494)&gt;0.5,(CROQUIS_DATOS!$C$1476)-((CROQUIS_DATOS!$C$1496+CROQUIS_DATOS!$C$1497))&gt;0.5),(CROQUIS_DATOS!$C$1566+(IF(IF(MOD(MIN(INT(($A134-1)/2)+1,MAX(1,INT(((((CROQUIS_DATOS!$C$1494+CROQUIS_DATOS!$C$1495))-(CROQUIS_DATOS!$C$1494))+((CROQUIS_DATOS!$C$1476)*CROQUIS_DATOS!$C$1561-((CROQUIS_DATOS!$C$1496+CROQUIS_DATOS!$C$1497))*CROQUIS_DATOS!$C$1561))/CROQUIS_DATOS!$C$1568-0.000001))),2)=1,IF(INT(($A134-1)/2)+1&gt;MAX(1,INT(((((CROQUIS_DATOS!$C$1494+CROQUIS_DATOS!$C$1495))-(CROQUIS_DATOS!$C$1494))+((CROQUIS_DATOS!$C$1476)*CROQUIS_DATOS!$C$1561-((CROQUIS_DATOS!$C$1496+CROQUIS_DATOS!$C$1497))*CROQUIS_DATOS!$C$1561))/CROQUIS_DATOS!$C$1568-0.000001)),1,MOD($A134-1,2)),1-IF(INT(($A134-1)/2)+1&gt;MAX(1,INT(((((CROQUIS_DATOS!$C$1494+CROQUIS_DATOS!$C$1495))-(CROQUIS_DATOS!$C$1494))+((CROQUIS_DATOS!$C$1476)*CROQUIS_DATOS!$C$1561-((CROQUIS_DATOS!$C$1496+CROQUIS_DATOS!$C$1497))*CROQUIS_DATOS!$C$1561))/CROQUIS_DATOS!$C$1568-0.000001)),1,MOD($A134-1,2)))=1,MIN((CROQUIS_DATOS!$C$1476)*CROQUIS_DATOS!$C$1561,((CROQUIS_DATOS!$C$1494+CROQUIS_DATOS!$C$1495)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4">
        <f>IF(AND(CROQUIS_DATOS!$C$1472=1,CROQUIS_DATOS!$C$1478&gt;=4,((CROQUIS_DATOS!$C$1494+CROQUIS_DATOS!$C$1495))-(CROQUIS_DATOS!$C$1494)&gt;0.5,(CROQUIS_DATOS!$C$1476)-((CROQUIS_DATOS!$C$1496+CROQUIS_DATOS!$C$1497))&gt;0.5),(CROQUIS_DATOS!$C$1567+(IF(IF(MOD(MIN(INT(($A134-1)/2)+1,MAX(1,INT(((((CROQUIS_DATOS!$C$1494+CROQUIS_DATOS!$C$1495))-(CROQUIS_DATOS!$C$1494))+((CROQUIS_DATOS!$C$1476)*CROQUIS_DATOS!$C$1561-((CROQUIS_DATOS!$C$1496+CROQUIS_DATOS!$C$1497))*CROQUIS_DATOS!$C$1561))/CROQUIS_DATOS!$C$1568-0.000001))),2)=1,IF(INT(($A134-1)/2)+1&gt;MAX(1,INT(((((CROQUIS_DATOS!$C$1494+CROQUIS_DATOS!$C$1495))-(CROQUIS_DATOS!$C$1494))+((CROQUIS_DATOS!$C$1476)*CROQUIS_DATOS!$C$1561-((CROQUIS_DATOS!$C$1496+CROQUIS_DATOS!$C$1497))*CROQUIS_DATOS!$C$1561))/CROQUIS_DATOS!$C$1568-0.000001)),1,MOD($A134-1,2)),1-IF(INT(($A134-1)/2)+1&gt;MAX(1,INT(((((CROQUIS_DATOS!$C$1494+CROQUIS_DATOS!$C$1495))-(CROQUIS_DATOS!$C$1494))+((CROQUIS_DATOS!$C$1476)*CROQUIS_DATOS!$C$1561-((CROQUIS_DATOS!$C$1496+CROQUIS_DATOS!$C$1497))*CROQUIS_DATOS!$C$1561))/CROQUIS_DATOS!$C$1568-0.000001)),1,MOD($A134-1,2)))=1,MIN((CROQUIS_DATOS!$C$1476)*CROQUIS_DATOS!$C$1561,((CROQUIS_DATOS!$C$1494+CROQUIS_DATOS!$C$1495)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5">
      <c r="A135" t="n">
        <v>128</v>
      </c>
      <c r="N135">
        <f>IF(AND(CROQUIS_DATOS!$C$1472=1,1),(CROQUIS_DATOS!$C$1563+(IF(IF(IF(INT(($A135-1)/70)+1&gt;CROQUIS_DATOS!$C$1525,70,MOD($A135-1,70)+1)=1,0,IF(IF(INT(($A135-1)/70)+1&gt;CROQUIS_DATOS!$C$1525,70,MOD($A135-1,70)+1)&gt;2*CROQUIS_DATOS!$C$1541+1,IF(MOD(CROQUIS_DATOS!$C$1541,2)=1,1,0),IF(MOD(MIN(INT((IF(INT(($A135-1)/70)+1&gt;CROQUIS_DATOS!$C$1525,70,MOD($A135-1,70)+1)-2)/2)+1,CROQUIS_DATOS!$C$1541),2)=1,IF(MOD(IF(INT(($A135-1)/70)+1&gt;CROQUIS_DATOS!$C$1525,70,MOD($A135-1,70)+1)-2,2)=0,0,1),IF(MOD(IF(INT(($A135-1)/70)+1&gt;CROQUIS_DATOS!$C$1525,70,MOD($A135-1,70)+1)-2,2)=0,1,0))))=0,(INDEX($E$8:$E$23,MIN(INT(($A135-1)/70)+1,CROQUIS_DATOS!$C$1525))-INDEX($F$8:$F$23,MIN(INT(($A135-1)/70)+1,CROQUIS_DATOS!$C$1525))/2),(INDEX($E$8:$E$23,MIN(INT(($A135-1)/70)+1,CROQUIS_DATOS!$C$1525))+INDEX($F$8:$F$23,MIN(INT(($A135-1)/70)+1,CROQUIS_DATOS!$C$1525))/2)))*CROQUIS_DATOS!$C$1562),-1000)</f>
        <v>18.5775862068965</v>
      </c>
      <c r="O135">
        <f>IF(AND(CROQUIS_DATOS!$C$1472=1,1),(CROQUIS_DATOS!$C$1564+(IF(OR(IF(INT(($A135-1)/70)+1&gt;CROQUIS_DATOS!$C$1525,70,MOD($A135-1,70)+1)=1,IF(INT(($A135-1)/70)+1&gt;CROQUIS_DATOS!$C$1525,70,MOD($A135-1,70)+1)&gt;2*CROQUIS_DATOS!$C$1541+1),CROQUIS_DATOS!$C$1476,INDEX($H$8:$H$41,MIN(INT((IF(INT(($A135-1)/70)+1&gt;CROQUIS_DATOS!$C$1525,70,MOD($A135-1,70)+1)-2)/2)+1,CROQUIS_DATOS!$C$1541))))*CROQUIS_DATOS!$C$1561*CROQUIS_DATOS!$C$1562),-1000)</f>
        <v>40.2068965517241</v>
      </c>
      <c r="P135">
        <f>IF(AND(CROQUIS_DATOS!$C$1472=1,CROQUIS_DATOS!$C$1555=1),(CROQUIS_DATOS!$C$1563+(IF(IF(OR(MOD($A135-1,62)+1=1,IF(CHOOSE(MIN(MAX(MIN(INT(($A135-1)/62)+1,5),1),5),CROQUIS_DATOS!$C$1501,CROQUIS_DATOS!$C$1505,CROQUIS_DATOS!$C$1509,CROQUIS_DATOS!$C$1513,CROQUIS_DATOS!$C$1517)=1,CROQUIS_DATOS!$C$1557,0)=0),0,IF(MOD($A135-1,62)+1&gt;2*IF(CHOOSE(MIN(MAX(MIN(INT(($A135-1)/62)+1,5),1),5),CROQUIS_DATOS!$C$1501,CROQUIS_DATOS!$C$1505,CROQUIS_DATOS!$C$1509,CROQUIS_DATOS!$C$1513,CROQUIS_DATOS!$C$1517)=1,CROQUIS_DATOS!$C$1557,0)+1,IF(MOD(IF(CHOOSE(MIN(MAX(MIN(INT(($A135-1)/62)+1,5),1),5),CROQUIS_DATOS!$C$1501,CROQUIS_DATOS!$C$1505,CROQUIS_DATOS!$C$1509,CROQUIS_DATOS!$C$1513,CROQUIS_DATOS!$C$1517)=1,CROQUIS_DATOS!$C$1557,0),2)=1,1,0),IF(MOD(MIN(INT((MOD($A135-1,62)+1-2)/2)+1,MAX(IF(CHOOSE(MIN(MAX(MIN(INT(($A135-1)/62)+1,5),1),5),CROQUIS_DATOS!$C$1501,CROQUIS_DATOS!$C$1505,CROQUIS_DATOS!$C$1509,CROQUIS_DATOS!$C$1513,CROQUIS_DATOS!$C$1517)=1,CROQUIS_DATOS!$C$1557,0),1)),2)=1,IF(MOD(MOD($A135-1,62)+1-2,2)=0,0,1),IF(MOD(MOD($A135-1,62)+1-2,2)=0,1,0))))=0,(CHOOSE(MIN(MAX(MIN(INT(($A135-1)/62)+1,5),1),5),CROQUIS_DATOS!$C$1499,CROQUIS_DATOS!$C$1503,CROQUIS_DATOS!$C$1507,CROQUIS_DATOS!$C$1511,CROQUIS_DATOS!$C$1515)+IF(CHOOSE(MIN(MAX(MIN(INT(($A135-1)/62)+1,5),1),5),CROQUIS_DATOS!$C$1501,CROQUIS_DATOS!$C$1505,CROQUIS_DATOS!$C$1509,CROQUIS_DATOS!$C$1513,CROQUIS_DATOS!$C$1517)=1,CROQUIS_DATOS!$C$1526,0)),(CHOOSE(MIN(MAX(MIN(INT(($A135-1)/62)+1,5),1),5),CROQUIS_DATOS!$C$1499,CROQUIS_DATOS!$C$1503,CROQUIS_DATOS!$C$1507,CROQUIS_DATOS!$C$1511,CROQUIS_DATOS!$C$1515)+CHOOSE(MIN(MAX(MIN(INT(($A135-1)/62)+1,5),1),5),CROQUIS_DATOS!$C$1500,CROQUIS_DATOS!$C$1504,CROQUIS_DATOS!$C$1508,CROQUIS_DATOS!$C$1512,CROQUIS_DATOS!$C$1516)-IF(CHOOSE(MIN(MAX(MIN(INT(($A135-1)/62)+1,5),1),5),CROQUIS_DATOS!$C$1501,CROQUIS_DATOS!$C$1505,CROQUIS_DATOS!$C$1509,CROQUIS_DATOS!$C$1513,CROQUIS_DATOS!$C$1517)=1,CROQUIS_DATOS!$C$1526,0))))*CROQUIS_DATOS!$C$1562),-1000)</f>
        <v>-1000</v>
      </c>
      <c r="Q135">
        <f>IF(AND(CROQUIS_DATOS!$C$1472=1,CROQUIS_DATOS!$C$1555=1),(CROQUIS_DATOS!$C$1564+(IF(OR(OR(MOD($A135-1,62)+1=1,IF(CHOOSE(MIN(MAX(MIN(INT(($A135-1)/62)+1,5),1),5),CROQUIS_DATOS!$C$1501,CROQUIS_DATOS!$C$1505,CROQUIS_DATOS!$C$1509,CROQUIS_DATOS!$C$1513,CROQUIS_DATOS!$C$1517)=1,CROQUIS_DATOS!$C$1557,0)=0),MOD($A135-1,62)+1&gt;2*IF(CHOOSE(MIN(MAX(MIN(INT(($A135-1)/62)+1,5),1),5),CROQUIS_DATOS!$C$1501,CROQUIS_DATOS!$C$1505,CROQUIS_DATOS!$C$1509,CROQUIS_DATOS!$C$1513,CROQUIS_DATOS!$C$1517)=1,CROQUIS_DATOS!$C$1557,0)+1),CROQUIS_DATOS!$C$1476,MIN(INT((MOD($A135-1,62)+1-2)/2)+1,MAX(IF(CHOOSE(MIN(MAX(MIN(INT(($A135-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5">
        <f>IF(AND(CROQUIS_DATOS!$C$1472=1,1),(CROQUIS_DATOS!$C$1563+(MIN(INT(($A135-1)/2)+1,CROQUIS_DATOS!$C$1558)*CROQUIS_DATOS!$C$1559)*CROQUIS_DATOS!$C$1562),-1000)</f>
        <v>82.2281167108753</v>
      </c>
      <c r="U135">
        <f>IF(AND(CROQUIS_DATOS!$C$1472=1,1),(CROQUIS_DATOS!$C$1564+(IF(INT(($A135-1)/2)+1&gt;CROQUIS_DATOS!$C$1558,IF(MOD(CROQUIS_DATOS!$C$1558,2)=1,CROQUIS_DATOS!$C$1476+CROQUIS_DATOS!$C$1528,CROQUIS_DATOS!$C$1476),IF(IF(MOD(MIN(INT(($A135-1)/2)+1,CROQUIS_DATOS!$C$1558),2)=1,MOD($A135-1,2),1-MOD($A135-1,2))=1,CROQUIS_DATOS!$C$1476+CROQUIS_DATOS!$C$1528,CROQUIS_DATOS!$C$1476)))*CROQUIS_DATOS!$C$1561*CROQUIS_DATOS!$C$1562),-1000)</f>
        <v>43</v>
      </c>
      <c r="BZ135">
        <f>IF(AND(CROQUIS_DATOS!$C$1472=1,CROQUIS_DATOS!$C$1500&gt;0,((CROQUIS_DATOS!$C$1499+CROQUIS_DATOS!$C$1500))-(CROQUIS_DATOS!$C$1499)&gt;0.5,(CROQUIS_DATOS!$C$1476)-(0)&gt;0.5),(CROQUIS_DATOS!$C$1566+(IF(IF(MOD(MIN(INT(($A135-1)/2)+1,MAX(1,INT(((((CROQUIS_DATOS!$C$1499+CROQUIS_DATOS!$C$1500))-(CROQUIS_DATOS!$C$1499))+((CROQUIS_DATOS!$C$1476)*CROQUIS_DATOS!$C$1561-(0)*CROQUIS_DATOS!$C$1561))/CROQUIS_DATOS!$C$1568-0.000001))),2)=1,IF(INT(($A135-1)/2)+1&gt;MAX(1,INT(((((CROQUIS_DATOS!$C$1499+CROQUIS_DATOS!$C$1500))-(CROQUIS_DATOS!$C$1499))+((CROQUIS_DATOS!$C$1476)*CROQUIS_DATOS!$C$1561-(0)*CROQUIS_DATOS!$C$1561))/CROQUIS_DATOS!$C$1568-0.000001)),1,MOD($A135-1,2)),1-IF(INT(($A135-1)/2)+1&gt;MAX(1,INT(((((CROQUIS_DATOS!$C$1499+CROQUIS_DATOS!$C$1500))-(CROQUIS_DATOS!$C$1499))+((CROQUIS_DATOS!$C$1476)*CROQUIS_DATOS!$C$1561-(0)*CROQUIS_DATOS!$C$1561))/CROQUIS_DATOS!$C$1568-0.000001)),1,MOD($A135-1,2)))=1,MIN((CROQUIS_DATOS!$C$1476)*CROQUIS_DATOS!$C$1561,((CROQUIS_DATOS!$C$1499+CROQUIS_DATOS!$C$1500)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5">
        <f>IF(AND(CROQUIS_DATOS!$C$1472=1,CROQUIS_DATOS!$C$1500&gt;0,((CROQUIS_DATOS!$C$1499+CROQUIS_DATOS!$C$1500))-(CROQUIS_DATOS!$C$1499)&gt;0.5,(CROQUIS_DATOS!$C$1476)-(0)&gt;0.5),(CROQUIS_DATOS!$C$1567+(IF(IF(MOD(MIN(INT(($A135-1)/2)+1,MAX(1,INT(((((CROQUIS_DATOS!$C$1499+CROQUIS_DATOS!$C$1500))-(CROQUIS_DATOS!$C$1499))+((CROQUIS_DATOS!$C$1476)*CROQUIS_DATOS!$C$1561-(0)*CROQUIS_DATOS!$C$1561))/CROQUIS_DATOS!$C$1568-0.000001))),2)=1,IF(INT(($A135-1)/2)+1&gt;MAX(1,INT(((((CROQUIS_DATOS!$C$1499+CROQUIS_DATOS!$C$1500))-(CROQUIS_DATOS!$C$1499))+((CROQUIS_DATOS!$C$1476)*CROQUIS_DATOS!$C$1561-(0)*CROQUIS_DATOS!$C$1561))/CROQUIS_DATOS!$C$1568-0.000001)),1,MOD($A135-1,2)),1-IF(INT(($A135-1)/2)+1&gt;MAX(1,INT(((((CROQUIS_DATOS!$C$1499+CROQUIS_DATOS!$C$1500))-(CROQUIS_DATOS!$C$1499))+((CROQUIS_DATOS!$C$1476)*CROQUIS_DATOS!$C$1561-(0)*CROQUIS_DATOS!$C$1561))/CROQUIS_DATOS!$C$1568-0.000001)),1,MOD($A135-1,2)))=1,MIN((CROQUIS_DATOS!$C$1476)*CROQUIS_DATOS!$C$1561,((CROQUIS_DATOS!$C$1499+CROQUIS_DATOS!$C$1500)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5">
        <f>IF(AND(CROQUIS_DATOS!$C$1472=1,CROQUIS_DATOS!$C$1504&gt;0,((CROQUIS_DATOS!$C$1503+CROQUIS_DATOS!$C$1504))-(CROQUIS_DATOS!$C$1503)&gt;0.5,(CROQUIS_DATOS!$C$1476)-(0)&gt;0.5),(CROQUIS_DATOS!$C$1566+(IF(IF(MOD(MIN(INT(($A135-1)/2)+1,MAX(1,INT(((((CROQUIS_DATOS!$C$1503+CROQUIS_DATOS!$C$1504))-(CROQUIS_DATOS!$C$1503))+((CROQUIS_DATOS!$C$1476)*CROQUIS_DATOS!$C$1561-(0)*CROQUIS_DATOS!$C$1561))/CROQUIS_DATOS!$C$1568-0.000001))),2)=1,IF(INT(($A135-1)/2)+1&gt;MAX(1,INT(((((CROQUIS_DATOS!$C$1503+CROQUIS_DATOS!$C$1504))-(CROQUIS_DATOS!$C$1503))+((CROQUIS_DATOS!$C$1476)*CROQUIS_DATOS!$C$1561-(0)*CROQUIS_DATOS!$C$1561))/CROQUIS_DATOS!$C$1568-0.000001)),1,MOD($A135-1,2)),1-IF(INT(($A135-1)/2)+1&gt;MAX(1,INT(((((CROQUIS_DATOS!$C$1503+CROQUIS_DATOS!$C$1504))-(CROQUIS_DATOS!$C$1503))+((CROQUIS_DATOS!$C$1476)*CROQUIS_DATOS!$C$1561-(0)*CROQUIS_DATOS!$C$1561))/CROQUIS_DATOS!$C$1568-0.000001)),1,MOD($A135-1,2)))=1,MIN((CROQUIS_DATOS!$C$1476)*CROQUIS_DATOS!$C$1561,((CROQUIS_DATOS!$C$1503+CROQUIS_DATOS!$C$1504)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5">
        <f>IF(AND(CROQUIS_DATOS!$C$1472=1,CROQUIS_DATOS!$C$1504&gt;0,((CROQUIS_DATOS!$C$1503+CROQUIS_DATOS!$C$1504))-(CROQUIS_DATOS!$C$1503)&gt;0.5,(CROQUIS_DATOS!$C$1476)-(0)&gt;0.5),(CROQUIS_DATOS!$C$1567+(IF(IF(MOD(MIN(INT(($A135-1)/2)+1,MAX(1,INT(((((CROQUIS_DATOS!$C$1503+CROQUIS_DATOS!$C$1504))-(CROQUIS_DATOS!$C$1503))+((CROQUIS_DATOS!$C$1476)*CROQUIS_DATOS!$C$1561-(0)*CROQUIS_DATOS!$C$1561))/CROQUIS_DATOS!$C$1568-0.000001))),2)=1,IF(INT(($A135-1)/2)+1&gt;MAX(1,INT(((((CROQUIS_DATOS!$C$1503+CROQUIS_DATOS!$C$1504))-(CROQUIS_DATOS!$C$1503))+((CROQUIS_DATOS!$C$1476)*CROQUIS_DATOS!$C$1561-(0)*CROQUIS_DATOS!$C$1561))/CROQUIS_DATOS!$C$1568-0.000001)),1,MOD($A135-1,2)),1-IF(INT(($A135-1)/2)+1&gt;MAX(1,INT(((((CROQUIS_DATOS!$C$1503+CROQUIS_DATOS!$C$1504))-(CROQUIS_DATOS!$C$1503))+((CROQUIS_DATOS!$C$1476)*CROQUIS_DATOS!$C$1561-(0)*CROQUIS_DATOS!$C$1561))/CROQUIS_DATOS!$C$1568-0.000001)),1,MOD($A135-1,2)))=1,MIN((CROQUIS_DATOS!$C$1476)*CROQUIS_DATOS!$C$1561,((CROQUIS_DATOS!$C$1503+CROQUIS_DATOS!$C$1504)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5">
        <f>IF(AND(CROQUIS_DATOS!$C$1472=1,CROQUIS_DATOS!$C$1508&gt;0,((CROQUIS_DATOS!$C$1507+CROQUIS_DATOS!$C$1508))-(CROQUIS_DATOS!$C$1507)&gt;0.5,(CROQUIS_DATOS!$C$1476)-(0)&gt;0.5),(CROQUIS_DATOS!$C$1566+(IF(IF(MOD(MIN(INT(($A135-1)/2)+1,MAX(1,INT(((((CROQUIS_DATOS!$C$1507+CROQUIS_DATOS!$C$1508))-(CROQUIS_DATOS!$C$1507))+((CROQUIS_DATOS!$C$1476)*CROQUIS_DATOS!$C$1561-(0)*CROQUIS_DATOS!$C$1561))/CROQUIS_DATOS!$C$1568-0.000001))),2)=1,IF(INT(($A135-1)/2)+1&gt;MAX(1,INT(((((CROQUIS_DATOS!$C$1507+CROQUIS_DATOS!$C$1508))-(CROQUIS_DATOS!$C$1507))+((CROQUIS_DATOS!$C$1476)*CROQUIS_DATOS!$C$1561-(0)*CROQUIS_DATOS!$C$1561))/CROQUIS_DATOS!$C$1568-0.000001)),1,MOD($A135-1,2)),1-IF(INT(($A135-1)/2)+1&gt;MAX(1,INT(((((CROQUIS_DATOS!$C$1507+CROQUIS_DATOS!$C$1508))-(CROQUIS_DATOS!$C$1507))+((CROQUIS_DATOS!$C$1476)*CROQUIS_DATOS!$C$1561-(0)*CROQUIS_DATOS!$C$1561))/CROQUIS_DATOS!$C$1568-0.000001)),1,MOD($A135-1,2)))=1,MIN((CROQUIS_DATOS!$C$1476)*CROQUIS_DATOS!$C$1561,((CROQUIS_DATOS!$C$1507+CROQUIS_DATOS!$C$1508)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5">
        <f>IF(AND(CROQUIS_DATOS!$C$1472=1,CROQUIS_DATOS!$C$1508&gt;0,((CROQUIS_DATOS!$C$1507+CROQUIS_DATOS!$C$1508))-(CROQUIS_DATOS!$C$1507)&gt;0.5,(CROQUIS_DATOS!$C$1476)-(0)&gt;0.5),(CROQUIS_DATOS!$C$1567+(IF(IF(MOD(MIN(INT(($A135-1)/2)+1,MAX(1,INT(((((CROQUIS_DATOS!$C$1507+CROQUIS_DATOS!$C$1508))-(CROQUIS_DATOS!$C$1507))+((CROQUIS_DATOS!$C$1476)*CROQUIS_DATOS!$C$1561-(0)*CROQUIS_DATOS!$C$1561))/CROQUIS_DATOS!$C$1568-0.000001))),2)=1,IF(INT(($A135-1)/2)+1&gt;MAX(1,INT(((((CROQUIS_DATOS!$C$1507+CROQUIS_DATOS!$C$1508))-(CROQUIS_DATOS!$C$1507))+((CROQUIS_DATOS!$C$1476)*CROQUIS_DATOS!$C$1561-(0)*CROQUIS_DATOS!$C$1561))/CROQUIS_DATOS!$C$1568-0.000001)),1,MOD($A135-1,2)),1-IF(INT(($A135-1)/2)+1&gt;MAX(1,INT(((((CROQUIS_DATOS!$C$1507+CROQUIS_DATOS!$C$1508))-(CROQUIS_DATOS!$C$1507))+((CROQUIS_DATOS!$C$1476)*CROQUIS_DATOS!$C$1561-(0)*CROQUIS_DATOS!$C$1561))/CROQUIS_DATOS!$C$1568-0.000001)),1,MOD($A135-1,2)))=1,MIN((CROQUIS_DATOS!$C$1476)*CROQUIS_DATOS!$C$1561,((CROQUIS_DATOS!$C$1507+CROQUIS_DATOS!$C$1508)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5">
        <f>IF(AND(CROQUIS_DATOS!$C$1472=1,CROQUIS_DATOS!$C$1512&gt;0,((CROQUIS_DATOS!$C$1511+CROQUIS_DATOS!$C$1512))-(CROQUIS_DATOS!$C$1511)&gt;0.5,(CROQUIS_DATOS!$C$1476)-(0)&gt;0.5),(CROQUIS_DATOS!$C$1566+(IF(IF(MOD(MIN(INT(($A135-1)/2)+1,MAX(1,INT(((((CROQUIS_DATOS!$C$1511+CROQUIS_DATOS!$C$1512))-(CROQUIS_DATOS!$C$1511))+((CROQUIS_DATOS!$C$1476)*CROQUIS_DATOS!$C$1561-(0)*CROQUIS_DATOS!$C$1561))/CROQUIS_DATOS!$C$1568-0.000001))),2)=1,IF(INT(($A135-1)/2)+1&gt;MAX(1,INT(((((CROQUIS_DATOS!$C$1511+CROQUIS_DATOS!$C$1512))-(CROQUIS_DATOS!$C$1511))+((CROQUIS_DATOS!$C$1476)*CROQUIS_DATOS!$C$1561-(0)*CROQUIS_DATOS!$C$1561))/CROQUIS_DATOS!$C$1568-0.000001)),1,MOD($A135-1,2)),1-IF(INT(($A135-1)/2)+1&gt;MAX(1,INT(((((CROQUIS_DATOS!$C$1511+CROQUIS_DATOS!$C$1512))-(CROQUIS_DATOS!$C$1511))+((CROQUIS_DATOS!$C$1476)*CROQUIS_DATOS!$C$1561-(0)*CROQUIS_DATOS!$C$1561))/CROQUIS_DATOS!$C$1568-0.000001)),1,MOD($A135-1,2)))=1,MIN((CROQUIS_DATOS!$C$1476)*CROQUIS_DATOS!$C$1561,((CROQUIS_DATOS!$C$1511+CROQUIS_DATOS!$C$1512)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5">
        <f>IF(AND(CROQUIS_DATOS!$C$1472=1,CROQUIS_DATOS!$C$1512&gt;0,((CROQUIS_DATOS!$C$1511+CROQUIS_DATOS!$C$1512))-(CROQUIS_DATOS!$C$1511)&gt;0.5,(CROQUIS_DATOS!$C$1476)-(0)&gt;0.5),(CROQUIS_DATOS!$C$1567+(IF(IF(MOD(MIN(INT(($A135-1)/2)+1,MAX(1,INT(((((CROQUIS_DATOS!$C$1511+CROQUIS_DATOS!$C$1512))-(CROQUIS_DATOS!$C$1511))+((CROQUIS_DATOS!$C$1476)*CROQUIS_DATOS!$C$1561-(0)*CROQUIS_DATOS!$C$1561))/CROQUIS_DATOS!$C$1568-0.000001))),2)=1,IF(INT(($A135-1)/2)+1&gt;MAX(1,INT(((((CROQUIS_DATOS!$C$1511+CROQUIS_DATOS!$C$1512))-(CROQUIS_DATOS!$C$1511))+((CROQUIS_DATOS!$C$1476)*CROQUIS_DATOS!$C$1561-(0)*CROQUIS_DATOS!$C$1561))/CROQUIS_DATOS!$C$1568-0.000001)),1,MOD($A135-1,2)),1-IF(INT(($A135-1)/2)+1&gt;MAX(1,INT(((((CROQUIS_DATOS!$C$1511+CROQUIS_DATOS!$C$1512))-(CROQUIS_DATOS!$C$1511))+((CROQUIS_DATOS!$C$1476)*CROQUIS_DATOS!$C$1561-(0)*CROQUIS_DATOS!$C$1561))/CROQUIS_DATOS!$C$1568-0.000001)),1,MOD($A135-1,2)))=1,MIN((CROQUIS_DATOS!$C$1476)*CROQUIS_DATOS!$C$1561,((CROQUIS_DATOS!$C$1511+CROQUIS_DATOS!$C$1512)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5">
        <f>IF(AND(CROQUIS_DATOS!$C$1472=1,CROQUIS_DATOS!$C$1516&gt;0,((CROQUIS_DATOS!$C$1515+CROQUIS_DATOS!$C$1516))-(CROQUIS_DATOS!$C$1515)&gt;0.5,(CROQUIS_DATOS!$C$1476)-(0)&gt;0.5),(CROQUIS_DATOS!$C$1566+(IF(IF(MOD(MIN(INT(($A135-1)/2)+1,MAX(1,INT(((((CROQUIS_DATOS!$C$1515+CROQUIS_DATOS!$C$1516))-(CROQUIS_DATOS!$C$1515))+((CROQUIS_DATOS!$C$1476)*CROQUIS_DATOS!$C$1561-(0)*CROQUIS_DATOS!$C$1561))/CROQUIS_DATOS!$C$1568-0.000001))),2)=1,IF(INT(($A135-1)/2)+1&gt;MAX(1,INT(((((CROQUIS_DATOS!$C$1515+CROQUIS_DATOS!$C$1516))-(CROQUIS_DATOS!$C$1515))+((CROQUIS_DATOS!$C$1476)*CROQUIS_DATOS!$C$1561-(0)*CROQUIS_DATOS!$C$1561))/CROQUIS_DATOS!$C$1568-0.000001)),1,MOD($A135-1,2)),1-IF(INT(($A135-1)/2)+1&gt;MAX(1,INT(((((CROQUIS_DATOS!$C$1515+CROQUIS_DATOS!$C$1516))-(CROQUIS_DATOS!$C$1515))+((CROQUIS_DATOS!$C$1476)*CROQUIS_DATOS!$C$1561-(0)*CROQUIS_DATOS!$C$1561))/CROQUIS_DATOS!$C$1568-0.000001)),1,MOD($A135-1,2)))=1,MIN((CROQUIS_DATOS!$C$1476)*CROQUIS_DATOS!$C$1561,((CROQUIS_DATOS!$C$1515+CROQUIS_DATOS!$C$1516)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5">
        <f>IF(AND(CROQUIS_DATOS!$C$1472=1,CROQUIS_DATOS!$C$1516&gt;0,((CROQUIS_DATOS!$C$1515+CROQUIS_DATOS!$C$1516))-(CROQUIS_DATOS!$C$1515)&gt;0.5,(CROQUIS_DATOS!$C$1476)-(0)&gt;0.5),(CROQUIS_DATOS!$C$1567+(IF(IF(MOD(MIN(INT(($A135-1)/2)+1,MAX(1,INT(((((CROQUIS_DATOS!$C$1515+CROQUIS_DATOS!$C$1516))-(CROQUIS_DATOS!$C$1515))+((CROQUIS_DATOS!$C$1476)*CROQUIS_DATOS!$C$1561-(0)*CROQUIS_DATOS!$C$1561))/CROQUIS_DATOS!$C$1568-0.000001))),2)=1,IF(INT(($A135-1)/2)+1&gt;MAX(1,INT(((((CROQUIS_DATOS!$C$1515+CROQUIS_DATOS!$C$1516))-(CROQUIS_DATOS!$C$1515))+((CROQUIS_DATOS!$C$1476)*CROQUIS_DATOS!$C$1561-(0)*CROQUIS_DATOS!$C$1561))/CROQUIS_DATOS!$C$1568-0.000001)),1,MOD($A135-1,2)),1-IF(INT(($A135-1)/2)+1&gt;MAX(1,INT(((((CROQUIS_DATOS!$C$1515+CROQUIS_DATOS!$C$1516))-(CROQUIS_DATOS!$C$1515))+((CROQUIS_DATOS!$C$1476)*CROQUIS_DATOS!$C$1561-(0)*CROQUIS_DATOS!$C$1561))/CROQUIS_DATOS!$C$1568-0.000001)),1,MOD($A135-1,2)))=1,MIN((CROQUIS_DATOS!$C$1476)*CROQUIS_DATOS!$C$1561,((CROQUIS_DATOS!$C$1515+CROQUIS_DATOS!$C$1516)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5">
        <f>IF(AND(CROQUIS_DATOS!$C$1472=1,CROQUIS_DATOS!$C$1478&gt;=1,((CROQUIS_DATOS!$C$1479+CROQUIS_DATOS!$C$1480))-(CROQUIS_DATOS!$C$1479)&gt;0.5,(CROQUIS_DATOS!$C$1481)-(0)&gt;0.5),(CROQUIS_DATOS!$C$1566+(IF(IF(MOD(MIN(INT(($A135-1)/2)+1,MAX(1,INT(((((CROQUIS_DATOS!$C$1479+CROQUIS_DATOS!$C$1480))-(CROQUIS_DATOS!$C$1479))+((CROQUIS_DATOS!$C$1481)*CROQUIS_DATOS!$C$1561-(0)*CROQUIS_DATOS!$C$1561))/CROQUIS_DATOS!$C$1568-0.000001))),2)=1,IF(INT(($A135-1)/2)+1&gt;MAX(1,INT(((((CROQUIS_DATOS!$C$1479+CROQUIS_DATOS!$C$1480))-(CROQUIS_DATOS!$C$1479))+((CROQUIS_DATOS!$C$1481)*CROQUIS_DATOS!$C$1561-(0)*CROQUIS_DATOS!$C$1561))/CROQUIS_DATOS!$C$1568-0.000001)),1,MOD($A135-1,2)),1-IF(INT(($A135-1)/2)+1&gt;MAX(1,INT(((((CROQUIS_DATOS!$C$1479+CROQUIS_DATOS!$C$1480))-(CROQUIS_DATOS!$C$1479))+((CROQUIS_DATOS!$C$1481)*CROQUIS_DATOS!$C$1561-(0)*CROQUIS_DATOS!$C$1561))/CROQUIS_DATOS!$C$1568-0.000001)),1,MOD($A135-1,2)))=1,MIN((CROQUIS_DATOS!$C$1481)*CROQUIS_DATOS!$C$1561,((CROQUIS_DATOS!$C$1479+CROQUIS_DATOS!$C$1480)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5">
        <f>IF(AND(CROQUIS_DATOS!$C$1472=1,CROQUIS_DATOS!$C$1478&gt;=1,((CROQUIS_DATOS!$C$1479+CROQUIS_DATOS!$C$1480))-(CROQUIS_DATOS!$C$1479)&gt;0.5,(CROQUIS_DATOS!$C$1481)-(0)&gt;0.5),(CROQUIS_DATOS!$C$1567+(IF(IF(MOD(MIN(INT(($A135-1)/2)+1,MAX(1,INT(((((CROQUIS_DATOS!$C$1479+CROQUIS_DATOS!$C$1480))-(CROQUIS_DATOS!$C$1479))+((CROQUIS_DATOS!$C$1481)*CROQUIS_DATOS!$C$1561-(0)*CROQUIS_DATOS!$C$1561))/CROQUIS_DATOS!$C$1568-0.000001))),2)=1,IF(INT(($A135-1)/2)+1&gt;MAX(1,INT(((((CROQUIS_DATOS!$C$1479+CROQUIS_DATOS!$C$1480))-(CROQUIS_DATOS!$C$1479))+((CROQUIS_DATOS!$C$1481)*CROQUIS_DATOS!$C$1561-(0)*CROQUIS_DATOS!$C$1561))/CROQUIS_DATOS!$C$1568-0.000001)),1,MOD($A135-1,2)),1-IF(INT(($A135-1)/2)+1&gt;MAX(1,INT(((((CROQUIS_DATOS!$C$1479+CROQUIS_DATOS!$C$1480))-(CROQUIS_DATOS!$C$1479))+((CROQUIS_DATOS!$C$1481)*CROQUIS_DATOS!$C$1561-(0)*CROQUIS_DATOS!$C$1561))/CROQUIS_DATOS!$C$1568-0.000001)),1,MOD($A135-1,2)))=1,MIN((CROQUIS_DATOS!$C$1481)*CROQUIS_DATOS!$C$1561,((CROQUIS_DATOS!$C$1479+CROQUIS_DATOS!$C$1480)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5">
        <f>IF(AND(CROQUIS_DATOS!$C$1472=1,CROQUIS_DATOS!$C$1478&gt;=1,((CROQUIS_DATOS!$C$1479+CROQUIS_DATOS!$C$1480))-(CROQUIS_DATOS!$C$1479)&gt;0.5,(CROQUIS_DATOS!$C$1476)-((CROQUIS_DATOS!$C$1481+CROQUIS_DATOS!$C$1482))&gt;0.5),(CROQUIS_DATOS!$C$1566+(IF(IF(MOD(MIN(INT(($A135-1)/2)+1,MAX(1,INT(((((CROQUIS_DATOS!$C$1479+CROQUIS_DATOS!$C$1480))-(CROQUIS_DATOS!$C$1479))+((CROQUIS_DATOS!$C$1476)*CROQUIS_DATOS!$C$1561-((CROQUIS_DATOS!$C$1481+CROQUIS_DATOS!$C$1482))*CROQUIS_DATOS!$C$1561))/CROQUIS_DATOS!$C$1568-0.000001))),2)=1,IF(INT(($A135-1)/2)+1&gt;MAX(1,INT(((((CROQUIS_DATOS!$C$1479+CROQUIS_DATOS!$C$1480))-(CROQUIS_DATOS!$C$1479))+((CROQUIS_DATOS!$C$1476)*CROQUIS_DATOS!$C$1561-((CROQUIS_DATOS!$C$1481+CROQUIS_DATOS!$C$1482))*CROQUIS_DATOS!$C$1561))/CROQUIS_DATOS!$C$1568-0.000001)),1,MOD($A135-1,2)),1-IF(INT(($A135-1)/2)+1&gt;MAX(1,INT(((((CROQUIS_DATOS!$C$1479+CROQUIS_DATOS!$C$1480))-(CROQUIS_DATOS!$C$1479))+((CROQUIS_DATOS!$C$1476)*CROQUIS_DATOS!$C$1561-((CROQUIS_DATOS!$C$1481+CROQUIS_DATOS!$C$1482))*CROQUIS_DATOS!$C$1561))/CROQUIS_DATOS!$C$1568-0.000001)),1,MOD($A135-1,2)))=1,MIN((CROQUIS_DATOS!$C$1476)*CROQUIS_DATOS!$C$1561,((CROQUIS_DATOS!$C$1479+CROQUIS_DATOS!$C$1480)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5">
        <f>IF(AND(CROQUIS_DATOS!$C$1472=1,CROQUIS_DATOS!$C$1478&gt;=1,((CROQUIS_DATOS!$C$1479+CROQUIS_DATOS!$C$1480))-(CROQUIS_DATOS!$C$1479)&gt;0.5,(CROQUIS_DATOS!$C$1476)-((CROQUIS_DATOS!$C$1481+CROQUIS_DATOS!$C$1482))&gt;0.5),(CROQUIS_DATOS!$C$1567+(IF(IF(MOD(MIN(INT(($A135-1)/2)+1,MAX(1,INT(((((CROQUIS_DATOS!$C$1479+CROQUIS_DATOS!$C$1480))-(CROQUIS_DATOS!$C$1479))+((CROQUIS_DATOS!$C$1476)*CROQUIS_DATOS!$C$1561-((CROQUIS_DATOS!$C$1481+CROQUIS_DATOS!$C$1482))*CROQUIS_DATOS!$C$1561))/CROQUIS_DATOS!$C$1568-0.000001))),2)=1,IF(INT(($A135-1)/2)+1&gt;MAX(1,INT(((((CROQUIS_DATOS!$C$1479+CROQUIS_DATOS!$C$1480))-(CROQUIS_DATOS!$C$1479))+((CROQUIS_DATOS!$C$1476)*CROQUIS_DATOS!$C$1561-((CROQUIS_DATOS!$C$1481+CROQUIS_DATOS!$C$1482))*CROQUIS_DATOS!$C$1561))/CROQUIS_DATOS!$C$1568-0.000001)),1,MOD($A135-1,2)),1-IF(INT(($A135-1)/2)+1&gt;MAX(1,INT(((((CROQUIS_DATOS!$C$1479+CROQUIS_DATOS!$C$1480))-(CROQUIS_DATOS!$C$1479))+((CROQUIS_DATOS!$C$1476)*CROQUIS_DATOS!$C$1561-((CROQUIS_DATOS!$C$1481+CROQUIS_DATOS!$C$1482))*CROQUIS_DATOS!$C$1561))/CROQUIS_DATOS!$C$1568-0.000001)),1,MOD($A135-1,2)))=1,MIN((CROQUIS_DATOS!$C$1476)*CROQUIS_DATOS!$C$1561,((CROQUIS_DATOS!$C$1479+CROQUIS_DATOS!$C$1480)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5">
        <f>IF(AND(CROQUIS_DATOS!$C$1472=1,CROQUIS_DATOS!$C$1478&gt;=2,((CROQUIS_DATOS!$C$1484+CROQUIS_DATOS!$C$1485))-(CROQUIS_DATOS!$C$1484)&gt;0.5,(CROQUIS_DATOS!$C$1486)-(0)&gt;0.5),(CROQUIS_DATOS!$C$1566+(IF(IF(MOD(MIN(INT(($A135-1)/2)+1,MAX(1,INT(((((CROQUIS_DATOS!$C$1484+CROQUIS_DATOS!$C$1485))-(CROQUIS_DATOS!$C$1484))+((CROQUIS_DATOS!$C$1486)*CROQUIS_DATOS!$C$1561-(0)*CROQUIS_DATOS!$C$1561))/CROQUIS_DATOS!$C$1568-0.000001))),2)=1,IF(INT(($A135-1)/2)+1&gt;MAX(1,INT(((((CROQUIS_DATOS!$C$1484+CROQUIS_DATOS!$C$1485))-(CROQUIS_DATOS!$C$1484))+((CROQUIS_DATOS!$C$1486)*CROQUIS_DATOS!$C$1561-(0)*CROQUIS_DATOS!$C$1561))/CROQUIS_DATOS!$C$1568-0.000001)),1,MOD($A135-1,2)),1-IF(INT(($A135-1)/2)+1&gt;MAX(1,INT(((((CROQUIS_DATOS!$C$1484+CROQUIS_DATOS!$C$1485))-(CROQUIS_DATOS!$C$1484))+((CROQUIS_DATOS!$C$1486)*CROQUIS_DATOS!$C$1561-(0)*CROQUIS_DATOS!$C$1561))/CROQUIS_DATOS!$C$1568-0.000001)),1,MOD($A135-1,2)))=1,MIN((CROQUIS_DATOS!$C$1486)*CROQUIS_DATOS!$C$1561,((CROQUIS_DATOS!$C$1484+CROQUIS_DATOS!$C$1485)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5">
        <f>IF(AND(CROQUIS_DATOS!$C$1472=1,CROQUIS_DATOS!$C$1478&gt;=2,((CROQUIS_DATOS!$C$1484+CROQUIS_DATOS!$C$1485))-(CROQUIS_DATOS!$C$1484)&gt;0.5,(CROQUIS_DATOS!$C$1486)-(0)&gt;0.5),(CROQUIS_DATOS!$C$1567+(IF(IF(MOD(MIN(INT(($A135-1)/2)+1,MAX(1,INT(((((CROQUIS_DATOS!$C$1484+CROQUIS_DATOS!$C$1485))-(CROQUIS_DATOS!$C$1484))+((CROQUIS_DATOS!$C$1486)*CROQUIS_DATOS!$C$1561-(0)*CROQUIS_DATOS!$C$1561))/CROQUIS_DATOS!$C$1568-0.000001))),2)=1,IF(INT(($A135-1)/2)+1&gt;MAX(1,INT(((((CROQUIS_DATOS!$C$1484+CROQUIS_DATOS!$C$1485))-(CROQUIS_DATOS!$C$1484))+((CROQUIS_DATOS!$C$1486)*CROQUIS_DATOS!$C$1561-(0)*CROQUIS_DATOS!$C$1561))/CROQUIS_DATOS!$C$1568-0.000001)),1,MOD($A135-1,2)),1-IF(INT(($A135-1)/2)+1&gt;MAX(1,INT(((((CROQUIS_DATOS!$C$1484+CROQUIS_DATOS!$C$1485))-(CROQUIS_DATOS!$C$1484))+((CROQUIS_DATOS!$C$1486)*CROQUIS_DATOS!$C$1561-(0)*CROQUIS_DATOS!$C$1561))/CROQUIS_DATOS!$C$1568-0.000001)),1,MOD($A135-1,2)))=1,MIN((CROQUIS_DATOS!$C$1486)*CROQUIS_DATOS!$C$1561,((CROQUIS_DATOS!$C$1484+CROQUIS_DATOS!$C$1485)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5">
        <f>IF(AND(CROQUIS_DATOS!$C$1472=1,CROQUIS_DATOS!$C$1478&gt;=2,((CROQUIS_DATOS!$C$1484+CROQUIS_DATOS!$C$1485))-(CROQUIS_DATOS!$C$1484)&gt;0.5,(CROQUIS_DATOS!$C$1476)-((CROQUIS_DATOS!$C$1486+CROQUIS_DATOS!$C$1487))&gt;0.5),(CROQUIS_DATOS!$C$1566+(IF(IF(MOD(MIN(INT(($A135-1)/2)+1,MAX(1,INT(((((CROQUIS_DATOS!$C$1484+CROQUIS_DATOS!$C$1485))-(CROQUIS_DATOS!$C$1484))+((CROQUIS_DATOS!$C$1476)*CROQUIS_DATOS!$C$1561-((CROQUIS_DATOS!$C$1486+CROQUIS_DATOS!$C$1487))*CROQUIS_DATOS!$C$1561))/CROQUIS_DATOS!$C$1568-0.000001))),2)=1,IF(INT(($A135-1)/2)+1&gt;MAX(1,INT(((((CROQUIS_DATOS!$C$1484+CROQUIS_DATOS!$C$1485))-(CROQUIS_DATOS!$C$1484))+((CROQUIS_DATOS!$C$1476)*CROQUIS_DATOS!$C$1561-((CROQUIS_DATOS!$C$1486+CROQUIS_DATOS!$C$1487))*CROQUIS_DATOS!$C$1561))/CROQUIS_DATOS!$C$1568-0.000001)),1,MOD($A135-1,2)),1-IF(INT(($A135-1)/2)+1&gt;MAX(1,INT(((((CROQUIS_DATOS!$C$1484+CROQUIS_DATOS!$C$1485))-(CROQUIS_DATOS!$C$1484))+((CROQUIS_DATOS!$C$1476)*CROQUIS_DATOS!$C$1561-((CROQUIS_DATOS!$C$1486+CROQUIS_DATOS!$C$1487))*CROQUIS_DATOS!$C$1561))/CROQUIS_DATOS!$C$1568-0.000001)),1,MOD($A135-1,2)))=1,MIN((CROQUIS_DATOS!$C$1476)*CROQUIS_DATOS!$C$1561,((CROQUIS_DATOS!$C$1484+CROQUIS_DATOS!$C$1485)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5">
        <f>IF(AND(CROQUIS_DATOS!$C$1472=1,CROQUIS_DATOS!$C$1478&gt;=2,((CROQUIS_DATOS!$C$1484+CROQUIS_DATOS!$C$1485))-(CROQUIS_DATOS!$C$1484)&gt;0.5,(CROQUIS_DATOS!$C$1476)-((CROQUIS_DATOS!$C$1486+CROQUIS_DATOS!$C$1487))&gt;0.5),(CROQUIS_DATOS!$C$1567+(IF(IF(MOD(MIN(INT(($A135-1)/2)+1,MAX(1,INT(((((CROQUIS_DATOS!$C$1484+CROQUIS_DATOS!$C$1485))-(CROQUIS_DATOS!$C$1484))+((CROQUIS_DATOS!$C$1476)*CROQUIS_DATOS!$C$1561-((CROQUIS_DATOS!$C$1486+CROQUIS_DATOS!$C$1487))*CROQUIS_DATOS!$C$1561))/CROQUIS_DATOS!$C$1568-0.000001))),2)=1,IF(INT(($A135-1)/2)+1&gt;MAX(1,INT(((((CROQUIS_DATOS!$C$1484+CROQUIS_DATOS!$C$1485))-(CROQUIS_DATOS!$C$1484))+((CROQUIS_DATOS!$C$1476)*CROQUIS_DATOS!$C$1561-((CROQUIS_DATOS!$C$1486+CROQUIS_DATOS!$C$1487))*CROQUIS_DATOS!$C$1561))/CROQUIS_DATOS!$C$1568-0.000001)),1,MOD($A135-1,2)),1-IF(INT(($A135-1)/2)+1&gt;MAX(1,INT(((((CROQUIS_DATOS!$C$1484+CROQUIS_DATOS!$C$1485))-(CROQUIS_DATOS!$C$1484))+((CROQUIS_DATOS!$C$1476)*CROQUIS_DATOS!$C$1561-((CROQUIS_DATOS!$C$1486+CROQUIS_DATOS!$C$1487))*CROQUIS_DATOS!$C$1561))/CROQUIS_DATOS!$C$1568-0.000001)),1,MOD($A135-1,2)))=1,MIN((CROQUIS_DATOS!$C$1476)*CROQUIS_DATOS!$C$1561,((CROQUIS_DATOS!$C$1484+CROQUIS_DATOS!$C$1485)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5">
        <f>IF(AND(CROQUIS_DATOS!$C$1472=1,CROQUIS_DATOS!$C$1478&gt;=3,((CROQUIS_DATOS!$C$1489+CROQUIS_DATOS!$C$1490))-(CROQUIS_DATOS!$C$1489)&gt;0.5,(CROQUIS_DATOS!$C$1491)-(0)&gt;0.5),(CROQUIS_DATOS!$C$1566+(IF(IF(MOD(MIN(INT(($A135-1)/2)+1,MAX(1,INT(((((CROQUIS_DATOS!$C$1489+CROQUIS_DATOS!$C$1490))-(CROQUIS_DATOS!$C$1489))+((CROQUIS_DATOS!$C$1491)*CROQUIS_DATOS!$C$1561-(0)*CROQUIS_DATOS!$C$1561))/CROQUIS_DATOS!$C$1568-0.000001))),2)=1,IF(INT(($A135-1)/2)+1&gt;MAX(1,INT(((((CROQUIS_DATOS!$C$1489+CROQUIS_DATOS!$C$1490))-(CROQUIS_DATOS!$C$1489))+((CROQUIS_DATOS!$C$1491)*CROQUIS_DATOS!$C$1561-(0)*CROQUIS_DATOS!$C$1561))/CROQUIS_DATOS!$C$1568-0.000001)),1,MOD($A135-1,2)),1-IF(INT(($A135-1)/2)+1&gt;MAX(1,INT(((((CROQUIS_DATOS!$C$1489+CROQUIS_DATOS!$C$1490))-(CROQUIS_DATOS!$C$1489))+((CROQUIS_DATOS!$C$1491)*CROQUIS_DATOS!$C$1561-(0)*CROQUIS_DATOS!$C$1561))/CROQUIS_DATOS!$C$1568-0.000001)),1,MOD($A135-1,2)))=1,MIN((CROQUIS_DATOS!$C$1491)*CROQUIS_DATOS!$C$1561,((CROQUIS_DATOS!$C$1489+CROQUIS_DATOS!$C$1490)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5">
        <f>IF(AND(CROQUIS_DATOS!$C$1472=1,CROQUIS_DATOS!$C$1478&gt;=3,((CROQUIS_DATOS!$C$1489+CROQUIS_DATOS!$C$1490))-(CROQUIS_DATOS!$C$1489)&gt;0.5,(CROQUIS_DATOS!$C$1491)-(0)&gt;0.5),(CROQUIS_DATOS!$C$1567+(IF(IF(MOD(MIN(INT(($A135-1)/2)+1,MAX(1,INT(((((CROQUIS_DATOS!$C$1489+CROQUIS_DATOS!$C$1490))-(CROQUIS_DATOS!$C$1489))+((CROQUIS_DATOS!$C$1491)*CROQUIS_DATOS!$C$1561-(0)*CROQUIS_DATOS!$C$1561))/CROQUIS_DATOS!$C$1568-0.000001))),2)=1,IF(INT(($A135-1)/2)+1&gt;MAX(1,INT(((((CROQUIS_DATOS!$C$1489+CROQUIS_DATOS!$C$1490))-(CROQUIS_DATOS!$C$1489))+((CROQUIS_DATOS!$C$1491)*CROQUIS_DATOS!$C$1561-(0)*CROQUIS_DATOS!$C$1561))/CROQUIS_DATOS!$C$1568-0.000001)),1,MOD($A135-1,2)),1-IF(INT(($A135-1)/2)+1&gt;MAX(1,INT(((((CROQUIS_DATOS!$C$1489+CROQUIS_DATOS!$C$1490))-(CROQUIS_DATOS!$C$1489))+((CROQUIS_DATOS!$C$1491)*CROQUIS_DATOS!$C$1561-(0)*CROQUIS_DATOS!$C$1561))/CROQUIS_DATOS!$C$1568-0.000001)),1,MOD($A135-1,2)))=1,MIN((CROQUIS_DATOS!$C$1491)*CROQUIS_DATOS!$C$1561,((CROQUIS_DATOS!$C$1489+CROQUIS_DATOS!$C$1490)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5">
        <f>IF(AND(CROQUIS_DATOS!$C$1472=1,CROQUIS_DATOS!$C$1478&gt;=3,((CROQUIS_DATOS!$C$1489+CROQUIS_DATOS!$C$1490))-(CROQUIS_DATOS!$C$1489)&gt;0.5,(CROQUIS_DATOS!$C$1476)-((CROQUIS_DATOS!$C$1491+CROQUIS_DATOS!$C$1492))&gt;0.5),(CROQUIS_DATOS!$C$1566+(IF(IF(MOD(MIN(INT(($A135-1)/2)+1,MAX(1,INT(((((CROQUIS_DATOS!$C$1489+CROQUIS_DATOS!$C$1490))-(CROQUIS_DATOS!$C$1489))+((CROQUIS_DATOS!$C$1476)*CROQUIS_DATOS!$C$1561-((CROQUIS_DATOS!$C$1491+CROQUIS_DATOS!$C$1492))*CROQUIS_DATOS!$C$1561))/CROQUIS_DATOS!$C$1568-0.000001))),2)=1,IF(INT(($A135-1)/2)+1&gt;MAX(1,INT(((((CROQUIS_DATOS!$C$1489+CROQUIS_DATOS!$C$1490))-(CROQUIS_DATOS!$C$1489))+((CROQUIS_DATOS!$C$1476)*CROQUIS_DATOS!$C$1561-((CROQUIS_DATOS!$C$1491+CROQUIS_DATOS!$C$1492))*CROQUIS_DATOS!$C$1561))/CROQUIS_DATOS!$C$1568-0.000001)),1,MOD($A135-1,2)),1-IF(INT(($A135-1)/2)+1&gt;MAX(1,INT(((((CROQUIS_DATOS!$C$1489+CROQUIS_DATOS!$C$1490))-(CROQUIS_DATOS!$C$1489))+((CROQUIS_DATOS!$C$1476)*CROQUIS_DATOS!$C$1561-((CROQUIS_DATOS!$C$1491+CROQUIS_DATOS!$C$1492))*CROQUIS_DATOS!$C$1561))/CROQUIS_DATOS!$C$1568-0.000001)),1,MOD($A135-1,2)))=1,MIN((CROQUIS_DATOS!$C$1476)*CROQUIS_DATOS!$C$1561,((CROQUIS_DATOS!$C$1489+CROQUIS_DATOS!$C$1490)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5">
        <f>IF(AND(CROQUIS_DATOS!$C$1472=1,CROQUIS_DATOS!$C$1478&gt;=3,((CROQUIS_DATOS!$C$1489+CROQUIS_DATOS!$C$1490))-(CROQUIS_DATOS!$C$1489)&gt;0.5,(CROQUIS_DATOS!$C$1476)-((CROQUIS_DATOS!$C$1491+CROQUIS_DATOS!$C$1492))&gt;0.5),(CROQUIS_DATOS!$C$1567+(IF(IF(MOD(MIN(INT(($A135-1)/2)+1,MAX(1,INT(((((CROQUIS_DATOS!$C$1489+CROQUIS_DATOS!$C$1490))-(CROQUIS_DATOS!$C$1489))+((CROQUIS_DATOS!$C$1476)*CROQUIS_DATOS!$C$1561-((CROQUIS_DATOS!$C$1491+CROQUIS_DATOS!$C$1492))*CROQUIS_DATOS!$C$1561))/CROQUIS_DATOS!$C$1568-0.000001))),2)=1,IF(INT(($A135-1)/2)+1&gt;MAX(1,INT(((((CROQUIS_DATOS!$C$1489+CROQUIS_DATOS!$C$1490))-(CROQUIS_DATOS!$C$1489))+((CROQUIS_DATOS!$C$1476)*CROQUIS_DATOS!$C$1561-((CROQUIS_DATOS!$C$1491+CROQUIS_DATOS!$C$1492))*CROQUIS_DATOS!$C$1561))/CROQUIS_DATOS!$C$1568-0.000001)),1,MOD($A135-1,2)),1-IF(INT(($A135-1)/2)+1&gt;MAX(1,INT(((((CROQUIS_DATOS!$C$1489+CROQUIS_DATOS!$C$1490))-(CROQUIS_DATOS!$C$1489))+((CROQUIS_DATOS!$C$1476)*CROQUIS_DATOS!$C$1561-((CROQUIS_DATOS!$C$1491+CROQUIS_DATOS!$C$1492))*CROQUIS_DATOS!$C$1561))/CROQUIS_DATOS!$C$1568-0.000001)),1,MOD($A135-1,2)))=1,MIN((CROQUIS_DATOS!$C$1476)*CROQUIS_DATOS!$C$1561,((CROQUIS_DATOS!$C$1489+CROQUIS_DATOS!$C$1490)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5">
        <f>IF(AND(CROQUIS_DATOS!$C$1472=1,CROQUIS_DATOS!$C$1478&gt;=4,((CROQUIS_DATOS!$C$1494+CROQUIS_DATOS!$C$1495))-(CROQUIS_DATOS!$C$1494)&gt;0.5,(CROQUIS_DATOS!$C$1496)-(0)&gt;0.5),(CROQUIS_DATOS!$C$1566+(IF(IF(MOD(MIN(INT(($A135-1)/2)+1,MAX(1,INT(((((CROQUIS_DATOS!$C$1494+CROQUIS_DATOS!$C$1495))-(CROQUIS_DATOS!$C$1494))+((CROQUIS_DATOS!$C$1496)*CROQUIS_DATOS!$C$1561-(0)*CROQUIS_DATOS!$C$1561))/CROQUIS_DATOS!$C$1568-0.000001))),2)=1,IF(INT(($A135-1)/2)+1&gt;MAX(1,INT(((((CROQUIS_DATOS!$C$1494+CROQUIS_DATOS!$C$1495))-(CROQUIS_DATOS!$C$1494))+((CROQUIS_DATOS!$C$1496)*CROQUIS_DATOS!$C$1561-(0)*CROQUIS_DATOS!$C$1561))/CROQUIS_DATOS!$C$1568-0.000001)),1,MOD($A135-1,2)),1-IF(INT(($A135-1)/2)+1&gt;MAX(1,INT(((((CROQUIS_DATOS!$C$1494+CROQUIS_DATOS!$C$1495))-(CROQUIS_DATOS!$C$1494))+((CROQUIS_DATOS!$C$1496)*CROQUIS_DATOS!$C$1561-(0)*CROQUIS_DATOS!$C$1561))/CROQUIS_DATOS!$C$1568-0.000001)),1,MOD($A135-1,2)))=1,MIN((CROQUIS_DATOS!$C$1496)*CROQUIS_DATOS!$C$1561,((CROQUIS_DATOS!$C$1494+CROQUIS_DATOS!$C$1495)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5">
        <f>IF(AND(CROQUIS_DATOS!$C$1472=1,CROQUIS_DATOS!$C$1478&gt;=4,((CROQUIS_DATOS!$C$1494+CROQUIS_DATOS!$C$1495))-(CROQUIS_DATOS!$C$1494)&gt;0.5,(CROQUIS_DATOS!$C$1496)-(0)&gt;0.5),(CROQUIS_DATOS!$C$1567+(IF(IF(MOD(MIN(INT(($A135-1)/2)+1,MAX(1,INT(((((CROQUIS_DATOS!$C$1494+CROQUIS_DATOS!$C$1495))-(CROQUIS_DATOS!$C$1494))+((CROQUIS_DATOS!$C$1496)*CROQUIS_DATOS!$C$1561-(0)*CROQUIS_DATOS!$C$1561))/CROQUIS_DATOS!$C$1568-0.000001))),2)=1,IF(INT(($A135-1)/2)+1&gt;MAX(1,INT(((((CROQUIS_DATOS!$C$1494+CROQUIS_DATOS!$C$1495))-(CROQUIS_DATOS!$C$1494))+((CROQUIS_DATOS!$C$1496)*CROQUIS_DATOS!$C$1561-(0)*CROQUIS_DATOS!$C$1561))/CROQUIS_DATOS!$C$1568-0.000001)),1,MOD($A135-1,2)),1-IF(INT(($A135-1)/2)+1&gt;MAX(1,INT(((((CROQUIS_DATOS!$C$1494+CROQUIS_DATOS!$C$1495))-(CROQUIS_DATOS!$C$1494))+((CROQUIS_DATOS!$C$1496)*CROQUIS_DATOS!$C$1561-(0)*CROQUIS_DATOS!$C$1561))/CROQUIS_DATOS!$C$1568-0.000001)),1,MOD($A135-1,2)))=1,MIN((CROQUIS_DATOS!$C$1496)*CROQUIS_DATOS!$C$1561,((CROQUIS_DATOS!$C$1494+CROQUIS_DATOS!$C$1495)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5">
        <f>IF(AND(CROQUIS_DATOS!$C$1472=1,CROQUIS_DATOS!$C$1478&gt;=4,((CROQUIS_DATOS!$C$1494+CROQUIS_DATOS!$C$1495))-(CROQUIS_DATOS!$C$1494)&gt;0.5,(CROQUIS_DATOS!$C$1476)-((CROQUIS_DATOS!$C$1496+CROQUIS_DATOS!$C$1497))&gt;0.5),(CROQUIS_DATOS!$C$1566+(IF(IF(MOD(MIN(INT(($A135-1)/2)+1,MAX(1,INT(((((CROQUIS_DATOS!$C$1494+CROQUIS_DATOS!$C$1495))-(CROQUIS_DATOS!$C$1494))+((CROQUIS_DATOS!$C$1476)*CROQUIS_DATOS!$C$1561-((CROQUIS_DATOS!$C$1496+CROQUIS_DATOS!$C$1497))*CROQUIS_DATOS!$C$1561))/CROQUIS_DATOS!$C$1568-0.000001))),2)=1,IF(INT(($A135-1)/2)+1&gt;MAX(1,INT(((((CROQUIS_DATOS!$C$1494+CROQUIS_DATOS!$C$1495))-(CROQUIS_DATOS!$C$1494))+((CROQUIS_DATOS!$C$1476)*CROQUIS_DATOS!$C$1561-((CROQUIS_DATOS!$C$1496+CROQUIS_DATOS!$C$1497))*CROQUIS_DATOS!$C$1561))/CROQUIS_DATOS!$C$1568-0.000001)),1,MOD($A135-1,2)),1-IF(INT(($A135-1)/2)+1&gt;MAX(1,INT(((((CROQUIS_DATOS!$C$1494+CROQUIS_DATOS!$C$1495))-(CROQUIS_DATOS!$C$1494))+((CROQUIS_DATOS!$C$1476)*CROQUIS_DATOS!$C$1561-((CROQUIS_DATOS!$C$1496+CROQUIS_DATOS!$C$1497))*CROQUIS_DATOS!$C$1561))/CROQUIS_DATOS!$C$1568-0.000001)),1,MOD($A135-1,2)))=1,MIN((CROQUIS_DATOS!$C$1476)*CROQUIS_DATOS!$C$1561,((CROQUIS_DATOS!$C$1494+CROQUIS_DATOS!$C$1495)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5">
        <f>IF(AND(CROQUIS_DATOS!$C$1472=1,CROQUIS_DATOS!$C$1478&gt;=4,((CROQUIS_DATOS!$C$1494+CROQUIS_DATOS!$C$1495))-(CROQUIS_DATOS!$C$1494)&gt;0.5,(CROQUIS_DATOS!$C$1476)-((CROQUIS_DATOS!$C$1496+CROQUIS_DATOS!$C$1497))&gt;0.5),(CROQUIS_DATOS!$C$1567+(IF(IF(MOD(MIN(INT(($A135-1)/2)+1,MAX(1,INT(((((CROQUIS_DATOS!$C$1494+CROQUIS_DATOS!$C$1495))-(CROQUIS_DATOS!$C$1494))+((CROQUIS_DATOS!$C$1476)*CROQUIS_DATOS!$C$1561-((CROQUIS_DATOS!$C$1496+CROQUIS_DATOS!$C$1497))*CROQUIS_DATOS!$C$1561))/CROQUIS_DATOS!$C$1568-0.000001))),2)=1,IF(INT(($A135-1)/2)+1&gt;MAX(1,INT(((((CROQUIS_DATOS!$C$1494+CROQUIS_DATOS!$C$1495))-(CROQUIS_DATOS!$C$1494))+((CROQUIS_DATOS!$C$1476)*CROQUIS_DATOS!$C$1561-((CROQUIS_DATOS!$C$1496+CROQUIS_DATOS!$C$1497))*CROQUIS_DATOS!$C$1561))/CROQUIS_DATOS!$C$1568-0.000001)),1,MOD($A135-1,2)),1-IF(INT(($A135-1)/2)+1&gt;MAX(1,INT(((((CROQUIS_DATOS!$C$1494+CROQUIS_DATOS!$C$1495))-(CROQUIS_DATOS!$C$1494))+((CROQUIS_DATOS!$C$1476)*CROQUIS_DATOS!$C$1561-((CROQUIS_DATOS!$C$1496+CROQUIS_DATOS!$C$1497))*CROQUIS_DATOS!$C$1561))/CROQUIS_DATOS!$C$1568-0.000001)),1,MOD($A135-1,2)))=1,MIN((CROQUIS_DATOS!$C$1476)*CROQUIS_DATOS!$C$1561,((CROQUIS_DATOS!$C$1494+CROQUIS_DATOS!$C$1495)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6">
      <c r="A136" t="n">
        <v>129</v>
      </c>
      <c r="N136">
        <f>IF(AND(CROQUIS_DATOS!$C$1472=1,1),(CROQUIS_DATOS!$C$1563+(IF(IF(IF(INT(($A136-1)/70)+1&gt;CROQUIS_DATOS!$C$1525,70,MOD($A136-1,70)+1)=1,0,IF(IF(INT(($A136-1)/70)+1&gt;CROQUIS_DATOS!$C$1525,70,MOD($A136-1,70)+1)&gt;2*CROQUIS_DATOS!$C$1541+1,IF(MOD(CROQUIS_DATOS!$C$1541,2)=1,1,0),IF(MOD(MIN(INT((IF(INT(($A136-1)/70)+1&gt;CROQUIS_DATOS!$C$1525,70,MOD($A136-1,70)+1)-2)/2)+1,CROQUIS_DATOS!$C$1541),2)=1,IF(MOD(IF(INT(($A136-1)/70)+1&gt;CROQUIS_DATOS!$C$1525,70,MOD($A136-1,70)+1)-2,2)=0,0,1),IF(MOD(IF(INT(($A136-1)/70)+1&gt;CROQUIS_DATOS!$C$1525,70,MOD($A136-1,70)+1)-2,2)=0,1,0))))=0,(INDEX($E$8:$E$23,MIN(INT(($A136-1)/70)+1,CROQUIS_DATOS!$C$1525))-INDEX($F$8:$F$23,MIN(INT(($A136-1)/70)+1,CROQUIS_DATOS!$C$1525))/2),(INDEX($E$8:$E$23,MIN(INT(($A136-1)/70)+1,CROQUIS_DATOS!$C$1525))+INDEX($F$8:$F$23,MIN(INT(($A136-1)/70)+1,CROQUIS_DATOS!$C$1525))/2)))*CROQUIS_DATOS!$C$1562),-1000)</f>
        <v>18.5775862068965</v>
      </c>
      <c r="O136">
        <f>IF(AND(CROQUIS_DATOS!$C$1472=1,1),(CROQUIS_DATOS!$C$1564+(IF(OR(IF(INT(($A136-1)/70)+1&gt;CROQUIS_DATOS!$C$1525,70,MOD($A136-1,70)+1)=1,IF(INT(($A136-1)/70)+1&gt;CROQUIS_DATOS!$C$1525,70,MOD($A136-1,70)+1)&gt;2*CROQUIS_DATOS!$C$1541+1),CROQUIS_DATOS!$C$1476,INDEX($H$8:$H$41,MIN(INT((IF(INT(($A136-1)/70)+1&gt;CROQUIS_DATOS!$C$1525,70,MOD($A136-1,70)+1)-2)/2)+1,CROQUIS_DATOS!$C$1541))))*CROQUIS_DATOS!$C$1561*CROQUIS_DATOS!$C$1562),-1000)</f>
        <v>40.2068965517241</v>
      </c>
      <c r="P136">
        <f>IF(AND(CROQUIS_DATOS!$C$1472=1,CROQUIS_DATOS!$C$1555=1),(CROQUIS_DATOS!$C$1563+(IF(IF(OR(MOD($A136-1,62)+1=1,IF(CHOOSE(MIN(MAX(MIN(INT(($A136-1)/62)+1,5),1),5),CROQUIS_DATOS!$C$1501,CROQUIS_DATOS!$C$1505,CROQUIS_DATOS!$C$1509,CROQUIS_DATOS!$C$1513,CROQUIS_DATOS!$C$1517)=1,CROQUIS_DATOS!$C$1557,0)=0),0,IF(MOD($A136-1,62)+1&gt;2*IF(CHOOSE(MIN(MAX(MIN(INT(($A136-1)/62)+1,5),1),5),CROQUIS_DATOS!$C$1501,CROQUIS_DATOS!$C$1505,CROQUIS_DATOS!$C$1509,CROQUIS_DATOS!$C$1513,CROQUIS_DATOS!$C$1517)=1,CROQUIS_DATOS!$C$1557,0)+1,IF(MOD(IF(CHOOSE(MIN(MAX(MIN(INT(($A136-1)/62)+1,5),1),5),CROQUIS_DATOS!$C$1501,CROQUIS_DATOS!$C$1505,CROQUIS_DATOS!$C$1509,CROQUIS_DATOS!$C$1513,CROQUIS_DATOS!$C$1517)=1,CROQUIS_DATOS!$C$1557,0),2)=1,1,0),IF(MOD(MIN(INT((MOD($A136-1,62)+1-2)/2)+1,MAX(IF(CHOOSE(MIN(MAX(MIN(INT(($A136-1)/62)+1,5),1),5),CROQUIS_DATOS!$C$1501,CROQUIS_DATOS!$C$1505,CROQUIS_DATOS!$C$1509,CROQUIS_DATOS!$C$1513,CROQUIS_DATOS!$C$1517)=1,CROQUIS_DATOS!$C$1557,0),1)),2)=1,IF(MOD(MOD($A136-1,62)+1-2,2)=0,0,1),IF(MOD(MOD($A136-1,62)+1-2,2)=0,1,0))))=0,(CHOOSE(MIN(MAX(MIN(INT(($A136-1)/62)+1,5),1),5),CROQUIS_DATOS!$C$1499,CROQUIS_DATOS!$C$1503,CROQUIS_DATOS!$C$1507,CROQUIS_DATOS!$C$1511,CROQUIS_DATOS!$C$1515)+IF(CHOOSE(MIN(MAX(MIN(INT(($A136-1)/62)+1,5),1),5),CROQUIS_DATOS!$C$1501,CROQUIS_DATOS!$C$1505,CROQUIS_DATOS!$C$1509,CROQUIS_DATOS!$C$1513,CROQUIS_DATOS!$C$1517)=1,CROQUIS_DATOS!$C$1526,0)),(CHOOSE(MIN(MAX(MIN(INT(($A136-1)/62)+1,5),1),5),CROQUIS_DATOS!$C$1499,CROQUIS_DATOS!$C$1503,CROQUIS_DATOS!$C$1507,CROQUIS_DATOS!$C$1511,CROQUIS_DATOS!$C$1515)+CHOOSE(MIN(MAX(MIN(INT(($A136-1)/62)+1,5),1),5),CROQUIS_DATOS!$C$1500,CROQUIS_DATOS!$C$1504,CROQUIS_DATOS!$C$1508,CROQUIS_DATOS!$C$1512,CROQUIS_DATOS!$C$1516)-IF(CHOOSE(MIN(MAX(MIN(INT(($A136-1)/62)+1,5),1),5),CROQUIS_DATOS!$C$1501,CROQUIS_DATOS!$C$1505,CROQUIS_DATOS!$C$1509,CROQUIS_DATOS!$C$1513,CROQUIS_DATOS!$C$1517)=1,CROQUIS_DATOS!$C$1526,0))))*CROQUIS_DATOS!$C$1562),-1000)</f>
        <v>-1000</v>
      </c>
      <c r="Q136">
        <f>IF(AND(CROQUIS_DATOS!$C$1472=1,CROQUIS_DATOS!$C$1555=1),(CROQUIS_DATOS!$C$1564+(IF(OR(OR(MOD($A136-1,62)+1=1,IF(CHOOSE(MIN(MAX(MIN(INT(($A136-1)/62)+1,5),1),5),CROQUIS_DATOS!$C$1501,CROQUIS_DATOS!$C$1505,CROQUIS_DATOS!$C$1509,CROQUIS_DATOS!$C$1513,CROQUIS_DATOS!$C$1517)=1,CROQUIS_DATOS!$C$1557,0)=0),MOD($A136-1,62)+1&gt;2*IF(CHOOSE(MIN(MAX(MIN(INT(($A136-1)/62)+1,5),1),5),CROQUIS_DATOS!$C$1501,CROQUIS_DATOS!$C$1505,CROQUIS_DATOS!$C$1509,CROQUIS_DATOS!$C$1513,CROQUIS_DATOS!$C$1517)=1,CROQUIS_DATOS!$C$1557,0)+1),CROQUIS_DATOS!$C$1476,MIN(INT((MOD($A136-1,62)+1-2)/2)+1,MAX(IF(CHOOSE(MIN(MAX(MIN(INT(($A136-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6">
        <f>IF(AND(CROQUIS_DATOS!$C$1472=1,1),(CROQUIS_DATOS!$C$1563+(MIN(INT(($A136-1)/2)+1,CROQUIS_DATOS!$C$1558)*CROQUIS_DATOS!$C$1559)*CROQUIS_DATOS!$C$1562),-1000)</f>
        <v>82.2281167108753</v>
      </c>
      <c r="U136">
        <f>IF(AND(CROQUIS_DATOS!$C$1472=1,1),(CROQUIS_DATOS!$C$1564+(IF(INT(($A136-1)/2)+1&gt;CROQUIS_DATOS!$C$1558,IF(MOD(CROQUIS_DATOS!$C$1558,2)=1,CROQUIS_DATOS!$C$1476+CROQUIS_DATOS!$C$1528,CROQUIS_DATOS!$C$1476),IF(IF(MOD(MIN(INT(($A136-1)/2)+1,CROQUIS_DATOS!$C$1558),2)=1,MOD($A136-1,2),1-MOD($A136-1,2))=1,CROQUIS_DATOS!$C$1476+CROQUIS_DATOS!$C$1528,CROQUIS_DATOS!$C$1476)))*CROQUIS_DATOS!$C$1561*CROQUIS_DATOS!$C$1562),-1000)</f>
        <v>43</v>
      </c>
      <c r="BZ136">
        <f>IF(AND(CROQUIS_DATOS!$C$1472=1,CROQUIS_DATOS!$C$1500&gt;0,((CROQUIS_DATOS!$C$1499+CROQUIS_DATOS!$C$1500))-(CROQUIS_DATOS!$C$1499)&gt;0.5,(CROQUIS_DATOS!$C$1476)-(0)&gt;0.5),(CROQUIS_DATOS!$C$1566+(IF(IF(MOD(MIN(INT(($A136-1)/2)+1,MAX(1,INT(((((CROQUIS_DATOS!$C$1499+CROQUIS_DATOS!$C$1500))-(CROQUIS_DATOS!$C$1499))+((CROQUIS_DATOS!$C$1476)*CROQUIS_DATOS!$C$1561-(0)*CROQUIS_DATOS!$C$1561))/CROQUIS_DATOS!$C$1568-0.000001))),2)=1,IF(INT(($A136-1)/2)+1&gt;MAX(1,INT(((((CROQUIS_DATOS!$C$1499+CROQUIS_DATOS!$C$1500))-(CROQUIS_DATOS!$C$1499))+((CROQUIS_DATOS!$C$1476)*CROQUIS_DATOS!$C$1561-(0)*CROQUIS_DATOS!$C$1561))/CROQUIS_DATOS!$C$1568-0.000001)),1,MOD($A136-1,2)),1-IF(INT(($A136-1)/2)+1&gt;MAX(1,INT(((((CROQUIS_DATOS!$C$1499+CROQUIS_DATOS!$C$1500))-(CROQUIS_DATOS!$C$1499))+((CROQUIS_DATOS!$C$1476)*CROQUIS_DATOS!$C$1561-(0)*CROQUIS_DATOS!$C$1561))/CROQUIS_DATOS!$C$1568-0.000001)),1,MOD($A136-1,2)))=1,MIN((CROQUIS_DATOS!$C$1476)*CROQUIS_DATOS!$C$1561,((CROQUIS_DATOS!$C$1499+CROQUIS_DATOS!$C$1500)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6">
        <f>IF(AND(CROQUIS_DATOS!$C$1472=1,CROQUIS_DATOS!$C$1500&gt;0,((CROQUIS_DATOS!$C$1499+CROQUIS_DATOS!$C$1500))-(CROQUIS_DATOS!$C$1499)&gt;0.5,(CROQUIS_DATOS!$C$1476)-(0)&gt;0.5),(CROQUIS_DATOS!$C$1567+(IF(IF(MOD(MIN(INT(($A136-1)/2)+1,MAX(1,INT(((((CROQUIS_DATOS!$C$1499+CROQUIS_DATOS!$C$1500))-(CROQUIS_DATOS!$C$1499))+((CROQUIS_DATOS!$C$1476)*CROQUIS_DATOS!$C$1561-(0)*CROQUIS_DATOS!$C$1561))/CROQUIS_DATOS!$C$1568-0.000001))),2)=1,IF(INT(($A136-1)/2)+1&gt;MAX(1,INT(((((CROQUIS_DATOS!$C$1499+CROQUIS_DATOS!$C$1500))-(CROQUIS_DATOS!$C$1499))+((CROQUIS_DATOS!$C$1476)*CROQUIS_DATOS!$C$1561-(0)*CROQUIS_DATOS!$C$1561))/CROQUIS_DATOS!$C$1568-0.000001)),1,MOD($A136-1,2)),1-IF(INT(($A136-1)/2)+1&gt;MAX(1,INT(((((CROQUIS_DATOS!$C$1499+CROQUIS_DATOS!$C$1500))-(CROQUIS_DATOS!$C$1499))+((CROQUIS_DATOS!$C$1476)*CROQUIS_DATOS!$C$1561-(0)*CROQUIS_DATOS!$C$1561))/CROQUIS_DATOS!$C$1568-0.000001)),1,MOD($A136-1,2)))=1,MIN((CROQUIS_DATOS!$C$1476)*CROQUIS_DATOS!$C$1561,((CROQUIS_DATOS!$C$1499+CROQUIS_DATOS!$C$1500)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6">
        <f>IF(AND(CROQUIS_DATOS!$C$1472=1,CROQUIS_DATOS!$C$1504&gt;0,((CROQUIS_DATOS!$C$1503+CROQUIS_DATOS!$C$1504))-(CROQUIS_DATOS!$C$1503)&gt;0.5,(CROQUIS_DATOS!$C$1476)-(0)&gt;0.5),(CROQUIS_DATOS!$C$1566+(IF(IF(MOD(MIN(INT(($A136-1)/2)+1,MAX(1,INT(((((CROQUIS_DATOS!$C$1503+CROQUIS_DATOS!$C$1504))-(CROQUIS_DATOS!$C$1503))+((CROQUIS_DATOS!$C$1476)*CROQUIS_DATOS!$C$1561-(0)*CROQUIS_DATOS!$C$1561))/CROQUIS_DATOS!$C$1568-0.000001))),2)=1,IF(INT(($A136-1)/2)+1&gt;MAX(1,INT(((((CROQUIS_DATOS!$C$1503+CROQUIS_DATOS!$C$1504))-(CROQUIS_DATOS!$C$1503))+((CROQUIS_DATOS!$C$1476)*CROQUIS_DATOS!$C$1561-(0)*CROQUIS_DATOS!$C$1561))/CROQUIS_DATOS!$C$1568-0.000001)),1,MOD($A136-1,2)),1-IF(INT(($A136-1)/2)+1&gt;MAX(1,INT(((((CROQUIS_DATOS!$C$1503+CROQUIS_DATOS!$C$1504))-(CROQUIS_DATOS!$C$1503))+((CROQUIS_DATOS!$C$1476)*CROQUIS_DATOS!$C$1561-(0)*CROQUIS_DATOS!$C$1561))/CROQUIS_DATOS!$C$1568-0.000001)),1,MOD($A136-1,2)))=1,MIN((CROQUIS_DATOS!$C$1476)*CROQUIS_DATOS!$C$1561,((CROQUIS_DATOS!$C$1503+CROQUIS_DATOS!$C$1504)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6">
        <f>IF(AND(CROQUIS_DATOS!$C$1472=1,CROQUIS_DATOS!$C$1504&gt;0,((CROQUIS_DATOS!$C$1503+CROQUIS_DATOS!$C$1504))-(CROQUIS_DATOS!$C$1503)&gt;0.5,(CROQUIS_DATOS!$C$1476)-(0)&gt;0.5),(CROQUIS_DATOS!$C$1567+(IF(IF(MOD(MIN(INT(($A136-1)/2)+1,MAX(1,INT(((((CROQUIS_DATOS!$C$1503+CROQUIS_DATOS!$C$1504))-(CROQUIS_DATOS!$C$1503))+((CROQUIS_DATOS!$C$1476)*CROQUIS_DATOS!$C$1561-(0)*CROQUIS_DATOS!$C$1561))/CROQUIS_DATOS!$C$1568-0.000001))),2)=1,IF(INT(($A136-1)/2)+1&gt;MAX(1,INT(((((CROQUIS_DATOS!$C$1503+CROQUIS_DATOS!$C$1504))-(CROQUIS_DATOS!$C$1503))+((CROQUIS_DATOS!$C$1476)*CROQUIS_DATOS!$C$1561-(0)*CROQUIS_DATOS!$C$1561))/CROQUIS_DATOS!$C$1568-0.000001)),1,MOD($A136-1,2)),1-IF(INT(($A136-1)/2)+1&gt;MAX(1,INT(((((CROQUIS_DATOS!$C$1503+CROQUIS_DATOS!$C$1504))-(CROQUIS_DATOS!$C$1503))+((CROQUIS_DATOS!$C$1476)*CROQUIS_DATOS!$C$1561-(0)*CROQUIS_DATOS!$C$1561))/CROQUIS_DATOS!$C$1568-0.000001)),1,MOD($A136-1,2)))=1,MIN((CROQUIS_DATOS!$C$1476)*CROQUIS_DATOS!$C$1561,((CROQUIS_DATOS!$C$1503+CROQUIS_DATOS!$C$1504)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6">
        <f>IF(AND(CROQUIS_DATOS!$C$1472=1,CROQUIS_DATOS!$C$1508&gt;0,((CROQUIS_DATOS!$C$1507+CROQUIS_DATOS!$C$1508))-(CROQUIS_DATOS!$C$1507)&gt;0.5,(CROQUIS_DATOS!$C$1476)-(0)&gt;0.5),(CROQUIS_DATOS!$C$1566+(IF(IF(MOD(MIN(INT(($A136-1)/2)+1,MAX(1,INT(((((CROQUIS_DATOS!$C$1507+CROQUIS_DATOS!$C$1508))-(CROQUIS_DATOS!$C$1507))+((CROQUIS_DATOS!$C$1476)*CROQUIS_DATOS!$C$1561-(0)*CROQUIS_DATOS!$C$1561))/CROQUIS_DATOS!$C$1568-0.000001))),2)=1,IF(INT(($A136-1)/2)+1&gt;MAX(1,INT(((((CROQUIS_DATOS!$C$1507+CROQUIS_DATOS!$C$1508))-(CROQUIS_DATOS!$C$1507))+((CROQUIS_DATOS!$C$1476)*CROQUIS_DATOS!$C$1561-(0)*CROQUIS_DATOS!$C$1561))/CROQUIS_DATOS!$C$1568-0.000001)),1,MOD($A136-1,2)),1-IF(INT(($A136-1)/2)+1&gt;MAX(1,INT(((((CROQUIS_DATOS!$C$1507+CROQUIS_DATOS!$C$1508))-(CROQUIS_DATOS!$C$1507))+((CROQUIS_DATOS!$C$1476)*CROQUIS_DATOS!$C$1561-(0)*CROQUIS_DATOS!$C$1561))/CROQUIS_DATOS!$C$1568-0.000001)),1,MOD($A136-1,2)))=1,MIN((CROQUIS_DATOS!$C$1476)*CROQUIS_DATOS!$C$1561,((CROQUIS_DATOS!$C$1507+CROQUIS_DATOS!$C$1508)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6">
        <f>IF(AND(CROQUIS_DATOS!$C$1472=1,CROQUIS_DATOS!$C$1508&gt;0,((CROQUIS_DATOS!$C$1507+CROQUIS_DATOS!$C$1508))-(CROQUIS_DATOS!$C$1507)&gt;0.5,(CROQUIS_DATOS!$C$1476)-(0)&gt;0.5),(CROQUIS_DATOS!$C$1567+(IF(IF(MOD(MIN(INT(($A136-1)/2)+1,MAX(1,INT(((((CROQUIS_DATOS!$C$1507+CROQUIS_DATOS!$C$1508))-(CROQUIS_DATOS!$C$1507))+((CROQUIS_DATOS!$C$1476)*CROQUIS_DATOS!$C$1561-(0)*CROQUIS_DATOS!$C$1561))/CROQUIS_DATOS!$C$1568-0.000001))),2)=1,IF(INT(($A136-1)/2)+1&gt;MAX(1,INT(((((CROQUIS_DATOS!$C$1507+CROQUIS_DATOS!$C$1508))-(CROQUIS_DATOS!$C$1507))+((CROQUIS_DATOS!$C$1476)*CROQUIS_DATOS!$C$1561-(0)*CROQUIS_DATOS!$C$1561))/CROQUIS_DATOS!$C$1568-0.000001)),1,MOD($A136-1,2)),1-IF(INT(($A136-1)/2)+1&gt;MAX(1,INT(((((CROQUIS_DATOS!$C$1507+CROQUIS_DATOS!$C$1508))-(CROQUIS_DATOS!$C$1507))+((CROQUIS_DATOS!$C$1476)*CROQUIS_DATOS!$C$1561-(0)*CROQUIS_DATOS!$C$1561))/CROQUIS_DATOS!$C$1568-0.000001)),1,MOD($A136-1,2)))=1,MIN((CROQUIS_DATOS!$C$1476)*CROQUIS_DATOS!$C$1561,((CROQUIS_DATOS!$C$1507+CROQUIS_DATOS!$C$1508)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6">
        <f>IF(AND(CROQUIS_DATOS!$C$1472=1,CROQUIS_DATOS!$C$1512&gt;0,((CROQUIS_DATOS!$C$1511+CROQUIS_DATOS!$C$1512))-(CROQUIS_DATOS!$C$1511)&gt;0.5,(CROQUIS_DATOS!$C$1476)-(0)&gt;0.5),(CROQUIS_DATOS!$C$1566+(IF(IF(MOD(MIN(INT(($A136-1)/2)+1,MAX(1,INT(((((CROQUIS_DATOS!$C$1511+CROQUIS_DATOS!$C$1512))-(CROQUIS_DATOS!$C$1511))+((CROQUIS_DATOS!$C$1476)*CROQUIS_DATOS!$C$1561-(0)*CROQUIS_DATOS!$C$1561))/CROQUIS_DATOS!$C$1568-0.000001))),2)=1,IF(INT(($A136-1)/2)+1&gt;MAX(1,INT(((((CROQUIS_DATOS!$C$1511+CROQUIS_DATOS!$C$1512))-(CROQUIS_DATOS!$C$1511))+((CROQUIS_DATOS!$C$1476)*CROQUIS_DATOS!$C$1561-(0)*CROQUIS_DATOS!$C$1561))/CROQUIS_DATOS!$C$1568-0.000001)),1,MOD($A136-1,2)),1-IF(INT(($A136-1)/2)+1&gt;MAX(1,INT(((((CROQUIS_DATOS!$C$1511+CROQUIS_DATOS!$C$1512))-(CROQUIS_DATOS!$C$1511))+((CROQUIS_DATOS!$C$1476)*CROQUIS_DATOS!$C$1561-(0)*CROQUIS_DATOS!$C$1561))/CROQUIS_DATOS!$C$1568-0.000001)),1,MOD($A136-1,2)))=1,MIN((CROQUIS_DATOS!$C$1476)*CROQUIS_DATOS!$C$1561,((CROQUIS_DATOS!$C$1511+CROQUIS_DATOS!$C$1512)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6">
        <f>IF(AND(CROQUIS_DATOS!$C$1472=1,CROQUIS_DATOS!$C$1512&gt;0,((CROQUIS_DATOS!$C$1511+CROQUIS_DATOS!$C$1512))-(CROQUIS_DATOS!$C$1511)&gt;0.5,(CROQUIS_DATOS!$C$1476)-(0)&gt;0.5),(CROQUIS_DATOS!$C$1567+(IF(IF(MOD(MIN(INT(($A136-1)/2)+1,MAX(1,INT(((((CROQUIS_DATOS!$C$1511+CROQUIS_DATOS!$C$1512))-(CROQUIS_DATOS!$C$1511))+((CROQUIS_DATOS!$C$1476)*CROQUIS_DATOS!$C$1561-(0)*CROQUIS_DATOS!$C$1561))/CROQUIS_DATOS!$C$1568-0.000001))),2)=1,IF(INT(($A136-1)/2)+1&gt;MAX(1,INT(((((CROQUIS_DATOS!$C$1511+CROQUIS_DATOS!$C$1512))-(CROQUIS_DATOS!$C$1511))+((CROQUIS_DATOS!$C$1476)*CROQUIS_DATOS!$C$1561-(0)*CROQUIS_DATOS!$C$1561))/CROQUIS_DATOS!$C$1568-0.000001)),1,MOD($A136-1,2)),1-IF(INT(($A136-1)/2)+1&gt;MAX(1,INT(((((CROQUIS_DATOS!$C$1511+CROQUIS_DATOS!$C$1512))-(CROQUIS_DATOS!$C$1511))+((CROQUIS_DATOS!$C$1476)*CROQUIS_DATOS!$C$1561-(0)*CROQUIS_DATOS!$C$1561))/CROQUIS_DATOS!$C$1568-0.000001)),1,MOD($A136-1,2)))=1,MIN((CROQUIS_DATOS!$C$1476)*CROQUIS_DATOS!$C$1561,((CROQUIS_DATOS!$C$1511+CROQUIS_DATOS!$C$1512)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6">
        <f>IF(AND(CROQUIS_DATOS!$C$1472=1,CROQUIS_DATOS!$C$1516&gt;0,((CROQUIS_DATOS!$C$1515+CROQUIS_DATOS!$C$1516))-(CROQUIS_DATOS!$C$1515)&gt;0.5,(CROQUIS_DATOS!$C$1476)-(0)&gt;0.5),(CROQUIS_DATOS!$C$1566+(IF(IF(MOD(MIN(INT(($A136-1)/2)+1,MAX(1,INT(((((CROQUIS_DATOS!$C$1515+CROQUIS_DATOS!$C$1516))-(CROQUIS_DATOS!$C$1515))+((CROQUIS_DATOS!$C$1476)*CROQUIS_DATOS!$C$1561-(0)*CROQUIS_DATOS!$C$1561))/CROQUIS_DATOS!$C$1568-0.000001))),2)=1,IF(INT(($A136-1)/2)+1&gt;MAX(1,INT(((((CROQUIS_DATOS!$C$1515+CROQUIS_DATOS!$C$1516))-(CROQUIS_DATOS!$C$1515))+((CROQUIS_DATOS!$C$1476)*CROQUIS_DATOS!$C$1561-(0)*CROQUIS_DATOS!$C$1561))/CROQUIS_DATOS!$C$1568-0.000001)),1,MOD($A136-1,2)),1-IF(INT(($A136-1)/2)+1&gt;MAX(1,INT(((((CROQUIS_DATOS!$C$1515+CROQUIS_DATOS!$C$1516))-(CROQUIS_DATOS!$C$1515))+((CROQUIS_DATOS!$C$1476)*CROQUIS_DATOS!$C$1561-(0)*CROQUIS_DATOS!$C$1561))/CROQUIS_DATOS!$C$1568-0.000001)),1,MOD($A136-1,2)))=1,MIN((CROQUIS_DATOS!$C$1476)*CROQUIS_DATOS!$C$1561,((CROQUIS_DATOS!$C$1515+CROQUIS_DATOS!$C$1516)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6">
        <f>IF(AND(CROQUIS_DATOS!$C$1472=1,CROQUIS_DATOS!$C$1516&gt;0,((CROQUIS_DATOS!$C$1515+CROQUIS_DATOS!$C$1516))-(CROQUIS_DATOS!$C$1515)&gt;0.5,(CROQUIS_DATOS!$C$1476)-(0)&gt;0.5),(CROQUIS_DATOS!$C$1567+(IF(IF(MOD(MIN(INT(($A136-1)/2)+1,MAX(1,INT(((((CROQUIS_DATOS!$C$1515+CROQUIS_DATOS!$C$1516))-(CROQUIS_DATOS!$C$1515))+((CROQUIS_DATOS!$C$1476)*CROQUIS_DATOS!$C$1561-(0)*CROQUIS_DATOS!$C$1561))/CROQUIS_DATOS!$C$1568-0.000001))),2)=1,IF(INT(($A136-1)/2)+1&gt;MAX(1,INT(((((CROQUIS_DATOS!$C$1515+CROQUIS_DATOS!$C$1516))-(CROQUIS_DATOS!$C$1515))+((CROQUIS_DATOS!$C$1476)*CROQUIS_DATOS!$C$1561-(0)*CROQUIS_DATOS!$C$1561))/CROQUIS_DATOS!$C$1568-0.000001)),1,MOD($A136-1,2)),1-IF(INT(($A136-1)/2)+1&gt;MAX(1,INT(((((CROQUIS_DATOS!$C$1515+CROQUIS_DATOS!$C$1516))-(CROQUIS_DATOS!$C$1515))+((CROQUIS_DATOS!$C$1476)*CROQUIS_DATOS!$C$1561-(0)*CROQUIS_DATOS!$C$1561))/CROQUIS_DATOS!$C$1568-0.000001)),1,MOD($A136-1,2)))=1,MIN((CROQUIS_DATOS!$C$1476)*CROQUIS_DATOS!$C$1561,((CROQUIS_DATOS!$C$1515+CROQUIS_DATOS!$C$1516)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6">
        <f>IF(AND(CROQUIS_DATOS!$C$1472=1,CROQUIS_DATOS!$C$1478&gt;=1,((CROQUIS_DATOS!$C$1479+CROQUIS_DATOS!$C$1480))-(CROQUIS_DATOS!$C$1479)&gt;0.5,(CROQUIS_DATOS!$C$1481)-(0)&gt;0.5),(CROQUIS_DATOS!$C$1566+(IF(IF(MOD(MIN(INT(($A136-1)/2)+1,MAX(1,INT(((((CROQUIS_DATOS!$C$1479+CROQUIS_DATOS!$C$1480))-(CROQUIS_DATOS!$C$1479))+((CROQUIS_DATOS!$C$1481)*CROQUIS_DATOS!$C$1561-(0)*CROQUIS_DATOS!$C$1561))/CROQUIS_DATOS!$C$1568-0.000001))),2)=1,IF(INT(($A136-1)/2)+1&gt;MAX(1,INT(((((CROQUIS_DATOS!$C$1479+CROQUIS_DATOS!$C$1480))-(CROQUIS_DATOS!$C$1479))+((CROQUIS_DATOS!$C$1481)*CROQUIS_DATOS!$C$1561-(0)*CROQUIS_DATOS!$C$1561))/CROQUIS_DATOS!$C$1568-0.000001)),1,MOD($A136-1,2)),1-IF(INT(($A136-1)/2)+1&gt;MAX(1,INT(((((CROQUIS_DATOS!$C$1479+CROQUIS_DATOS!$C$1480))-(CROQUIS_DATOS!$C$1479))+((CROQUIS_DATOS!$C$1481)*CROQUIS_DATOS!$C$1561-(0)*CROQUIS_DATOS!$C$1561))/CROQUIS_DATOS!$C$1568-0.000001)),1,MOD($A136-1,2)))=1,MIN((CROQUIS_DATOS!$C$1481)*CROQUIS_DATOS!$C$1561,((CROQUIS_DATOS!$C$1479+CROQUIS_DATOS!$C$1480)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6">
        <f>IF(AND(CROQUIS_DATOS!$C$1472=1,CROQUIS_DATOS!$C$1478&gt;=1,((CROQUIS_DATOS!$C$1479+CROQUIS_DATOS!$C$1480))-(CROQUIS_DATOS!$C$1479)&gt;0.5,(CROQUIS_DATOS!$C$1481)-(0)&gt;0.5),(CROQUIS_DATOS!$C$1567+(IF(IF(MOD(MIN(INT(($A136-1)/2)+1,MAX(1,INT(((((CROQUIS_DATOS!$C$1479+CROQUIS_DATOS!$C$1480))-(CROQUIS_DATOS!$C$1479))+((CROQUIS_DATOS!$C$1481)*CROQUIS_DATOS!$C$1561-(0)*CROQUIS_DATOS!$C$1561))/CROQUIS_DATOS!$C$1568-0.000001))),2)=1,IF(INT(($A136-1)/2)+1&gt;MAX(1,INT(((((CROQUIS_DATOS!$C$1479+CROQUIS_DATOS!$C$1480))-(CROQUIS_DATOS!$C$1479))+((CROQUIS_DATOS!$C$1481)*CROQUIS_DATOS!$C$1561-(0)*CROQUIS_DATOS!$C$1561))/CROQUIS_DATOS!$C$1568-0.000001)),1,MOD($A136-1,2)),1-IF(INT(($A136-1)/2)+1&gt;MAX(1,INT(((((CROQUIS_DATOS!$C$1479+CROQUIS_DATOS!$C$1480))-(CROQUIS_DATOS!$C$1479))+((CROQUIS_DATOS!$C$1481)*CROQUIS_DATOS!$C$1561-(0)*CROQUIS_DATOS!$C$1561))/CROQUIS_DATOS!$C$1568-0.000001)),1,MOD($A136-1,2)))=1,MIN((CROQUIS_DATOS!$C$1481)*CROQUIS_DATOS!$C$1561,((CROQUIS_DATOS!$C$1479+CROQUIS_DATOS!$C$1480)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6">
        <f>IF(AND(CROQUIS_DATOS!$C$1472=1,CROQUIS_DATOS!$C$1478&gt;=1,((CROQUIS_DATOS!$C$1479+CROQUIS_DATOS!$C$1480))-(CROQUIS_DATOS!$C$1479)&gt;0.5,(CROQUIS_DATOS!$C$1476)-((CROQUIS_DATOS!$C$1481+CROQUIS_DATOS!$C$1482))&gt;0.5),(CROQUIS_DATOS!$C$1566+(IF(IF(MOD(MIN(INT(($A136-1)/2)+1,MAX(1,INT(((((CROQUIS_DATOS!$C$1479+CROQUIS_DATOS!$C$1480))-(CROQUIS_DATOS!$C$1479))+((CROQUIS_DATOS!$C$1476)*CROQUIS_DATOS!$C$1561-((CROQUIS_DATOS!$C$1481+CROQUIS_DATOS!$C$1482))*CROQUIS_DATOS!$C$1561))/CROQUIS_DATOS!$C$1568-0.000001))),2)=1,IF(INT(($A136-1)/2)+1&gt;MAX(1,INT(((((CROQUIS_DATOS!$C$1479+CROQUIS_DATOS!$C$1480))-(CROQUIS_DATOS!$C$1479))+((CROQUIS_DATOS!$C$1476)*CROQUIS_DATOS!$C$1561-((CROQUIS_DATOS!$C$1481+CROQUIS_DATOS!$C$1482))*CROQUIS_DATOS!$C$1561))/CROQUIS_DATOS!$C$1568-0.000001)),1,MOD($A136-1,2)),1-IF(INT(($A136-1)/2)+1&gt;MAX(1,INT(((((CROQUIS_DATOS!$C$1479+CROQUIS_DATOS!$C$1480))-(CROQUIS_DATOS!$C$1479))+((CROQUIS_DATOS!$C$1476)*CROQUIS_DATOS!$C$1561-((CROQUIS_DATOS!$C$1481+CROQUIS_DATOS!$C$1482))*CROQUIS_DATOS!$C$1561))/CROQUIS_DATOS!$C$1568-0.000001)),1,MOD($A136-1,2)))=1,MIN((CROQUIS_DATOS!$C$1476)*CROQUIS_DATOS!$C$1561,((CROQUIS_DATOS!$C$1479+CROQUIS_DATOS!$C$1480)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6">
        <f>IF(AND(CROQUIS_DATOS!$C$1472=1,CROQUIS_DATOS!$C$1478&gt;=1,((CROQUIS_DATOS!$C$1479+CROQUIS_DATOS!$C$1480))-(CROQUIS_DATOS!$C$1479)&gt;0.5,(CROQUIS_DATOS!$C$1476)-((CROQUIS_DATOS!$C$1481+CROQUIS_DATOS!$C$1482))&gt;0.5),(CROQUIS_DATOS!$C$1567+(IF(IF(MOD(MIN(INT(($A136-1)/2)+1,MAX(1,INT(((((CROQUIS_DATOS!$C$1479+CROQUIS_DATOS!$C$1480))-(CROQUIS_DATOS!$C$1479))+((CROQUIS_DATOS!$C$1476)*CROQUIS_DATOS!$C$1561-((CROQUIS_DATOS!$C$1481+CROQUIS_DATOS!$C$1482))*CROQUIS_DATOS!$C$1561))/CROQUIS_DATOS!$C$1568-0.000001))),2)=1,IF(INT(($A136-1)/2)+1&gt;MAX(1,INT(((((CROQUIS_DATOS!$C$1479+CROQUIS_DATOS!$C$1480))-(CROQUIS_DATOS!$C$1479))+((CROQUIS_DATOS!$C$1476)*CROQUIS_DATOS!$C$1561-((CROQUIS_DATOS!$C$1481+CROQUIS_DATOS!$C$1482))*CROQUIS_DATOS!$C$1561))/CROQUIS_DATOS!$C$1568-0.000001)),1,MOD($A136-1,2)),1-IF(INT(($A136-1)/2)+1&gt;MAX(1,INT(((((CROQUIS_DATOS!$C$1479+CROQUIS_DATOS!$C$1480))-(CROQUIS_DATOS!$C$1479))+((CROQUIS_DATOS!$C$1476)*CROQUIS_DATOS!$C$1561-((CROQUIS_DATOS!$C$1481+CROQUIS_DATOS!$C$1482))*CROQUIS_DATOS!$C$1561))/CROQUIS_DATOS!$C$1568-0.000001)),1,MOD($A136-1,2)))=1,MIN((CROQUIS_DATOS!$C$1476)*CROQUIS_DATOS!$C$1561,((CROQUIS_DATOS!$C$1479+CROQUIS_DATOS!$C$1480)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6">
        <f>IF(AND(CROQUIS_DATOS!$C$1472=1,CROQUIS_DATOS!$C$1478&gt;=2,((CROQUIS_DATOS!$C$1484+CROQUIS_DATOS!$C$1485))-(CROQUIS_DATOS!$C$1484)&gt;0.5,(CROQUIS_DATOS!$C$1486)-(0)&gt;0.5),(CROQUIS_DATOS!$C$1566+(IF(IF(MOD(MIN(INT(($A136-1)/2)+1,MAX(1,INT(((((CROQUIS_DATOS!$C$1484+CROQUIS_DATOS!$C$1485))-(CROQUIS_DATOS!$C$1484))+((CROQUIS_DATOS!$C$1486)*CROQUIS_DATOS!$C$1561-(0)*CROQUIS_DATOS!$C$1561))/CROQUIS_DATOS!$C$1568-0.000001))),2)=1,IF(INT(($A136-1)/2)+1&gt;MAX(1,INT(((((CROQUIS_DATOS!$C$1484+CROQUIS_DATOS!$C$1485))-(CROQUIS_DATOS!$C$1484))+((CROQUIS_DATOS!$C$1486)*CROQUIS_DATOS!$C$1561-(0)*CROQUIS_DATOS!$C$1561))/CROQUIS_DATOS!$C$1568-0.000001)),1,MOD($A136-1,2)),1-IF(INT(($A136-1)/2)+1&gt;MAX(1,INT(((((CROQUIS_DATOS!$C$1484+CROQUIS_DATOS!$C$1485))-(CROQUIS_DATOS!$C$1484))+((CROQUIS_DATOS!$C$1486)*CROQUIS_DATOS!$C$1561-(0)*CROQUIS_DATOS!$C$1561))/CROQUIS_DATOS!$C$1568-0.000001)),1,MOD($A136-1,2)))=1,MIN((CROQUIS_DATOS!$C$1486)*CROQUIS_DATOS!$C$1561,((CROQUIS_DATOS!$C$1484+CROQUIS_DATOS!$C$1485)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6">
        <f>IF(AND(CROQUIS_DATOS!$C$1472=1,CROQUIS_DATOS!$C$1478&gt;=2,((CROQUIS_DATOS!$C$1484+CROQUIS_DATOS!$C$1485))-(CROQUIS_DATOS!$C$1484)&gt;0.5,(CROQUIS_DATOS!$C$1486)-(0)&gt;0.5),(CROQUIS_DATOS!$C$1567+(IF(IF(MOD(MIN(INT(($A136-1)/2)+1,MAX(1,INT(((((CROQUIS_DATOS!$C$1484+CROQUIS_DATOS!$C$1485))-(CROQUIS_DATOS!$C$1484))+((CROQUIS_DATOS!$C$1486)*CROQUIS_DATOS!$C$1561-(0)*CROQUIS_DATOS!$C$1561))/CROQUIS_DATOS!$C$1568-0.000001))),2)=1,IF(INT(($A136-1)/2)+1&gt;MAX(1,INT(((((CROQUIS_DATOS!$C$1484+CROQUIS_DATOS!$C$1485))-(CROQUIS_DATOS!$C$1484))+((CROQUIS_DATOS!$C$1486)*CROQUIS_DATOS!$C$1561-(0)*CROQUIS_DATOS!$C$1561))/CROQUIS_DATOS!$C$1568-0.000001)),1,MOD($A136-1,2)),1-IF(INT(($A136-1)/2)+1&gt;MAX(1,INT(((((CROQUIS_DATOS!$C$1484+CROQUIS_DATOS!$C$1485))-(CROQUIS_DATOS!$C$1484))+((CROQUIS_DATOS!$C$1486)*CROQUIS_DATOS!$C$1561-(0)*CROQUIS_DATOS!$C$1561))/CROQUIS_DATOS!$C$1568-0.000001)),1,MOD($A136-1,2)))=1,MIN((CROQUIS_DATOS!$C$1486)*CROQUIS_DATOS!$C$1561,((CROQUIS_DATOS!$C$1484+CROQUIS_DATOS!$C$1485)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6">
        <f>IF(AND(CROQUIS_DATOS!$C$1472=1,CROQUIS_DATOS!$C$1478&gt;=2,((CROQUIS_DATOS!$C$1484+CROQUIS_DATOS!$C$1485))-(CROQUIS_DATOS!$C$1484)&gt;0.5,(CROQUIS_DATOS!$C$1476)-((CROQUIS_DATOS!$C$1486+CROQUIS_DATOS!$C$1487))&gt;0.5),(CROQUIS_DATOS!$C$1566+(IF(IF(MOD(MIN(INT(($A136-1)/2)+1,MAX(1,INT(((((CROQUIS_DATOS!$C$1484+CROQUIS_DATOS!$C$1485))-(CROQUIS_DATOS!$C$1484))+((CROQUIS_DATOS!$C$1476)*CROQUIS_DATOS!$C$1561-((CROQUIS_DATOS!$C$1486+CROQUIS_DATOS!$C$1487))*CROQUIS_DATOS!$C$1561))/CROQUIS_DATOS!$C$1568-0.000001))),2)=1,IF(INT(($A136-1)/2)+1&gt;MAX(1,INT(((((CROQUIS_DATOS!$C$1484+CROQUIS_DATOS!$C$1485))-(CROQUIS_DATOS!$C$1484))+((CROQUIS_DATOS!$C$1476)*CROQUIS_DATOS!$C$1561-((CROQUIS_DATOS!$C$1486+CROQUIS_DATOS!$C$1487))*CROQUIS_DATOS!$C$1561))/CROQUIS_DATOS!$C$1568-0.000001)),1,MOD($A136-1,2)),1-IF(INT(($A136-1)/2)+1&gt;MAX(1,INT(((((CROQUIS_DATOS!$C$1484+CROQUIS_DATOS!$C$1485))-(CROQUIS_DATOS!$C$1484))+((CROQUIS_DATOS!$C$1476)*CROQUIS_DATOS!$C$1561-((CROQUIS_DATOS!$C$1486+CROQUIS_DATOS!$C$1487))*CROQUIS_DATOS!$C$1561))/CROQUIS_DATOS!$C$1568-0.000001)),1,MOD($A136-1,2)))=1,MIN((CROQUIS_DATOS!$C$1476)*CROQUIS_DATOS!$C$1561,((CROQUIS_DATOS!$C$1484+CROQUIS_DATOS!$C$1485)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6">
        <f>IF(AND(CROQUIS_DATOS!$C$1472=1,CROQUIS_DATOS!$C$1478&gt;=2,((CROQUIS_DATOS!$C$1484+CROQUIS_DATOS!$C$1485))-(CROQUIS_DATOS!$C$1484)&gt;0.5,(CROQUIS_DATOS!$C$1476)-((CROQUIS_DATOS!$C$1486+CROQUIS_DATOS!$C$1487))&gt;0.5),(CROQUIS_DATOS!$C$1567+(IF(IF(MOD(MIN(INT(($A136-1)/2)+1,MAX(1,INT(((((CROQUIS_DATOS!$C$1484+CROQUIS_DATOS!$C$1485))-(CROQUIS_DATOS!$C$1484))+((CROQUIS_DATOS!$C$1476)*CROQUIS_DATOS!$C$1561-((CROQUIS_DATOS!$C$1486+CROQUIS_DATOS!$C$1487))*CROQUIS_DATOS!$C$1561))/CROQUIS_DATOS!$C$1568-0.000001))),2)=1,IF(INT(($A136-1)/2)+1&gt;MAX(1,INT(((((CROQUIS_DATOS!$C$1484+CROQUIS_DATOS!$C$1485))-(CROQUIS_DATOS!$C$1484))+((CROQUIS_DATOS!$C$1476)*CROQUIS_DATOS!$C$1561-((CROQUIS_DATOS!$C$1486+CROQUIS_DATOS!$C$1487))*CROQUIS_DATOS!$C$1561))/CROQUIS_DATOS!$C$1568-0.000001)),1,MOD($A136-1,2)),1-IF(INT(($A136-1)/2)+1&gt;MAX(1,INT(((((CROQUIS_DATOS!$C$1484+CROQUIS_DATOS!$C$1485))-(CROQUIS_DATOS!$C$1484))+((CROQUIS_DATOS!$C$1476)*CROQUIS_DATOS!$C$1561-((CROQUIS_DATOS!$C$1486+CROQUIS_DATOS!$C$1487))*CROQUIS_DATOS!$C$1561))/CROQUIS_DATOS!$C$1568-0.000001)),1,MOD($A136-1,2)))=1,MIN((CROQUIS_DATOS!$C$1476)*CROQUIS_DATOS!$C$1561,((CROQUIS_DATOS!$C$1484+CROQUIS_DATOS!$C$1485)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6">
        <f>IF(AND(CROQUIS_DATOS!$C$1472=1,CROQUIS_DATOS!$C$1478&gt;=3,((CROQUIS_DATOS!$C$1489+CROQUIS_DATOS!$C$1490))-(CROQUIS_DATOS!$C$1489)&gt;0.5,(CROQUIS_DATOS!$C$1491)-(0)&gt;0.5),(CROQUIS_DATOS!$C$1566+(IF(IF(MOD(MIN(INT(($A136-1)/2)+1,MAX(1,INT(((((CROQUIS_DATOS!$C$1489+CROQUIS_DATOS!$C$1490))-(CROQUIS_DATOS!$C$1489))+((CROQUIS_DATOS!$C$1491)*CROQUIS_DATOS!$C$1561-(0)*CROQUIS_DATOS!$C$1561))/CROQUIS_DATOS!$C$1568-0.000001))),2)=1,IF(INT(($A136-1)/2)+1&gt;MAX(1,INT(((((CROQUIS_DATOS!$C$1489+CROQUIS_DATOS!$C$1490))-(CROQUIS_DATOS!$C$1489))+((CROQUIS_DATOS!$C$1491)*CROQUIS_DATOS!$C$1561-(0)*CROQUIS_DATOS!$C$1561))/CROQUIS_DATOS!$C$1568-0.000001)),1,MOD($A136-1,2)),1-IF(INT(($A136-1)/2)+1&gt;MAX(1,INT(((((CROQUIS_DATOS!$C$1489+CROQUIS_DATOS!$C$1490))-(CROQUIS_DATOS!$C$1489))+((CROQUIS_DATOS!$C$1491)*CROQUIS_DATOS!$C$1561-(0)*CROQUIS_DATOS!$C$1561))/CROQUIS_DATOS!$C$1568-0.000001)),1,MOD($A136-1,2)))=1,MIN((CROQUIS_DATOS!$C$1491)*CROQUIS_DATOS!$C$1561,((CROQUIS_DATOS!$C$1489+CROQUIS_DATOS!$C$1490)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6">
        <f>IF(AND(CROQUIS_DATOS!$C$1472=1,CROQUIS_DATOS!$C$1478&gt;=3,((CROQUIS_DATOS!$C$1489+CROQUIS_DATOS!$C$1490))-(CROQUIS_DATOS!$C$1489)&gt;0.5,(CROQUIS_DATOS!$C$1491)-(0)&gt;0.5),(CROQUIS_DATOS!$C$1567+(IF(IF(MOD(MIN(INT(($A136-1)/2)+1,MAX(1,INT(((((CROQUIS_DATOS!$C$1489+CROQUIS_DATOS!$C$1490))-(CROQUIS_DATOS!$C$1489))+((CROQUIS_DATOS!$C$1491)*CROQUIS_DATOS!$C$1561-(0)*CROQUIS_DATOS!$C$1561))/CROQUIS_DATOS!$C$1568-0.000001))),2)=1,IF(INT(($A136-1)/2)+1&gt;MAX(1,INT(((((CROQUIS_DATOS!$C$1489+CROQUIS_DATOS!$C$1490))-(CROQUIS_DATOS!$C$1489))+((CROQUIS_DATOS!$C$1491)*CROQUIS_DATOS!$C$1561-(0)*CROQUIS_DATOS!$C$1561))/CROQUIS_DATOS!$C$1568-0.000001)),1,MOD($A136-1,2)),1-IF(INT(($A136-1)/2)+1&gt;MAX(1,INT(((((CROQUIS_DATOS!$C$1489+CROQUIS_DATOS!$C$1490))-(CROQUIS_DATOS!$C$1489))+((CROQUIS_DATOS!$C$1491)*CROQUIS_DATOS!$C$1561-(0)*CROQUIS_DATOS!$C$1561))/CROQUIS_DATOS!$C$1568-0.000001)),1,MOD($A136-1,2)))=1,MIN((CROQUIS_DATOS!$C$1491)*CROQUIS_DATOS!$C$1561,((CROQUIS_DATOS!$C$1489+CROQUIS_DATOS!$C$1490)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6">
        <f>IF(AND(CROQUIS_DATOS!$C$1472=1,CROQUIS_DATOS!$C$1478&gt;=3,((CROQUIS_DATOS!$C$1489+CROQUIS_DATOS!$C$1490))-(CROQUIS_DATOS!$C$1489)&gt;0.5,(CROQUIS_DATOS!$C$1476)-((CROQUIS_DATOS!$C$1491+CROQUIS_DATOS!$C$1492))&gt;0.5),(CROQUIS_DATOS!$C$1566+(IF(IF(MOD(MIN(INT(($A136-1)/2)+1,MAX(1,INT(((((CROQUIS_DATOS!$C$1489+CROQUIS_DATOS!$C$1490))-(CROQUIS_DATOS!$C$1489))+((CROQUIS_DATOS!$C$1476)*CROQUIS_DATOS!$C$1561-((CROQUIS_DATOS!$C$1491+CROQUIS_DATOS!$C$1492))*CROQUIS_DATOS!$C$1561))/CROQUIS_DATOS!$C$1568-0.000001))),2)=1,IF(INT(($A136-1)/2)+1&gt;MAX(1,INT(((((CROQUIS_DATOS!$C$1489+CROQUIS_DATOS!$C$1490))-(CROQUIS_DATOS!$C$1489))+((CROQUIS_DATOS!$C$1476)*CROQUIS_DATOS!$C$1561-((CROQUIS_DATOS!$C$1491+CROQUIS_DATOS!$C$1492))*CROQUIS_DATOS!$C$1561))/CROQUIS_DATOS!$C$1568-0.000001)),1,MOD($A136-1,2)),1-IF(INT(($A136-1)/2)+1&gt;MAX(1,INT(((((CROQUIS_DATOS!$C$1489+CROQUIS_DATOS!$C$1490))-(CROQUIS_DATOS!$C$1489))+((CROQUIS_DATOS!$C$1476)*CROQUIS_DATOS!$C$1561-((CROQUIS_DATOS!$C$1491+CROQUIS_DATOS!$C$1492))*CROQUIS_DATOS!$C$1561))/CROQUIS_DATOS!$C$1568-0.000001)),1,MOD($A136-1,2)))=1,MIN((CROQUIS_DATOS!$C$1476)*CROQUIS_DATOS!$C$1561,((CROQUIS_DATOS!$C$1489+CROQUIS_DATOS!$C$1490)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6">
        <f>IF(AND(CROQUIS_DATOS!$C$1472=1,CROQUIS_DATOS!$C$1478&gt;=3,((CROQUIS_DATOS!$C$1489+CROQUIS_DATOS!$C$1490))-(CROQUIS_DATOS!$C$1489)&gt;0.5,(CROQUIS_DATOS!$C$1476)-((CROQUIS_DATOS!$C$1491+CROQUIS_DATOS!$C$1492))&gt;0.5),(CROQUIS_DATOS!$C$1567+(IF(IF(MOD(MIN(INT(($A136-1)/2)+1,MAX(1,INT(((((CROQUIS_DATOS!$C$1489+CROQUIS_DATOS!$C$1490))-(CROQUIS_DATOS!$C$1489))+((CROQUIS_DATOS!$C$1476)*CROQUIS_DATOS!$C$1561-((CROQUIS_DATOS!$C$1491+CROQUIS_DATOS!$C$1492))*CROQUIS_DATOS!$C$1561))/CROQUIS_DATOS!$C$1568-0.000001))),2)=1,IF(INT(($A136-1)/2)+1&gt;MAX(1,INT(((((CROQUIS_DATOS!$C$1489+CROQUIS_DATOS!$C$1490))-(CROQUIS_DATOS!$C$1489))+((CROQUIS_DATOS!$C$1476)*CROQUIS_DATOS!$C$1561-((CROQUIS_DATOS!$C$1491+CROQUIS_DATOS!$C$1492))*CROQUIS_DATOS!$C$1561))/CROQUIS_DATOS!$C$1568-0.000001)),1,MOD($A136-1,2)),1-IF(INT(($A136-1)/2)+1&gt;MAX(1,INT(((((CROQUIS_DATOS!$C$1489+CROQUIS_DATOS!$C$1490))-(CROQUIS_DATOS!$C$1489))+((CROQUIS_DATOS!$C$1476)*CROQUIS_DATOS!$C$1561-((CROQUIS_DATOS!$C$1491+CROQUIS_DATOS!$C$1492))*CROQUIS_DATOS!$C$1561))/CROQUIS_DATOS!$C$1568-0.000001)),1,MOD($A136-1,2)))=1,MIN((CROQUIS_DATOS!$C$1476)*CROQUIS_DATOS!$C$1561,((CROQUIS_DATOS!$C$1489+CROQUIS_DATOS!$C$1490)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6">
        <f>IF(AND(CROQUIS_DATOS!$C$1472=1,CROQUIS_DATOS!$C$1478&gt;=4,((CROQUIS_DATOS!$C$1494+CROQUIS_DATOS!$C$1495))-(CROQUIS_DATOS!$C$1494)&gt;0.5,(CROQUIS_DATOS!$C$1496)-(0)&gt;0.5),(CROQUIS_DATOS!$C$1566+(IF(IF(MOD(MIN(INT(($A136-1)/2)+1,MAX(1,INT(((((CROQUIS_DATOS!$C$1494+CROQUIS_DATOS!$C$1495))-(CROQUIS_DATOS!$C$1494))+((CROQUIS_DATOS!$C$1496)*CROQUIS_DATOS!$C$1561-(0)*CROQUIS_DATOS!$C$1561))/CROQUIS_DATOS!$C$1568-0.000001))),2)=1,IF(INT(($A136-1)/2)+1&gt;MAX(1,INT(((((CROQUIS_DATOS!$C$1494+CROQUIS_DATOS!$C$1495))-(CROQUIS_DATOS!$C$1494))+((CROQUIS_DATOS!$C$1496)*CROQUIS_DATOS!$C$1561-(0)*CROQUIS_DATOS!$C$1561))/CROQUIS_DATOS!$C$1568-0.000001)),1,MOD($A136-1,2)),1-IF(INT(($A136-1)/2)+1&gt;MAX(1,INT(((((CROQUIS_DATOS!$C$1494+CROQUIS_DATOS!$C$1495))-(CROQUIS_DATOS!$C$1494))+((CROQUIS_DATOS!$C$1496)*CROQUIS_DATOS!$C$1561-(0)*CROQUIS_DATOS!$C$1561))/CROQUIS_DATOS!$C$1568-0.000001)),1,MOD($A136-1,2)))=1,MIN((CROQUIS_DATOS!$C$1496)*CROQUIS_DATOS!$C$1561,((CROQUIS_DATOS!$C$1494+CROQUIS_DATOS!$C$1495)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6">
        <f>IF(AND(CROQUIS_DATOS!$C$1472=1,CROQUIS_DATOS!$C$1478&gt;=4,((CROQUIS_DATOS!$C$1494+CROQUIS_DATOS!$C$1495))-(CROQUIS_DATOS!$C$1494)&gt;0.5,(CROQUIS_DATOS!$C$1496)-(0)&gt;0.5),(CROQUIS_DATOS!$C$1567+(IF(IF(MOD(MIN(INT(($A136-1)/2)+1,MAX(1,INT(((((CROQUIS_DATOS!$C$1494+CROQUIS_DATOS!$C$1495))-(CROQUIS_DATOS!$C$1494))+((CROQUIS_DATOS!$C$1496)*CROQUIS_DATOS!$C$1561-(0)*CROQUIS_DATOS!$C$1561))/CROQUIS_DATOS!$C$1568-0.000001))),2)=1,IF(INT(($A136-1)/2)+1&gt;MAX(1,INT(((((CROQUIS_DATOS!$C$1494+CROQUIS_DATOS!$C$1495))-(CROQUIS_DATOS!$C$1494))+((CROQUIS_DATOS!$C$1496)*CROQUIS_DATOS!$C$1561-(0)*CROQUIS_DATOS!$C$1561))/CROQUIS_DATOS!$C$1568-0.000001)),1,MOD($A136-1,2)),1-IF(INT(($A136-1)/2)+1&gt;MAX(1,INT(((((CROQUIS_DATOS!$C$1494+CROQUIS_DATOS!$C$1495))-(CROQUIS_DATOS!$C$1494))+((CROQUIS_DATOS!$C$1496)*CROQUIS_DATOS!$C$1561-(0)*CROQUIS_DATOS!$C$1561))/CROQUIS_DATOS!$C$1568-0.000001)),1,MOD($A136-1,2)))=1,MIN((CROQUIS_DATOS!$C$1496)*CROQUIS_DATOS!$C$1561,((CROQUIS_DATOS!$C$1494+CROQUIS_DATOS!$C$1495)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6">
        <f>IF(AND(CROQUIS_DATOS!$C$1472=1,CROQUIS_DATOS!$C$1478&gt;=4,((CROQUIS_DATOS!$C$1494+CROQUIS_DATOS!$C$1495))-(CROQUIS_DATOS!$C$1494)&gt;0.5,(CROQUIS_DATOS!$C$1476)-((CROQUIS_DATOS!$C$1496+CROQUIS_DATOS!$C$1497))&gt;0.5),(CROQUIS_DATOS!$C$1566+(IF(IF(MOD(MIN(INT(($A136-1)/2)+1,MAX(1,INT(((((CROQUIS_DATOS!$C$1494+CROQUIS_DATOS!$C$1495))-(CROQUIS_DATOS!$C$1494))+((CROQUIS_DATOS!$C$1476)*CROQUIS_DATOS!$C$1561-((CROQUIS_DATOS!$C$1496+CROQUIS_DATOS!$C$1497))*CROQUIS_DATOS!$C$1561))/CROQUIS_DATOS!$C$1568-0.000001))),2)=1,IF(INT(($A136-1)/2)+1&gt;MAX(1,INT(((((CROQUIS_DATOS!$C$1494+CROQUIS_DATOS!$C$1495))-(CROQUIS_DATOS!$C$1494))+((CROQUIS_DATOS!$C$1476)*CROQUIS_DATOS!$C$1561-((CROQUIS_DATOS!$C$1496+CROQUIS_DATOS!$C$1497))*CROQUIS_DATOS!$C$1561))/CROQUIS_DATOS!$C$1568-0.000001)),1,MOD($A136-1,2)),1-IF(INT(($A136-1)/2)+1&gt;MAX(1,INT(((((CROQUIS_DATOS!$C$1494+CROQUIS_DATOS!$C$1495))-(CROQUIS_DATOS!$C$1494))+((CROQUIS_DATOS!$C$1476)*CROQUIS_DATOS!$C$1561-((CROQUIS_DATOS!$C$1496+CROQUIS_DATOS!$C$1497))*CROQUIS_DATOS!$C$1561))/CROQUIS_DATOS!$C$1568-0.000001)),1,MOD($A136-1,2)))=1,MIN((CROQUIS_DATOS!$C$1476)*CROQUIS_DATOS!$C$1561,((CROQUIS_DATOS!$C$1494+CROQUIS_DATOS!$C$1495)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6">
        <f>IF(AND(CROQUIS_DATOS!$C$1472=1,CROQUIS_DATOS!$C$1478&gt;=4,((CROQUIS_DATOS!$C$1494+CROQUIS_DATOS!$C$1495))-(CROQUIS_DATOS!$C$1494)&gt;0.5,(CROQUIS_DATOS!$C$1476)-((CROQUIS_DATOS!$C$1496+CROQUIS_DATOS!$C$1497))&gt;0.5),(CROQUIS_DATOS!$C$1567+(IF(IF(MOD(MIN(INT(($A136-1)/2)+1,MAX(1,INT(((((CROQUIS_DATOS!$C$1494+CROQUIS_DATOS!$C$1495))-(CROQUIS_DATOS!$C$1494))+((CROQUIS_DATOS!$C$1476)*CROQUIS_DATOS!$C$1561-((CROQUIS_DATOS!$C$1496+CROQUIS_DATOS!$C$1497))*CROQUIS_DATOS!$C$1561))/CROQUIS_DATOS!$C$1568-0.000001))),2)=1,IF(INT(($A136-1)/2)+1&gt;MAX(1,INT(((((CROQUIS_DATOS!$C$1494+CROQUIS_DATOS!$C$1495))-(CROQUIS_DATOS!$C$1494))+((CROQUIS_DATOS!$C$1476)*CROQUIS_DATOS!$C$1561-((CROQUIS_DATOS!$C$1496+CROQUIS_DATOS!$C$1497))*CROQUIS_DATOS!$C$1561))/CROQUIS_DATOS!$C$1568-0.000001)),1,MOD($A136-1,2)),1-IF(INT(($A136-1)/2)+1&gt;MAX(1,INT(((((CROQUIS_DATOS!$C$1494+CROQUIS_DATOS!$C$1495))-(CROQUIS_DATOS!$C$1494))+((CROQUIS_DATOS!$C$1476)*CROQUIS_DATOS!$C$1561-((CROQUIS_DATOS!$C$1496+CROQUIS_DATOS!$C$1497))*CROQUIS_DATOS!$C$1561))/CROQUIS_DATOS!$C$1568-0.000001)),1,MOD($A136-1,2)))=1,MIN((CROQUIS_DATOS!$C$1476)*CROQUIS_DATOS!$C$1561,((CROQUIS_DATOS!$C$1494+CROQUIS_DATOS!$C$1495)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7">
      <c r="A137" t="n">
        <v>130</v>
      </c>
      <c r="N137">
        <f>IF(AND(CROQUIS_DATOS!$C$1472=1,1),(CROQUIS_DATOS!$C$1563+(IF(IF(IF(INT(($A137-1)/70)+1&gt;CROQUIS_DATOS!$C$1525,70,MOD($A137-1,70)+1)=1,0,IF(IF(INT(($A137-1)/70)+1&gt;CROQUIS_DATOS!$C$1525,70,MOD($A137-1,70)+1)&gt;2*CROQUIS_DATOS!$C$1541+1,IF(MOD(CROQUIS_DATOS!$C$1541,2)=1,1,0),IF(MOD(MIN(INT((IF(INT(($A137-1)/70)+1&gt;CROQUIS_DATOS!$C$1525,70,MOD($A137-1,70)+1)-2)/2)+1,CROQUIS_DATOS!$C$1541),2)=1,IF(MOD(IF(INT(($A137-1)/70)+1&gt;CROQUIS_DATOS!$C$1525,70,MOD($A137-1,70)+1)-2,2)=0,0,1),IF(MOD(IF(INT(($A137-1)/70)+1&gt;CROQUIS_DATOS!$C$1525,70,MOD($A137-1,70)+1)-2,2)=0,1,0))))=0,(INDEX($E$8:$E$23,MIN(INT(($A137-1)/70)+1,CROQUIS_DATOS!$C$1525))-INDEX($F$8:$F$23,MIN(INT(($A137-1)/70)+1,CROQUIS_DATOS!$C$1525))/2),(INDEX($E$8:$E$23,MIN(INT(($A137-1)/70)+1,CROQUIS_DATOS!$C$1525))+INDEX($F$8:$F$23,MIN(INT(($A137-1)/70)+1,CROQUIS_DATOS!$C$1525))/2)))*CROQUIS_DATOS!$C$1562),-1000)</f>
        <v>18.5775862068965</v>
      </c>
      <c r="O137">
        <f>IF(AND(CROQUIS_DATOS!$C$1472=1,1),(CROQUIS_DATOS!$C$1564+(IF(OR(IF(INT(($A137-1)/70)+1&gt;CROQUIS_DATOS!$C$1525,70,MOD($A137-1,70)+1)=1,IF(INT(($A137-1)/70)+1&gt;CROQUIS_DATOS!$C$1525,70,MOD($A137-1,70)+1)&gt;2*CROQUIS_DATOS!$C$1541+1),CROQUIS_DATOS!$C$1476,INDEX($H$8:$H$41,MIN(INT((IF(INT(($A137-1)/70)+1&gt;CROQUIS_DATOS!$C$1525,70,MOD($A137-1,70)+1)-2)/2)+1,CROQUIS_DATOS!$C$1541))))*CROQUIS_DATOS!$C$1561*CROQUIS_DATOS!$C$1562),-1000)</f>
        <v>40.2068965517241</v>
      </c>
      <c r="P137">
        <f>IF(AND(CROQUIS_DATOS!$C$1472=1,CROQUIS_DATOS!$C$1555=1),(CROQUIS_DATOS!$C$1563+(IF(IF(OR(MOD($A137-1,62)+1=1,IF(CHOOSE(MIN(MAX(MIN(INT(($A137-1)/62)+1,5),1),5),CROQUIS_DATOS!$C$1501,CROQUIS_DATOS!$C$1505,CROQUIS_DATOS!$C$1509,CROQUIS_DATOS!$C$1513,CROQUIS_DATOS!$C$1517)=1,CROQUIS_DATOS!$C$1557,0)=0),0,IF(MOD($A137-1,62)+1&gt;2*IF(CHOOSE(MIN(MAX(MIN(INT(($A137-1)/62)+1,5),1),5),CROQUIS_DATOS!$C$1501,CROQUIS_DATOS!$C$1505,CROQUIS_DATOS!$C$1509,CROQUIS_DATOS!$C$1513,CROQUIS_DATOS!$C$1517)=1,CROQUIS_DATOS!$C$1557,0)+1,IF(MOD(IF(CHOOSE(MIN(MAX(MIN(INT(($A137-1)/62)+1,5),1),5),CROQUIS_DATOS!$C$1501,CROQUIS_DATOS!$C$1505,CROQUIS_DATOS!$C$1509,CROQUIS_DATOS!$C$1513,CROQUIS_DATOS!$C$1517)=1,CROQUIS_DATOS!$C$1557,0),2)=1,1,0),IF(MOD(MIN(INT((MOD($A137-1,62)+1-2)/2)+1,MAX(IF(CHOOSE(MIN(MAX(MIN(INT(($A137-1)/62)+1,5),1),5),CROQUIS_DATOS!$C$1501,CROQUIS_DATOS!$C$1505,CROQUIS_DATOS!$C$1509,CROQUIS_DATOS!$C$1513,CROQUIS_DATOS!$C$1517)=1,CROQUIS_DATOS!$C$1557,0),1)),2)=1,IF(MOD(MOD($A137-1,62)+1-2,2)=0,0,1),IF(MOD(MOD($A137-1,62)+1-2,2)=0,1,0))))=0,(CHOOSE(MIN(MAX(MIN(INT(($A137-1)/62)+1,5),1),5),CROQUIS_DATOS!$C$1499,CROQUIS_DATOS!$C$1503,CROQUIS_DATOS!$C$1507,CROQUIS_DATOS!$C$1511,CROQUIS_DATOS!$C$1515)+IF(CHOOSE(MIN(MAX(MIN(INT(($A137-1)/62)+1,5),1),5),CROQUIS_DATOS!$C$1501,CROQUIS_DATOS!$C$1505,CROQUIS_DATOS!$C$1509,CROQUIS_DATOS!$C$1513,CROQUIS_DATOS!$C$1517)=1,CROQUIS_DATOS!$C$1526,0)),(CHOOSE(MIN(MAX(MIN(INT(($A137-1)/62)+1,5),1),5),CROQUIS_DATOS!$C$1499,CROQUIS_DATOS!$C$1503,CROQUIS_DATOS!$C$1507,CROQUIS_DATOS!$C$1511,CROQUIS_DATOS!$C$1515)+CHOOSE(MIN(MAX(MIN(INT(($A137-1)/62)+1,5),1),5),CROQUIS_DATOS!$C$1500,CROQUIS_DATOS!$C$1504,CROQUIS_DATOS!$C$1508,CROQUIS_DATOS!$C$1512,CROQUIS_DATOS!$C$1516)-IF(CHOOSE(MIN(MAX(MIN(INT(($A137-1)/62)+1,5),1),5),CROQUIS_DATOS!$C$1501,CROQUIS_DATOS!$C$1505,CROQUIS_DATOS!$C$1509,CROQUIS_DATOS!$C$1513,CROQUIS_DATOS!$C$1517)=1,CROQUIS_DATOS!$C$1526,0))))*CROQUIS_DATOS!$C$1562),-1000)</f>
        <v>-1000</v>
      </c>
      <c r="Q137">
        <f>IF(AND(CROQUIS_DATOS!$C$1472=1,CROQUIS_DATOS!$C$1555=1),(CROQUIS_DATOS!$C$1564+(IF(OR(OR(MOD($A137-1,62)+1=1,IF(CHOOSE(MIN(MAX(MIN(INT(($A137-1)/62)+1,5),1),5),CROQUIS_DATOS!$C$1501,CROQUIS_DATOS!$C$1505,CROQUIS_DATOS!$C$1509,CROQUIS_DATOS!$C$1513,CROQUIS_DATOS!$C$1517)=1,CROQUIS_DATOS!$C$1557,0)=0),MOD($A137-1,62)+1&gt;2*IF(CHOOSE(MIN(MAX(MIN(INT(($A137-1)/62)+1,5),1),5),CROQUIS_DATOS!$C$1501,CROQUIS_DATOS!$C$1505,CROQUIS_DATOS!$C$1509,CROQUIS_DATOS!$C$1513,CROQUIS_DATOS!$C$1517)=1,CROQUIS_DATOS!$C$1557,0)+1),CROQUIS_DATOS!$C$1476,MIN(INT((MOD($A137-1,62)+1-2)/2)+1,MAX(IF(CHOOSE(MIN(MAX(MIN(INT(($A137-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7">
        <f>IF(AND(CROQUIS_DATOS!$C$1472=1,1),(CROQUIS_DATOS!$C$1563+(MIN(INT(($A137-1)/2)+1,CROQUIS_DATOS!$C$1558)*CROQUIS_DATOS!$C$1559)*CROQUIS_DATOS!$C$1562),-1000)</f>
        <v>82.2281167108753</v>
      </c>
      <c r="U137">
        <f>IF(AND(CROQUIS_DATOS!$C$1472=1,1),(CROQUIS_DATOS!$C$1564+(IF(INT(($A137-1)/2)+1&gt;CROQUIS_DATOS!$C$1558,IF(MOD(CROQUIS_DATOS!$C$1558,2)=1,CROQUIS_DATOS!$C$1476+CROQUIS_DATOS!$C$1528,CROQUIS_DATOS!$C$1476),IF(IF(MOD(MIN(INT(($A137-1)/2)+1,CROQUIS_DATOS!$C$1558),2)=1,MOD($A137-1,2),1-MOD($A137-1,2))=1,CROQUIS_DATOS!$C$1476+CROQUIS_DATOS!$C$1528,CROQUIS_DATOS!$C$1476)))*CROQUIS_DATOS!$C$1561*CROQUIS_DATOS!$C$1562),-1000)</f>
        <v>43</v>
      </c>
      <c r="BZ137">
        <f>IF(AND(CROQUIS_DATOS!$C$1472=1,CROQUIS_DATOS!$C$1500&gt;0,((CROQUIS_DATOS!$C$1499+CROQUIS_DATOS!$C$1500))-(CROQUIS_DATOS!$C$1499)&gt;0.5,(CROQUIS_DATOS!$C$1476)-(0)&gt;0.5),(CROQUIS_DATOS!$C$1566+(IF(IF(MOD(MIN(INT(($A137-1)/2)+1,MAX(1,INT(((((CROQUIS_DATOS!$C$1499+CROQUIS_DATOS!$C$1500))-(CROQUIS_DATOS!$C$1499))+((CROQUIS_DATOS!$C$1476)*CROQUIS_DATOS!$C$1561-(0)*CROQUIS_DATOS!$C$1561))/CROQUIS_DATOS!$C$1568-0.000001))),2)=1,IF(INT(($A137-1)/2)+1&gt;MAX(1,INT(((((CROQUIS_DATOS!$C$1499+CROQUIS_DATOS!$C$1500))-(CROQUIS_DATOS!$C$1499))+((CROQUIS_DATOS!$C$1476)*CROQUIS_DATOS!$C$1561-(0)*CROQUIS_DATOS!$C$1561))/CROQUIS_DATOS!$C$1568-0.000001)),1,MOD($A137-1,2)),1-IF(INT(($A137-1)/2)+1&gt;MAX(1,INT(((((CROQUIS_DATOS!$C$1499+CROQUIS_DATOS!$C$1500))-(CROQUIS_DATOS!$C$1499))+((CROQUIS_DATOS!$C$1476)*CROQUIS_DATOS!$C$1561-(0)*CROQUIS_DATOS!$C$1561))/CROQUIS_DATOS!$C$1568-0.000001)),1,MOD($A137-1,2)))=1,MIN((CROQUIS_DATOS!$C$1476)*CROQUIS_DATOS!$C$1561,((CROQUIS_DATOS!$C$1499+CROQUIS_DATOS!$C$1500)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7">
        <f>IF(AND(CROQUIS_DATOS!$C$1472=1,CROQUIS_DATOS!$C$1500&gt;0,((CROQUIS_DATOS!$C$1499+CROQUIS_DATOS!$C$1500))-(CROQUIS_DATOS!$C$1499)&gt;0.5,(CROQUIS_DATOS!$C$1476)-(0)&gt;0.5),(CROQUIS_DATOS!$C$1567+(IF(IF(MOD(MIN(INT(($A137-1)/2)+1,MAX(1,INT(((((CROQUIS_DATOS!$C$1499+CROQUIS_DATOS!$C$1500))-(CROQUIS_DATOS!$C$1499))+((CROQUIS_DATOS!$C$1476)*CROQUIS_DATOS!$C$1561-(0)*CROQUIS_DATOS!$C$1561))/CROQUIS_DATOS!$C$1568-0.000001))),2)=1,IF(INT(($A137-1)/2)+1&gt;MAX(1,INT(((((CROQUIS_DATOS!$C$1499+CROQUIS_DATOS!$C$1500))-(CROQUIS_DATOS!$C$1499))+((CROQUIS_DATOS!$C$1476)*CROQUIS_DATOS!$C$1561-(0)*CROQUIS_DATOS!$C$1561))/CROQUIS_DATOS!$C$1568-0.000001)),1,MOD($A137-1,2)),1-IF(INT(($A137-1)/2)+1&gt;MAX(1,INT(((((CROQUIS_DATOS!$C$1499+CROQUIS_DATOS!$C$1500))-(CROQUIS_DATOS!$C$1499))+((CROQUIS_DATOS!$C$1476)*CROQUIS_DATOS!$C$1561-(0)*CROQUIS_DATOS!$C$1561))/CROQUIS_DATOS!$C$1568-0.000001)),1,MOD($A137-1,2)))=1,MIN((CROQUIS_DATOS!$C$1476)*CROQUIS_DATOS!$C$1561,((CROQUIS_DATOS!$C$1499+CROQUIS_DATOS!$C$1500)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7">
        <f>IF(AND(CROQUIS_DATOS!$C$1472=1,CROQUIS_DATOS!$C$1504&gt;0,((CROQUIS_DATOS!$C$1503+CROQUIS_DATOS!$C$1504))-(CROQUIS_DATOS!$C$1503)&gt;0.5,(CROQUIS_DATOS!$C$1476)-(0)&gt;0.5),(CROQUIS_DATOS!$C$1566+(IF(IF(MOD(MIN(INT(($A137-1)/2)+1,MAX(1,INT(((((CROQUIS_DATOS!$C$1503+CROQUIS_DATOS!$C$1504))-(CROQUIS_DATOS!$C$1503))+((CROQUIS_DATOS!$C$1476)*CROQUIS_DATOS!$C$1561-(0)*CROQUIS_DATOS!$C$1561))/CROQUIS_DATOS!$C$1568-0.000001))),2)=1,IF(INT(($A137-1)/2)+1&gt;MAX(1,INT(((((CROQUIS_DATOS!$C$1503+CROQUIS_DATOS!$C$1504))-(CROQUIS_DATOS!$C$1503))+((CROQUIS_DATOS!$C$1476)*CROQUIS_DATOS!$C$1561-(0)*CROQUIS_DATOS!$C$1561))/CROQUIS_DATOS!$C$1568-0.000001)),1,MOD($A137-1,2)),1-IF(INT(($A137-1)/2)+1&gt;MAX(1,INT(((((CROQUIS_DATOS!$C$1503+CROQUIS_DATOS!$C$1504))-(CROQUIS_DATOS!$C$1503))+((CROQUIS_DATOS!$C$1476)*CROQUIS_DATOS!$C$1561-(0)*CROQUIS_DATOS!$C$1561))/CROQUIS_DATOS!$C$1568-0.000001)),1,MOD($A137-1,2)))=1,MIN((CROQUIS_DATOS!$C$1476)*CROQUIS_DATOS!$C$1561,((CROQUIS_DATOS!$C$1503+CROQUIS_DATOS!$C$1504)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7">
        <f>IF(AND(CROQUIS_DATOS!$C$1472=1,CROQUIS_DATOS!$C$1504&gt;0,((CROQUIS_DATOS!$C$1503+CROQUIS_DATOS!$C$1504))-(CROQUIS_DATOS!$C$1503)&gt;0.5,(CROQUIS_DATOS!$C$1476)-(0)&gt;0.5),(CROQUIS_DATOS!$C$1567+(IF(IF(MOD(MIN(INT(($A137-1)/2)+1,MAX(1,INT(((((CROQUIS_DATOS!$C$1503+CROQUIS_DATOS!$C$1504))-(CROQUIS_DATOS!$C$1503))+((CROQUIS_DATOS!$C$1476)*CROQUIS_DATOS!$C$1561-(0)*CROQUIS_DATOS!$C$1561))/CROQUIS_DATOS!$C$1568-0.000001))),2)=1,IF(INT(($A137-1)/2)+1&gt;MAX(1,INT(((((CROQUIS_DATOS!$C$1503+CROQUIS_DATOS!$C$1504))-(CROQUIS_DATOS!$C$1503))+((CROQUIS_DATOS!$C$1476)*CROQUIS_DATOS!$C$1561-(0)*CROQUIS_DATOS!$C$1561))/CROQUIS_DATOS!$C$1568-0.000001)),1,MOD($A137-1,2)),1-IF(INT(($A137-1)/2)+1&gt;MAX(1,INT(((((CROQUIS_DATOS!$C$1503+CROQUIS_DATOS!$C$1504))-(CROQUIS_DATOS!$C$1503))+((CROQUIS_DATOS!$C$1476)*CROQUIS_DATOS!$C$1561-(0)*CROQUIS_DATOS!$C$1561))/CROQUIS_DATOS!$C$1568-0.000001)),1,MOD($A137-1,2)))=1,MIN((CROQUIS_DATOS!$C$1476)*CROQUIS_DATOS!$C$1561,((CROQUIS_DATOS!$C$1503+CROQUIS_DATOS!$C$1504)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7">
        <f>IF(AND(CROQUIS_DATOS!$C$1472=1,CROQUIS_DATOS!$C$1508&gt;0,((CROQUIS_DATOS!$C$1507+CROQUIS_DATOS!$C$1508))-(CROQUIS_DATOS!$C$1507)&gt;0.5,(CROQUIS_DATOS!$C$1476)-(0)&gt;0.5),(CROQUIS_DATOS!$C$1566+(IF(IF(MOD(MIN(INT(($A137-1)/2)+1,MAX(1,INT(((((CROQUIS_DATOS!$C$1507+CROQUIS_DATOS!$C$1508))-(CROQUIS_DATOS!$C$1507))+((CROQUIS_DATOS!$C$1476)*CROQUIS_DATOS!$C$1561-(0)*CROQUIS_DATOS!$C$1561))/CROQUIS_DATOS!$C$1568-0.000001))),2)=1,IF(INT(($A137-1)/2)+1&gt;MAX(1,INT(((((CROQUIS_DATOS!$C$1507+CROQUIS_DATOS!$C$1508))-(CROQUIS_DATOS!$C$1507))+((CROQUIS_DATOS!$C$1476)*CROQUIS_DATOS!$C$1561-(0)*CROQUIS_DATOS!$C$1561))/CROQUIS_DATOS!$C$1568-0.000001)),1,MOD($A137-1,2)),1-IF(INT(($A137-1)/2)+1&gt;MAX(1,INT(((((CROQUIS_DATOS!$C$1507+CROQUIS_DATOS!$C$1508))-(CROQUIS_DATOS!$C$1507))+((CROQUIS_DATOS!$C$1476)*CROQUIS_DATOS!$C$1561-(0)*CROQUIS_DATOS!$C$1561))/CROQUIS_DATOS!$C$1568-0.000001)),1,MOD($A137-1,2)))=1,MIN((CROQUIS_DATOS!$C$1476)*CROQUIS_DATOS!$C$1561,((CROQUIS_DATOS!$C$1507+CROQUIS_DATOS!$C$1508)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7">
        <f>IF(AND(CROQUIS_DATOS!$C$1472=1,CROQUIS_DATOS!$C$1508&gt;0,((CROQUIS_DATOS!$C$1507+CROQUIS_DATOS!$C$1508))-(CROQUIS_DATOS!$C$1507)&gt;0.5,(CROQUIS_DATOS!$C$1476)-(0)&gt;0.5),(CROQUIS_DATOS!$C$1567+(IF(IF(MOD(MIN(INT(($A137-1)/2)+1,MAX(1,INT(((((CROQUIS_DATOS!$C$1507+CROQUIS_DATOS!$C$1508))-(CROQUIS_DATOS!$C$1507))+((CROQUIS_DATOS!$C$1476)*CROQUIS_DATOS!$C$1561-(0)*CROQUIS_DATOS!$C$1561))/CROQUIS_DATOS!$C$1568-0.000001))),2)=1,IF(INT(($A137-1)/2)+1&gt;MAX(1,INT(((((CROQUIS_DATOS!$C$1507+CROQUIS_DATOS!$C$1508))-(CROQUIS_DATOS!$C$1507))+((CROQUIS_DATOS!$C$1476)*CROQUIS_DATOS!$C$1561-(0)*CROQUIS_DATOS!$C$1561))/CROQUIS_DATOS!$C$1568-0.000001)),1,MOD($A137-1,2)),1-IF(INT(($A137-1)/2)+1&gt;MAX(1,INT(((((CROQUIS_DATOS!$C$1507+CROQUIS_DATOS!$C$1508))-(CROQUIS_DATOS!$C$1507))+((CROQUIS_DATOS!$C$1476)*CROQUIS_DATOS!$C$1561-(0)*CROQUIS_DATOS!$C$1561))/CROQUIS_DATOS!$C$1568-0.000001)),1,MOD($A137-1,2)))=1,MIN((CROQUIS_DATOS!$C$1476)*CROQUIS_DATOS!$C$1561,((CROQUIS_DATOS!$C$1507+CROQUIS_DATOS!$C$1508)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7">
        <f>IF(AND(CROQUIS_DATOS!$C$1472=1,CROQUIS_DATOS!$C$1512&gt;0,((CROQUIS_DATOS!$C$1511+CROQUIS_DATOS!$C$1512))-(CROQUIS_DATOS!$C$1511)&gt;0.5,(CROQUIS_DATOS!$C$1476)-(0)&gt;0.5),(CROQUIS_DATOS!$C$1566+(IF(IF(MOD(MIN(INT(($A137-1)/2)+1,MAX(1,INT(((((CROQUIS_DATOS!$C$1511+CROQUIS_DATOS!$C$1512))-(CROQUIS_DATOS!$C$1511))+((CROQUIS_DATOS!$C$1476)*CROQUIS_DATOS!$C$1561-(0)*CROQUIS_DATOS!$C$1561))/CROQUIS_DATOS!$C$1568-0.000001))),2)=1,IF(INT(($A137-1)/2)+1&gt;MAX(1,INT(((((CROQUIS_DATOS!$C$1511+CROQUIS_DATOS!$C$1512))-(CROQUIS_DATOS!$C$1511))+((CROQUIS_DATOS!$C$1476)*CROQUIS_DATOS!$C$1561-(0)*CROQUIS_DATOS!$C$1561))/CROQUIS_DATOS!$C$1568-0.000001)),1,MOD($A137-1,2)),1-IF(INT(($A137-1)/2)+1&gt;MAX(1,INT(((((CROQUIS_DATOS!$C$1511+CROQUIS_DATOS!$C$1512))-(CROQUIS_DATOS!$C$1511))+((CROQUIS_DATOS!$C$1476)*CROQUIS_DATOS!$C$1561-(0)*CROQUIS_DATOS!$C$1561))/CROQUIS_DATOS!$C$1568-0.000001)),1,MOD($A137-1,2)))=1,MIN((CROQUIS_DATOS!$C$1476)*CROQUIS_DATOS!$C$1561,((CROQUIS_DATOS!$C$1511+CROQUIS_DATOS!$C$1512)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7">
        <f>IF(AND(CROQUIS_DATOS!$C$1472=1,CROQUIS_DATOS!$C$1512&gt;0,((CROQUIS_DATOS!$C$1511+CROQUIS_DATOS!$C$1512))-(CROQUIS_DATOS!$C$1511)&gt;0.5,(CROQUIS_DATOS!$C$1476)-(0)&gt;0.5),(CROQUIS_DATOS!$C$1567+(IF(IF(MOD(MIN(INT(($A137-1)/2)+1,MAX(1,INT(((((CROQUIS_DATOS!$C$1511+CROQUIS_DATOS!$C$1512))-(CROQUIS_DATOS!$C$1511))+((CROQUIS_DATOS!$C$1476)*CROQUIS_DATOS!$C$1561-(0)*CROQUIS_DATOS!$C$1561))/CROQUIS_DATOS!$C$1568-0.000001))),2)=1,IF(INT(($A137-1)/2)+1&gt;MAX(1,INT(((((CROQUIS_DATOS!$C$1511+CROQUIS_DATOS!$C$1512))-(CROQUIS_DATOS!$C$1511))+((CROQUIS_DATOS!$C$1476)*CROQUIS_DATOS!$C$1561-(0)*CROQUIS_DATOS!$C$1561))/CROQUIS_DATOS!$C$1568-0.000001)),1,MOD($A137-1,2)),1-IF(INT(($A137-1)/2)+1&gt;MAX(1,INT(((((CROQUIS_DATOS!$C$1511+CROQUIS_DATOS!$C$1512))-(CROQUIS_DATOS!$C$1511))+((CROQUIS_DATOS!$C$1476)*CROQUIS_DATOS!$C$1561-(0)*CROQUIS_DATOS!$C$1561))/CROQUIS_DATOS!$C$1568-0.000001)),1,MOD($A137-1,2)))=1,MIN((CROQUIS_DATOS!$C$1476)*CROQUIS_DATOS!$C$1561,((CROQUIS_DATOS!$C$1511+CROQUIS_DATOS!$C$1512)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7">
        <f>IF(AND(CROQUIS_DATOS!$C$1472=1,CROQUIS_DATOS!$C$1516&gt;0,((CROQUIS_DATOS!$C$1515+CROQUIS_DATOS!$C$1516))-(CROQUIS_DATOS!$C$1515)&gt;0.5,(CROQUIS_DATOS!$C$1476)-(0)&gt;0.5),(CROQUIS_DATOS!$C$1566+(IF(IF(MOD(MIN(INT(($A137-1)/2)+1,MAX(1,INT(((((CROQUIS_DATOS!$C$1515+CROQUIS_DATOS!$C$1516))-(CROQUIS_DATOS!$C$1515))+((CROQUIS_DATOS!$C$1476)*CROQUIS_DATOS!$C$1561-(0)*CROQUIS_DATOS!$C$1561))/CROQUIS_DATOS!$C$1568-0.000001))),2)=1,IF(INT(($A137-1)/2)+1&gt;MAX(1,INT(((((CROQUIS_DATOS!$C$1515+CROQUIS_DATOS!$C$1516))-(CROQUIS_DATOS!$C$1515))+((CROQUIS_DATOS!$C$1476)*CROQUIS_DATOS!$C$1561-(0)*CROQUIS_DATOS!$C$1561))/CROQUIS_DATOS!$C$1568-0.000001)),1,MOD($A137-1,2)),1-IF(INT(($A137-1)/2)+1&gt;MAX(1,INT(((((CROQUIS_DATOS!$C$1515+CROQUIS_DATOS!$C$1516))-(CROQUIS_DATOS!$C$1515))+((CROQUIS_DATOS!$C$1476)*CROQUIS_DATOS!$C$1561-(0)*CROQUIS_DATOS!$C$1561))/CROQUIS_DATOS!$C$1568-0.000001)),1,MOD($A137-1,2)))=1,MIN((CROQUIS_DATOS!$C$1476)*CROQUIS_DATOS!$C$1561,((CROQUIS_DATOS!$C$1515+CROQUIS_DATOS!$C$1516)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7">
        <f>IF(AND(CROQUIS_DATOS!$C$1472=1,CROQUIS_DATOS!$C$1516&gt;0,((CROQUIS_DATOS!$C$1515+CROQUIS_DATOS!$C$1516))-(CROQUIS_DATOS!$C$1515)&gt;0.5,(CROQUIS_DATOS!$C$1476)-(0)&gt;0.5),(CROQUIS_DATOS!$C$1567+(IF(IF(MOD(MIN(INT(($A137-1)/2)+1,MAX(1,INT(((((CROQUIS_DATOS!$C$1515+CROQUIS_DATOS!$C$1516))-(CROQUIS_DATOS!$C$1515))+((CROQUIS_DATOS!$C$1476)*CROQUIS_DATOS!$C$1561-(0)*CROQUIS_DATOS!$C$1561))/CROQUIS_DATOS!$C$1568-0.000001))),2)=1,IF(INT(($A137-1)/2)+1&gt;MAX(1,INT(((((CROQUIS_DATOS!$C$1515+CROQUIS_DATOS!$C$1516))-(CROQUIS_DATOS!$C$1515))+((CROQUIS_DATOS!$C$1476)*CROQUIS_DATOS!$C$1561-(0)*CROQUIS_DATOS!$C$1561))/CROQUIS_DATOS!$C$1568-0.000001)),1,MOD($A137-1,2)),1-IF(INT(($A137-1)/2)+1&gt;MAX(1,INT(((((CROQUIS_DATOS!$C$1515+CROQUIS_DATOS!$C$1516))-(CROQUIS_DATOS!$C$1515))+((CROQUIS_DATOS!$C$1476)*CROQUIS_DATOS!$C$1561-(0)*CROQUIS_DATOS!$C$1561))/CROQUIS_DATOS!$C$1568-0.000001)),1,MOD($A137-1,2)))=1,MIN((CROQUIS_DATOS!$C$1476)*CROQUIS_DATOS!$C$1561,((CROQUIS_DATOS!$C$1515+CROQUIS_DATOS!$C$1516)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7">
        <f>IF(AND(CROQUIS_DATOS!$C$1472=1,CROQUIS_DATOS!$C$1478&gt;=1,((CROQUIS_DATOS!$C$1479+CROQUIS_DATOS!$C$1480))-(CROQUIS_DATOS!$C$1479)&gt;0.5,(CROQUIS_DATOS!$C$1481)-(0)&gt;0.5),(CROQUIS_DATOS!$C$1566+(IF(IF(MOD(MIN(INT(($A137-1)/2)+1,MAX(1,INT(((((CROQUIS_DATOS!$C$1479+CROQUIS_DATOS!$C$1480))-(CROQUIS_DATOS!$C$1479))+((CROQUIS_DATOS!$C$1481)*CROQUIS_DATOS!$C$1561-(0)*CROQUIS_DATOS!$C$1561))/CROQUIS_DATOS!$C$1568-0.000001))),2)=1,IF(INT(($A137-1)/2)+1&gt;MAX(1,INT(((((CROQUIS_DATOS!$C$1479+CROQUIS_DATOS!$C$1480))-(CROQUIS_DATOS!$C$1479))+((CROQUIS_DATOS!$C$1481)*CROQUIS_DATOS!$C$1561-(0)*CROQUIS_DATOS!$C$1561))/CROQUIS_DATOS!$C$1568-0.000001)),1,MOD($A137-1,2)),1-IF(INT(($A137-1)/2)+1&gt;MAX(1,INT(((((CROQUIS_DATOS!$C$1479+CROQUIS_DATOS!$C$1480))-(CROQUIS_DATOS!$C$1479))+((CROQUIS_DATOS!$C$1481)*CROQUIS_DATOS!$C$1561-(0)*CROQUIS_DATOS!$C$1561))/CROQUIS_DATOS!$C$1568-0.000001)),1,MOD($A137-1,2)))=1,MIN((CROQUIS_DATOS!$C$1481)*CROQUIS_DATOS!$C$1561,((CROQUIS_DATOS!$C$1479+CROQUIS_DATOS!$C$1480)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7">
        <f>IF(AND(CROQUIS_DATOS!$C$1472=1,CROQUIS_DATOS!$C$1478&gt;=1,((CROQUIS_DATOS!$C$1479+CROQUIS_DATOS!$C$1480))-(CROQUIS_DATOS!$C$1479)&gt;0.5,(CROQUIS_DATOS!$C$1481)-(0)&gt;0.5),(CROQUIS_DATOS!$C$1567+(IF(IF(MOD(MIN(INT(($A137-1)/2)+1,MAX(1,INT(((((CROQUIS_DATOS!$C$1479+CROQUIS_DATOS!$C$1480))-(CROQUIS_DATOS!$C$1479))+((CROQUIS_DATOS!$C$1481)*CROQUIS_DATOS!$C$1561-(0)*CROQUIS_DATOS!$C$1561))/CROQUIS_DATOS!$C$1568-0.000001))),2)=1,IF(INT(($A137-1)/2)+1&gt;MAX(1,INT(((((CROQUIS_DATOS!$C$1479+CROQUIS_DATOS!$C$1480))-(CROQUIS_DATOS!$C$1479))+((CROQUIS_DATOS!$C$1481)*CROQUIS_DATOS!$C$1561-(0)*CROQUIS_DATOS!$C$1561))/CROQUIS_DATOS!$C$1568-0.000001)),1,MOD($A137-1,2)),1-IF(INT(($A137-1)/2)+1&gt;MAX(1,INT(((((CROQUIS_DATOS!$C$1479+CROQUIS_DATOS!$C$1480))-(CROQUIS_DATOS!$C$1479))+((CROQUIS_DATOS!$C$1481)*CROQUIS_DATOS!$C$1561-(0)*CROQUIS_DATOS!$C$1561))/CROQUIS_DATOS!$C$1568-0.000001)),1,MOD($A137-1,2)))=1,MIN((CROQUIS_DATOS!$C$1481)*CROQUIS_DATOS!$C$1561,((CROQUIS_DATOS!$C$1479+CROQUIS_DATOS!$C$1480)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7">
        <f>IF(AND(CROQUIS_DATOS!$C$1472=1,CROQUIS_DATOS!$C$1478&gt;=1,((CROQUIS_DATOS!$C$1479+CROQUIS_DATOS!$C$1480))-(CROQUIS_DATOS!$C$1479)&gt;0.5,(CROQUIS_DATOS!$C$1476)-((CROQUIS_DATOS!$C$1481+CROQUIS_DATOS!$C$1482))&gt;0.5),(CROQUIS_DATOS!$C$1566+(IF(IF(MOD(MIN(INT(($A137-1)/2)+1,MAX(1,INT(((((CROQUIS_DATOS!$C$1479+CROQUIS_DATOS!$C$1480))-(CROQUIS_DATOS!$C$1479))+((CROQUIS_DATOS!$C$1476)*CROQUIS_DATOS!$C$1561-((CROQUIS_DATOS!$C$1481+CROQUIS_DATOS!$C$1482))*CROQUIS_DATOS!$C$1561))/CROQUIS_DATOS!$C$1568-0.000001))),2)=1,IF(INT(($A137-1)/2)+1&gt;MAX(1,INT(((((CROQUIS_DATOS!$C$1479+CROQUIS_DATOS!$C$1480))-(CROQUIS_DATOS!$C$1479))+((CROQUIS_DATOS!$C$1476)*CROQUIS_DATOS!$C$1561-((CROQUIS_DATOS!$C$1481+CROQUIS_DATOS!$C$1482))*CROQUIS_DATOS!$C$1561))/CROQUIS_DATOS!$C$1568-0.000001)),1,MOD($A137-1,2)),1-IF(INT(($A137-1)/2)+1&gt;MAX(1,INT(((((CROQUIS_DATOS!$C$1479+CROQUIS_DATOS!$C$1480))-(CROQUIS_DATOS!$C$1479))+((CROQUIS_DATOS!$C$1476)*CROQUIS_DATOS!$C$1561-((CROQUIS_DATOS!$C$1481+CROQUIS_DATOS!$C$1482))*CROQUIS_DATOS!$C$1561))/CROQUIS_DATOS!$C$1568-0.000001)),1,MOD($A137-1,2)))=1,MIN((CROQUIS_DATOS!$C$1476)*CROQUIS_DATOS!$C$1561,((CROQUIS_DATOS!$C$1479+CROQUIS_DATOS!$C$1480)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7">
        <f>IF(AND(CROQUIS_DATOS!$C$1472=1,CROQUIS_DATOS!$C$1478&gt;=1,((CROQUIS_DATOS!$C$1479+CROQUIS_DATOS!$C$1480))-(CROQUIS_DATOS!$C$1479)&gt;0.5,(CROQUIS_DATOS!$C$1476)-((CROQUIS_DATOS!$C$1481+CROQUIS_DATOS!$C$1482))&gt;0.5),(CROQUIS_DATOS!$C$1567+(IF(IF(MOD(MIN(INT(($A137-1)/2)+1,MAX(1,INT(((((CROQUIS_DATOS!$C$1479+CROQUIS_DATOS!$C$1480))-(CROQUIS_DATOS!$C$1479))+((CROQUIS_DATOS!$C$1476)*CROQUIS_DATOS!$C$1561-((CROQUIS_DATOS!$C$1481+CROQUIS_DATOS!$C$1482))*CROQUIS_DATOS!$C$1561))/CROQUIS_DATOS!$C$1568-0.000001))),2)=1,IF(INT(($A137-1)/2)+1&gt;MAX(1,INT(((((CROQUIS_DATOS!$C$1479+CROQUIS_DATOS!$C$1480))-(CROQUIS_DATOS!$C$1479))+((CROQUIS_DATOS!$C$1476)*CROQUIS_DATOS!$C$1561-((CROQUIS_DATOS!$C$1481+CROQUIS_DATOS!$C$1482))*CROQUIS_DATOS!$C$1561))/CROQUIS_DATOS!$C$1568-0.000001)),1,MOD($A137-1,2)),1-IF(INT(($A137-1)/2)+1&gt;MAX(1,INT(((((CROQUIS_DATOS!$C$1479+CROQUIS_DATOS!$C$1480))-(CROQUIS_DATOS!$C$1479))+((CROQUIS_DATOS!$C$1476)*CROQUIS_DATOS!$C$1561-((CROQUIS_DATOS!$C$1481+CROQUIS_DATOS!$C$1482))*CROQUIS_DATOS!$C$1561))/CROQUIS_DATOS!$C$1568-0.000001)),1,MOD($A137-1,2)))=1,MIN((CROQUIS_DATOS!$C$1476)*CROQUIS_DATOS!$C$1561,((CROQUIS_DATOS!$C$1479+CROQUIS_DATOS!$C$1480)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7">
        <f>IF(AND(CROQUIS_DATOS!$C$1472=1,CROQUIS_DATOS!$C$1478&gt;=2,((CROQUIS_DATOS!$C$1484+CROQUIS_DATOS!$C$1485))-(CROQUIS_DATOS!$C$1484)&gt;0.5,(CROQUIS_DATOS!$C$1486)-(0)&gt;0.5),(CROQUIS_DATOS!$C$1566+(IF(IF(MOD(MIN(INT(($A137-1)/2)+1,MAX(1,INT(((((CROQUIS_DATOS!$C$1484+CROQUIS_DATOS!$C$1485))-(CROQUIS_DATOS!$C$1484))+((CROQUIS_DATOS!$C$1486)*CROQUIS_DATOS!$C$1561-(0)*CROQUIS_DATOS!$C$1561))/CROQUIS_DATOS!$C$1568-0.000001))),2)=1,IF(INT(($A137-1)/2)+1&gt;MAX(1,INT(((((CROQUIS_DATOS!$C$1484+CROQUIS_DATOS!$C$1485))-(CROQUIS_DATOS!$C$1484))+((CROQUIS_DATOS!$C$1486)*CROQUIS_DATOS!$C$1561-(0)*CROQUIS_DATOS!$C$1561))/CROQUIS_DATOS!$C$1568-0.000001)),1,MOD($A137-1,2)),1-IF(INT(($A137-1)/2)+1&gt;MAX(1,INT(((((CROQUIS_DATOS!$C$1484+CROQUIS_DATOS!$C$1485))-(CROQUIS_DATOS!$C$1484))+((CROQUIS_DATOS!$C$1486)*CROQUIS_DATOS!$C$1561-(0)*CROQUIS_DATOS!$C$1561))/CROQUIS_DATOS!$C$1568-0.000001)),1,MOD($A137-1,2)))=1,MIN((CROQUIS_DATOS!$C$1486)*CROQUIS_DATOS!$C$1561,((CROQUIS_DATOS!$C$1484+CROQUIS_DATOS!$C$1485)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7">
        <f>IF(AND(CROQUIS_DATOS!$C$1472=1,CROQUIS_DATOS!$C$1478&gt;=2,((CROQUIS_DATOS!$C$1484+CROQUIS_DATOS!$C$1485))-(CROQUIS_DATOS!$C$1484)&gt;0.5,(CROQUIS_DATOS!$C$1486)-(0)&gt;0.5),(CROQUIS_DATOS!$C$1567+(IF(IF(MOD(MIN(INT(($A137-1)/2)+1,MAX(1,INT(((((CROQUIS_DATOS!$C$1484+CROQUIS_DATOS!$C$1485))-(CROQUIS_DATOS!$C$1484))+((CROQUIS_DATOS!$C$1486)*CROQUIS_DATOS!$C$1561-(0)*CROQUIS_DATOS!$C$1561))/CROQUIS_DATOS!$C$1568-0.000001))),2)=1,IF(INT(($A137-1)/2)+1&gt;MAX(1,INT(((((CROQUIS_DATOS!$C$1484+CROQUIS_DATOS!$C$1485))-(CROQUIS_DATOS!$C$1484))+((CROQUIS_DATOS!$C$1486)*CROQUIS_DATOS!$C$1561-(0)*CROQUIS_DATOS!$C$1561))/CROQUIS_DATOS!$C$1568-0.000001)),1,MOD($A137-1,2)),1-IF(INT(($A137-1)/2)+1&gt;MAX(1,INT(((((CROQUIS_DATOS!$C$1484+CROQUIS_DATOS!$C$1485))-(CROQUIS_DATOS!$C$1484))+((CROQUIS_DATOS!$C$1486)*CROQUIS_DATOS!$C$1561-(0)*CROQUIS_DATOS!$C$1561))/CROQUIS_DATOS!$C$1568-0.000001)),1,MOD($A137-1,2)))=1,MIN((CROQUIS_DATOS!$C$1486)*CROQUIS_DATOS!$C$1561,((CROQUIS_DATOS!$C$1484+CROQUIS_DATOS!$C$1485)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7">
        <f>IF(AND(CROQUIS_DATOS!$C$1472=1,CROQUIS_DATOS!$C$1478&gt;=2,((CROQUIS_DATOS!$C$1484+CROQUIS_DATOS!$C$1485))-(CROQUIS_DATOS!$C$1484)&gt;0.5,(CROQUIS_DATOS!$C$1476)-((CROQUIS_DATOS!$C$1486+CROQUIS_DATOS!$C$1487))&gt;0.5),(CROQUIS_DATOS!$C$1566+(IF(IF(MOD(MIN(INT(($A137-1)/2)+1,MAX(1,INT(((((CROQUIS_DATOS!$C$1484+CROQUIS_DATOS!$C$1485))-(CROQUIS_DATOS!$C$1484))+((CROQUIS_DATOS!$C$1476)*CROQUIS_DATOS!$C$1561-((CROQUIS_DATOS!$C$1486+CROQUIS_DATOS!$C$1487))*CROQUIS_DATOS!$C$1561))/CROQUIS_DATOS!$C$1568-0.000001))),2)=1,IF(INT(($A137-1)/2)+1&gt;MAX(1,INT(((((CROQUIS_DATOS!$C$1484+CROQUIS_DATOS!$C$1485))-(CROQUIS_DATOS!$C$1484))+((CROQUIS_DATOS!$C$1476)*CROQUIS_DATOS!$C$1561-((CROQUIS_DATOS!$C$1486+CROQUIS_DATOS!$C$1487))*CROQUIS_DATOS!$C$1561))/CROQUIS_DATOS!$C$1568-0.000001)),1,MOD($A137-1,2)),1-IF(INT(($A137-1)/2)+1&gt;MAX(1,INT(((((CROQUIS_DATOS!$C$1484+CROQUIS_DATOS!$C$1485))-(CROQUIS_DATOS!$C$1484))+((CROQUIS_DATOS!$C$1476)*CROQUIS_DATOS!$C$1561-((CROQUIS_DATOS!$C$1486+CROQUIS_DATOS!$C$1487))*CROQUIS_DATOS!$C$1561))/CROQUIS_DATOS!$C$1568-0.000001)),1,MOD($A137-1,2)))=1,MIN((CROQUIS_DATOS!$C$1476)*CROQUIS_DATOS!$C$1561,((CROQUIS_DATOS!$C$1484+CROQUIS_DATOS!$C$1485)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7">
        <f>IF(AND(CROQUIS_DATOS!$C$1472=1,CROQUIS_DATOS!$C$1478&gt;=2,((CROQUIS_DATOS!$C$1484+CROQUIS_DATOS!$C$1485))-(CROQUIS_DATOS!$C$1484)&gt;0.5,(CROQUIS_DATOS!$C$1476)-((CROQUIS_DATOS!$C$1486+CROQUIS_DATOS!$C$1487))&gt;0.5),(CROQUIS_DATOS!$C$1567+(IF(IF(MOD(MIN(INT(($A137-1)/2)+1,MAX(1,INT(((((CROQUIS_DATOS!$C$1484+CROQUIS_DATOS!$C$1485))-(CROQUIS_DATOS!$C$1484))+((CROQUIS_DATOS!$C$1476)*CROQUIS_DATOS!$C$1561-((CROQUIS_DATOS!$C$1486+CROQUIS_DATOS!$C$1487))*CROQUIS_DATOS!$C$1561))/CROQUIS_DATOS!$C$1568-0.000001))),2)=1,IF(INT(($A137-1)/2)+1&gt;MAX(1,INT(((((CROQUIS_DATOS!$C$1484+CROQUIS_DATOS!$C$1485))-(CROQUIS_DATOS!$C$1484))+((CROQUIS_DATOS!$C$1476)*CROQUIS_DATOS!$C$1561-((CROQUIS_DATOS!$C$1486+CROQUIS_DATOS!$C$1487))*CROQUIS_DATOS!$C$1561))/CROQUIS_DATOS!$C$1568-0.000001)),1,MOD($A137-1,2)),1-IF(INT(($A137-1)/2)+1&gt;MAX(1,INT(((((CROQUIS_DATOS!$C$1484+CROQUIS_DATOS!$C$1485))-(CROQUIS_DATOS!$C$1484))+((CROQUIS_DATOS!$C$1476)*CROQUIS_DATOS!$C$1561-((CROQUIS_DATOS!$C$1486+CROQUIS_DATOS!$C$1487))*CROQUIS_DATOS!$C$1561))/CROQUIS_DATOS!$C$1568-0.000001)),1,MOD($A137-1,2)))=1,MIN((CROQUIS_DATOS!$C$1476)*CROQUIS_DATOS!$C$1561,((CROQUIS_DATOS!$C$1484+CROQUIS_DATOS!$C$1485)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7">
        <f>IF(AND(CROQUIS_DATOS!$C$1472=1,CROQUIS_DATOS!$C$1478&gt;=3,((CROQUIS_DATOS!$C$1489+CROQUIS_DATOS!$C$1490))-(CROQUIS_DATOS!$C$1489)&gt;0.5,(CROQUIS_DATOS!$C$1491)-(0)&gt;0.5),(CROQUIS_DATOS!$C$1566+(IF(IF(MOD(MIN(INT(($A137-1)/2)+1,MAX(1,INT(((((CROQUIS_DATOS!$C$1489+CROQUIS_DATOS!$C$1490))-(CROQUIS_DATOS!$C$1489))+((CROQUIS_DATOS!$C$1491)*CROQUIS_DATOS!$C$1561-(0)*CROQUIS_DATOS!$C$1561))/CROQUIS_DATOS!$C$1568-0.000001))),2)=1,IF(INT(($A137-1)/2)+1&gt;MAX(1,INT(((((CROQUIS_DATOS!$C$1489+CROQUIS_DATOS!$C$1490))-(CROQUIS_DATOS!$C$1489))+((CROQUIS_DATOS!$C$1491)*CROQUIS_DATOS!$C$1561-(0)*CROQUIS_DATOS!$C$1561))/CROQUIS_DATOS!$C$1568-0.000001)),1,MOD($A137-1,2)),1-IF(INT(($A137-1)/2)+1&gt;MAX(1,INT(((((CROQUIS_DATOS!$C$1489+CROQUIS_DATOS!$C$1490))-(CROQUIS_DATOS!$C$1489))+((CROQUIS_DATOS!$C$1491)*CROQUIS_DATOS!$C$1561-(0)*CROQUIS_DATOS!$C$1561))/CROQUIS_DATOS!$C$1568-0.000001)),1,MOD($A137-1,2)))=1,MIN((CROQUIS_DATOS!$C$1491)*CROQUIS_DATOS!$C$1561,((CROQUIS_DATOS!$C$1489+CROQUIS_DATOS!$C$1490)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7">
        <f>IF(AND(CROQUIS_DATOS!$C$1472=1,CROQUIS_DATOS!$C$1478&gt;=3,((CROQUIS_DATOS!$C$1489+CROQUIS_DATOS!$C$1490))-(CROQUIS_DATOS!$C$1489)&gt;0.5,(CROQUIS_DATOS!$C$1491)-(0)&gt;0.5),(CROQUIS_DATOS!$C$1567+(IF(IF(MOD(MIN(INT(($A137-1)/2)+1,MAX(1,INT(((((CROQUIS_DATOS!$C$1489+CROQUIS_DATOS!$C$1490))-(CROQUIS_DATOS!$C$1489))+((CROQUIS_DATOS!$C$1491)*CROQUIS_DATOS!$C$1561-(0)*CROQUIS_DATOS!$C$1561))/CROQUIS_DATOS!$C$1568-0.000001))),2)=1,IF(INT(($A137-1)/2)+1&gt;MAX(1,INT(((((CROQUIS_DATOS!$C$1489+CROQUIS_DATOS!$C$1490))-(CROQUIS_DATOS!$C$1489))+((CROQUIS_DATOS!$C$1491)*CROQUIS_DATOS!$C$1561-(0)*CROQUIS_DATOS!$C$1561))/CROQUIS_DATOS!$C$1568-0.000001)),1,MOD($A137-1,2)),1-IF(INT(($A137-1)/2)+1&gt;MAX(1,INT(((((CROQUIS_DATOS!$C$1489+CROQUIS_DATOS!$C$1490))-(CROQUIS_DATOS!$C$1489))+((CROQUIS_DATOS!$C$1491)*CROQUIS_DATOS!$C$1561-(0)*CROQUIS_DATOS!$C$1561))/CROQUIS_DATOS!$C$1568-0.000001)),1,MOD($A137-1,2)))=1,MIN((CROQUIS_DATOS!$C$1491)*CROQUIS_DATOS!$C$1561,((CROQUIS_DATOS!$C$1489+CROQUIS_DATOS!$C$1490)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7">
        <f>IF(AND(CROQUIS_DATOS!$C$1472=1,CROQUIS_DATOS!$C$1478&gt;=3,((CROQUIS_DATOS!$C$1489+CROQUIS_DATOS!$C$1490))-(CROQUIS_DATOS!$C$1489)&gt;0.5,(CROQUIS_DATOS!$C$1476)-((CROQUIS_DATOS!$C$1491+CROQUIS_DATOS!$C$1492))&gt;0.5),(CROQUIS_DATOS!$C$1566+(IF(IF(MOD(MIN(INT(($A137-1)/2)+1,MAX(1,INT(((((CROQUIS_DATOS!$C$1489+CROQUIS_DATOS!$C$1490))-(CROQUIS_DATOS!$C$1489))+((CROQUIS_DATOS!$C$1476)*CROQUIS_DATOS!$C$1561-((CROQUIS_DATOS!$C$1491+CROQUIS_DATOS!$C$1492))*CROQUIS_DATOS!$C$1561))/CROQUIS_DATOS!$C$1568-0.000001))),2)=1,IF(INT(($A137-1)/2)+1&gt;MAX(1,INT(((((CROQUIS_DATOS!$C$1489+CROQUIS_DATOS!$C$1490))-(CROQUIS_DATOS!$C$1489))+((CROQUIS_DATOS!$C$1476)*CROQUIS_DATOS!$C$1561-((CROQUIS_DATOS!$C$1491+CROQUIS_DATOS!$C$1492))*CROQUIS_DATOS!$C$1561))/CROQUIS_DATOS!$C$1568-0.000001)),1,MOD($A137-1,2)),1-IF(INT(($A137-1)/2)+1&gt;MAX(1,INT(((((CROQUIS_DATOS!$C$1489+CROQUIS_DATOS!$C$1490))-(CROQUIS_DATOS!$C$1489))+((CROQUIS_DATOS!$C$1476)*CROQUIS_DATOS!$C$1561-((CROQUIS_DATOS!$C$1491+CROQUIS_DATOS!$C$1492))*CROQUIS_DATOS!$C$1561))/CROQUIS_DATOS!$C$1568-0.000001)),1,MOD($A137-1,2)))=1,MIN((CROQUIS_DATOS!$C$1476)*CROQUIS_DATOS!$C$1561,((CROQUIS_DATOS!$C$1489+CROQUIS_DATOS!$C$1490)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7">
        <f>IF(AND(CROQUIS_DATOS!$C$1472=1,CROQUIS_DATOS!$C$1478&gt;=3,((CROQUIS_DATOS!$C$1489+CROQUIS_DATOS!$C$1490))-(CROQUIS_DATOS!$C$1489)&gt;0.5,(CROQUIS_DATOS!$C$1476)-((CROQUIS_DATOS!$C$1491+CROQUIS_DATOS!$C$1492))&gt;0.5),(CROQUIS_DATOS!$C$1567+(IF(IF(MOD(MIN(INT(($A137-1)/2)+1,MAX(1,INT(((((CROQUIS_DATOS!$C$1489+CROQUIS_DATOS!$C$1490))-(CROQUIS_DATOS!$C$1489))+((CROQUIS_DATOS!$C$1476)*CROQUIS_DATOS!$C$1561-((CROQUIS_DATOS!$C$1491+CROQUIS_DATOS!$C$1492))*CROQUIS_DATOS!$C$1561))/CROQUIS_DATOS!$C$1568-0.000001))),2)=1,IF(INT(($A137-1)/2)+1&gt;MAX(1,INT(((((CROQUIS_DATOS!$C$1489+CROQUIS_DATOS!$C$1490))-(CROQUIS_DATOS!$C$1489))+((CROQUIS_DATOS!$C$1476)*CROQUIS_DATOS!$C$1561-((CROQUIS_DATOS!$C$1491+CROQUIS_DATOS!$C$1492))*CROQUIS_DATOS!$C$1561))/CROQUIS_DATOS!$C$1568-0.000001)),1,MOD($A137-1,2)),1-IF(INT(($A137-1)/2)+1&gt;MAX(1,INT(((((CROQUIS_DATOS!$C$1489+CROQUIS_DATOS!$C$1490))-(CROQUIS_DATOS!$C$1489))+((CROQUIS_DATOS!$C$1476)*CROQUIS_DATOS!$C$1561-((CROQUIS_DATOS!$C$1491+CROQUIS_DATOS!$C$1492))*CROQUIS_DATOS!$C$1561))/CROQUIS_DATOS!$C$1568-0.000001)),1,MOD($A137-1,2)))=1,MIN((CROQUIS_DATOS!$C$1476)*CROQUIS_DATOS!$C$1561,((CROQUIS_DATOS!$C$1489+CROQUIS_DATOS!$C$1490)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7">
        <f>IF(AND(CROQUIS_DATOS!$C$1472=1,CROQUIS_DATOS!$C$1478&gt;=4,((CROQUIS_DATOS!$C$1494+CROQUIS_DATOS!$C$1495))-(CROQUIS_DATOS!$C$1494)&gt;0.5,(CROQUIS_DATOS!$C$1496)-(0)&gt;0.5),(CROQUIS_DATOS!$C$1566+(IF(IF(MOD(MIN(INT(($A137-1)/2)+1,MAX(1,INT(((((CROQUIS_DATOS!$C$1494+CROQUIS_DATOS!$C$1495))-(CROQUIS_DATOS!$C$1494))+((CROQUIS_DATOS!$C$1496)*CROQUIS_DATOS!$C$1561-(0)*CROQUIS_DATOS!$C$1561))/CROQUIS_DATOS!$C$1568-0.000001))),2)=1,IF(INT(($A137-1)/2)+1&gt;MAX(1,INT(((((CROQUIS_DATOS!$C$1494+CROQUIS_DATOS!$C$1495))-(CROQUIS_DATOS!$C$1494))+((CROQUIS_DATOS!$C$1496)*CROQUIS_DATOS!$C$1561-(0)*CROQUIS_DATOS!$C$1561))/CROQUIS_DATOS!$C$1568-0.000001)),1,MOD($A137-1,2)),1-IF(INT(($A137-1)/2)+1&gt;MAX(1,INT(((((CROQUIS_DATOS!$C$1494+CROQUIS_DATOS!$C$1495))-(CROQUIS_DATOS!$C$1494))+((CROQUIS_DATOS!$C$1496)*CROQUIS_DATOS!$C$1561-(0)*CROQUIS_DATOS!$C$1561))/CROQUIS_DATOS!$C$1568-0.000001)),1,MOD($A137-1,2)))=1,MIN((CROQUIS_DATOS!$C$1496)*CROQUIS_DATOS!$C$1561,((CROQUIS_DATOS!$C$1494+CROQUIS_DATOS!$C$1495)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7">
        <f>IF(AND(CROQUIS_DATOS!$C$1472=1,CROQUIS_DATOS!$C$1478&gt;=4,((CROQUIS_DATOS!$C$1494+CROQUIS_DATOS!$C$1495))-(CROQUIS_DATOS!$C$1494)&gt;0.5,(CROQUIS_DATOS!$C$1496)-(0)&gt;0.5),(CROQUIS_DATOS!$C$1567+(IF(IF(MOD(MIN(INT(($A137-1)/2)+1,MAX(1,INT(((((CROQUIS_DATOS!$C$1494+CROQUIS_DATOS!$C$1495))-(CROQUIS_DATOS!$C$1494))+((CROQUIS_DATOS!$C$1496)*CROQUIS_DATOS!$C$1561-(0)*CROQUIS_DATOS!$C$1561))/CROQUIS_DATOS!$C$1568-0.000001))),2)=1,IF(INT(($A137-1)/2)+1&gt;MAX(1,INT(((((CROQUIS_DATOS!$C$1494+CROQUIS_DATOS!$C$1495))-(CROQUIS_DATOS!$C$1494))+((CROQUIS_DATOS!$C$1496)*CROQUIS_DATOS!$C$1561-(0)*CROQUIS_DATOS!$C$1561))/CROQUIS_DATOS!$C$1568-0.000001)),1,MOD($A137-1,2)),1-IF(INT(($A137-1)/2)+1&gt;MAX(1,INT(((((CROQUIS_DATOS!$C$1494+CROQUIS_DATOS!$C$1495))-(CROQUIS_DATOS!$C$1494))+((CROQUIS_DATOS!$C$1496)*CROQUIS_DATOS!$C$1561-(0)*CROQUIS_DATOS!$C$1561))/CROQUIS_DATOS!$C$1568-0.000001)),1,MOD($A137-1,2)))=1,MIN((CROQUIS_DATOS!$C$1496)*CROQUIS_DATOS!$C$1561,((CROQUIS_DATOS!$C$1494+CROQUIS_DATOS!$C$1495)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7">
        <f>IF(AND(CROQUIS_DATOS!$C$1472=1,CROQUIS_DATOS!$C$1478&gt;=4,((CROQUIS_DATOS!$C$1494+CROQUIS_DATOS!$C$1495))-(CROQUIS_DATOS!$C$1494)&gt;0.5,(CROQUIS_DATOS!$C$1476)-((CROQUIS_DATOS!$C$1496+CROQUIS_DATOS!$C$1497))&gt;0.5),(CROQUIS_DATOS!$C$1566+(IF(IF(MOD(MIN(INT(($A137-1)/2)+1,MAX(1,INT(((((CROQUIS_DATOS!$C$1494+CROQUIS_DATOS!$C$1495))-(CROQUIS_DATOS!$C$1494))+((CROQUIS_DATOS!$C$1476)*CROQUIS_DATOS!$C$1561-((CROQUIS_DATOS!$C$1496+CROQUIS_DATOS!$C$1497))*CROQUIS_DATOS!$C$1561))/CROQUIS_DATOS!$C$1568-0.000001))),2)=1,IF(INT(($A137-1)/2)+1&gt;MAX(1,INT(((((CROQUIS_DATOS!$C$1494+CROQUIS_DATOS!$C$1495))-(CROQUIS_DATOS!$C$1494))+((CROQUIS_DATOS!$C$1476)*CROQUIS_DATOS!$C$1561-((CROQUIS_DATOS!$C$1496+CROQUIS_DATOS!$C$1497))*CROQUIS_DATOS!$C$1561))/CROQUIS_DATOS!$C$1568-0.000001)),1,MOD($A137-1,2)),1-IF(INT(($A137-1)/2)+1&gt;MAX(1,INT(((((CROQUIS_DATOS!$C$1494+CROQUIS_DATOS!$C$1495))-(CROQUIS_DATOS!$C$1494))+((CROQUIS_DATOS!$C$1476)*CROQUIS_DATOS!$C$1561-((CROQUIS_DATOS!$C$1496+CROQUIS_DATOS!$C$1497))*CROQUIS_DATOS!$C$1561))/CROQUIS_DATOS!$C$1568-0.000001)),1,MOD($A137-1,2)))=1,MIN((CROQUIS_DATOS!$C$1476)*CROQUIS_DATOS!$C$1561,((CROQUIS_DATOS!$C$1494+CROQUIS_DATOS!$C$1495)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7">
        <f>IF(AND(CROQUIS_DATOS!$C$1472=1,CROQUIS_DATOS!$C$1478&gt;=4,((CROQUIS_DATOS!$C$1494+CROQUIS_DATOS!$C$1495))-(CROQUIS_DATOS!$C$1494)&gt;0.5,(CROQUIS_DATOS!$C$1476)-((CROQUIS_DATOS!$C$1496+CROQUIS_DATOS!$C$1497))&gt;0.5),(CROQUIS_DATOS!$C$1567+(IF(IF(MOD(MIN(INT(($A137-1)/2)+1,MAX(1,INT(((((CROQUIS_DATOS!$C$1494+CROQUIS_DATOS!$C$1495))-(CROQUIS_DATOS!$C$1494))+((CROQUIS_DATOS!$C$1476)*CROQUIS_DATOS!$C$1561-((CROQUIS_DATOS!$C$1496+CROQUIS_DATOS!$C$1497))*CROQUIS_DATOS!$C$1561))/CROQUIS_DATOS!$C$1568-0.000001))),2)=1,IF(INT(($A137-1)/2)+1&gt;MAX(1,INT(((((CROQUIS_DATOS!$C$1494+CROQUIS_DATOS!$C$1495))-(CROQUIS_DATOS!$C$1494))+((CROQUIS_DATOS!$C$1476)*CROQUIS_DATOS!$C$1561-((CROQUIS_DATOS!$C$1496+CROQUIS_DATOS!$C$1497))*CROQUIS_DATOS!$C$1561))/CROQUIS_DATOS!$C$1568-0.000001)),1,MOD($A137-1,2)),1-IF(INT(($A137-1)/2)+1&gt;MAX(1,INT(((((CROQUIS_DATOS!$C$1494+CROQUIS_DATOS!$C$1495))-(CROQUIS_DATOS!$C$1494))+((CROQUIS_DATOS!$C$1476)*CROQUIS_DATOS!$C$1561-((CROQUIS_DATOS!$C$1496+CROQUIS_DATOS!$C$1497))*CROQUIS_DATOS!$C$1561))/CROQUIS_DATOS!$C$1568-0.000001)),1,MOD($A137-1,2)))=1,MIN((CROQUIS_DATOS!$C$1476)*CROQUIS_DATOS!$C$1561,((CROQUIS_DATOS!$C$1494+CROQUIS_DATOS!$C$1495)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8">
      <c r="A138" t="n">
        <v>131</v>
      </c>
      <c r="N138">
        <f>IF(AND(CROQUIS_DATOS!$C$1472=1,1),(CROQUIS_DATOS!$C$1563+(IF(IF(IF(INT(($A138-1)/70)+1&gt;CROQUIS_DATOS!$C$1525,70,MOD($A138-1,70)+1)=1,0,IF(IF(INT(($A138-1)/70)+1&gt;CROQUIS_DATOS!$C$1525,70,MOD($A138-1,70)+1)&gt;2*CROQUIS_DATOS!$C$1541+1,IF(MOD(CROQUIS_DATOS!$C$1541,2)=1,1,0),IF(MOD(MIN(INT((IF(INT(($A138-1)/70)+1&gt;CROQUIS_DATOS!$C$1525,70,MOD($A138-1,70)+1)-2)/2)+1,CROQUIS_DATOS!$C$1541),2)=1,IF(MOD(IF(INT(($A138-1)/70)+1&gt;CROQUIS_DATOS!$C$1525,70,MOD($A138-1,70)+1)-2,2)=0,0,1),IF(MOD(IF(INT(($A138-1)/70)+1&gt;CROQUIS_DATOS!$C$1525,70,MOD($A138-1,70)+1)-2,2)=0,1,0))))=0,(INDEX($E$8:$E$23,MIN(INT(($A138-1)/70)+1,CROQUIS_DATOS!$C$1525))-INDEX($F$8:$F$23,MIN(INT(($A138-1)/70)+1,CROQUIS_DATOS!$C$1525))/2),(INDEX($E$8:$E$23,MIN(INT(($A138-1)/70)+1,CROQUIS_DATOS!$C$1525))+INDEX($F$8:$F$23,MIN(INT(($A138-1)/70)+1,CROQUIS_DATOS!$C$1525))/2)))*CROQUIS_DATOS!$C$1562),-1000)</f>
        <v>18.5775862068965</v>
      </c>
      <c r="O138">
        <f>IF(AND(CROQUIS_DATOS!$C$1472=1,1),(CROQUIS_DATOS!$C$1564+(IF(OR(IF(INT(($A138-1)/70)+1&gt;CROQUIS_DATOS!$C$1525,70,MOD($A138-1,70)+1)=1,IF(INT(($A138-1)/70)+1&gt;CROQUIS_DATOS!$C$1525,70,MOD($A138-1,70)+1)&gt;2*CROQUIS_DATOS!$C$1541+1),CROQUIS_DATOS!$C$1476,INDEX($H$8:$H$41,MIN(INT((IF(INT(($A138-1)/70)+1&gt;CROQUIS_DATOS!$C$1525,70,MOD($A138-1,70)+1)-2)/2)+1,CROQUIS_DATOS!$C$1541))))*CROQUIS_DATOS!$C$1561*CROQUIS_DATOS!$C$1562),-1000)</f>
        <v>40.2068965517241</v>
      </c>
      <c r="P138">
        <f>IF(AND(CROQUIS_DATOS!$C$1472=1,CROQUIS_DATOS!$C$1555=1),(CROQUIS_DATOS!$C$1563+(IF(IF(OR(MOD($A138-1,62)+1=1,IF(CHOOSE(MIN(MAX(MIN(INT(($A138-1)/62)+1,5),1),5),CROQUIS_DATOS!$C$1501,CROQUIS_DATOS!$C$1505,CROQUIS_DATOS!$C$1509,CROQUIS_DATOS!$C$1513,CROQUIS_DATOS!$C$1517)=1,CROQUIS_DATOS!$C$1557,0)=0),0,IF(MOD($A138-1,62)+1&gt;2*IF(CHOOSE(MIN(MAX(MIN(INT(($A138-1)/62)+1,5),1),5),CROQUIS_DATOS!$C$1501,CROQUIS_DATOS!$C$1505,CROQUIS_DATOS!$C$1509,CROQUIS_DATOS!$C$1513,CROQUIS_DATOS!$C$1517)=1,CROQUIS_DATOS!$C$1557,0)+1,IF(MOD(IF(CHOOSE(MIN(MAX(MIN(INT(($A138-1)/62)+1,5),1),5),CROQUIS_DATOS!$C$1501,CROQUIS_DATOS!$C$1505,CROQUIS_DATOS!$C$1509,CROQUIS_DATOS!$C$1513,CROQUIS_DATOS!$C$1517)=1,CROQUIS_DATOS!$C$1557,0),2)=1,1,0),IF(MOD(MIN(INT((MOD($A138-1,62)+1-2)/2)+1,MAX(IF(CHOOSE(MIN(MAX(MIN(INT(($A138-1)/62)+1,5),1),5),CROQUIS_DATOS!$C$1501,CROQUIS_DATOS!$C$1505,CROQUIS_DATOS!$C$1509,CROQUIS_DATOS!$C$1513,CROQUIS_DATOS!$C$1517)=1,CROQUIS_DATOS!$C$1557,0),1)),2)=1,IF(MOD(MOD($A138-1,62)+1-2,2)=0,0,1),IF(MOD(MOD($A138-1,62)+1-2,2)=0,1,0))))=0,(CHOOSE(MIN(MAX(MIN(INT(($A138-1)/62)+1,5),1),5),CROQUIS_DATOS!$C$1499,CROQUIS_DATOS!$C$1503,CROQUIS_DATOS!$C$1507,CROQUIS_DATOS!$C$1511,CROQUIS_DATOS!$C$1515)+IF(CHOOSE(MIN(MAX(MIN(INT(($A138-1)/62)+1,5),1),5),CROQUIS_DATOS!$C$1501,CROQUIS_DATOS!$C$1505,CROQUIS_DATOS!$C$1509,CROQUIS_DATOS!$C$1513,CROQUIS_DATOS!$C$1517)=1,CROQUIS_DATOS!$C$1526,0)),(CHOOSE(MIN(MAX(MIN(INT(($A138-1)/62)+1,5),1),5),CROQUIS_DATOS!$C$1499,CROQUIS_DATOS!$C$1503,CROQUIS_DATOS!$C$1507,CROQUIS_DATOS!$C$1511,CROQUIS_DATOS!$C$1515)+CHOOSE(MIN(MAX(MIN(INT(($A138-1)/62)+1,5),1),5),CROQUIS_DATOS!$C$1500,CROQUIS_DATOS!$C$1504,CROQUIS_DATOS!$C$1508,CROQUIS_DATOS!$C$1512,CROQUIS_DATOS!$C$1516)-IF(CHOOSE(MIN(MAX(MIN(INT(($A138-1)/62)+1,5),1),5),CROQUIS_DATOS!$C$1501,CROQUIS_DATOS!$C$1505,CROQUIS_DATOS!$C$1509,CROQUIS_DATOS!$C$1513,CROQUIS_DATOS!$C$1517)=1,CROQUIS_DATOS!$C$1526,0))))*CROQUIS_DATOS!$C$1562),-1000)</f>
        <v>-1000</v>
      </c>
      <c r="Q138">
        <f>IF(AND(CROQUIS_DATOS!$C$1472=1,CROQUIS_DATOS!$C$1555=1),(CROQUIS_DATOS!$C$1564+(IF(OR(OR(MOD($A138-1,62)+1=1,IF(CHOOSE(MIN(MAX(MIN(INT(($A138-1)/62)+1,5),1),5),CROQUIS_DATOS!$C$1501,CROQUIS_DATOS!$C$1505,CROQUIS_DATOS!$C$1509,CROQUIS_DATOS!$C$1513,CROQUIS_DATOS!$C$1517)=1,CROQUIS_DATOS!$C$1557,0)=0),MOD($A138-1,62)+1&gt;2*IF(CHOOSE(MIN(MAX(MIN(INT(($A138-1)/62)+1,5),1),5),CROQUIS_DATOS!$C$1501,CROQUIS_DATOS!$C$1505,CROQUIS_DATOS!$C$1509,CROQUIS_DATOS!$C$1513,CROQUIS_DATOS!$C$1517)=1,CROQUIS_DATOS!$C$1557,0)+1),CROQUIS_DATOS!$C$1476,MIN(INT((MOD($A138-1,62)+1-2)/2)+1,MAX(IF(CHOOSE(MIN(MAX(MIN(INT(($A138-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8">
        <f>IF(AND(CROQUIS_DATOS!$C$1472=1,1),(CROQUIS_DATOS!$C$1563+(MIN(INT(($A138-1)/2)+1,CROQUIS_DATOS!$C$1558)*CROQUIS_DATOS!$C$1559)*CROQUIS_DATOS!$C$1562),-1000)</f>
        <v>82.2281167108753</v>
      </c>
      <c r="U138">
        <f>IF(AND(CROQUIS_DATOS!$C$1472=1,1),(CROQUIS_DATOS!$C$1564+(IF(INT(($A138-1)/2)+1&gt;CROQUIS_DATOS!$C$1558,IF(MOD(CROQUIS_DATOS!$C$1558,2)=1,CROQUIS_DATOS!$C$1476+CROQUIS_DATOS!$C$1528,CROQUIS_DATOS!$C$1476),IF(IF(MOD(MIN(INT(($A138-1)/2)+1,CROQUIS_DATOS!$C$1558),2)=1,MOD($A138-1,2),1-MOD($A138-1,2))=1,CROQUIS_DATOS!$C$1476+CROQUIS_DATOS!$C$1528,CROQUIS_DATOS!$C$1476)))*CROQUIS_DATOS!$C$1561*CROQUIS_DATOS!$C$1562),-1000)</f>
        <v>43</v>
      </c>
      <c r="BZ138">
        <f>IF(AND(CROQUIS_DATOS!$C$1472=1,CROQUIS_DATOS!$C$1500&gt;0,((CROQUIS_DATOS!$C$1499+CROQUIS_DATOS!$C$1500))-(CROQUIS_DATOS!$C$1499)&gt;0.5,(CROQUIS_DATOS!$C$1476)-(0)&gt;0.5),(CROQUIS_DATOS!$C$1566+(IF(IF(MOD(MIN(INT(($A138-1)/2)+1,MAX(1,INT(((((CROQUIS_DATOS!$C$1499+CROQUIS_DATOS!$C$1500))-(CROQUIS_DATOS!$C$1499))+((CROQUIS_DATOS!$C$1476)*CROQUIS_DATOS!$C$1561-(0)*CROQUIS_DATOS!$C$1561))/CROQUIS_DATOS!$C$1568-0.000001))),2)=1,IF(INT(($A138-1)/2)+1&gt;MAX(1,INT(((((CROQUIS_DATOS!$C$1499+CROQUIS_DATOS!$C$1500))-(CROQUIS_DATOS!$C$1499))+((CROQUIS_DATOS!$C$1476)*CROQUIS_DATOS!$C$1561-(0)*CROQUIS_DATOS!$C$1561))/CROQUIS_DATOS!$C$1568-0.000001)),1,MOD($A138-1,2)),1-IF(INT(($A138-1)/2)+1&gt;MAX(1,INT(((((CROQUIS_DATOS!$C$1499+CROQUIS_DATOS!$C$1500))-(CROQUIS_DATOS!$C$1499))+((CROQUIS_DATOS!$C$1476)*CROQUIS_DATOS!$C$1561-(0)*CROQUIS_DATOS!$C$1561))/CROQUIS_DATOS!$C$1568-0.000001)),1,MOD($A138-1,2)))=1,MIN((CROQUIS_DATOS!$C$1476)*CROQUIS_DATOS!$C$1561,((CROQUIS_DATOS!$C$1499+CROQUIS_DATOS!$C$1500)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8">
        <f>IF(AND(CROQUIS_DATOS!$C$1472=1,CROQUIS_DATOS!$C$1500&gt;0,((CROQUIS_DATOS!$C$1499+CROQUIS_DATOS!$C$1500))-(CROQUIS_DATOS!$C$1499)&gt;0.5,(CROQUIS_DATOS!$C$1476)-(0)&gt;0.5),(CROQUIS_DATOS!$C$1567+(IF(IF(MOD(MIN(INT(($A138-1)/2)+1,MAX(1,INT(((((CROQUIS_DATOS!$C$1499+CROQUIS_DATOS!$C$1500))-(CROQUIS_DATOS!$C$1499))+((CROQUIS_DATOS!$C$1476)*CROQUIS_DATOS!$C$1561-(0)*CROQUIS_DATOS!$C$1561))/CROQUIS_DATOS!$C$1568-0.000001))),2)=1,IF(INT(($A138-1)/2)+1&gt;MAX(1,INT(((((CROQUIS_DATOS!$C$1499+CROQUIS_DATOS!$C$1500))-(CROQUIS_DATOS!$C$1499))+((CROQUIS_DATOS!$C$1476)*CROQUIS_DATOS!$C$1561-(0)*CROQUIS_DATOS!$C$1561))/CROQUIS_DATOS!$C$1568-0.000001)),1,MOD($A138-1,2)),1-IF(INT(($A138-1)/2)+1&gt;MAX(1,INT(((((CROQUIS_DATOS!$C$1499+CROQUIS_DATOS!$C$1500))-(CROQUIS_DATOS!$C$1499))+((CROQUIS_DATOS!$C$1476)*CROQUIS_DATOS!$C$1561-(0)*CROQUIS_DATOS!$C$1561))/CROQUIS_DATOS!$C$1568-0.000001)),1,MOD($A138-1,2)))=1,MIN((CROQUIS_DATOS!$C$1476)*CROQUIS_DATOS!$C$1561,((CROQUIS_DATOS!$C$1499+CROQUIS_DATOS!$C$1500)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138-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8">
        <f>IF(AND(CROQUIS_DATOS!$C$1472=1,CROQUIS_DATOS!$C$1504&gt;0,((CROQUIS_DATOS!$C$1503+CROQUIS_DATOS!$C$1504))-(CROQUIS_DATOS!$C$1503)&gt;0.5,(CROQUIS_DATOS!$C$1476)-(0)&gt;0.5),(CROQUIS_DATOS!$C$1566+(IF(IF(MOD(MIN(INT(($A138-1)/2)+1,MAX(1,INT(((((CROQUIS_DATOS!$C$1503+CROQUIS_DATOS!$C$1504))-(CROQUIS_DATOS!$C$1503))+((CROQUIS_DATOS!$C$1476)*CROQUIS_DATOS!$C$1561-(0)*CROQUIS_DATOS!$C$1561))/CROQUIS_DATOS!$C$1568-0.000001))),2)=1,IF(INT(($A138-1)/2)+1&gt;MAX(1,INT(((((CROQUIS_DATOS!$C$1503+CROQUIS_DATOS!$C$1504))-(CROQUIS_DATOS!$C$1503))+((CROQUIS_DATOS!$C$1476)*CROQUIS_DATOS!$C$1561-(0)*CROQUIS_DATOS!$C$1561))/CROQUIS_DATOS!$C$1568-0.000001)),1,MOD($A138-1,2)),1-IF(INT(($A138-1)/2)+1&gt;MAX(1,INT(((((CROQUIS_DATOS!$C$1503+CROQUIS_DATOS!$C$1504))-(CROQUIS_DATOS!$C$1503))+((CROQUIS_DATOS!$C$1476)*CROQUIS_DATOS!$C$1561-(0)*CROQUIS_DATOS!$C$1561))/CROQUIS_DATOS!$C$1568-0.000001)),1,MOD($A138-1,2)))=1,MIN((CROQUIS_DATOS!$C$1476)*CROQUIS_DATOS!$C$1561,((CROQUIS_DATOS!$C$1503+CROQUIS_DATOS!$C$1504)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8">
        <f>IF(AND(CROQUIS_DATOS!$C$1472=1,CROQUIS_DATOS!$C$1504&gt;0,((CROQUIS_DATOS!$C$1503+CROQUIS_DATOS!$C$1504))-(CROQUIS_DATOS!$C$1503)&gt;0.5,(CROQUIS_DATOS!$C$1476)-(0)&gt;0.5),(CROQUIS_DATOS!$C$1567+(IF(IF(MOD(MIN(INT(($A138-1)/2)+1,MAX(1,INT(((((CROQUIS_DATOS!$C$1503+CROQUIS_DATOS!$C$1504))-(CROQUIS_DATOS!$C$1503))+((CROQUIS_DATOS!$C$1476)*CROQUIS_DATOS!$C$1561-(0)*CROQUIS_DATOS!$C$1561))/CROQUIS_DATOS!$C$1568-0.000001))),2)=1,IF(INT(($A138-1)/2)+1&gt;MAX(1,INT(((((CROQUIS_DATOS!$C$1503+CROQUIS_DATOS!$C$1504))-(CROQUIS_DATOS!$C$1503))+((CROQUIS_DATOS!$C$1476)*CROQUIS_DATOS!$C$1561-(0)*CROQUIS_DATOS!$C$1561))/CROQUIS_DATOS!$C$1568-0.000001)),1,MOD($A138-1,2)),1-IF(INT(($A138-1)/2)+1&gt;MAX(1,INT(((((CROQUIS_DATOS!$C$1503+CROQUIS_DATOS!$C$1504))-(CROQUIS_DATOS!$C$1503))+((CROQUIS_DATOS!$C$1476)*CROQUIS_DATOS!$C$1561-(0)*CROQUIS_DATOS!$C$1561))/CROQUIS_DATOS!$C$1568-0.000001)),1,MOD($A138-1,2)))=1,MIN((CROQUIS_DATOS!$C$1476)*CROQUIS_DATOS!$C$1561,((CROQUIS_DATOS!$C$1503+CROQUIS_DATOS!$C$1504)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138-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8">
        <f>IF(AND(CROQUIS_DATOS!$C$1472=1,CROQUIS_DATOS!$C$1508&gt;0,((CROQUIS_DATOS!$C$1507+CROQUIS_DATOS!$C$1508))-(CROQUIS_DATOS!$C$1507)&gt;0.5,(CROQUIS_DATOS!$C$1476)-(0)&gt;0.5),(CROQUIS_DATOS!$C$1566+(IF(IF(MOD(MIN(INT(($A138-1)/2)+1,MAX(1,INT(((((CROQUIS_DATOS!$C$1507+CROQUIS_DATOS!$C$1508))-(CROQUIS_DATOS!$C$1507))+((CROQUIS_DATOS!$C$1476)*CROQUIS_DATOS!$C$1561-(0)*CROQUIS_DATOS!$C$1561))/CROQUIS_DATOS!$C$1568-0.000001))),2)=1,IF(INT(($A138-1)/2)+1&gt;MAX(1,INT(((((CROQUIS_DATOS!$C$1507+CROQUIS_DATOS!$C$1508))-(CROQUIS_DATOS!$C$1507))+((CROQUIS_DATOS!$C$1476)*CROQUIS_DATOS!$C$1561-(0)*CROQUIS_DATOS!$C$1561))/CROQUIS_DATOS!$C$1568-0.000001)),1,MOD($A138-1,2)),1-IF(INT(($A138-1)/2)+1&gt;MAX(1,INT(((((CROQUIS_DATOS!$C$1507+CROQUIS_DATOS!$C$1508))-(CROQUIS_DATOS!$C$1507))+((CROQUIS_DATOS!$C$1476)*CROQUIS_DATOS!$C$1561-(0)*CROQUIS_DATOS!$C$1561))/CROQUIS_DATOS!$C$1568-0.000001)),1,MOD($A138-1,2)))=1,MIN((CROQUIS_DATOS!$C$1476)*CROQUIS_DATOS!$C$1561,((CROQUIS_DATOS!$C$1507+CROQUIS_DATOS!$C$1508)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8">
        <f>IF(AND(CROQUIS_DATOS!$C$1472=1,CROQUIS_DATOS!$C$1508&gt;0,((CROQUIS_DATOS!$C$1507+CROQUIS_DATOS!$C$1508))-(CROQUIS_DATOS!$C$1507)&gt;0.5,(CROQUIS_DATOS!$C$1476)-(0)&gt;0.5),(CROQUIS_DATOS!$C$1567+(IF(IF(MOD(MIN(INT(($A138-1)/2)+1,MAX(1,INT(((((CROQUIS_DATOS!$C$1507+CROQUIS_DATOS!$C$1508))-(CROQUIS_DATOS!$C$1507))+((CROQUIS_DATOS!$C$1476)*CROQUIS_DATOS!$C$1561-(0)*CROQUIS_DATOS!$C$1561))/CROQUIS_DATOS!$C$1568-0.000001))),2)=1,IF(INT(($A138-1)/2)+1&gt;MAX(1,INT(((((CROQUIS_DATOS!$C$1507+CROQUIS_DATOS!$C$1508))-(CROQUIS_DATOS!$C$1507))+((CROQUIS_DATOS!$C$1476)*CROQUIS_DATOS!$C$1561-(0)*CROQUIS_DATOS!$C$1561))/CROQUIS_DATOS!$C$1568-0.000001)),1,MOD($A138-1,2)),1-IF(INT(($A138-1)/2)+1&gt;MAX(1,INT(((((CROQUIS_DATOS!$C$1507+CROQUIS_DATOS!$C$1508))-(CROQUIS_DATOS!$C$1507))+((CROQUIS_DATOS!$C$1476)*CROQUIS_DATOS!$C$1561-(0)*CROQUIS_DATOS!$C$1561))/CROQUIS_DATOS!$C$1568-0.000001)),1,MOD($A138-1,2)))=1,MIN((CROQUIS_DATOS!$C$1476)*CROQUIS_DATOS!$C$1561,((CROQUIS_DATOS!$C$1507+CROQUIS_DATOS!$C$1508)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138-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8">
        <f>IF(AND(CROQUIS_DATOS!$C$1472=1,CROQUIS_DATOS!$C$1512&gt;0,((CROQUIS_DATOS!$C$1511+CROQUIS_DATOS!$C$1512))-(CROQUIS_DATOS!$C$1511)&gt;0.5,(CROQUIS_DATOS!$C$1476)-(0)&gt;0.5),(CROQUIS_DATOS!$C$1566+(IF(IF(MOD(MIN(INT(($A138-1)/2)+1,MAX(1,INT(((((CROQUIS_DATOS!$C$1511+CROQUIS_DATOS!$C$1512))-(CROQUIS_DATOS!$C$1511))+((CROQUIS_DATOS!$C$1476)*CROQUIS_DATOS!$C$1561-(0)*CROQUIS_DATOS!$C$1561))/CROQUIS_DATOS!$C$1568-0.000001))),2)=1,IF(INT(($A138-1)/2)+1&gt;MAX(1,INT(((((CROQUIS_DATOS!$C$1511+CROQUIS_DATOS!$C$1512))-(CROQUIS_DATOS!$C$1511))+((CROQUIS_DATOS!$C$1476)*CROQUIS_DATOS!$C$1561-(0)*CROQUIS_DATOS!$C$1561))/CROQUIS_DATOS!$C$1568-0.000001)),1,MOD($A138-1,2)),1-IF(INT(($A138-1)/2)+1&gt;MAX(1,INT(((((CROQUIS_DATOS!$C$1511+CROQUIS_DATOS!$C$1512))-(CROQUIS_DATOS!$C$1511))+((CROQUIS_DATOS!$C$1476)*CROQUIS_DATOS!$C$1561-(0)*CROQUIS_DATOS!$C$1561))/CROQUIS_DATOS!$C$1568-0.000001)),1,MOD($A138-1,2)))=1,MIN((CROQUIS_DATOS!$C$1476)*CROQUIS_DATOS!$C$1561,((CROQUIS_DATOS!$C$1511+CROQUIS_DATOS!$C$1512)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8">
        <f>IF(AND(CROQUIS_DATOS!$C$1472=1,CROQUIS_DATOS!$C$1512&gt;0,((CROQUIS_DATOS!$C$1511+CROQUIS_DATOS!$C$1512))-(CROQUIS_DATOS!$C$1511)&gt;0.5,(CROQUIS_DATOS!$C$1476)-(0)&gt;0.5),(CROQUIS_DATOS!$C$1567+(IF(IF(MOD(MIN(INT(($A138-1)/2)+1,MAX(1,INT(((((CROQUIS_DATOS!$C$1511+CROQUIS_DATOS!$C$1512))-(CROQUIS_DATOS!$C$1511))+((CROQUIS_DATOS!$C$1476)*CROQUIS_DATOS!$C$1561-(0)*CROQUIS_DATOS!$C$1561))/CROQUIS_DATOS!$C$1568-0.000001))),2)=1,IF(INT(($A138-1)/2)+1&gt;MAX(1,INT(((((CROQUIS_DATOS!$C$1511+CROQUIS_DATOS!$C$1512))-(CROQUIS_DATOS!$C$1511))+((CROQUIS_DATOS!$C$1476)*CROQUIS_DATOS!$C$1561-(0)*CROQUIS_DATOS!$C$1561))/CROQUIS_DATOS!$C$1568-0.000001)),1,MOD($A138-1,2)),1-IF(INT(($A138-1)/2)+1&gt;MAX(1,INT(((((CROQUIS_DATOS!$C$1511+CROQUIS_DATOS!$C$1512))-(CROQUIS_DATOS!$C$1511))+((CROQUIS_DATOS!$C$1476)*CROQUIS_DATOS!$C$1561-(0)*CROQUIS_DATOS!$C$1561))/CROQUIS_DATOS!$C$1568-0.000001)),1,MOD($A138-1,2)))=1,MIN((CROQUIS_DATOS!$C$1476)*CROQUIS_DATOS!$C$1561,((CROQUIS_DATOS!$C$1511+CROQUIS_DATOS!$C$1512)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138-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8">
        <f>IF(AND(CROQUIS_DATOS!$C$1472=1,CROQUIS_DATOS!$C$1516&gt;0,((CROQUIS_DATOS!$C$1515+CROQUIS_DATOS!$C$1516))-(CROQUIS_DATOS!$C$1515)&gt;0.5,(CROQUIS_DATOS!$C$1476)-(0)&gt;0.5),(CROQUIS_DATOS!$C$1566+(IF(IF(MOD(MIN(INT(($A138-1)/2)+1,MAX(1,INT(((((CROQUIS_DATOS!$C$1515+CROQUIS_DATOS!$C$1516))-(CROQUIS_DATOS!$C$1515))+((CROQUIS_DATOS!$C$1476)*CROQUIS_DATOS!$C$1561-(0)*CROQUIS_DATOS!$C$1561))/CROQUIS_DATOS!$C$1568-0.000001))),2)=1,IF(INT(($A138-1)/2)+1&gt;MAX(1,INT(((((CROQUIS_DATOS!$C$1515+CROQUIS_DATOS!$C$1516))-(CROQUIS_DATOS!$C$1515))+((CROQUIS_DATOS!$C$1476)*CROQUIS_DATOS!$C$1561-(0)*CROQUIS_DATOS!$C$1561))/CROQUIS_DATOS!$C$1568-0.000001)),1,MOD($A138-1,2)),1-IF(INT(($A138-1)/2)+1&gt;MAX(1,INT(((((CROQUIS_DATOS!$C$1515+CROQUIS_DATOS!$C$1516))-(CROQUIS_DATOS!$C$1515))+((CROQUIS_DATOS!$C$1476)*CROQUIS_DATOS!$C$1561-(0)*CROQUIS_DATOS!$C$1561))/CROQUIS_DATOS!$C$1568-0.000001)),1,MOD($A138-1,2)))=1,MIN((CROQUIS_DATOS!$C$1476)*CROQUIS_DATOS!$C$1561,((CROQUIS_DATOS!$C$1515+CROQUIS_DATOS!$C$1516)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8">
        <f>IF(AND(CROQUIS_DATOS!$C$1472=1,CROQUIS_DATOS!$C$1516&gt;0,((CROQUIS_DATOS!$C$1515+CROQUIS_DATOS!$C$1516))-(CROQUIS_DATOS!$C$1515)&gt;0.5,(CROQUIS_DATOS!$C$1476)-(0)&gt;0.5),(CROQUIS_DATOS!$C$1567+(IF(IF(MOD(MIN(INT(($A138-1)/2)+1,MAX(1,INT(((((CROQUIS_DATOS!$C$1515+CROQUIS_DATOS!$C$1516))-(CROQUIS_DATOS!$C$1515))+((CROQUIS_DATOS!$C$1476)*CROQUIS_DATOS!$C$1561-(0)*CROQUIS_DATOS!$C$1561))/CROQUIS_DATOS!$C$1568-0.000001))),2)=1,IF(INT(($A138-1)/2)+1&gt;MAX(1,INT(((((CROQUIS_DATOS!$C$1515+CROQUIS_DATOS!$C$1516))-(CROQUIS_DATOS!$C$1515))+((CROQUIS_DATOS!$C$1476)*CROQUIS_DATOS!$C$1561-(0)*CROQUIS_DATOS!$C$1561))/CROQUIS_DATOS!$C$1568-0.000001)),1,MOD($A138-1,2)),1-IF(INT(($A138-1)/2)+1&gt;MAX(1,INT(((((CROQUIS_DATOS!$C$1515+CROQUIS_DATOS!$C$1516))-(CROQUIS_DATOS!$C$1515))+((CROQUIS_DATOS!$C$1476)*CROQUIS_DATOS!$C$1561-(0)*CROQUIS_DATOS!$C$1561))/CROQUIS_DATOS!$C$1568-0.000001)),1,MOD($A138-1,2)))=1,MIN((CROQUIS_DATOS!$C$1476)*CROQUIS_DATOS!$C$1561,((CROQUIS_DATOS!$C$1515+CROQUIS_DATOS!$C$1516)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138-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8">
        <f>IF(AND(CROQUIS_DATOS!$C$1472=1,CROQUIS_DATOS!$C$1478&gt;=1,((CROQUIS_DATOS!$C$1479+CROQUIS_DATOS!$C$1480))-(CROQUIS_DATOS!$C$1479)&gt;0.5,(CROQUIS_DATOS!$C$1481)-(0)&gt;0.5),(CROQUIS_DATOS!$C$1566+(IF(IF(MOD(MIN(INT(($A138-1)/2)+1,MAX(1,INT(((((CROQUIS_DATOS!$C$1479+CROQUIS_DATOS!$C$1480))-(CROQUIS_DATOS!$C$1479))+((CROQUIS_DATOS!$C$1481)*CROQUIS_DATOS!$C$1561-(0)*CROQUIS_DATOS!$C$1561))/CROQUIS_DATOS!$C$1568-0.000001))),2)=1,IF(INT(($A138-1)/2)+1&gt;MAX(1,INT(((((CROQUIS_DATOS!$C$1479+CROQUIS_DATOS!$C$1480))-(CROQUIS_DATOS!$C$1479))+((CROQUIS_DATOS!$C$1481)*CROQUIS_DATOS!$C$1561-(0)*CROQUIS_DATOS!$C$1561))/CROQUIS_DATOS!$C$1568-0.000001)),1,MOD($A138-1,2)),1-IF(INT(($A138-1)/2)+1&gt;MAX(1,INT(((((CROQUIS_DATOS!$C$1479+CROQUIS_DATOS!$C$1480))-(CROQUIS_DATOS!$C$1479))+((CROQUIS_DATOS!$C$1481)*CROQUIS_DATOS!$C$1561-(0)*CROQUIS_DATOS!$C$1561))/CROQUIS_DATOS!$C$1568-0.000001)),1,MOD($A138-1,2)))=1,MIN((CROQUIS_DATOS!$C$1481)*CROQUIS_DATOS!$C$1561,((CROQUIS_DATOS!$C$1479+CROQUIS_DATOS!$C$1480)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8">
        <f>IF(AND(CROQUIS_DATOS!$C$1472=1,CROQUIS_DATOS!$C$1478&gt;=1,((CROQUIS_DATOS!$C$1479+CROQUIS_DATOS!$C$1480))-(CROQUIS_DATOS!$C$1479)&gt;0.5,(CROQUIS_DATOS!$C$1481)-(0)&gt;0.5),(CROQUIS_DATOS!$C$1567+(IF(IF(MOD(MIN(INT(($A138-1)/2)+1,MAX(1,INT(((((CROQUIS_DATOS!$C$1479+CROQUIS_DATOS!$C$1480))-(CROQUIS_DATOS!$C$1479))+((CROQUIS_DATOS!$C$1481)*CROQUIS_DATOS!$C$1561-(0)*CROQUIS_DATOS!$C$1561))/CROQUIS_DATOS!$C$1568-0.000001))),2)=1,IF(INT(($A138-1)/2)+1&gt;MAX(1,INT(((((CROQUIS_DATOS!$C$1479+CROQUIS_DATOS!$C$1480))-(CROQUIS_DATOS!$C$1479))+((CROQUIS_DATOS!$C$1481)*CROQUIS_DATOS!$C$1561-(0)*CROQUIS_DATOS!$C$1561))/CROQUIS_DATOS!$C$1568-0.000001)),1,MOD($A138-1,2)),1-IF(INT(($A138-1)/2)+1&gt;MAX(1,INT(((((CROQUIS_DATOS!$C$1479+CROQUIS_DATOS!$C$1480))-(CROQUIS_DATOS!$C$1479))+((CROQUIS_DATOS!$C$1481)*CROQUIS_DATOS!$C$1561-(0)*CROQUIS_DATOS!$C$1561))/CROQUIS_DATOS!$C$1568-0.000001)),1,MOD($A138-1,2)))=1,MIN((CROQUIS_DATOS!$C$1481)*CROQUIS_DATOS!$C$1561,((CROQUIS_DATOS!$C$1479+CROQUIS_DATOS!$C$1480)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138-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8">
        <f>IF(AND(CROQUIS_DATOS!$C$1472=1,CROQUIS_DATOS!$C$1478&gt;=1,((CROQUIS_DATOS!$C$1479+CROQUIS_DATOS!$C$1480))-(CROQUIS_DATOS!$C$1479)&gt;0.5,(CROQUIS_DATOS!$C$1476)-((CROQUIS_DATOS!$C$1481+CROQUIS_DATOS!$C$1482))&gt;0.5),(CROQUIS_DATOS!$C$1566+(IF(IF(MOD(MIN(INT(($A138-1)/2)+1,MAX(1,INT(((((CROQUIS_DATOS!$C$1479+CROQUIS_DATOS!$C$1480))-(CROQUIS_DATOS!$C$1479))+((CROQUIS_DATOS!$C$1476)*CROQUIS_DATOS!$C$1561-((CROQUIS_DATOS!$C$1481+CROQUIS_DATOS!$C$1482))*CROQUIS_DATOS!$C$1561))/CROQUIS_DATOS!$C$1568-0.000001))),2)=1,IF(INT(($A138-1)/2)+1&gt;MAX(1,INT(((((CROQUIS_DATOS!$C$1479+CROQUIS_DATOS!$C$1480))-(CROQUIS_DATOS!$C$1479))+((CROQUIS_DATOS!$C$1476)*CROQUIS_DATOS!$C$1561-((CROQUIS_DATOS!$C$1481+CROQUIS_DATOS!$C$1482))*CROQUIS_DATOS!$C$1561))/CROQUIS_DATOS!$C$1568-0.000001)),1,MOD($A138-1,2)),1-IF(INT(($A138-1)/2)+1&gt;MAX(1,INT(((((CROQUIS_DATOS!$C$1479+CROQUIS_DATOS!$C$1480))-(CROQUIS_DATOS!$C$1479))+((CROQUIS_DATOS!$C$1476)*CROQUIS_DATOS!$C$1561-((CROQUIS_DATOS!$C$1481+CROQUIS_DATOS!$C$1482))*CROQUIS_DATOS!$C$1561))/CROQUIS_DATOS!$C$1568-0.000001)),1,MOD($A138-1,2)))=1,MIN((CROQUIS_DATOS!$C$1476)*CROQUIS_DATOS!$C$1561,((CROQUIS_DATOS!$C$1479+CROQUIS_DATOS!$C$1480)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8">
        <f>IF(AND(CROQUIS_DATOS!$C$1472=1,CROQUIS_DATOS!$C$1478&gt;=1,((CROQUIS_DATOS!$C$1479+CROQUIS_DATOS!$C$1480))-(CROQUIS_DATOS!$C$1479)&gt;0.5,(CROQUIS_DATOS!$C$1476)-((CROQUIS_DATOS!$C$1481+CROQUIS_DATOS!$C$1482))&gt;0.5),(CROQUIS_DATOS!$C$1567+(IF(IF(MOD(MIN(INT(($A138-1)/2)+1,MAX(1,INT(((((CROQUIS_DATOS!$C$1479+CROQUIS_DATOS!$C$1480))-(CROQUIS_DATOS!$C$1479))+((CROQUIS_DATOS!$C$1476)*CROQUIS_DATOS!$C$1561-((CROQUIS_DATOS!$C$1481+CROQUIS_DATOS!$C$1482))*CROQUIS_DATOS!$C$1561))/CROQUIS_DATOS!$C$1568-0.000001))),2)=1,IF(INT(($A138-1)/2)+1&gt;MAX(1,INT(((((CROQUIS_DATOS!$C$1479+CROQUIS_DATOS!$C$1480))-(CROQUIS_DATOS!$C$1479))+((CROQUIS_DATOS!$C$1476)*CROQUIS_DATOS!$C$1561-((CROQUIS_DATOS!$C$1481+CROQUIS_DATOS!$C$1482))*CROQUIS_DATOS!$C$1561))/CROQUIS_DATOS!$C$1568-0.000001)),1,MOD($A138-1,2)),1-IF(INT(($A138-1)/2)+1&gt;MAX(1,INT(((((CROQUIS_DATOS!$C$1479+CROQUIS_DATOS!$C$1480))-(CROQUIS_DATOS!$C$1479))+((CROQUIS_DATOS!$C$1476)*CROQUIS_DATOS!$C$1561-((CROQUIS_DATOS!$C$1481+CROQUIS_DATOS!$C$1482))*CROQUIS_DATOS!$C$1561))/CROQUIS_DATOS!$C$1568-0.000001)),1,MOD($A138-1,2)))=1,MIN((CROQUIS_DATOS!$C$1476)*CROQUIS_DATOS!$C$1561,((CROQUIS_DATOS!$C$1479+CROQUIS_DATOS!$C$1480)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138-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8">
        <f>IF(AND(CROQUIS_DATOS!$C$1472=1,CROQUIS_DATOS!$C$1478&gt;=2,((CROQUIS_DATOS!$C$1484+CROQUIS_DATOS!$C$1485))-(CROQUIS_DATOS!$C$1484)&gt;0.5,(CROQUIS_DATOS!$C$1486)-(0)&gt;0.5),(CROQUIS_DATOS!$C$1566+(IF(IF(MOD(MIN(INT(($A138-1)/2)+1,MAX(1,INT(((((CROQUIS_DATOS!$C$1484+CROQUIS_DATOS!$C$1485))-(CROQUIS_DATOS!$C$1484))+((CROQUIS_DATOS!$C$1486)*CROQUIS_DATOS!$C$1561-(0)*CROQUIS_DATOS!$C$1561))/CROQUIS_DATOS!$C$1568-0.000001))),2)=1,IF(INT(($A138-1)/2)+1&gt;MAX(1,INT(((((CROQUIS_DATOS!$C$1484+CROQUIS_DATOS!$C$1485))-(CROQUIS_DATOS!$C$1484))+((CROQUIS_DATOS!$C$1486)*CROQUIS_DATOS!$C$1561-(0)*CROQUIS_DATOS!$C$1561))/CROQUIS_DATOS!$C$1568-0.000001)),1,MOD($A138-1,2)),1-IF(INT(($A138-1)/2)+1&gt;MAX(1,INT(((((CROQUIS_DATOS!$C$1484+CROQUIS_DATOS!$C$1485))-(CROQUIS_DATOS!$C$1484))+((CROQUIS_DATOS!$C$1486)*CROQUIS_DATOS!$C$1561-(0)*CROQUIS_DATOS!$C$1561))/CROQUIS_DATOS!$C$1568-0.000001)),1,MOD($A138-1,2)))=1,MIN((CROQUIS_DATOS!$C$1486)*CROQUIS_DATOS!$C$1561,((CROQUIS_DATOS!$C$1484+CROQUIS_DATOS!$C$1485)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8">
        <f>IF(AND(CROQUIS_DATOS!$C$1472=1,CROQUIS_DATOS!$C$1478&gt;=2,((CROQUIS_DATOS!$C$1484+CROQUIS_DATOS!$C$1485))-(CROQUIS_DATOS!$C$1484)&gt;0.5,(CROQUIS_DATOS!$C$1486)-(0)&gt;0.5),(CROQUIS_DATOS!$C$1567+(IF(IF(MOD(MIN(INT(($A138-1)/2)+1,MAX(1,INT(((((CROQUIS_DATOS!$C$1484+CROQUIS_DATOS!$C$1485))-(CROQUIS_DATOS!$C$1484))+((CROQUIS_DATOS!$C$1486)*CROQUIS_DATOS!$C$1561-(0)*CROQUIS_DATOS!$C$1561))/CROQUIS_DATOS!$C$1568-0.000001))),2)=1,IF(INT(($A138-1)/2)+1&gt;MAX(1,INT(((((CROQUIS_DATOS!$C$1484+CROQUIS_DATOS!$C$1485))-(CROQUIS_DATOS!$C$1484))+((CROQUIS_DATOS!$C$1486)*CROQUIS_DATOS!$C$1561-(0)*CROQUIS_DATOS!$C$1561))/CROQUIS_DATOS!$C$1568-0.000001)),1,MOD($A138-1,2)),1-IF(INT(($A138-1)/2)+1&gt;MAX(1,INT(((((CROQUIS_DATOS!$C$1484+CROQUIS_DATOS!$C$1485))-(CROQUIS_DATOS!$C$1484))+((CROQUIS_DATOS!$C$1486)*CROQUIS_DATOS!$C$1561-(0)*CROQUIS_DATOS!$C$1561))/CROQUIS_DATOS!$C$1568-0.000001)),1,MOD($A138-1,2)))=1,MIN((CROQUIS_DATOS!$C$1486)*CROQUIS_DATOS!$C$1561,((CROQUIS_DATOS!$C$1484+CROQUIS_DATOS!$C$1485)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138-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8">
        <f>IF(AND(CROQUIS_DATOS!$C$1472=1,CROQUIS_DATOS!$C$1478&gt;=2,((CROQUIS_DATOS!$C$1484+CROQUIS_DATOS!$C$1485))-(CROQUIS_DATOS!$C$1484)&gt;0.5,(CROQUIS_DATOS!$C$1476)-((CROQUIS_DATOS!$C$1486+CROQUIS_DATOS!$C$1487))&gt;0.5),(CROQUIS_DATOS!$C$1566+(IF(IF(MOD(MIN(INT(($A138-1)/2)+1,MAX(1,INT(((((CROQUIS_DATOS!$C$1484+CROQUIS_DATOS!$C$1485))-(CROQUIS_DATOS!$C$1484))+((CROQUIS_DATOS!$C$1476)*CROQUIS_DATOS!$C$1561-((CROQUIS_DATOS!$C$1486+CROQUIS_DATOS!$C$1487))*CROQUIS_DATOS!$C$1561))/CROQUIS_DATOS!$C$1568-0.000001))),2)=1,IF(INT(($A138-1)/2)+1&gt;MAX(1,INT(((((CROQUIS_DATOS!$C$1484+CROQUIS_DATOS!$C$1485))-(CROQUIS_DATOS!$C$1484))+((CROQUIS_DATOS!$C$1476)*CROQUIS_DATOS!$C$1561-((CROQUIS_DATOS!$C$1486+CROQUIS_DATOS!$C$1487))*CROQUIS_DATOS!$C$1561))/CROQUIS_DATOS!$C$1568-0.000001)),1,MOD($A138-1,2)),1-IF(INT(($A138-1)/2)+1&gt;MAX(1,INT(((((CROQUIS_DATOS!$C$1484+CROQUIS_DATOS!$C$1485))-(CROQUIS_DATOS!$C$1484))+((CROQUIS_DATOS!$C$1476)*CROQUIS_DATOS!$C$1561-((CROQUIS_DATOS!$C$1486+CROQUIS_DATOS!$C$1487))*CROQUIS_DATOS!$C$1561))/CROQUIS_DATOS!$C$1568-0.000001)),1,MOD($A138-1,2)))=1,MIN((CROQUIS_DATOS!$C$1476)*CROQUIS_DATOS!$C$1561,((CROQUIS_DATOS!$C$1484+CROQUIS_DATOS!$C$1485)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8">
        <f>IF(AND(CROQUIS_DATOS!$C$1472=1,CROQUIS_DATOS!$C$1478&gt;=2,((CROQUIS_DATOS!$C$1484+CROQUIS_DATOS!$C$1485))-(CROQUIS_DATOS!$C$1484)&gt;0.5,(CROQUIS_DATOS!$C$1476)-((CROQUIS_DATOS!$C$1486+CROQUIS_DATOS!$C$1487))&gt;0.5),(CROQUIS_DATOS!$C$1567+(IF(IF(MOD(MIN(INT(($A138-1)/2)+1,MAX(1,INT(((((CROQUIS_DATOS!$C$1484+CROQUIS_DATOS!$C$1485))-(CROQUIS_DATOS!$C$1484))+((CROQUIS_DATOS!$C$1476)*CROQUIS_DATOS!$C$1561-((CROQUIS_DATOS!$C$1486+CROQUIS_DATOS!$C$1487))*CROQUIS_DATOS!$C$1561))/CROQUIS_DATOS!$C$1568-0.000001))),2)=1,IF(INT(($A138-1)/2)+1&gt;MAX(1,INT(((((CROQUIS_DATOS!$C$1484+CROQUIS_DATOS!$C$1485))-(CROQUIS_DATOS!$C$1484))+((CROQUIS_DATOS!$C$1476)*CROQUIS_DATOS!$C$1561-((CROQUIS_DATOS!$C$1486+CROQUIS_DATOS!$C$1487))*CROQUIS_DATOS!$C$1561))/CROQUIS_DATOS!$C$1568-0.000001)),1,MOD($A138-1,2)),1-IF(INT(($A138-1)/2)+1&gt;MAX(1,INT(((((CROQUIS_DATOS!$C$1484+CROQUIS_DATOS!$C$1485))-(CROQUIS_DATOS!$C$1484))+((CROQUIS_DATOS!$C$1476)*CROQUIS_DATOS!$C$1561-((CROQUIS_DATOS!$C$1486+CROQUIS_DATOS!$C$1487))*CROQUIS_DATOS!$C$1561))/CROQUIS_DATOS!$C$1568-0.000001)),1,MOD($A138-1,2)))=1,MIN((CROQUIS_DATOS!$C$1476)*CROQUIS_DATOS!$C$1561,((CROQUIS_DATOS!$C$1484+CROQUIS_DATOS!$C$1485)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138-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8">
        <f>IF(AND(CROQUIS_DATOS!$C$1472=1,CROQUIS_DATOS!$C$1478&gt;=3,((CROQUIS_DATOS!$C$1489+CROQUIS_DATOS!$C$1490))-(CROQUIS_DATOS!$C$1489)&gt;0.5,(CROQUIS_DATOS!$C$1491)-(0)&gt;0.5),(CROQUIS_DATOS!$C$1566+(IF(IF(MOD(MIN(INT(($A138-1)/2)+1,MAX(1,INT(((((CROQUIS_DATOS!$C$1489+CROQUIS_DATOS!$C$1490))-(CROQUIS_DATOS!$C$1489))+((CROQUIS_DATOS!$C$1491)*CROQUIS_DATOS!$C$1561-(0)*CROQUIS_DATOS!$C$1561))/CROQUIS_DATOS!$C$1568-0.000001))),2)=1,IF(INT(($A138-1)/2)+1&gt;MAX(1,INT(((((CROQUIS_DATOS!$C$1489+CROQUIS_DATOS!$C$1490))-(CROQUIS_DATOS!$C$1489))+((CROQUIS_DATOS!$C$1491)*CROQUIS_DATOS!$C$1561-(0)*CROQUIS_DATOS!$C$1561))/CROQUIS_DATOS!$C$1568-0.000001)),1,MOD($A138-1,2)),1-IF(INT(($A138-1)/2)+1&gt;MAX(1,INT(((((CROQUIS_DATOS!$C$1489+CROQUIS_DATOS!$C$1490))-(CROQUIS_DATOS!$C$1489))+((CROQUIS_DATOS!$C$1491)*CROQUIS_DATOS!$C$1561-(0)*CROQUIS_DATOS!$C$1561))/CROQUIS_DATOS!$C$1568-0.000001)),1,MOD($A138-1,2)))=1,MIN((CROQUIS_DATOS!$C$1491)*CROQUIS_DATOS!$C$1561,((CROQUIS_DATOS!$C$1489+CROQUIS_DATOS!$C$1490)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8">
        <f>IF(AND(CROQUIS_DATOS!$C$1472=1,CROQUIS_DATOS!$C$1478&gt;=3,((CROQUIS_DATOS!$C$1489+CROQUIS_DATOS!$C$1490))-(CROQUIS_DATOS!$C$1489)&gt;0.5,(CROQUIS_DATOS!$C$1491)-(0)&gt;0.5),(CROQUIS_DATOS!$C$1567+(IF(IF(MOD(MIN(INT(($A138-1)/2)+1,MAX(1,INT(((((CROQUIS_DATOS!$C$1489+CROQUIS_DATOS!$C$1490))-(CROQUIS_DATOS!$C$1489))+((CROQUIS_DATOS!$C$1491)*CROQUIS_DATOS!$C$1561-(0)*CROQUIS_DATOS!$C$1561))/CROQUIS_DATOS!$C$1568-0.000001))),2)=1,IF(INT(($A138-1)/2)+1&gt;MAX(1,INT(((((CROQUIS_DATOS!$C$1489+CROQUIS_DATOS!$C$1490))-(CROQUIS_DATOS!$C$1489))+((CROQUIS_DATOS!$C$1491)*CROQUIS_DATOS!$C$1561-(0)*CROQUIS_DATOS!$C$1561))/CROQUIS_DATOS!$C$1568-0.000001)),1,MOD($A138-1,2)),1-IF(INT(($A138-1)/2)+1&gt;MAX(1,INT(((((CROQUIS_DATOS!$C$1489+CROQUIS_DATOS!$C$1490))-(CROQUIS_DATOS!$C$1489))+((CROQUIS_DATOS!$C$1491)*CROQUIS_DATOS!$C$1561-(0)*CROQUIS_DATOS!$C$1561))/CROQUIS_DATOS!$C$1568-0.000001)),1,MOD($A138-1,2)))=1,MIN((CROQUIS_DATOS!$C$1491)*CROQUIS_DATOS!$C$1561,((CROQUIS_DATOS!$C$1489+CROQUIS_DATOS!$C$1490)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138-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8">
        <f>IF(AND(CROQUIS_DATOS!$C$1472=1,CROQUIS_DATOS!$C$1478&gt;=3,((CROQUIS_DATOS!$C$1489+CROQUIS_DATOS!$C$1490))-(CROQUIS_DATOS!$C$1489)&gt;0.5,(CROQUIS_DATOS!$C$1476)-((CROQUIS_DATOS!$C$1491+CROQUIS_DATOS!$C$1492))&gt;0.5),(CROQUIS_DATOS!$C$1566+(IF(IF(MOD(MIN(INT(($A138-1)/2)+1,MAX(1,INT(((((CROQUIS_DATOS!$C$1489+CROQUIS_DATOS!$C$1490))-(CROQUIS_DATOS!$C$1489))+((CROQUIS_DATOS!$C$1476)*CROQUIS_DATOS!$C$1561-((CROQUIS_DATOS!$C$1491+CROQUIS_DATOS!$C$1492))*CROQUIS_DATOS!$C$1561))/CROQUIS_DATOS!$C$1568-0.000001))),2)=1,IF(INT(($A138-1)/2)+1&gt;MAX(1,INT(((((CROQUIS_DATOS!$C$1489+CROQUIS_DATOS!$C$1490))-(CROQUIS_DATOS!$C$1489))+((CROQUIS_DATOS!$C$1476)*CROQUIS_DATOS!$C$1561-((CROQUIS_DATOS!$C$1491+CROQUIS_DATOS!$C$1492))*CROQUIS_DATOS!$C$1561))/CROQUIS_DATOS!$C$1568-0.000001)),1,MOD($A138-1,2)),1-IF(INT(($A138-1)/2)+1&gt;MAX(1,INT(((((CROQUIS_DATOS!$C$1489+CROQUIS_DATOS!$C$1490))-(CROQUIS_DATOS!$C$1489))+((CROQUIS_DATOS!$C$1476)*CROQUIS_DATOS!$C$1561-((CROQUIS_DATOS!$C$1491+CROQUIS_DATOS!$C$1492))*CROQUIS_DATOS!$C$1561))/CROQUIS_DATOS!$C$1568-0.000001)),1,MOD($A138-1,2)))=1,MIN((CROQUIS_DATOS!$C$1476)*CROQUIS_DATOS!$C$1561,((CROQUIS_DATOS!$C$1489+CROQUIS_DATOS!$C$1490)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8">
        <f>IF(AND(CROQUIS_DATOS!$C$1472=1,CROQUIS_DATOS!$C$1478&gt;=3,((CROQUIS_DATOS!$C$1489+CROQUIS_DATOS!$C$1490))-(CROQUIS_DATOS!$C$1489)&gt;0.5,(CROQUIS_DATOS!$C$1476)-((CROQUIS_DATOS!$C$1491+CROQUIS_DATOS!$C$1492))&gt;0.5),(CROQUIS_DATOS!$C$1567+(IF(IF(MOD(MIN(INT(($A138-1)/2)+1,MAX(1,INT(((((CROQUIS_DATOS!$C$1489+CROQUIS_DATOS!$C$1490))-(CROQUIS_DATOS!$C$1489))+((CROQUIS_DATOS!$C$1476)*CROQUIS_DATOS!$C$1561-((CROQUIS_DATOS!$C$1491+CROQUIS_DATOS!$C$1492))*CROQUIS_DATOS!$C$1561))/CROQUIS_DATOS!$C$1568-0.000001))),2)=1,IF(INT(($A138-1)/2)+1&gt;MAX(1,INT(((((CROQUIS_DATOS!$C$1489+CROQUIS_DATOS!$C$1490))-(CROQUIS_DATOS!$C$1489))+((CROQUIS_DATOS!$C$1476)*CROQUIS_DATOS!$C$1561-((CROQUIS_DATOS!$C$1491+CROQUIS_DATOS!$C$1492))*CROQUIS_DATOS!$C$1561))/CROQUIS_DATOS!$C$1568-0.000001)),1,MOD($A138-1,2)),1-IF(INT(($A138-1)/2)+1&gt;MAX(1,INT(((((CROQUIS_DATOS!$C$1489+CROQUIS_DATOS!$C$1490))-(CROQUIS_DATOS!$C$1489))+((CROQUIS_DATOS!$C$1476)*CROQUIS_DATOS!$C$1561-((CROQUIS_DATOS!$C$1491+CROQUIS_DATOS!$C$1492))*CROQUIS_DATOS!$C$1561))/CROQUIS_DATOS!$C$1568-0.000001)),1,MOD($A138-1,2)))=1,MIN((CROQUIS_DATOS!$C$1476)*CROQUIS_DATOS!$C$1561,((CROQUIS_DATOS!$C$1489+CROQUIS_DATOS!$C$1490)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138-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8">
        <f>IF(AND(CROQUIS_DATOS!$C$1472=1,CROQUIS_DATOS!$C$1478&gt;=4,((CROQUIS_DATOS!$C$1494+CROQUIS_DATOS!$C$1495))-(CROQUIS_DATOS!$C$1494)&gt;0.5,(CROQUIS_DATOS!$C$1496)-(0)&gt;0.5),(CROQUIS_DATOS!$C$1566+(IF(IF(MOD(MIN(INT(($A138-1)/2)+1,MAX(1,INT(((((CROQUIS_DATOS!$C$1494+CROQUIS_DATOS!$C$1495))-(CROQUIS_DATOS!$C$1494))+((CROQUIS_DATOS!$C$1496)*CROQUIS_DATOS!$C$1561-(0)*CROQUIS_DATOS!$C$1561))/CROQUIS_DATOS!$C$1568-0.000001))),2)=1,IF(INT(($A138-1)/2)+1&gt;MAX(1,INT(((((CROQUIS_DATOS!$C$1494+CROQUIS_DATOS!$C$1495))-(CROQUIS_DATOS!$C$1494))+((CROQUIS_DATOS!$C$1496)*CROQUIS_DATOS!$C$1561-(0)*CROQUIS_DATOS!$C$1561))/CROQUIS_DATOS!$C$1568-0.000001)),1,MOD($A138-1,2)),1-IF(INT(($A138-1)/2)+1&gt;MAX(1,INT(((((CROQUIS_DATOS!$C$1494+CROQUIS_DATOS!$C$1495))-(CROQUIS_DATOS!$C$1494))+((CROQUIS_DATOS!$C$1496)*CROQUIS_DATOS!$C$1561-(0)*CROQUIS_DATOS!$C$1561))/CROQUIS_DATOS!$C$1568-0.000001)),1,MOD($A138-1,2)))=1,MIN((CROQUIS_DATOS!$C$1496)*CROQUIS_DATOS!$C$1561,((CROQUIS_DATOS!$C$1494+CROQUIS_DATOS!$C$1495)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8">
        <f>IF(AND(CROQUIS_DATOS!$C$1472=1,CROQUIS_DATOS!$C$1478&gt;=4,((CROQUIS_DATOS!$C$1494+CROQUIS_DATOS!$C$1495))-(CROQUIS_DATOS!$C$1494)&gt;0.5,(CROQUIS_DATOS!$C$1496)-(0)&gt;0.5),(CROQUIS_DATOS!$C$1567+(IF(IF(MOD(MIN(INT(($A138-1)/2)+1,MAX(1,INT(((((CROQUIS_DATOS!$C$1494+CROQUIS_DATOS!$C$1495))-(CROQUIS_DATOS!$C$1494))+((CROQUIS_DATOS!$C$1496)*CROQUIS_DATOS!$C$1561-(0)*CROQUIS_DATOS!$C$1561))/CROQUIS_DATOS!$C$1568-0.000001))),2)=1,IF(INT(($A138-1)/2)+1&gt;MAX(1,INT(((((CROQUIS_DATOS!$C$1494+CROQUIS_DATOS!$C$1495))-(CROQUIS_DATOS!$C$1494))+((CROQUIS_DATOS!$C$1496)*CROQUIS_DATOS!$C$1561-(0)*CROQUIS_DATOS!$C$1561))/CROQUIS_DATOS!$C$1568-0.000001)),1,MOD($A138-1,2)),1-IF(INT(($A138-1)/2)+1&gt;MAX(1,INT(((((CROQUIS_DATOS!$C$1494+CROQUIS_DATOS!$C$1495))-(CROQUIS_DATOS!$C$1494))+((CROQUIS_DATOS!$C$1496)*CROQUIS_DATOS!$C$1561-(0)*CROQUIS_DATOS!$C$1561))/CROQUIS_DATOS!$C$1568-0.000001)),1,MOD($A138-1,2)))=1,MIN((CROQUIS_DATOS!$C$1496)*CROQUIS_DATOS!$C$1561,((CROQUIS_DATOS!$C$1494+CROQUIS_DATOS!$C$1495)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138-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8">
        <f>IF(AND(CROQUIS_DATOS!$C$1472=1,CROQUIS_DATOS!$C$1478&gt;=4,((CROQUIS_DATOS!$C$1494+CROQUIS_DATOS!$C$1495))-(CROQUIS_DATOS!$C$1494)&gt;0.5,(CROQUIS_DATOS!$C$1476)-((CROQUIS_DATOS!$C$1496+CROQUIS_DATOS!$C$1497))&gt;0.5),(CROQUIS_DATOS!$C$1566+(IF(IF(MOD(MIN(INT(($A138-1)/2)+1,MAX(1,INT(((((CROQUIS_DATOS!$C$1494+CROQUIS_DATOS!$C$1495))-(CROQUIS_DATOS!$C$1494))+((CROQUIS_DATOS!$C$1476)*CROQUIS_DATOS!$C$1561-((CROQUIS_DATOS!$C$1496+CROQUIS_DATOS!$C$1497))*CROQUIS_DATOS!$C$1561))/CROQUIS_DATOS!$C$1568-0.000001))),2)=1,IF(INT(($A138-1)/2)+1&gt;MAX(1,INT(((((CROQUIS_DATOS!$C$1494+CROQUIS_DATOS!$C$1495))-(CROQUIS_DATOS!$C$1494))+((CROQUIS_DATOS!$C$1476)*CROQUIS_DATOS!$C$1561-((CROQUIS_DATOS!$C$1496+CROQUIS_DATOS!$C$1497))*CROQUIS_DATOS!$C$1561))/CROQUIS_DATOS!$C$1568-0.000001)),1,MOD($A138-1,2)),1-IF(INT(($A138-1)/2)+1&gt;MAX(1,INT(((((CROQUIS_DATOS!$C$1494+CROQUIS_DATOS!$C$1495))-(CROQUIS_DATOS!$C$1494))+((CROQUIS_DATOS!$C$1476)*CROQUIS_DATOS!$C$1561-((CROQUIS_DATOS!$C$1496+CROQUIS_DATOS!$C$1497))*CROQUIS_DATOS!$C$1561))/CROQUIS_DATOS!$C$1568-0.000001)),1,MOD($A138-1,2)))=1,MIN((CROQUIS_DATOS!$C$1476)*CROQUIS_DATOS!$C$1561,((CROQUIS_DATOS!$C$1494+CROQUIS_DATOS!$C$1495)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8">
        <f>IF(AND(CROQUIS_DATOS!$C$1472=1,CROQUIS_DATOS!$C$1478&gt;=4,((CROQUIS_DATOS!$C$1494+CROQUIS_DATOS!$C$1495))-(CROQUIS_DATOS!$C$1494)&gt;0.5,(CROQUIS_DATOS!$C$1476)-((CROQUIS_DATOS!$C$1496+CROQUIS_DATOS!$C$1497))&gt;0.5),(CROQUIS_DATOS!$C$1567+(IF(IF(MOD(MIN(INT(($A138-1)/2)+1,MAX(1,INT(((((CROQUIS_DATOS!$C$1494+CROQUIS_DATOS!$C$1495))-(CROQUIS_DATOS!$C$1494))+((CROQUIS_DATOS!$C$1476)*CROQUIS_DATOS!$C$1561-((CROQUIS_DATOS!$C$1496+CROQUIS_DATOS!$C$1497))*CROQUIS_DATOS!$C$1561))/CROQUIS_DATOS!$C$1568-0.000001))),2)=1,IF(INT(($A138-1)/2)+1&gt;MAX(1,INT(((((CROQUIS_DATOS!$C$1494+CROQUIS_DATOS!$C$1495))-(CROQUIS_DATOS!$C$1494))+((CROQUIS_DATOS!$C$1476)*CROQUIS_DATOS!$C$1561-((CROQUIS_DATOS!$C$1496+CROQUIS_DATOS!$C$1497))*CROQUIS_DATOS!$C$1561))/CROQUIS_DATOS!$C$1568-0.000001)),1,MOD($A138-1,2)),1-IF(INT(($A138-1)/2)+1&gt;MAX(1,INT(((((CROQUIS_DATOS!$C$1494+CROQUIS_DATOS!$C$1495))-(CROQUIS_DATOS!$C$1494))+((CROQUIS_DATOS!$C$1476)*CROQUIS_DATOS!$C$1561-((CROQUIS_DATOS!$C$1496+CROQUIS_DATOS!$C$1497))*CROQUIS_DATOS!$C$1561))/CROQUIS_DATOS!$C$1568-0.000001)),1,MOD($A138-1,2)))=1,MIN((CROQUIS_DATOS!$C$1476)*CROQUIS_DATOS!$C$1561,((CROQUIS_DATOS!$C$1494+CROQUIS_DATOS!$C$1495)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138-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39">
      <c r="A139" t="n">
        <v>132</v>
      </c>
      <c r="N139">
        <f>IF(AND(CROQUIS_DATOS!$C$1472=1,1),(CROQUIS_DATOS!$C$1563+(IF(IF(IF(INT(($A139-1)/70)+1&gt;CROQUIS_DATOS!$C$1525,70,MOD($A139-1,70)+1)=1,0,IF(IF(INT(($A139-1)/70)+1&gt;CROQUIS_DATOS!$C$1525,70,MOD($A139-1,70)+1)&gt;2*CROQUIS_DATOS!$C$1541+1,IF(MOD(CROQUIS_DATOS!$C$1541,2)=1,1,0),IF(MOD(MIN(INT((IF(INT(($A139-1)/70)+1&gt;CROQUIS_DATOS!$C$1525,70,MOD($A139-1,70)+1)-2)/2)+1,CROQUIS_DATOS!$C$1541),2)=1,IF(MOD(IF(INT(($A139-1)/70)+1&gt;CROQUIS_DATOS!$C$1525,70,MOD($A139-1,70)+1)-2,2)=0,0,1),IF(MOD(IF(INT(($A139-1)/70)+1&gt;CROQUIS_DATOS!$C$1525,70,MOD($A139-1,70)+1)-2,2)=0,1,0))))=0,(INDEX($E$8:$E$23,MIN(INT(($A139-1)/70)+1,CROQUIS_DATOS!$C$1525))-INDEX($F$8:$F$23,MIN(INT(($A139-1)/70)+1,CROQUIS_DATOS!$C$1525))/2),(INDEX($E$8:$E$23,MIN(INT(($A139-1)/70)+1,CROQUIS_DATOS!$C$1525))+INDEX($F$8:$F$23,MIN(INT(($A139-1)/70)+1,CROQUIS_DATOS!$C$1525))/2)))*CROQUIS_DATOS!$C$1562),-1000)</f>
        <v>18.5775862068965</v>
      </c>
      <c r="O139">
        <f>IF(AND(CROQUIS_DATOS!$C$1472=1,1),(CROQUIS_DATOS!$C$1564+(IF(OR(IF(INT(($A139-1)/70)+1&gt;CROQUIS_DATOS!$C$1525,70,MOD($A139-1,70)+1)=1,IF(INT(($A139-1)/70)+1&gt;CROQUIS_DATOS!$C$1525,70,MOD($A139-1,70)+1)&gt;2*CROQUIS_DATOS!$C$1541+1),CROQUIS_DATOS!$C$1476,INDEX($H$8:$H$41,MIN(INT((IF(INT(($A139-1)/70)+1&gt;CROQUIS_DATOS!$C$1525,70,MOD($A139-1,70)+1)-2)/2)+1,CROQUIS_DATOS!$C$1541))))*CROQUIS_DATOS!$C$1561*CROQUIS_DATOS!$C$1562),-1000)</f>
        <v>40.2068965517241</v>
      </c>
      <c r="P139">
        <f>IF(AND(CROQUIS_DATOS!$C$1472=1,CROQUIS_DATOS!$C$1555=1),(CROQUIS_DATOS!$C$1563+(IF(IF(OR(MOD($A139-1,62)+1=1,IF(CHOOSE(MIN(MAX(MIN(INT(($A139-1)/62)+1,5),1),5),CROQUIS_DATOS!$C$1501,CROQUIS_DATOS!$C$1505,CROQUIS_DATOS!$C$1509,CROQUIS_DATOS!$C$1513,CROQUIS_DATOS!$C$1517)=1,CROQUIS_DATOS!$C$1557,0)=0),0,IF(MOD($A139-1,62)+1&gt;2*IF(CHOOSE(MIN(MAX(MIN(INT(($A139-1)/62)+1,5),1),5),CROQUIS_DATOS!$C$1501,CROQUIS_DATOS!$C$1505,CROQUIS_DATOS!$C$1509,CROQUIS_DATOS!$C$1513,CROQUIS_DATOS!$C$1517)=1,CROQUIS_DATOS!$C$1557,0)+1,IF(MOD(IF(CHOOSE(MIN(MAX(MIN(INT(($A139-1)/62)+1,5),1),5),CROQUIS_DATOS!$C$1501,CROQUIS_DATOS!$C$1505,CROQUIS_DATOS!$C$1509,CROQUIS_DATOS!$C$1513,CROQUIS_DATOS!$C$1517)=1,CROQUIS_DATOS!$C$1557,0),2)=1,1,0),IF(MOD(MIN(INT((MOD($A139-1,62)+1-2)/2)+1,MAX(IF(CHOOSE(MIN(MAX(MIN(INT(($A139-1)/62)+1,5),1),5),CROQUIS_DATOS!$C$1501,CROQUIS_DATOS!$C$1505,CROQUIS_DATOS!$C$1509,CROQUIS_DATOS!$C$1513,CROQUIS_DATOS!$C$1517)=1,CROQUIS_DATOS!$C$1557,0),1)),2)=1,IF(MOD(MOD($A139-1,62)+1-2,2)=0,0,1),IF(MOD(MOD($A139-1,62)+1-2,2)=0,1,0))))=0,(CHOOSE(MIN(MAX(MIN(INT(($A139-1)/62)+1,5),1),5),CROQUIS_DATOS!$C$1499,CROQUIS_DATOS!$C$1503,CROQUIS_DATOS!$C$1507,CROQUIS_DATOS!$C$1511,CROQUIS_DATOS!$C$1515)+IF(CHOOSE(MIN(MAX(MIN(INT(($A139-1)/62)+1,5),1),5),CROQUIS_DATOS!$C$1501,CROQUIS_DATOS!$C$1505,CROQUIS_DATOS!$C$1509,CROQUIS_DATOS!$C$1513,CROQUIS_DATOS!$C$1517)=1,CROQUIS_DATOS!$C$1526,0)),(CHOOSE(MIN(MAX(MIN(INT(($A139-1)/62)+1,5),1),5),CROQUIS_DATOS!$C$1499,CROQUIS_DATOS!$C$1503,CROQUIS_DATOS!$C$1507,CROQUIS_DATOS!$C$1511,CROQUIS_DATOS!$C$1515)+CHOOSE(MIN(MAX(MIN(INT(($A139-1)/62)+1,5),1),5),CROQUIS_DATOS!$C$1500,CROQUIS_DATOS!$C$1504,CROQUIS_DATOS!$C$1508,CROQUIS_DATOS!$C$1512,CROQUIS_DATOS!$C$1516)-IF(CHOOSE(MIN(MAX(MIN(INT(($A139-1)/62)+1,5),1),5),CROQUIS_DATOS!$C$1501,CROQUIS_DATOS!$C$1505,CROQUIS_DATOS!$C$1509,CROQUIS_DATOS!$C$1513,CROQUIS_DATOS!$C$1517)=1,CROQUIS_DATOS!$C$1526,0))))*CROQUIS_DATOS!$C$1562),-1000)</f>
        <v>-1000</v>
      </c>
      <c r="Q139">
        <f>IF(AND(CROQUIS_DATOS!$C$1472=1,CROQUIS_DATOS!$C$1555=1),(CROQUIS_DATOS!$C$1564+(IF(OR(OR(MOD($A139-1,62)+1=1,IF(CHOOSE(MIN(MAX(MIN(INT(($A139-1)/62)+1,5),1),5),CROQUIS_DATOS!$C$1501,CROQUIS_DATOS!$C$1505,CROQUIS_DATOS!$C$1509,CROQUIS_DATOS!$C$1513,CROQUIS_DATOS!$C$1517)=1,CROQUIS_DATOS!$C$1557,0)=0),MOD($A139-1,62)+1&gt;2*IF(CHOOSE(MIN(MAX(MIN(INT(($A139-1)/62)+1,5),1),5),CROQUIS_DATOS!$C$1501,CROQUIS_DATOS!$C$1505,CROQUIS_DATOS!$C$1509,CROQUIS_DATOS!$C$1513,CROQUIS_DATOS!$C$1517)=1,CROQUIS_DATOS!$C$1557,0)+1),CROQUIS_DATOS!$C$1476,MIN(INT((MOD($A139-1,62)+1-2)/2)+1,MAX(IF(CHOOSE(MIN(MAX(MIN(INT(($A139-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39">
        <f>IF(AND(CROQUIS_DATOS!$C$1472=1,1),(CROQUIS_DATOS!$C$1563+(MIN(INT(($A139-1)/2)+1,CROQUIS_DATOS!$C$1558)*CROQUIS_DATOS!$C$1559)*CROQUIS_DATOS!$C$1562),-1000)</f>
        <v>82.2281167108753</v>
      </c>
      <c r="U139">
        <f>IF(AND(CROQUIS_DATOS!$C$1472=1,1),(CROQUIS_DATOS!$C$1564+(IF(INT(($A139-1)/2)+1&gt;CROQUIS_DATOS!$C$1558,IF(MOD(CROQUIS_DATOS!$C$1558,2)=1,CROQUIS_DATOS!$C$1476+CROQUIS_DATOS!$C$1528,CROQUIS_DATOS!$C$1476),IF(IF(MOD(MIN(INT(($A139-1)/2)+1,CROQUIS_DATOS!$C$1558),2)=1,MOD($A139-1,2),1-MOD($A139-1,2))=1,CROQUIS_DATOS!$C$1476+CROQUIS_DATOS!$C$1528,CROQUIS_DATOS!$C$1476)))*CROQUIS_DATOS!$C$1561*CROQUIS_DATOS!$C$1562),-1000)</f>
        <v>43</v>
      </c>
      <c r="BZ139">
        <f>IF(AND(CROQUIS_DATOS!$C$1472=1,CROQUIS_DATOS!$C$1500&gt;0,((CROQUIS_DATOS!$C$1499+CROQUIS_DATOS!$C$1500))-(CROQUIS_DATOS!$C$1499)&gt;0.5,(CROQUIS_DATOS!$C$1476)-(0)&gt;0.5),(CROQUIS_DATOS!$C$1566+(IF(IF(MOD(MIN(INT(($A139-1)/2)+1,MAX(1,INT(((((CROQUIS_DATOS!$C$1499+CROQUIS_DATOS!$C$1500))-(CROQUIS_DATOS!$C$1499))+((CROQUIS_DATOS!$C$1476)*CROQUIS_DATOS!$C$1561-(0)*CROQUIS_DATOS!$C$1561))/CROQUIS_DATOS!$C$1568-0.000001))),2)=1,IF(INT(($A139-1)/2)+1&gt;MAX(1,INT(((((CROQUIS_DATOS!$C$1499+CROQUIS_DATOS!$C$1500))-(CROQUIS_DATOS!$C$1499))+((CROQUIS_DATOS!$C$1476)*CROQUIS_DATOS!$C$1561-(0)*CROQUIS_DATOS!$C$1561))/CROQUIS_DATOS!$C$1568-0.000001)),1,MOD($A139-1,2)),1-IF(INT(($A139-1)/2)+1&gt;MAX(1,INT(((((CROQUIS_DATOS!$C$1499+CROQUIS_DATOS!$C$1500))-(CROQUIS_DATOS!$C$1499))+((CROQUIS_DATOS!$C$1476)*CROQUIS_DATOS!$C$1561-(0)*CROQUIS_DATOS!$C$1561))/CROQUIS_DATOS!$C$1568-0.000001)),1,MOD($A139-1,2)))=1,MIN((CROQUIS_DATOS!$C$1476)*CROQUIS_DATOS!$C$1561,((CROQUIS_DATOS!$C$1499+CROQUIS_DATOS!$C$1500)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39">
        <f>IF(AND(CROQUIS_DATOS!$C$1472=1,CROQUIS_DATOS!$C$1500&gt;0,((CROQUIS_DATOS!$C$1499+CROQUIS_DATOS!$C$1500))-(CROQUIS_DATOS!$C$1499)&gt;0.5,(CROQUIS_DATOS!$C$1476)-(0)&gt;0.5),(CROQUIS_DATOS!$C$1567+(IF(IF(MOD(MIN(INT(($A139-1)/2)+1,MAX(1,INT(((((CROQUIS_DATOS!$C$1499+CROQUIS_DATOS!$C$1500))-(CROQUIS_DATOS!$C$1499))+((CROQUIS_DATOS!$C$1476)*CROQUIS_DATOS!$C$1561-(0)*CROQUIS_DATOS!$C$1561))/CROQUIS_DATOS!$C$1568-0.000001))),2)=1,IF(INT(($A139-1)/2)+1&gt;MAX(1,INT(((((CROQUIS_DATOS!$C$1499+CROQUIS_DATOS!$C$1500))-(CROQUIS_DATOS!$C$1499))+((CROQUIS_DATOS!$C$1476)*CROQUIS_DATOS!$C$1561-(0)*CROQUIS_DATOS!$C$1561))/CROQUIS_DATOS!$C$1568-0.000001)),1,MOD($A139-1,2)),1-IF(INT(($A139-1)/2)+1&gt;MAX(1,INT(((((CROQUIS_DATOS!$C$1499+CROQUIS_DATOS!$C$1500))-(CROQUIS_DATOS!$C$1499))+((CROQUIS_DATOS!$C$1476)*CROQUIS_DATOS!$C$1561-(0)*CROQUIS_DATOS!$C$1561))/CROQUIS_DATOS!$C$1568-0.000001)),1,MOD($A139-1,2)))=1,MIN((CROQUIS_DATOS!$C$1476)*CROQUIS_DATOS!$C$1561,((CROQUIS_DATOS!$C$1499+CROQUIS_DATOS!$C$1500)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139-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39">
        <f>IF(AND(CROQUIS_DATOS!$C$1472=1,CROQUIS_DATOS!$C$1504&gt;0,((CROQUIS_DATOS!$C$1503+CROQUIS_DATOS!$C$1504))-(CROQUIS_DATOS!$C$1503)&gt;0.5,(CROQUIS_DATOS!$C$1476)-(0)&gt;0.5),(CROQUIS_DATOS!$C$1566+(IF(IF(MOD(MIN(INT(($A139-1)/2)+1,MAX(1,INT(((((CROQUIS_DATOS!$C$1503+CROQUIS_DATOS!$C$1504))-(CROQUIS_DATOS!$C$1503))+((CROQUIS_DATOS!$C$1476)*CROQUIS_DATOS!$C$1561-(0)*CROQUIS_DATOS!$C$1561))/CROQUIS_DATOS!$C$1568-0.000001))),2)=1,IF(INT(($A139-1)/2)+1&gt;MAX(1,INT(((((CROQUIS_DATOS!$C$1503+CROQUIS_DATOS!$C$1504))-(CROQUIS_DATOS!$C$1503))+((CROQUIS_DATOS!$C$1476)*CROQUIS_DATOS!$C$1561-(0)*CROQUIS_DATOS!$C$1561))/CROQUIS_DATOS!$C$1568-0.000001)),1,MOD($A139-1,2)),1-IF(INT(($A139-1)/2)+1&gt;MAX(1,INT(((((CROQUIS_DATOS!$C$1503+CROQUIS_DATOS!$C$1504))-(CROQUIS_DATOS!$C$1503))+((CROQUIS_DATOS!$C$1476)*CROQUIS_DATOS!$C$1561-(0)*CROQUIS_DATOS!$C$1561))/CROQUIS_DATOS!$C$1568-0.000001)),1,MOD($A139-1,2)))=1,MIN((CROQUIS_DATOS!$C$1476)*CROQUIS_DATOS!$C$1561,((CROQUIS_DATOS!$C$1503+CROQUIS_DATOS!$C$1504)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39">
        <f>IF(AND(CROQUIS_DATOS!$C$1472=1,CROQUIS_DATOS!$C$1504&gt;0,((CROQUIS_DATOS!$C$1503+CROQUIS_DATOS!$C$1504))-(CROQUIS_DATOS!$C$1503)&gt;0.5,(CROQUIS_DATOS!$C$1476)-(0)&gt;0.5),(CROQUIS_DATOS!$C$1567+(IF(IF(MOD(MIN(INT(($A139-1)/2)+1,MAX(1,INT(((((CROQUIS_DATOS!$C$1503+CROQUIS_DATOS!$C$1504))-(CROQUIS_DATOS!$C$1503))+((CROQUIS_DATOS!$C$1476)*CROQUIS_DATOS!$C$1561-(0)*CROQUIS_DATOS!$C$1561))/CROQUIS_DATOS!$C$1568-0.000001))),2)=1,IF(INT(($A139-1)/2)+1&gt;MAX(1,INT(((((CROQUIS_DATOS!$C$1503+CROQUIS_DATOS!$C$1504))-(CROQUIS_DATOS!$C$1503))+((CROQUIS_DATOS!$C$1476)*CROQUIS_DATOS!$C$1561-(0)*CROQUIS_DATOS!$C$1561))/CROQUIS_DATOS!$C$1568-0.000001)),1,MOD($A139-1,2)),1-IF(INT(($A139-1)/2)+1&gt;MAX(1,INT(((((CROQUIS_DATOS!$C$1503+CROQUIS_DATOS!$C$1504))-(CROQUIS_DATOS!$C$1503))+((CROQUIS_DATOS!$C$1476)*CROQUIS_DATOS!$C$1561-(0)*CROQUIS_DATOS!$C$1561))/CROQUIS_DATOS!$C$1568-0.000001)),1,MOD($A139-1,2)))=1,MIN((CROQUIS_DATOS!$C$1476)*CROQUIS_DATOS!$C$1561,((CROQUIS_DATOS!$C$1503+CROQUIS_DATOS!$C$1504)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139-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39">
        <f>IF(AND(CROQUIS_DATOS!$C$1472=1,CROQUIS_DATOS!$C$1508&gt;0,((CROQUIS_DATOS!$C$1507+CROQUIS_DATOS!$C$1508))-(CROQUIS_DATOS!$C$1507)&gt;0.5,(CROQUIS_DATOS!$C$1476)-(0)&gt;0.5),(CROQUIS_DATOS!$C$1566+(IF(IF(MOD(MIN(INT(($A139-1)/2)+1,MAX(1,INT(((((CROQUIS_DATOS!$C$1507+CROQUIS_DATOS!$C$1508))-(CROQUIS_DATOS!$C$1507))+((CROQUIS_DATOS!$C$1476)*CROQUIS_DATOS!$C$1561-(0)*CROQUIS_DATOS!$C$1561))/CROQUIS_DATOS!$C$1568-0.000001))),2)=1,IF(INT(($A139-1)/2)+1&gt;MAX(1,INT(((((CROQUIS_DATOS!$C$1507+CROQUIS_DATOS!$C$1508))-(CROQUIS_DATOS!$C$1507))+((CROQUIS_DATOS!$C$1476)*CROQUIS_DATOS!$C$1561-(0)*CROQUIS_DATOS!$C$1561))/CROQUIS_DATOS!$C$1568-0.000001)),1,MOD($A139-1,2)),1-IF(INT(($A139-1)/2)+1&gt;MAX(1,INT(((((CROQUIS_DATOS!$C$1507+CROQUIS_DATOS!$C$1508))-(CROQUIS_DATOS!$C$1507))+((CROQUIS_DATOS!$C$1476)*CROQUIS_DATOS!$C$1561-(0)*CROQUIS_DATOS!$C$1561))/CROQUIS_DATOS!$C$1568-0.000001)),1,MOD($A139-1,2)))=1,MIN((CROQUIS_DATOS!$C$1476)*CROQUIS_DATOS!$C$1561,((CROQUIS_DATOS!$C$1507+CROQUIS_DATOS!$C$1508)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39">
        <f>IF(AND(CROQUIS_DATOS!$C$1472=1,CROQUIS_DATOS!$C$1508&gt;0,((CROQUIS_DATOS!$C$1507+CROQUIS_DATOS!$C$1508))-(CROQUIS_DATOS!$C$1507)&gt;0.5,(CROQUIS_DATOS!$C$1476)-(0)&gt;0.5),(CROQUIS_DATOS!$C$1567+(IF(IF(MOD(MIN(INT(($A139-1)/2)+1,MAX(1,INT(((((CROQUIS_DATOS!$C$1507+CROQUIS_DATOS!$C$1508))-(CROQUIS_DATOS!$C$1507))+((CROQUIS_DATOS!$C$1476)*CROQUIS_DATOS!$C$1561-(0)*CROQUIS_DATOS!$C$1561))/CROQUIS_DATOS!$C$1568-0.000001))),2)=1,IF(INT(($A139-1)/2)+1&gt;MAX(1,INT(((((CROQUIS_DATOS!$C$1507+CROQUIS_DATOS!$C$1508))-(CROQUIS_DATOS!$C$1507))+((CROQUIS_DATOS!$C$1476)*CROQUIS_DATOS!$C$1561-(0)*CROQUIS_DATOS!$C$1561))/CROQUIS_DATOS!$C$1568-0.000001)),1,MOD($A139-1,2)),1-IF(INT(($A139-1)/2)+1&gt;MAX(1,INT(((((CROQUIS_DATOS!$C$1507+CROQUIS_DATOS!$C$1508))-(CROQUIS_DATOS!$C$1507))+((CROQUIS_DATOS!$C$1476)*CROQUIS_DATOS!$C$1561-(0)*CROQUIS_DATOS!$C$1561))/CROQUIS_DATOS!$C$1568-0.000001)),1,MOD($A139-1,2)))=1,MIN((CROQUIS_DATOS!$C$1476)*CROQUIS_DATOS!$C$1561,((CROQUIS_DATOS!$C$1507+CROQUIS_DATOS!$C$1508)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139-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39">
        <f>IF(AND(CROQUIS_DATOS!$C$1472=1,CROQUIS_DATOS!$C$1512&gt;0,((CROQUIS_DATOS!$C$1511+CROQUIS_DATOS!$C$1512))-(CROQUIS_DATOS!$C$1511)&gt;0.5,(CROQUIS_DATOS!$C$1476)-(0)&gt;0.5),(CROQUIS_DATOS!$C$1566+(IF(IF(MOD(MIN(INT(($A139-1)/2)+1,MAX(1,INT(((((CROQUIS_DATOS!$C$1511+CROQUIS_DATOS!$C$1512))-(CROQUIS_DATOS!$C$1511))+((CROQUIS_DATOS!$C$1476)*CROQUIS_DATOS!$C$1561-(0)*CROQUIS_DATOS!$C$1561))/CROQUIS_DATOS!$C$1568-0.000001))),2)=1,IF(INT(($A139-1)/2)+1&gt;MAX(1,INT(((((CROQUIS_DATOS!$C$1511+CROQUIS_DATOS!$C$1512))-(CROQUIS_DATOS!$C$1511))+((CROQUIS_DATOS!$C$1476)*CROQUIS_DATOS!$C$1561-(0)*CROQUIS_DATOS!$C$1561))/CROQUIS_DATOS!$C$1568-0.000001)),1,MOD($A139-1,2)),1-IF(INT(($A139-1)/2)+1&gt;MAX(1,INT(((((CROQUIS_DATOS!$C$1511+CROQUIS_DATOS!$C$1512))-(CROQUIS_DATOS!$C$1511))+((CROQUIS_DATOS!$C$1476)*CROQUIS_DATOS!$C$1561-(0)*CROQUIS_DATOS!$C$1561))/CROQUIS_DATOS!$C$1568-0.000001)),1,MOD($A139-1,2)))=1,MIN((CROQUIS_DATOS!$C$1476)*CROQUIS_DATOS!$C$1561,((CROQUIS_DATOS!$C$1511+CROQUIS_DATOS!$C$1512)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39">
        <f>IF(AND(CROQUIS_DATOS!$C$1472=1,CROQUIS_DATOS!$C$1512&gt;0,((CROQUIS_DATOS!$C$1511+CROQUIS_DATOS!$C$1512))-(CROQUIS_DATOS!$C$1511)&gt;0.5,(CROQUIS_DATOS!$C$1476)-(0)&gt;0.5),(CROQUIS_DATOS!$C$1567+(IF(IF(MOD(MIN(INT(($A139-1)/2)+1,MAX(1,INT(((((CROQUIS_DATOS!$C$1511+CROQUIS_DATOS!$C$1512))-(CROQUIS_DATOS!$C$1511))+((CROQUIS_DATOS!$C$1476)*CROQUIS_DATOS!$C$1561-(0)*CROQUIS_DATOS!$C$1561))/CROQUIS_DATOS!$C$1568-0.000001))),2)=1,IF(INT(($A139-1)/2)+1&gt;MAX(1,INT(((((CROQUIS_DATOS!$C$1511+CROQUIS_DATOS!$C$1512))-(CROQUIS_DATOS!$C$1511))+((CROQUIS_DATOS!$C$1476)*CROQUIS_DATOS!$C$1561-(0)*CROQUIS_DATOS!$C$1561))/CROQUIS_DATOS!$C$1568-0.000001)),1,MOD($A139-1,2)),1-IF(INT(($A139-1)/2)+1&gt;MAX(1,INT(((((CROQUIS_DATOS!$C$1511+CROQUIS_DATOS!$C$1512))-(CROQUIS_DATOS!$C$1511))+((CROQUIS_DATOS!$C$1476)*CROQUIS_DATOS!$C$1561-(0)*CROQUIS_DATOS!$C$1561))/CROQUIS_DATOS!$C$1568-0.000001)),1,MOD($A139-1,2)))=1,MIN((CROQUIS_DATOS!$C$1476)*CROQUIS_DATOS!$C$1561,((CROQUIS_DATOS!$C$1511+CROQUIS_DATOS!$C$1512)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139-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39">
        <f>IF(AND(CROQUIS_DATOS!$C$1472=1,CROQUIS_DATOS!$C$1516&gt;0,((CROQUIS_DATOS!$C$1515+CROQUIS_DATOS!$C$1516))-(CROQUIS_DATOS!$C$1515)&gt;0.5,(CROQUIS_DATOS!$C$1476)-(0)&gt;0.5),(CROQUIS_DATOS!$C$1566+(IF(IF(MOD(MIN(INT(($A139-1)/2)+1,MAX(1,INT(((((CROQUIS_DATOS!$C$1515+CROQUIS_DATOS!$C$1516))-(CROQUIS_DATOS!$C$1515))+((CROQUIS_DATOS!$C$1476)*CROQUIS_DATOS!$C$1561-(0)*CROQUIS_DATOS!$C$1561))/CROQUIS_DATOS!$C$1568-0.000001))),2)=1,IF(INT(($A139-1)/2)+1&gt;MAX(1,INT(((((CROQUIS_DATOS!$C$1515+CROQUIS_DATOS!$C$1516))-(CROQUIS_DATOS!$C$1515))+((CROQUIS_DATOS!$C$1476)*CROQUIS_DATOS!$C$1561-(0)*CROQUIS_DATOS!$C$1561))/CROQUIS_DATOS!$C$1568-0.000001)),1,MOD($A139-1,2)),1-IF(INT(($A139-1)/2)+1&gt;MAX(1,INT(((((CROQUIS_DATOS!$C$1515+CROQUIS_DATOS!$C$1516))-(CROQUIS_DATOS!$C$1515))+((CROQUIS_DATOS!$C$1476)*CROQUIS_DATOS!$C$1561-(0)*CROQUIS_DATOS!$C$1561))/CROQUIS_DATOS!$C$1568-0.000001)),1,MOD($A139-1,2)))=1,MIN((CROQUIS_DATOS!$C$1476)*CROQUIS_DATOS!$C$1561,((CROQUIS_DATOS!$C$1515+CROQUIS_DATOS!$C$1516)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39">
        <f>IF(AND(CROQUIS_DATOS!$C$1472=1,CROQUIS_DATOS!$C$1516&gt;0,((CROQUIS_DATOS!$C$1515+CROQUIS_DATOS!$C$1516))-(CROQUIS_DATOS!$C$1515)&gt;0.5,(CROQUIS_DATOS!$C$1476)-(0)&gt;0.5),(CROQUIS_DATOS!$C$1567+(IF(IF(MOD(MIN(INT(($A139-1)/2)+1,MAX(1,INT(((((CROQUIS_DATOS!$C$1515+CROQUIS_DATOS!$C$1516))-(CROQUIS_DATOS!$C$1515))+((CROQUIS_DATOS!$C$1476)*CROQUIS_DATOS!$C$1561-(0)*CROQUIS_DATOS!$C$1561))/CROQUIS_DATOS!$C$1568-0.000001))),2)=1,IF(INT(($A139-1)/2)+1&gt;MAX(1,INT(((((CROQUIS_DATOS!$C$1515+CROQUIS_DATOS!$C$1516))-(CROQUIS_DATOS!$C$1515))+((CROQUIS_DATOS!$C$1476)*CROQUIS_DATOS!$C$1561-(0)*CROQUIS_DATOS!$C$1561))/CROQUIS_DATOS!$C$1568-0.000001)),1,MOD($A139-1,2)),1-IF(INT(($A139-1)/2)+1&gt;MAX(1,INT(((((CROQUIS_DATOS!$C$1515+CROQUIS_DATOS!$C$1516))-(CROQUIS_DATOS!$C$1515))+((CROQUIS_DATOS!$C$1476)*CROQUIS_DATOS!$C$1561-(0)*CROQUIS_DATOS!$C$1561))/CROQUIS_DATOS!$C$1568-0.000001)),1,MOD($A139-1,2)))=1,MIN((CROQUIS_DATOS!$C$1476)*CROQUIS_DATOS!$C$1561,((CROQUIS_DATOS!$C$1515+CROQUIS_DATOS!$C$1516)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139-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39">
        <f>IF(AND(CROQUIS_DATOS!$C$1472=1,CROQUIS_DATOS!$C$1478&gt;=1,((CROQUIS_DATOS!$C$1479+CROQUIS_DATOS!$C$1480))-(CROQUIS_DATOS!$C$1479)&gt;0.5,(CROQUIS_DATOS!$C$1481)-(0)&gt;0.5),(CROQUIS_DATOS!$C$1566+(IF(IF(MOD(MIN(INT(($A139-1)/2)+1,MAX(1,INT(((((CROQUIS_DATOS!$C$1479+CROQUIS_DATOS!$C$1480))-(CROQUIS_DATOS!$C$1479))+((CROQUIS_DATOS!$C$1481)*CROQUIS_DATOS!$C$1561-(0)*CROQUIS_DATOS!$C$1561))/CROQUIS_DATOS!$C$1568-0.000001))),2)=1,IF(INT(($A139-1)/2)+1&gt;MAX(1,INT(((((CROQUIS_DATOS!$C$1479+CROQUIS_DATOS!$C$1480))-(CROQUIS_DATOS!$C$1479))+((CROQUIS_DATOS!$C$1481)*CROQUIS_DATOS!$C$1561-(0)*CROQUIS_DATOS!$C$1561))/CROQUIS_DATOS!$C$1568-0.000001)),1,MOD($A139-1,2)),1-IF(INT(($A139-1)/2)+1&gt;MAX(1,INT(((((CROQUIS_DATOS!$C$1479+CROQUIS_DATOS!$C$1480))-(CROQUIS_DATOS!$C$1479))+((CROQUIS_DATOS!$C$1481)*CROQUIS_DATOS!$C$1561-(0)*CROQUIS_DATOS!$C$1561))/CROQUIS_DATOS!$C$1568-0.000001)),1,MOD($A139-1,2)))=1,MIN((CROQUIS_DATOS!$C$1481)*CROQUIS_DATOS!$C$1561,((CROQUIS_DATOS!$C$1479+CROQUIS_DATOS!$C$1480)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39">
        <f>IF(AND(CROQUIS_DATOS!$C$1472=1,CROQUIS_DATOS!$C$1478&gt;=1,((CROQUIS_DATOS!$C$1479+CROQUIS_DATOS!$C$1480))-(CROQUIS_DATOS!$C$1479)&gt;0.5,(CROQUIS_DATOS!$C$1481)-(0)&gt;0.5),(CROQUIS_DATOS!$C$1567+(IF(IF(MOD(MIN(INT(($A139-1)/2)+1,MAX(1,INT(((((CROQUIS_DATOS!$C$1479+CROQUIS_DATOS!$C$1480))-(CROQUIS_DATOS!$C$1479))+((CROQUIS_DATOS!$C$1481)*CROQUIS_DATOS!$C$1561-(0)*CROQUIS_DATOS!$C$1561))/CROQUIS_DATOS!$C$1568-0.000001))),2)=1,IF(INT(($A139-1)/2)+1&gt;MAX(1,INT(((((CROQUIS_DATOS!$C$1479+CROQUIS_DATOS!$C$1480))-(CROQUIS_DATOS!$C$1479))+((CROQUIS_DATOS!$C$1481)*CROQUIS_DATOS!$C$1561-(0)*CROQUIS_DATOS!$C$1561))/CROQUIS_DATOS!$C$1568-0.000001)),1,MOD($A139-1,2)),1-IF(INT(($A139-1)/2)+1&gt;MAX(1,INT(((((CROQUIS_DATOS!$C$1479+CROQUIS_DATOS!$C$1480))-(CROQUIS_DATOS!$C$1479))+((CROQUIS_DATOS!$C$1481)*CROQUIS_DATOS!$C$1561-(0)*CROQUIS_DATOS!$C$1561))/CROQUIS_DATOS!$C$1568-0.000001)),1,MOD($A139-1,2)))=1,MIN((CROQUIS_DATOS!$C$1481)*CROQUIS_DATOS!$C$1561,((CROQUIS_DATOS!$C$1479+CROQUIS_DATOS!$C$1480)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139-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39">
        <f>IF(AND(CROQUIS_DATOS!$C$1472=1,CROQUIS_DATOS!$C$1478&gt;=1,((CROQUIS_DATOS!$C$1479+CROQUIS_DATOS!$C$1480))-(CROQUIS_DATOS!$C$1479)&gt;0.5,(CROQUIS_DATOS!$C$1476)-((CROQUIS_DATOS!$C$1481+CROQUIS_DATOS!$C$1482))&gt;0.5),(CROQUIS_DATOS!$C$1566+(IF(IF(MOD(MIN(INT(($A139-1)/2)+1,MAX(1,INT(((((CROQUIS_DATOS!$C$1479+CROQUIS_DATOS!$C$1480))-(CROQUIS_DATOS!$C$1479))+((CROQUIS_DATOS!$C$1476)*CROQUIS_DATOS!$C$1561-((CROQUIS_DATOS!$C$1481+CROQUIS_DATOS!$C$1482))*CROQUIS_DATOS!$C$1561))/CROQUIS_DATOS!$C$1568-0.000001))),2)=1,IF(INT(($A139-1)/2)+1&gt;MAX(1,INT(((((CROQUIS_DATOS!$C$1479+CROQUIS_DATOS!$C$1480))-(CROQUIS_DATOS!$C$1479))+((CROQUIS_DATOS!$C$1476)*CROQUIS_DATOS!$C$1561-((CROQUIS_DATOS!$C$1481+CROQUIS_DATOS!$C$1482))*CROQUIS_DATOS!$C$1561))/CROQUIS_DATOS!$C$1568-0.000001)),1,MOD($A139-1,2)),1-IF(INT(($A139-1)/2)+1&gt;MAX(1,INT(((((CROQUIS_DATOS!$C$1479+CROQUIS_DATOS!$C$1480))-(CROQUIS_DATOS!$C$1479))+((CROQUIS_DATOS!$C$1476)*CROQUIS_DATOS!$C$1561-((CROQUIS_DATOS!$C$1481+CROQUIS_DATOS!$C$1482))*CROQUIS_DATOS!$C$1561))/CROQUIS_DATOS!$C$1568-0.000001)),1,MOD($A139-1,2)))=1,MIN((CROQUIS_DATOS!$C$1476)*CROQUIS_DATOS!$C$1561,((CROQUIS_DATOS!$C$1479+CROQUIS_DATOS!$C$1480)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39">
        <f>IF(AND(CROQUIS_DATOS!$C$1472=1,CROQUIS_DATOS!$C$1478&gt;=1,((CROQUIS_DATOS!$C$1479+CROQUIS_DATOS!$C$1480))-(CROQUIS_DATOS!$C$1479)&gt;0.5,(CROQUIS_DATOS!$C$1476)-((CROQUIS_DATOS!$C$1481+CROQUIS_DATOS!$C$1482))&gt;0.5),(CROQUIS_DATOS!$C$1567+(IF(IF(MOD(MIN(INT(($A139-1)/2)+1,MAX(1,INT(((((CROQUIS_DATOS!$C$1479+CROQUIS_DATOS!$C$1480))-(CROQUIS_DATOS!$C$1479))+((CROQUIS_DATOS!$C$1476)*CROQUIS_DATOS!$C$1561-((CROQUIS_DATOS!$C$1481+CROQUIS_DATOS!$C$1482))*CROQUIS_DATOS!$C$1561))/CROQUIS_DATOS!$C$1568-0.000001))),2)=1,IF(INT(($A139-1)/2)+1&gt;MAX(1,INT(((((CROQUIS_DATOS!$C$1479+CROQUIS_DATOS!$C$1480))-(CROQUIS_DATOS!$C$1479))+((CROQUIS_DATOS!$C$1476)*CROQUIS_DATOS!$C$1561-((CROQUIS_DATOS!$C$1481+CROQUIS_DATOS!$C$1482))*CROQUIS_DATOS!$C$1561))/CROQUIS_DATOS!$C$1568-0.000001)),1,MOD($A139-1,2)),1-IF(INT(($A139-1)/2)+1&gt;MAX(1,INT(((((CROQUIS_DATOS!$C$1479+CROQUIS_DATOS!$C$1480))-(CROQUIS_DATOS!$C$1479))+((CROQUIS_DATOS!$C$1476)*CROQUIS_DATOS!$C$1561-((CROQUIS_DATOS!$C$1481+CROQUIS_DATOS!$C$1482))*CROQUIS_DATOS!$C$1561))/CROQUIS_DATOS!$C$1568-0.000001)),1,MOD($A139-1,2)))=1,MIN((CROQUIS_DATOS!$C$1476)*CROQUIS_DATOS!$C$1561,((CROQUIS_DATOS!$C$1479+CROQUIS_DATOS!$C$1480)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139-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39">
        <f>IF(AND(CROQUIS_DATOS!$C$1472=1,CROQUIS_DATOS!$C$1478&gt;=2,((CROQUIS_DATOS!$C$1484+CROQUIS_DATOS!$C$1485))-(CROQUIS_DATOS!$C$1484)&gt;0.5,(CROQUIS_DATOS!$C$1486)-(0)&gt;0.5),(CROQUIS_DATOS!$C$1566+(IF(IF(MOD(MIN(INT(($A139-1)/2)+1,MAX(1,INT(((((CROQUIS_DATOS!$C$1484+CROQUIS_DATOS!$C$1485))-(CROQUIS_DATOS!$C$1484))+((CROQUIS_DATOS!$C$1486)*CROQUIS_DATOS!$C$1561-(0)*CROQUIS_DATOS!$C$1561))/CROQUIS_DATOS!$C$1568-0.000001))),2)=1,IF(INT(($A139-1)/2)+1&gt;MAX(1,INT(((((CROQUIS_DATOS!$C$1484+CROQUIS_DATOS!$C$1485))-(CROQUIS_DATOS!$C$1484))+((CROQUIS_DATOS!$C$1486)*CROQUIS_DATOS!$C$1561-(0)*CROQUIS_DATOS!$C$1561))/CROQUIS_DATOS!$C$1568-0.000001)),1,MOD($A139-1,2)),1-IF(INT(($A139-1)/2)+1&gt;MAX(1,INT(((((CROQUIS_DATOS!$C$1484+CROQUIS_DATOS!$C$1485))-(CROQUIS_DATOS!$C$1484))+((CROQUIS_DATOS!$C$1486)*CROQUIS_DATOS!$C$1561-(0)*CROQUIS_DATOS!$C$1561))/CROQUIS_DATOS!$C$1568-0.000001)),1,MOD($A139-1,2)))=1,MIN((CROQUIS_DATOS!$C$1486)*CROQUIS_DATOS!$C$1561,((CROQUIS_DATOS!$C$1484+CROQUIS_DATOS!$C$1485)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39">
        <f>IF(AND(CROQUIS_DATOS!$C$1472=1,CROQUIS_DATOS!$C$1478&gt;=2,((CROQUIS_DATOS!$C$1484+CROQUIS_DATOS!$C$1485))-(CROQUIS_DATOS!$C$1484)&gt;0.5,(CROQUIS_DATOS!$C$1486)-(0)&gt;0.5),(CROQUIS_DATOS!$C$1567+(IF(IF(MOD(MIN(INT(($A139-1)/2)+1,MAX(1,INT(((((CROQUIS_DATOS!$C$1484+CROQUIS_DATOS!$C$1485))-(CROQUIS_DATOS!$C$1484))+((CROQUIS_DATOS!$C$1486)*CROQUIS_DATOS!$C$1561-(0)*CROQUIS_DATOS!$C$1561))/CROQUIS_DATOS!$C$1568-0.000001))),2)=1,IF(INT(($A139-1)/2)+1&gt;MAX(1,INT(((((CROQUIS_DATOS!$C$1484+CROQUIS_DATOS!$C$1485))-(CROQUIS_DATOS!$C$1484))+((CROQUIS_DATOS!$C$1486)*CROQUIS_DATOS!$C$1561-(0)*CROQUIS_DATOS!$C$1561))/CROQUIS_DATOS!$C$1568-0.000001)),1,MOD($A139-1,2)),1-IF(INT(($A139-1)/2)+1&gt;MAX(1,INT(((((CROQUIS_DATOS!$C$1484+CROQUIS_DATOS!$C$1485))-(CROQUIS_DATOS!$C$1484))+((CROQUIS_DATOS!$C$1486)*CROQUIS_DATOS!$C$1561-(0)*CROQUIS_DATOS!$C$1561))/CROQUIS_DATOS!$C$1568-0.000001)),1,MOD($A139-1,2)))=1,MIN((CROQUIS_DATOS!$C$1486)*CROQUIS_DATOS!$C$1561,((CROQUIS_DATOS!$C$1484+CROQUIS_DATOS!$C$1485)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139-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39">
        <f>IF(AND(CROQUIS_DATOS!$C$1472=1,CROQUIS_DATOS!$C$1478&gt;=2,((CROQUIS_DATOS!$C$1484+CROQUIS_DATOS!$C$1485))-(CROQUIS_DATOS!$C$1484)&gt;0.5,(CROQUIS_DATOS!$C$1476)-((CROQUIS_DATOS!$C$1486+CROQUIS_DATOS!$C$1487))&gt;0.5),(CROQUIS_DATOS!$C$1566+(IF(IF(MOD(MIN(INT(($A139-1)/2)+1,MAX(1,INT(((((CROQUIS_DATOS!$C$1484+CROQUIS_DATOS!$C$1485))-(CROQUIS_DATOS!$C$1484))+((CROQUIS_DATOS!$C$1476)*CROQUIS_DATOS!$C$1561-((CROQUIS_DATOS!$C$1486+CROQUIS_DATOS!$C$1487))*CROQUIS_DATOS!$C$1561))/CROQUIS_DATOS!$C$1568-0.000001))),2)=1,IF(INT(($A139-1)/2)+1&gt;MAX(1,INT(((((CROQUIS_DATOS!$C$1484+CROQUIS_DATOS!$C$1485))-(CROQUIS_DATOS!$C$1484))+((CROQUIS_DATOS!$C$1476)*CROQUIS_DATOS!$C$1561-((CROQUIS_DATOS!$C$1486+CROQUIS_DATOS!$C$1487))*CROQUIS_DATOS!$C$1561))/CROQUIS_DATOS!$C$1568-0.000001)),1,MOD($A139-1,2)),1-IF(INT(($A139-1)/2)+1&gt;MAX(1,INT(((((CROQUIS_DATOS!$C$1484+CROQUIS_DATOS!$C$1485))-(CROQUIS_DATOS!$C$1484))+((CROQUIS_DATOS!$C$1476)*CROQUIS_DATOS!$C$1561-((CROQUIS_DATOS!$C$1486+CROQUIS_DATOS!$C$1487))*CROQUIS_DATOS!$C$1561))/CROQUIS_DATOS!$C$1568-0.000001)),1,MOD($A139-1,2)))=1,MIN((CROQUIS_DATOS!$C$1476)*CROQUIS_DATOS!$C$1561,((CROQUIS_DATOS!$C$1484+CROQUIS_DATOS!$C$1485)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39">
        <f>IF(AND(CROQUIS_DATOS!$C$1472=1,CROQUIS_DATOS!$C$1478&gt;=2,((CROQUIS_DATOS!$C$1484+CROQUIS_DATOS!$C$1485))-(CROQUIS_DATOS!$C$1484)&gt;0.5,(CROQUIS_DATOS!$C$1476)-((CROQUIS_DATOS!$C$1486+CROQUIS_DATOS!$C$1487))&gt;0.5),(CROQUIS_DATOS!$C$1567+(IF(IF(MOD(MIN(INT(($A139-1)/2)+1,MAX(1,INT(((((CROQUIS_DATOS!$C$1484+CROQUIS_DATOS!$C$1485))-(CROQUIS_DATOS!$C$1484))+((CROQUIS_DATOS!$C$1476)*CROQUIS_DATOS!$C$1561-((CROQUIS_DATOS!$C$1486+CROQUIS_DATOS!$C$1487))*CROQUIS_DATOS!$C$1561))/CROQUIS_DATOS!$C$1568-0.000001))),2)=1,IF(INT(($A139-1)/2)+1&gt;MAX(1,INT(((((CROQUIS_DATOS!$C$1484+CROQUIS_DATOS!$C$1485))-(CROQUIS_DATOS!$C$1484))+((CROQUIS_DATOS!$C$1476)*CROQUIS_DATOS!$C$1561-((CROQUIS_DATOS!$C$1486+CROQUIS_DATOS!$C$1487))*CROQUIS_DATOS!$C$1561))/CROQUIS_DATOS!$C$1568-0.000001)),1,MOD($A139-1,2)),1-IF(INT(($A139-1)/2)+1&gt;MAX(1,INT(((((CROQUIS_DATOS!$C$1484+CROQUIS_DATOS!$C$1485))-(CROQUIS_DATOS!$C$1484))+((CROQUIS_DATOS!$C$1476)*CROQUIS_DATOS!$C$1561-((CROQUIS_DATOS!$C$1486+CROQUIS_DATOS!$C$1487))*CROQUIS_DATOS!$C$1561))/CROQUIS_DATOS!$C$1568-0.000001)),1,MOD($A139-1,2)))=1,MIN((CROQUIS_DATOS!$C$1476)*CROQUIS_DATOS!$C$1561,((CROQUIS_DATOS!$C$1484+CROQUIS_DATOS!$C$1485)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139-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39">
        <f>IF(AND(CROQUIS_DATOS!$C$1472=1,CROQUIS_DATOS!$C$1478&gt;=3,((CROQUIS_DATOS!$C$1489+CROQUIS_DATOS!$C$1490))-(CROQUIS_DATOS!$C$1489)&gt;0.5,(CROQUIS_DATOS!$C$1491)-(0)&gt;0.5),(CROQUIS_DATOS!$C$1566+(IF(IF(MOD(MIN(INT(($A139-1)/2)+1,MAX(1,INT(((((CROQUIS_DATOS!$C$1489+CROQUIS_DATOS!$C$1490))-(CROQUIS_DATOS!$C$1489))+((CROQUIS_DATOS!$C$1491)*CROQUIS_DATOS!$C$1561-(0)*CROQUIS_DATOS!$C$1561))/CROQUIS_DATOS!$C$1568-0.000001))),2)=1,IF(INT(($A139-1)/2)+1&gt;MAX(1,INT(((((CROQUIS_DATOS!$C$1489+CROQUIS_DATOS!$C$1490))-(CROQUIS_DATOS!$C$1489))+((CROQUIS_DATOS!$C$1491)*CROQUIS_DATOS!$C$1561-(0)*CROQUIS_DATOS!$C$1561))/CROQUIS_DATOS!$C$1568-0.000001)),1,MOD($A139-1,2)),1-IF(INT(($A139-1)/2)+1&gt;MAX(1,INT(((((CROQUIS_DATOS!$C$1489+CROQUIS_DATOS!$C$1490))-(CROQUIS_DATOS!$C$1489))+((CROQUIS_DATOS!$C$1491)*CROQUIS_DATOS!$C$1561-(0)*CROQUIS_DATOS!$C$1561))/CROQUIS_DATOS!$C$1568-0.000001)),1,MOD($A139-1,2)))=1,MIN((CROQUIS_DATOS!$C$1491)*CROQUIS_DATOS!$C$1561,((CROQUIS_DATOS!$C$1489+CROQUIS_DATOS!$C$1490)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39">
        <f>IF(AND(CROQUIS_DATOS!$C$1472=1,CROQUIS_DATOS!$C$1478&gt;=3,((CROQUIS_DATOS!$C$1489+CROQUIS_DATOS!$C$1490))-(CROQUIS_DATOS!$C$1489)&gt;0.5,(CROQUIS_DATOS!$C$1491)-(0)&gt;0.5),(CROQUIS_DATOS!$C$1567+(IF(IF(MOD(MIN(INT(($A139-1)/2)+1,MAX(1,INT(((((CROQUIS_DATOS!$C$1489+CROQUIS_DATOS!$C$1490))-(CROQUIS_DATOS!$C$1489))+((CROQUIS_DATOS!$C$1491)*CROQUIS_DATOS!$C$1561-(0)*CROQUIS_DATOS!$C$1561))/CROQUIS_DATOS!$C$1568-0.000001))),2)=1,IF(INT(($A139-1)/2)+1&gt;MAX(1,INT(((((CROQUIS_DATOS!$C$1489+CROQUIS_DATOS!$C$1490))-(CROQUIS_DATOS!$C$1489))+((CROQUIS_DATOS!$C$1491)*CROQUIS_DATOS!$C$1561-(0)*CROQUIS_DATOS!$C$1561))/CROQUIS_DATOS!$C$1568-0.000001)),1,MOD($A139-1,2)),1-IF(INT(($A139-1)/2)+1&gt;MAX(1,INT(((((CROQUIS_DATOS!$C$1489+CROQUIS_DATOS!$C$1490))-(CROQUIS_DATOS!$C$1489))+((CROQUIS_DATOS!$C$1491)*CROQUIS_DATOS!$C$1561-(0)*CROQUIS_DATOS!$C$1561))/CROQUIS_DATOS!$C$1568-0.000001)),1,MOD($A139-1,2)))=1,MIN((CROQUIS_DATOS!$C$1491)*CROQUIS_DATOS!$C$1561,((CROQUIS_DATOS!$C$1489+CROQUIS_DATOS!$C$1490)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139-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39">
        <f>IF(AND(CROQUIS_DATOS!$C$1472=1,CROQUIS_DATOS!$C$1478&gt;=3,((CROQUIS_DATOS!$C$1489+CROQUIS_DATOS!$C$1490))-(CROQUIS_DATOS!$C$1489)&gt;0.5,(CROQUIS_DATOS!$C$1476)-((CROQUIS_DATOS!$C$1491+CROQUIS_DATOS!$C$1492))&gt;0.5),(CROQUIS_DATOS!$C$1566+(IF(IF(MOD(MIN(INT(($A139-1)/2)+1,MAX(1,INT(((((CROQUIS_DATOS!$C$1489+CROQUIS_DATOS!$C$1490))-(CROQUIS_DATOS!$C$1489))+((CROQUIS_DATOS!$C$1476)*CROQUIS_DATOS!$C$1561-((CROQUIS_DATOS!$C$1491+CROQUIS_DATOS!$C$1492))*CROQUIS_DATOS!$C$1561))/CROQUIS_DATOS!$C$1568-0.000001))),2)=1,IF(INT(($A139-1)/2)+1&gt;MAX(1,INT(((((CROQUIS_DATOS!$C$1489+CROQUIS_DATOS!$C$1490))-(CROQUIS_DATOS!$C$1489))+((CROQUIS_DATOS!$C$1476)*CROQUIS_DATOS!$C$1561-((CROQUIS_DATOS!$C$1491+CROQUIS_DATOS!$C$1492))*CROQUIS_DATOS!$C$1561))/CROQUIS_DATOS!$C$1568-0.000001)),1,MOD($A139-1,2)),1-IF(INT(($A139-1)/2)+1&gt;MAX(1,INT(((((CROQUIS_DATOS!$C$1489+CROQUIS_DATOS!$C$1490))-(CROQUIS_DATOS!$C$1489))+((CROQUIS_DATOS!$C$1476)*CROQUIS_DATOS!$C$1561-((CROQUIS_DATOS!$C$1491+CROQUIS_DATOS!$C$1492))*CROQUIS_DATOS!$C$1561))/CROQUIS_DATOS!$C$1568-0.000001)),1,MOD($A139-1,2)))=1,MIN((CROQUIS_DATOS!$C$1476)*CROQUIS_DATOS!$C$1561,((CROQUIS_DATOS!$C$1489+CROQUIS_DATOS!$C$1490)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39">
        <f>IF(AND(CROQUIS_DATOS!$C$1472=1,CROQUIS_DATOS!$C$1478&gt;=3,((CROQUIS_DATOS!$C$1489+CROQUIS_DATOS!$C$1490))-(CROQUIS_DATOS!$C$1489)&gt;0.5,(CROQUIS_DATOS!$C$1476)-((CROQUIS_DATOS!$C$1491+CROQUIS_DATOS!$C$1492))&gt;0.5),(CROQUIS_DATOS!$C$1567+(IF(IF(MOD(MIN(INT(($A139-1)/2)+1,MAX(1,INT(((((CROQUIS_DATOS!$C$1489+CROQUIS_DATOS!$C$1490))-(CROQUIS_DATOS!$C$1489))+((CROQUIS_DATOS!$C$1476)*CROQUIS_DATOS!$C$1561-((CROQUIS_DATOS!$C$1491+CROQUIS_DATOS!$C$1492))*CROQUIS_DATOS!$C$1561))/CROQUIS_DATOS!$C$1568-0.000001))),2)=1,IF(INT(($A139-1)/2)+1&gt;MAX(1,INT(((((CROQUIS_DATOS!$C$1489+CROQUIS_DATOS!$C$1490))-(CROQUIS_DATOS!$C$1489))+((CROQUIS_DATOS!$C$1476)*CROQUIS_DATOS!$C$1561-((CROQUIS_DATOS!$C$1491+CROQUIS_DATOS!$C$1492))*CROQUIS_DATOS!$C$1561))/CROQUIS_DATOS!$C$1568-0.000001)),1,MOD($A139-1,2)),1-IF(INT(($A139-1)/2)+1&gt;MAX(1,INT(((((CROQUIS_DATOS!$C$1489+CROQUIS_DATOS!$C$1490))-(CROQUIS_DATOS!$C$1489))+((CROQUIS_DATOS!$C$1476)*CROQUIS_DATOS!$C$1561-((CROQUIS_DATOS!$C$1491+CROQUIS_DATOS!$C$1492))*CROQUIS_DATOS!$C$1561))/CROQUIS_DATOS!$C$1568-0.000001)),1,MOD($A139-1,2)))=1,MIN((CROQUIS_DATOS!$C$1476)*CROQUIS_DATOS!$C$1561,((CROQUIS_DATOS!$C$1489+CROQUIS_DATOS!$C$1490)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139-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39">
        <f>IF(AND(CROQUIS_DATOS!$C$1472=1,CROQUIS_DATOS!$C$1478&gt;=4,((CROQUIS_DATOS!$C$1494+CROQUIS_DATOS!$C$1495))-(CROQUIS_DATOS!$C$1494)&gt;0.5,(CROQUIS_DATOS!$C$1496)-(0)&gt;0.5),(CROQUIS_DATOS!$C$1566+(IF(IF(MOD(MIN(INT(($A139-1)/2)+1,MAX(1,INT(((((CROQUIS_DATOS!$C$1494+CROQUIS_DATOS!$C$1495))-(CROQUIS_DATOS!$C$1494))+((CROQUIS_DATOS!$C$1496)*CROQUIS_DATOS!$C$1561-(0)*CROQUIS_DATOS!$C$1561))/CROQUIS_DATOS!$C$1568-0.000001))),2)=1,IF(INT(($A139-1)/2)+1&gt;MAX(1,INT(((((CROQUIS_DATOS!$C$1494+CROQUIS_DATOS!$C$1495))-(CROQUIS_DATOS!$C$1494))+((CROQUIS_DATOS!$C$1496)*CROQUIS_DATOS!$C$1561-(0)*CROQUIS_DATOS!$C$1561))/CROQUIS_DATOS!$C$1568-0.000001)),1,MOD($A139-1,2)),1-IF(INT(($A139-1)/2)+1&gt;MAX(1,INT(((((CROQUIS_DATOS!$C$1494+CROQUIS_DATOS!$C$1495))-(CROQUIS_DATOS!$C$1494))+((CROQUIS_DATOS!$C$1496)*CROQUIS_DATOS!$C$1561-(0)*CROQUIS_DATOS!$C$1561))/CROQUIS_DATOS!$C$1568-0.000001)),1,MOD($A139-1,2)))=1,MIN((CROQUIS_DATOS!$C$1496)*CROQUIS_DATOS!$C$1561,((CROQUIS_DATOS!$C$1494+CROQUIS_DATOS!$C$1495)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39">
        <f>IF(AND(CROQUIS_DATOS!$C$1472=1,CROQUIS_DATOS!$C$1478&gt;=4,((CROQUIS_DATOS!$C$1494+CROQUIS_DATOS!$C$1495))-(CROQUIS_DATOS!$C$1494)&gt;0.5,(CROQUIS_DATOS!$C$1496)-(0)&gt;0.5),(CROQUIS_DATOS!$C$1567+(IF(IF(MOD(MIN(INT(($A139-1)/2)+1,MAX(1,INT(((((CROQUIS_DATOS!$C$1494+CROQUIS_DATOS!$C$1495))-(CROQUIS_DATOS!$C$1494))+((CROQUIS_DATOS!$C$1496)*CROQUIS_DATOS!$C$1561-(0)*CROQUIS_DATOS!$C$1561))/CROQUIS_DATOS!$C$1568-0.000001))),2)=1,IF(INT(($A139-1)/2)+1&gt;MAX(1,INT(((((CROQUIS_DATOS!$C$1494+CROQUIS_DATOS!$C$1495))-(CROQUIS_DATOS!$C$1494))+((CROQUIS_DATOS!$C$1496)*CROQUIS_DATOS!$C$1561-(0)*CROQUIS_DATOS!$C$1561))/CROQUIS_DATOS!$C$1568-0.000001)),1,MOD($A139-1,2)),1-IF(INT(($A139-1)/2)+1&gt;MAX(1,INT(((((CROQUIS_DATOS!$C$1494+CROQUIS_DATOS!$C$1495))-(CROQUIS_DATOS!$C$1494))+((CROQUIS_DATOS!$C$1496)*CROQUIS_DATOS!$C$1561-(0)*CROQUIS_DATOS!$C$1561))/CROQUIS_DATOS!$C$1568-0.000001)),1,MOD($A139-1,2)))=1,MIN((CROQUIS_DATOS!$C$1496)*CROQUIS_DATOS!$C$1561,((CROQUIS_DATOS!$C$1494+CROQUIS_DATOS!$C$1495)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139-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39">
        <f>IF(AND(CROQUIS_DATOS!$C$1472=1,CROQUIS_DATOS!$C$1478&gt;=4,((CROQUIS_DATOS!$C$1494+CROQUIS_DATOS!$C$1495))-(CROQUIS_DATOS!$C$1494)&gt;0.5,(CROQUIS_DATOS!$C$1476)-((CROQUIS_DATOS!$C$1496+CROQUIS_DATOS!$C$1497))&gt;0.5),(CROQUIS_DATOS!$C$1566+(IF(IF(MOD(MIN(INT(($A139-1)/2)+1,MAX(1,INT(((((CROQUIS_DATOS!$C$1494+CROQUIS_DATOS!$C$1495))-(CROQUIS_DATOS!$C$1494))+((CROQUIS_DATOS!$C$1476)*CROQUIS_DATOS!$C$1561-((CROQUIS_DATOS!$C$1496+CROQUIS_DATOS!$C$1497))*CROQUIS_DATOS!$C$1561))/CROQUIS_DATOS!$C$1568-0.000001))),2)=1,IF(INT(($A139-1)/2)+1&gt;MAX(1,INT(((((CROQUIS_DATOS!$C$1494+CROQUIS_DATOS!$C$1495))-(CROQUIS_DATOS!$C$1494))+((CROQUIS_DATOS!$C$1476)*CROQUIS_DATOS!$C$1561-((CROQUIS_DATOS!$C$1496+CROQUIS_DATOS!$C$1497))*CROQUIS_DATOS!$C$1561))/CROQUIS_DATOS!$C$1568-0.000001)),1,MOD($A139-1,2)),1-IF(INT(($A139-1)/2)+1&gt;MAX(1,INT(((((CROQUIS_DATOS!$C$1494+CROQUIS_DATOS!$C$1495))-(CROQUIS_DATOS!$C$1494))+((CROQUIS_DATOS!$C$1476)*CROQUIS_DATOS!$C$1561-((CROQUIS_DATOS!$C$1496+CROQUIS_DATOS!$C$1497))*CROQUIS_DATOS!$C$1561))/CROQUIS_DATOS!$C$1568-0.000001)),1,MOD($A139-1,2)))=1,MIN((CROQUIS_DATOS!$C$1476)*CROQUIS_DATOS!$C$1561,((CROQUIS_DATOS!$C$1494+CROQUIS_DATOS!$C$1495)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39">
        <f>IF(AND(CROQUIS_DATOS!$C$1472=1,CROQUIS_DATOS!$C$1478&gt;=4,((CROQUIS_DATOS!$C$1494+CROQUIS_DATOS!$C$1495))-(CROQUIS_DATOS!$C$1494)&gt;0.5,(CROQUIS_DATOS!$C$1476)-((CROQUIS_DATOS!$C$1496+CROQUIS_DATOS!$C$1497))&gt;0.5),(CROQUIS_DATOS!$C$1567+(IF(IF(MOD(MIN(INT(($A139-1)/2)+1,MAX(1,INT(((((CROQUIS_DATOS!$C$1494+CROQUIS_DATOS!$C$1495))-(CROQUIS_DATOS!$C$1494))+((CROQUIS_DATOS!$C$1476)*CROQUIS_DATOS!$C$1561-((CROQUIS_DATOS!$C$1496+CROQUIS_DATOS!$C$1497))*CROQUIS_DATOS!$C$1561))/CROQUIS_DATOS!$C$1568-0.000001))),2)=1,IF(INT(($A139-1)/2)+1&gt;MAX(1,INT(((((CROQUIS_DATOS!$C$1494+CROQUIS_DATOS!$C$1495))-(CROQUIS_DATOS!$C$1494))+((CROQUIS_DATOS!$C$1476)*CROQUIS_DATOS!$C$1561-((CROQUIS_DATOS!$C$1496+CROQUIS_DATOS!$C$1497))*CROQUIS_DATOS!$C$1561))/CROQUIS_DATOS!$C$1568-0.000001)),1,MOD($A139-1,2)),1-IF(INT(($A139-1)/2)+1&gt;MAX(1,INT(((((CROQUIS_DATOS!$C$1494+CROQUIS_DATOS!$C$1495))-(CROQUIS_DATOS!$C$1494))+((CROQUIS_DATOS!$C$1476)*CROQUIS_DATOS!$C$1561-((CROQUIS_DATOS!$C$1496+CROQUIS_DATOS!$C$1497))*CROQUIS_DATOS!$C$1561))/CROQUIS_DATOS!$C$1568-0.000001)),1,MOD($A139-1,2)))=1,MIN((CROQUIS_DATOS!$C$1476)*CROQUIS_DATOS!$C$1561,((CROQUIS_DATOS!$C$1494+CROQUIS_DATOS!$C$1495)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139-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0">
      <c r="A140" t="n">
        <v>133</v>
      </c>
      <c r="N140">
        <f>IF(AND(CROQUIS_DATOS!$C$1472=1,1),(CROQUIS_DATOS!$C$1563+(IF(IF(IF(INT(($A140-1)/70)+1&gt;CROQUIS_DATOS!$C$1525,70,MOD($A140-1,70)+1)=1,0,IF(IF(INT(($A140-1)/70)+1&gt;CROQUIS_DATOS!$C$1525,70,MOD($A140-1,70)+1)&gt;2*CROQUIS_DATOS!$C$1541+1,IF(MOD(CROQUIS_DATOS!$C$1541,2)=1,1,0),IF(MOD(MIN(INT((IF(INT(($A140-1)/70)+1&gt;CROQUIS_DATOS!$C$1525,70,MOD($A140-1,70)+1)-2)/2)+1,CROQUIS_DATOS!$C$1541),2)=1,IF(MOD(IF(INT(($A140-1)/70)+1&gt;CROQUIS_DATOS!$C$1525,70,MOD($A140-1,70)+1)-2,2)=0,0,1),IF(MOD(IF(INT(($A140-1)/70)+1&gt;CROQUIS_DATOS!$C$1525,70,MOD($A140-1,70)+1)-2,2)=0,1,0))))=0,(INDEX($E$8:$E$23,MIN(INT(($A140-1)/70)+1,CROQUIS_DATOS!$C$1525))-INDEX($F$8:$F$23,MIN(INT(($A140-1)/70)+1,CROQUIS_DATOS!$C$1525))/2),(INDEX($E$8:$E$23,MIN(INT(($A140-1)/70)+1,CROQUIS_DATOS!$C$1525))+INDEX($F$8:$F$23,MIN(INT(($A140-1)/70)+1,CROQUIS_DATOS!$C$1525))/2)))*CROQUIS_DATOS!$C$1562),-1000)</f>
        <v>18.5775862068965</v>
      </c>
      <c r="O140">
        <f>IF(AND(CROQUIS_DATOS!$C$1472=1,1),(CROQUIS_DATOS!$C$1564+(IF(OR(IF(INT(($A140-1)/70)+1&gt;CROQUIS_DATOS!$C$1525,70,MOD($A140-1,70)+1)=1,IF(INT(($A140-1)/70)+1&gt;CROQUIS_DATOS!$C$1525,70,MOD($A140-1,70)+1)&gt;2*CROQUIS_DATOS!$C$1541+1),CROQUIS_DATOS!$C$1476,INDEX($H$8:$H$41,MIN(INT((IF(INT(($A140-1)/70)+1&gt;CROQUIS_DATOS!$C$1525,70,MOD($A140-1,70)+1)-2)/2)+1,CROQUIS_DATOS!$C$1541))))*CROQUIS_DATOS!$C$1561*CROQUIS_DATOS!$C$1562),-1000)</f>
        <v>40.2068965517241</v>
      </c>
      <c r="P140">
        <f>IF(AND(CROQUIS_DATOS!$C$1472=1,CROQUIS_DATOS!$C$1555=1),(CROQUIS_DATOS!$C$1563+(IF(IF(OR(MOD($A140-1,62)+1=1,IF(CHOOSE(MIN(MAX(MIN(INT(($A140-1)/62)+1,5),1),5),CROQUIS_DATOS!$C$1501,CROQUIS_DATOS!$C$1505,CROQUIS_DATOS!$C$1509,CROQUIS_DATOS!$C$1513,CROQUIS_DATOS!$C$1517)=1,CROQUIS_DATOS!$C$1557,0)=0),0,IF(MOD($A140-1,62)+1&gt;2*IF(CHOOSE(MIN(MAX(MIN(INT(($A140-1)/62)+1,5),1),5),CROQUIS_DATOS!$C$1501,CROQUIS_DATOS!$C$1505,CROQUIS_DATOS!$C$1509,CROQUIS_DATOS!$C$1513,CROQUIS_DATOS!$C$1517)=1,CROQUIS_DATOS!$C$1557,0)+1,IF(MOD(IF(CHOOSE(MIN(MAX(MIN(INT(($A140-1)/62)+1,5),1),5),CROQUIS_DATOS!$C$1501,CROQUIS_DATOS!$C$1505,CROQUIS_DATOS!$C$1509,CROQUIS_DATOS!$C$1513,CROQUIS_DATOS!$C$1517)=1,CROQUIS_DATOS!$C$1557,0),2)=1,1,0),IF(MOD(MIN(INT((MOD($A140-1,62)+1-2)/2)+1,MAX(IF(CHOOSE(MIN(MAX(MIN(INT(($A140-1)/62)+1,5),1),5),CROQUIS_DATOS!$C$1501,CROQUIS_DATOS!$C$1505,CROQUIS_DATOS!$C$1509,CROQUIS_DATOS!$C$1513,CROQUIS_DATOS!$C$1517)=1,CROQUIS_DATOS!$C$1557,0),1)),2)=1,IF(MOD(MOD($A140-1,62)+1-2,2)=0,0,1),IF(MOD(MOD($A140-1,62)+1-2,2)=0,1,0))))=0,(CHOOSE(MIN(MAX(MIN(INT(($A140-1)/62)+1,5),1),5),CROQUIS_DATOS!$C$1499,CROQUIS_DATOS!$C$1503,CROQUIS_DATOS!$C$1507,CROQUIS_DATOS!$C$1511,CROQUIS_DATOS!$C$1515)+IF(CHOOSE(MIN(MAX(MIN(INT(($A140-1)/62)+1,5),1),5),CROQUIS_DATOS!$C$1501,CROQUIS_DATOS!$C$1505,CROQUIS_DATOS!$C$1509,CROQUIS_DATOS!$C$1513,CROQUIS_DATOS!$C$1517)=1,CROQUIS_DATOS!$C$1526,0)),(CHOOSE(MIN(MAX(MIN(INT(($A140-1)/62)+1,5),1),5),CROQUIS_DATOS!$C$1499,CROQUIS_DATOS!$C$1503,CROQUIS_DATOS!$C$1507,CROQUIS_DATOS!$C$1511,CROQUIS_DATOS!$C$1515)+CHOOSE(MIN(MAX(MIN(INT(($A140-1)/62)+1,5),1),5),CROQUIS_DATOS!$C$1500,CROQUIS_DATOS!$C$1504,CROQUIS_DATOS!$C$1508,CROQUIS_DATOS!$C$1512,CROQUIS_DATOS!$C$1516)-IF(CHOOSE(MIN(MAX(MIN(INT(($A140-1)/62)+1,5),1),5),CROQUIS_DATOS!$C$1501,CROQUIS_DATOS!$C$1505,CROQUIS_DATOS!$C$1509,CROQUIS_DATOS!$C$1513,CROQUIS_DATOS!$C$1517)=1,CROQUIS_DATOS!$C$1526,0))))*CROQUIS_DATOS!$C$1562),-1000)</f>
        <v>-1000</v>
      </c>
      <c r="Q140">
        <f>IF(AND(CROQUIS_DATOS!$C$1472=1,CROQUIS_DATOS!$C$1555=1),(CROQUIS_DATOS!$C$1564+(IF(OR(OR(MOD($A140-1,62)+1=1,IF(CHOOSE(MIN(MAX(MIN(INT(($A140-1)/62)+1,5),1),5),CROQUIS_DATOS!$C$1501,CROQUIS_DATOS!$C$1505,CROQUIS_DATOS!$C$1509,CROQUIS_DATOS!$C$1513,CROQUIS_DATOS!$C$1517)=1,CROQUIS_DATOS!$C$1557,0)=0),MOD($A140-1,62)+1&gt;2*IF(CHOOSE(MIN(MAX(MIN(INT(($A140-1)/62)+1,5),1),5),CROQUIS_DATOS!$C$1501,CROQUIS_DATOS!$C$1505,CROQUIS_DATOS!$C$1509,CROQUIS_DATOS!$C$1513,CROQUIS_DATOS!$C$1517)=1,CROQUIS_DATOS!$C$1557,0)+1),CROQUIS_DATOS!$C$1476,MIN(INT((MOD($A140-1,62)+1-2)/2)+1,MAX(IF(CHOOSE(MIN(MAX(MIN(INT(($A140-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0">
        <f>IF(AND(CROQUIS_DATOS!$C$1472=1,1),(CROQUIS_DATOS!$C$1563+(MIN(INT(($A140-1)/2)+1,CROQUIS_DATOS!$C$1558)*CROQUIS_DATOS!$C$1559)*CROQUIS_DATOS!$C$1562),-1000)</f>
        <v>82.2281167108753</v>
      </c>
      <c r="U140">
        <f>IF(AND(CROQUIS_DATOS!$C$1472=1,1),(CROQUIS_DATOS!$C$1564+(IF(INT(($A140-1)/2)+1&gt;CROQUIS_DATOS!$C$1558,IF(MOD(CROQUIS_DATOS!$C$1558,2)=1,CROQUIS_DATOS!$C$1476+CROQUIS_DATOS!$C$1528,CROQUIS_DATOS!$C$1476),IF(IF(MOD(MIN(INT(($A140-1)/2)+1,CROQUIS_DATOS!$C$1558),2)=1,MOD($A140-1,2),1-MOD($A140-1,2))=1,CROQUIS_DATOS!$C$1476+CROQUIS_DATOS!$C$1528,CROQUIS_DATOS!$C$1476)))*CROQUIS_DATOS!$C$1561*CROQUIS_DATOS!$C$1562),-1000)</f>
        <v>43</v>
      </c>
      <c r="BZ140">
        <f>IF(AND(CROQUIS_DATOS!$C$1472=1,CROQUIS_DATOS!$C$1500&gt;0,((CROQUIS_DATOS!$C$1499+CROQUIS_DATOS!$C$1500))-(CROQUIS_DATOS!$C$1499)&gt;0.5,(CROQUIS_DATOS!$C$1476)-(0)&gt;0.5),(CROQUIS_DATOS!$C$1566+(IF(IF(MOD(MIN(INT(($A140-1)/2)+1,MAX(1,INT(((((CROQUIS_DATOS!$C$1499+CROQUIS_DATOS!$C$1500))-(CROQUIS_DATOS!$C$1499))+((CROQUIS_DATOS!$C$1476)*CROQUIS_DATOS!$C$1561-(0)*CROQUIS_DATOS!$C$1561))/CROQUIS_DATOS!$C$1568-0.000001))),2)=1,IF(INT(($A140-1)/2)+1&gt;MAX(1,INT(((((CROQUIS_DATOS!$C$1499+CROQUIS_DATOS!$C$1500))-(CROQUIS_DATOS!$C$1499))+((CROQUIS_DATOS!$C$1476)*CROQUIS_DATOS!$C$1561-(0)*CROQUIS_DATOS!$C$1561))/CROQUIS_DATOS!$C$1568-0.000001)),1,MOD($A140-1,2)),1-IF(INT(($A140-1)/2)+1&gt;MAX(1,INT(((((CROQUIS_DATOS!$C$1499+CROQUIS_DATOS!$C$1500))-(CROQUIS_DATOS!$C$1499))+((CROQUIS_DATOS!$C$1476)*CROQUIS_DATOS!$C$1561-(0)*CROQUIS_DATOS!$C$1561))/CROQUIS_DATOS!$C$1568-0.000001)),1,MOD($A140-1,2)))=1,MIN((CROQUIS_DATOS!$C$1476)*CROQUIS_DATOS!$C$1561,((CROQUIS_DATOS!$C$1499+CROQUIS_DATOS!$C$1500)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0">
        <f>IF(AND(CROQUIS_DATOS!$C$1472=1,CROQUIS_DATOS!$C$1500&gt;0,((CROQUIS_DATOS!$C$1499+CROQUIS_DATOS!$C$1500))-(CROQUIS_DATOS!$C$1499)&gt;0.5,(CROQUIS_DATOS!$C$1476)-(0)&gt;0.5),(CROQUIS_DATOS!$C$1567+(IF(IF(MOD(MIN(INT(($A140-1)/2)+1,MAX(1,INT(((((CROQUIS_DATOS!$C$1499+CROQUIS_DATOS!$C$1500))-(CROQUIS_DATOS!$C$1499))+((CROQUIS_DATOS!$C$1476)*CROQUIS_DATOS!$C$1561-(0)*CROQUIS_DATOS!$C$1561))/CROQUIS_DATOS!$C$1568-0.000001))),2)=1,IF(INT(($A140-1)/2)+1&gt;MAX(1,INT(((((CROQUIS_DATOS!$C$1499+CROQUIS_DATOS!$C$1500))-(CROQUIS_DATOS!$C$1499))+((CROQUIS_DATOS!$C$1476)*CROQUIS_DATOS!$C$1561-(0)*CROQUIS_DATOS!$C$1561))/CROQUIS_DATOS!$C$1568-0.000001)),1,MOD($A140-1,2)),1-IF(INT(($A140-1)/2)+1&gt;MAX(1,INT(((((CROQUIS_DATOS!$C$1499+CROQUIS_DATOS!$C$1500))-(CROQUIS_DATOS!$C$1499))+((CROQUIS_DATOS!$C$1476)*CROQUIS_DATOS!$C$1561-(0)*CROQUIS_DATOS!$C$1561))/CROQUIS_DATOS!$C$1568-0.000001)),1,MOD($A140-1,2)))=1,MIN((CROQUIS_DATOS!$C$1476)*CROQUIS_DATOS!$C$1561,((CROQUIS_DATOS!$C$1499+CROQUIS_DATOS!$C$1500)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140-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0">
        <f>IF(AND(CROQUIS_DATOS!$C$1472=1,CROQUIS_DATOS!$C$1504&gt;0,((CROQUIS_DATOS!$C$1503+CROQUIS_DATOS!$C$1504))-(CROQUIS_DATOS!$C$1503)&gt;0.5,(CROQUIS_DATOS!$C$1476)-(0)&gt;0.5),(CROQUIS_DATOS!$C$1566+(IF(IF(MOD(MIN(INT(($A140-1)/2)+1,MAX(1,INT(((((CROQUIS_DATOS!$C$1503+CROQUIS_DATOS!$C$1504))-(CROQUIS_DATOS!$C$1503))+((CROQUIS_DATOS!$C$1476)*CROQUIS_DATOS!$C$1561-(0)*CROQUIS_DATOS!$C$1561))/CROQUIS_DATOS!$C$1568-0.000001))),2)=1,IF(INT(($A140-1)/2)+1&gt;MAX(1,INT(((((CROQUIS_DATOS!$C$1503+CROQUIS_DATOS!$C$1504))-(CROQUIS_DATOS!$C$1503))+((CROQUIS_DATOS!$C$1476)*CROQUIS_DATOS!$C$1561-(0)*CROQUIS_DATOS!$C$1561))/CROQUIS_DATOS!$C$1568-0.000001)),1,MOD($A140-1,2)),1-IF(INT(($A140-1)/2)+1&gt;MAX(1,INT(((((CROQUIS_DATOS!$C$1503+CROQUIS_DATOS!$C$1504))-(CROQUIS_DATOS!$C$1503))+((CROQUIS_DATOS!$C$1476)*CROQUIS_DATOS!$C$1561-(0)*CROQUIS_DATOS!$C$1561))/CROQUIS_DATOS!$C$1568-0.000001)),1,MOD($A140-1,2)))=1,MIN((CROQUIS_DATOS!$C$1476)*CROQUIS_DATOS!$C$1561,((CROQUIS_DATOS!$C$1503+CROQUIS_DATOS!$C$1504)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0">
        <f>IF(AND(CROQUIS_DATOS!$C$1472=1,CROQUIS_DATOS!$C$1504&gt;0,((CROQUIS_DATOS!$C$1503+CROQUIS_DATOS!$C$1504))-(CROQUIS_DATOS!$C$1503)&gt;0.5,(CROQUIS_DATOS!$C$1476)-(0)&gt;0.5),(CROQUIS_DATOS!$C$1567+(IF(IF(MOD(MIN(INT(($A140-1)/2)+1,MAX(1,INT(((((CROQUIS_DATOS!$C$1503+CROQUIS_DATOS!$C$1504))-(CROQUIS_DATOS!$C$1503))+((CROQUIS_DATOS!$C$1476)*CROQUIS_DATOS!$C$1561-(0)*CROQUIS_DATOS!$C$1561))/CROQUIS_DATOS!$C$1568-0.000001))),2)=1,IF(INT(($A140-1)/2)+1&gt;MAX(1,INT(((((CROQUIS_DATOS!$C$1503+CROQUIS_DATOS!$C$1504))-(CROQUIS_DATOS!$C$1503))+((CROQUIS_DATOS!$C$1476)*CROQUIS_DATOS!$C$1561-(0)*CROQUIS_DATOS!$C$1561))/CROQUIS_DATOS!$C$1568-0.000001)),1,MOD($A140-1,2)),1-IF(INT(($A140-1)/2)+1&gt;MAX(1,INT(((((CROQUIS_DATOS!$C$1503+CROQUIS_DATOS!$C$1504))-(CROQUIS_DATOS!$C$1503))+((CROQUIS_DATOS!$C$1476)*CROQUIS_DATOS!$C$1561-(0)*CROQUIS_DATOS!$C$1561))/CROQUIS_DATOS!$C$1568-0.000001)),1,MOD($A140-1,2)))=1,MIN((CROQUIS_DATOS!$C$1476)*CROQUIS_DATOS!$C$1561,((CROQUIS_DATOS!$C$1503+CROQUIS_DATOS!$C$1504)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140-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0">
        <f>IF(AND(CROQUIS_DATOS!$C$1472=1,CROQUIS_DATOS!$C$1508&gt;0,((CROQUIS_DATOS!$C$1507+CROQUIS_DATOS!$C$1508))-(CROQUIS_DATOS!$C$1507)&gt;0.5,(CROQUIS_DATOS!$C$1476)-(0)&gt;0.5),(CROQUIS_DATOS!$C$1566+(IF(IF(MOD(MIN(INT(($A140-1)/2)+1,MAX(1,INT(((((CROQUIS_DATOS!$C$1507+CROQUIS_DATOS!$C$1508))-(CROQUIS_DATOS!$C$1507))+((CROQUIS_DATOS!$C$1476)*CROQUIS_DATOS!$C$1561-(0)*CROQUIS_DATOS!$C$1561))/CROQUIS_DATOS!$C$1568-0.000001))),2)=1,IF(INT(($A140-1)/2)+1&gt;MAX(1,INT(((((CROQUIS_DATOS!$C$1507+CROQUIS_DATOS!$C$1508))-(CROQUIS_DATOS!$C$1507))+((CROQUIS_DATOS!$C$1476)*CROQUIS_DATOS!$C$1561-(0)*CROQUIS_DATOS!$C$1561))/CROQUIS_DATOS!$C$1568-0.000001)),1,MOD($A140-1,2)),1-IF(INT(($A140-1)/2)+1&gt;MAX(1,INT(((((CROQUIS_DATOS!$C$1507+CROQUIS_DATOS!$C$1508))-(CROQUIS_DATOS!$C$1507))+((CROQUIS_DATOS!$C$1476)*CROQUIS_DATOS!$C$1561-(0)*CROQUIS_DATOS!$C$1561))/CROQUIS_DATOS!$C$1568-0.000001)),1,MOD($A140-1,2)))=1,MIN((CROQUIS_DATOS!$C$1476)*CROQUIS_DATOS!$C$1561,((CROQUIS_DATOS!$C$1507+CROQUIS_DATOS!$C$1508)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0">
        <f>IF(AND(CROQUIS_DATOS!$C$1472=1,CROQUIS_DATOS!$C$1508&gt;0,((CROQUIS_DATOS!$C$1507+CROQUIS_DATOS!$C$1508))-(CROQUIS_DATOS!$C$1507)&gt;0.5,(CROQUIS_DATOS!$C$1476)-(0)&gt;0.5),(CROQUIS_DATOS!$C$1567+(IF(IF(MOD(MIN(INT(($A140-1)/2)+1,MAX(1,INT(((((CROQUIS_DATOS!$C$1507+CROQUIS_DATOS!$C$1508))-(CROQUIS_DATOS!$C$1507))+((CROQUIS_DATOS!$C$1476)*CROQUIS_DATOS!$C$1561-(0)*CROQUIS_DATOS!$C$1561))/CROQUIS_DATOS!$C$1568-0.000001))),2)=1,IF(INT(($A140-1)/2)+1&gt;MAX(1,INT(((((CROQUIS_DATOS!$C$1507+CROQUIS_DATOS!$C$1508))-(CROQUIS_DATOS!$C$1507))+((CROQUIS_DATOS!$C$1476)*CROQUIS_DATOS!$C$1561-(0)*CROQUIS_DATOS!$C$1561))/CROQUIS_DATOS!$C$1568-0.000001)),1,MOD($A140-1,2)),1-IF(INT(($A140-1)/2)+1&gt;MAX(1,INT(((((CROQUIS_DATOS!$C$1507+CROQUIS_DATOS!$C$1508))-(CROQUIS_DATOS!$C$1507))+((CROQUIS_DATOS!$C$1476)*CROQUIS_DATOS!$C$1561-(0)*CROQUIS_DATOS!$C$1561))/CROQUIS_DATOS!$C$1568-0.000001)),1,MOD($A140-1,2)))=1,MIN((CROQUIS_DATOS!$C$1476)*CROQUIS_DATOS!$C$1561,((CROQUIS_DATOS!$C$1507+CROQUIS_DATOS!$C$1508)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140-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0">
        <f>IF(AND(CROQUIS_DATOS!$C$1472=1,CROQUIS_DATOS!$C$1512&gt;0,((CROQUIS_DATOS!$C$1511+CROQUIS_DATOS!$C$1512))-(CROQUIS_DATOS!$C$1511)&gt;0.5,(CROQUIS_DATOS!$C$1476)-(0)&gt;0.5),(CROQUIS_DATOS!$C$1566+(IF(IF(MOD(MIN(INT(($A140-1)/2)+1,MAX(1,INT(((((CROQUIS_DATOS!$C$1511+CROQUIS_DATOS!$C$1512))-(CROQUIS_DATOS!$C$1511))+((CROQUIS_DATOS!$C$1476)*CROQUIS_DATOS!$C$1561-(0)*CROQUIS_DATOS!$C$1561))/CROQUIS_DATOS!$C$1568-0.000001))),2)=1,IF(INT(($A140-1)/2)+1&gt;MAX(1,INT(((((CROQUIS_DATOS!$C$1511+CROQUIS_DATOS!$C$1512))-(CROQUIS_DATOS!$C$1511))+((CROQUIS_DATOS!$C$1476)*CROQUIS_DATOS!$C$1561-(0)*CROQUIS_DATOS!$C$1561))/CROQUIS_DATOS!$C$1568-0.000001)),1,MOD($A140-1,2)),1-IF(INT(($A140-1)/2)+1&gt;MAX(1,INT(((((CROQUIS_DATOS!$C$1511+CROQUIS_DATOS!$C$1512))-(CROQUIS_DATOS!$C$1511))+((CROQUIS_DATOS!$C$1476)*CROQUIS_DATOS!$C$1561-(0)*CROQUIS_DATOS!$C$1561))/CROQUIS_DATOS!$C$1568-0.000001)),1,MOD($A140-1,2)))=1,MIN((CROQUIS_DATOS!$C$1476)*CROQUIS_DATOS!$C$1561,((CROQUIS_DATOS!$C$1511+CROQUIS_DATOS!$C$1512)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0">
        <f>IF(AND(CROQUIS_DATOS!$C$1472=1,CROQUIS_DATOS!$C$1512&gt;0,((CROQUIS_DATOS!$C$1511+CROQUIS_DATOS!$C$1512))-(CROQUIS_DATOS!$C$1511)&gt;0.5,(CROQUIS_DATOS!$C$1476)-(0)&gt;0.5),(CROQUIS_DATOS!$C$1567+(IF(IF(MOD(MIN(INT(($A140-1)/2)+1,MAX(1,INT(((((CROQUIS_DATOS!$C$1511+CROQUIS_DATOS!$C$1512))-(CROQUIS_DATOS!$C$1511))+((CROQUIS_DATOS!$C$1476)*CROQUIS_DATOS!$C$1561-(0)*CROQUIS_DATOS!$C$1561))/CROQUIS_DATOS!$C$1568-0.000001))),2)=1,IF(INT(($A140-1)/2)+1&gt;MAX(1,INT(((((CROQUIS_DATOS!$C$1511+CROQUIS_DATOS!$C$1512))-(CROQUIS_DATOS!$C$1511))+((CROQUIS_DATOS!$C$1476)*CROQUIS_DATOS!$C$1561-(0)*CROQUIS_DATOS!$C$1561))/CROQUIS_DATOS!$C$1568-0.000001)),1,MOD($A140-1,2)),1-IF(INT(($A140-1)/2)+1&gt;MAX(1,INT(((((CROQUIS_DATOS!$C$1511+CROQUIS_DATOS!$C$1512))-(CROQUIS_DATOS!$C$1511))+((CROQUIS_DATOS!$C$1476)*CROQUIS_DATOS!$C$1561-(0)*CROQUIS_DATOS!$C$1561))/CROQUIS_DATOS!$C$1568-0.000001)),1,MOD($A140-1,2)))=1,MIN((CROQUIS_DATOS!$C$1476)*CROQUIS_DATOS!$C$1561,((CROQUIS_DATOS!$C$1511+CROQUIS_DATOS!$C$1512)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140-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0">
        <f>IF(AND(CROQUIS_DATOS!$C$1472=1,CROQUIS_DATOS!$C$1516&gt;0,((CROQUIS_DATOS!$C$1515+CROQUIS_DATOS!$C$1516))-(CROQUIS_DATOS!$C$1515)&gt;0.5,(CROQUIS_DATOS!$C$1476)-(0)&gt;0.5),(CROQUIS_DATOS!$C$1566+(IF(IF(MOD(MIN(INT(($A140-1)/2)+1,MAX(1,INT(((((CROQUIS_DATOS!$C$1515+CROQUIS_DATOS!$C$1516))-(CROQUIS_DATOS!$C$1515))+((CROQUIS_DATOS!$C$1476)*CROQUIS_DATOS!$C$1561-(0)*CROQUIS_DATOS!$C$1561))/CROQUIS_DATOS!$C$1568-0.000001))),2)=1,IF(INT(($A140-1)/2)+1&gt;MAX(1,INT(((((CROQUIS_DATOS!$C$1515+CROQUIS_DATOS!$C$1516))-(CROQUIS_DATOS!$C$1515))+((CROQUIS_DATOS!$C$1476)*CROQUIS_DATOS!$C$1561-(0)*CROQUIS_DATOS!$C$1561))/CROQUIS_DATOS!$C$1568-0.000001)),1,MOD($A140-1,2)),1-IF(INT(($A140-1)/2)+1&gt;MAX(1,INT(((((CROQUIS_DATOS!$C$1515+CROQUIS_DATOS!$C$1516))-(CROQUIS_DATOS!$C$1515))+((CROQUIS_DATOS!$C$1476)*CROQUIS_DATOS!$C$1561-(0)*CROQUIS_DATOS!$C$1561))/CROQUIS_DATOS!$C$1568-0.000001)),1,MOD($A140-1,2)))=1,MIN((CROQUIS_DATOS!$C$1476)*CROQUIS_DATOS!$C$1561,((CROQUIS_DATOS!$C$1515+CROQUIS_DATOS!$C$1516)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0">
        <f>IF(AND(CROQUIS_DATOS!$C$1472=1,CROQUIS_DATOS!$C$1516&gt;0,((CROQUIS_DATOS!$C$1515+CROQUIS_DATOS!$C$1516))-(CROQUIS_DATOS!$C$1515)&gt;0.5,(CROQUIS_DATOS!$C$1476)-(0)&gt;0.5),(CROQUIS_DATOS!$C$1567+(IF(IF(MOD(MIN(INT(($A140-1)/2)+1,MAX(1,INT(((((CROQUIS_DATOS!$C$1515+CROQUIS_DATOS!$C$1516))-(CROQUIS_DATOS!$C$1515))+((CROQUIS_DATOS!$C$1476)*CROQUIS_DATOS!$C$1561-(0)*CROQUIS_DATOS!$C$1561))/CROQUIS_DATOS!$C$1568-0.000001))),2)=1,IF(INT(($A140-1)/2)+1&gt;MAX(1,INT(((((CROQUIS_DATOS!$C$1515+CROQUIS_DATOS!$C$1516))-(CROQUIS_DATOS!$C$1515))+((CROQUIS_DATOS!$C$1476)*CROQUIS_DATOS!$C$1561-(0)*CROQUIS_DATOS!$C$1561))/CROQUIS_DATOS!$C$1568-0.000001)),1,MOD($A140-1,2)),1-IF(INT(($A140-1)/2)+1&gt;MAX(1,INT(((((CROQUIS_DATOS!$C$1515+CROQUIS_DATOS!$C$1516))-(CROQUIS_DATOS!$C$1515))+((CROQUIS_DATOS!$C$1476)*CROQUIS_DATOS!$C$1561-(0)*CROQUIS_DATOS!$C$1561))/CROQUIS_DATOS!$C$1568-0.000001)),1,MOD($A140-1,2)))=1,MIN((CROQUIS_DATOS!$C$1476)*CROQUIS_DATOS!$C$1561,((CROQUIS_DATOS!$C$1515+CROQUIS_DATOS!$C$1516)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140-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0">
        <f>IF(AND(CROQUIS_DATOS!$C$1472=1,CROQUIS_DATOS!$C$1478&gt;=1,((CROQUIS_DATOS!$C$1479+CROQUIS_DATOS!$C$1480))-(CROQUIS_DATOS!$C$1479)&gt;0.5,(CROQUIS_DATOS!$C$1481)-(0)&gt;0.5),(CROQUIS_DATOS!$C$1566+(IF(IF(MOD(MIN(INT(($A140-1)/2)+1,MAX(1,INT(((((CROQUIS_DATOS!$C$1479+CROQUIS_DATOS!$C$1480))-(CROQUIS_DATOS!$C$1479))+((CROQUIS_DATOS!$C$1481)*CROQUIS_DATOS!$C$1561-(0)*CROQUIS_DATOS!$C$1561))/CROQUIS_DATOS!$C$1568-0.000001))),2)=1,IF(INT(($A140-1)/2)+1&gt;MAX(1,INT(((((CROQUIS_DATOS!$C$1479+CROQUIS_DATOS!$C$1480))-(CROQUIS_DATOS!$C$1479))+((CROQUIS_DATOS!$C$1481)*CROQUIS_DATOS!$C$1561-(0)*CROQUIS_DATOS!$C$1561))/CROQUIS_DATOS!$C$1568-0.000001)),1,MOD($A140-1,2)),1-IF(INT(($A140-1)/2)+1&gt;MAX(1,INT(((((CROQUIS_DATOS!$C$1479+CROQUIS_DATOS!$C$1480))-(CROQUIS_DATOS!$C$1479))+((CROQUIS_DATOS!$C$1481)*CROQUIS_DATOS!$C$1561-(0)*CROQUIS_DATOS!$C$1561))/CROQUIS_DATOS!$C$1568-0.000001)),1,MOD($A140-1,2)))=1,MIN((CROQUIS_DATOS!$C$1481)*CROQUIS_DATOS!$C$1561,((CROQUIS_DATOS!$C$1479+CROQUIS_DATOS!$C$1480)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0">
        <f>IF(AND(CROQUIS_DATOS!$C$1472=1,CROQUIS_DATOS!$C$1478&gt;=1,((CROQUIS_DATOS!$C$1479+CROQUIS_DATOS!$C$1480))-(CROQUIS_DATOS!$C$1479)&gt;0.5,(CROQUIS_DATOS!$C$1481)-(0)&gt;0.5),(CROQUIS_DATOS!$C$1567+(IF(IF(MOD(MIN(INT(($A140-1)/2)+1,MAX(1,INT(((((CROQUIS_DATOS!$C$1479+CROQUIS_DATOS!$C$1480))-(CROQUIS_DATOS!$C$1479))+((CROQUIS_DATOS!$C$1481)*CROQUIS_DATOS!$C$1561-(0)*CROQUIS_DATOS!$C$1561))/CROQUIS_DATOS!$C$1568-0.000001))),2)=1,IF(INT(($A140-1)/2)+1&gt;MAX(1,INT(((((CROQUIS_DATOS!$C$1479+CROQUIS_DATOS!$C$1480))-(CROQUIS_DATOS!$C$1479))+((CROQUIS_DATOS!$C$1481)*CROQUIS_DATOS!$C$1561-(0)*CROQUIS_DATOS!$C$1561))/CROQUIS_DATOS!$C$1568-0.000001)),1,MOD($A140-1,2)),1-IF(INT(($A140-1)/2)+1&gt;MAX(1,INT(((((CROQUIS_DATOS!$C$1479+CROQUIS_DATOS!$C$1480))-(CROQUIS_DATOS!$C$1479))+((CROQUIS_DATOS!$C$1481)*CROQUIS_DATOS!$C$1561-(0)*CROQUIS_DATOS!$C$1561))/CROQUIS_DATOS!$C$1568-0.000001)),1,MOD($A140-1,2)))=1,MIN((CROQUIS_DATOS!$C$1481)*CROQUIS_DATOS!$C$1561,((CROQUIS_DATOS!$C$1479+CROQUIS_DATOS!$C$1480)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140-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0">
        <f>IF(AND(CROQUIS_DATOS!$C$1472=1,CROQUIS_DATOS!$C$1478&gt;=1,((CROQUIS_DATOS!$C$1479+CROQUIS_DATOS!$C$1480))-(CROQUIS_DATOS!$C$1479)&gt;0.5,(CROQUIS_DATOS!$C$1476)-((CROQUIS_DATOS!$C$1481+CROQUIS_DATOS!$C$1482))&gt;0.5),(CROQUIS_DATOS!$C$1566+(IF(IF(MOD(MIN(INT(($A140-1)/2)+1,MAX(1,INT(((((CROQUIS_DATOS!$C$1479+CROQUIS_DATOS!$C$1480))-(CROQUIS_DATOS!$C$1479))+((CROQUIS_DATOS!$C$1476)*CROQUIS_DATOS!$C$1561-((CROQUIS_DATOS!$C$1481+CROQUIS_DATOS!$C$1482))*CROQUIS_DATOS!$C$1561))/CROQUIS_DATOS!$C$1568-0.000001))),2)=1,IF(INT(($A140-1)/2)+1&gt;MAX(1,INT(((((CROQUIS_DATOS!$C$1479+CROQUIS_DATOS!$C$1480))-(CROQUIS_DATOS!$C$1479))+((CROQUIS_DATOS!$C$1476)*CROQUIS_DATOS!$C$1561-((CROQUIS_DATOS!$C$1481+CROQUIS_DATOS!$C$1482))*CROQUIS_DATOS!$C$1561))/CROQUIS_DATOS!$C$1568-0.000001)),1,MOD($A140-1,2)),1-IF(INT(($A140-1)/2)+1&gt;MAX(1,INT(((((CROQUIS_DATOS!$C$1479+CROQUIS_DATOS!$C$1480))-(CROQUIS_DATOS!$C$1479))+((CROQUIS_DATOS!$C$1476)*CROQUIS_DATOS!$C$1561-((CROQUIS_DATOS!$C$1481+CROQUIS_DATOS!$C$1482))*CROQUIS_DATOS!$C$1561))/CROQUIS_DATOS!$C$1568-0.000001)),1,MOD($A140-1,2)))=1,MIN((CROQUIS_DATOS!$C$1476)*CROQUIS_DATOS!$C$1561,((CROQUIS_DATOS!$C$1479+CROQUIS_DATOS!$C$1480)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0">
        <f>IF(AND(CROQUIS_DATOS!$C$1472=1,CROQUIS_DATOS!$C$1478&gt;=1,((CROQUIS_DATOS!$C$1479+CROQUIS_DATOS!$C$1480))-(CROQUIS_DATOS!$C$1479)&gt;0.5,(CROQUIS_DATOS!$C$1476)-((CROQUIS_DATOS!$C$1481+CROQUIS_DATOS!$C$1482))&gt;0.5),(CROQUIS_DATOS!$C$1567+(IF(IF(MOD(MIN(INT(($A140-1)/2)+1,MAX(1,INT(((((CROQUIS_DATOS!$C$1479+CROQUIS_DATOS!$C$1480))-(CROQUIS_DATOS!$C$1479))+((CROQUIS_DATOS!$C$1476)*CROQUIS_DATOS!$C$1561-((CROQUIS_DATOS!$C$1481+CROQUIS_DATOS!$C$1482))*CROQUIS_DATOS!$C$1561))/CROQUIS_DATOS!$C$1568-0.000001))),2)=1,IF(INT(($A140-1)/2)+1&gt;MAX(1,INT(((((CROQUIS_DATOS!$C$1479+CROQUIS_DATOS!$C$1480))-(CROQUIS_DATOS!$C$1479))+((CROQUIS_DATOS!$C$1476)*CROQUIS_DATOS!$C$1561-((CROQUIS_DATOS!$C$1481+CROQUIS_DATOS!$C$1482))*CROQUIS_DATOS!$C$1561))/CROQUIS_DATOS!$C$1568-0.000001)),1,MOD($A140-1,2)),1-IF(INT(($A140-1)/2)+1&gt;MAX(1,INT(((((CROQUIS_DATOS!$C$1479+CROQUIS_DATOS!$C$1480))-(CROQUIS_DATOS!$C$1479))+((CROQUIS_DATOS!$C$1476)*CROQUIS_DATOS!$C$1561-((CROQUIS_DATOS!$C$1481+CROQUIS_DATOS!$C$1482))*CROQUIS_DATOS!$C$1561))/CROQUIS_DATOS!$C$1568-0.000001)),1,MOD($A140-1,2)))=1,MIN((CROQUIS_DATOS!$C$1476)*CROQUIS_DATOS!$C$1561,((CROQUIS_DATOS!$C$1479+CROQUIS_DATOS!$C$1480)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140-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0">
        <f>IF(AND(CROQUIS_DATOS!$C$1472=1,CROQUIS_DATOS!$C$1478&gt;=2,((CROQUIS_DATOS!$C$1484+CROQUIS_DATOS!$C$1485))-(CROQUIS_DATOS!$C$1484)&gt;0.5,(CROQUIS_DATOS!$C$1486)-(0)&gt;0.5),(CROQUIS_DATOS!$C$1566+(IF(IF(MOD(MIN(INT(($A140-1)/2)+1,MAX(1,INT(((((CROQUIS_DATOS!$C$1484+CROQUIS_DATOS!$C$1485))-(CROQUIS_DATOS!$C$1484))+((CROQUIS_DATOS!$C$1486)*CROQUIS_DATOS!$C$1561-(0)*CROQUIS_DATOS!$C$1561))/CROQUIS_DATOS!$C$1568-0.000001))),2)=1,IF(INT(($A140-1)/2)+1&gt;MAX(1,INT(((((CROQUIS_DATOS!$C$1484+CROQUIS_DATOS!$C$1485))-(CROQUIS_DATOS!$C$1484))+((CROQUIS_DATOS!$C$1486)*CROQUIS_DATOS!$C$1561-(0)*CROQUIS_DATOS!$C$1561))/CROQUIS_DATOS!$C$1568-0.000001)),1,MOD($A140-1,2)),1-IF(INT(($A140-1)/2)+1&gt;MAX(1,INT(((((CROQUIS_DATOS!$C$1484+CROQUIS_DATOS!$C$1485))-(CROQUIS_DATOS!$C$1484))+((CROQUIS_DATOS!$C$1486)*CROQUIS_DATOS!$C$1561-(0)*CROQUIS_DATOS!$C$1561))/CROQUIS_DATOS!$C$1568-0.000001)),1,MOD($A140-1,2)))=1,MIN((CROQUIS_DATOS!$C$1486)*CROQUIS_DATOS!$C$1561,((CROQUIS_DATOS!$C$1484+CROQUIS_DATOS!$C$1485)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0">
        <f>IF(AND(CROQUIS_DATOS!$C$1472=1,CROQUIS_DATOS!$C$1478&gt;=2,((CROQUIS_DATOS!$C$1484+CROQUIS_DATOS!$C$1485))-(CROQUIS_DATOS!$C$1484)&gt;0.5,(CROQUIS_DATOS!$C$1486)-(0)&gt;0.5),(CROQUIS_DATOS!$C$1567+(IF(IF(MOD(MIN(INT(($A140-1)/2)+1,MAX(1,INT(((((CROQUIS_DATOS!$C$1484+CROQUIS_DATOS!$C$1485))-(CROQUIS_DATOS!$C$1484))+((CROQUIS_DATOS!$C$1486)*CROQUIS_DATOS!$C$1561-(0)*CROQUIS_DATOS!$C$1561))/CROQUIS_DATOS!$C$1568-0.000001))),2)=1,IF(INT(($A140-1)/2)+1&gt;MAX(1,INT(((((CROQUIS_DATOS!$C$1484+CROQUIS_DATOS!$C$1485))-(CROQUIS_DATOS!$C$1484))+((CROQUIS_DATOS!$C$1486)*CROQUIS_DATOS!$C$1561-(0)*CROQUIS_DATOS!$C$1561))/CROQUIS_DATOS!$C$1568-0.000001)),1,MOD($A140-1,2)),1-IF(INT(($A140-1)/2)+1&gt;MAX(1,INT(((((CROQUIS_DATOS!$C$1484+CROQUIS_DATOS!$C$1485))-(CROQUIS_DATOS!$C$1484))+((CROQUIS_DATOS!$C$1486)*CROQUIS_DATOS!$C$1561-(0)*CROQUIS_DATOS!$C$1561))/CROQUIS_DATOS!$C$1568-0.000001)),1,MOD($A140-1,2)))=1,MIN((CROQUIS_DATOS!$C$1486)*CROQUIS_DATOS!$C$1561,((CROQUIS_DATOS!$C$1484+CROQUIS_DATOS!$C$1485)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140-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0">
        <f>IF(AND(CROQUIS_DATOS!$C$1472=1,CROQUIS_DATOS!$C$1478&gt;=2,((CROQUIS_DATOS!$C$1484+CROQUIS_DATOS!$C$1485))-(CROQUIS_DATOS!$C$1484)&gt;0.5,(CROQUIS_DATOS!$C$1476)-((CROQUIS_DATOS!$C$1486+CROQUIS_DATOS!$C$1487))&gt;0.5),(CROQUIS_DATOS!$C$1566+(IF(IF(MOD(MIN(INT(($A140-1)/2)+1,MAX(1,INT(((((CROQUIS_DATOS!$C$1484+CROQUIS_DATOS!$C$1485))-(CROQUIS_DATOS!$C$1484))+((CROQUIS_DATOS!$C$1476)*CROQUIS_DATOS!$C$1561-((CROQUIS_DATOS!$C$1486+CROQUIS_DATOS!$C$1487))*CROQUIS_DATOS!$C$1561))/CROQUIS_DATOS!$C$1568-0.000001))),2)=1,IF(INT(($A140-1)/2)+1&gt;MAX(1,INT(((((CROQUIS_DATOS!$C$1484+CROQUIS_DATOS!$C$1485))-(CROQUIS_DATOS!$C$1484))+((CROQUIS_DATOS!$C$1476)*CROQUIS_DATOS!$C$1561-((CROQUIS_DATOS!$C$1486+CROQUIS_DATOS!$C$1487))*CROQUIS_DATOS!$C$1561))/CROQUIS_DATOS!$C$1568-0.000001)),1,MOD($A140-1,2)),1-IF(INT(($A140-1)/2)+1&gt;MAX(1,INT(((((CROQUIS_DATOS!$C$1484+CROQUIS_DATOS!$C$1485))-(CROQUIS_DATOS!$C$1484))+((CROQUIS_DATOS!$C$1476)*CROQUIS_DATOS!$C$1561-((CROQUIS_DATOS!$C$1486+CROQUIS_DATOS!$C$1487))*CROQUIS_DATOS!$C$1561))/CROQUIS_DATOS!$C$1568-0.000001)),1,MOD($A140-1,2)))=1,MIN((CROQUIS_DATOS!$C$1476)*CROQUIS_DATOS!$C$1561,((CROQUIS_DATOS!$C$1484+CROQUIS_DATOS!$C$1485)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0">
        <f>IF(AND(CROQUIS_DATOS!$C$1472=1,CROQUIS_DATOS!$C$1478&gt;=2,((CROQUIS_DATOS!$C$1484+CROQUIS_DATOS!$C$1485))-(CROQUIS_DATOS!$C$1484)&gt;0.5,(CROQUIS_DATOS!$C$1476)-((CROQUIS_DATOS!$C$1486+CROQUIS_DATOS!$C$1487))&gt;0.5),(CROQUIS_DATOS!$C$1567+(IF(IF(MOD(MIN(INT(($A140-1)/2)+1,MAX(1,INT(((((CROQUIS_DATOS!$C$1484+CROQUIS_DATOS!$C$1485))-(CROQUIS_DATOS!$C$1484))+((CROQUIS_DATOS!$C$1476)*CROQUIS_DATOS!$C$1561-((CROQUIS_DATOS!$C$1486+CROQUIS_DATOS!$C$1487))*CROQUIS_DATOS!$C$1561))/CROQUIS_DATOS!$C$1568-0.000001))),2)=1,IF(INT(($A140-1)/2)+1&gt;MAX(1,INT(((((CROQUIS_DATOS!$C$1484+CROQUIS_DATOS!$C$1485))-(CROQUIS_DATOS!$C$1484))+((CROQUIS_DATOS!$C$1476)*CROQUIS_DATOS!$C$1561-((CROQUIS_DATOS!$C$1486+CROQUIS_DATOS!$C$1487))*CROQUIS_DATOS!$C$1561))/CROQUIS_DATOS!$C$1568-0.000001)),1,MOD($A140-1,2)),1-IF(INT(($A140-1)/2)+1&gt;MAX(1,INT(((((CROQUIS_DATOS!$C$1484+CROQUIS_DATOS!$C$1485))-(CROQUIS_DATOS!$C$1484))+((CROQUIS_DATOS!$C$1476)*CROQUIS_DATOS!$C$1561-((CROQUIS_DATOS!$C$1486+CROQUIS_DATOS!$C$1487))*CROQUIS_DATOS!$C$1561))/CROQUIS_DATOS!$C$1568-0.000001)),1,MOD($A140-1,2)))=1,MIN((CROQUIS_DATOS!$C$1476)*CROQUIS_DATOS!$C$1561,((CROQUIS_DATOS!$C$1484+CROQUIS_DATOS!$C$1485)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140-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0">
        <f>IF(AND(CROQUIS_DATOS!$C$1472=1,CROQUIS_DATOS!$C$1478&gt;=3,((CROQUIS_DATOS!$C$1489+CROQUIS_DATOS!$C$1490))-(CROQUIS_DATOS!$C$1489)&gt;0.5,(CROQUIS_DATOS!$C$1491)-(0)&gt;0.5),(CROQUIS_DATOS!$C$1566+(IF(IF(MOD(MIN(INT(($A140-1)/2)+1,MAX(1,INT(((((CROQUIS_DATOS!$C$1489+CROQUIS_DATOS!$C$1490))-(CROQUIS_DATOS!$C$1489))+((CROQUIS_DATOS!$C$1491)*CROQUIS_DATOS!$C$1561-(0)*CROQUIS_DATOS!$C$1561))/CROQUIS_DATOS!$C$1568-0.000001))),2)=1,IF(INT(($A140-1)/2)+1&gt;MAX(1,INT(((((CROQUIS_DATOS!$C$1489+CROQUIS_DATOS!$C$1490))-(CROQUIS_DATOS!$C$1489))+((CROQUIS_DATOS!$C$1491)*CROQUIS_DATOS!$C$1561-(0)*CROQUIS_DATOS!$C$1561))/CROQUIS_DATOS!$C$1568-0.000001)),1,MOD($A140-1,2)),1-IF(INT(($A140-1)/2)+1&gt;MAX(1,INT(((((CROQUIS_DATOS!$C$1489+CROQUIS_DATOS!$C$1490))-(CROQUIS_DATOS!$C$1489))+((CROQUIS_DATOS!$C$1491)*CROQUIS_DATOS!$C$1561-(0)*CROQUIS_DATOS!$C$1561))/CROQUIS_DATOS!$C$1568-0.000001)),1,MOD($A140-1,2)))=1,MIN((CROQUIS_DATOS!$C$1491)*CROQUIS_DATOS!$C$1561,((CROQUIS_DATOS!$C$1489+CROQUIS_DATOS!$C$1490)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0">
        <f>IF(AND(CROQUIS_DATOS!$C$1472=1,CROQUIS_DATOS!$C$1478&gt;=3,((CROQUIS_DATOS!$C$1489+CROQUIS_DATOS!$C$1490))-(CROQUIS_DATOS!$C$1489)&gt;0.5,(CROQUIS_DATOS!$C$1491)-(0)&gt;0.5),(CROQUIS_DATOS!$C$1567+(IF(IF(MOD(MIN(INT(($A140-1)/2)+1,MAX(1,INT(((((CROQUIS_DATOS!$C$1489+CROQUIS_DATOS!$C$1490))-(CROQUIS_DATOS!$C$1489))+((CROQUIS_DATOS!$C$1491)*CROQUIS_DATOS!$C$1561-(0)*CROQUIS_DATOS!$C$1561))/CROQUIS_DATOS!$C$1568-0.000001))),2)=1,IF(INT(($A140-1)/2)+1&gt;MAX(1,INT(((((CROQUIS_DATOS!$C$1489+CROQUIS_DATOS!$C$1490))-(CROQUIS_DATOS!$C$1489))+((CROQUIS_DATOS!$C$1491)*CROQUIS_DATOS!$C$1561-(0)*CROQUIS_DATOS!$C$1561))/CROQUIS_DATOS!$C$1568-0.000001)),1,MOD($A140-1,2)),1-IF(INT(($A140-1)/2)+1&gt;MAX(1,INT(((((CROQUIS_DATOS!$C$1489+CROQUIS_DATOS!$C$1490))-(CROQUIS_DATOS!$C$1489))+((CROQUIS_DATOS!$C$1491)*CROQUIS_DATOS!$C$1561-(0)*CROQUIS_DATOS!$C$1561))/CROQUIS_DATOS!$C$1568-0.000001)),1,MOD($A140-1,2)))=1,MIN((CROQUIS_DATOS!$C$1491)*CROQUIS_DATOS!$C$1561,((CROQUIS_DATOS!$C$1489+CROQUIS_DATOS!$C$1490)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140-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0">
        <f>IF(AND(CROQUIS_DATOS!$C$1472=1,CROQUIS_DATOS!$C$1478&gt;=3,((CROQUIS_DATOS!$C$1489+CROQUIS_DATOS!$C$1490))-(CROQUIS_DATOS!$C$1489)&gt;0.5,(CROQUIS_DATOS!$C$1476)-((CROQUIS_DATOS!$C$1491+CROQUIS_DATOS!$C$1492))&gt;0.5),(CROQUIS_DATOS!$C$1566+(IF(IF(MOD(MIN(INT(($A140-1)/2)+1,MAX(1,INT(((((CROQUIS_DATOS!$C$1489+CROQUIS_DATOS!$C$1490))-(CROQUIS_DATOS!$C$1489))+((CROQUIS_DATOS!$C$1476)*CROQUIS_DATOS!$C$1561-((CROQUIS_DATOS!$C$1491+CROQUIS_DATOS!$C$1492))*CROQUIS_DATOS!$C$1561))/CROQUIS_DATOS!$C$1568-0.000001))),2)=1,IF(INT(($A140-1)/2)+1&gt;MAX(1,INT(((((CROQUIS_DATOS!$C$1489+CROQUIS_DATOS!$C$1490))-(CROQUIS_DATOS!$C$1489))+((CROQUIS_DATOS!$C$1476)*CROQUIS_DATOS!$C$1561-((CROQUIS_DATOS!$C$1491+CROQUIS_DATOS!$C$1492))*CROQUIS_DATOS!$C$1561))/CROQUIS_DATOS!$C$1568-0.000001)),1,MOD($A140-1,2)),1-IF(INT(($A140-1)/2)+1&gt;MAX(1,INT(((((CROQUIS_DATOS!$C$1489+CROQUIS_DATOS!$C$1490))-(CROQUIS_DATOS!$C$1489))+((CROQUIS_DATOS!$C$1476)*CROQUIS_DATOS!$C$1561-((CROQUIS_DATOS!$C$1491+CROQUIS_DATOS!$C$1492))*CROQUIS_DATOS!$C$1561))/CROQUIS_DATOS!$C$1568-0.000001)),1,MOD($A140-1,2)))=1,MIN((CROQUIS_DATOS!$C$1476)*CROQUIS_DATOS!$C$1561,((CROQUIS_DATOS!$C$1489+CROQUIS_DATOS!$C$1490)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0">
        <f>IF(AND(CROQUIS_DATOS!$C$1472=1,CROQUIS_DATOS!$C$1478&gt;=3,((CROQUIS_DATOS!$C$1489+CROQUIS_DATOS!$C$1490))-(CROQUIS_DATOS!$C$1489)&gt;0.5,(CROQUIS_DATOS!$C$1476)-((CROQUIS_DATOS!$C$1491+CROQUIS_DATOS!$C$1492))&gt;0.5),(CROQUIS_DATOS!$C$1567+(IF(IF(MOD(MIN(INT(($A140-1)/2)+1,MAX(1,INT(((((CROQUIS_DATOS!$C$1489+CROQUIS_DATOS!$C$1490))-(CROQUIS_DATOS!$C$1489))+((CROQUIS_DATOS!$C$1476)*CROQUIS_DATOS!$C$1561-((CROQUIS_DATOS!$C$1491+CROQUIS_DATOS!$C$1492))*CROQUIS_DATOS!$C$1561))/CROQUIS_DATOS!$C$1568-0.000001))),2)=1,IF(INT(($A140-1)/2)+1&gt;MAX(1,INT(((((CROQUIS_DATOS!$C$1489+CROQUIS_DATOS!$C$1490))-(CROQUIS_DATOS!$C$1489))+((CROQUIS_DATOS!$C$1476)*CROQUIS_DATOS!$C$1561-((CROQUIS_DATOS!$C$1491+CROQUIS_DATOS!$C$1492))*CROQUIS_DATOS!$C$1561))/CROQUIS_DATOS!$C$1568-0.000001)),1,MOD($A140-1,2)),1-IF(INT(($A140-1)/2)+1&gt;MAX(1,INT(((((CROQUIS_DATOS!$C$1489+CROQUIS_DATOS!$C$1490))-(CROQUIS_DATOS!$C$1489))+((CROQUIS_DATOS!$C$1476)*CROQUIS_DATOS!$C$1561-((CROQUIS_DATOS!$C$1491+CROQUIS_DATOS!$C$1492))*CROQUIS_DATOS!$C$1561))/CROQUIS_DATOS!$C$1568-0.000001)),1,MOD($A140-1,2)))=1,MIN((CROQUIS_DATOS!$C$1476)*CROQUIS_DATOS!$C$1561,((CROQUIS_DATOS!$C$1489+CROQUIS_DATOS!$C$1490)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140-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0">
        <f>IF(AND(CROQUIS_DATOS!$C$1472=1,CROQUIS_DATOS!$C$1478&gt;=4,((CROQUIS_DATOS!$C$1494+CROQUIS_DATOS!$C$1495))-(CROQUIS_DATOS!$C$1494)&gt;0.5,(CROQUIS_DATOS!$C$1496)-(0)&gt;0.5),(CROQUIS_DATOS!$C$1566+(IF(IF(MOD(MIN(INT(($A140-1)/2)+1,MAX(1,INT(((((CROQUIS_DATOS!$C$1494+CROQUIS_DATOS!$C$1495))-(CROQUIS_DATOS!$C$1494))+((CROQUIS_DATOS!$C$1496)*CROQUIS_DATOS!$C$1561-(0)*CROQUIS_DATOS!$C$1561))/CROQUIS_DATOS!$C$1568-0.000001))),2)=1,IF(INT(($A140-1)/2)+1&gt;MAX(1,INT(((((CROQUIS_DATOS!$C$1494+CROQUIS_DATOS!$C$1495))-(CROQUIS_DATOS!$C$1494))+((CROQUIS_DATOS!$C$1496)*CROQUIS_DATOS!$C$1561-(0)*CROQUIS_DATOS!$C$1561))/CROQUIS_DATOS!$C$1568-0.000001)),1,MOD($A140-1,2)),1-IF(INT(($A140-1)/2)+1&gt;MAX(1,INT(((((CROQUIS_DATOS!$C$1494+CROQUIS_DATOS!$C$1495))-(CROQUIS_DATOS!$C$1494))+((CROQUIS_DATOS!$C$1496)*CROQUIS_DATOS!$C$1561-(0)*CROQUIS_DATOS!$C$1561))/CROQUIS_DATOS!$C$1568-0.000001)),1,MOD($A140-1,2)))=1,MIN((CROQUIS_DATOS!$C$1496)*CROQUIS_DATOS!$C$1561,((CROQUIS_DATOS!$C$1494+CROQUIS_DATOS!$C$1495)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0">
        <f>IF(AND(CROQUIS_DATOS!$C$1472=1,CROQUIS_DATOS!$C$1478&gt;=4,((CROQUIS_DATOS!$C$1494+CROQUIS_DATOS!$C$1495))-(CROQUIS_DATOS!$C$1494)&gt;0.5,(CROQUIS_DATOS!$C$1496)-(0)&gt;0.5),(CROQUIS_DATOS!$C$1567+(IF(IF(MOD(MIN(INT(($A140-1)/2)+1,MAX(1,INT(((((CROQUIS_DATOS!$C$1494+CROQUIS_DATOS!$C$1495))-(CROQUIS_DATOS!$C$1494))+((CROQUIS_DATOS!$C$1496)*CROQUIS_DATOS!$C$1561-(0)*CROQUIS_DATOS!$C$1561))/CROQUIS_DATOS!$C$1568-0.000001))),2)=1,IF(INT(($A140-1)/2)+1&gt;MAX(1,INT(((((CROQUIS_DATOS!$C$1494+CROQUIS_DATOS!$C$1495))-(CROQUIS_DATOS!$C$1494))+((CROQUIS_DATOS!$C$1496)*CROQUIS_DATOS!$C$1561-(0)*CROQUIS_DATOS!$C$1561))/CROQUIS_DATOS!$C$1568-0.000001)),1,MOD($A140-1,2)),1-IF(INT(($A140-1)/2)+1&gt;MAX(1,INT(((((CROQUIS_DATOS!$C$1494+CROQUIS_DATOS!$C$1495))-(CROQUIS_DATOS!$C$1494))+((CROQUIS_DATOS!$C$1496)*CROQUIS_DATOS!$C$1561-(0)*CROQUIS_DATOS!$C$1561))/CROQUIS_DATOS!$C$1568-0.000001)),1,MOD($A140-1,2)))=1,MIN((CROQUIS_DATOS!$C$1496)*CROQUIS_DATOS!$C$1561,((CROQUIS_DATOS!$C$1494+CROQUIS_DATOS!$C$1495)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140-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0">
        <f>IF(AND(CROQUIS_DATOS!$C$1472=1,CROQUIS_DATOS!$C$1478&gt;=4,((CROQUIS_DATOS!$C$1494+CROQUIS_DATOS!$C$1495))-(CROQUIS_DATOS!$C$1494)&gt;0.5,(CROQUIS_DATOS!$C$1476)-((CROQUIS_DATOS!$C$1496+CROQUIS_DATOS!$C$1497))&gt;0.5),(CROQUIS_DATOS!$C$1566+(IF(IF(MOD(MIN(INT(($A140-1)/2)+1,MAX(1,INT(((((CROQUIS_DATOS!$C$1494+CROQUIS_DATOS!$C$1495))-(CROQUIS_DATOS!$C$1494))+((CROQUIS_DATOS!$C$1476)*CROQUIS_DATOS!$C$1561-((CROQUIS_DATOS!$C$1496+CROQUIS_DATOS!$C$1497))*CROQUIS_DATOS!$C$1561))/CROQUIS_DATOS!$C$1568-0.000001))),2)=1,IF(INT(($A140-1)/2)+1&gt;MAX(1,INT(((((CROQUIS_DATOS!$C$1494+CROQUIS_DATOS!$C$1495))-(CROQUIS_DATOS!$C$1494))+((CROQUIS_DATOS!$C$1476)*CROQUIS_DATOS!$C$1561-((CROQUIS_DATOS!$C$1496+CROQUIS_DATOS!$C$1497))*CROQUIS_DATOS!$C$1561))/CROQUIS_DATOS!$C$1568-0.000001)),1,MOD($A140-1,2)),1-IF(INT(($A140-1)/2)+1&gt;MAX(1,INT(((((CROQUIS_DATOS!$C$1494+CROQUIS_DATOS!$C$1495))-(CROQUIS_DATOS!$C$1494))+((CROQUIS_DATOS!$C$1476)*CROQUIS_DATOS!$C$1561-((CROQUIS_DATOS!$C$1496+CROQUIS_DATOS!$C$1497))*CROQUIS_DATOS!$C$1561))/CROQUIS_DATOS!$C$1568-0.000001)),1,MOD($A140-1,2)))=1,MIN((CROQUIS_DATOS!$C$1476)*CROQUIS_DATOS!$C$1561,((CROQUIS_DATOS!$C$1494+CROQUIS_DATOS!$C$1495)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0">
        <f>IF(AND(CROQUIS_DATOS!$C$1472=1,CROQUIS_DATOS!$C$1478&gt;=4,((CROQUIS_DATOS!$C$1494+CROQUIS_DATOS!$C$1495))-(CROQUIS_DATOS!$C$1494)&gt;0.5,(CROQUIS_DATOS!$C$1476)-((CROQUIS_DATOS!$C$1496+CROQUIS_DATOS!$C$1497))&gt;0.5),(CROQUIS_DATOS!$C$1567+(IF(IF(MOD(MIN(INT(($A140-1)/2)+1,MAX(1,INT(((((CROQUIS_DATOS!$C$1494+CROQUIS_DATOS!$C$1495))-(CROQUIS_DATOS!$C$1494))+((CROQUIS_DATOS!$C$1476)*CROQUIS_DATOS!$C$1561-((CROQUIS_DATOS!$C$1496+CROQUIS_DATOS!$C$1497))*CROQUIS_DATOS!$C$1561))/CROQUIS_DATOS!$C$1568-0.000001))),2)=1,IF(INT(($A140-1)/2)+1&gt;MAX(1,INT(((((CROQUIS_DATOS!$C$1494+CROQUIS_DATOS!$C$1495))-(CROQUIS_DATOS!$C$1494))+((CROQUIS_DATOS!$C$1476)*CROQUIS_DATOS!$C$1561-((CROQUIS_DATOS!$C$1496+CROQUIS_DATOS!$C$1497))*CROQUIS_DATOS!$C$1561))/CROQUIS_DATOS!$C$1568-0.000001)),1,MOD($A140-1,2)),1-IF(INT(($A140-1)/2)+1&gt;MAX(1,INT(((((CROQUIS_DATOS!$C$1494+CROQUIS_DATOS!$C$1495))-(CROQUIS_DATOS!$C$1494))+((CROQUIS_DATOS!$C$1476)*CROQUIS_DATOS!$C$1561-((CROQUIS_DATOS!$C$1496+CROQUIS_DATOS!$C$1497))*CROQUIS_DATOS!$C$1561))/CROQUIS_DATOS!$C$1568-0.000001)),1,MOD($A140-1,2)))=1,MIN((CROQUIS_DATOS!$C$1476)*CROQUIS_DATOS!$C$1561,((CROQUIS_DATOS!$C$1494+CROQUIS_DATOS!$C$1495)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140-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1">
      <c r="A141" t="n">
        <v>134</v>
      </c>
      <c r="N141">
        <f>IF(AND(CROQUIS_DATOS!$C$1472=1,1),(CROQUIS_DATOS!$C$1563+(IF(IF(IF(INT(($A141-1)/70)+1&gt;CROQUIS_DATOS!$C$1525,70,MOD($A141-1,70)+1)=1,0,IF(IF(INT(($A141-1)/70)+1&gt;CROQUIS_DATOS!$C$1525,70,MOD($A141-1,70)+1)&gt;2*CROQUIS_DATOS!$C$1541+1,IF(MOD(CROQUIS_DATOS!$C$1541,2)=1,1,0),IF(MOD(MIN(INT((IF(INT(($A141-1)/70)+1&gt;CROQUIS_DATOS!$C$1525,70,MOD($A141-1,70)+1)-2)/2)+1,CROQUIS_DATOS!$C$1541),2)=1,IF(MOD(IF(INT(($A141-1)/70)+1&gt;CROQUIS_DATOS!$C$1525,70,MOD($A141-1,70)+1)-2,2)=0,0,1),IF(MOD(IF(INT(($A141-1)/70)+1&gt;CROQUIS_DATOS!$C$1525,70,MOD($A141-1,70)+1)-2,2)=0,1,0))))=0,(INDEX($E$8:$E$23,MIN(INT(($A141-1)/70)+1,CROQUIS_DATOS!$C$1525))-INDEX($F$8:$F$23,MIN(INT(($A141-1)/70)+1,CROQUIS_DATOS!$C$1525))/2),(INDEX($E$8:$E$23,MIN(INT(($A141-1)/70)+1,CROQUIS_DATOS!$C$1525))+INDEX($F$8:$F$23,MIN(INT(($A141-1)/70)+1,CROQUIS_DATOS!$C$1525))/2)))*CROQUIS_DATOS!$C$1562),-1000)</f>
        <v>18.5775862068965</v>
      </c>
      <c r="O141">
        <f>IF(AND(CROQUIS_DATOS!$C$1472=1,1),(CROQUIS_DATOS!$C$1564+(IF(OR(IF(INT(($A141-1)/70)+1&gt;CROQUIS_DATOS!$C$1525,70,MOD($A141-1,70)+1)=1,IF(INT(($A141-1)/70)+1&gt;CROQUIS_DATOS!$C$1525,70,MOD($A141-1,70)+1)&gt;2*CROQUIS_DATOS!$C$1541+1),CROQUIS_DATOS!$C$1476,INDEX($H$8:$H$41,MIN(INT((IF(INT(($A141-1)/70)+1&gt;CROQUIS_DATOS!$C$1525,70,MOD($A141-1,70)+1)-2)/2)+1,CROQUIS_DATOS!$C$1541))))*CROQUIS_DATOS!$C$1561*CROQUIS_DATOS!$C$1562),-1000)</f>
        <v>40.2068965517241</v>
      </c>
      <c r="P141">
        <f>IF(AND(CROQUIS_DATOS!$C$1472=1,CROQUIS_DATOS!$C$1555=1),(CROQUIS_DATOS!$C$1563+(IF(IF(OR(MOD($A141-1,62)+1=1,IF(CHOOSE(MIN(MAX(MIN(INT(($A141-1)/62)+1,5),1),5),CROQUIS_DATOS!$C$1501,CROQUIS_DATOS!$C$1505,CROQUIS_DATOS!$C$1509,CROQUIS_DATOS!$C$1513,CROQUIS_DATOS!$C$1517)=1,CROQUIS_DATOS!$C$1557,0)=0),0,IF(MOD($A141-1,62)+1&gt;2*IF(CHOOSE(MIN(MAX(MIN(INT(($A141-1)/62)+1,5),1),5),CROQUIS_DATOS!$C$1501,CROQUIS_DATOS!$C$1505,CROQUIS_DATOS!$C$1509,CROQUIS_DATOS!$C$1513,CROQUIS_DATOS!$C$1517)=1,CROQUIS_DATOS!$C$1557,0)+1,IF(MOD(IF(CHOOSE(MIN(MAX(MIN(INT(($A141-1)/62)+1,5),1),5),CROQUIS_DATOS!$C$1501,CROQUIS_DATOS!$C$1505,CROQUIS_DATOS!$C$1509,CROQUIS_DATOS!$C$1513,CROQUIS_DATOS!$C$1517)=1,CROQUIS_DATOS!$C$1557,0),2)=1,1,0),IF(MOD(MIN(INT((MOD($A141-1,62)+1-2)/2)+1,MAX(IF(CHOOSE(MIN(MAX(MIN(INT(($A141-1)/62)+1,5),1),5),CROQUIS_DATOS!$C$1501,CROQUIS_DATOS!$C$1505,CROQUIS_DATOS!$C$1509,CROQUIS_DATOS!$C$1513,CROQUIS_DATOS!$C$1517)=1,CROQUIS_DATOS!$C$1557,0),1)),2)=1,IF(MOD(MOD($A141-1,62)+1-2,2)=0,0,1),IF(MOD(MOD($A141-1,62)+1-2,2)=0,1,0))))=0,(CHOOSE(MIN(MAX(MIN(INT(($A141-1)/62)+1,5),1),5),CROQUIS_DATOS!$C$1499,CROQUIS_DATOS!$C$1503,CROQUIS_DATOS!$C$1507,CROQUIS_DATOS!$C$1511,CROQUIS_DATOS!$C$1515)+IF(CHOOSE(MIN(MAX(MIN(INT(($A141-1)/62)+1,5),1),5),CROQUIS_DATOS!$C$1501,CROQUIS_DATOS!$C$1505,CROQUIS_DATOS!$C$1509,CROQUIS_DATOS!$C$1513,CROQUIS_DATOS!$C$1517)=1,CROQUIS_DATOS!$C$1526,0)),(CHOOSE(MIN(MAX(MIN(INT(($A141-1)/62)+1,5),1),5),CROQUIS_DATOS!$C$1499,CROQUIS_DATOS!$C$1503,CROQUIS_DATOS!$C$1507,CROQUIS_DATOS!$C$1511,CROQUIS_DATOS!$C$1515)+CHOOSE(MIN(MAX(MIN(INT(($A141-1)/62)+1,5),1),5),CROQUIS_DATOS!$C$1500,CROQUIS_DATOS!$C$1504,CROQUIS_DATOS!$C$1508,CROQUIS_DATOS!$C$1512,CROQUIS_DATOS!$C$1516)-IF(CHOOSE(MIN(MAX(MIN(INT(($A141-1)/62)+1,5),1),5),CROQUIS_DATOS!$C$1501,CROQUIS_DATOS!$C$1505,CROQUIS_DATOS!$C$1509,CROQUIS_DATOS!$C$1513,CROQUIS_DATOS!$C$1517)=1,CROQUIS_DATOS!$C$1526,0))))*CROQUIS_DATOS!$C$1562),-1000)</f>
        <v>-1000</v>
      </c>
      <c r="Q141">
        <f>IF(AND(CROQUIS_DATOS!$C$1472=1,CROQUIS_DATOS!$C$1555=1),(CROQUIS_DATOS!$C$1564+(IF(OR(OR(MOD($A141-1,62)+1=1,IF(CHOOSE(MIN(MAX(MIN(INT(($A141-1)/62)+1,5),1),5),CROQUIS_DATOS!$C$1501,CROQUIS_DATOS!$C$1505,CROQUIS_DATOS!$C$1509,CROQUIS_DATOS!$C$1513,CROQUIS_DATOS!$C$1517)=1,CROQUIS_DATOS!$C$1557,0)=0),MOD($A141-1,62)+1&gt;2*IF(CHOOSE(MIN(MAX(MIN(INT(($A141-1)/62)+1,5),1),5),CROQUIS_DATOS!$C$1501,CROQUIS_DATOS!$C$1505,CROQUIS_DATOS!$C$1509,CROQUIS_DATOS!$C$1513,CROQUIS_DATOS!$C$1517)=1,CROQUIS_DATOS!$C$1557,0)+1),CROQUIS_DATOS!$C$1476,MIN(INT((MOD($A141-1,62)+1-2)/2)+1,MAX(IF(CHOOSE(MIN(MAX(MIN(INT(($A141-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1">
        <f>IF(AND(CROQUIS_DATOS!$C$1472=1,1),(CROQUIS_DATOS!$C$1563+(MIN(INT(($A141-1)/2)+1,CROQUIS_DATOS!$C$1558)*CROQUIS_DATOS!$C$1559)*CROQUIS_DATOS!$C$1562),-1000)</f>
        <v>82.2281167108753</v>
      </c>
      <c r="U141">
        <f>IF(AND(CROQUIS_DATOS!$C$1472=1,1),(CROQUIS_DATOS!$C$1564+(IF(INT(($A141-1)/2)+1&gt;CROQUIS_DATOS!$C$1558,IF(MOD(CROQUIS_DATOS!$C$1558,2)=1,CROQUIS_DATOS!$C$1476+CROQUIS_DATOS!$C$1528,CROQUIS_DATOS!$C$1476),IF(IF(MOD(MIN(INT(($A141-1)/2)+1,CROQUIS_DATOS!$C$1558),2)=1,MOD($A141-1,2),1-MOD($A141-1,2))=1,CROQUIS_DATOS!$C$1476+CROQUIS_DATOS!$C$1528,CROQUIS_DATOS!$C$1476)))*CROQUIS_DATOS!$C$1561*CROQUIS_DATOS!$C$1562),-1000)</f>
        <v>43</v>
      </c>
      <c r="BZ141">
        <f>IF(AND(CROQUIS_DATOS!$C$1472=1,CROQUIS_DATOS!$C$1500&gt;0,((CROQUIS_DATOS!$C$1499+CROQUIS_DATOS!$C$1500))-(CROQUIS_DATOS!$C$1499)&gt;0.5,(CROQUIS_DATOS!$C$1476)-(0)&gt;0.5),(CROQUIS_DATOS!$C$1566+(IF(IF(MOD(MIN(INT(($A141-1)/2)+1,MAX(1,INT(((((CROQUIS_DATOS!$C$1499+CROQUIS_DATOS!$C$1500))-(CROQUIS_DATOS!$C$1499))+((CROQUIS_DATOS!$C$1476)*CROQUIS_DATOS!$C$1561-(0)*CROQUIS_DATOS!$C$1561))/CROQUIS_DATOS!$C$1568-0.000001))),2)=1,IF(INT(($A141-1)/2)+1&gt;MAX(1,INT(((((CROQUIS_DATOS!$C$1499+CROQUIS_DATOS!$C$1500))-(CROQUIS_DATOS!$C$1499))+((CROQUIS_DATOS!$C$1476)*CROQUIS_DATOS!$C$1561-(0)*CROQUIS_DATOS!$C$1561))/CROQUIS_DATOS!$C$1568-0.000001)),1,MOD($A141-1,2)),1-IF(INT(($A141-1)/2)+1&gt;MAX(1,INT(((((CROQUIS_DATOS!$C$1499+CROQUIS_DATOS!$C$1500))-(CROQUIS_DATOS!$C$1499))+((CROQUIS_DATOS!$C$1476)*CROQUIS_DATOS!$C$1561-(0)*CROQUIS_DATOS!$C$1561))/CROQUIS_DATOS!$C$1568-0.000001)),1,MOD($A141-1,2)))=1,MIN((CROQUIS_DATOS!$C$1476)*CROQUIS_DATOS!$C$1561,((CROQUIS_DATOS!$C$1499+CROQUIS_DATOS!$C$1500)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1">
        <f>IF(AND(CROQUIS_DATOS!$C$1472=1,CROQUIS_DATOS!$C$1500&gt;0,((CROQUIS_DATOS!$C$1499+CROQUIS_DATOS!$C$1500))-(CROQUIS_DATOS!$C$1499)&gt;0.5,(CROQUIS_DATOS!$C$1476)-(0)&gt;0.5),(CROQUIS_DATOS!$C$1567+(IF(IF(MOD(MIN(INT(($A141-1)/2)+1,MAX(1,INT(((((CROQUIS_DATOS!$C$1499+CROQUIS_DATOS!$C$1500))-(CROQUIS_DATOS!$C$1499))+((CROQUIS_DATOS!$C$1476)*CROQUIS_DATOS!$C$1561-(0)*CROQUIS_DATOS!$C$1561))/CROQUIS_DATOS!$C$1568-0.000001))),2)=1,IF(INT(($A141-1)/2)+1&gt;MAX(1,INT(((((CROQUIS_DATOS!$C$1499+CROQUIS_DATOS!$C$1500))-(CROQUIS_DATOS!$C$1499))+((CROQUIS_DATOS!$C$1476)*CROQUIS_DATOS!$C$1561-(0)*CROQUIS_DATOS!$C$1561))/CROQUIS_DATOS!$C$1568-0.000001)),1,MOD($A141-1,2)),1-IF(INT(($A141-1)/2)+1&gt;MAX(1,INT(((((CROQUIS_DATOS!$C$1499+CROQUIS_DATOS!$C$1500))-(CROQUIS_DATOS!$C$1499))+((CROQUIS_DATOS!$C$1476)*CROQUIS_DATOS!$C$1561-(0)*CROQUIS_DATOS!$C$1561))/CROQUIS_DATOS!$C$1568-0.000001)),1,MOD($A141-1,2)))=1,MIN((CROQUIS_DATOS!$C$1476)*CROQUIS_DATOS!$C$1561,((CROQUIS_DATOS!$C$1499+CROQUIS_DATOS!$C$1500)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141-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1">
        <f>IF(AND(CROQUIS_DATOS!$C$1472=1,CROQUIS_DATOS!$C$1504&gt;0,((CROQUIS_DATOS!$C$1503+CROQUIS_DATOS!$C$1504))-(CROQUIS_DATOS!$C$1503)&gt;0.5,(CROQUIS_DATOS!$C$1476)-(0)&gt;0.5),(CROQUIS_DATOS!$C$1566+(IF(IF(MOD(MIN(INT(($A141-1)/2)+1,MAX(1,INT(((((CROQUIS_DATOS!$C$1503+CROQUIS_DATOS!$C$1504))-(CROQUIS_DATOS!$C$1503))+((CROQUIS_DATOS!$C$1476)*CROQUIS_DATOS!$C$1561-(0)*CROQUIS_DATOS!$C$1561))/CROQUIS_DATOS!$C$1568-0.000001))),2)=1,IF(INT(($A141-1)/2)+1&gt;MAX(1,INT(((((CROQUIS_DATOS!$C$1503+CROQUIS_DATOS!$C$1504))-(CROQUIS_DATOS!$C$1503))+((CROQUIS_DATOS!$C$1476)*CROQUIS_DATOS!$C$1561-(0)*CROQUIS_DATOS!$C$1561))/CROQUIS_DATOS!$C$1568-0.000001)),1,MOD($A141-1,2)),1-IF(INT(($A141-1)/2)+1&gt;MAX(1,INT(((((CROQUIS_DATOS!$C$1503+CROQUIS_DATOS!$C$1504))-(CROQUIS_DATOS!$C$1503))+((CROQUIS_DATOS!$C$1476)*CROQUIS_DATOS!$C$1561-(0)*CROQUIS_DATOS!$C$1561))/CROQUIS_DATOS!$C$1568-0.000001)),1,MOD($A141-1,2)))=1,MIN((CROQUIS_DATOS!$C$1476)*CROQUIS_DATOS!$C$1561,((CROQUIS_DATOS!$C$1503+CROQUIS_DATOS!$C$1504)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1">
        <f>IF(AND(CROQUIS_DATOS!$C$1472=1,CROQUIS_DATOS!$C$1504&gt;0,((CROQUIS_DATOS!$C$1503+CROQUIS_DATOS!$C$1504))-(CROQUIS_DATOS!$C$1503)&gt;0.5,(CROQUIS_DATOS!$C$1476)-(0)&gt;0.5),(CROQUIS_DATOS!$C$1567+(IF(IF(MOD(MIN(INT(($A141-1)/2)+1,MAX(1,INT(((((CROQUIS_DATOS!$C$1503+CROQUIS_DATOS!$C$1504))-(CROQUIS_DATOS!$C$1503))+((CROQUIS_DATOS!$C$1476)*CROQUIS_DATOS!$C$1561-(0)*CROQUIS_DATOS!$C$1561))/CROQUIS_DATOS!$C$1568-0.000001))),2)=1,IF(INT(($A141-1)/2)+1&gt;MAX(1,INT(((((CROQUIS_DATOS!$C$1503+CROQUIS_DATOS!$C$1504))-(CROQUIS_DATOS!$C$1503))+((CROQUIS_DATOS!$C$1476)*CROQUIS_DATOS!$C$1561-(0)*CROQUIS_DATOS!$C$1561))/CROQUIS_DATOS!$C$1568-0.000001)),1,MOD($A141-1,2)),1-IF(INT(($A141-1)/2)+1&gt;MAX(1,INT(((((CROQUIS_DATOS!$C$1503+CROQUIS_DATOS!$C$1504))-(CROQUIS_DATOS!$C$1503))+((CROQUIS_DATOS!$C$1476)*CROQUIS_DATOS!$C$1561-(0)*CROQUIS_DATOS!$C$1561))/CROQUIS_DATOS!$C$1568-0.000001)),1,MOD($A141-1,2)))=1,MIN((CROQUIS_DATOS!$C$1476)*CROQUIS_DATOS!$C$1561,((CROQUIS_DATOS!$C$1503+CROQUIS_DATOS!$C$1504)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141-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1">
        <f>IF(AND(CROQUIS_DATOS!$C$1472=1,CROQUIS_DATOS!$C$1508&gt;0,((CROQUIS_DATOS!$C$1507+CROQUIS_DATOS!$C$1508))-(CROQUIS_DATOS!$C$1507)&gt;0.5,(CROQUIS_DATOS!$C$1476)-(0)&gt;0.5),(CROQUIS_DATOS!$C$1566+(IF(IF(MOD(MIN(INT(($A141-1)/2)+1,MAX(1,INT(((((CROQUIS_DATOS!$C$1507+CROQUIS_DATOS!$C$1508))-(CROQUIS_DATOS!$C$1507))+((CROQUIS_DATOS!$C$1476)*CROQUIS_DATOS!$C$1561-(0)*CROQUIS_DATOS!$C$1561))/CROQUIS_DATOS!$C$1568-0.000001))),2)=1,IF(INT(($A141-1)/2)+1&gt;MAX(1,INT(((((CROQUIS_DATOS!$C$1507+CROQUIS_DATOS!$C$1508))-(CROQUIS_DATOS!$C$1507))+((CROQUIS_DATOS!$C$1476)*CROQUIS_DATOS!$C$1561-(0)*CROQUIS_DATOS!$C$1561))/CROQUIS_DATOS!$C$1568-0.000001)),1,MOD($A141-1,2)),1-IF(INT(($A141-1)/2)+1&gt;MAX(1,INT(((((CROQUIS_DATOS!$C$1507+CROQUIS_DATOS!$C$1508))-(CROQUIS_DATOS!$C$1507))+((CROQUIS_DATOS!$C$1476)*CROQUIS_DATOS!$C$1561-(0)*CROQUIS_DATOS!$C$1561))/CROQUIS_DATOS!$C$1568-0.000001)),1,MOD($A141-1,2)))=1,MIN((CROQUIS_DATOS!$C$1476)*CROQUIS_DATOS!$C$1561,((CROQUIS_DATOS!$C$1507+CROQUIS_DATOS!$C$1508)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1">
        <f>IF(AND(CROQUIS_DATOS!$C$1472=1,CROQUIS_DATOS!$C$1508&gt;0,((CROQUIS_DATOS!$C$1507+CROQUIS_DATOS!$C$1508))-(CROQUIS_DATOS!$C$1507)&gt;0.5,(CROQUIS_DATOS!$C$1476)-(0)&gt;0.5),(CROQUIS_DATOS!$C$1567+(IF(IF(MOD(MIN(INT(($A141-1)/2)+1,MAX(1,INT(((((CROQUIS_DATOS!$C$1507+CROQUIS_DATOS!$C$1508))-(CROQUIS_DATOS!$C$1507))+((CROQUIS_DATOS!$C$1476)*CROQUIS_DATOS!$C$1561-(0)*CROQUIS_DATOS!$C$1561))/CROQUIS_DATOS!$C$1568-0.000001))),2)=1,IF(INT(($A141-1)/2)+1&gt;MAX(1,INT(((((CROQUIS_DATOS!$C$1507+CROQUIS_DATOS!$C$1508))-(CROQUIS_DATOS!$C$1507))+((CROQUIS_DATOS!$C$1476)*CROQUIS_DATOS!$C$1561-(0)*CROQUIS_DATOS!$C$1561))/CROQUIS_DATOS!$C$1568-0.000001)),1,MOD($A141-1,2)),1-IF(INT(($A141-1)/2)+1&gt;MAX(1,INT(((((CROQUIS_DATOS!$C$1507+CROQUIS_DATOS!$C$1508))-(CROQUIS_DATOS!$C$1507))+((CROQUIS_DATOS!$C$1476)*CROQUIS_DATOS!$C$1561-(0)*CROQUIS_DATOS!$C$1561))/CROQUIS_DATOS!$C$1568-0.000001)),1,MOD($A141-1,2)))=1,MIN((CROQUIS_DATOS!$C$1476)*CROQUIS_DATOS!$C$1561,((CROQUIS_DATOS!$C$1507+CROQUIS_DATOS!$C$1508)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141-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1">
        <f>IF(AND(CROQUIS_DATOS!$C$1472=1,CROQUIS_DATOS!$C$1512&gt;0,((CROQUIS_DATOS!$C$1511+CROQUIS_DATOS!$C$1512))-(CROQUIS_DATOS!$C$1511)&gt;0.5,(CROQUIS_DATOS!$C$1476)-(0)&gt;0.5),(CROQUIS_DATOS!$C$1566+(IF(IF(MOD(MIN(INT(($A141-1)/2)+1,MAX(1,INT(((((CROQUIS_DATOS!$C$1511+CROQUIS_DATOS!$C$1512))-(CROQUIS_DATOS!$C$1511))+((CROQUIS_DATOS!$C$1476)*CROQUIS_DATOS!$C$1561-(0)*CROQUIS_DATOS!$C$1561))/CROQUIS_DATOS!$C$1568-0.000001))),2)=1,IF(INT(($A141-1)/2)+1&gt;MAX(1,INT(((((CROQUIS_DATOS!$C$1511+CROQUIS_DATOS!$C$1512))-(CROQUIS_DATOS!$C$1511))+((CROQUIS_DATOS!$C$1476)*CROQUIS_DATOS!$C$1561-(0)*CROQUIS_DATOS!$C$1561))/CROQUIS_DATOS!$C$1568-0.000001)),1,MOD($A141-1,2)),1-IF(INT(($A141-1)/2)+1&gt;MAX(1,INT(((((CROQUIS_DATOS!$C$1511+CROQUIS_DATOS!$C$1512))-(CROQUIS_DATOS!$C$1511))+((CROQUIS_DATOS!$C$1476)*CROQUIS_DATOS!$C$1561-(0)*CROQUIS_DATOS!$C$1561))/CROQUIS_DATOS!$C$1568-0.000001)),1,MOD($A141-1,2)))=1,MIN((CROQUIS_DATOS!$C$1476)*CROQUIS_DATOS!$C$1561,((CROQUIS_DATOS!$C$1511+CROQUIS_DATOS!$C$1512)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1">
        <f>IF(AND(CROQUIS_DATOS!$C$1472=1,CROQUIS_DATOS!$C$1512&gt;0,((CROQUIS_DATOS!$C$1511+CROQUIS_DATOS!$C$1512))-(CROQUIS_DATOS!$C$1511)&gt;0.5,(CROQUIS_DATOS!$C$1476)-(0)&gt;0.5),(CROQUIS_DATOS!$C$1567+(IF(IF(MOD(MIN(INT(($A141-1)/2)+1,MAX(1,INT(((((CROQUIS_DATOS!$C$1511+CROQUIS_DATOS!$C$1512))-(CROQUIS_DATOS!$C$1511))+((CROQUIS_DATOS!$C$1476)*CROQUIS_DATOS!$C$1561-(0)*CROQUIS_DATOS!$C$1561))/CROQUIS_DATOS!$C$1568-0.000001))),2)=1,IF(INT(($A141-1)/2)+1&gt;MAX(1,INT(((((CROQUIS_DATOS!$C$1511+CROQUIS_DATOS!$C$1512))-(CROQUIS_DATOS!$C$1511))+((CROQUIS_DATOS!$C$1476)*CROQUIS_DATOS!$C$1561-(0)*CROQUIS_DATOS!$C$1561))/CROQUIS_DATOS!$C$1568-0.000001)),1,MOD($A141-1,2)),1-IF(INT(($A141-1)/2)+1&gt;MAX(1,INT(((((CROQUIS_DATOS!$C$1511+CROQUIS_DATOS!$C$1512))-(CROQUIS_DATOS!$C$1511))+((CROQUIS_DATOS!$C$1476)*CROQUIS_DATOS!$C$1561-(0)*CROQUIS_DATOS!$C$1561))/CROQUIS_DATOS!$C$1568-0.000001)),1,MOD($A141-1,2)))=1,MIN((CROQUIS_DATOS!$C$1476)*CROQUIS_DATOS!$C$1561,((CROQUIS_DATOS!$C$1511+CROQUIS_DATOS!$C$1512)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141-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1">
        <f>IF(AND(CROQUIS_DATOS!$C$1472=1,CROQUIS_DATOS!$C$1516&gt;0,((CROQUIS_DATOS!$C$1515+CROQUIS_DATOS!$C$1516))-(CROQUIS_DATOS!$C$1515)&gt;0.5,(CROQUIS_DATOS!$C$1476)-(0)&gt;0.5),(CROQUIS_DATOS!$C$1566+(IF(IF(MOD(MIN(INT(($A141-1)/2)+1,MAX(1,INT(((((CROQUIS_DATOS!$C$1515+CROQUIS_DATOS!$C$1516))-(CROQUIS_DATOS!$C$1515))+((CROQUIS_DATOS!$C$1476)*CROQUIS_DATOS!$C$1561-(0)*CROQUIS_DATOS!$C$1561))/CROQUIS_DATOS!$C$1568-0.000001))),2)=1,IF(INT(($A141-1)/2)+1&gt;MAX(1,INT(((((CROQUIS_DATOS!$C$1515+CROQUIS_DATOS!$C$1516))-(CROQUIS_DATOS!$C$1515))+((CROQUIS_DATOS!$C$1476)*CROQUIS_DATOS!$C$1561-(0)*CROQUIS_DATOS!$C$1561))/CROQUIS_DATOS!$C$1568-0.000001)),1,MOD($A141-1,2)),1-IF(INT(($A141-1)/2)+1&gt;MAX(1,INT(((((CROQUIS_DATOS!$C$1515+CROQUIS_DATOS!$C$1516))-(CROQUIS_DATOS!$C$1515))+((CROQUIS_DATOS!$C$1476)*CROQUIS_DATOS!$C$1561-(0)*CROQUIS_DATOS!$C$1561))/CROQUIS_DATOS!$C$1568-0.000001)),1,MOD($A141-1,2)))=1,MIN((CROQUIS_DATOS!$C$1476)*CROQUIS_DATOS!$C$1561,((CROQUIS_DATOS!$C$1515+CROQUIS_DATOS!$C$1516)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1">
        <f>IF(AND(CROQUIS_DATOS!$C$1472=1,CROQUIS_DATOS!$C$1516&gt;0,((CROQUIS_DATOS!$C$1515+CROQUIS_DATOS!$C$1516))-(CROQUIS_DATOS!$C$1515)&gt;0.5,(CROQUIS_DATOS!$C$1476)-(0)&gt;0.5),(CROQUIS_DATOS!$C$1567+(IF(IF(MOD(MIN(INT(($A141-1)/2)+1,MAX(1,INT(((((CROQUIS_DATOS!$C$1515+CROQUIS_DATOS!$C$1516))-(CROQUIS_DATOS!$C$1515))+((CROQUIS_DATOS!$C$1476)*CROQUIS_DATOS!$C$1561-(0)*CROQUIS_DATOS!$C$1561))/CROQUIS_DATOS!$C$1568-0.000001))),2)=1,IF(INT(($A141-1)/2)+1&gt;MAX(1,INT(((((CROQUIS_DATOS!$C$1515+CROQUIS_DATOS!$C$1516))-(CROQUIS_DATOS!$C$1515))+((CROQUIS_DATOS!$C$1476)*CROQUIS_DATOS!$C$1561-(0)*CROQUIS_DATOS!$C$1561))/CROQUIS_DATOS!$C$1568-0.000001)),1,MOD($A141-1,2)),1-IF(INT(($A141-1)/2)+1&gt;MAX(1,INT(((((CROQUIS_DATOS!$C$1515+CROQUIS_DATOS!$C$1516))-(CROQUIS_DATOS!$C$1515))+((CROQUIS_DATOS!$C$1476)*CROQUIS_DATOS!$C$1561-(0)*CROQUIS_DATOS!$C$1561))/CROQUIS_DATOS!$C$1568-0.000001)),1,MOD($A141-1,2)))=1,MIN((CROQUIS_DATOS!$C$1476)*CROQUIS_DATOS!$C$1561,((CROQUIS_DATOS!$C$1515+CROQUIS_DATOS!$C$1516)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141-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1">
        <f>IF(AND(CROQUIS_DATOS!$C$1472=1,CROQUIS_DATOS!$C$1478&gt;=1,((CROQUIS_DATOS!$C$1479+CROQUIS_DATOS!$C$1480))-(CROQUIS_DATOS!$C$1479)&gt;0.5,(CROQUIS_DATOS!$C$1481)-(0)&gt;0.5),(CROQUIS_DATOS!$C$1566+(IF(IF(MOD(MIN(INT(($A141-1)/2)+1,MAX(1,INT(((((CROQUIS_DATOS!$C$1479+CROQUIS_DATOS!$C$1480))-(CROQUIS_DATOS!$C$1479))+((CROQUIS_DATOS!$C$1481)*CROQUIS_DATOS!$C$1561-(0)*CROQUIS_DATOS!$C$1561))/CROQUIS_DATOS!$C$1568-0.000001))),2)=1,IF(INT(($A141-1)/2)+1&gt;MAX(1,INT(((((CROQUIS_DATOS!$C$1479+CROQUIS_DATOS!$C$1480))-(CROQUIS_DATOS!$C$1479))+((CROQUIS_DATOS!$C$1481)*CROQUIS_DATOS!$C$1561-(0)*CROQUIS_DATOS!$C$1561))/CROQUIS_DATOS!$C$1568-0.000001)),1,MOD($A141-1,2)),1-IF(INT(($A141-1)/2)+1&gt;MAX(1,INT(((((CROQUIS_DATOS!$C$1479+CROQUIS_DATOS!$C$1480))-(CROQUIS_DATOS!$C$1479))+((CROQUIS_DATOS!$C$1481)*CROQUIS_DATOS!$C$1561-(0)*CROQUIS_DATOS!$C$1561))/CROQUIS_DATOS!$C$1568-0.000001)),1,MOD($A141-1,2)))=1,MIN((CROQUIS_DATOS!$C$1481)*CROQUIS_DATOS!$C$1561,((CROQUIS_DATOS!$C$1479+CROQUIS_DATOS!$C$1480)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1">
        <f>IF(AND(CROQUIS_DATOS!$C$1472=1,CROQUIS_DATOS!$C$1478&gt;=1,((CROQUIS_DATOS!$C$1479+CROQUIS_DATOS!$C$1480))-(CROQUIS_DATOS!$C$1479)&gt;0.5,(CROQUIS_DATOS!$C$1481)-(0)&gt;0.5),(CROQUIS_DATOS!$C$1567+(IF(IF(MOD(MIN(INT(($A141-1)/2)+1,MAX(1,INT(((((CROQUIS_DATOS!$C$1479+CROQUIS_DATOS!$C$1480))-(CROQUIS_DATOS!$C$1479))+((CROQUIS_DATOS!$C$1481)*CROQUIS_DATOS!$C$1561-(0)*CROQUIS_DATOS!$C$1561))/CROQUIS_DATOS!$C$1568-0.000001))),2)=1,IF(INT(($A141-1)/2)+1&gt;MAX(1,INT(((((CROQUIS_DATOS!$C$1479+CROQUIS_DATOS!$C$1480))-(CROQUIS_DATOS!$C$1479))+((CROQUIS_DATOS!$C$1481)*CROQUIS_DATOS!$C$1561-(0)*CROQUIS_DATOS!$C$1561))/CROQUIS_DATOS!$C$1568-0.000001)),1,MOD($A141-1,2)),1-IF(INT(($A141-1)/2)+1&gt;MAX(1,INT(((((CROQUIS_DATOS!$C$1479+CROQUIS_DATOS!$C$1480))-(CROQUIS_DATOS!$C$1479))+((CROQUIS_DATOS!$C$1481)*CROQUIS_DATOS!$C$1561-(0)*CROQUIS_DATOS!$C$1561))/CROQUIS_DATOS!$C$1568-0.000001)),1,MOD($A141-1,2)))=1,MIN((CROQUIS_DATOS!$C$1481)*CROQUIS_DATOS!$C$1561,((CROQUIS_DATOS!$C$1479+CROQUIS_DATOS!$C$1480)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141-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1">
        <f>IF(AND(CROQUIS_DATOS!$C$1472=1,CROQUIS_DATOS!$C$1478&gt;=1,((CROQUIS_DATOS!$C$1479+CROQUIS_DATOS!$C$1480))-(CROQUIS_DATOS!$C$1479)&gt;0.5,(CROQUIS_DATOS!$C$1476)-((CROQUIS_DATOS!$C$1481+CROQUIS_DATOS!$C$1482))&gt;0.5),(CROQUIS_DATOS!$C$1566+(IF(IF(MOD(MIN(INT(($A141-1)/2)+1,MAX(1,INT(((((CROQUIS_DATOS!$C$1479+CROQUIS_DATOS!$C$1480))-(CROQUIS_DATOS!$C$1479))+((CROQUIS_DATOS!$C$1476)*CROQUIS_DATOS!$C$1561-((CROQUIS_DATOS!$C$1481+CROQUIS_DATOS!$C$1482))*CROQUIS_DATOS!$C$1561))/CROQUIS_DATOS!$C$1568-0.000001))),2)=1,IF(INT(($A141-1)/2)+1&gt;MAX(1,INT(((((CROQUIS_DATOS!$C$1479+CROQUIS_DATOS!$C$1480))-(CROQUIS_DATOS!$C$1479))+((CROQUIS_DATOS!$C$1476)*CROQUIS_DATOS!$C$1561-((CROQUIS_DATOS!$C$1481+CROQUIS_DATOS!$C$1482))*CROQUIS_DATOS!$C$1561))/CROQUIS_DATOS!$C$1568-0.000001)),1,MOD($A141-1,2)),1-IF(INT(($A141-1)/2)+1&gt;MAX(1,INT(((((CROQUIS_DATOS!$C$1479+CROQUIS_DATOS!$C$1480))-(CROQUIS_DATOS!$C$1479))+((CROQUIS_DATOS!$C$1476)*CROQUIS_DATOS!$C$1561-((CROQUIS_DATOS!$C$1481+CROQUIS_DATOS!$C$1482))*CROQUIS_DATOS!$C$1561))/CROQUIS_DATOS!$C$1568-0.000001)),1,MOD($A141-1,2)))=1,MIN((CROQUIS_DATOS!$C$1476)*CROQUIS_DATOS!$C$1561,((CROQUIS_DATOS!$C$1479+CROQUIS_DATOS!$C$1480)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1">
        <f>IF(AND(CROQUIS_DATOS!$C$1472=1,CROQUIS_DATOS!$C$1478&gt;=1,((CROQUIS_DATOS!$C$1479+CROQUIS_DATOS!$C$1480))-(CROQUIS_DATOS!$C$1479)&gt;0.5,(CROQUIS_DATOS!$C$1476)-((CROQUIS_DATOS!$C$1481+CROQUIS_DATOS!$C$1482))&gt;0.5),(CROQUIS_DATOS!$C$1567+(IF(IF(MOD(MIN(INT(($A141-1)/2)+1,MAX(1,INT(((((CROQUIS_DATOS!$C$1479+CROQUIS_DATOS!$C$1480))-(CROQUIS_DATOS!$C$1479))+((CROQUIS_DATOS!$C$1476)*CROQUIS_DATOS!$C$1561-((CROQUIS_DATOS!$C$1481+CROQUIS_DATOS!$C$1482))*CROQUIS_DATOS!$C$1561))/CROQUIS_DATOS!$C$1568-0.000001))),2)=1,IF(INT(($A141-1)/2)+1&gt;MAX(1,INT(((((CROQUIS_DATOS!$C$1479+CROQUIS_DATOS!$C$1480))-(CROQUIS_DATOS!$C$1479))+((CROQUIS_DATOS!$C$1476)*CROQUIS_DATOS!$C$1561-((CROQUIS_DATOS!$C$1481+CROQUIS_DATOS!$C$1482))*CROQUIS_DATOS!$C$1561))/CROQUIS_DATOS!$C$1568-0.000001)),1,MOD($A141-1,2)),1-IF(INT(($A141-1)/2)+1&gt;MAX(1,INT(((((CROQUIS_DATOS!$C$1479+CROQUIS_DATOS!$C$1480))-(CROQUIS_DATOS!$C$1479))+((CROQUIS_DATOS!$C$1476)*CROQUIS_DATOS!$C$1561-((CROQUIS_DATOS!$C$1481+CROQUIS_DATOS!$C$1482))*CROQUIS_DATOS!$C$1561))/CROQUIS_DATOS!$C$1568-0.000001)),1,MOD($A141-1,2)))=1,MIN((CROQUIS_DATOS!$C$1476)*CROQUIS_DATOS!$C$1561,((CROQUIS_DATOS!$C$1479+CROQUIS_DATOS!$C$1480)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141-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1">
        <f>IF(AND(CROQUIS_DATOS!$C$1472=1,CROQUIS_DATOS!$C$1478&gt;=2,((CROQUIS_DATOS!$C$1484+CROQUIS_DATOS!$C$1485))-(CROQUIS_DATOS!$C$1484)&gt;0.5,(CROQUIS_DATOS!$C$1486)-(0)&gt;0.5),(CROQUIS_DATOS!$C$1566+(IF(IF(MOD(MIN(INT(($A141-1)/2)+1,MAX(1,INT(((((CROQUIS_DATOS!$C$1484+CROQUIS_DATOS!$C$1485))-(CROQUIS_DATOS!$C$1484))+((CROQUIS_DATOS!$C$1486)*CROQUIS_DATOS!$C$1561-(0)*CROQUIS_DATOS!$C$1561))/CROQUIS_DATOS!$C$1568-0.000001))),2)=1,IF(INT(($A141-1)/2)+1&gt;MAX(1,INT(((((CROQUIS_DATOS!$C$1484+CROQUIS_DATOS!$C$1485))-(CROQUIS_DATOS!$C$1484))+((CROQUIS_DATOS!$C$1486)*CROQUIS_DATOS!$C$1561-(0)*CROQUIS_DATOS!$C$1561))/CROQUIS_DATOS!$C$1568-0.000001)),1,MOD($A141-1,2)),1-IF(INT(($A141-1)/2)+1&gt;MAX(1,INT(((((CROQUIS_DATOS!$C$1484+CROQUIS_DATOS!$C$1485))-(CROQUIS_DATOS!$C$1484))+((CROQUIS_DATOS!$C$1486)*CROQUIS_DATOS!$C$1561-(0)*CROQUIS_DATOS!$C$1561))/CROQUIS_DATOS!$C$1568-0.000001)),1,MOD($A141-1,2)))=1,MIN((CROQUIS_DATOS!$C$1486)*CROQUIS_DATOS!$C$1561,((CROQUIS_DATOS!$C$1484+CROQUIS_DATOS!$C$1485)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1">
        <f>IF(AND(CROQUIS_DATOS!$C$1472=1,CROQUIS_DATOS!$C$1478&gt;=2,((CROQUIS_DATOS!$C$1484+CROQUIS_DATOS!$C$1485))-(CROQUIS_DATOS!$C$1484)&gt;0.5,(CROQUIS_DATOS!$C$1486)-(0)&gt;0.5),(CROQUIS_DATOS!$C$1567+(IF(IF(MOD(MIN(INT(($A141-1)/2)+1,MAX(1,INT(((((CROQUIS_DATOS!$C$1484+CROQUIS_DATOS!$C$1485))-(CROQUIS_DATOS!$C$1484))+((CROQUIS_DATOS!$C$1486)*CROQUIS_DATOS!$C$1561-(0)*CROQUIS_DATOS!$C$1561))/CROQUIS_DATOS!$C$1568-0.000001))),2)=1,IF(INT(($A141-1)/2)+1&gt;MAX(1,INT(((((CROQUIS_DATOS!$C$1484+CROQUIS_DATOS!$C$1485))-(CROQUIS_DATOS!$C$1484))+((CROQUIS_DATOS!$C$1486)*CROQUIS_DATOS!$C$1561-(0)*CROQUIS_DATOS!$C$1561))/CROQUIS_DATOS!$C$1568-0.000001)),1,MOD($A141-1,2)),1-IF(INT(($A141-1)/2)+1&gt;MAX(1,INT(((((CROQUIS_DATOS!$C$1484+CROQUIS_DATOS!$C$1485))-(CROQUIS_DATOS!$C$1484))+((CROQUIS_DATOS!$C$1486)*CROQUIS_DATOS!$C$1561-(0)*CROQUIS_DATOS!$C$1561))/CROQUIS_DATOS!$C$1568-0.000001)),1,MOD($A141-1,2)))=1,MIN((CROQUIS_DATOS!$C$1486)*CROQUIS_DATOS!$C$1561,((CROQUIS_DATOS!$C$1484+CROQUIS_DATOS!$C$1485)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141-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1">
        <f>IF(AND(CROQUIS_DATOS!$C$1472=1,CROQUIS_DATOS!$C$1478&gt;=2,((CROQUIS_DATOS!$C$1484+CROQUIS_DATOS!$C$1485))-(CROQUIS_DATOS!$C$1484)&gt;0.5,(CROQUIS_DATOS!$C$1476)-((CROQUIS_DATOS!$C$1486+CROQUIS_DATOS!$C$1487))&gt;0.5),(CROQUIS_DATOS!$C$1566+(IF(IF(MOD(MIN(INT(($A141-1)/2)+1,MAX(1,INT(((((CROQUIS_DATOS!$C$1484+CROQUIS_DATOS!$C$1485))-(CROQUIS_DATOS!$C$1484))+((CROQUIS_DATOS!$C$1476)*CROQUIS_DATOS!$C$1561-((CROQUIS_DATOS!$C$1486+CROQUIS_DATOS!$C$1487))*CROQUIS_DATOS!$C$1561))/CROQUIS_DATOS!$C$1568-0.000001))),2)=1,IF(INT(($A141-1)/2)+1&gt;MAX(1,INT(((((CROQUIS_DATOS!$C$1484+CROQUIS_DATOS!$C$1485))-(CROQUIS_DATOS!$C$1484))+((CROQUIS_DATOS!$C$1476)*CROQUIS_DATOS!$C$1561-((CROQUIS_DATOS!$C$1486+CROQUIS_DATOS!$C$1487))*CROQUIS_DATOS!$C$1561))/CROQUIS_DATOS!$C$1568-0.000001)),1,MOD($A141-1,2)),1-IF(INT(($A141-1)/2)+1&gt;MAX(1,INT(((((CROQUIS_DATOS!$C$1484+CROQUIS_DATOS!$C$1485))-(CROQUIS_DATOS!$C$1484))+((CROQUIS_DATOS!$C$1476)*CROQUIS_DATOS!$C$1561-((CROQUIS_DATOS!$C$1486+CROQUIS_DATOS!$C$1487))*CROQUIS_DATOS!$C$1561))/CROQUIS_DATOS!$C$1568-0.000001)),1,MOD($A141-1,2)))=1,MIN((CROQUIS_DATOS!$C$1476)*CROQUIS_DATOS!$C$1561,((CROQUIS_DATOS!$C$1484+CROQUIS_DATOS!$C$1485)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1">
        <f>IF(AND(CROQUIS_DATOS!$C$1472=1,CROQUIS_DATOS!$C$1478&gt;=2,((CROQUIS_DATOS!$C$1484+CROQUIS_DATOS!$C$1485))-(CROQUIS_DATOS!$C$1484)&gt;0.5,(CROQUIS_DATOS!$C$1476)-((CROQUIS_DATOS!$C$1486+CROQUIS_DATOS!$C$1487))&gt;0.5),(CROQUIS_DATOS!$C$1567+(IF(IF(MOD(MIN(INT(($A141-1)/2)+1,MAX(1,INT(((((CROQUIS_DATOS!$C$1484+CROQUIS_DATOS!$C$1485))-(CROQUIS_DATOS!$C$1484))+((CROQUIS_DATOS!$C$1476)*CROQUIS_DATOS!$C$1561-((CROQUIS_DATOS!$C$1486+CROQUIS_DATOS!$C$1487))*CROQUIS_DATOS!$C$1561))/CROQUIS_DATOS!$C$1568-0.000001))),2)=1,IF(INT(($A141-1)/2)+1&gt;MAX(1,INT(((((CROQUIS_DATOS!$C$1484+CROQUIS_DATOS!$C$1485))-(CROQUIS_DATOS!$C$1484))+((CROQUIS_DATOS!$C$1476)*CROQUIS_DATOS!$C$1561-((CROQUIS_DATOS!$C$1486+CROQUIS_DATOS!$C$1487))*CROQUIS_DATOS!$C$1561))/CROQUIS_DATOS!$C$1568-0.000001)),1,MOD($A141-1,2)),1-IF(INT(($A141-1)/2)+1&gt;MAX(1,INT(((((CROQUIS_DATOS!$C$1484+CROQUIS_DATOS!$C$1485))-(CROQUIS_DATOS!$C$1484))+((CROQUIS_DATOS!$C$1476)*CROQUIS_DATOS!$C$1561-((CROQUIS_DATOS!$C$1486+CROQUIS_DATOS!$C$1487))*CROQUIS_DATOS!$C$1561))/CROQUIS_DATOS!$C$1568-0.000001)),1,MOD($A141-1,2)))=1,MIN((CROQUIS_DATOS!$C$1476)*CROQUIS_DATOS!$C$1561,((CROQUIS_DATOS!$C$1484+CROQUIS_DATOS!$C$1485)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141-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1">
        <f>IF(AND(CROQUIS_DATOS!$C$1472=1,CROQUIS_DATOS!$C$1478&gt;=3,((CROQUIS_DATOS!$C$1489+CROQUIS_DATOS!$C$1490))-(CROQUIS_DATOS!$C$1489)&gt;0.5,(CROQUIS_DATOS!$C$1491)-(0)&gt;0.5),(CROQUIS_DATOS!$C$1566+(IF(IF(MOD(MIN(INT(($A141-1)/2)+1,MAX(1,INT(((((CROQUIS_DATOS!$C$1489+CROQUIS_DATOS!$C$1490))-(CROQUIS_DATOS!$C$1489))+((CROQUIS_DATOS!$C$1491)*CROQUIS_DATOS!$C$1561-(0)*CROQUIS_DATOS!$C$1561))/CROQUIS_DATOS!$C$1568-0.000001))),2)=1,IF(INT(($A141-1)/2)+1&gt;MAX(1,INT(((((CROQUIS_DATOS!$C$1489+CROQUIS_DATOS!$C$1490))-(CROQUIS_DATOS!$C$1489))+((CROQUIS_DATOS!$C$1491)*CROQUIS_DATOS!$C$1561-(0)*CROQUIS_DATOS!$C$1561))/CROQUIS_DATOS!$C$1568-0.000001)),1,MOD($A141-1,2)),1-IF(INT(($A141-1)/2)+1&gt;MAX(1,INT(((((CROQUIS_DATOS!$C$1489+CROQUIS_DATOS!$C$1490))-(CROQUIS_DATOS!$C$1489))+((CROQUIS_DATOS!$C$1491)*CROQUIS_DATOS!$C$1561-(0)*CROQUIS_DATOS!$C$1561))/CROQUIS_DATOS!$C$1568-0.000001)),1,MOD($A141-1,2)))=1,MIN((CROQUIS_DATOS!$C$1491)*CROQUIS_DATOS!$C$1561,((CROQUIS_DATOS!$C$1489+CROQUIS_DATOS!$C$1490)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1">
        <f>IF(AND(CROQUIS_DATOS!$C$1472=1,CROQUIS_DATOS!$C$1478&gt;=3,((CROQUIS_DATOS!$C$1489+CROQUIS_DATOS!$C$1490))-(CROQUIS_DATOS!$C$1489)&gt;0.5,(CROQUIS_DATOS!$C$1491)-(0)&gt;0.5),(CROQUIS_DATOS!$C$1567+(IF(IF(MOD(MIN(INT(($A141-1)/2)+1,MAX(1,INT(((((CROQUIS_DATOS!$C$1489+CROQUIS_DATOS!$C$1490))-(CROQUIS_DATOS!$C$1489))+((CROQUIS_DATOS!$C$1491)*CROQUIS_DATOS!$C$1561-(0)*CROQUIS_DATOS!$C$1561))/CROQUIS_DATOS!$C$1568-0.000001))),2)=1,IF(INT(($A141-1)/2)+1&gt;MAX(1,INT(((((CROQUIS_DATOS!$C$1489+CROQUIS_DATOS!$C$1490))-(CROQUIS_DATOS!$C$1489))+((CROQUIS_DATOS!$C$1491)*CROQUIS_DATOS!$C$1561-(0)*CROQUIS_DATOS!$C$1561))/CROQUIS_DATOS!$C$1568-0.000001)),1,MOD($A141-1,2)),1-IF(INT(($A141-1)/2)+1&gt;MAX(1,INT(((((CROQUIS_DATOS!$C$1489+CROQUIS_DATOS!$C$1490))-(CROQUIS_DATOS!$C$1489))+((CROQUIS_DATOS!$C$1491)*CROQUIS_DATOS!$C$1561-(0)*CROQUIS_DATOS!$C$1561))/CROQUIS_DATOS!$C$1568-0.000001)),1,MOD($A141-1,2)))=1,MIN((CROQUIS_DATOS!$C$1491)*CROQUIS_DATOS!$C$1561,((CROQUIS_DATOS!$C$1489+CROQUIS_DATOS!$C$1490)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141-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1">
        <f>IF(AND(CROQUIS_DATOS!$C$1472=1,CROQUIS_DATOS!$C$1478&gt;=3,((CROQUIS_DATOS!$C$1489+CROQUIS_DATOS!$C$1490))-(CROQUIS_DATOS!$C$1489)&gt;0.5,(CROQUIS_DATOS!$C$1476)-((CROQUIS_DATOS!$C$1491+CROQUIS_DATOS!$C$1492))&gt;0.5),(CROQUIS_DATOS!$C$1566+(IF(IF(MOD(MIN(INT(($A141-1)/2)+1,MAX(1,INT(((((CROQUIS_DATOS!$C$1489+CROQUIS_DATOS!$C$1490))-(CROQUIS_DATOS!$C$1489))+((CROQUIS_DATOS!$C$1476)*CROQUIS_DATOS!$C$1561-((CROQUIS_DATOS!$C$1491+CROQUIS_DATOS!$C$1492))*CROQUIS_DATOS!$C$1561))/CROQUIS_DATOS!$C$1568-0.000001))),2)=1,IF(INT(($A141-1)/2)+1&gt;MAX(1,INT(((((CROQUIS_DATOS!$C$1489+CROQUIS_DATOS!$C$1490))-(CROQUIS_DATOS!$C$1489))+((CROQUIS_DATOS!$C$1476)*CROQUIS_DATOS!$C$1561-((CROQUIS_DATOS!$C$1491+CROQUIS_DATOS!$C$1492))*CROQUIS_DATOS!$C$1561))/CROQUIS_DATOS!$C$1568-0.000001)),1,MOD($A141-1,2)),1-IF(INT(($A141-1)/2)+1&gt;MAX(1,INT(((((CROQUIS_DATOS!$C$1489+CROQUIS_DATOS!$C$1490))-(CROQUIS_DATOS!$C$1489))+((CROQUIS_DATOS!$C$1476)*CROQUIS_DATOS!$C$1561-((CROQUIS_DATOS!$C$1491+CROQUIS_DATOS!$C$1492))*CROQUIS_DATOS!$C$1561))/CROQUIS_DATOS!$C$1568-0.000001)),1,MOD($A141-1,2)))=1,MIN((CROQUIS_DATOS!$C$1476)*CROQUIS_DATOS!$C$1561,((CROQUIS_DATOS!$C$1489+CROQUIS_DATOS!$C$1490)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1">
        <f>IF(AND(CROQUIS_DATOS!$C$1472=1,CROQUIS_DATOS!$C$1478&gt;=3,((CROQUIS_DATOS!$C$1489+CROQUIS_DATOS!$C$1490))-(CROQUIS_DATOS!$C$1489)&gt;0.5,(CROQUIS_DATOS!$C$1476)-((CROQUIS_DATOS!$C$1491+CROQUIS_DATOS!$C$1492))&gt;0.5),(CROQUIS_DATOS!$C$1567+(IF(IF(MOD(MIN(INT(($A141-1)/2)+1,MAX(1,INT(((((CROQUIS_DATOS!$C$1489+CROQUIS_DATOS!$C$1490))-(CROQUIS_DATOS!$C$1489))+((CROQUIS_DATOS!$C$1476)*CROQUIS_DATOS!$C$1561-((CROQUIS_DATOS!$C$1491+CROQUIS_DATOS!$C$1492))*CROQUIS_DATOS!$C$1561))/CROQUIS_DATOS!$C$1568-0.000001))),2)=1,IF(INT(($A141-1)/2)+1&gt;MAX(1,INT(((((CROQUIS_DATOS!$C$1489+CROQUIS_DATOS!$C$1490))-(CROQUIS_DATOS!$C$1489))+((CROQUIS_DATOS!$C$1476)*CROQUIS_DATOS!$C$1561-((CROQUIS_DATOS!$C$1491+CROQUIS_DATOS!$C$1492))*CROQUIS_DATOS!$C$1561))/CROQUIS_DATOS!$C$1568-0.000001)),1,MOD($A141-1,2)),1-IF(INT(($A141-1)/2)+1&gt;MAX(1,INT(((((CROQUIS_DATOS!$C$1489+CROQUIS_DATOS!$C$1490))-(CROQUIS_DATOS!$C$1489))+((CROQUIS_DATOS!$C$1476)*CROQUIS_DATOS!$C$1561-((CROQUIS_DATOS!$C$1491+CROQUIS_DATOS!$C$1492))*CROQUIS_DATOS!$C$1561))/CROQUIS_DATOS!$C$1568-0.000001)),1,MOD($A141-1,2)))=1,MIN((CROQUIS_DATOS!$C$1476)*CROQUIS_DATOS!$C$1561,((CROQUIS_DATOS!$C$1489+CROQUIS_DATOS!$C$1490)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141-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1">
        <f>IF(AND(CROQUIS_DATOS!$C$1472=1,CROQUIS_DATOS!$C$1478&gt;=4,((CROQUIS_DATOS!$C$1494+CROQUIS_DATOS!$C$1495))-(CROQUIS_DATOS!$C$1494)&gt;0.5,(CROQUIS_DATOS!$C$1496)-(0)&gt;0.5),(CROQUIS_DATOS!$C$1566+(IF(IF(MOD(MIN(INT(($A141-1)/2)+1,MAX(1,INT(((((CROQUIS_DATOS!$C$1494+CROQUIS_DATOS!$C$1495))-(CROQUIS_DATOS!$C$1494))+((CROQUIS_DATOS!$C$1496)*CROQUIS_DATOS!$C$1561-(0)*CROQUIS_DATOS!$C$1561))/CROQUIS_DATOS!$C$1568-0.000001))),2)=1,IF(INT(($A141-1)/2)+1&gt;MAX(1,INT(((((CROQUIS_DATOS!$C$1494+CROQUIS_DATOS!$C$1495))-(CROQUIS_DATOS!$C$1494))+((CROQUIS_DATOS!$C$1496)*CROQUIS_DATOS!$C$1561-(0)*CROQUIS_DATOS!$C$1561))/CROQUIS_DATOS!$C$1568-0.000001)),1,MOD($A141-1,2)),1-IF(INT(($A141-1)/2)+1&gt;MAX(1,INT(((((CROQUIS_DATOS!$C$1494+CROQUIS_DATOS!$C$1495))-(CROQUIS_DATOS!$C$1494))+((CROQUIS_DATOS!$C$1496)*CROQUIS_DATOS!$C$1561-(0)*CROQUIS_DATOS!$C$1561))/CROQUIS_DATOS!$C$1568-0.000001)),1,MOD($A141-1,2)))=1,MIN((CROQUIS_DATOS!$C$1496)*CROQUIS_DATOS!$C$1561,((CROQUIS_DATOS!$C$1494+CROQUIS_DATOS!$C$1495)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1">
        <f>IF(AND(CROQUIS_DATOS!$C$1472=1,CROQUIS_DATOS!$C$1478&gt;=4,((CROQUIS_DATOS!$C$1494+CROQUIS_DATOS!$C$1495))-(CROQUIS_DATOS!$C$1494)&gt;0.5,(CROQUIS_DATOS!$C$1496)-(0)&gt;0.5),(CROQUIS_DATOS!$C$1567+(IF(IF(MOD(MIN(INT(($A141-1)/2)+1,MAX(1,INT(((((CROQUIS_DATOS!$C$1494+CROQUIS_DATOS!$C$1495))-(CROQUIS_DATOS!$C$1494))+((CROQUIS_DATOS!$C$1496)*CROQUIS_DATOS!$C$1561-(0)*CROQUIS_DATOS!$C$1561))/CROQUIS_DATOS!$C$1568-0.000001))),2)=1,IF(INT(($A141-1)/2)+1&gt;MAX(1,INT(((((CROQUIS_DATOS!$C$1494+CROQUIS_DATOS!$C$1495))-(CROQUIS_DATOS!$C$1494))+((CROQUIS_DATOS!$C$1496)*CROQUIS_DATOS!$C$1561-(0)*CROQUIS_DATOS!$C$1561))/CROQUIS_DATOS!$C$1568-0.000001)),1,MOD($A141-1,2)),1-IF(INT(($A141-1)/2)+1&gt;MAX(1,INT(((((CROQUIS_DATOS!$C$1494+CROQUIS_DATOS!$C$1495))-(CROQUIS_DATOS!$C$1494))+((CROQUIS_DATOS!$C$1496)*CROQUIS_DATOS!$C$1561-(0)*CROQUIS_DATOS!$C$1561))/CROQUIS_DATOS!$C$1568-0.000001)),1,MOD($A141-1,2)))=1,MIN((CROQUIS_DATOS!$C$1496)*CROQUIS_DATOS!$C$1561,((CROQUIS_DATOS!$C$1494+CROQUIS_DATOS!$C$1495)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141-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1">
        <f>IF(AND(CROQUIS_DATOS!$C$1472=1,CROQUIS_DATOS!$C$1478&gt;=4,((CROQUIS_DATOS!$C$1494+CROQUIS_DATOS!$C$1495))-(CROQUIS_DATOS!$C$1494)&gt;0.5,(CROQUIS_DATOS!$C$1476)-((CROQUIS_DATOS!$C$1496+CROQUIS_DATOS!$C$1497))&gt;0.5),(CROQUIS_DATOS!$C$1566+(IF(IF(MOD(MIN(INT(($A141-1)/2)+1,MAX(1,INT(((((CROQUIS_DATOS!$C$1494+CROQUIS_DATOS!$C$1495))-(CROQUIS_DATOS!$C$1494))+((CROQUIS_DATOS!$C$1476)*CROQUIS_DATOS!$C$1561-((CROQUIS_DATOS!$C$1496+CROQUIS_DATOS!$C$1497))*CROQUIS_DATOS!$C$1561))/CROQUIS_DATOS!$C$1568-0.000001))),2)=1,IF(INT(($A141-1)/2)+1&gt;MAX(1,INT(((((CROQUIS_DATOS!$C$1494+CROQUIS_DATOS!$C$1495))-(CROQUIS_DATOS!$C$1494))+((CROQUIS_DATOS!$C$1476)*CROQUIS_DATOS!$C$1561-((CROQUIS_DATOS!$C$1496+CROQUIS_DATOS!$C$1497))*CROQUIS_DATOS!$C$1561))/CROQUIS_DATOS!$C$1568-0.000001)),1,MOD($A141-1,2)),1-IF(INT(($A141-1)/2)+1&gt;MAX(1,INT(((((CROQUIS_DATOS!$C$1494+CROQUIS_DATOS!$C$1495))-(CROQUIS_DATOS!$C$1494))+((CROQUIS_DATOS!$C$1476)*CROQUIS_DATOS!$C$1561-((CROQUIS_DATOS!$C$1496+CROQUIS_DATOS!$C$1497))*CROQUIS_DATOS!$C$1561))/CROQUIS_DATOS!$C$1568-0.000001)),1,MOD($A141-1,2)))=1,MIN((CROQUIS_DATOS!$C$1476)*CROQUIS_DATOS!$C$1561,((CROQUIS_DATOS!$C$1494+CROQUIS_DATOS!$C$1495)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1">
        <f>IF(AND(CROQUIS_DATOS!$C$1472=1,CROQUIS_DATOS!$C$1478&gt;=4,((CROQUIS_DATOS!$C$1494+CROQUIS_DATOS!$C$1495))-(CROQUIS_DATOS!$C$1494)&gt;0.5,(CROQUIS_DATOS!$C$1476)-((CROQUIS_DATOS!$C$1496+CROQUIS_DATOS!$C$1497))&gt;0.5),(CROQUIS_DATOS!$C$1567+(IF(IF(MOD(MIN(INT(($A141-1)/2)+1,MAX(1,INT(((((CROQUIS_DATOS!$C$1494+CROQUIS_DATOS!$C$1495))-(CROQUIS_DATOS!$C$1494))+((CROQUIS_DATOS!$C$1476)*CROQUIS_DATOS!$C$1561-((CROQUIS_DATOS!$C$1496+CROQUIS_DATOS!$C$1497))*CROQUIS_DATOS!$C$1561))/CROQUIS_DATOS!$C$1568-0.000001))),2)=1,IF(INT(($A141-1)/2)+1&gt;MAX(1,INT(((((CROQUIS_DATOS!$C$1494+CROQUIS_DATOS!$C$1495))-(CROQUIS_DATOS!$C$1494))+((CROQUIS_DATOS!$C$1476)*CROQUIS_DATOS!$C$1561-((CROQUIS_DATOS!$C$1496+CROQUIS_DATOS!$C$1497))*CROQUIS_DATOS!$C$1561))/CROQUIS_DATOS!$C$1568-0.000001)),1,MOD($A141-1,2)),1-IF(INT(($A141-1)/2)+1&gt;MAX(1,INT(((((CROQUIS_DATOS!$C$1494+CROQUIS_DATOS!$C$1495))-(CROQUIS_DATOS!$C$1494))+((CROQUIS_DATOS!$C$1476)*CROQUIS_DATOS!$C$1561-((CROQUIS_DATOS!$C$1496+CROQUIS_DATOS!$C$1497))*CROQUIS_DATOS!$C$1561))/CROQUIS_DATOS!$C$1568-0.000001)),1,MOD($A141-1,2)))=1,MIN((CROQUIS_DATOS!$C$1476)*CROQUIS_DATOS!$C$1561,((CROQUIS_DATOS!$C$1494+CROQUIS_DATOS!$C$1495)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141-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2">
      <c r="A142" t="n">
        <v>135</v>
      </c>
      <c r="N142">
        <f>IF(AND(CROQUIS_DATOS!$C$1472=1,1),(CROQUIS_DATOS!$C$1563+(IF(IF(IF(INT(($A142-1)/70)+1&gt;CROQUIS_DATOS!$C$1525,70,MOD($A142-1,70)+1)=1,0,IF(IF(INT(($A142-1)/70)+1&gt;CROQUIS_DATOS!$C$1525,70,MOD($A142-1,70)+1)&gt;2*CROQUIS_DATOS!$C$1541+1,IF(MOD(CROQUIS_DATOS!$C$1541,2)=1,1,0),IF(MOD(MIN(INT((IF(INT(($A142-1)/70)+1&gt;CROQUIS_DATOS!$C$1525,70,MOD($A142-1,70)+1)-2)/2)+1,CROQUIS_DATOS!$C$1541),2)=1,IF(MOD(IF(INT(($A142-1)/70)+1&gt;CROQUIS_DATOS!$C$1525,70,MOD($A142-1,70)+1)-2,2)=0,0,1),IF(MOD(IF(INT(($A142-1)/70)+1&gt;CROQUIS_DATOS!$C$1525,70,MOD($A142-1,70)+1)-2,2)=0,1,0))))=0,(INDEX($E$8:$E$23,MIN(INT(($A142-1)/70)+1,CROQUIS_DATOS!$C$1525))-INDEX($F$8:$F$23,MIN(INT(($A142-1)/70)+1,CROQUIS_DATOS!$C$1525))/2),(INDEX($E$8:$E$23,MIN(INT(($A142-1)/70)+1,CROQUIS_DATOS!$C$1525))+INDEX($F$8:$F$23,MIN(INT(($A142-1)/70)+1,CROQUIS_DATOS!$C$1525))/2)))*CROQUIS_DATOS!$C$1562),-1000)</f>
        <v>18.5775862068965</v>
      </c>
      <c r="O142">
        <f>IF(AND(CROQUIS_DATOS!$C$1472=1,1),(CROQUIS_DATOS!$C$1564+(IF(OR(IF(INT(($A142-1)/70)+1&gt;CROQUIS_DATOS!$C$1525,70,MOD($A142-1,70)+1)=1,IF(INT(($A142-1)/70)+1&gt;CROQUIS_DATOS!$C$1525,70,MOD($A142-1,70)+1)&gt;2*CROQUIS_DATOS!$C$1541+1),CROQUIS_DATOS!$C$1476,INDEX($H$8:$H$41,MIN(INT((IF(INT(($A142-1)/70)+1&gt;CROQUIS_DATOS!$C$1525,70,MOD($A142-1,70)+1)-2)/2)+1,CROQUIS_DATOS!$C$1541))))*CROQUIS_DATOS!$C$1561*CROQUIS_DATOS!$C$1562),-1000)</f>
        <v>40.2068965517241</v>
      </c>
      <c r="P142">
        <f>IF(AND(CROQUIS_DATOS!$C$1472=1,CROQUIS_DATOS!$C$1555=1),(CROQUIS_DATOS!$C$1563+(IF(IF(OR(MOD($A142-1,62)+1=1,IF(CHOOSE(MIN(MAX(MIN(INT(($A142-1)/62)+1,5),1),5),CROQUIS_DATOS!$C$1501,CROQUIS_DATOS!$C$1505,CROQUIS_DATOS!$C$1509,CROQUIS_DATOS!$C$1513,CROQUIS_DATOS!$C$1517)=1,CROQUIS_DATOS!$C$1557,0)=0),0,IF(MOD($A142-1,62)+1&gt;2*IF(CHOOSE(MIN(MAX(MIN(INT(($A142-1)/62)+1,5),1),5),CROQUIS_DATOS!$C$1501,CROQUIS_DATOS!$C$1505,CROQUIS_DATOS!$C$1509,CROQUIS_DATOS!$C$1513,CROQUIS_DATOS!$C$1517)=1,CROQUIS_DATOS!$C$1557,0)+1,IF(MOD(IF(CHOOSE(MIN(MAX(MIN(INT(($A142-1)/62)+1,5),1),5),CROQUIS_DATOS!$C$1501,CROQUIS_DATOS!$C$1505,CROQUIS_DATOS!$C$1509,CROQUIS_DATOS!$C$1513,CROQUIS_DATOS!$C$1517)=1,CROQUIS_DATOS!$C$1557,0),2)=1,1,0),IF(MOD(MIN(INT((MOD($A142-1,62)+1-2)/2)+1,MAX(IF(CHOOSE(MIN(MAX(MIN(INT(($A142-1)/62)+1,5),1),5),CROQUIS_DATOS!$C$1501,CROQUIS_DATOS!$C$1505,CROQUIS_DATOS!$C$1509,CROQUIS_DATOS!$C$1513,CROQUIS_DATOS!$C$1517)=1,CROQUIS_DATOS!$C$1557,0),1)),2)=1,IF(MOD(MOD($A142-1,62)+1-2,2)=0,0,1),IF(MOD(MOD($A142-1,62)+1-2,2)=0,1,0))))=0,(CHOOSE(MIN(MAX(MIN(INT(($A142-1)/62)+1,5),1),5),CROQUIS_DATOS!$C$1499,CROQUIS_DATOS!$C$1503,CROQUIS_DATOS!$C$1507,CROQUIS_DATOS!$C$1511,CROQUIS_DATOS!$C$1515)+IF(CHOOSE(MIN(MAX(MIN(INT(($A142-1)/62)+1,5),1),5),CROQUIS_DATOS!$C$1501,CROQUIS_DATOS!$C$1505,CROQUIS_DATOS!$C$1509,CROQUIS_DATOS!$C$1513,CROQUIS_DATOS!$C$1517)=1,CROQUIS_DATOS!$C$1526,0)),(CHOOSE(MIN(MAX(MIN(INT(($A142-1)/62)+1,5),1),5),CROQUIS_DATOS!$C$1499,CROQUIS_DATOS!$C$1503,CROQUIS_DATOS!$C$1507,CROQUIS_DATOS!$C$1511,CROQUIS_DATOS!$C$1515)+CHOOSE(MIN(MAX(MIN(INT(($A142-1)/62)+1,5),1),5),CROQUIS_DATOS!$C$1500,CROQUIS_DATOS!$C$1504,CROQUIS_DATOS!$C$1508,CROQUIS_DATOS!$C$1512,CROQUIS_DATOS!$C$1516)-IF(CHOOSE(MIN(MAX(MIN(INT(($A142-1)/62)+1,5),1),5),CROQUIS_DATOS!$C$1501,CROQUIS_DATOS!$C$1505,CROQUIS_DATOS!$C$1509,CROQUIS_DATOS!$C$1513,CROQUIS_DATOS!$C$1517)=1,CROQUIS_DATOS!$C$1526,0))))*CROQUIS_DATOS!$C$1562),-1000)</f>
        <v>-1000</v>
      </c>
      <c r="Q142">
        <f>IF(AND(CROQUIS_DATOS!$C$1472=1,CROQUIS_DATOS!$C$1555=1),(CROQUIS_DATOS!$C$1564+(IF(OR(OR(MOD($A142-1,62)+1=1,IF(CHOOSE(MIN(MAX(MIN(INT(($A142-1)/62)+1,5),1),5),CROQUIS_DATOS!$C$1501,CROQUIS_DATOS!$C$1505,CROQUIS_DATOS!$C$1509,CROQUIS_DATOS!$C$1513,CROQUIS_DATOS!$C$1517)=1,CROQUIS_DATOS!$C$1557,0)=0),MOD($A142-1,62)+1&gt;2*IF(CHOOSE(MIN(MAX(MIN(INT(($A142-1)/62)+1,5),1),5),CROQUIS_DATOS!$C$1501,CROQUIS_DATOS!$C$1505,CROQUIS_DATOS!$C$1509,CROQUIS_DATOS!$C$1513,CROQUIS_DATOS!$C$1517)=1,CROQUIS_DATOS!$C$1557,0)+1),CROQUIS_DATOS!$C$1476,MIN(INT((MOD($A142-1,62)+1-2)/2)+1,MAX(IF(CHOOSE(MIN(MAX(MIN(INT(($A142-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2">
        <f>IF(AND(CROQUIS_DATOS!$C$1472=1,1),(CROQUIS_DATOS!$C$1563+(MIN(INT(($A142-1)/2)+1,CROQUIS_DATOS!$C$1558)*CROQUIS_DATOS!$C$1559)*CROQUIS_DATOS!$C$1562),-1000)</f>
        <v>82.2281167108753</v>
      </c>
      <c r="U142">
        <f>IF(AND(CROQUIS_DATOS!$C$1472=1,1),(CROQUIS_DATOS!$C$1564+(IF(INT(($A142-1)/2)+1&gt;CROQUIS_DATOS!$C$1558,IF(MOD(CROQUIS_DATOS!$C$1558,2)=1,CROQUIS_DATOS!$C$1476+CROQUIS_DATOS!$C$1528,CROQUIS_DATOS!$C$1476),IF(IF(MOD(MIN(INT(($A142-1)/2)+1,CROQUIS_DATOS!$C$1558),2)=1,MOD($A142-1,2),1-MOD($A142-1,2))=1,CROQUIS_DATOS!$C$1476+CROQUIS_DATOS!$C$1528,CROQUIS_DATOS!$C$1476)))*CROQUIS_DATOS!$C$1561*CROQUIS_DATOS!$C$1562),-1000)</f>
        <v>43</v>
      </c>
      <c r="BZ142">
        <f>IF(AND(CROQUIS_DATOS!$C$1472=1,CROQUIS_DATOS!$C$1500&gt;0,((CROQUIS_DATOS!$C$1499+CROQUIS_DATOS!$C$1500))-(CROQUIS_DATOS!$C$1499)&gt;0.5,(CROQUIS_DATOS!$C$1476)-(0)&gt;0.5),(CROQUIS_DATOS!$C$1566+(IF(IF(MOD(MIN(INT(($A142-1)/2)+1,MAX(1,INT(((((CROQUIS_DATOS!$C$1499+CROQUIS_DATOS!$C$1500))-(CROQUIS_DATOS!$C$1499))+((CROQUIS_DATOS!$C$1476)*CROQUIS_DATOS!$C$1561-(0)*CROQUIS_DATOS!$C$1561))/CROQUIS_DATOS!$C$1568-0.000001))),2)=1,IF(INT(($A142-1)/2)+1&gt;MAX(1,INT(((((CROQUIS_DATOS!$C$1499+CROQUIS_DATOS!$C$1500))-(CROQUIS_DATOS!$C$1499))+((CROQUIS_DATOS!$C$1476)*CROQUIS_DATOS!$C$1561-(0)*CROQUIS_DATOS!$C$1561))/CROQUIS_DATOS!$C$1568-0.000001)),1,MOD($A142-1,2)),1-IF(INT(($A142-1)/2)+1&gt;MAX(1,INT(((((CROQUIS_DATOS!$C$1499+CROQUIS_DATOS!$C$1500))-(CROQUIS_DATOS!$C$1499))+((CROQUIS_DATOS!$C$1476)*CROQUIS_DATOS!$C$1561-(0)*CROQUIS_DATOS!$C$1561))/CROQUIS_DATOS!$C$1568-0.000001)),1,MOD($A142-1,2)))=1,MIN((CROQUIS_DATOS!$C$1476)*CROQUIS_DATOS!$C$1561,((CROQUIS_DATOS!$C$1499+CROQUIS_DATOS!$C$1500)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2">
        <f>IF(AND(CROQUIS_DATOS!$C$1472=1,CROQUIS_DATOS!$C$1500&gt;0,((CROQUIS_DATOS!$C$1499+CROQUIS_DATOS!$C$1500))-(CROQUIS_DATOS!$C$1499)&gt;0.5,(CROQUIS_DATOS!$C$1476)-(0)&gt;0.5),(CROQUIS_DATOS!$C$1567+(IF(IF(MOD(MIN(INT(($A142-1)/2)+1,MAX(1,INT(((((CROQUIS_DATOS!$C$1499+CROQUIS_DATOS!$C$1500))-(CROQUIS_DATOS!$C$1499))+((CROQUIS_DATOS!$C$1476)*CROQUIS_DATOS!$C$1561-(0)*CROQUIS_DATOS!$C$1561))/CROQUIS_DATOS!$C$1568-0.000001))),2)=1,IF(INT(($A142-1)/2)+1&gt;MAX(1,INT(((((CROQUIS_DATOS!$C$1499+CROQUIS_DATOS!$C$1500))-(CROQUIS_DATOS!$C$1499))+((CROQUIS_DATOS!$C$1476)*CROQUIS_DATOS!$C$1561-(0)*CROQUIS_DATOS!$C$1561))/CROQUIS_DATOS!$C$1568-0.000001)),1,MOD($A142-1,2)),1-IF(INT(($A142-1)/2)+1&gt;MAX(1,INT(((((CROQUIS_DATOS!$C$1499+CROQUIS_DATOS!$C$1500))-(CROQUIS_DATOS!$C$1499))+((CROQUIS_DATOS!$C$1476)*CROQUIS_DATOS!$C$1561-(0)*CROQUIS_DATOS!$C$1561))/CROQUIS_DATOS!$C$1568-0.000001)),1,MOD($A142-1,2)))=1,MIN((CROQUIS_DATOS!$C$1476)*CROQUIS_DATOS!$C$1561,((CROQUIS_DATOS!$C$1499+CROQUIS_DATOS!$C$1500)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142-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2">
        <f>IF(AND(CROQUIS_DATOS!$C$1472=1,CROQUIS_DATOS!$C$1504&gt;0,((CROQUIS_DATOS!$C$1503+CROQUIS_DATOS!$C$1504))-(CROQUIS_DATOS!$C$1503)&gt;0.5,(CROQUIS_DATOS!$C$1476)-(0)&gt;0.5),(CROQUIS_DATOS!$C$1566+(IF(IF(MOD(MIN(INT(($A142-1)/2)+1,MAX(1,INT(((((CROQUIS_DATOS!$C$1503+CROQUIS_DATOS!$C$1504))-(CROQUIS_DATOS!$C$1503))+((CROQUIS_DATOS!$C$1476)*CROQUIS_DATOS!$C$1561-(0)*CROQUIS_DATOS!$C$1561))/CROQUIS_DATOS!$C$1568-0.000001))),2)=1,IF(INT(($A142-1)/2)+1&gt;MAX(1,INT(((((CROQUIS_DATOS!$C$1503+CROQUIS_DATOS!$C$1504))-(CROQUIS_DATOS!$C$1503))+((CROQUIS_DATOS!$C$1476)*CROQUIS_DATOS!$C$1561-(0)*CROQUIS_DATOS!$C$1561))/CROQUIS_DATOS!$C$1568-0.000001)),1,MOD($A142-1,2)),1-IF(INT(($A142-1)/2)+1&gt;MAX(1,INT(((((CROQUIS_DATOS!$C$1503+CROQUIS_DATOS!$C$1504))-(CROQUIS_DATOS!$C$1503))+((CROQUIS_DATOS!$C$1476)*CROQUIS_DATOS!$C$1561-(0)*CROQUIS_DATOS!$C$1561))/CROQUIS_DATOS!$C$1568-0.000001)),1,MOD($A142-1,2)))=1,MIN((CROQUIS_DATOS!$C$1476)*CROQUIS_DATOS!$C$1561,((CROQUIS_DATOS!$C$1503+CROQUIS_DATOS!$C$1504)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2">
        <f>IF(AND(CROQUIS_DATOS!$C$1472=1,CROQUIS_DATOS!$C$1504&gt;0,((CROQUIS_DATOS!$C$1503+CROQUIS_DATOS!$C$1504))-(CROQUIS_DATOS!$C$1503)&gt;0.5,(CROQUIS_DATOS!$C$1476)-(0)&gt;0.5),(CROQUIS_DATOS!$C$1567+(IF(IF(MOD(MIN(INT(($A142-1)/2)+1,MAX(1,INT(((((CROQUIS_DATOS!$C$1503+CROQUIS_DATOS!$C$1504))-(CROQUIS_DATOS!$C$1503))+((CROQUIS_DATOS!$C$1476)*CROQUIS_DATOS!$C$1561-(0)*CROQUIS_DATOS!$C$1561))/CROQUIS_DATOS!$C$1568-0.000001))),2)=1,IF(INT(($A142-1)/2)+1&gt;MAX(1,INT(((((CROQUIS_DATOS!$C$1503+CROQUIS_DATOS!$C$1504))-(CROQUIS_DATOS!$C$1503))+((CROQUIS_DATOS!$C$1476)*CROQUIS_DATOS!$C$1561-(0)*CROQUIS_DATOS!$C$1561))/CROQUIS_DATOS!$C$1568-0.000001)),1,MOD($A142-1,2)),1-IF(INT(($A142-1)/2)+1&gt;MAX(1,INT(((((CROQUIS_DATOS!$C$1503+CROQUIS_DATOS!$C$1504))-(CROQUIS_DATOS!$C$1503))+((CROQUIS_DATOS!$C$1476)*CROQUIS_DATOS!$C$1561-(0)*CROQUIS_DATOS!$C$1561))/CROQUIS_DATOS!$C$1568-0.000001)),1,MOD($A142-1,2)))=1,MIN((CROQUIS_DATOS!$C$1476)*CROQUIS_DATOS!$C$1561,((CROQUIS_DATOS!$C$1503+CROQUIS_DATOS!$C$1504)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142-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2">
        <f>IF(AND(CROQUIS_DATOS!$C$1472=1,CROQUIS_DATOS!$C$1508&gt;0,((CROQUIS_DATOS!$C$1507+CROQUIS_DATOS!$C$1508))-(CROQUIS_DATOS!$C$1507)&gt;0.5,(CROQUIS_DATOS!$C$1476)-(0)&gt;0.5),(CROQUIS_DATOS!$C$1566+(IF(IF(MOD(MIN(INT(($A142-1)/2)+1,MAX(1,INT(((((CROQUIS_DATOS!$C$1507+CROQUIS_DATOS!$C$1508))-(CROQUIS_DATOS!$C$1507))+((CROQUIS_DATOS!$C$1476)*CROQUIS_DATOS!$C$1561-(0)*CROQUIS_DATOS!$C$1561))/CROQUIS_DATOS!$C$1568-0.000001))),2)=1,IF(INT(($A142-1)/2)+1&gt;MAX(1,INT(((((CROQUIS_DATOS!$C$1507+CROQUIS_DATOS!$C$1508))-(CROQUIS_DATOS!$C$1507))+((CROQUIS_DATOS!$C$1476)*CROQUIS_DATOS!$C$1561-(0)*CROQUIS_DATOS!$C$1561))/CROQUIS_DATOS!$C$1568-0.000001)),1,MOD($A142-1,2)),1-IF(INT(($A142-1)/2)+1&gt;MAX(1,INT(((((CROQUIS_DATOS!$C$1507+CROQUIS_DATOS!$C$1508))-(CROQUIS_DATOS!$C$1507))+((CROQUIS_DATOS!$C$1476)*CROQUIS_DATOS!$C$1561-(0)*CROQUIS_DATOS!$C$1561))/CROQUIS_DATOS!$C$1568-0.000001)),1,MOD($A142-1,2)))=1,MIN((CROQUIS_DATOS!$C$1476)*CROQUIS_DATOS!$C$1561,((CROQUIS_DATOS!$C$1507+CROQUIS_DATOS!$C$1508)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2">
        <f>IF(AND(CROQUIS_DATOS!$C$1472=1,CROQUIS_DATOS!$C$1508&gt;0,((CROQUIS_DATOS!$C$1507+CROQUIS_DATOS!$C$1508))-(CROQUIS_DATOS!$C$1507)&gt;0.5,(CROQUIS_DATOS!$C$1476)-(0)&gt;0.5),(CROQUIS_DATOS!$C$1567+(IF(IF(MOD(MIN(INT(($A142-1)/2)+1,MAX(1,INT(((((CROQUIS_DATOS!$C$1507+CROQUIS_DATOS!$C$1508))-(CROQUIS_DATOS!$C$1507))+((CROQUIS_DATOS!$C$1476)*CROQUIS_DATOS!$C$1561-(0)*CROQUIS_DATOS!$C$1561))/CROQUIS_DATOS!$C$1568-0.000001))),2)=1,IF(INT(($A142-1)/2)+1&gt;MAX(1,INT(((((CROQUIS_DATOS!$C$1507+CROQUIS_DATOS!$C$1508))-(CROQUIS_DATOS!$C$1507))+((CROQUIS_DATOS!$C$1476)*CROQUIS_DATOS!$C$1561-(0)*CROQUIS_DATOS!$C$1561))/CROQUIS_DATOS!$C$1568-0.000001)),1,MOD($A142-1,2)),1-IF(INT(($A142-1)/2)+1&gt;MAX(1,INT(((((CROQUIS_DATOS!$C$1507+CROQUIS_DATOS!$C$1508))-(CROQUIS_DATOS!$C$1507))+((CROQUIS_DATOS!$C$1476)*CROQUIS_DATOS!$C$1561-(0)*CROQUIS_DATOS!$C$1561))/CROQUIS_DATOS!$C$1568-0.000001)),1,MOD($A142-1,2)))=1,MIN((CROQUIS_DATOS!$C$1476)*CROQUIS_DATOS!$C$1561,((CROQUIS_DATOS!$C$1507+CROQUIS_DATOS!$C$1508)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142-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2">
        <f>IF(AND(CROQUIS_DATOS!$C$1472=1,CROQUIS_DATOS!$C$1512&gt;0,((CROQUIS_DATOS!$C$1511+CROQUIS_DATOS!$C$1512))-(CROQUIS_DATOS!$C$1511)&gt;0.5,(CROQUIS_DATOS!$C$1476)-(0)&gt;0.5),(CROQUIS_DATOS!$C$1566+(IF(IF(MOD(MIN(INT(($A142-1)/2)+1,MAX(1,INT(((((CROQUIS_DATOS!$C$1511+CROQUIS_DATOS!$C$1512))-(CROQUIS_DATOS!$C$1511))+((CROQUIS_DATOS!$C$1476)*CROQUIS_DATOS!$C$1561-(0)*CROQUIS_DATOS!$C$1561))/CROQUIS_DATOS!$C$1568-0.000001))),2)=1,IF(INT(($A142-1)/2)+1&gt;MAX(1,INT(((((CROQUIS_DATOS!$C$1511+CROQUIS_DATOS!$C$1512))-(CROQUIS_DATOS!$C$1511))+((CROQUIS_DATOS!$C$1476)*CROQUIS_DATOS!$C$1561-(0)*CROQUIS_DATOS!$C$1561))/CROQUIS_DATOS!$C$1568-0.000001)),1,MOD($A142-1,2)),1-IF(INT(($A142-1)/2)+1&gt;MAX(1,INT(((((CROQUIS_DATOS!$C$1511+CROQUIS_DATOS!$C$1512))-(CROQUIS_DATOS!$C$1511))+((CROQUIS_DATOS!$C$1476)*CROQUIS_DATOS!$C$1561-(0)*CROQUIS_DATOS!$C$1561))/CROQUIS_DATOS!$C$1568-0.000001)),1,MOD($A142-1,2)))=1,MIN((CROQUIS_DATOS!$C$1476)*CROQUIS_DATOS!$C$1561,((CROQUIS_DATOS!$C$1511+CROQUIS_DATOS!$C$1512)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2">
        <f>IF(AND(CROQUIS_DATOS!$C$1472=1,CROQUIS_DATOS!$C$1512&gt;0,((CROQUIS_DATOS!$C$1511+CROQUIS_DATOS!$C$1512))-(CROQUIS_DATOS!$C$1511)&gt;0.5,(CROQUIS_DATOS!$C$1476)-(0)&gt;0.5),(CROQUIS_DATOS!$C$1567+(IF(IF(MOD(MIN(INT(($A142-1)/2)+1,MAX(1,INT(((((CROQUIS_DATOS!$C$1511+CROQUIS_DATOS!$C$1512))-(CROQUIS_DATOS!$C$1511))+((CROQUIS_DATOS!$C$1476)*CROQUIS_DATOS!$C$1561-(0)*CROQUIS_DATOS!$C$1561))/CROQUIS_DATOS!$C$1568-0.000001))),2)=1,IF(INT(($A142-1)/2)+1&gt;MAX(1,INT(((((CROQUIS_DATOS!$C$1511+CROQUIS_DATOS!$C$1512))-(CROQUIS_DATOS!$C$1511))+((CROQUIS_DATOS!$C$1476)*CROQUIS_DATOS!$C$1561-(0)*CROQUIS_DATOS!$C$1561))/CROQUIS_DATOS!$C$1568-0.000001)),1,MOD($A142-1,2)),1-IF(INT(($A142-1)/2)+1&gt;MAX(1,INT(((((CROQUIS_DATOS!$C$1511+CROQUIS_DATOS!$C$1512))-(CROQUIS_DATOS!$C$1511))+((CROQUIS_DATOS!$C$1476)*CROQUIS_DATOS!$C$1561-(0)*CROQUIS_DATOS!$C$1561))/CROQUIS_DATOS!$C$1568-0.000001)),1,MOD($A142-1,2)))=1,MIN((CROQUIS_DATOS!$C$1476)*CROQUIS_DATOS!$C$1561,((CROQUIS_DATOS!$C$1511+CROQUIS_DATOS!$C$1512)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142-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2">
        <f>IF(AND(CROQUIS_DATOS!$C$1472=1,CROQUIS_DATOS!$C$1516&gt;0,((CROQUIS_DATOS!$C$1515+CROQUIS_DATOS!$C$1516))-(CROQUIS_DATOS!$C$1515)&gt;0.5,(CROQUIS_DATOS!$C$1476)-(0)&gt;0.5),(CROQUIS_DATOS!$C$1566+(IF(IF(MOD(MIN(INT(($A142-1)/2)+1,MAX(1,INT(((((CROQUIS_DATOS!$C$1515+CROQUIS_DATOS!$C$1516))-(CROQUIS_DATOS!$C$1515))+((CROQUIS_DATOS!$C$1476)*CROQUIS_DATOS!$C$1561-(0)*CROQUIS_DATOS!$C$1561))/CROQUIS_DATOS!$C$1568-0.000001))),2)=1,IF(INT(($A142-1)/2)+1&gt;MAX(1,INT(((((CROQUIS_DATOS!$C$1515+CROQUIS_DATOS!$C$1516))-(CROQUIS_DATOS!$C$1515))+((CROQUIS_DATOS!$C$1476)*CROQUIS_DATOS!$C$1561-(0)*CROQUIS_DATOS!$C$1561))/CROQUIS_DATOS!$C$1568-0.000001)),1,MOD($A142-1,2)),1-IF(INT(($A142-1)/2)+1&gt;MAX(1,INT(((((CROQUIS_DATOS!$C$1515+CROQUIS_DATOS!$C$1516))-(CROQUIS_DATOS!$C$1515))+((CROQUIS_DATOS!$C$1476)*CROQUIS_DATOS!$C$1561-(0)*CROQUIS_DATOS!$C$1561))/CROQUIS_DATOS!$C$1568-0.000001)),1,MOD($A142-1,2)))=1,MIN((CROQUIS_DATOS!$C$1476)*CROQUIS_DATOS!$C$1561,((CROQUIS_DATOS!$C$1515+CROQUIS_DATOS!$C$1516)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2">
        <f>IF(AND(CROQUIS_DATOS!$C$1472=1,CROQUIS_DATOS!$C$1516&gt;0,((CROQUIS_DATOS!$C$1515+CROQUIS_DATOS!$C$1516))-(CROQUIS_DATOS!$C$1515)&gt;0.5,(CROQUIS_DATOS!$C$1476)-(0)&gt;0.5),(CROQUIS_DATOS!$C$1567+(IF(IF(MOD(MIN(INT(($A142-1)/2)+1,MAX(1,INT(((((CROQUIS_DATOS!$C$1515+CROQUIS_DATOS!$C$1516))-(CROQUIS_DATOS!$C$1515))+((CROQUIS_DATOS!$C$1476)*CROQUIS_DATOS!$C$1561-(0)*CROQUIS_DATOS!$C$1561))/CROQUIS_DATOS!$C$1568-0.000001))),2)=1,IF(INT(($A142-1)/2)+1&gt;MAX(1,INT(((((CROQUIS_DATOS!$C$1515+CROQUIS_DATOS!$C$1516))-(CROQUIS_DATOS!$C$1515))+((CROQUIS_DATOS!$C$1476)*CROQUIS_DATOS!$C$1561-(0)*CROQUIS_DATOS!$C$1561))/CROQUIS_DATOS!$C$1568-0.000001)),1,MOD($A142-1,2)),1-IF(INT(($A142-1)/2)+1&gt;MAX(1,INT(((((CROQUIS_DATOS!$C$1515+CROQUIS_DATOS!$C$1516))-(CROQUIS_DATOS!$C$1515))+((CROQUIS_DATOS!$C$1476)*CROQUIS_DATOS!$C$1561-(0)*CROQUIS_DATOS!$C$1561))/CROQUIS_DATOS!$C$1568-0.000001)),1,MOD($A142-1,2)))=1,MIN((CROQUIS_DATOS!$C$1476)*CROQUIS_DATOS!$C$1561,((CROQUIS_DATOS!$C$1515+CROQUIS_DATOS!$C$1516)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142-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2">
        <f>IF(AND(CROQUIS_DATOS!$C$1472=1,CROQUIS_DATOS!$C$1478&gt;=1,((CROQUIS_DATOS!$C$1479+CROQUIS_DATOS!$C$1480))-(CROQUIS_DATOS!$C$1479)&gt;0.5,(CROQUIS_DATOS!$C$1481)-(0)&gt;0.5),(CROQUIS_DATOS!$C$1566+(IF(IF(MOD(MIN(INT(($A142-1)/2)+1,MAX(1,INT(((((CROQUIS_DATOS!$C$1479+CROQUIS_DATOS!$C$1480))-(CROQUIS_DATOS!$C$1479))+((CROQUIS_DATOS!$C$1481)*CROQUIS_DATOS!$C$1561-(0)*CROQUIS_DATOS!$C$1561))/CROQUIS_DATOS!$C$1568-0.000001))),2)=1,IF(INT(($A142-1)/2)+1&gt;MAX(1,INT(((((CROQUIS_DATOS!$C$1479+CROQUIS_DATOS!$C$1480))-(CROQUIS_DATOS!$C$1479))+((CROQUIS_DATOS!$C$1481)*CROQUIS_DATOS!$C$1561-(0)*CROQUIS_DATOS!$C$1561))/CROQUIS_DATOS!$C$1568-0.000001)),1,MOD($A142-1,2)),1-IF(INT(($A142-1)/2)+1&gt;MAX(1,INT(((((CROQUIS_DATOS!$C$1479+CROQUIS_DATOS!$C$1480))-(CROQUIS_DATOS!$C$1479))+((CROQUIS_DATOS!$C$1481)*CROQUIS_DATOS!$C$1561-(0)*CROQUIS_DATOS!$C$1561))/CROQUIS_DATOS!$C$1568-0.000001)),1,MOD($A142-1,2)))=1,MIN((CROQUIS_DATOS!$C$1481)*CROQUIS_DATOS!$C$1561,((CROQUIS_DATOS!$C$1479+CROQUIS_DATOS!$C$1480)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2">
        <f>IF(AND(CROQUIS_DATOS!$C$1472=1,CROQUIS_DATOS!$C$1478&gt;=1,((CROQUIS_DATOS!$C$1479+CROQUIS_DATOS!$C$1480))-(CROQUIS_DATOS!$C$1479)&gt;0.5,(CROQUIS_DATOS!$C$1481)-(0)&gt;0.5),(CROQUIS_DATOS!$C$1567+(IF(IF(MOD(MIN(INT(($A142-1)/2)+1,MAX(1,INT(((((CROQUIS_DATOS!$C$1479+CROQUIS_DATOS!$C$1480))-(CROQUIS_DATOS!$C$1479))+((CROQUIS_DATOS!$C$1481)*CROQUIS_DATOS!$C$1561-(0)*CROQUIS_DATOS!$C$1561))/CROQUIS_DATOS!$C$1568-0.000001))),2)=1,IF(INT(($A142-1)/2)+1&gt;MAX(1,INT(((((CROQUIS_DATOS!$C$1479+CROQUIS_DATOS!$C$1480))-(CROQUIS_DATOS!$C$1479))+((CROQUIS_DATOS!$C$1481)*CROQUIS_DATOS!$C$1561-(0)*CROQUIS_DATOS!$C$1561))/CROQUIS_DATOS!$C$1568-0.000001)),1,MOD($A142-1,2)),1-IF(INT(($A142-1)/2)+1&gt;MAX(1,INT(((((CROQUIS_DATOS!$C$1479+CROQUIS_DATOS!$C$1480))-(CROQUIS_DATOS!$C$1479))+((CROQUIS_DATOS!$C$1481)*CROQUIS_DATOS!$C$1561-(0)*CROQUIS_DATOS!$C$1561))/CROQUIS_DATOS!$C$1568-0.000001)),1,MOD($A142-1,2)))=1,MIN((CROQUIS_DATOS!$C$1481)*CROQUIS_DATOS!$C$1561,((CROQUIS_DATOS!$C$1479+CROQUIS_DATOS!$C$1480)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142-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2">
        <f>IF(AND(CROQUIS_DATOS!$C$1472=1,CROQUIS_DATOS!$C$1478&gt;=1,((CROQUIS_DATOS!$C$1479+CROQUIS_DATOS!$C$1480))-(CROQUIS_DATOS!$C$1479)&gt;0.5,(CROQUIS_DATOS!$C$1476)-((CROQUIS_DATOS!$C$1481+CROQUIS_DATOS!$C$1482))&gt;0.5),(CROQUIS_DATOS!$C$1566+(IF(IF(MOD(MIN(INT(($A142-1)/2)+1,MAX(1,INT(((((CROQUIS_DATOS!$C$1479+CROQUIS_DATOS!$C$1480))-(CROQUIS_DATOS!$C$1479))+((CROQUIS_DATOS!$C$1476)*CROQUIS_DATOS!$C$1561-((CROQUIS_DATOS!$C$1481+CROQUIS_DATOS!$C$1482))*CROQUIS_DATOS!$C$1561))/CROQUIS_DATOS!$C$1568-0.000001))),2)=1,IF(INT(($A142-1)/2)+1&gt;MAX(1,INT(((((CROQUIS_DATOS!$C$1479+CROQUIS_DATOS!$C$1480))-(CROQUIS_DATOS!$C$1479))+((CROQUIS_DATOS!$C$1476)*CROQUIS_DATOS!$C$1561-((CROQUIS_DATOS!$C$1481+CROQUIS_DATOS!$C$1482))*CROQUIS_DATOS!$C$1561))/CROQUIS_DATOS!$C$1568-0.000001)),1,MOD($A142-1,2)),1-IF(INT(($A142-1)/2)+1&gt;MAX(1,INT(((((CROQUIS_DATOS!$C$1479+CROQUIS_DATOS!$C$1480))-(CROQUIS_DATOS!$C$1479))+((CROQUIS_DATOS!$C$1476)*CROQUIS_DATOS!$C$1561-((CROQUIS_DATOS!$C$1481+CROQUIS_DATOS!$C$1482))*CROQUIS_DATOS!$C$1561))/CROQUIS_DATOS!$C$1568-0.000001)),1,MOD($A142-1,2)))=1,MIN((CROQUIS_DATOS!$C$1476)*CROQUIS_DATOS!$C$1561,((CROQUIS_DATOS!$C$1479+CROQUIS_DATOS!$C$1480)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2">
        <f>IF(AND(CROQUIS_DATOS!$C$1472=1,CROQUIS_DATOS!$C$1478&gt;=1,((CROQUIS_DATOS!$C$1479+CROQUIS_DATOS!$C$1480))-(CROQUIS_DATOS!$C$1479)&gt;0.5,(CROQUIS_DATOS!$C$1476)-((CROQUIS_DATOS!$C$1481+CROQUIS_DATOS!$C$1482))&gt;0.5),(CROQUIS_DATOS!$C$1567+(IF(IF(MOD(MIN(INT(($A142-1)/2)+1,MAX(1,INT(((((CROQUIS_DATOS!$C$1479+CROQUIS_DATOS!$C$1480))-(CROQUIS_DATOS!$C$1479))+((CROQUIS_DATOS!$C$1476)*CROQUIS_DATOS!$C$1561-((CROQUIS_DATOS!$C$1481+CROQUIS_DATOS!$C$1482))*CROQUIS_DATOS!$C$1561))/CROQUIS_DATOS!$C$1568-0.000001))),2)=1,IF(INT(($A142-1)/2)+1&gt;MAX(1,INT(((((CROQUIS_DATOS!$C$1479+CROQUIS_DATOS!$C$1480))-(CROQUIS_DATOS!$C$1479))+((CROQUIS_DATOS!$C$1476)*CROQUIS_DATOS!$C$1561-((CROQUIS_DATOS!$C$1481+CROQUIS_DATOS!$C$1482))*CROQUIS_DATOS!$C$1561))/CROQUIS_DATOS!$C$1568-0.000001)),1,MOD($A142-1,2)),1-IF(INT(($A142-1)/2)+1&gt;MAX(1,INT(((((CROQUIS_DATOS!$C$1479+CROQUIS_DATOS!$C$1480))-(CROQUIS_DATOS!$C$1479))+((CROQUIS_DATOS!$C$1476)*CROQUIS_DATOS!$C$1561-((CROQUIS_DATOS!$C$1481+CROQUIS_DATOS!$C$1482))*CROQUIS_DATOS!$C$1561))/CROQUIS_DATOS!$C$1568-0.000001)),1,MOD($A142-1,2)))=1,MIN((CROQUIS_DATOS!$C$1476)*CROQUIS_DATOS!$C$1561,((CROQUIS_DATOS!$C$1479+CROQUIS_DATOS!$C$1480)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142-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2">
        <f>IF(AND(CROQUIS_DATOS!$C$1472=1,CROQUIS_DATOS!$C$1478&gt;=2,((CROQUIS_DATOS!$C$1484+CROQUIS_DATOS!$C$1485))-(CROQUIS_DATOS!$C$1484)&gt;0.5,(CROQUIS_DATOS!$C$1486)-(0)&gt;0.5),(CROQUIS_DATOS!$C$1566+(IF(IF(MOD(MIN(INT(($A142-1)/2)+1,MAX(1,INT(((((CROQUIS_DATOS!$C$1484+CROQUIS_DATOS!$C$1485))-(CROQUIS_DATOS!$C$1484))+((CROQUIS_DATOS!$C$1486)*CROQUIS_DATOS!$C$1561-(0)*CROQUIS_DATOS!$C$1561))/CROQUIS_DATOS!$C$1568-0.000001))),2)=1,IF(INT(($A142-1)/2)+1&gt;MAX(1,INT(((((CROQUIS_DATOS!$C$1484+CROQUIS_DATOS!$C$1485))-(CROQUIS_DATOS!$C$1484))+((CROQUIS_DATOS!$C$1486)*CROQUIS_DATOS!$C$1561-(0)*CROQUIS_DATOS!$C$1561))/CROQUIS_DATOS!$C$1568-0.000001)),1,MOD($A142-1,2)),1-IF(INT(($A142-1)/2)+1&gt;MAX(1,INT(((((CROQUIS_DATOS!$C$1484+CROQUIS_DATOS!$C$1485))-(CROQUIS_DATOS!$C$1484))+((CROQUIS_DATOS!$C$1486)*CROQUIS_DATOS!$C$1561-(0)*CROQUIS_DATOS!$C$1561))/CROQUIS_DATOS!$C$1568-0.000001)),1,MOD($A142-1,2)))=1,MIN((CROQUIS_DATOS!$C$1486)*CROQUIS_DATOS!$C$1561,((CROQUIS_DATOS!$C$1484+CROQUIS_DATOS!$C$1485)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2">
        <f>IF(AND(CROQUIS_DATOS!$C$1472=1,CROQUIS_DATOS!$C$1478&gt;=2,((CROQUIS_DATOS!$C$1484+CROQUIS_DATOS!$C$1485))-(CROQUIS_DATOS!$C$1484)&gt;0.5,(CROQUIS_DATOS!$C$1486)-(0)&gt;0.5),(CROQUIS_DATOS!$C$1567+(IF(IF(MOD(MIN(INT(($A142-1)/2)+1,MAX(1,INT(((((CROQUIS_DATOS!$C$1484+CROQUIS_DATOS!$C$1485))-(CROQUIS_DATOS!$C$1484))+((CROQUIS_DATOS!$C$1486)*CROQUIS_DATOS!$C$1561-(0)*CROQUIS_DATOS!$C$1561))/CROQUIS_DATOS!$C$1568-0.000001))),2)=1,IF(INT(($A142-1)/2)+1&gt;MAX(1,INT(((((CROQUIS_DATOS!$C$1484+CROQUIS_DATOS!$C$1485))-(CROQUIS_DATOS!$C$1484))+((CROQUIS_DATOS!$C$1486)*CROQUIS_DATOS!$C$1561-(0)*CROQUIS_DATOS!$C$1561))/CROQUIS_DATOS!$C$1568-0.000001)),1,MOD($A142-1,2)),1-IF(INT(($A142-1)/2)+1&gt;MAX(1,INT(((((CROQUIS_DATOS!$C$1484+CROQUIS_DATOS!$C$1485))-(CROQUIS_DATOS!$C$1484))+((CROQUIS_DATOS!$C$1486)*CROQUIS_DATOS!$C$1561-(0)*CROQUIS_DATOS!$C$1561))/CROQUIS_DATOS!$C$1568-0.000001)),1,MOD($A142-1,2)))=1,MIN((CROQUIS_DATOS!$C$1486)*CROQUIS_DATOS!$C$1561,((CROQUIS_DATOS!$C$1484+CROQUIS_DATOS!$C$1485)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142-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2">
        <f>IF(AND(CROQUIS_DATOS!$C$1472=1,CROQUIS_DATOS!$C$1478&gt;=2,((CROQUIS_DATOS!$C$1484+CROQUIS_DATOS!$C$1485))-(CROQUIS_DATOS!$C$1484)&gt;0.5,(CROQUIS_DATOS!$C$1476)-((CROQUIS_DATOS!$C$1486+CROQUIS_DATOS!$C$1487))&gt;0.5),(CROQUIS_DATOS!$C$1566+(IF(IF(MOD(MIN(INT(($A142-1)/2)+1,MAX(1,INT(((((CROQUIS_DATOS!$C$1484+CROQUIS_DATOS!$C$1485))-(CROQUIS_DATOS!$C$1484))+((CROQUIS_DATOS!$C$1476)*CROQUIS_DATOS!$C$1561-((CROQUIS_DATOS!$C$1486+CROQUIS_DATOS!$C$1487))*CROQUIS_DATOS!$C$1561))/CROQUIS_DATOS!$C$1568-0.000001))),2)=1,IF(INT(($A142-1)/2)+1&gt;MAX(1,INT(((((CROQUIS_DATOS!$C$1484+CROQUIS_DATOS!$C$1485))-(CROQUIS_DATOS!$C$1484))+((CROQUIS_DATOS!$C$1476)*CROQUIS_DATOS!$C$1561-((CROQUIS_DATOS!$C$1486+CROQUIS_DATOS!$C$1487))*CROQUIS_DATOS!$C$1561))/CROQUIS_DATOS!$C$1568-0.000001)),1,MOD($A142-1,2)),1-IF(INT(($A142-1)/2)+1&gt;MAX(1,INT(((((CROQUIS_DATOS!$C$1484+CROQUIS_DATOS!$C$1485))-(CROQUIS_DATOS!$C$1484))+((CROQUIS_DATOS!$C$1476)*CROQUIS_DATOS!$C$1561-((CROQUIS_DATOS!$C$1486+CROQUIS_DATOS!$C$1487))*CROQUIS_DATOS!$C$1561))/CROQUIS_DATOS!$C$1568-0.000001)),1,MOD($A142-1,2)))=1,MIN((CROQUIS_DATOS!$C$1476)*CROQUIS_DATOS!$C$1561,((CROQUIS_DATOS!$C$1484+CROQUIS_DATOS!$C$1485)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2">
        <f>IF(AND(CROQUIS_DATOS!$C$1472=1,CROQUIS_DATOS!$C$1478&gt;=2,((CROQUIS_DATOS!$C$1484+CROQUIS_DATOS!$C$1485))-(CROQUIS_DATOS!$C$1484)&gt;0.5,(CROQUIS_DATOS!$C$1476)-((CROQUIS_DATOS!$C$1486+CROQUIS_DATOS!$C$1487))&gt;0.5),(CROQUIS_DATOS!$C$1567+(IF(IF(MOD(MIN(INT(($A142-1)/2)+1,MAX(1,INT(((((CROQUIS_DATOS!$C$1484+CROQUIS_DATOS!$C$1485))-(CROQUIS_DATOS!$C$1484))+((CROQUIS_DATOS!$C$1476)*CROQUIS_DATOS!$C$1561-((CROQUIS_DATOS!$C$1486+CROQUIS_DATOS!$C$1487))*CROQUIS_DATOS!$C$1561))/CROQUIS_DATOS!$C$1568-0.000001))),2)=1,IF(INT(($A142-1)/2)+1&gt;MAX(1,INT(((((CROQUIS_DATOS!$C$1484+CROQUIS_DATOS!$C$1485))-(CROQUIS_DATOS!$C$1484))+((CROQUIS_DATOS!$C$1476)*CROQUIS_DATOS!$C$1561-((CROQUIS_DATOS!$C$1486+CROQUIS_DATOS!$C$1487))*CROQUIS_DATOS!$C$1561))/CROQUIS_DATOS!$C$1568-0.000001)),1,MOD($A142-1,2)),1-IF(INT(($A142-1)/2)+1&gt;MAX(1,INT(((((CROQUIS_DATOS!$C$1484+CROQUIS_DATOS!$C$1485))-(CROQUIS_DATOS!$C$1484))+((CROQUIS_DATOS!$C$1476)*CROQUIS_DATOS!$C$1561-((CROQUIS_DATOS!$C$1486+CROQUIS_DATOS!$C$1487))*CROQUIS_DATOS!$C$1561))/CROQUIS_DATOS!$C$1568-0.000001)),1,MOD($A142-1,2)))=1,MIN((CROQUIS_DATOS!$C$1476)*CROQUIS_DATOS!$C$1561,((CROQUIS_DATOS!$C$1484+CROQUIS_DATOS!$C$1485)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142-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2">
        <f>IF(AND(CROQUIS_DATOS!$C$1472=1,CROQUIS_DATOS!$C$1478&gt;=3,((CROQUIS_DATOS!$C$1489+CROQUIS_DATOS!$C$1490))-(CROQUIS_DATOS!$C$1489)&gt;0.5,(CROQUIS_DATOS!$C$1491)-(0)&gt;0.5),(CROQUIS_DATOS!$C$1566+(IF(IF(MOD(MIN(INT(($A142-1)/2)+1,MAX(1,INT(((((CROQUIS_DATOS!$C$1489+CROQUIS_DATOS!$C$1490))-(CROQUIS_DATOS!$C$1489))+((CROQUIS_DATOS!$C$1491)*CROQUIS_DATOS!$C$1561-(0)*CROQUIS_DATOS!$C$1561))/CROQUIS_DATOS!$C$1568-0.000001))),2)=1,IF(INT(($A142-1)/2)+1&gt;MAX(1,INT(((((CROQUIS_DATOS!$C$1489+CROQUIS_DATOS!$C$1490))-(CROQUIS_DATOS!$C$1489))+((CROQUIS_DATOS!$C$1491)*CROQUIS_DATOS!$C$1561-(0)*CROQUIS_DATOS!$C$1561))/CROQUIS_DATOS!$C$1568-0.000001)),1,MOD($A142-1,2)),1-IF(INT(($A142-1)/2)+1&gt;MAX(1,INT(((((CROQUIS_DATOS!$C$1489+CROQUIS_DATOS!$C$1490))-(CROQUIS_DATOS!$C$1489))+((CROQUIS_DATOS!$C$1491)*CROQUIS_DATOS!$C$1561-(0)*CROQUIS_DATOS!$C$1561))/CROQUIS_DATOS!$C$1568-0.000001)),1,MOD($A142-1,2)))=1,MIN((CROQUIS_DATOS!$C$1491)*CROQUIS_DATOS!$C$1561,((CROQUIS_DATOS!$C$1489+CROQUIS_DATOS!$C$1490)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2">
        <f>IF(AND(CROQUIS_DATOS!$C$1472=1,CROQUIS_DATOS!$C$1478&gt;=3,((CROQUIS_DATOS!$C$1489+CROQUIS_DATOS!$C$1490))-(CROQUIS_DATOS!$C$1489)&gt;0.5,(CROQUIS_DATOS!$C$1491)-(0)&gt;0.5),(CROQUIS_DATOS!$C$1567+(IF(IF(MOD(MIN(INT(($A142-1)/2)+1,MAX(1,INT(((((CROQUIS_DATOS!$C$1489+CROQUIS_DATOS!$C$1490))-(CROQUIS_DATOS!$C$1489))+((CROQUIS_DATOS!$C$1491)*CROQUIS_DATOS!$C$1561-(0)*CROQUIS_DATOS!$C$1561))/CROQUIS_DATOS!$C$1568-0.000001))),2)=1,IF(INT(($A142-1)/2)+1&gt;MAX(1,INT(((((CROQUIS_DATOS!$C$1489+CROQUIS_DATOS!$C$1490))-(CROQUIS_DATOS!$C$1489))+((CROQUIS_DATOS!$C$1491)*CROQUIS_DATOS!$C$1561-(0)*CROQUIS_DATOS!$C$1561))/CROQUIS_DATOS!$C$1568-0.000001)),1,MOD($A142-1,2)),1-IF(INT(($A142-1)/2)+1&gt;MAX(1,INT(((((CROQUIS_DATOS!$C$1489+CROQUIS_DATOS!$C$1490))-(CROQUIS_DATOS!$C$1489))+((CROQUIS_DATOS!$C$1491)*CROQUIS_DATOS!$C$1561-(0)*CROQUIS_DATOS!$C$1561))/CROQUIS_DATOS!$C$1568-0.000001)),1,MOD($A142-1,2)))=1,MIN((CROQUIS_DATOS!$C$1491)*CROQUIS_DATOS!$C$1561,((CROQUIS_DATOS!$C$1489+CROQUIS_DATOS!$C$1490)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142-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2">
        <f>IF(AND(CROQUIS_DATOS!$C$1472=1,CROQUIS_DATOS!$C$1478&gt;=3,((CROQUIS_DATOS!$C$1489+CROQUIS_DATOS!$C$1490))-(CROQUIS_DATOS!$C$1489)&gt;0.5,(CROQUIS_DATOS!$C$1476)-((CROQUIS_DATOS!$C$1491+CROQUIS_DATOS!$C$1492))&gt;0.5),(CROQUIS_DATOS!$C$1566+(IF(IF(MOD(MIN(INT(($A142-1)/2)+1,MAX(1,INT(((((CROQUIS_DATOS!$C$1489+CROQUIS_DATOS!$C$1490))-(CROQUIS_DATOS!$C$1489))+((CROQUIS_DATOS!$C$1476)*CROQUIS_DATOS!$C$1561-((CROQUIS_DATOS!$C$1491+CROQUIS_DATOS!$C$1492))*CROQUIS_DATOS!$C$1561))/CROQUIS_DATOS!$C$1568-0.000001))),2)=1,IF(INT(($A142-1)/2)+1&gt;MAX(1,INT(((((CROQUIS_DATOS!$C$1489+CROQUIS_DATOS!$C$1490))-(CROQUIS_DATOS!$C$1489))+((CROQUIS_DATOS!$C$1476)*CROQUIS_DATOS!$C$1561-((CROQUIS_DATOS!$C$1491+CROQUIS_DATOS!$C$1492))*CROQUIS_DATOS!$C$1561))/CROQUIS_DATOS!$C$1568-0.000001)),1,MOD($A142-1,2)),1-IF(INT(($A142-1)/2)+1&gt;MAX(1,INT(((((CROQUIS_DATOS!$C$1489+CROQUIS_DATOS!$C$1490))-(CROQUIS_DATOS!$C$1489))+((CROQUIS_DATOS!$C$1476)*CROQUIS_DATOS!$C$1561-((CROQUIS_DATOS!$C$1491+CROQUIS_DATOS!$C$1492))*CROQUIS_DATOS!$C$1561))/CROQUIS_DATOS!$C$1568-0.000001)),1,MOD($A142-1,2)))=1,MIN((CROQUIS_DATOS!$C$1476)*CROQUIS_DATOS!$C$1561,((CROQUIS_DATOS!$C$1489+CROQUIS_DATOS!$C$1490)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2">
        <f>IF(AND(CROQUIS_DATOS!$C$1472=1,CROQUIS_DATOS!$C$1478&gt;=3,((CROQUIS_DATOS!$C$1489+CROQUIS_DATOS!$C$1490))-(CROQUIS_DATOS!$C$1489)&gt;0.5,(CROQUIS_DATOS!$C$1476)-((CROQUIS_DATOS!$C$1491+CROQUIS_DATOS!$C$1492))&gt;0.5),(CROQUIS_DATOS!$C$1567+(IF(IF(MOD(MIN(INT(($A142-1)/2)+1,MAX(1,INT(((((CROQUIS_DATOS!$C$1489+CROQUIS_DATOS!$C$1490))-(CROQUIS_DATOS!$C$1489))+((CROQUIS_DATOS!$C$1476)*CROQUIS_DATOS!$C$1561-((CROQUIS_DATOS!$C$1491+CROQUIS_DATOS!$C$1492))*CROQUIS_DATOS!$C$1561))/CROQUIS_DATOS!$C$1568-0.000001))),2)=1,IF(INT(($A142-1)/2)+1&gt;MAX(1,INT(((((CROQUIS_DATOS!$C$1489+CROQUIS_DATOS!$C$1490))-(CROQUIS_DATOS!$C$1489))+((CROQUIS_DATOS!$C$1476)*CROQUIS_DATOS!$C$1561-((CROQUIS_DATOS!$C$1491+CROQUIS_DATOS!$C$1492))*CROQUIS_DATOS!$C$1561))/CROQUIS_DATOS!$C$1568-0.000001)),1,MOD($A142-1,2)),1-IF(INT(($A142-1)/2)+1&gt;MAX(1,INT(((((CROQUIS_DATOS!$C$1489+CROQUIS_DATOS!$C$1490))-(CROQUIS_DATOS!$C$1489))+((CROQUIS_DATOS!$C$1476)*CROQUIS_DATOS!$C$1561-((CROQUIS_DATOS!$C$1491+CROQUIS_DATOS!$C$1492))*CROQUIS_DATOS!$C$1561))/CROQUIS_DATOS!$C$1568-0.000001)),1,MOD($A142-1,2)))=1,MIN((CROQUIS_DATOS!$C$1476)*CROQUIS_DATOS!$C$1561,((CROQUIS_DATOS!$C$1489+CROQUIS_DATOS!$C$1490)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142-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2">
        <f>IF(AND(CROQUIS_DATOS!$C$1472=1,CROQUIS_DATOS!$C$1478&gt;=4,((CROQUIS_DATOS!$C$1494+CROQUIS_DATOS!$C$1495))-(CROQUIS_DATOS!$C$1494)&gt;0.5,(CROQUIS_DATOS!$C$1496)-(0)&gt;0.5),(CROQUIS_DATOS!$C$1566+(IF(IF(MOD(MIN(INT(($A142-1)/2)+1,MAX(1,INT(((((CROQUIS_DATOS!$C$1494+CROQUIS_DATOS!$C$1495))-(CROQUIS_DATOS!$C$1494))+((CROQUIS_DATOS!$C$1496)*CROQUIS_DATOS!$C$1561-(0)*CROQUIS_DATOS!$C$1561))/CROQUIS_DATOS!$C$1568-0.000001))),2)=1,IF(INT(($A142-1)/2)+1&gt;MAX(1,INT(((((CROQUIS_DATOS!$C$1494+CROQUIS_DATOS!$C$1495))-(CROQUIS_DATOS!$C$1494))+((CROQUIS_DATOS!$C$1496)*CROQUIS_DATOS!$C$1561-(0)*CROQUIS_DATOS!$C$1561))/CROQUIS_DATOS!$C$1568-0.000001)),1,MOD($A142-1,2)),1-IF(INT(($A142-1)/2)+1&gt;MAX(1,INT(((((CROQUIS_DATOS!$C$1494+CROQUIS_DATOS!$C$1495))-(CROQUIS_DATOS!$C$1494))+((CROQUIS_DATOS!$C$1496)*CROQUIS_DATOS!$C$1561-(0)*CROQUIS_DATOS!$C$1561))/CROQUIS_DATOS!$C$1568-0.000001)),1,MOD($A142-1,2)))=1,MIN((CROQUIS_DATOS!$C$1496)*CROQUIS_DATOS!$C$1561,((CROQUIS_DATOS!$C$1494+CROQUIS_DATOS!$C$1495)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2">
        <f>IF(AND(CROQUIS_DATOS!$C$1472=1,CROQUIS_DATOS!$C$1478&gt;=4,((CROQUIS_DATOS!$C$1494+CROQUIS_DATOS!$C$1495))-(CROQUIS_DATOS!$C$1494)&gt;0.5,(CROQUIS_DATOS!$C$1496)-(0)&gt;0.5),(CROQUIS_DATOS!$C$1567+(IF(IF(MOD(MIN(INT(($A142-1)/2)+1,MAX(1,INT(((((CROQUIS_DATOS!$C$1494+CROQUIS_DATOS!$C$1495))-(CROQUIS_DATOS!$C$1494))+((CROQUIS_DATOS!$C$1496)*CROQUIS_DATOS!$C$1561-(0)*CROQUIS_DATOS!$C$1561))/CROQUIS_DATOS!$C$1568-0.000001))),2)=1,IF(INT(($A142-1)/2)+1&gt;MAX(1,INT(((((CROQUIS_DATOS!$C$1494+CROQUIS_DATOS!$C$1495))-(CROQUIS_DATOS!$C$1494))+((CROQUIS_DATOS!$C$1496)*CROQUIS_DATOS!$C$1561-(0)*CROQUIS_DATOS!$C$1561))/CROQUIS_DATOS!$C$1568-0.000001)),1,MOD($A142-1,2)),1-IF(INT(($A142-1)/2)+1&gt;MAX(1,INT(((((CROQUIS_DATOS!$C$1494+CROQUIS_DATOS!$C$1495))-(CROQUIS_DATOS!$C$1494))+((CROQUIS_DATOS!$C$1496)*CROQUIS_DATOS!$C$1561-(0)*CROQUIS_DATOS!$C$1561))/CROQUIS_DATOS!$C$1568-0.000001)),1,MOD($A142-1,2)))=1,MIN((CROQUIS_DATOS!$C$1496)*CROQUIS_DATOS!$C$1561,((CROQUIS_DATOS!$C$1494+CROQUIS_DATOS!$C$1495)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142-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2">
        <f>IF(AND(CROQUIS_DATOS!$C$1472=1,CROQUIS_DATOS!$C$1478&gt;=4,((CROQUIS_DATOS!$C$1494+CROQUIS_DATOS!$C$1495))-(CROQUIS_DATOS!$C$1494)&gt;0.5,(CROQUIS_DATOS!$C$1476)-((CROQUIS_DATOS!$C$1496+CROQUIS_DATOS!$C$1497))&gt;0.5),(CROQUIS_DATOS!$C$1566+(IF(IF(MOD(MIN(INT(($A142-1)/2)+1,MAX(1,INT(((((CROQUIS_DATOS!$C$1494+CROQUIS_DATOS!$C$1495))-(CROQUIS_DATOS!$C$1494))+((CROQUIS_DATOS!$C$1476)*CROQUIS_DATOS!$C$1561-((CROQUIS_DATOS!$C$1496+CROQUIS_DATOS!$C$1497))*CROQUIS_DATOS!$C$1561))/CROQUIS_DATOS!$C$1568-0.000001))),2)=1,IF(INT(($A142-1)/2)+1&gt;MAX(1,INT(((((CROQUIS_DATOS!$C$1494+CROQUIS_DATOS!$C$1495))-(CROQUIS_DATOS!$C$1494))+((CROQUIS_DATOS!$C$1476)*CROQUIS_DATOS!$C$1561-((CROQUIS_DATOS!$C$1496+CROQUIS_DATOS!$C$1497))*CROQUIS_DATOS!$C$1561))/CROQUIS_DATOS!$C$1568-0.000001)),1,MOD($A142-1,2)),1-IF(INT(($A142-1)/2)+1&gt;MAX(1,INT(((((CROQUIS_DATOS!$C$1494+CROQUIS_DATOS!$C$1495))-(CROQUIS_DATOS!$C$1494))+((CROQUIS_DATOS!$C$1476)*CROQUIS_DATOS!$C$1561-((CROQUIS_DATOS!$C$1496+CROQUIS_DATOS!$C$1497))*CROQUIS_DATOS!$C$1561))/CROQUIS_DATOS!$C$1568-0.000001)),1,MOD($A142-1,2)))=1,MIN((CROQUIS_DATOS!$C$1476)*CROQUIS_DATOS!$C$1561,((CROQUIS_DATOS!$C$1494+CROQUIS_DATOS!$C$1495)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2">
        <f>IF(AND(CROQUIS_DATOS!$C$1472=1,CROQUIS_DATOS!$C$1478&gt;=4,((CROQUIS_DATOS!$C$1494+CROQUIS_DATOS!$C$1495))-(CROQUIS_DATOS!$C$1494)&gt;0.5,(CROQUIS_DATOS!$C$1476)-((CROQUIS_DATOS!$C$1496+CROQUIS_DATOS!$C$1497))&gt;0.5),(CROQUIS_DATOS!$C$1567+(IF(IF(MOD(MIN(INT(($A142-1)/2)+1,MAX(1,INT(((((CROQUIS_DATOS!$C$1494+CROQUIS_DATOS!$C$1495))-(CROQUIS_DATOS!$C$1494))+((CROQUIS_DATOS!$C$1476)*CROQUIS_DATOS!$C$1561-((CROQUIS_DATOS!$C$1496+CROQUIS_DATOS!$C$1497))*CROQUIS_DATOS!$C$1561))/CROQUIS_DATOS!$C$1568-0.000001))),2)=1,IF(INT(($A142-1)/2)+1&gt;MAX(1,INT(((((CROQUIS_DATOS!$C$1494+CROQUIS_DATOS!$C$1495))-(CROQUIS_DATOS!$C$1494))+((CROQUIS_DATOS!$C$1476)*CROQUIS_DATOS!$C$1561-((CROQUIS_DATOS!$C$1496+CROQUIS_DATOS!$C$1497))*CROQUIS_DATOS!$C$1561))/CROQUIS_DATOS!$C$1568-0.000001)),1,MOD($A142-1,2)),1-IF(INT(($A142-1)/2)+1&gt;MAX(1,INT(((((CROQUIS_DATOS!$C$1494+CROQUIS_DATOS!$C$1495))-(CROQUIS_DATOS!$C$1494))+((CROQUIS_DATOS!$C$1476)*CROQUIS_DATOS!$C$1561-((CROQUIS_DATOS!$C$1496+CROQUIS_DATOS!$C$1497))*CROQUIS_DATOS!$C$1561))/CROQUIS_DATOS!$C$1568-0.000001)),1,MOD($A142-1,2)))=1,MIN((CROQUIS_DATOS!$C$1476)*CROQUIS_DATOS!$C$1561,((CROQUIS_DATOS!$C$1494+CROQUIS_DATOS!$C$1495)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142-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3">
      <c r="A143" t="n">
        <v>136</v>
      </c>
      <c r="N143">
        <f>IF(AND(CROQUIS_DATOS!$C$1472=1,1),(CROQUIS_DATOS!$C$1563+(IF(IF(IF(INT(($A143-1)/70)+1&gt;CROQUIS_DATOS!$C$1525,70,MOD($A143-1,70)+1)=1,0,IF(IF(INT(($A143-1)/70)+1&gt;CROQUIS_DATOS!$C$1525,70,MOD($A143-1,70)+1)&gt;2*CROQUIS_DATOS!$C$1541+1,IF(MOD(CROQUIS_DATOS!$C$1541,2)=1,1,0),IF(MOD(MIN(INT((IF(INT(($A143-1)/70)+1&gt;CROQUIS_DATOS!$C$1525,70,MOD($A143-1,70)+1)-2)/2)+1,CROQUIS_DATOS!$C$1541),2)=1,IF(MOD(IF(INT(($A143-1)/70)+1&gt;CROQUIS_DATOS!$C$1525,70,MOD($A143-1,70)+1)-2,2)=0,0,1),IF(MOD(IF(INT(($A143-1)/70)+1&gt;CROQUIS_DATOS!$C$1525,70,MOD($A143-1,70)+1)-2,2)=0,1,0))))=0,(INDEX($E$8:$E$23,MIN(INT(($A143-1)/70)+1,CROQUIS_DATOS!$C$1525))-INDEX($F$8:$F$23,MIN(INT(($A143-1)/70)+1,CROQUIS_DATOS!$C$1525))/2),(INDEX($E$8:$E$23,MIN(INT(($A143-1)/70)+1,CROQUIS_DATOS!$C$1525))+INDEX($F$8:$F$23,MIN(INT(($A143-1)/70)+1,CROQUIS_DATOS!$C$1525))/2)))*CROQUIS_DATOS!$C$1562),-1000)</f>
        <v>18.5775862068965</v>
      </c>
      <c r="O143">
        <f>IF(AND(CROQUIS_DATOS!$C$1472=1,1),(CROQUIS_DATOS!$C$1564+(IF(OR(IF(INT(($A143-1)/70)+1&gt;CROQUIS_DATOS!$C$1525,70,MOD($A143-1,70)+1)=1,IF(INT(($A143-1)/70)+1&gt;CROQUIS_DATOS!$C$1525,70,MOD($A143-1,70)+1)&gt;2*CROQUIS_DATOS!$C$1541+1),CROQUIS_DATOS!$C$1476,INDEX($H$8:$H$41,MIN(INT((IF(INT(($A143-1)/70)+1&gt;CROQUIS_DATOS!$C$1525,70,MOD($A143-1,70)+1)-2)/2)+1,CROQUIS_DATOS!$C$1541))))*CROQUIS_DATOS!$C$1561*CROQUIS_DATOS!$C$1562),-1000)</f>
        <v>40.2068965517241</v>
      </c>
      <c r="P143">
        <f>IF(AND(CROQUIS_DATOS!$C$1472=1,CROQUIS_DATOS!$C$1555=1),(CROQUIS_DATOS!$C$1563+(IF(IF(OR(MOD($A143-1,62)+1=1,IF(CHOOSE(MIN(MAX(MIN(INT(($A143-1)/62)+1,5),1),5),CROQUIS_DATOS!$C$1501,CROQUIS_DATOS!$C$1505,CROQUIS_DATOS!$C$1509,CROQUIS_DATOS!$C$1513,CROQUIS_DATOS!$C$1517)=1,CROQUIS_DATOS!$C$1557,0)=0),0,IF(MOD($A143-1,62)+1&gt;2*IF(CHOOSE(MIN(MAX(MIN(INT(($A143-1)/62)+1,5),1),5),CROQUIS_DATOS!$C$1501,CROQUIS_DATOS!$C$1505,CROQUIS_DATOS!$C$1509,CROQUIS_DATOS!$C$1513,CROQUIS_DATOS!$C$1517)=1,CROQUIS_DATOS!$C$1557,0)+1,IF(MOD(IF(CHOOSE(MIN(MAX(MIN(INT(($A143-1)/62)+1,5),1),5),CROQUIS_DATOS!$C$1501,CROQUIS_DATOS!$C$1505,CROQUIS_DATOS!$C$1509,CROQUIS_DATOS!$C$1513,CROQUIS_DATOS!$C$1517)=1,CROQUIS_DATOS!$C$1557,0),2)=1,1,0),IF(MOD(MIN(INT((MOD($A143-1,62)+1-2)/2)+1,MAX(IF(CHOOSE(MIN(MAX(MIN(INT(($A143-1)/62)+1,5),1),5),CROQUIS_DATOS!$C$1501,CROQUIS_DATOS!$C$1505,CROQUIS_DATOS!$C$1509,CROQUIS_DATOS!$C$1513,CROQUIS_DATOS!$C$1517)=1,CROQUIS_DATOS!$C$1557,0),1)),2)=1,IF(MOD(MOD($A143-1,62)+1-2,2)=0,0,1),IF(MOD(MOD($A143-1,62)+1-2,2)=0,1,0))))=0,(CHOOSE(MIN(MAX(MIN(INT(($A143-1)/62)+1,5),1),5),CROQUIS_DATOS!$C$1499,CROQUIS_DATOS!$C$1503,CROQUIS_DATOS!$C$1507,CROQUIS_DATOS!$C$1511,CROQUIS_DATOS!$C$1515)+IF(CHOOSE(MIN(MAX(MIN(INT(($A143-1)/62)+1,5),1),5),CROQUIS_DATOS!$C$1501,CROQUIS_DATOS!$C$1505,CROQUIS_DATOS!$C$1509,CROQUIS_DATOS!$C$1513,CROQUIS_DATOS!$C$1517)=1,CROQUIS_DATOS!$C$1526,0)),(CHOOSE(MIN(MAX(MIN(INT(($A143-1)/62)+1,5),1),5),CROQUIS_DATOS!$C$1499,CROQUIS_DATOS!$C$1503,CROQUIS_DATOS!$C$1507,CROQUIS_DATOS!$C$1511,CROQUIS_DATOS!$C$1515)+CHOOSE(MIN(MAX(MIN(INT(($A143-1)/62)+1,5),1),5),CROQUIS_DATOS!$C$1500,CROQUIS_DATOS!$C$1504,CROQUIS_DATOS!$C$1508,CROQUIS_DATOS!$C$1512,CROQUIS_DATOS!$C$1516)-IF(CHOOSE(MIN(MAX(MIN(INT(($A143-1)/62)+1,5),1),5),CROQUIS_DATOS!$C$1501,CROQUIS_DATOS!$C$1505,CROQUIS_DATOS!$C$1509,CROQUIS_DATOS!$C$1513,CROQUIS_DATOS!$C$1517)=1,CROQUIS_DATOS!$C$1526,0))))*CROQUIS_DATOS!$C$1562),-1000)</f>
        <v>-1000</v>
      </c>
      <c r="Q143">
        <f>IF(AND(CROQUIS_DATOS!$C$1472=1,CROQUIS_DATOS!$C$1555=1),(CROQUIS_DATOS!$C$1564+(IF(OR(OR(MOD($A143-1,62)+1=1,IF(CHOOSE(MIN(MAX(MIN(INT(($A143-1)/62)+1,5),1),5),CROQUIS_DATOS!$C$1501,CROQUIS_DATOS!$C$1505,CROQUIS_DATOS!$C$1509,CROQUIS_DATOS!$C$1513,CROQUIS_DATOS!$C$1517)=1,CROQUIS_DATOS!$C$1557,0)=0),MOD($A143-1,62)+1&gt;2*IF(CHOOSE(MIN(MAX(MIN(INT(($A143-1)/62)+1,5),1),5),CROQUIS_DATOS!$C$1501,CROQUIS_DATOS!$C$1505,CROQUIS_DATOS!$C$1509,CROQUIS_DATOS!$C$1513,CROQUIS_DATOS!$C$1517)=1,CROQUIS_DATOS!$C$1557,0)+1),CROQUIS_DATOS!$C$1476,MIN(INT((MOD($A143-1,62)+1-2)/2)+1,MAX(IF(CHOOSE(MIN(MAX(MIN(INT(($A143-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3">
        <f>IF(AND(CROQUIS_DATOS!$C$1472=1,1),(CROQUIS_DATOS!$C$1563+(MIN(INT(($A143-1)/2)+1,CROQUIS_DATOS!$C$1558)*CROQUIS_DATOS!$C$1559)*CROQUIS_DATOS!$C$1562),-1000)</f>
        <v>82.2281167108753</v>
      </c>
      <c r="U143">
        <f>IF(AND(CROQUIS_DATOS!$C$1472=1,1),(CROQUIS_DATOS!$C$1564+(IF(INT(($A143-1)/2)+1&gt;CROQUIS_DATOS!$C$1558,IF(MOD(CROQUIS_DATOS!$C$1558,2)=1,CROQUIS_DATOS!$C$1476+CROQUIS_DATOS!$C$1528,CROQUIS_DATOS!$C$1476),IF(IF(MOD(MIN(INT(($A143-1)/2)+1,CROQUIS_DATOS!$C$1558),2)=1,MOD($A143-1,2),1-MOD($A143-1,2))=1,CROQUIS_DATOS!$C$1476+CROQUIS_DATOS!$C$1528,CROQUIS_DATOS!$C$1476)))*CROQUIS_DATOS!$C$1561*CROQUIS_DATOS!$C$1562),-1000)</f>
        <v>43</v>
      </c>
      <c r="BZ143">
        <f>IF(AND(CROQUIS_DATOS!$C$1472=1,CROQUIS_DATOS!$C$1500&gt;0,((CROQUIS_DATOS!$C$1499+CROQUIS_DATOS!$C$1500))-(CROQUIS_DATOS!$C$1499)&gt;0.5,(CROQUIS_DATOS!$C$1476)-(0)&gt;0.5),(CROQUIS_DATOS!$C$1566+(IF(IF(MOD(MIN(INT(($A143-1)/2)+1,MAX(1,INT(((((CROQUIS_DATOS!$C$1499+CROQUIS_DATOS!$C$1500))-(CROQUIS_DATOS!$C$1499))+((CROQUIS_DATOS!$C$1476)*CROQUIS_DATOS!$C$1561-(0)*CROQUIS_DATOS!$C$1561))/CROQUIS_DATOS!$C$1568-0.000001))),2)=1,IF(INT(($A143-1)/2)+1&gt;MAX(1,INT(((((CROQUIS_DATOS!$C$1499+CROQUIS_DATOS!$C$1500))-(CROQUIS_DATOS!$C$1499))+((CROQUIS_DATOS!$C$1476)*CROQUIS_DATOS!$C$1561-(0)*CROQUIS_DATOS!$C$1561))/CROQUIS_DATOS!$C$1568-0.000001)),1,MOD($A143-1,2)),1-IF(INT(($A143-1)/2)+1&gt;MAX(1,INT(((((CROQUIS_DATOS!$C$1499+CROQUIS_DATOS!$C$1500))-(CROQUIS_DATOS!$C$1499))+((CROQUIS_DATOS!$C$1476)*CROQUIS_DATOS!$C$1561-(0)*CROQUIS_DATOS!$C$1561))/CROQUIS_DATOS!$C$1568-0.000001)),1,MOD($A143-1,2)))=1,MIN((CROQUIS_DATOS!$C$1476)*CROQUIS_DATOS!$C$1561,((CROQUIS_DATOS!$C$1499+CROQUIS_DATOS!$C$1500)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3">
        <f>IF(AND(CROQUIS_DATOS!$C$1472=1,CROQUIS_DATOS!$C$1500&gt;0,((CROQUIS_DATOS!$C$1499+CROQUIS_DATOS!$C$1500))-(CROQUIS_DATOS!$C$1499)&gt;0.5,(CROQUIS_DATOS!$C$1476)-(0)&gt;0.5),(CROQUIS_DATOS!$C$1567+(IF(IF(MOD(MIN(INT(($A143-1)/2)+1,MAX(1,INT(((((CROQUIS_DATOS!$C$1499+CROQUIS_DATOS!$C$1500))-(CROQUIS_DATOS!$C$1499))+((CROQUIS_DATOS!$C$1476)*CROQUIS_DATOS!$C$1561-(0)*CROQUIS_DATOS!$C$1561))/CROQUIS_DATOS!$C$1568-0.000001))),2)=1,IF(INT(($A143-1)/2)+1&gt;MAX(1,INT(((((CROQUIS_DATOS!$C$1499+CROQUIS_DATOS!$C$1500))-(CROQUIS_DATOS!$C$1499))+((CROQUIS_DATOS!$C$1476)*CROQUIS_DATOS!$C$1561-(0)*CROQUIS_DATOS!$C$1561))/CROQUIS_DATOS!$C$1568-0.000001)),1,MOD($A143-1,2)),1-IF(INT(($A143-1)/2)+1&gt;MAX(1,INT(((((CROQUIS_DATOS!$C$1499+CROQUIS_DATOS!$C$1500))-(CROQUIS_DATOS!$C$1499))+((CROQUIS_DATOS!$C$1476)*CROQUIS_DATOS!$C$1561-(0)*CROQUIS_DATOS!$C$1561))/CROQUIS_DATOS!$C$1568-0.000001)),1,MOD($A143-1,2)))=1,MIN((CROQUIS_DATOS!$C$1476)*CROQUIS_DATOS!$C$1561,((CROQUIS_DATOS!$C$1499+CROQUIS_DATOS!$C$1500)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143-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3">
        <f>IF(AND(CROQUIS_DATOS!$C$1472=1,CROQUIS_DATOS!$C$1504&gt;0,((CROQUIS_DATOS!$C$1503+CROQUIS_DATOS!$C$1504))-(CROQUIS_DATOS!$C$1503)&gt;0.5,(CROQUIS_DATOS!$C$1476)-(0)&gt;0.5),(CROQUIS_DATOS!$C$1566+(IF(IF(MOD(MIN(INT(($A143-1)/2)+1,MAX(1,INT(((((CROQUIS_DATOS!$C$1503+CROQUIS_DATOS!$C$1504))-(CROQUIS_DATOS!$C$1503))+((CROQUIS_DATOS!$C$1476)*CROQUIS_DATOS!$C$1561-(0)*CROQUIS_DATOS!$C$1561))/CROQUIS_DATOS!$C$1568-0.000001))),2)=1,IF(INT(($A143-1)/2)+1&gt;MAX(1,INT(((((CROQUIS_DATOS!$C$1503+CROQUIS_DATOS!$C$1504))-(CROQUIS_DATOS!$C$1503))+((CROQUIS_DATOS!$C$1476)*CROQUIS_DATOS!$C$1561-(0)*CROQUIS_DATOS!$C$1561))/CROQUIS_DATOS!$C$1568-0.000001)),1,MOD($A143-1,2)),1-IF(INT(($A143-1)/2)+1&gt;MAX(1,INT(((((CROQUIS_DATOS!$C$1503+CROQUIS_DATOS!$C$1504))-(CROQUIS_DATOS!$C$1503))+((CROQUIS_DATOS!$C$1476)*CROQUIS_DATOS!$C$1561-(0)*CROQUIS_DATOS!$C$1561))/CROQUIS_DATOS!$C$1568-0.000001)),1,MOD($A143-1,2)))=1,MIN((CROQUIS_DATOS!$C$1476)*CROQUIS_DATOS!$C$1561,((CROQUIS_DATOS!$C$1503+CROQUIS_DATOS!$C$1504)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3">
        <f>IF(AND(CROQUIS_DATOS!$C$1472=1,CROQUIS_DATOS!$C$1504&gt;0,((CROQUIS_DATOS!$C$1503+CROQUIS_DATOS!$C$1504))-(CROQUIS_DATOS!$C$1503)&gt;0.5,(CROQUIS_DATOS!$C$1476)-(0)&gt;0.5),(CROQUIS_DATOS!$C$1567+(IF(IF(MOD(MIN(INT(($A143-1)/2)+1,MAX(1,INT(((((CROQUIS_DATOS!$C$1503+CROQUIS_DATOS!$C$1504))-(CROQUIS_DATOS!$C$1503))+((CROQUIS_DATOS!$C$1476)*CROQUIS_DATOS!$C$1561-(0)*CROQUIS_DATOS!$C$1561))/CROQUIS_DATOS!$C$1568-0.000001))),2)=1,IF(INT(($A143-1)/2)+1&gt;MAX(1,INT(((((CROQUIS_DATOS!$C$1503+CROQUIS_DATOS!$C$1504))-(CROQUIS_DATOS!$C$1503))+((CROQUIS_DATOS!$C$1476)*CROQUIS_DATOS!$C$1561-(0)*CROQUIS_DATOS!$C$1561))/CROQUIS_DATOS!$C$1568-0.000001)),1,MOD($A143-1,2)),1-IF(INT(($A143-1)/2)+1&gt;MAX(1,INT(((((CROQUIS_DATOS!$C$1503+CROQUIS_DATOS!$C$1504))-(CROQUIS_DATOS!$C$1503))+((CROQUIS_DATOS!$C$1476)*CROQUIS_DATOS!$C$1561-(0)*CROQUIS_DATOS!$C$1561))/CROQUIS_DATOS!$C$1568-0.000001)),1,MOD($A143-1,2)))=1,MIN((CROQUIS_DATOS!$C$1476)*CROQUIS_DATOS!$C$1561,((CROQUIS_DATOS!$C$1503+CROQUIS_DATOS!$C$1504)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143-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3">
        <f>IF(AND(CROQUIS_DATOS!$C$1472=1,CROQUIS_DATOS!$C$1508&gt;0,((CROQUIS_DATOS!$C$1507+CROQUIS_DATOS!$C$1508))-(CROQUIS_DATOS!$C$1507)&gt;0.5,(CROQUIS_DATOS!$C$1476)-(0)&gt;0.5),(CROQUIS_DATOS!$C$1566+(IF(IF(MOD(MIN(INT(($A143-1)/2)+1,MAX(1,INT(((((CROQUIS_DATOS!$C$1507+CROQUIS_DATOS!$C$1508))-(CROQUIS_DATOS!$C$1507))+((CROQUIS_DATOS!$C$1476)*CROQUIS_DATOS!$C$1561-(0)*CROQUIS_DATOS!$C$1561))/CROQUIS_DATOS!$C$1568-0.000001))),2)=1,IF(INT(($A143-1)/2)+1&gt;MAX(1,INT(((((CROQUIS_DATOS!$C$1507+CROQUIS_DATOS!$C$1508))-(CROQUIS_DATOS!$C$1507))+((CROQUIS_DATOS!$C$1476)*CROQUIS_DATOS!$C$1561-(0)*CROQUIS_DATOS!$C$1561))/CROQUIS_DATOS!$C$1568-0.000001)),1,MOD($A143-1,2)),1-IF(INT(($A143-1)/2)+1&gt;MAX(1,INT(((((CROQUIS_DATOS!$C$1507+CROQUIS_DATOS!$C$1508))-(CROQUIS_DATOS!$C$1507))+((CROQUIS_DATOS!$C$1476)*CROQUIS_DATOS!$C$1561-(0)*CROQUIS_DATOS!$C$1561))/CROQUIS_DATOS!$C$1568-0.000001)),1,MOD($A143-1,2)))=1,MIN((CROQUIS_DATOS!$C$1476)*CROQUIS_DATOS!$C$1561,((CROQUIS_DATOS!$C$1507+CROQUIS_DATOS!$C$1508)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3">
        <f>IF(AND(CROQUIS_DATOS!$C$1472=1,CROQUIS_DATOS!$C$1508&gt;0,((CROQUIS_DATOS!$C$1507+CROQUIS_DATOS!$C$1508))-(CROQUIS_DATOS!$C$1507)&gt;0.5,(CROQUIS_DATOS!$C$1476)-(0)&gt;0.5),(CROQUIS_DATOS!$C$1567+(IF(IF(MOD(MIN(INT(($A143-1)/2)+1,MAX(1,INT(((((CROQUIS_DATOS!$C$1507+CROQUIS_DATOS!$C$1508))-(CROQUIS_DATOS!$C$1507))+((CROQUIS_DATOS!$C$1476)*CROQUIS_DATOS!$C$1561-(0)*CROQUIS_DATOS!$C$1561))/CROQUIS_DATOS!$C$1568-0.000001))),2)=1,IF(INT(($A143-1)/2)+1&gt;MAX(1,INT(((((CROQUIS_DATOS!$C$1507+CROQUIS_DATOS!$C$1508))-(CROQUIS_DATOS!$C$1507))+((CROQUIS_DATOS!$C$1476)*CROQUIS_DATOS!$C$1561-(0)*CROQUIS_DATOS!$C$1561))/CROQUIS_DATOS!$C$1568-0.000001)),1,MOD($A143-1,2)),1-IF(INT(($A143-1)/2)+1&gt;MAX(1,INT(((((CROQUIS_DATOS!$C$1507+CROQUIS_DATOS!$C$1508))-(CROQUIS_DATOS!$C$1507))+((CROQUIS_DATOS!$C$1476)*CROQUIS_DATOS!$C$1561-(0)*CROQUIS_DATOS!$C$1561))/CROQUIS_DATOS!$C$1568-0.000001)),1,MOD($A143-1,2)))=1,MIN((CROQUIS_DATOS!$C$1476)*CROQUIS_DATOS!$C$1561,((CROQUIS_DATOS!$C$1507+CROQUIS_DATOS!$C$1508)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143-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3">
        <f>IF(AND(CROQUIS_DATOS!$C$1472=1,CROQUIS_DATOS!$C$1512&gt;0,((CROQUIS_DATOS!$C$1511+CROQUIS_DATOS!$C$1512))-(CROQUIS_DATOS!$C$1511)&gt;0.5,(CROQUIS_DATOS!$C$1476)-(0)&gt;0.5),(CROQUIS_DATOS!$C$1566+(IF(IF(MOD(MIN(INT(($A143-1)/2)+1,MAX(1,INT(((((CROQUIS_DATOS!$C$1511+CROQUIS_DATOS!$C$1512))-(CROQUIS_DATOS!$C$1511))+((CROQUIS_DATOS!$C$1476)*CROQUIS_DATOS!$C$1561-(0)*CROQUIS_DATOS!$C$1561))/CROQUIS_DATOS!$C$1568-0.000001))),2)=1,IF(INT(($A143-1)/2)+1&gt;MAX(1,INT(((((CROQUIS_DATOS!$C$1511+CROQUIS_DATOS!$C$1512))-(CROQUIS_DATOS!$C$1511))+((CROQUIS_DATOS!$C$1476)*CROQUIS_DATOS!$C$1561-(0)*CROQUIS_DATOS!$C$1561))/CROQUIS_DATOS!$C$1568-0.000001)),1,MOD($A143-1,2)),1-IF(INT(($A143-1)/2)+1&gt;MAX(1,INT(((((CROQUIS_DATOS!$C$1511+CROQUIS_DATOS!$C$1512))-(CROQUIS_DATOS!$C$1511))+((CROQUIS_DATOS!$C$1476)*CROQUIS_DATOS!$C$1561-(0)*CROQUIS_DATOS!$C$1561))/CROQUIS_DATOS!$C$1568-0.000001)),1,MOD($A143-1,2)))=1,MIN((CROQUIS_DATOS!$C$1476)*CROQUIS_DATOS!$C$1561,((CROQUIS_DATOS!$C$1511+CROQUIS_DATOS!$C$1512)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3">
        <f>IF(AND(CROQUIS_DATOS!$C$1472=1,CROQUIS_DATOS!$C$1512&gt;0,((CROQUIS_DATOS!$C$1511+CROQUIS_DATOS!$C$1512))-(CROQUIS_DATOS!$C$1511)&gt;0.5,(CROQUIS_DATOS!$C$1476)-(0)&gt;0.5),(CROQUIS_DATOS!$C$1567+(IF(IF(MOD(MIN(INT(($A143-1)/2)+1,MAX(1,INT(((((CROQUIS_DATOS!$C$1511+CROQUIS_DATOS!$C$1512))-(CROQUIS_DATOS!$C$1511))+((CROQUIS_DATOS!$C$1476)*CROQUIS_DATOS!$C$1561-(0)*CROQUIS_DATOS!$C$1561))/CROQUIS_DATOS!$C$1568-0.000001))),2)=1,IF(INT(($A143-1)/2)+1&gt;MAX(1,INT(((((CROQUIS_DATOS!$C$1511+CROQUIS_DATOS!$C$1512))-(CROQUIS_DATOS!$C$1511))+((CROQUIS_DATOS!$C$1476)*CROQUIS_DATOS!$C$1561-(0)*CROQUIS_DATOS!$C$1561))/CROQUIS_DATOS!$C$1568-0.000001)),1,MOD($A143-1,2)),1-IF(INT(($A143-1)/2)+1&gt;MAX(1,INT(((((CROQUIS_DATOS!$C$1511+CROQUIS_DATOS!$C$1512))-(CROQUIS_DATOS!$C$1511))+((CROQUIS_DATOS!$C$1476)*CROQUIS_DATOS!$C$1561-(0)*CROQUIS_DATOS!$C$1561))/CROQUIS_DATOS!$C$1568-0.000001)),1,MOD($A143-1,2)))=1,MIN((CROQUIS_DATOS!$C$1476)*CROQUIS_DATOS!$C$1561,((CROQUIS_DATOS!$C$1511+CROQUIS_DATOS!$C$1512)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143-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3">
        <f>IF(AND(CROQUIS_DATOS!$C$1472=1,CROQUIS_DATOS!$C$1516&gt;0,((CROQUIS_DATOS!$C$1515+CROQUIS_DATOS!$C$1516))-(CROQUIS_DATOS!$C$1515)&gt;0.5,(CROQUIS_DATOS!$C$1476)-(0)&gt;0.5),(CROQUIS_DATOS!$C$1566+(IF(IF(MOD(MIN(INT(($A143-1)/2)+1,MAX(1,INT(((((CROQUIS_DATOS!$C$1515+CROQUIS_DATOS!$C$1516))-(CROQUIS_DATOS!$C$1515))+((CROQUIS_DATOS!$C$1476)*CROQUIS_DATOS!$C$1561-(0)*CROQUIS_DATOS!$C$1561))/CROQUIS_DATOS!$C$1568-0.000001))),2)=1,IF(INT(($A143-1)/2)+1&gt;MAX(1,INT(((((CROQUIS_DATOS!$C$1515+CROQUIS_DATOS!$C$1516))-(CROQUIS_DATOS!$C$1515))+((CROQUIS_DATOS!$C$1476)*CROQUIS_DATOS!$C$1561-(0)*CROQUIS_DATOS!$C$1561))/CROQUIS_DATOS!$C$1568-0.000001)),1,MOD($A143-1,2)),1-IF(INT(($A143-1)/2)+1&gt;MAX(1,INT(((((CROQUIS_DATOS!$C$1515+CROQUIS_DATOS!$C$1516))-(CROQUIS_DATOS!$C$1515))+((CROQUIS_DATOS!$C$1476)*CROQUIS_DATOS!$C$1561-(0)*CROQUIS_DATOS!$C$1561))/CROQUIS_DATOS!$C$1568-0.000001)),1,MOD($A143-1,2)))=1,MIN((CROQUIS_DATOS!$C$1476)*CROQUIS_DATOS!$C$1561,((CROQUIS_DATOS!$C$1515+CROQUIS_DATOS!$C$1516)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3">
        <f>IF(AND(CROQUIS_DATOS!$C$1472=1,CROQUIS_DATOS!$C$1516&gt;0,((CROQUIS_DATOS!$C$1515+CROQUIS_DATOS!$C$1516))-(CROQUIS_DATOS!$C$1515)&gt;0.5,(CROQUIS_DATOS!$C$1476)-(0)&gt;0.5),(CROQUIS_DATOS!$C$1567+(IF(IF(MOD(MIN(INT(($A143-1)/2)+1,MAX(1,INT(((((CROQUIS_DATOS!$C$1515+CROQUIS_DATOS!$C$1516))-(CROQUIS_DATOS!$C$1515))+((CROQUIS_DATOS!$C$1476)*CROQUIS_DATOS!$C$1561-(0)*CROQUIS_DATOS!$C$1561))/CROQUIS_DATOS!$C$1568-0.000001))),2)=1,IF(INT(($A143-1)/2)+1&gt;MAX(1,INT(((((CROQUIS_DATOS!$C$1515+CROQUIS_DATOS!$C$1516))-(CROQUIS_DATOS!$C$1515))+((CROQUIS_DATOS!$C$1476)*CROQUIS_DATOS!$C$1561-(0)*CROQUIS_DATOS!$C$1561))/CROQUIS_DATOS!$C$1568-0.000001)),1,MOD($A143-1,2)),1-IF(INT(($A143-1)/2)+1&gt;MAX(1,INT(((((CROQUIS_DATOS!$C$1515+CROQUIS_DATOS!$C$1516))-(CROQUIS_DATOS!$C$1515))+((CROQUIS_DATOS!$C$1476)*CROQUIS_DATOS!$C$1561-(0)*CROQUIS_DATOS!$C$1561))/CROQUIS_DATOS!$C$1568-0.000001)),1,MOD($A143-1,2)))=1,MIN((CROQUIS_DATOS!$C$1476)*CROQUIS_DATOS!$C$1561,((CROQUIS_DATOS!$C$1515+CROQUIS_DATOS!$C$1516)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143-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3">
        <f>IF(AND(CROQUIS_DATOS!$C$1472=1,CROQUIS_DATOS!$C$1478&gt;=1,((CROQUIS_DATOS!$C$1479+CROQUIS_DATOS!$C$1480))-(CROQUIS_DATOS!$C$1479)&gt;0.5,(CROQUIS_DATOS!$C$1481)-(0)&gt;0.5),(CROQUIS_DATOS!$C$1566+(IF(IF(MOD(MIN(INT(($A143-1)/2)+1,MAX(1,INT(((((CROQUIS_DATOS!$C$1479+CROQUIS_DATOS!$C$1480))-(CROQUIS_DATOS!$C$1479))+((CROQUIS_DATOS!$C$1481)*CROQUIS_DATOS!$C$1561-(0)*CROQUIS_DATOS!$C$1561))/CROQUIS_DATOS!$C$1568-0.000001))),2)=1,IF(INT(($A143-1)/2)+1&gt;MAX(1,INT(((((CROQUIS_DATOS!$C$1479+CROQUIS_DATOS!$C$1480))-(CROQUIS_DATOS!$C$1479))+((CROQUIS_DATOS!$C$1481)*CROQUIS_DATOS!$C$1561-(0)*CROQUIS_DATOS!$C$1561))/CROQUIS_DATOS!$C$1568-0.000001)),1,MOD($A143-1,2)),1-IF(INT(($A143-1)/2)+1&gt;MAX(1,INT(((((CROQUIS_DATOS!$C$1479+CROQUIS_DATOS!$C$1480))-(CROQUIS_DATOS!$C$1479))+((CROQUIS_DATOS!$C$1481)*CROQUIS_DATOS!$C$1561-(0)*CROQUIS_DATOS!$C$1561))/CROQUIS_DATOS!$C$1568-0.000001)),1,MOD($A143-1,2)))=1,MIN((CROQUIS_DATOS!$C$1481)*CROQUIS_DATOS!$C$1561,((CROQUIS_DATOS!$C$1479+CROQUIS_DATOS!$C$1480)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3">
        <f>IF(AND(CROQUIS_DATOS!$C$1472=1,CROQUIS_DATOS!$C$1478&gt;=1,((CROQUIS_DATOS!$C$1479+CROQUIS_DATOS!$C$1480))-(CROQUIS_DATOS!$C$1479)&gt;0.5,(CROQUIS_DATOS!$C$1481)-(0)&gt;0.5),(CROQUIS_DATOS!$C$1567+(IF(IF(MOD(MIN(INT(($A143-1)/2)+1,MAX(1,INT(((((CROQUIS_DATOS!$C$1479+CROQUIS_DATOS!$C$1480))-(CROQUIS_DATOS!$C$1479))+((CROQUIS_DATOS!$C$1481)*CROQUIS_DATOS!$C$1561-(0)*CROQUIS_DATOS!$C$1561))/CROQUIS_DATOS!$C$1568-0.000001))),2)=1,IF(INT(($A143-1)/2)+1&gt;MAX(1,INT(((((CROQUIS_DATOS!$C$1479+CROQUIS_DATOS!$C$1480))-(CROQUIS_DATOS!$C$1479))+((CROQUIS_DATOS!$C$1481)*CROQUIS_DATOS!$C$1561-(0)*CROQUIS_DATOS!$C$1561))/CROQUIS_DATOS!$C$1568-0.000001)),1,MOD($A143-1,2)),1-IF(INT(($A143-1)/2)+1&gt;MAX(1,INT(((((CROQUIS_DATOS!$C$1479+CROQUIS_DATOS!$C$1480))-(CROQUIS_DATOS!$C$1479))+((CROQUIS_DATOS!$C$1481)*CROQUIS_DATOS!$C$1561-(0)*CROQUIS_DATOS!$C$1561))/CROQUIS_DATOS!$C$1568-0.000001)),1,MOD($A143-1,2)))=1,MIN((CROQUIS_DATOS!$C$1481)*CROQUIS_DATOS!$C$1561,((CROQUIS_DATOS!$C$1479+CROQUIS_DATOS!$C$1480)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143-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3">
        <f>IF(AND(CROQUIS_DATOS!$C$1472=1,CROQUIS_DATOS!$C$1478&gt;=1,((CROQUIS_DATOS!$C$1479+CROQUIS_DATOS!$C$1480))-(CROQUIS_DATOS!$C$1479)&gt;0.5,(CROQUIS_DATOS!$C$1476)-((CROQUIS_DATOS!$C$1481+CROQUIS_DATOS!$C$1482))&gt;0.5),(CROQUIS_DATOS!$C$1566+(IF(IF(MOD(MIN(INT(($A143-1)/2)+1,MAX(1,INT(((((CROQUIS_DATOS!$C$1479+CROQUIS_DATOS!$C$1480))-(CROQUIS_DATOS!$C$1479))+((CROQUIS_DATOS!$C$1476)*CROQUIS_DATOS!$C$1561-((CROQUIS_DATOS!$C$1481+CROQUIS_DATOS!$C$1482))*CROQUIS_DATOS!$C$1561))/CROQUIS_DATOS!$C$1568-0.000001))),2)=1,IF(INT(($A143-1)/2)+1&gt;MAX(1,INT(((((CROQUIS_DATOS!$C$1479+CROQUIS_DATOS!$C$1480))-(CROQUIS_DATOS!$C$1479))+((CROQUIS_DATOS!$C$1476)*CROQUIS_DATOS!$C$1561-((CROQUIS_DATOS!$C$1481+CROQUIS_DATOS!$C$1482))*CROQUIS_DATOS!$C$1561))/CROQUIS_DATOS!$C$1568-0.000001)),1,MOD($A143-1,2)),1-IF(INT(($A143-1)/2)+1&gt;MAX(1,INT(((((CROQUIS_DATOS!$C$1479+CROQUIS_DATOS!$C$1480))-(CROQUIS_DATOS!$C$1479))+((CROQUIS_DATOS!$C$1476)*CROQUIS_DATOS!$C$1561-((CROQUIS_DATOS!$C$1481+CROQUIS_DATOS!$C$1482))*CROQUIS_DATOS!$C$1561))/CROQUIS_DATOS!$C$1568-0.000001)),1,MOD($A143-1,2)))=1,MIN((CROQUIS_DATOS!$C$1476)*CROQUIS_DATOS!$C$1561,((CROQUIS_DATOS!$C$1479+CROQUIS_DATOS!$C$1480)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3">
        <f>IF(AND(CROQUIS_DATOS!$C$1472=1,CROQUIS_DATOS!$C$1478&gt;=1,((CROQUIS_DATOS!$C$1479+CROQUIS_DATOS!$C$1480))-(CROQUIS_DATOS!$C$1479)&gt;0.5,(CROQUIS_DATOS!$C$1476)-((CROQUIS_DATOS!$C$1481+CROQUIS_DATOS!$C$1482))&gt;0.5),(CROQUIS_DATOS!$C$1567+(IF(IF(MOD(MIN(INT(($A143-1)/2)+1,MAX(1,INT(((((CROQUIS_DATOS!$C$1479+CROQUIS_DATOS!$C$1480))-(CROQUIS_DATOS!$C$1479))+((CROQUIS_DATOS!$C$1476)*CROQUIS_DATOS!$C$1561-((CROQUIS_DATOS!$C$1481+CROQUIS_DATOS!$C$1482))*CROQUIS_DATOS!$C$1561))/CROQUIS_DATOS!$C$1568-0.000001))),2)=1,IF(INT(($A143-1)/2)+1&gt;MAX(1,INT(((((CROQUIS_DATOS!$C$1479+CROQUIS_DATOS!$C$1480))-(CROQUIS_DATOS!$C$1479))+((CROQUIS_DATOS!$C$1476)*CROQUIS_DATOS!$C$1561-((CROQUIS_DATOS!$C$1481+CROQUIS_DATOS!$C$1482))*CROQUIS_DATOS!$C$1561))/CROQUIS_DATOS!$C$1568-0.000001)),1,MOD($A143-1,2)),1-IF(INT(($A143-1)/2)+1&gt;MAX(1,INT(((((CROQUIS_DATOS!$C$1479+CROQUIS_DATOS!$C$1480))-(CROQUIS_DATOS!$C$1479))+((CROQUIS_DATOS!$C$1476)*CROQUIS_DATOS!$C$1561-((CROQUIS_DATOS!$C$1481+CROQUIS_DATOS!$C$1482))*CROQUIS_DATOS!$C$1561))/CROQUIS_DATOS!$C$1568-0.000001)),1,MOD($A143-1,2)))=1,MIN((CROQUIS_DATOS!$C$1476)*CROQUIS_DATOS!$C$1561,((CROQUIS_DATOS!$C$1479+CROQUIS_DATOS!$C$1480)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143-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3">
        <f>IF(AND(CROQUIS_DATOS!$C$1472=1,CROQUIS_DATOS!$C$1478&gt;=2,((CROQUIS_DATOS!$C$1484+CROQUIS_DATOS!$C$1485))-(CROQUIS_DATOS!$C$1484)&gt;0.5,(CROQUIS_DATOS!$C$1486)-(0)&gt;0.5),(CROQUIS_DATOS!$C$1566+(IF(IF(MOD(MIN(INT(($A143-1)/2)+1,MAX(1,INT(((((CROQUIS_DATOS!$C$1484+CROQUIS_DATOS!$C$1485))-(CROQUIS_DATOS!$C$1484))+((CROQUIS_DATOS!$C$1486)*CROQUIS_DATOS!$C$1561-(0)*CROQUIS_DATOS!$C$1561))/CROQUIS_DATOS!$C$1568-0.000001))),2)=1,IF(INT(($A143-1)/2)+1&gt;MAX(1,INT(((((CROQUIS_DATOS!$C$1484+CROQUIS_DATOS!$C$1485))-(CROQUIS_DATOS!$C$1484))+((CROQUIS_DATOS!$C$1486)*CROQUIS_DATOS!$C$1561-(0)*CROQUIS_DATOS!$C$1561))/CROQUIS_DATOS!$C$1568-0.000001)),1,MOD($A143-1,2)),1-IF(INT(($A143-1)/2)+1&gt;MAX(1,INT(((((CROQUIS_DATOS!$C$1484+CROQUIS_DATOS!$C$1485))-(CROQUIS_DATOS!$C$1484))+((CROQUIS_DATOS!$C$1486)*CROQUIS_DATOS!$C$1561-(0)*CROQUIS_DATOS!$C$1561))/CROQUIS_DATOS!$C$1568-0.000001)),1,MOD($A143-1,2)))=1,MIN((CROQUIS_DATOS!$C$1486)*CROQUIS_DATOS!$C$1561,((CROQUIS_DATOS!$C$1484+CROQUIS_DATOS!$C$1485)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3">
        <f>IF(AND(CROQUIS_DATOS!$C$1472=1,CROQUIS_DATOS!$C$1478&gt;=2,((CROQUIS_DATOS!$C$1484+CROQUIS_DATOS!$C$1485))-(CROQUIS_DATOS!$C$1484)&gt;0.5,(CROQUIS_DATOS!$C$1486)-(0)&gt;0.5),(CROQUIS_DATOS!$C$1567+(IF(IF(MOD(MIN(INT(($A143-1)/2)+1,MAX(1,INT(((((CROQUIS_DATOS!$C$1484+CROQUIS_DATOS!$C$1485))-(CROQUIS_DATOS!$C$1484))+((CROQUIS_DATOS!$C$1486)*CROQUIS_DATOS!$C$1561-(0)*CROQUIS_DATOS!$C$1561))/CROQUIS_DATOS!$C$1568-0.000001))),2)=1,IF(INT(($A143-1)/2)+1&gt;MAX(1,INT(((((CROQUIS_DATOS!$C$1484+CROQUIS_DATOS!$C$1485))-(CROQUIS_DATOS!$C$1484))+((CROQUIS_DATOS!$C$1486)*CROQUIS_DATOS!$C$1561-(0)*CROQUIS_DATOS!$C$1561))/CROQUIS_DATOS!$C$1568-0.000001)),1,MOD($A143-1,2)),1-IF(INT(($A143-1)/2)+1&gt;MAX(1,INT(((((CROQUIS_DATOS!$C$1484+CROQUIS_DATOS!$C$1485))-(CROQUIS_DATOS!$C$1484))+((CROQUIS_DATOS!$C$1486)*CROQUIS_DATOS!$C$1561-(0)*CROQUIS_DATOS!$C$1561))/CROQUIS_DATOS!$C$1568-0.000001)),1,MOD($A143-1,2)))=1,MIN((CROQUIS_DATOS!$C$1486)*CROQUIS_DATOS!$C$1561,((CROQUIS_DATOS!$C$1484+CROQUIS_DATOS!$C$1485)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143-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3">
        <f>IF(AND(CROQUIS_DATOS!$C$1472=1,CROQUIS_DATOS!$C$1478&gt;=2,((CROQUIS_DATOS!$C$1484+CROQUIS_DATOS!$C$1485))-(CROQUIS_DATOS!$C$1484)&gt;0.5,(CROQUIS_DATOS!$C$1476)-((CROQUIS_DATOS!$C$1486+CROQUIS_DATOS!$C$1487))&gt;0.5),(CROQUIS_DATOS!$C$1566+(IF(IF(MOD(MIN(INT(($A143-1)/2)+1,MAX(1,INT(((((CROQUIS_DATOS!$C$1484+CROQUIS_DATOS!$C$1485))-(CROQUIS_DATOS!$C$1484))+((CROQUIS_DATOS!$C$1476)*CROQUIS_DATOS!$C$1561-((CROQUIS_DATOS!$C$1486+CROQUIS_DATOS!$C$1487))*CROQUIS_DATOS!$C$1561))/CROQUIS_DATOS!$C$1568-0.000001))),2)=1,IF(INT(($A143-1)/2)+1&gt;MAX(1,INT(((((CROQUIS_DATOS!$C$1484+CROQUIS_DATOS!$C$1485))-(CROQUIS_DATOS!$C$1484))+((CROQUIS_DATOS!$C$1476)*CROQUIS_DATOS!$C$1561-((CROQUIS_DATOS!$C$1486+CROQUIS_DATOS!$C$1487))*CROQUIS_DATOS!$C$1561))/CROQUIS_DATOS!$C$1568-0.000001)),1,MOD($A143-1,2)),1-IF(INT(($A143-1)/2)+1&gt;MAX(1,INT(((((CROQUIS_DATOS!$C$1484+CROQUIS_DATOS!$C$1485))-(CROQUIS_DATOS!$C$1484))+((CROQUIS_DATOS!$C$1476)*CROQUIS_DATOS!$C$1561-((CROQUIS_DATOS!$C$1486+CROQUIS_DATOS!$C$1487))*CROQUIS_DATOS!$C$1561))/CROQUIS_DATOS!$C$1568-0.000001)),1,MOD($A143-1,2)))=1,MIN((CROQUIS_DATOS!$C$1476)*CROQUIS_DATOS!$C$1561,((CROQUIS_DATOS!$C$1484+CROQUIS_DATOS!$C$1485)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3">
        <f>IF(AND(CROQUIS_DATOS!$C$1472=1,CROQUIS_DATOS!$C$1478&gt;=2,((CROQUIS_DATOS!$C$1484+CROQUIS_DATOS!$C$1485))-(CROQUIS_DATOS!$C$1484)&gt;0.5,(CROQUIS_DATOS!$C$1476)-((CROQUIS_DATOS!$C$1486+CROQUIS_DATOS!$C$1487))&gt;0.5),(CROQUIS_DATOS!$C$1567+(IF(IF(MOD(MIN(INT(($A143-1)/2)+1,MAX(1,INT(((((CROQUIS_DATOS!$C$1484+CROQUIS_DATOS!$C$1485))-(CROQUIS_DATOS!$C$1484))+((CROQUIS_DATOS!$C$1476)*CROQUIS_DATOS!$C$1561-((CROQUIS_DATOS!$C$1486+CROQUIS_DATOS!$C$1487))*CROQUIS_DATOS!$C$1561))/CROQUIS_DATOS!$C$1568-0.000001))),2)=1,IF(INT(($A143-1)/2)+1&gt;MAX(1,INT(((((CROQUIS_DATOS!$C$1484+CROQUIS_DATOS!$C$1485))-(CROQUIS_DATOS!$C$1484))+((CROQUIS_DATOS!$C$1476)*CROQUIS_DATOS!$C$1561-((CROQUIS_DATOS!$C$1486+CROQUIS_DATOS!$C$1487))*CROQUIS_DATOS!$C$1561))/CROQUIS_DATOS!$C$1568-0.000001)),1,MOD($A143-1,2)),1-IF(INT(($A143-1)/2)+1&gt;MAX(1,INT(((((CROQUIS_DATOS!$C$1484+CROQUIS_DATOS!$C$1485))-(CROQUIS_DATOS!$C$1484))+((CROQUIS_DATOS!$C$1476)*CROQUIS_DATOS!$C$1561-((CROQUIS_DATOS!$C$1486+CROQUIS_DATOS!$C$1487))*CROQUIS_DATOS!$C$1561))/CROQUIS_DATOS!$C$1568-0.000001)),1,MOD($A143-1,2)))=1,MIN((CROQUIS_DATOS!$C$1476)*CROQUIS_DATOS!$C$1561,((CROQUIS_DATOS!$C$1484+CROQUIS_DATOS!$C$1485)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143-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3">
        <f>IF(AND(CROQUIS_DATOS!$C$1472=1,CROQUIS_DATOS!$C$1478&gt;=3,((CROQUIS_DATOS!$C$1489+CROQUIS_DATOS!$C$1490))-(CROQUIS_DATOS!$C$1489)&gt;0.5,(CROQUIS_DATOS!$C$1491)-(0)&gt;0.5),(CROQUIS_DATOS!$C$1566+(IF(IF(MOD(MIN(INT(($A143-1)/2)+1,MAX(1,INT(((((CROQUIS_DATOS!$C$1489+CROQUIS_DATOS!$C$1490))-(CROQUIS_DATOS!$C$1489))+((CROQUIS_DATOS!$C$1491)*CROQUIS_DATOS!$C$1561-(0)*CROQUIS_DATOS!$C$1561))/CROQUIS_DATOS!$C$1568-0.000001))),2)=1,IF(INT(($A143-1)/2)+1&gt;MAX(1,INT(((((CROQUIS_DATOS!$C$1489+CROQUIS_DATOS!$C$1490))-(CROQUIS_DATOS!$C$1489))+((CROQUIS_DATOS!$C$1491)*CROQUIS_DATOS!$C$1561-(0)*CROQUIS_DATOS!$C$1561))/CROQUIS_DATOS!$C$1568-0.000001)),1,MOD($A143-1,2)),1-IF(INT(($A143-1)/2)+1&gt;MAX(1,INT(((((CROQUIS_DATOS!$C$1489+CROQUIS_DATOS!$C$1490))-(CROQUIS_DATOS!$C$1489))+((CROQUIS_DATOS!$C$1491)*CROQUIS_DATOS!$C$1561-(0)*CROQUIS_DATOS!$C$1561))/CROQUIS_DATOS!$C$1568-0.000001)),1,MOD($A143-1,2)))=1,MIN((CROQUIS_DATOS!$C$1491)*CROQUIS_DATOS!$C$1561,((CROQUIS_DATOS!$C$1489+CROQUIS_DATOS!$C$1490)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3">
        <f>IF(AND(CROQUIS_DATOS!$C$1472=1,CROQUIS_DATOS!$C$1478&gt;=3,((CROQUIS_DATOS!$C$1489+CROQUIS_DATOS!$C$1490))-(CROQUIS_DATOS!$C$1489)&gt;0.5,(CROQUIS_DATOS!$C$1491)-(0)&gt;0.5),(CROQUIS_DATOS!$C$1567+(IF(IF(MOD(MIN(INT(($A143-1)/2)+1,MAX(1,INT(((((CROQUIS_DATOS!$C$1489+CROQUIS_DATOS!$C$1490))-(CROQUIS_DATOS!$C$1489))+((CROQUIS_DATOS!$C$1491)*CROQUIS_DATOS!$C$1561-(0)*CROQUIS_DATOS!$C$1561))/CROQUIS_DATOS!$C$1568-0.000001))),2)=1,IF(INT(($A143-1)/2)+1&gt;MAX(1,INT(((((CROQUIS_DATOS!$C$1489+CROQUIS_DATOS!$C$1490))-(CROQUIS_DATOS!$C$1489))+((CROQUIS_DATOS!$C$1491)*CROQUIS_DATOS!$C$1561-(0)*CROQUIS_DATOS!$C$1561))/CROQUIS_DATOS!$C$1568-0.000001)),1,MOD($A143-1,2)),1-IF(INT(($A143-1)/2)+1&gt;MAX(1,INT(((((CROQUIS_DATOS!$C$1489+CROQUIS_DATOS!$C$1490))-(CROQUIS_DATOS!$C$1489))+((CROQUIS_DATOS!$C$1491)*CROQUIS_DATOS!$C$1561-(0)*CROQUIS_DATOS!$C$1561))/CROQUIS_DATOS!$C$1568-0.000001)),1,MOD($A143-1,2)))=1,MIN((CROQUIS_DATOS!$C$1491)*CROQUIS_DATOS!$C$1561,((CROQUIS_DATOS!$C$1489+CROQUIS_DATOS!$C$1490)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143-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3">
        <f>IF(AND(CROQUIS_DATOS!$C$1472=1,CROQUIS_DATOS!$C$1478&gt;=3,((CROQUIS_DATOS!$C$1489+CROQUIS_DATOS!$C$1490))-(CROQUIS_DATOS!$C$1489)&gt;0.5,(CROQUIS_DATOS!$C$1476)-((CROQUIS_DATOS!$C$1491+CROQUIS_DATOS!$C$1492))&gt;0.5),(CROQUIS_DATOS!$C$1566+(IF(IF(MOD(MIN(INT(($A143-1)/2)+1,MAX(1,INT(((((CROQUIS_DATOS!$C$1489+CROQUIS_DATOS!$C$1490))-(CROQUIS_DATOS!$C$1489))+((CROQUIS_DATOS!$C$1476)*CROQUIS_DATOS!$C$1561-((CROQUIS_DATOS!$C$1491+CROQUIS_DATOS!$C$1492))*CROQUIS_DATOS!$C$1561))/CROQUIS_DATOS!$C$1568-0.000001))),2)=1,IF(INT(($A143-1)/2)+1&gt;MAX(1,INT(((((CROQUIS_DATOS!$C$1489+CROQUIS_DATOS!$C$1490))-(CROQUIS_DATOS!$C$1489))+((CROQUIS_DATOS!$C$1476)*CROQUIS_DATOS!$C$1561-((CROQUIS_DATOS!$C$1491+CROQUIS_DATOS!$C$1492))*CROQUIS_DATOS!$C$1561))/CROQUIS_DATOS!$C$1568-0.000001)),1,MOD($A143-1,2)),1-IF(INT(($A143-1)/2)+1&gt;MAX(1,INT(((((CROQUIS_DATOS!$C$1489+CROQUIS_DATOS!$C$1490))-(CROQUIS_DATOS!$C$1489))+((CROQUIS_DATOS!$C$1476)*CROQUIS_DATOS!$C$1561-((CROQUIS_DATOS!$C$1491+CROQUIS_DATOS!$C$1492))*CROQUIS_DATOS!$C$1561))/CROQUIS_DATOS!$C$1568-0.000001)),1,MOD($A143-1,2)))=1,MIN((CROQUIS_DATOS!$C$1476)*CROQUIS_DATOS!$C$1561,((CROQUIS_DATOS!$C$1489+CROQUIS_DATOS!$C$1490)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3">
        <f>IF(AND(CROQUIS_DATOS!$C$1472=1,CROQUIS_DATOS!$C$1478&gt;=3,((CROQUIS_DATOS!$C$1489+CROQUIS_DATOS!$C$1490))-(CROQUIS_DATOS!$C$1489)&gt;0.5,(CROQUIS_DATOS!$C$1476)-((CROQUIS_DATOS!$C$1491+CROQUIS_DATOS!$C$1492))&gt;0.5),(CROQUIS_DATOS!$C$1567+(IF(IF(MOD(MIN(INT(($A143-1)/2)+1,MAX(1,INT(((((CROQUIS_DATOS!$C$1489+CROQUIS_DATOS!$C$1490))-(CROQUIS_DATOS!$C$1489))+((CROQUIS_DATOS!$C$1476)*CROQUIS_DATOS!$C$1561-((CROQUIS_DATOS!$C$1491+CROQUIS_DATOS!$C$1492))*CROQUIS_DATOS!$C$1561))/CROQUIS_DATOS!$C$1568-0.000001))),2)=1,IF(INT(($A143-1)/2)+1&gt;MAX(1,INT(((((CROQUIS_DATOS!$C$1489+CROQUIS_DATOS!$C$1490))-(CROQUIS_DATOS!$C$1489))+((CROQUIS_DATOS!$C$1476)*CROQUIS_DATOS!$C$1561-((CROQUIS_DATOS!$C$1491+CROQUIS_DATOS!$C$1492))*CROQUIS_DATOS!$C$1561))/CROQUIS_DATOS!$C$1568-0.000001)),1,MOD($A143-1,2)),1-IF(INT(($A143-1)/2)+1&gt;MAX(1,INT(((((CROQUIS_DATOS!$C$1489+CROQUIS_DATOS!$C$1490))-(CROQUIS_DATOS!$C$1489))+((CROQUIS_DATOS!$C$1476)*CROQUIS_DATOS!$C$1561-((CROQUIS_DATOS!$C$1491+CROQUIS_DATOS!$C$1492))*CROQUIS_DATOS!$C$1561))/CROQUIS_DATOS!$C$1568-0.000001)),1,MOD($A143-1,2)))=1,MIN((CROQUIS_DATOS!$C$1476)*CROQUIS_DATOS!$C$1561,((CROQUIS_DATOS!$C$1489+CROQUIS_DATOS!$C$1490)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143-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3">
        <f>IF(AND(CROQUIS_DATOS!$C$1472=1,CROQUIS_DATOS!$C$1478&gt;=4,((CROQUIS_DATOS!$C$1494+CROQUIS_DATOS!$C$1495))-(CROQUIS_DATOS!$C$1494)&gt;0.5,(CROQUIS_DATOS!$C$1496)-(0)&gt;0.5),(CROQUIS_DATOS!$C$1566+(IF(IF(MOD(MIN(INT(($A143-1)/2)+1,MAX(1,INT(((((CROQUIS_DATOS!$C$1494+CROQUIS_DATOS!$C$1495))-(CROQUIS_DATOS!$C$1494))+((CROQUIS_DATOS!$C$1496)*CROQUIS_DATOS!$C$1561-(0)*CROQUIS_DATOS!$C$1561))/CROQUIS_DATOS!$C$1568-0.000001))),2)=1,IF(INT(($A143-1)/2)+1&gt;MAX(1,INT(((((CROQUIS_DATOS!$C$1494+CROQUIS_DATOS!$C$1495))-(CROQUIS_DATOS!$C$1494))+((CROQUIS_DATOS!$C$1496)*CROQUIS_DATOS!$C$1561-(0)*CROQUIS_DATOS!$C$1561))/CROQUIS_DATOS!$C$1568-0.000001)),1,MOD($A143-1,2)),1-IF(INT(($A143-1)/2)+1&gt;MAX(1,INT(((((CROQUIS_DATOS!$C$1494+CROQUIS_DATOS!$C$1495))-(CROQUIS_DATOS!$C$1494))+((CROQUIS_DATOS!$C$1496)*CROQUIS_DATOS!$C$1561-(0)*CROQUIS_DATOS!$C$1561))/CROQUIS_DATOS!$C$1568-0.000001)),1,MOD($A143-1,2)))=1,MIN((CROQUIS_DATOS!$C$1496)*CROQUIS_DATOS!$C$1561,((CROQUIS_DATOS!$C$1494+CROQUIS_DATOS!$C$1495)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3">
        <f>IF(AND(CROQUIS_DATOS!$C$1472=1,CROQUIS_DATOS!$C$1478&gt;=4,((CROQUIS_DATOS!$C$1494+CROQUIS_DATOS!$C$1495))-(CROQUIS_DATOS!$C$1494)&gt;0.5,(CROQUIS_DATOS!$C$1496)-(0)&gt;0.5),(CROQUIS_DATOS!$C$1567+(IF(IF(MOD(MIN(INT(($A143-1)/2)+1,MAX(1,INT(((((CROQUIS_DATOS!$C$1494+CROQUIS_DATOS!$C$1495))-(CROQUIS_DATOS!$C$1494))+((CROQUIS_DATOS!$C$1496)*CROQUIS_DATOS!$C$1561-(0)*CROQUIS_DATOS!$C$1561))/CROQUIS_DATOS!$C$1568-0.000001))),2)=1,IF(INT(($A143-1)/2)+1&gt;MAX(1,INT(((((CROQUIS_DATOS!$C$1494+CROQUIS_DATOS!$C$1495))-(CROQUIS_DATOS!$C$1494))+((CROQUIS_DATOS!$C$1496)*CROQUIS_DATOS!$C$1561-(0)*CROQUIS_DATOS!$C$1561))/CROQUIS_DATOS!$C$1568-0.000001)),1,MOD($A143-1,2)),1-IF(INT(($A143-1)/2)+1&gt;MAX(1,INT(((((CROQUIS_DATOS!$C$1494+CROQUIS_DATOS!$C$1495))-(CROQUIS_DATOS!$C$1494))+((CROQUIS_DATOS!$C$1496)*CROQUIS_DATOS!$C$1561-(0)*CROQUIS_DATOS!$C$1561))/CROQUIS_DATOS!$C$1568-0.000001)),1,MOD($A143-1,2)))=1,MIN((CROQUIS_DATOS!$C$1496)*CROQUIS_DATOS!$C$1561,((CROQUIS_DATOS!$C$1494+CROQUIS_DATOS!$C$1495)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143-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3">
        <f>IF(AND(CROQUIS_DATOS!$C$1472=1,CROQUIS_DATOS!$C$1478&gt;=4,((CROQUIS_DATOS!$C$1494+CROQUIS_DATOS!$C$1495))-(CROQUIS_DATOS!$C$1494)&gt;0.5,(CROQUIS_DATOS!$C$1476)-((CROQUIS_DATOS!$C$1496+CROQUIS_DATOS!$C$1497))&gt;0.5),(CROQUIS_DATOS!$C$1566+(IF(IF(MOD(MIN(INT(($A143-1)/2)+1,MAX(1,INT(((((CROQUIS_DATOS!$C$1494+CROQUIS_DATOS!$C$1495))-(CROQUIS_DATOS!$C$1494))+((CROQUIS_DATOS!$C$1476)*CROQUIS_DATOS!$C$1561-((CROQUIS_DATOS!$C$1496+CROQUIS_DATOS!$C$1497))*CROQUIS_DATOS!$C$1561))/CROQUIS_DATOS!$C$1568-0.000001))),2)=1,IF(INT(($A143-1)/2)+1&gt;MAX(1,INT(((((CROQUIS_DATOS!$C$1494+CROQUIS_DATOS!$C$1495))-(CROQUIS_DATOS!$C$1494))+((CROQUIS_DATOS!$C$1476)*CROQUIS_DATOS!$C$1561-((CROQUIS_DATOS!$C$1496+CROQUIS_DATOS!$C$1497))*CROQUIS_DATOS!$C$1561))/CROQUIS_DATOS!$C$1568-0.000001)),1,MOD($A143-1,2)),1-IF(INT(($A143-1)/2)+1&gt;MAX(1,INT(((((CROQUIS_DATOS!$C$1494+CROQUIS_DATOS!$C$1495))-(CROQUIS_DATOS!$C$1494))+((CROQUIS_DATOS!$C$1476)*CROQUIS_DATOS!$C$1561-((CROQUIS_DATOS!$C$1496+CROQUIS_DATOS!$C$1497))*CROQUIS_DATOS!$C$1561))/CROQUIS_DATOS!$C$1568-0.000001)),1,MOD($A143-1,2)))=1,MIN((CROQUIS_DATOS!$C$1476)*CROQUIS_DATOS!$C$1561,((CROQUIS_DATOS!$C$1494+CROQUIS_DATOS!$C$1495)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3">
        <f>IF(AND(CROQUIS_DATOS!$C$1472=1,CROQUIS_DATOS!$C$1478&gt;=4,((CROQUIS_DATOS!$C$1494+CROQUIS_DATOS!$C$1495))-(CROQUIS_DATOS!$C$1494)&gt;0.5,(CROQUIS_DATOS!$C$1476)-((CROQUIS_DATOS!$C$1496+CROQUIS_DATOS!$C$1497))&gt;0.5),(CROQUIS_DATOS!$C$1567+(IF(IF(MOD(MIN(INT(($A143-1)/2)+1,MAX(1,INT(((((CROQUIS_DATOS!$C$1494+CROQUIS_DATOS!$C$1495))-(CROQUIS_DATOS!$C$1494))+((CROQUIS_DATOS!$C$1476)*CROQUIS_DATOS!$C$1561-((CROQUIS_DATOS!$C$1496+CROQUIS_DATOS!$C$1497))*CROQUIS_DATOS!$C$1561))/CROQUIS_DATOS!$C$1568-0.000001))),2)=1,IF(INT(($A143-1)/2)+1&gt;MAX(1,INT(((((CROQUIS_DATOS!$C$1494+CROQUIS_DATOS!$C$1495))-(CROQUIS_DATOS!$C$1494))+((CROQUIS_DATOS!$C$1476)*CROQUIS_DATOS!$C$1561-((CROQUIS_DATOS!$C$1496+CROQUIS_DATOS!$C$1497))*CROQUIS_DATOS!$C$1561))/CROQUIS_DATOS!$C$1568-0.000001)),1,MOD($A143-1,2)),1-IF(INT(($A143-1)/2)+1&gt;MAX(1,INT(((((CROQUIS_DATOS!$C$1494+CROQUIS_DATOS!$C$1495))-(CROQUIS_DATOS!$C$1494))+((CROQUIS_DATOS!$C$1476)*CROQUIS_DATOS!$C$1561-((CROQUIS_DATOS!$C$1496+CROQUIS_DATOS!$C$1497))*CROQUIS_DATOS!$C$1561))/CROQUIS_DATOS!$C$1568-0.000001)),1,MOD($A143-1,2)))=1,MIN((CROQUIS_DATOS!$C$1476)*CROQUIS_DATOS!$C$1561,((CROQUIS_DATOS!$C$1494+CROQUIS_DATOS!$C$1495)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143-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4">
      <c r="A144" t="n">
        <v>137</v>
      </c>
      <c r="N144">
        <f>IF(AND(CROQUIS_DATOS!$C$1472=1,1),(CROQUIS_DATOS!$C$1563+(IF(IF(IF(INT(($A144-1)/70)+1&gt;CROQUIS_DATOS!$C$1525,70,MOD($A144-1,70)+1)=1,0,IF(IF(INT(($A144-1)/70)+1&gt;CROQUIS_DATOS!$C$1525,70,MOD($A144-1,70)+1)&gt;2*CROQUIS_DATOS!$C$1541+1,IF(MOD(CROQUIS_DATOS!$C$1541,2)=1,1,0),IF(MOD(MIN(INT((IF(INT(($A144-1)/70)+1&gt;CROQUIS_DATOS!$C$1525,70,MOD($A144-1,70)+1)-2)/2)+1,CROQUIS_DATOS!$C$1541),2)=1,IF(MOD(IF(INT(($A144-1)/70)+1&gt;CROQUIS_DATOS!$C$1525,70,MOD($A144-1,70)+1)-2,2)=0,0,1),IF(MOD(IF(INT(($A144-1)/70)+1&gt;CROQUIS_DATOS!$C$1525,70,MOD($A144-1,70)+1)-2,2)=0,1,0))))=0,(INDEX($E$8:$E$23,MIN(INT(($A144-1)/70)+1,CROQUIS_DATOS!$C$1525))-INDEX($F$8:$F$23,MIN(INT(($A144-1)/70)+1,CROQUIS_DATOS!$C$1525))/2),(INDEX($E$8:$E$23,MIN(INT(($A144-1)/70)+1,CROQUIS_DATOS!$C$1525))+INDEX($F$8:$F$23,MIN(INT(($A144-1)/70)+1,CROQUIS_DATOS!$C$1525))/2)))*CROQUIS_DATOS!$C$1562),-1000)</f>
        <v>18.5775862068965</v>
      </c>
      <c r="O144">
        <f>IF(AND(CROQUIS_DATOS!$C$1472=1,1),(CROQUIS_DATOS!$C$1564+(IF(OR(IF(INT(($A144-1)/70)+1&gt;CROQUIS_DATOS!$C$1525,70,MOD($A144-1,70)+1)=1,IF(INT(($A144-1)/70)+1&gt;CROQUIS_DATOS!$C$1525,70,MOD($A144-1,70)+1)&gt;2*CROQUIS_DATOS!$C$1541+1),CROQUIS_DATOS!$C$1476,INDEX($H$8:$H$41,MIN(INT((IF(INT(($A144-1)/70)+1&gt;CROQUIS_DATOS!$C$1525,70,MOD($A144-1,70)+1)-2)/2)+1,CROQUIS_DATOS!$C$1541))))*CROQUIS_DATOS!$C$1561*CROQUIS_DATOS!$C$1562),-1000)</f>
        <v>40.2068965517241</v>
      </c>
      <c r="P144">
        <f>IF(AND(CROQUIS_DATOS!$C$1472=1,CROQUIS_DATOS!$C$1555=1),(CROQUIS_DATOS!$C$1563+(IF(IF(OR(MOD($A144-1,62)+1=1,IF(CHOOSE(MIN(MAX(MIN(INT(($A144-1)/62)+1,5),1),5),CROQUIS_DATOS!$C$1501,CROQUIS_DATOS!$C$1505,CROQUIS_DATOS!$C$1509,CROQUIS_DATOS!$C$1513,CROQUIS_DATOS!$C$1517)=1,CROQUIS_DATOS!$C$1557,0)=0),0,IF(MOD($A144-1,62)+1&gt;2*IF(CHOOSE(MIN(MAX(MIN(INT(($A144-1)/62)+1,5),1),5),CROQUIS_DATOS!$C$1501,CROQUIS_DATOS!$C$1505,CROQUIS_DATOS!$C$1509,CROQUIS_DATOS!$C$1513,CROQUIS_DATOS!$C$1517)=1,CROQUIS_DATOS!$C$1557,0)+1,IF(MOD(IF(CHOOSE(MIN(MAX(MIN(INT(($A144-1)/62)+1,5),1),5),CROQUIS_DATOS!$C$1501,CROQUIS_DATOS!$C$1505,CROQUIS_DATOS!$C$1509,CROQUIS_DATOS!$C$1513,CROQUIS_DATOS!$C$1517)=1,CROQUIS_DATOS!$C$1557,0),2)=1,1,0),IF(MOD(MIN(INT((MOD($A144-1,62)+1-2)/2)+1,MAX(IF(CHOOSE(MIN(MAX(MIN(INT(($A144-1)/62)+1,5),1),5),CROQUIS_DATOS!$C$1501,CROQUIS_DATOS!$C$1505,CROQUIS_DATOS!$C$1509,CROQUIS_DATOS!$C$1513,CROQUIS_DATOS!$C$1517)=1,CROQUIS_DATOS!$C$1557,0),1)),2)=1,IF(MOD(MOD($A144-1,62)+1-2,2)=0,0,1),IF(MOD(MOD($A144-1,62)+1-2,2)=0,1,0))))=0,(CHOOSE(MIN(MAX(MIN(INT(($A144-1)/62)+1,5),1),5),CROQUIS_DATOS!$C$1499,CROQUIS_DATOS!$C$1503,CROQUIS_DATOS!$C$1507,CROQUIS_DATOS!$C$1511,CROQUIS_DATOS!$C$1515)+IF(CHOOSE(MIN(MAX(MIN(INT(($A144-1)/62)+1,5),1),5),CROQUIS_DATOS!$C$1501,CROQUIS_DATOS!$C$1505,CROQUIS_DATOS!$C$1509,CROQUIS_DATOS!$C$1513,CROQUIS_DATOS!$C$1517)=1,CROQUIS_DATOS!$C$1526,0)),(CHOOSE(MIN(MAX(MIN(INT(($A144-1)/62)+1,5),1),5),CROQUIS_DATOS!$C$1499,CROQUIS_DATOS!$C$1503,CROQUIS_DATOS!$C$1507,CROQUIS_DATOS!$C$1511,CROQUIS_DATOS!$C$1515)+CHOOSE(MIN(MAX(MIN(INT(($A144-1)/62)+1,5),1),5),CROQUIS_DATOS!$C$1500,CROQUIS_DATOS!$C$1504,CROQUIS_DATOS!$C$1508,CROQUIS_DATOS!$C$1512,CROQUIS_DATOS!$C$1516)-IF(CHOOSE(MIN(MAX(MIN(INT(($A144-1)/62)+1,5),1),5),CROQUIS_DATOS!$C$1501,CROQUIS_DATOS!$C$1505,CROQUIS_DATOS!$C$1509,CROQUIS_DATOS!$C$1513,CROQUIS_DATOS!$C$1517)=1,CROQUIS_DATOS!$C$1526,0))))*CROQUIS_DATOS!$C$1562),-1000)</f>
        <v>-1000</v>
      </c>
      <c r="Q144">
        <f>IF(AND(CROQUIS_DATOS!$C$1472=1,CROQUIS_DATOS!$C$1555=1),(CROQUIS_DATOS!$C$1564+(IF(OR(OR(MOD($A144-1,62)+1=1,IF(CHOOSE(MIN(MAX(MIN(INT(($A144-1)/62)+1,5),1),5),CROQUIS_DATOS!$C$1501,CROQUIS_DATOS!$C$1505,CROQUIS_DATOS!$C$1509,CROQUIS_DATOS!$C$1513,CROQUIS_DATOS!$C$1517)=1,CROQUIS_DATOS!$C$1557,0)=0),MOD($A144-1,62)+1&gt;2*IF(CHOOSE(MIN(MAX(MIN(INT(($A144-1)/62)+1,5),1),5),CROQUIS_DATOS!$C$1501,CROQUIS_DATOS!$C$1505,CROQUIS_DATOS!$C$1509,CROQUIS_DATOS!$C$1513,CROQUIS_DATOS!$C$1517)=1,CROQUIS_DATOS!$C$1557,0)+1),CROQUIS_DATOS!$C$1476,MIN(INT((MOD($A144-1,62)+1-2)/2)+1,MAX(IF(CHOOSE(MIN(MAX(MIN(INT(($A144-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4">
        <f>IF(AND(CROQUIS_DATOS!$C$1472=1,1),(CROQUIS_DATOS!$C$1563+(MIN(INT(($A144-1)/2)+1,CROQUIS_DATOS!$C$1558)*CROQUIS_DATOS!$C$1559)*CROQUIS_DATOS!$C$1562),-1000)</f>
        <v>82.2281167108753</v>
      </c>
      <c r="U144">
        <f>IF(AND(CROQUIS_DATOS!$C$1472=1,1),(CROQUIS_DATOS!$C$1564+(IF(INT(($A144-1)/2)+1&gt;CROQUIS_DATOS!$C$1558,IF(MOD(CROQUIS_DATOS!$C$1558,2)=1,CROQUIS_DATOS!$C$1476+CROQUIS_DATOS!$C$1528,CROQUIS_DATOS!$C$1476),IF(IF(MOD(MIN(INT(($A144-1)/2)+1,CROQUIS_DATOS!$C$1558),2)=1,MOD($A144-1,2),1-MOD($A144-1,2))=1,CROQUIS_DATOS!$C$1476+CROQUIS_DATOS!$C$1528,CROQUIS_DATOS!$C$1476)))*CROQUIS_DATOS!$C$1561*CROQUIS_DATOS!$C$1562),-1000)</f>
        <v>43</v>
      </c>
      <c r="BZ144">
        <f>IF(AND(CROQUIS_DATOS!$C$1472=1,CROQUIS_DATOS!$C$1500&gt;0,((CROQUIS_DATOS!$C$1499+CROQUIS_DATOS!$C$1500))-(CROQUIS_DATOS!$C$1499)&gt;0.5,(CROQUIS_DATOS!$C$1476)-(0)&gt;0.5),(CROQUIS_DATOS!$C$1566+(IF(IF(MOD(MIN(INT(($A144-1)/2)+1,MAX(1,INT(((((CROQUIS_DATOS!$C$1499+CROQUIS_DATOS!$C$1500))-(CROQUIS_DATOS!$C$1499))+((CROQUIS_DATOS!$C$1476)*CROQUIS_DATOS!$C$1561-(0)*CROQUIS_DATOS!$C$1561))/CROQUIS_DATOS!$C$1568-0.000001))),2)=1,IF(INT(($A144-1)/2)+1&gt;MAX(1,INT(((((CROQUIS_DATOS!$C$1499+CROQUIS_DATOS!$C$1500))-(CROQUIS_DATOS!$C$1499))+((CROQUIS_DATOS!$C$1476)*CROQUIS_DATOS!$C$1561-(0)*CROQUIS_DATOS!$C$1561))/CROQUIS_DATOS!$C$1568-0.000001)),1,MOD($A144-1,2)),1-IF(INT(($A144-1)/2)+1&gt;MAX(1,INT(((((CROQUIS_DATOS!$C$1499+CROQUIS_DATOS!$C$1500))-(CROQUIS_DATOS!$C$1499))+((CROQUIS_DATOS!$C$1476)*CROQUIS_DATOS!$C$1561-(0)*CROQUIS_DATOS!$C$1561))/CROQUIS_DATOS!$C$1568-0.000001)),1,MOD($A144-1,2)))=1,MIN((CROQUIS_DATOS!$C$1476)*CROQUIS_DATOS!$C$1561,((CROQUIS_DATOS!$C$1499+CROQUIS_DATOS!$C$1500)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4">
        <f>IF(AND(CROQUIS_DATOS!$C$1472=1,CROQUIS_DATOS!$C$1500&gt;0,((CROQUIS_DATOS!$C$1499+CROQUIS_DATOS!$C$1500))-(CROQUIS_DATOS!$C$1499)&gt;0.5,(CROQUIS_DATOS!$C$1476)-(0)&gt;0.5),(CROQUIS_DATOS!$C$1567+(IF(IF(MOD(MIN(INT(($A144-1)/2)+1,MAX(1,INT(((((CROQUIS_DATOS!$C$1499+CROQUIS_DATOS!$C$1500))-(CROQUIS_DATOS!$C$1499))+((CROQUIS_DATOS!$C$1476)*CROQUIS_DATOS!$C$1561-(0)*CROQUIS_DATOS!$C$1561))/CROQUIS_DATOS!$C$1568-0.000001))),2)=1,IF(INT(($A144-1)/2)+1&gt;MAX(1,INT(((((CROQUIS_DATOS!$C$1499+CROQUIS_DATOS!$C$1500))-(CROQUIS_DATOS!$C$1499))+((CROQUIS_DATOS!$C$1476)*CROQUIS_DATOS!$C$1561-(0)*CROQUIS_DATOS!$C$1561))/CROQUIS_DATOS!$C$1568-0.000001)),1,MOD($A144-1,2)),1-IF(INT(($A144-1)/2)+1&gt;MAX(1,INT(((((CROQUIS_DATOS!$C$1499+CROQUIS_DATOS!$C$1500))-(CROQUIS_DATOS!$C$1499))+((CROQUIS_DATOS!$C$1476)*CROQUIS_DATOS!$C$1561-(0)*CROQUIS_DATOS!$C$1561))/CROQUIS_DATOS!$C$1568-0.000001)),1,MOD($A144-1,2)))=1,MIN((CROQUIS_DATOS!$C$1476)*CROQUIS_DATOS!$C$1561,((CROQUIS_DATOS!$C$1499+CROQUIS_DATOS!$C$1500)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144-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4">
        <f>IF(AND(CROQUIS_DATOS!$C$1472=1,CROQUIS_DATOS!$C$1504&gt;0,((CROQUIS_DATOS!$C$1503+CROQUIS_DATOS!$C$1504))-(CROQUIS_DATOS!$C$1503)&gt;0.5,(CROQUIS_DATOS!$C$1476)-(0)&gt;0.5),(CROQUIS_DATOS!$C$1566+(IF(IF(MOD(MIN(INT(($A144-1)/2)+1,MAX(1,INT(((((CROQUIS_DATOS!$C$1503+CROQUIS_DATOS!$C$1504))-(CROQUIS_DATOS!$C$1503))+((CROQUIS_DATOS!$C$1476)*CROQUIS_DATOS!$C$1561-(0)*CROQUIS_DATOS!$C$1561))/CROQUIS_DATOS!$C$1568-0.000001))),2)=1,IF(INT(($A144-1)/2)+1&gt;MAX(1,INT(((((CROQUIS_DATOS!$C$1503+CROQUIS_DATOS!$C$1504))-(CROQUIS_DATOS!$C$1503))+((CROQUIS_DATOS!$C$1476)*CROQUIS_DATOS!$C$1561-(0)*CROQUIS_DATOS!$C$1561))/CROQUIS_DATOS!$C$1568-0.000001)),1,MOD($A144-1,2)),1-IF(INT(($A144-1)/2)+1&gt;MAX(1,INT(((((CROQUIS_DATOS!$C$1503+CROQUIS_DATOS!$C$1504))-(CROQUIS_DATOS!$C$1503))+((CROQUIS_DATOS!$C$1476)*CROQUIS_DATOS!$C$1561-(0)*CROQUIS_DATOS!$C$1561))/CROQUIS_DATOS!$C$1568-0.000001)),1,MOD($A144-1,2)))=1,MIN((CROQUIS_DATOS!$C$1476)*CROQUIS_DATOS!$C$1561,((CROQUIS_DATOS!$C$1503+CROQUIS_DATOS!$C$1504)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4">
        <f>IF(AND(CROQUIS_DATOS!$C$1472=1,CROQUIS_DATOS!$C$1504&gt;0,((CROQUIS_DATOS!$C$1503+CROQUIS_DATOS!$C$1504))-(CROQUIS_DATOS!$C$1503)&gt;0.5,(CROQUIS_DATOS!$C$1476)-(0)&gt;0.5),(CROQUIS_DATOS!$C$1567+(IF(IF(MOD(MIN(INT(($A144-1)/2)+1,MAX(1,INT(((((CROQUIS_DATOS!$C$1503+CROQUIS_DATOS!$C$1504))-(CROQUIS_DATOS!$C$1503))+((CROQUIS_DATOS!$C$1476)*CROQUIS_DATOS!$C$1561-(0)*CROQUIS_DATOS!$C$1561))/CROQUIS_DATOS!$C$1568-0.000001))),2)=1,IF(INT(($A144-1)/2)+1&gt;MAX(1,INT(((((CROQUIS_DATOS!$C$1503+CROQUIS_DATOS!$C$1504))-(CROQUIS_DATOS!$C$1503))+((CROQUIS_DATOS!$C$1476)*CROQUIS_DATOS!$C$1561-(0)*CROQUIS_DATOS!$C$1561))/CROQUIS_DATOS!$C$1568-0.000001)),1,MOD($A144-1,2)),1-IF(INT(($A144-1)/2)+1&gt;MAX(1,INT(((((CROQUIS_DATOS!$C$1503+CROQUIS_DATOS!$C$1504))-(CROQUIS_DATOS!$C$1503))+((CROQUIS_DATOS!$C$1476)*CROQUIS_DATOS!$C$1561-(0)*CROQUIS_DATOS!$C$1561))/CROQUIS_DATOS!$C$1568-0.000001)),1,MOD($A144-1,2)))=1,MIN((CROQUIS_DATOS!$C$1476)*CROQUIS_DATOS!$C$1561,((CROQUIS_DATOS!$C$1503+CROQUIS_DATOS!$C$1504)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144-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4">
        <f>IF(AND(CROQUIS_DATOS!$C$1472=1,CROQUIS_DATOS!$C$1508&gt;0,((CROQUIS_DATOS!$C$1507+CROQUIS_DATOS!$C$1508))-(CROQUIS_DATOS!$C$1507)&gt;0.5,(CROQUIS_DATOS!$C$1476)-(0)&gt;0.5),(CROQUIS_DATOS!$C$1566+(IF(IF(MOD(MIN(INT(($A144-1)/2)+1,MAX(1,INT(((((CROQUIS_DATOS!$C$1507+CROQUIS_DATOS!$C$1508))-(CROQUIS_DATOS!$C$1507))+((CROQUIS_DATOS!$C$1476)*CROQUIS_DATOS!$C$1561-(0)*CROQUIS_DATOS!$C$1561))/CROQUIS_DATOS!$C$1568-0.000001))),2)=1,IF(INT(($A144-1)/2)+1&gt;MAX(1,INT(((((CROQUIS_DATOS!$C$1507+CROQUIS_DATOS!$C$1508))-(CROQUIS_DATOS!$C$1507))+((CROQUIS_DATOS!$C$1476)*CROQUIS_DATOS!$C$1561-(0)*CROQUIS_DATOS!$C$1561))/CROQUIS_DATOS!$C$1568-0.000001)),1,MOD($A144-1,2)),1-IF(INT(($A144-1)/2)+1&gt;MAX(1,INT(((((CROQUIS_DATOS!$C$1507+CROQUIS_DATOS!$C$1508))-(CROQUIS_DATOS!$C$1507))+((CROQUIS_DATOS!$C$1476)*CROQUIS_DATOS!$C$1561-(0)*CROQUIS_DATOS!$C$1561))/CROQUIS_DATOS!$C$1568-0.000001)),1,MOD($A144-1,2)))=1,MIN((CROQUIS_DATOS!$C$1476)*CROQUIS_DATOS!$C$1561,((CROQUIS_DATOS!$C$1507+CROQUIS_DATOS!$C$1508)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4">
        <f>IF(AND(CROQUIS_DATOS!$C$1472=1,CROQUIS_DATOS!$C$1508&gt;0,((CROQUIS_DATOS!$C$1507+CROQUIS_DATOS!$C$1508))-(CROQUIS_DATOS!$C$1507)&gt;0.5,(CROQUIS_DATOS!$C$1476)-(0)&gt;0.5),(CROQUIS_DATOS!$C$1567+(IF(IF(MOD(MIN(INT(($A144-1)/2)+1,MAX(1,INT(((((CROQUIS_DATOS!$C$1507+CROQUIS_DATOS!$C$1508))-(CROQUIS_DATOS!$C$1507))+((CROQUIS_DATOS!$C$1476)*CROQUIS_DATOS!$C$1561-(0)*CROQUIS_DATOS!$C$1561))/CROQUIS_DATOS!$C$1568-0.000001))),2)=1,IF(INT(($A144-1)/2)+1&gt;MAX(1,INT(((((CROQUIS_DATOS!$C$1507+CROQUIS_DATOS!$C$1508))-(CROQUIS_DATOS!$C$1507))+((CROQUIS_DATOS!$C$1476)*CROQUIS_DATOS!$C$1561-(0)*CROQUIS_DATOS!$C$1561))/CROQUIS_DATOS!$C$1568-0.000001)),1,MOD($A144-1,2)),1-IF(INT(($A144-1)/2)+1&gt;MAX(1,INT(((((CROQUIS_DATOS!$C$1507+CROQUIS_DATOS!$C$1508))-(CROQUIS_DATOS!$C$1507))+((CROQUIS_DATOS!$C$1476)*CROQUIS_DATOS!$C$1561-(0)*CROQUIS_DATOS!$C$1561))/CROQUIS_DATOS!$C$1568-0.000001)),1,MOD($A144-1,2)))=1,MIN((CROQUIS_DATOS!$C$1476)*CROQUIS_DATOS!$C$1561,((CROQUIS_DATOS!$C$1507+CROQUIS_DATOS!$C$1508)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144-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4">
        <f>IF(AND(CROQUIS_DATOS!$C$1472=1,CROQUIS_DATOS!$C$1512&gt;0,((CROQUIS_DATOS!$C$1511+CROQUIS_DATOS!$C$1512))-(CROQUIS_DATOS!$C$1511)&gt;0.5,(CROQUIS_DATOS!$C$1476)-(0)&gt;0.5),(CROQUIS_DATOS!$C$1566+(IF(IF(MOD(MIN(INT(($A144-1)/2)+1,MAX(1,INT(((((CROQUIS_DATOS!$C$1511+CROQUIS_DATOS!$C$1512))-(CROQUIS_DATOS!$C$1511))+((CROQUIS_DATOS!$C$1476)*CROQUIS_DATOS!$C$1561-(0)*CROQUIS_DATOS!$C$1561))/CROQUIS_DATOS!$C$1568-0.000001))),2)=1,IF(INT(($A144-1)/2)+1&gt;MAX(1,INT(((((CROQUIS_DATOS!$C$1511+CROQUIS_DATOS!$C$1512))-(CROQUIS_DATOS!$C$1511))+((CROQUIS_DATOS!$C$1476)*CROQUIS_DATOS!$C$1561-(0)*CROQUIS_DATOS!$C$1561))/CROQUIS_DATOS!$C$1568-0.000001)),1,MOD($A144-1,2)),1-IF(INT(($A144-1)/2)+1&gt;MAX(1,INT(((((CROQUIS_DATOS!$C$1511+CROQUIS_DATOS!$C$1512))-(CROQUIS_DATOS!$C$1511))+((CROQUIS_DATOS!$C$1476)*CROQUIS_DATOS!$C$1561-(0)*CROQUIS_DATOS!$C$1561))/CROQUIS_DATOS!$C$1568-0.000001)),1,MOD($A144-1,2)))=1,MIN((CROQUIS_DATOS!$C$1476)*CROQUIS_DATOS!$C$1561,((CROQUIS_DATOS!$C$1511+CROQUIS_DATOS!$C$1512)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4">
        <f>IF(AND(CROQUIS_DATOS!$C$1472=1,CROQUIS_DATOS!$C$1512&gt;0,((CROQUIS_DATOS!$C$1511+CROQUIS_DATOS!$C$1512))-(CROQUIS_DATOS!$C$1511)&gt;0.5,(CROQUIS_DATOS!$C$1476)-(0)&gt;0.5),(CROQUIS_DATOS!$C$1567+(IF(IF(MOD(MIN(INT(($A144-1)/2)+1,MAX(1,INT(((((CROQUIS_DATOS!$C$1511+CROQUIS_DATOS!$C$1512))-(CROQUIS_DATOS!$C$1511))+((CROQUIS_DATOS!$C$1476)*CROQUIS_DATOS!$C$1561-(0)*CROQUIS_DATOS!$C$1561))/CROQUIS_DATOS!$C$1568-0.000001))),2)=1,IF(INT(($A144-1)/2)+1&gt;MAX(1,INT(((((CROQUIS_DATOS!$C$1511+CROQUIS_DATOS!$C$1512))-(CROQUIS_DATOS!$C$1511))+((CROQUIS_DATOS!$C$1476)*CROQUIS_DATOS!$C$1561-(0)*CROQUIS_DATOS!$C$1561))/CROQUIS_DATOS!$C$1568-0.000001)),1,MOD($A144-1,2)),1-IF(INT(($A144-1)/2)+1&gt;MAX(1,INT(((((CROQUIS_DATOS!$C$1511+CROQUIS_DATOS!$C$1512))-(CROQUIS_DATOS!$C$1511))+((CROQUIS_DATOS!$C$1476)*CROQUIS_DATOS!$C$1561-(0)*CROQUIS_DATOS!$C$1561))/CROQUIS_DATOS!$C$1568-0.000001)),1,MOD($A144-1,2)))=1,MIN((CROQUIS_DATOS!$C$1476)*CROQUIS_DATOS!$C$1561,((CROQUIS_DATOS!$C$1511+CROQUIS_DATOS!$C$1512)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144-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4">
        <f>IF(AND(CROQUIS_DATOS!$C$1472=1,CROQUIS_DATOS!$C$1516&gt;0,((CROQUIS_DATOS!$C$1515+CROQUIS_DATOS!$C$1516))-(CROQUIS_DATOS!$C$1515)&gt;0.5,(CROQUIS_DATOS!$C$1476)-(0)&gt;0.5),(CROQUIS_DATOS!$C$1566+(IF(IF(MOD(MIN(INT(($A144-1)/2)+1,MAX(1,INT(((((CROQUIS_DATOS!$C$1515+CROQUIS_DATOS!$C$1516))-(CROQUIS_DATOS!$C$1515))+((CROQUIS_DATOS!$C$1476)*CROQUIS_DATOS!$C$1561-(0)*CROQUIS_DATOS!$C$1561))/CROQUIS_DATOS!$C$1568-0.000001))),2)=1,IF(INT(($A144-1)/2)+1&gt;MAX(1,INT(((((CROQUIS_DATOS!$C$1515+CROQUIS_DATOS!$C$1516))-(CROQUIS_DATOS!$C$1515))+((CROQUIS_DATOS!$C$1476)*CROQUIS_DATOS!$C$1561-(0)*CROQUIS_DATOS!$C$1561))/CROQUIS_DATOS!$C$1568-0.000001)),1,MOD($A144-1,2)),1-IF(INT(($A144-1)/2)+1&gt;MAX(1,INT(((((CROQUIS_DATOS!$C$1515+CROQUIS_DATOS!$C$1516))-(CROQUIS_DATOS!$C$1515))+((CROQUIS_DATOS!$C$1476)*CROQUIS_DATOS!$C$1561-(0)*CROQUIS_DATOS!$C$1561))/CROQUIS_DATOS!$C$1568-0.000001)),1,MOD($A144-1,2)))=1,MIN((CROQUIS_DATOS!$C$1476)*CROQUIS_DATOS!$C$1561,((CROQUIS_DATOS!$C$1515+CROQUIS_DATOS!$C$1516)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4">
        <f>IF(AND(CROQUIS_DATOS!$C$1472=1,CROQUIS_DATOS!$C$1516&gt;0,((CROQUIS_DATOS!$C$1515+CROQUIS_DATOS!$C$1516))-(CROQUIS_DATOS!$C$1515)&gt;0.5,(CROQUIS_DATOS!$C$1476)-(0)&gt;0.5),(CROQUIS_DATOS!$C$1567+(IF(IF(MOD(MIN(INT(($A144-1)/2)+1,MAX(1,INT(((((CROQUIS_DATOS!$C$1515+CROQUIS_DATOS!$C$1516))-(CROQUIS_DATOS!$C$1515))+((CROQUIS_DATOS!$C$1476)*CROQUIS_DATOS!$C$1561-(0)*CROQUIS_DATOS!$C$1561))/CROQUIS_DATOS!$C$1568-0.000001))),2)=1,IF(INT(($A144-1)/2)+1&gt;MAX(1,INT(((((CROQUIS_DATOS!$C$1515+CROQUIS_DATOS!$C$1516))-(CROQUIS_DATOS!$C$1515))+((CROQUIS_DATOS!$C$1476)*CROQUIS_DATOS!$C$1561-(0)*CROQUIS_DATOS!$C$1561))/CROQUIS_DATOS!$C$1568-0.000001)),1,MOD($A144-1,2)),1-IF(INT(($A144-1)/2)+1&gt;MAX(1,INT(((((CROQUIS_DATOS!$C$1515+CROQUIS_DATOS!$C$1516))-(CROQUIS_DATOS!$C$1515))+((CROQUIS_DATOS!$C$1476)*CROQUIS_DATOS!$C$1561-(0)*CROQUIS_DATOS!$C$1561))/CROQUIS_DATOS!$C$1568-0.000001)),1,MOD($A144-1,2)))=1,MIN((CROQUIS_DATOS!$C$1476)*CROQUIS_DATOS!$C$1561,((CROQUIS_DATOS!$C$1515+CROQUIS_DATOS!$C$1516)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144-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4">
        <f>IF(AND(CROQUIS_DATOS!$C$1472=1,CROQUIS_DATOS!$C$1478&gt;=1,((CROQUIS_DATOS!$C$1479+CROQUIS_DATOS!$C$1480))-(CROQUIS_DATOS!$C$1479)&gt;0.5,(CROQUIS_DATOS!$C$1481)-(0)&gt;0.5),(CROQUIS_DATOS!$C$1566+(IF(IF(MOD(MIN(INT(($A144-1)/2)+1,MAX(1,INT(((((CROQUIS_DATOS!$C$1479+CROQUIS_DATOS!$C$1480))-(CROQUIS_DATOS!$C$1479))+((CROQUIS_DATOS!$C$1481)*CROQUIS_DATOS!$C$1561-(0)*CROQUIS_DATOS!$C$1561))/CROQUIS_DATOS!$C$1568-0.000001))),2)=1,IF(INT(($A144-1)/2)+1&gt;MAX(1,INT(((((CROQUIS_DATOS!$C$1479+CROQUIS_DATOS!$C$1480))-(CROQUIS_DATOS!$C$1479))+((CROQUIS_DATOS!$C$1481)*CROQUIS_DATOS!$C$1561-(0)*CROQUIS_DATOS!$C$1561))/CROQUIS_DATOS!$C$1568-0.000001)),1,MOD($A144-1,2)),1-IF(INT(($A144-1)/2)+1&gt;MAX(1,INT(((((CROQUIS_DATOS!$C$1479+CROQUIS_DATOS!$C$1480))-(CROQUIS_DATOS!$C$1479))+((CROQUIS_DATOS!$C$1481)*CROQUIS_DATOS!$C$1561-(0)*CROQUIS_DATOS!$C$1561))/CROQUIS_DATOS!$C$1568-0.000001)),1,MOD($A144-1,2)))=1,MIN((CROQUIS_DATOS!$C$1481)*CROQUIS_DATOS!$C$1561,((CROQUIS_DATOS!$C$1479+CROQUIS_DATOS!$C$1480)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4">
        <f>IF(AND(CROQUIS_DATOS!$C$1472=1,CROQUIS_DATOS!$C$1478&gt;=1,((CROQUIS_DATOS!$C$1479+CROQUIS_DATOS!$C$1480))-(CROQUIS_DATOS!$C$1479)&gt;0.5,(CROQUIS_DATOS!$C$1481)-(0)&gt;0.5),(CROQUIS_DATOS!$C$1567+(IF(IF(MOD(MIN(INT(($A144-1)/2)+1,MAX(1,INT(((((CROQUIS_DATOS!$C$1479+CROQUIS_DATOS!$C$1480))-(CROQUIS_DATOS!$C$1479))+((CROQUIS_DATOS!$C$1481)*CROQUIS_DATOS!$C$1561-(0)*CROQUIS_DATOS!$C$1561))/CROQUIS_DATOS!$C$1568-0.000001))),2)=1,IF(INT(($A144-1)/2)+1&gt;MAX(1,INT(((((CROQUIS_DATOS!$C$1479+CROQUIS_DATOS!$C$1480))-(CROQUIS_DATOS!$C$1479))+((CROQUIS_DATOS!$C$1481)*CROQUIS_DATOS!$C$1561-(0)*CROQUIS_DATOS!$C$1561))/CROQUIS_DATOS!$C$1568-0.000001)),1,MOD($A144-1,2)),1-IF(INT(($A144-1)/2)+1&gt;MAX(1,INT(((((CROQUIS_DATOS!$C$1479+CROQUIS_DATOS!$C$1480))-(CROQUIS_DATOS!$C$1479))+((CROQUIS_DATOS!$C$1481)*CROQUIS_DATOS!$C$1561-(0)*CROQUIS_DATOS!$C$1561))/CROQUIS_DATOS!$C$1568-0.000001)),1,MOD($A144-1,2)))=1,MIN((CROQUIS_DATOS!$C$1481)*CROQUIS_DATOS!$C$1561,((CROQUIS_DATOS!$C$1479+CROQUIS_DATOS!$C$1480)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144-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4">
        <f>IF(AND(CROQUIS_DATOS!$C$1472=1,CROQUIS_DATOS!$C$1478&gt;=1,((CROQUIS_DATOS!$C$1479+CROQUIS_DATOS!$C$1480))-(CROQUIS_DATOS!$C$1479)&gt;0.5,(CROQUIS_DATOS!$C$1476)-((CROQUIS_DATOS!$C$1481+CROQUIS_DATOS!$C$1482))&gt;0.5),(CROQUIS_DATOS!$C$1566+(IF(IF(MOD(MIN(INT(($A144-1)/2)+1,MAX(1,INT(((((CROQUIS_DATOS!$C$1479+CROQUIS_DATOS!$C$1480))-(CROQUIS_DATOS!$C$1479))+((CROQUIS_DATOS!$C$1476)*CROQUIS_DATOS!$C$1561-((CROQUIS_DATOS!$C$1481+CROQUIS_DATOS!$C$1482))*CROQUIS_DATOS!$C$1561))/CROQUIS_DATOS!$C$1568-0.000001))),2)=1,IF(INT(($A144-1)/2)+1&gt;MAX(1,INT(((((CROQUIS_DATOS!$C$1479+CROQUIS_DATOS!$C$1480))-(CROQUIS_DATOS!$C$1479))+((CROQUIS_DATOS!$C$1476)*CROQUIS_DATOS!$C$1561-((CROQUIS_DATOS!$C$1481+CROQUIS_DATOS!$C$1482))*CROQUIS_DATOS!$C$1561))/CROQUIS_DATOS!$C$1568-0.000001)),1,MOD($A144-1,2)),1-IF(INT(($A144-1)/2)+1&gt;MAX(1,INT(((((CROQUIS_DATOS!$C$1479+CROQUIS_DATOS!$C$1480))-(CROQUIS_DATOS!$C$1479))+((CROQUIS_DATOS!$C$1476)*CROQUIS_DATOS!$C$1561-((CROQUIS_DATOS!$C$1481+CROQUIS_DATOS!$C$1482))*CROQUIS_DATOS!$C$1561))/CROQUIS_DATOS!$C$1568-0.000001)),1,MOD($A144-1,2)))=1,MIN((CROQUIS_DATOS!$C$1476)*CROQUIS_DATOS!$C$1561,((CROQUIS_DATOS!$C$1479+CROQUIS_DATOS!$C$1480)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4">
        <f>IF(AND(CROQUIS_DATOS!$C$1472=1,CROQUIS_DATOS!$C$1478&gt;=1,((CROQUIS_DATOS!$C$1479+CROQUIS_DATOS!$C$1480))-(CROQUIS_DATOS!$C$1479)&gt;0.5,(CROQUIS_DATOS!$C$1476)-((CROQUIS_DATOS!$C$1481+CROQUIS_DATOS!$C$1482))&gt;0.5),(CROQUIS_DATOS!$C$1567+(IF(IF(MOD(MIN(INT(($A144-1)/2)+1,MAX(1,INT(((((CROQUIS_DATOS!$C$1479+CROQUIS_DATOS!$C$1480))-(CROQUIS_DATOS!$C$1479))+((CROQUIS_DATOS!$C$1476)*CROQUIS_DATOS!$C$1561-((CROQUIS_DATOS!$C$1481+CROQUIS_DATOS!$C$1482))*CROQUIS_DATOS!$C$1561))/CROQUIS_DATOS!$C$1568-0.000001))),2)=1,IF(INT(($A144-1)/2)+1&gt;MAX(1,INT(((((CROQUIS_DATOS!$C$1479+CROQUIS_DATOS!$C$1480))-(CROQUIS_DATOS!$C$1479))+((CROQUIS_DATOS!$C$1476)*CROQUIS_DATOS!$C$1561-((CROQUIS_DATOS!$C$1481+CROQUIS_DATOS!$C$1482))*CROQUIS_DATOS!$C$1561))/CROQUIS_DATOS!$C$1568-0.000001)),1,MOD($A144-1,2)),1-IF(INT(($A144-1)/2)+1&gt;MAX(1,INT(((((CROQUIS_DATOS!$C$1479+CROQUIS_DATOS!$C$1480))-(CROQUIS_DATOS!$C$1479))+((CROQUIS_DATOS!$C$1476)*CROQUIS_DATOS!$C$1561-((CROQUIS_DATOS!$C$1481+CROQUIS_DATOS!$C$1482))*CROQUIS_DATOS!$C$1561))/CROQUIS_DATOS!$C$1568-0.000001)),1,MOD($A144-1,2)))=1,MIN((CROQUIS_DATOS!$C$1476)*CROQUIS_DATOS!$C$1561,((CROQUIS_DATOS!$C$1479+CROQUIS_DATOS!$C$1480)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144-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4">
        <f>IF(AND(CROQUIS_DATOS!$C$1472=1,CROQUIS_DATOS!$C$1478&gt;=2,((CROQUIS_DATOS!$C$1484+CROQUIS_DATOS!$C$1485))-(CROQUIS_DATOS!$C$1484)&gt;0.5,(CROQUIS_DATOS!$C$1486)-(0)&gt;0.5),(CROQUIS_DATOS!$C$1566+(IF(IF(MOD(MIN(INT(($A144-1)/2)+1,MAX(1,INT(((((CROQUIS_DATOS!$C$1484+CROQUIS_DATOS!$C$1485))-(CROQUIS_DATOS!$C$1484))+((CROQUIS_DATOS!$C$1486)*CROQUIS_DATOS!$C$1561-(0)*CROQUIS_DATOS!$C$1561))/CROQUIS_DATOS!$C$1568-0.000001))),2)=1,IF(INT(($A144-1)/2)+1&gt;MAX(1,INT(((((CROQUIS_DATOS!$C$1484+CROQUIS_DATOS!$C$1485))-(CROQUIS_DATOS!$C$1484))+((CROQUIS_DATOS!$C$1486)*CROQUIS_DATOS!$C$1561-(0)*CROQUIS_DATOS!$C$1561))/CROQUIS_DATOS!$C$1568-0.000001)),1,MOD($A144-1,2)),1-IF(INT(($A144-1)/2)+1&gt;MAX(1,INT(((((CROQUIS_DATOS!$C$1484+CROQUIS_DATOS!$C$1485))-(CROQUIS_DATOS!$C$1484))+((CROQUIS_DATOS!$C$1486)*CROQUIS_DATOS!$C$1561-(0)*CROQUIS_DATOS!$C$1561))/CROQUIS_DATOS!$C$1568-0.000001)),1,MOD($A144-1,2)))=1,MIN((CROQUIS_DATOS!$C$1486)*CROQUIS_DATOS!$C$1561,((CROQUIS_DATOS!$C$1484+CROQUIS_DATOS!$C$1485)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4">
        <f>IF(AND(CROQUIS_DATOS!$C$1472=1,CROQUIS_DATOS!$C$1478&gt;=2,((CROQUIS_DATOS!$C$1484+CROQUIS_DATOS!$C$1485))-(CROQUIS_DATOS!$C$1484)&gt;0.5,(CROQUIS_DATOS!$C$1486)-(0)&gt;0.5),(CROQUIS_DATOS!$C$1567+(IF(IF(MOD(MIN(INT(($A144-1)/2)+1,MAX(1,INT(((((CROQUIS_DATOS!$C$1484+CROQUIS_DATOS!$C$1485))-(CROQUIS_DATOS!$C$1484))+((CROQUIS_DATOS!$C$1486)*CROQUIS_DATOS!$C$1561-(0)*CROQUIS_DATOS!$C$1561))/CROQUIS_DATOS!$C$1568-0.000001))),2)=1,IF(INT(($A144-1)/2)+1&gt;MAX(1,INT(((((CROQUIS_DATOS!$C$1484+CROQUIS_DATOS!$C$1485))-(CROQUIS_DATOS!$C$1484))+((CROQUIS_DATOS!$C$1486)*CROQUIS_DATOS!$C$1561-(0)*CROQUIS_DATOS!$C$1561))/CROQUIS_DATOS!$C$1568-0.000001)),1,MOD($A144-1,2)),1-IF(INT(($A144-1)/2)+1&gt;MAX(1,INT(((((CROQUIS_DATOS!$C$1484+CROQUIS_DATOS!$C$1485))-(CROQUIS_DATOS!$C$1484))+((CROQUIS_DATOS!$C$1486)*CROQUIS_DATOS!$C$1561-(0)*CROQUIS_DATOS!$C$1561))/CROQUIS_DATOS!$C$1568-0.000001)),1,MOD($A144-1,2)))=1,MIN((CROQUIS_DATOS!$C$1486)*CROQUIS_DATOS!$C$1561,((CROQUIS_DATOS!$C$1484+CROQUIS_DATOS!$C$1485)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144-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4">
        <f>IF(AND(CROQUIS_DATOS!$C$1472=1,CROQUIS_DATOS!$C$1478&gt;=2,((CROQUIS_DATOS!$C$1484+CROQUIS_DATOS!$C$1485))-(CROQUIS_DATOS!$C$1484)&gt;0.5,(CROQUIS_DATOS!$C$1476)-((CROQUIS_DATOS!$C$1486+CROQUIS_DATOS!$C$1487))&gt;0.5),(CROQUIS_DATOS!$C$1566+(IF(IF(MOD(MIN(INT(($A144-1)/2)+1,MAX(1,INT(((((CROQUIS_DATOS!$C$1484+CROQUIS_DATOS!$C$1485))-(CROQUIS_DATOS!$C$1484))+((CROQUIS_DATOS!$C$1476)*CROQUIS_DATOS!$C$1561-((CROQUIS_DATOS!$C$1486+CROQUIS_DATOS!$C$1487))*CROQUIS_DATOS!$C$1561))/CROQUIS_DATOS!$C$1568-0.000001))),2)=1,IF(INT(($A144-1)/2)+1&gt;MAX(1,INT(((((CROQUIS_DATOS!$C$1484+CROQUIS_DATOS!$C$1485))-(CROQUIS_DATOS!$C$1484))+((CROQUIS_DATOS!$C$1476)*CROQUIS_DATOS!$C$1561-((CROQUIS_DATOS!$C$1486+CROQUIS_DATOS!$C$1487))*CROQUIS_DATOS!$C$1561))/CROQUIS_DATOS!$C$1568-0.000001)),1,MOD($A144-1,2)),1-IF(INT(($A144-1)/2)+1&gt;MAX(1,INT(((((CROQUIS_DATOS!$C$1484+CROQUIS_DATOS!$C$1485))-(CROQUIS_DATOS!$C$1484))+((CROQUIS_DATOS!$C$1476)*CROQUIS_DATOS!$C$1561-((CROQUIS_DATOS!$C$1486+CROQUIS_DATOS!$C$1487))*CROQUIS_DATOS!$C$1561))/CROQUIS_DATOS!$C$1568-0.000001)),1,MOD($A144-1,2)))=1,MIN((CROQUIS_DATOS!$C$1476)*CROQUIS_DATOS!$C$1561,((CROQUIS_DATOS!$C$1484+CROQUIS_DATOS!$C$1485)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4">
        <f>IF(AND(CROQUIS_DATOS!$C$1472=1,CROQUIS_DATOS!$C$1478&gt;=2,((CROQUIS_DATOS!$C$1484+CROQUIS_DATOS!$C$1485))-(CROQUIS_DATOS!$C$1484)&gt;0.5,(CROQUIS_DATOS!$C$1476)-((CROQUIS_DATOS!$C$1486+CROQUIS_DATOS!$C$1487))&gt;0.5),(CROQUIS_DATOS!$C$1567+(IF(IF(MOD(MIN(INT(($A144-1)/2)+1,MAX(1,INT(((((CROQUIS_DATOS!$C$1484+CROQUIS_DATOS!$C$1485))-(CROQUIS_DATOS!$C$1484))+((CROQUIS_DATOS!$C$1476)*CROQUIS_DATOS!$C$1561-((CROQUIS_DATOS!$C$1486+CROQUIS_DATOS!$C$1487))*CROQUIS_DATOS!$C$1561))/CROQUIS_DATOS!$C$1568-0.000001))),2)=1,IF(INT(($A144-1)/2)+1&gt;MAX(1,INT(((((CROQUIS_DATOS!$C$1484+CROQUIS_DATOS!$C$1485))-(CROQUIS_DATOS!$C$1484))+((CROQUIS_DATOS!$C$1476)*CROQUIS_DATOS!$C$1561-((CROQUIS_DATOS!$C$1486+CROQUIS_DATOS!$C$1487))*CROQUIS_DATOS!$C$1561))/CROQUIS_DATOS!$C$1568-0.000001)),1,MOD($A144-1,2)),1-IF(INT(($A144-1)/2)+1&gt;MAX(1,INT(((((CROQUIS_DATOS!$C$1484+CROQUIS_DATOS!$C$1485))-(CROQUIS_DATOS!$C$1484))+((CROQUIS_DATOS!$C$1476)*CROQUIS_DATOS!$C$1561-((CROQUIS_DATOS!$C$1486+CROQUIS_DATOS!$C$1487))*CROQUIS_DATOS!$C$1561))/CROQUIS_DATOS!$C$1568-0.000001)),1,MOD($A144-1,2)))=1,MIN((CROQUIS_DATOS!$C$1476)*CROQUIS_DATOS!$C$1561,((CROQUIS_DATOS!$C$1484+CROQUIS_DATOS!$C$1485)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144-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4">
        <f>IF(AND(CROQUIS_DATOS!$C$1472=1,CROQUIS_DATOS!$C$1478&gt;=3,((CROQUIS_DATOS!$C$1489+CROQUIS_DATOS!$C$1490))-(CROQUIS_DATOS!$C$1489)&gt;0.5,(CROQUIS_DATOS!$C$1491)-(0)&gt;0.5),(CROQUIS_DATOS!$C$1566+(IF(IF(MOD(MIN(INT(($A144-1)/2)+1,MAX(1,INT(((((CROQUIS_DATOS!$C$1489+CROQUIS_DATOS!$C$1490))-(CROQUIS_DATOS!$C$1489))+((CROQUIS_DATOS!$C$1491)*CROQUIS_DATOS!$C$1561-(0)*CROQUIS_DATOS!$C$1561))/CROQUIS_DATOS!$C$1568-0.000001))),2)=1,IF(INT(($A144-1)/2)+1&gt;MAX(1,INT(((((CROQUIS_DATOS!$C$1489+CROQUIS_DATOS!$C$1490))-(CROQUIS_DATOS!$C$1489))+((CROQUIS_DATOS!$C$1491)*CROQUIS_DATOS!$C$1561-(0)*CROQUIS_DATOS!$C$1561))/CROQUIS_DATOS!$C$1568-0.000001)),1,MOD($A144-1,2)),1-IF(INT(($A144-1)/2)+1&gt;MAX(1,INT(((((CROQUIS_DATOS!$C$1489+CROQUIS_DATOS!$C$1490))-(CROQUIS_DATOS!$C$1489))+((CROQUIS_DATOS!$C$1491)*CROQUIS_DATOS!$C$1561-(0)*CROQUIS_DATOS!$C$1561))/CROQUIS_DATOS!$C$1568-0.000001)),1,MOD($A144-1,2)))=1,MIN((CROQUIS_DATOS!$C$1491)*CROQUIS_DATOS!$C$1561,((CROQUIS_DATOS!$C$1489+CROQUIS_DATOS!$C$1490)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4">
        <f>IF(AND(CROQUIS_DATOS!$C$1472=1,CROQUIS_DATOS!$C$1478&gt;=3,((CROQUIS_DATOS!$C$1489+CROQUIS_DATOS!$C$1490))-(CROQUIS_DATOS!$C$1489)&gt;0.5,(CROQUIS_DATOS!$C$1491)-(0)&gt;0.5),(CROQUIS_DATOS!$C$1567+(IF(IF(MOD(MIN(INT(($A144-1)/2)+1,MAX(1,INT(((((CROQUIS_DATOS!$C$1489+CROQUIS_DATOS!$C$1490))-(CROQUIS_DATOS!$C$1489))+((CROQUIS_DATOS!$C$1491)*CROQUIS_DATOS!$C$1561-(0)*CROQUIS_DATOS!$C$1561))/CROQUIS_DATOS!$C$1568-0.000001))),2)=1,IF(INT(($A144-1)/2)+1&gt;MAX(1,INT(((((CROQUIS_DATOS!$C$1489+CROQUIS_DATOS!$C$1490))-(CROQUIS_DATOS!$C$1489))+((CROQUIS_DATOS!$C$1491)*CROQUIS_DATOS!$C$1561-(0)*CROQUIS_DATOS!$C$1561))/CROQUIS_DATOS!$C$1568-0.000001)),1,MOD($A144-1,2)),1-IF(INT(($A144-1)/2)+1&gt;MAX(1,INT(((((CROQUIS_DATOS!$C$1489+CROQUIS_DATOS!$C$1490))-(CROQUIS_DATOS!$C$1489))+((CROQUIS_DATOS!$C$1491)*CROQUIS_DATOS!$C$1561-(0)*CROQUIS_DATOS!$C$1561))/CROQUIS_DATOS!$C$1568-0.000001)),1,MOD($A144-1,2)))=1,MIN((CROQUIS_DATOS!$C$1491)*CROQUIS_DATOS!$C$1561,((CROQUIS_DATOS!$C$1489+CROQUIS_DATOS!$C$1490)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144-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4">
        <f>IF(AND(CROQUIS_DATOS!$C$1472=1,CROQUIS_DATOS!$C$1478&gt;=3,((CROQUIS_DATOS!$C$1489+CROQUIS_DATOS!$C$1490))-(CROQUIS_DATOS!$C$1489)&gt;0.5,(CROQUIS_DATOS!$C$1476)-((CROQUIS_DATOS!$C$1491+CROQUIS_DATOS!$C$1492))&gt;0.5),(CROQUIS_DATOS!$C$1566+(IF(IF(MOD(MIN(INT(($A144-1)/2)+1,MAX(1,INT(((((CROQUIS_DATOS!$C$1489+CROQUIS_DATOS!$C$1490))-(CROQUIS_DATOS!$C$1489))+((CROQUIS_DATOS!$C$1476)*CROQUIS_DATOS!$C$1561-((CROQUIS_DATOS!$C$1491+CROQUIS_DATOS!$C$1492))*CROQUIS_DATOS!$C$1561))/CROQUIS_DATOS!$C$1568-0.000001))),2)=1,IF(INT(($A144-1)/2)+1&gt;MAX(1,INT(((((CROQUIS_DATOS!$C$1489+CROQUIS_DATOS!$C$1490))-(CROQUIS_DATOS!$C$1489))+((CROQUIS_DATOS!$C$1476)*CROQUIS_DATOS!$C$1561-((CROQUIS_DATOS!$C$1491+CROQUIS_DATOS!$C$1492))*CROQUIS_DATOS!$C$1561))/CROQUIS_DATOS!$C$1568-0.000001)),1,MOD($A144-1,2)),1-IF(INT(($A144-1)/2)+1&gt;MAX(1,INT(((((CROQUIS_DATOS!$C$1489+CROQUIS_DATOS!$C$1490))-(CROQUIS_DATOS!$C$1489))+((CROQUIS_DATOS!$C$1476)*CROQUIS_DATOS!$C$1561-((CROQUIS_DATOS!$C$1491+CROQUIS_DATOS!$C$1492))*CROQUIS_DATOS!$C$1561))/CROQUIS_DATOS!$C$1568-0.000001)),1,MOD($A144-1,2)))=1,MIN((CROQUIS_DATOS!$C$1476)*CROQUIS_DATOS!$C$1561,((CROQUIS_DATOS!$C$1489+CROQUIS_DATOS!$C$1490)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4">
        <f>IF(AND(CROQUIS_DATOS!$C$1472=1,CROQUIS_DATOS!$C$1478&gt;=3,((CROQUIS_DATOS!$C$1489+CROQUIS_DATOS!$C$1490))-(CROQUIS_DATOS!$C$1489)&gt;0.5,(CROQUIS_DATOS!$C$1476)-((CROQUIS_DATOS!$C$1491+CROQUIS_DATOS!$C$1492))&gt;0.5),(CROQUIS_DATOS!$C$1567+(IF(IF(MOD(MIN(INT(($A144-1)/2)+1,MAX(1,INT(((((CROQUIS_DATOS!$C$1489+CROQUIS_DATOS!$C$1490))-(CROQUIS_DATOS!$C$1489))+((CROQUIS_DATOS!$C$1476)*CROQUIS_DATOS!$C$1561-((CROQUIS_DATOS!$C$1491+CROQUIS_DATOS!$C$1492))*CROQUIS_DATOS!$C$1561))/CROQUIS_DATOS!$C$1568-0.000001))),2)=1,IF(INT(($A144-1)/2)+1&gt;MAX(1,INT(((((CROQUIS_DATOS!$C$1489+CROQUIS_DATOS!$C$1490))-(CROQUIS_DATOS!$C$1489))+((CROQUIS_DATOS!$C$1476)*CROQUIS_DATOS!$C$1561-((CROQUIS_DATOS!$C$1491+CROQUIS_DATOS!$C$1492))*CROQUIS_DATOS!$C$1561))/CROQUIS_DATOS!$C$1568-0.000001)),1,MOD($A144-1,2)),1-IF(INT(($A144-1)/2)+1&gt;MAX(1,INT(((((CROQUIS_DATOS!$C$1489+CROQUIS_DATOS!$C$1490))-(CROQUIS_DATOS!$C$1489))+((CROQUIS_DATOS!$C$1476)*CROQUIS_DATOS!$C$1561-((CROQUIS_DATOS!$C$1491+CROQUIS_DATOS!$C$1492))*CROQUIS_DATOS!$C$1561))/CROQUIS_DATOS!$C$1568-0.000001)),1,MOD($A144-1,2)))=1,MIN((CROQUIS_DATOS!$C$1476)*CROQUIS_DATOS!$C$1561,((CROQUIS_DATOS!$C$1489+CROQUIS_DATOS!$C$1490)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144-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4">
        <f>IF(AND(CROQUIS_DATOS!$C$1472=1,CROQUIS_DATOS!$C$1478&gt;=4,((CROQUIS_DATOS!$C$1494+CROQUIS_DATOS!$C$1495))-(CROQUIS_DATOS!$C$1494)&gt;0.5,(CROQUIS_DATOS!$C$1496)-(0)&gt;0.5),(CROQUIS_DATOS!$C$1566+(IF(IF(MOD(MIN(INT(($A144-1)/2)+1,MAX(1,INT(((((CROQUIS_DATOS!$C$1494+CROQUIS_DATOS!$C$1495))-(CROQUIS_DATOS!$C$1494))+((CROQUIS_DATOS!$C$1496)*CROQUIS_DATOS!$C$1561-(0)*CROQUIS_DATOS!$C$1561))/CROQUIS_DATOS!$C$1568-0.000001))),2)=1,IF(INT(($A144-1)/2)+1&gt;MAX(1,INT(((((CROQUIS_DATOS!$C$1494+CROQUIS_DATOS!$C$1495))-(CROQUIS_DATOS!$C$1494))+((CROQUIS_DATOS!$C$1496)*CROQUIS_DATOS!$C$1561-(0)*CROQUIS_DATOS!$C$1561))/CROQUIS_DATOS!$C$1568-0.000001)),1,MOD($A144-1,2)),1-IF(INT(($A144-1)/2)+1&gt;MAX(1,INT(((((CROQUIS_DATOS!$C$1494+CROQUIS_DATOS!$C$1495))-(CROQUIS_DATOS!$C$1494))+((CROQUIS_DATOS!$C$1496)*CROQUIS_DATOS!$C$1561-(0)*CROQUIS_DATOS!$C$1561))/CROQUIS_DATOS!$C$1568-0.000001)),1,MOD($A144-1,2)))=1,MIN((CROQUIS_DATOS!$C$1496)*CROQUIS_DATOS!$C$1561,((CROQUIS_DATOS!$C$1494+CROQUIS_DATOS!$C$1495)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4">
        <f>IF(AND(CROQUIS_DATOS!$C$1472=1,CROQUIS_DATOS!$C$1478&gt;=4,((CROQUIS_DATOS!$C$1494+CROQUIS_DATOS!$C$1495))-(CROQUIS_DATOS!$C$1494)&gt;0.5,(CROQUIS_DATOS!$C$1496)-(0)&gt;0.5),(CROQUIS_DATOS!$C$1567+(IF(IF(MOD(MIN(INT(($A144-1)/2)+1,MAX(1,INT(((((CROQUIS_DATOS!$C$1494+CROQUIS_DATOS!$C$1495))-(CROQUIS_DATOS!$C$1494))+((CROQUIS_DATOS!$C$1496)*CROQUIS_DATOS!$C$1561-(0)*CROQUIS_DATOS!$C$1561))/CROQUIS_DATOS!$C$1568-0.000001))),2)=1,IF(INT(($A144-1)/2)+1&gt;MAX(1,INT(((((CROQUIS_DATOS!$C$1494+CROQUIS_DATOS!$C$1495))-(CROQUIS_DATOS!$C$1494))+((CROQUIS_DATOS!$C$1496)*CROQUIS_DATOS!$C$1561-(0)*CROQUIS_DATOS!$C$1561))/CROQUIS_DATOS!$C$1568-0.000001)),1,MOD($A144-1,2)),1-IF(INT(($A144-1)/2)+1&gt;MAX(1,INT(((((CROQUIS_DATOS!$C$1494+CROQUIS_DATOS!$C$1495))-(CROQUIS_DATOS!$C$1494))+((CROQUIS_DATOS!$C$1496)*CROQUIS_DATOS!$C$1561-(0)*CROQUIS_DATOS!$C$1561))/CROQUIS_DATOS!$C$1568-0.000001)),1,MOD($A144-1,2)))=1,MIN((CROQUIS_DATOS!$C$1496)*CROQUIS_DATOS!$C$1561,((CROQUIS_DATOS!$C$1494+CROQUIS_DATOS!$C$1495)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144-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4">
        <f>IF(AND(CROQUIS_DATOS!$C$1472=1,CROQUIS_DATOS!$C$1478&gt;=4,((CROQUIS_DATOS!$C$1494+CROQUIS_DATOS!$C$1495))-(CROQUIS_DATOS!$C$1494)&gt;0.5,(CROQUIS_DATOS!$C$1476)-((CROQUIS_DATOS!$C$1496+CROQUIS_DATOS!$C$1497))&gt;0.5),(CROQUIS_DATOS!$C$1566+(IF(IF(MOD(MIN(INT(($A144-1)/2)+1,MAX(1,INT(((((CROQUIS_DATOS!$C$1494+CROQUIS_DATOS!$C$1495))-(CROQUIS_DATOS!$C$1494))+((CROQUIS_DATOS!$C$1476)*CROQUIS_DATOS!$C$1561-((CROQUIS_DATOS!$C$1496+CROQUIS_DATOS!$C$1497))*CROQUIS_DATOS!$C$1561))/CROQUIS_DATOS!$C$1568-0.000001))),2)=1,IF(INT(($A144-1)/2)+1&gt;MAX(1,INT(((((CROQUIS_DATOS!$C$1494+CROQUIS_DATOS!$C$1495))-(CROQUIS_DATOS!$C$1494))+((CROQUIS_DATOS!$C$1476)*CROQUIS_DATOS!$C$1561-((CROQUIS_DATOS!$C$1496+CROQUIS_DATOS!$C$1497))*CROQUIS_DATOS!$C$1561))/CROQUIS_DATOS!$C$1568-0.000001)),1,MOD($A144-1,2)),1-IF(INT(($A144-1)/2)+1&gt;MAX(1,INT(((((CROQUIS_DATOS!$C$1494+CROQUIS_DATOS!$C$1495))-(CROQUIS_DATOS!$C$1494))+((CROQUIS_DATOS!$C$1476)*CROQUIS_DATOS!$C$1561-((CROQUIS_DATOS!$C$1496+CROQUIS_DATOS!$C$1497))*CROQUIS_DATOS!$C$1561))/CROQUIS_DATOS!$C$1568-0.000001)),1,MOD($A144-1,2)))=1,MIN((CROQUIS_DATOS!$C$1476)*CROQUIS_DATOS!$C$1561,((CROQUIS_DATOS!$C$1494+CROQUIS_DATOS!$C$1495)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4">
        <f>IF(AND(CROQUIS_DATOS!$C$1472=1,CROQUIS_DATOS!$C$1478&gt;=4,((CROQUIS_DATOS!$C$1494+CROQUIS_DATOS!$C$1495))-(CROQUIS_DATOS!$C$1494)&gt;0.5,(CROQUIS_DATOS!$C$1476)-((CROQUIS_DATOS!$C$1496+CROQUIS_DATOS!$C$1497))&gt;0.5),(CROQUIS_DATOS!$C$1567+(IF(IF(MOD(MIN(INT(($A144-1)/2)+1,MAX(1,INT(((((CROQUIS_DATOS!$C$1494+CROQUIS_DATOS!$C$1495))-(CROQUIS_DATOS!$C$1494))+((CROQUIS_DATOS!$C$1476)*CROQUIS_DATOS!$C$1561-((CROQUIS_DATOS!$C$1496+CROQUIS_DATOS!$C$1497))*CROQUIS_DATOS!$C$1561))/CROQUIS_DATOS!$C$1568-0.000001))),2)=1,IF(INT(($A144-1)/2)+1&gt;MAX(1,INT(((((CROQUIS_DATOS!$C$1494+CROQUIS_DATOS!$C$1495))-(CROQUIS_DATOS!$C$1494))+((CROQUIS_DATOS!$C$1476)*CROQUIS_DATOS!$C$1561-((CROQUIS_DATOS!$C$1496+CROQUIS_DATOS!$C$1497))*CROQUIS_DATOS!$C$1561))/CROQUIS_DATOS!$C$1568-0.000001)),1,MOD($A144-1,2)),1-IF(INT(($A144-1)/2)+1&gt;MAX(1,INT(((((CROQUIS_DATOS!$C$1494+CROQUIS_DATOS!$C$1495))-(CROQUIS_DATOS!$C$1494))+((CROQUIS_DATOS!$C$1476)*CROQUIS_DATOS!$C$1561-((CROQUIS_DATOS!$C$1496+CROQUIS_DATOS!$C$1497))*CROQUIS_DATOS!$C$1561))/CROQUIS_DATOS!$C$1568-0.000001)),1,MOD($A144-1,2)))=1,MIN((CROQUIS_DATOS!$C$1476)*CROQUIS_DATOS!$C$1561,((CROQUIS_DATOS!$C$1494+CROQUIS_DATOS!$C$1495)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144-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5">
      <c r="A145" t="n">
        <v>138</v>
      </c>
      <c r="N145">
        <f>IF(AND(CROQUIS_DATOS!$C$1472=1,1),(CROQUIS_DATOS!$C$1563+(IF(IF(IF(INT(($A145-1)/70)+1&gt;CROQUIS_DATOS!$C$1525,70,MOD($A145-1,70)+1)=1,0,IF(IF(INT(($A145-1)/70)+1&gt;CROQUIS_DATOS!$C$1525,70,MOD($A145-1,70)+1)&gt;2*CROQUIS_DATOS!$C$1541+1,IF(MOD(CROQUIS_DATOS!$C$1541,2)=1,1,0),IF(MOD(MIN(INT((IF(INT(($A145-1)/70)+1&gt;CROQUIS_DATOS!$C$1525,70,MOD($A145-1,70)+1)-2)/2)+1,CROQUIS_DATOS!$C$1541),2)=1,IF(MOD(IF(INT(($A145-1)/70)+1&gt;CROQUIS_DATOS!$C$1525,70,MOD($A145-1,70)+1)-2,2)=0,0,1),IF(MOD(IF(INT(($A145-1)/70)+1&gt;CROQUIS_DATOS!$C$1525,70,MOD($A145-1,70)+1)-2,2)=0,1,0))))=0,(INDEX($E$8:$E$23,MIN(INT(($A145-1)/70)+1,CROQUIS_DATOS!$C$1525))-INDEX($F$8:$F$23,MIN(INT(($A145-1)/70)+1,CROQUIS_DATOS!$C$1525))/2),(INDEX($E$8:$E$23,MIN(INT(($A145-1)/70)+1,CROQUIS_DATOS!$C$1525))+INDEX($F$8:$F$23,MIN(INT(($A145-1)/70)+1,CROQUIS_DATOS!$C$1525))/2)))*CROQUIS_DATOS!$C$1562),-1000)</f>
        <v>18.5775862068965</v>
      </c>
      <c r="O145">
        <f>IF(AND(CROQUIS_DATOS!$C$1472=1,1),(CROQUIS_DATOS!$C$1564+(IF(OR(IF(INT(($A145-1)/70)+1&gt;CROQUIS_DATOS!$C$1525,70,MOD($A145-1,70)+1)=1,IF(INT(($A145-1)/70)+1&gt;CROQUIS_DATOS!$C$1525,70,MOD($A145-1,70)+1)&gt;2*CROQUIS_DATOS!$C$1541+1),CROQUIS_DATOS!$C$1476,INDEX($H$8:$H$41,MIN(INT((IF(INT(($A145-1)/70)+1&gt;CROQUIS_DATOS!$C$1525,70,MOD($A145-1,70)+1)-2)/2)+1,CROQUIS_DATOS!$C$1541))))*CROQUIS_DATOS!$C$1561*CROQUIS_DATOS!$C$1562),-1000)</f>
        <v>40.2068965517241</v>
      </c>
      <c r="P145">
        <f>IF(AND(CROQUIS_DATOS!$C$1472=1,CROQUIS_DATOS!$C$1555=1),(CROQUIS_DATOS!$C$1563+(IF(IF(OR(MOD($A145-1,62)+1=1,IF(CHOOSE(MIN(MAX(MIN(INT(($A145-1)/62)+1,5),1),5),CROQUIS_DATOS!$C$1501,CROQUIS_DATOS!$C$1505,CROQUIS_DATOS!$C$1509,CROQUIS_DATOS!$C$1513,CROQUIS_DATOS!$C$1517)=1,CROQUIS_DATOS!$C$1557,0)=0),0,IF(MOD($A145-1,62)+1&gt;2*IF(CHOOSE(MIN(MAX(MIN(INT(($A145-1)/62)+1,5),1),5),CROQUIS_DATOS!$C$1501,CROQUIS_DATOS!$C$1505,CROQUIS_DATOS!$C$1509,CROQUIS_DATOS!$C$1513,CROQUIS_DATOS!$C$1517)=1,CROQUIS_DATOS!$C$1557,0)+1,IF(MOD(IF(CHOOSE(MIN(MAX(MIN(INT(($A145-1)/62)+1,5),1),5),CROQUIS_DATOS!$C$1501,CROQUIS_DATOS!$C$1505,CROQUIS_DATOS!$C$1509,CROQUIS_DATOS!$C$1513,CROQUIS_DATOS!$C$1517)=1,CROQUIS_DATOS!$C$1557,0),2)=1,1,0),IF(MOD(MIN(INT((MOD($A145-1,62)+1-2)/2)+1,MAX(IF(CHOOSE(MIN(MAX(MIN(INT(($A145-1)/62)+1,5),1),5),CROQUIS_DATOS!$C$1501,CROQUIS_DATOS!$C$1505,CROQUIS_DATOS!$C$1509,CROQUIS_DATOS!$C$1513,CROQUIS_DATOS!$C$1517)=1,CROQUIS_DATOS!$C$1557,0),1)),2)=1,IF(MOD(MOD($A145-1,62)+1-2,2)=0,0,1),IF(MOD(MOD($A145-1,62)+1-2,2)=0,1,0))))=0,(CHOOSE(MIN(MAX(MIN(INT(($A145-1)/62)+1,5),1),5),CROQUIS_DATOS!$C$1499,CROQUIS_DATOS!$C$1503,CROQUIS_DATOS!$C$1507,CROQUIS_DATOS!$C$1511,CROQUIS_DATOS!$C$1515)+IF(CHOOSE(MIN(MAX(MIN(INT(($A145-1)/62)+1,5),1),5),CROQUIS_DATOS!$C$1501,CROQUIS_DATOS!$C$1505,CROQUIS_DATOS!$C$1509,CROQUIS_DATOS!$C$1513,CROQUIS_DATOS!$C$1517)=1,CROQUIS_DATOS!$C$1526,0)),(CHOOSE(MIN(MAX(MIN(INT(($A145-1)/62)+1,5),1),5),CROQUIS_DATOS!$C$1499,CROQUIS_DATOS!$C$1503,CROQUIS_DATOS!$C$1507,CROQUIS_DATOS!$C$1511,CROQUIS_DATOS!$C$1515)+CHOOSE(MIN(MAX(MIN(INT(($A145-1)/62)+1,5),1),5),CROQUIS_DATOS!$C$1500,CROQUIS_DATOS!$C$1504,CROQUIS_DATOS!$C$1508,CROQUIS_DATOS!$C$1512,CROQUIS_DATOS!$C$1516)-IF(CHOOSE(MIN(MAX(MIN(INT(($A145-1)/62)+1,5),1),5),CROQUIS_DATOS!$C$1501,CROQUIS_DATOS!$C$1505,CROQUIS_DATOS!$C$1509,CROQUIS_DATOS!$C$1513,CROQUIS_DATOS!$C$1517)=1,CROQUIS_DATOS!$C$1526,0))))*CROQUIS_DATOS!$C$1562),-1000)</f>
        <v>-1000</v>
      </c>
      <c r="Q145">
        <f>IF(AND(CROQUIS_DATOS!$C$1472=1,CROQUIS_DATOS!$C$1555=1),(CROQUIS_DATOS!$C$1564+(IF(OR(OR(MOD($A145-1,62)+1=1,IF(CHOOSE(MIN(MAX(MIN(INT(($A145-1)/62)+1,5),1),5),CROQUIS_DATOS!$C$1501,CROQUIS_DATOS!$C$1505,CROQUIS_DATOS!$C$1509,CROQUIS_DATOS!$C$1513,CROQUIS_DATOS!$C$1517)=1,CROQUIS_DATOS!$C$1557,0)=0),MOD($A145-1,62)+1&gt;2*IF(CHOOSE(MIN(MAX(MIN(INT(($A145-1)/62)+1,5),1),5),CROQUIS_DATOS!$C$1501,CROQUIS_DATOS!$C$1505,CROQUIS_DATOS!$C$1509,CROQUIS_DATOS!$C$1513,CROQUIS_DATOS!$C$1517)=1,CROQUIS_DATOS!$C$1557,0)+1),CROQUIS_DATOS!$C$1476,MIN(INT((MOD($A145-1,62)+1-2)/2)+1,MAX(IF(CHOOSE(MIN(MAX(MIN(INT(($A145-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5">
        <f>IF(AND(CROQUIS_DATOS!$C$1472=1,1),(CROQUIS_DATOS!$C$1563+(MIN(INT(($A145-1)/2)+1,CROQUIS_DATOS!$C$1558)*CROQUIS_DATOS!$C$1559)*CROQUIS_DATOS!$C$1562),-1000)</f>
        <v>82.2281167108753</v>
      </c>
      <c r="U145">
        <f>IF(AND(CROQUIS_DATOS!$C$1472=1,1),(CROQUIS_DATOS!$C$1564+(IF(INT(($A145-1)/2)+1&gt;CROQUIS_DATOS!$C$1558,IF(MOD(CROQUIS_DATOS!$C$1558,2)=1,CROQUIS_DATOS!$C$1476+CROQUIS_DATOS!$C$1528,CROQUIS_DATOS!$C$1476),IF(IF(MOD(MIN(INT(($A145-1)/2)+1,CROQUIS_DATOS!$C$1558),2)=1,MOD($A145-1,2),1-MOD($A145-1,2))=1,CROQUIS_DATOS!$C$1476+CROQUIS_DATOS!$C$1528,CROQUIS_DATOS!$C$1476)))*CROQUIS_DATOS!$C$1561*CROQUIS_DATOS!$C$1562),-1000)</f>
        <v>43</v>
      </c>
      <c r="BZ145">
        <f>IF(AND(CROQUIS_DATOS!$C$1472=1,CROQUIS_DATOS!$C$1500&gt;0,((CROQUIS_DATOS!$C$1499+CROQUIS_DATOS!$C$1500))-(CROQUIS_DATOS!$C$1499)&gt;0.5,(CROQUIS_DATOS!$C$1476)-(0)&gt;0.5),(CROQUIS_DATOS!$C$1566+(IF(IF(MOD(MIN(INT(($A145-1)/2)+1,MAX(1,INT(((((CROQUIS_DATOS!$C$1499+CROQUIS_DATOS!$C$1500))-(CROQUIS_DATOS!$C$1499))+((CROQUIS_DATOS!$C$1476)*CROQUIS_DATOS!$C$1561-(0)*CROQUIS_DATOS!$C$1561))/CROQUIS_DATOS!$C$1568-0.000001))),2)=1,IF(INT(($A145-1)/2)+1&gt;MAX(1,INT(((((CROQUIS_DATOS!$C$1499+CROQUIS_DATOS!$C$1500))-(CROQUIS_DATOS!$C$1499))+((CROQUIS_DATOS!$C$1476)*CROQUIS_DATOS!$C$1561-(0)*CROQUIS_DATOS!$C$1561))/CROQUIS_DATOS!$C$1568-0.000001)),1,MOD($A145-1,2)),1-IF(INT(($A145-1)/2)+1&gt;MAX(1,INT(((((CROQUIS_DATOS!$C$1499+CROQUIS_DATOS!$C$1500))-(CROQUIS_DATOS!$C$1499))+((CROQUIS_DATOS!$C$1476)*CROQUIS_DATOS!$C$1561-(0)*CROQUIS_DATOS!$C$1561))/CROQUIS_DATOS!$C$1568-0.000001)),1,MOD($A145-1,2)))=1,MIN((CROQUIS_DATOS!$C$1476)*CROQUIS_DATOS!$C$1561,((CROQUIS_DATOS!$C$1499+CROQUIS_DATOS!$C$1500)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5">
        <f>IF(AND(CROQUIS_DATOS!$C$1472=1,CROQUIS_DATOS!$C$1500&gt;0,((CROQUIS_DATOS!$C$1499+CROQUIS_DATOS!$C$1500))-(CROQUIS_DATOS!$C$1499)&gt;0.5,(CROQUIS_DATOS!$C$1476)-(0)&gt;0.5),(CROQUIS_DATOS!$C$1567+(IF(IF(MOD(MIN(INT(($A145-1)/2)+1,MAX(1,INT(((((CROQUIS_DATOS!$C$1499+CROQUIS_DATOS!$C$1500))-(CROQUIS_DATOS!$C$1499))+((CROQUIS_DATOS!$C$1476)*CROQUIS_DATOS!$C$1561-(0)*CROQUIS_DATOS!$C$1561))/CROQUIS_DATOS!$C$1568-0.000001))),2)=1,IF(INT(($A145-1)/2)+1&gt;MAX(1,INT(((((CROQUIS_DATOS!$C$1499+CROQUIS_DATOS!$C$1500))-(CROQUIS_DATOS!$C$1499))+((CROQUIS_DATOS!$C$1476)*CROQUIS_DATOS!$C$1561-(0)*CROQUIS_DATOS!$C$1561))/CROQUIS_DATOS!$C$1568-0.000001)),1,MOD($A145-1,2)),1-IF(INT(($A145-1)/2)+1&gt;MAX(1,INT(((((CROQUIS_DATOS!$C$1499+CROQUIS_DATOS!$C$1500))-(CROQUIS_DATOS!$C$1499))+((CROQUIS_DATOS!$C$1476)*CROQUIS_DATOS!$C$1561-(0)*CROQUIS_DATOS!$C$1561))/CROQUIS_DATOS!$C$1568-0.000001)),1,MOD($A145-1,2)))=1,MIN((CROQUIS_DATOS!$C$1476)*CROQUIS_DATOS!$C$1561,((CROQUIS_DATOS!$C$1499+CROQUIS_DATOS!$C$1500)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145-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5">
        <f>IF(AND(CROQUIS_DATOS!$C$1472=1,CROQUIS_DATOS!$C$1504&gt;0,((CROQUIS_DATOS!$C$1503+CROQUIS_DATOS!$C$1504))-(CROQUIS_DATOS!$C$1503)&gt;0.5,(CROQUIS_DATOS!$C$1476)-(0)&gt;0.5),(CROQUIS_DATOS!$C$1566+(IF(IF(MOD(MIN(INT(($A145-1)/2)+1,MAX(1,INT(((((CROQUIS_DATOS!$C$1503+CROQUIS_DATOS!$C$1504))-(CROQUIS_DATOS!$C$1503))+((CROQUIS_DATOS!$C$1476)*CROQUIS_DATOS!$C$1561-(0)*CROQUIS_DATOS!$C$1561))/CROQUIS_DATOS!$C$1568-0.000001))),2)=1,IF(INT(($A145-1)/2)+1&gt;MAX(1,INT(((((CROQUIS_DATOS!$C$1503+CROQUIS_DATOS!$C$1504))-(CROQUIS_DATOS!$C$1503))+((CROQUIS_DATOS!$C$1476)*CROQUIS_DATOS!$C$1561-(0)*CROQUIS_DATOS!$C$1561))/CROQUIS_DATOS!$C$1568-0.000001)),1,MOD($A145-1,2)),1-IF(INT(($A145-1)/2)+1&gt;MAX(1,INT(((((CROQUIS_DATOS!$C$1503+CROQUIS_DATOS!$C$1504))-(CROQUIS_DATOS!$C$1503))+((CROQUIS_DATOS!$C$1476)*CROQUIS_DATOS!$C$1561-(0)*CROQUIS_DATOS!$C$1561))/CROQUIS_DATOS!$C$1568-0.000001)),1,MOD($A145-1,2)))=1,MIN((CROQUIS_DATOS!$C$1476)*CROQUIS_DATOS!$C$1561,((CROQUIS_DATOS!$C$1503+CROQUIS_DATOS!$C$1504)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5">
        <f>IF(AND(CROQUIS_DATOS!$C$1472=1,CROQUIS_DATOS!$C$1504&gt;0,((CROQUIS_DATOS!$C$1503+CROQUIS_DATOS!$C$1504))-(CROQUIS_DATOS!$C$1503)&gt;0.5,(CROQUIS_DATOS!$C$1476)-(0)&gt;0.5),(CROQUIS_DATOS!$C$1567+(IF(IF(MOD(MIN(INT(($A145-1)/2)+1,MAX(1,INT(((((CROQUIS_DATOS!$C$1503+CROQUIS_DATOS!$C$1504))-(CROQUIS_DATOS!$C$1503))+((CROQUIS_DATOS!$C$1476)*CROQUIS_DATOS!$C$1561-(0)*CROQUIS_DATOS!$C$1561))/CROQUIS_DATOS!$C$1568-0.000001))),2)=1,IF(INT(($A145-1)/2)+1&gt;MAX(1,INT(((((CROQUIS_DATOS!$C$1503+CROQUIS_DATOS!$C$1504))-(CROQUIS_DATOS!$C$1503))+((CROQUIS_DATOS!$C$1476)*CROQUIS_DATOS!$C$1561-(0)*CROQUIS_DATOS!$C$1561))/CROQUIS_DATOS!$C$1568-0.000001)),1,MOD($A145-1,2)),1-IF(INT(($A145-1)/2)+1&gt;MAX(1,INT(((((CROQUIS_DATOS!$C$1503+CROQUIS_DATOS!$C$1504))-(CROQUIS_DATOS!$C$1503))+((CROQUIS_DATOS!$C$1476)*CROQUIS_DATOS!$C$1561-(0)*CROQUIS_DATOS!$C$1561))/CROQUIS_DATOS!$C$1568-0.000001)),1,MOD($A145-1,2)))=1,MIN((CROQUIS_DATOS!$C$1476)*CROQUIS_DATOS!$C$1561,((CROQUIS_DATOS!$C$1503+CROQUIS_DATOS!$C$1504)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145-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5">
        <f>IF(AND(CROQUIS_DATOS!$C$1472=1,CROQUIS_DATOS!$C$1508&gt;0,((CROQUIS_DATOS!$C$1507+CROQUIS_DATOS!$C$1508))-(CROQUIS_DATOS!$C$1507)&gt;0.5,(CROQUIS_DATOS!$C$1476)-(0)&gt;0.5),(CROQUIS_DATOS!$C$1566+(IF(IF(MOD(MIN(INT(($A145-1)/2)+1,MAX(1,INT(((((CROQUIS_DATOS!$C$1507+CROQUIS_DATOS!$C$1508))-(CROQUIS_DATOS!$C$1507))+((CROQUIS_DATOS!$C$1476)*CROQUIS_DATOS!$C$1561-(0)*CROQUIS_DATOS!$C$1561))/CROQUIS_DATOS!$C$1568-0.000001))),2)=1,IF(INT(($A145-1)/2)+1&gt;MAX(1,INT(((((CROQUIS_DATOS!$C$1507+CROQUIS_DATOS!$C$1508))-(CROQUIS_DATOS!$C$1507))+((CROQUIS_DATOS!$C$1476)*CROQUIS_DATOS!$C$1561-(0)*CROQUIS_DATOS!$C$1561))/CROQUIS_DATOS!$C$1568-0.000001)),1,MOD($A145-1,2)),1-IF(INT(($A145-1)/2)+1&gt;MAX(1,INT(((((CROQUIS_DATOS!$C$1507+CROQUIS_DATOS!$C$1508))-(CROQUIS_DATOS!$C$1507))+((CROQUIS_DATOS!$C$1476)*CROQUIS_DATOS!$C$1561-(0)*CROQUIS_DATOS!$C$1561))/CROQUIS_DATOS!$C$1568-0.000001)),1,MOD($A145-1,2)))=1,MIN((CROQUIS_DATOS!$C$1476)*CROQUIS_DATOS!$C$1561,((CROQUIS_DATOS!$C$1507+CROQUIS_DATOS!$C$1508)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5">
        <f>IF(AND(CROQUIS_DATOS!$C$1472=1,CROQUIS_DATOS!$C$1508&gt;0,((CROQUIS_DATOS!$C$1507+CROQUIS_DATOS!$C$1508))-(CROQUIS_DATOS!$C$1507)&gt;0.5,(CROQUIS_DATOS!$C$1476)-(0)&gt;0.5),(CROQUIS_DATOS!$C$1567+(IF(IF(MOD(MIN(INT(($A145-1)/2)+1,MAX(1,INT(((((CROQUIS_DATOS!$C$1507+CROQUIS_DATOS!$C$1508))-(CROQUIS_DATOS!$C$1507))+((CROQUIS_DATOS!$C$1476)*CROQUIS_DATOS!$C$1561-(0)*CROQUIS_DATOS!$C$1561))/CROQUIS_DATOS!$C$1568-0.000001))),2)=1,IF(INT(($A145-1)/2)+1&gt;MAX(1,INT(((((CROQUIS_DATOS!$C$1507+CROQUIS_DATOS!$C$1508))-(CROQUIS_DATOS!$C$1507))+((CROQUIS_DATOS!$C$1476)*CROQUIS_DATOS!$C$1561-(0)*CROQUIS_DATOS!$C$1561))/CROQUIS_DATOS!$C$1568-0.000001)),1,MOD($A145-1,2)),1-IF(INT(($A145-1)/2)+1&gt;MAX(1,INT(((((CROQUIS_DATOS!$C$1507+CROQUIS_DATOS!$C$1508))-(CROQUIS_DATOS!$C$1507))+((CROQUIS_DATOS!$C$1476)*CROQUIS_DATOS!$C$1561-(0)*CROQUIS_DATOS!$C$1561))/CROQUIS_DATOS!$C$1568-0.000001)),1,MOD($A145-1,2)))=1,MIN((CROQUIS_DATOS!$C$1476)*CROQUIS_DATOS!$C$1561,((CROQUIS_DATOS!$C$1507+CROQUIS_DATOS!$C$1508)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145-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5">
        <f>IF(AND(CROQUIS_DATOS!$C$1472=1,CROQUIS_DATOS!$C$1512&gt;0,((CROQUIS_DATOS!$C$1511+CROQUIS_DATOS!$C$1512))-(CROQUIS_DATOS!$C$1511)&gt;0.5,(CROQUIS_DATOS!$C$1476)-(0)&gt;0.5),(CROQUIS_DATOS!$C$1566+(IF(IF(MOD(MIN(INT(($A145-1)/2)+1,MAX(1,INT(((((CROQUIS_DATOS!$C$1511+CROQUIS_DATOS!$C$1512))-(CROQUIS_DATOS!$C$1511))+((CROQUIS_DATOS!$C$1476)*CROQUIS_DATOS!$C$1561-(0)*CROQUIS_DATOS!$C$1561))/CROQUIS_DATOS!$C$1568-0.000001))),2)=1,IF(INT(($A145-1)/2)+1&gt;MAX(1,INT(((((CROQUIS_DATOS!$C$1511+CROQUIS_DATOS!$C$1512))-(CROQUIS_DATOS!$C$1511))+((CROQUIS_DATOS!$C$1476)*CROQUIS_DATOS!$C$1561-(0)*CROQUIS_DATOS!$C$1561))/CROQUIS_DATOS!$C$1568-0.000001)),1,MOD($A145-1,2)),1-IF(INT(($A145-1)/2)+1&gt;MAX(1,INT(((((CROQUIS_DATOS!$C$1511+CROQUIS_DATOS!$C$1512))-(CROQUIS_DATOS!$C$1511))+((CROQUIS_DATOS!$C$1476)*CROQUIS_DATOS!$C$1561-(0)*CROQUIS_DATOS!$C$1561))/CROQUIS_DATOS!$C$1568-0.000001)),1,MOD($A145-1,2)))=1,MIN((CROQUIS_DATOS!$C$1476)*CROQUIS_DATOS!$C$1561,((CROQUIS_DATOS!$C$1511+CROQUIS_DATOS!$C$1512)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5">
        <f>IF(AND(CROQUIS_DATOS!$C$1472=1,CROQUIS_DATOS!$C$1512&gt;0,((CROQUIS_DATOS!$C$1511+CROQUIS_DATOS!$C$1512))-(CROQUIS_DATOS!$C$1511)&gt;0.5,(CROQUIS_DATOS!$C$1476)-(0)&gt;0.5),(CROQUIS_DATOS!$C$1567+(IF(IF(MOD(MIN(INT(($A145-1)/2)+1,MAX(1,INT(((((CROQUIS_DATOS!$C$1511+CROQUIS_DATOS!$C$1512))-(CROQUIS_DATOS!$C$1511))+((CROQUIS_DATOS!$C$1476)*CROQUIS_DATOS!$C$1561-(0)*CROQUIS_DATOS!$C$1561))/CROQUIS_DATOS!$C$1568-0.000001))),2)=1,IF(INT(($A145-1)/2)+1&gt;MAX(1,INT(((((CROQUIS_DATOS!$C$1511+CROQUIS_DATOS!$C$1512))-(CROQUIS_DATOS!$C$1511))+((CROQUIS_DATOS!$C$1476)*CROQUIS_DATOS!$C$1561-(0)*CROQUIS_DATOS!$C$1561))/CROQUIS_DATOS!$C$1568-0.000001)),1,MOD($A145-1,2)),1-IF(INT(($A145-1)/2)+1&gt;MAX(1,INT(((((CROQUIS_DATOS!$C$1511+CROQUIS_DATOS!$C$1512))-(CROQUIS_DATOS!$C$1511))+((CROQUIS_DATOS!$C$1476)*CROQUIS_DATOS!$C$1561-(0)*CROQUIS_DATOS!$C$1561))/CROQUIS_DATOS!$C$1568-0.000001)),1,MOD($A145-1,2)))=1,MIN((CROQUIS_DATOS!$C$1476)*CROQUIS_DATOS!$C$1561,((CROQUIS_DATOS!$C$1511+CROQUIS_DATOS!$C$1512)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145-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5">
        <f>IF(AND(CROQUIS_DATOS!$C$1472=1,CROQUIS_DATOS!$C$1516&gt;0,((CROQUIS_DATOS!$C$1515+CROQUIS_DATOS!$C$1516))-(CROQUIS_DATOS!$C$1515)&gt;0.5,(CROQUIS_DATOS!$C$1476)-(0)&gt;0.5),(CROQUIS_DATOS!$C$1566+(IF(IF(MOD(MIN(INT(($A145-1)/2)+1,MAX(1,INT(((((CROQUIS_DATOS!$C$1515+CROQUIS_DATOS!$C$1516))-(CROQUIS_DATOS!$C$1515))+((CROQUIS_DATOS!$C$1476)*CROQUIS_DATOS!$C$1561-(0)*CROQUIS_DATOS!$C$1561))/CROQUIS_DATOS!$C$1568-0.000001))),2)=1,IF(INT(($A145-1)/2)+1&gt;MAX(1,INT(((((CROQUIS_DATOS!$C$1515+CROQUIS_DATOS!$C$1516))-(CROQUIS_DATOS!$C$1515))+((CROQUIS_DATOS!$C$1476)*CROQUIS_DATOS!$C$1561-(0)*CROQUIS_DATOS!$C$1561))/CROQUIS_DATOS!$C$1568-0.000001)),1,MOD($A145-1,2)),1-IF(INT(($A145-1)/2)+1&gt;MAX(1,INT(((((CROQUIS_DATOS!$C$1515+CROQUIS_DATOS!$C$1516))-(CROQUIS_DATOS!$C$1515))+((CROQUIS_DATOS!$C$1476)*CROQUIS_DATOS!$C$1561-(0)*CROQUIS_DATOS!$C$1561))/CROQUIS_DATOS!$C$1568-0.000001)),1,MOD($A145-1,2)))=1,MIN((CROQUIS_DATOS!$C$1476)*CROQUIS_DATOS!$C$1561,((CROQUIS_DATOS!$C$1515+CROQUIS_DATOS!$C$1516)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5">
        <f>IF(AND(CROQUIS_DATOS!$C$1472=1,CROQUIS_DATOS!$C$1516&gt;0,((CROQUIS_DATOS!$C$1515+CROQUIS_DATOS!$C$1516))-(CROQUIS_DATOS!$C$1515)&gt;0.5,(CROQUIS_DATOS!$C$1476)-(0)&gt;0.5),(CROQUIS_DATOS!$C$1567+(IF(IF(MOD(MIN(INT(($A145-1)/2)+1,MAX(1,INT(((((CROQUIS_DATOS!$C$1515+CROQUIS_DATOS!$C$1516))-(CROQUIS_DATOS!$C$1515))+((CROQUIS_DATOS!$C$1476)*CROQUIS_DATOS!$C$1561-(0)*CROQUIS_DATOS!$C$1561))/CROQUIS_DATOS!$C$1568-0.000001))),2)=1,IF(INT(($A145-1)/2)+1&gt;MAX(1,INT(((((CROQUIS_DATOS!$C$1515+CROQUIS_DATOS!$C$1516))-(CROQUIS_DATOS!$C$1515))+((CROQUIS_DATOS!$C$1476)*CROQUIS_DATOS!$C$1561-(0)*CROQUIS_DATOS!$C$1561))/CROQUIS_DATOS!$C$1568-0.000001)),1,MOD($A145-1,2)),1-IF(INT(($A145-1)/2)+1&gt;MAX(1,INT(((((CROQUIS_DATOS!$C$1515+CROQUIS_DATOS!$C$1516))-(CROQUIS_DATOS!$C$1515))+((CROQUIS_DATOS!$C$1476)*CROQUIS_DATOS!$C$1561-(0)*CROQUIS_DATOS!$C$1561))/CROQUIS_DATOS!$C$1568-0.000001)),1,MOD($A145-1,2)))=1,MIN((CROQUIS_DATOS!$C$1476)*CROQUIS_DATOS!$C$1561,((CROQUIS_DATOS!$C$1515+CROQUIS_DATOS!$C$1516)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145-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5">
        <f>IF(AND(CROQUIS_DATOS!$C$1472=1,CROQUIS_DATOS!$C$1478&gt;=1,((CROQUIS_DATOS!$C$1479+CROQUIS_DATOS!$C$1480))-(CROQUIS_DATOS!$C$1479)&gt;0.5,(CROQUIS_DATOS!$C$1481)-(0)&gt;0.5),(CROQUIS_DATOS!$C$1566+(IF(IF(MOD(MIN(INT(($A145-1)/2)+1,MAX(1,INT(((((CROQUIS_DATOS!$C$1479+CROQUIS_DATOS!$C$1480))-(CROQUIS_DATOS!$C$1479))+((CROQUIS_DATOS!$C$1481)*CROQUIS_DATOS!$C$1561-(0)*CROQUIS_DATOS!$C$1561))/CROQUIS_DATOS!$C$1568-0.000001))),2)=1,IF(INT(($A145-1)/2)+1&gt;MAX(1,INT(((((CROQUIS_DATOS!$C$1479+CROQUIS_DATOS!$C$1480))-(CROQUIS_DATOS!$C$1479))+((CROQUIS_DATOS!$C$1481)*CROQUIS_DATOS!$C$1561-(0)*CROQUIS_DATOS!$C$1561))/CROQUIS_DATOS!$C$1568-0.000001)),1,MOD($A145-1,2)),1-IF(INT(($A145-1)/2)+1&gt;MAX(1,INT(((((CROQUIS_DATOS!$C$1479+CROQUIS_DATOS!$C$1480))-(CROQUIS_DATOS!$C$1479))+((CROQUIS_DATOS!$C$1481)*CROQUIS_DATOS!$C$1561-(0)*CROQUIS_DATOS!$C$1561))/CROQUIS_DATOS!$C$1568-0.000001)),1,MOD($A145-1,2)))=1,MIN((CROQUIS_DATOS!$C$1481)*CROQUIS_DATOS!$C$1561,((CROQUIS_DATOS!$C$1479+CROQUIS_DATOS!$C$1480)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5">
        <f>IF(AND(CROQUIS_DATOS!$C$1472=1,CROQUIS_DATOS!$C$1478&gt;=1,((CROQUIS_DATOS!$C$1479+CROQUIS_DATOS!$C$1480))-(CROQUIS_DATOS!$C$1479)&gt;0.5,(CROQUIS_DATOS!$C$1481)-(0)&gt;0.5),(CROQUIS_DATOS!$C$1567+(IF(IF(MOD(MIN(INT(($A145-1)/2)+1,MAX(1,INT(((((CROQUIS_DATOS!$C$1479+CROQUIS_DATOS!$C$1480))-(CROQUIS_DATOS!$C$1479))+((CROQUIS_DATOS!$C$1481)*CROQUIS_DATOS!$C$1561-(0)*CROQUIS_DATOS!$C$1561))/CROQUIS_DATOS!$C$1568-0.000001))),2)=1,IF(INT(($A145-1)/2)+1&gt;MAX(1,INT(((((CROQUIS_DATOS!$C$1479+CROQUIS_DATOS!$C$1480))-(CROQUIS_DATOS!$C$1479))+((CROQUIS_DATOS!$C$1481)*CROQUIS_DATOS!$C$1561-(0)*CROQUIS_DATOS!$C$1561))/CROQUIS_DATOS!$C$1568-0.000001)),1,MOD($A145-1,2)),1-IF(INT(($A145-1)/2)+1&gt;MAX(1,INT(((((CROQUIS_DATOS!$C$1479+CROQUIS_DATOS!$C$1480))-(CROQUIS_DATOS!$C$1479))+((CROQUIS_DATOS!$C$1481)*CROQUIS_DATOS!$C$1561-(0)*CROQUIS_DATOS!$C$1561))/CROQUIS_DATOS!$C$1568-0.000001)),1,MOD($A145-1,2)))=1,MIN((CROQUIS_DATOS!$C$1481)*CROQUIS_DATOS!$C$1561,((CROQUIS_DATOS!$C$1479+CROQUIS_DATOS!$C$1480)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145-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5">
        <f>IF(AND(CROQUIS_DATOS!$C$1472=1,CROQUIS_DATOS!$C$1478&gt;=1,((CROQUIS_DATOS!$C$1479+CROQUIS_DATOS!$C$1480))-(CROQUIS_DATOS!$C$1479)&gt;0.5,(CROQUIS_DATOS!$C$1476)-((CROQUIS_DATOS!$C$1481+CROQUIS_DATOS!$C$1482))&gt;0.5),(CROQUIS_DATOS!$C$1566+(IF(IF(MOD(MIN(INT(($A145-1)/2)+1,MAX(1,INT(((((CROQUIS_DATOS!$C$1479+CROQUIS_DATOS!$C$1480))-(CROQUIS_DATOS!$C$1479))+((CROQUIS_DATOS!$C$1476)*CROQUIS_DATOS!$C$1561-((CROQUIS_DATOS!$C$1481+CROQUIS_DATOS!$C$1482))*CROQUIS_DATOS!$C$1561))/CROQUIS_DATOS!$C$1568-0.000001))),2)=1,IF(INT(($A145-1)/2)+1&gt;MAX(1,INT(((((CROQUIS_DATOS!$C$1479+CROQUIS_DATOS!$C$1480))-(CROQUIS_DATOS!$C$1479))+((CROQUIS_DATOS!$C$1476)*CROQUIS_DATOS!$C$1561-((CROQUIS_DATOS!$C$1481+CROQUIS_DATOS!$C$1482))*CROQUIS_DATOS!$C$1561))/CROQUIS_DATOS!$C$1568-0.000001)),1,MOD($A145-1,2)),1-IF(INT(($A145-1)/2)+1&gt;MAX(1,INT(((((CROQUIS_DATOS!$C$1479+CROQUIS_DATOS!$C$1480))-(CROQUIS_DATOS!$C$1479))+((CROQUIS_DATOS!$C$1476)*CROQUIS_DATOS!$C$1561-((CROQUIS_DATOS!$C$1481+CROQUIS_DATOS!$C$1482))*CROQUIS_DATOS!$C$1561))/CROQUIS_DATOS!$C$1568-0.000001)),1,MOD($A145-1,2)))=1,MIN((CROQUIS_DATOS!$C$1476)*CROQUIS_DATOS!$C$1561,((CROQUIS_DATOS!$C$1479+CROQUIS_DATOS!$C$1480)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5">
        <f>IF(AND(CROQUIS_DATOS!$C$1472=1,CROQUIS_DATOS!$C$1478&gt;=1,((CROQUIS_DATOS!$C$1479+CROQUIS_DATOS!$C$1480))-(CROQUIS_DATOS!$C$1479)&gt;0.5,(CROQUIS_DATOS!$C$1476)-((CROQUIS_DATOS!$C$1481+CROQUIS_DATOS!$C$1482))&gt;0.5),(CROQUIS_DATOS!$C$1567+(IF(IF(MOD(MIN(INT(($A145-1)/2)+1,MAX(1,INT(((((CROQUIS_DATOS!$C$1479+CROQUIS_DATOS!$C$1480))-(CROQUIS_DATOS!$C$1479))+((CROQUIS_DATOS!$C$1476)*CROQUIS_DATOS!$C$1561-((CROQUIS_DATOS!$C$1481+CROQUIS_DATOS!$C$1482))*CROQUIS_DATOS!$C$1561))/CROQUIS_DATOS!$C$1568-0.000001))),2)=1,IF(INT(($A145-1)/2)+1&gt;MAX(1,INT(((((CROQUIS_DATOS!$C$1479+CROQUIS_DATOS!$C$1480))-(CROQUIS_DATOS!$C$1479))+((CROQUIS_DATOS!$C$1476)*CROQUIS_DATOS!$C$1561-((CROQUIS_DATOS!$C$1481+CROQUIS_DATOS!$C$1482))*CROQUIS_DATOS!$C$1561))/CROQUIS_DATOS!$C$1568-0.000001)),1,MOD($A145-1,2)),1-IF(INT(($A145-1)/2)+1&gt;MAX(1,INT(((((CROQUIS_DATOS!$C$1479+CROQUIS_DATOS!$C$1480))-(CROQUIS_DATOS!$C$1479))+((CROQUIS_DATOS!$C$1476)*CROQUIS_DATOS!$C$1561-((CROQUIS_DATOS!$C$1481+CROQUIS_DATOS!$C$1482))*CROQUIS_DATOS!$C$1561))/CROQUIS_DATOS!$C$1568-0.000001)),1,MOD($A145-1,2)))=1,MIN((CROQUIS_DATOS!$C$1476)*CROQUIS_DATOS!$C$1561,((CROQUIS_DATOS!$C$1479+CROQUIS_DATOS!$C$1480)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145-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5">
        <f>IF(AND(CROQUIS_DATOS!$C$1472=1,CROQUIS_DATOS!$C$1478&gt;=2,((CROQUIS_DATOS!$C$1484+CROQUIS_DATOS!$C$1485))-(CROQUIS_DATOS!$C$1484)&gt;0.5,(CROQUIS_DATOS!$C$1486)-(0)&gt;0.5),(CROQUIS_DATOS!$C$1566+(IF(IF(MOD(MIN(INT(($A145-1)/2)+1,MAX(1,INT(((((CROQUIS_DATOS!$C$1484+CROQUIS_DATOS!$C$1485))-(CROQUIS_DATOS!$C$1484))+((CROQUIS_DATOS!$C$1486)*CROQUIS_DATOS!$C$1561-(0)*CROQUIS_DATOS!$C$1561))/CROQUIS_DATOS!$C$1568-0.000001))),2)=1,IF(INT(($A145-1)/2)+1&gt;MAX(1,INT(((((CROQUIS_DATOS!$C$1484+CROQUIS_DATOS!$C$1485))-(CROQUIS_DATOS!$C$1484))+((CROQUIS_DATOS!$C$1486)*CROQUIS_DATOS!$C$1561-(0)*CROQUIS_DATOS!$C$1561))/CROQUIS_DATOS!$C$1568-0.000001)),1,MOD($A145-1,2)),1-IF(INT(($A145-1)/2)+1&gt;MAX(1,INT(((((CROQUIS_DATOS!$C$1484+CROQUIS_DATOS!$C$1485))-(CROQUIS_DATOS!$C$1484))+((CROQUIS_DATOS!$C$1486)*CROQUIS_DATOS!$C$1561-(0)*CROQUIS_DATOS!$C$1561))/CROQUIS_DATOS!$C$1568-0.000001)),1,MOD($A145-1,2)))=1,MIN((CROQUIS_DATOS!$C$1486)*CROQUIS_DATOS!$C$1561,((CROQUIS_DATOS!$C$1484+CROQUIS_DATOS!$C$1485)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5">
        <f>IF(AND(CROQUIS_DATOS!$C$1472=1,CROQUIS_DATOS!$C$1478&gt;=2,((CROQUIS_DATOS!$C$1484+CROQUIS_DATOS!$C$1485))-(CROQUIS_DATOS!$C$1484)&gt;0.5,(CROQUIS_DATOS!$C$1486)-(0)&gt;0.5),(CROQUIS_DATOS!$C$1567+(IF(IF(MOD(MIN(INT(($A145-1)/2)+1,MAX(1,INT(((((CROQUIS_DATOS!$C$1484+CROQUIS_DATOS!$C$1485))-(CROQUIS_DATOS!$C$1484))+((CROQUIS_DATOS!$C$1486)*CROQUIS_DATOS!$C$1561-(0)*CROQUIS_DATOS!$C$1561))/CROQUIS_DATOS!$C$1568-0.000001))),2)=1,IF(INT(($A145-1)/2)+1&gt;MAX(1,INT(((((CROQUIS_DATOS!$C$1484+CROQUIS_DATOS!$C$1485))-(CROQUIS_DATOS!$C$1484))+((CROQUIS_DATOS!$C$1486)*CROQUIS_DATOS!$C$1561-(0)*CROQUIS_DATOS!$C$1561))/CROQUIS_DATOS!$C$1568-0.000001)),1,MOD($A145-1,2)),1-IF(INT(($A145-1)/2)+1&gt;MAX(1,INT(((((CROQUIS_DATOS!$C$1484+CROQUIS_DATOS!$C$1485))-(CROQUIS_DATOS!$C$1484))+((CROQUIS_DATOS!$C$1486)*CROQUIS_DATOS!$C$1561-(0)*CROQUIS_DATOS!$C$1561))/CROQUIS_DATOS!$C$1568-0.000001)),1,MOD($A145-1,2)))=1,MIN((CROQUIS_DATOS!$C$1486)*CROQUIS_DATOS!$C$1561,((CROQUIS_DATOS!$C$1484+CROQUIS_DATOS!$C$1485)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145-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5">
        <f>IF(AND(CROQUIS_DATOS!$C$1472=1,CROQUIS_DATOS!$C$1478&gt;=2,((CROQUIS_DATOS!$C$1484+CROQUIS_DATOS!$C$1485))-(CROQUIS_DATOS!$C$1484)&gt;0.5,(CROQUIS_DATOS!$C$1476)-((CROQUIS_DATOS!$C$1486+CROQUIS_DATOS!$C$1487))&gt;0.5),(CROQUIS_DATOS!$C$1566+(IF(IF(MOD(MIN(INT(($A145-1)/2)+1,MAX(1,INT(((((CROQUIS_DATOS!$C$1484+CROQUIS_DATOS!$C$1485))-(CROQUIS_DATOS!$C$1484))+((CROQUIS_DATOS!$C$1476)*CROQUIS_DATOS!$C$1561-((CROQUIS_DATOS!$C$1486+CROQUIS_DATOS!$C$1487))*CROQUIS_DATOS!$C$1561))/CROQUIS_DATOS!$C$1568-0.000001))),2)=1,IF(INT(($A145-1)/2)+1&gt;MAX(1,INT(((((CROQUIS_DATOS!$C$1484+CROQUIS_DATOS!$C$1485))-(CROQUIS_DATOS!$C$1484))+((CROQUIS_DATOS!$C$1476)*CROQUIS_DATOS!$C$1561-((CROQUIS_DATOS!$C$1486+CROQUIS_DATOS!$C$1487))*CROQUIS_DATOS!$C$1561))/CROQUIS_DATOS!$C$1568-0.000001)),1,MOD($A145-1,2)),1-IF(INT(($A145-1)/2)+1&gt;MAX(1,INT(((((CROQUIS_DATOS!$C$1484+CROQUIS_DATOS!$C$1485))-(CROQUIS_DATOS!$C$1484))+((CROQUIS_DATOS!$C$1476)*CROQUIS_DATOS!$C$1561-((CROQUIS_DATOS!$C$1486+CROQUIS_DATOS!$C$1487))*CROQUIS_DATOS!$C$1561))/CROQUIS_DATOS!$C$1568-0.000001)),1,MOD($A145-1,2)))=1,MIN((CROQUIS_DATOS!$C$1476)*CROQUIS_DATOS!$C$1561,((CROQUIS_DATOS!$C$1484+CROQUIS_DATOS!$C$1485)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5">
        <f>IF(AND(CROQUIS_DATOS!$C$1472=1,CROQUIS_DATOS!$C$1478&gt;=2,((CROQUIS_DATOS!$C$1484+CROQUIS_DATOS!$C$1485))-(CROQUIS_DATOS!$C$1484)&gt;0.5,(CROQUIS_DATOS!$C$1476)-((CROQUIS_DATOS!$C$1486+CROQUIS_DATOS!$C$1487))&gt;0.5),(CROQUIS_DATOS!$C$1567+(IF(IF(MOD(MIN(INT(($A145-1)/2)+1,MAX(1,INT(((((CROQUIS_DATOS!$C$1484+CROQUIS_DATOS!$C$1485))-(CROQUIS_DATOS!$C$1484))+((CROQUIS_DATOS!$C$1476)*CROQUIS_DATOS!$C$1561-((CROQUIS_DATOS!$C$1486+CROQUIS_DATOS!$C$1487))*CROQUIS_DATOS!$C$1561))/CROQUIS_DATOS!$C$1568-0.000001))),2)=1,IF(INT(($A145-1)/2)+1&gt;MAX(1,INT(((((CROQUIS_DATOS!$C$1484+CROQUIS_DATOS!$C$1485))-(CROQUIS_DATOS!$C$1484))+((CROQUIS_DATOS!$C$1476)*CROQUIS_DATOS!$C$1561-((CROQUIS_DATOS!$C$1486+CROQUIS_DATOS!$C$1487))*CROQUIS_DATOS!$C$1561))/CROQUIS_DATOS!$C$1568-0.000001)),1,MOD($A145-1,2)),1-IF(INT(($A145-1)/2)+1&gt;MAX(1,INT(((((CROQUIS_DATOS!$C$1484+CROQUIS_DATOS!$C$1485))-(CROQUIS_DATOS!$C$1484))+((CROQUIS_DATOS!$C$1476)*CROQUIS_DATOS!$C$1561-((CROQUIS_DATOS!$C$1486+CROQUIS_DATOS!$C$1487))*CROQUIS_DATOS!$C$1561))/CROQUIS_DATOS!$C$1568-0.000001)),1,MOD($A145-1,2)))=1,MIN((CROQUIS_DATOS!$C$1476)*CROQUIS_DATOS!$C$1561,((CROQUIS_DATOS!$C$1484+CROQUIS_DATOS!$C$1485)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145-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5">
        <f>IF(AND(CROQUIS_DATOS!$C$1472=1,CROQUIS_DATOS!$C$1478&gt;=3,((CROQUIS_DATOS!$C$1489+CROQUIS_DATOS!$C$1490))-(CROQUIS_DATOS!$C$1489)&gt;0.5,(CROQUIS_DATOS!$C$1491)-(0)&gt;0.5),(CROQUIS_DATOS!$C$1566+(IF(IF(MOD(MIN(INT(($A145-1)/2)+1,MAX(1,INT(((((CROQUIS_DATOS!$C$1489+CROQUIS_DATOS!$C$1490))-(CROQUIS_DATOS!$C$1489))+((CROQUIS_DATOS!$C$1491)*CROQUIS_DATOS!$C$1561-(0)*CROQUIS_DATOS!$C$1561))/CROQUIS_DATOS!$C$1568-0.000001))),2)=1,IF(INT(($A145-1)/2)+1&gt;MAX(1,INT(((((CROQUIS_DATOS!$C$1489+CROQUIS_DATOS!$C$1490))-(CROQUIS_DATOS!$C$1489))+((CROQUIS_DATOS!$C$1491)*CROQUIS_DATOS!$C$1561-(0)*CROQUIS_DATOS!$C$1561))/CROQUIS_DATOS!$C$1568-0.000001)),1,MOD($A145-1,2)),1-IF(INT(($A145-1)/2)+1&gt;MAX(1,INT(((((CROQUIS_DATOS!$C$1489+CROQUIS_DATOS!$C$1490))-(CROQUIS_DATOS!$C$1489))+((CROQUIS_DATOS!$C$1491)*CROQUIS_DATOS!$C$1561-(0)*CROQUIS_DATOS!$C$1561))/CROQUIS_DATOS!$C$1568-0.000001)),1,MOD($A145-1,2)))=1,MIN((CROQUIS_DATOS!$C$1491)*CROQUIS_DATOS!$C$1561,((CROQUIS_DATOS!$C$1489+CROQUIS_DATOS!$C$1490)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5">
        <f>IF(AND(CROQUIS_DATOS!$C$1472=1,CROQUIS_DATOS!$C$1478&gt;=3,((CROQUIS_DATOS!$C$1489+CROQUIS_DATOS!$C$1490))-(CROQUIS_DATOS!$C$1489)&gt;0.5,(CROQUIS_DATOS!$C$1491)-(0)&gt;0.5),(CROQUIS_DATOS!$C$1567+(IF(IF(MOD(MIN(INT(($A145-1)/2)+1,MAX(1,INT(((((CROQUIS_DATOS!$C$1489+CROQUIS_DATOS!$C$1490))-(CROQUIS_DATOS!$C$1489))+((CROQUIS_DATOS!$C$1491)*CROQUIS_DATOS!$C$1561-(0)*CROQUIS_DATOS!$C$1561))/CROQUIS_DATOS!$C$1568-0.000001))),2)=1,IF(INT(($A145-1)/2)+1&gt;MAX(1,INT(((((CROQUIS_DATOS!$C$1489+CROQUIS_DATOS!$C$1490))-(CROQUIS_DATOS!$C$1489))+((CROQUIS_DATOS!$C$1491)*CROQUIS_DATOS!$C$1561-(0)*CROQUIS_DATOS!$C$1561))/CROQUIS_DATOS!$C$1568-0.000001)),1,MOD($A145-1,2)),1-IF(INT(($A145-1)/2)+1&gt;MAX(1,INT(((((CROQUIS_DATOS!$C$1489+CROQUIS_DATOS!$C$1490))-(CROQUIS_DATOS!$C$1489))+((CROQUIS_DATOS!$C$1491)*CROQUIS_DATOS!$C$1561-(0)*CROQUIS_DATOS!$C$1561))/CROQUIS_DATOS!$C$1568-0.000001)),1,MOD($A145-1,2)))=1,MIN((CROQUIS_DATOS!$C$1491)*CROQUIS_DATOS!$C$1561,((CROQUIS_DATOS!$C$1489+CROQUIS_DATOS!$C$1490)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145-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5">
        <f>IF(AND(CROQUIS_DATOS!$C$1472=1,CROQUIS_DATOS!$C$1478&gt;=3,((CROQUIS_DATOS!$C$1489+CROQUIS_DATOS!$C$1490))-(CROQUIS_DATOS!$C$1489)&gt;0.5,(CROQUIS_DATOS!$C$1476)-((CROQUIS_DATOS!$C$1491+CROQUIS_DATOS!$C$1492))&gt;0.5),(CROQUIS_DATOS!$C$1566+(IF(IF(MOD(MIN(INT(($A145-1)/2)+1,MAX(1,INT(((((CROQUIS_DATOS!$C$1489+CROQUIS_DATOS!$C$1490))-(CROQUIS_DATOS!$C$1489))+((CROQUIS_DATOS!$C$1476)*CROQUIS_DATOS!$C$1561-((CROQUIS_DATOS!$C$1491+CROQUIS_DATOS!$C$1492))*CROQUIS_DATOS!$C$1561))/CROQUIS_DATOS!$C$1568-0.000001))),2)=1,IF(INT(($A145-1)/2)+1&gt;MAX(1,INT(((((CROQUIS_DATOS!$C$1489+CROQUIS_DATOS!$C$1490))-(CROQUIS_DATOS!$C$1489))+((CROQUIS_DATOS!$C$1476)*CROQUIS_DATOS!$C$1561-((CROQUIS_DATOS!$C$1491+CROQUIS_DATOS!$C$1492))*CROQUIS_DATOS!$C$1561))/CROQUIS_DATOS!$C$1568-0.000001)),1,MOD($A145-1,2)),1-IF(INT(($A145-1)/2)+1&gt;MAX(1,INT(((((CROQUIS_DATOS!$C$1489+CROQUIS_DATOS!$C$1490))-(CROQUIS_DATOS!$C$1489))+((CROQUIS_DATOS!$C$1476)*CROQUIS_DATOS!$C$1561-((CROQUIS_DATOS!$C$1491+CROQUIS_DATOS!$C$1492))*CROQUIS_DATOS!$C$1561))/CROQUIS_DATOS!$C$1568-0.000001)),1,MOD($A145-1,2)))=1,MIN((CROQUIS_DATOS!$C$1476)*CROQUIS_DATOS!$C$1561,((CROQUIS_DATOS!$C$1489+CROQUIS_DATOS!$C$1490)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5">
        <f>IF(AND(CROQUIS_DATOS!$C$1472=1,CROQUIS_DATOS!$C$1478&gt;=3,((CROQUIS_DATOS!$C$1489+CROQUIS_DATOS!$C$1490))-(CROQUIS_DATOS!$C$1489)&gt;0.5,(CROQUIS_DATOS!$C$1476)-((CROQUIS_DATOS!$C$1491+CROQUIS_DATOS!$C$1492))&gt;0.5),(CROQUIS_DATOS!$C$1567+(IF(IF(MOD(MIN(INT(($A145-1)/2)+1,MAX(1,INT(((((CROQUIS_DATOS!$C$1489+CROQUIS_DATOS!$C$1490))-(CROQUIS_DATOS!$C$1489))+((CROQUIS_DATOS!$C$1476)*CROQUIS_DATOS!$C$1561-((CROQUIS_DATOS!$C$1491+CROQUIS_DATOS!$C$1492))*CROQUIS_DATOS!$C$1561))/CROQUIS_DATOS!$C$1568-0.000001))),2)=1,IF(INT(($A145-1)/2)+1&gt;MAX(1,INT(((((CROQUIS_DATOS!$C$1489+CROQUIS_DATOS!$C$1490))-(CROQUIS_DATOS!$C$1489))+((CROQUIS_DATOS!$C$1476)*CROQUIS_DATOS!$C$1561-((CROQUIS_DATOS!$C$1491+CROQUIS_DATOS!$C$1492))*CROQUIS_DATOS!$C$1561))/CROQUIS_DATOS!$C$1568-0.000001)),1,MOD($A145-1,2)),1-IF(INT(($A145-1)/2)+1&gt;MAX(1,INT(((((CROQUIS_DATOS!$C$1489+CROQUIS_DATOS!$C$1490))-(CROQUIS_DATOS!$C$1489))+((CROQUIS_DATOS!$C$1476)*CROQUIS_DATOS!$C$1561-((CROQUIS_DATOS!$C$1491+CROQUIS_DATOS!$C$1492))*CROQUIS_DATOS!$C$1561))/CROQUIS_DATOS!$C$1568-0.000001)),1,MOD($A145-1,2)))=1,MIN((CROQUIS_DATOS!$C$1476)*CROQUIS_DATOS!$C$1561,((CROQUIS_DATOS!$C$1489+CROQUIS_DATOS!$C$1490)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145-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5">
        <f>IF(AND(CROQUIS_DATOS!$C$1472=1,CROQUIS_DATOS!$C$1478&gt;=4,((CROQUIS_DATOS!$C$1494+CROQUIS_DATOS!$C$1495))-(CROQUIS_DATOS!$C$1494)&gt;0.5,(CROQUIS_DATOS!$C$1496)-(0)&gt;0.5),(CROQUIS_DATOS!$C$1566+(IF(IF(MOD(MIN(INT(($A145-1)/2)+1,MAX(1,INT(((((CROQUIS_DATOS!$C$1494+CROQUIS_DATOS!$C$1495))-(CROQUIS_DATOS!$C$1494))+((CROQUIS_DATOS!$C$1496)*CROQUIS_DATOS!$C$1561-(0)*CROQUIS_DATOS!$C$1561))/CROQUIS_DATOS!$C$1568-0.000001))),2)=1,IF(INT(($A145-1)/2)+1&gt;MAX(1,INT(((((CROQUIS_DATOS!$C$1494+CROQUIS_DATOS!$C$1495))-(CROQUIS_DATOS!$C$1494))+((CROQUIS_DATOS!$C$1496)*CROQUIS_DATOS!$C$1561-(0)*CROQUIS_DATOS!$C$1561))/CROQUIS_DATOS!$C$1568-0.000001)),1,MOD($A145-1,2)),1-IF(INT(($A145-1)/2)+1&gt;MAX(1,INT(((((CROQUIS_DATOS!$C$1494+CROQUIS_DATOS!$C$1495))-(CROQUIS_DATOS!$C$1494))+((CROQUIS_DATOS!$C$1496)*CROQUIS_DATOS!$C$1561-(0)*CROQUIS_DATOS!$C$1561))/CROQUIS_DATOS!$C$1568-0.000001)),1,MOD($A145-1,2)))=1,MIN((CROQUIS_DATOS!$C$1496)*CROQUIS_DATOS!$C$1561,((CROQUIS_DATOS!$C$1494+CROQUIS_DATOS!$C$1495)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5">
        <f>IF(AND(CROQUIS_DATOS!$C$1472=1,CROQUIS_DATOS!$C$1478&gt;=4,((CROQUIS_DATOS!$C$1494+CROQUIS_DATOS!$C$1495))-(CROQUIS_DATOS!$C$1494)&gt;0.5,(CROQUIS_DATOS!$C$1496)-(0)&gt;0.5),(CROQUIS_DATOS!$C$1567+(IF(IF(MOD(MIN(INT(($A145-1)/2)+1,MAX(1,INT(((((CROQUIS_DATOS!$C$1494+CROQUIS_DATOS!$C$1495))-(CROQUIS_DATOS!$C$1494))+((CROQUIS_DATOS!$C$1496)*CROQUIS_DATOS!$C$1561-(0)*CROQUIS_DATOS!$C$1561))/CROQUIS_DATOS!$C$1568-0.000001))),2)=1,IF(INT(($A145-1)/2)+1&gt;MAX(1,INT(((((CROQUIS_DATOS!$C$1494+CROQUIS_DATOS!$C$1495))-(CROQUIS_DATOS!$C$1494))+((CROQUIS_DATOS!$C$1496)*CROQUIS_DATOS!$C$1561-(0)*CROQUIS_DATOS!$C$1561))/CROQUIS_DATOS!$C$1568-0.000001)),1,MOD($A145-1,2)),1-IF(INT(($A145-1)/2)+1&gt;MAX(1,INT(((((CROQUIS_DATOS!$C$1494+CROQUIS_DATOS!$C$1495))-(CROQUIS_DATOS!$C$1494))+((CROQUIS_DATOS!$C$1496)*CROQUIS_DATOS!$C$1561-(0)*CROQUIS_DATOS!$C$1561))/CROQUIS_DATOS!$C$1568-0.000001)),1,MOD($A145-1,2)))=1,MIN((CROQUIS_DATOS!$C$1496)*CROQUIS_DATOS!$C$1561,((CROQUIS_DATOS!$C$1494+CROQUIS_DATOS!$C$1495)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145-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5">
        <f>IF(AND(CROQUIS_DATOS!$C$1472=1,CROQUIS_DATOS!$C$1478&gt;=4,((CROQUIS_DATOS!$C$1494+CROQUIS_DATOS!$C$1495))-(CROQUIS_DATOS!$C$1494)&gt;0.5,(CROQUIS_DATOS!$C$1476)-((CROQUIS_DATOS!$C$1496+CROQUIS_DATOS!$C$1497))&gt;0.5),(CROQUIS_DATOS!$C$1566+(IF(IF(MOD(MIN(INT(($A145-1)/2)+1,MAX(1,INT(((((CROQUIS_DATOS!$C$1494+CROQUIS_DATOS!$C$1495))-(CROQUIS_DATOS!$C$1494))+((CROQUIS_DATOS!$C$1476)*CROQUIS_DATOS!$C$1561-((CROQUIS_DATOS!$C$1496+CROQUIS_DATOS!$C$1497))*CROQUIS_DATOS!$C$1561))/CROQUIS_DATOS!$C$1568-0.000001))),2)=1,IF(INT(($A145-1)/2)+1&gt;MAX(1,INT(((((CROQUIS_DATOS!$C$1494+CROQUIS_DATOS!$C$1495))-(CROQUIS_DATOS!$C$1494))+((CROQUIS_DATOS!$C$1476)*CROQUIS_DATOS!$C$1561-((CROQUIS_DATOS!$C$1496+CROQUIS_DATOS!$C$1497))*CROQUIS_DATOS!$C$1561))/CROQUIS_DATOS!$C$1568-0.000001)),1,MOD($A145-1,2)),1-IF(INT(($A145-1)/2)+1&gt;MAX(1,INT(((((CROQUIS_DATOS!$C$1494+CROQUIS_DATOS!$C$1495))-(CROQUIS_DATOS!$C$1494))+((CROQUIS_DATOS!$C$1476)*CROQUIS_DATOS!$C$1561-((CROQUIS_DATOS!$C$1496+CROQUIS_DATOS!$C$1497))*CROQUIS_DATOS!$C$1561))/CROQUIS_DATOS!$C$1568-0.000001)),1,MOD($A145-1,2)))=1,MIN((CROQUIS_DATOS!$C$1476)*CROQUIS_DATOS!$C$1561,((CROQUIS_DATOS!$C$1494+CROQUIS_DATOS!$C$1495)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5">
        <f>IF(AND(CROQUIS_DATOS!$C$1472=1,CROQUIS_DATOS!$C$1478&gt;=4,((CROQUIS_DATOS!$C$1494+CROQUIS_DATOS!$C$1495))-(CROQUIS_DATOS!$C$1494)&gt;0.5,(CROQUIS_DATOS!$C$1476)-((CROQUIS_DATOS!$C$1496+CROQUIS_DATOS!$C$1497))&gt;0.5),(CROQUIS_DATOS!$C$1567+(IF(IF(MOD(MIN(INT(($A145-1)/2)+1,MAX(1,INT(((((CROQUIS_DATOS!$C$1494+CROQUIS_DATOS!$C$1495))-(CROQUIS_DATOS!$C$1494))+((CROQUIS_DATOS!$C$1476)*CROQUIS_DATOS!$C$1561-((CROQUIS_DATOS!$C$1496+CROQUIS_DATOS!$C$1497))*CROQUIS_DATOS!$C$1561))/CROQUIS_DATOS!$C$1568-0.000001))),2)=1,IF(INT(($A145-1)/2)+1&gt;MAX(1,INT(((((CROQUIS_DATOS!$C$1494+CROQUIS_DATOS!$C$1495))-(CROQUIS_DATOS!$C$1494))+((CROQUIS_DATOS!$C$1476)*CROQUIS_DATOS!$C$1561-((CROQUIS_DATOS!$C$1496+CROQUIS_DATOS!$C$1497))*CROQUIS_DATOS!$C$1561))/CROQUIS_DATOS!$C$1568-0.000001)),1,MOD($A145-1,2)),1-IF(INT(($A145-1)/2)+1&gt;MAX(1,INT(((((CROQUIS_DATOS!$C$1494+CROQUIS_DATOS!$C$1495))-(CROQUIS_DATOS!$C$1494))+((CROQUIS_DATOS!$C$1476)*CROQUIS_DATOS!$C$1561-((CROQUIS_DATOS!$C$1496+CROQUIS_DATOS!$C$1497))*CROQUIS_DATOS!$C$1561))/CROQUIS_DATOS!$C$1568-0.000001)),1,MOD($A145-1,2)))=1,MIN((CROQUIS_DATOS!$C$1476)*CROQUIS_DATOS!$C$1561,((CROQUIS_DATOS!$C$1494+CROQUIS_DATOS!$C$1495)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145-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6">
      <c r="A146" t="n">
        <v>139</v>
      </c>
      <c r="N146">
        <f>IF(AND(CROQUIS_DATOS!$C$1472=1,1),(CROQUIS_DATOS!$C$1563+(IF(IF(IF(INT(($A146-1)/70)+1&gt;CROQUIS_DATOS!$C$1525,70,MOD($A146-1,70)+1)=1,0,IF(IF(INT(($A146-1)/70)+1&gt;CROQUIS_DATOS!$C$1525,70,MOD($A146-1,70)+1)&gt;2*CROQUIS_DATOS!$C$1541+1,IF(MOD(CROQUIS_DATOS!$C$1541,2)=1,1,0),IF(MOD(MIN(INT((IF(INT(($A146-1)/70)+1&gt;CROQUIS_DATOS!$C$1525,70,MOD($A146-1,70)+1)-2)/2)+1,CROQUIS_DATOS!$C$1541),2)=1,IF(MOD(IF(INT(($A146-1)/70)+1&gt;CROQUIS_DATOS!$C$1525,70,MOD($A146-1,70)+1)-2,2)=0,0,1),IF(MOD(IF(INT(($A146-1)/70)+1&gt;CROQUIS_DATOS!$C$1525,70,MOD($A146-1,70)+1)-2,2)=0,1,0))))=0,(INDEX($E$8:$E$23,MIN(INT(($A146-1)/70)+1,CROQUIS_DATOS!$C$1525))-INDEX($F$8:$F$23,MIN(INT(($A146-1)/70)+1,CROQUIS_DATOS!$C$1525))/2),(INDEX($E$8:$E$23,MIN(INT(($A146-1)/70)+1,CROQUIS_DATOS!$C$1525))+INDEX($F$8:$F$23,MIN(INT(($A146-1)/70)+1,CROQUIS_DATOS!$C$1525))/2)))*CROQUIS_DATOS!$C$1562),-1000)</f>
        <v>18.5775862068965</v>
      </c>
      <c r="O146">
        <f>IF(AND(CROQUIS_DATOS!$C$1472=1,1),(CROQUIS_DATOS!$C$1564+(IF(OR(IF(INT(($A146-1)/70)+1&gt;CROQUIS_DATOS!$C$1525,70,MOD($A146-1,70)+1)=1,IF(INT(($A146-1)/70)+1&gt;CROQUIS_DATOS!$C$1525,70,MOD($A146-1,70)+1)&gt;2*CROQUIS_DATOS!$C$1541+1),CROQUIS_DATOS!$C$1476,INDEX($H$8:$H$41,MIN(INT((IF(INT(($A146-1)/70)+1&gt;CROQUIS_DATOS!$C$1525,70,MOD($A146-1,70)+1)-2)/2)+1,CROQUIS_DATOS!$C$1541))))*CROQUIS_DATOS!$C$1561*CROQUIS_DATOS!$C$1562),-1000)</f>
        <v>40.2068965517241</v>
      </c>
      <c r="P146">
        <f>IF(AND(CROQUIS_DATOS!$C$1472=1,CROQUIS_DATOS!$C$1555=1),(CROQUIS_DATOS!$C$1563+(IF(IF(OR(MOD($A146-1,62)+1=1,IF(CHOOSE(MIN(MAX(MIN(INT(($A146-1)/62)+1,5),1),5),CROQUIS_DATOS!$C$1501,CROQUIS_DATOS!$C$1505,CROQUIS_DATOS!$C$1509,CROQUIS_DATOS!$C$1513,CROQUIS_DATOS!$C$1517)=1,CROQUIS_DATOS!$C$1557,0)=0),0,IF(MOD($A146-1,62)+1&gt;2*IF(CHOOSE(MIN(MAX(MIN(INT(($A146-1)/62)+1,5),1),5),CROQUIS_DATOS!$C$1501,CROQUIS_DATOS!$C$1505,CROQUIS_DATOS!$C$1509,CROQUIS_DATOS!$C$1513,CROQUIS_DATOS!$C$1517)=1,CROQUIS_DATOS!$C$1557,0)+1,IF(MOD(IF(CHOOSE(MIN(MAX(MIN(INT(($A146-1)/62)+1,5),1),5),CROQUIS_DATOS!$C$1501,CROQUIS_DATOS!$C$1505,CROQUIS_DATOS!$C$1509,CROQUIS_DATOS!$C$1513,CROQUIS_DATOS!$C$1517)=1,CROQUIS_DATOS!$C$1557,0),2)=1,1,0),IF(MOD(MIN(INT((MOD($A146-1,62)+1-2)/2)+1,MAX(IF(CHOOSE(MIN(MAX(MIN(INT(($A146-1)/62)+1,5),1),5),CROQUIS_DATOS!$C$1501,CROQUIS_DATOS!$C$1505,CROQUIS_DATOS!$C$1509,CROQUIS_DATOS!$C$1513,CROQUIS_DATOS!$C$1517)=1,CROQUIS_DATOS!$C$1557,0),1)),2)=1,IF(MOD(MOD($A146-1,62)+1-2,2)=0,0,1),IF(MOD(MOD($A146-1,62)+1-2,2)=0,1,0))))=0,(CHOOSE(MIN(MAX(MIN(INT(($A146-1)/62)+1,5),1),5),CROQUIS_DATOS!$C$1499,CROQUIS_DATOS!$C$1503,CROQUIS_DATOS!$C$1507,CROQUIS_DATOS!$C$1511,CROQUIS_DATOS!$C$1515)+IF(CHOOSE(MIN(MAX(MIN(INT(($A146-1)/62)+1,5),1),5),CROQUIS_DATOS!$C$1501,CROQUIS_DATOS!$C$1505,CROQUIS_DATOS!$C$1509,CROQUIS_DATOS!$C$1513,CROQUIS_DATOS!$C$1517)=1,CROQUIS_DATOS!$C$1526,0)),(CHOOSE(MIN(MAX(MIN(INT(($A146-1)/62)+1,5),1),5),CROQUIS_DATOS!$C$1499,CROQUIS_DATOS!$C$1503,CROQUIS_DATOS!$C$1507,CROQUIS_DATOS!$C$1511,CROQUIS_DATOS!$C$1515)+CHOOSE(MIN(MAX(MIN(INT(($A146-1)/62)+1,5),1),5),CROQUIS_DATOS!$C$1500,CROQUIS_DATOS!$C$1504,CROQUIS_DATOS!$C$1508,CROQUIS_DATOS!$C$1512,CROQUIS_DATOS!$C$1516)-IF(CHOOSE(MIN(MAX(MIN(INT(($A146-1)/62)+1,5),1),5),CROQUIS_DATOS!$C$1501,CROQUIS_DATOS!$C$1505,CROQUIS_DATOS!$C$1509,CROQUIS_DATOS!$C$1513,CROQUIS_DATOS!$C$1517)=1,CROQUIS_DATOS!$C$1526,0))))*CROQUIS_DATOS!$C$1562),-1000)</f>
        <v>-1000</v>
      </c>
      <c r="Q146">
        <f>IF(AND(CROQUIS_DATOS!$C$1472=1,CROQUIS_DATOS!$C$1555=1),(CROQUIS_DATOS!$C$1564+(IF(OR(OR(MOD($A146-1,62)+1=1,IF(CHOOSE(MIN(MAX(MIN(INT(($A146-1)/62)+1,5),1),5),CROQUIS_DATOS!$C$1501,CROQUIS_DATOS!$C$1505,CROQUIS_DATOS!$C$1509,CROQUIS_DATOS!$C$1513,CROQUIS_DATOS!$C$1517)=1,CROQUIS_DATOS!$C$1557,0)=0),MOD($A146-1,62)+1&gt;2*IF(CHOOSE(MIN(MAX(MIN(INT(($A146-1)/62)+1,5),1),5),CROQUIS_DATOS!$C$1501,CROQUIS_DATOS!$C$1505,CROQUIS_DATOS!$C$1509,CROQUIS_DATOS!$C$1513,CROQUIS_DATOS!$C$1517)=1,CROQUIS_DATOS!$C$1557,0)+1),CROQUIS_DATOS!$C$1476,MIN(INT((MOD($A146-1,62)+1-2)/2)+1,MAX(IF(CHOOSE(MIN(MAX(MIN(INT(($A146-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6">
        <f>IF(AND(CROQUIS_DATOS!$C$1472=1,1),(CROQUIS_DATOS!$C$1563+(MIN(INT(($A146-1)/2)+1,CROQUIS_DATOS!$C$1558)*CROQUIS_DATOS!$C$1559)*CROQUIS_DATOS!$C$1562),-1000)</f>
        <v>82.2281167108753</v>
      </c>
      <c r="U146">
        <f>IF(AND(CROQUIS_DATOS!$C$1472=1,1),(CROQUIS_DATOS!$C$1564+(IF(INT(($A146-1)/2)+1&gt;CROQUIS_DATOS!$C$1558,IF(MOD(CROQUIS_DATOS!$C$1558,2)=1,CROQUIS_DATOS!$C$1476+CROQUIS_DATOS!$C$1528,CROQUIS_DATOS!$C$1476),IF(IF(MOD(MIN(INT(($A146-1)/2)+1,CROQUIS_DATOS!$C$1558),2)=1,MOD($A146-1,2),1-MOD($A146-1,2))=1,CROQUIS_DATOS!$C$1476+CROQUIS_DATOS!$C$1528,CROQUIS_DATOS!$C$1476)))*CROQUIS_DATOS!$C$1561*CROQUIS_DATOS!$C$1562),-1000)</f>
        <v>43</v>
      </c>
      <c r="BZ146">
        <f>IF(AND(CROQUIS_DATOS!$C$1472=1,CROQUIS_DATOS!$C$1500&gt;0,((CROQUIS_DATOS!$C$1499+CROQUIS_DATOS!$C$1500))-(CROQUIS_DATOS!$C$1499)&gt;0.5,(CROQUIS_DATOS!$C$1476)-(0)&gt;0.5),(CROQUIS_DATOS!$C$1566+(IF(IF(MOD(MIN(INT(($A146-1)/2)+1,MAX(1,INT(((((CROQUIS_DATOS!$C$1499+CROQUIS_DATOS!$C$1500))-(CROQUIS_DATOS!$C$1499))+((CROQUIS_DATOS!$C$1476)*CROQUIS_DATOS!$C$1561-(0)*CROQUIS_DATOS!$C$1561))/CROQUIS_DATOS!$C$1568-0.000001))),2)=1,IF(INT(($A146-1)/2)+1&gt;MAX(1,INT(((((CROQUIS_DATOS!$C$1499+CROQUIS_DATOS!$C$1500))-(CROQUIS_DATOS!$C$1499))+((CROQUIS_DATOS!$C$1476)*CROQUIS_DATOS!$C$1561-(0)*CROQUIS_DATOS!$C$1561))/CROQUIS_DATOS!$C$1568-0.000001)),1,MOD($A146-1,2)),1-IF(INT(($A146-1)/2)+1&gt;MAX(1,INT(((((CROQUIS_DATOS!$C$1499+CROQUIS_DATOS!$C$1500))-(CROQUIS_DATOS!$C$1499))+((CROQUIS_DATOS!$C$1476)*CROQUIS_DATOS!$C$1561-(0)*CROQUIS_DATOS!$C$1561))/CROQUIS_DATOS!$C$1568-0.000001)),1,MOD($A146-1,2)))=1,MIN((CROQUIS_DATOS!$C$1476)*CROQUIS_DATOS!$C$1561,((CROQUIS_DATOS!$C$1499+CROQUIS_DATOS!$C$1500)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6">
        <f>IF(AND(CROQUIS_DATOS!$C$1472=1,CROQUIS_DATOS!$C$1500&gt;0,((CROQUIS_DATOS!$C$1499+CROQUIS_DATOS!$C$1500))-(CROQUIS_DATOS!$C$1499)&gt;0.5,(CROQUIS_DATOS!$C$1476)-(0)&gt;0.5),(CROQUIS_DATOS!$C$1567+(IF(IF(MOD(MIN(INT(($A146-1)/2)+1,MAX(1,INT(((((CROQUIS_DATOS!$C$1499+CROQUIS_DATOS!$C$1500))-(CROQUIS_DATOS!$C$1499))+((CROQUIS_DATOS!$C$1476)*CROQUIS_DATOS!$C$1561-(0)*CROQUIS_DATOS!$C$1561))/CROQUIS_DATOS!$C$1568-0.000001))),2)=1,IF(INT(($A146-1)/2)+1&gt;MAX(1,INT(((((CROQUIS_DATOS!$C$1499+CROQUIS_DATOS!$C$1500))-(CROQUIS_DATOS!$C$1499))+((CROQUIS_DATOS!$C$1476)*CROQUIS_DATOS!$C$1561-(0)*CROQUIS_DATOS!$C$1561))/CROQUIS_DATOS!$C$1568-0.000001)),1,MOD($A146-1,2)),1-IF(INT(($A146-1)/2)+1&gt;MAX(1,INT(((((CROQUIS_DATOS!$C$1499+CROQUIS_DATOS!$C$1500))-(CROQUIS_DATOS!$C$1499))+((CROQUIS_DATOS!$C$1476)*CROQUIS_DATOS!$C$1561-(0)*CROQUIS_DATOS!$C$1561))/CROQUIS_DATOS!$C$1568-0.000001)),1,MOD($A146-1,2)))=1,MIN((CROQUIS_DATOS!$C$1476)*CROQUIS_DATOS!$C$1561,((CROQUIS_DATOS!$C$1499+CROQUIS_DATOS!$C$1500)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146-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6">
        <f>IF(AND(CROQUIS_DATOS!$C$1472=1,CROQUIS_DATOS!$C$1504&gt;0,((CROQUIS_DATOS!$C$1503+CROQUIS_DATOS!$C$1504))-(CROQUIS_DATOS!$C$1503)&gt;0.5,(CROQUIS_DATOS!$C$1476)-(0)&gt;0.5),(CROQUIS_DATOS!$C$1566+(IF(IF(MOD(MIN(INT(($A146-1)/2)+1,MAX(1,INT(((((CROQUIS_DATOS!$C$1503+CROQUIS_DATOS!$C$1504))-(CROQUIS_DATOS!$C$1503))+((CROQUIS_DATOS!$C$1476)*CROQUIS_DATOS!$C$1561-(0)*CROQUIS_DATOS!$C$1561))/CROQUIS_DATOS!$C$1568-0.000001))),2)=1,IF(INT(($A146-1)/2)+1&gt;MAX(1,INT(((((CROQUIS_DATOS!$C$1503+CROQUIS_DATOS!$C$1504))-(CROQUIS_DATOS!$C$1503))+((CROQUIS_DATOS!$C$1476)*CROQUIS_DATOS!$C$1561-(0)*CROQUIS_DATOS!$C$1561))/CROQUIS_DATOS!$C$1568-0.000001)),1,MOD($A146-1,2)),1-IF(INT(($A146-1)/2)+1&gt;MAX(1,INT(((((CROQUIS_DATOS!$C$1503+CROQUIS_DATOS!$C$1504))-(CROQUIS_DATOS!$C$1503))+((CROQUIS_DATOS!$C$1476)*CROQUIS_DATOS!$C$1561-(0)*CROQUIS_DATOS!$C$1561))/CROQUIS_DATOS!$C$1568-0.000001)),1,MOD($A146-1,2)))=1,MIN((CROQUIS_DATOS!$C$1476)*CROQUIS_DATOS!$C$1561,((CROQUIS_DATOS!$C$1503+CROQUIS_DATOS!$C$1504)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6">
        <f>IF(AND(CROQUIS_DATOS!$C$1472=1,CROQUIS_DATOS!$C$1504&gt;0,((CROQUIS_DATOS!$C$1503+CROQUIS_DATOS!$C$1504))-(CROQUIS_DATOS!$C$1503)&gt;0.5,(CROQUIS_DATOS!$C$1476)-(0)&gt;0.5),(CROQUIS_DATOS!$C$1567+(IF(IF(MOD(MIN(INT(($A146-1)/2)+1,MAX(1,INT(((((CROQUIS_DATOS!$C$1503+CROQUIS_DATOS!$C$1504))-(CROQUIS_DATOS!$C$1503))+((CROQUIS_DATOS!$C$1476)*CROQUIS_DATOS!$C$1561-(0)*CROQUIS_DATOS!$C$1561))/CROQUIS_DATOS!$C$1568-0.000001))),2)=1,IF(INT(($A146-1)/2)+1&gt;MAX(1,INT(((((CROQUIS_DATOS!$C$1503+CROQUIS_DATOS!$C$1504))-(CROQUIS_DATOS!$C$1503))+((CROQUIS_DATOS!$C$1476)*CROQUIS_DATOS!$C$1561-(0)*CROQUIS_DATOS!$C$1561))/CROQUIS_DATOS!$C$1568-0.000001)),1,MOD($A146-1,2)),1-IF(INT(($A146-1)/2)+1&gt;MAX(1,INT(((((CROQUIS_DATOS!$C$1503+CROQUIS_DATOS!$C$1504))-(CROQUIS_DATOS!$C$1503))+((CROQUIS_DATOS!$C$1476)*CROQUIS_DATOS!$C$1561-(0)*CROQUIS_DATOS!$C$1561))/CROQUIS_DATOS!$C$1568-0.000001)),1,MOD($A146-1,2)))=1,MIN((CROQUIS_DATOS!$C$1476)*CROQUIS_DATOS!$C$1561,((CROQUIS_DATOS!$C$1503+CROQUIS_DATOS!$C$1504)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146-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6">
        <f>IF(AND(CROQUIS_DATOS!$C$1472=1,CROQUIS_DATOS!$C$1508&gt;0,((CROQUIS_DATOS!$C$1507+CROQUIS_DATOS!$C$1508))-(CROQUIS_DATOS!$C$1507)&gt;0.5,(CROQUIS_DATOS!$C$1476)-(0)&gt;0.5),(CROQUIS_DATOS!$C$1566+(IF(IF(MOD(MIN(INT(($A146-1)/2)+1,MAX(1,INT(((((CROQUIS_DATOS!$C$1507+CROQUIS_DATOS!$C$1508))-(CROQUIS_DATOS!$C$1507))+((CROQUIS_DATOS!$C$1476)*CROQUIS_DATOS!$C$1561-(0)*CROQUIS_DATOS!$C$1561))/CROQUIS_DATOS!$C$1568-0.000001))),2)=1,IF(INT(($A146-1)/2)+1&gt;MAX(1,INT(((((CROQUIS_DATOS!$C$1507+CROQUIS_DATOS!$C$1508))-(CROQUIS_DATOS!$C$1507))+((CROQUIS_DATOS!$C$1476)*CROQUIS_DATOS!$C$1561-(0)*CROQUIS_DATOS!$C$1561))/CROQUIS_DATOS!$C$1568-0.000001)),1,MOD($A146-1,2)),1-IF(INT(($A146-1)/2)+1&gt;MAX(1,INT(((((CROQUIS_DATOS!$C$1507+CROQUIS_DATOS!$C$1508))-(CROQUIS_DATOS!$C$1507))+((CROQUIS_DATOS!$C$1476)*CROQUIS_DATOS!$C$1561-(0)*CROQUIS_DATOS!$C$1561))/CROQUIS_DATOS!$C$1568-0.000001)),1,MOD($A146-1,2)))=1,MIN((CROQUIS_DATOS!$C$1476)*CROQUIS_DATOS!$C$1561,((CROQUIS_DATOS!$C$1507+CROQUIS_DATOS!$C$1508)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6">
        <f>IF(AND(CROQUIS_DATOS!$C$1472=1,CROQUIS_DATOS!$C$1508&gt;0,((CROQUIS_DATOS!$C$1507+CROQUIS_DATOS!$C$1508))-(CROQUIS_DATOS!$C$1507)&gt;0.5,(CROQUIS_DATOS!$C$1476)-(0)&gt;0.5),(CROQUIS_DATOS!$C$1567+(IF(IF(MOD(MIN(INT(($A146-1)/2)+1,MAX(1,INT(((((CROQUIS_DATOS!$C$1507+CROQUIS_DATOS!$C$1508))-(CROQUIS_DATOS!$C$1507))+((CROQUIS_DATOS!$C$1476)*CROQUIS_DATOS!$C$1561-(0)*CROQUIS_DATOS!$C$1561))/CROQUIS_DATOS!$C$1568-0.000001))),2)=1,IF(INT(($A146-1)/2)+1&gt;MAX(1,INT(((((CROQUIS_DATOS!$C$1507+CROQUIS_DATOS!$C$1508))-(CROQUIS_DATOS!$C$1507))+((CROQUIS_DATOS!$C$1476)*CROQUIS_DATOS!$C$1561-(0)*CROQUIS_DATOS!$C$1561))/CROQUIS_DATOS!$C$1568-0.000001)),1,MOD($A146-1,2)),1-IF(INT(($A146-1)/2)+1&gt;MAX(1,INT(((((CROQUIS_DATOS!$C$1507+CROQUIS_DATOS!$C$1508))-(CROQUIS_DATOS!$C$1507))+((CROQUIS_DATOS!$C$1476)*CROQUIS_DATOS!$C$1561-(0)*CROQUIS_DATOS!$C$1561))/CROQUIS_DATOS!$C$1568-0.000001)),1,MOD($A146-1,2)))=1,MIN((CROQUIS_DATOS!$C$1476)*CROQUIS_DATOS!$C$1561,((CROQUIS_DATOS!$C$1507+CROQUIS_DATOS!$C$1508)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146-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6">
        <f>IF(AND(CROQUIS_DATOS!$C$1472=1,CROQUIS_DATOS!$C$1512&gt;0,((CROQUIS_DATOS!$C$1511+CROQUIS_DATOS!$C$1512))-(CROQUIS_DATOS!$C$1511)&gt;0.5,(CROQUIS_DATOS!$C$1476)-(0)&gt;0.5),(CROQUIS_DATOS!$C$1566+(IF(IF(MOD(MIN(INT(($A146-1)/2)+1,MAX(1,INT(((((CROQUIS_DATOS!$C$1511+CROQUIS_DATOS!$C$1512))-(CROQUIS_DATOS!$C$1511))+((CROQUIS_DATOS!$C$1476)*CROQUIS_DATOS!$C$1561-(0)*CROQUIS_DATOS!$C$1561))/CROQUIS_DATOS!$C$1568-0.000001))),2)=1,IF(INT(($A146-1)/2)+1&gt;MAX(1,INT(((((CROQUIS_DATOS!$C$1511+CROQUIS_DATOS!$C$1512))-(CROQUIS_DATOS!$C$1511))+((CROQUIS_DATOS!$C$1476)*CROQUIS_DATOS!$C$1561-(0)*CROQUIS_DATOS!$C$1561))/CROQUIS_DATOS!$C$1568-0.000001)),1,MOD($A146-1,2)),1-IF(INT(($A146-1)/2)+1&gt;MAX(1,INT(((((CROQUIS_DATOS!$C$1511+CROQUIS_DATOS!$C$1512))-(CROQUIS_DATOS!$C$1511))+((CROQUIS_DATOS!$C$1476)*CROQUIS_DATOS!$C$1561-(0)*CROQUIS_DATOS!$C$1561))/CROQUIS_DATOS!$C$1568-0.000001)),1,MOD($A146-1,2)))=1,MIN((CROQUIS_DATOS!$C$1476)*CROQUIS_DATOS!$C$1561,((CROQUIS_DATOS!$C$1511+CROQUIS_DATOS!$C$1512)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6">
        <f>IF(AND(CROQUIS_DATOS!$C$1472=1,CROQUIS_DATOS!$C$1512&gt;0,((CROQUIS_DATOS!$C$1511+CROQUIS_DATOS!$C$1512))-(CROQUIS_DATOS!$C$1511)&gt;0.5,(CROQUIS_DATOS!$C$1476)-(0)&gt;0.5),(CROQUIS_DATOS!$C$1567+(IF(IF(MOD(MIN(INT(($A146-1)/2)+1,MAX(1,INT(((((CROQUIS_DATOS!$C$1511+CROQUIS_DATOS!$C$1512))-(CROQUIS_DATOS!$C$1511))+((CROQUIS_DATOS!$C$1476)*CROQUIS_DATOS!$C$1561-(0)*CROQUIS_DATOS!$C$1561))/CROQUIS_DATOS!$C$1568-0.000001))),2)=1,IF(INT(($A146-1)/2)+1&gt;MAX(1,INT(((((CROQUIS_DATOS!$C$1511+CROQUIS_DATOS!$C$1512))-(CROQUIS_DATOS!$C$1511))+((CROQUIS_DATOS!$C$1476)*CROQUIS_DATOS!$C$1561-(0)*CROQUIS_DATOS!$C$1561))/CROQUIS_DATOS!$C$1568-0.000001)),1,MOD($A146-1,2)),1-IF(INT(($A146-1)/2)+1&gt;MAX(1,INT(((((CROQUIS_DATOS!$C$1511+CROQUIS_DATOS!$C$1512))-(CROQUIS_DATOS!$C$1511))+((CROQUIS_DATOS!$C$1476)*CROQUIS_DATOS!$C$1561-(0)*CROQUIS_DATOS!$C$1561))/CROQUIS_DATOS!$C$1568-0.000001)),1,MOD($A146-1,2)))=1,MIN((CROQUIS_DATOS!$C$1476)*CROQUIS_DATOS!$C$1561,((CROQUIS_DATOS!$C$1511+CROQUIS_DATOS!$C$1512)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146-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6">
        <f>IF(AND(CROQUIS_DATOS!$C$1472=1,CROQUIS_DATOS!$C$1516&gt;0,((CROQUIS_DATOS!$C$1515+CROQUIS_DATOS!$C$1516))-(CROQUIS_DATOS!$C$1515)&gt;0.5,(CROQUIS_DATOS!$C$1476)-(0)&gt;0.5),(CROQUIS_DATOS!$C$1566+(IF(IF(MOD(MIN(INT(($A146-1)/2)+1,MAX(1,INT(((((CROQUIS_DATOS!$C$1515+CROQUIS_DATOS!$C$1516))-(CROQUIS_DATOS!$C$1515))+((CROQUIS_DATOS!$C$1476)*CROQUIS_DATOS!$C$1561-(0)*CROQUIS_DATOS!$C$1561))/CROQUIS_DATOS!$C$1568-0.000001))),2)=1,IF(INT(($A146-1)/2)+1&gt;MAX(1,INT(((((CROQUIS_DATOS!$C$1515+CROQUIS_DATOS!$C$1516))-(CROQUIS_DATOS!$C$1515))+((CROQUIS_DATOS!$C$1476)*CROQUIS_DATOS!$C$1561-(0)*CROQUIS_DATOS!$C$1561))/CROQUIS_DATOS!$C$1568-0.000001)),1,MOD($A146-1,2)),1-IF(INT(($A146-1)/2)+1&gt;MAX(1,INT(((((CROQUIS_DATOS!$C$1515+CROQUIS_DATOS!$C$1516))-(CROQUIS_DATOS!$C$1515))+((CROQUIS_DATOS!$C$1476)*CROQUIS_DATOS!$C$1561-(0)*CROQUIS_DATOS!$C$1561))/CROQUIS_DATOS!$C$1568-0.000001)),1,MOD($A146-1,2)))=1,MIN((CROQUIS_DATOS!$C$1476)*CROQUIS_DATOS!$C$1561,((CROQUIS_DATOS!$C$1515+CROQUIS_DATOS!$C$1516)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6">
        <f>IF(AND(CROQUIS_DATOS!$C$1472=1,CROQUIS_DATOS!$C$1516&gt;0,((CROQUIS_DATOS!$C$1515+CROQUIS_DATOS!$C$1516))-(CROQUIS_DATOS!$C$1515)&gt;0.5,(CROQUIS_DATOS!$C$1476)-(0)&gt;0.5),(CROQUIS_DATOS!$C$1567+(IF(IF(MOD(MIN(INT(($A146-1)/2)+1,MAX(1,INT(((((CROQUIS_DATOS!$C$1515+CROQUIS_DATOS!$C$1516))-(CROQUIS_DATOS!$C$1515))+((CROQUIS_DATOS!$C$1476)*CROQUIS_DATOS!$C$1561-(0)*CROQUIS_DATOS!$C$1561))/CROQUIS_DATOS!$C$1568-0.000001))),2)=1,IF(INT(($A146-1)/2)+1&gt;MAX(1,INT(((((CROQUIS_DATOS!$C$1515+CROQUIS_DATOS!$C$1516))-(CROQUIS_DATOS!$C$1515))+((CROQUIS_DATOS!$C$1476)*CROQUIS_DATOS!$C$1561-(0)*CROQUIS_DATOS!$C$1561))/CROQUIS_DATOS!$C$1568-0.000001)),1,MOD($A146-1,2)),1-IF(INT(($A146-1)/2)+1&gt;MAX(1,INT(((((CROQUIS_DATOS!$C$1515+CROQUIS_DATOS!$C$1516))-(CROQUIS_DATOS!$C$1515))+((CROQUIS_DATOS!$C$1476)*CROQUIS_DATOS!$C$1561-(0)*CROQUIS_DATOS!$C$1561))/CROQUIS_DATOS!$C$1568-0.000001)),1,MOD($A146-1,2)))=1,MIN((CROQUIS_DATOS!$C$1476)*CROQUIS_DATOS!$C$1561,((CROQUIS_DATOS!$C$1515+CROQUIS_DATOS!$C$1516)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146-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6">
        <f>IF(AND(CROQUIS_DATOS!$C$1472=1,CROQUIS_DATOS!$C$1478&gt;=1,((CROQUIS_DATOS!$C$1479+CROQUIS_DATOS!$C$1480))-(CROQUIS_DATOS!$C$1479)&gt;0.5,(CROQUIS_DATOS!$C$1481)-(0)&gt;0.5),(CROQUIS_DATOS!$C$1566+(IF(IF(MOD(MIN(INT(($A146-1)/2)+1,MAX(1,INT(((((CROQUIS_DATOS!$C$1479+CROQUIS_DATOS!$C$1480))-(CROQUIS_DATOS!$C$1479))+((CROQUIS_DATOS!$C$1481)*CROQUIS_DATOS!$C$1561-(0)*CROQUIS_DATOS!$C$1561))/CROQUIS_DATOS!$C$1568-0.000001))),2)=1,IF(INT(($A146-1)/2)+1&gt;MAX(1,INT(((((CROQUIS_DATOS!$C$1479+CROQUIS_DATOS!$C$1480))-(CROQUIS_DATOS!$C$1479))+((CROQUIS_DATOS!$C$1481)*CROQUIS_DATOS!$C$1561-(0)*CROQUIS_DATOS!$C$1561))/CROQUIS_DATOS!$C$1568-0.000001)),1,MOD($A146-1,2)),1-IF(INT(($A146-1)/2)+1&gt;MAX(1,INT(((((CROQUIS_DATOS!$C$1479+CROQUIS_DATOS!$C$1480))-(CROQUIS_DATOS!$C$1479))+((CROQUIS_DATOS!$C$1481)*CROQUIS_DATOS!$C$1561-(0)*CROQUIS_DATOS!$C$1561))/CROQUIS_DATOS!$C$1568-0.000001)),1,MOD($A146-1,2)))=1,MIN((CROQUIS_DATOS!$C$1481)*CROQUIS_DATOS!$C$1561,((CROQUIS_DATOS!$C$1479+CROQUIS_DATOS!$C$1480)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6">
        <f>IF(AND(CROQUIS_DATOS!$C$1472=1,CROQUIS_DATOS!$C$1478&gt;=1,((CROQUIS_DATOS!$C$1479+CROQUIS_DATOS!$C$1480))-(CROQUIS_DATOS!$C$1479)&gt;0.5,(CROQUIS_DATOS!$C$1481)-(0)&gt;0.5),(CROQUIS_DATOS!$C$1567+(IF(IF(MOD(MIN(INT(($A146-1)/2)+1,MAX(1,INT(((((CROQUIS_DATOS!$C$1479+CROQUIS_DATOS!$C$1480))-(CROQUIS_DATOS!$C$1479))+((CROQUIS_DATOS!$C$1481)*CROQUIS_DATOS!$C$1561-(0)*CROQUIS_DATOS!$C$1561))/CROQUIS_DATOS!$C$1568-0.000001))),2)=1,IF(INT(($A146-1)/2)+1&gt;MAX(1,INT(((((CROQUIS_DATOS!$C$1479+CROQUIS_DATOS!$C$1480))-(CROQUIS_DATOS!$C$1479))+((CROQUIS_DATOS!$C$1481)*CROQUIS_DATOS!$C$1561-(0)*CROQUIS_DATOS!$C$1561))/CROQUIS_DATOS!$C$1568-0.000001)),1,MOD($A146-1,2)),1-IF(INT(($A146-1)/2)+1&gt;MAX(1,INT(((((CROQUIS_DATOS!$C$1479+CROQUIS_DATOS!$C$1480))-(CROQUIS_DATOS!$C$1479))+((CROQUIS_DATOS!$C$1481)*CROQUIS_DATOS!$C$1561-(0)*CROQUIS_DATOS!$C$1561))/CROQUIS_DATOS!$C$1568-0.000001)),1,MOD($A146-1,2)))=1,MIN((CROQUIS_DATOS!$C$1481)*CROQUIS_DATOS!$C$1561,((CROQUIS_DATOS!$C$1479+CROQUIS_DATOS!$C$1480)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146-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6">
        <f>IF(AND(CROQUIS_DATOS!$C$1472=1,CROQUIS_DATOS!$C$1478&gt;=1,((CROQUIS_DATOS!$C$1479+CROQUIS_DATOS!$C$1480))-(CROQUIS_DATOS!$C$1479)&gt;0.5,(CROQUIS_DATOS!$C$1476)-((CROQUIS_DATOS!$C$1481+CROQUIS_DATOS!$C$1482))&gt;0.5),(CROQUIS_DATOS!$C$1566+(IF(IF(MOD(MIN(INT(($A146-1)/2)+1,MAX(1,INT(((((CROQUIS_DATOS!$C$1479+CROQUIS_DATOS!$C$1480))-(CROQUIS_DATOS!$C$1479))+((CROQUIS_DATOS!$C$1476)*CROQUIS_DATOS!$C$1561-((CROQUIS_DATOS!$C$1481+CROQUIS_DATOS!$C$1482))*CROQUIS_DATOS!$C$1561))/CROQUIS_DATOS!$C$1568-0.000001))),2)=1,IF(INT(($A146-1)/2)+1&gt;MAX(1,INT(((((CROQUIS_DATOS!$C$1479+CROQUIS_DATOS!$C$1480))-(CROQUIS_DATOS!$C$1479))+((CROQUIS_DATOS!$C$1476)*CROQUIS_DATOS!$C$1561-((CROQUIS_DATOS!$C$1481+CROQUIS_DATOS!$C$1482))*CROQUIS_DATOS!$C$1561))/CROQUIS_DATOS!$C$1568-0.000001)),1,MOD($A146-1,2)),1-IF(INT(($A146-1)/2)+1&gt;MAX(1,INT(((((CROQUIS_DATOS!$C$1479+CROQUIS_DATOS!$C$1480))-(CROQUIS_DATOS!$C$1479))+((CROQUIS_DATOS!$C$1476)*CROQUIS_DATOS!$C$1561-((CROQUIS_DATOS!$C$1481+CROQUIS_DATOS!$C$1482))*CROQUIS_DATOS!$C$1561))/CROQUIS_DATOS!$C$1568-0.000001)),1,MOD($A146-1,2)))=1,MIN((CROQUIS_DATOS!$C$1476)*CROQUIS_DATOS!$C$1561,((CROQUIS_DATOS!$C$1479+CROQUIS_DATOS!$C$1480)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6">
        <f>IF(AND(CROQUIS_DATOS!$C$1472=1,CROQUIS_DATOS!$C$1478&gt;=1,((CROQUIS_DATOS!$C$1479+CROQUIS_DATOS!$C$1480))-(CROQUIS_DATOS!$C$1479)&gt;0.5,(CROQUIS_DATOS!$C$1476)-((CROQUIS_DATOS!$C$1481+CROQUIS_DATOS!$C$1482))&gt;0.5),(CROQUIS_DATOS!$C$1567+(IF(IF(MOD(MIN(INT(($A146-1)/2)+1,MAX(1,INT(((((CROQUIS_DATOS!$C$1479+CROQUIS_DATOS!$C$1480))-(CROQUIS_DATOS!$C$1479))+((CROQUIS_DATOS!$C$1476)*CROQUIS_DATOS!$C$1561-((CROQUIS_DATOS!$C$1481+CROQUIS_DATOS!$C$1482))*CROQUIS_DATOS!$C$1561))/CROQUIS_DATOS!$C$1568-0.000001))),2)=1,IF(INT(($A146-1)/2)+1&gt;MAX(1,INT(((((CROQUIS_DATOS!$C$1479+CROQUIS_DATOS!$C$1480))-(CROQUIS_DATOS!$C$1479))+((CROQUIS_DATOS!$C$1476)*CROQUIS_DATOS!$C$1561-((CROQUIS_DATOS!$C$1481+CROQUIS_DATOS!$C$1482))*CROQUIS_DATOS!$C$1561))/CROQUIS_DATOS!$C$1568-0.000001)),1,MOD($A146-1,2)),1-IF(INT(($A146-1)/2)+1&gt;MAX(1,INT(((((CROQUIS_DATOS!$C$1479+CROQUIS_DATOS!$C$1480))-(CROQUIS_DATOS!$C$1479))+((CROQUIS_DATOS!$C$1476)*CROQUIS_DATOS!$C$1561-((CROQUIS_DATOS!$C$1481+CROQUIS_DATOS!$C$1482))*CROQUIS_DATOS!$C$1561))/CROQUIS_DATOS!$C$1568-0.000001)),1,MOD($A146-1,2)))=1,MIN((CROQUIS_DATOS!$C$1476)*CROQUIS_DATOS!$C$1561,((CROQUIS_DATOS!$C$1479+CROQUIS_DATOS!$C$1480)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146-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6">
        <f>IF(AND(CROQUIS_DATOS!$C$1472=1,CROQUIS_DATOS!$C$1478&gt;=2,((CROQUIS_DATOS!$C$1484+CROQUIS_DATOS!$C$1485))-(CROQUIS_DATOS!$C$1484)&gt;0.5,(CROQUIS_DATOS!$C$1486)-(0)&gt;0.5),(CROQUIS_DATOS!$C$1566+(IF(IF(MOD(MIN(INT(($A146-1)/2)+1,MAX(1,INT(((((CROQUIS_DATOS!$C$1484+CROQUIS_DATOS!$C$1485))-(CROQUIS_DATOS!$C$1484))+((CROQUIS_DATOS!$C$1486)*CROQUIS_DATOS!$C$1561-(0)*CROQUIS_DATOS!$C$1561))/CROQUIS_DATOS!$C$1568-0.000001))),2)=1,IF(INT(($A146-1)/2)+1&gt;MAX(1,INT(((((CROQUIS_DATOS!$C$1484+CROQUIS_DATOS!$C$1485))-(CROQUIS_DATOS!$C$1484))+((CROQUIS_DATOS!$C$1486)*CROQUIS_DATOS!$C$1561-(0)*CROQUIS_DATOS!$C$1561))/CROQUIS_DATOS!$C$1568-0.000001)),1,MOD($A146-1,2)),1-IF(INT(($A146-1)/2)+1&gt;MAX(1,INT(((((CROQUIS_DATOS!$C$1484+CROQUIS_DATOS!$C$1485))-(CROQUIS_DATOS!$C$1484))+((CROQUIS_DATOS!$C$1486)*CROQUIS_DATOS!$C$1561-(0)*CROQUIS_DATOS!$C$1561))/CROQUIS_DATOS!$C$1568-0.000001)),1,MOD($A146-1,2)))=1,MIN((CROQUIS_DATOS!$C$1486)*CROQUIS_DATOS!$C$1561,((CROQUIS_DATOS!$C$1484+CROQUIS_DATOS!$C$1485)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6">
        <f>IF(AND(CROQUIS_DATOS!$C$1472=1,CROQUIS_DATOS!$C$1478&gt;=2,((CROQUIS_DATOS!$C$1484+CROQUIS_DATOS!$C$1485))-(CROQUIS_DATOS!$C$1484)&gt;0.5,(CROQUIS_DATOS!$C$1486)-(0)&gt;0.5),(CROQUIS_DATOS!$C$1567+(IF(IF(MOD(MIN(INT(($A146-1)/2)+1,MAX(1,INT(((((CROQUIS_DATOS!$C$1484+CROQUIS_DATOS!$C$1485))-(CROQUIS_DATOS!$C$1484))+((CROQUIS_DATOS!$C$1486)*CROQUIS_DATOS!$C$1561-(0)*CROQUIS_DATOS!$C$1561))/CROQUIS_DATOS!$C$1568-0.000001))),2)=1,IF(INT(($A146-1)/2)+1&gt;MAX(1,INT(((((CROQUIS_DATOS!$C$1484+CROQUIS_DATOS!$C$1485))-(CROQUIS_DATOS!$C$1484))+((CROQUIS_DATOS!$C$1486)*CROQUIS_DATOS!$C$1561-(0)*CROQUIS_DATOS!$C$1561))/CROQUIS_DATOS!$C$1568-0.000001)),1,MOD($A146-1,2)),1-IF(INT(($A146-1)/2)+1&gt;MAX(1,INT(((((CROQUIS_DATOS!$C$1484+CROQUIS_DATOS!$C$1485))-(CROQUIS_DATOS!$C$1484))+((CROQUIS_DATOS!$C$1486)*CROQUIS_DATOS!$C$1561-(0)*CROQUIS_DATOS!$C$1561))/CROQUIS_DATOS!$C$1568-0.000001)),1,MOD($A146-1,2)))=1,MIN((CROQUIS_DATOS!$C$1486)*CROQUIS_DATOS!$C$1561,((CROQUIS_DATOS!$C$1484+CROQUIS_DATOS!$C$1485)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146-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6">
        <f>IF(AND(CROQUIS_DATOS!$C$1472=1,CROQUIS_DATOS!$C$1478&gt;=2,((CROQUIS_DATOS!$C$1484+CROQUIS_DATOS!$C$1485))-(CROQUIS_DATOS!$C$1484)&gt;0.5,(CROQUIS_DATOS!$C$1476)-((CROQUIS_DATOS!$C$1486+CROQUIS_DATOS!$C$1487))&gt;0.5),(CROQUIS_DATOS!$C$1566+(IF(IF(MOD(MIN(INT(($A146-1)/2)+1,MAX(1,INT(((((CROQUIS_DATOS!$C$1484+CROQUIS_DATOS!$C$1485))-(CROQUIS_DATOS!$C$1484))+((CROQUIS_DATOS!$C$1476)*CROQUIS_DATOS!$C$1561-((CROQUIS_DATOS!$C$1486+CROQUIS_DATOS!$C$1487))*CROQUIS_DATOS!$C$1561))/CROQUIS_DATOS!$C$1568-0.000001))),2)=1,IF(INT(($A146-1)/2)+1&gt;MAX(1,INT(((((CROQUIS_DATOS!$C$1484+CROQUIS_DATOS!$C$1485))-(CROQUIS_DATOS!$C$1484))+((CROQUIS_DATOS!$C$1476)*CROQUIS_DATOS!$C$1561-((CROQUIS_DATOS!$C$1486+CROQUIS_DATOS!$C$1487))*CROQUIS_DATOS!$C$1561))/CROQUIS_DATOS!$C$1568-0.000001)),1,MOD($A146-1,2)),1-IF(INT(($A146-1)/2)+1&gt;MAX(1,INT(((((CROQUIS_DATOS!$C$1484+CROQUIS_DATOS!$C$1485))-(CROQUIS_DATOS!$C$1484))+((CROQUIS_DATOS!$C$1476)*CROQUIS_DATOS!$C$1561-((CROQUIS_DATOS!$C$1486+CROQUIS_DATOS!$C$1487))*CROQUIS_DATOS!$C$1561))/CROQUIS_DATOS!$C$1568-0.000001)),1,MOD($A146-1,2)))=1,MIN((CROQUIS_DATOS!$C$1476)*CROQUIS_DATOS!$C$1561,((CROQUIS_DATOS!$C$1484+CROQUIS_DATOS!$C$1485)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6">
        <f>IF(AND(CROQUIS_DATOS!$C$1472=1,CROQUIS_DATOS!$C$1478&gt;=2,((CROQUIS_DATOS!$C$1484+CROQUIS_DATOS!$C$1485))-(CROQUIS_DATOS!$C$1484)&gt;0.5,(CROQUIS_DATOS!$C$1476)-((CROQUIS_DATOS!$C$1486+CROQUIS_DATOS!$C$1487))&gt;0.5),(CROQUIS_DATOS!$C$1567+(IF(IF(MOD(MIN(INT(($A146-1)/2)+1,MAX(1,INT(((((CROQUIS_DATOS!$C$1484+CROQUIS_DATOS!$C$1485))-(CROQUIS_DATOS!$C$1484))+((CROQUIS_DATOS!$C$1476)*CROQUIS_DATOS!$C$1561-((CROQUIS_DATOS!$C$1486+CROQUIS_DATOS!$C$1487))*CROQUIS_DATOS!$C$1561))/CROQUIS_DATOS!$C$1568-0.000001))),2)=1,IF(INT(($A146-1)/2)+1&gt;MAX(1,INT(((((CROQUIS_DATOS!$C$1484+CROQUIS_DATOS!$C$1485))-(CROQUIS_DATOS!$C$1484))+((CROQUIS_DATOS!$C$1476)*CROQUIS_DATOS!$C$1561-((CROQUIS_DATOS!$C$1486+CROQUIS_DATOS!$C$1487))*CROQUIS_DATOS!$C$1561))/CROQUIS_DATOS!$C$1568-0.000001)),1,MOD($A146-1,2)),1-IF(INT(($A146-1)/2)+1&gt;MAX(1,INT(((((CROQUIS_DATOS!$C$1484+CROQUIS_DATOS!$C$1485))-(CROQUIS_DATOS!$C$1484))+((CROQUIS_DATOS!$C$1476)*CROQUIS_DATOS!$C$1561-((CROQUIS_DATOS!$C$1486+CROQUIS_DATOS!$C$1487))*CROQUIS_DATOS!$C$1561))/CROQUIS_DATOS!$C$1568-0.000001)),1,MOD($A146-1,2)))=1,MIN((CROQUIS_DATOS!$C$1476)*CROQUIS_DATOS!$C$1561,((CROQUIS_DATOS!$C$1484+CROQUIS_DATOS!$C$1485)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146-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6">
        <f>IF(AND(CROQUIS_DATOS!$C$1472=1,CROQUIS_DATOS!$C$1478&gt;=3,((CROQUIS_DATOS!$C$1489+CROQUIS_DATOS!$C$1490))-(CROQUIS_DATOS!$C$1489)&gt;0.5,(CROQUIS_DATOS!$C$1491)-(0)&gt;0.5),(CROQUIS_DATOS!$C$1566+(IF(IF(MOD(MIN(INT(($A146-1)/2)+1,MAX(1,INT(((((CROQUIS_DATOS!$C$1489+CROQUIS_DATOS!$C$1490))-(CROQUIS_DATOS!$C$1489))+((CROQUIS_DATOS!$C$1491)*CROQUIS_DATOS!$C$1561-(0)*CROQUIS_DATOS!$C$1561))/CROQUIS_DATOS!$C$1568-0.000001))),2)=1,IF(INT(($A146-1)/2)+1&gt;MAX(1,INT(((((CROQUIS_DATOS!$C$1489+CROQUIS_DATOS!$C$1490))-(CROQUIS_DATOS!$C$1489))+((CROQUIS_DATOS!$C$1491)*CROQUIS_DATOS!$C$1561-(0)*CROQUIS_DATOS!$C$1561))/CROQUIS_DATOS!$C$1568-0.000001)),1,MOD($A146-1,2)),1-IF(INT(($A146-1)/2)+1&gt;MAX(1,INT(((((CROQUIS_DATOS!$C$1489+CROQUIS_DATOS!$C$1490))-(CROQUIS_DATOS!$C$1489))+((CROQUIS_DATOS!$C$1491)*CROQUIS_DATOS!$C$1561-(0)*CROQUIS_DATOS!$C$1561))/CROQUIS_DATOS!$C$1568-0.000001)),1,MOD($A146-1,2)))=1,MIN((CROQUIS_DATOS!$C$1491)*CROQUIS_DATOS!$C$1561,((CROQUIS_DATOS!$C$1489+CROQUIS_DATOS!$C$1490)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6">
        <f>IF(AND(CROQUIS_DATOS!$C$1472=1,CROQUIS_DATOS!$C$1478&gt;=3,((CROQUIS_DATOS!$C$1489+CROQUIS_DATOS!$C$1490))-(CROQUIS_DATOS!$C$1489)&gt;0.5,(CROQUIS_DATOS!$C$1491)-(0)&gt;0.5),(CROQUIS_DATOS!$C$1567+(IF(IF(MOD(MIN(INT(($A146-1)/2)+1,MAX(1,INT(((((CROQUIS_DATOS!$C$1489+CROQUIS_DATOS!$C$1490))-(CROQUIS_DATOS!$C$1489))+((CROQUIS_DATOS!$C$1491)*CROQUIS_DATOS!$C$1561-(0)*CROQUIS_DATOS!$C$1561))/CROQUIS_DATOS!$C$1568-0.000001))),2)=1,IF(INT(($A146-1)/2)+1&gt;MAX(1,INT(((((CROQUIS_DATOS!$C$1489+CROQUIS_DATOS!$C$1490))-(CROQUIS_DATOS!$C$1489))+((CROQUIS_DATOS!$C$1491)*CROQUIS_DATOS!$C$1561-(0)*CROQUIS_DATOS!$C$1561))/CROQUIS_DATOS!$C$1568-0.000001)),1,MOD($A146-1,2)),1-IF(INT(($A146-1)/2)+1&gt;MAX(1,INT(((((CROQUIS_DATOS!$C$1489+CROQUIS_DATOS!$C$1490))-(CROQUIS_DATOS!$C$1489))+((CROQUIS_DATOS!$C$1491)*CROQUIS_DATOS!$C$1561-(0)*CROQUIS_DATOS!$C$1561))/CROQUIS_DATOS!$C$1568-0.000001)),1,MOD($A146-1,2)))=1,MIN((CROQUIS_DATOS!$C$1491)*CROQUIS_DATOS!$C$1561,((CROQUIS_DATOS!$C$1489+CROQUIS_DATOS!$C$1490)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146-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6">
        <f>IF(AND(CROQUIS_DATOS!$C$1472=1,CROQUIS_DATOS!$C$1478&gt;=3,((CROQUIS_DATOS!$C$1489+CROQUIS_DATOS!$C$1490))-(CROQUIS_DATOS!$C$1489)&gt;0.5,(CROQUIS_DATOS!$C$1476)-((CROQUIS_DATOS!$C$1491+CROQUIS_DATOS!$C$1492))&gt;0.5),(CROQUIS_DATOS!$C$1566+(IF(IF(MOD(MIN(INT(($A146-1)/2)+1,MAX(1,INT(((((CROQUIS_DATOS!$C$1489+CROQUIS_DATOS!$C$1490))-(CROQUIS_DATOS!$C$1489))+((CROQUIS_DATOS!$C$1476)*CROQUIS_DATOS!$C$1561-((CROQUIS_DATOS!$C$1491+CROQUIS_DATOS!$C$1492))*CROQUIS_DATOS!$C$1561))/CROQUIS_DATOS!$C$1568-0.000001))),2)=1,IF(INT(($A146-1)/2)+1&gt;MAX(1,INT(((((CROQUIS_DATOS!$C$1489+CROQUIS_DATOS!$C$1490))-(CROQUIS_DATOS!$C$1489))+((CROQUIS_DATOS!$C$1476)*CROQUIS_DATOS!$C$1561-((CROQUIS_DATOS!$C$1491+CROQUIS_DATOS!$C$1492))*CROQUIS_DATOS!$C$1561))/CROQUIS_DATOS!$C$1568-0.000001)),1,MOD($A146-1,2)),1-IF(INT(($A146-1)/2)+1&gt;MAX(1,INT(((((CROQUIS_DATOS!$C$1489+CROQUIS_DATOS!$C$1490))-(CROQUIS_DATOS!$C$1489))+((CROQUIS_DATOS!$C$1476)*CROQUIS_DATOS!$C$1561-((CROQUIS_DATOS!$C$1491+CROQUIS_DATOS!$C$1492))*CROQUIS_DATOS!$C$1561))/CROQUIS_DATOS!$C$1568-0.000001)),1,MOD($A146-1,2)))=1,MIN((CROQUIS_DATOS!$C$1476)*CROQUIS_DATOS!$C$1561,((CROQUIS_DATOS!$C$1489+CROQUIS_DATOS!$C$1490)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6">
        <f>IF(AND(CROQUIS_DATOS!$C$1472=1,CROQUIS_DATOS!$C$1478&gt;=3,((CROQUIS_DATOS!$C$1489+CROQUIS_DATOS!$C$1490))-(CROQUIS_DATOS!$C$1489)&gt;0.5,(CROQUIS_DATOS!$C$1476)-((CROQUIS_DATOS!$C$1491+CROQUIS_DATOS!$C$1492))&gt;0.5),(CROQUIS_DATOS!$C$1567+(IF(IF(MOD(MIN(INT(($A146-1)/2)+1,MAX(1,INT(((((CROQUIS_DATOS!$C$1489+CROQUIS_DATOS!$C$1490))-(CROQUIS_DATOS!$C$1489))+((CROQUIS_DATOS!$C$1476)*CROQUIS_DATOS!$C$1561-((CROQUIS_DATOS!$C$1491+CROQUIS_DATOS!$C$1492))*CROQUIS_DATOS!$C$1561))/CROQUIS_DATOS!$C$1568-0.000001))),2)=1,IF(INT(($A146-1)/2)+1&gt;MAX(1,INT(((((CROQUIS_DATOS!$C$1489+CROQUIS_DATOS!$C$1490))-(CROQUIS_DATOS!$C$1489))+((CROQUIS_DATOS!$C$1476)*CROQUIS_DATOS!$C$1561-((CROQUIS_DATOS!$C$1491+CROQUIS_DATOS!$C$1492))*CROQUIS_DATOS!$C$1561))/CROQUIS_DATOS!$C$1568-0.000001)),1,MOD($A146-1,2)),1-IF(INT(($A146-1)/2)+1&gt;MAX(1,INT(((((CROQUIS_DATOS!$C$1489+CROQUIS_DATOS!$C$1490))-(CROQUIS_DATOS!$C$1489))+((CROQUIS_DATOS!$C$1476)*CROQUIS_DATOS!$C$1561-((CROQUIS_DATOS!$C$1491+CROQUIS_DATOS!$C$1492))*CROQUIS_DATOS!$C$1561))/CROQUIS_DATOS!$C$1568-0.000001)),1,MOD($A146-1,2)))=1,MIN((CROQUIS_DATOS!$C$1476)*CROQUIS_DATOS!$C$1561,((CROQUIS_DATOS!$C$1489+CROQUIS_DATOS!$C$1490)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146-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6">
        <f>IF(AND(CROQUIS_DATOS!$C$1472=1,CROQUIS_DATOS!$C$1478&gt;=4,((CROQUIS_DATOS!$C$1494+CROQUIS_DATOS!$C$1495))-(CROQUIS_DATOS!$C$1494)&gt;0.5,(CROQUIS_DATOS!$C$1496)-(0)&gt;0.5),(CROQUIS_DATOS!$C$1566+(IF(IF(MOD(MIN(INT(($A146-1)/2)+1,MAX(1,INT(((((CROQUIS_DATOS!$C$1494+CROQUIS_DATOS!$C$1495))-(CROQUIS_DATOS!$C$1494))+((CROQUIS_DATOS!$C$1496)*CROQUIS_DATOS!$C$1561-(0)*CROQUIS_DATOS!$C$1561))/CROQUIS_DATOS!$C$1568-0.000001))),2)=1,IF(INT(($A146-1)/2)+1&gt;MAX(1,INT(((((CROQUIS_DATOS!$C$1494+CROQUIS_DATOS!$C$1495))-(CROQUIS_DATOS!$C$1494))+((CROQUIS_DATOS!$C$1496)*CROQUIS_DATOS!$C$1561-(0)*CROQUIS_DATOS!$C$1561))/CROQUIS_DATOS!$C$1568-0.000001)),1,MOD($A146-1,2)),1-IF(INT(($A146-1)/2)+1&gt;MAX(1,INT(((((CROQUIS_DATOS!$C$1494+CROQUIS_DATOS!$C$1495))-(CROQUIS_DATOS!$C$1494))+((CROQUIS_DATOS!$C$1496)*CROQUIS_DATOS!$C$1561-(0)*CROQUIS_DATOS!$C$1561))/CROQUIS_DATOS!$C$1568-0.000001)),1,MOD($A146-1,2)))=1,MIN((CROQUIS_DATOS!$C$1496)*CROQUIS_DATOS!$C$1561,((CROQUIS_DATOS!$C$1494+CROQUIS_DATOS!$C$1495)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6">
        <f>IF(AND(CROQUIS_DATOS!$C$1472=1,CROQUIS_DATOS!$C$1478&gt;=4,((CROQUIS_DATOS!$C$1494+CROQUIS_DATOS!$C$1495))-(CROQUIS_DATOS!$C$1494)&gt;0.5,(CROQUIS_DATOS!$C$1496)-(0)&gt;0.5),(CROQUIS_DATOS!$C$1567+(IF(IF(MOD(MIN(INT(($A146-1)/2)+1,MAX(1,INT(((((CROQUIS_DATOS!$C$1494+CROQUIS_DATOS!$C$1495))-(CROQUIS_DATOS!$C$1494))+((CROQUIS_DATOS!$C$1496)*CROQUIS_DATOS!$C$1561-(0)*CROQUIS_DATOS!$C$1561))/CROQUIS_DATOS!$C$1568-0.000001))),2)=1,IF(INT(($A146-1)/2)+1&gt;MAX(1,INT(((((CROQUIS_DATOS!$C$1494+CROQUIS_DATOS!$C$1495))-(CROQUIS_DATOS!$C$1494))+((CROQUIS_DATOS!$C$1496)*CROQUIS_DATOS!$C$1561-(0)*CROQUIS_DATOS!$C$1561))/CROQUIS_DATOS!$C$1568-0.000001)),1,MOD($A146-1,2)),1-IF(INT(($A146-1)/2)+1&gt;MAX(1,INT(((((CROQUIS_DATOS!$C$1494+CROQUIS_DATOS!$C$1495))-(CROQUIS_DATOS!$C$1494))+((CROQUIS_DATOS!$C$1496)*CROQUIS_DATOS!$C$1561-(0)*CROQUIS_DATOS!$C$1561))/CROQUIS_DATOS!$C$1568-0.000001)),1,MOD($A146-1,2)))=1,MIN((CROQUIS_DATOS!$C$1496)*CROQUIS_DATOS!$C$1561,((CROQUIS_DATOS!$C$1494+CROQUIS_DATOS!$C$1495)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146-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6">
        <f>IF(AND(CROQUIS_DATOS!$C$1472=1,CROQUIS_DATOS!$C$1478&gt;=4,((CROQUIS_DATOS!$C$1494+CROQUIS_DATOS!$C$1495))-(CROQUIS_DATOS!$C$1494)&gt;0.5,(CROQUIS_DATOS!$C$1476)-((CROQUIS_DATOS!$C$1496+CROQUIS_DATOS!$C$1497))&gt;0.5),(CROQUIS_DATOS!$C$1566+(IF(IF(MOD(MIN(INT(($A146-1)/2)+1,MAX(1,INT(((((CROQUIS_DATOS!$C$1494+CROQUIS_DATOS!$C$1495))-(CROQUIS_DATOS!$C$1494))+((CROQUIS_DATOS!$C$1476)*CROQUIS_DATOS!$C$1561-((CROQUIS_DATOS!$C$1496+CROQUIS_DATOS!$C$1497))*CROQUIS_DATOS!$C$1561))/CROQUIS_DATOS!$C$1568-0.000001))),2)=1,IF(INT(($A146-1)/2)+1&gt;MAX(1,INT(((((CROQUIS_DATOS!$C$1494+CROQUIS_DATOS!$C$1495))-(CROQUIS_DATOS!$C$1494))+((CROQUIS_DATOS!$C$1476)*CROQUIS_DATOS!$C$1561-((CROQUIS_DATOS!$C$1496+CROQUIS_DATOS!$C$1497))*CROQUIS_DATOS!$C$1561))/CROQUIS_DATOS!$C$1568-0.000001)),1,MOD($A146-1,2)),1-IF(INT(($A146-1)/2)+1&gt;MAX(1,INT(((((CROQUIS_DATOS!$C$1494+CROQUIS_DATOS!$C$1495))-(CROQUIS_DATOS!$C$1494))+((CROQUIS_DATOS!$C$1476)*CROQUIS_DATOS!$C$1561-((CROQUIS_DATOS!$C$1496+CROQUIS_DATOS!$C$1497))*CROQUIS_DATOS!$C$1561))/CROQUIS_DATOS!$C$1568-0.000001)),1,MOD($A146-1,2)))=1,MIN((CROQUIS_DATOS!$C$1476)*CROQUIS_DATOS!$C$1561,((CROQUIS_DATOS!$C$1494+CROQUIS_DATOS!$C$1495)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6">
        <f>IF(AND(CROQUIS_DATOS!$C$1472=1,CROQUIS_DATOS!$C$1478&gt;=4,((CROQUIS_DATOS!$C$1494+CROQUIS_DATOS!$C$1495))-(CROQUIS_DATOS!$C$1494)&gt;0.5,(CROQUIS_DATOS!$C$1476)-((CROQUIS_DATOS!$C$1496+CROQUIS_DATOS!$C$1497))&gt;0.5),(CROQUIS_DATOS!$C$1567+(IF(IF(MOD(MIN(INT(($A146-1)/2)+1,MAX(1,INT(((((CROQUIS_DATOS!$C$1494+CROQUIS_DATOS!$C$1495))-(CROQUIS_DATOS!$C$1494))+((CROQUIS_DATOS!$C$1476)*CROQUIS_DATOS!$C$1561-((CROQUIS_DATOS!$C$1496+CROQUIS_DATOS!$C$1497))*CROQUIS_DATOS!$C$1561))/CROQUIS_DATOS!$C$1568-0.000001))),2)=1,IF(INT(($A146-1)/2)+1&gt;MAX(1,INT(((((CROQUIS_DATOS!$C$1494+CROQUIS_DATOS!$C$1495))-(CROQUIS_DATOS!$C$1494))+((CROQUIS_DATOS!$C$1476)*CROQUIS_DATOS!$C$1561-((CROQUIS_DATOS!$C$1496+CROQUIS_DATOS!$C$1497))*CROQUIS_DATOS!$C$1561))/CROQUIS_DATOS!$C$1568-0.000001)),1,MOD($A146-1,2)),1-IF(INT(($A146-1)/2)+1&gt;MAX(1,INT(((((CROQUIS_DATOS!$C$1494+CROQUIS_DATOS!$C$1495))-(CROQUIS_DATOS!$C$1494))+((CROQUIS_DATOS!$C$1476)*CROQUIS_DATOS!$C$1561-((CROQUIS_DATOS!$C$1496+CROQUIS_DATOS!$C$1497))*CROQUIS_DATOS!$C$1561))/CROQUIS_DATOS!$C$1568-0.000001)),1,MOD($A146-1,2)))=1,MIN((CROQUIS_DATOS!$C$1476)*CROQUIS_DATOS!$C$1561,((CROQUIS_DATOS!$C$1494+CROQUIS_DATOS!$C$1495)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146-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7">
      <c r="A147" t="n">
        <v>140</v>
      </c>
      <c r="N147">
        <f>IF(AND(CROQUIS_DATOS!$C$1472=1,1),(CROQUIS_DATOS!$C$1563+(IF(IF(IF(INT(($A147-1)/70)+1&gt;CROQUIS_DATOS!$C$1525,70,MOD($A147-1,70)+1)=1,0,IF(IF(INT(($A147-1)/70)+1&gt;CROQUIS_DATOS!$C$1525,70,MOD($A147-1,70)+1)&gt;2*CROQUIS_DATOS!$C$1541+1,IF(MOD(CROQUIS_DATOS!$C$1541,2)=1,1,0),IF(MOD(MIN(INT((IF(INT(($A147-1)/70)+1&gt;CROQUIS_DATOS!$C$1525,70,MOD($A147-1,70)+1)-2)/2)+1,CROQUIS_DATOS!$C$1541),2)=1,IF(MOD(IF(INT(($A147-1)/70)+1&gt;CROQUIS_DATOS!$C$1525,70,MOD($A147-1,70)+1)-2,2)=0,0,1),IF(MOD(IF(INT(($A147-1)/70)+1&gt;CROQUIS_DATOS!$C$1525,70,MOD($A147-1,70)+1)-2,2)=0,1,0))))=0,(INDEX($E$8:$E$23,MIN(INT(($A147-1)/70)+1,CROQUIS_DATOS!$C$1525))-INDEX($F$8:$F$23,MIN(INT(($A147-1)/70)+1,CROQUIS_DATOS!$C$1525))/2),(INDEX($E$8:$E$23,MIN(INT(($A147-1)/70)+1,CROQUIS_DATOS!$C$1525))+INDEX($F$8:$F$23,MIN(INT(($A147-1)/70)+1,CROQUIS_DATOS!$C$1525))/2)))*CROQUIS_DATOS!$C$1562),-1000)</f>
        <v>18.5775862068965</v>
      </c>
      <c r="O147">
        <f>IF(AND(CROQUIS_DATOS!$C$1472=1,1),(CROQUIS_DATOS!$C$1564+(IF(OR(IF(INT(($A147-1)/70)+1&gt;CROQUIS_DATOS!$C$1525,70,MOD($A147-1,70)+1)=1,IF(INT(($A147-1)/70)+1&gt;CROQUIS_DATOS!$C$1525,70,MOD($A147-1,70)+1)&gt;2*CROQUIS_DATOS!$C$1541+1),CROQUIS_DATOS!$C$1476,INDEX($H$8:$H$41,MIN(INT((IF(INT(($A147-1)/70)+1&gt;CROQUIS_DATOS!$C$1525,70,MOD($A147-1,70)+1)-2)/2)+1,CROQUIS_DATOS!$C$1541))))*CROQUIS_DATOS!$C$1561*CROQUIS_DATOS!$C$1562),-1000)</f>
        <v>40.2068965517241</v>
      </c>
      <c r="P147">
        <f>IF(AND(CROQUIS_DATOS!$C$1472=1,CROQUIS_DATOS!$C$1555=1),(CROQUIS_DATOS!$C$1563+(IF(IF(OR(MOD($A147-1,62)+1=1,IF(CHOOSE(MIN(MAX(MIN(INT(($A147-1)/62)+1,5),1),5),CROQUIS_DATOS!$C$1501,CROQUIS_DATOS!$C$1505,CROQUIS_DATOS!$C$1509,CROQUIS_DATOS!$C$1513,CROQUIS_DATOS!$C$1517)=1,CROQUIS_DATOS!$C$1557,0)=0),0,IF(MOD($A147-1,62)+1&gt;2*IF(CHOOSE(MIN(MAX(MIN(INT(($A147-1)/62)+1,5),1),5),CROQUIS_DATOS!$C$1501,CROQUIS_DATOS!$C$1505,CROQUIS_DATOS!$C$1509,CROQUIS_DATOS!$C$1513,CROQUIS_DATOS!$C$1517)=1,CROQUIS_DATOS!$C$1557,0)+1,IF(MOD(IF(CHOOSE(MIN(MAX(MIN(INT(($A147-1)/62)+1,5),1),5),CROQUIS_DATOS!$C$1501,CROQUIS_DATOS!$C$1505,CROQUIS_DATOS!$C$1509,CROQUIS_DATOS!$C$1513,CROQUIS_DATOS!$C$1517)=1,CROQUIS_DATOS!$C$1557,0),2)=1,1,0),IF(MOD(MIN(INT((MOD($A147-1,62)+1-2)/2)+1,MAX(IF(CHOOSE(MIN(MAX(MIN(INT(($A147-1)/62)+1,5),1),5),CROQUIS_DATOS!$C$1501,CROQUIS_DATOS!$C$1505,CROQUIS_DATOS!$C$1509,CROQUIS_DATOS!$C$1513,CROQUIS_DATOS!$C$1517)=1,CROQUIS_DATOS!$C$1557,0),1)),2)=1,IF(MOD(MOD($A147-1,62)+1-2,2)=0,0,1),IF(MOD(MOD($A147-1,62)+1-2,2)=0,1,0))))=0,(CHOOSE(MIN(MAX(MIN(INT(($A147-1)/62)+1,5),1),5),CROQUIS_DATOS!$C$1499,CROQUIS_DATOS!$C$1503,CROQUIS_DATOS!$C$1507,CROQUIS_DATOS!$C$1511,CROQUIS_DATOS!$C$1515)+IF(CHOOSE(MIN(MAX(MIN(INT(($A147-1)/62)+1,5),1),5),CROQUIS_DATOS!$C$1501,CROQUIS_DATOS!$C$1505,CROQUIS_DATOS!$C$1509,CROQUIS_DATOS!$C$1513,CROQUIS_DATOS!$C$1517)=1,CROQUIS_DATOS!$C$1526,0)),(CHOOSE(MIN(MAX(MIN(INT(($A147-1)/62)+1,5),1),5),CROQUIS_DATOS!$C$1499,CROQUIS_DATOS!$C$1503,CROQUIS_DATOS!$C$1507,CROQUIS_DATOS!$C$1511,CROQUIS_DATOS!$C$1515)+CHOOSE(MIN(MAX(MIN(INT(($A147-1)/62)+1,5),1),5),CROQUIS_DATOS!$C$1500,CROQUIS_DATOS!$C$1504,CROQUIS_DATOS!$C$1508,CROQUIS_DATOS!$C$1512,CROQUIS_DATOS!$C$1516)-IF(CHOOSE(MIN(MAX(MIN(INT(($A147-1)/62)+1,5),1),5),CROQUIS_DATOS!$C$1501,CROQUIS_DATOS!$C$1505,CROQUIS_DATOS!$C$1509,CROQUIS_DATOS!$C$1513,CROQUIS_DATOS!$C$1517)=1,CROQUIS_DATOS!$C$1526,0))))*CROQUIS_DATOS!$C$1562),-1000)</f>
        <v>-1000</v>
      </c>
      <c r="Q147">
        <f>IF(AND(CROQUIS_DATOS!$C$1472=1,CROQUIS_DATOS!$C$1555=1),(CROQUIS_DATOS!$C$1564+(IF(OR(OR(MOD($A147-1,62)+1=1,IF(CHOOSE(MIN(MAX(MIN(INT(($A147-1)/62)+1,5),1),5),CROQUIS_DATOS!$C$1501,CROQUIS_DATOS!$C$1505,CROQUIS_DATOS!$C$1509,CROQUIS_DATOS!$C$1513,CROQUIS_DATOS!$C$1517)=1,CROQUIS_DATOS!$C$1557,0)=0),MOD($A147-1,62)+1&gt;2*IF(CHOOSE(MIN(MAX(MIN(INT(($A147-1)/62)+1,5),1),5),CROQUIS_DATOS!$C$1501,CROQUIS_DATOS!$C$1505,CROQUIS_DATOS!$C$1509,CROQUIS_DATOS!$C$1513,CROQUIS_DATOS!$C$1517)=1,CROQUIS_DATOS!$C$1557,0)+1),CROQUIS_DATOS!$C$1476,MIN(INT((MOD($A147-1,62)+1-2)/2)+1,MAX(IF(CHOOSE(MIN(MAX(MIN(INT(($A147-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7">
        <f>IF(AND(CROQUIS_DATOS!$C$1472=1,1),(CROQUIS_DATOS!$C$1563+(MIN(INT(($A147-1)/2)+1,CROQUIS_DATOS!$C$1558)*CROQUIS_DATOS!$C$1559)*CROQUIS_DATOS!$C$1562),-1000)</f>
        <v>82.2281167108753</v>
      </c>
      <c r="U147">
        <f>IF(AND(CROQUIS_DATOS!$C$1472=1,1),(CROQUIS_DATOS!$C$1564+(IF(INT(($A147-1)/2)+1&gt;CROQUIS_DATOS!$C$1558,IF(MOD(CROQUIS_DATOS!$C$1558,2)=1,CROQUIS_DATOS!$C$1476+CROQUIS_DATOS!$C$1528,CROQUIS_DATOS!$C$1476),IF(IF(MOD(MIN(INT(($A147-1)/2)+1,CROQUIS_DATOS!$C$1558),2)=1,MOD($A147-1,2),1-MOD($A147-1,2))=1,CROQUIS_DATOS!$C$1476+CROQUIS_DATOS!$C$1528,CROQUIS_DATOS!$C$1476)))*CROQUIS_DATOS!$C$1561*CROQUIS_DATOS!$C$1562),-1000)</f>
        <v>43</v>
      </c>
      <c r="BZ147">
        <f>IF(AND(CROQUIS_DATOS!$C$1472=1,CROQUIS_DATOS!$C$1500&gt;0,((CROQUIS_DATOS!$C$1499+CROQUIS_DATOS!$C$1500))-(CROQUIS_DATOS!$C$1499)&gt;0.5,(CROQUIS_DATOS!$C$1476)-(0)&gt;0.5),(CROQUIS_DATOS!$C$1566+(IF(IF(MOD(MIN(INT(($A147-1)/2)+1,MAX(1,INT(((((CROQUIS_DATOS!$C$1499+CROQUIS_DATOS!$C$1500))-(CROQUIS_DATOS!$C$1499))+((CROQUIS_DATOS!$C$1476)*CROQUIS_DATOS!$C$1561-(0)*CROQUIS_DATOS!$C$1561))/CROQUIS_DATOS!$C$1568-0.000001))),2)=1,IF(INT(($A147-1)/2)+1&gt;MAX(1,INT(((((CROQUIS_DATOS!$C$1499+CROQUIS_DATOS!$C$1500))-(CROQUIS_DATOS!$C$1499))+((CROQUIS_DATOS!$C$1476)*CROQUIS_DATOS!$C$1561-(0)*CROQUIS_DATOS!$C$1561))/CROQUIS_DATOS!$C$1568-0.000001)),1,MOD($A147-1,2)),1-IF(INT(($A147-1)/2)+1&gt;MAX(1,INT(((((CROQUIS_DATOS!$C$1499+CROQUIS_DATOS!$C$1500))-(CROQUIS_DATOS!$C$1499))+((CROQUIS_DATOS!$C$1476)*CROQUIS_DATOS!$C$1561-(0)*CROQUIS_DATOS!$C$1561))/CROQUIS_DATOS!$C$1568-0.000001)),1,MOD($A147-1,2)))=1,MIN((CROQUIS_DATOS!$C$1476)*CROQUIS_DATOS!$C$1561,((CROQUIS_DATOS!$C$1499+CROQUIS_DATOS!$C$1500)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)+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*CROQUIS_DATOS!$C$1565),-1000)</f>
        <v>28.551724137931</v>
      </c>
      <c r="CA147">
        <f>IF(AND(CROQUIS_DATOS!$C$1472=1,CROQUIS_DATOS!$C$1500&gt;0,((CROQUIS_DATOS!$C$1499+CROQUIS_DATOS!$C$1500))-(CROQUIS_DATOS!$C$1499)&gt;0.5,(CROQUIS_DATOS!$C$1476)-(0)&gt;0.5),(CROQUIS_DATOS!$C$1567+(IF(IF(MOD(MIN(INT(($A147-1)/2)+1,MAX(1,INT(((((CROQUIS_DATOS!$C$1499+CROQUIS_DATOS!$C$1500))-(CROQUIS_DATOS!$C$1499))+((CROQUIS_DATOS!$C$1476)*CROQUIS_DATOS!$C$1561-(0)*CROQUIS_DATOS!$C$1561))/CROQUIS_DATOS!$C$1568-0.000001))),2)=1,IF(INT(($A147-1)/2)+1&gt;MAX(1,INT(((((CROQUIS_DATOS!$C$1499+CROQUIS_DATOS!$C$1500))-(CROQUIS_DATOS!$C$1499))+((CROQUIS_DATOS!$C$1476)*CROQUIS_DATOS!$C$1561-(0)*CROQUIS_DATOS!$C$1561))/CROQUIS_DATOS!$C$1568-0.000001)),1,MOD($A147-1,2)),1-IF(INT(($A147-1)/2)+1&gt;MAX(1,INT(((((CROQUIS_DATOS!$C$1499+CROQUIS_DATOS!$C$1500))-(CROQUIS_DATOS!$C$1499))+((CROQUIS_DATOS!$C$1476)*CROQUIS_DATOS!$C$1561-(0)*CROQUIS_DATOS!$C$1561))/CROQUIS_DATOS!$C$1568-0.000001)),1,MOD($A147-1,2)))=1,MIN((CROQUIS_DATOS!$C$1476)*CROQUIS_DATOS!$C$1561,((CROQUIS_DATOS!$C$1499+CROQUIS_DATOS!$C$1500)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,MAX((0)*CROQUIS_DATOS!$C$1561,(CROQUIS_DATOS!$C$1499)-((CROQUIS_DATOS!$C$1499)-(CROQUIS_DATOS!$C$1476)*CROQUIS_DATOS!$C$1561+MIN(INT(($A147-1)/2)+1,MAX(1,INT(((((CROQUIS_DATOS!$C$1499+CROQUIS_DATOS!$C$1500))-(CROQUIS_DATOS!$C$1499))+((CROQUIS_DATOS!$C$1476)*CROQUIS_DATOS!$C$1561-(0)*CROQUIS_DATOS!$C$1561))/CROQUIS_DATOS!$C$1568-0.000001)))*CROQUIS_DATOS!$C$1568))))*CROQUIS_DATOS!$C$1565),-1000)</f>
        <v>12.7379310344828</v>
      </c>
      <c r="CB147">
        <f>IF(AND(CROQUIS_DATOS!$C$1472=1,CROQUIS_DATOS!$C$1504&gt;0,((CROQUIS_DATOS!$C$1503+CROQUIS_DATOS!$C$1504))-(CROQUIS_DATOS!$C$1503)&gt;0.5,(CROQUIS_DATOS!$C$1476)-(0)&gt;0.5),(CROQUIS_DATOS!$C$1566+(IF(IF(MOD(MIN(INT(($A147-1)/2)+1,MAX(1,INT(((((CROQUIS_DATOS!$C$1503+CROQUIS_DATOS!$C$1504))-(CROQUIS_DATOS!$C$1503))+((CROQUIS_DATOS!$C$1476)*CROQUIS_DATOS!$C$1561-(0)*CROQUIS_DATOS!$C$1561))/CROQUIS_DATOS!$C$1568-0.000001))),2)=1,IF(INT(($A147-1)/2)+1&gt;MAX(1,INT(((((CROQUIS_DATOS!$C$1503+CROQUIS_DATOS!$C$1504))-(CROQUIS_DATOS!$C$1503))+((CROQUIS_DATOS!$C$1476)*CROQUIS_DATOS!$C$1561-(0)*CROQUIS_DATOS!$C$1561))/CROQUIS_DATOS!$C$1568-0.000001)),1,MOD($A147-1,2)),1-IF(INT(($A147-1)/2)+1&gt;MAX(1,INT(((((CROQUIS_DATOS!$C$1503+CROQUIS_DATOS!$C$1504))-(CROQUIS_DATOS!$C$1503))+((CROQUIS_DATOS!$C$1476)*CROQUIS_DATOS!$C$1561-(0)*CROQUIS_DATOS!$C$1561))/CROQUIS_DATOS!$C$1568-0.000001)),1,MOD($A147-1,2)))=1,MIN((CROQUIS_DATOS!$C$1476)*CROQUIS_DATOS!$C$1561,((CROQUIS_DATOS!$C$1503+CROQUIS_DATOS!$C$1504)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)+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*CROQUIS_DATOS!$C$1565),-1000)</f>
        <v>48.8620689655172</v>
      </c>
      <c r="CC147">
        <f>IF(AND(CROQUIS_DATOS!$C$1472=1,CROQUIS_DATOS!$C$1504&gt;0,((CROQUIS_DATOS!$C$1503+CROQUIS_DATOS!$C$1504))-(CROQUIS_DATOS!$C$1503)&gt;0.5,(CROQUIS_DATOS!$C$1476)-(0)&gt;0.5),(CROQUIS_DATOS!$C$1567+(IF(IF(MOD(MIN(INT(($A147-1)/2)+1,MAX(1,INT(((((CROQUIS_DATOS!$C$1503+CROQUIS_DATOS!$C$1504))-(CROQUIS_DATOS!$C$1503))+((CROQUIS_DATOS!$C$1476)*CROQUIS_DATOS!$C$1561-(0)*CROQUIS_DATOS!$C$1561))/CROQUIS_DATOS!$C$1568-0.000001))),2)=1,IF(INT(($A147-1)/2)+1&gt;MAX(1,INT(((((CROQUIS_DATOS!$C$1503+CROQUIS_DATOS!$C$1504))-(CROQUIS_DATOS!$C$1503))+((CROQUIS_DATOS!$C$1476)*CROQUIS_DATOS!$C$1561-(0)*CROQUIS_DATOS!$C$1561))/CROQUIS_DATOS!$C$1568-0.000001)),1,MOD($A147-1,2)),1-IF(INT(($A147-1)/2)+1&gt;MAX(1,INT(((((CROQUIS_DATOS!$C$1503+CROQUIS_DATOS!$C$1504))-(CROQUIS_DATOS!$C$1503))+((CROQUIS_DATOS!$C$1476)*CROQUIS_DATOS!$C$1561-(0)*CROQUIS_DATOS!$C$1561))/CROQUIS_DATOS!$C$1568-0.000001)),1,MOD($A147-1,2)))=1,MIN((CROQUIS_DATOS!$C$1476)*CROQUIS_DATOS!$C$1561,((CROQUIS_DATOS!$C$1503+CROQUIS_DATOS!$C$1504)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,MAX((0)*CROQUIS_DATOS!$C$1561,(CROQUIS_DATOS!$C$1503)-((CROQUIS_DATOS!$C$1503)-(CROQUIS_DATOS!$C$1476)*CROQUIS_DATOS!$C$1561+MIN(INT(($A147-1)/2)+1,MAX(1,INT(((((CROQUIS_DATOS!$C$1503+CROQUIS_DATOS!$C$1504))-(CROQUIS_DATOS!$C$1503))+((CROQUIS_DATOS!$C$1476)*CROQUIS_DATOS!$C$1561-(0)*CROQUIS_DATOS!$C$1561))/CROQUIS_DATOS!$C$1568-0.000001)))*CROQUIS_DATOS!$C$1568))))*CROQUIS_DATOS!$C$1565),-1000)</f>
        <v>12.751724137931</v>
      </c>
      <c r="CD147">
        <f>IF(AND(CROQUIS_DATOS!$C$1472=1,CROQUIS_DATOS!$C$1508&gt;0,((CROQUIS_DATOS!$C$1507+CROQUIS_DATOS!$C$1508))-(CROQUIS_DATOS!$C$1507)&gt;0.5,(CROQUIS_DATOS!$C$1476)-(0)&gt;0.5),(CROQUIS_DATOS!$C$1566+(IF(IF(MOD(MIN(INT(($A147-1)/2)+1,MAX(1,INT(((((CROQUIS_DATOS!$C$1507+CROQUIS_DATOS!$C$1508))-(CROQUIS_DATOS!$C$1507))+((CROQUIS_DATOS!$C$1476)*CROQUIS_DATOS!$C$1561-(0)*CROQUIS_DATOS!$C$1561))/CROQUIS_DATOS!$C$1568-0.000001))),2)=1,IF(INT(($A147-1)/2)+1&gt;MAX(1,INT(((((CROQUIS_DATOS!$C$1507+CROQUIS_DATOS!$C$1508))-(CROQUIS_DATOS!$C$1507))+((CROQUIS_DATOS!$C$1476)*CROQUIS_DATOS!$C$1561-(0)*CROQUIS_DATOS!$C$1561))/CROQUIS_DATOS!$C$1568-0.000001)),1,MOD($A147-1,2)),1-IF(INT(($A147-1)/2)+1&gt;MAX(1,INT(((((CROQUIS_DATOS!$C$1507+CROQUIS_DATOS!$C$1508))-(CROQUIS_DATOS!$C$1507))+((CROQUIS_DATOS!$C$1476)*CROQUIS_DATOS!$C$1561-(0)*CROQUIS_DATOS!$C$1561))/CROQUIS_DATOS!$C$1568-0.000001)),1,MOD($A147-1,2)))=1,MIN((CROQUIS_DATOS!$C$1476)*CROQUIS_DATOS!$C$1561,((CROQUIS_DATOS!$C$1507+CROQUIS_DATOS!$C$1508)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)+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*CROQUIS_DATOS!$C$1565),-1000)</f>
        <v>76.5724137931035</v>
      </c>
      <c r="CE147">
        <f>IF(AND(CROQUIS_DATOS!$C$1472=1,CROQUIS_DATOS!$C$1508&gt;0,((CROQUIS_DATOS!$C$1507+CROQUIS_DATOS!$C$1508))-(CROQUIS_DATOS!$C$1507)&gt;0.5,(CROQUIS_DATOS!$C$1476)-(0)&gt;0.5),(CROQUIS_DATOS!$C$1567+(IF(IF(MOD(MIN(INT(($A147-1)/2)+1,MAX(1,INT(((((CROQUIS_DATOS!$C$1507+CROQUIS_DATOS!$C$1508))-(CROQUIS_DATOS!$C$1507))+((CROQUIS_DATOS!$C$1476)*CROQUIS_DATOS!$C$1561-(0)*CROQUIS_DATOS!$C$1561))/CROQUIS_DATOS!$C$1568-0.000001))),2)=1,IF(INT(($A147-1)/2)+1&gt;MAX(1,INT(((((CROQUIS_DATOS!$C$1507+CROQUIS_DATOS!$C$1508))-(CROQUIS_DATOS!$C$1507))+((CROQUIS_DATOS!$C$1476)*CROQUIS_DATOS!$C$1561-(0)*CROQUIS_DATOS!$C$1561))/CROQUIS_DATOS!$C$1568-0.000001)),1,MOD($A147-1,2)),1-IF(INT(($A147-1)/2)+1&gt;MAX(1,INT(((((CROQUIS_DATOS!$C$1507+CROQUIS_DATOS!$C$1508))-(CROQUIS_DATOS!$C$1507))+((CROQUIS_DATOS!$C$1476)*CROQUIS_DATOS!$C$1561-(0)*CROQUIS_DATOS!$C$1561))/CROQUIS_DATOS!$C$1568-0.000001)),1,MOD($A147-1,2)))=1,MIN((CROQUIS_DATOS!$C$1476)*CROQUIS_DATOS!$C$1561,((CROQUIS_DATOS!$C$1507+CROQUIS_DATOS!$C$1508)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,MAX((0)*CROQUIS_DATOS!$C$1561,(CROQUIS_DATOS!$C$1507)-((CROQUIS_DATOS!$C$1507)-(CROQUIS_DATOS!$C$1476)*CROQUIS_DATOS!$C$1561+MIN(INT(($A147-1)/2)+1,MAX(1,INT(((((CROQUIS_DATOS!$C$1507+CROQUIS_DATOS!$C$1508))-(CROQUIS_DATOS!$C$1507))+((CROQUIS_DATOS!$C$1476)*CROQUIS_DATOS!$C$1561-(0)*CROQUIS_DATOS!$C$1561))/CROQUIS_DATOS!$C$1568-0.000001)))*CROQUIS_DATOS!$C$1568))))*CROQUIS_DATOS!$C$1565),-1000)</f>
        <v>12.1379310344828</v>
      </c>
      <c r="CF147">
        <f>IF(AND(CROQUIS_DATOS!$C$1472=1,CROQUIS_DATOS!$C$1512&gt;0,((CROQUIS_DATOS!$C$1511+CROQUIS_DATOS!$C$1512))-(CROQUIS_DATOS!$C$1511)&gt;0.5,(CROQUIS_DATOS!$C$1476)-(0)&gt;0.5),(CROQUIS_DATOS!$C$1566+(IF(IF(MOD(MIN(INT(($A147-1)/2)+1,MAX(1,INT(((((CROQUIS_DATOS!$C$1511+CROQUIS_DATOS!$C$1512))-(CROQUIS_DATOS!$C$1511))+((CROQUIS_DATOS!$C$1476)*CROQUIS_DATOS!$C$1561-(0)*CROQUIS_DATOS!$C$1561))/CROQUIS_DATOS!$C$1568-0.000001))),2)=1,IF(INT(($A147-1)/2)+1&gt;MAX(1,INT(((((CROQUIS_DATOS!$C$1511+CROQUIS_DATOS!$C$1512))-(CROQUIS_DATOS!$C$1511))+((CROQUIS_DATOS!$C$1476)*CROQUIS_DATOS!$C$1561-(0)*CROQUIS_DATOS!$C$1561))/CROQUIS_DATOS!$C$1568-0.000001)),1,MOD($A147-1,2)),1-IF(INT(($A147-1)/2)+1&gt;MAX(1,INT(((((CROQUIS_DATOS!$C$1511+CROQUIS_DATOS!$C$1512))-(CROQUIS_DATOS!$C$1511))+((CROQUIS_DATOS!$C$1476)*CROQUIS_DATOS!$C$1561-(0)*CROQUIS_DATOS!$C$1561))/CROQUIS_DATOS!$C$1568-0.000001)),1,MOD($A147-1,2)))=1,MIN((CROQUIS_DATOS!$C$1476)*CROQUIS_DATOS!$C$1561,((CROQUIS_DATOS!$C$1511+CROQUIS_DATOS!$C$1512)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)+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*CROQUIS_DATOS!$C$1565),-1000)</f>
        <v>-1000</v>
      </c>
      <c r="CG147">
        <f>IF(AND(CROQUIS_DATOS!$C$1472=1,CROQUIS_DATOS!$C$1512&gt;0,((CROQUIS_DATOS!$C$1511+CROQUIS_DATOS!$C$1512))-(CROQUIS_DATOS!$C$1511)&gt;0.5,(CROQUIS_DATOS!$C$1476)-(0)&gt;0.5),(CROQUIS_DATOS!$C$1567+(IF(IF(MOD(MIN(INT(($A147-1)/2)+1,MAX(1,INT(((((CROQUIS_DATOS!$C$1511+CROQUIS_DATOS!$C$1512))-(CROQUIS_DATOS!$C$1511))+((CROQUIS_DATOS!$C$1476)*CROQUIS_DATOS!$C$1561-(0)*CROQUIS_DATOS!$C$1561))/CROQUIS_DATOS!$C$1568-0.000001))),2)=1,IF(INT(($A147-1)/2)+1&gt;MAX(1,INT(((((CROQUIS_DATOS!$C$1511+CROQUIS_DATOS!$C$1512))-(CROQUIS_DATOS!$C$1511))+((CROQUIS_DATOS!$C$1476)*CROQUIS_DATOS!$C$1561-(0)*CROQUIS_DATOS!$C$1561))/CROQUIS_DATOS!$C$1568-0.000001)),1,MOD($A147-1,2)),1-IF(INT(($A147-1)/2)+1&gt;MAX(1,INT(((((CROQUIS_DATOS!$C$1511+CROQUIS_DATOS!$C$1512))-(CROQUIS_DATOS!$C$1511))+((CROQUIS_DATOS!$C$1476)*CROQUIS_DATOS!$C$1561-(0)*CROQUIS_DATOS!$C$1561))/CROQUIS_DATOS!$C$1568-0.000001)),1,MOD($A147-1,2)))=1,MIN((CROQUIS_DATOS!$C$1476)*CROQUIS_DATOS!$C$1561,((CROQUIS_DATOS!$C$1511+CROQUIS_DATOS!$C$1512)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,MAX((0)*CROQUIS_DATOS!$C$1561,(CROQUIS_DATOS!$C$1511)-((CROQUIS_DATOS!$C$1511)-(CROQUIS_DATOS!$C$1476)*CROQUIS_DATOS!$C$1561+MIN(INT(($A147-1)/2)+1,MAX(1,INT(((((CROQUIS_DATOS!$C$1511+CROQUIS_DATOS!$C$1512))-(CROQUIS_DATOS!$C$1511))+((CROQUIS_DATOS!$C$1476)*CROQUIS_DATOS!$C$1561-(0)*CROQUIS_DATOS!$C$1561))/CROQUIS_DATOS!$C$1568-0.000001)))*CROQUIS_DATOS!$C$1568))))*CROQUIS_DATOS!$C$1565),-1000)</f>
        <v>-1000</v>
      </c>
      <c r="CH147">
        <f>IF(AND(CROQUIS_DATOS!$C$1472=1,CROQUIS_DATOS!$C$1516&gt;0,((CROQUIS_DATOS!$C$1515+CROQUIS_DATOS!$C$1516))-(CROQUIS_DATOS!$C$1515)&gt;0.5,(CROQUIS_DATOS!$C$1476)-(0)&gt;0.5),(CROQUIS_DATOS!$C$1566+(IF(IF(MOD(MIN(INT(($A147-1)/2)+1,MAX(1,INT(((((CROQUIS_DATOS!$C$1515+CROQUIS_DATOS!$C$1516))-(CROQUIS_DATOS!$C$1515))+((CROQUIS_DATOS!$C$1476)*CROQUIS_DATOS!$C$1561-(0)*CROQUIS_DATOS!$C$1561))/CROQUIS_DATOS!$C$1568-0.000001))),2)=1,IF(INT(($A147-1)/2)+1&gt;MAX(1,INT(((((CROQUIS_DATOS!$C$1515+CROQUIS_DATOS!$C$1516))-(CROQUIS_DATOS!$C$1515))+((CROQUIS_DATOS!$C$1476)*CROQUIS_DATOS!$C$1561-(0)*CROQUIS_DATOS!$C$1561))/CROQUIS_DATOS!$C$1568-0.000001)),1,MOD($A147-1,2)),1-IF(INT(($A147-1)/2)+1&gt;MAX(1,INT(((((CROQUIS_DATOS!$C$1515+CROQUIS_DATOS!$C$1516))-(CROQUIS_DATOS!$C$1515))+((CROQUIS_DATOS!$C$1476)*CROQUIS_DATOS!$C$1561-(0)*CROQUIS_DATOS!$C$1561))/CROQUIS_DATOS!$C$1568-0.000001)),1,MOD($A147-1,2)))=1,MIN((CROQUIS_DATOS!$C$1476)*CROQUIS_DATOS!$C$1561,((CROQUIS_DATOS!$C$1515+CROQUIS_DATOS!$C$1516)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)+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*CROQUIS_DATOS!$C$1565),-1000)</f>
        <v>-1000</v>
      </c>
      <c r="CI147">
        <f>IF(AND(CROQUIS_DATOS!$C$1472=1,CROQUIS_DATOS!$C$1516&gt;0,((CROQUIS_DATOS!$C$1515+CROQUIS_DATOS!$C$1516))-(CROQUIS_DATOS!$C$1515)&gt;0.5,(CROQUIS_DATOS!$C$1476)-(0)&gt;0.5),(CROQUIS_DATOS!$C$1567+(IF(IF(MOD(MIN(INT(($A147-1)/2)+1,MAX(1,INT(((((CROQUIS_DATOS!$C$1515+CROQUIS_DATOS!$C$1516))-(CROQUIS_DATOS!$C$1515))+((CROQUIS_DATOS!$C$1476)*CROQUIS_DATOS!$C$1561-(0)*CROQUIS_DATOS!$C$1561))/CROQUIS_DATOS!$C$1568-0.000001))),2)=1,IF(INT(($A147-1)/2)+1&gt;MAX(1,INT(((((CROQUIS_DATOS!$C$1515+CROQUIS_DATOS!$C$1516))-(CROQUIS_DATOS!$C$1515))+((CROQUIS_DATOS!$C$1476)*CROQUIS_DATOS!$C$1561-(0)*CROQUIS_DATOS!$C$1561))/CROQUIS_DATOS!$C$1568-0.000001)),1,MOD($A147-1,2)),1-IF(INT(($A147-1)/2)+1&gt;MAX(1,INT(((((CROQUIS_DATOS!$C$1515+CROQUIS_DATOS!$C$1516))-(CROQUIS_DATOS!$C$1515))+((CROQUIS_DATOS!$C$1476)*CROQUIS_DATOS!$C$1561-(0)*CROQUIS_DATOS!$C$1561))/CROQUIS_DATOS!$C$1568-0.000001)),1,MOD($A147-1,2)))=1,MIN((CROQUIS_DATOS!$C$1476)*CROQUIS_DATOS!$C$1561,((CROQUIS_DATOS!$C$1515+CROQUIS_DATOS!$C$1516)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,MAX((0)*CROQUIS_DATOS!$C$1561,(CROQUIS_DATOS!$C$1515)-((CROQUIS_DATOS!$C$1515)-(CROQUIS_DATOS!$C$1476)*CROQUIS_DATOS!$C$1561+MIN(INT(($A147-1)/2)+1,MAX(1,INT(((((CROQUIS_DATOS!$C$1515+CROQUIS_DATOS!$C$1516))-(CROQUIS_DATOS!$C$1515))+((CROQUIS_DATOS!$C$1476)*CROQUIS_DATOS!$C$1561-(0)*CROQUIS_DATOS!$C$1561))/CROQUIS_DATOS!$C$1568-0.000001)))*CROQUIS_DATOS!$C$1568))))*CROQUIS_DATOS!$C$1565),-1000)</f>
        <v>-1000</v>
      </c>
      <c r="CJ147">
        <f>IF(AND(CROQUIS_DATOS!$C$1472=1,CROQUIS_DATOS!$C$1478&gt;=1,((CROQUIS_DATOS!$C$1479+CROQUIS_DATOS!$C$1480))-(CROQUIS_DATOS!$C$1479)&gt;0.5,(CROQUIS_DATOS!$C$1481)-(0)&gt;0.5),(CROQUIS_DATOS!$C$1566+(IF(IF(MOD(MIN(INT(($A147-1)/2)+1,MAX(1,INT(((((CROQUIS_DATOS!$C$1479+CROQUIS_DATOS!$C$1480))-(CROQUIS_DATOS!$C$1479))+((CROQUIS_DATOS!$C$1481)*CROQUIS_DATOS!$C$1561-(0)*CROQUIS_DATOS!$C$1561))/CROQUIS_DATOS!$C$1568-0.000001))),2)=1,IF(INT(($A147-1)/2)+1&gt;MAX(1,INT(((((CROQUIS_DATOS!$C$1479+CROQUIS_DATOS!$C$1480))-(CROQUIS_DATOS!$C$1479))+((CROQUIS_DATOS!$C$1481)*CROQUIS_DATOS!$C$1561-(0)*CROQUIS_DATOS!$C$1561))/CROQUIS_DATOS!$C$1568-0.000001)),1,MOD($A147-1,2)),1-IF(INT(($A147-1)/2)+1&gt;MAX(1,INT(((((CROQUIS_DATOS!$C$1479+CROQUIS_DATOS!$C$1480))-(CROQUIS_DATOS!$C$1479))+((CROQUIS_DATOS!$C$1481)*CROQUIS_DATOS!$C$1561-(0)*CROQUIS_DATOS!$C$1561))/CROQUIS_DATOS!$C$1568-0.000001)),1,MOD($A147-1,2)))=1,MIN((CROQUIS_DATOS!$C$1481)*CROQUIS_DATOS!$C$1561,((CROQUIS_DATOS!$C$1479+CROQUIS_DATOS!$C$1480)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)+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*CROQUIS_DATOS!$C$1565),-1000)</f>
        <v>-1000</v>
      </c>
      <c r="CK147">
        <f>IF(AND(CROQUIS_DATOS!$C$1472=1,CROQUIS_DATOS!$C$1478&gt;=1,((CROQUIS_DATOS!$C$1479+CROQUIS_DATOS!$C$1480))-(CROQUIS_DATOS!$C$1479)&gt;0.5,(CROQUIS_DATOS!$C$1481)-(0)&gt;0.5),(CROQUIS_DATOS!$C$1567+(IF(IF(MOD(MIN(INT(($A147-1)/2)+1,MAX(1,INT(((((CROQUIS_DATOS!$C$1479+CROQUIS_DATOS!$C$1480))-(CROQUIS_DATOS!$C$1479))+((CROQUIS_DATOS!$C$1481)*CROQUIS_DATOS!$C$1561-(0)*CROQUIS_DATOS!$C$1561))/CROQUIS_DATOS!$C$1568-0.000001))),2)=1,IF(INT(($A147-1)/2)+1&gt;MAX(1,INT(((((CROQUIS_DATOS!$C$1479+CROQUIS_DATOS!$C$1480))-(CROQUIS_DATOS!$C$1479))+((CROQUIS_DATOS!$C$1481)*CROQUIS_DATOS!$C$1561-(0)*CROQUIS_DATOS!$C$1561))/CROQUIS_DATOS!$C$1568-0.000001)),1,MOD($A147-1,2)),1-IF(INT(($A147-1)/2)+1&gt;MAX(1,INT(((((CROQUIS_DATOS!$C$1479+CROQUIS_DATOS!$C$1480))-(CROQUIS_DATOS!$C$1479))+((CROQUIS_DATOS!$C$1481)*CROQUIS_DATOS!$C$1561-(0)*CROQUIS_DATOS!$C$1561))/CROQUIS_DATOS!$C$1568-0.000001)),1,MOD($A147-1,2)))=1,MIN((CROQUIS_DATOS!$C$1481)*CROQUIS_DATOS!$C$1561,((CROQUIS_DATOS!$C$1479+CROQUIS_DATOS!$C$1480)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,MAX((0)*CROQUIS_DATOS!$C$1561,(CROQUIS_DATOS!$C$1479)-((CROQUIS_DATOS!$C$1479)-(CROQUIS_DATOS!$C$1481)*CROQUIS_DATOS!$C$1561+MIN(INT(($A147-1)/2)+1,MAX(1,INT(((((CROQUIS_DATOS!$C$1479+CROQUIS_DATOS!$C$1480))-(CROQUIS_DATOS!$C$1479))+((CROQUIS_DATOS!$C$1481)*CROQUIS_DATOS!$C$1561-(0)*CROQUIS_DATOS!$C$1561))/CROQUIS_DATOS!$C$1568-0.000001)))*CROQUIS_DATOS!$C$1568))))*CROQUIS_DATOS!$C$1565),-1000)</f>
        <v>-1000</v>
      </c>
      <c r="CL147">
        <f>IF(AND(CROQUIS_DATOS!$C$1472=1,CROQUIS_DATOS!$C$1478&gt;=1,((CROQUIS_DATOS!$C$1479+CROQUIS_DATOS!$C$1480))-(CROQUIS_DATOS!$C$1479)&gt;0.5,(CROQUIS_DATOS!$C$1476)-((CROQUIS_DATOS!$C$1481+CROQUIS_DATOS!$C$1482))&gt;0.5),(CROQUIS_DATOS!$C$1566+(IF(IF(MOD(MIN(INT(($A147-1)/2)+1,MAX(1,INT(((((CROQUIS_DATOS!$C$1479+CROQUIS_DATOS!$C$1480))-(CROQUIS_DATOS!$C$1479))+((CROQUIS_DATOS!$C$1476)*CROQUIS_DATOS!$C$1561-((CROQUIS_DATOS!$C$1481+CROQUIS_DATOS!$C$1482))*CROQUIS_DATOS!$C$1561))/CROQUIS_DATOS!$C$1568-0.000001))),2)=1,IF(INT(($A147-1)/2)+1&gt;MAX(1,INT(((((CROQUIS_DATOS!$C$1479+CROQUIS_DATOS!$C$1480))-(CROQUIS_DATOS!$C$1479))+((CROQUIS_DATOS!$C$1476)*CROQUIS_DATOS!$C$1561-((CROQUIS_DATOS!$C$1481+CROQUIS_DATOS!$C$1482))*CROQUIS_DATOS!$C$1561))/CROQUIS_DATOS!$C$1568-0.000001)),1,MOD($A147-1,2)),1-IF(INT(($A147-1)/2)+1&gt;MAX(1,INT(((((CROQUIS_DATOS!$C$1479+CROQUIS_DATOS!$C$1480))-(CROQUIS_DATOS!$C$1479))+((CROQUIS_DATOS!$C$1476)*CROQUIS_DATOS!$C$1561-((CROQUIS_DATOS!$C$1481+CROQUIS_DATOS!$C$1482))*CROQUIS_DATOS!$C$1561))/CROQUIS_DATOS!$C$1568-0.000001)),1,MOD($A147-1,2)))=1,MIN((CROQUIS_DATOS!$C$1476)*CROQUIS_DATOS!$C$1561,((CROQUIS_DATOS!$C$1479+CROQUIS_DATOS!$C$1480)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)+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*CROQUIS_DATOS!$C$1565),-1000)</f>
        <v>37.0758620689655</v>
      </c>
      <c r="CM147">
        <f>IF(AND(CROQUIS_DATOS!$C$1472=1,CROQUIS_DATOS!$C$1478&gt;=1,((CROQUIS_DATOS!$C$1479+CROQUIS_DATOS!$C$1480))-(CROQUIS_DATOS!$C$1479)&gt;0.5,(CROQUIS_DATOS!$C$1476)-((CROQUIS_DATOS!$C$1481+CROQUIS_DATOS!$C$1482))&gt;0.5),(CROQUIS_DATOS!$C$1567+(IF(IF(MOD(MIN(INT(($A147-1)/2)+1,MAX(1,INT(((((CROQUIS_DATOS!$C$1479+CROQUIS_DATOS!$C$1480))-(CROQUIS_DATOS!$C$1479))+((CROQUIS_DATOS!$C$1476)*CROQUIS_DATOS!$C$1561-((CROQUIS_DATOS!$C$1481+CROQUIS_DATOS!$C$1482))*CROQUIS_DATOS!$C$1561))/CROQUIS_DATOS!$C$1568-0.000001))),2)=1,IF(INT(($A147-1)/2)+1&gt;MAX(1,INT(((((CROQUIS_DATOS!$C$1479+CROQUIS_DATOS!$C$1480))-(CROQUIS_DATOS!$C$1479))+((CROQUIS_DATOS!$C$1476)*CROQUIS_DATOS!$C$1561-((CROQUIS_DATOS!$C$1481+CROQUIS_DATOS!$C$1482))*CROQUIS_DATOS!$C$1561))/CROQUIS_DATOS!$C$1568-0.000001)),1,MOD($A147-1,2)),1-IF(INT(($A147-1)/2)+1&gt;MAX(1,INT(((((CROQUIS_DATOS!$C$1479+CROQUIS_DATOS!$C$1480))-(CROQUIS_DATOS!$C$1479))+((CROQUIS_DATOS!$C$1476)*CROQUIS_DATOS!$C$1561-((CROQUIS_DATOS!$C$1481+CROQUIS_DATOS!$C$1482))*CROQUIS_DATOS!$C$1561))/CROQUIS_DATOS!$C$1568-0.000001)),1,MOD($A147-1,2)))=1,MIN((CROQUIS_DATOS!$C$1476)*CROQUIS_DATOS!$C$1561,((CROQUIS_DATOS!$C$1479+CROQUIS_DATOS!$C$1480)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,MAX(((CROQUIS_DATOS!$C$1481+CROQUIS_DATOS!$C$1482))*CROQUIS_DATOS!$C$1561,(CROQUIS_DATOS!$C$1479)-((CROQUIS_DATOS!$C$1479)-(CROQUIS_DATOS!$C$1476)*CROQUIS_DATOS!$C$1561+MIN(INT(($A147-1)/2)+1,MAX(1,INT(((((CROQUIS_DATOS!$C$1479+CROQUIS_DATOS!$C$1480))-(CROQUIS_DATOS!$C$1479))+((CROQUIS_DATOS!$C$1476)*CROQUIS_DATOS!$C$1561-((CROQUIS_DATOS!$C$1481+CROQUIS_DATOS!$C$1482))*CROQUIS_DATOS!$C$1561))/CROQUIS_DATOS!$C$1568-0.000001)))*CROQUIS_DATOS!$C$1568))))*CROQUIS_DATOS!$C$1565),-1000)</f>
        <v>34.5862068965517</v>
      </c>
      <c r="CR147">
        <f>IF(AND(CROQUIS_DATOS!$C$1472=1,CROQUIS_DATOS!$C$1478&gt;=2,((CROQUIS_DATOS!$C$1484+CROQUIS_DATOS!$C$1485))-(CROQUIS_DATOS!$C$1484)&gt;0.5,(CROQUIS_DATOS!$C$1486)-(0)&gt;0.5),(CROQUIS_DATOS!$C$1566+(IF(IF(MOD(MIN(INT(($A147-1)/2)+1,MAX(1,INT(((((CROQUIS_DATOS!$C$1484+CROQUIS_DATOS!$C$1485))-(CROQUIS_DATOS!$C$1484))+((CROQUIS_DATOS!$C$1486)*CROQUIS_DATOS!$C$1561-(0)*CROQUIS_DATOS!$C$1561))/CROQUIS_DATOS!$C$1568-0.000001))),2)=1,IF(INT(($A147-1)/2)+1&gt;MAX(1,INT(((((CROQUIS_DATOS!$C$1484+CROQUIS_DATOS!$C$1485))-(CROQUIS_DATOS!$C$1484))+((CROQUIS_DATOS!$C$1486)*CROQUIS_DATOS!$C$1561-(0)*CROQUIS_DATOS!$C$1561))/CROQUIS_DATOS!$C$1568-0.000001)),1,MOD($A147-1,2)),1-IF(INT(($A147-1)/2)+1&gt;MAX(1,INT(((((CROQUIS_DATOS!$C$1484+CROQUIS_DATOS!$C$1485))-(CROQUIS_DATOS!$C$1484))+((CROQUIS_DATOS!$C$1486)*CROQUIS_DATOS!$C$1561-(0)*CROQUIS_DATOS!$C$1561))/CROQUIS_DATOS!$C$1568-0.000001)),1,MOD($A147-1,2)))=1,MIN((CROQUIS_DATOS!$C$1486)*CROQUIS_DATOS!$C$1561,((CROQUIS_DATOS!$C$1484+CROQUIS_DATOS!$C$1485)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)+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*CROQUIS_DATOS!$C$1565),-1000)</f>
        <v>64.8413793103448</v>
      </c>
      <c r="CS147">
        <f>IF(AND(CROQUIS_DATOS!$C$1472=1,CROQUIS_DATOS!$C$1478&gt;=2,((CROQUIS_DATOS!$C$1484+CROQUIS_DATOS!$C$1485))-(CROQUIS_DATOS!$C$1484)&gt;0.5,(CROQUIS_DATOS!$C$1486)-(0)&gt;0.5),(CROQUIS_DATOS!$C$1567+(IF(IF(MOD(MIN(INT(($A147-1)/2)+1,MAX(1,INT(((((CROQUIS_DATOS!$C$1484+CROQUIS_DATOS!$C$1485))-(CROQUIS_DATOS!$C$1484))+((CROQUIS_DATOS!$C$1486)*CROQUIS_DATOS!$C$1561-(0)*CROQUIS_DATOS!$C$1561))/CROQUIS_DATOS!$C$1568-0.000001))),2)=1,IF(INT(($A147-1)/2)+1&gt;MAX(1,INT(((((CROQUIS_DATOS!$C$1484+CROQUIS_DATOS!$C$1485))-(CROQUIS_DATOS!$C$1484))+((CROQUIS_DATOS!$C$1486)*CROQUIS_DATOS!$C$1561-(0)*CROQUIS_DATOS!$C$1561))/CROQUIS_DATOS!$C$1568-0.000001)),1,MOD($A147-1,2)),1-IF(INT(($A147-1)/2)+1&gt;MAX(1,INT(((((CROQUIS_DATOS!$C$1484+CROQUIS_DATOS!$C$1485))-(CROQUIS_DATOS!$C$1484))+((CROQUIS_DATOS!$C$1486)*CROQUIS_DATOS!$C$1561-(0)*CROQUIS_DATOS!$C$1561))/CROQUIS_DATOS!$C$1568-0.000001)),1,MOD($A147-1,2)))=1,MIN((CROQUIS_DATOS!$C$1486)*CROQUIS_DATOS!$C$1561,((CROQUIS_DATOS!$C$1484+CROQUIS_DATOS!$C$1485)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,MAX((0)*CROQUIS_DATOS!$C$1561,(CROQUIS_DATOS!$C$1484)-((CROQUIS_DATOS!$C$1484)-(CROQUIS_DATOS!$C$1486)*CROQUIS_DATOS!$C$1561+MIN(INT(($A147-1)/2)+1,MAX(1,INT(((((CROQUIS_DATOS!$C$1484+CROQUIS_DATOS!$C$1485))-(CROQUIS_DATOS!$C$1484))+((CROQUIS_DATOS!$C$1486)*CROQUIS_DATOS!$C$1561-(0)*CROQUIS_DATOS!$C$1561))/CROQUIS_DATOS!$C$1568-0.000001)))*CROQUIS_DATOS!$C$1568))))*CROQUIS_DATOS!$C$1565),-1000)</f>
        <v>12.1379310344828</v>
      </c>
      <c r="CT147">
        <f>IF(AND(CROQUIS_DATOS!$C$1472=1,CROQUIS_DATOS!$C$1478&gt;=2,((CROQUIS_DATOS!$C$1484+CROQUIS_DATOS!$C$1485))-(CROQUIS_DATOS!$C$1484)&gt;0.5,(CROQUIS_DATOS!$C$1476)-((CROQUIS_DATOS!$C$1486+CROQUIS_DATOS!$C$1487))&gt;0.5),(CROQUIS_DATOS!$C$1566+(IF(IF(MOD(MIN(INT(($A147-1)/2)+1,MAX(1,INT(((((CROQUIS_DATOS!$C$1484+CROQUIS_DATOS!$C$1485))-(CROQUIS_DATOS!$C$1484))+((CROQUIS_DATOS!$C$1476)*CROQUIS_DATOS!$C$1561-((CROQUIS_DATOS!$C$1486+CROQUIS_DATOS!$C$1487))*CROQUIS_DATOS!$C$1561))/CROQUIS_DATOS!$C$1568-0.000001))),2)=1,IF(INT(($A147-1)/2)+1&gt;MAX(1,INT(((((CROQUIS_DATOS!$C$1484+CROQUIS_DATOS!$C$1485))-(CROQUIS_DATOS!$C$1484))+((CROQUIS_DATOS!$C$1476)*CROQUIS_DATOS!$C$1561-((CROQUIS_DATOS!$C$1486+CROQUIS_DATOS!$C$1487))*CROQUIS_DATOS!$C$1561))/CROQUIS_DATOS!$C$1568-0.000001)),1,MOD($A147-1,2)),1-IF(INT(($A147-1)/2)+1&gt;MAX(1,INT(((((CROQUIS_DATOS!$C$1484+CROQUIS_DATOS!$C$1485))-(CROQUIS_DATOS!$C$1484))+((CROQUIS_DATOS!$C$1476)*CROQUIS_DATOS!$C$1561-((CROQUIS_DATOS!$C$1486+CROQUIS_DATOS!$C$1487))*CROQUIS_DATOS!$C$1561))/CROQUIS_DATOS!$C$1568-0.000001)),1,MOD($A147-1,2)))=1,MIN((CROQUIS_DATOS!$C$1476)*CROQUIS_DATOS!$C$1561,((CROQUIS_DATOS!$C$1484+CROQUIS_DATOS!$C$1485)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)+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*CROQUIS_DATOS!$C$1565),-1000)</f>
        <v>63.7862068965517</v>
      </c>
      <c r="CU147">
        <f>IF(AND(CROQUIS_DATOS!$C$1472=1,CROQUIS_DATOS!$C$1478&gt;=2,((CROQUIS_DATOS!$C$1484+CROQUIS_DATOS!$C$1485))-(CROQUIS_DATOS!$C$1484)&gt;0.5,(CROQUIS_DATOS!$C$1476)-((CROQUIS_DATOS!$C$1486+CROQUIS_DATOS!$C$1487))&gt;0.5),(CROQUIS_DATOS!$C$1567+(IF(IF(MOD(MIN(INT(($A147-1)/2)+1,MAX(1,INT(((((CROQUIS_DATOS!$C$1484+CROQUIS_DATOS!$C$1485))-(CROQUIS_DATOS!$C$1484))+((CROQUIS_DATOS!$C$1476)*CROQUIS_DATOS!$C$1561-((CROQUIS_DATOS!$C$1486+CROQUIS_DATOS!$C$1487))*CROQUIS_DATOS!$C$1561))/CROQUIS_DATOS!$C$1568-0.000001))),2)=1,IF(INT(($A147-1)/2)+1&gt;MAX(1,INT(((((CROQUIS_DATOS!$C$1484+CROQUIS_DATOS!$C$1485))-(CROQUIS_DATOS!$C$1484))+((CROQUIS_DATOS!$C$1476)*CROQUIS_DATOS!$C$1561-((CROQUIS_DATOS!$C$1486+CROQUIS_DATOS!$C$1487))*CROQUIS_DATOS!$C$1561))/CROQUIS_DATOS!$C$1568-0.000001)),1,MOD($A147-1,2)),1-IF(INT(($A147-1)/2)+1&gt;MAX(1,INT(((((CROQUIS_DATOS!$C$1484+CROQUIS_DATOS!$C$1485))-(CROQUIS_DATOS!$C$1484))+((CROQUIS_DATOS!$C$1476)*CROQUIS_DATOS!$C$1561-((CROQUIS_DATOS!$C$1486+CROQUIS_DATOS!$C$1487))*CROQUIS_DATOS!$C$1561))/CROQUIS_DATOS!$C$1568-0.000001)),1,MOD($A147-1,2)))=1,MIN((CROQUIS_DATOS!$C$1476)*CROQUIS_DATOS!$C$1561,((CROQUIS_DATOS!$C$1484+CROQUIS_DATOS!$C$1485)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,MAX(((CROQUIS_DATOS!$C$1486+CROQUIS_DATOS!$C$1487))*CROQUIS_DATOS!$C$1561,(CROQUIS_DATOS!$C$1484)-((CROQUIS_DATOS!$C$1484)-(CROQUIS_DATOS!$C$1476)*CROQUIS_DATOS!$C$1561+MIN(INT(($A147-1)/2)+1,MAX(1,INT(((((CROQUIS_DATOS!$C$1484+CROQUIS_DATOS!$C$1485))-(CROQUIS_DATOS!$C$1484))+((CROQUIS_DATOS!$C$1476)*CROQUIS_DATOS!$C$1561-((CROQUIS_DATOS!$C$1486+CROQUIS_DATOS!$C$1487))*CROQUIS_DATOS!$C$1561))/CROQUIS_DATOS!$C$1568-0.000001)))*CROQUIS_DATOS!$C$1568))))*CROQUIS_DATOS!$C$1565),-1000)</f>
        <v>34.5862068965517</v>
      </c>
      <c r="CZ147">
        <f>IF(AND(CROQUIS_DATOS!$C$1472=1,CROQUIS_DATOS!$C$1478&gt;=3,((CROQUIS_DATOS!$C$1489+CROQUIS_DATOS!$C$1490))-(CROQUIS_DATOS!$C$1489)&gt;0.5,(CROQUIS_DATOS!$C$1491)-(0)&gt;0.5),(CROQUIS_DATOS!$C$1566+(IF(IF(MOD(MIN(INT(($A147-1)/2)+1,MAX(1,INT(((((CROQUIS_DATOS!$C$1489+CROQUIS_DATOS!$C$1490))-(CROQUIS_DATOS!$C$1489))+((CROQUIS_DATOS!$C$1491)*CROQUIS_DATOS!$C$1561-(0)*CROQUIS_DATOS!$C$1561))/CROQUIS_DATOS!$C$1568-0.000001))),2)=1,IF(INT(($A147-1)/2)+1&gt;MAX(1,INT(((((CROQUIS_DATOS!$C$1489+CROQUIS_DATOS!$C$1490))-(CROQUIS_DATOS!$C$1489))+((CROQUIS_DATOS!$C$1491)*CROQUIS_DATOS!$C$1561-(0)*CROQUIS_DATOS!$C$1561))/CROQUIS_DATOS!$C$1568-0.000001)),1,MOD($A147-1,2)),1-IF(INT(($A147-1)/2)+1&gt;MAX(1,INT(((((CROQUIS_DATOS!$C$1489+CROQUIS_DATOS!$C$1490))-(CROQUIS_DATOS!$C$1489))+((CROQUIS_DATOS!$C$1491)*CROQUIS_DATOS!$C$1561-(0)*CROQUIS_DATOS!$C$1561))/CROQUIS_DATOS!$C$1568-0.000001)),1,MOD($A147-1,2)))=1,MIN((CROQUIS_DATOS!$C$1491)*CROQUIS_DATOS!$C$1561,((CROQUIS_DATOS!$C$1489+CROQUIS_DATOS!$C$1490)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)+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*CROQUIS_DATOS!$C$1565),-1000)</f>
        <v>-1000</v>
      </c>
      <c r="DA147">
        <f>IF(AND(CROQUIS_DATOS!$C$1472=1,CROQUIS_DATOS!$C$1478&gt;=3,((CROQUIS_DATOS!$C$1489+CROQUIS_DATOS!$C$1490))-(CROQUIS_DATOS!$C$1489)&gt;0.5,(CROQUIS_DATOS!$C$1491)-(0)&gt;0.5),(CROQUIS_DATOS!$C$1567+(IF(IF(MOD(MIN(INT(($A147-1)/2)+1,MAX(1,INT(((((CROQUIS_DATOS!$C$1489+CROQUIS_DATOS!$C$1490))-(CROQUIS_DATOS!$C$1489))+((CROQUIS_DATOS!$C$1491)*CROQUIS_DATOS!$C$1561-(0)*CROQUIS_DATOS!$C$1561))/CROQUIS_DATOS!$C$1568-0.000001))),2)=1,IF(INT(($A147-1)/2)+1&gt;MAX(1,INT(((((CROQUIS_DATOS!$C$1489+CROQUIS_DATOS!$C$1490))-(CROQUIS_DATOS!$C$1489))+((CROQUIS_DATOS!$C$1491)*CROQUIS_DATOS!$C$1561-(0)*CROQUIS_DATOS!$C$1561))/CROQUIS_DATOS!$C$1568-0.000001)),1,MOD($A147-1,2)),1-IF(INT(($A147-1)/2)+1&gt;MAX(1,INT(((((CROQUIS_DATOS!$C$1489+CROQUIS_DATOS!$C$1490))-(CROQUIS_DATOS!$C$1489))+((CROQUIS_DATOS!$C$1491)*CROQUIS_DATOS!$C$1561-(0)*CROQUIS_DATOS!$C$1561))/CROQUIS_DATOS!$C$1568-0.000001)),1,MOD($A147-1,2)))=1,MIN((CROQUIS_DATOS!$C$1491)*CROQUIS_DATOS!$C$1561,((CROQUIS_DATOS!$C$1489+CROQUIS_DATOS!$C$1490)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,MAX((0)*CROQUIS_DATOS!$C$1561,(CROQUIS_DATOS!$C$1489)-((CROQUIS_DATOS!$C$1489)-(CROQUIS_DATOS!$C$1491)*CROQUIS_DATOS!$C$1561+MIN(INT(($A147-1)/2)+1,MAX(1,INT(((((CROQUIS_DATOS!$C$1489+CROQUIS_DATOS!$C$1490))-(CROQUIS_DATOS!$C$1489))+((CROQUIS_DATOS!$C$1491)*CROQUIS_DATOS!$C$1561-(0)*CROQUIS_DATOS!$C$1561))/CROQUIS_DATOS!$C$1568-0.000001)))*CROQUIS_DATOS!$C$1568))))*CROQUIS_DATOS!$C$1565),-1000)</f>
        <v>-1000</v>
      </c>
      <c r="DB147">
        <f>IF(AND(CROQUIS_DATOS!$C$1472=1,CROQUIS_DATOS!$C$1478&gt;=3,((CROQUIS_DATOS!$C$1489+CROQUIS_DATOS!$C$1490))-(CROQUIS_DATOS!$C$1489)&gt;0.5,(CROQUIS_DATOS!$C$1476)-((CROQUIS_DATOS!$C$1491+CROQUIS_DATOS!$C$1492))&gt;0.5),(CROQUIS_DATOS!$C$1566+(IF(IF(MOD(MIN(INT(($A147-1)/2)+1,MAX(1,INT(((((CROQUIS_DATOS!$C$1489+CROQUIS_DATOS!$C$1490))-(CROQUIS_DATOS!$C$1489))+((CROQUIS_DATOS!$C$1476)*CROQUIS_DATOS!$C$1561-((CROQUIS_DATOS!$C$1491+CROQUIS_DATOS!$C$1492))*CROQUIS_DATOS!$C$1561))/CROQUIS_DATOS!$C$1568-0.000001))),2)=1,IF(INT(($A147-1)/2)+1&gt;MAX(1,INT(((((CROQUIS_DATOS!$C$1489+CROQUIS_DATOS!$C$1490))-(CROQUIS_DATOS!$C$1489))+((CROQUIS_DATOS!$C$1476)*CROQUIS_DATOS!$C$1561-((CROQUIS_DATOS!$C$1491+CROQUIS_DATOS!$C$1492))*CROQUIS_DATOS!$C$1561))/CROQUIS_DATOS!$C$1568-0.000001)),1,MOD($A147-1,2)),1-IF(INT(($A147-1)/2)+1&gt;MAX(1,INT(((((CROQUIS_DATOS!$C$1489+CROQUIS_DATOS!$C$1490))-(CROQUIS_DATOS!$C$1489))+((CROQUIS_DATOS!$C$1476)*CROQUIS_DATOS!$C$1561-((CROQUIS_DATOS!$C$1491+CROQUIS_DATOS!$C$1492))*CROQUIS_DATOS!$C$1561))/CROQUIS_DATOS!$C$1568-0.000001)),1,MOD($A147-1,2)))=1,MIN((CROQUIS_DATOS!$C$1476)*CROQUIS_DATOS!$C$1561,((CROQUIS_DATOS!$C$1489+CROQUIS_DATOS!$C$1490)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)+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*CROQUIS_DATOS!$C$1565),-1000)</f>
        <v>-1000</v>
      </c>
      <c r="DC147">
        <f>IF(AND(CROQUIS_DATOS!$C$1472=1,CROQUIS_DATOS!$C$1478&gt;=3,((CROQUIS_DATOS!$C$1489+CROQUIS_DATOS!$C$1490))-(CROQUIS_DATOS!$C$1489)&gt;0.5,(CROQUIS_DATOS!$C$1476)-((CROQUIS_DATOS!$C$1491+CROQUIS_DATOS!$C$1492))&gt;0.5),(CROQUIS_DATOS!$C$1567+(IF(IF(MOD(MIN(INT(($A147-1)/2)+1,MAX(1,INT(((((CROQUIS_DATOS!$C$1489+CROQUIS_DATOS!$C$1490))-(CROQUIS_DATOS!$C$1489))+((CROQUIS_DATOS!$C$1476)*CROQUIS_DATOS!$C$1561-((CROQUIS_DATOS!$C$1491+CROQUIS_DATOS!$C$1492))*CROQUIS_DATOS!$C$1561))/CROQUIS_DATOS!$C$1568-0.000001))),2)=1,IF(INT(($A147-1)/2)+1&gt;MAX(1,INT(((((CROQUIS_DATOS!$C$1489+CROQUIS_DATOS!$C$1490))-(CROQUIS_DATOS!$C$1489))+((CROQUIS_DATOS!$C$1476)*CROQUIS_DATOS!$C$1561-((CROQUIS_DATOS!$C$1491+CROQUIS_DATOS!$C$1492))*CROQUIS_DATOS!$C$1561))/CROQUIS_DATOS!$C$1568-0.000001)),1,MOD($A147-1,2)),1-IF(INT(($A147-1)/2)+1&gt;MAX(1,INT(((((CROQUIS_DATOS!$C$1489+CROQUIS_DATOS!$C$1490))-(CROQUIS_DATOS!$C$1489))+((CROQUIS_DATOS!$C$1476)*CROQUIS_DATOS!$C$1561-((CROQUIS_DATOS!$C$1491+CROQUIS_DATOS!$C$1492))*CROQUIS_DATOS!$C$1561))/CROQUIS_DATOS!$C$1568-0.000001)),1,MOD($A147-1,2)))=1,MIN((CROQUIS_DATOS!$C$1476)*CROQUIS_DATOS!$C$1561,((CROQUIS_DATOS!$C$1489+CROQUIS_DATOS!$C$1490)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,MAX(((CROQUIS_DATOS!$C$1491+CROQUIS_DATOS!$C$1492))*CROQUIS_DATOS!$C$1561,(CROQUIS_DATOS!$C$1489)-((CROQUIS_DATOS!$C$1489)-(CROQUIS_DATOS!$C$1476)*CROQUIS_DATOS!$C$1561+MIN(INT(($A147-1)/2)+1,MAX(1,INT(((((CROQUIS_DATOS!$C$1489+CROQUIS_DATOS!$C$1490))-(CROQUIS_DATOS!$C$1489))+((CROQUIS_DATOS!$C$1476)*CROQUIS_DATOS!$C$1561-((CROQUIS_DATOS!$C$1491+CROQUIS_DATOS!$C$1492))*CROQUIS_DATOS!$C$1561))/CROQUIS_DATOS!$C$1568-0.000001)))*CROQUIS_DATOS!$C$1568))))*CROQUIS_DATOS!$C$1565),-1000)</f>
        <v>-1000</v>
      </c>
      <c r="DH147">
        <f>IF(AND(CROQUIS_DATOS!$C$1472=1,CROQUIS_DATOS!$C$1478&gt;=4,((CROQUIS_DATOS!$C$1494+CROQUIS_DATOS!$C$1495))-(CROQUIS_DATOS!$C$1494)&gt;0.5,(CROQUIS_DATOS!$C$1496)-(0)&gt;0.5),(CROQUIS_DATOS!$C$1566+(IF(IF(MOD(MIN(INT(($A147-1)/2)+1,MAX(1,INT(((((CROQUIS_DATOS!$C$1494+CROQUIS_DATOS!$C$1495))-(CROQUIS_DATOS!$C$1494))+((CROQUIS_DATOS!$C$1496)*CROQUIS_DATOS!$C$1561-(0)*CROQUIS_DATOS!$C$1561))/CROQUIS_DATOS!$C$1568-0.000001))),2)=1,IF(INT(($A147-1)/2)+1&gt;MAX(1,INT(((((CROQUIS_DATOS!$C$1494+CROQUIS_DATOS!$C$1495))-(CROQUIS_DATOS!$C$1494))+((CROQUIS_DATOS!$C$1496)*CROQUIS_DATOS!$C$1561-(0)*CROQUIS_DATOS!$C$1561))/CROQUIS_DATOS!$C$1568-0.000001)),1,MOD($A147-1,2)),1-IF(INT(($A147-1)/2)+1&gt;MAX(1,INT(((((CROQUIS_DATOS!$C$1494+CROQUIS_DATOS!$C$1495))-(CROQUIS_DATOS!$C$1494))+((CROQUIS_DATOS!$C$1496)*CROQUIS_DATOS!$C$1561-(0)*CROQUIS_DATOS!$C$1561))/CROQUIS_DATOS!$C$1568-0.000001)),1,MOD($A147-1,2)))=1,MIN((CROQUIS_DATOS!$C$1496)*CROQUIS_DATOS!$C$1561,((CROQUIS_DATOS!$C$1494+CROQUIS_DATOS!$C$1495)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)+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*CROQUIS_DATOS!$C$1565),-1000)</f>
        <v>-1000</v>
      </c>
      <c r="DI147">
        <f>IF(AND(CROQUIS_DATOS!$C$1472=1,CROQUIS_DATOS!$C$1478&gt;=4,((CROQUIS_DATOS!$C$1494+CROQUIS_DATOS!$C$1495))-(CROQUIS_DATOS!$C$1494)&gt;0.5,(CROQUIS_DATOS!$C$1496)-(0)&gt;0.5),(CROQUIS_DATOS!$C$1567+(IF(IF(MOD(MIN(INT(($A147-1)/2)+1,MAX(1,INT(((((CROQUIS_DATOS!$C$1494+CROQUIS_DATOS!$C$1495))-(CROQUIS_DATOS!$C$1494))+((CROQUIS_DATOS!$C$1496)*CROQUIS_DATOS!$C$1561-(0)*CROQUIS_DATOS!$C$1561))/CROQUIS_DATOS!$C$1568-0.000001))),2)=1,IF(INT(($A147-1)/2)+1&gt;MAX(1,INT(((((CROQUIS_DATOS!$C$1494+CROQUIS_DATOS!$C$1495))-(CROQUIS_DATOS!$C$1494))+((CROQUIS_DATOS!$C$1496)*CROQUIS_DATOS!$C$1561-(0)*CROQUIS_DATOS!$C$1561))/CROQUIS_DATOS!$C$1568-0.000001)),1,MOD($A147-1,2)),1-IF(INT(($A147-1)/2)+1&gt;MAX(1,INT(((((CROQUIS_DATOS!$C$1494+CROQUIS_DATOS!$C$1495))-(CROQUIS_DATOS!$C$1494))+((CROQUIS_DATOS!$C$1496)*CROQUIS_DATOS!$C$1561-(0)*CROQUIS_DATOS!$C$1561))/CROQUIS_DATOS!$C$1568-0.000001)),1,MOD($A147-1,2)))=1,MIN((CROQUIS_DATOS!$C$1496)*CROQUIS_DATOS!$C$1561,((CROQUIS_DATOS!$C$1494+CROQUIS_DATOS!$C$1495)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,MAX((0)*CROQUIS_DATOS!$C$1561,(CROQUIS_DATOS!$C$1494)-((CROQUIS_DATOS!$C$1494)-(CROQUIS_DATOS!$C$1496)*CROQUIS_DATOS!$C$1561+MIN(INT(($A147-1)/2)+1,MAX(1,INT(((((CROQUIS_DATOS!$C$1494+CROQUIS_DATOS!$C$1495))-(CROQUIS_DATOS!$C$1494))+((CROQUIS_DATOS!$C$1496)*CROQUIS_DATOS!$C$1561-(0)*CROQUIS_DATOS!$C$1561))/CROQUIS_DATOS!$C$1568-0.000001)))*CROQUIS_DATOS!$C$1568))))*CROQUIS_DATOS!$C$1565),-1000)</f>
        <v>-1000</v>
      </c>
      <c r="DJ147">
        <f>IF(AND(CROQUIS_DATOS!$C$1472=1,CROQUIS_DATOS!$C$1478&gt;=4,((CROQUIS_DATOS!$C$1494+CROQUIS_DATOS!$C$1495))-(CROQUIS_DATOS!$C$1494)&gt;0.5,(CROQUIS_DATOS!$C$1476)-((CROQUIS_DATOS!$C$1496+CROQUIS_DATOS!$C$1497))&gt;0.5),(CROQUIS_DATOS!$C$1566+(IF(IF(MOD(MIN(INT(($A147-1)/2)+1,MAX(1,INT(((((CROQUIS_DATOS!$C$1494+CROQUIS_DATOS!$C$1495))-(CROQUIS_DATOS!$C$1494))+((CROQUIS_DATOS!$C$1476)*CROQUIS_DATOS!$C$1561-((CROQUIS_DATOS!$C$1496+CROQUIS_DATOS!$C$1497))*CROQUIS_DATOS!$C$1561))/CROQUIS_DATOS!$C$1568-0.000001))),2)=1,IF(INT(($A147-1)/2)+1&gt;MAX(1,INT(((((CROQUIS_DATOS!$C$1494+CROQUIS_DATOS!$C$1495))-(CROQUIS_DATOS!$C$1494))+((CROQUIS_DATOS!$C$1476)*CROQUIS_DATOS!$C$1561-((CROQUIS_DATOS!$C$1496+CROQUIS_DATOS!$C$1497))*CROQUIS_DATOS!$C$1561))/CROQUIS_DATOS!$C$1568-0.000001)),1,MOD($A147-1,2)),1-IF(INT(($A147-1)/2)+1&gt;MAX(1,INT(((((CROQUIS_DATOS!$C$1494+CROQUIS_DATOS!$C$1495))-(CROQUIS_DATOS!$C$1494))+((CROQUIS_DATOS!$C$1476)*CROQUIS_DATOS!$C$1561-((CROQUIS_DATOS!$C$1496+CROQUIS_DATOS!$C$1497))*CROQUIS_DATOS!$C$1561))/CROQUIS_DATOS!$C$1568-0.000001)),1,MOD($A147-1,2)))=1,MIN((CROQUIS_DATOS!$C$1476)*CROQUIS_DATOS!$C$1561,((CROQUIS_DATOS!$C$1494+CROQUIS_DATOS!$C$1495)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)+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*CROQUIS_DATOS!$C$1565),-1000)</f>
        <v>-1000</v>
      </c>
      <c r="DK147">
        <f>IF(AND(CROQUIS_DATOS!$C$1472=1,CROQUIS_DATOS!$C$1478&gt;=4,((CROQUIS_DATOS!$C$1494+CROQUIS_DATOS!$C$1495))-(CROQUIS_DATOS!$C$1494)&gt;0.5,(CROQUIS_DATOS!$C$1476)-((CROQUIS_DATOS!$C$1496+CROQUIS_DATOS!$C$1497))&gt;0.5),(CROQUIS_DATOS!$C$1567+(IF(IF(MOD(MIN(INT(($A147-1)/2)+1,MAX(1,INT(((((CROQUIS_DATOS!$C$1494+CROQUIS_DATOS!$C$1495))-(CROQUIS_DATOS!$C$1494))+((CROQUIS_DATOS!$C$1476)*CROQUIS_DATOS!$C$1561-((CROQUIS_DATOS!$C$1496+CROQUIS_DATOS!$C$1497))*CROQUIS_DATOS!$C$1561))/CROQUIS_DATOS!$C$1568-0.000001))),2)=1,IF(INT(($A147-1)/2)+1&gt;MAX(1,INT(((((CROQUIS_DATOS!$C$1494+CROQUIS_DATOS!$C$1495))-(CROQUIS_DATOS!$C$1494))+((CROQUIS_DATOS!$C$1476)*CROQUIS_DATOS!$C$1561-((CROQUIS_DATOS!$C$1496+CROQUIS_DATOS!$C$1497))*CROQUIS_DATOS!$C$1561))/CROQUIS_DATOS!$C$1568-0.000001)),1,MOD($A147-1,2)),1-IF(INT(($A147-1)/2)+1&gt;MAX(1,INT(((((CROQUIS_DATOS!$C$1494+CROQUIS_DATOS!$C$1495))-(CROQUIS_DATOS!$C$1494))+((CROQUIS_DATOS!$C$1476)*CROQUIS_DATOS!$C$1561-((CROQUIS_DATOS!$C$1496+CROQUIS_DATOS!$C$1497))*CROQUIS_DATOS!$C$1561))/CROQUIS_DATOS!$C$1568-0.000001)),1,MOD($A147-1,2)))=1,MIN((CROQUIS_DATOS!$C$1476)*CROQUIS_DATOS!$C$1561,((CROQUIS_DATOS!$C$1494+CROQUIS_DATOS!$C$1495)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,MAX(((CROQUIS_DATOS!$C$1496+CROQUIS_DATOS!$C$1497))*CROQUIS_DATOS!$C$1561,(CROQUIS_DATOS!$C$1494)-((CROQUIS_DATOS!$C$1494)-(CROQUIS_DATOS!$C$1476)*CROQUIS_DATOS!$C$1561+MIN(INT(($A147-1)/2)+1,MAX(1,INT(((((CROQUIS_DATOS!$C$1494+CROQUIS_DATOS!$C$1495))-(CROQUIS_DATOS!$C$1494))+((CROQUIS_DATOS!$C$1476)*CROQUIS_DATOS!$C$1561-((CROQUIS_DATOS!$C$1496+CROQUIS_DATOS!$C$1497))*CROQUIS_DATOS!$C$1561))/CROQUIS_DATOS!$C$1568-0.000001)))*CROQUIS_DATOS!$C$1568))))*CROQUIS_DATOS!$C$1565),-1000)</f>
        <v>-1000</v>
      </c>
    </row>
    <row r="148">
      <c r="A148" t="n">
        <v>141</v>
      </c>
      <c r="N148">
        <f>IF(AND(CROQUIS_DATOS!$C$1472=1,1),(CROQUIS_DATOS!$C$1563+(IF(IF(IF(INT(($A148-1)/70)+1&gt;CROQUIS_DATOS!$C$1525,70,MOD($A148-1,70)+1)=1,0,IF(IF(INT(($A148-1)/70)+1&gt;CROQUIS_DATOS!$C$1525,70,MOD($A148-1,70)+1)&gt;2*CROQUIS_DATOS!$C$1541+1,IF(MOD(CROQUIS_DATOS!$C$1541,2)=1,1,0),IF(MOD(MIN(INT((IF(INT(($A148-1)/70)+1&gt;CROQUIS_DATOS!$C$1525,70,MOD($A148-1,70)+1)-2)/2)+1,CROQUIS_DATOS!$C$1541),2)=1,IF(MOD(IF(INT(($A148-1)/70)+1&gt;CROQUIS_DATOS!$C$1525,70,MOD($A148-1,70)+1)-2,2)=0,0,1),IF(MOD(IF(INT(($A148-1)/70)+1&gt;CROQUIS_DATOS!$C$1525,70,MOD($A148-1,70)+1)-2,2)=0,1,0))))=0,(INDEX($E$8:$E$23,MIN(INT(($A148-1)/70)+1,CROQUIS_DATOS!$C$1525))-INDEX($F$8:$F$23,MIN(INT(($A148-1)/70)+1,CROQUIS_DATOS!$C$1525))/2),(INDEX($E$8:$E$23,MIN(INT(($A148-1)/70)+1,CROQUIS_DATOS!$C$1525))+INDEX($F$8:$F$23,MIN(INT(($A148-1)/70)+1,CROQUIS_DATOS!$C$1525))/2)))*CROQUIS_DATOS!$C$1562),-1000)</f>
        <v>33.2413793103448</v>
      </c>
      <c r="O148">
        <f>IF(AND(CROQUIS_DATOS!$C$1472=1,1),(CROQUIS_DATOS!$C$1564+(IF(OR(IF(INT(($A148-1)/70)+1&gt;CROQUIS_DATOS!$C$1525,70,MOD($A148-1,70)+1)=1,IF(INT(($A148-1)/70)+1&gt;CROQUIS_DATOS!$C$1525,70,MOD($A148-1,70)+1)&gt;2*CROQUIS_DATOS!$C$1541+1),CROQUIS_DATOS!$C$1476,INDEX($H$8:$H$41,MIN(INT((IF(INT(($A148-1)/70)+1&gt;CROQUIS_DATOS!$C$1525,70,MOD($A148-1,70)+1)-2)/2)+1,CROQUIS_DATOS!$C$1541))))*CROQUIS_DATOS!$C$1561*CROQUIS_DATOS!$C$1562),-1000)</f>
        <v>40.2068965517241</v>
      </c>
      <c r="P148">
        <f>IF(AND(CROQUIS_DATOS!$C$1472=1,CROQUIS_DATOS!$C$1555=1),(CROQUIS_DATOS!$C$1563+(IF(IF(OR(MOD($A148-1,62)+1=1,IF(CHOOSE(MIN(MAX(MIN(INT(($A148-1)/62)+1,5),1),5),CROQUIS_DATOS!$C$1501,CROQUIS_DATOS!$C$1505,CROQUIS_DATOS!$C$1509,CROQUIS_DATOS!$C$1513,CROQUIS_DATOS!$C$1517)=1,CROQUIS_DATOS!$C$1557,0)=0),0,IF(MOD($A148-1,62)+1&gt;2*IF(CHOOSE(MIN(MAX(MIN(INT(($A148-1)/62)+1,5),1),5),CROQUIS_DATOS!$C$1501,CROQUIS_DATOS!$C$1505,CROQUIS_DATOS!$C$1509,CROQUIS_DATOS!$C$1513,CROQUIS_DATOS!$C$1517)=1,CROQUIS_DATOS!$C$1557,0)+1,IF(MOD(IF(CHOOSE(MIN(MAX(MIN(INT(($A148-1)/62)+1,5),1),5),CROQUIS_DATOS!$C$1501,CROQUIS_DATOS!$C$1505,CROQUIS_DATOS!$C$1509,CROQUIS_DATOS!$C$1513,CROQUIS_DATOS!$C$1517)=1,CROQUIS_DATOS!$C$1557,0),2)=1,1,0),IF(MOD(MIN(INT((MOD($A148-1,62)+1-2)/2)+1,MAX(IF(CHOOSE(MIN(MAX(MIN(INT(($A148-1)/62)+1,5),1),5),CROQUIS_DATOS!$C$1501,CROQUIS_DATOS!$C$1505,CROQUIS_DATOS!$C$1509,CROQUIS_DATOS!$C$1513,CROQUIS_DATOS!$C$1517)=1,CROQUIS_DATOS!$C$1557,0),1)),2)=1,IF(MOD(MOD($A148-1,62)+1-2,2)=0,0,1),IF(MOD(MOD($A148-1,62)+1-2,2)=0,1,0))))=0,(CHOOSE(MIN(MAX(MIN(INT(($A148-1)/62)+1,5),1),5),CROQUIS_DATOS!$C$1499,CROQUIS_DATOS!$C$1503,CROQUIS_DATOS!$C$1507,CROQUIS_DATOS!$C$1511,CROQUIS_DATOS!$C$1515)+IF(CHOOSE(MIN(MAX(MIN(INT(($A148-1)/62)+1,5),1),5),CROQUIS_DATOS!$C$1501,CROQUIS_DATOS!$C$1505,CROQUIS_DATOS!$C$1509,CROQUIS_DATOS!$C$1513,CROQUIS_DATOS!$C$1517)=1,CROQUIS_DATOS!$C$1526,0)),(CHOOSE(MIN(MAX(MIN(INT(($A148-1)/62)+1,5),1),5),CROQUIS_DATOS!$C$1499,CROQUIS_DATOS!$C$1503,CROQUIS_DATOS!$C$1507,CROQUIS_DATOS!$C$1511,CROQUIS_DATOS!$C$1515)+CHOOSE(MIN(MAX(MIN(INT(($A148-1)/62)+1,5),1),5),CROQUIS_DATOS!$C$1500,CROQUIS_DATOS!$C$1504,CROQUIS_DATOS!$C$1508,CROQUIS_DATOS!$C$1512,CROQUIS_DATOS!$C$1516)-IF(CHOOSE(MIN(MAX(MIN(INT(($A148-1)/62)+1,5),1),5),CROQUIS_DATOS!$C$1501,CROQUIS_DATOS!$C$1505,CROQUIS_DATOS!$C$1509,CROQUIS_DATOS!$C$1513,CROQUIS_DATOS!$C$1517)=1,CROQUIS_DATOS!$C$1526,0))))*CROQUIS_DATOS!$C$1562),-1000)</f>
        <v>-1000</v>
      </c>
      <c r="Q148">
        <f>IF(AND(CROQUIS_DATOS!$C$1472=1,CROQUIS_DATOS!$C$1555=1),(CROQUIS_DATOS!$C$1564+(IF(OR(OR(MOD($A148-1,62)+1=1,IF(CHOOSE(MIN(MAX(MIN(INT(($A148-1)/62)+1,5),1),5),CROQUIS_DATOS!$C$1501,CROQUIS_DATOS!$C$1505,CROQUIS_DATOS!$C$1509,CROQUIS_DATOS!$C$1513,CROQUIS_DATOS!$C$1517)=1,CROQUIS_DATOS!$C$1557,0)=0),MOD($A148-1,62)+1&gt;2*IF(CHOOSE(MIN(MAX(MIN(INT(($A148-1)/62)+1,5),1),5),CROQUIS_DATOS!$C$1501,CROQUIS_DATOS!$C$1505,CROQUIS_DATOS!$C$1509,CROQUIS_DATOS!$C$1513,CROQUIS_DATOS!$C$1517)=1,CROQUIS_DATOS!$C$1557,0)+1),CROQUIS_DATOS!$C$1476,MIN(INT((MOD($A148-1,62)+1-2)/2)+1,MAX(IF(CHOOSE(MIN(MAX(MIN(INT(($A148-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8">
        <f>IF(AND(CROQUIS_DATOS!$C$1472=1,1),(CROQUIS_DATOS!$C$1563+(MIN(INT(($A148-1)/2)+1,CROQUIS_DATOS!$C$1558)*CROQUIS_DATOS!$C$1559)*CROQUIS_DATOS!$C$1562),-1000)</f>
        <v>82.2281167108753</v>
      </c>
      <c r="U148">
        <f>IF(AND(CROQUIS_DATOS!$C$1472=1,1),(CROQUIS_DATOS!$C$1564+(IF(INT(($A148-1)/2)+1&gt;CROQUIS_DATOS!$C$1558,IF(MOD(CROQUIS_DATOS!$C$1558,2)=1,CROQUIS_DATOS!$C$1476+CROQUIS_DATOS!$C$1528,CROQUIS_DATOS!$C$1476),IF(IF(MOD(MIN(INT(($A148-1)/2)+1,CROQUIS_DATOS!$C$1558),2)=1,MOD($A148-1,2),1-MOD($A148-1,2))=1,CROQUIS_DATOS!$C$1476+CROQUIS_DATOS!$C$1528,CROQUIS_DATOS!$C$1476)))*CROQUIS_DATOS!$C$1561*CROQUIS_DATOS!$C$1562),-1000)</f>
        <v>43</v>
      </c>
    </row>
    <row r="149">
      <c r="A149" t="n">
        <v>142</v>
      </c>
      <c r="N149">
        <f>IF(AND(CROQUIS_DATOS!$C$1472=1,1),(CROQUIS_DATOS!$C$1563+(IF(IF(IF(INT(($A149-1)/70)+1&gt;CROQUIS_DATOS!$C$1525,70,MOD($A149-1,70)+1)=1,0,IF(IF(INT(($A149-1)/70)+1&gt;CROQUIS_DATOS!$C$1525,70,MOD($A149-1,70)+1)&gt;2*CROQUIS_DATOS!$C$1541+1,IF(MOD(CROQUIS_DATOS!$C$1541,2)=1,1,0),IF(MOD(MIN(INT((IF(INT(($A149-1)/70)+1&gt;CROQUIS_DATOS!$C$1525,70,MOD($A149-1,70)+1)-2)/2)+1,CROQUIS_DATOS!$C$1541),2)=1,IF(MOD(IF(INT(($A149-1)/70)+1&gt;CROQUIS_DATOS!$C$1525,70,MOD($A149-1,70)+1)-2,2)=0,0,1),IF(MOD(IF(INT(($A149-1)/70)+1&gt;CROQUIS_DATOS!$C$1525,70,MOD($A149-1,70)+1)-2,2)=0,1,0))))=0,(INDEX($E$8:$E$23,MIN(INT(($A149-1)/70)+1,CROQUIS_DATOS!$C$1525))-INDEX($F$8:$F$23,MIN(INT(($A149-1)/70)+1,CROQUIS_DATOS!$C$1525))/2),(INDEX($E$8:$E$23,MIN(INT(($A149-1)/70)+1,CROQUIS_DATOS!$C$1525))+INDEX($F$8:$F$23,MIN(INT(($A149-1)/70)+1,CROQUIS_DATOS!$C$1525))/2)))*CROQUIS_DATOS!$C$1562),-1000)</f>
        <v>33.2413793103448</v>
      </c>
      <c r="O149">
        <f>IF(AND(CROQUIS_DATOS!$C$1472=1,1),(CROQUIS_DATOS!$C$1564+(IF(OR(IF(INT(($A149-1)/70)+1&gt;CROQUIS_DATOS!$C$1525,70,MOD($A149-1,70)+1)=1,IF(INT(($A149-1)/70)+1&gt;CROQUIS_DATOS!$C$1525,70,MOD($A149-1,70)+1)&gt;2*CROQUIS_DATOS!$C$1541+1),CROQUIS_DATOS!$C$1476,INDEX($H$8:$H$41,MIN(INT((IF(INT(($A149-1)/70)+1&gt;CROQUIS_DATOS!$C$1525,70,MOD($A149-1,70)+1)-2)/2)+1,CROQUIS_DATOS!$C$1541))))*CROQUIS_DATOS!$C$1561*CROQUIS_DATOS!$C$1562),-1000)</f>
        <v>6.34051724137931</v>
      </c>
      <c r="P149">
        <f>IF(AND(CROQUIS_DATOS!$C$1472=1,CROQUIS_DATOS!$C$1555=1),(CROQUIS_DATOS!$C$1563+(IF(IF(OR(MOD($A149-1,62)+1=1,IF(CHOOSE(MIN(MAX(MIN(INT(($A149-1)/62)+1,5),1),5),CROQUIS_DATOS!$C$1501,CROQUIS_DATOS!$C$1505,CROQUIS_DATOS!$C$1509,CROQUIS_DATOS!$C$1513,CROQUIS_DATOS!$C$1517)=1,CROQUIS_DATOS!$C$1557,0)=0),0,IF(MOD($A149-1,62)+1&gt;2*IF(CHOOSE(MIN(MAX(MIN(INT(($A149-1)/62)+1,5),1),5),CROQUIS_DATOS!$C$1501,CROQUIS_DATOS!$C$1505,CROQUIS_DATOS!$C$1509,CROQUIS_DATOS!$C$1513,CROQUIS_DATOS!$C$1517)=1,CROQUIS_DATOS!$C$1557,0)+1,IF(MOD(IF(CHOOSE(MIN(MAX(MIN(INT(($A149-1)/62)+1,5),1),5),CROQUIS_DATOS!$C$1501,CROQUIS_DATOS!$C$1505,CROQUIS_DATOS!$C$1509,CROQUIS_DATOS!$C$1513,CROQUIS_DATOS!$C$1517)=1,CROQUIS_DATOS!$C$1557,0),2)=1,1,0),IF(MOD(MIN(INT((MOD($A149-1,62)+1-2)/2)+1,MAX(IF(CHOOSE(MIN(MAX(MIN(INT(($A149-1)/62)+1,5),1),5),CROQUIS_DATOS!$C$1501,CROQUIS_DATOS!$C$1505,CROQUIS_DATOS!$C$1509,CROQUIS_DATOS!$C$1513,CROQUIS_DATOS!$C$1517)=1,CROQUIS_DATOS!$C$1557,0),1)),2)=1,IF(MOD(MOD($A149-1,62)+1-2,2)=0,0,1),IF(MOD(MOD($A149-1,62)+1-2,2)=0,1,0))))=0,(CHOOSE(MIN(MAX(MIN(INT(($A149-1)/62)+1,5),1),5),CROQUIS_DATOS!$C$1499,CROQUIS_DATOS!$C$1503,CROQUIS_DATOS!$C$1507,CROQUIS_DATOS!$C$1511,CROQUIS_DATOS!$C$1515)+IF(CHOOSE(MIN(MAX(MIN(INT(($A149-1)/62)+1,5),1),5),CROQUIS_DATOS!$C$1501,CROQUIS_DATOS!$C$1505,CROQUIS_DATOS!$C$1509,CROQUIS_DATOS!$C$1513,CROQUIS_DATOS!$C$1517)=1,CROQUIS_DATOS!$C$1526,0)),(CHOOSE(MIN(MAX(MIN(INT(($A149-1)/62)+1,5),1),5),CROQUIS_DATOS!$C$1499,CROQUIS_DATOS!$C$1503,CROQUIS_DATOS!$C$1507,CROQUIS_DATOS!$C$1511,CROQUIS_DATOS!$C$1515)+CHOOSE(MIN(MAX(MIN(INT(($A149-1)/62)+1,5),1),5),CROQUIS_DATOS!$C$1500,CROQUIS_DATOS!$C$1504,CROQUIS_DATOS!$C$1508,CROQUIS_DATOS!$C$1512,CROQUIS_DATOS!$C$1516)-IF(CHOOSE(MIN(MAX(MIN(INT(($A149-1)/62)+1,5),1),5),CROQUIS_DATOS!$C$1501,CROQUIS_DATOS!$C$1505,CROQUIS_DATOS!$C$1509,CROQUIS_DATOS!$C$1513,CROQUIS_DATOS!$C$1517)=1,CROQUIS_DATOS!$C$1526,0))))*CROQUIS_DATOS!$C$1562),-1000)</f>
        <v>-1000</v>
      </c>
      <c r="Q149">
        <f>IF(AND(CROQUIS_DATOS!$C$1472=1,CROQUIS_DATOS!$C$1555=1),(CROQUIS_DATOS!$C$1564+(IF(OR(OR(MOD($A149-1,62)+1=1,IF(CHOOSE(MIN(MAX(MIN(INT(($A149-1)/62)+1,5),1),5),CROQUIS_DATOS!$C$1501,CROQUIS_DATOS!$C$1505,CROQUIS_DATOS!$C$1509,CROQUIS_DATOS!$C$1513,CROQUIS_DATOS!$C$1517)=1,CROQUIS_DATOS!$C$1557,0)=0),MOD($A149-1,62)+1&gt;2*IF(CHOOSE(MIN(MAX(MIN(INT(($A149-1)/62)+1,5),1),5),CROQUIS_DATOS!$C$1501,CROQUIS_DATOS!$C$1505,CROQUIS_DATOS!$C$1509,CROQUIS_DATOS!$C$1513,CROQUIS_DATOS!$C$1517)=1,CROQUIS_DATOS!$C$1557,0)+1),CROQUIS_DATOS!$C$1476,MIN(INT((MOD($A149-1,62)+1-2)/2)+1,MAX(IF(CHOOSE(MIN(MAX(MIN(INT(($A149-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49">
        <f>IF(AND(CROQUIS_DATOS!$C$1472=1,1),(CROQUIS_DATOS!$C$1563+(MIN(INT(($A149-1)/2)+1,CROQUIS_DATOS!$C$1558)*CROQUIS_DATOS!$C$1559)*CROQUIS_DATOS!$C$1562),-1000)</f>
        <v>82.2281167108753</v>
      </c>
      <c r="U149">
        <f>IF(AND(CROQUIS_DATOS!$C$1472=1,1),(CROQUIS_DATOS!$C$1564+(IF(INT(($A149-1)/2)+1&gt;CROQUIS_DATOS!$C$1558,IF(MOD(CROQUIS_DATOS!$C$1558,2)=1,CROQUIS_DATOS!$C$1476+CROQUIS_DATOS!$C$1528,CROQUIS_DATOS!$C$1476),IF(IF(MOD(MIN(INT(($A149-1)/2)+1,CROQUIS_DATOS!$C$1558),2)=1,MOD($A149-1,2),1-MOD($A149-1,2))=1,CROQUIS_DATOS!$C$1476+CROQUIS_DATOS!$C$1528,CROQUIS_DATOS!$C$1476)))*CROQUIS_DATOS!$C$1561*CROQUIS_DATOS!$C$1562),-1000)</f>
        <v>43</v>
      </c>
    </row>
    <row r="150">
      <c r="A150" t="n">
        <v>143</v>
      </c>
      <c r="N150">
        <f>IF(AND(CROQUIS_DATOS!$C$1472=1,1),(CROQUIS_DATOS!$C$1563+(IF(IF(IF(INT(($A150-1)/70)+1&gt;CROQUIS_DATOS!$C$1525,70,MOD($A150-1,70)+1)=1,0,IF(IF(INT(($A150-1)/70)+1&gt;CROQUIS_DATOS!$C$1525,70,MOD($A150-1,70)+1)&gt;2*CROQUIS_DATOS!$C$1541+1,IF(MOD(CROQUIS_DATOS!$C$1541,2)=1,1,0),IF(MOD(MIN(INT((IF(INT(($A150-1)/70)+1&gt;CROQUIS_DATOS!$C$1525,70,MOD($A150-1,70)+1)-2)/2)+1,CROQUIS_DATOS!$C$1541),2)=1,IF(MOD(IF(INT(($A150-1)/70)+1&gt;CROQUIS_DATOS!$C$1525,70,MOD($A150-1,70)+1)-2,2)=0,0,1),IF(MOD(IF(INT(($A150-1)/70)+1&gt;CROQUIS_DATOS!$C$1525,70,MOD($A150-1,70)+1)-2,2)=0,1,0))))=0,(INDEX($E$8:$E$23,MIN(INT(($A150-1)/70)+1,CROQUIS_DATOS!$C$1525))-INDEX($F$8:$F$23,MIN(INT(($A150-1)/70)+1,CROQUIS_DATOS!$C$1525))/2),(INDEX($E$8:$E$23,MIN(INT(($A150-1)/70)+1,CROQUIS_DATOS!$C$1525))+INDEX($F$8:$F$23,MIN(INT(($A150-1)/70)+1,CROQUIS_DATOS!$C$1525))/2)))*CROQUIS_DATOS!$C$1562),-1000)</f>
        <v>35.3362068965517</v>
      </c>
      <c r="O150">
        <f>IF(AND(CROQUIS_DATOS!$C$1472=1,1),(CROQUIS_DATOS!$C$1564+(IF(OR(IF(INT(($A150-1)/70)+1&gt;CROQUIS_DATOS!$C$1525,70,MOD($A150-1,70)+1)=1,IF(INT(($A150-1)/70)+1&gt;CROQUIS_DATOS!$C$1525,70,MOD($A150-1,70)+1)&gt;2*CROQUIS_DATOS!$C$1541+1),CROQUIS_DATOS!$C$1476,INDEX($H$8:$H$41,MIN(INT((IF(INT(($A150-1)/70)+1&gt;CROQUIS_DATOS!$C$1525,70,MOD($A150-1,70)+1)-2)/2)+1,CROQUIS_DATOS!$C$1541))))*CROQUIS_DATOS!$C$1561*CROQUIS_DATOS!$C$1562),-1000)</f>
        <v>6.34051724137931</v>
      </c>
      <c r="P150">
        <f>IF(AND(CROQUIS_DATOS!$C$1472=1,CROQUIS_DATOS!$C$1555=1),(CROQUIS_DATOS!$C$1563+(IF(IF(OR(MOD($A150-1,62)+1=1,IF(CHOOSE(MIN(MAX(MIN(INT(($A150-1)/62)+1,5),1),5),CROQUIS_DATOS!$C$1501,CROQUIS_DATOS!$C$1505,CROQUIS_DATOS!$C$1509,CROQUIS_DATOS!$C$1513,CROQUIS_DATOS!$C$1517)=1,CROQUIS_DATOS!$C$1557,0)=0),0,IF(MOD($A150-1,62)+1&gt;2*IF(CHOOSE(MIN(MAX(MIN(INT(($A150-1)/62)+1,5),1),5),CROQUIS_DATOS!$C$1501,CROQUIS_DATOS!$C$1505,CROQUIS_DATOS!$C$1509,CROQUIS_DATOS!$C$1513,CROQUIS_DATOS!$C$1517)=1,CROQUIS_DATOS!$C$1557,0)+1,IF(MOD(IF(CHOOSE(MIN(MAX(MIN(INT(($A150-1)/62)+1,5),1),5),CROQUIS_DATOS!$C$1501,CROQUIS_DATOS!$C$1505,CROQUIS_DATOS!$C$1509,CROQUIS_DATOS!$C$1513,CROQUIS_DATOS!$C$1517)=1,CROQUIS_DATOS!$C$1557,0),2)=1,1,0),IF(MOD(MIN(INT((MOD($A150-1,62)+1-2)/2)+1,MAX(IF(CHOOSE(MIN(MAX(MIN(INT(($A150-1)/62)+1,5),1),5),CROQUIS_DATOS!$C$1501,CROQUIS_DATOS!$C$1505,CROQUIS_DATOS!$C$1509,CROQUIS_DATOS!$C$1513,CROQUIS_DATOS!$C$1517)=1,CROQUIS_DATOS!$C$1557,0),1)),2)=1,IF(MOD(MOD($A150-1,62)+1-2,2)=0,0,1),IF(MOD(MOD($A150-1,62)+1-2,2)=0,1,0))))=0,(CHOOSE(MIN(MAX(MIN(INT(($A150-1)/62)+1,5),1),5),CROQUIS_DATOS!$C$1499,CROQUIS_DATOS!$C$1503,CROQUIS_DATOS!$C$1507,CROQUIS_DATOS!$C$1511,CROQUIS_DATOS!$C$1515)+IF(CHOOSE(MIN(MAX(MIN(INT(($A150-1)/62)+1,5),1),5),CROQUIS_DATOS!$C$1501,CROQUIS_DATOS!$C$1505,CROQUIS_DATOS!$C$1509,CROQUIS_DATOS!$C$1513,CROQUIS_DATOS!$C$1517)=1,CROQUIS_DATOS!$C$1526,0)),(CHOOSE(MIN(MAX(MIN(INT(($A150-1)/62)+1,5),1),5),CROQUIS_DATOS!$C$1499,CROQUIS_DATOS!$C$1503,CROQUIS_DATOS!$C$1507,CROQUIS_DATOS!$C$1511,CROQUIS_DATOS!$C$1515)+CHOOSE(MIN(MAX(MIN(INT(($A150-1)/62)+1,5),1),5),CROQUIS_DATOS!$C$1500,CROQUIS_DATOS!$C$1504,CROQUIS_DATOS!$C$1508,CROQUIS_DATOS!$C$1512,CROQUIS_DATOS!$C$1516)-IF(CHOOSE(MIN(MAX(MIN(INT(($A150-1)/62)+1,5),1),5),CROQUIS_DATOS!$C$1501,CROQUIS_DATOS!$C$1505,CROQUIS_DATOS!$C$1509,CROQUIS_DATOS!$C$1513,CROQUIS_DATOS!$C$1517)=1,CROQUIS_DATOS!$C$1526,0))))*CROQUIS_DATOS!$C$1562),-1000)</f>
        <v>-1000</v>
      </c>
      <c r="Q150">
        <f>IF(AND(CROQUIS_DATOS!$C$1472=1,CROQUIS_DATOS!$C$1555=1),(CROQUIS_DATOS!$C$1564+(IF(OR(OR(MOD($A150-1,62)+1=1,IF(CHOOSE(MIN(MAX(MIN(INT(($A150-1)/62)+1,5),1),5),CROQUIS_DATOS!$C$1501,CROQUIS_DATOS!$C$1505,CROQUIS_DATOS!$C$1509,CROQUIS_DATOS!$C$1513,CROQUIS_DATOS!$C$1517)=1,CROQUIS_DATOS!$C$1557,0)=0),MOD($A150-1,62)+1&gt;2*IF(CHOOSE(MIN(MAX(MIN(INT(($A150-1)/62)+1,5),1),5),CROQUIS_DATOS!$C$1501,CROQUIS_DATOS!$C$1505,CROQUIS_DATOS!$C$1509,CROQUIS_DATOS!$C$1513,CROQUIS_DATOS!$C$1517)=1,CROQUIS_DATOS!$C$1557,0)+1),CROQUIS_DATOS!$C$1476,MIN(INT((MOD($A150-1,62)+1-2)/2)+1,MAX(IF(CHOOSE(MIN(MAX(MIN(INT(($A150-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0">
        <f>IF(AND(CROQUIS_DATOS!$C$1472=1,1),(CROQUIS_DATOS!$C$1563+(MIN(INT(($A150-1)/2)+1,CROQUIS_DATOS!$C$1558)*CROQUIS_DATOS!$C$1559)*CROQUIS_DATOS!$C$1562),-1000)</f>
        <v>82.2281167108753</v>
      </c>
      <c r="U150">
        <f>IF(AND(CROQUIS_DATOS!$C$1472=1,1),(CROQUIS_DATOS!$C$1564+(IF(INT(($A150-1)/2)+1&gt;CROQUIS_DATOS!$C$1558,IF(MOD(CROQUIS_DATOS!$C$1558,2)=1,CROQUIS_DATOS!$C$1476+CROQUIS_DATOS!$C$1528,CROQUIS_DATOS!$C$1476),IF(IF(MOD(MIN(INT(($A150-1)/2)+1,CROQUIS_DATOS!$C$1558),2)=1,MOD($A150-1,2),1-MOD($A150-1,2))=1,CROQUIS_DATOS!$C$1476+CROQUIS_DATOS!$C$1528,CROQUIS_DATOS!$C$1476)))*CROQUIS_DATOS!$C$1561*CROQUIS_DATOS!$C$1562),-1000)</f>
        <v>43</v>
      </c>
    </row>
    <row r="151">
      <c r="A151" t="n">
        <v>144</v>
      </c>
      <c r="N151">
        <f>IF(AND(CROQUIS_DATOS!$C$1472=1,1),(CROQUIS_DATOS!$C$1563+(IF(IF(IF(INT(($A151-1)/70)+1&gt;CROQUIS_DATOS!$C$1525,70,MOD($A151-1,70)+1)=1,0,IF(IF(INT(($A151-1)/70)+1&gt;CROQUIS_DATOS!$C$1525,70,MOD($A151-1,70)+1)&gt;2*CROQUIS_DATOS!$C$1541+1,IF(MOD(CROQUIS_DATOS!$C$1541,2)=1,1,0),IF(MOD(MIN(INT((IF(INT(($A151-1)/70)+1&gt;CROQUIS_DATOS!$C$1525,70,MOD($A151-1,70)+1)-2)/2)+1,CROQUIS_DATOS!$C$1541),2)=1,IF(MOD(IF(INT(($A151-1)/70)+1&gt;CROQUIS_DATOS!$C$1525,70,MOD($A151-1,70)+1)-2,2)=0,0,1),IF(MOD(IF(INT(($A151-1)/70)+1&gt;CROQUIS_DATOS!$C$1525,70,MOD($A151-1,70)+1)-2,2)=0,1,0))))=0,(INDEX($E$8:$E$23,MIN(INT(($A151-1)/70)+1,CROQUIS_DATOS!$C$1525))-INDEX($F$8:$F$23,MIN(INT(($A151-1)/70)+1,CROQUIS_DATOS!$C$1525))/2),(INDEX($E$8:$E$23,MIN(INT(($A151-1)/70)+1,CROQUIS_DATOS!$C$1525))+INDEX($F$8:$F$23,MIN(INT(($A151-1)/70)+1,CROQUIS_DATOS!$C$1525))/2)))*CROQUIS_DATOS!$C$1562),-1000)</f>
        <v>35.3362068965517</v>
      </c>
      <c r="O151">
        <f>IF(AND(CROQUIS_DATOS!$C$1472=1,1),(CROQUIS_DATOS!$C$1564+(IF(OR(IF(INT(($A151-1)/70)+1&gt;CROQUIS_DATOS!$C$1525,70,MOD($A151-1,70)+1)=1,IF(INT(($A151-1)/70)+1&gt;CROQUIS_DATOS!$C$1525,70,MOD($A151-1,70)+1)&gt;2*CROQUIS_DATOS!$C$1541+1),CROQUIS_DATOS!$C$1476,INDEX($H$8:$H$41,MIN(INT((IF(INT(($A151-1)/70)+1&gt;CROQUIS_DATOS!$C$1525,70,MOD($A151-1,70)+1)-2)/2)+1,CROQUIS_DATOS!$C$1541))))*CROQUIS_DATOS!$C$1561*CROQUIS_DATOS!$C$1562),-1000)</f>
        <v>7.38793103448276</v>
      </c>
      <c r="P151">
        <f>IF(AND(CROQUIS_DATOS!$C$1472=1,CROQUIS_DATOS!$C$1555=1),(CROQUIS_DATOS!$C$1563+(IF(IF(OR(MOD($A151-1,62)+1=1,IF(CHOOSE(MIN(MAX(MIN(INT(($A151-1)/62)+1,5),1),5),CROQUIS_DATOS!$C$1501,CROQUIS_DATOS!$C$1505,CROQUIS_DATOS!$C$1509,CROQUIS_DATOS!$C$1513,CROQUIS_DATOS!$C$1517)=1,CROQUIS_DATOS!$C$1557,0)=0),0,IF(MOD($A151-1,62)+1&gt;2*IF(CHOOSE(MIN(MAX(MIN(INT(($A151-1)/62)+1,5),1),5),CROQUIS_DATOS!$C$1501,CROQUIS_DATOS!$C$1505,CROQUIS_DATOS!$C$1509,CROQUIS_DATOS!$C$1513,CROQUIS_DATOS!$C$1517)=1,CROQUIS_DATOS!$C$1557,0)+1,IF(MOD(IF(CHOOSE(MIN(MAX(MIN(INT(($A151-1)/62)+1,5),1),5),CROQUIS_DATOS!$C$1501,CROQUIS_DATOS!$C$1505,CROQUIS_DATOS!$C$1509,CROQUIS_DATOS!$C$1513,CROQUIS_DATOS!$C$1517)=1,CROQUIS_DATOS!$C$1557,0),2)=1,1,0),IF(MOD(MIN(INT((MOD($A151-1,62)+1-2)/2)+1,MAX(IF(CHOOSE(MIN(MAX(MIN(INT(($A151-1)/62)+1,5),1),5),CROQUIS_DATOS!$C$1501,CROQUIS_DATOS!$C$1505,CROQUIS_DATOS!$C$1509,CROQUIS_DATOS!$C$1513,CROQUIS_DATOS!$C$1517)=1,CROQUIS_DATOS!$C$1557,0),1)),2)=1,IF(MOD(MOD($A151-1,62)+1-2,2)=0,0,1),IF(MOD(MOD($A151-1,62)+1-2,2)=0,1,0))))=0,(CHOOSE(MIN(MAX(MIN(INT(($A151-1)/62)+1,5),1),5),CROQUIS_DATOS!$C$1499,CROQUIS_DATOS!$C$1503,CROQUIS_DATOS!$C$1507,CROQUIS_DATOS!$C$1511,CROQUIS_DATOS!$C$1515)+IF(CHOOSE(MIN(MAX(MIN(INT(($A151-1)/62)+1,5),1),5),CROQUIS_DATOS!$C$1501,CROQUIS_DATOS!$C$1505,CROQUIS_DATOS!$C$1509,CROQUIS_DATOS!$C$1513,CROQUIS_DATOS!$C$1517)=1,CROQUIS_DATOS!$C$1526,0)),(CHOOSE(MIN(MAX(MIN(INT(($A151-1)/62)+1,5),1),5),CROQUIS_DATOS!$C$1499,CROQUIS_DATOS!$C$1503,CROQUIS_DATOS!$C$1507,CROQUIS_DATOS!$C$1511,CROQUIS_DATOS!$C$1515)+CHOOSE(MIN(MAX(MIN(INT(($A151-1)/62)+1,5),1),5),CROQUIS_DATOS!$C$1500,CROQUIS_DATOS!$C$1504,CROQUIS_DATOS!$C$1508,CROQUIS_DATOS!$C$1512,CROQUIS_DATOS!$C$1516)-IF(CHOOSE(MIN(MAX(MIN(INT(($A151-1)/62)+1,5),1),5),CROQUIS_DATOS!$C$1501,CROQUIS_DATOS!$C$1505,CROQUIS_DATOS!$C$1509,CROQUIS_DATOS!$C$1513,CROQUIS_DATOS!$C$1517)=1,CROQUIS_DATOS!$C$1526,0))))*CROQUIS_DATOS!$C$1562),-1000)</f>
        <v>-1000</v>
      </c>
      <c r="Q151">
        <f>IF(AND(CROQUIS_DATOS!$C$1472=1,CROQUIS_DATOS!$C$1555=1),(CROQUIS_DATOS!$C$1564+(IF(OR(OR(MOD($A151-1,62)+1=1,IF(CHOOSE(MIN(MAX(MIN(INT(($A151-1)/62)+1,5),1),5),CROQUIS_DATOS!$C$1501,CROQUIS_DATOS!$C$1505,CROQUIS_DATOS!$C$1509,CROQUIS_DATOS!$C$1513,CROQUIS_DATOS!$C$1517)=1,CROQUIS_DATOS!$C$1557,0)=0),MOD($A151-1,62)+1&gt;2*IF(CHOOSE(MIN(MAX(MIN(INT(($A151-1)/62)+1,5),1),5),CROQUIS_DATOS!$C$1501,CROQUIS_DATOS!$C$1505,CROQUIS_DATOS!$C$1509,CROQUIS_DATOS!$C$1513,CROQUIS_DATOS!$C$1517)=1,CROQUIS_DATOS!$C$1557,0)+1),CROQUIS_DATOS!$C$1476,MIN(INT((MOD($A151-1,62)+1-2)/2)+1,MAX(IF(CHOOSE(MIN(MAX(MIN(INT(($A151-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1">
        <f>IF(AND(CROQUIS_DATOS!$C$1472=1,1),(CROQUIS_DATOS!$C$1563+(MIN(INT(($A151-1)/2)+1,CROQUIS_DATOS!$C$1558)*CROQUIS_DATOS!$C$1559)*CROQUIS_DATOS!$C$1562),-1000)</f>
        <v>82.2281167108753</v>
      </c>
      <c r="U151">
        <f>IF(AND(CROQUIS_DATOS!$C$1472=1,1),(CROQUIS_DATOS!$C$1564+(IF(INT(($A151-1)/2)+1&gt;CROQUIS_DATOS!$C$1558,IF(MOD(CROQUIS_DATOS!$C$1558,2)=1,CROQUIS_DATOS!$C$1476+CROQUIS_DATOS!$C$1528,CROQUIS_DATOS!$C$1476),IF(IF(MOD(MIN(INT(($A151-1)/2)+1,CROQUIS_DATOS!$C$1558),2)=1,MOD($A151-1,2),1-MOD($A151-1,2))=1,CROQUIS_DATOS!$C$1476+CROQUIS_DATOS!$C$1528,CROQUIS_DATOS!$C$1476)))*CROQUIS_DATOS!$C$1561*CROQUIS_DATOS!$C$1562),-1000)</f>
        <v>43</v>
      </c>
    </row>
    <row r="152">
      <c r="A152" t="n">
        <v>145</v>
      </c>
      <c r="N152">
        <f>IF(AND(CROQUIS_DATOS!$C$1472=1,1),(CROQUIS_DATOS!$C$1563+(IF(IF(IF(INT(($A152-1)/70)+1&gt;CROQUIS_DATOS!$C$1525,70,MOD($A152-1,70)+1)=1,0,IF(IF(INT(($A152-1)/70)+1&gt;CROQUIS_DATOS!$C$1525,70,MOD($A152-1,70)+1)&gt;2*CROQUIS_DATOS!$C$1541+1,IF(MOD(CROQUIS_DATOS!$C$1541,2)=1,1,0),IF(MOD(MIN(INT((IF(INT(($A152-1)/70)+1&gt;CROQUIS_DATOS!$C$1525,70,MOD($A152-1,70)+1)-2)/2)+1,CROQUIS_DATOS!$C$1541),2)=1,IF(MOD(IF(INT(($A152-1)/70)+1&gt;CROQUIS_DATOS!$C$1525,70,MOD($A152-1,70)+1)-2,2)=0,0,1),IF(MOD(IF(INT(($A152-1)/70)+1&gt;CROQUIS_DATOS!$C$1525,70,MOD($A152-1,70)+1)-2,2)=0,1,0))))=0,(INDEX($E$8:$E$23,MIN(INT(($A152-1)/70)+1,CROQUIS_DATOS!$C$1525))-INDEX($F$8:$F$23,MIN(INT(($A152-1)/70)+1,CROQUIS_DATOS!$C$1525))/2),(INDEX($E$8:$E$23,MIN(INT(($A152-1)/70)+1,CROQUIS_DATOS!$C$1525))+INDEX($F$8:$F$23,MIN(INT(($A152-1)/70)+1,CROQUIS_DATOS!$C$1525))/2)))*CROQUIS_DATOS!$C$1562),-1000)</f>
        <v>33.2413793103448</v>
      </c>
      <c r="O152">
        <f>IF(AND(CROQUIS_DATOS!$C$1472=1,1),(CROQUIS_DATOS!$C$1564+(IF(OR(IF(INT(($A152-1)/70)+1&gt;CROQUIS_DATOS!$C$1525,70,MOD($A152-1,70)+1)=1,IF(INT(($A152-1)/70)+1&gt;CROQUIS_DATOS!$C$1525,70,MOD($A152-1,70)+1)&gt;2*CROQUIS_DATOS!$C$1541+1),CROQUIS_DATOS!$C$1476,INDEX($H$8:$H$41,MIN(INT((IF(INT(($A152-1)/70)+1&gt;CROQUIS_DATOS!$C$1525,70,MOD($A152-1,70)+1)-2)/2)+1,CROQUIS_DATOS!$C$1541))))*CROQUIS_DATOS!$C$1561*CROQUIS_DATOS!$C$1562),-1000)</f>
        <v>7.38793103448276</v>
      </c>
      <c r="P152">
        <f>IF(AND(CROQUIS_DATOS!$C$1472=1,CROQUIS_DATOS!$C$1555=1),(CROQUIS_DATOS!$C$1563+(IF(IF(OR(MOD($A152-1,62)+1=1,IF(CHOOSE(MIN(MAX(MIN(INT(($A152-1)/62)+1,5),1),5),CROQUIS_DATOS!$C$1501,CROQUIS_DATOS!$C$1505,CROQUIS_DATOS!$C$1509,CROQUIS_DATOS!$C$1513,CROQUIS_DATOS!$C$1517)=1,CROQUIS_DATOS!$C$1557,0)=0),0,IF(MOD($A152-1,62)+1&gt;2*IF(CHOOSE(MIN(MAX(MIN(INT(($A152-1)/62)+1,5),1),5),CROQUIS_DATOS!$C$1501,CROQUIS_DATOS!$C$1505,CROQUIS_DATOS!$C$1509,CROQUIS_DATOS!$C$1513,CROQUIS_DATOS!$C$1517)=1,CROQUIS_DATOS!$C$1557,0)+1,IF(MOD(IF(CHOOSE(MIN(MAX(MIN(INT(($A152-1)/62)+1,5),1),5),CROQUIS_DATOS!$C$1501,CROQUIS_DATOS!$C$1505,CROQUIS_DATOS!$C$1509,CROQUIS_DATOS!$C$1513,CROQUIS_DATOS!$C$1517)=1,CROQUIS_DATOS!$C$1557,0),2)=1,1,0),IF(MOD(MIN(INT((MOD($A152-1,62)+1-2)/2)+1,MAX(IF(CHOOSE(MIN(MAX(MIN(INT(($A152-1)/62)+1,5),1),5),CROQUIS_DATOS!$C$1501,CROQUIS_DATOS!$C$1505,CROQUIS_DATOS!$C$1509,CROQUIS_DATOS!$C$1513,CROQUIS_DATOS!$C$1517)=1,CROQUIS_DATOS!$C$1557,0),1)),2)=1,IF(MOD(MOD($A152-1,62)+1-2,2)=0,0,1),IF(MOD(MOD($A152-1,62)+1-2,2)=0,1,0))))=0,(CHOOSE(MIN(MAX(MIN(INT(($A152-1)/62)+1,5),1),5),CROQUIS_DATOS!$C$1499,CROQUIS_DATOS!$C$1503,CROQUIS_DATOS!$C$1507,CROQUIS_DATOS!$C$1511,CROQUIS_DATOS!$C$1515)+IF(CHOOSE(MIN(MAX(MIN(INT(($A152-1)/62)+1,5),1),5),CROQUIS_DATOS!$C$1501,CROQUIS_DATOS!$C$1505,CROQUIS_DATOS!$C$1509,CROQUIS_DATOS!$C$1513,CROQUIS_DATOS!$C$1517)=1,CROQUIS_DATOS!$C$1526,0)),(CHOOSE(MIN(MAX(MIN(INT(($A152-1)/62)+1,5),1),5),CROQUIS_DATOS!$C$1499,CROQUIS_DATOS!$C$1503,CROQUIS_DATOS!$C$1507,CROQUIS_DATOS!$C$1511,CROQUIS_DATOS!$C$1515)+CHOOSE(MIN(MAX(MIN(INT(($A152-1)/62)+1,5),1),5),CROQUIS_DATOS!$C$1500,CROQUIS_DATOS!$C$1504,CROQUIS_DATOS!$C$1508,CROQUIS_DATOS!$C$1512,CROQUIS_DATOS!$C$1516)-IF(CHOOSE(MIN(MAX(MIN(INT(($A152-1)/62)+1,5),1),5),CROQUIS_DATOS!$C$1501,CROQUIS_DATOS!$C$1505,CROQUIS_DATOS!$C$1509,CROQUIS_DATOS!$C$1513,CROQUIS_DATOS!$C$1517)=1,CROQUIS_DATOS!$C$1526,0))))*CROQUIS_DATOS!$C$1562),-1000)</f>
        <v>-1000</v>
      </c>
      <c r="Q152">
        <f>IF(AND(CROQUIS_DATOS!$C$1472=1,CROQUIS_DATOS!$C$1555=1),(CROQUIS_DATOS!$C$1564+(IF(OR(OR(MOD($A152-1,62)+1=1,IF(CHOOSE(MIN(MAX(MIN(INT(($A152-1)/62)+1,5),1),5),CROQUIS_DATOS!$C$1501,CROQUIS_DATOS!$C$1505,CROQUIS_DATOS!$C$1509,CROQUIS_DATOS!$C$1513,CROQUIS_DATOS!$C$1517)=1,CROQUIS_DATOS!$C$1557,0)=0),MOD($A152-1,62)+1&gt;2*IF(CHOOSE(MIN(MAX(MIN(INT(($A152-1)/62)+1,5),1),5),CROQUIS_DATOS!$C$1501,CROQUIS_DATOS!$C$1505,CROQUIS_DATOS!$C$1509,CROQUIS_DATOS!$C$1513,CROQUIS_DATOS!$C$1517)=1,CROQUIS_DATOS!$C$1557,0)+1),CROQUIS_DATOS!$C$1476,MIN(INT((MOD($A152-1,62)+1-2)/2)+1,MAX(IF(CHOOSE(MIN(MAX(MIN(INT(($A152-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2">
        <f>IF(AND(CROQUIS_DATOS!$C$1472=1,1),(CROQUIS_DATOS!$C$1563+(MIN(INT(($A152-1)/2)+1,CROQUIS_DATOS!$C$1558)*CROQUIS_DATOS!$C$1559)*CROQUIS_DATOS!$C$1562),-1000)</f>
        <v>82.2281167108753</v>
      </c>
      <c r="U152">
        <f>IF(AND(CROQUIS_DATOS!$C$1472=1,1),(CROQUIS_DATOS!$C$1564+(IF(INT(($A152-1)/2)+1&gt;CROQUIS_DATOS!$C$1558,IF(MOD(CROQUIS_DATOS!$C$1558,2)=1,CROQUIS_DATOS!$C$1476+CROQUIS_DATOS!$C$1528,CROQUIS_DATOS!$C$1476),IF(IF(MOD(MIN(INT(($A152-1)/2)+1,CROQUIS_DATOS!$C$1558),2)=1,MOD($A152-1,2),1-MOD($A152-1,2))=1,CROQUIS_DATOS!$C$1476+CROQUIS_DATOS!$C$1528,CROQUIS_DATOS!$C$1476)))*CROQUIS_DATOS!$C$1561*CROQUIS_DATOS!$C$1562),-1000)</f>
        <v>43</v>
      </c>
    </row>
    <row r="153">
      <c r="A153" t="n">
        <v>146</v>
      </c>
      <c r="N153">
        <f>IF(AND(CROQUIS_DATOS!$C$1472=1,1),(CROQUIS_DATOS!$C$1563+(IF(IF(IF(INT(($A153-1)/70)+1&gt;CROQUIS_DATOS!$C$1525,70,MOD($A153-1,70)+1)=1,0,IF(IF(INT(($A153-1)/70)+1&gt;CROQUIS_DATOS!$C$1525,70,MOD($A153-1,70)+1)&gt;2*CROQUIS_DATOS!$C$1541+1,IF(MOD(CROQUIS_DATOS!$C$1541,2)=1,1,0),IF(MOD(MIN(INT((IF(INT(($A153-1)/70)+1&gt;CROQUIS_DATOS!$C$1525,70,MOD($A153-1,70)+1)-2)/2)+1,CROQUIS_DATOS!$C$1541),2)=1,IF(MOD(IF(INT(($A153-1)/70)+1&gt;CROQUIS_DATOS!$C$1525,70,MOD($A153-1,70)+1)-2,2)=0,0,1),IF(MOD(IF(INT(($A153-1)/70)+1&gt;CROQUIS_DATOS!$C$1525,70,MOD($A153-1,70)+1)-2,2)=0,1,0))))=0,(INDEX($E$8:$E$23,MIN(INT(($A153-1)/70)+1,CROQUIS_DATOS!$C$1525))-INDEX($F$8:$F$23,MIN(INT(($A153-1)/70)+1,CROQUIS_DATOS!$C$1525))/2),(INDEX($E$8:$E$23,MIN(INT(($A153-1)/70)+1,CROQUIS_DATOS!$C$1525))+INDEX($F$8:$F$23,MIN(INT(($A153-1)/70)+1,CROQUIS_DATOS!$C$1525))/2)))*CROQUIS_DATOS!$C$1562),-1000)</f>
        <v>33.2413793103448</v>
      </c>
      <c r="O153">
        <f>IF(AND(CROQUIS_DATOS!$C$1472=1,1),(CROQUIS_DATOS!$C$1564+(IF(OR(IF(INT(($A153-1)/70)+1&gt;CROQUIS_DATOS!$C$1525,70,MOD($A153-1,70)+1)=1,IF(INT(($A153-1)/70)+1&gt;CROQUIS_DATOS!$C$1525,70,MOD($A153-1,70)+1)&gt;2*CROQUIS_DATOS!$C$1541+1),CROQUIS_DATOS!$C$1476,INDEX($H$8:$H$41,MIN(INT((IF(INT(($A153-1)/70)+1&gt;CROQUIS_DATOS!$C$1525,70,MOD($A153-1,70)+1)-2)/2)+1,CROQUIS_DATOS!$C$1541))))*CROQUIS_DATOS!$C$1561*CROQUIS_DATOS!$C$1562),-1000)</f>
        <v>8.43534482758621</v>
      </c>
      <c r="P153">
        <f>IF(AND(CROQUIS_DATOS!$C$1472=1,CROQUIS_DATOS!$C$1555=1),(CROQUIS_DATOS!$C$1563+(IF(IF(OR(MOD($A153-1,62)+1=1,IF(CHOOSE(MIN(MAX(MIN(INT(($A153-1)/62)+1,5),1),5),CROQUIS_DATOS!$C$1501,CROQUIS_DATOS!$C$1505,CROQUIS_DATOS!$C$1509,CROQUIS_DATOS!$C$1513,CROQUIS_DATOS!$C$1517)=1,CROQUIS_DATOS!$C$1557,0)=0),0,IF(MOD($A153-1,62)+1&gt;2*IF(CHOOSE(MIN(MAX(MIN(INT(($A153-1)/62)+1,5),1),5),CROQUIS_DATOS!$C$1501,CROQUIS_DATOS!$C$1505,CROQUIS_DATOS!$C$1509,CROQUIS_DATOS!$C$1513,CROQUIS_DATOS!$C$1517)=1,CROQUIS_DATOS!$C$1557,0)+1,IF(MOD(IF(CHOOSE(MIN(MAX(MIN(INT(($A153-1)/62)+1,5),1),5),CROQUIS_DATOS!$C$1501,CROQUIS_DATOS!$C$1505,CROQUIS_DATOS!$C$1509,CROQUIS_DATOS!$C$1513,CROQUIS_DATOS!$C$1517)=1,CROQUIS_DATOS!$C$1557,0),2)=1,1,0),IF(MOD(MIN(INT((MOD($A153-1,62)+1-2)/2)+1,MAX(IF(CHOOSE(MIN(MAX(MIN(INT(($A153-1)/62)+1,5),1),5),CROQUIS_DATOS!$C$1501,CROQUIS_DATOS!$C$1505,CROQUIS_DATOS!$C$1509,CROQUIS_DATOS!$C$1513,CROQUIS_DATOS!$C$1517)=1,CROQUIS_DATOS!$C$1557,0),1)),2)=1,IF(MOD(MOD($A153-1,62)+1-2,2)=0,0,1),IF(MOD(MOD($A153-1,62)+1-2,2)=0,1,0))))=0,(CHOOSE(MIN(MAX(MIN(INT(($A153-1)/62)+1,5),1),5),CROQUIS_DATOS!$C$1499,CROQUIS_DATOS!$C$1503,CROQUIS_DATOS!$C$1507,CROQUIS_DATOS!$C$1511,CROQUIS_DATOS!$C$1515)+IF(CHOOSE(MIN(MAX(MIN(INT(($A153-1)/62)+1,5),1),5),CROQUIS_DATOS!$C$1501,CROQUIS_DATOS!$C$1505,CROQUIS_DATOS!$C$1509,CROQUIS_DATOS!$C$1513,CROQUIS_DATOS!$C$1517)=1,CROQUIS_DATOS!$C$1526,0)),(CHOOSE(MIN(MAX(MIN(INT(($A153-1)/62)+1,5),1),5),CROQUIS_DATOS!$C$1499,CROQUIS_DATOS!$C$1503,CROQUIS_DATOS!$C$1507,CROQUIS_DATOS!$C$1511,CROQUIS_DATOS!$C$1515)+CHOOSE(MIN(MAX(MIN(INT(($A153-1)/62)+1,5),1),5),CROQUIS_DATOS!$C$1500,CROQUIS_DATOS!$C$1504,CROQUIS_DATOS!$C$1508,CROQUIS_DATOS!$C$1512,CROQUIS_DATOS!$C$1516)-IF(CHOOSE(MIN(MAX(MIN(INT(($A153-1)/62)+1,5),1),5),CROQUIS_DATOS!$C$1501,CROQUIS_DATOS!$C$1505,CROQUIS_DATOS!$C$1509,CROQUIS_DATOS!$C$1513,CROQUIS_DATOS!$C$1517)=1,CROQUIS_DATOS!$C$1526,0))))*CROQUIS_DATOS!$C$1562),-1000)</f>
        <v>-1000</v>
      </c>
      <c r="Q153">
        <f>IF(AND(CROQUIS_DATOS!$C$1472=1,CROQUIS_DATOS!$C$1555=1),(CROQUIS_DATOS!$C$1564+(IF(OR(OR(MOD($A153-1,62)+1=1,IF(CHOOSE(MIN(MAX(MIN(INT(($A153-1)/62)+1,5),1),5),CROQUIS_DATOS!$C$1501,CROQUIS_DATOS!$C$1505,CROQUIS_DATOS!$C$1509,CROQUIS_DATOS!$C$1513,CROQUIS_DATOS!$C$1517)=1,CROQUIS_DATOS!$C$1557,0)=0),MOD($A153-1,62)+1&gt;2*IF(CHOOSE(MIN(MAX(MIN(INT(($A153-1)/62)+1,5),1),5),CROQUIS_DATOS!$C$1501,CROQUIS_DATOS!$C$1505,CROQUIS_DATOS!$C$1509,CROQUIS_DATOS!$C$1513,CROQUIS_DATOS!$C$1517)=1,CROQUIS_DATOS!$C$1557,0)+1),CROQUIS_DATOS!$C$1476,MIN(INT((MOD($A153-1,62)+1-2)/2)+1,MAX(IF(CHOOSE(MIN(MAX(MIN(INT(($A153-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3">
        <f>IF(AND(CROQUIS_DATOS!$C$1472=1,1),(CROQUIS_DATOS!$C$1563+(MIN(INT(($A153-1)/2)+1,CROQUIS_DATOS!$C$1558)*CROQUIS_DATOS!$C$1559)*CROQUIS_DATOS!$C$1562),-1000)</f>
        <v>82.2281167108753</v>
      </c>
      <c r="U153">
        <f>IF(AND(CROQUIS_DATOS!$C$1472=1,1),(CROQUIS_DATOS!$C$1564+(IF(INT(($A153-1)/2)+1&gt;CROQUIS_DATOS!$C$1558,IF(MOD(CROQUIS_DATOS!$C$1558,2)=1,CROQUIS_DATOS!$C$1476+CROQUIS_DATOS!$C$1528,CROQUIS_DATOS!$C$1476),IF(IF(MOD(MIN(INT(($A153-1)/2)+1,CROQUIS_DATOS!$C$1558),2)=1,MOD($A153-1,2),1-MOD($A153-1,2))=1,CROQUIS_DATOS!$C$1476+CROQUIS_DATOS!$C$1528,CROQUIS_DATOS!$C$1476)))*CROQUIS_DATOS!$C$1561*CROQUIS_DATOS!$C$1562),-1000)</f>
        <v>43</v>
      </c>
    </row>
    <row r="154">
      <c r="A154" t="n">
        <v>147</v>
      </c>
      <c r="N154">
        <f>IF(AND(CROQUIS_DATOS!$C$1472=1,1),(CROQUIS_DATOS!$C$1563+(IF(IF(IF(INT(($A154-1)/70)+1&gt;CROQUIS_DATOS!$C$1525,70,MOD($A154-1,70)+1)=1,0,IF(IF(INT(($A154-1)/70)+1&gt;CROQUIS_DATOS!$C$1525,70,MOD($A154-1,70)+1)&gt;2*CROQUIS_DATOS!$C$1541+1,IF(MOD(CROQUIS_DATOS!$C$1541,2)=1,1,0),IF(MOD(MIN(INT((IF(INT(($A154-1)/70)+1&gt;CROQUIS_DATOS!$C$1525,70,MOD($A154-1,70)+1)-2)/2)+1,CROQUIS_DATOS!$C$1541),2)=1,IF(MOD(IF(INT(($A154-1)/70)+1&gt;CROQUIS_DATOS!$C$1525,70,MOD($A154-1,70)+1)-2,2)=0,0,1),IF(MOD(IF(INT(($A154-1)/70)+1&gt;CROQUIS_DATOS!$C$1525,70,MOD($A154-1,70)+1)-2,2)=0,1,0))))=0,(INDEX($E$8:$E$23,MIN(INT(($A154-1)/70)+1,CROQUIS_DATOS!$C$1525))-INDEX($F$8:$F$23,MIN(INT(($A154-1)/70)+1,CROQUIS_DATOS!$C$1525))/2),(INDEX($E$8:$E$23,MIN(INT(($A154-1)/70)+1,CROQUIS_DATOS!$C$1525))+INDEX($F$8:$F$23,MIN(INT(($A154-1)/70)+1,CROQUIS_DATOS!$C$1525))/2)))*CROQUIS_DATOS!$C$1562),-1000)</f>
        <v>35.3362068965517</v>
      </c>
      <c r="O154">
        <f>IF(AND(CROQUIS_DATOS!$C$1472=1,1),(CROQUIS_DATOS!$C$1564+(IF(OR(IF(INT(($A154-1)/70)+1&gt;CROQUIS_DATOS!$C$1525,70,MOD($A154-1,70)+1)=1,IF(INT(($A154-1)/70)+1&gt;CROQUIS_DATOS!$C$1525,70,MOD($A154-1,70)+1)&gt;2*CROQUIS_DATOS!$C$1541+1),CROQUIS_DATOS!$C$1476,INDEX($H$8:$H$41,MIN(INT((IF(INT(($A154-1)/70)+1&gt;CROQUIS_DATOS!$C$1525,70,MOD($A154-1,70)+1)-2)/2)+1,CROQUIS_DATOS!$C$1541))))*CROQUIS_DATOS!$C$1561*CROQUIS_DATOS!$C$1562),-1000)</f>
        <v>8.43534482758621</v>
      </c>
      <c r="P154">
        <f>IF(AND(CROQUIS_DATOS!$C$1472=1,CROQUIS_DATOS!$C$1555=1),(CROQUIS_DATOS!$C$1563+(IF(IF(OR(MOD($A154-1,62)+1=1,IF(CHOOSE(MIN(MAX(MIN(INT(($A154-1)/62)+1,5),1),5),CROQUIS_DATOS!$C$1501,CROQUIS_DATOS!$C$1505,CROQUIS_DATOS!$C$1509,CROQUIS_DATOS!$C$1513,CROQUIS_DATOS!$C$1517)=1,CROQUIS_DATOS!$C$1557,0)=0),0,IF(MOD($A154-1,62)+1&gt;2*IF(CHOOSE(MIN(MAX(MIN(INT(($A154-1)/62)+1,5),1),5),CROQUIS_DATOS!$C$1501,CROQUIS_DATOS!$C$1505,CROQUIS_DATOS!$C$1509,CROQUIS_DATOS!$C$1513,CROQUIS_DATOS!$C$1517)=1,CROQUIS_DATOS!$C$1557,0)+1,IF(MOD(IF(CHOOSE(MIN(MAX(MIN(INT(($A154-1)/62)+1,5),1),5),CROQUIS_DATOS!$C$1501,CROQUIS_DATOS!$C$1505,CROQUIS_DATOS!$C$1509,CROQUIS_DATOS!$C$1513,CROQUIS_DATOS!$C$1517)=1,CROQUIS_DATOS!$C$1557,0),2)=1,1,0),IF(MOD(MIN(INT((MOD($A154-1,62)+1-2)/2)+1,MAX(IF(CHOOSE(MIN(MAX(MIN(INT(($A154-1)/62)+1,5),1),5),CROQUIS_DATOS!$C$1501,CROQUIS_DATOS!$C$1505,CROQUIS_DATOS!$C$1509,CROQUIS_DATOS!$C$1513,CROQUIS_DATOS!$C$1517)=1,CROQUIS_DATOS!$C$1557,0),1)),2)=1,IF(MOD(MOD($A154-1,62)+1-2,2)=0,0,1),IF(MOD(MOD($A154-1,62)+1-2,2)=0,1,0))))=0,(CHOOSE(MIN(MAX(MIN(INT(($A154-1)/62)+1,5),1),5),CROQUIS_DATOS!$C$1499,CROQUIS_DATOS!$C$1503,CROQUIS_DATOS!$C$1507,CROQUIS_DATOS!$C$1511,CROQUIS_DATOS!$C$1515)+IF(CHOOSE(MIN(MAX(MIN(INT(($A154-1)/62)+1,5),1),5),CROQUIS_DATOS!$C$1501,CROQUIS_DATOS!$C$1505,CROQUIS_DATOS!$C$1509,CROQUIS_DATOS!$C$1513,CROQUIS_DATOS!$C$1517)=1,CROQUIS_DATOS!$C$1526,0)),(CHOOSE(MIN(MAX(MIN(INT(($A154-1)/62)+1,5),1),5),CROQUIS_DATOS!$C$1499,CROQUIS_DATOS!$C$1503,CROQUIS_DATOS!$C$1507,CROQUIS_DATOS!$C$1511,CROQUIS_DATOS!$C$1515)+CHOOSE(MIN(MAX(MIN(INT(($A154-1)/62)+1,5),1),5),CROQUIS_DATOS!$C$1500,CROQUIS_DATOS!$C$1504,CROQUIS_DATOS!$C$1508,CROQUIS_DATOS!$C$1512,CROQUIS_DATOS!$C$1516)-IF(CHOOSE(MIN(MAX(MIN(INT(($A154-1)/62)+1,5),1),5),CROQUIS_DATOS!$C$1501,CROQUIS_DATOS!$C$1505,CROQUIS_DATOS!$C$1509,CROQUIS_DATOS!$C$1513,CROQUIS_DATOS!$C$1517)=1,CROQUIS_DATOS!$C$1526,0))))*CROQUIS_DATOS!$C$1562),-1000)</f>
        <v>-1000</v>
      </c>
      <c r="Q154">
        <f>IF(AND(CROQUIS_DATOS!$C$1472=1,CROQUIS_DATOS!$C$1555=1),(CROQUIS_DATOS!$C$1564+(IF(OR(OR(MOD($A154-1,62)+1=1,IF(CHOOSE(MIN(MAX(MIN(INT(($A154-1)/62)+1,5),1),5),CROQUIS_DATOS!$C$1501,CROQUIS_DATOS!$C$1505,CROQUIS_DATOS!$C$1509,CROQUIS_DATOS!$C$1513,CROQUIS_DATOS!$C$1517)=1,CROQUIS_DATOS!$C$1557,0)=0),MOD($A154-1,62)+1&gt;2*IF(CHOOSE(MIN(MAX(MIN(INT(($A154-1)/62)+1,5),1),5),CROQUIS_DATOS!$C$1501,CROQUIS_DATOS!$C$1505,CROQUIS_DATOS!$C$1509,CROQUIS_DATOS!$C$1513,CROQUIS_DATOS!$C$1517)=1,CROQUIS_DATOS!$C$1557,0)+1),CROQUIS_DATOS!$C$1476,MIN(INT((MOD($A154-1,62)+1-2)/2)+1,MAX(IF(CHOOSE(MIN(MAX(MIN(INT(($A154-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4">
        <f>IF(AND(CROQUIS_DATOS!$C$1472=1,1),(CROQUIS_DATOS!$C$1563+(MIN(INT(($A154-1)/2)+1,CROQUIS_DATOS!$C$1558)*CROQUIS_DATOS!$C$1559)*CROQUIS_DATOS!$C$1562),-1000)</f>
        <v>82.2281167108753</v>
      </c>
      <c r="U154">
        <f>IF(AND(CROQUIS_DATOS!$C$1472=1,1),(CROQUIS_DATOS!$C$1564+(IF(INT(($A154-1)/2)+1&gt;CROQUIS_DATOS!$C$1558,IF(MOD(CROQUIS_DATOS!$C$1558,2)=1,CROQUIS_DATOS!$C$1476+CROQUIS_DATOS!$C$1528,CROQUIS_DATOS!$C$1476),IF(IF(MOD(MIN(INT(($A154-1)/2)+1,CROQUIS_DATOS!$C$1558),2)=1,MOD($A154-1,2),1-MOD($A154-1,2))=1,CROQUIS_DATOS!$C$1476+CROQUIS_DATOS!$C$1528,CROQUIS_DATOS!$C$1476)))*CROQUIS_DATOS!$C$1561*CROQUIS_DATOS!$C$1562),-1000)</f>
        <v>43</v>
      </c>
    </row>
    <row r="155">
      <c r="A155" t="n">
        <v>148</v>
      </c>
      <c r="N155">
        <f>IF(AND(CROQUIS_DATOS!$C$1472=1,1),(CROQUIS_DATOS!$C$1563+(IF(IF(IF(INT(($A155-1)/70)+1&gt;CROQUIS_DATOS!$C$1525,70,MOD($A155-1,70)+1)=1,0,IF(IF(INT(($A155-1)/70)+1&gt;CROQUIS_DATOS!$C$1525,70,MOD($A155-1,70)+1)&gt;2*CROQUIS_DATOS!$C$1541+1,IF(MOD(CROQUIS_DATOS!$C$1541,2)=1,1,0),IF(MOD(MIN(INT((IF(INT(($A155-1)/70)+1&gt;CROQUIS_DATOS!$C$1525,70,MOD($A155-1,70)+1)-2)/2)+1,CROQUIS_DATOS!$C$1541),2)=1,IF(MOD(IF(INT(($A155-1)/70)+1&gt;CROQUIS_DATOS!$C$1525,70,MOD($A155-1,70)+1)-2,2)=0,0,1),IF(MOD(IF(INT(($A155-1)/70)+1&gt;CROQUIS_DATOS!$C$1525,70,MOD($A155-1,70)+1)-2,2)=0,1,0))))=0,(INDEX($E$8:$E$23,MIN(INT(($A155-1)/70)+1,CROQUIS_DATOS!$C$1525))-INDEX($F$8:$F$23,MIN(INT(($A155-1)/70)+1,CROQUIS_DATOS!$C$1525))/2),(INDEX($E$8:$E$23,MIN(INT(($A155-1)/70)+1,CROQUIS_DATOS!$C$1525))+INDEX($F$8:$F$23,MIN(INT(($A155-1)/70)+1,CROQUIS_DATOS!$C$1525))/2)))*CROQUIS_DATOS!$C$1562),-1000)</f>
        <v>35.3362068965517</v>
      </c>
      <c r="O155">
        <f>IF(AND(CROQUIS_DATOS!$C$1472=1,1),(CROQUIS_DATOS!$C$1564+(IF(OR(IF(INT(($A155-1)/70)+1&gt;CROQUIS_DATOS!$C$1525,70,MOD($A155-1,70)+1)=1,IF(INT(($A155-1)/70)+1&gt;CROQUIS_DATOS!$C$1525,70,MOD($A155-1,70)+1)&gt;2*CROQUIS_DATOS!$C$1541+1),CROQUIS_DATOS!$C$1476,INDEX($H$8:$H$41,MIN(INT((IF(INT(($A155-1)/70)+1&gt;CROQUIS_DATOS!$C$1525,70,MOD($A155-1,70)+1)-2)/2)+1,CROQUIS_DATOS!$C$1541))))*CROQUIS_DATOS!$C$1561*CROQUIS_DATOS!$C$1562),-1000)</f>
        <v>9.48275862068966</v>
      </c>
      <c r="P155">
        <f>IF(AND(CROQUIS_DATOS!$C$1472=1,CROQUIS_DATOS!$C$1555=1),(CROQUIS_DATOS!$C$1563+(IF(IF(OR(MOD($A155-1,62)+1=1,IF(CHOOSE(MIN(MAX(MIN(INT(($A155-1)/62)+1,5),1),5),CROQUIS_DATOS!$C$1501,CROQUIS_DATOS!$C$1505,CROQUIS_DATOS!$C$1509,CROQUIS_DATOS!$C$1513,CROQUIS_DATOS!$C$1517)=1,CROQUIS_DATOS!$C$1557,0)=0),0,IF(MOD($A155-1,62)+1&gt;2*IF(CHOOSE(MIN(MAX(MIN(INT(($A155-1)/62)+1,5),1),5),CROQUIS_DATOS!$C$1501,CROQUIS_DATOS!$C$1505,CROQUIS_DATOS!$C$1509,CROQUIS_DATOS!$C$1513,CROQUIS_DATOS!$C$1517)=1,CROQUIS_DATOS!$C$1557,0)+1,IF(MOD(IF(CHOOSE(MIN(MAX(MIN(INT(($A155-1)/62)+1,5),1),5),CROQUIS_DATOS!$C$1501,CROQUIS_DATOS!$C$1505,CROQUIS_DATOS!$C$1509,CROQUIS_DATOS!$C$1513,CROQUIS_DATOS!$C$1517)=1,CROQUIS_DATOS!$C$1557,0),2)=1,1,0),IF(MOD(MIN(INT((MOD($A155-1,62)+1-2)/2)+1,MAX(IF(CHOOSE(MIN(MAX(MIN(INT(($A155-1)/62)+1,5),1),5),CROQUIS_DATOS!$C$1501,CROQUIS_DATOS!$C$1505,CROQUIS_DATOS!$C$1509,CROQUIS_DATOS!$C$1513,CROQUIS_DATOS!$C$1517)=1,CROQUIS_DATOS!$C$1557,0),1)),2)=1,IF(MOD(MOD($A155-1,62)+1-2,2)=0,0,1),IF(MOD(MOD($A155-1,62)+1-2,2)=0,1,0))))=0,(CHOOSE(MIN(MAX(MIN(INT(($A155-1)/62)+1,5),1),5),CROQUIS_DATOS!$C$1499,CROQUIS_DATOS!$C$1503,CROQUIS_DATOS!$C$1507,CROQUIS_DATOS!$C$1511,CROQUIS_DATOS!$C$1515)+IF(CHOOSE(MIN(MAX(MIN(INT(($A155-1)/62)+1,5),1),5),CROQUIS_DATOS!$C$1501,CROQUIS_DATOS!$C$1505,CROQUIS_DATOS!$C$1509,CROQUIS_DATOS!$C$1513,CROQUIS_DATOS!$C$1517)=1,CROQUIS_DATOS!$C$1526,0)),(CHOOSE(MIN(MAX(MIN(INT(($A155-1)/62)+1,5),1),5),CROQUIS_DATOS!$C$1499,CROQUIS_DATOS!$C$1503,CROQUIS_DATOS!$C$1507,CROQUIS_DATOS!$C$1511,CROQUIS_DATOS!$C$1515)+CHOOSE(MIN(MAX(MIN(INT(($A155-1)/62)+1,5),1),5),CROQUIS_DATOS!$C$1500,CROQUIS_DATOS!$C$1504,CROQUIS_DATOS!$C$1508,CROQUIS_DATOS!$C$1512,CROQUIS_DATOS!$C$1516)-IF(CHOOSE(MIN(MAX(MIN(INT(($A155-1)/62)+1,5),1),5),CROQUIS_DATOS!$C$1501,CROQUIS_DATOS!$C$1505,CROQUIS_DATOS!$C$1509,CROQUIS_DATOS!$C$1513,CROQUIS_DATOS!$C$1517)=1,CROQUIS_DATOS!$C$1526,0))))*CROQUIS_DATOS!$C$1562),-1000)</f>
        <v>-1000</v>
      </c>
      <c r="Q155">
        <f>IF(AND(CROQUIS_DATOS!$C$1472=1,CROQUIS_DATOS!$C$1555=1),(CROQUIS_DATOS!$C$1564+(IF(OR(OR(MOD($A155-1,62)+1=1,IF(CHOOSE(MIN(MAX(MIN(INT(($A155-1)/62)+1,5),1),5),CROQUIS_DATOS!$C$1501,CROQUIS_DATOS!$C$1505,CROQUIS_DATOS!$C$1509,CROQUIS_DATOS!$C$1513,CROQUIS_DATOS!$C$1517)=1,CROQUIS_DATOS!$C$1557,0)=0),MOD($A155-1,62)+1&gt;2*IF(CHOOSE(MIN(MAX(MIN(INT(($A155-1)/62)+1,5),1),5),CROQUIS_DATOS!$C$1501,CROQUIS_DATOS!$C$1505,CROQUIS_DATOS!$C$1509,CROQUIS_DATOS!$C$1513,CROQUIS_DATOS!$C$1517)=1,CROQUIS_DATOS!$C$1557,0)+1),CROQUIS_DATOS!$C$1476,MIN(INT((MOD($A155-1,62)+1-2)/2)+1,MAX(IF(CHOOSE(MIN(MAX(MIN(INT(($A155-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5">
        <f>IF(AND(CROQUIS_DATOS!$C$1472=1,1),(CROQUIS_DATOS!$C$1563+(MIN(INT(($A155-1)/2)+1,CROQUIS_DATOS!$C$1558)*CROQUIS_DATOS!$C$1559)*CROQUIS_DATOS!$C$1562),-1000)</f>
        <v>82.2281167108753</v>
      </c>
      <c r="U155">
        <f>IF(AND(CROQUIS_DATOS!$C$1472=1,1),(CROQUIS_DATOS!$C$1564+(IF(INT(($A155-1)/2)+1&gt;CROQUIS_DATOS!$C$1558,IF(MOD(CROQUIS_DATOS!$C$1558,2)=1,CROQUIS_DATOS!$C$1476+CROQUIS_DATOS!$C$1528,CROQUIS_DATOS!$C$1476),IF(IF(MOD(MIN(INT(($A155-1)/2)+1,CROQUIS_DATOS!$C$1558),2)=1,MOD($A155-1,2),1-MOD($A155-1,2))=1,CROQUIS_DATOS!$C$1476+CROQUIS_DATOS!$C$1528,CROQUIS_DATOS!$C$1476)))*CROQUIS_DATOS!$C$1561*CROQUIS_DATOS!$C$1562),-1000)</f>
        <v>43</v>
      </c>
    </row>
    <row r="156">
      <c r="A156" t="n">
        <v>149</v>
      </c>
      <c r="N156">
        <f>IF(AND(CROQUIS_DATOS!$C$1472=1,1),(CROQUIS_DATOS!$C$1563+(IF(IF(IF(INT(($A156-1)/70)+1&gt;CROQUIS_DATOS!$C$1525,70,MOD($A156-1,70)+1)=1,0,IF(IF(INT(($A156-1)/70)+1&gt;CROQUIS_DATOS!$C$1525,70,MOD($A156-1,70)+1)&gt;2*CROQUIS_DATOS!$C$1541+1,IF(MOD(CROQUIS_DATOS!$C$1541,2)=1,1,0),IF(MOD(MIN(INT((IF(INT(($A156-1)/70)+1&gt;CROQUIS_DATOS!$C$1525,70,MOD($A156-1,70)+1)-2)/2)+1,CROQUIS_DATOS!$C$1541),2)=1,IF(MOD(IF(INT(($A156-1)/70)+1&gt;CROQUIS_DATOS!$C$1525,70,MOD($A156-1,70)+1)-2,2)=0,0,1),IF(MOD(IF(INT(($A156-1)/70)+1&gt;CROQUIS_DATOS!$C$1525,70,MOD($A156-1,70)+1)-2,2)=0,1,0))))=0,(INDEX($E$8:$E$23,MIN(INT(($A156-1)/70)+1,CROQUIS_DATOS!$C$1525))-INDEX($F$8:$F$23,MIN(INT(($A156-1)/70)+1,CROQUIS_DATOS!$C$1525))/2),(INDEX($E$8:$E$23,MIN(INT(($A156-1)/70)+1,CROQUIS_DATOS!$C$1525))+INDEX($F$8:$F$23,MIN(INT(($A156-1)/70)+1,CROQUIS_DATOS!$C$1525))/2)))*CROQUIS_DATOS!$C$1562),-1000)</f>
        <v>33.2413793103448</v>
      </c>
      <c r="O156">
        <f>IF(AND(CROQUIS_DATOS!$C$1472=1,1),(CROQUIS_DATOS!$C$1564+(IF(OR(IF(INT(($A156-1)/70)+1&gt;CROQUIS_DATOS!$C$1525,70,MOD($A156-1,70)+1)=1,IF(INT(($A156-1)/70)+1&gt;CROQUIS_DATOS!$C$1525,70,MOD($A156-1,70)+1)&gt;2*CROQUIS_DATOS!$C$1541+1),CROQUIS_DATOS!$C$1476,INDEX($H$8:$H$41,MIN(INT((IF(INT(($A156-1)/70)+1&gt;CROQUIS_DATOS!$C$1525,70,MOD($A156-1,70)+1)-2)/2)+1,CROQUIS_DATOS!$C$1541))))*CROQUIS_DATOS!$C$1561*CROQUIS_DATOS!$C$1562),-1000)</f>
        <v>9.48275862068966</v>
      </c>
      <c r="P156">
        <f>IF(AND(CROQUIS_DATOS!$C$1472=1,CROQUIS_DATOS!$C$1555=1),(CROQUIS_DATOS!$C$1563+(IF(IF(OR(MOD($A156-1,62)+1=1,IF(CHOOSE(MIN(MAX(MIN(INT(($A156-1)/62)+1,5),1),5),CROQUIS_DATOS!$C$1501,CROQUIS_DATOS!$C$1505,CROQUIS_DATOS!$C$1509,CROQUIS_DATOS!$C$1513,CROQUIS_DATOS!$C$1517)=1,CROQUIS_DATOS!$C$1557,0)=0),0,IF(MOD($A156-1,62)+1&gt;2*IF(CHOOSE(MIN(MAX(MIN(INT(($A156-1)/62)+1,5),1),5),CROQUIS_DATOS!$C$1501,CROQUIS_DATOS!$C$1505,CROQUIS_DATOS!$C$1509,CROQUIS_DATOS!$C$1513,CROQUIS_DATOS!$C$1517)=1,CROQUIS_DATOS!$C$1557,0)+1,IF(MOD(IF(CHOOSE(MIN(MAX(MIN(INT(($A156-1)/62)+1,5),1),5),CROQUIS_DATOS!$C$1501,CROQUIS_DATOS!$C$1505,CROQUIS_DATOS!$C$1509,CROQUIS_DATOS!$C$1513,CROQUIS_DATOS!$C$1517)=1,CROQUIS_DATOS!$C$1557,0),2)=1,1,0),IF(MOD(MIN(INT((MOD($A156-1,62)+1-2)/2)+1,MAX(IF(CHOOSE(MIN(MAX(MIN(INT(($A156-1)/62)+1,5),1),5),CROQUIS_DATOS!$C$1501,CROQUIS_DATOS!$C$1505,CROQUIS_DATOS!$C$1509,CROQUIS_DATOS!$C$1513,CROQUIS_DATOS!$C$1517)=1,CROQUIS_DATOS!$C$1557,0),1)),2)=1,IF(MOD(MOD($A156-1,62)+1-2,2)=0,0,1),IF(MOD(MOD($A156-1,62)+1-2,2)=0,1,0))))=0,(CHOOSE(MIN(MAX(MIN(INT(($A156-1)/62)+1,5),1),5),CROQUIS_DATOS!$C$1499,CROQUIS_DATOS!$C$1503,CROQUIS_DATOS!$C$1507,CROQUIS_DATOS!$C$1511,CROQUIS_DATOS!$C$1515)+IF(CHOOSE(MIN(MAX(MIN(INT(($A156-1)/62)+1,5),1),5),CROQUIS_DATOS!$C$1501,CROQUIS_DATOS!$C$1505,CROQUIS_DATOS!$C$1509,CROQUIS_DATOS!$C$1513,CROQUIS_DATOS!$C$1517)=1,CROQUIS_DATOS!$C$1526,0)),(CHOOSE(MIN(MAX(MIN(INT(($A156-1)/62)+1,5),1),5),CROQUIS_DATOS!$C$1499,CROQUIS_DATOS!$C$1503,CROQUIS_DATOS!$C$1507,CROQUIS_DATOS!$C$1511,CROQUIS_DATOS!$C$1515)+CHOOSE(MIN(MAX(MIN(INT(($A156-1)/62)+1,5),1),5),CROQUIS_DATOS!$C$1500,CROQUIS_DATOS!$C$1504,CROQUIS_DATOS!$C$1508,CROQUIS_DATOS!$C$1512,CROQUIS_DATOS!$C$1516)-IF(CHOOSE(MIN(MAX(MIN(INT(($A156-1)/62)+1,5),1),5),CROQUIS_DATOS!$C$1501,CROQUIS_DATOS!$C$1505,CROQUIS_DATOS!$C$1509,CROQUIS_DATOS!$C$1513,CROQUIS_DATOS!$C$1517)=1,CROQUIS_DATOS!$C$1526,0))))*CROQUIS_DATOS!$C$1562),-1000)</f>
        <v>-1000</v>
      </c>
      <c r="Q156">
        <f>IF(AND(CROQUIS_DATOS!$C$1472=1,CROQUIS_DATOS!$C$1555=1),(CROQUIS_DATOS!$C$1564+(IF(OR(OR(MOD($A156-1,62)+1=1,IF(CHOOSE(MIN(MAX(MIN(INT(($A156-1)/62)+1,5),1),5),CROQUIS_DATOS!$C$1501,CROQUIS_DATOS!$C$1505,CROQUIS_DATOS!$C$1509,CROQUIS_DATOS!$C$1513,CROQUIS_DATOS!$C$1517)=1,CROQUIS_DATOS!$C$1557,0)=0),MOD($A156-1,62)+1&gt;2*IF(CHOOSE(MIN(MAX(MIN(INT(($A156-1)/62)+1,5),1),5),CROQUIS_DATOS!$C$1501,CROQUIS_DATOS!$C$1505,CROQUIS_DATOS!$C$1509,CROQUIS_DATOS!$C$1513,CROQUIS_DATOS!$C$1517)=1,CROQUIS_DATOS!$C$1557,0)+1),CROQUIS_DATOS!$C$1476,MIN(INT((MOD($A156-1,62)+1-2)/2)+1,MAX(IF(CHOOSE(MIN(MAX(MIN(INT(($A156-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6">
        <f>IF(AND(CROQUIS_DATOS!$C$1472=1,1),(CROQUIS_DATOS!$C$1563+(MIN(INT(($A156-1)/2)+1,CROQUIS_DATOS!$C$1558)*CROQUIS_DATOS!$C$1559)*CROQUIS_DATOS!$C$1562),-1000)</f>
        <v>82.2281167108753</v>
      </c>
      <c r="U156">
        <f>IF(AND(CROQUIS_DATOS!$C$1472=1,1),(CROQUIS_DATOS!$C$1564+(IF(INT(($A156-1)/2)+1&gt;CROQUIS_DATOS!$C$1558,IF(MOD(CROQUIS_DATOS!$C$1558,2)=1,CROQUIS_DATOS!$C$1476+CROQUIS_DATOS!$C$1528,CROQUIS_DATOS!$C$1476),IF(IF(MOD(MIN(INT(($A156-1)/2)+1,CROQUIS_DATOS!$C$1558),2)=1,MOD($A156-1,2),1-MOD($A156-1,2))=1,CROQUIS_DATOS!$C$1476+CROQUIS_DATOS!$C$1528,CROQUIS_DATOS!$C$1476)))*CROQUIS_DATOS!$C$1561*CROQUIS_DATOS!$C$1562),-1000)</f>
        <v>43</v>
      </c>
    </row>
    <row r="157">
      <c r="A157" t="n">
        <v>150</v>
      </c>
      <c r="N157">
        <f>IF(AND(CROQUIS_DATOS!$C$1472=1,1),(CROQUIS_DATOS!$C$1563+(IF(IF(IF(INT(($A157-1)/70)+1&gt;CROQUIS_DATOS!$C$1525,70,MOD($A157-1,70)+1)=1,0,IF(IF(INT(($A157-1)/70)+1&gt;CROQUIS_DATOS!$C$1525,70,MOD($A157-1,70)+1)&gt;2*CROQUIS_DATOS!$C$1541+1,IF(MOD(CROQUIS_DATOS!$C$1541,2)=1,1,0),IF(MOD(MIN(INT((IF(INT(($A157-1)/70)+1&gt;CROQUIS_DATOS!$C$1525,70,MOD($A157-1,70)+1)-2)/2)+1,CROQUIS_DATOS!$C$1541),2)=1,IF(MOD(IF(INT(($A157-1)/70)+1&gt;CROQUIS_DATOS!$C$1525,70,MOD($A157-1,70)+1)-2,2)=0,0,1),IF(MOD(IF(INT(($A157-1)/70)+1&gt;CROQUIS_DATOS!$C$1525,70,MOD($A157-1,70)+1)-2,2)=0,1,0))))=0,(INDEX($E$8:$E$23,MIN(INT(($A157-1)/70)+1,CROQUIS_DATOS!$C$1525))-INDEX($F$8:$F$23,MIN(INT(($A157-1)/70)+1,CROQUIS_DATOS!$C$1525))/2),(INDEX($E$8:$E$23,MIN(INT(($A157-1)/70)+1,CROQUIS_DATOS!$C$1525))+INDEX($F$8:$F$23,MIN(INT(($A157-1)/70)+1,CROQUIS_DATOS!$C$1525))/2)))*CROQUIS_DATOS!$C$1562),-1000)</f>
        <v>33.2413793103448</v>
      </c>
      <c r="O157">
        <f>IF(AND(CROQUIS_DATOS!$C$1472=1,1),(CROQUIS_DATOS!$C$1564+(IF(OR(IF(INT(($A157-1)/70)+1&gt;CROQUIS_DATOS!$C$1525,70,MOD($A157-1,70)+1)=1,IF(INT(($A157-1)/70)+1&gt;CROQUIS_DATOS!$C$1525,70,MOD($A157-1,70)+1)&gt;2*CROQUIS_DATOS!$C$1541+1),CROQUIS_DATOS!$C$1476,INDEX($H$8:$H$41,MIN(INT((IF(INT(($A157-1)/70)+1&gt;CROQUIS_DATOS!$C$1525,70,MOD($A157-1,70)+1)-2)/2)+1,CROQUIS_DATOS!$C$1541))))*CROQUIS_DATOS!$C$1561*CROQUIS_DATOS!$C$1562),-1000)</f>
        <v>10.5301724137931</v>
      </c>
      <c r="P157">
        <f>IF(AND(CROQUIS_DATOS!$C$1472=1,CROQUIS_DATOS!$C$1555=1),(CROQUIS_DATOS!$C$1563+(IF(IF(OR(MOD($A157-1,62)+1=1,IF(CHOOSE(MIN(MAX(MIN(INT(($A157-1)/62)+1,5),1),5),CROQUIS_DATOS!$C$1501,CROQUIS_DATOS!$C$1505,CROQUIS_DATOS!$C$1509,CROQUIS_DATOS!$C$1513,CROQUIS_DATOS!$C$1517)=1,CROQUIS_DATOS!$C$1557,0)=0),0,IF(MOD($A157-1,62)+1&gt;2*IF(CHOOSE(MIN(MAX(MIN(INT(($A157-1)/62)+1,5),1),5),CROQUIS_DATOS!$C$1501,CROQUIS_DATOS!$C$1505,CROQUIS_DATOS!$C$1509,CROQUIS_DATOS!$C$1513,CROQUIS_DATOS!$C$1517)=1,CROQUIS_DATOS!$C$1557,0)+1,IF(MOD(IF(CHOOSE(MIN(MAX(MIN(INT(($A157-1)/62)+1,5),1),5),CROQUIS_DATOS!$C$1501,CROQUIS_DATOS!$C$1505,CROQUIS_DATOS!$C$1509,CROQUIS_DATOS!$C$1513,CROQUIS_DATOS!$C$1517)=1,CROQUIS_DATOS!$C$1557,0),2)=1,1,0),IF(MOD(MIN(INT((MOD($A157-1,62)+1-2)/2)+1,MAX(IF(CHOOSE(MIN(MAX(MIN(INT(($A157-1)/62)+1,5),1),5),CROQUIS_DATOS!$C$1501,CROQUIS_DATOS!$C$1505,CROQUIS_DATOS!$C$1509,CROQUIS_DATOS!$C$1513,CROQUIS_DATOS!$C$1517)=1,CROQUIS_DATOS!$C$1557,0),1)),2)=1,IF(MOD(MOD($A157-1,62)+1-2,2)=0,0,1),IF(MOD(MOD($A157-1,62)+1-2,2)=0,1,0))))=0,(CHOOSE(MIN(MAX(MIN(INT(($A157-1)/62)+1,5),1),5),CROQUIS_DATOS!$C$1499,CROQUIS_DATOS!$C$1503,CROQUIS_DATOS!$C$1507,CROQUIS_DATOS!$C$1511,CROQUIS_DATOS!$C$1515)+IF(CHOOSE(MIN(MAX(MIN(INT(($A157-1)/62)+1,5),1),5),CROQUIS_DATOS!$C$1501,CROQUIS_DATOS!$C$1505,CROQUIS_DATOS!$C$1509,CROQUIS_DATOS!$C$1513,CROQUIS_DATOS!$C$1517)=1,CROQUIS_DATOS!$C$1526,0)),(CHOOSE(MIN(MAX(MIN(INT(($A157-1)/62)+1,5),1),5),CROQUIS_DATOS!$C$1499,CROQUIS_DATOS!$C$1503,CROQUIS_DATOS!$C$1507,CROQUIS_DATOS!$C$1511,CROQUIS_DATOS!$C$1515)+CHOOSE(MIN(MAX(MIN(INT(($A157-1)/62)+1,5),1),5),CROQUIS_DATOS!$C$1500,CROQUIS_DATOS!$C$1504,CROQUIS_DATOS!$C$1508,CROQUIS_DATOS!$C$1512,CROQUIS_DATOS!$C$1516)-IF(CHOOSE(MIN(MAX(MIN(INT(($A157-1)/62)+1,5),1),5),CROQUIS_DATOS!$C$1501,CROQUIS_DATOS!$C$1505,CROQUIS_DATOS!$C$1509,CROQUIS_DATOS!$C$1513,CROQUIS_DATOS!$C$1517)=1,CROQUIS_DATOS!$C$1526,0))))*CROQUIS_DATOS!$C$1562),-1000)</f>
        <v>-1000</v>
      </c>
      <c r="Q157">
        <f>IF(AND(CROQUIS_DATOS!$C$1472=1,CROQUIS_DATOS!$C$1555=1),(CROQUIS_DATOS!$C$1564+(IF(OR(OR(MOD($A157-1,62)+1=1,IF(CHOOSE(MIN(MAX(MIN(INT(($A157-1)/62)+1,5),1),5),CROQUIS_DATOS!$C$1501,CROQUIS_DATOS!$C$1505,CROQUIS_DATOS!$C$1509,CROQUIS_DATOS!$C$1513,CROQUIS_DATOS!$C$1517)=1,CROQUIS_DATOS!$C$1557,0)=0),MOD($A157-1,62)+1&gt;2*IF(CHOOSE(MIN(MAX(MIN(INT(($A157-1)/62)+1,5),1),5),CROQUIS_DATOS!$C$1501,CROQUIS_DATOS!$C$1505,CROQUIS_DATOS!$C$1509,CROQUIS_DATOS!$C$1513,CROQUIS_DATOS!$C$1517)=1,CROQUIS_DATOS!$C$1557,0)+1),CROQUIS_DATOS!$C$1476,MIN(INT((MOD($A157-1,62)+1-2)/2)+1,MAX(IF(CHOOSE(MIN(MAX(MIN(INT(($A157-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7">
        <f>IF(AND(CROQUIS_DATOS!$C$1472=1,1),(CROQUIS_DATOS!$C$1563+(MIN(INT(($A157-1)/2)+1,CROQUIS_DATOS!$C$1558)*CROQUIS_DATOS!$C$1559)*CROQUIS_DATOS!$C$1562),-1000)</f>
        <v>82.2281167108753</v>
      </c>
      <c r="U157">
        <f>IF(AND(CROQUIS_DATOS!$C$1472=1,1),(CROQUIS_DATOS!$C$1564+(IF(INT(($A157-1)/2)+1&gt;CROQUIS_DATOS!$C$1558,IF(MOD(CROQUIS_DATOS!$C$1558,2)=1,CROQUIS_DATOS!$C$1476+CROQUIS_DATOS!$C$1528,CROQUIS_DATOS!$C$1476),IF(IF(MOD(MIN(INT(($A157-1)/2)+1,CROQUIS_DATOS!$C$1558),2)=1,MOD($A157-1,2),1-MOD($A157-1,2))=1,CROQUIS_DATOS!$C$1476+CROQUIS_DATOS!$C$1528,CROQUIS_DATOS!$C$1476)))*CROQUIS_DATOS!$C$1561*CROQUIS_DATOS!$C$1562),-1000)</f>
        <v>43</v>
      </c>
    </row>
    <row r="158">
      <c r="A158" t="n">
        <v>151</v>
      </c>
      <c r="N158">
        <f>IF(AND(CROQUIS_DATOS!$C$1472=1,1),(CROQUIS_DATOS!$C$1563+(IF(IF(IF(INT(($A158-1)/70)+1&gt;CROQUIS_DATOS!$C$1525,70,MOD($A158-1,70)+1)=1,0,IF(IF(INT(($A158-1)/70)+1&gt;CROQUIS_DATOS!$C$1525,70,MOD($A158-1,70)+1)&gt;2*CROQUIS_DATOS!$C$1541+1,IF(MOD(CROQUIS_DATOS!$C$1541,2)=1,1,0),IF(MOD(MIN(INT((IF(INT(($A158-1)/70)+1&gt;CROQUIS_DATOS!$C$1525,70,MOD($A158-1,70)+1)-2)/2)+1,CROQUIS_DATOS!$C$1541),2)=1,IF(MOD(IF(INT(($A158-1)/70)+1&gt;CROQUIS_DATOS!$C$1525,70,MOD($A158-1,70)+1)-2,2)=0,0,1),IF(MOD(IF(INT(($A158-1)/70)+1&gt;CROQUIS_DATOS!$C$1525,70,MOD($A158-1,70)+1)-2,2)=0,1,0))))=0,(INDEX($E$8:$E$23,MIN(INT(($A158-1)/70)+1,CROQUIS_DATOS!$C$1525))-INDEX($F$8:$F$23,MIN(INT(($A158-1)/70)+1,CROQUIS_DATOS!$C$1525))/2),(INDEX($E$8:$E$23,MIN(INT(($A158-1)/70)+1,CROQUIS_DATOS!$C$1525))+INDEX($F$8:$F$23,MIN(INT(($A158-1)/70)+1,CROQUIS_DATOS!$C$1525))/2)))*CROQUIS_DATOS!$C$1562),-1000)</f>
        <v>35.3362068965517</v>
      </c>
      <c r="O158">
        <f>IF(AND(CROQUIS_DATOS!$C$1472=1,1),(CROQUIS_DATOS!$C$1564+(IF(OR(IF(INT(($A158-1)/70)+1&gt;CROQUIS_DATOS!$C$1525,70,MOD($A158-1,70)+1)=1,IF(INT(($A158-1)/70)+1&gt;CROQUIS_DATOS!$C$1525,70,MOD($A158-1,70)+1)&gt;2*CROQUIS_DATOS!$C$1541+1),CROQUIS_DATOS!$C$1476,INDEX($H$8:$H$41,MIN(INT((IF(INT(($A158-1)/70)+1&gt;CROQUIS_DATOS!$C$1525,70,MOD($A158-1,70)+1)-2)/2)+1,CROQUIS_DATOS!$C$1541))))*CROQUIS_DATOS!$C$1561*CROQUIS_DATOS!$C$1562),-1000)</f>
        <v>10.5301724137931</v>
      </c>
      <c r="P158">
        <f>IF(AND(CROQUIS_DATOS!$C$1472=1,CROQUIS_DATOS!$C$1555=1),(CROQUIS_DATOS!$C$1563+(IF(IF(OR(MOD($A158-1,62)+1=1,IF(CHOOSE(MIN(MAX(MIN(INT(($A158-1)/62)+1,5),1),5),CROQUIS_DATOS!$C$1501,CROQUIS_DATOS!$C$1505,CROQUIS_DATOS!$C$1509,CROQUIS_DATOS!$C$1513,CROQUIS_DATOS!$C$1517)=1,CROQUIS_DATOS!$C$1557,0)=0),0,IF(MOD($A158-1,62)+1&gt;2*IF(CHOOSE(MIN(MAX(MIN(INT(($A158-1)/62)+1,5),1),5),CROQUIS_DATOS!$C$1501,CROQUIS_DATOS!$C$1505,CROQUIS_DATOS!$C$1509,CROQUIS_DATOS!$C$1513,CROQUIS_DATOS!$C$1517)=1,CROQUIS_DATOS!$C$1557,0)+1,IF(MOD(IF(CHOOSE(MIN(MAX(MIN(INT(($A158-1)/62)+1,5),1),5),CROQUIS_DATOS!$C$1501,CROQUIS_DATOS!$C$1505,CROQUIS_DATOS!$C$1509,CROQUIS_DATOS!$C$1513,CROQUIS_DATOS!$C$1517)=1,CROQUIS_DATOS!$C$1557,0),2)=1,1,0),IF(MOD(MIN(INT((MOD($A158-1,62)+1-2)/2)+1,MAX(IF(CHOOSE(MIN(MAX(MIN(INT(($A158-1)/62)+1,5),1),5),CROQUIS_DATOS!$C$1501,CROQUIS_DATOS!$C$1505,CROQUIS_DATOS!$C$1509,CROQUIS_DATOS!$C$1513,CROQUIS_DATOS!$C$1517)=1,CROQUIS_DATOS!$C$1557,0),1)),2)=1,IF(MOD(MOD($A158-1,62)+1-2,2)=0,0,1),IF(MOD(MOD($A158-1,62)+1-2,2)=0,1,0))))=0,(CHOOSE(MIN(MAX(MIN(INT(($A158-1)/62)+1,5),1),5),CROQUIS_DATOS!$C$1499,CROQUIS_DATOS!$C$1503,CROQUIS_DATOS!$C$1507,CROQUIS_DATOS!$C$1511,CROQUIS_DATOS!$C$1515)+IF(CHOOSE(MIN(MAX(MIN(INT(($A158-1)/62)+1,5),1),5),CROQUIS_DATOS!$C$1501,CROQUIS_DATOS!$C$1505,CROQUIS_DATOS!$C$1509,CROQUIS_DATOS!$C$1513,CROQUIS_DATOS!$C$1517)=1,CROQUIS_DATOS!$C$1526,0)),(CHOOSE(MIN(MAX(MIN(INT(($A158-1)/62)+1,5),1),5),CROQUIS_DATOS!$C$1499,CROQUIS_DATOS!$C$1503,CROQUIS_DATOS!$C$1507,CROQUIS_DATOS!$C$1511,CROQUIS_DATOS!$C$1515)+CHOOSE(MIN(MAX(MIN(INT(($A158-1)/62)+1,5),1),5),CROQUIS_DATOS!$C$1500,CROQUIS_DATOS!$C$1504,CROQUIS_DATOS!$C$1508,CROQUIS_DATOS!$C$1512,CROQUIS_DATOS!$C$1516)-IF(CHOOSE(MIN(MAX(MIN(INT(($A158-1)/62)+1,5),1),5),CROQUIS_DATOS!$C$1501,CROQUIS_DATOS!$C$1505,CROQUIS_DATOS!$C$1509,CROQUIS_DATOS!$C$1513,CROQUIS_DATOS!$C$1517)=1,CROQUIS_DATOS!$C$1526,0))))*CROQUIS_DATOS!$C$1562),-1000)</f>
        <v>-1000</v>
      </c>
      <c r="Q158">
        <f>IF(AND(CROQUIS_DATOS!$C$1472=1,CROQUIS_DATOS!$C$1555=1),(CROQUIS_DATOS!$C$1564+(IF(OR(OR(MOD($A158-1,62)+1=1,IF(CHOOSE(MIN(MAX(MIN(INT(($A158-1)/62)+1,5),1),5),CROQUIS_DATOS!$C$1501,CROQUIS_DATOS!$C$1505,CROQUIS_DATOS!$C$1509,CROQUIS_DATOS!$C$1513,CROQUIS_DATOS!$C$1517)=1,CROQUIS_DATOS!$C$1557,0)=0),MOD($A158-1,62)+1&gt;2*IF(CHOOSE(MIN(MAX(MIN(INT(($A158-1)/62)+1,5),1),5),CROQUIS_DATOS!$C$1501,CROQUIS_DATOS!$C$1505,CROQUIS_DATOS!$C$1509,CROQUIS_DATOS!$C$1513,CROQUIS_DATOS!$C$1517)=1,CROQUIS_DATOS!$C$1557,0)+1),CROQUIS_DATOS!$C$1476,MIN(INT((MOD($A158-1,62)+1-2)/2)+1,MAX(IF(CHOOSE(MIN(MAX(MIN(INT(($A158-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8">
        <f>IF(AND(CROQUIS_DATOS!$C$1472=1,1),(CROQUIS_DATOS!$C$1563+(MIN(INT(($A158-1)/2)+1,CROQUIS_DATOS!$C$1558)*CROQUIS_DATOS!$C$1559)*CROQUIS_DATOS!$C$1562),-1000)</f>
        <v>82.2281167108753</v>
      </c>
      <c r="U158">
        <f>IF(AND(CROQUIS_DATOS!$C$1472=1,1),(CROQUIS_DATOS!$C$1564+(IF(INT(($A158-1)/2)+1&gt;CROQUIS_DATOS!$C$1558,IF(MOD(CROQUIS_DATOS!$C$1558,2)=1,CROQUIS_DATOS!$C$1476+CROQUIS_DATOS!$C$1528,CROQUIS_DATOS!$C$1476),IF(IF(MOD(MIN(INT(($A158-1)/2)+1,CROQUIS_DATOS!$C$1558),2)=1,MOD($A158-1,2),1-MOD($A158-1,2))=1,CROQUIS_DATOS!$C$1476+CROQUIS_DATOS!$C$1528,CROQUIS_DATOS!$C$1476)))*CROQUIS_DATOS!$C$1561*CROQUIS_DATOS!$C$1562),-1000)</f>
        <v>43</v>
      </c>
    </row>
    <row r="159">
      <c r="A159" t="n">
        <v>152</v>
      </c>
      <c r="N159">
        <f>IF(AND(CROQUIS_DATOS!$C$1472=1,1),(CROQUIS_DATOS!$C$1563+(IF(IF(IF(INT(($A159-1)/70)+1&gt;CROQUIS_DATOS!$C$1525,70,MOD($A159-1,70)+1)=1,0,IF(IF(INT(($A159-1)/70)+1&gt;CROQUIS_DATOS!$C$1525,70,MOD($A159-1,70)+1)&gt;2*CROQUIS_DATOS!$C$1541+1,IF(MOD(CROQUIS_DATOS!$C$1541,2)=1,1,0),IF(MOD(MIN(INT((IF(INT(($A159-1)/70)+1&gt;CROQUIS_DATOS!$C$1525,70,MOD($A159-1,70)+1)-2)/2)+1,CROQUIS_DATOS!$C$1541),2)=1,IF(MOD(IF(INT(($A159-1)/70)+1&gt;CROQUIS_DATOS!$C$1525,70,MOD($A159-1,70)+1)-2,2)=0,0,1),IF(MOD(IF(INT(($A159-1)/70)+1&gt;CROQUIS_DATOS!$C$1525,70,MOD($A159-1,70)+1)-2,2)=0,1,0))))=0,(INDEX($E$8:$E$23,MIN(INT(($A159-1)/70)+1,CROQUIS_DATOS!$C$1525))-INDEX($F$8:$F$23,MIN(INT(($A159-1)/70)+1,CROQUIS_DATOS!$C$1525))/2),(INDEX($E$8:$E$23,MIN(INT(($A159-1)/70)+1,CROQUIS_DATOS!$C$1525))+INDEX($F$8:$F$23,MIN(INT(($A159-1)/70)+1,CROQUIS_DATOS!$C$1525))/2)))*CROQUIS_DATOS!$C$1562),-1000)</f>
        <v>35.3362068965517</v>
      </c>
      <c r="O159">
        <f>IF(AND(CROQUIS_DATOS!$C$1472=1,1),(CROQUIS_DATOS!$C$1564+(IF(OR(IF(INT(($A159-1)/70)+1&gt;CROQUIS_DATOS!$C$1525,70,MOD($A159-1,70)+1)=1,IF(INT(($A159-1)/70)+1&gt;CROQUIS_DATOS!$C$1525,70,MOD($A159-1,70)+1)&gt;2*CROQUIS_DATOS!$C$1541+1),CROQUIS_DATOS!$C$1476,INDEX($H$8:$H$41,MIN(INT((IF(INT(($A159-1)/70)+1&gt;CROQUIS_DATOS!$C$1525,70,MOD($A159-1,70)+1)-2)/2)+1,CROQUIS_DATOS!$C$1541))))*CROQUIS_DATOS!$C$1561*CROQUIS_DATOS!$C$1562),-1000)</f>
        <v>13.2456896551724</v>
      </c>
      <c r="P159">
        <f>IF(AND(CROQUIS_DATOS!$C$1472=1,CROQUIS_DATOS!$C$1555=1),(CROQUIS_DATOS!$C$1563+(IF(IF(OR(MOD($A159-1,62)+1=1,IF(CHOOSE(MIN(MAX(MIN(INT(($A159-1)/62)+1,5),1),5),CROQUIS_DATOS!$C$1501,CROQUIS_DATOS!$C$1505,CROQUIS_DATOS!$C$1509,CROQUIS_DATOS!$C$1513,CROQUIS_DATOS!$C$1517)=1,CROQUIS_DATOS!$C$1557,0)=0),0,IF(MOD($A159-1,62)+1&gt;2*IF(CHOOSE(MIN(MAX(MIN(INT(($A159-1)/62)+1,5),1),5),CROQUIS_DATOS!$C$1501,CROQUIS_DATOS!$C$1505,CROQUIS_DATOS!$C$1509,CROQUIS_DATOS!$C$1513,CROQUIS_DATOS!$C$1517)=1,CROQUIS_DATOS!$C$1557,0)+1,IF(MOD(IF(CHOOSE(MIN(MAX(MIN(INT(($A159-1)/62)+1,5),1),5),CROQUIS_DATOS!$C$1501,CROQUIS_DATOS!$C$1505,CROQUIS_DATOS!$C$1509,CROQUIS_DATOS!$C$1513,CROQUIS_DATOS!$C$1517)=1,CROQUIS_DATOS!$C$1557,0),2)=1,1,0),IF(MOD(MIN(INT((MOD($A159-1,62)+1-2)/2)+1,MAX(IF(CHOOSE(MIN(MAX(MIN(INT(($A159-1)/62)+1,5),1),5),CROQUIS_DATOS!$C$1501,CROQUIS_DATOS!$C$1505,CROQUIS_DATOS!$C$1509,CROQUIS_DATOS!$C$1513,CROQUIS_DATOS!$C$1517)=1,CROQUIS_DATOS!$C$1557,0),1)),2)=1,IF(MOD(MOD($A159-1,62)+1-2,2)=0,0,1),IF(MOD(MOD($A159-1,62)+1-2,2)=0,1,0))))=0,(CHOOSE(MIN(MAX(MIN(INT(($A159-1)/62)+1,5),1),5),CROQUIS_DATOS!$C$1499,CROQUIS_DATOS!$C$1503,CROQUIS_DATOS!$C$1507,CROQUIS_DATOS!$C$1511,CROQUIS_DATOS!$C$1515)+IF(CHOOSE(MIN(MAX(MIN(INT(($A159-1)/62)+1,5),1),5),CROQUIS_DATOS!$C$1501,CROQUIS_DATOS!$C$1505,CROQUIS_DATOS!$C$1509,CROQUIS_DATOS!$C$1513,CROQUIS_DATOS!$C$1517)=1,CROQUIS_DATOS!$C$1526,0)),(CHOOSE(MIN(MAX(MIN(INT(($A159-1)/62)+1,5),1),5),CROQUIS_DATOS!$C$1499,CROQUIS_DATOS!$C$1503,CROQUIS_DATOS!$C$1507,CROQUIS_DATOS!$C$1511,CROQUIS_DATOS!$C$1515)+CHOOSE(MIN(MAX(MIN(INT(($A159-1)/62)+1,5),1),5),CROQUIS_DATOS!$C$1500,CROQUIS_DATOS!$C$1504,CROQUIS_DATOS!$C$1508,CROQUIS_DATOS!$C$1512,CROQUIS_DATOS!$C$1516)-IF(CHOOSE(MIN(MAX(MIN(INT(($A159-1)/62)+1,5),1),5),CROQUIS_DATOS!$C$1501,CROQUIS_DATOS!$C$1505,CROQUIS_DATOS!$C$1509,CROQUIS_DATOS!$C$1513,CROQUIS_DATOS!$C$1517)=1,CROQUIS_DATOS!$C$1526,0))))*CROQUIS_DATOS!$C$1562),-1000)</f>
        <v>-1000</v>
      </c>
      <c r="Q159">
        <f>IF(AND(CROQUIS_DATOS!$C$1472=1,CROQUIS_DATOS!$C$1555=1),(CROQUIS_DATOS!$C$1564+(IF(OR(OR(MOD($A159-1,62)+1=1,IF(CHOOSE(MIN(MAX(MIN(INT(($A159-1)/62)+1,5),1),5),CROQUIS_DATOS!$C$1501,CROQUIS_DATOS!$C$1505,CROQUIS_DATOS!$C$1509,CROQUIS_DATOS!$C$1513,CROQUIS_DATOS!$C$1517)=1,CROQUIS_DATOS!$C$1557,0)=0),MOD($A159-1,62)+1&gt;2*IF(CHOOSE(MIN(MAX(MIN(INT(($A159-1)/62)+1,5),1),5),CROQUIS_DATOS!$C$1501,CROQUIS_DATOS!$C$1505,CROQUIS_DATOS!$C$1509,CROQUIS_DATOS!$C$1513,CROQUIS_DATOS!$C$1517)=1,CROQUIS_DATOS!$C$1557,0)+1),CROQUIS_DATOS!$C$1476,MIN(INT((MOD($A159-1,62)+1-2)/2)+1,MAX(IF(CHOOSE(MIN(MAX(MIN(INT(($A159-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59">
        <f>IF(AND(CROQUIS_DATOS!$C$1472=1,1),(CROQUIS_DATOS!$C$1563+(MIN(INT(($A159-1)/2)+1,CROQUIS_DATOS!$C$1558)*CROQUIS_DATOS!$C$1559)*CROQUIS_DATOS!$C$1562),-1000)</f>
        <v>82.2281167108753</v>
      </c>
      <c r="U159">
        <f>IF(AND(CROQUIS_DATOS!$C$1472=1,1),(CROQUIS_DATOS!$C$1564+(IF(INT(($A159-1)/2)+1&gt;CROQUIS_DATOS!$C$1558,IF(MOD(CROQUIS_DATOS!$C$1558,2)=1,CROQUIS_DATOS!$C$1476+CROQUIS_DATOS!$C$1528,CROQUIS_DATOS!$C$1476),IF(IF(MOD(MIN(INT(($A159-1)/2)+1,CROQUIS_DATOS!$C$1558),2)=1,MOD($A159-1,2),1-MOD($A159-1,2))=1,CROQUIS_DATOS!$C$1476+CROQUIS_DATOS!$C$1528,CROQUIS_DATOS!$C$1476)))*CROQUIS_DATOS!$C$1561*CROQUIS_DATOS!$C$1562),-1000)</f>
        <v>43</v>
      </c>
    </row>
    <row r="160">
      <c r="A160" t="n">
        <v>153</v>
      </c>
      <c r="N160">
        <f>IF(AND(CROQUIS_DATOS!$C$1472=1,1),(CROQUIS_DATOS!$C$1563+(IF(IF(IF(INT(($A160-1)/70)+1&gt;CROQUIS_DATOS!$C$1525,70,MOD($A160-1,70)+1)=1,0,IF(IF(INT(($A160-1)/70)+1&gt;CROQUIS_DATOS!$C$1525,70,MOD($A160-1,70)+1)&gt;2*CROQUIS_DATOS!$C$1541+1,IF(MOD(CROQUIS_DATOS!$C$1541,2)=1,1,0),IF(MOD(MIN(INT((IF(INT(($A160-1)/70)+1&gt;CROQUIS_DATOS!$C$1525,70,MOD($A160-1,70)+1)-2)/2)+1,CROQUIS_DATOS!$C$1541),2)=1,IF(MOD(IF(INT(($A160-1)/70)+1&gt;CROQUIS_DATOS!$C$1525,70,MOD($A160-1,70)+1)-2,2)=0,0,1),IF(MOD(IF(INT(($A160-1)/70)+1&gt;CROQUIS_DATOS!$C$1525,70,MOD($A160-1,70)+1)-2,2)=0,1,0))))=0,(INDEX($E$8:$E$23,MIN(INT(($A160-1)/70)+1,CROQUIS_DATOS!$C$1525))-INDEX($F$8:$F$23,MIN(INT(($A160-1)/70)+1,CROQUIS_DATOS!$C$1525))/2),(INDEX($E$8:$E$23,MIN(INT(($A160-1)/70)+1,CROQUIS_DATOS!$C$1525))+INDEX($F$8:$F$23,MIN(INT(($A160-1)/70)+1,CROQUIS_DATOS!$C$1525))/2)))*CROQUIS_DATOS!$C$1562),-1000)</f>
        <v>33.2413793103448</v>
      </c>
      <c r="O160">
        <f>IF(AND(CROQUIS_DATOS!$C$1472=1,1),(CROQUIS_DATOS!$C$1564+(IF(OR(IF(INT(($A160-1)/70)+1&gt;CROQUIS_DATOS!$C$1525,70,MOD($A160-1,70)+1)=1,IF(INT(($A160-1)/70)+1&gt;CROQUIS_DATOS!$C$1525,70,MOD($A160-1,70)+1)&gt;2*CROQUIS_DATOS!$C$1541+1),CROQUIS_DATOS!$C$1476,INDEX($H$8:$H$41,MIN(INT((IF(INT(($A160-1)/70)+1&gt;CROQUIS_DATOS!$C$1525,70,MOD($A160-1,70)+1)-2)/2)+1,CROQUIS_DATOS!$C$1541))))*CROQUIS_DATOS!$C$1561*CROQUIS_DATOS!$C$1562),-1000)</f>
        <v>13.2456896551724</v>
      </c>
      <c r="P160">
        <f>IF(AND(CROQUIS_DATOS!$C$1472=1,CROQUIS_DATOS!$C$1555=1),(CROQUIS_DATOS!$C$1563+(IF(IF(OR(MOD($A160-1,62)+1=1,IF(CHOOSE(MIN(MAX(MIN(INT(($A160-1)/62)+1,5),1),5),CROQUIS_DATOS!$C$1501,CROQUIS_DATOS!$C$1505,CROQUIS_DATOS!$C$1509,CROQUIS_DATOS!$C$1513,CROQUIS_DATOS!$C$1517)=1,CROQUIS_DATOS!$C$1557,0)=0),0,IF(MOD($A160-1,62)+1&gt;2*IF(CHOOSE(MIN(MAX(MIN(INT(($A160-1)/62)+1,5),1),5),CROQUIS_DATOS!$C$1501,CROQUIS_DATOS!$C$1505,CROQUIS_DATOS!$C$1509,CROQUIS_DATOS!$C$1513,CROQUIS_DATOS!$C$1517)=1,CROQUIS_DATOS!$C$1557,0)+1,IF(MOD(IF(CHOOSE(MIN(MAX(MIN(INT(($A160-1)/62)+1,5),1),5),CROQUIS_DATOS!$C$1501,CROQUIS_DATOS!$C$1505,CROQUIS_DATOS!$C$1509,CROQUIS_DATOS!$C$1513,CROQUIS_DATOS!$C$1517)=1,CROQUIS_DATOS!$C$1557,0),2)=1,1,0),IF(MOD(MIN(INT((MOD($A160-1,62)+1-2)/2)+1,MAX(IF(CHOOSE(MIN(MAX(MIN(INT(($A160-1)/62)+1,5),1),5),CROQUIS_DATOS!$C$1501,CROQUIS_DATOS!$C$1505,CROQUIS_DATOS!$C$1509,CROQUIS_DATOS!$C$1513,CROQUIS_DATOS!$C$1517)=1,CROQUIS_DATOS!$C$1557,0),1)),2)=1,IF(MOD(MOD($A160-1,62)+1-2,2)=0,0,1),IF(MOD(MOD($A160-1,62)+1-2,2)=0,1,0))))=0,(CHOOSE(MIN(MAX(MIN(INT(($A160-1)/62)+1,5),1),5),CROQUIS_DATOS!$C$1499,CROQUIS_DATOS!$C$1503,CROQUIS_DATOS!$C$1507,CROQUIS_DATOS!$C$1511,CROQUIS_DATOS!$C$1515)+IF(CHOOSE(MIN(MAX(MIN(INT(($A160-1)/62)+1,5),1),5),CROQUIS_DATOS!$C$1501,CROQUIS_DATOS!$C$1505,CROQUIS_DATOS!$C$1509,CROQUIS_DATOS!$C$1513,CROQUIS_DATOS!$C$1517)=1,CROQUIS_DATOS!$C$1526,0)),(CHOOSE(MIN(MAX(MIN(INT(($A160-1)/62)+1,5),1),5),CROQUIS_DATOS!$C$1499,CROQUIS_DATOS!$C$1503,CROQUIS_DATOS!$C$1507,CROQUIS_DATOS!$C$1511,CROQUIS_DATOS!$C$1515)+CHOOSE(MIN(MAX(MIN(INT(($A160-1)/62)+1,5),1),5),CROQUIS_DATOS!$C$1500,CROQUIS_DATOS!$C$1504,CROQUIS_DATOS!$C$1508,CROQUIS_DATOS!$C$1512,CROQUIS_DATOS!$C$1516)-IF(CHOOSE(MIN(MAX(MIN(INT(($A160-1)/62)+1,5),1),5),CROQUIS_DATOS!$C$1501,CROQUIS_DATOS!$C$1505,CROQUIS_DATOS!$C$1509,CROQUIS_DATOS!$C$1513,CROQUIS_DATOS!$C$1517)=1,CROQUIS_DATOS!$C$1526,0))))*CROQUIS_DATOS!$C$1562),-1000)</f>
        <v>-1000</v>
      </c>
      <c r="Q160">
        <f>IF(AND(CROQUIS_DATOS!$C$1472=1,CROQUIS_DATOS!$C$1555=1),(CROQUIS_DATOS!$C$1564+(IF(OR(OR(MOD($A160-1,62)+1=1,IF(CHOOSE(MIN(MAX(MIN(INT(($A160-1)/62)+1,5),1),5),CROQUIS_DATOS!$C$1501,CROQUIS_DATOS!$C$1505,CROQUIS_DATOS!$C$1509,CROQUIS_DATOS!$C$1513,CROQUIS_DATOS!$C$1517)=1,CROQUIS_DATOS!$C$1557,0)=0),MOD($A160-1,62)+1&gt;2*IF(CHOOSE(MIN(MAX(MIN(INT(($A160-1)/62)+1,5),1),5),CROQUIS_DATOS!$C$1501,CROQUIS_DATOS!$C$1505,CROQUIS_DATOS!$C$1509,CROQUIS_DATOS!$C$1513,CROQUIS_DATOS!$C$1517)=1,CROQUIS_DATOS!$C$1557,0)+1),CROQUIS_DATOS!$C$1476,MIN(INT((MOD($A160-1,62)+1-2)/2)+1,MAX(IF(CHOOSE(MIN(MAX(MIN(INT(($A160-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0">
        <f>IF(AND(CROQUIS_DATOS!$C$1472=1,1),(CROQUIS_DATOS!$C$1563+(MIN(INT(($A160-1)/2)+1,CROQUIS_DATOS!$C$1558)*CROQUIS_DATOS!$C$1559)*CROQUIS_DATOS!$C$1562),-1000)</f>
        <v>82.2281167108753</v>
      </c>
      <c r="U160">
        <f>IF(AND(CROQUIS_DATOS!$C$1472=1,1),(CROQUIS_DATOS!$C$1564+(IF(INT(($A160-1)/2)+1&gt;CROQUIS_DATOS!$C$1558,IF(MOD(CROQUIS_DATOS!$C$1558,2)=1,CROQUIS_DATOS!$C$1476+CROQUIS_DATOS!$C$1528,CROQUIS_DATOS!$C$1476),IF(IF(MOD(MIN(INT(($A160-1)/2)+1,CROQUIS_DATOS!$C$1558),2)=1,MOD($A160-1,2),1-MOD($A160-1,2))=1,CROQUIS_DATOS!$C$1476+CROQUIS_DATOS!$C$1528,CROQUIS_DATOS!$C$1476)))*CROQUIS_DATOS!$C$1561*CROQUIS_DATOS!$C$1562),-1000)</f>
        <v>43</v>
      </c>
    </row>
    <row r="161">
      <c r="A161" t="n">
        <v>154</v>
      </c>
      <c r="N161">
        <f>IF(AND(CROQUIS_DATOS!$C$1472=1,1),(CROQUIS_DATOS!$C$1563+(IF(IF(IF(INT(($A161-1)/70)+1&gt;CROQUIS_DATOS!$C$1525,70,MOD($A161-1,70)+1)=1,0,IF(IF(INT(($A161-1)/70)+1&gt;CROQUIS_DATOS!$C$1525,70,MOD($A161-1,70)+1)&gt;2*CROQUIS_DATOS!$C$1541+1,IF(MOD(CROQUIS_DATOS!$C$1541,2)=1,1,0),IF(MOD(MIN(INT((IF(INT(($A161-1)/70)+1&gt;CROQUIS_DATOS!$C$1525,70,MOD($A161-1,70)+1)-2)/2)+1,CROQUIS_DATOS!$C$1541),2)=1,IF(MOD(IF(INT(($A161-1)/70)+1&gt;CROQUIS_DATOS!$C$1525,70,MOD($A161-1,70)+1)-2,2)=0,0,1),IF(MOD(IF(INT(($A161-1)/70)+1&gt;CROQUIS_DATOS!$C$1525,70,MOD($A161-1,70)+1)-2,2)=0,1,0))))=0,(INDEX($E$8:$E$23,MIN(INT(($A161-1)/70)+1,CROQUIS_DATOS!$C$1525))-INDEX($F$8:$F$23,MIN(INT(($A161-1)/70)+1,CROQUIS_DATOS!$C$1525))/2),(INDEX($E$8:$E$23,MIN(INT(($A161-1)/70)+1,CROQUIS_DATOS!$C$1525))+INDEX($F$8:$F$23,MIN(INT(($A161-1)/70)+1,CROQUIS_DATOS!$C$1525))/2)))*CROQUIS_DATOS!$C$1562),-1000)</f>
        <v>33.2413793103448</v>
      </c>
      <c r="O161">
        <f>IF(AND(CROQUIS_DATOS!$C$1472=1,1),(CROQUIS_DATOS!$C$1564+(IF(OR(IF(INT(($A161-1)/70)+1&gt;CROQUIS_DATOS!$C$1525,70,MOD($A161-1,70)+1)=1,IF(INT(($A161-1)/70)+1&gt;CROQUIS_DATOS!$C$1525,70,MOD($A161-1,70)+1)&gt;2*CROQUIS_DATOS!$C$1541+1),CROQUIS_DATOS!$C$1476,INDEX($H$8:$H$41,MIN(INT((IF(INT(($A161-1)/70)+1&gt;CROQUIS_DATOS!$C$1525,70,MOD($A161-1,70)+1)-2)/2)+1,CROQUIS_DATOS!$C$1541))))*CROQUIS_DATOS!$C$1561*CROQUIS_DATOS!$C$1562),-1000)</f>
        <v>15.9612068965517</v>
      </c>
      <c r="P161">
        <f>IF(AND(CROQUIS_DATOS!$C$1472=1,CROQUIS_DATOS!$C$1555=1),(CROQUIS_DATOS!$C$1563+(IF(IF(OR(MOD($A161-1,62)+1=1,IF(CHOOSE(MIN(MAX(MIN(INT(($A161-1)/62)+1,5),1),5),CROQUIS_DATOS!$C$1501,CROQUIS_DATOS!$C$1505,CROQUIS_DATOS!$C$1509,CROQUIS_DATOS!$C$1513,CROQUIS_DATOS!$C$1517)=1,CROQUIS_DATOS!$C$1557,0)=0),0,IF(MOD($A161-1,62)+1&gt;2*IF(CHOOSE(MIN(MAX(MIN(INT(($A161-1)/62)+1,5),1),5),CROQUIS_DATOS!$C$1501,CROQUIS_DATOS!$C$1505,CROQUIS_DATOS!$C$1509,CROQUIS_DATOS!$C$1513,CROQUIS_DATOS!$C$1517)=1,CROQUIS_DATOS!$C$1557,0)+1,IF(MOD(IF(CHOOSE(MIN(MAX(MIN(INT(($A161-1)/62)+1,5),1),5),CROQUIS_DATOS!$C$1501,CROQUIS_DATOS!$C$1505,CROQUIS_DATOS!$C$1509,CROQUIS_DATOS!$C$1513,CROQUIS_DATOS!$C$1517)=1,CROQUIS_DATOS!$C$1557,0),2)=1,1,0),IF(MOD(MIN(INT((MOD($A161-1,62)+1-2)/2)+1,MAX(IF(CHOOSE(MIN(MAX(MIN(INT(($A161-1)/62)+1,5),1),5),CROQUIS_DATOS!$C$1501,CROQUIS_DATOS!$C$1505,CROQUIS_DATOS!$C$1509,CROQUIS_DATOS!$C$1513,CROQUIS_DATOS!$C$1517)=1,CROQUIS_DATOS!$C$1557,0),1)),2)=1,IF(MOD(MOD($A161-1,62)+1-2,2)=0,0,1),IF(MOD(MOD($A161-1,62)+1-2,2)=0,1,0))))=0,(CHOOSE(MIN(MAX(MIN(INT(($A161-1)/62)+1,5),1),5),CROQUIS_DATOS!$C$1499,CROQUIS_DATOS!$C$1503,CROQUIS_DATOS!$C$1507,CROQUIS_DATOS!$C$1511,CROQUIS_DATOS!$C$1515)+IF(CHOOSE(MIN(MAX(MIN(INT(($A161-1)/62)+1,5),1),5),CROQUIS_DATOS!$C$1501,CROQUIS_DATOS!$C$1505,CROQUIS_DATOS!$C$1509,CROQUIS_DATOS!$C$1513,CROQUIS_DATOS!$C$1517)=1,CROQUIS_DATOS!$C$1526,0)),(CHOOSE(MIN(MAX(MIN(INT(($A161-1)/62)+1,5),1),5),CROQUIS_DATOS!$C$1499,CROQUIS_DATOS!$C$1503,CROQUIS_DATOS!$C$1507,CROQUIS_DATOS!$C$1511,CROQUIS_DATOS!$C$1515)+CHOOSE(MIN(MAX(MIN(INT(($A161-1)/62)+1,5),1),5),CROQUIS_DATOS!$C$1500,CROQUIS_DATOS!$C$1504,CROQUIS_DATOS!$C$1508,CROQUIS_DATOS!$C$1512,CROQUIS_DATOS!$C$1516)-IF(CHOOSE(MIN(MAX(MIN(INT(($A161-1)/62)+1,5),1),5),CROQUIS_DATOS!$C$1501,CROQUIS_DATOS!$C$1505,CROQUIS_DATOS!$C$1509,CROQUIS_DATOS!$C$1513,CROQUIS_DATOS!$C$1517)=1,CROQUIS_DATOS!$C$1526,0))))*CROQUIS_DATOS!$C$1562),-1000)</f>
        <v>-1000</v>
      </c>
      <c r="Q161">
        <f>IF(AND(CROQUIS_DATOS!$C$1472=1,CROQUIS_DATOS!$C$1555=1),(CROQUIS_DATOS!$C$1564+(IF(OR(OR(MOD($A161-1,62)+1=1,IF(CHOOSE(MIN(MAX(MIN(INT(($A161-1)/62)+1,5),1),5),CROQUIS_DATOS!$C$1501,CROQUIS_DATOS!$C$1505,CROQUIS_DATOS!$C$1509,CROQUIS_DATOS!$C$1513,CROQUIS_DATOS!$C$1517)=1,CROQUIS_DATOS!$C$1557,0)=0),MOD($A161-1,62)+1&gt;2*IF(CHOOSE(MIN(MAX(MIN(INT(($A161-1)/62)+1,5),1),5),CROQUIS_DATOS!$C$1501,CROQUIS_DATOS!$C$1505,CROQUIS_DATOS!$C$1509,CROQUIS_DATOS!$C$1513,CROQUIS_DATOS!$C$1517)=1,CROQUIS_DATOS!$C$1557,0)+1),CROQUIS_DATOS!$C$1476,MIN(INT((MOD($A161-1,62)+1-2)/2)+1,MAX(IF(CHOOSE(MIN(MAX(MIN(INT(($A161-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1">
        <f>IF(AND(CROQUIS_DATOS!$C$1472=1,1),(CROQUIS_DATOS!$C$1563+(MIN(INT(($A161-1)/2)+1,CROQUIS_DATOS!$C$1558)*CROQUIS_DATOS!$C$1559)*CROQUIS_DATOS!$C$1562),-1000)</f>
        <v>82.2281167108753</v>
      </c>
      <c r="U161">
        <f>IF(AND(CROQUIS_DATOS!$C$1472=1,1),(CROQUIS_DATOS!$C$1564+(IF(INT(($A161-1)/2)+1&gt;CROQUIS_DATOS!$C$1558,IF(MOD(CROQUIS_DATOS!$C$1558,2)=1,CROQUIS_DATOS!$C$1476+CROQUIS_DATOS!$C$1528,CROQUIS_DATOS!$C$1476),IF(IF(MOD(MIN(INT(($A161-1)/2)+1,CROQUIS_DATOS!$C$1558),2)=1,MOD($A161-1,2),1-MOD($A161-1,2))=1,CROQUIS_DATOS!$C$1476+CROQUIS_DATOS!$C$1528,CROQUIS_DATOS!$C$1476)))*CROQUIS_DATOS!$C$1561*CROQUIS_DATOS!$C$1562),-1000)</f>
        <v>43</v>
      </c>
    </row>
    <row r="162">
      <c r="A162" t="n">
        <v>155</v>
      </c>
      <c r="N162">
        <f>IF(AND(CROQUIS_DATOS!$C$1472=1,1),(CROQUIS_DATOS!$C$1563+(IF(IF(IF(INT(($A162-1)/70)+1&gt;CROQUIS_DATOS!$C$1525,70,MOD($A162-1,70)+1)=1,0,IF(IF(INT(($A162-1)/70)+1&gt;CROQUIS_DATOS!$C$1525,70,MOD($A162-1,70)+1)&gt;2*CROQUIS_DATOS!$C$1541+1,IF(MOD(CROQUIS_DATOS!$C$1541,2)=1,1,0),IF(MOD(MIN(INT((IF(INT(($A162-1)/70)+1&gt;CROQUIS_DATOS!$C$1525,70,MOD($A162-1,70)+1)-2)/2)+1,CROQUIS_DATOS!$C$1541),2)=1,IF(MOD(IF(INT(($A162-1)/70)+1&gt;CROQUIS_DATOS!$C$1525,70,MOD($A162-1,70)+1)-2,2)=0,0,1),IF(MOD(IF(INT(($A162-1)/70)+1&gt;CROQUIS_DATOS!$C$1525,70,MOD($A162-1,70)+1)-2,2)=0,1,0))))=0,(INDEX($E$8:$E$23,MIN(INT(($A162-1)/70)+1,CROQUIS_DATOS!$C$1525))-INDEX($F$8:$F$23,MIN(INT(($A162-1)/70)+1,CROQUIS_DATOS!$C$1525))/2),(INDEX($E$8:$E$23,MIN(INT(($A162-1)/70)+1,CROQUIS_DATOS!$C$1525))+INDEX($F$8:$F$23,MIN(INT(($A162-1)/70)+1,CROQUIS_DATOS!$C$1525))/2)))*CROQUIS_DATOS!$C$1562),-1000)</f>
        <v>35.3362068965517</v>
      </c>
      <c r="O162">
        <f>IF(AND(CROQUIS_DATOS!$C$1472=1,1),(CROQUIS_DATOS!$C$1564+(IF(OR(IF(INT(($A162-1)/70)+1&gt;CROQUIS_DATOS!$C$1525,70,MOD($A162-1,70)+1)=1,IF(INT(($A162-1)/70)+1&gt;CROQUIS_DATOS!$C$1525,70,MOD($A162-1,70)+1)&gt;2*CROQUIS_DATOS!$C$1541+1),CROQUIS_DATOS!$C$1476,INDEX($H$8:$H$41,MIN(INT((IF(INT(($A162-1)/70)+1&gt;CROQUIS_DATOS!$C$1525,70,MOD($A162-1,70)+1)-2)/2)+1,CROQUIS_DATOS!$C$1541))))*CROQUIS_DATOS!$C$1561*CROQUIS_DATOS!$C$1562),-1000)</f>
        <v>15.9612068965517</v>
      </c>
      <c r="P162">
        <f>IF(AND(CROQUIS_DATOS!$C$1472=1,CROQUIS_DATOS!$C$1555=1),(CROQUIS_DATOS!$C$1563+(IF(IF(OR(MOD($A162-1,62)+1=1,IF(CHOOSE(MIN(MAX(MIN(INT(($A162-1)/62)+1,5),1),5),CROQUIS_DATOS!$C$1501,CROQUIS_DATOS!$C$1505,CROQUIS_DATOS!$C$1509,CROQUIS_DATOS!$C$1513,CROQUIS_DATOS!$C$1517)=1,CROQUIS_DATOS!$C$1557,0)=0),0,IF(MOD($A162-1,62)+1&gt;2*IF(CHOOSE(MIN(MAX(MIN(INT(($A162-1)/62)+1,5),1),5),CROQUIS_DATOS!$C$1501,CROQUIS_DATOS!$C$1505,CROQUIS_DATOS!$C$1509,CROQUIS_DATOS!$C$1513,CROQUIS_DATOS!$C$1517)=1,CROQUIS_DATOS!$C$1557,0)+1,IF(MOD(IF(CHOOSE(MIN(MAX(MIN(INT(($A162-1)/62)+1,5),1),5),CROQUIS_DATOS!$C$1501,CROQUIS_DATOS!$C$1505,CROQUIS_DATOS!$C$1509,CROQUIS_DATOS!$C$1513,CROQUIS_DATOS!$C$1517)=1,CROQUIS_DATOS!$C$1557,0),2)=1,1,0),IF(MOD(MIN(INT((MOD($A162-1,62)+1-2)/2)+1,MAX(IF(CHOOSE(MIN(MAX(MIN(INT(($A162-1)/62)+1,5),1),5),CROQUIS_DATOS!$C$1501,CROQUIS_DATOS!$C$1505,CROQUIS_DATOS!$C$1509,CROQUIS_DATOS!$C$1513,CROQUIS_DATOS!$C$1517)=1,CROQUIS_DATOS!$C$1557,0),1)),2)=1,IF(MOD(MOD($A162-1,62)+1-2,2)=0,0,1),IF(MOD(MOD($A162-1,62)+1-2,2)=0,1,0))))=0,(CHOOSE(MIN(MAX(MIN(INT(($A162-1)/62)+1,5),1),5),CROQUIS_DATOS!$C$1499,CROQUIS_DATOS!$C$1503,CROQUIS_DATOS!$C$1507,CROQUIS_DATOS!$C$1511,CROQUIS_DATOS!$C$1515)+IF(CHOOSE(MIN(MAX(MIN(INT(($A162-1)/62)+1,5),1),5),CROQUIS_DATOS!$C$1501,CROQUIS_DATOS!$C$1505,CROQUIS_DATOS!$C$1509,CROQUIS_DATOS!$C$1513,CROQUIS_DATOS!$C$1517)=1,CROQUIS_DATOS!$C$1526,0)),(CHOOSE(MIN(MAX(MIN(INT(($A162-1)/62)+1,5),1),5),CROQUIS_DATOS!$C$1499,CROQUIS_DATOS!$C$1503,CROQUIS_DATOS!$C$1507,CROQUIS_DATOS!$C$1511,CROQUIS_DATOS!$C$1515)+CHOOSE(MIN(MAX(MIN(INT(($A162-1)/62)+1,5),1),5),CROQUIS_DATOS!$C$1500,CROQUIS_DATOS!$C$1504,CROQUIS_DATOS!$C$1508,CROQUIS_DATOS!$C$1512,CROQUIS_DATOS!$C$1516)-IF(CHOOSE(MIN(MAX(MIN(INT(($A162-1)/62)+1,5),1),5),CROQUIS_DATOS!$C$1501,CROQUIS_DATOS!$C$1505,CROQUIS_DATOS!$C$1509,CROQUIS_DATOS!$C$1513,CROQUIS_DATOS!$C$1517)=1,CROQUIS_DATOS!$C$1526,0))))*CROQUIS_DATOS!$C$1562),-1000)</f>
        <v>-1000</v>
      </c>
      <c r="Q162">
        <f>IF(AND(CROQUIS_DATOS!$C$1472=1,CROQUIS_DATOS!$C$1555=1),(CROQUIS_DATOS!$C$1564+(IF(OR(OR(MOD($A162-1,62)+1=1,IF(CHOOSE(MIN(MAX(MIN(INT(($A162-1)/62)+1,5),1),5),CROQUIS_DATOS!$C$1501,CROQUIS_DATOS!$C$1505,CROQUIS_DATOS!$C$1509,CROQUIS_DATOS!$C$1513,CROQUIS_DATOS!$C$1517)=1,CROQUIS_DATOS!$C$1557,0)=0),MOD($A162-1,62)+1&gt;2*IF(CHOOSE(MIN(MAX(MIN(INT(($A162-1)/62)+1,5),1),5),CROQUIS_DATOS!$C$1501,CROQUIS_DATOS!$C$1505,CROQUIS_DATOS!$C$1509,CROQUIS_DATOS!$C$1513,CROQUIS_DATOS!$C$1517)=1,CROQUIS_DATOS!$C$1557,0)+1),CROQUIS_DATOS!$C$1476,MIN(INT((MOD($A162-1,62)+1-2)/2)+1,MAX(IF(CHOOSE(MIN(MAX(MIN(INT(($A162-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2">
        <f>IF(AND(CROQUIS_DATOS!$C$1472=1,1),(CROQUIS_DATOS!$C$1563+(MIN(INT(($A162-1)/2)+1,CROQUIS_DATOS!$C$1558)*CROQUIS_DATOS!$C$1559)*CROQUIS_DATOS!$C$1562),-1000)</f>
        <v>82.2281167108753</v>
      </c>
      <c r="U162">
        <f>IF(AND(CROQUIS_DATOS!$C$1472=1,1),(CROQUIS_DATOS!$C$1564+(IF(INT(($A162-1)/2)+1&gt;CROQUIS_DATOS!$C$1558,IF(MOD(CROQUIS_DATOS!$C$1558,2)=1,CROQUIS_DATOS!$C$1476+CROQUIS_DATOS!$C$1528,CROQUIS_DATOS!$C$1476),IF(IF(MOD(MIN(INT(($A162-1)/2)+1,CROQUIS_DATOS!$C$1558),2)=1,MOD($A162-1,2),1-MOD($A162-1,2))=1,CROQUIS_DATOS!$C$1476+CROQUIS_DATOS!$C$1528,CROQUIS_DATOS!$C$1476)))*CROQUIS_DATOS!$C$1561*CROQUIS_DATOS!$C$1562),-1000)</f>
        <v>43</v>
      </c>
    </row>
    <row r="163">
      <c r="A163" t="n">
        <v>156</v>
      </c>
      <c r="N163">
        <f>IF(AND(CROQUIS_DATOS!$C$1472=1,1),(CROQUIS_DATOS!$C$1563+(IF(IF(IF(INT(($A163-1)/70)+1&gt;CROQUIS_DATOS!$C$1525,70,MOD($A163-1,70)+1)=1,0,IF(IF(INT(($A163-1)/70)+1&gt;CROQUIS_DATOS!$C$1525,70,MOD($A163-1,70)+1)&gt;2*CROQUIS_DATOS!$C$1541+1,IF(MOD(CROQUIS_DATOS!$C$1541,2)=1,1,0),IF(MOD(MIN(INT((IF(INT(($A163-1)/70)+1&gt;CROQUIS_DATOS!$C$1525,70,MOD($A163-1,70)+1)-2)/2)+1,CROQUIS_DATOS!$C$1541),2)=1,IF(MOD(IF(INT(($A163-1)/70)+1&gt;CROQUIS_DATOS!$C$1525,70,MOD($A163-1,70)+1)-2,2)=0,0,1),IF(MOD(IF(INT(($A163-1)/70)+1&gt;CROQUIS_DATOS!$C$1525,70,MOD($A163-1,70)+1)-2,2)=0,1,0))))=0,(INDEX($E$8:$E$23,MIN(INT(($A163-1)/70)+1,CROQUIS_DATOS!$C$1525))-INDEX($F$8:$F$23,MIN(INT(($A163-1)/70)+1,CROQUIS_DATOS!$C$1525))/2),(INDEX($E$8:$E$23,MIN(INT(($A163-1)/70)+1,CROQUIS_DATOS!$C$1525))+INDEX($F$8:$F$23,MIN(INT(($A163-1)/70)+1,CROQUIS_DATOS!$C$1525))/2)))*CROQUIS_DATOS!$C$1562),-1000)</f>
        <v>35.3362068965517</v>
      </c>
      <c r="O163">
        <f>IF(AND(CROQUIS_DATOS!$C$1472=1,1),(CROQUIS_DATOS!$C$1564+(IF(OR(IF(INT(($A163-1)/70)+1&gt;CROQUIS_DATOS!$C$1525,70,MOD($A163-1,70)+1)=1,IF(INT(($A163-1)/70)+1&gt;CROQUIS_DATOS!$C$1525,70,MOD($A163-1,70)+1)&gt;2*CROQUIS_DATOS!$C$1541+1),CROQUIS_DATOS!$C$1476,INDEX($H$8:$H$41,MIN(INT((IF(INT(($A163-1)/70)+1&gt;CROQUIS_DATOS!$C$1525,70,MOD($A163-1,70)+1)-2)/2)+1,CROQUIS_DATOS!$C$1541))))*CROQUIS_DATOS!$C$1561*CROQUIS_DATOS!$C$1562),-1000)</f>
        <v>18.676724137931</v>
      </c>
      <c r="P163">
        <f>IF(AND(CROQUIS_DATOS!$C$1472=1,CROQUIS_DATOS!$C$1555=1),(CROQUIS_DATOS!$C$1563+(IF(IF(OR(MOD($A163-1,62)+1=1,IF(CHOOSE(MIN(MAX(MIN(INT(($A163-1)/62)+1,5),1),5),CROQUIS_DATOS!$C$1501,CROQUIS_DATOS!$C$1505,CROQUIS_DATOS!$C$1509,CROQUIS_DATOS!$C$1513,CROQUIS_DATOS!$C$1517)=1,CROQUIS_DATOS!$C$1557,0)=0),0,IF(MOD($A163-1,62)+1&gt;2*IF(CHOOSE(MIN(MAX(MIN(INT(($A163-1)/62)+1,5),1),5),CROQUIS_DATOS!$C$1501,CROQUIS_DATOS!$C$1505,CROQUIS_DATOS!$C$1509,CROQUIS_DATOS!$C$1513,CROQUIS_DATOS!$C$1517)=1,CROQUIS_DATOS!$C$1557,0)+1,IF(MOD(IF(CHOOSE(MIN(MAX(MIN(INT(($A163-1)/62)+1,5),1),5),CROQUIS_DATOS!$C$1501,CROQUIS_DATOS!$C$1505,CROQUIS_DATOS!$C$1509,CROQUIS_DATOS!$C$1513,CROQUIS_DATOS!$C$1517)=1,CROQUIS_DATOS!$C$1557,0),2)=1,1,0),IF(MOD(MIN(INT((MOD($A163-1,62)+1-2)/2)+1,MAX(IF(CHOOSE(MIN(MAX(MIN(INT(($A163-1)/62)+1,5),1),5),CROQUIS_DATOS!$C$1501,CROQUIS_DATOS!$C$1505,CROQUIS_DATOS!$C$1509,CROQUIS_DATOS!$C$1513,CROQUIS_DATOS!$C$1517)=1,CROQUIS_DATOS!$C$1557,0),1)),2)=1,IF(MOD(MOD($A163-1,62)+1-2,2)=0,0,1),IF(MOD(MOD($A163-1,62)+1-2,2)=0,1,0))))=0,(CHOOSE(MIN(MAX(MIN(INT(($A163-1)/62)+1,5),1),5),CROQUIS_DATOS!$C$1499,CROQUIS_DATOS!$C$1503,CROQUIS_DATOS!$C$1507,CROQUIS_DATOS!$C$1511,CROQUIS_DATOS!$C$1515)+IF(CHOOSE(MIN(MAX(MIN(INT(($A163-1)/62)+1,5),1),5),CROQUIS_DATOS!$C$1501,CROQUIS_DATOS!$C$1505,CROQUIS_DATOS!$C$1509,CROQUIS_DATOS!$C$1513,CROQUIS_DATOS!$C$1517)=1,CROQUIS_DATOS!$C$1526,0)),(CHOOSE(MIN(MAX(MIN(INT(($A163-1)/62)+1,5),1),5),CROQUIS_DATOS!$C$1499,CROQUIS_DATOS!$C$1503,CROQUIS_DATOS!$C$1507,CROQUIS_DATOS!$C$1511,CROQUIS_DATOS!$C$1515)+CHOOSE(MIN(MAX(MIN(INT(($A163-1)/62)+1,5),1),5),CROQUIS_DATOS!$C$1500,CROQUIS_DATOS!$C$1504,CROQUIS_DATOS!$C$1508,CROQUIS_DATOS!$C$1512,CROQUIS_DATOS!$C$1516)-IF(CHOOSE(MIN(MAX(MIN(INT(($A163-1)/62)+1,5),1),5),CROQUIS_DATOS!$C$1501,CROQUIS_DATOS!$C$1505,CROQUIS_DATOS!$C$1509,CROQUIS_DATOS!$C$1513,CROQUIS_DATOS!$C$1517)=1,CROQUIS_DATOS!$C$1526,0))))*CROQUIS_DATOS!$C$1562),-1000)</f>
        <v>-1000</v>
      </c>
      <c r="Q163">
        <f>IF(AND(CROQUIS_DATOS!$C$1472=1,CROQUIS_DATOS!$C$1555=1),(CROQUIS_DATOS!$C$1564+(IF(OR(OR(MOD($A163-1,62)+1=1,IF(CHOOSE(MIN(MAX(MIN(INT(($A163-1)/62)+1,5),1),5),CROQUIS_DATOS!$C$1501,CROQUIS_DATOS!$C$1505,CROQUIS_DATOS!$C$1509,CROQUIS_DATOS!$C$1513,CROQUIS_DATOS!$C$1517)=1,CROQUIS_DATOS!$C$1557,0)=0),MOD($A163-1,62)+1&gt;2*IF(CHOOSE(MIN(MAX(MIN(INT(($A163-1)/62)+1,5),1),5),CROQUIS_DATOS!$C$1501,CROQUIS_DATOS!$C$1505,CROQUIS_DATOS!$C$1509,CROQUIS_DATOS!$C$1513,CROQUIS_DATOS!$C$1517)=1,CROQUIS_DATOS!$C$1557,0)+1),CROQUIS_DATOS!$C$1476,MIN(INT((MOD($A163-1,62)+1-2)/2)+1,MAX(IF(CHOOSE(MIN(MAX(MIN(INT(($A163-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3">
        <f>IF(AND(CROQUIS_DATOS!$C$1472=1,1),(CROQUIS_DATOS!$C$1563+(MIN(INT(($A163-1)/2)+1,CROQUIS_DATOS!$C$1558)*CROQUIS_DATOS!$C$1559)*CROQUIS_DATOS!$C$1562),-1000)</f>
        <v>82.2281167108753</v>
      </c>
      <c r="U163">
        <f>IF(AND(CROQUIS_DATOS!$C$1472=1,1),(CROQUIS_DATOS!$C$1564+(IF(INT(($A163-1)/2)+1&gt;CROQUIS_DATOS!$C$1558,IF(MOD(CROQUIS_DATOS!$C$1558,2)=1,CROQUIS_DATOS!$C$1476+CROQUIS_DATOS!$C$1528,CROQUIS_DATOS!$C$1476),IF(IF(MOD(MIN(INT(($A163-1)/2)+1,CROQUIS_DATOS!$C$1558),2)=1,MOD($A163-1,2),1-MOD($A163-1,2))=1,CROQUIS_DATOS!$C$1476+CROQUIS_DATOS!$C$1528,CROQUIS_DATOS!$C$1476)))*CROQUIS_DATOS!$C$1561*CROQUIS_DATOS!$C$1562),-1000)</f>
        <v>43</v>
      </c>
    </row>
    <row r="164">
      <c r="A164" t="n">
        <v>157</v>
      </c>
      <c r="N164">
        <f>IF(AND(CROQUIS_DATOS!$C$1472=1,1),(CROQUIS_DATOS!$C$1563+(IF(IF(IF(INT(($A164-1)/70)+1&gt;CROQUIS_DATOS!$C$1525,70,MOD($A164-1,70)+1)=1,0,IF(IF(INT(($A164-1)/70)+1&gt;CROQUIS_DATOS!$C$1525,70,MOD($A164-1,70)+1)&gt;2*CROQUIS_DATOS!$C$1541+1,IF(MOD(CROQUIS_DATOS!$C$1541,2)=1,1,0),IF(MOD(MIN(INT((IF(INT(($A164-1)/70)+1&gt;CROQUIS_DATOS!$C$1525,70,MOD($A164-1,70)+1)-2)/2)+1,CROQUIS_DATOS!$C$1541),2)=1,IF(MOD(IF(INT(($A164-1)/70)+1&gt;CROQUIS_DATOS!$C$1525,70,MOD($A164-1,70)+1)-2,2)=0,0,1),IF(MOD(IF(INT(($A164-1)/70)+1&gt;CROQUIS_DATOS!$C$1525,70,MOD($A164-1,70)+1)-2,2)=0,1,0))))=0,(INDEX($E$8:$E$23,MIN(INT(($A164-1)/70)+1,CROQUIS_DATOS!$C$1525))-INDEX($F$8:$F$23,MIN(INT(($A164-1)/70)+1,CROQUIS_DATOS!$C$1525))/2),(INDEX($E$8:$E$23,MIN(INT(($A164-1)/70)+1,CROQUIS_DATOS!$C$1525))+INDEX($F$8:$F$23,MIN(INT(($A164-1)/70)+1,CROQUIS_DATOS!$C$1525))/2)))*CROQUIS_DATOS!$C$1562),-1000)</f>
        <v>33.2413793103448</v>
      </c>
      <c r="O164">
        <f>IF(AND(CROQUIS_DATOS!$C$1472=1,1),(CROQUIS_DATOS!$C$1564+(IF(OR(IF(INT(($A164-1)/70)+1&gt;CROQUIS_DATOS!$C$1525,70,MOD($A164-1,70)+1)=1,IF(INT(($A164-1)/70)+1&gt;CROQUIS_DATOS!$C$1525,70,MOD($A164-1,70)+1)&gt;2*CROQUIS_DATOS!$C$1541+1),CROQUIS_DATOS!$C$1476,INDEX($H$8:$H$41,MIN(INT((IF(INT(($A164-1)/70)+1&gt;CROQUIS_DATOS!$C$1525,70,MOD($A164-1,70)+1)-2)/2)+1,CROQUIS_DATOS!$C$1541))))*CROQUIS_DATOS!$C$1561*CROQUIS_DATOS!$C$1562),-1000)</f>
        <v>18.676724137931</v>
      </c>
      <c r="P164">
        <f>IF(AND(CROQUIS_DATOS!$C$1472=1,CROQUIS_DATOS!$C$1555=1),(CROQUIS_DATOS!$C$1563+(IF(IF(OR(MOD($A164-1,62)+1=1,IF(CHOOSE(MIN(MAX(MIN(INT(($A164-1)/62)+1,5),1),5),CROQUIS_DATOS!$C$1501,CROQUIS_DATOS!$C$1505,CROQUIS_DATOS!$C$1509,CROQUIS_DATOS!$C$1513,CROQUIS_DATOS!$C$1517)=1,CROQUIS_DATOS!$C$1557,0)=0),0,IF(MOD($A164-1,62)+1&gt;2*IF(CHOOSE(MIN(MAX(MIN(INT(($A164-1)/62)+1,5),1),5),CROQUIS_DATOS!$C$1501,CROQUIS_DATOS!$C$1505,CROQUIS_DATOS!$C$1509,CROQUIS_DATOS!$C$1513,CROQUIS_DATOS!$C$1517)=1,CROQUIS_DATOS!$C$1557,0)+1,IF(MOD(IF(CHOOSE(MIN(MAX(MIN(INT(($A164-1)/62)+1,5),1),5),CROQUIS_DATOS!$C$1501,CROQUIS_DATOS!$C$1505,CROQUIS_DATOS!$C$1509,CROQUIS_DATOS!$C$1513,CROQUIS_DATOS!$C$1517)=1,CROQUIS_DATOS!$C$1557,0),2)=1,1,0),IF(MOD(MIN(INT((MOD($A164-1,62)+1-2)/2)+1,MAX(IF(CHOOSE(MIN(MAX(MIN(INT(($A164-1)/62)+1,5),1),5),CROQUIS_DATOS!$C$1501,CROQUIS_DATOS!$C$1505,CROQUIS_DATOS!$C$1509,CROQUIS_DATOS!$C$1513,CROQUIS_DATOS!$C$1517)=1,CROQUIS_DATOS!$C$1557,0),1)),2)=1,IF(MOD(MOD($A164-1,62)+1-2,2)=0,0,1),IF(MOD(MOD($A164-1,62)+1-2,2)=0,1,0))))=0,(CHOOSE(MIN(MAX(MIN(INT(($A164-1)/62)+1,5),1),5),CROQUIS_DATOS!$C$1499,CROQUIS_DATOS!$C$1503,CROQUIS_DATOS!$C$1507,CROQUIS_DATOS!$C$1511,CROQUIS_DATOS!$C$1515)+IF(CHOOSE(MIN(MAX(MIN(INT(($A164-1)/62)+1,5),1),5),CROQUIS_DATOS!$C$1501,CROQUIS_DATOS!$C$1505,CROQUIS_DATOS!$C$1509,CROQUIS_DATOS!$C$1513,CROQUIS_DATOS!$C$1517)=1,CROQUIS_DATOS!$C$1526,0)),(CHOOSE(MIN(MAX(MIN(INT(($A164-1)/62)+1,5),1),5),CROQUIS_DATOS!$C$1499,CROQUIS_DATOS!$C$1503,CROQUIS_DATOS!$C$1507,CROQUIS_DATOS!$C$1511,CROQUIS_DATOS!$C$1515)+CHOOSE(MIN(MAX(MIN(INT(($A164-1)/62)+1,5),1),5),CROQUIS_DATOS!$C$1500,CROQUIS_DATOS!$C$1504,CROQUIS_DATOS!$C$1508,CROQUIS_DATOS!$C$1512,CROQUIS_DATOS!$C$1516)-IF(CHOOSE(MIN(MAX(MIN(INT(($A164-1)/62)+1,5),1),5),CROQUIS_DATOS!$C$1501,CROQUIS_DATOS!$C$1505,CROQUIS_DATOS!$C$1509,CROQUIS_DATOS!$C$1513,CROQUIS_DATOS!$C$1517)=1,CROQUIS_DATOS!$C$1526,0))))*CROQUIS_DATOS!$C$1562),-1000)</f>
        <v>-1000</v>
      </c>
      <c r="Q164">
        <f>IF(AND(CROQUIS_DATOS!$C$1472=1,CROQUIS_DATOS!$C$1555=1),(CROQUIS_DATOS!$C$1564+(IF(OR(OR(MOD($A164-1,62)+1=1,IF(CHOOSE(MIN(MAX(MIN(INT(($A164-1)/62)+1,5),1),5),CROQUIS_DATOS!$C$1501,CROQUIS_DATOS!$C$1505,CROQUIS_DATOS!$C$1509,CROQUIS_DATOS!$C$1513,CROQUIS_DATOS!$C$1517)=1,CROQUIS_DATOS!$C$1557,0)=0),MOD($A164-1,62)+1&gt;2*IF(CHOOSE(MIN(MAX(MIN(INT(($A164-1)/62)+1,5),1),5),CROQUIS_DATOS!$C$1501,CROQUIS_DATOS!$C$1505,CROQUIS_DATOS!$C$1509,CROQUIS_DATOS!$C$1513,CROQUIS_DATOS!$C$1517)=1,CROQUIS_DATOS!$C$1557,0)+1),CROQUIS_DATOS!$C$1476,MIN(INT((MOD($A164-1,62)+1-2)/2)+1,MAX(IF(CHOOSE(MIN(MAX(MIN(INT(($A164-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4">
        <f>IF(AND(CROQUIS_DATOS!$C$1472=1,1),(CROQUIS_DATOS!$C$1563+(MIN(INT(($A164-1)/2)+1,CROQUIS_DATOS!$C$1558)*CROQUIS_DATOS!$C$1559)*CROQUIS_DATOS!$C$1562),-1000)</f>
        <v>82.2281167108753</v>
      </c>
      <c r="U164">
        <f>IF(AND(CROQUIS_DATOS!$C$1472=1,1),(CROQUIS_DATOS!$C$1564+(IF(INT(($A164-1)/2)+1&gt;CROQUIS_DATOS!$C$1558,IF(MOD(CROQUIS_DATOS!$C$1558,2)=1,CROQUIS_DATOS!$C$1476+CROQUIS_DATOS!$C$1528,CROQUIS_DATOS!$C$1476),IF(IF(MOD(MIN(INT(($A164-1)/2)+1,CROQUIS_DATOS!$C$1558),2)=1,MOD($A164-1,2),1-MOD($A164-1,2))=1,CROQUIS_DATOS!$C$1476+CROQUIS_DATOS!$C$1528,CROQUIS_DATOS!$C$1476)))*CROQUIS_DATOS!$C$1561*CROQUIS_DATOS!$C$1562),-1000)</f>
        <v>43</v>
      </c>
    </row>
    <row r="165">
      <c r="A165" t="n">
        <v>158</v>
      </c>
      <c r="N165">
        <f>IF(AND(CROQUIS_DATOS!$C$1472=1,1),(CROQUIS_DATOS!$C$1563+(IF(IF(IF(INT(($A165-1)/70)+1&gt;CROQUIS_DATOS!$C$1525,70,MOD($A165-1,70)+1)=1,0,IF(IF(INT(($A165-1)/70)+1&gt;CROQUIS_DATOS!$C$1525,70,MOD($A165-1,70)+1)&gt;2*CROQUIS_DATOS!$C$1541+1,IF(MOD(CROQUIS_DATOS!$C$1541,2)=1,1,0),IF(MOD(MIN(INT((IF(INT(($A165-1)/70)+1&gt;CROQUIS_DATOS!$C$1525,70,MOD($A165-1,70)+1)-2)/2)+1,CROQUIS_DATOS!$C$1541),2)=1,IF(MOD(IF(INT(($A165-1)/70)+1&gt;CROQUIS_DATOS!$C$1525,70,MOD($A165-1,70)+1)-2,2)=0,0,1),IF(MOD(IF(INT(($A165-1)/70)+1&gt;CROQUIS_DATOS!$C$1525,70,MOD($A165-1,70)+1)-2,2)=0,1,0))))=0,(INDEX($E$8:$E$23,MIN(INT(($A165-1)/70)+1,CROQUIS_DATOS!$C$1525))-INDEX($F$8:$F$23,MIN(INT(($A165-1)/70)+1,CROQUIS_DATOS!$C$1525))/2),(INDEX($E$8:$E$23,MIN(INT(($A165-1)/70)+1,CROQUIS_DATOS!$C$1525))+INDEX($F$8:$F$23,MIN(INT(($A165-1)/70)+1,CROQUIS_DATOS!$C$1525))/2)))*CROQUIS_DATOS!$C$1562),-1000)</f>
        <v>33.2413793103448</v>
      </c>
      <c r="O165">
        <f>IF(AND(CROQUIS_DATOS!$C$1472=1,1),(CROQUIS_DATOS!$C$1564+(IF(OR(IF(INT(($A165-1)/70)+1&gt;CROQUIS_DATOS!$C$1525,70,MOD($A165-1,70)+1)=1,IF(INT(($A165-1)/70)+1&gt;CROQUIS_DATOS!$C$1525,70,MOD($A165-1,70)+1)&gt;2*CROQUIS_DATOS!$C$1541+1),CROQUIS_DATOS!$C$1476,INDEX($H$8:$H$41,MIN(INT((IF(INT(($A165-1)/70)+1&gt;CROQUIS_DATOS!$C$1525,70,MOD($A165-1,70)+1)-2)/2)+1,CROQUIS_DATOS!$C$1541))))*CROQUIS_DATOS!$C$1561*CROQUIS_DATOS!$C$1562),-1000)</f>
        <v>21.3922413793103</v>
      </c>
      <c r="P165">
        <f>IF(AND(CROQUIS_DATOS!$C$1472=1,CROQUIS_DATOS!$C$1555=1),(CROQUIS_DATOS!$C$1563+(IF(IF(OR(MOD($A165-1,62)+1=1,IF(CHOOSE(MIN(MAX(MIN(INT(($A165-1)/62)+1,5),1),5),CROQUIS_DATOS!$C$1501,CROQUIS_DATOS!$C$1505,CROQUIS_DATOS!$C$1509,CROQUIS_DATOS!$C$1513,CROQUIS_DATOS!$C$1517)=1,CROQUIS_DATOS!$C$1557,0)=0),0,IF(MOD($A165-1,62)+1&gt;2*IF(CHOOSE(MIN(MAX(MIN(INT(($A165-1)/62)+1,5),1),5),CROQUIS_DATOS!$C$1501,CROQUIS_DATOS!$C$1505,CROQUIS_DATOS!$C$1509,CROQUIS_DATOS!$C$1513,CROQUIS_DATOS!$C$1517)=1,CROQUIS_DATOS!$C$1557,0)+1,IF(MOD(IF(CHOOSE(MIN(MAX(MIN(INT(($A165-1)/62)+1,5),1),5),CROQUIS_DATOS!$C$1501,CROQUIS_DATOS!$C$1505,CROQUIS_DATOS!$C$1509,CROQUIS_DATOS!$C$1513,CROQUIS_DATOS!$C$1517)=1,CROQUIS_DATOS!$C$1557,0),2)=1,1,0),IF(MOD(MIN(INT((MOD($A165-1,62)+1-2)/2)+1,MAX(IF(CHOOSE(MIN(MAX(MIN(INT(($A165-1)/62)+1,5),1),5),CROQUIS_DATOS!$C$1501,CROQUIS_DATOS!$C$1505,CROQUIS_DATOS!$C$1509,CROQUIS_DATOS!$C$1513,CROQUIS_DATOS!$C$1517)=1,CROQUIS_DATOS!$C$1557,0),1)),2)=1,IF(MOD(MOD($A165-1,62)+1-2,2)=0,0,1),IF(MOD(MOD($A165-1,62)+1-2,2)=0,1,0))))=0,(CHOOSE(MIN(MAX(MIN(INT(($A165-1)/62)+1,5),1),5),CROQUIS_DATOS!$C$1499,CROQUIS_DATOS!$C$1503,CROQUIS_DATOS!$C$1507,CROQUIS_DATOS!$C$1511,CROQUIS_DATOS!$C$1515)+IF(CHOOSE(MIN(MAX(MIN(INT(($A165-1)/62)+1,5),1),5),CROQUIS_DATOS!$C$1501,CROQUIS_DATOS!$C$1505,CROQUIS_DATOS!$C$1509,CROQUIS_DATOS!$C$1513,CROQUIS_DATOS!$C$1517)=1,CROQUIS_DATOS!$C$1526,0)),(CHOOSE(MIN(MAX(MIN(INT(($A165-1)/62)+1,5),1),5),CROQUIS_DATOS!$C$1499,CROQUIS_DATOS!$C$1503,CROQUIS_DATOS!$C$1507,CROQUIS_DATOS!$C$1511,CROQUIS_DATOS!$C$1515)+CHOOSE(MIN(MAX(MIN(INT(($A165-1)/62)+1,5),1),5),CROQUIS_DATOS!$C$1500,CROQUIS_DATOS!$C$1504,CROQUIS_DATOS!$C$1508,CROQUIS_DATOS!$C$1512,CROQUIS_DATOS!$C$1516)-IF(CHOOSE(MIN(MAX(MIN(INT(($A165-1)/62)+1,5),1),5),CROQUIS_DATOS!$C$1501,CROQUIS_DATOS!$C$1505,CROQUIS_DATOS!$C$1509,CROQUIS_DATOS!$C$1513,CROQUIS_DATOS!$C$1517)=1,CROQUIS_DATOS!$C$1526,0))))*CROQUIS_DATOS!$C$1562),-1000)</f>
        <v>-1000</v>
      </c>
      <c r="Q165">
        <f>IF(AND(CROQUIS_DATOS!$C$1472=1,CROQUIS_DATOS!$C$1555=1),(CROQUIS_DATOS!$C$1564+(IF(OR(OR(MOD($A165-1,62)+1=1,IF(CHOOSE(MIN(MAX(MIN(INT(($A165-1)/62)+1,5),1),5),CROQUIS_DATOS!$C$1501,CROQUIS_DATOS!$C$1505,CROQUIS_DATOS!$C$1509,CROQUIS_DATOS!$C$1513,CROQUIS_DATOS!$C$1517)=1,CROQUIS_DATOS!$C$1557,0)=0),MOD($A165-1,62)+1&gt;2*IF(CHOOSE(MIN(MAX(MIN(INT(($A165-1)/62)+1,5),1),5),CROQUIS_DATOS!$C$1501,CROQUIS_DATOS!$C$1505,CROQUIS_DATOS!$C$1509,CROQUIS_DATOS!$C$1513,CROQUIS_DATOS!$C$1517)=1,CROQUIS_DATOS!$C$1557,0)+1),CROQUIS_DATOS!$C$1476,MIN(INT((MOD($A165-1,62)+1-2)/2)+1,MAX(IF(CHOOSE(MIN(MAX(MIN(INT(($A165-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5">
        <f>IF(AND(CROQUIS_DATOS!$C$1472=1,1),(CROQUIS_DATOS!$C$1563+(MIN(INT(($A165-1)/2)+1,CROQUIS_DATOS!$C$1558)*CROQUIS_DATOS!$C$1559)*CROQUIS_DATOS!$C$1562),-1000)</f>
        <v>82.2281167108753</v>
      </c>
      <c r="U165">
        <f>IF(AND(CROQUIS_DATOS!$C$1472=1,1),(CROQUIS_DATOS!$C$1564+(IF(INT(($A165-1)/2)+1&gt;CROQUIS_DATOS!$C$1558,IF(MOD(CROQUIS_DATOS!$C$1558,2)=1,CROQUIS_DATOS!$C$1476+CROQUIS_DATOS!$C$1528,CROQUIS_DATOS!$C$1476),IF(IF(MOD(MIN(INT(($A165-1)/2)+1,CROQUIS_DATOS!$C$1558),2)=1,MOD($A165-1,2),1-MOD($A165-1,2))=1,CROQUIS_DATOS!$C$1476+CROQUIS_DATOS!$C$1528,CROQUIS_DATOS!$C$1476)))*CROQUIS_DATOS!$C$1561*CROQUIS_DATOS!$C$1562),-1000)</f>
        <v>43</v>
      </c>
    </row>
    <row r="166">
      <c r="A166" t="n">
        <v>159</v>
      </c>
      <c r="N166">
        <f>IF(AND(CROQUIS_DATOS!$C$1472=1,1),(CROQUIS_DATOS!$C$1563+(IF(IF(IF(INT(($A166-1)/70)+1&gt;CROQUIS_DATOS!$C$1525,70,MOD($A166-1,70)+1)=1,0,IF(IF(INT(($A166-1)/70)+1&gt;CROQUIS_DATOS!$C$1525,70,MOD($A166-1,70)+1)&gt;2*CROQUIS_DATOS!$C$1541+1,IF(MOD(CROQUIS_DATOS!$C$1541,2)=1,1,0),IF(MOD(MIN(INT((IF(INT(($A166-1)/70)+1&gt;CROQUIS_DATOS!$C$1525,70,MOD($A166-1,70)+1)-2)/2)+1,CROQUIS_DATOS!$C$1541),2)=1,IF(MOD(IF(INT(($A166-1)/70)+1&gt;CROQUIS_DATOS!$C$1525,70,MOD($A166-1,70)+1)-2,2)=0,0,1),IF(MOD(IF(INT(($A166-1)/70)+1&gt;CROQUIS_DATOS!$C$1525,70,MOD($A166-1,70)+1)-2,2)=0,1,0))))=0,(INDEX($E$8:$E$23,MIN(INT(($A166-1)/70)+1,CROQUIS_DATOS!$C$1525))-INDEX($F$8:$F$23,MIN(INT(($A166-1)/70)+1,CROQUIS_DATOS!$C$1525))/2),(INDEX($E$8:$E$23,MIN(INT(($A166-1)/70)+1,CROQUIS_DATOS!$C$1525))+INDEX($F$8:$F$23,MIN(INT(($A166-1)/70)+1,CROQUIS_DATOS!$C$1525))/2)))*CROQUIS_DATOS!$C$1562),-1000)</f>
        <v>35.3362068965517</v>
      </c>
      <c r="O166">
        <f>IF(AND(CROQUIS_DATOS!$C$1472=1,1),(CROQUIS_DATOS!$C$1564+(IF(OR(IF(INT(($A166-1)/70)+1&gt;CROQUIS_DATOS!$C$1525,70,MOD($A166-1,70)+1)=1,IF(INT(($A166-1)/70)+1&gt;CROQUIS_DATOS!$C$1525,70,MOD($A166-1,70)+1)&gt;2*CROQUIS_DATOS!$C$1541+1),CROQUIS_DATOS!$C$1476,INDEX($H$8:$H$41,MIN(INT((IF(INT(($A166-1)/70)+1&gt;CROQUIS_DATOS!$C$1525,70,MOD($A166-1,70)+1)-2)/2)+1,CROQUIS_DATOS!$C$1541))))*CROQUIS_DATOS!$C$1561*CROQUIS_DATOS!$C$1562),-1000)</f>
        <v>21.3922413793103</v>
      </c>
      <c r="P166">
        <f>IF(AND(CROQUIS_DATOS!$C$1472=1,CROQUIS_DATOS!$C$1555=1),(CROQUIS_DATOS!$C$1563+(IF(IF(OR(MOD($A166-1,62)+1=1,IF(CHOOSE(MIN(MAX(MIN(INT(($A166-1)/62)+1,5),1),5),CROQUIS_DATOS!$C$1501,CROQUIS_DATOS!$C$1505,CROQUIS_DATOS!$C$1509,CROQUIS_DATOS!$C$1513,CROQUIS_DATOS!$C$1517)=1,CROQUIS_DATOS!$C$1557,0)=0),0,IF(MOD($A166-1,62)+1&gt;2*IF(CHOOSE(MIN(MAX(MIN(INT(($A166-1)/62)+1,5),1),5),CROQUIS_DATOS!$C$1501,CROQUIS_DATOS!$C$1505,CROQUIS_DATOS!$C$1509,CROQUIS_DATOS!$C$1513,CROQUIS_DATOS!$C$1517)=1,CROQUIS_DATOS!$C$1557,0)+1,IF(MOD(IF(CHOOSE(MIN(MAX(MIN(INT(($A166-1)/62)+1,5),1),5),CROQUIS_DATOS!$C$1501,CROQUIS_DATOS!$C$1505,CROQUIS_DATOS!$C$1509,CROQUIS_DATOS!$C$1513,CROQUIS_DATOS!$C$1517)=1,CROQUIS_DATOS!$C$1557,0),2)=1,1,0),IF(MOD(MIN(INT((MOD($A166-1,62)+1-2)/2)+1,MAX(IF(CHOOSE(MIN(MAX(MIN(INT(($A166-1)/62)+1,5),1),5),CROQUIS_DATOS!$C$1501,CROQUIS_DATOS!$C$1505,CROQUIS_DATOS!$C$1509,CROQUIS_DATOS!$C$1513,CROQUIS_DATOS!$C$1517)=1,CROQUIS_DATOS!$C$1557,0),1)),2)=1,IF(MOD(MOD($A166-1,62)+1-2,2)=0,0,1),IF(MOD(MOD($A166-1,62)+1-2,2)=0,1,0))))=0,(CHOOSE(MIN(MAX(MIN(INT(($A166-1)/62)+1,5),1),5),CROQUIS_DATOS!$C$1499,CROQUIS_DATOS!$C$1503,CROQUIS_DATOS!$C$1507,CROQUIS_DATOS!$C$1511,CROQUIS_DATOS!$C$1515)+IF(CHOOSE(MIN(MAX(MIN(INT(($A166-1)/62)+1,5),1),5),CROQUIS_DATOS!$C$1501,CROQUIS_DATOS!$C$1505,CROQUIS_DATOS!$C$1509,CROQUIS_DATOS!$C$1513,CROQUIS_DATOS!$C$1517)=1,CROQUIS_DATOS!$C$1526,0)),(CHOOSE(MIN(MAX(MIN(INT(($A166-1)/62)+1,5),1),5),CROQUIS_DATOS!$C$1499,CROQUIS_DATOS!$C$1503,CROQUIS_DATOS!$C$1507,CROQUIS_DATOS!$C$1511,CROQUIS_DATOS!$C$1515)+CHOOSE(MIN(MAX(MIN(INT(($A166-1)/62)+1,5),1),5),CROQUIS_DATOS!$C$1500,CROQUIS_DATOS!$C$1504,CROQUIS_DATOS!$C$1508,CROQUIS_DATOS!$C$1512,CROQUIS_DATOS!$C$1516)-IF(CHOOSE(MIN(MAX(MIN(INT(($A166-1)/62)+1,5),1),5),CROQUIS_DATOS!$C$1501,CROQUIS_DATOS!$C$1505,CROQUIS_DATOS!$C$1509,CROQUIS_DATOS!$C$1513,CROQUIS_DATOS!$C$1517)=1,CROQUIS_DATOS!$C$1526,0))))*CROQUIS_DATOS!$C$1562),-1000)</f>
        <v>-1000</v>
      </c>
      <c r="Q166">
        <f>IF(AND(CROQUIS_DATOS!$C$1472=1,CROQUIS_DATOS!$C$1555=1),(CROQUIS_DATOS!$C$1564+(IF(OR(OR(MOD($A166-1,62)+1=1,IF(CHOOSE(MIN(MAX(MIN(INT(($A166-1)/62)+1,5),1),5),CROQUIS_DATOS!$C$1501,CROQUIS_DATOS!$C$1505,CROQUIS_DATOS!$C$1509,CROQUIS_DATOS!$C$1513,CROQUIS_DATOS!$C$1517)=1,CROQUIS_DATOS!$C$1557,0)=0),MOD($A166-1,62)+1&gt;2*IF(CHOOSE(MIN(MAX(MIN(INT(($A166-1)/62)+1,5),1),5),CROQUIS_DATOS!$C$1501,CROQUIS_DATOS!$C$1505,CROQUIS_DATOS!$C$1509,CROQUIS_DATOS!$C$1513,CROQUIS_DATOS!$C$1517)=1,CROQUIS_DATOS!$C$1557,0)+1),CROQUIS_DATOS!$C$1476,MIN(INT((MOD($A166-1,62)+1-2)/2)+1,MAX(IF(CHOOSE(MIN(MAX(MIN(INT(($A166-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6">
        <f>IF(AND(CROQUIS_DATOS!$C$1472=1,1),(CROQUIS_DATOS!$C$1563+(MIN(INT(($A166-1)/2)+1,CROQUIS_DATOS!$C$1558)*CROQUIS_DATOS!$C$1559)*CROQUIS_DATOS!$C$1562),-1000)</f>
        <v>82.2281167108753</v>
      </c>
      <c r="U166">
        <f>IF(AND(CROQUIS_DATOS!$C$1472=1,1),(CROQUIS_DATOS!$C$1564+(IF(INT(($A166-1)/2)+1&gt;CROQUIS_DATOS!$C$1558,IF(MOD(CROQUIS_DATOS!$C$1558,2)=1,CROQUIS_DATOS!$C$1476+CROQUIS_DATOS!$C$1528,CROQUIS_DATOS!$C$1476),IF(IF(MOD(MIN(INT(($A166-1)/2)+1,CROQUIS_DATOS!$C$1558),2)=1,MOD($A166-1,2),1-MOD($A166-1,2))=1,CROQUIS_DATOS!$C$1476+CROQUIS_DATOS!$C$1528,CROQUIS_DATOS!$C$1476)))*CROQUIS_DATOS!$C$1561*CROQUIS_DATOS!$C$1562),-1000)</f>
        <v>43</v>
      </c>
    </row>
    <row r="167">
      <c r="A167" t="n">
        <v>160</v>
      </c>
      <c r="N167">
        <f>IF(AND(CROQUIS_DATOS!$C$1472=1,1),(CROQUIS_DATOS!$C$1563+(IF(IF(IF(INT(($A167-1)/70)+1&gt;CROQUIS_DATOS!$C$1525,70,MOD($A167-1,70)+1)=1,0,IF(IF(INT(($A167-1)/70)+1&gt;CROQUIS_DATOS!$C$1525,70,MOD($A167-1,70)+1)&gt;2*CROQUIS_DATOS!$C$1541+1,IF(MOD(CROQUIS_DATOS!$C$1541,2)=1,1,0),IF(MOD(MIN(INT((IF(INT(($A167-1)/70)+1&gt;CROQUIS_DATOS!$C$1525,70,MOD($A167-1,70)+1)-2)/2)+1,CROQUIS_DATOS!$C$1541),2)=1,IF(MOD(IF(INT(($A167-1)/70)+1&gt;CROQUIS_DATOS!$C$1525,70,MOD($A167-1,70)+1)-2,2)=0,0,1),IF(MOD(IF(INT(($A167-1)/70)+1&gt;CROQUIS_DATOS!$C$1525,70,MOD($A167-1,70)+1)-2,2)=0,1,0))))=0,(INDEX($E$8:$E$23,MIN(INT(($A167-1)/70)+1,CROQUIS_DATOS!$C$1525))-INDEX($F$8:$F$23,MIN(INT(($A167-1)/70)+1,CROQUIS_DATOS!$C$1525))/2),(INDEX($E$8:$E$23,MIN(INT(($A167-1)/70)+1,CROQUIS_DATOS!$C$1525))+INDEX($F$8:$F$23,MIN(INT(($A167-1)/70)+1,CROQUIS_DATOS!$C$1525))/2)))*CROQUIS_DATOS!$C$1562),-1000)</f>
        <v>35.3362068965517</v>
      </c>
      <c r="O167">
        <f>IF(AND(CROQUIS_DATOS!$C$1472=1,1),(CROQUIS_DATOS!$C$1564+(IF(OR(IF(INT(($A167-1)/70)+1&gt;CROQUIS_DATOS!$C$1525,70,MOD($A167-1,70)+1)=1,IF(INT(($A167-1)/70)+1&gt;CROQUIS_DATOS!$C$1525,70,MOD($A167-1,70)+1)&gt;2*CROQUIS_DATOS!$C$1541+1),CROQUIS_DATOS!$C$1476,INDEX($H$8:$H$41,MIN(INT((IF(INT(($A167-1)/70)+1&gt;CROQUIS_DATOS!$C$1525,70,MOD($A167-1,70)+1)-2)/2)+1,CROQUIS_DATOS!$C$1541))))*CROQUIS_DATOS!$C$1561*CROQUIS_DATOS!$C$1562),-1000)</f>
        <v>24.1077586206897</v>
      </c>
      <c r="P167">
        <f>IF(AND(CROQUIS_DATOS!$C$1472=1,CROQUIS_DATOS!$C$1555=1),(CROQUIS_DATOS!$C$1563+(IF(IF(OR(MOD($A167-1,62)+1=1,IF(CHOOSE(MIN(MAX(MIN(INT(($A167-1)/62)+1,5),1),5),CROQUIS_DATOS!$C$1501,CROQUIS_DATOS!$C$1505,CROQUIS_DATOS!$C$1509,CROQUIS_DATOS!$C$1513,CROQUIS_DATOS!$C$1517)=1,CROQUIS_DATOS!$C$1557,0)=0),0,IF(MOD($A167-1,62)+1&gt;2*IF(CHOOSE(MIN(MAX(MIN(INT(($A167-1)/62)+1,5),1),5),CROQUIS_DATOS!$C$1501,CROQUIS_DATOS!$C$1505,CROQUIS_DATOS!$C$1509,CROQUIS_DATOS!$C$1513,CROQUIS_DATOS!$C$1517)=1,CROQUIS_DATOS!$C$1557,0)+1,IF(MOD(IF(CHOOSE(MIN(MAX(MIN(INT(($A167-1)/62)+1,5),1),5),CROQUIS_DATOS!$C$1501,CROQUIS_DATOS!$C$1505,CROQUIS_DATOS!$C$1509,CROQUIS_DATOS!$C$1513,CROQUIS_DATOS!$C$1517)=1,CROQUIS_DATOS!$C$1557,0),2)=1,1,0),IF(MOD(MIN(INT((MOD($A167-1,62)+1-2)/2)+1,MAX(IF(CHOOSE(MIN(MAX(MIN(INT(($A167-1)/62)+1,5),1),5),CROQUIS_DATOS!$C$1501,CROQUIS_DATOS!$C$1505,CROQUIS_DATOS!$C$1509,CROQUIS_DATOS!$C$1513,CROQUIS_DATOS!$C$1517)=1,CROQUIS_DATOS!$C$1557,0),1)),2)=1,IF(MOD(MOD($A167-1,62)+1-2,2)=0,0,1),IF(MOD(MOD($A167-1,62)+1-2,2)=0,1,0))))=0,(CHOOSE(MIN(MAX(MIN(INT(($A167-1)/62)+1,5),1),5),CROQUIS_DATOS!$C$1499,CROQUIS_DATOS!$C$1503,CROQUIS_DATOS!$C$1507,CROQUIS_DATOS!$C$1511,CROQUIS_DATOS!$C$1515)+IF(CHOOSE(MIN(MAX(MIN(INT(($A167-1)/62)+1,5),1),5),CROQUIS_DATOS!$C$1501,CROQUIS_DATOS!$C$1505,CROQUIS_DATOS!$C$1509,CROQUIS_DATOS!$C$1513,CROQUIS_DATOS!$C$1517)=1,CROQUIS_DATOS!$C$1526,0)),(CHOOSE(MIN(MAX(MIN(INT(($A167-1)/62)+1,5),1),5),CROQUIS_DATOS!$C$1499,CROQUIS_DATOS!$C$1503,CROQUIS_DATOS!$C$1507,CROQUIS_DATOS!$C$1511,CROQUIS_DATOS!$C$1515)+CHOOSE(MIN(MAX(MIN(INT(($A167-1)/62)+1,5),1),5),CROQUIS_DATOS!$C$1500,CROQUIS_DATOS!$C$1504,CROQUIS_DATOS!$C$1508,CROQUIS_DATOS!$C$1512,CROQUIS_DATOS!$C$1516)-IF(CHOOSE(MIN(MAX(MIN(INT(($A167-1)/62)+1,5),1),5),CROQUIS_DATOS!$C$1501,CROQUIS_DATOS!$C$1505,CROQUIS_DATOS!$C$1509,CROQUIS_DATOS!$C$1513,CROQUIS_DATOS!$C$1517)=1,CROQUIS_DATOS!$C$1526,0))))*CROQUIS_DATOS!$C$1562),-1000)</f>
        <v>-1000</v>
      </c>
      <c r="Q167">
        <f>IF(AND(CROQUIS_DATOS!$C$1472=1,CROQUIS_DATOS!$C$1555=1),(CROQUIS_DATOS!$C$1564+(IF(OR(OR(MOD($A167-1,62)+1=1,IF(CHOOSE(MIN(MAX(MIN(INT(($A167-1)/62)+1,5),1),5),CROQUIS_DATOS!$C$1501,CROQUIS_DATOS!$C$1505,CROQUIS_DATOS!$C$1509,CROQUIS_DATOS!$C$1513,CROQUIS_DATOS!$C$1517)=1,CROQUIS_DATOS!$C$1557,0)=0),MOD($A167-1,62)+1&gt;2*IF(CHOOSE(MIN(MAX(MIN(INT(($A167-1)/62)+1,5),1),5),CROQUIS_DATOS!$C$1501,CROQUIS_DATOS!$C$1505,CROQUIS_DATOS!$C$1509,CROQUIS_DATOS!$C$1513,CROQUIS_DATOS!$C$1517)=1,CROQUIS_DATOS!$C$1557,0)+1),CROQUIS_DATOS!$C$1476,MIN(INT((MOD($A167-1,62)+1-2)/2)+1,MAX(IF(CHOOSE(MIN(MAX(MIN(INT(($A167-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7">
        <f>IF(AND(CROQUIS_DATOS!$C$1472=1,1),(CROQUIS_DATOS!$C$1563+(MIN(INT(($A167-1)/2)+1,CROQUIS_DATOS!$C$1558)*CROQUIS_DATOS!$C$1559)*CROQUIS_DATOS!$C$1562),-1000)</f>
        <v>82.2281167108753</v>
      </c>
      <c r="U167">
        <f>IF(AND(CROQUIS_DATOS!$C$1472=1,1),(CROQUIS_DATOS!$C$1564+(IF(INT(($A167-1)/2)+1&gt;CROQUIS_DATOS!$C$1558,IF(MOD(CROQUIS_DATOS!$C$1558,2)=1,CROQUIS_DATOS!$C$1476+CROQUIS_DATOS!$C$1528,CROQUIS_DATOS!$C$1476),IF(IF(MOD(MIN(INT(($A167-1)/2)+1,CROQUIS_DATOS!$C$1558),2)=1,MOD($A167-1,2),1-MOD($A167-1,2))=1,CROQUIS_DATOS!$C$1476+CROQUIS_DATOS!$C$1528,CROQUIS_DATOS!$C$1476)))*CROQUIS_DATOS!$C$1561*CROQUIS_DATOS!$C$1562),-1000)</f>
        <v>43</v>
      </c>
    </row>
    <row r="168">
      <c r="A168" t="n">
        <v>161</v>
      </c>
      <c r="N168">
        <f>IF(AND(CROQUIS_DATOS!$C$1472=1,1),(CROQUIS_DATOS!$C$1563+(IF(IF(IF(INT(($A168-1)/70)+1&gt;CROQUIS_DATOS!$C$1525,70,MOD($A168-1,70)+1)=1,0,IF(IF(INT(($A168-1)/70)+1&gt;CROQUIS_DATOS!$C$1525,70,MOD($A168-1,70)+1)&gt;2*CROQUIS_DATOS!$C$1541+1,IF(MOD(CROQUIS_DATOS!$C$1541,2)=1,1,0),IF(MOD(MIN(INT((IF(INT(($A168-1)/70)+1&gt;CROQUIS_DATOS!$C$1525,70,MOD($A168-1,70)+1)-2)/2)+1,CROQUIS_DATOS!$C$1541),2)=1,IF(MOD(IF(INT(($A168-1)/70)+1&gt;CROQUIS_DATOS!$C$1525,70,MOD($A168-1,70)+1)-2,2)=0,0,1),IF(MOD(IF(INT(($A168-1)/70)+1&gt;CROQUIS_DATOS!$C$1525,70,MOD($A168-1,70)+1)-2,2)=0,1,0))))=0,(INDEX($E$8:$E$23,MIN(INT(($A168-1)/70)+1,CROQUIS_DATOS!$C$1525))-INDEX($F$8:$F$23,MIN(INT(($A168-1)/70)+1,CROQUIS_DATOS!$C$1525))/2),(INDEX($E$8:$E$23,MIN(INT(($A168-1)/70)+1,CROQUIS_DATOS!$C$1525))+INDEX($F$8:$F$23,MIN(INT(($A168-1)/70)+1,CROQUIS_DATOS!$C$1525))/2)))*CROQUIS_DATOS!$C$1562),-1000)</f>
        <v>33.2413793103448</v>
      </c>
      <c r="O168">
        <f>IF(AND(CROQUIS_DATOS!$C$1472=1,1),(CROQUIS_DATOS!$C$1564+(IF(OR(IF(INT(($A168-1)/70)+1&gt;CROQUIS_DATOS!$C$1525,70,MOD($A168-1,70)+1)=1,IF(INT(($A168-1)/70)+1&gt;CROQUIS_DATOS!$C$1525,70,MOD($A168-1,70)+1)&gt;2*CROQUIS_DATOS!$C$1541+1),CROQUIS_DATOS!$C$1476,INDEX($H$8:$H$41,MIN(INT((IF(INT(($A168-1)/70)+1&gt;CROQUIS_DATOS!$C$1525,70,MOD($A168-1,70)+1)-2)/2)+1,CROQUIS_DATOS!$C$1541))))*CROQUIS_DATOS!$C$1561*CROQUIS_DATOS!$C$1562),-1000)</f>
        <v>24.1077586206897</v>
      </c>
      <c r="P168">
        <f>IF(AND(CROQUIS_DATOS!$C$1472=1,CROQUIS_DATOS!$C$1555=1),(CROQUIS_DATOS!$C$1563+(IF(IF(OR(MOD($A168-1,62)+1=1,IF(CHOOSE(MIN(MAX(MIN(INT(($A168-1)/62)+1,5),1),5),CROQUIS_DATOS!$C$1501,CROQUIS_DATOS!$C$1505,CROQUIS_DATOS!$C$1509,CROQUIS_DATOS!$C$1513,CROQUIS_DATOS!$C$1517)=1,CROQUIS_DATOS!$C$1557,0)=0),0,IF(MOD($A168-1,62)+1&gt;2*IF(CHOOSE(MIN(MAX(MIN(INT(($A168-1)/62)+1,5),1),5),CROQUIS_DATOS!$C$1501,CROQUIS_DATOS!$C$1505,CROQUIS_DATOS!$C$1509,CROQUIS_DATOS!$C$1513,CROQUIS_DATOS!$C$1517)=1,CROQUIS_DATOS!$C$1557,0)+1,IF(MOD(IF(CHOOSE(MIN(MAX(MIN(INT(($A168-1)/62)+1,5),1),5),CROQUIS_DATOS!$C$1501,CROQUIS_DATOS!$C$1505,CROQUIS_DATOS!$C$1509,CROQUIS_DATOS!$C$1513,CROQUIS_DATOS!$C$1517)=1,CROQUIS_DATOS!$C$1557,0),2)=1,1,0),IF(MOD(MIN(INT((MOD($A168-1,62)+1-2)/2)+1,MAX(IF(CHOOSE(MIN(MAX(MIN(INT(($A168-1)/62)+1,5),1),5),CROQUIS_DATOS!$C$1501,CROQUIS_DATOS!$C$1505,CROQUIS_DATOS!$C$1509,CROQUIS_DATOS!$C$1513,CROQUIS_DATOS!$C$1517)=1,CROQUIS_DATOS!$C$1557,0),1)),2)=1,IF(MOD(MOD($A168-1,62)+1-2,2)=0,0,1),IF(MOD(MOD($A168-1,62)+1-2,2)=0,1,0))))=0,(CHOOSE(MIN(MAX(MIN(INT(($A168-1)/62)+1,5),1),5),CROQUIS_DATOS!$C$1499,CROQUIS_DATOS!$C$1503,CROQUIS_DATOS!$C$1507,CROQUIS_DATOS!$C$1511,CROQUIS_DATOS!$C$1515)+IF(CHOOSE(MIN(MAX(MIN(INT(($A168-1)/62)+1,5),1),5),CROQUIS_DATOS!$C$1501,CROQUIS_DATOS!$C$1505,CROQUIS_DATOS!$C$1509,CROQUIS_DATOS!$C$1513,CROQUIS_DATOS!$C$1517)=1,CROQUIS_DATOS!$C$1526,0)),(CHOOSE(MIN(MAX(MIN(INT(($A168-1)/62)+1,5),1),5),CROQUIS_DATOS!$C$1499,CROQUIS_DATOS!$C$1503,CROQUIS_DATOS!$C$1507,CROQUIS_DATOS!$C$1511,CROQUIS_DATOS!$C$1515)+CHOOSE(MIN(MAX(MIN(INT(($A168-1)/62)+1,5),1),5),CROQUIS_DATOS!$C$1500,CROQUIS_DATOS!$C$1504,CROQUIS_DATOS!$C$1508,CROQUIS_DATOS!$C$1512,CROQUIS_DATOS!$C$1516)-IF(CHOOSE(MIN(MAX(MIN(INT(($A168-1)/62)+1,5),1),5),CROQUIS_DATOS!$C$1501,CROQUIS_DATOS!$C$1505,CROQUIS_DATOS!$C$1509,CROQUIS_DATOS!$C$1513,CROQUIS_DATOS!$C$1517)=1,CROQUIS_DATOS!$C$1526,0))))*CROQUIS_DATOS!$C$1562),-1000)</f>
        <v>-1000</v>
      </c>
      <c r="Q168">
        <f>IF(AND(CROQUIS_DATOS!$C$1472=1,CROQUIS_DATOS!$C$1555=1),(CROQUIS_DATOS!$C$1564+(IF(OR(OR(MOD($A168-1,62)+1=1,IF(CHOOSE(MIN(MAX(MIN(INT(($A168-1)/62)+1,5),1),5),CROQUIS_DATOS!$C$1501,CROQUIS_DATOS!$C$1505,CROQUIS_DATOS!$C$1509,CROQUIS_DATOS!$C$1513,CROQUIS_DATOS!$C$1517)=1,CROQUIS_DATOS!$C$1557,0)=0),MOD($A168-1,62)+1&gt;2*IF(CHOOSE(MIN(MAX(MIN(INT(($A168-1)/62)+1,5),1),5),CROQUIS_DATOS!$C$1501,CROQUIS_DATOS!$C$1505,CROQUIS_DATOS!$C$1509,CROQUIS_DATOS!$C$1513,CROQUIS_DATOS!$C$1517)=1,CROQUIS_DATOS!$C$1557,0)+1),CROQUIS_DATOS!$C$1476,MIN(INT((MOD($A168-1,62)+1-2)/2)+1,MAX(IF(CHOOSE(MIN(MAX(MIN(INT(($A168-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8">
        <f>IF(AND(CROQUIS_DATOS!$C$1472=1,1),(CROQUIS_DATOS!$C$1563+(MIN(INT(($A168-1)/2)+1,CROQUIS_DATOS!$C$1558)*CROQUIS_DATOS!$C$1559)*CROQUIS_DATOS!$C$1562),-1000)</f>
        <v>82.2281167108753</v>
      </c>
      <c r="U168">
        <f>IF(AND(CROQUIS_DATOS!$C$1472=1,1),(CROQUIS_DATOS!$C$1564+(IF(INT(($A168-1)/2)+1&gt;CROQUIS_DATOS!$C$1558,IF(MOD(CROQUIS_DATOS!$C$1558,2)=1,CROQUIS_DATOS!$C$1476+CROQUIS_DATOS!$C$1528,CROQUIS_DATOS!$C$1476),IF(IF(MOD(MIN(INT(($A168-1)/2)+1,CROQUIS_DATOS!$C$1558),2)=1,MOD($A168-1,2),1-MOD($A168-1,2))=1,CROQUIS_DATOS!$C$1476+CROQUIS_DATOS!$C$1528,CROQUIS_DATOS!$C$1476)))*CROQUIS_DATOS!$C$1561*CROQUIS_DATOS!$C$1562),-1000)</f>
        <v>43</v>
      </c>
    </row>
    <row r="169">
      <c r="A169" t="n">
        <v>162</v>
      </c>
      <c r="N169">
        <f>IF(AND(CROQUIS_DATOS!$C$1472=1,1),(CROQUIS_DATOS!$C$1563+(IF(IF(IF(INT(($A169-1)/70)+1&gt;CROQUIS_DATOS!$C$1525,70,MOD($A169-1,70)+1)=1,0,IF(IF(INT(($A169-1)/70)+1&gt;CROQUIS_DATOS!$C$1525,70,MOD($A169-1,70)+1)&gt;2*CROQUIS_DATOS!$C$1541+1,IF(MOD(CROQUIS_DATOS!$C$1541,2)=1,1,0),IF(MOD(MIN(INT((IF(INT(($A169-1)/70)+1&gt;CROQUIS_DATOS!$C$1525,70,MOD($A169-1,70)+1)-2)/2)+1,CROQUIS_DATOS!$C$1541),2)=1,IF(MOD(IF(INT(($A169-1)/70)+1&gt;CROQUIS_DATOS!$C$1525,70,MOD($A169-1,70)+1)-2,2)=0,0,1),IF(MOD(IF(INT(($A169-1)/70)+1&gt;CROQUIS_DATOS!$C$1525,70,MOD($A169-1,70)+1)-2,2)=0,1,0))))=0,(INDEX($E$8:$E$23,MIN(INT(($A169-1)/70)+1,CROQUIS_DATOS!$C$1525))-INDEX($F$8:$F$23,MIN(INT(($A169-1)/70)+1,CROQUIS_DATOS!$C$1525))/2),(INDEX($E$8:$E$23,MIN(INT(($A169-1)/70)+1,CROQUIS_DATOS!$C$1525))+INDEX($F$8:$F$23,MIN(INT(($A169-1)/70)+1,CROQUIS_DATOS!$C$1525))/2)))*CROQUIS_DATOS!$C$1562),-1000)</f>
        <v>33.2413793103448</v>
      </c>
      <c r="O169">
        <f>IF(AND(CROQUIS_DATOS!$C$1472=1,1),(CROQUIS_DATOS!$C$1564+(IF(OR(IF(INT(($A169-1)/70)+1&gt;CROQUIS_DATOS!$C$1525,70,MOD($A169-1,70)+1)=1,IF(INT(($A169-1)/70)+1&gt;CROQUIS_DATOS!$C$1525,70,MOD($A169-1,70)+1)&gt;2*CROQUIS_DATOS!$C$1541+1),CROQUIS_DATOS!$C$1476,INDEX($H$8:$H$41,MIN(INT((IF(INT(($A169-1)/70)+1&gt;CROQUIS_DATOS!$C$1525,70,MOD($A169-1,70)+1)-2)/2)+1,CROQUIS_DATOS!$C$1541))))*CROQUIS_DATOS!$C$1561*CROQUIS_DATOS!$C$1562),-1000)</f>
        <v>26.823275862069</v>
      </c>
      <c r="P169">
        <f>IF(AND(CROQUIS_DATOS!$C$1472=1,CROQUIS_DATOS!$C$1555=1),(CROQUIS_DATOS!$C$1563+(IF(IF(OR(MOD($A169-1,62)+1=1,IF(CHOOSE(MIN(MAX(MIN(INT(($A169-1)/62)+1,5),1),5),CROQUIS_DATOS!$C$1501,CROQUIS_DATOS!$C$1505,CROQUIS_DATOS!$C$1509,CROQUIS_DATOS!$C$1513,CROQUIS_DATOS!$C$1517)=1,CROQUIS_DATOS!$C$1557,0)=0),0,IF(MOD($A169-1,62)+1&gt;2*IF(CHOOSE(MIN(MAX(MIN(INT(($A169-1)/62)+1,5),1),5),CROQUIS_DATOS!$C$1501,CROQUIS_DATOS!$C$1505,CROQUIS_DATOS!$C$1509,CROQUIS_DATOS!$C$1513,CROQUIS_DATOS!$C$1517)=1,CROQUIS_DATOS!$C$1557,0)+1,IF(MOD(IF(CHOOSE(MIN(MAX(MIN(INT(($A169-1)/62)+1,5),1),5),CROQUIS_DATOS!$C$1501,CROQUIS_DATOS!$C$1505,CROQUIS_DATOS!$C$1509,CROQUIS_DATOS!$C$1513,CROQUIS_DATOS!$C$1517)=1,CROQUIS_DATOS!$C$1557,0),2)=1,1,0),IF(MOD(MIN(INT((MOD($A169-1,62)+1-2)/2)+1,MAX(IF(CHOOSE(MIN(MAX(MIN(INT(($A169-1)/62)+1,5),1),5),CROQUIS_DATOS!$C$1501,CROQUIS_DATOS!$C$1505,CROQUIS_DATOS!$C$1509,CROQUIS_DATOS!$C$1513,CROQUIS_DATOS!$C$1517)=1,CROQUIS_DATOS!$C$1557,0),1)),2)=1,IF(MOD(MOD($A169-1,62)+1-2,2)=0,0,1),IF(MOD(MOD($A169-1,62)+1-2,2)=0,1,0))))=0,(CHOOSE(MIN(MAX(MIN(INT(($A169-1)/62)+1,5),1),5),CROQUIS_DATOS!$C$1499,CROQUIS_DATOS!$C$1503,CROQUIS_DATOS!$C$1507,CROQUIS_DATOS!$C$1511,CROQUIS_DATOS!$C$1515)+IF(CHOOSE(MIN(MAX(MIN(INT(($A169-1)/62)+1,5),1),5),CROQUIS_DATOS!$C$1501,CROQUIS_DATOS!$C$1505,CROQUIS_DATOS!$C$1509,CROQUIS_DATOS!$C$1513,CROQUIS_DATOS!$C$1517)=1,CROQUIS_DATOS!$C$1526,0)),(CHOOSE(MIN(MAX(MIN(INT(($A169-1)/62)+1,5),1),5),CROQUIS_DATOS!$C$1499,CROQUIS_DATOS!$C$1503,CROQUIS_DATOS!$C$1507,CROQUIS_DATOS!$C$1511,CROQUIS_DATOS!$C$1515)+CHOOSE(MIN(MAX(MIN(INT(($A169-1)/62)+1,5),1),5),CROQUIS_DATOS!$C$1500,CROQUIS_DATOS!$C$1504,CROQUIS_DATOS!$C$1508,CROQUIS_DATOS!$C$1512,CROQUIS_DATOS!$C$1516)-IF(CHOOSE(MIN(MAX(MIN(INT(($A169-1)/62)+1,5),1),5),CROQUIS_DATOS!$C$1501,CROQUIS_DATOS!$C$1505,CROQUIS_DATOS!$C$1509,CROQUIS_DATOS!$C$1513,CROQUIS_DATOS!$C$1517)=1,CROQUIS_DATOS!$C$1526,0))))*CROQUIS_DATOS!$C$1562),-1000)</f>
        <v>-1000</v>
      </c>
      <c r="Q169">
        <f>IF(AND(CROQUIS_DATOS!$C$1472=1,CROQUIS_DATOS!$C$1555=1),(CROQUIS_DATOS!$C$1564+(IF(OR(OR(MOD($A169-1,62)+1=1,IF(CHOOSE(MIN(MAX(MIN(INT(($A169-1)/62)+1,5),1),5),CROQUIS_DATOS!$C$1501,CROQUIS_DATOS!$C$1505,CROQUIS_DATOS!$C$1509,CROQUIS_DATOS!$C$1513,CROQUIS_DATOS!$C$1517)=1,CROQUIS_DATOS!$C$1557,0)=0),MOD($A169-1,62)+1&gt;2*IF(CHOOSE(MIN(MAX(MIN(INT(($A169-1)/62)+1,5),1),5),CROQUIS_DATOS!$C$1501,CROQUIS_DATOS!$C$1505,CROQUIS_DATOS!$C$1509,CROQUIS_DATOS!$C$1513,CROQUIS_DATOS!$C$1517)=1,CROQUIS_DATOS!$C$1557,0)+1),CROQUIS_DATOS!$C$1476,MIN(INT((MOD($A169-1,62)+1-2)/2)+1,MAX(IF(CHOOSE(MIN(MAX(MIN(INT(($A169-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69">
        <f>IF(AND(CROQUIS_DATOS!$C$1472=1,1),(CROQUIS_DATOS!$C$1563+(MIN(INT(($A169-1)/2)+1,CROQUIS_DATOS!$C$1558)*CROQUIS_DATOS!$C$1559)*CROQUIS_DATOS!$C$1562),-1000)</f>
        <v>82.2281167108753</v>
      </c>
      <c r="U169">
        <f>IF(AND(CROQUIS_DATOS!$C$1472=1,1),(CROQUIS_DATOS!$C$1564+(IF(INT(($A169-1)/2)+1&gt;CROQUIS_DATOS!$C$1558,IF(MOD(CROQUIS_DATOS!$C$1558,2)=1,CROQUIS_DATOS!$C$1476+CROQUIS_DATOS!$C$1528,CROQUIS_DATOS!$C$1476),IF(IF(MOD(MIN(INT(($A169-1)/2)+1,CROQUIS_DATOS!$C$1558),2)=1,MOD($A169-1,2),1-MOD($A169-1,2))=1,CROQUIS_DATOS!$C$1476+CROQUIS_DATOS!$C$1528,CROQUIS_DATOS!$C$1476)))*CROQUIS_DATOS!$C$1561*CROQUIS_DATOS!$C$1562),-1000)</f>
        <v>43</v>
      </c>
    </row>
    <row r="170">
      <c r="A170" t="n">
        <v>163</v>
      </c>
      <c r="N170">
        <f>IF(AND(CROQUIS_DATOS!$C$1472=1,1),(CROQUIS_DATOS!$C$1563+(IF(IF(IF(INT(($A170-1)/70)+1&gt;CROQUIS_DATOS!$C$1525,70,MOD($A170-1,70)+1)=1,0,IF(IF(INT(($A170-1)/70)+1&gt;CROQUIS_DATOS!$C$1525,70,MOD($A170-1,70)+1)&gt;2*CROQUIS_DATOS!$C$1541+1,IF(MOD(CROQUIS_DATOS!$C$1541,2)=1,1,0),IF(MOD(MIN(INT((IF(INT(($A170-1)/70)+1&gt;CROQUIS_DATOS!$C$1525,70,MOD($A170-1,70)+1)-2)/2)+1,CROQUIS_DATOS!$C$1541),2)=1,IF(MOD(IF(INT(($A170-1)/70)+1&gt;CROQUIS_DATOS!$C$1525,70,MOD($A170-1,70)+1)-2,2)=0,0,1),IF(MOD(IF(INT(($A170-1)/70)+1&gt;CROQUIS_DATOS!$C$1525,70,MOD($A170-1,70)+1)-2,2)=0,1,0))))=0,(INDEX($E$8:$E$23,MIN(INT(($A170-1)/70)+1,CROQUIS_DATOS!$C$1525))-INDEX($F$8:$F$23,MIN(INT(($A170-1)/70)+1,CROQUIS_DATOS!$C$1525))/2),(INDEX($E$8:$E$23,MIN(INT(($A170-1)/70)+1,CROQUIS_DATOS!$C$1525))+INDEX($F$8:$F$23,MIN(INT(($A170-1)/70)+1,CROQUIS_DATOS!$C$1525))/2)))*CROQUIS_DATOS!$C$1562),-1000)</f>
        <v>35.3362068965517</v>
      </c>
      <c r="O170">
        <f>IF(AND(CROQUIS_DATOS!$C$1472=1,1),(CROQUIS_DATOS!$C$1564+(IF(OR(IF(INT(($A170-1)/70)+1&gt;CROQUIS_DATOS!$C$1525,70,MOD($A170-1,70)+1)=1,IF(INT(($A170-1)/70)+1&gt;CROQUIS_DATOS!$C$1525,70,MOD($A170-1,70)+1)&gt;2*CROQUIS_DATOS!$C$1541+1),CROQUIS_DATOS!$C$1476,INDEX($H$8:$H$41,MIN(INT((IF(INT(($A170-1)/70)+1&gt;CROQUIS_DATOS!$C$1525,70,MOD($A170-1,70)+1)-2)/2)+1,CROQUIS_DATOS!$C$1541))))*CROQUIS_DATOS!$C$1561*CROQUIS_DATOS!$C$1562),-1000)</f>
        <v>26.823275862069</v>
      </c>
      <c r="P170">
        <f>IF(AND(CROQUIS_DATOS!$C$1472=1,CROQUIS_DATOS!$C$1555=1),(CROQUIS_DATOS!$C$1563+(IF(IF(OR(MOD($A170-1,62)+1=1,IF(CHOOSE(MIN(MAX(MIN(INT(($A170-1)/62)+1,5),1),5),CROQUIS_DATOS!$C$1501,CROQUIS_DATOS!$C$1505,CROQUIS_DATOS!$C$1509,CROQUIS_DATOS!$C$1513,CROQUIS_DATOS!$C$1517)=1,CROQUIS_DATOS!$C$1557,0)=0),0,IF(MOD($A170-1,62)+1&gt;2*IF(CHOOSE(MIN(MAX(MIN(INT(($A170-1)/62)+1,5),1),5),CROQUIS_DATOS!$C$1501,CROQUIS_DATOS!$C$1505,CROQUIS_DATOS!$C$1509,CROQUIS_DATOS!$C$1513,CROQUIS_DATOS!$C$1517)=1,CROQUIS_DATOS!$C$1557,0)+1,IF(MOD(IF(CHOOSE(MIN(MAX(MIN(INT(($A170-1)/62)+1,5),1),5),CROQUIS_DATOS!$C$1501,CROQUIS_DATOS!$C$1505,CROQUIS_DATOS!$C$1509,CROQUIS_DATOS!$C$1513,CROQUIS_DATOS!$C$1517)=1,CROQUIS_DATOS!$C$1557,0),2)=1,1,0),IF(MOD(MIN(INT((MOD($A170-1,62)+1-2)/2)+1,MAX(IF(CHOOSE(MIN(MAX(MIN(INT(($A170-1)/62)+1,5),1),5),CROQUIS_DATOS!$C$1501,CROQUIS_DATOS!$C$1505,CROQUIS_DATOS!$C$1509,CROQUIS_DATOS!$C$1513,CROQUIS_DATOS!$C$1517)=1,CROQUIS_DATOS!$C$1557,0),1)),2)=1,IF(MOD(MOD($A170-1,62)+1-2,2)=0,0,1),IF(MOD(MOD($A170-1,62)+1-2,2)=0,1,0))))=0,(CHOOSE(MIN(MAX(MIN(INT(($A170-1)/62)+1,5),1),5),CROQUIS_DATOS!$C$1499,CROQUIS_DATOS!$C$1503,CROQUIS_DATOS!$C$1507,CROQUIS_DATOS!$C$1511,CROQUIS_DATOS!$C$1515)+IF(CHOOSE(MIN(MAX(MIN(INT(($A170-1)/62)+1,5),1),5),CROQUIS_DATOS!$C$1501,CROQUIS_DATOS!$C$1505,CROQUIS_DATOS!$C$1509,CROQUIS_DATOS!$C$1513,CROQUIS_DATOS!$C$1517)=1,CROQUIS_DATOS!$C$1526,0)),(CHOOSE(MIN(MAX(MIN(INT(($A170-1)/62)+1,5),1),5),CROQUIS_DATOS!$C$1499,CROQUIS_DATOS!$C$1503,CROQUIS_DATOS!$C$1507,CROQUIS_DATOS!$C$1511,CROQUIS_DATOS!$C$1515)+CHOOSE(MIN(MAX(MIN(INT(($A170-1)/62)+1,5),1),5),CROQUIS_DATOS!$C$1500,CROQUIS_DATOS!$C$1504,CROQUIS_DATOS!$C$1508,CROQUIS_DATOS!$C$1512,CROQUIS_DATOS!$C$1516)-IF(CHOOSE(MIN(MAX(MIN(INT(($A170-1)/62)+1,5),1),5),CROQUIS_DATOS!$C$1501,CROQUIS_DATOS!$C$1505,CROQUIS_DATOS!$C$1509,CROQUIS_DATOS!$C$1513,CROQUIS_DATOS!$C$1517)=1,CROQUIS_DATOS!$C$1526,0))))*CROQUIS_DATOS!$C$1562),-1000)</f>
        <v>-1000</v>
      </c>
      <c r="Q170">
        <f>IF(AND(CROQUIS_DATOS!$C$1472=1,CROQUIS_DATOS!$C$1555=1),(CROQUIS_DATOS!$C$1564+(IF(OR(OR(MOD($A170-1,62)+1=1,IF(CHOOSE(MIN(MAX(MIN(INT(($A170-1)/62)+1,5),1),5),CROQUIS_DATOS!$C$1501,CROQUIS_DATOS!$C$1505,CROQUIS_DATOS!$C$1509,CROQUIS_DATOS!$C$1513,CROQUIS_DATOS!$C$1517)=1,CROQUIS_DATOS!$C$1557,0)=0),MOD($A170-1,62)+1&gt;2*IF(CHOOSE(MIN(MAX(MIN(INT(($A170-1)/62)+1,5),1),5),CROQUIS_DATOS!$C$1501,CROQUIS_DATOS!$C$1505,CROQUIS_DATOS!$C$1509,CROQUIS_DATOS!$C$1513,CROQUIS_DATOS!$C$1517)=1,CROQUIS_DATOS!$C$1557,0)+1),CROQUIS_DATOS!$C$1476,MIN(INT((MOD($A170-1,62)+1-2)/2)+1,MAX(IF(CHOOSE(MIN(MAX(MIN(INT(($A170-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0">
        <f>IF(AND(CROQUIS_DATOS!$C$1472=1,1),(CROQUIS_DATOS!$C$1563+(MIN(INT(($A170-1)/2)+1,CROQUIS_DATOS!$C$1558)*CROQUIS_DATOS!$C$1559)*CROQUIS_DATOS!$C$1562),-1000)</f>
        <v>82.2281167108753</v>
      </c>
      <c r="U170">
        <f>IF(AND(CROQUIS_DATOS!$C$1472=1,1),(CROQUIS_DATOS!$C$1564+(IF(INT(($A170-1)/2)+1&gt;CROQUIS_DATOS!$C$1558,IF(MOD(CROQUIS_DATOS!$C$1558,2)=1,CROQUIS_DATOS!$C$1476+CROQUIS_DATOS!$C$1528,CROQUIS_DATOS!$C$1476),IF(IF(MOD(MIN(INT(($A170-1)/2)+1,CROQUIS_DATOS!$C$1558),2)=1,MOD($A170-1,2),1-MOD($A170-1,2))=1,CROQUIS_DATOS!$C$1476+CROQUIS_DATOS!$C$1528,CROQUIS_DATOS!$C$1476)))*CROQUIS_DATOS!$C$1561*CROQUIS_DATOS!$C$1562),-1000)</f>
        <v>43</v>
      </c>
    </row>
    <row r="171">
      <c r="A171" t="n">
        <v>164</v>
      </c>
      <c r="N171">
        <f>IF(AND(CROQUIS_DATOS!$C$1472=1,1),(CROQUIS_DATOS!$C$1563+(IF(IF(IF(INT(($A171-1)/70)+1&gt;CROQUIS_DATOS!$C$1525,70,MOD($A171-1,70)+1)=1,0,IF(IF(INT(($A171-1)/70)+1&gt;CROQUIS_DATOS!$C$1525,70,MOD($A171-1,70)+1)&gt;2*CROQUIS_DATOS!$C$1541+1,IF(MOD(CROQUIS_DATOS!$C$1541,2)=1,1,0),IF(MOD(MIN(INT((IF(INT(($A171-1)/70)+1&gt;CROQUIS_DATOS!$C$1525,70,MOD($A171-1,70)+1)-2)/2)+1,CROQUIS_DATOS!$C$1541),2)=1,IF(MOD(IF(INT(($A171-1)/70)+1&gt;CROQUIS_DATOS!$C$1525,70,MOD($A171-1,70)+1)-2,2)=0,0,1),IF(MOD(IF(INT(($A171-1)/70)+1&gt;CROQUIS_DATOS!$C$1525,70,MOD($A171-1,70)+1)-2,2)=0,1,0))))=0,(INDEX($E$8:$E$23,MIN(INT(($A171-1)/70)+1,CROQUIS_DATOS!$C$1525))-INDEX($F$8:$F$23,MIN(INT(($A171-1)/70)+1,CROQUIS_DATOS!$C$1525))/2),(INDEX($E$8:$E$23,MIN(INT(($A171-1)/70)+1,CROQUIS_DATOS!$C$1525))+INDEX($F$8:$F$23,MIN(INT(($A171-1)/70)+1,CROQUIS_DATOS!$C$1525))/2)))*CROQUIS_DATOS!$C$1562),-1000)</f>
        <v>35.3362068965517</v>
      </c>
      <c r="O171">
        <f>IF(AND(CROQUIS_DATOS!$C$1472=1,1),(CROQUIS_DATOS!$C$1564+(IF(OR(IF(INT(($A171-1)/70)+1&gt;CROQUIS_DATOS!$C$1525,70,MOD($A171-1,70)+1)=1,IF(INT(($A171-1)/70)+1&gt;CROQUIS_DATOS!$C$1525,70,MOD($A171-1,70)+1)&gt;2*CROQUIS_DATOS!$C$1541+1),CROQUIS_DATOS!$C$1476,INDEX($H$8:$H$41,MIN(INT((IF(INT(($A171-1)/70)+1&gt;CROQUIS_DATOS!$C$1525,70,MOD($A171-1,70)+1)-2)/2)+1,CROQUIS_DATOS!$C$1541))))*CROQUIS_DATOS!$C$1561*CROQUIS_DATOS!$C$1562),-1000)</f>
        <v>29.5387931034483</v>
      </c>
      <c r="P171">
        <f>IF(AND(CROQUIS_DATOS!$C$1472=1,CROQUIS_DATOS!$C$1555=1),(CROQUIS_DATOS!$C$1563+(IF(IF(OR(MOD($A171-1,62)+1=1,IF(CHOOSE(MIN(MAX(MIN(INT(($A171-1)/62)+1,5),1),5),CROQUIS_DATOS!$C$1501,CROQUIS_DATOS!$C$1505,CROQUIS_DATOS!$C$1509,CROQUIS_DATOS!$C$1513,CROQUIS_DATOS!$C$1517)=1,CROQUIS_DATOS!$C$1557,0)=0),0,IF(MOD($A171-1,62)+1&gt;2*IF(CHOOSE(MIN(MAX(MIN(INT(($A171-1)/62)+1,5),1),5),CROQUIS_DATOS!$C$1501,CROQUIS_DATOS!$C$1505,CROQUIS_DATOS!$C$1509,CROQUIS_DATOS!$C$1513,CROQUIS_DATOS!$C$1517)=1,CROQUIS_DATOS!$C$1557,0)+1,IF(MOD(IF(CHOOSE(MIN(MAX(MIN(INT(($A171-1)/62)+1,5),1),5),CROQUIS_DATOS!$C$1501,CROQUIS_DATOS!$C$1505,CROQUIS_DATOS!$C$1509,CROQUIS_DATOS!$C$1513,CROQUIS_DATOS!$C$1517)=1,CROQUIS_DATOS!$C$1557,0),2)=1,1,0),IF(MOD(MIN(INT((MOD($A171-1,62)+1-2)/2)+1,MAX(IF(CHOOSE(MIN(MAX(MIN(INT(($A171-1)/62)+1,5),1),5),CROQUIS_DATOS!$C$1501,CROQUIS_DATOS!$C$1505,CROQUIS_DATOS!$C$1509,CROQUIS_DATOS!$C$1513,CROQUIS_DATOS!$C$1517)=1,CROQUIS_DATOS!$C$1557,0),1)),2)=1,IF(MOD(MOD($A171-1,62)+1-2,2)=0,0,1),IF(MOD(MOD($A171-1,62)+1-2,2)=0,1,0))))=0,(CHOOSE(MIN(MAX(MIN(INT(($A171-1)/62)+1,5),1),5),CROQUIS_DATOS!$C$1499,CROQUIS_DATOS!$C$1503,CROQUIS_DATOS!$C$1507,CROQUIS_DATOS!$C$1511,CROQUIS_DATOS!$C$1515)+IF(CHOOSE(MIN(MAX(MIN(INT(($A171-1)/62)+1,5),1),5),CROQUIS_DATOS!$C$1501,CROQUIS_DATOS!$C$1505,CROQUIS_DATOS!$C$1509,CROQUIS_DATOS!$C$1513,CROQUIS_DATOS!$C$1517)=1,CROQUIS_DATOS!$C$1526,0)),(CHOOSE(MIN(MAX(MIN(INT(($A171-1)/62)+1,5),1),5),CROQUIS_DATOS!$C$1499,CROQUIS_DATOS!$C$1503,CROQUIS_DATOS!$C$1507,CROQUIS_DATOS!$C$1511,CROQUIS_DATOS!$C$1515)+CHOOSE(MIN(MAX(MIN(INT(($A171-1)/62)+1,5),1),5),CROQUIS_DATOS!$C$1500,CROQUIS_DATOS!$C$1504,CROQUIS_DATOS!$C$1508,CROQUIS_DATOS!$C$1512,CROQUIS_DATOS!$C$1516)-IF(CHOOSE(MIN(MAX(MIN(INT(($A171-1)/62)+1,5),1),5),CROQUIS_DATOS!$C$1501,CROQUIS_DATOS!$C$1505,CROQUIS_DATOS!$C$1509,CROQUIS_DATOS!$C$1513,CROQUIS_DATOS!$C$1517)=1,CROQUIS_DATOS!$C$1526,0))))*CROQUIS_DATOS!$C$1562),-1000)</f>
        <v>-1000</v>
      </c>
      <c r="Q171">
        <f>IF(AND(CROQUIS_DATOS!$C$1472=1,CROQUIS_DATOS!$C$1555=1),(CROQUIS_DATOS!$C$1564+(IF(OR(OR(MOD($A171-1,62)+1=1,IF(CHOOSE(MIN(MAX(MIN(INT(($A171-1)/62)+1,5),1),5),CROQUIS_DATOS!$C$1501,CROQUIS_DATOS!$C$1505,CROQUIS_DATOS!$C$1509,CROQUIS_DATOS!$C$1513,CROQUIS_DATOS!$C$1517)=1,CROQUIS_DATOS!$C$1557,0)=0),MOD($A171-1,62)+1&gt;2*IF(CHOOSE(MIN(MAX(MIN(INT(($A171-1)/62)+1,5),1),5),CROQUIS_DATOS!$C$1501,CROQUIS_DATOS!$C$1505,CROQUIS_DATOS!$C$1509,CROQUIS_DATOS!$C$1513,CROQUIS_DATOS!$C$1517)=1,CROQUIS_DATOS!$C$1557,0)+1),CROQUIS_DATOS!$C$1476,MIN(INT((MOD($A171-1,62)+1-2)/2)+1,MAX(IF(CHOOSE(MIN(MAX(MIN(INT(($A171-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1">
        <f>IF(AND(CROQUIS_DATOS!$C$1472=1,1),(CROQUIS_DATOS!$C$1563+(MIN(INT(($A171-1)/2)+1,CROQUIS_DATOS!$C$1558)*CROQUIS_DATOS!$C$1559)*CROQUIS_DATOS!$C$1562),-1000)</f>
        <v>82.2281167108753</v>
      </c>
      <c r="U171">
        <f>IF(AND(CROQUIS_DATOS!$C$1472=1,1),(CROQUIS_DATOS!$C$1564+(IF(INT(($A171-1)/2)+1&gt;CROQUIS_DATOS!$C$1558,IF(MOD(CROQUIS_DATOS!$C$1558,2)=1,CROQUIS_DATOS!$C$1476+CROQUIS_DATOS!$C$1528,CROQUIS_DATOS!$C$1476),IF(IF(MOD(MIN(INT(($A171-1)/2)+1,CROQUIS_DATOS!$C$1558),2)=1,MOD($A171-1,2),1-MOD($A171-1,2))=1,CROQUIS_DATOS!$C$1476+CROQUIS_DATOS!$C$1528,CROQUIS_DATOS!$C$1476)))*CROQUIS_DATOS!$C$1561*CROQUIS_DATOS!$C$1562),-1000)</f>
        <v>43</v>
      </c>
    </row>
    <row r="172">
      <c r="A172" t="n">
        <v>165</v>
      </c>
      <c r="N172">
        <f>IF(AND(CROQUIS_DATOS!$C$1472=1,1),(CROQUIS_DATOS!$C$1563+(IF(IF(IF(INT(($A172-1)/70)+1&gt;CROQUIS_DATOS!$C$1525,70,MOD($A172-1,70)+1)=1,0,IF(IF(INT(($A172-1)/70)+1&gt;CROQUIS_DATOS!$C$1525,70,MOD($A172-1,70)+1)&gt;2*CROQUIS_DATOS!$C$1541+1,IF(MOD(CROQUIS_DATOS!$C$1541,2)=1,1,0),IF(MOD(MIN(INT((IF(INT(($A172-1)/70)+1&gt;CROQUIS_DATOS!$C$1525,70,MOD($A172-1,70)+1)-2)/2)+1,CROQUIS_DATOS!$C$1541),2)=1,IF(MOD(IF(INT(($A172-1)/70)+1&gt;CROQUIS_DATOS!$C$1525,70,MOD($A172-1,70)+1)-2,2)=0,0,1),IF(MOD(IF(INT(($A172-1)/70)+1&gt;CROQUIS_DATOS!$C$1525,70,MOD($A172-1,70)+1)-2,2)=0,1,0))))=0,(INDEX($E$8:$E$23,MIN(INT(($A172-1)/70)+1,CROQUIS_DATOS!$C$1525))-INDEX($F$8:$F$23,MIN(INT(($A172-1)/70)+1,CROQUIS_DATOS!$C$1525))/2),(INDEX($E$8:$E$23,MIN(INT(($A172-1)/70)+1,CROQUIS_DATOS!$C$1525))+INDEX($F$8:$F$23,MIN(INT(($A172-1)/70)+1,CROQUIS_DATOS!$C$1525))/2)))*CROQUIS_DATOS!$C$1562),-1000)</f>
        <v>33.2413793103448</v>
      </c>
      <c r="O172">
        <f>IF(AND(CROQUIS_DATOS!$C$1472=1,1),(CROQUIS_DATOS!$C$1564+(IF(OR(IF(INT(($A172-1)/70)+1&gt;CROQUIS_DATOS!$C$1525,70,MOD($A172-1,70)+1)=1,IF(INT(($A172-1)/70)+1&gt;CROQUIS_DATOS!$C$1525,70,MOD($A172-1,70)+1)&gt;2*CROQUIS_DATOS!$C$1541+1),CROQUIS_DATOS!$C$1476,INDEX($H$8:$H$41,MIN(INT((IF(INT(($A172-1)/70)+1&gt;CROQUIS_DATOS!$C$1525,70,MOD($A172-1,70)+1)-2)/2)+1,CROQUIS_DATOS!$C$1541))))*CROQUIS_DATOS!$C$1561*CROQUIS_DATOS!$C$1562),-1000)</f>
        <v>29.5387931034483</v>
      </c>
      <c r="P172">
        <f>IF(AND(CROQUIS_DATOS!$C$1472=1,CROQUIS_DATOS!$C$1555=1),(CROQUIS_DATOS!$C$1563+(IF(IF(OR(MOD($A172-1,62)+1=1,IF(CHOOSE(MIN(MAX(MIN(INT(($A172-1)/62)+1,5),1),5),CROQUIS_DATOS!$C$1501,CROQUIS_DATOS!$C$1505,CROQUIS_DATOS!$C$1509,CROQUIS_DATOS!$C$1513,CROQUIS_DATOS!$C$1517)=1,CROQUIS_DATOS!$C$1557,0)=0),0,IF(MOD($A172-1,62)+1&gt;2*IF(CHOOSE(MIN(MAX(MIN(INT(($A172-1)/62)+1,5),1),5),CROQUIS_DATOS!$C$1501,CROQUIS_DATOS!$C$1505,CROQUIS_DATOS!$C$1509,CROQUIS_DATOS!$C$1513,CROQUIS_DATOS!$C$1517)=1,CROQUIS_DATOS!$C$1557,0)+1,IF(MOD(IF(CHOOSE(MIN(MAX(MIN(INT(($A172-1)/62)+1,5),1),5),CROQUIS_DATOS!$C$1501,CROQUIS_DATOS!$C$1505,CROQUIS_DATOS!$C$1509,CROQUIS_DATOS!$C$1513,CROQUIS_DATOS!$C$1517)=1,CROQUIS_DATOS!$C$1557,0),2)=1,1,0),IF(MOD(MIN(INT((MOD($A172-1,62)+1-2)/2)+1,MAX(IF(CHOOSE(MIN(MAX(MIN(INT(($A172-1)/62)+1,5),1),5),CROQUIS_DATOS!$C$1501,CROQUIS_DATOS!$C$1505,CROQUIS_DATOS!$C$1509,CROQUIS_DATOS!$C$1513,CROQUIS_DATOS!$C$1517)=1,CROQUIS_DATOS!$C$1557,0),1)),2)=1,IF(MOD(MOD($A172-1,62)+1-2,2)=0,0,1),IF(MOD(MOD($A172-1,62)+1-2,2)=0,1,0))))=0,(CHOOSE(MIN(MAX(MIN(INT(($A172-1)/62)+1,5),1),5),CROQUIS_DATOS!$C$1499,CROQUIS_DATOS!$C$1503,CROQUIS_DATOS!$C$1507,CROQUIS_DATOS!$C$1511,CROQUIS_DATOS!$C$1515)+IF(CHOOSE(MIN(MAX(MIN(INT(($A172-1)/62)+1,5),1),5),CROQUIS_DATOS!$C$1501,CROQUIS_DATOS!$C$1505,CROQUIS_DATOS!$C$1509,CROQUIS_DATOS!$C$1513,CROQUIS_DATOS!$C$1517)=1,CROQUIS_DATOS!$C$1526,0)),(CHOOSE(MIN(MAX(MIN(INT(($A172-1)/62)+1,5),1),5),CROQUIS_DATOS!$C$1499,CROQUIS_DATOS!$C$1503,CROQUIS_DATOS!$C$1507,CROQUIS_DATOS!$C$1511,CROQUIS_DATOS!$C$1515)+CHOOSE(MIN(MAX(MIN(INT(($A172-1)/62)+1,5),1),5),CROQUIS_DATOS!$C$1500,CROQUIS_DATOS!$C$1504,CROQUIS_DATOS!$C$1508,CROQUIS_DATOS!$C$1512,CROQUIS_DATOS!$C$1516)-IF(CHOOSE(MIN(MAX(MIN(INT(($A172-1)/62)+1,5),1),5),CROQUIS_DATOS!$C$1501,CROQUIS_DATOS!$C$1505,CROQUIS_DATOS!$C$1509,CROQUIS_DATOS!$C$1513,CROQUIS_DATOS!$C$1517)=1,CROQUIS_DATOS!$C$1526,0))))*CROQUIS_DATOS!$C$1562),-1000)</f>
        <v>-1000</v>
      </c>
      <c r="Q172">
        <f>IF(AND(CROQUIS_DATOS!$C$1472=1,CROQUIS_DATOS!$C$1555=1),(CROQUIS_DATOS!$C$1564+(IF(OR(OR(MOD($A172-1,62)+1=1,IF(CHOOSE(MIN(MAX(MIN(INT(($A172-1)/62)+1,5),1),5),CROQUIS_DATOS!$C$1501,CROQUIS_DATOS!$C$1505,CROQUIS_DATOS!$C$1509,CROQUIS_DATOS!$C$1513,CROQUIS_DATOS!$C$1517)=1,CROQUIS_DATOS!$C$1557,0)=0),MOD($A172-1,62)+1&gt;2*IF(CHOOSE(MIN(MAX(MIN(INT(($A172-1)/62)+1,5),1),5),CROQUIS_DATOS!$C$1501,CROQUIS_DATOS!$C$1505,CROQUIS_DATOS!$C$1509,CROQUIS_DATOS!$C$1513,CROQUIS_DATOS!$C$1517)=1,CROQUIS_DATOS!$C$1557,0)+1),CROQUIS_DATOS!$C$1476,MIN(INT((MOD($A172-1,62)+1-2)/2)+1,MAX(IF(CHOOSE(MIN(MAX(MIN(INT(($A172-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2">
        <f>IF(AND(CROQUIS_DATOS!$C$1472=1,1),(CROQUIS_DATOS!$C$1563+(MIN(INT(($A172-1)/2)+1,CROQUIS_DATOS!$C$1558)*CROQUIS_DATOS!$C$1559)*CROQUIS_DATOS!$C$1562),-1000)</f>
        <v>82.2281167108753</v>
      </c>
      <c r="U172">
        <f>IF(AND(CROQUIS_DATOS!$C$1472=1,1),(CROQUIS_DATOS!$C$1564+(IF(INT(($A172-1)/2)+1&gt;CROQUIS_DATOS!$C$1558,IF(MOD(CROQUIS_DATOS!$C$1558,2)=1,CROQUIS_DATOS!$C$1476+CROQUIS_DATOS!$C$1528,CROQUIS_DATOS!$C$1476),IF(IF(MOD(MIN(INT(($A172-1)/2)+1,CROQUIS_DATOS!$C$1558),2)=1,MOD($A172-1,2),1-MOD($A172-1,2))=1,CROQUIS_DATOS!$C$1476+CROQUIS_DATOS!$C$1528,CROQUIS_DATOS!$C$1476)))*CROQUIS_DATOS!$C$1561*CROQUIS_DATOS!$C$1562),-1000)</f>
        <v>43</v>
      </c>
    </row>
    <row r="173">
      <c r="A173" t="n">
        <v>166</v>
      </c>
      <c r="N173">
        <f>IF(AND(CROQUIS_DATOS!$C$1472=1,1),(CROQUIS_DATOS!$C$1563+(IF(IF(IF(INT(($A173-1)/70)+1&gt;CROQUIS_DATOS!$C$1525,70,MOD($A173-1,70)+1)=1,0,IF(IF(INT(($A173-1)/70)+1&gt;CROQUIS_DATOS!$C$1525,70,MOD($A173-1,70)+1)&gt;2*CROQUIS_DATOS!$C$1541+1,IF(MOD(CROQUIS_DATOS!$C$1541,2)=1,1,0),IF(MOD(MIN(INT((IF(INT(($A173-1)/70)+1&gt;CROQUIS_DATOS!$C$1525,70,MOD($A173-1,70)+1)-2)/2)+1,CROQUIS_DATOS!$C$1541),2)=1,IF(MOD(IF(INT(($A173-1)/70)+1&gt;CROQUIS_DATOS!$C$1525,70,MOD($A173-1,70)+1)-2,2)=0,0,1),IF(MOD(IF(INT(($A173-1)/70)+1&gt;CROQUIS_DATOS!$C$1525,70,MOD($A173-1,70)+1)-2,2)=0,1,0))))=0,(INDEX($E$8:$E$23,MIN(INT(($A173-1)/70)+1,CROQUIS_DATOS!$C$1525))-INDEX($F$8:$F$23,MIN(INT(($A173-1)/70)+1,CROQUIS_DATOS!$C$1525))/2),(INDEX($E$8:$E$23,MIN(INT(($A173-1)/70)+1,CROQUIS_DATOS!$C$1525))+INDEX($F$8:$F$23,MIN(INT(($A173-1)/70)+1,CROQUIS_DATOS!$C$1525))/2)))*CROQUIS_DATOS!$C$1562),-1000)</f>
        <v>33.2413793103448</v>
      </c>
      <c r="O173">
        <f>IF(AND(CROQUIS_DATOS!$C$1472=1,1),(CROQUIS_DATOS!$C$1564+(IF(OR(IF(INT(($A173-1)/70)+1&gt;CROQUIS_DATOS!$C$1525,70,MOD($A173-1,70)+1)=1,IF(INT(($A173-1)/70)+1&gt;CROQUIS_DATOS!$C$1525,70,MOD($A173-1,70)+1)&gt;2*CROQUIS_DATOS!$C$1541+1),CROQUIS_DATOS!$C$1476,INDEX($H$8:$H$41,MIN(INT((IF(INT(($A173-1)/70)+1&gt;CROQUIS_DATOS!$C$1525,70,MOD($A173-1,70)+1)-2)/2)+1,CROQUIS_DATOS!$C$1541))))*CROQUIS_DATOS!$C$1561*CROQUIS_DATOS!$C$1562),-1000)</f>
        <v>32.2543103448276</v>
      </c>
      <c r="P173">
        <f>IF(AND(CROQUIS_DATOS!$C$1472=1,CROQUIS_DATOS!$C$1555=1),(CROQUIS_DATOS!$C$1563+(IF(IF(OR(MOD($A173-1,62)+1=1,IF(CHOOSE(MIN(MAX(MIN(INT(($A173-1)/62)+1,5),1),5),CROQUIS_DATOS!$C$1501,CROQUIS_DATOS!$C$1505,CROQUIS_DATOS!$C$1509,CROQUIS_DATOS!$C$1513,CROQUIS_DATOS!$C$1517)=1,CROQUIS_DATOS!$C$1557,0)=0),0,IF(MOD($A173-1,62)+1&gt;2*IF(CHOOSE(MIN(MAX(MIN(INT(($A173-1)/62)+1,5),1),5),CROQUIS_DATOS!$C$1501,CROQUIS_DATOS!$C$1505,CROQUIS_DATOS!$C$1509,CROQUIS_DATOS!$C$1513,CROQUIS_DATOS!$C$1517)=1,CROQUIS_DATOS!$C$1557,0)+1,IF(MOD(IF(CHOOSE(MIN(MAX(MIN(INT(($A173-1)/62)+1,5),1),5),CROQUIS_DATOS!$C$1501,CROQUIS_DATOS!$C$1505,CROQUIS_DATOS!$C$1509,CROQUIS_DATOS!$C$1513,CROQUIS_DATOS!$C$1517)=1,CROQUIS_DATOS!$C$1557,0),2)=1,1,0),IF(MOD(MIN(INT((MOD($A173-1,62)+1-2)/2)+1,MAX(IF(CHOOSE(MIN(MAX(MIN(INT(($A173-1)/62)+1,5),1),5),CROQUIS_DATOS!$C$1501,CROQUIS_DATOS!$C$1505,CROQUIS_DATOS!$C$1509,CROQUIS_DATOS!$C$1513,CROQUIS_DATOS!$C$1517)=1,CROQUIS_DATOS!$C$1557,0),1)),2)=1,IF(MOD(MOD($A173-1,62)+1-2,2)=0,0,1),IF(MOD(MOD($A173-1,62)+1-2,2)=0,1,0))))=0,(CHOOSE(MIN(MAX(MIN(INT(($A173-1)/62)+1,5),1),5),CROQUIS_DATOS!$C$1499,CROQUIS_DATOS!$C$1503,CROQUIS_DATOS!$C$1507,CROQUIS_DATOS!$C$1511,CROQUIS_DATOS!$C$1515)+IF(CHOOSE(MIN(MAX(MIN(INT(($A173-1)/62)+1,5),1),5),CROQUIS_DATOS!$C$1501,CROQUIS_DATOS!$C$1505,CROQUIS_DATOS!$C$1509,CROQUIS_DATOS!$C$1513,CROQUIS_DATOS!$C$1517)=1,CROQUIS_DATOS!$C$1526,0)),(CHOOSE(MIN(MAX(MIN(INT(($A173-1)/62)+1,5),1),5),CROQUIS_DATOS!$C$1499,CROQUIS_DATOS!$C$1503,CROQUIS_DATOS!$C$1507,CROQUIS_DATOS!$C$1511,CROQUIS_DATOS!$C$1515)+CHOOSE(MIN(MAX(MIN(INT(($A173-1)/62)+1,5),1),5),CROQUIS_DATOS!$C$1500,CROQUIS_DATOS!$C$1504,CROQUIS_DATOS!$C$1508,CROQUIS_DATOS!$C$1512,CROQUIS_DATOS!$C$1516)-IF(CHOOSE(MIN(MAX(MIN(INT(($A173-1)/62)+1,5),1),5),CROQUIS_DATOS!$C$1501,CROQUIS_DATOS!$C$1505,CROQUIS_DATOS!$C$1509,CROQUIS_DATOS!$C$1513,CROQUIS_DATOS!$C$1517)=1,CROQUIS_DATOS!$C$1526,0))))*CROQUIS_DATOS!$C$1562),-1000)</f>
        <v>-1000</v>
      </c>
      <c r="Q173">
        <f>IF(AND(CROQUIS_DATOS!$C$1472=1,CROQUIS_DATOS!$C$1555=1),(CROQUIS_DATOS!$C$1564+(IF(OR(OR(MOD($A173-1,62)+1=1,IF(CHOOSE(MIN(MAX(MIN(INT(($A173-1)/62)+1,5),1),5),CROQUIS_DATOS!$C$1501,CROQUIS_DATOS!$C$1505,CROQUIS_DATOS!$C$1509,CROQUIS_DATOS!$C$1513,CROQUIS_DATOS!$C$1517)=1,CROQUIS_DATOS!$C$1557,0)=0),MOD($A173-1,62)+1&gt;2*IF(CHOOSE(MIN(MAX(MIN(INT(($A173-1)/62)+1,5),1),5),CROQUIS_DATOS!$C$1501,CROQUIS_DATOS!$C$1505,CROQUIS_DATOS!$C$1509,CROQUIS_DATOS!$C$1513,CROQUIS_DATOS!$C$1517)=1,CROQUIS_DATOS!$C$1557,0)+1),CROQUIS_DATOS!$C$1476,MIN(INT((MOD($A173-1,62)+1-2)/2)+1,MAX(IF(CHOOSE(MIN(MAX(MIN(INT(($A173-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3">
        <f>IF(AND(CROQUIS_DATOS!$C$1472=1,1),(CROQUIS_DATOS!$C$1563+(MIN(INT(($A173-1)/2)+1,CROQUIS_DATOS!$C$1558)*CROQUIS_DATOS!$C$1559)*CROQUIS_DATOS!$C$1562),-1000)</f>
        <v>82.2281167108753</v>
      </c>
      <c r="U173">
        <f>IF(AND(CROQUIS_DATOS!$C$1472=1,1),(CROQUIS_DATOS!$C$1564+(IF(INT(($A173-1)/2)+1&gt;CROQUIS_DATOS!$C$1558,IF(MOD(CROQUIS_DATOS!$C$1558,2)=1,CROQUIS_DATOS!$C$1476+CROQUIS_DATOS!$C$1528,CROQUIS_DATOS!$C$1476),IF(IF(MOD(MIN(INT(($A173-1)/2)+1,CROQUIS_DATOS!$C$1558),2)=1,MOD($A173-1,2),1-MOD($A173-1,2))=1,CROQUIS_DATOS!$C$1476+CROQUIS_DATOS!$C$1528,CROQUIS_DATOS!$C$1476)))*CROQUIS_DATOS!$C$1561*CROQUIS_DATOS!$C$1562),-1000)</f>
        <v>43</v>
      </c>
    </row>
    <row r="174">
      <c r="A174" t="n">
        <v>167</v>
      </c>
      <c r="N174">
        <f>IF(AND(CROQUIS_DATOS!$C$1472=1,1),(CROQUIS_DATOS!$C$1563+(IF(IF(IF(INT(($A174-1)/70)+1&gt;CROQUIS_DATOS!$C$1525,70,MOD($A174-1,70)+1)=1,0,IF(IF(INT(($A174-1)/70)+1&gt;CROQUIS_DATOS!$C$1525,70,MOD($A174-1,70)+1)&gt;2*CROQUIS_DATOS!$C$1541+1,IF(MOD(CROQUIS_DATOS!$C$1541,2)=1,1,0),IF(MOD(MIN(INT((IF(INT(($A174-1)/70)+1&gt;CROQUIS_DATOS!$C$1525,70,MOD($A174-1,70)+1)-2)/2)+1,CROQUIS_DATOS!$C$1541),2)=1,IF(MOD(IF(INT(($A174-1)/70)+1&gt;CROQUIS_DATOS!$C$1525,70,MOD($A174-1,70)+1)-2,2)=0,0,1),IF(MOD(IF(INT(($A174-1)/70)+1&gt;CROQUIS_DATOS!$C$1525,70,MOD($A174-1,70)+1)-2,2)=0,1,0))))=0,(INDEX($E$8:$E$23,MIN(INT(($A174-1)/70)+1,CROQUIS_DATOS!$C$1525))-INDEX($F$8:$F$23,MIN(INT(($A174-1)/70)+1,CROQUIS_DATOS!$C$1525))/2),(INDEX($E$8:$E$23,MIN(INT(($A174-1)/70)+1,CROQUIS_DATOS!$C$1525))+INDEX($F$8:$F$23,MIN(INT(($A174-1)/70)+1,CROQUIS_DATOS!$C$1525))/2)))*CROQUIS_DATOS!$C$1562),-1000)</f>
        <v>35.3362068965517</v>
      </c>
      <c r="O174">
        <f>IF(AND(CROQUIS_DATOS!$C$1472=1,1),(CROQUIS_DATOS!$C$1564+(IF(OR(IF(INT(($A174-1)/70)+1&gt;CROQUIS_DATOS!$C$1525,70,MOD($A174-1,70)+1)=1,IF(INT(($A174-1)/70)+1&gt;CROQUIS_DATOS!$C$1525,70,MOD($A174-1,70)+1)&gt;2*CROQUIS_DATOS!$C$1541+1),CROQUIS_DATOS!$C$1476,INDEX($H$8:$H$41,MIN(INT((IF(INT(($A174-1)/70)+1&gt;CROQUIS_DATOS!$C$1525,70,MOD($A174-1,70)+1)-2)/2)+1,CROQUIS_DATOS!$C$1541))))*CROQUIS_DATOS!$C$1561*CROQUIS_DATOS!$C$1562),-1000)</f>
        <v>32.2543103448276</v>
      </c>
      <c r="P174">
        <f>IF(AND(CROQUIS_DATOS!$C$1472=1,CROQUIS_DATOS!$C$1555=1),(CROQUIS_DATOS!$C$1563+(IF(IF(OR(MOD($A174-1,62)+1=1,IF(CHOOSE(MIN(MAX(MIN(INT(($A174-1)/62)+1,5),1),5),CROQUIS_DATOS!$C$1501,CROQUIS_DATOS!$C$1505,CROQUIS_DATOS!$C$1509,CROQUIS_DATOS!$C$1513,CROQUIS_DATOS!$C$1517)=1,CROQUIS_DATOS!$C$1557,0)=0),0,IF(MOD($A174-1,62)+1&gt;2*IF(CHOOSE(MIN(MAX(MIN(INT(($A174-1)/62)+1,5),1),5),CROQUIS_DATOS!$C$1501,CROQUIS_DATOS!$C$1505,CROQUIS_DATOS!$C$1509,CROQUIS_DATOS!$C$1513,CROQUIS_DATOS!$C$1517)=1,CROQUIS_DATOS!$C$1557,0)+1,IF(MOD(IF(CHOOSE(MIN(MAX(MIN(INT(($A174-1)/62)+1,5),1),5),CROQUIS_DATOS!$C$1501,CROQUIS_DATOS!$C$1505,CROQUIS_DATOS!$C$1509,CROQUIS_DATOS!$C$1513,CROQUIS_DATOS!$C$1517)=1,CROQUIS_DATOS!$C$1557,0),2)=1,1,0),IF(MOD(MIN(INT((MOD($A174-1,62)+1-2)/2)+1,MAX(IF(CHOOSE(MIN(MAX(MIN(INT(($A174-1)/62)+1,5),1),5),CROQUIS_DATOS!$C$1501,CROQUIS_DATOS!$C$1505,CROQUIS_DATOS!$C$1509,CROQUIS_DATOS!$C$1513,CROQUIS_DATOS!$C$1517)=1,CROQUIS_DATOS!$C$1557,0),1)),2)=1,IF(MOD(MOD($A174-1,62)+1-2,2)=0,0,1),IF(MOD(MOD($A174-1,62)+1-2,2)=0,1,0))))=0,(CHOOSE(MIN(MAX(MIN(INT(($A174-1)/62)+1,5),1),5),CROQUIS_DATOS!$C$1499,CROQUIS_DATOS!$C$1503,CROQUIS_DATOS!$C$1507,CROQUIS_DATOS!$C$1511,CROQUIS_DATOS!$C$1515)+IF(CHOOSE(MIN(MAX(MIN(INT(($A174-1)/62)+1,5),1),5),CROQUIS_DATOS!$C$1501,CROQUIS_DATOS!$C$1505,CROQUIS_DATOS!$C$1509,CROQUIS_DATOS!$C$1513,CROQUIS_DATOS!$C$1517)=1,CROQUIS_DATOS!$C$1526,0)),(CHOOSE(MIN(MAX(MIN(INT(($A174-1)/62)+1,5),1),5),CROQUIS_DATOS!$C$1499,CROQUIS_DATOS!$C$1503,CROQUIS_DATOS!$C$1507,CROQUIS_DATOS!$C$1511,CROQUIS_DATOS!$C$1515)+CHOOSE(MIN(MAX(MIN(INT(($A174-1)/62)+1,5),1),5),CROQUIS_DATOS!$C$1500,CROQUIS_DATOS!$C$1504,CROQUIS_DATOS!$C$1508,CROQUIS_DATOS!$C$1512,CROQUIS_DATOS!$C$1516)-IF(CHOOSE(MIN(MAX(MIN(INT(($A174-1)/62)+1,5),1),5),CROQUIS_DATOS!$C$1501,CROQUIS_DATOS!$C$1505,CROQUIS_DATOS!$C$1509,CROQUIS_DATOS!$C$1513,CROQUIS_DATOS!$C$1517)=1,CROQUIS_DATOS!$C$1526,0))))*CROQUIS_DATOS!$C$1562),-1000)</f>
        <v>-1000</v>
      </c>
      <c r="Q174">
        <f>IF(AND(CROQUIS_DATOS!$C$1472=1,CROQUIS_DATOS!$C$1555=1),(CROQUIS_DATOS!$C$1564+(IF(OR(OR(MOD($A174-1,62)+1=1,IF(CHOOSE(MIN(MAX(MIN(INT(($A174-1)/62)+1,5),1),5),CROQUIS_DATOS!$C$1501,CROQUIS_DATOS!$C$1505,CROQUIS_DATOS!$C$1509,CROQUIS_DATOS!$C$1513,CROQUIS_DATOS!$C$1517)=1,CROQUIS_DATOS!$C$1557,0)=0),MOD($A174-1,62)+1&gt;2*IF(CHOOSE(MIN(MAX(MIN(INT(($A174-1)/62)+1,5),1),5),CROQUIS_DATOS!$C$1501,CROQUIS_DATOS!$C$1505,CROQUIS_DATOS!$C$1509,CROQUIS_DATOS!$C$1513,CROQUIS_DATOS!$C$1517)=1,CROQUIS_DATOS!$C$1557,0)+1),CROQUIS_DATOS!$C$1476,MIN(INT((MOD($A174-1,62)+1-2)/2)+1,MAX(IF(CHOOSE(MIN(MAX(MIN(INT(($A174-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4">
        <f>IF(AND(CROQUIS_DATOS!$C$1472=1,1),(CROQUIS_DATOS!$C$1563+(MIN(INT(($A174-1)/2)+1,CROQUIS_DATOS!$C$1558)*CROQUIS_DATOS!$C$1559)*CROQUIS_DATOS!$C$1562),-1000)</f>
        <v>82.2281167108753</v>
      </c>
      <c r="U174">
        <f>IF(AND(CROQUIS_DATOS!$C$1472=1,1),(CROQUIS_DATOS!$C$1564+(IF(INT(($A174-1)/2)+1&gt;CROQUIS_DATOS!$C$1558,IF(MOD(CROQUIS_DATOS!$C$1558,2)=1,CROQUIS_DATOS!$C$1476+CROQUIS_DATOS!$C$1528,CROQUIS_DATOS!$C$1476),IF(IF(MOD(MIN(INT(($A174-1)/2)+1,CROQUIS_DATOS!$C$1558),2)=1,MOD($A174-1,2),1-MOD($A174-1,2))=1,CROQUIS_DATOS!$C$1476+CROQUIS_DATOS!$C$1528,CROQUIS_DATOS!$C$1476)))*CROQUIS_DATOS!$C$1561*CROQUIS_DATOS!$C$1562),-1000)</f>
        <v>43</v>
      </c>
    </row>
    <row r="175">
      <c r="A175" t="n">
        <v>168</v>
      </c>
      <c r="N175">
        <f>IF(AND(CROQUIS_DATOS!$C$1472=1,1),(CROQUIS_DATOS!$C$1563+(IF(IF(IF(INT(($A175-1)/70)+1&gt;CROQUIS_DATOS!$C$1525,70,MOD($A175-1,70)+1)=1,0,IF(IF(INT(($A175-1)/70)+1&gt;CROQUIS_DATOS!$C$1525,70,MOD($A175-1,70)+1)&gt;2*CROQUIS_DATOS!$C$1541+1,IF(MOD(CROQUIS_DATOS!$C$1541,2)=1,1,0),IF(MOD(MIN(INT((IF(INT(($A175-1)/70)+1&gt;CROQUIS_DATOS!$C$1525,70,MOD($A175-1,70)+1)-2)/2)+1,CROQUIS_DATOS!$C$1541),2)=1,IF(MOD(IF(INT(($A175-1)/70)+1&gt;CROQUIS_DATOS!$C$1525,70,MOD($A175-1,70)+1)-2,2)=0,0,1),IF(MOD(IF(INT(($A175-1)/70)+1&gt;CROQUIS_DATOS!$C$1525,70,MOD($A175-1,70)+1)-2,2)=0,1,0))))=0,(INDEX($E$8:$E$23,MIN(INT(($A175-1)/70)+1,CROQUIS_DATOS!$C$1525))-INDEX($F$8:$F$23,MIN(INT(($A175-1)/70)+1,CROQUIS_DATOS!$C$1525))/2),(INDEX($E$8:$E$23,MIN(INT(($A175-1)/70)+1,CROQUIS_DATOS!$C$1525))+INDEX($F$8:$F$23,MIN(INT(($A175-1)/70)+1,CROQUIS_DATOS!$C$1525))/2)))*CROQUIS_DATOS!$C$1562),-1000)</f>
        <v>35.3362068965517</v>
      </c>
      <c r="O175">
        <f>IF(AND(CROQUIS_DATOS!$C$1472=1,1),(CROQUIS_DATOS!$C$1564+(IF(OR(IF(INT(($A175-1)/70)+1&gt;CROQUIS_DATOS!$C$1525,70,MOD($A175-1,70)+1)=1,IF(INT(($A175-1)/70)+1&gt;CROQUIS_DATOS!$C$1525,70,MOD($A175-1,70)+1)&gt;2*CROQUIS_DATOS!$C$1541+1),CROQUIS_DATOS!$C$1476,INDEX($H$8:$H$41,MIN(INT((IF(INT(($A175-1)/70)+1&gt;CROQUIS_DATOS!$C$1525,70,MOD($A175-1,70)+1)-2)/2)+1,CROQUIS_DATOS!$C$1541))))*CROQUIS_DATOS!$C$1561*CROQUIS_DATOS!$C$1562),-1000)</f>
        <v>34.9698275862069</v>
      </c>
      <c r="P175">
        <f>IF(AND(CROQUIS_DATOS!$C$1472=1,CROQUIS_DATOS!$C$1555=1),(CROQUIS_DATOS!$C$1563+(IF(IF(OR(MOD($A175-1,62)+1=1,IF(CHOOSE(MIN(MAX(MIN(INT(($A175-1)/62)+1,5),1),5),CROQUIS_DATOS!$C$1501,CROQUIS_DATOS!$C$1505,CROQUIS_DATOS!$C$1509,CROQUIS_DATOS!$C$1513,CROQUIS_DATOS!$C$1517)=1,CROQUIS_DATOS!$C$1557,0)=0),0,IF(MOD($A175-1,62)+1&gt;2*IF(CHOOSE(MIN(MAX(MIN(INT(($A175-1)/62)+1,5),1),5),CROQUIS_DATOS!$C$1501,CROQUIS_DATOS!$C$1505,CROQUIS_DATOS!$C$1509,CROQUIS_DATOS!$C$1513,CROQUIS_DATOS!$C$1517)=1,CROQUIS_DATOS!$C$1557,0)+1,IF(MOD(IF(CHOOSE(MIN(MAX(MIN(INT(($A175-1)/62)+1,5),1),5),CROQUIS_DATOS!$C$1501,CROQUIS_DATOS!$C$1505,CROQUIS_DATOS!$C$1509,CROQUIS_DATOS!$C$1513,CROQUIS_DATOS!$C$1517)=1,CROQUIS_DATOS!$C$1557,0),2)=1,1,0),IF(MOD(MIN(INT((MOD($A175-1,62)+1-2)/2)+1,MAX(IF(CHOOSE(MIN(MAX(MIN(INT(($A175-1)/62)+1,5),1),5),CROQUIS_DATOS!$C$1501,CROQUIS_DATOS!$C$1505,CROQUIS_DATOS!$C$1509,CROQUIS_DATOS!$C$1513,CROQUIS_DATOS!$C$1517)=1,CROQUIS_DATOS!$C$1557,0),1)),2)=1,IF(MOD(MOD($A175-1,62)+1-2,2)=0,0,1),IF(MOD(MOD($A175-1,62)+1-2,2)=0,1,0))))=0,(CHOOSE(MIN(MAX(MIN(INT(($A175-1)/62)+1,5),1),5),CROQUIS_DATOS!$C$1499,CROQUIS_DATOS!$C$1503,CROQUIS_DATOS!$C$1507,CROQUIS_DATOS!$C$1511,CROQUIS_DATOS!$C$1515)+IF(CHOOSE(MIN(MAX(MIN(INT(($A175-1)/62)+1,5),1),5),CROQUIS_DATOS!$C$1501,CROQUIS_DATOS!$C$1505,CROQUIS_DATOS!$C$1509,CROQUIS_DATOS!$C$1513,CROQUIS_DATOS!$C$1517)=1,CROQUIS_DATOS!$C$1526,0)),(CHOOSE(MIN(MAX(MIN(INT(($A175-1)/62)+1,5),1),5),CROQUIS_DATOS!$C$1499,CROQUIS_DATOS!$C$1503,CROQUIS_DATOS!$C$1507,CROQUIS_DATOS!$C$1511,CROQUIS_DATOS!$C$1515)+CHOOSE(MIN(MAX(MIN(INT(($A175-1)/62)+1,5),1),5),CROQUIS_DATOS!$C$1500,CROQUIS_DATOS!$C$1504,CROQUIS_DATOS!$C$1508,CROQUIS_DATOS!$C$1512,CROQUIS_DATOS!$C$1516)-IF(CHOOSE(MIN(MAX(MIN(INT(($A175-1)/62)+1,5),1),5),CROQUIS_DATOS!$C$1501,CROQUIS_DATOS!$C$1505,CROQUIS_DATOS!$C$1509,CROQUIS_DATOS!$C$1513,CROQUIS_DATOS!$C$1517)=1,CROQUIS_DATOS!$C$1526,0))))*CROQUIS_DATOS!$C$1562),-1000)</f>
        <v>-1000</v>
      </c>
      <c r="Q175">
        <f>IF(AND(CROQUIS_DATOS!$C$1472=1,CROQUIS_DATOS!$C$1555=1),(CROQUIS_DATOS!$C$1564+(IF(OR(OR(MOD($A175-1,62)+1=1,IF(CHOOSE(MIN(MAX(MIN(INT(($A175-1)/62)+1,5),1),5),CROQUIS_DATOS!$C$1501,CROQUIS_DATOS!$C$1505,CROQUIS_DATOS!$C$1509,CROQUIS_DATOS!$C$1513,CROQUIS_DATOS!$C$1517)=1,CROQUIS_DATOS!$C$1557,0)=0),MOD($A175-1,62)+1&gt;2*IF(CHOOSE(MIN(MAX(MIN(INT(($A175-1)/62)+1,5),1),5),CROQUIS_DATOS!$C$1501,CROQUIS_DATOS!$C$1505,CROQUIS_DATOS!$C$1509,CROQUIS_DATOS!$C$1513,CROQUIS_DATOS!$C$1517)=1,CROQUIS_DATOS!$C$1557,0)+1),CROQUIS_DATOS!$C$1476,MIN(INT((MOD($A175-1,62)+1-2)/2)+1,MAX(IF(CHOOSE(MIN(MAX(MIN(INT(($A175-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5">
        <f>IF(AND(CROQUIS_DATOS!$C$1472=1,1),(CROQUIS_DATOS!$C$1563+(MIN(INT(($A175-1)/2)+1,CROQUIS_DATOS!$C$1558)*CROQUIS_DATOS!$C$1559)*CROQUIS_DATOS!$C$1562),-1000)</f>
        <v>82.2281167108753</v>
      </c>
      <c r="U175">
        <f>IF(AND(CROQUIS_DATOS!$C$1472=1,1),(CROQUIS_DATOS!$C$1564+(IF(INT(($A175-1)/2)+1&gt;CROQUIS_DATOS!$C$1558,IF(MOD(CROQUIS_DATOS!$C$1558,2)=1,CROQUIS_DATOS!$C$1476+CROQUIS_DATOS!$C$1528,CROQUIS_DATOS!$C$1476),IF(IF(MOD(MIN(INT(($A175-1)/2)+1,CROQUIS_DATOS!$C$1558),2)=1,MOD($A175-1,2),1-MOD($A175-1,2))=1,CROQUIS_DATOS!$C$1476+CROQUIS_DATOS!$C$1528,CROQUIS_DATOS!$C$1476)))*CROQUIS_DATOS!$C$1561*CROQUIS_DATOS!$C$1562),-1000)</f>
        <v>43</v>
      </c>
    </row>
    <row r="176">
      <c r="A176" t="n">
        <v>169</v>
      </c>
      <c r="N176">
        <f>IF(AND(CROQUIS_DATOS!$C$1472=1,1),(CROQUIS_DATOS!$C$1563+(IF(IF(IF(INT(($A176-1)/70)+1&gt;CROQUIS_DATOS!$C$1525,70,MOD($A176-1,70)+1)=1,0,IF(IF(INT(($A176-1)/70)+1&gt;CROQUIS_DATOS!$C$1525,70,MOD($A176-1,70)+1)&gt;2*CROQUIS_DATOS!$C$1541+1,IF(MOD(CROQUIS_DATOS!$C$1541,2)=1,1,0),IF(MOD(MIN(INT((IF(INT(($A176-1)/70)+1&gt;CROQUIS_DATOS!$C$1525,70,MOD($A176-1,70)+1)-2)/2)+1,CROQUIS_DATOS!$C$1541),2)=1,IF(MOD(IF(INT(($A176-1)/70)+1&gt;CROQUIS_DATOS!$C$1525,70,MOD($A176-1,70)+1)-2,2)=0,0,1),IF(MOD(IF(INT(($A176-1)/70)+1&gt;CROQUIS_DATOS!$C$1525,70,MOD($A176-1,70)+1)-2,2)=0,1,0))))=0,(INDEX($E$8:$E$23,MIN(INT(($A176-1)/70)+1,CROQUIS_DATOS!$C$1525))-INDEX($F$8:$F$23,MIN(INT(($A176-1)/70)+1,CROQUIS_DATOS!$C$1525))/2),(INDEX($E$8:$E$23,MIN(INT(($A176-1)/70)+1,CROQUIS_DATOS!$C$1525))+INDEX($F$8:$F$23,MIN(INT(($A176-1)/70)+1,CROQUIS_DATOS!$C$1525))/2)))*CROQUIS_DATOS!$C$1562),-1000)</f>
        <v>33.2413793103448</v>
      </c>
      <c r="O176">
        <f>IF(AND(CROQUIS_DATOS!$C$1472=1,1),(CROQUIS_DATOS!$C$1564+(IF(OR(IF(INT(($A176-1)/70)+1&gt;CROQUIS_DATOS!$C$1525,70,MOD($A176-1,70)+1)=1,IF(INT(($A176-1)/70)+1&gt;CROQUIS_DATOS!$C$1525,70,MOD($A176-1,70)+1)&gt;2*CROQUIS_DATOS!$C$1541+1),CROQUIS_DATOS!$C$1476,INDEX($H$8:$H$41,MIN(INT((IF(INT(($A176-1)/70)+1&gt;CROQUIS_DATOS!$C$1525,70,MOD($A176-1,70)+1)-2)/2)+1,CROQUIS_DATOS!$C$1541))))*CROQUIS_DATOS!$C$1561*CROQUIS_DATOS!$C$1562),-1000)</f>
        <v>34.9698275862069</v>
      </c>
      <c r="P176">
        <f>IF(AND(CROQUIS_DATOS!$C$1472=1,CROQUIS_DATOS!$C$1555=1),(CROQUIS_DATOS!$C$1563+(IF(IF(OR(MOD($A176-1,62)+1=1,IF(CHOOSE(MIN(MAX(MIN(INT(($A176-1)/62)+1,5),1),5),CROQUIS_DATOS!$C$1501,CROQUIS_DATOS!$C$1505,CROQUIS_DATOS!$C$1509,CROQUIS_DATOS!$C$1513,CROQUIS_DATOS!$C$1517)=1,CROQUIS_DATOS!$C$1557,0)=0),0,IF(MOD($A176-1,62)+1&gt;2*IF(CHOOSE(MIN(MAX(MIN(INT(($A176-1)/62)+1,5),1),5),CROQUIS_DATOS!$C$1501,CROQUIS_DATOS!$C$1505,CROQUIS_DATOS!$C$1509,CROQUIS_DATOS!$C$1513,CROQUIS_DATOS!$C$1517)=1,CROQUIS_DATOS!$C$1557,0)+1,IF(MOD(IF(CHOOSE(MIN(MAX(MIN(INT(($A176-1)/62)+1,5),1),5),CROQUIS_DATOS!$C$1501,CROQUIS_DATOS!$C$1505,CROQUIS_DATOS!$C$1509,CROQUIS_DATOS!$C$1513,CROQUIS_DATOS!$C$1517)=1,CROQUIS_DATOS!$C$1557,0),2)=1,1,0),IF(MOD(MIN(INT((MOD($A176-1,62)+1-2)/2)+1,MAX(IF(CHOOSE(MIN(MAX(MIN(INT(($A176-1)/62)+1,5),1),5),CROQUIS_DATOS!$C$1501,CROQUIS_DATOS!$C$1505,CROQUIS_DATOS!$C$1509,CROQUIS_DATOS!$C$1513,CROQUIS_DATOS!$C$1517)=1,CROQUIS_DATOS!$C$1557,0),1)),2)=1,IF(MOD(MOD($A176-1,62)+1-2,2)=0,0,1),IF(MOD(MOD($A176-1,62)+1-2,2)=0,1,0))))=0,(CHOOSE(MIN(MAX(MIN(INT(($A176-1)/62)+1,5),1),5),CROQUIS_DATOS!$C$1499,CROQUIS_DATOS!$C$1503,CROQUIS_DATOS!$C$1507,CROQUIS_DATOS!$C$1511,CROQUIS_DATOS!$C$1515)+IF(CHOOSE(MIN(MAX(MIN(INT(($A176-1)/62)+1,5),1),5),CROQUIS_DATOS!$C$1501,CROQUIS_DATOS!$C$1505,CROQUIS_DATOS!$C$1509,CROQUIS_DATOS!$C$1513,CROQUIS_DATOS!$C$1517)=1,CROQUIS_DATOS!$C$1526,0)),(CHOOSE(MIN(MAX(MIN(INT(($A176-1)/62)+1,5),1),5),CROQUIS_DATOS!$C$1499,CROQUIS_DATOS!$C$1503,CROQUIS_DATOS!$C$1507,CROQUIS_DATOS!$C$1511,CROQUIS_DATOS!$C$1515)+CHOOSE(MIN(MAX(MIN(INT(($A176-1)/62)+1,5),1),5),CROQUIS_DATOS!$C$1500,CROQUIS_DATOS!$C$1504,CROQUIS_DATOS!$C$1508,CROQUIS_DATOS!$C$1512,CROQUIS_DATOS!$C$1516)-IF(CHOOSE(MIN(MAX(MIN(INT(($A176-1)/62)+1,5),1),5),CROQUIS_DATOS!$C$1501,CROQUIS_DATOS!$C$1505,CROQUIS_DATOS!$C$1509,CROQUIS_DATOS!$C$1513,CROQUIS_DATOS!$C$1517)=1,CROQUIS_DATOS!$C$1526,0))))*CROQUIS_DATOS!$C$1562),-1000)</f>
        <v>-1000</v>
      </c>
      <c r="Q176">
        <f>IF(AND(CROQUIS_DATOS!$C$1472=1,CROQUIS_DATOS!$C$1555=1),(CROQUIS_DATOS!$C$1564+(IF(OR(OR(MOD($A176-1,62)+1=1,IF(CHOOSE(MIN(MAX(MIN(INT(($A176-1)/62)+1,5),1),5),CROQUIS_DATOS!$C$1501,CROQUIS_DATOS!$C$1505,CROQUIS_DATOS!$C$1509,CROQUIS_DATOS!$C$1513,CROQUIS_DATOS!$C$1517)=1,CROQUIS_DATOS!$C$1557,0)=0),MOD($A176-1,62)+1&gt;2*IF(CHOOSE(MIN(MAX(MIN(INT(($A176-1)/62)+1,5),1),5),CROQUIS_DATOS!$C$1501,CROQUIS_DATOS!$C$1505,CROQUIS_DATOS!$C$1509,CROQUIS_DATOS!$C$1513,CROQUIS_DATOS!$C$1517)=1,CROQUIS_DATOS!$C$1557,0)+1),CROQUIS_DATOS!$C$1476,MIN(INT((MOD($A176-1,62)+1-2)/2)+1,MAX(IF(CHOOSE(MIN(MAX(MIN(INT(($A176-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6">
        <f>IF(AND(CROQUIS_DATOS!$C$1472=1,1),(CROQUIS_DATOS!$C$1563+(MIN(INT(($A176-1)/2)+1,CROQUIS_DATOS!$C$1558)*CROQUIS_DATOS!$C$1559)*CROQUIS_DATOS!$C$1562),-1000)</f>
        <v>82.2281167108753</v>
      </c>
      <c r="U176">
        <f>IF(AND(CROQUIS_DATOS!$C$1472=1,1),(CROQUIS_DATOS!$C$1564+(IF(INT(($A176-1)/2)+1&gt;CROQUIS_DATOS!$C$1558,IF(MOD(CROQUIS_DATOS!$C$1558,2)=1,CROQUIS_DATOS!$C$1476+CROQUIS_DATOS!$C$1528,CROQUIS_DATOS!$C$1476),IF(IF(MOD(MIN(INT(($A176-1)/2)+1,CROQUIS_DATOS!$C$1558),2)=1,MOD($A176-1,2),1-MOD($A176-1,2))=1,CROQUIS_DATOS!$C$1476+CROQUIS_DATOS!$C$1528,CROQUIS_DATOS!$C$1476)))*CROQUIS_DATOS!$C$1561*CROQUIS_DATOS!$C$1562),-1000)</f>
        <v>43</v>
      </c>
    </row>
    <row r="177">
      <c r="A177" t="n">
        <v>170</v>
      </c>
      <c r="N177">
        <f>IF(AND(CROQUIS_DATOS!$C$1472=1,1),(CROQUIS_DATOS!$C$1563+(IF(IF(IF(INT(($A177-1)/70)+1&gt;CROQUIS_DATOS!$C$1525,70,MOD($A177-1,70)+1)=1,0,IF(IF(INT(($A177-1)/70)+1&gt;CROQUIS_DATOS!$C$1525,70,MOD($A177-1,70)+1)&gt;2*CROQUIS_DATOS!$C$1541+1,IF(MOD(CROQUIS_DATOS!$C$1541,2)=1,1,0),IF(MOD(MIN(INT((IF(INT(($A177-1)/70)+1&gt;CROQUIS_DATOS!$C$1525,70,MOD($A177-1,70)+1)-2)/2)+1,CROQUIS_DATOS!$C$1541),2)=1,IF(MOD(IF(INT(($A177-1)/70)+1&gt;CROQUIS_DATOS!$C$1525,70,MOD($A177-1,70)+1)-2,2)=0,0,1),IF(MOD(IF(INT(($A177-1)/70)+1&gt;CROQUIS_DATOS!$C$1525,70,MOD($A177-1,70)+1)-2,2)=0,1,0))))=0,(INDEX($E$8:$E$23,MIN(INT(($A177-1)/70)+1,CROQUIS_DATOS!$C$1525))-INDEX($F$8:$F$23,MIN(INT(($A177-1)/70)+1,CROQUIS_DATOS!$C$1525))/2),(INDEX($E$8:$E$23,MIN(INT(($A177-1)/70)+1,CROQUIS_DATOS!$C$1525))+INDEX($F$8:$F$23,MIN(INT(($A177-1)/70)+1,CROQUIS_DATOS!$C$1525))/2)))*CROQUIS_DATOS!$C$1562),-1000)</f>
        <v>33.2413793103448</v>
      </c>
      <c r="O177">
        <f>IF(AND(CROQUIS_DATOS!$C$1472=1,1),(CROQUIS_DATOS!$C$1564+(IF(OR(IF(INT(($A177-1)/70)+1&gt;CROQUIS_DATOS!$C$1525,70,MOD($A177-1,70)+1)=1,IF(INT(($A177-1)/70)+1&gt;CROQUIS_DATOS!$C$1525,70,MOD($A177-1,70)+1)&gt;2*CROQUIS_DATOS!$C$1541+1),CROQUIS_DATOS!$C$1476,INDEX($H$8:$H$41,MIN(INT((IF(INT(($A177-1)/70)+1&gt;CROQUIS_DATOS!$C$1525,70,MOD($A177-1,70)+1)-2)/2)+1,CROQUIS_DATOS!$C$1541))))*CROQUIS_DATOS!$C$1561*CROQUIS_DATOS!$C$1562),-1000)</f>
        <v>36.0172413793104</v>
      </c>
      <c r="P177">
        <f>IF(AND(CROQUIS_DATOS!$C$1472=1,CROQUIS_DATOS!$C$1555=1),(CROQUIS_DATOS!$C$1563+(IF(IF(OR(MOD($A177-1,62)+1=1,IF(CHOOSE(MIN(MAX(MIN(INT(($A177-1)/62)+1,5),1),5),CROQUIS_DATOS!$C$1501,CROQUIS_DATOS!$C$1505,CROQUIS_DATOS!$C$1509,CROQUIS_DATOS!$C$1513,CROQUIS_DATOS!$C$1517)=1,CROQUIS_DATOS!$C$1557,0)=0),0,IF(MOD($A177-1,62)+1&gt;2*IF(CHOOSE(MIN(MAX(MIN(INT(($A177-1)/62)+1,5),1),5),CROQUIS_DATOS!$C$1501,CROQUIS_DATOS!$C$1505,CROQUIS_DATOS!$C$1509,CROQUIS_DATOS!$C$1513,CROQUIS_DATOS!$C$1517)=1,CROQUIS_DATOS!$C$1557,0)+1,IF(MOD(IF(CHOOSE(MIN(MAX(MIN(INT(($A177-1)/62)+1,5),1),5),CROQUIS_DATOS!$C$1501,CROQUIS_DATOS!$C$1505,CROQUIS_DATOS!$C$1509,CROQUIS_DATOS!$C$1513,CROQUIS_DATOS!$C$1517)=1,CROQUIS_DATOS!$C$1557,0),2)=1,1,0),IF(MOD(MIN(INT((MOD($A177-1,62)+1-2)/2)+1,MAX(IF(CHOOSE(MIN(MAX(MIN(INT(($A177-1)/62)+1,5),1),5),CROQUIS_DATOS!$C$1501,CROQUIS_DATOS!$C$1505,CROQUIS_DATOS!$C$1509,CROQUIS_DATOS!$C$1513,CROQUIS_DATOS!$C$1517)=1,CROQUIS_DATOS!$C$1557,0),1)),2)=1,IF(MOD(MOD($A177-1,62)+1-2,2)=0,0,1),IF(MOD(MOD($A177-1,62)+1-2,2)=0,1,0))))=0,(CHOOSE(MIN(MAX(MIN(INT(($A177-1)/62)+1,5),1),5),CROQUIS_DATOS!$C$1499,CROQUIS_DATOS!$C$1503,CROQUIS_DATOS!$C$1507,CROQUIS_DATOS!$C$1511,CROQUIS_DATOS!$C$1515)+IF(CHOOSE(MIN(MAX(MIN(INT(($A177-1)/62)+1,5),1),5),CROQUIS_DATOS!$C$1501,CROQUIS_DATOS!$C$1505,CROQUIS_DATOS!$C$1509,CROQUIS_DATOS!$C$1513,CROQUIS_DATOS!$C$1517)=1,CROQUIS_DATOS!$C$1526,0)),(CHOOSE(MIN(MAX(MIN(INT(($A177-1)/62)+1,5),1),5),CROQUIS_DATOS!$C$1499,CROQUIS_DATOS!$C$1503,CROQUIS_DATOS!$C$1507,CROQUIS_DATOS!$C$1511,CROQUIS_DATOS!$C$1515)+CHOOSE(MIN(MAX(MIN(INT(($A177-1)/62)+1,5),1),5),CROQUIS_DATOS!$C$1500,CROQUIS_DATOS!$C$1504,CROQUIS_DATOS!$C$1508,CROQUIS_DATOS!$C$1512,CROQUIS_DATOS!$C$1516)-IF(CHOOSE(MIN(MAX(MIN(INT(($A177-1)/62)+1,5),1),5),CROQUIS_DATOS!$C$1501,CROQUIS_DATOS!$C$1505,CROQUIS_DATOS!$C$1509,CROQUIS_DATOS!$C$1513,CROQUIS_DATOS!$C$1517)=1,CROQUIS_DATOS!$C$1526,0))))*CROQUIS_DATOS!$C$1562),-1000)</f>
        <v>-1000</v>
      </c>
      <c r="Q177">
        <f>IF(AND(CROQUIS_DATOS!$C$1472=1,CROQUIS_DATOS!$C$1555=1),(CROQUIS_DATOS!$C$1564+(IF(OR(OR(MOD($A177-1,62)+1=1,IF(CHOOSE(MIN(MAX(MIN(INT(($A177-1)/62)+1,5),1),5),CROQUIS_DATOS!$C$1501,CROQUIS_DATOS!$C$1505,CROQUIS_DATOS!$C$1509,CROQUIS_DATOS!$C$1513,CROQUIS_DATOS!$C$1517)=1,CROQUIS_DATOS!$C$1557,0)=0),MOD($A177-1,62)+1&gt;2*IF(CHOOSE(MIN(MAX(MIN(INT(($A177-1)/62)+1,5),1),5),CROQUIS_DATOS!$C$1501,CROQUIS_DATOS!$C$1505,CROQUIS_DATOS!$C$1509,CROQUIS_DATOS!$C$1513,CROQUIS_DATOS!$C$1517)=1,CROQUIS_DATOS!$C$1557,0)+1),CROQUIS_DATOS!$C$1476,MIN(INT((MOD($A177-1,62)+1-2)/2)+1,MAX(IF(CHOOSE(MIN(MAX(MIN(INT(($A177-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7">
        <f>IF(AND(CROQUIS_DATOS!$C$1472=1,1),(CROQUIS_DATOS!$C$1563+(MIN(INT(($A177-1)/2)+1,CROQUIS_DATOS!$C$1558)*CROQUIS_DATOS!$C$1559)*CROQUIS_DATOS!$C$1562),-1000)</f>
        <v>82.2281167108753</v>
      </c>
      <c r="U177">
        <f>IF(AND(CROQUIS_DATOS!$C$1472=1,1),(CROQUIS_DATOS!$C$1564+(IF(INT(($A177-1)/2)+1&gt;CROQUIS_DATOS!$C$1558,IF(MOD(CROQUIS_DATOS!$C$1558,2)=1,CROQUIS_DATOS!$C$1476+CROQUIS_DATOS!$C$1528,CROQUIS_DATOS!$C$1476),IF(IF(MOD(MIN(INT(($A177-1)/2)+1,CROQUIS_DATOS!$C$1558),2)=1,MOD($A177-1,2),1-MOD($A177-1,2))=1,CROQUIS_DATOS!$C$1476+CROQUIS_DATOS!$C$1528,CROQUIS_DATOS!$C$1476)))*CROQUIS_DATOS!$C$1561*CROQUIS_DATOS!$C$1562),-1000)</f>
        <v>43</v>
      </c>
    </row>
    <row r="178">
      <c r="A178" t="n">
        <v>171</v>
      </c>
      <c r="N178">
        <f>IF(AND(CROQUIS_DATOS!$C$1472=1,1),(CROQUIS_DATOS!$C$1563+(IF(IF(IF(INT(($A178-1)/70)+1&gt;CROQUIS_DATOS!$C$1525,70,MOD($A178-1,70)+1)=1,0,IF(IF(INT(($A178-1)/70)+1&gt;CROQUIS_DATOS!$C$1525,70,MOD($A178-1,70)+1)&gt;2*CROQUIS_DATOS!$C$1541+1,IF(MOD(CROQUIS_DATOS!$C$1541,2)=1,1,0),IF(MOD(MIN(INT((IF(INT(($A178-1)/70)+1&gt;CROQUIS_DATOS!$C$1525,70,MOD($A178-1,70)+1)-2)/2)+1,CROQUIS_DATOS!$C$1541),2)=1,IF(MOD(IF(INT(($A178-1)/70)+1&gt;CROQUIS_DATOS!$C$1525,70,MOD($A178-1,70)+1)-2,2)=0,0,1),IF(MOD(IF(INT(($A178-1)/70)+1&gt;CROQUIS_DATOS!$C$1525,70,MOD($A178-1,70)+1)-2,2)=0,1,0))))=0,(INDEX($E$8:$E$23,MIN(INT(($A178-1)/70)+1,CROQUIS_DATOS!$C$1525))-INDEX($F$8:$F$23,MIN(INT(($A178-1)/70)+1,CROQUIS_DATOS!$C$1525))/2),(INDEX($E$8:$E$23,MIN(INT(($A178-1)/70)+1,CROQUIS_DATOS!$C$1525))+INDEX($F$8:$F$23,MIN(INT(($A178-1)/70)+1,CROQUIS_DATOS!$C$1525))/2)))*CROQUIS_DATOS!$C$1562),-1000)</f>
        <v>35.3362068965517</v>
      </c>
      <c r="O178">
        <f>IF(AND(CROQUIS_DATOS!$C$1472=1,1),(CROQUIS_DATOS!$C$1564+(IF(OR(IF(INT(($A178-1)/70)+1&gt;CROQUIS_DATOS!$C$1525,70,MOD($A178-1,70)+1)=1,IF(INT(($A178-1)/70)+1&gt;CROQUIS_DATOS!$C$1525,70,MOD($A178-1,70)+1)&gt;2*CROQUIS_DATOS!$C$1541+1),CROQUIS_DATOS!$C$1476,INDEX($H$8:$H$41,MIN(INT((IF(INT(($A178-1)/70)+1&gt;CROQUIS_DATOS!$C$1525,70,MOD($A178-1,70)+1)-2)/2)+1,CROQUIS_DATOS!$C$1541))))*CROQUIS_DATOS!$C$1561*CROQUIS_DATOS!$C$1562),-1000)</f>
        <v>36.0172413793104</v>
      </c>
      <c r="P178">
        <f>IF(AND(CROQUIS_DATOS!$C$1472=1,CROQUIS_DATOS!$C$1555=1),(CROQUIS_DATOS!$C$1563+(IF(IF(OR(MOD($A178-1,62)+1=1,IF(CHOOSE(MIN(MAX(MIN(INT(($A178-1)/62)+1,5),1),5),CROQUIS_DATOS!$C$1501,CROQUIS_DATOS!$C$1505,CROQUIS_DATOS!$C$1509,CROQUIS_DATOS!$C$1513,CROQUIS_DATOS!$C$1517)=1,CROQUIS_DATOS!$C$1557,0)=0),0,IF(MOD($A178-1,62)+1&gt;2*IF(CHOOSE(MIN(MAX(MIN(INT(($A178-1)/62)+1,5),1),5),CROQUIS_DATOS!$C$1501,CROQUIS_DATOS!$C$1505,CROQUIS_DATOS!$C$1509,CROQUIS_DATOS!$C$1513,CROQUIS_DATOS!$C$1517)=1,CROQUIS_DATOS!$C$1557,0)+1,IF(MOD(IF(CHOOSE(MIN(MAX(MIN(INT(($A178-1)/62)+1,5),1),5),CROQUIS_DATOS!$C$1501,CROQUIS_DATOS!$C$1505,CROQUIS_DATOS!$C$1509,CROQUIS_DATOS!$C$1513,CROQUIS_DATOS!$C$1517)=1,CROQUIS_DATOS!$C$1557,0),2)=1,1,0),IF(MOD(MIN(INT((MOD($A178-1,62)+1-2)/2)+1,MAX(IF(CHOOSE(MIN(MAX(MIN(INT(($A178-1)/62)+1,5),1),5),CROQUIS_DATOS!$C$1501,CROQUIS_DATOS!$C$1505,CROQUIS_DATOS!$C$1509,CROQUIS_DATOS!$C$1513,CROQUIS_DATOS!$C$1517)=1,CROQUIS_DATOS!$C$1557,0),1)),2)=1,IF(MOD(MOD($A178-1,62)+1-2,2)=0,0,1),IF(MOD(MOD($A178-1,62)+1-2,2)=0,1,0))))=0,(CHOOSE(MIN(MAX(MIN(INT(($A178-1)/62)+1,5),1),5),CROQUIS_DATOS!$C$1499,CROQUIS_DATOS!$C$1503,CROQUIS_DATOS!$C$1507,CROQUIS_DATOS!$C$1511,CROQUIS_DATOS!$C$1515)+IF(CHOOSE(MIN(MAX(MIN(INT(($A178-1)/62)+1,5),1),5),CROQUIS_DATOS!$C$1501,CROQUIS_DATOS!$C$1505,CROQUIS_DATOS!$C$1509,CROQUIS_DATOS!$C$1513,CROQUIS_DATOS!$C$1517)=1,CROQUIS_DATOS!$C$1526,0)),(CHOOSE(MIN(MAX(MIN(INT(($A178-1)/62)+1,5),1),5),CROQUIS_DATOS!$C$1499,CROQUIS_DATOS!$C$1503,CROQUIS_DATOS!$C$1507,CROQUIS_DATOS!$C$1511,CROQUIS_DATOS!$C$1515)+CHOOSE(MIN(MAX(MIN(INT(($A178-1)/62)+1,5),1),5),CROQUIS_DATOS!$C$1500,CROQUIS_DATOS!$C$1504,CROQUIS_DATOS!$C$1508,CROQUIS_DATOS!$C$1512,CROQUIS_DATOS!$C$1516)-IF(CHOOSE(MIN(MAX(MIN(INT(($A178-1)/62)+1,5),1),5),CROQUIS_DATOS!$C$1501,CROQUIS_DATOS!$C$1505,CROQUIS_DATOS!$C$1509,CROQUIS_DATOS!$C$1513,CROQUIS_DATOS!$C$1517)=1,CROQUIS_DATOS!$C$1526,0))))*CROQUIS_DATOS!$C$1562),-1000)</f>
        <v>-1000</v>
      </c>
      <c r="Q178">
        <f>IF(AND(CROQUIS_DATOS!$C$1472=1,CROQUIS_DATOS!$C$1555=1),(CROQUIS_DATOS!$C$1564+(IF(OR(OR(MOD($A178-1,62)+1=1,IF(CHOOSE(MIN(MAX(MIN(INT(($A178-1)/62)+1,5),1),5),CROQUIS_DATOS!$C$1501,CROQUIS_DATOS!$C$1505,CROQUIS_DATOS!$C$1509,CROQUIS_DATOS!$C$1513,CROQUIS_DATOS!$C$1517)=1,CROQUIS_DATOS!$C$1557,0)=0),MOD($A178-1,62)+1&gt;2*IF(CHOOSE(MIN(MAX(MIN(INT(($A178-1)/62)+1,5),1),5),CROQUIS_DATOS!$C$1501,CROQUIS_DATOS!$C$1505,CROQUIS_DATOS!$C$1509,CROQUIS_DATOS!$C$1513,CROQUIS_DATOS!$C$1517)=1,CROQUIS_DATOS!$C$1557,0)+1),CROQUIS_DATOS!$C$1476,MIN(INT((MOD($A178-1,62)+1-2)/2)+1,MAX(IF(CHOOSE(MIN(MAX(MIN(INT(($A178-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8">
        <f>IF(AND(CROQUIS_DATOS!$C$1472=1,1),(CROQUIS_DATOS!$C$1563+(MIN(INT(($A178-1)/2)+1,CROQUIS_DATOS!$C$1558)*CROQUIS_DATOS!$C$1559)*CROQUIS_DATOS!$C$1562),-1000)</f>
        <v>82.2281167108753</v>
      </c>
      <c r="U178">
        <f>IF(AND(CROQUIS_DATOS!$C$1472=1,1),(CROQUIS_DATOS!$C$1564+(IF(INT(($A178-1)/2)+1&gt;CROQUIS_DATOS!$C$1558,IF(MOD(CROQUIS_DATOS!$C$1558,2)=1,CROQUIS_DATOS!$C$1476+CROQUIS_DATOS!$C$1528,CROQUIS_DATOS!$C$1476),IF(IF(MOD(MIN(INT(($A178-1)/2)+1,CROQUIS_DATOS!$C$1558),2)=1,MOD($A178-1,2),1-MOD($A178-1,2))=1,CROQUIS_DATOS!$C$1476+CROQUIS_DATOS!$C$1528,CROQUIS_DATOS!$C$1476)))*CROQUIS_DATOS!$C$1561*CROQUIS_DATOS!$C$1562),-1000)</f>
        <v>43</v>
      </c>
    </row>
    <row r="179">
      <c r="A179" t="n">
        <v>172</v>
      </c>
      <c r="N179">
        <f>IF(AND(CROQUIS_DATOS!$C$1472=1,1),(CROQUIS_DATOS!$C$1563+(IF(IF(IF(INT(($A179-1)/70)+1&gt;CROQUIS_DATOS!$C$1525,70,MOD($A179-1,70)+1)=1,0,IF(IF(INT(($A179-1)/70)+1&gt;CROQUIS_DATOS!$C$1525,70,MOD($A179-1,70)+1)&gt;2*CROQUIS_DATOS!$C$1541+1,IF(MOD(CROQUIS_DATOS!$C$1541,2)=1,1,0),IF(MOD(MIN(INT((IF(INT(($A179-1)/70)+1&gt;CROQUIS_DATOS!$C$1525,70,MOD($A179-1,70)+1)-2)/2)+1,CROQUIS_DATOS!$C$1541),2)=1,IF(MOD(IF(INT(($A179-1)/70)+1&gt;CROQUIS_DATOS!$C$1525,70,MOD($A179-1,70)+1)-2,2)=0,0,1),IF(MOD(IF(INT(($A179-1)/70)+1&gt;CROQUIS_DATOS!$C$1525,70,MOD($A179-1,70)+1)-2,2)=0,1,0))))=0,(INDEX($E$8:$E$23,MIN(INT(($A179-1)/70)+1,CROQUIS_DATOS!$C$1525))-INDEX($F$8:$F$23,MIN(INT(($A179-1)/70)+1,CROQUIS_DATOS!$C$1525))/2),(INDEX($E$8:$E$23,MIN(INT(($A179-1)/70)+1,CROQUIS_DATOS!$C$1525))+INDEX($F$8:$F$23,MIN(INT(($A179-1)/70)+1,CROQUIS_DATOS!$C$1525))/2)))*CROQUIS_DATOS!$C$1562),-1000)</f>
        <v>35.3362068965517</v>
      </c>
      <c r="O179">
        <f>IF(AND(CROQUIS_DATOS!$C$1472=1,1),(CROQUIS_DATOS!$C$1564+(IF(OR(IF(INT(($A179-1)/70)+1&gt;CROQUIS_DATOS!$C$1525,70,MOD($A179-1,70)+1)=1,IF(INT(($A179-1)/70)+1&gt;CROQUIS_DATOS!$C$1525,70,MOD($A179-1,70)+1)&gt;2*CROQUIS_DATOS!$C$1541+1),CROQUIS_DATOS!$C$1476,INDEX($H$8:$H$41,MIN(INT((IF(INT(($A179-1)/70)+1&gt;CROQUIS_DATOS!$C$1525,70,MOD($A179-1,70)+1)-2)/2)+1,CROQUIS_DATOS!$C$1541))))*CROQUIS_DATOS!$C$1561*CROQUIS_DATOS!$C$1562),-1000)</f>
        <v>37.0646551724138</v>
      </c>
      <c r="P179">
        <f>IF(AND(CROQUIS_DATOS!$C$1472=1,CROQUIS_DATOS!$C$1555=1),(CROQUIS_DATOS!$C$1563+(IF(IF(OR(MOD($A179-1,62)+1=1,IF(CHOOSE(MIN(MAX(MIN(INT(($A179-1)/62)+1,5),1),5),CROQUIS_DATOS!$C$1501,CROQUIS_DATOS!$C$1505,CROQUIS_DATOS!$C$1509,CROQUIS_DATOS!$C$1513,CROQUIS_DATOS!$C$1517)=1,CROQUIS_DATOS!$C$1557,0)=0),0,IF(MOD($A179-1,62)+1&gt;2*IF(CHOOSE(MIN(MAX(MIN(INT(($A179-1)/62)+1,5),1),5),CROQUIS_DATOS!$C$1501,CROQUIS_DATOS!$C$1505,CROQUIS_DATOS!$C$1509,CROQUIS_DATOS!$C$1513,CROQUIS_DATOS!$C$1517)=1,CROQUIS_DATOS!$C$1557,0)+1,IF(MOD(IF(CHOOSE(MIN(MAX(MIN(INT(($A179-1)/62)+1,5),1),5),CROQUIS_DATOS!$C$1501,CROQUIS_DATOS!$C$1505,CROQUIS_DATOS!$C$1509,CROQUIS_DATOS!$C$1513,CROQUIS_DATOS!$C$1517)=1,CROQUIS_DATOS!$C$1557,0),2)=1,1,0),IF(MOD(MIN(INT((MOD($A179-1,62)+1-2)/2)+1,MAX(IF(CHOOSE(MIN(MAX(MIN(INT(($A179-1)/62)+1,5),1),5),CROQUIS_DATOS!$C$1501,CROQUIS_DATOS!$C$1505,CROQUIS_DATOS!$C$1509,CROQUIS_DATOS!$C$1513,CROQUIS_DATOS!$C$1517)=1,CROQUIS_DATOS!$C$1557,0),1)),2)=1,IF(MOD(MOD($A179-1,62)+1-2,2)=0,0,1),IF(MOD(MOD($A179-1,62)+1-2,2)=0,1,0))))=0,(CHOOSE(MIN(MAX(MIN(INT(($A179-1)/62)+1,5),1),5),CROQUIS_DATOS!$C$1499,CROQUIS_DATOS!$C$1503,CROQUIS_DATOS!$C$1507,CROQUIS_DATOS!$C$1511,CROQUIS_DATOS!$C$1515)+IF(CHOOSE(MIN(MAX(MIN(INT(($A179-1)/62)+1,5),1),5),CROQUIS_DATOS!$C$1501,CROQUIS_DATOS!$C$1505,CROQUIS_DATOS!$C$1509,CROQUIS_DATOS!$C$1513,CROQUIS_DATOS!$C$1517)=1,CROQUIS_DATOS!$C$1526,0)),(CHOOSE(MIN(MAX(MIN(INT(($A179-1)/62)+1,5),1),5),CROQUIS_DATOS!$C$1499,CROQUIS_DATOS!$C$1503,CROQUIS_DATOS!$C$1507,CROQUIS_DATOS!$C$1511,CROQUIS_DATOS!$C$1515)+CHOOSE(MIN(MAX(MIN(INT(($A179-1)/62)+1,5),1),5),CROQUIS_DATOS!$C$1500,CROQUIS_DATOS!$C$1504,CROQUIS_DATOS!$C$1508,CROQUIS_DATOS!$C$1512,CROQUIS_DATOS!$C$1516)-IF(CHOOSE(MIN(MAX(MIN(INT(($A179-1)/62)+1,5),1),5),CROQUIS_DATOS!$C$1501,CROQUIS_DATOS!$C$1505,CROQUIS_DATOS!$C$1509,CROQUIS_DATOS!$C$1513,CROQUIS_DATOS!$C$1517)=1,CROQUIS_DATOS!$C$1526,0))))*CROQUIS_DATOS!$C$1562),-1000)</f>
        <v>-1000</v>
      </c>
      <c r="Q179">
        <f>IF(AND(CROQUIS_DATOS!$C$1472=1,CROQUIS_DATOS!$C$1555=1),(CROQUIS_DATOS!$C$1564+(IF(OR(OR(MOD($A179-1,62)+1=1,IF(CHOOSE(MIN(MAX(MIN(INT(($A179-1)/62)+1,5),1),5),CROQUIS_DATOS!$C$1501,CROQUIS_DATOS!$C$1505,CROQUIS_DATOS!$C$1509,CROQUIS_DATOS!$C$1513,CROQUIS_DATOS!$C$1517)=1,CROQUIS_DATOS!$C$1557,0)=0),MOD($A179-1,62)+1&gt;2*IF(CHOOSE(MIN(MAX(MIN(INT(($A179-1)/62)+1,5),1),5),CROQUIS_DATOS!$C$1501,CROQUIS_DATOS!$C$1505,CROQUIS_DATOS!$C$1509,CROQUIS_DATOS!$C$1513,CROQUIS_DATOS!$C$1517)=1,CROQUIS_DATOS!$C$1557,0)+1),CROQUIS_DATOS!$C$1476,MIN(INT((MOD($A179-1,62)+1-2)/2)+1,MAX(IF(CHOOSE(MIN(MAX(MIN(INT(($A179-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79">
        <f>IF(AND(CROQUIS_DATOS!$C$1472=1,1),(CROQUIS_DATOS!$C$1563+(MIN(INT(($A179-1)/2)+1,CROQUIS_DATOS!$C$1558)*CROQUIS_DATOS!$C$1559)*CROQUIS_DATOS!$C$1562),-1000)</f>
        <v>82.2281167108753</v>
      </c>
      <c r="U179">
        <f>IF(AND(CROQUIS_DATOS!$C$1472=1,1),(CROQUIS_DATOS!$C$1564+(IF(INT(($A179-1)/2)+1&gt;CROQUIS_DATOS!$C$1558,IF(MOD(CROQUIS_DATOS!$C$1558,2)=1,CROQUIS_DATOS!$C$1476+CROQUIS_DATOS!$C$1528,CROQUIS_DATOS!$C$1476),IF(IF(MOD(MIN(INT(($A179-1)/2)+1,CROQUIS_DATOS!$C$1558),2)=1,MOD($A179-1,2),1-MOD($A179-1,2))=1,CROQUIS_DATOS!$C$1476+CROQUIS_DATOS!$C$1528,CROQUIS_DATOS!$C$1476)))*CROQUIS_DATOS!$C$1561*CROQUIS_DATOS!$C$1562),-1000)</f>
        <v>43</v>
      </c>
    </row>
    <row r="180">
      <c r="A180" t="n">
        <v>173</v>
      </c>
      <c r="N180">
        <f>IF(AND(CROQUIS_DATOS!$C$1472=1,1),(CROQUIS_DATOS!$C$1563+(IF(IF(IF(INT(($A180-1)/70)+1&gt;CROQUIS_DATOS!$C$1525,70,MOD($A180-1,70)+1)=1,0,IF(IF(INT(($A180-1)/70)+1&gt;CROQUIS_DATOS!$C$1525,70,MOD($A180-1,70)+1)&gt;2*CROQUIS_DATOS!$C$1541+1,IF(MOD(CROQUIS_DATOS!$C$1541,2)=1,1,0),IF(MOD(MIN(INT((IF(INT(($A180-1)/70)+1&gt;CROQUIS_DATOS!$C$1525,70,MOD($A180-1,70)+1)-2)/2)+1,CROQUIS_DATOS!$C$1541),2)=1,IF(MOD(IF(INT(($A180-1)/70)+1&gt;CROQUIS_DATOS!$C$1525,70,MOD($A180-1,70)+1)-2,2)=0,0,1),IF(MOD(IF(INT(($A180-1)/70)+1&gt;CROQUIS_DATOS!$C$1525,70,MOD($A180-1,70)+1)-2,2)=0,1,0))))=0,(INDEX($E$8:$E$23,MIN(INT(($A180-1)/70)+1,CROQUIS_DATOS!$C$1525))-INDEX($F$8:$F$23,MIN(INT(($A180-1)/70)+1,CROQUIS_DATOS!$C$1525))/2),(INDEX($E$8:$E$23,MIN(INT(($A180-1)/70)+1,CROQUIS_DATOS!$C$1525))+INDEX($F$8:$F$23,MIN(INT(($A180-1)/70)+1,CROQUIS_DATOS!$C$1525))/2)))*CROQUIS_DATOS!$C$1562),-1000)</f>
        <v>33.2413793103448</v>
      </c>
      <c r="O180">
        <f>IF(AND(CROQUIS_DATOS!$C$1472=1,1),(CROQUIS_DATOS!$C$1564+(IF(OR(IF(INT(($A180-1)/70)+1&gt;CROQUIS_DATOS!$C$1525,70,MOD($A180-1,70)+1)=1,IF(INT(($A180-1)/70)+1&gt;CROQUIS_DATOS!$C$1525,70,MOD($A180-1,70)+1)&gt;2*CROQUIS_DATOS!$C$1541+1),CROQUIS_DATOS!$C$1476,INDEX($H$8:$H$41,MIN(INT((IF(INT(($A180-1)/70)+1&gt;CROQUIS_DATOS!$C$1525,70,MOD($A180-1,70)+1)-2)/2)+1,CROQUIS_DATOS!$C$1541))))*CROQUIS_DATOS!$C$1561*CROQUIS_DATOS!$C$1562),-1000)</f>
        <v>37.0646551724138</v>
      </c>
      <c r="P180">
        <f>IF(AND(CROQUIS_DATOS!$C$1472=1,CROQUIS_DATOS!$C$1555=1),(CROQUIS_DATOS!$C$1563+(IF(IF(OR(MOD($A180-1,62)+1=1,IF(CHOOSE(MIN(MAX(MIN(INT(($A180-1)/62)+1,5),1),5),CROQUIS_DATOS!$C$1501,CROQUIS_DATOS!$C$1505,CROQUIS_DATOS!$C$1509,CROQUIS_DATOS!$C$1513,CROQUIS_DATOS!$C$1517)=1,CROQUIS_DATOS!$C$1557,0)=0),0,IF(MOD($A180-1,62)+1&gt;2*IF(CHOOSE(MIN(MAX(MIN(INT(($A180-1)/62)+1,5),1),5),CROQUIS_DATOS!$C$1501,CROQUIS_DATOS!$C$1505,CROQUIS_DATOS!$C$1509,CROQUIS_DATOS!$C$1513,CROQUIS_DATOS!$C$1517)=1,CROQUIS_DATOS!$C$1557,0)+1,IF(MOD(IF(CHOOSE(MIN(MAX(MIN(INT(($A180-1)/62)+1,5),1),5),CROQUIS_DATOS!$C$1501,CROQUIS_DATOS!$C$1505,CROQUIS_DATOS!$C$1509,CROQUIS_DATOS!$C$1513,CROQUIS_DATOS!$C$1517)=1,CROQUIS_DATOS!$C$1557,0),2)=1,1,0),IF(MOD(MIN(INT((MOD($A180-1,62)+1-2)/2)+1,MAX(IF(CHOOSE(MIN(MAX(MIN(INT(($A180-1)/62)+1,5),1),5),CROQUIS_DATOS!$C$1501,CROQUIS_DATOS!$C$1505,CROQUIS_DATOS!$C$1509,CROQUIS_DATOS!$C$1513,CROQUIS_DATOS!$C$1517)=1,CROQUIS_DATOS!$C$1557,0),1)),2)=1,IF(MOD(MOD($A180-1,62)+1-2,2)=0,0,1),IF(MOD(MOD($A180-1,62)+1-2,2)=0,1,0))))=0,(CHOOSE(MIN(MAX(MIN(INT(($A180-1)/62)+1,5),1),5),CROQUIS_DATOS!$C$1499,CROQUIS_DATOS!$C$1503,CROQUIS_DATOS!$C$1507,CROQUIS_DATOS!$C$1511,CROQUIS_DATOS!$C$1515)+IF(CHOOSE(MIN(MAX(MIN(INT(($A180-1)/62)+1,5),1),5),CROQUIS_DATOS!$C$1501,CROQUIS_DATOS!$C$1505,CROQUIS_DATOS!$C$1509,CROQUIS_DATOS!$C$1513,CROQUIS_DATOS!$C$1517)=1,CROQUIS_DATOS!$C$1526,0)),(CHOOSE(MIN(MAX(MIN(INT(($A180-1)/62)+1,5),1),5),CROQUIS_DATOS!$C$1499,CROQUIS_DATOS!$C$1503,CROQUIS_DATOS!$C$1507,CROQUIS_DATOS!$C$1511,CROQUIS_DATOS!$C$1515)+CHOOSE(MIN(MAX(MIN(INT(($A180-1)/62)+1,5),1),5),CROQUIS_DATOS!$C$1500,CROQUIS_DATOS!$C$1504,CROQUIS_DATOS!$C$1508,CROQUIS_DATOS!$C$1512,CROQUIS_DATOS!$C$1516)-IF(CHOOSE(MIN(MAX(MIN(INT(($A180-1)/62)+1,5),1),5),CROQUIS_DATOS!$C$1501,CROQUIS_DATOS!$C$1505,CROQUIS_DATOS!$C$1509,CROQUIS_DATOS!$C$1513,CROQUIS_DATOS!$C$1517)=1,CROQUIS_DATOS!$C$1526,0))))*CROQUIS_DATOS!$C$1562),-1000)</f>
        <v>-1000</v>
      </c>
      <c r="Q180">
        <f>IF(AND(CROQUIS_DATOS!$C$1472=1,CROQUIS_DATOS!$C$1555=1),(CROQUIS_DATOS!$C$1564+(IF(OR(OR(MOD($A180-1,62)+1=1,IF(CHOOSE(MIN(MAX(MIN(INT(($A180-1)/62)+1,5),1),5),CROQUIS_DATOS!$C$1501,CROQUIS_DATOS!$C$1505,CROQUIS_DATOS!$C$1509,CROQUIS_DATOS!$C$1513,CROQUIS_DATOS!$C$1517)=1,CROQUIS_DATOS!$C$1557,0)=0),MOD($A180-1,62)+1&gt;2*IF(CHOOSE(MIN(MAX(MIN(INT(($A180-1)/62)+1,5),1),5),CROQUIS_DATOS!$C$1501,CROQUIS_DATOS!$C$1505,CROQUIS_DATOS!$C$1509,CROQUIS_DATOS!$C$1513,CROQUIS_DATOS!$C$1517)=1,CROQUIS_DATOS!$C$1557,0)+1),CROQUIS_DATOS!$C$1476,MIN(INT((MOD($A180-1,62)+1-2)/2)+1,MAX(IF(CHOOSE(MIN(MAX(MIN(INT(($A180-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0">
        <f>IF(AND(CROQUIS_DATOS!$C$1472=1,1),(CROQUIS_DATOS!$C$1563+(MIN(INT(($A180-1)/2)+1,CROQUIS_DATOS!$C$1558)*CROQUIS_DATOS!$C$1559)*CROQUIS_DATOS!$C$1562),-1000)</f>
        <v>82.2281167108753</v>
      </c>
      <c r="U180">
        <f>IF(AND(CROQUIS_DATOS!$C$1472=1,1),(CROQUIS_DATOS!$C$1564+(IF(INT(($A180-1)/2)+1&gt;CROQUIS_DATOS!$C$1558,IF(MOD(CROQUIS_DATOS!$C$1558,2)=1,CROQUIS_DATOS!$C$1476+CROQUIS_DATOS!$C$1528,CROQUIS_DATOS!$C$1476),IF(IF(MOD(MIN(INT(($A180-1)/2)+1,CROQUIS_DATOS!$C$1558),2)=1,MOD($A180-1,2),1-MOD($A180-1,2))=1,CROQUIS_DATOS!$C$1476+CROQUIS_DATOS!$C$1528,CROQUIS_DATOS!$C$1476)))*CROQUIS_DATOS!$C$1561*CROQUIS_DATOS!$C$1562),-1000)</f>
        <v>43</v>
      </c>
    </row>
    <row r="181">
      <c r="A181" t="n">
        <v>174</v>
      </c>
      <c r="N181">
        <f>IF(AND(CROQUIS_DATOS!$C$1472=1,1),(CROQUIS_DATOS!$C$1563+(IF(IF(IF(INT(($A181-1)/70)+1&gt;CROQUIS_DATOS!$C$1525,70,MOD($A181-1,70)+1)=1,0,IF(IF(INT(($A181-1)/70)+1&gt;CROQUIS_DATOS!$C$1525,70,MOD($A181-1,70)+1)&gt;2*CROQUIS_DATOS!$C$1541+1,IF(MOD(CROQUIS_DATOS!$C$1541,2)=1,1,0),IF(MOD(MIN(INT((IF(INT(($A181-1)/70)+1&gt;CROQUIS_DATOS!$C$1525,70,MOD($A181-1,70)+1)-2)/2)+1,CROQUIS_DATOS!$C$1541),2)=1,IF(MOD(IF(INT(($A181-1)/70)+1&gt;CROQUIS_DATOS!$C$1525,70,MOD($A181-1,70)+1)-2,2)=0,0,1),IF(MOD(IF(INT(($A181-1)/70)+1&gt;CROQUIS_DATOS!$C$1525,70,MOD($A181-1,70)+1)-2,2)=0,1,0))))=0,(INDEX($E$8:$E$23,MIN(INT(($A181-1)/70)+1,CROQUIS_DATOS!$C$1525))-INDEX($F$8:$F$23,MIN(INT(($A181-1)/70)+1,CROQUIS_DATOS!$C$1525))/2),(INDEX($E$8:$E$23,MIN(INT(($A181-1)/70)+1,CROQUIS_DATOS!$C$1525))+INDEX($F$8:$F$23,MIN(INT(($A181-1)/70)+1,CROQUIS_DATOS!$C$1525))/2)))*CROQUIS_DATOS!$C$1562),-1000)</f>
        <v>33.2413793103448</v>
      </c>
      <c r="O181">
        <f>IF(AND(CROQUIS_DATOS!$C$1472=1,1),(CROQUIS_DATOS!$C$1564+(IF(OR(IF(INT(($A181-1)/70)+1&gt;CROQUIS_DATOS!$C$1525,70,MOD($A181-1,70)+1)=1,IF(INT(($A181-1)/70)+1&gt;CROQUIS_DATOS!$C$1525,70,MOD($A181-1,70)+1)&gt;2*CROQUIS_DATOS!$C$1541+1),CROQUIS_DATOS!$C$1476,INDEX($H$8:$H$41,MIN(INT((IF(INT(($A181-1)/70)+1&gt;CROQUIS_DATOS!$C$1525,70,MOD($A181-1,70)+1)-2)/2)+1,CROQUIS_DATOS!$C$1541))))*CROQUIS_DATOS!$C$1561*CROQUIS_DATOS!$C$1562),-1000)</f>
        <v>38.1120689655172</v>
      </c>
      <c r="P181">
        <f>IF(AND(CROQUIS_DATOS!$C$1472=1,CROQUIS_DATOS!$C$1555=1),(CROQUIS_DATOS!$C$1563+(IF(IF(OR(MOD($A181-1,62)+1=1,IF(CHOOSE(MIN(MAX(MIN(INT(($A181-1)/62)+1,5),1),5),CROQUIS_DATOS!$C$1501,CROQUIS_DATOS!$C$1505,CROQUIS_DATOS!$C$1509,CROQUIS_DATOS!$C$1513,CROQUIS_DATOS!$C$1517)=1,CROQUIS_DATOS!$C$1557,0)=0),0,IF(MOD($A181-1,62)+1&gt;2*IF(CHOOSE(MIN(MAX(MIN(INT(($A181-1)/62)+1,5),1),5),CROQUIS_DATOS!$C$1501,CROQUIS_DATOS!$C$1505,CROQUIS_DATOS!$C$1509,CROQUIS_DATOS!$C$1513,CROQUIS_DATOS!$C$1517)=1,CROQUIS_DATOS!$C$1557,0)+1,IF(MOD(IF(CHOOSE(MIN(MAX(MIN(INT(($A181-1)/62)+1,5),1),5),CROQUIS_DATOS!$C$1501,CROQUIS_DATOS!$C$1505,CROQUIS_DATOS!$C$1509,CROQUIS_DATOS!$C$1513,CROQUIS_DATOS!$C$1517)=1,CROQUIS_DATOS!$C$1557,0),2)=1,1,0),IF(MOD(MIN(INT((MOD($A181-1,62)+1-2)/2)+1,MAX(IF(CHOOSE(MIN(MAX(MIN(INT(($A181-1)/62)+1,5),1),5),CROQUIS_DATOS!$C$1501,CROQUIS_DATOS!$C$1505,CROQUIS_DATOS!$C$1509,CROQUIS_DATOS!$C$1513,CROQUIS_DATOS!$C$1517)=1,CROQUIS_DATOS!$C$1557,0),1)),2)=1,IF(MOD(MOD($A181-1,62)+1-2,2)=0,0,1),IF(MOD(MOD($A181-1,62)+1-2,2)=0,1,0))))=0,(CHOOSE(MIN(MAX(MIN(INT(($A181-1)/62)+1,5),1),5),CROQUIS_DATOS!$C$1499,CROQUIS_DATOS!$C$1503,CROQUIS_DATOS!$C$1507,CROQUIS_DATOS!$C$1511,CROQUIS_DATOS!$C$1515)+IF(CHOOSE(MIN(MAX(MIN(INT(($A181-1)/62)+1,5),1),5),CROQUIS_DATOS!$C$1501,CROQUIS_DATOS!$C$1505,CROQUIS_DATOS!$C$1509,CROQUIS_DATOS!$C$1513,CROQUIS_DATOS!$C$1517)=1,CROQUIS_DATOS!$C$1526,0)),(CHOOSE(MIN(MAX(MIN(INT(($A181-1)/62)+1,5),1),5),CROQUIS_DATOS!$C$1499,CROQUIS_DATOS!$C$1503,CROQUIS_DATOS!$C$1507,CROQUIS_DATOS!$C$1511,CROQUIS_DATOS!$C$1515)+CHOOSE(MIN(MAX(MIN(INT(($A181-1)/62)+1,5),1),5),CROQUIS_DATOS!$C$1500,CROQUIS_DATOS!$C$1504,CROQUIS_DATOS!$C$1508,CROQUIS_DATOS!$C$1512,CROQUIS_DATOS!$C$1516)-IF(CHOOSE(MIN(MAX(MIN(INT(($A181-1)/62)+1,5),1),5),CROQUIS_DATOS!$C$1501,CROQUIS_DATOS!$C$1505,CROQUIS_DATOS!$C$1509,CROQUIS_DATOS!$C$1513,CROQUIS_DATOS!$C$1517)=1,CROQUIS_DATOS!$C$1526,0))))*CROQUIS_DATOS!$C$1562),-1000)</f>
        <v>-1000</v>
      </c>
      <c r="Q181">
        <f>IF(AND(CROQUIS_DATOS!$C$1472=1,CROQUIS_DATOS!$C$1555=1),(CROQUIS_DATOS!$C$1564+(IF(OR(OR(MOD($A181-1,62)+1=1,IF(CHOOSE(MIN(MAX(MIN(INT(($A181-1)/62)+1,5),1),5),CROQUIS_DATOS!$C$1501,CROQUIS_DATOS!$C$1505,CROQUIS_DATOS!$C$1509,CROQUIS_DATOS!$C$1513,CROQUIS_DATOS!$C$1517)=1,CROQUIS_DATOS!$C$1557,0)=0),MOD($A181-1,62)+1&gt;2*IF(CHOOSE(MIN(MAX(MIN(INT(($A181-1)/62)+1,5),1),5),CROQUIS_DATOS!$C$1501,CROQUIS_DATOS!$C$1505,CROQUIS_DATOS!$C$1509,CROQUIS_DATOS!$C$1513,CROQUIS_DATOS!$C$1517)=1,CROQUIS_DATOS!$C$1557,0)+1),CROQUIS_DATOS!$C$1476,MIN(INT((MOD($A181-1,62)+1-2)/2)+1,MAX(IF(CHOOSE(MIN(MAX(MIN(INT(($A181-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1">
        <f>IF(AND(CROQUIS_DATOS!$C$1472=1,1),(CROQUIS_DATOS!$C$1563+(MIN(INT(($A181-1)/2)+1,CROQUIS_DATOS!$C$1558)*CROQUIS_DATOS!$C$1559)*CROQUIS_DATOS!$C$1562),-1000)</f>
        <v>82.2281167108753</v>
      </c>
      <c r="U181">
        <f>IF(AND(CROQUIS_DATOS!$C$1472=1,1),(CROQUIS_DATOS!$C$1564+(IF(INT(($A181-1)/2)+1&gt;CROQUIS_DATOS!$C$1558,IF(MOD(CROQUIS_DATOS!$C$1558,2)=1,CROQUIS_DATOS!$C$1476+CROQUIS_DATOS!$C$1528,CROQUIS_DATOS!$C$1476),IF(IF(MOD(MIN(INT(($A181-1)/2)+1,CROQUIS_DATOS!$C$1558),2)=1,MOD($A181-1,2),1-MOD($A181-1,2))=1,CROQUIS_DATOS!$C$1476+CROQUIS_DATOS!$C$1528,CROQUIS_DATOS!$C$1476)))*CROQUIS_DATOS!$C$1561*CROQUIS_DATOS!$C$1562),-1000)</f>
        <v>43</v>
      </c>
    </row>
    <row r="182">
      <c r="A182" t="n">
        <v>175</v>
      </c>
      <c r="N182">
        <f>IF(AND(CROQUIS_DATOS!$C$1472=1,1),(CROQUIS_DATOS!$C$1563+(IF(IF(IF(INT(($A182-1)/70)+1&gt;CROQUIS_DATOS!$C$1525,70,MOD($A182-1,70)+1)=1,0,IF(IF(INT(($A182-1)/70)+1&gt;CROQUIS_DATOS!$C$1525,70,MOD($A182-1,70)+1)&gt;2*CROQUIS_DATOS!$C$1541+1,IF(MOD(CROQUIS_DATOS!$C$1541,2)=1,1,0),IF(MOD(MIN(INT((IF(INT(($A182-1)/70)+1&gt;CROQUIS_DATOS!$C$1525,70,MOD($A182-1,70)+1)-2)/2)+1,CROQUIS_DATOS!$C$1541),2)=1,IF(MOD(IF(INT(($A182-1)/70)+1&gt;CROQUIS_DATOS!$C$1525,70,MOD($A182-1,70)+1)-2,2)=0,0,1),IF(MOD(IF(INT(($A182-1)/70)+1&gt;CROQUIS_DATOS!$C$1525,70,MOD($A182-1,70)+1)-2,2)=0,1,0))))=0,(INDEX($E$8:$E$23,MIN(INT(($A182-1)/70)+1,CROQUIS_DATOS!$C$1525))-INDEX($F$8:$F$23,MIN(INT(($A182-1)/70)+1,CROQUIS_DATOS!$C$1525))/2),(INDEX($E$8:$E$23,MIN(INT(($A182-1)/70)+1,CROQUIS_DATOS!$C$1525))+INDEX($F$8:$F$23,MIN(INT(($A182-1)/70)+1,CROQUIS_DATOS!$C$1525))/2)))*CROQUIS_DATOS!$C$1562),-1000)</f>
        <v>35.3362068965517</v>
      </c>
      <c r="O182">
        <f>IF(AND(CROQUIS_DATOS!$C$1472=1,1),(CROQUIS_DATOS!$C$1564+(IF(OR(IF(INT(($A182-1)/70)+1&gt;CROQUIS_DATOS!$C$1525,70,MOD($A182-1,70)+1)=1,IF(INT(($A182-1)/70)+1&gt;CROQUIS_DATOS!$C$1525,70,MOD($A182-1,70)+1)&gt;2*CROQUIS_DATOS!$C$1541+1),CROQUIS_DATOS!$C$1476,INDEX($H$8:$H$41,MIN(INT((IF(INT(($A182-1)/70)+1&gt;CROQUIS_DATOS!$C$1525,70,MOD($A182-1,70)+1)-2)/2)+1,CROQUIS_DATOS!$C$1541))))*CROQUIS_DATOS!$C$1561*CROQUIS_DATOS!$C$1562),-1000)</f>
        <v>38.1120689655172</v>
      </c>
      <c r="P182">
        <f>IF(AND(CROQUIS_DATOS!$C$1472=1,CROQUIS_DATOS!$C$1555=1),(CROQUIS_DATOS!$C$1563+(IF(IF(OR(MOD($A182-1,62)+1=1,IF(CHOOSE(MIN(MAX(MIN(INT(($A182-1)/62)+1,5),1),5),CROQUIS_DATOS!$C$1501,CROQUIS_DATOS!$C$1505,CROQUIS_DATOS!$C$1509,CROQUIS_DATOS!$C$1513,CROQUIS_DATOS!$C$1517)=1,CROQUIS_DATOS!$C$1557,0)=0),0,IF(MOD($A182-1,62)+1&gt;2*IF(CHOOSE(MIN(MAX(MIN(INT(($A182-1)/62)+1,5),1),5),CROQUIS_DATOS!$C$1501,CROQUIS_DATOS!$C$1505,CROQUIS_DATOS!$C$1509,CROQUIS_DATOS!$C$1513,CROQUIS_DATOS!$C$1517)=1,CROQUIS_DATOS!$C$1557,0)+1,IF(MOD(IF(CHOOSE(MIN(MAX(MIN(INT(($A182-1)/62)+1,5),1),5),CROQUIS_DATOS!$C$1501,CROQUIS_DATOS!$C$1505,CROQUIS_DATOS!$C$1509,CROQUIS_DATOS!$C$1513,CROQUIS_DATOS!$C$1517)=1,CROQUIS_DATOS!$C$1557,0),2)=1,1,0),IF(MOD(MIN(INT((MOD($A182-1,62)+1-2)/2)+1,MAX(IF(CHOOSE(MIN(MAX(MIN(INT(($A182-1)/62)+1,5),1),5),CROQUIS_DATOS!$C$1501,CROQUIS_DATOS!$C$1505,CROQUIS_DATOS!$C$1509,CROQUIS_DATOS!$C$1513,CROQUIS_DATOS!$C$1517)=1,CROQUIS_DATOS!$C$1557,0),1)),2)=1,IF(MOD(MOD($A182-1,62)+1-2,2)=0,0,1),IF(MOD(MOD($A182-1,62)+1-2,2)=0,1,0))))=0,(CHOOSE(MIN(MAX(MIN(INT(($A182-1)/62)+1,5),1),5),CROQUIS_DATOS!$C$1499,CROQUIS_DATOS!$C$1503,CROQUIS_DATOS!$C$1507,CROQUIS_DATOS!$C$1511,CROQUIS_DATOS!$C$1515)+IF(CHOOSE(MIN(MAX(MIN(INT(($A182-1)/62)+1,5),1),5),CROQUIS_DATOS!$C$1501,CROQUIS_DATOS!$C$1505,CROQUIS_DATOS!$C$1509,CROQUIS_DATOS!$C$1513,CROQUIS_DATOS!$C$1517)=1,CROQUIS_DATOS!$C$1526,0)),(CHOOSE(MIN(MAX(MIN(INT(($A182-1)/62)+1,5),1),5),CROQUIS_DATOS!$C$1499,CROQUIS_DATOS!$C$1503,CROQUIS_DATOS!$C$1507,CROQUIS_DATOS!$C$1511,CROQUIS_DATOS!$C$1515)+CHOOSE(MIN(MAX(MIN(INT(($A182-1)/62)+1,5),1),5),CROQUIS_DATOS!$C$1500,CROQUIS_DATOS!$C$1504,CROQUIS_DATOS!$C$1508,CROQUIS_DATOS!$C$1512,CROQUIS_DATOS!$C$1516)-IF(CHOOSE(MIN(MAX(MIN(INT(($A182-1)/62)+1,5),1),5),CROQUIS_DATOS!$C$1501,CROQUIS_DATOS!$C$1505,CROQUIS_DATOS!$C$1509,CROQUIS_DATOS!$C$1513,CROQUIS_DATOS!$C$1517)=1,CROQUIS_DATOS!$C$1526,0))))*CROQUIS_DATOS!$C$1562),-1000)</f>
        <v>-1000</v>
      </c>
      <c r="Q182">
        <f>IF(AND(CROQUIS_DATOS!$C$1472=1,CROQUIS_DATOS!$C$1555=1),(CROQUIS_DATOS!$C$1564+(IF(OR(OR(MOD($A182-1,62)+1=1,IF(CHOOSE(MIN(MAX(MIN(INT(($A182-1)/62)+1,5),1),5),CROQUIS_DATOS!$C$1501,CROQUIS_DATOS!$C$1505,CROQUIS_DATOS!$C$1509,CROQUIS_DATOS!$C$1513,CROQUIS_DATOS!$C$1517)=1,CROQUIS_DATOS!$C$1557,0)=0),MOD($A182-1,62)+1&gt;2*IF(CHOOSE(MIN(MAX(MIN(INT(($A182-1)/62)+1,5),1),5),CROQUIS_DATOS!$C$1501,CROQUIS_DATOS!$C$1505,CROQUIS_DATOS!$C$1509,CROQUIS_DATOS!$C$1513,CROQUIS_DATOS!$C$1517)=1,CROQUIS_DATOS!$C$1557,0)+1),CROQUIS_DATOS!$C$1476,MIN(INT((MOD($A182-1,62)+1-2)/2)+1,MAX(IF(CHOOSE(MIN(MAX(MIN(INT(($A182-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2">
        <f>IF(AND(CROQUIS_DATOS!$C$1472=1,1),(CROQUIS_DATOS!$C$1563+(MIN(INT(($A182-1)/2)+1,CROQUIS_DATOS!$C$1558)*CROQUIS_DATOS!$C$1559)*CROQUIS_DATOS!$C$1562),-1000)</f>
        <v>82.2281167108753</v>
      </c>
      <c r="U182">
        <f>IF(AND(CROQUIS_DATOS!$C$1472=1,1),(CROQUIS_DATOS!$C$1564+(IF(INT(($A182-1)/2)+1&gt;CROQUIS_DATOS!$C$1558,IF(MOD(CROQUIS_DATOS!$C$1558,2)=1,CROQUIS_DATOS!$C$1476+CROQUIS_DATOS!$C$1528,CROQUIS_DATOS!$C$1476),IF(IF(MOD(MIN(INT(($A182-1)/2)+1,CROQUIS_DATOS!$C$1558),2)=1,MOD($A182-1,2),1-MOD($A182-1,2))=1,CROQUIS_DATOS!$C$1476+CROQUIS_DATOS!$C$1528,CROQUIS_DATOS!$C$1476)))*CROQUIS_DATOS!$C$1561*CROQUIS_DATOS!$C$1562),-1000)</f>
        <v>43</v>
      </c>
    </row>
    <row r="183">
      <c r="A183" t="n">
        <v>176</v>
      </c>
      <c r="N183">
        <f>IF(AND(CROQUIS_DATOS!$C$1472=1,1),(CROQUIS_DATOS!$C$1563+(IF(IF(IF(INT(($A183-1)/70)+1&gt;CROQUIS_DATOS!$C$1525,70,MOD($A183-1,70)+1)=1,0,IF(IF(INT(($A183-1)/70)+1&gt;CROQUIS_DATOS!$C$1525,70,MOD($A183-1,70)+1)&gt;2*CROQUIS_DATOS!$C$1541+1,IF(MOD(CROQUIS_DATOS!$C$1541,2)=1,1,0),IF(MOD(MIN(INT((IF(INT(($A183-1)/70)+1&gt;CROQUIS_DATOS!$C$1525,70,MOD($A183-1,70)+1)-2)/2)+1,CROQUIS_DATOS!$C$1541),2)=1,IF(MOD(IF(INT(($A183-1)/70)+1&gt;CROQUIS_DATOS!$C$1525,70,MOD($A183-1,70)+1)-2,2)=0,0,1),IF(MOD(IF(INT(($A183-1)/70)+1&gt;CROQUIS_DATOS!$C$1525,70,MOD($A183-1,70)+1)-2,2)=0,1,0))))=0,(INDEX($E$8:$E$23,MIN(INT(($A183-1)/70)+1,CROQUIS_DATOS!$C$1525))-INDEX($F$8:$F$23,MIN(INT(($A183-1)/70)+1,CROQUIS_DATOS!$C$1525))/2),(INDEX($E$8:$E$23,MIN(INT(($A183-1)/70)+1,CROQUIS_DATOS!$C$1525))+INDEX($F$8:$F$23,MIN(INT(($A183-1)/70)+1,CROQUIS_DATOS!$C$1525))/2)))*CROQUIS_DATOS!$C$1562),-1000)</f>
        <v>35.3362068965517</v>
      </c>
      <c r="O183">
        <f>IF(AND(CROQUIS_DATOS!$C$1472=1,1),(CROQUIS_DATOS!$C$1564+(IF(OR(IF(INT(($A183-1)/70)+1&gt;CROQUIS_DATOS!$C$1525,70,MOD($A183-1,70)+1)=1,IF(INT(($A183-1)/70)+1&gt;CROQUIS_DATOS!$C$1525,70,MOD($A183-1,70)+1)&gt;2*CROQUIS_DATOS!$C$1541+1),CROQUIS_DATOS!$C$1476,INDEX($H$8:$H$41,MIN(INT((IF(INT(($A183-1)/70)+1&gt;CROQUIS_DATOS!$C$1525,70,MOD($A183-1,70)+1)-2)/2)+1,CROQUIS_DATOS!$C$1541))))*CROQUIS_DATOS!$C$1561*CROQUIS_DATOS!$C$1562),-1000)</f>
        <v>39.1594827586207</v>
      </c>
      <c r="P183">
        <f>IF(AND(CROQUIS_DATOS!$C$1472=1,CROQUIS_DATOS!$C$1555=1),(CROQUIS_DATOS!$C$1563+(IF(IF(OR(MOD($A183-1,62)+1=1,IF(CHOOSE(MIN(MAX(MIN(INT(($A183-1)/62)+1,5),1),5),CROQUIS_DATOS!$C$1501,CROQUIS_DATOS!$C$1505,CROQUIS_DATOS!$C$1509,CROQUIS_DATOS!$C$1513,CROQUIS_DATOS!$C$1517)=1,CROQUIS_DATOS!$C$1557,0)=0),0,IF(MOD($A183-1,62)+1&gt;2*IF(CHOOSE(MIN(MAX(MIN(INT(($A183-1)/62)+1,5),1),5),CROQUIS_DATOS!$C$1501,CROQUIS_DATOS!$C$1505,CROQUIS_DATOS!$C$1509,CROQUIS_DATOS!$C$1513,CROQUIS_DATOS!$C$1517)=1,CROQUIS_DATOS!$C$1557,0)+1,IF(MOD(IF(CHOOSE(MIN(MAX(MIN(INT(($A183-1)/62)+1,5),1),5),CROQUIS_DATOS!$C$1501,CROQUIS_DATOS!$C$1505,CROQUIS_DATOS!$C$1509,CROQUIS_DATOS!$C$1513,CROQUIS_DATOS!$C$1517)=1,CROQUIS_DATOS!$C$1557,0),2)=1,1,0),IF(MOD(MIN(INT((MOD($A183-1,62)+1-2)/2)+1,MAX(IF(CHOOSE(MIN(MAX(MIN(INT(($A183-1)/62)+1,5),1),5),CROQUIS_DATOS!$C$1501,CROQUIS_DATOS!$C$1505,CROQUIS_DATOS!$C$1509,CROQUIS_DATOS!$C$1513,CROQUIS_DATOS!$C$1517)=1,CROQUIS_DATOS!$C$1557,0),1)),2)=1,IF(MOD(MOD($A183-1,62)+1-2,2)=0,0,1),IF(MOD(MOD($A183-1,62)+1-2,2)=0,1,0))))=0,(CHOOSE(MIN(MAX(MIN(INT(($A183-1)/62)+1,5),1),5),CROQUIS_DATOS!$C$1499,CROQUIS_DATOS!$C$1503,CROQUIS_DATOS!$C$1507,CROQUIS_DATOS!$C$1511,CROQUIS_DATOS!$C$1515)+IF(CHOOSE(MIN(MAX(MIN(INT(($A183-1)/62)+1,5),1),5),CROQUIS_DATOS!$C$1501,CROQUIS_DATOS!$C$1505,CROQUIS_DATOS!$C$1509,CROQUIS_DATOS!$C$1513,CROQUIS_DATOS!$C$1517)=1,CROQUIS_DATOS!$C$1526,0)),(CHOOSE(MIN(MAX(MIN(INT(($A183-1)/62)+1,5),1),5),CROQUIS_DATOS!$C$1499,CROQUIS_DATOS!$C$1503,CROQUIS_DATOS!$C$1507,CROQUIS_DATOS!$C$1511,CROQUIS_DATOS!$C$1515)+CHOOSE(MIN(MAX(MIN(INT(($A183-1)/62)+1,5),1),5),CROQUIS_DATOS!$C$1500,CROQUIS_DATOS!$C$1504,CROQUIS_DATOS!$C$1508,CROQUIS_DATOS!$C$1512,CROQUIS_DATOS!$C$1516)-IF(CHOOSE(MIN(MAX(MIN(INT(($A183-1)/62)+1,5),1),5),CROQUIS_DATOS!$C$1501,CROQUIS_DATOS!$C$1505,CROQUIS_DATOS!$C$1509,CROQUIS_DATOS!$C$1513,CROQUIS_DATOS!$C$1517)=1,CROQUIS_DATOS!$C$1526,0))))*CROQUIS_DATOS!$C$1562),-1000)</f>
        <v>-1000</v>
      </c>
      <c r="Q183">
        <f>IF(AND(CROQUIS_DATOS!$C$1472=1,CROQUIS_DATOS!$C$1555=1),(CROQUIS_DATOS!$C$1564+(IF(OR(OR(MOD($A183-1,62)+1=1,IF(CHOOSE(MIN(MAX(MIN(INT(($A183-1)/62)+1,5),1),5),CROQUIS_DATOS!$C$1501,CROQUIS_DATOS!$C$1505,CROQUIS_DATOS!$C$1509,CROQUIS_DATOS!$C$1513,CROQUIS_DATOS!$C$1517)=1,CROQUIS_DATOS!$C$1557,0)=0),MOD($A183-1,62)+1&gt;2*IF(CHOOSE(MIN(MAX(MIN(INT(($A183-1)/62)+1,5),1),5),CROQUIS_DATOS!$C$1501,CROQUIS_DATOS!$C$1505,CROQUIS_DATOS!$C$1509,CROQUIS_DATOS!$C$1513,CROQUIS_DATOS!$C$1517)=1,CROQUIS_DATOS!$C$1557,0)+1),CROQUIS_DATOS!$C$1476,MIN(INT((MOD($A183-1,62)+1-2)/2)+1,MAX(IF(CHOOSE(MIN(MAX(MIN(INT(($A183-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3">
        <f>IF(AND(CROQUIS_DATOS!$C$1472=1,1),(CROQUIS_DATOS!$C$1563+(MIN(INT(($A183-1)/2)+1,CROQUIS_DATOS!$C$1558)*CROQUIS_DATOS!$C$1559)*CROQUIS_DATOS!$C$1562),-1000)</f>
        <v>82.2281167108753</v>
      </c>
      <c r="U183">
        <f>IF(AND(CROQUIS_DATOS!$C$1472=1,1),(CROQUIS_DATOS!$C$1564+(IF(INT(($A183-1)/2)+1&gt;CROQUIS_DATOS!$C$1558,IF(MOD(CROQUIS_DATOS!$C$1558,2)=1,CROQUIS_DATOS!$C$1476+CROQUIS_DATOS!$C$1528,CROQUIS_DATOS!$C$1476),IF(IF(MOD(MIN(INT(($A183-1)/2)+1,CROQUIS_DATOS!$C$1558),2)=1,MOD($A183-1,2),1-MOD($A183-1,2))=1,CROQUIS_DATOS!$C$1476+CROQUIS_DATOS!$C$1528,CROQUIS_DATOS!$C$1476)))*CROQUIS_DATOS!$C$1561*CROQUIS_DATOS!$C$1562),-1000)</f>
        <v>43</v>
      </c>
    </row>
    <row r="184">
      <c r="A184" t="n">
        <v>177</v>
      </c>
      <c r="N184">
        <f>IF(AND(CROQUIS_DATOS!$C$1472=1,1),(CROQUIS_DATOS!$C$1563+(IF(IF(IF(INT(($A184-1)/70)+1&gt;CROQUIS_DATOS!$C$1525,70,MOD($A184-1,70)+1)=1,0,IF(IF(INT(($A184-1)/70)+1&gt;CROQUIS_DATOS!$C$1525,70,MOD($A184-1,70)+1)&gt;2*CROQUIS_DATOS!$C$1541+1,IF(MOD(CROQUIS_DATOS!$C$1541,2)=1,1,0),IF(MOD(MIN(INT((IF(INT(($A184-1)/70)+1&gt;CROQUIS_DATOS!$C$1525,70,MOD($A184-1,70)+1)-2)/2)+1,CROQUIS_DATOS!$C$1541),2)=1,IF(MOD(IF(INT(($A184-1)/70)+1&gt;CROQUIS_DATOS!$C$1525,70,MOD($A184-1,70)+1)-2,2)=0,0,1),IF(MOD(IF(INT(($A184-1)/70)+1&gt;CROQUIS_DATOS!$C$1525,70,MOD($A184-1,70)+1)-2,2)=0,1,0))))=0,(INDEX($E$8:$E$23,MIN(INT(($A184-1)/70)+1,CROQUIS_DATOS!$C$1525))-INDEX($F$8:$F$23,MIN(INT(($A184-1)/70)+1,CROQUIS_DATOS!$C$1525))/2),(INDEX($E$8:$E$23,MIN(INT(($A184-1)/70)+1,CROQUIS_DATOS!$C$1525))+INDEX($F$8:$F$23,MIN(INT(($A184-1)/70)+1,CROQUIS_DATOS!$C$1525))/2)))*CROQUIS_DATOS!$C$1562),-1000)</f>
        <v>33.2413793103448</v>
      </c>
      <c r="O184">
        <f>IF(AND(CROQUIS_DATOS!$C$1472=1,1),(CROQUIS_DATOS!$C$1564+(IF(OR(IF(INT(($A184-1)/70)+1&gt;CROQUIS_DATOS!$C$1525,70,MOD($A184-1,70)+1)=1,IF(INT(($A184-1)/70)+1&gt;CROQUIS_DATOS!$C$1525,70,MOD($A184-1,70)+1)&gt;2*CROQUIS_DATOS!$C$1541+1),CROQUIS_DATOS!$C$1476,INDEX($H$8:$H$41,MIN(INT((IF(INT(($A184-1)/70)+1&gt;CROQUIS_DATOS!$C$1525,70,MOD($A184-1,70)+1)-2)/2)+1,CROQUIS_DATOS!$C$1541))))*CROQUIS_DATOS!$C$1561*CROQUIS_DATOS!$C$1562),-1000)</f>
        <v>39.1594827586207</v>
      </c>
      <c r="P184">
        <f>IF(AND(CROQUIS_DATOS!$C$1472=1,CROQUIS_DATOS!$C$1555=1),(CROQUIS_DATOS!$C$1563+(IF(IF(OR(MOD($A184-1,62)+1=1,IF(CHOOSE(MIN(MAX(MIN(INT(($A184-1)/62)+1,5),1),5),CROQUIS_DATOS!$C$1501,CROQUIS_DATOS!$C$1505,CROQUIS_DATOS!$C$1509,CROQUIS_DATOS!$C$1513,CROQUIS_DATOS!$C$1517)=1,CROQUIS_DATOS!$C$1557,0)=0),0,IF(MOD($A184-1,62)+1&gt;2*IF(CHOOSE(MIN(MAX(MIN(INT(($A184-1)/62)+1,5),1),5),CROQUIS_DATOS!$C$1501,CROQUIS_DATOS!$C$1505,CROQUIS_DATOS!$C$1509,CROQUIS_DATOS!$C$1513,CROQUIS_DATOS!$C$1517)=1,CROQUIS_DATOS!$C$1557,0)+1,IF(MOD(IF(CHOOSE(MIN(MAX(MIN(INT(($A184-1)/62)+1,5),1),5),CROQUIS_DATOS!$C$1501,CROQUIS_DATOS!$C$1505,CROQUIS_DATOS!$C$1509,CROQUIS_DATOS!$C$1513,CROQUIS_DATOS!$C$1517)=1,CROQUIS_DATOS!$C$1557,0),2)=1,1,0),IF(MOD(MIN(INT((MOD($A184-1,62)+1-2)/2)+1,MAX(IF(CHOOSE(MIN(MAX(MIN(INT(($A184-1)/62)+1,5),1),5),CROQUIS_DATOS!$C$1501,CROQUIS_DATOS!$C$1505,CROQUIS_DATOS!$C$1509,CROQUIS_DATOS!$C$1513,CROQUIS_DATOS!$C$1517)=1,CROQUIS_DATOS!$C$1557,0),1)),2)=1,IF(MOD(MOD($A184-1,62)+1-2,2)=0,0,1),IF(MOD(MOD($A184-1,62)+1-2,2)=0,1,0))))=0,(CHOOSE(MIN(MAX(MIN(INT(($A184-1)/62)+1,5),1),5),CROQUIS_DATOS!$C$1499,CROQUIS_DATOS!$C$1503,CROQUIS_DATOS!$C$1507,CROQUIS_DATOS!$C$1511,CROQUIS_DATOS!$C$1515)+IF(CHOOSE(MIN(MAX(MIN(INT(($A184-1)/62)+1,5),1),5),CROQUIS_DATOS!$C$1501,CROQUIS_DATOS!$C$1505,CROQUIS_DATOS!$C$1509,CROQUIS_DATOS!$C$1513,CROQUIS_DATOS!$C$1517)=1,CROQUIS_DATOS!$C$1526,0)),(CHOOSE(MIN(MAX(MIN(INT(($A184-1)/62)+1,5),1),5),CROQUIS_DATOS!$C$1499,CROQUIS_DATOS!$C$1503,CROQUIS_DATOS!$C$1507,CROQUIS_DATOS!$C$1511,CROQUIS_DATOS!$C$1515)+CHOOSE(MIN(MAX(MIN(INT(($A184-1)/62)+1,5),1),5),CROQUIS_DATOS!$C$1500,CROQUIS_DATOS!$C$1504,CROQUIS_DATOS!$C$1508,CROQUIS_DATOS!$C$1512,CROQUIS_DATOS!$C$1516)-IF(CHOOSE(MIN(MAX(MIN(INT(($A184-1)/62)+1,5),1),5),CROQUIS_DATOS!$C$1501,CROQUIS_DATOS!$C$1505,CROQUIS_DATOS!$C$1509,CROQUIS_DATOS!$C$1513,CROQUIS_DATOS!$C$1517)=1,CROQUIS_DATOS!$C$1526,0))))*CROQUIS_DATOS!$C$1562),-1000)</f>
        <v>-1000</v>
      </c>
      <c r="Q184">
        <f>IF(AND(CROQUIS_DATOS!$C$1472=1,CROQUIS_DATOS!$C$1555=1),(CROQUIS_DATOS!$C$1564+(IF(OR(OR(MOD($A184-1,62)+1=1,IF(CHOOSE(MIN(MAX(MIN(INT(($A184-1)/62)+1,5),1),5),CROQUIS_DATOS!$C$1501,CROQUIS_DATOS!$C$1505,CROQUIS_DATOS!$C$1509,CROQUIS_DATOS!$C$1513,CROQUIS_DATOS!$C$1517)=1,CROQUIS_DATOS!$C$1557,0)=0),MOD($A184-1,62)+1&gt;2*IF(CHOOSE(MIN(MAX(MIN(INT(($A184-1)/62)+1,5),1),5),CROQUIS_DATOS!$C$1501,CROQUIS_DATOS!$C$1505,CROQUIS_DATOS!$C$1509,CROQUIS_DATOS!$C$1513,CROQUIS_DATOS!$C$1517)=1,CROQUIS_DATOS!$C$1557,0)+1),CROQUIS_DATOS!$C$1476,MIN(INT((MOD($A184-1,62)+1-2)/2)+1,MAX(IF(CHOOSE(MIN(MAX(MIN(INT(($A184-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4">
        <f>IF(AND(CROQUIS_DATOS!$C$1472=1,1),(CROQUIS_DATOS!$C$1563+(MIN(INT(($A184-1)/2)+1,CROQUIS_DATOS!$C$1558)*CROQUIS_DATOS!$C$1559)*CROQUIS_DATOS!$C$1562),-1000)</f>
        <v>82.2281167108753</v>
      </c>
      <c r="U184">
        <f>IF(AND(CROQUIS_DATOS!$C$1472=1,1),(CROQUIS_DATOS!$C$1564+(IF(INT(($A184-1)/2)+1&gt;CROQUIS_DATOS!$C$1558,IF(MOD(CROQUIS_DATOS!$C$1558,2)=1,CROQUIS_DATOS!$C$1476+CROQUIS_DATOS!$C$1528,CROQUIS_DATOS!$C$1476),IF(IF(MOD(MIN(INT(($A184-1)/2)+1,CROQUIS_DATOS!$C$1558),2)=1,MOD($A184-1,2),1-MOD($A184-1,2))=1,CROQUIS_DATOS!$C$1476+CROQUIS_DATOS!$C$1528,CROQUIS_DATOS!$C$1476)))*CROQUIS_DATOS!$C$1561*CROQUIS_DATOS!$C$1562),-1000)</f>
        <v>43</v>
      </c>
    </row>
    <row r="185">
      <c r="A185" t="n">
        <v>178</v>
      </c>
      <c r="N185">
        <f>IF(AND(CROQUIS_DATOS!$C$1472=1,1),(CROQUIS_DATOS!$C$1563+(IF(IF(IF(INT(($A185-1)/70)+1&gt;CROQUIS_DATOS!$C$1525,70,MOD($A185-1,70)+1)=1,0,IF(IF(INT(($A185-1)/70)+1&gt;CROQUIS_DATOS!$C$1525,70,MOD($A185-1,70)+1)&gt;2*CROQUIS_DATOS!$C$1541+1,IF(MOD(CROQUIS_DATOS!$C$1541,2)=1,1,0),IF(MOD(MIN(INT((IF(INT(($A185-1)/70)+1&gt;CROQUIS_DATOS!$C$1525,70,MOD($A185-1,70)+1)-2)/2)+1,CROQUIS_DATOS!$C$1541),2)=1,IF(MOD(IF(INT(($A185-1)/70)+1&gt;CROQUIS_DATOS!$C$1525,70,MOD($A185-1,70)+1)-2,2)=0,0,1),IF(MOD(IF(INT(($A185-1)/70)+1&gt;CROQUIS_DATOS!$C$1525,70,MOD($A185-1,70)+1)-2,2)=0,1,0))))=0,(INDEX($E$8:$E$23,MIN(INT(($A185-1)/70)+1,CROQUIS_DATOS!$C$1525))-INDEX($F$8:$F$23,MIN(INT(($A185-1)/70)+1,CROQUIS_DATOS!$C$1525))/2),(INDEX($E$8:$E$23,MIN(INT(($A185-1)/70)+1,CROQUIS_DATOS!$C$1525))+INDEX($F$8:$F$23,MIN(INT(($A185-1)/70)+1,CROQUIS_DATOS!$C$1525))/2)))*CROQUIS_DATOS!$C$1562),-1000)</f>
        <v>33.2413793103448</v>
      </c>
      <c r="O185">
        <f>IF(AND(CROQUIS_DATOS!$C$1472=1,1),(CROQUIS_DATOS!$C$1564+(IF(OR(IF(INT(($A185-1)/70)+1&gt;CROQUIS_DATOS!$C$1525,70,MOD($A185-1,70)+1)=1,IF(INT(($A185-1)/70)+1&gt;CROQUIS_DATOS!$C$1525,70,MOD($A185-1,70)+1)&gt;2*CROQUIS_DATOS!$C$1541+1),CROQUIS_DATOS!$C$1476,INDEX($H$8:$H$41,MIN(INT((IF(INT(($A185-1)/70)+1&gt;CROQUIS_DATOS!$C$1525,70,MOD($A185-1,70)+1)-2)/2)+1,CROQUIS_DATOS!$C$1541))))*CROQUIS_DATOS!$C$1561*CROQUIS_DATOS!$C$1562),-1000)</f>
        <v>40.2068965517241</v>
      </c>
      <c r="P185">
        <f>IF(AND(CROQUIS_DATOS!$C$1472=1,CROQUIS_DATOS!$C$1555=1),(CROQUIS_DATOS!$C$1563+(IF(IF(OR(MOD($A185-1,62)+1=1,IF(CHOOSE(MIN(MAX(MIN(INT(($A185-1)/62)+1,5),1),5),CROQUIS_DATOS!$C$1501,CROQUIS_DATOS!$C$1505,CROQUIS_DATOS!$C$1509,CROQUIS_DATOS!$C$1513,CROQUIS_DATOS!$C$1517)=1,CROQUIS_DATOS!$C$1557,0)=0),0,IF(MOD($A185-1,62)+1&gt;2*IF(CHOOSE(MIN(MAX(MIN(INT(($A185-1)/62)+1,5),1),5),CROQUIS_DATOS!$C$1501,CROQUIS_DATOS!$C$1505,CROQUIS_DATOS!$C$1509,CROQUIS_DATOS!$C$1513,CROQUIS_DATOS!$C$1517)=1,CROQUIS_DATOS!$C$1557,0)+1,IF(MOD(IF(CHOOSE(MIN(MAX(MIN(INT(($A185-1)/62)+1,5),1),5),CROQUIS_DATOS!$C$1501,CROQUIS_DATOS!$C$1505,CROQUIS_DATOS!$C$1509,CROQUIS_DATOS!$C$1513,CROQUIS_DATOS!$C$1517)=1,CROQUIS_DATOS!$C$1557,0),2)=1,1,0),IF(MOD(MIN(INT((MOD($A185-1,62)+1-2)/2)+1,MAX(IF(CHOOSE(MIN(MAX(MIN(INT(($A185-1)/62)+1,5),1),5),CROQUIS_DATOS!$C$1501,CROQUIS_DATOS!$C$1505,CROQUIS_DATOS!$C$1509,CROQUIS_DATOS!$C$1513,CROQUIS_DATOS!$C$1517)=1,CROQUIS_DATOS!$C$1557,0),1)),2)=1,IF(MOD(MOD($A185-1,62)+1-2,2)=0,0,1),IF(MOD(MOD($A185-1,62)+1-2,2)=0,1,0))))=0,(CHOOSE(MIN(MAX(MIN(INT(($A185-1)/62)+1,5),1),5),CROQUIS_DATOS!$C$1499,CROQUIS_DATOS!$C$1503,CROQUIS_DATOS!$C$1507,CROQUIS_DATOS!$C$1511,CROQUIS_DATOS!$C$1515)+IF(CHOOSE(MIN(MAX(MIN(INT(($A185-1)/62)+1,5),1),5),CROQUIS_DATOS!$C$1501,CROQUIS_DATOS!$C$1505,CROQUIS_DATOS!$C$1509,CROQUIS_DATOS!$C$1513,CROQUIS_DATOS!$C$1517)=1,CROQUIS_DATOS!$C$1526,0)),(CHOOSE(MIN(MAX(MIN(INT(($A185-1)/62)+1,5),1),5),CROQUIS_DATOS!$C$1499,CROQUIS_DATOS!$C$1503,CROQUIS_DATOS!$C$1507,CROQUIS_DATOS!$C$1511,CROQUIS_DATOS!$C$1515)+CHOOSE(MIN(MAX(MIN(INT(($A185-1)/62)+1,5),1),5),CROQUIS_DATOS!$C$1500,CROQUIS_DATOS!$C$1504,CROQUIS_DATOS!$C$1508,CROQUIS_DATOS!$C$1512,CROQUIS_DATOS!$C$1516)-IF(CHOOSE(MIN(MAX(MIN(INT(($A185-1)/62)+1,5),1),5),CROQUIS_DATOS!$C$1501,CROQUIS_DATOS!$C$1505,CROQUIS_DATOS!$C$1509,CROQUIS_DATOS!$C$1513,CROQUIS_DATOS!$C$1517)=1,CROQUIS_DATOS!$C$1526,0))))*CROQUIS_DATOS!$C$1562),-1000)</f>
        <v>-1000</v>
      </c>
      <c r="Q185">
        <f>IF(AND(CROQUIS_DATOS!$C$1472=1,CROQUIS_DATOS!$C$1555=1),(CROQUIS_DATOS!$C$1564+(IF(OR(OR(MOD($A185-1,62)+1=1,IF(CHOOSE(MIN(MAX(MIN(INT(($A185-1)/62)+1,5),1),5),CROQUIS_DATOS!$C$1501,CROQUIS_DATOS!$C$1505,CROQUIS_DATOS!$C$1509,CROQUIS_DATOS!$C$1513,CROQUIS_DATOS!$C$1517)=1,CROQUIS_DATOS!$C$1557,0)=0),MOD($A185-1,62)+1&gt;2*IF(CHOOSE(MIN(MAX(MIN(INT(($A185-1)/62)+1,5),1),5),CROQUIS_DATOS!$C$1501,CROQUIS_DATOS!$C$1505,CROQUIS_DATOS!$C$1509,CROQUIS_DATOS!$C$1513,CROQUIS_DATOS!$C$1517)=1,CROQUIS_DATOS!$C$1557,0)+1),CROQUIS_DATOS!$C$1476,MIN(INT((MOD($A185-1,62)+1-2)/2)+1,MAX(IF(CHOOSE(MIN(MAX(MIN(INT(($A185-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5">
        <f>IF(AND(CROQUIS_DATOS!$C$1472=1,1),(CROQUIS_DATOS!$C$1563+(MIN(INT(($A185-1)/2)+1,CROQUIS_DATOS!$C$1558)*CROQUIS_DATOS!$C$1559)*CROQUIS_DATOS!$C$1562),-1000)</f>
        <v>82.2281167108753</v>
      </c>
      <c r="U185">
        <f>IF(AND(CROQUIS_DATOS!$C$1472=1,1),(CROQUIS_DATOS!$C$1564+(IF(INT(($A185-1)/2)+1&gt;CROQUIS_DATOS!$C$1558,IF(MOD(CROQUIS_DATOS!$C$1558,2)=1,CROQUIS_DATOS!$C$1476+CROQUIS_DATOS!$C$1528,CROQUIS_DATOS!$C$1476),IF(IF(MOD(MIN(INT(($A185-1)/2)+1,CROQUIS_DATOS!$C$1558),2)=1,MOD($A185-1,2),1-MOD($A185-1,2))=1,CROQUIS_DATOS!$C$1476+CROQUIS_DATOS!$C$1528,CROQUIS_DATOS!$C$1476)))*CROQUIS_DATOS!$C$1561*CROQUIS_DATOS!$C$1562),-1000)</f>
        <v>43</v>
      </c>
    </row>
    <row r="186">
      <c r="A186" t="n">
        <v>179</v>
      </c>
      <c r="N186">
        <f>IF(AND(CROQUIS_DATOS!$C$1472=1,1),(CROQUIS_DATOS!$C$1563+(IF(IF(IF(INT(($A186-1)/70)+1&gt;CROQUIS_DATOS!$C$1525,70,MOD($A186-1,70)+1)=1,0,IF(IF(INT(($A186-1)/70)+1&gt;CROQUIS_DATOS!$C$1525,70,MOD($A186-1,70)+1)&gt;2*CROQUIS_DATOS!$C$1541+1,IF(MOD(CROQUIS_DATOS!$C$1541,2)=1,1,0),IF(MOD(MIN(INT((IF(INT(($A186-1)/70)+1&gt;CROQUIS_DATOS!$C$1525,70,MOD($A186-1,70)+1)-2)/2)+1,CROQUIS_DATOS!$C$1541),2)=1,IF(MOD(IF(INT(($A186-1)/70)+1&gt;CROQUIS_DATOS!$C$1525,70,MOD($A186-1,70)+1)-2,2)=0,0,1),IF(MOD(IF(INT(($A186-1)/70)+1&gt;CROQUIS_DATOS!$C$1525,70,MOD($A186-1,70)+1)-2,2)=0,1,0))))=0,(INDEX($E$8:$E$23,MIN(INT(($A186-1)/70)+1,CROQUIS_DATOS!$C$1525))-INDEX($F$8:$F$23,MIN(INT(($A186-1)/70)+1,CROQUIS_DATOS!$C$1525))/2),(INDEX($E$8:$E$23,MIN(INT(($A186-1)/70)+1,CROQUIS_DATOS!$C$1525))+INDEX($F$8:$F$23,MIN(INT(($A186-1)/70)+1,CROQUIS_DATOS!$C$1525))/2)))*CROQUIS_DATOS!$C$1562),-1000)</f>
        <v>33.2413793103448</v>
      </c>
      <c r="O186">
        <f>IF(AND(CROQUIS_DATOS!$C$1472=1,1),(CROQUIS_DATOS!$C$1564+(IF(OR(IF(INT(($A186-1)/70)+1&gt;CROQUIS_DATOS!$C$1525,70,MOD($A186-1,70)+1)=1,IF(INT(($A186-1)/70)+1&gt;CROQUIS_DATOS!$C$1525,70,MOD($A186-1,70)+1)&gt;2*CROQUIS_DATOS!$C$1541+1),CROQUIS_DATOS!$C$1476,INDEX($H$8:$H$41,MIN(INT((IF(INT(($A186-1)/70)+1&gt;CROQUIS_DATOS!$C$1525,70,MOD($A186-1,70)+1)-2)/2)+1,CROQUIS_DATOS!$C$1541))))*CROQUIS_DATOS!$C$1561*CROQUIS_DATOS!$C$1562),-1000)</f>
        <v>40.2068965517241</v>
      </c>
      <c r="P186">
        <f>IF(AND(CROQUIS_DATOS!$C$1472=1,CROQUIS_DATOS!$C$1555=1),(CROQUIS_DATOS!$C$1563+(IF(IF(OR(MOD($A186-1,62)+1=1,IF(CHOOSE(MIN(MAX(MIN(INT(($A186-1)/62)+1,5),1),5),CROQUIS_DATOS!$C$1501,CROQUIS_DATOS!$C$1505,CROQUIS_DATOS!$C$1509,CROQUIS_DATOS!$C$1513,CROQUIS_DATOS!$C$1517)=1,CROQUIS_DATOS!$C$1557,0)=0),0,IF(MOD($A186-1,62)+1&gt;2*IF(CHOOSE(MIN(MAX(MIN(INT(($A186-1)/62)+1,5),1),5),CROQUIS_DATOS!$C$1501,CROQUIS_DATOS!$C$1505,CROQUIS_DATOS!$C$1509,CROQUIS_DATOS!$C$1513,CROQUIS_DATOS!$C$1517)=1,CROQUIS_DATOS!$C$1557,0)+1,IF(MOD(IF(CHOOSE(MIN(MAX(MIN(INT(($A186-1)/62)+1,5),1),5),CROQUIS_DATOS!$C$1501,CROQUIS_DATOS!$C$1505,CROQUIS_DATOS!$C$1509,CROQUIS_DATOS!$C$1513,CROQUIS_DATOS!$C$1517)=1,CROQUIS_DATOS!$C$1557,0),2)=1,1,0),IF(MOD(MIN(INT((MOD($A186-1,62)+1-2)/2)+1,MAX(IF(CHOOSE(MIN(MAX(MIN(INT(($A186-1)/62)+1,5),1),5),CROQUIS_DATOS!$C$1501,CROQUIS_DATOS!$C$1505,CROQUIS_DATOS!$C$1509,CROQUIS_DATOS!$C$1513,CROQUIS_DATOS!$C$1517)=1,CROQUIS_DATOS!$C$1557,0),1)),2)=1,IF(MOD(MOD($A186-1,62)+1-2,2)=0,0,1),IF(MOD(MOD($A186-1,62)+1-2,2)=0,1,0))))=0,(CHOOSE(MIN(MAX(MIN(INT(($A186-1)/62)+1,5),1),5),CROQUIS_DATOS!$C$1499,CROQUIS_DATOS!$C$1503,CROQUIS_DATOS!$C$1507,CROQUIS_DATOS!$C$1511,CROQUIS_DATOS!$C$1515)+IF(CHOOSE(MIN(MAX(MIN(INT(($A186-1)/62)+1,5),1),5),CROQUIS_DATOS!$C$1501,CROQUIS_DATOS!$C$1505,CROQUIS_DATOS!$C$1509,CROQUIS_DATOS!$C$1513,CROQUIS_DATOS!$C$1517)=1,CROQUIS_DATOS!$C$1526,0)),(CHOOSE(MIN(MAX(MIN(INT(($A186-1)/62)+1,5),1),5),CROQUIS_DATOS!$C$1499,CROQUIS_DATOS!$C$1503,CROQUIS_DATOS!$C$1507,CROQUIS_DATOS!$C$1511,CROQUIS_DATOS!$C$1515)+CHOOSE(MIN(MAX(MIN(INT(($A186-1)/62)+1,5),1),5),CROQUIS_DATOS!$C$1500,CROQUIS_DATOS!$C$1504,CROQUIS_DATOS!$C$1508,CROQUIS_DATOS!$C$1512,CROQUIS_DATOS!$C$1516)-IF(CHOOSE(MIN(MAX(MIN(INT(($A186-1)/62)+1,5),1),5),CROQUIS_DATOS!$C$1501,CROQUIS_DATOS!$C$1505,CROQUIS_DATOS!$C$1509,CROQUIS_DATOS!$C$1513,CROQUIS_DATOS!$C$1517)=1,CROQUIS_DATOS!$C$1526,0))))*CROQUIS_DATOS!$C$1562),-1000)</f>
        <v>-1000</v>
      </c>
      <c r="Q186">
        <f>IF(AND(CROQUIS_DATOS!$C$1472=1,CROQUIS_DATOS!$C$1555=1),(CROQUIS_DATOS!$C$1564+(IF(OR(OR(MOD($A186-1,62)+1=1,IF(CHOOSE(MIN(MAX(MIN(INT(($A186-1)/62)+1,5),1),5),CROQUIS_DATOS!$C$1501,CROQUIS_DATOS!$C$1505,CROQUIS_DATOS!$C$1509,CROQUIS_DATOS!$C$1513,CROQUIS_DATOS!$C$1517)=1,CROQUIS_DATOS!$C$1557,0)=0),MOD($A186-1,62)+1&gt;2*IF(CHOOSE(MIN(MAX(MIN(INT(($A186-1)/62)+1,5),1),5),CROQUIS_DATOS!$C$1501,CROQUIS_DATOS!$C$1505,CROQUIS_DATOS!$C$1509,CROQUIS_DATOS!$C$1513,CROQUIS_DATOS!$C$1517)=1,CROQUIS_DATOS!$C$1557,0)+1),CROQUIS_DATOS!$C$1476,MIN(INT((MOD($A186-1,62)+1-2)/2)+1,MAX(IF(CHOOSE(MIN(MAX(MIN(INT(($A186-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6">
        <f>IF(AND(CROQUIS_DATOS!$C$1472=1,1),(CROQUIS_DATOS!$C$1563+(MIN(INT(($A186-1)/2)+1,CROQUIS_DATOS!$C$1558)*CROQUIS_DATOS!$C$1559)*CROQUIS_DATOS!$C$1562),-1000)</f>
        <v>82.2281167108753</v>
      </c>
      <c r="U186">
        <f>IF(AND(CROQUIS_DATOS!$C$1472=1,1),(CROQUIS_DATOS!$C$1564+(IF(INT(($A186-1)/2)+1&gt;CROQUIS_DATOS!$C$1558,IF(MOD(CROQUIS_DATOS!$C$1558,2)=1,CROQUIS_DATOS!$C$1476+CROQUIS_DATOS!$C$1528,CROQUIS_DATOS!$C$1476),IF(IF(MOD(MIN(INT(($A186-1)/2)+1,CROQUIS_DATOS!$C$1558),2)=1,MOD($A186-1,2),1-MOD($A186-1,2))=1,CROQUIS_DATOS!$C$1476+CROQUIS_DATOS!$C$1528,CROQUIS_DATOS!$C$1476)))*CROQUIS_DATOS!$C$1561*CROQUIS_DATOS!$C$1562),-1000)</f>
        <v>43</v>
      </c>
    </row>
    <row r="187">
      <c r="A187" t="n">
        <v>180</v>
      </c>
      <c r="N187">
        <f>IF(AND(CROQUIS_DATOS!$C$1472=1,1),(CROQUIS_DATOS!$C$1563+(IF(IF(IF(INT(($A187-1)/70)+1&gt;CROQUIS_DATOS!$C$1525,70,MOD($A187-1,70)+1)=1,0,IF(IF(INT(($A187-1)/70)+1&gt;CROQUIS_DATOS!$C$1525,70,MOD($A187-1,70)+1)&gt;2*CROQUIS_DATOS!$C$1541+1,IF(MOD(CROQUIS_DATOS!$C$1541,2)=1,1,0),IF(MOD(MIN(INT((IF(INT(($A187-1)/70)+1&gt;CROQUIS_DATOS!$C$1525,70,MOD($A187-1,70)+1)-2)/2)+1,CROQUIS_DATOS!$C$1541),2)=1,IF(MOD(IF(INT(($A187-1)/70)+1&gt;CROQUIS_DATOS!$C$1525,70,MOD($A187-1,70)+1)-2,2)=0,0,1),IF(MOD(IF(INT(($A187-1)/70)+1&gt;CROQUIS_DATOS!$C$1525,70,MOD($A187-1,70)+1)-2,2)=0,1,0))))=0,(INDEX($E$8:$E$23,MIN(INT(($A187-1)/70)+1,CROQUIS_DATOS!$C$1525))-INDEX($F$8:$F$23,MIN(INT(($A187-1)/70)+1,CROQUIS_DATOS!$C$1525))/2),(INDEX($E$8:$E$23,MIN(INT(($A187-1)/70)+1,CROQUIS_DATOS!$C$1525))+INDEX($F$8:$F$23,MIN(INT(($A187-1)/70)+1,CROQUIS_DATOS!$C$1525))/2)))*CROQUIS_DATOS!$C$1562),-1000)</f>
        <v>33.2413793103448</v>
      </c>
      <c r="O187">
        <f>IF(AND(CROQUIS_DATOS!$C$1472=1,1),(CROQUIS_DATOS!$C$1564+(IF(OR(IF(INT(($A187-1)/70)+1&gt;CROQUIS_DATOS!$C$1525,70,MOD($A187-1,70)+1)=1,IF(INT(($A187-1)/70)+1&gt;CROQUIS_DATOS!$C$1525,70,MOD($A187-1,70)+1)&gt;2*CROQUIS_DATOS!$C$1541+1),CROQUIS_DATOS!$C$1476,INDEX($H$8:$H$41,MIN(INT((IF(INT(($A187-1)/70)+1&gt;CROQUIS_DATOS!$C$1525,70,MOD($A187-1,70)+1)-2)/2)+1,CROQUIS_DATOS!$C$1541))))*CROQUIS_DATOS!$C$1561*CROQUIS_DATOS!$C$1562),-1000)</f>
        <v>40.2068965517241</v>
      </c>
      <c r="P187">
        <f>IF(AND(CROQUIS_DATOS!$C$1472=1,CROQUIS_DATOS!$C$1555=1),(CROQUIS_DATOS!$C$1563+(IF(IF(OR(MOD($A187-1,62)+1=1,IF(CHOOSE(MIN(MAX(MIN(INT(($A187-1)/62)+1,5),1),5),CROQUIS_DATOS!$C$1501,CROQUIS_DATOS!$C$1505,CROQUIS_DATOS!$C$1509,CROQUIS_DATOS!$C$1513,CROQUIS_DATOS!$C$1517)=1,CROQUIS_DATOS!$C$1557,0)=0),0,IF(MOD($A187-1,62)+1&gt;2*IF(CHOOSE(MIN(MAX(MIN(INT(($A187-1)/62)+1,5),1),5),CROQUIS_DATOS!$C$1501,CROQUIS_DATOS!$C$1505,CROQUIS_DATOS!$C$1509,CROQUIS_DATOS!$C$1513,CROQUIS_DATOS!$C$1517)=1,CROQUIS_DATOS!$C$1557,0)+1,IF(MOD(IF(CHOOSE(MIN(MAX(MIN(INT(($A187-1)/62)+1,5),1),5),CROQUIS_DATOS!$C$1501,CROQUIS_DATOS!$C$1505,CROQUIS_DATOS!$C$1509,CROQUIS_DATOS!$C$1513,CROQUIS_DATOS!$C$1517)=1,CROQUIS_DATOS!$C$1557,0),2)=1,1,0),IF(MOD(MIN(INT((MOD($A187-1,62)+1-2)/2)+1,MAX(IF(CHOOSE(MIN(MAX(MIN(INT(($A187-1)/62)+1,5),1),5),CROQUIS_DATOS!$C$1501,CROQUIS_DATOS!$C$1505,CROQUIS_DATOS!$C$1509,CROQUIS_DATOS!$C$1513,CROQUIS_DATOS!$C$1517)=1,CROQUIS_DATOS!$C$1557,0),1)),2)=1,IF(MOD(MOD($A187-1,62)+1-2,2)=0,0,1),IF(MOD(MOD($A187-1,62)+1-2,2)=0,1,0))))=0,(CHOOSE(MIN(MAX(MIN(INT(($A187-1)/62)+1,5),1),5),CROQUIS_DATOS!$C$1499,CROQUIS_DATOS!$C$1503,CROQUIS_DATOS!$C$1507,CROQUIS_DATOS!$C$1511,CROQUIS_DATOS!$C$1515)+IF(CHOOSE(MIN(MAX(MIN(INT(($A187-1)/62)+1,5),1),5),CROQUIS_DATOS!$C$1501,CROQUIS_DATOS!$C$1505,CROQUIS_DATOS!$C$1509,CROQUIS_DATOS!$C$1513,CROQUIS_DATOS!$C$1517)=1,CROQUIS_DATOS!$C$1526,0)),(CHOOSE(MIN(MAX(MIN(INT(($A187-1)/62)+1,5),1),5),CROQUIS_DATOS!$C$1499,CROQUIS_DATOS!$C$1503,CROQUIS_DATOS!$C$1507,CROQUIS_DATOS!$C$1511,CROQUIS_DATOS!$C$1515)+CHOOSE(MIN(MAX(MIN(INT(($A187-1)/62)+1,5),1),5),CROQUIS_DATOS!$C$1500,CROQUIS_DATOS!$C$1504,CROQUIS_DATOS!$C$1508,CROQUIS_DATOS!$C$1512,CROQUIS_DATOS!$C$1516)-IF(CHOOSE(MIN(MAX(MIN(INT(($A187-1)/62)+1,5),1),5),CROQUIS_DATOS!$C$1501,CROQUIS_DATOS!$C$1505,CROQUIS_DATOS!$C$1509,CROQUIS_DATOS!$C$1513,CROQUIS_DATOS!$C$1517)=1,CROQUIS_DATOS!$C$1526,0))))*CROQUIS_DATOS!$C$1562),-1000)</f>
        <v>-1000</v>
      </c>
      <c r="Q187">
        <f>IF(AND(CROQUIS_DATOS!$C$1472=1,CROQUIS_DATOS!$C$1555=1),(CROQUIS_DATOS!$C$1564+(IF(OR(OR(MOD($A187-1,62)+1=1,IF(CHOOSE(MIN(MAX(MIN(INT(($A187-1)/62)+1,5),1),5),CROQUIS_DATOS!$C$1501,CROQUIS_DATOS!$C$1505,CROQUIS_DATOS!$C$1509,CROQUIS_DATOS!$C$1513,CROQUIS_DATOS!$C$1517)=1,CROQUIS_DATOS!$C$1557,0)=0),MOD($A187-1,62)+1&gt;2*IF(CHOOSE(MIN(MAX(MIN(INT(($A187-1)/62)+1,5),1),5),CROQUIS_DATOS!$C$1501,CROQUIS_DATOS!$C$1505,CROQUIS_DATOS!$C$1509,CROQUIS_DATOS!$C$1513,CROQUIS_DATOS!$C$1517)=1,CROQUIS_DATOS!$C$1557,0)+1),CROQUIS_DATOS!$C$1476,MIN(INT((MOD($A187-1,62)+1-2)/2)+1,MAX(IF(CHOOSE(MIN(MAX(MIN(INT(($A187-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7">
        <f>IF(AND(CROQUIS_DATOS!$C$1472=1,1),(CROQUIS_DATOS!$C$1563+(MIN(INT(($A187-1)/2)+1,CROQUIS_DATOS!$C$1558)*CROQUIS_DATOS!$C$1559)*CROQUIS_DATOS!$C$1562),-1000)</f>
        <v>82.2281167108753</v>
      </c>
      <c r="U187">
        <f>IF(AND(CROQUIS_DATOS!$C$1472=1,1),(CROQUIS_DATOS!$C$1564+(IF(INT(($A187-1)/2)+1&gt;CROQUIS_DATOS!$C$1558,IF(MOD(CROQUIS_DATOS!$C$1558,2)=1,CROQUIS_DATOS!$C$1476+CROQUIS_DATOS!$C$1528,CROQUIS_DATOS!$C$1476),IF(IF(MOD(MIN(INT(($A187-1)/2)+1,CROQUIS_DATOS!$C$1558),2)=1,MOD($A187-1,2),1-MOD($A187-1,2))=1,CROQUIS_DATOS!$C$1476+CROQUIS_DATOS!$C$1528,CROQUIS_DATOS!$C$1476)))*CROQUIS_DATOS!$C$1561*CROQUIS_DATOS!$C$1562),-1000)</f>
        <v>43</v>
      </c>
    </row>
    <row r="188">
      <c r="A188" t="n">
        <v>181</v>
      </c>
      <c r="N188">
        <f>IF(AND(CROQUIS_DATOS!$C$1472=1,1),(CROQUIS_DATOS!$C$1563+(IF(IF(IF(INT(($A188-1)/70)+1&gt;CROQUIS_DATOS!$C$1525,70,MOD($A188-1,70)+1)=1,0,IF(IF(INT(($A188-1)/70)+1&gt;CROQUIS_DATOS!$C$1525,70,MOD($A188-1,70)+1)&gt;2*CROQUIS_DATOS!$C$1541+1,IF(MOD(CROQUIS_DATOS!$C$1541,2)=1,1,0),IF(MOD(MIN(INT((IF(INT(($A188-1)/70)+1&gt;CROQUIS_DATOS!$C$1525,70,MOD($A188-1,70)+1)-2)/2)+1,CROQUIS_DATOS!$C$1541),2)=1,IF(MOD(IF(INT(($A188-1)/70)+1&gt;CROQUIS_DATOS!$C$1525,70,MOD($A188-1,70)+1)-2,2)=0,0,1),IF(MOD(IF(INT(($A188-1)/70)+1&gt;CROQUIS_DATOS!$C$1525,70,MOD($A188-1,70)+1)-2,2)=0,1,0))))=0,(INDEX($E$8:$E$23,MIN(INT(($A188-1)/70)+1,CROQUIS_DATOS!$C$1525))-INDEX($F$8:$F$23,MIN(INT(($A188-1)/70)+1,CROQUIS_DATOS!$C$1525))/2),(INDEX($E$8:$E$23,MIN(INT(($A188-1)/70)+1,CROQUIS_DATOS!$C$1525))+INDEX($F$8:$F$23,MIN(INT(($A188-1)/70)+1,CROQUIS_DATOS!$C$1525))/2)))*CROQUIS_DATOS!$C$1562),-1000)</f>
        <v>33.2413793103448</v>
      </c>
      <c r="O188">
        <f>IF(AND(CROQUIS_DATOS!$C$1472=1,1),(CROQUIS_DATOS!$C$1564+(IF(OR(IF(INT(($A188-1)/70)+1&gt;CROQUIS_DATOS!$C$1525,70,MOD($A188-1,70)+1)=1,IF(INT(($A188-1)/70)+1&gt;CROQUIS_DATOS!$C$1525,70,MOD($A188-1,70)+1)&gt;2*CROQUIS_DATOS!$C$1541+1),CROQUIS_DATOS!$C$1476,INDEX($H$8:$H$41,MIN(INT((IF(INT(($A188-1)/70)+1&gt;CROQUIS_DATOS!$C$1525,70,MOD($A188-1,70)+1)-2)/2)+1,CROQUIS_DATOS!$C$1541))))*CROQUIS_DATOS!$C$1561*CROQUIS_DATOS!$C$1562),-1000)</f>
        <v>40.2068965517241</v>
      </c>
      <c r="P188">
        <f>IF(AND(CROQUIS_DATOS!$C$1472=1,CROQUIS_DATOS!$C$1555=1),(CROQUIS_DATOS!$C$1563+(IF(IF(OR(MOD($A188-1,62)+1=1,IF(CHOOSE(MIN(MAX(MIN(INT(($A188-1)/62)+1,5),1),5),CROQUIS_DATOS!$C$1501,CROQUIS_DATOS!$C$1505,CROQUIS_DATOS!$C$1509,CROQUIS_DATOS!$C$1513,CROQUIS_DATOS!$C$1517)=1,CROQUIS_DATOS!$C$1557,0)=0),0,IF(MOD($A188-1,62)+1&gt;2*IF(CHOOSE(MIN(MAX(MIN(INT(($A188-1)/62)+1,5),1),5),CROQUIS_DATOS!$C$1501,CROQUIS_DATOS!$C$1505,CROQUIS_DATOS!$C$1509,CROQUIS_DATOS!$C$1513,CROQUIS_DATOS!$C$1517)=1,CROQUIS_DATOS!$C$1557,0)+1,IF(MOD(IF(CHOOSE(MIN(MAX(MIN(INT(($A188-1)/62)+1,5),1),5),CROQUIS_DATOS!$C$1501,CROQUIS_DATOS!$C$1505,CROQUIS_DATOS!$C$1509,CROQUIS_DATOS!$C$1513,CROQUIS_DATOS!$C$1517)=1,CROQUIS_DATOS!$C$1557,0),2)=1,1,0),IF(MOD(MIN(INT((MOD($A188-1,62)+1-2)/2)+1,MAX(IF(CHOOSE(MIN(MAX(MIN(INT(($A188-1)/62)+1,5),1),5),CROQUIS_DATOS!$C$1501,CROQUIS_DATOS!$C$1505,CROQUIS_DATOS!$C$1509,CROQUIS_DATOS!$C$1513,CROQUIS_DATOS!$C$1517)=1,CROQUIS_DATOS!$C$1557,0),1)),2)=1,IF(MOD(MOD($A188-1,62)+1-2,2)=0,0,1),IF(MOD(MOD($A188-1,62)+1-2,2)=0,1,0))))=0,(CHOOSE(MIN(MAX(MIN(INT(($A188-1)/62)+1,5),1),5),CROQUIS_DATOS!$C$1499,CROQUIS_DATOS!$C$1503,CROQUIS_DATOS!$C$1507,CROQUIS_DATOS!$C$1511,CROQUIS_DATOS!$C$1515)+IF(CHOOSE(MIN(MAX(MIN(INT(($A188-1)/62)+1,5),1),5),CROQUIS_DATOS!$C$1501,CROQUIS_DATOS!$C$1505,CROQUIS_DATOS!$C$1509,CROQUIS_DATOS!$C$1513,CROQUIS_DATOS!$C$1517)=1,CROQUIS_DATOS!$C$1526,0)),(CHOOSE(MIN(MAX(MIN(INT(($A188-1)/62)+1,5),1),5),CROQUIS_DATOS!$C$1499,CROQUIS_DATOS!$C$1503,CROQUIS_DATOS!$C$1507,CROQUIS_DATOS!$C$1511,CROQUIS_DATOS!$C$1515)+CHOOSE(MIN(MAX(MIN(INT(($A188-1)/62)+1,5),1),5),CROQUIS_DATOS!$C$1500,CROQUIS_DATOS!$C$1504,CROQUIS_DATOS!$C$1508,CROQUIS_DATOS!$C$1512,CROQUIS_DATOS!$C$1516)-IF(CHOOSE(MIN(MAX(MIN(INT(($A188-1)/62)+1,5),1),5),CROQUIS_DATOS!$C$1501,CROQUIS_DATOS!$C$1505,CROQUIS_DATOS!$C$1509,CROQUIS_DATOS!$C$1513,CROQUIS_DATOS!$C$1517)=1,CROQUIS_DATOS!$C$1526,0))))*CROQUIS_DATOS!$C$1562),-1000)</f>
        <v>-1000</v>
      </c>
      <c r="Q188">
        <f>IF(AND(CROQUIS_DATOS!$C$1472=1,CROQUIS_DATOS!$C$1555=1),(CROQUIS_DATOS!$C$1564+(IF(OR(OR(MOD($A188-1,62)+1=1,IF(CHOOSE(MIN(MAX(MIN(INT(($A188-1)/62)+1,5),1),5),CROQUIS_DATOS!$C$1501,CROQUIS_DATOS!$C$1505,CROQUIS_DATOS!$C$1509,CROQUIS_DATOS!$C$1513,CROQUIS_DATOS!$C$1517)=1,CROQUIS_DATOS!$C$1557,0)=0),MOD($A188-1,62)+1&gt;2*IF(CHOOSE(MIN(MAX(MIN(INT(($A188-1)/62)+1,5),1),5),CROQUIS_DATOS!$C$1501,CROQUIS_DATOS!$C$1505,CROQUIS_DATOS!$C$1509,CROQUIS_DATOS!$C$1513,CROQUIS_DATOS!$C$1517)=1,CROQUIS_DATOS!$C$1557,0)+1),CROQUIS_DATOS!$C$1476,MIN(INT((MOD($A188-1,62)+1-2)/2)+1,MAX(IF(CHOOSE(MIN(MAX(MIN(INT(($A188-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8">
        <f>IF(AND(CROQUIS_DATOS!$C$1472=1,1),(CROQUIS_DATOS!$C$1563+(MIN(INT(($A188-1)/2)+1,CROQUIS_DATOS!$C$1558)*CROQUIS_DATOS!$C$1559)*CROQUIS_DATOS!$C$1562),-1000)</f>
        <v>82.2281167108753</v>
      </c>
      <c r="U188">
        <f>IF(AND(CROQUIS_DATOS!$C$1472=1,1),(CROQUIS_DATOS!$C$1564+(IF(INT(($A188-1)/2)+1&gt;CROQUIS_DATOS!$C$1558,IF(MOD(CROQUIS_DATOS!$C$1558,2)=1,CROQUIS_DATOS!$C$1476+CROQUIS_DATOS!$C$1528,CROQUIS_DATOS!$C$1476),IF(IF(MOD(MIN(INT(($A188-1)/2)+1,CROQUIS_DATOS!$C$1558),2)=1,MOD($A188-1,2),1-MOD($A188-1,2))=1,CROQUIS_DATOS!$C$1476+CROQUIS_DATOS!$C$1528,CROQUIS_DATOS!$C$1476)))*CROQUIS_DATOS!$C$1561*CROQUIS_DATOS!$C$1562),-1000)</f>
        <v>43</v>
      </c>
    </row>
    <row r="189">
      <c r="A189" t="n">
        <v>182</v>
      </c>
      <c r="N189">
        <f>IF(AND(CROQUIS_DATOS!$C$1472=1,1),(CROQUIS_DATOS!$C$1563+(IF(IF(IF(INT(($A189-1)/70)+1&gt;CROQUIS_DATOS!$C$1525,70,MOD($A189-1,70)+1)=1,0,IF(IF(INT(($A189-1)/70)+1&gt;CROQUIS_DATOS!$C$1525,70,MOD($A189-1,70)+1)&gt;2*CROQUIS_DATOS!$C$1541+1,IF(MOD(CROQUIS_DATOS!$C$1541,2)=1,1,0),IF(MOD(MIN(INT((IF(INT(($A189-1)/70)+1&gt;CROQUIS_DATOS!$C$1525,70,MOD($A189-1,70)+1)-2)/2)+1,CROQUIS_DATOS!$C$1541),2)=1,IF(MOD(IF(INT(($A189-1)/70)+1&gt;CROQUIS_DATOS!$C$1525,70,MOD($A189-1,70)+1)-2,2)=0,0,1),IF(MOD(IF(INT(($A189-1)/70)+1&gt;CROQUIS_DATOS!$C$1525,70,MOD($A189-1,70)+1)-2,2)=0,1,0))))=0,(INDEX($E$8:$E$23,MIN(INT(($A189-1)/70)+1,CROQUIS_DATOS!$C$1525))-INDEX($F$8:$F$23,MIN(INT(($A189-1)/70)+1,CROQUIS_DATOS!$C$1525))/2),(INDEX($E$8:$E$23,MIN(INT(($A189-1)/70)+1,CROQUIS_DATOS!$C$1525))+INDEX($F$8:$F$23,MIN(INT(($A189-1)/70)+1,CROQUIS_DATOS!$C$1525))/2)))*CROQUIS_DATOS!$C$1562),-1000)</f>
        <v>33.2413793103448</v>
      </c>
      <c r="O189">
        <f>IF(AND(CROQUIS_DATOS!$C$1472=1,1),(CROQUIS_DATOS!$C$1564+(IF(OR(IF(INT(($A189-1)/70)+1&gt;CROQUIS_DATOS!$C$1525,70,MOD($A189-1,70)+1)=1,IF(INT(($A189-1)/70)+1&gt;CROQUIS_DATOS!$C$1525,70,MOD($A189-1,70)+1)&gt;2*CROQUIS_DATOS!$C$1541+1),CROQUIS_DATOS!$C$1476,INDEX($H$8:$H$41,MIN(INT((IF(INT(($A189-1)/70)+1&gt;CROQUIS_DATOS!$C$1525,70,MOD($A189-1,70)+1)-2)/2)+1,CROQUIS_DATOS!$C$1541))))*CROQUIS_DATOS!$C$1561*CROQUIS_DATOS!$C$1562),-1000)</f>
        <v>40.2068965517241</v>
      </c>
      <c r="P189">
        <f>IF(AND(CROQUIS_DATOS!$C$1472=1,CROQUIS_DATOS!$C$1555=1),(CROQUIS_DATOS!$C$1563+(IF(IF(OR(MOD($A189-1,62)+1=1,IF(CHOOSE(MIN(MAX(MIN(INT(($A189-1)/62)+1,5),1),5),CROQUIS_DATOS!$C$1501,CROQUIS_DATOS!$C$1505,CROQUIS_DATOS!$C$1509,CROQUIS_DATOS!$C$1513,CROQUIS_DATOS!$C$1517)=1,CROQUIS_DATOS!$C$1557,0)=0),0,IF(MOD($A189-1,62)+1&gt;2*IF(CHOOSE(MIN(MAX(MIN(INT(($A189-1)/62)+1,5),1),5),CROQUIS_DATOS!$C$1501,CROQUIS_DATOS!$C$1505,CROQUIS_DATOS!$C$1509,CROQUIS_DATOS!$C$1513,CROQUIS_DATOS!$C$1517)=1,CROQUIS_DATOS!$C$1557,0)+1,IF(MOD(IF(CHOOSE(MIN(MAX(MIN(INT(($A189-1)/62)+1,5),1),5),CROQUIS_DATOS!$C$1501,CROQUIS_DATOS!$C$1505,CROQUIS_DATOS!$C$1509,CROQUIS_DATOS!$C$1513,CROQUIS_DATOS!$C$1517)=1,CROQUIS_DATOS!$C$1557,0),2)=1,1,0),IF(MOD(MIN(INT((MOD($A189-1,62)+1-2)/2)+1,MAX(IF(CHOOSE(MIN(MAX(MIN(INT(($A189-1)/62)+1,5),1),5),CROQUIS_DATOS!$C$1501,CROQUIS_DATOS!$C$1505,CROQUIS_DATOS!$C$1509,CROQUIS_DATOS!$C$1513,CROQUIS_DATOS!$C$1517)=1,CROQUIS_DATOS!$C$1557,0),1)),2)=1,IF(MOD(MOD($A189-1,62)+1-2,2)=0,0,1),IF(MOD(MOD($A189-1,62)+1-2,2)=0,1,0))))=0,(CHOOSE(MIN(MAX(MIN(INT(($A189-1)/62)+1,5),1),5),CROQUIS_DATOS!$C$1499,CROQUIS_DATOS!$C$1503,CROQUIS_DATOS!$C$1507,CROQUIS_DATOS!$C$1511,CROQUIS_DATOS!$C$1515)+IF(CHOOSE(MIN(MAX(MIN(INT(($A189-1)/62)+1,5),1),5),CROQUIS_DATOS!$C$1501,CROQUIS_DATOS!$C$1505,CROQUIS_DATOS!$C$1509,CROQUIS_DATOS!$C$1513,CROQUIS_DATOS!$C$1517)=1,CROQUIS_DATOS!$C$1526,0)),(CHOOSE(MIN(MAX(MIN(INT(($A189-1)/62)+1,5),1),5),CROQUIS_DATOS!$C$1499,CROQUIS_DATOS!$C$1503,CROQUIS_DATOS!$C$1507,CROQUIS_DATOS!$C$1511,CROQUIS_DATOS!$C$1515)+CHOOSE(MIN(MAX(MIN(INT(($A189-1)/62)+1,5),1),5),CROQUIS_DATOS!$C$1500,CROQUIS_DATOS!$C$1504,CROQUIS_DATOS!$C$1508,CROQUIS_DATOS!$C$1512,CROQUIS_DATOS!$C$1516)-IF(CHOOSE(MIN(MAX(MIN(INT(($A189-1)/62)+1,5),1),5),CROQUIS_DATOS!$C$1501,CROQUIS_DATOS!$C$1505,CROQUIS_DATOS!$C$1509,CROQUIS_DATOS!$C$1513,CROQUIS_DATOS!$C$1517)=1,CROQUIS_DATOS!$C$1526,0))))*CROQUIS_DATOS!$C$1562),-1000)</f>
        <v>-1000</v>
      </c>
      <c r="Q189">
        <f>IF(AND(CROQUIS_DATOS!$C$1472=1,CROQUIS_DATOS!$C$1555=1),(CROQUIS_DATOS!$C$1564+(IF(OR(OR(MOD($A189-1,62)+1=1,IF(CHOOSE(MIN(MAX(MIN(INT(($A189-1)/62)+1,5),1),5),CROQUIS_DATOS!$C$1501,CROQUIS_DATOS!$C$1505,CROQUIS_DATOS!$C$1509,CROQUIS_DATOS!$C$1513,CROQUIS_DATOS!$C$1517)=1,CROQUIS_DATOS!$C$1557,0)=0),MOD($A189-1,62)+1&gt;2*IF(CHOOSE(MIN(MAX(MIN(INT(($A189-1)/62)+1,5),1),5),CROQUIS_DATOS!$C$1501,CROQUIS_DATOS!$C$1505,CROQUIS_DATOS!$C$1509,CROQUIS_DATOS!$C$1513,CROQUIS_DATOS!$C$1517)=1,CROQUIS_DATOS!$C$1557,0)+1),CROQUIS_DATOS!$C$1476,MIN(INT((MOD($A189-1,62)+1-2)/2)+1,MAX(IF(CHOOSE(MIN(MAX(MIN(INT(($A189-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89">
        <f>IF(AND(CROQUIS_DATOS!$C$1472=1,1),(CROQUIS_DATOS!$C$1563+(MIN(INT(($A189-1)/2)+1,CROQUIS_DATOS!$C$1558)*CROQUIS_DATOS!$C$1559)*CROQUIS_DATOS!$C$1562),-1000)</f>
        <v>82.2281167108753</v>
      </c>
      <c r="U189">
        <f>IF(AND(CROQUIS_DATOS!$C$1472=1,1),(CROQUIS_DATOS!$C$1564+(IF(INT(($A189-1)/2)+1&gt;CROQUIS_DATOS!$C$1558,IF(MOD(CROQUIS_DATOS!$C$1558,2)=1,CROQUIS_DATOS!$C$1476+CROQUIS_DATOS!$C$1528,CROQUIS_DATOS!$C$1476),IF(IF(MOD(MIN(INT(($A189-1)/2)+1,CROQUIS_DATOS!$C$1558),2)=1,MOD($A189-1,2),1-MOD($A189-1,2))=1,CROQUIS_DATOS!$C$1476+CROQUIS_DATOS!$C$1528,CROQUIS_DATOS!$C$1476)))*CROQUIS_DATOS!$C$1561*CROQUIS_DATOS!$C$1562),-1000)</f>
        <v>43</v>
      </c>
    </row>
    <row r="190">
      <c r="A190" t="n">
        <v>183</v>
      </c>
      <c r="N190">
        <f>IF(AND(CROQUIS_DATOS!$C$1472=1,1),(CROQUIS_DATOS!$C$1563+(IF(IF(IF(INT(($A190-1)/70)+1&gt;CROQUIS_DATOS!$C$1525,70,MOD($A190-1,70)+1)=1,0,IF(IF(INT(($A190-1)/70)+1&gt;CROQUIS_DATOS!$C$1525,70,MOD($A190-1,70)+1)&gt;2*CROQUIS_DATOS!$C$1541+1,IF(MOD(CROQUIS_DATOS!$C$1541,2)=1,1,0),IF(MOD(MIN(INT((IF(INT(($A190-1)/70)+1&gt;CROQUIS_DATOS!$C$1525,70,MOD($A190-1,70)+1)-2)/2)+1,CROQUIS_DATOS!$C$1541),2)=1,IF(MOD(IF(INT(($A190-1)/70)+1&gt;CROQUIS_DATOS!$C$1525,70,MOD($A190-1,70)+1)-2,2)=0,0,1),IF(MOD(IF(INT(($A190-1)/70)+1&gt;CROQUIS_DATOS!$C$1525,70,MOD($A190-1,70)+1)-2,2)=0,1,0))))=0,(INDEX($E$8:$E$23,MIN(INT(($A190-1)/70)+1,CROQUIS_DATOS!$C$1525))-INDEX($F$8:$F$23,MIN(INT(($A190-1)/70)+1,CROQUIS_DATOS!$C$1525))/2),(INDEX($E$8:$E$23,MIN(INT(($A190-1)/70)+1,CROQUIS_DATOS!$C$1525))+INDEX($F$8:$F$23,MIN(INT(($A190-1)/70)+1,CROQUIS_DATOS!$C$1525))/2)))*CROQUIS_DATOS!$C$1562),-1000)</f>
        <v>33.2413793103448</v>
      </c>
      <c r="O190">
        <f>IF(AND(CROQUIS_DATOS!$C$1472=1,1),(CROQUIS_DATOS!$C$1564+(IF(OR(IF(INT(($A190-1)/70)+1&gt;CROQUIS_DATOS!$C$1525,70,MOD($A190-1,70)+1)=1,IF(INT(($A190-1)/70)+1&gt;CROQUIS_DATOS!$C$1525,70,MOD($A190-1,70)+1)&gt;2*CROQUIS_DATOS!$C$1541+1),CROQUIS_DATOS!$C$1476,INDEX($H$8:$H$41,MIN(INT((IF(INT(($A190-1)/70)+1&gt;CROQUIS_DATOS!$C$1525,70,MOD($A190-1,70)+1)-2)/2)+1,CROQUIS_DATOS!$C$1541))))*CROQUIS_DATOS!$C$1561*CROQUIS_DATOS!$C$1562),-1000)</f>
        <v>40.2068965517241</v>
      </c>
      <c r="P190">
        <f>IF(AND(CROQUIS_DATOS!$C$1472=1,CROQUIS_DATOS!$C$1555=1),(CROQUIS_DATOS!$C$1563+(IF(IF(OR(MOD($A190-1,62)+1=1,IF(CHOOSE(MIN(MAX(MIN(INT(($A190-1)/62)+1,5),1),5),CROQUIS_DATOS!$C$1501,CROQUIS_DATOS!$C$1505,CROQUIS_DATOS!$C$1509,CROQUIS_DATOS!$C$1513,CROQUIS_DATOS!$C$1517)=1,CROQUIS_DATOS!$C$1557,0)=0),0,IF(MOD($A190-1,62)+1&gt;2*IF(CHOOSE(MIN(MAX(MIN(INT(($A190-1)/62)+1,5),1),5),CROQUIS_DATOS!$C$1501,CROQUIS_DATOS!$C$1505,CROQUIS_DATOS!$C$1509,CROQUIS_DATOS!$C$1513,CROQUIS_DATOS!$C$1517)=1,CROQUIS_DATOS!$C$1557,0)+1,IF(MOD(IF(CHOOSE(MIN(MAX(MIN(INT(($A190-1)/62)+1,5),1),5),CROQUIS_DATOS!$C$1501,CROQUIS_DATOS!$C$1505,CROQUIS_DATOS!$C$1509,CROQUIS_DATOS!$C$1513,CROQUIS_DATOS!$C$1517)=1,CROQUIS_DATOS!$C$1557,0),2)=1,1,0),IF(MOD(MIN(INT((MOD($A190-1,62)+1-2)/2)+1,MAX(IF(CHOOSE(MIN(MAX(MIN(INT(($A190-1)/62)+1,5),1),5),CROQUIS_DATOS!$C$1501,CROQUIS_DATOS!$C$1505,CROQUIS_DATOS!$C$1509,CROQUIS_DATOS!$C$1513,CROQUIS_DATOS!$C$1517)=1,CROQUIS_DATOS!$C$1557,0),1)),2)=1,IF(MOD(MOD($A190-1,62)+1-2,2)=0,0,1),IF(MOD(MOD($A190-1,62)+1-2,2)=0,1,0))))=0,(CHOOSE(MIN(MAX(MIN(INT(($A190-1)/62)+1,5),1),5),CROQUIS_DATOS!$C$1499,CROQUIS_DATOS!$C$1503,CROQUIS_DATOS!$C$1507,CROQUIS_DATOS!$C$1511,CROQUIS_DATOS!$C$1515)+IF(CHOOSE(MIN(MAX(MIN(INT(($A190-1)/62)+1,5),1),5),CROQUIS_DATOS!$C$1501,CROQUIS_DATOS!$C$1505,CROQUIS_DATOS!$C$1509,CROQUIS_DATOS!$C$1513,CROQUIS_DATOS!$C$1517)=1,CROQUIS_DATOS!$C$1526,0)),(CHOOSE(MIN(MAX(MIN(INT(($A190-1)/62)+1,5),1),5),CROQUIS_DATOS!$C$1499,CROQUIS_DATOS!$C$1503,CROQUIS_DATOS!$C$1507,CROQUIS_DATOS!$C$1511,CROQUIS_DATOS!$C$1515)+CHOOSE(MIN(MAX(MIN(INT(($A190-1)/62)+1,5),1),5),CROQUIS_DATOS!$C$1500,CROQUIS_DATOS!$C$1504,CROQUIS_DATOS!$C$1508,CROQUIS_DATOS!$C$1512,CROQUIS_DATOS!$C$1516)-IF(CHOOSE(MIN(MAX(MIN(INT(($A190-1)/62)+1,5),1),5),CROQUIS_DATOS!$C$1501,CROQUIS_DATOS!$C$1505,CROQUIS_DATOS!$C$1509,CROQUIS_DATOS!$C$1513,CROQUIS_DATOS!$C$1517)=1,CROQUIS_DATOS!$C$1526,0))))*CROQUIS_DATOS!$C$1562),-1000)</f>
        <v>-1000</v>
      </c>
      <c r="Q190">
        <f>IF(AND(CROQUIS_DATOS!$C$1472=1,CROQUIS_DATOS!$C$1555=1),(CROQUIS_DATOS!$C$1564+(IF(OR(OR(MOD($A190-1,62)+1=1,IF(CHOOSE(MIN(MAX(MIN(INT(($A190-1)/62)+1,5),1),5),CROQUIS_DATOS!$C$1501,CROQUIS_DATOS!$C$1505,CROQUIS_DATOS!$C$1509,CROQUIS_DATOS!$C$1513,CROQUIS_DATOS!$C$1517)=1,CROQUIS_DATOS!$C$1557,0)=0),MOD($A190-1,62)+1&gt;2*IF(CHOOSE(MIN(MAX(MIN(INT(($A190-1)/62)+1,5),1),5),CROQUIS_DATOS!$C$1501,CROQUIS_DATOS!$C$1505,CROQUIS_DATOS!$C$1509,CROQUIS_DATOS!$C$1513,CROQUIS_DATOS!$C$1517)=1,CROQUIS_DATOS!$C$1557,0)+1),CROQUIS_DATOS!$C$1476,MIN(INT((MOD($A190-1,62)+1-2)/2)+1,MAX(IF(CHOOSE(MIN(MAX(MIN(INT(($A190-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0">
        <f>IF(AND(CROQUIS_DATOS!$C$1472=1,1),(CROQUIS_DATOS!$C$1563+(MIN(INT(($A190-1)/2)+1,CROQUIS_DATOS!$C$1558)*CROQUIS_DATOS!$C$1559)*CROQUIS_DATOS!$C$1562),-1000)</f>
        <v>82.2281167108753</v>
      </c>
      <c r="U190">
        <f>IF(AND(CROQUIS_DATOS!$C$1472=1,1),(CROQUIS_DATOS!$C$1564+(IF(INT(($A190-1)/2)+1&gt;CROQUIS_DATOS!$C$1558,IF(MOD(CROQUIS_DATOS!$C$1558,2)=1,CROQUIS_DATOS!$C$1476+CROQUIS_DATOS!$C$1528,CROQUIS_DATOS!$C$1476),IF(IF(MOD(MIN(INT(($A190-1)/2)+1,CROQUIS_DATOS!$C$1558),2)=1,MOD($A190-1,2),1-MOD($A190-1,2))=1,CROQUIS_DATOS!$C$1476+CROQUIS_DATOS!$C$1528,CROQUIS_DATOS!$C$1476)))*CROQUIS_DATOS!$C$1561*CROQUIS_DATOS!$C$1562),-1000)</f>
        <v>43</v>
      </c>
    </row>
    <row r="191">
      <c r="A191" t="n">
        <v>184</v>
      </c>
      <c r="N191">
        <f>IF(AND(CROQUIS_DATOS!$C$1472=1,1),(CROQUIS_DATOS!$C$1563+(IF(IF(IF(INT(($A191-1)/70)+1&gt;CROQUIS_DATOS!$C$1525,70,MOD($A191-1,70)+1)=1,0,IF(IF(INT(($A191-1)/70)+1&gt;CROQUIS_DATOS!$C$1525,70,MOD($A191-1,70)+1)&gt;2*CROQUIS_DATOS!$C$1541+1,IF(MOD(CROQUIS_DATOS!$C$1541,2)=1,1,0),IF(MOD(MIN(INT((IF(INT(($A191-1)/70)+1&gt;CROQUIS_DATOS!$C$1525,70,MOD($A191-1,70)+1)-2)/2)+1,CROQUIS_DATOS!$C$1541),2)=1,IF(MOD(IF(INT(($A191-1)/70)+1&gt;CROQUIS_DATOS!$C$1525,70,MOD($A191-1,70)+1)-2,2)=0,0,1),IF(MOD(IF(INT(($A191-1)/70)+1&gt;CROQUIS_DATOS!$C$1525,70,MOD($A191-1,70)+1)-2,2)=0,1,0))))=0,(INDEX($E$8:$E$23,MIN(INT(($A191-1)/70)+1,CROQUIS_DATOS!$C$1525))-INDEX($F$8:$F$23,MIN(INT(($A191-1)/70)+1,CROQUIS_DATOS!$C$1525))/2),(INDEX($E$8:$E$23,MIN(INT(($A191-1)/70)+1,CROQUIS_DATOS!$C$1525))+INDEX($F$8:$F$23,MIN(INT(($A191-1)/70)+1,CROQUIS_DATOS!$C$1525))/2)))*CROQUIS_DATOS!$C$1562),-1000)</f>
        <v>33.2413793103448</v>
      </c>
      <c r="O191">
        <f>IF(AND(CROQUIS_DATOS!$C$1472=1,1),(CROQUIS_DATOS!$C$1564+(IF(OR(IF(INT(($A191-1)/70)+1&gt;CROQUIS_DATOS!$C$1525,70,MOD($A191-1,70)+1)=1,IF(INT(($A191-1)/70)+1&gt;CROQUIS_DATOS!$C$1525,70,MOD($A191-1,70)+1)&gt;2*CROQUIS_DATOS!$C$1541+1),CROQUIS_DATOS!$C$1476,INDEX($H$8:$H$41,MIN(INT((IF(INT(($A191-1)/70)+1&gt;CROQUIS_DATOS!$C$1525,70,MOD($A191-1,70)+1)-2)/2)+1,CROQUIS_DATOS!$C$1541))))*CROQUIS_DATOS!$C$1561*CROQUIS_DATOS!$C$1562),-1000)</f>
        <v>40.2068965517241</v>
      </c>
      <c r="P191">
        <f>IF(AND(CROQUIS_DATOS!$C$1472=1,CROQUIS_DATOS!$C$1555=1),(CROQUIS_DATOS!$C$1563+(IF(IF(OR(MOD($A191-1,62)+1=1,IF(CHOOSE(MIN(MAX(MIN(INT(($A191-1)/62)+1,5),1),5),CROQUIS_DATOS!$C$1501,CROQUIS_DATOS!$C$1505,CROQUIS_DATOS!$C$1509,CROQUIS_DATOS!$C$1513,CROQUIS_DATOS!$C$1517)=1,CROQUIS_DATOS!$C$1557,0)=0),0,IF(MOD($A191-1,62)+1&gt;2*IF(CHOOSE(MIN(MAX(MIN(INT(($A191-1)/62)+1,5),1),5),CROQUIS_DATOS!$C$1501,CROQUIS_DATOS!$C$1505,CROQUIS_DATOS!$C$1509,CROQUIS_DATOS!$C$1513,CROQUIS_DATOS!$C$1517)=1,CROQUIS_DATOS!$C$1557,0)+1,IF(MOD(IF(CHOOSE(MIN(MAX(MIN(INT(($A191-1)/62)+1,5),1),5),CROQUIS_DATOS!$C$1501,CROQUIS_DATOS!$C$1505,CROQUIS_DATOS!$C$1509,CROQUIS_DATOS!$C$1513,CROQUIS_DATOS!$C$1517)=1,CROQUIS_DATOS!$C$1557,0),2)=1,1,0),IF(MOD(MIN(INT((MOD($A191-1,62)+1-2)/2)+1,MAX(IF(CHOOSE(MIN(MAX(MIN(INT(($A191-1)/62)+1,5),1),5),CROQUIS_DATOS!$C$1501,CROQUIS_DATOS!$C$1505,CROQUIS_DATOS!$C$1509,CROQUIS_DATOS!$C$1513,CROQUIS_DATOS!$C$1517)=1,CROQUIS_DATOS!$C$1557,0),1)),2)=1,IF(MOD(MOD($A191-1,62)+1-2,2)=0,0,1),IF(MOD(MOD($A191-1,62)+1-2,2)=0,1,0))))=0,(CHOOSE(MIN(MAX(MIN(INT(($A191-1)/62)+1,5),1),5),CROQUIS_DATOS!$C$1499,CROQUIS_DATOS!$C$1503,CROQUIS_DATOS!$C$1507,CROQUIS_DATOS!$C$1511,CROQUIS_DATOS!$C$1515)+IF(CHOOSE(MIN(MAX(MIN(INT(($A191-1)/62)+1,5),1),5),CROQUIS_DATOS!$C$1501,CROQUIS_DATOS!$C$1505,CROQUIS_DATOS!$C$1509,CROQUIS_DATOS!$C$1513,CROQUIS_DATOS!$C$1517)=1,CROQUIS_DATOS!$C$1526,0)),(CHOOSE(MIN(MAX(MIN(INT(($A191-1)/62)+1,5),1),5),CROQUIS_DATOS!$C$1499,CROQUIS_DATOS!$C$1503,CROQUIS_DATOS!$C$1507,CROQUIS_DATOS!$C$1511,CROQUIS_DATOS!$C$1515)+CHOOSE(MIN(MAX(MIN(INT(($A191-1)/62)+1,5),1),5),CROQUIS_DATOS!$C$1500,CROQUIS_DATOS!$C$1504,CROQUIS_DATOS!$C$1508,CROQUIS_DATOS!$C$1512,CROQUIS_DATOS!$C$1516)-IF(CHOOSE(MIN(MAX(MIN(INT(($A191-1)/62)+1,5),1),5),CROQUIS_DATOS!$C$1501,CROQUIS_DATOS!$C$1505,CROQUIS_DATOS!$C$1509,CROQUIS_DATOS!$C$1513,CROQUIS_DATOS!$C$1517)=1,CROQUIS_DATOS!$C$1526,0))))*CROQUIS_DATOS!$C$1562),-1000)</f>
        <v>-1000</v>
      </c>
      <c r="Q191">
        <f>IF(AND(CROQUIS_DATOS!$C$1472=1,CROQUIS_DATOS!$C$1555=1),(CROQUIS_DATOS!$C$1564+(IF(OR(OR(MOD($A191-1,62)+1=1,IF(CHOOSE(MIN(MAX(MIN(INT(($A191-1)/62)+1,5),1),5),CROQUIS_DATOS!$C$1501,CROQUIS_DATOS!$C$1505,CROQUIS_DATOS!$C$1509,CROQUIS_DATOS!$C$1513,CROQUIS_DATOS!$C$1517)=1,CROQUIS_DATOS!$C$1557,0)=0),MOD($A191-1,62)+1&gt;2*IF(CHOOSE(MIN(MAX(MIN(INT(($A191-1)/62)+1,5),1),5),CROQUIS_DATOS!$C$1501,CROQUIS_DATOS!$C$1505,CROQUIS_DATOS!$C$1509,CROQUIS_DATOS!$C$1513,CROQUIS_DATOS!$C$1517)=1,CROQUIS_DATOS!$C$1557,0)+1),CROQUIS_DATOS!$C$1476,MIN(INT((MOD($A191-1,62)+1-2)/2)+1,MAX(IF(CHOOSE(MIN(MAX(MIN(INT(($A191-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1">
        <f>IF(AND(CROQUIS_DATOS!$C$1472=1,1),(CROQUIS_DATOS!$C$1563+(MIN(INT(($A191-1)/2)+1,CROQUIS_DATOS!$C$1558)*CROQUIS_DATOS!$C$1559)*CROQUIS_DATOS!$C$1562),-1000)</f>
        <v>82.2281167108753</v>
      </c>
      <c r="U191">
        <f>IF(AND(CROQUIS_DATOS!$C$1472=1,1),(CROQUIS_DATOS!$C$1564+(IF(INT(($A191-1)/2)+1&gt;CROQUIS_DATOS!$C$1558,IF(MOD(CROQUIS_DATOS!$C$1558,2)=1,CROQUIS_DATOS!$C$1476+CROQUIS_DATOS!$C$1528,CROQUIS_DATOS!$C$1476),IF(IF(MOD(MIN(INT(($A191-1)/2)+1,CROQUIS_DATOS!$C$1558),2)=1,MOD($A191-1,2),1-MOD($A191-1,2))=1,CROQUIS_DATOS!$C$1476+CROQUIS_DATOS!$C$1528,CROQUIS_DATOS!$C$1476)))*CROQUIS_DATOS!$C$1561*CROQUIS_DATOS!$C$1562),-1000)</f>
        <v>43</v>
      </c>
    </row>
    <row r="192">
      <c r="A192" t="n">
        <v>185</v>
      </c>
      <c r="N192">
        <f>IF(AND(CROQUIS_DATOS!$C$1472=1,1),(CROQUIS_DATOS!$C$1563+(IF(IF(IF(INT(($A192-1)/70)+1&gt;CROQUIS_DATOS!$C$1525,70,MOD($A192-1,70)+1)=1,0,IF(IF(INT(($A192-1)/70)+1&gt;CROQUIS_DATOS!$C$1525,70,MOD($A192-1,70)+1)&gt;2*CROQUIS_DATOS!$C$1541+1,IF(MOD(CROQUIS_DATOS!$C$1541,2)=1,1,0),IF(MOD(MIN(INT((IF(INT(($A192-1)/70)+1&gt;CROQUIS_DATOS!$C$1525,70,MOD($A192-1,70)+1)-2)/2)+1,CROQUIS_DATOS!$C$1541),2)=1,IF(MOD(IF(INT(($A192-1)/70)+1&gt;CROQUIS_DATOS!$C$1525,70,MOD($A192-1,70)+1)-2,2)=0,0,1),IF(MOD(IF(INT(($A192-1)/70)+1&gt;CROQUIS_DATOS!$C$1525,70,MOD($A192-1,70)+1)-2,2)=0,1,0))))=0,(INDEX($E$8:$E$23,MIN(INT(($A192-1)/70)+1,CROQUIS_DATOS!$C$1525))-INDEX($F$8:$F$23,MIN(INT(($A192-1)/70)+1,CROQUIS_DATOS!$C$1525))/2),(INDEX($E$8:$E$23,MIN(INT(($A192-1)/70)+1,CROQUIS_DATOS!$C$1525))+INDEX($F$8:$F$23,MIN(INT(($A192-1)/70)+1,CROQUIS_DATOS!$C$1525))/2)))*CROQUIS_DATOS!$C$1562),-1000)</f>
        <v>33.2413793103448</v>
      </c>
      <c r="O192">
        <f>IF(AND(CROQUIS_DATOS!$C$1472=1,1),(CROQUIS_DATOS!$C$1564+(IF(OR(IF(INT(($A192-1)/70)+1&gt;CROQUIS_DATOS!$C$1525,70,MOD($A192-1,70)+1)=1,IF(INT(($A192-1)/70)+1&gt;CROQUIS_DATOS!$C$1525,70,MOD($A192-1,70)+1)&gt;2*CROQUIS_DATOS!$C$1541+1),CROQUIS_DATOS!$C$1476,INDEX($H$8:$H$41,MIN(INT((IF(INT(($A192-1)/70)+1&gt;CROQUIS_DATOS!$C$1525,70,MOD($A192-1,70)+1)-2)/2)+1,CROQUIS_DATOS!$C$1541))))*CROQUIS_DATOS!$C$1561*CROQUIS_DATOS!$C$1562),-1000)</f>
        <v>40.2068965517241</v>
      </c>
      <c r="P192">
        <f>IF(AND(CROQUIS_DATOS!$C$1472=1,CROQUIS_DATOS!$C$1555=1),(CROQUIS_DATOS!$C$1563+(IF(IF(OR(MOD($A192-1,62)+1=1,IF(CHOOSE(MIN(MAX(MIN(INT(($A192-1)/62)+1,5),1),5),CROQUIS_DATOS!$C$1501,CROQUIS_DATOS!$C$1505,CROQUIS_DATOS!$C$1509,CROQUIS_DATOS!$C$1513,CROQUIS_DATOS!$C$1517)=1,CROQUIS_DATOS!$C$1557,0)=0),0,IF(MOD($A192-1,62)+1&gt;2*IF(CHOOSE(MIN(MAX(MIN(INT(($A192-1)/62)+1,5),1),5),CROQUIS_DATOS!$C$1501,CROQUIS_DATOS!$C$1505,CROQUIS_DATOS!$C$1509,CROQUIS_DATOS!$C$1513,CROQUIS_DATOS!$C$1517)=1,CROQUIS_DATOS!$C$1557,0)+1,IF(MOD(IF(CHOOSE(MIN(MAX(MIN(INT(($A192-1)/62)+1,5),1),5),CROQUIS_DATOS!$C$1501,CROQUIS_DATOS!$C$1505,CROQUIS_DATOS!$C$1509,CROQUIS_DATOS!$C$1513,CROQUIS_DATOS!$C$1517)=1,CROQUIS_DATOS!$C$1557,0),2)=1,1,0),IF(MOD(MIN(INT((MOD($A192-1,62)+1-2)/2)+1,MAX(IF(CHOOSE(MIN(MAX(MIN(INT(($A192-1)/62)+1,5),1),5),CROQUIS_DATOS!$C$1501,CROQUIS_DATOS!$C$1505,CROQUIS_DATOS!$C$1509,CROQUIS_DATOS!$C$1513,CROQUIS_DATOS!$C$1517)=1,CROQUIS_DATOS!$C$1557,0),1)),2)=1,IF(MOD(MOD($A192-1,62)+1-2,2)=0,0,1),IF(MOD(MOD($A192-1,62)+1-2,2)=0,1,0))))=0,(CHOOSE(MIN(MAX(MIN(INT(($A192-1)/62)+1,5),1),5),CROQUIS_DATOS!$C$1499,CROQUIS_DATOS!$C$1503,CROQUIS_DATOS!$C$1507,CROQUIS_DATOS!$C$1511,CROQUIS_DATOS!$C$1515)+IF(CHOOSE(MIN(MAX(MIN(INT(($A192-1)/62)+1,5),1),5),CROQUIS_DATOS!$C$1501,CROQUIS_DATOS!$C$1505,CROQUIS_DATOS!$C$1509,CROQUIS_DATOS!$C$1513,CROQUIS_DATOS!$C$1517)=1,CROQUIS_DATOS!$C$1526,0)),(CHOOSE(MIN(MAX(MIN(INT(($A192-1)/62)+1,5),1),5),CROQUIS_DATOS!$C$1499,CROQUIS_DATOS!$C$1503,CROQUIS_DATOS!$C$1507,CROQUIS_DATOS!$C$1511,CROQUIS_DATOS!$C$1515)+CHOOSE(MIN(MAX(MIN(INT(($A192-1)/62)+1,5),1),5),CROQUIS_DATOS!$C$1500,CROQUIS_DATOS!$C$1504,CROQUIS_DATOS!$C$1508,CROQUIS_DATOS!$C$1512,CROQUIS_DATOS!$C$1516)-IF(CHOOSE(MIN(MAX(MIN(INT(($A192-1)/62)+1,5),1),5),CROQUIS_DATOS!$C$1501,CROQUIS_DATOS!$C$1505,CROQUIS_DATOS!$C$1509,CROQUIS_DATOS!$C$1513,CROQUIS_DATOS!$C$1517)=1,CROQUIS_DATOS!$C$1526,0))))*CROQUIS_DATOS!$C$1562),-1000)</f>
        <v>-1000</v>
      </c>
      <c r="Q192">
        <f>IF(AND(CROQUIS_DATOS!$C$1472=1,CROQUIS_DATOS!$C$1555=1),(CROQUIS_DATOS!$C$1564+(IF(OR(OR(MOD($A192-1,62)+1=1,IF(CHOOSE(MIN(MAX(MIN(INT(($A192-1)/62)+1,5),1),5),CROQUIS_DATOS!$C$1501,CROQUIS_DATOS!$C$1505,CROQUIS_DATOS!$C$1509,CROQUIS_DATOS!$C$1513,CROQUIS_DATOS!$C$1517)=1,CROQUIS_DATOS!$C$1557,0)=0),MOD($A192-1,62)+1&gt;2*IF(CHOOSE(MIN(MAX(MIN(INT(($A192-1)/62)+1,5),1),5),CROQUIS_DATOS!$C$1501,CROQUIS_DATOS!$C$1505,CROQUIS_DATOS!$C$1509,CROQUIS_DATOS!$C$1513,CROQUIS_DATOS!$C$1517)=1,CROQUIS_DATOS!$C$1557,0)+1),CROQUIS_DATOS!$C$1476,MIN(INT((MOD($A192-1,62)+1-2)/2)+1,MAX(IF(CHOOSE(MIN(MAX(MIN(INT(($A192-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2">
        <f>IF(AND(CROQUIS_DATOS!$C$1472=1,1),(CROQUIS_DATOS!$C$1563+(MIN(INT(($A192-1)/2)+1,CROQUIS_DATOS!$C$1558)*CROQUIS_DATOS!$C$1559)*CROQUIS_DATOS!$C$1562),-1000)</f>
        <v>82.2281167108753</v>
      </c>
      <c r="U192">
        <f>IF(AND(CROQUIS_DATOS!$C$1472=1,1),(CROQUIS_DATOS!$C$1564+(IF(INT(($A192-1)/2)+1&gt;CROQUIS_DATOS!$C$1558,IF(MOD(CROQUIS_DATOS!$C$1558,2)=1,CROQUIS_DATOS!$C$1476+CROQUIS_DATOS!$C$1528,CROQUIS_DATOS!$C$1476),IF(IF(MOD(MIN(INT(($A192-1)/2)+1,CROQUIS_DATOS!$C$1558),2)=1,MOD($A192-1,2),1-MOD($A192-1,2))=1,CROQUIS_DATOS!$C$1476+CROQUIS_DATOS!$C$1528,CROQUIS_DATOS!$C$1476)))*CROQUIS_DATOS!$C$1561*CROQUIS_DATOS!$C$1562),-1000)</f>
        <v>43</v>
      </c>
    </row>
    <row r="193">
      <c r="A193" t="n">
        <v>186</v>
      </c>
      <c r="N193">
        <f>IF(AND(CROQUIS_DATOS!$C$1472=1,1),(CROQUIS_DATOS!$C$1563+(IF(IF(IF(INT(($A193-1)/70)+1&gt;CROQUIS_DATOS!$C$1525,70,MOD($A193-1,70)+1)=1,0,IF(IF(INT(($A193-1)/70)+1&gt;CROQUIS_DATOS!$C$1525,70,MOD($A193-1,70)+1)&gt;2*CROQUIS_DATOS!$C$1541+1,IF(MOD(CROQUIS_DATOS!$C$1541,2)=1,1,0),IF(MOD(MIN(INT((IF(INT(($A193-1)/70)+1&gt;CROQUIS_DATOS!$C$1525,70,MOD($A193-1,70)+1)-2)/2)+1,CROQUIS_DATOS!$C$1541),2)=1,IF(MOD(IF(INT(($A193-1)/70)+1&gt;CROQUIS_DATOS!$C$1525,70,MOD($A193-1,70)+1)-2,2)=0,0,1),IF(MOD(IF(INT(($A193-1)/70)+1&gt;CROQUIS_DATOS!$C$1525,70,MOD($A193-1,70)+1)-2,2)=0,1,0))))=0,(INDEX($E$8:$E$23,MIN(INT(($A193-1)/70)+1,CROQUIS_DATOS!$C$1525))-INDEX($F$8:$F$23,MIN(INT(($A193-1)/70)+1,CROQUIS_DATOS!$C$1525))/2),(INDEX($E$8:$E$23,MIN(INT(($A193-1)/70)+1,CROQUIS_DATOS!$C$1525))+INDEX($F$8:$F$23,MIN(INT(($A193-1)/70)+1,CROQUIS_DATOS!$C$1525))/2)))*CROQUIS_DATOS!$C$1562),-1000)</f>
        <v>33.2413793103448</v>
      </c>
      <c r="O193">
        <f>IF(AND(CROQUIS_DATOS!$C$1472=1,1),(CROQUIS_DATOS!$C$1564+(IF(OR(IF(INT(($A193-1)/70)+1&gt;CROQUIS_DATOS!$C$1525,70,MOD($A193-1,70)+1)=1,IF(INT(($A193-1)/70)+1&gt;CROQUIS_DATOS!$C$1525,70,MOD($A193-1,70)+1)&gt;2*CROQUIS_DATOS!$C$1541+1),CROQUIS_DATOS!$C$1476,INDEX($H$8:$H$41,MIN(INT((IF(INT(($A193-1)/70)+1&gt;CROQUIS_DATOS!$C$1525,70,MOD($A193-1,70)+1)-2)/2)+1,CROQUIS_DATOS!$C$1541))))*CROQUIS_DATOS!$C$1561*CROQUIS_DATOS!$C$1562),-1000)</f>
        <v>40.2068965517241</v>
      </c>
      <c r="P193">
        <f>IF(AND(CROQUIS_DATOS!$C$1472=1,CROQUIS_DATOS!$C$1555=1),(CROQUIS_DATOS!$C$1563+(IF(IF(OR(MOD($A193-1,62)+1=1,IF(CHOOSE(MIN(MAX(MIN(INT(($A193-1)/62)+1,5),1),5),CROQUIS_DATOS!$C$1501,CROQUIS_DATOS!$C$1505,CROQUIS_DATOS!$C$1509,CROQUIS_DATOS!$C$1513,CROQUIS_DATOS!$C$1517)=1,CROQUIS_DATOS!$C$1557,0)=0),0,IF(MOD($A193-1,62)+1&gt;2*IF(CHOOSE(MIN(MAX(MIN(INT(($A193-1)/62)+1,5),1),5),CROQUIS_DATOS!$C$1501,CROQUIS_DATOS!$C$1505,CROQUIS_DATOS!$C$1509,CROQUIS_DATOS!$C$1513,CROQUIS_DATOS!$C$1517)=1,CROQUIS_DATOS!$C$1557,0)+1,IF(MOD(IF(CHOOSE(MIN(MAX(MIN(INT(($A193-1)/62)+1,5),1),5),CROQUIS_DATOS!$C$1501,CROQUIS_DATOS!$C$1505,CROQUIS_DATOS!$C$1509,CROQUIS_DATOS!$C$1513,CROQUIS_DATOS!$C$1517)=1,CROQUIS_DATOS!$C$1557,0),2)=1,1,0),IF(MOD(MIN(INT((MOD($A193-1,62)+1-2)/2)+1,MAX(IF(CHOOSE(MIN(MAX(MIN(INT(($A193-1)/62)+1,5),1),5),CROQUIS_DATOS!$C$1501,CROQUIS_DATOS!$C$1505,CROQUIS_DATOS!$C$1509,CROQUIS_DATOS!$C$1513,CROQUIS_DATOS!$C$1517)=1,CROQUIS_DATOS!$C$1557,0),1)),2)=1,IF(MOD(MOD($A193-1,62)+1-2,2)=0,0,1),IF(MOD(MOD($A193-1,62)+1-2,2)=0,1,0))))=0,(CHOOSE(MIN(MAX(MIN(INT(($A193-1)/62)+1,5),1),5),CROQUIS_DATOS!$C$1499,CROQUIS_DATOS!$C$1503,CROQUIS_DATOS!$C$1507,CROQUIS_DATOS!$C$1511,CROQUIS_DATOS!$C$1515)+IF(CHOOSE(MIN(MAX(MIN(INT(($A193-1)/62)+1,5),1),5),CROQUIS_DATOS!$C$1501,CROQUIS_DATOS!$C$1505,CROQUIS_DATOS!$C$1509,CROQUIS_DATOS!$C$1513,CROQUIS_DATOS!$C$1517)=1,CROQUIS_DATOS!$C$1526,0)),(CHOOSE(MIN(MAX(MIN(INT(($A193-1)/62)+1,5),1),5),CROQUIS_DATOS!$C$1499,CROQUIS_DATOS!$C$1503,CROQUIS_DATOS!$C$1507,CROQUIS_DATOS!$C$1511,CROQUIS_DATOS!$C$1515)+CHOOSE(MIN(MAX(MIN(INT(($A193-1)/62)+1,5),1),5),CROQUIS_DATOS!$C$1500,CROQUIS_DATOS!$C$1504,CROQUIS_DATOS!$C$1508,CROQUIS_DATOS!$C$1512,CROQUIS_DATOS!$C$1516)-IF(CHOOSE(MIN(MAX(MIN(INT(($A193-1)/62)+1,5),1),5),CROQUIS_DATOS!$C$1501,CROQUIS_DATOS!$C$1505,CROQUIS_DATOS!$C$1509,CROQUIS_DATOS!$C$1513,CROQUIS_DATOS!$C$1517)=1,CROQUIS_DATOS!$C$1526,0))))*CROQUIS_DATOS!$C$1562),-1000)</f>
        <v>-1000</v>
      </c>
      <c r="Q193">
        <f>IF(AND(CROQUIS_DATOS!$C$1472=1,CROQUIS_DATOS!$C$1555=1),(CROQUIS_DATOS!$C$1564+(IF(OR(OR(MOD($A193-1,62)+1=1,IF(CHOOSE(MIN(MAX(MIN(INT(($A193-1)/62)+1,5),1),5),CROQUIS_DATOS!$C$1501,CROQUIS_DATOS!$C$1505,CROQUIS_DATOS!$C$1509,CROQUIS_DATOS!$C$1513,CROQUIS_DATOS!$C$1517)=1,CROQUIS_DATOS!$C$1557,0)=0),MOD($A193-1,62)+1&gt;2*IF(CHOOSE(MIN(MAX(MIN(INT(($A193-1)/62)+1,5),1),5),CROQUIS_DATOS!$C$1501,CROQUIS_DATOS!$C$1505,CROQUIS_DATOS!$C$1509,CROQUIS_DATOS!$C$1513,CROQUIS_DATOS!$C$1517)=1,CROQUIS_DATOS!$C$1557,0)+1),CROQUIS_DATOS!$C$1476,MIN(INT((MOD($A193-1,62)+1-2)/2)+1,MAX(IF(CHOOSE(MIN(MAX(MIN(INT(($A193-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3">
        <f>IF(AND(CROQUIS_DATOS!$C$1472=1,1),(CROQUIS_DATOS!$C$1563+(MIN(INT(($A193-1)/2)+1,CROQUIS_DATOS!$C$1558)*CROQUIS_DATOS!$C$1559)*CROQUIS_DATOS!$C$1562),-1000)</f>
        <v>82.2281167108753</v>
      </c>
      <c r="U193">
        <f>IF(AND(CROQUIS_DATOS!$C$1472=1,1),(CROQUIS_DATOS!$C$1564+(IF(INT(($A193-1)/2)+1&gt;CROQUIS_DATOS!$C$1558,IF(MOD(CROQUIS_DATOS!$C$1558,2)=1,CROQUIS_DATOS!$C$1476+CROQUIS_DATOS!$C$1528,CROQUIS_DATOS!$C$1476),IF(IF(MOD(MIN(INT(($A193-1)/2)+1,CROQUIS_DATOS!$C$1558),2)=1,MOD($A193-1,2),1-MOD($A193-1,2))=1,CROQUIS_DATOS!$C$1476+CROQUIS_DATOS!$C$1528,CROQUIS_DATOS!$C$1476)))*CROQUIS_DATOS!$C$1561*CROQUIS_DATOS!$C$1562),-1000)</f>
        <v>43</v>
      </c>
    </row>
    <row r="194">
      <c r="A194" t="n">
        <v>187</v>
      </c>
      <c r="N194">
        <f>IF(AND(CROQUIS_DATOS!$C$1472=1,1),(CROQUIS_DATOS!$C$1563+(IF(IF(IF(INT(($A194-1)/70)+1&gt;CROQUIS_DATOS!$C$1525,70,MOD($A194-1,70)+1)=1,0,IF(IF(INT(($A194-1)/70)+1&gt;CROQUIS_DATOS!$C$1525,70,MOD($A194-1,70)+1)&gt;2*CROQUIS_DATOS!$C$1541+1,IF(MOD(CROQUIS_DATOS!$C$1541,2)=1,1,0),IF(MOD(MIN(INT((IF(INT(($A194-1)/70)+1&gt;CROQUIS_DATOS!$C$1525,70,MOD($A194-1,70)+1)-2)/2)+1,CROQUIS_DATOS!$C$1541),2)=1,IF(MOD(IF(INT(($A194-1)/70)+1&gt;CROQUIS_DATOS!$C$1525,70,MOD($A194-1,70)+1)-2,2)=0,0,1),IF(MOD(IF(INT(($A194-1)/70)+1&gt;CROQUIS_DATOS!$C$1525,70,MOD($A194-1,70)+1)-2,2)=0,1,0))))=0,(INDEX($E$8:$E$23,MIN(INT(($A194-1)/70)+1,CROQUIS_DATOS!$C$1525))-INDEX($F$8:$F$23,MIN(INT(($A194-1)/70)+1,CROQUIS_DATOS!$C$1525))/2),(INDEX($E$8:$E$23,MIN(INT(($A194-1)/70)+1,CROQUIS_DATOS!$C$1525))+INDEX($F$8:$F$23,MIN(INT(($A194-1)/70)+1,CROQUIS_DATOS!$C$1525))/2)))*CROQUIS_DATOS!$C$1562),-1000)</f>
        <v>33.2413793103448</v>
      </c>
      <c r="O194">
        <f>IF(AND(CROQUIS_DATOS!$C$1472=1,1),(CROQUIS_DATOS!$C$1564+(IF(OR(IF(INT(($A194-1)/70)+1&gt;CROQUIS_DATOS!$C$1525,70,MOD($A194-1,70)+1)=1,IF(INT(($A194-1)/70)+1&gt;CROQUIS_DATOS!$C$1525,70,MOD($A194-1,70)+1)&gt;2*CROQUIS_DATOS!$C$1541+1),CROQUIS_DATOS!$C$1476,INDEX($H$8:$H$41,MIN(INT((IF(INT(($A194-1)/70)+1&gt;CROQUIS_DATOS!$C$1525,70,MOD($A194-1,70)+1)-2)/2)+1,CROQUIS_DATOS!$C$1541))))*CROQUIS_DATOS!$C$1561*CROQUIS_DATOS!$C$1562),-1000)</f>
        <v>40.2068965517241</v>
      </c>
      <c r="P194">
        <f>IF(AND(CROQUIS_DATOS!$C$1472=1,CROQUIS_DATOS!$C$1555=1),(CROQUIS_DATOS!$C$1563+(IF(IF(OR(MOD($A194-1,62)+1=1,IF(CHOOSE(MIN(MAX(MIN(INT(($A194-1)/62)+1,5),1),5),CROQUIS_DATOS!$C$1501,CROQUIS_DATOS!$C$1505,CROQUIS_DATOS!$C$1509,CROQUIS_DATOS!$C$1513,CROQUIS_DATOS!$C$1517)=1,CROQUIS_DATOS!$C$1557,0)=0),0,IF(MOD($A194-1,62)+1&gt;2*IF(CHOOSE(MIN(MAX(MIN(INT(($A194-1)/62)+1,5),1),5),CROQUIS_DATOS!$C$1501,CROQUIS_DATOS!$C$1505,CROQUIS_DATOS!$C$1509,CROQUIS_DATOS!$C$1513,CROQUIS_DATOS!$C$1517)=1,CROQUIS_DATOS!$C$1557,0)+1,IF(MOD(IF(CHOOSE(MIN(MAX(MIN(INT(($A194-1)/62)+1,5),1),5),CROQUIS_DATOS!$C$1501,CROQUIS_DATOS!$C$1505,CROQUIS_DATOS!$C$1509,CROQUIS_DATOS!$C$1513,CROQUIS_DATOS!$C$1517)=1,CROQUIS_DATOS!$C$1557,0),2)=1,1,0),IF(MOD(MIN(INT((MOD($A194-1,62)+1-2)/2)+1,MAX(IF(CHOOSE(MIN(MAX(MIN(INT(($A194-1)/62)+1,5),1),5),CROQUIS_DATOS!$C$1501,CROQUIS_DATOS!$C$1505,CROQUIS_DATOS!$C$1509,CROQUIS_DATOS!$C$1513,CROQUIS_DATOS!$C$1517)=1,CROQUIS_DATOS!$C$1557,0),1)),2)=1,IF(MOD(MOD($A194-1,62)+1-2,2)=0,0,1),IF(MOD(MOD($A194-1,62)+1-2,2)=0,1,0))))=0,(CHOOSE(MIN(MAX(MIN(INT(($A194-1)/62)+1,5),1),5),CROQUIS_DATOS!$C$1499,CROQUIS_DATOS!$C$1503,CROQUIS_DATOS!$C$1507,CROQUIS_DATOS!$C$1511,CROQUIS_DATOS!$C$1515)+IF(CHOOSE(MIN(MAX(MIN(INT(($A194-1)/62)+1,5),1),5),CROQUIS_DATOS!$C$1501,CROQUIS_DATOS!$C$1505,CROQUIS_DATOS!$C$1509,CROQUIS_DATOS!$C$1513,CROQUIS_DATOS!$C$1517)=1,CROQUIS_DATOS!$C$1526,0)),(CHOOSE(MIN(MAX(MIN(INT(($A194-1)/62)+1,5),1),5),CROQUIS_DATOS!$C$1499,CROQUIS_DATOS!$C$1503,CROQUIS_DATOS!$C$1507,CROQUIS_DATOS!$C$1511,CROQUIS_DATOS!$C$1515)+CHOOSE(MIN(MAX(MIN(INT(($A194-1)/62)+1,5),1),5),CROQUIS_DATOS!$C$1500,CROQUIS_DATOS!$C$1504,CROQUIS_DATOS!$C$1508,CROQUIS_DATOS!$C$1512,CROQUIS_DATOS!$C$1516)-IF(CHOOSE(MIN(MAX(MIN(INT(($A194-1)/62)+1,5),1),5),CROQUIS_DATOS!$C$1501,CROQUIS_DATOS!$C$1505,CROQUIS_DATOS!$C$1509,CROQUIS_DATOS!$C$1513,CROQUIS_DATOS!$C$1517)=1,CROQUIS_DATOS!$C$1526,0))))*CROQUIS_DATOS!$C$1562),-1000)</f>
        <v>-1000</v>
      </c>
      <c r="Q194">
        <f>IF(AND(CROQUIS_DATOS!$C$1472=1,CROQUIS_DATOS!$C$1555=1),(CROQUIS_DATOS!$C$1564+(IF(OR(OR(MOD($A194-1,62)+1=1,IF(CHOOSE(MIN(MAX(MIN(INT(($A194-1)/62)+1,5),1),5),CROQUIS_DATOS!$C$1501,CROQUIS_DATOS!$C$1505,CROQUIS_DATOS!$C$1509,CROQUIS_DATOS!$C$1513,CROQUIS_DATOS!$C$1517)=1,CROQUIS_DATOS!$C$1557,0)=0),MOD($A194-1,62)+1&gt;2*IF(CHOOSE(MIN(MAX(MIN(INT(($A194-1)/62)+1,5),1),5),CROQUIS_DATOS!$C$1501,CROQUIS_DATOS!$C$1505,CROQUIS_DATOS!$C$1509,CROQUIS_DATOS!$C$1513,CROQUIS_DATOS!$C$1517)=1,CROQUIS_DATOS!$C$1557,0)+1),CROQUIS_DATOS!$C$1476,MIN(INT((MOD($A194-1,62)+1-2)/2)+1,MAX(IF(CHOOSE(MIN(MAX(MIN(INT(($A194-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4">
        <f>IF(AND(CROQUIS_DATOS!$C$1472=1,1),(CROQUIS_DATOS!$C$1563+(MIN(INT(($A194-1)/2)+1,CROQUIS_DATOS!$C$1558)*CROQUIS_DATOS!$C$1559)*CROQUIS_DATOS!$C$1562),-1000)</f>
        <v>82.2281167108753</v>
      </c>
      <c r="U194">
        <f>IF(AND(CROQUIS_DATOS!$C$1472=1,1),(CROQUIS_DATOS!$C$1564+(IF(INT(($A194-1)/2)+1&gt;CROQUIS_DATOS!$C$1558,IF(MOD(CROQUIS_DATOS!$C$1558,2)=1,CROQUIS_DATOS!$C$1476+CROQUIS_DATOS!$C$1528,CROQUIS_DATOS!$C$1476),IF(IF(MOD(MIN(INT(($A194-1)/2)+1,CROQUIS_DATOS!$C$1558),2)=1,MOD($A194-1,2),1-MOD($A194-1,2))=1,CROQUIS_DATOS!$C$1476+CROQUIS_DATOS!$C$1528,CROQUIS_DATOS!$C$1476)))*CROQUIS_DATOS!$C$1561*CROQUIS_DATOS!$C$1562),-1000)</f>
        <v>43</v>
      </c>
    </row>
    <row r="195">
      <c r="A195" t="n">
        <v>188</v>
      </c>
      <c r="N195">
        <f>IF(AND(CROQUIS_DATOS!$C$1472=1,1),(CROQUIS_DATOS!$C$1563+(IF(IF(IF(INT(($A195-1)/70)+1&gt;CROQUIS_DATOS!$C$1525,70,MOD($A195-1,70)+1)=1,0,IF(IF(INT(($A195-1)/70)+1&gt;CROQUIS_DATOS!$C$1525,70,MOD($A195-1,70)+1)&gt;2*CROQUIS_DATOS!$C$1541+1,IF(MOD(CROQUIS_DATOS!$C$1541,2)=1,1,0),IF(MOD(MIN(INT((IF(INT(($A195-1)/70)+1&gt;CROQUIS_DATOS!$C$1525,70,MOD($A195-1,70)+1)-2)/2)+1,CROQUIS_DATOS!$C$1541),2)=1,IF(MOD(IF(INT(($A195-1)/70)+1&gt;CROQUIS_DATOS!$C$1525,70,MOD($A195-1,70)+1)-2,2)=0,0,1),IF(MOD(IF(INT(($A195-1)/70)+1&gt;CROQUIS_DATOS!$C$1525,70,MOD($A195-1,70)+1)-2,2)=0,1,0))))=0,(INDEX($E$8:$E$23,MIN(INT(($A195-1)/70)+1,CROQUIS_DATOS!$C$1525))-INDEX($F$8:$F$23,MIN(INT(($A195-1)/70)+1,CROQUIS_DATOS!$C$1525))/2),(INDEX($E$8:$E$23,MIN(INT(($A195-1)/70)+1,CROQUIS_DATOS!$C$1525))+INDEX($F$8:$F$23,MIN(INT(($A195-1)/70)+1,CROQUIS_DATOS!$C$1525))/2)))*CROQUIS_DATOS!$C$1562),-1000)</f>
        <v>33.2413793103448</v>
      </c>
      <c r="O195">
        <f>IF(AND(CROQUIS_DATOS!$C$1472=1,1),(CROQUIS_DATOS!$C$1564+(IF(OR(IF(INT(($A195-1)/70)+1&gt;CROQUIS_DATOS!$C$1525,70,MOD($A195-1,70)+1)=1,IF(INT(($A195-1)/70)+1&gt;CROQUIS_DATOS!$C$1525,70,MOD($A195-1,70)+1)&gt;2*CROQUIS_DATOS!$C$1541+1),CROQUIS_DATOS!$C$1476,INDEX($H$8:$H$41,MIN(INT((IF(INT(($A195-1)/70)+1&gt;CROQUIS_DATOS!$C$1525,70,MOD($A195-1,70)+1)-2)/2)+1,CROQUIS_DATOS!$C$1541))))*CROQUIS_DATOS!$C$1561*CROQUIS_DATOS!$C$1562),-1000)</f>
        <v>40.2068965517241</v>
      </c>
      <c r="P195">
        <f>IF(AND(CROQUIS_DATOS!$C$1472=1,CROQUIS_DATOS!$C$1555=1),(CROQUIS_DATOS!$C$1563+(IF(IF(OR(MOD($A195-1,62)+1=1,IF(CHOOSE(MIN(MAX(MIN(INT(($A195-1)/62)+1,5),1),5),CROQUIS_DATOS!$C$1501,CROQUIS_DATOS!$C$1505,CROQUIS_DATOS!$C$1509,CROQUIS_DATOS!$C$1513,CROQUIS_DATOS!$C$1517)=1,CROQUIS_DATOS!$C$1557,0)=0),0,IF(MOD($A195-1,62)+1&gt;2*IF(CHOOSE(MIN(MAX(MIN(INT(($A195-1)/62)+1,5),1),5),CROQUIS_DATOS!$C$1501,CROQUIS_DATOS!$C$1505,CROQUIS_DATOS!$C$1509,CROQUIS_DATOS!$C$1513,CROQUIS_DATOS!$C$1517)=1,CROQUIS_DATOS!$C$1557,0)+1,IF(MOD(IF(CHOOSE(MIN(MAX(MIN(INT(($A195-1)/62)+1,5),1),5),CROQUIS_DATOS!$C$1501,CROQUIS_DATOS!$C$1505,CROQUIS_DATOS!$C$1509,CROQUIS_DATOS!$C$1513,CROQUIS_DATOS!$C$1517)=1,CROQUIS_DATOS!$C$1557,0),2)=1,1,0),IF(MOD(MIN(INT((MOD($A195-1,62)+1-2)/2)+1,MAX(IF(CHOOSE(MIN(MAX(MIN(INT(($A195-1)/62)+1,5),1),5),CROQUIS_DATOS!$C$1501,CROQUIS_DATOS!$C$1505,CROQUIS_DATOS!$C$1509,CROQUIS_DATOS!$C$1513,CROQUIS_DATOS!$C$1517)=1,CROQUIS_DATOS!$C$1557,0),1)),2)=1,IF(MOD(MOD($A195-1,62)+1-2,2)=0,0,1),IF(MOD(MOD($A195-1,62)+1-2,2)=0,1,0))))=0,(CHOOSE(MIN(MAX(MIN(INT(($A195-1)/62)+1,5),1),5),CROQUIS_DATOS!$C$1499,CROQUIS_DATOS!$C$1503,CROQUIS_DATOS!$C$1507,CROQUIS_DATOS!$C$1511,CROQUIS_DATOS!$C$1515)+IF(CHOOSE(MIN(MAX(MIN(INT(($A195-1)/62)+1,5),1),5),CROQUIS_DATOS!$C$1501,CROQUIS_DATOS!$C$1505,CROQUIS_DATOS!$C$1509,CROQUIS_DATOS!$C$1513,CROQUIS_DATOS!$C$1517)=1,CROQUIS_DATOS!$C$1526,0)),(CHOOSE(MIN(MAX(MIN(INT(($A195-1)/62)+1,5),1),5),CROQUIS_DATOS!$C$1499,CROQUIS_DATOS!$C$1503,CROQUIS_DATOS!$C$1507,CROQUIS_DATOS!$C$1511,CROQUIS_DATOS!$C$1515)+CHOOSE(MIN(MAX(MIN(INT(($A195-1)/62)+1,5),1),5),CROQUIS_DATOS!$C$1500,CROQUIS_DATOS!$C$1504,CROQUIS_DATOS!$C$1508,CROQUIS_DATOS!$C$1512,CROQUIS_DATOS!$C$1516)-IF(CHOOSE(MIN(MAX(MIN(INT(($A195-1)/62)+1,5),1),5),CROQUIS_DATOS!$C$1501,CROQUIS_DATOS!$C$1505,CROQUIS_DATOS!$C$1509,CROQUIS_DATOS!$C$1513,CROQUIS_DATOS!$C$1517)=1,CROQUIS_DATOS!$C$1526,0))))*CROQUIS_DATOS!$C$1562),-1000)</f>
        <v>-1000</v>
      </c>
      <c r="Q195">
        <f>IF(AND(CROQUIS_DATOS!$C$1472=1,CROQUIS_DATOS!$C$1555=1),(CROQUIS_DATOS!$C$1564+(IF(OR(OR(MOD($A195-1,62)+1=1,IF(CHOOSE(MIN(MAX(MIN(INT(($A195-1)/62)+1,5),1),5),CROQUIS_DATOS!$C$1501,CROQUIS_DATOS!$C$1505,CROQUIS_DATOS!$C$1509,CROQUIS_DATOS!$C$1513,CROQUIS_DATOS!$C$1517)=1,CROQUIS_DATOS!$C$1557,0)=0),MOD($A195-1,62)+1&gt;2*IF(CHOOSE(MIN(MAX(MIN(INT(($A195-1)/62)+1,5),1),5),CROQUIS_DATOS!$C$1501,CROQUIS_DATOS!$C$1505,CROQUIS_DATOS!$C$1509,CROQUIS_DATOS!$C$1513,CROQUIS_DATOS!$C$1517)=1,CROQUIS_DATOS!$C$1557,0)+1),CROQUIS_DATOS!$C$1476,MIN(INT((MOD($A195-1,62)+1-2)/2)+1,MAX(IF(CHOOSE(MIN(MAX(MIN(INT(($A195-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5">
        <f>IF(AND(CROQUIS_DATOS!$C$1472=1,1),(CROQUIS_DATOS!$C$1563+(MIN(INT(($A195-1)/2)+1,CROQUIS_DATOS!$C$1558)*CROQUIS_DATOS!$C$1559)*CROQUIS_DATOS!$C$1562),-1000)</f>
        <v>82.2281167108753</v>
      </c>
      <c r="U195">
        <f>IF(AND(CROQUIS_DATOS!$C$1472=1,1),(CROQUIS_DATOS!$C$1564+(IF(INT(($A195-1)/2)+1&gt;CROQUIS_DATOS!$C$1558,IF(MOD(CROQUIS_DATOS!$C$1558,2)=1,CROQUIS_DATOS!$C$1476+CROQUIS_DATOS!$C$1528,CROQUIS_DATOS!$C$1476),IF(IF(MOD(MIN(INT(($A195-1)/2)+1,CROQUIS_DATOS!$C$1558),2)=1,MOD($A195-1,2),1-MOD($A195-1,2))=1,CROQUIS_DATOS!$C$1476+CROQUIS_DATOS!$C$1528,CROQUIS_DATOS!$C$1476)))*CROQUIS_DATOS!$C$1561*CROQUIS_DATOS!$C$1562),-1000)</f>
        <v>43</v>
      </c>
    </row>
    <row r="196">
      <c r="A196" t="n">
        <v>189</v>
      </c>
      <c r="N196">
        <f>IF(AND(CROQUIS_DATOS!$C$1472=1,1),(CROQUIS_DATOS!$C$1563+(IF(IF(IF(INT(($A196-1)/70)+1&gt;CROQUIS_DATOS!$C$1525,70,MOD($A196-1,70)+1)=1,0,IF(IF(INT(($A196-1)/70)+1&gt;CROQUIS_DATOS!$C$1525,70,MOD($A196-1,70)+1)&gt;2*CROQUIS_DATOS!$C$1541+1,IF(MOD(CROQUIS_DATOS!$C$1541,2)=1,1,0),IF(MOD(MIN(INT((IF(INT(($A196-1)/70)+1&gt;CROQUIS_DATOS!$C$1525,70,MOD($A196-1,70)+1)-2)/2)+1,CROQUIS_DATOS!$C$1541),2)=1,IF(MOD(IF(INT(($A196-1)/70)+1&gt;CROQUIS_DATOS!$C$1525,70,MOD($A196-1,70)+1)-2,2)=0,0,1),IF(MOD(IF(INT(($A196-1)/70)+1&gt;CROQUIS_DATOS!$C$1525,70,MOD($A196-1,70)+1)-2,2)=0,1,0))))=0,(INDEX($E$8:$E$23,MIN(INT(($A196-1)/70)+1,CROQUIS_DATOS!$C$1525))-INDEX($F$8:$F$23,MIN(INT(($A196-1)/70)+1,CROQUIS_DATOS!$C$1525))/2),(INDEX($E$8:$E$23,MIN(INT(($A196-1)/70)+1,CROQUIS_DATOS!$C$1525))+INDEX($F$8:$F$23,MIN(INT(($A196-1)/70)+1,CROQUIS_DATOS!$C$1525))/2)))*CROQUIS_DATOS!$C$1562),-1000)</f>
        <v>33.2413793103448</v>
      </c>
      <c r="O196">
        <f>IF(AND(CROQUIS_DATOS!$C$1472=1,1),(CROQUIS_DATOS!$C$1564+(IF(OR(IF(INT(($A196-1)/70)+1&gt;CROQUIS_DATOS!$C$1525,70,MOD($A196-1,70)+1)=1,IF(INT(($A196-1)/70)+1&gt;CROQUIS_DATOS!$C$1525,70,MOD($A196-1,70)+1)&gt;2*CROQUIS_DATOS!$C$1541+1),CROQUIS_DATOS!$C$1476,INDEX($H$8:$H$41,MIN(INT((IF(INT(($A196-1)/70)+1&gt;CROQUIS_DATOS!$C$1525,70,MOD($A196-1,70)+1)-2)/2)+1,CROQUIS_DATOS!$C$1541))))*CROQUIS_DATOS!$C$1561*CROQUIS_DATOS!$C$1562),-1000)</f>
        <v>40.2068965517241</v>
      </c>
      <c r="P196">
        <f>IF(AND(CROQUIS_DATOS!$C$1472=1,CROQUIS_DATOS!$C$1555=1),(CROQUIS_DATOS!$C$1563+(IF(IF(OR(MOD($A196-1,62)+1=1,IF(CHOOSE(MIN(MAX(MIN(INT(($A196-1)/62)+1,5),1),5),CROQUIS_DATOS!$C$1501,CROQUIS_DATOS!$C$1505,CROQUIS_DATOS!$C$1509,CROQUIS_DATOS!$C$1513,CROQUIS_DATOS!$C$1517)=1,CROQUIS_DATOS!$C$1557,0)=0),0,IF(MOD($A196-1,62)+1&gt;2*IF(CHOOSE(MIN(MAX(MIN(INT(($A196-1)/62)+1,5),1),5),CROQUIS_DATOS!$C$1501,CROQUIS_DATOS!$C$1505,CROQUIS_DATOS!$C$1509,CROQUIS_DATOS!$C$1513,CROQUIS_DATOS!$C$1517)=1,CROQUIS_DATOS!$C$1557,0)+1,IF(MOD(IF(CHOOSE(MIN(MAX(MIN(INT(($A196-1)/62)+1,5),1),5),CROQUIS_DATOS!$C$1501,CROQUIS_DATOS!$C$1505,CROQUIS_DATOS!$C$1509,CROQUIS_DATOS!$C$1513,CROQUIS_DATOS!$C$1517)=1,CROQUIS_DATOS!$C$1557,0),2)=1,1,0),IF(MOD(MIN(INT((MOD($A196-1,62)+1-2)/2)+1,MAX(IF(CHOOSE(MIN(MAX(MIN(INT(($A196-1)/62)+1,5),1),5),CROQUIS_DATOS!$C$1501,CROQUIS_DATOS!$C$1505,CROQUIS_DATOS!$C$1509,CROQUIS_DATOS!$C$1513,CROQUIS_DATOS!$C$1517)=1,CROQUIS_DATOS!$C$1557,0),1)),2)=1,IF(MOD(MOD($A196-1,62)+1-2,2)=0,0,1),IF(MOD(MOD($A196-1,62)+1-2,2)=0,1,0))))=0,(CHOOSE(MIN(MAX(MIN(INT(($A196-1)/62)+1,5),1),5),CROQUIS_DATOS!$C$1499,CROQUIS_DATOS!$C$1503,CROQUIS_DATOS!$C$1507,CROQUIS_DATOS!$C$1511,CROQUIS_DATOS!$C$1515)+IF(CHOOSE(MIN(MAX(MIN(INT(($A196-1)/62)+1,5),1),5),CROQUIS_DATOS!$C$1501,CROQUIS_DATOS!$C$1505,CROQUIS_DATOS!$C$1509,CROQUIS_DATOS!$C$1513,CROQUIS_DATOS!$C$1517)=1,CROQUIS_DATOS!$C$1526,0)),(CHOOSE(MIN(MAX(MIN(INT(($A196-1)/62)+1,5),1),5),CROQUIS_DATOS!$C$1499,CROQUIS_DATOS!$C$1503,CROQUIS_DATOS!$C$1507,CROQUIS_DATOS!$C$1511,CROQUIS_DATOS!$C$1515)+CHOOSE(MIN(MAX(MIN(INT(($A196-1)/62)+1,5),1),5),CROQUIS_DATOS!$C$1500,CROQUIS_DATOS!$C$1504,CROQUIS_DATOS!$C$1508,CROQUIS_DATOS!$C$1512,CROQUIS_DATOS!$C$1516)-IF(CHOOSE(MIN(MAX(MIN(INT(($A196-1)/62)+1,5),1),5),CROQUIS_DATOS!$C$1501,CROQUIS_DATOS!$C$1505,CROQUIS_DATOS!$C$1509,CROQUIS_DATOS!$C$1513,CROQUIS_DATOS!$C$1517)=1,CROQUIS_DATOS!$C$1526,0))))*CROQUIS_DATOS!$C$1562),-1000)</f>
        <v>-1000</v>
      </c>
      <c r="Q196">
        <f>IF(AND(CROQUIS_DATOS!$C$1472=1,CROQUIS_DATOS!$C$1555=1),(CROQUIS_DATOS!$C$1564+(IF(OR(OR(MOD($A196-1,62)+1=1,IF(CHOOSE(MIN(MAX(MIN(INT(($A196-1)/62)+1,5),1),5),CROQUIS_DATOS!$C$1501,CROQUIS_DATOS!$C$1505,CROQUIS_DATOS!$C$1509,CROQUIS_DATOS!$C$1513,CROQUIS_DATOS!$C$1517)=1,CROQUIS_DATOS!$C$1557,0)=0),MOD($A196-1,62)+1&gt;2*IF(CHOOSE(MIN(MAX(MIN(INT(($A196-1)/62)+1,5),1),5),CROQUIS_DATOS!$C$1501,CROQUIS_DATOS!$C$1505,CROQUIS_DATOS!$C$1509,CROQUIS_DATOS!$C$1513,CROQUIS_DATOS!$C$1517)=1,CROQUIS_DATOS!$C$1557,0)+1),CROQUIS_DATOS!$C$1476,MIN(INT((MOD($A196-1,62)+1-2)/2)+1,MAX(IF(CHOOSE(MIN(MAX(MIN(INT(($A196-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6">
        <f>IF(AND(CROQUIS_DATOS!$C$1472=1,1),(CROQUIS_DATOS!$C$1563+(MIN(INT(($A196-1)/2)+1,CROQUIS_DATOS!$C$1558)*CROQUIS_DATOS!$C$1559)*CROQUIS_DATOS!$C$1562),-1000)</f>
        <v>82.2281167108753</v>
      </c>
      <c r="U196">
        <f>IF(AND(CROQUIS_DATOS!$C$1472=1,1),(CROQUIS_DATOS!$C$1564+(IF(INT(($A196-1)/2)+1&gt;CROQUIS_DATOS!$C$1558,IF(MOD(CROQUIS_DATOS!$C$1558,2)=1,CROQUIS_DATOS!$C$1476+CROQUIS_DATOS!$C$1528,CROQUIS_DATOS!$C$1476),IF(IF(MOD(MIN(INT(($A196-1)/2)+1,CROQUIS_DATOS!$C$1558),2)=1,MOD($A196-1,2),1-MOD($A196-1,2))=1,CROQUIS_DATOS!$C$1476+CROQUIS_DATOS!$C$1528,CROQUIS_DATOS!$C$1476)))*CROQUIS_DATOS!$C$1561*CROQUIS_DATOS!$C$1562),-1000)</f>
        <v>43</v>
      </c>
    </row>
    <row r="197">
      <c r="A197" t="n">
        <v>190</v>
      </c>
      <c r="N197">
        <f>IF(AND(CROQUIS_DATOS!$C$1472=1,1),(CROQUIS_DATOS!$C$1563+(IF(IF(IF(INT(($A197-1)/70)+1&gt;CROQUIS_DATOS!$C$1525,70,MOD($A197-1,70)+1)=1,0,IF(IF(INT(($A197-1)/70)+1&gt;CROQUIS_DATOS!$C$1525,70,MOD($A197-1,70)+1)&gt;2*CROQUIS_DATOS!$C$1541+1,IF(MOD(CROQUIS_DATOS!$C$1541,2)=1,1,0),IF(MOD(MIN(INT((IF(INT(($A197-1)/70)+1&gt;CROQUIS_DATOS!$C$1525,70,MOD($A197-1,70)+1)-2)/2)+1,CROQUIS_DATOS!$C$1541),2)=1,IF(MOD(IF(INT(($A197-1)/70)+1&gt;CROQUIS_DATOS!$C$1525,70,MOD($A197-1,70)+1)-2,2)=0,0,1),IF(MOD(IF(INT(($A197-1)/70)+1&gt;CROQUIS_DATOS!$C$1525,70,MOD($A197-1,70)+1)-2,2)=0,1,0))))=0,(INDEX($E$8:$E$23,MIN(INT(($A197-1)/70)+1,CROQUIS_DATOS!$C$1525))-INDEX($F$8:$F$23,MIN(INT(($A197-1)/70)+1,CROQUIS_DATOS!$C$1525))/2),(INDEX($E$8:$E$23,MIN(INT(($A197-1)/70)+1,CROQUIS_DATOS!$C$1525))+INDEX($F$8:$F$23,MIN(INT(($A197-1)/70)+1,CROQUIS_DATOS!$C$1525))/2)))*CROQUIS_DATOS!$C$1562),-1000)</f>
        <v>33.2413793103448</v>
      </c>
      <c r="O197">
        <f>IF(AND(CROQUIS_DATOS!$C$1472=1,1),(CROQUIS_DATOS!$C$1564+(IF(OR(IF(INT(($A197-1)/70)+1&gt;CROQUIS_DATOS!$C$1525,70,MOD($A197-1,70)+1)=1,IF(INT(($A197-1)/70)+1&gt;CROQUIS_DATOS!$C$1525,70,MOD($A197-1,70)+1)&gt;2*CROQUIS_DATOS!$C$1541+1),CROQUIS_DATOS!$C$1476,INDEX($H$8:$H$41,MIN(INT((IF(INT(($A197-1)/70)+1&gt;CROQUIS_DATOS!$C$1525,70,MOD($A197-1,70)+1)-2)/2)+1,CROQUIS_DATOS!$C$1541))))*CROQUIS_DATOS!$C$1561*CROQUIS_DATOS!$C$1562),-1000)</f>
        <v>40.2068965517241</v>
      </c>
      <c r="P197">
        <f>IF(AND(CROQUIS_DATOS!$C$1472=1,CROQUIS_DATOS!$C$1555=1),(CROQUIS_DATOS!$C$1563+(IF(IF(OR(MOD($A197-1,62)+1=1,IF(CHOOSE(MIN(MAX(MIN(INT(($A197-1)/62)+1,5),1),5),CROQUIS_DATOS!$C$1501,CROQUIS_DATOS!$C$1505,CROQUIS_DATOS!$C$1509,CROQUIS_DATOS!$C$1513,CROQUIS_DATOS!$C$1517)=1,CROQUIS_DATOS!$C$1557,0)=0),0,IF(MOD($A197-1,62)+1&gt;2*IF(CHOOSE(MIN(MAX(MIN(INT(($A197-1)/62)+1,5),1),5),CROQUIS_DATOS!$C$1501,CROQUIS_DATOS!$C$1505,CROQUIS_DATOS!$C$1509,CROQUIS_DATOS!$C$1513,CROQUIS_DATOS!$C$1517)=1,CROQUIS_DATOS!$C$1557,0)+1,IF(MOD(IF(CHOOSE(MIN(MAX(MIN(INT(($A197-1)/62)+1,5),1),5),CROQUIS_DATOS!$C$1501,CROQUIS_DATOS!$C$1505,CROQUIS_DATOS!$C$1509,CROQUIS_DATOS!$C$1513,CROQUIS_DATOS!$C$1517)=1,CROQUIS_DATOS!$C$1557,0),2)=1,1,0),IF(MOD(MIN(INT((MOD($A197-1,62)+1-2)/2)+1,MAX(IF(CHOOSE(MIN(MAX(MIN(INT(($A197-1)/62)+1,5),1),5),CROQUIS_DATOS!$C$1501,CROQUIS_DATOS!$C$1505,CROQUIS_DATOS!$C$1509,CROQUIS_DATOS!$C$1513,CROQUIS_DATOS!$C$1517)=1,CROQUIS_DATOS!$C$1557,0),1)),2)=1,IF(MOD(MOD($A197-1,62)+1-2,2)=0,0,1),IF(MOD(MOD($A197-1,62)+1-2,2)=0,1,0))))=0,(CHOOSE(MIN(MAX(MIN(INT(($A197-1)/62)+1,5),1),5),CROQUIS_DATOS!$C$1499,CROQUIS_DATOS!$C$1503,CROQUIS_DATOS!$C$1507,CROQUIS_DATOS!$C$1511,CROQUIS_DATOS!$C$1515)+IF(CHOOSE(MIN(MAX(MIN(INT(($A197-1)/62)+1,5),1),5),CROQUIS_DATOS!$C$1501,CROQUIS_DATOS!$C$1505,CROQUIS_DATOS!$C$1509,CROQUIS_DATOS!$C$1513,CROQUIS_DATOS!$C$1517)=1,CROQUIS_DATOS!$C$1526,0)),(CHOOSE(MIN(MAX(MIN(INT(($A197-1)/62)+1,5),1),5),CROQUIS_DATOS!$C$1499,CROQUIS_DATOS!$C$1503,CROQUIS_DATOS!$C$1507,CROQUIS_DATOS!$C$1511,CROQUIS_DATOS!$C$1515)+CHOOSE(MIN(MAX(MIN(INT(($A197-1)/62)+1,5),1),5),CROQUIS_DATOS!$C$1500,CROQUIS_DATOS!$C$1504,CROQUIS_DATOS!$C$1508,CROQUIS_DATOS!$C$1512,CROQUIS_DATOS!$C$1516)-IF(CHOOSE(MIN(MAX(MIN(INT(($A197-1)/62)+1,5),1),5),CROQUIS_DATOS!$C$1501,CROQUIS_DATOS!$C$1505,CROQUIS_DATOS!$C$1509,CROQUIS_DATOS!$C$1513,CROQUIS_DATOS!$C$1517)=1,CROQUIS_DATOS!$C$1526,0))))*CROQUIS_DATOS!$C$1562),-1000)</f>
        <v>-1000</v>
      </c>
      <c r="Q197">
        <f>IF(AND(CROQUIS_DATOS!$C$1472=1,CROQUIS_DATOS!$C$1555=1),(CROQUIS_DATOS!$C$1564+(IF(OR(OR(MOD($A197-1,62)+1=1,IF(CHOOSE(MIN(MAX(MIN(INT(($A197-1)/62)+1,5),1),5),CROQUIS_DATOS!$C$1501,CROQUIS_DATOS!$C$1505,CROQUIS_DATOS!$C$1509,CROQUIS_DATOS!$C$1513,CROQUIS_DATOS!$C$1517)=1,CROQUIS_DATOS!$C$1557,0)=0),MOD($A197-1,62)+1&gt;2*IF(CHOOSE(MIN(MAX(MIN(INT(($A197-1)/62)+1,5),1),5),CROQUIS_DATOS!$C$1501,CROQUIS_DATOS!$C$1505,CROQUIS_DATOS!$C$1509,CROQUIS_DATOS!$C$1513,CROQUIS_DATOS!$C$1517)=1,CROQUIS_DATOS!$C$1557,0)+1),CROQUIS_DATOS!$C$1476,MIN(INT((MOD($A197-1,62)+1-2)/2)+1,MAX(IF(CHOOSE(MIN(MAX(MIN(INT(($A197-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7">
        <f>IF(AND(CROQUIS_DATOS!$C$1472=1,1),(CROQUIS_DATOS!$C$1563+(MIN(INT(($A197-1)/2)+1,CROQUIS_DATOS!$C$1558)*CROQUIS_DATOS!$C$1559)*CROQUIS_DATOS!$C$1562),-1000)</f>
        <v>82.2281167108753</v>
      </c>
      <c r="U197">
        <f>IF(AND(CROQUIS_DATOS!$C$1472=1,1),(CROQUIS_DATOS!$C$1564+(IF(INT(($A197-1)/2)+1&gt;CROQUIS_DATOS!$C$1558,IF(MOD(CROQUIS_DATOS!$C$1558,2)=1,CROQUIS_DATOS!$C$1476+CROQUIS_DATOS!$C$1528,CROQUIS_DATOS!$C$1476),IF(IF(MOD(MIN(INT(($A197-1)/2)+1,CROQUIS_DATOS!$C$1558),2)=1,MOD($A197-1,2),1-MOD($A197-1,2))=1,CROQUIS_DATOS!$C$1476+CROQUIS_DATOS!$C$1528,CROQUIS_DATOS!$C$1476)))*CROQUIS_DATOS!$C$1561*CROQUIS_DATOS!$C$1562),-1000)</f>
        <v>43</v>
      </c>
    </row>
    <row r="198">
      <c r="A198" t="n">
        <v>191</v>
      </c>
      <c r="N198">
        <f>IF(AND(CROQUIS_DATOS!$C$1472=1,1),(CROQUIS_DATOS!$C$1563+(IF(IF(IF(INT(($A198-1)/70)+1&gt;CROQUIS_DATOS!$C$1525,70,MOD($A198-1,70)+1)=1,0,IF(IF(INT(($A198-1)/70)+1&gt;CROQUIS_DATOS!$C$1525,70,MOD($A198-1,70)+1)&gt;2*CROQUIS_DATOS!$C$1541+1,IF(MOD(CROQUIS_DATOS!$C$1541,2)=1,1,0),IF(MOD(MIN(INT((IF(INT(($A198-1)/70)+1&gt;CROQUIS_DATOS!$C$1525,70,MOD($A198-1,70)+1)-2)/2)+1,CROQUIS_DATOS!$C$1541),2)=1,IF(MOD(IF(INT(($A198-1)/70)+1&gt;CROQUIS_DATOS!$C$1525,70,MOD($A198-1,70)+1)-2,2)=0,0,1),IF(MOD(IF(INT(($A198-1)/70)+1&gt;CROQUIS_DATOS!$C$1525,70,MOD($A198-1,70)+1)-2,2)=0,1,0))))=0,(INDEX($E$8:$E$23,MIN(INT(($A198-1)/70)+1,CROQUIS_DATOS!$C$1525))-INDEX($F$8:$F$23,MIN(INT(($A198-1)/70)+1,CROQUIS_DATOS!$C$1525))/2),(INDEX($E$8:$E$23,MIN(INT(($A198-1)/70)+1,CROQUIS_DATOS!$C$1525))+INDEX($F$8:$F$23,MIN(INT(($A198-1)/70)+1,CROQUIS_DATOS!$C$1525))/2)))*CROQUIS_DATOS!$C$1562),-1000)</f>
        <v>33.2413793103448</v>
      </c>
      <c r="O198">
        <f>IF(AND(CROQUIS_DATOS!$C$1472=1,1),(CROQUIS_DATOS!$C$1564+(IF(OR(IF(INT(($A198-1)/70)+1&gt;CROQUIS_DATOS!$C$1525,70,MOD($A198-1,70)+1)=1,IF(INT(($A198-1)/70)+1&gt;CROQUIS_DATOS!$C$1525,70,MOD($A198-1,70)+1)&gt;2*CROQUIS_DATOS!$C$1541+1),CROQUIS_DATOS!$C$1476,INDEX($H$8:$H$41,MIN(INT((IF(INT(($A198-1)/70)+1&gt;CROQUIS_DATOS!$C$1525,70,MOD($A198-1,70)+1)-2)/2)+1,CROQUIS_DATOS!$C$1541))))*CROQUIS_DATOS!$C$1561*CROQUIS_DATOS!$C$1562),-1000)</f>
        <v>40.2068965517241</v>
      </c>
      <c r="P198">
        <f>IF(AND(CROQUIS_DATOS!$C$1472=1,CROQUIS_DATOS!$C$1555=1),(CROQUIS_DATOS!$C$1563+(IF(IF(OR(MOD($A198-1,62)+1=1,IF(CHOOSE(MIN(MAX(MIN(INT(($A198-1)/62)+1,5),1),5),CROQUIS_DATOS!$C$1501,CROQUIS_DATOS!$C$1505,CROQUIS_DATOS!$C$1509,CROQUIS_DATOS!$C$1513,CROQUIS_DATOS!$C$1517)=1,CROQUIS_DATOS!$C$1557,0)=0),0,IF(MOD($A198-1,62)+1&gt;2*IF(CHOOSE(MIN(MAX(MIN(INT(($A198-1)/62)+1,5),1),5),CROQUIS_DATOS!$C$1501,CROQUIS_DATOS!$C$1505,CROQUIS_DATOS!$C$1509,CROQUIS_DATOS!$C$1513,CROQUIS_DATOS!$C$1517)=1,CROQUIS_DATOS!$C$1557,0)+1,IF(MOD(IF(CHOOSE(MIN(MAX(MIN(INT(($A198-1)/62)+1,5),1),5),CROQUIS_DATOS!$C$1501,CROQUIS_DATOS!$C$1505,CROQUIS_DATOS!$C$1509,CROQUIS_DATOS!$C$1513,CROQUIS_DATOS!$C$1517)=1,CROQUIS_DATOS!$C$1557,0),2)=1,1,0),IF(MOD(MIN(INT((MOD($A198-1,62)+1-2)/2)+1,MAX(IF(CHOOSE(MIN(MAX(MIN(INT(($A198-1)/62)+1,5),1),5),CROQUIS_DATOS!$C$1501,CROQUIS_DATOS!$C$1505,CROQUIS_DATOS!$C$1509,CROQUIS_DATOS!$C$1513,CROQUIS_DATOS!$C$1517)=1,CROQUIS_DATOS!$C$1557,0),1)),2)=1,IF(MOD(MOD($A198-1,62)+1-2,2)=0,0,1),IF(MOD(MOD($A198-1,62)+1-2,2)=0,1,0))))=0,(CHOOSE(MIN(MAX(MIN(INT(($A198-1)/62)+1,5),1),5),CROQUIS_DATOS!$C$1499,CROQUIS_DATOS!$C$1503,CROQUIS_DATOS!$C$1507,CROQUIS_DATOS!$C$1511,CROQUIS_DATOS!$C$1515)+IF(CHOOSE(MIN(MAX(MIN(INT(($A198-1)/62)+1,5),1),5),CROQUIS_DATOS!$C$1501,CROQUIS_DATOS!$C$1505,CROQUIS_DATOS!$C$1509,CROQUIS_DATOS!$C$1513,CROQUIS_DATOS!$C$1517)=1,CROQUIS_DATOS!$C$1526,0)),(CHOOSE(MIN(MAX(MIN(INT(($A198-1)/62)+1,5),1),5),CROQUIS_DATOS!$C$1499,CROQUIS_DATOS!$C$1503,CROQUIS_DATOS!$C$1507,CROQUIS_DATOS!$C$1511,CROQUIS_DATOS!$C$1515)+CHOOSE(MIN(MAX(MIN(INT(($A198-1)/62)+1,5),1),5),CROQUIS_DATOS!$C$1500,CROQUIS_DATOS!$C$1504,CROQUIS_DATOS!$C$1508,CROQUIS_DATOS!$C$1512,CROQUIS_DATOS!$C$1516)-IF(CHOOSE(MIN(MAX(MIN(INT(($A198-1)/62)+1,5),1),5),CROQUIS_DATOS!$C$1501,CROQUIS_DATOS!$C$1505,CROQUIS_DATOS!$C$1509,CROQUIS_DATOS!$C$1513,CROQUIS_DATOS!$C$1517)=1,CROQUIS_DATOS!$C$1526,0))))*CROQUIS_DATOS!$C$1562),-1000)</f>
        <v>-1000</v>
      </c>
      <c r="Q198">
        <f>IF(AND(CROQUIS_DATOS!$C$1472=1,CROQUIS_DATOS!$C$1555=1),(CROQUIS_DATOS!$C$1564+(IF(OR(OR(MOD($A198-1,62)+1=1,IF(CHOOSE(MIN(MAX(MIN(INT(($A198-1)/62)+1,5),1),5),CROQUIS_DATOS!$C$1501,CROQUIS_DATOS!$C$1505,CROQUIS_DATOS!$C$1509,CROQUIS_DATOS!$C$1513,CROQUIS_DATOS!$C$1517)=1,CROQUIS_DATOS!$C$1557,0)=0),MOD($A198-1,62)+1&gt;2*IF(CHOOSE(MIN(MAX(MIN(INT(($A198-1)/62)+1,5),1),5),CROQUIS_DATOS!$C$1501,CROQUIS_DATOS!$C$1505,CROQUIS_DATOS!$C$1509,CROQUIS_DATOS!$C$1513,CROQUIS_DATOS!$C$1517)=1,CROQUIS_DATOS!$C$1557,0)+1),CROQUIS_DATOS!$C$1476,MIN(INT((MOD($A198-1,62)+1-2)/2)+1,MAX(IF(CHOOSE(MIN(MAX(MIN(INT(($A198-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8">
        <f>IF(AND(CROQUIS_DATOS!$C$1472=1,1),(CROQUIS_DATOS!$C$1563+(MIN(INT(($A198-1)/2)+1,CROQUIS_DATOS!$C$1558)*CROQUIS_DATOS!$C$1559)*CROQUIS_DATOS!$C$1562),-1000)</f>
        <v>82.2281167108753</v>
      </c>
      <c r="U198">
        <f>IF(AND(CROQUIS_DATOS!$C$1472=1,1),(CROQUIS_DATOS!$C$1564+(IF(INT(($A198-1)/2)+1&gt;CROQUIS_DATOS!$C$1558,IF(MOD(CROQUIS_DATOS!$C$1558,2)=1,CROQUIS_DATOS!$C$1476+CROQUIS_DATOS!$C$1528,CROQUIS_DATOS!$C$1476),IF(IF(MOD(MIN(INT(($A198-1)/2)+1,CROQUIS_DATOS!$C$1558),2)=1,MOD($A198-1,2),1-MOD($A198-1,2))=1,CROQUIS_DATOS!$C$1476+CROQUIS_DATOS!$C$1528,CROQUIS_DATOS!$C$1476)))*CROQUIS_DATOS!$C$1561*CROQUIS_DATOS!$C$1562),-1000)</f>
        <v>43</v>
      </c>
    </row>
    <row r="199">
      <c r="A199" t="n">
        <v>192</v>
      </c>
      <c r="N199">
        <f>IF(AND(CROQUIS_DATOS!$C$1472=1,1),(CROQUIS_DATOS!$C$1563+(IF(IF(IF(INT(($A199-1)/70)+1&gt;CROQUIS_DATOS!$C$1525,70,MOD($A199-1,70)+1)=1,0,IF(IF(INT(($A199-1)/70)+1&gt;CROQUIS_DATOS!$C$1525,70,MOD($A199-1,70)+1)&gt;2*CROQUIS_DATOS!$C$1541+1,IF(MOD(CROQUIS_DATOS!$C$1541,2)=1,1,0),IF(MOD(MIN(INT((IF(INT(($A199-1)/70)+1&gt;CROQUIS_DATOS!$C$1525,70,MOD($A199-1,70)+1)-2)/2)+1,CROQUIS_DATOS!$C$1541),2)=1,IF(MOD(IF(INT(($A199-1)/70)+1&gt;CROQUIS_DATOS!$C$1525,70,MOD($A199-1,70)+1)-2,2)=0,0,1),IF(MOD(IF(INT(($A199-1)/70)+1&gt;CROQUIS_DATOS!$C$1525,70,MOD($A199-1,70)+1)-2,2)=0,1,0))))=0,(INDEX($E$8:$E$23,MIN(INT(($A199-1)/70)+1,CROQUIS_DATOS!$C$1525))-INDEX($F$8:$F$23,MIN(INT(($A199-1)/70)+1,CROQUIS_DATOS!$C$1525))/2),(INDEX($E$8:$E$23,MIN(INT(($A199-1)/70)+1,CROQUIS_DATOS!$C$1525))+INDEX($F$8:$F$23,MIN(INT(($A199-1)/70)+1,CROQUIS_DATOS!$C$1525))/2)))*CROQUIS_DATOS!$C$1562),-1000)</f>
        <v>33.2413793103448</v>
      </c>
      <c r="O199">
        <f>IF(AND(CROQUIS_DATOS!$C$1472=1,1),(CROQUIS_DATOS!$C$1564+(IF(OR(IF(INT(($A199-1)/70)+1&gt;CROQUIS_DATOS!$C$1525,70,MOD($A199-1,70)+1)=1,IF(INT(($A199-1)/70)+1&gt;CROQUIS_DATOS!$C$1525,70,MOD($A199-1,70)+1)&gt;2*CROQUIS_DATOS!$C$1541+1),CROQUIS_DATOS!$C$1476,INDEX($H$8:$H$41,MIN(INT((IF(INT(($A199-1)/70)+1&gt;CROQUIS_DATOS!$C$1525,70,MOD($A199-1,70)+1)-2)/2)+1,CROQUIS_DATOS!$C$1541))))*CROQUIS_DATOS!$C$1561*CROQUIS_DATOS!$C$1562),-1000)</f>
        <v>40.2068965517241</v>
      </c>
      <c r="P199">
        <f>IF(AND(CROQUIS_DATOS!$C$1472=1,CROQUIS_DATOS!$C$1555=1),(CROQUIS_DATOS!$C$1563+(IF(IF(OR(MOD($A199-1,62)+1=1,IF(CHOOSE(MIN(MAX(MIN(INT(($A199-1)/62)+1,5),1),5),CROQUIS_DATOS!$C$1501,CROQUIS_DATOS!$C$1505,CROQUIS_DATOS!$C$1509,CROQUIS_DATOS!$C$1513,CROQUIS_DATOS!$C$1517)=1,CROQUIS_DATOS!$C$1557,0)=0),0,IF(MOD($A199-1,62)+1&gt;2*IF(CHOOSE(MIN(MAX(MIN(INT(($A199-1)/62)+1,5),1),5),CROQUIS_DATOS!$C$1501,CROQUIS_DATOS!$C$1505,CROQUIS_DATOS!$C$1509,CROQUIS_DATOS!$C$1513,CROQUIS_DATOS!$C$1517)=1,CROQUIS_DATOS!$C$1557,0)+1,IF(MOD(IF(CHOOSE(MIN(MAX(MIN(INT(($A199-1)/62)+1,5),1),5),CROQUIS_DATOS!$C$1501,CROQUIS_DATOS!$C$1505,CROQUIS_DATOS!$C$1509,CROQUIS_DATOS!$C$1513,CROQUIS_DATOS!$C$1517)=1,CROQUIS_DATOS!$C$1557,0),2)=1,1,0),IF(MOD(MIN(INT((MOD($A199-1,62)+1-2)/2)+1,MAX(IF(CHOOSE(MIN(MAX(MIN(INT(($A199-1)/62)+1,5),1),5),CROQUIS_DATOS!$C$1501,CROQUIS_DATOS!$C$1505,CROQUIS_DATOS!$C$1509,CROQUIS_DATOS!$C$1513,CROQUIS_DATOS!$C$1517)=1,CROQUIS_DATOS!$C$1557,0),1)),2)=1,IF(MOD(MOD($A199-1,62)+1-2,2)=0,0,1),IF(MOD(MOD($A199-1,62)+1-2,2)=0,1,0))))=0,(CHOOSE(MIN(MAX(MIN(INT(($A199-1)/62)+1,5),1),5),CROQUIS_DATOS!$C$1499,CROQUIS_DATOS!$C$1503,CROQUIS_DATOS!$C$1507,CROQUIS_DATOS!$C$1511,CROQUIS_DATOS!$C$1515)+IF(CHOOSE(MIN(MAX(MIN(INT(($A199-1)/62)+1,5),1),5),CROQUIS_DATOS!$C$1501,CROQUIS_DATOS!$C$1505,CROQUIS_DATOS!$C$1509,CROQUIS_DATOS!$C$1513,CROQUIS_DATOS!$C$1517)=1,CROQUIS_DATOS!$C$1526,0)),(CHOOSE(MIN(MAX(MIN(INT(($A199-1)/62)+1,5),1),5),CROQUIS_DATOS!$C$1499,CROQUIS_DATOS!$C$1503,CROQUIS_DATOS!$C$1507,CROQUIS_DATOS!$C$1511,CROQUIS_DATOS!$C$1515)+CHOOSE(MIN(MAX(MIN(INT(($A199-1)/62)+1,5),1),5),CROQUIS_DATOS!$C$1500,CROQUIS_DATOS!$C$1504,CROQUIS_DATOS!$C$1508,CROQUIS_DATOS!$C$1512,CROQUIS_DATOS!$C$1516)-IF(CHOOSE(MIN(MAX(MIN(INT(($A199-1)/62)+1,5),1),5),CROQUIS_DATOS!$C$1501,CROQUIS_DATOS!$C$1505,CROQUIS_DATOS!$C$1509,CROQUIS_DATOS!$C$1513,CROQUIS_DATOS!$C$1517)=1,CROQUIS_DATOS!$C$1526,0))))*CROQUIS_DATOS!$C$1562),-1000)</f>
        <v>-1000</v>
      </c>
      <c r="Q199">
        <f>IF(AND(CROQUIS_DATOS!$C$1472=1,CROQUIS_DATOS!$C$1555=1),(CROQUIS_DATOS!$C$1564+(IF(OR(OR(MOD($A199-1,62)+1=1,IF(CHOOSE(MIN(MAX(MIN(INT(($A199-1)/62)+1,5),1),5),CROQUIS_DATOS!$C$1501,CROQUIS_DATOS!$C$1505,CROQUIS_DATOS!$C$1509,CROQUIS_DATOS!$C$1513,CROQUIS_DATOS!$C$1517)=1,CROQUIS_DATOS!$C$1557,0)=0),MOD($A199-1,62)+1&gt;2*IF(CHOOSE(MIN(MAX(MIN(INT(($A199-1)/62)+1,5),1),5),CROQUIS_DATOS!$C$1501,CROQUIS_DATOS!$C$1505,CROQUIS_DATOS!$C$1509,CROQUIS_DATOS!$C$1513,CROQUIS_DATOS!$C$1517)=1,CROQUIS_DATOS!$C$1557,0)+1),CROQUIS_DATOS!$C$1476,MIN(INT((MOD($A199-1,62)+1-2)/2)+1,MAX(IF(CHOOSE(MIN(MAX(MIN(INT(($A199-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199">
        <f>IF(AND(CROQUIS_DATOS!$C$1472=1,1),(CROQUIS_DATOS!$C$1563+(MIN(INT(($A199-1)/2)+1,CROQUIS_DATOS!$C$1558)*CROQUIS_DATOS!$C$1559)*CROQUIS_DATOS!$C$1562),-1000)</f>
        <v>82.2281167108753</v>
      </c>
      <c r="U199">
        <f>IF(AND(CROQUIS_DATOS!$C$1472=1,1),(CROQUIS_DATOS!$C$1564+(IF(INT(($A199-1)/2)+1&gt;CROQUIS_DATOS!$C$1558,IF(MOD(CROQUIS_DATOS!$C$1558,2)=1,CROQUIS_DATOS!$C$1476+CROQUIS_DATOS!$C$1528,CROQUIS_DATOS!$C$1476),IF(IF(MOD(MIN(INT(($A199-1)/2)+1,CROQUIS_DATOS!$C$1558),2)=1,MOD($A199-1,2),1-MOD($A199-1,2))=1,CROQUIS_DATOS!$C$1476+CROQUIS_DATOS!$C$1528,CROQUIS_DATOS!$C$1476)))*CROQUIS_DATOS!$C$1561*CROQUIS_DATOS!$C$1562),-1000)</f>
        <v>43</v>
      </c>
    </row>
    <row r="200">
      <c r="A200" t="n">
        <v>193</v>
      </c>
      <c r="N200">
        <f>IF(AND(CROQUIS_DATOS!$C$1472=1,1),(CROQUIS_DATOS!$C$1563+(IF(IF(IF(INT(($A200-1)/70)+1&gt;CROQUIS_DATOS!$C$1525,70,MOD($A200-1,70)+1)=1,0,IF(IF(INT(($A200-1)/70)+1&gt;CROQUIS_DATOS!$C$1525,70,MOD($A200-1,70)+1)&gt;2*CROQUIS_DATOS!$C$1541+1,IF(MOD(CROQUIS_DATOS!$C$1541,2)=1,1,0),IF(MOD(MIN(INT((IF(INT(($A200-1)/70)+1&gt;CROQUIS_DATOS!$C$1525,70,MOD($A200-1,70)+1)-2)/2)+1,CROQUIS_DATOS!$C$1541),2)=1,IF(MOD(IF(INT(($A200-1)/70)+1&gt;CROQUIS_DATOS!$C$1525,70,MOD($A200-1,70)+1)-2,2)=0,0,1),IF(MOD(IF(INT(($A200-1)/70)+1&gt;CROQUIS_DATOS!$C$1525,70,MOD($A200-1,70)+1)-2,2)=0,1,0))))=0,(INDEX($E$8:$E$23,MIN(INT(($A200-1)/70)+1,CROQUIS_DATOS!$C$1525))-INDEX($F$8:$F$23,MIN(INT(($A200-1)/70)+1,CROQUIS_DATOS!$C$1525))/2),(INDEX($E$8:$E$23,MIN(INT(($A200-1)/70)+1,CROQUIS_DATOS!$C$1525))+INDEX($F$8:$F$23,MIN(INT(($A200-1)/70)+1,CROQUIS_DATOS!$C$1525))/2)))*CROQUIS_DATOS!$C$1562),-1000)</f>
        <v>33.2413793103448</v>
      </c>
      <c r="O200">
        <f>IF(AND(CROQUIS_DATOS!$C$1472=1,1),(CROQUIS_DATOS!$C$1564+(IF(OR(IF(INT(($A200-1)/70)+1&gt;CROQUIS_DATOS!$C$1525,70,MOD($A200-1,70)+1)=1,IF(INT(($A200-1)/70)+1&gt;CROQUIS_DATOS!$C$1525,70,MOD($A200-1,70)+1)&gt;2*CROQUIS_DATOS!$C$1541+1),CROQUIS_DATOS!$C$1476,INDEX($H$8:$H$41,MIN(INT((IF(INT(($A200-1)/70)+1&gt;CROQUIS_DATOS!$C$1525,70,MOD($A200-1,70)+1)-2)/2)+1,CROQUIS_DATOS!$C$1541))))*CROQUIS_DATOS!$C$1561*CROQUIS_DATOS!$C$1562),-1000)</f>
        <v>40.2068965517241</v>
      </c>
      <c r="P200">
        <f>IF(AND(CROQUIS_DATOS!$C$1472=1,CROQUIS_DATOS!$C$1555=1),(CROQUIS_DATOS!$C$1563+(IF(IF(OR(MOD($A200-1,62)+1=1,IF(CHOOSE(MIN(MAX(MIN(INT(($A200-1)/62)+1,5),1),5),CROQUIS_DATOS!$C$1501,CROQUIS_DATOS!$C$1505,CROQUIS_DATOS!$C$1509,CROQUIS_DATOS!$C$1513,CROQUIS_DATOS!$C$1517)=1,CROQUIS_DATOS!$C$1557,0)=0),0,IF(MOD($A200-1,62)+1&gt;2*IF(CHOOSE(MIN(MAX(MIN(INT(($A200-1)/62)+1,5),1),5),CROQUIS_DATOS!$C$1501,CROQUIS_DATOS!$C$1505,CROQUIS_DATOS!$C$1509,CROQUIS_DATOS!$C$1513,CROQUIS_DATOS!$C$1517)=1,CROQUIS_DATOS!$C$1557,0)+1,IF(MOD(IF(CHOOSE(MIN(MAX(MIN(INT(($A200-1)/62)+1,5),1),5),CROQUIS_DATOS!$C$1501,CROQUIS_DATOS!$C$1505,CROQUIS_DATOS!$C$1509,CROQUIS_DATOS!$C$1513,CROQUIS_DATOS!$C$1517)=1,CROQUIS_DATOS!$C$1557,0),2)=1,1,0),IF(MOD(MIN(INT((MOD($A200-1,62)+1-2)/2)+1,MAX(IF(CHOOSE(MIN(MAX(MIN(INT(($A200-1)/62)+1,5),1),5),CROQUIS_DATOS!$C$1501,CROQUIS_DATOS!$C$1505,CROQUIS_DATOS!$C$1509,CROQUIS_DATOS!$C$1513,CROQUIS_DATOS!$C$1517)=1,CROQUIS_DATOS!$C$1557,0),1)),2)=1,IF(MOD(MOD($A200-1,62)+1-2,2)=0,0,1),IF(MOD(MOD($A200-1,62)+1-2,2)=0,1,0))))=0,(CHOOSE(MIN(MAX(MIN(INT(($A200-1)/62)+1,5),1),5),CROQUIS_DATOS!$C$1499,CROQUIS_DATOS!$C$1503,CROQUIS_DATOS!$C$1507,CROQUIS_DATOS!$C$1511,CROQUIS_DATOS!$C$1515)+IF(CHOOSE(MIN(MAX(MIN(INT(($A200-1)/62)+1,5),1),5),CROQUIS_DATOS!$C$1501,CROQUIS_DATOS!$C$1505,CROQUIS_DATOS!$C$1509,CROQUIS_DATOS!$C$1513,CROQUIS_DATOS!$C$1517)=1,CROQUIS_DATOS!$C$1526,0)),(CHOOSE(MIN(MAX(MIN(INT(($A200-1)/62)+1,5),1),5),CROQUIS_DATOS!$C$1499,CROQUIS_DATOS!$C$1503,CROQUIS_DATOS!$C$1507,CROQUIS_DATOS!$C$1511,CROQUIS_DATOS!$C$1515)+CHOOSE(MIN(MAX(MIN(INT(($A200-1)/62)+1,5),1),5),CROQUIS_DATOS!$C$1500,CROQUIS_DATOS!$C$1504,CROQUIS_DATOS!$C$1508,CROQUIS_DATOS!$C$1512,CROQUIS_DATOS!$C$1516)-IF(CHOOSE(MIN(MAX(MIN(INT(($A200-1)/62)+1,5),1),5),CROQUIS_DATOS!$C$1501,CROQUIS_DATOS!$C$1505,CROQUIS_DATOS!$C$1509,CROQUIS_DATOS!$C$1513,CROQUIS_DATOS!$C$1517)=1,CROQUIS_DATOS!$C$1526,0))))*CROQUIS_DATOS!$C$1562),-1000)</f>
        <v>-1000</v>
      </c>
      <c r="Q200">
        <f>IF(AND(CROQUIS_DATOS!$C$1472=1,CROQUIS_DATOS!$C$1555=1),(CROQUIS_DATOS!$C$1564+(IF(OR(OR(MOD($A200-1,62)+1=1,IF(CHOOSE(MIN(MAX(MIN(INT(($A200-1)/62)+1,5),1),5),CROQUIS_DATOS!$C$1501,CROQUIS_DATOS!$C$1505,CROQUIS_DATOS!$C$1509,CROQUIS_DATOS!$C$1513,CROQUIS_DATOS!$C$1517)=1,CROQUIS_DATOS!$C$1557,0)=0),MOD($A200-1,62)+1&gt;2*IF(CHOOSE(MIN(MAX(MIN(INT(($A200-1)/62)+1,5),1),5),CROQUIS_DATOS!$C$1501,CROQUIS_DATOS!$C$1505,CROQUIS_DATOS!$C$1509,CROQUIS_DATOS!$C$1513,CROQUIS_DATOS!$C$1517)=1,CROQUIS_DATOS!$C$1557,0)+1),CROQUIS_DATOS!$C$1476,MIN(INT((MOD($A200-1,62)+1-2)/2)+1,MAX(IF(CHOOSE(MIN(MAX(MIN(INT(($A200-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0">
        <f>IF(AND(CROQUIS_DATOS!$C$1472=1,1),(CROQUIS_DATOS!$C$1563+(MIN(INT(($A200-1)/2)+1,CROQUIS_DATOS!$C$1558)*CROQUIS_DATOS!$C$1559)*CROQUIS_DATOS!$C$1562),-1000)</f>
        <v>82.2281167108753</v>
      </c>
      <c r="U200">
        <f>IF(AND(CROQUIS_DATOS!$C$1472=1,1),(CROQUIS_DATOS!$C$1564+(IF(INT(($A200-1)/2)+1&gt;CROQUIS_DATOS!$C$1558,IF(MOD(CROQUIS_DATOS!$C$1558,2)=1,CROQUIS_DATOS!$C$1476+CROQUIS_DATOS!$C$1528,CROQUIS_DATOS!$C$1476),IF(IF(MOD(MIN(INT(($A200-1)/2)+1,CROQUIS_DATOS!$C$1558),2)=1,MOD($A200-1,2),1-MOD($A200-1,2))=1,CROQUIS_DATOS!$C$1476+CROQUIS_DATOS!$C$1528,CROQUIS_DATOS!$C$1476)))*CROQUIS_DATOS!$C$1561*CROQUIS_DATOS!$C$1562),-1000)</f>
        <v>43</v>
      </c>
    </row>
    <row r="201">
      <c r="A201" t="n">
        <v>194</v>
      </c>
      <c r="N201">
        <f>IF(AND(CROQUIS_DATOS!$C$1472=1,1),(CROQUIS_DATOS!$C$1563+(IF(IF(IF(INT(($A201-1)/70)+1&gt;CROQUIS_DATOS!$C$1525,70,MOD($A201-1,70)+1)=1,0,IF(IF(INT(($A201-1)/70)+1&gt;CROQUIS_DATOS!$C$1525,70,MOD($A201-1,70)+1)&gt;2*CROQUIS_DATOS!$C$1541+1,IF(MOD(CROQUIS_DATOS!$C$1541,2)=1,1,0),IF(MOD(MIN(INT((IF(INT(($A201-1)/70)+1&gt;CROQUIS_DATOS!$C$1525,70,MOD($A201-1,70)+1)-2)/2)+1,CROQUIS_DATOS!$C$1541),2)=1,IF(MOD(IF(INT(($A201-1)/70)+1&gt;CROQUIS_DATOS!$C$1525,70,MOD($A201-1,70)+1)-2,2)=0,0,1),IF(MOD(IF(INT(($A201-1)/70)+1&gt;CROQUIS_DATOS!$C$1525,70,MOD($A201-1,70)+1)-2,2)=0,1,0))))=0,(INDEX($E$8:$E$23,MIN(INT(($A201-1)/70)+1,CROQUIS_DATOS!$C$1525))-INDEX($F$8:$F$23,MIN(INT(($A201-1)/70)+1,CROQUIS_DATOS!$C$1525))/2),(INDEX($E$8:$E$23,MIN(INT(($A201-1)/70)+1,CROQUIS_DATOS!$C$1525))+INDEX($F$8:$F$23,MIN(INT(($A201-1)/70)+1,CROQUIS_DATOS!$C$1525))/2)))*CROQUIS_DATOS!$C$1562),-1000)</f>
        <v>33.2413793103448</v>
      </c>
      <c r="O201">
        <f>IF(AND(CROQUIS_DATOS!$C$1472=1,1),(CROQUIS_DATOS!$C$1564+(IF(OR(IF(INT(($A201-1)/70)+1&gt;CROQUIS_DATOS!$C$1525,70,MOD($A201-1,70)+1)=1,IF(INT(($A201-1)/70)+1&gt;CROQUIS_DATOS!$C$1525,70,MOD($A201-1,70)+1)&gt;2*CROQUIS_DATOS!$C$1541+1),CROQUIS_DATOS!$C$1476,INDEX($H$8:$H$41,MIN(INT((IF(INT(($A201-1)/70)+1&gt;CROQUIS_DATOS!$C$1525,70,MOD($A201-1,70)+1)-2)/2)+1,CROQUIS_DATOS!$C$1541))))*CROQUIS_DATOS!$C$1561*CROQUIS_DATOS!$C$1562),-1000)</f>
        <v>40.2068965517241</v>
      </c>
      <c r="P201">
        <f>IF(AND(CROQUIS_DATOS!$C$1472=1,CROQUIS_DATOS!$C$1555=1),(CROQUIS_DATOS!$C$1563+(IF(IF(OR(MOD($A201-1,62)+1=1,IF(CHOOSE(MIN(MAX(MIN(INT(($A201-1)/62)+1,5),1),5),CROQUIS_DATOS!$C$1501,CROQUIS_DATOS!$C$1505,CROQUIS_DATOS!$C$1509,CROQUIS_DATOS!$C$1513,CROQUIS_DATOS!$C$1517)=1,CROQUIS_DATOS!$C$1557,0)=0),0,IF(MOD($A201-1,62)+1&gt;2*IF(CHOOSE(MIN(MAX(MIN(INT(($A201-1)/62)+1,5),1),5),CROQUIS_DATOS!$C$1501,CROQUIS_DATOS!$C$1505,CROQUIS_DATOS!$C$1509,CROQUIS_DATOS!$C$1513,CROQUIS_DATOS!$C$1517)=1,CROQUIS_DATOS!$C$1557,0)+1,IF(MOD(IF(CHOOSE(MIN(MAX(MIN(INT(($A201-1)/62)+1,5),1),5),CROQUIS_DATOS!$C$1501,CROQUIS_DATOS!$C$1505,CROQUIS_DATOS!$C$1509,CROQUIS_DATOS!$C$1513,CROQUIS_DATOS!$C$1517)=1,CROQUIS_DATOS!$C$1557,0),2)=1,1,0),IF(MOD(MIN(INT((MOD($A201-1,62)+1-2)/2)+1,MAX(IF(CHOOSE(MIN(MAX(MIN(INT(($A201-1)/62)+1,5),1),5),CROQUIS_DATOS!$C$1501,CROQUIS_DATOS!$C$1505,CROQUIS_DATOS!$C$1509,CROQUIS_DATOS!$C$1513,CROQUIS_DATOS!$C$1517)=1,CROQUIS_DATOS!$C$1557,0),1)),2)=1,IF(MOD(MOD($A201-1,62)+1-2,2)=0,0,1),IF(MOD(MOD($A201-1,62)+1-2,2)=0,1,0))))=0,(CHOOSE(MIN(MAX(MIN(INT(($A201-1)/62)+1,5),1),5),CROQUIS_DATOS!$C$1499,CROQUIS_DATOS!$C$1503,CROQUIS_DATOS!$C$1507,CROQUIS_DATOS!$C$1511,CROQUIS_DATOS!$C$1515)+IF(CHOOSE(MIN(MAX(MIN(INT(($A201-1)/62)+1,5),1),5),CROQUIS_DATOS!$C$1501,CROQUIS_DATOS!$C$1505,CROQUIS_DATOS!$C$1509,CROQUIS_DATOS!$C$1513,CROQUIS_DATOS!$C$1517)=1,CROQUIS_DATOS!$C$1526,0)),(CHOOSE(MIN(MAX(MIN(INT(($A201-1)/62)+1,5),1),5),CROQUIS_DATOS!$C$1499,CROQUIS_DATOS!$C$1503,CROQUIS_DATOS!$C$1507,CROQUIS_DATOS!$C$1511,CROQUIS_DATOS!$C$1515)+CHOOSE(MIN(MAX(MIN(INT(($A201-1)/62)+1,5),1),5),CROQUIS_DATOS!$C$1500,CROQUIS_DATOS!$C$1504,CROQUIS_DATOS!$C$1508,CROQUIS_DATOS!$C$1512,CROQUIS_DATOS!$C$1516)-IF(CHOOSE(MIN(MAX(MIN(INT(($A201-1)/62)+1,5),1),5),CROQUIS_DATOS!$C$1501,CROQUIS_DATOS!$C$1505,CROQUIS_DATOS!$C$1509,CROQUIS_DATOS!$C$1513,CROQUIS_DATOS!$C$1517)=1,CROQUIS_DATOS!$C$1526,0))))*CROQUIS_DATOS!$C$1562),-1000)</f>
        <v>-1000</v>
      </c>
      <c r="Q201">
        <f>IF(AND(CROQUIS_DATOS!$C$1472=1,CROQUIS_DATOS!$C$1555=1),(CROQUIS_DATOS!$C$1564+(IF(OR(OR(MOD($A201-1,62)+1=1,IF(CHOOSE(MIN(MAX(MIN(INT(($A201-1)/62)+1,5),1),5),CROQUIS_DATOS!$C$1501,CROQUIS_DATOS!$C$1505,CROQUIS_DATOS!$C$1509,CROQUIS_DATOS!$C$1513,CROQUIS_DATOS!$C$1517)=1,CROQUIS_DATOS!$C$1557,0)=0),MOD($A201-1,62)+1&gt;2*IF(CHOOSE(MIN(MAX(MIN(INT(($A201-1)/62)+1,5),1),5),CROQUIS_DATOS!$C$1501,CROQUIS_DATOS!$C$1505,CROQUIS_DATOS!$C$1509,CROQUIS_DATOS!$C$1513,CROQUIS_DATOS!$C$1517)=1,CROQUIS_DATOS!$C$1557,0)+1),CROQUIS_DATOS!$C$1476,MIN(INT((MOD($A201-1,62)+1-2)/2)+1,MAX(IF(CHOOSE(MIN(MAX(MIN(INT(($A201-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1">
        <f>IF(AND(CROQUIS_DATOS!$C$1472=1,1),(CROQUIS_DATOS!$C$1563+(MIN(INT(($A201-1)/2)+1,CROQUIS_DATOS!$C$1558)*CROQUIS_DATOS!$C$1559)*CROQUIS_DATOS!$C$1562),-1000)</f>
        <v>82.2281167108753</v>
      </c>
      <c r="U201">
        <f>IF(AND(CROQUIS_DATOS!$C$1472=1,1),(CROQUIS_DATOS!$C$1564+(IF(INT(($A201-1)/2)+1&gt;CROQUIS_DATOS!$C$1558,IF(MOD(CROQUIS_DATOS!$C$1558,2)=1,CROQUIS_DATOS!$C$1476+CROQUIS_DATOS!$C$1528,CROQUIS_DATOS!$C$1476),IF(IF(MOD(MIN(INT(($A201-1)/2)+1,CROQUIS_DATOS!$C$1558),2)=1,MOD($A201-1,2),1-MOD($A201-1,2))=1,CROQUIS_DATOS!$C$1476+CROQUIS_DATOS!$C$1528,CROQUIS_DATOS!$C$1476)))*CROQUIS_DATOS!$C$1561*CROQUIS_DATOS!$C$1562),-1000)</f>
        <v>43</v>
      </c>
    </row>
    <row r="202">
      <c r="A202" t="n">
        <v>195</v>
      </c>
      <c r="N202">
        <f>IF(AND(CROQUIS_DATOS!$C$1472=1,1),(CROQUIS_DATOS!$C$1563+(IF(IF(IF(INT(($A202-1)/70)+1&gt;CROQUIS_DATOS!$C$1525,70,MOD($A202-1,70)+1)=1,0,IF(IF(INT(($A202-1)/70)+1&gt;CROQUIS_DATOS!$C$1525,70,MOD($A202-1,70)+1)&gt;2*CROQUIS_DATOS!$C$1541+1,IF(MOD(CROQUIS_DATOS!$C$1541,2)=1,1,0),IF(MOD(MIN(INT((IF(INT(($A202-1)/70)+1&gt;CROQUIS_DATOS!$C$1525,70,MOD($A202-1,70)+1)-2)/2)+1,CROQUIS_DATOS!$C$1541),2)=1,IF(MOD(IF(INT(($A202-1)/70)+1&gt;CROQUIS_DATOS!$C$1525,70,MOD($A202-1,70)+1)-2,2)=0,0,1),IF(MOD(IF(INT(($A202-1)/70)+1&gt;CROQUIS_DATOS!$C$1525,70,MOD($A202-1,70)+1)-2,2)=0,1,0))))=0,(INDEX($E$8:$E$23,MIN(INT(($A202-1)/70)+1,CROQUIS_DATOS!$C$1525))-INDEX($F$8:$F$23,MIN(INT(($A202-1)/70)+1,CROQUIS_DATOS!$C$1525))/2),(INDEX($E$8:$E$23,MIN(INT(($A202-1)/70)+1,CROQUIS_DATOS!$C$1525))+INDEX($F$8:$F$23,MIN(INT(($A202-1)/70)+1,CROQUIS_DATOS!$C$1525))/2)))*CROQUIS_DATOS!$C$1562),-1000)</f>
        <v>33.2413793103448</v>
      </c>
      <c r="O202">
        <f>IF(AND(CROQUIS_DATOS!$C$1472=1,1),(CROQUIS_DATOS!$C$1564+(IF(OR(IF(INT(($A202-1)/70)+1&gt;CROQUIS_DATOS!$C$1525,70,MOD($A202-1,70)+1)=1,IF(INT(($A202-1)/70)+1&gt;CROQUIS_DATOS!$C$1525,70,MOD($A202-1,70)+1)&gt;2*CROQUIS_DATOS!$C$1541+1),CROQUIS_DATOS!$C$1476,INDEX($H$8:$H$41,MIN(INT((IF(INT(($A202-1)/70)+1&gt;CROQUIS_DATOS!$C$1525,70,MOD($A202-1,70)+1)-2)/2)+1,CROQUIS_DATOS!$C$1541))))*CROQUIS_DATOS!$C$1561*CROQUIS_DATOS!$C$1562),-1000)</f>
        <v>40.2068965517241</v>
      </c>
      <c r="P202">
        <f>IF(AND(CROQUIS_DATOS!$C$1472=1,CROQUIS_DATOS!$C$1555=1),(CROQUIS_DATOS!$C$1563+(IF(IF(OR(MOD($A202-1,62)+1=1,IF(CHOOSE(MIN(MAX(MIN(INT(($A202-1)/62)+1,5),1),5),CROQUIS_DATOS!$C$1501,CROQUIS_DATOS!$C$1505,CROQUIS_DATOS!$C$1509,CROQUIS_DATOS!$C$1513,CROQUIS_DATOS!$C$1517)=1,CROQUIS_DATOS!$C$1557,0)=0),0,IF(MOD($A202-1,62)+1&gt;2*IF(CHOOSE(MIN(MAX(MIN(INT(($A202-1)/62)+1,5),1),5),CROQUIS_DATOS!$C$1501,CROQUIS_DATOS!$C$1505,CROQUIS_DATOS!$C$1509,CROQUIS_DATOS!$C$1513,CROQUIS_DATOS!$C$1517)=1,CROQUIS_DATOS!$C$1557,0)+1,IF(MOD(IF(CHOOSE(MIN(MAX(MIN(INT(($A202-1)/62)+1,5),1),5),CROQUIS_DATOS!$C$1501,CROQUIS_DATOS!$C$1505,CROQUIS_DATOS!$C$1509,CROQUIS_DATOS!$C$1513,CROQUIS_DATOS!$C$1517)=1,CROQUIS_DATOS!$C$1557,0),2)=1,1,0),IF(MOD(MIN(INT((MOD($A202-1,62)+1-2)/2)+1,MAX(IF(CHOOSE(MIN(MAX(MIN(INT(($A202-1)/62)+1,5),1),5),CROQUIS_DATOS!$C$1501,CROQUIS_DATOS!$C$1505,CROQUIS_DATOS!$C$1509,CROQUIS_DATOS!$C$1513,CROQUIS_DATOS!$C$1517)=1,CROQUIS_DATOS!$C$1557,0),1)),2)=1,IF(MOD(MOD($A202-1,62)+1-2,2)=0,0,1),IF(MOD(MOD($A202-1,62)+1-2,2)=0,1,0))))=0,(CHOOSE(MIN(MAX(MIN(INT(($A202-1)/62)+1,5),1),5),CROQUIS_DATOS!$C$1499,CROQUIS_DATOS!$C$1503,CROQUIS_DATOS!$C$1507,CROQUIS_DATOS!$C$1511,CROQUIS_DATOS!$C$1515)+IF(CHOOSE(MIN(MAX(MIN(INT(($A202-1)/62)+1,5),1),5),CROQUIS_DATOS!$C$1501,CROQUIS_DATOS!$C$1505,CROQUIS_DATOS!$C$1509,CROQUIS_DATOS!$C$1513,CROQUIS_DATOS!$C$1517)=1,CROQUIS_DATOS!$C$1526,0)),(CHOOSE(MIN(MAX(MIN(INT(($A202-1)/62)+1,5),1),5),CROQUIS_DATOS!$C$1499,CROQUIS_DATOS!$C$1503,CROQUIS_DATOS!$C$1507,CROQUIS_DATOS!$C$1511,CROQUIS_DATOS!$C$1515)+CHOOSE(MIN(MAX(MIN(INT(($A202-1)/62)+1,5),1),5),CROQUIS_DATOS!$C$1500,CROQUIS_DATOS!$C$1504,CROQUIS_DATOS!$C$1508,CROQUIS_DATOS!$C$1512,CROQUIS_DATOS!$C$1516)-IF(CHOOSE(MIN(MAX(MIN(INT(($A202-1)/62)+1,5),1),5),CROQUIS_DATOS!$C$1501,CROQUIS_DATOS!$C$1505,CROQUIS_DATOS!$C$1509,CROQUIS_DATOS!$C$1513,CROQUIS_DATOS!$C$1517)=1,CROQUIS_DATOS!$C$1526,0))))*CROQUIS_DATOS!$C$1562),-1000)</f>
        <v>-1000</v>
      </c>
      <c r="Q202">
        <f>IF(AND(CROQUIS_DATOS!$C$1472=1,CROQUIS_DATOS!$C$1555=1),(CROQUIS_DATOS!$C$1564+(IF(OR(OR(MOD($A202-1,62)+1=1,IF(CHOOSE(MIN(MAX(MIN(INT(($A202-1)/62)+1,5),1),5),CROQUIS_DATOS!$C$1501,CROQUIS_DATOS!$C$1505,CROQUIS_DATOS!$C$1509,CROQUIS_DATOS!$C$1513,CROQUIS_DATOS!$C$1517)=1,CROQUIS_DATOS!$C$1557,0)=0),MOD($A202-1,62)+1&gt;2*IF(CHOOSE(MIN(MAX(MIN(INT(($A202-1)/62)+1,5),1),5),CROQUIS_DATOS!$C$1501,CROQUIS_DATOS!$C$1505,CROQUIS_DATOS!$C$1509,CROQUIS_DATOS!$C$1513,CROQUIS_DATOS!$C$1517)=1,CROQUIS_DATOS!$C$1557,0)+1),CROQUIS_DATOS!$C$1476,MIN(INT((MOD($A202-1,62)+1-2)/2)+1,MAX(IF(CHOOSE(MIN(MAX(MIN(INT(($A202-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2">
        <f>IF(AND(CROQUIS_DATOS!$C$1472=1,1),(CROQUIS_DATOS!$C$1563+(MIN(INT(($A202-1)/2)+1,CROQUIS_DATOS!$C$1558)*CROQUIS_DATOS!$C$1559)*CROQUIS_DATOS!$C$1562),-1000)</f>
        <v>82.2281167108753</v>
      </c>
      <c r="U202">
        <f>IF(AND(CROQUIS_DATOS!$C$1472=1,1),(CROQUIS_DATOS!$C$1564+(IF(INT(($A202-1)/2)+1&gt;CROQUIS_DATOS!$C$1558,IF(MOD(CROQUIS_DATOS!$C$1558,2)=1,CROQUIS_DATOS!$C$1476+CROQUIS_DATOS!$C$1528,CROQUIS_DATOS!$C$1476),IF(IF(MOD(MIN(INT(($A202-1)/2)+1,CROQUIS_DATOS!$C$1558),2)=1,MOD($A202-1,2),1-MOD($A202-1,2))=1,CROQUIS_DATOS!$C$1476+CROQUIS_DATOS!$C$1528,CROQUIS_DATOS!$C$1476)))*CROQUIS_DATOS!$C$1561*CROQUIS_DATOS!$C$1562),-1000)</f>
        <v>43</v>
      </c>
    </row>
    <row r="203">
      <c r="A203" t="n">
        <v>196</v>
      </c>
      <c r="N203">
        <f>IF(AND(CROQUIS_DATOS!$C$1472=1,1),(CROQUIS_DATOS!$C$1563+(IF(IF(IF(INT(($A203-1)/70)+1&gt;CROQUIS_DATOS!$C$1525,70,MOD($A203-1,70)+1)=1,0,IF(IF(INT(($A203-1)/70)+1&gt;CROQUIS_DATOS!$C$1525,70,MOD($A203-1,70)+1)&gt;2*CROQUIS_DATOS!$C$1541+1,IF(MOD(CROQUIS_DATOS!$C$1541,2)=1,1,0),IF(MOD(MIN(INT((IF(INT(($A203-1)/70)+1&gt;CROQUIS_DATOS!$C$1525,70,MOD($A203-1,70)+1)-2)/2)+1,CROQUIS_DATOS!$C$1541),2)=1,IF(MOD(IF(INT(($A203-1)/70)+1&gt;CROQUIS_DATOS!$C$1525,70,MOD($A203-1,70)+1)-2,2)=0,0,1),IF(MOD(IF(INT(($A203-1)/70)+1&gt;CROQUIS_DATOS!$C$1525,70,MOD($A203-1,70)+1)-2,2)=0,1,0))))=0,(INDEX($E$8:$E$23,MIN(INT(($A203-1)/70)+1,CROQUIS_DATOS!$C$1525))-INDEX($F$8:$F$23,MIN(INT(($A203-1)/70)+1,CROQUIS_DATOS!$C$1525))/2),(INDEX($E$8:$E$23,MIN(INT(($A203-1)/70)+1,CROQUIS_DATOS!$C$1525))+INDEX($F$8:$F$23,MIN(INT(($A203-1)/70)+1,CROQUIS_DATOS!$C$1525))/2)))*CROQUIS_DATOS!$C$1562),-1000)</f>
        <v>33.2413793103448</v>
      </c>
      <c r="O203">
        <f>IF(AND(CROQUIS_DATOS!$C$1472=1,1),(CROQUIS_DATOS!$C$1564+(IF(OR(IF(INT(($A203-1)/70)+1&gt;CROQUIS_DATOS!$C$1525,70,MOD($A203-1,70)+1)=1,IF(INT(($A203-1)/70)+1&gt;CROQUIS_DATOS!$C$1525,70,MOD($A203-1,70)+1)&gt;2*CROQUIS_DATOS!$C$1541+1),CROQUIS_DATOS!$C$1476,INDEX($H$8:$H$41,MIN(INT((IF(INT(($A203-1)/70)+1&gt;CROQUIS_DATOS!$C$1525,70,MOD($A203-1,70)+1)-2)/2)+1,CROQUIS_DATOS!$C$1541))))*CROQUIS_DATOS!$C$1561*CROQUIS_DATOS!$C$1562),-1000)</f>
        <v>40.2068965517241</v>
      </c>
      <c r="P203">
        <f>IF(AND(CROQUIS_DATOS!$C$1472=1,CROQUIS_DATOS!$C$1555=1),(CROQUIS_DATOS!$C$1563+(IF(IF(OR(MOD($A203-1,62)+1=1,IF(CHOOSE(MIN(MAX(MIN(INT(($A203-1)/62)+1,5),1),5),CROQUIS_DATOS!$C$1501,CROQUIS_DATOS!$C$1505,CROQUIS_DATOS!$C$1509,CROQUIS_DATOS!$C$1513,CROQUIS_DATOS!$C$1517)=1,CROQUIS_DATOS!$C$1557,0)=0),0,IF(MOD($A203-1,62)+1&gt;2*IF(CHOOSE(MIN(MAX(MIN(INT(($A203-1)/62)+1,5),1),5),CROQUIS_DATOS!$C$1501,CROQUIS_DATOS!$C$1505,CROQUIS_DATOS!$C$1509,CROQUIS_DATOS!$C$1513,CROQUIS_DATOS!$C$1517)=1,CROQUIS_DATOS!$C$1557,0)+1,IF(MOD(IF(CHOOSE(MIN(MAX(MIN(INT(($A203-1)/62)+1,5),1),5),CROQUIS_DATOS!$C$1501,CROQUIS_DATOS!$C$1505,CROQUIS_DATOS!$C$1509,CROQUIS_DATOS!$C$1513,CROQUIS_DATOS!$C$1517)=1,CROQUIS_DATOS!$C$1557,0),2)=1,1,0),IF(MOD(MIN(INT((MOD($A203-1,62)+1-2)/2)+1,MAX(IF(CHOOSE(MIN(MAX(MIN(INT(($A203-1)/62)+1,5),1),5),CROQUIS_DATOS!$C$1501,CROQUIS_DATOS!$C$1505,CROQUIS_DATOS!$C$1509,CROQUIS_DATOS!$C$1513,CROQUIS_DATOS!$C$1517)=1,CROQUIS_DATOS!$C$1557,0),1)),2)=1,IF(MOD(MOD($A203-1,62)+1-2,2)=0,0,1),IF(MOD(MOD($A203-1,62)+1-2,2)=0,1,0))))=0,(CHOOSE(MIN(MAX(MIN(INT(($A203-1)/62)+1,5),1),5),CROQUIS_DATOS!$C$1499,CROQUIS_DATOS!$C$1503,CROQUIS_DATOS!$C$1507,CROQUIS_DATOS!$C$1511,CROQUIS_DATOS!$C$1515)+IF(CHOOSE(MIN(MAX(MIN(INT(($A203-1)/62)+1,5),1),5),CROQUIS_DATOS!$C$1501,CROQUIS_DATOS!$C$1505,CROQUIS_DATOS!$C$1509,CROQUIS_DATOS!$C$1513,CROQUIS_DATOS!$C$1517)=1,CROQUIS_DATOS!$C$1526,0)),(CHOOSE(MIN(MAX(MIN(INT(($A203-1)/62)+1,5),1),5),CROQUIS_DATOS!$C$1499,CROQUIS_DATOS!$C$1503,CROQUIS_DATOS!$C$1507,CROQUIS_DATOS!$C$1511,CROQUIS_DATOS!$C$1515)+CHOOSE(MIN(MAX(MIN(INT(($A203-1)/62)+1,5),1),5),CROQUIS_DATOS!$C$1500,CROQUIS_DATOS!$C$1504,CROQUIS_DATOS!$C$1508,CROQUIS_DATOS!$C$1512,CROQUIS_DATOS!$C$1516)-IF(CHOOSE(MIN(MAX(MIN(INT(($A203-1)/62)+1,5),1),5),CROQUIS_DATOS!$C$1501,CROQUIS_DATOS!$C$1505,CROQUIS_DATOS!$C$1509,CROQUIS_DATOS!$C$1513,CROQUIS_DATOS!$C$1517)=1,CROQUIS_DATOS!$C$1526,0))))*CROQUIS_DATOS!$C$1562),-1000)</f>
        <v>-1000</v>
      </c>
      <c r="Q203">
        <f>IF(AND(CROQUIS_DATOS!$C$1472=1,CROQUIS_DATOS!$C$1555=1),(CROQUIS_DATOS!$C$1564+(IF(OR(OR(MOD($A203-1,62)+1=1,IF(CHOOSE(MIN(MAX(MIN(INT(($A203-1)/62)+1,5),1),5),CROQUIS_DATOS!$C$1501,CROQUIS_DATOS!$C$1505,CROQUIS_DATOS!$C$1509,CROQUIS_DATOS!$C$1513,CROQUIS_DATOS!$C$1517)=1,CROQUIS_DATOS!$C$1557,0)=0),MOD($A203-1,62)+1&gt;2*IF(CHOOSE(MIN(MAX(MIN(INT(($A203-1)/62)+1,5),1),5),CROQUIS_DATOS!$C$1501,CROQUIS_DATOS!$C$1505,CROQUIS_DATOS!$C$1509,CROQUIS_DATOS!$C$1513,CROQUIS_DATOS!$C$1517)=1,CROQUIS_DATOS!$C$1557,0)+1),CROQUIS_DATOS!$C$1476,MIN(INT((MOD($A203-1,62)+1-2)/2)+1,MAX(IF(CHOOSE(MIN(MAX(MIN(INT(($A203-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3">
        <f>IF(AND(CROQUIS_DATOS!$C$1472=1,1),(CROQUIS_DATOS!$C$1563+(MIN(INT(($A203-1)/2)+1,CROQUIS_DATOS!$C$1558)*CROQUIS_DATOS!$C$1559)*CROQUIS_DATOS!$C$1562),-1000)</f>
        <v>82.2281167108753</v>
      </c>
      <c r="U203">
        <f>IF(AND(CROQUIS_DATOS!$C$1472=1,1),(CROQUIS_DATOS!$C$1564+(IF(INT(($A203-1)/2)+1&gt;CROQUIS_DATOS!$C$1558,IF(MOD(CROQUIS_DATOS!$C$1558,2)=1,CROQUIS_DATOS!$C$1476+CROQUIS_DATOS!$C$1528,CROQUIS_DATOS!$C$1476),IF(IF(MOD(MIN(INT(($A203-1)/2)+1,CROQUIS_DATOS!$C$1558),2)=1,MOD($A203-1,2),1-MOD($A203-1,2))=1,CROQUIS_DATOS!$C$1476+CROQUIS_DATOS!$C$1528,CROQUIS_DATOS!$C$1476)))*CROQUIS_DATOS!$C$1561*CROQUIS_DATOS!$C$1562),-1000)</f>
        <v>43</v>
      </c>
    </row>
    <row r="204">
      <c r="A204" t="n">
        <v>197</v>
      </c>
      <c r="N204">
        <f>IF(AND(CROQUIS_DATOS!$C$1472=1,1),(CROQUIS_DATOS!$C$1563+(IF(IF(IF(INT(($A204-1)/70)+1&gt;CROQUIS_DATOS!$C$1525,70,MOD($A204-1,70)+1)=1,0,IF(IF(INT(($A204-1)/70)+1&gt;CROQUIS_DATOS!$C$1525,70,MOD($A204-1,70)+1)&gt;2*CROQUIS_DATOS!$C$1541+1,IF(MOD(CROQUIS_DATOS!$C$1541,2)=1,1,0),IF(MOD(MIN(INT((IF(INT(($A204-1)/70)+1&gt;CROQUIS_DATOS!$C$1525,70,MOD($A204-1,70)+1)-2)/2)+1,CROQUIS_DATOS!$C$1541),2)=1,IF(MOD(IF(INT(($A204-1)/70)+1&gt;CROQUIS_DATOS!$C$1525,70,MOD($A204-1,70)+1)-2,2)=0,0,1),IF(MOD(IF(INT(($A204-1)/70)+1&gt;CROQUIS_DATOS!$C$1525,70,MOD($A204-1,70)+1)-2,2)=0,1,0))))=0,(INDEX($E$8:$E$23,MIN(INT(($A204-1)/70)+1,CROQUIS_DATOS!$C$1525))-INDEX($F$8:$F$23,MIN(INT(($A204-1)/70)+1,CROQUIS_DATOS!$C$1525))/2),(INDEX($E$8:$E$23,MIN(INT(($A204-1)/70)+1,CROQUIS_DATOS!$C$1525))+INDEX($F$8:$F$23,MIN(INT(($A204-1)/70)+1,CROQUIS_DATOS!$C$1525))/2)))*CROQUIS_DATOS!$C$1562),-1000)</f>
        <v>33.2413793103448</v>
      </c>
      <c r="O204">
        <f>IF(AND(CROQUIS_DATOS!$C$1472=1,1),(CROQUIS_DATOS!$C$1564+(IF(OR(IF(INT(($A204-1)/70)+1&gt;CROQUIS_DATOS!$C$1525,70,MOD($A204-1,70)+1)=1,IF(INT(($A204-1)/70)+1&gt;CROQUIS_DATOS!$C$1525,70,MOD($A204-1,70)+1)&gt;2*CROQUIS_DATOS!$C$1541+1),CROQUIS_DATOS!$C$1476,INDEX($H$8:$H$41,MIN(INT((IF(INT(($A204-1)/70)+1&gt;CROQUIS_DATOS!$C$1525,70,MOD($A204-1,70)+1)-2)/2)+1,CROQUIS_DATOS!$C$1541))))*CROQUIS_DATOS!$C$1561*CROQUIS_DATOS!$C$1562),-1000)</f>
        <v>40.2068965517241</v>
      </c>
      <c r="P204">
        <f>IF(AND(CROQUIS_DATOS!$C$1472=1,CROQUIS_DATOS!$C$1555=1),(CROQUIS_DATOS!$C$1563+(IF(IF(OR(MOD($A204-1,62)+1=1,IF(CHOOSE(MIN(MAX(MIN(INT(($A204-1)/62)+1,5),1),5),CROQUIS_DATOS!$C$1501,CROQUIS_DATOS!$C$1505,CROQUIS_DATOS!$C$1509,CROQUIS_DATOS!$C$1513,CROQUIS_DATOS!$C$1517)=1,CROQUIS_DATOS!$C$1557,0)=0),0,IF(MOD($A204-1,62)+1&gt;2*IF(CHOOSE(MIN(MAX(MIN(INT(($A204-1)/62)+1,5),1),5),CROQUIS_DATOS!$C$1501,CROQUIS_DATOS!$C$1505,CROQUIS_DATOS!$C$1509,CROQUIS_DATOS!$C$1513,CROQUIS_DATOS!$C$1517)=1,CROQUIS_DATOS!$C$1557,0)+1,IF(MOD(IF(CHOOSE(MIN(MAX(MIN(INT(($A204-1)/62)+1,5),1),5),CROQUIS_DATOS!$C$1501,CROQUIS_DATOS!$C$1505,CROQUIS_DATOS!$C$1509,CROQUIS_DATOS!$C$1513,CROQUIS_DATOS!$C$1517)=1,CROQUIS_DATOS!$C$1557,0),2)=1,1,0),IF(MOD(MIN(INT((MOD($A204-1,62)+1-2)/2)+1,MAX(IF(CHOOSE(MIN(MAX(MIN(INT(($A204-1)/62)+1,5),1),5),CROQUIS_DATOS!$C$1501,CROQUIS_DATOS!$C$1505,CROQUIS_DATOS!$C$1509,CROQUIS_DATOS!$C$1513,CROQUIS_DATOS!$C$1517)=1,CROQUIS_DATOS!$C$1557,0),1)),2)=1,IF(MOD(MOD($A204-1,62)+1-2,2)=0,0,1),IF(MOD(MOD($A204-1,62)+1-2,2)=0,1,0))))=0,(CHOOSE(MIN(MAX(MIN(INT(($A204-1)/62)+1,5),1),5),CROQUIS_DATOS!$C$1499,CROQUIS_DATOS!$C$1503,CROQUIS_DATOS!$C$1507,CROQUIS_DATOS!$C$1511,CROQUIS_DATOS!$C$1515)+IF(CHOOSE(MIN(MAX(MIN(INT(($A204-1)/62)+1,5),1),5),CROQUIS_DATOS!$C$1501,CROQUIS_DATOS!$C$1505,CROQUIS_DATOS!$C$1509,CROQUIS_DATOS!$C$1513,CROQUIS_DATOS!$C$1517)=1,CROQUIS_DATOS!$C$1526,0)),(CHOOSE(MIN(MAX(MIN(INT(($A204-1)/62)+1,5),1),5),CROQUIS_DATOS!$C$1499,CROQUIS_DATOS!$C$1503,CROQUIS_DATOS!$C$1507,CROQUIS_DATOS!$C$1511,CROQUIS_DATOS!$C$1515)+CHOOSE(MIN(MAX(MIN(INT(($A204-1)/62)+1,5),1),5),CROQUIS_DATOS!$C$1500,CROQUIS_DATOS!$C$1504,CROQUIS_DATOS!$C$1508,CROQUIS_DATOS!$C$1512,CROQUIS_DATOS!$C$1516)-IF(CHOOSE(MIN(MAX(MIN(INT(($A204-1)/62)+1,5),1),5),CROQUIS_DATOS!$C$1501,CROQUIS_DATOS!$C$1505,CROQUIS_DATOS!$C$1509,CROQUIS_DATOS!$C$1513,CROQUIS_DATOS!$C$1517)=1,CROQUIS_DATOS!$C$1526,0))))*CROQUIS_DATOS!$C$1562),-1000)</f>
        <v>-1000</v>
      </c>
      <c r="Q204">
        <f>IF(AND(CROQUIS_DATOS!$C$1472=1,CROQUIS_DATOS!$C$1555=1),(CROQUIS_DATOS!$C$1564+(IF(OR(OR(MOD($A204-1,62)+1=1,IF(CHOOSE(MIN(MAX(MIN(INT(($A204-1)/62)+1,5),1),5),CROQUIS_DATOS!$C$1501,CROQUIS_DATOS!$C$1505,CROQUIS_DATOS!$C$1509,CROQUIS_DATOS!$C$1513,CROQUIS_DATOS!$C$1517)=1,CROQUIS_DATOS!$C$1557,0)=0),MOD($A204-1,62)+1&gt;2*IF(CHOOSE(MIN(MAX(MIN(INT(($A204-1)/62)+1,5),1),5),CROQUIS_DATOS!$C$1501,CROQUIS_DATOS!$C$1505,CROQUIS_DATOS!$C$1509,CROQUIS_DATOS!$C$1513,CROQUIS_DATOS!$C$1517)=1,CROQUIS_DATOS!$C$1557,0)+1),CROQUIS_DATOS!$C$1476,MIN(INT((MOD($A204-1,62)+1-2)/2)+1,MAX(IF(CHOOSE(MIN(MAX(MIN(INT(($A204-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4">
        <f>IF(AND(CROQUIS_DATOS!$C$1472=1,1),(CROQUIS_DATOS!$C$1563+(MIN(INT(($A204-1)/2)+1,CROQUIS_DATOS!$C$1558)*CROQUIS_DATOS!$C$1559)*CROQUIS_DATOS!$C$1562),-1000)</f>
        <v>82.2281167108753</v>
      </c>
      <c r="U204">
        <f>IF(AND(CROQUIS_DATOS!$C$1472=1,1),(CROQUIS_DATOS!$C$1564+(IF(INT(($A204-1)/2)+1&gt;CROQUIS_DATOS!$C$1558,IF(MOD(CROQUIS_DATOS!$C$1558,2)=1,CROQUIS_DATOS!$C$1476+CROQUIS_DATOS!$C$1528,CROQUIS_DATOS!$C$1476),IF(IF(MOD(MIN(INT(($A204-1)/2)+1,CROQUIS_DATOS!$C$1558),2)=1,MOD($A204-1,2),1-MOD($A204-1,2))=1,CROQUIS_DATOS!$C$1476+CROQUIS_DATOS!$C$1528,CROQUIS_DATOS!$C$1476)))*CROQUIS_DATOS!$C$1561*CROQUIS_DATOS!$C$1562),-1000)</f>
        <v>43</v>
      </c>
    </row>
    <row r="205">
      <c r="A205" t="n">
        <v>198</v>
      </c>
      <c r="N205">
        <f>IF(AND(CROQUIS_DATOS!$C$1472=1,1),(CROQUIS_DATOS!$C$1563+(IF(IF(IF(INT(($A205-1)/70)+1&gt;CROQUIS_DATOS!$C$1525,70,MOD($A205-1,70)+1)=1,0,IF(IF(INT(($A205-1)/70)+1&gt;CROQUIS_DATOS!$C$1525,70,MOD($A205-1,70)+1)&gt;2*CROQUIS_DATOS!$C$1541+1,IF(MOD(CROQUIS_DATOS!$C$1541,2)=1,1,0),IF(MOD(MIN(INT((IF(INT(($A205-1)/70)+1&gt;CROQUIS_DATOS!$C$1525,70,MOD($A205-1,70)+1)-2)/2)+1,CROQUIS_DATOS!$C$1541),2)=1,IF(MOD(IF(INT(($A205-1)/70)+1&gt;CROQUIS_DATOS!$C$1525,70,MOD($A205-1,70)+1)-2,2)=0,0,1),IF(MOD(IF(INT(($A205-1)/70)+1&gt;CROQUIS_DATOS!$C$1525,70,MOD($A205-1,70)+1)-2,2)=0,1,0))))=0,(INDEX($E$8:$E$23,MIN(INT(($A205-1)/70)+1,CROQUIS_DATOS!$C$1525))-INDEX($F$8:$F$23,MIN(INT(($A205-1)/70)+1,CROQUIS_DATOS!$C$1525))/2),(INDEX($E$8:$E$23,MIN(INT(($A205-1)/70)+1,CROQUIS_DATOS!$C$1525))+INDEX($F$8:$F$23,MIN(INT(($A205-1)/70)+1,CROQUIS_DATOS!$C$1525))/2)))*CROQUIS_DATOS!$C$1562),-1000)</f>
        <v>33.2413793103448</v>
      </c>
      <c r="O205">
        <f>IF(AND(CROQUIS_DATOS!$C$1472=1,1),(CROQUIS_DATOS!$C$1564+(IF(OR(IF(INT(($A205-1)/70)+1&gt;CROQUIS_DATOS!$C$1525,70,MOD($A205-1,70)+1)=1,IF(INT(($A205-1)/70)+1&gt;CROQUIS_DATOS!$C$1525,70,MOD($A205-1,70)+1)&gt;2*CROQUIS_DATOS!$C$1541+1),CROQUIS_DATOS!$C$1476,INDEX($H$8:$H$41,MIN(INT((IF(INT(($A205-1)/70)+1&gt;CROQUIS_DATOS!$C$1525,70,MOD($A205-1,70)+1)-2)/2)+1,CROQUIS_DATOS!$C$1541))))*CROQUIS_DATOS!$C$1561*CROQUIS_DATOS!$C$1562),-1000)</f>
        <v>40.2068965517241</v>
      </c>
      <c r="P205">
        <f>IF(AND(CROQUIS_DATOS!$C$1472=1,CROQUIS_DATOS!$C$1555=1),(CROQUIS_DATOS!$C$1563+(IF(IF(OR(MOD($A205-1,62)+1=1,IF(CHOOSE(MIN(MAX(MIN(INT(($A205-1)/62)+1,5),1),5),CROQUIS_DATOS!$C$1501,CROQUIS_DATOS!$C$1505,CROQUIS_DATOS!$C$1509,CROQUIS_DATOS!$C$1513,CROQUIS_DATOS!$C$1517)=1,CROQUIS_DATOS!$C$1557,0)=0),0,IF(MOD($A205-1,62)+1&gt;2*IF(CHOOSE(MIN(MAX(MIN(INT(($A205-1)/62)+1,5),1),5),CROQUIS_DATOS!$C$1501,CROQUIS_DATOS!$C$1505,CROQUIS_DATOS!$C$1509,CROQUIS_DATOS!$C$1513,CROQUIS_DATOS!$C$1517)=1,CROQUIS_DATOS!$C$1557,0)+1,IF(MOD(IF(CHOOSE(MIN(MAX(MIN(INT(($A205-1)/62)+1,5),1),5),CROQUIS_DATOS!$C$1501,CROQUIS_DATOS!$C$1505,CROQUIS_DATOS!$C$1509,CROQUIS_DATOS!$C$1513,CROQUIS_DATOS!$C$1517)=1,CROQUIS_DATOS!$C$1557,0),2)=1,1,0),IF(MOD(MIN(INT((MOD($A205-1,62)+1-2)/2)+1,MAX(IF(CHOOSE(MIN(MAX(MIN(INT(($A205-1)/62)+1,5),1),5),CROQUIS_DATOS!$C$1501,CROQUIS_DATOS!$C$1505,CROQUIS_DATOS!$C$1509,CROQUIS_DATOS!$C$1513,CROQUIS_DATOS!$C$1517)=1,CROQUIS_DATOS!$C$1557,0),1)),2)=1,IF(MOD(MOD($A205-1,62)+1-2,2)=0,0,1),IF(MOD(MOD($A205-1,62)+1-2,2)=0,1,0))))=0,(CHOOSE(MIN(MAX(MIN(INT(($A205-1)/62)+1,5),1),5),CROQUIS_DATOS!$C$1499,CROQUIS_DATOS!$C$1503,CROQUIS_DATOS!$C$1507,CROQUIS_DATOS!$C$1511,CROQUIS_DATOS!$C$1515)+IF(CHOOSE(MIN(MAX(MIN(INT(($A205-1)/62)+1,5),1),5),CROQUIS_DATOS!$C$1501,CROQUIS_DATOS!$C$1505,CROQUIS_DATOS!$C$1509,CROQUIS_DATOS!$C$1513,CROQUIS_DATOS!$C$1517)=1,CROQUIS_DATOS!$C$1526,0)),(CHOOSE(MIN(MAX(MIN(INT(($A205-1)/62)+1,5),1),5),CROQUIS_DATOS!$C$1499,CROQUIS_DATOS!$C$1503,CROQUIS_DATOS!$C$1507,CROQUIS_DATOS!$C$1511,CROQUIS_DATOS!$C$1515)+CHOOSE(MIN(MAX(MIN(INT(($A205-1)/62)+1,5),1),5),CROQUIS_DATOS!$C$1500,CROQUIS_DATOS!$C$1504,CROQUIS_DATOS!$C$1508,CROQUIS_DATOS!$C$1512,CROQUIS_DATOS!$C$1516)-IF(CHOOSE(MIN(MAX(MIN(INT(($A205-1)/62)+1,5),1),5),CROQUIS_DATOS!$C$1501,CROQUIS_DATOS!$C$1505,CROQUIS_DATOS!$C$1509,CROQUIS_DATOS!$C$1513,CROQUIS_DATOS!$C$1517)=1,CROQUIS_DATOS!$C$1526,0))))*CROQUIS_DATOS!$C$1562),-1000)</f>
        <v>-1000</v>
      </c>
      <c r="Q205">
        <f>IF(AND(CROQUIS_DATOS!$C$1472=1,CROQUIS_DATOS!$C$1555=1),(CROQUIS_DATOS!$C$1564+(IF(OR(OR(MOD($A205-1,62)+1=1,IF(CHOOSE(MIN(MAX(MIN(INT(($A205-1)/62)+1,5),1),5),CROQUIS_DATOS!$C$1501,CROQUIS_DATOS!$C$1505,CROQUIS_DATOS!$C$1509,CROQUIS_DATOS!$C$1513,CROQUIS_DATOS!$C$1517)=1,CROQUIS_DATOS!$C$1557,0)=0),MOD($A205-1,62)+1&gt;2*IF(CHOOSE(MIN(MAX(MIN(INT(($A205-1)/62)+1,5),1),5),CROQUIS_DATOS!$C$1501,CROQUIS_DATOS!$C$1505,CROQUIS_DATOS!$C$1509,CROQUIS_DATOS!$C$1513,CROQUIS_DATOS!$C$1517)=1,CROQUIS_DATOS!$C$1557,0)+1),CROQUIS_DATOS!$C$1476,MIN(INT((MOD($A205-1,62)+1-2)/2)+1,MAX(IF(CHOOSE(MIN(MAX(MIN(INT(($A205-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5">
        <f>IF(AND(CROQUIS_DATOS!$C$1472=1,1),(CROQUIS_DATOS!$C$1563+(MIN(INT(($A205-1)/2)+1,CROQUIS_DATOS!$C$1558)*CROQUIS_DATOS!$C$1559)*CROQUIS_DATOS!$C$1562),-1000)</f>
        <v>82.2281167108753</v>
      </c>
      <c r="U205">
        <f>IF(AND(CROQUIS_DATOS!$C$1472=1,1),(CROQUIS_DATOS!$C$1564+(IF(INT(($A205-1)/2)+1&gt;CROQUIS_DATOS!$C$1558,IF(MOD(CROQUIS_DATOS!$C$1558,2)=1,CROQUIS_DATOS!$C$1476+CROQUIS_DATOS!$C$1528,CROQUIS_DATOS!$C$1476),IF(IF(MOD(MIN(INT(($A205-1)/2)+1,CROQUIS_DATOS!$C$1558),2)=1,MOD($A205-1,2),1-MOD($A205-1,2))=1,CROQUIS_DATOS!$C$1476+CROQUIS_DATOS!$C$1528,CROQUIS_DATOS!$C$1476)))*CROQUIS_DATOS!$C$1561*CROQUIS_DATOS!$C$1562),-1000)</f>
        <v>43</v>
      </c>
    </row>
    <row r="206">
      <c r="A206" t="n">
        <v>199</v>
      </c>
      <c r="N206">
        <f>IF(AND(CROQUIS_DATOS!$C$1472=1,1),(CROQUIS_DATOS!$C$1563+(IF(IF(IF(INT(($A206-1)/70)+1&gt;CROQUIS_DATOS!$C$1525,70,MOD($A206-1,70)+1)=1,0,IF(IF(INT(($A206-1)/70)+1&gt;CROQUIS_DATOS!$C$1525,70,MOD($A206-1,70)+1)&gt;2*CROQUIS_DATOS!$C$1541+1,IF(MOD(CROQUIS_DATOS!$C$1541,2)=1,1,0),IF(MOD(MIN(INT((IF(INT(($A206-1)/70)+1&gt;CROQUIS_DATOS!$C$1525,70,MOD($A206-1,70)+1)-2)/2)+1,CROQUIS_DATOS!$C$1541),2)=1,IF(MOD(IF(INT(($A206-1)/70)+1&gt;CROQUIS_DATOS!$C$1525,70,MOD($A206-1,70)+1)-2,2)=0,0,1),IF(MOD(IF(INT(($A206-1)/70)+1&gt;CROQUIS_DATOS!$C$1525,70,MOD($A206-1,70)+1)-2,2)=0,1,0))))=0,(INDEX($E$8:$E$23,MIN(INT(($A206-1)/70)+1,CROQUIS_DATOS!$C$1525))-INDEX($F$8:$F$23,MIN(INT(($A206-1)/70)+1,CROQUIS_DATOS!$C$1525))/2),(INDEX($E$8:$E$23,MIN(INT(($A206-1)/70)+1,CROQUIS_DATOS!$C$1525))+INDEX($F$8:$F$23,MIN(INT(($A206-1)/70)+1,CROQUIS_DATOS!$C$1525))/2)))*CROQUIS_DATOS!$C$1562),-1000)</f>
        <v>33.2413793103448</v>
      </c>
      <c r="O206">
        <f>IF(AND(CROQUIS_DATOS!$C$1472=1,1),(CROQUIS_DATOS!$C$1564+(IF(OR(IF(INT(($A206-1)/70)+1&gt;CROQUIS_DATOS!$C$1525,70,MOD($A206-1,70)+1)=1,IF(INT(($A206-1)/70)+1&gt;CROQUIS_DATOS!$C$1525,70,MOD($A206-1,70)+1)&gt;2*CROQUIS_DATOS!$C$1541+1),CROQUIS_DATOS!$C$1476,INDEX($H$8:$H$41,MIN(INT((IF(INT(($A206-1)/70)+1&gt;CROQUIS_DATOS!$C$1525,70,MOD($A206-1,70)+1)-2)/2)+1,CROQUIS_DATOS!$C$1541))))*CROQUIS_DATOS!$C$1561*CROQUIS_DATOS!$C$1562),-1000)</f>
        <v>40.2068965517241</v>
      </c>
      <c r="P206">
        <f>IF(AND(CROQUIS_DATOS!$C$1472=1,CROQUIS_DATOS!$C$1555=1),(CROQUIS_DATOS!$C$1563+(IF(IF(OR(MOD($A206-1,62)+1=1,IF(CHOOSE(MIN(MAX(MIN(INT(($A206-1)/62)+1,5),1),5),CROQUIS_DATOS!$C$1501,CROQUIS_DATOS!$C$1505,CROQUIS_DATOS!$C$1509,CROQUIS_DATOS!$C$1513,CROQUIS_DATOS!$C$1517)=1,CROQUIS_DATOS!$C$1557,0)=0),0,IF(MOD($A206-1,62)+1&gt;2*IF(CHOOSE(MIN(MAX(MIN(INT(($A206-1)/62)+1,5),1),5),CROQUIS_DATOS!$C$1501,CROQUIS_DATOS!$C$1505,CROQUIS_DATOS!$C$1509,CROQUIS_DATOS!$C$1513,CROQUIS_DATOS!$C$1517)=1,CROQUIS_DATOS!$C$1557,0)+1,IF(MOD(IF(CHOOSE(MIN(MAX(MIN(INT(($A206-1)/62)+1,5),1),5),CROQUIS_DATOS!$C$1501,CROQUIS_DATOS!$C$1505,CROQUIS_DATOS!$C$1509,CROQUIS_DATOS!$C$1513,CROQUIS_DATOS!$C$1517)=1,CROQUIS_DATOS!$C$1557,0),2)=1,1,0),IF(MOD(MIN(INT((MOD($A206-1,62)+1-2)/2)+1,MAX(IF(CHOOSE(MIN(MAX(MIN(INT(($A206-1)/62)+1,5),1),5),CROQUIS_DATOS!$C$1501,CROQUIS_DATOS!$C$1505,CROQUIS_DATOS!$C$1509,CROQUIS_DATOS!$C$1513,CROQUIS_DATOS!$C$1517)=1,CROQUIS_DATOS!$C$1557,0),1)),2)=1,IF(MOD(MOD($A206-1,62)+1-2,2)=0,0,1),IF(MOD(MOD($A206-1,62)+1-2,2)=0,1,0))))=0,(CHOOSE(MIN(MAX(MIN(INT(($A206-1)/62)+1,5),1),5),CROQUIS_DATOS!$C$1499,CROQUIS_DATOS!$C$1503,CROQUIS_DATOS!$C$1507,CROQUIS_DATOS!$C$1511,CROQUIS_DATOS!$C$1515)+IF(CHOOSE(MIN(MAX(MIN(INT(($A206-1)/62)+1,5),1),5),CROQUIS_DATOS!$C$1501,CROQUIS_DATOS!$C$1505,CROQUIS_DATOS!$C$1509,CROQUIS_DATOS!$C$1513,CROQUIS_DATOS!$C$1517)=1,CROQUIS_DATOS!$C$1526,0)),(CHOOSE(MIN(MAX(MIN(INT(($A206-1)/62)+1,5),1),5),CROQUIS_DATOS!$C$1499,CROQUIS_DATOS!$C$1503,CROQUIS_DATOS!$C$1507,CROQUIS_DATOS!$C$1511,CROQUIS_DATOS!$C$1515)+CHOOSE(MIN(MAX(MIN(INT(($A206-1)/62)+1,5),1),5),CROQUIS_DATOS!$C$1500,CROQUIS_DATOS!$C$1504,CROQUIS_DATOS!$C$1508,CROQUIS_DATOS!$C$1512,CROQUIS_DATOS!$C$1516)-IF(CHOOSE(MIN(MAX(MIN(INT(($A206-1)/62)+1,5),1),5),CROQUIS_DATOS!$C$1501,CROQUIS_DATOS!$C$1505,CROQUIS_DATOS!$C$1509,CROQUIS_DATOS!$C$1513,CROQUIS_DATOS!$C$1517)=1,CROQUIS_DATOS!$C$1526,0))))*CROQUIS_DATOS!$C$1562),-1000)</f>
        <v>-1000</v>
      </c>
      <c r="Q206">
        <f>IF(AND(CROQUIS_DATOS!$C$1472=1,CROQUIS_DATOS!$C$1555=1),(CROQUIS_DATOS!$C$1564+(IF(OR(OR(MOD($A206-1,62)+1=1,IF(CHOOSE(MIN(MAX(MIN(INT(($A206-1)/62)+1,5),1),5),CROQUIS_DATOS!$C$1501,CROQUIS_DATOS!$C$1505,CROQUIS_DATOS!$C$1509,CROQUIS_DATOS!$C$1513,CROQUIS_DATOS!$C$1517)=1,CROQUIS_DATOS!$C$1557,0)=0),MOD($A206-1,62)+1&gt;2*IF(CHOOSE(MIN(MAX(MIN(INT(($A206-1)/62)+1,5),1),5),CROQUIS_DATOS!$C$1501,CROQUIS_DATOS!$C$1505,CROQUIS_DATOS!$C$1509,CROQUIS_DATOS!$C$1513,CROQUIS_DATOS!$C$1517)=1,CROQUIS_DATOS!$C$1557,0)+1),CROQUIS_DATOS!$C$1476,MIN(INT((MOD($A206-1,62)+1-2)/2)+1,MAX(IF(CHOOSE(MIN(MAX(MIN(INT(($A206-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6">
        <f>IF(AND(CROQUIS_DATOS!$C$1472=1,1),(CROQUIS_DATOS!$C$1563+(MIN(INT(($A206-1)/2)+1,CROQUIS_DATOS!$C$1558)*CROQUIS_DATOS!$C$1559)*CROQUIS_DATOS!$C$1562),-1000)</f>
        <v>82.2281167108753</v>
      </c>
      <c r="U206">
        <f>IF(AND(CROQUIS_DATOS!$C$1472=1,1),(CROQUIS_DATOS!$C$1564+(IF(INT(($A206-1)/2)+1&gt;CROQUIS_DATOS!$C$1558,IF(MOD(CROQUIS_DATOS!$C$1558,2)=1,CROQUIS_DATOS!$C$1476+CROQUIS_DATOS!$C$1528,CROQUIS_DATOS!$C$1476),IF(IF(MOD(MIN(INT(($A206-1)/2)+1,CROQUIS_DATOS!$C$1558),2)=1,MOD($A206-1,2),1-MOD($A206-1,2))=1,CROQUIS_DATOS!$C$1476+CROQUIS_DATOS!$C$1528,CROQUIS_DATOS!$C$1476)))*CROQUIS_DATOS!$C$1561*CROQUIS_DATOS!$C$1562),-1000)</f>
        <v>43</v>
      </c>
    </row>
    <row r="207">
      <c r="A207" t="n">
        <v>200</v>
      </c>
      <c r="N207">
        <f>IF(AND(CROQUIS_DATOS!$C$1472=1,1),(CROQUIS_DATOS!$C$1563+(IF(IF(IF(INT(($A207-1)/70)+1&gt;CROQUIS_DATOS!$C$1525,70,MOD($A207-1,70)+1)=1,0,IF(IF(INT(($A207-1)/70)+1&gt;CROQUIS_DATOS!$C$1525,70,MOD($A207-1,70)+1)&gt;2*CROQUIS_DATOS!$C$1541+1,IF(MOD(CROQUIS_DATOS!$C$1541,2)=1,1,0),IF(MOD(MIN(INT((IF(INT(($A207-1)/70)+1&gt;CROQUIS_DATOS!$C$1525,70,MOD($A207-1,70)+1)-2)/2)+1,CROQUIS_DATOS!$C$1541),2)=1,IF(MOD(IF(INT(($A207-1)/70)+1&gt;CROQUIS_DATOS!$C$1525,70,MOD($A207-1,70)+1)-2,2)=0,0,1),IF(MOD(IF(INT(($A207-1)/70)+1&gt;CROQUIS_DATOS!$C$1525,70,MOD($A207-1,70)+1)-2,2)=0,1,0))))=0,(INDEX($E$8:$E$23,MIN(INT(($A207-1)/70)+1,CROQUIS_DATOS!$C$1525))-INDEX($F$8:$F$23,MIN(INT(($A207-1)/70)+1,CROQUIS_DATOS!$C$1525))/2),(INDEX($E$8:$E$23,MIN(INT(($A207-1)/70)+1,CROQUIS_DATOS!$C$1525))+INDEX($F$8:$F$23,MIN(INT(($A207-1)/70)+1,CROQUIS_DATOS!$C$1525))/2)))*CROQUIS_DATOS!$C$1562),-1000)</f>
        <v>33.2413793103448</v>
      </c>
      <c r="O207">
        <f>IF(AND(CROQUIS_DATOS!$C$1472=1,1),(CROQUIS_DATOS!$C$1564+(IF(OR(IF(INT(($A207-1)/70)+1&gt;CROQUIS_DATOS!$C$1525,70,MOD($A207-1,70)+1)=1,IF(INT(($A207-1)/70)+1&gt;CROQUIS_DATOS!$C$1525,70,MOD($A207-1,70)+1)&gt;2*CROQUIS_DATOS!$C$1541+1),CROQUIS_DATOS!$C$1476,INDEX($H$8:$H$41,MIN(INT((IF(INT(($A207-1)/70)+1&gt;CROQUIS_DATOS!$C$1525,70,MOD($A207-1,70)+1)-2)/2)+1,CROQUIS_DATOS!$C$1541))))*CROQUIS_DATOS!$C$1561*CROQUIS_DATOS!$C$1562),-1000)</f>
        <v>40.2068965517241</v>
      </c>
      <c r="P207">
        <f>IF(AND(CROQUIS_DATOS!$C$1472=1,CROQUIS_DATOS!$C$1555=1),(CROQUIS_DATOS!$C$1563+(IF(IF(OR(MOD($A207-1,62)+1=1,IF(CHOOSE(MIN(MAX(MIN(INT(($A207-1)/62)+1,5),1),5),CROQUIS_DATOS!$C$1501,CROQUIS_DATOS!$C$1505,CROQUIS_DATOS!$C$1509,CROQUIS_DATOS!$C$1513,CROQUIS_DATOS!$C$1517)=1,CROQUIS_DATOS!$C$1557,0)=0),0,IF(MOD($A207-1,62)+1&gt;2*IF(CHOOSE(MIN(MAX(MIN(INT(($A207-1)/62)+1,5),1),5),CROQUIS_DATOS!$C$1501,CROQUIS_DATOS!$C$1505,CROQUIS_DATOS!$C$1509,CROQUIS_DATOS!$C$1513,CROQUIS_DATOS!$C$1517)=1,CROQUIS_DATOS!$C$1557,0)+1,IF(MOD(IF(CHOOSE(MIN(MAX(MIN(INT(($A207-1)/62)+1,5),1),5),CROQUIS_DATOS!$C$1501,CROQUIS_DATOS!$C$1505,CROQUIS_DATOS!$C$1509,CROQUIS_DATOS!$C$1513,CROQUIS_DATOS!$C$1517)=1,CROQUIS_DATOS!$C$1557,0),2)=1,1,0),IF(MOD(MIN(INT((MOD($A207-1,62)+1-2)/2)+1,MAX(IF(CHOOSE(MIN(MAX(MIN(INT(($A207-1)/62)+1,5),1),5),CROQUIS_DATOS!$C$1501,CROQUIS_DATOS!$C$1505,CROQUIS_DATOS!$C$1509,CROQUIS_DATOS!$C$1513,CROQUIS_DATOS!$C$1517)=1,CROQUIS_DATOS!$C$1557,0),1)),2)=1,IF(MOD(MOD($A207-1,62)+1-2,2)=0,0,1),IF(MOD(MOD($A207-1,62)+1-2,2)=0,1,0))))=0,(CHOOSE(MIN(MAX(MIN(INT(($A207-1)/62)+1,5),1),5),CROQUIS_DATOS!$C$1499,CROQUIS_DATOS!$C$1503,CROQUIS_DATOS!$C$1507,CROQUIS_DATOS!$C$1511,CROQUIS_DATOS!$C$1515)+IF(CHOOSE(MIN(MAX(MIN(INT(($A207-1)/62)+1,5),1),5),CROQUIS_DATOS!$C$1501,CROQUIS_DATOS!$C$1505,CROQUIS_DATOS!$C$1509,CROQUIS_DATOS!$C$1513,CROQUIS_DATOS!$C$1517)=1,CROQUIS_DATOS!$C$1526,0)),(CHOOSE(MIN(MAX(MIN(INT(($A207-1)/62)+1,5),1),5),CROQUIS_DATOS!$C$1499,CROQUIS_DATOS!$C$1503,CROQUIS_DATOS!$C$1507,CROQUIS_DATOS!$C$1511,CROQUIS_DATOS!$C$1515)+CHOOSE(MIN(MAX(MIN(INT(($A207-1)/62)+1,5),1),5),CROQUIS_DATOS!$C$1500,CROQUIS_DATOS!$C$1504,CROQUIS_DATOS!$C$1508,CROQUIS_DATOS!$C$1512,CROQUIS_DATOS!$C$1516)-IF(CHOOSE(MIN(MAX(MIN(INT(($A207-1)/62)+1,5),1),5),CROQUIS_DATOS!$C$1501,CROQUIS_DATOS!$C$1505,CROQUIS_DATOS!$C$1509,CROQUIS_DATOS!$C$1513,CROQUIS_DATOS!$C$1517)=1,CROQUIS_DATOS!$C$1526,0))))*CROQUIS_DATOS!$C$1562),-1000)</f>
        <v>-1000</v>
      </c>
      <c r="Q207">
        <f>IF(AND(CROQUIS_DATOS!$C$1472=1,CROQUIS_DATOS!$C$1555=1),(CROQUIS_DATOS!$C$1564+(IF(OR(OR(MOD($A207-1,62)+1=1,IF(CHOOSE(MIN(MAX(MIN(INT(($A207-1)/62)+1,5),1),5),CROQUIS_DATOS!$C$1501,CROQUIS_DATOS!$C$1505,CROQUIS_DATOS!$C$1509,CROQUIS_DATOS!$C$1513,CROQUIS_DATOS!$C$1517)=1,CROQUIS_DATOS!$C$1557,0)=0),MOD($A207-1,62)+1&gt;2*IF(CHOOSE(MIN(MAX(MIN(INT(($A207-1)/62)+1,5),1),5),CROQUIS_DATOS!$C$1501,CROQUIS_DATOS!$C$1505,CROQUIS_DATOS!$C$1509,CROQUIS_DATOS!$C$1513,CROQUIS_DATOS!$C$1517)=1,CROQUIS_DATOS!$C$1557,0)+1),CROQUIS_DATOS!$C$1476,MIN(INT((MOD($A207-1,62)+1-2)/2)+1,MAX(IF(CHOOSE(MIN(MAX(MIN(INT(($A207-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7">
        <f>IF(AND(CROQUIS_DATOS!$C$1472=1,1),(CROQUIS_DATOS!$C$1563+(MIN(INT(($A207-1)/2)+1,CROQUIS_DATOS!$C$1558)*CROQUIS_DATOS!$C$1559)*CROQUIS_DATOS!$C$1562),-1000)</f>
        <v>82.2281167108753</v>
      </c>
      <c r="U207">
        <f>IF(AND(CROQUIS_DATOS!$C$1472=1,1),(CROQUIS_DATOS!$C$1564+(IF(INT(($A207-1)/2)+1&gt;CROQUIS_DATOS!$C$1558,IF(MOD(CROQUIS_DATOS!$C$1558,2)=1,CROQUIS_DATOS!$C$1476+CROQUIS_DATOS!$C$1528,CROQUIS_DATOS!$C$1476),IF(IF(MOD(MIN(INT(($A207-1)/2)+1,CROQUIS_DATOS!$C$1558),2)=1,MOD($A207-1,2),1-MOD($A207-1,2))=1,CROQUIS_DATOS!$C$1476+CROQUIS_DATOS!$C$1528,CROQUIS_DATOS!$C$1476)))*CROQUIS_DATOS!$C$1561*CROQUIS_DATOS!$C$1562),-1000)</f>
        <v>43</v>
      </c>
    </row>
    <row r="208">
      <c r="A208" t="n">
        <v>201</v>
      </c>
      <c r="N208">
        <f>IF(AND(CROQUIS_DATOS!$C$1472=1,1),(CROQUIS_DATOS!$C$1563+(IF(IF(IF(INT(($A208-1)/70)+1&gt;CROQUIS_DATOS!$C$1525,70,MOD($A208-1,70)+1)=1,0,IF(IF(INT(($A208-1)/70)+1&gt;CROQUIS_DATOS!$C$1525,70,MOD($A208-1,70)+1)&gt;2*CROQUIS_DATOS!$C$1541+1,IF(MOD(CROQUIS_DATOS!$C$1541,2)=1,1,0),IF(MOD(MIN(INT((IF(INT(($A208-1)/70)+1&gt;CROQUIS_DATOS!$C$1525,70,MOD($A208-1,70)+1)-2)/2)+1,CROQUIS_DATOS!$C$1541),2)=1,IF(MOD(IF(INT(($A208-1)/70)+1&gt;CROQUIS_DATOS!$C$1525,70,MOD($A208-1,70)+1)-2,2)=0,0,1),IF(MOD(IF(INT(($A208-1)/70)+1&gt;CROQUIS_DATOS!$C$1525,70,MOD($A208-1,70)+1)-2,2)=0,1,0))))=0,(INDEX($E$8:$E$23,MIN(INT(($A208-1)/70)+1,CROQUIS_DATOS!$C$1525))-INDEX($F$8:$F$23,MIN(INT(($A208-1)/70)+1,CROQUIS_DATOS!$C$1525))/2),(INDEX($E$8:$E$23,MIN(INT(($A208-1)/70)+1,CROQUIS_DATOS!$C$1525))+INDEX($F$8:$F$23,MIN(INT(($A208-1)/70)+1,CROQUIS_DATOS!$C$1525))/2)))*CROQUIS_DATOS!$C$1562),-1000)</f>
        <v>33.2413793103448</v>
      </c>
      <c r="O208">
        <f>IF(AND(CROQUIS_DATOS!$C$1472=1,1),(CROQUIS_DATOS!$C$1564+(IF(OR(IF(INT(($A208-1)/70)+1&gt;CROQUIS_DATOS!$C$1525,70,MOD($A208-1,70)+1)=1,IF(INT(($A208-1)/70)+1&gt;CROQUIS_DATOS!$C$1525,70,MOD($A208-1,70)+1)&gt;2*CROQUIS_DATOS!$C$1541+1),CROQUIS_DATOS!$C$1476,INDEX($H$8:$H$41,MIN(INT((IF(INT(($A208-1)/70)+1&gt;CROQUIS_DATOS!$C$1525,70,MOD($A208-1,70)+1)-2)/2)+1,CROQUIS_DATOS!$C$1541))))*CROQUIS_DATOS!$C$1561*CROQUIS_DATOS!$C$1562),-1000)</f>
        <v>40.2068965517241</v>
      </c>
      <c r="P208">
        <f>IF(AND(CROQUIS_DATOS!$C$1472=1,CROQUIS_DATOS!$C$1555=1),(CROQUIS_DATOS!$C$1563+(IF(IF(OR(MOD($A208-1,62)+1=1,IF(CHOOSE(MIN(MAX(MIN(INT(($A208-1)/62)+1,5),1),5),CROQUIS_DATOS!$C$1501,CROQUIS_DATOS!$C$1505,CROQUIS_DATOS!$C$1509,CROQUIS_DATOS!$C$1513,CROQUIS_DATOS!$C$1517)=1,CROQUIS_DATOS!$C$1557,0)=0),0,IF(MOD($A208-1,62)+1&gt;2*IF(CHOOSE(MIN(MAX(MIN(INT(($A208-1)/62)+1,5),1),5),CROQUIS_DATOS!$C$1501,CROQUIS_DATOS!$C$1505,CROQUIS_DATOS!$C$1509,CROQUIS_DATOS!$C$1513,CROQUIS_DATOS!$C$1517)=1,CROQUIS_DATOS!$C$1557,0)+1,IF(MOD(IF(CHOOSE(MIN(MAX(MIN(INT(($A208-1)/62)+1,5),1),5),CROQUIS_DATOS!$C$1501,CROQUIS_DATOS!$C$1505,CROQUIS_DATOS!$C$1509,CROQUIS_DATOS!$C$1513,CROQUIS_DATOS!$C$1517)=1,CROQUIS_DATOS!$C$1557,0),2)=1,1,0),IF(MOD(MIN(INT((MOD($A208-1,62)+1-2)/2)+1,MAX(IF(CHOOSE(MIN(MAX(MIN(INT(($A208-1)/62)+1,5),1),5),CROQUIS_DATOS!$C$1501,CROQUIS_DATOS!$C$1505,CROQUIS_DATOS!$C$1509,CROQUIS_DATOS!$C$1513,CROQUIS_DATOS!$C$1517)=1,CROQUIS_DATOS!$C$1557,0),1)),2)=1,IF(MOD(MOD($A208-1,62)+1-2,2)=0,0,1),IF(MOD(MOD($A208-1,62)+1-2,2)=0,1,0))))=0,(CHOOSE(MIN(MAX(MIN(INT(($A208-1)/62)+1,5),1),5),CROQUIS_DATOS!$C$1499,CROQUIS_DATOS!$C$1503,CROQUIS_DATOS!$C$1507,CROQUIS_DATOS!$C$1511,CROQUIS_DATOS!$C$1515)+IF(CHOOSE(MIN(MAX(MIN(INT(($A208-1)/62)+1,5),1),5),CROQUIS_DATOS!$C$1501,CROQUIS_DATOS!$C$1505,CROQUIS_DATOS!$C$1509,CROQUIS_DATOS!$C$1513,CROQUIS_DATOS!$C$1517)=1,CROQUIS_DATOS!$C$1526,0)),(CHOOSE(MIN(MAX(MIN(INT(($A208-1)/62)+1,5),1),5),CROQUIS_DATOS!$C$1499,CROQUIS_DATOS!$C$1503,CROQUIS_DATOS!$C$1507,CROQUIS_DATOS!$C$1511,CROQUIS_DATOS!$C$1515)+CHOOSE(MIN(MAX(MIN(INT(($A208-1)/62)+1,5),1),5),CROQUIS_DATOS!$C$1500,CROQUIS_DATOS!$C$1504,CROQUIS_DATOS!$C$1508,CROQUIS_DATOS!$C$1512,CROQUIS_DATOS!$C$1516)-IF(CHOOSE(MIN(MAX(MIN(INT(($A208-1)/62)+1,5),1),5),CROQUIS_DATOS!$C$1501,CROQUIS_DATOS!$C$1505,CROQUIS_DATOS!$C$1509,CROQUIS_DATOS!$C$1513,CROQUIS_DATOS!$C$1517)=1,CROQUIS_DATOS!$C$1526,0))))*CROQUIS_DATOS!$C$1562),-1000)</f>
        <v>-1000</v>
      </c>
      <c r="Q208">
        <f>IF(AND(CROQUIS_DATOS!$C$1472=1,CROQUIS_DATOS!$C$1555=1),(CROQUIS_DATOS!$C$1564+(IF(OR(OR(MOD($A208-1,62)+1=1,IF(CHOOSE(MIN(MAX(MIN(INT(($A208-1)/62)+1,5),1),5),CROQUIS_DATOS!$C$1501,CROQUIS_DATOS!$C$1505,CROQUIS_DATOS!$C$1509,CROQUIS_DATOS!$C$1513,CROQUIS_DATOS!$C$1517)=1,CROQUIS_DATOS!$C$1557,0)=0),MOD($A208-1,62)+1&gt;2*IF(CHOOSE(MIN(MAX(MIN(INT(($A208-1)/62)+1,5),1),5),CROQUIS_DATOS!$C$1501,CROQUIS_DATOS!$C$1505,CROQUIS_DATOS!$C$1509,CROQUIS_DATOS!$C$1513,CROQUIS_DATOS!$C$1517)=1,CROQUIS_DATOS!$C$1557,0)+1),CROQUIS_DATOS!$C$1476,MIN(INT((MOD($A208-1,62)+1-2)/2)+1,MAX(IF(CHOOSE(MIN(MAX(MIN(INT(($A208-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8">
        <f>IF(AND(CROQUIS_DATOS!$C$1472=1,1),(CROQUIS_DATOS!$C$1563+(MIN(INT(($A208-1)/2)+1,CROQUIS_DATOS!$C$1558)*CROQUIS_DATOS!$C$1559)*CROQUIS_DATOS!$C$1562),-1000)</f>
        <v>82.2281167108753</v>
      </c>
      <c r="U208">
        <f>IF(AND(CROQUIS_DATOS!$C$1472=1,1),(CROQUIS_DATOS!$C$1564+(IF(INT(($A208-1)/2)+1&gt;CROQUIS_DATOS!$C$1558,IF(MOD(CROQUIS_DATOS!$C$1558,2)=1,CROQUIS_DATOS!$C$1476+CROQUIS_DATOS!$C$1528,CROQUIS_DATOS!$C$1476),IF(IF(MOD(MIN(INT(($A208-1)/2)+1,CROQUIS_DATOS!$C$1558),2)=1,MOD($A208-1,2),1-MOD($A208-1,2))=1,CROQUIS_DATOS!$C$1476+CROQUIS_DATOS!$C$1528,CROQUIS_DATOS!$C$1476)))*CROQUIS_DATOS!$C$1561*CROQUIS_DATOS!$C$1562),-1000)</f>
        <v>43</v>
      </c>
    </row>
    <row r="209">
      <c r="A209" t="n">
        <v>202</v>
      </c>
      <c r="N209">
        <f>IF(AND(CROQUIS_DATOS!$C$1472=1,1),(CROQUIS_DATOS!$C$1563+(IF(IF(IF(INT(($A209-1)/70)+1&gt;CROQUIS_DATOS!$C$1525,70,MOD($A209-1,70)+1)=1,0,IF(IF(INT(($A209-1)/70)+1&gt;CROQUIS_DATOS!$C$1525,70,MOD($A209-1,70)+1)&gt;2*CROQUIS_DATOS!$C$1541+1,IF(MOD(CROQUIS_DATOS!$C$1541,2)=1,1,0),IF(MOD(MIN(INT((IF(INT(($A209-1)/70)+1&gt;CROQUIS_DATOS!$C$1525,70,MOD($A209-1,70)+1)-2)/2)+1,CROQUIS_DATOS!$C$1541),2)=1,IF(MOD(IF(INT(($A209-1)/70)+1&gt;CROQUIS_DATOS!$C$1525,70,MOD($A209-1,70)+1)-2,2)=0,0,1),IF(MOD(IF(INT(($A209-1)/70)+1&gt;CROQUIS_DATOS!$C$1525,70,MOD($A209-1,70)+1)-2,2)=0,1,0))))=0,(INDEX($E$8:$E$23,MIN(INT(($A209-1)/70)+1,CROQUIS_DATOS!$C$1525))-INDEX($F$8:$F$23,MIN(INT(($A209-1)/70)+1,CROQUIS_DATOS!$C$1525))/2),(INDEX($E$8:$E$23,MIN(INT(($A209-1)/70)+1,CROQUIS_DATOS!$C$1525))+INDEX($F$8:$F$23,MIN(INT(($A209-1)/70)+1,CROQUIS_DATOS!$C$1525))/2)))*CROQUIS_DATOS!$C$1562),-1000)</f>
        <v>33.2413793103448</v>
      </c>
      <c r="O209">
        <f>IF(AND(CROQUIS_DATOS!$C$1472=1,1),(CROQUIS_DATOS!$C$1564+(IF(OR(IF(INT(($A209-1)/70)+1&gt;CROQUIS_DATOS!$C$1525,70,MOD($A209-1,70)+1)=1,IF(INT(($A209-1)/70)+1&gt;CROQUIS_DATOS!$C$1525,70,MOD($A209-1,70)+1)&gt;2*CROQUIS_DATOS!$C$1541+1),CROQUIS_DATOS!$C$1476,INDEX($H$8:$H$41,MIN(INT((IF(INT(($A209-1)/70)+1&gt;CROQUIS_DATOS!$C$1525,70,MOD($A209-1,70)+1)-2)/2)+1,CROQUIS_DATOS!$C$1541))))*CROQUIS_DATOS!$C$1561*CROQUIS_DATOS!$C$1562),-1000)</f>
        <v>40.2068965517241</v>
      </c>
      <c r="P209">
        <f>IF(AND(CROQUIS_DATOS!$C$1472=1,CROQUIS_DATOS!$C$1555=1),(CROQUIS_DATOS!$C$1563+(IF(IF(OR(MOD($A209-1,62)+1=1,IF(CHOOSE(MIN(MAX(MIN(INT(($A209-1)/62)+1,5),1),5),CROQUIS_DATOS!$C$1501,CROQUIS_DATOS!$C$1505,CROQUIS_DATOS!$C$1509,CROQUIS_DATOS!$C$1513,CROQUIS_DATOS!$C$1517)=1,CROQUIS_DATOS!$C$1557,0)=0),0,IF(MOD($A209-1,62)+1&gt;2*IF(CHOOSE(MIN(MAX(MIN(INT(($A209-1)/62)+1,5),1),5),CROQUIS_DATOS!$C$1501,CROQUIS_DATOS!$C$1505,CROQUIS_DATOS!$C$1509,CROQUIS_DATOS!$C$1513,CROQUIS_DATOS!$C$1517)=1,CROQUIS_DATOS!$C$1557,0)+1,IF(MOD(IF(CHOOSE(MIN(MAX(MIN(INT(($A209-1)/62)+1,5),1),5),CROQUIS_DATOS!$C$1501,CROQUIS_DATOS!$C$1505,CROQUIS_DATOS!$C$1509,CROQUIS_DATOS!$C$1513,CROQUIS_DATOS!$C$1517)=1,CROQUIS_DATOS!$C$1557,0),2)=1,1,0),IF(MOD(MIN(INT((MOD($A209-1,62)+1-2)/2)+1,MAX(IF(CHOOSE(MIN(MAX(MIN(INT(($A209-1)/62)+1,5),1),5),CROQUIS_DATOS!$C$1501,CROQUIS_DATOS!$C$1505,CROQUIS_DATOS!$C$1509,CROQUIS_DATOS!$C$1513,CROQUIS_DATOS!$C$1517)=1,CROQUIS_DATOS!$C$1557,0),1)),2)=1,IF(MOD(MOD($A209-1,62)+1-2,2)=0,0,1),IF(MOD(MOD($A209-1,62)+1-2,2)=0,1,0))))=0,(CHOOSE(MIN(MAX(MIN(INT(($A209-1)/62)+1,5),1),5),CROQUIS_DATOS!$C$1499,CROQUIS_DATOS!$C$1503,CROQUIS_DATOS!$C$1507,CROQUIS_DATOS!$C$1511,CROQUIS_DATOS!$C$1515)+IF(CHOOSE(MIN(MAX(MIN(INT(($A209-1)/62)+1,5),1),5),CROQUIS_DATOS!$C$1501,CROQUIS_DATOS!$C$1505,CROQUIS_DATOS!$C$1509,CROQUIS_DATOS!$C$1513,CROQUIS_DATOS!$C$1517)=1,CROQUIS_DATOS!$C$1526,0)),(CHOOSE(MIN(MAX(MIN(INT(($A209-1)/62)+1,5),1),5),CROQUIS_DATOS!$C$1499,CROQUIS_DATOS!$C$1503,CROQUIS_DATOS!$C$1507,CROQUIS_DATOS!$C$1511,CROQUIS_DATOS!$C$1515)+CHOOSE(MIN(MAX(MIN(INT(($A209-1)/62)+1,5),1),5),CROQUIS_DATOS!$C$1500,CROQUIS_DATOS!$C$1504,CROQUIS_DATOS!$C$1508,CROQUIS_DATOS!$C$1512,CROQUIS_DATOS!$C$1516)-IF(CHOOSE(MIN(MAX(MIN(INT(($A209-1)/62)+1,5),1),5),CROQUIS_DATOS!$C$1501,CROQUIS_DATOS!$C$1505,CROQUIS_DATOS!$C$1509,CROQUIS_DATOS!$C$1513,CROQUIS_DATOS!$C$1517)=1,CROQUIS_DATOS!$C$1526,0))))*CROQUIS_DATOS!$C$1562),-1000)</f>
        <v>-1000</v>
      </c>
      <c r="Q209">
        <f>IF(AND(CROQUIS_DATOS!$C$1472=1,CROQUIS_DATOS!$C$1555=1),(CROQUIS_DATOS!$C$1564+(IF(OR(OR(MOD($A209-1,62)+1=1,IF(CHOOSE(MIN(MAX(MIN(INT(($A209-1)/62)+1,5),1),5),CROQUIS_DATOS!$C$1501,CROQUIS_DATOS!$C$1505,CROQUIS_DATOS!$C$1509,CROQUIS_DATOS!$C$1513,CROQUIS_DATOS!$C$1517)=1,CROQUIS_DATOS!$C$1557,0)=0),MOD($A209-1,62)+1&gt;2*IF(CHOOSE(MIN(MAX(MIN(INT(($A209-1)/62)+1,5),1),5),CROQUIS_DATOS!$C$1501,CROQUIS_DATOS!$C$1505,CROQUIS_DATOS!$C$1509,CROQUIS_DATOS!$C$1513,CROQUIS_DATOS!$C$1517)=1,CROQUIS_DATOS!$C$1557,0)+1),CROQUIS_DATOS!$C$1476,MIN(INT((MOD($A209-1,62)+1-2)/2)+1,MAX(IF(CHOOSE(MIN(MAX(MIN(INT(($A209-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09">
        <f>IF(AND(CROQUIS_DATOS!$C$1472=1,1),(CROQUIS_DATOS!$C$1563+(MIN(INT(($A209-1)/2)+1,CROQUIS_DATOS!$C$1558)*CROQUIS_DATOS!$C$1559)*CROQUIS_DATOS!$C$1562),-1000)</f>
        <v>82.2281167108753</v>
      </c>
      <c r="U209">
        <f>IF(AND(CROQUIS_DATOS!$C$1472=1,1),(CROQUIS_DATOS!$C$1564+(IF(INT(($A209-1)/2)+1&gt;CROQUIS_DATOS!$C$1558,IF(MOD(CROQUIS_DATOS!$C$1558,2)=1,CROQUIS_DATOS!$C$1476+CROQUIS_DATOS!$C$1528,CROQUIS_DATOS!$C$1476),IF(IF(MOD(MIN(INT(($A209-1)/2)+1,CROQUIS_DATOS!$C$1558),2)=1,MOD($A209-1,2),1-MOD($A209-1,2))=1,CROQUIS_DATOS!$C$1476+CROQUIS_DATOS!$C$1528,CROQUIS_DATOS!$C$1476)))*CROQUIS_DATOS!$C$1561*CROQUIS_DATOS!$C$1562),-1000)</f>
        <v>43</v>
      </c>
    </row>
    <row r="210">
      <c r="A210" t="n">
        <v>203</v>
      </c>
      <c r="N210">
        <f>IF(AND(CROQUIS_DATOS!$C$1472=1,1),(CROQUIS_DATOS!$C$1563+(IF(IF(IF(INT(($A210-1)/70)+1&gt;CROQUIS_DATOS!$C$1525,70,MOD($A210-1,70)+1)=1,0,IF(IF(INT(($A210-1)/70)+1&gt;CROQUIS_DATOS!$C$1525,70,MOD($A210-1,70)+1)&gt;2*CROQUIS_DATOS!$C$1541+1,IF(MOD(CROQUIS_DATOS!$C$1541,2)=1,1,0),IF(MOD(MIN(INT((IF(INT(($A210-1)/70)+1&gt;CROQUIS_DATOS!$C$1525,70,MOD($A210-1,70)+1)-2)/2)+1,CROQUIS_DATOS!$C$1541),2)=1,IF(MOD(IF(INT(($A210-1)/70)+1&gt;CROQUIS_DATOS!$C$1525,70,MOD($A210-1,70)+1)-2,2)=0,0,1),IF(MOD(IF(INT(($A210-1)/70)+1&gt;CROQUIS_DATOS!$C$1525,70,MOD($A210-1,70)+1)-2,2)=0,1,0))))=0,(INDEX($E$8:$E$23,MIN(INT(($A210-1)/70)+1,CROQUIS_DATOS!$C$1525))-INDEX($F$8:$F$23,MIN(INT(($A210-1)/70)+1,CROQUIS_DATOS!$C$1525))/2),(INDEX($E$8:$E$23,MIN(INT(($A210-1)/70)+1,CROQUIS_DATOS!$C$1525))+INDEX($F$8:$F$23,MIN(INT(($A210-1)/70)+1,CROQUIS_DATOS!$C$1525))/2)))*CROQUIS_DATOS!$C$1562),-1000)</f>
        <v>33.2413793103448</v>
      </c>
      <c r="O210">
        <f>IF(AND(CROQUIS_DATOS!$C$1472=1,1),(CROQUIS_DATOS!$C$1564+(IF(OR(IF(INT(($A210-1)/70)+1&gt;CROQUIS_DATOS!$C$1525,70,MOD($A210-1,70)+1)=1,IF(INT(($A210-1)/70)+1&gt;CROQUIS_DATOS!$C$1525,70,MOD($A210-1,70)+1)&gt;2*CROQUIS_DATOS!$C$1541+1),CROQUIS_DATOS!$C$1476,INDEX($H$8:$H$41,MIN(INT((IF(INT(($A210-1)/70)+1&gt;CROQUIS_DATOS!$C$1525,70,MOD($A210-1,70)+1)-2)/2)+1,CROQUIS_DATOS!$C$1541))))*CROQUIS_DATOS!$C$1561*CROQUIS_DATOS!$C$1562),-1000)</f>
        <v>40.2068965517241</v>
      </c>
      <c r="P210">
        <f>IF(AND(CROQUIS_DATOS!$C$1472=1,CROQUIS_DATOS!$C$1555=1),(CROQUIS_DATOS!$C$1563+(IF(IF(OR(MOD($A210-1,62)+1=1,IF(CHOOSE(MIN(MAX(MIN(INT(($A210-1)/62)+1,5),1),5),CROQUIS_DATOS!$C$1501,CROQUIS_DATOS!$C$1505,CROQUIS_DATOS!$C$1509,CROQUIS_DATOS!$C$1513,CROQUIS_DATOS!$C$1517)=1,CROQUIS_DATOS!$C$1557,0)=0),0,IF(MOD($A210-1,62)+1&gt;2*IF(CHOOSE(MIN(MAX(MIN(INT(($A210-1)/62)+1,5),1),5),CROQUIS_DATOS!$C$1501,CROQUIS_DATOS!$C$1505,CROQUIS_DATOS!$C$1509,CROQUIS_DATOS!$C$1513,CROQUIS_DATOS!$C$1517)=1,CROQUIS_DATOS!$C$1557,0)+1,IF(MOD(IF(CHOOSE(MIN(MAX(MIN(INT(($A210-1)/62)+1,5),1),5),CROQUIS_DATOS!$C$1501,CROQUIS_DATOS!$C$1505,CROQUIS_DATOS!$C$1509,CROQUIS_DATOS!$C$1513,CROQUIS_DATOS!$C$1517)=1,CROQUIS_DATOS!$C$1557,0),2)=1,1,0),IF(MOD(MIN(INT((MOD($A210-1,62)+1-2)/2)+1,MAX(IF(CHOOSE(MIN(MAX(MIN(INT(($A210-1)/62)+1,5),1),5),CROQUIS_DATOS!$C$1501,CROQUIS_DATOS!$C$1505,CROQUIS_DATOS!$C$1509,CROQUIS_DATOS!$C$1513,CROQUIS_DATOS!$C$1517)=1,CROQUIS_DATOS!$C$1557,0),1)),2)=1,IF(MOD(MOD($A210-1,62)+1-2,2)=0,0,1),IF(MOD(MOD($A210-1,62)+1-2,2)=0,1,0))))=0,(CHOOSE(MIN(MAX(MIN(INT(($A210-1)/62)+1,5),1),5),CROQUIS_DATOS!$C$1499,CROQUIS_DATOS!$C$1503,CROQUIS_DATOS!$C$1507,CROQUIS_DATOS!$C$1511,CROQUIS_DATOS!$C$1515)+IF(CHOOSE(MIN(MAX(MIN(INT(($A210-1)/62)+1,5),1),5),CROQUIS_DATOS!$C$1501,CROQUIS_DATOS!$C$1505,CROQUIS_DATOS!$C$1509,CROQUIS_DATOS!$C$1513,CROQUIS_DATOS!$C$1517)=1,CROQUIS_DATOS!$C$1526,0)),(CHOOSE(MIN(MAX(MIN(INT(($A210-1)/62)+1,5),1),5),CROQUIS_DATOS!$C$1499,CROQUIS_DATOS!$C$1503,CROQUIS_DATOS!$C$1507,CROQUIS_DATOS!$C$1511,CROQUIS_DATOS!$C$1515)+CHOOSE(MIN(MAX(MIN(INT(($A210-1)/62)+1,5),1),5),CROQUIS_DATOS!$C$1500,CROQUIS_DATOS!$C$1504,CROQUIS_DATOS!$C$1508,CROQUIS_DATOS!$C$1512,CROQUIS_DATOS!$C$1516)-IF(CHOOSE(MIN(MAX(MIN(INT(($A210-1)/62)+1,5),1),5),CROQUIS_DATOS!$C$1501,CROQUIS_DATOS!$C$1505,CROQUIS_DATOS!$C$1509,CROQUIS_DATOS!$C$1513,CROQUIS_DATOS!$C$1517)=1,CROQUIS_DATOS!$C$1526,0))))*CROQUIS_DATOS!$C$1562),-1000)</f>
        <v>-1000</v>
      </c>
      <c r="Q210">
        <f>IF(AND(CROQUIS_DATOS!$C$1472=1,CROQUIS_DATOS!$C$1555=1),(CROQUIS_DATOS!$C$1564+(IF(OR(OR(MOD($A210-1,62)+1=1,IF(CHOOSE(MIN(MAX(MIN(INT(($A210-1)/62)+1,5),1),5),CROQUIS_DATOS!$C$1501,CROQUIS_DATOS!$C$1505,CROQUIS_DATOS!$C$1509,CROQUIS_DATOS!$C$1513,CROQUIS_DATOS!$C$1517)=1,CROQUIS_DATOS!$C$1557,0)=0),MOD($A210-1,62)+1&gt;2*IF(CHOOSE(MIN(MAX(MIN(INT(($A210-1)/62)+1,5),1),5),CROQUIS_DATOS!$C$1501,CROQUIS_DATOS!$C$1505,CROQUIS_DATOS!$C$1509,CROQUIS_DATOS!$C$1513,CROQUIS_DATOS!$C$1517)=1,CROQUIS_DATOS!$C$1557,0)+1),CROQUIS_DATOS!$C$1476,MIN(INT((MOD($A210-1,62)+1-2)/2)+1,MAX(IF(CHOOSE(MIN(MAX(MIN(INT(($A210-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0">
        <f>IF(AND(CROQUIS_DATOS!$C$1472=1,1),(CROQUIS_DATOS!$C$1563+(MIN(INT(($A210-1)/2)+1,CROQUIS_DATOS!$C$1558)*CROQUIS_DATOS!$C$1559)*CROQUIS_DATOS!$C$1562),-1000)</f>
        <v>82.2281167108753</v>
      </c>
      <c r="U210">
        <f>IF(AND(CROQUIS_DATOS!$C$1472=1,1),(CROQUIS_DATOS!$C$1564+(IF(INT(($A210-1)/2)+1&gt;CROQUIS_DATOS!$C$1558,IF(MOD(CROQUIS_DATOS!$C$1558,2)=1,CROQUIS_DATOS!$C$1476+CROQUIS_DATOS!$C$1528,CROQUIS_DATOS!$C$1476),IF(IF(MOD(MIN(INT(($A210-1)/2)+1,CROQUIS_DATOS!$C$1558),2)=1,MOD($A210-1,2),1-MOD($A210-1,2))=1,CROQUIS_DATOS!$C$1476+CROQUIS_DATOS!$C$1528,CROQUIS_DATOS!$C$1476)))*CROQUIS_DATOS!$C$1561*CROQUIS_DATOS!$C$1562),-1000)</f>
        <v>43</v>
      </c>
    </row>
    <row r="211">
      <c r="A211" t="n">
        <v>204</v>
      </c>
      <c r="N211">
        <f>IF(AND(CROQUIS_DATOS!$C$1472=1,1),(CROQUIS_DATOS!$C$1563+(IF(IF(IF(INT(($A211-1)/70)+1&gt;CROQUIS_DATOS!$C$1525,70,MOD($A211-1,70)+1)=1,0,IF(IF(INT(($A211-1)/70)+1&gt;CROQUIS_DATOS!$C$1525,70,MOD($A211-1,70)+1)&gt;2*CROQUIS_DATOS!$C$1541+1,IF(MOD(CROQUIS_DATOS!$C$1541,2)=1,1,0),IF(MOD(MIN(INT((IF(INT(($A211-1)/70)+1&gt;CROQUIS_DATOS!$C$1525,70,MOD($A211-1,70)+1)-2)/2)+1,CROQUIS_DATOS!$C$1541),2)=1,IF(MOD(IF(INT(($A211-1)/70)+1&gt;CROQUIS_DATOS!$C$1525,70,MOD($A211-1,70)+1)-2,2)=0,0,1),IF(MOD(IF(INT(($A211-1)/70)+1&gt;CROQUIS_DATOS!$C$1525,70,MOD($A211-1,70)+1)-2,2)=0,1,0))))=0,(INDEX($E$8:$E$23,MIN(INT(($A211-1)/70)+1,CROQUIS_DATOS!$C$1525))-INDEX($F$8:$F$23,MIN(INT(($A211-1)/70)+1,CROQUIS_DATOS!$C$1525))/2),(INDEX($E$8:$E$23,MIN(INT(($A211-1)/70)+1,CROQUIS_DATOS!$C$1525))+INDEX($F$8:$F$23,MIN(INT(($A211-1)/70)+1,CROQUIS_DATOS!$C$1525))/2)))*CROQUIS_DATOS!$C$1562),-1000)</f>
        <v>33.2413793103448</v>
      </c>
      <c r="O211">
        <f>IF(AND(CROQUIS_DATOS!$C$1472=1,1),(CROQUIS_DATOS!$C$1564+(IF(OR(IF(INT(($A211-1)/70)+1&gt;CROQUIS_DATOS!$C$1525,70,MOD($A211-1,70)+1)=1,IF(INT(($A211-1)/70)+1&gt;CROQUIS_DATOS!$C$1525,70,MOD($A211-1,70)+1)&gt;2*CROQUIS_DATOS!$C$1541+1),CROQUIS_DATOS!$C$1476,INDEX($H$8:$H$41,MIN(INT((IF(INT(($A211-1)/70)+1&gt;CROQUIS_DATOS!$C$1525,70,MOD($A211-1,70)+1)-2)/2)+1,CROQUIS_DATOS!$C$1541))))*CROQUIS_DATOS!$C$1561*CROQUIS_DATOS!$C$1562),-1000)</f>
        <v>40.2068965517241</v>
      </c>
      <c r="P211">
        <f>IF(AND(CROQUIS_DATOS!$C$1472=1,CROQUIS_DATOS!$C$1555=1),(CROQUIS_DATOS!$C$1563+(IF(IF(OR(MOD($A211-1,62)+1=1,IF(CHOOSE(MIN(MAX(MIN(INT(($A211-1)/62)+1,5),1),5),CROQUIS_DATOS!$C$1501,CROQUIS_DATOS!$C$1505,CROQUIS_DATOS!$C$1509,CROQUIS_DATOS!$C$1513,CROQUIS_DATOS!$C$1517)=1,CROQUIS_DATOS!$C$1557,0)=0),0,IF(MOD($A211-1,62)+1&gt;2*IF(CHOOSE(MIN(MAX(MIN(INT(($A211-1)/62)+1,5),1),5),CROQUIS_DATOS!$C$1501,CROQUIS_DATOS!$C$1505,CROQUIS_DATOS!$C$1509,CROQUIS_DATOS!$C$1513,CROQUIS_DATOS!$C$1517)=1,CROQUIS_DATOS!$C$1557,0)+1,IF(MOD(IF(CHOOSE(MIN(MAX(MIN(INT(($A211-1)/62)+1,5),1),5),CROQUIS_DATOS!$C$1501,CROQUIS_DATOS!$C$1505,CROQUIS_DATOS!$C$1509,CROQUIS_DATOS!$C$1513,CROQUIS_DATOS!$C$1517)=1,CROQUIS_DATOS!$C$1557,0),2)=1,1,0),IF(MOD(MIN(INT((MOD($A211-1,62)+1-2)/2)+1,MAX(IF(CHOOSE(MIN(MAX(MIN(INT(($A211-1)/62)+1,5),1),5),CROQUIS_DATOS!$C$1501,CROQUIS_DATOS!$C$1505,CROQUIS_DATOS!$C$1509,CROQUIS_DATOS!$C$1513,CROQUIS_DATOS!$C$1517)=1,CROQUIS_DATOS!$C$1557,0),1)),2)=1,IF(MOD(MOD($A211-1,62)+1-2,2)=0,0,1),IF(MOD(MOD($A211-1,62)+1-2,2)=0,1,0))))=0,(CHOOSE(MIN(MAX(MIN(INT(($A211-1)/62)+1,5),1),5),CROQUIS_DATOS!$C$1499,CROQUIS_DATOS!$C$1503,CROQUIS_DATOS!$C$1507,CROQUIS_DATOS!$C$1511,CROQUIS_DATOS!$C$1515)+IF(CHOOSE(MIN(MAX(MIN(INT(($A211-1)/62)+1,5),1),5),CROQUIS_DATOS!$C$1501,CROQUIS_DATOS!$C$1505,CROQUIS_DATOS!$C$1509,CROQUIS_DATOS!$C$1513,CROQUIS_DATOS!$C$1517)=1,CROQUIS_DATOS!$C$1526,0)),(CHOOSE(MIN(MAX(MIN(INT(($A211-1)/62)+1,5),1),5),CROQUIS_DATOS!$C$1499,CROQUIS_DATOS!$C$1503,CROQUIS_DATOS!$C$1507,CROQUIS_DATOS!$C$1511,CROQUIS_DATOS!$C$1515)+CHOOSE(MIN(MAX(MIN(INT(($A211-1)/62)+1,5),1),5),CROQUIS_DATOS!$C$1500,CROQUIS_DATOS!$C$1504,CROQUIS_DATOS!$C$1508,CROQUIS_DATOS!$C$1512,CROQUIS_DATOS!$C$1516)-IF(CHOOSE(MIN(MAX(MIN(INT(($A211-1)/62)+1,5),1),5),CROQUIS_DATOS!$C$1501,CROQUIS_DATOS!$C$1505,CROQUIS_DATOS!$C$1509,CROQUIS_DATOS!$C$1513,CROQUIS_DATOS!$C$1517)=1,CROQUIS_DATOS!$C$1526,0))))*CROQUIS_DATOS!$C$1562),-1000)</f>
        <v>-1000</v>
      </c>
      <c r="Q211">
        <f>IF(AND(CROQUIS_DATOS!$C$1472=1,CROQUIS_DATOS!$C$1555=1),(CROQUIS_DATOS!$C$1564+(IF(OR(OR(MOD($A211-1,62)+1=1,IF(CHOOSE(MIN(MAX(MIN(INT(($A211-1)/62)+1,5),1),5),CROQUIS_DATOS!$C$1501,CROQUIS_DATOS!$C$1505,CROQUIS_DATOS!$C$1509,CROQUIS_DATOS!$C$1513,CROQUIS_DATOS!$C$1517)=1,CROQUIS_DATOS!$C$1557,0)=0),MOD($A211-1,62)+1&gt;2*IF(CHOOSE(MIN(MAX(MIN(INT(($A211-1)/62)+1,5),1),5),CROQUIS_DATOS!$C$1501,CROQUIS_DATOS!$C$1505,CROQUIS_DATOS!$C$1509,CROQUIS_DATOS!$C$1513,CROQUIS_DATOS!$C$1517)=1,CROQUIS_DATOS!$C$1557,0)+1),CROQUIS_DATOS!$C$1476,MIN(INT((MOD($A211-1,62)+1-2)/2)+1,MAX(IF(CHOOSE(MIN(MAX(MIN(INT(($A211-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1">
        <f>IF(AND(CROQUIS_DATOS!$C$1472=1,1),(CROQUIS_DATOS!$C$1563+(MIN(INT(($A211-1)/2)+1,CROQUIS_DATOS!$C$1558)*CROQUIS_DATOS!$C$1559)*CROQUIS_DATOS!$C$1562),-1000)</f>
        <v>82.2281167108753</v>
      </c>
      <c r="U211">
        <f>IF(AND(CROQUIS_DATOS!$C$1472=1,1),(CROQUIS_DATOS!$C$1564+(IF(INT(($A211-1)/2)+1&gt;CROQUIS_DATOS!$C$1558,IF(MOD(CROQUIS_DATOS!$C$1558,2)=1,CROQUIS_DATOS!$C$1476+CROQUIS_DATOS!$C$1528,CROQUIS_DATOS!$C$1476),IF(IF(MOD(MIN(INT(($A211-1)/2)+1,CROQUIS_DATOS!$C$1558),2)=1,MOD($A211-1,2),1-MOD($A211-1,2))=1,CROQUIS_DATOS!$C$1476+CROQUIS_DATOS!$C$1528,CROQUIS_DATOS!$C$1476)))*CROQUIS_DATOS!$C$1561*CROQUIS_DATOS!$C$1562),-1000)</f>
        <v>43</v>
      </c>
    </row>
    <row r="212">
      <c r="A212" t="n">
        <v>205</v>
      </c>
      <c r="N212">
        <f>IF(AND(CROQUIS_DATOS!$C$1472=1,1),(CROQUIS_DATOS!$C$1563+(IF(IF(IF(INT(($A212-1)/70)+1&gt;CROQUIS_DATOS!$C$1525,70,MOD($A212-1,70)+1)=1,0,IF(IF(INT(($A212-1)/70)+1&gt;CROQUIS_DATOS!$C$1525,70,MOD($A212-1,70)+1)&gt;2*CROQUIS_DATOS!$C$1541+1,IF(MOD(CROQUIS_DATOS!$C$1541,2)=1,1,0),IF(MOD(MIN(INT((IF(INT(($A212-1)/70)+1&gt;CROQUIS_DATOS!$C$1525,70,MOD($A212-1,70)+1)-2)/2)+1,CROQUIS_DATOS!$C$1541),2)=1,IF(MOD(IF(INT(($A212-1)/70)+1&gt;CROQUIS_DATOS!$C$1525,70,MOD($A212-1,70)+1)-2,2)=0,0,1),IF(MOD(IF(INT(($A212-1)/70)+1&gt;CROQUIS_DATOS!$C$1525,70,MOD($A212-1,70)+1)-2,2)=0,1,0))))=0,(INDEX($E$8:$E$23,MIN(INT(($A212-1)/70)+1,CROQUIS_DATOS!$C$1525))-INDEX($F$8:$F$23,MIN(INT(($A212-1)/70)+1,CROQUIS_DATOS!$C$1525))/2),(INDEX($E$8:$E$23,MIN(INT(($A212-1)/70)+1,CROQUIS_DATOS!$C$1525))+INDEX($F$8:$F$23,MIN(INT(($A212-1)/70)+1,CROQUIS_DATOS!$C$1525))/2)))*CROQUIS_DATOS!$C$1562),-1000)</f>
        <v>33.2413793103448</v>
      </c>
      <c r="O212">
        <f>IF(AND(CROQUIS_DATOS!$C$1472=1,1),(CROQUIS_DATOS!$C$1564+(IF(OR(IF(INT(($A212-1)/70)+1&gt;CROQUIS_DATOS!$C$1525,70,MOD($A212-1,70)+1)=1,IF(INT(($A212-1)/70)+1&gt;CROQUIS_DATOS!$C$1525,70,MOD($A212-1,70)+1)&gt;2*CROQUIS_DATOS!$C$1541+1),CROQUIS_DATOS!$C$1476,INDEX($H$8:$H$41,MIN(INT((IF(INT(($A212-1)/70)+1&gt;CROQUIS_DATOS!$C$1525,70,MOD($A212-1,70)+1)-2)/2)+1,CROQUIS_DATOS!$C$1541))))*CROQUIS_DATOS!$C$1561*CROQUIS_DATOS!$C$1562),-1000)</f>
        <v>40.2068965517241</v>
      </c>
      <c r="P212">
        <f>IF(AND(CROQUIS_DATOS!$C$1472=1,CROQUIS_DATOS!$C$1555=1),(CROQUIS_DATOS!$C$1563+(IF(IF(OR(MOD($A212-1,62)+1=1,IF(CHOOSE(MIN(MAX(MIN(INT(($A212-1)/62)+1,5),1),5),CROQUIS_DATOS!$C$1501,CROQUIS_DATOS!$C$1505,CROQUIS_DATOS!$C$1509,CROQUIS_DATOS!$C$1513,CROQUIS_DATOS!$C$1517)=1,CROQUIS_DATOS!$C$1557,0)=0),0,IF(MOD($A212-1,62)+1&gt;2*IF(CHOOSE(MIN(MAX(MIN(INT(($A212-1)/62)+1,5),1),5),CROQUIS_DATOS!$C$1501,CROQUIS_DATOS!$C$1505,CROQUIS_DATOS!$C$1509,CROQUIS_DATOS!$C$1513,CROQUIS_DATOS!$C$1517)=1,CROQUIS_DATOS!$C$1557,0)+1,IF(MOD(IF(CHOOSE(MIN(MAX(MIN(INT(($A212-1)/62)+1,5),1),5),CROQUIS_DATOS!$C$1501,CROQUIS_DATOS!$C$1505,CROQUIS_DATOS!$C$1509,CROQUIS_DATOS!$C$1513,CROQUIS_DATOS!$C$1517)=1,CROQUIS_DATOS!$C$1557,0),2)=1,1,0),IF(MOD(MIN(INT((MOD($A212-1,62)+1-2)/2)+1,MAX(IF(CHOOSE(MIN(MAX(MIN(INT(($A212-1)/62)+1,5),1),5),CROQUIS_DATOS!$C$1501,CROQUIS_DATOS!$C$1505,CROQUIS_DATOS!$C$1509,CROQUIS_DATOS!$C$1513,CROQUIS_DATOS!$C$1517)=1,CROQUIS_DATOS!$C$1557,0),1)),2)=1,IF(MOD(MOD($A212-1,62)+1-2,2)=0,0,1),IF(MOD(MOD($A212-1,62)+1-2,2)=0,1,0))))=0,(CHOOSE(MIN(MAX(MIN(INT(($A212-1)/62)+1,5),1),5),CROQUIS_DATOS!$C$1499,CROQUIS_DATOS!$C$1503,CROQUIS_DATOS!$C$1507,CROQUIS_DATOS!$C$1511,CROQUIS_DATOS!$C$1515)+IF(CHOOSE(MIN(MAX(MIN(INT(($A212-1)/62)+1,5),1),5),CROQUIS_DATOS!$C$1501,CROQUIS_DATOS!$C$1505,CROQUIS_DATOS!$C$1509,CROQUIS_DATOS!$C$1513,CROQUIS_DATOS!$C$1517)=1,CROQUIS_DATOS!$C$1526,0)),(CHOOSE(MIN(MAX(MIN(INT(($A212-1)/62)+1,5),1),5),CROQUIS_DATOS!$C$1499,CROQUIS_DATOS!$C$1503,CROQUIS_DATOS!$C$1507,CROQUIS_DATOS!$C$1511,CROQUIS_DATOS!$C$1515)+CHOOSE(MIN(MAX(MIN(INT(($A212-1)/62)+1,5),1),5),CROQUIS_DATOS!$C$1500,CROQUIS_DATOS!$C$1504,CROQUIS_DATOS!$C$1508,CROQUIS_DATOS!$C$1512,CROQUIS_DATOS!$C$1516)-IF(CHOOSE(MIN(MAX(MIN(INT(($A212-1)/62)+1,5),1),5),CROQUIS_DATOS!$C$1501,CROQUIS_DATOS!$C$1505,CROQUIS_DATOS!$C$1509,CROQUIS_DATOS!$C$1513,CROQUIS_DATOS!$C$1517)=1,CROQUIS_DATOS!$C$1526,0))))*CROQUIS_DATOS!$C$1562),-1000)</f>
        <v>-1000</v>
      </c>
      <c r="Q212">
        <f>IF(AND(CROQUIS_DATOS!$C$1472=1,CROQUIS_DATOS!$C$1555=1),(CROQUIS_DATOS!$C$1564+(IF(OR(OR(MOD($A212-1,62)+1=1,IF(CHOOSE(MIN(MAX(MIN(INT(($A212-1)/62)+1,5),1),5),CROQUIS_DATOS!$C$1501,CROQUIS_DATOS!$C$1505,CROQUIS_DATOS!$C$1509,CROQUIS_DATOS!$C$1513,CROQUIS_DATOS!$C$1517)=1,CROQUIS_DATOS!$C$1557,0)=0),MOD($A212-1,62)+1&gt;2*IF(CHOOSE(MIN(MAX(MIN(INT(($A212-1)/62)+1,5),1),5),CROQUIS_DATOS!$C$1501,CROQUIS_DATOS!$C$1505,CROQUIS_DATOS!$C$1509,CROQUIS_DATOS!$C$1513,CROQUIS_DATOS!$C$1517)=1,CROQUIS_DATOS!$C$1557,0)+1),CROQUIS_DATOS!$C$1476,MIN(INT((MOD($A212-1,62)+1-2)/2)+1,MAX(IF(CHOOSE(MIN(MAX(MIN(INT(($A212-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2">
        <f>IF(AND(CROQUIS_DATOS!$C$1472=1,1),(CROQUIS_DATOS!$C$1563+(MIN(INT(($A212-1)/2)+1,CROQUIS_DATOS!$C$1558)*CROQUIS_DATOS!$C$1559)*CROQUIS_DATOS!$C$1562),-1000)</f>
        <v>82.2281167108753</v>
      </c>
      <c r="U212">
        <f>IF(AND(CROQUIS_DATOS!$C$1472=1,1),(CROQUIS_DATOS!$C$1564+(IF(INT(($A212-1)/2)+1&gt;CROQUIS_DATOS!$C$1558,IF(MOD(CROQUIS_DATOS!$C$1558,2)=1,CROQUIS_DATOS!$C$1476+CROQUIS_DATOS!$C$1528,CROQUIS_DATOS!$C$1476),IF(IF(MOD(MIN(INT(($A212-1)/2)+1,CROQUIS_DATOS!$C$1558),2)=1,MOD($A212-1,2),1-MOD($A212-1,2))=1,CROQUIS_DATOS!$C$1476+CROQUIS_DATOS!$C$1528,CROQUIS_DATOS!$C$1476)))*CROQUIS_DATOS!$C$1561*CROQUIS_DATOS!$C$1562),-1000)</f>
        <v>43</v>
      </c>
    </row>
    <row r="213">
      <c r="A213" t="n">
        <v>206</v>
      </c>
      <c r="N213">
        <f>IF(AND(CROQUIS_DATOS!$C$1472=1,1),(CROQUIS_DATOS!$C$1563+(IF(IF(IF(INT(($A213-1)/70)+1&gt;CROQUIS_DATOS!$C$1525,70,MOD($A213-1,70)+1)=1,0,IF(IF(INT(($A213-1)/70)+1&gt;CROQUIS_DATOS!$C$1525,70,MOD($A213-1,70)+1)&gt;2*CROQUIS_DATOS!$C$1541+1,IF(MOD(CROQUIS_DATOS!$C$1541,2)=1,1,0),IF(MOD(MIN(INT((IF(INT(($A213-1)/70)+1&gt;CROQUIS_DATOS!$C$1525,70,MOD($A213-1,70)+1)-2)/2)+1,CROQUIS_DATOS!$C$1541),2)=1,IF(MOD(IF(INT(($A213-1)/70)+1&gt;CROQUIS_DATOS!$C$1525,70,MOD($A213-1,70)+1)-2,2)=0,0,1),IF(MOD(IF(INT(($A213-1)/70)+1&gt;CROQUIS_DATOS!$C$1525,70,MOD($A213-1,70)+1)-2,2)=0,1,0))))=0,(INDEX($E$8:$E$23,MIN(INT(($A213-1)/70)+1,CROQUIS_DATOS!$C$1525))-INDEX($F$8:$F$23,MIN(INT(($A213-1)/70)+1,CROQUIS_DATOS!$C$1525))/2),(INDEX($E$8:$E$23,MIN(INT(($A213-1)/70)+1,CROQUIS_DATOS!$C$1525))+INDEX($F$8:$F$23,MIN(INT(($A213-1)/70)+1,CROQUIS_DATOS!$C$1525))/2)))*CROQUIS_DATOS!$C$1562),-1000)</f>
        <v>33.2413793103448</v>
      </c>
      <c r="O213">
        <f>IF(AND(CROQUIS_DATOS!$C$1472=1,1),(CROQUIS_DATOS!$C$1564+(IF(OR(IF(INT(($A213-1)/70)+1&gt;CROQUIS_DATOS!$C$1525,70,MOD($A213-1,70)+1)=1,IF(INT(($A213-1)/70)+1&gt;CROQUIS_DATOS!$C$1525,70,MOD($A213-1,70)+1)&gt;2*CROQUIS_DATOS!$C$1541+1),CROQUIS_DATOS!$C$1476,INDEX($H$8:$H$41,MIN(INT((IF(INT(($A213-1)/70)+1&gt;CROQUIS_DATOS!$C$1525,70,MOD($A213-1,70)+1)-2)/2)+1,CROQUIS_DATOS!$C$1541))))*CROQUIS_DATOS!$C$1561*CROQUIS_DATOS!$C$1562),-1000)</f>
        <v>40.2068965517241</v>
      </c>
      <c r="P213">
        <f>IF(AND(CROQUIS_DATOS!$C$1472=1,CROQUIS_DATOS!$C$1555=1),(CROQUIS_DATOS!$C$1563+(IF(IF(OR(MOD($A213-1,62)+1=1,IF(CHOOSE(MIN(MAX(MIN(INT(($A213-1)/62)+1,5),1),5),CROQUIS_DATOS!$C$1501,CROQUIS_DATOS!$C$1505,CROQUIS_DATOS!$C$1509,CROQUIS_DATOS!$C$1513,CROQUIS_DATOS!$C$1517)=1,CROQUIS_DATOS!$C$1557,0)=0),0,IF(MOD($A213-1,62)+1&gt;2*IF(CHOOSE(MIN(MAX(MIN(INT(($A213-1)/62)+1,5),1),5),CROQUIS_DATOS!$C$1501,CROQUIS_DATOS!$C$1505,CROQUIS_DATOS!$C$1509,CROQUIS_DATOS!$C$1513,CROQUIS_DATOS!$C$1517)=1,CROQUIS_DATOS!$C$1557,0)+1,IF(MOD(IF(CHOOSE(MIN(MAX(MIN(INT(($A213-1)/62)+1,5),1),5),CROQUIS_DATOS!$C$1501,CROQUIS_DATOS!$C$1505,CROQUIS_DATOS!$C$1509,CROQUIS_DATOS!$C$1513,CROQUIS_DATOS!$C$1517)=1,CROQUIS_DATOS!$C$1557,0),2)=1,1,0),IF(MOD(MIN(INT((MOD($A213-1,62)+1-2)/2)+1,MAX(IF(CHOOSE(MIN(MAX(MIN(INT(($A213-1)/62)+1,5),1),5),CROQUIS_DATOS!$C$1501,CROQUIS_DATOS!$C$1505,CROQUIS_DATOS!$C$1509,CROQUIS_DATOS!$C$1513,CROQUIS_DATOS!$C$1517)=1,CROQUIS_DATOS!$C$1557,0),1)),2)=1,IF(MOD(MOD($A213-1,62)+1-2,2)=0,0,1),IF(MOD(MOD($A213-1,62)+1-2,2)=0,1,0))))=0,(CHOOSE(MIN(MAX(MIN(INT(($A213-1)/62)+1,5),1),5),CROQUIS_DATOS!$C$1499,CROQUIS_DATOS!$C$1503,CROQUIS_DATOS!$C$1507,CROQUIS_DATOS!$C$1511,CROQUIS_DATOS!$C$1515)+IF(CHOOSE(MIN(MAX(MIN(INT(($A213-1)/62)+1,5),1),5),CROQUIS_DATOS!$C$1501,CROQUIS_DATOS!$C$1505,CROQUIS_DATOS!$C$1509,CROQUIS_DATOS!$C$1513,CROQUIS_DATOS!$C$1517)=1,CROQUIS_DATOS!$C$1526,0)),(CHOOSE(MIN(MAX(MIN(INT(($A213-1)/62)+1,5),1),5),CROQUIS_DATOS!$C$1499,CROQUIS_DATOS!$C$1503,CROQUIS_DATOS!$C$1507,CROQUIS_DATOS!$C$1511,CROQUIS_DATOS!$C$1515)+CHOOSE(MIN(MAX(MIN(INT(($A213-1)/62)+1,5),1),5),CROQUIS_DATOS!$C$1500,CROQUIS_DATOS!$C$1504,CROQUIS_DATOS!$C$1508,CROQUIS_DATOS!$C$1512,CROQUIS_DATOS!$C$1516)-IF(CHOOSE(MIN(MAX(MIN(INT(($A213-1)/62)+1,5),1),5),CROQUIS_DATOS!$C$1501,CROQUIS_DATOS!$C$1505,CROQUIS_DATOS!$C$1509,CROQUIS_DATOS!$C$1513,CROQUIS_DATOS!$C$1517)=1,CROQUIS_DATOS!$C$1526,0))))*CROQUIS_DATOS!$C$1562),-1000)</f>
        <v>-1000</v>
      </c>
      <c r="Q213">
        <f>IF(AND(CROQUIS_DATOS!$C$1472=1,CROQUIS_DATOS!$C$1555=1),(CROQUIS_DATOS!$C$1564+(IF(OR(OR(MOD($A213-1,62)+1=1,IF(CHOOSE(MIN(MAX(MIN(INT(($A213-1)/62)+1,5),1),5),CROQUIS_DATOS!$C$1501,CROQUIS_DATOS!$C$1505,CROQUIS_DATOS!$C$1509,CROQUIS_DATOS!$C$1513,CROQUIS_DATOS!$C$1517)=1,CROQUIS_DATOS!$C$1557,0)=0),MOD($A213-1,62)+1&gt;2*IF(CHOOSE(MIN(MAX(MIN(INT(($A213-1)/62)+1,5),1),5),CROQUIS_DATOS!$C$1501,CROQUIS_DATOS!$C$1505,CROQUIS_DATOS!$C$1509,CROQUIS_DATOS!$C$1513,CROQUIS_DATOS!$C$1517)=1,CROQUIS_DATOS!$C$1557,0)+1),CROQUIS_DATOS!$C$1476,MIN(INT((MOD($A213-1,62)+1-2)/2)+1,MAX(IF(CHOOSE(MIN(MAX(MIN(INT(($A213-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3">
        <f>IF(AND(CROQUIS_DATOS!$C$1472=1,1),(CROQUIS_DATOS!$C$1563+(MIN(INT(($A213-1)/2)+1,CROQUIS_DATOS!$C$1558)*CROQUIS_DATOS!$C$1559)*CROQUIS_DATOS!$C$1562),-1000)</f>
        <v>82.2281167108753</v>
      </c>
      <c r="U213">
        <f>IF(AND(CROQUIS_DATOS!$C$1472=1,1),(CROQUIS_DATOS!$C$1564+(IF(INT(($A213-1)/2)+1&gt;CROQUIS_DATOS!$C$1558,IF(MOD(CROQUIS_DATOS!$C$1558,2)=1,CROQUIS_DATOS!$C$1476+CROQUIS_DATOS!$C$1528,CROQUIS_DATOS!$C$1476),IF(IF(MOD(MIN(INT(($A213-1)/2)+1,CROQUIS_DATOS!$C$1558),2)=1,MOD($A213-1,2),1-MOD($A213-1,2))=1,CROQUIS_DATOS!$C$1476+CROQUIS_DATOS!$C$1528,CROQUIS_DATOS!$C$1476)))*CROQUIS_DATOS!$C$1561*CROQUIS_DATOS!$C$1562),-1000)</f>
        <v>43</v>
      </c>
    </row>
    <row r="214">
      <c r="A214" t="n">
        <v>207</v>
      </c>
      <c r="N214">
        <f>IF(AND(CROQUIS_DATOS!$C$1472=1,1),(CROQUIS_DATOS!$C$1563+(IF(IF(IF(INT(($A214-1)/70)+1&gt;CROQUIS_DATOS!$C$1525,70,MOD($A214-1,70)+1)=1,0,IF(IF(INT(($A214-1)/70)+1&gt;CROQUIS_DATOS!$C$1525,70,MOD($A214-1,70)+1)&gt;2*CROQUIS_DATOS!$C$1541+1,IF(MOD(CROQUIS_DATOS!$C$1541,2)=1,1,0),IF(MOD(MIN(INT((IF(INT(($A214-1)/70)+1&gt;CROQUIS_DATOS!$C$1525,70,MOD($A214-1,70)+1)-2)/2)+1,CROQUIS_DATOS!$C$1541),2)=1,IF(MOD(IF(INT(($A214-1)/70)+1&gt;CROQUIS_DATOS!$C$1525,70,MOD($A214-1,70)+1)-2,2)=0,0,1),IF(MOD(IF(INT(($A214-1)/70)+1&gt;CROQUIS_DATOS!$C$1525,70,MOD($A214-1,70)+1)-2,2)=0,1,0))))=0,(INDEX($E$8:$E$23,MIN(INT(($A214-1)/70)+1,CROQUIS_DATOS!$C$1525))-INDEX($F$8:$F$23,MIN(INT(($A214-1)/70)+1,CROQUIS_DATOS!$C$1525))/2),(INDEX($E$8:$E$23,MIN(INT(($A214-1)/70)+1,CROQUIS_DATOS!$C$1525))+INDEX($F$8:$F$23,MIN(INT(($A214-1)/70)+1,CROQUIS_DATOS!$C$1525))/2)))*CROQUIS_DATOS!$C$1562),-1000)</f>
        <v>33.2413793103448</v>
      </c>
      <c r="O214">
        <f>IF(AND(CROQUIS_DATOS!$C$1472=1,1),(CROQUIS_DATOS!$C$1564+(IF(OR(IF(INT(($A214-1)/70)+1&gt;CROQUIS_DATOS!$C$1525,70,MOD($A214-1,70)+1)=1,IF(INT(($A214-1)/70)+1&gt;CROQUIS_DATOS!$C$1525,70,MOD($A214-1,70)+1)&gt;2*CROQUIS_DATOS!$C$1541+1),CROQUIS_DATOS!$C$1476,INDEX($H$8:$H$41,MIN(INT((IF(INT(($A214-1)/70)+1&gt;CROQUIS_DATOS!$C$1525,70,MOD($A214-1,70)+1)-2)/2)+1,CROQUIS_DATOS!$C$1541))))*CROQUIS_DATOS!$C$1561*CROQUIS_DATOS!$C$1562),-1000)</f>
        <v>40.2068965517241</v>
      </c>
      <c r="P214">
        <f>IF(AND(CROQUIS_DATOS!$C$1472=1,CROQUIS_DATOS!$C$1555=1),(CROQUIS_DATOS!$C$1563+(IF(IF(OR(MOD($A214-1,62)+1=1,IF(CHOOSE(MIN(MAX(MIN(INT(($A214-1)/62)+1,5),1),5),CROQUIS_DATOS!$C$1501,CROQUIS_DATOS!$C$1505,CROQUIS_DATOS!$C$1509,CROQUIS_DATOS!$C$1513,CROQUIS_DATOS!$C$1517)=1,CROQUIS_DATOS!$C$1557,0)=0),0,IF(MOD($A214-1,62)+1&gt;2*IF(CHOOSE(MIN(MAX(MIN(INT(($A214-1)/62)+1,5),1),5),CROQUIS_DATOS!$C$1501,CROQUIS_DATOS!$C$1505,CROQUIS_DATOS!$C$1509,CROQUIS_DATOS!$C$1513,CROQUIS_DATOS!$C$1517)=1,CROQUIS_DATOS!$C$1557,0)+1,IF(MOD(IF(CHOOSE(MIN(MAX(MIN(INT(($A214-1)/62)+1,5),1),5),CROQUIS_DATOS!$C$1501,CROQUIS_DATOS!$C$1505,CROQUIS_DATOS!$C$1509,CROQUIS_DATOS!$C$1513,CROQUIS_DATOS!$C$1517)=1,CROQUIS_DATOS!$C$1557,0),2)=1,1,0),IF(MOD(MIN(INT((MOD($A214-1,62)+1-2)/2)+1,MAX(IF(CHOOSE(MIN(MAX(MIN(INT(($A214-1)/62)+1,5),1),5),CROQUIS_DATOS!$C$1501,CROQUIS_DATOS!$C$1505,CROQUIS_DATOS!$C$1509,CROQUIS_DATOS!$C$1513,CROQUIS_DATOS!$C$1517)=1,CROQUIS_DATOS!$C$1557,0),1)),2)=1,IF(MOD(MOD($A214-1,62)+1-2,2)=0,0,1),IF(MOD(MOD($A214-1,62)+1-2,2)=0,1,0))))=0,(CHOOSE(MIN(MAX(MIN(INT(($A214-1)/62)+1,5),1),5),CROQUIS_DATOS!$C$1499,CROQUIS_DATOS!$C$1503,CROQUIS_DATOS!$C$1507,CROQUIS_DATOS!$C$1511,CROQUIS_DATOS!$C$1515)+IF(CHOOSE(MIN(MAX(MIN(INT(($A214-1)/62)+1,5),1),5),CROQUIS_DATOS!$C$1501,CROQUIS_DATOS!$C$1505,CROQUIS_DATOS!$C$1509,CROQUIS_DATOS!$C$1513,CROQUIS_DATOS!$C$1517)=1,CROQUIS_DATOS!$C$1526,0)),(CHOOSE(MIN(MAX(MIN(INT(($A214-1)/62)+1,5),1),5),CROQUIS_DATOS!$C$1499,CROQUIS_DATOS!$C$1503,CROQUIS_DATOS!$C$1507,CROQUIS_DATOS!$C$1511,CROQUIS_DATOS!$C$1515)+CHOOSE(MIN(MAX(MIN(INT(($A214-1)/62)+1,5),1),5),CROQUIS_DATOS!$C$1500,CROQUIS_DATOS!$C$1504,CROQUIS_DATOS!$C$1508,CROQUIS_DATOS!$C$1512,CROQUIS_DATOS!$C$1516)-IF(CHOOSE(MIN(MAX(MIN(INT(($A214-1)/62)+1,5),1),5),CROQUIS_DATOS!$C$1501,CROQUIS_DATOS!$C$1505,CROQUIS_DATOS!$C$1509,CROQUIS_DATOS!$C$1513,CROQUIS_DATOS!$C$1517)=1,CROQUIS_DATOS!$C$1526,0))))*CROQUIS_DATOS!$C$1562),-1000)</f>
        <v>-1000</v>
      </c>
      <c r="Q214">
        <f>IF(AND(CROQUIS_DATOS!$C$1472=1,CROQUIS_DATOS!$C$1555=1),(CROQUIS_DATOS!$C$1564+(IF(OR(OR(MOD($A214-1,62)+1=1,IF(CHOOSE(MIN(MAX(MIN(INT(($A214-1)/62)+1,5),1),5),CROQUIS_DATOS!$C$1501,CROQUIS_DATOS!$C$1505,CROQUIS_DATOS!$C$1509,CROQUIS_DATOS!$C$1513,CROQUIS_DATOS!$C$1517)=1,CROQUIS_DATOS!$C$1557,0)=0),MOD($A214-1,62)+1&gt;2*IF(CHOOSE(MIN(MAX(MIN(INT(($A214-1)/62)+1,5),1),5),CROQUIS_DATOS!$C$1501,CROQUIS_DATOS!$C$1505,CROQUIS_DATOS!$C$1509,CROQUIS_DATOS!$C$1513,CROQUIS_DATOS!$C$1517)=1,CROQUIS_DATOS!$C$1557,0)+1),CROQUIS_DATOS!$C$1476,MIN(INT((MOD($A214-1,62)+1-2)/2)+1,MAX(IF(CHOOSE(MIN(MAX(MIN(INT(($A214-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4">
        <f>IF(AND(CROQUIS_DATOS!$C$1472=1,1),(CROQUIS_DATOS!$C$1563+(MIN(INT(($A214-1)/2)+1,CROQUIS_DATOS!$C$1558)*CROQUIS_DATOS!$C$1559)*CROQUIS_DATOS!$C$1562),-1000)</f>
        <v>82.2281167108753</v>
      </c>
      <c r="U214">
        <f>IF(AND(CROQUIS_DATOS!$C$1472=1,1),(CROQUIS_DATOS!$C$1564+(IF(INT(($A214-1)/2)+1&gt;CROQUIS_DATOS!$C$1558,IF(MOD(CROQUIS_DATOS!$C$1558,2)=1,CROQUIS_DATOS!$C$1476+CROQUIS_DATOS!$C$1528,CROQUIS_DATOS!$C$1476),IF(IF(MOD(MIN(INT(($A214-1)/2)+1,CROQUIS_DATOS!$C$1558),2)=1,MOD($A214-1,2),1-MOD($A214-1,2))=1,CROQUIS_DATOS!$C$1476+CROQUIS_DATOS!$C$1528,CROQUIS_DATOS!$C$1476)))*CROQUIS_DATOS!$C$1561*CROQUIS_DATOS!$C$1562),-1000)</f>
        <v>43</v>
      </c>
    </row>
    <row r="215">
      <c r="A215" t="n">
        <v>208</v>
      </c>
      <c r="N215">
        <f>IF(AND(CROQUIS_DATOS!$C$1472=1,1),(CROQUIS_DATOS!$C$1563+(IF(IF(IF(INT(($A215-1)/70)+1&gt;CROQUIS_DATOS!$C$1525,70,MOD($A215-1,70)+1)=1,0,IF(IF(INT(($A215-1)/70)+1&gt;CROQUIS_DATOS!$C$1525,70,MOD($A215-1,70)+1)&gt;2*CROQUIS_DATOS!$C$1541+1,IF(MOD(CROQUIS_DATOS!$C$1541,2)=1,1,0),IF(MOD(MIN(INT((IF(INT(($A215-1)/70)+1&gt;CROQUIS_DATOS!$C$1525,70,MOD($A215-1,70)+1)-2)/2)+1,CROQUIS_DATOS!$C$1541),2)=1,IF(MOD(IF(INT(($A215-1)/70)+1&gt;CROQUIS_DATOS!$C$1525,70,MOD($A215-1,70)+1)-2,2)=0,0,1),IF(MOD(IF(INT(($A215-1)/70)+1&gt;CROQUIS_DATOS!$C$1525,70,MOD($A215-1,70)+1)-2,2)=0,1,0))))=0,(INDEX($E$8:$E$23,MIN(INT(($A215-1)/70)+1,CROQUIS_DATOS!$C$1525))-INDEX($F$8:$F$23,MIN(INT(($A215-1)/70)+1,CROQUIS_DATOS!$C$1525))/2),(INDEX($E$8:$E$23,MIN(INT(($A215-1)/70)+1,CROQUIS_DATOS!$C$1525))+INDEX($F$8:$F$23,MIN(INT(($A215-1)/70)+1,CROQUIS_DATOS!$C$1525))/2)))*CROQUIS_DATOS!$C$1562),-1000)</f>
        <v>33.2413793103448</v>
      </c>
      <c r="O215">
        <f>IF(AND(CROQUIS_DATOS!$C$1472=1,1),(CROQUIS_DATOS!$C$1564+(IF(OR(IF(INT(($A215-1)/70)+1&gt;CROQUIS_DATOS!$C$1525,70,MOD($A215-1,70)+1)=1,IF(INT(($A215-1)/70)+1&gt;CROQUIS_DATOS!$C$1525,70,MOD($A215-1,70)+1)&gt;2*CROQUIS_DATOS!$C$1541+1),CROQUIS_DATOS!$C$1476,INDEX($H$8:$H$41,MIN(INT((IF(INT(($A215-1)/70)+1&gt;CROQUIS_DATOS!$C$1525,70,MOD($A215-1,70)+1)-2)/2)+1,CROQUIS_DATOS!$C$1541))))*CROQUIS_DATOS!$C$1561*CROQUIS_DATOS!$C$1562),-1000)</f>
        <v>40.2068965517241</v>
      </c>
      <c r="P215">
        <f>IF(AND(CROQUIS_DATOS!$C$1472=1,CROQUIS_DATOS!$C$1555=1),(CROQUIS_DATOS!$C$1563+(IF(IF(OR(MOD($A215-1,62)+1=1,IF(CHOOSE(MIN(MAX(MIN(INT(($A215-1)/62)+1,5),1),5),CROQUIS_DATOS!$C$1501,CROQUIS_DATOS!$C$1505,CROQUIS_DATOS!$C$1509,CROQUIS_DATOS!$C$1513,CROQUIS_DATOS!$C$1517)=1,CROQUIS_DATOS!$C$1557,0)=0),0,IF(MOD($A215-1,62)+1&gt;2*IF(CHOOSE(MIN(MAX(MIN(INT(($A215-1)/62)+1,5),1),5),CROQUIS_DATOS!$C$1501,CROQUIS_DATOS!$C$1505,CROQUIS_DATOS!$C$1509,CROQUIS_DATOS!$C$1513,CROQUIS_DATOS!$C$1517)=1,CROQUIS_DATOS!$C$1557,0)+1,IF(MOD(IF(CHOOSE(MIN(MAX(MIN(INT(($A215-1)/62)+1,5),1),5),CROQUIS_DATOS!$C$1501,CROQUIS_DATOS!$C$1505,CROQUIS_DATOS!$C$1509,CROQUIS_DATOS!$C$1513,CROQUIS_DATOS!$C$1517)=1,CROQUIS_DATOS!$C$1557,0),2)=1,1,0),IF(MOD(MIN(INT((MOD($A215-1,62)+1-2)/2)+1,MAX(IF(CHOOSE(MIN(MAX(MIN(INT(($A215-1)/62)+1,5),1),5),CROQUIS_DATOS!$C$1501,CROQUIS_DATOS!$C$1505,CROQUIS_DATOS!$C$1509,CROQUIS_DATOS!$C$1513,CROQUIS_DATOS!$C$1517)=1,CROQUIS_DATOS!$C$1557,0),1)),2)=1,IF(MOD(MOD($A215-1,62)+1-2,2)=0,0,1),IF(MOD(MOD($A215-1,62)+1-2,2)=0,1,0))))=0,(CHOOSE(MIN(MAX(MIN(INT(($A215-1)/62)+1,5),1),5),CROQUIS_DATOS!$C$1499,CROQUIS_DATOS!$C$1503,CROQUIS_DATOS!$C$1507,CROQUIS_DATOS!$C$1511,CROQUIS_DATOS!$C$1515)+IF(CHOOSE(MIN(MAX(MIN(INT(($A215-1)/62)+1,5),1),5),CROQUIS_DATOS!$C$1501,CROQUIS_DATOS!$C$1505,CROQUIS_DATOS!$C$1509,CROQUIS_DATOS!$C$1513,CROQUIS_DATOS!$C$1517)=1,CROQUIS_DATOS!$C$1526,0)),(CHOOSE(MIN(MAX(MIN(INT(($A215-1)/62)+1,5),1),5),CROQUIS_DATOS!$C$1499,CROQUIS_DATOS!$C$1503,CROQUIS_DATOS!$C$1507,CROQUIS_DATOS!$C$1511,CROQUIS_DATOS!$C$1515)+CHOOSE(MIN(MAX(MIN(INT(($A215-1)/62)+1,5),1),5),CROQUIS_DATOS!$C$1500,CROQUIS_DATOS!$C$1504,CROQUIS_DATOS!$C$1508,CROQUIS_DATOS!$C$1512,CROQUIS_DATOS!$C$1516)-IF(CHOOSE(MIN(MAX(MIN(INT(($A215-1)/62)+1,5),1),5),CROQUIS_DATOS!$C$1501,CROQUIS_DATOS!$C$1505,CROQUIS_DATOS!$C$1509,CROQUIS_DATOS!$C$1513,CROQUIS_DATOS!$C$1517)=1,CROQUIS_DATOS!$C$1526,0))))*CROQUIS_DATOS!$C$1562),-1000)</f>
        <v>-1000</v>
      </c>
      <c r="Q215">
        <f>IF(AND(CROQUIS_DATOS!$C$1472=1,CROQUIS_DATOS!$C$1555=1),(CROQUIS_DATOS!$C$1564+(IF(OR(OR(MOD($A215-1,62)+1=1,IF(CHOOSE(MIN(MAX(MIN(INT(($A215-1)/62)+1,5),1),5),CROQUIS_DATOS!$C$1501,CROQUIS_DATOS!$C$1505,CROQUIS_DATOS!$C$1509,CROQUIS_DATOS!$C$1513,CROQUIS_DATOS!$C$1517)=1,CROQUIS_DATOS!$C$1557,0)=0),MOD($A215-1,62)+1&gt;2*IF(CHOOSE(MIN(MAX(MIN(INT(($A215-1)/62)+1,5),1),5),CROQUIS_DATOS!$C$1501,CROQUIS_DATOS!$C$1505,CROQUIS_DATOS!$C$1509,CROQUIS_DATOS!$C$1513,CROQUIS_DATOS!$C$1517)=1,CROQUIS_DATOS!$C$1557,0)+1),CROQUIS_DATOS!$C$1476,MIN(INT((MOD($A215-1,62)+1-2)/2)+1,MAX(IF(CHOOSE(MIN(MAX(MIN(INT(($A215-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5">
        <f>IF(AND(CROQUIS_DATOS!$C$1472=1,1),(CROQUIS_DATOS!$C$1563+(MIN(INT(($A215-1)/2)+1,CROQUIS_DATOS!$C$1558)*CROQUIS_DATOS!$C$1559)*CROQUIS_DATOS!$C$1562),-1000)</f>
        <v>82.2281167108753</v>
      </c>
      <c r="U215">
        <f>IF(AND(CROQUIS_DATOS!$C$1472=1,1),(CROQUIS_DATOS!$C$1564+(IF(INT(($A215-1)/2)+1&gt;CROQUIS_DATOS!$C$1558,IF(MOD(CROQUIS_DATOS!$C$1558,2)=1,CROQUIS_DATOS!$C$1476+CROQUIS_DATOS!$C$1528,CROQUIS_DATOS!$C$1476),IF(IF(MOD(MIN(INT(($A215-1)/2)+1,CROQUIS_DATOS!$C$1558),2)=1,MOD($A215-1,2),1-MOD($A215-1,2))=1,CROQUIS_DATOS!$C$1476+CROQUIS_DATOS!$C$1528,CROQUIS_DATOS!$C$1476)))*CROQUIS_DATOS!$C$1561*CROQUIS_DATOS!$C$1562),-1000)</f>
        <v>43</v>
      </c>
    </row>
    <row r="216">
      <c r="A216" t="n">
        <v>209</v>
      </c>
      <c r="N216">
        <f>IF(AND(CROQUIS_DATOS!$C$1472=1,1),(CROQUIS_DATOS!$C$1563+(IF(IF(IF(INT(($A216-1)/70)+1&gt;CROQUIS_DATOS!$C$1525,70,MOD($A216-1,70)+1)=1,0,IF(IF(INT(($A216-1)/70)+1&gt;CROQUIS_DATOS!$C$1525,70,MOD($A216-1,70)+1)&gt;2*CROQUIS_DATOS!$C$1541+1,IF(MOD(CROQUIS_DATOS!$C$1541,2)=1,1,0),IF(MOD(MIN(INT((IF(INT(($A216-1)/70)+1&gt;CROQUIS_DATOS!$C$1525,70,MOD($A216-1,70)+1)-2)/2)+1,CROQUIS_DATOS!$C$1541),2)=1,IF(MOD(IF(INT(($A216-1)/70)+1&gt;CROQUIS_DATOS!$C$1525,70,MOD($A216-1,70)+1)-2,2)=0,0,1),IF(MOD(IF(INT(($A216-1)/70)+1&gt;CROQUIS_DATOS!$C$1525,70,MOD($A216-1,70)+1)-2,2)=0,1,0))))=0,(INDEX($E$8:$E$23,MIN(INT(($A216-1)/70)+1,CROQUIS_DATOS!$C$1525))-INDEX($F$8:$F$23,MIN(INT(($A216-1)/70)+1,CROQUIS_DATOS!$C$1525))/2),(INDEX($E$8:$E$23,MIN(INT(($A216-1)/70)+1,CROQUIS_DATOS!$C$1525))+INDEX($F$8:$F$23,MIN(INT(($A216-1)/70)+1,CROQUIS_DATOS!$C$1525))/2)))*CROQUIS_DATOS!$C$1562),-1000)</f>
        <v>33.2413793103448</v>
      </c>
      <c r="O216">
        <f>IF(AND(CROQUIS_DATOS!$C$1472=1,1),(CROQUIS_DATOS!$C$1564+(IF(OR(IF(INT(($A216-1)/70)+1&gt;CROQUIS_DATOS!$C$1525,70,MOD($A216-1,70)+1)=1,IF(INT(($A216-1)/70)+1&gt;CROQUIS_DATOS!$C$1525,70,MOD($A216-1,70)+1)&gt;2*CROQUIS_DATOS!$C$1541+1),CROQUIS_DATOS!$C$1476,INDEX($H$8:$H$41,MIN(INT((IF(INT(($A216-1)/70)+1&gt;CROQUIS_DATOS!$C$1525,70,MOD($A216-1,70)+1)-2)/2)+1,CROQUIS_DATOS!$C$1541))))*CROQUIS_DATOS!$C$1561*CROQUIS_DATOS!$C$1562),-1000)</f>
        <v>40.2068965517241</v>
      </c>
      <c r="P216">
        <f>IF(AND(CROQUIS_DATOS!$C$1472=1,CROQUIS_DATOS!$C$1555=1),(CROQUIS_DATOS!$C$1563+(IF(IF(OR(MOD($A216-1,62)+1=1,IF(CHOOSE(MIN(MAX(MIN(INT(($A216-1)/62)+1,5),1),5),CROQUIS_DATOS!$C$1501,CROQUIS_DATOS!$C$1505,CROQUIS_DATOS!$C$1509,CROQUIS_DATOS!$C$1513,CROQUIS_DATOS!$C$1517)=1,CROQUIS_DATOS!$C$1557,0)=0),0,IF(MOD($A216-1,62)+1&gt;2*IF(CHOOSE(MIN(MAX(MIN(INT(($A216-1)/62)+1,5),1),5),CROQUIS_DATOS!$C$1501,CROQUIS_DATOS!$C$1505,CROQUIS_DATOS!$C$1509,CROQUIS_DATOS!$C$1513,CROQUIS_DATOS!$C$1517)=1,CROQUIS_DATOS!$C$1557,0)+1,IF(MOD(IF(CHOOSE(MIN(MAX(MIN(INT(($A216-1)/62)+1,5),1),5),CROQUIS_DATOS!$C$1501,CROQUIS_DATOS!$C$1505,CROQUIS_DATOS!$C$1509,CROQUIS_DATOS!$C$1513,CROQUIS_DATOS!$C$1517)=1,CROQUIS_DATOS!$C$1557,0),2)=1,1,0),IF(MOD(MIN(INT((MOD($A216-1,62)+1-2)/2)+1,MAX(IF(CHOOSE(MIN(MAX(MIN(INT(($A216-1)/62)+1,5),1),5),CROQUIS_DATOS!$C$1501,CROQUIS_DATOS!$C$1505,CROQUIS_DATOS!$C$1509,CROQUIS_DATOS!$C$1513,CROQUIS_DATOS!$C$1517)=1,CROQUIS_DATOS!$C$1557,0),1)),2)=1,IF(MOD(MOD($A216-1,62)+1-2,2)=0,0,1),IF(MOD(MOD($A216-1,62)+1-2,2)=0,1,0))))=0,(CHOOSE(MIN(MAX(MIN(INT(($A216-1)/62)+1,5),1),5),CROQUIS_DATOS!$C$1499,CROQUIS_DATOS!$C$1503,CROQUIS_DATOS!$C$1507,CROQUIS_DATOS!$C$1511,CROQUIS_DATOS!$C$1515)+IF(CHOOSE(MIN(MAX(MIN(INT(($A216-1)/62)+1,5),1),5),CROQUIS_DATOS!$C$1501,CROQUIS_DATOS!$C$1505,CROQUIS_DATOS!$C$1509,CROQUIS_DATOS!$C$1513,CROQUIS_DATOS!$C$1517)=1,CROQUIS_DATOS!$C$1526,0)),(CHOOSE(MIN(MAX(MIN(INT(($A216-1)/62)+1,5),1),5),CROQUIS_DATOS!$C$1499,CROQUIS_DATOS!$C$1503,CROQUIS_DATOS!$C$1507,CROQUIS_DATOS!$C$1511,CROQUIS_DATOS!$C$1515)+CHOOSE(MIN(MAX(MIN(INT(($A216-1)/62)+1,5),1),5),CROQUIS_DATOS!$C$1500,CROQUIS_DATOS!$C$1504,CROQUIS_DATOS!$C$1508,CROQUIS_DATOS!$C$1512,CROQUIS_DATOS!$C$1516)-IF(CHOOSE(MIN(MAX(MIN(INT(($A216-1)/62)+1,5),1),5),CROQUIS_DATOS!$C$1501,CROQUIS_DATOS!$C$1505,CROQUIS_DATOS!$C$1509,CROQUIS_DATOS!$C$1513,CROQUIS_DATOS!$C$1517)=1,CROQUIS_DATOS!$C$1526,0))))*CROQUIS_DATOS!$C$1562),-1000)</f>
        <v>-1000</v>
      </c>
      <c r="Q216">
        <f>IF(AND(CROQUIS_DATOS!$C$1472=1,CROQUIS_DATOS!$C$1555=1),(CROQUIS_DATOS!$C$1564+(IF(OR(OR(MOD($A216-1,62)+1=1,IF(CHOOSE(MIN(MAX(MIN(INT(($A216-1)/62)+1,5),1),5),CROQUIS_DATOS!$C$1501,CROQUIS_DATOS!$C$1505,CROQUIS_DATOS!$C$1509,CROQUIS_DATOS!$C$1513,CROQUIS_DATOS!$C$1517)=1,CROQUIS_DATOS!$C$1557,0)=0),MOD($A216-1,62)+1&gt;2*IF(CHOOSE(MIN(MAX(MIN(INT(($A216-1)/62)+1,5),1),5),CROQUIS_DATOS!$C$1501,CROQUIS_DATOS!$C$1505,CROQUIS_DATOS!$C$1509,CROQUIS_DATOS!$C$1513,CROQUIS_DATOS!$C$1517)=1,CROQUIS_DATOS!$C$1557,0)+1),CROQUIS_DATOS!$C$1476,MIN(INT((MOD($A216-1,62)+1-2)/2)+1,MAX(IF(CHOOSE(MIN(MAX(MIN(INT(($A216-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6">
        <f>IF(AND(CROQUIS_DATOS!$C$1472=1,1),(CROQUIS_DATOS!$C$1563+(MIN(INT(($A216-1)/2)+1,CROQUIS_DATOS!$C$1558)*CROQUIS_DATOS!$C$1559)*CROQUIS_DATOS!$C$1562),-1000)</f>
        <v>82.2281167108753</v>
      </c>
      <c r="U216">
        <f>IF(AND(CROQUIS_DATOS!$C$1472=1,1),(CROQUIS_DATOS!$C$1564+(IF(INT(($A216-1)/2)+1&gt;CROQUIS_DATOS!$C$1558,IF(MOD(CROQUIS_DATOS!$C$1558,2)=1,CROQUIS_DATOS!$C$1476+CROQUIS_DATOS!$C$1528,CROQUIS_DATOS!$C$1476),IF(IF(MOD(MIN(INT(($A216-1)/2)+1,CROQUIS_DATOS!$C$1558),2)=1,MOD($A216-1,2),1-MOD($A216-1,2))=1,CROQUIS_DATOS!$C$1476+CROQUIS_DATOS!$C$1528,CROQUIS_DATOS!$C$1476)))*CROQUIS_DATOS!$C$1561*CROQUIS_DATOS!$C$1562),-1000)</f>
        <v>43</v>
      </c>
    </row>
    <row r="217">
      <c r="A217" t="n">
        <v>210</v>
      </c>
      <c r="N217">
        <f>IF(AND(CROQUIS_DATOS!$C$1472=1,1),(CROQUIS_DATOS!$C$1563+(IF(IF(IF(INT(($A217-1)/70)+1&gt;CROQUIS_DATOS!$C$1525,70,MOD($A217-1,70)+1)=1,0,IF(IF(INT(($A217-1)/70)+1&gt;CROQUIS_DATOS!$C$1525,70,MOD($A217-1,70)+1)&gt;2*CROQUIS_DATOS!$C$1541+1,IF(MOD(CROQUIS_DATOS!$C$1541,2)=1,1,0),IF(MOD(MIN(INT((IF(INT(($A217-1)/70)+1&gt;CROQUIS_DATOS!$C$1525,70,MOD($A217-1,70)+1)-2)/2)+1,CROQUIS_DATOS!$C$1541),2)=1,IF(MOD(IF(INT(($A217-1)/70)+1&gt;CROQUIS_DATOS!$C$1525,70,MOD($A217-1,70)+1)-2,2)=0,0,1),IF(MOD(IF(INT(($A217-1)/70)+1&gt;CROQUIS_DATOS!$C$1525,70,MOD($A217-1,70)+1)-2,2)=0,1,0))))=0,(INDEX($E$8:$E$23,MIN(INT(($A217-1)/70)+1,CROQUIS_DATOS!$C$1525))-INDEX($F$8:$F$23,MIN(INT(($A217-1)/70)+1,CROQUIS_DATOS!$C$1525))/2),(INDEX($E$8:$E$23,MIN(INT(($A217-1)/70)+1,CROQUIS_DATOS!$C$1525))+INDEX($F$8:$F$23,MIN(INT(($A217-1)/70)+1,CROQUIS_DATOS!$C$1525))/2)))*CROQUIS_DATOS!$C$1562),-1000)</f>
        <v>33.2413793103448</v>
      </c>
      <c r="O217">
        <f>IF(AND(CROQUIS_DATOS!$C$1472=1,1),(CROQUIS_DATOS!$C$1564+(IF(OR(IF(INT(($A217-1)/70)+1&gt;CROQUIS_DATOS!$C$1525,70,MOD($A217-1,70)+1)=1,IF(INT(($A217-1)/70)+1&gt;CROQUIS_DATOS!$C$1525,70,MOD($A217-1,70)+1)&gt;2*CROQUIS_DATOS!$C$1541+1),CROQUIS_DATOS!$C$1476,INDEX($H$8:$H$41,MIN(INT((IF(INT(($A217-1)/70)+1&gt;CROQUIS_DATOS!$C$1525,70,MOD($A217-1,70)+1)-2)/2)+1,CROQUIS_DATOS!$C$1541))))*CROQUIS_DATOS!$C$1561*CROQUIS_DATOS!$C$1562),-1000)</f>
        <v>40.2068965517241</v>
      </c>
      <c r="P217">
        <f>IF(AND(CROQUIS_DATOS!$C$1472=1,CROQUIS_DATOS!$C$1555=1),(CROQUIS_DATOS!$C$1563+(IF(IF(OR(MOD($A217-1,62)+1=1,IF(CHOOSE(MIN(MAX(MIN(INT(($A217-1)/62)+1,5),1),5),CROQUIS_DATOS!$C$1501,CROQUIS_DATOS!$C$1505,CROQUIS_DATOS!$C$1509,CROQUIS_DATOS!$C$1513,CROQUIS_DATOS!$C$1517)=1,CROQUIS_DATOS!$C$1557,0)=0),0,IF(MOD($A217-1,62)+1&gt;2*IF(CHOOSE(MIN(MAX(MIN(INT(($A217-1)/62)+1,5),1),5),CROQUIS_DATOS!$C$1501,CROQUIS_DATOS!$C$1505,CROQUIS_DATOS!$C$1509,CROQUIS_DATOS!$C$1513,CROQUIS_DATOS!$C$1517)=1,CROQUIS_DATOS!$C$1557,0)+1,IF(MOD(IF(CHOOSE(MIN(MAX(MIN(INT(($A217-1)/62)+1,5),1),5),CROQUIS_DATOS!$C$1501,CROQUIS_DATOS!$C$1505,CROQUIS_DATOS!$C$1509,CROQUIS_DATOS!$C$1513,CROQUIS_DATOS!$C$1517)=1,CROQUIS_DATOS!$C$1557,0),2)=1,1,0),IF(MOD(MIN(INT((MOD($A217-1,62)+1-2)/2)+1,MAX(IF(CHOOSE(MIN(MAX(MIN(INT(($A217-1)/62)+1,5),1),5),CROQUIS_DATOS!$C$1501,CROQUIS_DATOS!$C$1505,CROQUIS_DATOS!$C$1509,CROQUIS_DATOS!$C$1513,CROQUIS_DATOS!$C$1517)=1,CROQUIS_DATOS!$C$1557,0),1)),2)=1,IF(MOD(MOD($A217-1,62)+1-2,2)=0,0,1),IF(MOD(MOD($A217-1,62)+1-2,2)=0,1,0))))=0,(CHOOSE(MIN(MAX(MIN(INT(($A217-1)/62)+1,5),1),5),CROQUIS_DATOS!$C$1499,CROQUIS_DATOS!$C$1503,CROQUIS_DATOS!$C$1507,CROQUIS_DATOS!$C$1511,CROQUIS_DATOS!$C$1515)+IF(CHOOSE(MIN(MAX(MIN(INT(($A217-1)/62)+1,5),1),5),CROQUIS_DATOS!$C$1501,CROQUIS_DATOS!$C$1505,CROQUIS_DATOS!$C$1509,CROQUIS_DATOS!$C$1513,CROQUIS_DATOS!$C$1517)=1,CROQUIS_DATOS!$C$1526,0)),(CHOOSE(MIN(MAX(MIN(INT(($A217-1)/62)+1,5),1),5),CROQUIS_DATOS!$C$1499,CROQUIS_DATOS!$C$1503,CROQUIS_DATOS!$C$1507,CROQUIS_DATOS!$C$1511,CROQUIS_DATOS!$C$1515)+CHOOSE(MIN(MAX(MIN(INT(($A217-1)/62)+1,5),1),5),CROQUIS_DATOS!$C$1500,CROQUIS_DATOS!$C$1504,CROQUIS_DATOS!$C$1508,CROQUIS_DATOS!$C$1512,CROQUIS_DATOS!$C$1516)-IF(CHOOSE(MIN(MAX(MIN(INT(($A217-1)/62)+1,5),1),5),CROQUIS_DATOS!$C$1501,CROQUIS_DATOS!$C$1505,CROQUIS_DATOS!$C$1509,CROQUIS_DATOS!$C$1513,CROQUIS_DATOS!$C$1517)=1,CROQUIS_DATOS!$C$1526,0))))*CROQUIS_DATOS!$C$1562),-1000)</f>
        <v>-1000</v>
      </c>
      <c r="Q217">
        <f>IF(AND(CROQUIS_DATOS!$C$1472=1,CROQUIS_DATOS!$C$1555=1),(CROQUIS_DATOS!$C$1564+(IF(OR(OR(MOD($A217-1,62)+1=1,IF(CHOOSE(MIN(MAX(MIN(INT(($A217-1)/62)+1,5),1),5),CROQUIS_DATOS!$C$1501,CROQUIS_DATOS!$C$1505,CROQUIS_DATOS!$C$1509,CROQUIS_DATOS!$C$1513,CROQUIS_DATOS!$C$1517)=1,CROQUIS_DATOS!$C$1557,0)=0),MOD($A217-1,62)+1&gt;2*IF(CHOOSE(MIN(MAX(MIN(INT(($A217-1)/62)+1,5),1),5),CROQUIS_DATOS!$C$1501,CROQUIS_DATOS!$C$1505,CROQUIS_DATOS!$C$1509,CROQUIS_DATOS!$C$1513,CROQUIS_DATOS!$C$1517)=1,CROQUIS_DATOS!$C$1557,0)+1),CROQUIS_DATOS!$C$1476,MIN(INT((MOD($A217-1,62)+1-2)/2)+1,MAX(IF(CHOOSE(MIN(MAX(MIN(INT(($A217-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7">
        <f>IF(AND(CROQUIS_DATOS!$C$1472=1,1),(CROQUIS_DATOS!$C$1563+(MIN(INT(($A217-1)/2)+1,CROQUIS_DATOS!$C$1558)*CROQUIS_DATOS!$C$1559)*CROQUIS_DATOS!$C$1562),-1000)</f>
        <v>82.2281167108753</v>
      </c>
      <c r="U217">
        <f>IF(AND(CROQUIS_DATOS!$C$1472=1,1),(CROQUIS_DATOS!$C$1564+(IF(INT(($A217-1)/2)+1&gt;CROQUIS_DATOS!$C$1558,IF(MOD(CROQUIS_DATOS!$C$1558,2)=1,CROQUIS_DATOS!$C$1476+CROQUIS_DATOS!$C$1528,CROQUIS_DATOS!$C$1476),IF(IF(MOD(MIN(INT(($A217-1)/2)+1,CROQUIS_DATOS!$C$1558),2)=1,MOD($A217-1,2),1-MOD($A217-1,2))=1,CROQUIS_DATOS!$C$1476+CROQUIS_DATOS!$C$1528,CROQUIS_DATOS!$C$1476)))*CROQUIS_DATOS!$C$1561*CROQUIS_DATOS!$C$1562),-1000)</f>
        <v>43</v>
      </c>
    </row>
    <row r="218">
      <c r="A218" t="n">
        <v>211</v>
      </c>
      <c r="N218">
        <f>IF(AND(CROQUIS_DATOS!$C$1472=1,1),(CROQUIS_DATOS!$C$1563+(IF(IF(IF(INT(($A218-1)/70)+1&gt;CROQUIS_DATOS!$C$1525,70,MOD($A218-1,70)+1)=1,0,IF(IF(INT(($A218-1)/70)+1&gt;CROQUIS_DATOS!$C$1525,70,MOD($A218-1,70)+1)&gt;2*CROQUIS_DATOS!$C$1541+1,IF(MOD(CROQUIS_DATOS!$C$1541,2)=1,1,0),IF(MOD(MIN(INT((IF(INT(($A218-1)/70)+1&gt;CROQUIS_DATOS!$C$1525,70,MOD($A218-1,70)+1)-2)/2)+1,CROQUIS_DATOS!$C$1541),2)=1,IF(MOD(IF(INT(($A218-1)/70)+1&gt;CROQUIS_DATOS!$C$1525,70,MOD($A218-1,70)+1)-2,2)=0,0,1),IF(MOD(IF(INT(($A218-1)/70)+1&gt;CROQUIS_DATOS!$C$1525,70,MOD($A218-1,70)+1)-2,2)=0,1,0))))=0,(INDEX($E$8:$E$23,MIN(INT(($A218-1)/70)+1,CROQUIS_DATOS!$C$1525))-INDEX($F$8:$F$23,MIN(INT(($A218-1)/70)+1,CROQUIS_DATOS!$C$1525))/2),(INDEX($E$8:$E$23,MIN(INT(($A218-1)/70)+1,CROQUIS_DATOS!$C$1525))+INDEX($F$8:$F$23,MIN(INT(($A218-1)/70)+1,CROQUIS_DATOS!$C$1525))/2)))*CROQUIS_DATOS!$C$1562),-1000)</f>
        <v>45.1120689655172</v>
      </c>
      <c r="O218">
        <f>IF(AND(CROQUIS_DATOS!$C$1472=1,1),(CROQUIS_DATOS!$C$1564+(IF(OR(IF(INT(($A218-1)/70)+1&gt;CROQUIS_DATOS!$C$1525,70,MOD($A218-1,70)+1)=1,IF(INT(($A218-1)/70)+1&gt;CROQUIS_DATOS!$C$1525,70,MOD($A218-1,70)+1)&gt;2*CROQUIS_DATOS!$C$1541+1),CROQUIS_DATOS!$C$1476,INDEX($H$8:$H$41,MIN(INT((IF(INT(($A218-1)/70)+1&gt;CROQUIS_DATOS!$C$1525,70,MOD($A218-1,70)+1)-2)/2)+1,CROQUIS_DATOS!$C$1541))))*CROQUIS_DATOS!$C$1561*CROQUIS_DATOS!$C$1562),-1000)</f>
        <v>40.2068965517241</v>
      </c>
      <c r="P218">
        <f>IF(AND(CROQUIS_DATOS!$C$1472=1,CROQUIS_DATOS!$C$1555=1),(CROQUIS_DATOS!$C$1563+(IF(IF(OR(MOD($A218-1,62)+1=1,IF(CHOOSE(MIN(MAX(MIN(INT(($A218-1)/62)+1,5),1),5),CROQUIS_DATOS!$C$1501,CROQUIS_DATOS!$C$1505,CROQUIS_DATOS!$C$1509,CROQUIS_DATOS!$C$1513,CROQUIS_DATOS!$C$1517)=1,CROQUIS_DATOS!$C$1557,0)=0),0,IF(MOD($A218-1,62)+1&gt;2*IF(CHOOSE(MIN(MAX(MIN(INT(($A218-1)/62)+1,5),1),5),CROQUIS_DATOS!$C$1501,CROQUIS_DATOS!$C$1505,CROQUIS_DATOS!$C$1509,CROQUIS_DATOS!$C$1513,CROQUIS_DATOS!$C$1517)=1,CROQUIS_DATOS!$C$1557,0)+1,IF(MOD(IF(CHOOSE(MIN(MAX(MIN(INT(($A218-1)/62)+1,5),1),5),CROQUIS_DATOS!$C$1501,CROQUIS_DATOS!$C$1505,CROQUIS_DATOS!$C$1509,CROQUIS_DATOS!$C$1513,CROQUIS_DATOS!$C$1517)=1,CROQUIS_DATOS!$C$1557,0),2)=1,1,0),IF(MOD(MIN(INT((MOD($A218-1,62)+1-2)/2)+1,MAX(IF(CHOOSE(MIN(MAX(MIN(INT(($A218-1)/62)+1,5),1),5),CROQUIS_DATOS!$C$1501,CROQUIS_DATOS!$C$1505,CROQUIS_DATOS!$C$1509,CROQUIS_DATOS!$C$1513,CROQUIS_DATOS!$C$1517)=1,CROQUIS_DATOS!$C$1557,0),1)),2)=1,IF(MOD(MOD($A218-1,62)+1-2,2)=0,0,1),IF(MOD(MOD($A218-1,62)+1-2,2)=0,1,0))))=0,(CHOOSE(MIN(MAX(MIN(INT(($A218-1)/62)+1,5),1),5),CROQUIS_DATOS!$C$1499,CROQUIS_DATOS!$C$1503,CROQUIS_DATOS!$C$1507,CROQUIS_DATOS!$C$1511,CROQUIS_DATOS!$C$1515)+IF(CHOOSE(MIN(MAX(MIN(INT(($A218-1)/62)+1,5),1),5),CROQUIS_DATOS!$C$1501,CROQUIS_DATOS!$C$1505,CROQUIS_DATOS!$C$1509,CROQUIS_DATOS!$C$1513,CROQUIS_DATOS!$C$1517)=1,CROQUIS_DATOS!$C$1526,0)),(CHOOSE(MIN(MAX(MIN(INT(($A218-1)/62)+1,5),1),5),CROQUIS_DATOS!$C$1499,CROQUIS_DATOS!$C$1503,CROQUIS_DATOS!$C$1507,CROQUIS_DATOS!$C$1511,CROQUIS_DATOS!$C$1515)+CHOOSE(MIN(MAX(MIN(INT(($A218-1)/62)+1,5),1),5),CROQUIS_DATOS!$C$1500,CROQUIS_DATOS!$C$1504,CROQUIS_DATOS!$C$1508,CROQUIS_DATOS!$C$1512,CROQUIS_DATOS!$C$1516)-IF(CHOOSE(MIN(MAX(MIN(INT(($A218-1)/62)+1,5),1),5),CROQUIS_DATOS!$C$1501,CROQUIS_DATOS!$C$1505,CROQUIS_DATOS!$C$1509,CROQUIS_DATOS!$C$1513,CROQUIS_DATOS!$C$1517)=1,CROQUIS_DATOS!$C$1526,0))))*CROQUIS_DATOS!$C$1562),-1000)</f>
        <v>-1000</v>
      </c>
      <c r="Q218">
        <f>IF(AND(CROQUIS_DATOS!$C$1472=1,CROQUIS_DATOS!$C$1555=1),(CROQUIS_DATOS!$C$1564+(IF(OR(OR(MOD($A218-1,62)+1=1,IF(CHOOSE(MIN(MAX(MIN(INT(($A218-1)/62)+1,5),1),5),CROQUIS_DATOS!$C$1501,CROQUIS_DATOS!$C$1505,CROQUIS_DATOS!$C$1509,CROQUIS_DATOS!$C$1513,CROQUIS_DATOS!$C$1517)=1,CROQUIS_DATOS!$C$1557,0)=0),MOD($A218-1,62)+1&gt;2*IF(CHOOSE(MIN(MAX(MIN(INT(($A218-1)/62)+1,5),1),5),CROQUIS_DATOS!$C$1501,CROQUIS_DATOS!$C$1505,CROQUIS_DATOS!$C$1509,CROQUIS_DATOS!$C$1513,CROQUIS_DATOS!$C$1517)=1,CROQUIS_DATOS!$C$1557,0)+1),CROQUIS_DATOS!$C$1476,MIN(INT((MOD($A218-1,62)+1-2)/2)+1,MAX(IF(CHOOSE(MIN(MAX(MIN(INT(($A218-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8">
        <f>IF(AND(CROQUIS_DATOS!$C$1472=1,1),(CROQUIS_DATOS!$C$1563+(MIN(INT(($A218-1)/2)+1,CROQUIS_DATOS!$C$1558)*CROQUIS_DATOS!$C$1559)*CROQUIS_DATOS!$C$1562),-1000)</f>
        <v>82.2281167108753</v>
      </c>
      <c r="U218">
        <f>IF(AND(CROQUIS_DATOS!$C$1472=1,1),(CROQUIS_DATOS!$C$1564+(IF(INT(($A218-1)/2)+1&gt;CROQUIS_DATOS!$C$1558,IF(MOD(CROQUIS_DATOS!$C$1558,2)=1,CROQUIS_DATOS!$C$1476+CROQUIS_DATOS!$C$1528,CROQUIS_DATOS!$C$1476),IF(IF(MOD(MIN(INT(($A218-1)/2)+1,CROQUIS_DATOS!$C$1558),2)=1,MOD($A218-1,2),1-MOD($A218-1,2))=1,CROQUIS_DATOS!$C$1476+CROQUIS_DATOS!$C$1528,CROQUIS_DATOS!$C$1476)))*CROQUIS_DATOS!$C$1561*CROQUIS_DATOS!$C$1562),-1000)</f>
        <v>43</v>
      </c>
    </row>
    <row r="219">
      <c r="A219" t="n">
        <v>212</v>
      </c>
      <c r="N219">
        <f>IF(AND(CROQUIS_DATOS!$C$1472=1,1),(CROQUIS_DATOS!$C$1563+(IF(IF(IF(INT(($A219-1)/70)+1&gt;CROQUIS_DATOS!$C$1525,70,MOD($A219-1,70)+1)=1,0,IF(IF(INT(($A219-1)/70)+1&gt;CROQUIS_DATOS!$C$1525,70,MOD($A219-1,70)+1)&gt;2*CROQUIS_DATOS!$C$1541+1,IF(MOD(CROQUIS_DATOS!$C$1541,2)=1,1,0),IF(MOD(MIN(INT((IF(INT(($A219-1)/70)+1&gt;CROQUIS_DATOS!$C$1525,70,MOD($A219-1,70)+1)-2)/2)+1,CROQUIS_DATOS!$C$1541),2)=1,IF(MOD(IF(INT(($A219-1)/70)+1&gt;CROQUIS_DATOS!$C$1525,70,MOD($A219-1,70)+1)-2,2)=0,0,1),IF(MOD(IF(INT(($A219-1)/70)+1&gt;CROQUIS_DATOS!$C$1525,70,MOD($A219-1,70)+1)-2,2)=0,1,0))))=0,(INDEX($E$8:$E$23,MIN(INT(($A219-1)/70)+1,CROQUIS_DATOS!$C$1525))-INDEX($F$8:$F$23,MIN(INT(($A219-1)/70)+1,CROQUIS_DATOS!$C$1525))/2),(INDEX($E$8:$E$23,MIN(INT(($A219-1)/70)+1,CROQUIS_DATOS!$C$1525))+INDEX($F$8:$F$23,MIN(INT(($A219-1)/70)+1,CROQUIS_DATOS!$C$1525))/2)))*CROQUIS_DATOS!$C$1562),-1000)</f>
        <v>45.1120689655172</v>
      </c>
      <c r="O219">
        <f>IF(AND(CROQUIS_DATOS!$C$1472=1,1),(CROQUIS_DATOS!$C$1564+(IF(OR(IF(INT(($A219-1)/70)+1&gt;CROQUIS_DATOS!$C$1525,70,MOD($A219-1,70)+1)=1,IF(INT(($A219-1)/70)+1&gt;CROQUIS_DATOS!$C$1525,70,MOD($A219-1,70)+1)&gt;2*CROQUIS_DATOS!$C$1541+1),CROQUIS_DATOS!$C$1476,INDEX($H$8:$H$41,MIN(INT((IF(INT(($A219-1)/70)+1&gt;CROQUIS_DATOS!$C$1525,70,MOD($A219-1,70)+1)-2)/2)+1,CROQUIS_DATOS!$C$1541))))*CROQUIS_DATOS!$C$1561*CROQUIS_DATOS!$C$1562),-1000)</f>
        <v>6.34051724137931</v>
      </c>
      <c r="P219">
        <f>IF(AND(CROQUIS_DATOS!$C$1472=1,CROQUIS_DATOS!$C$1555=1),(CROQUIS_DATOS!$C$1563+(IF(IF(OR(MOD($A219-1,62)+1=1,IF(CHOOSE(MIN(MAX(MIN(INT(($A219-1)/62)+1,5),1),5),CROQUIS_DATOS!$C$1501,CROQUIS_DATOS!$C$1505,CROQUIS_DATOS!$C$1509,CROQUIS_DATOS!$C$1513,CROQUIS_DATOS!$C$1517)=1,CROQUIS_DATOS!$C$1557,0)=0),0,IF(MOD($A219-1,62)+1&gt;2*IF(CHOOSE(MIN(MAX(MIN(INT(($A219-1)/62)+1,5),1),5),CROQUIS_DATOS!$C$1501,CROQUIS_DATOS!$C$1505,CROQUIS_DATOS!$C$1509,CROQUIS_DATOS!$C$1513,CROQUIS_DATOS!$C$1517)=1,CROQUIS_DATOS!$C$1557,0)+1,IF(MOD(IF(CHOOSE(MIN(MAX(MIN(INT(($A219-1)/62)+1,5),1),5),CROQUIS_DATOS!$C$1501,CROQUIS_DATOS!$C$1505,CROQUIS_DATOS!$C$1509,CROQUIS_DATOS!$C$1513,CROQUIS_DATOS!$C$1517)=1,CROQUIS_DATOS!$C$1557,0),2)=1,1,0),IF(MOD(MIN(INT((MOD($A219-1,62)+1-2)/2)+1,MAX(IF(CHOOSE(MIN(MAX(MIN(INT(($A219-1)/62)+1,5),1),5),CROQUIS_DATOS!$C$1501,CROQUIS_DATOS!$C$1505,CROQUIS_DATOS!$C$1509,CROQUIS_DATOS!$C$1513,CROQUIS_DATOS!$C$1517)=1,CROQUIS_DATOS!$C$1557,0),1)),2)=1,IF(MOD(MOD($A219-1,62)+1-2,2)=0,0,1),IF(MOD(MOD($A219-1,62)+1-2,2)=0,1,0))))=0,(CHOOSE(MIN(MAX(MIN(INT(($A219-1)/62)+1,5),1),5),CROQUIS_DATOS!$C$1499,CROQUIS_DATOS!$C$1503,CROQUIS_DATOS!$C$1507,CROQUIS_DATOS!$C$1511,CROQUIS_DATOS!$C$1515)+IF(CHOOSE(MIN(MAX(MIN(INT(($A219-1)/62)+1,5),1),5),CROQUIS_DATOS!$C$1501,CROQUIS_DATOS!$C$1505,CROQUIS_DATOS!$C$1509,CROQUIS_DATOS!$C$1513,CROQUIS_DATOS!$C$1517)=1,CROQUIS_DATOS!$C$1526,0)),(CHOOSE(MIN(MAX(MIN(INT(($A219-1)/62)+1,5),1),5),CROQUIS_DATOS!$C$1499,CROQUIS_DATOS!$C$1503,CROQUIS_DATOS!$C$1507,CROQUIS_DATOS!$C$1511,CROQUIS_DATOS!$C$1515)+CHOOSE(MIN(MAX(MIN(INT(($A219-1)/62)+1,5),1),5),CROQUIS_DATOS!$C$1500,CROQUIS_DATOS!$C$1504,CROQUIS_DATOS!$C$1508,CROQUIS_DATOS!$C$1512,CROQUIS_DATOS!$C$1516)-IF(CHOOSE(MIN(MAX(MIN(INT(($A219-1)/62)+1,5),1),5),CROQUIS_DATOS!$C$1501,CROQUIS_DATOS!$C$1505,CROQUIS_DATOS!$C$1509,CROQUIS_DATOS!$C$1513,CROQUIS_DATOS!$C$1517)=1,CROQUIS_DATOS!$C$1526,0))))*CROQUIS_DATOS!$C$1562),-1000)</f>
        <v>-1000</v>
      </c>
      <c r="Q219">
        <f>IF(AND(CROQUIS_DATOS!$C$1472=1,CROQUIS_DATOS!$C$1555=1),(CROQUIS_DATOS!$C$1564+(IF(OR(OR(MOD($A219-1,62)+1=1,IF(CHOOSE(MIN(MAX(MIN(INT(($A219-1)/62)+1,5),1),5),CROQUIS_DATOS!$C$1501,CROQUIS_DATOS!$C$1505,CROQUIS_DATOS!$C$1509,CROQUIS_DATOS!$C$1513,CROQUIS_DATOS!$C$1517)=1,CROQUIS_DATOS!$C$1557,0)=0),MOD($A219-1,62)+1&gt;2*IF(CHOOSE(MIN(MAX(MIN(INT(($A219-1)/62)+1,5),1),5),CROQUIS_DATOS!$C$1501,CROQUIS_DATOS!$C$1505,CROQUIS_DATOS!$C$1509,CROQUIS_DATOS!$C$1513,CROQUIS_DATOS!$C$1517)=1,CROQUIS_DATOS!$C$1557,0)+1),CROQUIS_DATOS!$C$1476,MIN(INT((MOD($A219-1,62)+1-2)/2)+1,MAX(IF(CHOOSE(MIN(MAX(MIN(INT(($A219-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19">
        <f>IF(AND(CROQUIS_DATOS!$C$1472=1,1),(CROQUIS_DATOS!$C$1563+(MIN(INT(($A219-1)/2)+1,CROQUIS_DATOS!$C$1558)*CROQUIS_DATOS!$C$1559)*CROQUIS_DATOS!$C$1562),-1000)</f>
        <v>82.2281167108753</v>
      </c>
      <c r="U219">
        <f>IF(AND(CROQUIS_DATOS!$C$1472=1,1),(CROQUIS_DATOS!$C$1564+(IF(INT(($A219-1)/2)+1&gt;CROQUIS_DATOS!$C$1558,IF(MOD(CROQUIS_DATOS!$C$1558,2)=1,CROQUIS_DATOS!$C$1476+CROQUIS_DATOS!$C$1528,CROQUIS_DATOS!$C$1476),IF(IF(MOD(MIN(INT(($A219-1)/2)+1,CROQUIS_DATOS!$C$1558),2)=1,MOD($A219-1,2),1-MOD($A219-1,2))=1,CROQUIS_DATOS!$C$1476+CROQUIS_DATOS!$C$1528,CROQUIS_DATOS!$C$1476)))*CROQUIS_DATOS!$C$1561*CROQUIS_DATOS!$C$1562),-1000)</f>
        <v>43</v>
      </c>
    </row>
    <row r="220">
      <c r="A220" t="n">
        <v>213</v>
      </c>
      <c r="N220">
        <f>IF(AND(CROQUIS_DATOS!$C$1472=1,1),(CROQUIS_DATOS!$C$1563+(IF(IF(IF(INT(($A220-1)/70)+1&gt;CROQUIS_DATOS!$C$1525,70,MOD($A220-1,70)+1)=1,0,IF(IF(INT(($A220-1)/70)+1&gt;CROQUIS_DATOS!$C$1525,70,MOD($A220-1,70)+1)&gt;2*CROQUIS_DATOS!$C$1541+1,IF(MOD(CROQUIS_DATOS!$C$1541,2)=1,1,0),IF(MOD(MIN(INT((IF(INT(($A220-1)/70)+1&gt;CROQUIS_DATOS!$C$1525,70,MOD($A220-1,70)+1)-2)/2)+1,CROQUIS_DATOS!$C$1541),2)=1,IF(MOD(IF(INT(($A220-1)/70)+1&gt;CROQUIS_DATOS!$C$1525,70,MOD($A220-1,70)+1)-2,2)=0,0,1),IF(MOD(IF(INT(($A220-1)/70)+1&gt;CROQUIS_DATOS!$C$1525,70,MOD($A220-1,70)+1)-2,2)=0,1,0))))=0,(INDEX($E$8:$E$23,MIN(INT(($A220-1)/70)+1,CROQUIS_DATOS!$C$1525))-INDEX($F$8:$F$23,MIN(INT(($A220-1)/70)+1,CROQUIS_DATOS!$C$1525))/2),(INDEX($E$8:$E$23,MIN(INT(($A220-1)/70)+1,CROQUIS_DATOS!$C$1525))+INDEX($F$8:$F$23,MIN(INT(($A220-1)/70)+1,CROQUIS_DATOS!$C$1525))/2)))*CROQUIS_DATOS!$C$1562),-1000)</f>
        <v>47.2068965517241</v>
      </c>
      <c r="O220">
        <f>IF(AND(CROQUIS_DATOS!$C$1472=1,1),(CROQUIS_DATOS!$C$1564+(IF(OR(IF(INT(($A220-1)/70)+1&gt;CROQUIS_DATOS!$C$1525,70,MOD($A220-1,70)+1)=1,IF(INT(($A220-1)/70)+1&gt;CROQUIS_DATOS!$C$1525,70,MOD($A220-1,70)+1)&gt;2*CROQUIS_DATOS!$C$1541+1),CROQUIS_DATOS!$C$1476,INDEX($H$8:$H$41,MIN(INT((IF(INT(($A220-1)/70)+1&gt;CROQUIS_DATOS!$C$1525,70,MOD($A220-1,70)+1)-2)/2)+1,CROQUIS_DATOS!$C$1541))))*CROQUIS_DATOS!$C$1561*CROQUIS_DATOS!$C$1562),-1000)</f>
        <v>6.34051724137931</v>
      </c>
      <c r="P220">
        <f>IF(AND(CROQUIS_DATOS!$C$1472=1,CROQUIS_DATOS!$C$1555=1),(CROQUIS_DATOS!$C$1563+(IF(IF(OR(MOD($A220-1,62)+1=1,IF(CHOOSE(MIN(MAX(MIN(INT(($A220-1)/62)+1,5),1),5),CROQUIS_DATOS!$C$1501,CROQUIS_DATOS!$C$1505,CROQUIS_DATOS!$C$1509,CROQUIS_DATOS!$C$1513,CROQUIS_DATOS!$C$1517)=1,CROQUIS_DATOS!$C$1557,0)=0),0,IF(MOD($A220-1,62)+1&gt;2*IF(CHOOSE(MIN(MAX(MIN(INT(($A220-1)/62)+1,5),1),5),CROQUIS_DATOS!$C$1501,CROQUIS_DATOS!$C$1505,CROQUIS_DATOS!$C$1509,CROQUIS_DATOS!$C$1513,CROQUIS_DATOS!$C$1517)=1,CROQUIS_DATOS!$C$1557,0)+1,IF(MOD(IF(CHOOSE(MIN(MAX(MIN(INT(($A220-1)/62)+1,5),1),5),CROQUIS_DATOS!$C$1501,CROQUIS_DATOS!$C$1505,CROQUIS_DATOS!$C$1509,CROQUIS_DATOS!$C$1513,CROQUIS_DATOS!$C$1517)=1,CROQUIS_DATOS!$C$1557,0),2)=1,1,0),IF(MOD(MIN(INT((MOD($A220-1,62)+1-2)/2)+1,MAX(IF(CHOOSE(MIN(MAX(MIN(INT(($A220-1)/62)+1,5),1),5),CROQUIS_DATOS!$C$1501,CROQUIS_DATOS!$C$1505,CROQUIS_DATOS!$C$1509,CROQUIS_DATOS!$C$1513,CROQUIS_DATOS!$C$1517)=1,CROQUIS_DATOS!$C$1557,0),1)),2)=1,IF(MOD(MOD($A220-1,62)+1-2,2)=0,0,1),IF(MOD(MOD($A220-1,62)+1-2,2)=0,1,0))))=0,(CHOOSE(MIN(MAX(MIN(INT(($A220-1)/62)+1,5),1),5),CROQUIS_DATOS!$C$1499,CROQUIS_DATOS!$C$1503,CROQUIS_DATOS!$C$1507,CROQUIS_DATOS!$C$1511,CROQUIS_DATOS!$C$1515)+IF(CHOOSE(MIN(MAX(MIN(INT(($A220-1)/62)+1,5),1),5),CROQUIS_DATOS!$C$1501,CROQUIS_DATOS!$C$1505,CROQUIS_DATOS!$C$1509,CROQUIS_DATOS!$C$1513,CROQUIS_DATOS!$C$1517)=1,CROQUIS_DATOS!$C$1526,0)),(CHOOSE(MIN(MAX(MIN(INT(($A220-1)/62)+1,5),1),5),CROQUIS_DATOS!$C$1499,CROQUIS_DATOS!$C$1503,CROQUIS_DATOS!$C$1507,CROQUIS_DATOS!$C$1511,CROQUIS_DATOS!$C$1515)+CHOOSE(MIN(MAX(MIN(INT(($A220-1)/62)+1,5),1),5),CROQUIS_DATOS!$C$1500,CROQUIS_DATOS!$C$1504,CROQUIS_DATOS!$C$1508,CROQUIS_DATOS!$C$1512,CROQUIS_DATOS!$C$1516)-IF(CHOOSE(MIN(MAX(MIN(INT(($A220-1)/62)+1,5),1),5),CROQUIS_DATOS!$C$1501,CROQUIS_DATOS!$C$1505,CROQUIS_DATOS!$C$1509,CROQUIS_DATOS!$C$1513,CROQUIS_DATOS!$C$1517)=1,CROQUIS_DATOS!$C$1526,0))))*CROQUIS_DATOS!$C$1562),-1000)</f>
        <v>-1000</v>
      </c>
      <c r="Q220">
        <f>IF(AND(CROQUIS_DATOS!$C$1472=1,CROQUIS_DATOS!$C$1555=1),(CROQUIS_DATOS!$C$1564+(IF(OR(OR(MOD($A220-1,62)+1=1,IF(CHOOSE(MIN(MAX(MIN(INT(($A220-1)/62)+1,5),1),5),CROQUIS_DATOS!$C$1501,CROQUIS_DATOS!$C$1505,CROQUIS_DATOS!$C$1509,CROQUIS_DATOS!$C$1513,CROQUIS_DATOS!$C$1517)=1,CROQUIS_DATOS!$C$1557,0)=0),MOD($A220-1,62)+1&gt;2*IF(CHOOSE(MIN(MAX(MIN(INT(($A220-1)/62)+1,5),1),5),CROQUIS_DATOS!$C$1501,CROQUIS_DATOS!$C$1505,CROQUIS_DATOS!$C$1509,CROQUIS_DATOS!$C$1513,CROQUIS_DATOS!$C$1517)=1,CROQUIS_DATOS!$C$1557,0)+1),CROQUIS_DATOS!$C$1476,MIN(INT((MOD($A220-1,62)+1-2)/2)+1,MAX(IF(CHOOSE(MIN(MAX(MIN(INT(($A220-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0">
        <f>IF(AND(CROQUIS_DATOS!$C$1472=1,1),(CROQUIS_DATOS!$C$1563+(MIN(INT(($A220-1)/2)+1,CROQUIS_DATOS!$C$1558)*CROQUIS_DATOS!$C$1559)*CROQUIS_DATOS!$C$1562),-1000)</f>
        <v>82.2281167108753</v>
      </c>
      <c r="U220">
        <f>IF(AND(CROQUIS_DATOS!$C$1472=1,1),(CROQUIS_DATOS!$C$1564+(IF(INT(($A220-1)/2)+1&gt;CROQUIS_DATOS!$C$1558,IF(MOD(CROQUIS_DATOS!$C$1558,2)=1,CROQUIS_DATOS!$C$1476+CROQUIS_DATOS!$C$1528,CROQUIS_DATOS!$C$1476),IF(IF(MOD(MIN(INT(($A220-1)/2)+1,CROQUIS_DATOS!$C$1558),2)=1,MOD($A220-1,2),1-MOD($A220-1,2))=1,CROQUIS_DATOS!$C$1476+CROQUIS_DATOS!$C$1528,CROQUIS_DATOS!$C$1476)))*CROQUIS_DATOS!$C$1561*CROQUIS_DATOS!$C$1562),-1000)</f>
        <v>43</v>
      </c>
    </row>
    <row r="221">
      <c r="A221" t="n">
        <v>214</v>
      </c>
      <c r="N221">
        <f>IF(AND(CROQUIS_DATOS!$C$1472=1,1),(CROQUIS_DATOS!$C$1563+(IF(IF(IF(INT(($A221-1)/70)+1&gt;CROQUIS_DATOS!$C$1525,70,MOD($A221-1,70)+1)=1,0,IF(IF(INT(($A221-1)/70)+1&gt;CROQUIS_DATOS!$C$1525,70,MOD($A221-1,70)+1)&gt;2*CROQUIS_DATOS!$C$1541+1,IF(MOD(CROQUIS_DATOS!$C$1541,2)=1,1,0),IF(MOD(MIN(INT((IF(INT(($A221-1)/70)+1&gt;CROQUIS_DATOS!$C$1525,70,MOD($A221-1,70)+1)-2)/2)+1,CROQUIS_DATOS!$C$1541),2)=1,IF(MOD(IF(INT(($A221-1)/70)+1&gt;CROQUIS_DATOS!$C$1525,70,MOD($A221-1,70)+1)-2,2)=0,0,1),IF(MOD(IF(INT(($A221-1)/70)+1&gt;CROQUIS_DATOS!$C$1525,70,MOD($A221-1,70)+1)-2,2)=0,1,0))))=0,(INDEX($E$8:$E$23,MIN(INT(($A221-1)/70)+1,CROQUIS_DATOS!$C$1525))-INDEX($F$8:$F$23,MIN(INT(($A221-1)/70)+1,CROQUIS_DATOS!$C$1525))/2),(INDEX($E$8:$E$23,MIN(INT(($A221-1)/70)+1,CROQUIS_DATOS!$C$1525))+INDEX($F$8:$F$23,MIN(INT(($A221-1)/70)+1,CROQUIS_DATOS!$C$1525))/2)))*CROQUIS_DATOS!$C$1562),-1000)</f>
        <v>47.2068965517241</v>
      </c>
      <c r="O221">
        <f>IF(AND(CROQUIS_DATOS!$C$1472=1,1),(CROQUIS_DATOS!$C$1564+(IF(OR(IF(INT(($A221-1)/70)+1&gt;CROQUIS_DATOS!$C$1525,70,MOD($A221-1,70)+1)=1,IF(INT(($A221-1)/70)+1&gt;CROQUIS_DATOS!$C$1525,70,MOD($A221-1,70)+1)&gt;2*CROQUIS_DATOS!$C$1541+1),CROQUIS_DATOS!$C$1476,INDEX($H$8:$H$41,MIN(INT((IF(INT(($A221-1)/70)+1&gt;CROQUIS_DATOS!$C$1525,70,MOD($A221-1,70)+1)-2)/2)+1,CROQUIS_DATOS!$C$1541))))*CROQUIS_DATOS!$C$1561*CROQUIS_DATOS!$C$1562),-1000)</f>
        <v>7.38793103448276</v>
      </c>
      <c r="P221">
        <f>IF(AND(CROQUIS_DATOS!$C$1472=1,CROQUIS_DATOS!$C$1555=1),(CROQUIS_DATOS!$C$1563+(IF(IF(OR(MOD($A221-1,62)+1=1,IF(CHOOSE(MIN(MAX(MIN(INT(($A221-1)/62)+1,5),1),5),CROQUIS_DATOS!$C$1501,CROQUIS_DATOS!$C$1505,CROQUIS_DATOS!$C$1509,CROQUIS_DATOS!$C$1513,CROQUIS_DATOS!$C$1517)=1,CROQUIS_DATOS!$C$1557,0)=0),0,IF(MOD($A221-1,62)+1&gt;2*IF(CHOOSE(MIN(MAX(MIN(INT(($A221-1)/62)+1,5),1),5),CROQUIS_DATOS!$C$1501,CROQUIS_DATOS!$C$1505,CROQUIS_DATOS!$C$1509,CROQUIS_DATOS!$C$1513,CROQUIS_DATOS!$C$1517)=1,CROQUIS_DATOS!$C$1557,0)+1,IF(MOD(IF(CHOOSE(MIN(MAX(MIN(INT(($A221-1)/62)+1,5),1),5),CROQUIS_DATOS!$C$1501,CROQUIS_DATOS!$C$1505,CROQUIS_DATOS!$C$1509,CROQUIS_DATOS!$C$1513,CROQUIS_DATOS!$C$1517)=1,CROQUIS_DATOS!$C$1557,0),2)=1,1,0),IF(MOD(MIN(INT((MOD($A221-1,62)+1-2)/2)+1,MAX(IF(CHOOSE(MIN(MAX(MIN(INT(($A221-1)/62)+1,5),1),5),CROQUIS_DATOS!$C$1501,CROQUIS_DATOS!$C$1505,CROQUIS_DATOS!$C$1509,CROQUIS_DATOS!$C$1513,CROQUIS_DATOS!$C$1517)=1,CROQUIS_DATOS!$C$1557,0),1)),2)=1,IF(MOD(MOD($A221-1,62)+1-2,2)=0,0,1),IF(MOD(MOD($A221-1,62)+1-2,2)=0,1,0))))=0,(CHOOSE(MIN(MAX(MIN(INT(($A221-1)/62)+1,5),1),5),CROQUIS_DATOS!$C$1499,CROQUIS_DATOS!$C$1503,CROQUIS_DATOS!$C$1507,CROQUIS_DATOS!$C$1511,CROQUIS_DATOS!$C$1515)+IF(CHOOSE(MIN(MAX(MIN(INT(($A221-1)/62)+1,5),1),5),CROQUIS_DATOS!$C$1501,CROQUIS_DATOS!$C$1505,CROQUIS_DATOS!$C$1509,CROQUIS_DATOS!$C$1513,CROQUIS_DATOS!$C$1517)=1,CROQUIS_DATOS!$C$1526,0)),(CHOOSE(MIN(MAX(MIN(INT(($A221-1)/62)+1,5),1),5),CROQUIS_DATOS!$C$1499,CROQUIS_DATOS!$C$1503,CROQUIS_DATOS!$C$1507,CROQUIS_DATOS!$C$1511,CROQUIS_DATOS!$C$1515)+CHOOSE(MIN(MAX(MIN(INT(($A221-1)/62)+1,5),1),5),CROQUIS_DATOS!$C$1500,CROQUIS_DATOS!$C$1504,CROQUIS_DATOS!$C$1508,CROQUIS_DATOS!$C$1512,CROQUIS_DATOS!$C$1516)-IF(CHOOSE(MIN(MAX(MIN(INT(($A221-1)/62)+1,5),1),5),CROQUIS_DATOS!$C$1501,CROQUIS_DATOS!$C$1505,CROQUIS_DATOS!$C$1509,CROQUIS_DATOS!$C$1513,CROQUIS_DATOS!$C$1517)=1,CROQUIS_DATOS!$C$1526,0))))*CROQUIS_DATOS!$C$1562),-1000)</f>
        <v>-1000</v>
      </c>
      <c r="Q221">
        <f>IF(AND(CROQUIS_DATOS!$C$1472=1,CROQUIS_DATOS!$C$1555=1),(CROQUIS_DATOS!$C$1564+(IF(OR(OR(MOD($A221-1,62)+1=1,IF(CHOOSE(MIN(MAX(MIN(INT(($A221-1)/62)+1,5),1),5),CROQUIS_DATOS!$C$1501,CROQUIS_DATOS!$C$1505,CROQUIS_DATOS!$C$1509,CROQUIS_DATOS!$C$1513,CROQUIS_DATOS!$C$1517)=1,CROQUIS_DATOS!$C$1557,0)=0),MOD($A221-1,62)+1&gt;2*IF(CHOOSE(MIN(MAX(MIN(INT(($A221-1)/62)+1,5),1),5),CROQUIS_DATOS!$C$1501,CROQUIS_DATOS!$C$1505,CROQUIS_DATOS!$C$1509,CROQUIS_DATOS!$C$1513,CROQUIS_DATOS!$C$1517)=1,CROQUIS_DATOS!$C$1557,0)+1),CROQUIS_DATOS!$C$1476,MIN(INT((MOD($A221-1,62)+1-2)/2)+1,MAX(IF(CHOOSE(MIN(MAX(MIN(INT(($A221-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1">
        <f>IF(AND(CROQUIS_DATOS!$C$1472=1,1),(CROQUIS_DATOS!$C$1563+(MIN(INT(($A221-1)/2)+1,CROQUIS_DATOS!$C$1558)*CROQUIS_DATOS!$C$1559)*CROQUIS_DATOS!$C$1562),-1000)</f>
        <v>82.2281167108753</v>
      </c>
      <c r="U221">
        <f>IF(AND(CROQUIS_DATOS!$C$1472=1,1),(CROQUIS_DATOS!$C$1564+(IF(INT(($A221-1)/2)+1&gt;CROQUIS_DATOS!$C$1558,IF(MOD(CROQUIS_DATOS!$C$1558,2)=1,CROQUIS_DATOS!$C$1476+CROQUIS_DATOS!$C$1528,CROQUIS_DATOS!$C$1476),IF(IF(MOD(MIN(INT(($A221-1)/2)+1,CROQUIS_DATOS!$C$1558),2)=1,MOD($A221-1,2),1-MOD($A221-1,2))=1,CROQUIS_DATOS!$C$1476+CROQUIS_DATOS!$C$1528,CROQUIS_DATOS!$C$1476)))*CROQUIS_DATOS!$C$1561*CROQUIS_DATOS!$C$1562),-1000)</f>
        <v>43</v>
      </c>
    </row>
    <row r="222">
      <c r="A222" t="n">
        <v>215</v>
      </c>
      <c r="N222">
        <f>IF(AND(CROQUIS_DATOS!$C$1472=1,1),(CROQUIS_DATOS!$C$1563+(IF(IF(IF(INT(($A222-1)/70)+1&gt;CROQUIS_DATOS!$C$1525,70,MOD($A222-1,70)+1)=1,0,IF(IF(INT(($A222-1)/70)+1&gt;CROQUIS_DATOS!$C$1525,70,MOD($A222-1,70)+1)&gt;2*CROQUIS_DATOS!$C$1541+1,IF(MOD(CROQUIS_DATOS!$C$1541,2)=1,1,0),IF(MOD(MIN(INT((IF(INT(($A222-1)/70)+1&gt;CROQUIS_DATOS!$C$1525,70,MOD($A222-1,70)+1)-2)/2)+1,CROQUIS_DATOS!$C$1541),2)=1,IF(MOD(IF(INT(($A222-1)/70)+1&gt;CROQUIS_DATOS!$C$1525,70,MOD($A222-1,70)+1)-2,2)=0,0,1),IF(MOD(IF(INT(($A222-1)/70)+1&gt;CROQUIS_DATOS!$C$1525,70,MOD($A222-1,70)+1)-2,2)=0,1,0))))=0,(INDEX($E$8:$E$23,MIN(INT(($A222-1)/70)+1,CROQUIS_DATOS!$C$1525))-INDEX($F$8:$F$23,MIN(INT(($A222-1)/70)+1,CROQUIS_DATOS!$C$1525))/2),(INDEX($E$8:$E$23,MIN(INT(($A222-1)/70)+1,CROQUIS_DATOS!$C$1525))+INDEX($F$8:$F$23,MIN(INT(($A222-1)/70)+1,CROQUIS_DATOS!$C$1525))/2)))*CROQUIS_DATOS!$C$1562),-1000)</f>
        <v>45.1120689655172</v>
      </c>
      <c r="O222">
        <f>IF(AND(CROQUIS_DATOS!$C$1472=1,1),(CROQUIS_DATOS!$C$1564+(IF(OR(IF(INT(($A222-1)/70)+1&gt;CROQUIS_DATOS!$C$1525,70,MOD($A222-1,70)+1)=1,IF(INT(($A222-1)/70)+1&gt;CROQUIS_DATOS!$C$1525,70,MOD($A222-1,70)+1)&gt;2*CROQUIS_DATOS!$C$1541+1),CROQUIS_DATOS!$C$1476,INDEX($H$8:$H$41,MIN(INT((IF(INT(($A222-1)/70)+1&gt;CROQUIS_DATOS!$C$1525,70,MOD($A222-1,70)+1)-2)/2)+1,CROQUIS_DATOS!$C$1541))))*CROQUIS_DATOS!$C$1561*CROQUIS_DATOS!$C$1562),-1000)</f>
        <v>7.38793103448276</v>
      </c>
      <c r="P222">
        <f>IF(AND(CROQUIS_DATOS!$C$1472=1,CROQUIS_DATOS!$C$1555=1),(CROQUIS_DATOS!$C$1563+(IF(IF(OR(MOD($A222-1,62)+1=1,IF(CHOOSE(MIN(MAX(MIN(INT(($A222-1)/62)+1,5),1),5),CROQUIS_DATOS!$C$1501,CROQUIS_DATOS!$C$1505,CROQUIS_DATOS!$C$1509,CROQUIS_DATOS!$C$1513,CROQUIS_DATOS!$C$1517)=1,CROQUIS_DATOS!$C$1557,0)=0),0,IF(MOD($A222-1,62)+1&gt;2*IF(CHOOSE(MIN(MAX(MIN(INT(($A222-1)/62)+1,5),1),5),CROQUIS_DATOS!$C$1501,CROQUIS_DATOS!$C$1505,CROQUIS_DATOS!$C$1509,CROQUIS_DATOS!$C$1513,CROQUIS_DATOS!$C$1517)=1,CROQUIS_DATOS!$C$1557,0)+1,IF(MOD(IF(CHOOSE(MIN(MAX(MIN(INT(($A222-1)/62)+1,5),1),5),CROQUIS_DATOS!$C$1501,CROQUIS_DATOS!$C$1505,CROQUIS_DATOS!$C$1509,CROQUIS_DATOS!$C$1513,CROQUIS_DATOS!$C$1517)=1,CROQUIS_DATOS!$C$1557,0),2)=1,1,0),IF(MOD(MIN(INT((MOD($A222-1,62)+1-2)/2)+1,MAX(IF(CHOOSE(MIN(MAX(MIN(INT(($A222-1)/62)+1,5),1),5),CROQUIS_DATOS!$C$1501,CROQUIS_DATOS!$C$1505,CROQUIS_DATOS!$C$1509,CROQUIS_DATOS!$C$1513,CROQUIS_DATOS!$C$1517)=1,CROQUIS_DATOS!$C$1557,0),1)),2)=1,IF(MOD(MOD($A222-1,62)+1-2,2)=0,0,1),IF(MOD(MOD($A222-1,62)+1-2,2)=0,1,0))))=0,(CHOOSE(MIN(MAX(MIN(INT(($A222-1)/62)+1,5),1),5),CROQUIS_DATOS!$C$1499,CROQUIS_DATOS!$C$1503,CROQUIS_DATOS!$C$1507,CROQUIS_DATOS!$C$1511,CROQUIS_DATOS!$C$1515)+IF(CHOOSE(MIN(MAX(MIN(INT(($A222-1)/62)+1,5),1),5),CROQUIS_DATOS!$C$1501,CROQUIS_DATOS!$C$1505,CROQUIS_DATOS!$C$1509,CROQUIS_DATOS!$C$1513,CROQUIS_DATOS!$C$1517)=1,CROQUIS_DATOS!$C$1526,0)),(CHOOSE(MIN(MAX(MIN(INT(($A222-1)/62)+1,5),1),5),CROQUIS_DATOS!$C$1499,CROQUIS_DATOS!$C$1503,CROQUIS_DATOS!$C$1507,CROQUIS_DATOS!$C$1511,CROQUIS_DATOS!$C$1515)+CHOOSE(MIN(MAX(MIN(INT(($A222-1)/62)+1,5),1),5),CROQUIS_DATOS!$C$1500,CROQUIS_DATOS!$C$1504,CROQUIS_DATOS!$C$1508,CROQUIS_DATOS!$C$1512,CROQUIS_DATOS!$C$1516)-IF(CHOOSE(MIN(MAX(MIN(INT(($A222-1)/62)+1,5),1),5),CROQUIS_DATOS!$C$1501,CROQUIS_DATOS!$C$1505,CROQUIS_DATOS!$C$1509,CROQUIS_DATOS!$C$1513,CROQUIS_DATOS!$C$1517)=1,CROQUIS_DATOS!$C$1526,0))))*CROQUIS_DATOS!$C$1562),-1000)</f>
        <v>-1000</v>
      </c>
      <c r="Q222">
        <f>IF(AND(CROQUIS_DATOS!$C$1472=1,CROQUIS_DATOS!$C$1555=1),(CROQUIS_DATOS!$C$1564+(IF(OR(OR(MOD($A222-1,62)+1=1,IF(CHOOSE(MIN(MAX(MIN(INT(($A222-1)/62)+1,5),1),5),CROQUIS_DATOS!$C$1501,CROQUIS_DATOS!$C$1505,CROQUIS_DATOS!$C$1509,CROQUIS_DATOS!$C$1513,CROQUIS_DATOS!$C$1517)=1,CROQUIS_DATOS!$C$1557,0)=0),MOD($A222-1,62)+1&gt;2*IF(CHOOSE(MIN(MAX(MIN(INT(($A222-1)/62)+1,5),1),5),CROQUIS_DATOS!$C$1501,CROQUIS_DATOS!$C$1505,CROQUIS_DATOS!$C$1509,CROQUIS_DATOS!$C$1513,CROQUIS_DATOS!$C$1517)=1,CROQUIS_DATOS!$C$1557,0)+1),CROQUIS_DATOS!$C$1476,MIN(INT((MOD($A222-1,62)+1-2)/2)+1,MAX(IF(CHOOSE(MIN(MAX(MIN(INT(($A222-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2">
        <f>IF(AND(CROQUIS_DATOS!$C$1472=1,1),(CROQUIS_DATOS!$C$1563+(MIN(INT(($A222-1)/2)+1,CROQUIS_DATOS!$C$1558)*CROQUIS_DATOS!$C$1559)*CROQUIS_DATOS!$C$1562),-1000)</f>
        <v>82.2281167108753</v>
      </c>
      <c r="U222">
        <f>IF(AND(CROQUIS_DATOS!$C$1472=1,1),(CROQUIS_DATOS!$C$1564+(IF(INT(($A222-1)/2)+1&gt;CROQUIS_DATOS!$C$1558,IF(MOD(CROQUIS_DATOS!$C$1558,2)=1,CROQUIS_DATOS!$C$1476+CROQUIS_DATOS!$C$1528,CROQUIS_DATOS!$C$1476),IF(IF(MOD(MIN(INT(($A222-1)/2)+1,CROQUIS_DATOS!$C$1558),2)=1,MOD($A222-1,2),1-MOD($A222-1,2))=1,CROQUIS_DATOS!$C$1476+CROQUIS_DATOS!$C$1528,CROQUIS_DATOS!$C$1476)))*CROQUIS_DATOS!$C$1561*CROQUIS_DATOS!$C$1562),-1000)</f>
        <v>43</v>
      </c>
    </row>
    <row r="223">
      <c r="A223" t="n">
        <v>216</v>
      </c>
      <c r="N223">
        <f>IF(AND(CROQUIS_DATOS!$C$1472=1,1),(CROQUIS_DATOS!$C$1563+(IF(IF(IF(INT(($A223-1)/70)+1&gt;CROQUIS_DATOS!$C$1525,70,MOD($A223-1,70)+1)=1,0,IF(IF(INT(($A223-1)/70)+1&gt;CROQUIS_DATOS!$C$1525,70,MOD($A223-1,70)+1)&gt;2*CROQUIS_DATOS!$C$1541+1,IF(MOD(CROQUIS_DATOS!$C$1541,2)=1,1,0),IF(MOD(MIN(INT((IF(INT(($A223-1)/70)+1&gt;CROQUIS_DATOS!$C$1525,70,MOD($A223-1,70)+1)-2)/2)+1,CROQUIS_DATOS!$C$1541),2)=1,IF(MOD(IF(INT(($A223-1)/70)+1&gt;CROQUIS_DATOS!$C$1525,70,MOD($A223-1,70)+1)-2,2)=0,0,1),IF(MOD(IF(INT(($A223-1)/70)+1&gt;CROQUIS_DATOS!$C$1525,70,MOD($A223-1,70)+1)-2,2)=0,1,0))))=0,(INDEX($E$8:$E$23,MIN(INT(($A223-1)/70)+1,CROQUIS_DATOS!$C$1525))-INDEX($F$8:$F$23,MIN(INT(($A223-1)/70)+1,CROQUIS_DATOS!$C$1525))/2),(INDEX($E$8:$E$23,MIN(INT(($A223-1)/70)+1,CROQUIS_DATOS!$C$1525))+INDEX($F$8:$F$23,MIN(INT(($A223-1)/70)+1,CROQUIS_DATOS!$C$1525))/2)))*CROQUIS_DATOS!$C$1562),-1000)</f>
        <v>45.1120689655172</v>
      </c>
      <c r="O223">
        <f>IF(AND(CROQUIS_DATOS!$C$1472=1,1),(CROQUIS_DATOS!$C$1564+(IF(OR(IF(INT(($A223-1)/70)+1&gt;CROQUIS_DATOS!$C$1525,70,MOD($A223-1,70)+1)=1,IF(INT(($A223-1)/70)+1&gt;CROQUIS_DATOS!$C$1525,70,MOD($A223-1,70)+1)&gt;2*CROQUIS_DATOS!$C$1541+1),CROQUIS_DATOS!$C$1476,INDEX($H$8:$H$41,MIN(INT((IF(INT(($A223-1)/70)+1&gt;CROQUIS_DATOS!$C$1525,70,MOD($A223-1,70)+1)-2)/2)+1,CROQUIS_DATOS!$C$1541))))*CROQUIS_DATOS!$C$1561*CROQUIS_DATOS!$C$1562),-1000)</f>
        <v>8.43534482758621</v>
      </c>
      <c r="P223">
        <f>IF(AND(CROQUIS_DATOS!$C$1472=1,CROQUIS_DATOS!$C$1555=1),(CROQUIS_DATOS!$C$1563+(IF(IF(OR(MOD($A223-1,62)+1=1,IF(CHOOSE(MIN(MAX(MIN(INT(($A223-1)/62)+1,5),1),5),CROQUIS_DATOS!$C$1501,CROQUIS_DATOS!$C$1505,CROQUIS_DATOS!$C$1509,CROQUIS_DATOS!$C$1513,CROQUIS_DATOS!$C$1517)=1,CROQUIS_DATOS!$C$1557,0)=0),0,IF(MOD($A223-1,62)+1&gt;2*IF(CHOOSE(MIN(MAX(MIN(INT(($A223-1)/62)+1,5),1),5),CROQUIS_DATOS!$C$1501,CROQUIS_DATOS!$C$1505,CROQUIS_DATOS!$C$1509,CROQUIS_DATOS!$C$1513,CROQUIS_DATOS!$C$1517)=1,CROQUIS_DATOS!$C$1557,0)+1,IF(MOD(IF(CHOOSE(MIN(MAX(MIN(INT(($A223-1)/62)+1,5),1),5),CROQUIS_DATOS!$C$1501,CROQUIS_DATOS!$C$1505,CROQUIS_DATOS!$C$1509,CROQUIS_DATOS!$C$1513,CROQUIS_DATOS!$C$1517)=1,CROQUIS_DATOS!$C$1557,0),2)=1,1,0),IF(MOD(MIN(INT((MOD($A223-1,62)+1-2)/2)+1,MAX(IF(CHOOSE(MIN(MAX(MIN(INT(($A223-1)/62)+1,5),1),5),CROQUIS_DATOS!$C$1501,CROQUIS_DATOS!$C$1505,CROQUIS_DATOS!$C$1509,CROQUIS_DATOS!$C$1513,CROQUIS_DATOS!$C$1517)=1,CROQUIS_DATOS!$C$1557,0),1)),2)=1,IF(MOD(MOD($A223-1,62)+1-2,2)=0,0,1),IF(MOD(MOD($A223-1,62)+1-2,2)=0,1,0))))=0,(CHOOSE(MIN(MAX(MIN(INT(($A223-1)/62)+1,5),1),5),CROQUIS_DATOS!$C$1499,CROQUIS_DATOS!$C$1503,CROQUIS_DATOS!$C$1507,CROQUIS_DATOS!$C$1511,CROQUIS_DATOS!$C$1515)+IF(CHOOSE(MIN(MAX(MIN(INT(($A223-1)/62)+1,5),1),5),CROQUIS_DATOS!$C$1501,CROQUIS_DATOS!$C$1505,CROQUIS_DATOS!$C$1509,CROQUIS_DATOS!$C$1513,CROQUIS_DATOS!$C$1517)=1,CROQUIS_DATOS!$C$1526,0)),(CHOOSE(MIN(MAX(MIN(INT(($A223-1)/62)+1,5),1),5),CROQUIS_DATOS!$C$1499,CROQUIS_DATOS!$C$1503,CROQUIS_DATOS!$C$1507,CROQUIS_DATOS!$C$1511,CROQUIS_DATOS!$C$1515)+CHOOSE(MIN(MAX(MIN(INT(($A223-1)/62)+1,5),1),5),CROQUIS_DATOS!$C$1500,CROQUIS_DATOS!$C$1504,CROQUIS_DATOS!$C$1508,CROQUIS_DATOS!$C$1512,CROQUIS_DATOS!$C$1516)-IF(CHOOSE(MIN(MAX(MIN(INT(($A223-1)/62)+1,5),1),5),CROQUIS_DATOS!$C$1501,CROQUIS_DATOS!$C$1505,CROQUIS_DATOS!$C$1509,CROQUIS_DATOS!$C$1513,CROQUIS_DATOS!$C$1517)=1,CROQUIS_DATOS!$C$1526,0))))*CROQUIS_DATOS!$C$1562),-1000)</f>
        <v>-1000</v>
      </c>
      <c r="Q223">
        <f>IF(AND(CROQUIS_DATOS!$C$1472=1,CROQUIS_DATOS!$C$1555=1),(CROQUIS_DATOS!$C$1564+(IF(OR(OR(MOD($A223-1,62)+1=1,IF(CHOOSE(MIN(MAX(MIN(INT(($A223-1)/62)+1,5),1),5),CROQUIS_DATOS!$C$1501,CROQUIS_DATOS!$C$1505,CROQUIS_DATOS!$C$1509,CROQUIS_DATOS!$C$1513,CROQUIS_DATOS!$C$1517)=1,CROQUIS_DATOS!$C$1557,0)=0),MOD($A223-1,62)+1&gt;2*IF(CHOOSE(MIN(MAX(MIN(INT(($A223-1)/62)+1,5),1),5),CROQUIS_DATOS!$C$1501,CROQUIS_DATOS!$C$1505,CROQUIS_DATOS!$C$1509,CROQUIS_DATOS!$C$1513,CROQUIS_DATOS!$C$1517)=1,CROQUIS_DATOS!$C$1557,0)+1),CROQUIS_DATOS!$C$1476,MIN(INT((MOD($A223-1,62)+1-2)/2)+1,MAX(IF(CHOOSE(MIN(MAX(MIN(INT(($A223-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3">
        <f>IF(AND(CROQUIS_DATOS!$C$1472=1,1),(CROQUIS_DATOS!$C$1563+(MIN(INT(($A223-1)/2)+1,CROQUIS_DATOS!$C$1558)*CROQUIS_DATOS!$C$1559)*CROQUIS_DATOS!$C$1562),-1000)</f>
        <v>82.2281167108753</v>
      </c>
      <c r="U223">
        <f>IF(AND(CROQUIS_DATOS!$C$1472=1,1),(CROQUIS_DATOS!$C$1564+(IF(INT(($A223-1)/2)+1&gt;CROQUIS_DATOS!$C$1558,IF(MOD(CROQUIS_DATOS!$C$1558,2)=1,CROQUIS_DATOS!$C$1476+CROQUIS_DATOS!$C$1528,CROQUIS_DATOS!$C$1476),IF(IF(MOD(MIN(INT(($A223-1)/2)+1,CROQUIS_DATOS!$C$1558),2)=1,MOD($A223-1,2),1-MOD($A223-1,2))=1,CROQUIS_DATOS!$C$1476+CROQUIS_DATOS!$C$1528,CROQUIS_DATOS!$C$1476)))*CROQUIS_DATOS!$C$1561*CROQUIS_DATOS!$C$1562),-1000)</f>
        <v>43</v>
      </c>
    </row>
    <row r="224">
      <c r="A224" t="n">
        <v>217</v>
      </c>
      <c r="N224">
        <f>IF(AND(CROQUIS_DATOS!$C$1472=1,1),(CROQUIS_DATOS!$C$1563+(IF(IF(IF(INT(($A224-1)/70)+1&gt;CROQUIS_DATOS!$C$1525,70,MOD($A224-1,70)+1)=1,0,IF(IF(INT(($A224-1)/70)+1&gt;CROQUIS_DATOS!$C$1525,70,MOD($A224-1,70)+1)&gt;2*CROQUIS_DATOS!$C$1541+1,IF(MOD(CROQUIS_DATOS!$C$1541,2)=1,1,0),IF(MOD(MIN(INT((IF(INT(($A224-1)/70)+1&gt;CROQUIS_DATOS!$C$1525,70,MOD($A224-1,70)+1)-2)/2)+1,CROQUIS_DATOS!$C$1541),2)=1,IF(MOD(IF(INT(($A224-1)/70)+1&gt;CROQUIS_DATOS!$C$1525,70,MOD($A224-1,70)+1)-2,2)=0,0,1),IF(MOD(IF(INT(($A224-1)/70)+1&gt;CROQUIS_DATOS!$C$1525,70,MOD($A224-1,70)+1)-2,2)=0,1,0))))=0,(INDEX($E$8:$E$23,MIN(INT(($A224-1)/70)+1,CROQUIS_DATOS!$C$1525))-INDEX($F$8:$F$23,MIN(INT(($A224-1)/70)+1,CROQUIS_DATOS!$C$1525))/2),(INDEX($E$8:$E$23,MIN(INT(($A224-1)/70)+1,CROQUIS_DATOS!$C$1525))+INDEX($F$8:$F$23,MIN(INT(($A224-1)/70)+1,CROQUIS_DATOS!$C$1525))/2)))*CROQUIS_DATOS!$C$1562),-1000)</f>
        <v>47.2068965517241</v>
      </c>
      <c r="O224">
        <f>IF(AND(CROQUIS_DATOS!$C$1472=1,1),(CROQUIS_DATOS!$C$1564+(IF(OR(IF(INT(($A224-1)/70)+1&gt;CROQUIS_DATOS!$C$1525,70,MOD($A224-1,70)+1)=1,IF(INT(($A224-1)/70)+1&gt;CROQUIS_DATOS!$C$1525,70,MOD($A224-1,70)+1)&gt;2*CROQUIS_DATOS!$C$1541+1),CROQUIS_DATOS!$C$1476,INDEX($H$8:$H$41,MIN(INT((IF(INT(($A224-1)/70)+1&gt;CROQUIS_DATOS!$C$1525,70,MOD($A224-1,70)+1)-2)/2)+1,CROQUIS_DATOS!$C$1541))))*CROQUIS_DATOS!$C$1561*CROQUIS_DATOS!$C$1562),-1000)</f>
        <v>8.43534482758621</v>
      </c>
      <c r="P224">
        <f>IF(AND(CROQUIS_DATOS!$C$1472=1,CROQUIS_DATOS!$C$1555=1),(CROQUIS_DATOS!$C$1563+(IF(IF(OR(MOD($A224-1,62)+1=1,IF(CHOOSE(MIN(MAX(MIN(INT(($A224-1)/62)+1,5),1),5),CROQUIS_DATOS!$C$1501,CROQUIS_DATOS!$C$1505,CROQUIS_DATOS!$C$1509,CROQUIS_DATOS!$C$1513,CROQUIS_DATOS!$C$1517)=1,CROQUIS_DATOS!$C$1557,0)=0),0,IF(MOD($A224-1,62)+1&gt;2*IF(CHOOSE(MIN(MAX(MIN(INT(($A224-1)/62)+1,5),1),5),CROQUIS_DATOS!$C$1501,CROQUIS_DATOS!$C$1505,CROQUIS_DATOS!$C$1509,CROQUIS_DATOS!$C$1513,CROQUIS_DATOS!$C$1517)=1,CROQUIS_DATOS!$C$1557,0)+1,IF(MOD(IF(CHOOSE(MIN(MAX(MIN(INT(($A224-1)/62)+1,5),1),5),CROQUIS_DATOS!$C$1501,CROQUIS_DATOS!$C$1505,CROQUIS_DATOS!$C$1509,CROQUIS_DATOS!$C$1513,CROQUIS_DATOS!$C$1517)=1,CROQUIS_DATOS!$C$1557,0),2)=1,1,0),IF(MOD(MIN(INT((MOD($A224-1,62)+1-2)/2)+1,MAX(IF(CHOOSE(MIN(MAX(MIN(INT(($A224-1)/62)+1,5),1),5),CROQUIS_DATOS!$C$1501,CROQUIS_DATOS!$C$1505,CROQUIS_DATOS!$C$1509,CROQUIS_DATOS!$C$1513,CROQUIS_DATOS!$C$1517)=1,CROQUIS_DATOS!$C$1557,0),1)),2)=1,IF(MOD(MOD($A224-1,62)+1-2,2)=0,0,1),IF(MOD(MOD($A224-1,62)+1-2,2)=0,1,0))))=0,(CHOOSE(MIN(MAX(MIN(INT(($A224-1)/62)+1,5),1),5),CROQUIS_DATOS!$C$1499,CROQUIS_DATOS!$C$1503,CROQUIS_DATOS!$C$1507,CROQUIS_DATOS!$C$1511,CROQUIS_DATOS!$C$1515)+IF(CHOOSE(MIN(MAX(MIN(INT(($A224-1)/62)+1,5),1),5),CROQUIS_DATOS!$C$1501,CROQUIS_DATOS!$C$1505,CROQUIS_DATOS!$C$1509,CROQUIS_DATOS!$C$1513,CROQUIS_DATOS!$C$1517)=1,CROQUIS_DATOS!$C$1526,0)),(CHOOSE(MIN(MAX(MIN(INT(($A224-1)/62)+1,5),1),5),CROQUIS_DATOS!$C$1499,CROQUIS_DATOS!$C$1503,CROQUIS_DATOS!$C$1507,CROQUIS_DATOS!$C$1511,CROQUIS_DATOS!$C$1515)+CHOOSE(MIN(MAX(MIN(INT(($A224-1)/62)+1,5),1),5),CROQUIS_DATOS!$C$1500,CROQUIS_DATOS!$C$1504,CROQUIS_DATOS!$C$1508,CROQUIS_DATOS!$C$1512,CROQUIS_DATOS!$C$1516)-IF(CHOOSE(MIN(MAX(MIN(INT(($A224-1)/62)+1,5),1),5),CROQUIS_DATOS!$C$1501,CROQUIS_DATOS!$C$1505,CROQUIS_DATOS!$C$1509,CROQUIS_DATOS!$C$1513,CROQUIS_DATOS!$C$1517)=1,CROQUIS_DATOS!$C$1526,0))))*CROQUIS_DATOS!$C$1562),-1000)</f>
        <v>-1000</v>
      </c>
      <c r="Q224">
        <f>IF(AND(CROQUIS_DATOS!$C$1472=1,CROQUIS_DATOS!$C$1555=1),(CROQUIS_DATOS!$C$1564+(IF(OR(OR(MOD($A224-1,62)+1=1,IF(CHOOSE(MIN(MAX(MIN(INT(($A224-1)/62)+1,5),1),5),CROQUIS_DATOS!$C$1501,CROQUIS_DATOS!$C$1505,CROQUIS_DATOS!$C$1509,CROQUIS_DATOS!$C$1513,CROQUIS_DATOS!$C$1517)=1,CROQUIS_DATOS!$C$1557,0)=0),MOD($A224-1,62)+1&gt;2*IF(CHOOSE(MIN(MAX(MIN(INT(($A224-1)/62)+1,5),1),5),CROQUIS_DATOS!$C$1501,CROQUIS_DATOS!$C$1505,CROQUIS_DATOS!$C$1509,CROQUIS_DATOS!$C$1513,CROQUIS_DATOS!$C$1517)=1,CROQUIS_DATOS!$C$1557,0)+1),CROQUIS_DATOS!$C$1476,MIN(INT((MOD($A224-1,62)+1-2)/2)+1,MAX(IF(CHOOSE(MIN(MAX(MIN(INT(($A224-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4">
        <f>IF(AND(CROQUIS_DATOS!$C$1472=1,1),(CROQUIS_DATOS!$C$1563+(MIN(INT(($A224-1)/2)+1,CROQUIS_DATOS!$C$1558)*CROQUIS_DATOS!$C$1559)*CROQUIS_DATOS!$C$1562),-1000)</f>
        <v>82.2281167108753</v>
      </c>
      <c r="U224">
        <f>IF(AND(CROQUIS_DATOS!$C$1472=1,1),(CROQUIS_DATOS!$C$1564+(IF(INT(($A224-1)/2)+1&gt;CROQUIS_DATOS!$C$1558,IF(MOD(CROQUIS_DATOS!$C$1558,2)=1,CROQUIS_DATOS!$C$1476+CROQUIS_DATOS!$C$1528,CROQUIS_DATOS!$C$1476),IF(IF(MOD(MIN(INT(($A224-1)/2)+1,CROQUIS_DATOS!$C$1558),2)=1,MOD($A224-1,2),1-MOD($A224-1,2))=1,CROQUIS_DATOS!$C$1476+CROQUIS_DATOS!$C$1528,CROQUIS_DATOS!$C$1476)))*CROQUIS_DATOS!$C$1561*CROQUIS_DATOS!$C$1562),-1000)</f>
        <v>43</v>
      </c>
    </row>
    <row r="225">
      <c r="A225" t="n">
        <v>218</v>
      </c>
      <c r="N225">
        <f>IF(AND(CROQUIS_DATOS!$C$1472=1,1),(CROQUIS_DATOS!$C$1563+(IF(IF(IF(INT(($A225-1)/70)+1&gt;CROQUIS_DATOS!$C$1525,70,MOD($A225-1,70)+1)=1,0,IF(IF(INT(($A225-1)/70)+1&gt;CROQUIS_DATOS!$C$1525,70,MOD($A225-1,70)+1)&gt;2*CROQUIS_DATOS!$C$1541+1,IF(MOD(CROQUIS_DATOS!$C$1541,2)=1,1,0),IF(MOD(MIN(INT((IF(INT(($A225-1)/70)+1&gt;CROQUIS_DATOS!$C$1525,70,MOD($A225-1,70)+1)-2)/2)+1,CROQUIS_DATOS!$C$1541),2)=1,IF(MOD(IF(INT(($A225-1)/70)+1&gt;CROQUIS_DATOS!$C$1525,70,MOD($A225-1,70)+1)-2,2)=0,0,1),IF(MOD(IF(INT(($A225-1)/70)+1&gt;CROQUIS_DATOS!$C$1525,70,MOD($A225-1,70)+1)-2,2)=0,1,0))))=0,(INDEX($E$8:$E$23,MIN(INT(($A225-1)/70)+1,CROQUIS_DATOS!$C$1525))-INDEX($F$8:$F$23,MIN(INT(($A225-1)/70)+1,CROQUIS_DATOS!$C$1525))/2),(INDEX($E$8:$E$23,MIN(INT(($A225-1)/70)+1,CROQUIS_DATOS!$C$1525))+INDEX($F$8:$F$23,MIN(INT(($A225-1)/70)+1,CROQUIS_DATOS!$C$1525))/2)))*CROQUIS_DATOS!$C$1562),-1000)</f>
        <v>47.2068965517241</v>
      </c>
      <c r="O225">
        <f>IF(AND(CROQUIS_DATOS!$C$1472=1,1),(CROQUIS_DATOS!$C$1564+(IF(OR(IF(INT(($A225-1)/70)+1&gt;CROQUIS_DATOS!$C$1525,70,MOD($A225-1,70)+1)=1,IF(INT(($A225-1)/70)+1&gt;CROQUIS_DATOS!$C$1525,70,MOD($A225-1,70)+1)&gt;2*CROQUIS_DATOS!$C$1541+1),CROQUIS_DATOS!$C$1476,INDEX($H$8:$H$41,MIN(INT((IF(INT(($A225-1)/70)+1&gt;CROQUIS_DATOS!$C$1525,70,MOD($A225-1,70)+1)-2)/2)+1,CROQUIS_DATOS!$C$1541))))*CROQUIS_DATOS!$C$1561*CROQUIS_DATOS!$C$1562),-1000)</f>
        <v>9.48275862068966</v>
      </c>
      <c r="P225">
        <f>IF(AND(CROQUIS_DATOS!$C$1472=1,CROQUIS_DATOS!$C$1555=1),(CROQUIS_DATOS!$C$1563+(IF(IF(OR(MOD($A225-1,62)+1=1,IF(CHOOSE(MIN(MAX(MIN(INT(($A225-1)/62)+1,5),1),5),CROQUIS_DATOS!$C$1501,CROQUIS_DATOS!$C$1505,CROQUIS_DATOS!$C$1509,CROQUIS_DATOS!$C$1513,CROQUIS_DATOS!$C$1517)=1,CROQUIS_DATOS!$C$1557,0)=0),0,IF(MOD($A225-1,62)+1&gt;2*IF(CHOOSE(MIN(MAX(MIN(INT(($A225-1)/62)+1,5),1),5),CROQUIS_DATOS!$C$1501,CROQUIS_DATOS!$C$1505,CROQUIS_DATOS!$C$1509,CROQUIS_DATOS!$C$1513,CROQUIS_DATOS!$C$1517)=1,CROQUIS_DATOS!$C$1557,0)+1,IF(MOD(IF(CHOOSE(MIN(MAX(MIN(INT(($A225-1)/62)+1,5),1),5),CROQUIS_DATOS!$C$1501,CROQUIS_DATOS!$C$1505,CROQUIS_DATOS!$C$1509,CROQUIS_DATOS!$C$1513,CROQUIS_DATOS!$C$1517)=1,CROQUIS_DATOS!$C$1557,0),2)=1,1,0),IF(MOD(MIN(INT((MOD($A225-1,62)+1-2)/2)+1,MAX(IF(CHOOSE(MIN(MAX(MIN(INT(($A225-1)/62)+1,5),1),5),CROQUIS_DATOS!$C$1501,CROQUIS_DATOS!$C$1505,CROQUIS_DATOS!$C$1509,CROQUIS_DATOS!$C$1513,CROQUIS_DATOS!$C$1517)=1,CROQUIS_DATOS!$C$1557,0),1)),2)=1,IF(MOD(MOD($A225-1,62)+1-2,2)=0,0,1),IF(MOD(MOD($A225-1,62)+1-2,2)=0,1,0))))=0,(CHOOSE(MIN(MAX(MIN(INT(($A225-1)/62)+1,5),1),5),CROQUIS_DATOS!$C$1499,CROQUIS_DATOS!$C$1503,CROQUIS_DATOS!$C$1507,CROQUIS_DATOS!$C$1511,CROQUIS_DATOS!$C$1515)+IF(CHOOSE(MIN(MAX(MIN(INT(($A225-1)/62)+1,5),1),5),CROQUIS_DATOS!$C$1501,CROQUIS_DATOS!$C$1505,CROQUIS_DATOS!$C$1509,CROQUIS_DATOS!$C$1513,CROQUIS_DATOS!$C$1517)=1,CROQUIS_DATOS!$C$1526,0)),(CHOOSE(MIN(MAX(MIN(INT(($A225-1)/62)+1,5),1),5),CROQUIS_DATOS!$C$1499,CROQUIS_DATOS!$C$1503,CROQUIS_DATOS!$C$1507,CROQUIS_DATOS!$C$1511,CROQUIS_DATOS!$C$1515)+CHOOSE(MIN(MAX(MIN(INT(($A225-1)/62)+1,5),1),5),CROQUIS_DATOS!$C$1500,CROQUIS_DATOS!$C$1504,CROQUIS_DATOS!$C$1508,CROQUIS_DATOS!$C$1512,CROQUIS_DATOS!$C$1516)-IF(CHOOSE(MIN(MAX(MIN(INT(($A225-1)/62)+1,5),1),5),CROQUIS_DATOS!$C$1501,CROQUIS_DATOS!$C$1505,CROQUIS_DATOS!$C$1509,CROQUIS_DATOS!$C$1513,CROQUIS_DATOS!$C$1517)=1,CROQUIS_DATOS!$C$1526,0))))*CROQUIS_DATOS!$C$1562),-1000)</f>
        <v>-1000</v>
      </c>
      <c r="Q225">
        <f>IF(AND(CROQUIS_DATOS!$C$1472=1,CROQUIS_DATOS!$C$1555=1),(CROQUIS_DATOS!$C$1564+(IF(OR(OR(MOD($A225-1,62)+1=1,IF(CHOOSE(MIN(MAX(MIN(INT(($A225-1)/62)+1,5),1),5),CROQUIS_DATOS!$C$1501,CROQUIS_DATOS!$C$1505,CROQUIS_DATOS!$C$1509,CROQUIS_DATOS!$C$1513,CROQUIS_DATOS!$C$1517)=1,CROQUIS_DATOS!$C$1557,0)=0),MOD($A225-1,62)+1&gt;2*IF(CHOOSE(MIN(MAX(MIN(INT(($A225-1)/62)+1,5),1),5),CROQUIS_DATOS!$C$1501,CROQUIS_DATOS!$C$1505,CROQUIS_DATOS!$C$1509,CROQUIS_DATOS!$C$1513,CROQUIS_DATOS!$C$1517)=1,CROQUIS_DATOS!$C$1557,0)+1),CROQUIS_DATOS!$C$1476,MIN(INT((MOD($A225-1,62)+1-2)/2)+1,MAX(IF(CHOOSE(MIN(MAX(MIN(INT(($A225-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5">
        <f>IF(AND(CROQUIS_DATOS!$C$1472=1,1),(CROQUIS_DATOS!$C$1563+(MIN(INT(($A225-1)/2)+1,CROQUIS_DATOS!$C$1558)*CROQUIS_DATOS!$C$1559)*CROQUIS_DATOS!$C$1562),-1000)</f>
        <v>82.2281167108753</v>
      </c>
      <c r="U225">
        <f>IF(AND(CROQUIS_DATOS!$C$1472=1,1),(CROQUIS_DATOS!$C$1564+(IF(INT(($A225-1)/2)+1&gt;CROQUIS_DATOS!$C$1558,IF(MOD(CROQUIS_DATOS!$C$1558,2)=1,CROQUIS_DATOS!$C$1476+CROQUIS_DATOS!$C$1528,CROQUIS_DATOS!$C$1476),IF(IF(MOD(MIN(INT(($A225-1)/2)+1,CROQUIS_DATOS!$C$1558),2)=1,MOD($A225-1,2),1-MOD($A225-1,2))=1,CROQUIS_DATOS!$C$1476+CROQUIS_DATOS!$C$1528,CROQUIS_DATOS!$C$1476)))*CROQUIS_DATOS!$C$1561*CROQUIS_DATOS!$C$1562),-1000)</f>
        <v>43</v>
      </c>
    </row>
    <row r="226">
      <c r="A226" t="n">
        <v>219</v>
      </c>
      <c r="N226">
        <f>IF(AND(CROQUIS_DATOS!$C$1472=1,1),(CROQUIS_DATOS!$C$1563+(IF(IF(IF(INT(($A226-1)/70)+1&gt;CROQUIS_DATOS!$C$1525,70,MOD($A226-1,70)+1)=1,0,IF(IF(INT(($A226-1)/70)+1&gt;CROQUIS_DATOS!$C$1525,70,MOD($A226-1,70)+1)&gt;2*CROQUIS_DATOS!$C$1541+1,IF(MOD(CROQUIS_DATOS!$C$1541,2)=1,1,0),IF(MOD(MIN(INT((IF(INT(($A226-1)/70)+1&gt;CROQUIS_DATOS!$C$1525,70,MOD($A226-1,70)+1)-2)/2)+1,CROQUIS_DATOS!$C$1541),2)=1,IF(MOD(IF(INT(($A226-1)/70)+1&gt;CROQUIS_DATOS!$C$1525,70,MOD($A226-1,70)+1)-2,2)=0,0,1),IF(MOD(IF(INT(($A226-1)/70)+1&gt;CROQUIS_DATOS!$C$1525,70,MOD($A226-1,70)+1)-2,2)=0,1,0))))=0,(INDEX($E$8:$E$23,MIN(INT(($A226-1)/70)+1,CROQUIS_DATOS!$C$1525))-INDEX($F$8:$F$23,MIN(INT(($A226-1)/70)+1,CROQUIS_DATOS!$C$1525))/2),(INDEX($E$8:$E$23,MIN(INT(($A226-1)/70)+1,CROQUIS_DATOS!$C$1525))+INDEX($F$8:$F$23,MIN(INT(($A226-1)/70)+1,CROQUIS_DATOS!$C$1525))/2)))*CROQUIS_DATOS!$C$1562),-1000)</f>
        <v>45.1120689655172</v>
      </c>
      <c r="O226">
        <f>IF(AND(CROQUIS_DATOS!$C$1472=1,1),(CROQUIS_DATOS!$C$1564+(IF(OR(IF(INT(($A226-1)/70)+1&gt;CROQUIS_DATOS!$C$1525,70,MOD($A226-1,70)+1)=1,IF(INT(($A226-1)/70)+1&gt;CROQUIS_DATOS!$C$1525,70,MOD($A226-1,70)+1)&gt;2*CROQUIS_DATOS!$C$1541+1),CROQUIS_DATOS!$C$1476,INDEX($H$8:$H$41,MIN(INT((IF(INT(($A226-1)/70)+1&gt;CROQUIS_DATOS!$C$1525,70,MOD($A226-1,70)+1)-2)/2)+1,CROQUIS_DATOS!$C$1541))))*CROQUIS_DATOS!$C$1561*CROQUIS_DATOS!$C$1562),-1000)</f>
        <v>9.48275862068966</v>
      </c>
      <c r="P226">
        <f>IF(AND(CROQUIS_DATOS!$C$1472=1,CROQUIS_DATOS!$C$1555=1),(CROQUIS_DATOS!$C$1563+(IF(IF(OR(MOD($A226-1,62)+1=1,IF(CHOOSE(MIN(MAX(MIN(INT(($A226-1)/62)+1,5),1),5),CROQUIS_DATOS!$C$1501,CROQUIS_DATOS!$C$1505,CROQUIS_DATOS!$C$1509,CROQUIS_DATOS!$C$1513,CROQUIS_DATOS!$C$1517)=1,CROQUIS_DATOS!$C$1557,0)=0),0,IF(MOD($A226-1,62)+1&gt;2*IF(CHOOSE(MIN(MAX(MIN(INT(($A226-1)/62)+1,5),1),5),CROQUIS_DATOS!$C$1501,CROQUIS_DATOS!$C$1505,CROQUIS_DATOS!$C$1509,CROQUIS_DATOS!$C$1513,CROQUIS_DATOS!$C$1517)=1,CROQUIS_DATOS!$C$1557,0)+1,IF(MOD(IF(CHOOSE(MIN(MAX(MIN(INT(($A226-1)/62)+1,5),1),5),CROQUIS_DATOS!$C$1501,CROQUIS_DATOS!$C$1505,CROQUIS_DATOS!$C$1509,CROQUIS_DATOS!$C$1513,CROQUIS_DATOS!$C$1517)=1,CROQUIS_DATOS!$C$1557,0),2)=1,1,0),IF(MOD(MIN(INT((MOD($A226-1,62)+1-2)/2)+1,MAX(IF(CHOOSE(MIN(MAX(MIN(INT(($A226-1)/62)+1,5),1),5),CROQUIS_DATOS!$C$1501,CROQUIS_DATOS!$C$1505,CROQUIS_DATOS!$C$1509,CROQUIS_DATOS!$C$1513,CROQUIS_DATOS!$C$1517)=1,CROQUIS_DATOS!$C$1557,0),1)),2)=1,IF(MOD(MOD($A226-1,62)+1-2,2)=0,0,1),IF(MOD(MOD($A226-1,62)+1-2,2)=0,1,0))))=0,(CHOOSE(MIN(MAX(MIN(INT(($A226-1)/62)+1,5),1),5),CROQUIS_DATOS!$C$1499,CROQUIS_DATOS!$C$1503,CROQUIS_DATOS!$C$1507,CROQUIS_DATOS!$C$1511,CROQUIS_DATOS!$C$1515)+IF(CHOOSE(MIN(MAX(MIN(INT(($A226-1)/62)+1,5),1),5),CROQUIS_DATOS!$C$1501,CROQUIS_DATOS!$C$1505,CROQUIS_DATOS!$C$1509,CROQUIS_DATOS!$C$1513,CROQUIS_DATOS!$C$1517)=1,CROQUIS_DATOS!$C$1526,0)),(CHOOSE(MIN(MAX(MIN(INT(($A226-1)/62)+1,5),1),5),CROQUIS_DATOS!$C$1499,CROQUIS_DATOS!$C$1503,CROQUIS_DATOS!$C$1507,CROQUIS_DATOS!$C$1511,CROQUIS_DATOS!$C$1515)+CHOOSE(MIN(MAX(MIN(INT(($A226-1)/62)+1,5),1),5),CROQUIS_DATOS!$C$1500,CROQUIS_DATOS!$C$1504,CROQUIS_DATOS!$C$1508,CROQUIS_DATOS!$C$1512,CROQUIS_DATOS!$C$1516)-IF(CHOOSE(MIN(MAX(MIN(INT(($A226-1)/62)+1,5),1),5),CROQUIS_DATOS!$C$1501,CROQUIS_DATOS!$C$1505,CROQUIS_DATOS!$C$1509,CROQUIS_DATOS!$C$1513,CROQUIS_DATOS!$C$1517)=1,CROQUIS_DATOS!$C$1526,0))))*CROQUIS_DATOS!$C$1562),-1000)</f>
        <v>-1000</v>
      </c>
      <c r="Q226">
        <f>IF(AND(CROQUIS_DATOS!$C$1472=1,CROQUIS_DATOS!$C$1555=1),(CROQUIS_DATOS!$C$1564+(IF(OR(OR(MOD($A226-1,62)+1=1,IF(CHOOSE(MIN(MAX(MIN(INT(($A226-1)/62)+1,5),1),5),CROQUIS_DATOS!$C$1501,CROQUIS_DATOS!$C$1505,CROQUIS_DATOS!$C$1509,CROQUIS_DATOS!$C$1513,CROQUIS_DATOS!$C$1517)=1,CROQUIS_DATOS!$C$1557,0)=0),MOD($A226-1,62)+1&gt;2*IF(CHOOSE(MIN(MAX(MIN(INT(($A226-1)/62)+1,5),1),5),CROQUIS_DATOS!$C$1501,CROQUIS_DATOS!$C$1505,CROQUIS_DATOS!$C$1509,CROQUIS_DATOS!$C$1513,CROQUIS_DATOS!$C$1517)=1,CROQUIS_DATOS!$C$1557,0)+1),CROQUIS_DATOS!$C$1476,MIN(INT((MOD($A226-1,62)+1-2)/2)+1,MAX(IF(CHOOSE(MIN(MAX(MIN(INT(($A226-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6">
        <f>IF(AND(CROQUIS_DATOS!$C$1472=1,1),(CROQUIS_DATOS!$C$1563+(MIN(INT(($A226-1)/2)+1,CROQUIS_DATOS!$C$1558)*CROQUIS_DATOS!$C$1559)*CROQUIS_DATOS!$C$1562),-1000)</f>
        <v>82.2281167108753</v>
      </c>
      <c r="U226">
        <f>IF(AND(CROQUIS_DATOS!$C$1472=1,1),(CROQUIS_DATOS!$C$1564+(IF(INT(($A226-1)/2)+1&gt;CROQUIS_DATOS!$C$1558,IF(MOD(CROQUIS_DATOS!$C$1558,2)=1,CROQUIS_DATOS!$C$1476+CROQUIS_DATOS!$C$1528,CROQUIS_DATOS!$C$1476),IF(IF(MOD(MIN(INT(($A226-1)/2)+1,CROQUIS_DATOS!$C$1558),2)=1,MOD($A226-1,2),1-MOD($A226-1,2))=1,CROQUIS_DATOS!$C$1476+CROQUIS_DATOS!$C$1528,CROQUIS_DATOS!$C$1476)))*CROQUIS_DATOS!$C$1561*CROQUIS_DATOS!$C$1562),-1000)</f>
        <v>43</v>
      </c>
    </row>
    <row r="227">
      <c r="A227" t="n">
        <v>220</v>
      </c>
      <c r="N227">
        <f>IF(AND(CROQUIS_DATOS!$C$1472=1,1),(CROQUIS_DATOS!$C$1563+(IF(IF(IF(INT(($A227-1)/70)+1&gt;CROQUIS_DATOS!$C$1525,70,MOD($A227-1,70)+1)=1,0,IF(IF(INT(($A227-1)/70)+1&gt;CROQUIS_DATOS!$C$1525,70,MOD($A227-1,70)+1)&gt;2*CROQUIS_DATOS!$C$1541+1,IF(MOD(CROQUIS_DATOS!$C$1541,2)=1,1,0),IF(MOD(MIN(INT((IF(INT(($A227-1)/70)+1&gt;CROQUIS_DATOS!$C$1525,70,MOD($A227-1,70)+1)-2)/2)+1,CROQUIS_DATOS!$C$1541),2)=1,IF(MOD(IF(INT(($A227-1)/70)+1&gt;CROQUIS_DATOS!$C$1525,70,MOD($A227-1,70)+1)-2,2)=0,0,1),IF(MOD(IF(INT(($A227-1)/70)+1&gt;CROQUIS_DATOS!$C$1525,70,MOD($A227-1,70)+1)-2,2)=0,1,0))))=0,(INDEX($E$8:$E$23,MIN(INT(($A227-1)/70)+1,CROQUIS_DATOS!$C$1525))-INDEX($F$8:$F$23,MIN(INT(($A227-1)/70)+1,CROQUIS_DATOS!$C$1525))/2),(INDEX($E$8:$E$23,MIN(INT(($A227-1)/70)+1,CROQUIS_DATOS!$C$1525))+INDEX($F$8:$F$23,MIN(INT(($A227-1)/70)+1,CROQUIS_DATOS!$C$1525))/2)))*CROQUIS_DATOS!$C$1562),-1000)</f>
        <v>45.1120689655172</v>
      </c>
      <c r="O227">
        <f>IF(AND(CROQUIS_DATOS!$C$1472=1,1),(CROQUIS_DATOS!$C$1564+(IF(OR(IF(INT(($A227-1)/70)+1&gt;CROQUIS_DATOS!$C$1525,70,MOD($A227-1,70)+1)=1,IF(INT(($A227-1)/70)+1&gt;CROQUIS_DATOS!$C$1525,70,MOD($A227-1,70)+1)&gt;2*CROQUIS_DATOS!$C$1541+1),CROQUIS_DATOS!$C$1476,INDEX($H$8:$H$41,MIN(INT((IF(INT(($A227-1)/70)+1&gt;CROQUIS_DATOS!$C$1525,70,MOD($A227-1,70)+1)-2)/2)+1,CROQUIS_DATOS!$C$1541))))*CROQUIS_DATOS!$C$1561*CROQUIS_DATOS!$C$1562),-1000)</f>
        <v>10.5301724137931</v>
      </c>
      <c r="P227">
        <f>IF(AND(CROQUIS_DATOS!$C$1472=1,CROQUIS_DATOS!$C$1555=1),(CROQUIS_DATOS!$C$1563+(IF(IF(OR(MOD($A227-1,62)+1=1,IF(CHOOSE(MIN(MAX(MIN(INT(($A227-1)/62)+1,5),1),5),CROQUIS_DATOS!$C$1501,CROQUIS_DATOS!$C$1505,CROQUIS_DATOS!$C$1509,CROQUIS_DATOS!$C$1513,CROQUIS_DATOS!$C$1517)=1,CROQUIS_DATOS!$C$1557,0)=0),0,IF(MOD($A227-1,62)+1&gt;2*IF(CHOOSE(MIN(MAX(MIN(INT(($A227-1)/62)+1,5),1),5),CROQUIS_DATOS!$C$1501,CROQUIS_DATOS!$C$1505,CROQUIS_DATOS!$C$1509,CROQUIS_DATOS!$C$1513,CROQUIS_DATOS!$C$1517)=1,CROQUIS_DATOS!$C$1557,0)+1,IF(MOD(IF(CHOOSE(MIN(MAX(MIN(INT(($A227-1)/62)+1,5),1),5),CROQUIS_DATOS!$C$1501,CROQUIS_DATOS!$C$1505,CROQUIS_DATOS!$C$1509,CROQUIS_DATOS!$C$1513,CROQUIS_DATOS!$C$1517)=1,CROQUIS_DATOS!$C$1557,0),2)=1,1,0),IF(MOD(MIN(INT((MOD($A227-1,62)+1-2)/2)+1,MAX(IF(CHOOSE(MIN(MAX(MIN(INT(($A227-1)/62)+1,5),1),5),CROQUIS_DATOS!$C$1501,CROQUIS_DATOS!$C$1505,CROQUIS_DATOS!$C$1509,CROQUIS_DATOS!$C$1513,CROQUIS_DATOS!$C$1517)=1,CROQUIS_DATOS!$C$1557,0),1)),2)=1,IF(MOD(MOD($A227-1,62)+1-2,2)=0,0,1),IF(MOD(MOD($A227-1,62)+1-2,2)=0,1,0))))=0,(CHOOSE(MIN(MAX(MIN(INT(($A227-1)/62)+1,5),1),5),CROQUIS_DATOS!$C$1499,CROQUIS_DATOS!$C$1503,CROQUIS_DATOS!$C$1507,CROQUIS_DATOS!$C$1511,CROQUIS_DATOS!$C$1515)+IF(CHOOSE(MIN(MAX(MIN(INT(($A227-1)/62)+1,5),1),5),CROQUIS_DATOS!$C$1501,CROQUIS_DATOS!$C$1505,CROQUIS_DATOS!$C$1509,CROQUIS_DATOS!$C$1513,CROQUIS_DATOS!$C$1517)=1,CROQUIS_DATOS!$C$1526,0)),(CHOOSE(MIN(MAX(MIN(INT(($A227-1)/62)+1,5),1),5),CROQUIS_DATOS!$C$1499,CROQUIS_DATOS!$C$1503,CROQUIS_DATOS!$C$1507,CROQUIS_DATOS!$C$1511,CROQUIS_DATOS!$C$1515)+CHOOSE(MIN(MAX(MIN(INT(($A227-1)/62)+1,5),1),5),CROQUIS_DATOS!$C$1500,CROQUIS_DATOS!$C$1504,CROQUIS_DATOS!$C$1508,CROQUIS_DATOS!$C$1512,CROQUIS_DATOS!$C$1516)-IF(CHOOSE(MIN(MAX(MIN(INT(($A227-1)/62)+1,5),1),5),CROQUIS_DATOS!$C$1501,CROQUIS_DATOS!$C$1505,CROQUIS_DATOS!$C$1509,CROQUIS_DATOS!$C$1513,CROQUIS_DATOS!$C$1517)=1,CROQUIS_DATOS!$C$1526,0))))*CROQUIS_DATOS!$C$1562),-1000)</f>
        <v>-1000</v>
      </c>
      <c r="Q227">
        <f>IF(AND(CROQUIS_DATOS!$C$1472=1,CROQUIS_DATOS!$C$1555=1),(CROQUIS_DATOS!$C$1564+(IF(OR(OR(MOD($A227-1,62)+1=1,IF(CHOOSE(MIN(MAX(MIN(INT(($A227-1)/62)+1,5),1),5),CROQUIS_DATOS!$C$1501,CROQUIS_DATOS!$C$1505,CROQUIS_DATOS!$C$1509,CROQUIS_DATOS!$C$1513,CROQUIS_DATOS!$C$1517)=1,CROQUIS_DATOS!$C$1557,0)=0),MOD($A227-1,62)+1&gt;2*IF(CHOOSE(MIN(MAX(MIN(INT(($A227-1)/62)+1,5),1),5),CROQUIS_DATOS!$C$1501,CROQUIS_DATOS!$C$1505,CROQUIS_DATOS!$C$1509,CROQUIS_DATOS!$C$1513,CROQUIS_DATOS!$C$1517)=1,CROQUIS_DATOS!$C$1557,0)+1),CROQUIS_DATOS!$C$1476,MIN(INT((MOD($A227-1,62)+1-2)/2)+1,MAX(IF(CHOOSE(MIN(MAX(MIN(INT(($A227-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7">
        <f>IF(AND(CROQUIS_DATOS!$C$1472=1,1),(CROQUIS_DATOS!$C$1563+(MIN(INT(($A227-1)/2)+1,CROQUIS_DATOS!$C$1558)*CROQUIS_DATOS!$C$1559)*CROQUIS_DATOS!$C$1562),-1000)</f>
        <v>82.2281167108753</v>
      </c>
      <c r="U227">
        <f>IF(AND(CROQUIS_DATOS!$C$1472=1,1),(CROQUIS_DATOS!$C$1564+(IF(INT(($A227-1)/2)+1&gt;CROQUIS_DATOS!$C$1558,IF(MOD(CROQUIS_DATOS!$C$1558,2)=1,CROQUIS_DATOS!$C$1476+CROQUIS_DATOS!$C$1528,CROQUIS_DATOS!$C$1476),IF(IF(MOD(MIN(INT(($A227-1)/2)+1,CROQUIS_DATOS!$C$1558),2)=1,MOD($A227-1,2),1-MOD($A227-1,2))=1,CROQUIS_DATOS!$C$1476+CROQUIS_DATOS!$C$1528,CROQUIS_DATOS!$C$1476)))*CROQUIS_DATOS!$C$1561*CROQUIS_DATOS!$C$1562),-1000)</f>
        <v>43</v>
      </c>
    </row>
    <row r="228">
      <c r="A228" t="n">
        <v>221</v>
      </c>
      <c r="N228">
        <f>IF(AND(CROQUIS_DATOS!$C$1472=1,1),(CROQUIS_DATOS!$C$1563+(IF(IF(IF(INT(($A228-1)/70)+1&gt;CROQUIS_DATOS!$C$1525,70,MOD($A228-1,70)+1)=1,0,IF(IF(INT(($A228-1)/70)+1&gt;CROQUIS_DATOS!$C$1525,70,MOD($A228-1,70)+1)&gt;2*CROQUIS_DATOS!$C$1541+1,IF(MOD(CROQUIS_DATOS!$C$1541,2)=1,1,0),IF(MOD(MIN(INT((IF(INT(($A228-1)/70)+1&gt;CROQUIS_DATOS!$C$1525,70,MOD($A228-1,70)+1)-2)/2)+1,CROQUIS_DATOS!$C$1541),2)=1,IF(MOD(IF(INT(($A228-1)/70)+1&gt;CROQUIS_DATOS!$C$1525,70,MOD($A228-1,70)+1)-2,2)=0,0,1),IF(MOD(IF(INT(($A228-1)/70)+1&gt;CROQUIS_DATOS!$C$1525,70,MOD($A228-1,70)+1)-2,2)=0,1,0))))=0,(INDEX($E$8:$E$23,MIN(INT(($A228-1)/70)+1,CROQUIS_DATOS!$C$1525))-INDEX($F$8:$F$23,MIN(INT(($A228-1)/70)+1,CROQUIS_DATOS!$C$1525))/2),(INDEX($E$8:$E$23,MIN(INT(($A228-1)/70)+1,CROQUIS_DATOS!$C$1525))+INDEX($F$8:$F$23,MIN(INT(($A228-1)/70)+1,CROQUIS_DATOS!$C$1525))/2)))*CROQUIS_DATOS!$C$1562),-1000)</f>
        <v>47.2068965517241</v>
      </c>
      <c r="O228">
        <f>IF(AND(CROQUIS_DATOS!$C$1472=1,1),(CROQUIS_DATOS!$C$1564+(IF(OR(IF(INT(($A228-1)/70)+1&gt;CROQUIS_DATOS!$C$1525,70,MOD($A228-1,70)+1)=1,IF(INT(($A228-1)/70)+1&gt;CROQUIS_DATOS!$C$1525,70,MOD($A228-1,70)+1)&gt;2*CROQUIS_DATOS!$C$1541+1),CROQUIS_DATOS!$C$1476,INDEX($H$8:$H$41,MIN(INT((IF(INT(($A228-1)/70)+1&gt;CROQUIS_DATOS!$C$1525,70,MOD($A228-1,70)+1)-2)/2)+1,CROQUIS_DATOS!$C$1541))))*CROQUIS_DATOS!$C$1561*CROQUIS_DATOS!$C$1562),-1000)</f>
        <v>10.5301724137931</v>
      </c>
      <c r="P228">
        <f>IF(AND(CROQUIS_DATOS!$C$1472=1,CROQUIS_DATOS!$C$1555=1),(CROQUIS_DATOS!$C$1563+(IF(IF(OR(MOD($A228-1,62)+1=1,IF(CHOOSE(MIN(MAX(MIN(INT(($A228-1)/62)+1,5),1),5),CROQUIS_DATOS!$C$1501,CROQUIS_DATOS!$C$1505,CROQUIS_DATOS!$C$1509,CROQUIS_DATOS!$C$1513,CROQUIS_DATOS!$C$1517)=1,CROQUIS_DATOS!$C$1557,0)=0),0,IF(MOD($A228-1,62)+1&gt;2*IF(CHOOSE(MIN(MAX(MIN(INT(($A228-1)/62)+1,5),1),5),CROQUIS_DATOS!$C$1501,CROQUIS_DATOS!$C$1505,CROQUIS_DATOS!$C$1509,CROQUIS_DATOS!$C$1513,CROQUIS_DATOS!$C$1517)=1,CROQUIS_DATOS!$C$1557,0)+1,IF(MOD(IF(CHOOSE(MIN(MAX(MIN(INT(($A228-1)/62)+1,5),1),5),CROQUIS_DATOS!$C$1501,CROQUIS_DATOS!$C$1505,CROQUIS_DATOS!$C$1509,CROQUIS_DATOS!$C$1513,CROQUIS_DATOS!$C$1517)=1,CROQUIS_DATOS!$C$1557,0),2)=1,1,0),IF(MOD(MIN(INT((MOD($A228-1,62)+1-2)/2)+1,MAX(IF(CHOOSE(MIN(MAX(MIN(INT(($A228-1)/62)+1,5),1),5),CROQUIS_DATOS!$C$1501,CROQUIS_DATOS!$C$1505,CROQUIS_DATOS!$C$1509,CROQUIS_DATOS!$C$1513,CROQUIS_DATOS!$C$1517)=1,CROQUIS_DATOS!$C$1557,0),1)),2)=1,IF(MOD(MOD($A228-1,62)+1-2,2)=0,0,1),IF(MOD(MOD($A228-1,62)+1-2,2)=0,1,0))))=0,(CHOOSE(MIN(MAX(MIN(INT(($A228-1)/62)+1,5),1),5),CROQUIS_DATOS!$C$1499,CROQUIS_DATOS!$C$1503,CROQUIS_DATOS!$C$1507,CROQUIS_DATOS!$C$1511,CROQUIS_DATOS!$C$1515)+IF(CHOOSE(MIN(MAX(MIN(INT(($A228-1)/62)+1,5),1),5),CROQUIS_DATOS!$C$1501,CROQUIS_DATOS!$C$1505,CROQUIS_DATOS!$C$1509,CROQUIS_DATOS!$C$1513,CROQUIS_DATOS!$C$1517)=1,CROQUIS_DATOS!$C$1526,0)),(CHOOSE(MIN(MAX(MIN(INT(($A228-1)/62)+1,5),1),5),CROQUIS_DATOS!$C$1499,CROQUIS_DATOS!$C$1503,CROQUIS_DATOS!$C$1507,CROQUIS_DATOS!$C$1511,CROQUIS_DATOS!$C$1515)+CHOOSE(MIN(MAX(MIN(INT(($A228-1)/62)+1,5),1),5),CROQUIS_DATOS!$C$1500,CROQUIS_DATOS!$C$1504,CROQUIS_DATOS!$C$1508,CROQUIS_DATOS!$C$1512,CROQUIS_DATOS!$C$1516)-IF(CHOOSE(MIN(MAX(MIN(INT(($A228-1)/62)+1,5),1),5),CROQUIS_DATOS!$C$1501,CROQUIS_DATOS!$C$1505,CROQUIS_DATOS!$C$1509,CROQUIS_DATOS!$C$1513,CROQUIS_DATOS!$C$1517)=1,CROQUIS_DATOS!$C$1526,0))))*CROQUIS_DATOS!$C$1562),-1000)</f>
        <v>-1000</v>
      </c>
      <c r="Q228">
        <f>IF(AND(CROQUIS_DATOS!$C$1472=1,CROQUIS_DATOS!$C$1555=1),(CROQUIS_DATOS!$C$1564+(IF(OR(OR(MOD($A228-1,62)+1=1,IF(CHOOSE(MIN(MAX(MIN(INT(($A228-1)/62)+1,5),1),5),CROQUIS_DATOS!$C$1501,CROQUIS_DATOS!$C$1505,CROQUIS_DATOS!$C$1509,CROQUIS_DATOS!$C$1513,CROQUIS_DATOS!$C$1517)=1,CROQUIS_DATOS!$C$1557,0)=0),MOD($A228-1,62)+1&gt;2*IF(CHOOSE(MIN(MAX(MIN(INT(($A228-1)/62)+1,5),1),5),CROQUIS_DATOS!$C$1501,CROQUIS_DATOS!$C$1505,CROQUIS_DATOS!$C$1509,CROQUIS_DATOS!$C$1513,CROQUIS_DATOS!$C$1517)=1,CROQUIS_DATOS!$C$1557,0)+1),CROQUIS_DATOS!$C$1476,MIN(INT((MOD($A228-1,62)+1-2)/2)+1,MAX(IF(CHOOSE(MIN(MAX(MIN(INT(($A228-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8">
        <f>IF(AND(CROQUIS_DATOS!$C$1472=1,1),(CROQUIS_DATOS!$C$1563+(MIN(INT(($A228-1)/2)+1,CROQUIS_DATOS!$C$1558)*CROQUIS_DATOS!$C$1559)*CROQUIS_DATOS!$C$1562),-1000)</f>
        <v>82.2281167108753</v>
      </c>
      <c r="U228">
        <f>IF(AND(CROQUIS_DATOS!$C$1472=1,1),(CROQUIS_DATOS!$C$1564+(IF(INT(($A228-1)/2)+1&gt;CROQUIS_DATOS!$C$1558,IF(MOD(CROQUIS_DATOS!$C$1558,2)=1,CROQUIS_DATOS!$C$1476+CROQUIS_DATOS!$C$1528,CROQUIS_DATOS!$C$1476),IF(IF(MOD(MIN(INT(($A228-1)/2)+1,CROQUIS_DATOS!$C$1558),2)=1,MOD($A228-1,2),1-MOD($A228-1,2))=1,CROQUIS_DATOS!$C$1476+CROQUIS_DATOS!$C$1528,CROQUIS_DATOS!$C$1476)))*CROQUIS_DATOS!$C$1561*CROQUIS_DATOS!$C$1562),-1000)</f>
        <v>43</v>
      </c>
    </row>
    <row r="229">
      <c r="A229" t="n">
        <v>222</v>
      </c>
      <c r="N229">
        <f>IF(AND(CROQUIS_DATOS!$C$1472=1,1),(CROQUIS_DATOS!$C$1563+(IF(IF(IF(INT(($A229-1)/70)+1&gt;CROQUIS_DATOS!$C$1525,70,MOD($A229-1,70)+1)=1,0,IF(IF(INT(($A229-1)/70)+1&gt;CROQUIS_DATOS!$C$1525,70,MOD($A229-1,70)+1)&gt;2*CROQUIS_DATOS!$C$1541+1,IF(MOD(CROQUIS_DATOS!$C$1541,2)=1,1,0),IF(MOD(MIN(INT((IF(INT(($A229-1)/70)+1&gt;CROQUIS_DATOS!$C$1525,70,MOD($A229-1,70)+1)-2)/2)+1,CROQUIS_DATOS!$C$1541),2)=1,IF(MOD(IF(INT(($A229-1)/70)+1&gt;CROQUIS_DATOS!$C$1525,70,MOD($A229-1,70)+1)-2,2)=0,0,1),IF(MOD(IF(INT(($A229-1)/70)+1&gt;CROQUIS_DATOS!$C$1525,70,MOD($A229-1,70)+1)-2,2)=0,1,0))))=0,(INDEX($E$8:$E$23,MIN(INT(($A229-1)/70)+1,CROQUIS_DATOS!$C$1525))-INDEX($F$8:$F$23,MIN(INT(($A229-1)/70)+1,CROQUIS_DATOS!$C$1525))/2),(INDEX($E$8:$E$23,MIN(INT(($A229-1)/70)+1,CROQUIS_DATOS!$C$1525))+INDEX($F$8:$F$23,MIN(INT(($A229-1)/70)+1,CROQUIS_DATOS!$C$1525))/2)))*CROQUIS_DATOS!$C$1562),-1000)</f>
        <v>47.2068965517241</v>
      </c>
      <c r="O229">
        <f>IF(AND(CROQUIS_DATOS!$C$1472=1,1),(CROQUIS_DATOS!$C$1564+(IF(OR(IF(INT(($A229-1)/70)+1&gt;CROQUIS_DATOS!$C$1525,70,MOD($A229-1,70)+1)=1,IF(INT(($A229-1)/70)+1&gt;CROQUIS_DATOS!$C$1525,70,MOD($A229-1,70)+1)&gt;2*CROQUIS_DATOS!$C$1541+1),CROQUIS_DATOS!$C$1476,INDEX($H$8:$H$41,MIN(INT((IF(INT(($A229-1)/70)+1&gt;CROQUIS_DATOS!$C$1525,70,MOD($A229-1,70)+1)-2)/2)+1,CROQUIS_DATOS!$C$1541))))*CROQUIS_DATOS!$C$1561*CROQUIS_DATOS!$C$1562),-1000)</f>
        <v>13.2456896551724</v>
      </c>
      <c r="P229">
        <f>IF(AND(CROQUIS_DATOS!$C$1472=1,CROQUIS_DATOS!$C$1555=1),(CROQUIS_DATOS!$C$1563+(IF(IF(OR(MOD($A229-1,62)+1=1,IF(CHOOSE(MIN(MAX(MIN(INT(($A229-1)/62)+1,5),1),5),CROQUIS_DATOS!$C$1501,CROQUIS_DATOS!$C$1505,CROQUIS_DATOS!$C$1509,CROQUIS_DATOS!$C$1513,CROQUIS_DATOS!$C$1517)=1,CROQUIS_DATOS!$C$1557,0)=0),0,IF(MOD($A229-1,62)+1&gt;2*IF(CHOOSE(MIN(MAX(MIN(INT(($A229-1)/62)+1,5),1),5),CROQUIS_DATOS!$C$1501,CROQUIS_DATOS!$C$1505,CROQUIS_DATOS!$C$1509,CROQUIS_DATOS!$C$1513,CROQUIS_DATOS!$C$1517)=1,CROQUIS_DATOS!$C$1557,0)+1,IF(MOD(IF(CHOOSE(MIN(MAX(MIN(INT(($A229-1)/62)+1,5),1),5),CROQUIS_DATOS!$C$1501,CROQUIS_DATOS!$C$1505,CROQUIS_DATOS!$C$1509,CROQUIS_DATOS!$C$1513,CROQUIS_DATOS!$C$1517)=1,CROQUIS_DATOS!$C$1557,0),2)=1,1,0),IF(MOD(MIN(INT((MOD($A229-1,62)+1-2)/2)+1,MAX(IF(CHOOSE(MIN(MAX(MIN(INT(($A229-1)/62)+1,5),1),5),CROQUIS_DATOS!$C$1501,CROQUIS_DATOS!$C$1505,CROQUIS_DATOS!$C$1509,CROQUIS_DATOS!$C$1513,CROQUIS_DATOS!$C$1517)=1,CROQUIS_DATOS!$C$1557,0),1)),2)=1,IF(MOD(MOD($A229-1,62)+1-2,2)=0,0,1),IF(MOD(MOD($A229-1,62)+1-2,2)=0,1,0))))=0,(CHOOSE(MIN(MAX(MIN(INT(($A229-1)/62)+1,5),1),5),CROQUIS_DATOS!$C$1499,CROQUIS_DATOS!$C$1503,CROQUIS_DATOS!$C$1507,CROQUIS_DATOS!$C$1511,CROQUIS_DATOS!$C$1515)+IF(CHOOSE(MIN(MAX(MIN(INT(($A229-1)/62)+1,5),1),5),CROQUIS_DATOS!$C$1501,CROQUIS_DATOS!$C$1505,CROQUIS_DATOS!$C$1509,CROQUIS_DATOS!$C$1513,CROQUIS_DATOS!$C$1517)=1,CROQUIS_DATOS!$C$1526,0)),(CHOOSE(MIN(MAX(MIN(INT(($A229-1)/62)+1,5),1),5),CROQUIS_DATOS!$C$1499,CROQUIS_DATOS!$C$1503,CROQUIS_DATOS!$C$1507,CROQUIS_DATOS!$C$1511,CROQUIS_DATOS!$C$1515)+CHOOSE(MIN(MAX(MIN(INT(($A229-1)/62)+1,5),1),5),CROQUIS_DATOS!$C$1500,CROQUIS_DATOS!$C$1504,CROQUIS_DATOS!$C$1508,CROQUIS_DATOS!$C$1512,CROQUIS_DATOS!$C$1516)-IF(CHOOSE(MIN(MAX(MIN(INT(($A229-1)/62)+1,5),1),5),CROQUIS_DATOS!$C$1501,CROQUIS_DATOS!$C$1505,CROQUIS_DATOS!$C$1509,CROQUIS_DATOS!$C$1513,CROQUIS_DATOS!$C$1517)=1,CROQUIS_DATOS!$C$1526,0))))*CROQUIS_DATOS!$C$1562),-1000)</f>
        <v>-1000</v>
      </c>
      <c r="Q229">
        <f>IF(AND(CROQUIS_DATOS!$C$1472=1,CROQUIS_DATOS!$C$1555=1),(CROQUIS_DATOS!$C$1564+(IF(OR(OR(MOD($A229-1,62)+1=1,IF(CHOOSE(MIN(MAX(MIN(INT(($A229-1)/62)+1,5),1),5),CROQUIS_DATOS!$C$1501,CROQUIS_DATOS!$C$1505,CROQUIS_DATOS!$C$1509,CROQUIS_DATOS!$C$1513,CROQUIS_DATOS!$C$1517)=1,CROQUIS_DATOS!$C$1557,0)=0),MOD($A229-1,62)+1&gt;2*IF(CHOOSE(MIN(MAX(MIN(INT(($A229-1)/62)+1,5),1),5),CROQUIS_DATOS!$C$1501,CROQUIS_DATOS!$C$1505,CROQUIS_DATOS!$C$1509,CROQUIS_DATOS!$C$1513,CROQUIS_DATOS!$C$1517)=1,CROQUIS_DATOS!$C$1557,0)+1),CROQUIS_DATOS!$C$1476,MIN(INT((MOD($A229-1,62)+1-2)/2)+1,MAX(IF(CHOOSE(MIN(MAX(MIN(INT(($A229-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29">
        <f>IF(AND(CROQUIS_DATOS!$C$1472=1,1),(CROQUIS_DATOS!$C$1563+(MIN(INT(($A229-1)/2)+1,CROQUIS_DATOS!$C$1558)*CROQUIS_DATOS!$C$1559)*CROQUIS_DATOS!$C$1562),-1000)</f>
        <v>82.2281167108753</v>
      </c>
      <c r="U229">
        <f>IF(AND(CROQUIS_DATOS!$C$1472=1,1),(CROQUIS_DATOS!$C$1564+(IF(INT(($A229-1)/2)+1&gt;CROQUIS_DATOS!$C$1558,IF(MOD(CROQUIS_DATOS!$C$1558,2)=1,CROQUIS_DATOS!$C$1476+CROQUIS_DATOS!$C$1528,CROQUIS_DATOS!$C$1476),IF(IF(MOD(MIN(INT(($A229-1)/2)+1,CROQUIS_DATOS!$C$1558),2)=1,MOD($A229-1,2),1-MOD($A229-1,2))=1,CROQUIS_DATOS!$C$1476+CROQUIS_DATOS!$C$1528,CROQUIS_DATOS!$C$1476)))*CROQUIS_DATOS!$C$1561*CROQUIS_DATOS!$C$1562),-1000)</f>
        <v>43</v>
      </c>
    </row>
    <row r="230">
      <c r="A230" t="n">
        <v>223</v>
      </c>
      <c r="N230">
        <f>IF(AND(CROQUIS_DATOS!$C$1472=1,1),(CROQUIS_DATOS!$C$1563+(IF(IF(IF(INT(($A230-1)/70)+1&gt;CROQUIS_DATOS!$C$1525,70,MOD($A230-1,70)+1)=1,0,IF(IF(INT(($A230-1)/70)+1&gt;CROQUIS_DATOS!$C$1525,70,MOD($A230-1,70)+1)&gt;2*CROQUIS_DATOS!$C$1541+1,IF(MOD(CROQUIS_DATOS!$C$1541,2)=1,1,0),IF(MOD(MIN(INT((IF(INT(($A230-1)/70)+1&gt;CROQUIS_DATOS!$C$1525,70,MOD($A230-1,70)+1)-2)/2)+1,CROQUIS_DATOS!$C$1541),2)=1,IF(MOD(IF(INT(($A230-1)/70)+1&gt;CROQUIS_DATOS!$C$1525,70,MOD($A230-1,70)+1)-2,2)=0,0,1),IF(MOD(IF(INT(($A230-1)/70)+1&gt;CROQUIS_DATOS!$C$1525,70,MOD($A230-1,70)+1)-2,2)=0,1,0))))=0,(INDEX($E$8:$E$23,MIN(INT(($A230-1)/70)+1,CROQUIS_DATOS!$C$1525))-INDEX($F$8:$F$23,MIN(INT(($A230-1)/70)+1,CROQUIS_DATOS!$C$1525))/2),(INDEX($E$8:$E$23,MIN(INT(($A230-1)/70)+1,CROQUIS_DATOS!$C$1525))+INDEX($F$8:$F$23,MIN(INT(($A230-1)/70)+1,CROQUIS_DATOS!$C$1525))/2)))*CROQUIS_DATOS!$C$1562),-1000)</f>
        <v>45.1120689655172</v>
      </c>
      <c r="O230">
        <f>IF(AND(CROQUIS_DATOS!$C$1472=1,1),(CROQUIS_DATOS!$C$1564+(IF(OR(IF(INT(($A230-1)/70)+1&gt;CROQUIS_DATOS!$C$1525,70,MOD($A230-1,70)+1)=1,IF(INT(($A230-1)/70)+1&gt;CROQUIS_DATOS!$C$1525,70,MOD($A230-1,70)+1)&gt;2*CROQUIS_DATOS!$C$1541+1),CROQUIS_DATOS!$C$1476,INDEX($H$8:$H$41,MIN(INT((IF(INT(($A230-1)/70)+1&gt;CROQUIS_DATOS!$C$1525,70,MOD($A230-1,70)+1)-2)/2)+1,CROQUIS_DATOS!$C$1541))))*CROQUIS_DATOS!$C$1561*CROQUIS_DATOS!$C$1562),-1000)</f>
        <v>13.2456896551724</v>
      </c>
      <c r="P230">
        <f>IF(AND(CROQUIS_DATOS!$C$1472=1,CROQUIS_DATOS!$C$1555=1),(CROQUIS_DATOS!$C$1563+(IF(IF(OR(MOD($A230-1,62)+1=1,IF(CHOOSE(MIN(MAX(MIN(INT(($A230-1)/62)+1,5),1),5),CROQUIS_DATOS!$C$1501,CROQUIS_DATOS!$C$1505,CROQUIS_DATOS!$C$1509,CROQUIS_DATOS!$C$1513,CROQUIS_DATOS!$C$1517)=1,CROQUIS_DATOS!$C$1557,0)=0),0,IF(MOD($A230-1,62)+1&gt;2*IF(CHOOSE(MIN(MAX(MIN(INT(($A230-1)/62)+1,5),1),5),CROQUIS_DATOS!$C$1501,CROQUIS_DATOS!$C$1505,CROQUIS_DATOS!$C$1509,CROQUIS_DATOS!$C$1513,CROQUIS_DATOS!$C$1517)=1,CROQUIS_DATOS!$C$1557,0)+1,IF(MOD(IF(CHOOSE(MIN(MAX(MIN(INT(($A230-1)/62)+1,5),1),5),CROQUIS_DATOS!$C$1501,CROQUIS_DATOS!$C$1505,CROQUIS_DATOS!$C$1509,CROQUIS_DATOS!$C$1513,CROQUIS_DATOS!$C$1517)=1,CROQUIS_DATOS!$C$1557,0),2)=1,1,0),IF(MOD(MIN(INT((MOD($A230-1,62)+1-2)/2)+1,MAX(IF(CHOOSE(MIN(MAX(MIN(INT(($A230-1)/62)+1,5),1),5),CROQUIS_DATOS!$C$1501,CROQUIS_DATOS!$C$1505,CROQUIS_DATOS!$C$1509,CROQUIS_DATOS!$C$1513,CROQUIS_DATOS!$C$1517)=1,CROQUIS_DATOS!$C$1557,0),1)),2)=1,IF(MOD(MOD($A230-1,62)+1-2,2)=0,0,1),IF(MOD(MOD($A230-1,62)+1-2,2)=0,1,0))))=0,(CHOOSE(MIN(MAX(MIN(INT(($A230-1)/62)+1,5),1),5),CROQUIS_DATOS!$C$1499,CROQUIS_DATOS!$C$1503,CROQUIS_DATOS!$C$1507,CROQUIS_DATOS!$C$1511,CROQUIS_DATOS!$C$1515)+IF(CHOOSE(MIN(MAX(MIN(INT(($A230-1)/62)+1,5),1),5),CROQUIS_DATOS!$C$1501,CROQUIS_DATOS!$C$1505,CROQUIS_DATOS!$C$1509,CROQUIS_DATOS!$C$1513,CROQUIS_DATOS!$C$1517)=1,CROQUIS_DATOS!$C$1526,0)),(CHOOSE(MIN(MAX(MIN(INT(($A230-1)/62)+1,5),1),5),CROQUIS_DATOS!$C$1499,CROQUIS_DATOS!$C$1503,CROQUIS_DATOS!$C$1507,CROQUIS_DATOS!$C$1511,CROQUIS_DATOS!$C$1515)+CHOOSE(MIN(MAX(MIN(INT(($A230-1)/62)+1,5),1),5),CROQUIS_DATOS!$C$1500,CROQUIS_DATOS!$C$1504,CROQUIS_DATOS!$C$1508,CROQUIS_DATOS!$C$1512,CROQUIS_DATOS!$C$1516)-IF(CHOOSE(MIN(MAX(MIN(INT(($A230-1)/62)+1,5),1),5),CROQUIS_DATOS!$C$1501,CROQUIS_DATOS!$C$1505,CROQUIS_DATOS!$C$1509,CROQUIS_DATOS!$C$1513,CROQUIS_DATOS!$C$1517)=1,CROQUIS_DATOS!$C$1526,0))))*CROQUIS_DATOS!$C$1562),-1000)</f>
        <v>-1000</v>
      </c>
      <c r="Q230">
        <f>IF(AND(CROQUIS_DATOS!$C$1472=1,CROQUIS_DATOS!$C$1555=1),(CROQUIS_DATOS!$C$1564+(IF(OR(OR(MOD($A230-1,62)+1=1,IF(CHOOSE(MIN(MAX(MIN(INT(($A230-1)/62)+1,5),1),5),CROQUIS_DATOS!$C$1501,CROQUIS_DATOS!$C$1505,CROQUIS_DATOS!$C$1509,CROQUIS_DATOS!$C$1513,CROQUIS_DATOS!$C$1517)=1,CROQUIS_DATOS!$C$1557,0)=0),MOD($A230-1,62)+1&gt;2*IF(CHOOSE(MIN(MAX(MIN(INT(($A230-1)/62)+1,5),1),5),CROQUIS_DATOS!$C$1501,CROQUIS_DATOS!$C$1505,CROQUIS_DATOS!$C$1509,CROQUIS_DATOS!$C$1513,CROQUIS_DATOS!$C$1517)=1,CROQUIS_DATOS!$C$1557,0)+1),CROQUIS_DATOS!$C$1476,MIN(INT((MOD($A230-1,62)+1-2)/2)+1,MAX(IF(CHOOSE(MIN(MAX(MIN(INT(($A230-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0">
        <f>IF(AND(CROQUIS_DATOS!$C$1472=1,1),(CROQUIS_DATOS!$C$1563+(MIN(INT(($A230-1)/2)+1,CROQUIS_DATOS!$C$1558)*CROQUIS_DATOS!$C$1559)*CROQUIS_DATOS!$C$1562),-1000)</f>
        <v>82.2281167108753</v>
      </c>
      <c r="U230">
        <f>IF(AND(CROQUIS_DATOS!$C$1472=1,1),(CROQUIS_DATOS!$C$1564+(IF(INT(($A230-1)/2)+1&gt;CROQUIS_DATOS!$C$1558,IF(MOD(CROQUIS_DATOS!$C$1558,2)=1,CROQUIS_DATOS!$C$1476+CROQUIS_DATOS!$C$1528,CROQUIS_DATOS!$C$1476),IF(IF(MOD(MIN(INT(($A230-1)/2)+1,CROQUIS_DATOS!$C$1558),2)=1,MOD($A230-1,2),1-MOD($A230-1,2))=1,CROQUIS_DATOS!$C$1476+CROQUIS_DATOS!$C$1528,CROQUIS_DATOS!$C$1476)))*CROQUIS_DATOS!$C$1561*CROQUIS_DATOS!$C$1562),-1000)</f>
        <v>43</v>
      </c>
    </row>
    <row r="231">
      <c r="A231" t="n">
        <v>224</v>
      </c>
      <c r="N231">
        <f>IF(AND(CROQUIS_DATOS!$C$1472=1,1),(CROQUIS_DATOS!$C$1563+(IF(IF(IF(INT(($A231-1)/70)+1&gt;CROQUIS_DATOS!$C$1525,70,MOD($A231-1,70)+1)=1,0,IF(IF(INT(($A231-1)/70)+1&gt;CROQUIS_DATOS!$C$1525,70,MOD($A231-1,70)+1)&gt;2*CROQUIS_DATOS!$C$1541+1,IF(MOD(CROQUIS_DATOS!$C$1541,2)=1,1,0),IF(MOD(MIN(INT((IF(INT(($A231-1)/70)+1&gt;CROQUIS_DATOS!$C$1525,70,MOD($A231-1,70)+1)-2)/2)+1,CROQUIS_DATOS!$C$1541),2)=1,IF(MOD(IF(INT(($A231-1)/70)+1&gt;CROQUIS_DATOS!$C$1525,70,MOD($A231-1,70)+1)-2,2)=0,0,1),IF(MOD(IF(INT(($A231-1)/70)+1&gt;CROQUIS_DATOS!$C$1525,70,MOD($A231-1,70)+1)-2,2)=0,1,0))))=0,(INDEX($E$8:$E$23,MIN(INT(($A231-1)/70)+1,CROQUIS_DATOS!$C$1525))-INDEX($F$8:$F$23,MIN(INT(($A231-1)/70)+1,CROQUIS_DATOS!$C$1525))/2),(INDEX($E$8:$E$23,MIN(INT(($A231-1)/70)+1,CROQUIS_DATOS!$C$1525))+INDEX($F$8:$F$23,MIN(INT(($A231-1)/70)+1,CROQUIS_DATOS!$C$1525))/2)))*CROQUIS_DATOS!$C$1562),-1000)</f>
        <v>45.1120689655172</v>
      </c>
      <c r="O231">
        <f>IF(AND(CROQUIS_DATOS!$C$1472=1,1),(CROQUIS_DATOS!$C$1564+(IF(OR(IF(INT(($A231-1)/70)+1&gt;CROQUIS_DATOS!$C$1525,70,MOD($A231-1,70)+1)=1,IF(INT(($A231-1)/70)+1&gt;CROQUIS_DATOS!$C$1525,70,MOD($A231-1,70)+1)&gt;2*CROQUIS_DATOS!$C$1541+1),CROQUIS_DATOS!$C$1476,INDEX($H$8:$H$41,MIN(INT((IF(INT(($A231-1)/70)+1&gt;CROQUIS_DATOS!$C$1525,70,MOD($A231-1,70)+1)-2)/2)+1,CROQUIS_DATOS!$C$1541))))*CROQUIS_DATOS!$C$1561*CROQUIS_DATOS!$C$1562),-1000)</f>
        <v>15.9612068965517</v>
      </c>
      <c r="P231">
        <f>IF(AND(CROQUIS_DATOS!$C$1472=1,CROQUIS_DATOS!$C$1555=1),(CROQUIS_DATOS!$C$1563+(IF(IF(OR(MOD($A231-1,62)+1=1,IF(CHOOSE(MIN(MAX(MIN(INT(($A231-1)/62)+1,5),1),5),CROQUIS_DATOS!$C$1501,CROQUIS_DATOS!$C$1505,CROQUIS_DATOS!$C$1509,CROQUIS_DATOS!$C$1513,CROQUIS_DATOS!$C$1517)=1,CROQUIS_DATOS!$C$1557,0)=0),0,IF(MOD($A231-1,62)+1&gt;2*IF(CHOOSE(MIN(MAX(MIN(INT(($A231-1)/62)+1,5),1),5),CROQUIS_DATOS!$C$1501,CROQUIS_DATOS!$C$1505,CROQUIS_DATOS!$C$1509,CROQUIS_DATOS!$C$1513,CROQUIS_DATOS!$C$1517)=1,CROQUIS_DATOS!$C$1557,0)+1,IF(MOD(IF(CHOOSE(MIN(MAX(MIN(INT(($A231-1)/62)+1,5),1),5),CROQUIS_DATOS!$C$1501,CROQUIS_DATOS!$C$1505,CROQUIS_DATOS!$C$1509,CROQUIS_DATOS!$C$1513,CROQUIS_DATOS!$C$1517)=1,CROQUIS_DATOS!$C$1557,0),2)=1,1,0),IF(MOD(MIN(INT((MOD($A231-1,62)+1-2)/2)+1,MAX(IF(CHOOSE(MIN(MAX(MIN(INT(($A231-1)/62)+1,5),1),5),CROQUIS_DATOS!$C$1501,CROQUIS_DATOS!$C$1505,CROQUIS_DATOS!$C$1509,CROQUIS_DATOS!$C$1513,CROQUIS_DATOS!$C$1517)=1,CROQUIS_DATOS!$C$1557,0),1)),2)=1,IF(MOD(MOD($A231-1,62)+1-2,2)=0,0,1),IF(MOD(MOD($A231-1,62)+1-2,2)=0,1,0))))=0,(CHOOSE(MIN(MAX(MIN(INT(($A231-1)/62)+1,5),1),5),CROQUIS_DATOS!$C$1499,CROQUIS_DATOS!$C$1503,CROQUIS_DATOS!$C$1507,CROQUIS_DATOS!$C$1511,CROQUIS_DATOS!$C$1515)+IF(CHOOSE(MIN(MAX(MIN(INT(($A231-1)/62)+1,5),1),5),CROQUIS_DATOS!$C$1501,CROQUIS_DATOS!$C$1505,CROQUIS_DATOS!$C$1509,CROQUIS_DATOS!$C$1513,CROQUIS_DATOS!$C$1517)=1,CROQUIS_DATOS!$C$1526,0)),(CHOOSE(MIN(MAX(MIN(INT(($A231-1)/62)+1,5),1),5),CROQUIS_DATOS!$C$1499,CROQUIS_DATOS!$C$1503,CROQUIS_DATOS!$C$1507,CROQUIS_DATOS!$C$1511,CROQUIS_DATOS!$C$1515)+CHOOSE(MIN(MAX(MIN(INT(($A231-1)/62)+1,5),1),5),CROQUIS_DATOS!$C$1500,CROQUIS_DATOS!$C$1504,CROQUIS_DATOS!$C$1508,CROQUIS_DATOS!$C$1512,CROQUIS_DATOS!$C$1516)-IF(CHOOSE(MIN(MAX(MIN(INT(($A231-1)/62)+1,5),1),5),CROQUIS_DATOS!$C$1501,CROQUIS_DATOS!$C$1505,CROQUIS_DATOS!$C$1509,CROQUIS_DATOS!$C$1513,CROQUIS_DATOS!$C$1517)=1,CROQUIS_DATOS!$C$1526,0))))*CROQUIS_DATOS!$C$1562),-1000)</f>
        <v>-1000</v>
      </c>
      <c r="Q231">
        <f>IF(AND(CROQUIS_DATOS!$C$1472=1,CROQUIS_DATOS!$C$1555=1),(CROQUIS_DATOS!$C$1564+(IF(OR(OR(MOD($A231-1,62)+1=1,IF(CHOOSE(MIN(MAX(MIN(INT(($A231-1)/62)+1,5),1),5),CROQUIS_DATOS!$C$1501,CROQUIS_DATOS!$C$1505,CROQUIS_DATOS!$C$1509,CROQUIS_DATOS!$C$1513,CROQUIS_DATOS!$C$1517)=1,CROQUIS_DATOS!$C$1557,0)=0),MOD($A231-1,62)+1&gt;2*IF(CHOOSE(MIN(MAX(MIN(INT(($A231-1)/62)+1,5),1),5),CROQUIS_DATOS!$C$1501,CROQUIS_DATOS!$C$1505,CROQUIS_DATOS!$C$1509,CROQUIS_DATOS!$C$1513,CROQUIS_DATOS!$C$1517)=1,CROQUIS_DATOS!$C$1557,0)+1),CROQUIS_DATOS!$C$1476,MIN(INT((MOD($A231-1,62)+1-2)/2)+1,MAX(IF(CHOOSE(MIN(MAX(MIN(INT(($A231-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1">
        <f>IF(AND(CROQUIS_DATOS!$C$1472=1,1),(CROQUIS_DATOS!$C$1563+(MIN(INT(($A231-1)/2)+1,CROQUIS_DATOS!$C$1558)*CROQUIS_DATOS!$C$1559)*CROQUIS_DATOS!$C$1562),-1000)</f>
        <v>82.2281167108753</v>
      </c>
      <c r="U231">
        <f>IF(AND(CROQUIS_DATOS!$C$1472=1,1),(CROQUIS_DATOS!$C$1564+(IF(INT(($A231-1)/2)+1&gt;CROQUIS_DATOS!$C$1558,IF(MOD(CROQUIS_DATOS!$C$1558,2)=1,CROQUIS_DATOS!$C$1476+CROQUIS_DATOS!$C$1528,CROQUIS_DATOS!$C$1476),IF(IF(MOD(MIN(INT(($A231-1)/2)+1,CROQUIS_DATOS!$C$1558),2)=1,MOD($A231-1,2),1-MOD($A231-1,2))=1,CROQUIS_DATOS!$C$1476+CROQUIS_DATOS!$C$1528,CROQUIS_DATOS!$C$1476)))*CROQUIS_DATOS!$C$1561*CROQUIS_DATOS!$C$1562),-1000)</f>
        <v>43</v>
      </c>
    </row>
    <row r="232">
      <c r="A232" t="n">
        <v>225</v>
      </c>
      <c r="N232">
        <f>IF(AND(CROQUIS_DATOS!$C$1472=1,1),(CROQUIS_DATOS!$C$1563+(IF(IF(IF(INT(($A232-1)/70)+1&gt;CROQUIS_DATOS!$C$1525,70,MOD($A232-1,70)+1)=1,0,IF(IF(INT(($A232-1)/70)+1&gt;CROQUIS_DATOS!$C$1525,70,MOD($A232-1,70)+1)&gt;2*CROQUIS_DATOS!$C$1541+1,IF(MOD(CROQUIS_DATOS!$C$1541,2)=1,1,0),IF(MOD(MIN(INT((IF(INT(($A232-1)/70)+1&gt;CROQUIS_DATOS!$C$1525,70,MOD($A232-1,70)+1)-2)/2)+1,CROQUIS_DATOS!$C$1541),2)=1,IF(MOD(IF(INT(($A232-1)/70)+1&gt;CROQUIS_DATOS!$C$1525,70,MOD($A232-1,70)+1)-2,2)=0,0,1),IF(MOD(IF(INT(($A232-1)/70)+1&gt;CROQUIS_DATOS!$C$1525,70,MOD($A232-1,70)+1)-2,2)=0,1,0))))=0,(INDEX($E$8:$E$23,MIN(INT(($A232-1)/70)+1,CROQUIS_DATOS!$C$1525))-INDEX($F$8:$F$23,MIN(INT(($A232-1)/70)+1,CROQUIS_DATOS!$C$1525))/2),(INDEX($E$8:$E$23,MIN(INT(($A232-1)/70)+1,CROQUIS_DATOS!$C$1525))+INDEX($F$8:$F$23,MIN(INT(($A232-1)/70)+1,CROQUIS_DATOS!$C$1525))/2)))*CROQUIS_DATOS!$C$1562),-1000)</f>
        <v>47.2068965517241</v>
      </c>
      <c r="O232">
        <f>IF(AND(CROQUIS_DATOS!$C$1472=1,1),(CROQUIS_DATOS!$C$1564+(IF(OR(IF(INT(($A232-1)/70)+1&gt;CROQUIS_DATOS!$C$1525,70,MOD($A232-1,70)+1)=1,IF(INT(($A232-1)/70)+1&gt;CROQUIS_DATOS!$C$1525,70,MOD($A232-1,70)+1)&gt;2*CROQUIS_DATOS!$C$1541+1),CROQUIS_DATOS!$C$1476,INDEX($H$8:$H$41,MIN(INT((IF(INT(($A232-1)/70)+1&gt;CROQUIS_DATOS!$C$1525,70,MOD($A232-1,70)+1)-2)/2)+1,CROQUIS_DATOS!$C$1541))))*CROQUIS_DATOS!$C$1561*CROQUIS_DATOS!$C$1562),-1000)</f>
        <v>15.9612068965517</v>
      </c>
      <c r="P232">
        <f>IF(AND(CROQUIS_DATOS!$C$1472=1,CROQUIS_DATOS!$C$1555=1),(CROQUIS_DATOS!$C$1563+(IF(IF(OR(MOD($A232-1,62)+1=1,IF(CHOOSE(MIN(MAX(MIN(INT(($A232-1)/62)+1,5),1),5),CROQUIS_DATOS!$C$1501,CROQUIS_DATOS!$C$1505,CROQUIS_DATOS!$C$1509,CROQUIS_DATOS!$C$1513,CROQUIS_DATOS!$C$1517)=1,CROQUIS_DATOS!$C$1557,0)=0),0,IF(MOD($A232-1,62)+1&gt;2*IF(CHOOSE(MIN(MAX(MIN(INT(($A232-1)/62)+1,5),1),5),CROQUIS_DATOS!$C$1501,CROQUIS_DATOS!$C$1505,CROQUIS_DATOS!$C$1509,CROQUIS_DATOS!$C$1513,CROQUIS_DATOS!$C$1517)=1,CROQUIS_DATOS!$C$1557,0)+1,IF(MOD(IF(CHOOSE(MIN(MAX(MIN(INT(($A232-1)/62)+1,5),1),5),CROQUIS_DATOS!$C$1501,CROQUIS_DATOS!$C$1505,CROQUIS_DATOS!$C$1509,CROQUIS_DATOS!$C$1513,CROQUIS_DATOS!$C$1517)=1,CROQUIS_DATOS!$C$1557,0),2)=1,1,0),IF(MOD(MIN(INT((MOD($A232-1,62)+1-2)/2)+1,MAX(IF(CHOOSE(MIN(MAX(MIN(INT(($A232-1)/62)+1,5),1),5),CROQUIS_DATOS!$C$1501,CROQUIS_DATOS!$C$1505,CROQUIS_DATOS!$C$1509,CROQUIS_DATOS!$C$1513,CROQUIS_DATOS!$C$1517)=1,CROQUIS_DATOS!$C$1557,0),1)),2)=1,IF(MOD(MOD($A232-1,62)+1-2,2)=0,0,1),IF(MOD(MOD($A232-1,62)+1-2,2)=0,1,0))))=0,(CHOOSE(MIN(MAX(MIN(INT(($A232-1)/62)+1,5),1),5),CROQUIS_DATOS!$C$1499,CROQUIS_DATOS!$C$1503,CROQUIS_DATOS!$C$1507,CROQUIS_DATOS!$C$1511,CROQUIS_DATOS!$C$1515)+IF(CHOOSE(MIN(MAX(MIN(INT(($A232-1)/62)+1,5),1),5),CROQUIS_DATOS!$C$1501,CROQUIS_DATOS!$C$1505,CROQUIS_DATOS!$C$1509,CROQUIS_DATOS!$C$1513,CROQUIS_DATOS!$C$1517)=1,CROQUIS_DATOS!$C$1526,0)),(CHOOSE(MIN(MAX(MIN(INT(($A232-1)/62)+1,5),1),5),CROQUIS_DATOS!$C$1499,CROQUIS_DATOS!$C$1503,CROQUIS_DATOS!$C$1507,CROQUIS_DATOS!$C$1511,CROQUIS_DATOS!$C$1515)+CHOOSE(MIN(MAX(MIN(INT(($A232-1)/62)+1,5),1),5),CROQUIS_DATOS!$C$1500,CROQUIS_DATOS!$C$1504,CROQUIS_DATOS!$C$1508,CROQUIS_DATOS!$C$1512,CROQUIS_DATOS!$C$1516)-IF(CHOOSE(MIN(MAX(MIN(INT(($A232-1)/62)+1,5),1),5),CROQUIS_DATOS!$C$1501,CROQUIS_DATOS!$C$1505,CROQUIS_DATOS!$C$1509,CROQUIS_DATOS!$C$1513,CROQUIS_DATOS!$C$1517)=1,CROQUIS_DATOS!$C$1526,0))))*CROQUIS_DATOS!$C$1562),-1000)</f>
        <v>-1000</v>
      </c>
      <c r="Q232">
        <f>IF(AND(CROQUIS_DATOS!$C$1472=1,CROQUIS_DATOS!$C$1555=1),(CROQUIS_DATOS!$C$1564+(IF(OR(OR(MOD($A232-1,62)+1=1,IF(CHOOSE(MIN(MAX(MIN(INT(($A232-1)/62)+1,5),1),5),CROQUIS_DATOS!$C$1501,CROQUIS_DATOS!$C$1505,CROQUIS_DATOS!$C$1509,CROQUIS_DATOS!$C$1513,CROQUIS_DATOS!$C$1517)=1,CROQUIS_DATOS!$C$1557,0)=0),MOD($A232-1,62)+1&gt;2*IF(CHOOSE(MIN(MAX(MIN(INT(($A232-1)/62)+1,5),1),5),CROQUIS_DATOS!$C$1501,CROQUIS_DATOS!$C$1505,CROQUIS_DATOS!$C$1509,CROQUIS_DATOS!$C$1513,CROQUIS_DATOS!$C$1517)=1,CROQUIS_DATOS!$C$1557,0)+1),CROQUIS_DATOS!$C$1476,MIN(INT((MOD($A232-1,62)+1-2)/2)+1,MAX(IF(CHOOSE(MIN(MAX(MIN(INT(($A232-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2">
        <f>IF(AND(CROQUIS_DATOS!$C$1472=1,1),(CROQUIS_DATOS!$C$1563+(MIN(INT(($A232-1)/2)+1,CROQUIS_DATOS!$C$1558)*CROQUIS_DATOS!$C$1559)*CROQUIS_DATOS!$C$1562),-1000)</f>
        <v>82.2281167108753</v>
      </c>
      <c r="U232">
        <f>IF(AND(CROQUIS_DATOS!$C$1472=1,1),(CROQUIS_DATOS!$C$1564+(IF(INT(($A232-1)/2)+1&gt;CROQUIS_DATOS!$C$1558,IF(MOD(CROQUIS_DATOS!$C$1558,2)=1,CROQUIS_DATOS!$C$1476+CROQUIS_DATOS!$C$1528,CROQUIS_DATOS!$C$1476),IF(IF(MOD(MIN(INT(($A232-1)/2)+1,CROQUIS_DATOS!$C$1558),2)=1,MOD($A232-1,2),1-MOD($A232-1,2))=1,CROQUIS_DATOS!$C$1476+CROQUIS_DATOS!$C$1528,CROQUIS_DATOS!$C$1476)))*CROQUIS_DATOS!$C$1561*CROQUIS_DATOS!$C$1562),-1000)</f>
        <v>43</v>
      </c>
    </row>
    <row r="233">
      <c r="A233" t="n">
        <v>226</v>
      </c>
      <c r="N233">
        <f>IF(AND(CROQUIS_DATOS!$C$1472=1,1),(CROQUIS_DATOS!$C$1563+(IF(IF(IF(INT(($A233-1)/70)+1&gt;CROQUIS_DATOS!$C$1525,70,MOD($A233-1,70)+1)=1,0,IF(IF(INT(($A233-1)/70)+1&gt;CROQUIS_DATOS!$C$1525,70,MOD($A233-1,70)+1)&gt;2*CROQUIS_DATOS!$C$1541+1,IF(MOD(CROQUIS_DATOS!$C$1541,2)=1,1,0),IF(MOD(MIN(INT((IF(INT(($A233-1)/70)+1&gt;CROQUIS_DATOS!$C$1525,70,MOD($A233-1,70)+1)-2)/2)+1,CROQUIS_DATOS!$C$1541),2)=1,IF(MOD(IF(INT(($A233-1)/70)+1&gt;CROQUIS_DATOS!$C$1525,70,MOD($A233-1,70)+1)-2,2)=0,0,1),IF(MOD(IF(INT(($A233-1)/70)+1&gt;CROQUIS_DATOS!$C$1525,70,MOD($A233-1,70)+1)-2,2)=0,1,0))))=0,(INDEX($E$8:$E$23,MIN(INT(($A233-1)/70)+1,CROQUIS_DATOS!$C$1525))-INDEX($F$8:$F$23,MIN(INT(($A233-1)/70)+1,CROQUIS_DATOS!$C$1525))/2),(INDEX($E$8:$E$23,MIN(INT(($A233-1)/70)+1,CROQUIS_DATOS!$C$1525))+INDEX($F$8:$F$23,MIN(INT(($A233-1)/70)+1,CROQUIS_DATOS!$C$1525))/2)))*CROQUIS_DATOS!$C$1562),-1000)</f>
        <v>47.2068965517241</v>
      </c>
      <c r="O233">
        <f>IF(AND(CROQUIS_DATOS!$C$1472=1,1),(CROQUIS_DATOS!$C$1564+(IF(OR(IF(INT(($A233-1)/70)+1&gt;CROQUIS_DATOS!$C$1525,70,MOD($A233-1,70)+1)=1,IF(INT(($A233-1)/70)+1&gt;CROQUIS_DATOS!$C$1525,70,MOD($A233-1,70)+1)&gt;2*CROQUIS_DATOS!$C$1541+1),CROQUIS_DATOS!$C$1476,INDEX($H$8:$H$41,MIN(INT((IF(INT(($A233-1)/70)+1&gt;CROQUIS_DATOS!$C$1525,70,MOD($A233-1,70)+1)-2)/2)+1,CROQUIS_DATOS!$C$1541))))*CROQUIS_DATOS!$C$1561*CROQUIS_DATOS!$C$1562),-1000)</f>
        <v>18.676724137931</v>
      </c>
      <c r="P233">
        <f>IF(AND(CROQUIS_DATOS!$C$1472=1,CROQUIS_DATOS!$C$1555=1),(CROQUIS_DATOS!$C$1563+(IF(IF(OR(MOD($A233-1,62)+1=1,IF(CHOOSE(MIN(MAX(MIN(INT(($A233-1)/62)+1,5),1),5),CROQUIS_DATOS!$C$1501,CROQUIS_DATOS!$C$1505,CROQUIS_DATOS!$C$1509,CROQUIS_DATOS!$C$1513,CROQUIS_DATOS!$C$1517)=1,CROQUIS_DATOS!$C$1557,0)=0),0,IF(MOD($A233-1,62)+1&gt;2*IF(CHOOSE(MIN(MAX(MIN(INT(($A233-1)/62)+1,5),1),5),CROQUIS_DATOS!$C$1501,CROQUIS_DATOS!$C$1505,CROQUIS_DATOS!$C$1509,CROQUIS_DATOS!$C$1513,CROQUIS_DATOS!$C$1517)=1,CROQUIS_DATOS!$C$1557,0)+1,IF(MOD(IF(CHOOSE(MIN(MAX(MIN(INT(($A233-1)/62)+1,5),1),5),CROQUIS_DATOS!$C$1501,CROQUIS_DATOS!$C$1505,CROQUIS_DATOS!$C$1509,CROQUIS_DATOS!$C$1513,CROQUIS_DATOS!$C$1517)=1,CROQUIS_DATOS!$C$1557,0),2)=1,1,0),IF(MOD(MIN(INT((MOD($A233-1,62)+1-2)/2)+1,MAX(IF(CHOOSE(MIN(MAX(MIN(INT(($A233-1)/62)+1,5),1),5),CROQUIS_DATOS!$C$1501,CROQUIS_DATOS!$C$1505,CROQUIS_DATOS!$C$1509,CROQUIS_DATOS!$C$1513,CROQUIS_DATOS!$C$1517)=1,CROQUIS_DATOS!$C$1557,0),1)),2)=1,IF(MOD(MOD($A233-1,62)+1-2,2)=0,0,1),IF(MOD(MOD($A233-1,62)+1-2,2)=0,1,0))))=0,(CHOOSE(MIN(MAX(MIN(INT(($A233-1)/62)+1,5),1),5),CROQUIS_DATOS!$C$1499,CROQUIS_DATOS!$C$1503,CROQUIS_DATOS!$C$1507,CROQUIS_DATOS!$C$1511,CROQUIS_DATOS!$C$1515)+IF(CHOOSE(MIN(MAX(MIN(INT(($A233-1)/62)+1,5),1),5),CROQUIS_DATOS!$C$1501,CROQUIS_DATOS!$C$1505,CROQUIS_DATOS!$C$1509,CROQUIS_DATOS!$C$1513,CROQUIS_DATOS!$C$1517)=1,CROQUIS_DATOS!$C$1526,0)),(CHOOSE(MIN(MAX(MIN(INT(($A233-1)/62)+1,5),1),5),CROQUIS_DATOS!$C$1499,CROQUIS_DATOS!$C$1503,CROQUIS_DATOS!$C$1507,CROQUIS_DATOS!$C$1511,CROQUIS_DATOS!$C$1515)+CHOOSE(MIN(MAX(MIN(INT(($A233-1)/62)+1,5),1),5),CROQUIS_DATOS!$C$1500,CROQUIS_DATOS!$C$1504,CROQUIS_DATOS!$C$1508,CROQUIS_DATOS!$C$1512,CROQUIS_DATOS!$C$1516)-IF(CHOOSE(MIN(MAX(MIN(INT(($A233-1)/62)+1,5),1),5),CROQUIS_DATOS!$C$1501,CROQUIS_DATOS!$C$1505,CROQUIS_DATOS!$C$1509,CROQUIS_DATOS!$C$1513,CROQUIS_DATOS!$C$1517)=1,CROQUIS_DATOS!$C$1526,0))))*CROQUIS_DATOS!$C$1562),-1000)</f>
        <v>-1000</v>
      </c>
      <c r="Q233">
        <f>IF(AND(CROQUIS_DATOS!$C$1472=1,CROQUIS_DATOS!$C$1555=1),(CROQUIS_DATOS!$C$1564+(IF(OR(OR(MOD($A233-1,62)+1=1,IF(CHOOSE(MIN(MAX(MIN(INT(($A233-1)/62)+1,5),1),5),CROQUIS_DATOS!$C$1501,CROQUIS_DATOS!$C$1505,CROQUIS_DATOS!$C$1509,CROQUIS_DATOS!$C$1513,CROQUIS_DATOS!$C$1517)=1,CROQUIS_DATOS!$C$1557,0)=0),MOD($A233-1,62)+1&gt;2*IF(CHOOSE(MIN(MAX(MIN(INT(($A233-1)/62)+1,5),1),5),CROQUIS_DATOS!$C$1501,CROQUIS_DATOS!$C$1505,CROQUIS_DATOS!$C$1509,CROQUIS_DATOS!$C$1513,CROQUIS_DATOS!$C$1517)=1,CROQUIS_DATOS!$C$1557,0)+1),CROQUIS_DATOS!$C$1476,MIN(INT((MOD($A233-1,62)+1-2)/2)+1,MAX(IF(CHOOSE(MIN(MAX(MIN(INT(($A233-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3">
        <f>IF(AND(CROQUIS_DATOS!$C$1472=1,1),(CROQUIS_DATOS!$C$1563+(MIN(INT(($A233-1)/2)+1,CROQUIS_DATOS!$C$1558)*CROQUIS_DATOS!$C$1559)*CROQUIS_DATOS!$C$1562),-1000)</f>
        <v>82.2281167108753</v>
      </c>
      <c r="U233">
        <f>IF(AND(CROQUIS_DATOS!$C$1472=1,1),(CROQUIS_DATOS!$C$1564+(IF(INT(($A233-1)/2)+1&gt;CROQUIS_DATOS!$C$1558,IF(MOD(CROQUIS_DATOS!$C$1558,2)=1,CROQUIS_DATOS!$C$1476+CROQUIS_DATOS!$C$1528,CROQUIS_DATOS!$C$1476),IF(IF(MOD(MIN(INT(($A233-1)/2)+1,CROQUIS_DATOS!$C$1558),2)=1,MOD($A233-1,2),1-MOD($A233-1,2))=1,CROQUIS_DATOS!$C$1476+CROQUIS_DATOS!$C$1528,CROQUIS_DATOS!$C$1476)))*CROQUIS_DATOS!$C$1561*CROQUIS_DATOS!$C$1562),-1000)</f>
        <v>43</v>
      </c>
    </row>
    <row r="234">
      <c r="A234" t="n">
        <v>227</v>
      </c>
      <c r="N234">
        <f>IF(AND(CROQUIS_DATOS!$C$1472=1,1),(CROQUIS_DATOS!$C$1563+(IF(IF(IF(INT(($A234-1)/70)+1&gt;CROQUIS_DATOS!$C$1525,70,MOD($A234-1,70)+1)=1,0,IF(IF(INT(($A234-1)/70)+1&gt;CROQUIS_DATOS!$C$1525,70,MOD($A234-1,70)+1)&gt;2*CROQUIS_DATOS!$C$1541+1,IF(MOD(CROQUIS_DATOS!$C$1541,2)=1,1,0),IF(MOD(MIN(INT((IF(INT(($A234-1)/70)+1&gt;CROQUIS_DATOS!$C$1525,70,MOD($A234-1,70)+1)-2)/2)+1,CROQUIS_DATOS!$C$1541),2)=1,IF(MOD(IF(INT(($A234-1)/70)+1&gt;CROQUIS_DATOS!$C$1525,70,MOD($A234-1,70)+1)-2,2)=0,0,1),IF(MOD(IF(INT(($A234-1)/70)+1&gt;CROQUIS_DATOS!$C$1525,70,MOD($A234-1,70)+1)-2,2)=0,1,0))))=0,(INDEX($E$8:$E$23,MIN(INT(($A234-1)/70)+1,CROQUIS_DATOS!$C$1525))-INDEX($F$8:$F$23,MIN(INT(($A234-1)/70)+1,CROQUIS_DATOS!$C$1525))/2),(INDEX($E$8:$E$23,MIN(INT(($A234-1)/70)+1,CROQUIS_DATOS!$C$1525))+INDEX($F$8:$F$23,MIN(INT(($A234-1)/70)+1,CROQUIS_DATOS!$C$1525))/2)))*CROQUIS_DATOS!$C$1562),-1000)</f>
        <v>45.1120689655172</v>
      </c>
      <c r="O234">
        <f>IF(AND(CROQUIS_DATOS!$C$1472=1,1),(CROQUIS_DATOS!$C$1564+(IF(OR(IF(INT(($A234-1)/70)+1&gt;CROQUIS_DATOS!$C$1525,70,MOD($A234-1,70)+1)=1,IF(INT(($A234-1)/70)+1&gt;CROQUIS_DATOS!$C$1525,70,MOD($A234-1,70)+1)&gt;2*CROQUIS_DATOS!$C$1541+1),CROQUIS_DATOS!$C$1476,INDEX($H$8:$H$41,MIN(INT((IF(INT(($A234-1)/70)+1&gt;CROQUIS_DATOS!$C$1525,70,MOD($A234-1,70)+1)-2)/2)+1,CROQUIS_DATOS!$C$1541))))*CROQUIS_DATOS!$C$1561*CROQUIS_DATOS!$C$1562),-1000)</f>
        <v>18.676724137931</v>
      </c>
      <c r="P234">
        <f>IF(AND(CROQUIS_DATOS!$C$1472=1,CROQUIS_DATOS!$C$1555=1),(CROQUIS_DATOS!$C$1563+(IF(IF(OR(MOD($A234-1,62)+1=1,IF(CHOOSE(MIN(MAX(MIN(INT(($A234-1)/62)+1,5),1),5),CROQUIS_DATOS!$C$1501,CROQUIS_DATOS!$C$1505,CROQUIS_DATOS!$C$1509,CROQUIS_DATOS!$C$1513,CROQUIS_DATOS!$C$1517)=1,CROQUIS_DATOS!$C$1557,0)=0),0,IF(MOD($A234-1,62)+1&gt;2*IF(CHOOSE(MIN(MAX(MIN(INT(($A234-1)/62)+1,5),1),5),CROQUIS_DATOS!$C$1501,CROQUIS_DATOS!$C$1505,CROQUIS_DATOS!$C$1509,CROQUIS_DATOS!$C$1513,CROQUIS_DATOS!$C$1517)=1,CROQUIS_DATOS!$C$1557,0)+1,IF(MOD(IF(CHOOSE(MIN(MAX(MIN(INT(($A234-1)/62)+1,5),1),5),CROQUIS_DATOS!$C$1501,CROQUIS_DATOS!$C$1505,CROQUIS_DATOS!$C$1509,CROQUIS_DATOS!$C$1513,CROQUIS_DATOS!$C$1517)=1,CROQUIS_DATOS!$C$1557,0),2)=1,1,0),IF(MOD(MIN(INT((MOD($A234-1,62)+1-2)/2)+1,MAX(IF(CHOOSE(MIN(MAX(MIN(INT(($A234-1)/62)+1,5),1),5),CROQUIS_DATOS!$C$1501,CROQUIS_DATOS!$C$1505,CROQUIS_DATOS!$C$1509,CROQUIS_DATOS!$C$1513,CROQUIS_DATOS!$C$1517)=1,CROQUIS_DATOS!$C$1557,0),1)),2)=1,IF(MOD(MOD($A234-1,62)+1-2,2)=0,0,1),IF(MOD(MOD($A234-1,62)+1-2,2)=0,1,0))))=0,(CHOOSE(MIN(MAX(MIN(INT(($A234-1)/62)+1,5),1),5),CROQUIS_DATOS!$C$1499,CROQUIS_DATOS!$C$1503,CROQUIS_DATOS!$C$1507,CROQUIS_DATOS!$C$1511,CROQUIS_DATOS!$C$1515)+IF(CHOOSE(MIN(MAX(MIN(INT(($A234-1)/62)+1,5),1),5),CROQUIS_DATOS!$C$1501,CROQUIS_DATOS!$C$1505,CROQUIS_DATOS!$C$1509,CROQUIS_DATOS!$C$1513,CROQUIS_DATOS!$C$1517)=1,CROQUIS_DATOS!$C$1526,0)),(CHOOSE(MIN(MAX(MIN(INT(($A234-1)/62)+1,5),1),5),CROQUIS_DATOS!$C$1499,CROQUIS_DATOS!$C$1503,CROQUIS_DATOS!$C$1507,CROQUIS_DATOS!$C$1511,CROQUIS_DATOS!$C$1515)+CHOOSE(MIN(MAX(MIN(INT(($A234-1)/62)+1,5),1),5),CROQUIS_DATOS!$C$1500,CROQUIS_DATOS!$C$1504,CROQUIS_DATOS!$C$1508,CROQUIS_DATOS!$C$1512,CROQUIS_DATOS!$C$1516)-IF(CHOOSE(MIN(MAX(MIN(INT(($A234-1)/62)+1,5),1),5),CROQUIS_DATOS!$C$1501,CROQUIS_DATOS!$C$1505,CROQUIS_DATOS!$C$1509,CROQUIS_DATOS!$C$1513,CROQUIS_DATOS!$C$1517)=1,CROQUIS_DATOS!$C$1526,0))))*CROQUIS_DATOS!$C$1562),-1000)</f>
        <v>-1000</v>
      </c>
      <c r="Q234">
        <f>IF(AND(CROQUIS_DATOS!$C$1472=1,CROQUIS_DATOS!$C$1555=1),(CROQUIS_DATOS!$C$1564+(IF(OR(OR(MOD($A234-1,62)+1=1,IF(CHOOSE(MIN(MAX(MIN(INT(($A234-1)/62)+1,5),1),5),CROQUIS_DATOS!$C$1501,CROQUIS_DATOS!$C$1505,CROQUIS_DATOS!$C$1509,CROQUIS_DATOS!$C$1513,CROQUIS_DATOS!$C$1517)=1,CROQUIS_DATOS!$C$1557,0)=0),MOD($A234-1,62)+1&gt;2*IF(CHOOSE(MIN(MAX(MIN(INT(($A234-1)/62)+1,5),1),5),CROQUIS_DATOS!$C$1501,CROQUIS_DATOS!$C$1505,CROQUIS_DATOS!$C$1509,CROQUIS_DATOS!$C$1513,CROQUIS_DATOS!$C$1517)=1,CROQUIS_DATOS!$C$1557,0)+1),CROQUIS_DATOS!$C$1476,MIN(INT((MOD($A234-1,62)+1-2)/2)+1,MAX(IF(CHOOSE(MIN(MAX(MIN(INT(($A234-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4">
        <f>IF(AND(CROQUIS_DATOS!$C$1472=1,1),(CROQUIS_DATOS!$C$1563+(MIN(INT(($A234-1)/2)+1,CROQUIS_DATOS!$C$1558)*CROQUIS_DATOS!$C$1559)*CROQUIS_DATOS!$C$1562),-1000)</f>
        <v>82.2281167108753</v>
      </c>
      <c r="U234">
        <f>IF(AND(CROQUIS_DATOS!$C$1472=1,1),(CROQUIS_DATOS!$C$1564+(IF(INT(($A234-1)/2)+1&gt;CROQUIS_DATOS!$C$1558,IF(MOD(CROQUIS_DATOS!$C$1558,2)=1,CROQUIS_DATOS!$C$1476+CROQUIS_DATOS!$C$1528,CROQUIS_DATOS!$C$1476),IF(IF(MOD(MIN(INT(($A234-1)/2)+1,CROQUIS_DATOS!$C$1558),2)=1,MOD($A234-1,2),1-MOD($A234-1,2))=1,CROQUIS_DATOS!$C$1476+CROQUIS_DATOS!$C$1528,CROQUIS_DATOS!$C$1476)))*CROQUIS_DATOS!$C$1561*CROQUIS_DATOS!$C$1562),-1000)</f>
        <v>43</v>
      </c>
    </row>
    <row r="235">
      <c r="A235" t="n">
        <v>228</v>
      </c>
      <c r="N235">
        <f>IF(AND(CROQUIS_DATOS!$C$1472=1,1),(CROQUIS_DATOS!$C$1563+(IF(IF(IF(INT(($A235-1)/70)+1&gt;CROQUIS_DATOS!$C$1525,70,MOD($A235-1,70)+1)=1,0,IF(IF(INT(($A235-1)/70)+1&gt;CROQUIS_DATOS!$C$1525,70,MOD($A235-1,70)+1)&gt;2*CROQUIS_DATOS!$C$1541+1,IF(MOD(CROQUIS_DATOS!$C$1541,2)=1,1,0),IF(MOD(MIN(INT((IF(INT(($A235-1)/70)+1&gt;CROQUIS_DATOS!$C$1525,70,MOD($A235-1,70)+1)-2)/2)+1,CROQUIS_DATOS!$C$1541),2)=1,IF(MOD(IF(INT(($A235-1)/70)+1&gt;CROQUIS_DATOS!$C$1525,70,MOD($A235-1,70)+1)-2,2)=0,0,1),IF(MOD(IF(INT(($A235-1)/70)+1&gt;CROQUIS_DATOS!$C$1525,70,MOD($A235-1,70)+1)-2,2)=0,1,0))))=0,(INDEX($E$8:$E$23,MIN(INT(($A235-1)/70)+1,CROQUIS_DATOS!$C$1525))-INDEX($F$8:$F$23,MIN(INT(($A235-1)/70)+1,CROQUIS_DATOS!$C$1525))/2),(INDEX($E$8:$E$23,MIN(INT(($A235-1)/70)+1,CROQUIS_DATOS!$C$1525))+INDEX($F$8:$F$23,MIN(INT(($A235-1)/70)+1,CROQUIS_DATOS!$C$1525))/2)))*CROQUIS_DATOS!$C$1562),-1000)</f>
        <v>45.1120689655172</v>
      </c>
      <c r="O235">
        <f>IF(AND(CROQUIS_DATOS!$C$1472=1,1),(CROQUIS_DATOS!$C$1564+(IF(OR(IF(INT(($A235-1)/70)+1&gt;CROQUIS_DATOS!$C$1525,70,MOD($A235-1,70)+1)=1,IF(INT(($A235-1)/70)+1&gt;CROQUIS_DATOS!$C$1525,70,MOD($A235-1,70)+1)&gt;2*CROQUIS_DATOS!$C$1541+1),CROQUIS_DATOS!$C$1476,INDEX($H$8:$H$41,MIN(INT((IF(INT(($A235-1)/70)+1&gt;CROQUIS_DATOS!$C$1525,70,MOD($A235-1,70)+1)-2)/2)+1,CROQUIS_DATOS!$C$1541))))*CROQUIS_DATOS!$C$1561*CROQUIS_DATOS!$C$1562),-1000)</f>
        <v>21.3922413793103</v>
      </c>
      <c r="P235">
        <f>IF(AND(CROQUIS_DATOS!$C$1472=1,CROQUIS_DATOS!$C$1555=1),(CROQUIS_DATOS!$C$1563+(IF(IF(OR(MOD($A235-1,62)+1=1,IF(CHOOSE(MIN(MAX(MIN(INT(($A235-1)/62)+1,5),1),5),CROQUIS_DATOS!$C$1501,CROQUIS_DATOS!$C$1505,CROQUIS_DATOS!$C$1509,CROQUIS_DATOS!$C$1513,CROQUIS_DATOS!$C$1517)=1,CROQUIS_DATOS!$C$1557,0)=0),0,IF(MOD($A235-1,62)+1&gt;2*IF(CHOOSE(MIN(MAX(MIN(INT(($A235-1)/62)+1,5),1),5),CROQUIS_DATOS!$C$1501,CROQUIS_DATOS!$C$1505,CROQUIS_DATOS!$C$1509,CROQUIS_DATOS!$C$1513,CROQUIS_DATOS!$C$1517)=1,CROQUIS_DATOS!$C$1557,0)+1,IF(MOD(IF(CHOOSE(MIN(MAX(MIN(INT(($A235-1)/62)+1,5),1),5),CROQUIS_DATOS!$C$1501,CROQUIS_DATOS!$C$1505,CROQUIS_DATOS!$C$1509,CROQUIS_DATOS!$C$1513,CROQUIS_DATOS!$C$1517)=1,CROQUIS_DATOS!$C$1557,0),2)=1,1,0),IF(MOD(MIN(INT((MOD($A235-1,62)+1-2)/2)+1,MAX(IF(CHOOSE(MIN(MAX(MIN(INT(($A235-1)/62)+1,5),1),5),CROQUIS_DATOS!$C$1501,CROQUIS_DATOS!$C$1505,CROQUIS_DATOS!$C$1509,CROQUIS_DATOS!$C$1513,CROQUIS_DATOS!$C$1517)=1,CROQUIS_DATOS!$C$1557,0),1)),2)=1,IF(MOD(MOD($A235-1,62)+1-2,2)=0,0,1),IF(MOD(MOD($A235-1,62)+1-2,2)=0,1,0))))=0,(CHOOSE(MIN(MAX(MIN(INT(($A235-1)/62)+1,5),1),5),CROQUIS_DATOS!$C$1499,CROQUIS_DATOS!$C$1503,CROQUIS_DATOS!$C$1507,CROQUIS_DATOS!$C$1511,CROQUIS_DATOS!$C$1515)+IF(CHOOSE(MIN(MAX(MIN(INT(($A235-1)/62)+1,5),1),5),CROQUIS_DATOS!$C$1501,CROQUIS_DATOS!$C$1505,CROQUIS_DATOS!$C$1509,CROQUIS_DATOS!$C$1513,CROQUIS_DATOS!$C$1517)=1,CROQUIS_DATOS!$C$1526,0)),(CHOOSE(MIN(MAX(MIN(INT(($A235-1)/62)+1,5),1),5),CROQUIS_DATOS!$C$1499,CROQUIS_DATOS!$C$1503,CROQUIS_DATOS!$C$1507,CROQUIS_DATOS!$C$1511,CROQUIS_DATOS!$C$1515)+CHOOSE(MIN(MAX(MIN(INT(($A235-1)/62)+1,5),1),5),CROQUIS_DATOS!$C$1500,CROQUIS_DATOS!$C$1504,CROQUIS_DATOS!$C$1508,CROQUIS_DATOS!$C$1512,CROQUIS_DATOS!$C$1516)-IF(CHOOSE(MIN(MAX(MIN(INT(($A235-1)/62)+1,5),1),5),CROQUIS_DATOS!$C$1501,CROQUIS_DATOS!$C$1505,CROQUIS_DATOS!$C$1509,CROQUIS_DATOS!$C$1513,CROQUIS_DATOS!$C$1517)=1,CROQUIS_DATOS!$C$1526,0))))*CROQUIS_DATOS!$C$1562),-1000)</f>
        <v>-1000</v>
      </c>
      <c r="Q235">
        <f>IF(AND(CROQUIS_DATOS!$C$1472=1,CROQUIS_DATOS!$C$1555=1),(CROQUIS_DATOS!$C$1564+(IF(OR(OR(MOD($A235-1,62)+1=1,IF(CHOOSE(MIN(MAX(MIN(INT(($A235-1)/62)+1,5),1),5),CROQUIS_DATOS!$C$1501,CROQUIS_DATOS!$C$1505,CROQUIS_DATOS!$C$1509,CROQUIS_DATOS!$C$1513,CROQUIS_DATOS!$C$1517)=1,CROQUIS_DATOS!$C$1557,0)=0),MOD($A235-1,62)+1&gt;2*IF(CHOOSE(MIN(MAX(MIN(INT(($A235-1)/62)+1,5),1),5),CROQUIS_DATOS!$C$1501,CROQUIS_DATOS!$C$1505,CROQUIS_DATOS!$C$1509,CROQUIS_DATOS!$C$1513,CROQUIS_DATOS!$C$1517)=1,CROQUIS_DATOS!$C$1557,0)+1),CROQUIS_DATOS!$C$1476,MIN(INT((MOD($A235-1,62)+1-2)/2)+1,MAX(IF(CHOOSE(MIN(MAX(MIN(INT(($A235-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5">
        <f>IF(AND(CROQUIS_DATOS!$C$1472=1,1),(CROQUIS_DATOS!$C$1563+(MIN(INT(($A235-1)/2)+1,CROQUIS_DATOS!$C$1558)*CROQUIS_DATOS!$C$1559)*CROQUIS_DATOS!$C$1562),-1000)</f>
        <v>82.2281167108753</v>
      </c>
      <c r="U235">
        <f>IF(AND(CROQUIS_DATOS!$C$1472=1,1),(CROQUIS_DATOS!$C$1564+(IF(INT(($A235-1)/2)+1&gt;CROQUIS_DATOS!$C$1558,IF(MOD(CROQUIS_DATOS!$C$1558,2)=1,CROQUIS_DATOS!$C$1476+CROQUIS_DATOS!$C$1528,CROQUIS_DATOS!$C$1476),IF(IF(MOD(MIN(INT(($A235-1)/2)+1,CROQUIS_DATOS!$C$1558),2)=1,MOD($A235-1,2),1-MOD($A235-1,2))=1,CROQUIS_DATOS!$C$1476+CROQUIS_DATOS!$C$1528,CROQUIS_DATOS!$C$1476)))*CROQUIS_DATOS!$C$1561*CROQUIS_DATOS!$C$1562),-1000)</f>
        <v>43</v>
      </c>
    </row>
    <row r="236">
      <c r="A236" t="n">
        <v>229</v>
      </c>
      <c r="N236">
        <f>IF(AND(CROQUIS_DATOS!$C$1472=1,1),(CROQUIS_DATOS!$C$1563+(IF(IF(IF(INT(($A236-1)/70)+1&gt;CROQUIS_DATOS!$C$1525,70,MOD($A236-1,70)+1)=1,0,IF(IF(INT(($A236-1)/70)+1&gt;CROQUIS_DATOS!$C$1525,70,MOD($A236-1,70)+1)&gt;2*CROQUIS_DATOS!$C$1541+1,IF(MOD(CROQUIS_DATOS!$C$1541,2)=1,1,0),IF(MOD(MIN(INT((IF(INT(($A236-1)/70)+1&gt;CROQUIS_DATOS!$C$1525,70,MOD($A236-1,70)+1)-2)/2)+1,CROQUIS_DATOS!$C$1541),2)=1,IF(MOD(IF(INT(($A236-1)/70)+1&gt;CROQUIS_DATOS!$C$1525,70,MOD($A236-1,70)+1)-2,2)=0,0,1),IF(MOD(IF(INT(($A236-1)/70)+1&gt;CROQUIS_DATOS!$C$1525,70,MOD($A236-1,70)+1)-2,2)=0,1,0))))=0,(INDEX($E$8:$E$23,MIN(INT(($A236-1)/70)+1,CROQUIS_DATOS!$C$1525))-INDEX($F$8:$F$23,MIN(INT(($A236-1)/70)+1,CROQUIS_DATOS!$C$1525))/2),(INDEX($E$8:$E$23,MIN(INT(($A236-1)/70)+1,CROQUIS_DATOS!$C$1525))+INDEX($F$8:$F$23,MIN(INT(($A236-1)/70)+1,CROQUIS_DATOS!$C$1525))/2)))*CROQUIS_DATOS!$C$1562),-1000)</f>
        <v>47.2068965517241</v>
      </c>
      <c r="O236">
        <f>IF(AND(CROQUIS_DATOS!$C$1472=1,1),(CROQUIS_DATOS!$C$1564+(IF(OR(IF(INT(($A236-1)/70)+1&gt;CROQUIS_DATOS!$C$1525,70,MOD($A236-1,70)+1)=1,IF(INT(($A236-1)/70)+1&gt;CROQUIS_DATOS!$C$1525,70,MOD($A236-1,70)+1)&gt;2*CROQUIS_DATOS!$C$1541+1),CROQUIS_DATOS!$C$1476,INDEX($H$8:$H$41,MIN(INT((IF(INT(($A236-1)/70)+1&gt;CROQUIS_DATOS!$C$1525,70,MOD($A236-1,70)+1)-2)/2)+1,CROQUIS_DATOS!$C$1541))))*CROQUIS_DATOS!$C$1561*CROQUIS_DATOS!$C$1562),-1000)</f>
        <v>21.3922413793103</v>
      </c>
      <c r="P236">
        <f>IF(AND(CROQUIS_DATOS!$C$1472=1,CROQUIS_DATOS!$C$1555=1),(CROQUIS_DATOS!$C$1563+(IF(IF(OR(MOD($A236-1,62)+1=1,IF(CHOOSE(MIN(MAX(MIN(INT(($A236-1)/62)+1,5),1),5),CROQUIS_DATOS!$C$1501,CROQUIS_DATOS!$C$1505,CROQUIS_DATOS!$C$1509,CROQUIS_DATOS!$C$1513,CROQUIS_DATOS!$C$1517)=1,CROQUIS_DATOS!$C$1557,0)=0),0,IF(MOD($A236-1,62)+1&gt;2*IF(CHOOSE(MIN(MAX(MIN(INT(($A236-1)/62)+1,5),1),5),CROQUIS_DATOS!$C$1501,CROQUIS_DATOS!$C$1505,CROQUIS_DATOS!$C$1509,CROQUIS_DATOS!$C$1513,CROQUIS_DATOS!$C$1517)=1,CROQUIS_DATOS!$C$1557,0)+1,IF(MOD(IF(CHOOSE(MIN(MAX(MIN(INT(($A236-1)/62)+1,5),1),5),CROQUIS_DATOS!$C$1501,CROQUIS_DATOS!$C$1505,CROQUIS_DATOS!$C$1509,CROQUIS_DATOS!$C$1513,CROQUIS_DATOS!$C$1517)=1,CROQUIS_DATOS!$C$1557,0),2)=1,1,0),IF(MOD(MIN(INT((MOD($A236-1,62)+1-2)/2)+1,MAX(IF(CHOOSE(MIN(MAX(MIN(INT(($A236-1)/62)+1,5),1),5),CROQUIS_DATOS!$C$1501,CROQUIS_DATOS!$C$1505,CROQUIS_DATOS!$C$1509,CROQUIS_DATOS!$C$1513,CROQUIS_DATOS!$C$1517)=1,CROQUIS_DATOS!$C$1557,0),1)),2)=1,IF(MOD(MOD($A236-1,62)+1-2,2)=0,0,1),IF(MOD(MOD($A236-1,62)+1-2,2)=0,1,0))))=0,(CHOOSE(MIN(MAX(MIN(INT(($A236-1)/62)+1,5),1),5),CROQUIS_DATOS!$C$1499,CROQUIS_DATOS!$C$1503,CROQUIS_DATOS!$C$1507,CROQUIS_DATOS!$C$1511,CROQUIS_DATOS!$C$1515)+IF(CHOOSE(MIN(MAX(MIN(INT(($A236-1)/62)+1,5),1),5),CROQUIS_DATOS!$C$1501,CROQUIS_DATOS!$C$1505,CROQUIS_DATOS!$C$1509,CROQUIS_DATOS!$C$1513,CROQUIS_DATOS!$C$1517)=1,CROQUIS_DATOS!$C$1526,0)),(CHOOSE(MIN(MAX(MIN(INT(($A236-1)/62)+1,5),1),5),CROQUIS_DATOS!$C$1499,CROQUIS_DATOS!$C$1503,CROQUIS_DATOS!$C$1507,CROQUIS_DATOS!$C$1511,CROQUIS_DATOS!$C$1515)+CHOOSE(MIN(MAX(MIN(INT(($A236-1)/62)+1,5),1),5),CROQUIS_DATOS!$C$1500,CROQUIS_DATOS!$C$1504,CROQUIS_DATOS!$C$1508,CROQUIS_DATOS!$C$1512,CROQUIS_DATOS!$C$1516)-IF(CHOOSE(MIN(MAX(MIN(INT(($A236-1)/62)+1,5),1),5),CROQUIS_DATOS!$C$1501,CROQUIS_DATOS!$C$1505,CROQUIS_DATOS!$C$1509,CROQUIS_DATOS!$C$1513,CROQUIS_DATOS!$C$1517)=1,CROQUIS_DATOS!$C$1526,0))))*CROQUIS_DATOS!$C$1562),-1000)</f>
        <v>-1000</v>
      </c>
      <c r="Q236">
        <f>IF(AND(CROQUIS_DATOS!$C$1472=1,CROQUIS_DATOS!$C$1555=1),(CROQUIS_DATOS!$C$1564+(IF(OR(OR(MOD($A236-1,62)+1=1,IF(CHOOSE(MIN(MAX(MIN(INT(($A236-1)/62)+1,5),1),5),CROQUIS_DATOS!$C$1501,CROQUIS_DATOS!$C$1505,CROQUIS_DATOS!$C$1509,CROQUIS_DATOS!$C$1513,CROQUIS_DATOS!$C$1517)=1,CROQUIS_DATOS!$C$1557,0)=0),MOD($A236-1,62)+1&gt;2*IF(CHOOSE(MIN(MAX(MIN(INT(($A236-1)/62)+1,5),1),5),CROQUIS_DATOS!$C$1501,CROQUIS_DATOS!$C$1505,CROQUIS_DATOS!$C$1509,CROQUIS_DATOS!$C$1513,CROQUIS_DATOS!$C$1517)=1,CROQUIS_DATOS!$C$1557,0)+1),CROQUIS_DATOS!$C$1476,MIN(INT((MOD($A236-1,62)+1-2)/2)+1,MAX(IF(CHOOSE(MIN(MAX(MIN(INT(($A236-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6">
        <f>IF(AND(CROQUIS_DATOS!$C$1472=1,1),(CROQUIS_DATOS!$C$1563+(MIN(INT(($A236-1)/2)+1,CROQUIS_DATOS!$C$1558)*CROQUIS_DATOS!$C$1559)*CROQUIS_DATOS!$C$1562),-1000)</f>
        <v>82.2281167108753</v>
      </c>
      <c r="U236">
        <f>IF(AND(CROQUIS_DATOS!$C$1472=1,1),(CROQUIS_DATOS!$C$1564+(IF(INT(($A236-1)/2)+1&gt;CROQUIS_DATOS!$C$1558,IF(MOD(CROQUIS_DATOS!$C$1558,2)=1,CROQUIS_DATOS!$C$1476+CROQUIS_DATOS!$C$1528,CROQUIS_DATOS!$C$1476),IF(IF(MOD(MIN(INT(($A236-1)/2)+1,CROQUIS_DATOS!$C$1558),2)=1,MOD($A236-1,2),1-MOD($A236-1,2))=1,CROQUIS_DATOS!$C$1476+CROQUIS_DATOS!$C$1528,CROQUIS_DATOS!$C$1476)))*CROQUIS_DATOS!$C$1561*CROQUIS_DATOS!$C$1562),-1000)</f>
        <v>43</v>
      </c>
    </row>
    <row r="237">
      <c r="A237" t="n">
        <v>230</v>
      </c>
      <c r="N237">
        <f>IF(AND(CROQUIS_DATOS!$C$1472=1,1),(CROQUIS_DATOS!$C$1563+(IF(IF(IF(INT(($A237-1)/70)+1&gt;CROQUIS_DATOS!$C$1525,70,MOD($A237-1,70)+1)=1,0,IF(IF(INT(($A237-1)/70)+1&gt;CROQUIS_DATOS!$C$1525,70,MOD($A237-1,70)+1)&gt;2*CROQUIS_DATOS!$C$1541+1,IF(MOD(CROQUIS_DATOS!$C$1541,2)=1,1,0),IF(MOD(MIN(INT((IF(INT(($A237-1)/70)+1&gt;CROQUIS_DATOS!$C$1525,70,MOD($A237-1,70)+1)-2)/2)+1,CROQUIS_DATOS!$C$1541),2)=1,IF(MOD(IF(INT(($A237-1)/70)+1&gt;CROQUIS_DATOS!$C$1525,70,MOD($A237-1,70)+1)-2,2)=0,0,1),IF(MOD(IF(INT(($A237-1)/70)+1&gt;CROQUIS_DATOS!$C$1525,70,MOD($A237-1,70)+1)-2,2)=0,1,0))))=0,(INDEX($E$8:$E$23,MIN(INT(($A237-1)/70)+1,CROQUIS_DATOS!$C$1525))-INDEX($F$8:$F$23,MIN(INT(($A237-1)/70)+1,CROQUIS_DATOS!$C$1525))/2),(INDEX($E$8:$E$23,MIN(INT(($A237-1)/70)+1,CROQUIS_DATOS!$C$1525))+INDEX($F$8:$F$23,MIN(INT(($A237-1)/70)+1,CROQUIS_DATOS!$C$1525))/2)))*CROQUIS_DATOS!$C$1562),-1000)</f>
        <v>47.2068965517241</v>
      </c>
      <c r="O237">
        <f>IF(AND(CROQUIS_DATOS!$C$1472=1,1),(CROQUIS_DATOS!$C$1564+(IF(OR(IF(INT(($A237-1)/70)+1&gt;CROQUIS_DATOS!$C$1525,70,MOD($A237-1,70)+1)=1,IF(INT(($A237-1)/70)+1&gt;CROQUIS_DATOS!$C$1525,70,MOD($A237-1,70)+1)&gt;2*CROQUIS_DATOS!$C$1541+1),CROQUIS_DATOS!$C$1476,INDEX($H$8:$H$41,MIN(INT((IF(INT(($A237-1)/70)+1&gt;CROQUIS_DATOS!$C$1525,70,MOD($A237-1,70)+1)-2)/2)+1,CROQUIS_DATOS!$C$1541))))*CROQUIS_DATOS!$C$1561*CROQUIS_DATOS!$C$1562),-1000)</f>
        <v>24.1077586206897</v>
      </c>
      <c r="P237">
        <f>IF(AND(CROQUIS_DATOS!$C$1472=1,CROQUIS_DATOS!$C$1555=1),(CROQUIS_DATOS!$C$1563+(IF(IF(OR(MOD($A237-1,62)+1=1,IF(CHOOSE(MIN(MAX(MIN(INT(($A237-1)/62)+1,5),1),5),CROQUIS_DATOS!$C$1501,CROQUIS_DATOS!$C$1505,CROQUIS_DATOS!$C$1509,CROQUIS_DATOS!$C$1513,CROQUIS_DATOS!$C$1517)=1,CROQUIS_DATOS!$C$1557,0)=0),0,IF(MOD($A237-1,62)+1&gt;2*IF(CHOOSE(MIN(MAX(MIN(INT(($A237-1)/62)+1,5),1),5),CROQUIS_DATOS!$C$1501,CROQUIS_DATOS!$C$1505,CROQUIS_DATOS!$C$1509,CROQUIS_DATOS!$C$1513,CROQUIS_DATOS!$C$1517)=1,CROQUIS_DATOS!$C$1557,0)+1,IF(MOD(IF(CHOOSE(MIN(MAX(MIN(INT(($A237-1)/62)+1,5),1),5),CROQUIS_DATOS!$C$1501,CROQUIS_DATOS!$C$1505,CROQUIS_DATOS!$C$1509,CROQUIS_DATOS!$C$1513,CROQUIS_DATOS!$C$1517)=1,CROQUIS_DATOS!$C$1557,0),2)=1,1,0),IF(MOD(MIN(INT((MOD($A237-1,62)+1-2)/2)+1,MAX(IF(CHOOSE(MIN(MAX(MIN(INT(($A237-1)/62)+1,5),1),5),CROQUIS_DATOS!$C$1501,CROQUIS_DATOS!$C$1505,CROQUIS_DATOS!$C$1509,CROQUIS_DATOS!$C$1513,CROQUIS_DATOS!$C$1517)=1,CROQUIS_DATOS!$C$1557,0),1)),2)=1,IF(MOD(MOD($A237-1,62)+1-2,2)=0,0,1),IF(MOD(MOD($A237-1,62)+1-2,2)=0,1,0))))=0,(CHOOSE(MIN(MAX(MIN(INT(($A237-1)/62)+1,5),1),5),CROQUIS_DATOS!$C$1499,CROQUIS_DATOS!$C$1503,CROQUIS_DATOS!$C$1507,CROQUIS_DATOS!$C$1511,CROQUIS_DATOS!$C$1515)+IF(CHOOSE(MIN(MAX(MIN(INT(($A237-1)/62)+1,5),1),5),CROQUIS_DATOS!$C$1501,CROQUIS_DATOS!$C$1505,CROQUIS_DATOS!$C$1509,CROQUIS_DATOS!$C$1513,CROQUIS_DATOS!$C$1517)=1,CROQUIS_DATOS!$C$1526,0)),(CHOOSE(MIN(MAX(MIN(INT(($A237-1)/62)+1,5),1),5),CROQUIS_DATOS!$C$1499,CROQUIS_DATOS!$C$1503,CROQUIS_DATOS!$C$1507,CROQUIS_DATOS!$C$1511,CROQUIS_DATOS!$C$1515)+CHOOSE(MIN(MAX(MIN(INT(($A237-1)/62)+1,5),1),5),CROQUIS_DATOS!$C$1500,CROQUIS_DATOS!$C$1504,CROQUIS_DATOS!$C$1508,CROQUIS_DATOS!$C$1512,CROQUIS_DATOS!$C$1516)-IF(CHOOSE(MIN(MAX(MIN(INT(($A237-1)/62)+1,5),1),5),CROQUIS_DATOS!$C$1501,CROQUIS_DATOS!$C$1505,CROQUIS_DATOS!$C$1509,CROQUIS_DATOS!$C$1513,CROQUIS_DATOS!$C$1517)=1,CROQUIS_DATOS!$C$1526,0))))*CROQUIS_DATOS!$C$1562),-1000)</f>
        <v>-1000</v>
      </c>
      <c r="Q237">
        <f>IF(AND(CROQUIS_DATOS!$C$1472=1,CROQUIS_DATOS!$C$1555=1),(CROQUIS_DATOS!$C$1564+(IF(OR(OR(MOD($A237-1,62)+1=1,IF(CHOOSE(MIN(MAX(MIN(INT(($A237-1)/62)+1,5),1),5),CROQUIS_DATOS!$C$1501,CROQUIS_DATOS!$C$1505,CROQUIS_DATOS!$C$1509,CROQUIS_DATOS!$C$1513,CROQUIS_DATOS!$C$1517)=1,CROQUIS_DATOS!$C$1557,0)=0),MOD($A237-1,62)+1&gt;2*IF(CHOOSE(MIN(MAX(MIN(INT(($A237-1)/62)+1,5),1),5),CROQUIS_DATOS!$C$1501,CROQUIS_DATOS!$C$1505,CROQUIS_DATOS!$C$1509,CROQUIS_DATOS!$C$1513,CROQUIS_DATOS!$C$1517)=1,CROQUIS_DATOS!$C$1557,0)+1),CROQUIS_DATOS!$C$1476,MIN(INT((MOD($A237-1,62)+1-2)/2)+1,MAX(IF(CHOOSE(MIN(MAX(MIN(INT(($A237-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7">
        <f>IF(AND(CROQUIS_DATOS!$C$1472=1,1),(CROQUIS_DATOS!$C$1563+(MIN(INT(($A237-1)/2)+1,CROQUIS_DATOS!$C$1558)*CROQUIS_DATOS!$C$1559)*CROQUIS_DATOS!$C$1562),-1000)</f>
        <v>82.2281167108753</v>
      </c>
      <c r="U237">
        <f>IF(AND(CROQUIS_DATOS!$C$1472=1,1),(CROQUIS_DATOS!$C$1564+(IF(INT(($A237-1)/2)+1&gt;CROQUIS_DATOS!$C$1558,IF(MOD(CROQUIS_DATOS!$C$1558,2)=1,CROQUIS_DATOS!$C$1476+CROQUIS_DATOS!$C$1528,CROQUIS_DATOS!$C$1476),IF(IF(MOD(MIN(INT(($A237-1)/2)+1,CROQUIS_DATOS!$C$1558),2)=1,MOD($A237-1,2),1-MOD($A237-1,2))=1,CROQUIS_DATOS!$C$1476+CROQUIS_DATOS!$C$1528,CROQUIS_DATOS!$C$1476)))*CROQUIS_DATOS!$C$1561*CROQUIS_DATOS!$C$1562),-1000)</f>
        <v>43</v>
      </c>
    </row>
    <row r="238">
      <c r="A238" t="n">
        <v>231</v>
      </c>
      <c r="N238">
        <f>IF(AND(CROQUIS_DATOS!$C$1472=1,1),(CROQUIS_DATOS!$C$1563+(IF(IF(IF(INT(($A238-1)/70)+1&gt;CROQUIS_DATOS!$C$1525,70,MOD($A238-1,70)+1)=1,0,IF(IF(INT(($A238-1)/70)+1&gt;CROQUIS_DATOS!$C$1525,70,MOD($A238-1,70)+1)&gt;2*CROQUIS_DATOS!$C$1541+1,IF(MOD(CROQUIS_DATOS!$C$1541,2)=1,1,0),IF(MOD(MIN(INT((IF(INT(($A238-1)/70)+1&gt;CROQUIS_DATOS!$C$1525,70,MOD($A238-1,70)+1)-2)/2)+1,CROQUIS_DATOS!$C$1541),2)=1,IF(MOD(IF(INT(($A238-1)/70)+1&gt;CROQUIS_DATOS!$C$1525,70,MOD($A238-1,70)+1)-2,2)=0,0,1),IF(MOD(IF(INT(($A238-1)/70)+1&gt;CROQUIS_DATOS!$C$1525,70,MOD($A238-1,70)+1)-2,2)=0,1,0))))=0,(INDEX($E$8:$E$23,MIN(INT(($A238-1)/70)+1,CROQUIS_DATOS!$C$1525))-INDEX($F$8:$F$23,MIN(INT(($A238-1)/70)+1,CROQUIS_DATOS!$C$1525))/2),(INDEX($E$8:$E$23,MIN(INT(($A238-1)/70)+1,CROQUIS_DATOS!$C$1525))+INDEX($F$8:$F$23,MIN(INT(($A238-1)/70)+1,CROQUIS_DATOS!$C$1525))/2)))*CROQUIS_DATOS!$C$1562),-1000)</f>
        <v>45.1120689655172</v>
      </c>
      <c r="O238">
        <f>IF(AND(CROQUIS_DATOS!$C$1472=1,1),(CROQUIS_DATOS!$C$1564+(IF(OR(IF(INT(($A238-1)/70)+1&gt;CROQUIS_DATOS!$C$1525,70,MOD($A238-1,70)+1)=1,IF(INT(($A238-1)/70)+1&gt;CROQUIS_DATOS!$C$1525,70,MOD($A238-1,70)+1)&gt;2*CROQUIS_DATOS!$C$1541+1),CROQUIS_DATOS!$C$1476,INDEX($H$8:$H$41,MIN(INT((IF(INT(($A238-1)/70)+1&gt;CROQUIS_DATOS!$C$1525,70,MOD($A238-1,70)+1)-2)/2)+1,CROQUIS_DATOS!$C$1541))))*CROQUIS_DATOS!$C$1561*CROQUIS_DATOS!$C$1562),-1000)</f>
        <v>24.1077586206897</v>
      </c>
      <c r="P238">
        <f>IF(AND(CROQUIS_DATOS!$C$1472=1,CROQUIS_DATOS!$C$1555=1),(CROQUIS_DATOS!$C$1563+(IF(IF(OR(MOD($A238-1,62)+1=1,IF(CHOOSE(MIN(MAX(MIN(INT(($A238-1)/62)+1,5),1),5),CROQUIS_DATOS!$C$1501,CROQUIS_DATOS!$C$1505,CROQUIS_DATOS!$C$1509,CROQUIS_DATOS!$C$1513,CROQUIS_DATOS!$C$1517)=1,CROQUIS_DATOS!$C$1557,0)=0),0,IF(MOD($A238-1,62)+1&gt;2*IF(CHOOSE(MIN(MAX(MIN(INT(($A238-1)/62)+1,5),1),5),CROQUIS_DATOS!$C$1501,CROQUIS_DATOS!$C$1505,CROQUIS_DATOS!$C$1509,CROQUIS_DATOS!$C$1513,CROQUIS_DATOS!$C$1517)=1,CROQUIS_DATOS!$C$1557,0)+1,IF(MOD(IF(CHOOSE(MIN(MAX(MIN(INT(($A238-1)/62)+1,5),1),5),CROQUIS_DATOS!$C$1501,CROQUIS_DATOS!$C$1505,CROQUIS_DATOS!$C$1509,CROQUIS_DATOS!$C$1513,CROQUIS_DATOS!$C$1517)=1,CROQUIS_DATOS!$C$1557,0),2)=1,1,0),IF(MOD(MIN(INT((MOD($A238-1,62)+1-2)/2)+1,MAX(IF(CHOOSE(MIN(MAX(MIN(INT(($A238-1)/62)+1,5),1),5),CROQUIS_DATOS!$C$1501,CROQUIS_DATOS!$C$1505,CROQUIS_DATOS!$C$1509,CROQUIS_DATOS!$C$1513,CROQUIS_DATOS!$C$1517)=1,CROQUIS_DATOS!$C$1557,0),1)),2)=1,IF(MOD(MOD($A238-1,62)+1-2,2)=0,0,1),IF(MOD(MOD($A238-1,62)+1-2,2)=0,1,0))))=0,(CHOOSE(MIN(MAX(MIN(INT(($A238-1)/62)+1,5),1),5),CROQUIS_DATOS!$C$1499,CROQUIS_DATOS!$C$1503,CROQUIS_DATOS!$C$1507,CROQUIS_DATOS!$C$1511,CROQUIS_DATOS!$C$1515)+IF(CHOOSE(MIN(MAX(MIN(INT(($A238-1)/62)+1,5),1),5),CROQUIS_DATOS!$C$1501,CROQUIS_DATOS!$C$1505,CROQUIS_DATOS!$C$1509,CROQUIS_DATOS!$C$1513,CROQUIS_DATOS!$C$1517)=1,CROQUIS_DATOS!$C$1526,0)),(CHOOSE(MIN(MAX(MIN(INT(($A238-1)/62)+1,5),1),5),CROQUIS_DATOS!$C$1499,CROQUIS_DATOS!$C$1503,CROQUIS_DATOS!$C$1507,CROQUIS_DATOS!$C$1511,CROQUIS_DATOS!$C$1515)+CHOOSE(MIN(MAX(MIN(INT(($A238-1)/62)+1,5),1),5),CROQUIS_DATOS!$C$1500,CROQUIS_DATOS!$C$1504,CROQUIS_DATOS!$C$1508,CROQUIS_DATOS!$C$1512,CROQUIS_DATOS!$C$1516)-IF(CHOOSE(MIN(MAX(MIN(INT(($A238-1)/62)+1,5),1),5),CROQUIS_DATOS!$C$1501,CROQUIS_DATOS!$C$1505,CROQUIS_DATOS!$C$1509,CROQUIS_DATOS!$C$1513,CROQUIS_DATOS!$C$1517)=1,CROQUIS_DATOS!$C$1526,0))))*CROQUIS_DATOS!$C$1562),-1000)</f>
        <v>-1000</v>
      </c>
      <c r="Q238">
        <f>IF(AND(CROQUIS_DATOS!$C$1472=1,CROQUIS_DATOS!$C$1555=1),(CROQUIS_DATOS!$C$1564+(IF(OR(OR(MOD($A238-1,62)+1=1,IF(CHOOSE(MIN(MAX(MIN(INT(($A238-1)/62)+1,5),1),5),CROQUIS_DATOS!$C$1501,CROQUIS_DATOS!$C$1505,CROQUIS_DATOS!$C$1509,CROQUIS_DATOS!$C$1513,CROQUIS_DATOS!$C$1517)=1,CROQUIS_DATOS!$C$1557,0)=0),MOD($A238-1,62)+1&gt;2*IF(CHOOSE(MIN(MAX(MIN(INT(($A238-1)/62)+1,5),1),5),CROQUIS_DATOS!$C$1501,CROQUIS_DATOS!$C$1505,CROQUIS_DATOS!$C$1509,CROQUIS_DATOS!$C$1513,CROQUIS_DATOS!$C$1517)=1,CROQUIS_DATOS!$C$1557,0)+1),CROQUIS_DATOS!$C$1476,MIN(INT((MOD($A238-1,62)+1-2)/2)+1,MAX(IF(CHOOSE(MIN(MAX(MIN(INT(($A238-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8">
        <f>IF(AND(CROQUIS_DATOS!$C$1472=1,1),(CROQUIS_DATOS!$C$1563+(MIN(INT(($A238-1)/2)+1,CROQUIS_DATOS!$C$1558)*CROQUIS_DATOS!$C$1559)*CROQUIS_DATOS!$C$1562),-1000)</f>
        <v>82.2281167108753</v>
      </c>
      <c r="U238">
        <f>IF(AND(CROQUIS_DATOS!$C$1472=1,1),(CROQUIS_DATOS!$C$1564+(IF(INT(($A238-1)/2)+1&gt;CROQUIS_DATOS!$C$1558,IF(MOD(CROQUIS_DATOS!$C$1558,2)=1,CROQUIS_DATOS!$C$1476+CROQUIS_DATOS!$C$1528,CROQUIS_DATOS!$C$1476),IF(IF(MOD(MIN(INT(($A238-1)/2)+1,CROQUIS_DATOS!$C$1558),2)=1,MOD($A238-1,2),1-MOD($A238-1,2))=1,CROQUIS_DATOS!$C$1476+CROQUIS_DATOS!$C$1528,CROQUIS_DATOS!$C$1476)))*CROQUIS_DATOS!$C$1561*CROQUIS_DATOS!$C$1562),-1000)</f>
        <v>43</v>
      </c>
    </row>
    <row r="239">
      <c r="A239" t="n">
        <v>232</v>
      </c>
      <c r="N239">
        <f>IF(AND(CROQUIS_DATOS!$C$1472=1,1),(CROQUIS_DATOS!$C$1563+(IF(IF(IF(INT(($A239-1)/70)+1&gt;CROQUIS_DATOS!$C$1525,70,MOD($A239-1,70)+1)=1,0,IF(IF(INT(($A239-1)/70)+1&gt;CROQUIS_DATOS!$C$1525,70,MOD($A239-1,70)+1)&gt;2*CROQUIS_DATOS!$C$1541+1,IF(MOD(CROQUIS_DATOS!$C$1541,2)=1,1,0),IF(MOD(MIN(INT((IF(INT(($A239-1)/70)+1&gt;CROQUIS_DATOS!$C$1525,70,MOD($A239-1,70)+1)-2)/2)+1,CROQUIS_DATOS!$C$1541),2)=1,IF(MOD(IF(INT(($A239-1)/70)+1&gt;CROQUIS_DATOS!$C$1525,70,MOD($A239-1,70)+1)-2,2)=0,0,1),IF(MOD(IF(INT(($A239-1)/70)+1&gt;CROQUIS_DATOS!$C$1525,70,MOD($A239-1,70)+1)-2,2)=0,1,0))))=0,(INDEX($E$8:$E$23,MIN(INT(($A239-1)/70)+1,CROQUIS_DATOS!$C$1525))-INDEX($F$8:$F$23,MIN(INT(($A239-1)/70)+1,CROQUIS_DATOS!$C$1525))/2),(INDEX($E$8:$E$23,MIN(INT(($A239-1)/70)+1,CROQUIS_DATOS!$C$1525))+INDEX($F$8:$F$23,MIN(INT(($A239-1)/70)+1,CROQUIS_DATOS!$C$1525))/2)))*CROQUIS_DATOS!$C$1562),-1000)</f>
        <v>45.1120689655172</v>
      </c>
      <c r="O239">
        <f>IF(AND(CROQUIS_DATOS!$C$1472=1,1),(CROQUIS_DATOS!$C$1564+(IF(OR(IF(INT(($A239-1)/70)+1&gt;CROQUIS_DATOS!$C$1525,70,MOD($A239-1,70)+1)=1,IF(INT(($A239-1)/70)+1&gt;CROQUIS_DATOS!$C$1525,70,MOD($A239-1,70)+1)&gt;2*CROQUIS_DATOS!$C$1541+1),CROQUIS_DATOS!$C$1476,INDEX($H$8:$H$41,MIN(INT((IF(INT(($A239-1)/70)+1&gt;CROQUIS_DATOS!$C$1525,70,MOD($A239-1,70)+1)-2)/2)+1,CROQUIS_DATOS!$C$1541))))*CROQUIS_DATOS!$C$1561*CROQUIS_DATOS!$C$1562),-1000)</f>
        <v>26.823275862069</v>
      </c>
      <c r="P239">
        <f>IF(AND(CROQUIS_DATOS!$C$1472=1,CROQUIS_DATOS!$C$1555=1),(CROQUIS_DATOS!$C$1563+(IF(IF(OR(MOD($A239-1,62)+1=1,IF(CHOOSE(MIN(MAX(MIN(INT(($A239-1)/62)+1,5),1),5),CROQUIS_DATOS!$C$1501,CROQUIS_DATOS!$C$1505,CROQUIS_DATOS!$C$1509,CROQUIS_DATOS!$C$1513,CROQUIS_DATOS!$C$1517)=1,CROQUIS_DATOS!$C$1557,0)=0),0,IF(MOD($A239-1,62)+1&gt;2*IF(CHOOSE(MIN(MAX(MIN(INT(($A239-1)/62)+1,5),1),5),CROQUIS_DATOS!$C$1501,CROQUIS_DATOS!$C$1505,CROQUIS_DATOS!$C$1509,CROQUIS_DATOS!$C$1513,CROQUIS_DATOS!$C$1517)=1,CROQUIS_DATOS!$C$1557,0)+1,IF(MOD(IF(CHOOSE(MIN(MAX(MIN(INT(($A239-1)/62)+1,5),1),5),CROQUIS_DATOS!$C$1501,CROQUIS_DATOS!$C$1505,CROQUIS_DATOS!$C$1509,CROQUIS_DATOS!$C$1513,CROQUIS_DATOS!$C$1517)=1,CROQUIS_DATOS!$C$1557,0),2)=1,1,0),IF(MOD(MIN(INT((MOD($A239-1,62)+1-2)/2)+1,MAX(IF(CHOOSE(MIN(MAX(MIN(INT(($A239-1)/62)+1,5),1),5),CROQUIS_DATOS!$C$1501,CROQUIS_DATOS!$C$1505,CROQUIS_DATOS!$C$1509,CROQUIS_DATOS!$C$1513,CROQUIS_DATOS!$C$1517)=1,CROQUIS_DATOS!$C$1557,0),1)),2)=1,IF(MOD(MOD($A239-1,62)+1-2,2)=0,0,1),IF(MOD(MOD($A239-1,62)+1-2,2)=0,1,0))))=0,(CHOOSE(MIN(MAX(MIN(INT(($A239-1)/62)+1,5),1),5),CROQUIS_DATOS!$C$1499,CROQUIS_DATOS!$C$1503,CROQUIS_DATOS!$C$1507,CROQUIS_DATOS!$C$1511,CROQUIS_DATOS!$C$1515)+IF(CHOOSE(MIN(MAX(MIN(INT(($A239-1)/62)+1,5),1),5),CROQUIS_DATOS!$C$1501,CROQUIS_DATOS!$C$1505,CROQUIS_DATOS!$C$1509,CROQUIS_DATOS!$C$1513,CROQUIS_DATOS!$C$1517)=1,CROQUIS_DATOS!$C$1526,0)),(CHOOSE(MIN(MAX(MIN(INT(($A239-1)/62)+1,5),1),5),CROQUIS_DATOS!$C$1499,CROQUIS_DATOS!$C$1503,CROQUIS_DATOS!$C$1507,CROQUIS_DATOS!$C$1511,CROQUIS_DATOS!$C$1515)+CHOOSE(MIN(MAX(MIN(INT(($A239-1)/62)+1,5),1),5),CROQUIS_DATOS!$C$1500,CROQUIS_DATOS!$C$1504,CROQUIS_DATOS!$C$1508,CROQUIS_DATOS!$C$1512,CROQUIS_DATOS!$C$1516)-IF(CHOOSE(MIN(MAX(MIN(INT(($A239-1)/62)+1,5),1),5),CROQUIS_DATOS!$C$1501,CROQUIS_DATOS!$C$1505,CROQUIS_DATOS!$C$1509,CROQUIS_DATOS!$C$1513,CROQUIS_DATOS!$C$1517)=1,CROQUIS_DATOS!$C$1526,0))))*CROQUIS_DATOS!$C$1562),-1000)</f>
        <v>-1000</v>
      </c>
      <c r="Q239">
        <f>IF(AND(CROQUIS_DATOS!$C$1472=1,CROQUIS_DATOS!$C$1555=1),(CROQUIS_DATOS!$C$1564+(IF(OR(OR(MOD($A239-1,62)+1=1,IF(CHOOSE(MIN(MAX(MIN(INT(($A239-1)/62)+1,5),1),5),CROQUIS_DATOS!$C$1501,CROQUIS_DATOS!$C$1505,CROQUIS_DATOS!$C$1509,CROQUIS_DATOS!$C$1513,CROQUIS_DATOS!$C$1517)=1,CROQUIS_DATOS!$C$1557,0)=0),MOD($A239-1,62)+1&gt;2*IF(CHOOSE(MIN(MAX(MIN(INT(($A239-1)/62)+1,5),1),5),CROQUIS_DATOS!$C$1501,CROQUIS_DATOS!$C$1505,CROQUIS_DATOS!$C$1509,CROQUIS_DATOS!$C$1513,CROQUIS_DATOS!$C$1517)=1,CROQUIS_DATOS!$C$1557,0)+1),CROQUIS_DATOS!$C$1476,MIN(INT((MOD($A239-1,62)+1-2)/2)+1,MAX(IF(CHOOSE(MIN(MAX(MIN(INT(($A239-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39">
        <f>IF(AND(CROQUIS_DATOS!$C$1472=1,1),(CROQUIS_DATOS!$C$1563+(MIN(INT(($A239-1)/2)+1,CROQUIS_DATOS!$C$1558)*CROQUIS_DATOS!$C$1559)*CROQUIS_DATOS!$C$1562),-1000)</f>
        <v>82.2281167108753</v>
      </c>
      <c r="U239">
        <f>IF(AND(CROQUIS_DATOS!$C$1472=1,1),(CROQUIS_DATOS!$C$1564+(IF(INT(($A239-1)/2)+1&gt;CROQUIS_DATOS!$C$1558,IF(MOD(CROQUIS_DATOS!$C$1558,2)=1,CROQUIS_DATOS!$C$1476+CROQUIS_DATOS!$C$1528,CROQUIS_DATOS!$C$1476),IF(IF(MOD(MIN(INT(($A239-1)/2)+1,CROQUIS_DATOS!$C$1558),2)=1,MOD($A239-1,2),1-MOD($A239-1,2))=1,CROQUIS_DATOS!$C$1476+CROQUIS_DATOS!$C$1528,CROQUIS_DATOS!$C$1476)))*CROQUIS_DATOS!$C$1561*CROQUIS_DATOS!$C$1562),-1000)</f>
        <v>43</v>
      </c>
    </row>
    <row r="240">
      <c r="A240" t="n">
        <v>233</v>
      </c>
      <c r="N240">
        <f>IF(AND(CROQUIS_DATOS!$C$1472=1,1),(CROQUIS_DATOS!$C$1563+(IF(IF(IF(INT(($A240-1)/70)+1&gt;CROQUIS_DATOS!$C$1525,70,MOD($A240-1,70)+1)=1,0,IF(IF(INT(($A240-1)/70)+1&gt;CROQUIS_DATOS!$C$1525,70,MOD($A240-1,70)+1)&gt;2*CROQUIS_DATOS!$C$1541+1,IF(MOD(CROQUIS_DATOS!$C$1541,2)=1,1,0),IF(MOD(MIN(INT((IF(INT(($A240-1)/70)+1&gt;CROQUIS_DATOS!$C$1525,70,MOD($A240-1,70)+1)-2)/2)+1,CROQUIS_DATOS!$C$1541),2)=1,IF(MOD(IF(INT(($A240-1)/70)+1&gt;CROQUIS_DATOS!$C$1525,70,MOD($A240-1,70)+1)-2,2)=0,0,1),IF(MOD(IF(INT(($A240-1)/70)+1&gt;CROQUIS_DATOS!$C$1525,70,MOD($A240-1,70)+1)-2,2)=0,1,0))))=0,(INDEX($E$8:$E$23,MIN(INT(($A240-1)/70)+1,CROQUIS_DATOS!$C$1525))-INDEX($F$8:$F$23,MIN(INT(($A240-1)/70)+1,CROQUIS_DATOS!$C$1525))/2),(INDEX($E$8:$E$23,MIN(INT(($A240-1)/70)+1,CROQUIS_DATOS!$C$1525))+INDEX($F$8:$F$23,MIN(INT(($A240-1)/70)+1,CROQUIS_DATOS!$C$1525))/2)))*CROQUIS_DATOS!$C$1562),-1000)</f>
        <v>47.2068965517241</v>
      </c>
      <c r="O240">
        <f>IF(AND(CROQUIS_DATOS!$C$1472=1,1),(CROQUIS_DATOS!$C$1564+(IF(OR(IF(INT(($A240-1)/70)+1&gt;CROQUIS_DATOS!$C$1525,70,MOD($A240-1,70)+1)=1,IF(INT(($A240-1)/70)+1&gt;CROQUIS_DATOS!$C$1525,70,MOD($A240-1,70)+1)&gt;2*CROQUIS_DATOS!$C$1541+1),CROQUIS_DATOS!$C$1476,INDEX($H$8:$H$41,MIN(INT((IF(INT(($A240-1)/70)+1&gt;CROQUIS_DATOS!$C$1525,70,MOD($A240-1,70)+1)-2)/2)+1,CROQUIS_DATOS!$C$1541))))*CROQUIS_DATOS!$C$1561*CROQUIS_DATOS!$C$1562),-1000)</f>
        <v>26.823275862069</v>
      </c>
      <c r="P240">
        <f>IF(AND(CROQUIS_DATOS!$C$1472=1,CROQUIS_DATOS!$C$1555=1),(CROQUIS_DATOS!$C$1563+(IF(IF(OR(MOD($A240-1,62)+1=1,IF(CHOOSE(MIN(MAX(MIN(INT(($A240-1)/62)+1,5),1),5),CROQUIS_DATOS!$C$1501,CROQUIS_DATOS!$C$1505,CROQUIS_DATOS!$C$1509,CROQUIS_DATOS!$C$1513,CROQUIS_DATOS!$C$1517)=1,CROQUIS_DATOS!$C$1557,0)=0),0,IF(MOD($A240-1,62)+1&gt;2*IF(CHOOSE(MIN(MAX(MIN(INT(($A240-1)/62)+1,5),1),5),CROQUIS_DATOS!$C$1501,CROQUIS_DATOS!$C$1505,CROQUIS_DATOS!$C$1509,CROQUIS_DATOS!$C$1513,CROQUIS_DATOS!$C$1517)=1,CROQUIS_DATOS!$C$1557,0)+1,IF(MOD(IF(CHOOSE(MIN(MAX(MIN(INT(($A240-1)/62)+1,5),1),5),CROQUIS_DATOS!$C$1501,CROQUIS_DATOS!$C$1505,CROQUIS_DATOS!$C$1509,CROQUIS_DATOS!$C$1513,CROQUIS_DATOS!$C$1517)=1,CROQUIS_DATOS!$C$1557,0),2)=1,1,0),IF(MOD(MIN(INT((MOD($A240-1,62)+1-2)/2)+1,MAX(IF(CHOOSE(MIN(MAX(MIN(INT(($A240-1)/62)+1,5),1),5),CROQUIS_DATOS!$C$1501,CROQUIS_DATOS!$C$1505,CROQUIS_DATOS!$C$1509,CROQUIS_DATOS!$C$1513,CROQUIS_DATOS!$C$1517)=1,CROQUIS_DATOS!$C$1557,0),1)),2)=1,IF(MOD(MOD($A240-1,62)+1-2,2)=0,0,1),IF(MOD(MOD($A240-1,62)+1-2,2)=0,1,0))))=0,(CHOOSE(MIN(MAX(MIN(INT(($A240-1)/62)+1,5),1),5),CROQUIS_DATOS!$C$1499,CROQUIS_DATOS!$C$1503,CROQUIS_DATOS!$C$1507,CROQUIS_DATOS!$C$1511,CROQUIS_DATOS!$C$1515)+IF(CHOOSE(MIN(MAX(MIN(INT(($A240-1)/62)+1,5),1),5),CROQUIS_DATOS!$C$1501,CROQUIS_DATOS!$C$1505,CROQUIS_DATOS!$C$1509,CROQUIS_DATOS!$C$1513,CROQUIS_DATOS!$C$1517)=1,CROQUIS_DATOS!$C$1526,0)),(CHOOSE(MIN(MAX(MIN(INT(($A240-1)/62)+1,5),1),5),CROQUIS_DATOS!$C$1499,CROQUIS_DATOS!$C$1503,CROQUIS_DATOS!$C$1507,CROQUIS_DATOS!$C$1511,CROQUIS_DATOS!$C$1515)+CHOOSE(MIN(MAX(MIN(INT(($A240-1)/62)+1,5),1),5),CROQUIS_DATOS!$C$1500,CROQUIS_DATOS!$C$1504,CROQUIS_DATOS!$C$1508,CROQUIS_DATOS!$C$1512,CROQUIS_DATOS!$C$1516)-IF(CHOOSE(MIN(MAX(MIN(INT(($A240-1)/62)+1,5),1),5),CROQUIS_DATOS!$C$1501,CROQUIS_DATOS!$C$1505,CROQUIS_DATOS!$C$1509,CROQUIS_DATOS!$C$1513,CROQUIS_DATOS!$C$1517)=1,CROQUIS_DATOS!$C$1526,0))))*CROQUIS_DATOS!$C$1562),-1000)</f>
        <v>-1000</v>
      </c>
      <c r="Q240">
        <f>IF(AND(CROQUIS_DATOS!$C$1472=1,CROQUIS_DATOS!$C$1555=1),(CROQUIS_DATOS!$C$1564+(IF(OR(OR(MOD($A240-1,62)+1=1,IF(CHOOSE(MIN(MAX(MIN(INT(($A240-1)/62)+1,5),1),5),CROQUIS_DATOS!$C$1501,CROQUIS_DATOS!$C$1505,CROQUIS_DATOS!$C$1509,CROQUIS_DATOS!$C$1513,CROQUIS_DATOS!$C$1517)=1,CROQUIS_DATOS!$C$1557,0)=0),MOD($A240-1,62)+1&gt;2*IF(CHOOSE(MIN(MAX(MIN(INT(($A240-1)/62)+1,5),1),5),CROQUIS_DATOS!$C$1501,CROQUIS_DATOS!$C$1505,CROQUIS_DATOS!$C$1509,CROQUIS_DATOS!$C$1513,CROQUIS_DATOS!$C$1517)=1,CROQUIS_DATOS!$C$1557,0)+1),CROQUIS_DATOS!$C$1476,MIN(INT((MOD($A240-1,62)+1-2)/2)+1,MAX(IF(CHOOSE(MIN(MAX(MIN(INT(($A240-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0">
        <f>IF(AND(CROQUIS_DATOS!$C$1472=1,1),(CROQUIS_DATOS!$C$1563+(MIN(INT(($A240-1)/2)+1,CROQUIS_DATOS!$C$1558)*CROQUIS_DATOS!$C$1559)*CROQUIS_DATOS!$C$1562),-1000)</f>
        <v>82.2281167108753</v>
      </c>
      <c r="U240">
        <f>IF(AND(CROQUIS_DATOS!$C$1472=1,1),(CROQUIS_DATOS!$C$1564+(IF(INT(($A240-1)/2)+1&gt;CROQUIS_DATOS!$C$1558,IF(MOD(CROQUIS_DATOS!$C$1558,2)=1,CROQUIS_DATOS!$C$1476+CROQUIS_DATOS!$C$1528,CROQUIS_DATOS!$C$1476),IF(IF(MOD(MIN(INT(($A240-1)/2)+1,CROQUIS_DATOS!$C$1558),2)=1,MOD($A240-1,2),1-MOD($A240-1,2))=1,CROQUIS_DATOS!$C$1476+CROQUIS_DATOS!$C$1528,CROQUIS_DATOS!$C$1476)))*CROQUIS_DATOS!$C$1561*CROQUIS_DATOS!$C$1562),-1000)</f>
        <v>43</v>
      </c>
    </row>
    <row r="241">
      <c r="A241" t="n">
        <v>234</v>
      </c>
      <c r="N241">
        <f>IF(AND(CROQUIS_DATOS!$C$1472=1,1),(CROQUIS_DATOS!$C$1563+(IF(IF(IF(INT(($A241-1)/70)+1&gt;CROQUIS_DATOS!$C$1525,70,MOD($A241-1,70)+1)=1,0,IF(IF(INT(($A241-1)/70)+1&gt;CROQUIS_DATOS!$C$1525,70,MOD($A241-1,70)+1)&gt;2*CROQUIS_DATOS!$C$1541+1,IF(MOD(CROQUIS_DATOS!$C$1541,2)=1,1,0),IF(MOD(MIN(INT((IF(INT(($A241-1)/70)+1&gt;CROQUIS_DATOS!$C$1525,70,MOD($A241-1,70)+1)-2)/2)+1,CROQUIS_DATOS!$C$1541),2)=1,IF(MOD(IF(INT(($A241-1)/70)+1&gt;CROQUIS_DATOS!$C$1525,70,MOD($A241-1,70)+1)-2,2)=0,0,1),IF(MOD(IF(INT(($A241-1)/70)+1&gt;CROQUIS_DATOS!$C$1525,70,MOD($A241-1,70)+1)-2,2)=0,1,0))))=0,(INDEX($E$8:$E$23,MIN(INT(($A241-1)/70)+1,CROQUIS_DATOS!$C$1525))-INDEX($F$8:$F$23,MIN(INT(($A241-1)/70)+1,CROQUIS_DATOS!$C$1525))/2),(INDEX($E$8:$E$23,MIN(INT(($A241-1)/70)+1,CROQUIS_DATOS!$C$1525))+INDEX($F$8:$F$23,MIN(INT(($A241-1)/70)+1,CROQUIS_DATOS!$C$1525))/2)))*CROQUIS_DATOS!$C$1562),-1000)</f>
        <v>47.2068965517241</v>
      </c>
      <c r="O241">
        <f>IF(AND(CROQUIS_DATOS!$C$1472=1,1),(CROQUIS_DATOS!$C$1564+(IF(OR(IF(INT(($A241-1)/70)+1&gt;CROQUIS_DATOS!$C$1525,70,MOD($A241-1,70)+1)=1,IF(INT(($A241-1)/70)+1&gt;CROQUIS_DATOS!$C$1525,70,MOD($A241-1,70)+1)&gt;2*CROQUIS_DATOS!$C$1541+1),CROQUIS_DATOS!$C$1476,INDEX($H$8:$H$41,MIN(INT((IF(INT(($A241-1)/70)+1&gt;CROQUIS_DATOS!$C$1525,70,MOD($A241-1,70)+1)-2)/2)+1,CROQUIS_DATOS!$C$1541))))*CROQUIS_DATOS!$C$1561*CROQUIS_DATOS!$C$1562),-1000)</f>
        <v>29.5387931034483</v>
      </c>
      <c r="P241">
        <f>IF(AND(CROQUIS_DATOS!$C$1472=1,CROQUIS_DATOS!$C$1555=1),(CROQUIS_DATOS!$C$1563+(IF(IF(OR(MOD($A241-1,62)+1=1,IF(CHOOSE(MIN(MAX(MIN(INT(($A241-1)/62)+1,5),1),5),CROQUIS_DATOS!$C$1501,CROQUIS_DATOS!$C$1505,CROQUIS_DATOS!$C$1509,CROQUIS_DATOS!$C$1513,CROQUIS_DATOS!$C$1517)=1,CROQUIS_DATOS!$C$1557,0)=0),0,IF(MOD($A241-1,62)+1&gt;2*IF(CHOOSE(MIN(MAX(MIN(INT(($A241-1)/62)+1,5),1),5),CROQUIS_DATOS!$C$1501,CROQUIS_DATOS!$C$1505,CROQUIS_DATOS!$C$1509,CROQUIS_DATOS!$C$1513,CROQUIS_DATOS!$C$1517)=1,CROQUIS_DATOS!$C$1557,0)+1,IF(MOD(IF(CHOOSE(MIN(MAX(MIN(INT(($A241-1)/62)+1,5),1),5),CROQUIS_DATOS!$C$1501,CROQUIS_DATOS!$C$1505,CROQUIS_DATOS!$C$1509,CROQUIS_DATOS!$C$1513,CROQUIS_DATOS!$C$1517)=1,CROQUIS_DATOS!$C$1557,0),2)=1,1,0),IF(MOD(MIN(INT((MOD($A241-1,62)+1-2)/2)+1,MAX(IF(CHOOSE(MIN(MAX(MIN(INT(($A241-1)/62)+1,5),1),5),CROQUIS_DATOS!$C$1501,CROQUIS_DATOS!$C$1505,CROQUIS_DATOS!$C$1509,CROQUIS_DATOS!$C$1513,CROQUIS_DATOS!$C$1517)=1,CROQUIS_DATOS!$C$1557,0),1)),2)=1,IF(MOD(MOD($A241-1,62)+1-2,2)=0,0,1),IF(MOD(MOD($A241-1,62)+1-2,2)=0,1,0))))=0,(CHOOSE(MIN(MAX(MIN(INT(($A241-1)/62)+1,5),1),5),CROQUIS_DATOS!$C$1499,CROQUIS_DATOS!$C$1503,CROQUIS_DATOS!$C$1507,CROQUIS_DATOS!$C$1511,CROQUIS_DATOS!$C$1515)+IF(CHOOSE(MIN(MAX(MIN(INT(($A241-1)/62)+1,5),1),5),CROQUIS_DATOS!$C$1501,CROQUIS_DATOS!$C$1505,CROQUIS_DATOS!$C$1509,CROQUIS_DATOS!$C$1513,CROQUIS_DATOS!$C$1517)=1,CROQUIS_DATOS!$C$1526,0)),(CHOOSE(MIN(MAX(MIN(INT(($A241-1)/62)+1,5),1),5),CROQUIS_DATOS!$C$1499,CROQUIS_DATOS!$C$1503,CROQUIS_DATOS!$C$1507,CROQUIS_DATOS!$C$1511,CROQUIS_DATOS!$C$1515)+CHOOSE(MIN(MAX(MIN(INT(($A241-1)/62)+1,5),1),5),CROQUIS_DATOS!$C$1500,CROQUIS_DATOS!$C$1504,CROQUIS_DATOS!$C$1508,CROQUIS_DATOS!$C$1512,CROQUIS_DATOS!$C$1516)-IF(CHOOSE(MIN(MAX(MIN(INT(($A241-1)/62)+1,5),1),5),CROQUIS_DATOS!$C$1501,CROQUIS_DATOS!$C$1505,CROQUIS_DATOS!$C$1509,CROQUIS_DATOS!$C$1513,CROQUIS_DATOS!$C$1517)=1,CROQUIS_DATOS!$C$1526,0))))*CROQUIS_DATOS!$C$1562),-1000)</f>
        <v>-1000</v>
      </c>
      <c r="Q241">
        <f>IF(AND(CROQUIS_DATOS!$C$1472=1,CROQUIS_DATOS!$C$1555=1),(CROQUIS_DATOS!$C$1564+(IF(OR(OR(MOD($A241-1,62)+1=1,IF(CHOOSE(MIN(MAX(MIN(INT(($A241-1)/62)+1,5),1),5),CROQUIS_DATOS!$C$1501,CROQUIS_DATOS!$C$1505,CROQUIS_DATOS!$C$1509,CROQUIS_DATOS!$C$1513,CROQUIS_DATOS!$C$1517)=1,CROQUIS_DATOS!$C$1557,0)=0),MOD($A241-1,62)+1&gt;2*IF(CHOOSE(MIN(MAX(MIN(INT(($A241-1)/62)+1,5),1),5),CROQUIS_DATOS!$C$1501,CROQUIS_DATOS!$C$1505,CROQUIS_DATOS!$C$1509,CROQUIS_DATOS!$C$1513,CROQUIS_DATOS!$C$1517)=1,CROQUIS_DATOS!$C$1557,0)+1),CROQUIS_DATOS!$C$1476,MIN(INT((MOD($A241-1,62)+1-2)/2)+1,MAX(IF(CHOOSE(MIN(MAX(MIN(INT(($A241-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1">
        <f>IF(AND(CROQUIS_DATOS!$C$1472=1,1),(CROQUIS_DATOS!$C$1563+(MIN(INT(($A241-1)/2)+1,CROQUIS_DATOS!$C$1558)*CROQUIS_DATOS!$C$1559)*CROQUIS_DATOS!$C$1562),-1000)</f>
        <v>82.2281167108753</v>
      </c>
      <c r="U241">
        <f>IF(AND(CROQUIS_DATOS!$C$1472=1,1),(CROQUIS_DATOS!$C$1564+(IF(INT(($A241-1)/2)+1&gt;CROQUIS_DATOS!$C$1558,IF(MOD(CROQUIS_DATOS!$C$1558,2)=1,CROQUIS_DATOS!$C$1476+CROQUIS_DATOS!$C$1528,CROQUIS_DATOS!$C$1476),IF(IF(MOD(MIN(INT(($A241-1)/2)+1,CROQUIS_DATOS!$C$1558),2)=1,MOD($A241-1,2),1-MOD($A241-1,2))=1,CROQUIS_DATOS!$C$1476+CROQUIS_DATOS!$C$1528,CROQUIS_DATOS!$C$1476)))*CROQUIS_DATOS!$C$1561*CROQUIS_DATOS!$C$1562),-1000)</f>
        <v>43</v>
      </c>
    </row>
    <row r="242">
      <c r="A242" t="n">
        <v>235</v>
      </c>
      <c r="N242">
        <f>IF(AND(CROQUIS_DATOS!$C$1472=1,1),(CROQUIS_DATOS!$C$1563+(IF(IF(IF(INT(($A242-1)/70)+1&gt;CROQUIS_DATOS!$C$1525,70,MOD($A242-1,70)+1)=1,0,IF(IF(INT(($A242-1)/70)+1&gt;CROQUIS_DATOS!$C$1525,70,MOD($A242-1,70)+1)&gt;2*CROQUIS_DATOS!$C$1541+1,IF(MOD(CROQUIS_DATOS!$C$1541,2)=1,1,0),IF(MOD(MIN(INT((IF(INT(($A242-1)/70)+1&gt;CROQUIS_DATOS!$C$1525,70,MOD($A242-1,70)+1)-2)/2)+1,CROQUIS_DATOS!$C$1541),2)=1,IF(MOD(IF(INT(($A242-1)/70)+1&gt;CROQUIS_DATOS!$C$1525,70,MOD($A242-1,70)+1)-2,2)=0,0,1),IF(MOD(IF(INT(($A242-1)/70)+1&gt;CROQUIS_DATOS!$C$1525,70,MOD($A242-1,70)+1)-2,2)=0,1,0))))=0,(INDEX($E$8:$E$23,MIN(INT(($A242-1)/70)+1,CROQUIS_DATOS!$C$1525))-INDEX($F$8:$F$23,MIN(INT(($A242-1)/70)+1,CROQUIS_DATOS!$C$1525))/2),(INDEX($E$8:$E$23,MIN(INT(($A242-1)/70)+1,CROQUIS_DATOS!$C$1525))+INDEX($F$8:$F$23,MIN(INT(($A242-1)/70)+1,CROQUIS_DATOS!$C$1525))/2)))*CROQUIS_DATOS!$C$1562),-1000)</f>
        <v>45.1120689655172</v>
      </c>
      <c r="O242">
        <f>IF(AND(CROQUIS_DATOS!$C$1472=1,1),(CROQUIS_DATOS!$C$1564+(IF(OR(IF(INT(($A242-1)/70)+1&gt;CROQUIS_DATOS!$C$1525,70,MOD($A242-1,70)+1)=1,IF(INT(($A242-1)/70)+1&gt;CROQUIS_DATOS!$C$1525,70,MOD($A242-1,70)+1)&gt;2*CROQUIS_DATOS!$C$1541+1),CROQUIS_DATOS!$C$1476,INDEX($H$8:$H$41,MIN(INT((IF(INT(($A242-1)/70)+1&gt;CROQUIS_DATOS!$C$1525,70,MOD($A242-1,70)+1)-2)/2)+1,CROQUIS_DATOS!$C$1541))))*CROQUIS_DATOS!$C$1561*CROQUIS_DATOS!$C$1562),-1000)</f>
        <v>29.5387931034483</v>
      </c>
      <c r="P242">
        <f>IF(AND(CROQUIS_DATOS!$C$1472=1,CROQUIS_DATOS!$C$1555=1),(CROQUIS_DATOS!$C$1563+(IF(IF(OR(MOD($A242-1,62)+1=1,IF(CHOOSE(MIN(MAX(MIN(INT(($A242-1)/62)+1,5),1),5),CROQUIS_DATOS!$C$1501,CROQUIS_DATOS!$C$1505,CROQUIS_DATOS!$C$1509,CROQUIS_DATOS!$C$1513,CROQUIS_DATOS!$C$1517)=1,CROQUIS_DATOS!$C$1557,0)=0),0,IF(MOD($A242-1,62)+1&gt;2*IF(CHOOSE(MIN(MAX(MIN(INT(($A242-1)/62)+1,5),1),5),CROQUIS_DATOS!$C$1501,CROQUIS_DATOS!$C$1505,CROQUIS_DATOS!$C$1509,CROQUIS_DATOS!$C$1513,CROQUIS_DATOS!$C$1517)=1,CROQUIS_DATOS!$C$1557,0)+1,IF(MOD(IF(CHOOSE(MIN(MAX(MIN(INT(($A242-1)/62)+1,5),1),5),CROQUIS_DATOS!$C$1501,CROQUIS_DATOS!$C$1505,CROQUIS_DATOS!$C$1509,CROQUIS_DATOS!$C$1513,CROQUIS_DATOS!$C$1517)=1,CROQUIS_DATOS!$C$1557,0),2)=1,1,0),IF(MOD(MIN(INT((MOD($A242-1,62)+1-2)/2)+1,MAX(IF(CHOOSE(MIN(MAX(MIN(INT(($A242-1)/62)+1,5),1),5),CROQUIS_DATOS!$C$1501,CROQUIS_DATOS!$C$1505,CROQUIS_DATOS!$C$1509,CROQUIS_DATOS!$C$1513,CROQUIS_DATOS!$C$1517)=1,CROQUIS_DATOS!$C$1557,0),1)),2)=1,IF(MOD(MOD($A242-1,62)+1-2,2)=0,0,1),IF(MOD(MOD($A242-1,62)+1-2,2)=0,1,0))))=0,(CHOOSE(MIN(MAX(MIN(INT(($A242-1)/62)+1,5),1),5),CROQUIS_DATOS!$C$1499,CROQUIS_DATOS!$C$1503,CROQUIS_DATOS!$C$1507,CROQUIS_DATOS!$C$1511,CROQUIS_DATOS!$C$1515)+IF(CHOOSE(MIN(MAX(MIN(INT(($A242-1)/62)+1,5),1),5),CROQUIS_DATOS!$C$1501,CROQUIS_DATOS!$C$1505,CROQUIS_DATOS!$C$1509,CROQUIS_DATOS!$C$1513,CROQUIS_DATOS!$C$1517)=1,CROQUIS_DATOS!$C$1526,0)),(CHOOSE(MIN(MAX(MIN(INT(($A242-1)/62)+1,5),1),5),CROQUIS_DATOS!$C$1499,CROQUIS_DATOS!$C$1503,CROQUIS_DATOS!$C$1507,CROQUIS_DATOS!$C$1511,CROQUIS_DATOS!$C$1515)+CHOOSE(MIN(MAX(MIN(INT(($A242-1)/62)+1,5),1),5),CROQUIS_DATOS!$C$1500,CROQUIS_DATOS!$C$1504,CROQUIS_DATOS!$C$1508,CROQUIS_DATOS!$C$1512,CROQUIS_DATOS!$C$1516)-IF(CHOOSE(MIN(MAX(MIN(INT(($A242-1)/62)+1,5),1),5),CROQUIS_DATOS!$C$1501,CROQUIS_DATOS!$C$1505,CROQUIS_DATOS!$C$1509,CROQUIS_DATOS!$C$1513,CROQUIS_DATOS!$C$1517)=1,CROQUIS_DATOS!$C$1526,0))))*CROQUIS_DATOS!$C$1562),-1000)</f>
        <v>-1000</v>
      </c>
      <c r="Q242">
        <f>IF(AND(CROQUIS_DATOS!$C$1472=1,CROQUIS_DATOS!$C$1555=1),(CROQUIS_DATOS!$C$1564+(IF(OR(OR(MOD($A242-1,62)+1=1,IF(CHOOSE(MIN(MAX(MIN(INT(($A242-1)/62)+1,5),1),5),CROQUIS_DATOS!$C$1501,CROQUIS_DATOS!$C$1505,CROQUIS_DATOS!$C$1509,CROQUIS_DATOS!$C$1513,CROQUIS_DATOS!$C$1517)=1,CROQUIS_DATOS!$C$1557,0)=0),MOD($A242-1,62)+1&gt;2*IF(CHOOSE(MIN(MAX(MIN(INT(($A242-1)/62)+1,5),1),5),CROQUIS_DATOS!$C$1501,CROQUIS_DATOS!$C$1505,CROQUIS_DATOS!$C$1509,CROQUIS_DATOS!$C$1513,CROQUIS_DATOS!$C$1517)=1,CROQUIS_DATOS!$C$1557,0)+1),CROQUIS_DATOS!$C$1476,MIN(INT((MOD($A242-1,62)+1-2)/2)+1,MAX(IF(CHOOSE(MIN(MAX(MIN(INT(($A242-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2">
        <f>IF(AND(CROQUIS_DATOS!$C$1472=1,1),(CROQUIS_DATOS!$C$1563+(MIN(INT(($A242-1)/2)+1,CROQUIS_DATOS!$C$1558)*CROQUIS_DATOS!$C$1559)*CROQUIS_DATOS!$C$1562),-1000)</f>
        <v>82.2281167108753</v>
      </c>
      <c r="U242">
        <f>IF(AND(CROQUIS_DATOS!$C$1472=1,1),(CROQUIS_DATOS!$C$1564+(IF(INT(($A242-1)/2)+1&gt;CROQUIS_DATOS!$C$1558,IF(MOD(CROQUIS_DATOS!$C$1558,2)=1,CROQUIS_DATOS!$C$1476+CROQUIS_DATOS!$C$1528,CROQUIS_DATOS!$C$1476),IF(IF(MOD(MIN(INT(($A242-1)/2)+1,CROQUIS_DATOS!$C$1558),2)=1,MOD($A242-1,2),1-MOD($A242-1,2))=1,CROQUIS_DATOS!$C$1476+CROQUIS_DATOS!$C$1528,CROQUIS_DATOS!$C$1476)))*CROQUIS_DATOS!$C$1561*CROQUIS_DATOS!$C$1562),-1000)</f>
        <v>43</v>
      </c>
    </row>
    <row r="243">
      <c r="A243" t="n">
        <v>236</v>
      </c>
      <c r="N243">
        <f>IF(AND(CROQUIS_DATOS!$C$1472=1,1),(CROQUIS_DATOS!$C$1563+(IF(IF(IF(INT(($A243-1)/70)+1&gt;CROQUIS_DATOS!$C$1525,70,MOD($A243-1,70)+1)=1,0,IF(IF(INT(($A243-1)/70)+1&gt;CROQUIS_DATOS!$C$1525,70,MOD($A243-1,70)+1)&gt;2*CROQUIS_DATOS!$C$1541+1,IF(MOD(CROQUIS_DATOS!$C$1541,2)=1,1,0),IF(MOD(MIN(INT((IF(INT(($A243-1)/70)+1&gt;CROQUIS_DATOS!$C$1525,70,MOD($A243-1,70)+1)-2)/2)+1,CROQUIS_DATOS!$C$1541),2)=1,IF(MOD(IF(INT(($A243-1)/70)+1&gt;CROQUIS_DATOS!$C$1525,70,MOD($A243-1,70)+1)-2,2)=0,0,1),IF(MOD(IF(INT(($A243-1)/70)+1&gt;CROQUIS_DATOS!$C$1525,70,MOD($A243-1,70)+1)-2,2)=0,1,0))))=0,(INDEX($E$8:$E$23,MIN(INT(($A243-1)/70)+1,CROQUIS_DATOS!$C$1525))-INDEX($F$8:$F$23,MIN(INT(($A243-1)/70)+1,CROQUIS_DATOS!$C$1525))/2),(INDEX($E$8:$E$23,MIN(INT(($A243-1)/70)+1,CROQUIS_DATOS!$C$1525))+INDEX($F$8:$F$23,MIN(INT(($A243-1)/70)+1,CROQUIS_DATOS!$C$1525))/2)))*CROQUIS_DATOS!$C$1562),-1000)</f>
        <v>45.1120689655172</v>
      </c>
      <c r="O243">
        <f>IF(AND(CROQUIS_DATOS!$C$1472=1,1),(CROQUIS_DATOS!$C$1564+(IF(OR(IF(INT(($A243-1)/70)+1&gt;CROQUIS_DATOS!$C$1525,70,MOD($A243-1,70)+1)=1,IF(INT(($A243-1)/70)+1&gt;CROQUIS_DATOS!$C$1525,70,MOD($A243-1,70)+1)&gt;2*CROQUIS_DATOS!$C$1541+1),CROQUIS_DATOS!$C$1476,INDEX($H$8:$H$41,MIN(INT((IF(INT(($A243-1)/70)+1&gt;CROQUIS_DATOS!$C$1525,70,MOD($A243-1,70)+1)-2)/2)+1,CROQUIS_DATOS!$C$1541))))*CROQUIS_DATOS!$C$1561*CROQUIS_DATOS!$C$1562),-1000)</f>
        <v>32.2543103448276</v>
      </c>
      <c r="P243">
        <f>IF(AND(CROQUIS_DATOS!$C$1472=1,CROQUIS_DATOS!$C$1555=1),(CROQUIS_DATOS!$C$1563+(IF(IF(OR(MOD($A243-1,62)+1=1,IF(CHOOSE(MIN(MAX(MIN(INT(($A243-1)/62)+1,5),1),5),CROQUIS_DATOS!$C$1501,CROQUIS_DATOS!$C$1505,CROQUIS_DATOS!$C$1509,CROQUIS_DATOS!$C$1513,CROQUIS_DATOS!$C$1517)=1,CROQUIS_DATOS!$C$1557,0)=0),0,IF(MOD($A243-1,62)+1&gt;2*IF(CHOOSE(MIN(MAX(MIN(INT(($A243-1)/62)+1,5),1),5),CROQUIS_DATOS!$C$1501,CROQUIS_DATOS!$C$1505,CROQUIS_DATOS!$C$1509,CROQUIS_DATOS!$C$1513,CROQUIS_DATOS!$C$1517)=1,CROQUIS_DATOS!$C$1557,0)+1,IF(MOD(IF(CHOOSE(MIN(MAX(MIN(INT(($A243-1)/62)+1,5),1),5),CROQUIS_DATOS!$C$1501,CROQUIS_DATOS!$C$1505,CROQUIS_DATOS!$C$1509,CROQUIS_DATOS!$C$1513,CROQUIS_DATOS!$C$1517)=1,CROQUIS_DATOS!$C$1557,0),2)=1,1,0),IF(MOD(MIN(INT((MOD($A243-1,62)+1-2)/2)+1,MAX(IF(CHOOSE(MIN(MAX(MIN(INT(($A243-1)/62)+1,5),1),5),CROQUIS_DATOS!$C$1501,CROQUIS_DATOS!$C$1505,CROQUIS_DATOS!$C$1509,CROQUIS_DATOS!$C$1513,CROQUIS_DATOS!$C$1517)=1,CROQUIS_DATOS!$C$1557,0),1)),2)=1,IF(MOD(MOD($A243-1,62)+1-2,2)=0,0,1),IF(MOD(MOD($A243-1,62)+1-2,2)=0,1,0))))=0,(CHOOSE(MIN(MAX(MIN(INT(($A243-1)/62)+1,5),1),5),CROQUIS_DATOS!$C$1499,CROQUIS_DATOS!$C$1503,CROQUIS_DATOS!$C$1507,CROQUIS_DATOS!$C$1511,CROQUIS_DATOS!$C$1515)+IF(CHOOSE(MIN(MAX(MIN(INT(($A243-1)/62)+1,5),1),5),CROQUIS_DATOS!$C$1501,CROQUIS_DATOS!$C$1505,CROQUIS_DATOS!$C$1509,CROQUIS_DATOS!$C$1513,CROQUIS_DATOS!$C$1517)=1,CROQUIS_DATOS!$C$1526,0)),(CHOOSE(MIN(MAX(MIN(INT(($A243-1)/62)+1,5),1),5),CROQUIS_DATOS!$C$1499,CROQUIS_DATOS!$C$1503,CROQUIS_DATOS!$C$1507,CROQUIS_DATOS!$C$1511,CROQUIS_DATOS!$C$1515)+CHOOSE(MIN(MAX(MIN(INT(($A243-1)/62)+1,5),1),5),CROQUIS_DATOS!$C$1500,CROQUIS_DATOS!$C$1504,CROQUIS_DATOS!$C$1508,CROQUIS_DATOS!$C$1512,CROQUIS_DATOS!$C$1516)-IF(CHOOSE(MIN(MAX(MIN(INT(($A243-1)/62)+1,5),1),5),CROQUIS_DATOS!$C$1501,CROQUIS_DATOS!$C$1505,CROQUIS_DATOS!$C$1509,CROQUIS_DATOS!$C$1513,CROQUIS_DATOS!$C$1517)=1,CROQUIS_DATOS!$C$1526,0))))*CROQUIS_DATOS!$C$1562),-1000)</f>
        <v>-1000</v>
      </c>
      <c r="Q243">
        <f>IF(AND(CROQUIS_DATOS!$C$1472=1,CROQUIS_DATOS!$C$1555=1),(CROQUIS_DATOS!$C$1564+(IF(OR(OR(MOD($A243-1,62)+1=1,IF(CHOOSE(MIN(MAX(MIN(INT(($A243-1)/62)+1,5),1),5),CROQUIS_DATOS!$C$1501,CROQUIS_DATOS!$C$1505,CROQUIS_DATOS!$C$1509,CROQUIS_DATOS!$C$1513,CROQUIS_DATOS!$C$1517)=1,CROQUIS_DATOS!$C$1557,0)=0),MOD($A243-1,62)+1&gt;2*IF(CHOOSE(MIN(MAX(MIN(INT(($A243-1)/62)+1,5),1),5),CROQUIS_DATOS!$C$1501,CROQUIS_DATOS!$C$1505,CROQUIS_DATOS!$C$1509,CROQUIS_DATOS!$C$1513,CROQUIS_DATOS!$C$1517)=1,CROQUIS_DATOS!$C$1557,0)+1),CROQUIS_DATOS!$C$1476,MIN(INT((MOD($A243-1,62)+1-2)/2)+1,MAX(IF(CHOOSE(MIN(MAX(MIN(INT(($A243-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3">
        <f>IF(AND(CROQUIS_DATOS!$C$1472=1,1),(CROQUIS_DATOS!$C$1563+(MIN(INT(($A243-1)/2)+1,CROQUIS_DATOS!$C$1558)*CROQUIS_DATOS!$C$1559)*CROQUIS_DATOS!$C$1562),-1000)</f>
        <v>82.2281167108753</v>
      </c>
      <c r="U243">
        <f>IF(AND(CROQUIS_DATOS!$C$1472=1,1),(CROQUIS_DATOS!$C$1564+(IF(INT(($A243-1)/2)+1&gt;CROQUIS_DATOS!$C$1558,IF(MOD(CROQUIS_DATOS!$C$1558,2)=1,CROQUIS_DATOS!$C$1476+CROQUIS_DATOS!$C$1528,CROQUIS_DATOS!$C$1476),IF(IF(MOD(MIN(INT(($A243-1)/2)+1,CROQUIS_DATOS!$C$1558),2)=1,MOD($A243-1,2),1-MOD($A243-1,2))=1,CROQUIS_DATOS!$C$1476+CROQUIS_DATOS!$C$1528,CROQUIS_DATOS!$C$1476)))*CROQUIS_DATOS!$C$1561*CROQUIS_DATOS!$C$1562),-1000)</f>
        <v>43</v>
      </c>
    </row>
    <row r="244">
      <c r="A244" t="n">
        <v>237</v>
      </c>
      <c r="N244">
        <f>IF(AND(CROQUIS_DATOS!$C$1472=1,1),(CROQUIS_DATOS!$C$1563+(IF(IF(IF(INT(($A244-1)/70)+1&gt;CROQUIS_DATOS!$C$1525,70,MOD($A244-1,70)+1)=1,0,IF(IF(INT(($A244-1)/70)+1&gt;CROQUIS_DATOS!$C$1525,70,MOD($A244-1,70)+1)&gt;2*CROQUIS_DATOS!$C$1541+1,IF(MOD(CROQUIS_DATOS!$C$1541,2)=1,1,0),IF(MOD(MIN(INT((IF(INT(($A244-1)/70)+1&gt;CROQUIS_DATOS!$C$1525,70,MOD($A244-1,70)+1)-2)/2)+1,CROQUIS_DATOS!$C$1541),2)=1,IF(MOD(IF(INT(($A244-1)/70)+1&gt;CROQUIS_DATOS!$C$1525,70,MOD($A244-1,70)+1)-2,2)=0,0,1),IF(MOD(IF(INT(($A244-1)/70)+1&gt;CROQUIS_DATOS!$C$1525,70,MOD($A244-1,70)+1)-2,2)=0,1,0))))=0,(INDEX($E$8:$E$23,MIN(INT(($A244-1)/70)+1,CROQUIS_DATOS!$C$1525))-INDEX($F$8:$F$23,MIN(INT(($A244-1)/70)+1,CROQUIS_DATOS!$C$1525))/2),(INDEX($E$8:$E$23,MIN(INT(($A244-1)/70)+1,CROQUIS_DATOS!$C$1525))+INDEX($F$8:$F$23,MIN(INT(($A244-1)/70)+1,CROQUIS_DATOS!$C$1525))/2)))*CROQUIS_DATOS!$C$1562),-1000)</f>
        <v>47.2068965517241</v>
      </c>
      <c r="O244">
        <f>IF(AND(CROQUIS_DATOS!$C$1472=1,1),(CROQUIS_DATOS!$C$1564+(IF(OR(IF(INT(($A244-1)/70)+1&gt;CROQUIS_DATOS!$C$1525,70,MOD($A244-1,70)+1)=1,IF(INT(($A244-1)/70)+1&gt;CROQUIS_DATOS!$C$1525,70,MOD($A244-1,70)+1)&gt;2*CROQUIS_DATOS!$C$1541+1),CROQUIS_DATOS!$C$1476,INDEX($H$8:$H$41,MIN(INT((IF(INT(($A244-1)/70)+1&gt;CROQUIS_DATOS!$C$1525,70,MOD($A244-1,70)+1)-2)/2)+1,CROQUIS_DATOS!$C$1541))))*CROQUIS_DATOS!$C$1561*CROQUIS_DATOS!$C$1562),-1000)</f>
        <v>32.2543103448276</v>
      </c>
      <c r="P244">
        <f>IF(AND(CROQUIS_DATOS!$C$1472=1,CROQUIS_DATOS!$C$1555=1),(CROQUIS_DATOS!$C$1563+(IF(IF(OR(MOD($A244-1,62)+1=1,IF(CHOOSE(MIN(MAX(MIN(INT(($A244-1)/62)+1,5),1),5),CROQUIS_DATOS!$C$1501,CROQUIS_DATOS!$C$1505,CROQUIS_DATOS!$C$1509,CROQUIS_DATOS!$C$1513,CROQUIS_DATOS!$C$1517)=1,CROQUIS_DATOS!$C$1557,0)=0),0,IF(MOD($A244-1,62)+1&gt;2*IF(CHOOSE(MIN(MAX(MIN(INT(($A244-1)/62)+1,5),1),5),CROQUIS_DATOS!$C$1501,CROQUIS_DATOS!$C$1505,CROQUIS_DATOS!$C$1509,CROQUIS_DATOS!$C$1513,CROQUIS_DATOS!$C$1517)=1,CROQUIS_DATOS!$C$1557,0)+1,IF(MOD(IF(CHOOSE(MIN(MAX(MIN(INT(($A244-1)/62)+1,5),1),5),CROQUIS_DATOS!$C$1501,CROQUIS_DATOS!$C$1505,CROQUIS_DATOS!$C$1509,CROQUIS_DATOS!$C$1513,CROQUIS_DATOS!$C$1517)=1,CROQUIS_DATOS!$C$1557,0),2)=1,1,0),IF(MOD(MIN(INT((MOD($A244-1,62)+1-2)/2)+1,MAX(IF(CHOOSE(MIN(MAX(MIN(INT(($A244-1)/62)+1,5),1),5),CROQUIS_DATOS!$C$1501,CROQUIS_DATOS!$C$1505,CROQUIS_DATOS!$C$1509,CROQUIS_DATOS!$C$1513,CROQUIS_DATOS!$C$1517)=1,CROQUIS_DATOS!$C$1557,0),1)),2)=1,IF(MOD(MOD($A244-1,62)+1-2,2)=0,0,1),IF(MOD(MOD($A244-1,62)+1-2,2)=0,1,0))))=0,(CHOOSE(MIN(MAX(MIN(INT(($A244-1)/62)+1,5),1),5),CROQUIS_DATOS!$C$1499,CROQUIS_DATOS!$C$1503,CROQUIS_DATOS!$C$1507,CROQUIS_DATOS!$C$1511,CROQUIS_DATOS!$C$1515)+IF(CHOOSE(MIN(MAX(MIN(INT(($A244-1)/62)+1,5),1),5),CROQUIS_DATOS!$C$1501,CROQUIS_DATOS!$C$1505,CROQUIS_DATOS!$C$1509,CROQUIS_DATOS!$C$1513,CROQUIS_DATOS!$C$1517)=1,CROQUIS_DATOS!$C$1526,0)),(CHOOSE(MIN(MAX(MIN(INT(($A244-1)/62)+1,5),1),5),CROQUIS_DATOS!$C$1499,CROQUIS_DATOS!$C$1503,CROQUIS_DATOS!$C$1507,CROQUIS_DATOS!$C$1511,CROQUIS_DATOS!$C$1515)+CHOOSE(MIN(MAX(MIN(INT(($A244-1)/62)+1,5),1),5),CROQUIS_DATOS!$C$1500,CROQUIS_DATOS!$C$1504,CROQUIS_DATOS!$C$1508,CROQUIS_DATOS!$C$1512,CROQUIS_DATOS!$C$1516)-IF(CHOOSE(MIN(MAX(MIN(INT(($A244-1)/62)+1,5),1),5),CROQUIS_DATOS!$C$1501,CROQUIS_DATOS!$C$1505,CROQUIS_DATOS!$C$1509,CROQUIS_DATOS!$C$1513,CROQUIS_DATOS!$C$1517)=1,CROQUIS_DATOS!$C$1526,0))))*CROQUIS_DATOS!$C$1562),-1000)</f>
        <v>-1000</v>
      </c>
      <c r="Q244">
        <f>IF(AND(CROQUIS_DATOS!$C$1472=1,CROQUIS_DATOS!$C$1555=1),(CROQUIS_DATOS!$C$1564+(IF(OR(OR(MOD($A244-1,62)+1=1,IF(CHOOSE(MIN(MAX(MIN(INT(($A244-1)/62)+1,5),1),5),CROQUIS_DATOS!$C$1501,CROQUIS_DATOS!$C$1505,CROQUIS_DATOS!$C$1509,CROQUIS_DATOS!$C$1513,CROQUIS_DATOS!$C$1517)=1,CROQUIS_DATOS!$C$1557,0)=0),MOD($A244-1,62)+1&gt;2*IF(CHOOSE(MIN(MAX(MIN(INT(($A244-1)/62)+1,5),1),5),CROQUIS_DATOS!$C$1501,CROQUIS_DATOS!$C$1505,CROQUIS_DATOS!$C$1509,CROQUIS_DATOS!$C$1513,CROQUIS_DATOS!$C$1517)=1,CROQUIS_DATOS!$C$1557,0)+1),CROQUIS_DATOS!$C$1476,MIN(INT((MOD($A244-1,62)+1-2)/2)+1,MAX(IF(CHOOSE(MIN(MAX(MIN(INT(($A244-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4">
        <f>IF(AND(CROQUIS_DATOS!$C$1472=1,1),(CROQUIS_DATOS!$C$1563+(MIN(INT(($A244-1)/2)+1,CROQUIS_DATOS!$C$1558)*CROQUIS_DATOS!$C$1559)*CROQUIS_DATOS!$C$1562),-1000)</f>
        <v>82.2281167108753</v>
      </c>
      <c r="U244">
        <f>IF(AND(CROQUIS_DATOS!$C$1472=1,1),(CROQUIS_DATOS!$C$1564+(IF(INT(($A244-1)/2)+1&gt;CROQUIS_DATOS!$C$1558,IF(MOD(CROQUIS_DATOS!$C$1558,2)=1,CROQUIS_DATOS!$C$1476+CROQUIS_DATOS!$C$1528,CROQUIS_DATOS!$C$1476),IF(IF(MOD(MIN(INT(($A244-1)/2)+1,CROQUIS_DATOS!$C$1558),2)=1,MOD($A244-1,2),1-MOD($A244-1,2))=1,CROQUIS_DATOS!$C$1476+CROQUIS_DATOS!$C$1528,CROQUIS_DATOS!$C$1476)))*CROQUIS_DATOS!$C$1561*CROQUIS_DATOS!$C$1562),-1000)</f>
        <v>43</v>
      </c>
    </row>
    <row r="245">
      <c r="A245" t="n">
        <v>238</v>
      </c>
      <c r="N245">
        <f>IF(AND(CROQUIS_DATOS!$C$1472=1,1),(CROQUIS_DATOS!$C$1563+(IF(IF(IF(INT(($A245-1)/70)+1&gt;CROQUIS_DATOS!$C$1525,70,MOD($A245-1,70)+1)=1,0,IF(IF(INT(($A245-1)/70)+1&gt;CROQUIS_DATOS!$C$1525,70,MOD($A245-1,70)+1)&gt;2*CROQUIS_DATOS!$C$1541+1,IF(MOD(CROQUIS_DATOS!$C$1541,2)=1,1,0),IF(MOD(MIN(INT((IF(INT(($A245-1)/70)+1&gt;CROQUIS_DATOS!$C$1525,70,MOD($A245-1,70)+1)-2)/2)+1,CROQUIS_DATOS!$C$1541),2)=1,IF(MOD(IF(INT(($A245-1)/70)+1&gt;CROQUIS_DATOS!$C$1525,70,MOD($A245-1,70)+1)-2,2)=0,0,1),IF(MOD(IF(INT(($A245-1)/70)+1&gt;CROQUIS_DATOS!$C$1525,70,MOD($A245-1,70)+1)-2,2)=0,1,0))))=0,(INDEX($E$8:$E$23,MIN(INT(($A245-1)/70)+1,CROQUIS_DATOS!$C$1525))-INDEX($F$8:$F$23,MIN(INT(($A245-1)/70)+1,CROQUIS_DATOS!$C$1525))/2),(INDEX($E$8:$E$23,MIN(INT(($A245-1)/70)+1,CROQUIS_DATOS!$C$1525))+INDEX($F$8:$F$23,MIN(INT(($A245-1)/70)+1,CROQUIS_DATOS!$C$1525))/2)))*CROQUIS_DATOS!$C$1562),-1000)</f>
        <v>47.2068965517241</v>
      </c>
      <c r="O245">
        <f>IF(AND(CROQUIS_DATOS!$C$1472=1,1),(CROQUIS_DATOS!$C$1564+(IF(OR(IF(INT(($A245-1)/70)+1&gt;CROQUIS_DATOS!$C$1525,70,MOD($A245-1,70)+1)=1,IF(INT(($A245-1)/70)+1&gt;CROQUIS_DATOS!$C$1525,70,MOD($A245-1,70)+1)&gt;2*CROQUIS_DATOS!$C$1541+1),CROQUIS_DATOS!$C$1476,INDEX($H$8:$H$41,MIN(INT((IF(INT(($A245-1)/70)+1&gt;CROQUIS_DATOS!$C$1525,70,MOD($A245-1,70)+1)-2)/2)+1,CROQUIS_DATOS!$C$1541))))*CROQUIS_DATOS!$C$1561*CROQUIS_DATOS!$C$1562),-1000)</f>
        <v>34.9698275862069</v>
      </c>
      <c r="P245">
        <f>IF(AND(CROQUIS_DATOS!$C$1472=1,CROQUIS_DATOS!$C$1555=1),(CROQUIS_DATOS!$C$1563+(IF(IF(OR(MOD($A245-1,62)+1=1,IF(CHOOSE(MIN(MAX(MIN(INT(($A245-1)/62)+1,5),1),5),CROQUIS_DATOS!$C$1501,CROQUIS_DATOS!$C$1505,CROQUIS_DATOS!$C$1509,CROQUIS_DATOS!$C$1513,CROQUIS_DATOS!$C$1517)=1,CROQUIS_DATOS!$C$1557,0)=0),0,IF(MOD($A245-1,62)+1&gt;2*IF(CHOOSE(MIN(MAX(MIN(INT(($A245-1)/62)+1,5),1),5),CROQUIS_DATOS!$C$1501,CROQUIS_DATOS!$C$1505,CROQUIS_DATOS!$C$1509,CROQUIS_DATOS!$C$1513,CROQUIS_DATOS!$C$1517)=1,CROQUIS_DATOS!$C$1557,0)+1,IF(MOD(IF(CHOOSE(MIN(MAX(MIN(INT(($A245-1)/62)+1,5),1),5),CROQUIS_DATOS!$C$1501,CROQUIS_DATOS!$C$1505,CROQUIS_DATOS!$C$1509,CROQUIS_DATOS!$C$1513,CROQUIS_DATOS!$C$1517)=1,CROQUIS_DATOS!$C$1557,0),2)=1,1,0),IF(MOD(MIN(INT((MOD($A245-1,62)+1-2)/2)+1,MAX(IF(CHOOSE(MIN(MAX(MIN(INT(($A245-1)/62)+1,5),1),5),CROQUIS_DATOS!$C$1501,CROQUIS_DATOS!$C$1505,CROQUIS_DATOS!$C$1509,CROQUIS_DATOS!$C$1513,CROQUIS_DATOS!$C$1517)=1,CROQUIS_DATOS!$C$1557,0),1)),2)=1,IF(MOD(MOD($A245-1,62)+1-2,2)=0,0,1),IF(MOD(MOD($A245-1,62)+1-2,2)=0,1,0))))=0,(CHOOSE(MIN(MAX(MIN(INT(($A245-1)/62)+1,5),1),5),CROQUIS_DATOS!$C$1499,CROQUIS_DATOS!$C$1503,CROQUIS_DATOS!$C$1507,CROQUIS_DATOS!$C$1511,CROQUIS_DATOS!$C$1515)+IF(CHOOSE(MIN(MAX(MIN(INT(($A245-1)/62)+1,5),1),5),CROQUIS_DATOS!$C$1501,CROQUIS_DATOS!$C$1505,CROQUIS_DATOS!$C$1509,CROQUIS_DATOS!$C$1513,CROQUIS_DATOS!$C$1517)=1,CROQUIS_DATOS!$C$1526,0)),(CHOOSE(MIN(MAX(MIN(INT(($A245-1)/62)+1,5),1),5),CROQUIS_DATOS!$C$1499,CROQUIS_DATOS!$C$1503,CROQUIS_DATOS!$C$1507,CROQUIS_DATOS!$C$1511,CROQUIS_DATOS!$C$1515)+CHOOSE(MIN(MAX(MIN(INT(($A245-1)/62)+1,5),1),5),CROQUIS_DATOS!$C$1500,CROQUIS_DATOS!$C$1504,CROQUIS_DATOS!$C$1508,CROQUIS_DATOS!$C$1512,CROQUIS_DATOS!$C$1516)-IF(CHOOSE(MIN(MAX(MIN(INT(($A245-1)/62)+1,5),1),5),CROQUIS_DATOS!$C$1501,CROQUIS_DATOS!$C$1505,CROQUIS_DATOS!$C$1509,CROQUIS_DATOS!$C$1513,CROQUIS_DATOS!$C$1517)=1,CROQUIS_DATOS!$C$1526,0))))*CROQUIS_DATOS!$C$1562),-1000)</f>
        <v>-1000</v>
      </c>
      <c r="Q245">
        <f>IF(AND(CROQUIS_DATOS!$C$1472=1,CROQUIS_DATOS!$C$1555=1),(CROQUIS_DATOS!$C$1564+(IF(OR(OR(MOD($A245-1,62)+1=1,IF(CHOOSE(MIN(MAX(MIN(INT(($A245-1)/62)+1,5),1),5),CROQUIS_DATOS!$C$1501,CROQUIS_DATOS!$C$1505,CROQUIS_DATOS!$C$1509,CROQUIS_DATOS!$C$1513,CROQUIS_DATOS!$C$1517)=1,CROQUIS_DATOS!$C$1557,0)=0),MOD($A245-1,62)+1&gt;2*IF(CHOOSE(MIN(MAX(MIN(INT(($A245-1)/62)+1,5),1),5),CROQUIS_DATOS!$C$1501,CROQUIS_DATOS!$C$1505,CROQUIS_DATOS!$C$1509,CROQUIS_DATOS!$C$1513,CROQUIS_DATOS!$C$1517)=1,CROQUIS_DATOS!$C$1557,0)+1),CROQUIS_DATOS!$C$1476,MIN(INT((MOD($A245-1,62)+1-2)/2)+1,MAX(IF(CHOOSE(MIN(MAX(MIN(INT(($A245-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5">
        <f>IF(AND(CROQUIS_DATOS!$C$1472=1,1),(CROQUIS_DATOS!$C$1563+(MIN(INT(($A245-1)/2)+1,CROQUIS_DATOS!$C$1558)*CROQUIS_DATOS!$C$1559)*CROQUIS_DATOS!$C$1562),-1000)</f>
        <v>82.2281167108753</v>
      </c>
      <c r="U245">
        <f>IF(AND(CROQUIS_DATOS!$C$1472=1,1),(CROQUIS_DATOS!$C$1564+(IF(INT(($A245-1)/2)+1&gt;CROQUIS_DATOS!$C$1558,IF(MOD(CROQUIS_DATOS!$C$1558,2)=1,CROQUIS_DATOS!$C$1476+CROQUIS_DATOS!$C$1528,CROQUIS_DATOS!$C$1476),IF(IF(MOD(MIN(INT(($A245-1)/2)+1,CROQUIS_DATOS!$C$1558),2)=1,MOD($A245-1,2),1-MOD($A245-1,2))=1,CROQUIS_DATOS!$C$1476+CROQUIS_DATOS!$C$1528,CROQUIS_DATOS!$C$1476)))*CROQUIS_DATOS!$C$1561*CROQUIS_DATOS!$C$1562),-1000)</f>
        <v>43</v>
      </c>
    </row>
    <row r="246">
      <c r="A246" t="n">
        <v>239</v>
      </c>
      <c r="N246">
        <f>IF(AND(CROQUIS_DATOS!$C$1472=1,1),(CROQUIS_DATOS!$C$1563+(IF(IF(IF(INT(($A246-1)/70)+1&gt;CROQUIS_DATOS!$C$1525,70,MOD($A246-1,70)+1)=1,0,IF(IF(INT(($A246-1)/70)+1&gt;CROQUIS_DATOS!$C$1525,70,MOD($A246-1,70)+1)&gt;2*CROQUIS_DATOS!$C$1541+1,IF(MOD(CROQUIS_DATOS!$C$1541,2)=1,1,0),IF(MOD(MIN(INT((IF(INT(($A246-1)/70)+1&gt;CROQUIS_DATOS!$C$1525,70,MOD($A246-1,70)+1)-2)/2)+1,CROQUIS_DATOS!$C$1541),2)=1,IF(MOD(IF(INT(($A246-1)/70)+1&gt;CROQUIS_DATOS!$C$1525,70,MOD($A246-1,70)+1)-2,2)=0,0,1),IF(MOD(IF(INT(($A246-1)/70)+1&gt;CROQUIS_DATOS!$C$1525,70,MOD($A246-1,70)+1)-2,2)=0,1,0))))=0,(INDEX($E$8:$E$23,MIN(INT(($A246-1)/70)+1,CROQUIS_DATOS!$C$1525))-INDEX($F$8:$F$23,MIN(INT(($A246-1)/70)+1,CROQUIS_DATOS!$C$1525))/2),(INDEX($E$8:$E$23,MIN(INT(($A246-1)/70)+1,CROQUIS_DATOS!$C$1525))+INDEX($F$8:$F$23,MIN(INT(($A246-1)/70)+1,CROQUIS_DATOS!$C$1525))/2)))*CROQUIS_DATOS!$C$1562),-1000)</f>
        <v>45.1120689655172</v>
      </c>
      <c r="O246">
        <f>IF(AND(CROQUIS_DATOS!$C$1472=1,1),(CROQUIS_DATOS!$C$1564+(IF(OR(IF(INT(($A246-1)/70)+1&gt;CROQUIS_DATOS!$C$1525,70,MOD($A246-1,70)+1)=1,IF(INT(($A246-1)/70)+1&gt;CROQUIS_DATOS!$C$1525,70,MOD($A246-1,70)+1)&gt;2*CROQUIS_DATOS!$C$1541+1),CROQUIS_DATOS!$C$1476,INDEX($H$8:$H$41,MIN(INT((IF(INT(($A246-1)/70)+1&gt;CROQUIS_DATOS!$C$1525,70,MOD($A246-1,70)+1)-2)/2)+1,CROQUIS_DATOS!$C$1541))))*CROQUIS_DATOS!$C$1561*CROQUIS_DATOS!$C$1562),-1000)</f>
        <v>34.9698275862069</v>
      </c>
      <c r="P246">
        <f>IF(AND(CROQUIS_DATOS!$C$1472=1,CROQUIS_DATOS!$C$1555=1),(CROQUIS_DATOS!$C$1563+(IF(IF(OR(MOD($A246-1,62)+1=1,IF(CHOOSE(MIN(MAX(MIN(INT(($A246-1)/62)+1,5),1),5),CROQUIS_DATOS!$C$1501,CROQUIS_DATOS!$C$1505,CROQUIS_DATOS!$C$1509,CROQUIS_DATOS!$C$1513,CROQUIS_DATOS!$C$1517)=1,CROQUIS_DATOS!$C$1557,0)=0),0,IF(MOD($A246-1,62)+1&gt;2*IF(CHOOSE(MIN(MAX(MIN(INT(($A246-1)/62)+1,5),1),5),CROQUIS_DATOS!$C$1501,CROQUIS_DATOS!$C$1505,CROQUIS_DATOS!$C$1509,CROQUIS_DATOS!$C$1513,CROQUIS_DATOS!$C$1517)=1,CROQUIS_DATOS!$C$1557,0)+1,IF(MOD(IF(CHOOSE(MIN(MAX(MIN(INT(($A246-1)/62)+1,5),1),5),CROQUIS_DATOS!$C$1501,CROQUIS_DATOS!$C$1505,CROQUIS_DATOS!$C$1509,CROQUIS_DATOS!$C$1513,CROQUIS_DATOS!$C$1517)=1,CROQUIS_DATOS!$C$1557,0),2)=1,1,0),IF(MOD(MIN(INT((MOD($A246-1,62)+1-2)/2)+1,MAX(IF(CHOOSE(MIN(MAX(MIN(INT(($A246-1)/62)+1,5),1),5),CROQUIS_DATOS!$C$1501,CROQUIS_DATOS!$C$1505,CROQUIS_DATOS!$C$1509,CROQUIS_DATOS!$C$1513,CROQUIS_DATOS!$C$1517)=1,CROQUIS_DATOS!$C$1557,0),1)),2)=1,IF(MOD(MOD($A246-1,62)+1-2,2)=0,0,1),IF(MOD(MOD($A246-1,62)+1-2,2)=0,1,0))))=0,(CHOOSE(MIN(MAX(MIN(INT(($A246-1)/62)+1,5),1),5),CROQUIS_DATOS!$C$1499,CROQUIS_DATOS!$C$1503,CROQUIS_DATOS!$C$1507,CROQUIS_DATOS!$C$1511,CROQUIS_DATOS!$C$1515)+IF(CHOOSE(MIN(MAX(MIN(INT(($A246-1)/62)+1,5),1),5),CROQUIS_DATOS!$C$1501,CROQUIS_DATOS!$C$1505,CROQUIS_DATOS!$C$1509,CROQUIS_DATOS!$C$1513,CROQUIS_DATOS!$C$1517)=1,CROQUIS_DATOS!$C$1526,0)),(CHOOSE(MIN(MAX(MIN(INT(($A246-1)/62)+1,5),1),5),CROQUIS_DATOS!$C$1499,CROQUIS_DATOS!$C$1503,CROQUIS_DATOS!$C$1507,CROQUIS_DATOS!$C$1511,CROQUIS_DATOS!$C$1515)+CHOOSE(MIN(MAX(MIN(INT(($A246-1)/62)+1,5),1),5),CROQUIS_DATOS!$C$1500,CROQUIS_DATOS!$C$1504,CROQUIS_DATOS!$C$1508,CROQUIS_DATOS!$C$1512,CROQUIS_DATOS!$C$1516)-IF(CHOOSE(MIN(MAX(MIN(INT(($A246-1)/62)+1,5),1),5),CROQUIS_DATOS!$C$1501,CROQUIS_DATOS!$C$1505,CROQUIS_DATOS!$C$1509,CROQUIS_DATOS!$C$1513,CROQUIS_DATOS!$C$1517)=1,CROQUIS_DATOS!$C$1526,0))))*CROQUIS_DATOS!$C$1562),-1000)</f>
        <v>-1000</v>
      </c>
      <c r="Q246">
        <f>IF(AND(CROQUIS_DATOS!$C$1472=1,CROQUIS_DATOS!$C$1555=1),(CROQUIS_DATOS!$C$1564+(IF(OR(OR(MOD($A246-1,62)+1=1,IF(CHOOSE(MIN(MAX(MIN(INT(($A246-1)/62)+1,5),1),5),CROQUIS_DATOS!$C$1501,CROQUIS_DATOS!$C$1505,CROQUIS_DATOS!$C$1509,CROQUIS_DATOS!$C$1513,CROQUIS_DATOS!$C$1517)=1,CROQUIS_DATOS!$C$1557,0)=0),MOD($A246-1,62)+1&gt;2*IF(CHOOSE(MIN(MAX(MIN(INT(($A246-1)/62)+1,5),1),5),CROQUIS_DATOS!$C$1501,CROQUIS_DATOS!$C$1505,CROQUIS_DATOS!$C$1509,CROQUIS_DATOS!$C$1513,CROQUIS_DATOS!$C$1517)=1,CROQUIS_DATOS!$C$1557,0)+1),CROQUIS_DATOS!$C$1476,MIN(INT((MOD($A246-1,62)+1-2)/2)+1,MAX(IF(CHOOSE(MIN(MAX(MIN(INT(($A246-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6">
        <f>IF(AND(CROQUIS_DATOS!$C$1472=1,1),(CROQUIS_DATOS!$C$1563+(MIN(INT(($A246-1)/2)+1,CROQUIS_DATOS!$C$1558)*CROQUIS_DATOS!$C$1559)*CROQUIS_DATOS!$C$1562),-1000)</f>
        <v>82.2281167108753</v>
      </c>
      <c r="U246">
        <f>IF(AND(CROQUIS_DATOS!$C$1472=1,1),(CROQUIS_DATOS!$C$1564+(IF(INT(($A246-1)/2)+1&gt;CROQUIS_DATOS!$C$1558,IF(MOD(CROQUIS_DATOS!$C$1558,2)=1,CROQUIS_DATOS!$C$1476+CROQUIS_DATOS!$C$1528,CROQUIS_DATOS!$C$1476),IF(IF(MOD(MIN(INT(($A246-1)/2)+1,CROQUIS_DATOS!$C$1558),2)=1,MOD($A246-1,2),1-MOD($A246-1,2))=1,CROQUIS_DATOS!$C$1476+CROQUIS_DATOS!$C$1528,CROQUIS_DATOS!$C$1476)))*CROQUIS_DATOS!$C$1561*CROQUIS_DATOS!$C$1562),-1000)</f>
        <v>43</v>
      </c>
    </row>
    <row r="247">
      <c r="A247" t="n">
        <v>240</v>
      </c>
      <c r="N247">
        <f>IF(AND(CROQUIS_DATOS!$C$1472=1,1),(CROQUIS_DATOS!$C$1563+(IF(IF(IF(INT(($A247-1)/70)+1&gt;CROQUIS_DATOS!$C$1525,70,MOD($A247-1,70)+1)=1,0,IF(IF(INT(($A247-1)/70)+1&gt;CROQUIS_DATOS!$C$1525,70,MOD($A247-1,70)+1)&gt;2*CROQUIS_DATOS!$C$1541+1,IF(MOD(CROQUIS_DATOS!$C$1541,2)=1,1,0),IF(MOD(MIN(INT((IF(INT(($A247-1)/70)+1&gt;CROQUIS_DATOS!$C$1525,70,MOD($A247-1,70)+1)-2)/2)+1,CROQUIS_DATOS!$C$1541),2)=1,IF(MOD(IF(INT(($A247-1)/70)+1&gt;CROQUIS_DATOS!$C$1525,70,MOD($A247-1,70)+1)-2,2)=0,0,1),IF(MOD(IF(INT(($A247-1)/70)+1&gt;CROQUIS_DATOS!$C$1525,70,MOD($A247-1,70)+1)-2,2)=0,1,0))))=0,(INDEX($E$8:$E$23,MIN(INT(($A247-1)/70)+1,CROQUIS_DATOS!$C$1525))-INDEX($F$8:$F$23,MIN(INT(($A247-1)/70)+1,CROQUIS_DATOS!$C$1525))/2),(INDEX($E$8:$E$23,MIN(INT(($A247-1)/70)+1,CROQUIS_DATOS!$C$1525))+INDEX($F$8:$F$23,MIN(INT(($A247-1)/70)+1,CROQUIS_DATOS!$C$1525))/2)))*CROQUIS_DATOS!$C$1562),-1000)</f>
        <v>45.1120689655172</v>
      </c>
      <c r="O247">
        <f>IF(AND(CROQUIS_DATOS!$C$1472=1,1),(CROQUIS_DATOS!$C$1564+(IF(OR(IF(INT(($A247-1)/70)+1&gt;CROQUIS_DATOS!$C$1525,70,MOD($A247-1,70)+1)=1,IF(INT(($A247-1)/70)+1&gt;CROQUIS_DATOS!$C$1525,70,MOD($A247-1,70)+1)&gt;2*CROQUIS_DATOS!$C$1541+1),CROQUIS_DATOS!$C$1476,INDEX($H$8:$H$41,MIN(INT((IF(INT(($A247-1)/70)+1&gt;CROQUIS_DATOS!$C$1525,70,MOD($A247-1,70)+1)-2)/2)+1,CROQUIS_DATOS!$C$1541))))*CROQUIS_DATOS!$C$1561*CROQUIS_DATOS!$C$1562),-1000)</f>
        <v>36.0172413793104</v>
      </c>
      <c r="P247">
        <f>IF(AND(CROQUIS_DATOS!$C$1472=1,CROQUIS_DATOS!$C$1555=1),(CROQUIS_DATOS!$C$1563+(IF(IF(OR(MOD($A247-1,62)+1=1,IF(CHOOSE(MIN(MAX(MIN(INT(($A247-1)/62)+1,5),1),5),CROQUIS_DATOS!$C$1501,CROQUIS_DATOS!$C$1505,CROQUIS_DATOS!$C$1509,CROQUIS_DATOS!$C$1513,CROQUIS_DATOS!$C$1517)=1,CROQUIS_DATOS!$C$1557,0)=0),0,IF(MOD($A247-1,62)+1&gt;2*IF(CHOOSE(MIN(MAX(MIN(INT(($A247-1)/62)+1,5),1),5),CROQUIS_DATOS!$C$1501,CROQUIS_DATOS!$C$1505,CROQUIS_DATOS!$C$1509,CROQUIS_DATOS!$C$1513,CROQUIS_DATOS!$C$1517)=1,CROQUIS_DATOS!$C$1557,0)+1,IF(MOD(IF(CHOOSE(MIN(MAX(MIN(INT(($A247-1)/62)+1,5),1),5),CROQUIS_DATOS!$C$1501,CROQUIS_DATOS!$C$1505,CROQUIS_DATOS!$C$1509,CROQUIS_DATOS!$C$1513,CROQUIS_DATOS!$C$1517)=1,CROQUIS_DATOS!$C$1557,0),2)=1,1,0),IF(MOD(MIN(INT((MOD($A247-1,62)+1-2)/2)+1,MAX(IF(CHOOSE(MIN(MAX(MIN(INT(($A247-1)/62)+1,5),1),5),CROQUIS_DATOS!$C$1501,CROQUIS_DATOS!$C$1505,CROQUIS_DATOS!$C$1509,CROQUIS_DATOS!$C$1513,CROQUIS_DATOS!$C$1517)=1,CROQUIS_DATOS!$C$1557,0),1)),2)=1,IF(MOD(MOD($A247-1,62)+1-2,2)=0,0,1),IF(MOD(MOD($A247-1,62)+1-2,2)=0,1,0))))=0,(CHOOSE(MIN(MAX(MIN(INT(($A247-1)/62)+1,5),1),5),CROQUIS_DATOS!$C$1499,CROQUIS_DATOS!$C$1503,CROQUIS_DATOS!$C$1507,CROQUIS_DATOS!$C$1511,CROQUIS_DATOS!$C$1515)+IF(CHOOSE(MIN(MAX(MIN(INT(($A247-1)/62)+1,5),1),5),CROQUIS_DATOS!$C$1501,CROQUIS_DATOS!$C$1505,CROQUIS_DATOS!$C$1509,CROQUIS_DATOS!$C$1513,CROQUIS_DATOS!$C$1517)=1,CROQUIS_DATOS!$C$1526,0)),(CHOOSE(MIN(MAX(MIN(INT(($A247-1)/62)+1,5),1),5),CROQUIS_DATOS!$C$1499,CROQUIS_DATOS!$C$1503,CROQUIS_DATOS!$C$1507,CROQUIS_DATOS!$C$1511,CROQUIS_DATOS!$C$1515)+CHOOSE(MIN(MAX(MIN(INT(($A247-1)/62)+1,5),1),5),CROQUIS_DATOS!$C$1500,CROQUIS_DATOS!$C$1504,CROQUIS_DATOS!$C$1508,CROQUIS_DATOS!$C$1512,CROQUIS_DATOS!$C$1516)-IF(CHOOSE(MIN(MAX(MIN(INT(($A247-1)/62)+1,5),1),5),CROQUIS_DATOS!$C$1501,CROQUIS_DATOS!$C$1505,CROQUIS_DATOS!$C$1509,CROQUIS_DATOS!$C$1513,CROQUIS_DATOS!$C$1517)=1,CROQUIS_DATOS!$C$1526,0))))*CROQUIS_DATOS!$C$1562),-1000)</f>
        <v>-1000</v>
      </c>
      <c r="Q247">
        <f>IF(AND(CROQUIS_DATOS!$C$1472=1,CROQUIS_DATOS!$C$1555=1),(CROQUIS_DATOS!$C$1564+(IF(OR(OR(MOD($A247-1,62)+1=1,IF(CHOOSE(MIN(MAX(MIN(INT(($A247-1)/62)+1,5),1),5),CROQUIS_DATOS!$C$1501,CROQUIS_DATOS!$C$1505,CROQUIS_DATOS!$C$1509,CROQUIS_DATOS!$C$1513,CROQUIS_DATOS!$C$1517)=1,CROQUIS_DATOS!$C$1557,0)=0),MOD($A247-1,62)+1&gt;2*IF(CHOOSE(MIN(MAX(MIN(INT(($A247-1)/62)+1,5),1),5),CROQUIS_DATOS!$C$1501,CROQUIS_DATOS!$C$1505,CROQUIS_DATOS!$C$1509,CROQUIS_DATOS!$C$1513,CROQUIS_DATOS!$C$1517)=1,CROQUIS_DATOS!$C$1557,0)+1),CROQUIS_DATOS!$C$1476,MIN(INT((MOD($A247-1,62)+1-2)/2)+1,MAX(IF(CHOOSE(MIN(MAX(MIN(INT(($A247-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7">
        <f>IF(AND(CROQUIS_DATOS!$C$1472=1,1),(CROQUIS_DATOS!$C$1563+(MIN(INT(($A247-1)/2)+1,CROQUIS_DATOS!$C$1558)*CROQUIS_DATOS!$C$1559)*CROQUIS_DATOS!$C$1562),-1000)</f>
        <v>82.2281167108753</v>
      </c>
      <c r="U247">
        <f>IF(AND(CROQUIS_DATOS!$C$1472=1,1),(CROQUIS_DATOS!$C$1564+(IF(INT(($A247-1)/2)+1&gt;CROQUIS_DATOS!$C$1558,IF(MOD(CROQUIS_DATOS!$C$1558,2)=1,CROQUIS_DATOS!$C$1476+CROQUIS_DATOS!$C$1528,CROQUIS_DATOS!$C$1476),IF(IF(MOD(MIN(INT(($A247-1)/2)+1,CROQUIS_DATOS!$C$1558),2)=1,MOD($A247-1,2),1-MOD($A247-1,2))=1,CROQUIS_DATOS!$C$1476+CROQUIS_DATOS!$C$1528,CROQUIS_DATOS!$C$1476)))*CROQUIS_DATOS!$C$1561*CROQUIS_DATOS!$C$1562),-1000)</f>
        <v>43</v>
      </c>
    </row>
    <row r="248">
      <c r="A248" t="n">
        <v>241</v>
      </c>
      <c r="N248">
        <f>IF(AND(CROQUIS_DATOS!$C$1472=1,1),(CROQUIS_DATOS!$C$1563+(IF(IF(IF(INT(($A248-1)/70)+1&gt;CROQUIS_DATOS!$C$1525,70,MOD($A248-1,70)+1)=1,0,IF(IF(INT(($A248-1)/70)+1&gt;CROQUIS_DATOS!$C$1525,70,MOD($A248-1,70)+1)&gt;2*CROQUIS_DATOS!$C$1541+1,IF(MOD(CROQUIS_DATOS!$C$1541,2)=1,1,0),IF(MOD(MIN(INT((IF(INT(($A248-1)/70)+1&gt;CROQUIS_DATOS!$C$1525,70,MOD($A248-1,70)+1)-2)/2)+1,CROQUIS_DATOS!$C$1541),2)=1,IF(MOD(IF(INT(($A248-1)/70)+1&gt;CROQUIS_DATOS!$C$1525,70,MOD($A248-1,70)+1)-2,2)=0,0,1),IF(MOD(IF(INT(($A248-1)/70)+1&gt;CROQUIS_DATOS!$C$1525,70,MOD($A248-1,70)+1)-2,2)=0,1,0))))=0,(INDEX($E$8:$E$23,MIN(INT(($A248-1)/70)+1,CROQUIS_DATOS!$C$1525))-INDEX($F$8:$F$23,MIN(INT(($A248-1)/70)+1,CROQUIS_DATOS!$C$1525))/2),(INDEX($E$8:$E$23,MIN(INT(($A248-1)/70)+1,CROQUIS_DATOS!$C$1525))+INDEX($F$8:$F$23,MIN(INT(($A248-1)/70)+1,CROQUIS_DATOS!$C$1525))/2)))*CROQUIS_DATOS!$C$1562),-1000)</f>
        <v>47.2068965517241</v>
      </c>
      <c r="O248">
        <f>IF(AND(CROQUIS_DATOS!$C$1472=1,1),(CROQUIS_DATOS!$C$1564+(IF(OR(IF(INT(($A248-1)/70)+1&gt;CROQUIS_DATOS!$C$1525,70,MOD($A248-1,70)+1)=1,IF(INT(($A248-1)/70)+1&gt;CROQUIS_DATOS!$C$1525,70,MOD($A248-1,70)+1)&gt;2*CROQUIS_DATOS!$C$1541+1),CROQUIS_DATOS!$C$1476,INDEX($H$8:$H$41,MIN(INT((IF(INT(($A248-1)/70)+1&gt;CROQUIS_DATOS!$C$1525,70,MOD($A248-1,70)+1)-2)/2)+1,CROQUIS_DATOS!$C$1541))))*CROQUIS_DATOS!$C$1561*CROQUIS_DATOS!$C$1562),-1000)</f>
        <v>36.0172413793104</v>
      </c>
      <c r="P248">
        <f>IF(AND(CROQUIS_DATOS!$C$1472=1,CROQUIS_DATOS!$C$1555=1),(CROQUIS_DATOS!$C$1563+(IF(IF(OR(MOD($A248-1,62)+1=1,IF(CHOOSE(MIN(MAX(MIN(INT(($A248-1)/62)+1,5),1),5),CROQUIS_DATOS!$C$1501,CROQUIS_DATOS!$C$1505,CROQUIS_DATOS!$C$1509,CROQUIS_DATOS!$C$1513,CROQUIS_DATOS!$C$1517)=1,CROQUIS_DATOS!$C$1557,0)=0),0,IF(MOD($A248-1,62)+1&gt;2*IF(CHOOSE(MIN(MAX(MIN(INT(($A248-1)/62)+1,5),1),5),CROQUIS_DATOS!$C$1501,CROQUIS_DATOS!$C$1505,CROQUIS_DATOS!$C$1509,CROQUIS_DATOS!$C$1513,CROQUIS_DATOS!$C$1517)=1,CROQUIS_DATOS!$C$1557,0)+1,IF(MOD(IF(CHOOSE(MIN(MAX(MIN(INT(($A248-1)/62)+1,5),1),5),CROQUIS_DATOS!$C$1501,CROQUIS_DATOS!$C$1505,CROQUIS_DATOS!$C$1509,CROQUIS_DATOS!$C$1513,CROQUIS_DATOS!$C$1517)=1,CROQUIS_DATOS!$C$1557,0),2)=1,1,0),IF(MOD(MIN(INT((MOD($A248-1,62)+1-2)/2)+1,MAX(IF(CHOOSE(MIN(MAX(MIN(INT(($A248-1)/62)+1,5),1),5),CROQUIS_DATOS!$C$1501,CROQUIS_DATOS!$C$1505,CROQUIS_DATOS!$C$1509,CROQUIS_DATOS!$C$1513,CROQUIS_DATOS!$C$1517)=1,CROQUIS_DATOS!$C$1557,0),1)),2)=1,IF(MOD(MOD($A248-1,62)+1-2,2)=0,0,1),IF(MOD(MOD($A248-1,62)+1-2,2)=0,1,0))))=0,(CHOOSE(MIN(MAX(MIN(INT(($A248-1)/62)+1,5),1),5),CROQUIS_DATOS!$C$1499,CROQUIS_DATOS!$C$1503,CROQUIS_DATOS!$C$1507,CROQUIS_DATOS!$C$1511,CROQUIS_DATOS!$C$1515)+IF(CHOOSE(MIN(MAX(MIN(INT(($A248-1)/62)+1,5),1),5),CROQUIS_DATOS!$C$1501,CROQUIS_DATOS!$C$1505,CROQUIS_DATOS!$C$1509,CROQUIS_DATOS!$C$1513,CROQUIS_DATOS!$C$1517)=1,CROQUIS_DATOS!$C$1526,0)),(CHOOSE(MIN(MAX(MIN(INT(($A248-1)/62)+1,5),1),5),CROQUIS_DATOS!$C$1499,CROQUIS_DATOS!$C$1503,CROQUIS_DATOS!$C$1507,CROQUIS_DATOS!$C$1511,CROQUIS_DATOS!$C$1515)+CHOOSE(MIN(MAX(MIN(INT(($A248-1)/62)+1,5),1),5),CROQUIS_DATOS!$C$1500,CROQUIS_DATOS!$C$1504,CROQUIS_DATOS!$C$1508,CROQUIS_DATOS!$C$1512,CROQUIS_DATOS!$C$1516)-IF(CHOOSE(MIN(MAX(MIN(INT(($A248-1)/62)+1,5),1),5),CROQUIS_DATOS!$C$1501,CROQUIS_DATOS!$C$1505,CROQUIS_DATOS!$C$1509,CROQUIS_DATOS!$C$1513,CROQUIS_DATOS!$C$1517)=1,CROQUIS_DATOS!$C$1526,0))))*CROQUIS_DATOS!$C$1562),-1000)</f>
        <v>-1000</v>
      </c>
      <c r="Q248">
        <f>IF(AND(CROQUIS_DATOS!$C$1472=1,CROQUIS_DATOS!$C$1555=1),(CROQUIS_DATOS!$C$1564+(IF(OR(OR(MOD($A248-1,62)+1=1,IF(CHOOSE(MIN(MAX(MIN(INT(($A248-1)/62)+1,5),1),5),CROQUIS_DATOS!$C$1501,CROQUIS_DATOS!$C$1505,CROQUIS_DATOS!$C$1509,CROQUIS_DATOS!$C$1513,CROQUIS_DATOS!$C$1517)=1,CROQUIS_DATOS!$C$1557,0)=0),MOD($A248-1,62)+1&gt;2*IF(CHOOSE(MIN(MAX(MIN(INT(($A248-1)/62)+1,5),1),5),CROQUIS_DATOS!$C$1501,CROQUIS_DATOS!$C$1505,CROQUIS_DATOS!$C$1509,CROQUIS_DATOS!$C$1513,CROQUIS_DATOS!$C$1517)=1,CROQUIS_DATOS!$C$1557,0)+1),CROQUIS_DATOS!$C$1476,MIN(INT((MOD($A248-1,62)+1-2)/2)+1,MAX(IF(CHOOSE(MIN(MAX(MIN(INT(($A248-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8">
        <f>IF(AND(CROQUIS_DATOS!$C$1472=1,1),(CROQUIS_DATOS!$C$1563+(MIN(INT(($A248-1)/2)+1,CROQUIS_DATOS!$C$1558)*CROQUIS_DATOS!$C$1559)*CROQUIS_DATOS!$C$1562),-1000)</f>
        <v>82.2281167108753</v>
      </c>
      <c r="U248">
        <f>IF(AND(CROQUIS_DATOS!$C$1472=1,1),(CROQUIS_DATOS!$C$1564+(IF(INT(($A248-1)/2)+1&gt;CROQUIS_DATOS!$C$1558,IF(MOD(CROQUIS_DATOS!$C$1558,2)=1,CROQUIS_DATOS!$C$1476+CROQUIS_DATOS!$C$1528,CROQUIS_DATOS!$C$1476),IF(IF(MOD(MIN(INT(($A248-1)/2)+1,CROQUIS_DATOS!$C$1558),2)=1,MOD($A248-1,2),1-MOD($A248-1,2))=1,CROQUIS_DATOS!$C$1476+CROQUIS_DATOS!$C$1528,CROQUIS_DATOS!$C$1476)))*CROQUIS_DATOS!$C$1561*CROQUIS_DATOS!$C$1562),-1000)</f>
        <v>43</v>
      </c>
    </row>
    <row r="249">
      <c r="A249" t="n">
        <v>242</v>
      </c>
      <c r="N249">
        <f>IF(AND(CROQUIS_DATOS!$C$1472=1,1),(CROQUIS_DATOS!$C$1563+(IF(IF(IF(INT(($A249-1)/70)+1&gt;CROQUIS_DATOS!$C$1525,70,MOD($A249-1,70)+1)=1,0,IF(IF(INT(($A249-1)/70)+1&gt;CROQUIS_DATOS!$C$1525,70,MOD($A249-1,70)+1)&gt;2*CROQUIS_DATOS!$C$1541+1,IF(MOD(CROQUIS_DATOS!$C$1541,2)=1,1,0),IF(MOD(MIN(INT((IF(INT(($A249-1)/70)+1&gt;CROQUIS_DATOS!$C$1525,70,MOD($A249-1,70)+1)-2)/2)+1,CROQUIS_DATOS!$C$1541),2)=1,IF(MOD(IF(INT(($A249-1)/70)+1&gt;CROQUIS_DATOS!$C$1525,70,MOD($A249-1,70)+1)-2,2)=0,0,1),IF(MOD(IF(INT(($A249-1)/70)+1&gt;CROQUIS_DATOS!$C$1525,70,MOD($A249-1,70)+1)-2,2)=0,1,0))))=0,(INDEX($E$8:$E$23,MIN(INT(($A249-1)/70)+1,CROQUIS_DATOS!$C$1525))-INDEX($F$8:$F$23,MIN(INT(($A249-1)/70)+1,CROQUIS_DATOS!$C$1525))/2),(INDEX($E$8:$E$23,MIN(INT(($A249-1)/70)+1,CROQUIS_DATOS!$C$1525))+INDEX($F$8:$F$23,MIN(INT(($A249-1)/70)+1,CROQUIS_DATOS!$C$1525))/2)))*CROQUIS_DATOS!$C$1562),-1000)</f>
        <v>47.2068965517241</v>
      </c>
      <c r="O249">
        <f>IF(AND(CROQUIS_DATOS!$C$1472=1,1),(CROQUIS_DATOS!$C$1564+(IF(OR(IF(INT(($A249-1)/70)+1&gt;CROQUIS_DATOS!$C$1525,70,MOD($A249-1,70)+1)=1,IF(INT(($A249-1)/70)+1&gt;CROQUIS_DATOS!$C$1525,70,MOD($A249-1,70)+1)&gt;2*CROQUIS_DATOS!$C$1541+1),CROQUIS_DATOS!$C$1476,INDEX($H$8:$H$41,MIN(INT((IF(INT(($A249-1)/70)+1&gt;CROQUIS_DATOS!$C$1525,70,MOD($A249-1,70)+1)-2)/2)+1,CROQUIS_DATOS!$C$1541))))*CROQUIS_DATOS!$C$1561*CROQUIS_DATOS!$C$1562),-1000)</f>
        <v>37.0646551724138</v>
      </c>
      <c r="P249">
        <f>IF(AND(CROQUIS_DATOS!$C$1472=1,CROQUIS_DATOS!$C$1555=1),(CROQUIS_DATOS!$C$1563+(IF(IF(OR(MOD($A249-1,62)+1=1,IF(CHOOSE(MIN(MAX(MIN(INT(($A249-1)/62)+1,5),1),5),CROQUIS_DATOS!$C$1501,CROQUIS_DATOS!$C$1505,CROQUIS_DATOS!$C$1509,CROQUIS_DATOS!$C$1513,CROQUIS_DATOS!$C$1517)=1,CROQUIS_DATOS!$C$1557,0)=0),0,IF(MOD($A249-1,62)+1&gt;2*IF(CHOOSE(MIN(MAX(MIN(INT(($A249-1)/62)+1,5),1),5),CROQUIS_DATOS!$C$1501,CROQUIS_DATOS!$C$1505,CROQUIS_DATOS!$C$1509,CROQUIS_DATOS!$C$1513,CROQUIS_DATOS!$C$1517)=1,CROQUIS_DATOS!$C$1557,0)+1,IF(MOD(IF(CHOOSE(MIN(MAX(MIN(INT(($A249-1)/62)+1,5),1),5),CROQUIS_DATOS!$C$1501,CROQUIS_DATOS!$C$1505,CROQUIS_DATOS!$C$1509,CROQUIS_DATOS!$C$1513,CROQUIS_DATOS!$C$1517)=1,CROQUIS_DATOS!$C$1557,0),2)=1,1,0),IF(MOD(MIN(INT((MOD($A249-1,62)+1-2)/2)+1,MAX(IF(CHOOSE(MIN(MAX(MIN(INT(($A249-1)/62)+1,5),1),5),CROQUIS_DATOS!$C$1501,CROQUIS_DATOS!$C$1505,CROQUIS_DATOS!$C$1509,CROQUIS_DATOS!$C$1513,CROQUIS_DATOS!$C$1517)=1,CROQUIS_DATOS!$C$1557,0),1)),2)=1,IF(MOD(MOD($A249-1,62)+1-2,2)=0,0,1),IF(MOD(MOD($A249-1,62)+1-2,2)=0,1,0))))=0,(CHOOSE(MIN(MAX(MIN(INT(($A249-1)/62)+1,5),1),5),CROQUIS_DATOS!$C$1499,CROQUIS_DATOS!$C$1503,CROQUIS_DATOS!$C$1507,CROQUIS_DATOS!$C$1511,CROQUIS_DATOS!$C$1515)+IF(CHOOSE(MIN(MAX(MIN(INT(($A249-1)/62)+1,5),1),5),CROQUIS_DATOS!$C$1501,CROQUIS_DATOS!$C$1505,CROQUIS_DATOS!$C$1509,CROQUIS_DATOS!$C$1513,CROQUIS_DATOS!$C$1517)=1,CROQUIS_DATOS!$C$1526,0)),(CHOOSE(MIN(MAX(MIN(INT(($A249-1)/62)+1,5),1),5),CROQUIS_DATOS!$C$1499,CROQUIS_DATOS!$C$1503,CROQUIS_DATOS!$C$1507,CROQUIS_DATOS!$C$1511,CROQUIS_DATOS!$C$1515)+CHOOSE(MIN(MAX(MIN(INT(($A249-1)/62)+1,5),1),5),CROQUIS_DATOS!$C$1500,CROQUIS_DATOS!$C$1504,CROQUIS_DATOS!$C$1508,CROQUIS_DATOS!$C$1512,CROQUIS_DATOS!$C$1516)-IF(CHOOSE(MIN(MAX(MIN(INT(($A249-1)/62)+1,5),1),5),CROQUIS_DATOS!$C$1501,CROQUIS_DATOS!$C$1505,CROQUIS_DATOS!$C$1509,CROQUIS_DATOS!$C$1513,CROQUIS_DATOS!$C$1517)=1,CROQUIS_DATOS!$C$1526,0))))*CROQUIS_DATOS!$C$1562),-1000)</f>
        <v>-1000</v>
      </c>
      <c r="Q249">
        <f>IF(AND(CROQUIS_DATOS!$C$1472=1,CROQUIS_DATOS!$C$1555=1),(CROQUIS_DATOS!$C$1564+(IF(OR(OR(MOD($A249-1,62)+1=1,IF(CHOOSE(MIN(MAX(MIN(INT(($A249-1)/62)+1,5),1),5),CROQUIS_DATOS!$C$1501,CROQUIS_DATOS!$C$1505,CROQUIS_DATOS!$C$1509,CROQUIS_DATOS!$C$1513,CROQUIS_DATOS!$C$1517)=1,CROQUIS_DATOS!$C$1557,0)=0),MOD($A249-1,62)+1&gt;2*IF(CHOOSE(MIN(MAX(MIN(INT(($A249-1)/62)+1,5),1),5),CROQUIS_DATOS!$C$1501,CROQUIS_DATOS!$C$1505,CROQUIS_DATOS!$C$1509,CROQUIS_DATOS!$C$1513,CROQUIS_DATOS!$C$1517)=1,CROQUIS_DATOS!$C$1557,0)+1),CROQUIS_DATOS!$C$1476,MIN(INT((MOD($A249-1,62)+1-2)/2)+1,MAX(IF(CHOOSE(MIN(MAX(MIN(INT(($A249-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49">
        <f>IF(AND(CROQUIS_DATOS!$C$1472=1,1),(CROQUIS_DATOS!$C$1563+(MIN(INT(($A249-1)/2)+1,CROQUIS_DATOS!$C$1558)*CROQUIS_DATOS!$C$1559)*CROQUIS_DATOS!$C$1562),-1000)</f>
        <v>82.2281167108753</v>
      </c>
      <c r="U249">
        <f>IF(AND(CROQUIS_DATOS!$C$1472=1,1),(CROQUIS_DATOS!$C$1564+(IF(INT(($A249-1)/2)+1&gt;CROQUIS_DATOS!$C$1558,IF(MOD(CROQUIS_DATOS!$C$1558,2)=1,CROQUIS_DATOS!$C$1476+CROQUIS_DATOS!$C$1528,CROQUIS_DATOS!$C$1476),IF(IF(MOD(MIN(INT(($A249-1)/2)+1,CROQUIS_DATOS!$C$1558),2)=1,MOD($A249-1,2),1-MOD($A249-1,2))=1,CROQUIS_DATOS!$C$1476+CROQUIS_DATOS!$C$1528,CROQUIS_DATOS!$C$1476)))*CROQUIS_DATOS!$C$1561*CROQUIS_DATOS!$C$1562),-1000)</f>
        <v>43</v>
      </c>
    </row>
    <row r="250">
      <c r="A250" t="n">
        <v>243</v>
      </c>
      <c r="N250">
        <f>IF(AND(CROQUIS_DATOS!$C$1472=1,1),(CROQUIS_DATOS!$C$1563+(IF(IF(IF(INT(($A250-1)/70)+1&gt;CROQUIS_DATOS!$C$1525,70,MOD($A250-1,70)+1)=1,0,IF(IF(INT(($A250-1)/70)+1&gt;CROQUIS_DATOS!$C$1525,70,MOD($A250-1,70)+1)&gt;2*CROQUIS_DATOS!$C$1541+1,IF(MOD(CROQUIS_DATOS!$C$1541,2)=1,1,0),IF(MOD(MIN(INT((IF(INT(($A250-1)/70)+1&gt;CROQUIS_DATOS!$C$1525,70,MOD($A250-1,70)+1)-2)/2)+1,CROQUIS_DATOS!$C$1541),2)=1,IF(MOD(IF(INT(($A250-1)/70)+1&gt;CROQUIS_DATOS!$C$1525,70,MOD($A250-1,70)+1)-2,2)=0,0,1),IF(MOD(IF(INT(($A250-1)/70)+1&gt;CROQUIS_DATOS!$C$1525,70,MOD($A250-1,70)+1)-2,2)=0,1,0))))=0,(INDEX($E$8:$E$23,MIN(INT(($A250-1)/70)+1,CROQUIS_DATOS!$C$1525))-INDEX($F$8:$F$23,MIN(INT(($A250-1)/70)+1,CROQUIS_DATOS!$C$1525))/2),(INDEX($E$8:$E$23,MIN(INT(($A250-1)/70)+1,CROQUIS_DATOS!$C$1525))+INDEX($F$8:$F$23,MIN(INT(($A250-1)/70)+1,CROQUIS_DATOS!$C$1525))/2)))*CROQUIS_DATOS!$C$1562),-1000)</f>
        <v>45.1120689655172</v>
      </c>
      <c r="O250">
        <f>IF(AND(CROQUIS_DATOS!$C$1472=1,1),(CROQUIS_DATOS!$C$1564+(IF(OR(IF(INT(($A250-1)/70)+1&gt;CROQUIS_DATOS!$C$1525,70,MOD($A250-1,70)+1)=1,IF(INT(($A250-1)/70)+1&gt;CROQUIS_DATOS!$C$1525,70,MOD($A250-1,70)+1)&gt;2*CROQUIS_DATOS!$C$1541+1),CROQUIS_DATOS!$C$1476,INDEX($H$8:$H$41,MIN(INT((IF(INT(($A250-1)/70)+1&gt;CROQUIS_DATOS!$C$1525,70,MOD($A250-1,70)+1)-2)/2)+1,CROQUIS_DATOS!$C$1541))))*CROQUIS_DATOS!$C$1561*CROQUIS_DATOS!$C$1562),-1000)</f>
        <v>37.0646551724138</v>
      </c>
      <c r="P250">
        <f>IF(AND(CROQUIS_DATOS!$C$1472=1,CROQUIS_DATOS!$C$1555=1),(CROQUIS_DATOS!$C$1563+(IF(IF(OR(MOD($A250-1,62)+1=1,IF(CHOOSE(MIN(MAX(MIN(INT(($A250-1)/62)+1,5),1),5),CROQUIS_DATOS!$C$1501,CROQUIS_DATOS!$C$1505,CROQUIS_DATOS!$C$1509,CROQUIS_DATOS!$C$1513,CROQUIS_DATOS!$C$1517)=1,CROQUIS_DATOS!$C$1557,0)=0),0,IF(MOD($A250-1,62)+1&gt;2*IF(CHOOSE(MIN(MAX(MIN(INT(($A250-1)/62)+1,5),1),5),CROQUIS_DATOS!$C$1501,CROQUIS_DATOS!$C$1505,CROQUIS_DATOS!$C$1509,CROQUIS_DATOS!$C$1513,CROQUIS_DATOS!$C$1517)=1,CROQUIS_DATOS!$C$1557,0)+1,IF(MOD(IF(CHOOSE(MIN(MAX(MIN(INT(($A250-1)/62)+1,5),1),5),CROQUIS_DATOS!$C$1501,CROQUIS_DATOS!$C$1505,CROQUIS_DATOS!$C$1509,CROQUIS_DATOS!$C$1513,CROQUIS_DATOS!$C$1517)=1,CROQUIS_DATOS!$C$1557,0),2)=1,1,0),IF(MOD(MIN(INT((MOD($A250-1,62)+1-2)/2)+1,MAX(IF(CHOOSE(MIN(MAX(MIN(INT(($A250-1)/62)+1,5),1),5),CROQUIS_DATOS!$C$1501,CROQUIS_DATOS!$C$1505,CROQUIS_DATOS!$C$1509,CROQUIS_DATOS!$C$1513,CROQUIS_DATOS!$C$1517)=1,CROQUIS_DATOS!$C$1557,0),1)),2)=1,IF(MOD(MOD($A250-1,62)+1-2,2)=0,0,1),IF(MOD(MOD($A250-1,62)+1-2,2)=0,1,0))))=0,(CHOOSE(MIN(MAX(MIN(INT(($A250-1)/62)+1,5),1),5),CROQUIS_DATOS!$C$1499,CROQUIS_DATOS!$C$1503,CROQUIS_DATOS!$C$1507,CROQUIS_DATOS!$C$1511,CROQUIS_DATOS!$C$1515)+IF(CHOOSE(MIN(MAX(MIN(INT(($A250-1)/62)+1,5),1),5),CROQUIS_DATOS!$C$1501,CROQUIS_DATOS!$C$1505,CROQUIS_DATOS!$C$1509,CROQUIS_DATOS!$C$1513,CROQUIS_DATOS!$C$1517)=1,CROQUIS_DATOS!$C$1526,0)),(CHOOSE(MIN(MAX(MIN(INT(($A250-1)/62)+1,5),1),5),CROQUIS_DATOS!$C$1499,CROQUIS_DATOS!$C$1503,CROQUIS_DATOS!$C$1507,CROQUIS_DATOS!$C$1511,CROQUIS_DATOS!$C$1515)+CHOOSE(MIN(MAX(MIN(INT(($A250-1)/62)+1,5),1),5),CROQUIS_DATOS!$C$1500,CROQUIS_DATOS!$C$1504,CROQUIS_DATOS!$C$1508,CROQUIS_DATOS!$C$1512,CROQUIS_DATOS!$C$1516)-IF(CHOOSE(MIN(MAX(MIN(INT(($A250-1)/62)+1,5),1),5),CROQUIS_DATOS!$C$1501,CROQUIS_DATOS!$C$1505,CROQUIS_DATOS!$C$1509,CROQUIS_DATOS!$C$1513,CROQUIS_DATOS!$C$1517)=1,CROQUIS_DATOS!$C$1526,0))))*CROQUIS_DATOS!$C$1562),-1000)</f>
        <v>-1000</v>
      </c>
      <c r="Q250">
        <f>IF(AND(CROQUIS_DATOS!$C$1472=1,CROQUIS_DATOS!$C$1555=1),(CROQUIS_DATOS!$C$1564+(IF(OR(OR(MOD($A250-1,62)+1=1,IF(CHOOSE(MIN(MAX(MIN(INT(($A250-1)/62)+1,5),1),5),CROQUIS_DATOS!$C$1501,CROQUIS_DATOS!$C$1505,CROQUIS_DATOS!$C$1509,CROQUIS_DATOS!$C$1513,CROQUIS_DATOS!$C$1517)=1,CROQUIS_DATOS!$C$1557,0)=0),MOD($A250-1,62)+1&gt;2*IF(CHOOSE(MIN(MAX(MIN(INT(($A250-1)/62)+1,5),1),5),CROQUIS_DATOS!$C$1501,CROQUIS_DATOS!$C$1505,CROQUIS_DATOS!$C$1509,CROQUIS_DATOS!$C$1513,CROQUIS_DATOS!$C$1517)=1,CROQUIS_DATOS!$C$1557,0)+1),CROQUIS_DATOS!$C$1476,MIN(INT((MOD($A250-1,62)+1-2)/2)+1,MAX(IF(CHOOSE(MIN(MAX(MIN(INT(($A250-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0">
        <f>IF(AND(CROQUIS_DATOS!$C$1472=1,1),(CROQUIS_DATOS!$C$1563+(MIN(INT(($A250-1)/2)+1,CROQUIS_DATOS!$C$1558)*CROQUIS_DATOS!$C$1559)*CROQUIS_DATOS!$C$1562),-1000)</f>
        <v>82.2281167108753</v>
      </c>
      <c r="U250">
        <f>IF(AND(CROQUIS_DATOS!$C$1472=1,1),(CROQUIS_DATOS!$C$1564+(IF(INT(($A250-1)/2)+1&gt;CROQUIS_DATOS!$C$1558,IF(MOD(CROQUIS_DATOS!$C$1558,2)=1,CROQUIS_DATOS!$C$1476+CROQUIS_DATOS!$C$1528,CROQUIS_DATOS!$C$1476),IF(IF(MOD(MIN(INT(($A250-1)/2)+1,CROQUIS_DATOS!$C$1558),2)=1,MOD($A250-1,2),1-MOD($A250-1,2))=1,CROQUIS_DATOS!$C$1476+CROQUIS_DATOS!$C$1528,CROQUIS_DATOS!$C$1476)))*CROQUIS_DATOS!$C$1561*CROQUIS_DATOS!$C$1562),-1000)</f>
        <v>43</v>
      </c>
    </row>
    <row r="251">
      <c r="A251" t="n">
        <v>244</v>
      </c>
      <c r="N251">
        <f>IF(AND(CROQUIS_DATOS!$C$1472=1,1),(CROQUIS_DATOS!$C$1563+(IF(IF(IF(INT(($A251-1)/70)+1&gt;CROQUIS_DATOS!$C$1525,70,MOD($A251-1,70)+1)=1,0,IF(IF(INT(($A251-1)/70)+1&gt;CROQUIS_DATOS!$C$1525,70,MOD($A251-1,70)+1)&gt;2*CROQUIS_DATOS!$C$1541+1,IF(MOD(CROQUIS_DATOS!$C$1541,2)=1,1,0),IF(MOD(MIN(INT((IF(INT(($A251-1)/70)+1&gt;CROQUIS_DATOS!$C$1525,70,MOD($A251-1,70)+1)-2)/2)+1,CROQUIS_DATOS!$C$1541),2)=1,IF(MOD(IF(INT(($A251-1)/70)+1&gt;CROQUIS_DATOS!$C$1525,70,MOD($A251-1,70)+1)-2,2)=0,0,1),IF(MOD(IF(INT(($A251-1)/70)+1&gt;CROQUIS_DATOS!$C$1525,70,MOD($A251-1,70)+1)-2,2)=0,1,0))))=0,(INDEX($E$8:$E$23,MIN(INT(($A251-1)/70)+1,CROQUIS_DATOS!$C$1525))-INDEX($F$8:$F$23,MIN(INT(($A251-1)/70)+1,CROQUIS_DATOS!$C$1525))/2),(INDEX($E$8:$E$23,MIN(INT(($A251-1)/70)+1,CROQUIS_DATOS!$C$1525))+INDEX($F$8:$F$23,MIN(INT(($A251-1)/70)+1,CROQUIS_DATOS!$C$1525))/2)))*CROQUIS_DATOS!$C$1562),-1000)</f>
        <v>45.1120689655172</v>
      </c>
      <c r="O251">
        <f>IF(AND(CROQUIS_DATOS!$C$1472=1,1),(CROQUIS_DATOS!$C$1564+(IF(OR(IF(INT(($A251-1)/70)+1&gt;CROQUIS_DATOS!$C$1525,70,MOD($A251-1,70)+1)=1,IF(INT(($A251-1)/70)+1&gt;CROQUIS_DATOS!$C$1525,70,MOD($A251-1,70)+1)&gt;2*CROQUIS_DATOS!$C$1541+1),CROQUIS_DATOS!$C$1476,INDEX($H$8:$H$41,MIN(INT((IF(INT(($A251-1)/70)+1&gt;CROQUIS_DATOS!$C$1525,70,MOD($A251-1,70)+1)-2)/2)+1,CROQUIS_DATOS!$C$1541))))*CROQUIS_DATOS!$C$1561*CROQUIS_DATOS!$C$1562),-1000)</f>
        <v>38.1120689655172</v>
      </c>
      <c r="P251">
        <f>IF(AND(CROQUIS_DATOS!$C$1472=1,CROQUIS_DATOS!$C$1555=1),(CROQUIS_DATOS!$C$1563+(IF(IF(OR(MOD($A251-1,62)+1=1,IF(CHOOSE(MIN(MAX(MIN(INT(($A251-1)/62)+1,5),1),5),CROQUIS_DATOS!$C$1501,CROQUIS_DATOS!$C$1505,CROQUIS_DATOS!$C$1509,CROQUIS_DATOS!$C$1513,CROQUIS_DATOS!$C$1517)=1,CROQUIS_DATOS!$C$1557,0)=0),0,IF(MOD($A251-1,62)+1&gt;2*IF(CHOOSE(MIN(MAX(MIN(INT(($A251-1)/62)+1,5),1),5),CROQUIS_DATOS!$C$1501,CROQUIS_DATOS!$C$1505,CROQUIS_DATOS!$C$1509,CROQUIS_DATOS!$C$1513,CROQUIS_DATOS!$C$1517)=1,CROQUIS_DATOS!$C$1557,0)+1,IF(MOD(IF(CHOOSE(MIN(MAX(MIN(INT(($A251-1)/62)+1,5),1),5),CROQUIS_DATOS!$C$1501,CROQUIS_DATOS!$C$1505,CROQUIS_DATOS!$C$1509,CROQUIS_DATOS!$C$1513,CROQUIS_DATOS!$C$1517)=1,CROQUIS_DATOS!$C$1557,0),2)=1,1,0),IF(MOD(MIN(INT((MOD($A251-1,62)+1-2)/2)+1,MAX(IF(CHOOSE(MIN(MAX(MIN(INT(($A251-1)/62)+1,5),1),5),CROQUIS_DATOS!$C$1501,CROQUIS_DATOS!$C$1505,CROQUIS_DATOS!$C$1509,CROQUIS_DATOS!$C$1513,CROQUIS_DATOS!$C$1517)=1,CROQUIS_DATOS!$C$1557,0),1)),2)=1,IF(MOD(MOD($A251-1,62)+1-2,2)=0,0,1),IF(MOD(MOD($A251-1,62)+1-2,2)=0,1,0))))=0,(CHOOSE(MIN(MAX(MIN(INT(($A251-1)/62)+1,5),1),5),CROQUIS_DATOS!$C$1499,CROQUIS_DATOS!$C$1503,CROQUIS_DATOS!$C$1507,CROQUIS_DATOS!$C$1511,CROQUIS_DATOS!$C$1515)+IF(CHOOSE(MIN(MAX(MIN(INT(($A251-1)/62)+1,5),1),5),CROQUIS_DATOS!$C$1501,CROQUIS_DATOS!$C$1505,CROQUIS_DATOS!$C$1509,CROQUIS_DATOS!$C$1513,CROQUIS_DATOS!$C$1517)=1,CROQUIS_DATOS!$C$1526,0)),(CHOOSE(MIN(MAX(MIN(INT(($A251-1)/62)+1,5),1),5),CROQUIS_DATOS!$C$1499,CROQUIS_DATOS!$C$1503,CROQUIS_DATOS!$C$1507,CROQUIS_DATOS!$C$1511,CROQUIS_DATOS!$C$1515)+CHOOSE(MIN(MAX(MIN(INT(($A251-1)/62)+1,5),1),5),CROQUIS_DATOS!$C$1500,CROQUIS_DATOS!$C$1504,CROQUIS_DATOS!$C$1508,CROQUIS_DATOS!$C$1512,CROQUIS_DATOS!$C$1516)-IF(CHOOSE(MIN(MAX(MIN(INT(($A251-1)/62)+1,5),1),5),CROQUIS_DATOS!$C$1501,CROQUIS_DATOS!$C$1505,CROQUIS_DATOS!$C$1509,CROQUIS_DATOS!$C$1513,CROQUIS_DATOS!$C$1517)=1,CROQUIS_DATOS!$C$1526,0))))*CROQUIS_DATOS!$C$1562),-1000)</f>
        <v>-1000</v>
      </c>
      <c r="Q251">
        <f>IF(AND(CROQUIS_DATOS!$C$1472=1,CROQUIS_DATOS!$C$1555=1),(CROQUIS_DATOS!$C$1564+(IF(OR(OR(MOD($A251-1,62)+1=1,IF(CHOOSE(MIN(MAX(MIN(INT(($A251-1)/62)+1,5),1),5),CROQUIS_DATOS!$C$1501,CROQUIS_DATOS!$C$1505,CROQUIS_DATOS!$C$1509,CROQUIS_DATOS!$C$1513,CROQUIS_DATOS!$C$1517)=1,CROQUIS_DATOS!$C$1557,0)=0),MOD($A251-1,62)+1&gt;2*IF(CHOOSE(MIN(MAX(MIN(INT(($A251-1)/62)+1,5),1),5),CROQUIS_DATOS!$C$1501,CROQUIS_DATOS!$C$1505,CROQUIS_DATOS!$C$1509,CROQUIS_DATOS!$C$1513,CROQUIS_DATOS!$C$1517)=1,CROQUIS_DATOS!$C$1557,0)+1),CROQUIS_DATOS!$C$1476,MIN(INT((MOD($A251-1,62)+1-2)/2)+1,MAX(IF(CHOOSE(MIN(MAX(MIN(INT(($A251-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1">
        <f>IF(AND(CROQUIS_DATOS!$C$1472=1,1),(CROQUIS_DATOS!$C$1563+(MIN(INT(($A251-1)/2)+1,CROQUIS_DATOS!$C$1558)*CROQUIS_DATOS!$C$1559)*CROQUIS_DATOS!$C$1562),-1000)</f>
        <v>82.2281167108753</v>
      </c>
      <c r="U251">
        <f>IF(AND(CROQUIS_DATOS!$C$1472=1,1),(CROQUIS_DATOS!$C$1564+(IF(INT(($A251-1)/2)+1&gt;CROQUIS_DATOS!$C$1558,IF(MOD(CROQUIS_DATOS!$C$1558,2)=1,CROQUIS_DATOS!$C$1476+CROQUIS_DATOS!$C$1528,CROQUIS_DATOS!$C$1476),IF(IF(MOD(MIN(INT(($A251-1)/2)+1,CROQUIS_DATOS!$C$1558),2)=1,MOD($A251-1,2),1-MOD($A251-1,2))=1,CROQUIS_DATOS!$C$1476+CROQUIS_DATOS!$C$1528,CROQUIS_DATOS!$C$1476)))*CROQUIS_DATOS!$C$1561*CROQUIS_DATOS!$C$1562),-1000)</f>
        <v>43</v>
      </c>
    </row>
    <row r="252">
      <c r="A252" t="n">
        <v>245</v>
      </c>
      <c r="N252">
        <f>IF(AND(CROQUIS_DATOS!$C$1472=1,1),(CROQUIS_DATOS!$C$1563+(IF(IF(IF(INT(($A252-1)/70)+1&gt;CROQUIS_DATOS!$C$1525,70,MOD($A252-1,70)+1)=1,0,IF(IF(INT(($A252-1)/70)+1&gt;CROQUIS_DATOS!$C$1525,70,MOD($A252-1,70)+1)&gt;2*CROQUIS_DATOS!$C$1541+1,IF(MOD(CROQUIS_DATOS!$C$1541,2)=1,1,0),IF(MOD(MIN(INT((IF(INT(($A252-1)/70)+1&gt;CROQUIS_DATOS!$C$1525,70,MOD($A252-1,70)+1)-2)/2)+1,CROQUIS_DATOS!$C$1541),2)=1,IF(MOD(IF(INT(($A252-1)/70)+1&gt;CROQUIS_DATOS!$C$1525,70,MOD($A252-1,70)+1)-2,2)=0,0,1),IF(MOD(IF(INT(($A252-1)/70)+1&gt;CROQUIS_DATOS!$C$1525,70,MOD($A252-1,70)+1)-2,2)=0,1,0))))=0,(INDEX($E$8:$E$23,MIN(INT(($A252-1)/70)+1,CROQUIS_DATOS!$C$1525))-INDEX($F$8:$F$23,MIN(INT(($A252-1)/70)+1,CROQUIS_DATOS!$C$1525))/2),(INDEX($E$8:$E$23,MIN(INT(($A252-1)/70)+1,CROQUIS_DATOS!$C$1525))+INDEX($F$8:$F$23,MIN(INT(($A252-1)/70)+1,CROQUIS_DATOS!$C$1525))/2)))*CROQUIS_DATOS!$C$1562),-1000)</f>
        <v>47.2068965517241</v>
      </c>
      <c r="O252">
        <f>IF(AND(CROQUIS_DATOS!$C$1472=1,1),(CROQUIS_DATOS!$C$1564+(IF(OR(IF(INT(($A252-1)/70)+1&gt;CROQUIS_DATOS!$C$1525,70,MOD($A252-1,70)+1)=1,IF(INT(($A252-1)/70)+1&gt;CROQUIS_DATOS!$C$1525,70,MOD($A252-1,70)+1)&gt;2*CROQUIS_DATOS!$C$1541+1),CROQUIS_DATOS!$C$1476,INDEX($H$8:$H$41,MIN(INT((IF(INT(($A252-1)/70)+1&gt;CROQUIS_DATOS!$C$1525,70,MOD($A252-1,70)+1)-2)/2)+1,CROQUIS_DATOS!$C$1541))))*CROQUIS_DATOS!$C$1561*CROQUIS_DATOS!$C$1562),-1000)</f>
        <v>38.1120689655172</v>
      </c>
      <c r="P252">
        <f>IF(AND(CROQUIS_DATOS!$C$1472=1,CROQUIS_DATOS!$C$1555=1),(CROQUIS_DATOS!$C$1563+(IF(IF(OR(MOD($A252-1,62)+1=1,IF(CHOOSE(MIN(MAX(MIN(INT(($A252-1)/62)+1,5),1),5),CROQUIS_DATOS!$C$1501,CROQUIS_DATOS!$C$1505,CROQUIS_DATOS!$C$1509,CROQUIS_DATOS!$C$1513,CROQUIS_DATOS!$C$1517)=1,CROQUIS_DATOS!$C$1557,0)=0),0,IF(MOD($A252-1,62)+1&gt;2*IF(CHOOSE(MIN(MAX(MIN(INT(($A252-1)/62)+1,5),1),5),CROQUIS_DATOS!$C$1501,CROQUIS_DATOS!$C$1505,CROQUIS_DATOS!$C$1509,CROQUIS_DATOS!$C$1513,CROQUIS_DATOS!$C$1517)=1,CROQUIS_DATOS!$C$1557,0)+1,IF(MOD(IF(CHOOSE(MIN(MAX(MIN(INT(($A252-1)/62)+1,5),1),5),CROQUIS_DATOS!$C$1501,CROQUIS_DATOS!$C$1505,CROQUIS_DATOS!$C$1509,CROQUIS_DATOS!$C$1513,CROQUIS_DATOS!$C$1517)=1,CROQUIS_DATOS!$C$1557,0),2)=1,1,0),IF(MOD(MIN(INT((MOD($A252-1,62)+1-2)/2)+1,MAX(IF(CHOOSE(MIN(MAX(MIN(INT(($A252-1)/62)+1,5),1),5),CROQUIS_DATOS!$C$1501,CROQUIS_DATOS!$C$1505,CROQUIS_DATOS!$C$1509,CROQUIS_DATOS!$C$1513,CROQUIS_DATOS!$C$1517)=1,CROQUIS_DATOS!$C$1557,0),1)),2)=1,IF(MOD(MOD($A252-1,62)+1-2,2)=0,0,1),IF(MOD(MOD($A252-1,62)+1-2,2)=0,1,0))))=0,(CHOOSE(MIN(MAX(MIN(INT(($A252-1)/62)+1,5),1),5),CROQUIS_DATOS!$C$1499,CROQUIS_DATOS!$C$1503,CROQUIS_DATOS!$C$1507,CROQUIS_DATOS!$C$1511,CROQUIS_DATOS!$C$1515)+IF(CHOOSE(MIN(MAX(MIN(INT(($A252-1)/62)+1,5),1),5),CROQUIS_DATOS!$C$1501,CROQUIS_DATOS!$C$1505,CROQUIS_DATOS!$C$1509,CROQUIS_DATOS!$C$1513,CROQUIS_DATOS!$C$1517)=1,CROQUIS_DATOS!$C$1526,0)),(CHOOSE(MIN(MAX(MIN(INT(($A252-1)/62)+1,5),1),5),CROQUIS_DATOS!$C$1499,CROQUIS_DATOS!$C$1503,CROQUIS_DATOS!$C$1507,CROQUIS_DATOS!$C$1511,CROQUIS_DATOS!$C$1515)+CHOOSE(MIN(MAX(MIN(INT(($A252-1)/62)+1,5),1),5),CROQUIS_DATOS!$C$1500,CROQUIS_DATOS!$C$1504,CROQUIS_DATOS!$C$1508,CROQUIS_DATOS!$C$1512,CROQUIS_DATOS!$C$1516)-IF(CHOOSE(MIN(MAX(MIN(INT(($A252-1)/62)+1,5),1),5),CROQUIS_DATOS!$C$1501,CROQUIS_DATOS!$C$1505,CROQUIS_DATOS!$C$1509,CROQUIS_DATOS!$C$1513,CROQUIS_DATOS!$C$1517)=1,CROQUIS_DATOS!$C$1526,0))))*CROQUIS_DATOS!$C$1562),-1000)</f>
        <v>-1000</v>
      </c>
      <c r="Q252">
        <f>IF(AND(CROQUIS_DATOS!$C$1472=1,CROQUIS_DATOS!$C$1555=1),(CROQUIS_DATOS!$C$1564+(IF(OR(OR(MOD($A252-1,62)+1=1,IF(CHOOSE(MIN(MAX(MIN(INT(($A252-1)/62)+1,5),1),5),CROQUIS_DATOS!$C$1501,CROQUIS_DATOS!$C$1505,CROQUIS_DATOS!$C$1509,CROQUIS_DATOS!$C$1513,CROQUIS_DATOS!$C$1517)=1,CROQUIS_DATOS!$C$1557,0)=0),MOD($A252-1,62)+1&gt;2*IF(CHOOSE(MIN(MAX(MIN(INT(($A252-1)/62)+1,5),1),5),CROQUIS_DATOS!$C$1501,CROQUIS_DATOS!$C$1505,CROQUIS_DATOS!$C$1509,CROQUIS_DATOS!$C$1513,CROQUIS_DATOS!$C$1517)=1,CROQUIS_DATOS!$C$1557,0)+1),CROQUIS_DATOS!$C$1476,MIN(INT((MOD($A252-1,62)+1-2)/2)+1,MAX(IF(CHOOSE(MIN(MAX(MIN(INT(($A252-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2">
        <f>IF(AND(CROQUIS_DATOS!$C$1472=1,1),(CROQUIS_DATOS!$C$1563+(MIN(INT(($A252-1)/2)+1,CROQUIS_DATOS!$C$1558)*CROQUIS_DATOS!$C$1559)*CROQUIS_DATOS!$C$1562),-1000)</f>
        <v>82.2281167108753</v>
      </c>
      <c r="U252">
        <f>IF(AND(CROQUIS_DATOS!$C$1472=1,1),(CROQUIS_DATOS!$C$1564+(IF(INT(($A252-1)/2)+1&gt;CROQUIS_DATOS!$C$1558,IF(MOD(CROQUIS_DATOS!$C$1558,2)=1,CROQUIS_DATOS!$C$1476+CROQUIS_DATOS!$C$1528,CROQUIS_DATOS!$C$1476),IF(IF(MOD(MIN(INT(($A252-1)/2)+1,CROQUIS_DATOS!$C$1558),2)=1,MOD($A252-1,2),1-MOD($A252-1,2))=1,CROQUIS_DATOS!$C$1476+CROQUIS_DATOS!$C$1528,CROQUIS_DATOS!$C$1476)))*CROQUIS_DATOS!$C$1561*CROQUIS_DATOS!$C$1562),-1000)</f>
        <v>43</v>
      </c>
    </row>
    <row r="253">
      <c r="A253" t="n">
        <v>246</v>
      </c>
      <c r="N253">
        <f>IF(AND(CROQUIS_DATOS!$C$1472=1,1),(CROQUIS_DATOS!$C$1563+(IF(IF(IF(INT(($A253-1)/70)+1&gt;CROQUIS_DATOS!$C$1525,70,MOD($A253-1,70)+1)=1,0,IF(IF(INT(($A253-1)/70)+1&gt;CROQUIS_DATOS!$C$1525,70,MOD($A253-1,70)+1)&gt;2*CROQUIS_DATOS!$C$1541+1,IF(MOD(CROQUIS_DATOS!$C$1541,2)=1,1,0),IF(MOD(MIN(INT((IF(INT(($A253-1)/70)+1&gt;CROQUIS_DATOS!$C$1525,70,MOD($A253-1,70)+1)-2)/2)+1,CROQUIS_DATOS!$C$1541),2)=1,IF(MOD(IF(INT(($A253-1)/70)+1&gt;CROQUIS_DATOS!$C$1525,70,MOD($A253-1,70)+1)-2,2)=0,0,1),IF(MOD(IF(INT(($A253-1)/70)+1&gt;CROQUIS_DATOS!$C$1525,70,MOD($A253-1,70)+1)-2,2)=0,1,0))))=0,(INDEX($E$8:$E$23,MIN(INT(($A253-1)/70)+1,CROQUIS_DATOS!$C$1525))-INDEX($F$8:$F$23,MIN(INT(($A253-1)/70)+1,CROQUIS_DATOS!$C$1525))/2),(INDEX($E$8:$E$23,MIN(INT(($A253-1)/70)+1,CROQUIS_DATOS!$C$1525))+INDEX($F$8:$F$23,MIN(INT(($A253-1)/70)+1,CROQUIS_DATOS!$C$1525))/2)))*CROQUIS_DATOS!$C$1562),-1000)</f>
        <v>47.2068965517241</v>
      </c>
      <c r="O253">
        <f>IF(AND(CROQUIS_DATOS!$C$1472=1,1),(CROQUIS_DATOS!$C$1564+(IF(OR(IF(INT(($A253-1)/70)+1&gt;CROQUIS_DATOS!$C$1525,70,MOD($A253-1,70)+1)=1,IF(INT(($A253-1)/70)+1&gt;CROQUIS_DATOS!$C$1525,70,MOD($A253-1,70)+1)&gt;2*CROQUIS_DATOS!$C$1541+1),CROQUIS_DATOS!$C$1476,INDEX($H$8:$H$41,MIN(INT((IF(INT(($A253-1)/70)+1&gt;CROQUIS_DATOS!$C$1525,70,MOD($A253-1,70)+1)-2)/2)+1,CROQUIS_DATOS!$C$1541))))*CROQUIS_DATOS!$C$1561*CROQUIS_DATOS!$C$1562),-1000)</f>
        <v>39.1594827586207</v>
      </c>
      <c r="P253">
        <f>IF(AND(CROQUIS_DATOS!$C$1472=1,CROQUIS_DATOS!$C$1555=1),(CROQUIS_DATOS!$C$1563+(IF(IF(OR(MOD($A253-1,62)+1=1,IF(CHOOSE(MIN(MAX(MIN(INT(($A253-1)/62)+1,5),1),5),CROQUIS_DATOS!$C$1501,CROQUIS_DATOS!$C$1505,CROQUIS_DATOS!$C$1509,CROQUIS_DATOS!$C$1513,CROQUIS_DATOS!$C$1517)=1,CROQUIS_DATOS!$C$1557,0)=0),0,IF(MOD($A253-1,62)+1&gt;2*IF(CHOOSE(MIN(MAX(MIN(INT(($A253-1)/62)+1,5),1),5),CROQUIS_DATOS!$C$1501,CROQUIS_DATOS!$C$1505,CROQUIS_DATOS!$C$1509,CROQUIS_DATOS!$C$1513,CROQUIS_DATOS!$C$1517)=1,CROQUIS_DATOS!$C$1557,0)+1,IF(MOD(IF(CHOOSE(MIN(MAX(MIN(INT(($A253-1)/62)+1,5),1),5),CROQUIS_DATOS!$C$1501,CROQUIS_DATOS!$C$1505,CROQUIS_DATOS!$C$1509,CROQUIS_DATOS!$C$1513,CROQUIS_DATOS!$C$1517)=1,CROQUIS_DATOS!$C$1557,0),2)=1,1,0),IF(MOD(MIN(INT((MOD($A253-1,62)+1-2)/2)+1,MAX(IF(CHOOSE(MIN(MAX(MIN(INT(($A253-1)/62)+1,5),1),5),CROQUIS_DATOS!$C$1501,CROQUIS_DATOS!$C$1505,CROQUIS_DATOS!$C$1509,CROQUIS_DATOS!$C$1513,CROQUIS_DATOS!$C$1517)=1,CROQUIS_DATOS!$C$1557,0),1)),2)=1,IF(MOD(MOD($A253-1,62)+1-2,2)=0,0,1),IF(MOD(MOD($A253-1,62)+1-2,2)=0,1,0))))=0,(CHOOSE(MIN(MAX(MIN(INT(($A253-1)/62)+1,5),1),5),CROQUIS_DATOS!$C$1499,CROQUIS_DATOS!$C$1503,CROQUIS_DATOS!$C$1507,CROQUIS_DATOS!$C$1511,CROQUIS_DATOS!$C$1515)+IF(CHOOSE(MIN(MAX(MIN(INT(($A253-1)/62)+1,5),1),5),CROQUIS_DATOS!$C$1501,CROQUIS_DATOS!$C$1505,CROQUIS_DATOS!$C$1509,CROQUIS_DATOS!$C$1513,CROQUIS_DATOS!$C$1517)=1,CROQUIS_DATOS!$C$1526,0)),(CHOOSE(MIN(MAX(MIN(INT(($A253-1)/62)+1,5),1),5),CROQUIS_DATOS!$C$1499,CROQUIS_DATOS!$C$1503,CROQUIS_DATOS!$C$1507,CROQUIS_DATOS!$C$1511,CROQUIS_DATOS!$C$1515)+CHOOSE(MIN(MAX(MIN(INT(($A253-1)/62)+1,5),1),5),CROQUIS_DATOS!$C$1500,CROQUIS_DATOS!$C$1504,CROQUIS_DATOS!$C$1508,CROQUIS_DATOS!$C$1512,CROQUIS_DATOS!$C$1516)-IF(CHOOSE(MIN(MAX(MIN(INT(($A253-1)/62)+1,5),1),5),CROQUIS_DATOS!$C$1501,CROQUIS_DATOS!$C$1505,CROQUIS_DATOS!$C$1509,CROQUIS_DATOS!$C$1513,CROQUIS_DATOS!$C$1517)=1,CROQUIS_DATOS!$C$1526,0))))*CROQUIS_DATOS!$C$1562),-1000)</f>
        <v>-1000</v>
      </c>
      <c r="Q253">
        <f>IF(AND(CROQUIS_DATOS!$C$1472=1,CROQUIS_DATOS!$C$1555=1),(CROQUIS_DATOS!$C$1564+(IF(OR(OR(MOD($A253-1,62)+1=1,IF(CHOOSE(MIN(MAX(MIN(INT(($A253-1)/62)+1,5),1),5),CROQUIS_DATOS!$C$1501,CROQUIS_DATOS!$C$1505,CROQUIS_DATOS!$C$1509,CROQUIS_DATOS!$C$1513,CROQUIS_DATOS!$C$1517)=1,CROQUIS_DATOS!$C$1557,0)=0),MOD($A253-1,62)+1&gt;2*IF(CHOOSE(MIN(MAX(MIN(INT(($A253-1)/62)+1,5),1),5),CROQUIS_DATOS!$C$1501,CROQUIS_DATOS!$C$1505,CROQUIS_DATOS!$C$1509,CROQUIS_DATOS!$C$1513,CROQUIS_DATOS!$C$1517)=1,CROQUIS_DATOS!$C$1557,0)+1),CROQUIS_DATOS!$C$1476,MIN(INT((MOD($A253-1,62)+1-2)/2)+1,MAX(IF(CHOOSE(MIN(MAX(MIN(INT(($A253-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3">
        <f>IF(AND(CROQUIS_DATOS!$C$1472=1,1),(CROQUIS_DATOS!$C$1563+(MIN(INT(($A253-1)/2)+1,CROQUIS_DATOS!$C$1558)*CROQUIS_DATOS!$C$1559)*CROQUIS_DATOS!$C$1562),-1000)</f>
        <v>82.2281167108753</v>
      </c>
      <c r="U253">
        <f>IF(AND(CROQUIS_DATOS!$C$1472=1,1),(CROQUIS_DATOS!$C$1564+(IF(INT(($A253-1)/2)+1&gt;CROQUIS_DATOS!$C$1558,IF(MOD(CROQUIS_DATOS!$C$1558,2)=1,CROQUIS_DATOS!$C$1476+CROQUIS_DATOS!$C$1528,CROQUIS_DATOS!$C$1476),IF(IF(MOD(MIN(INT(($A253-1)/2)+1,CROQUIS_DATOS!$C$1558),2)=1,MOD($A253-1,2),1-MOD($A253-1,2))=1,CROQUIS_DATOS!$C$1476+CROQUIS_DATOS!$C$1528,CROQUIS_DATOS!$C$1476)))*CROQUIS_DATOS!$C$1561*CROQUIS_DATOS!$C$1562),-1000)</f>
        <v>43</v>
      </c>
    </row>
    <row r="254">
      <c r="A254" t="n">
        <v>247</v>
      </c>
      <c r="N254">
        <f>IF(AND(CROQUIS_DATOS!$C$1472=1,1),(CROQUIS_DATOS!$C$1563+(IF(IF(IF(INT(($A254-1)/70)+1&gt;CROQUIS_DATOS!$C$1525,70,MOD($A254-1,70)+1)=1,0,IF(IF(INT(($A254-1)/70)+1&gt;CROQUIS_DATOS!$C$1525,70,MOD($A254-1,70)+1)&gt;2*CROQUIS_DATOS!$C$1541+1,IF(MOD(CROQUIS_DATOS!$C$1541,2)=1,1,0),IF(MOD(MIN(INT((IF(INT(($A254-1)/70)+1&gt;CROQUIS_DATOS!$C$1525,70,MOD($A254-1,70)+1)-2)/2)+1,CROQUIS_DATOS!$C$1541),2)=1,IF(MOD(IF(INT(($A254-1)/70)+1&gt;CROQUIS_DATOS!$C$1525,70,MOD($A254-1,70)+1)-2,2)=0,0,1),IF(MOD(IF(INT(($A254-1)/70)+1&gt;CROQUIS_DATOS!$C$1525,70,MOD($A254-1,70)+1)-2,2)=0,1,0))))=0,(INDEX($E$8:$E$23,MIN(INT(($A254-1)/70)+1,CROQUIS_DATOS!$C$1525))-INDEX($F$8:$F$23,MIN(INT(($A254-1)/70)+1,CROQUIS_DATOS!$C$1525))/2),(INDEX($E$8:$E$23,MIN(INT(($A254-1)/70)+1,CROQUIS_DATOS!$C$1525))+INDEX($F$8:$F$23,MIN(INT(($A254-1)/70)+1,CROQUIS_DATOS!$C$1525))/2)))*CROQUIS_DATOS!$C$1562),-1000)</f>
        <v>45.1120689655172</v>
      </c>
      <c r="O254">
        <f>IF(AND(CROQUIS_DATOS!$C$1472=1,1),(CROQUIS_DATOS!$C$1564+(IF(OR(IF(INT(($A254-1)/70)+1&gt;CROQUIS_DATOS!$C$1525,70,MOD($A254-1,70)+1)=1,IF(INT(($A254-1)/70)+1&gt;CROQUIS_DATOS!$C$1525,70,MOD($A254-1,70)+1)&gt;2*CROQUIS_DATOS!$C$1541+1),CROQUIS_DATOS!$C$1476,INDEX($H$8:$H$41,MIN(INT((IF(INT(($A254-1)/70)+1&gt;CROQUIS_DATOS!$C$1525,70,MOD($A254-1,70)+1)-2)/2)+1,CROQUIS_DATOS!$C$1541))))*CROQUIS_DATOS!$C$1561*CROQUIS_DATOS!$C$1562),-1000)</f>
        <v>39.1594827586207</v>
      </c>
      <c r="P254">
        <f>IF(AND(CROQUIS_DATOS!$C$1472=1,CROQUIS_DATOS!$C$1555=1),(CROQUIS_DATOS!$C$1563+(IF(IF(OR(MOD($A254-1,62)+1=1,IF(CHOOSE(MIN(MAX(MIN(INT(($A254-1)/62)+1,5),1),5),CROQUIS_DATOS!$C$1501,CROQUIS_DATOS!$C$1505,CROQUIS_DATOS!$C$1509,CROQUIS_DATOS!$C$1513,CROQUIS_DATOS!$C$1517)=1,CROQUIS_DATOS!$C$1557,0)=0),0,IF(MOD($A254-1,62)+1&gt;2*IF(CHOOSE(MIN(MAX(MIN(INT(($A254-1)/62)+1,5),1),5),CROQUIS_DATOS!$C$1501,CROQUIS_DATOS!$C$1505,CROQUIS_DATOS!$C$1509,CROQUIS_DATOS!$C$1513,CROQUIS_DATOS!$C$1517)=1,CROQUIS_DATOS!$C$1557,0)+1,IF(MOD(IF(CHOOSE(MIN(MAX(MIN(INT(($A254-1)/62)+1,5),1),5),CROQUIS_DATOS!$C$1501,CROQUIS_DATOS!$C$1505,CROQUIS_DATOS!$C$1509,CROQUIS_DATOS!$C$1513,CROQUIS_DATOS!$C$1517)=1,CROQUIS_DATOS!$C$1557,0),2)=1,1,0),IF(MOD(MIN(INT((MOD($A254-1,62)+1-2)/2)+1,MAX(IF(CHOOSE(MIN(MAX(MIN(INT(($A254-1)/62)+1,5),1),5),CROQUIS_DATOS!$C$1501,CROQUIS_DATOS!$C$1505,CROQUIS_DATOS!$C$1509,CROQUIS_DATOS!$C$1513,CROQUIS_DATOS!$C$1517)=1,CROQUIS_DATOS!$C$1557,0),1)),2)=1,IF(MOD(MOD($A254-1,62)+1-2,2)=0,0,1),IF(MOD(MOD($A254-1,62)+1-2,2)=0,1,0))))=0,(CHOOSE(MIN(MAX(MIN(INT(($A254-1)/62)+1,5),1),5),CROQUIS_DATOS!$C$1499,CROQUIS_DATOS!$C$1503,CROQUIS_DATOS!$C$1507,CROQUIS_DATOS!$C$1511,CROQUIS_DATOS!$C$1515)+IF(CHOOSE(MIN(MAX(MIN(INT(($A254-1)/62)+1,5),1),5),CROQUIS_DATOS!$C$1501,CROQUIS_DATOS!$C$1505,CROQUIS_DATOS!$C$1509,CROQUIS_DATOS!$C$1513,CROQUIS_DATOS!$C$1517)=1,CROQUIS_DATOS!$C$1526,0)),(CHOOSE(MIN(MAX(MIN(INT(($A254-1)/62)+1,5),1),5),CROQUIS_DATOS!$C$1499,CROQUIS_DATOS!$C$1503,CROQUIS_DATOS!$C$1507,CROQUIS_DATOS!$C$1511,CROQUIS_DATOS!$C$1515)+CHOOSE(MIN(MAX(MIN(INT(($A254-1)/62)+1,5),1),5),CROQUIS_DATOS!$C$1500,CROQUIS_DATOS!$C$1504,CROQUIS_DATOS!$C$1508,CROQUIS_DATOS!$C$1512,CROQUIS_DATOS!$C$1516)-IF(CHOOSE(MIN(MAX(MIN(INT(($A254-1)/62)+1,5),1),5),CROQUIS_DATOS!$C$1501,CROQUIS_DATOS!$C$1505,CROQUIS_DATOS!$C$1509,CROQUIS_DATOS!$C$1513,CROQUIS_DATOS!$C$1517)=1,CROQUIS_DATOS!$C$1526,0))))*CROQUIS_DATOS!$C$1562),-1000)</f>
        <v>-1000</v>
      </c>
      <c r="Q254">
        <f>IF(AND(CROQUIS_DATOS!$C$1472=1,CROQUIS_DATOS!$C$1555=1),(CROQUIS_DATOS!$C$1564+(IF(OR(OR(MOD($A254-1,62)+1=1,IF(CHOOSE(MIN(MAX(MIN(INT(($A254-1)/62)+1,5),1),5),CROQUIS_DATOS!$C$1501,CROQUIS_DATOS!$C$1505,CROQUIS_DATOS!$C$1509,CROQUIS_DATOS!$C$1513,CROQUIS_DATOS!$C$1517)=1,CROQUIS_DATOS!$C$1557,0)=0),MOD($A254-1,62)+1&gt;2*IF(CHOOSE(MIN(MAX(MIN(INT(($A254-1)/62)+1,5),1),5),CROQUIS_DATOS!$C$1501,CROQUIS_DATOS!$C$1505,CROQUIS_DATOS!$C$1509,CROQUIS_DATOS!$C$1513,CROQUIS_DATOS!$C$1517)=1,CROQUIS_DATOS!$C$1557,0)+1),CROQUIS_DATOS!$C$1476,MIN(INT((MOD($A254-1,62)+1-2)/2)+1,MAX(IF(CHOOSE(MIN(MAX(MIN(INT(($A254-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4">
        <f>IF(AND(CROQUIS_DATOS!$C$1472=1,1),(CROQUIS_DATOS!$C$1563+(MIN(INT(($A254-1)/2)+1,CROQUIS_DATOS!$C$1558)*CROQUIS_DATOS!$C$1559)*CROQUIS_DATOS!$C$1562),-1000)</f>
        <v>82.2281167108753</v>
      </c>
      <c r="U254">
        <f>IF(AND(CROQUIS_DATOS!$C$1472=1,1),(CROQUIS_DATOS!$C$1564+(IF(INT(($A254-1)/2)+1&gt;CROQUIS_DATOS!$C$1558,IF(MOD(CROQUIS_DATOS!$C$1558,2)=1,CROQUIS_DATOS!$C$1476+CROQUIS_DATOS!$C$1528,CROQUIS_DATOS!$C$1476),IF(IF(MOD(MIN(INT(($A254-1)/2)+1,CROQUIS_DATOS!$C$1558),2)=1,MOD($A254-1,2),1-MOD($A254-1,2))=1,CROQUIS_DATOS!$C$1476+CROQUIS_DATOS!$C$1528,CROQUIS_DATOS!$C$1476)))*CROQUIS_DATOS!$C$1561*CROQUIS_DATOS!$C$1562),-1000)</f>
        <v>43</v>
      </c>
    </row>
    <row r="255">
      <c r="A255" t="n">
        <v>248</v>
      </c>
      <c r="N255">
        <f>IF(AND(CROQUIS_DATOS!$C$1472=1,1),(CROQUIS_DATOS!$C$1563+(IF(IF(IF(INT(($A255-1)/70)+1&gt;CROQUIS_DATOS!$C$1525,70,MOD($A255-1,70)+1)=1,0,IF(IF(INT(($A255-1)/70)+1&gt;CROQUIS_DATOS!$C$1525,70,MOD($A255-1,70)+1)&gt;2*CROQUIS_DATOS!$C$1541+1,IF(MOD(CROQUIS_DATOS!$C$1541,2)=1,1,0),IF(MOD(MIN(INT((IF(INT(($A255-1)/70)+1&gt;CROQUIS_DATOS!$C$1525,70,MOD($A255-1,70)+1)-2)/2)+1,CROQUIS_DATOS!$C$1541),2)=1,IF(MOD(IF(INT(($A255-1)/70)+1&gt;CROQUIS_DATOS!$C$1525,70,MOD($A255-1,70)+1)-2,2)=0,0,1),IF(MOD(IF(INT(($A255-1)/70)+1&gt;CROQUIS_DATOS!$C$1525,70,MOD($A255-1,70)+1)-2,2)=0,1,0))))=0,(INDEX($E$8:$E$23,MIN(INT(($A255-1)/70)+1,CROQUIS_DATOS!$C$1525))-INDEX($F$8:$F$23,MIN(INT(($A255-1)/70)+1,CROQUIS_DATOS!$C$1525))/2),(INDEX($E$8:$E$23,MIN(INT(($A255-1)/70)+1,CROQUIS_DATOS!$C$1525))+INDEX($F$8:$F$23,MIN(INT(($A255-1)/70)+1,CROQUIS_DATOS!$C$1525))/2)))*CROQUIS_DATOS!$C$1562),-1000)</f>
        <v>45.1120689655172</v>
      </c>
      <c r="O255">
        <f>IF(AND(CROQUIS_DATOS!$C$1472=1,1),(CROQUIS_DATOS!$C$1564+(IF(OR(IF(INT(($A255-1)/70)+1&gt;CROQUIS_DATOS!$C$1525,70,MOD($A255-1,70)+1)=1,IF(INT(($A255-1)/70)+1&gt;CROQUIS_DATOS!$C$1525,70,MOD($A255-1,70)+1)&gt;2*CROQUIS_DATOS!$C$1541+1),CROQUIS_DATOS!$C$1476,INDEX($H$8:$H$41,MIN(INT((IF(INT(($A255-1)/70)+1&gt;CROQUIS_DATOS!$C$1525,70,MOD($A255-1,70)+1)-2)/2)+1,CROQUIS_DATOS!$C$1541))))*CROQUIS_DATOS!$C$1561*CROQUIS_DATOS!$C$1562),-1000)</f>
        <v>40.2068965517241</v>
      </c>
      <c r="P255">
        <f>IF(AND(CROQUIS_DATOS!$C$1472=1,CROQUIS_DATOS!$C$1555=1),(CROQUIS_DATOS!$C$1563+(IF(IF(OR(MOD($A255-1,62)+1=1,IF(CHOOSE(MIN(MAX(MIN(INT(($A255-1)/62)+1,5),1),5),CROQUIS_DATOS!$C$1501,CROQUIS_DATOS!$C$1505,CROQUIS_DATOS!$C$1509,CROQUIS_DATOS!$C$1513,CROQUIS_DATOS!$C$1517)=1,CROQUIS_DATOS!$C$1557,0)=0),0,IF(MOD($A255-1,62)+1&gt;2*IF(CHOOSE(MIN(MAX(MIN(INT(($A255-1)/62)+1,5),1),5),CROQUIS_DATOS!$C$1501,CROQUIS_DATOS!$C$1505,CROQUIS_DATOS!$C$1509,CROQUIS_DATOS!$C$1513,CROQUIS_DATOS!$C$1517)=1,CROQUIS_DATOS!$C$1557,0)+1,IF(MOD(IF(CHOOSE(MIN(MAX(MIN(INT(($A255-1)/62)+1,5),1),5),CROQUIS_DATOS!$C$1501,CROQUIS_DATOS!$C$1505,CROQUIS_DATOS!$C$1509,CROQUIS_DATOS!$C$1513,CROQUIS_DATOS!$C$1517)=1,CROQUIS_DATOS!$C$1557,0),2)=1,1,0),IF(MOD(MIN(INT((MOD($A255-1,62)+1-2)/2)+1,MAX(IF(CHOOSE(MIN(MAX(MIN(INT(($A255-1)/62)+1,5),1),5),CROQUIS_DATOS!$C$1501,CROQUIS_DATOS!$C$1505,CROQUIS_DATOS!$C$1509,CROQUIS_DATOS!$C$1513,CROQUIS_DATOS!$C$1517)=1,CROQUIS_DATOS!$C$1557,0),1)),2)=1,IF(MOD(MOD($A255-1,62)+1-2,2)=0,0,1),IF(MOD(MOD($A255-1,62)+1-2,2)=0,1,0))))=0,(CHOOSE(MIN(MAX(MIN(INT(($A255-1)/62)+1,5),1),5),CROQUIS_DATOS!$C$1499,CROQUIS_DATOS!$C$1503,CROQUIS_DATOS!$C$1507,CROQUIS_DATOS!$C$1511,CROQUIS_DATOS!$C$1515)+IF(CHOOSE(MIN(MAX(MIN(INT(($A255-1)/62)+1,5),1),5),CROQUIS_DATOS!$C$1501,CROQUIS_DATOS!$C$1505,CROQUIS_DATOS!$C$1509,CROQUIS_DATOS!$C$1513,CROQUIS_DATOS!$C$1517)=1,CROQUIS_DATOS!$C$1526,0)),(CHOOSE(MIN(MAX(MIN(INT(($A255-1)/62)+1,5),1),5),CROQUIS_DATOS!$C$1499,CROQUIS_DATOS!$C$1503,CROQUIS_DATOS!$C$1507,CROQUIS_DATOS!$C$1511,CROQUIS_DATOS!$C$1515)+CHOOSE(MIN(MAX(MIN(INT(($A255-1)/62)+1,5),1),5),CROQUIS_DATOS!$C$1500,CROQUIS_DATOS!$C$1504,CROQUIS_DATOS!$C$1508,CROQUIS_DATOS!$C$1512,CROQUIS_DATOS!$C$1516)-IF(CHOOSE(MIN(MAX(MIN(INT(($A255-1)/62)+1,5),1),5),CROQUIS_DATOS!$C$1501,CROQUIS_DATOS!$C$1505,CROQUIS_DATOS!$C$1509,CROQUIS_DATOS!$C$1513,CROQUIS_DATOS!$C$1517)=1,CROQUIS_DATOS!$C$1526,0))))*CROQUIS_DATOS!$C$1562),-1000)</f>
        <v>-1000</v>
      </c>
      <c r="Q255">
        <f>IF(AND(CROQUIS_DATOS!$C$1472=1,CROQUIS_DATOS!$C$1555=1),(CROQUIS_DATOS!$C$1564+(IF(OR(OR(MOD($A255-1,62)+1=1,IF(CHOOSE(MIN(MAX(MIN(INT(($A255-1)/62)+1,5),1),5),CROQUIS_DATOS!$C$1501,CROQUIS_DATOS!$C$1505,CROQUIS_DATOS!$C$1509,CROQUIS_DATOS!$C$1513,CROQUIS_DATOS!$C$1517)=1,CROQUIS_DATOS!$C$1557,0)=0),MOD($A255-1,62)+1&gt;2*IF(CHOOSE(MIN(MAX(MIN(INT(($A255-1)/62)+1,5),1),5),CROQUIS_DATOS!$C$1501,CROQUIS_DATOS!$C$1505,CROQUIS_DATOS!$C$1509,CROQUIS_DATOS!$C$1513,CROQUIS_DATOS!$C$1517)=1,CROQUIS_DATOS!$C$1557,0)+1),CROQUIS_DATOS!$C$1476,MIN(INT((MOD($A255-1,62)+1-2)/2)+1,MAX(IF(CHOOSE(MIN(MAX(MIN(INT(($A255-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5">
        <f>IF(AND(CROQUIS_DATOS!$C$1472=1,1),(CROQUIS_DATOS!$C$1563+(MIN(INT(($A255-1)/2)+1,CROQUIS_DATOS!$C$1558)*CROQUIS_DATOS!$C$1559)*CROQUIS_DATOS!$C$1562),-1000)</f>
        <v>82.2281167108753</v>
      </c>
      <c r="U255">
        <f>IF(AND(CROQUIS_DATOS!$C$1472=1,1),(CROQUIS_DATOS!$C$1564+(IF(INT(($A255-1)/2)+1&gt;CROQUIS_DATOS!$C$1558,IF(MOD(CROQUIS_DATOS!$C$1558,2)=1,CROQUIS_DATOS!$C$1476+CROQUIS_DATOS!$C$1528,CROQUIS_DATOS!$C$1476),IF(IF(MOD(MIN(INT(($A255-1)/2)+1,CROQUIS_DATOS!$C$1558),2)=1,MOD($A255-1,2),1-MOD($A255-1,2))=1,CROQUIS_DATOS!$C$1476+CROQUIS_DATOS!$C$1528,CROQUIS_DATOS!$C$1476)))*CROQUIS_DATOS!$C$1561*CROQUIS_DATOS!$C$1562),-1000)</f>
        <v>43</v>
      </c>
    </row>
    <row r="256">
      <c r="A256" t="n">
        <v>249</v>
      </c>
      <c r="N256">
        <f>IF(AND(CROQUIS_DATOS!$C$1472=1,1),(CROQUIS_DATOS!$C$1563+(IF(IF(IF(INT(($A256-1)/70)+1&gt;CROQUIS_DATOS!$C$1525,70,MOD($A256-1,70)+1)=1,0,IF(IF(INT(($A256-1)/70)+1&gt;CROQUIS_DATOS!$C$1525,70,MOD($A256-1,70)+1)&gt;2*CROQUIS_DATOS!$C$1541+1,IF(MOD(CROQUIS_DATOS!$C$1541,2)=1,1,0),IF(MOD(MIN(INT((IF(INT(($A256-1)/70)+1&gt;CROQUIS_DATOS!$C$1525,70,MOD($A256-1,70)+1)-2)/2)+1,CROQUIS_DATOS!$C$1541),2)=1,IF(MOD(IF(INT(($A256-1)/70)+1&gt;CROQUIS_DATOS!$C$1525,70,MOD($A256-1,70)+1)-2,2)=0,0,1),IF(MOD(IF(INT(($A256-1)/70)+1&gt;CROQUIS_DATOS!$C$1525,70,MOD($A256-1,70)+1)-2,2)=0,1,0))))=0,(INDEX($E$8:$E$23,MIN(INT(($A256-1)/70)+1,CROQUIS_DATOS!$C$1525))-INDEX($F$8:$F$23,MIN(INT(($A256-1)/70)+1,CROQUIS_DATOS!$C$1525))/2),(INDEX($E$8:$E$23,MIN(INT(($A256-1)/70)+1,CROQUIS_DATOS!$C$1525))+INDEX($F$8:$F$23,MIN(INT(($A256-1)/70)+1,CROQUIS_DATOS!$C$1525))/2)))*CROQUIS_DATOS!$C$1562),-1000)</f>
        <v>45.1120689655172</v>
      </c>
      <c r="O256">
        <f>IF(AND(CROQUIS_DATOS!$C$1472=1,1),(CROQUIS_DATOS!$C$1564+(IF(OR(IF(INT(($A256-1)/70)+1&gt;CROQUIS_DATOS!$C$1525,70,MOD($A256-1,70)+1)=1,IF(INT(($A256-1)/70)+1&gt;CROQUIS_DATOS!$C$1525,70,MOD($A256-1,70)+1)&gt;2*CROQUIS_DATOS!$C$1541+1),CROQUIS_DATOS!$C$1476,INDEX($H$8:$H$41,MIN(INT((IF(INT(($A256-1)/70)+1&gt;CROQUIS_DATOS!$C$1525,70,MOD($A256-1,70)+1)-2)/2)+1,CROQUIS_DATOS!$C$1541))))*CROQUIS_DATOS!$C$1561*CROQUIS_DATOS!$C$1562),-1000)</f>
        <v>40.2068965517241</v>
      </c>
      <c r="P256">
        <f>IF(AND(CROQUIS_DATOS!$C$1472=1,CROQUIS_DATOS!$C$1555=1),(CROQUIS_DATOS!$C$1563+(IF(IF(OR(MOD($A256-1,62)+1=1,IF(CHOOSE(MIN(MAX(MIN(INT(($A256-1)/62)+1,5),1),5),CROQUIS_DATOS!$C$1501,CROQUIS_DATOS!$C$1505,CROQUIS_DATOS!$C$1509,CROQUIS_DATOS!$C$1513,CROQUIS_DATOS!$C$1517)=1,CROQUIS_DATOS!$C$1557,0)=0),0,IF(MOD($A256-1,62)+1&gt;2*IF(CHOOSE(MIN(MAX(MIN(INT(($A256-1)/62)+1,5),1),5),CROQUIS_DATOS!$C$1501,CROQUIS_DATOS!$C$1505,CROQUIS_DATOS!$C$1509,CROQUIS_DATOS!$C$1513,CROQUIS_DATOS!$C$1517)=1,CROQUIS_DATOS!$C$1557,0)+1,IF(MOD(IF(CHOOSE(MIN(MAX(MIN(INT(($A256-1)/62)+1,5),1),5),CROQUIS_DATOS!$C$1501,CROQUIS_DATOS!$C$1505,CROQUIS_DATOS!$C$1509,CROQUIS_DATOS!$C$1513,CROQUIS_DATOS!$C$1517)=1,CROQUIS_DATOS!$C$1557,0),2)=1,1,0),IF(MOD(MIN(INT((MOD($A256-1,62)+1-2)/2)+1,MAX(IF(CHOOSE(MIN(MAX(MIN(INT(($A256-1)/62)+1,5),1),5),CROQUIS_DATOS!$C$1501,CROQUIS_DATOS!$C$1505,CROQUIS_DATOS!$C$1509,CROQUIS_DATOS!$C$1513,CROQUIS_DATOS!$C$1517)=1,CROQUIS_DATOS!$C$1557,0),1)),2)=1,IF(MOD(MOD($A256-1,62)+1-2,2)=0,0,1),IF(MOD(MOD($A256-1,62)+1-2,2)=0,1,0))))=0,(CHOOSE(MIN(MAX(MIN(INT(($A256-1)/62)+1,5),1),5),CROQUIS_DATOS!$C$1499,CROQUIS_DATOS!$C$1503,CROQUIS_DATOS!$C$1507,CROQUIS_DATOS!$C$1511,CROQUIS_DATOS!$C$1515)+IF(CHOOSE(MIN(MAX(MIN(INT(($A256-1)/62)+1,5),1),5),CROQUIS_DATOS!$C$1501,CROQUIS_DATOS!$C$1505,CROQUIS_DATOS!$C$1509,CROQUIS_DATOS!$C$1513,CROQUIS_DATOS!$C$1517)=1,CROQUIS_DATOS!$C$1526,0)),(CHOOSE(MIN(MAX(MIN(INT(($A256-1)/62)+1,5),1),5),CROQUIS_DATOS!$C$1499,CROQUIS_DATOS!$C$1503,CROQUIS_DATOS!$C$1507,CROQUIS_DATOS!$C$1511,CROQUIS_DATOS!$C$1515)+CHOOSE(MIN(MAX(MIN(INT(($A256-1)/62)+1,5),1),5),CROQUIS_DATOS!$C$1500,CROQUIS_DATOS!$C$1504,CROQUIS_DATOS!$C$1508,CROQUIS_DATOS!$C$1512,CROQUIS_DATOS!$C$1516)-IF(CHOOSE(MIN(MAX(MIN(INT(($A256-1)/62)+1,5),1),5),CROQUIS_DATOS!$C$1501,CROQUIS_DATOS!$C$1505,CROQUIS_DATOS!$C$1509,CROQUIS_DATOS!$C$1513,CROQUIS_DATOS!$C$1517)=1,CROQUIS_DATOS!$C$1526,0))))*CROQUIS_DATOS!$C$1562),-1000)</f>
        <v>-1000</v>
      </c>
      <c r="Q256">
        <f>IF(AND(CROQUIS_DATOS!$C$1472=1,CROQUIS_DATOS!$C$1555=1),(CROQUIS_DATOS!$C$1564+(IF(OR(OR(MOD($A256-1,62)+1=1,IF(CHOOSE(MIN(MAX(MIN(INT(($A256-1)/62)+1,5),1),5),CROQUIS_DATOS!$C$1501,CROQUIS_DATOS!$C$1505,CROQUIS_DATOS!$C$1509,CROQUIS_DATOS!$C$1513,CROQUIS_DATOS!$C$1517)=1,CROQUIS_DATOS!$C$1557,0)=0),MOD($A256-1,62)+1&gt;2*IF(CHOOSE(MIN(MAX(MIN(INT(($A256-1)/62)+1,5),1),5),CROQUIS_DATOS!$C$1501,CROQUIS_DATOS!$C$1505,CROQUIS_DATOS!$C$1509,CROQUIS_DATOS!$C$1513,CROQUIS_DATOS!$C$1517)=1,CROQUIS_DATOS!$C$1557,0)+1),CROQUIS_DATOS!$C$1476,MIN(INT((MOD($A256-1,62)+1-2)/2)+1,MAX(IF(CHOOSE(MIN(MAX(MIN(INT(($A256-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6">
        <f>IF(AND(CROQUIS_DATOS!$C$1472=1,1),(CROQUIS_DATOS!$C$1563+(MIN(INT(($A256-1)/2)+1,CROQUIS_DATOS!$C$1558)*CROQUIS_DATOS!$C$1559)*CROQUIS_DATOS!$C$1562),-1000)</f>
        <v>82.2281167108753</v>
      </c>
      <c r="U256">
        <f>IF(AND(CROQUIS_DATOS!$C$1472=1,1),(CROQUIS_DATOS!$C$1564+(IF(INT(($A256-1)/2)+1&gt;CROQUIS_DATOS!$C$1558,IF(MOD(CROQUIS_DATOS!$C$1558,2)=1,CROQUIS_DATOS!$C$1476+CROQUIS_DATOS!$C$1528,CROQUIS_DATOS!$C$1476),IF(IF(MOD(MIN(INT(($A256-1)/2)+1,CROQUIS_DATOS!$C$1558),2)=1,MOD($A256-1,2),1-MOD($A256-1,2))=1,CROQUIS_DATOS!$C$1476+CROQUIS_DATOS!$C$1528,CROQUIS_DATOS!$C$1476)))*CROQUIS_DATOS!$C$1561*CROQUIS_DATOS!$C$1562),-1000)</f>
        <v>43</v>
      </c>
    </row>
    <row r="257">
      <c r="A257" t="n">
        <v>250</v>
      </c>
      <c r="N257">
        <f>IF(AND(CROQUIS_DATOS!$C$1472=1,1),(CROQUIS_DATOS!$C$1563+(IF(IF(IF(INT(($A257-1)/70)+1&gt;CROQUIS_DATOS!$C$1525,70,MOD($A257-1,70)+1)=1,0,IF(IF(INT(($A257-1)/70)+1&gt;CROQUIS_DATOS!$C$1525,70,MOD($A257-1,70)+1)&gt;2*CROQUIS_DATOS!$C$1541+1,IF(MOD(CROQUIS_DATOS!$C$1541,2)=1,1,0),IF(MOD(MIN(INT((IF(INT(($A257-1)/70)+1&gt;CROQUIS_DATOS!$C$1525,70,MOD($A257-1,70)+1)-2)/2)+1,CROQUIS_DATOS!$C$1541),2)=1,IF(MOD(IF(INT(($A257-1)/70)+1&gt;CROQUIS_DATOS!$C$1525,70,MOD($A257-1,70)+1)-2,2)=0,0,1),IF(MOD(IF(INT(($A257-1)/70)+1&gt;CROQUIS_DATOS!$C$1525,70,MOD($A257-1,70)+1)-2,2)=0,1,0))))=0,(INDEX($E$8:$E$23,MIN(INT(($A257-1)/70)+1,CROQUIS_DATOS!$C$1525))-INDEX($F$8:$F$23,MIN(INT(($A257-1)/70)+1,CROQUIS_DATOS!$C$1525))/2),(INDEX($E$8:$E$23,MIN(INT(($A257-1)/70)+1,CROQUIS_DATOS!$C$1525))+INDEX($F$8:$F$23,MIN(INT(($A257-1)/70)+1,CROQUIS_DATOS!$C$1525))/2)))*CROQUIS_DATOS!$C$1562),-1000)</f>
        <v>45.1120689655172</v>
      </c>
      <c r="O257">
        <f>IF(AND(CROQUIS_DATOS!$C$1472=1,1),(CROQUIS_DATOS!$C$1564+(IF(OR(IF(INT(($A257-1)/70)+1&gt;CROQUIS_DATOS!$C$1525,70,MOD($A257-1,70)+1)=1,IF(INT(($A257-1)/70)+1&gt;CROQUIS_DATOS!$C$1525,70,MOD($A257-1,70)+1)&gt;2*CROQUIS_DATOS!$C$1541+1),CROQUIS_DATOS!$C$1476,INDEX($H$8:$H$41,MIN(INT((IF(INT(($A257-1)/70)+1&gt;CROQUIS_DATOS!$C$1525,70,MOD($A257-1,70)+1)-2)/2)+1,CROQUIS_DATOS!$C$1541))))*CROQUIS_DATOS!$C$1561*CROQUIS_DATOS!$C$1562),-1000)</f>
        <v>40.2068965517241</v>
      </c>
      <c r="P257">
        <f>IF(AND(CROQUIS_DATOS!$C$1472=1,CROQUIS_DATOS!$C$1555=1),(CROQUIS_DATOS!$C$1563+(IF(IF(OR(MOD($A257-1,62)+1=1,IF(CHOOSE(MIN(MAX(MIN(INT(($A257-1)/62)+1,5),1),5),CROQUIS_DATOS!$C$1501,CROQUIS_DATOS!$C$1505,CROQUIS_DATOS!$C$1509,CROQUIS_DATOS!$C$1513,CROQUIS_DATOS!$C$1517)=1,CROQUIS_DATOS!$C$1557,0)=0),0,IF(MOD($A257-1,62)+1&gt;2*IF(CHOOSE(MIN(MAX(MIN(INT(($A257-1)/62)+1,5),1),5),CROQUIS_DATOS!$C$1501,CROQUIS_DATOS!$C$1505,CROQUIS_DATOS!$C$1509,CROQUIS_DATOS!$C$1513,CROQUIS_DATOS!$C$1517)=1,CROQUIS_DATOS!$C$1557,0)+1,IF(MOD(IF(CHOOSE(MIN(MAX(MIN(INT(($A257-1)/62)+1,5),1),5),CROQUIS_DATOS!$C$1501,CROQUIS_DATOS!$C$1505,CROQUIS_DATOS!$C$1509,CROQUIS_DATOS!$C$1513,CROQUIS_DATOS!$C$1517)=1,CROQUIS_DATOS!$C$1557,0),2)=1,1,0),IF(MOD(MIN(INT((MOD($A257-1,62)+1-2)/2)+1,MAX(IF(CHOOSE(MIN(MAX(MIN(INT(($A257-1)/62)+1,5),1),5),CROQUIS_DATOS!$C$1501,CROQUIS_DATOS!$C$1505,CROQUIS_DATOS!$C$1509,CROQUIS_DATOS!$C$1513,CROQUIS_DATOS!$C$1517)=1,CROQUIS_DATOS!$C$1557,0),1)),2)=1,IF(MOD(MOD($A257-1,62)+1-2,2)=0,0,1),IF(MOD(MOD($A257-1,62)+1-2,2)=0,1,0))))=0,(CHOOSE(MIN(MAX(MIN(INT(($A257-1)/62)+1,5),1),5),CROQUIS_DATOS!$C$1499,CROQUIS_DATOS!$C$1503,CROQUIS_DATOS!$C$1507,CROQUIS_DATOS!$C$1511,CROQUIS_DATOS!$C$1515)+IF(CHOOSE(MIN(MAX(MIN(INT(($A257-1)/62)+1,5),1),5),CROQUIS_DATOS!$C$1501,CROQUIS_DATOS!$C$1505,CROQUIS_DATOS!$C$1509,CROQUIS_DATOS!$C$1513,CROQUIS_DATOS!$C$1517)=1,CROQUIS_DATOS!$C$1526,0)),(CHOOSE(MIN(MAX(MIN(INT(($A257-1)/62)+1,5),1),5),CROQUIS_DATOS!$C$1499,CROQUIS_DATOS!$C$1503,CROQUIS_DATOS!$C$1507,CROQUIS_DATOS!$C$1511,CROQUIS_DATOS!$C$1515)+CHOOSE(MIN(MAX(MIN(INT(($A257-1)/62)+1,5),1),5),CROQUIS_DATOS!$C$1500,CROQUIS_DATOS!$C$1504,CROQUIS_DATOS!$C$1508,CROQUIS_DATOS!$C$1512,CROQUIS_DATOS!$C$1516)-IF(CHOOSE(MIN(MAX(MIN(INT(($A257-1)/62)+1,5),1),5),CROQUIS_DATOS!$C$1501,CROQUIS_DATOS!$C$1505,CROQUIS_DATOS!$C$1509,CROQUIS_DATOS!$C$1513,CROQUIS_DATOS!$C$1517)=1,CROQUIS_DATOS!$C$1526,0))))*CROQUIS_DATOS!$C$1562),-1000)</f>
        <v>-1000</v>
      </c>
      <c r="Q257">
        <f>IF(AND(CROQUIS_DATOS!$C$1472=1,CROQUIS_DATOS!$C$1555=1),(CROQUIS_DATOS!$C$1564+(IF(OR(OR(MOD($A257-1,62)+1=1,IF(CHOOSE(MIN(MAX(MIN(INT(($A257-1)/62)+1,5),1),5),CROQUIS_DATOS!$C$1501,CROQUIS_DATOS!$C$1505,CROQUIS_DATOS!$C$1509,CROQUIS_DATOS!$C$1513,CROQUIS_DATOS!$C$1517)=1,CROQUIS_DATOS!$C$1557,0)=0),MOD($A257-1,62)+1&gt;2*IF(CHOOSE(MIN(MAX(MIN(INT(($A257-1)/62)+1,5),1),5),CROQUIS_DATOS!$C$1501,CROQUIS_DATOS!$C$1505,CROQUIS_DATOS!$C$1509,CROQUIS_DATOS!$C$1513,CROQUIS_DATOS!$C$1517)=1,CROQUIS_DATOS!$C$1557,0)+1),CROQUIS_DATOS!$C$1476,MIN(INT((MOD($A257-1,62)+1-2)/2)+1,MAX(IF(CHOOSE(MIN(MAX(MIN(INT(($A257-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7">
        <f>IF(AND(CROQUIS_DATOS!$C$1472=1,1),(CROQUIS_DATOS!$C$1563+(MIN(INT(($A257-1)/2)+1,CROQUIS_DATOS!$C$1558)*CROQUIS_DATOS!$C$1559)*CROQUIS_DATOS!$C$1562),-1000)</f>
        <v>82.2281167108753</v>
      </c>
      <c r="U257">
        <f>IF(AND(CROQUIS_DATOS!$C$1472=1,1),(CROQUIS_DATOS!$C$1564+(IF(INT(($A257-1)/2)+1&gt;CROQUIS_DATOS!$C$1558,IF(MOD(CROQUIS_DATOS!$C$1558,2)=1,CROQUIS_DATOS!$C$1476+CROQUIS_DATOS!$C$1528,CROQUIS_DATOS!$C$1476),IF(IF(MOD(MIN(INT(($A257-1)/2)+1,CROQUIS_DATOS!$C$1558),2)=1,MOD($A257-1,2),1-MOD($A257-1,2))=1,CROQUIS_DATOS!$C$1476+CROQUIS_DATOS!$C$1528,CROQUIS_DATOS!$C$1476)))*CROQUIS_DATOS!$C$1561*CROQUIS_DATOS!$C$1562),-1000)</f>
        <v>43</v>
      </c>
    </row>
    <row r="258">
      <c r="A258" t="n">
        <v>251</v>
      </c>
      <c r="N258">
        <f>IF(AND(CROQUIS_DATOS!$C$1472=1,1),(CROQUIS_DATOS!$C$1563+(IF(IF(IF(INT(($A258-1)/70)+1&gt;CROQUIS_DATOS!$C$1525,70,MOD($A258-1,70)+1)=1,0,IF(IF(INT(($A258-1)/70)+1&gt;CROQUIS_DATOS!$C$1525,70,MOD($A258-1,70)+1)&gt;2*CROQUIS_DATOS!$C$1541+1,IF(MOD(CROQUIS_DATOS!$C$1541,2)=1,1,0),IF(MOD(MIN(INT((IF(INT(($A258-1)/70)+1&gt;CROQUIS_DATOS!$C$1525,70,MOD($A258-1,70)+1)-2)/2)+1,CROQUIS_DATOS!$C$1541),2)=1,IF(MOD(IF(INT(($A258-1)/70)+1&gt;CROQUIS_DATOS!$C$1525,70,MOD($A258-1,70)+1)-2,2)=0,0,1),IF(MOD(IF(INT(($A258-1)/70)+1&gt;CROQUIS_DATOS!$C$1525,70,MOD($A258-1,70)+1)-2,2)=0,1,0))))=0,(INDEX($E$8:$E$23,MIN(INT(($A258-1)/70)+1,CROQUIS_DATOS!$C$1525))-INDEX($F$8:$F$23,MIN(INT(($A258-1)/70)+1,CROQUIS_DATOS!$C$1525))/2),(INDEX($E$8:$E$23,MIN(INT(($A258-1)/70)+1,CROQUIS_DATOS!$C$1525))+INDEX($F$8:$F$23,MIN(INT(($A258-1)/70)+1,CROQUIS_DATOS!$C$1525))/2)))*CROQUIS_DATOS!$C$1562),-1000)</f>
        <v>45.1120689655172</v>
      </c>
      <c r="O258">
        <f>IF(AND(CROQUIS_DATOS!$C$1472=1,1),(CROQUIS_DATOS!$C$1564+(IF(OR(IF(INT(($A258-1)/70)+1&gt;CROQUIS_DATOS!$C$1525,70,MOD($A258-1,70)+1)=1,IF(INT(($A258-1)/70)+1&gt;CROQUIS_DATOS!$C$1525,70,MOD($A258-1,70)+1)&gt;2*CROQUIS_DATOS!$C$1541+1),CROQUIS_DATOS!$C$1476,INDEX($H$8:$H$41,MIN(INT((IF(INT(($A258-1)/70)+1&gt;CROQUIS_DATOS!$C$1525,70,MOD($A258-1,70)+1)-2)/2)+1,CROQUIS_DATOS!$C$1541))))*CROQUIS_DATOS!$C$1561*CROQUIS_DATOS!$C$1562),-1000)</f>
        <v>40.2068965517241</v>
      </c>
      <c r="P258">
        <f>IF(AND(CROQUIS_DATOS!$C$1472=1,CROQUIS_DATOS!$C$1555=1),(CROQUIS_DATOS!$C$1563+(IF(IF(OR(MOD($A258-1,62)+1=1,IF(CHOOSE(MIN(MAX(MIN(INT(($A258-1)/62)+1,5),1),5),CROQUIS_DATOS!$C$1501,CROQUIS_DATOS!$C$1505,CROQUIS_DATOS!$C$1509,CROQUIS_DATOS!$C$1513,CROQUIS_DATOS!$C$1517)=1,CROQUIS_DATOS!$C$1557,0)=0),0,IF(MOD($A258-1,62)+1&gt;2*IF(CHOOSE(MIN(MAX(MIN(INT(($A258-1)/62)+1,5),1),5),CROQUIS_DATOS!$C$1501,CROQUIS_DATOS!$C$1505,CROQUIS_DATOS!$C$1509,CROQUIS_DATOS!$C$1513,CROQUIS_DATOS!$C$1517)=1,CROQUIS_DATOS!$C$1557,0)+1,IF(MOD(IF(CHOOSE(MIN(MAX(MIN(INT(($A258-1)/62)+1,5),1),5),CROQUIS_DATOS!$C$1501,CROQUIS_DATOS!$C$1505,CROQUIS_DATOS!$C$1509,CROQUIS_DATOS!$C$1513,CROQUIS_DATOS!$C$1517)=1,CROQUIS_DATOS!$C$1557,0),2)=1,1,0),IF(MOD(MIN(INT((MOD($A258-1,62)+1-2)/2)+1,MAX(IF(CHOOSE(MIN(MAX(MIN(INT(($A258-1)/62)+1,5),1),5),CROQUIS_DATOS!$C$1501,CROQUIS_DATOS!$C$1505,CROQUIS_DATOS!$C$1509,CROQUIS_DATOS!$C$1513,CROQUIS_DATOS!$C$1517)=1,CROQUIS_DATOS!$C$1557,0),1)),2)=1,IF(MOD(MOD($A258-1,62)+1-2,2)=0,0,1),IF(MOD(MOD($A258-1,62)+1-2,2)=0,1,0))))=0,(CHOOSE(MIN(MAX(MIN(INT(($A258-1)/62)+1,5),1),5),CROQUIS_DATOS!$C$1499,CROQUIS_DATOS!$C$1503,CROQUIS_DATOS!$C$1507,CROQUIS_DATOS!$C$1511,CROQUIS_DATOS!$C$1515)+IF(CHOOSE(MIN(MAX(MIN(INT(($A258-1)/62)+1,5),1),5),CROQUIS_DATOS!$C$1501,CROQUIS_DATOS!$C$1505,CROQUIS_DATOS!$C$1509,CROQUIS_DATOS!$C$1513,CROQUIS_DATOS!$C$1517)=1,CROQUIS_DATOS!$C$1526,0)),(CHOOSE(MIN(MAX(MIN(INT(($A258-1)/62)+1,5),1),5),CROQUIS_DATOS!$C$1499,CROQUIS_DATOS!$C$1503,CROQUIS_DATOS!$C$1507,CROQUIS_DATOS!$C$1511,CROQUIS_DATOS!$C$1515)+CHOOSE(MIN(MAX(MIN(INT(($A258-1)/62)+1,5),1),5),CROQUIS_DATOS!$C$1500,CROQUIS_DATOS!$C$1504,CROQUIS_DATOS!$C$1508,CROQUIS_DATOS!$C$1512,CROQUIS_DATOS!$C$1516)-IF(CHOOSE(MIN(MAX(MIN(INT(($A258-1)/62)+1,5),1),5),CROQUIS_DATOS!$C$1501,CROQUIS_DATOS!$C$1505,CROQUIS_DATOS!$C$1509,CROQUIS_DATOS!$C$1513,CROQUIS_DATOS!$C$1517)=1,CROQUIS_DATOS!$C$1526,0))))*CROQUIS_DATOS!$C$1562),-1000)</f>
        <v>-1000</v>
      </c>
      <c r="Q258">
        <f>IF(AND(CROQUIS_DATOS!$C$1472=1,CROQUIS_DATOS!$C$1555=1),(CROQUIS_DATOS!$C$1564+(IF(OR(OR(MOD($A258-1,62)+1=1,IF(CHOOSE(MIN(MAX(MIN(INT(($A258-1)/62)+1,5),1),5),CROQUIS_DATOS!$C$1501,CROQUIS_DATOS!$C$1505,CROQUIS_DATOS!$C$1509,CROQUIS_DATOS!$C$1513,CROQUIS_DATOS!$C$1517)=1,CROQUIS_DATOS!$C$1557,0)=0),MOD($A258-1,62)+1&gt;2*IF(CHOOSE(MIN(MAX(MIN(INT(($A258-1)/62)+1,5),1),5),CROQUIS_DATOS!$C$1501,CROQUIS_DATOS!$C$1505,CROQUIS_DATOS!$C$1509,CROQUIS_DATOS!$C$1513,CROQUIS_DATOS!$C$1517)=1,CROQUIS_DATOS!$C$1557,0)+1),CROQUIS_DATOS!$C$1476,MIN(INT((MOD($A258-1,62)+1-2)/2)+1,MAX(IF(CHOOSE(MIN(MAX(MIN(INT(($A258-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8">
        <f>IF(AND(CROQUIS_DATOS!$C$1472=1,1),(CROQUIS_DATOS!$C$1563+(MIN(INT(($A258-1)/2)+1,CROQUIS_DATOS!$C$1558)*CROQUIS_DATOS!$C$1559)*CROQUIS_DATOS!$C$1562),-1000)</f>
        <v>82.2281167108753</v>
      </c>
      <c r="U258">
        <f>IF(AND(CROQUIS_DATOS!$C$1472=1,1),(CROQUIS_DATOS!$C$1564+(IF(INT(($A258-1)/2)+1&gt;CROQUIS_DATOS!$C$1558,IF(MOD(CROQUIS_DATOS!$C$1558,2)=1,CROQUIS_DATOS!$C$1476+CROQUIS_DATOS!$C$1528,CROQUIS_DATOS!$C$1476),IF(IF(MOD(MIN(INT(($A258-1)/2)+1,CROQUIS_DATOS!$C$1558),2)=1,MOD($A258-1,2),1-MOD($A258-1,2))=1,CROQUIS_DATOS!$C$1476+CROQUIS_DATOS!$C$1528,CROQUIS_DATOS!$C$1476)))*CROQUIS_DATOS!$C$1561*CROQUIS_DATOS!$C$1562),-1000)</f>
        <v>43</v>
      </c>
    </row>
    <row r="259">
      <c r="A259" t="n">
        <v>252</v>
      </c>
      <c r="N259">
        <f>IF(AND(CROQUIS_DATOS!$C$1472=1,1),(CROQUIS_DATOS!$C$1563+(IF(IF(IF(INT(($A259-1)/70)+1&gt;CROQUIS_DATOS!$C$1525,70,MOD($A259-1,70)+1)=1,0,IF(IF(INT(($A259-1)/70)+1&gt;CROQUIS_DATOS!$C$1525,70,MOD($A259-1,70)+1)&gt;2*CROQUIS_DATOS!$C$1541+1,IF(MOD(CROQUIS_DATOS!$C$1541,2)=1,1,0),IF(MOD(MIN(INT((IF(INT(($A259-1)/70)+1&gt;CROQUIS_DATOS!$C$1525,70,MOD($A259-1,70)+1)-2)/2)+1,CROQUIS_DATOS!$C$1541),2)=1,IF(MOD(IF(INT(($A259-1)/70)+1&gt;CROQUIS_DATOS!$C$1525,70,MOD($A259-1,70)+1)-2,2)=0,0,1),IF(MOD(IF(INT(($A259-1)/70)+1&gt;CROQUIS_DATOS!$C$1525,70,MOD($A259-1,70)+1)-2,2)=0,1,0))))=0,(INDEX($E$8:$E$23,MIN(INT(($A259-1)/70)+1,CROQUIS_DATOS!$C$1525))-INDEX($F$8:$F$23,MIN(INT(($A259-1)/70)+1,CROQUIS_DATOS!$C$1525))/2),(INDEX($E$8:$E$23,MIN(INT(($A259-1)/70)+1,CROQUIS_DATOS!$C$1525))+INDEX($F$8:$F$23,MIN(INT(($A259-1)/70)+1,CROQUIS_DATOS!$C$1525))/2)))*CROQUIS_DATOS!$C$1562),-1000)</f>
        <v>45.1120689655172</v>
      </c>
      <c r="O259">
        <f>IF(AND(CROQUIS_DATOS!$C$1472=1,1),(CROQUIS_DATOS!$C$1564+(IF(OR(IF(INT(($A259-1)/70)+1&gt;CROQUIS_DATOS!$C$1525,70,MOD($A259-1,70)+1)=1,IF(INT(($A259-1)/70)+1&gt;CROQUIS_DATOS!$C$1525,70,MOD($A259-1,70)+1)&gt;2*CROQUIS_DATOS!$C$1541+1),CROQUIS_DATOS!$C$1476,INDEX($H$8:$H$41,MIN(INT((IF(INT(($A259-1)/70)+1&gt;CROQUIS_DATOS!$C$1525,70,MOD($A259-1,70)+1)-2)/2)+1,CROQUIS_DATOS!$C$1541))))*CROQUIS_DATOS!$C$1561*CROQUIS_DATOS!$C$1562),-1000)</f>
        <v>40.2068965517241</v>
      </c>
      <c r="P259">
        <f>IF(AND(CROQUIS_DATOS!$C$1472=1,CROQUIS_DATOS!$C$1555=1),(CROQUIS_DATOS!$C$1563+(IF(IF(OR(MOD($A259-1,62)+1=1,IF(CHOOSE(MIN(MAX(MIN(INT(($A259-1)/62)+1,5),1),5),CROQUIS_DATOS!$C$1501,CROQUIS_DATOS!$C$1505,CROQUIS_DATOS!$C$1509,CROQUIS_DATOS!$C$1513,CROQUIS_DATOS!$C$1517)=1,CROQUIS_DATOS!$C$1557,0)=0),0,IF(MOD($A259-1,62)+1&gt;2*IF(CHOOSE(MIN(MAX(MIN(INT(($A259-1)/62)+1,5),1),5),CROQUIS_DATOS!$C$1501,CROQUIS_DATOS!$C$1505,CROQUIS_DATOS!$C$1509,CROQUIS_DATOS!$C$1513,CROQUIS_DATOS!$C$1517)=1,CROQUIS_DATOS!$C$1557,0)+1,IF(MOD(IF(CHOOSE(MIN(MAX(MIN(INT(($A259-1)/62)+1,5),1),5),CROQUIS_DATOS!$C$1501,CROQUIS_DATOS!$C$1505,CROQUIS_DATOS!$C$1509,CROQUIS_DATOS!$C$1513,CROQUIS_DATOS!$C$1517)=1,CROQUIS_DATOS!$C$1557,0),2)=1,1,0),IF(MOD(MIN(INT((MOD($A259-1,62)+1-2)/2)+1,MAX(IF(CHOOSE(MIN(MAX(MIN(INT(($A259-1)/62)+1,5),1),5),CROQUIS_DATOS!$C$1501,CROQUIS_DATOS!$C$1505,CROQUIS_DATOS!$C$1509,CROQUIS_DATOS!$C$1513,CROQUIS_DATOS!$C$1517)=1,CROQUIS_DATOS!$C$1557,0),1)),2)=1,IF(MOD(MOD($A259-1,62)+1-2,2)=0,0,1),IF(MOD(MOD($A259-1,62)+1-2,2)=0,1,0))))=0,(CHOOSE(MIN(MAX(MIN(INT(($A259-1)/62)+1,5),1),5),CROQUIS_DATOS!$C$1499,CROQUIS_DATOS!$C$1503,CROQUIS_DATOS!$C$1507,CROQUIS_DATOS!$C$1511,CROQUIS_DATOS!$C$1515)+IF(CHOOSE(MIN(MAX(MIN(INT(($A259-1)/62)+1,5),1),5),CROQUIS_DATOS!$C$1501,CROQUIS_DATOS!$C$1505,CROQUIS_DATOS!$C$1509,CROQUIS_DATOS!$C$1513,CROQUIS_DATOS!$C$1517)=1,CROQUIS_DATOS!$C$1526,0)),(CHOOSE(MIN(MAX(MIN(INT(($A259-1)/62)+1,5),1),5),CROQUIS_DATOS!$C$1499,CROQUIS_DATOS!$C$1503,CROQUIS_DATOS!$C$1507,CROQUIS_DATOS!$C$1511,CROQUIS_DATOS!$C$1515)+CHOOSE(MIN(MAX(MIN(INT(($A259-1)/62)+1,5),1),5),CROQUIS_DATOS!$C$1500,CROQUIS_DATOS!$C$1504,CROQUIS_DATOS!$C$1508,CROQUIS_DATOS!$C$1512,CROQUIS_DATOS!$C$1516)-IF(CHOOSE(MIN(MAX(MIN(INT(($A259-1)/62)+1,5),1),5),CROQUIS_DATOS!$C$1501,CROQUIS_DATOS!$C$1505,CROQUIS_DATOS!$C$1509,CROQUIS_DATOS!$C$1513,CROQUIS_DATOS!$C$1517)=1,CROQUIS_DATOS!$C$1526,0))))*CROQUIS_DATOS!$C$1562),-1000)</f>
        <v>-1000</v>
      </c>
      <c r="Q259">
        <f>IF(AND(CROQUIS_DATOS!$C$1472=1,CROQUIS_DATOS!$C$1555=1),(CROQUIS_DATOS!$C$1564+(IF(OR(OR(MOD($A259-1,62)+1=1,IF(CHOOSE(MIN(MAX(MIN(INT(($A259-1)/62)+1,5),1),5),CROQUIS_DATOS!$C$1501,CROQUIS_DATOS!$C$1505,CROQUIS_DATOS!$C$1509,CROQUIS_DATOS!$C$1513,CROQUIS_DATOS!$C$1517)=1,CROQUIS_DATOS!$C$1557,0)=0),MOD($A259-1,62)+1&gt;2*IF(CHOOSE(MIN(MAX(MIN(INT(($A259-1)/62)+1,5),1),5),CROQUIS_DATOS!$C$1501,CROQUIS_DATOS!$C$1505,CROQUIS_DATOS!$C$1509,CROQUIS_DATOS!$C$1513,CROQUIS_DATOS!$C$1517)=1,CROQUIS_DATOS!$C$1557,0)+1),CROQUIS_DATOS!$C$1476,MIN(INT((MOD($A259-1,62)+1-2)/2)+1,MAX(IF(CHOOSE(MIN(MAX(MIN(INT(($A259-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59">
        <f>IF(AND(CROQUIS_DATOS!$C$1472=1,1),(CROQUIS_DATOS!$C$1563+(MIN(INT(($A259-1)/2)+1,CROQUIS_DATOS!$C$1558)*CROQUIS_DATOS!$C$1559)*CROQUIS_DATOS!$C$1562),-1000)</f>
        <v>82.2281167108753</v>
      </c>
      <c r="U259">
        <f>IF(AND(CROQUIS_DATOS!$C$1472=1,1),(CROQUIS_DATOS!$C$1564+(IF(INT(($A259-1)/2)+1&gt;CROQUIS_DATOS!$C$1558,IF(MOD(CROQUIS_DATOS!$C$1558,2)=1,CROQUIS_DATOS!$C$1476+CROQUIS_DATOS!$C$1528,CROQUIS_DATOS!$C$1476),IF(IF(MOD(MIN(INT(($A259-1)/2)+1,CROQUIS_DATOS!$C$1558),2)=1,MOD($A259-1,2),1-MOD($A259-1,2))=1,CROQUIS_DATOS!$C$1476+CROQUIS_DATOS!$C$1528,CROQUIS_DATOS!$C$1476)))*CROQUIS_DATOS!$C$1561*CROQUIS_DATOS!$C$1562),-1000)</f>
        <v>43</v>
      </c>
    </row>
    <row r="260">
      <c r="A260" t="n">
        <v>253</v>
      </c>
      <c r="N260">
        <f>IF(AND(CROQUIS_DATOS!$C$1472=1,1),(CROQUIS_DATOS!$C$1563+(IF(IF(IF(INT(($A260-1)/70)+1&gt;CROQUIS_DATOS!$C$1525,70,MOD($A260-1,70)+1)=1,0,IF(IF(INT(($A260-1)/70)+1&gt;CROQUIS_DATOS!$C$1525,70,MOD($A260-1,70)+1)&gt;2*CROQUIS_DATOS!$C$1541+1,IF(MOD(CROQUIS_DATOS!$C$1541,2)=1,1,0),IF(MOD(MIN(INT((IF(INT(($A260-1)/70)+1&gt;CROQUIS_DATOS!$C$1525,70,MOD($A260-1,70)+1)-2)/2)+1,CROQUIS_DATOS!$C$1541),2)=1,IF(MOD(IF(INT(($A260-1)/70)+1&gt;CROQUIS_DATOS!$C$1525,70,MOD($A260-1,70)+1)-2,2)=0,0,1),IF(MOD(IF(INT(($A260-1)/70)+1&gt;CROQUIS_DATOS!$C$1525,70,MOD($A260-1,70)+1)-2,2)=0,1,0))))=0,(INDEX($E$8:$E$23,MIN(INT(($A260-1)/70)+1,CROQUIS_DATOS!$C$1525))-INDEX($F$8:$F$23,MIN(INT(($A260-1)/70)+1,CROQUIS_DATOS!$C$1525))/2),(INDEX($E$8:$E$23,MIN(INT(($A260-1)/70)+1,CROQUIS_DATOS!$C$1525))+INDEX($F$8:$F$23,MIN(INT(($A260-1)/70)+1,CROQUIS_DATOS!$C$1525))/2)))*CROQUIS_DATOS!$C$1562),-1000)</f>
        <v>45.1120689655172</v>
      </c>
      <c r="O260">
        <f>IF(AND(CROQUIS_DATOS!$C$1472=1,1),(CROQUIS_DATOS!$C$1564+(IF(OR(IF(INT(($A260-1)/70)+1&gt;CROQUIS_DATOS!$C$1525,70,MOD($A260-1,70)+1)=1,IF(INT(($A260-1)/70)+1&gt;CROQUIS_DATOS!$C$1525,70,MOD($A260-1,70)+1)&gt;2*CROQUIS_DATOS!$C$1541+1),CROQUIS_DATOS!$C$1476,INDEX($H$8:$H$41,MIN(INT((IF(INT(($A260-1)/70)+1&gt;CROQUIS_DATOS!$C$1525,70,MOD($A260-1,70)+1)-2)/2)+1,CROQUIS_DATOS!$C$1541))))*CROQUIS_DATOS!$C$1561*CROQUIS_DATOS!$C$1562),-1000)</f>
        <v>40.2068965517241</v>
      </c>
      <c r="P260">
        <f>IF(AND(CROQUIS_DATOS!$C$1472=1,CROQUIS_DATOS!$C$1555=1),(CROQUIS_DATOS!$C$1563+(IF(IF(OR(MOD($A260-1,62)+1=1,IF(CHOOSE(MIN(MAX(MIN(INT(($A260-1)/62)+1,5),1),5),CROQUIS_DATOS!$C$1501,CROQUIS_DATOS!$C$1505,CROQUIS_DATOS!$C$1509,CROQUIS_DATOS!$C$1513,CROQUIS_DATOS!$C$1517)=1,CROQUIS_DATOS!$C$1557,0)=0),0,IF(MOD($A260-1,62)+1&gt;2*IF(CHOOSE(MIN(MAX(MIN(INT(($A260-1)/62)+1,5),1),5),CROQUIS_DATOS!$C$1501,CROQUIS_DATOS!$C$1505,CROQUIS_DATOS!$C$1509,CROQUIS_DATOS!$C$1513,CROQUIS_DATOS!$C$1517)=1,CROQUIS_DATOS!$C$1557,0)+1,IF(MOD(IF(CHOOSE(MIN(MAX(MIN(INT(($A260-1)/62)+1,5),1),5),CROQUIS_DATOS!$C$1501,CROQUIS_DATOS!$C$1505,CROQUIS_DATOS!$C$1509,CROQUIS_DATOS!$C$1513,CROQUIS_DATOS!$C$1517)=1,CROQUIS_DATOS!$C$1557,0),2)=1,1,0),IF(MOD(MIN(INT((MOD($A260-1,62)+1-2)/2)+1,MAX(IF(CHOOSE(MIN(MAX(MIN(INT(($A260-1)/62)+1,5),1),5),CROQUIS_DATOS!$C$1501,CROQUIS_DATOS!$C$1505,CROQUIS_DATOS!$C$1509,CROQUIS_DATOS!$C$1513,CROQUIS_DATOS!$C$1517)=1,CROQUIS_DATOS!$C$1557,0),1)),2)=1,IF(MOD(MOD($A260-1,62)+1-2,2)=0,0,1),IF(MOD(MOD($A260-1,62)+1-2,2)=0,1,0))))=0,(CHOOSE(MIN(MAX(MIN(INT(($A260-1)/62)+1,5),1),5),CROQUIS_DATOS!$C$1499,CROQUIS_DATOS!$C$1503,CROQUIS_DATOS!$C$1507,CROQUIS_DATOS!$C$1511,CROQUIS_DATOS!$C$1515)+IF(CHOOSE(MIN(MAX(MIN(INT(($A260-1)/62)+1,5),1),5),CROQUIS_DATOS!$C$1501,CROQUIS_DATOS!$C$1505,CROQUIS_DATOS!$C$1509,CROQUIS_DATOS!$C$1513,CROQUIS_DATOS!$C$1517)=1,CROQUIS_DATOS!$C$1526,0)),(CHOOSE(MIN(MAX(MIN(INT(($A260-1)/62)+1,5),1),5),CROQUIS_DATOS!$C$1499,CROQUIS_DATOS!$C$1503,CROQUIS_DATOS!$C$1507,CROQUIS_DATOS!$C$1511,CROQUIS_DATOS!$C$1515)+CHOOSE(MIN(MAX(MIN(INT(($A260-1)/62)+1,5),1),5),CROQUIS_DATOS!$C$1500,CROQUIS_DATOS!$C$1504,CROQUIS_DATOS!$C$1508,CROQUIS_DATOS!$C$1512,CROQUIS_DATOS!$C$1516)-IF(CHOOSE(MIN(MAX(MIN(INT(($A260-1)/62)+1,5),1),5),CROQUIS_DATOS!$C$1501,CROQUIS_DATOS!$C$1505,CROQUIS_DATOS!$C$1509,CROQUIS_DATOS!$C$1513,CROQUIS_DATOS!$C$1517)=1,CROQUIS_DATOS!$C$1526,0))))*CROQUIS_DATOS!$C$1562),-1000)</f>
        <v>-1000</v>
      </c>
      <c r="Q260">
        <f>IF(AND(CROQUIS_DATOS!$C$1472=1,CROQUIS_DATOS!$C$1555=1),(CROQUIS_DATOS!$C$1564+(IF(OR(OR(MOD($A260-1,62)+1=1,IF(CHOOSE(MIN(MAX(MIN(INT(($A260-1)/62)+1,5),1),5),CROQUIS_DATOS!$C$1501,CROQUIS_DATOS!$C$1505,CROQUIS_DATOS!$C$1509,CROQUIS_DATOS!$C$1513,CROQUIS_DATOS!$C$1517)=1,CROQUIS_DATOS!$C$1557,0)=0),MOD($A260-1,62)+1&gt;2*IF(CHOOSE(MIN(MAX(MIN(INT(($A260-1)/62)+1,5),1),5),CROQUIS_DATOS!$C$1501,CROQUIS_DATOS!$C$1505,CROQUIS_DATOS!$C$1509,CROQUIS_DATOS!$C$1513,CROQUIS_DATOS!$C$1517)=1,CROQUIS_DATOS!$C$1557,0)+1),CROQUIS_DATOS!$C$1476,MIN(INT((MOD($A260-1,62)+1-2)/2)+1,MAX(IF(CHOOSE(MIN(MAX(MIN(INT(($A260-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0">
        <f>IF(AND(CROQUIS_DATOS!$C$1472=1,1),(CROQUIS_DATOS!$C$1563+(MIN(INT(($A260-1)/2)+1,CROQUIS_DATOS!$C$1558)*CROQUIS_DATOS!$C$1559)*CROQUIS_DATOS!$C$1562),-1000)</f>
        <v>82.2281167108753</v>
      </c>
      <c r="U260">
        <f>IF(AND(CROQUIS_DATOS!$C$1472=1,1),(CROQUIS_DATOS!$C$1564+(IF(INT(($A260-1)/2)+1&gt;CROQUIS_DATOS!$C$1558,IF(MOD(CROQUIS_DATOS!$C$1558,2)=1,CROQUIS_DATOS!$C$1476+CROQUIS_DATOS!$C$1528,CROQUIS_DATOS!$C$1476),IF(IF(MOD(MIN(INT(($A260-1)/2)+1,CROQUIS_DATOS!$C$1558),2)=1,MOD($A260-1,2),1-MOD($A260-1,2))=1,CROQUIS_DATOS!$C$1476+CROQUIS_DATOS!$C$1528,CROQUIS_DATOS!$C$1476)))*CROQUIS_DATOS!$C$1561*CROQUIS_DATOS!$C$1562),-1000)</f>
        <v>43</v>
      </c>
    </row>
    <row r="261">
      <c r="A261" t="n">
        <v>254</v>
      </c>
      <c r="N261">
        <f>IF(AND(CROQUIS_DATOS!$C$1472=1,1),(CROQUIS_DATOS!$C$1563+(IF(IF(IF(INT(($A261-1)/70)+1&gt;CROQUIS_DATOS!$C$1525,70,MOD($A261-1,70)+1)=1,0,IF(IF(INT(($A261-1)/70)+1&gt;CROQUIS_DATOS!$C$1525,70,MOD($A261-1,70)+1)&gt;2*CROQUIS_DATOS!$C$1541+1,IF(MOD(CROQUIS_DATOS!$C$1541,2)=1,1,0),IF(MOD(MIN(INT((IF(INT(($A261-1)/70)+1&gt;CROQUIS_DATOS!$C$1525,70,MOD($A261-1,70)+1)-2)/2)+1,CROQUIS_DATOS!$C$1541),2)=1,IF(MOD(IF(INT(($A261-1)/70)+1&gt;CROQUIS_DATOS!$C$1525,70,MOD($A261-1,70)+1)-2,2)=0,0,1),IF(MOD(IF(INT(($A261-1)/70)+1&gt;CROQUIS_DATOS!$C$1525,70,MOD($A261-1,70)+1)-2,2)=0,1,0))))=0,(INDEX($E$8:$E$23,MIN(INT(($A261-1)/70)+1,CROQUIS_DATOS!$C$1525))-INDEX($F$8:$F$23,MIN(INT(($A261-1)/70)+1,CROQUIS_DATOS!$C$1525))/2),(INDEX($E$8:$E$23,MIN(INT(($A261-1)/70)+1,CROQUIS_DATOS!$C$1525))+INDEX($F$8:$F$23,MIN(INT(($A261-1)/70)+1,CROQUIS_DATOS!$C$1525))/2)))*CROQUIS_DATOS!$C$1562),-1000)</f>
        <v>45.1120689655172</v>
      </c>
      <c r="O261">
        <f>IF(AND(CROQUIS_DATOS!$C$1472=1,1),(CROQUIS_DATOS!$C$1564+(IF(OR(IF(INT(($A261-1)/70)+1&gt;CROQUIS_DATOS!$C$1525,70,MOD($A261-1,70)+1)=1,IF(INT(($A261-1)/70)+1&gt;CROQUIS_DATOS!$C$1525,70,MOD($A261-1,70)+1)&gt;2*CROQUIS_DATOS!$C$1541+1),CROQUIS_DATOS!$C$1476,INDEX($H$8:$H$41,MIN(INT((IF(INT(($A261-1)/70)+1&gt;CROQUIS_DATOS!$C$1525,70,MOD($A261-1,70)+1)-2)/2)+1,CROQUIS_DATOS!$C$1541))))*CROQUIS_DATOS!$C$1561*CROQUIS_DATOS!$C$1562),-1000)</f>
        <v>40.2068965517241</v>
      </c>
      <c r="P261">
        <f>IF(AND(CROQUIS_DATOS!$C$1472=1,CROQUIS_DATOS!$C$1555=1),(CROQUIS_DATOS!$C$1563+(IF(IF(OR(MOD($A261-1,62)+1=1,IF(CHOOSE(MIN(MAX(MIN(INT(($A261-1)/62)+1,5),1),5),CROQUIS_DATOS!$C$1501,CROQUIS_DATOS!$C$1505,CROQUIS_DATOS!$C$1509,CROQUIS_DATOS!$C$1513,CROQUIS_DATOS!$C$1517)=1,CROQUIS_DATOS!$C$1557,0)=0),0,IF(MOD($A261-1,62)+1&gt;2*IF(CHOOSE(MIN(MAX(MIN(INT(($A261-1)/62)+1,5),1),5),CROQUIS_DATOS!$C$1501,CROQUIS_DATOS!$C$1505,CROQUIS_DATOS!$C$1509,CROQUIS_DATOS!$C$1513,CROQUIS_DATOS!$C$1517)=1,CROQUIS_DATOS!$C$1557,0)+1,IF(MOD(IF(CHOOSE(MIN(MAX(MIN(INT(($A261-1)/62)+1,5),1),5),CROQUIS_DATOS!$C$1501,CROQUIS_DATOS!$C$1505,CROQUIS_DATOS!$C$1509,CROQUIS_DATOS!$C$1513,CROQUIS_DATOS!$C$1517)=1,CROQUIS_DATOS!$C$1557,0),2)=1,1,0),IF(MOD(MIN(INT((MOD($A261-1,62)+1-2)/2)+1,MAX(IF(CHOOSE(MIN(MAX(MIN(INT(($A261-1)/62)+1,5),1),5),CROQUIS_DATOS!$C$1501,CROQUIS_DATOS!$C$1505,CROQUIS_DATOS!$C$1509,CROQUIS_DATOS!$C$1513,CROQUIS_DATOS!$C$1517)=1,CROQUIS_DATOS!$C$1557,0),1)),2)=1,IF(MOD(MOD($A261-1,62)+1-2,2)=0,0,1),IF(MOD(MOD($A261-1,62)+1-2,2)=0,1,0))))=0,(CHOOSE(MIN(MAX(MIN(INT(($A261-1)/62)+1,5),1),5),CROQUIS_DATOS!$C$1499,CROQUIS_DATOS!$C$1503,CROQUIS_DATOS!$C$1507,CROQUIS_DATOS!$C$1511,CROQUIS_DATOS!$C$1515)+IF(CHOOSE(MIN(MAX(MIN(INT(($A261-1)/62)+1,5),1),5),CROQUIS_DATOS!$C$1501,CROQUIS_DATOS!$C$1505,CROQUIS_DATOS!$C$1509,CROQUIS_DATOS!$C$1513,CROQUIS_DATOS!$C$1517)=1,CROQUIS_DATOS!$C$1526,0)),(CHOOSE(MIN(MAX(MIN(INT(($A261-1)/62)+1,5),1),5),CROQUIS_DATOS!$C$1499,CROQUIS_DATOS!$C$1503,CROQUIS_DATOS!$C$1507,CROQUIS_DATOS!$C$1511,CROQUIS_DATOS!$C$1515)+CHOOSE(MIN(MAX(MIN(INT(($A261-1)/62)+1,5),1),5),CROQUIS_DATOS!$C$1500,CROQUIS_DATOS!$C$1504,CROQUIS_DATOS!$C$1508,CROQUIS_DATOS!$C$1512,CROQUIS_DATOS!$C$1516)-IF(CHOOSE(MIN(MAX(MIN(INT(($A261-1)/62)+1,5),1),5),CROQUIS_DATOS!$C$1501,CROQUIS_DATOS!$C$1505,CROQUIS_DATOS!$C$1509,CROQUIS_DATOS!$C$1513,CROQUIS_DATOS!$C$1517)=1,CROQUIS_DATOS!$C$1526,0))))*CROQUIS_DATOS!$C$1562),-1000)</f>
        <v>-1000</v>
      </c>
      <c r="Q261">
        <f>IF(AND(CROQUIS_DATOS!$C$1472=1,CROQUIS_DATOS!$C$1555=1),(CROQUIS_DATOS!$C$1564+(IF(OR(OR(MOD($A261-1,62)+1=1,IF(CHOOSE(MIN(MAX(MIN(INT(($A261-1)/62)+1,5),1),5),CROQUIS_DATOS!$C$1501,CROQUIS_DATOS!$C$1505,CROQUIS_DATOS!$C$1509,CROQUIS_DATOS!$C$1513,CROQUIS_DATOS!$C$1517)=1,CROQUIS_DATOS!$C$1557,0)=0),MOD($A261-1,62)+1&gt;2*IF(CHOOSE(MIN(MAX(MIN(INT(($A261-1)/62)+1,5),1),5),CROQUIS_DATOS!$C$1501,CROQUIS_DATOS!$C$1505,CROQUIS_DATOS!$C$1509,CROQUIS_DATOS!$C$1513,CROQUIS_DATOS!$C$1517)=1,CROQUIS_DATOS!$C$1557,0)+1),CROQUIS_DATOS!$C$1476,MIN(INT((MOD($A261-1,62)+1-2)/2)+1,MAX(IF(CHOOSE(MIN(MAX(MIN(INT(($A261-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1">
        <f>IF(AND(CROQUIS_DATOS!$C$1472=1,1),(CROQUIS_DATOS!$C$1563+(MIN(INT(($A261-1)/2)+1,CROQUIS_DATOS!$C$1558)*CROQUIS_DATOS!$C$1559)*CROQUIS_DATOS!$C$1562),-1000)</f>
        <v>82.2281167108753</v>
      </c>
      <c r="U261">
        <f>IF(AND(CROQUIS_DATOS!$C$1472=1,1),(CROQUIS_DATOS!$C$1564+(IF(INT(($A261-1)/2)+1&gt;CROQUIS_DATOS!$C$1558,IF(MOD(CROQUIS_DATOS!$C$1558,2)=1,CROQUIS_DATOS!$C$1476+CROQUIS_DATOS!$C$1528,CROQUIS_DATOS!$C$1476),IF(IF(MOD(MIN(INT(($A261-1)/2)+1,CROQUIS_DATOS!$C$1558),2)=1,MOD($A261-1,2),1-MOD($A261-1,2))=1,CROQUIS_DATOS!$C$1476+CROQUIS_DATOS!$C$1528,CROQUIS_DATOS!$C$1476)))*CROQUIS_DATOS!$C$1561*CROQUIS_DATOS!$C$1562),-1000)</f>
        <v>43</v>
      </c>
    </row>
    <row r="262">
      <c r="A262" t="n">
        <v>255</v>
      </c>
      <c r="N262">
        <f>IF(AND(CROQUIS_DATOS!$C$1472=1,1),(CROQUIS_DATOS!$C$1563+(IF(IF(IF(INT(($A262-1)/70)+1&gt;CROQUIS_DATOS!$C$1525,70,MOD($A262-1,70)+1)=1,0,IF(IF(INT(($A262-1)/70)+1&gt;CROQUIS_DATOS!$C$1525,70,MOD($A262-1,70)+1)&gt;2*CROQUIS_DATOS!$C$1541+1,IF(MOD(CROQUIS_DATOS!$C$1541,2)=1,1,0),IF(MOD(MIN(INT((IF(INT(($A262-1)/70)+1&gt;CROQUIS_DATOS!$C$1525,70,MOD($A262-1,70)+1)-2)/2)+1,CROQUIS_DATOS!$C$1541),2)=1,IF(MOD(IF(INT(($A262-1)/70)+1&gt;CROQUIS_DATOS!$C$1525,70,MOD($A262-1,70)+1)-2,2)=0,0,1),IF(MOD(IF(INT(($A262-1)/70)+1&gt;CROQUIS_DATOS!$C$1525,70,MOD($A262-1,70)+1)-2,2)=0,1,0))))=0,(INDEX($E$8:$E$23,MIN(INT(($A262-1)/70)+1,CROQUIS_DATOS!$C$1525))-INDEX($F$8:$F$23,MIN(INT(($A262-1)/70)+1,CROQUIS_DATOS!$C$1525))/2),(INDEX($E$8:$E$23,MIN(INT(($A262-1)/70)+1,CROQUIS_DATOS!$C$1525))+INDEX($F$8:$F$23,MIN(INT(($A262-1)/70)+1,CROQUIS_DATOS!$C$1525))/2)))*CROQUIS_DATOS!$C$1562),-1000)</f>
        <v>45.1120689655172</v>
      </c>
      <c r="O262">
        <f>IF(AND(CROQUIS_DATOS!$C$1472=1,1),(CROQUIS_DATOS!$C$1564+(IF(OR(IF(INT(($A262-1)/70)+1&gt;CROQUIS_DATOS!$C$1525,70,MOD($A262-1,70)+1)=1,IF(INT(($A262-1)/70)+1&gt;CROQUIS_DATOS!$C$1525,70,MOD($A262-1,70)+1)&gt;2*CROQUIS_DATOS!$C$1541+1),CROQUIS_DATOS!$C$1476,INDEX($H$8:$H$41,MIN(INT((IF(INT(($A262-1)/70)+1&gt;CROQUIS_DATOS!$C$1525,70,MOD($A262-1,70)+1)-2)/2)+1,CROQUIS_DATOS!$C$1541))))*CROQUIS_DATOS!$C$1561*CROQUIS_DATOS!$C$1562),-1000)</f>
        <v>40.2068965517241</v>
      </c>
      <c r="P262">
        <f>IF(AND(CROQUIS_DATOS!$C$1472=1,CROQUIS_DATOS!$C$1555=1),(CROQUIS_DATOS!$C$1563+(IF(IF(OR(MOD($A262-1,62)+1=1,IF(CHOOSE(MIN(MAX(MIN(INT(($A262-1)/62)+1,5),1),5),CROQUIS_DATOS!$C$1501,CROQUIS_DATOS!$C$1505,CROQUIS_DATOS!$C$1509,CROQUIS_DATOS!$C$1513,CROQUIS_DATOS!$C$1517)=1,CROQUIS_DATOS!$C$1557,0)=0),0,IF(MOD($A262-1,62)+1&gt;2*IF(CHOOSE(MIN(MAX(MIN(INT(($A262-1)/62)+1,5),1),5),CROQUIS_DATOS!$C$1501,CROQUIS_DATOS!$C$1505,CROQUIS_DATOS!$C$1509,CROQUIS_DATOS!$C$1513,CROQUIS_DATOS!$C$1517)=1,CROQUIS_DATOS!$C$1557,0)+1,IF(MOD(IF(CHOOSE(MIN(MAX(MIN(INT(($A262-1)/62)+1,5),1),5),CROQUIS_DATOS!$C$1501,CROQUIS_DATOS!$C$1505,CROQUIS_DATOS!$C$1509,CROQUIS_DATOS!$C$1513,CROQUIS_DATOS!$C$1517)=1,CROQUIS_DATOS!$C$1557,0),2)=1,1,0),IF(MOD(MIN(INT((MOD($A262-1,62)+1-2)/2)+1,MAX(IF(CHOOSE(MIN(MAX(MIN(INT(($A262-1)/62)+1,5),1),5),CROQUIS_DATOS!$C$1501,CROQUIS_DATOS!$C$1505,CROQUIS_DATOS!$C$1509,CROQUIS_DATOS!$C$1513,CROQUIS_DATOS!$C$1517)=1,CROQUIS_DATOS!$C$1557,0),1)),2)=1,IF(MOD(MOD($A262-1,62)+1-2,2)=0,0,1),IF(MOD(MOD($A262-1,62)+1-2,2)=0,1,0))))=0,(CHOOSE(MIN(MAX(MIN(INT(($A262-1)/62)+1,5),1),5),CROQUIS_DATOS!$C$1499,CROQUIS_DATOS!$C$1503,CROQUIS_DATOS!$C$1507,CROQUIS_DATOS!$C$1511,CROQUIS_DATOS!$C$1515)+IF(CHOOSE(MIN(MAX(MIN(INT(($A262-1)/62)+1,5),1),5),CROQUIS_DATOS!$C$1501,CROQUIS_DATOS!$C$1505,CROQUIS_DATOS!$C$1509,CROQUIS_DATOS!$C$1513,CROQUIS_DATOS!$C$1517)=1,CROQUIS_DATOS!$C$1526,0)),(CHOOSE(MIN(MAX(MIN(INT(($A262-1)/62)+1,5),1),5),CROQUIS_DATOS!$C$1499,CROQUIS_DATOS!$C$1503,CROQUIS_DATOS!$C$1507,CROQUIS_DATOS!$C$1511,CROQUIS_DATOS!$C$1515)+CHOOSE(MIN(MAX(MIN(INT(($A262-1)/62)+1,5),1),5),CROQUIS_DATOS!$C$1500,CROQUIS_DATOS!$C$1504,CROQUIS_DATOS!$C$1508,CROQUIS_DATOS!$C$1512,CROQUIS_DATOS!$C$1516)-IF(CHOOSE(MIN(MAX(MIN(INT(($A262-1)/62)+1,5),1),5),CROQUIS_DATOS!$C$1501,CROQUIS_DATOS!$C$1505,CROQUIS_DATOS!$C$1509,CROQUIS_DATOS!$C$1513,CROQUIS_DATOS!$C$1517)=1,CROQUIS_DATOS!$C$1526,0))))*CROQUIS_DATOS!$C$1562),-1000)</f>
        <v>-1000</v>
      </c>
      <c r="Q262">
        <f>IF(AND(CROQUIS_DATOS!$C$1472=1,CROQUIS_DATOS!$C$1555=1),(CROQUIS_DATOS!$C$1564+(IF(OR(OR(MOD($A262-1,62)+1=1,IF(CHOOSE(MIN(MAX(MIN(INT(($A262-1)/62)+1,5),1),5),CROQUIS_DATOS!$C$1501,CROQUIS_DATOS!$C$1505,CROQUIS_DATOS!$C$1509,CROQUIS_DATOS!$C$1513,CROQUIS_DATOS!$C$1517)=1,CROQUIS_DATOS!$C$1557,0)=0),MOD($A262-1,62)+1&gt;2*IF(CHOOSE(MIN(MAX(MIN(INT(($A262-1)/62)+1,5),1),5),CROQUIS_DATOS!$C$1501,CROQUIS_DATOS!$C$1505,CROQUIS_DATOS!$C$1509,CROQUIS_DATOS!$C$1513,CROQUIS_DATOS!$C$1517)=1,CROQUIS_DATOS!$C$1557,0)+1),CROQUIS_DATOS!$C$1476,MIN(INT((MOD($A262-1,62)+1-2)/2)+1,MAX(IF(CHOOSE(MIN(MAX(MIN(INT(($A262-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2">
        <f>IF(AND(CROQUIS_DATOS!$C$1472=1,1),(CROQUIS_DATOS!$C$1563+(MIN(INT(($A262-1)/2)+1,CROQUIS_DATOS!$C$1558)*CROQUIS_DATOS!$C$1559)*CROQUIS_DATOS!$C$1562),-1000)</f>
        <v>82.2281167108753</v>
      </c>
      <c r="U262">
        <f>IF(AND(CROQUIS_DATOS!$C$1472=1,1),(CROQUIS_DATOS!$C$1564+(IF(INT(($A262-1)/2)+1&gt;CROQUIS_DATOS!$C$1558,IF(MOD(CROQUIS_DATOS!$C$1558,2)=1,CROQUIS_DATOS!$C$1476+CROQUIS_DATOS!$C$1528,CROQUIS_DATOS!$C$1476),IF(IF(MOD(MIN(INT(($A262-1)/2)+1,CROQUIS_DATOS!$C$1558),2)=1,MOD($A262-1,2),1-MOD($A262-1,2))=1,CROQUIS_DATOS!$C$1476+CROQUIS_DATOS!$C$1528,CROQUIS_DATOS!$C$1476)))*CROQUIS_DATOS!$C$1561*CROQUIS_DATOS!$C$1562),-1000)</f>
        <v>43</v>
      </c>
    </row>
    <row r="263">
      <c r="A263" t="n">
        <v>256</v>
      </c>
      <c r="N263">
        <f>IF(AND(CROQUIS_DATOS!$C$1472=1,1),(CROQUIS_DATOS!$C$1563+(IF(IF(IF(INT(($A263-1)/70)+1&gt;CROQUIS_DATOS!$C$1525,70,MOD($A263-1,70)+1)=1,0,IF(IF(INT(($A263-1)/70)+1&gt;CROQUIS_DATOS!$C$1525,70,MOD($A263-1,70)+1)&gt;2*CROQUIS_DATOS!$C$1541+1,IF(MOD(CROQUIS_DATOS!$C$1541,2)=1,1,0),IF(MOD(MIN(INT((IF(INT(($A263-1)/70)+1&gt;CROQUIS_DATOS!$C$1525,70,MOD($A263-1,70)+1)-2)/2)+1,CROQUIS_DATOS!$C$1541),2)=1,IF(MOD(IF(INT(($A263-1)/70)+1&gt;CROQUIS_DATOS!$C$1525,70,MOD($A263-1,70)+1)-2,2)=0,0,1),IF(MOD(IF(INT(($A263-1)/70)+1&gt;CROQUIS_DATOS!$C$1525,70,MOD($A263-1,70)+1)-2,2)=0,1,0))))=0,(INDEX($E$8:$E$23,MIN(INT(($A263-1)/70)+1,CROQUIS_DATOS!$C$1525))-INDEX($F$8:$F$23,MIN(INT(($A263-1)/70)+1,CROQUIS_DATOS!$C$1525))/2),(INDEX($E$8:$E$23,MIN(INT(($A263-1)/70)+1,CROQUIS_DATOS!$C$1525))+INDEX($F$8:$F$23,MIN(INT(($A263-1)/70)+1,CROQUIS_DATOS!$C$1525))/2)))*CROQUIS_DATOS!$C$1562),-1000)</f>
        <v>45.1120689655172</v>
      </c>
      <c r="O263">
        <f>IF(AND(CROQUIS_DATOS!$C$1472=1,1),(CROQUIS_DATOS!$C$1564+(IF(OR(IF(INT(($A263-1)/70)+1&gt;CROQUIS_DATOS!$C$1525,70,MOD($A263-1,70)+1)=1,IF(INT(($A263-1)/70)+1&gt;CROQUIS_DATOS!$C$1525,70,MOD($A263-1,70)+1)&gt;2*CROQUIS_DATOS!$C$1541+1),CROQUIS_DATOS!$C$1476,INDEX($H$8:$H$41,MIN(INT((IF(INT(($A263-1)/70)+1&gt;CROQUIS_DATOS!$C$1525,70,MOD($A263-1,70)+1)-2)/2)+1,CROQUIS_DATOS!$C$1541))))*CROQUIS_DATOS!$C$1561*CROQUIS_DATOS!$C$1562),-1000)</f>
        <v>40.2068965517241</v>
      </c>
      <c r="P263">
        <f>IF(AND(CROQUIS_DATOS!$C$1472=1,CROQUIS_DATOS!$C$1555=1),(CROQUIS_DATOS!$C$1563+(IF(IF(OR(MOD($A263-1,62)+1=1,IF(CHOOSE(MIN(MAX(MIN(INT(($A263-1)/62)+1,5),1),5),CROQUIS_DATOS!$C$1501,CROQUIS_DATOS!$C$1505,CROQUIS_DATOS!$C$1509,CROQUIS_DATOS!$C$1513,CROQUIS_DATOS!$C$1517)=1,CROQUIS_DATOS!$C$1557,0)=0),0,IF(MOD($A263-1,62)+1&gt;2*IF(CHOOSE(MIN(MAX(MIN(INT(($A263-1)/62)+1,5),1),5),CROQUIS_DATOS!$C$1501,CROQUIS_DATOS!$C$1505,CROQUIS_DATOS!$C$1509,CROQUIS_DATOS!$C$1513,CROQUIS_DATOS!$C$1517)=1,CROQUIS_DATOS!$C$1557,0)+1,IF(MOD(IF(CHOOSE(MIN(MAX(MIN(INT(($A263-1)/62)+1,5),1),5),CROQUIS_DATOS!$C$1501,CROQUIS_DATOS!$C$1505,CROQUIS_DATOS!$C$1509,CROQUIS_DATOS!$C$1513,CROQUIS_DATOS!$C$1517)=1,CROQUIS_DATOS!$C$1557,0),2)=1,1,0),IF(MOD(MIN(INT((MOD($A263-1,62)+1-2)/2)+1,MAX(IF(CHOOSE(MIN(MAX(MIN(INT(($A263-1)/62)+1,5),1),5),CROQUIS_DATOS!$C$1501,CROQUIS_DATOS!$C$1505,CROQUIS_DATOS!$C$1509,CROQUIS_DATOS!$C$1513,CROQUIS_DATOS!$C$1517)=1,CROQUIS_DATOS!$C$1557,0),1)),2)=1,IF(MOD(MOD($A263-1,62)+1-2,2)=0,0,1),IF(MOD(MOD($A263-1,62)+1-2,2)=0,1,0))))=0,(CHOOSE(MIN(MAX(MIN(INT(($A263-1)/62)+1,5),1),5),CROQUIS_DATOS!$C$1499,CROQUIS_DATOS!$C$1503,CROQUIS_DATOS!$C$1507,CROQUIS_DATOS!$C$1511,CROQUIS_DATOS!$C$1515)+IF(CHOOSE(MIN(MAX(MIN(INT(($A263-1)/62)+1,5),1),5),CROQUIS_DATOS!$C$1501,CROQUIS_DATOS!$C$1505,CROQUIS_DATOS!$C$1509,CROQUIS_DATOS!$C$1513,CROQUIS_DATOS!$C$1517)=1,CROQUIS_DATOS!$C$1526,0)),(CHOOSE(MIN(MAX(MIN(INT(($A263-1)/62)+1,5),1),5),CROQUIS_DATOS!$C$1499,CROQUIS_DATOS!$C$1503,CROQUIS_DATOS!$C$1507,CROQUIS_DATOS!$C$1511,CROQUIS_DATOS!$C$1515)+CHOOSE(MIN(MAX(MIN(INT(($A263-1)/62)+1,5),1),5),CROQUIS_DATOS!$C$1500,CROQUIS_DATOS!$C$1504,CROQUIS_DATOS!$C$1508,CROQUIS_DATOS!$C$1512,CROQUIS_DATOS!$C$1516)-IF(CHOOSE(MIN(MAX(MIN(INT(($A263-1)/62)+1,5),1),5),CROQUIS_DATOS!$C$1501,CROQUIS_DATOS!$C$1505,CROQUIS_DATOS!$C$1509,CROQUIS_DATOS!$C$1513,CROQUIS_DATOS!$C$1517)=1,CROQUIS_DATOS!$C$1526,0))))*CROQUIS_DATOS!$C$1562),-1000)</f>
        <v>-1000</v>
      </c>
      <c r="Q263">
        <f>IF(AND(CROQUIS_DATOS!$C$1472=1,CROQUIS_DATOS!$C$1555=1),(CROQUIS_DATOS!$C$1564+(IF(OR(OR(MOD($A263-1,62)+1=1,IF(CHOOSE(MIN(MAX(MIN(INT(($A263-1)/62)+1,5),1),5),CROQUIS_DATOS!$C$1501,CROQUIS_DATOS!$C$1505,CROQUIS_DATOS!$C$1509,CROQUIS_DATOS!$C$1513,CROQUIS_DATOS!$C$1517)=1,CROQUIS_DATOS!$C$1557,0)=0),MOD($A263-1,62)+1&gt;2*IF(CHOOSE(MIN(MAX(MIN(INT(($A263-1)/62)+1,5),1),5),CROQUIS_DATOS!$C$1501,CROQUIS_DATOS!$C$1505,CROQUIS_DATOS!$C$1509,CROQUIS_DATOS!$C$1513,CROQUIS_DATOS!$C$1517)=1,CROQUIS_DATOS!$C$1557,0)+1),CROQUIS_DATOS!$C$1476,MIN(INT((MOD($A263-1,62)+1-2)/2)+1,MAX(IF(CHOOSE(MIN(MAX(MIN(INT(($A263-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3">
        <f>IF(AND(CROQUIS_DATOS!$C$1472=1,1),(CROQUIS_DATOS!$C$1563+(MIN(INT(($A263-1)/2)+1,CROQUIS_DATOS!$C$1558)*CROQUIS_DATOS!$C$1559)*CROQUIS_DATOS!$C$1562),-1000)</f>
        <v>82.2281167108753</v>
      </c>
      <c r="U263">
        <f>IF(AND(CROQUIS_DATOS!$C$1472=1,1),(CROQUIS_DATOS!$C$1564+(IF(INT(($A263-1)/2)+1&gt;CROQUIS_DATOS!$C$1558,IF(MOD(CROQUIS_DATOS!$C$1558,2)=1,CROQUIS_DATOS!$C$1476+CROQUIS_DATOS!$C$1528,CROQUIS_DATOS!$C$1476),IF(IF(MOD(MIN(INT(($A263-1)/2)+1,CROQUIS_DATOS!$C$1558),2)=1,MOD($A263-1,2),1-MOD($A263-1,2))=1,CROQUIS_DATOS!$C$1476+CROQUIS_DATOS!$C$1528,CROQUIS_DATOS!$C$1476)))*CROQUIS_DATOS!$C$1561*CROQUIS_DATOS!$C$1562),-1000)</f>
        <v>43</v>
      </c>
    </row>
    <row r="264">
      <c r="A264" t="n">
        <v>257</v>
      </c>
      <c r="N264">
        <f>IF(AND(CROQUIS_DATOS!$C$1472=1,1),(CROQUIS_DATOS!$C$1563+(IF(IF(IF(INT(($A264-1)/70)+1&gt;CROQUIS_DATOS!$C$1525,70,MOD($A264-1,70)+1)=1,0,IF(IF(INT(($A264-1)/70)+1&gt;CROQUIS_DATOS!$C$1525,70,MOD($A264-1,70)+1)&gt;2*CROQUIS_DATOS!$C$1541+1,IF(MOD(CROQUIS_DATOS!$C$1541,2)=1,1,0),IF(MOD(MIN(INT((IF(INT(($A264-1)/70)+1&gt;CROQUIS_DATOS!$C$1525,70,MOD($A264-1,70)+1)-2)/2)+1,CROQUIS_DATOS!$C$1541),2)=1,IF(MOD(IF(INT(($A264-1)/70)+1&gt;CROQUIS_DATOS!$C$1525,70,MOD($A264-1,70)+1)-2,2)=0,0,1),IF(MOD(IF(INT(($A264-1)/70)+1&gt;CROQUIS_DATOS!$C$1525,70,MOD($A264-1,70)+1)-2,2)=0,1,0))))=0,(INDEX($E$8:$E$23,MIN(INT(($A264-1)/70)+1,CROQUIS_DATOS!$C$1525))-INDEX($F$8:$F$23,MIN(INT(($A264-1)/70)+1,CROQUIS_DATOS!$C$1525))/2),(INDEX($E$8:$E$23,MIN(INT(($A264-1)/70)+1,CROQUIS_DATOS!$C$1525))+INDEX($F$8:$F$23,MIN(INT(($A264-1)/70)+1,CROQUIS_DATOS!$C$1525))/2)))*CROQUIS_DATOS!$C$1562),-1000)</f>
        <v>45.1120689655172</v>
      </c>
      <c r="O264">
        <f>IF(AND(CROQUIS_DATOS!$C$1472=1,1),(CROQUIS_DATOS!$C$1564+(IF(OR(IF(INT(($A264-1)/70)+1&gt;CROQUIS_DATOS!$C$1525,70,MOD($A264-1,70)+1)=1,IF(INT(($A264-1)/70)+1&gt;CROQUIS_DATOS!$C$1525,70,MOD($A264-1,70)+1)&gt;2*CROQUIS_DATOS!$C$1541+1),CROQUIS_DATOS!$C$1476,INDEX($H$8:$H$41,MIN(INT((IF(INT(($A264-1)/70)+1&gt;CROQUIS_DATOS!$C$1525,70,MOD($A264-1,70)+1)-2)/2)+1,CROQUIS_DATOS!$C$1541))))*CROQUIS_DATOS!$C$1561*CROQUIS_DATOS!$C$1562),-1000)</f>
        <v>40.2068965517241</v>
      </c>
      <c r="P264">
        <f>IF(AND(CROQUIS_DATOS!$C$1472=1,CROQUIS_DATOS!$C$1555=1),(CROQUIS_DATOS!$C$1563+(IF(IF(OR(MOD($A264-1,62)+1=1,IF(CHOOSE(MIN(MAX(MIN(INT(($A264-1)/62)+1,5),1),5),CROQUIS_DATOS!$C$1501,CROQUIS_DATOS!$C$1505,CROQUIS_DATOS!$C$1509,CROQUIS_DATOS!$C$1513,CROQUIS_DATOS!$C$1517)=1,CROQUIS_DATOS!$C$1557,0)=0),0,IF(MOD($A264-1,62)+1&gt;2*IF(CHOOSE(MIN(MAX(MIN(INT(($A264-1)/62)+1,5),1),5),CROQUIS_DATOS!$C$1501,CROQUIS_DATOS!$C$1505,CROQUIS_DATOS!$C$1509,CROQUIS_DATOS!$C$1513,CROQUIS_DATOS!$C$1517)=1,CROQUIS_DATOS!$C$1557,0)+1,IF(MOD(IF(CHOOSE(MIN(MAX(MIN(INT(($A264-1)/62)+1,5),1),5),CROQUIS_DATOS!$C$1501,CROQUIS_DATOS!$C$1505,CROQUIS_DATOS!$C$1509,CROQUIS_DATOS!$C$1513,CROQUIS_DATOS!$C$1517)=1,CROQUIS_DATOS!$C$1557,0),2)=1,1,0),IF(MOD(MIN(INT((MOD($A264-1,62)+1-2)/2)+1,MAX(IF(CHOOSE(MIN(MAX(MIN(INT(($A264-1)/62)+1,5),1),5),CROQUIS_DATOS!$C$1501,CROQUIS_DATOS!$C$1505,CROQUIS_DATOS!$C$1509,CROQUIS_DATOS!$C$1513,CROQUIS_DATOS!$C$1517)=1,CROQUIS_DATOS!$C$1557,0),1)),2)=1,IF(MOD(MOD($A264-1,62)+1-2,2)=0,0,1),IF(MOD(MOD($A264-1,62)+1-2,2)=0,1,0))))=0,(CHOOSE(MIN(MAX(MIN(INT(($A264-1)/62)+1,5),1),5),CROQUIS_DATOS!$C$1499,CROQUIS_DATOS!$C$1503,CROQUIS_DATOS!$C$1507,CROQUIS_DATOS!$C$1511,CROQUIS_DATOS!$C$1515)+IF(CHOOSE(MIN(MAX(MIN(INT(($A264-1)/62)+1,5),1),5),CROQUIS_DATOS!$C$1501,CROQUIS_DATOS!$C$1505,CROQUIS_DATOS!$C$1509,CROQUIS_DATOS!$C$1513,CROQUIS_DATOS!$C$1517)=1,CROQUIS_DATOS!$C$1526,0)),(CHOOSE(MIN(MAX(MIN(INT(($A264-1)/62)+1,5),1),5),CROQUIS_DATOS!$C$1499,CROQUIS_DATOS!$C$1503,CROQUIS_DATOS!$C$1507,CROQUIS_DATOS!$C$1511,CROQUIS_DATOS!$C$1515)+CHOOSE(MIN(MAX(MIN(INT(($A264-1)/62)+1,5),1),5),CROQUIS_DATOS!$C$1500,CROQUIS_DATOS!$C$1504,CROQUIS_DATOS!$C$1508,CROQUIS_DATOS!$C$1512,CROQUIS_DATOS!$C$1516)-IF(CHOOSE(MIN(MAX(MIN(INT(($A264-1)/62)+1,5),1),5),CROQUIS_DATOS!$C$1501,CROQUIS_DATOS!$C$1505,CROQUIS_DATOS!$C$1509,CROQUIS_DATOS!$C$1513,CROQUIS_DATOS!$C$1517)=1,CROQUIS_DATOS!$C$1526,0))))*CROQUIS_DATOS!$C$1562),-1000)</f>
        <v>-1000</v>
      </c>
      <c r="Q264">
        <f>IF(AND(CROQUIS_DATOS!$C$1472=1,CROQUIS_DATOS!$C$1555=1),(CROQUIS_DATOS!$C$1564+(IF(OR(OR(MOD($A264-1,62)+1=1,IF(CHOOSE(MIN(MAX(MIN(INT(($A264-1)/62)+1,5),1),5),CROQUIS_DATOS!$C$1501,CROQUIS_DATOS!$C$1505,CROQUIS_DATOS!$C$1509,CROQUIS_DATOS!$C$1513,CROQUIS_DATOS!$C$1517)=1,CROQUIS_DATOS!$C$1557,0)=0),MOD($A264-1,62)+1&gt;2*IF(CHOOSE(MIN(MAX(MIN(INT(($A264-1)/62)+1,5),1),5),CROQUIS_DATOS!$C$1501,CROQUIS_DATOS!$C$1505,CROQUIS_DATOS!$C$1509,CROQUIS_DATOS!$C$1513,CROQUIS_DATOS!$C$1517)=1,CROQUIS_DATOS!$C$1557,0)+1),CROQUIS_DATOS!$C$1476,MIN(INT((MOD($A264-1,62)+1-2)/2)+1,MAX(IF(CHOOSE(MIN(MAX(MIN(INT(($A264-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4">
        <f>IF(AND(CROQUIS_DATOS!$C$1472=1,1),(CROQUIS_DATOS!$C$1563+(MIN(INT(($A264-1)/2)+1,CROQUIS_DATOS!$C$1558)*CROQUIS_DATOS!$C$1559)*CROQUIS_DATOS!$C$1562),-1000)</f>
        <v>82.2281167108753</v>
      </c>
      <c r="U264">
        <f>IF(AND(CROQUIS_DATOS!$C$1472=1,1),(CROQUIS_DATOS!$C$1564+(IF(INT(($A264-1)/2)+1&gt;CROQUIS_DATOS!$C$1558,IF(MOD(CROQUIS_DATOS!$C$1558,2)=1,CROQUIS_DATOS!$C$1476+CROQUIS_DATOS!$C$1528,CROQUIS_DATOS!$C$1476),IF(IF(MOD(MIN(INT(($A264-1)/2)+1,CROQUIS_DATOS!$C$1558),2)=1,MOD($A264-1,2),1-MOD($A264-1,2))=1,CROQUIS_DATOS!$C$1476+CROQUIS_DATOS!$C$1528,CROQUIS_DATOS!$C$1476)))*CROQUIS_DATOS!$C$1561*CROQUIS_DATOS!$C$1562),-1000)</f>
        <v>43</v>
      </c>
    </row>
    <row r="265">
      <c r="A265" t="n">
        <v>258</v>
      </c>
      <c r="N265">
        <f>IF(AND(CROQUIS_DATOS!$C$1472=1,1),(CROQUIS_DATOS!$C$1563+(IF(IF(IF(INT(($A265-1)/70)+1&gt;CROQUIS_DATOS!$C$1525,70,MOD($A265-1,70)+1)=1,0,IF(IF(INT(($A265-1)/70)+1&gt;CROQUIS_DATOS!$C$1525,70,MOD($A265-1,70)+1)&gt;2*CROQUIS_DATOS!$C$1541+1,IF(MOD(CROQUIS_DATOS!$C$1541,2)=1,1,0),IF(MOD(MIN(INT((IF(INT(($A265-1)/70)+1&gt;CROQUIS_DATOS!$C$1525,70,MOD($A265-1,70)+1)-2)/2)+1,CROQUIS_DATOS!$C$1541),2)=1,IF(MOD(IF(INT(($A265-1)/70)+1&gt;CROQUIS_DATOS!$C$1525,70,MOD($A265-1,70)+1)-2,2)=0,0,1),IF(MOD(IF(INT(($A265-1)/70)+1&gt;CROQUIS_DATOS!$C$1525,70,MOD($A265-1,70)+1)-2,2)=0,1,0))))=0,(INDEX($E$8:$E$23,MIN(INT(($A265-1)/70)+1,CROQUIS_DATOS!$C$1525))-INDEX($F$8:$F$23,MIN(INT(($A265-1)/70)+1,CROQUIS_DATOS!$C$1525))/2),(INDEX($E$8:$E$23,MIN(INT(($A265-1)/70)+1,CROQUIS_DATOS!$C$1525))+INDEX($F$8:$F$23,MIN(INT(($A265-1)/70)+1,CROQUIS_DATOS!$C$1525))/2)))*CROQUIS_DATOS!$C$1562),-1000)</f>
        <v>45.1120689655172</v>
      </c>
      <c r="O265">
        <f>IF(AND(CROQUIS_DATOS!$C$1472=1,1),(CROQUIS_DATOS!$C$1564+(IF(OR(IF(INT(($A265-1)/70)+1&gt;CROQUIS_DATOS!$C$1525,70,MOD($A265-1,70)+1)=1,IF(INT(($A265-1)/70)+1&gt;CROQUIS_DATOS!$C$1525,70,MOD($A265-1,70)+1)&gt;2*CROQUIS_DATOS!$C$1541+1),CROQUIS_DATOS!$C$1476,INDEX($H$8:$H$41,MIN(INT((IF(INT(($A265-1)/70)+1&gt;CROQUIS_DATOS!$C$1525,70,MOD($A265-1,70)+1)-2)/2)+1,CROQUIS_DATOS!$C$1541))))*CROQUIS_DATOS!$C$1561*CROQUIS_DATOS!$C$1562),-1000)</f>
        <v>40.2068965517241</v>
      </c>
      <c r="P265">
        <f>IF(AND(CROQUIS_DATOS!$C$1472=1,CROQUIS_DATOS!$C$1555=1),(CROQUIS_DATOS!$C$1563+(IF(IF(OR(MOD($A265-1,62)+1=1,IF(CHOOSE(MIN(MAX(MIN(INT(($A265-1)/62)+1,5),1),5),CROQUIS_DATOS!$C$1501,CROQUIS_DATOS!$C$1505,CROQUIS_DATOS!$C$1509,CROQUIS_DATOS!$C$1513,CROQUIS_DATOS!$C$1517)=1,CROQUIS_DATOS!$C$1557,0)=0),0,IF(MOD($A265-1,62)+1&gt;2*IF(CHOOSE(MIN(MAX(MIN(INT(($A265-1)/62)+1,5),1),5),CROQUIS_DATOS!$C$1501,CROQUIS_DATOS!$C$1505,CROQUIS_DATOS!$C$1509,CROQUIS_DATOS!$C$1513,CROQUIS_DATOS!$C$1517)=1,CROQUIS_DATOS!$C$1557,0)+1,IF(MOD(IF(CHOOSE(MIN(MAX(MIN(INT(($A265-1)/62)+1,5),1),5),CROQUIS_DATOS!$C$1501,CROQUIS_DATOS!$C$1505,CROQUIS_DATOS!$C$1509,CROQUIS_DATOS!$C$1513,CROQUIS_DATOS!$C$1517)=1,CROQUIS_DATOS!$C$1557,0),2)=1,1,0),IF(MOD(MIN(INT((MOD($A265-1,62)+1-2)/2)+1,MAX(IF(CHOOSE(MIN(MAX(MIN(INT(($A265-1)/62)+1,5),1),5),CROQUIS_DATOS!$C$1501,CROQUIS_DATOS!$C$1505,CROQUIS_DATOS!$C$1509,CROQUIS_DATOS!$C$1513,CROQUIS_DATOS!$C$1517)=1,CROQUIS_DATOS!$C$1557,0),1)),2)=1,IF(MOD(MOD($A265-1,62)+1-2,2)=0,0,1),IF(MOD(MOD($A265-1,62)+1-2,2)=0,1,0))))=0,(CHOOSE(MIN(MAX(MIN(INT(($A265-1)/62)+1,5),1),5),CROQUIS_DATOS!$C$1499,CROQUIS_DATOS!$C$1503,CROQUIS_DATOS!$C$1507,CROQUIS_DATOS!$C$1511,CROQUIS_DATOS!$C$1515)+IF(CHOOSE(MIN(MAX(MIN(INT(($A265-1)/62)+1,5),1),5),CROQUIS_DATOS!$C$1501,CROQUIS_DATOS!$C$1505,CROQUIS_DATOS!$C$1509,CROQUIS_DATOS!$C$1513,CROQUIS_DATOS!$C$1517)=1,CROQUIS_DATOS!$C$1526,0)),(CHOOSE(MIN(MAX(MIN(INT(($A265-1)/62)+1,5),1),5),CROQUIS_DATOS!$C$1499,CROQUIS_DATOS!$C$1503,CROQUIS_DATOS!$C$1507,CROQUIS_DATOS!$C$1511,CROQUIS_DATOS!$C$1515)+CHOOSE(MIN(MAX(MIN(INT(($A265-1)/62)+1,5),1),5),CROQUIS_DATOS!$C$1500,CROQUIS_DATOS!$C$1504,CROQUIS_DATOS!$C$1508,CROQUIS_DATOS!$C$1512,CROQUIS_DATOS!$C$1516)-IF(CHOOSE(MIN(MAX(MIN(INT(($A265-1)/62)+1,5),1),5),CROQUIS_DATOS!$C$1501,CROQUIS_DATOS!$C$1505,CROQUIS_DATOS!$C$1509,CROQUIS_DATOS!$C$1513,CROQUIS_DATOS!$C$1517)=1,CROQUIS_DATOS!$C$1526,0))))*CROQUIS_DATOS!$C$1562),-1000)</f>
        <v>-1000</v>
      </c>
      <c r="Q265">
        <f>IF(AND(CROQUIS_DATOS!$C$1472=1,CROQUIS_DATOS!$C$1555=1),(CROQUIS_DATOS!$C$1564+(IF(OR(OR(MOD($A265-1,62)+1=1,IF(CHOOSE(MIN(MAX(MIN(INT(($A265-1)/62)+1,5),1),5),CROQUIS_DATOS!$C$1501,CROQUIS_DATOS!$C$1505,CROQUIS_DATOS!$C$1509,CROQUIS_DATOS!$C$1513,CROQUIS_DATOS!$C$1517)=1,CROQUIS_DATOS!$C$1557,0)=0),MOD($A265-1,62)+1&gt;2*IF(CHOOSE(MIN(MAX(MIN(INT(($A265-1)/62)+1,5),1),5),CROQUIS_DATOS!$C$1501,CROQUIS_DATOS!$C$1505,CROQUIS_DATOS!$C$1509,CROQUIS_DATOS!$C$1513,CROQUIS_DATOS!$C$1517)=1,CROQUIS_DATOS!$C$1557,0)+1),CROQUIS_DATOS!$C$1476,MIN(INT((MOD($A265-1,62)+1-2)/2)+1,MAX(IF(CHOOSE(MIN(MAX(MIN(INT(($A265-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5">
        <f>IF(AND(CROQUIS_DATOS!$C$1472=1,1),(CROQUIS_DATOS!$C$1563+(MIN(INT(($A265-1)/2)+1,CROQUIS_DATOS!$C$1558)*CROQUIS_DATOS!$C$1559)*CROQUIS_DATOS!$C$1562),-1000)</f>
        <v>82.2281167108753</v>
      </c>
      <c r="U265">
        <f>IF(AND(CROQUIS_DATOS!$C$1472=1,1),(CROQUIS_DATOS!$C$1564+(IF(INT(($A265-1)/2)+1&gt;CROQUIS_DATOS!$C$1558,IF(MOD(CROQUIS_DATOS!$C$1558,2)=1,CROQUIS_DATOS!$C$1476+CROQUIS_DATOS!$C$1528,CROQUIS_DATOS!$C$1476),IF(IF(MOD(MIN(INT(($A265-1)/2)+1,CROQUIS_DATOS!$C$1558),2)=1,MOD($A265-1,2),1-MOD($A265-1,2))=1,CROQUIS_DATOS!$C$1476+CROQUIS_DATOS!$C$1528,CROQUIS_DATOS!$C$1476)))*CROQUIS_DATOS!$C$1561*CROQUIS_DATOS!$C$1562),-1000)</f>
        <v>43</v>
      </c>
    </row>
    <row r="266">
      <c r="A266" t="n">
        <v>259</v>
      </c>
      <c r="N266">
        <f>IF(AND(CROQUIS_DATOS!$C$1472=1,1),(CROQUIS_DATOS!$C$1563+(IF(IF(IF(INT(($A266-1)/70)+1&gt;CROQUIS_DATOS!$C$1525,70,MOD($A266-1,70)+1)=1,0,IF(IF(INT(($A266-1)/70)+1&gt;CROQUIS_DATOS!$C$1525,70,MOD($A266-1,70)+1)&gt;2*CROQUIS_DATOS!$C$1541+1,IF(MOD(CROQUIS_DATOS!$C$1541,2)=1,1,0),IF(MOD(MIN(INT((IF(INT(($A266-1)/70)+1&gt;CROQUIS_DATOS!$C$1525,70,MOD($A266-1,70)+1)-2)/2)+1,CROQUIS_DATOS!$C$1541),2)=1,IF(MOD(IF(INT(($A266-1)/70)+1&gt;CROQUIS_DATOS!$C$1525,70,MOD($A266-1,70)+1)-2,2)=0,0,1),IF(MOD(IF(INT(($A266-1)/70)+1&gt;CROQUIS_DATOS!$C$1525,70,MOD($A266-1,70)+1)-2,2)=0,1,0))))=0,(INDEX($E$8:$E$23,MIN(INT(($A266-1)/70)+1,CROQUIS_DATOS!$C$1525))-INDEX($F$8:$F$23,MIN(INT(($A266-1)/70)+1,CROQUIS_DATOS!$C$1525))/2),(INDEX($E$8:$E$23,MIN(INT(($A266-1)/70)+1,CROQUIS_DATOS!$C$1525))+INDEX($F$8:$F$23,MIN(INT(($A266-1)/70)+1,CROQUIS_DATOS!$C$1525))/2)))*CROQUIS_DATOS!$C$1562),-1000)</f>
        <v>45.1120689655172</v>
      </c>
      <c r="O266">
        <f>IF(AND(CROQUIS_DATOS!$C$1472=1,1),(CROQUIS_DATOS!$C$1564+(IF(OR(IF(INT(($A266-1)/70)+1&gt;CROQUIS_DATOS!$C$1525,70,MOD($A266-1,70)+1)=1,IF(INT(($A266-1)/70)+1&gt;CROQUIS_DATOS!$C$1525,70,MOD($A266-1,70)+1)&gt;2*CROQUIS_DATOS!$C$1541+1),CROQUIS_DATOS!$C$1476,INDEX($H$8:$H$41,MIN(INT((IF(INT(($A266-1)/70)+1&gt;CROQUIS_DATOS!$C$1525,70,MOD($A266-1,70)+1)-2)/2)+1,CROQUIS_DATOS!$C$1541))))*CROQUIS_DATOS!$C$1561*CROQUIS_DATOS!$C$1562),-1000)</f>
        <v>40.2068965517241</v>
      </c>
      <c r="P266">
        <f>IF(AND(CROQUIS_DATOS!$C$1472=1,CROQUIS_DATOS!$C$1555=1),(CROQUIS_DATOS!$C$1563+(IF(IF(OR(MOD($A266-1,62)+1=1,IF(CHOOSE(MIN(MAX(MIN(INT(($A266-1)/62)+1,5),1),5),CROQUIS_DATOS!$C$1501,CROQUIS_DATOS!$C$1505,CROQUIS_DATOS!$C$1509,CROQUIS_DATOS!$C$1513,CROQUIS_DATOS!$C$1517)=1,CROQUIS_DATOS!$C$1557,0)=0),0,IF(MOD($A266-1,62)+1&gt;2*IF(CHOOSE(MIN(MAX(MIN(INT(($A266-1)/62)+1,5),1),5),CROQUIS_DATOS!$C$1501,CROQUIS_DATOS!$C$1505,CROQUIS_DATOS!$C$1509,CROQUIS_DATOS!$C$1513,CROQUIS_DATOS!$C$1517)=1,CROQUIS_DATOS!$C$1557,0)+1,IF(MOD(IF(CHOOSE(MIN(MAX(MIN(INT(($A266-1)/62)+1,5),1),5),CROQUIS_DATOS!$C$1501,CROQUIS_DATOS!$C$1505,CROQUIS_DATOS!$C$1509,CROQUIS_DATOS!$C$1513,CROQUIS_DATOS!$C$1517)=1,CROQUIS_DATOS!$C$1557,0),2)=1,1,0),IF(MOD(MIN(INT((MOD($A266-1,62)+1-2)/2)+1,MAX(IF(CHOOSE(MIN(MAX(MIN(INT(($A266-1)/62)+1,5),1),5),CROQUIS_DATOS!$C$1501,CROQUIS_DATOS!$C$1505,CROQUIS_DATOS!$C$1509,CROQUIS_DATOS!$C$1513,CROQUIS_DATOS!$C$1517)=1,CROQUIS_DATOS!$C$1557,0),1)),2)=1,IF(MOD(MOD($A266-1,62)+1-2,2)=0,0,1),IF(MOD(MOD($A266-1,62)+1-2,2)=0,1,0))))=0,(CHOOSE(MIN(MAX(MIN(INT(($A266-1)/62)+1,5),1),5),CROQUIS_DATOS!$C$1499,CROQUIS_DATOS!$C$1503,CROQUIS_DATOS!$C$1507,CROQUIS_DATOS!$C$1511,CROQUIS_DATOS!$C$1515)+IF(CHOOSE(MIN(MAX(MIN(INT(($A266-1)/62)+1,5),1),5),CROQUIS_DATOS!$C$1501,CROQUIS_DATOS!$C$1505,CROQUIS_DATOS!$C$1509,CROQUIS_DATOS!$C$1513,CROQUIS_DATOS!$C$1517)=1,CROQUIS_DATOS!$C$1526,0)),(CHOOSE(MIN(MAX(MIN(INT(($A266-1)/62)+1,5),1),5),CROQUIS_DATOS!$C$1499,CROQUIS_DATOS!$C$1503,CROQUIS_DATOS!$C$1507,CROQUIS_DATOS!$C$1511,CROQUIS_DATOS!$C$1515)+CHOOSE(MIN(MAX(MIN(INT(($A266-1)/62)+1,5),1),5),CROQUIS_DATOS!$C$1500,CROQUIS_DATOS!$C$1504,CROQUIS_DATOS!$C$1508,CROQUIS_DATOS!$C$1512,CROQUIS_DATOS!$C$1516)-IF(CHOOSE(MIN(MAX(MIN(INT(($A266-1)/62)+1,5),1),5),CROQUIS_DATOS!$C$1501,CROQUIS_DATOS!$C$1505,CROQUIS_DATOS!$C$1509,CROQUIS_DATOS!$C$1513,CROQUIS_DATOS!$C$1517)=1,CROQUIS_DATOS!$C$1526,0))))*CROQUIS_DATOS!$C$1562),-1000)</f>
        <v>-1000</v>
      </c>
      <c r="Q266">
        <f>IF(AND(CROQUIS_DATOS!$C$1472=1,CROQUIS_DATOS!$C$1555=1),(CROQUIS_DATOS!$C$1564+(IF(OR(OR(MOD($A266-1,62)+1=1,IF(CHOOSE(MIN(MAX(MIN(INT(($A266-1)/62)+1,5),1),5),CROQUIS_DATOS!$C$1501,CROQUIS_DATOS!$C$1505,CROQUIS_DATOS!$C$1509,CROQUIS_DATOS!$C$1513,CROQUIS_DATOS!$C$1517)=1,CROQUIS_DATOS!$C$1557,0)=0),MOD($A266-1,62)+1&gt;2*IF(CHOOSE(MIN(MAX(MIN(INT(($A266-1)/62)+1,5),1),5),CROQUIS_DATOS!$C$1501,CROQUIS_DATOS!$C$1505,CROQUIS_DATOS!$C$1509,CROQUIS_DATOS!$C$1513,CROQUIS_DATOS!$C$1517)=1,CROQUIS_DATOS!$C$1557,0)+1),CROQUIS_DATOS!$C$1476,MIN(INT((MOD($A266-1,62)+1-2)/2)+1,MAX(IF(CHOOSE(MIN(MAX(MIN(INT(($A266-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6">
        <f>IF(AND(CROQUIS_DATOS!$C$1472=1,1),(CROQUIS_DATOS!$C$1563+(MIN(INT(($A266-1)/2)+1,CROQUIS_DATOS!$C$1558)*CROQUIS_DATOS!$C$1559)*CROQUIS_DATOS!$C$1562),-1000)</f>
        <v>82.2281167108753</v>
      </c>
      <c r="U266">
        <f>IF(AND(CROQUIS_DATOS!$C$1472=1,1),(CROQUIS_DATOS!$C$1564+(IF(INT(($A266-1)/2)+1&gt;CROQUIS_DATOS!$C$1558,IF(MOD(CROQUIS_DATOS!$C$1558,2)=1,CROQUIS_DATOS!$C$1476+CROQUIS_DATOS!$C$1528,CROQUIS_DATOS!$C$1476),IF(IF(MOD(MIN(INT(($A266-1)/2)+1,CROQUIS_DATOS!$C$1558),2)=1,MOD($A266-1,2),1-MOD($A266-1,2))=1,CROQUIS_DATOS!$C$1476+CROQUIS_DATOS!$C$1528,CROQUIS_DATOS!$C$1476)))*CROQUIS_DATOS!$C$1561*CROQUIS_DATOS!$C$1562),-1000)</f>
        <v>43</v>
      </c>
    </row>
    <row r="267">
      <c r="A267" t="n">
        <v>260</v>
      </c>
      <c r="N267">
        <f>IF(AND(CROQUIS_DATOS!$C$1472=1,1),(CROQUIS_DATOS!$C$1563+(IF(IF(IF(INT(($A267-1)/70)+1&gt;CROQUIS_DATOS!$C$1525,70,MOD($A267-1,70)+1)=1,0,IF(IF(INT(($A267-1)/70)+1&gt;CROQUIS_DATOS!$C$1525,70,MOD($A267-1,70)+1)&gt;2*CROQUIS_DATOS!$C$1541+1,IF(MOD(CROQUIS_DATOS!$C$1541,2)=1,1,0),IF(MOD(MIN(INT((IF(INT(($A267-1)/70)+1&gt;CROQUIS_DATOS!$C$1525,70,MOD($A267-1,70)+1)-2)/2)+1,CROQUIS_DATOS!$C$1541),2)=1,IF(MOD(IF(INT(($A267-1)/70)+1&gt;CROQUIS_DATOS!$C$1525,70,MOD($A267-1,70)+1)-2,2)=0,0,1),IF(MOD(IF(INT(($A267-1)/70)+1&gt;CROQUIS_DATOS!$C$1525,70,MOD($A267-1,70)+1)-2,2)=0,1,0))))=0,(INDEX($E$8:$E$23,MIN(INT(($A267-1)/70)+1,CROQUIS_DATOS!$C$1525))-INDEX($F$8:$F$23,MIN(INT(($A267-1)/70)+1,CROQUIS_DATOS!$C$1525))/2),(INDEX($E$8:$E$23,MIN(INT(($A267-1)/70)+1,CROQUIS_DATOS!$C$1525))+INDEX($F$8:$F$23,MIN(INT(($A267-1)/70)+1,CROQUIS_DATOS!$C$1525))/2)))*CROQUIS_DATOS!$C$1562),-1000)</f>
        <v>45.1120689655172</v>
      </c>
      <c r="O267">
        <f>IF(AND(CROQUIS_DATOS!$C$1472=1,1),(CROQUIS_DATOS!$C$1564+(IF(OR(IF(INT(($A267-1)/70)+1&gt;CROQUIS_DATOS!$C$1525,70,MOD($A267-1,70)+1)=1,IF(INT(($A267-1)/70)+1&gt;CROQUIS_DATOS!$C$1525,70,MOD($A267-1,70)+1)&gt;2*CROQUIS_DATOS!$C$1541+1),CROQUIS_DATOS!$C$1476,INDEX($H$8:$H$41,MIN(INT((IF(INT(($A267-1)/70)+1&gt;CROQUIS_DATOS!$C$1525,70,MOD($A267-1,70)+1)-2)/2)+1,CROQUIS_DATOS!$C$1541))))*CROQUIS_DATOS!$C$1561*CROQUIS_DATOS!$C$1562),-1000)</f>
        <v>40.2068965517241</v>
      </c>
      <c r="P267">
        <f>IF(AND(CROQUIS_DATOS!$C$1472=1,CROQUIS_DATOS!$C$1555=1),(CROQUIS_DATOS!$C$1563+(IF(IF(OR(MOD($A267-1,62)+1=1,IF(CHOOSE(MIN(MAX(MIN(INT(($A267-1)/62)+1,5),1),5),CROQUIS_DATOS!$C$1501,CROQUIS_DATOS!$C$1505,CROQUIS_DATOS!$C$1509,CROQUIS_DATOS!$C$1513,CROQUIS_DATOS!$C$1517)=1,CROQUIS_DATOS!$C$1557,0)=0),0,IF(MOD($A267-1,62)+1&gt;2*IF(CHOOSE(MIN(MAX(MIN(INT(($A267-1)/62)+1,5),1),5),CROQUIS_DATOS!$C$1501,CROQUIS_DATOS!$C$1505,CROQUIS_DATOS!$C$1509,CROQUIS_DATOS!$C$1513,CROQUIS_DATOS!$C$1517)=1,CROQUIS_DATOS!$C$1557,0)+1,IF(MOD(IF(CHOOSE(MIN(MAX(MIN(INT(($A267-1)/62)+1,5),1),5),CROQUIS_DATOS!$C$1501,CROQUIS_DATOS!$C$1505,CROQUIS_DATOS!$C$1509,CROQUIS_DATOS!$C$1513,CROQUIS_DATOS!$C$1517)=1,CROQUIS_DATOS!$C$1557,0),2)=1,1,0),IF(MOD(MIN(INT((MOD($A267-1,62)+1-2)/2)+1,MAX(IF(CHOOSE(MIN(MAX(MIN(INT(($A267-1)/62)+1,5),1),5),CROQUIS_DATOS!$C$1501,CROQUIS_DATOS!$C$1505,CROQUIS_DATOS!$C$1509,CROQUIS_DATOS!$C$1513,CROQUIS_DATOS!$C$1517)=1,CROQUIS_DATOS!$C$1557,0),1)),2)=1,IF(MOD(MOD($A267-1,62)+1-2,2)=0,0,1),IF(MOD(MOD($A267-1,62)+1-2,2)=0,1,0))))=0,(CHOOSE(MIN(MAX(MIN(INT(($A267-1)/62)+1,5),1),5),CROQUIS_DATOS!$C$1499,CROQUIS_DATOS!$C$1503,CROQUIS_DATOS!$C$1507,CROQUIS_DATOS!$C$1511,CROQUIS_DATOS!$C$1515)+IF(CHOOSE(MIN(MAX(MIN(INT(($A267-1)/62)+1,5),1),5),CROQUIS_DATOS!$C$1501,CROQUIS_DATOS!$C$1505,CROQUIS_DATOS!$C$1509,CROQUIS_DATOS!$C$1513,CROQUIS_DATOS!$C$1517)=1,CROQUIS_DATOS!$C$1526,0)),(CHOOSE(MIN(MAX(MIN(INT(($A267-1)/62)+1,5),1),5),CROQUIS_DATOS!$C$1499,CROQUIS_DATOS!$C$1503,CROQUIS_DATOS!$C$1507,CROQUIS_DATOS!$C$1511,CROQUIS_DATOS!$C$1515)+CHOOSE(MIN(MAX(MIN(INT(($A267-1)/62)+1,5),1),5),CROQUIS_DATOS!$C$1500,CROQUIS_DATOS!$C$1504,CROQUIS_DATOS!$C$1508,CROQUIS_DATOS!$C$1512,CROQUIS_DATOS!$C$1516)-IF(CHOOSE(MIN(MAX(MIN(INT(($A267-1)/62)+1,5),1),5),CROQUIS_DATOS!$C$1501,CROQUIS_DATOS!$C$1505,CROQUIS_DATOS!$C$1509,CROQUIS_DATOS!$C$1513,CROQUIS_DATOS!$C$1517)=1,CROQUIS_DATOS!$C$1526,0))))*CROQUIS_DATOS!$C$1562),-1000)</f>
        <v>-1000</v>
      </c>
      <c r="Q267">
        <f>IF(AND(CROQUIS_DATOS!$C$1472=1,CROQUIS_DATOS!$C$1555=1),(CROQUIS_DATOS!$C$1564+(IF(OR(OR(MOD($A267-1,62)+1=1,IF(CHOOSE(MIN(MAX(MIN(INT(($A267-1)/62)+1,5),1),5),CROQUIS_DATOS!$C$1501,CROQUIS_DATOS!$C$1505,CROQUIS_DATOS!$C$1509,CROQUIS_DATOS!$C$1513,CROQUIS_DATOS!$C$1517)=1,CROQUIS_DATOS!$C$1557,0)=0),MOD($A267-1,62)+1&gt;2*IF(CHOOSE(MIN(MAX(MIN(INT(($A267-1)/62)+1,5),1),5),CROQUIS_DATOS!$C$1501,CROQUIS_DATOS!$C$1505,CROQUIS_DATOS!$C$1509,CROQUIS_DATOS!$C$1513,CROQUIS_DATOS!$C$1517)=1,CROQUIS_DATOS!$C$1557,0)+1),CROQUIS_DATOS!$C$1476,MIN(INT((MOD($A267-1,62)+1-2)/2)+1,MAX(IF(CHOOSE(MIN(MAX(MIN(INT(($A267-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7">
        <f>IF(AND(CROQUIS_DATOS!$C$1472=1,1),(CROQUIS_DATOS!$C$1563+(MIN(INT(($A267-1)/2)+1,CROQUIS_DATOS!$C$1558)*CROQUIS_DATOS!$C$1559)*CROQUIS_DATOS!$C$1562),-1000)</f>
        <v>82.2281167108753</v>
      </c>
      <c r="U267">
        <f>IF(AND(CROQUIS_DATOS!$C$1472=1,1),(CROQUIS_DATOS!$C$1564+(IF(INT(($A267-1)/2)+1&gt;CROQUIS_DATOS!$C$1558,IF(MOD(CROQUIS_DATOS!$C$1558,2)=1,CROQUIS_DATOS!$C$1476+CROQUIS_DATOS!$C$1528,CROQUIS_DATOS!$C$1476),IF(IF(MOD(MIN(INT(($A267-1)/2)+1,CROQUIS_DATOS!$C$1558),2)=1,MOD($A267-1,2),1-MOD($A267-1,2))=1,CROQUIS_DATOS!$C$1476+CROQUIS_DATOS!$C$1528,CROQUIS_DATOS!$C$1476)))*CROQUIS_DATOS!$C$1561*CROQUIS_DATOS!$C$1562),-1000)</f>
        <v>43</v>
      </c>
    </row>
    <row r="268">
      <c r="A268" t="n">
        <v>261</v>
      </c>
      <c r="N268">
        <f>IF(AND(CROQUIS_DATOS!$C$1472=1,1),(CROQUIS_DATOS!$C$1563+(IF(IF(IF(INT(($A268-1)/70)+1&gt;CROQUIS_DATOS!$C$1525,70,MOD($A268-1,70)+1)=1,0,IF(IF(INT(($A268-1)/70)+1&gt;CROQUIS_DATOS!$C$1525,70,MOD($A268-1,70)+1)&gt;2*CROQUIS_DATOS!$C$1541+1,IF(MOD(CROQUIS_DATOS!$C$1541,2)=1,1,0),IF(MOD(MIN(INT((IF(INT(($A268-1)/70)+1&gt;CROQUIS_DATOS!$C$1525,70,MOD($A268-1,70)+1)-2)/2)+1,CROQUIS_DATOS!$C$1541),2)=1,IF(MOD(IF(INT(($A268-1)/70)+1&gt;CROQUIS_DATOS!$C$1525,70,MOD($A268-1,70)+1)-2,2)=0,0,1),IF(MOD(IF(INT(($A268-1)/70)+1&gt;CROQUIS_DATOS!$C$1525,70,MOD($A268-1,70)+1)-2,2)=0,1,0))))=0,(INDEX($E$8:$E$23,MIN(INT(($A268-1)/70)+1,CROQUIS_DATOS!$C$1525))-INDEX($F$8:$F$23,MIN(INT(($A268-1)/70)+1,CROQUIS_DATOS!$C$1525))/2),(INDEX($E$8:$E$23,MIN(INT(($A268-1)/70)+1,CROQUIS_DATOS!$C$1525))+INDEX($F$8:$F$23,MIN(INT(($A268-1)/70)+1,CROQUIS_DATOS!$C$1525))/2)))*CROQUIS_DATOS!$C$1562),-1000)</f>
        <v>45.1120689655172</v>
      </c>
      <c r="O268">
        <f>IF(AND(CROQUIS_DATOS!$C$1472=1,1),(CROQUIS_DATOS!$C$1564+(IF(OR(IF(INT(($A268-1)/70)+1&gt;CROQUIS_DATOS!$C$1525,70,MOD($A268-1,70)+1)=1,IF(INT(($A268-1)/70)+1&gt;CROQUIS_DATOS!$C$1525,70,MOD($A268-1,70)+1)&gt;2*CROQUIS_DATOS!$C$1541+1),CROQUIS_DATOS!$C$1476,INDEX($H$8:$H$41,MIN(INT((IF(INT(($A268-1)/70)+1&gt;CROQUIS_DATOS!$C$1525,70,MOD($A268-1,70)+1)-2)/2)+1,CROQUIS_DATOS!$C$1541))))*CROQUIS_DATOS!$C$1561*CROQUIS_DATOS!$C$1562),-1000)</f>
        <v>40.2068965517241</v>
      </c>
      <c r="P268">
        <f>IF(AND(CROQUIS_DATOS!$C$1472=1,CROQUIS_DATOS!$C$1555=1),(CROQUIS_DATOS!$C$1563+(IF(IF(OR(MOD($A268-1,62)+1=1,IF(CHOOSE(MIN(MAX(MIN(INT(($A268-1)/62)+1,5),1),5),CROQUIS_DATOS!$C$1501,CROQUIS_DATOS!$C$1505,CROQUIS_DATOS!$C$1509,CROQUIS_DATOS!$C$1513,CROQUIS_DATOS!$C$1517)=1,CROQUIS_DATOS!$C$1557,0)=0),0,IF(MOD($A268-1,62)+1&gt;2*IF(CHOOSE(MIN(MAX(MIN(INT(($A268-1)/62)+1,5),1),5),CROQUIS_DATOS!$C$1501,CROQUIS_DATOS!$C$1505,CROQUIS_DATOS!$C$1509,CROQUIS_DATOS!$C$1513,CROQUIS_DATOS!$C$1517)=1,CROQUIS_DATOS!$C$1557,0)+1,IF(MOD(IF(CHOOSE(MIN(MAX(MIN(INT(($A268-1)/62)+1,5),1),5),CROQUIS_DATOS!$C$1501,CROQUIS_DATOS!$C$1505,CROQUIS_DATOS!$C$1509,CROQUIS_DATOS!$C$1513,CROQUIS_DATOS!$C$1517)=1,CROQUIS_DATOS!$C$1557,0),2)=1,1,0),IF(MOD(MIN(INT((MOD($A268-1,62)+1-2)/2)+1,MAX(IF(CHOOSE(MIN(MAX(MIN(INT(($A268-1)/62)+1,5),1),5),CROQUIS_DATOS!$C$1501,CROQUIS_DATOS!$C$1505,CROQUIS_DATOS!$C$1509,CROQUIS_DATOS!$C$1513,CROQUIS_DATOS!$C$1517)=1,CROQUIS_DATOS!$C$1557,0),1)),2)=1,IF(MOD(MOD($A268-1,62)+1-2,2)=0,0,1),IF(MOD(MOD($A268-1,62)+1-2,2)=0,1,0))))=0,(CHOOSE(MIN(MAX(MIN(INT(($A268-1)/62)+1,5),1),5),CROQUIS_DATOS!$C$1499,CROQUIS_DATOS!$C$1503,CROQUIS_DATOS!$C$1507,CROQUIS_DATOS!$C$1511,CROQUIS_DATOS!$C$1515)+IF(CHOOSE(MIN(MAX(MIN(INT(($A268-1)/62)+1,5),1),5),CROQUIS_DATOS!$C$1501,CROQUIS_DATOS!$C$1505,CROQUIS_DATOS!$C$1509,CROQUIS_DATOS!$C$1513,CROQUIS_DATOS!$C$1517)=1,CROQUIS_DATOS!$C$1526,0)),(CHOOSE(MIN(MAX(MIN(INT(($A268-1)/62)+1,5),1),5),CROQUIS_DATOS!$C$1499,CROQUIS_DATOS!$C$1503,CROQUIS_DATOS!$C$1507,CROQUIS_DATOS!$C$1511,CROQUIS_DATOS!$C$1515)+CHOOSE(MIN(MAX(MIN(INT(($A268-1)/62)+1,5),1),5),CROQUIS_DATOS!$C$1500,CROQUIS_DATOS!$C$1504,CROQUIS_DATOS!$C$1508,CROQUIS_DATOS!$C$1512,CROQUIS_DATOS!$C$1516)-IF(CHOOSE(MIN(MAX(MIN(INT(($A268-1)/62)+1,5),1),5),CROQUIS_DATOS!$C$1501,CROQUIS_DATOS!$C$1505,CROQUIS_DATOS!$C$1509,CROQUIS_DATOS!$C$1513,CROQUIS_DATOS!$C$1517)=1,CROQUIS_DATOS!$C$1526,0))))*CROQUIS_DATOS!$C$1562),-1000)</f>
        <v>-1000</v>
      </c>
      <c r="Q268">
        <f>IF(AND(CROQUIS_DATOS!$C$1472=1,CROQUIS_DATOS!$C$1555=1),(CROQUIS_DATOS!$C$1564+(IF(OR(OR(MOD($A268-1,62)+1=1,IF(CHOOSE(MIN(MAX(MIN(INT(($A268-1)/62)+1,5),1),5),CROQUIS_DATOS!$C$1501,CROQUIS_DATOS!$C$1505,CROQUIS_DATOS!$C$1509,CROQUIS_DATOS!$C$1513,CROQUIS_DATOS!$C$1517)=1,CROQUIS_DATOS!$C$1557,0)=0),MOD($A268-1,62)+1&gt;2*IF(CHOOSE(MIN(MAX(MIN(INT(($A268-1)/62)+1,5),1),5),CROQUIS_DATOS!$C$1501,CROQUIS_DATOS!$C$1505,CROQUIS_DATOS!$C$1509,CROQUIS_DATOS!$C$1513,CROQUIS_DATOS!$C$1517)=1,CROQUIS_DATOS!$C$1557,0)+1),CROQUIS_DATOS!$C$1476,MIN(INT((MOD($A268-1,62)+1-2)/2)+1,MAX(IF(CHOOSE(MIN(MAX(MIN(INT(($A268-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8">
        <f>IF(AND(CROQUIS_DATOS!$C$1472=1,1),(CROQUIS_DATOS!$C$1563+(MIN(INT(($A268-1)/2)+1,CROQUIS_DATOS!$C$1558)*CROQUIS_DATOS!$C$1559)*CROQUIS_DATOS!$C$1562),-1000)</f>
        <v>82.2281167108753</v>
      </c>
      <c r="U268">
        <f>IF(AND(CROQUIS_DATOS!$C$1472=1,1),(CROQUIS_DATOS!$C$1564+(IF(INT(($A268-1)/2)+1&gt;CROQUIS_DATOS!$C$1558,IF(MOD(CROQUIS_DATOS!$C$1558,2)=1,CROQUIS_DATOS!$C$1476+CROQUIS_DATOS!$C$1528,CROQUIS_DATOS!$C$1476),IF(IF(MOD(MIN(INT(($A268-1)/2)+1,CROQUIS_DATOS!$C$1558),2)=1,MOD($A268-1,2),1-MOD($A268-1,2))=1,CROQUIS_DATOS!$C$1476+CROQUIS_DATOS!$C$1528,CROQUIS_DATOS!$C$1476)))*CROQUIS_DATOS!$C$1561*CROQUIS_DATOS!$C$1562),-1000)</f>
        <v>43</v>
      </c>
    </row>
    <row r="269">
      <c r="A269" t="n">
        <v>262</v>
      </c>
      <c r="N269">
        <f>IF(AND(CROQUIS_DATOS!$C$1472=1,1),(CROQUIS_DATOS!$C$1563+(IF(IF(IF(INT(($A269-1)/70)+1&gt;CROQUIS_DATOS!$C$1525,70,MOD($A269-1,70)+1)=1,0,IF(IF(INT(($A269-1)/70)+1&gt;CROQUIS_DATOS!$C$1525,70,MOD($A269-1,70)+1)&gt;2*CROQUIS_DATOS!$C$1541+1,IF(MOD(CROQUIS_DATOS!$C$1541,2)=1,1,0),IF(MOD(MIN(INT((IF(INT(($A269-1)/70)+1&gt;CROQUIS_DATOS!$C$1525,70,MOD($A269-1,70)+1)-2)/2)+1,CROQUIS_DATOS!$C$1541),2)=1,IF(MOD(IF(INT(($A269-1)/70)+1&gt;CROQUIS_DATOS!$C$1525,70,MOD($A269-1,70)+1)-2,2)=0,0,1),IF(MOD(IF(INT(($A269-1)/70)+1&gt;CROQUIS_DATOS!$C$1525,70,MOD($A269-1,70)+1)-2,2)=0,1,0))))=0,(INDEX($E$8:$E$23,MIN(INT(($A269-1)/70)+1,CROQUIS_DATOS!$C$1525))-INDEX($F$8:$F$23,MIN(INT(($A269-1)/70)+1,CROQUIS_DATOS!$C$1525))/2),(INDEX($E$8:$E$23,MIN(INT(($A269-1)/70)+1,CROQUIS_DATOS!$C$1525))+INDEX($F$8:$F$23,MIN(INT(($A269-1)/70)+1,CROQUIS_DATOS!$C$1525))/2)))*CROQUIS_DATOS!$C$1562),-1000)</f>
        <v>45.1120689655172</v>
      </c>
      <c r="O269">
        <f>IF(AND(CROQUIS_DATOS!$C$1472=1,1),(CROQUIS_DATOS!$C$1564+(IF(OR(IF(INT(($A269-1)/70)+1&gt;CROQUIS_DATOS!$C$1525,70,MOD($A269-1,70)+1)=1,IF(INT(($A269-1)/70)+1&gt;CROQUIS_DATOS!$C$1525,70,MOD($A269-1,70)+1)&gt;2*CROQUIS_DATOS!$C$1541+1),CROQUIS_DATOS!$C$1476,INDEX($H$8:$H$41,MIN(INT((IF(INT(($A269-1)/70)+1&gt;CROQUIS_DATOS!$C$1525,70,MOD($A269-1,70)+1)-2)/2)+1,CROQUIS_DATOS!$C$1541))))*CROQUIS_DATOS!$C$1561*CROQUIS_DATOS!$C$1562),-1000)</f>
        <v>40.2068965517241</v>
      </c>
      <c r="P269">
        <f>IF(AND(CROQUIS_DATOS!$C$1472=1,CROQUIS_DATOS!$C$1555=1),(CROQUIS_DATOS!$C$1563+(IF(IF(OR(MOD($A269-1,62)+1=1,IF(CHOOSE(MIN(MAX(MIN(INT(($A269-1)/62)+1,5),1),5),CROQUIS_DATOS!$C$1501,CROQUIS_DATOS!$C$1505,CROQUIS_DATOS!$C$1509,CROQUIS_DATOS!$C$1513,CROQUIS_DATOS!$C$1517)=1,CROQUIS_DATOS!$C$1557,0)=0),0,IF(MOD($A269-1,62)+1&gt;2*IF(CHOOSE(MIN(MAX(MIN(INT(($A269-1)/62)+1,5),1),5),CROQUIS_DATOS!$C$1501,CROQUIS_DATOS!$C$1505,CROQUIS_DATOS!$C$1509,CROQUIS_DATOS!$C$1513,CROQUIS_DATOS!$C$1517)=1,CROQUIS_DATOS!$C$1557,0)+1,IF(MOD(IF(CHOOSE(MIN(MAX(MIN(INT(($A269-1)/62)+1,5),1),5),CROQUIS_DATOS!$C$1501,CROQUIS_DATOS!$C$1505,CROQUIS_DATOS!$C$1509,CROQUIS_DATOS!$C$1513,CROQUIS_DATOS!$C$1517)=1,CROQUIS_DATOS!$C$1557,0),2)=1,1,0),IF(MOD(MIN(INT((MOD($A269-1,62)+1-2)/2)+1,MAX(IF(CHOOSE(MIN(MAX(MIN(INT(($A269-1)/62)+1,5),1),5),CROQUIS_DATOS!$C$1501,CROQUIS_DATOS!$C$1505,CROQUIS_DATOS!$C$1509,CROQUIS_DATOS!$C$1513,CROQUIS_DATOS!$C$1517)=1,CROQUIS_DATOS!$C$1557,0),1)),2)=1,IF(MOD(MOD($A269-1,62)+1-2,2)=0,0,1),IF(MOD(MOD($A269-1,62)+1-2,2)=0,1,0))))=0,(CHOOSE(MIN(MAX(MIN(INT(($A269-1)/62)+1,5),1),5),CROQUIS_DATOS!$C$1499,CROQUIS_DATOS!$C$1503,CROQUIS_DATOS!$C$1507,CROQUIS_DATOS!$C$1511,CROQUIS_DATOS!$C$1515)+IF(CHOOSE(MIN(MAX(MIN(INT(($A269-1)/62)+1,5),1),5),CROQUIS_DATOS!$C$1501,CROQUIS_DATOS!$C$1505,CROQUIS_DATOS!$C$1509,CROQUIS_DATOS!$C$1513,CROQUIS_DATOS!$C$1517)=1,CROQUIS_DATOS!$C$1526,0)),(CHOOSE(MIN(MAX(MIN(INT(($A269-1)/62)+1,5),1),5),CROQUIS_DATOS!$C$1499,CROQUIS_DATOS!$C$1503,CROQUIS_DATOS!$C$1507,CROQUIS_DATOS!$C$1511,CROQUIS_DATOS!$C$1515)+CHOOSE(MIN(MAX(MIN(INT(($A269-1)/62)+1,5),1),5),CROQUIS_DATOS!$C$1500,CROQUIS_DATOS!$C$1504,CROQUIS_DATOS!$C$1508,CROQUIS_DATOS!$C$1512,CROQUIS_DATOS!$C$1516)-IF(CHOOSE(MIN(MAX(MIN(INT(($A269-1)/62)+1,5),1),5),CROQUIS_DATOS!$C$1501,CROQUIS_DATOS!$C$1505,CROQUIS_DATOS!$C$1509,CROQUIS_DATOS!$C$1513,CROQUIS_DATOS!$C$1517)=1,CROQUIS_DATOS!$C$1526,0))))*CROQUIS_DATOS!$C$1562),-1000)</f>
        <v>-1000</v>
      </c>
      <c r="Q269">
        <f>IF(AND(CROQUIS_DATOS!$C$1472=1,CROQUIS_DATOS!$C$1555=1),(CROQUIS_DATOS!$C$1564+(IF(OR(OR(MOD($A269-1,62)+1=1,IF(CHOOSE(MIN(MAX(MIN(INT(($A269-1)/62)+1,5),1),5),CROQUIS_DATOS!$C$1501,CROQUIS_DATOS!$C$1505,CROQUIS_DATOS!$C$1509,CROQUIS_DATOS!$C$1513,CROQUIS_DATOS!$C$1517)=1,CROQUIS_DATOS!$C$1557,0)=0),MOD($A269-1,62)+1&gt;2*IF(CHOOSE(MIN(MAX(MIN(INT(($A269-1)/62)+1,5),1),5),CROQUIS_DATOS!$C$1501,CROQUIS_DATOS!$C$1505,CROQUIS_DATOS!$C$1509,CROQUIS_DATOS!$C$1513,CROQUIS_DATOS!$C$1517)=1,CROQUIS_DATOS!$C$1557,0)+1),CROQUIS_DATOS!$C$1476,MIN(INT((MOD($A269-1,62)+1-2)/2)+1,MAX(IF(CHOOSE(MIN(MAX(MIN(INT(($A269-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69">
        <f>IF(AND(CROQUIS_DATOS!$C$1472=1,1),(CROQUIS_DATOS!$C$1563+(MIN(INT(($A269-1)/2)+1,CROQUIS_DATOS!$C$1558)*CROQUIS_DATOS!$C$1559)*CROQUIS_DATOS!$C$1562),-1000)</f>
        <v>82.2281167108753</v>
      </c>
      <c r="U269">
        <f>IF(AND(CROQUIS_DATOS!$C$1472=1,1),(CROQUIS_DATOS!$C$1564+(IF(INT(($A269-1)/2)+1&gt;CROQUIS_DATOS!$C$1558,IF(MOD(CROQUIS_DATOS!$C$1558,2)=1,CROQUIS_DATOS!$C$1476+CROQUIS_DATOS!$C$1528,CROQUIS_DATOS!$C$1476),IF(IF(MOD(MIN(INT(($A269-1)/2)+1,CROQUIS_DATOS!$C$1558),2)=1,MOD($A269-1,2),1-MOD($A269-1,2))=1,CROQUIS_DATOS!$C$1476+CROQUIS_DATOS!$C$1528,CROQUIS_DATOS!$C$1476)))*CROQUIS_DATOS!$C$1561*CROQUIS_DATOS!$C$1562),-1000)</f>
        <v>43</v>
      </c>
    </row>
    <row r="270">
      <c r="A270" t="n">
        <v>263</v>
      </c>
      <c r="N270">
        <f>IF(AND(CROQUIS_DATOS!$C$1472=1,1),(CROQUIS_DATOS!$C$1563+(IF(IF(IF(INT(($A270-1)/70)+1&gt;CROQUIS_DATOS!$C$1525,70,MOD($A270-1,70)+1)=1,0,IF(IF(INT(($A270-1)/70)+1&gt;CROQUIS_DATOS!$C$1525,70,MOD($A270-1,70)+1)&gt;2*CROQUIS_DATOS!$C$1541+1,IF(MOD(CROQUIS_DATOS!$C$1541,2)=1,1,0),IF(MOD(MIN(INT((IF(INT(($A270-1)/70)+1&gt;CROQUIS_DATOS!$C$1525,70,MOD($A270-1,70)+1)-2)/2)+1,CROQUIS_DATOS!$C$1541),2)=1,IF(MOD(IF(INT(($A270-1)/70)+1&gt;CROQUIS_DATOS!$C$1525,70,MOD($A270-1,70)+1)-2,2)=0,0,1),IF(MOD(IF(INT(($A270-1)/70)+1&gt;CROQUIS_DATOS!$C$1525,70,MOD($A270-1,70)+1)-2,2)=0,1,0))))=0,(INDEX($E$8:$E$23,MIN(INT(($A270-1)/70)+1,CROQUIS_DATOS!$C$1525))-INDEX($F$8:$F$23,MIN(INT(($A270-1)/70)+1,CROQUIS_DATOS!$C$1525))/2),(INDEX($E$8:$E$23,MIN(INT(($A270-1)/70)+1,CROQUIS_DATOS!$C$1525))+INDEX($F$8:$F$23,MIN(INT(($A270-1)/70)+1,CROQUIS_DATOS!$C$1525))/2)))*CROQUIS_DATOS!$C$1562),-1000)</f>
        <v>45.1120689655172</v>
      </c>
      <c r="O270">
        <f>IF(AND(CROQUIS_DATOS!$C$1472=1,1),(CROQUIS_DATOS!$C$1564+(IF(OR(IF(INT(($A270-1)/70)+1&gt;CROQUIS_DATOS!$C$1525,70,MOD($A270-1,70)+1)=1,IF(INT(($A270-1)/70)+1&gt;CROQUIS_DATOS!$C$1525,70,MOD($A270-1,70)+1)&gt;2*CROQUIS_DATOS!$C$1541+1),CROQUIS_DATOS!$C$1476,INDEX($H$8:$H$41,MIN(INT((IF(INT(($A270-1)/70)+1&gt;CROQUIS_DATOS!$C$1525,70,MOD($A270-1,70)+1)-2)/2)+1,CROQUIS_DATOS!$C$1541))))*CROQUIS_DATOS!$C$1561*CROQUIS_DATOS!$C$1562),-1000)</f>
        <v>40.2068965517241</v>
      </c>
      <c r="P270">
        <f>IF(AND(CROQUIS_DATOS!$C$1472=1,CROQUIS_DATOS!$C$1555=1),(CROQUIS_DATOS!$C$1563+(IF(IF(OR(MOD($A270-1,62)+1=1,IF(CHOOSE(MIN(MAX(MIN(INT(($A270-1)/62)+1,5),1),5),CROQUIS_DATOS!$C$1501,CROQUIS_DATOS!$C$1505,CROQUIS_DATOS!$C$1509,CROQUIS_DATOS!$C$1513,CROQUIS_DATOS!$C$1517)=1,CROQUIS_DATOS!$C$1557,0)=0),0,IF(MOD($A270-1,62)+1&gt;2*IF(CHOOSE(MIN(MAX(MIN(INT(($A270-1)/62)+1,5),1),5),CROQUIS_DATOS!$C$1501,CROQUIS_DATOS!$C$1505,CROQUIS_DATOS!$C$1509,CROQUIS_DATOS!$C$1513,CROQUIS_DATOS!$C$1517)=1,CROQUIS_DATOS!$C$1557,0)+1,IF(MOD(IF(CHOOSE(MIN(MAX(MIN(INT(($A270-1)/62)+1,5),1),5),CROQUIS_DATOS!$C$1501,CROQUIS_DATOS!$C$1505,CROQUIS_DATOS!$C$1509,CROQUIS_DATOS!$C$1513,CROQUIS_DATOS!$C$1517)=1,CROQUIS_DATOS!$C$1557,0),2)=1,1,0),IF(MOD(MIN(INT((MOD($A270-1,62)+1-2)/2)+1,MAX(IF(CHOOSE(MIN(MAX(MIN(INT(($A270-1)/62)+1,5),1),5),CROQUIS_DATOS!$C$1501,CROQUIS_DATOS!$C$1505,CROQUIS_DATOS!$C$1509,CROQUIS_DATOS!$C$1513,CROQUIS_DATOS!$C$1517)=1,CROQUIS_DATOS!$C$1557,0),1)),2)=1,IF(MOD(MOD($A270-1,62)+1-2,2)=0,0,1),IF(MOD(MOD($A270-1,62)+1-2,2)=0,1,0))))=0,(CHOOSE(MIN(MAX(MIN(INT(($A270-1)/62)+1,5),1),5),CROQUIS_DATOS!$C$1499,CROQUIS_DATOS!$C$1503,CROQUIS_DATOS!$C$1507,CROQUIS_DATOS!$C$1511,CROQUIS_DATOS!$C$1515)+IF(CHOOSE(MIN(MAX(MIN(INT(($A270-1)/62)+1,5),1),5),CROQUIS_DATOS!$C$1501,CROQUIS_DATOS!$C$1505,CROQUIS_DATOS!$C$1509,CROQUIS_DATOS!$C$1513,CROQUIS_DATOS!$C$1517)=1,CROQUIS_DATOS!$C$1526,0)),(CHOOSE(MIN(MAX(MIN(INT(($A270-1)/62)+1,5),1),5),CROQUIS_DATOS!$C$1499,CROQUIS_DATOS!$C$1503,CROQUIS_DATOS!$C$1507,CROQUIS_DATOS!$C$1511,CROQUIS_DATOS!$C$1515)+CHOOSE(MIN(MAX(MIN(INT(($A270-1)/62)+1,5),1),5),CROQUIS_DATOS!$C$1500,CROQUIS_DATOS!$C$1504,CROQUIS_DATOS!$C$1508,CROQUIS_DATOS!$C$1512,CROQUIS_DATOS!$C$1516)-IF(CHOOSE(MIN(MAX(MIN(INT(($A270-1)/62)+1,5),1),5),CROQUIS_DATOS!$C$1501,CROQUIS_DATOS!$C$1505,CROQUIS_DATOS!$C$1509,CROQUIS_DATOS!$C$1513,CROQUIS_DATOS!$C$1517)=1,CROQUIS_DATOS!$C$1526,0))))*CROQUIS_DATOS!$C$1562),-1000)</f>
        <v>-1000</v>
      </c>
      <c r="Q270">
        <f>IF(AND(CROQUIS_DATOS!$C$1472=1,CROQUIS_DATOS!$C$1555=1),(CROQUIS_DATOS!$C$1564+(IF(OR(OR(MOD($A270-1,62)+1=1,IF(CHOOSE(MIN(MAX(MIN(INT(($A270-1)/62)+1,5),1),5),CROQUIS_DATOS!$C$1501,CROQUIS_DATOS!$C$1505,CROQUIS_DATOS!$C$1509,CROQUIS_DATOS!$C$1513,CROQUIS_DATOS!$C$1517)=1,CROQUIS_DATOS!$C$1557,0)=0),MOD($A270-1,62)+1&gt;2*IF(CHOOSE(MIN(MAX(MIN(INT(($A270-1)/62)+1,5),1),5),CROQUIS_DATOS!$C$1501,CROQUIS_DATOS!$C$1505,CROQUIS_DATOS!$C$1509,CROQUIS_DATOS!$C$1513,CROQUIS_DATOS!$C$1517)=1,CROQUIS_DATOS!$C$1557,0)+1),CROQUIS_DATOS!$C$1476,MIN(INT((MOD($A270-1,62)+1-2)/2)+1,MAX(IF(CHOOSE(MIN(MAX(MIN(INT(($A270-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0">
        <f>IF(AND(CROQUIS_DATOS!$C$1472=1,1),(CROQUIS_DATOS!$C$1563+(MIN(INT(($A270-1)/2)+1,CROQUIS_DATOS!$C$1558)*CROQUIS_DATOS!$C$1559)*CROQUIS_DATOS!$C$1562),-1000)</f>
        <v>82.2281167108753</v>
      </c>
      <c r="U270">
        <f>IF(AND(CROQUIS_DATOS!$C$1472=1,1),(CROQUIS_DATOS!$C$1564+(IF(INT(($A270-1)/2)+1&gt;CROQUIS_DATOS!$C$1558,IF(MOD(CROQUIS_DATOS!$C$1558,2)=1,CROQUIS_DATOS!$C$1476+CROQUIS_DATOS!$C$1528,CROQUIS_DATOS!$C$1476),IF(IF(MOD(MIN(INT(($A270-1)/2)+1,CROQUIS_DATOS!$C$1558),2)=1,MOD($A270-1,2),1-MOD($A270-1,2))=1,CROQUIS_DATOS!$C$1476+CROQUIS_DATOS!$C$1528,CROQUIS_DATOS!$C$1476)))*CROQUIS_DATOS!$C$1561*CROQUIS_DATOS!$C$1562),-1000)</f>
        <v>43</v>
      </c>
    </row>
    <row r="271">
      <c r="A271" t="n">
        <v>264</v>
      </c>
      <c r="N271">
        <f>IF(AND(CROQUIS_DATOS!$C$1472=1,1),(CROQUIS_DATOS!$C$1563+(IF(IF(IF(INT(($A271-1)/70)+1&gt;CROQUIS_DATOS!$C$1525,70,MOD($A271-1,70)+1)=1,0,IF(IF(INT(($A271-1)/70)+1&gt;CROQUIS_DATOS!$C$1525,70,MOD($A271-1,70)+1)&gt;2*CROQUIS_DATOS!$C$1541+1,IF(MOD(CROQUIS_DATOS!$C$1541,2)=1,1,0),IF(MOD(MIN(INT((IF(INT(($A271-1)/70)+1&gt;CROQUIS_DATOS!$C$1525,70,MOD($A271-1,70)+1)-2)/2)+1,CROQUIS_DATOS!$C$1541),2)=1,IF(MOD(IF(INT(($A271-1)/70)+1&gt;CROQUIS_DATOS!$C$1525,70,MOD($A271-1,70)+1)-2,2)=0,0,1),IF(MOD(IF(INT(($A271-1)/70)+1&gt;CROQUIS_DATOS!$C$1525,70,MOD($A271-1,70)+1)-2,2)=0,1,0))))=0,(INDEX($E$8:$E$23,MIN(INT(($A271-1)/70)+1,CROQUIS_DATOS!$C$1525))-INDEX($F$8:$F$23,MIN(INT(($A271-1)/70)+1,CROQUIS_DATOS!$C$1525))/2),(INDEX($E$8:$E$23,MIN(INT(($A271-1)/70)+1,CROQUIS_DATOS!$C$1525))+INDEX($F$8:$F$23,MIN(INT(($A271-1)/70)+1,CROQUIS_DATOS!$C$1525))/2)))*CROQUIS_DATOS!$C$1562),-1000)</f>
        <v>45.1120689655172</v>
      </c>
      <c r="O271">
        <f>IF(AND(CROQUIS_DATOS!$C$1472=1,1),(CROQUIS_DATOS!$C$1564+(IF(OR(IF(INT(($A271-1)/70)+1&gt;CROQUIS_DATOS!$C$1525,70,MOD($A271-1,70)+1)=1,IF(INT(($A271-1)/70)+1&gt;CROQUIS_DATOS!$C$1525,70,MOD($A271-1,70)+1)&gt;2*CROQUIS_DATOS!$C$1541+1),CROQUIS_DATOS!$C$1476,INDEX($H$8:$H$41,MIN(INT((IF(INT(($A271-1)/70)+1&gt;CROQUIS_DATOS!$C$1525,70,MOD($A271-1,70)+1)-2)/2)+1,CROQUIS_DATOS!$C$1541))))*CROQUIS_DATOS!$C$1561*CROQUIS_DATOS!$C$1562),-1000)</f>
        <v>40.2068965517241</v>
      </c>
      <c r="P271">
        <f>IF(AND(CROQUIS_DATOS!$C$1472=1,CROQUIS_DATOS!$C$1555=1),(CROQUIS_DATOS!$C$1563+(IF(IF(OR(MOD($A271-1,62)+1=1,IF(CHOOSE(MIN(MAX(MIN(INT(($A271-1)/62)+1,5),1),5),CROQUIS_DATOS!$C$1501,CROQUIS_DATOS!$C$1505,CROQUIS_DATOS!$C$1509,CROQUIS_DATOS!$C$1513,CROQUIS_DATOS!$C$1517)=1,CROQUIS_DATOS!$C$1557,0)=0),0,IF(MOD($A271-1,62)+1&gt;2*IF(CHOOSE(MIN(MAX(MIN(INT(($A271-1)/62)+1,5),1),5),CROQUIS_DATOS!$C$1501,CROQUIS_DATOS!$C$1505,CROQUIS_DATOS!$C$1509,CROQUIS_DATOS!$C$1513,CROQUIS_DATOS!$C$1517)=1,CROQUIS_DATOS!$C$1557,0)+1,IF(MOD(IF(CHOOSE(MIN(MAX(MIN(INT(($A271-1)/62)+1,5),1),5),CROQUIS_DATOS!$C$1501,CROQUIS_DATOS!$C$1505,CROQUIS_DATOS!$C$1509,CROQUIS_DATOS!$C$1513,CROQUIS_DATOS!$C$1517)=1,CROQUIS_DATOS!$C$1557,0),2)=1,1,0),IF(MOD(MIN(INT((MOD($A271-1,62)+1-2)/2)+1,MAX(IF(CHOOSE(MIN(MAX(MIN(INT(($A271-1)/62)+1,5),1),5),CROQUIS_DATOS!$C$1501,CROQUIS_DATOS!$C$1505,CROQUIS_DATOS!$C$1509,CROQUIS_DATOS!$C$1513,CROQUIS_DATOS!$C$1517)=1,CROQUIS_DATOS!$C$1557,0),1)),2)=1,IF(MOD(MOD($A271-1,62)+1-2,2)=0,0,1),IF(MOD(MOD($A271-1,62)+1-2,2)=0,1,0))))=0,(CHOOSE(MIN(MAX(MIN(INT(($A271-1)/62)+1,5),1),5),CROQUIS_DATOS!$C$1499,CROQUIS_DATOS!$C$1503,CROQUIS_DATOS!$C$1507,CROQUIS_DATOS!$C$1511,CROQUIS_DATOS!$C$1515)+IF(CHOOSE(MIN(MAX(MIN(INT(($A271-1)/62)+1,5),1),5),CROQUIS_DATOS!$C$1501,CROQUIS_DATOS!$C$1505,CROQUIS_DATOS!$C$1509,CROQUIS_DATOS!$C$1513,CROQUIS_DATOS!$C$1517)=1,CROQUIS_DATOS!$C$1526,0)),(CHOOSE(MIN(MAX(MIN(INT(($A271-1)/62)+1,5),1),5),CROQUIS_DATOS!$C$1499,CROQUIS_DATOS!$C$1503,CROQUIS_DATOS!$C$1507,CROQUIS_DATOS!$C$1511,CROQUIS_DATOS!$C$1515)+CHOOSE(MIN(MAX(MIN(INT(($A271-1)/62)+1,5),1),5),CROQUIS_DATOS!$C$1500,CROQUIS_DATOS!$C$1504,CROQUIS_DATOS!$C$1508,CROQUIS_DATOS!$C$1512,CROQUIS_DATOS!$C$1516)-IF(CHOOSE(MIN(MAX(MIN(INT(($A271-1)/62)+1,5),1),5),CROQUIS_DATOS!$C$1501,CROQUIS_DATOS!$C$1505,CROQUIS_DATOS!$C$1509,CROQUIS_DATOS!$C$1513,CROQUIS_DATOS!$C$1517)=1,CROQUIS_DATOS!$C$1526,0))))*CROQUIS_DATOS!$C$1562),-1000)</f>
        <v>-1000</v>
      </c>
      <c r="Q271">
        <f>IF(AND(CROQUIS_DATOS!$C$1472=1,CROQUIS_DATOS!$C$1555=1),(CROQUIS_DATOS!$C$1564+(IF(OR(OR(MOD($A271-1,62)+1=1,IF(CHOOSE(MIN(MAX(MIN(INT(($A271-1)/62)+1,5),1),5),CROQUIS_DATOS!$C$1501,CROQUIS_DATOS!$C$1505,CROQUIS_DATOS!$C$1509,CROQUIS_DATOS!$C$1513,CROQUIS_DATOS!$C$1517)=1,CROQUIS_DATOS!$C$1557,0)=0),MOD($A271-1,62)+1&gt;2*IF(CHOOSE(MIN(MAX(MIN(INT(($A271-1)/62)+1,5),1),5),CROQUIS_DATOS!$C$1501,CROQUIS_DATOS!$C$1505,CROQUIS_DATOS!$C$1509,CROQUIS_DATOS!$C$1513,CROQUIS_DATOS!$C$1517)=1,CROQUIS_DATOS!$C$1557,0)+1),CROQUIS_DATOS!$C$1476,MIN(INT((MOD($A271-1,62)+1-2)/2)+1,MAX(IF(CHOOSE(MIN(MAX(MIN(INT(($A271-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1">
        <f>IF(AND(CROQUIS_DATOS!$C$1472=1,1),(CROQUIS_DATOS!$C$1563+(MIN(INT(($A271-1)/2)+1,CROQUIS_DATOS!$C$1558)*CROQUIS_DATOS!$C$1559)*CROQUIS_DATOS!$C$1562),-1000)</f>
        <v>82.2281167108753</v>
      </c>
      <c r="U271">
        <f>IF(AND(CROQUIS_DATOS!$C$1472=1,1),(CROQUIS_DATOS!$C$1564+(IF(INT(($A271-1)/2)+1&gt;CROQUIS_DATOS!$C$1558,IF(MOD(CROQUIS_DATOS!$C$1558,2)=1,CROQUIS_DATOS!$C$1476+CROQUIS_DATOS!$C$1528,CROQUIS_DATOS!$C$1476),IF(IF(MOD(MIN(INT(($A271-1)/2)+1,CROQUIS_DATOS!$C$1558),2)=1,MOD($A271-1,2),1-MOD($A271-1,2))=1,CROQUIS_DATOS!$C$1476+CROQUIS_DATOS!$C$1528,CROQUIS_DATOS!$C$1476)))*CROQUIS_DATOS!$C$1561*CROQUIS_DATOS!$C$1562),-1000)</f>
        <v>43</v>
      </c>
    </row>
    <row r="272">
      <c r="A272" t="n">
        <v>265</v>
      </c>
      <c r="N272">
        <f>IF(AND(CROQUIS_DATOS!$C$1472=1,1),(CROQUIS_DATOS!$C$1563+(IF(IF(IF(INT(($A272-1)/70)+1&gt;CROQUIS_DATOS!$C$1525,70,MOD($A272-1,70)+1)=1,0,IF(IF(INT(($A272-1)/70)+1&gt;CROQUIS_DATOS!$C$1525,70,MOD($A272-1,70)+1)&gt;2*CROQUIS_DATOS!$C$1541+1,IF(MOD(CROQUIS_DATOS!$C$1541,2)=1,1,0),IF(MOD(MIN(INT((IF(INT(($A272-1)/70)+1&gt;CROQUIS_DATOS!$C$1525,70,MOD($A272-1,70)+1)-2)/2)+1,CROQUIS_DATOS!$C$1541),2)=1,IF(MOD(IF(INT(($A272-1)/70)+1&gt;CROQUIS_DATOS!$C$1525,70,MOD($A272-1,70)+1)-2,2)=0,0,1),IF(MOD(IF(INT(($A272-1)/70)+1&gt;CROQUIS_DATOS!$C$1525,70,MOD($A272-1,70)+1)-2,2)=0,1,0))))=0,(INDEX($E$8:$E$23,MIN(INT(($A272-1)/70)+1,CROQUIS_DATOS!$C$1525))-INDEX($F$8:$F$23,MIN(INT(($A272-1)/70)+1,CROQUIS_DATOS!$C$1525))/2),(INDEX($E$8:$E$23,MIN(INT(($A272-1)/70)+1,CROQUIS_DATOS!$C$1525))+INDEX($F$8:$F$23,MIN(INT(($A272-1)/70)+1,CROQUIS_DATOS!$C$1525))/2)))*CROQUIS_DATOS!$C$1562),-1000)</f>
        <v>45.1120689655172</v>
      </c>
      <c r="O272">
        <f>IF(AND(CROQUIS_DATOS!$C$1472=1,1),(CROQUIS_DATOS!$C$1564+(IF(OR(IF(INT(($A272-1)/70)+1&gt;CROQUIS_DATOS!$C$1525,70,MOD($A272-1,70)+1)=1,IF(INT(($A272-1)/70)+1&gt;CROQUIS_DATOS!$C$1525,70,MOD($A272-1,70)+1)&gt;2*CROQUIS_DATOS!$C$1541+1),CROQUIS_DATOS!$C$1476,INDEX($H$8:$H$41,MIN(INT((IF(INT(($A272-1)/70)+1&gt;CROQUIS_DATOS!$C$1525,70,MOD($A272-1,70)+1)-2)/2)+1,CROQUIS_DATOS!$C$1541))))*CROQUIS_DATOS!$C$1561*CROQUIS_DATOS!$C$1562),-1000)</f>
        <v>40.2068965517241</v>
      </c>
      <c r="P272">
        <f>IF(AND(CROQUIS_DATOS!$C$1472=1,CROQUIS_DATOS!$C$1555=1),(CROQUIS_DATOS!$C$1563+(IF(IF(OR(MOD($A272-1,62)+1=1,IF(CHOOSE(MIN(MAX(MIN(INT(($A272-1)/62)+1,5),1),5),CROQUIS_DATOS!$C$1501,CROQUIS_DATOS!$C$1505,CROQUIS_DATOS!$C$1509,CROQUIS_DATOS!$C$1513,CROQUIS_DATOS!$C$1517)=1,CROQUIS_DATOS!$C$1557,0)=0),0,IF(MOD($A272-1,62)+1&gt;2*IF(CHOOSE(MIN(MAX(MIN(INT(($A272-1)/62)+1,5),1),5),CROQUIS_DATOS!$C$1501,CROQUIS_DATOS!$C$1505,CROQUIS_DATOS!$C$1509,CROQUIS_DATOS!$C$1513,CROQUIS_DATOS!$C$1517)=1,CROQUIS_DATOS!$C$1557,0)+1,IF(MOD(IF(CHOOSE(MIN(MAX(MIN(INT(($A272-1)/62)+1,5),1),5),CROQUIS_DATOS!$C$1501,CROQUIS_DATOS!$C$1505,CROQUIS_DATOS!$C$1509,CROQUIS_DATOS!$C$1513,CROQUIS_DATOS!$C$1517)=1,CROQUIS_DATOS!$C$1557,0),2)=1,1,0),IF(MOD(MIN(INT((MOD($A272-1,62)+1-2)/2)+1,MAX(IF(CHOOSE(MIN(MAX(MIN(INT(($A272-1)/62)+1,5),1),5),CROQUIS_DATOS!$C$1501,CROQUIS_DATOS!$C$1505,CROQUIS_DATOS!$C$1509,CROQUIS_DATOS!$C$1513,CROQUIS_DATOS!$C$1517)=1,CROQUIS_DATOS!$C$1557,0),1)),2)=1,IF(MOD(MOD($A272-1,62)+1-2,2)=0,0,1),IF(MOD(MOD($A272-1,62)+1-2,2)=0,1,0))))=0,(CHOOSE(MIN(MAX(MIN(INT(($A272-1)/62)+1,5),1),5),CROQUIS_DATOS!$C$1499,CROQUIS_DATOS!$C$1503,CROQUIS_DATOS!$C$1507,CROQUIS_DATOS!$C$1511,CROQUIS_DATOS!$C$1515)+IF(CHOOSE(MIN(MAX(MIN(INT(($A272-1)/62)+1,5),1),5),CROQUIS_DATOS!$C$1501,CROQUIS_DATOS!$C$1505,CROQUIS_DATOS!$C$1509,CROQUIS_DATOS!$C$1513,CROQUIS_DATOS!$C$1517)=1,CROQUIS_DATOS!$C$1526,0)),(CHOOSE(MIN(MAX(MIN(INT(($A272-1)/62)+1,5),1),5),CROQUIS_DATOS!$C$1499,CROQUIS_DATOS!$C$1503,CROQUIS_DATOS!$C$1507,CROQUIS_DATOS!$C$1511,CROQUIS_DATOS!$C$1515)+CHOOSE(MIN(MAX(MIN(INT(($A272-1)/62)+1,5),1),5),CROQUIS_DATOS!$C$1500,CROQUIS_DATOS!$C$1504,CROQUIS_DATOS!$C$1508,CROQUIS_DATOS!$C$1512,CROQUIS_DATOS!$C$1516)-IF(CHOOSE(MIN(MAX(MIN(INT(($A272-1)/62)+1,5),1),5),CROQUIS_DATOS!$C$1501,CROQUIS_DATOS!$C$1505,CROQUIS_DATOS!$C$1509,CROQUIS_DATOS!$C$1513,CROQUIS_DATOS!$C$1517)=1,CROQUIS_DATOS!$C$1526,0))))*CROQUIS_DATOS!$C$1562),-1000)</f>
        <v>-1000</v>
      </c>
      <c r="Q272">
        <f>IF(AND(CROQUIS_DATOS!$C$1472=1,CROQUIS_DATOS!$C$1555=1),(CROQUIS_DATOS!$C$1564+(IF(OR(OR(MOD($A272-1,62)+1=1,IF(CHOOSE(MIN(MAX(MIN(INT(($A272-1)/62)+1,5),1),5),CROQUIS_DATOS!$C$1501,CROQUIS_DATOS!$C$1505,CROQUIS_DATOS!$C$1509,CROQUIS_DATOS!$C$1513,CROQUIS_DATOS!$C$1517)=1,CROQUIS_DATOS!$C$1557,0)=0),MOD($A272-1,62)+1&gt;2*IF(CHOOSE(MIN(MAX(MIN(INT(($A272-1)/62)+1,5),1),5),CROQUIS_DATOS!$C$1501,CROQUIS_DATOS!$C$1505,CROQUIS_DATOS!$C$1509,CROQUIS_DATOS!$C$1513,CROQUIS_DATOS!$C$1517)=1,CROQUIS_DATOS!$C$1557,0)+1),CROQUIS_DATOS!$C$1476,MIN(INT((MOD($A272-1,62)+1-2)/2)+1,MAX(IF(CHOOSE(MIN(MAX(MIN(INT(($A272-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2">
        <f>IF(AND(CROQUIS_DATOS!$C$1472=1,1),(CROQUIS_DATOS!$C$1563+(MIN(INT(($A272-1)/2)+1,CROQUIS_DATOS!$C$1558)*CROQUIS_DATOS!$C$1559)*CROQUIS_DATOS!$C$1562),-1000)</f>
        <v>82.2281167108753</v>
      </c>
      <c r="U272">
        <f>IF(AND(CROQUIS_DATOS!$C$1472=1,1),(CROQUIS_DATOS!$C$1564+(IF(INT(($A272-1)/2)+1&gt;CROQUIS_DATOS!$C$1558,IF(MOD(CROQUIS_DATOS!$C$1558,2)=1,CROQUIS_DATOS!$C$1476+CROQUIS_DATOS!$C$1528,CROQUIS_DATOS!$C$1476),IF(IF(MOD(MIN(INT(($A272-1)/2)+1,CROQUIS_DATOS!$C$1558),2)=1,MOD($A272-1,2),1-MOD($A272-1,2))=1,CROQUIS_DATOS!$C$1476+CROQUIS_DATOS!$C$1528,CROQUIS_DATOS!$C$1476)))*CROQUIS_DATOS!$C$1561*CROQUIS_DATOS!$C$1562),-1000)</f>
        <v>43</v>
      </c>
    </row>
    <row r="273">
      <c r="A273" t="n">
        <v>266</v>
      </c>
      <c r="N273">
        <f>IF(AND(CROQUIS_DATOS!$C$1472=1,1),(CROQUIS_DATOS!$C$1563+(IF(IF(IF(INT(($A273-1)/70)+1&gt;CROQUIS_DATOS!$C$1525,70,MOD($A273-1,70)+1)=1,0,IF(IF(INT(($A273-1)/70)+1&gt;CROQUIS_DATOS!$C$1525,70,MOD($A273-1,70)+1)&gt;2*CROQUIS_DATOS!$C$1541+1,IF(MOD(CROQUIS_DATOS!$C$1541,2)=1,1,0),IF(MOD(MIN(INT((IF(INT(($A273-1)/70)+1&gt;CROQUIS_DATOS!$C$1525,70,MOD($A273-1,70)+1)-2)/2)+1,CROQUIS_DATOS!$C$1541),2)=1,IF(MOD(IF(INT(($A273-1)/70)+1&gt;CROQUIS_DATOS!$C$1525,70,MOD($A273-1,70)+1)-2,2)=0,0,1),IF(MOD(IF(INT(($A273-1)/70)+1&gt;CROQUIS_DATOS!$C$1525,70,MOD($A273-1,70)+1)-2,2)=0,1,0))))=0,(INDEX($E$8:$E$23,MIN(INT(($A273-1)/70)+1,CROQUIS_DATOS!$C$1525))-INDEX($F$8:$F$23,MIN(INT(($A273-1)/70)+1,CROQUIS_DATOS!$C$1525))/2),(INDEX($E$8:$E$23,MIN(INT(($A273-1)/70)+1,CROQUIS_DATOS!$C$1525))+INDEX($F$8:$F$23,MIN(INT(($A273-1)/70)+1,CROQUIS_DATOS!$C$1525))/2)))*CROQUIS_DATOS!$C$1562),-1000)</f>
        <v>45.1120689655172</v>
      </c>
      <c r="O273">
        <f>IF(AND(CROQUIS_DATOS!$C$1472=1,1),(CROQUIS_DATOS!$C$1564+(IF(OR(IF(INT(($A273-1)/70)+1&gt;CROQUIS_DATOS!$C$1525,70,MOD($A273-1,70)+1)=1,IF(INT(($A273-1)/70)+1&gt;CROQUIS_DATOS!$C$1525,70,MOD($A273-1,70)+1)&gt;2*CROQUIS_DATOS!$C$1541+1),CROQUIS_DATOS!$C$1476,INDEX($H$8:$H$41,MIN(INT((IF(INT(($A273-1)/70)+1&gt;CROQUIS_DATOS!$C$1525,70,MOD($A273-1,70)+1)-2)/2)+1,CROQUIS_DATOS!$C$1541))))*CROQUIS_DATOS!$C$1561*CROQUIS_DATOS!$C$1562),-1000)</f>
        <v>40.2068965517241</v>
      </c>
      <c r="P273">
        <f>IF(AND(CROQUIS_DATOS!$C$1472=1,CROQUIS_DATOS!$C$1555=1),(CROQUIS_DATOS!$C$1563+(IF(IF(OR(MOD($A273-1,62)+1=1,IF(CHOOSE(MIN(MAX(MIN(INT(($A273-1)/62)+1,5),1),5),CROQUIS_DATOS!$C$1501,CROQUIS_DATOS!$C$1505,CROQUIS_DATOS!$C$1509,CROQUIS_DATOS!$C$1513,CROQUIS_DATOS!$C$1517)=1,CROQUIS_DATOS!$C$1557,0)=0),0,IF(MOD($A273-1,62)+1&gt;2*IF(CHOOSE(MIN(MAX(MIN(INT(($A273-1)/62)+1,5),1),5),CROQUIS_DATOS!$C$1501,CROQUIS_DATOS!$C$1505,CROQUIS_DATOS!$C$1509,CROQUIS_DATOS!$C$1513,CROQUIS_DATOS!$C$1517)=1,CROQUIS_DATOS!$C$1557,0)+1,IF(MOD(IF(CHOOSE(MIN(MAX(MIN(INT(($A273-1)/62)+1,5),1),5),CROQUIS_DATOS!$C$1501,CROQUIS_DATOS!$C$1505,CROQUIS_DATOS!$C$1509,CROQUIS_DATOS!$C$1513,CROQUIS_DATOS!$C$1517)=1,CROQUIS_DATOS!$C$1557,0),2)=1,1,0),IF(MOD(MIN(INT((MOD($A273-1,62)+1-2)/2)+1,MAX(IF(CHOOSE(MIN(MAX(MIN(INT(($A273-1)/62)+1,5),1),5),CROQUIS_DATOS!$C$1501,CROQUIS_DATOS!$C$1505,CROQUIS_DATOS!$C$1509,CROQUIS_DATOS!$C$1513,CROQUIS_DATOS!$C$1517)=1,CROQUIS_DATOS!$C$1557,0),1)),2)=1,IF(MOD(MOD($A273-1,62)+1-2,2)=0,0,1),IF(MOD(MOD($A273-1,62)+1-2,2)=0,1,0))))=0,(CHOOSE(MIN(MAX(MIN(INT(($A273-1)/62)+1,5),1),5),CROQUIS_DATOS!$C$1499,CROQUIS_DATOS!$C$1503,CROQUIS_DATOS!$C$1507,CROQUIS_DATOS!$C$1511,CROQUIS_DATOS!$C$1515)+IF(CHOOSE(MIN(MAX(MIN(INT(($A273-1)/62)+1,5),1),5),CROQUIS_DATOS!$C$1501,CROQUIS_DATOS!$C$1505,CROQUIS_DATOS!$C$1509,CROQUIS_DATOS!$C$1513,CROQUIS_DATOS!$C$1517)=1,CROQUIS_DATOS!$C$1526,0)),(CHOOSE(MIN(MAX(MIN(INT(($A273-1)/62)+1,5),1),5),CROQUIS_DATOS!$C$1499,CROQUIS_DATOS!$C$1503,CROQUIS_DATOS!$C$1507,CROQUIS_DATOS!$C$1511,CROQUIS_DATOS!$C$1515)+CHOOSE(MIN(MAX(MIN(INT(($A273-1)/62)+1,5),1),5),CROQUIS_DATOS!$C$1500,CROQUIS_DATOS!$C$1504,CROQUIS_DATOS!$C$1508,CROQUIS_DATOS!$C$1512,CROQUIS_DATOS!$C$1516)-IF(CHOOSE(MIN(MAX(MIN(INT(($A273-1)/62)+1,5),1),5),CROQUIS_DATOS!$C$1501,CROQUIS_DATOS!$C$1505,CROQUIS_DATOS!$C$1509,CROQUIS_DATOS!$C$1513,CROQUIS_DATOS!$C$1517)=1,CROQUIS_DATOS!$C$1526,0))))*CROQUIS_DATOS!$C$1562),-1000)</f>
        <v>-1000</v>
      </c>
      <c r="Q273">
        <f>IF(AND(CROQUIS_DATOS!$C$1472=1,CROQUIS_DATOS!$C$1555=1),(CROQUIS_DATOS!$C$1564+(IF(OR(OR(MOD($A273-1,62)+1=1,IF(CHOOSE(MIN(MAX(MIN(INT(($A273-1)/62)+1,5),1),5),CROQUIS_DATOS!$C$1501,CROQUIS_DATOS!$C$1505,CROQUIS_DATOS!$C$1509,CROQUIS_DATOS!$C$1513,CROQUIS_DATOS!$C$1517)=1,CROQUIS_DATOS!$C$1557,0)=0),MOD($A273-1,62)+1&gt;2*IF(CHOOSE(MIN(MAX(MIN(INT(($A273-1)/62)+1,5),1),5),CROQUIS_DATOS!$C$1501,CROQUIS_DATOS!$C$1505,CROQUIS_DATOS!$C$1509,CROQUIS_DATOS!$C$1513,CROQUIS_DATOS!$C$1517)=1,CROQUIS_DATOS!$C$1557,0)+1),CROQUIS_DATOS!$C$1476,MIN(INT((MOD($A273-1,62)+1-2)/2)+1,MAX(IF(CHOOSE(MIN(MAX(MIN(INT(($A273-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3">
        <f>IF(AND(CROQUIS_DATOS!$C$1472=1,1),(CROQUIS_DATOS!$C$1563+(MIN(INT(($A273-1)/2)+1,CROQUIS_DATOS!$C$1558)*CROQUIS_DATOS!$C$1559)*CROQUIS_DATOS!$C$1562),-1000)</f>
        <v>82.2281167108753</v>
      </c>
      <c r="U273">
        <f>IF(AND(CROQUIS_DATOS!$C$1472=1,1),(CROQUIS_DATOS!$C$1564+(IF(INT(($A273-1)/2)+1&gt;CROQUIS_DATOS!$C$1558,IF(MOD(CROQUIS_DATOS!$C$1558,2)=1,CROQUIS_DATOS!$C$1476+CROQUIS_DATOS!$C$1528,CROQUIS_DATOS!$C$1476),IF(IF(MOD(MIN(INT(($A273-1)/2)+1,CROQUIS_DATOS!$C$1558),2)=1,MOD($A273-1,2),1-MOD($A273-1,2))=1,CROQUIS_DATOS!$C$1476+CROQUIS_DATOS!$C$1528,CROQUIS_DATOS!$C$1476)))*CROQUIS_DATOS!$C$1561*CROQUIS_DATOS!$C$1562),-1000)</f>
        <v>43</v>
      </c>
    </row>
    <row r="274">
      <c r="A274" t="n">
        <v>267</v>
      </c>
      <c r="N274">
        <f>IF(AND(CROQUIS_DATOS!$C$1472=1,1),(CROQUIS_DATOS!$C$1563+(IF(IF(IF(INT(($A274-1)/70)+1&gt;CROQUIS_DATOS!$C$1525,70,MOD($A274-1,70)+1)=1,0,IF(IF(INT(($A274-1)/70)+1&gt;CROQUIS_DATOS!$C$1525,70,MOD($A274-1,70)+1)&gt;2*CROQUIS_DATOS!$C$1541+1,IF(MOD(CROQUIS_DATOS!$C$1541,2)=1,1,0),IF(MOD(MIN(INT((IF(INT(($A274-1)/70)+1&gt;CROQUIS_DATOS!$C$1525,70,MOD($A274-1,70)+1)-2)/2)+1,CROQUIS_DATOS!$C$1541),2)=1,IF(MOD(IF(INT(($A274-1)/70)+1&gt;CROQUIS_DATOS!$C$1525,70,MOD($A274-1,70)+1)-2,2)=0,0,1),IF(MOD(IF(INT(($A274-1)/70)+1&gt;CROQUIS_DATOS!$C$1525,70,MOD($A274-1,70)+1)-2,2)=0,1,0))))=0,(INDEX($E$8:$E$23,MIN(INT(($A274-1)/70)+1,CROQUIS_DATOS!$C$1525))-INDEX($F$8:$F$23,MIN(INT(($A274-1)/70)+1,CROQUIS_DATOS!$C$1525))/2),(INDEX($E$8:$E$23,MIN(INT(($A274-1)/70)+1,CROQUIS_DATOS!$C$1525))+INDEX($F$8:$F$23,MIN(INT(($A274-1)/70)+1,CROQUIS_DATOS!$C$1525))/2)))*CROQUIS_DATOS!$C$1562),-1000)</f>
        <v>45.1120689655172</v>
      </c>
      <c r="O274">
        <f>IF(AND(CROQUIS_DATOS!$C$1472=1,1),(CROQUIS_DATOS!$C$1564+(IF(OR(IF(INT(($A274-1)/70)+1&gt;CROQUIS_DATOS!$C$1525,70,MOD($A274-1,70)+1)=1,IF(INT(($A274-1)/70)+1&gt;CROQUIS_DATOS!$C$1525,70,MOD($A274-1,70)+1)&gt;2*CROQUIS_DATOS!$C$1541+1),CROQUIS_DATOS!$C$1476,INDEX($H$8:$H$41,MIN(INT((IF(INT(($A274-1)/70)+1&gt;CROQUIS_DATOS!$C$1525,70,MOD($A274-1,70)+1)-2)/2)+1,CROQUIS_DATOS!$C$1541))))*CROQUIS_DATOS!$C$1561*CROQUIS_DATOS!$C$1562),-1000)</f>
        <v>40.2068965517241</v>
      </c>
      <c r="P274">
        <f>IF(AND(CROQUIS_DATOS!$C$1472=1,CROQUIS_DATOS!$C$1555=1),(CROQUIS_DATOS!$C$1563+(IF(IF(OR(MOD($A274-1,62)+1=1,IF(CHOOSE(MIN(MAX(MIN(INT(($A274-1)/62)+1,5),1),5),CROQUIS_DATOS!$C$1501,CROQUIS_DATOS!$C$1505,CROQUIS_DATOS!$C$1509,CROQUIS_DATOS!$C$1513,CROQUIS_DATOS!$C$1517)=1,CROQUIS_DATOS!$C$1557,0)=0),0,IF(MOD($A274-1,62)+1&gt;2*IF(CHOOSE(MIN(MAX(MIN(INT(($A274-1)/62)+1,5),1),5),CROQUIS_DATOS!$C$1501,CROQUIS_DATOS!$C$1505,CROQUIS_DATOS!$C$1509,CROQUIS_DATOS!$C$1513,CROQUIS_DATOS!$C$1517)=1,CROQUIS_DATOS!$C$1557,0)+1,IF(MOD(IF(CHOOSE(MIN(MAX(MIN(INT(($A274-1)/62)+1,5),1),5),CROQUIS_DATOS!$C$1501,CROQUIS_DATOS!$C$1505,CROQUIS_DATOS!$C$1509,CROQUIS_DATOS!$C$1513,CROQUIS_DATOS!$C$1517)=1,CROQUIS_DATOS!$C$1557,0),2)=1,1,0),IF(MOD(MIN(INT((MOD($A274-1,62)+1-2)/2)+1,MAX(IF(CHOOSE(MIN(MAX(MIN(INT(($A274-1)/62)+1,5),1),5),CROQUIS_DATOS!$C$1501,CROQUIS_DATOS!$C$1505,CROQUIS_DATOS!$C$1509,CROQUIS_DATOS!$C$1513,CROQUIS_DATOS!$C$1517)=1,CROQUIS_DATOS!$C$1557,0),1)),2)=1,IF(MOD(MOD($A274-1,62)+1-2,2)=0,0,1),IF(MOD(MOD($A274-1,62)+1-2,2)=0,1,0))))=0,(CHOOSE(MIN(MAX(MIN(INT(($A274-1)/62)+1,5),1),5),CROQUIS_DATOS!$C$1499,CROQUIS_DATOS!$C$1503,CROQUIS_DATOS!$C$1507,CROQUIS_DATOS!$C$1511,CROQUIS_DATOS!$C$1515)+IF(CHOOSE(MIN(MAX(MIN(INT(($A274-1)/62)+1,5),1),5),CROQUIS_DATOS!$C$1501,CROQUIS_DATOS!$C$1505,CROQUIS_DATOS!$C$1509,CROQUIS_DATOS!$C$1513,CROQUIS_DATOS!$C$1517)=1,CROQUIS_DATOS!$C$1526,0)),(CHOOSE(MIN(MAX(MIN(INT(($A274-1)/62)+1,5),1),5),CROQUIS_DATOS!$C$1499,CROQUIS_DATOS!$C$1503,CROQUIS_DATOS!$C$1507,CROQUIS_DATOS!$C$1511,CROQUIS_DATOS!$C$1515)+CHOOSE(MIN(MAX(MIN(INT(($A274-1)/62)+1,5),1),5),CROQUIS_DATOS!$C$1500,CROQUIS_DATOS!$C$1504,CROQUIS_DATOS!$C$1508,CROQUIS_DATOS!$C$1512,CROQUIS_DATOS!$C$1516)-IF(CHOOSE(MIN(MAX(MIN(INT(($A274-1)/62)+1,5),1),5),CROQUIS_DATOS!$C$1501,CROQUIS_DATOS!$C$1505,CROQUIS_DATOS!$C$1509,CROQUIS_DATOS!$C$1513,CROQUIS_DATOS!$C$1517)=1,CROQUIS_DATOS!$C$1526,0))))*CROQUIS_DATOS!$C$1562),-1000)</f>
        <v>-1000</v>
      </c>
      <c r="Q274">
        <f>IF(AND(CROQUIS_DATOS!$C$1472=1,CROQUIS_DATOS!$C$1555=1),(CROQUIS_DATOS!$C$1564+(IF(OR(OR(MOD($A274-1,62)+1=1,IF(CHOOSE(MIN(MAX(MIN(INT(($A274-1)/62)+1,5),1),5),CROQUIS_DATOS!$C$1501,CROQUIS_DATOS!$C$1505,CROQUIS_DATOS!$C$1509,CROQUIS_DATOS!$C$1513,CROQUIS_DATOS!$C$1517)=1,CROQUIS_DATOS!$C$1557,0)=0),MOD($A274-1,62)+1&gt;2*IF(CHOOSE(MIN(MAX(MIN(INT(($A274-1)/62)+1,5),1),5),CROQUIS_DATOS!$C$1501,CROQUIS_DATOS!$C$1505,CROQUIS_DATOS!$C$1509,CROQUIS_DATOS!$C$1513,CROQUIS_DATOS!$C$1517)=1,CROQUIS_DATOS!$C$1557,0)+1),CROQUIS_DATOS!$C$1476,MIN(INT((MOD($A274-1,62)+1-2)/2)+1,MAX(IF(CHOOSE(MIN(MAX(MIN(INT(($A274-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4">
        <f>IF(AND(CROQUIS_DATOS!$C$1472=1,1),(CROQUIS_DATOS!$C$1563+(MIN(INT(($A274-1)/2)+1,CROQUIS_DATOS!$C$1558)*CROQUIS_DATOS!$C$1559)*CROQUIS_DATOS!$C$1562),-1000)</f>
        <v>82.2281167108753</v>
      </c>
      <c r="U274">
        <f>IF(AND(CROQUIS_DATOS!$C$1472=1,1),(CROQUIS_DATOS!$C$1564+(IF(INT(($A274-1)/2)+1&gt;CROQUIS_DATOS!$C$1558,IF(MOD(CROQUIS_DATOS!$C$1558,2)=1,CROQUIS_DATOS!$C$1476+CROQUIS_DATOS!$C$1528,CROQUIS_DATOS!$C$1476),IF(IF(MOD(MIN(INT(($A274-1)/2)+1,CROQUIS_DATOS!$C$1558),2)=1,MOD($A274-1,2),1-MOD($A274-1,2))=1,CROQUIS_DATOS!$C$1476+CROQUIS_DATOS!$C$1528,CROQUIS_DATOS!$C$1476)))*CROQUIS_DATOS!$C$1561*CROQUIS_DATOS!$C$1562),-1000)</f>
        <v>43</v>
      </c>
    </row>
    <row r="275">
      <c r="A275" t="n">
        <v>268</v>
      </c>
      <c r="N275">
        <f>IF(AND(CROQUIS_DATOS!$C$1472=1,1),(CROQUIS_DATOS!$C$1563+(IF(IF(IF(INT(($A275-1)/70)+1&gt;CROQUIS_DATOS!$C$1525,70,MOD($A275-1,70)+1)=1,0,IF(IF(INT(($A275-1)/70)+1&gt;CROQUIS_DATOS!$C$1525,70,MOD($A275-1,70)+1)&gt;2*CROQUIS_DATOS!$C$1541+1,IF(MOD(CROQUIS_DATOS!$C$1541,2)=1,1,0),IF(MOD(MIN(INT((IF(INT(($A275-1)/70)+1&gt;CROQUIS_DATOS!$C$1525,70,MOD($A275-1,70)+1)-2)/2)+1,CROQUIS_DATOS!$C$1541),2)=1,IF(MOD(IF(INT(($A275-1)/70)+1&gt;CROQUIS_DATOS!$C$1525,70,MOD($A275-1,70)+1)-2,2)=0,0,1),IF(MOD(IF(INT(($A275-1)/70)+1&gt;CROQUIS_DATOS!$C$1525,70,MOD($A275-1,70)+1)-2,2)=0,1,0))))=0,(INDEX($E$8:$E$23,MIN(INT(($A275-1)/70)+1,CROQUIS_DATOS!$C$1525))-INDEX($F$8:$F$23,MIN(INT(($A275-1)/70)+1,CROQUIS_DATOS!$C$1525))/2),(INDEX($E$8:$E$23,MIN(INT(($A275-1)/70)+1,CROQUIS_DATOS!$C$1525))+INDEX($F$8:$F$23,MIN(INT(($A275-1)/70)+1,CROQUIS_DATOS!$C$1525))/2)))*CROQUIS_DATOS!$C$1562),-1000)</f>
        <v>45.1120689655172</v>
      </c>
      <c r="O275">
        <f>IF(AND(CROQUIS_DATOS!$C$1472=1,1),(CROQUIS_DATOS!$C$1564+(IF(OR(IF(INT(($A275-1)/70)+1&gt;CROQUIS_DATOS!$C$1525,70,MOD($A275-1,70)+1)=1,IF(INT(($A275-1)/70)+1&gt;CROQUIS_DATOS!$C$1525,70,MOD($A275-1,70)+1)&gt;2*CROQUIS_DATOS!$C$1541+1),CROQUIS_DATOS!$C$1476,INDEX($H$8:$H$41,MIN(INT((IF(INT(($A275-1)/70)+1&gt;CROQUIS_DATOS!$C$1525,70,MOD($A275-1,70)+1)-2)/2)+1,CROQUIS_DATOS!$C$1541))))*CROQUIS_DATOS!$C$1561*CROQUIS_DATOS!$C$1562),-1000)</f>
        <v>40.2068965517241</v>
      </c>
      <c r="P275">
        <f>IF(AND(CROQUIS_DATOS!$C$1472=1,CROQUIS_DATOS!$C$1555=1),(CROQUIS_DATOS!$C$1563+(IF(IF(OR(MOD($A275-1,62)+1=1,IF(CHOOSE(MIN(MAX(MIN(INT(($A275-1)/62)+1,5),1),5),CROQUIS_DATOS!$C$1501,CROQUIS_DATOS!$C$1505,CROQUIS_DATOS!$C$1509,CROQUIS_DATOS!$C$1513,CROQUIS_DATOS!$C$1517)=1,CROQUIS_DATOS!$C$1557,0)=0),0,IF(MOD($A275-1,62)+1&gt;2*IF(CHOOSE(MIN(MAX(MIN(INT(($A275-1)/62)+1,5),1),5),CROQUIS_DATOS!$C$1501,CROQUIS_DATOS!$C$1505,CROQUIS_DATOS!$C$1509,CROQUIS_DATOS!$C$1513,CROQUIS_DATOS!$C$1517)=1,CROQUIS_DATOS!$C$1557,0)+1,IF(MOD(IF(CHOOSE(MIN(MAX(MIN(INT(($A275-1)/62)+1,5),1),5),CROQUIS_DATOS!$C$1501,CROQUIS_DATOS!$C$1505,CROQUIS_DATOS!$C$1509,CROQUIS_DATOS!$C$1513,CROQUIS_DATOS!$C$1517)=1,CROQUIS_DATOS!$C$1557,0),2)=1,1,0),IF(MOD(MIN(INT((MOD($A275-1,62)+1-2)/2)+1,MAX(IF(CHOOSE(MIN(MAX(MIN(INT(($A275-1)/62)+1,5),1),5),CROQUIS_DATOS!$C$1501,CROQUIS_DATOS!$C$1505,CROQUIS_DATOS!$C$1509,CROQUIS_DATOS!$C$1513,CROQUIS_DATOS!$C$1517)=1,CROQUIS_DATOS!$C$1557,0),1)),2)=1,IF(MOD(MOD($A275-1,62)+1-2,2)=0,0,1),IF(MOD(MOD($A275-1,62)+1-2,2)=0,1,0))))=0,(CHOOSE(MIN(MAX(MIN(INT(($A275-1)/62)+1,5),1),5),CROQUIS_DATOS!$C$1499,CROQUIS_DATOS!$C$1503,CROQUIS_DATOS!$C$1507,CROQUIS_DATOS!$C$1511,CROQUIS_DATOS!$C$1515)+IF(CHOOSE(MIN(MAX(MIN(INT(($A275-1)/62)+1,5),1),5),CROQUIS_DATOS!$C$1501,CROQUIS_DATOS!$C$1505,CROQUIS_DATOS!$C$1509,CROQUIS_DATOS!$C$1513,CROQUIS_DATOS!$C$1517)=1,CROQUIS_DATOS!$C$1526,0)),(CHOOSE(MIN(MAX(MIN(INT(($A275-1)/62)+1,5),1),5),CROQUIS_DATOS!$C$1499,CROQUIS_DATOS!$C$1503,CROQUIS_DATOS!$C$1507,CROQUIS_DATOS!$C$1511,CROQUIS_DATOS!$C$1515)+CHOOSE(MIN(MAX(MIN(INT(($A275-1)/62)+1,5),1),5),CROQUIS_DATOS!$C$1500,CROQUIS_DATOS!$C$1504,CROQUIS_DATOS!$C$1508,CROQUIS_DATOS!$C$1512,CROQUIS_DATOS!$C$1516)-IF(CHOOSE(MIN(MAX(MIN(INT(($A275-1)/62)+1,5),1),5),CROQUIS_DATOS!$C$1501,CROQUIS_DATOS!$C$1505,CROQUIS_DATOS!$C$1509,CROQUIS_DATOS!$C$1513,CROQUIS_DATOS!$C$1517)=1,CROQUIS_DATOS!$C$1526,0))))*CROQUIS_DATOS!$C$1562),-1000)</f>
        <v>-1000</v>
      </c>
      <c r="Q275">
        <f>IF(AND(CROQUIS_DATOS!$C$1472=1,CROQUIS_DATOS!$C$1555=1),(CROQUIS_DATOS!$C$1564+(IF(OR(OR(MOD($A275-1,62)+1=1,IF(CHOOSE(MIN(MAX(MIN(INT(($A275-1)/62)+1,5),1),5),CROQUIS_DATOS!$C$1501,CROQUIS_DATOS!$C$1505,CROQUIS_DATOS!$C$1509,CROQUIS_DATOS!$C$1513,CROQUIS_DATOS!$C$1517)=1,CROQUIS_DATOS!$C$1557,0)=0),MOD($A275-1,62)+1&gt;2*IF(CHOOSE(MIN(MAX(MIN(INT(($A275-1)/62)+1,5),1),5),CROQUIS_DATOS!$C$1501,CROQUIS_DATOS!$C$1505,CROQUIS_DATOS!$C$1509,CROQUIS_DATOS!$C$1513,CROQUIS_DATOS!$C$1517)=1,CROQUIS_DATOS!$C$1557,0)+1),CROQUIS_DATOS!$C$1476,MIN(INT((MOD($A275-1,62)+1-2)/2)+1,MAX(IF(CHOOSE(MIN(MAX(MIN(INT(($A275-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5">
        <f>IF(AND(CROQUIS_DATOS!$C$1472=1,1),(CROQUIS_DATOS!$C$1563+(MIN(INT(($A275-1)/2)+1,CROQUIS_DATOS!$C$1558)*CROQUIS_DATOS!$C$1559)*CROQUIS_DATOS!$C$1562),-1000)</f>
        <v>82.2281167108753</v>
      </c>
      <c r="U275">
        <f>IF(AND(CROQUIS_DATOS!$C$1472=1,1),(CROQUIS_DATOS!$C$1564+(IF(INT(($A275-1)/2)+1&gt;CROQUIS_DATOS!$C$1558,IF(MOD(CROQUIS_DATOS!$C$1558,2)=1,CROQUIS_DATOS!$C$1476+CROQUIS_DATOS!$C$1528,CROQUIS_DATOS!$C$1476),IF(IF(MOD(MIN(INT(($A275-1)/2)+1,CROQUIS_DATOS!$C$1558),2)=1,MOD($A275-1,2),1-MOD($A275-1,2))=1,CROQUIS_DATOS!$C$1476+CROQUIS_DATOS!$C$1528,CROQUIS_DATOS!$C$1476)))*CROQUIS_DATOS!$C$1561*CROQUIS_DATOS!$C$1562),-1000)</f>
        <v>43</v>
      </c>
    </row>
    <row r="276">
      <c r="A276" t="n">
        <v>269</v>
      </c>
      <c r="N276">
        <f>IF(AND(CROQUIS_DATOS!$C$1472=1,1),(CROQUIS_DATOS!$C$1563+(IF(IF(IF(INT(($A276-1)/70)+1&gt;CROQUIS_DATOS!$C$1525,70,MOD($A276-1,70)+1)=1,0,IF(IF(INT(($A276-1)/70)+1&gt;CROQUIS_DATOS!$C$1525,70,MOD($A276-1,70)+1)&gt;2*CROQUIS_DATOS!$C$1541+1,IF(MOD(CROQUIS_DATOS!$C$1541,2)=1,1,0),IF(MOD(MIN(INT((IF(INT(($A276-1)/70)+1&gt;CROQUIS_DATOS!$C$1525,70,MOD($A276-1,70)+1)-2)/2)+1,CROQUIS_DATOS!$C$1541),2)=1,IF(MOD(IF(INT(($A276-1)/70)+1&gt;CROQUIS_DATOS!$C$1525,70,MOD($A276-1,70)+1)-2,2)=0,0,1),IF(MOD(IF(INT(($A276-1)/70)+1&gt;CROQUIS_DATOS!$C$1525,70,MOD($A276-1,70)+1)-2,2)=0,1,0))))=0,(INDEX($E$8:$E$23,MIN(INT(($A276-1)/70)+1,CROQUIS_DATOS!$C$1525))-INDEX($F$8:$F$23,MIN(INT(($A276-1)/70)+1,CROQUIS_DATOS!$C$1525))/2),(INDEX($E$8:$E$23,MIN(INT(($A276-1)/70)+1,CROQUIS_DATOS!$C$1525))+INDEX($F$8:$F$23,MIN(INT(($A276-1)/70)+1,CROQUIS_DATOS!$C$1525))/2)))*CROQUIS_DATOS!$C$1562),-1000)</f>
        <v>45.1120689655172</v>
      </c>
      <c r="O276">
        <f>IF(AND(CROQUIS_DATOS!$C$1472=1,1),(CROQUIS_DATOS!$C$1564+(IF(OR(IF(INT(($A276-1)/70)+1&gt;CROQUIS_DATOS!$C$1525,70,MOD($A276-1,70)+1)=1,IF(INT(($A276-1)/70)+1&gt;CROQUIS_DATOS!$C$1525,70,MOD($A276-1,70)+1)&gt;2*CROQUIS_DATOS!$C$1541+1),CROQUIS_DATOS!$C$1476,INDEX($H$8:$H$41,MIN(INT((IF(INT(($A276-1)/70)+1&gt;CROQUIS_DATOS!$C$1525,70,MOD($A276-1,70)+1)-2)/2)+1,CROQUIS_DATOS!$C$1541))))*CROQUIS_DATOS!$C$1561*CROQUIS_DATOS!$C$1562),-1000)</f>
        <v>40.2068965517241</v>
      </c>
      <c r="P276">
        <f>IF(AND(CROQUIS_DATOS!$C$1472=1,CROQUIS_DATOS!$C$1555=1),(CROQUIS_DATOS!$C$1563+(IF(IF(OR(MOD($A276-1,62)+1=1,IF(CHOOSE(MIN(MAX(MIN(INT(($A276-1)/62)+1,5),1),5),CROQUIS_DATOS!$C$1501,CROQUIS_DATOS!$C$1505,CROQUIS_DATOS!$C$1509,CROQUIS_DATOS!$C$1513,CROQUIS_DATOS!$C$1517)=1,CROQUIS_DATOS!$C$1557,0)=0),0,IF(MOD($A276-1,62)+1&gt;2*IF(CHOOSE(MIN(MAX(MIN(INT(($A276-1)/62)+1,5),1),5),CROQUIS_DATOS!$C$1501,CROQUIS_DATOS!$C$1505,CROQUIS_DATOS!$C$1509,CROQUIS_DATOS!$C$1513,CROQUIS_DATOS!$C$1517)=1,CROQUIS_DATOS!$C$1557,0)+1,IF(MOD(IF(CHOOSE(MIN(MAX(MIN(INT(($A276-1)/62)+1,5),1),5),CROQUIS_DATOS!$C$1501,CROQUIS_DATOS!$C$1505,CROQUIS_DATOS!$C$1509,CROQUIS_DATOS!$C$1513,CROQUIS_DATOS!$C$1517)=1,CROQUIS_DATOS!$C$1557,0),2)=1,1,0),IF(MOD(MIN(INT((MOD($A276-1,62)+1-2)/2)+1,MAX(IF(CHOOSE(MIN(MAX(MIN(INT(($A276-1)/62)+1,5),1),5),CROQUIS_DATOS!$C$1501,CROQUIS_DATOS!$C$1505,CROQUIS_DATOS!$C$1509,CROQUIS_DATOS!$C$1513,CROQUIS_DATOS!$C$1517)=1,CROQUIS_DATOS!$C$1557,0),1)),2)=1,IF(MOD(MOD($A276-1,62)+1-2,2)=0,0,1),IF(MOD(MOD($A276-1,62)+1-2,2)=0,1,0))))=0,(CHOOSE(MIN(MAX(MIN(INT(($A276-1)/62)+1,5),1),5),CROQUIS_DATOS!$C$1499,CROQUIS_DATOS!$C$1503,CROQUIS_DATOS!$C$1507,CROQUIS_DATOS!$C$1511,CROQUIS_DATOS!$C$1515)+IF(CHOOSE(MIN(MAX(MIN(INT(($A276-1)/62)+1,5),1),5),CROQUIS_DATOS!$C$1501,CROQUIS_DATOS!$C$1505,CROQUIS_DATOS!$C$1509,CROQUIS_DATOS!$C$1513,CROQUIS_DATOS!$C$1517)=1,CROQUIS_DATOS!$C$1526,0)),(CHOOSE(MIN(MAX(MIN(INT(($A276-1)/62)+1,5),1),5),CROQUIS_DATOS!$C$1499,CROQUIS_DATOS!$C$1503,CROQUIS_DATOS!$C$1507,CROQUIS_DATOS!$C$1511,CROQUIS_DATOS!$C$1515)+CHOOSE(MIN(MAX(MIN(INT(($A276-1)/62)+1,5),1),5),CROQUIS_DATOS!$C$1500,CROQUIS_DATOS!$C$1504,CROQUIS_DATOS!$C$1508,CROQUIS_DATOS!$C$1512,CROQUIS_DATOS!$C$1516)-IF(CHOOSE(MIN(MAX(MIN(INT(($A276-1)/62)+1,5),1),5),CROQUIS_DATOS!$C$1501,CROQUIS_DATOS!$C$1505,CROQUIS_DATOS!$C$1509,CROQUIS_DATOS!$C$1513,CROQUIS_DATOS!$C$1517)=1,CROQUIS_DATOS!$C$1526,0))))*CROQUIS_DATOS!$C$1562),-1000)</f>
        <v>-1000</v>
      </c>
      <c r="Q276">
        <f>IF(AND(CROQUIS_DATOS!$C$1472=1,CROQUIS_DATOS!$C$1555=1),(CROQUIS_DATOS!$C$1564+(IF(OR(OR(MOD($A276-1,62)+1=1,IF(CHOOSE(MIN(MAX(MIN(INT(($A276-1)/62)+1,5),1),5),CROQUIS_DATOS!$C$1501,CROQUIS_DATOS!$C$1505,CROQUIS_DATOS!$C$1509,CROQUIS_DATOS!$C$1513,CROQUIS_DATOS!$C$1517)=1,CROQUIS_DATOS!$C$1557,0)=0),MOD($A276-1,62)+1&gt;2*IF(CHOOSE(MIN(MAX(MIN(INT(($A276-1)/62)+1,5),1),5),CROQUIS_DATOS!$C$1501,CROQUIS_DATOS!$C$1505,CROQUIS_DATOS!$C$1509,CROQUIS_DATOS!$C$1513,CROQUIS_DATOS!$C$1517)=1,CROQUIS_DATOS!$C$1557,0)+1),CROQUIS_DATOS!$C$1476,MIN(INT((MOD($A276-1,62)+1-2)/2)+1,MAX(IF(CHOOSE(MIN(MAX(MIN(INT(($A276-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6">
        <f>IF(AND(CROQUIS_DATOS!$C$1472=1,1),(CROQUIS_DATOS!$C$1563+(MIN(INT(($A276-1)/2)+1,CROQUIS_DATOS!$C$1558)*CROQUIS_DATOS!$C$1559)*CROQUIS_DATOS!$C$1562),-1000)</f>
        <v>82.2281167108753</v>
      </c>
      <c r="U276">
        <f>IF(AND(CROQUIS_DATOS!$C$1472=1,1),(CROQUIS_DATOS!$C$1564+(IF(INT(($A276-1)/2)+1&gt;CROQUIS_DATOS!$C$1558,IF(MOD(CROQUIS_DATOS!$C$1558,2)=1,CROQUIS_DATOS!$C$1476+CROQUIS_DATOS!$C$1528,CROQUIS_DATOS!$C$1476),IF(IF(MOD(MIN(INT(($A276-1)/2)+1,CROQUIS_DATOS!$C$1558),2)=1,MOD($A276-1,2),1-MOD($A276-1,2))=1,CROQUIS_DATOS!$C$1476+CROQUIS_DATOS!$C$1528,CROQUIS_DATOS!$C$1476)))*CROQUIS_DATOS!$C$1561*CROQUIS_DATOS!$C$1562),-1000)</f>
        <v>43</v>
      </c>
    </row>
    <row r="277">
      <c r="A277" t="n">
        <v>270</v>
      </c>
      <c r="N277">
        <f>IF(AND(CROQUIS_DATOS!$C$1472=1,1),(CROQUIS_DATOS!$C$1563+(IF(IF(IF(INT(($A277-1)/70)+1&gt;CROQUIS_DATOS!$C$1525,70,MOD($A277-1,70)+1)=1,0,IF(IF(INT(($A277-1)/70)+1&gt;CROQUIS_DATOS!$C$1525,70,MOD($A277-1,70)+1)&gt;2*CROQUIS_DATOS!$C$1541+1,IF(MOD(CROQUIS_DATOS!$C$1541,2)=1,1,0),IF(MOD(MIN(INT((IF(INT(($A277-1)/70)+1&gt;CROQUIS_DATOS!$C$1525,70,MOD($A277-1,70)+1)-2)/2)+1,CROQUIS_DATOS!$C$1541),2)=1,IF(MOD(IF(INT(($A277-1)/70)+1&gt;CROQUIS_DATOS!$C$1525,70,MOD($A277-1,70)+1)-2,2)=0,0,1),IF(MOD(IF(INT(($A277-1)/70)+1&gt;CROQUIS_DATOS!$C$1525,70,MOD($A277-1,70)+1)-2,2)=0,1,0))))=0,(INDEX($E$8:$E$23,MIN(INT(($A277-1)/70)+1,CROQUIS_DATOS!$C$1525))-INDEX($F$8:$F$23,MIN(INT(($A277-1)/70)+1,CROQUIS_DATOS!$C$1525))/2),(INDEX($E$8:$E$23,MIN(INT(($A277-1)/70)+1,CROQUIS_DATOS!$C$1525))+INDEX($F$8:$F$23,MIN(INT(($A277-1)/70)+1,CROQUIS_DATOS!$C$1525))/2)))*CROQUIS_DATOS!$C$1562),-1000)</f>
        <v>45.1120689655172</v>
      </c>
      <c r="O277">
        <f>IF(AND(CROQUIS_DATOS!$C$1472=1,1),(CROQUIS_DATOS!$C$1564+(IF(OR(IF(INT(($A277-1)/70)+1&gt;CROQUIS_DATOS!$C$1525,70,MOD($A277-1,70)+1)=1,IF(INT(($A277-1)/70)+1&gt;CROQUIS_DATOS!$C$1525,70,MOD($A277-1,70)+1)&gt;2*CROQUIS_DATOS!$C$1541+1),CROQUIS_DATOS!$C$1476,INDEX($H$8:$H$41,MIN(INT((IF(INT(($A277-1)/70)+1&gt;CROQUIS_DATOS!$C$1525,70,MOD($A277-1,70)+1)-2)/2)+1,CROQUIS_DATOS!$C$1541))))*CROQUIS_DATOS!$C$1561*CROQUIS_DATOS!$C$1562),-1000)</f>
        <v>40.2068965517241</v>
      </c>
      <c r="P277">
        <f>IF(AND(CROQUIS_DATOS!$C$1472=1,CROQUIS_DATOS!$C$1555=1),(CROQUIS_DATOS!$C$1563+(IF(IF(OR(MOD($A277-1,62)+1=1,IF(CHOOSE(MIN(MAX(MIN(INT(($A277-1)/62)+1,5),1),5),CROQUIS_DATOS!$C$1501,CROQUIS_DATOS!$C$1505,CROQUIS_DATOS!$C$1509,CROQUIS_DATOS!$C$1513,CROQUIS_DATOS!$C$1517)=1,CROQUIS_DATOS!$C$1557,0)=0),0,IF(MOD($A277-1,62)+1&gt;2*IF(CHOOSE(MIN(MAX(MIN(INT(($A277-1)/62)+1,5),1),5),CROQUIS_DATOS!$C$1501,CROQUIS_DATOS!$C$1505,CROQUIS_DATOS!$C$1509,CROQUIS_DATOS!$C$1513,CROQUIS_DATOS!$C$1517)=1,CROQUIS_DATOS!$C$1557,0)+1,IF(MOD(IF(CHOOSE(MIN(MAX(MIN(INT(($A277-1)/62)+1,5),1),5),CROQUIS_DATOS!$C$1501,CROQUIS_DATOS!$C$1505,CROQUIS_DATOS!$C$1509,CROQUIS_DATOS!$C$1513,CROQUIS_DATOS!$C$1517)=1,CROQUIS_DATOS!$C$1557,0),2)=1,1,0),IF(MOD(MIN(INT((MOD($A277-1,62)+1-2)/2)+1,MAX(IF(CHOOSE(MIN(MAX(MIN(INT(($A277-1)/62)+1,5),1),5),CROQUIS_DATOS!$C$1501,CROQUIS_DATOS!$C$1505,CROQUIS_DATOS!$C$1509,CROQUIS_DATOS!$C$1513,CROQUIS_DATOS!$C$1517)=1,CROQUIS_DATOS!$C$1557,0),1)),2)=1,IF(MOD(MOD($A277-1,62)+1-2,2)=0,0,1),IF(MOD(MOD($A277-1,62)+1-2,2)=0,1,0))))=0,(CHOOSE(MIN(MAX(MIN(INT(($A277-1)/62)+1,5),1),5),CROQUIS_DATOS!$C$1499,CROQUIS_DATOS!$C$1503,CROQUIS_DATOS!$C$1507,CROQUIS_DATOS!$C$1511,CROQUIS_DATOS!$C$1515)+IF(CHOOSE(MIN(MAX(MIN(INT(($A277-1)/62)+1,5),1),5),CROQUIS_DATOS!$C$1501,CROQUIS_DATOS!$C$1505,CROQUIS_DATOS!$C$1509,CROQUIS_DATOS!$C$1513,CROQUIS_DATOS!$C$1517)=1,CROQUIS_DATOS!$C$1526,0)),(CHOOSE(MIN(MAX(MIN(INT(($A277-1)/62)+1,5),1),5),CROQUIS_DATOS!$C$1499,CROQUIS_DATOS!$C$1503,CROQUIS_DATOS!$C$1507,CROQUIS_DATOS!$C$1511,CROQUIS_DATOS!$C$1515)+CHOOSE(MIN(MAX(MIN(INT(($A277-1)/62)+1,5),1),5),CROQUIS_DATOS!$C$1500,CROQUIS_DATOS!$C$1504,CROQUIS_DATOS!$C$1508,CROQUIS_DATOS!$C$1512,CROQUIS_DATOS!$C$1516)-IF(CHOOSE(MIN(MAX(MIN(INT(($A277-1)/62)+1,5),1),5),CROQUIS_DATOS!$C$1501,CROQUIS_DATOS!$C$1505,CROQUIS_DATOS!$C$1509,CROQUIS_DATOS!$C$1513,CROQUIS_DATOS!$C$1517)=1,CROQUIS_DATOS!$C$1526,0))))*CROQUIS_DATOS!$C$1562),-1000)</f>
        <v>-1000</v>
      </c>
      <c r="Q277">
        <f>IF(AND(CROQUIS_DATOS!$C$1472=1,CROQUIS_DATOS!$C$1555=1),(CROQUIS_DATOS!$C$1564+(IF(OR(OR(MOD($A277-1,62)+1=1,IF(CHOOSE(MIN(MAX(MIN(INT(($A277-1)/62)+1,5),1),5),CROQUIS_DATOS!$C$1501,CROQUIS_DATOS!$C$1505,CROQUIS_DATOS!$C$1509,CROQUIS_DATOS!$C$1513,CROQUIS_DATOS!$C$1517)=1,CROQUIS_DATOS!$C$1557,0)=0),MOD($A277-1,62)+1&gt;2*IF(CHOOSE(MIN(MAX(MIN(INT(($A277-1)/62)+1,5),1),5),CROQUIS_DATOS!$C$1501,CROQUIS_DATOS!$C$1505,CROQUIS_DATOS!$C$1509,CROQUIS_DATOS!$C$1513,CROQUIS_DATOS!$C$1517)=1,CROQUIS_DATOS!$C$1557,0)+1),CROQUIS_DATOS!$C$1476,MIN(INT((MOD($A277-1,62)+1-2)/2)+1,MAX(IF(CHOOSE(MIN(MAX(MIN(INT(($A277-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7">
        <f>IF(AND(CROQUIS_DATOS!$C$1472=1,1),(CROQUIS_DATOS!$C$1563+(MIN(INT(($A277-1)/2)+1,CROQUIS_DATOS!$C$1558)*CROQUIS_DATOS!$C$1559)*CROQUIS_DATOS!$C$1562),-1000)</f>
        <v>82.2281167108753</v>
      </c>
      <c r="U277">
        <f>IF(AND(CROQUIS_DATOS!$C$1472=1,1),(CROQUIS_DATOS!$C$1564+(IF(INT(($A277-1)/2)+1&gt;CROQUIS_DATOS!$C$1558,IF(MOD(CROQUIS_DATOS!$C$1558,2)=1,CROQUIS_DATOS!$C$1476+CROQUIS_DATOS!$C$1528,CROQUIS_DATOS!$C$1476),IF(IF(MOD(MIN(INT(($A277-1)/2)+1,CROQUIS_DATOS!$C$1558),2)=1,MOD($A277-1,2),1-MOD($A277-1,2))=1,CROQUIS_DATOS!$C$1476+CROQUIS_DATOS!$C$1528,CROQUIS_DATOS!$C$1476)))*CROQUIS_DATOS!$C$1561*CROQUIS_DATOS!$C$1562),-1000)</f>
        <v>43</v>
      </c>
    </row>
    <row r="278">
      <c r="A278" t="n">
        <v>271</v>
      </c>
      <c r="N278">
        <f>IF(AND(CROQUIS_DATOS!$C$1472=1,1),(CROQUIS_DATOS!$C$1563+(IF(IF(IF(INT(($A278-1)/70)+1&gt;CROQUIS_DATOS!$C$1525,70,MOD($A278-1,70)+1)=1,0,IF(IF(INT(($A278-1)/70)+1&gt;CROQUIS_DATOS!$C$1525,70,MOD($A278-1,70)+1)&gt;2*CROQUIS_DATOS!$C$1541+1,IF(MOD(CROQUIS_DATOS!$C$1541,2)=1,1,0),IF(MOD(MIN(INT((IF(INT(($A278-1)/70)+1&gt;CROQUIS_DATOS!$C$1525,70,MOD($A278-1,70)+1)-2)/2)+1,CROQUIS_DATOS!$C$1541),2)=1,IF(MOD(IF(INT(($A278-1)/70)+1&gt;CROQUIS_DATOS!$C$1525,70,MOD($A278-1,70)+1)-2,2)=0,0,1),IF(MOD(IF(INT(($A278-1)/70)+1&gt;CROQUIS_DATOS!$C$1525,70,MOD($A278-1,70)+1)-2,2)=0,1,0))))=0,(INDEX($E$8:$E$23,MIN(INT(($A278-1)/70)+1,CROQUIS_DATOS!$C$1525))-INDEX($F$8:$F$23,MIN(INT(($A278-1)/70)+1,CROQUIS_DATOS!$C$1525))/2),(INDEX($E$8:$E$23,MIN(INT(($A278-1)/70)+1,CROQUIS_DATOS!$C$1525))+INDEX($F$8:$F$23,MIN(INT(($A278-1)/70)+1,CROQUIS_DATOS!$C$1525))/2)))*CROQUIS_DATOS!$C$1562),-1000)</f>
        <v>45.1120689655172</v>
      </c>
      <c r="O278">
        <f>IF(AND(CROQUIS_DATOS!$C$1472=1,1),(CROQUIS_DATOS!$C$1564+(IF(OR(IF(INT(($A278-1)/70)+1&gt;CROQUIS_DATOS!$C$1525,70,MOD($A278-1,70)+1)=1,IF(INT(($A278-1)/70)+1&gt;CROQUIS_DATOS!$C$1525,70,MOD($A278-1,70)+1)&gt;2*CROQUIS_DATOS!$C$1541+1),CROQUIS_DATOS!$C$1476,INDEX($H$8:$H$41,MIN(INT((IF(INT(($A278-1)/70)+1&gt;CROQUIS_DATOS!$C$1525,70,MOD($A278-1,70)+1)-2)/2)+1,CROQUIS_DATOS!$C$1541))))*CROQUIS_DATOS!$C$1561*CROQUIS_DATOS!$C$1562),-1000)</f>
        <v>40.2068965517241</v>
      </c>
      <c r="P278">
        <f>IF(AND(CROQUIS_DATOS!$C$1472=1,CROQUIS_DATOS!$C$1555=1),(CROQUIS_DATOS!$C$1563+(IF(IF(OR(MOD($A278-1,62)+1=1,IF(CHOOSE(MIN(MAX(MIN(INT(($A278-1)/62)+1,5),1),5),CROQUIS_DATOS!$C$1501,CROQUIS_DATOS!$C$1505,CROQUIS_DATOS!$C$1509,CROQUIS_DATOS!$C$1513,CROQUIS_DATOS!$C$1517)=1,CROQUIS_DATOS!$C$1557,0)=0),0,IF(MOD($A278-1,62)+1&gt;2*IF(CHOOSE(MIN(MAX(MIN(INT(($A278-1)/62)+1,5),1),5),CROQUIS_DATOS!$C$1501,CROQUIS_DATOS!$C$1505,CROQUIS_DATOS!$C$1509,CROQUIS_DATOS!$C$1513,CROQUIS_DATOS!$C$1517)=1,CROQUIS_DATOS!$C$1557,0)+1,IF(MOD(IF(CHOOSE(MIN(MAX(MIN(INT(($A278-1)/62)+1,5),1),5),CROQUIS_DATOS!$C$1501,CROQUIS_DATOS!$C$1505,CROQUIS_DATOS!$C$1509,CROQUIS_DATOS!$C$1513,CROQUIS_DATOS!$C$1517)=1,CROQUIS_DATOS!$C$1557,0),2)=1,1,0),IF(MOD(MIN(INT((MOD($A278-1,62)+1-2)/2)+1,MAX(IF(CHOOSE(MIN(MAX(MIN(INT(($A278-1)/62)+1,5),1),5),CROQUIS_DATOS!$C$1501,CROQUIS_DATOS!$C$1505,CROQUIS_DATOS!$C$1509,CROQUIS_DATOS!$C$1513,CROQUIS_DATOS!$C$1517)=1,CROQUIS_DATOS!$C$1557,0),1)),2)=1,IF(MOD(MOD($A278-1,62)+1-2,2)=0,0,1),IF(MOD(MOD($A278-1,62)+1-2,2)=0,1,0))))=0,(CHOOSE(MIN(MAX(MIN(INT(($A278-1)/62)+1,5),1),5),CROQUIS_DATOS!$C$1499,CROQUIS_DATOS!$C$1503,CROQUIS_DATOS!$C$1507,CROQUIS_DATOS!$C$1511,CROQUIS_DATOS!$C$1515)+IF(CHOOSE(MIN(MAX(MIN(INT(($A278-1)/62)+1,5),1),5),CROQUIS_DATOS!$C$1501,CROQUIS_DATOS!$C$1505,CROQUIS_DATOS!$C$1509,CROQUIS_DATOS!$C$1513,CROQUIS_DATOS!$C$1517)=1,CROQUIS_DATOS!$C$1526,0)),(CHOOSE(MIN(MAX(MIN(INT(($A278-1)/62)+1,5),1),5),CROQUIS_DATOS!$C$1499,CROQUIS_DATOS!$C$1503,CROQUIS_DATOS!$C$1507,CROQUIS_DATOS!$C$1511,CROQUIS_DATOS!$C$1515)+CHOOSE(MIN(MAX(MIN(INT(($A278-1)/62)+1,5),1),5),CROQUIS_DATOS!$C$1500,CROQUIS_DATOS!$C$1504,CROQUIS_DATOS!$C$1508,CROQUIS_DATOS!$C$1512,CROQUIS_DATOS!$C$1516)-IF(CHOOSE(MIN(MAX(MIN(INT(($A278-1)/62)+1,5),1),5),CROQUIS_DATOS!$C$1501,CROQUIS_DATOS!$C$1505,CROQUIS_DATOS!$C$1509,CROQUIS_DATOS!$C$1513,CROQUIS_DATOS!$C$1517)=1,CROQUIS_DATOS!$C$1526,0))))*CROQUIS_DATOS!$C$1562),-1000)</f>
        <v>-1000</v>
      </c>
      <c r="Q278">
        <f>IF(AND(CROQUIS_DATOS!$C$1472=1,CROQUIS_DATOS!$C$1555=1),(CROQUIS_DATOS!$C$1564+(IF(OR(OR(MOD($A278-1,62)+1=1,IF(CHOOSE(MIN(MAX(MIN(INT(($A278-1)/62)+1,5),1),5),CROQUIS_DATOS!$C$1501,CROQUIS_DATOS!$C$1505,CROQUIS_DATOS!$C$1509,CROQUIS_DATOS!$C$1513,CROQUIS_DATOS!$C$1517)=1,CROQUIS_DATOS!$C$1557,0)=0),MOD($A278-1,62)+1&gt;2*IF(CHOOSE(MIN(MAX(MIN(INT(($A278-1)/62)+1,5),1),5),CROQUIS_DATOS!$C$1501,CROQUIS_DATOS!$C$1505,CROQUIS_DATOS!$C$1509,CROQUIS_DATOS!$C$1513,CROQUIS_DATOS!$C$1517)=1,CROQUIS_DATOS!$C$1557,0)+1),CROQUIS_DATOS!$C$1476,MIN(INT((MOD($A278-1,62)+1-2)/2)+1,MAX(IF(CHOOSE(MIN(MAX(MIN(INT(($A278-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8">
        <f>IF(AND(CROQUIS_DATOS!$C$1472=1,1),(CROQUIS_DATOS!$C$1563+(MIN(INT(($A278-1)/2)+1,CROQUIS_DATOS!$C$1558)*CROQUIS_DATOS!$C$1559)*CROQUIS_DATOS!$C$1562),-1000)</f>
        <v>82.2281167108753</v>
      </c>
      <c r="U278">
        <f>IF(AND(CROQUIS_DATOS!$C$1472=1,1),(CROQUIS_DATOS!$C$1564+(IF(INT(($A278-1)/2)+1&gt;CROQUIS_DATOS!$C$1558,IF(MOD(CROQUIS_DATOS!$C$1558,2)=1,CROQUIS_DATOS!$C$1476+CROQUIS_DATOS!$C$1528,CROQUIS_DATOS!$C$1476),IF(IF(MOD(MIN(INT(($A278-1)/2)+1,CROQUIS_DATOS!$C$1558),2)=1,MOD($A278-1,2),1-MOD($A278-1,2))=1,CROQUIS_DATOS!$C$1476+CROQUIS_DATOS!$C$1528,CROQUIS_DATOS!$C$1476)))*CROQUIS_DATOS!$C$1561*CROQUIS_DATOS!$C$1562),-1000)</f>
        <v>43</v>
      </c>
    </row>
    <row r="279">
      <c r="A279" t="n">
        <v>272</v>
      </c>
      <c r="N279">
        <f>IF(AND(CROQUIS_DATOS!$C$1472=1,1),(CROQUIS_DATOS!$C$1563+(IF(IF(IF(INT(($A279-1)/70)+1&gt;CROQUIS_DATOS!$C$1525,70,MOD($A279-1,70)+1)=1,0,IF(IF(INT(($A279-1)/70)+1&gt;CROQUIS_DATOS!$C$1525,70,MOD($A279-1,70)+1)&gt;2*CROQUIS_DATOS!$C$1541+1,IF(MOD(CROQUIS_DATOS!$C$1541,2)=1,1,0),IF(MOD(MIN(INT((IF(INT(($A279-1)/70)+1&gt;CROQUIS_DATOS!$C$1525,70,MOD($A279-1,70)+1)-2)/2)+1,CROQUIS_DATOS!$C$1541),2)=1,IF(MOD(IF(INT(($A279-1)/70)+1&gt;CROQUIS_DATOS!$C$1525,70,MOD($A279-1,70)+1)-2,2)=0,0,1),IF(MOD(IF(INT(($A279-1)/70)+1&gt;CROQUIS_DATOS!$C$1525,70,MOD($A279-1,70)+1)-2,2)=0,1,0))))=0,(INDEX($E$8:$E$23,MIN(INT(($A279-1)/70)+1,CROQUIS_DATOS!$C$1525))-INDEX($F$8:$F$23,MIN(INT(($A279-1)/70)+1,CROQUIS_DATOS!$C$1525))/2),(INDEX($E$8:$E$23,MIN(INT(($A279-1)/70)+1,CROQUIS_DATOS!$C$1525))+INDEX($F$8:$F$23,MIN(INT(($A279-1)/70)+1,CROQUIS_DATOS!$C$1525))/2)))*CROQUIS_DATOS!$C$1562),-1000)</f>
        <v>45.1120689655172</v>
      </c>
      <c r="O279">
        <f>IF(AND(CROQUIS_DATOS!$C$1472=1,1),(CROQUIS_DATOS!$C$1564+(IF(OR(IF(INT(($A279-1)/70)+1&gt;CROQUIS_DATOS!$C$1525,70,MOD($A279-1,70)+1)=1,IF(INT(($A279-1)/70)+1&gt;CROQUIS_DATOS!$C$1525,70,MOD($A279-1,70)+1)&gt;2*CROQUIS_DATOS!$C$1541+1),CROQUIS_DATOS!$C$1476,INDEX($H$8:$H$41,MIN(INT((IF(INT(($A279-1)/70)+1&gt;CROQUIS_DATOS!$C$1525,70,MOD($A279-1,70)+1)-2)/2)+1,CROQUIS_DATOS!$C$1541))))*CROQUIS_DATOS!$C$1561*CROQUIS_DATOS!$C$1562),-1000)</f>
        <v>40.2068965517241</v>
      </c>
      <c r="P279">
        <f>IF(AND(CROQUIS_DATOS!$C$1472=1,CROQUIS_DATOS!$C$1555=1),(CROQUIS_DATOS!$C$1563+(IF(IF(OR(MOD($A279-1,62)+1=1,IF(CHOOSE(MIN(MAX(MIN(INT(($A279-1)/62)+1,5),1),5),CROQUIS_DATOS!$C$1501,CROQUIS_DATOS!$C$1505,CROQUIS_DATOS!$C$1509,CROQUIS_DATOS!$C$1513,CROQUIS_DATOS!$C$1517)=1,CROQUIS_DATOS!$C$1557,0)=0),0,IF(MOD($A279-1,62)+1&gt;2*IF(CHOOSE(MIN(MAX(MIN(INT(($A279-1)/62)+1,5),1),5),CROQUIS_DATOS!$C$1501,CROQUIS_DATOS!$C$1505,CROQUIS_DATOS!$C$1509,CROQUIS_DATOS!$C$1513,CROQUIS_DATOS!$C$1517)=1,CROQUIS_DATOS!$C$1557,0)+1,IF(MOD(IF(CHOOSE(MIN(MAX(MIN(INT(($A279-1)/62)+1,5),1),5),CROQUIS_DATOS!$C$1501,CROQUIS_DATOS!$C$1505,CROQUIS_DATOS!$C$1509,CROQUIS_DATOS!$C$1513,CROQUIS_DATOS!$C$1517)=1,CROQUIS_DATOS!$C$1557,0),2)=1,1,0),IF(MOD(MIN(INT((MOD($A279-1,62)+1-2)/2)+1,MAX(IF(CHOOSE(MIN(MAX(MIN(INT(($A279-1)/62)+1,5),1),5),CROQUIS_DATOS!$C$1501,CROQUIS_DATOS!$C$1505,CROQUIS_DATOS!$C$1509,CROQUIS_DATOS!$C$1513,CROQUIS_DATOS!$C$1517)=1,CROQUIS_DATOS!$C$1557,0),1)),2)=1,IF(MOD(MOD($A279-1,62)+1-2,2)=0,0,1),IF(MOD(MOD($A279-1,62)+1-2,2)=0,1,0))))=0,(CHOOSE(MIN(MAX(MIN(INT(($A279-1)/62)+1,5),1),5),CROQUIS_DATOS!$C$1499,CROQUIS_DATOS!$C$1503,CROQUIS_DATOS!$C$1507,CROQUIS_DATOS!$C$1511,CROQUIS_DATOS!$C$1515)+IF(CHOOSE(MIN(MAX(MIN(INT(($A279-1)/62)+1,5),1),5),CROQUIS_DATOS!$C$1501,CROQUIS_DATOS!$C$1505,CROQUIS_DATOS!$C$1509,CROQUIS_DATOS!$C$1513,CROQUIS_DATOS!$C$1517)=1,CROQUIS_DATOS!$C$1526,0)),(CHOOSE(MIN(MAX(MIN(INT(($A279-1)/62)+1,5),1),5),CROQUIS_DATOS!$C$1499,CROQUIS_DATOS!$C$1503,CROQUIS_DATOS!$C$1507,CROQUIS_DATOS!$C$1511,CROQUIS_DATOS!$C$1515)+CHOOSE(MIN(MAX(MIN(INT(($A279-1)/62)+1,5),1),5),CROQUIS_DATOS!$C$1500,CROQUIS_DATOS!$C$1504,CROQUIS_DATOS!$C$1508,CROQUIS_DATOS!$C$1512,CROQUIS_DATOS!$C$1516)-IF(CHOOSE(MIN(MAX(MIN(INT(($A279-1)/62)+1,5),1),5),CROQUIS_DATOS!$C$1501,CROQUIS_DATOS!$C$1505,CROQUIS_DATOS!$C$1509,CROQUIS_DATOS!$C$1513,CROQUIS_DATOS!$C$1517)=1,CROQUIS_DATOS!$C$1526,0))))*CROQUIS_DATOS!$C$1562),-1000)</f>
        <v>-1000</v>
      </c>
      <c r="Q279">
        <f>IF(AND(CROQUIS_DATOS!$C$1472=1,CROQUIS_DATOS!$C$1555=1),(CROQUIS_DATOS!$C$1564+(IF(OR(OR(MOD($A279-1,62)+1=1,IF(CHOOSE(MIN(MAX(MIN(INT(($A279-1)/62)+1,5),1),5),CROQUIS_DATOS!$C$1501,CROQUIS_DATOS!$C$1505,CROQUIS_DATOS!$C$1509,CROQUIS_DATOS!$C$1513,CROQUIS_DATOS!$C$1517)=1,CROQUIS_DATOS!$C$1557,0)=0),MOD($A279-1,62)+1&gt;2*IF(CHOOSE(MIN(MAX(MIN(INT(($A279-1)/62)+1,5),1),5),CROQUIS_DATOS!$C$1501,CROQUIS_DATOS!$C$1505,CROQUIS_DATOS!$C$1509,CROQUIS_DATOS!$C$1513,CROQUIS_DATOS!$C$1517)=1,CROQUIS_DATOS!$C$1557,0)+1),CROQUIS_DATOS!$C$1476,MIN(INT((MOD($A279-1,62)+1-2)/2)+1,MAX(IF(CHOOSE(MIN(MAX(MIN(INT(($A279-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79">
        <f>IF(AND(CROQUIS_DATOS!$C$1472=1,1),(CROQUIS_DATOS!$C$1563+(MIN(INT(($A279-1)/2)+1,CROQUIS_DATOS!$C$1558)*CROQUIS_DATOS!$C$1559)*CROQUIS_DATOS!$C$1562),-1000)</f>
        <v>82.2281167108753</v>
      </c>
      <c r="U279">
        <f>IF(AND(CROQUIS_DATOS!$C$1472=1,1),(CROQUIS_DATOS!$C$1564+(IF(INT(($A279-1)/2)+1&gt;CROQUIS_DATOS!$C$1558,IF(MOD(CROQUIS_DATOS!$C$1558,2)=1,CROQUIS_DATOS!$C$1476+CROQUIS_DATOS!$C$1528,CROQUIS_DATOS!$C$1476),IF(IF(MOD(MIN(INT(($A279-1)/2)+1,CROQUIS_DATOS!$C$1558),2)=1,MOD($A279-1,2),1-MOD($A279-1,2))=1,CROQUIS_DATOS!$C$1476+CROQUIS_DATOS!$C$1528,CROQUIS_DATOS!$C$1476)))*CROQUIS_DATOS!$C$1561*CROQUIS_DATOS!$C$1562),-1000)</f>
        <v>43</v>
      </c>
    </row>
    <row r="280">
      <c r="A280" t="n">
        <v>273</v>
      </c>
      <c r="N280">
        <f>IF(AND(CROQUIS_DATOS!$C$1472=1,1),(CROQUIS_DATOS!$C$1563+(IF(IF(IF(INT(($A280-1)/70)+1&gt;CROQUIS_DATOS!$C$1525,70,MOD($A280-1,70)+1)=1,0,IF(IF(INT(($A280-1)/70)+1&gt;CROQUIS_DATOS!$C$1525,70,MOD($A280-1,70)+1)&gt;2*CROQUIS_DATOS!$C$1541+1,IF(MOD(CROQUIS_DATOS!$C$1541,2)=1,1,0),IF(MOD(MIN(INT((IF(INT(($A280-1)/70)+1&gt;CROQUIS_DATOS!$C$1525,70,MOD($A280-1,70)+1)-2)/2)+1,CROQUIS_DATOS!$C$1541),2)=1,IF(MOD(IF(INT(($A280-1)/70)+1&gt;CROQUIS_DATOS!$C$1525,70,MOD($A280-1,70)+1)-2,2)=0,0,1),IF(MOD(IF(INT(($A280-1)/70)+1&gt;CROQUIS_DATOS!$C$1525,70,MOD($A280-1,70)+1)-2,2)=0,1,0))))=0,(INDEX($E$8:$E$23,MIN(INT(($A280-1)/70)+1,CROQUIS_DATOS!$C$1525))-INDEX($F$8:$F$23,MIN(INT(($A280-1)/70)+1,CROQUIS_DATOS!$C$1525))/2),(INDEX($E$8:$E$23,MIN(INT(($A280-1)/70)+1,CROQUIS_DATOS!$C$1525))+INDEX($F$8:$F$23,MIN(INT(($A280-1)/70)+1,CROQUIS_DATOS!$C$1525))/2)))*CROQUIS_DATOS!$C$1562),-1000)</f>
        <v>45.1120689655172</v>
      </c>
      <c r="O280">
        <f>IF(AND(CROQUIS_DATOS!$C$1472=1,1),(CROQUIS_DATOS!$C$1564+(IF(OR(IF(INT(($A280-1)/70)+1&gt;CROQUIS_DATOS!$C$1525,70,MOD($A280-1,70)+1)=1,IF(INT(($A280-1)/70)+1&gt;CROQUIS_DATOS!$C$1525,70,MOD($A280-1,70)+1)&gt;2*CROQUIS_DATOS!$C$1541+1),CROQUIS_DATOS!$C$1476,INDEX($H$8:$H$41,MIN(INT((IF(INT(($A280-1)/70)+1&gt;CROQUIS_DATOS!$C$1525,70,MOD($A280-1,70)+1)-2)/2)+1,CROQUIS_DATOS!$C$1541))))*CROQUIS_DATOS!$C$1561*CROQUIS_DATOS!$C$1562),-1000)</f>
        <v>40.2068965517241</v>
      </c>
      <c r="P280">
        <f>IF(AND(CROQUIS_DATOS!$C$1472=1,CROQUIS_DATOS!$C$1555=1),(CROQUIS_DATOS!$C$1563+(IF(IF(OR(MOD($A280-1,62)+1=1,IF(CHOOSE(MIN(MAX(MIN(INT(($A280-1)/62)+1,5),1),5),CROQUIS_DATOS!$C$1501,CROQUIS_DATOS!$C$1505,CROQUIS_DATOS!$C$1509,CROQUIS_DATOS!$C$1513,CROQUIS_DATOS!$C$1517)=1,CROQUIS_DATOS!$C$1557,0)=0),0,IF(MOD($A280-1,62)+1&gt;2*IF(CHOOSE(MIN(MAX(MIN(INT(($A280-1)/62)+1,5),1),5),CROQUIS_DATOS!$C$1501,CROQUIS_DATOS!$C$1505,CROQUIS_DATOS!$C$1509,CROQUIS_DATOS!$C$1513,CROQUIS_DATOS!$C$1517)=1,CROQUIS_DATOS!$C$1557,0)+1,IF(MOD(IF(CHOOSE(MIN(MAX(MIN(INT(($A280-1)/62)+1,5),1),5),CROQUIS_DATOS!$C$1501,CROQUIS_DATOS!$C$1505,CROQUIS_DATOS!$C$1509,CROQUIS_DATOS!$C$1513,CROQUIS_DATOS!$C$1517)=1,CROQUIS_DATOS!$C$1557,0),2)=1,1,0),IF(MOD(MIN(INT((MOD($A280-1,62)+1-2)/2)+1,MAX(IF(CHOOSE(MIN(MAX(MIN(INT(($A280-1)/62)+1,5),1),5),CROQUIS_DATOS!$C$1501,CROQUIS_DATOS!$C$1505,CROQUIS_DATOS!$C$1509,CROQUIS_DATOS!$C$1513,CROQUIS_DATOS!$C$1517)=1,CROQUIS_DATOS!$C$1557,0),1)),2)=1,IF(MOD(MOD($A280-1,62)+1-2,2)=0,0,1),IF(MOD(MOD($A280-1,62)+1-2,2)=0,1,0))))=0,(CHOOSE(MIN(MAX(MIN(INT(($A280-1)/62)+1,5),1),5),CROQUIS_DATOS!$C$1499,CROQUIS_DATOS!$C$1503,CROQUIS_DATOS!$C$1507,CROQUIS_DATOS!$C$1511,CROQUIS_DATOS!$C$1515)+IF(CHOOSE(MIN(MAX(MIN(INT(($A280-1)/62)+1,5),1),5),CROQUIS_DATOS!$C$1501,CROQUIS_DATOS!$C$1505,CROQUIS_DATOS!$C$1509,CROQUIS_DATOS!$C$1513,CROQUIS_DATOS!$C$1517)=1,CROQUIS_DATOS!$C$1526,0)),(CHOOSE(MIN(MAX(MIN(INT(($A280-1)/62)+1,5),1),5),CROQUIS_DATOS!$C$1499,CROQUIS_DATOS!$C$1503,CROQUIS_DATOS!$C$1507,CROQUIS_DATOS!$C$1511,CROQUIS_DATOS!$C$1515)+CHOOSE(MIN(MAX(MIN(INT(($A280-1)/62)+1,5),1),5),CROQUIS_DATOS!$C$1500,CROQUIS_DATOS!$C$1504,CROQUIS_DATOS!$C$1508,CROQUIS_DATOS!$C$1512,CROQUIS_DATOS!$C$1516)-IF(CHOOSE(MIN(MAX(MIN(INT(($A280-1)/62)+1,5),1),5),CROQUIS_DATOS!$C$1501,CROQUIS_DATOS!$C$1505,CROQUIS_DATOS!$C$1509,CROQUIS_DATOS!$C$1513,CROQUIS_DATOS!$C$1517)=1,CROQUIS_DATOS!$C$1526,0))))*CROQUIS_DATOS!$C$1562),-1000)</f>
        <v>-1000</v>
      </c>
      <c r="Q280">
        <f>IF(AND(CROQUIS_DATOS!$C$1472=1,CROQUIS_DATOS!$C$1555=1),(CROQUIS_DATOS!$C$1564+(IF(OR(OR(MOD($A280-1,62)+1=1,IF(CHOOSE(MIN(MAX(MIN(INT(($A280-1)/62)+1,5),1),5),CROQUIS_DATOS!$C$1501,CROQUIS_DATOS!$C$1505,CROQUIS_DATOS!$C$1509,CROQUIS_DATOS!$C$1513,CROQUIS_DATOS!$C$1517)=1,CROQUIS_DATOS!$C$1557,0)=0),MOD($A280-1,62)+1&gt;2*IF(CHOOSE(MIN(MAX(MIN(INT(($A280-1)/62)+1,5),1),5),CROQUIS_DATOS!$C$1501,CROQUIS_DATOS!$C$1505,CROQUIS_DATOS!$C$1509,CROQUIS_DATOS!$C$1513,CROQUIS_DATOS!$C$1517)=1,CROQUIS_DATOS!$C$1557,0)+1),CROQUIS_DATOS!$C$1476,MIN(INT((MOD($A280-1,62)+1-2)/2)+1,MAX(IF(CHOOSE(MIN(MAX(MIN(INT(($A280-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0">
        <f>IF(AND(CROQUIS_DATOS!$C$1472=1,1),(CROQUIS_DATOS!$C$1563+(MIN(INT(($A280-1)/2)+1,CROQUIS_DATOS!$C$1558)*CROQUIS_DATOS!$C$1559)*CROQUIS_DATOS!$C$1562),-1000)</f>
        <v>82.2281167108753</v>
      </c>
      <c r="U280">
        <f>IF(AND(CROQUIS_DATOS!$C$1472=1,1),(CROQUIS_DATOS!$C$1564+(IF(INT(($A280-1)/2)+1&gt;CROQUIS_DATOS!$C$1558,IF(MOD(CROQUIS_DATOS!$C$1558,2)=1,CROQUIS_DATOS!$C$1476+CROQUIS_DATOS!$C$1528,CROQUIS_DATOS!$C$1476),IF(IF(MOD(MIN(INT(($A280-1)/2)+1,CROQUIS_DATOS!$C$1558),2)=1,MOD($A280-1,2),1-MOD($A280-1,2))=1,CROQUIS_DATOS!$C$1476+CROQUIS_DATOS!$C$1528,CROQUIS_DATOS!$C$1476)))*CROQUIS_DATOS!$C$1561*CROQUIS_DATOS!$C$1562),-1000)</f>
        <v>43</v>
      </c>
    </row>
    <row r="281">
      <c r="A281" t="n">
        <v>274</v>
      </c>
      <c r="N281">
        <f>IF(AND(CROQUIS_DATOS!$C$1472=1,1),(CROQUIS_DATOS!$C$1563+(IF(IF(IF(INT(($A281-1)/70)+1&gt;CROQUIS_DATOS!$C$1525,70,MOD($A281-1,70)+1)=1,0,IF(IF(INT(($A281-1)/70)+1&gt;CROQUIS_DATOS!$C$1525,70,MOD($A281-1,70)+1)&gt;2*CROQUIS_DATOS!$C$1541+1,IF(MOD(CROQUIS_DATOS!$C$1541,2)=1,1,0),IF(MOD(MIN(INT((IF(INT(($A281-1)/70)+1&gt;CROQUIS_DATOS!$C$1525,70,MOD($A281-1,70)+1)-2)/2)+1,CROQUIS_DATOS!$C$1541),2)=1,IF(MOD(IF(INT(($A281-1)/70)+1&gt;CROQUIS_DATOS!$C$1525,70,MOD($A281-1,70)+1)-2,2)=0,0,1),IF(MOD(IF(INT(($A281-1)/70)+1&gt;CROQUIS_DATOS!$C$1525,70,MOD($A281-1,70)+1)-2,2)=0,1,0))))=0,(INDEX($E$8:$E$23,MIN(INT(($A281-1)/70)+1,CROQUIS_DATOS!$C$1525))-INDEX($F$8:$F$23,MIN(INT(($A281-1)/70)+1,CROQUIS_DATOS!$C$1525))/2),(INDEX($E$8:$E$23,MIN(INT(($A281-1)/70)+1,CROQUIS_DATOS!$C$1525))+INDEX($F$8:$F$23,MIN(INT(($A281-1)/70)+1,CROQUIS_DATOS!$C$1525))/2)))*CROQUIS_DATOS!$C$1562),-1000)</f>
        <v>45.1120689655172</v>
      </c>
      <c r="O281">
        <f>IF(AND(CROQUIS_DATOS!$C$1472=1,1),(CROQUIS_DATOS!$C$1564+(IF(OR(IF(INT(($A281-1)/70)+1&gt;CROQUIS_DATOS!$C$1525,70,MOD($A281-1,70)+1)=1,IF(INT(($A281-1)/70)+1&gt;CROQUIS_DATOS!$C$1525,70,MOD($A281-1,70)+1)&gt;2*CROQUIS_DATOS!$C$1541+1),CROQUIS_DATOS!$C$1476,INDEX($H$8:$H$41,MIN(INT((IF(INT(($A281-1)/70)+1&gt;CROQUIS_DATOS!$C$1525,70,MOD($A281-1,70)+1)-2)/2)+1,CROQUIS_DATOS!$C$1541))))*CROQUIS_DATOS!$C$1561*CROQUIS_DATOS!$C$1562),-1000)</f>
        <v>40.2068965517241</v>
      </c>
      <c r="P281">
        <f>IF(AND(CROQUIS_DATOS!$C$1472=1,CROQUIS_DATOS!$C$1555=1),(CROQUIS_DATOS!$C$1563+(IF(IF(OR(MOD($A281-1,62)+1=1,IF(CHOOSE(MIN(MAX(MIN(INT(($A281-1)/62)+1,5),1),5),CROQUIS_DATOS!$C$1501,CROQUIS_DATOS!$C$1505,CROQUIS_DATOS!$C$1509,CROQUIS_DATOS!$C$1513,CROQUIS_DATOS!$C$1517)=1,CROQUIS_DATOS!$C$1557,0)=0),0,IF(MOD($A281-1,62)+1&gt;2*IF(CHOOSE(MIN(MAX(MIN(INT(($A281-1)/62)+1,5),1),5),CROQUIS_DATOS!$C$1501,CROQUIS_DATOS!$C$1505,CROQUIS_DATOS!$C$1509,CROQUIS_DATOS!$C$1513,CROQUIS_DATOS!$C$1517)=1,CROQUIS_DATOS!$C$1557,0)+1,IF(MOD(IF(CHOOSE(MIN(MAX(MIN(INT(($A281-1)/62)+1,5),1),5),CROQUIS_DATOS!$C$1501,CROQUIS_DATOS!$C$1505,CROQUIS_DATOS!$C$1509,CROQUIS_DATOS!$C$1513,CROQUIS_DATOS!$C$1517)=1,CROQUIS_DATOS!$C$1557,0),2)=1,1,0),IF(MOD(MIN(INT((MOD($A281-1,62)+1-2)/2)+1,MAX(IF(CHOOSE(MIN(MAX(MIN(INT(($A281-1)/62)+1,5),1),5),CROQUIS_DATOS!$C$1501,CROQUIS_DATOS!$C$1505,CROQUIS_DATOS!$C$1509,CROQUIS_DATOS!$C$1513,CROQUIS_DATOS!$C$1517)=1,CROQUIS_DATOS!$C$1557,0),1)),2)=1,IF(MOD(MOD($A281-1,62)+1-2,2)=0,0,1),IF(MOD(MOD($A281-1,62)+1-2,2)=0,1,0))))=0,(CHOOSE(MIN(MAX(MIN(INT(($A281-1)/62)+1,5),1),5),CROQUIS_DATOS!$C$1499,CROQUIS_DATOS!$C$1503,CROQUIS_DATOS!$C$1507,CROQUIS_DATOS!$C$1511,CROQUIS_DATOS!$C$1515)+IF(CHOOSE(MIN(MAX(MIN(INT(($A281-1)/62)+1,5),1),5),CROQUIS_DATOS!$C$1501,CROQUIS_DATOS!$C$1505,CROQUIS_DATOS!$C$1509,CROQUIS_DATOS!$C$1513,CROQUIS_DATOS!$C$1517)=1,CROQUIS_DATOS!$C$1526,0)),(CHOOSE(MIN(MAX(MIN(INT(($A281-1)/62)+1,5),1),5),CROQUIS_DATOS!$C$1499,CROQUIS_DATOS!$C$1503,CROQUIS_DATOS!$C$1507,CROQUIS_DATOS!$C$1511,CROQUIS_DATOS!$C$1515)+CHOOSE(MIN(MAX(MIN(INT(($A281-1)/62)+1,5),1),5),CROQUIS_DATOS!$C$1500,CROQUIS_DATOS!$C$1504,CROQUIS_DATOS!$C$1508,CROQUIS_DATOS!$C$1512,CROQUIS_DATOS!$C$1516)-IF(CHOOSE(MIN(MAX(MIN(INT(($A281-1)/62)+1,5),1),5),CROQUIS_DATOS!$C$1501,CROQUIS_DATOS!$C$1505,CROQUIS_DATOS!$C$1509,CROQUIS_DATOS!$C$1513,CROQUIS_DATOS!$C$1517)=1,CROQUIS_DATOS!$C$1526,0))))*CROQUIS_DATOS!$C$1562),-1000)</f>
        <v>-1000</v>
      </c>
      <c r="Q281">
        <f>IF(AND(CROQUIS_DATOS!$C$1472=1,CROQUIS_DATOS!$C$1555=1),(CROQUIS_DATOS!$C$1564+(IF(OR(OR(MOD($A281-1,62)+1=1,IF(CHOOSE(MIN(MAX(MIN(INT(($A281-1)/62)+1,5),1),5),CROQUIS_DATOS!$C$1501,CROQUIS_DATOS!$C$1505,CROQUIS_DATOS!$C$1509,CROQUIS_DATOS!$C$1513,CROQUIS_DATOS!$C$1517)=1,CROQUIS_DATOS!$C$1557,0)=0),MOD($A281-1,62)+1&gt;2*IF(CHOOSE(MIN(MAX(MIN(INT(($A281-1)/62)+1,5),1),5),CROQUIS_DATOS!$C$1501,CROQUIS_DATOS!$C$1505,CROQUIS_DATOS!$C$1509,CROQUIS_DATOS!$C$1513,CROQUIS_DATOS!$C$1517)=1,CROQUIS_DATOS!$C$1557,0)+1),CROQUIS_DATOS!$C$1476,MIN(INT((MOD($A281-1,62)+1-2)/2)+1,MAX(IF(CHOOSE(MIN(MAX(MIN(INT(($A281-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1">
        <f>IF(AND(CROQUIS_DATOS!$C$1472=1,1),(CROQUIS_DATOS!$C$1563+(MIN(INT(($A281-1)/2)+1,CROQUIS_DATOS!$C$1558)*CROQUIS_DATOS!$C$1559)*CROQUIS_DATOS!$C$1562),-1000)</f>
        <v>82.2281167108753</v>
      </c>
      <c r="U281">
        <f>IF(AND(CROQUIS_DATOS!$C$1472=1,1),(CROQUIS_DATOS!$C$1564+(IF(INT(($A281-1)/2)+1&gt;CROQUIS_DATOS!$C$1558,IF(MOD(CROQUIS_DATOS!$C$1558,2)=1,CROQUIS_DATOS!$C$1476+CROQUIS_DATOS!$C$1528,CROQUIS_DATOS!$C$1476),IF(IF(MOD(MIN(INT(($A281-1)/2)+1,CROQUIS_DATOS!$C$1558),2)=1,MOD($A281-1,2),1-MOD($A281-1,2))=1,CROQUIS_DATOS!$C$1476+CROQUIS_DATOS!$C$1528,CROQUIS_DATOS!$C$1476)))*CROQUIS_DATOS!$C$1561*CROQUIS_DATOS!$C$1562),-1000)</f>
        <v>43</v>
      </c>
    </row>
    <row r="282">
      <c r="A282" t="n">
        <v>275</v>
      </c>
      <c r="N282">
        <f>IF(AND(CROQUIS_DATOS!$C$1472=1,1),(CROQUIS_DATOS!$C$1563+(IF(IF(IF(INT(($A282-1)/70)+1&gt;CROQUIS_DATOS!$C$1525,70,MOD($A282-1,70)+1)=1,0,IF(IF(INT(($A282-1)/70)+1&gt;CROQUIS_DATOS!$C$1525,70,MOD($A282-1,70)+1)&gt;2*CROQUIS_DATOS!$C$1541+1,IF(MOD(CROQUIS_DATOS!$C$1541,2)=1,1,0),IF(MOD(MIN(INT((IF(INT(($A282-1)/70)+1&gt;CROQUIS_DATOS!$C$1525,70,MOD($A282-1,70)+1)-2)/2)+1,CROQUIS_DATOS!$C$1541),2)=1,IF(MOD(IF(INT(($A282-1)/70)+1&gt;CROQUIS_DATOS!$C$1525,70,MOD($A282-1,70)+1)-2,2)=0,0,1),IF(MOD(IF(INT(($A282-1)/70)+1&gt;CROQUIS_DATOS!$C$1525,70,MOD($A282-1,70)+1)-2,2)=0,1,0))))=0,(INDEX($E$8:$E$23,MIN(INT(($A282-1)/70)+1,CROQUIS_DATOS!$C$1525))-INDEX($F$8:$F$23,MIN(INT(($A282-1)/70)+1,CROQUIS_DATOS!$C$1525))/2),(INDEX($E$8:$E$23,MIN(INT(($A282-1)/70)+1,CROQUIS_DATOS!$C$1525))+INDEX($F$8:$F$23,MIN(INT(($A282-1)/70)+1,CROQUIS_DATOS!$C$1525))/2)))*CROQUIS_DATOS!$C$1562),-1000)</f>
        <v>45.1120689655172</v>
      </c>
      <c r="O282">
        <f>IF(AND(CROQUIS_DATOS!$C$1472=1,1),(CROQUIS_DATOS!$C$1564+(IF(OR(IF(INT(($A282-1)/70)+1&gt;CROQUIS_DATOS!$C$1525,70,MOD($A282-1,70)+1)=1,IF(INT(($A282-1)/70)+1&gt;CROQUIS_DATOS!$C$1525,70,MOD($A282-1,70)+1)&gt;2*CROQUIS_DATOS!$C$1541+1),CROQUIS_DATOS!$C$1476,INDEX($H$8:$H$41,MIN(INT((IF(INT(($A282-1)/70)+1&gt;CROQUIS_DATOS!$C$1525,70,MOD($A282-1,70)+1)-2)/2)+1,CROQUIS_DATOS!$C$1541))))*CROQUIS_DATOS!$C$1561*CROQUIS_DATOS!$C$1562),-1000)</f>
        <v>40.2068965517241</v>
      </c>
      <c r="P282">
        <f>IF(AND(CROQUIS_DATOS!$C$1472=1,CROQUIS_DATOS!$C$1555=1),(CROQUIS_DATOS!$C$1563+(IF(IF(OR(MOD($A282-1,62)+1=1,IF(CHOOSE(MIN(MAX(MIN(INT(($A282-1)/62)+1,5),1),5),CROQUIS_DATOS!$C$1501,CROQUIS_DATOS!$C$1505,CROQUIS_DATOS!$C$1509,CROQUIS_DATOS!$C$1513,CROQUIS_DATOS!$C$1517)=1,CROQUIS_DATOS!$C$1557,0)=0),0,IF(MOD($A282-1,62)+1&gt;2*IF(CHOOSE(MIN(MAX(MIN(INT(($A282-1)/62)+1,5),1),5),CROQUIS_DATOS!$C$1501,CROQUIS_DATOS!$C$1505,CROQUIS_DATOS!$C$1509,CROQUIS_DATOS!$C$1513,CROQUIS_DATOS!$C$1517)=1,CROQUIS_DATOS!$C$1557,0)+1,IF(MOD(IF(CHOOSE(MIN(MAX(MIN(INT(($A282-1)/62)+1,5),1),5),CROQUIS_DATOS!$C$1501,CROQUIS_DATOS!$C$1505,CROQUIS_DATOS!$C$1509,CROQUIS_DATOS!$C$1513,CROQUIS_DATOS!$C$1517)=1,CROQUIS_DATOS!$C$1557,0),2)=1,1,0),IF(MOD(MIN(INT((MOD($A282-1,62)+1-2)/2)+1,MAX(IF(CHOOSE(MIN(MAX(MIN(INT(($A282-1)/62)+1,5),1),5),CROQUIS_DATOS!$C$1501,CROQUIS_DATOS!$C$1505,CROQUIS_DATOS!$C$1509,CROQUIS_DATOS!$C$1513,CROQUIS_DATOS!$C$1517)=1,CROQUIS_DATOS!$C$1557,0),1)),2)=1,IF(MOD(MOD($A282-1,62)+1-2,2)=0,0,1),IF(MOD(MOD($A282-1,62)+1-2,2)=0,1,0))))=0,(CHOOSE(MIN(MAX(MIN(INT(($A282-1)/62)+1,5),1),5),CROQUIS_DATOS!$C$1499,CROQUIS_DATOS!$C$1503,CROQUIS_DATOS!$C$1507,CROQUIS_DATOS!$C$1511,CROQUIS_DATOS!$C$1515)+IF(CHOOSE(MIN(MAX(MIN(INT(($A282-1)/62)+1,5),1),5),CROQUIS_DATOS!$C$1501,CROQUIS_DATOS!$C$1505,CROQUIS_DATOS!$C$1509,CROQUIS_DATOS!$C$1513,CROQUIS_DATOS!$C$1517)=1,CROQUIS_DATOS!$C$1526,0)),(CHOOSE(MIN(MAX(MIN(INT(($A282-1)/62)+1,5),1),5),CROQUIS_DATOS!$C$1499,CROQUIS_DATOS!$C$1503,CROQUIS_DATOS!$C$1507,CROQUIS_DATOS!$C$1511,CROQUIS_DATOS!$C$1515)+CHOOSE(MIN(MAX(MIN(INT(($A282-1)/62)+1,5),1),5),CROQUIS_DATOS!$C$1500,CROQUIS_DATOS!$C$1504,CROQUIS_DATOS!$C$1508,CROQUIS_DATOS!$C$1512,CROQUIS_DATOS!$C$1516)-IF(CHOOSE(MIN(MAX(MIN(INT(($A282-1)/62)+1,5),1),5),CROQUIS_DATOS!$C$1501,CROQUIS_DATOS!$C$1505,CROQUIS_DATOS!$C$1509,CROQUIS_DATOS!$C$1513,CROQUIS_DATOS!$C$1517)=1,CROQUIS_DATOS!$C$1526,0))))*CROQUIS_DATOS!$C$1562),-1000)</f>
        <v>-1000</v>
      </c>
      <c r="Q282">
        <f>IF(AND(CROQUIS_DATOS!$C$1472=1,CROQUIS_DATOS!$C$1555=1),(CROQUIS_DATOS!$C$1564+(IF(OR(OR(MOD($A282-1,62)+1=1,IF(CHOOSE(MIN(MAX(MIN(INT(($A282-1)/62)+1,5),1),5),CROQUIS_DATOS!$C$1501,CROQUIS_DATOS!$C$1505,CROQUIS_DATOS!$C$1509,CROQUIS_DATOS!$C$1513,CROQUIS_DATOS!$C$1517)=1,CROQUIS_DATOS!$C$1557,0)=0),MOD($A282-1,62)+1&gt;2*IF(CHOOSE(MIN(MAX(MIN(INT(($A282-1)/62)+1,5),1),5),CROQUIS_DATOS!$C$1501,CROQUIS_DATOS!$C$1505,CROQUIS_DATOS!$C$1509,CROQUIS_DATOS!$C$1513,CROQUIS_DATOS!$C$1517)=1,CROQUIS_DATOS!$C$1557,0)+1),CROQUIS_DATOS!$C$1476,MIN(INT((MOD($A282-1,62)+1-2)/2)+1,MAX(IF(CHOOSE(MIN(MAX(MIN(INT(($A282-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2">
        <f>IF(AND(CROQUIS_DATOS!$C$1472=1,1),(CROQUIS_DATOS!$C$1563+(MIN(INT(($A282-1)/2)+1,CROQUIS_DATOS!$C$1558)*CROQUIS_DATOS!$C$1559)*CROQUIS_DATOS!$C$1562),-1000)</f>
        <v>82.2281167108753</v>
      </c>
      <c r="U282">
        <f>IF(AND(CROQUIS_DATOS!$C$1472=1,1),(CROQUIS_DATOS!$C$1564+(IF(INT(($A282-1)/2)+1&gt;CROQUIS_DATOS!$C$1558,IF(MOD(CROQUIS_DATOS!$C$1558,2)=1,CROQUIS_DATOS!$C$1476+CROQUIS_DATOS!$C$1528,CROQUIS_DATOS!$C$1476),IF(IF(MOD(MIN(INT(($A282-1)/2)+1,CROQUIS_DATOS!$C$1558),2)=1,MOD($A282-1,2),1-MOD($A282-1,2))=1,CROQUIS_DATOS!$C$1476+CROQUIS_DATOS!$C$1528,CROQUIS_DATOS!$C$1476)))*CROQUIS_DATOS!$C$1561*CROQUIS_DATOS!$C$1562),-1000)</f>
        <v>43</v>
      </c>
    </row>
    <row r="283">
      <c r="A283" t="n">
        <v>276</v>
      </c>
      <c r="N283">
        <f>IF(AND(CROQUIS_DATOS!$C$1472=1,1),(CROQUIS_DATOS!$C$1563+(IF(IF(IF(INT(($A283-1)/70)+1&gt;CROQUIS_DATOS!$C$1525,70,MOD($A283-1,70)+1)=1,0,IF(IF(INT(($A283-1)/70)+1&gt;CROQUIS_DATOS!$C$1525,70,MOD($A283-1,70)+1)&gt;2*CROQUIS_DATOS!$C$1541+1,IF(MOD(CROQUIS_DATOS!$C$1541,2)=1,1,0),IF(MOD(MIN(INT((IF(INT(($A283-1)/70)+1&gt;CROQUIS_DATOS!$C$1525,70,MOD($A283-1,70)+1)-2)/2)+1,CROQUIS_DATOS!$C$1541),2)=1,IF(MOD(IF(INT(($A283-1)/70)+1&gt;CROQUIS_DATOS!$C$1525,70,MOD($A283-1,70)+1)-2,2)=0,0,1),IF(MOD(IF(INT(($A283-1)/70)+1&gt;CROQUIS_DATOS!$C$1525,70,MOD($A283-1,70)+1)-2,2)=0,1,0))))=0,(INDEX($E$8:$E$23,MIN(INT(($A283-1)/70)+1,CROQUIS_DATOS!$C$1525))-INDEX($F$8:$F$23,MIN(INT(($A283-1)/70)+1,CROQUIS_DATOS!$C$1525))/2),(INDEX($E$8:$E$23,MIN(INT(($A283-1)/70)+1,CROQUIS_DATOS!$C$1525))+INDEX($F$8:$F$23,MIN(INT(($A283-1)/70)+1,CROQUIS_DATOS!$C$1525))/2)))*CROQUIS_DATOS!$C$1562),-1000)</f>
        <v>45.1120689655172</v>
      </c>
      <c r="O283">
        <f>IF(AND(CROQUIS_DATOS!$C$1472=1,1),(CROQUIS_DATOS!$C$1564+(IF(OR(IF(INT(($A283-1)/70)+1&gt;CROQUIS_DATOS!$C$1525,70,MOD($A283-1,70)+1)=1,IF(INT(($A283-1)/70)+1&gt;CROQUIS_DATOS!$C$1525,70,MOD($A283-1,70)+1)&gt;2*CROQUIS_DATOS!$C$1541+1),CROQUIS_DATOS!$C$1476,INDEX($H$8:$H$41,MIN(INT((IF(INT(($A283-1)/70)+1&gt;CROQUIS_DATOS!$C$1525,70,MOD($A283-1,70)+1)-2)/2)+1,CROQUIS_DATOS!$C$1541))))*CROQUIS_DATOS!$C$1561*CROQUIS_DATOS!$C$1562),-1000)</f>
        <v>40.2068965517241</v>
      </c>
      <c r="P283">
        <f>IF(AND(CROQUIS_DATOS!$C$1472=1,CROQUIS_DATOS!$C$1555=1),(CROQUIS_DATOS!$C$1563+(IF(IF(OR(MOD($A283-1,62)+1=1,IF(CHOOSE(MIN(MAX(MIN(INT(($A283-1)/62)+1,5),1),5),CROQUIS_DATOS!$C$1501,CROQUIS_DATOS!$C$1505,CROQUIS_DATOS!$C$1509,CROQUIS_DATOS!$C$1513,CROQUIS_DATOS!$C$1517)=1,CROQUIS_DATOS!$C$1557,0)=0),0,IF(MOD($A283-1,62)+1&gt;2*IF(CHOOSE(MIN(MAX(MIN(INT(($A283-1)/62)+1,5),1),5),CROQUIS_DATOS!$C$1501,CROQUIS_DATOS!$C$1505,CROQUIS_DATOS!$C$1509,CROQUIS_DATOS!$C$1513,CROQUIS_DATOS!$C$1517)=1,CROQUIS_DATOS!$C$1557,0)+1,IF(MOD(IF(CHOOSE(MIN(MAX(MIN(INT(($A283-1)/62)+1,5),1),5),CROQUIS_DATOS!$C$1501,CROQUIS_DATOS!$C$1505,CROQUIS_DATOS!$C$1509,CROQUIS_DATOS!$C$1513,CROQUIS_DATOS!$C$1517)=1,CROQUIS_DATOS!$C$1557,0),2)=1,1,0),IF(MOD(MIN(INT((MOD($A283-1,62)+1-2)/2)+1,MAX(IF(CHOOSE(MIN(MAX(MIN(INT(($A283-1)/62)+1,5),1),5),CROQUIS_DATOS!$C$1501,CROQUIS_DATOS!$C$1505,CROQUIS_DATOS!$C$1509,CROQUIS_DATOS!$C$1513,CROQUIS_DATOS!$C$1517)=1,CROQUIS_DATOS!$C$1557,0),1)),2)=1,IF(MOD(MOD($A283-1,62)+1-2,2)=0,0,1),IF(MOD(MOD($A283-1,62)+1-2,2)=0,1,0))))=0,(CHOOSE(MIN(MAX(MIN(INT(($A283-1)/62)+1,5),1),5),CROQUIS_DATOS!$C$1499,CROQUIS_DATOS!$C$1503,CROQUIS_DATOS!$C$1507,CROQUIS_DATOS!$C$1511,CROQUIS_DATOS!$C$1515)+IF(CHOOSE(MIN(MAX(MIN(INT(($A283-1)/62)+1,5),1),5),CROQUIS_DATOS!$C$1501,CROQUIS_DATOS!$C$1505,CROQUIS_DATOS!$C$1509,CROQUIS_DATOS!$C$1513,CROQUIS_DATOS!$C$1517)=1,CROQUIS_DATOS!$C$1526,0)),(CHOOSE(MIN(MAX(MIN(INT(($A283-1)/62)+1,5),1),5),CROQUIS_DATOS!$C$1499,CROQUIS_DATOS!$C$1503,CROQUIS_DATOS!$C$1507,CROQUIS_DATOS!$C$1511,CROQUIS_DATOS!$C$1515)+CHOOSE(MIN(MAX(MIN(INT(($A283-1)/62)+1,5),1),5),CROQUIS_DATOS!$C$1500,CROQUIS_DATOS!$C$1504,CROQUIS_DATOS!$C$1508,CROQUIS_DATOS!$C$1512,CROQUIS_DATOS!$C$1516)-IF(CHOOSE(MIN(MAX(MIN(INT(($A283-1)/62)+1,5),1),5),CROQUIS_DATOS!$C$1501,CROQUIS_DATOS!$C$1505,CROQUIS_DATOS!$C$1509,CROQUIS_DATOS!$C$1513,CROQUIS_DATOS!$C$1517)=1,CROQUIS_DATOS!$C$1526,0))))*CROQUIS_DATOS!$C$1562),-1000)</f>
        <v>-1000</v>
      </c>
      <c r="Q283">
        <f>IF(AND(CROQUIS_DATOS!$C$1472=1,CROQUIS_DATOS!$C$1555=1),(CROQUIS_DATOS!$C$1564+(IF(OR(OR(MOD($A283-1,62)+1=1,IF(CHOOSE(MIN(MAX(MIN(INT(($A283-1)/62)+1,5),1),5),CROQUIS_DATOS!$C$1501,CROQUIS_DATOS!$C$1505,CROQUIS_DATOS!$C$1509,CROQUIS_DATOS!$C$1513,CROQUIS_DATOS!$C$1517)=1,CROQUIS_DATOS!$C$1557,0)=0),MOD($A283-1,62)+1&gt;2*IF(CHOOSE(MIN(MAX(MIN(INT(($A283-1)/62)+1,5),1),5),CROQUIS_DATOS!$C$1501,CROQUIS_DATOS!$C$1505,CROQUIS_DATOS!$C$1509,CROQUIS_DATOS!$C$1513,CROQUIS_DATOS!$C$1517)=1,CROQUIS_DATOS!$C$1557,0)+1),CROQUIS_DATOS!$C$1476,MIN(INT((MOD($A283-1,62)+1-2)/2)+1,MAX(IF(CHOOSE(MIN(MAX(MIN(INT(($A283-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3">
        <f>IF(AND(CROQUIS_DATOS!$C$1472=1,1),(CROQUIS_DATOS!$C$1563+(MIN(INT(($A283-1)/2)+1,CROQUIS_DATOS!$C$1558)*CROQUIS_DATOS!$C$1559)*CROQUIS_DATOS!$C$1562),-1000)</f>
        <v>82.2281167108753</v>
      </c>
      <c r="U283">
        <f>IF(AND(CROQUIS_DATOS!$C$1472=1,1),(CROQUIS_DATOS!$C$1564+(IF(INT(($A283-1)/2)+1&gt;CROQUIS_DATOS!$C$1558,IF(MOD(CROQUIS_DATOS!$C$1558,2)=1,CROQUIS_DATOS!$C$1476+CROQUIS_DATOS!$C$1528,CROQUIS_DATOS!$C$1476),IF(IF(MOD(MIN(INT(($A283-1)/2)+1,CROQUIS_DATOS!$C$1558),2)=1,MOD($A283-1,2),1-MOD($A283-1,2))=1,CROQUIS_DATOS!$C$1476+CROQUIS_DATOS!$C$1528,CROQUIS_DATOS!$C$1476)))*CROQUIS_DATOS!$C$1561*CROQUIS_DATOS!$C$1562),-1000)</f>
        <v>43</v>
      </c>
    </row>
    <row r="284">
      <c r="A284" t="n">
        <v>277</v>
      </c>
      <c r="N284">
        <f>IF(AND(CROQUIS_DATOS!$C$1472=1,1),(CROQUIS_DATOS!$C$1563+(IF(IF(IF(INT(($A284-1)/70)+1&gt;CROQUIS_DATOS!$C$1525,70,MOD($A284-1,70)+1)=1,0,IF(IF(INT(($A284-1)/70)+1&gt;CROQUIS_DATOS!$C$1525,70,MOD($A284-1,70)+1)&gt;2*CROQUIS_DATOS!$C$1541+1,IF(MOD(CROQUIS_DATOS!$C$1541,2)=1,1,0),IF(MOD(MIN(INT((IF(INT(($A284-1)/70)+1&gt;CROQUIS_DATOS!$C$1525,70,MOD($A284-1,70)+1)-2)/2)+1,CROQUIS_DATOS!$C$1541),2)=1,IF(MOD(IF(INT(($A284-1)/70)+1&gt;CROQUIS_DATOS!$C$1525,70,MOD($A284-1,70)+1)-2,2)=0,0,1),IF(MOD(IF(INT(($A284-1)/70)+1&gt;CROQUIS_DATOS!$C$1525,70,MOD($A284-1,70)+1)-2,2)=0,1,0))))=0,(INDEX($E$8:$E$23,MIN(INT(($A284-1)/70)+1,CROQUIS_DATOS!$C$1525))-INDEX($F$8:$F$23,MIN(INT(($A284-1)/70)+1,CROQUIS_DATOS!$C$1525))/2),(INDEX($E$8:$E$23,MIN(INT(($A284-1)/70)+1,CROQUIS_DATOS!$C$1525))+INDEX($F$8:$F$23,MIN(INT(($A284-1)/70)+1,CROQUIS_DATOS!$C$1525))/2)))*CROQUIS_DATOS!$C$1562),-1000)</f>
        <v>45.1120689655172</v>
      </c>
      <c r="O284">
        <f>IF(AND(CROQUIS_DATOS!$C$1472=1,1),(CROQUIS_DATOS!$C$1564+(IF(OR(IF(INT(($A284-1)/70)+1&gt;CROQUIS_DATOS!$C$1525,70,MOD($A284-1,70)+1)=1,IF(INT(($A284-1)/70)+1&gt;CROQUIS_DATOS!$C$1525,70,MOD($A284-1,70)+1)&gt;2*CROQUIS_DATOS!$C$1541+1),CROQUIS_DATOS!$C$1476,INDEX($H$8:$H$41,MIN(INT((IF(INT(($A284-1)/70)+1&gt;CROQUIS_DATOS!$C$1525,70,MOD($A284-1,70)+1)-2)/2)+1,CROQUIS_DATOS!$C$1541))))*CROQUIS_DATOS!$C$1561*CROQUIS_DATOS!$C$1562),-1000)</f>
        <v>40.2068965517241</v>
      </c>
      <c r="P284">
        <f>IF(AND(CROQUIS_DATOS!$C$1472=1,CROQUIS_DATOS!$C$1555=1),(CROQUIS_DATOS!$C$1563+(IF(IF(OR(MOD($A284-1,62)+1=1,IF(CHOOSE(MIN(MAX(MIN(INT(($A284-1)/62)+1,5),1),5),CROQUIS_DATOS!$C$1501,CROQUIS_DATOS!$C$1505,CROQUIS_DATOS!$C$1509,CROQUIS_DATOS!$C$1513,CROQUIS_DATOS!$C$1517)=1,CROQUIS_DATOS!$C$1557,0)=0),0,IF(MOD($A284-1,62)+1&gt;2*IF(CHOOSE(MIN(MAX(MIN(INT(($A284-1)/62)+1,5),1),5),CROQUIS_DATOS!$C$1501,CROQUIS_DATOS!$C$1505,CROQUIS_DATOS!$C$1509,CROQUIS_DATOS!$C$1513,CROQUIS_DATOS!$C$1517)=1,CROQUIS_DATOS!$C$1557,0)+1,IF(MOD(IF(CHOOSE(MIN(MAX(MIN(INT(($A284-1)/62)+1,5),1),5),CROQUIS_DATOS!$C$1501,CROQUIS_DATOS!$C$1505,CROQUIS_DATOS!$C$1509,CROQUIS_DATOS!$C$1513,CROQUIS_DATOS!$C$1517)=1,CROQUIS_DATOS!$C$1557,0),2)=1,1,0),IF(MOD(MIN(INT((MOD($A284-1,62)+1-2)/2)+1,MAX(IF(CHOOSE(MIN(MAX(MIN(INT(($A284-1)/62)+1,5),1),5),CROQUIS_DATOS!$C$1501,CROQUIS_DATOS!$C$1505,CROQUIS_DATOS!$C$1509,CROQUIS_DATOS!$C$1513,CROQUIS_DATOS!$C$1517)=1,CROQUIS_DATOS!$C$1557,0),1)),2)=1,IF(MOD(MOD($A284-1,62)+1-2,2)=0,0,1),IF(MOD(MOD($A284-1,62)+1-2,2)=0,1,0))))=0,(CHOOSE(MIN(MAX(MIN(INT(($A284-1)/62)+1,5),1),5),CROQUIS_DATOS!$C$1499,CROQUIS_DATOS!$C$1503,CROQUIS_DATOS!$C$1507,CROQUIS_DATOS!$C$1511,CROQUIS_DATOS!$C$1515)+IF(CHOOSE(MIN(MAX(MIN(INT(($A284-1)/62)+1,5),1),5),CROQUIS_DATOS!$C$1501,CROQUIS_DATOS!$C$1505,CROQUIS_DATOS!$C$1509,CROQUIS_DATOS!$C$1513,CROQUIS_DATOS!$C$1517)=1,CROQUIS_DATOS!$C$1526,0)),(CHOOSE(MIN(MAX(MIN(INT(($A284-1)/62)+1,5),1),5),CROQUIS_DATOS!$C$1499,CROQUIS_DATOS!$C$1503,CROQUIS_DATOS!$C$1507,CROQUIS_DATOS!$C$1511,CROQUIS_DATOS!$C$1515)+CHOOSE(MIN(MAX(MIN(INT(($A284-1)/62)+1,5),1),5),CROQUIS_DATOS!$C$1500,CROQUIS_DATOS!$C$1504,CROQUIS_DATOS!$C$1508,CROQUIS_DATOS!$C$1512,CROQUIS_DATOS!$C$1516)-IF(CHOOSE(MIN(MAX(MIN(INT(($A284-1)/62)+1,5),1),5),CROQUIS_DATOS!$C$1501,CROQUIS_DATOS!$C$1505,CROQUIS_DATOS!$C$1509,CROQUIS_DATOS!$C$1513,CROQUIS_DATOS!$C$1517)=1,CROQUIS_DATOS!$C$1526,0))))*CROQUIS_DATOS!$C$1562),-1000)</f>
        <v>-1000</v>
      </c>
      <c r="Q284">
        <f>IF(AND(CROQUIS_DATOS!$C$1472=1,CROQUIS_DATOS!$C$1555=1),(CROQUIS_DATOS!$C$1564+(IF(OR(OR(MOD($A284-1,62)+1=1,IF(CHOOSE(MIN(MAX(MIN(INT(($A284-1)/62)+1,5),1),5),CROQUIS_DATOS!$C$1501,CROQUIS_DATOS!$C$1505,CROQUIS_DATOS!$C$1509,CROQUIS_DATOS!$C$1513,CROQUIS_DATOS!$C$1517)=1,CROQUIS_DATOS!$C$1557,0)=0),MOD($A284-1,62)+1&gt;2*IF(CHOOSE(MIN(MAX(MIN(INT(($A284-1)/62)+1,5),1),5),CROQUIS_DATOS!$C$1501,CROQUIS_DATOS!$C$1505,CROQUIS_DATOS!$C$1509,CROQUIS_DATOS!$C$1513,CROQUIS_DATOS!$C$1517)=1,CROQUIS_DATOS!$C$1557,0)+1),CROQUIS_DATOS!$C$1476,MIN(INT((MOD($A284-1,62)+1-2)/2)+1,MAX(IF(CHOOSE(MIN(MAX(MIN(INT(($A284-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4">
        <f>IF(AND(CROQUIS_DATOS!$C$1472=1,1),(CROQUIS_DATOS!$C$1563+(MIN(INT(($A284-1)/2)+1,CROQUIS_DATOS!$C$1558)*CROQUIS_DATOS!$C$1559)*CROQUIS_DATOS!$C$1562),-1000)</f>
        <v>82.2281167108753</v>
      </c>
      <c r="U284">
        <f>IF(AND(CROQUIS_DATOS!$C$1472=1,1),(CROQUIS_DATOS!$C$1564+(IF(INT(($A284-1)/2)+1&gt;CROQUIS_DATOS!$C$1558,IF(MOD(CROQUIS_DATOS!$C$1558,2)=1,CROQUIS_DATOS!$C$1476+CROQUIS_DATOS!$C$1528,CROQUIS_DATOS!$C$1476),IF(IF(MOD(MIN(INT(($A284-1)/2)+1,CROQUIS_DATOS!$C$1558),2)=1,MOD($A284-1,2),1-MOD($A284-1,2))=1,CROQUIS_DATOS!$C$1476+CROQUIS_DATOS!$C$1528,CROQUIS_DATOS!$C$1476)))*CROQUIS_DATOS!$C$1561*CROQUIS_DATOS!$C$1562),-1000)</f>
        <v>43</v>
      </c>
    </row>
    <row r="285">
      <c r="A285" t="n">
        <v>278</v>
      </c>
      <c r="N285">
        <f>IF(AND(CROQUIS_DATOS!$C$1472=1,1),(CROQUIS_DATOS!$C$1563+(IF(IF(IF(INT(($A285-1)/70)+1&gt;CROQUIS_DATOS!$C$1525,70,MOD($A285-1,70)+1)=1,0,IF(IF(INT(($A285-1)/70)+1&gt;CROQUIS_DATOS!$C$1525,70,MOD($A285-1,70)+1)&gt;2*CROQUIS_DATOS!$C$1541+1,IF(MOD(CROQUIS_DATOS!$C$1541,2)=1,1,0),IF(MOD(MIN(INT((IF(INT(($A285-1)/70)+1&gt;CROQUIS_DATOS!$C$1525,70,MOD($A285-1,70)+1)-2)/2)+1,CROQUIS_DATOS!$C$1541),2)=1,IF(MOD(IF(INT(($A285-1)/70)+1&gt;CROQUIS_DATOS!$C$1525,70,MOD($A285-1,70)+1)-2,2)=0,0,1),IF(MOD(IF(INT(($A285-1)/70)+1&gt;CROQUIS_DATOS!$C$1525,70,MOD($A285-1,70)+1)-2,2)=0,1,0))))=0,(INDEX($E$8:$E$23,MIN(INT(($A285-1)/70)+1,CROQUIS_DATOS!$C$1525))-INDEX($F$8:$F$23,MIN(INT(($A285-1)/70)+1,CROQUIS_DATOS!$C$1525))/2),(INDEX($E$8:$E$23,MIN(INT(($A285-1)/70)+1,CROQUIS_DATOS!$C$1525))+INDEX($F$8:$F$23,MIN(INT(($A285-1)/70)+1,CROQUIS_DATOS!$C$1525))/2)))*CROQUIS_DATOS!$C$1562),-1000)</f>
        <v>45.1120689655172</v>
      </c>
      <c r="O285">
        <f>IF(AND(CROQUIS_DATOS!$C$1472=1,1),(CROQUIS_DATOS!$C$1564+(IF(OR(IF(INT(($A285-1)/70)+1&gt;CROQUIS_DATOS!$C$1525,70,MOD($A285-1,70)+1)=1,IF(INT(($A285-1)/70)+1&gt;CROQUIS_DATOS!$C$1525,70,MOD($A285-1,70)+1)&gt;2*CROQUIS_DATOS!$C$1541+1),CROQUIS_DATOS!$C$1476,INDEX($H$8:$H$41,MIN(INT((IF(INT(($A285-1)/70)+1&gt;CROQUIS_DATOS!$C$1525,70,MOD($A285-1,70)+1)-2)/2)+1,CROQUIS_DATOS!$C$1541))))*CROQUIS_DATOS!$C$1561*CROQUIS_DATOS!$C$1562),-1000)</f>
        <v>40.2068965517241</v>
      </c>
      <c r="P285">
        <f>IF(AND(CROQUIS_DATOS!$C$1472=1,CROQUIS_DATOS!$C$1555=1),(CROQUIS_DATOS!$C$1563+(IF(IF(OR(MOD($A285-1,62)+1=1,IF(CHOOSE(MIN(MAX(MIN(INT(($A285-1)/62)+1,5),1),5),CROQUIS_DATOS!$C$1501,CROQUIS_DATOS!$C$1505,CROQUIS_DATOS!$C$1509,CROQUIS_DATOS!$C$1513,CROQUIS_DATOS!$C$1517)=1,CROQUIS_DATOS!$C$1557,0)=0),0,IF(MOD($A285-1,62)+1&gt;2*IF(CHOOSE(MIN(MAX(MIN(INT(($A285-1)/62)+1,5),1),5),CROQUIS_DATOS!$C$1501,CROQUIS_DATOS!$C$1505,CROQUIS_DATOS!$C$1509,CROQUIS_DATOS!$C$1513,CROQUIS_DATOS!$C$1517)=1,CROQUIS_DATOS!$C$1557,0)+1,IF(MOD(IF(CHOOSE(MIN(MAX(MIN(INT(($A285-1)/62)+1,5),1),5),CROQUIS_DATOS!$C$1501,CROQUIS_DATOS!$C$1505,CROQUIS_DATOS!$C$1509,CROQUIS_DATOS!$C$1513,CROQUIS_DATOS!$C$1517)=1,CROQUIS_DATOS!$C$1557,0),2)=1,1,0),IF(MOD(MIN(INT((MOD($A285-1,62)+1-2)/2)+1,MAX(IF(CHOOSE(MIN(MAX(MIN(INT(($A285-1)/62)+1,5),1),5),CROQUIS_DATOS!$C$1501,CROQUIS_DATOS!$C$1505,CROQUIS_DATOS!$C$1509,CROQUIS_DATOS!$C$1513,CROQUIS_DATOS!$C$1517)=1,CROQUIS_DATOS!$C$1557,0),1)),2)=1,IF(MOD(MOD($A285-1,62)+1-2,2)=0,0,1),IF(MOD(MOD($A285-1,62)+1-2,2)=0,1,0))))=0,(CHOOSE(MIN(MAX(MIN(INT(($A285-1)/62)+1,5),1),5),CROQUIS_DATOS!$C$1499,CROQUIS_DATOS!$C$1503,CROQUIS_DATOS!$C$1507,CROQUIS_DATOS!$C$1511,CROQUIS_DATOS!$C$1515)+IF(CHOOSE(MIN(MAX(MIN(INT(($A285-1)/62)+1,5),1),5),CROQUIS_DATOS!$C$1501,CROQUIS_DATOS!$C$1505,CROQUIS_DATOS!$C$1509,CROQUIS_DATOS!$C$1513,CROQUIS_DATOS!$C$1517)=1,CROQUIS_DATOS!$C$1526,0)),(CHOOSE(MIN(MAX(MIN(INT(($A285-1)/62)+1,5),1),5),CROQUIS_DATOS!$C$1499,CROQUIS_DATOS!$C$1503,CROQUIS_DATOS!$C$1507,CROQUIS_DATOS!$C$1511,CROQUIS_DATOS!$C$1515)+CHOOSE(MIN(MAX(MIN(INT(($A285-1)/62)+1,5),1),5),CROQUIS_DATOS!$C$1500,CROQUIS_DATOS!$C$1504,CROQUIS_DATOS!$C$1508,CROQUIS_DATOS!$C$1512,CROQUIS_DATOS!$C$1516)-IF(CHOOSE(MIN(MAX(MIN(INT(($A285-1)/62)+1,5),1),5),CROQUIS_DATOS!$C$1501,CROQUIS_DATOS!$C$1505,CROQUIS_DATOS!$C$1509,CROQUIS_DATOS!$C$1513,CROQUIS_DATOS!$C$1517)=1,CROQUIS_DATOS!$C$1526,0))))*CROQUIS_DATOS!$C$1562),-1000)</f>
        <v>-1000</v>
      </c>
      <c r="Q285">
        <f>IF(AND(CROQUIS_DATOS!$C$1472=1,CROQUIS_DATOS!$C$1555=1),(CROQUIS_DATOS!$C$1564+(IF(OR(OR(MOD($A285-1,62)+1=1,IF(CHOOSE(MIN(MAX(MIN(INT(($A285-1)/62)+1,5),1),5),CROQUIS_DATOS!$C$1501,CROQUIS_DATOS!$C$1505,CROQUIS_DATOS!$C$1509,CROQUIS_DATOS!$C$1513,CROQUIS_DATOS!$C$1517)=1,CROQUIS_DATOS!$C$1557,0)=0),MOD($A285-1,62)+1&gt;2*IF(CHOOSE(MIN(MAX(MIN(INT(($A285-1)/62)+1,5),1),5),CROQUIS_DATOS!$C$1501,CROQUIS_DATOS!$C$1505,CROQUIS_DATOS!$C$1509,CROQUIS_DATOS!$C$1513,CROQUIS_DATOS!$C$1517)=1,CROQUIS_DATOS!$C$1557,0)+1),CROQUIS_DATOS!$C$1476,MIN(INT((MOD($A285-1,62)+1-2)/2)+1,MAX(IF(CHOOSE(MIN(MAX(MIN(INT(($A285-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5">
        <f>IF(AND(CROQUIS_DATOS!$C$1472=1,1),(CROQUIS_DATOS!$C$1563+(MIN(INT(($A285-1)/2)+1,CROQUIS_DATOS!$C$1558)*CROQUIS_DATOS!$C$1559)*CROQUIS_DATOS!$C$1562),-1000)</f>
        <v>82.2281167108753</v>
      </c>
      <c r="U285">
        <f>IF(AND(CROQUIS_DATOS!$C$1472=1,1),(CROQUIS_DATOS!$C$1564+(IF(INT(($A285-1)/2)+1&gt;CROQUIS_DATOS!$C$1558,IF(MOD(CROQUIS_DATOS!$C$1558,2)=1,CROQUIS_DATOS!$C$1476+CROQUIS_DATOS!$C$1528,CROQUIS_DATOS!$C$1476),IF(IF(MOD(MIN(INT(($A285-1)/2)+1,CROQUIS_DATOS!$C$1558),2)=1,MOD($A285-1,2),1-MOD($A285-1,2))=1,CROQUIS_DATOS!$C$1476+CROQUIS_DATOS!$C$1528,CROQUIS_DATOS!$C$1476)))*CROQUIS_DATOS!$C$1561*CROQUIS_DATOS!$C$1562),-1000)</f>
        <v>43</v>
      </c>
    </row>
    <row r="286">
      <c r="A286" t="n">
        <v>279</v>
      </c>
      <c r="N286">
        <f>IF(AND(CROQUIS_DATOS!$C$1472=1,1),(CROQUIS_DATOS!$C$1563+(IF(IF(IF(INT(($A286-1)/70)+1&gt;CROQUIS_DATOS!$C$1525,70,MOD($A286-1,70)+1)=1,0,IF(IF(INT(($A286-1)/70)+1&gt;CROQUIS_DATOS!$C$1525,70,MOD($A286-1,70)+1)&gt;2*CROQUIS_DATOS!$C$1541+1,IF(MOD(CROQUIS_DATOS!$C$1541,2)=1,1,0),IF(MOD(MIN(INT((IF(INT(($A286-1)/70)+1&gt;CROQUIS_DATOS!$C$1525,70,MOD($A286-1,70)+1)-2)/2)+1,CROQUIS_DATOS!$C$1541),2)=1,IF(MOD(IF(INT(($A286-1)/70)+1&gt;CROQUIS_DATOS!$C$1525,70,MOD($A286-1,70)+1)-2,2)=0,0,1),IF(MOD(IF(INT(($A286-1)/70)+1&gt;CROQUIS_DATOS!$C$1525,70,MOD($A286-1,70)+1)-2,2)=0,1,0))))=0,(INDEX($E$8:$E$23,MIN(INT(($A286-1)/70)+1,CROQUIS_DATOS!$C$1525))-INDEX($F$8:$F$23,MIN(INT(($A286-1)/70)+1,CROQUIS_DATOS!$C$1525))/2),(INDEX($E$8:$E$23,MIN(INT(($A286-1)/70)+1,CROQUIS_DATOS!$C$1525))+INDEX($F$8:$F$23,MIN(INT(($A286-1)/70)+1,CROQUIS_DATOS!$C$1525))/2)))*CROQUIS_DATOS!$C$1562),-1000)</f>
        <v>45.1120689655172</v>
      </c>
      <c r="O286">
        <f>IF(AND(CROQUIS_DATOS!$C$1472=1,1),(CROQUIS_DATOS!$C$1564+(IF(OR(IF(INT(($A286-1)/70)+1&gt;CROQUIS_DATOS!$C$1525,70,MOD($A286-1,70)+1)=1,IF(INT(($A286-1)/70)+1&gt;CROQUIS_DATOS!$C$1525,70,MOD($A286-1,70)+1)&gt;2*CROQUIS_DATOS!$C$1541+1),CROQUIS_DATOS!$C$1476,INDEX($H$8:$H$41,MIN(INT((IF(INT(($A286-1)/70)+1&gt;CROQUIS_DATOS!$C$1525,70,MOD($A286-1,70)+1)-2)/2)+1,CROQUIS_DATOS!$C$1541))))*CROQUIS_DATOS!$C$1561*CROQUIS_DATOS!$C$1562),-1000)</f>
        <v>40.2068965517241</v>
      </c>
      <c r="P286">
        <f>IF(AND(CROQUIS_DATOS!$C$1472=1,CROQUIS_DATOS!$C$1555=1),(CROQUIS_DATOS!$C$1563+(IF(IF(OR(MOD($A286-1,62)+1=1,IF(CHOOSE(MIN(MAX(MIN(INT(($A286-1)/62)+1,5),1),5),CROQUIS_DATOS!$C$1501,CROQUIS_DATOS!$C$1505,CROQUIS_DATOS!$C$1509,CROQUIS_DATOS!$C$1513,CROQUIS_DATOS!$C$1517)=1,CROQUIS_DATOS!$C$1557,0)=0),0,IF(MOD($A286-1,62)+1&gt;2*IF(CHOOSE(MIN(MAX(MIN(INT(($A286-1)/62)+1,5),1),5),CROQUIS_DATOS!$C$1501,CROQUIS_DATOS!$C$1505,CROQUIS_DATOS!$C$1509,CROQUIS_DATOS!$C$1513,CROQUIS_DATOS!$C$1517)=1,CROQUIS_DATOS!$C$1557,0)+1,IF(MOD(IF(CHOOSE(MIN(MAX(MIN(INT(($A286-1)/62)+1,5),1),5),CROQUIS_DATOS!$C$1501,CROQUIS_DATOS!$C$1505,CROQUIS_DATOS!$C$1509,CROQUIS_DATOS!$C$1513,CROQUIS_DATOS!$C$1517)=1,CROQUIS_DATOS!$C$1557,0),2)=1,1,0),IF(MOD(MIN(INT((MOD($A286-1,62)+1-2)/2)+1,MAX(IF(CHOOSE(MIN(MAX(MIN(INT(($A286-1)/62)+1,5),1),5),CROQUIS_DATOS!$C$1501,CROQUIS_DATOS!$C$1505,CROQUIS_DATOS!$C$1509,CROQUIS_DATOS!$C$1513,CROQUIS_DATOS!$C$1517)=1,CROQUIS_DATOS!$C$1557,0),1)),2)=1,IF(MOD(MOD($A286-1,62)+1-2,2)=0,0,1),IF(MOD(MOD($A286-1,62)+1-2,2)=0,1,0))))=0,(CHOOSE(MIN(MAX(MIN(INT(($A286-1)/62)+1,5),1),5),CROQUIS_DATOS!$C$1499,CROQUIS_DATOS!$C$1503,CROQUIS_DATOS!$C$1507,CROQUIS_DATOS!$C$1511,CROQUIS_DATOS!$C$1515)+IF(CHOOSE(MIN(MAX(MIN(INT(($A286-1)/62)+1,5),1),5),CROQUIS_DATOS!$C$1501,CROQUIS_DATOS!$C$1505,CROQUIS_DATOS!$C$1509,CROQUIS_DATOS!$C$1513,CROQUIS_DATOS!$C$1517)=1,CROQUIS_DATOS!$C$1526,0)),(CHOOSE(MIN(MAX(MIN(INT(($A286-1)/62)+1,5),1),5),CROQUIS_DATOS!$C$1499,CROQUIS_DATOS!$C$1503,CROQUIS_DATOS!$C$1507,CROQUIS_DATOS!$C$1511,CROQUIS_DATOS!$C$1515)+CHOOSE(MIN(MAX(MIN(INT(($A286-1)/62)+1,5),1),5),CROQUIS_DATOS!$C$1500,CROQUIS_DATOS!$C$1504,CROQUIS_DATOS!$C$1508,CROQUIS_DATOS!$C$1512,CROQUIS_DATOS!$C$1516)-IF(CHOOSE(MIN(MAX(MIN(INT(($A286-1)/62)+1,5),1),5),CROQUIS_DATOS!$C$1501,CROQUIS_DATOS!$C$1505,CROQUIS_DATOS!$C$1509,CROQUIS_DATOS!$C$1513,CROQUIS_DATOS!$C$1517)=1,CROQUIS_DATOS!$C$1526,0))))*CROQUIS_DATOS!$C$1562),-1000)</f>
        <v>-1000</v>
      </c>
      <c r="Q286">
        <f>IF(AND(CROQUIS_DATOS!$C$1472=1,CROQUIS_DATOS!$C$1555=1),(CROQUIS_DATOS!$C$1564+(IF(OR(OR(MOD($A286-1,62)+1=1,IF(CHOOSE(MIN(MAX(MIN(INT(($A286-1)/62)+1,5),1),5),CROQUIS_DATOS!$C$1501,CROQUIS_DATOS!$C$1505,CROQUIS_DATOS!$C$1509,CROQUIS_DATOS!$C$1513,CROQUIS_DATOS!$C$1517)=1,CROQUIS_DATOS!$C$1557,0)=0),MOD($A286-1,62)+1&gt;2*IF(CHOOSE(MIN(MAX(MIN(INT(($A286-1)/62)+1,5),1),5),CROQUIS_DATOS!$C$1501,CROQUIS_DATOS!$C$1505,CROQUIS_DATOS!$C$1509,CROQUIS_DATOS!$C$1513,CROQUIS_DATOS!$C$1517)=1,CROQUIS_DATOS!$C$1557,0)+1),CROQUIS_DATOS!$C$1476,MIN(INT((MOD($A286-1,62)+1-2)/2)+1,MAX(IF(CHOOSE(MIN(MAX(MIN(INT(($A286-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6">
        <f>IF(AND(CROQUIS_DATOS!$C$1472=1,1),(CROQUIS_DATOS!$C$1563+(MIN(INT(($A286-1)/2)+1,CROQUIS_DATOS!$C$1558)*CROQUIS_DATOS!$C$1559)*CROQUIS_DATOS!$C$1562),-1000)</f>
        <v>82.2281167108753</v>
      </c>
      <c r="U286">
        <f>IF(AND(CROQUIS_DATOS!$C$1472=1,1),(CROQUIS_DATOS!$C$1564+(IF(INT(($A286-1)/2)+1&gt;CROQUIS_DATOS!$C$1558,IF(MOD(CROQUIS_DATOS!$C$1558,2)=1,CROQUIS_DATOS!$C$1476+CROQUIS_DATOS!$C$1528,CROQUIS_DATOS!$C$1476),IF(IF(MOD(MIN(INT(($A286-1)/2)+1,CROQUIS_DATOS!$C$1558),2)=1,MOD($A286-1,2),1-MOD($A286-1,2))=1,CROQUIS_DATOS!$C$1476+CROQUIS_DATOS!$C$1528,CROQUIS_DATOS!$C$1476)))*CROQUIS_DATOS!$C$1561*CROQUIS_DATOS!$C$1562),-1000)</f>
        <v>43</v>
      </c>
    </row>
    <row r="287">
      <c r="A287" t="n">
        <v>280</v>
      </c>
      <c r="N287">
        <f>IF(AND(CROQUIS_DATOS!$C$1472=1,1),(CROQUIS_DATOS!$C$1563+(IF(IF(IF(INT(($A287-1)/70)+1&gt;CROQUIS_DATOS!$C$1525,70,MOD($A287-1,70)+1)=1,0,IF(IF(INT(($A287-1)/70)+1&gt;CROQUIS_DATOS!$C$1525,70,MOD($A287-1,70)+1)&gt;2*CROQUIS_DATOS!$C$1541+1,IF(MOD(CROQUIS_DATOS!$C$1541,2)=1,1,0),IF(MOD(MIN(INT((IF(INT(($A287-1)/70)+1&gt;CROQUIS_DATOS!$C$1525,70,MOD($A287-1,70)+1)-2)/2)+1,CROQUIS_DATOS!$C$1541),2)=1,IF(MOD(IF(INT(($A287-1)/70)+1&gt;CROQUIS_DATOS!$C$1525,70,MOD($A287-1,70)+1)-2,2)=0,0,1),IF(MOD(IF(INT(($A287-1)/70)+1&gt;CROQUIS_DATOS!$C$1525,70,MOD($A287-1,70)+1)-2,2)=0,1,0))))=0,(INDEX($E$8:$E$23,MIN(INT(($A287-1)/70)+1,CROQUIS_DATOS!$C$1525))-INDEX($F$8:$F$23,MIN(INT(($A287-1)/70)+1,CROQUIS_DATOS!$C$1525))/2),(INDEX($E$8:$E$23,MIN(INT(($A287-1)/70)+1,CROQUIS_DATOS!$C$1525))+INDEX($F$8:$F$23,MIN(INT(($A287-1)/70)+1,CROQUIS_DATOS!$C$1525))/2)))*CROQUIS_DATOS!$C$1562),-1000)</f>
        <v>45.1120689655172</v>
      </c>
      <c r="O287">
        <f>IF(AND(CROQUIS_DATOS!$C$1472=1,1),(CROQUIS_DATOS!$C$1564+(IF(OR(IF(INT(($A287-1)/70)+1&gt;CROQUIS_DATOS!$C$1525,70,MOD($A287-1,70)+1)=1,IF(INT(($A287-1)/70)+1&gt;CROQUIS_DATOS!$C$1525,70,MOD($A287-1,70)+1)&gt;2*CROQUIS_DATOS!$C$1541+1),CROQUIS_DATOS!$C$1476,INDEX($H$8:$H$41,MIN(INT((IF(INT(($A287-1)/70)+1&gt;CROQUIS_DATOS!$C$1525,70,MOD($A287-1,70)+1)-2)/2)+1,CROQUIS_DATOS!$C$1541))))*CROQUIS_DATOS!$C$1561*CROQUIS_DATOS!$C$1562),-1000)</f>
        <v>40.2068965517241</v>
      </c>
      <c r="P287">
        <f>IF(AND(CROQUIS_DATOS!$C$1472=1,CROQUIS_DATOS!$C$1555=1),(CROQUIS_DATOS!$C$1563+(IF(IF(OR(MOD($A287-1,62)+1=1,IF(CHOOSE(MIN(MAX(MIN(INT(($A287-1)/62)+1,5),1),5),CROQUIS_DATOS!$C$1501,CROQUIS_DATOS!$C$1505,CROQUIS_DATOS!$C$1509,CROQUIS_DATOS!$C$1513,CROQUIS_DATOS!$C$1517)=1,CROQUIS_DATOS!$C$1557,0)=0),0,IF(MOD($A287-1,62)+1&gt;2*IF(CHOOSE(MIN(MAX(MIN(INT(($A287-1)/62)+1,5),1),5),CROQUIS_DATOS!$C$1501,CROQUIS_DATOS!$C$1505,CROQUIS_DATOS!$C$1509,CROQUIS_DATOS!$C$1513,CROQUIS_DATOS!$C$1517)=1,CROQUIS_DATOS!$C$1557,0)+1,IF(MOD(IF(CHOOSE(MIN(MAX(MIN(INT(($A287-1)/62)+1,5),1),5),CROQUIS_DATOS!$C$1501,CROQUIS_DATOS!$C$1505,CROQUIS_DATOS!$C$1509,CROQUIS_DATOS!$C$1513,CROQUIS_DATOS!$C$1517)=1,CROQUIS_DATOS!$C$1557,0),2)=1,1,0),IF(MOD(MIN(INT((MOD($A287-1,62)+1-2)/2)+1,MAX(IF(CHOOSE(MIN(MAX(MIN(INT(($A287-1)/62)+1,5),1),5),CROQUIS_DATOS!$C$1501,CROQUIS_DATOS!$C$1505,CROQUIS_DATOS!$C$1509,CROQUIS_DATOS!$C$1513,CROQUIS_DATOS!$C$1517)=1,CROQUIS_DATOS!$C$1557,0),1)),2)=1,IF(MOD(MOD($A287-1,62)+1-2,2)=0,0,1),IF(MOD(MOD($A287-1,62)+1-2,2)=0,1,0))))=0,(CHOOSE(MIN(MAX(MIN(INT(($A287-1)/62)+1,5),1),5),CROQUIS_DATOS!$C$1499,CROQUIS_DATOS!$C$1503,CROQUIS_DATOS!$C$1507,CROQUIS_DATOS!$C$1511,CROQUIS_DATOS!$C$1515)+IF(CHOOSE(MIN(MAX(MIN(INT(($A287-1)/62)+1,5),1),5),CROQUIS_DATOS!$C$1501,CROQUIS_DATOS!$C$1505,CROQUIS_DATOS!$C$1509,CROQUIS_DATOS!$C$1513,CROQUIS_DATOS!$C$1517)=1,CROQUIS_DATOS!$C$1526,0)),(CHOOSE(MIN(MAX(MIN(INT(($A287-1)/62)+1,5),1),5),CROQUIS_DATOS!$C$1499,CROQUIS_DATOS!$C$1503,CROQUIS_DATOS!$C$1507,CROQUIS_DATOS!$C$1511,CROQUIS_DATOS!$C$1515)+CHOOSE(MIN(MAX(MIN(INT(($A287-1)/62)+1,5),1),5),CROQUIS_DATOS!$C$1500,CROQUIS_DATOS!$C$1504,CROQUIS_DATOS!$C$1508,CROQUIS_DATOS!$C$1512,CROQUIS_DATOS!$C$1516)-IF(CHOOSE(MIN(MAX(MIN(INT(($A287-1)/62)+1,5),1),5),CROQUIS_DATOS!$C$1501,CROQUIS_DATOS!$C$1505,CROQUIS_DATOS!$C$1509,CROQUIS_DATOS!$C$1513,CROQUIS_DATOS!$C$1517)=1,CROQUIS_DATOS!$C$1526,0))))*CROQUIS_DATOS!$C$1562),-1000)</f>
        <v>-1000</v>
      </c>
      <c r="Q287">
        <f>IF(AND(CROQUIS_DATOS!$C$1472=1,CROQUIS_DATOS!$C$1555=1),(CROQUIS_DATOS!$C$1564+(IF(OR(OR(MOD($A287-1,62)+1=1,IF(CHOOSE(MIN(MAX(MIN(INT(($A287-1)/62)+1,5),1),5),CROQUIS_DATOS!$C$1501,CROQUIS_DATOS!$C$1505,CROQUIS_DATOS!$C$1509,CROQUIS_DATOS!$C$1513,CROQUIS_DATOS!$C$1517)=1,CROQUIS_DATOS!$C$1557,0)=0),MOD($A287-1,62)+1&gt;2*IF(CHOOSE(MIN(MAX(MIN(INT(($A287-1)/62)+1,5),1),5),CROQUIS_DATOS!$C$1501,CROQUIS_DATOS!$C$1505,CROQUIS_DATOS!$C$1509,CROQUIS_DATOS!$C$1513,CROQUIS_DATOS!$C$1517)=1,CROQUIS_DATOS!$C$1557,0)+1),CROQUIS_DATOS!$C$1476,MIN(INT((MOD($A287-1,62)+1-2)/2)+1,MAX(IF(CHOOSE(MIN(MAX(MIN(INT(($A287-1)/62)+1,5),1),5),CROQUIS_DATOS!$C$1501,CROQUIS_DATOS!$C$1505,CROQUIS_DATOS!$C$1509,CROQUIS_DATOS!$C$1513,CROQUIS_DATOS!$C$1517)=1,CROQUIS_DATOS!$C$1557,0),1))*CROQUIS_DATOS!$C$1556))*CROQUIS_DATOS!$C$1561*CROQUIS_DATOS!$C$1562),-1000)</f>
        <v>-1000</v>
      </c>
      <c r="T287">
        <f>IF(AND(CROQUIS_DATOS!$C$1472=1,1),(CROQUIS_DATOS!$C$1563+(MIN(INT(($A287-1)/2)+1,CROQUIS_DATOS!$C$1558)*CROQUIS_DATOS!$C$1559)*CROQUIS_DATOS!$C$1562),-1000)</f>
        <v>82.2281167108753</v>
      </c>
      <c r="U287">
        <f>IF(AND(CROQUIS_DATOS!$C$1472=1,1),(CROQUIS_DATOS!$C$1564+(IF(INT(($A287-1)/2)+1&gt;CROQUIS_DATOS!$C$1558,IF(MOD(CROQUIS_DATOS!$C$1558,2)=1,CROQUIS_DATOS!$C$1476+CROQUIS_DATOS!$C$1528,CROQUIS_DATOS!$C$1476),IF(IF(MOD(MIN(INT(($A287-1)/2)+1,CROQUIS_DATOS!$C$1558),2)=1,MOD($A287-1,2),1-MOD($A287-1,2))=1,CROQUIS_DATOS!$C$1476+CROQUIS_DATOS!$C$1528,CROQUIS_DATOS!$C$1476)))*CROQUIS_DATOS!$C$1561*CROQUIS_DATOS!$C$1562),-1000)</f>
        <v>43</v>
      </c>
    </row>
    <row r="288">
      <c r="A288" t="n">
        <v>281</v>
      </c>
      <c r="N288">
        <f>IF(AND(CROQUIS_DATOS!$C$1472=1,1),(CROQUIS_DATOS!$C$1563+(IF(IF(IF(INT(($A288-1)/70)+1&gt;CROQUIS_DATOS!$C$1525,70,MOD($A288-1,70)+1)=1,0,IF(IF(INT(($A288-1)/70)+1&gt;CROQUIS_DATOS!$C$1525,70,MOD($A288-1,70)+1)&gt;2*CROQUIS_DATOS!$C$1541+1,IF(MOD(CROQUIS_DATOS!$C$1541,2)=1,1,0),IF(MOD(MIN(INT((IF(INT(($A288-1)/70)+1&gt;CROQUIS_DATOS!$C$1525,70,MOD($A288-1,70)+1)-2)/2)+1,CROQUIS_DATOS!$C$1541),2)=1,IF(MOD(IF(INT(($A288-1)/70)+1&gt;CROQUIS_DATOS!$C$1525,70,MOD($A288-1,70)+1)-2,2)=0,0,1),IF(MOD(IF(INT(($A288-1)/70)+1&gt;CROQUIS_DATOS!$C$1525,70,MOD($A288-1,70)+1)-2,2)=0,1,0))))=0,(INDEX($E$8:$E$23,MIN(INT(($A288-1)/70)+1,CROQUIS_DATOS!$C$1525))-INDEX($F$8:$F$23,MIN(INT(($A288-1)/70)+1,CROQUIS_DATOS!$C$1525))/2),(INDEX($E$8:$E$23,MIN(INT(($A288-1)/70)+1,CROQUIS_DATOS!$C$1525))+INDEX($F$8:$F$23,MIN(INT(($A288-1)/70)+1,CROQUIS_DATOS!$C$1525))/2)))*CROQUIS_DATOS!$C$1562),-1000)</f>
        <v>68.1551724137931</v>
      </c>
      <c r="O288">
        <f>IF(AND(CROQUIS_DATOS!$C$1472=1,1),(CROQUIS_DATOS!$C$1564+(IF(OR(IF(INT(($A288-1)/70)+1&gt;CROQUIS_DATOS!$C$1525,70,MOD($A288-1,70)+1)=1,IF(INT(($A288-1)/70)+1&gt;CROQUIS_DATOS!$C$1525,70,MOD($A288-1,70)+1)&gt;2*CROQUIS_DATOS!$C$1541+1),CROQUIS_DATOS!$C$1476,INDEX($H$8:$H$41,MIN(INT((IF(INT(($A288-1)/70)+1&gt;CROQUIS_DATOS!$C$1525,70,MOD($A288-1,70)+1)-2)/2)+1,CROQUIS_DATOS!$C$1541))))*CROQUIS_DATOS!$C$1561*CROQUIS_DATOS!$C$1562),-1000)</f>
        <v>40.2068965517241</v>
      </c>
      <c r="P288">
        <f>IF(AND(CROQUIS_DATOS!$C$1472=1,CROQUIS_DATOS!$C$1555=1),(CROQUIS_DATOS!$C$1563+(IF(IF(OR(MOD($A288-1,62)+1=1,IF(CHOOSE(MIN(MAX(MIN(INT(($A288-1)/62)+1,5),1),5),CROQUIS_DATOS!$C$1501,CROQUIS_DATOS!$C$1505,CROQUIS_DATOS!$C$1509,CROQUIS_DATOS!$C$1513,CROQUIS_DATOS!$C$1517)=1,CROQUIS_DATOS!$C$1557,0)=0),0,IF(MOD($A288-1,62)+1&gt;2*IF(CHOOSE(MIN(MAX(MIN(INT(($A288-1)/62)+1,5),1),5),CROQUIS_DATOS!$C$1501,CROQUIS_DATOS!$C$1505,CROQUIS_DATOS!$C$1509,CROQUIS_DATOS!$C$1513,CROQUIS_DATOS!$C$1517)=1,CROQUIS_DATOS!$C$1557,0)+1,IF(MOD(IF(CHOOSE(MIN(MAX(MIN(INT(($A288-1)/62)+1,5),1),5),CROQUIS_DATOS!$C$1501,CROQUIS_DATOS!$C$1505,CROQUIS_DATOS!$C$1509,CROQUIS_DATOS!$C$1513,CROQUIS_DATOS!$C$1517)=1,CROQUIS_DATOS!$C$1557,0),2)=1,1,0),IF(MOD(MIN(INT((MOD($A288-1,62)+1-2)/2)+1,MAX(IF(CHOOSE(MIN(MAX(MIN(INT(($A288-1)/62)+1,5),1),5),CROQUIS_DATOS!$C$1501,CROQUIS_DATOS!$C$1505,CROQUIS_DATOS!$C$1509,CROQUIS_DATOS!$C$1513,CROQUIS_DATOS!$C$1517)=1,CROQUIS_DATOS!$C$1557,0),1)),2)=1,IF(MOD(MOD($A288-1,62)+1-2,2)=0,0,1),IF(MOD(MOD($A288-1,62)+1-2,2)=0,1,0))))=0,(CHOOSE(MIN(MAX(MIN(INT(($A288-1)/62)+1,5),1),5),CROQUIS_DATOS!$C$1499,CROQUIS_DATOS!$C$1503,CROQUIS_DATOS!$C$1507,CROQUIS_DATOS!$C$1511,CROQUIS_DATOS!$C$1515)+IF(CHOOSE(MIN(MAX(MIN(INT(($A288-1)/62)+1,5),1),5),CROQUIS_DATOS!$C$1501,CROQUIS_DATOS!$C$1505,CROQUIS_DATOS!$C$1509,CROQUIS_DATOS!$C$1513,CROQUIS_DATOS!$C$1517)=1,CROQUIS_DATOS!$C$1526,0)),(CHOOSE(MIN(MAX(MIN(INT(($A288-1)/62)+1,5),1),5),CROQUIS_DATOS!$C$1499,CROQUIS_DATOS!$C$1503,CROQUIS_DATOS!$C$1507,CROQUIS_DATOS!$C$1511,CROQUIS_DATOS!$C$1515)+CHOOSE(MIN(MAX(MIN(INT(($A288-1)/62)+1,5),1),5),CROQUIS_DATOS!$C$1500,CROQUIS_DATOS!$C$1504,CROQUIS_DATOS!$C$1508,CROQUIS_DATOS!$C$1512,CROQUIS_DATOS!$C$1516)-IF(CHOOSE(MIN(MAX(MIN(INT(($A288-1)/62)+1,5),1),5),CROQUIS_DATOS!$C$1501,CROQUIS_DATOS!$C$1505,CROQUIS_DATOS!$C$1509,CROQUIS_DATOS!$C$1513,CROQUIS_DATOS!$C$1517)=1,CROQUIS_DATOS!$C$1526,0))))*CROQUIS_DATOS!$C$1562),-1000)</f>
        <v>-1000</v>
      </c>
      <c r="Q288">
        <f>IF(AND(CROQUIS_DATOS!$C$1472=1,CROQUIS_DATOS!$C$1555=1),(CROQUIS_DATOS!$C$1564+(IF(OR(OR(MOD($A288-1,62)+1=1,IF(CHOOSE(MIN(MAX(MIN(INT(($A288-1)/62)+1,5),1),5),CROQUIS_DATOS!$C$1501,CROQUIS_DATOS!$C$1505,CROQUIS_DATOS!$C$1509,CROQUIS_DATOS!$C$1513,CROQUIS_DATOS!$C$1517)=1,CROQUIS_DATOS!$C$1557,0)=0),MOD($A288-1,62)+1&gt;2*IF(CHOOSE(MIN(MAX(MIN(INT(($A288-1)/62)+1,5),1),5),CROQUIS_DATOS!$C$1501,CROQUIS_DATOS!$C$1505,CROQUIS_DATOS!$C$1509,CROQUIS_DATOS!$C$1513,CROQUIS_DATOS!$C$1517)=1,CROQUIS_DATOS!$C$1557,0)+1),CROQUIS_DATOS!$C$1476,MIN(INT((MOD($A288-1,62)+1-2)/2)+1,MAX(IF(CHOOSE(MIN(MAX(MIN(INT(($A288-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89">
      <c r="A289" t="n">
        <v>282</v>
      </c>
      <c r="N289">
        <f>IF(AND(CROQUIS_DATOS!$C$1472=1,1),(CROQUIS_DATOS!$C$1563+(IF(IF(IF(INT(($A289-1)/70)+1&gt;CROQUIS_DATOS!$C$1525,70,MOD($A289-1,70)+1)=1,0,IF(IF(INT(($A289-1)/70)+1&gt;CROQUIS_DATOS!$C$1525,70,MOD($A289-1,70)+1)&gt;2*CROQUIS_DATOS!$C$1541+1,IF(MOD(CROQUIS_DATOS!$C$1541,2)=1,1,0),IF(MOD(MIN(INT((IF(INT(($A289-1)/70)+1&gt;CROQUIS_DATOS!$C$1525,70,MOD($A289-1,70)+1)-2)/2)+1,CROQUIS_DATOS!$C$1541),2)=1,IF(MOD(IF(INT(($A289-1)/70)+1&gt;CROQUIS_DATOS!$C$1525,70,MOD($A289-1,70)+1)-2,2)=0,0,1),IF(MOD(IF(INT(($A289-1)/70)+1&gt;CROQUIS_DATOS!$C$1525,70,MOD($A289-1,70)+1)-2,2)=0,1,0))))=0,(INDEX($E$8:$E$23,MIN(INT(($A289-1)/70)+1,CROQUIS_DATOS!$C$1525))-INDEX($F$8:$F$23,MIN(INT(($A289-1)/70)+1,CROQUIS_DATOS!$C$1525))/2),(INDEX($E$8:$E$23,MIN(INT(($A289-1)/70)+1,CROQUIS_DATOS!$C$1525))+INDEX($F$8:$F$23,MIN(INT(($A289-1)/70)+1,CROQUIS_DATOS!$C$1525))/2)))*CROQUIS_DATOS!$C$1562),-1000)</f>
        <v>68.1551724137931</v>
      </c>
      <c r="O289">
        <f>IF(AND(CROQUIS_DATOS!$C$1472=1,1),(CROQUIS_DATOS!$C$1564+(IF(OR(IF(INT(($A289-1)/70)+1&gt;CROQUIS_DATOS!$C$1525,70,MOD($A289-1,70)+1)=1,IF(INT(($A289-1)/70)+1&gt;CROQUIS_DATOS!$C$1525,70,MOD($A289-1,70)+1)&gt;2*CROQUIS_DATOS!$C$1541+1),CROQUIS_DATOS!$C$1476,INDEX($H$8:$H$41,MIN(INT((IF(INT(($A289-1)/70)+1&gt;CROQUIS_DATOS!$C$1525,70,MOD($A289-1,70)+1)-2)/2)+1,CROQUIS_DATOS!$C$1541))))*CROQUIS_DATOS!$C$1561*CROQUIS_DATOS!$C$1562),-1000)</f>
        <v>6.34051724137931</v>
      </c>
      <c r="P289">
        <f>IF(AND(CROQUIS_DATOS!$C$1472=1,CROQUIS_DATOS!$C$1555=1),(CROQUIS_DATOS!$C$1563+(IF(IF(OR(MOD($A289-1,62)+1=1,IF(CHOOSE(MIN(MAX(MIN(INT(($A289-1)/62)+1,5),1),5),CROQUIS_DATOS!$C$1501,CROQUIS_DATOS!$C$1505,CROQUIS_DATOS!$C$1509,CROQUIS_DATOS!$C$1513,CROQUIS_DATOS!$C$1517)=1,CROQUIS_DATOS!$C$1557,0)=0),0,IF(MOD($A289-1,62)+1&gt;2*IF(CHOOSE(MIN(MAX(MIN(INT(($A289-1)/62)+1,5),1),5),CROQUIS_DATOS!$C$1501,CROQUIS_DATOS!$C$1505,CROQUIS_DATOS!$C$1509,CROQUIS_DATOS!$C$1513,CROQUIS_DATOS!$C$1517)=1,CROQUIS_DATOS!$C$1557,0)+1,IF(MOD(IF(CHOOSE(MIN(MAX(MIN(INT(($A289-1)/62)+1,5),1),5),CROQUIS_DATOS!$C$1501,CROQUIS_DATOS!$C$1505,CROQUIS_DATOS!$C$1509,CROQUIS_DATOS!$C$1513,CROQUIS_DATOS!$C$1517)=1,CROQUIS_DATOS!$C$1557,0),2)=1,1,0),IF(MOD(MIN(INT((MOD($A289-1,62)+1-2)/2)+1,MAX(IF(CHOOSE(MIN(MAX(MIN(INT(($A289-1)/62)+1,5),1),5),CROQUIS_DATOS!$C$1501,CROQUIS_DATOS!$C$1505,CROQUIS_DATOS!$C$1509,CROQUIS_DATOS!$C$1513,CROQUIS_DATOS!$C$1517)=1,CROQUIS_DATOS!$C$1557,0),1)),2)=1,IF(MOD(MOD($A289-1,62)+1-2,2)=0,0,1),IF(MOD(MOD($A289-1,62)+1-2,2)=0,1,0))))=0,(CHOOSE(MIN(MAX(MIN(INT(($A289-1)/62)+1,5),1),5),CROQUIS_DATOS!$C$1499,CROQUIS_DATOS!$C$1503,CROQUIS_DATOS!$C$1507,CROQUIS_DATOS!$C$1511,CROQUIS_DATOS!$C$1515)+IF(CHOOSE(MIN(MAX(MIN(INT(($A289-1)/62)+1,5),1),5),CROQUIS_DATOS!$C$1501,CROQUIS_DATOS!$C$1505,CROQUIS_DATOS!$C$1509,CROQUIS_DATOS!$C$1513,CROQUIS_DATOS!$C$1517)=1,CROQUIS_DATOS!$C$1526,0)),(CHOOSE(MIN(MAX(MIN(INT(($A289-1)/62)+1,5),1),5),CROQUIS_DATOS!$C$1499,CROQUIS_DATOS!$C$1503,CROQUIS_DATOS!$C$1507,CROQUIS_DATOS!$C$1511,CROQUIS_DATOS!$C$1515)+CHOOSE(MIN(MAX(MIN(INT(($A289-1)/62)+1,5),1),5),CROQUIS_DATOS!$C$1500,CROQUIS_DATOS!$C$1504,CROQUIS_DATOS!$C$1508,CROQUIS_DATOS!$C$1512,CROQUIS_DATOS!$C$1516)-IF(CHOOSE(MIN(MAX(MIN(INT(($A289-1)/62)+1,5),1),5),CROQUIS_DATOS!$C$1501,CROQUIS_DATOS!$C$1505,CROQUIS_DATOS!$C$1509,CROQUIS_DATOS!$C$1513,CROQUIS_DATOS!$C$1517)=1,CROQUIS_DATOS!$C$1526,0))))*CROQUIS_DATOS!$C$1562),-1000)</f>
        <v>-1000</v>
      </c>
      <c r="Q289">
        <f>IF(AND(CROQUIS_DATOS!$C$1472=1,CROQUIS_DATOS!$C$1555=1),(CROQUIS_DATOS!$C$1564+(IF(OR(OR(MOD($A289-1,62)+1=1,IF(CHOOSE(MIN(MAX(MIN(INT(($A289-1)/62)+1,5),1),5),CROQUIS_DATOS!$C$1501,CROQUIS_DATOS!$C$1505,CROQUIS_DATOS!$C$1509,CROQUIS_DATOS!$C$1513,CROQUIS_DATOS!$C$1517)=1,CROQUIS_DATOS!$C$1557,0)=0),MOD($A289-1,62)+1&gt;2*IF(CHOOSE(MIN(MAX(MIN(INT(($A289-1)/62)+1,5),1),5),CROQUIS_DATOS!$C$1501,CROQUIS_DATOS!$C$1505,CROQUIS_DATOS!$C$1509,CROQUIS_DATOS!$C$1513,CROQUIS_DATOS!$C$1517)=1,CROQUIS_DATOS!$C$1557,0)+1),CROQUIS_DATOS!$C$1476,MIN(INT((MOD($A289-1,62)+1-2)/2)+1,MAX(IF(CHOOSE(MIN(MAX(MIN(INT(($A289-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0">
      <c r="A290" t="n">
        <v>283</v>
      </c>
      <c r="N290">
        <f>IF(AND(CROQUIS_DATOS!$C$1472=1,1),(CROQUIS_DATOS!$C$1563+(IF(IF(IF(INT(($A290-1)/70)+1&gt;CROQUIS_DATOS!$C$1525,70,MOD($A290-1,70)+1)=1,0,IF(IF(INT(($A290-1)/70)+1&gt;CROQUIS_DATOS!$C$1525,70,MOD($A290-1,70)+1)&gt;2*CROQUIS_DATOS!$C$1541+1,IF(MOD(CROQUIS_DATOS!$C$1541,2)=1,1,0),IF(MOD(MIN(INT((IF(INT(($A290-1)/70)+1&gt;CROQUIS_DATOS!$C$1525,70,MOD($A290-1,70)+1)-2)/2)+1,CROQUIS_DATOS!$C$1541),2)=1,IF(MOD(IF(INT(($A290-1)/70)+1&gt;CROQUIS_DATOS!$C$1525,70,MOD($A290-1,70)+1)-2,2)=0,0,1),IF(MOD(IF(INT(($A290-1)/70)+1&gt;CROQUIS_DATOS!$C$1525,70,MOD($A290-1,70)+1)-2,2)=0,1,0))))=0,(INDEX($E$8:$E$23,MIN(INT(($A290-1)/70)+1,CROQUIS_DATOS!$C$1525))-INDEX($F$8:$F$23,MIN(INT(($A290-1)/70)+1,CROQUIS_DATOS!$C$1525))/2),(INDEX($E$8:$E$23,MIN(INT(($A290-1)/70)+1,CROQUIS_DATOS!$C$1525))+INDEX($F$8:$F$23,MIN(INT(($A290-1)/70)+1,CROQUIS_DATOS!$C$1525))/2)))*CROQUIS_DATOS!$C$1562),-1000)</f>
        <v>70.25</v>
      </c>
      <c r="O290">
        <f>IF(AND(CROQUIS_DATOS!$C$1472=1,1),(CROQUIS_DATOS!$C$1564+(IF(OR(IF(INT(($A290-1)/70)+1&gt;CROQUIS_DATOS!$C$1525,70,MOD($A290-1,70)+1)=1,IF(INT(($A290-1)/70)+1&gt;CROQUIS_DATOS!$C$1525,70,MOD($A290-1,70)+1)&gt;2*CROQUIS_DATOS!$C$1541+1),CROQUIS_DATOS!$C$1476,INDEX($H$8:$H$41,MIN(INT((IF(INT(($A290-1)/70)+1&gt;CROQUIS_DATOS!$C$1525,70,MOD($A290-1,70)+1)-2)/2)+1,CROQUIS_DATOS!$C$1541))))*CROQUIS_DATOS!$C$1561*CROQUIS_DATOS!$C$1562),-1000)</f>
        <v>6.34051724137931</v>
      </c>
      <c r="P290">
        <f>IF(AND(CROQUIS_DATOS!$C$1472=1,CROQUIS_DATOS!$C$1555=1),(CROQUIS_DATOS!$C$1563+(IF(IF(OR(MOD($A290-1,62)+1=1,IF(CHOOSE(MIN(MAX(MIN(INT(($A290-1)/62)+1,5),1),5),CROQUIS_DATOS!$C$1501,CROQUIS_DATOS!$C$1505,CROQUIS_DATOS!$C$1509,CROQUIS_DATOS!$C$1513,CROQUIS_DATOS!$C$1517)=1,CROQUIS_DATOS!$C$1557,0)=0),0,IF(MOD($A290-1,62)+1&gt;2*IF(CHOOSE(MIN(MAX(MIN(INT(($A290-1)/62)+1,5),1),5),CROQUIS_DATOS!$C$1501,CROQUIS_DATOS!$C$1505,CROQUIS_DATOS!$C$1509,CROQUIS_DATOS!$C$1513,CROQUIS_DATOS!$C$1517)=1,CROQUIS_DATOS!$C$1557,0)+1,IF(MOD(IF(CHOOSE(MIN(MAX(MIN(INT(($A290-1)/62)+1,5),1),5),CROQUIS_DATOS!$C$1501,CROQUIS_DATOS!$C$1505,CROQUIS_DATOS!$C$1509,CROQUIS_DATOS!$C$1513,CROQUIS_DATOS!$C$1517)=1,CROQUIS_DATOS!$C$1557,0),2)=1,1,0),IF(MOD(MIN(INT((MOD($A290-1,62)+1-2)/2)+1,MAX(IF(CHOOSE(MIN(MAX(MIN(INT(($A290-1)/62)+1,5),1),5),CROQUIS_DATOS!$C$1501,CROQUIS_DATOS!$C$1505,CROQUIS_DATOS!$C$1509,CROQUIS_DATOS!$C$1513,CROQUIS_DATOS!$C$1517)=1,CROQUIS_DATOS!$C$1557,0),1)),2)=1,IF(MOD(MOD($A290-1,62)+1-2,2)=0,0,1),IF(MOD(MOD($A290-1,62)+1-2,2)=0,1,0))))=0,(CHOOSE(MIN(MAX(MIN(INT(($A290-1)/62)+1,5),1),5),CROQUIS_DATOS!$C$1499,CROQUIS_DATOS!$C$1503,CROQUIS_DATOS!$C$1507,CROQUIS_DATOS!$C$1511,CROQUIS_DATOS!$C$1515)+IF(CHOOSE(MIN(MAX(MIN(INT(($A290-1)/62)+1,5),1),5),CROQUIS_DATOS!$C$1501,CROQUIS_DATOS!$C$1505,CROQUIS_DATOS!$C$1509,CROQUIS_DATOS!$C$1513,CROQUIS_DATOS!$C$1517)=1,CROQUIS_DATOS!$C$1526,0)),(CHOOSE(MIN(MAX(MIN(INT(($A290-1)/62)+1,5),1),5),CROQUIS_DATOS!$C$1499,CROQUIS_DATOS!$C$1503,CROQUIS_DATOS!$C$1507,CROQUIS_DATOS!$C$1511,CROQUIS_DATOS!$C$1515)+CHOOSE(MIN(MAX(MIN(INT(($A290-1)/62)+1,5),1),5),CROQUIS_DATOS!$C$1500,CROQUIS_DATOS!$C$1504,CROQUIS_DATOS!$C$1508,CROQUIS_DATOS!$C$1512,CROQUIS_DATOS!$C$1516)-IF(CHOOSE(MIN(MAX(MIN(INT(($A290-1)/62)+1,5),1),5),CROQUIS_DATOS!$C$1501,CROQUIS_DATOS!$C$1505,CROQUIS_DATOS!$C$1509,CROQUIS_DATOS!$C$1513,CROQUIS_DATOS!$C$1517)=1,CROQUIS_DATOS!$C$1526,0))))*CROQUIS_DATOS!$C$1562),-1000)</f>
        <v>-1000</v>
      </c>
      <c r="Q290">
        <f>IF(AND(CROQUIS_DATOS!$C$1472=1,CROQUIS_DATOS!$C$1555=1),(CROQUIS_DATOS!$C$1564+(IF(OR(OR(MOD($A290-1,62)+1=1,IF(CHOOSE(MIN(MAX(MIN(INT(($A290-1)/62)+1,5),1),5),CROQUIS_DATOS!$C$1501,CROQUIS_DATOS!$C$1505,CROQUIS_DATOS!$C$1509,CROQUIS_DATOS!$C$1513,CROQUIS_DATOS!$C$1517)=1,CROQUIS_DATOS!$C$1557,0)=0),MOD($A290-1,62)+1&gt;2*IF(CHOOSE(MIN(MAX(MIN(INT(($A290-1)/62)+1,5),1),5),CROQUIS_DATOS!$C$1501,CROQUIS_DATOS!$C$1505,CROQUIS_DATOS!$C$1509,CROQUIS_DATOS!$C$1513,CROQUIS_DATOS!$C$1517)=1,CROQUIS_DATOS!$C$1557,0)+1),CROQUIS_DATOS!$C$1476,MIN(INT((MOD($A290-1,62)+1-2)/2)+1,MAX(IF(CHOOSE(MIN(MAX(MIN(INT(($A290-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1">
      <c r="A291" t="n">
        <v>284</v>
      </c>
      <c r="N291">
        <f>IF(AND(CROQUIS_DATOS!$C$1472=1,1),(CROQUIS_DATOS!$C$1563+(IF(IF(IF(INT(($A291-1)/70)+1&gt;CROQUIS_DATOS!$C$1525,70,MOD($A291-1,70)+1)=1,0,IF(IF(INT(($A291-1)/70)+1&gt;CROQUIS_DATOS!$C$1525,70,MOD($A291-1,70)+1)&gt;2*CROQUIS_DATOS!$C$1541+1,IF(MOD(CROQUIS_DATOS!$C$1541,2)=1,1,0),IF(MOD(MIN(INT((IF(INT(($A291-1)/70)+1&gt;CROQUIS_DATOS!$C$1525,70,MOD($A291-1,70)+1)-2)/2)+1,CROQUIS_DATOS!$C$1541),2)=1,IF(MOD(IF(INT(($A291-1)/70)+1&gt;CROQUIS_DATOS!$C$1525,70,MOD($A291-1,70)+1)-2,2)=0,0,1),IF(MOD(IF(INT(($A291-1)/70)+1&gt;CROQUIS_DATOS!$C$1525,70,MOD($A291-1,70)+1)-2,2)=0,1,0))))=0,(INDEX($E$8:$E$23,MIN(INT(($A291-1)/70)+1,CROQUIS_DATOS!$C$1525))-INDEX($F$8:$F$23,MIN(INT(($A291-1)/70)+1,CROQUIS_DATOS!$C$1525))/2),(INDEX($E$8:$E$23,MIN(INT(($A291-1)/70)+1,CROQUIS_DATOS!$C$1525))+INDEX($F$8:$F$23,MIN(INT(($A291-1)/70)+1,CROQUIS_DATOS!$C$1525))/2)))*CROQUIS_DATOS!$C$1562),-1000)</f>
        <v>70.25</v>
      </c>
      <c r="O291">
        <f>IF(AND(CROQUIS_DATOS!$C$1472=1,1),(CROQUIS_DATOS!$C$1564+(IF(OR(IF(INT(($A291-1)/70)+1&gt;CROQUIS_DATOS!$C$1525,70,MOD($A291-1,70)+1)=1,IF(INT(($A291-1)/70)+1&gt;CROQUIS_DATOS!$C$1525,70,MOD($A291-1,70)+1)&gt;2*CROQUIS_DATOS!$C$1541+1),CROQUIS_DATOS!$C$1476,INDEX($H$8:$H$41,MIN(INT((IF(INT(($A291-1)/70)+1&gt;CROQUIS_DATOS!$C$1525,70,MOD($A291-1,70)+1)-2)/2)+1,CROQUIS_DATOS!$C$1541))))*CROQUIS_DATOS!$C$1561*CROQUIS_DATOS!$C$1562),-1000)</f>
        <v>7.38793103448276</v>
      </c>
      <c r="P291">
        <f>IF(AND(CROQUIS_DATOS!$C$1472=1,CROQUIS_DATOS!$C$1555=1),(CROQUIS_DATOS!$C$1563+(IF(IF(OR(MOD($A291-1,62)+1=1,IF(CHOOSE(MIN(MAX(MIN(INT(($A291-1)/62)+1,5),1),5),CROQUIS_DATOS!$C$1501,CROQUIS_DATOS!$C$1505,CROQUIS_DATOS!$C$1509,CROQUIS_DATOS!$C$1513,CROQUIS_DATOS!$C$1517)=1,CROQUIS_DATOS!$C$1557,0)=0),0,IF(MOD($A291-1,62)+1&gt;2*IF(CHOOSE(MIN(MAX(MIN(INT(($A291-1)/62)+1,5),1),5),CROQUIS_DATOS!$C$1501,CROQUIS_DATOS!$C$1505,CROQUIS_DATOS!$C$1509,CROQUIS_DATOS!$C$1513,CROQUIS_DATOS!$C$1517)=1,CROQUIS_DATOS!$C$1557,0)+1,IF(MOD(IF(CHOOSE(MIN(MAX(MIN(INT(($A291-1)/62)+1,5),1),5),CROQUIS_DATOS!$C$1501,CROQUIS_DATOS!$C$1505,CROQUIS_DATOS!$C$1509,CROQUIS_DATOS!$C$1513,CROQUIS_DATOS!$C$1517)=1,CROQUIS_DATOS!$C$1557,0),2)=1,1,0),IF(MOD(MIN(INT((MOD($A291-1,62)+1-2)/2)+1,MAX(IF(CHOOSE(MIN(MAX(MIN(INT(($A291-1)/62)+1,5),1),5),CROQUIS_DATOS!$C$1501,CROQUIS_DATOS!$C$1505,CROQUIS_DATOS!$C$1509,CROQUIS_DATOS!$C$1513,CROQUIS_DATOS!$C$1517)=1,CROQUIS_DATOS!$C$1557,0),1)),2)=1,IF(MOD(MOD($A291-1,62)+1-2,2)=0,0,1),IF(MOD(MOD($A291-1,62)+1-2,2)=0,1,0))))=0,(CHOOSE(MIN(MAX(MIN(INT(($A291-1)/62)+1,5),1),5),CROQUIS_DATOS!$C$1499,CROQUIS_DATOS!$C$1503,CROQUIS_DATOS!$C$1507,CROQUIS_DATOS!$C$1511,CROQUIS_DATOS!$C$1515)+IF(CHOOSE(MIN(MAX(MIN(INT(($A291-1)/62)+1,5),1),5),CROQUIS_DATOS!$C$1501,CROQUIS_DATOS!$C$1505,CROQUIS_DATOS!$C$1509,CROQUIS_DATOS!$C$1513,CROQUIS_DATOS!$C$1517)=1,CROQUIS_DATOS!$C$1526,0)),(CHOOSE(MIN(MAX(MIN(INT(($A291-1)/62)+1,5),1),5),CROQUIS_DATOS!$C$1499,CROQUIS_DATOS!$C$1503,CROQUIS_DATOS!$C$1507,CROQUIS_DATOS!$C$1511,CROQUIS_DATOS!$C$1515)+CHOOSE(MIN(MAX(MIN(INT(($A291-1)/62)+1,5),1),5),CROQUIS_DATOS!$C$1500,CROQUIS_DATOS!$C$1504,CROQUIS_DATOS!$C$1508,CROQUIS_DATOS!$C$1512,CROQUIS_DATOS!$C$1516)-IF(CHOOSE(MIN(MAX(MIN(INT(($A291-1)/62)+1,5),1),5),CROQUIS_DATOS!$C$1501,CROQUIS_DATOS!$C$1505,CROQUIS_DATOS!$C$1509,CROQUIS_DATOS!$C$1513,CROQUIS_DATOS!$C$1517)=1,CROQUIS_DATOS!$C$1526,0))))*CROQUIS_DATOS!$C$1562),-1000)</f>
        <v>-1000</v>
      </c>
      <c r="Q291">
        <f>IF(AND(CROQUIS_DATOS!$C$1472=1,CROQUIS_DATOS!$C$1555=1),(CROQUIS_DATOS!$C$1564+(IF(OR(OR(MOD($A291-1,62)+1=1,IF(CHOOSE(MIN(MAX(MIN(INT(($A291-1)/62)+1,5),1),5),CROQUIS_DATOS!$C$1501,CROQUIS_DATOS!$C$1505,CROQUIS_DATOS!$C$1509,CROQUIS_DATOS!$C$1513,CROQUIS_DATOS!$C$1517)=1,CROQUIS_DATOS!$C$1557,0)=0),MOD($A291-1,62)+1&gt;2*IF(CHOOSE(MIN(MAX(MIN(INT(($A291-1)/62)+1,5),1),5),CROQUIS_DATOS!$C$1501,CROQUIS_DATOS!$C$1505,CROQUIS_DATOS!$C$1509,CROQUIS_DATOS!$C$1513,CROQUIS_DATOS!$C$1517)=1,CROQUIS_DATOS!$C$1557,0)+1),CROQUIS_DATOS!$C$1476,MIN(INT((MOD($A291-1,62)+1-2)/2)+1,MAX(IF(CHOOSE(MIN(MAX(MIN(INT(($A291-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2">
      <c r="A292" t="n">
        <v>285</v>
      </c>
      <c r="N292">
        <f>IF(AND(CROQUIS_DATOS!$C$1472=1,1),(CROQUIS_DATOS!$C$1563+(IF(IF(IF(INT(($A292-1)/70)+1&gt;CROQUIS_DATOS!$C$1525,70,MOD($A292-1,70)+1)=1,0,IF(IF(INT(($A292-1)/70)+1&gt;CROQUIS_DATOS!$C$1525,70,MOD($A292-1,70)+1)&gt;2*CROQUIS_DATOS!$C$1541+1,IF(MOD(CROQUIS_DATOS!$C$1541,2)=1,1,0),IF(MOD(MIN(INT((IF(INT(($A292-1)/70)+1&gt;CROQUIS_DATOS!$C$1525,70,MOD($A292-1,70)+1)-2)/2)+1,CROQUIS_DATOS!$C$1541),2)=1,IF(MOD(IF(INT(($A292-1)/70)+1&gt;CROQUIS_DATOS!$C$1525,70,MOD($A292-1,70)+1)-2,2)=0,0,1),IF(MOD(IF(INT(($A292-1)/70)+1&gt;CROQUIS_DATOS!$C$1525,70,MOD($A292-1,70)+1)-2,2)=0,1,0))))=0,(INDEX($E$8:$E$23,MIN(INT(($A292-1)/70)+1,CROQUIS_DATOS!$C$1525))-INDEX($F$8:$F$23,MIN(INT(($A292-1)/70)+1,CROQUIS_DATOS!$C$1525))/2),(INDEX($E$8:$E$23,MIN(INT(($A292-1)/70)+1,CROQUIS_DATOS!$C$1525))+INDEX($F$8:$F$23,MIN(INT(($A292-1)/70)+1,CROQUIS_DATOS!$C$1525))/2)))*CROQUIS_DATOS!$C$1562),-1000)</f>
        <v>68.1551724137931</v>
      </c>
      <c r="O292">
        <f>IF(AND(CROQUIS_DATOS!$C$1472=1,1),(CROQUIS_DATOS!$C$1564+(IF(OR(IF(INT(($A292-1)/70)+1&gt;CROQUIS_DATOS!$C$1525,70,MOD($A292-1,70)+1)=1,IF(INT(($A292-1)/70)+1&gt;CROQUIS_DATOS!$C$1525,70,MOD($A292-1,70)+1)&gt;2*CROQUIS_DATOS!$C$1541+1),CROQUIS_DATOS!$C$1476,INDEX($H$8:$H$41,MIN(INT((IF(INT(($A292-1)/70)+1&gt;CROQUIS_DATOS!$C$1525,70,MOD($A292-1,70)+1)-2)/2)+1,CROQUIS_DATOS!$C$1541))))*CROQUIS_DATOS!$C$1561*CROQUIS_DATOS!$C$1562),-1000)</f>
        <v>7.38793103448276</v>
      </c>
      <c r="P292">
        <f>IF(AND(CROQUIS_DATOS!$C$1472=1,CROQUIS_DATOS!$C$1555=1),(CROQUIS_DATOS!$C$1563+(IF(IF(OR(MOD($A292-1,62)+1=1,IF(CHOOSE(MIN(MAX(MIN(INT(($A292-1)/62)+1,5),1),5),CROQUIS_DATOS!$C$1501,CROQUIS_DATOS!$C$1505,CROQUIS_DATOS!$C$1509,CROQUIS_DATOS!$C$1513,CROQUIS_DATOS!$C$1517)=1,CROQUIS_DATOS!$C$1557,0)=0),0,IF(MOD($A292-1,62)+1&gt;2*IF(CHOOSE(MIN(MAX(MIN(INT(($A292-1)/62)+1,5),1),5),CROQUIS_DATOS!$C$1501,CROQUIS_DATOS!$C$1505,CROQUIS_DATOS!$C$1509,CROQUIS_DATOS!$C$1513,CROQUIS_DATOS!$C$1517)=1,CROQUIS_DATOS!$C$1557,0)+1,IF(MOD(IF(CHOOSE(MIN(MAX(MIN(INT(($A292-1)/62)+1,5),1),5),CROQUIS_DATOS!$C$1501,CROQUIS_DATOS!$C$1505,CROQUIS_DATOS!$C$1509,CROQUIS_DATOS!$C$1513,CROQUIS_DATOS!$C$1517)=1,CROQUIS_DATOS!$C$1557,0),2)=1,1,0),IF(MOD(MIN(INT((MOD($A292-1,62)+1-2)/2)+1,MAX(IF(CHOOSE(MIN(MAX(MIN(INT(($A292-1)/62)+1,5),1),5),CROQUIS_DATOS!$C$1501,CROQUIS_DATOS!$C$1505,CROQUIS_DATOS!$C$1509,CROQUIS_DATOS!$C$1513,CROQUIS_DATOS!$C$1517)=1,CROQUIS_DATOS!$C$1557,0),1)),2)=1,IF(MOD(MOD($A292-1,62)+1-2,2)=0,0,1),IF(MOD(MOD($A292-1,62)+1-2,2)=0,1,0))))=0,(CHOOSE(MIN(MAX(MIN(INT(($A292-1)/62)+1,5),1),5),CROQUIS_DATOS!$C$1499,CROQUIS_DATOS!$C$1503,CROQUIS_DATOS!$C$1507,CROQUIS_DATOS!$C$1511,CROQUIS_DATOS!$C$1515)+IF(CHOOSE(MIN(MAX(MIN(INT(($A292-1)/62)+1,5),1),5),CROQUIS_DATOS!$C$1501,CROQUIS_DATOS!$C$1505,CROQUIS_DATOS!$C$1509,CROQUIS_DATOS!$C$1513,CROQUIS_DATOS!$C$1517)=1,CROQUIS_DATOS!$C$1526,0)),(CHOOSE(MIN(MAX(MIN(INT(($A292-1)/62)+1,5),1),5),CROQUIS_DATOS!$C$1499,CROQUIS_DATOS!$C$1503,CROQUIS_DATOS!$C$1507,CROQUIS_DATOS!$C$1511,CROQUIS_DATOS!$C$1515)+CHOOSE(MIN(MAX(MIN(INT(($A292-1)/62)+1,5),1),5),CROQUIS_DATOS!$C$1500,CROQUIS_DATOS!$C$1504,CROQUIS_DATOS!$C$1508,CROQUIS_DATOS!$C$1512,CROQUIS_DATOS!$C$1516)-IF(CHOOSE(MIN(MAX(MIN(INT(($A292-1)/62)+1,5),1),5),CROQUIS_DATOS!$C$1501,CROQUIS_DATOS!$C$1505,CROQUIS_DATOS!$C$1509,CROQUIS_DATOS!$C$1513,CROQUIS_DATOS!$C$1517)=1,CROQUIS_DATOS!$C$1526,0))))*CROQUIS_DATOS!$C$1562),-1000)</f>
        <v>-1000</v>
      </c>
      <c r="Q292">
        <f>IF(AND(CROQUIS_DATOS!$C$1472=1,CROQUIS_DATOS!$C$1555=1),(CROQUIS_DATOS!$C$1564+(IF(OR(OR(MOD($A292-1,62)+1=1,IF(CHOOSE(MIN(MAX(MIN(INT(($A292-1)/62)+1,5),1),5),CROQUIS_DATOS!$C$1501,CROQUIS_DATOS!$C$1505,CROQUIS_DATOS!$C$1509,CROQUIS_DATOS!$C$1513,CROQUIS_DATOS!$C$1517)=1,CROQUIS_DATOS!$C$1557,0)=0),MOD($A292-1,62)+1&gt;2*IF(CHOOSE(MIN(MAX(MIN(INT(($A292-1)/62)+1,5),1),5),CROQUIS_DATOS!$C$1501,CROQUIS_DATOS!$C$1505,CROQUIS_DATOS!$C$1509,CROQUIS_DATOS!$C$1513,CROQUIS_DATOS!$C$1517)=1,CROQUIS_DATOS!$C$1557,0)+1),CROQUIS_DATOS!$C$1476,MIN(INT((MOD($A292-1,62)+1-2)/2)+1,MAX(IF(CHOOSE(MIN(MAX(MIN(INT(($A292-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3">
      <c r="A293" t="n">
        <v>286</v>
      </c>
      <c r="N293">
        <f>IF(AND(CROQUIS_DATOS!$C$1472=1,1),(CROQUIS_DATOS!$C$1563+(IF(IF(IF(INT(($A293-1)/70)+1&gt;CROQUIS_DATOS!$C$1525,70,MOD($A293-1,70)+1)=1,0,IF(IF(INT(($A293-1)/70)+1&gt;CROQUIS_DATOS!$C$1525,70,MOD($A293-1,70)+1)&gt;2*CROQUIS_DATOS!$C$1541+1,IF(MOD(CROQUIS_DATOS!$C$1541,2)=1,1,0),IF(MOD(MIN(INT((IF(INT(($A293-1)/70)+1&gt;CROQUIS_DATOS!$C$1525,70,MOD($A293-1,70)+1)-2)/2)+1,CROQUIS_DATOS!$C$1541),2)=1,IF(MOD(IF(INT(($A293-1)/70)+1&gt;CROQUIS_DATOS!$C$1525,70,MOD($A293-1,70)+1)-2,2)=0,0,1),IF(MOD(IF(INT(($A293-1)/70)+1&gt;CROQUIS_DATOS!$C$1525,70,MOD($A293-1,70)+1)-2,2)=0,1,0))))=0,(INDEX($E$8:$E$23,MIN(INT(($A293-1)/70)+1,CROQUIS_DATOS!$C$1525))-INDEX($F$8:$F$23,MIN(INT(($A293-1)/70)+1,CROQUIS_DATOS!$C$1525))/2),(INDEX($E$8:$E$23,MIN(INT(($A293-1)/70)+1,CROQUIS_DATOS!$C$1525))+INDEX($F$8:$F$23,MIN(INT(($A293-1)/70)+1,CROQUIS_DATOS!$C$1525))/2)))*CROQUIS_DATOS!$C$1562),-1000)</f>
        <v>68.1551724137931</v>
      </c>
      <c r="O293">
        <f>IF(AND(CROQUIS_DATOS!$C$1472=1,1),(CROQUIS_DATOS!$C$1564+(IF(OR(IF(INT(($A293-1)/70)+1&gt;CROQUIS_DATOS!$C$1525,70,MOD($A293-1,70)+1)=1,IF(INT(($A293-1)/70)+1&gt;CROQUIS_DATOS!$C$1525,70,MOD($A293-1,70)+1)&gt;2*CROQUIS_DATOS!$C$1541+1),CROQUIS_DATOS!$C$1476,INDEX($H$8:$H$41,MIN(INT((IF(INT(($A293-1)/70)+1&gt;CROQUIS_DATOS!$C$1525,70,MOD($A293-1,70)+1)-2)/2)+1,CROQUIS_DATOS!$C$1541))))*CROQUIS_DATOS!$C$1561*CROQUIS_DATOS!$C$1562),-1000)</f>
        <v>8.43534482758621</v>
      </c>
      <c r="P293">
        <f>IF(AND(CROQUIS_DATOS!$C$1472=1,CROQUIS_DATOS!$C$1555=1),(CROQUIS_DATOS!$C$1563+(IF(IF(OR(MOD($A293-1,62)+1=1,IF(CHOOSE(MIN(MAX(MIN(INT(($A293-1)/62)+1,5),1),5),CROQUIS_DATOS!$C$1501,CROQUIS_DATOS!$C$1505,CROQUIS_DATOS!$C$1509,CROQUIS_DATOS!$C$1513,CROQUIS_DATOS!$C$1517)=1,CROQUIS_DATOS!$C$1557,0)=0),0,IF(MOD($A293-1,62)+1&gt;2*IF(CHOOSE(MIN(MAX(MIN(INT(($A293-1)/62)+1,5),1),5),CROQUIS_DATOS!$C$1501,CROQUIS_DATOS!$C$1505,CROQUIS_DATOS!$C$1509,CROQUIS_DATOS!$C$1513,CROQUIS_DATOS!$C$1517)=1,CROQUIS_DATOS!$C$1557,0)+1,IF(MOD(IF(CHOOSE(MIN(MAX(MIN(INT(($A293-1)/62)+1,5),1),5),CROQUIS_DATOS!$C$1501,CROQUIS_DATOS!$C$1505,CROQUIS_DATOS!$C$1509,CROQUIS_DATOS!$C$1513,CROQUIS_DATOS!$C$1517)=1,CROQUIS_DATOS!$C$1557,0),2)=1,1,0),IF(MOD(MIN(INT((MOD($A293-1,62)+1-2)/2)+1,MAX(IF(CHOOSE(MIN(MAX(MIN(INT(($A293-1)/62)+1,5),1),5),CROQUIS_DATOS!$C$1501,CROQUIS_DATOS!$C$1505,CROQUIS_DATOS!$C$1509,CROQUIS_DATOS!$C$1513,CROQUIS_DATOS!$C$1517)=1,CROQUIS_DATOS!$C$1557,0),1)),2)=1,IF(MOD(MOD($A293-1,62)+1-2,2)=0,0,1),IF(MOD(MOD($A293-1,62)+1-2,2)=0,1,0))))=0,(CHOOSE(MIN(MAX(MIN(INT(($A293-1)/62)+1,5),1),5),CROQUIS_DATOS!$C$1499,CROQUIS_DATOS!$C$1503,CROQUIS_DATOS!$C$1507,CROQUIS_DATOS!$C$1511,CROQUIS_DATOS!$C$1515)+IF(CHOOSE(MIN(MAX(MIN(INT(($A293-1)/62)+1,5),1),5),CROQUIS_DATOS!$C$1501,CROQUIS_DATOS!$C$1505,CROQUIS_DATOS!$C$1509,CROQUIS_DATOS!$C$1513,CROQUIS_DATOS!$C$1517)=1,CROQUIS_DATOS!$C$1526,0)),(CHOOSE(MIN(MAX(MIN(INT(($A293-1)/62)+1,5),1),5),CROQUIS_DATOS!$C$1499,CROQUIS_DATOS!$C$1503,CROQUIS_DATOS!$C$1507,CROQUIS_DATOS!$C$1511,CROQUIS_DATOS!$C$1515)+CHOOSE(MIN(MAX(MIN(INT(($A293-1)/62)+1,5),1),5),CROQUIS_DATOS!$C$1500,CROQUIS_DATOS!$C$1504,CROQUIS_DATOS!$C$1508,CROQUIS_DATOS!$C$1512,CROQUIS_DATOS!$C$1516)-IF(CHOOSE(MIN(MAX(MIN(INT(($A293-1)/62)+1,5),1),5),CROQUIS_DATOS!$C$1501,CROQUIS_DATOS!$C$1505,CROQUIS_DATOS!$C$1509,CROQUIS_DATOS!$C$1513,CROQUIS_DATOS!$C$1517)=1,CROQUIS_DATOS!$C$1526,0))))*CROQUIS_DATOS!$C$1562),-1000)</f>
        <v>-1000</v>
      </c>
      <c r="Q293">
        <f>IF(AND(CROQUIS_DATOS!$C$1472=1,CROQUIS_DATOS!$C$1555=1),(CROQUIS_DATOS!$C$1564+(IF(OR(OR(MOD($A293-1,62)+1=1,IF(CHOOSE(MIN(MAX(MIN(INT(($A293-1)/62)+1,5),1),5),CROQUIS_DATOS!$C$1501,CROQUIS_DATOS!$C$1505,CROQUIS_DATOS!$C$1509,CROQUIS_DATOS!$C$1513,CROQUIS_DATOS!$C$1517)=1,CROQUIS_DATOS!$C$1557,0)=0),MOD($A293-1,62)+1&gt;2*IF(CHOOSE(MIN(MAX(MIN(INT(($A293-1)/62)+1,5),1),5),CROQUIS_DATOS!$C$1501,CROQUIS_DATOS!$C$1505,CROQUIS_DATOS!$C$1509,CROQUIS_DATOS!$C$1513,CROQUIS_DATOS!$C$1517)=1,CROQUIS_DATOS!$C$1557,0)+1),CROQUIS_DATOS!$C$1476,MIN(INT((MOD($A293-1,62)+1-2)/2)+1,MAX(IF(CHOOSE(MIN(MAX(MIN(INT(($A293-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4">
      <c r="A294" t="n">
        <v>287</v>
      </c>
      <c r="N294">
        <f>IF(AND(CROQUIS_DATOS!$C$1472=1,1),(CROQUIS_DATOS!$C$1563+(IF(IF(IF(INT(($A294-1)/70)+1&gt;CROQUIS_DATOS!$C$1525,70,MOD($A294-1,70)+1)=1,0,IF(IF(INT(($A294-1)/70)+1&gt;CROQUIS_DATOS!$C$1525,70,MOD($A294-1,70)+1)&gt;2*CROQUIS_DATOS!$C$1541+1,IF(MOD(CROQUIS_DATOS!$C$1541,2)=1,1,0),IF(MOD(MIN(INT((IF(INT(($A294-1)/70)+1&gt;CROQUIS_DATOS!$C$1525,70,MOD($A294-1,70)+1)-2)/2)+1,CROQUIS_DATOS!$C$1541),2)=1,IF(MOD(IF(INT(($A294-1)/70)+1&gt;CROQUIS_DATOS!$C$1525,70,MOD($A294-1,70)+1)-2,2)=0,0,1),IF(MOD(IF(INT(($A294-1)/70)+1&gt;CROQUIS_DATOS!$C$1525,70,MOD($A294-1,70)+1)-2,2)=0,1,0))))=0,(INDEX($E$8:$E$23,MIN(INT(($A294-1)/70)+1,CROQUIS_DATOS!$C$1525))-INDEX($F$8:$F$23,MIN(INT(($A294-1)/70)+1,CROQUIS_DATOS!$C$1525))/2),(INDEX($E$8:$E$23,MIN(INT(($A294-1)/70)+1,CROQUIS_DATOS!$C$1525))+INDEX($F$8:$F$23,MIN(INT(($A294-1)/70)+1,CROQUIS_DATOS!$C$1525))/2)))*CROQUIS_DATOS!$C$1562),-1000)</f>
        <v>70.25</v>
      </c>
      <c r="O294">
        <f>IF(AND(CROQUIS_DATOS!$C$1472=1,1),(CROQUIS_DATOS!$C$1564+(IF(OR(IF(INT(($A294-1)/70)+1&gt;CROQUIS_DATOS!$C$1525,70,MOD($A294-1,70)+1)=1,IF(INT(($A294-1)/70)+1&gt;CROQUIS_DATOS!$C$1525,70,MOD($A294-1,70)+1)&gt;2*CROQUIS_DATOS!$C$1541+1),CROQUIS_DATOS!$C$1476,INDEX($H$8:$H$41,MIN(INT((IF(INT(($A294-1)/70)+1&gt;CROQUIS_DATOS!$C$1525,70,MOD($A294-1,70)+1)-2)/2)+1,CROQUIS_DATOS!$C$1541))))*CROQUIS_DATOS!$C$1561*CROQUIS_DATOS!$C$1562),-1000)</f>
        <v>8.43534482758621</v>
      </c>
      <c r="P294">
        <f>IF(AND(CROQUIS_DATOS!$C$1472=1,CROQUIS_DATOS!$C$1555=1),(CROQUIS_DATOS!$C$1563+(IF(IF(OR(MOD($A294-1,62)+1=1,IF(CHOOSE(MIN(MAX(MIN(INT(($A294-1)/62)+1,5),1),5),CROQUIS_DATOS!$C$1501,CROQUIS_DATOS!$C$1505,CROQUIS_DATOS!$C$1509,CROQUIS_DATOS!$C$1513,CROQUIS_DATOS!$C$1517)=1,CROQUIS_DATOS!$C$1557,0)=0),0,IF(MOD($A294-1,62)+1&gt;2*IF(CHOOSE(MIN(MAX(MIN(INT(($A294-1)/62)+1,5),1),5),CROQUIS_DATOS!$C$1501,CROQUIS_DATOS!$C$1505,CROQUIS_DATOS!$C$1509,CROQUIS_DATOS!$C$1513,CROQUIS_DATOS!$C$1517)=1,CROQUIS_DATOS!$C$1557,0)+1,IF(MOD(IF(CHOOSE(MIN(MAX(MIN(INT(($A294-1)/62)+1,5),1),5),CROQUIS_DATOS!$C$1501,CROQUIS_DATOS!$C$1505,CROQUIS_DATOS!$C$1509,CROQUIS_DATOS!$C$1513,CROQUIS_DATOS!$C$1517)=1,CROQUIS_DATOS!$C$1557,0),2)=1,1,0),IF(MOD(MIN(INT((MOD($A294-1,62)+1-2)/2)+1,MAX(IF(CHOOSE(MIN(MAX(MIN(INT(($A294-1)/62)+1,5),1),5),CROQUIS_DATOS!$C$1501,CROQUIS_DATOS!$C$1505,CROQUIS_DATOS!$C$1509,CROQUIS_DATOS!$C$1513,CROQUIS_DATOS!$C$1517)=1,CROQUIS_DATOS!$C$1557,0),1)),2)=1,IF(MOD(MOD($A294-1,62)+1-2,2)=0,0,1),IF(MOD(MOD($A294-1,62)+1-2,2)=0,1,0))))=0,(CHOOSE(MIN(MAX(MIN(INT(($A294-1)/62)+1,5),1),5),CROQUIS_DATOS!$C$1499,CROQUIS_DATOS!$C$1503,CROQUIS_DATOS!$C$1507,CROQUIS_DATOS!$C$1511,CROQUIS_DATOS!$C$1515)+IF(CHOOSE(MIN(MAX(MIN(INT(($A294-1)/62)+1,5),1),5),CROQUIS_DATOS!$C$1501,CROQUIS_DATOS!$C$1505,CROQUIS_DATOS!$C$1509,CROQUIS_DATOS!$C$1513,CROQUIS_DATOS!$C$1517)=1,CROQUIS_DATOS!$C$1526,0)),(CHOOSE(MIN(MAX(MIN(INT(($A294-1)/62)+1,5),1),5),CROQUIS_DATOS!$C$1499,CROQUIS_DATOS!$C$1503,CROQUIS_DATOS!$C$1507,CROQUIS_DATOS!$C$1511,CROQUIS_DATOS!$C$1515)+CHOOSE(MIN(MAX(MIN(INT(($A294-1)/62)+1,5),1),5),CROQUIS_DATOS!$C$1500,CROQUIS_DATOS!$C$1504,CROQUIS_DATOS!$C$1508,CROQUIS_DATOS!$C$1512,CROQUIS_DATOS!$C$1516)-IF(CHOOSE(MIN(MAX(MIN(INT(($A294-1)/62)+1,5),1),5),CROQUIS_DATOS!$C$1501,CROQUIS_DATOS!$C$1505,CROQUIS_DATOS!$C$1509,CROQUIS_DATOS!$C$1513,CROQUIS_DATOS!$C$1517)=1,CROQUIS_DATOS!$C$1526,0))))*CROQUIS_DATOS!$C$1562),-1000)</f>
        <v>-1000</v>
      </c>
      <c r="Q294">
        <f>IF(AND(CROQUIS_DATOS!$C$1472=1,CROQUIS_DATOS!$C$1555=1),(CROQUIS_DATOS!$C$1564+(IF(OR(OR(MOD($A294-1,62)+1=1,IF(CHOOSE(MIN(MAX(MIN(INT(($A294-1)/62)+1,5),1),5),CROQUIS_DATOS!$C$1501,CROQUIS_DATOS!$C$1505,CROQUIS_DATOS!$C$1509,CROQUIS_DATOS!$C$1513,CROQUIS_DATOS!$C$1517)=1,CROQUIS_DATOS!$C$1557,0)=0),MOD($A294-1,62)+1&gt;2*IF(CHOOSE(MIN(MAX(MIN(INT(($A294-1)/62)+1,5),1),5),CROQUIS_DATOS!$C$1501,CROQUIS_DATOS!$C$1505,CROQUIS_DATOS!$C$1509,CROQUIS_DATOS!$C$1513,CROQUIS_DATOS!$C$1517)=1,CROQUIS_DATOS!$C$1557,0)+1),CROQUIS_DATOS!$C$1476,MIN(INT((MOD($A294-1,62)+1-2)/2)+1,MAX(IF(CHOOSE(MIN(MAX(MIN(INT(($A294-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5">
      <c r="A295" t="n">
        <v>288</v>
      </c>
      <c r="N295">
        <f>IF(AND(CROQUIS_DATOS!$C$1472=1,1),(CROQUIS_DATOS!$C$1563+(IF(IF(IF(INT(($A295-1)/70)+1&gt;CROQUIS_DATOS!$C$1525,70,MOD($A295-1,70)+1)=1,0,IF(IF(INT(($A295-1)/70)+1&gt;CROQUIS_DATOS!$C$1525,70,MOD($A295-1,70)+1)&gt;2*CROQUIS_DATOS!$C$1541+1,IF(MOD(CROQUIS_DATOS!$C$1541,2)=1,1,0),IF(MOD(MIN(INT((IF(INT(($A295-1)/70)+1&gt;CROQUIS_DATOS!$C$1525,70,MOD($A295-1,70)+1)-2)/2)+1,CROQUIS_DATOS!$C$1541),2)=1,IF(MOD(IF(INT(($A295-1)/70)+1&gt;CROQUIS_DATOS!$C$1525,70,MOD($A295-1,70)+1)-2,2)=0,0,1),IF(MOD(IF(INT(($A295-1)/70)+1&gt;CROQUIS_DATOS!$C$1525,70,MOD($A295-1,70)+1)-2,2)=0,1,0))))=0,(INDEX($E$8:$E$23,MIN(INT(($A295-1)/70)+1,CROQUIS_DATOS!$C$1525))-INDEX($F$8:$F$23,MIN(INT(($A295-1)/70)+1,CROQUIS_DATOS!$C$1525))/2),(INDEX($E$8:$E$23,MIN(INT(($A295-1)/70)+1,CROQUIS_DATOS!$C$1525))+INDEX($F$8:$F$23,MIN(INT(($A295-1)/70)+1,CROQUIS_DATOS!$C$1525))/2)))*CROQUIS_DATOS!$C$1562),-1000)</f>
        <v>70.25</v>
      </c>
      <c r="O295">
        <f>IF(AND(CROQUIS_DATOS!$C$1472=1,1),(CROQUIS_DATOS!$C$1564+(IF(OR(IF(INT(($A295-1)/70)+1&gt;CROQUIS_DATOS!$C$1525,70,MOD($A295-1,70)+1)=1,IF(INT(($A295-1)/70)+1&gt;CROQUIS_DATOS!$C$1525,70,MOD($A295-1,70)+1)&gt;2*CROQUIS_DATOS!$C$1541+1),CROQUIS_DATOS!$C$1476,INDEX($H$8:$H$41,MIN(INT((IF(INT(($A295-1)/70)+1&gt;CROQUIS_DATOS!$C$1525,70,MOD($A295-1,70)+1)-2)/2)+1,CROQUIS_DATOS!$C$1541))))*CROQUIS_DATOS!$C$1561*CROQUIS_DATOS!$C$1562),-1000)</f>
        <v>9.48275862068966</v>
      </c>
      <c r="P295">
        <f>IF(AND(CROQUIS_DATOS!$C$1472=1,CROQUIS_DATOS!$C$1555=1),(CROQUIS_DATOS!$C$1563+(IF(IF(OR(MOD($A295-1,62)+1=1,IF(CHOOSE(MIN(MAX(MIN(INT(($A295-1)/62)+1,5),1),5),CROQUIS_DATOS!$C$1501,CROQUIS_DATOS!$C$1505,CROQUIS_DATOS!$C$1509,CROQUIS_DATOS!$C$1513,CROQUIS_DATOS!$C$1517)=1,CROQUIS_DATOS!$C$1557,0)=0),0,IF(MOD($A295-1,62)+1&gt;2*IF(CHOOSE(MIN(MAX(MIN(INT(($A295-1)/62)+1,5),1),5),CROQUIS_DATOS!$C$1501,CROQUIS_DATOS!$C$1505,CROQUIS_DATOS!$C$1509,CROQUIS_DATOS!$C$1513,CROQUIS_DATOS!$C$1517)=1,CROQUIS_DATOS!$C$1557,0)+1,IF(MOD(IF(CHOOSE(MIN(MAX(MIN(INT(($A295-1)/62)+1,5),1),5),CROQUIS_DATOS!$C$1501,CROQUIS_DATOS!$C$1505,CROQUIS_DATOS!$C$1509,CROQUIS_DATOS!$C$1513,CROQUIS_DATOS!$C$1517)=1,CROQUIS_DATOS!$C$1557,0),2)=1,1,0),IF(MOD(MIN(INT((MOD($A295-1,62)+1-2)/2)+1,MAX(IF(CHOOSE(MIN(MAX(MIN(INT(($A295-1)/62)+1,5),1),5),CROQUIS_DATOS!$C$1501,CROQUIS_DATOS!$C$1505,CROQUIS_DATOS!$C$1509,CROQUIS_DATOS!$C$1513,CROQUIS_DATOS!$C$1517)=1,CROQUIS_DATOS!$C$1557,0),1)),2)=1,IF(MOD(MOD($A295-1,62)+1-2,2)=0,0,1),IF(MOD(MOD($A295-1,62)+1-2,2)=0,1,0))))=0,(CHOOSE(MIN(MAX(MIN(INT(($A295-1)/62)+1,5),1),5),CROQUIS_DATOS!$C$1499,CROQUIS_DATOS!$C$1503,CROQUIS_DATOS!$C$1507,CROQUIS_DATOS!$C$1511,CROQUIS_DATOS!$C$1515)+IF(CHOOSE(MIN(MAX(MIN(INT(($A295-1)/62)+1,5),1),5),CROQUIS_DATOS!$C$1501,CROQUIS_DATOS!$C$1505,CROQUIS_DATOS!$C$1509,CROQUIS_DATOS!$C$1513,CROQUIS_DATOS!$C$1517)=1,CROQUIS_DATOS!$C$1526,0)),(CHOOSE(MIN(MAX(MIN(INT(($A295-1)/62)+1,5),1),5),CROQUIS_DATOS!$C$1499,CROQUIS_DATOS!$C$1503,CROQUIS_DATOS!$C$1507,CROQUIS_DATOS!$C$1511,CROQUIS_DATOS!$C$1515)+CHOOSE(MIN(MAX(MIN(INT(($A295-1)/62)+1,5),1),5),CROQUIS_DATOS!$C$1500,CROQUIS_DATOS!$C$1504,CROQUIS_DATOS!$C$1508,CROQUIS_DATOS!$C$1512,CROQUIS_DATOS!$C$1516)-IF(CHOOSE(MIN(MAX(MIN(INT(($A295-1)/62)+1,5),1),5),CROQUIS_DATOS!$C$1501,CROQUIS_DATOS!$C$1505,CROQUIS_DATOS!$C$1509,CROQUIS_DATOS!$C$1513,CROQUIS_DATOS!$C$1517)=1,CROQUIS_DATOS!$C$1526,0))))*CROQUIS_DATOS!$C$1562),-1000)</f>
        <v>-1000</v>
      </c>
      <c r="Q295">
        <f>IF(AND(CROQUIS_DATOS!$C$1472=1,CROQUIS_DATOS!$C$1555=1),(CROQUIS_DATOS!$C$1564+(IF(OR(OR(MOD($A295-1,62)+1=1,IF(CHOOSE(MIN(MAX(MIN(INT(($A295-1)/62)+1,5),1),5),CROQUIS_DATOS!$C$1501,CROQUIS_DATOS!$C$1505,CROQUIS_DATOS!$C$1509,CROQUIS_DATOS!$C$1513,CROQUIS_DATOS!$C$1517)=1,CROQUIS_DATOS!$C$1557,0)=0),MOD($A295-1,62)+1&gt;2*IF(CHOOSE(MIN(MAX(MIN(INT(($A295-1)/62)+1,5),1),5),CROQUIS_DATOS!$C$1501,CROQUIS_DATOS!$C$1505,CROQUIS_DATOS!$C$1509,CROQUIS_DATOS!$C$1513,CROQUIS_DATOS!$C$1517)=1,CROQUIS_DATOS!$C$1557,0)+1),CROQUIS_DATOS!$C$1476,MIN(INT((MOD($A295-1,62)+1-2)/2)+1,MAX(IF(CHOOSE(MIN(MAX(MIN(INT(($A295-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6">
      <c r="A296" t="n">
        <v>289</v>
      </c>
      <c r="N296">
        <f>IF(AND(CROQUIS_DATOS!$C$1472=1,1),(CROQUIS_DATOS!$C$1563+(IF(IF(IF(INT(($A296-1)/70)+1&gt;CROQUIS_DATOS!$C$1525,70,MOD($A296-1,70)+1)=1,0,IF(IF(INT(($A296-1)/70)+1&gt;CROQUIS_DATOS!$C$1525,70,MOD($A296-1,70)+1)&gt;2*CROQUIS_DATOS!$C$1541+1,IF(MOD(CROQUIS_DATOS!$C$1541,2)=1,1,0),IF(MOD(MIN(INT((IF(INT(($A296-1)/70)+1&gt;CROQUIS_DATOS!$C$1525,70,MOD($A296-1,70)+1)-2)/2)+1,CROQUIS_DATOS!$C$1541),2)=1,IF(MOD(IF(INT(($A296-1)/70)+1&gt;CROQUIS_DATOS!$C$1525,70,MOD($A296-1,70)+1)-2,2)=0,0,1),IF(MOD(IF(INT(($A296-1)/70)+1&gt;CROQUIS_DATOS!$C$1525,70,MOD($A296-1,70)+1)-2,2)=0,1,0))))=0,(INDEX($E$8:$E$23,MIN(INT(($A296-1)/70)+1,CROQUIS_DATOS!$C$1525))-INDEX($F$8:$F$23,MIN(INT(($A296-1)/70)+1,CROQUIS_DATOS!$C$1525))/2),(INDEX($E$8:$E$23,MIN(INT(($A296-1)/70)+1,CROQUIS_DATOS!$C$1525))+INDEX($F$8:$F$23,MIN(INT(($A296-1)/70)+1,CROQUIS_DATOS!$C$1525))/2)))*CROQUIS_DATOS!$C$1562),-1000)</f>
        <v>68.1551724137931</v>
      </c>
      <c r="O296">
        <f>IF(AND(CROQUIS_DATOS!$C$1472=1,1),(CROQUIS_DATOS!$C$1564+(IF(OR(IF(INT(($A296-1)/70)+1&gt;CROQUIS_DATOS!$C$1525,70,MOD($A296-1,70)+1)=1,IF(INT(($A296-1)/70)+1&gt;CROQUIS_DATOS!$C$1525,70,MOD($A296-1,70)+1)&gt;2*CROQUIS_DATOS!$C$1541+1),CROQUIS_DATOS!$C$1476,INDEX($H$8:$H$41,MIN(INT((IF(INT(($A296-1)/70)+1&gt;CROQUIS_DATOS!$C$1525,70,MOD($A296-1,70)+1)-2)/2)+1,CROQUIS_DATOS!$C$1541))))*CROQUIS_DATOS!$C$1561*CROQUIS_DATOS!$C$1562),-1000)</f>
        <v>9.48275862068966</v>
      </c>
      <c r="P296">
        <f>IF(AND(CROQUIS_DATOS!$C$1472=1,CROQUIS_DATOS!$C$1555=1),(CROQUIS_DATOS!$C$1563+(IF(IF(OR(MOD($A296-1,62)+1=1,IF(CHOOSE(MIN(MAX(MIN(INT(($A296-1)/62)+1,5),1),5),CROQUIS_DATOS!$C$1501,CROQUIS_DATOS!$C$1505,CROQUIS_DATOS!$C$1509,CROQUIS_DATOS!$C$1513,CROQUIS_DATOS!$C$1517)=1,CROQUIS_DATOS!$C$1557,0)=0),0,IF(MOD($A296-1,62)+1&gt;2*IF(CHOOSE(MIN(MAX(MIN(INT(($A296-1)/62)+1,5),1),5),CROQUIS_DATOS!$C$1501,CROQUIS_DATOS!$C$1505,CROQUIS_DATOS!$C$1509,CROQUIS_DATOS!$C$1513,CROQUIS_DATOS!$C$1517)=1,CROQUIS_DATOS!$C$1557,0)+1,IF(MOD(IF(CHOOSE(MIN(MAX(MIN(INT(($A296-1)/62)+1,5),1),5),CROQUIS_DATOS!$C$1501,CROQUIS_DATOS!$C$1505,CROQUIS_DATOS!$C$1509,CROQUIS_DATOS!$C$1513,CROQUIS_DATOS!$C$1517)=1,CROQUIS_DATOS!$C$1557,0),2)=1,1,0),IF(MOD(MIN(INT((MOD($A296-1,62)+1-2)/2)+1,MAX(IF(CHOOSE(MIN(MAX(MIN(INT(($A296-1)/62)+1,5),1),5),CROQUIS_DATOS!$C$1501,CROQUIS_DATOS!$C$1505,CROQUIS_DATOS!$C$1509,CROQUIS_DATOS!$C$1513,CROQUIS_DATOS!$C$1517)=1,CROQUIS_DATOS!$C$1557,0),1)),2)=1,IF(MOD(MOD($A296-1,62)+1-2,2)=0,0,1),IF(MOD(MOD($A296-1,62)+1-2,2)=0,1,0))))=0,(CHOOSE(MIN(MAX(MIN(INT(($A296-1)/62)+1,5),1),5),CROQUIS_DATOS!$C$1499,CROQUIS_DATOS!$C$1503,CROQUIS_DATOS!$C$1507,CROQUIS_DATOS!$C$1511,CROQUIS_DATOS!$C$1515)+IF(CHOOSE(MIN(MAX(MIN(INT(($A296-1)/62)+1,5),1),5),CROQUIS_DATOS!$C$1501,CROQUIS_DATOS!$C$1505,CROQUIS_DATOS!$C$1509,CROQUIS_DATOS!$C$1513,CROQUIS_DATOS!$C$1517)=1,CROQUIS_DATOS!$C$1526,0)),(CHOOSE(MIN(MAX(MIN(INT(($A296-1)/62)+1,5),1),5),CROQUIS_DATOS!$C$1499,CROQUIS_DATOS!$C$1503,CROQUIS_DATOS!$C$1507,CROQUIS_DATOS!$C$1511,CROQUIS_DATOS!$C$1515)+CHOOSE(MIN(MAX(MIN(INT(($A296-1)/62)+1,5),1),5),CROQUIS_DATOS!$C$1500,CROQUIS_DATOS!$C$1504,CROQUIS_DATOS!$C$1508,CROQUIS_DATOS!$C$1512,CROQUIS_DATOS!$C$1516)-IF(CHOOSE(MIN(MAX(MIN(INT(($A296-1)/62)+1,5),1),5),CROQUIS_DATOS!$C$1501,CROQUIS_DATOS!$C$1505,CROQUIS_DATOS!$C$1509,CROQUIS_DATOS!$C$1513,CROQUIS_DATOS!$C$1517)=1,CROQUIS_DATOS!$C$1526,0))))*CROQUIS_DATOS!$C$1562),-1000)</f>
        <v>-1000</v>
      </c>
      <c r="Q296">
        <f>IF(AND(CROQUIS_DATOS!$C$1472=1,CROQUIS_DATOS!$C$1555=1),(CROQUIS_DATOS!$C$1564+(IF(OR(OR(MOD($A296-1,62)+1=1,IF(CHOOSE(MIN(MAX(MIN(INT(($A296-1)/62)+1,5),1),5),CROQUIS_DATOS!$C$1501,CROQUIS_DATOS!$C$1505,CROQUIS_DATOS!$C$1509,CROQUIS_DATOS!$C$1513,CROQUIS_DATOS!$C$1517)=1,CROQUIS_DATOS!$C$1557,0)=0),MOD($A296-1,62)+1&gt;2*IF(CHOOSE(MIN(MAX(MIN(INT(($A296-1)/62)+1,5),1),5),CROQUIS_DATOS!$C$1501,CROQUIS_DATOS!$C$1505,CROQUIS_DATOS!$C$1509,CROQUIS_DATOS!$C$1513,CROQUIS_DATOS!$C$1517)=1,CROQUIS_DATOS!$C$1557,0)+1),CROQUIS_DATOS!$C$1476,MIN(INT((MOD($A296-1,62)+1-2)/2)+1,MAX(IF(CHOOSE(MIN(MAX(MIN(INT(($A296-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7">
      <c r="A297" t="n">
        <v>290</v>
      </c>
      <c r="N297">
        <f>IF(AND(CROQUIS_DATOS!$C$1472=1,1),(CROQUIS_DATOS!$C$1563+(IF(IF(IF(INT(($A297-1)/70)+1&gt;CROQUIS_DATOS!$C$1525,70,MOD($A297-1,70)+1)=1,0,IF(IF(INT(($A297-1)/70)+1&gt;CROQUIS_DATOS!$C$1525,70,MOD($A297-1,70)+1)&gt;2*CROQUIS_DATOS!$C$1541+1,IF(MOD(CROQUIS_DATOS!$C$1541,2)=1,1,0),IF(MOD(MIN(INT((IF(INT(($A297-1)/70)+1&gt;CROQUIS_DATOS!$C$1525,70,MOD($A297-1,70)+1)-2)/2)+1,CROQUIS_DATOS!$C$1541),2)=1,IF(MOD(IF(INT(($A297-1)/70)+1&gt;CROQUIS_DATOS!$C$1525,70,MOD($A297-1,70)+1)-2,2)=0,0,1),IF(MOD(IF(INT(($A297-1)/70)+1&gt;CROQUIS_DATOS!$C$1525,70,MOD($A297-1,70)+1)-2,2)=0,1,0))))=0,(INDEX($E$8:$E$23,MIN(INT(($A297-1)/70)+1,CROQUIS_DATOS!$C$1525))-INDEX($F$8:$F$23,MIN(INT(($A297-1)/70)+1,CROQUIS_DATOS!$C$1525))/2),(INDEX($E$8:$E$23,MIN(INT(($A297-1)/70)+1,CROQUIS_DATOS!$C$1525))+INDEX($F$8:$F$23,MIN(INT(($A297-1)/70)+1,CROQUIS_DATOS!$C$1525))/2)))*CROQUIS_DATOS!$C$1562),-1000)</f>
        <v>68.1551724137931</v>
      </c>
      <c r="O297">
        <f>IF(AND(CROQUIS_DATOS!$C$1472=1,1),(CROQUIS_DATOS!$C$1564+(IF(OR(IF(INT(($A297-1)/70)+1&gt;CROQUIS_DATOS!$C$1525,70,MOD($A297-1,70)+1)=1,IF(INT(($A297-1)/70)+1&gt;CROQUIS_DATOS!$C$1525,70,MOD($A297-1,70)+1)&gt;2*CROQUIS_DATOS!$C$1541+1),CROQUIS_DATOS!$C$1476,INDEX($H$8:$H$41,MIN(INT((IF(INT(($A297-1)/70)+1&gt;CROQUIS_DATOS!$C$1525,70,MOD($A297-1,70)+1)-2)/2)+1,CROQUIS_DATOS!$C$1541))))*CROQUIS_DATOS!$C$1561*CROQUIS_DATOS!$C$1562),-1000)</f>
        <v>10.5301724137931</v>
      </c>
      <c r="P297">
        <f>IF(AND(CROQUIS_DATOS!$C$1472=1,CROQUIS_DATOS!$C$1555=1),(CROQUIS_DATOS!$C$1563+(IF(IF(OR(MOD($A297-1,62)+1=1,IF(CHOOSE(MIN(MAX(MIN(INT(($A297-1)/62)+1,5),1),5),CROQUIS_DATOS!$C$1501,CROQUIS_DATOS!$C$1505,CROQUIS_DATOS!$C$1509,CROQUIS_DATOS!$C$1513,CROQUIS_DATOS!$C$1517)=1,CROQUIS_DATOS!$C$1557,0)=0),0,IF(MOD($A297-1,62)+1&gt;2*IF(CHOOSE(MIN(MAX(MIN(INT(($A297-1)/62)+1,5),1),5),CROQUIS_DATOS!$C$1501,CROQUIS_DATOS!$C$1505,CROQUIS_DATOS!$C$1509,CROQUIS_DATOS!$C$1513,CROQUIS_DATOS!$C$1517)=1,CROQUIS_DATOS!$C$1557,0)+1,IF(MOD(IF(CHOOSE(MIN(MAX(MIN(INT(($A297-1)/62)+1,5),1),5),CROQUIS_DATOS!$C$1501,CROQUIS_DATOS!$C$1505,CROQUIS_DATOS!$C$1509,CROQUIS_DATOS!$C$1513,CROQUIS_DATOS!$C$1517)=1,CROQUIS_DATOS!$C$1557,0),2)=1,1,0),IF(MOD(MIN(INT((MOD($A297-1,62)+1-2)/2)+1,MAX(IF(CHOOSE(MIN(MAX(MIN(INT(($A297-1)/62)+1,5),1),5),CROQUIS_DATOS!$C$1501,CROQUIS_DATOS!$C$1505,CROQUIS_DATOS!$C$1509,CROQUIS_DATOS!$C$1513,CROQUIS_DATOS!$C$1517)=1,CROQUIS_DATOS!$C$1557,0),1)),2)=1,IF(MOD(MOD($A297-1,62)+1-2,2)=0,0,1),IF(MOD(MOD($A297-1,62)+1-2,2)=0,1,0))))=0,(CHOOSE(MIN(MAX(MIN(INT(($A297-1)/62)+1,5),1),5),CROQUIS_DATOS!$C$1499,CROQUIS_DATOS!$C$1503,CROQUIS_DATOS!$C$1507,CROQUIS_DATOS!$C$1511,CROQUIS_DATOS!$C$1515)+IF(CHOOSE(MIN(MAX(MIN(INT(($A297-1)/62)+1,5),1),5),CROQUIS_DATOS!$C$1501,CROQUIS_DATOS!$C$1505,CROQUIS_DATOS!$C$1509,CROQUIS_DATOS!$C$1513,CROQUIS_DATOS!$C$1517)=1,CROQUIS_DATOS!$C$1526,0)),(CHOOSE(MIN(MAX(MIN(INT(($A297-1)/62)+1,5),1),5),CROQUIS_DATOS!$C$1499,CROQUIS_DATOS!$C$1503,CROQUIS_DATOS!$C$1507,CROQUIS_DATOS!$C$1511,CROQUIS_DATOS!$C$1515)+CHOOSE(MIN(MAX(MIN(INT(($A297-1)/62)+1,5),1),5),CROQUIS_DATOS!$C$1500,CROQUIS_DATOS!$C$1504,CROQUIS_DATOS!$C$1508,CROQUIS_DATOS!$C$1512,CROQUIS_DATOS!$C$1516)-IF(CHOOSE(MIN(MAX(MIN(INT(($A297-1)/62)+1,5),1),5),CROQUIS_DATOS!$C$1501,CROQUIS_DATOS!$C$1505,CROQUIS_DATOS!$C$1509,CROQUIS_DATOS!$C$1513,CROQUIS_DATOS!$C$1517)=1,CROQUIS_DATOS!$C$1526,0))))*CROQUIS_DATOS!$C$1562),-1000)</f>
        <v>-1000</v>
      </c>
      <c r="Q297">
        <f>IF(AND(CROQUIS_DATOS!$C$1472=1,CROQUIS_DATOS!$C$1555=1),(CROQUIS_DATOS!$C$1564+(IF(OR(OR(MOD($A297-1,62)+1=1,IF(CHOOSE(MIN(MAX(MIN(INT(($A297-1)/62)+1,5),1),5),CROQUIS_DATOS!$C$1501,CROQUIS_DATOS!$C$1505,CROQUIS_DATOS!$C$1509,CROQUIS_DATOS!$C$1513,CROQUIS_DATOS!$C$1517)=1,CROQUIS_DATOS!$C$1557,0)=0),MOD($A297-1,62)+1&gt;2*IF(CHOOSE(MIN(MAX(MIN(INT(($A297-1)/62)+1,5),1),5),CROQUIS_DATOS!$C$1501,CROQUIS_DATOS!$C$1505,CROQUIS_DATOS!$C$1509,CROQUIS_DATOS!$C$1513,CROQUIS_DATOS!$C$1517)=1,CROQUIS_DATOS!$C$1557,0)+1),CROQUIS_DATOS!$C$1476,MIN(INT((MOD($A297-1,62)+1-2)/2)+1,MAX(IF(CHOOSE(MIN(MAX(MIN(INT(($A297-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8">
      <c r="A298" t="n">
        <v>291</v>
      </c>
      <c r="N298">
        <f>IF(AND(CROQUIS_DATOS!$C$1472=1,1),(CROQUIS_DATOS!$C$1563+(IF(IF(IF(INT(($A298-1)/70)+1&gt;CROQUIS_DATOS!$C$1525,70,MOD($A298-1,70)+1)=1,0,IF(IF(INT(($A298-1)/70)+1&gt;CROQUIS_DATOS!$C$1525,70,MOD($A298-1,70)+1)&gt;2*CROQUIS_DATOS!$C$1541+1,IF(MOD(CROQUIS_DATOS!$C$1541,2)=1,1,0),IF(MOD(MIN(INT((IF(INT(($A298-1)/70)+1&gt;CROQUIS_DATOS!$C$1525,70,MOD($A298-1,70)+1)-2)/2)+1,CROQUIS_DATOS!$C$1541),2)=1,IF(MOD(IF(INT(($A298-1)/70)+1&gt;CROQUIS_DATOS!$C$1525,70,MOD($A298-1,70)+1)-2,2)=0,0,1),IF(MOD(IF(INT(($A298-1)/70)+1&gt;CROQUIS_DATOS!$C$1525,70,MOD($A298-1,70)+1)-2,2)=0,1,0))))=0,(INDEX($E$8:$E$23,MIN(INT(($A298-1)/70)+1,CROQUIS_DATOS!$C$1525))-INDEX($F$8:$F$23,MIN(INT(($A298-1)/70)+1,CROQUIS_DATOS!$C$1525))/2),(INDEX($E$8:$E$23,MIN(INT(($A298-1)/70)+1,CROQUIS_DATOS!$C$1525))+INDEX($F$8:$F$23,MIN(INT(($A298-1)/70)+1,CROQUIS_DATOS!$C$1525))/2)))*CROQUIS_DATOS!$C$1562),-1000)</f>
        <v>70.25</v>
      </c>
      <c r="O298">
        <f>IF(AND(CROQUIS_DATOS!$C$1472=1,1),(CROQUIS_DATOS!$C$1564+(IF(OR(IF(INT(($A298-1)/70)+1&gt;CROQUIS_DATOS!$C$1525,70,MOD($A298-1,70)+1)=1,IF(INT(($A298-1)/70)+1&gt;CROQUIS_DATOS!$C$1525,70,MOD($A298-1,70)+1)&gt;2*CROQUIS_DATOS!$C$1541+1),CROQUIS_DATOS!$C$1476,INDEX($H$8:$H$41,MIN(INT((IF(INT(($A298-1)/70)+1&gt;CROQUIS_DATOS!$C$1525,70,MOD($A298-1,70)+1)-2)/2)+1,CROQUIS_DATOS!$C$1541))))*CROQUIS_DATOS!$C$1561*CROQUIS_DATOS!$C$1562),-1000)</f>
        <v>10.5301724137931</v>
      </c>
      <c r="P298">
        <f>IF(AND(CROQUIS_DATOS!$C$1472=1,CROQUIS_DATOS!$C$1555=1),(CROQUIS_DATOS!$C$1563+(IF(IF(OR(MOD($A298-1,62)+1=1,IF(CHOOSE(MIN(MAX(MIN(INT(($A298-1)/62)+1,5),1),5),CROQUIS_DATOS!$C$1501,CROQUIS_DATOS!$C$1505,CROQUIS_DATOS!$C$1509,CROQUIS_DATOS!$C$1513,CROQUIS_DATOS!$C$1517)=1,CROQUIS_DATOS!$C$1557,0)=0),0,IF(MOD($A298-1,62)+1&gt;2*IF(CHOOSE(MIN(MAX(MIN(INT(($A298-1)/62)+1,5),1),5),CROQUIS_DATOS!$C$1501,CROQUIS_DATOS!$C$1505,CROQUIS_DATOS!$C$1509,CROQUIS_DATOS!$C$1513,CROQUIS_DATOS!$C$1517)=1,CROQUIS_DATOS!$C$1557,0)+1,IF(MOD(IF(CHOOSE(MIN(MAX(MIN(INT(($A298-1)/62)+1,5),1),5),CROQUIS_DATOS!$C$1501,CROQUIS_DATOS!$C$1505,CROQUIS_DATOS!$C$1509,CROQUIS_DATOS!$C$1513,CROQUIS_DATOS!$C$1517)=1,CROQUIS_DATOS!$C$1557,0),2)=1,1,0),IF(MOD(MIN(INT((MOD($A298-1,62)+1-2)/2)+1,MAX(IF(CHOOSE(MIN(MAX(MIN(INT(($A298-1)/62)+1,5),1),5),CROQUIS_DATOS!$C$1501,CROQUIS_DATOS!$C$1505,CROQUIS_DATOS!$C$1509,CROQUIS_DATOS!$C$1513,CROQUIS_DATOS!$C$1517)=1,CROQUIS_DATOS!$C$1557,0),1)),2)=1,IF(MOD(MOD($A298-1,62)+1-2,2)=0,0,1),IF(MOD(MOD($A298-1,62)+1-2,2)=0,1,0))))=0,(CHOOSE(MIN(MAX(MIN(INT(($A298-1)/62)+1,5),1),5),CROQUIS_DATOS!$C$1499,CROQUIS_DATOS!$C$1503,CROQUIS_DATOS!$C$1507,CROQUIS_DATOS!$C$1511,CROQUIS_DATOS!$C$1515)+IF(CHOOSE(MIN(MAX(MIN(INT(($A298-1)/62)+1,5),1),5),CROQUIS_DATOS!$C$1501,CROQUIS_DATOS!$C$1505,CROQUIS_DATOS!$C$1509,CROQUIS_DATOS!$C$1513,CROQUIS_DATOS!$C$1517)=1,CROQUIS_DATOS!$C$1526,0)),(CHOOSE(MIN(MAX(MIN(INT(($A298-1)/62)+1,5),1),5),CROQUIS_DATOS!$C$1499,CROQUIS_DATOS!$C$1503,CROQUIS_DATOS!$C$1507,CROQUIS_DATOS!$C$1511,CROQUIS_DATOS!$C$1515)+CHOOSE(MIN(MAX(MIN(INT(($A298-1)/62)+1,5),1),5),CROQUIS_DATOS!$C$1500,CROQUIS_DATOS!$C$1504,CROQUIS_DATOS!$C$1508,CROQUIS_DATOS!$C$1512,CROQUIS_DATOS!$C$1516)-IF(CHOOSE(MIN(MAX(MIN(INT(($A298-1)/62)+1,5),1),5),CROQUIS_DATOS!$C$1501,CROQUIS_DATOS!$C$1505,CROQUIS_DATOS!$C$1509,CROQUIS_DATOS!$C$1513,CROQUIS_DATOS!$C$1517)=1,CROQUIS_DATOS!$C$1526,0))))*CROQUIS_DATOS!$C$1562),-1000)</f>
        <v>-1000</v>
      </c>
      <c r="Q298">
        <f>IF(AND(CROQUIS_DATOS!$C$1472=1,CROQUIS_DATOS!$C$1555=1),(CROQUIS_DATOS!$C$1564+(IF(OR(OR(MOD($A298-1,62)+1=1,IF(CHOOSE(MIN(MAX(MIN(INT(($A298-1)/62)+1,5),1),5),CROQUIS_DATOS!$C$1501,CROQUIS_DATOS!$C$1505,CROQUIS_DATOS!$C$1509,CROQUIS_DATOS!$C$1513,CROQUIS_DATOS!$C$1517)=1,CROQUIS_DATOS!$C$1557,0)=0),MOD($A298-1,62)+1&gt;2*IF(CHOOSE(MIN(MAX(MIN(INT(($A298-1)/62)+1,5),1),5),CROQUIS_DATOS!$C$1501,CROQUIS_DATOS!$C$1505,CROQUIS_DATOS!$C$1509,CROQUIS_DATOS!$C$1513,CROQUIS_DATOS!$C$1517)=1,CROQUIS_DATOS!$C$1557,0)+1),CROQUIS_DATOS!$C$1476,MIN(INT((MOD($A298-1,62)+1-2)/2)+1,MAX(IF(CHOOSE(MIN(MAX(MIN(INT(($A298-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299">
      <c r="A299" t="n">
        <v>292</v>
      </c>
      <c r="N299">
        <f>IF(AND(CROQUIS_DATOS!$C$1472=1,1),(CROQUIS_DATOS!$C$1563+(IF(IF(IF(INT(($A299-1)/70)+1&gt;CROQUIS_DATOS!$C$1525,70,MOD($A299-1,70)+1)=1,0,IF(IF(INT(($A299-1)/70)+1&gt;CROQUIS_DATOS!$C$1525,70,MOD($A299-1,70)+1)&gt;2*CROQUIS_DATOS!$C$1541+1,IF(MOD(CROQUIS_DATOS!$C$1541,2)=1,1,0),IF(MOD(MIN(INT((IF(INT(($A299-1)/70)+1&gt;CROQUIS_DATOS!$C$1525,70,MOD($A299-1,70)+1)-2)/2)+1,CROQUIS_DATOS!$C$1541),2)=1,IF(MOD(IF(INT(($A299-1)/70)+1&gt;CROQUIS_DATOS!$C$1525,70,MOD($A299-1,70)+1)-2,2)=0,0,1),IF(MOD(IF(INT(($A299-1)/70)+1&gt;CROQUIS_DATOS!$C$1525,70,MOD($A299-1,70)+1)-2,2)=0,1,0))))=0,(INDEX($E$8:$E$23,MIN(INT(($A299-1)/70)+1,CROQUIS_DATOS!$C$1525))-INDEX($F$8:$F$23,MIN(INT(($A299-1)/70)+1,CROQUIS_DATOS!$C$1525))/2),(INDEX($E$8:$E$23,MIN(INT(($A299-1)/70)+1,CROQUIS_DATOS!$C$1525))+INDEX($F$8:$F$23,MIN(INT(($A299-1)/70)+1,CROQUIS_DATOS!$C$1525))/2)))*CROQUIS_DATOS!$C$1562),-1000)</f>
        <v>70.25</v>
      </c>
      <c r="O299">
        <f>IF(AND(CROQUIS_DATOS!$C$1472=1,1),(CROQUIS_DATOS!$C$1564+(IF(OR(IF(INT(($A299-1)/70)+1&gt;CROQUIS_DATOS!$C$1525,70,MOD($A299-1,70)+1)=1,IF(INT(($A299-1)/70)+1&gt;CROQUIS_DATOS!$C$1525,70,MOD($A299-1,70)+1)&gt;2*CROQUIS_DATOS!$C$1541+1),CROQUIS_DATOS!$C$1476,INDEX($H$8:$H$41,MIN(INT((IF(INT(($A299-1)/70)+1&gt;CROQUIS_DATOS!$C$1525,70,MOD($A299-1,70)+1)-2)/2)+1,CROQUIS_DATOS!$C$1541))))*CROQUIS_DATOS!$C$1561*CROQUIS_DATOS!$C$1562),-1000)</f>
        <v>13.2456896551724</v>
      </c>
      <c r="P299">
        <f>IF(AND(CROQUIS_DATOS!$C$1472=1,CROQUIS_DATOS!$C$1555=1),(CROQUIS_DATOS!$C$1563+(IF(IF(OR(MOD($A299-1,62)+1=1,IF(CHOOSE(MIN(MAX(MIN(INT(($A299-1)/62)+1,5),1),5),CROQUIS_DATOS!$C$1501,CROQUIS_DATOS!$C$1505,CROQUIS_DATOS!$C$1509,CROQUIS_DATOS!$C$1513,CROQUIS_DATOS!$C$1517)=1,CROQUIS_DATOS!$C$1557,0)=0),0,IF(MOD($A299-1,62)+1&gt;2*IF(CHOOSE(MIN(MAX(MIN(INT(($A299-1)/62)+1,5),1),5),CROQUIS_DATOS!$C$1501,CROQUIS_DATOS!$C$1505,CROQUIS_DATOS!$C$1509,CROQUIS_DATOS!$C$1513,CROQUIS_DATOS!$C$1517)=1,CROQUIS_DATOS!$C$1557,0)+1,IF(MOD(IF(CHOOSE(MIN(MAX(MIN(INT(($A299-1)/62)+1,5),1),5),CROQUIS_DATOS!$C$1501,CROQUIS_DATOS!$C$1505,CROQUIS_DATOS!$C$1509,CROQUIS_DATOS!$C$1513,CROQUIS_DATOS!$C$1517)=1,CROQUIS_DATOS!$C$1557,0),2)=1,1,0),IF(MOD(MIN(INT((MOD($A299-1,62)+1-2)/2)+1,MAX(IF(CHOOSE(MIN(MAX(MIN(INT(($A299-1)/62)+1,5),1),5),CROQUIS_DATOS!$C$1501,CROQUIS_DATOS!$C$1505,CROQUIS_DATOS!$C$1509,CROQUIS_DATOS!$C$1513,CROQUIS_DATOS!$C$1517)=1,CROQUIS_DATOS!$C$1557,0),1)),2)=1,IF(MOD(MOD($A299-1,62)+1-2,2)=0,0,1),IF(MOD(MOD($A299-1,62)+1-2,2)=0,1,0))))=0,(CHOOSE(MIN(MAX(MIN(INT(($A299-1)/62)+1,5),1),5),CROQUIS_DATOS!$C$1499,CROQUIS_DATOS!$C$1503,CROQUIS_DATOS!$C$1507,CROQUIS_DATOS!$C$1511,CROQUIS_DATOS!$C$1515)+IF(CHOOSE(MIN(MAX(MIN(INT(($A299-1)/62)+1,5),1),5),CROQUIS_DATOS!$C$1501,CROQUIS_DATOS!$C$1505,CROQUIS_DATOS!$C$1509,CROQUIS_DATOS!$C$1513,CROQUIS_DATOS!$C$1517)=1,CROQUIS_DATOS!$C$1526,0)),(CHOOSE(MIN(MAX(MIN(INT(($A299-1)/62)+1,5),1),5),CROQUIS_DATOS!$C$1499,CROQUIS_DATOS!$C$1503,CROQUIS_DATOS!$C$1507,CROQUIS_DATOS!$C$1511,CROQUIS_DATOS!$C$1515)+CHOOSE(MIN(MAX(MIN(INT(($A299-1)/62)+1,5),1),5),CROQUIS_DATOS!$C$1500,CROQUIS_DATOS!$C$1504,CROQUIS_DATOS!$C$1508,CROQUIS_DATOS!$C$1512,CROQUIS_DATOS!$C$1516)-IF(CHOOSE(MIN(MAX(MIN(INT(($A299-1)/62)+1,5),1),5),CROQUIS_DATOS!$C$1501,CROQUIS_DATOS!$C$1505,CROQUIS_DATOS!$C$1509,CROQUIS_DATOS!$C$1513,CROQUIS_DATOS!$C$1517)=1,CROQUIS_DATOS!$C$1526,0))))*CROQUIS_DATOS!$C$1562),-1000)</f>
        <v>-1000</v>
      </c>
      <c r="Q299">
        <f>IF(AND(CROQUIS_DATOS!$C$1472=1,CROQUIS_DATOS!$C$1555=1),(CROQUIS_DATOS!$C$1564+(IF(OR(OR(MOD($A299-1,62)+1=1,IF(CHOOSE(MIN(MAX(MIN(INT(($A299-1)/62)+1,5),1),5),CROQUIS_DATOS!$C$1501,CROQUIS_DATOS!$C$1505,CROQUIS_DATOS!$C$1509,CROQUIS_DATOS!$C$1513,CROQUIS_DATOS!$C$1517)=1,CROQUIS_DATOS!$C$1557,0)=0),MOD($A299-1,62)+1&gt;2*IF(CHOOSE(MIN(MAX(MIN(INT(($A299-1)/62)+1,5),1),5),CROQUIS_DATOS!$C$1501,CROQUIS_DATOS!$C$1505,CROQUIS_DATOS!$C$1509,CROQUIS_DATOS!$C$1513,CROQUIS_DATOS!$C$1517)=1,CROQUIS_DATOS!$C$1557,0)+1),CROQUIS_DATOS!$C$1476,MIN(INT((MOD($A299-1,62)+1-2)/2)+1,MAX(IF(CHOOSE(MIN(MAX(MIN(INT(($A299-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0">
      <c r="A300" t="n">
        <v>293</v>
      </c>
      <c r="N300">
        <f>IF(AND(CROQUIS_DATOS!$C$1472=1,1),(CROQUIS_DATOS!$C$1563+(IF(IF(IF(INT(($A300-1)/70)+1&gt;CROQUIS_DATOS!$C$1525,70,MOD($A300-1,70)+1)=1,0,IF(IF(INT(($A300-1)/70)+1&gt;CROQUIS_DATOS!$C$1525,70,MOD($A300-1,70)+1)&gt;2*CROQUIS_DATOS!$C$1541+1,IF(MOD(CROQUIS_DATOS!$C$1541,2)=1,1,0),IF(MOD(MIN(INT((IF(INT(($A300-1)/70)+1&gt;CROQUIS_DATOS!$C$1525,70,MOD($A300-1,70)+1)-2)/2)+1,CROQUIS_DATOS!$C$1541),2)=1,IF(MOD(IF(INT(($A300-1)/70)+1&gt;CROQUIS_DATOS!$C$1525,70,MOD($A300-1,70)+1)-2,2)=0,0,1),IF(MOD(IF(INT(($A300-1)/70)+1&gt;CROQUIS_DATOS!$C$1525,70,MOD($A300-1,70)+1)-2,2)=0,1,0))))=0,(INDEX($E$8:$E$23,MIN(INT(($A300-1)/70)+1,CROQUIS_DATOS!$C$1525))-INDEX($F$8:$F$23,MIN(INT(($A300-1)/70)+1,CROQUIS_DATOS!$C$1525))/2),(INDEX($E$8:$E$23,MIN(INT(($A300-1)/70)+1,CROQUIS_DATOS!$C$1525))+INDEX($F$8:$F$23,MIN(INT(($A300-1)/70)+1,CROQUIS_DATOS!$C$1525))/2)))*CROQUIS_DATOS!$C$1562),-1000)</f>
        <v>68.1551724137931</v>
      </c>
      <c r="O300">
        <f>IF(AND(CROQUIS_DATOS!$C$1472=1,1),(CROQUIS_DATOS!$C$1564+(IF(OR(IF(INT(($A300-1)/70)+1&gt;CROQUIS_DATOS!$C$1525,70,MOD($A300-1,70)+1)=1,IF(INT(($A300-1)/70)+1&gt;CROQUIS_DATOS!$C$1525,70,MOD($A300-1,70)+1)&gt;2*CROQUIS_DATOS!$C$1541+1),CROQUIS_DATOS!$C$1476,INDEX($H$8:$H$41,MIN(INT((IF(INT(($A300-1)/70)+1&gt;CROQUIS_DATOS!$C$1525,70,MOD($A300-1,70)+1)-2)/2)+1,CROQUIS_DATOS!$C$1541))))*CROQUIS_DATOS!$C$1561*CROQUIS_DATOS!$C$1562),-1000)</f>
        <v>13.2456896551724</v>
      </c>
      <c r="P300">
        <f>IF(AND(CROQUIS_DATOS!$C$1472=1,CROQUIS_DATOS!$C$1555=1),(CROQUIS_DATOS!$C$1563+(IF(IF(OR(MOD($A300-1,62)+1=1,IF(CHOOSE(MIN(MAX(MIN(INT(($A300-1)/62)+1,5),1),5),CROQUIS_DATOS!$C$1501,CROQUIS_DATOS!$C$1505,CROQUIS_DATOS!$C$1509,CROQUIS_DATOS!$C$1513,CROQUIS_DATOS!$C$1517)=1,CROQUIS_DATOS!$C$1557,0)=0),0,IF(MOD($A300-1,62)+1&gt;2*IF(CHOOSE(MIN(MAX(MIN(INT(($A300-1)/62)+1,5),1),5),CROQUIS_DATOS!$C$1501,CROQUIS_DATOS!$C$1505,CROQUIS_DATOS!$C$1509,CROQUIS_DATOS!$C$1513,CROQUIS_DATOS!$C$1517)=1,CROQUIS_DATOS!$C$1557,0)+1,IF(MOD(IF(CHOOSE(MIN(MAX(MIN(INT(($A300-1)/62)+1,5),1),5),CROQUIS_DATOS!$C$1501,CROQUIS_DATOS!$C$1505,CROQUIS_DATOS!$C$1509,CROQUIS_DATOS!$C$1513,CROQUIS_DATOS!$C$1517)=1,CROQUIS_DATOS!$C$1557,0),2)=1,1,0),IF(MOD(MIN(INT((MOD($A300-1,62)+1-2)/2)+1,MAX(IF(CHOOSE(MIN(MAX(MIN(INT(($A300-1)/62)+1,5),1),5),CROQUIS_DATOS!$C$1501,CROQUIS_DATOS!$C$1505,CROQUIS_DATOS!$C$1509,CROQUIS_DATOS!$C$1513,CROQUIS_DATOS!$C$1517)=1,CROQUIS_DATOS!$C$1557,0),1)),2)=1,IF(MOD(MOD($A300-1,62)+1-2,2)=0,0,1),IF(MOD(MOD($A300-1,62)+1-2,2)=0,1,0))))=0,(CHOOSE(MIN(MAX(MIN(INT(($A300-1)/62)+1,5),1),5),CROQUIS_DATOS!$C$1499,CROQUIS_DATOS!$C$1503,CROQUIS_DATOS!$C$1507,CROQUIS_DATOS!$C$1511,CROQUIS_DATOS!$C$1515)+IF(CHOOSE(MIN(MAX(MIN(INT(($A300-1)/62)+1,5),1),5),CROQUIS_DATOS!$C$1501,CROQUIS_DATOS!$C$1505,CROQUIS_DATOS!$C$1509,CROQUIS_DATOS!$C$1513,CROQUIS_DATOS!$C$1517)=1,CROQUIS_DATOS!$C$1526,0)),(CHOOSE(MIN(MAX(MIN(INT(($A300-1)/62)+1,5),1),5),CROQUIS_DATOS!$C$1499,CROQUIS_DATOS!$C$1503,CROQUIS_DATOS!$C$1507,CROQUIS_DATOS!$C$1511,CROQUIS_DATOS!$C$1515)+CHOOSE(MIN(MAX(MIN(INT(($A300-1)/62)+1,5),1),5),CROQUIS_DATOS!$C$1500,CROQUIS_DATOS!$C$1504,CROQUIS_DATOS!$C$1508,CROQUIS_DATOS!$C$1512,CROQUIS_DATOS!$C$1516)-IF(CHOOSE(MIN(MAX(MIN(INT(($A300-1)/62)+1,5),1),5),CROQUIS_DATOS!$C$1501,CROQUIS_DATOS!$C$1505,CROQUIS_DATOS!$C$1509,CROQUIS_DATOS!$C$1513,CROQUIS_DATOS!$C$1517)=1,CROQUIS_DATOS!$C$1526,0))))*CROQUIS_DATOS!$C$1562),-1000)</f>
        <v>-1000</v>
      </c>
      <c r="Q300">
        <f>IF(AND(CROQUIS_DATOS!$C$1472=1,CROQUIS_DATOS!$C$1555=1),(CROQUIS_DATOS!$C$1564+(IF(OR(OR(MOD($A300-1,62)+1=1,IF(CHOOSE(MIN(MAX(MIN(INT(($A300-1)/62)+1,5),1),5),CROQUIS_DATOS!$C$1501,CROQUIS_DATOS!$C$1505,CROQUIS_DATOS!$C$1509,CROQUIS_DATOS!$C$1513,CROQUIS_DATOS!$C$1517)=1,CROQUIS_DATOS!$C$1557,0)=0),MOD($A300-1,62)+1&gt;2*IF(CHOOSE(MIN(MAX(MIN(INT(($A300-1)/62)+1,5),1),5),CROQUIS_DATOS!$C$1501,CROQUIS_DATOS!$C$1505,CROQUIS_DATOS!$C$1509,CROQUIS_DATOS!$C$1513,CROQUIS_DATOS!$C$1517)=1,CROQUIS_DATOS!$C$1557,0)+1),CROQUIS_DATOS!$C$1476,MIN(INT((MOD($A300-1,62)+1-2)/2)+1,MAX(IF(CHOOSE(MIN(MAX(MIN(INT(($A300-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1">
      <c r="A301" t="n">
        <v>294</v>
      </c>
      <c r="N301">
        <f>IF(AND(CROQUIS_DATOS!$C$1472=1,1),(CROQUIS_DATOS!$C$1563+(IF(IF(IF(INT(($A301-1)/70)+1&gt;CROQUIS_DATOS!$C$1525,70,MOD($A301-1,70)+1)=1,0,IF(IF(INT(($A301-1)/70)+1&gt;CROQUIS_DATOS!$C$1525,70,MOD($A301-1,70)+1)&gt;2*CROQUIS_DATOS!$C$1541+1,IF(MOD(CROQUIS_DATOS!$C$1541,2)=1,1,0),IF(MOD(MIN(INT((IF(INT(($A301-1)/70)+1&gt;CROQUIS_DATOS!$C$1525,70,MOD($A301-1,70)+1)-2)/2)+1,CROQUIS_DATOS!$C$1541),2)=1,IF(MOD(IF(INT(($A301-1)/70)+1&gt;CROQUIS_DATOS!$C$1525,70,MOD($A301-1,70)+1)-2,2)=0,0,1),IF(MOD(IF(INT(($A301-1)/70)+1&gt;CROQUIS_DATOS!$C$1525,70,MOD($A301-1,70)+1)-2,2)=0,1,0))))=0,(INDEX($E$8:$E$23,MIN(INT(($A301-1)/70)+1,CROQUIS_DATOS!$C$1525))-INDEX($F$8:$F$23,MIN(INT(($A301-1)/70)+1,CROQUIS_DATOS!$C$1525))/2),(INDEX($E$8:$E$23,MIN(INT(($A301-1)/70)+1,CROQUIS_DATOS!$C$1525))+INDEX($F$8:$F$23,MIN(INT(($A301-1)/70)+1,CROQUIS_DATOS!$C$1525))/2)))*CROQUIS_DATOS!$C$1562),-1000)</f>
        <v>68.1551724137931</v>
      </c>
      <c r="O301">
        <f>IF(AND(CROQUIS_DATOS!$C$1472=1,1),(CROQUIS_DATOS!$C$1564+(IF(OR(IF(INT(($A301-1)/70)+1&gt;CROQUIS_DATOS!$C$1525,70,MOD($A301-1,70)+1)=1,IF(INT(($A301-1)/70)+1&gt;CROQUIS_DATOS!$C$1525,70,MOD($A301-1,70)+1)&gt;2*CROQUIS_DATOS!$C$1541+1),CROQUIS_DATOS!$C$1476,INDEX($H$8:$H$41,MIN(INT((IF(INT(($A301-1)/70)+1&gt;CROQUIS_DATOS!$C$1525,70,MOD($A301-1,70)+1)-2)/2)+1,CROQUIS_DATOS!$C$1541))))*CROQUIS_DATOS!$C$1561*CROQUIS_DATOS!$C$1562),-1000)</f>
        <v>15.9612068965517</v>
      </c>
      <c r="P301">
        <f>IF(AND(CROQUIS_DATOS!$C$1472=1,CROQUIS_DATOS!$C$1555=1),(CROQUIS_DATOS!$C$1563+(IF(IF(OR(MOD($A301-1,62)+1=1,IF(CHOOSE(MIN(MAX(MIN(INT(($A301-1)/62)+1,5),1),5),CROQUIS_DATOS!$C$1501,CROQUIS_DATOS!$C$1505,CROQUIS_DATOS!$C$1509,CROQUIS_DATOS!$C$1513,CROQUIS_DATOS!$C$1517)=1,CROQUIS_DATOS!$C$1557,0)=0),0,IF(MOD($A301-1,62)+1&gt;2*IF(CHOOSE(MIN(MAX(MIN(INT(($A301-1)/62)+1,5),1),5),CROQUIS_DATOS!$C$1501,CROQUIS_DATOS!$C$1505,CROQUIS_DATOS!$C$1509,CROQUIS_DATOS!$C$1513,CROQUIS_DATOS!$C$1517)=1,CROQUIS_DATOS!$C$1557,0)+1,IF(MOD(IF(CHOOSE(MIN(MAX(MIN(INT(($A301-1)/62)+1,5),1),5),CROQUIS_DATOS!$C$1501,CROQUIS_DATOS!$C$1505,CROQUIS_DATOS!$C$1509,CROQUIS_DATOS!$C$1513,CROQUIS_DATOS!$C$1517)=1,CROQUIS_DATOS!$C$1557,0),2)=1,1,0),IF(MOD(MIN(INT((MOD($A301-1,62)+1-2)/2)+1,MAX(IF(CHOOSE(MIN(MAX(MIN(INT(($A301-1)/62)+1,5),1),5),CROQUIS_DATOS!$C$1501,CROQUIS_DATOS!$C$1505,CROQUIS_DATOS!$C$1509,CROQUIS_DATOS!$C$1513,CROQUIS_DATOS!$C$1517)=1,CROQUIS_DATOS!$C$1557,0),1)),2)=1,IF(MOD(MOD($A301-1,62)+1-2,2)=0,0,1),IF(MOD(MOD($A301-1,62)+1-2,2)=0,1,0))))=0,(CHOOSE(MIN(MAX(MIN(INT(($A301-1)/62)+1,5),1),5),CROQUIS_DATOS!$C$1499,CROQUIS_DATOS!$C$1503,CROQUIS_DATOS!$C$1507,CROQUIS_DATOS!$C$1511,CROQUIS_DATOS!$C$1515)+IF(CHOOSE(MIN(MAX(MIN(INT(($A301-1)/62)+1,5),1),5),CROQUIS_DATOS!$C$1501,CROQUIS_DATOS!$C$1505,CROQUIS_DATOS!$C$1509,CROQUIS_DATOS!$C$1513,CROQUIS_DATOS!$C$1517)=1,CROQUIS_DATOS!$C$1526,0)),(CHOOSE(MIN(MAX(MIN(INT(($A301-1)/62)+1,5),1),5),CROQUIS_DATOS!$C$1499,CROQUIS_DATOS!$C$1503,CROQUIS_DATOS!$C$1507,CROQUIS_DATOS!$C$1511,CROQUIS_DATOS!$C$1515)+CHOOSE(MIN(MAX(MIN(INT(($A301-1)/62)+1,5),1),5),CROQUIS_DATOS!$C$1500,CROQUIS_DATOS!$C$1504,CROQUIS_DATOS!$C$1508,CROQUIS_DATOS!$C$1512,CROQUIS_DATOS!$C$1516)-IF(CHOOSE(MIN(MAX(MIN(INT(($A301-1)/62)+1,5),1),5),CROQUIS_DATOS!$C$1501,CROQUIS_DATOS!$C$1505,CROQUIS_DATOS!$C$1509,CROQUIS_DATOS!$C$1513,CROQUIS_DATOS!$C$1517)=1,CROQUIS_DATOS!$C$1526,0))))*CROQUIS_DATOS!$C$1562),-1000)</f>
        <v>-1000</v>
      </c>
      <c r="Q301">
        <f>IF(AND(CROQUIS_DATOS!$C$1472=1,CROQUIS_DATOS!$C$1555=1),(CROQUIS_DATOS!$C$1564+(IF(OR(OR(MOD($A301-1,62)+1=1,IF(CHOOSE(MIN(MAX(MIN(INT(($A301-1)/62)+1,5),1),5),CROQUIS_DATOS!$C$1501,CROQUIS_DATOS!$C$1505,CROQUIS_DATOS!$C$1509,CROQUIS_DATOS!$C$1513,CROQUIS_DATOS!$C$1517)=1,CROQUIS_DATOS!$C$1557,0)=0),MOD($A301-1,62)+1&gt;2*IF(CHOOSE(MIN(MAX(MIN(INT(($A301-1)/62)+1,5),1),5),CROQUIS_DATOS!$C$1501,CROQUIS_DATOS!$C$1505,CROQUIS_DATOS!$C$1509,CROQUIS_DATOS!$C$1513,CROQUIS_DATOS!$C$1517)=1,CROQUIS_DATOS!$C$1557,0)+1),CROQUIS_DATOS!$C$1476,MIN(INT((MOD($A301-1,62)+1-2)/2)+1,MAX(IF(CHOOSE(MIN(MAX(MIN(INT(($A301-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2">
      <c r="A302" t="n">
        <v>295</v>
      </c>
      <c r="N302">
        <f>IF(AND(CROQUIS_DATOS!$C$1472=1,1),(CROQUIS_DATOS!$C$1563+(IF(IF(IF(INT(($A302-1)/70)+1&gt;CROQUIS_DATOS!$C$1525,70,MOD($A302-1,70)+1)=1,0,IF(IF(INT(($A302-1)/70)+1&gt;CROQUIS_DATOS!$C$1525,70,MOD($A302-1,70)+1)&gt;2*CROQUIS_DATOS!$C$1541+1,IF(MOD(CROQUIS_DATOS!$C$1541,2)=1,1,0),IF(MOD(MIN(INT((IF(INT(($A302-1)/70)+1&gt;CROQUIS_DATOS!$C$1525,70,MOD($A302-1,70)+1)-2)/2)+1,CROQUIS_DATOS!$C$1541),2)=1,IF(MOD(IF(INT(($A302-1)/70)+1&gt;CROQUIS_DATOS!$C$1525,70,MOD($A302-1,70)+1)-2,2)=0,0,1),IF(MOD(IF(INT(($A302-1)/70)+1&gt;CROQUIS_DATOS!$C$1525,70,MOD($A302-1,70)+1)-2,2)=0,1,0))))=0,(INDEX($E$8:$E$23,MIN(INT(($A302-1)/70)+1,CROQUIS_DATOS!$C$1525))-INDEX($F$8:$F$23,MIN(INT(($A302-1)/70)+1,CROQUIS_DATOS!$C$1525))/2),(INDEX($E$8:$E$23,MIN(INT(($A302-1)/70)+1,CROQUIS_DATOS!$C$1525))+INDEX($F$8:$F$23,MIN(INT(($A302-1)/70)+1,CROQUIS_DATOS!$C$1525))/2)))*CROQUIS_DATOS!$C$1562),-1000)</f>
        <v>70.25</v>
      </c>
      <c r="O302">
        <f>IF(AND(CROQUIS_DATOS!$C$1472=1,1),(CROQUIS_DATOS!$C$1564+(IF(OR(IF(INT(($A302-1)/70)+1&gt;CROQUIS_DATOS!$C$1525,70,MOD($A302-1,70)+1)=1,IF(INT(($A302-1)/70)+1&gt;CROQUIS_DATOS!$C$1525,70,MOD($A302-1,70)+1)&gt;2*CROQUIS_DATOS!$C$1541+1),CROQUIS_DATOS!$C$1476,INDEX($H$8:$H$41,MIN(INT((IF(INT(($A302-1)/70)+1&gt;CROQUIS_DATOS!$C$1525,70,MOD($A302-1,70)+1)-2)/2)+1,CROQUIS_DATOS!$C$1541))))*CROQUIS_DATOS!$C$1561*CROQUIS_DATOS!$C$1562),-1000)</f>
        <v>15.9612068965517</v>
      </c>
      <c r="P302">
        <f>IF(AND(CROQUIS_DATOS!$C$1472=1,CROQUIS_DATOS!$C$1555=1),(CROQUIS_DATOS!$C$1563+(IF(IF(OR(MOD($A302-1,62)+1=1,IF(CHOOSE(MIN(MAX(MIN(INT(($A302-1)/62)+1,5),1),5),CROQUIS_DATOS!$C$1501,CROQUIS_DATOS!$C$1505,CROQUIS_DATOS!$C$1509,CROQUIS_DATOS!$C$1513,CROQUIS_DATOS!$C$1517)=1,CROQUIS_DATOS!$C$1557,0)=0),0,IF(MOD($A302-1,62)+1&gt;2*IF(CHOOSE(MIN(MAX(MIN(INT(($A302-1)/62)+1,5),1),5),CROQUIS_DATOS!$C$1501,CROQUIS_DATOS!$C$1505,CROQUIS_DATOS!$C$1509,CROQUIS_DATOS!$C$1513,CROQUIS_DATOS!$C$1517)=1,CROQUIS_DATOS!$C$1557,0)+1,IF(MOD(IF(CHOOSE(MIN(MAX(MIN(INT(($A302-1)/62)+1,5),1),5),CROQUIS_DATOS!$C$1501,CROQUIS_DATOS!$C$1505,CROQUIS_DATOS!$C$1509,CROQUIS_DATOS!$C$1513,CROQUIS_DATOS!$C$1517)=1,CROQUIS_DATOS!$C$1557,0),2)=1,1,0),IF(MOD(MIN(INT((MOD($A302-1,62)+1-2)/2)+1,MAX(IF(CHOOSE(MIN(MAX(MIN(INT(($A302-1)/62)+1,5),1),5),CROQUIS_DATOS!$C$1501,CROQUIS_DATOS!$C$1505,CROQUIS_DATOS!$C$1509,CROQUIS_DATOS!$C$1513,CROQUIS_DATOS!$C$1517)=1,CROQUIS_DATOS!$C$1557,0),1)),2)=1,IF(MOD(MOD($A302-1,62)+1-2,2)=0,0,1),IF(MOD(MOD($A302-1,62)+1-2,2)=0,1,0))))=0,(CHOOSE(MIN(MAX(MIN(INT(($A302-1)/62)+1,5),1),5),CROQUIS_DATOS!$C$1499,CROQUIS_DATOS!$C$1503,CROQUIS_DATOS!$C$1507,CROQUIS_DATOS!$C$1511,CROQUIS_DATOS!$C$1515)+IF(CHOOSE(MIN(MAX(MIN(INT(($A302-1)/62)+1,5),1),5),CROQUIS_DATOS!$C$1501,CROQUIS_DATOS!$C$1505,CROQUIS_DATOS!$C$1509,CROQUIS_DATOS!$C$1513,CROQUIS_DATOS!$C$1517)=1,CROQUIS_DATOS!$C$1526,0)),(CHOOSE(MIN(MAX(MIN(INT(($A302-1)/62)+1,5),1),5),CROQUIS_DATOS!$C$1499,CROQUIS_DATOS!$C$1503,CROQUIS_DATOS!$C$1507,CROQUIS_DATOS!$C$1511,CROQUIS_DATOS!$C$1515)+CHOOSE(MIN(MAX(MIN(INT(($A302-1)/62)+1,5),1),5),CROQUIS_DATOS!$C$1500,CROQUIS_DATOS!$C$1504,CROQUIS_DATOS!$C$1508,CROQUIS_DATOS!$C$1512,CROQUIS_DATOS!$C$1516)-IF(CHOOSE(MIN(MAX(MIN(INT(($A302-1)/62)+1,5),1),5),CROQUIS_DATOS!$C$1501,CROQUIS_DATOS!$C$1505,CROQUIS_DATOS!$C$1509,CROQUIS_DATOS!$C$1513,CROQUIS_DATOS!$C$1517)=1,CROQUIS_DATOS!$C$1526,0))))*CROQUIS_DATOS!$C$1562),-1000)</f>
        <v>-1000</v>
      </c>
      <c r="Q302">
        <f>IF(AND(CROQUIS_DATOS!$C$1472=1,CROQUIS_DATOS!$C$1555=1),(CROQUIS_DATOS!$C$1564+(IF(OR(OR(MOD($A302-1,62)+1=1,IF(CHOOSE(MIN(MAX(MIN(INT(($A302-1)/62)+1,5),1),5),CROQUIS_DATOS!$C$1501,CROQUIS_DATOS!$C$1505,CROQUIS_DATOS!$C$1509,CROQUIS_DATOS!$C$1513,CROQUIS_DATOS!$C$1517)=1,CROQUIS_DATOS!$C$1557,0)=0),MOD($A302-1,62)+1&gt;2*IF(CHOOSE(MIN(MAX(MIN(INT(($A302-1)/62)+1,5),1),5),CROQUIS_DATOS!$C$1501,CROQUIS_DATOS!$C$1505,CROQUIS_DATOS!$C$1509,CROQUIS_DATOS!$C$1513,CROQUIS_DATOS!$C$1517)=1,CROQUIS_DATOS!$C$1557,0)+1),CROQUIS_DATOS!$C$1476,MIN(INT((MOD($A302-1,62)+1-2)/2)+1,MAX(IF(CHOOSE(MIN(MAX(MIN(INT(($A302-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3">
      <c r="A303" t="n">
        <v>296</v>
      </c>
      <c r="N303">
        <f>IF(AND(CROQUIS_DATOS!$C$1472=1,1),(CROQUIS_DATOS!$C$1563+(IF(IF(IF(INT(($A303-1)/70)+1&gt;CROQUIS_DATOS!$C$1525,70,MOD($A303-1,70)+1)=1,0,IF(IF(INT(($A303-1)/70)+1&gt;CROQUIS_DATOS!$C$1525,70,MOD($A303-1,70)+1)&gt;2*CROQUIS_DATOS!$C$1541+1,IF(MOD(CROQUIS_DATOS!$C$1541,2)=1,1,0),IF(MOD(MIN(INT((IF(INT(($A303-1)/70)+1&gt;CROQUIS_DATOS!$C$1525,70,MOD($A303-1,70)+1)-2)/2)+1,CROQUIS_DATOS!$C$1541),2)=1,IF(MOD(IF(INT(($A303-1)/70)+1&gt;CROQUIS_DATOS!$C$1525,70,MOD($A303-1,70)+1)-2,2)=0,0,1),IF(MOD(IF(INT(($A303-1)/70)+1&gt;CROQUIS_DATOS!$C$1525,70,MOD($A303-1,70)+1)-2,2)=0,1,0))))=0,(INDEX($E$8:$E$23,MIN(INT(($A303-1)/70)+1,CROQUIS_DATOS!$C$1525))-INDEX($F$8:$F$23,MIN(INT(($A303-1)/70)+1,CROQUIS_DATOS!$C$1525))/2),(INDEX($E$8:$E$23,MIN(INT(($A303-1)/70)+1,CROQUIS_DATOS!$C$1525))+INDEX($F$8:$F$23,MIN(INT(($A303-1)/70)+1,CROQUIS_DATOS!$C$1525))/2)))*CROQUIS_DATOS!$C$1562),-1000)</f>
        <v>70.25</v>
      </c>
      <c r="O303">
        <f>IF(AND(CROQUIS_DATOS!$C$1472=1,1),(CROQUIS_DATOS!$C$1564+(IF(OR(IF(INT(($A303-1)/70)+1&gt;CROQUIS_DATOS!$C$1525,70,MOD($A303-1,70)+1)=1,IF(INT(($A303-1)/70)+1&gt;CROQUIS_DATOS!$C$1525,70,MOD($A303-1,70)+1)&gt;2*CROQUIS_DATOS!$C$1541+1),CROQUIS_DATOS!$C$1476,INDEX($H$8:$H$41,MIN(INT((IF(INT(($A303-1)/70)+1&gt;CROQUIS_DATOS!$C$1525,70,MOD($A303-1,70)+1)-2)/2)+1,CROQUIS_DATOS!$C$1541))))*CROQUIS_DATOS!$C$1561*CROQUIS_DATOS!$C$1562),-1000)</f>
        <v>18.676724137931</v>
      </c>
      <c r="P303">
        <f>IF(AND(CROQUIS_DATOS!$C$1472=1,CROQUIS_DATOS!$C$1555=1),(CROQUIS_DATOS!$C$1563+(IF(IF(OR(MOD($A303-1,62)+1=1,IF(CHOOSE(MIN(MAX(MIN(INT(($A303-1)/62)+1,5),1),5),CROQUIS_DATOS!$C$1501,CROQUIS_DATOS!$C$1505,CROQUIS_DATOS!$C$1509,CROQUIS_DATOS!$C$1513,CROQUIS_DATOS!$C$1517)=1,CROQUIS_DATOS!$C$1557,0)=0),0,IF(MOD($A303-1,62)+1&gt;2*IF(CHOOSE(MIN(MAX(MIN(INT(($A303-1)/62)+1,5),1),5),CROQUIS_DATOS!$C$1501,CROQUIS_DATOS!$C$1505,CROQUIS_DATOS!$C$1509,CROQUIS_DATOS!$C$1513,CROQUIS_DATOS!$C$1517)=1,CROQUIS_DATOS!$C$1557,0)+1,IF(MOD(IF(CHOOSE(MIN(MAX(MIN(INT(($A303-1)/62)+1,5),1),5),CROQUIS_DATOS!$C$1501,CROQUIS_DATOS!$C$1505,CROQUIS_DATOS!$C$1509,CROQUIS_DATOS!$C$1513,CROQUIS_DATOS!$C$1517)=1,CROQUIS_DATOS!$C$1557,0),2)=1,1,0),IF(MOD(MIN(INT((MOD($A303-1,62)+1-2)/2)+1,MAX(IF(CHOOSE(MIN(MAX(MIN(INT(($A303-1)/62)+1,5),1),5),CROQUIS_DATOS!$C$1501,CROQUIS_DATOS!$C$1505,CROQUIS_DATOS!$C$1509,CROQUIS_DATOS!$C$1513,CROQUIS_DATOS!$C$1517)=1,CROQUIS_DATOS!$C$1557,0),1)),2)=1,IF(MOD(MOD($A303-1,62)+1-2,2)=0,0,1),IF(MOD(MOD($A303-1,62)+1-2,2)=0,1,0))))=0,(CHOOSE(MIN(MAX(MIN(INT(($A303-1)/62)+1,5),1),5),CROQUIS_DATOS!$C$1499,CROQUIS_DATOS!$C$1503,CROQUIS_DATOS!$C$1507,CROQUIS_DATOS!$C$1511,CROQUIS_DATOS!$C$1515)+IF(CHOOSE(MIN(MAX(MIN(INT(($A303-1)/62)+1,5),1),5),CROQUIS_DATOS!$C$1501,CROQUIS_DATOS!$C$1505,CROQUIS_DATOS!$C$1509,CROQUIS_DATOS!$C$1513,CROQUIS_DATOS!$C$1517)=1,CROQUIS_DATOS!$C$1526,0)),(CHOOSE(MIN(MAX(MIN(INT(($A303-1)/62)+1,5),1),5),CROQUIS_DATOS!$C$1499,CROQUIS_DATOS!$C$1503,CROQUIS_DATOS!$C$1507,CROQUIS_DATOS!$C$1511,CROQUIS_DATOS!$C$1515)+CHOOSE(MIN(MAX(MIN(INT(($A303-1)/62)+1,5),1),5),CROQUIS_DATOS!$C$1500,CROQUIS_DATOS!$C$1504,CROQUIS_DATOS!$C$1508,CROQUIS_DATOS!$C$1512,CROQUIS_DATOS!$C$1516)-IF(CHOOSE(MIN(MAX(MIN(INT(($A303-1)/62)+1,5),1),5),CROQUIS_DATOS!$C$1501,CROQUIS_DATOS!$C$1505,CROQUIS_DATOS!$C$1509,CROQUIS_DATOS!$C$1513,CROQUIS_DATOS!$C$1517)=1,CROQUIS_DATOS!$C$1526,0))))*CROQUIS_DATOS!$C$1562),-1000)</f>
        <v>-1000</v>
      </c>
      <c r="Q303">
        <f>IF(AND(CROQUIS_DATOS!$C$1472=1,CROQUIS_DATOS!$C$1555=1),(CROQUIS_DATOS!$C$1564+(IF(OR(OR(MOD($A303-1,62)+1=1,IF(CHOOSE(MIN(MAX(MIN(INT(($A303-1)/62)+1,5),1),5),CROQUIS_DATOS!$C$1501,CROQUIS_DATOS!$C$1505,CROQUIS_DATOS!$C$1509,CROQUIS_DATOS!$C$1513,CROQUIS_DATOS!$C$1517)=1,CROQUIS_DATOS!$C$1557,0)=0),MOD($A303-1,62)+1&gt;2*IF(CHOOSE(MIN(MAX(MIN(INT(($A303-1)/62)+1,5),1),5),CROQUIS_DATOS!$C$1501,CROQUIS_DATOS!$C$1505,CROQUIS_DATOS!$C$1509,CROQUIS_DATOS!$C$1513,CROQUIS_DATOS!$C$1517)=1,CROQUIS_DATOS!$C$1557,0)+1),CROQUIS_DATOS!$C$1476,MIN(INT((MOD($A303-1,62)+1-2)/2)+1,MAX(IF(CHOOSE(MIN(MAX(MIN(INT(($A303-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4">
      <c r="A304" t="n">
        <v>297</v>
      </c>
      <c r="N304">
        <f>IF(AND(CROQUIS_DATOS!$C$1472=1,1),(CROQUIS_DATOS!$C$1563+(IF(IF(IF(INT(($A304-1)/70)+1&gt;CROQUIS_DATOS!$C$1525,70,MOD($A304-1,70)+1)=1,0,IF(IF(INT(($A304-1)/70)+1&gt;CROQUIS_DATOS!$C$1525,70,MOD($A304-1,70)+1)&gt;2*CROQUIS_DATOS!$C$1541+1,IF(MOD(CROQUIS_DATOS!$C$1541,2)=1,1,0),IF(MOD(MIN(INT((IF(INT(($A304-1)/70)+1&gt;CROQUIS_DATOS!$C$1525,70,MOD($A304-1,70)+1)-2)/2)+1,CROQUIS_DATOS!$C$1541),2)=1,IF(MOD(IF(INT(($A304-1)/70)+1&gt;CROQUIS_DATOS!$C$1525,70,MOD($A304-1,70)+1)-2,2)=0,0,1),IF(MOD(IF(INT(($A304-1)/70)+1&gt;CROQUIS_DATOS!$C$1525,70,MOD($A304-1,70)+1)-2,2)=0,1,0))))=0,(INDEX($E$8:$E$23,MIN(INT(($A304-1)/70)+1,CROQUIS_DATOS!$C$1525))-INDEX($F$8:$F$23,MIN(INT(($A304-1)/70)+1,CROQUIS_DATOS!$C$1525))/2),(INDEX($E$8:$E$23,MIN(INT(($A304-1)/70)+1,CROQUIS_DATOS!$C$1525))+INDEX($F$8:$F$23,MIN(INT(($A304-1)/70)+1,CROQUIS_DATOS!$C$1525))/2)))*CROQUIS_DATOS!$C$1562),-1000)</f>
        <v>68.1551724137931</v>
      </c>
      <c r="O304">
        <f>IF(AND(CROQUIS_DATOS!$C$1472=1,1),(CROQUIS_DATOS!$C$1564+(IF(OR(IF(INT(($A304-1)/70)+1&gt;CROQUIS_DATOS!$C$1525,70,MOD($A304-1,70)+1)=1,IF(INT(($A304-1)/70)+1&gt;CROQUIS_DATOS!$C$1525,70,MOD($A304-1,70)+1)&gt;2*CROQUIS_DATOS!$C$1541+1),CROQUIS_DATOS!$C$1476,INDEX($H$8:$H$41,MIN(INT((IF(INT(($A304-1)/70)+1&gt;CROQUIS_DATOS!$C$1525,70,MOD($A304-1,70)+1)-2)/2)+1,CROQUIS_DATOS!$C$1541))))*CROQUIS_DATOS!$C$1561*CROQUIS_DATOS!$C$1562),-1000)</f>
        <v>18.676724137931</v>
      </c>
      <c r="P304">
        <f>IF(AND(CROQUIS_DATOS!$C$1472=1,CROQUIS_DATOS!$C$1555=1),(CROQUIS_DATOS!$C$1563+(IF(IF(OR(MOD($A304-1,62)+1=1,IF(CHOOSE(MIN(MAX(MIN(INT(($A304-1)/62)+1,5),1),5),CROQUIS_DATOS!$C$1501,CROQUIS_DATOS!$C$1505,CROQUIS_DATOS!$C$1509,CROQUIS_DATOS!$C$1513,CROQUIS_DATOS!$C$1517)=1,CROQUIS_DATOS!$C$1557,0)=0),0,IF(MOD($A304-1,62)+1&gt;2*IF(CHOOSE(MIN(MAX(MIN(INT(($A304-1)/62)+1,5),1),5),CROQUIS_DATOS!$C$1501,CROQUIS_DATOS!$C$1505,CROQUIS_DATOS!$C$1509,CROQUIS_DATOS!$C$1513,CROQUIS_DATOS!$C$1517)=1,CROQUIS_DATOS!$C$1557,0)+1,IF(MOD(IF(CHOOSE(MIN(MAX(MIN(INT(($A304-1)/62)+1,5),1),5),CROQUIS_DATOS!$C$1501,CROQUIS_DATOS!$C$1505,CROQUIS_DATOS!$C$1509,CROQUIS_DATOS!$C$1513,CROQUIS_DATOS!$C$1517)=1,CROQUIS_DATOS!$C$1557,0),2)=1,1,0),IF(MOD(MIN(INT((MOD($A304-1,62)+1-2)/2)+1,MAX(IF(CHOOSE(MIN(MAX(MIN(INT(($A304-1)/62)+1,5),1),5),CROQUIS_DATOS!$C$1501,CROQUIS_DATOS!$C$1505,CROQUIS_DATOS!$C$1509,CROQUIS_DATOS!$C$1513,CROQUIS_DATOS!$C$1517)=1,CROQUIS_DATOS!$C$1557,0),1)),2)=1,IF(MOD(MOD($A304-1,62)+1-2,2)=0,0,1),IF(MOD(MOD($A304-1,62)+1-2,2)=0,1,0))))=0,(CHOOSE(MIN(MAX(MIN(INT(($A304-1)/62)+1,5),1),5),CROQUIS_DATOS!$C$1499,CROQUIS_DATOS!$C$1503,CROQUIS_DATOS!$C$1507,CROQUIS_DATOS!$C$1511,CROQUIS_DATOS!$C$1515)+IF(CHOOSE(MIN(MAX(MIN(INT(($A304-1)/62)+1,5),1),5),CROQUIS_DATOS!$C$1501,CROQUIS_DATOS!$C$1505,CROQUIS_DATOS!$C$1509,CROQUIS_DATOS!$C$1513,CROQUIS_DATOS!$C$1517)=1,CROQUIS_DATOS!$C$1526,0)),(CHOOSE(MIN(MAX(MIN(INT(($A304-1)/62)+1,5),1),5),CROQUIS_DATOS!$C$1499,CROQUIS_DATOS!$C$1503,CROQUIS_DATOS!$C$1507,CROQUIS_DATOS!$C$1511,CROQUIS_DATOS!$C$1515)+CHOOSE(MIN(MAX(MIN(INT(($A304-1)/62)+1,5),1),5),CROQUIS_DATOS!$C$1500,CROQUIS_DATOS!$C$1504,CROQUIS_DATOS!$C$1508,CROQUIS_DATOS!$C$1512,CROQUIS_DATOS!$C$1516)-IF(CHOOSE(MIN(MAX(MIN(INT(($A304-1)/62)+1,5),1),5),CROQUIS_DATOS!$C$1501,CROQUIS_DATOS!$C$1505,CROQUIS_DATOS!$C$1509,CROQUIS_DATOS!$C$1513,CROQUIS_DATOS!$C$1517)=1,CROQUIS_DATOS!$C$1526,0))))*CROQUIS_DATOS!$C$1562),-1000)</f>
        <v>-1000</v>
      </c>
      <c r="Q304">
        <f>IF(AND(CROQUIS_DATOS!$C$1472=1,CROQUIS_DATOS!$C$1555=1),(CROQUIS_DATOS!$C$1564+(IF(OR(OR(MOD($A304-1,62)+1=1,IF(CHOOSE(MIN(MAX(MIN(INT(($A304-1)/62)+1,5),1),5),CROQUIS_DATOS!$C$1501,CROQUIS_DATOS!$C$1505,CROQUIS_DATOS!$C$1509,CROQUIS_DATOS!$C$1513,CROQUIS_DATOS!$C$1517)=1,CROQUIS_DATOS!$C$1557,0)=0),MOD($A304-1,62)+1&gt;2*IF(CHOOSE(MIN(MAX(MIN(INT(($A304-1)/62)+1,5),1),5),CROQUIS_DATOS!$C$1501,CROQUIS_DATOS!$C$1505,CROQUIS_DATOS!$C$1509,CROQUIS_DATOS!$C$1513,CROQUIS_DATOS!$C$1517)=1,CROQUIS_DATOS!$C$1557,0)+1),CROQUIS_DATOS!$C$1476,MIN(INT((MOD($A304-1,62)+1-2)/2)+1,MAX(IF(CHOOSE(MIN(MAX(MIN(INT(($A304-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5">
      <c r="A305" t="n">
        <v>298</v>
      </c>
      <c r="N305">
        <f>IF(AND(CROQUIS_DATOS!$C$1472=1,1),(CROQUIS_DATOS!$C$1563+(IF(IF(IF(INT(($A305-1)/70)+1&gt;CROQUIS_DATOS!$C$1525,70,MOD($A305-1,70)+1)=1,0,IF(IF(INT(($A305-1)/70)+1&gt;CROQUIS_DATOS!$C$1525,70,MOD($A305-1,70)+1)&gt;2*CROQUIS_DATOS!$C$1541+1,IF(MOD(CROQUIS_DATOS!$C$1541,2)=1,1,0),IF(MOD(MIN(INT((IF(INT(($A305-1)/70)+1&gt;CROQUIS_DATOS!$C$1525,70,MOD($A305-1,70)+1)-2)/2)+1,CROQUIS_DATOS!$C$1541),2)=1,IF(MOD(IF(INT(($A305-1)/70)+1&gt;CROQUIS_DATOS!$C$1525,70,MOD($A305-1,70)+1)-2,2)=0,0,1),IF(MOD(IF(INT(($A305-1)/70)+1&gt;CROQUIS_DATOS!$C$1525,70,MOD($A305-1,70)+1)-2,2)=0,1,0))))=0,(INDEX($E$8:$E$23,MIN(INT(($A305-1)/70)+1,CROQUIS_DATOS!$C$1525))-INDEX($F$8:$F$23,MIN(INT(($A305-1)/70)+1,CROQUIS_DATOS!$C$1525))/2),(INDEX($E$8:$E$23,MIN(INT(($A305-1)/70)+1,CROQUIS_DATOS!$C$1525))+INDEX($F$8:$F$23,MIN(INT(($A305-1)/70)+1,CROQUIS_DATOS!$C$1525))/2)))*CROQUIS_DATOS!$C$1562),-1000)</f>
        <v>68.1551724137931</v>
      </c>
      <c r="O305">
        <f>IF(AND(CROQUIS_DATOS!$C$1472=1,1),(CROQUIS_DATOS!$C$1564+(IF(OR(IF(INT(($A305-1)/70)+1&gt;CROQUIS_DATOS!$C$1525,70,MOD($A305-1,70)+1)=1,IF(INT(($A305-1)/70)+1&gt;CROQUIS_DATOS!$C$1525,70,MOD($A305-1,70)+1)&gt;2*CROQUIS_DATOS!$C$1541+1),CROQUIS_DATOS!$C$1476,INDEX($H$8:$H$41,MIN(INT((IF(INT(($A305-1)/70)+1&gt;CROQUIS_DATOS!$C$1525,70,MOD($A305-1,70)+1)-2)/2)+1,CROQUIS_DATOS!$C$1541))))*CROQUIS_DATOS!$C$1561*CROQUIS_DATOS!$C$1562),-1000)</f>
        <v>21.3922413793103</v>
      </c>
      <c r="P305">
        <f>IF(AND(CROQUIS_DATOS!$C$1472=1,CROQUIS_DATOS!$C$1555=1),(CROQUIS_DATOS!$C$1563+(IF(IF(OR(MOD($A305-1,62)+1=1,IF(CHOOSE(MIN(MAX(MIN(INT(($A305-1)/62)+1,5),1),5),CROQUIS_DATOS!$C$1501,CROQUIS_DATOS!$C$1505,CROQUIS_DATOS!$C$1509,CROQUIS_DATOS!$C$1513,CROQUIS_DATOS!$C$1517)=1,CROQUIS_DATOS!$C$1557,0)=0),0,IF(MOD($A305-1,62)+1&gt;2*IF(CHOOSE(MIN(MAX(MIN(INT(($A305-1)/62)+1,5),1),5),CROQUIS_DATOS!$C$1501,CROQUIS_DATOS!$C$1505,CROQUIS_DATOS!$C$1509,CROQUIS_DATOS!$C$1513,CROQUIS_DATOS!$C$1517)=1,CROQUIS_DATOS!$C$1557,0)+1,IF(MOD(IF(CHOOSE(MIN(MAX(MIN(INT(($A305-1)/62)+1,5),1),5),CROQUIS_DATOS!$C$1501,CROQUIS_DATOS!$C$1505,CROQUIS_DATOS!$C$1509,CROQUIS_DATOS!$C$1513,CROQUIS_DATOS!$C$1517)=1,CROQUIS_DATOS!$C$1557,0),2)=1,1,0),IF(MOD(MIN(INT((MOD($A305-1,62)+1-2)/2)+1,MAX(IF(CHOOSE(MIN(MAX(MIN(INT(($A305-1)/62)+1,5),1),5),CROQUIS_DATOS!$C$1501,CROQUIS_DATOS!$C$1505,CROQUIS_DATOS!$C$1509,CROQUIS_DATOS!$C$1513,CROQUIS_DATOS!$C$1517)=1,CROQUIS_DATOS!$C$1557,0),1)),2)=1,IF(MOD(MOD($A305-1,62)+1-2,2)=0,0,1),IF(MOD(MOD($A305-1,62)+1-2,2)=0,1,0))))=0,(CHOOSE(MIN(MAX(MIN(INT(($A305-1)/62)+1,5),1),5),CROQUIS_DATOS!$C$1499,CROQUIS_DATOS!$C$1503,CROQUIS_DATOS!$C$1507,CROQUIS_DATOS!$C$1511,CROQUIS_DATOS!$C$1515)+IF(CHOOSE(MIN(MAX(MIN(INT(($A305-1)/62)+1,5),1),5),CROQUIS_DATOS!$C$1501,CROQUIS_DATOS!$C$1505,CROQUIS_DATOS!$C$1509,CROQUIS_DATOS!$C$1513,CROQUIS_DATOS!$C$1517)=1,CROQUIS_DATOS!$C$1526,0)),(CHOOSE(MIN(MAX(MIN(INT(($A305-1)/62)+1,5),1),5),CROQUIS_DATOS!$C$1499,CROQUIS_DATOS!$C$1503,CROQUIS_DATOS!$C$1507,CROQUIS_DATOS!$C$1511,CROQUIS_DATOS!$C$1515)+CHOOSE(MIN(MAX(MIN(INT(($A305-1)/62)+1,5),1),5),CROQUIS_DATOS!$C$1500,CROQUIS_DATOS!$C$1504,CROQUIS_DATOS!$C$1508,CROQUIS_DATOS!$C$1512,CROQUIS_DATOS!$C$1516)-IF(CHOOSE(MIN(MAX(MIN(INT(($A305-1)/62)+1,5),1),5),CROQUIS_DATOS!$C$1501,CROQUIS_DATOS!$C$1505,CROQUIS_DATOS!$C$1509,CROQUIS_DATOS!$C$1513,CROQUIS_DATOS!$C$1517)=1,CROQUIS_DATOS!$C$1526,0))))*CROQUIS_DATOS!$C$1562),-1000)</f>
        <v>-1000</v>
      </c>
      <c r="Q305">
        <f>IF(AND(CROQUIS_DATOS!$C$1472=1,CROQUIS_DATOS!$C$1555=1),(CROQUIS_DATOS!$C$1564+(IF(OR(OR(MOD($A305-1,62)+1=1,IF(CHOOSE(MIN(MAX(MIN(INT(($A305-1)/62)+1,5),1),5),CROQUIS_DATOS!$C$1501,CROQUIS_DATOS!$C$1505,CROQUIS_DATOS!$C$1509,CROQUIS_DATOS!$C$1513,CROQUIS_DATOS!$C$1517)=1,CROQUIS_DATOS!$C$1557,0)=0),MOD($A305-1,62)+1&gt;2*IF(CHOOSE(MIN(MAX(MIN(INT(($A305-1)/62)+1,5),1),5),CROQUIS_DATOS!$C$1501,CROQUIS_DATOS!$C$1505,CROQUIS_DATOS!$C$1509,CROQUIS_DATOS!$C$1513,CROQUIS_DATOS!$C$1517)=1,CROQUIS_DATOS!$C$1557,0)+1),CROQUIS_DATOS!$C$1476,MIN(INT((MOD($A305-1,62)+1-2)/2)+1,MAX(IF(CHOOSE(MIN(MAX(MIN(INT(($A305-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6">
      <c r="A306" t="n">
        <v>299</v>
      </c>
      <c r="N306">
        <f>IF(AND(CROQUIS_DATOS!$C$1472=1,1),(CROQUIS_DATOS!$C$1563+(IF(IF(IF(INT(($A306-1)/70)+1&gt;CROQUIS_DATOS!$C$1525,70,MOD($A306-1,70)+1)=1,0,IF(IF(INT(($A306-1)/70)+1&gt;CROQUIS_DATOS!$C$1525,70,MOD($A306-1,70)+1)&gt;2*CROQUIS_DATOS!$C$1541+1,IF(MOD(CROQUIS_DATOS!$C$1541,2)=1,1,0),IF(MOD(MIN(INT((IF(INT(($A306-1)/70)+1&gt;CROQUIS_DATOS!$C$1525,70,MOD($A306-1,70)+1)-2)/2)+1,CROQUIS_DATOS!$C$1541),2)=1,IF(MOD(IF(INT(($A306-1)/70)+1&gt;CROQUIS_DATOS!$C$1525,70,MOD($A306-1,70)+1)-2,2)=0,0,1),IF(MOD(IF(INT(($A306-1)/70)+1&gt;CROQUIS_DATOS!$C$1525,70,MOD($A306-1,70)+1)-2,2)=0,1,0))))=0,(INDEX($E$8:$E$23,MIN(INT(($A306-1)/70)+1,CROQUIS_DATOS!$C$1525))-INDEX($F$8:$F$23,MIN(INT(($A306-1)/70)+1,CROQUIS_DATOS!$C$1525))/2),(INDEX($E$8:$E$23,MIN(INT(($A306-1)/70)+1,CROQUIS_DATOS!$C$1525))+INDEX($F$8:$F$23,MIN(INT(($A306-1)/70)+1,CROQUIS_DATOS!$C$1525))/2)))*CROQUIS_DATOS!$C$1562),-1000)</f>
        <v>70.25</v>
      </c>
      <c r="O306">
        <f>IF(AND(CROQUIS_DATOS!$C$1472=1,1),(CROQUIS_DATOS!$C$1564+(IF(OR(IF(INT(($A306-1)/70)+1&gt;CROQUIS_DATOS!$C$1525,70,MOD($A306-1,70)+1)=1,IF(INT(($A306-1)/70)+1&gt;CROQUIS_DATOS!$C$1525,70,MOD($A306-1,70)+1)&gt;2*CROQUIS_DATOS!$C$1541+1),CROQUIS_DATOS!$C$1476,INDEX($H$8:$H$41,MIN(INT((IF(INT(($A306-1)/70)+1&gt;CROQUIS_DATOS!$C$1525,70,MOD($A306-1,70)+1)-2)/2)+1,CROQUIS_DATOS!$C$1541))))*CROQUIS_DATOS!$C$1561*CROQUIS_DATOS!$C$1562),-1000)</f>
        <v>21.3922413793103</v>
      </c>
      <c r="P306">
        <f>IF(AND(CROQUIS_DATOS!$C$1472=1,CROQUIS_DATOS!$C$1555=1),(CROQUIS_DATOS!$C$1563+(IF(IF(OR(MOD($A306-1,62)+1=1,IF(CHOOSE(MIN(MAX(MIN(INT(($A306-1)/62)+1,5),1),5),CROQUIS_DATOS!$C$1501,CROQUIS_DATOS!$C$1505,CROQUIS_DATOS!$C$1509,CROQUIS_DATOS!$C$1513,CROQUIS_DATOS!$C$1517)=1,CROQUIS_DATOS!$C$1557,0)=0),0,IF(MOD($A306-1,62)+1&gt;2*IF(CHOOSE(MIN(MAX(MIN(INT(($A306-1)/62)+1,5),1),5),CROQUIS_DATOS!$C$1501,CROQUIS_DATOS!$C$1505,CROQUIS_DATOS!$C$1509,CROQUIS_DATOS!$C$1513,CROQUIS_DATOS!$C$1517)=1,CROQUIS_DATOS!$C$1557,0)+1,IF(MOD(IF(CHOOSE(MIN(MAX(MIN(INT(($A306-1)/62)+1,5),1),5),CROQUIS_DATOS!$C$1501,CROQUIS_DATOS!$C$1505,CROQUIS_DATOS!$C$1509,CROQUIS_DATOS!$C$1513,CROQUIS_DATOS!$C$1517)=1,CROQUIS_DATOS!$C$1557,0),2)=1,1,0),IF(MOD(MIN(INT((MOD($A306-1,62)+1-2)/2)+1,MAX(IF(CHOOSE(MIN(MAX(MIN(INT(($A306-1)/62)+1,5),1),5),CROQUIS_DATOS!$C$1501,CROQUIS_DATOS!$C$1505,CROQUIS_DATOS!$C$1509,CROQUIS_DATOS!$C$1513,CROQUIS_DATOS!$C$1517)=1,CROQUIS_DATOS!$C$1557,0),1)),2)=1,IF(MOD(MOD($A306-1,62)+1-2,2)=0,0,1),IF(MOD(MOD($A306-1,62)+1-2,2)=0,1,0))))=0,(CHOOSE(MIN(MAX(MIN(INT(($A306-1)/62)+1,5),1),5),CROQUIS_DATOS!$C$1499,CROQUIS_DATOS!$C$1503,CROQUIS_DATOS!$C$1507,CROQUIS_DATOS!$C$1511,CROQUIS_DATOS!$C$1515)+IF(CHOOSE(MIN(MAX(MIN(INT(($A306-1)/62)+1,5),1),5),CROQUIS_DATOS!$C$1501,CROQUIS_DATOS!$C$1505,CROQUIS_DATOS!$C$1509,CROQUIS_DATOS!$C$1513,CROQUIS_DATOS!$C$1517)=1,CROQUIS_DATOS!$C$1526,0)),(CHOOSE(MIN(MAX(MIN(INT(($A306-1)/62)+1,5),1),5),CROQUIS_DATOS!$C$1499,CROQUIS_DATOS!$C$1503,CROQUIS_DATOS!$C$1507,CROQUIS_DATOS!$C$1511,CROQUIS_DATOS!$C$1515)+CHOOSE(MIN(MAX(MIN(INT(($A306-1)/62)+1,5),1),5),CROQUIS_DATOS!$C$1500,CROQUIS_DATOS!$C$1504,CROQUIS_DATOS!$C$1508,CROQUIS_DATOS!$C$1512,CROQUIS_DATOS!$C$1516)-IF(CHOOSE(MIN(MAX(MIN(INT(($A306-1)/62)+1,5),1),5),CROQUIS_DATOS!$C$1501,CROQUIS_DATOS!$C$1505,CROQUIS_DATOS!$C$1509,CROQUIS_DATOS!$C$1513,CROQUIS_DATOS!$C$1517)=1,CROQUIS_DATOS!$C$1526,0))))*CROQUIS_DATOS!$C$1562),-1000)</f>
        <v>-1000</v>
      </c>
      <c r="Q306">
        <f>IF(AND(CROQUIS_DATOS!$C$1472=1,CROQUIS_DATOS!$C$1555=1),(CROQUIS_DATOS!$C$1564+(IF(OR(OR(MOD($A306-1,62)+1=1,IF(CHOOSE(MIN(MAX(MIN(INT(($A306-1)/62)+1,5),1),5),CROQUIS_DATOS!$C$1501,CROQUIS_DATOS!$C$1505,CROQUIS_DATOS!$C$1509,CROQUIS_DATOS!$C$1513,CROQUIS_DATOS!$C$1517)=1,CROQUIS_DATOS!$C$1557,0)=0),MOD($A306-1,62)+1&gt;2*IF(CHOOSE(MIN(MAX(MIN(INT(($A306-1)/62)+1,5),1),5),CROQUIS_DATOS!$C$1501,CROQUIS_DATOS!$C$1505,CROQUIS_DATOS!$C$1509,CROQUIS_DATOS!$C$1513,CROQUIS_DATOS!$C$1517)=1,CROQUIS_DATOS!$C$1557,0)+1),CROQUIS_DATOS!$C$1476,MIN(INT((MOD($A306-1,62)+1-2)/2)+1,MAX(IF(CHOOSE(MIN(MAX(MIN(INT(($A306-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7">
      <c r="A307" t="n">
        <v>300</v>
      </c>
      <c r="N307">
        <f>IF(AND(CROQUIS_DATOS!$C$1472=1,1),(CROQUIS_DATOS!$C$1563+(IF(IF(IF(INT(($A307-1)/70)+1&gt;CROQUIS_DATOS!$C$1525,70,MOD($A307-1,70)+1)=1,0,IF(IF(INT(($A307-1)/70)+1&gt;CROQUIS_DATOS!$C$1525,70,MOD($A307-1,70)+1)&gt;2*CROQUIS_DATOS!$C$1541+1,IF(MOD(CROQUIS_DATOS!$C$1541,2)=1,1,0),IF(MOD(MIN(INT((IF(INT(($A307-1)/70)+1&gt;CROQUIS_DATOS!$C$1525,70,MOD($A307-1,70)+1)-2)/2)+1,CROQUIS_DATOS!$C$1541),2)=1,IF(MOD(IF(INT(($A307-1)/70)+1&gt;CROQUIS_DATOS!$C$1525,70,MOD($A307-1,70)+1)-2,2)=0,0,1),IF(MOD(IF(INT(($A307-1)/70)+1&gt;CROQUIS_DATOS!$C$1525,70,MOD($A307-1,70)+1)-2,2)=0,1,0))))=0,(INDEX($E$8:$E$23,MIN(INT(($A307-1)/70)+1,CROQUIS_DATOS!$C$1525))-INDEX($F$8:$F$23,MIN(INT(($A307-1)/70)+1,CROQUIS_DATOS!$C$1525))/2),(INDEX($E$8:$E$23,MIN(INT(($A307-1)/70)+1,CROQUIS_DATOS!$C$1525))+INDEX($F$8:$F$23,MIN(INT(($A307-1)/70)+1,CROQUIS_DATOS!$C$1525))/2)))*CROQUIS_DATOS!$C$1562),-1000)</f>
        <v>70.25</v>
      </c>
      <c r="O307">
        <f>IF(AND(CROQUIS_DATOS!$C$1472=1,1),(CROQUIS_DATOS!$C$1564+(IF(OR(IF(INT(($A307-1)/70)+1&gt;CROQUIS_DATOS!$C$1525,70,MOD($A307-1,70)+1)=1,IF(INT(($A307-1)/70)+1&gt;CROQUIS_DATOS!$C$1525,70,MOD($A307-1,70)+1)&gt;2*CROQUIS_DATOS!$C$1541+1),CROQUIS_DATOS!$C$1476,INDEX($H$8:$H$41,MIN(INT((IF(INT(($A307-1)/70)+1&gt;CROQUIS_DATOS!$C$1525,70,MOD($A307-1,70)+1)-2)/2)+1,CROQUIS_DATOS!$C$1541))))*CROQUIS_DATOS!$C$1561*CROQUIS_DATOS!$C$1562),-1000)</f>
        <v>24.1077586206897</v>
      </c>
      <c r="P307">
        <f>IF(AND(CROQUIS_DATOS!$C$1472=1,CROQUIS_DATOS!$C$1555=1),(CROQUIS_DATOS!$C$1563+(IF(IF(OR(MOD($A307-1,62)+1=1,IF(CHOOSE(MIN(MAX(MIN(INT(($A307-1)/62)+1,5),1),5),CROQUIS_DATOS!$C$1501,CROQUIS_DATOS!$C$1505,CROQUIS_DATOS!$C$1509,CROQUIS_DATOS!$C$1513,CROQUIS_DATOS!$C$1517)=1,CROQUIS_DATOS!$C$1557,0)=0),0,IF(MOD($A307-1,62)+1&gt;2*IF(CHOOSE(MIN(MAX(MIN(INT(($A307-1)/62)+1,5),1),5),CROQUIS_DATOS!$C$1501,CROQUIS_DATOS!$C$1505,CROQUIS_DATOS!$C$1509,CROQUIS_DATOS!$C$1513,CROQUIS_DATOS!$C$1517)=1,CROQUIS_DATOS!$C$1557,0)+1,IF(MOD(IF(CHOOSE(MIN(MAX(MIN(INT(($A307-1)/62)+1,5),1),5),CROQUIS_DATOS!$C$1501,CROQUIS_DATOS!$C$1505,CROQUIS_DATOS!$C$1509,CROQUIS_DATOS!$C$1513,CROQUIS_DATOS!$C$1517)=1,CROQUIS_DATOS!$C$1557,0),2)=1,1,0),IF(MOD(MIN(INT((MOD($A307-1,62)+1-2)/2)+1,MAX(IF(CHOOSE(MIN(MAX(MIN(INT(($A307-1)/62)+1,5),1),5),CROQUIS_DATOS!$C$1501,CROQUIS_DATOS!$C$1505,CROQUIS_DATOS!$C$1509,CROQUIS_DATOS!$C$1513,CROQUIS_DATOS!$C$1517)=1,CROQUIS_DATOS!$C$1557,0),1)),2)=1,IF(MOD(MOD($A307-1,62)+1-2,2)=0,0,1),IF(MOD(MOD($A307-1,62)+1-2,2)=0,1,0))))=0,(CHOOSE(MIN(MAX(MIN(INT(($A307-1)/62)+1,5),1),5),CROQUIS_DATOS!$C$1499,CROQUIS_DATOS!$C$1503,CROQUIS_DATOS!$C$1507,CROQUIS_DATOS!$C$1511,CROQUIS_DATOS!$C$1515)+IF(CHOOSE(MIN(MAX(MIN(INT(($A307-1)/62)+1,5),1),5),CROQUIS_DATOS!$C$1501,CROQUIS_DATOS!$C$1505,CROQUIS_DATOS!$C$1509,CROQUIS_DATOS!$C$1513,CROQUIS_DATOS!$C$1517)=1,CROQUIS_DATOS!$C$1526,0)),(CHOOSE(MIN(MAX(MIN(INT(($A307-1)/62)+1,5),1),5),CROQUIS_DATOS!$C$1499,CROQUIS_DATOS!$C$1503,CROQUIS_DATOS!$C$1507,CROQUIS_DATOS!$C$1511,CROQUIS_DATOS!$C$1515)+CHOOSE(MIN(MAX(MIN(INT(($A307-1)/62)+1,5),1),5),CROQUIS_DATOS!$C$1500,CROQUIS_DATOS!$C$1504,CROQUIS_DATOS!$C$1508,CROQUIS_DATOS!$C$1512,CROQUIS_DATOS!$C$1516)-IF(CHOOSE(MIN(MAX(MIN(INT(($A307-1)/62)+1,5),1),5),CROQUIS_DATOS!$C$1501,CROQUIS_DATOS!$C$1505,CROQUIS_DATOS!$C$1509,CROQUIS_DATOS!$C$1513,CROQUIS_DATOS!$C$1517)=1,CROQUIS_DATOS!$C$1526,0))))*CROQUIS_DATOS!$C$1562),-1000)</f>
        <v>-1000</v>
      </c>
      <c r="Q307">
        <f>IF(AND(CROQUIS_DATOS!$C$1472=1,CROQUIS_DATOS!$C$1555=1),(CROQUIS_DATOS!$C$1564+(IF(OR(OR(MOD($A307-1,62)+1=1,IF(CHOOSE(MIN(MAX(MIN(INT(($A307-1)/62)+1,5),1),5),CROQUIS_DATOS!$C$1501,CROQUIS_DATOS!$C$1505,CROQUIS_DATOS!$C$1509,CROQUIS_DATOS!$C$1513,CROQUIS_DATOS!$C$1517)=1,CROQUIS_DATOS!$C$1557,0)=0),MOD($A307-1,62)+1&gt;2*IF(CHOOSE(MIN(MAX(MIN(INT(($A307-1)/62)+1,5),1),5),CROQUIS_DATOS!$C$1501,CROQUIS_DATOS!$C$1505,CROQUIS_DATOS!$C$1509,CROQUIS_DATOS!$C$1513,CROQUIS_DATOS!$C$1517)=1,CROQUIS_DATOS!$C$1557,0)+1),CROQUIS_DATOS!$C$1476,MIN(INT((MOD($A307-1,62)+1-2)/2)+1,MAX(IF(CHOOSE(MIN(MAX(MIN(INT(($A307-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8">
      <c r="A308" t="n">
        <v>301</v>
      </c>
      <c r="N308">
        <f>IF(AND(CROQUIS_DATOS!$C$1472=1,1),(CROQUIS_DATOS!$C$1563+(IF(IF(IF(INT(($A308-1)/70)+1&gt;CROQUIS_DATOS!$C$1525,70,MOD($A308-1,70)+1)=1,0,IF(IF(INT(($A308-1)/70)+1&gt;CROQUIS_DATOS!$C$1525,70,MOD($A308-1,70)+1)&gt;2*CROQUIS_DATOS!$C$1541+1,IF(MOD(CROQUIS_DATOS!$C$1541,2)=1,1,0),IF(MOD(MIN(INT((IF(INT(($A308-1)/70)+1&gt;CROQUIS_DATOS!$C$1525,70,MOD($A308-1,70)+1)-2)/2)+1,CROQUIS_DATOS!$C$1541),2)=1,IF(MOD(IF(INT(($A308-1)/70)+1&gt;CROQUIS_DATOS!$C$1525,70,MOD($A308-1,70)+1)-2,2)=0,0,1),IF(MOD(IF(INT(($A308-1)/70)+1&gt;CROQUIS_DATOS!$C$1525,70,MOD($A308-1,70)+1)-2,2)=0,1,0))))=0,(INDEX($E$8:$E$23,MIN(INT(($A308-1)/70)+1,CROQUIS_DATOS!$C$1525))-INDEX($F$8:$F$23,MIN(INT(($A308-1)/70)+1,CROQUIS_DATOS!$C$1525))/2),(INDEX($E$8:$E$23,MIN(INT(($A308-1)/70)+1,CROQUIS_DATOS!$C$1525))+INDEX($F$8:$F$23,MIN(INT(($A308-1)/70)+1,CROQUIS_DATOS!$C$1525))/2)))*CROQUIS_DATOS!$C$1562),-1000)</f>
        <v>68.1551724137931</v>
      </c>
      <c r="O308">
        <f>IF(AND(CROQUIS_DATOS!$C$1472=1,1),(CROQUIS_DATOS!$C$1564+(IF(OR(IF(INT(($A308-1)/70)+1&gt;CROQUIS_DATOS!$C$1525,70,MOD($A308-1,70)+1)=1,IF(INT(($A308-1)/70)+1&gt;CROQUIS_DATOS!$C$1525,70,MOD($A308-1,70)+1)&gt;2*CROQUIS_DATOS!$C$1541+1),CROQUIS_DATOS!$C$1476,INDEX($H$8:$H$41,MIN(INT((IF(INT(($A308-1)/70)+1&gt;CROQUIS_DATOS!$C$1525,70,MOD($A308-1,70)+1)-2)/2)+1,CROQUIS_DATOS!$C$1541))))*CROQUIS_DATOS!$C$1561*CROQUIS_DATOS!$C$1562),-1000)</f>
        <v>24.1077586206897</v>
      </c>
      <c r="P308">
        <f>IF(AND(CROQUIS_DATOS!$C$1472=1,CROQUIS_DATOS!$C$1555=1),(CROQUIS_DATOS!$C$1563+(IF(IF(OR(MOD($A308-1,62)+1=1,IF(CHOOSE(MIN(MAX(MIN(INT(($A308-1)/62)+1,5),1),5),CROQUIS_DATOS!$C$1501,CROQUIS_DATOS!$C$1505,CROQUIS_DATOS!$C$1509,CROQUIS_DATOS!$C$1513,CROQUIS_DATOS!$C$1517)=1,CROQUIS_DATOS!$C$1557,0)=0),0,IF(MOD($A308-1,62)+1&gt;2*IF(CHOOSE(MIN(MAX(MIN(INT(($A308-1)/62)+1,5),1),5),CROQUIS_DATOS!$C$1501,CROQUIS_DATOS!$C$1505,CROQUIS_DATOS!$C$1509,CROQUIS_DATOS!$C$1513,CROQUIS_DATOS!$C$1517)=1,CROQUIS_DATOS!$C$1557,0)+1,IF(MOD(IF(CHOOSE(MIN(MAX(MIN(INT(($A308-1)/62)+1,5),1),5),CROQUIS_DATOS!$C$1501,CROQUIS_DATOS!$C$1505,CROQUIS_DATOS!$C$1509,CROQUIS_DATOS!$C$1513,CROQUIS_DATOS!$C$1517)=1,CROQUIS_DATOS!$C$1557,0),2)=1,1,0),IF(MOD(MIN(INT((MOD($A308-1,62)+1-2)/2)+1,MAX(IF(CHOOSE(MIN(MAX(MIN(INT(($A308-1)/62)+1,5),1),5),CROQUIS_DATOS!$C$1501,CROQUIS_DATOS!$C$1505,CROQUIS_DATOS!$C$1509,CROQUIS_DATOS!$C$1513,CROQUIS_DATOS!$C$1517)=1,CROQUIS_DATOS!$C$1557,0),1)),2)=1,IF(MOD(MOD($A308-1,62)+1-2,2)=0,0,1),IF(MOD(MOD($A308-1,62)+1-2,2)=0,1,0))))=0,(CHOOSE(MIN(MAX(MIN(INT(($A308-1)/62)+1,5),1),5),CROQUIS_DATOS!$C$1499,CROQUIS_DATOS!$C$1503,CROQUIS_DATOS!$C$1507,CROQUIS_DATOS!$C$1511,CROQUIS_DATOS!$C$1515)+IF(CHOOSE(MIN(MAX(MIN(INT(($A308-1)/62)+1,5),1),5),CROQUIS_DATOS!$C$1501,CROQUIS_DATOS!$C$1505,CROQUIS_DATOS!$C$1509,CROQUIS_DATOS!$C$1513,CROQUIS_DATOS!$C$1517)=1,CROQUIS_DATOS!$C$1526,0)),(CHOOSE(MIN(MAX(MIN(INT(($A308-1)/62)+1,5),1),5),CROQUIS_DATOS!$C$1499,CROQUIS_DATOS!$C$1503,CROQUIS_DATOS!$C$1507,CROQUIS_DATOS!$C$1511,CROQUIS_DATOS!$C$1515)+CHOOSE(MIN(MAX(MIN(INT(($A308-1)/62)+1,5),1),5),CROQUIS_DATOS!$C$1500,CROQUIS_DATOS!$C$1504,CROQUIS_DATOS!$C$1508,CROQUIS_DATOS!$C$1512,CROQUIS_DATOS!$C$1516)-IF(CHOOSE(MIN(MAX(MIN(INT(($A308-1)/62)+1,5),1),5),CROQUIS_DATOS!$C$1501,CROQUIS_DATOS!$C$1505,CROQUIS_DATOS!$C$1509,CROQUIS_DATOS!$C$1513,CROQUIS_DATOS!$C$1517)=1,CROQUIS_DATOS!$C$1526,0))))*CROQUIS_DATOS!$C$1562),-1000)</f>
        <v>-1000</v>
      </c>
      <c r="Q308">
        <f>IF(AND(CROQUIS_DATOS!$C$1472=1,CROQUIS_DATOS!$C$1555=1),(CROQUIS_DATOS!$C$1564+(IF(OR(OR(MOD($A308-1,62)+1=1,IF(CHOOSE(MIN(MAX(MIN(INT(($A308-1)/62)+1,5),1),5),CROQUIS_DATOS!$C$1501,CROQUIS_DATOS!$C$1505,CROQUIS_DATOS!$C$1509,CROQUIS_DATOS!$C$1513,CROQUIS_DATOS!$C$1517)=1,CROQUIS_DATOS!$C$1557,0)=0),MOD($A308-1,62)+1&gt;2*IF(CHOOSE(MIN(MAX(MIN(INT(($A308-1)/62)+1,5),1),5),CROQUIS_DATOS!$C$1501,CROQUIS_DATOS!$C$1505,CROQUIS_DATOS!$C$1509,CROQUIS_DATOS!$C$1513,CROQUIS_DATOS!$C$1517)=1,CROQUIS_DATOS!$C$1557,0)+1),CROQUIS_DATOS!$C$1476,MIN(INT((MOD($A308-1,62)+1-2)/2)+1,MAX(IF(CHOOSE(MIN(MAX(MIN(INT(($A308-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09">
      <c r="A309" t="n">
        <v>302</v>
      </c>
      <c r="N309">
        <f>IF(AND(CROQUIS_DATOS!$C$1472=1,1),(CROQUIS_DATOS!$C$1563+(IF(IF(IF(INT(($A309-1)/70)+1&gt;CROQUIS_DATOS!$C$1525,70,MOD($A309-1,70)+1)=1,0,IF(IF(INT(($A309-1)/70)+1&gt;CROQUIS_DATOS!$C$1525,70,MOD($A309-1,70)+1)&gt;2*CROQUIS_DATOS!$C$1541+1,IF(MOD(CROQUIS_DATOS!$C$1541,2)=1,1,0),IF(MOD(MIN(INT((IF(INT(($A309-1)/70)+1&gt;CROQUIS_DATOS!$C$1525,70,MOD($A309-1,70)+1)-2)/2)+1,CROQUIS_DATOS!$C$1541),2)=1,IF(MOD(IF(INT(($A309-1)/70)+1&gt;CROQUIS_DATOS!$C$1525,70,MOD($A309-1,70)+1)-2,2)=0,0,1),IF(MOD(IF(INT(($A309-1)/70)+1&gt;CROQUIS_DATOS!$C$1525,70,MOD($A309-1,70)+1)-2,2)=0,1,0))))=0,(INDEX($E$8:$E$23,MIN(INT(($A309-1)/70)+1,CROQUIS_DATOS!$C$1525))-INDEX($F$8:$F$23,MIN(INT(($A309-1)/70)+1,CROQUIS_DATOS!$C$1525))/2),(INDEX($E$8:$E$23,MIN(INT(($A309-1)/70)+1,CROQUIS_DATOS!$C$1525))+INDEX($F$8:$F$23,MIN(INT(($A309-1)/70)+1,CROQUIS_DATOS!$C$1525))/2)))*CROQUIS_DATOS!$C$1562),-1000)</f>
        <v>68.1551724137931</v>
      </c>
      <c r="O309">
        <f>IF(AND(CROQUIS_DATOS!$C$1472=1,1),(CROQUIS_DATOS!$C$1564+(IF(OR(IF(INT(($A309-1)/70)+1&gt;CROQUIS_DATOS!$C$1525,70,MOD($A309-1,70)+1)=1,IF(INT(($A309-1)/70)+1&gt;CROQUIS_DATOS!$C$1525,70,MOD($A309-1,70)+1)&gt;2*CROQUIS_DATOS!$C$1541+1),CROQUIS_DATOS!$C$1476,INDEX($H$8:$H$41,MIN(INT((IF(INT(($A309-1)/70)+1&gt;CROQUIS_DATOS!$C$1525,70,MOD($A309-1,70)+1)-2)/2)+1,CROQUIS_DATOS!$C$1541))))*CROQUIS_DATOS!$C$1561*CROQUIS_DATOS!$C$1562),-1000)</f>
        <v>26.823275862069</v>
      </c>
      <c r="P309">
        <f>IF(AND(CROQUIS_DATOS!$C$1472=1,CROQUIS_DATOS!$C$1555=1),(CROQUIS_DATOS!$C$1563+(IF(IF(OR(MOD($A309-1,62)+1=1,IF(CHOOSE(MIN(MAX(MIN(INT(($A309-1)/62)+1,5),1),5),CROQUIS_DATOS!$C$1501,CROQUIS_DATOS!$C$1505,CROQUIS_DATOS!$C$1509,CROQUIS_DATOS!$C$1513,CROQUIS_DATOS!$C$1517)=1,CROQUIS_DATOS!$C$1557,0)=0),0,IF(MOD($A309-1,62)+1&gt;2*IF(CHOOSE(MIN(MAX(MIN(INT(($A309-1)/62)+1,5),1),5),CROQUIS_DATOS!$C$1501,CROQUIS_DATOS!$C$1505,CROQUIS_DATOS!$C$1509,CROQUIS_DATOS!$C$1513,CROQUIS_DATOS!$C$1517)=1,CROQUIS_DATOS!$C$1557,0)+1,IF(MOD(IF(CHOOSE(MIN(MAX(MIN(INT(($A309-1)/62)+1,5),1),5),CROQUIS_DATOS!$C$1501,CROQUIS_DATOS!$C$1505,CROQUIS_DATOS!$C$1509,CROQUIS_DATOS!$C$1513,CROQUIS_DATOS!$C$1517)=1,CROQUIS_DATOS!$C$1557,0),2)=1,1,0),IF(MOD(MIN(INT((MOD($A309-1,62)+1-2)/2)+1,MAX(IF(CHOOSE(MIN(MAX(MIN(INT(($A309-1)/62)+1,5),1),5),CROQUIS_DATOS!$C$1501,CROQUIS_DATOS!$C$1505,CROQUIS_DATOS!$C$1509,CROQUIS_DATOS!$C$1513,CROQUIS_DATOS!$C$1517)=1,CROQUIS_DATOS!$C$1557,0),1)),2)=1,IF(MOD(MOD($A309-1,62)+1-2,2)=0,0,1),IF(MOD(MOD($A309-1,62)+1-2,2)=0,1,0))))=0,(CHOOSE(MIN(MAX(MIN(INT(($A309-1)/62)+1,5),1),5),CROQUIS_DATOS!$C$1499,CROQUIS_DATOS!$C$1503,CROQUIS_DATOS!$C$1507,CROQUIS_DATOS!$C$1511,CROQUIS_DATOS!$C$1515)+IF(CHOOSE(MIN(MAX(MIN(INT(($A309-1)/62)+1,5),1),5),CROQUIS_DATOS!$C$1501,CROQUIS_DATOS!$C$1505,CROQUIS_DATOS!$C$1509,CROQUIS_DATOS!$C$1513,CROQUIS_DATOS!$C$1517)=1,CROQUIS_DATOS!$C$1526,0)),(CHOOSE(MIN(MAX(MIN(INT(($A309-1)/62)+1,5),1),5),CROQUIS_DATOS!$C$1499,CROQUIS_DATOS!$C$1503,CROQUIS_DATOS!$C$1507,CROQUIS_DATOS!$C$1511,CROQUIS_DATOS!$C$1515)+CHOOSE(MIN(MAX(MIN(INT(($A309-1)/62)+1,5),1),5),CROQUIS_DATOS!$C$1500,CROQUIS_DATOS!$C$1504,CROQUIS_DATOS!$C$1508,CROQUIS_DATOS!$C$1512,CROQUIS_DATOS!$C$1516)-IF(CHOOSE(MIN(MAX(MIN(INT(($A309-1)/62)+1,5),1),5),CROQUIS_DATOS!$C$1501,CROQUIS_DATOS!$C$1505,CROQUIS_DATOS!$C$1509,CROQUIS_DATOS!$C$1513,CROQUIS_DATOS!$C$1517)=1,CROQUIS_DATOS!$C$1526,0))))*CROQUIS_DATOS!$C$1562),-1000)</f>
        <v>-1000</v>
      </c>
      <c r="Q309">
        <f>IF(AND(CROQUIS_DATOS!$C$1472=1,CROQUIS_DATOS!$C$1555=1),(CROQUIS_DATOS!$C$1564+(IF(OR(OR(MOD($A309-1,62)+1=1,IF(CHOOSE(MIN(MAX(MIN(INT(($A309-1)/62)+1,5),1),5),CROQUIS_DATOS!$C$1501,CROQUIS_DATOS!$C$1505,CROQUIS_DATOS!$C$1509,CROQUIS_DATOS!$C$1513,CROQUIS_DATOS!$C$1517)=1,CROQUIS_DATOS!$C$1557,0)=0),MOD($A309-1,62)+1&gt;2*IF(CHOOSE(MIN(MAX(MIN(INT(($A309-1)/62)+1,5),1),5),CROQUIS_DATOS!$C$1501,CROQUIS_DATOS!$C$1505,CROQUIS_DATOS!$C$1509,CROQUIS_DATOS!$C$1513,CROQUIS_DATOS!$C$1517)=1,CROQUIS_DATOS!$C$1557,0)+1),CROQUIS_DATOS!$C$1476,MIN(INT((MOD($A309-1,62)+1-2)/2)+1,MAX(IF(CHOOSE(MIN(MAX(MIN(INT(($A309-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0">
      <c r="A310" t="n">
        <v>303</v>
      </c>
      <c r="N310">
        <f>IF(AND(CROQUIS_DATOS!$C$1472=1,1),(CROQUIS_DATOS!$C$1563+(IF(IF(IF(INT(($A310-1)/70)+1&gt;CROQUIS_DATOS!$C$1525,70,MOD($A310-1,70)+1)=1,0,IF(IF(INT(($A310-1)/70)+1&gt;CROQUIS_DATOS!$C$1525,70,MOD($A310-1,70)+1)&gt;2*CROQUIS_DATOS!$C$1541+1,IF(MOD(CROQUIS_DATOS!$C$1541,2)=1,1,0),IF(MOD(MIN(INT((IF(INT(($A310-1)/70)+1&gt;CROQUIS_DATOS!$C$1525,70,MOD($A310-1,70)+1)-2)/2)+1,CROQUIS_DATOS!$C$1541),2)=1,IF(MOD(IF(INT(($A310-1)/70)+1&gt;CROQUIS_DATOS!$C$1525,70,MOD($A310-1,70)+1)-2,2)=0,0,1),IF(MOD(IF(INT(($A310-1)/70)+1&gt;CROQUIS_DATOS!$C$1525,70,MOD($A310-1,70)+1)-2,2)=0,1,0))))=0,(INDEX($E$8:$E$23,MIN(INT(($A310-1)/70)+1,CROQUIS_DATOS!$C$1525))-INDEX($F$8:$F$23,MIN(INT(($A310-1)/70)+1,CROQUIS_DATOS!$C$1525))/2),(INDEX($E$8:$E$23,MIN(INT(($A310-1)/70)+1,CROQUIS_DATOS!$C$1525))+INDEX($F$8:$F$23,MIN(INT(($A310-1)/70)+1,CROQUIS_DATOS!$C$1525))/2)))*CROQUIS_DATOS!$C$1562),-1000)</f>
        <v>70.25</v>
      </c>
      <c r="O310">
        <f>IF(AND(CROQUIS_DATOS!$C$1472=1,1),(CROQUIS_DATOS!$C$1564+(IF(OR(IF(INT(($A310-1)/70)+1&gt;CROQUIS_DATOS!$C$1525,70,MOD($A310-1,70)+1)=1,IF(INT(($A310-1)/70)+1&gt;CROQUIS_DATOS!$C$1525,70,MOD($A310-1,70)+1)&gt;2*CROQUIS_DATOS!$C$1541+1),CROQUIS_DATOS!$C$1476,INDEX($H$8:$H$41,MIN(INT((IF(INT(($A310-1)/70)+1&gt;CROQUIS_DATOS!$C$1525,70,MOD($A310-1,70)+1)-2)/2)+1,CROQUIS_DATOS!$C$1541))))*CROQUIS_DATOS!$C$1561*CROQUIS_DATOS!$C$1562),-1000)</f>
        <v>26.823275862069</v>
      </c>
      <c r="P310">
        <f>IF(AND(CROQUIS_DATOS!$C$1472=1,CROQUIS_DATOS!$C$1555=1),(CROQUIS_DATOS!$C$1563+(IF(IF(OR(MOD($A310-1,62)+1=1,IF(CHOOSE(MIN(MAX(MIN(INT(($A310-1)/62)+1,5),1),5),CROQUIS_DATOS!$C$1501,CROQUIS_DATOS!$C$1505,CROQUIS_DATOS!$C$1509,CROQUIS_DATOS!$C$1513,CROQUIS_DATOS!$C$1517)=1,CROQUIS_DATOS!$C$1557,0)=0),0,IF(MOD($A310-1,62)+1&gt;2*IF(CHOOSE(MIN(MAX(MIN(INT(($A310-1)/62)+1,5),1),5),CROQUIS_DATOS!$C$1501,CROQUIS_DATOS!$C$1505,CROQUIS_DATOS!$C$1509,CROQUIS_DATOS!$C$1513,CROQUIS_DATOS!$C$1517)=1,CROQUIS_DATOS!$C$1557,0)+1,IF(MOD(IF(CHOOSE(MIN(MAX(MIN(INT(($A310-1)/62)+1,5),1),5),CROQUIS_DATOS!$C$1501,CROQUIS_DATOS!$C$1505,CROQUIS_DATOS!$C$1509,CROQUIS_DATOS!$C$1513,CROQUIS_DATOS!$C$1517)=1,CROQUIS_DATOS!$C$1557,0),2)=1,1,0),IF(MOD(MIN(INT((MOD($A310-1,62)+1-2)/2)+1,MAX(IF(CHOOSE(MIN(MAX(MIN(INT(($A310-1)/62)+1,5),1),5),CROQUIS_DATOS!$C$1501,CROQUIS_DATOS!$C$1505,CROQUIS_DATOS!$C$1509,CROQUIS_DATOS!$C$1513,CROQUIS_DATOS!$C$1517)=1,CROQUIS_DATOS!$C$1557,0),1)),2)=1,IF(MOD(MOD($A310-1,62)+1-2,2)=0,0,1),IF(MOD(MOD($A310-1,62)+1-2,2)=0,1,0))))=0,(CHOOSE(MIN(MAX(MIN(INT(($A310-1)/62)+1,5),1),5),CROQUIS_DATOS!$C$1499,CROQUIS_DATOS!$C$1503,CROQUIS_DATOS!$C$1507,CROQUIS_DATOS!$C$1511,CROQUIS_DATOS!$C$1515)+IF(CHOOSE(MIN(MAX(MIN(INT(($A310-1)/62)+1,5),1),5),CROQUIS_DATOS!$C$1501,CROQUIS_DATOS!$C$1505,CROQUIS_DATOS!$C$1509,CROQUIS_DATOS!$C$1513,CROQUIS_DATOS!$C$1517)=1,CROQUIS_DATOS!$C$1526,0)),(CHOOSE(MIN(MAX(MIN(INT(($A310-1)/62)+1,5),1),5),CROQUIS_DATOS!$C$1499,CROQUIS_DATOS!$C$1503,CROQUIS_DATOS!$C$1507,CROQUIS_DATOS!$C$1511,CROQUIS_DATOS!$C$1515)+CHOOSE(MIN(MAX(MIN(INT(($A310-1)/62)+1,5),1),5),CROQUIS_DATOS!$C$1500,CROQUIS_DATOS!$C$1504,CROQUIS_DATOS!$C$1508,CROQUIS_DATOS!$C$1512,CROQUIS_DATOS!$C$1516)-IF(CHOOSE(MIN(MAX(MIN(INT(($A310-1)/62)+1,5),1),5),CROQUIS_DATOS!$C$1501,CROQUIS_DATOS!$C$1505,CROQUIS_DATOS!$C$1509,CROQUIS_DATOS!$C$1513,CROQUIS_DATOS!$C$1517)=1,CROQUIS_DATOS!$C$1526,0))))*CROQUIS_DATOS!$C$1562),-1000)</f>
        <v>-1000</v>
      </c>
      <c r="Q310">
        <f>IF(AND(CROQUIS_DATOS!$C$1472=1,CROQUIS_DATOS!$C$1555=1),(CROQUIS_DATOS!$C$1564+(IF(OR(OR(MOD($A310-1,62)+1=1,IF(CHOOSE(MIN(MAX(MIN(INT(($A310-1)/62)+1,5),1),5),CROQUIS_DATOS!$C$1501,CROQUIS_DATOS!$C$1505,CROQUIS_DATOS!$C$1509,CROQUIS_DATOS!$C$1513,CROQUIS_DATOS!$C$1517)=1,CROQUIS_DATOS!$C$1557,0)=0),MOD($A310-1,62)+1&gt;2*IF(CHOOSE(MIN(MAX(MIN(INT(($A310-1)/62)+1,5),1),5),CROQUIS_DATOS!$C$1501,CROQUIS_DATOS!$C$1505,CROQUIS_DATOS!$C$1509,CROQUIS_DATOS!$C$1513,CROQUIS_DATOS!$C$1517)=1,CROQUIS_DATOS!$C$1557,0)+1),CROQUIS_DATOS!$C$1476,MIN(INT((MOD($A310-1,62)+1-2)/2)+1,MAX(IF(CHOOSE(MIN(MAX(MIN(INT(($A310-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1">
      <c r="A311" t="n">
        <v>304</v>
      </c>
      <c r="N311">
        <f>IF(AND(CROQUIS_DATOS!$C$1472=1,1),(CROQUIS_DATOS!$C$1563+(IF(IF(IF(INT(($A311-1)/70)+1&gt;CROQUIS_DATOS!$C$1525,70,MOD($A311-1,70)+1)=1,0,IF(IF(INT(($A311-1)/70)+1&gt;CROQUIS_DATOS!$C$1525,70,MOD($A311-1,70)+1)&gt;2*CROQUIS_DATOS!$C$1541+1,IF(MOD(CROQUIS_DATOS!$C$1541,2)=1,1,0),IF(MOD(MIN(INT((IF(INT(($A311-1)/70)+1&gt;CROQUIS_DATOS!$C$1525,70,MOD($A311-1,70)+1)-2)/2)+1,CROQUIS_DATOS!$C$1541),2)=1,IF(MOD(IF(INT(($A311-1)/70)+1&gt;CROQUIS_DATOS!$C$1525,70,MOD($A311-1,70)+1)-2,2)=0,0,1),IF(MOD(IF(INT(($A311-1)/70)+1&gt;CROQUIS_DATOS!$C$1525,70,MOD($A311-1,70)+1)-2,2)=0,1,0))))=0,(INDEX($E$8:$E$23,MIN(INT(($A311-1)/70)+1,CROQUIS_DATOS!$C$1525))-INDEX($F$8:$F$23,MIN(INT(($A311-1)/70)+1,CROQUIS_DATOS!$C$1525))/2),(INDEX($E$8:$E$23,MIN(INT(($A311-1)/70)+1,CROQUIS_DATOS!$C$1525))+INDEX($F$8:$F$23,MIN(INT(($A311-1)/70)+1,CROQUIS_DATOS!$C$1525))/2)))*CROQUIS_DATOS!$C$1562),-1000)</f>
        <v>70.25</v>
      </c>
      <c r="O311">
        <f>IF(AND(CROQUIS_DATOS!$C$1472=1,1),(CROQUIS_DATOS!$C$1564+(IF(OR(IF(INT(($A311-1)/70)+1&gt;CROQUIS_DATOS!$C$1525,70,MOD($A311-1,70)+1)=1,IF(INT(($A311-1)/70)+1&gt;CROQUIS_DATOS!$C$1525,70,MOD($A311-1,70)+1)&gt;2*CROQUIS_DATOS!$C$1541+1),CROQUIS_DATOS!$C$1476,INDEX($H$8:$H$41,MIN(INT((IF(INT(($A311-1)/70)+1&gt;CROQUIS_DATOS!$C$1525,70,MOD($A311-1,70)+1)-2)/2)+1,CROQUIS_DATOS!$C$1541))))*CROQUIS_DATOS!$C$1561*CROQUIS_DATOS!$C$1562),-1000)</f>
        <v>29.5387931034483</v>
      </c>
      <c r="P311">
        <f>IF(AND(CROQUIS_DATOS!$C$1472=1,CROQUIS_DATOS!$C$1555=1),(CROQUIS_DATOS!$C$1563+(IF(IF(OR(MOD($A311-1,62)+1=1,IF(CHOOSE(MIN(MAX(MIN(INT(($A311-1)/62)+1,5),1),5),CROQUIS_DATOS!$C$1501,CROQUIS_DATOS!$C$1505,CROQUIS_DATOS!$C$1509,CROQUIS_DATOS!$C$1513,CROQUIS_DATOS!$C$1517)=1,CROQUIS_DATOS!$C$1557,0)=0),0,IF(MOD($A311-1,62)+1&gt;2*IF(CHOOSE(MIN(MAX(MIN(INT(($A311-1)/62)+1,5),1),5),CROQUIS_DATOS!$C$1501,CROQUIS_DATOS!$C$1505,CROQUIS_DATOS!$C$1509,CROQUIS_DATOS!$C$1513,CROQUIS_DATOS!$C$1517)=1,CROQUIS_DATOS!$C$1557,0)+1,IF(MOD(IF(CHOOSE(MIN(MAX(MIN(INT(($A311-1)/62)+1,5),1),5),CROQUIS_DATOS!$C$1501,CROQUIS_DATOS!$C$1505,CROQUIS_DATOS!$C$1509,CROQUIS_DATOS!$C$1513,CROQUIS_DATOS!$C$1517)=1,CROQUIS_DATOS!$C$1557,0),2)=1,1,0),IF(MOD(MIN(INT((MOD($A311-1,62)+1-2)/2)+1,MAX(IF(CHOOSE(MIN(MAX(MIN(INT(($A311-1)/62)+1,5),1),5),CROQUIS_DATOS!$C$1501,CROQUIS_DATOS!$C$1505,CROQUIS_DATOS!$C$1509,CROQUIS_DATOS!$C$1513,CROQUIS_DATOS!$C$1517)=1,CROQUIS_DATOS!$C$1557,0),1)),2)=1,IF(MOD(MOD($A311-1,62)+1-2,2)=0,0,1),IF(MOD(MOD($A311-1,62)+1-2,2)=0,1,0))))=0,(CHOOSE(MIN(MAX(MIN(INT(($A311-1)/62)+1,5),1),5),CROQUIS_DATOS!$C$1499,CROQUIS_DATOS!$C$1503,CROQUIS_DATOS!$C$1507,CROQUIS_DATOS!$C$1511,CROQUIS_DATOS!$C$1515)+IF(CHOOSE(MIN(MAX(MIN(INT(($A311-1)/62)+1,5),1),5),CROQUIS_DATOS!$C$1501,CROQUIS_DATOS!$C$1505,CROQUIS_DATOS!$C$1509,CROQUIS_DATOS!$C$1513,CROQUIS_DATOS!$C$1517)=1,CROQUIS_DATOS!$C$1526,0)),(CHOOSE(MIN(MAX(MIN(INT(($A311-1)/62)+1,5),1),5),CROQUIS_DATOS!$C$1499,CROQUIS_DATOS!$C$1503,CROQUIS_DATOS!$C$1507,CROQUIS_DATOS!$C$1511,CROQUIS_DATOS!$C$1515)+CHOOSE(MIN(MAX(MIN(INT(($A311-1)/62)+1,5),1),5),CROQUIS_DATOS!$C$1500,CROQUIS_DATOS!$C$1504,CROQUIS_DATOS!$C$1508,CROQUIS_DATOS!$C$1512,CROQUIS_DATOS!$C$1516)-IF(CHOOSE(MIN(MAX(MIN(INT(($A311-1)/62)+1,5),1),5),CROQUIS_DATOS!$C$1501,CROQUIS_DATOS!$C$1505,CROQUIS_DATOS!$C$1509,CROQUIS_DATOS!$C$1513,CROQUIS_DATOS!$C$1517)=1,CROQUIS_DATOS!$C$1526,0))))*CROQUIS_DATOS!$C$1562),-1000)</f>
        <v>-1000</v>
      </c>
      <c r="Q311">
        <f>IF(AND(CROQUIS_DATOS!$C$1472=1,CROQUIS_DATOS!$C$1555=1),(CROQUIS_DATOS!$C$1564+(IF(OR(OR(MOD($A311-1,62)+1=1,IF(CHOOSE(MIN(MAX(MIN(INT(($A311-1)/62)+1,5),1),5),CROQUIS_DATOS!$C$1501,CROQUIS_DATOS!$C$1505,CROQUIS_DATOS!$C$1509,CROQUIS_DATOS!$C$1513,CROQUIS_DATOS!$C$1517)=1,CROQUIS_DATOS!$C$1557,0)=0),MOD($A311-1,62)+1&gt;2*IF(CHOOSE(MIN(MAX(MIN(INT(($A311-1)/62)+1,5),1),5),CROQUIS_DATOS!$C$1501,CROQUIS_DATOS!$C$1505,CROQUIS_DATOS!$C$1509,CROQUIS_DATOS!$C$1513,CROQUIS_DATOS!$C$1517)=1,CROQUIS_DATOS!$C$1557,0)+1),CROQUIS_DATOS!$C$1476,MIN(INT((MOD($A311-1,62)+1-2)/2)+1,MAX(IF(CHOOSE(MIN(MAX(MIN(INT(($A311-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2">
      <c r="A312" t="n">
        <v>305</v>
      </c>
      <c r="N312">
        <f>IF(AND(CROQUIS_DATOS!$C$1472=1,1),(CROQUIS_DATOS!$C$1563+(IF(IF(IF(INT(($A312-1)/70)+1&gt;CROQUIS_DATOS!$C$1525,70,MOD($A312-1,70)+1)=1,0,IF(IF(INT(($A312-1)/70)+1&gt;CROQUIS_DATOS!$C$1525,70,MOD($A312-1,70)+1)&gt;2*CROQUIS_DATOS!$C$1541+1,IF(MOD(CROQUIS_DATOS!$C$1541,2)=1,1,0),IF(MOD(MIN(INT((IF(INT(($A312-1)/70)+1&gt;CROQUIS_DATOS!$C$1525,70,MOD($A312-1,70)+1)-2)/2)+1,CROQUIS_DATOS!$C$1541),2)=1,IF(MOD(IF(INT(($A312-1)/70)+1&gt;CROQUIS_DATOS!$C$1525,70,MOD($A312-1,70)+1)-2,2)=0,0,1),IF(MOD(IF(INT(($A312-1)/70)+1&gt;CROQUIS_DATOS!$C$1525,70,MOD($A312-1,70)+1)-2,2)=0,1,0))))=0,(INDEX($E$8:$E$23,MIN(INT(($A312-1)/70)+1,CROQUIS_DATOS!$C$1525))-INDEX($F$8:$F$23,MIN(INT(($A312-1)/70)+1,CROQUIS_DATOS!$C$1525))/2),(INDEX($E$8:$E$23,MIN(INT(($A312-1)/70)+1,CROQUIS_DATOS!$C$1525))+INDEX($F$8:$F$23,MIN(INT(($A312-1)/70)+1,CROQUIS_DATOS!$C$1525))/2)))*CROQUIS_DATOS!$C$1562),-1000)</f>
        <v>68.1551724137931</v>
      </c>
      <c r="O312">
        <f>IF(AND(CROQUIS_DATOS!$C$1472=1,1),(CROQUIS_DATOS!$C$1564+(IF(OR(IF(INT(($A312-1)/70)+1&gt;CROQUIS_DATOS!$C$1525,70,MOD($A312-1,70)+1)=1,IF(INT(($A312-1)/70)+1&gt;CROQUIS_DATOS!$C$1525,70,MOD($A312-1,70)+1)&gt;2*CROQUIS_DATOS!$C$1541+1),CROQUIS_DATOS!$C$1476,INDEX($H$8:$H$41,MIN(INT((IF(INT(($A312-1)/70)+1&gt;CROQUIS_DATOS!$C$1525,70,MOD($A312-1,70)+1)-2)/2)+1,CROQUIS_DATOS!$C$1541))))*CROQUIS_DATOS!$C$1561*CROQUIS_DATOS!$C$1562),-1000)</f>
        <v>29.5387931034483</v>
      </c>
      <c r="P312">
        <f>IF(AND(CROQUIS_DATOS!$C$1472=1,CROQUIS_DATOS!$C$1555=1),(CROQUIS_DATOS!$C$1563+(IF(IF(OR(MOD($A312-1,62)+1=1,IF(CHOOSE(MIN(MAX(MIN(INT(($A312-1)/62)+1,5),1),5),CROQUIS_DATOS!$C$1501,CROQUIS_DATOS!$C$1505,CROQUIS_DATOS!$C$1509,CROQUIS_DATOS!$C$1513,CROQUIS_DATOS!$C$1517)=1,CROQUIS_DATOS!$C$1557,0)=0),0,IF(MOD($A312-1,62)+1&gt;2*IF(CHOOSE(MIN(MAX(MIN(INT(($A312-1)/62)+1,5),1),5),CROQUIS_DATOS!$C$1501,CROQUIS_DATOS!$C$1505,CROQUIS_DATOS!$C$1509,CROQUIS_DATOS!$C$1513,CROQUIS_DATOS!$C$1517)=1,CROQUIS_DATOS!$C$1557,0)+1,IF(MOD(IF(CHOOSE(MIN(MAX(MIN(INT(($A312-1)/62)+1,5),1),5),CROQUIS_DATOS!$C$1501,CROQUIS_DATOS!$C$1505,CROQUIS_DATOS!$C$1509,CROQUIS_DATOS!$C$1513,CROQUIS_DATOS!$C$1517)=1,CROQUIS_DATOS!$C$1557,0),2)=1,1,0),IF(MOD(MIN(INT((MOD($A312-1,62)+1-2)/2)+1,MAX(IF(CHOOSE(MIN(MAX(MIN(INT(($A312-1)/62)+1,5),1),5),CROQUIS_DATOS!$C$1501,CROQUIS_DATOS!$C$1505,CROQUIS_DATOS!$C$1509,CROQUIS_DATOS!$C$1513,CROQUIS_DATOS!$C$1517)=1,CROQUIS_DATOS!$C$1557,0),1)),2)=1,IF(MOD(MOD($A312-1,62)+1-2,2)=0,0,1),IF(MOD(MOD($A312-1,62)+1-2,2)=0,1,0))))=0,(CHOOSE(MIN(MAX(MIN(INT(($A312-1)/62)+1,5),1),5),CROQUIS_DATOS!$C$1499,CROQUIS_DATOS!$C$1503,CROQUIS_DATOS!$C$1507,CROQUIS_DATOS!$C$1511,CROQUIS_DATOS!$C$1515)+IF(CHOOSE(MIN(MAX(MIN(INT(($A312-1)/62)+1,5),1),5),CROQUIS_DATOS!$C$1501,CROQUIS_DATOS!$C$1505,CROQUIS_DATOS!$C$1509,CROQUIS_DATOS!$C$1513,CROQUIS_DATOS!$C$1517)=1,CROQUIS_DATOS!$C$1526,0)),(CHOOSE(MIN(MAX(MIN(INT(($A312-1)/62)+1,5),1),5),CROQUIS_DATOS!$C$1499,CROQUIS_DATOS!$C$1503,CROQUIS_DATOS!$C$1507,CROQUIS_DATOS!$C$1511,CROQUIS_DATOS!$C$1515)+CHOOSE(MIN(MAX(MIN(INT(($A312-1)/62)+1,5),1),5),CROQUIS_DATOS!$C$1500,CROQUIS_DATOS!$C$1504,CROQUIS_DATOS!$C$1508,CROQUIS_DATOS!$C$1512,CROQUIS_DATOS!$C$1516)-IF(CHOOSE(MIN(MAX(MIN(INT(($A312-1)/62)+1,5),1),5),CROQUIS_DATOS!$C$1501,CROQUIS_DATOS!$C$1505,CROQUIS_DATOS!$C$1509,CROQUIS_DATOS!$C$1513,CROQUIS_DATOS!$C$1517)=1,CROQUIS_DATOS!$C$1526,0))))*CROQUIS_DATOS!$C$1562),-1000)</f>
        <v>-1000</v>
      </c>
      <c r="Q312">
        <f>IF(AND(CROQUIS_DATOS!$C$1472=1,CROQUIS_DATOS!$C$1555=1),(CROQUIS_DATOS!$C$1564+(IF(OR(OR(MOD($A312-1,62)+1=1,IF(CHOOSE(MIN(MAX(MIN(INT(($A312-1)/62)+1,5),1),5),CROQUIS_DATOS!$C$1501,CROQUIS_DATOS!$C$1505,CROQUIS_DATOS!$C$1509,CROQUIS_DATOS!$C$1513,CROQUIS_DATOS!$C$1517)=1,CROQUIS_DATOS!$C$1557,0)=0),MOD($A312-1,62)+1&gt;2*IF(CHOOSE(MIN(MAX(MIN(INT(($A312-1)/62)+1,5),1),5),CROQUIS_DATOS!$C$1501,CROQUIS_DATOS!$C$1505,CROQUIS_DATOS!$C$1509,CROQUIS_DATOS!$C$1513,CROQUIS_DATOS!$C$1517)=1,CROQUIS_DATOS!$C$1557,0)+1),CROQUIS_DATOS!$C$1476,MIN(INT((MOD($A312-1,62)+1-2)/2)+1,MAX(IF(CHOOSE(MIN(MAX(MIN(INT(($A312-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3">
      <c r="A313" t="n">
        <v>306</v>
      </c>
      <c r="N313">
        <f>IF(AND(CROQUIS_DATOS!$C$1472=1,1),(CROQUIS_DATOS!$C$1563+(IF(IF(IF(INT(($A313-1)/70)+1&gt;CROQUIS_DATOS!$C$1525,70,MOD($A313-1,70)+1)=1,0,IF(IF(INT(($A313-1)/70)+1&gt;CROQUIS_DATOS!$C$1525,70,MOD($A313-1,70)+1)&gt;2*CROQUIS_DATOS!$C$1541+1,IF(MOD(CROQUIS_DATOS!$C$1541,2)=1,1,0),IF(MOD(MIN(INT((IF(INT(($A313-1)/70)+1&gt;CROQUIS_DATOS!$C$1525,70,MOD($A313-1,70)+1)-2)/2)+1,CROQUIS_DATOS!$C$1541),2)=1,IF(MOD(IF(INT(($A313-1)/70)+1&gt;CROQUIS_DATOS!$C$1525,70,MOD($A313-1,70)+1)-2,2)=0,0,1),IF(MOD(IF(INT(($A313-1)/70)+1&gt;CROQUIS_DATOS!$C$1525,70,MOD($A313-1,70)+1)-2,2)=0,1,0))))=0,(INDEX($E$8:$E$23,MIN(INT(($A313-1)/70)+1,CROQUIS_DATOS!$C$1525))-INDEX($F$8:$F$23,MIN(INT(($A313-1)/70)+1,CROQUIS_DATOS!$C$1525))/2),(INDEX($E$8:$E$23,MIN(INT(($A313-1)/70)+1,CROQUIS_DATOS!$C$1525))+INDEX($F$8:$F$23,MIN(INT(($A313-1)/70)+1,CROQUIS_DATOS!$C$1525))/2)))*CROQUIS_DATOS!$C$1562),-1000)</f>
        <v>68.1551724137931</v>
      </c>
      <c r="O313">
        <f>IF(AND(CROQUIS_DATOS!$C$1472=1,1),(CROQUIS_DATOS!$C$1564+(IF(OR(IF(INT(($A313-1)/70)+1&gt;CROQUIS_DATOS!$C$1525,70,MOD($A313-1,70)+1)=1,IF(INT(($A313-1)/70)+1&gt;CROQUIS_DATOS!$C$1525,70,MOD($A313-1,70)+1)&gt;2*CROQUIS_DATOS!$C$1541+1),CROQUIS_DATOS!$C$1476,INDEX($H$8:$H$41,MIN(INT((IF(INT(($A313-1)/70)+1&gt;CROQUIS_DATOS!$C$1525,70,MOD($A313-1,70)+1)-2)/2)+1,CROQUIS_DATOS!$C$1541))))*CROQUIS_DATOS!$C$1561*CROQUIS_DATOS!$C$1562),-1000)</f>
        <v>32.2543103448276</v>
      </c>
      <c r="P313">
        <f>IF(AND(CROQUIS_DATOS!$C$1472=1,CROQUIS_DATOS!$C$1555=1),(CROQUIS_DATOS!$C$1563+(IF(IF(OR(MOD($A313-1,62)+1=1,IF(CHOOSE(MIN(MAX(MIN(INT(($A313-1)/62)+1,5),1),5),CROQUIS_DATOS!$C$1501,CROQUIS_DATOS!$C$1505,CROQUIS_DATOS!$C$1509,CROQUIS_DATOS!$C$1513,CROQUIS_DATOS!$C$1517)=1,CROQUIS_DATOS!$C$1557,0)=0),0,IF(MOD($A313-1,62)+1&gt;2*IF(CHOOSE(MIN(MAX(MIN(INT(($A313-1)/62)+1,5),1),5),CROQUIS_DATOS!$C$1501,CROQUIS_DATOS!$C$1505,CROQUIS_DATOS!$C$1509,CROQUIS_DATOS!$C$1513,CROQUIS_DATOS!$C$1517)=1,CROQUIS_DATOS!$C$1557,0)+1,IF(MOD(IF(CHOOSE(MIN(MAX(MIN(INT(($A313-1)/62)+1,5),1),5),CROQUIS_DATOS!$C$1501,CROQUIS_DATOS!$C$1505,CROQUIS_DATOS!$C$1509,CROQUIS_DATOS!$C$1513,CROQUIS_DATOS!$C$1517)=1,CROQUIS_DATOS!$C$1557,0),2)=1,1,0),IF(MOD(MIN(INT((MOD($A313-1,62)+1-2)/2)+1,MAX(IF(CHOOSE(MIN(MAX(MIN(INT(($A313-1)/62)+1,5),1),5),CROQUIS_DATOS!$C$1501,CROQUIS_DATOS!$C$1505,CROQUIS_DATOS!$C$1509,CROQUIS_DATOS!$C$1513,CROQUIS_DATOS!$C$1517)=1,CROQUIS_DATOS!$C$1557,0),1)),2)=1,IF(MOD(MOD($A313-1,62)+1-2,2)=0,0,1),IF(MOD(MOD($A313-1,62)+1-2,2)=0,1,0))))=0,(CHOOSE(MIN(MAX(MIN(INT(($A313-1)/62)+1,5),1),5),CROQUIS_DATOS!$C$1499,CROQUIS_DATOS!$C$1503,CROQUIS_DATOS!$C$1507,CROQUIS_DATOS!$C$1511,CROQUIS_DATOS!$C$1515)+IF(CHOOSE(MIN(MAX(MIN(INT(($A313-1)/62)+1,5),1),5),CROQUIS_DATOS!$C$1501,CROQUIS_DATOS!$C$1505,CROQUIS_DATOS!$C$1509,CROQUIS_DATOS!$C$1513,CROQUIS_DATOS!$C$1517)=1,CROQUIS_DATOS!$C$1526,0)),(CHOOSE(MIN(MAX(MIN(INT(($A313-1)/62)+1,5),1),5),CROQUIS_DATOS!$C$1499,CROQUIS_DATOS!$C$1503,CROQUIS_DATOS!$C$1507,CROQUIS_DATOS!$C$1511,CROQUIS_DATOS!$C$1515)+CHOOSE(MIN(MAX(MIN(INT(($A313-1)/62)+1,5),1),5),CROQUIS_DATOS!$C$1500,CROQUIS_DATOS!$C$1504,CROQUIS_DATOS!$C$1508,CROQUIS_DATOS!$C$1512,CROQUIS_DATOS!$C$1516)-IF(CHOOSE(MIN(MAX(MIN(INT(($A313-1)/62)+1,5),1),5),CROQUIS_DATOS!$C$1501,CROQUIS_DATOS!$C$1505,CROQUIS_DATOS!$C$1509,CROQUIS_DATOS!$C$1513,CROQUIS_DATOS!$C$1517)=1,CROQUIS_DATOS!$C$1526,0))))*CROQUIS_DATOS!$C$1562),-1000)</f>
        <v>-1000</v>
      </c>
      <c r="Q313">
        <f>IF(AND(CROQUIS_DATOS!$C$1472=1,CROQUIS_DATOS!$C$1555=1),(CROQUIS_DATOS!$C$1564+(IF(OR(OR(MOD($A313-1,62)+1=1,IF(CHOOSE(MIN(MAX(MIN(INT(($A313-1)/62)+1,5),1),5),CROQUIS_DATOS!$C$1501,CROQUIS_DATOS!$C$1505,CROQUIS_DATOS!$C$1509,CROQUIS_DATOS!$C$1513,CROQUIS_DATOS!$C$1517)=1,CROQUIS_DATOS!$C$1557,0)=0),MOD($A313-1,62)+1&gt;2*IF(CHOOSE(MIN(MAX(MIN(INT(($A313-1)/62)+1,5),1),5),CROQUIS_DATOS!$C$1501,CROQUIS_DATOS!$C$1505,CROQUIS_DATOS!$C$1509,CROQUIS_DATOS!$C$1513,CROQUIS_DATOS!$C$1517)=1,CROQUIS_DATOS!$C$1557,0)+1),CROQUIS_DATOS!$C$1476,MIN(INT((MOD($A313-1,62)+1-2)/2)+1,MAX(IF(CHOOSE(MIN(MAX(MIN(INT(($A313-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4">
      <c r="A314" t="n">
        <v>307</v>
      </c>
      <c r="N314">
        <f>IF(AND(CROQUIS_DATOS!$C$1472=1,1),(CROQUIS_DATOS!$C$1563+(IF(IF(IF(INT(($A314-1)/70)+1&gt;CROQUIS_DATOS!$C$1525,70,MOD($A314-1,70)+1)=1,0,IF(IF(INT(($A314-1)/70)+1&gt;CROQUIS_DATOS!$C$1525,70,MOD($A314-1,70)+1)&gt;2*CROQUIS_DATOS!$C$1541+1,IF(MOD(CROQUIS_DATOS!$C$1541,2)=1,1,0),IF(MOD(MIN(INT((IF(INT(($A314-1)/70)+1&gt;CROQUIS_DATOS!$C$1525,70,MOD($A314-1,70)+1)-2)/2)+1,CROQUIS_DATOS!$C$1541),2)=1,IF(MOD(IF(INT(($A314-1)/70)+1&gt;CROQUIS_DATOS!$C$1525,70,MOD($A314-1,70)+1)-2,2)=0,0,1),IF(MOD(IF(INT(($A314-1)/70)+1&gt;CROQUIS_DATOS!$C$1525,70,MOD($A314-1,70)+1)-2,2)=0,1,0))))=0,(INDEX($E$8:$E$23,MIN(INT(($A314-1)/70)+1,CROQUIS_DATOS!$C$1525))-INDEX($F$8:$F$23,MIN(INT(($A314-1)/70)+1,CROQUIS_DATOS!$C$1525))/2),(INDEX($E$8:$E$23,MIN(INT(($A314-1)/70)+1,CROQUIS_DATOS!$C$1525))+INDEX($F$8:$F$23,MIN(INT(($A314-1)/70)+1,CROQUIS_DATOS!$C$1525))/2)))*CROQUIS_DATOS!$C$1562),-1000)</f>
        <v>70.25</v>
      </c>
      <c r="O314">
        <f>IF(AND(CROQUIS_DATOS!$C$1472=1,1),(CROQUIS_DATOS!$C$1564+(IF(OR(IF(INT(($A314-1)/70)+1&gt;CROQUIS_DATOS!$C$1525,70,MOD($A314-1,70)+1)=1,IF(INT(($A314-1)/70)+1&gt;CROQUIS_DATOS!$C$1525,70,MOD($A314-1,70)+1)&gt;2*CROQUIS_DATOS!$C$1541+1),CROQUIS_DATOS!$C$1476,INDEX($H$8:$H$41,MIN(INT((IF(INT(($A314-1)/70)+1&gt;CROQUIS_DATOS!$C$1525,70,MOD($A314-1,70)+1)-2)/2)+1,CROQUIS_DATOS!$C$1541))))*CROQUIS_DATOS!$C$1561*CROQUIS_DATOS!$C$1562),-1000)</f>
        <v>32.2543103448276</v>
      </c>
      <c r="P314">
        <f>IF(AND(CROQUIS_DATOS!$C$1472=1,CROQUIS_DATOS!$C$1555=1),(CROQUIS_DATOS!$C$1563+(IF(IF(OR(MOD($A314-1,62)+1=1,IF(CHOOSE(MIN(MAX(MIN(INT(($A314-1)/62)+1,5),1),5),CROQUIS_DATOS!$C$1501,CROQUIS_DATOS!$C$1505,CROQUIS_DATOS!$C$1509,CROQUIS_DATOS!$C$1513,CROQUIS_DATOS!$C$1517)=1,CROQUIS_DATOS!$C$1557,0)=0),0,IF(MOD($A314-1,62)+1&gt;2*IF(CHOOSE(MIN(MAX(MIN(INT(($A314-1)/62)+1,5),1),5),CROQUIS_DATOS!$C$1501,CROQUIS_DATOS!$C$1505,CROQUIS_DATOS!$C$1509,CROQUIS_DATOS!$C$1513,CROQUIS_DATOS!$C$1517)=1,CROQUIS_DATOS!$C$1557,0)+1,IF(MOD(IF(CHOOSE(MIN(MAX(MIN(INT(($A314-1)/62)+1,5),1),5),CROQUIS_DATOS!$C$1501,CROQUIS_DATOS!$C$1505,CROQUIS_DATOS!$C$1509,CROQUIS_DATOS!$C$1513,CROQUIS_DATOS!$C$1517)=1,CROQUIS_DATOS!$C$1557,0),2)=1,1,0),IF(MOD(MIN(INT((MOD($A314-1,62)+1-2)/2)+1,MAX(IF(CHOOSE(MIN(MAX(MIN(INT(($A314-1)/62)+1,5),1),5),CROQUIS_DATOS!$C$1501,CROQUIS_DATOS!$C$1505,CROQUIS_DATOS!$C$1509,CROQUIS_DATOS!$C$1513,CROQUIS_DATOS!$C$1517)=1,CROQUIS_DATOS!$C$1557,0),1)),2)=1,IF(MOD(MOD($A314-1,62)+1-2,2)=0,0,1),IF(MOD(MOD($A314-1,62)+1-2,2)=0,1,0))))=0,(CHOOSE(MIN(MAX(MIN(INT(($A314-1)/62)+1,5),1),5),CROQUIS_DATOS!$C$1499,CROQUIS_DATOS!$C$1503,CROQUIS_DATOS!$C$1507,CROQUIS_DATOS!$C$1511,CROQUIS_DATOS!$C$1515)+IF(CHOOSE(MIN(MAX(MIN(INT(($A314-1)/62)+1,5),1),5),CROQUIS_DATOS!$C$1501,CROQUIS_DATOS!$C$1505,CROQUIS_DATOS!$C$1509,CROQUIS_DATOS!$C$1513,CROQUIS_DATOS!$C$1517)=1,CROQUIS_DATOS!$C$1526,0)),(CHOOSE(MIN(MAX(MIN(INT(($A314-1)/62)+1,5),1),5),CROQUIS_DATOS!$C$1499,CROQUIS_DATOS!$C$1503,CROQUIS_DATOS!$C$1507,CROQUIS_DATOS!$C$1511,CROQUIS_DATOS!$C$1515)+CHOOSE(MIN(MAX(MIN(INT(($A314-1)/62)+1,5),1),5),CROQUIS_DATOS!$C$1500,CROQUIS_DATOS!$C$1504,CROQUIS_DATOS!$C$1508,CROQUIS_DATOS!$C$1512,CROQUIS_DATOS!$C$1516)-IF(CHOOSE(MIN(MAX(MIN(INT(($A314-1)/62)+1,5),1),5),CROQUIS_DATOS!$C$1501,CROQUIS_DATOS!$C$1505,CROQUIS_DATOS!$C$1509,CROQUIS_DATOS!$C$1513,CROQUIS_DATOS!$C$1517)=1,CROQUIS_DATOS!$C$1526,0))))*CROQUIS_DATOS!$C$1562),-1000)</f>
        <v>-1000</v>
      </c>
      <c r="Q314">
        <f>IF(AND(CROQUIS_DATOS!$C$1472=1,CROQUIS_DATOS!$C$1555=1),(CROQUIS_DATOS!$C$1564+(IF(OR(OR(MOD($A314-1,62)+1=1,IF(CHOOSE(MIN(MAX(MIN(INT(($A314-1)/62)+1,5),1),5),CROQUIS_DATOS!$C$1501,CROQUIS_DATOS!$C$1505,CROQUIS_DATOS!$C$1509,CROQUIS_DATOS!$C$1513,CROQUIS_DATOS!$C$1517)=1,CROQUIS_DATOS!$C$1557,0)=0),MOD($A314-1,62)+1&gt;2*IF(CHOOSE(MIN(MAX(MIN(INT(($A314-1)/62)+1,5),1),5),CROQUIS_DATOS!$C$1501,CROQUIS_DATOS!$C$1505,CROQUIS_DATOS!$C$1509,CROQUIS_DATOS!$C$1513,CROQUIS_DATOS!$C$1517)=1,CROQUIS_DATOS!$C$1557,0)+1),CROQUIS_DATOS!$C$1476,MIN(INT((MOD($A314-1,62)+1-2)/2)+1,MAX(IF(CHOOSE(MIN(MAX(MIN(INT(($A314-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5">
      <c r="A315" t="n">
        <v>308</v>
      </c>
      <c r="N315">
        <f>IF(AND(CROQUIS_DATOS!$C$1472=1,1),(CROQUIS_DATOS!$C$1563+(IF(IF(IF(INT(($A315-1)/70)+1&gt;CROQUIS_DATOS!$C$1525,70,MOD($A315-1,70)+1)=1,0,IF(IF(INT(($A315-1)/70)+1&gt;CROQUIS_DATOS!$C$1525,70,MOD($A315-1,70)+1)&gt;2*CROQUIS_DATOS!$C$1541+1,IF(MOD(CROQUIS_DATOS!$C$1541,2)=1,1,0),IF(MOD(MIN(INT((IF(INT(($A315-1)/70)+1&gt;CROQUIS_DATOS!$C$1525,70,MOD($A315-1,70)+1)-2)/2)+1,CROQUIS_DATOS!$C$1541),2)=1,IF(MOD(IF(INT(($A315-1)/70)+1&gt;CROQUIS_DATOS!$C$1525,70,MOD($A315-1,70)+1)-2,2)=0,0,1),IF(MOD(IF(INT(($A315-1)/70)+1&gt;CROQUIS_DATOS!$C$1525,70,MOD($A315-1,70)+1)-2,2)=0,1,0))))=0,(INDEX($E$8:$E$23,MIN(INT(($A315-1)/70)+1,CROQUIS_DATOS!$C$1525))-INDEX($F$8:$F$23,MIN(INT(($A315-1)/70)+1,CROQUIS_DATOS!$C$1525))/2),(INDEX($E$8:$E$23,MIN(INT(($A315-1)/70)+1,CROQUIS_DATOS!$C$1525))+INDEX($F$8:$F$23,MIN(INT(($A315-1)/70)+1,CROQUIS_DATOS!$C$1525))/2)))*CROQUIS_DATOS!$C$1562),-1000)</f>
        <v>70.25</v>
      </c>
      <c r="O315">
        <f>IF(AND(CROQUIS_DATOS!$C$1472=1,1),(CROQUIS_DATOS!$C$1564+(IF(OR(IF(INT(($A315-1)/70)+1&gt;CROQUIS_DATOS!$C$1525,70,MOD($A315-1,70)+1)=1,IF(INT(($A315-1)/70)+1&gt;CROQUIS_DATOS!$C$1525,70,MOD($A315-1,70)+1)&gt;2*CROQUIS_DATOS!$C$1541+1),CROQUIS_DATOS!$C$1476,INDEX($H$8:$H$41,MIN(INT((IF(INT(($A315-1)/70)+1&gt;CROQUIS_DATOS!$C$1525,70,MOD($A315-1,70)+1)-2)/2)+1,CROQUIS_DATOS!$C$1541))))*CROQUIS_DATOS!$C$1561*CROQUIS_DATOS!$C$1562),-1000)</f>
        <v>34.9698275862069</v>
      </c>
      <c r="P315">
        <f>IF(AND(CROQUIS_DATOS!$C$1472=1,CROQUIS_DATOS!$C$1555=1),(CROQUIS_DATOS!$C$1563+(IF(IF(OR(MOD($A315-1,62)+1=1,IF(CHOOSE(MIN(MAX(MIN(INT(($A315-1)/62)+1,5),1),5),CROQUIS_DATOS!$C$1501,CROQUIS_DATOS!$C$1505,CROQUIS_DATOS!$C$1509,CROQUIS_DATOS!$C$1513,CROQUIS_DATOS!$C$1517)=1,CROQUIS_DATOS!$C$1557,0)=0),0,IF(MOD($A315-1,62)+1&gt;2*IF(CHOOSE(MIN(MAX(MIN(INT(($A315-1)/62)+1,5),1),5),CROQUIS_DATOS!$C$1501,CROQUIS_DATOS!$C$1505,CROQUIS_DATOS!$C$1509,CROQUIS_DATOS!$C$1513,CROQUIS_DATOS!$C$1517)=1,CROQUIS_DATOS!$C$1557,0)+1,IF(MOD(IF(CHOOSE(MIN(MAX(MIN(INT(($A315-1)/62)+1,5),1),5),CROQUIS_DATOS!$C$1501,CROQUIS_DATOS!$C$1505,CROQUIS_DATOS!$C$1509,CROQUIS_DATOS!$C$1513,CROQUIS_DATOS!$C$1517)=1,CROQUIS_DATOS!$C$1557,0),2)=1,1,0),IF(MOD(MIN(INT((MOD($A315-1,62)+1-2)/2)+1,MAX(IF(CHOOSE(MIN(MAX(MIN(INT(($A315-1)/62)+1,5),1),5),CROQUIS_DATOS!$C$1501,CROQUIS_DATOS!$C$1505,CROQUIS_DATOS!$C$1509,CROQUIS_DATOS!$C$1513,CROQUIS_DATOS!$C$1517)=1,CROQUIS_DATOS!$C$1557,0),1)),2)=1,IF(MOD(MOD($A315-1,62)+1-2,2)=0,0,1),IF(MOD(MOD($A315-1,62)+1-2,2)=0,1,0))))=0,(CHOOSE(MIN(MAX(MIN(INT(($A315-1)/62)+1,5),1),5),CROQUIS_DATOS!$C$1499,CROQUIS_DATOS!$C$1503,CROQUIS_DATOS!$C$1507,CROQUIS_DATOS!$C$1511,CROQUIS_DATOS!$C$1515)+IF(CHOOSE(MIN(MAX(MIN(INT(($A315-1)/62)+1,5),1),5),CROQUIS_DATOS!$C$1501,CROQUIS_DATOS!$C$1505,CROQUIS_DATOS!$C$1509,CROQUIS_DATOS!$C$1513,CROQUIS_DATOS!$C$1517)=1,CROQUIS_DATOS!$C$1526,0)),(CHOOSE(MIN(MAX(MIN(INT(($A315-1)/62)+1,5),1),5),CROQUIS_DATOS!$C$1499,CROQUIS_DATOS!$C$1503,CROQUIS_DATOS!$C$1507,CROQUIS_DATOS!$C$1511,CROQUIS_DATOS!$C$1515)+CHOOSE(MIN(MAX(MIN(INT(($A315-1)/62)+1,5),1),5),CROQUIS_DATOS!$C$1500,CROQUIS_DATOS!$C$1504,CROQUIS_DATOS!$C$1508,CROQUIS_DATOS!$C$1512,CROQUIS_DATOS!$C$1516)-IF(CHOOSE(MIN(MAX(MIN(INT(($A315-1)/62)+1,5),1),5),CROQUIS_DATOS!$C$1501,CROQUIS_DATOS!$C$1505,CROQUIS_DATOS!$C$1509,CROQUIS_DATOS!$C$1513,CROQUIS_DATOS!$C$1517)=1,CROQUIS_DATOS!$C$1526,0))))*CROQUIS_DATOS!$C$1562),-1000)</f>
        <v>-1000</v>
      </c>
      <c r="Q315">
        <f>IF(AND(CROQUIS_DATOS!$C$1472=1,CROQUIS_DATOS!$C$1555=1),(CROQUIS_DATOS!$C$1564+(IF(OR(OR(MOD($A315-1,62)+1=1,IF(CHOOSE(MIN(MAX(MIN(INT(($A315-1)/62)+1,5),1),5),CROQUIS_DATOS!$C$1501,CROQUIS_DATOS!$C$1505,CROQUIS_DATOS!$C$1509,CROQUIS_DATOS!$C$1513,CROQUIS_DATOS!$C$1517)=1,CROQUIS_DATOS!$C$1557,0)=0),MOD($A315-1,62)+1&gt;2*IF(CHOOSE(MIN(MAX(MIN(INT(($A315-1)/62)+1,5),1),5),CROQUIS_DATOS!$C$1501,CROQUIS_DATOS!$C$1505,CROQUIS_DATOS!$C$1509,CROQUIS_DATOS!$C$1513,CROQUIS_DATOS!$C$1517)=1,CROQUIS_DATOS!$C$1557,0)+1),CROQUIS_DATOS!$C$1476,MIN(INT((MOD($A315-1,62)+1-2)/2)+1,MAX(IF(CHOOSE(MIN(MAX(MIN(INT(($A315-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6">
      <c r="A316" t="n">
        <v>309</v>
      </c>
      <c r="N316">
        <f>IF(AND(CROQUIS_DATOS!$C$1472=1,1),(CROQUIS_DATOS!$C$1563+(IF(IF(IF(INT(($A316-1)/70)+1&gt;CROQUIS_DATOS!$C$1525,70,MOD($A316-1,70)+1)=1,0,IF(IF(INT(($A316-1)/70)+1&gt;CROQUIS_DATOS!$C$1525,70,MOD($A316-1,70)+1)&gt;2*CROQUIS_DATOS!$C$1541+1,IF(MOD(CROQUIS_DATOS!$C$1541,2)=1,1,0),IF(MOD(MIN(INT((IF(INT(($A316-1)/70)+1&gt;CROQUIS_DATOS!$C$1525,70,MOD($A316-1,70)+1)-2)/2)+1,CROQUIS_DATOS!$C$1541),2)=1,IF(MOD(IF(INT(($A316-1)/70)+1&gt;CROQUIS_DATOS!$C$1525,70,MOD($A316-1,70)+1)-2,2)=0,0,1),IF(MOD(IF(INT(($A316-1)/70)+1&gt;CROQUIS_DATOS!$C$1525,70,MOD($A316-1,70)+1)-2,2)=0,1,0))))=0,(INDEX($E$8:$E$23,MIN(INT(($A316-1)/70)+1,CROQUIS_DATOS!$C$1525))-INDEX($F$8:$F$23,MIN(INT(($A316-1)/70)+1,CROQUIS_DATOS!$C$1525))/2),(INDEX($E$8:$E$23,MIN(INT(($A316-1)/70)+1,CROQUIS_DATOS!$C$1525))+INDEX($F$8:$F$23,MIN(INT(($A316-1)/70)+1,CROQUIS_DATOS!$C$1525))/2)))*CROQUIS_DATOS!$C$1562),-1000)</f>
        <v>68.1551724137931</v>
      </c>
      <c r="O316">
        <f>IF(AND(CROQUIS_DATOS!$C$1472=1,1),(CROQUIS_DATOS!$C$1564+(IF(OR(IF(INT(($A316-1)/70)+1&gt;CROQUIS_DATOS!$C$1525,70,MOD($A316-1,70)+1)=1,IF(INT(($A316-1)/70)+1&gt;CROQUIS_DATOS!$C$1525,70,MOD($A316-1,70)+1)&gt;2*CROQUIS_DATOS!$C$1541+1),CROQUIS_DATOS!$C$1476,INDEX($H$8:$H$41,MIN(INT((IF(INT(($A316-1)/70)+1&gt;CROQUIS_DATOS!$C$1525,70,MOD($A316-1,70)+1)-2)/2)+1,CROQUIS_DATOS!$C$1541))))*CROQUIS_DATOS!$C$1561*CROQUIS_DATOS!$C$1562),-1000)</f>
        <v>34.9698275862069</v>
      </c>
      <c r="P316">
        <f>IF(AND(CROQUIS_DATOS!$C$1472=1,CROQUIS_DATOS!$C$1555=1),(CROQUIS_DATOS!$C$1563+(IF(IF(OR(MOD($A316-1,62)+1=1,IF(CHOOSE(MIN(MAX(MIN(INT(($A316-1)/62)+1,5),1),5),CROQUIS_DATOS!$C$1501,CROQUIS_DATOS!$C$1505,CROQUIS_DATOS!$C$1509,CROQUIS_DATOS!$C$1513,CROQUIS_DATOS!$C$1517)=1,CROQUIS_DATOS!$C$1557,0)=0),0,IF(MOD($A316-1,62)+1&gt;2*IF(CHOOSE(MIN(MAX(MIN(INT(($A316-1)/62)+1,5),1),5),CROQUIS_DATOS!$C$1501,CROQUIS_DATOS!$C$1505,CROQUIS_DATOS!$C$1509,CROQUIS_DATOS!$C$1513,CROQUIS_DATOS!$C$1517)=1,CROQUIS_DATOS!$C$1557,0)+1,IF(MOD(IF(CHOOSE(MIN(MAX(MIN(INT(($A316-1)/62)+1,5),1),5),CROQUIS_DATOS!$C$1501,CROQUIS_DATOS!$C$1505,CROQUIS_DATOS!$C$1509,CROQUIS_DATOS!$C$1513,CROQUIS_DATOS!$C$1517)=1,CROQUIS_DATOS!$C$1557,0),2)=1,1,0),IF(MOD(MIN(INT((MOD($A316-1,62)+1-2)/2)+1,MAX(IF(CHOOSE(MIN(MAX(MIN(INT(($A316-1)/62)+1,5),1),5),CROQUIS_DATOS!$C$1501,CROQUIS_DATOS!$C$1505,CROQUIS_DATOS!$C$1509,CROQUIS_DATOS!$C$1513,CROQUIS_DATOS!$C$1517)=1,CROQUIS_DATOS!$C$1557,0),1)),2)=1,IF(MOD(MOD($A316-1,62)+1-2,2)=0,0,1),IF(MOD(MOD($A316-1,62)+1-2,2)=0,1,0))))=0,(CHOOSE(MIN(MAX(MIN(INT(($A316-1)/62)+1,5),1),5),CROQUIS_DATOS!$C$1499,CROQUIS_DATOS!$C$1503,CROQUIS_DATOS!$C$1507,CROQUIS_DATOS!$C$1511,CROQUIS_DATOS!$C$1515)+IF(CHOOSE(MIN(MAX(MIN(INT(($A316-1)/62)+1,5),1),5),CROQUIS_DATOS!$C$1501,CROQUIS_DATOS!$C$1505,CROQUIS_DATOS!$C$1509,CROQUIS_DATOS!$C$1513,CROQUIS_DATOS!$C$1517)=1,CROQUIS_DATOS!$C$1526,0)),(CHOOSE(MIN(MAX(MIN(INT(($A316-1)/62)+1,5),1),5),CROQUIS_DATOS!$C$1499,CROQUIS_DATOS!$C$1503,CROQUIS_DATOS!$C$1507,CROQUIS_DATOS!$C$1511,CROQUIS_DATOS!$C$1515)+CHOOSE(MIN(MAX(MIN(INT(($A316-1)/62)+1,5),1),5),CROQUIS_DATOS!$C$1500,CROQUIS_DATOS!$C$1504,CROQUIS_DATOS!$C$1508,CROQUIS_DATOS!$C$1512,CROQUIS_DATOS!$C$1516)-IF(CHOOSE(MIN(MAX(MIN(INT(($A316-1)/62)+1,5),1),5),CROQUIS_DATOS!$C$1501,CROQUIS_DATOS!$C$1505,CROQUIS_DATOS!$C$1509,CROQUIS_DATOS!$C$1513,CROQUIS_DATOS!$C$1517)=1,CROQUIS_DATOS!$C$1526,0))))*CROQUIS_DATOS!$C$1562),-1000)</f>
        <v>-1000</v>
      </c>
      <c r="Q316">
        <f>IF(AND(CROQUIS_DATOS!$C$1472=1,CROQUIS_DATOS!$C$1555=1),(CROQUIS_DATOS!$C$1564+(IF(OR(OR(MOD($A316-1,62)+1=1,IF(CHOOSE(MIN(MAX(MIN(INT(($A316-1)/62)+1,5),1),5),CROQUIS_DATOS!$C$1501,CROQUIS_DATOS!$C$1505,CROQUIS_DATOS!$C$1509,CROQUIS_DATOS!$C$1513,CROQUIS_DATOS!$C$1517)=1,CROQUIS_DATOS!$C$1557,0)=0),MOD($A316-1,62)+1&gt;2*IF(CHOOSE(MIN(MAX(MIN(INT(($A316-1)/62)+1,5),1),5),CROQUIS_DATOS!$C$1501,CROQUIS_DATOS!$C$1505,CROQUIS_DATOS!$C$1509,CROQUIS_DATOS!$C$1513,CROQUIS_DATOS!$C$1517)=1,CROQUIS_DATOS!$C$1557,0)+1),CROQUIS_DATOS!$C$1476,MIN(INT((MOD($A316-1,62)+1-2)/2)+1,MAX(IF(CHOOSE(MIN(MAX(MIN(INT(($A316-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7">
      <c r="A317" t="n">
        <v>310</v>
      </c>
      <c r="N317">
        <f>IF(AND(CROQUIS_DATOS!$C$1472=1,1),(CROQUIS_DATOS!$C$1563+(IF(IF(IF(INT(($A317-1)/70)+1&gt;CROQUIS_DATOS!$C$1525,70,MOD($A317-1,70)+1)=1,0,IF(IF(INT(($A317-1)/70)+1&gt;CROQUIS_DATOS!$C$1525,70,MOD($A317-1,70)+1)&gt;2*CROQUIS_DATOS!$C$1541+1,IF(MOD(CROQUIS_DATOS!$C$1541,2)=1,1,0),IF(MOD(MIN(INT((IF(INT(($A317-1)/70)+1&gt;CROQUIS_DATOS!$C$1525,70,MOD($A317-1,70)+1)-2)/2)+1,CROQUIS_DATOS!$C$1541),2)=1,IF(MOD(IF(INT(($A317-1)/70)+1&gt;CROQUIS_DATOS!$C$1525,70,MOD($A317-1,70)+1)-2,2)=0,0,1),IF(MOD(IF(INT(($A317-1)/70)+1&gt;CROQUIS_DATOS!$C$1525,70,MOD($A317-1,70)+1)-2,2)=0,1,0))))=0,(INDEX($E$8:$E$23,MIN(INT(($A317-1)/70)+1,CROQUIS_DATOS!$C$1525))-INDEX($F$8:$F$23,MIN(INT(($A317-1)/70)+1,CROQUIS_DATOS!$C$1525))/2),(INDEX($E$8:$E$23,MIN(INT(($A317-1)/70)+1,CROQUIS_DATOS!$C$1525))+INDEX($F$8:$F$23,MIN(INT(($A317-1)/70)+1,CROQUIS_DATOS!$C$1525))/2)))*CROQUIS_DATOS!$C$1562),-1000)</f>
        <v>68.1551724137931</v>
      </c>
      <c r="O317">
        <f>IF(AND(CROQUIS_DATOS!$C$1472=1,1),(CROQUIS_DATOS!$C$1564+(IF(OR(IF(INT(($A317-1)/70)+1&gt;CROQUIS_DATOS!$C$1525,70,MOD($A317-1,70)+1)=1,IF(INT(($A317-1)/70)+1&gt;CROQUIS_DATOS!$C$1525,70,MOD($A317-1,70)+1)&gt;2*CROQUIS_DATOS!$C$1541+1),CROQUIS_DATOS!$C$1476,INDEX($H$8:$H$41,MIN(INT((IF(INT(($A317-1)/70)+1&gt;CROQUIS_DATOS!$C$1525,70,MOD($A317-1,70)+1)-2)/2)+1,CROQUIS_DATOS!$C$1541))))*CROQUIS_DATOS!$C$1561*CROQUIS_DATOS!$C$1562),-1000)</f>
        <v>36.0172413793104</v>
      </c>
      <c r="P317">
        <f>IF(AND(CROQUIS_DATOS!$C$1472=1,CROQUIS_DATOS!$C$1555=1),(CROQUIS_DATOS!$C$1563+(IF(IF(OR(MOD($A317-1,62)+1=1,IF(CHOOSE(MIN(MAX(MIN(INT(($A317-1)/62)+1,5),1),5),CROQUIS_DATOS!$C$1501,CROQUIS_DATOS!$C$1505,CROQUIS_DATOS!$C$1509,CROQUIS_DATOS!$C$1513,CROQUIS_DATOS!$C$1517)=1,CROQUIS_DATOS!$C$1557,0)=0),0,IF(MOD($A317-1,62)+1&gt;2*IF(CHOOSE(MIN(MAX(MIN(INT(($A317-1)/62)+1,5),1),5),CROQUIS_DATOS!$C$1501,CROQUIS_DATOS!$C$1505,CROQUIS_DATOS!$C$1509,CROQUIS_DATOS!$C$1513,CROQUIS_DATOS!$C$1517)=1,CROQUIS_DATOS!$C$1557,0)+1,IF(MOD(IF(CHOOSE(MIN(MAX(MIN(INT(($A317-1)/62)+1,5),1),5),CROQUIS_DATOS!$C$1501,CROQUIS_DATOS!$C$1505,CROQUIS_DATOS!$C$1509,CROQUIS_DATOS!$C$1513,CROQUIS_DATOS!$C$1517)=1,CROQUIS_DATOS!$C$1557,0),2)=1,1,0),IF(MOD(MIN(INT((MOD($A317-1,62)+1-2)/2)+1,MAX(IF(CHOOSE(MIN(MAX(MIN(INT(($A317-1)/62)+1,5),1),5),CROQUIS_DATOS!$C$1501,CROQUIS_DATOS!$C$1505,CROQUIS_DATOS!$C$1509,CROQUIS_DATOS!$C$1513,CROQUIS_DATOS!$C$1517)=1,CROQUIS_DATOS!$C$1557,0),1)),2)=1,IF(MOD(MOD($A317-1,62)+1-2,2)=0,0,1),IF(MOD(MOD($A317-1,62)+1-2,2)=0,1,0))))=0,(CHOOSE(MIN(MAX(MIN(INT(($A317-1)/62)+1,5),1),5),CROQUIS_DATOS!$C$1499,CROQUIS_DATOS!$C$1503,CROQUIS_DATOS!$C$1507,CROQUIS_DATOS!$C$1511,CROQUIS_DATOS!$C$1515)+IF(CHOOSE(MIN(MAX(MIN(INT(($A317-1)/62)+1,5),1),5),CROQUIS_DATOS!$C$1501,CROQUIS_DATOS!$C$1505,CROQUIS_DATOS!$C$1509,CROQUIS_DATOS!$C$1513,CROQUIS_DATOS!$C$1517)=1,CROQUIS_DATOS!$C$1526,0)),(CHOOSE(MIN(MAX(MIN(INT(($A317-1)/62)+1,5),1),5),CROQUIS_DATOS!$C$1499,CROQUIS_DATOS!$C$1503,CROQUIS_DATOS!$C$1507,CROQUIS_DATOS!$C$1511,CROQUIS_DATOS!$C$1515)+CHOOSE(MIN(MAX(MIN(INT(($A317-1)/62)+1,5),1),5),CROQUIS_DATOS!$C$1500,CROQUIS_DATOS!$C$1504,CROQUIS_DATOS!$C$1508,CROQUIS_DATOS!$C$1512,CROQUIS_DATOS!$C$1516)-IF(CHOOSE(MIN(MAX(MIN(INT(($A317-1)/62)+1,5),1),5),CROQUIS_DATOS!$C$1501,CROQUIS_DATOS!$C$1505,CROQUIS_DATOS!$C$1509,CROQUIS_DATOS!$C$1513,CROQUIS_DATOS!$C$1517)=1,CROQUIS_DATOS!$C$1526,0))))*CROQUIS_DATOS!$C$1562),-1000)</f>
        <v>-1000</v>
      </c>
      <c r="Q317">
        <f>IF(AND(CROQUIS_DATOS!$C$1472=1,CROQUIS_DATOS!$C$1555=1),(CROQUIS_DATOS!$C$1564+(IF(OR(OR(MOD($A317-1,62)+1=1,IF(CHOOSE(MIN(MAX(MIN(INT(($A317-1)/62)+1,5),1),5),CROQUIS_DATOS!$C$1501,CROQUIS_DATOS!$C$1505,CROQUIS_DATOS!$C$1509,CROQUIS_DATOS!$C$1513,CROQUIS_DATOS!$C$1517)=1,CROQUIS_DATOS!$C$1557,0)=0),MOD($A317-1,62)+1&gt;2*IF(CHOOSE(MIN(MAX(MIN(INT(($A317-1)/62)+1,5),1),5),CROQUIS_DATOS!$C$1501,CROQUIS_DATOS!$C$1505,CROQUIS_DATOS!$C$1509,CROQUIS_DATOS!$C$1513,CROQUIS_DATOS!$C$1517)=1,CROQUIS_DATOS!$C$1557,0)+1),CROQUIS_DATOS!$C$1476,MIN(INT((MOD($A317-1,62)+1-2)/2)+1,MAX(IF(CHOOSE(MIN(MAX(MIN(INT(($A317-1)/62)+1,5),1),5),CROQUIS_DATOS!$C$1501,CROQUIS_DATOS!$C$1505,CROQUIS_DATOS!$C$1509,CROQUIS_DATOS!$C$1513,CROQUIS_DATOS!$C$1517)=1,CROQUIS_DATOS!$C$1557,0),1))*CROQUIS_DATOS!$C$1556))*CROQUIS_DATOS!$C$1561*CROQUIS_DATOS!$C$1562),-1000)</f>
        <v>-1000</v>
      </c>
    </row>
    <row r="318">
      <c r="A318" t="n">
        <v>311</v>
      </c>
      <c r="N318">
        <f>IF(AND(CROQUIS_DATOS!$C$1472=1,1),(CROQUIS_DATOS!$C$1563+(IF(IF(IF(INT(($A318-1)/70)+1&gt;CROQUIS_DATOS!$C$1525,70,MOD($A318-1,70)+1)=1,0,IF(IF(INT(($A318-1)/70)+1&gt;CROQUIS_DATOS!$C$1525,70,MOD($A318-1,70)+1)&gt;2*CROQUIS_DATOS!$C$1541+1,IF(MOD(CROQUIS_DATOS!$C$1541,2)=1,1,0),IF(MOD(MIN(INT((IF(INT(($A318-1)/70)+1&gt;CROQUIS_DATOS!$C$1525,70,MOD($A318-1,70)+1)-2)/2)+1,CROQUIS_DATOS!$C$1541),2)=1,IF(MOD(IF(INT(($A318-1)/70)+1&gt;CROQUIS_DATOS!$C$1525,70,MOD($A318-1,70)+1)-2,2)=0,0,1),IF(MOD(IF(INT(($A318-1)/70)+1&gt;CROQUIS_DATOS!$C$1525,70,MOD($A318-1,70)+1)-2,2)=0,1,0))))=0,(INDEX($E$8:$E$23,MIN(INT(($A318-1)/70)+1,CROQUIS_DATOS!$C$1525))-INDEX($F$8:$F$23,MIN(INT(($A318-1)/70)+1,CROQUIS_DATOS!$C$1525))/2),(INDEX($E$8:$E$23,MIN(INT(($A318-1)/70)+1,CROQUIS_DATOS!$C$1525))+INDEX($F$8:$F$23,MIN(INT(($A318-1)/70)+1,CROQUIS_DATOS!$C$1525))/2)))*CROQUIS_DATOS!$C$1562),-1000)</f>
        <v>70.25</v>
      </c>
      <c r="O318">
        <f>IF(AND(CROQUIS_DATOS!$C$1472=1,1),(CROQUIS_DATOS!$C$1564+(IF(OR(IF(INT(($A318-1)/70)+1&gt;CROQUIS_DATOS!$C$1525,70,MOD($A318-1,70)+1)=1,IF(INT(($A318-1)/70)+1&gt;CROQUIS_DATOS!$C$1525,70,MOD($A318-1,70)+1)&gt;2*CROQUIS_DATOS!$C$1541+1),CROQUIS_DATOS!$C$1476,INDEX($H$8:$H$41,MIN(INT((IF(INT(($A318-1)/70)+1&gt;CROQUIS_DATOS!$C$1525,70,MOD($A318-1,70)+1)-2)/2)+1,CROQUIS_DATOS!$C$1541))))*CROQUIS_DATOS!$C$1561*CROQUIS_DATOS!$C$1562),-1000)</f>
        <v>36.0172413793104</v>
      </c>
    </row>
    <row r="319">
      <c r="A319" t="n">
        <v>312</v>
      </c>
      <c r="N319">
        <f>IF(AND(CROQUIS_DATOS!$C$1472=1,1),(CROQUIS_DATOS!$C$1563+(IF(IF(IF(INT(($A319-1)/70)+1&gt;CROQUIS_DATOS!$C$1525,70,MOD($A319-1,70)+1)=1,0,IF(IF(INT(($A319-1)/70)+1&gt;CROQUIS_DATOS!$C$1525,70,MOD($A319-1,70)+1)&gt;2*CROQUIS_DATOS!$C$1541+1,IF(MOD(CROQUIS_DATOS!$C$1541,2)=1,1,0),IF(MOD(MIN(INT((IF(INT(($A319-1)/70)+1&gt;CROQUIS_DATOS!$C$1525,70,MOD($A319-1,70)+1)-2)/2)+1,CROQUIS_DATOS!$C$1541),2)=1,IF(MOD(IF(INT(($A319-1)/70)+1&gt;CROQUIS_DATOS!$C$1525,70,MOD($A319-1,70)+1)-2,2)=0,0,1),IF(MOD(IF(INT(($A319-1)/70)+1&gt;CROQUIS_DATOS!$C$1525,70,MOD($A319-1,70)+1)-2,2)=0,1,0))))=0,(INDEX($E$8:$E$23,MIN(INT(($A319-1)/70)+1,CROQUIS_DATOS!$C$1525))-INDEX($F$8:$F$23,MIN(INT(($A319-1)/70)+1,CROQUIS_DATOS!$C$1525))/2),(INDEX($E$8:$E$23,MIN(INT(($A319-1)/70)+1,CROQUIS_DATOS!$C$1525))+INDEX($F$8:$F$23,MIN(INT(($A319-1)/70)+1,CROQUIS_DATOS!$C$1525))/2)))*CROQUIS_DATOS!$C$1562),-1000)</f>
        <v>70.25</v>
      </c>
      <c r="O319">
        <f>IF(AND(CROQUIS_DATOS!$C$1472=1,1),(CROQUIS_DATOS!$C$1564+(IF(OR(IF(INT(($A319-1)/70)+1&gt;CROQUIS_DATOS!$C$1525,70,MOD($A319-1,70)+1)=1,IF(INT(($A319-1)/70)+1&gt;CROQUIS_DATOS!$C$1525,70,MOD($A319-1,70)+1)&gt;2*CROQUIS_DATOS!$C$1541+1),CROQUIS_DATOS!$C$1476,INDEX($H$8:$H$41,MIN(INT((IF(INT(($A319-1)/70)+1&gt;CROQUIS_DATOS!$C$1525,70,MOD($A319-1,70)+1)-2)/2)+1,CROQUIS_DATOS!$C$1541))))*CROQUIS_DATOS!$C$1561*CROQUIS_DATOS!$C$1562),-1000)</f>
        <v>37.0646551724138</v>
      </c>
    </row>
    <row r="320">
      <c r="A320" t="n">
        <v>313</v>
      </c>
      <c r="N320">
        <f>IF(AND(CROQUIS_DATOS!$C$1472=1,1),(CROQUIS_DATOS!$C$1563+(IF(IF(IF(INT(($A320-1)/70)+1&gt;CROQUIS_DATOS!$C$1525,70,MOD($A320-1,70)+1)=1,0,IF(IF(INT(($A320-1)/70)+1&gt;CROQUIS_DATOS!$C$1525,70,MOD($A320-1,70)+1)&gt;2*CROQUIS_DATOS!$C$1541+1,IF(MOD(CROQUIS_DATOS!$C$1541,2)=1,1,0),IF(MOD(MIN(INT((IF(INT(($A320-1)/70)+1&gt;CROQUIS_DATOS!$C$1525,70,MOD($A320-1,70)+1)-2)/2)+1,CROQUIS_DATOS!$C$1541),2)=1,IF(MOD(IF(INT(($A320-1)/70)+1&gt;CROQUIS_DATOS!$C$1525,70,MOD($A320-1,70)+1)-2,2)=0,0,1),IF(MOD(IF(INT(($A320-1)/70)+1&gt;CROQUIS_DATOS!$C$1525,70,MOD($A320-1,70)+1)-2,2)=0,1,0))))=0,(INDEX($E$8:$E$23,MIN(INT(($A320-1)/70)+1,CROQUIS_DATOS!$C$1525))-INDEX($F$8:$F$23,MIN(INT(($A320-1)/70)+1,CROQUIS_DATOS!$C$1525))/2),(INDEX($E$8:$E$23,MIN(INT(($A320-1)/70)+1,CROQUIS_DATOS!$C$1525))+INDEX($F$8:$F$23,MIN(INT(($A320-1)/70)+1,CROQUIS_DATOS!$C$1525))/2)))*CROQUIS_DATOS!$C$1562),-1000)</f>
        <v>68.1551724137931</v>
      </c>
      <c r="O320">
        <f>IF(AND(CROQUIS_DATOS!$C$1472=1,1),(CROQUIS_DATOS!$C$1564+(IF(OR(IF(INT(($A320-1)/70)+1&gt;CROQUIS_DATOS!$C$1525,70,MOD($A320-1,70)+1)=1,IF(INT(($A320-1)/70)+1&gt;CROQUIS_DATOS!$C$1525,70,MOD($A320-1,70)+1)&gt;2*CROQUIS_DATOS!$C$1541+1),CROQUIS_DATOS!$C$1476,INDEX($H$8:$H$41,MIN(INT((IF(INT(($A320-1)/70)+1&gt;CROQUIS_DATOS!$C$1525,70,MOD($A320-1,70)+1)-2)/2)+1,CROQUIS_DATOS!$C$1541))))*CROQUIS_DATOS!$C$1561*CROQUIS_DATOS!$C$1562),-1000)</f>
        <v>37.0646551724138</v>
      </c>
    </row>
    <row r="321">
      <c r="A321" t="n">
        <v>314</v>
      </c>
      <c r="N321">
        <f>IF(AND(CROQUIS_DATOS!$C$1472=1,1),(CROQUIS_DATOS!$C$1563+(IF(IF(IF(INT(($A321-1)/70)+1&gt;CROQUIS_DATOS!$C$1525,70,MOD($A321-1,70)+1)=1,0,IF(IF(INT(($A321-1)/70)+1&gt;CROQUIS_DATOS!$C$1525,70,MOD($A321-1,70)+1)&gt;2*CROQUIS_DATOS!$C$1541+1,IF(MOD(CROQUIS_DATOS!$C$1541,2)=1,1,0),IF(MOD(MIN(INT((IF(INT(($A321-1)/70)+1&gt;CROQUIS_DATOS!$C$1525,70,MOD($A321-1,70)+1)-2)/2)+1,CROQUIS_DATOS!$C$1541),2)=1,IF(MOD(IF(INT(($A321-1)/70)+1&gt;CROQUIS_DATOS!$C$1525,70,MOD($A321-1,70)+1)-2,2)=0,0,1),IF(MOD(IF(INT(($A321-1)/70)+1&gt;CROQUIS_DATOS!$C$1525,70,MOD($A321-1,70)+1)-2,2)=0,1,0))))=0,(INDEX($E$8:$E$23,MIN(INT(($A321-1)/70)+1,CROQUIS_DATOS!$C$1525))-INDEX($F$8:$F$23,MIN(INT(($A321-1)/70)+1,CROQUIS_DATOS!$C$1525))/2),(INDEX($E$8:$E$23,MIN(INT(($A321-1)/70)+1,CROQUIS_DATOS!$C$1525))+INDEX($F$8:$F$23,MIN(INT(($A321-1)/70)+1,CROQUIS_DATOS!$C$1525))/2)))*CROQUIS_DATOS!$C$1562),-1000)</f>
        <v>68.1551724137931</v>
      </c>
      <c r="O321">
        <f>IF(AND(CROQUIS_DATOS!$C$1472=1,1),(CROQUIS_DATOS!$C$1564+(IF(OR(IF(INT(($A321-1)/70)+1&gt;CROQUIS_DATOS!$C$1525,70,MOD($A321-1,70)+1)=1,IF(INT(($A321-1)/70)+1&gt;CROQUIS_DATOS!$C$1525,70,MOD($A321-1,70)+1)&gt;2*CROQUIS_DATOS!$C$1541+1),CROQUIS_DATOS!$C$1476,INDEX($H$8:$H$41,MIN(INT((IF(INT(($A321-1)/70)+1&gt;CROQUIS_DATOS!$C$1525,70,MOD($A321-1,70)+1)-2)/2)+1,CROQUIS_DATOS!$C$1541))))*CROQUIS_DATOS!$C$1561*CROQUIS_DATOS!$C$1562),-1000)</f>
        <v>38.1120689655172</v>
      </c>
    </row>
    <row r="322">
      <c r="A322" t="n">
        <v>315</v>
      </c>
      <c r="N322">
        <f>IF(AND(CROQUIS_DATOS!$C$1472=1,1),(CROQUIS_DATOS!$C$1563+(IF(IF(IF(INT(($A322-1)/70)+1&gt;CROQUIS_DATOS!$C$1525,70,MOD($A322-1,70)+1)=1,0,IF(IF(INT(($A322-1)/70)+1&gt;CROQUIS_DATOS!$C$1525,70,MOD($A322-1,70)+1)&gt;2*CROQUIS_DATOS!$C$1541+1,IF(MOD(CROQUIS_DATOS!$C$1541,2)=1,1,0),IF(MOD(MIN(INT((IF(INT(($A322-1)/70)+1&gt;CROQUIS_DATOS!$C$1525,70,MOD($A322-1,70)+1)-2)/2)+1,CROQUIS_DATOS!$C$1541),2)=1,IF(MOD(IF(INT(($A322-1)/70)+1&gt;CROQUIS_DATOS!$C$1525,70,MOD($A322-1,70)+1)-2,2)=0,0,1),IF(MOD(IF(INT(($A322-1)/70)+1&gt;CROQUIS_DATOS!$C$1525,70,MOD($A322-1,70)+1)-2,2)=0,1,0))))=0,(INDEX($E$8:$E$23,MIN(INT(($A322-1)/70)+1,CROQUIS_DATOS!$C$1525))-INDEX($F$8:$F$23,MIN(INT(($A322-1)/70)+1,CROQUIS_DATOS!$C$1525))/2),(INDEX($E$8:$E$23,MIN(INT(($A322-1)/70)+1,CROQUIS_DATOS!$C$1525))+INDEX($F$8:$F$23,MIN(INT(($A322-1)/70)+1,CROQUIS_DATOS!$C$1525))/2)))*CROQUIS_DATOS!$C$1562),-1000)</f>
        <v>70.25</v>
      </c>
      <c r="O322">
        <f>IF(AND(CROQUIS_DATOS!$C$1472=1,1),(CROQUIS_DATOS!$C$1564+(IF(OR(IF(INT(($A322-1)/70)+1&gt;CROQUIS_DATOS!$C$1525,70,MOD($A322-1,70)+1)=1,IF(INT(($A322-1)/70)+1&gt;CROQUIS_DATOS!$C$1525,70,MOD($A322-1,70)+1)&gt;2*CROQUIS_DATOS!$C$1541+1),CROQUIS_DATOS!$C$1476,INDEX($H$8:$H$41,MIN(INT((IF(INT(($A322-1)/70)+1&gt;CROQUIS_DATOS!$C$1525,70,MOD($A322-1,70)+1)-2)/2)+1,CROQUIS_DATOS!$C$1541))))*CROQUIS_DATOS!$C$1561*CROQUIS_DATOS!$C$1562),-1000)</f>
        <v>38.1120689655172</v>
      </c>
    </row>
    <row r="323">
      <c r="A323" t="n">
        <v>316</v>
      </c>
      <c r="N323">
        <f>IF(AND(CROQUIS_DATOS!$C$1472=1,1),(CROQUIS_DATOS!$C$1563+(IF(IF(IF(INT(($A323-1)/70)+1&gt;CROQUIS_DATOS!$C$1525,70,MOD($A323-1,70)+1)=1,0,IF(IF(INT(($A323-1)/70)+1&gt;CROQUIS_DATOS!$C$1525,70,MOD($A323-1,70)+1)&gt;2*CROQUIS_DATOS!$C$1541+1,IF(MOD(CROQUIS_DATOS!$C$1541,2)=1,1,0),IF(MOD(MIN(INT((IF(INT(($A323-1)/70)+1&gt;CROQUIS_DATOS!$C$1525,70,MOD($A323-1,70)+1)-2)/2)+1,CROQUIS_DATOS!$C$1541),2)=1,IF(MOD(IF(INT(($A323-1)/70)+1&gt;CROQUIS_DATOS!$C$1525,70,MOD($A323-1,70)+1)-2,2)=0,0,1),IF(MOD(IF(INT(($A323-1)/70)+1&gt;CROQUIS_DATOS!$C$1525,70,MOD($A323-1,70)+1)-2,2)=0,1,0))))=0,(INDEX($E$8:$E$23,MIN(INT(($A323-1)/70)+1,CROQUIS_DATOS!$C$1525))-INDEX($F$8:$F$23,MIN(INT(($A323-1)/70)+1,CROQUIS_DATOS!$C$1525))/2),(INDEX($E$8:$E$23,MIN(INT(($A323-1)/70)+1,CROQUIS_DATOS!$C$1525))+INDEX($F$8:$F$23,MIN(INT(($A323-1)/70)+1,CROQUIS_DATOS!$C$1525))/2)))*CROQUIS_DATOS!$C$1562),-1000)</f>
        <v>70.25</v>
      </c>
      <c r="O323">
        <f>IF(AND(CROQUIS_DATOS!$C$1472=1,1),(CROQUIS_DATOS!$C$1564+(IF(OR(IF(INT(($A323-1)/70)+1&gt;CROQUIS_DATOS!$C$1525,70,MOD($A323-1,70)+1)=1,IF(INT(($A323-1)/70)+1&gt;CROQUIS_DATOS!$C$1525,70,MOD($A323-1,70)+1)&gt;2*CROQUIS_DATOS!$C$1541+1),CROQUIS_DATOS!$C$1476,INDEX($H$8:$H$41,MIN(INT((IF(INT(($A323-1)/70)+1&gt;CROQUIS_DATOS!$C$1525,70,MOD($A323-1,70)+1)-2)/2)+1,CROQUIS_DATOS!$C$1541))))*CROQUIS_DATOS!$C$1561*CROQUIS_DATOS!$C$1562),-1000)</f>
        <v>39.1594827586207</v>
      </c>
    </row>
    <row r="324">
      <c r="A324" t="n">
        <v>317</v>
      </c>
      <c r="N324">
        <f>IF(AND(CROQUIS_DATOS!$C$1472=1,1),(CROQUIS_DATOS!$C$1563+(IF(IF(IF(INT(($A324-1)/70)+1&gt;CROQUIS_DATOS!$C$1525,70,MOD($A324-1,70)+1)=1,0,IF(IF(INT(($A324-1)/70)+1&gt;CROQUIS_DATOS!$C$1525,70,MOD($A324-1,70)+1)&gt;2*CROQUIS_DATOS!$C$1541+1,IF(MOD(CROQUIS_DATOS!$C$1541,2)=1,1,0),IF(MOD(MIN(INT((IF(INT(($A324-1)/70)+1&gt;CROQUIS_DATOS!$C$1525,70,MOD($A324-1,70)+1)-2)/2)+1,CROQUIS_DATOS!$C$1541),2)=1,IF(MOD(IF(INT(($A324-1)/70)+1&gt;CROQUIS_DATOS!$C$1525,70,MOD($A324-1,70)+1)-2,2)=0,0,1),IF(MOD(IF(INT(($A324-1)/70)+1&gt;CROQUIS_DATOS!$C$1525,70,MOD($A324-1,70)+1)-2,2)=0,1,0))))=0,(INDEX($E$8:$E$23,MIN(INT(($A324-1)/70)+1,CROQUIS_DATOS!$C$1525))-INDEX($F$8:$F$23,MIN(INT(($A324-1)/70)+1,CROQUIS_DATOS!$C$1525))/2),(INDEX($E$8:$E$23,MIN(INT(($A324-1)/70)+1,CROQUIS_DATOS!$C$1525))+INDEX($F$8:$F$23,MIN(INT(($A324-1)/70)+1,CROQUIS_DATOS!$C$1525))/2)))*CROQUIS_DATOS!$C$1562),-1000)</f>
        <v>68.1551724137931</v>
      </c>
      <c r="O324">
        <f>IF(AND(CROQUIS_DATOS!$C$1472=1,1),(CROQUIS_DATOS!$C$1564+(IF(OR(IF(INT(($A324-1)/70)+1&gt;CROQUIS_DATOS!$C$1525,70,MOD($A324-1,70)+1)=1,IF(INT(($A324-1)/70)+1&gt;CROQUIS_DATOS!$C$1525,70,MOD($A324-1,70)+1)&gt;2*CROQUIS_DATOS!$C$1541+1),CROQUIS_DATOS!$C$1476,INDEX($H$8:$H$41,MIN(INT((IF(INT(($A324-1)/70)+1&gt;CROQUIS_DATOS!$C$1525,70,MOD($A324-1,70)+1)-2)/2)+1,CROQUIS_DATOS!$C$1541))))*CROQUIS_DATOS!$C$1561*CROQUIS_DATOS!$C$1562),-1000)</f>
        <v>39.1594827586207</v>
      </c>
    </row>
    <row r="325">
      <c r="A325" t="n">
        <v>318</v>
      </c>
      <c r="N325">
        <f>IF(AND(CROQUIS_DATOS!$C$1472=1,1),(CROQUIS_DATOS!$C$1563+(IF(IF(IF(INT(($A325-1)/70)+1&gt;CROQUIS_DATOS!$C$1525,70,MOD($A325-1,70)+1)=1,0,IF(IF(INT(($A325-1)/70)+1&gt;CROQUIS_DATOS!$C$1525,70,MOD($A325-1,70)+1)&gt;2*CROQUIS_DATOS!$C$1541+1,IF(MOD(CROQUIS_DATOS!$C$1541,2)=1,1,0),IF(MOD(MIN(INT((IF(INT(($A325-1)/70)+1&gt;CROQUIS_DATOS!$C$1525,70,MOD($A325-1,70)+1)-2)/2)+1,CROQUIS_DATOS!$C$1541),2)=1,IF(MOD(IF(INT(($A325-1)/70)+1&gt;CROQUIS_DATOS!$C$1525,70,MOD($A325-1,70)+1)-2,2)=0,0,1),IF(MOD(IF(INT(($A325-1)/70)+1&gt;CROQUIS_DATOS!$C$1525,70,MOD($A325-1,70)+1)-2,2)=0,1,0))))=0,(INDEX($E$8:$E$23,MIN(INT(($A325-1)/70)+1,CROQUIS_DATOS!$C$1525))-INDEX($F$8:$F$23,MIN(INT(($A325-1)/70)+1,CROQUIS_DATOS!$C$1525))/2),(INDEX($E$8:$E$23,MIN(INT(($A325-1)/70)+1,CROQUIS_DATOS!$C$1525))+INDEX($F$8:$F$23,MIN(INT(($A325-1)/70)+1,CROQUIS_DATOS!$C$1525))/2)))*CROQUIS_DATOS!$C$1562),-1000)</f>
        <v>68.1551724137931</v>
      </c>
      <c r="O325">
        <f>IF(AND(CROQUIS_DATOS!$C$1472=1,1),(CROQUIS_DATOS!$C$1564+(IF(OR(IF(INT(($A325-1)/70)+1&gt;CROQUIS_DATOS!$C$1525,70,MOD($A325-1,70)+1)=1,IF(INT(($A325-1)/70)+1&gt;CROQUIS_DATOS!$C$1525,70,MOD($A325-1,70)+1)&gt;2*CROQUIS_DATOS!$C$1541+1),CROQUIS_DATOS!$C$1476,INDEX($H$8:$H$41,MIN(INT((IF(INT(($A325-1)/70)+1&gt;CROQUIS_DATOS!$C$1525,70,MOD($A325-1,70)+1)-2)/2)+1,CROQUIS_DATOS!$C$1541))))*CROQUIS_DATOS!$C$1561*CROQUIS_DATOS!$C$1562),-1000)</f>
        <v>40.2068965517241</v>
      </c>
    </row>
    <row r="326">
      <c r="A326" t="n">
        <v>319</v>
      </c>
      <c r="N326">
        <f>IF(AND(CROQUIS_DATOS!$C$1472=1,1),(CROQUIS_DATOS!$C$1563+(IF(IF(IF(INT(($A326-1)/70)+1&gt;CROQUIS_DATOS!$C$1525,70,MOD($A326-1,70)+1)=1,0,IF(IF(INT(($A326-1)/70)+1&gt;CROQUIS_DATOS!$C$1525,70,MOD($A326-1,70)+1)&gt;2*CROQUIS_DATOS!$C$1541+1,IF(MOD(CROQUIS_DATOS!$C$1541,2)=1,1,0),IF(MOD(MIN(INT((IF(INT(($A326-1)/70)+1&gt;CROQUIS_DATOS!$C$1525,70,MOD($A326-1,70)+1)-2)/2)+1,CROQUIS_DATOS!$C$1541),2)=1,IF(MOD(IF(INT(($A326-1)/70)+1&gt;CROQUIS_DATOS!$C$1525,70,MOD($A326-1,70)+1)-2,2)=0,0,1),IF(MOD(IF(INT(($A326-1)/70)+1&gt;CROQUIS_DATOS!$C$1525,70,MOD($A326-1,70)+1)-2,2)=0,1,0))))=0,(INDEX($E$8:$E$23,MIN(INT(($A326-1)/70)+1,CROQUIS_DATOS!$C$1525))-INDEX($F$8:$F$23,MIN(INT(($A326-1)/70)+1,CROQUIS_DATOS!$C$1525))/2),(INDEX($E$8:$E$23,MIN(INT(($A326-1)/70)+1,CROQUIS_DATOS!$C$1525))+INDEX($F$8:$F$23,MIN(INT(($A326-1)/70)+1,CROQUIS_DATOS!$C$1525))/2)))*CROQUIS_DATOS!$C$1562),-1000)</f>
        <v>68.1551724137931</v>
      </c>
      <c r="O326">
        <f>IF(AND(CROQUIS_DATOS!$C$1472=1,1),(CROQUIS_DATOS!$C$1564+(IF(OR(IF(INT(($A326-1)/70)+1&gt;CROQUIS_DATOS!$C$1525,70,MOD($A326-1,70)+1)=1,IF(INT(($A326-1)/70)+1&gt;CROQUIS_DATOS!$C$1525,70,MOD($A326-1,70)+1)&gt;2*CROQUIS_DATOS!$C$1541+1),CROQUIS_DATOS!$C$1476,INDEX($H$8:$H$41,MIN(INT((IF(INT(($A326-1)/70)+1&gt;CROQUIS_DATOS!$C$1525,70,MOD($A326-1,70)+1)-2)/2)+1,CROQUIS_DATOS!$C$1541))))*CROQUIS_DATOS!$C$1561*CROQUIS_DATOS!$C$1562),-1000)</f>
        <v>40.2068965517241</v>
      </c>
    </row>
    <row r="327">
      <c r="A327" t="n">
        <v>320</v>
      </c>
      <c r="N327">
        <f>IF(AND(CROQUIS_DATOS!$C$1472=1,1),(CROQUIS_DATOS!$C$1563+(IF(IF(IF(INT(($A327-1)/70)+1&gt;CROQUIS_DATOS!$C$1525,70,MOD($A327-1,70)+1)=1,0,IF(IF(INT(($A327-1)/70)+1&gt;CROQUIS_DATOS!$C$1525,70,MOD($A327-1,70)+1)&gt;2*CROQUIS_DATOS!$C$1541+1,IF(MOD(CROQUIS_DATOS!$C$1541,2)=1,1,0),IF(MOD(MIN(INT((IF(INT(($A327-1)/70)+1&gt;CROQUIS_DATOS!$C$1525,70,MOD($A327-1,70)+1)-2)/2)+1,CROQUIS_DATOS!$C$1541),2)=1,IF(MOD(IF(INT(($A327-1)/70)+1&gt;CROQUIS_DATOS!$C$1525,70,MOD($A327-1,70)+1)-2,2)=0,0,1),IF(MOD(IF(INT(($A327-1)/70)+1&gt;CROQUIS_DATOS!$C$1525,70,MOD($A327-1,70)+1)-2,2)=0,1,0))))=0,(INDEX($E$8:$E$23,MIN(INT(($A327-1)/70)+1,CROQUIS_DATOS!$C$1525))-INDEX($F$8:$F$23,MIN(INT(($A327-1)/70)+1,CROQUIS_DATOS!$C$1525))/2),(INDEX($E$8:$E$23,MIN(INT(($A327-1)/70)+1,CROQUIS_DATOS!$C$1525))+INDEX($F$8:$F$23,MIN(INT(($A327-1)/70)+1,CROQUIS_DATOS!$C$1525))/2)))*CROQUIS_DATOS!$C$1562),-1000)</f>
        <v>68.1551724137931</v>
      </c>
      <c r="O327">
        <f>IF(AND(CROQUIS_DATOS!$C$1472=1,1),(CROQUIS_DATOS!$C$1564+(IF(OR(IF(INT(($A327-1)/70)+1&gt;CROQUIS_DATOS!$C$1525,70,MOD($A327-1,70)+1)=1,IF(INT(($A327-1)/70)+1&gt;CROQUIS_DATOS!$C$1525,70,MOD($A327-1,70)+1)&gt;2*CROQUIS_DATOS!$C$1541+1),CROQUIS_DATOS!$C$1476,INDEX($H$8:$H$41,MIN(INT((IF(INT(($A327-1)/70)+1&gt;CROQUIS_DATOS!$C$1525,70,MOD($A327-1,70)+1)-2)/2)+1,CROQUIS_DATOS!$C$1541))))*CROQUIS_DATOS!$C$1561*CROQUIS_DATOS!$C$1562),-1000)</f>
        <v>40.2068965517241</v>
      </c>
    </row>
    <row r="328">
      <c r="A328" t="n">
        <v>321</v>
      </c>
      <c r="N328">
        <f>IF(AND(CROQUIS_DATOS!$C$1472=1,1),(CROQUIS_DATOS!$C$1563+(IF(IF(IF(INT(($A328-1)/70)+1&gt;CROQUIS_DATOS!$C$1525,70,MOD($A328-1,70)+1)=1,0,IF(IF(INT(($A328-1)/70)+1&gt;CROQUIS_DATOS!$C$1525,70,MOD($A328-1,70)+1)&gt;2*CROQUIS_DATOS!$C$1541+1,IF(MOD(CROQUIS_DATOS!$C$1541,2)=1,1,0),IF(MOD(MIN(INT((IF(INT(($A328-1)/70)+1&gt;CROQUIS_DATOS!$C$1525,70,MOD($A328-1,70)+1)-2)/2)+1,CROQUIS_DATOS!$C$1541),2)=1,IF(MOD(IF(INT(($A328-1)/70)+1&gt;CROQUIS_DATOS!$C$1525,70,MOD($A328-1,70)+1)-2,2)=0,0,1),IF(MOD(IF(INT(($A328-1)/70)+1&gt;CROQUIS_DATOS!$C$1525,70,MOD($A328-1,70)+1)-2,2)=0,1,0))))=0,(INDEX($E$8:$E$23,MIN(INT(($A328-1)/70)+1,CROQUIS_DATOS!$C$1525))-INDEX($F$8:$F$23,MIN(INT(($A328-1)/70)+1,CROQUIS_DATOS!$C$1525))/2),(INDEX($E$8:$E$23,MIN(INT(($A328-1)/70)+1,CROQUIS_DATOS!$C$1525))+INDEX($F$8:$F$23,MIN(INT(($A328-1)/70)+1,CROQUIS_DATOS!$C$1525))/2)))*CROQUIS_DATOS!$C$1562),-1000)</f>
        <v>68.1551724137931</v>
      </c>
      <c r="O328">
        <f>IF(AND(CROQUIS_DATOS!$C$1472=1,1),(CROQUIS_DATOS!$C$1564+(IF(OR(IF(INT(($A328-1)/70)+1&gt;CROQUIS_DATOS!$C$1525,70,MOD($A328-1,70)+1)=1,IF(INT(($A328-1)/70)+1&gt;CROQUIS_DATOS!$C$1525,70,MOD($A328-1,70)+1)&gt;2*CROQUIS_DATOS!$C$1541+1),CROQUIS_DATOS!$C$1476,INDEX($H$8:$H$41,MIN(INT((IF(INT(($A328-1)/70)+1&gt;CROQUIS_DATOS!$C$1525,70,MOD($A328-1,70)+1)-2)/2)+1,CROQUIS_DATOS!$C$1541))))*CROQUIS_DATOS!$C$1561*CROQUIS_DATOS!$C$1562),-1000)</f>
        <v>40.2068965517241</v>
      </c>
    </row>
    <row r="329">
      <c r="A329" t="n">
        <v>322</v>
      </c>
      <c r="N329">
        <f>IF(AND(CROQUIS_DATOS!$C$1472=1,1),(CROQUIS_DATOS!$C$1563+(IF(IF(IF(INT(($A329-1)/70)+1&gt;CROQUIS_DATOS!$C$1525,70,MOD($A329-1,70)+1)=1,0,IF(IF(INT(($A329-1)/70)+1&gt;CROQUIS_DATOS!$C$1525,70,MOD($A329-1,70)+1)&gt;2*CROQUIS_DATOS!$C$1541+1,IF(MOD(CROQUIS_DATOS!$C$1541,2)=1,1,0),IF(MOD(MIN(INT((IF(INT(($A329-1)/70)+1&gt;CROQUIS_DATOS!$C$1525,70,MOD($A329-1,70)+1)-2)/2)+1,CROQUIS_DATOS!$C$1541),2)=1,IF(MOD(IF(INT(($A329-1)/70)+1&gt;CROQUIS_DATOS!$C$1525,70,MOD($A329-1,70)+1)-2,2)=0,0,1),IF(MOD(IF(INT(($A329-1)/70)+1&gt;CROQUIS_DATOS!$C$1525,70,MOD($A329-1,70)+1)-2,2)=0,1,0))))=0,(INDEX($E$8:$E$23,MIN(INT(($A329-1)/70)+1,CROQUIS_DATOS!$C$1525))-INDEX($F$8:$F$23,MIN(INT(($A329-1)/70)+1,CROQUIS_DATOS!$C$1525))/2),(INDEX($E$8:$E$23,MIN(INT(($A329-1)/70)+1,CROQUIS_DATOS!$C$1525))+INDEX($F$8:$F$23,MIN(INT(($A329-1)/70)+1,CROQUIS_DATOS!$C$1525))/2)))*CROQUIS_DATOS!$C$1562),-1000)</f>
        <v>68.1551724137931</v>
      </c>
      <c r="O329">
        <f>IF(AND(CROQUIS_DATOS!$C$1472=1,1),(CROQUIS_DATOS!$C$1564+(IF(OR(IF(INT(($A329-1)/70)+1&gt;CROQUIS_DATOS!$C$1525,70,MOD($A329-1,70)+1)=1,IF(INT(($A329-1)/70)+1&gt;CROQUIS_DATOS!$C$1525,70,MOD($A329-1,70)+1)&gt;2*CROQUIS_DATOS!$C$1541+1),CROQUIS_DATOS!$C$1476,INDEX($H$8:$H$41,MIN(INT((IF(INT(($A329-1)/70)+1&gt;CROQUIS_DATOS!$C$1525,70,MOD($A329-1,70)+1)-2)/2)+1,CROQUIS_DATOS!$C$1541))))*CROQUIS_DATOS!$C$1561*CROQUIS_DATOS!$C$1562),-1000)</f>
        <v>40.2068965517241</v>
      </c>
    </row>
    <row r="330">
      <c r="A330" t="n">
        <v>323</v>
      </c>
      <c r="N330">
        <f>IF(AND(CROQUIS_DATOS!$C$1472=1,1),(CROQUIS_DATOS!$C$1563+(IF(IF(IF(INT(($A330-1)/70)+1&gt;CROQUIS_DATOS!$C$1525,70,MOD($A330-1,70)+1)=1,0,IF(IF(INT(($A330-1)/70)+1&gt;CROQUIS_DATOS!$C$1525,70,MOD($A330-1,70)+1)&gt;2*CROQUIS_DATOS!$C$1541+1,IF(MOD(CROQUIS_DATOS!$C$1541,2)=1,1,0),IF(MOD(MIN(INT((IF(INT(($A330-1)/70)+1&gt;CROQUIS_DATOS!$C$1525,70,MOD($A330-1,70)+1)-2)/2)+1,CROQUIS_DATOS!$C$1541),2)=1,IF(MOD(IF(INT(($A330-1)/70)+1&gt;CROQUIS_DATOS!$C$1525,70,MOD($A330-1,70)+1)-2,2)=0,0,1),IF(MOD(IF(INT(($A330-1)/70)+1&gt;CROQUIS_DATOS!$C$1525,70,MOD($A330-1,70)+1)-2,2)=0,1,0))))=0,(INDEX($E$8:$E$23,MIN(INT(($A330-1)/70)+1,CROQUIS_DATOS!$C$1525))-INDEX($F$8:$F$23,MIN(INT(($A330-1)/70)+1,CROQUIS_DATOS!$C$1525))/2),(INDEX($E$8:$E$23,MIN(INT(($A330-1)/70)+1,CROQUIS_DATOS!$C$1525))+INDEX($F$8:$F$23,MIN(INT(($A330-1)/70)+1,CROQUIS_DATOS!$C$1525))/2)))*CROQUIS_DATOS!$C$1562),-1000)</f>
        <v>68.1551724137931</v>
      </c>
      <c r="O330">
        <f>IF(AND(CROQUIS_DATOS!$C$1472=1,1),(CROQUIS_DATOS!$C$1564+(IF(OR(IF(INT(($A330-1)/70)+1&gt;CROQUIS_DATOS!$C$1525,70,MOD($A330-1,70)+1)=1,IF(INT(($A330-1)/70)+1&gt;CROQUIS_DATOS!$C$1525,70,MOD($A330-1,70)+1)&gt;2*CROQUIS_DATOS!$C$1541+1),CROQUIS_DATOS!$C$1476,INDEX($H$8:$H$41,MIN(INT((IF(INT(($A330-1)/70)+1&gt;CROQUIS_DATOS!$C$1525,70,MOD($A330-1,70)+1)-2)/2)+1,CROQUIS_DATOS!$C$1541))))*CROQUIS_DATOS!$C$1561*CROQUIS_DATOS!$C$1562),-1000)</f>
        <v>40.2068965517241</v>
      </c>
    </row>
    <row r="331">
      <c r="A331" t="n">
        <v>324</v>
      </c>
      <c r="N331">
        <f>IF(AND(CROQUIS_DATOS!$C$1472=1,1),(CROQUIS_DATOS!$C$1563+(IF(IF(IF(INT(($A331-1)/70)+1&gt;CROQUIS_DATOS!$C$1525,70,MOD($A331-1,70)+1)=1,0,IF(IF(INT(($A331-1)/70)+1&gt;CROQUIS_DATOS!$C$1525,70,MOD($A331-1,70)+1)&gt;2*CROQUIS_DATOS!$C$1541+1,IF(MOD(CROQUIS_DATOS!$C$1541,2)=1,1,0),IF(MOD(MIN(INT((IF(INT(($A331-1)/70)+1&gt;CROQUIS_DATOS!$C$1525,70,MOD($A331-1,70)+1)-2)/2)+1,CROQUIS_DATOS!$C$1541),2)=1,IF(MOD(IF(INT(($A331-1)/70)+1&gt;CROQUIS_DATOS!$C$1525,70,MOD($A331-1,70)+1)-2,2)=0,0,1),IF(MOD(IF(INT(($A331-1)/70)+1&gt;CROQUIS_DATOS!$C$1525,70,MOD($A331-1,70)+1)-2,2)=0,1,0))))=0,(INDEX($E$8:$E$23,MIN(INT(($A331-1)/70)+1,CROQUIS_DATOS!$C$1525))-INDEX($F$8:$F$23,MIN(INT(($A331-1)/70)+1,CROQUIS_DATOS!$C$1525))/2),(INDEX($E$8:$E$23,MIN(INT(($A331-1)/70)+1,CROQUIS_DATOS!$C$1525))+INDEX($F$8:$F$23,MIN(INT(($A331-1)/70)+1,CROQUIS_DATOS!$C$1525))/2)))*CROQUIS_DATOS!$C$1562),-1000)</f>
        <v>68.1551724137931</v>
      </c>
      <c r="O331">
        <f>IF(AND(CROQUIS_DATOS!$C$1472=1,1),(CROQUIS_DATOS!$C$1564+(IF(OR(IF(INT(($A331-1)/70)+1&gt;CROQUIS_DATOS!$C$1525,70,MOD($A331-1,70)+1)=1,IF(INT(($A331-1)/70)+1&gt;CROQUIS_DATOS!$C$1525,70,MOD($A331-1,70)+1)&gt;2*CROQUIS_DATOS!$C$1541+1),CROQUIS_DATOS!$C$1476,INDEX($H$8:$H$41,MIN(INT((IF(INT(($A331-1)/70)+1&gt;CROQUIS_DATOS!$C$1525,70,MOD($A331-1,70)+1)-2)/2)+1,CROQUIS_DATOS!$C$1541))))*CROQUIS_DATOS!$C$1561*CROQUIS_DATOS!$C$1562),-1000)</f>
        <v>40.2068965517241</v>
      </c>
    </row>
    <row r="332">
      <c r="A332" t="n">
        <v>325</v>
      </c>
      <c r="N332">
        <f>IF(AND(CROQUIS_DATOS!$C$1472=1,1),(CROQUIS_DATOS!$C$1563+(IF(IF(IF(INT(($A332-1)/70)+1&gt;CROQUIS_DATOS!$C$1525,70,MOD($A332-1,70)+1)=1,0,IF(IF(INT(($A332-1)/70)+1&gt;CROQUIS_DATOS!$C$1525,70,MOD($A332-1,70)+1)&gt;2*CROQUIS_DATOS!$C$1541+1,IF(MOD(CROQUIS_DATOS!$C$1541,2)=1,1,0),IF(MOD(MIN(INT((IF(INT(($A332-1)/70)+1&gt;CROQUIS_DATOS!$C$1525,70,MOD($A332-1,70)+1)-2)/2)+1,CROQUIS_DATOS!$C$1541),2)=1,IF(MOD(IF(INT(($A332-1)/70)+1&gt;CROQUIS_DATOS!$C$1525,70,MOD($A332-1,70)+1)-2,2)=0,0,1),IF(MOD(IF(INT(($A332-1)/70)+1&gt;CROQUIS_DATOS!$C$1525,70,MOD($A332-1,70)+1)-2,2)=0,1,0))))=0,(INDEX($E$8:$E$23,MIN(INT(($A332-1)/70)+1,CROQUIS_DATOS!$C$1525))-INDEX($F$8:$F$23,MIN(INT(($A332-1)/70)+1,CROQUIS_DATOS!$C$1525))/2),(INDEX($E$8:$E$23,MIN(INT(($A332-1)/70)+1,CROQUIS_DATOS!$C$1525))+INDEX($F$8:$F$23,MIN(INT(($A332-1)/70)+1,CROQUIS_DATOS!$C$1525))/2)))*CROQUIS_DATOS!$C$1562),-1000)</f>
        <v>68.1551724137931</v>
      </c>
      <c r="O332">
        <f>IF(AND(CROQUIS_DATOS!$C$1472=1,1),(CROQUIS_DATOS!$C$1564+(IF(OR(IF(INT(($A332-1)/70)+1&gt;CROQUIS_DATOS!$C$1525,70,MOD($A332-1,70)+1)=1,IF(INT(($A332-1)/70)+1&gt;CROQUIS_DATOS!$C$1525,70,MOD($A332-1,70)+1)&gt;2*CROQUIS_DATOS!$C$1541+1),CROQUIS_DATOS!$C$1476,INDEX($H$8:$H$41,MIN(INT((IF(INT(($A332-1)/70)+1&gt;CROQUIS_DATOS!$C$1525,70,MOD($A332-1,70)+1)-2)/2)+1,CROQUIS_DATOS!$C$1541))))*CROQUIS_DATOS!$C$1561*CROQUIS_DATOS!$C$1562),-1000)</f>
        <v>40.2068965517241</v>
      </c>
    </row>
    <row r="333">
      <c r="A333" t="n">
        <v>326</v>
      </c>
      <c r="N333">
        <f>IF(AND(CROQUIS_DATOS!$C$1472=1,1),(CROQUIS_DATOS!$C$1563+(IF(IF(IF(INT(($A333-1)/70)+1&gt;CROQUIS_DATOS!$C$1525,70,MOD($A333-1,70)+1)=1,0,IF(IF(INT(($A333-1)/70)+1&gt;CROQUIS_DATOS!$C$1525,70,MOD($A333-1,70)+1)&gt;2*CROQUIS_DATOS!$C$1541+1,IF(MOD(CROQUIS_DATOS!$C$1541,2)=1,1,0),IF(MOD(MIN(INT((IF(INT(($A333-1)/70)+1&gt;CROQUIS_DATOS!$C$1525,70,MOD($A333-1,70)+1)-2)/2)+1,CROQUIS_DATOS!$C$1541),2)=1,IF(MOD(IF(INT(($A333-1)/70)+1&gt;CROQUIS_DATOS!$C$1525,70,MOD($A333-1,70)+1)-2,2)=0,0,1),IF(MOD(IF(INT(($A333-1)/70)+1&gt;CROQUIS_DATOS!$C$1525,70,MOD($A333-1,70)+1)-2,2)=0,1,0))))=0,(INDEX($E$8:$E$23,MIN(INT(($A333-1)/70)+1,CROQUIS_DATOS!$C$1525))-INDEX($F$8:$F$23,MIN(INT(($A333-1)/70)+1,CROQUIS_DATOS!$C$1525))/2),(INDEX($E$8:$E$23,MIN(INT(($A333-1)/70)+1,CROQUIS_DATOS!$C$1525))+INDEX($F$8:$F$23,MIN(INT(($A333-1)/70)+1,CROQUIS_DATOS!$C$1525))/2)))*CROQUIS_DATOS!$C$1562),-1000)</f>
        <v>68.1551724137931</v>
      </c>
      <c r="O333">
        <f>IF(AND(CROQUIS_DATOS!$C$1472=1,1),(CROQUIS_DATOS!$C$1564+(IF(OR(IF(INT(($A333-1)/70)+1&gt;CROQUIS_DATOS!$C$1525,70,MOD($A333-1,70)+1)=1,IF(INT(($A333-1)/70)+1&gt;CROQUIS_DATOS!$C$1525,70,MOD($A333-1,70)+1)&gt;2*CROQUIS_DATOS!$C$1541+1),CROQUIS_DATOS!$C$1476,INDEX($H$8:$H$41,MIN(INT((IF(INT(($A333-1)/70)+1&gt;CROQUIS_DATOS!$C$1525,70,MOD($A333-1,70)+1)-2)/2)+1,CROQUIS_DATOS!$C$1541))))*CROQUIS_DATOS!$C$1561*CROQUIS_DATOS!$C$1562),-1000)</f>
        <v>40.2068965517241</v>
      </c>
    </row>
    <row r="334">
      <c r="A334" t="n">
        <v>327</v>
      </c>
      <c r="N334">
        <f>IF(AND(CROQUIS_DATOS!$C$1472=1,1),(CROQUIS_DATOS!$C$1563+(IF(IF(IF(INT(($A334-1)/70)+1&gt;CROQUIS_DATOS!$C$1525,70,MOD($A334-1,70)+1)=1,0,IF(IF(INT(($A334-1)/70)+1&gt;CROQUIS_DATOS!$C$1525,70,MOD($A334-1,70)+1)&gt;2*CROQUIS_DATOS!$C$1541+1,IF(MOD(CROQUIS_DATOS!$C$1541,2)=1,1,0),IF(MOD(MIN(INT((IF(INT(($A334-1)/70)+1&gt;CROQUIS_DATOS!$C$1525,70,MOD($A334-1,70)+1)-2)/2)+1,CROQUIS_DATOS!$C$1541),2)=1,IF(MOD(IF(INT(($A334-1)/70)+1&gt;CROQUIS_DATOS!$C$1525,70,MOD($A334-1,70)+1)-2,2)=0,0,1),IF(MOD(IF(INT(($A334-1)/70)+1&gt;CROQUIS_DATOS!$C$1525,70,MOD($A334-1,70)+1)-2,2)=0,1,0))))=0,(INDEX($E$8:$E$23,MIN(INT(($A334-1)/70)+1,CROQUIS_DATOS!$C$1525))-INDEX($F$8:$F$23,MIN(INT(($A334-1)/70)+1,CROQUIS_DATOS!$C$1525))/2),(INDEX($E$8:$E$23,MIN(INT(($A334-1)/70)+1,CROQUIS_DATOS!$C$1525))+INDEX($F$8:$F$23,MIN(INT(($A334-1)/70)+1,CROQUIS_DATOS!$C$1525))/2)))*CROQUIS_DATOS!$C$1562),-1000)</f>
        <v>68.1551724137931</v>
      </c>
      <c r="O334">
        <f>IF(AND(CROQUIS_DATOS!$C$1472=1,1),(CROQUIS_DATOS!$C$1564+(IF(OR(IF(INT(($A334-1)/70)+1&gt;CROQUIS_DATOS!$C$1525,70,MOD($A334-1,70)+1)=1,IF(INT(($A334-1)/70)+1&gt;CROQUIS_DATOS!$C$1525,70,MOD($A334-1,70)+1)&gt;2*CROQUIS_DATOS!$C$1541+1),CROQUIS_DATOS!$C$1476,INDEX($H$8:$H$41,MIN(INT((IF(INT(($A334-1)/70)+1&gt;CROQUIS_DATOS!$C$1525,70,MOD($A334-1,70)+1)-2)/2)+1,CROQUIS_DATOS!$C$1541))))*CROQUIS_DATOS!$C$1561*CROQUIS_DATOS!$C$1562),-1000)</f>
        <v>40.2068965517241</v>
      </c>
    </row>
    <row r="335">
      <c r="A335" t="n">
        <v>328</v>
      </c>
      <c r="N335">
        <f>IF(AND(CROQUIS_DATOS!$C$1472=1,1),(CROQUIS_DATOS!$C$1563+(IF(IF(IF(INT(($A335-1)/70)+1&gt;CROQUIS_DATOS!$C$1525,70,MOD($A335-1,70)+1)=1,0,IF(IF(INT(($A335-1)/70)+1&gt;CROQUIS_DATOS!$C$1525,70,MOD($A335-1,70)+1)&gt;2*CROQUIS_DATOS!$C$1541+1,IF(MOD(CROQUIS_DATOS!$C$1541,2)=1,1,0),IF(MOD(MIN(INT((IF(INT(($A335-1)/70)+1&gt;CROQUIS_DATOS!$C$1525,70,MOD($A335-1,70)+1)-2)/2)+1,CROQUIS_DATOS!$C$1541),2)=1,IF(MOD(IF(INT(($A335-1)/70)+1&gt;CROQUIS_DATOS!$C$1525,70,MOD($A335-1,70)+1)-2,2)=0,0,1),IF(MOD(IF(INT(($A335-1)/70)+1&gt;CROQUIS_DATOS!$C$1525,70,MOD($A335-1,70)+1)-2,2)=0,1,0))))=0,(INDEX($E$8:$E$23,MIN(INT(($A335-1)/70)+1,CROQUIS_DATOS!$C$1525))-INDEX($F$8:$F$23,MIN(INT(($A335-1)/70)+1,CROQUIS_DATOS!$C$1525))/2),(INDEX($E$8:$E$23,MIN(INT(($A335-1)/70)+1,CROQUIS_DATOS!$C$1525))+INDEX($F$8:$F$23,MIN(INT(($A335-1)/70)+1,CROQUIS_DATOS!$C$1525))/2)))*CROQUIS_DATOS!$C$1562),-1000)</f>
        <v>68.1551724137931</v>
      </c>
      <c r="O335">
        <f>IF(AND(CROQUIS_DATOS!$C$1472=1,1),(CROQUIS_DATOS!$C$1564+(IF(OR(IF(INT(($A335-1)/70)+1&gt;CROQUIS_DATOS!$C$1525,70,MOD($A335-1,70)+1)=1,IF(INT(($A335-1)/70)+1&gt;CROQUIS_DATOS!$C$1525,70,MOD($A335-1,70)+1)&gt;2*CROQUIS_DATOS!$C$1541+1),CROQUIS_DATOS!$C$1476,INDEX($H$8:$H$41,MIN(INT((IF(INT(($A335-1)/70)+1&gt;CROQUIS_DATOS!$C$1525,70,MOD($A335-1,70)+1)-2)/2)+1,CROQUIS_DATOS!$C$1541))))*CROQUIS_DATOS!$C$1561*CROQUIS_DATOS!$C$1562),-1000)</f>
        <v>40.2068965517241</v>
      </c>
    </row>
    <row r="336">
      <c r="A336" t="n">
        <v>329</v>
      </c>
      <c r="N336">
        <f>IF(AND(CROQUIS_DATOS!$C$1472=1,1),(CROQUIS_DATOS!$C$1563+(IF(IF(IF(INT(($A336-1)/70)+1&gt;CROQUIS_DATOS!$C$1525,70,MOD($A336-1,70)+1)=1,0,IF(IF(INT(($A336-1)/70)+1&gt;CROQUIS_DATOS!$C$1525,70,MOD($A336-1,70)+1)&gt;2*CROQUIS_DATOS!$C$1541+1,IF(MOD(CROQUIS_DATOS!$C$1541,2)=1,1,0),IF(MOD(MIN(INT((IF(INT(($A336-1)/70)+1&gt;CROQUIS_DATOS!$C$1525,70,MOD($A336-1,70)+1)-2)/2)+1,CROQUIS_DATOS!$C$1541),2)=1,IF(MOD(IF(INT(($A336-1)/70)+1&gt;CROQUIS_DATOS!$C$1525,70,MOD($A336-1,70)+1)-2,2)=0,0,1),IF(MOD(IF(INT(($A336-1)/70)+1&gt;CROQUIS_DATOS!$C$1525,70,MOD($A336-1,70)+1)-2,2)=0,1,0))))=0,(INDEX($E$8:$E$23,MIN(INT(($A336-1)/70)+1,CROQUIS_DATOS!$C$1525))-INDEX($F$8:$F$23,MIN(INT(($A336-1)/70)+1,CROQUIS_DATOS!$C$1525))/2),(INDEX($E$8:$E$23,MIN(INT(($A336-1)/70)+1,CROQUIS_DATOS!$C$1525))+INDEX($F$8:$F$23,MIN(INT(($A336-1)/70)+1,CROQUIS_DATOS!$C$1525))/2)))*CROQUIS_DATOS!$C$1562),-1000)</f>
        <v>68.1551724137931</v>
      </c>
      <c r="O336">
        <f>IF(AND(CROQUIS_DATOS!$C$1472=1,1),(CROQUIS_DATOS!$C$1564+(IF(OR(IF(INT(($A336-1)/70)+1&gt;CROQUIS_DATOS!$C$1525,70,MOD($A336-1,70)+1)=1,IF(INT(($A336-1)/70)+1&gt;CROQUIS_DATOS!$C$1525,70,MOD($A336-1,70)+1)&gt;2*CROQUIS_DATOS!$C$1541+1),CROQUIS_DATOS!$C$1476,INDEX($H$8:$H$41,MIN(INT((IF(INT(($A336-1)/70)+1&gt;CROQUIS_DATOS!$C$1525,70,MOD($A336-1,70)+1)-2)/2)+1,CROQUIS_DATOS!$C$1541))))*CROQUIS_DATOS!$C$1561*CROQUIS_DATOS!$C$1562),-1000)</f>
        <v>40.2068965517241</v>
      </c>
    </row>
    <row r="337">
      <c r="A337" t="n">
        <v>330</v>
      </c>
      <c r="N337">
        <f>IF(AND(CROQUIS_DATOS!$C$1472=1,1),(CROQUIS_DATOS!$C$1563+(IF(IF(IF(INT(($A337-1)/70)+1&gt;CROQUIS_DATOS!$C$1525,70,MOD($A337-1,70)+1)=1,0,IF(IF(INT(($A337-1)/70)+1&gt;CROQUIS_DATOS!$C$1525,70,MOD($A337-1,70)+1)&gt;2*CROQUIS_DATOS!$C$1541+1,IF(MOD(CROQUIS_DATOS!$C$1541,2)=1,1,0),IF(MOD(MIN(INT((IF(INT(($A337-1)/70)+1&gt;CROQUIS_DATOS!$C$1525,70,MOD($A337-1,70)+1)-2)/2)+1,CROQUIS_DATOS!$C$1541),2)=1,IF(MOD(IF(INT(($A337-1)/70)+1&gt;CROQUIS_DATOS!$C$1525,70,MOD($A337-1,70)+1)-2,2)=0,0,1),IF(MOD(IF(INT(($A337-1)/70)+1&gt;CROQUIS_DATOS!$C$1525,70,MOD($A337-1,70)+1)-2,2)=0,1,0))))=0,(INDEX($E$8:$E$23,MIN(INT(($A337-1)/70)+1,CROQUIS_DATOS!$C$1525))-INDEX($F$8:$F$23,MIN(INT(($A337-1)/70)+1,CROQUIS_DATOS!$C$1525))/2),(INDEX($E$8:$E$23,MIN(INT(($A337-1)/70)+1,CROQUIS_DATOS!$C$1525))+INDEX($F$8:$F$23,MIN(INT(($A337-1)/70)+1,CROQUIS_DATOS!$C$1525))/2)))*CROQUIS_DATOS!$C$1562),-1000)</f>
        <v>68.1551724137931</v>
      </c>
      <c r="O337">
        <f>IF(AND(CROQUIS_DATOS!$C$1472=1,1),(CROQUIS_DATOS!$C$1564+(IF(OR(IF(INT(($A337-1)/70)+1&gt;CROQUIS_DATOS!$C$1525,70,MOD($A337-1,70)+1)=1,IF(INT(($A337-1)/70)+1&gt;CROQUIS_DATOS!$C$1525,70,MOD($A337-1,70)+1)&gt;2*CROQUIS_DATOS!$C$1541+1),CROQUIS_DATOS!$C$1476,INDEX($H$8:$H$41,MIN(INT((IF(INT(($A337-1)/70)+1&gt;CROQUIS_DATOS!$C$1525,70,MOD($A337-1,70)+1)-2)/2)+1,CROQUIS_DATOS!$C$1541))))*CROQUIS_DATOS!$C$1561*CROQUIS_DATOS!$C$1562),-1000)</f>
        <v>40.2068965517241</v>
      </c>
    </row>
    <row r="338">
      <c r="A338" t="n">
        <v>331</v>
      </c>
      <c r="N338">
        <f>IF(AND(CROQUIS_DATOS!$C$1472=1,1),(CROQUIS_DATOS!$C$1563+(IF(IF(IF(INT(($A338-1)/70)+1&gt;CROQUIS_DATOS!$C$1525,70,MOD($A338-1,70)+1)=1,0,IF(IF(INT(($A338-1)/70)+1&gt;CROQUIS_DATOS!$C$1525,70,MOD($A338-1,70)+1)&gt;2*CROQUIS_DATOS!$C$1541+1,IF(MOD(CROQUIS_DATOS!$C$1541,2)=1,1,0),IF(MOD(MIN(INT((IF(INT(($A338-1)/70)+1&gt;CROQUIS_DATOS!$C$1525,70,MOD($A338-1,70)+1)-2)/2)+1,CROQUIS_DATOS!$C$1541),2)=1,IF(MOD(IF(INT(($A338-1)/70)+1&gt;CROQUIS_DATOS!$C$1525,70,MOD($A338-1,70)+1)-2,2)=0,0,1),IF(MOD(IF(INT(($A338-1)/70)+1&gt;CROQUIS_DATOS!$C$1525,70,MOD($A338-1,70)+1)-2,2)=0,1,0))))=0,(INDEX($E$8:$E$23,MIN(INT(($A338-1)/70)+1,CROQUIS_DATOS!$C$1525))-INDEX($F$8:$F$23,MIN(INT(($A338-1)/70)+1,CROQUIS_DATOS!$C$1525))/2),(INDEX($E$8:$E$23,MIN(INT(($A338-1)/70)+1,CROQUIS_DATOS!$C$1525))+INDEX($F$8:$F$23,MIN(INT(($A338-1)/70)+1,CROQUIS_DATOS!$C$1525))/2)))*CROQUIS_DATOS!$C$1562),-1000)</f>
        <v>68.1551724137931</v>
      </c>
      <c r="O338">
        <f>IF(AND(CROQUIS_DATOS!$C$1472=1,1),(CROQUIS_DATOS!$C$1564+(IF(OR(IF(INT(($A338-1)/70)+1&gt;CROQUIS_DATOS!$C$1525,70,MOD($A338-1,70)+1)=1,IF(INT(($A338-1)/70)+1&gt;CROQUIS_DATOS!$C$1525,70,MOD($A338-1,70)+1)&gt;2*CROQUIS_DATOS!$C$1541+1),CROQUIS_DATOS!$C$1476,INDEX($H$8:$H$41,MIN(INT((IF(INT(($A338-1)/70)+1&gt;CROQUIS_DATOS!$C$1525,70,MOD($A338-1,70)+1)-2)/2)+1,CROQUIS_DATOS!$C$1541))))*CROQUIS_DATOS!$C$1561*CROQUIS_DATOS!$C$1562),-1000)</f>
        <v>40.2068965517241</v>
      </c>
    </row>
    <row r="339">
      <c r="A339" t="n">
        <v>332</v>
      </c>
      <c r="N339">
        <f>IF(AND(CROQUIS_DATOS!$C$1472=1,1),(CROQUIS_DATOS!$C$1563+(IF(IF(IF(INT(($A339-1)/70)+1&gt;CROQUIS_DATOS!$C$1525,70,MOD($A339-1,70)+1)=1,0,IF(IF(INT(($A339-1)/70)+1&gt;CROQUIS_DATOS!$C$1525,70,MOD($A339-1,70)+1)&gt;2*CROQUIS_DATOS!$C$1541+1,IF(MOD(CROQUIS_DATOS!$C$1541,2)=1,1,0),IF(MOD(MIN(INT((IF(INT(($A339-1)/70)+1&gt;CROQUIS_DATOS!$C$1525,70,MOD($A339-1,70)+1)-2)/2)+1,CROQUIS_DATOS!$C$1541),2)=1,IF(MOD(IF(INT(($A339-1)/70)+1&gt;CROQUIS_DATOS!$C$1525,70,MOD($A339-1,70)+1)-2,2)=0,0,1),IF(MOD(IF(INT(($A339-1)/70)+1&gt;CROQUIS_DATOS!$C$1525,70,MOD($A339-1,70)+1)-2,2)=0,1,0))))=0,(INDEX($E$8:$E$23,MIN(INT(($A339-1)/70)+1,CROQUIS_DATOS!$C$1525))-INDEX($F$8:$F$23,MIN(INT(($A339-1)/70)+1,CROQUIS_DATOS!$C$1525))/2),(INDEX($E$8:$E$23,MIN(INT(($A339-1)/70)+1,CROQUIS_DATOS!$C$1525))+INDEX($F$8:$F$23,MIN(INT(($A339-1)/70)+1,CROQUIS_DATOS!$C$1525))/2)))*CROQUIS_DATOS!$C$1562),-1000)</f>
        <v>68.1551724137931</v>
      </c>
      <c r="O339">
        <f>IF(AND(CROQUIS_DATOS!$C$1472=1,1),(CROQUIS_DATOS!$C$1564+(IF(OR(IF(INT(($A339-1)/70)+1&gt;CROQUIS_DATOS!$C$1525,70,MOD($A339-1,70)+1)=1,IF(INT(($A339-1)/70)+1&gt;CROQUIS_DATOS!$C$1525,70,MOD($A339-1,70)+1)&gt;2*CROQUIS_DATOS!$C$1541+1),CROQUIS_DATOS!$C$1476,INDEX($H$8:$H$41,MIN(INT((IF(INT(($A339-1)/70)+1&gt;CROQUIS_DATOS!$C$1525,70,MOD($A339-1,70)+1)-2)/2)+1,CROQUIS_DATOS!$C$1541))))*CROQUIS_DATOS!$C$1561*CROQUIS_DATOS!$C$1562),-1000)</f>
        <v>40.2068965517241</v>
      </c>
    </row>
    <row r="340">
      <c r="A340" t="n">
        <v>333</v>
      </c>
      <c r="N340">
        <f>IF(AND(CROQUIS_DATOS!$C$1472=1,1),(CROQUIS_DATOS!$C$1563+(IF(IF(IF(INT(($A340-1)/70)+1&gt;CROQUIS_DATOS!$C$1525,70,MOD($A340-1,70)+1)=1,0,IF(IF(INT(($A340-1)/70)+1&gt;CROQUIS_DATOS!$C$1525,70,MOD($A340-1,70)+1)&gt;2*CROQUIS_DATOS!$C$1541+1,IF(MOD(CROQUIS_DATOS!$C$1541,2)=1,1,0),IF(MOD(MIN(INT((IF(INT(($A340-1)/70)+1&gt;CROQUIS_DATOS!$C$1525,70,MOD($A340-1,70)+1)-2)/2)+1,CROQUIS_DATOS!$C$1541),2)=1,IF(MOD(IF(INT(($A340-1)/70)+1&gt;CROQUIS_DATOS!$C$1525,70,MOD($A340-1,70)+1)-2,2)=0,0,1),IF(MOD(IF(INT(($A340-1)/70)+1&gt;CROQUIS_DATOS!$C$1525,70,MOD($A340-1,70)+1)-2,2)=0,1,0))))=0,(INDEX($E$8:$E$23,MIN(INT(($A340-1)/70)+1,CROQUIS_DATOS!$C$1525))-INDEX($F$8:$F$23,MIN(INT(($A340-1)/70)+1,CROQUIS_DATOS!$C$1525))/2),(INDEX($E$8:$E$23,MIN(INT(($A340-1)/70)+1,CROQUIS_DATOS!$C$1525))+INDEX($F$8:$F$23,MIN(INT(($A340-1)/70)+1,CROQUIS_DATOS!$C$1525))/2)))*CROQUIS_DATOS!$C$1562),-1000)</f>
        <v>68.1551724137931</v>
      </c>
      <c r="O340">
        <f>IF(AND(CROQUIS_DATOS!$C$1472=1,1),(CROQUIS_DATOS!$C$1564+(IF(OR(IF(INT(($A340-1)/70)+1&gt;CROQUIS_DATOS!$C$1525,70,MOD($A340-1,70)+1)=1,IF(INT(($A340-1)/70)+1&gt;CROQUIS_DATOS!$C$1525,70,MOD($A340-1,70)+1)&gt;2*CROQUIS_DATOS!$C$1541+1),CROQUIS_DATOS!$C$1476,INDEX($H$8:$H$41,MIN(INT((IF(INT(($A340-1)/70)+1&gt;CROQUIS_DATOS!$C$1525,70,MOD($A340-1,70)+1)-2)/2)+1,CROQUIS_DATOS!$C$1541))))*CROQUIS_DATOS!$C$1561*CROQUIS_DATOS!$C$1562),-1000)</f>
        <v>40.2068965517241</v>
      </c>
    </row>
    <row r="341">
      <c r="A341" t="n">
        <v>334</v>
      </c>
      <c r="N341">
        <f>IF(AND(CROQUIS_DATOS!$C$1472=1,1),(CROQUIS_DATOS!$C$1563+(IF(IF(IF(INT(($A341-1)/70)+1&gt;CROQUIS_DATOS!$C$1525,70,MOD($A341-1,70)+1)=1,0,IF(IF(INT(($A341-1)/70)+1&gt;CROQUIS_DATOS!$C$1525,70,MOD($A341-1,70)+1)&gt;2*CROQUIS_DATOS!$C$1541+1,IF(MOD(CROQUIS_DATOS!$C$1541,2)=1,1,0),IF(MOD(MIN(INT((IF(INT(($A341-1)/70)+1&gt;CROQUIS_DATOS!$C$1525,70,MOD($A341-1,70)+1)-2)/2)+1,CROQUIS_DATOS!$C$1541),2)=1,IF(MOD(IF(INT(($A341-1)/70)+1&gt;CROQUIS_DATOS!$C$1525,70,MOD($A341-1,70)+1)-2,2)=0,0,1),IF(MOD(IF(INT(($A341-1)/70)+1&gt;CROQUIS_DATOS!$C$1525,70,MOD($A341-1,70)+1)-2,2)=0,1,0))))=0,(INDEX($E$8:$E$23,MIN(INT(($A341-1)/70)+1,CROQUIS_DATOS!$C$1525))-INDEX($F$8:$F$23,MIN(INT(($A341-1)/70)+1,CROQUIS_DATOS!$C$1525))/2),(INDEX($E$8:$E$23,MIN(INT(($A341-1)/70)+1,CROQUIS_DATOS!$C$1525))+INDEX($F$8:$F$23,MIN(INT(($A341-1)/70)+1,CROQUIS_DATOS!$C$1525))/2)))*CROQUIS_DATOS!$C$1562),-1000)</f>
        <v>68.1551724137931</v>
      </c>
      <c r="O341">
        <f>IF(AND(CROQUIS_DATOS!$C$1472=1,1),(CROQUIS_DATOS!$C$1564+(IF(OR(IF(INT(($A341-1)/70)+1&gt;CROQUIS_DATOS!$C$1525,70,MOD($A341-1,70)+1)=1,IF(INT(($A341-1)/70)+1&gt;CROQUIS_DATOS!$C$1525,70,MOD($A341-1,70)+1)&gt;2*CROQUIS_DATOS!$C$1541+1),CROQUIS_DATOS!$C$1476,INDEX($H$8:$H$41,MIN(INT((IF(INT(($A341-1)/70)+1&gt;CROQUIS_DATOS!$C$1525,70,MOD($A341-1,70)+1)-2)/2)+1,CROQUIS_DATOS!$C$1541))))*CROQUIS_DATOS!$C$1561*CROQUIS_DATOS!$C$1562),-1000)</f>
        <v>40.2068965517241</v>
      </c>
    </row>
    <row r="342">
      <c r="A342" t="n">
        <v>335</v>
      </c>
      <c r="N342">
        <f>IF(AND(CROQUIS_DATOS!$C$1472=1,1),(CROQUIS_DATOS!$C$1563+(IF(IF(IF(INT(($A342-1)/70)+1&gt;CROQUIS_DATOS!$C$1525,70,MOD($A342-1,70)+1)=1,0,IF(IF(INT(($A342-1)/70)+1&gt;CROQUIS_DATOS!$C$1525,70,MOD($A342-1,70)+1)&gt;2*CROQUIS_DATOS!$C$1541+1,IF(MOD(CROQUIS_DATOS!$C$1541,2)=1,1,0),IF(MOD(MIN(INT((IF(INT(($A342-1)/70)+1&gt;CROQUIS_DATOS!$C$1525,70,MOD($A342-1,70)+1)-2)/2)+1,CROQUIS_DATOS!$C$1541),2)=1,IF(MOD(IF(INT(($A342-1)/70)+1&gt;CROQUIS_DATOS!$C$1525,70,MOD($A342-1,70)+1)-2,2)=0,0,1),IF(MOD(IF(INT(($A342-1)/70)+1&gt;CROQUIS_DATOS!$C$1525,70,MOD($A342-1,70)+1)-2,2)=0,1,0))))=0,(INDEX($E$8:$E$23,MIN(INT(($A342-1)/70)+1,CROQUIS_DATOS!$C$1525))-INDEX($F$8:$F$23,MIN(INT(($A342-1)/70)+1,CROQUIS_DATOS!$C$1525))/2),(INDEX($E$8:$E$23,MIN(INT(($A342-1)/70)+1,CROQUIS_DATOS!$C$1525))+INDEX($F$8:$F$23,MIN(INT(($A342-1)/70)+1,CROQUIS_DATOS!$C$1525))/2)))*CROQUIS_DATOS!$C$1562),-1000)</f>
        <v>68.1551724137931</v>
      </c>
      <c r="O342">
        <f>IF(AND(CROQUIS_DATOS!$C$1472=1,1),(CROQUIS_DATOS!$C$1564+(IF(OR(IF(INT(($A342-1)/70)+1&gt;CROQUIS_DATOS!$C$1525,70,MOD($A342-1,70)+1)=1,IF(INT(($A342-1)/70)+1&gt;CROQUIS_DATOS!$C$1525,70,MOD($A342-1,70)+1)&gt;2*CROQUIS_DATOS!$C$1541+1),CROQUIS_DATOS!$C$1476,INDEX($H$8:$H$41,MIN(INT((IF(INT(($A342-1)/70)+1&gt;CROQUIS_DATOS!$C$1525,70,MOD($A342-1,70)+1)-2)/2)+1,CROQUIS_DATOS!$C$1541))))*CROQUIS_DATOS!$C$1561*CROQUIS_DATOS!$C$1562),-1000)</f>
        <v>40.2068965517241</v>
      </c>
    </row>
    <row r="343">
      <c r="A343" t="n">
        <v>336</v>
      </c>
      <c r="N343">
        <f>IF(AND(CROQUIS_DATOS!$C$1472=1,1),(CROQUIS_DATOS!$C$1563+(IF(IF(IF(INT(($A343-1)/70)+1&gt;CROQUIS_DATOS!$C$1525,70,MOD($A343-1,70)+1)=1,0,IF(IF(INT(($A343-1)/70)+1&gt;CROQUIS_DATOS!$C$1525,70,MOD($A343-1,70)+1)&gt;2*CROQUIS_DATOS!$C$1541+1,IF(MOD(CROQUIS_DATOS!$C$1541,2)=1,1,0),IF(MOD(MIN(INT((IF(INT(($A343-1)/70)+1&gt;CROQUIS_DATOS!$C$1525,70,MOD($A343-1,70)+1)-2)/2)+1,CROQUIS_DATOS!$C$1541),2)=1,IF(MOD(IF(INT(($A343-1)/70)+1&gt;CROQUIS_DATOS!$C$1525,70,MOD($A343-1,70)+1)-2,2)=0,0,1),IF(MOD(IF(INT(($A343-1)/70)+1&gt;CROQUIS_DATOS!$C$1525,70,MOD($A343-1,70)+1)-2,2)=0,1,0))))=0,(INDEX($E$8:$E$23,MIN(INT(($A343-1)/70)+1,CROQUIS_DATOS!$C$1525))-INDEX($F$8:$F$23,MIN(INT(($A343-1)/70)+1,CROQUIS_DATOS!$C$1525))/2),(INDEX($E$8:$E$23,MIN(INT(($A343-1)/70)+1,CROQUIS_DATOS!$C$1525))+INDEX($F$8:$F$23,MIN(INT(($A343-1)/70)+1,CROQUIS_DATOS!$C$1525))/2)))*CROQUIS_DATOS!$C$1562),-1000)</f>
        <v>68.1551724137931</v>
      </c>
      <c r="O343">
        <f>IF(AND(CROQUIS_DATOS!$C$1472=1,1),(CROQUIS_DATOS!$C$1564+(IF(OR(IF(INT(($A343-1)/70)+1&gt;CROQUIS_DATOS!$C$1525,70,MOD($A343-1,70)+1)=1,IF(INT(($A343-1)/70)+1&gt;CROQUIS_DATOS!$C$1525,70,MOD($A343-1,70)+1)&gt;2*CROQUIS_DATOS!$C$1541+1),CROQUIS_DATOS!$C$1476,INDEX($H$8:$H$41,MIN(INT((IF(INT(($A343-1)/70)+1&gt;CROQUIS_DATOS!$C$1525,70,MOD($A343-1,70)+1)-2)/2)+1,CROQUIS_DATOS!$C$1541))))*CROQUIS_DATOS!$C$1561*CROQUIS_DATOS!$C$1562),-1000)</f>
        <v>40.2068965517241</v>
      </c>
    </row>
    <row r="344">
      <c r="A344" t="n">
        <v>337</v>
      </c>
      <c r="N344">
        <f>IF(AND(CROQUIS_DATOS!$C$1472=1,1),(CROQUIS_DATOS!$C$1563+(IF(IF(IF(INT(($A344-1)/70)+1&gt;CROQUIS_DATOS!$C$1525,70,MOD($A344-1,70)+1)=1,0,IF(IF(INT(($A344-1)/70)+1&gt;CROQUIS_DATOS!$C$1525,70,MOD($A344-1,70)+1)&gt;2*CROQUIS_DATOS!$C$1541+1,IF(MOD(CROQUIS_DATOS!$C$1541,2)=1,1,0),IF(MOD(MIN(INT((IF(INT(($A344-1)/70)+1&gt;CROQUIS_DATOS!$C$1525,70,MOD($A344-1,70)+1)-2)/2)+1,CROQUIS_DATOS!$C$1541),2)=1,IF(MOD(IF(INT(($A344-1)/70)+1&gt;CROQUIS_DATOS!$C$1525,70,MOD($A344-1,70)+1)-2,2)=0,0,1),IF(MOD(IF(INT(($A344-1)/70)+1&gt;CROQUIS_DATOS!$C$1525,70,MOD($A344-1,70)+1)-2,2)=0,1,0))))=0,(INDEX($E$8:$E$23,MIN(INT(($A344-1)/70)+1,CROQUIS_DATOS!$C$1525))-INDEX($F$8:$F$23,MIN(INT(($A344-1)/70)+1,CROQUIS_DATOS!$C$1525))/2),(INDEX($E$8:$E$23,MIN(INT(($A344-1)/70)+1,CROQUIS_DATOS!$C$1525))+INDEX($F$8:$F$23,MIN(INT(($A344-1)/70)+1,CROQUIS_DATOS!$C$1525))/2)))*CROQUIS_DATOS!$C$1562),-1000)</f>
        <v>68.1551724137931</v>
      </c>
      <c r="O344">
        <f>IF(AND(CROQUIS_DATOS!$C$1472=1,1),(CROQUIS_DATOS!$C$1564+(IF(OR(IF(INT(($A344-1)/70)+1&gt;CROQUIS_DATOS!$C$1525,70,MOD($A344-1,70)+1)=1,IF(INT(($A344-1)/70)+1&gt;CROQUIS_DATOS!$C$1525,70,MOD($A344-1,70)+1)&gt;2*CROQUIS_DATOS!$C$1541+1),CROQUIS_DATOS!$C$1476,INDEX($H$8:$H$41,MIN(INT((IF(INT(($A344-1)/70)+1&gt;CROQUIS_DATOS!$C$1525,70,MOD($A344-1,70)+1)-2)/2)+1,CROQUIS_DATOS!$C$1541))))*CROQUIS_DATOS!$C$1561*CROQUIS_DATOS!$C$1562),-1000)</f>
        <v>40.2068965517241</v>
      </c>
    </row>
    <row r="345">
      <c r="A345" t="n">
        <v>338</v>
      </c>
      <c r="N345">
        <f>IF(AND(CROQUIS_DATOS!$C$1472=1,1),(CROQUIS_DATOS!$C$1563+(IF(IF(IF(INT(($A345-1)/70)+1&gt;CROQUIS_DATOS!$C$1525,70,MOD($A345-1,70)+1)=1,0,IF(IF(INT(($A345-1)/70)+1&gt;CROQUIS_DATOS!$C$1525,70,MOD($A345-1,70)+1)&gt;2*CROQUIS_DATOS!$C$1541+1,IF(MOD(CROQUIS_DATOS!$C$1541,2)=1,1,0),IF(MOD(MIN(INT((IF(INT(($A345-1)/70)+1&gt;CROQUIS_DATOS!$C$1525,70,MOD($A345-1,70)+1)-2)/2)+1,CROQUIS_DATOS!$C$1541),2)=1,IF(MOD(IF(INT(($A345-1)/70)+1&gt;CROQUIS_DATOS!$C$1525,70,MOD($A345-1,70)+1)-2,2)=0,0,1),IF(MOD(IF(INT(($A345-1)/70)+1&gt;CROQUIS_DATOS!$C$1525,70,MOD($A345-1,70)+1)-2,2)=0,1,0))))=0,(INDEX($E$8:$E$23,MIN(INT(($A345-1)/70)+1,CROQUIS_DATOS!$C$1525))-INDEX($F$8:$F$23,MIN(INT(($A345-1)/70)+1,CROQUIS_DATOS!$C$1525))/2),(INDEX($E$8:$E$23,MIN(INT(($A345-1)/70)+1,CROQUIS_DATOS!$C$1525))+INDEX($F$8:$F$23,MIN(INT(($A345-1)/70)+1,CROQUIS_DATOS!$C$1525))/2)))*CROQUIS_DATOS!$C$1562),-1000)</f>
        <v>68.1551724137931</v>
      </c>
      <c r="O345">
        <f>IF(AND(CROQUIS_DATOS!$C$1472=1,1),(CROQUIS_DATOS!$C$1564+(IF(OR(IF(INT(($A345-1)/70)+1&gt;CROQUIS_DATOS!$C$1525,70,MOD($A345-1,70)+1)=1,IF(INT(($A345-1)/70)+1&gt;CROQUIS_DATOS!$C$1525,70,MOD($A345-1,70)+1)&gt;2*CROQUIS_DATOS!$C$1541+1),CROQUIS_DATOS!$C$1476,INDEX($H$8:$H$41,MIN(INT((IF(INT(($A345-1)/70)+1&gt;CROQUIS_DATOS!$C$1525,70,MOD($A345-1,70)+1)-2)/2)+1,CROQUIS_DATOS!$C$1541))))*CROQUIS_DATOS!$C$1561*CROQUIS_DATOS!$C$1562),-1000)</f>
        <v>40.2068965517241</v>
      </c>
    </row>
    <row r="346">
      <c r="A346" t="n">
        <v>339</v>
      </c>
      <c r="N346">
        <f>IF(AND(CROQUIS_DATOS!$C$1472=1,1),(CROQUIS_DATOS!$C$1563+(IF(IF(IF(INT(($A346-1)/70)+1&gt;CROQUIS_DATOS!$C$1525,70,MOD($A346-1,70)+1)=1,0,IF(IF(INT(($A346-1)/70)+1&gt;CROQUIS_DATOS!$C$1525,70,MOD($A346-1,70)+1)&gt;2*CROQUIS_DATOS!$C$1541+1,IF(MOD(CROQUIS_DATOS!$C$1541,2)=1,1,0),IF(MOD(MIN(INT((IF(INT(($A346-1)/70)+1&gt;CROQUIS_DATOS!$C$1525,70,MOD($A346-1,70)+1)-2)/2)+1,CROQUIS_DATOS!$C$1541),2)=1,IF(MOD(IF(INT(($A346-1)/70)+1&gt;CROQUIS_DATOS!$C$1525,70,MOD($A346-1,70)+1)-2,2)=0,0,1),IF(MOD(IF(INT(($A346-1)/70)+1&gt;CROQUIS_DATOS!$C$1525,70,MOD($A346-1,70)+1)-2,2)=0,1,0))))=0,(INDEX($E$8:$E$23,MIN(INT(($A346-1)/70)+1,CROQUIS_DATOS!$C$1525))-INDEX($F$8:$F$23,MIN(INT(($A346-1)/70)+1,CROQUIS_DATOS!$C$1525))/2),(INDEX($E$8:$E$23,MIN(INT(($A346-1)/70)+1,CROQUIS_DATOS!$C$1525))+INDEX($F$8:$F$23,MIN(INT(($A346-1)/70)+1,CROQUIS_DATOS!$C$1525))/2)))*CROQUIS_DATOS!$C$1562),-1000)</f>
        <v>68.1551724137931</v>
      </c>
      <c r="O346">
        <f>IF(AND(CROQUIS_DATOS!$C$1472=1,1),(CROQUIS_DATOS!$C$1564+(IF(OR(IF(INT(($A346-1)/70)+1&gt;CROQUIS_DATOS!$C$1525,70,MOD($A346-1,70)+1)=1,IF(INT(($A346-1)/70)+1&gt;CROQUIS_DATOS!$C$1525,70,MOD($A346-1,70)+1)&gt;2*CROQUIS_DATOS!$C$1541+1),CROQUIS_DATOS!$C$1476,INDEX($H$8:$H$41,MIN(INT((IF(INT(($A346-1)/70)+1&gt;CROQUIS_DATOS!$C$1525,70,MOD($A346-1,70)+1)-2)/2)+1,CROQUIS_DATOS!$C$1541))))*CROQUIS_DATOS!$C$1561*CROQUIS_DATOS!$C$1562),-1000)</f>
        <v>40.2068965517241</v>
      </c>
    </row>
    <row r="347">
      <c r="A347" t="n">
        <v>340</v>
      </c>
      <c r="N347">
        <f>IF(AND(CROQUIS_DATOS!$C$1472=1,1),(CROQUIS_DATOS!$C$1563+(IF(IF(IF(INT(($A347-1)/70)+1&gt;CROQUIS_DATOS!$C$1525,70,MOD($A347-1,70)+1)=1,0,IF(IF(INT(($A347-1)/70)+1&gt;CROQUIS_DATOS!$C$1525,70,MOD($A347-1,70)+1)&gt;2*CROQUIS_DATOS!$C$1541+1,IF(MOD(CROQUIS_DATOS!$C$1541,2)=1,1,0),IF(MOD(MIN(INT((IF(INT(($A347-1)/70)+1&gt;CROQUIS_DATOS!$C$1525,70,MOD($A347-1,70)+1)-2)/2)+1,CROQUIS_DATOS!$C$1541),2)=1,IF(MOD(IF(INT(($A347-1)/70)+1&gt;CROQUIS_DATOS!$C$1525,70,MOD($A347-1,70)+1)-2,2)=0,0,1),IF(MOD(IF(INT(($A347-1)/70)+1&gt;CROQUIS_DATOS!$C$1525,70,MOD($A347-1,70)+1)-2,2)=0,1,0))))=0,(INDEX($E$8:$E$23,MIN(INT(($A347-1)/70)+1,CROQUIS_DATOS!$C$1525))-INDEX($F$8:$F$23,MIN(INT(($A347-1)/70)+1,CROQUIS_DATOS!$C$1525))/2),(INDEX($E$8:$E$23,MIN(INT(($A347-1)/70)+1,CROQUIS_DATOS!$C$1525))+INDEX($F$8:$F$23,MIN(INT(($A347-1)/70)+1,CROQUIS_DATOS!$C$1525))/2)))*CROQUIS_DATOS!$C$1562),-1000)</f>
        <v>68.1551724137931</v>
      </c>
      <c r="O347">
        <f>IF(AND(CROQUIS_DATOS!$C$1472=1,1),(CROQUIS_DATOS!$C$1564+(IF(OR(IF(INT(($A347-1)/70)+1&gt;CROQUIS_DATOS!$C$1525,70,MOD($A347-1,70)+1)=1,IF(INT(($A347-1)/70)+1&gt;CROQUIS_DATOS!$C$1525,70,MOD($A347-1,70)+1)&gt;2*CROQUIS_DATOS!$C$1541+1),CROQUIS_DATOS!$C$1476,INDEX($H$8:$H$41,MIN(INT((IF(INT(($A347-1)/70)+1&gt;CROQUIS_DATOS!$C$1525,70,MOD($A347-1,70)+1)-2)/2)+1,CROQUIS_DATOS!$C$1541))))*CROQUIS_DATOS!$C$1561*CROQUIS_DATOS!$C$1562),-1000)</f>
        <v>40.2068965517241</v>
      </c>
    </row>
    <row r="348">
      <c r="A348" t="n">
        <v>341</v>
      </c>
      <c r="N348">
        <f>IF(AND(CROQUIS_DATOS!$C$1472=1,1),(CROQUIS_DATOS!$C$1563+(IF(IF(IF(INT(($A348-1)/70)+1&gt;CROQUIS_DATOS!$C$1525,70,MOD($A348-1,70)+1)=1,0,IF(IF(INT(($A348-1)/70)+1&gt;CROQUIS_DATOS!$C$1525,70,MOD($A348-1,70)+1)&gt;2*CROQUIS_DATOS!$C$1541+1,IF(MOD(CROQUIS_DATOS!$C$1541,2)=1,1,0),IF(MOD(MIN(INT((IF(INT(($A348-1)/70)+1&gt;CROQUIS_DATOS!$C$1525,70,MOD($A348-1,70)+1)-2)/2)+1,CROQUIS_DATOS!$C$1541),2)=1,IF(MOD(IF(INT(($A348-1)/70)+1&gt;CROQUIS_DATOS!$C$1525,70,MOD($A348-1,70)+1)-2,2)=0,0,1),IF(MOD(IF(INT(($A348-1)/70)+1&gt;CROQUIS_DATOS!$C$1525,70,MOD($A348-1,70)+1)-2,2)=0,1,0))))=0,(INDEX($E$8:$E$23,MIN(INT(($A348-1)/70)+1,CROQUIS_DATOS!$C$1525))-INDEX($F$8:$F$23,MIN(INT(($A348-1)/70)+1,CROQUIS_DATOS!$C$1525))/2),(INDEX($E$8:$E$23,MIN(INT(($A348-1)/70)+1,CROQUIS_DATOS!$C$1525))+INDEX($F$8:$F$23,MIN(INT(($A348-1)/70)+1,CROQUIS_DATOS!$C$1525))/2)))*CROQUIS_DATOS!$C$1562),-1000)</f>
        <v>68.1551724137931</v>
      </c>
      <c r="O348">
        <f>IF(AND(CROQUIS_DATOS!$C$1472=1,1),(CROQUIS_DATOS!$C$1564+(IF(OR(IF(INT(($A348-1)/70)+1&gt;CROQUIS_DATOS!$C$1525,70,MOD($A348-1,70)+1)=1,IF(INT(($A348-1)/70)+1&gt;CROQUIS_DATOS!$C$1525,70,MOD($A348-1,70)+1)&gt;2*CROQUIS_DATOS!$C$1541+1),CROQUIS_DATOS!$C$1476,INDEX($H$8:$H$41,MIN(INT((IF(INT(($A348-1)/70)+1&gt;CROQUIS_DATOS!$C$1525,70,MOD($A348-1,70)+1)-2)/2)+1,CROQUIS_DATOS!$C$1541))))*CROQUIS_DATOS!$C$1561*CROQUIS_DATOS!$C$1562),-1000)</f>
        <v>40.2068965517241</v>
      </c>
    </row>
    <row r="349">
      <c r="A349" t="n">
        <v>342</v>
      </c>
      <c r="N349">
        <f>IF(AND(CROQUIS_DATOS!$C$1472=1,1),(CROQUIS_DATOS!$C$1563+(IF(IF(IF(INT(($A349-1)/70)+1&gt;CROQUIS_DATOS!$C$1525,70,MOD($A349-1,70)+1)=1,0,IF(IF(INT(($A349-1)/70)+1&gt;CROQUIS_DATOS!$C$1525,70,MOD($A349-1,70)+1)&gt;2*CROQUIS_DATOS!$C$1541+1,IF(MOD(CROQUIS_DATOS!$C$1541,2)=1,1,0),IF(MOD(MIN(INT((IF(INT(($A349-1)/70)+1&gt;CROQUIS_DATOS!$C$1525,70,MOD($A349-1,70)+1)-2)/2)+1,CROQUIS_DATOS!$C$1541),2)=1,IF(MOD(IF(INT(($A349-1)/70)+1&gt;CROQUIS_DATOS!$C$1525,70,MOD($A349-1,70)+1)-2,2)=0,0,1),IF(MOD(IF(INT(($A349-1)/70)+1&gt;CROQUIS_DATOS!$C$1525,70,MOD($A349-1,70)+1)-2,2)=0,1,0))))=0,(INDEX($E$8:$E$23,MIN(INT(($A349-1)/70)+1,CROQUIS_DATOS!$C$1525))-INDEX($F$8:$F$23,MIN(INT(($A349-1)/70)+1,CROQUIS_DATOS!$C$1525))/2),(INDEX($E$8:$E$23,MIN(INT(($A349-1)/70)+1,CROQUIS_DATOS!$C$1525))+INDEX($F$8:$F$23,MIN(INT(($A349-1)/70)+1,CROQUIS_DATOS!$C$1525))/2)))*CROQUIS_DATOS!$C$1562),-1000)</f>
        <v>68.1551724137931</v>
      </c>
      <c r="O349">
        <f>IF(AND(CROQUIS_DATOS!$C$1472=1,1),(CROQUIS_DATOS!$C$1564+(IF(OR(IF(INT(($A349-1)/70)+1&gt;CROQUIS_DATOS!$C$1525,70,MOD($A349-1,70)+1)=1,IF(INT(($A349-1)/70)+1&gt;CROQUIS_DATOS!$C$1525,70,MOD($A349-1,70)+1)&gt;2*CROQUIS_DATOS!$C$1541+1),CROQUIS_DATOS!$C$1476,INDEX($H$8:$H$41,MIN(INT((IF(INT(($A349-1)/70)+1&gt;CROQUIS_DATOS!$C$1525,70,MOD($A349-1,70)+1)-2)/2)+1,CROQUIS_DATOS!$C$1541))))*CROQUIS_DATOS!$C$1561*CROQUIS_DATOS!$C$1562),-1000)</f>
        <v>40.2068965517241</v>
      </c>
    </row>
    <row r="350">
      <c r="A350" t="n">
        <v>343</v>
      </c>
      <c r="N350">
        <f>IF(AND(CROQUIS_DATOS!$C$1472=1,1),(CROQUIS_DATOS!$C$1563+(IF(IF(IF(INT(($A350-1)/70)+1&gt;CROQUIS_DATOS!$C$1525,70,MOD($A350-1,70)+1)=1,0,IF(IF(INT(($A350-1)/70)+1&gt;CROQUIS_DATOS!$C$1525,70,MOD($A350-1,70)+1)&gt;2*CROQUIS_DATOS!$C$1541+1,IF(MOD(CROQUIS_DATOS!$C$1541,2)=1,1,0),IF(MOD(MIN(INT((IF(INT(($A350-1)/70)+1&gt;CROQUIS_DATOS!$C$1525,70,MOD($A350-1,70)+1)-2)/2)+1,CROQUIS_DATOS!$C$1541),2)=1,IF(MOD(IF(INT(($A350-1)/70)+1&gt;CROQUIS_DATOS!$C$1525,70,MOD($A350-1,70)+1)-2,2)=0,0,1),IF(MOD(IF(INT(($A350-1)/70)+1&gt;CROQUIS_DATOS!$C$1525,70,MOD($A350-1,70)+1)-2,2)=0,1,0))))=0,(INDEX($E$8:$E$23,MIN(INT(($A350-1)/70)+1,CROQUIS_DATOS!$C$1525))-INDEX($F$8:$F$23,MIN(INT(($A350-1)/70)+1,CROQUIS_DATOS!$C$1525))/2),(INDEX($E$8:$E$23,MIN(INT(($A350-1)/70)+1,CROQUIS_DATOS!$C$1525))+INDEX($F$8:$F$23,MIN(INT(($A350-1)/70)+1,CROQUIS_DATOS!$C$1525))/2)))*CROQUIS_DATOS!$C$1562),-1000)</f>
        <v>68.1551724137931</v>
      </c>
      <c r="O350">
        <f>IF(AND(CROQUIS_DATOS!$C$1472=1,1),(CROQUIS_DATOS!$C$1564+(IF(OR(IF(INT(($A350-1)/70)+1&gt;CROQUIS_DATOS!$C$1525,70,MOD($A350-1,70)+1)=1,IF(INT(($A350-1)/70)+1&gt;CROQUIS_DATOS!$C$1525,70,MOD($A350-1,70)+1)&gt;2*CROQUIS_DATOS!$C$1541+1),CROQUIS_DATOS!$C$1476,INDEX($H$8:$H$41,MIN(INT((IF(INT(($A350-1)/70)+1&gt;CROQUIS_DATOS!$C$1525,70,MOD($A350-1,70)+1)-2)/2)+1,CROQUIS_DATOS!$C$1541))))*CROQUIS_DATOS!$C$1561*CROQUIS_DATOS!$C$1562),-1000)</f>
        <v>40.2068965517241</v>
      </c>
    </row>
    <row r="351">
      <c r="A351" t="n">
        <v>344</v>
      </c>
      <c r="N351">
        <f>IF(AND(CROQUIS_DATOS!$C$1472=1,1),(CROQUIS_DATOS!$C$1563+(IF(IF(IF(INT(($A351-1)/70)+1&gt;CROQUIS_DATOS!$C$1525,70,MOD($A351-1,70)+1)=1,0,IF(IF(INT(($A351-1)/70)+1&gt;CROQUIS_DATOS!$C$1525,70,MOD($A351-1,70)+1)&gt;2*CROQUIS_DATOS!$C$1541+1,IF(MOD(CROQUIS_DATOS!$C$1541,2)=1,1,0),IF(MOD(MIN(INT((IF(INT(($A351-1)/70)+1&gt;CROQUIS_DATOS!$C$1525,70,MOD($A351-1,70)+1)-2)/2)+1,CROQUIS_DATOS!$C$1541),2)=1,IF(MOD(IF(INT(($A351-1)/70)+1&gt;CROQUIS_DATOS!$C$1525,70,MOD($A351-1,70)+1)-2,2)=0,0,1),IF(MOD(IF(INT(($A351-1)/70)+1&gt;CROQUIS_DATOS!$C$1525,70,MOD($A351-1,70)+1)-2,2)=0,1,0))))=0,(INDEX($E$8:$E$23,MIN(INT(($A351-1)/70)+1,CROQUIS_DATOS!$C$1525))-INDEX($F$8:$F$23,MIN(INT(($A351-1)/70)+1,CROQUIS_DATOS!$C$1525))/2),(INDEX($E$8:$E$23,MIN(INT(($A351-1)/70)+1,CROQUIS_DATOS!$C$1525))+INDEX($F$8:$F$23,MIN(INT(($A351-1)/70)+1,CROQUIS_DATOS!$C$1525))/2)))*CROQUIS_DATOS!$C$1562),-1000)</f>
        <v>68.1551724137931</v>
      </c>
      <c r="O351">
        <f>IF(AND(CROQUIS_DATOS!$C$1472=1,1),(CROQUIS_DATOS!$C$1564+(IF(OR(IF(INT(($A351-1)/70)+1&gt;CROQUIS_DATOS!$C$1525,70,MOD($A351-1,70)+1)=1,IF(INT(($A351-1)/70)+1&gt;CROQUIS_DATOS!$C$1525,70,MOD($A351-1,70)+1)&gt;2*CROQUIS_DATOS!$C$1541+1),CROQUIS_DATOS!$C$1476,INDEX($H$8:$H$41,MIN(INT((IF(INT(($A351-1)/70)+1&gt;CROQUIS_DATOS!$C$1525,70,MOD($A351-1,70)+1)-2)/2)+1,CROQUIS_DATOS!$C$1541))))*CROQUIS_DATOS!$C$1561*CROQUIS_DATOS!$C$1562),-1000)</f>
        <v>40.2068965517241</v>
      </c>
    </row>
    <row r="352">
      <c r="A352" t="n">
        <v>345</v>
      </c>
      <c r="N352">
        <f>IF(AND(CROQUIS_DATOS!$C$1472=1,1),(CROQUIS_DATOS!$C$1563+(IF(IF(IF(INT(($A352-1)/70)+1&gt;CROQUIS_DATOS!$C$1525,70,MOD($A352-1,70)+1)=1,0,IF(IF(INT(($A352-1)/70)+1&gt;CROQUIS_DATOS!$C$1525,70,MOD($A352-1,70)+1)&gt;2*CROQUIS_DATOS!$C$1541+1,IF(MOD(CROQUIS_DATOS!$C$1541,2)=1,1,0),IF(MOD(MIN(INT((IF(INT(($A352-1)/70)+1&gt;CROQUIS_DATOS!$C$1525,70,MOD($A352-1,70)+1)-2)/2)+1,CROQUIS_DATOS!$C$1541),2)=1,IF(MOD(IF(INT(($A352-1)/70)+1&gt;CROQUIS_DATOS!$C$1525,70,MOD($A352-1,70)+1)-2,2)=0,0,1),IF(MOD(IF(INT(($A352-1)/70)+1&gt;CROQUIS_DATOS!$C$1525,70,MOD($A352-1,70)+1)-2,2)=0,1,0))))=0,(INDEX($E$8:$E$23,MIN(INT(($A352-1)/70)+1,CROQUIS_DATOS!$C$1525))-INDEX($F$8:$F$23,MIN(INT(($A352-1)/70)+1,CROQUIS_DATOS!$C$1525))/2),(INDEX($E$8:$E$23,MIN(INT(($A352-1)/70)+1,CROQUIS_DATOS!$C$1525))+INDEX($F$8:$F$23,MIN(INT(($A352-1)/70)+1,CROQUIS_DATOS!$C$1525))/2)))*CROQUIS_DATOS!$C$1562),-1000)</f>
        <v>68.1551724137931</v>
      </c>
      <c r="O352">
        <f>IF(AND(CROQUIS_DATOS!$C$1472=1,1),(CROQUIS_DATOS!$C$1564+(IF(OR(IF(INT(($A352-1)/70)+1&gt;CROQUIS_DATOS!$C$1525,70,MOD($A352-1,70)+1)=1,IF(INT(($A352-1)/70)+1&gt;CROQUIS_DATOS!$C$1525,70,MOD($A352-1,70)+1)&gt;2*CROQUIS_DATOS!$C$1541+1),CROQUIS_DATOS!$C$1476,INDEX($H$8:$H$41,MIN(INT((IF(INT(($A352-1)/70)+1&gt;CROQUIS_DATOS!$C$1525,70,MOD($A352-1,70)+1)-2)/2)+1,CROQUIS_DATOS!$C$1541))))*CROQUIS_DATOS!$C$1561*CROQUIS_DATOS!$C$1562),-1000)</f>
        <v>40.2068965517241</v>
      </c>
    </row>
    <row r="353">
      <c r="A353" t="n">
        <v>346</v>
      </c>
      <c r="N353">
        <f>IF(AND(CROQUIS_DATOS!$C$1472=1,1),(CROQUIS_DATOS!$C$1563+(IF(IF(IF(INT(($A353-1)/70)+1&gt;CROQUIS_DATOS!$C$1525,70,MOD($A353-1,70)+1)=1,0,IF(IF(INT(($A353-1)/70)+1&gt;CROQUIS_DATOS!$C$1525,70,MOD($A353-1,70)+1)&gt;2*CROQUIS_DATOS!$C$1541+1,IF(MOD(CROQUIS_DATOS!$C$1541,2)=1,1,0),IF(MOD(MIN(INT((IF(INT(($A353-1)/70)+1&gt;CROQUIS_DATOS!$C$1525,70,MOD($A353-1,70)+1)-2)/2)+1,CROQUIS_DATOS!$C$1541),2)=1,IF(MOD(IF(INT(($A353-1)/70)+1&gt;CROQUIS_DATOS!$C$1525,70,MOD($A353-1,70)+1)-2,2)=0,0,1),IF(MOD(IF(INT(($A353-1)/70)+1&gt;CROQUIS_DATOS!$C$1525,70,MOD($A353-1,70)+1)-2,2)=0,1,0))))=0,(INDEX($E$8:$E$23,MIN(INT(($A353-1)/70)+1,CROQUIS_DATOS!$C$1525))-INDEX($F$8:$F$23,MIN(INT(($A353-1)/70)+1,CROQUIS_DATOS!$C$1525))/2),(INDEX($E$8:$E$23,MIN(INT(($A353-1)/70)+1,CROQUIS_DATOS!$C$1525))+INDEX($F$8:$F$23,MIN(INT(($A353-1)/70)+1,CROQUIS_DATOS!$C$1525))/2)))*CROQUIS_DATOS!$C$1562),-1000)</f>
        <v>68.1551724137931</v>
      </c>
      <c r="O353">
        <f>IF(AND(CROQUIS_DATOS!$C$1472=1,1),(CROQUIS_DATOS!$C$1564+(IF(OR(IF(INT(($A353-1)/70)+1&gt;CROQUIS_DATOS!$C$1525,70,MOD($A353-1,70)+1)=1,IF(INT(($A353-1)/70)+1&gt;CROQUIS_DATOS!$C$1525,70,MOD($A353-1,70)+1)&gt;2*CROQUIS_DATOS!$C$1541+1),CROQUIS_DATOS!$C$1476,INDEX($H$8:$H$41,MIN(INT((IF(INT(($A353-1)/70)+1&gt;CROQUIS_DATOS!$C$1525,70,MOD($A353-1,70)+1)-2)/2)+1,CROQUIS_DATOS!$C$1541))))*CROQUIS_DATOS!$C$1561*CROQUIS_DATOS!$C$1562),-1000)</f>
        <v>40.2068965517241</v>
      </c>
    </row>
    <row r="354">
      <c r="A354" t="n">
        <v>347</v>
      </c>
      <c r="N354">
        <f>IF(AND(CROQUIS_DATOS!$C$1472=1,1),(CROQUIS_DATOS!$C$1563+(IF(IF(IF(INT(($A354-1)/70)+1&gt;CROQUIS_DATOS!$C$1525,70,MOD($A354-1,70)+1)=1,0,IF(IF(INT(($A354-1)/70)+1&gt;CROQUIS_DATOS!$C$1525,70,MOD($A354-1,70)+1)&gt;2*CROQUIS_DATOS!$C$1541+1,IF(MOD(CROQUIS_DATOS!$C$1541,2)=1,1,0),IF(MOD(MIN(INT((IF(INT(($A354-1)/70)+1&gt;CROQUIS_DATOS!$C$1525,70,MOD($A354-1,70)+1)-2)/2)+1,CROQUIS_DATOS!$C$1541),2)=1,IF(MOD(IF(INT(($A354-1)/70)+1&gt;CROQUIS_DATOS!$C$1525,70,MOD($A354-1,70)+1)-2,2)=0,0,1),IF(MOD(IF(INT(($A354-1)/70)+1&gt;CROQUIS_DATOS!$C$1525,70,MOD($A354-1,70)+1)-2,2)=0,1,0))))=0,(INDEX($E$8:$E$23,MIN(INT(($A354-1)/70)+1,CROQUIS_DATOS!$C$1525))-INDEX($F$8:$F$23,MIN(INT(($A354-1)/70)+1,CROQUIS_DATOS!$C$1525))/2),(INDEX($E$8:$E$23,MIN(INT(($A354-1)/70)+1,CROQUIS_DATOS!$C$1525))+INDEX($F$8:$F$23,MIN(INT(($A354-1)/70)+1,CROQUIS_DATOS!$C$1525))/2)))*CROQUIS_DATOS!$C$1562),-1000)</f>
        <v>68.1551724137931</v>
      </c>
      <c r="O354">
        <f>IF(AND(CROQUIS_DATOS!$C$1472=1,1),(CROQUIS_DATOS!$C$1564+(IF(OR(IF(INT(($A354-1)/70)+1&gt;CROQUIS_DATOS!$C$1525,70,MOD($A354-1,70)+1)=1,IF(INT(($A354-1)/70)+1&gt;CROQUIS_DATOS!$C$1525,70,MOD($A354-1,70)+1)&gt;2*CROQUIS_DATOS!$C$1541+1),CROQUIS_DATOS!$C$1476,INDEX($H$8:$H$41,MIN(INT((IF(INT(($A354-1)/70)+1&gt;CROQUIS_DATOS!$C$1525,70,MOD($A354-1,70)+1)-2)/2)+1,CROQUIS_DATOS!$C$1541))))*CROQUIS_DATOS!$C$1561*CROQUIS_DATOS!$C$1562),-1000)</f>
        <v>40.2068965517241</v>
      </c>
    </row>
    <row r="355">
      <c r="A355" t="n">
        <v>348</v>
      </c>
      <c r="N355">
        <f>IF(AND(CROQUIS_DATOS!$C$1472=1,1),(CROQUIS_DATOS!$C$1563+(IF(IF(IF(INT(($A355-1)/70)+1&gt;CROQUIS_DATOS!$C$1525,70,MOD($A355-1,70)+1)=1,0,IF(IF(INT(($A355-1)/70)+1&gt;CROQUIS_DATOS!$C$1525,70,MOD($A355-1,70)+1)&gt;2*CROQUIS_DATOS!$C$1541+1,IF(MOD(CROQUIS_DATOS!$C$1541,2)=1,1,0),IF(MOD(MIN(INT((IF(INT(($A355-1)/70)+1&gt;CROQUIS_DATOS!$C$1525,70,MOD($A355-1,70)+1)-2)/2)+1,CROQUIS_DATOS!$C$1541),2)=1,IF(MOD(IF(INT(($A355-1)/70)+1&gt;CROQUIS_DATOS!$C$1525,70,MOD($A355-1,70)+1)-2,2)=0,0,1),IF(MOD(IF(INT(($A355-1)/70)+1&gt;CROQUIS_DATOS!$C$1525,70,MOD($A355-1,70)+1)-2,2)=0,1,0))))=0,(INDEX($E$8:$E$23,MIN(INT(($A355-1)/70)+1,CROQUIS_DATOS!$C$1525))-INDEX($F$8:$F$23,MIN(INT(($A355-1)/70)+1,CROQUIS_DATOS!$C$1525))/2),(INDEX($E$8:$E$23,MIN(INT(($A355-1)/70)+1,CROQUIS_DATOS!$C$1525))+INDEX($F$8:$F$23,MIN(INT(($A355-1)/70)+1,CROQUIS_DATOS!$C$1525))/2)))*CROQUIS_DATOS!$C$1562),-1000)</f>
        <v>68.1551724137931</v>
      </c>
      <c r="O355">
        <f>IF(AND(CROQUIS_DATOS!$C$1472=1,1),(CROQUIS_DATOS!$C$1564+(IF(OR(IF(INT(($A355-1)/70)+1&gt;CROQUIS_DATOS!$C$1525,70,MOD($A355-1,70)+1)=1,IF(INT(($A355-1)/70)+1&gt;CROQUIS_DATOS!$C$1525,70,MOD($A355-1,70)+1)&gt;2*CROQUIS_DATOS!$C$1541+1),CROQUIS_DATOS!$C$1476,INDEX($H$8:$H$41,MIN(INT((IF(INT(($A355-1)/70)+1&gt;CROQUIS_DATOS!$C$1525,70,MOD($A355-1,70)+1)-2)/2)+1,CROQUIS_DATOS!$C$1541))))*CROQUIS_DATOS!$C$1561*CROQUIS_DATOS!$C$1562),-1000)</f>
        <v>40.2068965517241</v>
      </c>
    </row>
    <row r="356">
      <c r="A356" t="n">
        <v>349</v>
      </c>
      <c r="N356">
        <f>IF(AND(CROQUIS_DATOS!$C$1472=1,1),(CROQUIS_DATOS!$C$1563+(IF(IF(IF(INT(($A356-1)/70)+1&gt;CROQUIS_DATOS!$C$1525,70,MOD($A356-1,70)+1)=1,0,IF(IF(INT(($A356-1)/70)+1&gt;CROQUIS_DATOS!$C$1525,70,MOD($A356-1,70)+1)&gt;2*CROQUIS_DATOS!$C$1541+1,IF(MOD(CROQUIS_DATOS!$C$1541,2)=1,1,0),IF(MOD(MIN(INT((IF(INT(($A356-1)/70)+1&gt;CROQUIS_DATOS!$C$1525,70,MOD($A356-1,70)+1)-2)/2)+1,CROQUIS_DATOS!$C$1541),2)=1,IF(MOD(IF(INT(($A356-1)/70)+1&gt;CROQUIS_DATOS!$C$1525,70,MOD($A356-1,70)+1)-2,2)=0,0,1),IF(MOD(IF(INT(($A356-1)/70)+1&gt;CROQUIS_DATOS!$C$1525,70,MOD($A356-1,70)+1)-2,2)=0,1,0))))=0,(INDEX($E$8:$E$23,MIN(INT(($A356-1)/70)+1,CROQUIS_DATOS!$C$1525))-INDEX($F$8:$F$23,MIN(INT(($A356-1)/70)+1,CROQUIS_DATOS!$C$1525))/2),(INDEX($E$8:$E$23,MIN(INT(($A356-1)/70)+1,CROQUIS_DATOS!$C$1525))+INDEX($F$8:$F$23,MIN(INT(($A356-1)/70)+1,CROQUIS_DATOS!$C$1525))/2)))*CROQUIS_DATOS!$C$1562),-1000)</f>
        <v>68.1551724137931</v>
      </c>
      <c r="O356">
        <f>IF(AND(CROQUIS_DATOS!$C$1472=1,1),(CROQUIS_DATOS!$C$1564+(IF(OR(IF(INT(($A356-1)/70)+1&gt;CROQUIS_DATOS!$C$1525,70,MOD($A356-1,70)+1)=1,IF(INT(($A356-1)/70)+1&gt;CROQUIS_DATOS!$C$1525,70,MOD($A356-1,70)+1)&gt;2*CROQUIS_DATOS!$C$1541+1),CROQUIS_DATOS!$C$1476,INDEX($H$8:$H$41,MIN(INT((IF(INT(($A356-1)/70)+1&gt;CROQUIS_DATOS!$C$1525,70,MOD($A356-1,70)+1)-2)/2)+1,CROQUIS_DATOS!$C$1541))))*CROQUIS_DATOS!$C$1561*CROQUIS_DATOS!$C$1562),-1000)</f>
        <v>40.2068965517241</v>
      </c>
    </row>
    <row r="357">
      <c r="A357" t="n">
        <v>350</v>
      </c>
      <c r="N357">
        <f>IF(AND(CROQUIS_DATOS!$C$1472=1,1),(CROQUIS_DATOS!$C$1563+(IF(IF(IF(INT(($A357-1)/70)+1&gt;CROQUIS_DATOS!$C$1525,70,MOD($A357-1,70)+1)=1,0,IF(IF(INT(($A357-1)/70)+1&gt;CROQUIS_DATOS!$C$1525,70,MOD($A357-1,70)+1)&gt;2*CROQUIS_DATOS!$C$1541+1,IF(MOD(CROQUIS_DATOS!$C$1541,2)=1,1,0),IF(MOD(MIN(INT((IF(INT(($A357-1)/70)+1&gt;CROQUIS_DATOS!$C$1525,70,MOD($A357-1,70)+1)-2)/2)+1,CROQUIS_DATOS!$C$1541),2)=1,IF(MOD(IF(INT(($A357-1)/70)+1&gt;CROQUIS_DATOS!$C$1525,70,MOD($A357-1,70)+1)-2,2)=0,0,1),IF(MOD(IF(INT(($A357-1)/70)+1&gt;CROQUIS_DATOS!$C$1525,70,MOD($A357-1,70)+1)-2,2)=0,1,0))))=0,(INDEX($E$8:$E$23,MIN(INT(($A357-1)/70)+1,CROQUIS_DATOS!$C$1525))-INDEX($F$8:$F$23,MIN(INT(($A357-1)/70)+1,CROQUIS_DATOS!$C$1525))/2),(INDEX($E$8:$E$23,MIN(INT(($A357-1)/70)+1,CROQUIS_DATOS!$C$1525))+INDEX($F$8:$F$23,MIN(INT(($A357-1)/70)+1,CROQUIS_DATOS!$C$1525))/2)))*CROQUIS_DATOS!$C$1562),-1000)</f>
        <v>68.1551724137931</v>
      </c>
      <c r="O357">
        <f>IF(AND(CROQUIS_DATOS!$C$1472=1,1),(CROQUIS_DATOS!$C$1564+(IF(OR(IF(INT(($A357-1)/70)+1&gt;CROQUIS_DATOS!$C$1525,70,MOD($A357-1,70)+1)=1,IF(INT(($A357-1)/70)+1&gt;CROQUIS_DATOS!$C$1525,70,MOD($A357-1,70)+1)&gt;2*CROQUIS_DATOS!$C$1541+1),CROQUIS_DATOS!$C$1476,INDEX($H$8:$H$41,MIN(INT((IF(INT(($A357-1)/70)+1&gt;CROQUIS_DATOS!$C$1525,70,MOD($A357-1,70)+1)-2)/2)+1,CROQUIS_DATOS!$C$1541))))*CROQUIS_DATOS!$C$1561*CROQUIS_DATOS!$C$1562),-1000)</f>
        <v>40.2068965517241</v>
      </c>
    </row>
    <row r="358">
      <c r="A358" t="n">
        <v>351</v>
      </c>
      <c r="N358">
        <f>IF(AND(CROQUIS_DATOS!$C$1472=1,1),(CROQUIS_DATOS!$C$1563+(IF(IF(IF(INT(($A358-1)/70)+1&gt;CROQUIS_DATOS!$C$1525,70,MOD($A358-1,70)+1)=1,0,IF(IF(INT(($A358-1)/70)+1&gt;CROQUIS_DATOS!$C$1525,70,MOD($A358-1,70)+1)&gt;2*CROQUIS_DATOS!$C$1541+1,IF(MOD(CROQUIS_DATOS!$C$1541,2)=1,1,0),IF(MOD(MIN(INT((IF(INT(($A358-1)/70)+1&gt;CROQUIS_DATOS!$C$1525,70,MOD($A358-1,70)+1)-2)/2)+1,CROQUIS_DATOS!$C$1541),2)=1,IF(MOD(IF(INT(($A358-1)/70)+1&gt;CROQUIS_DATOS!$C$1525,70,MOD($A358-1,70)+1)-2,2)=0,0,1),IF(MOD(IF(INT(($A358-1)/70)+1&gt;CROQUIS_DATOS!$C$1525,70,MOD($A358-1,70)+1)-2,2)=0,1,0))))=0,(INDEX($E$8:$E$23,MIN(INT(($A358-1)/70)+1,CROQUIS_DATOS!$C$1525))-INDEX($F$8:$F$23,MIN(INT(($A358-1)/70)+1,CROQUIS_DATOS!$C$1525))/2),(INDEX($E$8:$E$23,MIN(INT(($A358-1)/70)+1,CROQUIS_DATOS!$C$1525))+INDEX($F$8:$F$23,MIN(INT(($A358-1)/70)+1,CROQUIS_DATOS!$C$1525))/2)))*CROQUIS_DATOS!$C$1562),-1000)</f>
        <v>82.8189655172414</v>
      </c>
      <c r="O358">
        <f>IF(AND(CROQUIS_DATOS!$C$1472=1,1),(CROQUIS_DATOS!$C$1564+(IF(OR(IF(INT(($A358-1)/70)+1&gt;CROQUIS_DATOS!$C$1525,70,MOD($A358-1,70)+1)=1,IF(INT(($A358-1)/70)+1&gt;CROQUIS_DATOS!$C$1525,70,MOD($A358-1,70)+1)&gt;2*CROQUIS_DATOS!$C$1541+1),CROQUIS_DATOS!$C$1476,INDEX($H$8:$H$41,MIN(INT((IF(INT(($A358-1)/70)+1&gt;CROQUIS_DATOS!$C$1525,70,MOD($A358-1,70)+1)-2)/2)+1,CROQUIS_DATOS!$C$1541))))*CROQUIS_DATOS!$C$1561*CROQUIS_DATOS!$C$1562),-1000)</f>
        <v>40.2068965517241</v>
      </c>
    </row>
    <row r="359">
      <c r="A359" t="n">
        <v>352</v>
      </c>
      <c r="N359">
        <f>IF(AND(CROQUIS_DATOS!$C$1472=1,1),(CROQUIS_DATOS!$C$1563+(IF(IF(IF(INT(($A359-1)/70)+1&gt;CROQUIS_DATOS!$C$1525,70,MOD($A359-1,70)+1)=1,0,IF(IF(INT(($A359-1)/70)+1&gt;CROQUIS_DATOS!$C$1525,70,MOD($A359-1,70)+1)&gt;2*CROQUIS_DATOS!$C$1541+1,IF(MOD(CROQUIS_DATOS!$C$1541,2)=1,1,0),IF(MOD(MIN(INT((IF(INT(($A359-1)/70)+1&gt;CROQUIS_DATOS!$C$1525,70,MOD($A359-1,70)+1)-2)/2)+1,CROQUIS_DATOS!$C$1541),2)=1,IF(MOD(IF(INT(($A359-1)/70)+1&gt;CROQUIS_DATOS!$C$1525,70,MOD($A359-1,70)+1)-2,2)=0,0,1),IF(MOD(IF(INT(($A359-1)/70)+1&gt;CROQUIS_DATOS!$C$1525,70,MOD($A359-1,70)+1)-2,2)=0,1,0))))=0,(INDEX($E$8:$E$23,MIN(INT(($A359-1)/70)+1,CROQUIS_DATOS!$C$1525))-INDEX($F$8:$F$23,MIN(INT(($A359-1)/70)+1,CROQUIS_DATOS!$C$1525))/2),(INDEX($E$8:$E$23,MIN(INT(($A359-1)/70)+1,CROQUIS_DATOS!$C$1525))+INDEX($F$8:$F$23,MIN(INT(($A359-1)/70)+1,CROQUIS_DATOS!$C$1525))/2)))*CROQUIS_DATOS!$C$1562),-1000)</f>
        <v>82.8189655172414</v>
      </c>
      <c r="O359">
        <f>IF(AND(CROQUIS_DATOS!$C$1472=1,1),(CROQUIS_DATOS!$C$1564+(IF(OR(IF(INT(($A359-1)/70)+1&gt;CROQUIS_DATOS!$C$1525,70,MOD($A359-1,70)+1)=1,IF(INT(($A359-1)/70)+1&gt;CROQUIS_DATOS!$C$1525,70,MOD($A359-1,70)+1)&gt;2*CROQUIS_DATOS!$C$1541+1),CROQUIS_DATOS!$C$1476,INDEX($H$8:$H$41,MIN(INT((IF(INT(($A359-1)/70)+1&gt;CROQUIS_DATOS!$C$1525,70,MOD($A359-1,70)+1)-2)/2)+1,CROQUIS_DATOS!$C$1541))))*CROQUIS_DATOS!$C$1561*CROQUIS_DATOS!$C$1562),-1000)</f>
        <v>6.34051724137931</v>
      </c>
    </row>
    <row r="360">
      <c r="A360" t="n">
        <v>353</v>
      </c>
      <c r="N360">
        <f>IF(AND(CROQUIS_DATOS!$C$1472=1,1),(CROQUIS_DATOS!$C$1563+(IF(IF(IF(INT(($A360-1)/70)+1&gt;CROQUIS_DATOS!$C$1525,70,MOD($A360-1,70)+1)=1,0,IF(IF(INT(($A360-1)/70)+1&gt;CROQUIS_DATOS!$C$1525,70,MOD($A360-1,70)+1)&gt;2*CROQUIS_DATOS!$C$1541+1,IF(MOD(CROQUIS_DATOS!$C$1541,2)=1,1,0),IF(MOD(MIN(INT((IF(INT(($A360-1)/70)+1&gt;CROQUIS_DATOS!$C$1525,70,MOD($A360-1,70)+1)-2)/2)+1,CROQUIS_DATOS!$C$1541),2)=1,IF(MOD(IF(INT(($A360-1)/70)+1&gt;CROQUIS_DATOS!$C$1525,70,MOD($A360-1,70)+1)-2,2)=0,0,1),IF(MOD(IF(INT(($A360-1)/70)+1&gt;CROQUIS_DATOS!$C$1525,70,MOD($A360-1,70)+1)-2,2)=0,1,0))))=0,(INDEX($E$8:$E$23,MIN(INT(($A360-1)/70)+1,CROQUIS_DATOS!$C$1525))-INDEX($F$8:$F$23,MIN(INT(($A360-1)/70)+1,CROQUIS_DATOS!$C$1525))/2),(INDEX($E$8:$E$23,MIN(INT(($A360-1)/70)+1,CROQUIS_DATOS!$C$1525))+INDEX($F$8:$F$23,MIN(INT(($A360-1)/70)+1,CROQUIS_DATOS!$C$1525))/2)))*CROQUIS_DATOS!$C$1562),-1000)</f>
        <v>84.9137931034483</v>
      </c>
      <c r="O360">
        <f>IF(AND(CROQUIS_DATOS!$C$1472=1,1),(CROQUIS_DATOS!$C$1564+(IF(OR(IF(INT(($A360-1)/70)+1&gt;CROQUIS_DATOS!$C$1525,70,MOD($A360-1,70)+1)=1,IF(INT(($A360-1)/70)+1&gt;CROQUIS_DATOS!$C$1525,70,MOD($A360-1,70)+1)&gt;2*CROQUIS_DATOS!$C$1541+1),CROQUIS_DATOS!$C$1476,INDEX($H$8:$H$41,MIN(INT((IF(INT(($A360-1)/70)+1&gt;CROQUIS_DATOS!$C$1525,70,MOD($A360-1,70)+1)-2)/2)+1,CROQUIS_DATOS!$C$1541))))*CROQUIS_DATOS!$C$1561*CROQUIS_DATOS!$C$1562),-1000)</f>
        <v>6.34051724137931</v>
      </c>
    </row>
    <row r="361">
      <c r="A361" t="n">
        <v>354</v>
      </c>
      <c r="N361">
        <f>IF(AND(CROQUIS_DATOS!$C$1472=1,1),(CROQUIS_DATOS!$C$1563+(IF(IF(IF(INT(($A361-1)/70)+1&gt;CROQUIS_DATOS!$C$1525,70,MOD($A361-1,70)+1)=1,0,IF(IF(INT(($A361-1)/70)+1&gt;CROQUIS_DATOS!$C$1525,70,MOD($A361-1,70)+1)&gt;2*CROQUIS_DATOS!$C$1541+1,IF(MOD(CROQUIS_DATOS!$C$1541,2)=1,1,0),IF(MOD(MIN(INT((IF(INT(($A361-1)/70)+1&gt;CROQUIS_DATOS!$C$1525,70,MOD($A361-1,70)+1)-2)/2)+1,CROQUIS_DATOS!$C$1541),2)=1,IF(MOD(IF(INT(($A361-1)/70)+1&gt;CROQUIS_DATOS!$C$1525,70,MOD($A361-1,70)+1)-2,2)=0,0,1),IF(MOD(IF(INT(($A361-1)/70)+1&gt;CROQUIS_DATOS!$C$1525,70,MOD($A361-1,70)+1)-2,2)=0,1,0))))=0,(INDEX($E$8:$E$23,MIN(INT(($A361-1)/70)+1,CROQUIS_DATOS!$C$1525))-INDEX($F$8:$F$23,MIN(INT(($A361-1)/70)+1,CROQUIS_DATOS!$C$1525))/2),(INDEX($E$8:$E$23,MIN(INT(($A361-1)/70)+1,CROQUIS_DATOS!$C$1525))+INDEX($F$8:$F$23,MIN(INT(($A361-1)/70)+1,CROQUIS_DATOS!$C$1525))/2)))*CROQUIS_DATOS!$C$1562),-1000)</f>
        <v>84.9137931034483</v>
      </c>
      <c r="O361">
        <f>IF(AND(CROQUIS_DATOS!$C$1472=1,1),(CROQUIS_DATOS!$C$1564+(IF(OR(IF(INT(($A361-1)/70)+1&gt;CROQUIS_DATOS!$C$1525,70,MOD($A361-1,70)+1)=1,IF(INT(($A361-1)/70)+1&gt;CROQUIS_DATOS!$C$1525,70,MOD($A361-1,70)+1)&gt;2*CROQUIS_DATOS!$C$1541+1),CROQUIS_DATOS!$C$1476,INDEX($H$8:$H$41,MIN(INT((IF(INT(($A361-1)/70)+1&gt;CROQUIS_DATOS!$C$1525,70,MOD($A361-1,70)+1)-2)/2)+1,CROQUIS_DATOS!$C$1541))))*CROQUIS_DATOS!$C$1561*CROQUIS_DATOS!$C$1562),-1000)</f>
        <v>7.38793103448276</v>
      </c>
    </row>
    <row r="362">
      <c r="A362" t="n">
        <v>355</v>
      </c>
      <c r="N362">
        <f>IF(AND(CROQUIS_DATOS!$C$1472=1,1),(CROQUIS_DATOS!$C$1563+(IF(IF(IF(INT(($A362-1)/70)+1&gt;CROQUIS_DATOS!$C$1525,70,MOD($A362-1,70)+1)=1,0,IF(IF(INT(($A362-1)/70)+1&gt;CROQUIS_DATOS!$C$1525,70,MOD($A362-1,70)+1)&gt;2*CROQUIS_DATOS!$C$1541+1,IF(MOD(CROQUIS_DATOS!$C$1541,2)=1,1,0),IF(MOD(MIN(INT((IF(INT(($A362-1)/70)+1&gt;CROQUIS_DATOS!$C$1525,70,MOD($A362-1,70)+1)-2)/2)+1,CROQUIS_DATOS!$C$1541),2)=1,IF(MOD(IF(INT(($A362-1)/70)+1&gt;CROQUIS_DATOS!$C$1525,70,MOD($A362-1,70)+1)-2,2)=0,0,1),IF(MOD(IF(INT(($A362-1)/70)+1&gt;CROQUIS_DATOS!$C$1525,70,MOD($A362-1,70)+1)-2,2)=0,1,0))))=0,(INDEX($E$8:$E$23,MIN(INT(($A362-1)/70)+1,CROQUIS_DATOS!$C$1525))-INDEX($F$8:$F$23,MIN(INT(($A362-1)/70)+1,CROQUIS_DATOS!$C$1525))/2),(INDEX($E$8:$E$23,MIN(INT(($A362-1)/70)+1,CROQUIS_DATOS!$C$1525))+INDEX($F$8:$F$23,MIN(INT(($A362-1)/70)+1,CROQUIS_DATOS!$C$1525))/2)))*CROQUIS_DATOS!$C$1562),-1000)</f>
        <v>82.8189655172414</v>
      </c>
      <c r="O362">
        <f>IF(AND(CROQUIS_DATOS!$C$1472=1,1),(CROQUIS_DATOS!$C$1564+(IF(OR(IF(INT(($A362-1)/70)+1&gt;CROQUIS_DATOS!$C$1525,70,MOD($A362-1,70)+1)=1,IF(INT(($A362-1)/70)+1&gt;CROQUIS_DATOS!$C$1525,70,MOD($A362-1,70)+1)&gt;2*CROQUIS_DATOS!$C$1541+1),CROQUIS_DATOS!$C$1476,INDEX($H$8:$H$41,MIN(INT((IF(INT(($A362-1)/70)+1&gt;CROQUIS_DATOS!$C$1525,70,MOD($A362-1,70)+1)-2)/2)+1,CROQUIS_DATOS!$C$1541))))*CROQUIS_DATOS!$C$1561*CROQUIS_DATOS!$C$1562),-1000)</f>
        <v>7.38793103448276</v>
      </c>
    </row>
    <row r="363">
      <c r="A363" t="n">
        <v>356</v>
      </c>
      <c r="N363">
        <f>IF(AND(CROQUIS_DATOS!$C$1472=1,1),(CROQUIS_DATOS!$C$1563+(IF(IF(IF(INT(($A363-1)/70)+1&gt;CROQUIS_DATOS!$C$1525,70,MOD($A363-1,70)+1)=1,0,IF(IF(INT(($A363-1)/70)+1&gt;CROQUIS_DATOS!$C$1525,70,MOD($A363-1,70)+1)&gt;2*CROQUIS_DATOS!$C$1541+1,IF(MOD(CROQUIS_DATOS!$C$1541,2)=1,1,0),IF(MOD(MIN(INT((IF(INT(($A363-1)/70)+1&gt;CROQUIS_DATOS!$C$1525,70,MOD($A363-1,70)+1)-2)/2)+1,CROQUIS_DATOS!$C$1541),2)=1,IF(MOD(IF(INT(($A363-1)/70)+1&gt;CROQUIS_DATOS!$C$1525,70,MOD($A363-1,70)+1)-2,2)=0,0,1),IF(MOD(IF(INT(($A363-1)/70)+1&gt;CROQUIS_DATOS!$C$1525,70,MOD($A363-1,70)+1)-2,2)=0,1,0))))=0,(INDEX($E$8:$E$23,MIN(INT(($A363-1)/70)+1,CROQUIS_DATOS!$C$1525))-INDEX($F$8:$F$23,MIN(INT(($A363-1)/70)+1,CROQUIS_DATOS!$C$1525))/2),(INDEX($E$8:$E$23,MIN(INT(($A363-1)/70)+1,CROQUIS_DATOS!$C$1525))+INDEX($F$8:$F$23,MIN(INT(($A363-1)/70)+1,CROQUIS_DATOS!$C$1525))/2)))*CROQUIS_DATOS!$C$1562),-1000)</f>
        <v>82.8189655172414</v>
      </c>
      <c r="O363">
        <f>IF(AND(CROQUIS_DATOS!$C$1472=1,1),(CROQUIS_DATOS!$C$1564+(IF(OR(IF(INT(($A363-1)/70)+1&gt;CROQUIS_DATOS!$C$1525,70,MOD($A363-1,70)+1)=1,IF(INT(($A363-1)/70)+1&gt;CROQUIS_DATOS!$C$1525,70,MOD($A363-1,70)+1)&gt;2*CROQUIS_DATOS!$C$1541+1),CROQUIS_DATOS!$C$1476,INDEX($H$8:$H$41,MIN(INT((IF(INT(($A363-1)/70)+1&gt;CROQUIS_DATOS!$C$1525,70,MOD($A363-1,70)+1)-2)/2)+1,CROQUIS_DATOS!$C$1541))))*CROQUIS_DATOS!$C$1561*CROQUIS_DATOS!$C$1562),-1000)</f>
        <v>8.43534482758621</v>
      </c>
    </row>
    <row r="364">
      <c r="A364" t="n">
        <v>357</v>
      </c>
      <c r="N364">
        <f>IF(AND(CROQUIS_DATOS!$C$1472=1,1),(CROQUIS_DATOS!$C$1563+(IF(IF(IF(INT(($A364-1)/70)+1&gt;CROQUIS_DATOS!$C$1525,70,MOD($A364-1,70)+1)=1,0,IF(IF(INT(($A364-1)/70)+1&gt;CROQUIS_DATOS!$C$1525,70,MOD($A364-1,70)+1)&gt;2*CROQUIS_DATOS!$C$1541+1,IF(MOD(CROQUIS_DATOS!$C$1541,2)=1,1,0),IF(MOD(MIN(INT((IF(INT(($A364-1)/70)+1&gt;CROQUIS_DATOS!$C$1525,70,MOD($A364-1,70)+1)-2)/2)+1,CROQUIS_DATOS!$C$1541),2)=1,IF(MOD(IF(INT(($A364-1)/70)+1&gt;CROQUIS_DATOS!$C$1525,70,MOD($A364-1,70)+1)-2,2)=0,0,1),IF(MOD(IF(INT(($A364-1)/70)+1&gt;CROQUIS_DATOS!$C$1525,70,MOD($A364-1,70)+1)-2,2)=0,1,0))))=0,(INDEX($E$8:$E$23,MIN(INT(($A364-1)/70)+1,CROQUIS_DATOS!$C$1525))-INDEX($F$8:$F$23,MIN(INT(($A364-1)/70)+1,CROQUIS_DATOS!$C$1525))/2),(INDEX($E$8:$E$23,MIN(INT(($A364-1)/70)+1,CROQUIS_DATOS!$C$1525))+INDEX($F$8:$F$23,MIN(INT(($A364-1)/70)+1,CROQUIS_DATOS!$C$1525))/2)))*CROQUIS_DATOS!$C$1562),-1000)</f>
        <v>84.9137931034483</v>
      </c>
      <c r="O364">
        <f>IF(AND(CROQUIS_DATOS!$C$1472=1,1),(CROQUIS_DATOS!$C$1564+(IF(OR(IF(INT(($A364-1)/70)+1&gt;CROQUIS_DATOS!$C$1525,70,MOD($A364-1,70)+1)=1,IF(INT(($A364-1)/70)+1&gt;CROQUIS_DATOS!$C$1525,70,MOD($A364-1,70)+1)&gt;2*CROQUIS_DATOS!$C$1541+1),CROQUIS_DATOS!$C$1476,INDEX($H$8:$H$41,MIN(INT((IF(INT(($A364-1)/70)+1&gt;CROQUIS_DATOS!$C$1525,70,MOD($A364-1,70)+1)-2)/2)+1,CROQUIS_DATOS!$C$1541))))*CROQUIS_DATOS!$C$1561*CROQUIS_DATOS!$C$1562),-1000)</f>
        <v>8.43534482758621</v>
      </c>
    </row>
    <row r="365">
      <c r="A365" t="n">
        <v>358</v>
      </c>
      <c r="N365">
        <f>IF(AND(CROQUIS_DATOS!$C$1472=1,1),(CROQUIS_DATOS!$C$1563+(IF(IF(IF(INT(($A365-1)/70)+1&gt;CROQUIS_DATOS!$C$1525,70,MOD($A365-1,70)+1)=1,0,IF(IF(INT(($A365-1)/70)+1&gt;CROQUIS_DATOS!$C$1525,70,MOD($A365-1,70)+1)&gt;2*CROQUIS_DATOS!$C$1541+1,IF(MOD(CROQUIS_DATOS!$C$1541,2)=1,1,0),IF(MOD(MIN(INT((IF(INT(($A365-1)/70)+1&gt;CROQUIS_DATOS!$C$1525,70,MOD($A365-1,70)+1)-2)/2)+1,CROQUIS_DATOS!$C$1541),2)=1,IF(MOD(IF(INT(($A365-1)/70)+1&gt;CROQUIS_DATOS!$C$1525,70,MOD($A365-1,70)+1)-2,2)=0,0,1),IF(MOD(IF(INT(($A365-1)/70)+1&gt;CROQUIS_DATOS!$C$1525,70,MOD($A365-1,70)+1)-2,2)=0,1,0))))=0,(INDEX($E$8:$E$23,MIN(INT(($A365-1)/70)+1,CROQUIS_DATOS!$C$1525))-INDEX($F$8:$F$23,MIN(INT(($A365-1)/70)+1,CROQUIS_DATOS!$C$1525))/2),(INDEX($E$8:$E$23,MIN(INT(($A365-1)/70)+1,CROQUIS_DATOS!$C$1525))+INDEX($F$8:$F$23,MIN(INT(($A365-1)/70)+1,CROQUIS_DATOS!$C$1525))/2)))*CROQUIS_DATOS!$C$1562),-1000)</f>
        <v>84.9137931034483</v>
      </c>
      <c r="O365">
        <f>IF(AND(CROQUIS_DATOS!$C$1472=1,1),(CROQUIS_DATOS!$C$1564+(IF(OR(IF(INT(($A365-1)/70)+1&gt;CROQUIS_DATOS!$C$1525,70,MOD($A365-1,70)+1)=1,IF(INT(($A365-1)/70)+1&gt;CROQUIS_DATOS!$C$1525,70,MOD($A365-1,70)+1)&gt;2*CROQUIS_DATOS!$C$1541+1),CROQUIS_DATOS!$C$1476,INDEX($H$8:$H$41,MIN(INT((IF(INT(($A365-1)/70)+1&gt;CROQUIS_DATOS!$C$1525,70,MOD($A365-1,70)+1)-2)/2)+1,CROQUIS_DATOS!$C$1541))))*CROQUIS_DATOS!$C$1561*CROQUIS_DATOS!$C$1562),-1000)</f>
        <v>9.48275862068966</v>
      </c>
    </row>
    <row r="366">
      <c r="A366" t="n">
        <v>359</v>
      </c>
      <c r="N366">
        <f>IF(AND(CROQUIS_DATOS!$C$1472=1,1),(CROQUIS_DATOS!$C$1563+(IF(IF(IF(INT(($A366-1)/70)+1&gt;CROQUIS_DATOS!$C$1525,70,MOD($A366-1,70)+1)=1,0,IF(IF(INT(($A366-1)/70)+1&gt;CROQUIS_DATOS!$C$1525,70,MOD($A366-1,70)+1)&gt;2*CROQUIS_DATOS!$C$1541+1,IF(MOD(CROQUIS_DATOS!$C$1541,2)=1,1,0),IF(MOD(MIN(INT((IF(INT(($A366-1)/70)+1&gt;CROQUIS_DATOS!$C$1525,70,MOD($A366-1,70)+1)-2)/2)+1,CROQUIS_DATOS!$C$1541),2)=1,IF(MOD(IF(INT(($A366-1)/70)+1&gt;CROQUIS_DATOS!$C$1525,70,MOD($A366-1,70)+1)-2,2)=0,0,1),IF(MOD(IF(INT(($A366-1)/70)+1&gt;CROQUIS_DATOS!$C$1525,70,MOD($A366-1,70)+1)-2,2)=0,1,0))))=0,(INDEX($E$8:$E$23,MIN(INT(($A366-1)/70)+1,CROQUIS_DATOS!$C$1525))-INDEX($F$8:$F$23,MIN(INT(($A366-1)/70)+1,CROQUIS_DATOS!$C$1525))/2),(INDEX($E$8:$E$23,MIN(INT(($A366-1)/70)+1,CROQUIS_DATOS!$C$1525))+INDEX($F$8:$F$23,MIN(INT(($A366-1)/70)+1,CROQUIS_DATOS!$C$1525))/2)))*CROQUIS_DATOS!$C$1562),-1000)</f>
        <v>82.8189655172414</v>
      </c>
      <c r="O366">
        <f>IF(AND(CROQUIS_DATOS!$C$1472=1,1),(CROQUIS_DATOS!$C$1564+(IF(OR(IF(INT(($A366-1)/70)+1&gt;CROQUIS_DATOS!$C$1525,70,MOD($A366-1,70)+1)=1,IF(INT(($A366-1)/70)+1&gt;CROQUIS_DATOS!$C$1525,70,MOD($A366-1,70)+1)&gt;2*CROQUIS_DATOS!$C$1541+1),CROQUIS_DATOS!$C$1476,INDEX($H$8:$H$41,MIN(INT((IF(INT(($A366-1)/70)+1&gt;CROQUIS_DATOS!$C$1525,70,MOD($A366-1,70)+1)-2)/2)+1,CROQUIS_DATOS!$C$1541))))*CROQUIS_DATOS!$C$1561*CROQUIS_DATOS!$C$1562),-1000)</f>
        <v>9.48275862068966</v>
      </c>
    </row>
    <row r="367">
      <c r="A367" t="n">
        <v>360</v>
      </c>
      <c r="N367">
        <f>IF(AND(CROQUIS_DATOS!$C$1472=1,1),(CROQUIS_DATOS!$C$1563+(IF(IF(IF(INT(($A367-1)/70)+1&gt;CROQUIS_DATOS!$C$1525,70,MOD($A367-1,70)+1)=1,0,IF(IF(INT(($A367-1)/70)+1&gt;CROQUIS_DATOS!$C$1525,70,MOD($A367-1,70)+1)&gt;2*CROQUIS_DATOS!$C$1541+1,IF(MOD(CROQUIS_DATOS!$C$1541,2)=1,1,0),IF(MOD(MIN(INT((IF(INT(($A367-1)/70)+1&gt;CROQUIS_DATOS!$C$1525,70,MOD($A367-1,70)+1)-2)/2)+1,CROQUIS_DATOS!$C$1541),2)=1,IF(MOD(IF(INT(($A367-1)/70)+1&gt;CROQUIS_DATOS!$C$1525,70,MOD($A367-1,70)+1)-2,2)=0,0,1),IF(MOD(IF(INT(($A367-1)/70)+1&gt;CROQUIS_DATOS!$C$1525,70,MOD($A367-1,70)+1)-2,2)=0,1,0))))=0,(INDEX($E$8:$E$23,MIN(INT(($A367-1)/70)+1,CROQUIS_DATOS!$C$1525))-INDEX($F$8:$F$23,MIN(INT(($A367-1)/70)+1,CROQUIS_DATOS!$C$1525))/2),(INDEX($E$8:$E$23,MIN(INT(($A367-1)/70)+1,CROQUIS_DATOS!$C$1525))+INDEX($F$8:$F$23,MIN(INT(($A367-1)/70)+1,CROQUIS_DATOS!$C$1525))/2)))*CROQUIS_DATOS!$C$1562),-1000)</f>
        <v>82.8189655172414</v>
      </c>
      <c r="O367">
        <f>IF(AND(CROQUIS_DATOS!$C$1472=1,1),(CROQUIS_DATOS!$C$1564+(IF(OR(IF(INT(($A367-1)/70)+1&gt;CROQUIS_DATOS!$C$1525,70,MOD($A367-1,70)+1)=1,IF(INT(($A367-1)/70)+1&gt;CROQUIS_DATOS!$C$1525,70,MOD($A367-1,70)+1)&gt;2*CROQUIS_DATOS!$C$1541+1),CROQUIS_DATOS!$C$1476,INDEX($H$8:$H$41,MIN(INT((IF(INT(($A367-1)/70)+1&gt;CROQUIS_DATOS!$C$1525,70,MOD($A367-1,70)+1)-2)/2)+1,CROQUIS_DATOS!$C$1541))))*CROQUIS_DATOS!$C$1561*CROQUIS_DATOS!$C$1562),-1000)</f>
        <v>10.5301724137931</v>
      </c>
    </row>
    <row r="368">
      <c r="A368" t="n">
        <v>361</v>
      </c>
      <c r="N368">
        <f>IF(AND(CROQUIS_DATOS!$C$1472=1,1),(CROQUIS_DATOS!$C$1563+(IF(IF(IF(INT(($A368-1)/70)+1&gt;CROQUIS_DATOS!$C$1525,70,MOD($A368-1,70)+1)=1,0,IF(IF(INT(($A368-1)/70)+1&gt;CROQUIS_DATOS!$C$1525,70,MOD($A368-1,70)+1)&gt;2*CROQUIS_DATOS!$C$1541+1,IF(MOD(CROQUIS_DATOS!$C$1541,2)=1,1,0),IF(MOD(MIN(INT((IF(INT(($A368-1)/70)+1&gt;CROQUIS_DATOS!$C$1525,70,MOD($A368-1,70)+1)-2)/2)+1,CROQUIS_DATOS!$C$1541),2)=1,IF(MOD(IF(INT(($A368-1)/70)+1&gt;CROQUIS_DATOS!$C$1525,70,MOD($A368-1,70)+1)-2,2)=0,0,1),IF(MOD(IF(INT(($A368-1)/70)+1&gt;CROQUIS_DATOS!$C$1525,70,MOD($A368-1,70)+1)-2,2)=0,1,0))))=0,(INDEX($E$8:$E$23,MIN(INT(($A368-1)/70)+1,CROQUIS_DATOS!$C$1525))-INDEX($F$8:$F$23,MIN(INT(($A368-1)/70)+1,CROQUIS_DATOS!$C$1525))/2),(INDEX($E$8:$E$23,MIN(INT(($A368-1)/70)+1,CROQUIS_DATOS!$C$1525))+INDEX($F$8:$F$23,MIN(INT(($A368-1)/70)+1,CROQUIS_DATOS!$C$1525))/2)))*CROQUIS_DATOS!$C$1562),-1000)</f>
        <v>84.9137931034483</v>
      </c>
      <c r="O368">
        <f>IF(AND(CROQUIS_DATOS!$C$1472=1,1),(CROQUIS_DATOS!$C$1564+(IF(OR(IF(INT(($A368-1)/70)+1&gt;CROQUIS_DATOS!$C$1525,70,MOD($A368-1,70)+1)=1,IF(INT(($A368-1)/70)+1&gt;CROQUIS_DATOS!$C$1525,70,MOD($A368-1,70)+1)&gt;2*CROQUIS_DATOS!$C$1541+1),CROQUIS_DATOS!$C$1476,INDEX($H$8:$H$41,MIN(INT((IF(INT(($A368-1)/70)+1&gt;CROQUIS_DATOS!$C$1525,70,MOD($A368-1,70)+1)-2)/2)+1,CROQUIS_DATOS!$C$1541))))*CROQUIS_DATOS!$C$1561*CROQUIS_DATOS!$C$1562),-1000)</f>
        <v>10.5301724137931</v>
      </c>
    </row>
    <row r="369">
      <c r="A369" t="n">
        <v>362</v>
      </c>
      <c r="N369">
        <f>IF(AND(CROQUIS_DATOS!$C$1472=1,1),(CROQUIS_DATOS!$C$1563+(IF(IF(IF(INT(($A369-1)/70)+1&gt;CROQUIS_DATOS!$C$1525,70,MOD($A369-1,70)+1)=1,0,IF(IF(INT(($A369-1)/70)+1&gt;CROQUIS_DATOS!$C$1525,70,MOD($A369-1,70)+1)&gt;2*CROQUIS_DATOS!$C$1541+1,IF(MOD(CROQUIS_DATOS!$C$1541,2)=1,1,0),IF(MOD(MIN(INT((IF(INT(($A369-1)/70)+1&gt;CROQUIS_DATOS!$C$1525,70,MOD($A369-1,70)+1)-2)/2)+1,CROQUIS_DATOS!$C$1541),2)=1,IF(MOD(IF(INT(($A369-1)/70)+1&gt;CROQUIS_DATOS!$C$1525,70,MOD($A369-1,70)+1)-2,2)=0,0,1),IF(MOD(IF(INT(($A369-1)/70)+1&gt;CROQUIS_DATOS!$C$1525,70,MOD($A369-1,70)+1)-2,2)=0,1,0))))=0,(INDEX($E$8:$E$23,MIN(INT(($A369-1)/70)+1,CROQUIS_DATOS!$C$1525))-INDEX($F$8:$F$23,MIN(INT(($A369-1)/70)+1,CROQUIS_DATOS!$C$1525))/2),(INDEX($E$8:$E$23,MIN(INT(($A369-1)/70)+1,CROQUIS_DATOS!$C$1525))+INDEX($F$8:$F$23,MIN(INT(($A369-1)/70)+1,CROQUIS_DATOS!$C$1525))/2)))*CROQUIS_DATOS!$C$1562),-1000)</f>
        <v>84.9137931034483</v>
      </c>
      <c r="O369">
        <f>IF(AND(CROQUIS_DATOS!$C$1472=1,1),(CROQUIS_DATOS!$C$1564+(IF(OR(IF(INT(($A369-1)/70)+1&gt;CROQUIS_DATOS!$C$1525,70,MOD($A369-1,70)+1)=1,IF(INT(($A369-1)/70)+1&gt;CROQUIS_DATOS!$C$1525,70,MOD($A369-1,70)+1)&gt;2*CROQUIS_DATOS!$C$1541+1),CROQUIS_DATOS!$C$1476,INDEX($H$8:$H$41,MIN(INT((IF(INT(($A369-1)/70)+1&gt;CROQUIS_DATOS!$C$1525,70,MOD($A369-1,70)+1)-2)/2)+1,CROQUIS_DATOS!$C$1541))))*CROQUIS_DATOS!$C$1561*CROQUIS_DATOS!$C$1562),-1000)</f>
        <v>13.2456896551724</v>
      </c>
    </row>
    <row r="370">
      <c r="A370" t="n">
        <v>363</v>
      </c>
      <c r="N370">
        <f>IF(AND(CROQUIS_DATOS!$C$1472=1,1),(CROQUIS_DATOS!$C$1563+(IF(IF(IF(INT(($A370-1)/70)+1&gt;CROQUIS_DATOS!$C$1525,70,MOD($A370-1,70)+1)=1,0,IF(IF(INT(($A370-1)/70)+1&gt;CROQUIS_DATOS!$C$1525,70,MOD($A370-1,70)+1)&gt;2*CROQUIS_DATOS!$C$1541+1,IF(MOD(CROQUIS_DATOS!$C$1541,2)=1,1,0),IF(MOD(MIN(INT((IF(INT(($A370-1)/70)+1&gt;CROQUIS_DATOS!$C$1525,70,MOD($A370-1,70)+1)-2)/2)+1,CROQUIS_DATOS!$C$1541),2)=1,IF(MOD(IF(INT(($A370-1)/70)+1&gt;CROQUIS_DATOS!$C$1525,70,MOD($A370-1,70)+1)-2,2)=0,0,1),IF(MOD(IF(INT(($A370-1)/70)+1&gt;CROQUIS_DATOS!$C$1525,70,MOD($A370-1,70)+1)-2,2)=0,1,0))))=0,(INDEX($E$8:$E$23,MIN(INT(($A370-1)/70)+1,CROQUIS_DATOS!$C$1525))-INDEX($F$8:$F$23,MIN(INT(($A370-1)/70)+1,CROQUIS_DATOS!$C$1525))/2),(INDEX($E$8:$E$23,MIN(INT(($A370-1)/70)+1,CROQUIS_DATOS!$C$1525))+INDEX($F$8:$F$23,MIN(INT(($A370-1)/70)+1,CROQUIS_DATOS!$C$1525))/2)))*CROQUIS_DATOS!$C$1562),-1000)</f>
        <v>82.8189655172414</v>
      </c>
      <c r="O370">
        <f>IF(AND(CROQUIS_DATOS!$C$1472=1,1),(CROQUIS_DATOS!$C$1564+(IF(OR(IF(INT(($A370-1)/70)+1&gt;CROQUIS_DATOS!$C$1525,70,MOD($A370-1,70)+1)=1,IF(INT(($A370-1)/70)+1&gt;CROQUIS_DATOS!$C$1525,70,MOD($A370-1,70)+1)&gt;2*CROQUIS_DATOS!$C$1541+1),CROQUIS_DATOS!$C$1476,INDEX($H$8:$H$41,MIN(INT((IF(INT(($A370-1)/70)+1&gt;CROQUIS_DATOS!$C$1525,70,MOD($A370-1,70)+1)-2)/2)+1,CROQUIS_DATOS!$C$1541))))*CROQUIS_DATOS!$C$1561*CROQUIS_DATOS!$C$1562),-1000)</f>
        <v>13.2456896551724</v>
      </c>
    </row>
    <row r="371">
      <c r="A371" t="n">
        <v>364</v>
      </c>
      <c r="N371">
        <f>IF(AND(CROQUIS_DATOS!$C$1472=1,1),(CROQUIS_DATOS!$C$1563+(IF(IF(IF(INT(($A371-1)/70)+1&gt;CROQUIS_DATOS!$C$1525,70,MOD($A371-1,70)+1)=1,0,IF(IF(INT(($A371-1)/70)+1&gt;CROQUIS_DATOS!$C$1525,70,MOD($A371-1,70)+1)&gt;2*CROQUIS_DATOS!$C$1541+1,IF(MOD(CROQUIS_DATOS!$C$1541,2)=1,1,0),IF(MOD(MIN(INT((IF(INT(($A371-1)/70)+1&gt;CROQUIS_DATOS!$C$1525,70,MOD($A371-1,70)+1)-2)/2)+1,CROQUIS_DATOS!$C$1541),2)=1,IF(MOD(IF(INT(($A371-1)/70)+1&gt;CROQUIS_DATOS!$C$1525,70,MOD($A371-1,70)+1)-2,2)=0,0,1),IF(MOD(IF(INT(($A371-1)/70)+1&gt;CROQUIS_DATOS!$C$1525,70,MOD($A371-1,70)+1)-2,2)=0,1,0))))=0,(INDEX($E$8:$E$23,MIN(INT(($A371-1)/70)+1,CROQUIS_DATOS!$C$1525))-INDEX($F$8:$F$23,MIN(INT(($A371-1)/70)+1,CROQUIS_DATOS!$C$1525))/2),(INDEX($E$8:$E$23,MIN(INT(($A371-1)/70)+1,CROQUIS_DATOS!$C$1525))+INDEX($F$8:$F$23,MIN(INT(($A371-1)/70)+1,CROQUIS_DATOS!$C$1525))/2)))*CROQUIS_DATOS!$C$1562),-1000)</f>
        <v>82.8189655172414</v>
      </c>
      <c r="O371">
        <f>IF(AND(CROQUIS_DATOS!$C$1472=1,1),(CROQUIS_DATOS!$C$1564+(IF(OR(IF(INT(($A371-1)/70)+1&gt;CROQUIS_DATOS!$C$1525,70,MOD($A371-1,70)+1)=1,IF(INT(($A371-1)/70)+1&gt;CROQUIS_DATOS!$C$1525,70,MOD($A371-1,70)+1)&gt;2*CROQUIS_DATOS!$C$1541+1),CROQUIS_DATOS!$C$1476,INDEX($H$8:$H$41,MIN(INT((IF(INT(($A371-1)/70)+1&gt;CROQUIS_DATOS!$C$1525,70,MOD($A371-1,70)+1)-2)/2)+1,CROQUIS_DATOS!$C$1541))))*CROQUIS_DATOS!$C$1561*CROQUIS_DATOS!$C$1562),-1000)</f>
        <v>15.9612068965517</v>
      </c>
    </row>
    <row r="372">
      <c r="A372" t="n">
        <v>365</v>
      </c>
      <c r="N372">
        <f>IF(AND(CROQUIS_DATOS!$C$1472=1,1),(CROQUIS_DATOS!$C$1563+(IF(IF(IF(INT(($A372-1)/70)+1&gt;CROQUIS_DATOS!$C$1525,70,MOD($A372-1,70)+1)=1,0,IF(IF(INT(($A372-1)/70)+1&gt;CROQUIS_DATOS!$C$1525,70,MOD($A372-1,70)+1)&gt;2*CROQUIS_DATOS!$C$1541+1,IF(MOD(CROQUIS_DATOS!$C$1541,2)=1,1,0),IF(MOD(MIN(INT((IF(INT(($A372-1)/70)+1&gt;CROQUIS_DATOS!$C$1525,70,MOD($A372-1,70)+1)-2)/2)+1,CROQUIS_DATOS!$C$1541),2)=1,IF(MOD(IF(INT(($A372-1)/70)+1&gt;CROQUIS_DATOS!$C$1525,70,MOD($A372-1,70)+1)-2,2)=0,0,1),IF(MOD(IF(INT(($A372-1)/70)+1&gt;CROQUIS_DATOS!$C$1525,70,MOD($A372-1,70)+1)-2,2)=0,1,0))))=0,(INDEX($E$8:$E$23,MIN(INT(($A372-1)/70)+1,CROQUIS_DATOS!$C$1525))-INDEX($F$8:$F$23,MIN(INT(($A372-1)/70)+1,CROQUIS_DATOS!$C$1525))/2),(INDEX($E$8:$E$23,MIN(INT(($A372-1)/70)+1,CROQUIS_DATOS!$C$1525))+INDEX($F$8:$F$23,MIN(INT(($A372-1)/70)+1,CROQUIS_DATOS!$C$1525))/2)))*CROQUIS_DATOS!$C$1562),-1000)</f>
        <v>84.9137931034483</v>
      </c>
      <c r="O372">
        <f>IF(AND(CROQUIS_DATOS!$C$1472=1,1),(CROQUIS_DATOS!$C$1564+(IF(OR(IF(INT(($A372-1)/70)+1&gt;CROQUIS_DATOS!$C$1525,70,MOD($A372-1,70)+1)=1,IF(INT(($A372-1)/70)+1&gt;CROQUIS_DATOS!$C$1525,70,MOD($A372-1,70)+1)&gt;2*CROQUIS_DATOS!$C$1541+1),CROQUIS_DATOS!$C$1476,INDEX($H$8:$H$41,MIN(INT((IF(INT(($A372-1)/70)+1&gt;CROQUIS_DATOS!$C$1525,70,MOD($A372-1,70)+1)-2)/2)+1,CROQUIS_DATOS!$C$1541))))*CROQUIS_DATOS!$C$1561*CROQUIS_DATOS!$C$1562),-1000)</f>
        <v>15.9612068965517</v>
      </c>
    </row>
    <row r="373">
      <c r="A373" t="n">
        <v>366</v>
      </c>
      <c r="N373">
        <f>IF(AND(CROQUIS_DATOS!$C$1472=1,1),(CROQUIS_DATOS!$C$1563+(IF(IF(IF(INT(($A373-1)/70)+1&gt;CROQUIS_DATOS!$C$1525,70,MOD($A373-1,70)+1)=1,0,IF(IF(INT(($A373-1)/70)+1&gt;CROQUIS_DATOS!$C$1525,70,MOD($A373-1,70)+1)&gt;2*CROQUIS_DATOS!$C$1541+1,IF(MOD(CROQUIS_DATOS!$C$1541,2)=1,1,0),IF(MOD(MIN(INT((IF(INT(($A373-1)/70)+1&gt;CROQUIS_DATOS!$C$1525,70,MOD($A373-1,70)+1)-2)/2)+1,CROQUIS_DATOS!$C$1541),2)=1,IF(MOD(IF(INT(($A373-1)/70)+1&gt;CROQUIS_DATOS!$C$1525,70,MOD($A373-1,70)+1)-2,2)=0,0,1),IF(MOD(IF(INT(($A373-1)/70)+1&gt;CROQUIS_DATOS!$C$1525,70,MOD($A373-1,70)+1)-2,2)=0,1,0))))=0,(INDEX($E$8:$E$23,MIN(INT(($A373-1)/70)+1,CROQUIS_DATOS!$C$1525))-INDEX($F$8:$F$23,MIN(INT(($A373-1)/70)+1,CROQUIS_DATOS!$C$1525))/2),(INDEX($E$8:$E$23,MIN(INT(($A373-1)/70)+1,CROQUIS_DATOS!$C$1525))+INDEX($F$8:$F$23,MIN(INT(($A373-1)/70)+1,CROQUIS_DATOS!$C$1525))/2)))*CROQUIS_DATOS!$C$1562),-1000)</f>
        <v>84.9137931034483</v>
      </c>
      <c r="O373">
        <f>IF(AND(CROQUIS_DATOS!$C$1472=1,1),(CROQUIS_DATOS!$C$1564+(IF(OR(IF(INT(($A373-1)/70)+1&gt;CROQUIS_DATOS!$C$1525,70,MOD($A373-1,70)+1)=1,IF(INT(($A373-1)/70)+1&gt;CROQUIS_DATOS!$C$1525,70,MOD($A373-1,70)+1)&gt;2*CROQUIS_DATOS!$C$1541+1),CROQUIS_DATOS!$C$1476,INDEX($H$8:$H$41,MIN(INT((IF(INT(($A373-1)/70)+1&gt;CROQUIS_DATOS!$C$1525,70,MOD($A373-1,70)+1)-2)/2)+1,CROQUIS_DATOS!$C$1541))))*CROQUIS_DATOS!$C$1561*CROQUIS_DATOS!$C$1562),-1000)</f>
        <v>18.676724137931</v>
      </c>
    </row>
    <row r="374">
      <c r="A374" t="n">
        <v>367</v>
      </c>
      <c r="N374">
        <f>IF(AND(CROQUIS_DATOS!$C$1472=1,1),(CROQUIS_DATOS!$C$1563+(IF(IF(IF(INT(($A374-1)/70)+1&gt;CROQUIS_DATOS!$C$1525,70,MOD($A374-1,70)+1)=1,0,IF(IF(INT(($A374-1)/70)+1&gt;CROQUIS_DATOS!$C$1525,70,MOD($A374-1,70)+1)&gt;2*CROQUIS_DATOS!$C$1541+1,IF(MOD(CROQUIS_DATOS!$C$1541,2)=1,1,0),IF(MOD(MIN(INT((IF(INT(($A374-1)/70)+1&gt;CROQUIS_DATOS!$C$1525,70,MOD($A374-1,70)+1)-2)/2)+1,CROQUIS_DATOS!$C$1541),2)=1,IF(MOD(IF(INT(($A374-1)/70)+1&gt;CROQUIS_DATOS!$C$1525,70,MOD($A374-1,70)+1)-2,2)=0,0,1),IF(MOD(IF(INT(($A374-1)/70)+1&gt;CROQUIS_DATOS!$C$1525,70,MOD($A374-1,70)+1)-2,2)=0,1,0))))=0,(INDEX($E$8:$E$23,MIN(INT(($A374-1)/70)+1,CROQUIS_DATOS!$C$1525))-INDEX($F$8:$F$23,MIN(INT(($A374-1)/70)+1,CROQUIS_DATOS!$C$1525))/2),(INDEX($E$8:$E$23,MIN(INT(($A374-1)/70)+1,CROQUIS_DATOS!$C$1525))+INDEX($F$8:$F$23,MIN(INT(($A374-1)/70)+1,CROQUIS_DATOS!$C$1525))/2)))*CROQUIS_DATOS!$C$1562),-1000)</f>
        <v>82.8189655172414</v>
      </c>
      <c r="O374">
        <f>IF(AND(CROQUIS_DATOS!$C$1472=1,1),(CROQUIS_DATOS!$C$1564+(IF(OR(IF(INT(($A374-1)/70)+1&gt;CROQUIS_DATOS!$C$1525,70,MOD($A374-1,70)+1)=1,IF(INT(($A374-1)/70)+1&gt;CROQUIS_DATOS!$C$1525,70,MOD($A374-1,70)+1)&gt;2*CROQUIS_DATOS!$C$1541+1),CROQUIS_DATOS!$C$1476,INDEX($H$8:$H$41,MIN(INT((IF(INT(($A374-1)/70)+1&gt;CROQUIS_DATOS!$C$1525,70,MOD($A374-1,70)+1)-2)/2)+1,CROQUIS_DATOS!$C$1541))))*CROQUIS_DATOS!$C$1561*CROQUIS_DATOS!$C$1562),-1000)</f>
        <v>18.676724137931</v>
      </c>
    </row>
    <row r="375">
      <c r="A375" t="n">
        <v>368</v>
      </c>
      <c r="N375">
        <f>IF(AND(CROQUIS_DATOS!$C$1472=1,1),(CROQUIS_DATOS!$C$1563+(IF(IF(IF(INT(($A375-1)/70)+1&gt;CROQUIS_DATOS!$C$1525,70,MOD($A375-1,70)+1)=1,0,IF(IF(INT(($A375-1)/70)+1&gt;CROQUIS_DATOS!$C$1525,70,MOD($A375-1,70)+1)&gt;2*CROQUIS_DATOS!$C$1541+1,IF(MOD(CROQUIS_DATOS!$C$1541,2)=1,1,0),IF(MOD(MIN(INT((IF(INT(($A375-1)/70)+1&gt;CROQUIS_DATOS!$C$1525,70,MOD($A375-1,70)+1)-2)/2)+1,CROQUIS_DATOS!$C$1541),2)=1,IF(MOD(IF(INT(($A375-1)/70)+1&gt;CROQUIS_DATOS!$C$1525,70,MOD($A375-1,70)+1)-2,2)=0,0,1),IF(MOD(IF(INT(($A375-1)/70)+1&gt;CROQUIS_DATOS!$C$1525,70,MOD($A375-1,70)+1)-2,2)=0,1,0))))=0,(INDEX($E$8:$E$23,MIN(INT(($A375-1)/70)+1,CROQUIS_DATOS!$C$1525))-INDEX($F$8:$F$23,MIN(INT(($A375-1)/70)+1,CROQUIS_DATOS!$C$1525))/2),(INDEX($E$8:$E$23,MIN(INT(($A375-1)/70)+1,CROQUIS_DATOS!$C$1525))+INDEX($F$8:$F$23,MIN(INT(($A375-1)/70)+1,CROQUIS_DATOS!$C$1525))/2)))*CROQUIS_DATOS!$C$1562),-1000)</f>
        <v>82.8189655172414</v>
      </c>
      <c r="O375">
        <f>IF(AND(CROQUIS_DATOS!$C$1472=1,1),(CROQUIS_DATOS!$C$1564+(IF(OR(IF(INT(($A375-1)/70)+1&gt;CROQUIS_DATOS!$C$1525,70,MOD($A375-1,70)+1)=1,IF(INT(($A375-1)/70)+1&gt;CROQUIS_DATOS!$C$1525,70,MOD($A375-1,70)+1)&gt;2*CROQUIS_DATOS!$C$1541+1),CROQUIS_DATOS!$C$1476,INDEX($H$8:$H$41,MIN(INT((IF(INT(($A375-1)/70)+1&gt;CROQUIS_DATOS!$C$1525,70,MOD($A375-1,70)+1)-2)/2)+1,CROQUIS_DATOS!$C$1541))))*CROQUIS_DATOS!$C$1561*CROQUIS_DATOS!$C$1562),-1000)</f>
        <v>21.3922413793103</v>
      </c>
    </row>
    <row r="376">
      <c r="A376" t="n">
        <v>369</v>
      </c>
      <c r="N376">
        <f>IF(AND(CROQUIS_DATOS!$C$1472=1,1),(CROQUIS_DATOS!$C$1563+(IF(IF(IF(INT(($A376-1)/70)+1&gt;CROQUIS_DATOS!$C$1525,70,MOD($A376-1,70)+1)=1,0,IF(IF(INT(($A376-1)/70)+1&gt;CROQUIS_DATOS!$C$1525,70,MOD($A376-1,70)+1)&gt;2*CROQUIS_DATOS!$C$1541+1,IF(MOD(CROQUIS_DATOS!$C$1541,2)=1,1,0),IF(MOD(MIN(INT((IF(INT(($A376-1)/70)+1&gt;CROQUIS_DATOS!$C$1525,70,MOD($A376-1,70)+1)-2)/2)+1,CROQUIS_DATOS!$C$1541),2)=1,IF(MOD(IF(INT(($A376-1)/70)+1&gt;CROQUIS_DATOS!$C$1525,70,MOD($A376-1,70)+1)-2,2)=0,0,1),IF(MOD(IF(INT(($A376-1)/70)+1&gt;CROQUIS_DATOS!$C$1525,70,MOD($A376-1,70)+1)-2,2)=0,1,0))))=0,(INDEX($E$8:$E$23,MIN(INT(($A376-1)/70)+1,CROQUIS_DATOS!$C$1525))-INDEX($F$8:$F$23,MIN(INT(($A376-1)/70)+1,CROQUIS_DATOS!$C$1525))/2),(INDEX($E$8:$E$23,MIN(INT(($A376-1)/70)+1,CROQUIS_DATOS!$C$1525))+INDEX($F$8:$F$23,MIN(INT(($A376-1)/70)+1,CROQUIS_DATOS!$C$1525))/2)))*CROQUIS_DATOS!$C$1562),-1000)</f>
        <v>84.9137931034483</v>
      </c>
      <c r="O376">
        <f>IF(AND(CROQUIS_DATOS!$C$1472=1,1),(CROQUIS_DATOS!$C$1564+(IF(OR(IF(INT(($A376-1)/70)+1&gt;CROQUIS_DATOS!$C$1525,70,MOD($A376-1,70)+1)=1,IF(INT(($A376-1)/70)+1&gt;CROQUIS_DATOS!$C$1525,70,MOD($A376-1,70)+1)&gt;2*CROQUIS_DATOS!$C$1541+1),CROQUIS_DATOS!$C$1476,INDEX($H$8:$H$41,MIN(INT((IF(INT(($A376-1)/70)+1&gt;CROQUIS_DATOS!$C$1525,70,MOD($A376-1,70)+1)-2)/2)+1,CROQUIS_DATOS!$C$1541))))*CROQUIS_DATOS!$C$1561*CROQUIS_DATOS!$C$1562),-1000)</f>
        <v>21.3922413793103</v>
      </c>
    </row>
    <row r="377">
      <c r="A377" t="n">
        <v>370</v>
      </c>
      <c r="N377">
        <f>IF(AND(CROQUIS_DATOS!$C$1472=1,1),(CROQUIS_DATOS!$C$1563+(IF(IF(IF(INT(($A377-1)/70)+1&gt;CROQUIS_DATOS!$C$1525,70,MOD($A377-1,70)+1)=1,0,IF(IF(INT(($A377-1)/70)+1&gt;CROQUIS_DATOS!$C$1525,70,MOD($A377-1,70)+1)&gt;2*CROQUIS_DATOS!$C$1541+1,IF(MOD(CROQUIS_DATOS!$C$1541,2)=1,1,0),IF(MOD(MIN(INT((IF(INT(($A377-1)/70)+1&gt;CROQUIS_DATOS!$C$1525,70,MOD($A377-1,70)+1)-2)/2)+1,CROQUIS_DATOS!$C$1541),2)=1,IF(MOD(IF(INT(($A377-1)/70)+1&gt;CROQUIS_DATOS!$C$1525,70,MOD($A377-1,70)+1)-2,2)=0,0,1),IF(MOD(IF(INT(($A377-1)/70)+1&gt;CROQUIS_DATOS!$C$1525,70,MOD($A377-1,70)+1)-2,2)=0,1,0))))=0,(INDEX($E$8:$E$23,MIN(INT(($A377-1)/70)+1,CROQUIS_DATOS!$C$1525))-INDEX($F$8:$F$23,MIN(INT(($A377-1)/70)+1,CROQUIS_DATOS!$C$1525))/2),(INDEX($E$8:$E$23,MIN(INT(($A377-1)/70)+1,CROQUIS_DATOS!$C$1525))+INDEX($F$8:$F$23,MIN(INT(($A377-1)/70)+1,CROQUIS_DATOS!$C$1525))/2)))*CROQUIS_DATOS!$C$1562),-1000)</f>
        <v>84.9137931034483</v>
      </c>
      <c r="O377">
        <f>IF(AND(CROQUIS_DATOS!$C$1472=1,1),(CROQUIS_DATOS!$C$1564+(IF(OR(IF(INT(($A377-1)/70)+1&gt;CROQUIS_DATOS!$C$1525,70,MOD($A377-1,70)+1)=1,IF(INT(($A377-1)/70)+1&gt;CROQUIS_DATOS!$C$1525,70,MOD($A377-1,70)+1)&gt;2*CROQUIS_DATOS!$C$1541+1),CROQUIS_DATOS!$C$1476,INDEX($H$8:$H$41,MIN(INT((IF(INT(($A377-1)/70)+1&gt;CROQUIS_DATOS!$C$1525,70,MOD($A377-1,70)+1)-2)/2)+1,CROQUIS_DATOS!$C$1541))))*CROQUIS_DATOS!$C$1561*CROQUIS_DATOS!$C$1562),-1000)</f>
        <v>24.1077586206897</v>
      </c>
    </row>
    <row r="378">
      <c r="A378" t="n">
        <v>371</v>
      </c>
      <c r="N378">
        <f>IF(AND(CROQUIS_DATOS!$C$1472=1,1),(CROQUIS_DATOS!$C$1563+(IF(IF(IF(INT(($A378-1)/70)+1&gt;CROQUIS_DATOS!$C$1525,70,MOD($A378-1,70)+1)=1,0,IF(IF(INT(($A378-1)/70)+1&gt;CROQUIS_DATOS!$C$1525,70,MOD($A378-1,70)+1)&gt;2*CROQUIS_DATOS!$C$1541+1,IF(MOD(CROQUIS_DATOS!$C$1541,2)=1,1,0),IF(MOD(MIN(INT((IF(INT(($A378-1)/70)+1&gt;CROQUIS_DATOS!$C$1525,70,MOD($A378-1,70)+1)-2)/2)+1,CROQUIS_DATOS!$C$1541),2)=1,IF(MOD(IF(INT(($A378-1)/70)+1&gt;CROQUIS_DATOS!$C$1525,70,MOD($A378-1,70)+1)-2,2)=0,0,1),IF(MOD(IF(INT(($A378-1)/70)+1&gt;CROQUIS_DATOS!$C$1525,70,MOD($A378-1,70)+1)-2,2)=0,1,0))))=0,(INDEX($E$8:$E$23,MIN(INT(($A378-1)/70)+1,CROQUIS_DATOS!$C$1525))-INDEX($F$8:$F$23,MIN(INT(($A378-1)/70)+1,CROQUIS_DATOS!$C$1525))/2),(INDEX($E$8:$E$23,MIN(INT(($A378-1)/70)+1,CROQUIS_DATOS!$C$1525))+INDEX($F$8:$F$23,MIN(INT(($A378-1)/70)+1,CROQUIS_DATOS!$C$1525))/2)))*CROQUIS_DATOS!$C$1562),-1000)</f>
        <v>82.8189655172414</v>
      </c>
      <c r="O378">
        <f>IF(AND(CROQUIS_DATOS!$C$1472=1,1),(CROQUIS_DATOS!$C$1564+(IF(OR(IF(INT(($A378-1)/70)+1&gt;CROQUIS_DATOS!$C$1525,70,MOD($A378-1,70)+1)=1,IF(INT(($A378-1)/70)+1&gt;CROQUIS_DATOS!$C$1525,70,MOD($A378-1,70)+1)&gt;2*CROQUIS_DATOS!$C$1541+1),CROQUIS_DATOS!$C$1476,INDEX($H$8:$H$41,MIN(INT((IF(INT(($A378-1)/70)+1&gt;CROQUIS_DATOS!$C$1525,70,MOD($A378-1,70)+1)-2)/2)+1,CROQUIS_DATOS!$C$1541))))*CROQUIS_DATOS!$C$1561*CROQUIS_DATOS!$C$1562),-1000)</f>
        <v>24.1077586206897</v>
      </c>
    </row>
    <row r="379">
      <c r="A379" t="n">
        <v>372</v>
      </c>
      <c r="N379">
        <f>IF(AND(CROQUIS_DATOS!$C$1472=1,1),(CROQUIS_DATOS!$C$1563+(IF(IF(IF(INT(($A379-1)/70)+1&gt;CROQUIS_DATOS!$C$1525,70,MOD($A379-1,70)+1)=1,0,IF(IF(INT(($A379-1)/70)+1&gt;CROQUIS_DATOS!$C$1525,70,MOD($A379-1,70)+1)&gt;2*CROQUIS_DATOS!$C$1541+1,IF(MOD(CROQUIS_DATOS!$C$1541,2)=1,1,0),IF(MOD(MIN(INT((IF(INT(($A379-1)/70)+1&gt;CROQUIS_DATOS!$C$1525,70,MOD($A379-1,70)+1)-2)/2)+1,CROQUIS_DATOS!$C$1541),2)=1,IF(MOD(IF(INT(($A379-1)/70)+1&gt;CROQUIS_DATOS!$C$1525,70,MOD($A379-1,70)+1)-2,2)=0,0,1),IF(MOD(IF(INT(($A379-1)/70)+1&gt;CROQUIS_DATOS!$C$1525,70,MOD($A379-1,70)+1)-2,2)=0,1,0))))=0,(INDEX($E$8:$E$23,MIN(INT(($A379-1)/70)+1,CROQUIS_DATOS!$C$1525))-INDEX($F$8:$F$23,MIN(INT(($A379-1)/70)+1,CROQUIS_DATOS!$C$1525))/2),(INDEX($E$8:$E$23,MIN(INT(($A379-1)/70)+1,CROQUIS_DATOS!$C$1525))+INDEX($F$8:$F$23,MIN(INT(($A379-1)/70)+1,CROQUIS_DATOS!$C$1525))/2)))*CROQUIS_DATOS!$C$1562),-1000)</f>
        <v>82.8189655172414</v>
      </c>
      <c r="O379">
        <f>IF(AND(CROQUIS_DATOS!$C$1472=1,1),(CROQUIS_DATOS!$C$1564+(IF(OR(IF(INT(($A379-1)/70)+1&gt;CROQUIS_DATOS!$C$1525,70,MOD($A379-1,70)+1)=1,IF(INT(($A379-1)/70)+1&gt;CROQUIS_DATOS!$C$1525,70,MOD($A379-1,70)+1)&gt;2*CROQUIS_DATOS!$C$1541+1),CROQUIS_DATOS!$C$1476,INDEX($H$8:$H$41,MIN(INT((IF(INT(($A379-1)/70)+1&gt;CROQUIS_DATOS!$C$1525,70,MOD($A379-1,70)+1)-2)/2)+1,CROQUIS_DATOS!$C$1541))))*CROQUIS_DATOS!$C$1561*CROQUIS_DATOS!$C$1562),-1000)</f>
        <v>26.823275862069</v>
      </c>
    </row>
    <row r="380">
      <c r="A380" t="n">
        <v>373</v>
      </c>
      <c r="N380">
        <f>IF(AND(CROQUIS_DATOS!$C$1472=1,1),(CROQUIS_DATOS!$C$1563+(IF(IF(IF(INT(($A380-1)/70)+1&gt;CROQUIS_DATOS!$C$1525,70,MOD($A380-1,70)+1)=1,0,IF(IF(INT(($A380-1)/70)+1&gt;CROQUIS_DATOS!$C$1525,70,MOD($A380-1,70)+1)&gt;2*CROQUIS_DATOS!$C$1541+1,IF(MOD(CROQUIS_DATOS!$C$1541,2)=1,1,0),IF(MOD(MIN(INT((IF(INT(($A380-1)/70)+1&gt;CROQUIS_DATOS!$C$1525,70,MOD($A380-1,70)+1)-2)/2)+1,CROQUIS_DATOS!$C$1541),2)=1,IF(MOD(IF(INT(($A380-1)/70)+1&gt;CROQUIS_DATOS!$C$1525,70,MOD($A380-1,70)+1)-2,2)=0,0,1),IF(MOD(IF(INT(($A380-1)/70)+1&gt;CROQUIS_DATOS!$C$1525,70,MOD($A380-1,70)+1)-2,2)=0,1,0))))=0,(INDEX($E$8:$E$23,MIN(INT(($A380-1)/70)+1,CROQUIS_DATOS!$C$1525))-INDEX($F$8:$F$23,MIN(INT(($A380-1)/70)+1,CROQUIS_DATOS!$C$1525))/2),(INDEX($E$8:$E$23,MIN(INT(($A380-1)/70)+1,CROQUIS_DATOS!$C$1525))+INDEX($F$8:$F$23,MIN(INT(($A380-1)/70)+1,CROQUIS_DATOS!$C$1525))/2)))*CROQUIS_DATOS!$C$1562),-1000)</f>
        <v>84.9137931034483</v>
      </c>
      <c r="O380">
        <f>IF(AND(CROQUIS_DATOS!$C$1472=1,1),(CROQUIS_DATOS!$C$1564+(IF(OR(IF(INT(($A380-1)/70)+1&gt;CROQUIS_DATOS!$C$1525,70,MOD($A380-1,70)+1)=1,IF(INT(($A380-1)/70)+1&gt;CROQUIS_DATOS!$C$1525,70,MOD($A380-1,70)+1)&gt;2*CROQUIS_DATOS!$C$1541+1),CROQUIS_DATOS!$C$1476,INDEX($H$8:$H$41,MIN(INT((IF(INT(($A380-1)/70)+1&gt;CROQUIS_DATOS!$C$1525,70,MOD($A380-1,70)+1)-2)/2)+1,CROQUIS_DATOS!$C$1541))))*CROQUIS_DATOS!$C$1561*CROQUIS_DATOS!$C$1562),-1000)</f>
        <v>26.823275862069</v>
      </c>
    </row>
    <row r="381">
      <c r="A381" t="n">
        <v>374</v>
      </c>
      <c r="N381">
        <f>IF(AND(CROQUIS_DATOS!$C$1472=1,1),(CROQUIS_DATOS!$C$1563+(IF(IF(IF(INT(($A381-1)/70)+1&gt;CROQUIS_DATOS!$C$1525,70,MOD($A381-1,70)+1)=1,0,IF(IF(INT(($A381-1)/70)+1&gt;CROQUIS_DATOS!$C$1525,70,MOD($A381-1,70)+1)&gt;2*CROQUIS_DATOS!$C$1541+1,IF(MOD(CROQUIS_DATOS!$C$1541,2)=1,1,0),IF(MOD(MIN(INT((IF(INT(($A381-1)/70)+1&gt;CROQUIS_DATOS!$C$1525,70,MOD($A381-1,70)+1)-2)/2)+1,CROQUIS_DATOS!$C$1541),2)=1,IF(MOD(IF(INT(($A381-1)/70)+1&gt;CROQUIS_DATOS!$C$1525,70,MOD($A381-1,70)+1)-2,2)=0,0,1),IF(MOD(IF(INT(($A381-1)/70)+1&gt;CROQUIS_DATOS!$C$1525,70,MOD($A381-1,70)+1)-2,2)=0,1,0))))=0,(INDEX($E$8:$E$23,MIN(INT(($A381-1)/70)+1,CROQUIS_DATOS!$C$1525))-INDEX($F$8:$F$23,MIN(INT(($A381-1)/70)+1,CROQUIS_DATOS!$C$1525))/2),(INDEX($E$8:$E$23,MIN(INT(($A381-1)/70)+1,CROQUIS_DATOS!$C$1525))+INDEX($F$8:$F$23,MIN(INT(($A381-1)/70)+1,CROQUIS_DATOS!$C$1525))/2)))*CROQUIS_DATOS!$C$1562),-1000)</f>
        <v>84.9137931034483</v>
      </c>
      <c r="O381">
        <f>IF(AND(CROQUIS_DATOS!$C$1472=1,1),(CROQUIS_DATOS!$C$1564+(IF(OR(IF(INT(($A381-1)/70)+1&gt;CROQUIS_DATOS!$C$1525,70,MOD($A381-1,70)+1)=1,IF(INT(($A381-1)/70)+1&gt;CROQUIS_DATOS!$C$1525,70,MOD($A381-1,70)+1)&gt;2*CROQUIS_DATOS!$C$1541+1),CROQUIS_DATOS!$C$1476,INDEX($H$8:$H$41,MIN(INT((IF(INT(($A381-1)/70)+1&gt;CROQUIS_DATOS!$C$1525,70,MOD($A381-1,70)+1)-2)/2)+1,CROQUIS_DATOS!$C$1541))))*CROQUIS_DATOS!$C$1561*CROQUIS_DATOS!$C$1562),-1000)</f>
        <v>29.5387931034483</v>
      </c>
    </row>
    <row r="382">
      <c r="A382" t="n">
        <v>375</v>
      </c>
      <c r="N382">
        <f>IF(AND(CROQUIS_DATOS!$C$1472=1,1),(CROQUIS_DATOS!$C$1563+(IF(IF(IF(INT(($A382-1)/70)+1&gt;CROQUIS_DATOS!$C$1525,70,MOD($A382-1,70)+1)=1,0,IF(IF(INT(($A382-1)/70)+1&gt;CROQUIS_DATOS!$C$1525,70,MOD($A382-1,70)+1)&gt;2*CROQUIS_DATOS!$C$1541+1,IF(MOD(CROQUIS_DATOS!$C$1541,2)=1,1,0),IF(MOD(MIN(INT((IF(INT(($A382-1)/70)+1&gt;CROQUIS_DATOS!$C$1525,70,MOD($A382-1,70)+1)-2)/2)+1,CROQUIS_DATOS!$C$1541),2)=1,IF(MOD(IF(INT(($A382-1)/70)+1&gt;CROQUIS_DATOS!$C$1525,70,MOD($A382-1,70)+1)-2,2)=0,0,1),IF(MOD(IF(INT(($A382-1)/70)+1&gt;CROQUIS_DATOS!$C$1525,70,MOD($A382-1,70)+1)-2,2)=0,1,0))))=0,(INDEX($E$8:$E$23,MIN(INT(($A382-1)/70)+1,CROQUIS_DATOS!$C$1525))-INDEX($F$8:$F$23,MIN(INT(($A382-1)/70)+1,CROQUIS_DATOS!$C$1525))/2),(INDEX($E$8:$E$23,MIN(INT(($A382-1)/70)+1,CROQUIS_DATOS!$C$1525))+INDEX($F$8:$F$23,MIN(INT(($A382-1)/70)+1,CROQUIS_DATOS!$C$1525))/2)))*CROQUIS_DATOS!$C$1562),-1000)</f>
        <v>82.8189655172414</v>
      </c>
      <c r="O382">
        <f>IF(AND(CROQUIS_DATOS!$C$1472=1,1),(CROQUIS_DATOS!$C$1564+(IF(OR(IF(INT(($A382-1)/70)+1&gt;CROQUIS_DATOS!$C$1525,70,MOD($A382-1,70)+1)=1,IF(INT(($A382-1)/70)+1&gt;CROQUIS_DATOS!$C$1525,70,MOD($A382-1,70)+1)&gt;2*CROQUIS_DATOS!$C$1541+1),CROQUIS_DATOS!$C$1476,INDEX($H$8:$H$41,MIN(INT((IF(INT(($A382-1)/70)+1&gt;CROQUIS_DATOS!$C$1525,70,MOD($A382-1,70)+1)-2)/2)+1,CROQUIS_DATOS!$C$1541))))*CROQUIS_DATOS!$C$1561*CROQUIS_DATOS!$C$1562),-1000)</f>
        <v>29.5387931034483</v>
      </c>
    </row>
    <row r="383">
      <c r="A383" t="n">
        <v>376</v>
      </c>
      <c r="N383">
        <f>IF(AND(CROQUIS_DATOS!$C$1472=1,1),(CROQUIS_DATOS!$C$1563+(IF(IF(IF(INT(($A383-1)/70)+1&gt;CROQUIS_DATOS!$C$1525,70,MOD($A383-1,70)+1)=1,0,IF(IF(INT(($A383-1)/70)+1&gt;CROQUIS_DATOS!$C$1525,70,MOD($A383-1,70)+1)&gt;2*CROQUIS_DATOS!$C$1541+1,IF(MOD(CROQUIS_DATOS!$C$1541,2)=1,1,0),IF(MOD(MIN(INT((IF(INT(($A383-1)/70)+1&gt;CROQUIS_DATOS!$C$1525,70,MOD($A383-1,70)+1)-2)/2)+1,CROQUIS_DATOS!$C$1541),2)=1,IF(MOD(IF(INT(($A383-1)/70)+1&gt;CROQUIS_DATOS!$C$1525,70,MOD($A383-1,70)+1)-2,2)=0,0,1),IF(MOD(IF(INT(($A383-1)/70)+1&gt;CROQUIS_DATOS!$C$1525,70,MOD($A383-1,70)+1)-2,2)=0,1,0))))=0,(INDEX($E$8:$E$23,MIN(INT(($A383-1)/70)+1,CROQUIS_DATOS!$C$1525))-INDEX($F$8:$F$23,MIN(INT(($A383-1)/70)+1,CROQUIS_DATOS!$C$1525))/2),(INDEX($E$8:$E$23,MIN(INT(($A383-1)/70)+1,CROQUIS_DATOS!$C$1525))+INDEX($F$8:$F$23,MIN(INT(($A383-1)/70)+1,CROQUIS_DATOS!$C$1525))/2)))*CROQUIS_DATOS!$C$1562),-1000)</f>
        <v>82.8189655172414</v>
      </c>
      <c r="O383">
        <f>IF(AND(CROQUIS_DATOS!$C$1472=1,1),(CROQUIS_DATOS!$C$1564+(IF(OR(IF(INT(($A383-1)/70)+1&gt;CROQUIS_DATOS!$C$1525,70,MOD($A383-1,70)+1)=1,IF(INT(($A383-1)/70)+1&gt;CROQUIS_DATOS!$C$1525,70,MOD($A383-1,70)+1)&gt;2*CROQUIS_DATOS!$C$1541+1),CROQUIS_DATOS!$C$1476,INDEX($H$8:$H$41,MIN(INT((IF(INT(($A383-1)/70)+1&gt;CROQUIS_DATOS!$C$1525,70,MOD($A383-1,70)+1)-2)/2)+1,CROQUIS_DATOS!$C$1541))))*CROQUIS_DATOS!$C$1561*CROQUIS_DATOS!$C$1562),-1000)</f>
        <v>32.2543103448276</v>
      </c>
    </row>
    <row r="384">
      <c r="A384" t="n">
        <v>377</v>
      </c>
      <c r="N384">
        <f>IF(AND(CROQUIS_DATOS!$C$1472=1,1),(CROQUIS_DATOS!$C$1563+(IF(IF(IF(INT(($A384-1)/70)+1&gt;CROQUIS_DATOS!$C$1525,70,MOD($A384-1,70)+1)=1,0,IF(IF(INT(($A384-1)/70)+1&gt;CROQUIS_DATOS!$C$1525,70,MOD($A384-1,70)+1)&gt;2*CROQUIS_DATOS!$C$1541+1,IF(MOD(CROQUIS_DATOS!$C$1541,2)=1,1,0),IF(MOD(MIN(INT((IF(INT(($A384-1)/70)+1&gt;CROQUIS_DATOS!$C$1525,70,MOD($A384-1,70)+1)-2)/2)+1,CROQUIS_DATOS!$C$1541),2)=1,IF(MOD(IF(INT(($A384-1)/70)+1&gt;CROQUIS_DATOS!$C$1525,70,MOD($A384-1,70)+1)-2,2)=0,0,1),IF(MOD(IF(INT(($A384-1)/70)+1&gt;CROQUIS_DATOS!$C$1525,70,MOD($A384-1,70)+1)-2,2)=0,1,0))))=0,(INDEX($E$8:$E$23,MIN(INT(($A384-1)/70)+1,CROQUIS_DATOS!$C$1525))-INDEX($F$8:$F$23,MIN(INT(($A384-1)/70)+1,CROQUIS_DATOS!$C$1525))/2),(INDEX($E$8:$E$23,MIN(INT(($A384-1)/70)+1,CROQUIS_DATOS!$C$1525))+INDEX($F$8:$F$23,MIN(INT(($A384-1)/70)+1,CROQUIS_DATOS!$C$1525))/2)))*CROQUIS_DATOS!$C$1562),-1000)</f>
        <v>84.9137931034483</v>
      </c>
      <c r="O384">
        <f>IF(AND(CROQUIS_DATOS!$C$1472=1,1),(CROQUIS_DATOS!$C$1564+(IF(OR(IF(INT(($A384-1)/70)+1&gt;CROQUIS_DATOS!$C$1525,70,MOD($A384-1,70)+1)=1,IF(INT(($A384-1)/70)+1&gt;CROQUIS_DATOS!$C$1525,70,MOD($A384-1,70)+1)&gt;2*CROQUIS_DATOS!$C$1541+1),CROQUIS_DATOS!$C$1476,INDEX($H$8:$H$41,MIN(INT((IF(INT(($A384-1)/70)+1&gt;CROQUIS_DATOS!$C$1525,70,MOD($A384-1,70)+1)-2)/2)+1,CROQUIS_DATOS!$C$1541))))*CROQUIS_DATOS!$C$1561*CROQUIS_DATOS!$C$1562),-1000)</f>
        <v>32.2543103448276</v>
      </c>
    </row>
    <row r="385">
      <c r="A385" t="n">
        <v>378</v>
      </c>
      <c r="N385">
        <f>IF(AND(CROQUIS_DATOS!$C$1472=1,1),(CROQUIS_DATOS!$C$1563+(IF(IF(IF(INT(($A385-1)/70)+1&gt;CROQUIS_DATOS!$C$1525,70,MOD($A385-1,70)+1)=1,0,IF(IF(INT(($A385-1)/70)+1&gt;CROQUIS_DATOS!$C$1525,70,MOD($A385-1,70)+1)&gt;2*CROQUIS_DATOS!$C$1541+1,IF(MOD(CROQUIS_DATOS!$C$1541,2)=1,1,0),IF(MOD(MIN(INT((IF(INT(($A385-1)/70)+1&gt;CROQUIS_DATOS!$C$1525,70,MOD($A385-1,70)+1)-2)/2)+1,CROQUIS_DATOS!$C$1541),2)=1,IF(MOD(IF(INT(($A385-1)/70)+1&gt;CROQUIS_DATOS!$C$1525,70,MOD($A385-1,70)+1)-2,2)=0,0,1),IF(MOD(IF(INT(($A385-1)/70)+1&gt;CROQUIS_DATOS!$C$1525,70,MOD($A385-1,70)+1)-2,2)=0,1,0))))=0,(INDEX($E$8:$E$23,MIN(INT(($A385-1)/70)+1,CROQUIS_DATOS!$C$1525))-INDEX($F$8:$F$23,MIN(INT(($A385-1)/70)+1,CROQUIS_DATOS!$C$1525))/2),(INDEX($E$8:$E$23,MIN(INT(($A385-1)/70)+1,CROQUIS_DATOS!$C$1525))+INDEX($F$8:$F$23,MIN(INT(($A385-1)/70)+1,CROQUIS_DATOS!$C$1525))/2)))*CROQUIS_DATOS!$C$1562),-1000)</f>
        <v>84.9137931034483</v>
      </c>
      <c r="O385">
        <f>IF(AND(CROQUIS_DATOS!$C$1472=1,1),(CROQUIS_DATOS!$C$1564+(IF(OR(IF(INT(($A385-1)/70)+1&gt;CROQUIS_DATOS!$C$1525,70,MOD($A385-1,70)+1)=1,IF(INT(($A385-1)/70)+1&gt;CROQUIS_DATOS!$C$1525,70,MOD($A385-1,70)+1)&gt;2*CROQUIS_DATOS!$C$1541+1),CROQUIS_DATOS!$C$1476,INDEX($H$8:$H$41,MIN(INT((IF(INT(($A385-1)/70)+1&gt;CROQUIS_DATOS!$C$1525,70,MOD($A385-1,70)+1)-2)/2)+1,CROQUIS_DATOS!$C$1541))))*CROQUIS_DATOS!$C$1561*CROQUIS_DATOS!$C$1562),-1000)</f>
        <v>34.9698275862069</v>
      </c>
    </row>
    <row r="386">
      <c r="A386" t="n">
        <v>379</v>
      </c>
      <c r="N386">
        <f>IF(AND(CROQUIS_DATOS!$C$1472=1,1),(CROQUIS_DATOS!$C$1563+(IF(IF(IF(INT(($A386-1)/70)+1&gt;CROQUIS_DATOS!$C$1525,70,MOD($A386-1,70)+1)=1,0,IF(IF(INT(($A386-1)/70)+1&gt;CROQUIS_DATOS!$C$1525,70,MOD($A386-1,70)+1)&gt;2*CROQUIS_DATOS!$C$1541+1,IF(MOD(CROQUIS_DATOS!$C$1541,2)=1,1,0),IF(MOD(MIN(INT((IF(INT(($A386-1)/70)+1&gt;CROQUIS_DATOS!$C$1525,70,MOD($A386-1,70)+1)-2)/2)+1,CROQUIS_DATOS!$C$1541),2)=1,IF(MOD(IF(INT(($A386-1)/70)+1&gt;CROQUIS_DATOS!$C$1525,70,MOD($A386-1,70)+1)-2,2)=0,0,1),IF(MOD(IF(INT(($A386-1)/70)+1&gt;CROQUIS_DATOS!$C$1525,70,MOD($A386-1,70)+1)-2,2)=0,1,0))))=0,(INDEX($E$8:$E$23,MIN(INT(($A386-1)/70)+1,CROQUIS_DATOS!$C$1525))-INDEX($F$8:$F$23,MIN(INT(($A386-1)/70)+1,CROQUIS_DATOS!$C$1525))/2),(INDEX($E$8:$E$23,MIN(INT(($A386-1)/70)+1,CROQUIS_DATOS!$C$1525))+INDEX($F$8:$F$23,MIN(INT(($A386-1)/70)+1,CROQUIS_DATOS!$C$1525))/2)))*CROQUIS_DATOS!$C$1562),-1000)</f>
        <v>82.8189655172414</v>
      </c>
      <c r="O386">
        <f>IF(AND(CROQUIS_DATOS!$C$1472=1,1),(CROQUIS_DATOS!$C$1564+(IF(OR(IF(INT(($A386-1)/70)+1&gt;CROQUIS_DATOS!$C$1525,70,MOD($A386-1,70)+1)=1,IF(INT(($A386-1)/70)+1&gt;CROQUIS_DATOS!$C$1525,70,MOD($A386-1,70)+1)&gt;2*CROQUIS_DATOS!$C$1541+1),CROQUIS_DATOS!$C$1476,INDEX($H$8:$H$41,MIN(INT((IF(INT(($A386-1)/70)+1&gt;CROQUIS_DATOS!$C$1525,70,MOD($A386-1,70)+1)-2)/2)+1,CROQUIS_DATOS!$C$1541))))*CROQUIS_DATOS!$C$1561*CROQUIS_DATOS!$C$1562),-1000)</f>
        <v>34.9698275862069</v>
      </c>
    </row>
    <row r="387">
      <c r="A387" t="n">
        <v>380</v>
      </c>
      <c r="N387">
        <f>IF(AND(CROQUIS_DATOS!$C$1472=1,1),(CROQUIS_DATOS!$C$1563+(IF(IF(IF(INT(($A387-1)/70)+1&gt;CROQUIS_DATOS!$C$1525,70,MOD($A387-1,70)+1)=1,0,IF(IF(INT(($A387-1)/70)+1&gt;CROQUIS_DATOS!$C$1525,70,MOD($A387-1,70)+1)&gt;2*CROQUIS_DATOS!$C$1541+1,IF(MOD(CROQUIS_DATOS!$C$1541,2)=1,1,0),IF(MOD(MIN(INT((IF(INT(($A387-1)/70)+1&gt;CROQUIS_DATOS!$C$1525,70,MOD($A387-1,70)+1)-2)/2)+1,CROQUIS_DATOS!$C$1541),2)=1,IF(MOD(IF(INT(($A387-1)/70)+1&gt;CROQUIS_DATOS!$C$1525,70,MOD($A387-1,70)+1)-2,2)=0,0,1),IF(MOD(IF(INT(($A387-1)/70)+1&gt;CROQUIS_DATOS!$C$1525,70,MOD($A387-1,70)+1)-2,2)=0,1,0))))=0,(INDEX($E$8:$E$23,MIN(INT(($A387-1)/70)+1,CROQUIS_DATOS!$C$1525))-INDEX($F$8:$F$23,MIN(INT(($A387-1)/70)+1,CROQUIS_DATOS!$C$1525))/2),(INDEX($E$8:$E$23,MIN(INT(($A387-1)/70)+1,CROQUIS_DATOS!$C$1525))+INDEX($F$8:$F$23,MIN(INT(($A387-1)/70)+1,CROQUIS_DATOS!$C$1525))/2)))*CROQUIS_DATOS!$C$1562),-1000)</f>
        <v>82.8189655172414</v>
      </c>
      <c r="O387">
        <f>IF(AND(CROQUIS_DATOS!$C$1472=1,1),(CROQUIS_DATOS!$C$1564+(IF(OR(IF(INT(($A387-1)/70)+1&gt;CROQUIS_DATOS!$C$1525,70,MOD($A387-1,70)+1)=1,IF(INT(($A387-1)/70)+1&gt;CROQUIS_DATOS!$C$1525,70,MOD($A387-1,70)+1)&gt;2*CROQUIS_DATOS!$C$1541+1),CROQUIS_DATOS!$C$1476,INDEX($H$8:$H$41,MIN(INT((IF(INT(($A387-1)/70)+1&gt;CROQUIS_DATOS!$C$1525,70,MOD($A387-1,70)+1)-2)/2)+1,CROQUIS_DATOS!$C$1541))))*CROQUIS_DATOS!$C$1561*CROQUIS_DATOS!$C$1562),-1000)</f>
        <v>36.0172413793104</v>
      </c>
    </row>
    <row r="388">
      <c r="A388" t="n">
        <v>381</v>
      </c>
      <c r="N388">
        <f>IF(AND(CROQUIS_DATOS!$C$1472=1,1),(CROQUIS_DATOS!$C$1563+(IF(IF(IF(INT(($A388-1)/70)+1&gt;CROQUIS_DATOS!$C$1525,70,MOD($A388-1,70)+1)=1,0,IF(IF(INT(($A388-1)/70)+1&gt;CROQUIS_DATOS!$C$1525,70,MOD($A388-1,70)+1)&gt;2*CROQUIS_DATOS!$C$1541+1,IF(MOD(CROQUIS_DATOS!$C$1541,2)=1,1,0),IF(MOD(MIN(INT((IF(INT(($A388-1)/70)+1&gt;CROQUIS_DATOS!$C$1525,70,MOD($A388-1,70)+1)-2)/2)+1,CROQUIS_DATOS!$C$1541),2)=1,IF(MOD(IF(INT(($A388-1)/70)+1&gt;CROQUIS_DATOS!$C$1525,70,MOD($A388-1,70)+1)-2,2)=0,0,1),IF(MOD(IF(INT(($A388-1)/70)+1&gt;CROQUIS_DATOS!$C$1525,70,MOD($A388-1,70)+1)-2,2)=0,1,0))))=0,(INDEX($E$8:$E$23,MIN(INT(($A388-1)/70)+1,CROQUIS_DATOS!$C$1525))-INDEX($F$8:$F$23,MIN(INT(($A388-1)/70)+1,CROQUIS_DATOS!$C$1525))/2),(INDEX($E$8:$E$23,MIN(INT(($A388-1)/70)+1,CROQUIS_DATOS!$C$1525))+INDEX($F$8:$F$23,MIN(INT(($A388-1)/70)+1,CROQUIS_DATOS!$C$1525))/2)))*CROQUIS_DATOS!$C$1562),-1000)</f>
        <v>84.9137931034483</v>
      </c>
      <c r="O388">
        <f>IF(AND(CROQUIS_DATOS!$C$1472=1,1),(CROQUIS_DATOS!$C$1564+(IF(OR(IF(INT(($A388-1)/70)+1&gt;CROQUIS_DATOS!$C$1525,70,MOD($A388-1,70)+1)=1,IF(INT(($A388-1)/70)+1&gt;CROQUIS_DATOS!$C$1525,70,MOD($A388-1,70)+1)&gt;2*CROQUIS_DATOS!$C$1541+1),CROQUIS_DATOS!$C$1476,INDEX($H$8:$H$41,MIN(INT((IF(INT(($A388-1)/70)+1&gt;CROQUIS_DATOS!$C$1525,70,MOD($A388-1,70)+1)-2)/2)+1,CROQUIS_DATOS!$C$1541))))*CROQUIS_DATOS!$C$1561*CROQUIS_DATOS!$C$1562),-1000)</f>
        <v>36.0172413793104</v>
      </c>
    </row>
    <row r="389">
      <c r="A389" t="n">
        <v>382</v>
      </c>
      <c r="N389">
        <f>IF(AND(CROQUIS_DATOS!$C$1472=1,1),(CROQUIS_DATOS!$C$1563+(IF(IF(IF(INT(($A389-1)/70)+1&gt;CROQUIS_DATOS!$C$1525,70,MOD($A389-1,70)+1)=1,0,IF(IF(INT(($A389-1)/70)+1&gt;CROQUIS_DATOS!$C$1525,70,MOD($A389-1,70)+1)&gt;2*CROQUIS_DATOS!$C$1541+1,IF(MOD(CROQUIS_DATOS!$C$1541,2)=1,1,0),IF(MOD(MIN(INT((IF(INT(($A389-1)/70)+1&gt;CROQUIS_DATOS!$C$1525,70,MOD($A389-1,70)+1)-2)/2)+1,CROQUIS_DATOS!$C$1541),2)=1,IF(MOD(IF(INT(($A389-1)/70)+1&gt;CROQUIS_DATOS!$C$1525,70,MOD($A389-1,70)+1)-2,2)=0,0,1),IF(MOD(IF(INT(($A389-1)/70)+1&gt;CROQUIS_DATOS!$C$1525,70,MOD($A389-1,70)+1)-2,2)=0,1,0))))=0,(INDEX($E$8:$E$23,MIN(INT(($A389-1)/70)+1,CROQUIS_DATOS!$C$1525))-INDEX($F$8:$F$23,MIN(INT(($A389-1)/70)+1,CROQUIS_DATOS!$C$1525))/2),(INDEX($E$8:$E$23,MIN(INT(($A389-1)/70)+1,CROQUIS_DATOS!$C$1525))+INDEX($F$8:$F$23,MIN(INT(($A389-1)/70)+1,CROQUIS_DATOS!$C$1525))/2)))*CROQUIS_DATOS!$C$1562),-1000)</f>
        <v>84.9137931034483</v>
      </c>
      <c r="O389">
        <f>IF(AND(CROQUIS_DATOS!$C$1472=1,1),(CROQUIS_DATOS!$C$1564+(IF(OR(IF(INT(($A389-1)/70)+1&gt;CROQUIS_DATOS!$C$1525,70,MOD($A389-1,70)+1)=1,IF(INT(($A389-1)/70)+1&gt;CROQUIS_DATOS!$C$1525,70,MOD($A389-1,70)+1)&gt;2*CROQUIS_DATOS!$C$1541+1),CROQUIS_DATOS!$C$1476,INDEX($H$8:$H$41,MIN(INT((IF(INT(($A389-1)/70)+1&gt;CROQUIS_DATOS!$C$1525,70,MOD($A389-1,70)+1)-2)/2)+1,CROQUIS_DATOS!$C$1541))))*CROQUIS_DATOS!$C$1561*CROQUIS_DATOS!$C$1562),-1000)</f>
        <v>37.0646551724138</v>
      </c>
    </row>
    <row r="390">
      <c r="A390" t="n">
        <v>383</v>
      </c>
      <c r="N390">
        <f>IF(AND(CROQUIS_DATOS!$C$1472=1,1),(CROQUIS_DATOS!$C$1563+(IF(IF(IF(INT(($A390-1)/70)+1&gt;CROQUIS_DATOS!$C$1525,70,MOD($A390-1,70)+1)=1,0,IF(IF(INT(($A390-1)/70)+1&gt;CROQUIS_DATOS!$C$1525,70,MOD($A390-1,70)+1)&gt;2*CROQUIS_DATOS!$C$1541+1,IF(MOD(CROQUIS_DATOS!$C$1541,2)=1,1,0),IF(MOD(MIN(INT((IF(INT(($A390-1)/70)+1&gt;CROQUIS_DATOS!$C$1525,70,MOD($A390-1,70)+1)-2)/2)+1,CROQUIS_DATOS!$C$1541),2)=1,IF(MOD(IF(INT(($A390-1)/70)+1&gt;CROQUIS_DATOS!$C$1525,70,MOD($A390-1,70)+1)-2,2)=0,0,1),IF(MOD(IF(INT(($A390-1)/70)+1&gt;CROQUIS_DATOS!$C$1525,70,MOD($A390-1,70)+1)-2,2)=0,1,0))))=0,(INDEX($E$8:$E$23,MIN(INT(($A390-1)/70)+1,CROQUIS_DATOS!$C$1525))-INDEX($F$8:$F$23,MIN(INT(($A390-1)/70)+1,CROQUIS_DATOS!$C$1525))/2),(INDEX($E$8:$E$23,MIN(INT(($A390-1)/70)+1,CROQUIS_DATOS!$C$1525))+INDEX($F$8:$F$23,MIN(INT(($A390-1)/70)+1,CROQUIS_DATOS!$C$1525))/2)))*CROQUIS_DATOS!$C$1562),-1000)</f>
        <v>82.8189655172414</v>
      </c>
      <c r="O390">
        <f>IF(AND(CROQUIS_DATOS!$C$1472=1,1),(CROQUIS_DATOS!$C$1564+(IF(OR(IF(INT(($A390-1)/70)+1&gt;CROQUIS_DATOS!$C$1525,70,MOD($A390-1,70)+1)=1,IF(INT(($A390-1)/70)+1&gt;CROQUIS_DATOS!$C$1525,70,MOD($A390-1,70)+1)&gt;2*CROQUIS_DATOS!$C$1541+1),CROQUIS_DATOS!$C$1476,INDEX($H$8:$H$41,MIN(INT((IF(INT(($A390-1)/70)+1&gt;CROQUIS_DATOS!$C$1525,70,MOD($A390-1,70)+1)-2)/2)+1,CROQUIS_DATOS!$C$1541))))*CROQUIS_DATOS!$C$1561*CROQUIS_DATOS!$C$1562),-1000)</f>
        <v>37.0646551724138</v>
      </c>
    </row>
    <row r="391">
      <c r="A391" t="n">
        <v>384</v>
      </c>
      <c r="N391">
        <f>IF(AND(CROQUIS_DATOS!$C$1472=1,1),(CROQUIS_DATOS!$C$1563+(IF(IF(IF(INT(($A391-1)/70)+1&gt;CROQUIS_DATOS!$C$1525,70,MOD($A391-1,70)+1)=1,0,IF(IF(INT(($A391-1)/70)+1&gt;CROQUIS_DATOS!$C$1525,70,MOD($A391-1,70)+1)&gt;2*CROQUIS_DATOS!$C$1541+1,IF(MOD(CROQUIS_DATOS!$C$1541,2)=1,1,0),IF(MOD(MIN(INT((IF(INT(($A391-1)/70)+1&gt;CROQUIS_DATOS!$C$1525,70,MOD($A391-1,70)+1)-2)/2)+1,CROQUIS_DATOS!$C$1541),2)=1,IF(MOD(IF(INT(($A391-1)/70)+1&gt;CROQUIS_DATOS!$C$1525,70,MOD($A391-1,70)+1)-2,2)=0,0,1),IF(MOD(IF(INT(($A391-1)/70)+1&gt;CROQUIS_DATOS!$C$1525,70,MOD($A391-1,70)+1)-2,2)=0,1,0))))=0,(INDEX($E$8:$E$23,MIN(INT(($A391-1)/70)+1,CROQUIS_DATOS!$C$1525))-INDEX($F$8:$F$23,MIN(INT(($A391-1)/70)+1,CROQUIS_DATOS!$C$1525))/2),(INDEX($E$8:$E$23,MIN(INT(($A391-1)/70)+1,CROQUIS_DATOS!$C$1525))+INDEX($F$8:$F$23,MIN(INT(($A391-1)/70)+1,CROQUIS_DATOS!$C$1525))/2)))*CROQUIS_DATOS!$C$1562),-1000)</f>
        <v>82.8189655172414</v>
      </c>
      <c r="O391">
        <f>IF(AND(CROQUIS_DATOS!$C$1472=1,1),(CROQUIS_DATOS!$C$1564+(IF(OR(IF(INT(($A391-1)/70)+1&gt;CROQUIS_DATOS!$C$1525,70,MOD($A391-1,70)+1)=1,IF(INT(($A391-1)/70)+1&gt;CROQUIS_DATOS!$C$1525,70,MOD($A391-1,70)+1)&gt;2*CROQUIS_DATOS!$C$1541+1),CROQUIS_DATOS!$C$1476,INDEX($H$8:$H$41,MIN(INT((IF(INT(($A391-1)/70)+1&gt;CROQUIS_DATOS!$C$1525,70,MOD($A391-1,70)+1)-2)/2)+1,CROQUIS_DATOS!$C$1541))))*CROQUIS_DATOS!$C$1561*CROQUIS_DATOS!$C$1562),-1000)</f>
        <v>38.1120689655172</v>
      </c>
    </row>
    <row r="392">
      <c r="A392" t="n">
        <v>385</v>
      </c>
      <c r="N392">
        <f>IF(AND(CROQUIS_DATOS!$C$1472=1,1),(CROQUIS_DATOS!$C$1563+(IF(IF(IF(INT(($A392-1)/70)+1&gt;CROQUIS_DATOS!$C$1525,70,MOD($A392-1,70)+1)=1,0,IF(IF(INT(($A392-1)/70)+1&gt;CROQUIS_DATOS!$C$1525,70,MOD($A392-1,70)+1)&gt;2*CROQUIS_DATOS!$C$1541+1,IF(MOD(CROQUIS_DATOS!$C$1541,2)=1,1,0),IF(MOD(MIN(INT((IF(INT(($A392-1)/70)+1&gt;CROQUIS_DATOS!$C$1525,70,MOD($A392-1,70)+1)-2)/2)+1,CROQUIS_DATOS!$C$1541),2)=1,IF(MOD(IF(INT(($A392-1)/70)+1&gt;CROQUIS_DATOS!$C$1525,70,MOD($A392-1,70)+1)-2,2)=0,0,1),IF(MOD(IF(INT(($A392-1)/70)+1&gt;CROQUIS_DATOS!$C$1525,70,MOD($A392-1,70)+1)-2,2)=0,1,0))))=0,(INDEX($E$8:$E$23,MIN(INT(($A392-1)/70)+1,CROQUIS_DATOS!$C$1525))-INDEX($F$8:$F$23,MIN(INT(($A392-1)/70)+1,CROQUIS_DATOS!$C$1525))/2),(INDEX($E$8:$E$23,MIN(INT(($A392-1)/70)+1,CROQUIS_DATOS!$C$1525))+INDEX($F$8:$F$23,MIN(INT(($A392-1)/70)+1,CROQUIS_DATOS!$C$1525))/2)))*CROQUIS_DATOS!$C$1562),-1000)</f>
        <v>84.9137931034483</v>
      </c>
      <c r="O392">
        <f>IF(AND(CROQUIS_DATOS!$C$1472=1,1),(CROQUIS_DATOS!$C$1564+(IF(OR(IF(INT(($A392-1)/70)+1&gt;CROQUIS_DATOS!$C$1525,70,MOD($A392-1,70)+1)=1,IF(INT(($A392-1)/70)+1&gt;CROQUIS_DATOS!$C$1525,70,MOD($A392-1,70)+1)&gt;2*CROQUIS_DATOS!$C$1541+1),CROQUIS_DATOS!$C$1476,INDEX($H$8:$H$41,MIN(INT((IF(INT(($A392-1)/70)+1&gt;CROQUIS_DATOS!$C$1525,70,MOD($A392-1,70)+1)-2)/2)+1,CROQUIS_DATOS!$C$1541))))*CROQUIS_DATOS!$C$1561*CROQUIS_DATOS!$C$1562),-1000)</f>
        <v>38.1120689655172</v>
      </c>
    </row>
    <row r="393">
      <c r="A393" t="n">
        <v>386</v>
      </c>
      <c r="N393">
        <f>IF(AND(CROQUIS_DATOS!$C$1472=1,1),(CROQUIS_DATOS!$C$1563+(IF(IF(IF(INT(($A393-1)/70)+1&gt;CROQUIS_DATOS!$C$1525,70,MOD($A393-1,70)+1)=1,0,IF(IF(INT(($A393-1)/70)+1&gt;CROQUIS_DATOS!$C$1525,70,MOD($A393-1,70)+1)&gt;2*CROQUIS_DATOS!$C$1541+1,IF(MOD(CROQUIS_DATOS!$C$1541,2)=1,1,0),IF(MOD(MIN(INT((IF(INT(($A393-1)/70)+1&gt;CROQUIS_DATOS!$C$1525,70,MOD($A393-1,70)+1)-2)/2)+1,CROQUIS_DATOS!$C$1541),2)=1,IF(MOD(IF(INT(($A393-1)/70)+1&gt;CROQUIS_DATOS!$C$1525,70,MOD($A393-1,70)+1)-2,2)=0,0,1),IF(MOD(IF(INT(($A393-1)/70)+1&gt;CROQUIS_DATOS!$C$1525,70,MOD($A393-1,70)+1)-2,2)=0,1,0))))=0,(INDEX($E$8:$E$23,MIN(INT(($A393-1)/70)+1,CROQUIS_DATOS!$C$1525))-INDEX($F$8:$F$23,MIN(INT(($A393-1)/70)+1,CROQUIS_DATOS!$C$1525))/2),(INDEX($E$8:$E$23,MIN(INT(($A393-1)/70)+1,CROQUIS_DATOS!$C$1525))+INDEX($F$8:$F$23,MIN(INT(($A393-1)/70)+1,CROQUIS_DATOS!$C$1525))/2)))*CROQUIS_DATOS!$C$1562),-1000)</f>
        <v>84.9137931034483</v>
      </c>
      <c r="O393">
        <f>IF(AND(CROQUIS_DATOS!$C$1472=1,1),(CROQUIS_DATOS!$C$1564+(IF(OR(IF(INT(($A393-1)/70)+1&gt;CROQUIS_DATOS!$C$1525,70,MOD($A393-1,70)+1)=1,IF(INT(($A393-1)/70)+1&gt;CROQUIS_DATOS!$C$1525,70,MOD($A393-1,70)+1)&gt;2*CROQUIS_DATOS!$C$1541+1),CROQUIS_DATOS!$C$1476,INDEX($H$8:$H$41,MIN(INT((IF(INT(($A393-1)/70)+1&gt;CROQUIS_DATOS!$C$1525,70,MOD($A393-1,70)+1)-2)/2)+1,CROQUIS_DATOS!$C$1541))))*CROQUIS_DATOS!$C$1561*CROQUIS_DATOS!$C$1562),-1000)</f>
        <v>39.1594827586207</v>
      </c>
    </row>
    <row r="394">
      <c r="A394" t="n">
        <v>387</v>
      </c>
      <c r="N394">
        <f>IF(AND(CROQUIS_DATOS!$C$1472=1,1),(CROQUIS_DATOS!$C$1563+(IF(IF(IF(INT(($A394-1)/70)+1&gt;CROQUIS_DATOS!$C$1525,70,MOD($A394-1,70)+1)=1,0,IF(IF(INT(($A394-1)/70)+1&gt;CROQUIS_DATOS!$C$1525,70,MOD($A394-1,70)+1)&gt;2*CROQUIS_DATOS!$C$1541+1,IF(MOD(CROQUIS_DATOS!$C$1541,2)=1,1,0),IF(MOD(MIN(INT((IF(INT(($A394-1)/70)+1&gt;CROQUIS_DATOS!$C$1525,70,MOD($A394-1,70)+1)-2)/2)+1,CROQUIS_DATOS!$C$1541),2)=1,IF(MOD(IF(INT(($A394-1)/70)+1&gt;CROQUIS_DATOS!$C$1525,70,MOD($A394-1,70)+1)-2,2)=0,0,1),IF(MOD(IF(INT(($A394-1)/70)+1&gt;CROQUIS_DATOS!$C$1525,70,MOD($A394-1,70)+1)-2,2)=0,1,0))))=0,(INDEX($E$8:$E$23,MIN(INT(($A394-1)/70)+1,CROQUIS_DATOS!$C$1525))-INDEX($F$8:$F$23,MIN(INT(($A394-1)/70)+1,CROQUIS_DATOS!$C$1525))/2),(INDEX($E$8:$E$23,MIN(INT(($A394-1)/70)+1,CROQUIS_DATOS!$C$1525))+INDEX($F$8:$F$23,MIN(INT(($A394-1)/70)+1,CROQUIS_DATOS!$C$1525))/2)))*CROQUIS_DATOS!$C$1562),-1000)</f>
        <v>82.8189655172414</v>
      </c>
      <c r="O394">
        <f>IF(AND(CROQUIS_DATOS!$C$1472=1,1),(CROQUIS_DATOS!$C$1564+(IF(OR(IF(INT(($A394-1)/70)+1&gt;CROQUIS_DATOS!$C$1525,70,MOD($A394-1,70)+1)=1,IF(INT(($A394-1)/70)+1&gt;CROQUIS_DATOS!$C$1525,70,MOD($A394-1,70)+1)&gt;2*CROQUIS_DATOS!$C$1541+1),CROQUIS_DATOS!$C$1476,INDEX($H$8:$H$41,MIN(INT((IF(INT(($A394-1)/70)+1&gt;CROQUIS_DATOS!$C$1525,70,MOD($A394-1,70)+1)-2)/2)+1,CROQUIS_DATOS!$C$1541))))*CROQUIS_DATOS!$C$1561*CROQUIS_DATOS!$C$1562),-1000)</f>
        <v>39.1594827586207</v>
      </c>
    </row>
    <row r="395">
      <c r="A395" t="n">
        <v>388</v>
      </c>
      <c r="N395">
        <f>IF(AND(CROQUIS_DATOS!$C$1472=1,1),(CROQUIS_DATOS!$C$1563+(IF(IF(IF(INT(($A395-1)/70)+1&gt;CROQUIS_DATOS!$C$1525,70,MOD($A395-1,70)+1)=1,0,IF(IF(INT(($A395-1)/70)+1&gt;CROQUIS_DATOS!$C$1525,70,MOD($A395-1,70)+1)&gt;2*CROQUIS_DATOS!$C$1541+1,IF(MOD(CROQUIS_DATOS!$C$1541,2)=1,1,0),IF(MOD(MIN(INT((IF(INT(($A395-1)/70)+1&gt;CROQUIS_DATOS!$C$1525,70,MOD($A395-1,70)+1)-2)/2)+1,CROQUIS_DATOS!$C$1541),2)=1,IF(MOD(IF(INT(($A395-1)/70)+1&gt;CROQUIS_DATOS!$C$1525,70,MOD($A395-1,70)+1)-2,2)=0,0,1),IF(MOD(IF(INT(($A395-1)/70)+1&gt;CROQUIS_DATOS!$C$1525,70,MOD($A395-1,70)+1)-2,2)=0,1,0))))=0,(INDEX($E$8:$E$23,MIN(INT(($A395-1)/70)+1,CROQUIS_DATOS!$C$1525))-INDEX($F$8:$F$23,MIN(INT(($A395-1)/70)+1,CROQUIS_DATOS!$C$1525))/2),(INDEX($E$8:$E$23,MIN(INT(($A395-1)/70)+1,CROQUIS_DATOS!$C$1525))+INDEX($F$8:$F$23,MIN(INT(($A395-1)/70)+1,CROQUIS_DATOS!$C$1525))/2)))*CROQUIS_DATOS!$C$1562),-1000)</f>
        <v>82.8189655172414</v>
      </c>
      <c r="O395">
        <f>IF(AND(CROQUIS_DATOS!$C$1472=1,1),(CROQUIS_DATOS!$C$1564+(IF(OR(IF(INT(($A395-1)/70)+1&gt;CROQUIS_DATOS!$C$1525,70,MOD($A395-1,70)+1)=1,IF(INT(($A395-1)/70)+1&gt;CROQUIS_DATOS!$C$1525,70,MOD($A395-1,70)+1)&gt;2*CROQUIS_DATOS!$C$1541+1),CROQUIS_DATOS!$C$1476,INDEX($H$8:$H$41,MIN(INT((IF(INT(($A395-1)/70)+1&gt;CROQUIS_DATOS!$C$1525,70,MOD($A395-1,70)+1)-2)/2)+1,CROQUIS_DATOS!$C$1541))))*CROQUIS_DATOS!$C$1561*CROQUIS_DATOS!$C$1562),-1000)</f>
        <v>40.2068965517241</v>
      </c>
    </row>
    <row r="396">
      <c r="A396" t="n">
        <v>389</v>
      </c>
      <c r="N396">
        <f>IF(AND(CROQUIS_DATOS!$C$1472=1,1),(CROQUIS_DATOS!$C$1563+(IF(IF(IF(INT(($A396-1)/70)+1&gt;CROQUIS_DATOS!$C$1525,70,MOD($A396-1,70)+1)=1,0,IF(IF(INT(($A396-1)/70)+1&gt;CROQUIS_DATOS!$C$1525,70,MOD($A396-1,70)+1)&gt;2*CROQUIS_DATOS!$C$1541+1,IF(MOD(CROQUIS_DATOS!$C$1541,2)=1,1,0),IF(MOD(MIN(INT((IF(INT(($A396-1)/70)+1&gt;CROQUIS_DATOS!$C$1525,70,MOD($A396-1,70)+1)-2)/2)+1,CROQUIS_DATOS!$C$1541),2)=1,IF(MOD(IF(INT(($A396-1)/70)+1&gt;CROQUIS_DATOS!$C$1525,70,MOD($A396-1,70)+1)-2,2)=0,0,1),IF(MOD(IF(INT(($A396-1)/70)+1&gt;CROQUIS_DATOS!$C$1525,70,MOD($A396-1,70)+1)-2,2)=0,1,0))))=0,(INDEX($E$8:$E$23,MIN(INT(($A396-1)/70)+1,CROQUIS_DATOS!$C$1525))-INDEX($F$8:$F$23,MIN(INT(($A396-1)/70)+1,CROQUIS_DATOS!$C$1525))/2),(INDEX($E$8:$E$23,MIN(INT(($A396-1)/70)+1,CROQUIS_DATOS!$C$1525))+INDEX($F$8:$F$23,MIN(INT(($A396-1)/70)+1,CROQUIS_DATOS!$C$1525))/2)))*CROQUIS_DATOS!$C$1562),-1000)</f>
        <v>82.8189655172414</v>
      </c>
      <c r="O396">
        <f>IF(AND(CROQUIS_DATOS!$C$1472=1,1),(CROQUIS_DATOS!$C$1564+(IF(OR(IF(INT(($A396-1)/70)+1&gt;CROQUIS_DATOS!$C$1525,70,MOD($A396-1,70)+1)=1,IF(INT(($A396-1)/70)+1&gt;CROQUIS_DATOS!$C$1525,70,MOD($A396-1,70)+1)&gt;2*CROQUIS_DATOS!$C$1541+1),CROQUIS_DATOS!$C$1476,INDEX($H$8:$H$41,MIN(INT((IF(INT(($A396-1)/70)+1&gt;CROQUIS_DATOS!$C$1525,70,MOD($A396-1,70)+1)-2)/2)+1,CROQUIS_DATOS!$C$1541))))*CROQUIS_DATOS!$C$1561*CROQUIS_DATOS!$C$1562),-1000)</f>
        <v>40.2068965517241</v>
      </c>
    </row>
    <row r="397">
      <c r="A397" t="n">
        <v>390</v>
      </c>
      <c r="N397">
        <f>IF(AND(CROQUIS_DATOS!$C$1472=1,1),(CROQUIS_DATOS!$C$1563+(IF(IF(IF(INT(($A397-1)/70)+1&gt;CROQUIS_DATOS!$C$1525,70,MOD($A397-1,70)+1)=1,0,IF(IF(INT(($A397-1)/70)+1&gt;CROQUIS_DATOS!$C$1525,70,MOD($A397-1,70)+1)&gt;2*CROQUIS_DATOS!$C$1541+1,IF(MOD(CROQUIS_DATOS!$C$1541,2)=1,1,0),IF(MOD(MIN(INT((IF(INT(($A397-1)/70)+1&gt;CROQUIS_DATOS!$C$1525,70,MOD($A397-1,70)+1)-2)/2)+1,CROQUIS_DATOS!$C$1541),2)=1,IF(MOD(IF(INT(($A397-1)/70)+1&gt;CROQUIS_DATOS!$C$1525,70,MOD($A397-1,70)+1)-2,2)=0,0,1),IF(MOD(IF(INT(($A397-1)/70)+1&gt;CROQUIS_DATOS!$C$1525,70,MOD($A397-1,70)+1)-2,2)=0,1,0))))=0,(INDEX($E$8:$E$23,MIN(INT(($A397-1)/70)+1,CROQUIS_DATOS!$C$1525))-INDEX($F$8:$F$23,MIN(INT(($A397-1)/70)+1,CROQUIS_DATOS!$C$1525))/2),(INDEX($E$8:$E$23,MIN(INT(($A397-1)/70)+1,CROQUIS_DATOS!$C$1525))+INDEX($F$8:$F$23,MIN(INT(($A397-1)/70)+1,CROQUIS_DATOS!$C$1525))/2)))*CROQUIS_DATOS!$C$1562),-1000)</f>
        <v>82.8189655172414</v>
      </c>
      <c r="O397">
        <f>IF(AND(CROQUIS_DATOS!$C$1472=1,1),(CROQUIS_DATOS!$C$1564+(IF(OR(IF(INT(($A397-1)/70)+1&gt;CROQUIS_DATOS!$C$1525,70,MOD($A397-1,70)+1)=1,IF(INT(($A397-1)/70)+1&gt;CROQUIS_DATOS!$C$1525,70,MOD($A397-1,70)+1)&gt;2*CROQUIS_DATOS!$C$1541+1),CROQUIS_DATOS!$C$1476,INDEX($H$8:$H$41,MIN(INT((IF(INT(($A397-1)/70)+1&gt;CROQUIS_DATOS!$C$1525,70,MOD($A397-1,70)+1)-2)/2)+1,CROQUIS_DATOS!$C$1541))))*CROQUIS_DATOS!$C$1561*CROQUIS_DATOS!$C$1562),-1000)</f>
        <v>40.2068965517241</v>
      </c>
    </row>
    <row r="398">
      <c r="A398" t="n">
        <v>391</v>
      </c>
      <c r="N398">
        <f>IF(AND(CROQUIS_DATOS!$C$1472=1,1),(CROQUIS_DATOS!$C$1563+(IF(IF(IF(INT(($A398-1)/70)+1&gt;CROQUIS_DATOS!$C$1525,70,MOD($A398-1,70)+1)=1,0,IF(IF(INT(($A398-1)/70)+1&gt;CROQUIS_DATOS!$C$1525,70,MOD($A398-1,70)+1)&gt;2*CROQUIS_DATOS!$C$1541+1,IF(MOD(CROQUIS_DATOS!$C$1541,2)=1,1,0),IF(MOD(MIN(INT((IF(INT(($A398-1)/70)+1&gt;CROQUIS_DATOS!$C$1525,70,MOD($A398-1,70)+1)-2)/2)+1,CROQUIS_DATOS!$C$1541),2)=1,IF(MOD(IF(INT(($A398-1)/70)+1&gt;CROQUIS_DATOS!$C$1525,70,MOD($A398-1,70)+1)-2,2)=0,0,1),IF(MOD(IF(INT(($A398-1)/70)+1&gt;CROQUIS_DATOS!$C$1525,70,MOD($A398-1,70)+1)-2,2)=0,1,0))))=0,(INDEX($E$8:$E$23,MIN(INT(($A398-1)/70)+1,CROQUIS_DATOS!$C$1525))-INDEX($F$8:$F$23,MIN(INT(($A398-1)/70)+1,CROQUIS_DATOS!$C$1525))/2),(INDEX($E$8:$E$23,MIN(INT(($A398-1)/70)+1,CROQUIS_DATOS!$C$1525))+INDEX($F$8:$F$23,MIN(INT(($A398-1)/70)+1,CROQUIS_DATOS!$C$1525))/2)))*CROQUIS_DATOS!$C$1562),-1000)</f>
        <v>82.8189655172414</v>
      </c>
      <c r="O398">
        <f>IF(AND(CROQUIS_DATOS!$C$1472=1,1),(CROQUIS_DATOS!$C$1564+(IF(OR(IF(INT(($A398-1)/70)+1&gt;CROQUIS_DATOS!$C$1525,70,MOD($A398-1,70)+1)=1,IF(INT(($A398-1)/70)+1&gt;CROQUIS_DATOS!$C$1525,70,MOD($A398-1,70)+1)&gt;2*CROQUIS_DATOS!$C$1541+1),CROQUIS_DATOS!$C$1476,INDEX($H$8:$H$41,MIN(INT((IF(INT(($A398-1)/70)+1&gt;CROQUIS_DATOS!$C$1525,70,MOD($A398-1,70)+1)-2)/2)+1,CROQUIS_DATOS!$C$1541))))*CROQUIS_DATOS!$C$1561*CROQUIS_DATOS!$C$1562),-1000)</f>
        <v>40.2068965517241</v>
      </c>
    </row>
    <row r="399">
      <c r="A399" t="n">
        <v>392</v>
      </c>
      <c r="N399">
        <f>IF(AND(CROQUIS_DATOS!$C$1472=1,1),(CROQUIS_DATOS!$C$1563+(IF(IF(IF(INT(($A399-1)/70)+1&gt;CROQUIS_DATOS!$C$1525,70,MOD($A399-1,70)+1)=1,0,IF(IF(INT(($A399-1)/70)+1&gt;CROQUIS_DATOS!$C$1525,70,MOD($A399-1,70)+1)&gt;2*CROQUIS_DATOS!$C$1541+1,IF(MOD(CROQUIS_DATOS!$C$1541,2)=1,1,0),IF(MOD(MIN(INT((IF(INT(($A399-1)/70)+1&gt;CROQUIS_DATOS!$C$1525,70,MOD($A399-1,70)+1)-2)/2)+1,CROQUIS_DATOS!$C$1541),2)=1,IF(MOD(IF(INT(($A399-1)/70)+1&gt;CROQUIS_DATOS!$C$1525,70,MOD($A399-1,70)+1)-2,2)=0,0,1),IF(MOD(IF(INT(($A399-1)/70)+1&gt;CROQUIS_DATOS!$C$1525,70,MOD($A399-1,70)+1)-2,2)=0,1,0))))=0,(INDEX($E$8:$E$23,MIN(INT(($A399-1)/70)+1,CROQUIS_DATOS!$C$1525))-INDEX($F$8:$F$23,MIN(INT(($A399-1)/70)+1,CROQUIS_DATOS!$C$1525))/2),(INDEX($E$8:$E$23,MIN(INT(($A399-1)/70)+1,CROQUIS_DATOS!$C$1525))+INDEX($F$8:$F$23,MIN(INT(($A399-1)/70)+1,CROQUIS_DATOS!$C$1525))/2)))*CROQUIS_DATOS!$C$1562),-1000)</f>
        <v>82.8189655172414</v>
      </c>
      <c r="O399">
        <f>IF(AND(CROQUIS_DATOS!$C$1472=1,1),(CROQUIS_DATOS!$C$1564+(IF(OR(IF(INT(($A399-1)/70)+1&gt;CROQUIS_DATOS!$C$1525,70,MOD($A399-1,70)+1)=1,IF(INT(($A399-1)/70)+1&gt;CROQUIS_DATOS!$C$1525,70,MOD($A399-1,70)+1)&gt;2*CROQUIS_DATOS!$C$1541+1),CROQUIS_DATOS!$C$1476,INDEX($H$8:$H$41,MIN(INT((IF(INT(($A399-1)/70)+1&gt;CROQUIS_DATOS!$C$1525,70,MOD($A399-1,70)+1)-2)/2)+1,CROQUIS_DATOS!$C$1541))))*CROQUIS_DATOS!$C$1561*CROQUIS_DATOS!$C$1562),-1000)</f>
        <v>40.2068965517241</v>
      </c>
    </row>
    <row r="400">
      <c r="A400" t="n">
        <v>393</v>
      </c>
      <c r="N400">
        <f>IF(AND(CROQUIS_DATOS!$C$1472=1,1),(CROQUIS_DATOS!$C$1563+(IF(IF(IF(INT(($A400-1)/70)+1&gt;CROQUIS_DATOS!$C$1525,70,MOD($A400-1,70)+1)=1,0,IF(IF(INT(($A400-1)/70)+1&gt;CROQUIS_DATOS!$C$1525,70,MOD($A400-1,70)+1)&gt;2*CROQUIS_DATOS!$C$1541+1,IF(MOD(CROQUIS_DATOS!$C$1541,2)=1,1,0),IF(MOD(MIN(INT((IF(INT(($A400-1)/70)+1&gt;CROQUIS_DATOS!$C$1525,70,MOD($A400-1,70)+1)-2)/2)+1,CROQUIS_DATOS!$C$1541),2)=1,IF(MOD(IF(INT(($A400-1)/70)+1&gt;CROQUIS_DATOS!$C$1525,70,MOD($A400-1,70)+1)-2,2)=0,0,1),IF(MOD(IF(INT(($A400-1)/70)+1&gt;CROQUIS_DATOS!$C$1525,70,MOD($A400-1,70)+1)-2,2)=0,1,0))))=0,(INDEX($E$8:$E$23,MIN(INT(($A400-1)/70)+1,CROQUIS_DATOS!$C$1525))-INDEX($F$8:$F$23,MIN(INT(($A400-1)/70)+1,CROQUIS_DATOS!$C$1525))/2),(INDEX($E$8:$E$23,MIN(INT(($A400-1)/70)+1,CROQUIS_DATOS!$C$1525))+INDEX($F$8:$F$23,MIN(INT(($A400-1)/70)+1,CROQUIS_DATOS!$C$1525))/2)))*CROQUIS_DATOS!$C$1562),-1000)</f>
        <v>82.8189655172414</v>
      </c>
      <c r="O400">
        <f>IF(AND(CROQUIS_DATOS!$C$1472=1,1),(CROQUIS_DATOS!$C$1564+(IF(OR(IF(INT(($A400-1)/70)+1&gt;CROQUIS_DATOS!$C$1525,70,MOD($A400-1,70)+1)=1,IF(INT(($A400-1)/70)+1&gt;CROQUIS_DATOS!$C$1525,70,MOD($A400-1,70)+1)&gt;2*CROQUIS_DATOS!$C$1541+1),CROQUIS_DATOS!$C$1476,INDEX($H$8:$H$41,MIN(INT((IF(INT(($A400-1)/70)+1&gt;CROQUIS_DATOS!$C$1525,70,MOD($A400-1,70)+1)-2)/2)+1,CROQUIS_DATOS!$C$1541))))*CROQUIS_DATOS!$C$1561*CROQUIS_DATOS!$C$1562),-1000)</f>
        <v>40.2068965517241</v>
      </c>
    </row>
    <row r="401">
      <c r="A401" t="n">
        <v>394</v>
      </c>
      <c r="N401">
        <f>IF(AND(CROQUIS_DATOS!$C$1472=1,1),(CROQUIS_DATOS!$C$1563+(IF(IF(IF(INT(($A401-1)/70)+1&gt;CROQUIS_DATOS!$C$1525,70,MOD($A401-1,70)+1)=1,0,IF(IF(INT(($A401-1)/70)+1&gt;CROQUIS_DATOS!$C$1525,70,MOD($A401-1,70)+1)&gt;2*CROQUIS_DATOS!$C$1541+1,IF(MOD(CROQUIS_DATOS!$C$1541,2)=1,1,0),IF(MOD(MIN(INT((IF(INT(($A401-1)/70)+1&gt;CROQUIS_DATOS!$C$1525,70,MOD($A401-1,70)+1)-2)/2)+1,CROQUIS_DATOS!$C$1541),2)=1,IF(MOD(IF(INT(($A401-1)/70)+1&gt;CROQUIS_DATOS!$C$1525,70,MOD($A401-1,70)+1)-2,2)=0,0,1),IF(MOD(IF(INT(($A401-1)/70)+1&gt;CROQUIS_DATOS!$C$1525,70,MOD($A401-1,70)+1)-2,2)=0,1,0))))=0,(INDEX($E$8:$E$23,MIN(INT(($A401-1)/70)+1,CROQUIS_DATOS!$C$1525))-INDEX($F$8:$F$23,MIN(INT(($A401-1)/70)+1,CROQUIS_DATOS!$C$1525))/2),(INDEX($E$8:$E$23,MIN(INT(($A401-1)/70)+1,CROQUIS_DATOS!$C$1525))+INDEX($F$8:$F$23,MIN(INT(($A401-1)/70)+1,CROQUIS_DATOS!$C$1525))/2)))*CROQUIS_DATOS!$C$1562),-1000)</f>
        <v>82.8189655172414</v>
      </c>
      <c r="O401">
        <f>IF(AND(CROQUIS_DATOS!$C$1472=1,1),(CROQUIS_DATOS!$C$1564+(IF(OR(IF(INT(($A401-1)/70)+1&gt;CROQUIS_DATOS!$C$1525,70,MOD($A401-1,70)+1)=1,IF(INT(($A401-1)/70)+1&gt;CROQUIS_DATOS!$C$1525,70,MOD($A401-1,70)+1)&gt;2*CROQUIS_DATOS!$C$1541+1),CROQUIS_DATOS!$C$1476,INDEX($H$8:$H$41,MIN(INT((IF(INT(($A401-1)/70)+1&gt;CROQUIS_DATOS!$C$1525,70,MOD($A401-1,70)+1)-2)/2)+1,CROQUIS_DATOS!$C$1541))))*CROQUIS_DATOS!$C$1561*CROQUIS_DATOS!$C$1562),-1000)</f>
        <v>40.2068965517241</v>
      </c>
    </row>
    <row r="402">
      <c r="A402" t="n">
        <v>395</v>
      </c>
      <c r="N402">
        <f>IF(AND(CROQUIS_DATOS!$C$1472=1,1),(CROQUIS_DATOS!$C$1563+(IF(IF(IF(INT(($A402-1)/70)+1&gt;CROQUIS_DATOS!$C$1525,70,MOD($A402-1,70)+1)=1,0,IF(IF(INT(($A402-1)/70)+1&gt;CROQUIS_DATOS!$C$1525,70,MOD($A402-1,70)+1)&gt;2*CROQUIS_DATOS!$C$1541+1,IF(MOD(CROQUIS_DATOS!$C$1541,2)=1,1,0),IF(MOD(MIN(INT((IF(INT(($A402-1)/70)+1&gt;CROQUIS_DATOS!$C$1525,70,MOD($A402-1,70)+1)-2)/2)+1,CROQUIS_DATOS!$C$1541),2)=1,IF(MOD(IF(INT(($A402-1)/70)+1&gt;CROQUIS_DATOS!$C$1525,70,MOD($A402-1,70)+1)-2,2)=0,0,1),IF(MOD(IF(INT(($A402-1)/70)+1&gt;CROQUIS_DATOS!$C$1525,70,MOD($A402-1,70)+1)-2,2)=0,1,0))))=0,(INDEX($E$8:$E$23,MIN(INT(($A402-1)/70)+1,CROQUIS_DATOS!$C$1525))-INDEX($F$8:$F$23,MIN(INT(($A402-1)/70)+1,CROQUIS_DATOS!$C$1525))/2),(INDEX($E$8:$E$23,MIN(INT(($A402-1)/70)+1,CROQUIS_DATOS!$C$1525))+INDEX($F$8:$F$23,MIN(INT(($A402-1)/70)+1,CROQUIS_DATOS!$C$1525))/2)))*CROQUIS_DATOS!$C$1562),-1000)</f>
        <v>82.8189655172414</v>
      </c>
      <c r="O402">
        <f>IF(AND(CROQUIS_DATOS!$C$1472=1,1),(CROQUIS_DATOS!$C$1564+(IF(OR(IF(INT(($A402-1)/70)+1&gt;CROQUIS_DATOS!$C$1525,70,MOD($A402-1,70)+1)=1,IF(INT(($A402-1)/70)+1&gt;CROQUIS_DATOS!$C$1525,70,MOD($A402-1,70)+1)&gt;2*CROQUIS_DATOS!$C$1541+1),CROQUIS_DATOS!$C$1476,INDEX($H$8:$H$41,MIN(INT((IF(INT(($A402-1)/70)+1&gt;CROQUIS_DATOS!$C$1525,70,MOD($A402-1,70)+1)-2)/2)+1,CROQUIS_DATOS!$C$1541))))*CROQUIS_DATOS!$C$1561*CROQUIS_DATOS!$C$1562),-1000)</f>
        <v>40.2068965517241</v>
      </c>
    </row>
    <row r="403">
      <c r="A403" t="n">
        <v>396</v>
      </c>
      <c r="N403">
        <f>IF(AND(CROQUIS_DATOS!$C$1472=1,1),(CROQUIS_DATOS!$C$1563+(IF(IF(IF(INT(($A403-1)/70)+1&gt;CROQUIS_DATOS!$C$1525,70,MOD($A403-1,70)+1)=1,0,IF(IF(INT(($A403-1)/70)+1&gt;CROQUIS_DATOS!$C$1525,70,MOD($A403-1,70)+1)&gt;2*CROQUIS_DATOS!$C$1541+1,IF(MOD(CROQUIS_DATOS!$C$1541,2)=1,1,0),IF(MOD(MIN(INT((IF(INT(($A403-1)/70)+1&gt;CROQUIS_DATOS!$C$1525,70,MOD($A403-1,70)+1)-2)/2)+1,CROQUIS_DATOS!$C$1541),2)=1,IF(MOD(IF(INT(($A403-1)/70)+1&gt;CROQUIS_DATOS!$C$1525,70,MOD($A403-1,70)+1)-2,2)=0,0,1),IF(MOD(IF(INT(($A403-1)/70)+1&gt;CROQUIS_DATOS!$C$1525,70,MOD($A403-1,70)+1)-2,2)=0,1,0))))=0,(INDEX($E$8:$E$23,MIN(INT(($A403-1)/70)+1,CROQUIS_DATOS!$C$1525))-INDEX($F$8:$F$23,MIN(INT(($A403-1)/70)+1,CROQUIS_DATOS!$C$1525))/2),(INDEX($E$8:$E$23,MIN(INT(($A403-1)/70)+1,CROQUIS_DATOS!$C$1525))+INDEX($F$8:$F$23,MIN(INT(($A403-1)/70)+1,CROQUIS_DATOS!$C$1525))/2)))*CROQUIS_DATOS!$C$1562),-1000)</f>
        <v>82.8189655172414</v>
      </c>
      <c r="O403">
        <f>IF(AND(CROQUIS_DATOS!$C$1472=1,1),(CROQUIS_DATOS!$C$1564+(IF(OR(IF(INT(($A403-1)/70)+1&gt;CROQUIS_DATOS!$C$1525,70,MOD($A403-1,70)+1)=1,IF(INT(($A403-1)/70)+1&gt;CROQUIS_DATOS!$C$1525,70,MOD($A403-1,70)+1)&gt;2*CROQUIS_DATOS!$C$1541+1),CROQUIS_DATOS!$C$1476,INDEX($H$8:$H$41,MIN(INT((IF(INT(($A403-1)/70)+1&gt;CROQUIS_DATOS!$C$1525,70,MOD($A403-1,70)+1)-2)/2)+1,CROQUIS_DATOS!$C$1541))))*CROQUIS_DATOS!$C$1561*CROQUIS_DATOS!$C$1562),-1000)</f>
        <v>40.2068965517241</v>
      </c>
    </row>
    <row r="404">
      <c r="A404" t="n">
        <v>397</v>
      </c>
      <c r="N404">
        <f>IF(AND(CROQUIS_DATOS!$C$1472=1,1),(CROQUIS_DATOS!$C$1563+(IF(IF(IF(INT(($A404-1)/70)+1&gt;CROQUIS_DATOS!$C$1525,70,MOD($A404-1,70)+1)=1,0,IF(IF(INT(($A404-1)/70)+1&gt;CROQUIS_DATOS!$C$1525,70,MOD($A404-1,70)+1)&gt;2*CROQUIS_DATOS!$C$1541+1,IF(MOD(CROQUIS_DATOS!$C$1541,2)=1,1,0),IF(MOD(MIN(INT((IF(INT(($A404-1)/70)+1&gt;CROQUIS_DATOS!$C$1525,70,MOD($A404-1,70)+1)-2)/2)+1,CROQUIS_DATOS!$C$1541),2)=1,IF(MOD(IF(INT(($A404-1)/70)+1&gt;CROQUIS_DATOS!$C$1525,70,MOD($A404-1,70)+1)-2,2)=0,0,1),IF(MOD(IF(INT(($A404-1)/70)+1&gt;CROQUIS_DATOS!$C$1525,70,MOD($A404-1,70)+1)-2,2)=0,1,0))))=0,(INDEX($E$8:$E$23,MIN(INT(($A404-1)/70)+1,CROQUIS_DATOS!$C$1525))-INDEX($F$8:$F$23,MIN(INT(($A404-1)/70)+1,CROQUIS_DATOS!$C$1525))/2),(INDEX($E$8:$E$23,MIN(INT(($A404-1)/70)+1,CROQUIS_DATOS!$C$1525))+INDEX($F$8:$F$23,MIN(INT(($A404-1)/70)+1,CROQUIS_DATOS!$C$1525))/2)))*CROQUIS_DATOS!$C$1562),-1000)</f>
        <v>82.8189655172414</v>
      </c>
      <c r="O404">
        <f>IF(AND(CROQUIS_DATOS!$C$1472=1,1),(CROQUIS_DATOS!$C$1564+(IF(OR(IF(INT(($A404-1)/70)+1&gt;CROQUIS_DATOS!$C$1525,70,MOD($A404-1,70)+1)=1,IF(INT(($A404-1)/70)+1&gt;CROQUIS_DATOS!$C$1525,70,MOD($A404-1,70)+1)&gt;2*CROQUIS_DATOS!$C$1541+1),CROQUIS_DATOS!$C$1476,INDEX($H$8:$H$41,MIN(INT((IF(INT(($A404-1)/70)+1&gt;CROQUIS_DATOS!$C$1525,70,MOD($A404-1,70)+1)-2)/2)+1,CROQUIS_DATOS!$C$1541))))*CROQUIS_DATOS!$C$1561*CROQUIS_DATOS!$C$1562),-1000)</f>
        <v>40.2068965517241</v>
      </c>
    </row>
    <row r="405">
      <c r="A405" t="n">
        <v>398</v>
      </c>
      <c r="N405">
        <f>IF(AND(CROQUIS_DATOS!$C$1472=1,1),(CROQUIS_DATOS!$C$1563+(IF(IF(IF(INT(($A405-1)/70)+1&gt;CROQUIS_DATOS!$C$1525,70,MOD($A405-1,70)+1)=1,0,IF(IF(INT(($A405-1)/70)+1&gt;CROQUIS_DATOS!$C$1525,70,MOD($A405-1,70)+1)&gt;2*CROQUIS_DATOS!$C$1541+1,IF(MOD(CROQUIS_DATOS!$C$1541,2)=1,1,0),IF(MOD(MIN(INT((IF(INT(($A405-1)/70)+1&gt;CROQUIS_DATOS!$C$1525,70,MOD($A405-1,70)+1)-2)/2)+1,CROQUIS_DATOS!$C$1541),2)=1,IF(MOD(IF(INT(($A405-1)/70)+1&gt;CROQUIS_DATOS!$C$1525,70,MOD($A405-1,70)+1)-2,2)=0,0,1),IF(MOD(IF(INT(($A405-1)/70)+1&gt;CROQUIS_DATOS!$C$1525,70,MOD($A405-1,70)+1)-2,2)=0,1,0))))=0,(INDEX($E$8:$E$23,MIN(INT(($A405-1)/70)+1,CROQUIS_DATOS!$C$1525))-INDEX($F$8:$F$23,MIN(INT(($A405-1)/70)+1,CROQUIS_DATOS!$C$1525))/2),(INDEX($E$8:$E$23,MIN(INT(($A405-1)/70)+1,CROQUIS_DATOS!$C$1525))+INDEX($F$8:$F$23,MIN(INT(($A405-1)/70)+1,CROQUIS_DATOS!$C$1525))/2)))*CROQUIS_DATOS!$C$1562),-1000)</f>
        <v>82.8189655172414</v>
      </c>
      <c r="O405">
        <f>IF(AND(CROQUIS_DATOS!$C$1472=1,1),(CROQUIS_DATOS!$C$1564+(IF(OR(IF(INT(($A405-1)/70)+1&gt;CROQUIS_DATOS!$C$1525,70,MOD($A405-1,70)+1)=1,IF(INT(($A405-1)/70)+1&gt;CROQUIS_DATOS!$C$1525,70,MOD($A405-1,70)+1)&gt;2*CROQUIS_DATOS!$C$1541+1),CROQUIS_DATOS!$C$1476,INDEX($H$8:$H$41,MIN(INT((IF(INT(($A405-1)/70)+1&gt;CROQUIS_DATOS!$C$1525,70,MOD($A405-1,70)+1)-2)/2)+1,CROQUIS_DATOS!$C$1541))))*CROQUIS_DATOS!$C$1561*CROQUIS_DATOS!$C$1562),-1000)</f>
        <v>40.2068965517241</v>
      </c>
    </row>
    <row r="406">
      <c r="A406" t="n">
        <v>399</v>
      </c>
      <c r="N406">
        <f>IF(AND(CROQUIS_DATOS!$C$1472=1,1),(CROQUIS_DATOS!$C$1563+(IF(IF(IF(INT(($A406-1)/70)+1&gt;CROQUIS_DATOS!$C$1525,70,MOD($A406-1,70)+1)=1,0,IF(IF(INT(($A406-1)/70)+1&gt;CROQUIS_DATOS!$C$1525,70,MOD($A406-1,70)+1)&gt;2*CROQUIS_DATOS!$C$1541+1,IF(MOD(CROQUIS_DATOS!$C$1541,2)=1,1,0),IF(MOD(MIN(INT((IF(INT(($A406-1)/70)+1&gt;CROQUIS_DATOS!$C$1525,70,MOD($A406-1,70)+1)-2)/2)+1,CROQUIS_DATOS!$C$1541),2)=1,IF(MOD(IF(INT(($A406-1)/70)+1&gt;CROQUIS_DATOS!$C$1525,70,MOD($A406-1,70)+1)-2,2)=0,0,1),IF(MOD(IF(INT(($A406-1)/70)+1&gt;CROQUIS_DATOS!$C$1525,70,MOD($A406-1,70)+1)-2,2)=0,1,0))))=0,(INDEX($E$8:$E$23,MIN(INT(($A406-1)/70)+1,CROQUIS_DATOS!$C$1525))-INDEX($F$8:$F$23,MIN(INT(($A406-1)/70)+1,CROQUIS_DATOS!$C$1525))/2),(INDEX($E$8:$E$23,MIN(INT(($A406-1)/70)+1,CROQUIS_DATOS!$C$1525))+INDEX($F$8:$F$23,MIN(INT(($A406-1)/70)+1,CROQUIS_DATOS!$C$1525))/2)))*CROQUIS_DATOS!$C$1562),-1000)</f>
        <v>82.8189655172414</v>
      </c>
      <c r="O406">
        <f>IF(AND(CROQUIS_DATOS!$C$1472=1,1),(CROQUIS_DATOS!$C$1564+(IF(OR(IF(INT(($A406-1)/70)+1&gt;CROQUIS_DATOS!$C$1525,70,MOD($A406-1,70)+1)=1,IF(INT(($A406-1)/70)+1&gt;CROQUIS_DATOS!$C$1525,70,MOD($A406-1,70)+1)&gt;2*CROQUIS_DATOS!$C$1541+1),CROQUIS_DATOS!$C$1476,INDEX($H$8:$H$41,MIN(INT((IF(INT(($A406-1)/70)+1&gt;CROQUIS_DATOS!$C$1525,70,MOD($A406-1,70)+1)-2)/2)+1,CROQUIS_DATOS!$C$1541))))*CROQUIS_DATOS!$C$1561*CROQUIS_DATOS!$C$1562),-1000)</f>
        <v>40.2068965517241</v>
      </c>
    </row>
    <row r="407">
      <c r="A407" t="n">
        <v>400</v>
      </c>
      <c r="N407">
        <f>IF(AND(CROQUIS_DATOS!$C$1472=1,1),(CROQUIS_DATOS!$C$1563+(IF(IF(IF(INT(($A407-1)/70)+1&gt;CROQUIS_DATOS!$C$1525,70,MOD($A407-1,70)+1)=1,0,IF(IF(INT(($A407-1)/70)+1&gt;CROQUIS_DATOS!$C$1525,70,MOD($A407-1,70)+1)&gt;2*CROQUIS_DATOS!$C$1541+1,IF(MOD(CROQUIS_DATOS!$C$1541,2)=1,1,0),IF(MOD(MIN(INT((IF(INT(($A407-1)/70)+1&gt;CROQUIS_DATOS!$C$1525,70,MOD($A407-1,70)+1)-2)/2)+1,CROQUIS_DATOS!$C$1541),2)=1,IF(MOD(IF(INT(($A407-1)/70)+1&gt;CROQUIS_DATOS!$C$1525,70,MOD($A407-1,70)+1)-2,2)=0,0,1),IF(MOD(IF(INT(($A407-1)/70)+1&gt;CROQUIS_DATOS!$C$1525,70,MOD($A407-1,70)+1)-2,2)=0,1,0))))=0,(INDEX($E$8:$E$23,MIN(INT(($A407-1)/70)+1,CROQUIS_DATOS!$C$1525))-INDEX($F$8:$F$23,MIN(INT(($A407-1)/70)+1,CROQUIS_DATOS!$C$1525))/2),(INDEX($E$8:$E$23,MIN(INT(($A407-1)/70)+1,CROQUIS_DATOS!$C$1525))+INDEX($F$8:$F$23,MIN(INT(($A407-1)/70)+1,CROQUIS_DATOS!$C$1525))/2)))*CROQUIS_DATOS!$C$1562),-1000)</f>
        <v>82.8189655172414</v>
      </c>
      <c r="O407">
        <f>IF(AND(CROQUIS_DATOS!$C$1472=1,1),(CROQUIS_DATOS!$C$1564+(IF(OR(IF(INT(($A407-1)/70)+1&gt;CROQUIS_DATOS!$C$1525,70,MOD($A407-1,70)+1)=1,IF(INT(($A407-1)/70)+1&gt;CROQUIS_DATOS!$C$1525,70,MOD($A407-1,70)+1)&gt;2*CROQUIS_DATOS!$C$1541+1),CROQUIS_DATOS!$C$1476,INDEX($H$8:$H$41,MIN(INT((IF(INT(($A407-1)/70)+1&gt;CROQUIS_DATOS!$C$1525,70,MOD($A407-1,70)+1)-2)/2)+1,CROQUIS_DATOS!$C$1541))))*CROQUIS_DATOS!$C$1561*CROQUIS_DATOS!$C$1562),-1000)</f>
        <v>40.2068965517241</v>
      </c>
    </row>
    <row r="408">
      <c r="A408" t="n">
        <v>401</v>
      </c>
      <c r="N408">
        <f>IF(AND(CROQUIS_DATOS!$C$1472=1,1),(CROQUIS_DATOS!$C$1563+(IF(IF(IF(INT(($A408-1)/70)+1&gt;CROQUIS_DATOS!$C$1525,70,MOD($A408-1,70)+1)=1,0,IF(IF(INT(($A408-1)/70)+1&gt;CROQUIS_DATOS!$C$1525,70,MOD($A408-1,70)+1)&gt;2*CROQUIS_DATOS!$C$1541+1,IF(MOD(CROQUIS_DATOS!$C$1541,2)=1,1,0),IF(MOD(MIN(INT((IF(INT(($A408-1)/70)+1&gt;CROQUIS_DATOS!$C$1525,70,MOD($A408-1,70)+1)-2)/2)+1,CROQUIS_DATOS!$C$1541),2)=1,IF(MOD(IF(INT(($A408-1)/70)+1&gt;CROQUIS_DATOS!$C$1525,70,MOD($A408-1,70)+1)-2,2)=0,0,1),IF(MOD(IF(INT(($A408-1)/70)+1&gt;CROQUIS_DATOS!$C$1525,70,MOD($A408-1,70)+1)-2,2)=0,1,0))))=0,(INDEX($E$8:$E$23,MIN(INT(($A408-1)/70)+1,CROQUIS_DATOS!$C$1525))-INDEX($F$8:$F$23,MIN(INT(($A408-1)/70)+1,CROQUIS_DATOS!$C$1525))/2),(INDEX($E$8:$E$23,MIN(INT(($A408-1)/70)+1,CROQUIS_DATOS!$C$1525))+INDEX($F$8:$F$23,MIN(INT(($A408-1)/70)+1,CROQUIS_DATOS!$C$1525))/2)))*CROQUIS_DATOS!$C$1562),-1000)</f>
        <v>82.8189655172414</v>
      </c>
      <c r="O408">
        <f>IF(AND(CROQUIS_DATOS!$C$1472=1,1),(CROQUIS_DATOS!$C$1564+(IF(OR(IF(INT(($A408-1)/70)+1&gt;CROQUIS_DATOS!$C$1525,70,MOD($A408-1,70)+1)=1,IF(INT(($A408-1)/70)+1&gt;CROQUIS_DATOS!$C$1525,70,MOD($A408-1,70)+1)&gt;2*CROQUIS_DATOS!$C$1541+1),CROQUIS_DATOS!$C$1476,INDEX($H$8:$H$41,MIN(INT((IF(INT(($A408-1)/70)+1&gt;CROQUIS_DATOS!$C$1525,70,MOD($A408-1,70)+1)-2)/2)+1,CROQUIS_DATOS!$C$1541))))*CROQUIS_DATOS!$C$1561*CROQUIS_DATOS!$C$1562),-1000)</f>
        <v>40.2068965517241</v>
      </c>
    </row>
    <row r="409">
      <c r="A409" t="n">
        <v>402</v>
      </c>
      <c r="N409">
        <f>IF(AND(CROQUIS_DATOS!$C$1472=1,1),(CROQUIS_DATOS!$C$1563+(IF(IF(IF(INT(($A409-1)/70)+1&gt;CROQUIS_DATOS!$C$1525,70,MOD($A409-1,70)+1)=1,0,IF(IF(INT(($A409-1)/70)+1&gt;CROQUIS_DATOS!$C$1525,70,MOD($A409-1,70)+1)&gt;2*CROQUIS_DATOS!$C$1541+1,IF(MOD(CROQUIS_DATOS!$C$1541,2)=1,1,0),IF(MOD(MIN(INT((IF(INT(($A409-1)/70)+1&gt;CROQUIS_DATOS!$C$1525,70,MOD($A409-1,70)+1)-2)/2)+1,CROQUIS_DATOS!$C$1541),2)=1,IF(MOD(IF(INT(($A409-1)/70)+1&gt;CROQUIS_DATOS!$C$1525,70,MOD($A409-1,70)+1)-2,2)=0,0,1),IF(MOD(IF(INT(($A409-1)/70)+1&gt;CROQUIS_DATOS!$C$1525,70,MOD($A409-1,70)+1)-2,2)=0,1,0))))=0,(INDEX($E$8:$E$23,MIN(INT(($A409-1)/70)+1,CROQUIS_DATOS!$C$1525))-INDEX($F$8:$F$23,MIN(INT(($A409-1)/70)+1,CROQUIS_DATOS!$C$1525))/2),(INDEX($E$8:$E$23,MIN(INT(($A409-1)/70)+1,CROQUIS_DATOS!$C$1525))+INDEX($F$8:$F$23,MIN(INT(($A409-1)/70)+1,CROQUIS_DATOS!$C$1525))/2)))*CROQUIS_DATOS!$C$1562),-1000)</f>
        <v>82.8189655172414</v>
      </c>
      <c r="O409">
        <f>IF(AND(CROQUIS_DATOS!$C$1472=1,1),(CROQUIS_DATOS!$C$1564+(IF(OR(IF(INT(($A409-1)/70)+1&gt;CROQUIS_DATOS!$C$1525,70,MOD($A409-1,70)+1)=1,IF(INT(($A409-1)/70)+1&gt;CROQUIS_DATOS!$C$1525,70,MOD($A409-1,70)+1)&gt;2*CROQUIS_DATOS!$C$1541+1),CROQUIS_DATOS!$C$1476,INDEX($H$8:$H$41,MIN(INT((IF(INT(($A409-1)/70)+1&gt;CROQUIS_DATOS!$C$1525,70,MOD($A409-1,70)+1)-2)/2)+1,CROQUIS_DATOS!$C$1541))))*CROQUIS_DATOS!$C$1561*CROQUIS_DATOS!$C$1562),-1000)</f>
        <v>40.2068965517241</v>
      </c>
    </row>
    <row r="410">
      <c r="A410" t="n">
        <v>403</v>
      </c>
      <c r="N410">
        <f>IF(AND(CROQUIS_DATOS!$C$1472=1,1),(CROQUIS_DATOS!$C$1563+(IF(IF(IF(INT(($A410-1)/70)+1&gt;CROQUIS_DATOS!$C$1525,70,MOD($A410-1,70)+1)=1,0,IF(IF(INT(($A410-1)/70)+1&gt;CROQUIS_DATOS!$C$1525,70,MOD($A410-1,70)+1)&gt;2*CROQUIS_DATOS!$C$1541+1,IF(MOD(CROQUIS_DATOS!$C$1541,2)=1,1,0),IF(MOD(MIN(INT((IF(INT(($A410-1)/70)+1&gt;CROQUIS_DATOS!$C$1525,70,MOD($A410-1,70)+1)-2)/2)+1,CROQUIS_DATOS!$C$1541),2)=1,IF(MOD(IF(INT(($A410-1)/70)+1&gt;CROQUIS_DATOS!$C$1525,70,MOD($A410-1,70)+1)-2,2)=0,0,1),IF(MOD(IF(INT(($A410-1)/70)+1&gt;CROQUIS_DATOS!$C$1525,70,MOD($A410-1,70)+1)-2,2)=0,1,0))))=0,(INDEX($E$8:$E$23,MIN(INT(($A410-1)/70)+1,CROQUIS_DATOS!$C$1525))-INDEX($F$8:$F$23,MIN(INT(($A410-1)/70)+1,CROQUIS_DATOS!$C$1525))/2),(INDEX($E$8:$E$23,MIN(INT(($A410-1)/70)+1,CROQUIS_DATOS!$C$1525))+INDEX($F$8:$F$23,MIN(INT(($A410-1)/70)+1,CROQUIS_DATOS!$C$1525))/2)))*CROQUIS_DATOS!$C$1562),-1000)</f>
        <v>82.8189655172414</v>
      </c>
      <c r="O410">
        <f>IF(AND(CROQUIS_DATOS!$C$1472=1,1),(CROQUIS_DATOS!$C$1564+(IF(OR(IF(INT(($A410-1)/70)+1&gt;CROQUIS_DATOS!$C$1525,70,MOD($A410-1,70)+1)=1,IF(INT(($A410-1)/70)+1&gt;CROQUIS_DATOS!$C$1525,70,MOD($A410-1,70)+1)&gt;2*CROQUIS_DATOS!$C$1541+1),CROQUIS_DATOS!$C$1476,INDEX($H$8:$H$41,MIN(INT((IF(INT(($A410-1)/70)+1&gt;CROQUIS_DATOS!$C$1525,70,MOD($A410-1,70)+1)-2)/2)+1,CROQUIS_DATOS!$C$1541))))*CROQUIS_DATOS!$C$1561*CROQUIS_DATOS!$C$1562),-1000)</f>
        <v>40.2068965517241</v>
      </c>
    </row>
    <row r="411">
      <c r="A411" t="n">
        <v>404</v>
      </c>
      <c r="N411">
        <f>IF(AND(CROQUIS_DATOS!$C$1472=1,1),(CROQUIS_DATOS!$C$1563+(IF(IF(IF(INT(($A411-1)/70)+1&gt;CROQUIS_DATOS!$C$1525,70,MOD($A411-1,70)+1)=1,0,IF(IF(INT(($A411-1)/70)+1&gt;CROQUIS_DATOS!$C$1525,70,MOD($A411-1,70)+1)&gt;2*CROQUIS_DATOS!$C$1541+1,IF(MOD(CROQUIS_DATOS!$C$1541,2)=1,1,0),IF(MOD(MIN(INT((IF(INT(($A411-1)/70)+1&gt;CROQUIS_DATOS!$C$1525,70,MOD($A411-1,70)+1)-2)/2)+1,CROQUIS_DATOS!$C$1541),2)=1,IF(MOD(IF(INT(($A411-1)/70)+1&gt;CROQUIS_DATOS!$C$1525,70,MOD($A411-1,70)+1)-2,2)=0,0,1),IF(MOD(IF(INT(($A411-1)/70)+1&gt;CROQUIS_DATOS!$C$1525,70,MOD($A411-1,70)+1)-2,2)=0,1,0))))=0,(INDEX($E$8:$E$23,MIN(INT(($A411-1)/70)+1,CROQUIS_DATOS!$C$1525))-INDEX($F$8:$F$23,MIN(INT(($A411-1)/70)+1,CROQUIS_DATOS!$C$1525))/2),(INDEX($E$8:$E$23,MIN(INT(($A411-1)/70)+1,CROQUIS_DATOS!$C$1525))+INDEX($F$8:$F$23,MIN(INT(($A411-1)/70)+1,CROQUIS_DATOS!$C$1525))/2)))*CROQUIS_DATOS!$C$1562),-1000)</f>
        <v>82.8189655172414</v>
      </c>
      <c r="O411">
        <f>IF(AND(CROQUIS_DATOS!$C$1472=1,1),(CROQUIS_DATOS!$C$1564+(IF(OR(IF(INT(($A411-1)/70)+1&gt;CROQUIS_DATOS!$C$1525,70,MOD($A411-1,70)+1)=1,IF(INT(($A411-1)/70)+1&gt;CROQUIS_DATOS!$C$1525,70,MOD($A411-1,70)+1)&gt;2*CROQUIS_DATOS!$C$1541+1),CROQUIS_DATOS!$C$1476,INDEX($H$8:$H$41,MIN(INT((IF(INT(($A411-1)/70)+1&gt;CROQUIS_DATOS!$C$1525,70,MOD($A411-1,70)+1)-2)/2)+1,CROQUIS_DATOS!$C$1541))))*CROQUIS_DATOS!$C$1561*CROQUIS_DATOS!$C$1562),-1000)</f>
        <v>40.2068965517241</v>
      </c>
    </row>
    <row r="412">
      <c r="A412" t="n">
        <v>405</v>
      </c>
      <c r="N412">
        <f>IF(AND(CROQUIS_DATOS!$C$1472=1,1),(CROQUIS_DATOS!$C$1563+(IF(IF(IF(INT(($A412-1)/70)+1&gt;CROQUIS_DATOS!$C$1525,70,MOD($A412-1,70)+1)=1,0,IF(IF(INT(($A412-1)/70)+1&gt;CROQUIS_DATOS!$C$1525,70,MOD($A412-1,70)+1)&gt;2*CROQUIS_DATOS!$C$1541+1,IF(MOD(CROQUIS_DATOS!$C$1541,2)=1,1,0),IF(MOD(MIN(INT((IF(INT(($A412-1)/70)+1&gt;CROQUIS_DATOS!$C$1525,70,MOD($A412-1,70)+1)-2)/2)+1,CROQUIS_DATOS!$C$1541),2)=1,IF(MOD(IF(INT(($A412-1)/70)+1&gt;CROQUIS_DATOS!$C$1525,70,MOD($A412-1,70)+1)-2,2)=0,0,1),IF(MOD(IF(INT(($A412-1)/70)+1&gt;CROQUIS_DATOS!$C$1525,70,MOD($A412-1,70)+1)-2,2)=0,1,0))))=0,(INDEX($E$8:$E$23,MIN(INT(($A412-1)/70)+1,CROQUIS_DATOS!$C$1525))-INDEX($F$8:$F$23,MIN(INT(($A412-1)/70)+1,CROQUIS_DATOS!$C$1525))/2),(INDEX($E$8:$E$23,MIN(INT(($A412-1)/70)+1,CROQUIS_DATOS!$C$1525))+INDEX($F$8:$F$23,MIN(INT(($A412-1)/70)+1,CROQUIS_DATOS!$C$1525))/2)))*CROQUIS_DATOS!$C$1562),-1000)</f>
        <v>82.8189655172414</v>
      </c>
      <c r="O412">
        <f>IF(AND(CROQUIS_DATOS!$C$1472=1,1),(CROQUIS_DATOS!$C$1564+(IF(OR(IF(INT(($A412-1)/70)+1&gt;CROQUIS_DATOS!$C$1525,70,MOD($A412-1,70)+1)=1,IF(INT(($A412-1)/70)+1&gt;CROQUIS_DATOS!$C$1525,70,MOD($A412-1,70)+1)&gt;2*CROQUIS_DATOS!$C$1541+1),CROQUIS_DATOS!$C$1476,INDEX($H$8:$H$41,MIN(INT((IF(INT(($A412-1)/70)+1&gt;CROQUIS_DATOS!$C$1525,70,MOD($A412-1,70)+1)-2)/2)+1,CROQUIS_DATOS!$C$1541))))*CROQUIS_DATOS!$C$1561*CROQUIS_DATOS!$C$1562),-1000)</f>
        <v>40.2068965517241</v>
      </c>
    </row>
    <row r="413">
      <c r="A413" t="n">
        <v>406</v>
      </c>
      <c r="N413">
        <f>IF(AND(CROQUIS_DATOS!$C$1472=1,1),(CROQUIS_DATOS!$C$1563+(IF(IF(IF(INT(($A413-1)/70)+1&gt;CROQUIS_DATOS!$C$1525,70,MOD($A413-1,70)+1)=1,0,IF(IF(INT(($A413-1)/70)+1&gt;CROQUIS_DATOS!$C$1525,70,MOD($A413-1,70)+1)&gt;2*CROQUIS_DATOS!$C$1541+1,IF(MOD(CROQUIS_DATOS!$C$1541,2)=1,1,0),IF(MOD(MIN(INT((IF(INT(($A413-1)/70)+1&gt;CROQUIS_DATOS!$C$1525,70,MOD($A413-1,70)+1)-2)/2)+1,CROQUIS_DATOS!$C$1541),2)=1,IF(MOD(IF(INT(($A413-1)/70)+1&gt;CROQUIS_DATOS!$C$1525,70,MOD($A413-1,70)+1)-2,2)=0,0,1),IF(MOD(IF(INT(($A413-1)/70)+1&gt;CROQUIS_DATOS!$C$1525,70,MOD($A413-1,70)+1)-2,2)=0,1,0))))=0,(INDEX($E$8:$E$23,MIN(INT(($A413-1)/70)+1,CROQUIS_DATOS!$C$1525))-INDEX($F$8:$F$23,MIN(INT(($A413-1)/70)+1,CROQUIS_DATOS!$C$1525))/2),(INDEX($E$8:$E$23,MIN(INT(($A413-1)/70)+1,CROQUIS_DATOS!$C$1525))+INDEX($F$8:$F$23,MIN(INT(($A413-1)/70)+1,CROQUIS_DATOS!$C$1525))/2)))*CROQUIS_DATOS!$C$1562),-1000)</f>
        <v>82.8189655172414</v>
      </c>
      <c r="O413">
        <f>IF(AND(CROQUIS_DATOS!$C$1472=1,1),(CROQUIS_DATOS!$C$1564+(IF(OR(IF(INT(($A413-1)/70)+1&gt;CROQUIS_DATOS!$C$1525,70,MOD($A413-1,70)+1)=1,IF(INT(($A413-1)/70)+1&gt;CROQUIS_DATOS!$C$1525,70,MOD($A413-1,70)+1)&gt;2*CROQUIS_DATOS!$C$1541+1),CROQUIS_DATOS!$C$1476,INDEX($H$8:$H$41,MIN(INT((IF(INT(($A413-1)/70)+1&gt;CROQUIS_DATOS!$C$1525,70,MOD($A413-1,70)+1)-2)/2)+1,CROQUIS_DATOS!$C$1541))))*CROQUIS_DATOS!$C$1561*CROQUIS_DATOS!$C$1562),-1000)</f>
        <v>40.2068965517241</v>
      </c>
    </row>
    <row r="414">
      <c r="A414" t="n">
        <v>407</v>
      </c>
      <c r="N414">
        <f>IF(AND(CROQUIS_DATOS!$C$1472=1,1),(CROQUIS_DATOS!$C$1563+(IF(IF(IF(INT(($A414-1)/70)+1&gt;CROQUIS_DATOS!$C$1525,70,MOD($A414-1,70)+1)=1,0,IF(IF(INT(($A414-1)/70)+1&gt;CROQUIS_DATOS!$C$1525,70,MOD($A414-1,70)+1)&gt;2*CROQUIS_DATOS!$C$1541+1,IF(MOD(CROQUIS_DATOS!$C$1541,2)=1,1,0),IF(MOD(MIN(INT((IF(INT(($A414-1)/70)+1&gt;CROQUIS_DATOS!$C$1525,70,MOD($A414-1,70)+1)-2)/2)+1,CROQUIS_DATOS!$C$1541),2)=1,IF(MOD(IF(INT(($A414-1)/70)+1&gt;CROQUIS_DATOS!$C$1525,70,MOD($A414-1,70)+1)-2,2)=0,0,1),IF(MOD(IF(INT(($A414-1)/70)+1&gt;CROQUIS_DATOS!$C$1525,70,MOD($A414-1,70)+1)-2,2)=0,1,0))))=0,(INDEX($E$8:$E$23,MIN(INT(($A414-1)/70)+1,CROQUIS_DATOS!$C$1525))-INDEX($F$8:$F$23,MIN(INT(($A414-1)/70)+1,CROQUIS_DATOS!$C$1525))/2),(INDEX($E$8:$E$23,MIN(INT(($A414-1)/70)+1,CROQUIS_DATOS!$C$1525))+INDEX($F$8:$F$23,MIN(INT(($A414-1)/70)+1,CROQUIS_DATOS!$C$1525))/2)))*CROQUIS_DATOS!$C$1562),-1000)</f>
        <v>82.8189655172414</v>
      </c>
      <c r="O414">
        <f>IF(AND(CROQUIS_DATOS!$C$1472=1,1),(CROQUIS_DATOS!$C$1564+(IF(OR(IF(INT(($A414-1)/70)+1&gt;CROQUIS_DATOS!$C$1525,70,MOD($A414-1,70)+1)=1,IF(INT(($A414-1)/70)+1&gt;CROQUIS_DATOS!$C$1525,70,MOD($A414-1,70)+1)&gt;2*CROQUIS_DATOS!$C$1541+1),CROQUIS_DATOS!$C$1476,INDEX($H$8:$H$41,MIN(INT((IF(INT(($A414-1)/70)+1&gt;CROQUIS_DATOS!$C$1525,70,MOD($A414-1,70)+1)-2)/2)+1,CROQUIS_DATOS!$C$1541))))*CROQUIS_DATOS!$C$1561*CROQUIS_DATOS!$C$1562),-1000)</f>
        <v>40.2068965517241</v>
      </c>
    </row>
    <row r="415">
      <c r="A415" t="n">
        <v>408</v>
      </c>
      <c r="N415">
        <f>IF(AND(CROQUIS_DATOS!$C$1472=1,1),(CROQUIS_DATOS!$C$1563+(IF(IF(IF(INT(($A415-1)/70)+1&gt;CROQUIS_DATOS!$C$1525,70,MOD($A415-1,70)+1)=1,0,IF(IF(INT(($A415-1)/70)+1&gt;CROQUIS_DATOS!$C$1525,70,MOD($A415-1,70)+1)&gt;2*CROQUIS_DATOS!$C$1541+1,IF(MOD(CROQUIS_DATOS!$C$1541,2)=1,1,0),IF(MOD(MIN(INT((IF(INT(($A415-1)/70)+1&gt;CROQUIS_DATOS!$C$1525,70,MOD($A415-1,70)+1)-2)/2)+1,CROQUIS_DATOS!$C$1541),2)=1,IF(MOD(IF(INT(($A415-1)/70)+1&gt;CROQUIS_DATOS!$C$1525,70,MOD($A415-1,70)+1)-2,2)=0,0,1),IF(MOD(IF(INT(($A415-1)/70)+1&gt;CROQUIS_DATOS!$C$1525,70,MOD($A415-1,70)+1)-2,2)=0,1,0))))=0,(INDEX($E$8:$E$23,MIN(INT(($A415-1)/70)+1,CROQUIS_DATOS!$C$1525))-INDEX($F$8:$F$23,MIN(INT(($A415-1)/70)+1,CROQUIS_DATOS!$C$1525))/2),(INDEX($E$8:$E$23,MIN(INT(($A415-1)/70)+1,CROQUIS_DATOS!$C$1525))+INDEX($F$8:$F$23,MIN(INT(($A415-1)/70)+1,CROQUIS_DATOS!$C$1525))/2)))*CROQUIS_DATOS!$C$1562),-1000)</f>
        <v>82.8189655172414</v>
      </c>
      <c r="O415">
        <f>IF(AND(CROQUIS_DATOS!$C$1472=1,1),(CROQUIS_DATOS!$C$1564+(IF(OR(IF(INT(($A415-1)/70)+1&gt;CROQUIS_DATOS!$C$1525,70,MOD($A415-1,70)+1)=1,IF(INT(($A415-1)/70)+1&gt;CROQUIS_DATOS!$C$1525,70,MOD($A415-1,70)+1)&gt;2*CROQUIS_DATOS!$C$1541+1),CROQUIS_DATOS!$C$1476,INDEX($H$8:$H$41,MIN(INT((IF(INT(($A415-1)/70)+1&gt;CROQUIS_DATOS!$C$1525,70,MOD($A415-1,70)+1)-2)/2)+1,CROQUIS_DATOS!$C$1541))))*CROQUIS_DATOS!$C$1561*CROQUIS_DATOS!$C$1562),-1000)</f>
        <v>40.2068965517241</v>
      </c>
    </row>
    <row r="416">
      <c r="A416" t="n">
        <v>409</v>
      </c>
      <c r="N416">
        <f>IF(AND(CROQUIS_DATOS!$C$1472=1,1),(CROQUIS_DATOS!$C$1563+(IF(IF(IF(INT(($A416-1)/70)+1&gt;CROQUIS_DATOS!$C$1525,70,MOD($A416-1,70)+1)=1,0,IF(IF(INT(($A416-1)/70)+1&gt;CROQUIS_DATOS!$C$1525,70,MOD($A416-1,70)+1)&gt;2*CROQUIS_DATOS!$C$1541+1,IF(MOD(CROQUIS_DATOS!$C$1541,2)=1,1,0),IF(MOD(MIN(INT((IF(INT(($A416-1)/70)+1&gt;CROQUIS_DATOS!$C$1525,70,MOD($A416-1,70)+1)-2)/2)+1,CROQUIS_DATOS!$C$1541),2)=1,IF(MOD(IF(INT(($A416-1)/70)+1&gt;CROQUIS_DATOS!$C$1525,70,MOD($A416-1,70)+1)-2,2)=0,0,1),IF(MOD(IF(INT(($A416-1)/70)+1&gt;CROQUIS_DATOS!$C$1525,70,MOD($A416-1,70)+1)-2,2)=0,1,0))))=0,(INDEX($E$8:$E$23,MIN(INT(($A416-1)/70)+1,CROQUIS_DATOS!$C$1525))-INDEX($F$8:$F$23,MIN(INT(($A416-1)/70)+1,CROQUIS_DATOS!$C$1525))/2),(INDEX($E$8:$E$23,MIN(INT(($A416-1)/70)+1,CROQUIS_DATOS!$C$1525))+INDEX($F$8:$F$23,MIN(INT(($A416-1)/70)+1,CROQUIS_DATOS!$C$1525))/2)))*CROQUIS_DATOS!$C$1562),-1000)</f>
        <v>82.8189655172414</v>
      </c>
      <c r="O416">
        <f>IF(AND(CROQUIS_DATOS!$C$1472=1,1),(CROQUIS_DATOS!$C$1564+(IF(OR(IF(INT(($A416-1)/70)+1&gt;CROQUIS_DATOS!$C$1525,70,MOD($A416-1,70)+1)=1,IF(INT(($A416-1)/70)+1&gt;CROQUIS_DATOS!$C$1525,70,MOD($A416-1,70)+1)&gt;2*CROQUIS_DATOS!$C$1541+1),CROQUIS_DATOS!$C$1476,INDEX($H$8:$H$41,MIN(INT((IF(INT(($A416-1)/70)+1&gt;CROQUIS_DATOS!$C$1525,70,MOD($A416-1,70)+1)-2)/2)+1,CROQUIS_DATOS!$C$1541))))*CROQUIS_DATOS!$C$1561*CROQUIS_DATOS!$C$1562),-1000)</f>
        <v>40.2068965517241</v>
      </c>
    </row>
    <row r="417">
      <c r="A417" t="n">
        <v>410</v>
      </c>
      <c r="N417">
        <f>IF(AND(CROQUIS_DATOS!$C$1472=1,1),(CROQUIS_DATOS!$C$1563+(IF(IF(IF(INT(($A417-1)/70)+1&gt;CROQUIS_DATOS!$C$1525,70,MOD($A417-1,70)+1)=1,0,IF(IF(INT(($A417-1)/70)+1&gt;CROQUIS_DATOS!$C$1525,70,MOD($A417-1,70)+1)&gt;2*CROQUIS_DATOS!$C$1541+1,IF(MOD(CROQUIS_DATOS!$C$1541,2)=1,1,0),IF(MOD(MIN(INT((IF(INT(($A417-1)/70)+1&gt;CROQUIS_DATOS!$C$1525,70,MOD($A417-1,70)+1)-2)/2)+1,CROQUIS_DATOS!$C$1541),2)=1,IF(MOD(IF(INT(($A417-1)/70)+1&gt;CROQUIS_DATOS!$C$1525,70,MOD($A417-1,70)+1)-2,2)=0,0,1),IF(MOD(IF(INT(($A417-1)/70)+1&gt;CROQUIS_DATOS!$C$1525,70,MOD($A417-1,70)+1)-2,2)=0,1,0))))=0,(INDEX($E$8:$E$23,MIN(INT(($A417-1)/70)+1,CROQUIS_DATOS!$C$1525))-INDEX($F$8:$F$23,MIN(INT(($A417-1)/70)+1,CROQUIS_DATOS!$C$1525))/2),(INDEX($E$8:$E$23,MIN(INT(($A417-1)/70)+1,CROQUIS_DATOS!$C$1525))+INDEX($F$8:$F$23,MIN(INT(($A417-1)/70)+1,CROQUIS_DATOS!$C$1525))/2)))*CROQUIS_DATOS!$C$1562),-1000)</f>
        <v>82.8189655172414</v>
      </c>
      <c r="O417">
        <f>IF(AND(CROQUIS_DATOS!$C$1472=1,1),(CROQUIS_DATOS!$C$1564+(IF(OR(IF(INT(($A417-1)/70)+1&gt;CROQUIS_DATOS!$C$1525,70,MOD($A417-1,70)+1)=1,IF(INT(($A417-1)/70)+1&gt;CROQUIS_DATOS!$C$1525,70,MOD($A417-1,70)+1)&gt;2*CROQUIS_DATOS!$C$1541+1),CROQUIS_DATOS!$C$1476,INDEX($H$8:$H$41,MIN(INT((IF(INT(($A417-1)/70)+1&gt;CROQUIS_DATOS!$C$1525,70,MOD($A417-1,70)+1)-2)/2)+1,CROQUIS_DATOS!$C$1541))))*CROQUIS_DATOS!$C$1561*CROQUIS_DATOS!$C$1562),-1000)</f>
        <v>40.2068965517241</v>
      </c>
    </row>
    <row r="418">
      <c r="A418" t="n">
        <v>411</v>
      </c>
      <c r="N418">
        <f>IF(AND(CROQUIS_DATOS!$C$1472=1,1),(CROQUIS_DATOS!$C$1563+(IF(IF(IF(INT(($A418-1)/70)+1&gt;CROQUIS_DATOS!$C$1525,70,MOD($A418-1,70)+1)=1,0,IF(IF(INT(($A418-1)/70)+1&gt;CROQUIS_DATOS!$C$1525,70,MOD($A418-1,70)+1)&gt;2*CROQUIS_DATOS!$C$1541+1,IF(MOD(CROQUIS_DATOS!$C$1541,2)=1,1,0),IF(MOD(MIN(INT((IF(INT(($A418-1)/70)+1&gt;CROQUIS_DATOS!$C$1525,70,MOD($A418-1,70)+1)-2)/2)+1,CROQUIS_DATOS!$C$1541),2)=1,IF(MOD(IF(INT(($A418-1)/70)+1&gt;CROQUIS_DATOS!$C$1525,70,MOD($A418-1,70)+1)-2,2)=0,0,1),IF(MOD(IF(INT(($A418-1)/70)+1&gt;CROQUIS_DATOS!$C$1525,70,MOD($A418-1,70)+1)-2,2)=0,1,0))))=0,(INDEX($E$8:$E$23,MIN(INT(($A418-1)/70)+1,CROQUIS_DATOS!$C$1525))-INDEX($F$8:$F$23,MIN(INT(($A418-1)/70)+1,CROQUIS_DATOS!$C$1525))/2),(INDEX($E$8:$E$23,MIN(INT(($A418-1)/70)+1,CROQUIS_DATOS!$C$1525))+INDEX($F$8:$F$23,MIN(INT(($A418-1)/70)+1,CROQUIS_DATOS!$C$1525))/2)))*CROQUIS_DATOS!$C$1562),-1000)</f>
        <v>82.8189655172414</v>
      </c>
      <c r="O418">
        <f>IF(AND(CROQUIS_DATOS!$C$1472=1,1),(CROQUIS_DATOS!$C$1564+(IF(OR(IF(INT(($A418-1)/70)+1&gt;CROQUIS_DATOS!$C$1525,70,MOD($A418-1,70)+1)=1,IF(INT(($A418-1)/70)+1&gt;CROQUIS_DATOS!$C$1525,70,MOD($A418-1,70)+1)&gt;2*CROQUIS_DATOS!$C$1541+1),CROQUIS_DATOS!$C$1476,INDEX($H$8:$H$41,MIN(INT((IF(INT(($A418-1)/70)+1&gt;CROQUIS_DATOS!$C$1525,70,MOD($A418-1,70)+1)-2)/2)+1,CROQUIS_DATOS!$C$1541))))*CROQUIS_DATOS!$C$1561*CROQUIS_DATOS!$C$1562),-1000)</f>
        <v>40.2068965517241</v>
      </c>
    </row>
    <row r="419">
      <c r="A419" t="n">
        <v>412</v>
      </c>
      <c r="N419">
        <f>IF(AND(CROQUIS_DATOS!$C$1472=1,1),(CROQUIS_DATOS!$C$1563+(IF(IF(IF(INT(($A419-1)/70)+1&gt;CROQUIS_DATOS!$C$1525,70,MOD($A419-1,70)+1)=1,0,IF(IF(INT(($A419-1)/70)+1&gt;CROQUIS_DATOS!$C$1525,70,MOD($A419-1,70)+1)&gt;2*CROQUIS_DATOS!$C$1541+1,IF(MOD(CROQUIS_DATOS!$C$1541,2)=1,1,0),IF(MOD(MIN(INT((IF(INT(($A419-1)/70)+1&gt;CROQUIS_DATOS!$C$1525,70,MOD($A419-1,70)+1)-2)/2)+1,CROQUIS_DATOS!$C$1541),2)=1,IF(MOD(IF(INT(($A419-1)/70)+1&gt;CROQUIS_DATOS!$C$1525,70,MOD($A419-1,70)+1)-2,2)=0,0,1),IF(MOD(IF(INT(($A419-1)/70)+1&gt;CROQUIS_DATOS!$C$1525,70,MOD($A419-1,70)+1)-2,2)=0,1,0))))=0,(INDEX($E$8:$E$23,MIN(INT(($A419-1)/70)+1,CROQUIS_DATOS!$C$1525))-INDEX($F$8:$F$23,MIN(INT(($A419-1)/70)+1,CROQUIS_DATOS!$C$1525))/2),(INDEX($E$8:$E$23,MIN(INT(($A419-1)/70)+1,CROQUIS_DATOS!$C$1525))+INDEX($F$8:$F$23,MIN(INT(($A419-1)/70)+1,CROQUIS_DATOS!$C$1525))/2)))*CROQUIS_DATOS!$C$1562),-1000)</f>
        <v>82.8189655172414</v>
      </c>
      <c r="O419">
        <f>IF(AND(CROQUIS_DATOS!$C$1472=1,1),(CROQUIS_DATOS!$C$1564+(IF(OR(IF(INT(($A419-1)/70)+1&gt;CROQUIS_DATOS!$C$1525,70,MOD($A419-1,70)+1)=1,IF(INT(($A419-1)/70)+1&gt;CROQUIS_DATOS!$C$1525,70,MOD($A419-1,70)+1)&gt;2*CROQUIS_DATOS!$C$1541+1),CROQUIS_DATOS!$C$1476,INDEX($H$8:$H$41,MIN(INT((IF(INT(($A419-1)/70)+1&gt;CROQUIS_DATOS!$C$1525,70,MOD($A419-1,70)+1)-2)/2)+1,CROQUIS_DATOS!$C$1541))))*CROQUIS_DATOS!$C$1561*CROQUIS_DATOS!$C$1562),-1000)</f>
        <v>40.2068965517241</v>
      </c>
    </row>
    <row r="420">
      <c r="A420" t="n">
        <v>413</v>
      </c>
      <c r="N420">
        <f>IF(AND(CROQUIS_DATOS!$C$1472=1,1),(CROQUIS_DATOS!$C$1563+(IF(IF(IF(INT(($A420-1)/70)+1&gt;CROQUIS_DATOS!$C$1525,70,MOD($A420-1,70)+1)=1,0,IF(IF(INT(($A420-1)/70)+1&gt;CROQUIS_DATOS!$C$1525,70,MOD($A420-1,70)+1)&gt;2*CROQUIS_DATOS!$C$1541+1,IF(MOD(CROQUIS_DATOS!$C$1541,2)=1,1,0),IF(MOD(MIN(INT((IF(INT(($A420-1)/70)+1&gt;CROQUIS_DATOS!$C$1525,70,MOD($A420-1,70)+1)-2)/2)+1,CROQUIS_DATOS!$C$1541),2)=1,IF(MOD(IF(INT(($A420-1)/70)+1&gt;CROQUIS_DATOS!$C$1525,70,MOD($A420-1,70)+1)-2,2)=0,0,1),IF(MOD(IF(INT(($A420-1)/70)+1&gt;CROQUIS_DATOS!$C$1525,70,MOD($A420-1,70)+1)-2,2)=0,1,0))))=0,(INDEX($E$8:$E$23,MIN(INT(($A420-1)/70)+1,CROQUIS_DATOS!$C$1525))-INDEX($F$8:$F$23,MIN(INT(($A420-1)/70)+1,CROQUIS_DATOS!$C$1525))/2),(INDEX($E$8:$E$23,MIN(INT(($A420-1)/70)+1,CROQUIS_DATOS!$C$1525))+INDEX($F$8:$F$23,MIN(INT(($A420-1)/70)+1,CROQUIS_DATOS!$C$1525))/2)))*CROQUIS_DATOS!$C$1562),-1000)</f>
        <v>82.8189655172414</v>
      </c>
      <c r="O420">
        <f>IF(AND(CROQUIS_DATOS!$C$1472=1,1),(CROQUIS_DATOS!$C$1564+(IF(OR(IF(INT(($A420-1)/70)+1&gt;CROQUIS_DATOS!$C$1525,70,MOD($A420-1,70)+1)=1,IF(INT(($A420-1)/70)+1&gt;CROQUIS_DATOS!$C$1525,70,MOD($A420-1,70)+1)&gt;2*CROQUIS_DATOS!$C$1541+1),CROQUIS_DATOS!$C$1476,INDEX($H$8:$H$41,MIN(INT((IF(INT(($A420-1)/70)+1&gt;CROQUIS_DATOS!$C$1525,70,MOD($A420-1,70)+1)-2)/2)+1,CROQUIS_DATOS!$C$1541))))*CROQUIS_DATOS!$C$1561*CROQUIS_DATOS!$C$1562),-1000)</f>
        <v>40.2068965517241</v>
      </c>
    </row>
    <row r="421">
      <c r="A421" t="n">
        <v>414</v>
      </c>
      <c r="N421">
        <f>IF(AND(CROQUIS_DATOS!$C$1472=1,1),(CROQUIS_DATOS!$C$1563+(IF(IF(IF(INT(($A421-1)/70)+1&gt;CROQUIS_DATOS!$C$1525,70,MOD($A421-1,70)+1)=1,0,IF(IF(INT(($A421-1)/70)+1&gt;CROQUIS_DATOS!$C$1525,70,MOD($A421-1,70)+1)&gt;2*CROQUIS_DATOS!$C$1541+1,IF(MOD(CROQUIS_DATOS!$C$1541,2)=1,1,0),IF(MOD(MIN(INT((IF(INT(($A421-1)/70)+1&gt;CROQUIS_DATOS!$C$1525,70,MOD($A421-1,70)+1)-2)/2)+1,CROQUIS_DATOS!$C$1541),2)=1,IF(MOD(IF(INT(($A421-1)/70)+1&gt;CROQUIS_DATOS!$C$1525,70,MOD($A421-1,70)+1)-2,2)=0,0,1),IF(MOD(IF(INT(($A421-1)/70)+1&gt;CROQUIS_DATOS!$C$1525,70,MOD($A421-1,70)+1)-2,2)=0,1,0))))=0,(INDEX($E$8:$E$23,MIN(INT(($A421-1)/70)+1,CROQUIS_DATOS!$C$1525))-INDEX($F$8:$F$23,MIN(INT(($A421-1)/70)+1,CROQUIS_DATOS!$C$1525))/2),(INDEX($E$8:$E$23,MIN(INT(($A421-1)/70)+1,CROQUIS_DATOS!$C$1525))+INDEX($F$8:$F$23,MIN(INT(($A421-1)/70)+1,CROQUIS_DATOS!$C$1525))/2)))*CROQUIS_DATOS!$C$1562),-1000)</f>
        <v>82.8189655172414</v>
      </c>
      <c r="O421">
        <f>IF(AND(CROQUIS_DATOS!$C$1472=1,1),(CROQUIS_DATOS!$C$1564+(IF(OR(IF(INT(($A421-1)/70)+1&gt;CROQUIS_DATOS!$C$1525,70,MOD($A421-1,70)+1)=1,IF(INT(($A421-1)/70)+1&gt;CROQUIS_DATOS!$C$1525,70,MOD($A421-1,70)+1)&gt;2*CROQUIS_DATOS!$C$1541+1),CROQUIS_DATOS!$C$1476,INDEX($H$8:$H$41,MIN(INT((IF(INT(($A421-1)/70)+1&gt;CROQUIS_DATOS!$C$1525,70,MOD($A421-1,70)+1)-2)/2)+1,CROQUIS_DATOS!$C$1541))))*CROQUIS_DATOS!$C$1561*CROQUIS_DATOS!$C$1562),-1000)</f>
        <v>40.2068965517241</v>
      </c>
    </row>
    <row r="422">
      <c r="A422" t="n">
        <v>415</v>
      </c>
      <c r="N422">
        <f>IF(AND(CROQUIS_DATOS!$C$1472=1,1),(CROQUIS_DATOS!$C$1563+(IF(IF(IF(INT(($A422-1)/70)+1&gt;CROQUIS_DATOS!$C$1525,70,MOD($A422-1,70)+1)=1,0,IF(IF(INT(($A422-1)/70)+1&gt;CROQUIS_DATOS!$C$1525,70,MOD($A422-1,70)+1)&gt;2*CROQUIS_DATOS!$C$1541+1,IF(MOD(CROQUIS_DATOS!$C$1541,2)=1,1,0),IF(MOD(MIN(INT((IF(INT(($A422-1)/70)+1&gt;CROQUIS_DATOS!$C$1525,70,MOD($A422-1,70)+1)-2)/2)+1,CROQUIS_DATOS!$C$1541),2)=1,IF(MOD(IF(INT(($A422-1)/70)+1&gt;CROQUIS_DATOS!$C$1525,70,MOD($A422-1,70)+1)-2,2)=0,0,1),IF(MOD(IF(INT(($A422-1)/70)+1&gt;CROQUIS_DATOS!$C$1525,70,MOD($A422-1,70)+1)-2,2)=0,1,0))))=0,(INDEX($E$8:$E$23,MIN(INT(($A422-1)/70)+1,CROQUIS_DATOS!$C$1525))-INDEX($F$8:$F$23,MIN(INT(($A422-1)/70)+1,CROQUIS_DATOS!$C$1525))/2),(INDEX($E$8:$E$23,MIN(INT(($A422-1)/70)+1,CROQUIS_DATOS!$C$1525))+INDEX($F$8:$F$23,MIN(INT(($A422-1)/70)+1,CROQUIS_DATOS!$C$1525))/2)))*CROQUIS_DATOS!$C$1562),-1000)</f>
        <v>82.8189655172414</v>
      </c>
      <c r="O422">
        <f>IF(AND(CROQUIS_DATOS!$C$1472=1,1),(CROQUIS_DATOS!$C$1564+(IF(OR(IF(INT(($A422-1)/70)+1&gt;CROQUIS_DATOS!$C$1525,70,MOD($A422-1,70)+1)=1,IF(INT(($A422-1)/70)+1&gt;CROQUIS_DATOS!$C$1525,70,MOD($A422-1,70)+1)&gt;2*CROQUIS_DATOS!$C$1541+1),CROQUIS_DATOS!$C$1476,INDEX($H$8:$H$41,MIN(INT((IF(INT(($A422-1)/70)+1&gt;CROQUIS_DATOS!$C$1525,70,MOD($A422-1,70)+1)-2)/2)+1,CROQUIS_DATOS!$C$1541))))*CROQUIS_DATOS!$C$1561*CROQUIS_DATOS!$C$1562),-1000)</f>
        <v>40.2068965517241</v>
      </c>
    </row>
    <row r="423">
      <c r="A423" t="n">
        <v>416</v>
      </c>
      <c r="N423">
        <f>IF(AND(CROQUIS_DATOS!$C$1472=1,1),(CROQUIS_DATOS!$C$1563+(IF(IF(IF(INT(($A423-1)/70)+1&gt;CROQUIS_DATOS!$C$1525,70,MOD($A423-1,70)+1)=1,0,IF(IF(INT(($A423-1)/70)+1&gt;CROQUIS_DATOS!$C$1525,70,MOD($A423-1,70)+1)&gt;2*CROQUIS_DATOS!$C$1541+1,IF(MOD(CROQUIS_DATOS!$C$1541,2)=1,1,0),IF(MOD(MIN(INT((IF(INT(($A423-1)/70)+1&gt;CROQUIS_DATOS!$C$1525,70,MOD($A423-1,70)+1)-2)/2)+1,CROQUIS_DATOS!$C$1541),2)=1,IF(MOD(IF(INT(($A423-1)/70)+1&gt;CROQUIS_DATOS!$C$1525,70,MOD($A423-1,70)+1)-2,2)=0,0,1),IF(MOD(IF(INT(($A423-1)/70)+1&gt;CROQUIS_DATOS!$C$1525,70,MOD($A423-1,70)+1)-2,2)=0,1,0))))=0,(INDEX($E$8:$E$23,MIN(INT(($A423-1)/70)+1,CROQUIS_DATOS!$C$1525))-INDEX($F$8:$F$23,MIN(INT(($A423-1)/70)+1,CROQUIS_DATOS!$C$1525))/2),(INDEX($E$8:$E$23,MIN(INT(($A423-1)/70)+1,CROQUIS_DATOS!$C$1525))+INDEX($F$8:$F$23,MIN(INT(($A423-1)/70)+1,CROQUIS_DATOS!$C$1525))/2)))*CROQUIS_DATOS!$C$1562),-1000)</f>
        <v>82.8189655172414</v>
      </c>
      <c r="O423">
        <f>IF(AND(CROQUIS_DATOS!$C$1472=1,1),(CROQUIS_DATOS!$C$1564+(IF(OR(IF(INT(($A423-1)/70)+1&gt;CROQUIS_DATOS!$C$1525,70,MOD($A423-1,70)+1)=1,IF(INT(($A423-1)/70)+1&gt;CROQUIS_DATOS!$C$1525,70,MOD($A423-1,70)+1)&gt;2*CROQUIS_DATOS!$C$1541+1),CROQUIS_DATOS!$C$1476,INDEX($H$8:$H$41,MIN(INT((IF(INT(($A423-1)/70)+1&gt;CROQUIS_DATOS!$C$1525,70,MOD($A423-1,70)+1)-2)/2)+1,CROQUIS_DATOS!$C$1541))))*CROQUIS_DATOS!$C$1561*CROQUIS_DATOS!$C$1562),-1000)</f>
        <v>40.2068965517241</v>
      </c>
    </row>
    <row r="424">
      <c r="A424" t="n">
        <v>417</v>
      </c>
      <c r="N424">
        <f>IF(AND(CROQUIS_DATOS!$C$1472=1,1),(CROQUIS_DATOS!$C$1563+(IF(IF(IF(INT(($A424-1)/70)+1&gt;CROQUIS_DATOS!$C$1525,70,MOD($A424-1,70)+1)=1,0,IF(IF(INT(($A424-1)/70)+1&gt;CROQUIS_DATOS!$C$1525,70,MOD($A424-1,70)+1)&gt;2*CROQUIS_DATOS!$C$1541+1,IF(MOD(CROQUIS_DATOS!$C$1541,2)=1,1,0),IF(MOD(MIN(INT((IF(INT(($A424-1)/70)+1&gt;CROQUIS_DATOS!$C$1525,70,MOD($A424-1,70)+1)-2)/2)+1,CROQUIS_DATOS!$C$1541),2)=1,IF(MOD(IF(INT(($A424-1)/70)+1&gt;CROQUIS_DATOS!$C$1525,70,MOD($A424-1,70)+1)-2,2)=0,0,1),IF(MOD(IF(INT(($A424-1)/70)+1&gt;CROQUIS_DATOS!$C$1525,70,MOD($A424-1,70)+1)-2,2)=0,1,0))))=0,(INDEX($E$8:$E$23,MIN(INT(($A424-1)/70)+1,CROQUIS_DATOS!$C$1525))-INDEX($F$8:$F$23,MIN(INT(($A424-1)/70)+1,CROQUIS_DATOS!$C$1525))/2),(INDEX($E$8:$E$23,MIN(INT(($A424-1)/70)+1,CROQUIS_DATOS!$C$1525))+INDEX($F$8:$F$23,MIN(INT(($A424-1)/70)+1,CROQUIS_DATOS!$C$1525))/2)))*CROQUIS_DATOS!$C$1562),-1000)</f>
        <v>82.8189655172414</v>
      </c>
      <c r="O424">
        <f>IF(AND(CROQUIS_DATOS!$C$1472=1,1),(CROQUIS_DATOS!$C$1564+(IF(OR(IF(INT(($A424-1)/70)+1&gt;CROQUIS_DATOS!$C$1525,70,MOD($A424-1,70)+1)=1,IF(INT(($A424-1)/70)+1&gt;CROQUIS_DATOS!$C$1525,70,MOD($A424-1,70)+1)&gt;2*CROQUIS_DATOS!$C$1541+1),CROQUIS_DATOS!$C$1476,INDEX($H$8:$H$41,MIN(INT((IF(INT(($A424-1)/70)+1&gt;CROQUIS_DATOS!$C$1525,70,MOD($A424-1,70)+1)-2)/2)+1,CROQUIS_DATOS!$C$1541))))*CROQUIS_DATOS!$C$1561*CROQUIS_DATOS!$C$1562),-1000)</f>
        <v>40.2068965517241</v>
      </c>
    </row>
    <row r="425">
      <c r="A425" t="n">
        <v>418</v>
      </c>
      <c r="N425">
        <f>IF(AND(CROQUIS_DATOS!$C$1472=1,1),(CROQUIS_DATOS!$C$1563+(IF(IF(IF(INT(($A425-1)/70)+1&gt;CROQUIS_DATOS!$C$1525,70,MOD($A425-1,70)+1)=1,0,IF(IF(INT(($A425-1)/70)+1&gt;CROQUIS_DATOS!$C$1525,70,MOD($A425-1,70)+1)&gt;2*CROQUIS_DATOS!$C$1541+1,IF(MOD(CROQUIS_DATOS!$C$1541,2)=1,1,0),IF(MOD(MIN(INT((IF(INT(($A425-1)/70)+1&gt;CROQUIS_DATOS!$C$1525,70,MOD($A425-1,70)+1)-2)/2)+1,CROQUIS_DATOS!$C$1541),2)=1,IF(MOD(IF(INT(($A425-1)/70)+1&gt;CROQUIS_DATOS!$C$1525,70,MOD($A425-1,70)+1)-2,2)=0,0,1),IF(MOD(IF(INT(($A425-1)/70)+1&gt;CROQUIS_DATOS!$C$1525,70,MOD($A425-1,70)+1)-2,2)=0,1,0))))=0,(INDEX($E$8:$E$23,MIN(INT(($A425-1)/70)+1,CROQUIS_DATOS!$C$1525))-INDEX($F$8:$F$23,MIN(INT(($A425-1)/70)+1,CROQUIS_DATOS!$C$1525))/2),(INDEX($E$8:$E$23,MIN(INT(($A425-1)/70)+1,CROQUIS_DATOS!$C$1525))+INDEX($F$8:$F$23,MIN(INT(($A425-1)/70)+1,CROQUIS_DATOS!$C$1525))/2)))*CROQUIS_DATOS!$C$1562),-1000)</f>
        <v>82.8189655172414</v>
      </c>
      <c r="O425">
        <f>IF(AND(CROQUIS_DATOS!$C$1472=1,1),(CROQUIS_DATOS!$C$1564+(IF(OR(IF(INT(($A425-1)/70)+1&gt;CROQUIS_DATOS!$C$1525,70,MOD($A425-1,70)+1)=1,IF(INT(($A425-1)/70)+1&gt;CROQUIS_DATOS!$C$1525,70,MOD($A425-1,70)+1)&gt;2*CROQUIS_DATOS!$C$1541+1),CROQUIS_DATOS!$C$1476,INDEX($H$8:$H$41,MIN(INT((IF(INT(($A425-1)/70)+1&gt;CROQUIS_DATOS!$C$1525,70,MOD($A425-1,70)+1)-2)/2)+1,CROQUIS_DATOS!$C$1541))))*CROQUIS_DATOS!$C$1561*CROQUIS_DATOS!$C$1562),-1000)</f>
        <v>40.2068965517241</v>
      </c>
    </row>
    <row r="426">
      <c r="A426" t="n">
        <v>419</v>
      </c>
      <c r="N426">
        <f>IF(AND(CROQUIS_DATOS!$C$1472=1,1),(CROQUIS_DATOS!$C$1563+(IF(IF(IF(INT(($A426-1)/70)+1&gt;CROQUIS_DATOS!$C$1525,70,MOD($A426-1,70)+1)=1,0,IF(IF(INT(($A426-1)/70)+1&gt;CROQUIS_DATOS!$C$1525,70,MOD($A426-1,70)+1)&gt;2*CROQUIS_DATOS!$C$1541+1,IF(MOD(CROQUIS_DATOS!$C$1541,2)=1,1,0),IF(MOD(MIN(INT((IF(INT(($A426-1)/70)+1&gt;CROQUIS_DATOS!$C$1525,70,MOD($A426-1,70)+1)-2)/2)+1,CROQUIS_DATOS!$C$1541),2)=1,IF(MOD(IF(INT(($A426-1)/70)+1&gt;CROQUIS_DATOS!$C$1525,70,MOD($A426-1,70)+1)-2,2)=0,0,1),IF(MOD(IF(INT(($A426-1)/70)+1&gt;CROQUIS_DATOS!$C$1525,70,MOD($A426-1,70)+1)-2,2)=0,1,0))))=0,(INDEX($E$8:$E$23,MIN(INT(($A426-1)/70)+1,CROQUIS_DATOS!$C$1525))-INDEX($F$8:$F$23,MIN(INT(($A426-1)/70)+1,CROQUIS_DATOS!$C$1525))/2),(INDEX($E$8:$E$23,MIN(INT(($A426-1)/70)+1,CROQUIS_DATOS!$C$1525))+INDEX($F$8:$F$23,MIN(INT(($A426-1)/70)+1,CROQUIS_DATOS!$C$1525))/2)))*CROQUIS_DATOS!$C$1562),-1000)</f>
        <v>82.8189655172414</v>
      </c>
      <c r="O426">
        <f>IF(AND(CROQUIS_DATOS!$C$1472=1,1),(CROQUIS_DATOS!$C$1564+(IF(OR(IF(INT(($A426-1)/70)+1&gt;CROQUIS_DATOS!$C$1525,70,MOD($A426-1,70)+1)=1,IF(INT(($A426-1)/70)+1&gt;CROQUIS_DATOS!$C$1525,70,MOD($A426-1,70)+1)&gt;2*CROQUIS_DATOS!$C$1541+1),CROQUIS_DATOS!$C$1476,INDEX($H$8:$H$41,MIN(INT((IF(INT(($A426-1)/70)+1&gt;CROQUIS_DATOS!$C$1525,70,MOD($A426-1,70)+1)-2)/2)+1,CROQUIS_DATOS!$C$1541))))*CROQUIS_DATOS!$C$1561*CROQUIS_DATOS!$C$1562),-1000)</f>
        <v>40.2068965517241</v>
      </c>
    </row>
    <row r="427">
      <c r="A427" t="n">
        <v>420</v>
      </c>
      <c r="N427">
        <f>IF(AND(CROQUIS_DATOS!$C$1472=1,1),(CROQUIS_DATOS!$C$1563+(IF(IF(IF(INT(($A427-1)/70)+1&gt;CROQUIS_DATOS!$C$1525,70,MOD($A427-1,70)+1)=1,0,IF(IF(INT(($A427-1)/70)+1&gt;CROQUIS_DATOS!$C$1525,70,MOD($A427-1,70)+1)&gt;2*CROQUIS_DATOS!$C$1541+1,IF(MOD(CROQUIS_DATOS!$C$1541,2)=1,1,0),IF(MOD(MIN(INT((IF(INT(($A427-1)/70)+1&gt;CROQUIS_DATOS!$C$1525,70,MOD($A427-1,70)+1)-2)/2)+1,CROQUIS_DATOS!$C$1541),2)=1,IF(MOD(IF(INT(($A427-1)/70)+1&gt;CROQUIS_DATOS!$C$1525,70,MOD($A427-1,70)+1)-2,2)=0,0,1),IF(MOD(IF(INT(($A427-1)/70)+1&gt;CROQUIS_DATOS!$C$1525,70,MOD($A427-1,70)+1)-2,2)=0,1,0))))=0,(INDEX($E$8:$E$23,MIN(INT(($A427-1)/70)+1,CROQUIS_DATOS!$C$1525))-INDEX($F$8:$F$23,MIN(INT(($A427-1)/70)+1,CROQUIS_DATOS!$C$1525))/2),(INDEX($E$8:$E$23,MIN(INT(($A427-1)/70)+1,CROQUIS_DATOS!$C$1525))+INDEX($F$8:$F$23,MIN(INT(($A427-1)/70)+1,CROQUIS_DATOS!$C$1525))/2)))*CROQUIS_DATOS!$C$1562),-1000)</f>
        <v>82.8189655172414</v>
      </c>
      <c r="O427">
        <f>IF(AND(CROQUIS_DATOS!$C$1472=1,1),(CROQUIS_DATOS!$C$1564+(IF(OR(IF(INT(($A427-1)/70)+1&gt;CROQUIS_DATOS!$C$1525,70,MOD($A427-1,70)+1)=1,IF(INT(($A427-1)/70)+1&gt;CROQUIS_DATOS!$C$1525,70,MOD($A427-1,70)+1)&gt;2*CROQUIS_DATOS!$C$1541+1),CROQUIS_DATOS!$C$1476,INDEX($H$8:$H$41,MIN(INT((IF(INT(($A427-1)/70)+1&gt;CROQUIS_DATOS!$C$1525,70,MOD($A427-1,70)+1)-2)/2)+1,CROQUIS_DATOS!$C$1541))))*CROQUIS_DATOS!$C$1561*CROQUIS_DATOS!$C$1562),-1000)</f>
        <v>40.2068965517241</v>
      </c>
    </row>
    <row r="428">
      <c r="A428" t="n">
        <v>421</v>
      </c>
      <c r="N428">
        <f>IF(AND(CROQUIS_DATOS!$C$1472=1,1),(CROQUIS_DATOS!$C$1563+(IF(IF(IF(INT(($A428-1)/70)+1&gt;CROQUIS_DATOS!$C$1525,70,MOD($A428-1,70)+1)=1,0,IF(IF(INT(($A428-1)/70)+1&gt;CROQUIS_DATOS!$C$1525,70,MOD($A428-1,70)+1)&gt;2*CROQUIS_DATOS!$C$1541+1,IF(MOD(CROQUIS_DATOS!$C$1541,2)=1,1,0),IF(MOD(MIN(INT((IF(INT(($A428-1)/70)+1&gt;CROQUIS_DATOS!$C$1525,70,MOD($A428-1,70)+1)-2)/2)+1,CROQUIS_DATOS!$C$1541),2)=1,IF(MOD(IF(INT(($A428-1)/70)+1&gt;CROQUIS_DATOS!$C$1525,70,MOD($A428-1,70)+1)-2,2)=0,0,1),IF(MOD(IF(INT(($A428-1)/70)+1&gt;CROQUIS_DATOS!$C$1525,70,MOD($A428-1,70)+1)-2,2)=0,1,0))))=0,(INDEX($E$8:$E$23,MIN(INT(($A428-1)/70)+1,CROQUIS_DATOS!$C$1525))-INDEX($F$8:$F$23,MIN(INT(($A428-1)/70)+1,CROQUIS_DATOS!$C$1525))/2),(INDEX($E$8:$E$23,MIN(INT(($A428-1)/70)+1,CROQUIS_DATOS!$C$1525))+INDEX($F$8:$F$23,MIN(INT(($A428-1)/70)+1,CROQUIS_DATOS!$C$1525))/2)))*CROQUIS_DATOS!$C$1562),-1000)</f>
        <v>82.8189655172414</v>
      </c>
      <c r="O428">
        <f>IF(AND(CROQUIS_DATOS!$C$1472=1,1),(CROQUIS_DATOS!$C$1564+(IF(OR(IF(INT(($A428-1)/70)+1&gt;CROQUIS_DATOS!$C$1525,70,MOD($A428-1,70)+1)=1,IF(INT(($A428-1)/70)+1&gt;CROQUIS_DATOS!$C$1525,70,MOD($A428-1,70)+1)&gt;2*CROQUIS_DATOS!$C$1541+1),CROQUIS_DATOS!$C$1476,INDEX($H$8:$H$41,MIN(INT((IF(INT(($A428-1)/70)+1&gt;CROQUIS_DATOS!$C$1525,70,MOD($A428-1,70)+1)-2)/2)+1,CROQUIS_DATOS!$C$1541))))*CROQUIS_DATOS!$C$1561*CROQUIS_DATOS!$C$1562),-1000)</f>
        <v>40.2068965517241</v>
      </c>
    </row>
    <row r="429">
      <c r="A429" t="n">
        <v>422</v>
      </c>
      <c r="N429">
        <f>IF(AND(CROQUIS_DATOS!$C$1472=1,1),(CROQUIS_DATOS!$C$1563+(IF(IF(IF(INT(($A429-1)/70)+1&gt;CROQUIS_DATOS!$C$1525,70,MOD($A429-1,70)+1)=1,0,IF(IF(INT(($A429-1)/70)+1&gt;CROQUIS_DATOS!$C$1525,70,MOD($A429-1,70)+1)&gt;2*CROQUIS_DATOS!$C$1541+1,IF(MOD(CROQUIS_DATOS!$C$1541,2)=1,1,0),IF(MOD(MIN(INT((IF(INT(($A429-1)/70)+1&gt;CROQUIS_DATOS!$C$1525,70,MOD($A429-1,70)+1)-2)/2)+1,CROQUIS_DATOS!$C$1541),2)=1,IF(MOD(IF(INT(($A429-1)/70)+1&gt;CROQUIS_DATOS!$C$1525,70,MOD($A429-1,70)+1)-2,2)=0,0,1),IF(MOD(IF(INT(($A429-1)/70)+1&gt;CROQUIS_DATOS!$C$1525,70,MOD($A429-1,70)+1)-2,2)=0,1,0))))=0,(INDEX($E$8:$E$23,MIN(INT(($A429-1)/70)+1,CROQUIS_DATOS!$C$1525))-INDEX($F$8:$F$23,MIN(INT(($A429-1)/70)+1,CROQUIS_DATOS!$C$1525))/2),(INDEX($E$8:$E$23,MIN(INT(($A429-1)/70)+1,CROQUIS_DATOS!$C$1525))+INDEX($F$8:$F$23,MIN(INT(($A429-1)/70)+1,CROQUIS_DATOS!$C$1525))/2)))*CROQUIS_DATOS!$C$1562),-1000)</f>
        <v>82.8189655172414</v>
      </c>
      <c r="O429">
        <f>IF(AND(CROQUIS_DATOS!$C$1472=1,1),(CROQUIS_DATOS!$C$1564+(IF(OR(IF(INT(($A429-1)/70)+1&gt;CROQUIS_DATOS!$C$1525,70,MOD($A429-1,70)+1)=1,IF(INT(($A429-1)/70)+1&gt;CROQUIS_DATOS!$C$1525,70,MOD($A429-1,70)+1)&gt;2*CROQUIS_DATOS!$C$1541+1),CROQUIS_DATOS!$C$1476,INDEX($H$8:$H$41,MIN(INT((IF(INT(($A429-1)/70)+1&gt;CROQUIS_DATOS!$C$1525,70,MOD($A429-1,70)+1)-2)/2)+1,CROQUIS_DATOS!$C$1541))))*CROQUIS_DATOS!$C$1561*CROQUIS_DATOS!$C$1562),-1000)</f>
        <v>40.2068965517241</v>
      </c>
    </row>
    <row r="430">
      <c r="A430" t="n">
        <v>423</v>
      </c>
      <c r="N430">
        <f>IF(AND(CROQUIS_DATOS!$C$1472=1,1),(CROQUIS_DATOS!$C$1563+(IF(IF(IF(INT(($A430-1)/70)+1&gt;CROQUIS_DATOS!$C$1525,70,MOD($A430-1,70)+1)=1,0,IF(IF(INT(($A430-1)/70)+1&gt;CROQUIS_DATOS!$C$1525,70,MOD($A430-1,70)+1)&gt;2*CROQUIS_DATOS!$C$1541+1,IF(MOD(CROQUIS_DATOS!$C$1541,2)=1,1,0),IF(MOD(MIN(INT((IF(INT(($A430-1)/70)+1&gt;CROQUIS_DATOS!$C$1525,70,MOD($A430-1,70)+1)-2)/2)+1,CROQUIS_DATOS!$C$1541),2)=1,IF(MOD(IF(INT(($A430-1)/70)+1&gt;CROQUIS_DATOS!$C$1525,70,MOD($A430-1,70)+1)-2,2)=0,0,1),IF(MOD(IF(INT(($A430-1)/70)+1&gt;CROQUIS_DATOS!$C$1525,70,MOD($A430-1,70)+1)-2,2)=0,1,0))))=0,(INDEX($E$8:$E$23,MIN(INT(($A430-1)/70)+1,CROQUIS_DATOS!$C$1525))-INDEX($F$8:$F$23,MIN(INT(($A430-1)/70)+1,CROQUIS_DATOS!$C$1525))/2),(INDEX($E$8:$E$23,MIN(INT(($A430-1)/70)+1,CROQUIS_DATOS!$C$1525))+INDEX($F$8:$F$23,MIN(INT(($A430-1)/70)+1,CROQUIS_DATOS!$C$1525))/2)))*CROQUIS_DATOS!$C$1562),-1000)</f>
        <v>82.8189655172414</v>
      </c>
      <c r="O430">
        <f>IF(AND(CROQUIS_DATOS!$C$1472=1,1),(CROQUIS_DATOS!$C$1564+(IF(OR(IF(INT(($A430-1)/70)+1&gt;CROQUIS_DATOS!$C$1525,70,MOD($A430-1,70)+1)=1,IF(INT(($A430-1)/70)+1&gt;CROQUIS_DATOS!$C$1525,70,MOD($A430-1,70)+1)&gt;2*CROQUIS_DATOS!$C$1541+1),CROQUIS_DATOS!$C$1476,INDEX($H$8:$H$41,MIN(INT((IF(INT(($A430-1)/70)+1&gt;CROQUIS_DATOS!$C$1525,70,MOD($A430-1,70)+1)-2)/2)+1,CROQUIS_DATOS!$C$1541))))*CROQUIS_DATOS!$C$1561*CROQUIS_DATOS!$C$1562),-1000)</f>
        <v>40.2068965517241</v>
      </c>
    </row>
    <row r="431">
      <c r="A431" t="n">
        <v>424</v>
      </c>
      <c r="N431">
        <f>IF(AND(CROQUIS_DATOS!$C$1472=1,1),(CROQUIS_DATOS!$C$1563+(IF(IF(IF(INT(($A431-1)/70)+1&gt;CROQUIS_DATOS!$C$1525,70,MOD($A431-1,70)+1)=1,0,IF(IF(INT(($A431-1)/70)+1&gt;CROQUIS_DATOS!$C$1525,70,MOD($A431-1,70)+1)&gt;2*CROQUIS_DATOS!$C$1541+1,IF(MOD(CROQUIS_DATOS!$C$1541,2)=1,1,0),IF(MOD(MIN(INT((IF(INT(($A431-1)/70)+1&gt;CROQUIS_DATOS!$C$1525,70,MOD($A431-1,70)+1)-2)/2)+1,CROQUIS_DATOS!$C$1541),2)=1,IF(MOD(IF(INT(($A431-1)/70)+1&gt;CROQUIS_DATOS!$C$1525,70,MOD($A431-1,70)+1)-2,2)=0,0,1),IF(MOD(IF(INT(($A431-1)/70)+1&gt;CROQUIS_DATOS!$C$1525,70,MOD($A431-1,70)+1)-2,2)=0,1,0))))=0,(INDEX($E$8:$E$23,MIN(INT(($A431-1)/70)+1,CROQUIS_DATOS!$C$1525))-INDEX($F$8:$F$23,MIN(INT(($A431-1)/70)+1,CROQUIS_DATOS!$C$1525))/2),(INDEX($E$8:$E$23,MIN(INT(($A431-1)/70)+1,CROQUIS_DATOS!$C$1525))+INDEX($F$8:$F$23,MIN(INT(($A431-1)/70)+1,CROQUIS_DATOS!$C$1525))/2)))*CROQUIS_DATOS!$C$1562),-1000)</f>
        <v>82.8189655172414</v>
      </c>
      <c r="O431">
        <f>IF(AND(CROQUIS_DATOS!$C$1472=1,1),(CROQUIS_DATOS!$C$1564+(IF(OR(IF(INT(($A431-1)/70)+1&gt;CROQUIS_DATOS!$C$1525,70,MOD($A431-1,70)+1)=1,IF(INT(($A431-1)/70)+1&gt;CROQUIS_DATOS!$C$1525,70,MOD($A431-1,70)+1)&gt;2*CROQUIS_DATOS!$C$1541+1),CROQUIS_DATOS!$C$1476,INDEX($H$8:$H$41,MIN(INT((IF(INT(($A431-1)/70)+1&gt;CROQUIS_DATOS!$C$1525,70,MOD($A431-1,70)+1)-2)/2)+1,CROQUIS_DATOS!$C$1541))))*CROQUIS_DATOS!$C$1561*CROQUIS_DATOS!$C$1562),-1000)</f>
        <v>40.2068965517241</v>
      </c>
    </row>
    <row r="432">
      <c r="A432" t="n">
        <v>425</v>
      </c>
      <c r="N432">
        <f>IF(AND(CROQUIS_DATOS!$C$1472=1,1),(CROQUIS_DATOS!$C$1563+(IF(IF(IF(INT(($A432-1)/70)+1&gt;CROQUIS_DATOS!$C$1525,70,MOD($A432-1,70)+1)=1,0,IF(IF(INT(($A432-1)/70)+1&gt;CROQUIS_DATOS!$C$1525,70,MOD($A432-1,70)+1)&gt;2*CROQUIS_DATOS!$C$1541+1,IF(MOD(CROQUIS_DATOS!$C$1541,2)=1,1,0),IF(MOD(MIN(INT((IF(INT(($A432-1)/70)+1&gt;CROQUIS_DATOS!$C$1525,70,MOD($A432-1,70)+1)-2)/2)+1,CROQUIS_DATOS!$C$1541),2)=1,IF(MOD(IF(INT(($A432-1)/70)+1&gt;CROQUIS_DATOS!$C$1525,70,MOD($A432-1,70)+1)-2,2)=0,0,1),IF(MOD(IF(INT(($A432-1)/70)+1&gt;CROQUIS_DATOS!$C$1525,70,MOD($A432-1,70)+1)-2,2)=0,1,0))))=0,(INDEX($E$8:$E$23,MIN(INT(($A432-1)/70)+1,CROQUIS_DATOS!$C$1525))-INDEX($F$8:$F$23,MIN(INT(($A432-1)/70)+1,CROQUIS_DATOS!$C$1525))/2),(INDEX($E$8:$E$23,MIN(INT(($A432-1)/70)+1,CROQUIS_DATOS!$C$1525))+INDEX($F$8:$F$23,MIN(INT(($A432-1)/70)+1,CROQUIS_DATOS!$C$1525))/2)))*CROQUIS_DATOS!$C$1562),-1000)</f>
        <v>82.8189655172414</v>
      </c>
      <c r="O432">
        <f>IF(AND(CROQUIS_DATOS!$C$1472=1,1),(CROQUIS_DATOS!$C$1564+(IF(OR(IF(INT(($A432-1)/70)+1&gt;CROQUIS_DATOS!$C$1525,70,MOD($A432-1,70)+1)=1,IF(INT(($A432-1)/70)+1&gt;CROQUIS_DATOS!$C$1525,70,MOD($A432-1,70)+1)&gt;2*CROQUIS_DATOS!$C$1541+1),CROQUIS_DATOS!$C$1476,INDEX($H$8:$H$41,MIN(INT((IF(INT(($A432-1)/70)+1&gt;CROQUIS_DATOS!$C$1525,70,MOD($A432-1,70)+1)-2)/2)+1,CROQUIS_DATOS!$C$1541))))*CROQUIS_DATOS!$C$1561*CROQUIS_DATOS!$C$1562),-1000)</f>
        <v>40.2068965517241</v>
      </c>
    </row>
    <row r="433">
      <c r="A433" t="n">
        <v>426</v>
      </c>
      <c r="N433">
        <f>IF(AND(CROQUIS_DATOS!$C$1472=1,1),(CROQUIS_DATOS!$C$1563+(IF(IF(IF(INT(($A433-1)/70)+1&gt;CROQUIS_DATOS!$C$1525,70,MOD($A433-1,70)+1)=1,0,IF(IF(INT(($A433-1)/70)+1&gt;CROQUIS_DATOS!$C$1525,70,MOD($A433-1,70)+1)&gt;2*CROQUIS_DATOS!$C$1541+1,IF(MOD(CROQUIS_DATOS!$C$1541,2)=1,1,0),IF(MOD(MIN(INT((IF(INT(($A433-1)/70)+1&gt;CROQUIS_DATOS!$C$1525,70,MOD($A433-1,70)+1)-2)/2)+1,CROQUIS_DATOS!$C$1541),2)=1,IF(MOD(IF(INT(($A433-1)/70)+1&gt;CROQUIS_DATOS!$C$1525,70,MOD($A433-1,70)+1)-2,2)=0,0,1),IF(MOD(IF(INT(($A433-1)/70)+1&gt;CROQUIS_DATOS!$C$1525,70,MOD($A433-1,70)+1)-2,2)=0,1,0))))=0,(INDEX($E$8:$E$23,MIN(INT(($A433-1)/70)+1,CROQUIS_DATOS!$C$1525))-INDEX($F$8:$F$23,MIN(INT(($A433-1)/70)+1,CROQUIS_DATOS!$C$1525))/2),(INDEX($E$8:$E$23,MIN(INT(($A433-1)/70)+1,CROQUIS_DATOS!$C$1525))+INDEX($F$8:$F$23,MIN(INT(($A433-1)/70)+1,CROQUIS_DATOS!$C$1525))/2)))*CROQUIS_DATOS!$C$1562),-1000)</f>
        <v>82.8189655172414</v>
      </c>
      <c r="O433">
        <f>IF(AND(CROQUIS_DATOS!$C$1472=1,1),(CROQUIS_DATOS!$C$1564+(IF(OR(IF(INT(($A433-1)/70)+1&gt;CROQUIS_DATOS!$C$1525,70,MOD($A433-1,70)+1)=1,IF(INT(($A433-1)/70)+1&gt;CROQUIS_DATOS!$C$1525,70,MOD($A433-1,70)+1)&gt;2*CROQUIS_DATOS!$C$1541+1),CROQUIS_DATOS!$C$1476,INDEX($H$8:$H$41,MIN(INT((IF(INT(($A433-1)/70)+1&gt;CROQUIS_DATOS!$C$1525,70,MOD($A433-1,70)+1)-2)/2)+1,CROQUIS_DATOS!$C$1541))))*CROQUIS_DATOS!$C$1561*CROQUIS_DATOS!$C$1562),-1000)</f>
        <v>40.2068965517241</v>
      </c>
    </row>
    <row r="434">
      <c r="A434" t="n">
        <v>427</v>
      </c>
      <c r="N434">
        <f>IF(AND(CROQUIS_DATOS!$C$1472=1,1),(CROQUIS_DATOS!$C$1563+(IF(IF(IF(INT(($A434-1)/70)+1&gt;CROQUIS_DATOS!$C$1525,70,MOD($A434-1,70)+1)=1,0,IF(IF(INT(($A434-1)/70)+1&gt;CROQUIS_DATOS!$C$1525,70,MOD($A434-1,70)+1)&gt;2*CROQUIS_DATOS!$C$1541+1,IF(MOD(CROQUIS_DATOS!$C$1541,2)=1,1,0),IF(MOD(MIN(INT((IF(INT(($A434-1)/70)+1&gt;CROQUIS_DATOS!$C$1525,70,MOD($A434-1,70)+1)-2)/2)+1,CROQUIS_DATOS!$C$1541),2)=1,IF(MOD(IF(INT(($A434-1)/70)+1&gt;CROQUIS_DATOS!$C$1525,70,MOD($A434-1,70)+1)-2,2)=0,0,1),IF(MOD(IF(INT(($A434-1)/70)+1&gt;CROQUIS_DATOS!$C$1525,70,MOD($A434-1,70)+1)-2,2)=0,1,0))))=0,(INDEX($E$8:$E$23,MIN(INT(($A434-1)/70)+1,CROQUIS_DATOS!$C$1525))-INDEX($F$8:$F$23,MIN(INT(($A434-1)/70)+1,CROQUIS_DATOS!$C$1525))/2),(INDEX($E$8:$E$23,MIN(INT(($A434-1)/70)+1,CROQUIS_DATOS!$C$1525))+INDEX($F$8:$F$23,MIN(INT(($A434-1)/70)+1,CROQUIS_DATOS!$C$1525))/2)))*CROQUIS_DATOS!$C$1562),-1000)</f>
        <v>82.8189655172414</v>
      </c>
      <c r="O434">
        <f>IF(AND(CROQUIS_DATOS!$C$1472=1,1),(CROQUIS_DATOS!$C$1564+(IF(OR(IF(INT(($A434-1)/70)+1&gt;CROQUIS_DATOS!$C$1525,70,MOD($A434-1,70)+1)=1,IF(INT(($A434-1)/70)+1&gt;CROQUIS_DATOS!$C$1525,70,MOD($A434-1,70)+1)&gt;2*CROQUIS_DATOS!$C$1541+1),CROQUIS_DATOS!$C$1476,INDEX($H$8:$H$41,MIN(INT((IF(INT(($A434-1)/70)+1&gt;CROQUIS_DATOS!$C$1525,70,MOD($A434-1,70)+1)-2)/2)+1,CROQUIS_DATOS!$C$1541))))*CROQUIS_DATOS!$C$1561*CROQUIS_DATOS!$C$1562),-1000)</f>
        <v>40.2068965517241</v>
      </c>
    </row>
    <row r="435">
      <c r="A435" t="n">
        <v>428</v>
      </c>
      <c r="N435">
        <f>IF(AND(CROQUIS_DATOS!$C$1472=1,1),(CROQUIS_DATOS!$C$1563+(IF(IF(IF(INT(($A435-1)/70)+1&gt;CROQUIS_DATOS!$C$1525,70,MOD($A435-1,70)+1)=1,0,IF(IF(INT(($A435-1)/70)+1&gt;CROQUIS_DATOS!$C$1525,70,MOD($A435-1,70)+1)&gt;2*CROQUIS_DATOS!$C$1541+1,IF(MOD(CROQUIS_DATOS!$C$1541,2)=1,1,0),IF(MOD(MIN(INT((IF(INT(($A435-1)/70)+1&gt;CROQUIS_DATOS!$C$1525,70,MOD($A435-1,70)+1)-2)/2)+1,CROQUIS_DATOS!$C$1541),2)=1,IF(MOD(IF(INT(($A435-1)/70)+1&gt;CROQUIS_DATOS!$C$1525,70,MOD($A435-1,70)+1)-2,2)=0,0,1),IF(MOD(IF(INT(($A435-1)/70)+1&gt;CROQUIS_DATOS!$C$1525,70,MOD($A435-1,70)+1)-2,2)=0,1,0))))=0,(INDEX($E$8:$E$23,MIN(INT(($A435-1)/70)+1,CROQUIS_DATOS!$C$1525))-INDEX($F$8:$F$23,MIN(INT(($A435-1)/70)+1,CROQUIS_DATOS!$C$1525))/2),(INDEX($E$8:$E$23,MIN(INT(($A435-1)/70)+1,CROQUIS_DATOS!$C$1525))+INDEX($F$8:$F$23,MIN(INT(($A435-1)/70)+1,CROQUIS_DATOS!$C$1525))/2)))*CROQUIS_DATOS!$C$1562),-1000)</f>
        <v>82.8189655172414</v>
      </c>
      <c r="O435">
        <f>IF(AND(CROQUIS_DATOS!$C$1472=1,1),(CROQUIS_DATOS!$C$1564+(IF(OR(IF(INT(($A435-1)/70)+1&gt;CROQUIS_DATOS!$C$1525,70,MOD($A435-1,70)+1)=1,IF(INT(($A435-1)/70)+1&gt;CROQUIS_DATOS!$C$1525,70,MOD($A435-1,70)+1)&gt;2*CROQUIS_DATOS!$C$1541+1),CROQUIS_DATOS!$C$1476,INDEX($H$8:$H$41,MIN(INT((IF(INT(($A435-1)/70)+1&gt;CROQUIS_DATOS!$C$1525,70,MOD($A435-1,70)+1)-2)/2)+1,CROQUIS_DATOS!$C$1541))))*CROQUIS_DATOS!$C$1561*CROQUIS_DATOS!$C$1562),-1000)</f>
        <v>40.2068965517241</v>
      </c>
    </row>
    <row r="436">
      <c r="A436" t="n">
        <v>429</v>
      </c>
      <c r="N436">
        <f>IF(AND(CROQUIS_DATOS!$C$1472=1,1),(CROQUIS_DATOS!$C$1563+(IF(IF(IF(INT(($A436-1)/70)+1&gt;CROQUIS_DATOS!$C$1525,70,MOD($A436-1,70)+1)=1,0,IF(IF(INT(($A436-1)/70)+1&gt;CROQUIS_DATOS!$C$1525,70,MOD($A436-1,70)+1)&gt;2*CROQUIS_DATOS!$C$1541+1,IF(MOD(CROQUIS_DATOS!$C$1541,2)=1,1,0),IF(MOD(MIN(INT((IF(INT(($A436-1)/70)+1&gt;CROQUIS_DATOS!$C$1525,70,MOD($A436-1,70)+1)-2)/2)+1,CROQUIS_DATOS!$C$1541),2)=1,IF(MOD(IF(INT(($A436-1)/70)+1&gt;CROQUIS_DATOS!$C$1525,70,MOD($A436-1,70)+1)-2,2)=0,0,1),IF(MOD(IF(INT(($A436-1)/70)+1&gt;CROQUIS_DATOS!$C$1525,70,MOD($A436-1,70)+1)-2,2)=0,1,0))))=0,(INDEX($E$8:$E$23,MIN(INT(($A436-1)/70)+1,CROQUIS_DATOS!$C$1525))-INDEX($F$8:$F$23,MIN(INT(($A436-1)/70)+1,CROQUIS_DATOS!$C$1525))/2),(INDEX($E$8:$E$23,MIN(INT(($A436-1)/70)+1,CROQUIS_DATOS!$C$1525))+INDEX($F$8:$F$23,MIN(INT(($A436-1)/70)+1,CROQUIS_DATOS!$C$1525))/2)))*CROQUIS_DATOS!$C$1562),-1000)</f>
        <v>82.8189655172414</v>
      </c>
      <c r="O436">
        <f>IF(AND(CROQUIS_DATOS!$C$1472=1,1),(CROQUIS_DATOS!$C$1564+(IF(OR(IF(INT(($A436-1)/70)+1&gt;CROQUIS_DATOS!$C$1525,70,MOD($A436-1,70)+1)=1,IF(INT(($A436-1)/70)+1&gt;CROQUIS_DATOS!$C$1525,70,MOD($A436-1,70)+1)&gt;2*CROQUIS_DATOS!$C$1541+1),CROQUIS_DATOS!$C$1476,INDEX($H$8:$H$41,MIN(INT((IF(INT(($A436-1)/70)+1&gt;CROQUIS_DATOS!$C$1525,70,MOD($A436-1,70)+1)-2)/2)+1,CROQUIS_DATOS!$C$1541))))*CROQUIS_DATOS!$C$1561*CROQUIS_DATOS!$C$1562),-1000)</f>
        <v>40.2068965517241</v>
      </c>
    </row>
    <row r="437">
      <c r="A437" t="n">
        <v>430</v>
      </c>
      <c r="N437">
        <f>IF(AND(CROQUIS_DATOS!$C$1472=1,1),(CROQUIS_DATOS!$C$1563+(IF(IF(IF(INT(($A437-1)/70)+1&gt;CROQUIS_DATOS!$C$1525,70,MOD($A437-1,70)+1)=1,0,IF(IF(INT(($A437-1)/70)+1&gt;CROQUIS_DATOS!$C$1525,70,MOD($A437-1,70)+1)&gt;2*CROQUIS_DATOS!$C$1541+1,IF(MOD(CROQUIS_DATOS!$C$1541,2)=1,1,0),IF(MOD(MIN(INT((IF(INT(($A437-1)/70)+1&gt;CROQUIS_DATOS!$C$1525,70,MOD($A437-1,70)+1)-2)/2)+1,CROQUIS_DATOS!$C$1541),2)=1,IF(MOD(IF(INT(($A437-1)/70)+1&gt;CROQUIS_DATOS!$C$1525,70,MOD($A437-1,70)+1)-2,2)=0,0,1),IF(MOD(IF(INT(($A437-1)/70)+1&gt;CROQUIS_DATOS!$C$1525,70,MOD($A437-1,70)+1)-2,2)=0,1,0))))=0,(INDEX($E$8:$E$23,MIN(INT(($A437-1)/70)+1,CROQUIS_DATOS!$C$1525))-INDEX($F$8:$F$23,MIN(INT(($A437-1)/70)+1,CROQUIS_DATOS!$C$1525))/2),(INDEX($E$8:$E$23,MIN(INT(($A437-1)/70)+1,CROQUIS_DATOS!$C$1525))+INDEX($F$8:$F$23,MIN(INT(($A437-1)/70)+1,CROQUIS_DATOS!$C$1525))/2)))*CROQUIS_DATOS!$C$1562),-1000)</f>
        <v>82.8189655172414</v>
      </c>
      <c r="O437">
        <f>IF(AND(CROQUIS_DATOS!$C$1472=1,1),(CROQUIS_DATOS!$C$1564+(IF(OR(IF(INT(($A437-1)/70)+1&gt;CROQUIS_DATOS!$C$1525,70,MOD($A437-1,70)+1)=1,IF(INT(($A437-1)/70)+1&gt;CROQUIS_DATOS!$C$1525,70,MOD($A437-1,70)+1)&gt;2*CROQUIS_DATOS!$C$1541+1),CROQUIS_DATOS!$C$1476,INDEX($H$8:$H$41,MIN(INT((IF(INT(($A437-1)/70)+1&gt;CROQUIS_DATOS!$C$1525,70,MOD($A437-1,70)+1)-2)/2)+1,CROQUIS_DATOS!$C$1541))))*CROQUIS_DATOS!$C$1561*CROQUIS_DATOS!$C$1562),-1000)</f>
        <v>40.2068965517241</v>
      </c>
    </row>
    <row r="438">
      <c r="A438" t="n">
        <v>431</v>
      </c>
      <c r="N438">
        <f>IF(AND(CROQUIS_DATOS!$C$1472=1,1),(CROQUIS_DATOS!$C$1563+(IF(IF(IF(INT(($A438-1)/70)+1&gt;CROQUIS_DATOS!$C$1525,70,MOD($A438-1,70)+1)=1,0,IF(IF(INT(($A438-1)/70)+1&gt;CROQUIS_DATOS!$C$1525,70,MOD($A438-1,70)+1)&gt;2*CROQUIS_DATOS!$C$1541+1,IF(MOD(CROQUIS_DATOS!$C$1541,2)=1,1,0),IF(MOD(MIN(INT((IF(INT(($A438-1)/70)+1&gt;CROQUIS_DATOS!$C$1525,70,MOD($A438-1,70)+1)-2)/2)+1,CROQUIS_DATOS!$C$1541),2)=1,IF(MOD(IF(INT(($A438-1)/70)+1&gt;CROQUIS_DATOS!$C$1525,70,MOD($A438-1,70)+1)-2,2)=0,0,1),IF(MOD(IF(INT(($A438-1)/70)+1&gt;CROQUIS_DATOS!$C$1525,70,MOD($A438-1,70)+1)-2,2)=0,1,0))))=0,(INDEX($E$8:$E$23,MIN(INT(($A438-1)/70)+1,CROQUIS_DATOS!$C$1525))-INDEX($F$8:$F$23,MIN(INT(($A438-1)/70)+1,CROQUIS_DATOS!$C$1525))/2),(INDEX($E$8:$E$23,MIN(INT(($A438-1)/70)+1,CROQUIS_DATOS!$C$1525))+INDEX($F$8:$F$23,MIN(INT(($A438-1)/70)+1,CROQUIS_DATOS!$C$1525))/2)))*CROQUIS_DATOS!$C$1562),-1000)</f>
        <v>82.8189655172414</v>
      </c>
      <c r="O438">
        <f>IF(AND(CROQUIS_DATOS!$C$1472=1,1),(CROQUIS_DATOS!$C$1564+(IF(OR(IF(INT(($A438-1)/70)+1&gt;CROQUIS_DATOS!$C$1525,70,MOD($A438-1,70)+1)=1,IF(INT(($A438-1)/70)+1&gt;CROQUIS_DATOS!$C$1525,70,MOD($A438-1,70)+1)&gt;2*CROQUIS_DATOS!$C$1541+1),CROQUIS_DATOS!$C$1476,INDEX($H$8:$H$41,MIN(INT((IF(INT(($A438-1)/70)+1&gt;CROQUIS_DATOS!$C$1525,70,MOD($A438-1,70)+1)-2)/2)+1,CROQUIS_DATOS!$C$1541))))*CROQUIS_DATOS!$C$1561*CROQUIS_DATOS!$C$1562),-1000)</f>
        <v>40.2068965517241</v>
      </c>
    </row>
    <row r="439">
      <c r="A439" t="n">
        <v>432</v>
      </c>
      <c r="N439">
        <f>IF(AND(CROQUIS_DATOS!$C$1472=1,1),(CROQUIS_DATOS!$C$1563+(IF(IF(IF(INT(($A439-1)/70)+1&gt;CROQUIS_DATOS!$C$1525,70,MOD($A439-1,70)+1)=1,0,IF(IF(INT(($A439-1)/70)+1&gt;CROQUIS_DATOS!$C$1525,70,MOD($A439-1,70)+1)&gt;2*CROQUIS_DATOS!$C$1541+1,IF(MOD(CROQUIS_DATOS!$C$1541,2)=1,1,0),IF(MOD(MIN(INT((IF(INT(($A439-1)/70)+1&gt;CROQUIS_DATOS!$C$1525,70,MOD($A439-1,70)+1)-2)/2)+1,CROQUIS_DATOS!$C$1541),2)=1,IF(MOD(IF(INT(($A439-1)/70)+1&gt;CROQUIS_DATOS!$C$1525,70,MOD($A439-1,70)+1)-2,2)=0,0,1),IF(MOD(IF(INT(($A439-1)/70)+1&gt;CROQUIS_DATOS!$C$1525,70,MOD($A439-1,70)+1)-2,2)=0,1,0))))=0,(INDEX($E$8:$E$23,MIN(INT(($A439-1)/70)+1,CROQUIS_DATOS!$C$1525))-INDEX($F$8:$F$23,MIN(INT(($A439-1)/70)+1,CROQUIS_DATOS!$C$1525))/2),(INDEX($E$8:$E$23,MIN(INT(($A439-1)/70)+1,CROQUIS_DATOS!$C$1525))+INDEX($F$8:$F$23,MIN(INT(($A439-1)/70)+1,CROQUIS_DATOS!$C$1525))/2)))*CROQUIS_DATOS!$C$1562),-1000)</f>
        <v>82.8189655172414</v>
      </c>
      <c r="O439">
        <f>IF(AND(CROQUIS_DATOS!$C$1472=1,1),(CROQUIS_DATOS!$C$1564+(IF(OR(IF(INT(($A439-1)/70)+1&gt;CROQUIS_DATOS!$C$1525,70,MOD($A439-1,70)+1)=1,IF(INT(($A439-1)/70)+1&gt;CROQUIS_DATOS!$C$1525,70,MOD($A439-1,70)+1)&gt;2*CROQUIS_DATOS!$C$1541+1),CROQUIS_DATOS!$C$1476,INDEX($H$8:$H$41,MIN(INT((IF(INT(($A439-1)/70)+1&gt;CROQUIS_DATOS!$C$1525,70,MOD($A439-1,70)+1)-2)/2)+1,CROQUIS_DATOS!$C$1541))))*CROQUIS_DATOS!$C$1561*CROQUIS_DATOS!$C$1562),-1000)</f>
        <v>40.2068965517241</v>
      </c>
    </row>
    <row r="440">
      <c r="A440" t="n">
        <v>433</v>
      </c>
      <c r="N440">
        <f>IF(AND(CROQUIS_DATOS!$C$1472=1,1),(CROQUIS_DATOS!$C$1563+(IF(IF(IF(INT(($A440-1)/70)+1&gt;CROQUIS_DATOS!$C$1525,70,MOD($A440-1,70)+1)=1,0,IF(IF(INT(($A440-1)/70)+1&gt;CROQUIS_DATOS!$C$1525,70,MOD($A440-1,70)+1)&gt;2*CROQUIS_DATOS!$C$1541+1,IF(MOD(CROQUIS_DATOS!$C$1541,2)=1,1,0),IF(MOD(MIN(INT((IF(INT(($A440-1)/70)+1&gt;CROQUIS_DATOS!$C$1525,70,MOD($A440-1,70)+1)-2)/2)+1,CROQUIS_DATOS!$C$1541),2)=1,IF(MOD(IF(INT(($A440-1)/70)+1&gt;CROQUIS_DATOS!$C$1525,70,MOD($A440-1,70)+1)-2,2)=0,0,1),IF(MOD(IF(INT(($A440-1)/70)+1&gt;CROQUIS_DATOS!$C$1525,70,MOD($A440-1,70)+1)-2,2)=0,1,0))))=0,(INDEX($E$8:$E$23,MIN(INT(($A440-1)/70)+1,CROQUIS_DATOS!$C$1525))-INDEX($F$8:$F$23,MIN(INT(($A440-1)/70)+1,CROQUIS_DATOS!$C$1525))/2),(INDEX($E$8:$E$23,MIN(INT(($A440-1)/70)+1,CROQUIS_DATOS!$C$1525))+INDEX($F$8:$F$23,MIN(INT(($A440-1)/70)+1,CROQUIS_DATOS!$C$1525))/2)))*CROQUIS_DATOS!$C$1562),-1000)</f>
        <v>82.8189655172414</v>
      </c>
      <c r="O440">
        <f>IF(AND(CROQUIS_DATOS!$C$1472=1,1),(CROQUIS_DATOS!$C$1564+(IF(OR(IF(INT(($A440-1)/70)+1&gt;CROQUIS_DATOS!$C$1525,70,MOD($A440-1,70)+1)=1,IF(INT(($A440-1)/70)+1&gt;CROQUIS_DATOS!$C$1525,70,MOD($A440-1,70)+1)&gt;2*CROQUIS_DATOS!$C$1541+1),CROQUIS_DATOS!$C$1476,INDEX($H$8:$H$41,MIN(INT((IF(INT(($A440-1)/70)+1&gt;CROQUIS_DATOS!$C$1525,70,MOD($A440-1,70)+1)-2)/2)+1,CROQUIS_DATOS!$C$1541))))*CROQUIS_DATOS!$C$1561*CROQUIS_DATOS!$C$1562),-1000)</f>
        <v>40.2068965517241</v>
      </c>
    </row>
    <row r="441">
      <c r="A441" t="n">
        <v>434</v>
      </c>
      <c r="N441">
        <f>IF(AND(CROQUIS_DATOS!$C$1472=1,1),(CROQUIS_DATOS!$C$1563+(IF(IF(IF(INT(($A441-1)/70)+1&gt;CROQUIS_DATOS!$C$1525,70,MOD($A441-1,70)+1)=1,0,IF(IF(INT(($A441-1)/70)+1&gt;CROQUIS_DATOS!$C$1525,70,MOD($A441-1,70)+1)&gt;2*CROQUIS_DATOS!$C$1541+1,IF(MOD(CROQUIS_DATOS!$C$1541,2)=1,1,0),IF(MOD(MIN(INT((IF(INT(($A441-1)/70)+1&gt;CROQUIS_DATOS!$C$1525,70,MOD($A441-1,70)+1)-2)/2)+1,CROQUIS_DATOS!$C$1541),2)=1,IF(MOD(IF(INT(($A441-1)/70)+1&gt;CROQUIS_DATOS!$C$1525,70,MOD($A441-1,70)+1)-2,2)=0,0,1),IF(MOD(IF(INT(($A441-1)/70)+1&gt;CROQUIS_DATOS!$C$1525,70,MOD($A441-1,70)+1)-2,2)=0,1,0))))=0,(INDEX($E$8:$E$23,MIN(INT(($A441-1)/70)+1,CROQUIS_DATOS!$C$1525))-INDEX($F$8:$F$23,MIN(INT(($A441-1)/70)+1,CROQUIS_DATOS!$C$1525))/2),(INDEX($E$8:$E$23,MIN(INT(($A441-1)/70)+1,CROQUIS_DATOS!$C$1525))+INDEX($F$8:$F$23,MIN(INT(($A441-1)/70)+1,CROQUIS_DATOS!$C$1525))/2)))*CROQUIS_DATOS!$C$1562),-1000)</f>
        <v>82.8189655172414</v>
      </c>
      <c r="O441">
        <f>IF(AND(CROQUIS_DATOS!$C$1472=1,1),(CROQUIS_DATOS!$C$1564+(IF(OR(IF(INT(($A441-1)/70)+1&gt;CROQUIS_DATOS!$C$1525,70,MOD($A441-1,70)+1)=1,IF(INT(($A441-1)/70)+1&gt;CROQUIS_DATOS!$C$1525,70,MOD($A441-1,70)+1)&gt;2*CROQUIS_DATOS!$C$1541+1),CROQUIS_DATOS!$C$1476,INDEX($H$8:$H$41,MIN(INT((IF(INT(($A441-1)/70)+1&gt;CROQUIS_DATOS!$C$1525,70,MOD($A441-1,70)+1)-2)/2)+1,CROQUIS_DATOS!$C$1541))))*CROQUIS_DATOS!$C$1561*CROQUIS_DATOS!$C$1562),-1000)</f>
        <v>40.2068965517241</v>
      </c>
    </row>
    <row r="442">
      <c r="A442" t="n">
        <v>435</v>
      </c>
      <c r="N442">
        <f>IF(AND(CROQUIS_DATOS!$C$1472=1,1),(CROQUIS_DATOS!$C$1563+(IF(IF(IF(INT(($A442-1)/70)+1&gt;CROQUIS_DATOS!$C$1525,70,MOD($A442-1,70)+1)=1,0,IF(IF(INT(($A442-1)/70)+1&gt;CROQUIS_DATOS!$C$1525,70,MOD($A442-1,70)+1)&gt;2*CROQUIS_DATOS!$C$1541+1,IF(MOD(CROQUIS_DATOS!$C$1541,2)=1,1,0),IF(MOD(MIN(INT((IF(INT(($A442-1)/70)+1&gt;CROQUIS_DATOS!$C$1525,70,MOD($A442-1,70)+1)-2)/2)+1,CROQUIS_DATOS!$C$1541),2)=1,IF(MOD(IF(INT(($A442-1)/70)+1&gt;CROQUIS_DATOS!$C$1525,70,MOD($A442-1,70)+1)-2,2)=0,0,1),IF(MOD(IF(INT(($A442-1)/70)+1&gt;CROQUIS_DATOS!$C$1525,70,MOD($A442-1,70)+1)-2,2)=0,1,0))))=0,(INDEX($E$8:$E$23,MIN(INT(($A442-1)/70)+1,CROQUIS_DATOS!$C$1525))-INDEX($F$8:$F$23,MIN(INT(($A442-1)/70)+1,CROQUIS_DATOS!$C$1525))/2),(INDEX($E$8:$E$23,MIN(INT(($A442-1)/70)+1,CROQUIS_DATOS!$C$1525))+INDEX($F$8:$F$23,MIN(INT(($A442-1)/70)+1,CROQUIS_DATOS!$C$1525))/2)))*CROQUIS_DATOS!$C$1562),-1000)</f>
        <v>82.8189655172414</v>
      </c>
      <c r="O442">
        <f>IF(AND(CROQUIS_DATOS!$C$1472=1,1),(CROQUIS_DATOS!$C$1564+(IF(OR(IF(INT(($A442-1)/70)+1&gt;CROQUIS_DATOS!$C$1525,70,MOD($A442-1,70)+1)=1,IF(INT(($A442-1)/70)+1&gt;CROQUIS_DATOS!$C$1525,70,MOD($A442-1,70)+1)&gt;2*CROQUIS_DATOS!$C$1541+1),CROQUIS_DATOS!$C$1476,INDEX($H$8:$H$41,MIN(INT((IF(INT(($A442-1)/70)+1&gt;CROQUIS_DATOS!$C$1525,70,MOD($A442-1,70)+1)-2)/2)+1,CROQUIS_DATOS!$C$1541))))*CROQUIS_DATOS!$C$1561*CROQUIS_DATOS!$C$1562),-1000)</f>
        <v>40.2068965517241</v>
      </c>
    </row>
    <row r="443">
      <c r="A443" t="n">
        <v>436</v>
      </c>
      <c r="N443">
        <f>IF(AND(CROQUIS_DATOS!$C$1472=1,1),(CROQUIS_DATOS!$C$1563+(IF(IF(IF(INT(($A443-1)/70)+1&gt;CROQUIS_DATOS!$C$1525,70,MOD($A443-1,70)+1)=1,0,IF(IF(INT(($A443-1)/70)+1&gt;CROQUIS_DATOS!$C$1525,70,MOD($A443-1,70)+1)&gt;2*CROQUIS_DATOS!$C$1541+1,IF(MOD(CROQUIS_DATOS!$C$1541,2)=1,1,0),IF(MOD(MIN(INT((IF(INT(($A443-1)/70)+1&gt;CROQUIS_DATOS!$C$1525,70,MOD($A443-1,70)+1)-2)/2)+1,CROQUIS_DATOS!$C$1541),2)=1,IF(MOD(IF(INT(($A443-1)/70)+1&gt;CROQUIS_DATOS!$C$1525,70,MOD($A443-1,70)+1)-2,2)=0,0,1),IF(MOD(IF(INT(($A443-1)/70)+1&gt;CROQUIS_DATOS!$C$1525,70,MOD($A443-1,70)+1)-2,2)=0,1,0))))=0,(INDEX($E$8:$E$23,MIN(INT(($A443-1)/70)+1,CROQUIS_DATOS!$C$1525))-INDEX($F$8:$F$23,MIN(INT(($A443-1)/70)+1,CROQUIS_DATOS!$C$1525))/2),(INDEX($E$8:$E$23,MIN(INT(($A443-1)/70)+1,CROQUIS_DATOS!$C$1525))+INDEX($F$8:$F$23,MIN(INT(($A443-1)/70)+1,CROQUIS_DATOS!$C$1525))/2)))*CROQUIS_DATOS!$C$1562),-1000)</f>
        <v>82.8189655172414</v>
      </c>
      <c r="O443">
        <f>IF(AND(CROQUIS_DATOS!$C$1472=1,1),(CROQUIS_DATOS!$C$1564+(IF(OR(IF(INT(($A443-1)/70)+1&gt;CROQUIS_DATOS!$C$1525,70,MOD($A443-1,70)+1)=1,IF(INT(($A443-1)/70)+1&gt;CROQUIS_DATOS!$C$1525,70,MOD($A443-1,70)+1)&gt;2*CROQUIS_DATOS!$C$1541+1),CROQUIS_DATOS!$C$1476,INDEX($H$8:$H$41,MIN(INT((IF(INT(($A443-1)/70)+1&gt;CROQUIS_DATOS!$C$1525,70,MOD($A443-1,70)+1)-2)/2)+1,CROQUIS_DATOS!$C$1541))))*CROQUIS_DATOS!$C$1561*CROQUIS_DATOS!$C$1562),-1000)</f>
        <v>40.2068965517241</v>
      </c>
    </row>
    <row r="444">
      <c r="A444" t="n">
        <v>437</v>
      </c>
      <c r="N444">
        <f>IF(AND(CROQUIS_DATOS!$C$1472=1,1),(CROQUIS_DATOS!$C$1563+(IF(IF(IF(INT(($A444-1)/70)+1&gt;CROQUIS_DATOS!$C$1525,70,MOD($A444-1,70)+1)=1,0,IF(IF(INT(($A444-1)/70)+1&gt;CROQUIS_DATOS!$C$1525,70,MOD($A444-1,70)+1)&gt;2*CROQUIS_DATOS!$C$1541+1,IF(MOD(CROQUIS_DATOS!$C$1541,2)=1,1,0),IF(MOD(MIN(INT((IF(INT(($A444-1)/70)+1&gt;CROQUIS_DATOS!$C$1525,70,MOD($A444-1,70)+1)-2)/2)+1,CROQUIS_DATOS!$C$1541),2)=1,IF(MOD(IF(INT(($A444-1)/70)+1&gt;CROQUIS_DATOS!$C$1525,70,MOD($A444-1,70)+1)-2,2)=0,0,1),IF(MOD(IF(INT(($A444-1)/70)+1&gt;CROQUIS_DATOS!$C$1525,70,MOD($A444-1,70)+1)-2,2)=0,1,0))))=0,(INDEX($E$8:$E$23,MIN(INT(($A444-1)/70)+1,CROQUIS_DATOS!$C$1525))-INDEX($F$8:$F$23,MIN(INT(($A444-1)/70)+1,CROQUIS_DATOS!$C$1525))/2),(INDEX($E$8:$E$23,MIN(INT(($A444-1)/70)+1,CROQUIS_DATOS!$C$1525))+INDEX($F$8:$F$23,MIN(INT(($A444-1)/70)+1,CROQUIS_DATOS!$C$1525))/2)))*CROQUIS_DATOS!$C$1562),-1000)</f>
        <v>82.8189655172414</v>
      </c>
      <c r="O444">
        <f>IF(AND(CROQUIS_DATOS!$C$1472=1,1),(CROQUIS_DATOS!$C$1564+(IF(OR(IF(INT(($A444-1)/70)+1&gt;CROQUIS_DATOS!$C$1525,70,MOD($A444-1,70)+1)=1,IF(INT(($A444-1)/70)+1&gt;CROQUIS_DATOS!$C$1525,70,MOD($A444-1,70)+1)&gt;2*CROQUIS_DATOS!$C$1541+1),CROQUIS_DATOS!$C$1476,INDEX($H$8:$H$41,MIN(INT((IF(INT(($A444-1)/70)+1&gt;CROQUIS_DATOS!$C$1525,70,MOD($A444-1,70)+1)-2)/2)+1,CROQUIS_DATOS!$C$1541))))*CROQUIS_DATOS!$C$1561*CROQUIS_DATOS!$C$1562),-1000)</f>
        <v>40.2068965517241</v>
      </c>
    </row>
    <row r="445">
      <c r="A445" t="n">
        <v>438</v>
      </c>
      <c r="N445">
        <f>IF(AND(CROQUIS_DATOS!$C$1472=1,1),(CROQUIS_DATOS!$C$1563+(IF(IF(IF(INT(($A445-1)/70)+1&gt;CROQUIS_DATOS!$C$1525,70,MOD($A445-1,70)+1)=1,0,IF(IF(INT(($A445-1)/70)+1&gt;CROQUIS_DATOS!$C$1525,70,MOD($A445-1,70)+1)&gt;2*CROQUIS_DATOS!$C$1541+1,IF(MOD(CROQUIS_DATOS!$C$1541,2)=1,1,0),IF(MOD(MIN(INT((IF(INT(($A445-1)/70)+1&gt;CROQUIS_DATOS!$C$1525,70,MOD($A445-1,70)+1)-2)/2)+1,CROQUIS_DATOS!$C$1541),2)=1,IF(MOD(IF(INT(($A445-1)/70)+1&gt;CROQUIS_DATOS!$C$1525,70,MOD($A445-1,70)+1)-2,2)=0,0,1),IF(MOD(IF(INT(($A445-1)/70)+1&gt;CROQUIS_DATOS!$C$1525,70,MOD($A445-1,70)+1)-2,2)=0,1,0))))=0,(INDEX($E$8:$E$23,MIN(INT(($A445-1)/70)+1,CROQUIS_DATOS!$C$1525))-INDEX($F$8:$F$23,MIN(INT(($A445-1)/70)+1,CROQUIS_DATOS!$C$1525))/2),(INDEX($E$8:$E$23,MIN(INT(($A445-1)/70)+1,CROQUIS_DATOS!$C$1525))+INDEX($F$8:$F$23,MIN(INT(($A445-1)/70)+1,CROQUIS_DATOS!$C$1525))/2)))*CROQUIS_DATOS!$C$1562),-1000)</f>
        <v>82.8189655172414</v>
      </c>
      <c r="O445">
        <f>IF(AND(CROQUIS_DATOS!$C$1472=1,1),(CROQUIS_DATOS!$C$1564+(IF(OR(IF(INT(($A445-1)/70)+1&gt;CROQUIS_DATOS!$C$1525,70,MOD($A445-1,70)+1)=1,IF(INT(($A445-1)/70)+1&gt;CROQUIS_DATOS!$C$1525,70,MOD($A445-1,70)+1)&gt;2*CROQUIS_DATOS!$C$1541+1),CROQUIS_DATOS!$C$1476,INDEX($H$8:$H$41,MIN(INT((IF(INT(($A445-1)/70)+1&gt;CROQUIS_DATOS!$C$1525,70,MOD($A445-1,70)+1)-2)/2)+1,CROQUIS_DATOS!$C$1541))))*CROQUIS_DATOS!$C$1561*CROQUIS_DATOS!$C$1562),-1000)</f>
        <v>40.2068965517241</v>
      </c>
    </row>
    <row r="446">
      <c r="A446" t="n">
        <v>439</v>
      </c>
      <c r="N446">
        <f>IF(AND(CROQUIS_DATOS!$C$1472=1,1),(CROQUIS_DATOS!$C$1563+(IF(IF(IF(INT(($A446-1)/70)+1&gt;CROQUIS_DATOS!$C$1525,70,MOD($A446-1,70)+1)=1,0,IF(IF(INT(($A446-1)/70)+1&gt;CROQUIS_DATOS!$C$1525,70,MOD($A446-1,70)+1)&gt;2*CROQUIS_DATOS!$C$1541+1,IF(MOD(CROQUIS_DATOS!$C$1541,2)=1,1,0),IF(MOD(MIN(INT((IF(INT(($A446-1)/70)+1&gt;CROQUIS_DATOS!$C$1525,70,MOD($A446-1,70)+1)-2)/2)+1,CROQUIS_DATOS!$C$1541),2)=1,IF(MOD(IF(INT(($A446-1)/70)+1&gt;CROQUIS_DATOS!$C$1525,70,MOD($A446-1,70)+1)-2,2)=0,0,1),IF(MOD(IF(INT(($A446-1)/70)+1&gt;CROQUIS_DATOS!$C$1525,70,MOD($A446-1,70)+1)-2,2)=0,1,0))))=0,(INDEX($E$8:$E$23,MIN(INT(($A446-1)/70)+1,CROQUIS_DATOS!$C$1525))-INDEX($F$8:$F$23,MIN(INT(($A446-1)/70)+1,CROQUIS_DATOS!$C$1525))/2),(INDEX($E$8:$E$23,MIN(INT(($A446-1)/70)+1,CROQUIS_DATOS!$C$1525))+INDEX($F$8:$F$23,MIN(INT(($A446-1)/70)+1,CROQUIS_DATOS!$C$1525))/2)))*CROQUIS_DATOS!$C$1562),-1000)</f>
        <v>82.8189655172414</v>
      </c>
      <c r="O446">
        <f>IF(AND(CROQUIS_DATOS!$C$1472=1,1),(CROQUIS_DATOS!$C$1564+(IF(OR(IF(INT(($A446-1)/70)+1&gt;CROQUIS_DATOS!$C$1525,70,MOD($A446-1,70)+1)=1,IF(INT(($A446-1)/70)+1&gt;CROQUIS_DATOS!$C$1525,70,MOD($A446-1,70)+1)&gt;2*CROQUIS_DATOS!$C$1541+1),CROQUIS_DATOS!$C$1476,INDEX($H$8:$H$41,MIN(INT((IF(INT(($A446-1)/70)+1&gt;CROQUIS_DATOS!$C$1525,70,MOD($A446-1,70)+1)-2)/2)+1,CROQUIS_DATOS!$C$1541))))*CROQUIS_DATOS!$C$1561*CROQUIS_DATOS!$C$1562),-1000)</f>
        <v>40.2068965517241</v>
      </c>
    </row>
    <row r="447">
      <c r="A447" t="n">
        <v>440</v>
      </c>
      <c r="N447">
        <f>IF(AND(CROQUIS_DATOS!$C$1472=1,1),(CROQUIS_DATOS!$C$1563+(IF(IF(IF(INT(($A447-1)/70)+1&gt;CROQUIS_DATOS!$C$1525,70,MOD($A447-1,70)+1)=1,0,IF(IF(INT(($A447-1)/70)+1&gt;CROQUIS_DATOS!$C$1525,70,MOD($A447-1,70)+1)&gt;2*CROQUIS_DATOS!$C$1541+1,IF(MOD(CROQUIS_DATOS!$C$1541,2)=1,1,0),IF(MOD(MIN(INT((IF(INT(($A447-1)/70)+1&gt;CROQUIS_DATOS!$C$1525,70,MOD($A447-1,70)+1)-2)/2)+1,CROQUIS_DATOS!$C$1541),2)=1,IF(MOD(IF(INT(($A447-1)/70)+1&gt;CROQUIS_DATOS!$C$1525,70,MOD($A447-1,70)+1)-2,2)=0,0,1),IF(MOD(IF(INT(($A447-1)/70)+1&gt;CROQUIS_DATOS!$C$1525,70,MOD($A447-1,70)+1)-2,2)=0,1,0))))=0,(INDEX($E$8:$E$23,MIN(INT(($A447-1)/70)+1,CROQUIS_DATOS!$C$1525))-INDEX($F$8:$F$23,MIN(INT(($A447-1)/70)+1,CROQUIS_DATOS!$C$1525))/2),(INDEX($E$8:$E$23,MIN(INT(($A447-1)/70)+1,CROQUIS_DATOS!$C$1525))+INDEX($F$8:$F$23,MIN(INT(($A447-1)/70)+1,CROQUIS_DATOS!$C$1525))/2)))*CROQUIS_DATOS!$C$1562),-1000)</f>
        <v>82.8189655172414</v>
      </c>
      <c r="O447">
        <f>IF(AND(CROQUIS_DATOS!$C$1472=1,1),(CROQUIS_DATOS!$C$1564+(IF(OR(IF(INT(($A447-1)/70)+1&gt;CROQUIS_DATOS!$C$1525,70,MOD($A447-1,70)+1)=1,IF(INT(($A447-1)/70)+1&gt;CROQUIS_DATOS!$C$1525,70,MOD($A447-1,70)+1)&gt;2*CROQUIS_DATOS!$C$1541+1),CROQUIS_DATOS!$C$1476,INDEX($H$8:$H$41,MIN(INT((IF(INT(($A447-1)/70)+1&gt;CROQUIS_DATOS!$C$1525,70,MOD($A447-1,70)+1)-2)/2)+1,CROQUIS_DATOS!$C$1541))))*CROQUIS_DATOS!$C$1561*CROQUIS_DATOS!$C$1562),-1000)</f>
        <v>40.2068965517241</v>
      </c>
    </row>
    <row r="448">
      <c r="A448" t="n">
        <v>441</v>
      </c>
      <c r="N448">
        <f>IF(AND(CROQUIS_DATOS!$C$1472=1,1),(CROQUIS_DATOS!$C$1563+(IF(IF(IF(INT(($A448-1)/70)+1&gt;CROQUIS_DATOS!$C$1525,70,MOD($A448-1,70)+1)=1,0,IF(IF(INT(($A448-1)/70)+1&gt;CROQUIS_DATOS!$C$1525,70,MOD($A448-1,70)+1)&gt;2*CROQUIS_DATOS!$C$1541+1,IF(MOD(CROQUIS_DATOS!$C$1541,2)=1,1,0),IF(MOD(MIN(INT((IF(INT(($A448-1)/70)+1&gt;CROQUIS_DATOS!$C$1525,70,MOD($A448-1,70)+1)-2)/2)+1,CROQUIS_DATOS!$C$1541),2)=1,IF(MOD(IF(INT(($A448-1)/70)+1&gt;CROQUIS_DATOS!$C$1525,70,MOD($A448-1,70)+1)-2,2)=0,0,1),IF(MOD(IF(INT(($A448-1)/70)+1&gt;CROQUIS_DATOS!$C$1525,70,MOD($A448-1,70)+1)-2,2)=0,1,0))))=0,(INDEX($E$8:$E$23,MIN(INT(($A448-1)/70)+1,CROQUIS_DATOS!$C$1525))-INDEX($F$8:$F$23,MIN(INT(($A448-1)/70)+1,CROQUIS_DATOS!$C$1525))/2),(INDEX($E$8:$E$23,MIN(INT(($A448-1)/70)+1,CROQUIS_DATOS!$C$1525))+INDEX($F$8:$F$23,MIN(INT(($A448-1)/70)+1,CROQUIS_DATOS!$C$1525))/2)))*CROQUIS_DATOS!$C$1562),-1000)</f>
        <v>82.8189655172414</v>
      </c>
      <c r="O448">
        <f>IF(AND(CROQUIS_DATOS!$C$1472=1,1),(CROQUIS_DATOS!$C$1564+(IF(OR(IF(INT(($A448-1)/70)+1&gt;CROQUIS_DATOS!$C$1525,70,MOD($A448-1,70)+1)=1,IF(INT(($A448-1)/70)+1&gt;CROQUIS_DATOS!$C$1525,70,MOD($A448-1,70)+1)&gt;2*CROQUIS_DATOS!$C$1541+1),CROQUIS_DATOS!$C$1476,INDEX($H$8:$H$41,MIN(INT((IF(INT(($A448-1)/70)+1&gt;CROQUIS_DATOS!$C$1525,70,MOD($A448-1,70)+1)-2)/2)+1,CROQUIS_DATOS!$C$1541))))*CROQUIS_DATOS!$C$1561*CROQUIS_DATOS!$C$1562),-1000)</f>
        <v>40.2068965517241</v>
      </c>
    </row>
    <row r="449">
      <c r="A449" t="n">
        <v>442</v>
      </c>
      <c r="N449">
        <f>IF(AND(CROQUIS_DATOS!$C$1472=1,1),(CROQUIS_DATOS!$C$1563+(IF(IF(IF(INT(($A449-1)/70)+1&gt;CROQUIS_DATOS!$C$1525,70,MOD($A449-1,70)+1)=1,0,IF(IF(INT(($A449-1)/70)+1&gt;CROQUIS_DATOS!$C$1525,70,MOD($A449-1,70)+1)&gt;2*CROQUIS_DATOS!$C$1541+1,IF(MOD(CROQUIS_DATOS!$C$1541,2)=1,1,0),IF(MOD(MIN(INT((IF(INT(($A449-1)/70)+1&gt;CROQUIS_DATOS!$C$1525,70,MOD($A449-1,70)+1)-2)/2)+1,CROQUIS_DATOS!$C$1541),2)=1,IF(MOD(IF(INT(($A449-1)/70)+1&gt;CROQUIS_DATOS!$C$1525,70,MOD($A449-1,70)+1)-2,2)=0,0,1),IF(MOD(IF(INT(($A449-1)/70)+1&gt;CROQUIS_DATOS!$C$1525,70,MOD($A449-1,70)+1)-2,2)=0,1,0))))=0,(INDEX($E$8:$E$23,MIN(INT(($A449-1)/70)+1,CROQUIS_DATOS!$C$1525))-INDEX($F$8:$F$23,MIN(INT(($A449-1)/70)+1,CROQUIS_DATOS!$C$1525))/2),(INDEX($E$8:$E$23,MIN(INT(($A449-1)/70)+1,CROQUIS_DATOS!$C$1525))+INDEX($F$8:$F$23,MIN(INT(($A449-1)/70)+1,CROQUIS_DATOS!$C$1525))/2)))*CROQUIS_DATOS!$C$1562),-1000)</f>
        <v>82.8189655172414</v>
      </c>
      <c r="O449">
        <f>IF(AND(CROQUIS_DATOS!$C$1472=1,1),(CROQUIS_DATOS!$C$1564+(IF(OR(IF(INT(($A449-1)/70)+1&gt;CROQUIS_DATOS!$C$1525,70,MOD($A449-1,70)+1)=1,IF(INT(($A449-1)/70)+1&gt;CROQUIS_DATOS!$C$1525,70,MOD($A449-1,70)+1)&gt;2*CROQUIS_DATOS!$C$1541+1),CROQUIS_DATOS!$C$1476,INDEX($H$8:$H$41,MIN(INT((IF(INT(($A449-1)/70)+1&gt;CROQUIS_DATOS!$C$1525,70,MOD($A449-1,70)+1)-2)/2)+1,CROQUIS_DATOS!$C$1541))))*CROQUIS_DATOS!$C$1561*CROQUIS_DATOS!$C$1562),-1000)</f>
        <v>40.2068965517241</v>
      </c>
    </row>
    <row r="450">
      <c r="A450" t="n">
        <v>443</v>
      </c>
      <c r="N450">
        <f>IF(AND(CROQUIS_DATOS!$C$1472=1,1),(CROQUIS_DATOS!$C$1563+(IF(IF(IF(INT(($A450-1)/70)+1&gt;CROQUIS_DATOS!$C$1525,70,MOD($A450-1,70)+1)=1,0,IF(IF(INT(($A450-1)/70)+1&gt;CROQUIS_DATOS!$C$1525,70,MOD($A450-1,70)+1)&gt;2*CROQUIS_DATOS!$C$1541+1,IF(MOD(CROQUIS_DATOS!$C$1541,2)=1,1,0),IF(MOD(MIN(INT((IF(INT(($A450-1)/70)+1&gt;CROQUIS_DATOS!$C$1525,70,MOD($A450-1,70)+1)-2)/2)+1,CROQUIS_DATOS!$C$1541),2)=1,IF(MOD(IF(INT(($A450-1)/70)+1&gt;CROQUIS_DATOS!$C$1525,70,MOD($A450-1,70)+1)-2,2)=0,0,1),IF(MOD(IF(INT(($A450-1)/70)+1&gt;CROQUIS_DATOS!$C$1525,70,MOD($A450-1,70)+1)-2,2)=0,1,0))))=0,(INDEX($E$8:$E$23,MIN(INT(($A450-1)/70)+1,CROQUIS_DATOS!$C$1525))-INDEX($F$8:$F$23,MIN(INT(($A450-1)/70)+1,CROQUIS_DATOS!$C$1525))/2),(INDEX($E$8:$E$23,MIN(INT(($A450-1)/70)+1,CROQUIS_DATOS!$C$1525))+INDEX($F$8:$F$23,MIN(INT(($A450-1)/70)+1,CROQUIS_DATOS!$C$1525))/2)))*CROQUIS_DATOS!$C$1562),-1000)</f>
        <v>82.8189655172414</v>
      </c>
      <c r="O450">
        <f>IF(AND(CROQUIS_DATOS!$C$1472=1,1),(CROQUIS_DATOS!$C$1564+(IF(OR(IF(INT(($A450-1)/70)+1&gt;CROQUIS_DATOS!$C$1525,70,MOD($A450-1,70)+1)=1,IF(INT(($A450-1)/70)+1&gt;CROQUIS_DATOS!$C$1525,70,MOD($A450-1,70)+1)&gt;2*CROQUIS_DATOS!$C$1541+1),CROQUIS_DATOS!$C$1476,INDEX($H$8:$H$41,MIN(INT((IF(INT(($A450-1)/70)+1&gt;CROQUIS_DATOS!$C$1525,70,MOD($A450-1,70)+1)-2)/2)+1,CROQUIS_DATOS!$C$1541))))*CROQUIS_DATOS!$C$1561*CROQUIS_DATOS!$C$1562),-1000)</f>
        <v>40.2068965517241</v>
      </c>
    </row>
    <row r="451">
      <c r="A451" t="n">
        <v>444</v>
      </c>
      <c r="N451">
        <f>IF(AND(CROQUIS_DATOS!$C$1472=1,1),(CROQUIS_DATOS!$C$1563+(IF(IF(IF(INT(($A451-1)/70)+1&gt;CROQUIS_DATOS!$C$1525,70,MOD($A451-1,70)+1)=1,0,IF(IF(INT(($A451-1)/70)+1&gt;CROQUIS_DATOS!$C$1525,70,MOD($A451-1,70)+1)&gt;2*CROQUIS_DATOS!$C$1541+1,IF(MOD(CROQUIS_DATOS!$C$1541,2)=1,1,0),IF(MOD(MIN(INT((IF(INT(($A451-1)/70)+1&gt;CROQUIS_DATOS!$C$1525,70,MOD($A451-1,70)+1)-2)/2)+1,CROQUIS_DATOS!$C$1541),2)=1,IF(MOD(IF(INT(($A451-1)/70)+1&gt;CROQUIS_DATOS!$C$1525,70,MOD($A451-1,70)+1)-2,2)=0,0,1),IF(MOD(IF(INT(($A451-1)/70)+1&gt;CROQUIS_DATOS!$C$1525,70,MOD($A451-1,70)+1)-2,2)=0,1,0))))=0,(INDEX($E$8:$E$23,MIN(INT(($A451-1)/70)+1,CROQUIS_DATOS!$C$1525))-INDEX($F$8:$F$23,MIN(INT(($A451-1)/70)+1,CROQUIS_DATOS!$C$1525))/2),(INDEX($E$8:$E$23,MIN(INT(($A451-1)/70)+1,CROQUIS_DATOS!$C$1525))+INDEX($F$8:$F$23,MIN(INT(($A451-1)/70)+1,CROQUIS_DATOS!$C$1525))/2)))*CROQUIS_DATOS!$C$1562),-1000)</f>
        <v>82.8189655172414</v>
      </c>
      <c r="O451">
        <f>IF(AND(CROQUIS_DATOS!$C$1472=1,1),(CROQUIS_DATOS!$C$1564+(IF(OR(IF(INT(($A451-1)/70)+1&gt;CROQUIS_DATOS!$C$1525,70,MOD($A451-1,70)+1)=1,IF(INT(($A451-1)/70)+1&gt;CROQUIS_DATOS!$C$1525,70,MOD($A451-1,70)+1)&gt;2*CROQUIS_DATOS!$C$1541+1),CROQUIS_DATOS!$C$1476,INDEX($H$8:$H$41,MIN(INT((IF(INT(($A451-1)/70)+1&gt;CROQUIS_DATOS!$C$1525,70,MOD($A451-1,70)+1)-2)/2)+1,CROQUIS_DATOS!$C$1541))))*CROQUIS_DATOS!$C$1561*CROQUIS_DATOS!$C$1562),-1000)</f>
        <v>40.2068965517241</v>
      </c>
    </row>
    <row r="452">
      <c r="A452" t="n">
        <v>445</v>
      </c>
      <c r="N452">
        <f>IF(AND(CROQUIS_DATOS!$C$1472=1,1),(CROQUIS_DATOS!$C$1563+(IF(IF(IF(INT(($A452-1)/70)+1&gt;CROQUIS_DATOS!$C$1525,70,MOD($A452-1,70)+1)=1,0,IF(IF(INT(($A452-1)/70)+1&gt;CROQUIS_DATOS!$C$1525,70,MOD($A452-1,70)+1)&gt;2*CROQUIS_DATOS!$C$1541+1,IF(MOD(CROQUIS_DATOS!$C$1541,2)=1,1,0),IF(MOD(MIN(INT((IF(INT(($A452-1)/70)+1&gt;CROQUIS_DATOS!$C$1525,70,MOD($A452-1,70)+1)-2)/2)+1,CROQUIS_DATOS!$C$1541),2)=1,IF(MOD(IF(INT(($A452-1)/70)+1&gt;CROQUIS_DATOS!$C$1525,70,MOD($A452-1,70)+1)-2,2)=0,0,1),IF(MOD(IF(INT(($A452-1)/70)+1&gt;CROQUIS_DATOS!$C$1525,70,MOD($A452-1,70)+1)-2,2)=0,1,0))))=0,(INDEX($E$8:$E$23,MIN(INT(($A452-1)/70)+1,CROQUIS_DATOS!$C$1525))-INDEX($F$8:$F$23,MIN(INT(($A452-1)/70)+1,CROQUIS_DATOS!$C$1525))/2),(INDEX($E$8:$E$23,MIN(INT(($A452-1)/70)+1,CROQUIS_DATOS!$C$1525))+INDEX($F$8:$F$23,MIN(INT(($A452-1)/70)+1,CROQUIS_DATOS!$C$1525))/2)))*CROQUIS_DATOS!$C$1562),-1000)</f>
        <v>82.8189655172414</v>
      </c>
      <c r="O452">
        <f>IF(AND(CROQUIS_DATOS!$C$1472=1,1),(CROQUIS_DATOS!$C$1564+(IF(OR(IF(INT(($A452-1)/70)+1&gt;CROQUIS_DATOS!$C$1525,70,MOD($A452-1,70)+1)=1,IF(INT(($A452-1)/70)+1&gt;CROQUIS_DATOS!$C$1525,70,MOD($A452-1,70)+1)&gt;2*CROQUIS_DATOS!$C$1541+1),CROQUIS_DATOS!$C$1476,INDEX($H$8:$H$41,MIN(INT((IF(INT(($A452-1)/70)+1&gt;CROQUIS_DATOS!$C$1525,70,MOD($A452-1,70)+1)-2)/2)+1,CROQUIS_DATOS!$C$1541))))*CROQUIS_DATOS!$C$1561*CROQUIS_DATOS!$C$1562),-1000)</f>
        <v>40.2068965517241</v>
      </c>
    </row>
    <row r="453">
      <c r="A453" t="n">
        <v>446</v>
      </c>
      <c r="N453">
        <f>IF(AND(CROQUIS_DATOS!$C$1472=1,1),(CROQUIS_DATOS!$C$1563+(IF(IF(IF(INT(($A453-1)/70)+1&gt;CROQUIS_DATOS!$C$1525,70,MOD($A453-1,70)+1)=1,0,IF(IF(INT(($A453-1)/70)+1&gt;CROQUIS_DATOS!$C$1525,70,MOD($A453-1,70)+1)&gt;2*CROQUIS_DATOS!$C$1541+1,IF(MOD(CROQUIS_DATOS!$C$1541,2)=1,1,0),IF(MOD(MIN(INT((IF(INT(($A453-1)/70)+1&gt;CROQUIS_DATOS!$C$1525,70,MOD($A453-1,70)+1)-2)/2)+1,CROQUIS_DATOS!$C$1541),2)=1,IF(MOD(IF(INT(($A453-1)/70)+1&gt;CROQUIS_DATOS!$C$1525,70,MOD($A453-1,70)+1)-2,2)=0,0,1),IF(MOD(IF(INT(($A453-1)/70)+1&gt;CROQUIS_DATOS!$C$1525,70,MOD($A453-1,70)+1)-2,2)=0,1,0))))=0,(INDEX($E$8:$E$23,MIN(INT(($A453-1)/70)+1,CROQUIS_DATOS!$C$1525))-INDEX($F$8:$F$23,MIN(INT(($A453-1)/70)+1,CROQUIS_DATOS!$C$1525))/2),(INDEX($E$8:$E$23,MIN(INT(($A453-1)/70)+1,CROQUIS_DATOS!$C$1525))+INDEX($F$8:$F$23,MIN(INT(($A453-1)/70)+1,CROQUIS_DATOS!$C$1525))/2)))*CROQUIS_DATOS!$C$1562),-1000)</f>
        <v>82.8189655172414</v>
      </c>
      <c r="O453">
        <f>IF(AND(CROQUIS_DATOS!$C$1472=1,1),(CROQUIS_DATOS!$C$1564+(IF(OR(IF(INT(($A453-1)/70)+1&gt;CROQUIS_DATOS!$C$1525,70,MOD($A453-1,70)+1)=1,IF(INT(($A453-1)/70)+1&gt;CROQUIS_DATOS!$C$1525,70,MOD($A453-1,70)+1)&gt;2*CROQUIS_DATOS!$C$1541+1),CROQUIS_DATOS!$C$1476,INDEX($H$8:$H$41,MIN(INT((IF(INT(($A453-1)/70)+1&gt;CROQUIS_DATOS!$C$1525,70,MOD($A453-1,70)+1)-2)/2)+1,CROQUIS_DATOS!$C$1541))))*CROQUIS_DATOS!$C$1561*CROQUIS_DATOS!$C$1562),-1000)</f>
        <v>40.2068965517241</v>
      </c>
    </row>
    <row r="454">
      <c r="A454" t="n">
        <v>447</v>
      </c>
      <c r="N454">
        <f>IF(AND(CROQUIS_DATOS!$C$1472=1,1),(CROQUIS_DATOS!$C$1563+(IF(IF(IF(INT(($A454-1)/70)+1&gt;CROQUIS_DATOS!$C$1525,70,MOD($A454-1,70)+1)=1,0,IF(IF(INT(($A454-1)/70)+1&gt;CROQUIS_DATOS!$C$1525,70,MOD($A454-1,70)+1)&gt;2*CROQUIS_DATOS!$C$1541+1,IF(MOD(CROQUIS_DATOS!$C$1541,2)=1,1,0),IF(MOD(MIN(INT((IF(INT(($A454-1)/70)+1&gt;CROQUIS_DATOS!$C$1525,70,MOD($A454-1,70)+1)-2)/2)+1,CROQUIS_DATOS!$C$1541),2)=1,IF(MOD(IF(INT(($A454-1)/70)+1&gt;CROQUIS_DATOS!$C$1525,70,MOD($A454-1,70)+1)-2,2)=0,0,1),IF(MOD(IF(INT(($A454-1)/70)+1&gt;CROQUIS_DATOS!$C$1525,70,MOD($A454-1,70)+1)-2,2)=0,1,0))))=0,(INDEX($E$8:$E$23,MIN(INT(($A454-1)/70)+1,CROQUIS_DATOS!$C$1525))-INDEX($F$8:$F$23,MIN(INT(($A454-1)/70)+1,CROQUIS_DATOS!$C$1525))/2),(INDEX($E$8:$E$23,MIN(INT(($A454-1)/70)+1,CROQUIS_DATOS!$C$1525))+INDEX($F$8:$F$23,MIN(INT(($A454-1)/70)+1,CROQUIS_DATOS!$C$1525))/2)))*CROQUIS_DATOS!$C$1562),-1000)</f>
        <v>82.8189655172414</v>
      </c>
      <c r="O454">
        <f>IF(AND(CROQUIS_DATOS!$C$1472=1,1),(CROQUIS_DATOS!$C$1564+(IF(OR(IF(INT(($A454-1)/70)+1&gt;CROQUIS_DATOS!$C$1525,70,MOD($A454-1,70)+1)=1,IF(INT(($A454-1)/70)+1&gt;CROQUIS_DATOS!$C$1525,70,MOD($A454-1,70)+1)&gt;2*CROQUIS_DATOS!$C$1541+1),CROQUIS_DATOS!$C$1476,INDEX($H$8:$H$41,MIN(INT((IF(INT(($A454-1)/70)+1&gt;CROQUIS_DATOS!$C$1525,70,MOD($A454-1,70)+1)-2)/2)+1,CROQUIS_DATOS!$C$1541))))*CROQUIS_DATOS!$C$1561*CROQUIS_DATOS!$C$1562),-1000)</f>
        <v>40.2068965517241</v>
      </c>
    </row>
    <row r="455">
      <c r="A455" t="n">
        <v>448</v>
      </c>
      <c r="N455">
        <f>IF(AND(CROQUIS_DATOS!$C$1472=1,1),(CROQUIS_DATOS!$C$1563+(IF(IF(IF(INT(($A455-1)/70)+1&gt;CROQUIS_DATOS!$C$1525,70,MOD($A455-1,70)+1)=1,0,IF(IF(INT(($A455-1)/70)+1&gt;CROQUIS_DATOS!$C$1525,70,MOD($A455-1,70)+1)&gt;2*CROQUIS_DATOS!$C$1541+1,IF(MOD(CROQUIS_DATOS!$C$1541,2)=1,1,0),IF(MOD(MIN(INT((IF(INT(($A455-1)/70)+1&gt;CROQUIS_DATOS!$C$1525,70,MOD($A455-1,70)+1)-2)/2)+1,CROQUIS_DATOS!$C$1541),2)=1,IF(MOD(IF(INT(($A455-1)/70)+1&gt;CROQUIS_DATOS!$C$1525,70,MOD($A455-1,70)+1)-2,2)=0,0,1),IF(MOD(IF(INT(($A455-1)/70)+1&gt;CROQUIS_DATOS!$C$1525,70,MOD($A455-1,70)+1)-2,2)=0,1,0))))=0,(INDEX($E$8:$E$23,MIN(INT(($A455-1)/70)+1,CROQUIS_DATOS!$C$1525))-INDEX($F$8:$F$23,MIN(INT(($A455-1)/70)+1,CROQUIS_DATOS!$C$1525))/2),(INDEX($E$8:$E$23,MIN(INT(($A455-1)/70)+1,CROQUIS_DATOS!$C$1525))+INDEX($F$8:$F$23,MIN(INT(($A455-1)/70)+1,CROQUIS_DATOS!$C$1525))/2)))*CROQUIS_DATOS!$C$1562),-1000)</f>
        <v>82.8189655172414</v>
      </c>
      <c r="O455">
        <f>IF(AND(CROQUIS_DATOS!$C$1472=1,1),(CROQUIS_DATOS!$C$1564+(IF(OR(IF(INT(($A455-1)/70)+1&gt;CROQUIS_DATOS!$C$1525,70,MOD($A455-1,70)+1)=1,IF(INT(($A455-1)/70)+1&gt;CROQUIS_DATOS!$C$1525,70,MOD($A455-1,70)+1)&gt;2*CROQUIS_DATOS!$C$1541+1),CROQUIS_DATOS!$C$1476,INDEX($H$8:$H$41,MIN(INT((IF(INT(($A455-1)/70)+1&gt;CROQUIS_DATOS!$C$1525,70,MOD($A455-1,70)+1)-2)/2)+1,CROQUIS_DATOS!$C$1541))))*CROQUIS_DATOS!$C$1561*CROQUIS_DATOS!$C$1562),-1000)</f>
        <v>40.2068965517241</v>
      </c>
    </row>
    <row r="456">
      <c r="A456" t="n">
        <v>449</v>
      </c>
      <c r="N456">
        <f>IF(AND(CROQUIS_DATOS!$C$1472=1,1),(CROQUIS_DATOS!$C$1563+(IF(IF(IF(INT(($A456-1)/70)+1&gt;CROQUIS_DATOS!$C$1525,70,MOD($A456-1,70)+1)=1,0,IF(IF(INT(($A456-1)/70)+1&gt;CROQUIS_DATOS!$C$1525,70,MOD($A456-1,70)+1)&gt;2*CROQUIS_DATOS!$C$1541+1,IF(MOD(CROQUIS_DATOS!$C$1541,2)=1,1,0),IF(MOD(MIN(INT((IF(INT(($A456-1)/70)+1&gt;CROQUIS_DATOS!$C$1525,70,MOD($A456-1,70)+1)-2)/2)+1,CROQUIS_DATOS!$C$1541),2)=1,IF(MOD(IF(INT(($A456-1)/70)+1&gt;CROQUIS_DATOS!$C$1525,70,MOD($A456-1,70)+1)-2,2)=0,0,1),IF(MOD(IF(INT(($A456-1)/70)+1&gt;CROQUIS_DATOS!$C$1525,70,MOD($A456-1,70)+1)-2,2)=0,1,0))))=0,(INDEX($E$8:$E$23,MIN(INT(($A456-1)/70)+1,CROQUIS_DATOS!$C$1525))-INDEX($F$8:$F$23,MIN(INT(($A456-1)/70)+1,CROQUIS_DATOS!$C$1525))/2),(INDEX($E$8:$E$23,MIN(INT(($A456-1)/70)+1,CROQUIS_DATOS!$C$1525))+INDEX($F$8:$F$23,MIN(INT(($A456-1)/70)+1,CROQUIS_DATOS!$C$1525))/2)))*CROQUIS_DATOS!$C$1562),-1000)</f>
        <v>82.8189655172414</v>
      </c>
      <c r="O456">
        <f>IF(AND(CROQUIS_DATOS!$C$1472=1,1),(CROQUIS_DATOS!$C$1564+(IF(OR(IF(INT(($A456-1)/70)+1&gt;CROQUIS_DATOS!$C$1525,70,MOD($A456-1,70)+1)=1,IF(INT(($A456-1)/70)+1&gt;CROQUIS_DATOS!$C$1525,70,MOD($A456-1,70)+1)&gt;2*CROQUIS_DATOS!$C$1541+1),CROQUIS_DATOS!$C$1476,INDEX($H$8:$H$41,MIN(INT((IF(INT(($A456-1)/70)+1&gt;CROQUIS_DATOS!$C$1525,70,MOD($A456-1,70)+1)-2)/2)+1,CROQUIS_DATOS!$C$1541))))*CROQUIS_DATOS!$C$1561*CROQUIS_DATOS!$C$1562),-1000)</f>
        <v>40.2068965517241</v>
      </c>
    </row>
    <row r="457">
      <c r="A457" t="n">
        <v>450</v>
      </c>
      <c r="N457">
        <f>IF(AND(CROQUIS_DATOS!$C$1472=1,1),(CROQUIS_DATOS!$C$1563+(IF(IF(IF(INT(($A457-1)/70)+1&gt;CROQUIS_DATOS!$C$1525,70,MOD($A457-1,70)+1)=1,0,IF(IF(INT(($A457-1)/70)+1&gt;CROQUIS_DATOS!$C$1525,70,MOD($A457-1,70)+1)&gt;2*CROQUIS_DATOS!$C$1541+1,IF(MOD(CROQUIS_DATOS!$C$1541,2)=1,1,0),IF(MOD(MIN(INT((IF(INT(($A457-1)/70)+1&gt;CROQUIS_DATOS!$C$1525,70,MOD($A457-1,70)+1)-2)/2)+1,CROQUIS_DATOS!$C$1541),2)=1,IF(MOD(IF(INT(($A457-1)/70)+1&gt;CROQUIS_DATOS!$C$1525,70,MOD($A457-1,70)+1)-2,2)=0,0,1),IF(MOD(IF(INT(($A457-1)/70)+1&gt;CROQUIS_DATOS!$C$1525,70,MOD($A457-1,70)+1)-2,2)=0,1,0))))=0,(INDEX($E$8:$E$23,MIN(INT(($A457-1)/70)+1,CROQUIS_DATOS!$C$1525))-INDEX($F$8:$F$23,MIN(INT(($A457-1)/70)+1,CROQUIS_DATOS!$C$1525))/2),(INDEX($E$8:$E$23,MIN(INT(($A457-1)/70)+1,CROQUIS_DATOS!$C$1525))+INDEX($F$8:$F$23,MIN(INT(($A457-1)/70)+1,CROQUIS_DATOS!$C$1525))/2)))*CROQUIS_DATOS!$C$1562),-1000)</f>
        <v>82.8189655172414</v>
      </c>
      <c r="O457">
        <f>IF(AND(CROQUIS_DATOS!$C$1472=1,1),(CROQUIS_DATOS!$C$1564+(IF(OR(IF(INT(($A457-1)/70)+1&gt;CROQUIS_DATOS!$C$1525,70,MOD($A457-1,70)+1)=1,IF(INT(($A457-1)/70)+1&gt;CROQUIS_DATOS!$C$1525,70,MOD($A457-1,70)+1)&gt;2*CROQUIS_DATOS!$C$1541+1),CROQUIS_DATOS!$C$1476,INDEX($H$8:$H$41,MIN(INT((IF(INT(($A457-1)/70)+1&gt;CROQUIS_DATOS!$C$1525,70,MOD($A457-1,70)+1)-2)/2)+1,CROQUIS_DATOS!$C$1541))))*CROQUIS_DATOS!$C$1561*CROQUIS_DATOS!$C$1562),-1000)</f>
        <v>40.2068965517241</v>
      </c>
    </row>
    <row r="458">
      <c r="A458" t="n">
        <v>451</v>
      </c>
      <c r="N458">
        <f>IF(AND(CROQUIS_DATOS!$C$1472=1,1),(CROQUIS_DATOS!$C$1563+(IF(IF(IF(INT(($A458-1)/70)+1&gt;CROQUIS_DATOS!$C$1525,70,MOD($A458-1,70)+1)=1,0,IF(IF(INT(($A458-1)/70)+1&gt;CROQUIS_DATOS!$C$1525,70,MOD($A458-1,70)+1)&gt;2*CROQUIS_DATOS!$C$1541+1,IF(MOD(CROQUIS_DATOS!$C$1541,2)=1,1,0),IF(MOD(MIN(INT((IF(INT(($A458-1)/70)+1&gt;CROQUIS_DATOS!$C$1525,70,MOD($A458-1,70)+1)-2)/2)+1,CROQUIS_DATOS!$C$1541),2)=1,IF(MOD(IF(INT(($A458-1)/70)+1&gt;CROQUIS_DATOS!$C$1525,70,MOD($A458-1,70)+1)-2,2)=0,0,1),IF(MOD(IF(INT(($A458-1)/70)+1&gt;CROQUIS_DATOS!$C$1525,70,MOD($A458-1,70)+1)-2,2)=0,1,0))))=0,(INDEX($E$8:$E$23,MIN(INT(($A458-1)/70)+1,CROQUIS_DATOS!$C$1525))-INDEX($F$8:$F$23,MIN(INT(($A458-1)/70)+1,CROQUIS_DATOS!$C$1525))/2),(INDEX($E$8:$E$23,MIN(INT(($A458-1)/70)+1,CROQUIS_DATOS!$C$1525))+INDEX($F$8:$F$23,MIN(INT(($A458-1)/70)+1,CROQUIS_DATOS!$C$1525))/2)))*CROQUIS_DATOS!$C$1562),-1000)</f>
        <v>82.8189655172414</v>
      </c>
      <c r="O458">
        <f>IF(AND(CROQUIS_DATOS!$C$1472=1,1),(CROQUIS_DATOS!$C$1564+(IF(OR(IF(INT(($A458-1)/70)+1&gt;CROQUIS_DATOS!$C$1525,70,MOD($A458-1,70)+1)=1,IF(INT(($A458-1)/70)+1&gt;CROQUIS_DATOS!$C$1525,70,MOD($A458-1,70)+1)&gt;2*CROQUIS_DATOS!$C$1541+1),CROQUIS_DATOS!$C$1476,INDEX($H$8:$H$41,MIN(INT((IF(INT(($A458-1)/70)+1&gt;CROQUIS_DATOS!$C$1525,70,MOD($A458-1,70)+1)-2)/2)+1,CROQUIS_DATOS!$C$1541))))*CROQUIS_DATOS!$C$1561*CROQUIS_DATOS!$C$1562),-1000)</f>
        <v>40.2068965517241</v>
      </c>
    </row>
    <row r="459">
      <c r="A459" t="n">
        <v>452</v>
      </c>
      <c r="N459">
        <f>IF(AND(CROQUIS_DATOS!$C$1472=1,1),(CROQUIS_DATOS!$C$1563+(IF(IF(IF(INT(($A459-1)/70)+1&gt;CROQUIS_DATOS!$C$1525,70,MOD($A459-1,70)+1)=1,0,IF(IF(INT(($A459-1)/70)+1&gt;CROQUIS_DATOS!$C$1525,70,MOD($A459-1,70)+1)&gt;2*CROQUIS_DATOS!$C$1541+1,IF(MOD(CROQUIS_DATOS!$C$1541,2)=1,1,0),IF(MOD(MIN(INT((IF(INT(($A459-1)/70)+1&gt;CROQUIS_DATOS!$C$1525,70,MOD($A459-1,70)+1)-2)/2)+1,CROQUIS_DATOS!$C$1541),2)=1,IF(MOD(IF(INT(($A459-1)/70)+1&gt;CROQUIS_DATOS!$C$1525,70,MOD($A459-1,70)+1)-2,2)=0,0,1),IF(MOD(IF(INT(($A459-1)/70)+1&gt;CROQUIS_DATOS!$C$1525,70,MOD($A459-1,70)+1)-2,2)=0,1,0))))=0,(INDEX($E$8:$E$23,MIN(INT(($A459-1)/70)+1,CROQUIS_DATOS!$C$1525))-INDEX($F$8:$F$23,MIN(INT(($A459-1)/70)+1,CROQUIS_DATOS!$C$1525))/2),(INDEX($E$8:$E$23,MIN(INT(($A459-1)/70)+1,CROQUIS_DATOS!$C$1525))+INDEX($F$8:$F$23,MIN(INT(($A459-1)/70)+1,CROQUIS_DATOS!$C$1525))/2)))*CROQUIS_DATOS!$C$1562),-1000)</f>
        <v>82.8189655172414</v>
      </c>
      <c r="O459">
        <f>IF(AND(CROQUIS_DATOS!$C$1472=1,1),(CROQUIS_DATOS!$C$1564+(IF(OR(IF(INT(($A459-1)/70)+1&gt;CROQUIS_DATOS!$C$1525,70,MOD($A459-1,70)+1)=1,IF(INT(($A459-1)/70)+1&gt;CROQUIS_DATOS!$C$1525,70,MOD($A459-1,70)+1)&gt;2*CROQUIS_DATOS!$C$1541+1),CROQUIS_DATOS!$C$1476,INDEX($H$8:$H$41,MIN(INT((IF(INT(($A459-1)/70)+1&gt;CROQUIS_DATOS!$C$1525,70,MOD($A459-1,70)+1)-2)/2)+1,CROQUIS_DATOS!$C$1541))))*CROQUIS_DATOS!$C$1561*CROQUIS_DATOS!$C$1562),-1000)</f>
        <v>40.2068965517241</v>
      </c>
    </row>
    <row r="460">
      <c r="A460" t="n">
        <v>453</v>
      </c>
      <c r="N460">
        <f>IF(AND(CROQUIS_DATOS!$C$1472=1,1),(CROQUIS_DATOS!$C$1563+(IF(IF(IF(INT(($A460-1)/70)+1&gt;CROQUIS_DATOS!$C$1525,70,MOD($A460-1,70)+1)=1,0,IF(IF(INT(($A460-1)/70)+1&gt;CROQUIS_DATOS!$C$1525,70,MOD($A460-1,70)+1)&gt;2*CROQUIS_DATOS!$C$1541+1,IF(MOD(CROQUIS_DATOS!$C$1541,2)=1,1,0),IF(MOD(MIN(INT((IF(INT(($A460-1)/70)+1&gt;CROQUIS_DATOS!$C$1525,70,MOD($A460-1,70)+1)-2)/2)+1,CROQUIS_DATOS!$C$1541),2)=1,IF(MOD(IF(INT(($A460-1)/70)+1&gt;CROQUIS_DATOS!$C$1525,70,MOD($A460-1,70)+1)-2,2)=0,0,1),IF(MOD(IF(INT(($A460-1)/70)+1&gt;CROQUIS_DATOS!$C$1525,70,MOD($A460-1,70)+1)-2,2)=0,1,0))))=0,(INDEX($E$8:$E$23,MIN(INT(($A460-1)/70)+1,CROQUIS_DATOS!$C$1525))-INDEX($F$8:$F$23,MIN(INT(($A460-1)/70)+1,CROQUIS_DATOS!$C$1525))/2),(INDEX($E$8:$E$23,MIN(INT(($A460-1)/70)+1,CROQUIS_DATOS!$C$1525))+INDEX($F$8:$F$23,MIN(INT(($A460-1)/70)+1,CROQUIS_DATOS!$C$1525))/2)))*CROQUIS_DATOS!$C$1562),-1000)</f>
        <v>82.8189655172414</v>
      </c>
      <c r="O460">
        <f>IF(AND(CROQUIS_DATOS!$C$1472=1,1),(CROQUIS_DATOS!$C$1564+(IF(OR(IF(INT(($A460-1)/70)+1&gt;CROQUIS_DATOS!$C$1525,70,MOD($A460-1,70)+1)=1,IF(INT(($A460-1)/70)+1&gt;CROQUIS_DATOS!$C$1525,70,MOD($A460-1,70)+1)&gt;2*CROQUIS_DATOS!$C$1541+1),CROQUIS_DATOS!$C$1476,INDEX($H$8:$H$41,MIN(INT((IF(INT(($A460-1)/70)+1&gt;CROQUIS_DATOS!$C$1525,70,MOD($A460-1,70)+1)-2)/2)+1,CROQUIS_DATOS!$C$1541))))*CROQUIS_DATOS!$C$1561*CROQUIS_DATOS!$C$1562),-1000)</f>
        <v>40.2068965517241</v>
      </c>
    </row>
    <row r="461">
      <c r="A461" t="n">
        <v>454</v>
      </c>
      <c r="N461">
        <f>IF(AND(CROQUIS_DATOS!$C$1472=1,1),(CROQUIS_DATOS!$C$1563+(IF(IF(IF(INT(($A461-1)/70)+1&gt;CROQUIS_DATOS!$C$1525,70,MOD($A461-1,70)+1)=1,0,IF(IF(INT(($A461-1)/70)+1&gt;CROQUIS_DATOS!$C$1525,70,MOD($A461-1,70)+1)&gt;2*CROQUIS_DATOS!$C$1541+1,IF(MOD(CROQUIS_DATOS!$C$1541,2)=1,1,0),IF(MOD(MIN(INT((IF(INT(($A461-1)/70)+1&gt;CROQUIS_DATOS!$C$1525,70,MOD($A461-1,70)+1)-2)/2)+1,CROQUIS_DATOS!$C$1541),2)=1,IF(MOD(IF(INT(($A461-1)/70)+1&gt;CROQUIS_DATOS!$C$1525,70,MOD($A461-1,70)+1)-2,2)=0,0,1),IF(MOD(IF(INT(($A461-1)/70)+1&gt;CROQUIS_DATOS!$C$1525,70,MOD($A461-1,70)+1)-2,2)=0,1,0))))=0,(INDEX($E$8:$E$23,MIN(INT(($A461-1)/70)+1,CROQUIS_DATOS!$C$1525))-INDEX($F$8:$F$23,MIN(INT(($A461-1)/70)+1,CROQUIS_DATOS!$C$1525))/2),(INDEX($E$8:$E$23,MIN(INT(($A461-1)/70)+1,CROQUIS_DATOS!$C$1525))+INDEX($F$8:$F$23,MIN(INT(($A461-1)/70)+1,CROQUIS_DATOS!$C$1525))/2)))*CROQUIS_DATOS!$C$1562),-1000)</f>
        <v>82.8189655172414</v>
      </c>
      <c r="O461">
        <f>IF(AND(CROQUIS_DATOS!$C$1472=1,1),(CROQUIS_DATOS!$C$1564+(IF(OR(IF(INT(($A461-1)/70)+1&gt;CROQUIS_DATOS!$C$1525,70,MOD($A461-1,70)+1)=1,IF(INT(($A461-1)/70)+1&gt;CROQUIS_DATOS!$C$1525,70,MOD($A461-1,70)+1)&gt;2*CROQUIS_DATOS!$C$1541+1),CROQUIS_DATOS!$C$1476,INDEX($H$8:$H$41,MIN(INT((IF(INT(($A461-1)/70)+1&gt;CROQUIS_DATOS!$C$1525,70,MOD($A461-1,70)+1)-2)/2)+1,CROQUIS_DATOS!$C$1541))))*CROQUIS_DATOS!$C$1561*CROQUIS_DATOS!$C$1562),-1000)</f>
        <v>40.2068965517241</v>
      </c>
    </row>
    <row r="462">
      <c r="A462" t="n">
        <v>455</v>
      </c>
      <c r="N462">
        <f>IF(AND(CROQUIS_DATOS!$C$1472=1,1),(CROQUIS_DATOS!$C$1563+(IF(IF(IF(INT(($A462-1)/70)+1&gt;CROQUIS_DATOS!$C$1525,70,MOD($A462-1,70)+1)=1,0,IF(IF(INT(($A462-1)/70)+1&gt;CROQUIS_DATOS!$C$1525,70,MOD($A462-1,70)+1)&gt;2*CROQUIS_DATOS!$C$1541+1,IF(MOD(CROQUIS_DATOS!$C$1541,2)=1,1,0),IF(MOD(MIN(INT((IF(INT(($A462-1)/70)+1&gt;CROQUIS_DATOS!$C$1525,70,MOD($A462-1,70)+1)-2)/2)+1,CROQUIS_DATOS!$C$1541),2)=1,IF(MOD(IF(INT(($A462-1)/70)+1&gt;CROQUIS_DATOS!$C$1525,70,MOD($A462-1,70)+1)-2,2)=0,0,1),IF(MOD(IF(INT(($A462-1)/70)+1&gt;CROQUIS_DATOS!$C$1525,70,MOD($A462-1,70)+1)-2,2)=0,1,0))))=0,(INDEX($E$8:$E$23,MIN(INT(($A462-1)/70)+1,CROQUIS_DATOS!$C$1525))-INDEX($F$8:$F$23,MIN(INT(($A462-1)/70)+1,CROQUIS_DATOS!$C$1525))/2),(INDEX($E$8:$E$23,MIN(INT(($A462-1)/70)+1,CROQUIS_DATOS!$C$1525))+INDEX($F$8:$F$23,MIN(INT(($A462-1)/70)+1,CROQUIS_DATOS!$C$1525))/2)))*CROQUIS_DATOS!$C$1562),-1000)</f>
        <v>82.8189655172414</v>
      </c>
      <c r="O462">
        <f>IF(AND(CROQUIS_DATOS!$C$1472=1,1),(CROQUIS_DATOS!$C$1564+(IF(OR(IF(INT(($A462-1)/70)+1&gt;CROQUIS_DATOS!$C$1525,70,MOD($A462-1,70)+1)=1,IF(INT(($A462-1)/70)+1&gt;CROQUIS_DATOS!$C$1525,70,MOD($A462-1,70)+1)&gt;2*CROQUIS_DATOS!$C$1541+1),CROQUIS_DATOS!$C$1476,INDEX($H$8:$H$41,MIN(INT((IF(INT(($A462-1)/70)+1&gt;CROQUIS_DATOS!$C$1525,70,MOD($A462-1,70)+1)-2)/2)+1,CROQUIS_DATOS!$C$1541))))*CROQUIS_DATOS!$C$1561*CROQUIS_DATOS!$C$1562),-1000)</f>
        <v>40.2068965517241</v>
      </c>
    </row>
    <row r="463">
      <c r="A463" t="n">
        <v>456</v>
      </c>
      <c r="N463">
        <f>IF(AND(CROQUIS_DATOS!$C$1472=1,1),(CROQUIS_DATOS!$C$1563+(IF(IF(IF(INT(($A463-1)/70)+1&gt;CROQUIS_DATOS!$C$1525,70,MOD($A463-1,70)+1)=1,0,IF(IF(INT(($A463-1)/70)+1&gt;CROQUIS_DATOS!$C$1525,70,MOD($A463-1,70)+1)&gt;2*CROQUIS_DATOS!$C$1541+1,IF(MOD(CROQUIS_DATOS!$C$1541,2)=1,1,0),IF(MOD(MIN(INT((IF(INT(($A463-1)/70)+1&gt;CROQUIS_DATOS!$C$1525,70,MOD($A463-1,70)+1)-2)/2)+1,CROQUIS_DATOS!$C$1541),2)=1,IF(MOD(IF(INT(($A463-1)/70)+1&gt;CROQUIS_DATOS!$C$1525,70,MOD($A463-1,70)+1)-2,2)=0,0,1),IF(MOD(IF(INT(($A463-1)/70)+1&gt;CROQUIS_DATOS!$C$1525,70,MOD($A463-1,70)+1)-2,2)=0,1,0))))=0,(INDEX($E$8:$E$23,MIN(INT(($A463-1)/70)+1,CROQUIS_DATOS!$C$1525))-INDEX($F$8:$F$23,MIN(INT(($A463-1)/70)+1,CROQUIS_DATOS!$C$1525))/2),(INDEX($E$8:$E$23,MIN(INT(($A463-1)/70)+1,CROQUIS_DATOS!$C$1525))+INDEX($F$8:$F$23,MIN(INT(($A463-1)/70)+1,CROQUIS_DATOS!$C$1525))/2)))*CROQUIS_DATOS!$C$1562),-1000)</f>
        <v>82.8189655172414</v>
      </c>
      <c r="O463">
        <f>IF(AND(CROQUIS_DATOS!$C$1472=1,1),(CROQUIS_DATOS!$C$1564+(IF(OR(IF(INT(($A463-1)/70)+1&gt;CROQUIS_DATOS!$C$1525,70,MOD($A463-1,70)+1)=1,IF(INT(($A463-1)/70)+1&gt;CROQUIS_DATOS!$C$1525,70,MOD($A463-1,70)+1)&gt;2*CROQUIS_DATOS!$C$1541+1),CROQUIS_DATOS!$C$1476,INDEX($H$8:$H$41,MIN(INT((IF(INT(($A463-1)/70)+1&gt;CROQUIS_DATOS!$C$1525,70,MOD($A463-1,70)+1)-2)/2)+1,CROQUIS_DATOS!$C$1541))))*CROQUIS_DATOS!$C$1561*CROQUIS_DATOS!$C$1562),-1000)</f>
        <v>40.2068965517241</v>
      </c>
    </row>
    <row r="464">
      <c r="A464" t="n">
        <v>457</v>
      </c>
      <c r="N464">
        <f>IF(AND(CROQUIS_DATOS!$C$1472=1,1),(CROQUIS_DATOS!$C$1563+(IF(IF(IF(INT(($A464-1)/70)+1&gt;CROQUIS_DATOS!$C$1525,70,MOD($A464-1,70)+1)=1,0,IF(IF(INT(($A464-1)/70)+1&gt;CROQUIS_DATOS!$C$1525,70,MOD($A464-1,70)+1)&gt;2*CROQUIS_DATOS!$C$1541+1,IF(MOD(CROQUIS_DATOS!$C$1541,2)=1,1,0),IF(MOD(MIN(INT((IF(INT(($A464-1)/70)+1&gt;CROQUIS_DATOS!$C$1525,70,MOD($A464-1,70)+1)-2)/2)+1,CROQUIS_DATOS!$C$1541),2)=1,IF(MOD(IF(INT(($A464-1)/70)+1&gt;CROQUIS_DATOS!$C$1525,70,MOD($A464-1,70)+1)-2,2)=0,0,1),IF(MOD(IF(INT(($A464-1)/70)+1&gt;CROQUIS_DATOS!$C$1525,70,MOD($A464-1,70)+1)-2,2)=0,1,0))))=0,(INDEX($E$8:$E$23,MIN(INT(($A464-1)/70)+1,CROQUIS_DATOS!$C$1525))-INDEX($F$8:$F$23,MIN(INT(($A464-1)/70)+1,CROQUIS_DATOS!$C$1525))/2),(INDEX($E$8:$E$23,MIN(INT(($A464-1)/70)+1,CROQUIS_DATOS!$C$1525))+INDEX($F$8:$F$23,MIN(INT(($A464-1)/70)+1,CROQUIS_DATOS!$C$1525))/2)))*CROQUIS_DATOS!$C$1562),-1000)</f>
        <v>82.8189655172414</v>
      </c>
      <c r="O464">
        <f>IF(AND(CROQUIS_DATOS!$C$1472=1,1),(CROQUIS_DATOS!$C$1564+(IF(OR(IF(INT(($A464-1)/70)+1&gt;CROQUIS_DATOS!$C$1525,70,MOD($A464-1,70)+1)=1,IF(INT(($A464-1)/70)+1&gt;CROQUIS_DATOS!$C$1525,70,MOD($A464-1,70)+1)&gt;2*CROQUIS_DATOS!$C$1541+1),CROQUIS_DATOS!$C$1476,INDEX($H$8:$H$41,MIN(INT((IF(INT(($A464-1)/70)+1&gt;CROQUIS_DATOS!$C$1525,70,MOD($A464-1,70)+1)-2)/2)+1,CROQUIS_DATOS!$C$1541))))*CROQUIS_DATOS!$C$1561*CROQUIS_DATOS!$C$1562),-1000)</f>
        <v>40.2068965517241</v>
      </c>
    </row>
    <row r="465">
      <c r="A465" t="n">
        <v>458</v>
      </c>
      <c r="N465">
        <f>IF(AND(CROQUIS_DATOS!$C$1472=1,1),(CROQUIS_DATOS!$C$1563+(IF(IF(IF(INT(($A465-1)/70)+1&gt;CROQUIS_DATOS!$C$1525,70,MOD($A465-1,70)+1)=1,0,IF(IF(INT(($A465-1)/70)+1&gt;CROQUIS_DATOS!$C$1525,70,MOD($A465-1,70)+1)&gt;2*CROQUIS_DATOS!$C$1541+1,IF(MOD(CROQUIS_DATOS!$C$1541,2)=1,1,0),IF(MOD(MIN(INT((IF(INT(($A465-1)/70)+1&gt;CROQUIS_DATOS!$C$1525,70,MOD($A465-1,70)+1)-2)/2)+1,CROQUIS_DATOS!$C$1541),2)=1,IF(MOD(IF(INT(($A465-1)/70)+1&gt;CROQUIS_DATOS!$C$1525,70,MOD($A465-1,70)+1)-2,2)=0,0,1),IF(MOD(IF(INT(($A465-1)/70)+1&gt;CROQUIS_DATOS!$C$1525,70,MOD($A465-1,70)+1)-2,2)=0,1,0))))=0,(INDEX($E$8:$E$23,MIN(INT(($A465-1)/70)+1,CROQUIS_DATOS!$C$1525))-INDEX($F$8:$F$23,MIN(INT(($A465-1)/70)+1,CROQUIS_DATOS!$C$1525))/2),(INDEX($E$8:$E$23,MIN(INT(($A465-1)/70)+1,CROQUIS_DATOS!$C$1525))+INDEX($F$8:$F$23,MIN(INT(($A465-1)/70)+1,CROQUIS_DATOS!$C$1525))/2)))*CROQUIS_DATOS!$C$1562),-1000)</f>
        <v>82.8189655172414</v>
      </c>
      <c r="O465">
        <f>IF(AND(CROQUIS_DATOS!$C$1472=1,1),(CROQUIS_DATOS!$C$1564+(IF(OR(IF(INT(($A465-1)/70)+1&gt;CROQUIS_DATOS!$C$1525,70,MOD($A465-1,70)+1)=1,IF(INT(($A465-1)/70)+1&gt;CROQUIS_DATOS!$C$1525,70,MOD($A465-1,70)+1)&gt;2*CROQUIS_DATOS!$C$1541+1),CROQUIS_DATOS!$C$1476,INDEX($H$8:$H$41,MIN(INT((IF(INT(($A465-1)/70)+1&gt;CROQUIS_DATOS!$C$1525,70,MOD($A465-1,70)+1)-2)/2)+1,CROQUIS_DATOS!$C$1541))))*CROQUIS_DATOS!$C$1561*CROQUIS_DATOS!$C$1562),-1000)</f>
        <v>40.2068965517241</v>
      </c>
    </row>
    <row r="466">
      <c r="A466" t="n">
        <v>459</v>
      </c>
      <c r="N466">
        <f>IF(AND(CROQUIS_DATOS!$C$1472=1,1),(CROQUIS_DATOS!$C$1563+(IF(IF(IF(INT(($A466-1)/70)+1&gt;CROQUIS_DATOS!$C$1525,70,MOD($A466-1,70)+1)=1,0,IF(IF(INT(($A466-1)/70)+1&gt;CROQUIS_DATOS!$C$1525,70,MOD($A466-1,70)+1)&gt;2*CROQUIS_DATOS!$C$1541+1,IF(MOD(CROQUIS_DATOS!$C$1541,2)=1,1,0),IF(MOD(MIN(INT((IF(INT(($A466-1)/70)+1&gt;CROQUIS_DATOS!$C$1525,70,MOD($A466-1,70)+1)-2)/2)+1,CROQUIS_DATOS!$C$1541),2)=1,IF(MOD(IF(INT(($A466-1)/70)+1&gt;CROQUIS_DATOS!$C$1525,70,MOD($A466-1,70)+1)-2,2)=0,0,1),IF(MOD(IF(INT(($A466-1)/70)+1&gt;CROQUIS_DATOS!$C$1525,70,MOD($A466-1,70)+1)-2,2)=0,1,0))))=0,(INDEX($E$8:$E$23,MIN(INT(($A466-1)/70)+1,CROQUIS_DATOS!$C$1525))-INDEX($F$8:$F$23,MIN(INT(($A466-1)/70)+1,CROQUIS_DATOS!$C$1525))/2),(INDEX($E$8:$E$23,MIN(INT(($A466-1)/70)+1,CROQUIS_DATOS!$C$1525))+INDEX($F$8:$F$23,MIN(INT(($A466-1)/70)+1,CROQUIS_DATOS!$C$1525))/2)))*CROQUIS_DATOS!$C$1562),-1000)</f>
        <v>82.8189655172414</v>
      </c>
      <c r="O466">
        <f>IF(AND(CROQUIS_DATOS!$C$1472=1,1),(CROQUIS_DATOS!$C$1564+(IF(OR(IF(INT(($A466-1)/70)+1&gt;CROQUIS_DATOS!$C$1525,70,MOD($A466-1,70)+1)=1,IF(INT(($A466-1)/70)+1&gt;CROQUIS_DATOS!$C$1525,70,MOD($A466-1,70)+1)&gt;2*CROQUIS_DATOS!$C$1541+1),CROQUIS_DATOS!$C$1476,INDEX($H$8:$H$41,MIN(INT((IF(INT(($A466-1)/70)+1&gt;CROQUIS_DATOS!$C$1525,70,MOD($A466-1,70)+1)-2)/2)+1,CROQUIS_DATOS!$C$1541))))*CROQUIS_DATOS!$C$1561*CROQUIS_DATOS!$C$1562),-1000)</f>
        <v>40.2068965517241</v>
      </c>
    </row>
    <row r="467">
      <c r="A467" t="n">
        <v>460</v>
      </c>
      <c r="N467">
        <f>IF(AND(CROQUIS_DATOS!$C$1472=1,1),(CROQUIS_DATOS!$C$1563+(IF(IF(IF(INT(($A467-1)/70)+1&gt;CROQUIS_DATOS!$C$1525,70,MOD($A467-1,70)+1)=1,0,IF(IF(INT(($A467-1)/70)+1&gt;CROQUIS_DATOS!$C$1525,70,MOD($A467-1,70)+1)&gt;2*CROQUIS_DATOS!$C$1541+1,IF(MOD(CROQUIS_DATOS!$C$1541,2)=1,1,0),IF(MOD(MIN(INT((IF(INT(($A467-1)/70)+1&gt;CROQUIS_DATOS!$C$1525,70,MOD($A467-1,70)+1)-2)/2)+1,CROQUIS_DATOS!$C$1541),2)=1,IF(MOD(IF(INT(($A467-1)/70)+1&gt;CROQUIS_DATOS!$C$1525,70,MOD($A467-1,70)+1)-2,2)=0,0,1),IF(MOD(IF(INT(($A467-1)/70)+1&gt;CROQUIS_DATOS!$C$1525,70,MOD($A467-1,70)+1)-2,2)=0,1,0))))=0,(INDEX($E$8:$E$23,MIN(INT(($A467-1)/70)+1,CROQUIS_DATOS!$C$1525))-INDEX($F$8:$F$23,MIN(INT(($A467-1)/70)+1,CROQUIS_DATOS!$C$1525))/2),(INDEX($E$8:$E$23,MIN(INT(($A467-1)/70)+1,CROQUIS_DATOS!$C$1525))+INDEX($F$8:$F$23,MIN(INT(($A467-1)/70)+1,CROQUIS_DATOS!$C$1525))/2)))*CROQUIS_DATOS!$C$1562),-1000)</f>
        <v>82.8189655172414</v>
      </c>
      <c r="O467">
        <f>IF(AND(CROQUIS_DATOS!$C$1472=1,1),(CROQUIS_DATOS!$C$1564+(IF(OR(IF(INT(($A467-1)/70)+1&gt;CROQUIS_DATOS!$C$1525,70,MOD($A467-1,70)+1)=1,IF(INT(($A467-1)/70)+1&gt;CROQUIS_DATOS!$C$1525,70,MOD($A467-1,70)+1)&gt;2*CROQUIS_DATOS!$C$1541+1),CROQUIS_DATOS!$C$1476,INDEX($H$8:$H$41,MIN(INT((IF(INT(($A467-1)/70)+1&gt;CROQUIS_DATOS!$C$1525,70,MOD($A467-1,70)+1)-2)/2)+1,CROQUIS_DATOS!$C$1541))))*CROQUIS_DATOS!$C$1561*CROQUIS_DATOS!$C$1562),-1000)</f>
        <v>40.2068965517241</v>
      </c>
    </row>
    <row r="468">
      <c r="A468" t="n">
        <v>461</v>
      </c>
      <c r="N468">
        <f>IF(AND(CROQUIS_DATOS!$C$1472=1,1),(CROQUIS_DATOS!$C$1563+(IF(IF(IF(INT(($A468-1)/70)+1&gt;CROQUIS_DATOS!$C$1525,70,MOD($A468-1,70)+1)=1,0,IF(IF(INT(($A468-1)/70)+1&gt;CROQUIS_DATOS!$C$1525,70,MOD($A468-1,70)+1)&gt;2*CROQUIS_DATOS!$C$1541+1,IF(MOD(CROQUIS_DATOS!$C$1541,2)=1,1,0),IF(MOD(MIN(INT((IF(INT(($A468-1)/70)+1&gt;CROQUIS_DATOS!$C$1525,70,MOD($A468-1,70)+1)-2)/2)+1,CROQUIS_DATOS!$C$1541),2)=1,IF(MOD(IF(INT(($A468-1)/70)+1&gt;CROQUIS_DATOS!$C$1525,70,MOD($A468-1,70)+1)-2,2)=0,0,1),IF(MOD(IF(INT(($A468-1)/70)+1&gt;CROQUIS_DATOS!$C$1525,70,MOD($A468-1,70)+1)-2,2)=0,1,0))))=0,(INDEX($E$8:$E$23,MIN(INT(($A468-1)/70)+1,CROQUIS_DATOS!$C$1525))-INDEX($F$8:$F$23,MIN(INT(($A468-1)/70)+1,CROQUIS_DATOS!$C$1525))/2),(INDEX($E$8:$E$23,MIN(INT(($A468-1)/70)+1,CROQUIS_DATOS!$C$1525))+INDEX($F$8:$F$23,MIN(INT(($A468-1)/70)+1,CROQUIS_DATOS!$C$1525))/2)))*CROQUIS_DATOS!$C$1562),-1000)</f>
        <v>82.8189655172414</v>
      </c>
      <c r="O468">
        <f>IF(AND(CROQUIS_DATOS!$C$1472=1,1),(CROQUIS_DATOS!$C$1564+(IF(OR(IF(INT(($A468-1)/70)+1&gt;CROQUIS_DATOS!$C$1525,70,MOD($A468-1,70)+1)=1,IF(INT(($A468-1)/70)+1&gt;CROQUIS_DATOS!$C$1525,70,MOD($A468-1,70)+1)&gt;2*CROQUIS_DATOS!$C$1541+1),CROQUIS_DATOS!$C$1476,INDEX($H$8:$H$41,MIN(INT((IF(INT(($A468-1)/70)+1&gt;CROQUIS_DATOS!$C$1525,70,MOD($A468-1,70)+1)-2)/2)+1,CROQUIS_DATOS!$C$1541))))*CROQUIS_DATOS!$C$1561*CROQUIS_DATOS!$C$1562),-1000)</f>
        <v>40.2068965517241</v>
      </c>
    </row>
    <row r="469">
      <c r="A469" t="n">
        <v>462</v>
      </c>
      <c r="N469">
        <f>IF(AND(CROQUIS_DATOS!$C$1472=1,1),(CROQUIS_DATOS!$C$1563+(IF(IF(IF(INT(($A469-1)/70)+1&gt;CROQUIS_DATOS!$C$1525,70,MOD($A469-1,70)+1)=1,0,IF(IF(INT(($A469-1)/70)+1&gt;CROQUIS_DATOS!$C$1525,70,MOD($A469-1,70)+1)&gt;2*CROQUIS_DATOS!$C$1541+1,IF(MOD(CROQUIS_DATOS!$C$1541,2)=1,1,0),IF(MOD(MIN(INT((IF(INT(($A469-1)/70)+1&gt;CROQUIS_DATOS!$C$1525,70,MOD($A469-1,70)+1)-2)/2)+1,CROQUIS_DATOS!$C$1541),2)=1,IF(MOD(IF(INT(($A469-1)/70)+1&gt;CROQUIS_DATOS!$C$1525,70,MOD($A469-1,70)+1)-2,2)=0,0,1),IF(MOD(IF(INT(($A469-1)/70)+1&gt;CROQUIS_DATOS!$C$1525,70,MOD($A469-1,70)+1)-2,2)=0,1,0))))=0,(INDEX($E$8:$E$23,MIN(INT(($A469-1)/70)+1,CROQUIS_DATOS!$C$1525))-INDEX($F$8:$F$23,MIN(INT(($A469-1)/70)+1,CROQUIS_DATOS!$C$1525))/2),(INDEX($E$8:$E$23,MIN(INT(($A469-1)/70)+1,CROQUIS_DATOS!$C$1525))+INDEX($F$8:$F$23,MIN(INT(($A469-1)/70)+1,CROQUIS_DATOS!$C$1525))/2)))*CROQUIS_DATOS!$C$1562),-1000)</f>
        <v>82.8189655172414</v>
      </c>
      <c r="O469">
        <f>IF(AND(CROQUIS_DATOS!$C$1472=1,1),(CROQUIS_DATOS!$C$1564+(IF(OR(IF(INT(($A469-1)/70)+1&gt;CROQUIS_DATOS!$C$1525,70,MOD($A469-1,70)+1)=1,IF(INT(($A469-1)/70)+1&gt;CROQUIS_DATOS!$C$1525,70,MOD($A469-1,70)+1)&gt;2*CROQUIS_DATOS!$C$1541+1),CROQUIS_DATOS!$C$1476,INDEX($H$8:$H$41,MIN(INT((IF(INT(($A469-1)/70)+1&gt;CROQUIS_DATOS!$C$1525,70,MOD($A469-1,70)+1)-2)/2)+1,CROQUIS_DATOS!$C$1541))))*CROQUIS_DATOS!$C$1561*CROQUIS_DATOS!$C$1562),-1000)</f>
        <v>40.2068965517241</v>
      </c>
    </row>
    <row r="470">
      <c r="A470" t="n">
        <v>463</v>
      </c>
      <c r="N470">
        <f>IF(AND(CROQUIS_DATOS!$C$1472=1,1),(CROQUIS_DATOS!$C$1563+(IF(IF(IF(INT(($A470-1)/70)+1&gt;CROQUIS_DATOS!$C$1525,70,MOD($A470-1,70)+1)=1,0,IF(IF(INT(($A470-1)/70)+1&gt;CROQUIS_DATOS!$C$1525,70,MOD($A470-1,70)+1)&gt;2*CROQUIS_DATOS!$C$1541+1,IF(MOD(CROQUIS_DATOS!$C$1541,2)=1,1,0),IF(MOD(MIN(INT((IF(INT(($A470-1)/70)+1&gt;CROQUIS_DATOS!$C$1525,70,MOD($A470-1,70)+1)-2)/2)+1,CROQUIS_DATOS!$C$1541),2)=1,IF(MOD(IF(INT(($A470-1)/70)+1&gt;CROQUIS_DATOS!$C$1525,70,MOD($A470-1,70)+1)-2,2)=0,0,1),IF(MOD(IF(INT(($A470-1)/70)+1&gt;CROQUIS_DATOS!$C$1525,70,MOD($A470-1,70)+1)-2,2)=0,1,0))))=0,(INDEX($E$8:$E$23,MIN(INT(($A470-1)/70)+1,CROQUIS_DATOS!$C$1525))-INDEX($F$8:$F$23,MIN(INT(($A470-1)/70)+1,CROQUIS_DATOS!$C$1525))/2),(INDEX($E$8:$E$23,MIN(INT(($A470-1)/70)+1,CROQUIS_DATOS!$C$1525))+INDEX($F$8:$F$23,MIN(INT(($A470-1)/70)+1,CROQUIS_DATOS!$C$1525))/2)))*CROQUIS_DATOS!$C$1562),-1000)</f>
        <v>82.8189655172414</v>
      </c>
      <c r="O470">
        <f>IF(AND(CROQUIS_DATOS!$C$1472=1,1),(CROQUIS_DATOS!$C$1564+(IF(OR(IF(INT(($A470-1)/70)+1&gt;CROQUIS_DATOS!$C$1525,70,MOD($A470-1,70)+1)=1,IF(INT(($A470-1)/70)+1&gt;CROQUIS_DATOS!$C$1525,70,MOD($A470-1,70)+1)&gt;2*CROQUIS_DATOS!$C$1541+1),CROQUIS_DATOS!$C$1476,INDEX($H$8:$H$41,MIN(INT((IF(INT(($A470-1)/70)+1&gt;CROQUIS_DATOS!$C$1525,70,MOD($A470-1,70)+1)-2)/2)+1,CROQUIS_DATOS!$C$1541))))*CROQUIS_DATOS!$C$1561*CROQUIS_DATOS!$C$1562),-1000)</f>
        <v>40.2068965517241</v>
      </c>
    </row>
    <row r="471">
      <c r="A471" t="n">
        <v>464</v>
      </c>
      <c r="N471">
        <f>IF(AND(CROQUIS_DATOS!$C$1472=1,1),(CROQUIS_DATOS!$C$1563+(IF(IF(IF(INT(($A471-1)/70)+1&gt;CROQUIS_DATOS!$C$1525,70,MOD($A471-1,70)+1)=1,0,IF(IF(INT(($A471-1)/70)+1&gt;CROQUIS_DATOS!$C$1525,70,MOD($A471-1,70)+1)&gt;2*CROQUIS_DATOS!$C$1541+1,IF(MOD(CROQUIS_DATOS!$C$1541,2)=1,1,0),IF(MOD(MIN(INT((IF(INT(($A471-1)/70)+1&gt;CROQUIS_DATOS!$C$1525,70,MOD($A471-1,70)+1)-2)/2)+1,CROQUIS_DATOS!$C$1541),2)=1,IF(MOD(IF(INT(($A471-1)/70)+1&gt;CROQUIS_DATOS!$C$1525,70,MOD($A471-1,70)+1)-2,2)=0,0,1),IF(MOD(IF(INT(($A471-1)/70)+1&gt;CROQUIS_DATOS!$C$1525,70,MOD($A471-1,70)+1)-2,2)=0,1,0))))=0,(INDEX($E$8:$E$23,MIN(INT(($A471-1)/70)+1,CROQUIS_DATOS!$C$1525))-INDEX($F$8:$F$23,MIN(INT(($A471-1)/70)+1,CROQUIS_DATOS!$C$1525))/2),(INDEX($E$8:$E$23,MIN(INT(($A471-1)/70)+1,CROQUIS_DATOS!$C$1525))+INDEX($F$8:$F$23,MIN(INT(($A471-1)/70)+1,CROQUIS_DATOS!$C$1525))/2)))*CROQUIS_DATOS!$C$1562),-1000)</f>
        <v>82.8189655172414</v>
      </c>
      <c r="O471">
        <f>IF(AND(CROQUIS_DATOS!$C$1472=1,1),(CROQUIS_DATOS!$C$1564+(IF(OR(IF(INT(($A471-1)/70)+1&gt;CROQUIS_DATOS!$C$1525,70,MOD($A471-1,70)+1)=1,IF(INT(($A471-1)/70)+1&gt;CROQUIS_DATOS!$C$1525,70,MOD($A471-1,70)+1)&gt;2*CROQUIS_DATOS!$C$1541+1),CROQUIS_DATOS!$C$1476,INDEX($H$8:$H$41,MIN(INT((IF(INT(($A471-1)/70)+1&gt;CROQUIS_DATOS!$C$1525,70,MOD($A471-1,70)+1)-2)/2)+1,CROQUIS_DATOS!$C$1541))))*CROQUIS_DATOS!$C$1561*CROQUIS_DATOS!$C$1562),-1000)</f>
        <v>40.2068965517241</v>
      </c>
    </row>
    <row r="472">
      <c r="A472" t="n">
        <v>465</v>
      </c>
      <c r="N472">
        <f>IF(AND(CROQUIS_DATOS!$C$1472=1,1),(CROQUIS_DATOS!$C$1563+(IF(IF(IF(INT(($A472-1)/70)+1&gt;CROQUIS_DATOS!$C$1525,70,MOD($A472-1,70)+1)=1,0,IF(IF(INT(($A472-1)/70)+1&gt;CROQUIS_DATOS!$C$1525,70,MOD($A472-1,70)+1)&gt;2*CROQUIS_DATOS!$C$1541+1,IF(MOD(CROQUIS_DATOS!$C$1541,2)=1,1,0),IF(MOD(MIN(INT((IF(INT(($A472-1)/70)+1&gt;CROQUIS_DATOS!$C$1525,70,MOD($A472-1,70)+1)-2)/2)+1,CROQUIS_DATOS!$C$1541),2)=1,IF(MOD(IF(INT(($A472-1)/70)+1&gt;CROQUIS_DATOS!$C$1525,70,MOD($A472-1,70)+1)-2,2)=0,0,1),IF(MOD(IF(INT(($A472-1)/70)+1&gt;CROQUIS_DATOS!$C$1525,70,MOD($A472-1,70)+1)-2,2)=0,1,0))))=0,(INDEX($E$8:$E$23,MIN(INT(($A472-1)/70)+1,CROQUIS_DATOS!$C$1525))-INDEX($F$8:$F$23,MIN(INT(($A472-1)/70)+1,CROQUIS_DATOS!$C$1525))/2),(INDEX($E$8:$E$23,MIN(INT(($A472-1)/70)+1,CROQUIS_DATOS!$C$1525))+INDEX($F$8:$F$23,MIN(INT(($A472-1)/70)+1,CROQUIS_DATOS!$C$1525))/2)))*CROQUIS_DATOS!$C$1562),-1000)</f>
        <v>82.8189655172414</v>
      </c>
      <c r="O472">
        <f>IF(AND(CROQUIS_DATOS!$C$1472=1,1),(CROQUIS_DATOS!$C$1564+(IF(OR(IF(INT(($A472-1)/70)+1&gt;CROQUIS_DATOS!$C$1525,70,MOD($A472-1,70)+1)=1,IF(INT(($A472-1)/70)+1&gt;CROQUIS_DATOS!$C$1525,70,MOD($A472-1,70)+1)&gt;2*CROQUIS_DATOS!$C$1541+1),CROQUIS_DATOS!$C$1476,INDEX($H$8:$H$41,MIN(INT((IF(INT(($A472-1)/70)+1&gt;CROQUIS_DATOS!$C$1525,70,MOD($A472-1,70)+1)-2)/2)+1,CROQUIS_DATOS!$C$1541))))*CROQUIS_DATOS!$C$1561*CROQUIS_DATOS!$C$1562),-1000)</f>
        <v>40.2068965517241</v>
      </c>
    </row>
    <row r="473">
      <c r="A473" t="n">
        <v>466</v>
      </c>
      <c r="N473">
        <f>IF(AND(CROQUIS_DATOS!$C$1472=1,1),(CROQUIS_DATOS!$C$1563+(IF(IF(IF(INT(($A473-1)/70)+1&gt;CROQUIS_DATOS!$C$1525,70,MOD($A473-1,70)+1)=1,0,IF(IF(INT(($A473-1)/70)+1&gt;CROQUIS_DATOS!$C$1525,70,MOD($A473-1,70)+1)&gt;2*CROQUIS_DATOS!$C$1541+1,IF(MOD(CROQUIS_DATOS!$C$1541,2)=1,1,0),IF(MOD(MIN(INT((IF(INT(($A473-1)/70)+1&gt;CROQUIS_DATOS!$C$1525,70,MOD($A473-1,70)+1)-2)/2)+1,CROQUIS_DATOS!$C$1541),2)=1,IF(MOD(IF(INT(($A473-1)/70)+1&gt;CROQUIS_DATOS!$C$1525,70,MOD($A473-1,70)+1)-2,2)=0,0,1),IF(MOD(IF(INT(($A473-1)/70)+1&gt;CROQUIS_DATOS!$C$1525,70,MOD($A473-1,70)+1)-2,2)=0,1,0))))=0,(INDEX($E$8:$E$23,MIN(INT(($A473-1)/70)+1,CROQUIS_DATOS!$C$1525))-INDEX($F$8:$F$23,MIN(INT(($A473-1)/70)+1,CROQUIS_DATOS!$C$1525))/2),(INDEX($E$8:$E$23,MIN(INT(($A473-1)/70)+1,CROQUIS_DATOS!$C$1525))+INDEX($F$8:$F$23,MIN(INT(($A473-1)/70)+1,CROQUIS_DATOS!$C$1525))/2)))*CROQUIS_DATOS!$C$1562),-1000)</f>
        <v>82.8189655172414</v>
      </c>
      <c r="O473">
        <f>IF(AND(CROQUIS_DATOS!$C$1472=1,1),(CROQUIS_DATOS!$C$1564+(IF(OR(IF(INT(($A473-1)/70)+1&gt;CROQUIS_DATOS!$C$1525,70,MOD($A473-1,70)+1)=1,IF(INT(($A473-1)/70)+1&gt;CROQUIS_DATOS!$C$1525,70,MOD($A473-1,70)+1)&gt;2*CROQUIS_DATOS!$C$1541+1),CROQUIS_DATOS!$C$1476,INDEX($H$8:$H$41,MIN(INT((IF(INT(($A473-1)/70)+1&gt;CROQUIS_DATOS!$C$1525,70,MOD($A473-1,70)+1)-2)/2)+1,CROQUIS_DATOS!$C$1541))))*CROQUIS_DATOS!$C$1561*CROQUIS_DATOS!$C$1562),-1000)</f>
        <v>40.2068965517241</v>
      </c>
    </row>
    <row r="474">
      <c r="A474" t="n">
        <v>467</v>
      </c>
      <c r="N474">
        <f>IF(AND(CROQUIS_DATOS!$C$1472=1,1),(CROQUIS_DATOS!$C$1563+(IF(IF(IF(INT(($A474-1)/70)+1&gt;CROQUIS_DATOS!$C$1525,70,MOD($A474-1,70)+1)=1,0,IF(IF(INT(($A474-1)/70)+1&gt;CROQUIS_DATOS!$C$1525,70,MOD($A474-1,70)+1)&gt;2*CROQUIS_DATOS!$C$1541+1,IF(MOD(CROQUIS_DATOS!$C$1541,2)=1,1,0),IF(MOD(MIN(INT((IF(INT(($A474-1)/70)+1&gt;CROQUIS_DATOS!$C$1525,70,MOD($A474-1,70)+1)-2)/2)+1,CROQUIS_DATOS!$C$1541),2)=1,IF(MOD(IF(INT(($A474-1)/70)+1&gt;CROQUIS_DATOS!$C$1525,70,MOD($A474-1,70)+1)-2,2)=0,0,1),IF(MOD(IF(INT(($A474-1)/70)+1&gt;CROQUIS_DATOS!$C$1525,70,MOD($A474-1,70)+1)-2,2)=0,1,0))))=0,(INDEX($E$8:$E$23,MIN(INT(($A474-1)/70)+1,CROQUIS_DATOS!$C$1525))-INDEX($F$8:$F$23,MIN(INT(($A474-1)/70)+1,CROQUIS_DATOS!$C$1525))/2),(INDEX($E$8:$E$23,MIN(INT(($A474-1)/70)+1,CROQUIS_DATOS!$C$1525))+INDEX($F$8:$F$23,MIN(INT(($A474-1)/70)+1,CROQUIS_DATOS!$C$1525))/2)))*CROQUIS_DATOS!$C$1562),-1000)</f>
        <v>82.8189655172414</v>
      </c>
      <c r="O474">
        <f>IF(AND(CROQUIS_DATOS!$C$1472=1,1),(CROQUIS_DATOS!$C$1564+(IF(OR(IF(INT(($A474-1)/70)+1&gt;CROQUIS_DATOS!$C$1525,70,MOD($A474-1,70)+1)=1,IF(INT(($A474-1)/70)+1&gt;CROQUIS_DATOS!$C$1525,70,MOD($A474-1,70)+1)&gt;2*CROQUIS_DATOS!$C$1541+1),CROQUIS_DATOS!$C$1476,INDEX($H$8:$H$41,MIN(INT((IF(INT(($A474-1)/70)+1&gt;CROQUIS_DATOS!$C$1525,70,MOD($A474-1,70)+1)-2)/2)+1,CROQUIS_DATOS!$C$1541))))*CROQUIS_DATOS!$C$1561*CROQUIS_DATOS!$C$1562),-1000)</f>
        <v>40.2068965517241</v>
      </c>
    </row>
    <row r="475">
      <c r="A475" t="n">
        <v>468</v>
      </c>
      <c r="N475">
        <f>IF(AND(CROQUIS_DATOS!$C$1472=1,1),(CROQUIS_DATOS!$C$1563+(IF(IF(IF(INT(($A475-1)/70)+1&gt;CROQUIS_DATOS!$C$1525,70,MOD($A475-1,70)+1)=1,0,IF(IF(INT(($A475-1)/70)+1&gt;CROQUIS_DATOS!$C$1525,70,MOD($A475-1,70)+1)&gt;2*CROQUIS_DATOS!$C$1541+1,IF(MOD(CROQUIS_DATOS!$C$1541,2)=1,1,0),IF(MOD(MIN(INT((IF(INT(($A475-1)/70)+1&gt;CROQUIS_DATOS!$C$1525,70,MOD($A475-1,70)+1)-2)/2)+1,CROQUIS_DATOS!$C$1541),2)=1,IF(MOD(IF(INT(($A475-1)/70)+1&gt;CROQUIS_DATOS!$C$1525,70,MOD($A475-1,70)+1)-2,2)=0,0,1),IF(MOD(IF(INT(($A475-1)/70)+1&gt;CROQUIS_DATOS!$C$1525,70,MOD($A475-1,70)+1)-2,2)=0,1,0))))=0,(INDEX($E$8:$E$23,MIN(INT(($A475-1)/70)+1,CROQUIS_DATOS!$C$1525))-INDEX($F$8:$F$23,MIN(INT(($A475-1)/70)+1,CROQUIS_DATOS!$C$1525))/2),(INDEX($E$8:$E$23,MIN(INT(($A475-1)/70)+1,CROQUIS_DATOS!$C$1525))+INDEX($F$8:$F$23,MIN(INT(($A475-1)/70)+1,CROQUIS_DATOS!$C$1525))/2)))*CROQUIS_DATOS!$C$1562),-1000)</f>
        <v>82.8189655172414</v>
      </c>
      <c r="O475">
        <f>IF(AND(CROQUIS_DATOS!$C$1472=1,1),(CROQUIS_DATOS!$C$1564+(IF(OR(IF(INT(($A475-1)/70)+1&gt;CROQUIS_DATOS!$C$1525,70,MOD($A475-1,70)+1)=1,IF(INT(($A475-1)/70)+1&gt;CROQUIS_DATOS!$C$1525,70,MOD($A475-1,70)+1)&gt;2*CROQUIS_DATOS!$C$1541+1),CROQUIS_DATOS!$C$1476,INDEX($H$8:$H$41,MIN(INT((IF(INT(($A475-1)/70)+1&gt;CROQUIS_DATOS!$C$1525,70,MOD($A475-1,70)+1)-2)/2)+1,CROQUIS_DATOS!$C$1541))))*CROQUIS_DATOS!$C$1561*CROQUIS_DATOS!$C$1562),-1000)</f>
        <v>40.2068965517241</v>
      </c>
    </row>
    <row r="476">
      <c r="A476" t="n">
        <v>469</v>
      </c>
      <c r="N476">
        <f>IF(AND(CROQUIS_DATOS!$C$1472=1,1),(CROQUIS_DATOS!$C$1563+(IF(IF(IF(INT(($A476-1)/70)+1&gt;CROQUIS_DATOS!$C$1525,70,MOD($A476-1,70)+1)=1,0,IF(IF(INT(($A476-1)/70)+1&gt;CROQUIS_DATOS!$C$1525,70,MOD($A476-1,70)+1)&gt;2*CROQUIS_DATOS!$C$1541+1,IF(MOD(CROQUIS_DATOS!$C$1541,2)=1,1,0),IF(MOD(MIN(INT((IF(INT(($A476-1)/70)+1&gt;CROQUIS_DATOS!$C$1525,70,MOD($A476-1,70)+1)-2)/2)+1,CROQUIS_DATOS!$C$1541),2)=1,IF(MOD(IF(INT(($A476-1)/70)+1&gt;CROQUIS_DATOS!$C$1525,70,MOD($A476-1,70)+1)-2,2)=0,0,1),IF(MOD(IF(INT(($A476-1)/70)+1&gt;CROQUIS_DATOS!$C$1525,70,MOD($A476-1,70)+1)-2,2)=0,1,0))))=0,(INDEX($E$8:$E$23,MIN(INT(($A476-1)/70)+1,CROQUIS_DATOS!$C$1525))-INDEX($F$8:$F$23,MIN(INT(($A476-1)/70)+1,CROQUIS_DATOS!$C$1525))/2),(INDEX($E$8:$E$23,MIN(INT(($A476-1)/70)+1,CROQUIS_DATOS!$C$1525))+INDEX($F$8:$F$23,MIN(INT(($A476-1)/70)+1,CROQUIS_DATOS!$C$1525))/2)))*CROQUIS_DATOS!$C$1562),-1000)</f>
        <v>82.8189655172414</v>
      </c>
      <c r="O476">
        <f>IF(AND(CROQUIS_DATOS!$C$1472=1,1),(CROQUIS_DATOS!$C$1564+(IF(OR(IF(INT(($A476-1)/70)+1&gt;CROQUIS_DATOS!$C$1525,70,MOD($A476-1,70)+1)=1,IF(INT(($A476-1)/70)+1&gt;CROQUIS_DATOS!$C$1525,70,MOD($A476-1,70)+1)&gt;2*CROQUIS_DATOS!$C$1541+1),CROQUIS_DATOS!$C$1476,INDEX($H$8:$H$41,MIN(INT((IF(INT(($A476-1)/70)+1&gt;CROQUIS_DATOS!$C$1525,70,MOD($A476-1,70)+1)-2)/2)+1,CROQUIS_DATOS!$C$1541))))*CROQUIS_DATOS!$C$1561*CROQUIS_DATOS!$C$1562),-1000)</f>
        <v>40.2068965517241</v>
      </c>
    </row>
    <row r="477">
      <c r="A477" t="n">
        <v>470</v>
      </c>
      <c r="N477">
        <f>IF(AND(CROQUIS_DATOS!$C$1472=1,1),(CROQUIS_DATOS!$C$1563+(IF(IF(IF(INT(($A477-1)/70)+1&gt;CROQUIS_DATOS!$C$1525,70,MOD($A477-1,70)+1)=1,0,IF(IF(INT(($A477-1)/70)+1&gt;CROQUIS_DATOS!$C$1525,70,MOD($A477-1,70)+1)&gt;2*CROQUIS_DATOS!$C$1541+1,IF(MOD(CROQUIS_DATOS!$C$1541,2)=1,1,0),IF(MOD(MIN(INT((IF(INT(($A477-1)/70)+1&gt;CROQUIS_DATOS!$C$1525,70,MOD($A477-1,70)+1)-2)/2)+1,CROQUIS_DATOS!$C$1541),2)=1,IF(MOD(IF(INT(($A477-1)/70)+1&gt;CROQUIS_DATOS!$C$1525,70,MOD($A477-1,70)+1)-2,2)=0,0,1),IF(MOD(IF(INT(($A477-1)/70)+1&gt;CROQUIS_DATOS!$C$1525,70,MOD($A477-1,70)+1)-2,2)=0,1,0))))=0,(INDEX($E$8:$E$23,MIN(INT(($A477-1)/70)+1,CROQUIS_DATOS!$C$1525))-INDEX($F$8:$F$23,MIN(INT(($A477-1)/70)+1,CROQUIS_DATOS!$C$1525))/2),(INDEX($E$8:$E$23,MIN(INT(($A477-1)/70)+1,CROQUIS_DATOS!$C$1525))+INDEX($F$8:$F$23,MIN(INT(($A477-1)/70)+1,CROQUIS_DATOS!$C$1525))/2)))*CROQUIS_DATOS!$C$1562),-1000)</f>
        <v>82.8189655172414</v>
      </c>
      <c r="O477">
        <f>IF(AND(CROQUIS_DATOS!$C$1472=1,1),(CROQUIS_DATOS!$C$1564+(IF(OR(IF(INT(($A477-1)/70)+1&gt;CROQUIS_DATOS!$C$1525,70,MOD($A477-1,70)+1)=1,IF(INT(($A477-1)/70)+1&gt;CROQUIS_DATOS!$C$1525,70,MOD($A477-1,70)+1)&gt;2*CROQUIS_DATOS!$C$1541+1),CROQUIS_DATOS!$C$1476,INDEX($H$8:$H$41,MIN(INT((IF(INT(($A477-1)/70)+1&gt;CROQUIS_DATOS!$C$1525,70,MOD($A477-1,70)+1)-2)/2)+1,CROQUIS_DATOS!$C$1541))))*CROQUIS_DATOS!$C$1561*CROQUIS_DATOS!$C$1562),-1000)</f>
        <v>40.2068965517241</v>
      </c>
    </row>
    <row r="478">
      <c r="A478" t="n">
        <v>471</v>
      </c>
      <c r="N478">
        <f>IF(AND(CROQUIS_DATOS!$C$1472=1,1),(CROQUIS_DATOS!$C$1563+(IF(IF(IF(INT(($A478-1)/70)+1&gt;CROQUIS_DATOS!$C$1525,70,MOD($A478-1,70)+1)=1,0,IF(IF(INT(($A478-1)/70)+1&gt;CROQUIS_DATOS!$C$1525,70,MOD($A478-1,70)+1)&gt;2*CROQUIS_DATOS!$C$1541+1,IF(MOD(CROQUIS_DATOS!$C$1541,2)=1,1,0),IF(MOD(MIN(INT((IF(INT(($A478-1)/70)+1&gt;CROQUIS_DATOS!$C$1525,70,MOD($A478-1,70)+1)-2)/2)+1,CROQUIS_DATOS!$C$1541),2)=1,IF(MOD(IF(INT(($A478-1)/70)+1&gt;CROQUIS_DATOS!$C$1525,70,MOD($A478-1,70)+1)-2,2)=0,0,1),IF(MOD(IF(INT(($A478-1)/70)+1&gt;CROQUIS_DATOS!$C$1525,70,MOD($A478-1,70)+1)-2,2)=0,1,0))))=0,(INDEX($E$8:$E$23,MIN(INT(($A478-1)/70)+1,CROQUIS_DATOS!$C$1525))-INDEX($F$8:$F$23,MIN(INT(($A478-1)/70)+1,CROQUIS_DATOS!$C$1525))/2),(INDEX($E$8:$E$23,MIN(INT(($A478-1)/70)+1,CROQUIS_DATOS!$C$1525))+INDEX($F$8:$F$23,MIN(INT(($A478-1)/70)+1,CROQUIS_DATOS!$C$1525))/2)))*CROQUIS_DATOS!$C$1562),-1000)</f>
        <v>82.8189655172414</v>
      </c>
      <c r="O478">
        <f>IF(AND(CROQUIS_DATOS!$C$1472=1,1),(CROQUIS_DATOS!$C$1564+(IF(OR(IF(INT(($A478-1)/70)+1&gt;CROQUIS_DATOS!$C$1525,70,MOD($A478-1,70)+1)=1,IF(INT(($A478-1)/70)+1&gt;CROQUIS_DATOS!$C$1525,70,MOD($A478-1,70)+1)&gt;2*CROQUIS_DATOS!$C$1541+1),CROQUIS_DATOS!$C$1476,INDEX($H$8:$H$41,MIN(INT((IF(INT(($A478-1)/70)+1&gt;CROQUIS_DATOS!$C$1525,70,MOD($A478-1,70)+1)-2)/2)+1,CROQUIS_DATOS!$C$1541))))*CROQUIS_DATOS!$C$1561*CROQUIS_DATOS!$C$1562),-1000)</f>
        <v>40.2068965517241</v>
      </c>
    </row>
    <row r="479">
      <c r="A479" t="n">
        <v>472</v>
      </c>
      <c r="N479">
        <f>IF(AND(CROQUIS_DATOS!$C$1472=1,1),(CROQUIS_DATOS!$C$1563+(IF(IF(IF(INT(($A479-1)/70)+1&gt;CROQUIS_DATOS!$C$1525,70,MOD($A479-1,70)+1)=1,0,IF(IF(INT(($A479-1)/70)+1&gt;CROQUIS_DATOS!$C$1525,70,MOD($A479-1,70)+1)&gt;2*CROQUIS_DATOS!$C$1541+1,IF(MOD(CROQUIS_DATOS!$C$1541,2)=1,1,0),IF(MOD(MIN(INT((IF(INT(($A479-1)/70)+1&gt;CROQUIS_DATOS!$C$1525,70,MOD($A479-1,70)+1)-2)/2)+1,CROQUIS_DATOS!$C$1541),2)=1,IF(MOD(IF(INT(($A479-1)/70)+1&gt;CROQUIS_DATOS!$C$1525,70,MOD($A479-1,70)+1)-2,2)=0,0,1),IF(MOD(IF(INT(($A479-1)/70)+1&gt;CROQUIS_DATOS!$C$1525,70,MOD($A479-1,70)+1)-2,2)=0,1,0))))=0,(INDEX($E$8:$E$23,MIN(INT(($A479-1)/70)+1,CROQUIS_DATOS!$C$1525))-INDEX($F$8:$F$23,MIN(INT(($A479-1)/70)+1,CROQUIS_DATOS!$C$1525))/2),(INDEX($E$8:$E$23,MIN(INT(($A479-1)/70)+1,CROQUIS_DATOS!$C$1525))+INDEX($F$8:$F$23,MIN(INT(($A479-1)/70)+1,CROQUIS_DATOS!$C$1525))/2)))*CROQUIS_DATOS!$C$1562),-1000)</f>
        <v>82.8189655172414</v>
      </c>
      <c r="O479">
        <f>IF(AND(CROQUIS_DATOS!$C$1472=1,1),(CROQUIS_DATOS!$C$1564+(IF(OR(IF(INT(($A479-1)/70)+1&gt;CROQUIS_DATOS!$C$1525,70,MOD($A479-1,70)+1)=1,IF(INT(($A479-1)/70)+1&gt;CROQUIS_DATOS!$C$1525,70,MOD($A479-1,70)+1)&gt;2*CROQUIS_DATOS!$C$1541+1),CROQUIS_DATOS!$C$1476,INDEX($H$8:$H$41,MIN(INT((IF(INT(($A479-1)/70)+1&gt;CROQUIS_DATOS!$C$1525,70,MOD($A479-1,70)+1)-2)/2)+1,CROQUIS_DATOS!$C$1541))))*CROQUIS_DATOS!$C$1561*CROQUIS_DATOS!$C$1562),-1000)</f>
        <v>40.2068965517241</v>
      </c>
    </row>
    <row r="480">
      <c r="A480" t="n">
        <v>473</v>
      </c>
      <c r="N480">
        <f>IF(AND(CROQUIS_DATOS!$C$1472=1,1),(CROQUIS_DATOS!$C$1563+(IF(IF(IF(INT(($A480-1)/70)+1&gt;CROQUIS_DATOS!$C$1525,70,MOD($A480-1,70)+1)=1,0,IF(IF(INT(($A480-1)/70)+1&gt;CROQUIS_DATOS!$C$1525,70,MOD($A480-1,70)+1)&gt;2*CROQUIS_DATOS!$C$1541+1,IF(MOD(CROQUIS_DATOS!$C$1541,2)=1,1,0),IF(MOD(MIN(INT((IF(INT(($A480-1)/70)+1&gt;CROQUIS_DATOS!$C$1525,70,MOD($A480-1,70)+1)-2)/2)+1,CROQUIS_DATOS!$C$1541),2)=1,IF(MOD(IF(INT(($A480-1)/70)+1&gt;CROQUIS_DATOS!$C$1525,70,MOD($A480-1,70)+1)-2,2)=0,0,1),IF(MOD(IF(INT(($A480-1)/70)+1&gt;CROQUIS_DATOS!$C$1525,70,MOD($A480-1,70)+1)-2,2)=0,1,0))))=0,(INDEX($E$8:$E$23,MIN(INT(($A480-1)/70)+1,CROQUIS_DATOS!$C$1525))-INDEX($F$8:$F$23,MIN(INT(($A480-1)/70)+1,CROQUIS_DATOS!$C$1525))/2),(INDEX($E$8:$E$23,MIN(INT(($A480-1)/70)+1,CROQUIS_DATOS!$C$1525))+INDEX($F$8:$F$23,MIN(INT(($A480-1)/70)+1,CROQUIS_DATOS!$C$1525))/2)))*CROQUIS_DATOS!$C$1562),-1000)</f>
        <v>82.8189655172414</v>
      </c>
      <c r="O480">
        <f>IF(AND(CROQUIS_DATOS!$C$1472=1,1),(CROQUIS_DATOS!$C$1564+(IF(OR(IF(INT(($A480-1)/70)+1&gt;CROQUIS_DATOS!$C$1525,70,MOD($A480-1,70)+1)=1,IF(INT(($A480-1)/70)+1&gt;CROQUIS_DATOS!$C$1525,70,MOD($A480-1,70)+1)&gt;2*CROQUIS_DATOS!$C$1541+1),CROQUIS_DATOS!$C$1476,INDEX($H$8:$H$41,MIN(INT((IF(INT(($A480-1)/70)+1&gt;CROQUIS_DATOS!$C$1525,70,MOD($A480-1,70)+1)-2)/2)+1,CROQUIS_DATOS!$C$1541))))*CROQUIS_DATOS!$C$1561*CROQUIS_DATOS!$C$1562),-1000)</f>
        <v>40.2068965517241</v>
      </c>
    </row>
    <row r="481">
      <c r="A481" t="n">
        <v>474</v>
      </c>
      <c r="N481">
        <f>IF(AND(CROQUIS_DATOS!$C$1472=1,1),(CROQUIS_DATOS!$C$1563+(IF(IF(IF(INT(($A481-1)/70)+1&gt;CROQUIS_DATOS!$C$1525,70,MOD($A481-1,70)+1)=1,0,IF(IF(INT(($A481-1)/70)+1&gt;CROQUIS_DATOS!$C$1525,70,MOD($A481-1,70)+1)&gt;2*CROQUIS_DATOS!$C$1541+1,IF(MOD(CROQUIS_DATOS!$C$1541,2)=1,1,0),IF(MOD(MIN(INT((IF(INT(($A481-1)/70)+1&gt;CROQUIS_DATOS!$C$1525,70,MOD($A481-1,70)+1)-2)/2)+1,CROQUIS_DATOS!$C$1541),2)=1,IF(MOD(IF(INT(($A481-1)/70)+1&gt;CROQUIS_DATOS!$C$1525,70,MOD($A481-1,70)+1)-2,2)=0,0,1),IF(MOD(IF(INT(($A481-1)/70)+1&gt;CROQUIS_DATOS!$C$1525,70,MOD($A481-1,70)+1)-2,2)=0,1,0))))=0,(INDEX($E$8:$E$23,MIN(INT(($A481-1)/70)+1,CROQUIS_DATOS!$C$1525))-INDEX($F$8:$F$23,MIN(INT(($A481-1)/70)+1,CROQUIS_DATOS!$C$1525))/2),(INDEX($E$8:$E$23,MIN(INT(($A481-1)/70)+1,CROQUIS_DATOS!$C$1525))+INDEX($F$8:$F$23,MIN(INT(($A481-1)/70)+1,CROQUIS_DATOS!$C$1525))/2)))*CROQUIS_DATOS!$C$1562),-1000)</f>
        <v>82.8189655172414</v>
      </c>
      <c r="O481">
        <f>IF(AND(CROQUIS_DATOS!$C$1472=1,1),(CROQUIS_DATOS!$C$1564+(IF(OR(IF(INT(($A481-1)/70)+1&gt;CROQUIS_DATOS!$C$1525,70,MOD($A481-1,70)+1)=1,IF(INT(($A481-1)/70)+1&gt;CROQUIS_DATOS!$C$1525,70,MOD($A481-1,70)+1)&gt;2*CROQUIS_DATOS!$C$1541+1),CROQUIS_DATOS!$C$1476,INDEX($H$8:$H$41,MIN(INT((IF(INT(($A481-1)/70)+1&gt;CROQUIS_DATOS!$C$1525,70,MOD($A481-1,70)+1)-2)/2)+1,CROQUIS_DATOS!$C$1541))))*CROQUIS_DATOS!$C$1561*CROQUIS_DATOS!$C$1562),-1000)</f>
        <v>40.2068965517241</v>
      </c>
    </row>
    <row r="482">
      <c r="A482" t="n">
        <v>475</v>
      </c>
      <c r="N482">
        <f>IF(AND(CROQUIS_DATOS!$C$1472=1,1),(CROQUIS_DATOS!$C$1563+(IF(IF(IF(INT(($A482-1)/70)+1&gt;CROQUIS_DATOS!$C$1525,70,MOD($A482-1,70)+1)=1,0,IF(IF(INT(($A482-1)/70)+1&gt;CROQUIS_DATOS!$C$1525,70,MOD($A482-1,70)+1)&gt;2*CROQUIS_DATOS!$C$1541+1,IF(MOD(CROQUIS_DATOS!$C$1541,2)=1,1,0),IF(MOD(MIN(INT((IF(INT(($A482-1)/70)+1&gt;CROQUIS_DATOS!$C$1525,70,MOD($A482-1,70)+1)-2)/2)+1,CROQUIS_DATOS!$C$1541),2)=1,IF(MOD(IF(INT(($A482-1)/70)+1&gt;CROQUIS_DATOS!$C$1525,70,MOD($A482-1,70)+1)-2,2)=0,0,1),IF(MOD(IF(INT(($A482-1)/70)+1&gt;CROQUIS_DATOS!$C$1525,70,MOD($A482-1,70)+1)-2,2)=0,1,0))))=0,(INDEX($E$8:$E$23,MIN(INT(($A482-1)/70)+1,CROQUIS_DATOS!$C$1525))-INDEX($F$8:$F$23,MIN(INT(($A482-1)/70)+1,CROQUIS_DATOS!$C$1525))/2),(INDEX($E$8:$E$23,MIN(INT(($A482-1)/70)+1,CROQUIS_DATOS!$C$1525))+INDEX($F$8:$F$23,MIN(INT(($A482-1)/70)+1,CROQUIS_DATOS!$C$1525))/2)))*CROQUIS_DATOS!$C$1562),-1000)</f>
        <v>82.8189655172414</v>
      </c>
      <c r="O482">
        <f>IF(AND(CROQUIS_DATOS!$C$1472=1,1),(CROQUIS_DATOS!$C$1564+(IF(OR(IF(INT(($A482-1)/70)+1&gt;CROQUIS_DATOS!$C$1525,70,MOD($A482-1,70)+1)=1,IF(INT(($A482-1)/70)+1&gt;CROQUIS_DATOS!$C$1525,70,MOD($A482-1,70)+1)&gt;2*CROQUIS_DATOS!$C$1541+1),CROQUIS_DATOS!$C$1476,INDEX($H$8:$H$41,MIN(INT((IF(INT(($A482-1)/70)+1&gt;CROQUIS_DATOS!$C$1525,70,MOD($A482-1,70)+1)-2)/2)+1,CROQUIS_DATOS!$C$1541))))*CROQUIS_DATOS!$C$1561*CROQUIS_DATOS!$C$1562),-1000)</f>
        <v>40.2068965517241</v>
      </c>
    </row>
    <row r="483">
      <c r="A483" t="n">
        <v>476</v>
      </c>
      <c r="N483">
        <f>IF(AND(CROQUIS_DATOS!$C$1472=1,1),(CROQUIS_DATOS!$C$1563+(IF(IF(IF(INT(($A483-1)/70)+1&gt;CROQUIS_DATOS!$C$1525,70,MOD($A483-1,70)+1)=1,0,IF(IF(INT(($A483-1)/70)+1&gt;CROQUIS_DATOS!$C$1525,70,MOD($A483-1,70)+1)&gt;2*CROQUIS_DATOS!$C$1541+1,IF(MOD(CROQUIS_DATOS!$C$1541,2)=1,1,0),IF(MOD(MIN(INT((IF(INT(($A483-1)/70)+1&gt;CROQUIS_DATOS!$C$1525,70,MOD($A483-1,70)+1)-2)/2)+1,CROQUIS_DATOS!$C$1541),2)=1,IF(MOD(IF(INT(($A483-1)/70)+1&gt;CROQUIS_DATOS!$C$1525,70,MOD($A483-1,70)+1)-2,2)=0,0,1),IF(MOD(IF(INT(($A483-1)/70)+1&gt;CROQUIS_DATOS!$C$1525,70,MOD($A483-1,70)+1)-2,2)=0,1,0))))=0,(INDEX($E$8:$E$23,MIN(INT(($A483-1)/70)+1,CROQUIS_DATOS!$C$1525))-INDEX($F$8:$F$23,MIN(INT(($A483-1)/70)+1,CROQUIS_DATOS!$C$1525))/2),(INDEX($E$8:$E$23,MIN(INT(($A483-1)/70)+1,CROQUIS_DATOS!$C$1525))+INDEX($F$8:$F$23,MIN(INT(($A483-1)/70)+1,CROQUIS_DATOS!$C$1525))/2)))*CROQUIS_DATOS!$C$1562),-1000)</f>
        <v>82.8189655172414</v>
      </c>
      <c r="O483">
        <f>IF(AND(CROQUIS_DATOS!$C$1472=1,1),(CROQUIS_DATOS!$C$1564+(IF(OR(IF(INT(($A483-1)/70)+1&gt;CROQUIS_DATOS!$C$1525,70,MOD($A483-1,70)+1)=1,IF(INT(($A483-1)/70)+1&gt;CROQUIS_DATOS!$C$1525,70,MOD($A483-1,70)+1)&gt;2*CROQUIS_DATOS!$C$1541+1),CROQUIS_DATOS!$C$1476,INDEX($H$8:$H$41,MIN(INT((IF(INT(($A483-1)/70)+1&gt;CROQUIS_DATOS!$C$1525,70,MOD($A483-1,70)+1)-2)/2)+1,CROQUIS_DATOS!$C$1541))))*CROQUIS_DATOS!$C$1561*CROQUIS_DATOS!$C$1562),-1000)</f>
        <v>40.2068965517241</v>
      </c>
    </row>
    <row r="484">
      <c r="A484" t="n">
        <v>477</v>
      </c>
      <c r="N484">
        <f>IF(AND(CROQUIS_DATOS!$C$1472=1,1),(CROQUIS_DATOS!$C$1563+(IF(IF(IF(INT(($A484-1)/70)+1&gt;CROQUIS_DATOS!$C$1525,70,MOD($A484-1,70)+1)=1,0,IF(IF(INT(($A484-1)/70)+1&gt;CROQUIS_DATOS!$C$1525,70,MOD($A484-1,70)+1)&gt;2*CROQUIS_DATOS!$C$1541+1,IF(MOD(CROQUIS_DATOS!$C$1541,2)=1,1,0),IF(MOD(MIN(INT((IF(INT(($A484-1)/70)+1&gt;CROQUIS_DATOS!$C$1525,70,MOD($A484-1,70)+1)-2)/2)+1,CROQUIS_DATOS!$C$1541),2)=1,IF(MOD(IF(INT(($A484-1)/70)+1&gt;CROQUIS_DATOS!$C$1525,70,MOD($A484-1,70)+1)-2,2)=0,0,1),IF(MOD(IF(INT(($A484-1)/70)+1&gt;CROQUIS_DATOS!$C$1525,70,MOD($A484-1,70)+1)-2,2)=0,1,0))))=0,(INDEX($E$8:$E$23,MIN(INT(($A484-1)/70)+1,CROQUIS_DATOS!$C$1525))-INDEX($F$8:$F$23,MIN(INT(($A484-1)/70)+1,CROQUIS_DATOS!$C$1525))/2),(INDEX($E$8:$E$23,MIN(INT(($A484-1)/70)+1,CROQUIS_DATOS!$C$1525))+INDEX($F$8:$F$23,MIN(INT(($A484-1)/70)+1,CROQUIS_DATOS!$C$1525))/2)))*CROQUIS_DATOS!$C$1562),-1000)</f>
        <v>82.8189655172414</v>
      </c>
      <c r="O484">
        <f>IF(AND(CROQUIS_DATOS!$C$1472=1,1),(CROQUIS_DATOS!$C$1564+(IF(OR(IF(INT(($A484-1)/70)+1&gt;CROQUIS_DATOS!$C$1525,70,MOD($A484-1,70)+1)=1,IF(INT(($A484-1)/70)+1&gt;CROQUIS_DATOS!$C$1525,70,MOD($A484-1,70)+1)&gt;2*CROQUIS_DATOS!$C$1541+1),CROQUIS_DATOS!$C$1476,INDEX($H$8:$H$41,MIN(INT((IF(INT(($A484-1)/70)+1&gt;CROQUIS_DATOS!$C$1525,70,MOD($A484-1,70)+1)-2)/2)+1,CROQUIS_DATOS!$C$1541))))*CROQUIS_DATOS!$C$1561*CROQUIS_DATOS!$C$1562),-1000)</f>
        <v>40.2068965517241</v>
      </c>
    </row>
    <row r="485">
      <c r="A485" t="n">
        <v>478</v>
      </c>
      <c r="N485">
        <f>IF(AND(CROQUIS_DATOS!$C$1472=1,1),(CROQUIS_DATOS!$C$1563+(IF(IF(IF(INT(($A485-1)/70)+1&gt;CROQUIS_DATOS!$C$1525,70,MOD($A485-1,70)+1)=1,0,IF(IF(INT(($A485-1)/70)+1&gt;CROQUIS_DATOS!$C$1525,70,MOD($A485-1,70)+1)&gt;2*CROQUIS_DATOS!$C$1541+1,IF(MOD(CROQUIS_DATOS!$C$1541,2)=1,1,0),IF(MOD(MIN(INT((IF(INT(($A485-1)/70)+1&gt;CROQUIS_DATOS!$C$1525,70,MOD($A485-1,70)+1)-2)/2)+1,CROQUIS_DATOS!$C$1541),2)=1,IF(MOD(IF(INT(($A485-1)/70)+1&gt;CROQUIS_DATOS!$C$1525,70,MOD($A485-1,70)+1)-2,2)=0,0,1),IF(MOD(IF(INT(($A485-1)/70)+1&gt;CROQUIS_DATOS!$C$1525,70,MOD($A485-1,70)+1)-2,2)=0,1,0))))=0,(INDEX($E$8:$E$23,MIN(INT(($A485-1)/70)+1,CROQUIS_DATOS!$C$1525))-INDEX($F$8:$F$23,MIN(INT(($A485-1)/70)+1,CROQUIS_DATOS!$C$1525))/2),(INDEX($E$8:$E$23,MIN(INT(($A485-1)/70)+1,CROQUIS_DATOS!$C$1525))+INDEX($F$8:$F$23,MIN(INT(($A485-1)/70)+1,CROQUIS_DATOS!$C$1525))/2)))*CROQUIS_DATOS!$C$1562),-1000)</f>
        <v>82.8189655172414</v>
      </c>
      <c r="O485">
        <f>IF(AND(CROQUIS_DATOS!$C$1472=1,1),(CROQUIS_DATOS!$C$1564+(IF(OR(IF(INT(($A485-1)/70)+1&gt;CROQUIS_DATOS!$C$1525,70,MOD($A485-1,70)+1)=1,IF(INT(($A485-1)/70)+1&gt;CROQUIS_DATOS!$C$1525,70,MOD($A485-1,70)+1)&gt;2*CROQUIS_DATOS!$C$1541+1),CROQUIS_DATOS!$C$1476,INDEX($H$8:$H$41,MIN(INT((IF(INT(($A485-1)/70)+1&gt;CROQUIS_DATOS!$C$1525,70,MOD($A485-1,70)+1)-2)/2)+1,CROQUIS_DATOS!$C$1541))))*CROQUIS_DATOS!$C$1561*CROQUIS_DATOS!$C$1562),-1000)</f>
        <v>40.2068965517241</v>
      </c>
    </row>
    <row r="486">
      <c r="A486" t="n">
        <v>479</v>
      </c>
      <c r="N486">
        <f>IF(AND(CROQUIS_DATOS!$C$1472=1,1),(CROQUIS_DATOS!$C$1563+(IF(IF(IF(INT(($A486-1)/70)+1&gt;CROQUIS_DATOS!$C$1525,70,MOD($A486-1,70)+1)=1,0,IF(IF(INT(($A486-1)/70)+1&gt;CROQUIS_DATOS!$C$1525,70,MOD($A486-1,70)+1)&gt;2*CROQUIS_DATOS!$C$1541+1,IF(MOD(CROQUIS_DATOS!$C$1541,2)=1,1,0),IF(MOD(MIN(INT((IF(INT(($A486-1)/70)+1&gt;CROQUIS_DATOS!$C$1525,70,MOD($A486-1,70)+1)-2)/2)+1,CROQUIS_DATOS!$C$1541),2)=1,IF(MOD(IF(INT(($A486-1)/70)+1&gt;CROQUIS_DATOS!$C$1525,70,MOD($A486-1,70)+1)-2,2)=0,0,1),IF(MOD(IF(INT(($A486-1)/70)+1&gt;CROQUIS_DATOS!$C$1525,70,MOD($A486-1,70)+1)-2,2)=0,1,0))))=0,(INDEX($E$8:$E$23,MIN(INT(($A486-1)/70)+1,CROQUIS_DATOS!$C$1525))-INDEX($F$8:$F$23,MIN(INT(($A486-1)/70)+1,CROQUIS_DATOS!$C$1525))/2),(INDEX($E$8:$E$23,MIN(INT(($A486-1)/70)+1,CROQUIS_DATOS!$C$1525))+INDEX($F$8:$F$23,MIN(INT(($A486-1)/70)+1,CROQUIS_DATOS!$C$1525))/2)))*CROQUIS_DATOS!$C$1562),-1000)</f>
        <v>82.8189655172414</v>
      </c>
      <c r="O486">
        <f>IF(AND(CROQUIS_DATOS!$C$1472=1,1),(CROQUIS_DATOS!$C$1564+(IF(OR(IF(INT(($A486-1)/70)+1&gt;CROQUIS_DATOS!$C$1525,70,MOD($A486-1,70)+1)=1,IF(INT(($A486-1)/70)+1&gt;CROQUIS_DATOS!$C$1525,70,MOD($A486-1,70)+1)&gt;2*CROQUIS_DATOS!$C$1541+1),CROQUIS_DATOS!$C$1476,INDEX($H$8:$H$41,MIN(INT((IF(INT(($A486-1)/70)+1&gt;CROQUIS_DATOS!$C$1525,70,MOD($A486-1,70)+1)-2)/2)+1,CROQUIS_DATOS!$C$1541))))*CROQUIS_DATOS!$C$1561*CROQUIS_DATOS!$C$1562),-1000)</f>
        <v>40.2068965517241</v>
      </c>
    </row>
    <row r="487">
      <c r="A487" t="n">
        <v>480</v>
      </c>
      <c r="N487">
        <f>IF(AND(CROQUIS_DATOS!$C$1472=1,1),(CROQUIS_DATOS!$C$1563+(IF(IF(IF(INT(($A487-1)/70)+1&gt;CROQUIS_DATOS!$C$1525,70,MOD($A487-1,70)+1)=1,0,IF(IF(INT(($A487-1)/70)+1&gt;CROQUIS_DATOS!$C$1525,70,MOD($A487-1,70)+1)&gt;2*CROQUIS_DATOS!$C$1541+1,IF(MOD(CROQUIS_DATOS!$C$1541,2)=1,1,0),IF(MOD(MIN(INT((IF(INT(($A487-1)/70)+1&gt;CROQUIS_DATOS!$C$1525,70,MOD($A487-1,70)+1)-2)/2)+1,CROQUIS_DATOS!$C$1541),2)=1,IF(MOD(IF(INT(($A487-1)/70)+1&gt;CROQUIS_DATOS!$C$1525,70,MOD($A487-1,70)+1)-2,2)=0,0,1),IF(MOD(IF(INT(($A487-1)/70)+1&gt;CROQUIS_DATOS!$C$1525,70,MOD($A487-1,70)+1)-2,2)=0,1,0))))=0,(INDEX($E$8:$E$23,MIN(INT(($A487-1)/70)+1,CROQUIS_DATOS!$C$1525))-INDEX($F$8:$F$23,MIN(INT(($A487-1)/70)+1,CROQUIS_DATOS!$C$1525))/2),(INDEX($E$8:$E$23,MIN(INT(($A487-1)/70)+1,CROQUIS_DATOS!$C$1525))+INDEX($F$8:$F$23,MIN(INT(($A487-1)/70)+1,CROQUIS_DATOS!$C$1525))/2)))*CROQUIS_DATOS!$C$1562),-1000)</f>
        <v>82.8189655172414</v>
      </c>
      <c r="O487">
        <f>IF(AND(CROQUIS_DATOS!$C$1472=1,1),(CROQUIS_DATOS!$C$1564+(IF(OR(IF(INT(($A487-1)/70)+1&gt;CROQUIS_DATOS!$C$1525,70,MOD($A487-1,70)+1)=1,IF(INT(($A487-1)/70)+1&gt;CROQUIS_DATOS!$C$1525,70,MOD($A487-1,70)+1)&gt;2*CROQUIS_DATOS!$C$1541+1),CROQUIS_DATOS!$C$1476,INDEX($H$8:$H$41,MIN(INT((IF(INT(($A487-1)/70)+1&gt;CROQUIS_DATOS!$C$1525,70,MOD($A487-1,70)+1)-2)/2)+1,CROQUIS_DATOS!$C$1541))))*CROQUIS_DATOS!$C$1561*CROQUIS_DATOS!$C$1562),-1000)</f>
        <v>40.2068965517241</v>
      </c>
    </row>
    <row r="488">
      <c r="A488" t="n">
        <v>481</v>
      </c>
      <c r="N488">
        <f>IF(AND(CROQUIS_DATOS!$C$1472=1,1),(CROQUIS_DATOS!$C$1563+(IF(IF(IF(INT(($A488-1)/70)+1&gt;CROQUIS_DATOS!$C$1525,70,MOD($A488-1,70)+1)=1,0,IF(IF(INT(($A488-1)/70)+1&gt;CROQUIS_DATOS!$C$1525,70,MOD($A488-1,70)+1)&gt;2*CROQUIS_DATOS!$C$1541+1,IF(MOD(CROQUIS_DATOS!$C$1541,2)=1,1,0),IF(MOD(MIN(INT((IF(INT(($A488-1)/70)+1&gt;CROQUIS_DATOS!$C$1525,70,MOD($A488-1,70)+1)-2)/2)+1,CROQUIS_DATOS!$C$1541),2)=1,IF(MOD(IF(INT(($A488-1)/70)+1&gt;CROQUIS_DATOS!$C$1525,70,MOD($A488-1,70)+1)-2,2)=0,0,1),IF(MOD(IF(INT(($A488-1)/70)+1&gt;CROQUIS_DATOS!$C$1525,70,MOD($A488-1,70)+1)-2,2)=0,1,0))))=0,(INDEX($E$8:$E$23,MIN(INT(($A488-1)/70)+1,CROQUIS_DATOS!$C$1525))-INDEX($F$8:$F$23,MIN(INT(($A488-1)/70)+1,CROQUIS_DATOS!$C$1525))/2),(INDEX($E$8:$E$23,MIN(INT(($A488-1)/70)+1,CROQUIS_DATOS!$C$1525))+INDEX($F$8:$F$23,MIN(INT(($A488-1)/70)+1,CROQUIS_DATOS!$C$1525))/2)))*CROQUIS_DATOS!$C$1562),-1000)</f>
        <v>82.8189655172414</v>
      </c>
      <c r="O488">
        <f>IF(AND(CROQUIS_DATOS!$C$1472=1,1),(CROQUIS_DATOS!$C$1564+(IF(OR(IF(INT(($A488-1)/70)+1&gt;CROQUIS_DATOS!$C$1525,70,MOD($A488-1,70)+1)=1,IF(INT(($A488-1)/70)+1&gt;CROQUIS_DATOS!$C$1525,70,MOD($A488-1,70)+1)&gt;2*CROQUIS_DATOS!$C$1541+1),CROQUIS_DATOS!$C$1476,INDEX($H$8:$H$41,MIN(INT((IF(INT(($A488-1)/70)+1&gt;CROQUIS_DATOS!$C$1525,70,MOD($A488-1,70)+1)-2)/2)+1,CROQUIS_DATOS!$C$1541))))*CROQUIS_DATOS!$C$1561*CROQUIS_DATOS!$C$1562),-1000)</f>
        <v>40.2068965517241</v>
      </c>
    </row>
    <row r="489">
      <c r="A489" t="n">
        <v>482</v>
      </c>
      <c r="N489">
        <f>IF(AND(CROQUIS_DATOS!$C$1472=1,1),(CROQUIS_DATOS!$C$1563+(IF(IF(IF(INT(($A489-1)/70)+1&gt;CROQUIS_DATOS!$C$1525,70,MOD($A489-1,70)+1)=1,0,IF(IF(INT(($A489-1)/70)+1&gt;CROQUIS_DATOS!$C$1525,70,MOD($A489-1,70)+1)&gt;2*CROQUIS_DATOS!$C$1541+1,IF(MOD(CROQUIS_DATOS!$C$1541,2)=1,1,0),IF(MOD(MIN(INT((IF(INT(($A489-1)/70)+1&gt;CROQUIS_DATOS!$C$1525,70,MOD($A489-1,70)+1)-2)/2)+1,CROQUIS_DATOS!$C$1541),2)=1,IF(MOD(IF(INT(($A489-1)/70)+1&gt;CROQUIS_DATOS!$C$1525,70,MOD($A489-1,70)+1)-2,2)=0,0,1),IF(MOD(IF(INT(($A489-1)/70)+1&gt;CROQUIS_DATOS!$C$1525,70,MOD($A489-1,70)+1)-2,2)=0,1,0))))=0,(INDEX($E$8:$E$23,MIN(INT(($A489-1)/70)+1,CROQUIS_DATOS!$C$1525))-INDEX($F$8:$F$23,MIN(INT(($A489-1)/70)+1,CROQUIS_DATOS!$C$1525))/2),(INDEX($E$8:$E$23,MIN(INT(($A489-1)/70)+1,CROQUIS_DATOS!$C$1525))+INDEX($F$8:$F$23,MIN(INT(($A489-1)/70)+1,CROQUIS_DATOS!$C$1525))/2)))*CROQUIS_DATOS!$C$1562),-1000)</f>
        <v>82.8189655172414</v>
      </c>
      <c r="O489">
        <f>IF(AND(CROQUIS_DATOS!$C$1472=1,1),(CROQUIS_DATOS!$C$1564+(IF(OR(IF(INT(($A489-1)/70)+1&gt;CROQUIS_DATOS!$C$1525,70,MOD($A489-1,70)+1)=1,IF(INT(($A489-1)/70)+1&gt;CROQUIS_DATOS!$C$1525,70,MOD($A489-1,70)+1)&gt;2*CROQUIS_DATOS!$C$1541+1),CROQUIS_DATOS!$C$1476,INDEX($H$8:$H$41,MIN(INT((IF(INT(($A489-1)/70)+1&gt;CROQUIS_DATOS!$C$1525,70,MOD($A489-1,70)+1)-2)/2)+1,CROQUIS_DATOS!$C$1541))))*CROQUIS_DATOS!$C$1561*CROQUIS_DATOS!$C$1562),-1000)</f>
        <v>40.2068965517241</v>
      </c>
    </row>
    <row r="490">
      <c r="A490" t="n">
        <v>483</v>
      </c>
      <c r="N490">
        <f>IF(AND(CROQUIS_DATOS!$C$1472=1,1),(CROQUIS_DATOS!$C$1563+(IF(IF(IF(INT(($A490-1)/70)+1&gt;CROQUIS_DATOS!$C$1525,70,MOD($A490-1,70)+1)=1,0,IF(IF(INT(($A490-1)/70)+1&gt;CROQUIS_DATOS!$C$1525,70,MOD($A490-1,70)+1)&gt;2*CROQUIS_DATOS!$C$1541+1,IF(MOD(CROQUIS_DATOS!$C$1541,2)=1,1,0),IF(MOD(MIN(INT((IF(INT(($A490-1)/70)+1&gt;CROQUIS_DATOS!$C$1525,70,MOD($A490-1,70)+1)-2)/2)+1,CROQUIS_DATOS!$C$1541),2)=1,IF(MOD(IF(INT(($A490-1)/70)+1&gt;CROQUIS_DATOS!$C$1525,70,MOD($A490-1,70)+1)-2,2)=0,0,1),IF(MOD(IF(INT(($A490-1)/70)+1&gt;CROQUIS_DATOS!$C$1525,70,MOD($A490-1,70)+1)-2,2)=0,1,0))))=0,(INDEX($E$8:$E$23,MIN(INT(($A490-1)/70)+1,CROQUIS_DATOS!$C$1525))-INDEX($F$8:$F$23,MIN(INT(($A490-1)/70)+1,CROQUIS_DATOS!$C$1525))/2),(INDEX($E$8:$E$23,MIN(INT(($A490-1)/70)+1,CROQUIS_DATOS!$C$1525))+INDEX($F$8:$F$23,MIN(INT(($A490-1)/70)+1,CROQUIS_DATOS!$C$1525))/2)))*CROQUIS_DATOS!$C$1562),-1000)</f>
        <v>82.8189655172414</v>
      </c>
      <c r="O490">
        <f>IF(AND(CROQUIS_DATOS!$C$1472=1,1),(CROQUIS_DATOS!$C$1564+(IF(OR(IF(INT(($A490-1)/70)+1&gt;CROQUIS_DATOS!$C$1525,70,MOD($A490-1,70)+1)=1,IF(INT(($A490-1)/70)+1&gt;CROQUIS_DATOS!$C$1525,70,MOD($A490-1,70)+1)&gt;2*CROQUIS_DATOS!$C$1541+1),CROQUIS_DATOS!$C$1476,INDEX($H$8:$H$41,MIN(INT((IF(INT(($A490-1)/70)+1&gt;CROQUIS_DATOS!$C$1525,70,MOD($A490-1,70)+1)-2)/2)+1,CROQUIS_DATOS!$C$1541))))*CROQUIS_DATOS!$C$1561*CROQUIS_DATOS!$C$1562),-1000)</f>
        <v>40.2068965517241</v>
      </c>
    </row>
    <row r="491">
      <c r="A491" t="n">
        <v>484</v>
      </c>
      <c r="N491">
        <f>IF(AND(CROQUIS_DATOS!$C$1472=1,1),(CROQUIS_DATOS!$C$1563+(IF(IF(IF(INT(($A491-1)/70)+1&gt;CROQUIS_DATOS!$C$1525,70,MOD($A491-1,70)+1)=1,0,IF(IF(INT(($A491-1)/70)+1&gt;CROQUIS_DATOS!$C$1525,70,MOD($A491-1,70)+1)&gt;2*CROQUIS_DATOS!$C$1541+1,IF(MOD(CROQUIS_DATOS!$C$1541,2)=1,1,0),IF(MOD(MIN(INT((IF(INT(($A491-1)/70)+1&gt;CROQUIS_DATOS!$C$1525,70,MOD($A491-1,70)+1)-2)/2)+1,CROQUIS_DATOS!$C$1541),2)=1,IF(MOD(IF(INT(($A491-1)/70)+1&gt;CROQUIS_DATOS!$C$1525,70,MOD($A491-1,70)+1)-2,2)=0,0,1),IF(MOD(IF(INT(($A491-1)/70)+1&gt;CROQUIS_DATOS!$C$1525,70,MOD($A491-1,70)+1)-2,2)=0,1,0))))=0,(INDEX($E$8:$E$23,MIN(INT(($A491-1)/70)+1,CROQUIS_DATOS!$C$1525))-INDEX($F$8:$F$23,MIN(INT(($A491-1)/70)+1,CROQUIS_DATOS!$C$1525))/2),(INDEX($E$8:$E$23,MIN(INT(($A491-1)/70)+1,CROQUIS_DATOS!$C$1525))+INDEX($F$8:$F$23,MIN(INT(($A491-1)/70)+1,CROQUIS_DATOS!$C$1525))/2)))*CROQUIS_DATOS!$C$1562),-1000)</f>
        <v>82.8189655172414</v>
      </c>
      <c r="O491">
        <f>IF(AND(CROQUIS_DATOS!$C$1472=1,1),(CROQUIS_DATOS!$C$1564+(IF(OR(IF(INT(($A491-1)/70)+1&gt;CROQUIS_DATOS!$C$1525,70,MOD($A491-1,70)+1)=1,IF(INT(($A491-1)/70)+1&gt;CROQUIS_DATOS!$C$1525,70,MOD($A491-1,70)+1)&gt;2*CROQUIS_DATOS!$C$1541+1),CROQUIS_DATOS!$C$1476,INDEX($H$8:$H$41,MIN(INT((IF(INT(($A491-1)/70)+1&gt;CROQUIS_DATOS!$C$1525,70,MOD($A491-1,70)+1)-2)/2)+1,CROQUIS_DATOS!$C$1541))))*CROQUIS_DATOS!$C$1561*CROQUIS_DATOS!$C$1562),-1000)</f>
        <v>40.2068965517241</v>
      </c>
    </row>
    <row r="492">
      <c r="A492" t="n">
        <v>485</v>
      </c>
      <c r="N492">
        <f>IF(AND(CROQUIS_DATOS!$C$1472=1,1),(CROQUIS_DATOS!$C$1563+(IF(IF(IF(INT(($A492-1)/70)+1&gt;CROQUIS_DATOS!$C$1525,70,MOD($A492-1,70)+1)=1,0,IF(IF(INT(($A492-1)/70)+1&gt;CROQUIS_DATOS!$C$1525,70,MOD($A492-1,70)+1)&gt;2*CROQUIS_DATOS!$C$1541+1,IF(MOD(CROQUIS_DATOS!$C$1541,2)=1,1,0),IF(MOD(MIN(INT((IF(INT(($A492-1)/70)+1&gt;CROQUIS_DATOS!$C$1525,70,MOD($A492-1,70)+1)-2)/2)+1,CROQUIS_DATOS!$C$1541),2)=1,IF(MOD(IF(INT(($A492-1)/70)+1&gt;CROQUIS_DATOS!$C$1525,70,MOD($A492-1,70)+1)-2,2)=0,0,1),IF(MOD(IF(INT(($A492-1)/70)+1&gt;CROQUIS_DATOS!$C$1525,70,MOD($A492-1,70)+1)-2,2)=0,1,0))))=0,(INDEX($E$8:$E$23,MIN(INT(($A492-1)/70)+1,CROQUIS_DATOS!$C$1525))-INDEX($F$8:$F$23,MIN(INT(($A492-1)/70)+1,CROQUIS_DATOS!$C$1525))/2),(INDEX($E$8:$E$23,MIN(INT(($A492-1)/70)+1,CROQUIS_DATOS!$C$1525))+INDEX($F$8:$F$23,MIN(INT(($A492-1)/70)+1,CROQUIS_DATOS!$C$1525))/2)))*CROQUIS_DATOS!$C$1562),-1000)</f>
        <v>82.8189655172414</v>
      </c>
      <c r="O492">
        <f>IF(AND(CROQUIS_DATOS!$C$1472=1,1),(CROQUIS_DATOS!$C$1564+(IF(OR(IF(INT(($A492-1)/70)+1&gt;CROQUIS_DATOS!$C$1525,70,MOD($A492-1,70)+1)=1,IF(INT(($A492-1)/70)+1&gt;CROQUIS_DATOS!$C$1525,70,MOD($A492-1,70)+1)&gt;2*CROQUIS_DATOS!$C$1541+1),CROQUIS_DATOS!$C$1476,INDEX($H$8:$H$41,MIN(INT((IF(INT(($A492-1)/70)+1&gt;CROQUIS_DATOS!$C$1525,70,MOD($A492-1,70)+1)-2)/2)+1,CROQUIS_DATOS!$C$1541))))*CROQUIS_DATOS!$C$1561*CROQUIS_DATOS!$C$1562),-1000)</f>
        <v>40.2068965517241</v>
      </c>
    </row>
    <row r="493">
      <c r="A493" t="n">
        <v>486</v>
      </c>
      <c r="N493">
        <f>IF(AND(CROQUIS_DATOS!$C$1472=1,1),(CROQUIS_DATOS!$C$1563+(IF(IF(IF(INT(($A493-1)/70)+1&gt;CROQUIS_DATOS!$C$1525,70,MOD($A493-1,70)+1)=1,0,IF(IF(INT(($A493-1)/70)+1&gt;CROQUIS_DATOS!$C$1525,70,MOD($A493-1,70)+1)&gt;2*CROQUIS_DATOS!$C$1541+1,IF(MOD(CROQUIS_DATOS!$C$1541,2)=1,1,0),IF(MOD(MIN(INT((IF(INT(($A493-1)/70)+1&gt;CROQUIS_DATOS!$C$1525,70,MOD($A493-1,70)+1)-2)/2)+1,CROQUIS_DATOS!$C$1541),2)=1,IF(MOD(IF(INT(($A493-1)/70)+1&gt;CROQUIS_DATOS!$C$1525,70,MOD($A493-1,70)+1)-2,2)=0,0,1),IF(MOD(IF(INT(($A493-1)/70)+1&gt;CROQUIS_DATOS!$C$1525,70,MOD($A493-1,70)+1)-2,2)=0,1,0))))=0,(INDEX($E$8:$E$23,MIN(INT(($A493-1)/70)+1,CROQUIS_DATOS!$C$1525))-INDEX($F$8:$F$23,MIN(INT(($A493-1)/70)+1,CROQUIS_DATOS!$C$1525))/2),(INDEX($E$8:$E$23,MIN(INT(($A493-1)/70)+1,CROQUIS_DATOS!$C$1525))+INDEX($F$8:$F$23,MIN(INT(($A493-1)/70)+1,CROQUIS_DATOS!$C$1525))/2)))*CROQUIS_DATOS!$C$1562),-1000)</f>
        <v>82.8189655172414</v>
      </c>
      <c r="O493">
        <f>IF(AND(CROQUIS_DATOS!$C$1472=1,1),(CROQUIS_DATOS!$C$1564+(IF(OR(IF(INT(($A493-1)/70)+1&gt;CROQUIS_DATOS!$C$1525,70,MOD($A493-1,70)+1)=1,IF(INT(($A493-1)/70)+1&gt;CROQUIS_DATOS!$C$1525,70,MOD($A493-1,70)+1)&gt;2*CROQUIS_DATOS!$C$1541+1),CROQUIS_DATOS!$C$1476,INDEX($H$8:$H$41,MIN(INT((IF(INT(($A493-1)/70)+1&gt;CROQUIS_DATOS!$C$1525,70,MOD($A493-1,70)+1)-2)/2)+1,CROQUIS_DATOS!$C$1541))))*CROQUIS_DATOS!$C$1561*CROQUIS_DATOS!$C$1562),-1000)</f>
        <v>40.2068965517241</v>
      </c>
    </row>
    <row r="494">
      <c r="A494" t="n">
        <v>487</v>
      </c>
      <c r="N494">
        <f>IF(AND(CROQUIS_DATOS!$C$1472=1,1),(CROQUIS_DATOS!$C$1563+(IF(IF(IF(INT(($A494-1)/70)+1&gt;CROQUIS_DATOS!$C$1525,70,MOD($A494-1,70)+1)=1,0,IF(IF(INT(($A494-1)/70)+1&gt;CROQUIS_DATOS!$C$1525,70,MOD($A494-1,70)+1)&gt;2*CROQUIS_DATOS!$C$1541+1,IF(MOD(CROQUIS_DATOS!$C$1541,2)=1,1,0),IF(MOD(MIN(INT((IF(INT(($A494-1)/70)+1&gt;CROQUIS_DATOS!$C$1525,70,MOD($A494-1,70)+1)-2)/2)+1,CROQUIS_DATOS!$C$1541),2)=1,IF(MOD(IF(INT(($A494-1)/70)+1&gt;CROQUIS_DATOS!$C$1525,70,MOD($A494-1,70)+1)-2,2)=0,0,1),IF(MOD(IF(INT(($A494-1)/70)+1&gt;CROQUIS_DATOS!$C$1525,70,MOD($A494-1,70)+1)-2,2)=0,1,0))))=0,(INDEX($E$8:$E$23,MIN(INT(($A494-1)/70)+1,CROQUIS_DATOS!$C$1525))-INDEX($F$8:$F$23,MIN(INT(($A494-1)/70)+1,CROQUIS_DATOS!$C$1525))/2),(INDEX($E$8:$E$23,MIN(INT(($A494-1)/70)+1,CROQUIS_DATOS!$C$1525))+INDEX($F$8:$F$23,MIN(INT(($A494-1)/70)+1,CROQUIS_DATOS!$C$1525))/2)))*CROQUIS_DATOS!$C$1562),-1000)</f>
        <v>82.8189655172414</v>
      </c>
      <c r="O494">
        <f>IF(AND(CROQUIS_DATOS!$C$1472=1,1),(CROQUIS_DATOS!$C$1564+(IF(OR(IF(INT(($A494-1)/70)+1&gt;CROQUIS_DATOS!$C$1525,70,MOD($A494-1,70)+1)=1,IF(INT(($A494-1)/70)+1&gt;CROQUIS_DATOS!$C$1525,70,MOD($A494-1,70)+1)&gt;2*CROQUIS_DATOS!$C$1541+1),CROQUIS_DATOS!$C$1476,INDEX($H$8:$H$41,MIN(INT((IF(INT(($A494-1)/70)+1&gt;CROQUIS_DATOS!$C$1525,70,MOD($A494-1,70)+1)-2)/2)+1,CROQUIS_DATOS!$C$1541))))*CROQUIS_DATOS!$C$1561*CROQUIS_DATOS!$C$1562),-1000)</f>
        <v>40.2068965517241</v>
      </c>
    </row>
    <row r="495">
      <c r="A495" t="n">
        <v>488</v>
      </c>
      <c r="N495">
        <f>IF(AND(CROQUIS_DATOS!$C$1472=1,1),(CROQUIS_DATOS!$C$1563+(IF(IF(IF(INT(($A495-1)/70)+1&gt;CROQUIS_DATOS!$C$1525,70,MOD($A495-1,70)+1)=1,0,IF(IF(INT(($A495-1)/70)+1&gt;CROQUIS_DATOS!$C$1525,70,MOD($A495-1,70)+1)&gt;2*CROQUIS_DATOS!$C$1541+1,IF(MOD(CROQUIS_DATOS!$C$1541,2)=1,1,0),IF(MOD(MIN(INT((IF(INT(($A495-1)/70)+1&gt;CROQUIS_DATOS!$C$1525,70,MOD($A495-1,70)+1)-2)/2)+1,CROQUIS_DATOS!$C$1541),2)=1,IF(MOD(IF(INT(($A495-1)/70)+1&gt;CROQUIS_DATOS!$C$1525,70,MOD($A495-1,70)+1)-2,2)=0,0,1),IF(MOD(IF(INT(($A495-1)/70)+1&gt;CROQUIS_DATOS!$C$1525,70,MOD($A495-1,70)+1)-2,2)=0,1,0))))=0,(INDEX($E$8:$E$23,MIN(INT(($A495-1)/70)+1,CROQUIS_DATOS!$C$1525))-INDEX($F$8:$F$23,MIN(INT(($A495-1)/70)+1,CROQUIS_DATOS!$C$1525))/2),(INDEX($E$8:$E$23,MIN(INT(($A495-1)/70)+1,CROQUIS_DATOS!$C$1525))+INDEX($F$8:$F$23,MIN(INT(($A495-1)/70)+1,CROQUIS_DATOS!$C$1525))/2)))*CROQUIS_DATOS!$C$1562),-1000)</f>
        <v>82.8189655172414</v>
      </c>
      <c r="O495">
        <f>IF(AND(CROQUIS_DATOS!$C$1472=1,1),(CROQUIS_DATOS!$C$1564+(IF(OR(IF(INT(($A495-1)/70)+1&gt;CROQUIS_DATOS!$C$1525,70,MOD($A495-1,70)+1)=1,IF(INT(($A495-1)/70)+1&gt;CROQUIS_DATOS!$C$1525,70,MOD($A495-1,70)+1)&gt;2*CROQUIS_DATOS!$C$1541+1),CROQUIS_DATOS!$C$1476,INDEX($H$8:$H$41,MIN(INT((IF(INT(($A495-1)/70)+1&gt;CROQUIS_DATOS!$C$1525,70,MOD($A495-1,70)+1)-2)/2)+1,CROQUIS_DATOS!$C$1541))))*CROQUIS_DATOS!$C$1561*CROQUIS_DATOS!$C$1562),-1000)</f>
        <v>40.2068965517241</v>
      </c>
    </row>
    <row r="496">
      <c r="A496" t="n">
        <v>489</v>
      </c>
      <c r="N496">
        <f>IF(AND(CROQUIS_DATOS!$C$1472=1,1),(CROQUIS_DATOS!$C$1563+(IF(IF(IF(INT(($A496-1)/70)+1&gt;CROQUIS_DATOS!$C$1525,70,MOD($A496-1,70)+1)=1,0,IF(IF(INT(($A496-1)/70)+1&gt;CROQUIS_DATOS!$C$1525,70,MOD($A496-1,70)+1)&gt;2*CROQUIS_DATOS!$C$1541+1,IF(MOD(CROQUIS_DATOS!$C$1541,2)=1,1,0),IF(MOD(MIN(INT((IF(INT(($A496-1)/70)+1&gt;CROQUIS_DATOS!$C$1525,70,MOD($A496-1,70)+1)-2)/2)+1,CROQUIS_DATOS!$C$1541),2)=1,IF(MOD(IF(INT(($A496-1)/70)+1&gt;CROQUIS_DATOS!$C$1525,70,MOD($A496-1,70)+1)-2,2)=0,0,1),IF(MOD(IF(INT(($A496-1)/70)+1&gt;CROQUIS_DATOS!$C$1525,70,MOD($A496-1,70)+1)-2,2)=0,1,0))))=0,(INDEX($E$8:$E$23,MIN(INT(($A496-1)/70)+1,CROQUIS_DATOS!$C$1525))-INDEX($F$8:$F$23,MIN(INT(($A496-1)/70)+1,CROQUIS_DATOS!$C$1525))/2),(INDEX($E$8:$E$23,MIN(INT(($A496-1)/70)+1,CROQUIS_DATOS!$C$1525))+INDEX($F$8:$F$23,MIN(INT(($A496-1)/70)+1,CROQUIS_DATOS!$C$1525))/2)))*CROQUIS_DATOS!$C$1562),-1000)</f>
        <v>82.8189655172414</v>
      </c>
      <c r="O496">
        <f>IF(AND(CROQUIS_DATOS!$C$1472=1,1),(CROQUIS_DATOS!$C$1564+(IF(OR(IF(INT(($A496-1)/70)+1&gt;CROQUIS_DATOS!$C$1525,70,MOD($A496-1,70)+1)=1,IF(INT(($A496-1)/70)+1&gt;CROQUIS_DATOS!$C$1525,70,MOD($A496-1,70)+1)&gt;2*CROQUIS_DATOS!$C$1541+1),CROQUIS_DATOS!$C$1476,INDEX($H$8:$H$41,MIN(INT((IF(INT(($A496-1)/70)+1&gt;CROQUIS_DATOS!$C$1525,70,MOD($A496-1,70)+1)-2)/2)+1,CROQUIS_DATOS!$C$1541))))*CROQUIS_DATOS!$C$1561*CROQUIS_DATOS!$C$1562),-1000)</f>
        <v>40.2068965517241</v>
      </c>
    </row>
    <row r="497">
      <c r="A497" t="n">
        <v>490</v>
      </c>
      <c r="N497">
        <f>IF(AND(CROQUIS_DATOS!$C$1472=1,1),(CROQUIS_DATOS!$C$1563+(IF(IF(IF(INT(($A497-1)/70)+1&gt;CROQUIS_DATOS!$C$1525,70,MOD($A497-1,70)+1)=1,0,IF(IF(INT(($A497-1)/70)+1&gt;CROQUIS_DATOS!$C$1525,70,MOD($A497-1,70)+1)&gt;2*CROQUIS_DATOS!$C$1541+1,IF(MOD(CROQUIS_DATOS!$C$1541,2)=1,1,0),IF(MOD(MIN(INT((IF(INT(($A497-1)/70)+1&gt;CROQUIS_DATOS!$C$1525,70,MOD($A497-1,70)+1)-2)/2)+1,CROQUIS_DATOS!$C$1541),2)=1,IF(MOD(IF(INT(($A497-1)/70)+1&gt;CROQUIS_DATOS!$C$1525,70,MOD($A497-1,70)+1)-2,2)=0,0,1),IF(MOD(IF(INT(($A497-1)/70)+1&gt;CROQUIS_DATOS!$C$1525,70,MOD($A497-1,70)+1)-2,2)=0,1,0))))=0,(INDEX($E$8:$E$23,MIN(INT(($A497-1)/70)+1,CROQUIS_DATOS!$C$1525))-INDEX($F$8:$F$23,MIN(INT(($A497-1)/70)+1,CROQUIS_DATOS!$C$1525))/2),(INDEX($E$8:$E$23,MIN(INT(($A497-1)/70)+1,CROQUIS_DATOS!$C$1525))+INDEX($F$8:$F$23,MIN(INT(($A497-1)/70)+1,CROQUIS_DATOS!$C$1525))/2)))*CROQUIS_DATOS!$C$1562),-1000)</f>
        <v>82.8189655172414</v>
      </c>
      <c r="O497">
        <f>IF(AND(CROQUIS_DATOS!$C$1472=1,1),(CROQUIS_DATOS!$C$1564+(IF(OR(IF(INT(($A497-1)/70)+1&gt;CROQUIS_DATOS!$C$1525,70,MOD($A497-1,70)+1)=1,IF(INT(($A497-1)/70)+1&gt;CROQUIS_DATOS!$C$1525,70,MOD($A497-1,70)+1)&gt;2*CROQUIS_DATOS!$C$1541+1),CROQUIS_DATOS!$C$1476,INDEX($H$8:$H$41,MIN(INT((IF(INT(($A497-1)/70)+1&gt;CROQUIS_DATOS!$C$1525,70,MOD($A497-1,70)+1)-2)/2)+1,CROQUIS_DATOS!$C$1541))))*CROQUIS_DATOS!$C$1561*CROQUIS_DATOS!$C$1562),-1000)</f>
        <v>40.2068965517241</v>
      </c>
    </row>
    <row r="498">
      <c r="A498" t="n">
        <v>491</v>
      </c>
      <c r="N498">
        <f>IF(AND(CROQUIS_DATOS!$C$1472=1,1),(CROQUIS_DATOS!$C$1563+(IF(IF(IF(INT(($A498-1)/70)+1&gt;CROQUIS_DATOS!$C$1525,70,MOD($A498-1,70)+1)=1,0,IF(IF(INT(($A498-1)/70)+1&gt;CROQUIS_DATOS!$C$1525,70,MOD($A498-1,70)+1)&gt;2*CROQUIS_DATOS!$C$1541+1,IF(MOD(CROQUIS_DATOS!$C$1541,2)=1,1,0),IF(MOD(MIN(INT((IF(INT(($A498-1)/70)+1&gt;CROQUIS_DATOS!$C$1525,70,MOD($A498-1,70)+1)-2)/2)+1,CROQUIS_DATOS!$C$1541),2)=1,IF(MOD(IF(INT(($A498-1)/70)+1&gt;CROQUIS_DATOS!$C$1525,70,MOD($A498-1,70)+1)-2,2)=0,0,1),IF(MOD(IF(INT(($A498-1)/70)+1&gt;CROQUIS_DATOS!$C$1525,70,MOD($A498-1,70)+1)-2,2)=0,1,0))))=0,(INDEX($E$8:$E$23,MIN(INT(($A498-1)/70)+1,CROQUIS_DATOS!$C$1525))-INDEX($F$8:$F$23,MIN(INT(($A498-1)/70)+1,CROQUIS_DATOS!$C$1525))/2),(INDEX($E$8:$E$23,MIN(INT(($A498-1)/70)+1,CROQUIS_DATOS!$C$1525))+INDEX($F$8:$F$23,MIN(INT(($A498-1)/70)+1,CROQUIS_DATOS!$C$1525))/2)))*CROQUIS_DATOS!$C$1562),-1000)</f>
        <v>82.8189655172414</v>
      </c>
      <c r="O498">
        <f>IF(AND(CROQUIS_DATOS!$C$1472=1,1),(CROQUIS_DATOS!$C$1564+(IF(OR(IF(INT(($A498-1)/70)+1&gt;CROQUIS_DATOS!$C$1525,70,MOD($A498-1,70)+1)=1,IF(INT(($A498-1)/70)+1&gt;CROQUIS_DATOS!$C$1525,70,MOD($A498-1,70)+1)&gt;2*CROQUIS_DATOS!$C$1541+1),CROQUIS_DATOS!$C$1476,INDEX($H$8:$H$41,MIN(INT((IF(INT(($A498-1)/70)+1&gt;CROQUIS_DATOS!$C$1525,70,MOD($A498-1,70)+1)-2)/2)+1,CROQUIS_DATOS!$C$1541))))*CROQUIS_DATOS!$C$1561*CROQUIS_DATOS!$C$1562),-1000)</f>
        <v>40.2068965517241</v>
      </c>
    </row>
    <row r="499">
      <c r="A499" t="n">
        <v>492</v>
      </c>
      <c r="N499">
        <f>IF(AND(CROQUIS_DATOS!$C$1472=1,1),(CROQUIS_DATOS!$C$1563+(IF(IF(IF(INT(($A499-1)/70)+1&gt;CROQUIS_DATOS!$C$1525,70,MOD($A499-1,70)+1)=1,0,IF(IF(INT(($A499-1)/70)+1&gt;CROQUIS_DATOS!$C$1525,70,MOD($A499-1,70)+1)&gt;2*CROQUIS_DATOS!$C$1541+1,IF(MOD(CROQUIS_DATOS!$C$1541,2)=1,1,0),IF(MOD(MIN(INT((IF(INT(($A499-1)/70)+1&gt;CROQUIS_DATOS!$C$1525,70,MOD($A499-1,70)+1)-2)/2)+1,CROQUIS_DATOS!$C$1541),2)=1,IF(MOD(IF(INT(($A499-1)/70)+1&gt;CROQUIS_DATOS!$C$1525,70,MOD($A499-1,70)+1)-2,2)=0,0,1),IF(MOD(IF(INT(($A499-1)/70)+1&gt;CROQUIS_DATOS!$C$1525,70,MOD($A499-1,70)+1)-2,2)=0,1,0))))=0,(INDEX($E$8:$E$23,MIN(INT(($A499-1)/70)+1,CROQUIS_DATOS!$C$1525))-INDEX($F$8:$F$23,MIN(INT(($A499-1)/70)+1,CROQUIS_DATOS!$C$1525))/2),(INDEX($E$8:$E$23,MIN(INT(($A499-1)/70)+1,CROQUIS_DATOS!$C$1525))+INDEX($F$8:$F$23,MIN(INT(($A499-1)/70)+1,CROQUIS_DATOS!$C$1525))/2)))*CROQUIS_DATOS!$C$1562),-1000)</f>
        <v>82.8189655172414</v>
      </c>
      <c r="O499">
        <f>IF(AND(CROQUIS_DATOS!$C$1472=1,1),(CROQUIS_DATOS!$C$1564+(IF(OR(IF(INT(($A499-1)/70)+1&gt;CROQUIS_DATOS!$C$1525,70,MOD($A499-1,70)+1)=1,IF(INT(($A499-1)/70)+1&gt;CROQUIS_DATOS!$C$1525,70,MOD($A499-1,70)+1)&gt;2*CROQUIS_DATOS!$C$1541+1),CROQUIS_DATOS!$C$1476,INDEX($H$8:$H$41,MIN(INT((IF(INT(($A499-1)/70)+1&gt;CROQUIS_DATOS!$C$1525,70,MOD($A499-1,70)+1)-2)/2)+1,CROQUIS_DATOS!$C$1541))))*CROQUIS_DATOS!$C$1561*CROQUIS_DATOS!$C$1562),-1000)</f>
        <v>40.2068965517241</v>
      </c>
    </row>
    <row r="500">
      <c r="A500" t="n">
        <v>493</v>
      </c>
      <c r="N500">
        <f>IF(AND(CROQUIS_DATOS!$C$1472=1,1),(CROQUIS_DATOS!$C$1563+(IF(IF(IF(INT(($A500-1)/70)+1&gt;CROQUIS_DATOS!$C$1525,70,MOD($A500-1,70)+1)=1,0,IF(IF(INT(($A500-1)/70)+1&gt;CROQUIS_DATOS!$C$1525,70,MOD($A500-1,70)+1)&gt;2*CROQUIS_DATOS!$C$1541+1,IF(MOD(CROQUIS_DATOS!$C$1541,2)=1,1,0),IF(MOD(MIN(INT((IF(INT(($A500-1)/70)+1&gt;CROQUIS_DATOS!$C$1525,70,MOD($A500-1,70)+1)-2)/2)+1,CROQUIS_DATOS!$C$1541),2)=1,IF(MOD(IF(INT(($A500-1)/70)+1&gt;CROQUIS_DATOS!$C$1525,70,MOD($A500-1,70)+1)-2,2)=0,0,1),IF(MOD(IF(INT(($A500-1)/70)+1&gt;CROQUIS_DATOS!$C$1525,70,MOD($A500-1,70)+1)-2,2)=0,1,0))))=0,(INDEX($E$8:$E$23,MIN(INT(($A500-1)/70)+1,CROQUIS_DATOS!$C$1525))-INDEX($F$8:$F$23,MIN(INT(($A500-1)/70)+1,CROQUIS_DATOS!$C$1525))/2),(INDEX($E$8:$E$23,MIN(INT(($A500-1)/70)+1,CROQUIS_DATOS!$C$1525))+INDEX($F$8:$F$23,MIN(INT(($A500-1)/70)+1,CROQUIS_DATOS!$C$1525))/2)))*CROQUIS_DATOS!$C$1562),-1000)</f>
        <v>82.8189655172414</v>
      </c>
      <c r="O500">
        <f>IF(AND(CROQUIS_DATOS!$C$1472=1,1),(CROQUIS_DATOS!$C$1564+(IF(OR(IF(INT(($A500-1)/70)+1&gt;CROQUIS_DATOS!$C$1525,70,MOD($A500-1,70)+1)=1,IF(INT(($A500-1)/70)+1&gt;CROQUIS_DATOS!$C$1525,70,MOD($A500-1,70)+1)&gt;2*CROQUIS_DATOS!$C$1541+1),CROQUIS_DATOS!$C$1476,INDEX($H$8:$H$41,MIN(INT((IF(INT(($A500-1)/70)+1&gt;CROQUIS_DATOS!$C$1525,70,MOD($A500-1,70)+1)-2)/2)+1,CROQUIS_DATOS!$C$1541))))*CROQUIS_DATOS!$C$1561*CROQUIS_DATOS!$C$1562),-1000)</f>
        <v>40.2068965517241</v>
      </c>
    </row>
    <row r="501">
      <c r="A501" t="n">
        <v>494</v>
      </c>
      <c r="N501">
        <f>IF(AND(CROQUIS_DATOS!$C$1472=1,1),(CROQUIS_DATOS!$C$1563+(IF(IF(IF(INT(($A501-1)/70)+1&gt;CROQUIS_DATOS!$C$1525,70,MOD($A501-1,70)+1)=1,0,IF(IF(INT(($A501-1)/70)+1&gt;CROQUIS_DATOS!$C$1525,70,MOD($A501-1,70)+1)&gt;2*CROQUIS_DATOS!$C$1541+1,IF(MOD(CROQUIS_DATOS!$C$1541,2)=1,1,0),IF(MOD(MIN(INT((IF(INT(($A501-1)/70)+1&gt;CROQUIS_DATOS!$C$1525,70,MOD($A501-1,70)+1)-2)/2)+1,CROQUIS_DATOS!$C$1541),2)=1,IF(MOD(IF(INT(($A501-1)/70)+1&gt;CROQUIS_DATOS!$C$1525,70,MOD($A501-1,70)+1)-2,2)=0,0,1),IF(MOD(IF(INT(($A501-1)/70)+1&gt;CROQUIS_DATOS!$C$1525,70,MOD($A501-1,70)+1)-2,2)=0,1,0))))=0,(INDEX($E$8:$E$23,MIN(INT(($A501-1)/70)+1,CROQUIS_DATOS!$C$1525))-INDEX($F$8:$F$23,MIN(INT(($A501-1)/70)+1,CROQUIS_DATOS!$C$1525))/2),(INDEX($E$8:$E$23,MIN(INT(($A501-1)/70)+1,CROQUIS_DATOS!$C$1525))+INDEX($F$8:$F$23,MIN(INT(($A501-1)/70)+1,CROQUIS_DATOS!$C$1525))/2)))*CROQUIS_DATOS!$C$1562),-1000)</f>
        <v>82.8189655172414</v>
      </c>
      <c r="O501">
        <f>IF(AND(CROQUIS_DATOS!$C$1472=1,1),(CROQUIS_DATOS!$C$1564+(IF(OR(IF(INT(($A501-1)/70)+1&gt;CROQUIS_DATOS!$C$1525,70,MOD($A501-1,70)+1)=1,IF(INT(($A501-1)/70)+1&gt;CROQUIS_DATOS!$C$1525,70,MOD($A501-1,70)+1)&gt;2*CROQUIS_DATOS!$C$1541+1),CROQUIS_DATOS!$C$1476,INDEX($H$8:$H$41,MIN(INT((IF(INT(($A501-1)/70)+1&gt;CROQUIS_DATOS!$C$1525,70,MOD($A501-1,70)+1)-2)/2)+1,CROQUIS_DATOS!$C$1541))))*CROQUIS_DATOS!$C$1561*CROQUIS_DATOS!$C$1562),-1000)</f>
        <v>40.2068965517241</v>
      </c>
    </row>
    <row r="502">
      <c r="A502" t="n">
        <v>495</v>
      </c>
      <c r="N502">
        <f>IF(AND(CROQUIS_DATOS!$C$1472=1,1),(CROQUIS_DATOS!$C$1563+(IF(IF(IF(INT(($A502-1)/70)+1&gt;CROQUIS_DATOS!$C$1525,70,MOD($A502-1,70)+1)=1,0,IF(IF(INT(($A502-1)/70)+1&gt;CROQUIS_DATOS!$C$1525,70,MOD($A502-1,70)+1)&gt;2*CROQUIS_DATOS!$C$1541+1,IF(MOD(CROQUIS_DATOS!$C$1541,2)=1,1,0),IF(MOD(MIN(INT((IF(INT(($A502-1)/70)+1&gt;CROQUIS_DATOS!$C$1525,70,MOD($A502-1,70)+1)-2)/2)+1,CROQUIS_DATOS!$C$1541),2)=1,IF(MOD(IF(INT(($A502-1)/70)+1&gt;CROQUIS_DATOS!$C$1525,70,MOD($A502-1,70)+1)-2,2)=0,0,1),IF(MOD(IF(INT(($A502-1)/70)+1&gt;CROQUIS_DATOS!$C$1525,70,MOD($A502-1,70)+1)-2,2)=0,1,0))))=0,(INDEX($E$8:$E$23,MIN(INT(($A502-1)/70)+1,CROQUIS_DATOS!$C$1525))-INDEX($F$8:$F$23,MIN(INT(($A502-1)/70)+1,CROQUIS_DATOS!$C$1525))/2),(INDEX($E$8:$E$23,MIN(INT(($A502-1)/70)+1,CROQUIS_DATOS!$C$1525))+INDEX($F$8:$F$23,MIN(INT(($A502-1)/70)+1,CROQUIS_DATOS!$C$1525))/2)))*CROQUIS_DATOS!$C$1562),-1000)</f>
        <v>82.8189655172414</v>
      </c>
      <c r="O502">
        <f>IF(AND(CROQUIS_DATOS!$C$1472=1,1),(CROQUIS_DATOS!$C$1564+(IF(OR(IF(INT(($A502-1)/70)+1&gt;CROQUIS_DATOS!$C$1525,70,MOD($A502-1,70)+1)=1,IF(INT(($A502-1)/70)+1&gt;CROQUIS_DATOS!$C$1525,70,MOD($A502-1,70)+1)&gt;2*CROQUIS_DATOS!$C$1541+1),CROQUIS_DATOS!$C$1476,INDEX($H$8:$H$41,MIN(INT((IF(INT(($A502-1)/70)+1&gt;CROQUIS_DATOS!$C$1525,70,MOD($A502-1,70)+1)-2)/2)+1,CROQUIS_DATOS!$C$1541))))*CROQUIS_DATOS!$C$1561*CROQUIS_DATOS!$C$1562),-1000)</f>
        <v>40.2068965517241</v>
      </c>
    </row>
    <row r="503">
      <c r="A503" t="n">
        <v>496</v>
      </c>
      <c r="N503">
        <f>IF(AND(CROQUIS_DATOS!$C$1472=1,1),(CROQUIS_DATOS!$C$1563+(IF(IF(IF(INT(($A503-1)/70)+1&gt;CROQUIS_DATOS!$C$1525,70,MOD($A503-1,70)+1)=1,0,IF(IF(INT(($A503-1)/70)+1&gt;CROQUIS_DATOS!$C$1525,70,MOD($A503-1,70)+1)&gt;2*CROQUIS_DATOS!$C$1541+1,IF(MOD(CROQUIS_DATOS!$C$1541,2)=1,1,0),IF(MOD(MIN(INT((IF(INT(($A503-1)/70)+1&gt;CROQUIS_DATOS!$C$1525,70,MOD($A503-1,70)+1)-2)/2)+1,CROQUIS_DATOS!$C$1541),2)=1,IF(MOD(IF(INT(($A503-1)/70)+1&gt;CROQUIS_DATOS!$C$1525,70,MOD($A503-1,70)+1)-2,2)=0,0,1),IF(MOD(IF(INT(($A503-1)/70)+1&gt;CROQUIS_DATOS!$C$1525,70,MOD($A503-1,70)+1)-2,2)=0,1,0))))=0,(INDEX($E$8:$E$23,MIN(INT(($A503-1)/70)+1,CROQUIS_DATOS!$C$1525))-INDEX($F$8:$F$23,MIN(INT(($A503-1)/70)+1,CROQUIS_DATOS!$C$1525))/2),(INDEX($E$8:$E$23,MIN(INT(($A503-1)/70)+1,CROQUIS_DATOS!$C$1525))+INDEX($F$8:$F$23,MIN(INT(($A503-1)/70)+1,CROQUIS_DATOS!$C$1525))/2)))*CROQUIS_DATOS!$C$1562),-1000)</f>
        <v>82.8189655172414</v>
      </c>
      <c r="O503">
        <f>IF(AND(CROQUIS_DATOS!$C$1472=1,1),(CROQUIS_DATOS!$C$1564+(IF(OR(IF(INT(($A503-1)/70)+1&gt;CROQUIS_DATOS!$C$1525,70,MOD($A503-1,70)+1)=1,IF(INT(($A503-1)/70)+1&gt;CROQUIS_DATOS!$C$1525,70,MOD($A503-1,70)+1)&gt;2*CROQUIS_DATOS!$C$1541+1),CROQUIS_DATOS!$C$1476,INDEX($H$8:$H$41,MIN(INT((IF(INT(($A503-1)/70)+1&gt;CROQUIS_DATOS!$C$1525,70,MOD($A503-1,70)+1)-2)/2)+1,CROQUIS_DATOS!$C$1541))))*CROQUIS_DATOS!$C$1561*CROQUIS_DATOS!$C$1562),-1000)</f>
        <v>40.2068965517241</v>
      </c>
    </row>
    <row r="504">
      <c r="A504" t="n">
        <v>497</v>
      </c>
      <c r="N504">
        <f>IF(AND(CROQUIS_DATOS!$C$1472=1,1),(CROQUIS_DATOS!$C$1563+(IF(IF(IF(INT(($A504-1)/70)+1&gt;CROQUIS_DATOS!$C$1525,70,MOD($A504-1,70)+1)=1,0,IF(IF(INT(($A504-1)/70)+1&gt;CROQUIS_DATOS!$C$1525,70,MOD($A504-1,70)+1)&gt;2*CROQUIS_DATOS!$C$1541+1,IF(MOD(CROQUIS_DATOS!$C$1541,2)=1,1,0),IF(MOD(MIN(INT((IF(INT(($A504-1)/70)+1&gt;CROQUIS_DATOS!$C$1525,70,MOD($A504-1,70)+1)-2)/2)+1,CROQUIS_DATOS!$C$1541),2)=1,IF(MOD(IF(INT(($A504-1)/70)+1&gt;CROQUIS_DATOS!$C$1525,70,MOD($A504-1,70)+1)-2,2)=0,0,1),IF(MOD(IF(INT(($A504-1)/70)+1&gt;CROQUIS_DATOS!$C$1525,70,MOD($A504-1,70)+1)-2,2)=0,1,0))))=0,(INDEX($E$8:$E$23,MIN(INT(($A504-1)/70)+1,CROQUIS_DATOS!$C$1525))-INDEX($F$8:$F$23,MIN(INT(($A504-1)/70)+1,CROQUIS_DATOS!$C$1525))/2),(INDEX($E$8:$E$23,MIN(INT(($A504-1)/70)+1,CROQUIS_DATOS!$C$1525))+INDEX($F$8:$F$23,MIN(INT(($A504-1)/70)+1,CROQUIS_DATOS!$C$1525))/2)))*CROQUIS_DATOS!$C$1562),-1000)</f>
        <v>82.8189655172414</v>
      </c>
      <c r="O504">
        <f>IF(AND(CROQUIS_DATOS!$C$1472=1,1),(CROQUIS_DATOS!$C$1564+(IF(OR(IF(INT(($A504-1)/70)+1&gt;CROQUIS_DATOS!$C$1525,70,MOD($A504-1,70)+1)=1,IF(INT(($A504-1)/70)+1&gt;CROQUIS_DATOS!$C$1525,70,MOD($A504-1,70)+1)&gt;2*CROQUIS_DATOS!$C$1541+1),CROQUIS_DATOS!$C$1476,INDEX($H$8:$H$41,MIN(INT((IF(INT(($A504-1)/70)+1&gt;CROQUIS_DATOS!$C$1525,70,MOD($A504-1,70)+1)-2)/2)+1,CROQUIS_DATOS!$C$1541))))*CROQUIS_DATOS!$C$1561*CROQUIS_DATOS!$C$1562),-1000)</f>
        <v>40.2068965517241</v>
      </c>
    </row>
    <row r="505">
      <c r="A505" t="n">
        <v>498</v>
      </c>
      <c r="N505">
        <f>IF(AND(CROQUIS_DATOS!$C$1472=1,1),(CROQUIS_DATOS!$C$1563+(IF(IF(IF(INT(($A505-1)/70)+1&gt;CROQUIS_DATOS!$C$1525,70,MOD($A505-1,70)+1)=1,0,IF(IF(INT(($A505-1)/70)+1&gt;CROQUIS_DATOS!$C$1525,70,MOD($A505-1,70)+1)&gt;2*CROQUIS_DATOS!$C$1541+1,IF(MOD(CROQUIS_DATOS!$C$1541,2)=1,1,0),IF(MOD(MIN(INT((IF(INT(($A505-1)/70)+1&gt;CROQUIS_DATOS!$C$1525,70,MOD($A505-1,70)+1)-2)/2)+1,CROQUIS_DATOS!$C$1541),2)=1,IF(MOD(IF(INT(($A505-1)/70)+1&gt;CROQUIS_DATOS!$C$1525,70,MOD($A505-1,70)+1)-2,2)=0,0,1),IF(MOD(IF(INT(($A505-1)/70)+1&gt;CROQUIS_DATOS!$C$1525,70,MOD($A505-1,70)+1)-2,2)=0,1,0))))=0,(INDEX($E$8:$E$23,MIN(INT(($A505-1)/70)+1,CROQUIS_DATOS!$C$1525))-INDEX($F$8:$F$23,MIN(INT(($A505-1)/70)+1,CROQUIS_DATOS!$C$1525))/2),(INDEX($E$8:$E$23,MIN(INT(($A505-1)/70)+1,CROQUIS_DATOS!$C$1525))+INDEX($F$8:$F$23,MIN(INT(($A505-1)/70)+1,CROQUIS_DATOS!$C$1525))/2)))*CROQUIS_DATOS!$C$1562),-1000)</f>
        <v>82.8189655172414</v>
      </c>
      <c r="O505">
        <f>IF(AND(CROQUIS_DATOS!$C$1472=1,1),(CROQUIS_DATOS!$C$1564+(IF(OR(IF(INT(($A505-1)/70)+1&gt;CROQUIS_DATOS!$C$1525,70,MOD($A505-1,70)+1)=1,IF(INT(($A505-1)/70)+1&gt;CROQUIS_DATOS!$C$1525,70,MOD($A505-1,70)+1)&gt;2*CROQUIS_DATOS!$C$1541+1),CROQUIS_DATOS!$C$1476,INDEX($H$8:$H$41,MIN(INT((IF(INT(($A505-1)/70)+1&gt;CROQUIS_DATOS!$C$1525,70,MOD($A505-1,70)+1)-2)/2)+1,CROQUIS_DATOS!$C$1541))))*CROQUIS_DATOS!$C$1561*CROQUIS_DATOS!$C$1562),-1000)</f>
        <v>40.2068965517241</v>
      </c>
    </row>
    <row r="506">
      <c r="A506" t="n">
        <v>499</v>
      </c>
      <c r="N506">
        <f>IF(AND(CROQUIS_DATOS!$C$1472=1,1),(CROQUIS_DATOS!$C$1563+(IF(IF(IF(INT(($A506-1)/70)+1&gt;CROQUIS_DATOS!$C$1525,70,MOD($A506-1,70)+1)=1,0,IF(IF(INT(($A506-1)/70)+1&gt;CROQUIS_DATOS!$C$1525,70,MOD($A506-1,70)+1)&gt;2*CROQUIS_DATOS!$C$1541+1,IF(MOD(CROQUIS_DATOS!$C$1541,2)=1,1,0),IF(MOD(MIN(INT((IF(INT(($A506-1)/70)+1&gt;CROQUIS_DATOS!$C$1525,70,MOD($A506-1,70)+1)-2)/2)+1,CROQUIS_DATOS!$C$1541),2)=1,IF(MOD(IF(INT(($A506-1)/70)+1&gt;CROQUIS_DATOS!$C$1525,70,MOD($A506-1,70)+1)-2,2)=0,0,1),IF(MOD(IF(INT(($A506-1)/70)+1&gt;CROQUIS_DATOS!$C$1525,70,MOD($A506-1,70)+1)-2,2)=0,1,0))))=0,(INDEX($E$8:$E$23,MIN(INT(($A506-1)/70)+1,CROQUIS_DATOS!$C$1525))-INDEX($F$8:$F$23,MIN(INT(($A506-1)/70)+1,CROQUIS_DATOS!$C$1525))/2),(INDEX($E$8:$E$23,MIN(INT(($A506-1)/70)+1,CROQUIS_DATOS!$C$1525))+INDEX($F$8:$F$23,MIN(INT(($A506-1)/70)+1,CROQUIS_DATOS!$C$1525))/2)))*CROQUIS_DATOS!$C$1562),-1000)</f>
        <v>82.8189655172414</v>
      </c>
      <c r="O506">
        <f>IF(AND(CROQUIS_DATOS!$C$1472=1,1),(CROQUIS_DATOS!$C$1564+(IF(OR(IF(INT(($A506-1)/70)+1&gt;CROQUIS_DATOS!$C$1525,70,MOD($A506-1,70)+1)=1,IF(INT(($A506-1)/70)+1&gt;CROQUIS_DATOS!$C$1525,70,MOD($A506-1,70)+1)&gt;2*CROQUIS_DATOS!$C$1541+1),CROQUIS_DATOS!$C$1476,INDEX($H$8:$H$41,MIN(INT((IF(INT(($A506-1)/70)+1&gt;CROQUIS_DATOS!$C$1525,70,MOD($A506-1,70)+1)-2)/2)+1,CROQUIS_DATOS!$C$1541))))*CROQUIS_DATOS!$C$1561*CROQUIS_DATOS!$C$1562),-1000)</f>
        <v>40.2068965517241</v>
      </c>
    </row>
    <row r="507">
      <c r="A507" t="n">
        <v>500</v>
      </c>
      <c r="N507">
        <f>IF(AND(CROQUIS_DATOS!$C$1472=1,1),(CROQUIS_DATOS!$C$1563+(IF(IF(IF(INT(($A507-1)/70)+1&gt;CROQUIS_DATOS!$C$1525,70,MOD($A507-1,70)+1)=1,0,IF(IF(INT(($A507-1)/70)+1&gt;CROQUIS_DATOS!$C$1525,70,MOD($A507-1,70)+1)&gt;2*CROQUIS_DATOS!$C$1541+1,IF(MOD(CROQUIS_DATOS!$C$1541,2)=1,1,0),IF(MOD(MIN(INT((IF(INT(($A507-1)/70)+1&gt;CROQUIS_DATOS!$C$1525,70,MOD($A507-1,70)+1)-2)/2)+1,CROQUIS_DATOS!$C$1541),2)=1,IF(MOD(IF(INT(($A507-1)/70)+1&gt;CROQUIS_DATOS!$C$1525,70,MOD($A507-1,70)+1)-2,2)=0,0,1),IF(MOD(IF(INT(($A507-1)/70)+1&gt;CROQUIS_DATOS!$C$1525,70,MOD($A507-1,70)+1)-2,2)=0,1,0))))=0,(INDEX($E$8:$E$23,MIN(INT(($A507-1)/70)+1,CROQUIS_DATOS!$C$1525))-INDEX($F$8:$F$23,MIN(INT(($A507-1)/70)+1,CROQUIS_DATOS!$C$1525))/2),(INDEX($E$8:$E$23,MIN(INT(($A507-1)/70)+1,CROQUIS_DATOS!$C$1525))+INDEX($F$8:$F$23,MIN(INT(($A507-1)/70)+1,CROQUIS_DATOS!$C$1525))/2)))*CROQUIS_DATOS!$C$1562),-1000)</f>
        <v>82.8189655172414</v>
      </c>
      <c r="O507">
        <f>IF(AND(CROQUIS_DATOS!$C$1472=1,1),(CROQUIS_DATOS!$C$1564+(IF(OR(IF(INT(($A507-1)/70)+1&gt;CROQUIS_DATOS!$C$1525,70,MOD($A507-1,70)+1)=1,IF(INT(($A507-1)/70)+1&gt;CROQUIS_DATOS!$C$1525,70,MOD($A507-1,70)+1)&gt;2*CROQUIS_DATOS!$C$1541+1),CROQUIS_DATOS!$C$1476,INDEX($H$8:$H$41,MIN(INT((IF(INT(($A507-1)/70)+1&gt;CROQUIS_DATOS!$C$1525,70,MOD($A507-1,70)+1)-2)/2)+1,CROQUIS_DATOS!$C$1541))))*CROQUIS_DATOS!$C$1561*CROQUIS_DATOS!$C$1562),-1000)</f>
        <v>40.2068965517241</v>
      </c>
    </row>
    <row r="508">
      <c r="A508" t="n">
        <v>501</v>
      </c>
      <c r="N508">
        <f>IF(AND(CROQUIS_DATOS!$C$1472=1,1),(CROQUIS_DATOS!$C$1563+(IF(IF(IF(INT(($A508-1)/70)+1&gt;CROQUIS_DATOS!$C$1525,70,MOD($A508-1,70)+1)=1,0,IF(IF(INT(($A508-1)/70)+1&gt;CROQUIS_DATOS!$C$1525,70,MOD($A508-1,70)+1)&gt;2*CROQUIS_DATOS!$C$1541+1,IF(MOD(CROQUIS_DATOS!$C$1541,2)=1,1,0),IF(MOD(MIN(INT((IF(INT(($A508-1)/70)+1&gt;CROQUIS_DATOS!$C$1525,70,MOD($A508-1,70)+1)-2)/2)+1,CROQUIS_DATOS!$C$1541),2)=1,IF(MOD(IF(INT(($A508-1)/70)+1&gt;CROQUIS_DATOS!$C$1525,70,MOD($A508-1,70)+1)-2,2)=0,0,1),IF(MOD(IF(INT(($A508-1)/70)+1&gt;CROQUIS_DATOS!$C$1525,70,MOD($A508-1,70)+1)-2,2)=0,1,0))))=0,(INDEX($E$8:$E$23,MIN(INT(($A508-1)/70)+1,CROQUIS_DATOS!$C$1525))-INDEX($F$8:$F$23,MIN(INT(($A508-1)/70)+1,CROQUIS_DATOS!$C$1525))/2),(INDEX($E$8:$E$23,MIN(INT(($A508-1)/70)+1,CROQUIS_DATOS!$C$1525))+INDEX($F$8:$F$23,MIN(INT(($A508-1)/70)+1,CROQUIS_DATOS!$C$1525))/2)))*CROQUIS_DATOS!$C$1562),-1000)</f>
        <v>82.8189655172414</v>
      </c>
      <c r="O508">
        <f>IF(AND(CROQUIS_DATOS!$C$1472=1,1),(CROQUIS_DATOS!$C$1564+(IF(OR(IF(INT(($A508-1)/70)+1&gt;CROQUIS_DATOS!$C$1525,70,MOD($A508-1,70)+1)=1,IF(INT(($A508-1)/70)+1&gt;CROQUIS_DATOS!$C$1525,70,MOD($A508-1,70)+1)&gt;2*CROQUIS_DATOS!$C$1541+1),CROQUIS_DATOS!$C$1476,INDEX($H$8:$H$41,MIN(INT((IF(INT(($A508-1)/70)+1&gt;CROQUIS_DATOS!$C$1525,70,MOD($A508-1,70)+1)-2)/2)+1,CROQUIS_DATOS!$C$1541))))*CROQUIS_DATOS!$C$1561*CROQUIS_DATOS!$C$1562),-1000)</f>
        <v>40.2068965517241</v>
      </c>
    </row>
    <row r="509">
      <c r="A509" t="n">
        <v>502</v>
      </c>
      <c r="N509">
        <f>IF(AND(CROQUIS_DATOS!$C$1472=1,1),(CROQUIS_DATOS!$C$1563+(IF(IF(IF(INT(($A509-1)/70)+1&gt;CROQUIS_DATOS!$C$1525,70,MOD($A509-1,70)+1)=1,0,IF(IF(INT(($A509-1)/70)+1&gt;CROQUIS_DATOS!$C$1525,70,MOD($A509-1,70)+1)&gt;2*CROQUIS_DATOS!$C$1541+1,IF(MOD(CROQUIS_DATOS!$C$1541,2)=1,1,0),IF(MOD(MIN(INT((IF(INT(($A509-1)/70)+1&gt;CROQUIS_DATOS!$C$1525,70,MOD($A509-1,70)+1)-2)/2)+1,CROQUIS_DATOS!$C$1541),2)=1,IF(MOD(IF(INT(($A509-1)/70)+1&gt;CROQUIS_DATOS!$C$1525,70,MOD($A509-1,70)+1)-2,2)=0,0,1),IF(MOD(IF(INT(($A509-1)/70)+1&gt;CROQUIS_DATOS!$C$1525,70,MOD($A509-1,70)+1)-2,2)=0,1,0))))=0,(INDEX($E$8:$E$23,MIN(INT(($A509-1)/70)+1,CROQUIS_DATOS!$C$1525))-INDEX($F$8:$F$23,MIN(INT(($A509-1)/70)+1,CROQUIS_DATOS!$C$1525))/2),(INDEX($E$8:$E$23,MIN(INT(($A509-1)/70)+1,CROQUIS_DATOS!$C$1525))+INDEX($F$8:$F$23,MIN(INT(($A509-1)/70)+1,CROQUIS_DATOS!$C$1525))/2)))*CROQUIS_DATOS!$C$1562),-1000)</f>
        <v>82.8189655172414</v>
      </c>
      <c r="O509">
        <f>IF(AND(CROQUIS_DATOS!$C$1472=1,1),(CROQUIS_DATOS!$C$1564+(IF(OR(IF(INT(($A509-1)/70)+1&gt;CROQUIS_DATOS!$C$1525,70,MOD($A509-1,70)+1)=1,IF(INT(($A509-1)/70)+1&gt;CROQUIS_DATOS!$C$1525,70,MOD($A509-1,70)+1)&gt;2*CROQUIS_DATOS!$C$1541+1),CROQUIS_DATOS!$C$1476,INDEX($H$8:$H$41,MIN(INT((IF(INT(($A509-1)/70)+1&gt;CROQUIS_DATOS!$C$1525,70,MOD($A509-1,70)+1)-2)/2)+1,CROQUIS_DATOS!$C$1541))))*CROQUIS_DATOS!$C$1561*CROQUIS_DATOS!$C$1562),-1000)</f>
        <v>40.2068965517241</v>
      </c>
    </row>
    <row r="510">
      <c r="A510" t="n">
        <v>503</v>
      </c>
      <c r="N510">
        <f>IF(AND(CROQUIS_DATOS!$C$1472=1,1),(CROQUIS_DATOS!$C$1563+(IF(IF(IF(INT(($A510-1)/70)+1&gt;CROQUIS_DATOS!$C$1525,70,MOD($A510-1,70)+1)=1,0,IF(IF(INT(($A510-1)/70)+1&gt;CROQUIS_DATOS!$C$1525,70,MOD($A510-1,70)+1)&gt;2*CROQUIS_DATOS!$C$1541+1,IF(MOD(CROQUIS_DATOS!$C$1541,2)=1,1,0),IF(MOD(MIN(INT((IF(INT(($A510-1)/70)+1&gt;CROQUIS_DATOS!$C$1525,70,MOD($A510-1,70)+1)-2)/2)+1,CROQUIS_DATOS!$C$1541),2)=1,IF(MOD(IF(INT(($A510-1)/70)+1&gt;CROQUIS_DATOS!$C$1525,70,MOD($A510-1,70)+1)-2,2)=0,0,1),IF(MOD(IF(INT(($A510-1)/70)+1&gt;CROQUIS_DATOS!$C$1525,70,MOD($A510-1,70)+1)-2,2)=0,1,0))))=0,(INDEX($E$8:$E$23,MIN(INT(($A510-1)/70)+1,CROQUIS_DATOS!$C$1525))-INDEX($F$8:$F$23,MIN(INT(($A510-1)/70)+1,CROQUIS_DATOS!$C$1525))/2),(INDEX($E$8:$E$23,MIN(INT(($A510-1)/70)+1,CROQUIS_DATOS!$C$1525))+INDEX($F$8:$F$23,MIN(INT(($A510-1)/70)+1,CROQUIS_DATOS!$C$1525))/2)))*CROQUIS_DATOS!$C$1562),-1000)</f>
        <v>82.8189655172414</v>
      </c>
      <c r="O510">
        <f>IF(AND(CROQUIS_DATOS!$C$1472=1,1),(CROQUIS_DATOS!$C$1564+(IF(OR(IF(INT(($A510-1)/70)+1&gt;CROQUIS_DATOS!$C$1525,70,MOD($A510-1,70)+1)=1,IF(INT(($A510-1)/70)+1&gt;CROQUIS_DATOS!$C$1525,70,MOD($A510-1,70)+1)&gt;2*CROQUIS_DATOS!$C$1541+1),CROQUIS_DATOS!$C$1476,INDEX($H$8:$H$41,MIN(INT((IF(INT(($A510-1)/70)+1&gt;CROQUIS_DATOS!$C$1525,70,MOD($A510-1,70)+1)-2)/2)+1,CROQUIS_DATOS!$C$1541))))*CROQUIS_DATOS!$C$1561*CROQUIS_DATOS!$C$1562),-1000)</f>
        <v>40.2068965517241</v>
      </c>
    </row>
    <row r="511">
      <c r="A511" t="n">
        <v>504</v>
      </c>
      <c r="N511">
        <f>IF(AND(CROQUIS_DATOS!$C$1472=1,1),(CROQUIS_DATOS!$C$1563+(IF(IF(IF(INT(($A511-1)/70)+1&gt;CROQUIS_DATOS!$C$1525,70,MOD($A511-1,70)+1)=1,0,IF(IF(INT(($A511-1)/70)+1&gt;CROQUIS_DATOS!$C$1525,70,MOD($A511-1,70)+1)&gt;2*CROQUIS_DATOS!$C$1541+1,IF(MOD(CROQUIS_DATOS!$C$1541,2)=1,1,0),IF(MOD(MIN(INT((IF(INT(($A511-1)/70)+1&gt;CROQUIS_DATOS!$C$1525,70,MOD($A511-1,70)+1)-2)/2)+1,CROQUIS_DATOS!$C$1541),2)=1,IF(MOD(IF(INT(($A511-1)/70)+1&gt;CROQUIS_DATOS!$C$1525,70,MOD($A511-1,70)+1)-2,2)=0,0,1),IF(MOD(IF(INT(($A511-1)/70)+1&gt;CROQUIS_DATOS!$C$1525,70,MOD($A511-1,70)+1)-2,2)=0,1,0))))=0,(INDEX($E$8:$E$23,MIN(INT(($A511-1)/70)+1,CROQUIS_DATOS!$C$1525))-INDEX($F$8:$F$23,MIN(INT(($A511-1)/70)+1,CROQUIS_DATOS!$C$1525))/2),(INDEX($E$8:$E$23,MIN(INT(($A511-1)/70)+1,CROQUIS_DATOS!$C$1525))+INDEX($F$8:$F$23,MIN(INT(($A511-1)/70)+1,CROQUIS_DATOS!$C$1525))/2)))*CROQUIS_DATOS!$C$1562),-1000)</f>
        <v>82.8189655172414</v>
      </c>
      <c r="O511">
        <f>IF(AND(CROQUIS_DATOS!$C$1472=1,1),(CROQUIS_DATOS!$C$1564+(IF(OR(IF(INT(($A511-1)/70)+1&gt;CROQUIS_DATOS!$C$1525,70,MOD($A511-1,70)+1)=1,IF(INT(($A511-1)/70)+1&gt;CROQUIS_DATOS!$C$1525,70,MOD($A511-1,70)+1)&gt;2*CROQUIS_DATOS!$C$1541+1),CROQUIS_DATOS!$C$1476,INDEX($H$8:$H$41,MIN(INT((IF(INT(($A511-1)/70)+1&gt;CROQUIS_DATOS!$C$1525,70,MOD($A511-1,70)+1)-2)/2)+1,CROQUIS_DATOS!$C$1541))))*CROQUIS_DATOS!$C$1561*CROQUIS_DATOS!$C$1562),-1000)</f>
        <v>40.2068965517241</v>
      </c>
    </row>
    <row r="512">
      <c r="A512" t="n">
        <v>505</v>
      </c>
      <c r="N512">
        <f>IF(AND(CROQUIS_DATOS!$C$1472=1,1),(CROQUIS_DATOS!$C$1563+(IF(IF(IF(INT(($A512-1)/70)+1&gt;CROQUIS_DATOS!$C$1525,70,MOD($A512-1,70)+1)=1,0,IF(IF(INT(($A512-1)/70)+1&gt;CROQUIS_DATOS!$C$1525,70,MOD($A512-1,70)+1)&gt;2*CROQUIS_DATOS!$C$1541+1,IF(MOD(CROQUIS_DATOS!$C$1541,2)=1,1,0),IF(MOD(MIN(INT((IF(INT(($A512-1)/70)+1&gt;CROQUIS_DATOS!$C$1525,70,MOD($A512-1,70)+1)-2)/2)+1,CROQUIS_DATOS!$C$1541),2)=1,IF(MOD(IF(INT(($A512-1)/70)+1&gt;CROQUIS_DATOS!$C$1525,70,MOD($A512-1,70)+1)-2,2)=0,0,1),IF(MOD(IF(INT(($A512-1)/70)+1&gt;CROQUIS_DATOS!$C$1525,70,MOD($A512-1,70)+1)-2,2)=0,1,0))))=0,(INDEX($E$8:$E$23,MIN(INT(($A512-1)/70)+1,CROQUIS_DATOS!$C$1525))-INDEX($F$8:$F$23,MIN(INT(($A512-1)/70)+1,CROQUIS_DATOS!$C$1525))/2),(INDEX($E$8:$E$23,MIN(INT(($A512-1)/70)+1,CROQUIS_DATOS!$C$1525))+INDEX($F$8:$F$23,MIN(INT(($A512-1)/70)+1,CROQUIS_DATOS!$C$1525))/2)))*CROQUIS_DATOS!$C$1562),-1000)</f>
        <v>82.8189655172414</v>
      </c>
      <c r="O512">
        <f>IF(AND(CROQUIS_DATOS!$C$1472=1,1),(CROQUIS_DATOS!$C$1564+(IF(OR(IF(INT(($A512-1)/70)+1&gt;CROQUIS_DATOS!$C$1525,70,MOD($A512-1,70)+1)=1,IF(INT(($A512-1)/70)+1&gt;CROQUIS_DATOS!$C$1525,70,MOD($A512-1,70)+1)&gt;2*CROQUIS_DATOS!$C$1541+1),CROQUIS_DATOS!$C$1476,INDEX($H$8:$H$41,MIN(INT((IF(INT(($A512-1)/70)+1&gt;CROQUIS_DATOS!$C$1525,70,MOD($A512-1,70)+1)-2)/2)+1,CROQUIS_DATOS!$C$1541))))*CROQUIS_DATOS!$C$1561*CROQUIS_DATOS!$C$1562),-1000)</f>
        <v>40.2068965517241</v>
      </c>
    </row>
    <row r="513">
      <c r="A513" t="n">
        <v>506</v>
      </c>
      <c r="N513">
        <f>IF(AND(CROQUIS_DATOS!$C$1472=1,1),(CROQUIS_DATOS!$C$1563+(IF(IF(IF(INT(($A513-1)/70)+1&gt;CROQUIS_DATOS!$C$1525,70,MOD($A513-1,70)+1)=1,0,IF(IF(INT(($A513-1)/70)+1&gt;CROQUIS_DATOS!$C$1525,70,MOD($A513-1,70)+1)&gt;2*CROQUIS_DATOS!$C$1541+1,IF(MOD(CROQUIS_DATOS!$C$1541,2)=1,1,0),IF(MOD(MIN(INT((IF(INT(($A513-1)/70)+1&gt;CROQUIS_DATOS!$C$1525,70,MOD($A513-1,70)+1)-2)/2)+1,CROQUIS_DATOS!$C$1541),2)=1,IF(MOD(IF(INT(($A513-1)/70)+1&gt;CROQUIS_DATOS!$C$1525,70,MOD($A513-1,70)+1)-2,2)=0,0,1),IF(MOD(IF(INT(($A513-1)/70)+1&gt;CROQUIS_DATOS!$C$1525,70,MOD($A513-1,70)+1)-2,2)=0,1,0))))=0,(INDEX($E$8:$E$23,MIN(INT(($A513-1)/70)+1,CROQUIS_DATOS!$C$1525))-INDEX($F$8:$F$23,MIN(INT(($A513-1)/70)+1,CROQUIS_DATOS!$C$1525))/2),(INDEX($E$8:$E$23,MIN(INT(($A513-1)/70)+1,CROQUIS_DATOS!$C$1525))+INDEX($F$8:$F$23,MIN(INT(($A513-1)/70)+1,CROQUIS_DATOS!$C$1525))/2)))*CROQUIS_DATOS!$C$1562),-1000)</f>
        <v>82.8189655172414</v>
      </c>
      <c r="O513">
        <f>IF(AND(CROQUIS_DATOS!$C$1472=1,1),(CROQUIS_DATOS!$C$1564+(IF(OR(IF(INT(($A513-1)/70)+1&gt;CROQUIS_DATOS!$C$1525,70,MOD($A513-1,70)+1)=1,IF(INT(($A513-1)/70)+1&gt;CROQUIS_DATOS!$C$1525,70,MOD($A513-1,70)+1)&gt;2*CROQUIS_DATOS!$C$1541+1),CROQUIS_DATOS!$C$1476,INDEX($H$8:$H$41,MIN(INT((IF(INT(($A513-1)/70)+1&gt;CROQUIS_DATOS!$C$1525,70,MOD($A513-1,70)+1)-2)/2)+1,CROQUIS_DATOS!$C$1541))))*CROQUIS_DATOS!$C$1561*CROQUIS_DATOS!$C$1562),-1000)</f>
        <v>40.2068965517241</v>
      </c>
    </row>
    <row r="514">
      <c r="A514" t="n">
        <v>507</v>
      </c>
      <c r="N514">
        <f>IF(AND(CROQUIS_DATOS!$C$1472=1,1),(CROQUIS_DATOS!$C$1563+(IF(IF(IF(INT(($A514-1)/70)+1&gt;CROQUIS_DATOS!$C$1525,70,MOD($A514-1,70)+1)=1,0,IF(IF(INT(($A514-1)/70)+1&gt;CROQUIS_DATOS!$C$1525,70,MOD($A514-1,70)+1)&gt;2*CROQUIS_DATOS!$C$1541+1,IF(MOD(CROQUIS_DATOS!$C$1541,2)=1,1,0),IF(MOD(MIN(INT((IF(INT(($A514-1)/70)+1&gt;CROQUIS_DATOS!$C$1525,70,MOD($A514-1,70)+1)-2)/2)+1,CROQUIS_DATOS!$C$1541),2)=1,IF(MOD(IF(INT(($A514-1)/70)+1&gt;CROQUIS_DATOS!$C$1525,70,MOD($A514-1,70)+1)-2,2)=0,0,1),IF(MOD(IF(INT(($A514-1)/70)+1&gt;CROQUIS_DATOS!$C$1525,70,MOD($A514-1,70)+1)-2,2)=0,1,0))))=0,(INDEX($E$8:$E$23,MIN(INT(($A514-1)/70)+1,CROQUIS_DATOS!$C$1525))-INDEX($F$8:$F$23,MIN(INT(($A514-1)/70)+1,CROQUIS_DATOS!$C$1525))/2),(INDEX($E$8:$E$23,MIN(INT(($A514-1)/70)+1,CROQUIS_DATOS!$C$1525))+INDEX($F$8:$F$23,MIN(INT(($A514-1)/70)+1,CROQUIS_DATOS!$C$1525))/2)))*CROQUIS_DATOS!$C$1562),-1000)</f>
        <v>82.8189655172414</v>
      </c>
      <c r="O514">
        <f>IF(AND(CROQUIS_DATOS!$C$1472=1,1),(CROQUIS_DATOS!$C$1564+(IF(OR(IF(INT(($A514-1)/70)+1&gt;CROQUIS_DATOS!$C$1525,70,MOD($A514-1,70)+1)=1,IF(INT(($A514-1)/70)+1&gt;CROQUIS_DATOS!$C$1525,70,MOD($A514-1,70)+1)&gt;2*CROQUIS_DATOS!$C$1541+1),CROQUIS_DATOS!$C$1476,INDEX($H$8:$H$41,MIN(INT((IF(INT(($A514-1)/70)+1&gt;CROQUIS_DATOS!$C$1525,70,MOD($A514-1,70)+1)-2)/2)+1,CROQUIS_DATOS!$C$1541))))*CROQUIS_DATOS!$C$1561*CROQUIS_DATOS!$C$1562),-1000)</f>
        <v>40.2068965517241</v>
      </c>
    </row>
    <row r="515">
      <c r="A515" t="n">
        <v>508</v>
      </c>
      <c r="N515">
        <f>IF(AND(CROQUIS_DATOS!$C$1472=1,1),(CROQUIS_DATOS!$C$1563+(IF(IF(IF(INT(($A515-1)/70)+1&gt;CROQUIS_DATOS!$C$1525,70,MOD($A515-1,70)+1)=1,0,IF(IF(INT(($A515-1)/70)+1&gt;CROQUIS_DATOS!$C$1525,70,MOD($A515-1,70)+1)&gt;2*CROQUIS_DATOS!$C$1541+1,IF(MOD(CROQUIS_DATOS!$C$1541,2)=1,1,0),IF(MOD(MIN(INT((IF(INT(($A515-1)/70)+1&gt;CROQUIS_DATOS!$C$1525,70,MOD($A515-1,70)+1)-2)/2)+1,CROQUIS_DATOS!$C$1541),2)=1,IF(MOD(IF(INT(($A515-1)/70)+1&gt;CROQUIS_DATOS!$C$1525,70,MOD($A515-1,70)+1)-2,2)=0,0,1),IF(MOD(IF(INT(($A515-1)/70)+1&gt;CROQUIS_DATOS!$C$1525,70,MOD($A515-1,70)+1)-2,2)=0,1,0))))=0,(INDEX($E$8:$E$23,MIN(INT(($A515-1)/70)+1,CROQUIS_DATOS!$C$1525))-INDEX($F$8:$F$23,MIN(INT(($A515-1)/70)+1,CROQUIS_DATOS!$C$1525))/2),(INDEX($E$8:$E$23,MIN(INT(($A515-1)/70)+1,CROQUIS_DATOS!$C$1525))+INDEX($F$8:$F$23,MIN(INT(($A515-1)/70)+1,CROQUIS_DATOS!$C$1525))/2)))*CROQUIS_DATOS!$C$1562),-1000)</f>
        <v>82.8189655172414</v>
      </c>
      <c r="O515">
        <f>IF(AND(CROQUIS_DATOS!$C$1472=1,1),(CROQUIS_DATOS!$C$1564+(IF(OR(IF(INT(($A515-1)/70)+1&gt;CROQUIS_DATOS!$C$1525,70,MOD($A515-1,70)+1)=1,IF(INT(($A515-1)/70)+1&gt;CROQUIS_DATOS!$C$1525,70,MOD($A515-1,70)+1)&gt;2*CROQUIS_DATOS!$C$1541+1),CROQUIS_DATOS!$C$1476,INDEX($H$8:$H$41,MIN(INT((IF(INT(($A515-1)/70)+1&gt;CROQUIS_DATOS!$C$1525,70,MOD($A515-1,70)+1)-2)/2)+1,CROQUIS_DATOS!$C$1541))))*CROQUIS_DATOS!$C$1561*CROQUIS_DATOS!$C$1562),-1000)</f>
        <v>40.2068965517241</v>
      </c>
    </row>
    <row r="516">
      <c r="A516" t="n">
        <v>509</v>
      </c>
      <c r="N516">
        <f>IF(AND(CROQUIS_DATOS!$C$1472=1,1),(CROQUIS_DATOS!$C$1563+(IF(IF(IF(INT(($A516-1)/70)+1&gt;CROQUIS_DATOS!$C$1525,70,MOD($A516-1,70)+1)=1,0,IF(IF(INT(($A516-1)/70)+1&gt;CROQUIS_DATOS!$C$1525,70,MOD($A516-1,70)+1)&gt;2*CROQUIS_DATOS!$C$1541+1,IF(MOD(CROQUIS_DATOS!$C$1541,2)=1,1,0),IF(MOD(MIN(INT((IF(INT(($A516-1)/70)+1&gt;CROQUIS_DATOS!$C$1525,70,MOD($A516-1,70)+1)-2)/2)+1,CROQUIS_DATOS!$C$1541),2)=1,IF(MOD(IF(INT(($A516-1)/70)+1&gt;CROQUIS_DATOS!$C$1525,70,MOD($A516-1,70)+1)-2,2)=0,0,1),IF(MOD(IF(INT(($A516-1)/70)+1&gt;CROQUIS_DATOS!$C$1525,70,MOD($A516-1,70)+1)-2,2)=0,1,0))))=0,(INDEX($E$8:$E$23,MIN(INT(($A516-1)/70)+1,CROQUIS_DATOS!$C$1525))-INDEX($F$8:$F$23,MIN(INT(($A516-1)/70)+1,CROQUIS_DATOS!$C$1525))/2),(INDEX($E$8:$E$23,MIN(INT(($A516-1)/70)+1,CROQUIS_DATOS!$C$1525))+INDEX($F$8:$F$23,MIN(INT(($A516-1)/70)+1,CROQUIS_DATOS!$C$1525))/2)))*CROQUIS_DATOS!$C$1562),-1000)</f>
        <v>82.8189655172414</v>
      </c>
      <c r="O516">
        <f>IF(AND(CROQUIS_DATOS!$C$1472=1,1),(CROQUIS_DATOS!$C$1564+(IF(OR(IF(INT(($A516-1)/70)+1&gt;CROQUIS_DATOS!$C$1525,70,MOD($A516-1,70)+1)=1,IF(INT(($A516-1)/70)+1&gt;CROQUIS_DATOS!$C$1525,70,MOD($A516-1,70)+1)&gt;2*CROQUIS_DATOS!$C$1541+1),CROQUIS_DATOS!$C$1476,INDEX($H$8:$H$41,MIN(INT((IF(INT(($A516-1)/70)+1&gt;CROQUIS_DATOS!$C$1525,70,MOD($A516-1,70)+1)-2)/2)+1,CROQUIS_DATOS!$C$1541))))*CROQUIS_DATOS!$C$1561*CROQUIS_DATOS!$C$1562),-1000)</f>
        <v>40.2068965517241</v>
      </c>
    </row>
    <row r="517">
      <c r="A517" t="n">
        <v>510</v>
      </c>
      <c r="N517">
        <f>IF(AND(CROQUIS_DATOS!$C$1472=1,1),(CROQUIS_DATOS!$C$1563+(IF(IF(IF(INT(($A517-1)/70)+1&gt;CROQUIS_DATOS!$C$1525,70,MOD($A517-1,70)+1)=1,0,IF(IF(INT(($A517-1)/70)+1&gt;CROQUIS_DATOS!$C$1525,70,MOD($A517-1,70)+1)&gt;2*CROQUIS_DATOS!$C$1541+1,IF(MOD(CROQUIS_DATOS!$C$1541,2)=1,1,0),IF(MOD(MIN(INT((IF(INT(($A517-1)/70)+1&gt;CROQUIS_DATOS!$C$1525,70,MOD($A517-1,70)+1)-2)/2)+1,CROQUIS_DATOS!$C$1541),2)=1,IF(MOD(IF(INT(($A517-1)/70)+1&gt;CROQUIS_DATOS!$C$1525,70,MOD($A517-1,70)+1)-2,2)=0,0,1),IF(MOD(IF(INT(($A517-1)/70)+1&gt;CROQUIS_DATOS!$C$1525,70,MOD($A517-1,70)+1)-2,2)=0,1,0))))=0,(INDEX($E$8:$E$23,MIN(INT(($A517-1)/70)+1,CROQUIS_DATOS!$C$1525))-INDEX($F$8:$F$23,MIN(INT(($A517-1)/70)+1,CROQUIS_DATOS!$C$1525))/2),(INDEX($E$8:$E$23,MIN(INT(($A517-1)/70)+1,CROQUIS_DATOS!$C$1525))+INDEX($F$8:$F$23,MIN(INT(($A517-1)/70)+1,CROQUIS_DATOS!$C$1525))/2)))*CROQUIS_DATOS!$C$1562),-1000)</f>
        <v>82.8189655172414</v>
      </c>
      <c r="O517">
        <f>IF(AND(CROQUIS_DATOS!$C$1472=1,1),(CROQUIS_DATOS!$C$1564+(IF(OR(IF(INT(($A517-1)/70)+1&gt;CROQUIS_DATOS!$C$1525,70,MOD($A517-1,70)+1)=1,IF(INT(($A517-1)/70)+1&gt;CROQUIS_DATOS!$C$1525,70,MOD($A517-1,70)+1)&gt;2*CROQUIS_DATOS!$C$1541+1),CROQUIS_DATOS!$C$1476,INDEX($H$8:$H$41,MIN(INT((IF(INT(($A517-1)/70)+1&gt;CROQUIS_DATOS!$C$1525,70,MOD($A517-1,70)+1)-2)/2)+1,CROQUIS_DATOS!$C$1541))))*CROQUIS_DATOS!$C$1561*CROQUIS_DATOS!$C$1562),-1000)</f>
        <v>40.2068965517241</v>
      </c>
    </row>
    <row r="518">
      <c r="A518" t="n">
        <v>511</v>
      </c>
      <c r="N518">
        <f>IF(AND(CROQUIS_DATOS!$C$1472=1,1),(CROQUIS_DATOS!$C$1563+(IF(IF(IF(INT(($A518-1)/70)+1&gt;CROQUIS_DATOS!$C$1525,70,MOD($A518-1,70)+1)=1,0,IF(IF(INT(($A518-1)/70)+1&gt;CROQUIS_DATOS!$C$1525,70,MOD($A518-1,70)+1)&gt;2*CROQUIS_DATOS!$C$1541+1,IF(MOD(CROQUIS_DATOS!$C$1541,2)=1,1,0),IF(MOD(MIN(INT((IF(INT(($A518-1)/70)+1&gt;CROQUIS_DATOS!$C$1525,70,MOD($A518-1,70)+1)-2)/2)+1,CROQUIS_DATOS!$C$1541),2)=1,IF(MOD(IF(INT(($A518-1)/70)+1&gt;CROQUIS_DATOS!$C$1525,70,MOD($A518-1,70)+1)-2,2)=0,0,1),IF(MOD(IF(INT(($A518-1)/70)+1&gt;CROQUIS_DATOS!$C$1525,70,MOD($A518-1,70)+1)-2,2)=0,1,0))))=0,(INDEX($E$8:$E$23,MIN(INT(($A518-1)/70)+1,CROQUIS_DATOS!$C$1525))-INDEX($F$8:$F$23,MIN(INT(($A518-1)/70)+1,CROQUIS_DATOS!$C$1525))/2),(INDEX($E$8:$E$23,MIN(INT(($A518-1)/70)+1,CROQUIS_DATOS!$C$1525))+INDEX($F$8:$F$23,MIN(INT(($A518-1)/70)+1,CROQUIS_DATOS!$C$1525))/2)))*CROQUIS_DATOS!$C$1562),-1000)</f>
        <v>82.8189655172414</v>
      </c>
      <c r="O518">
        <f>IF(AND(CROQUIS_DATOS!$C$1472=1,1),(CROQUIS_DATOS!$C$1564+(IF(OR(IF(INT(($A518-1)/70)+1&gt;CROQUIS_DATOS!$C$1525,70,MOD($A518-1,70)+1)=1,IF(INT(($A518-1)/70)+1&gt;CROQUIS_DATOS!$C$1525,70,MOD($A518-1,70)+1)&gt;2*CROQUIS_DATOS!$C$1541+1),CROQUIS_DATOS!$C$1476,INDEX($H$8:$H$41,MIN(INT((IF(INT(($A518-1)/70)+1&gt;CROQUIS_DATOS!$C$1525,70,MOD($A518-1,70)+1)-2)/2)+1,CROQUIS_DATOS!$C$1541))))*CROQUIS_DATOS!$C$1561*CROQUIS_DATOS!$C$1562),-1000)</f>
        <v>40.2068965517241</v>
      </c>
    </row>
    <row r="519">
      <c r="A519" t="n">
        <v>512</v>
      </c>
      <c r="N519">
        <f>IF(AND(CROQUIS_DATOS!$C$1472=1,1),(CROQUIS_DATOS!$C$1563+(IF(IF(IF(INT(($A519-1)/70)+1&gt;CROQUIS_DATOS!$C$1525,70,MOD($A519-1,70)+1)=1,0,IF(IF(INT(($A519-1)/70)+1&gt;CROQUIS_DATOS!$C$1525,70,MOD($A519-1,70)+1)&gt;2*CROQUIS_DATOS!$C$1541+1,IF(MOD(CROQUIS_DATOS!$C$1541,2)=1,1,0),IF(MOD(MIN(INT((IF(INT(($A519-1)/70)+1&gt;CROQUIS_DATOS!$C$1525,70,MOD($A519-1,70)+1)-2)/2)+1,CROQUIS_DATOS!$C$1541),2)=1,IF(MOD(IF(INT(($A519-1)/70)+1&gt;CROQUIS_DATOS!$C$1525,70,MOD($A519-1,70)+1)-2,2)=0,0,1),IF(MOD(IF(INT(($A519-1)/70)+1&gt;CROQUIS_DATOS!$C$1525,70,MOD($A519-1,70)+1)-2,2)=0,1,0))))=0,(INDEX($E$8:$E$23,MIN(INT(($A519-1)/70)+1,CROQUIS_DATOS!$C$1525))-INDEX($F$8:$F$23,MIN(INT(($A519-1)/70)+1,CROQUIS_DATOS!$C$1525))/2),(INDEX($E$8:$E$23,MIN(INT(($A519-1)/70)+1,CROQUIS_DATOS!$C$1525))+INDEX($F$8:$F$23,MIN(INT(($A519-1)/70)+1,CROQUIS_DATOS!$C$1525))/2)))*CROQUIS_DATOS!$C$1562),-1000)</f>
        <v>82.8189655172414</v>
      </c>
      <c r="O519">
        <f>IF(AND(CROQUIS_DATOS!$C$1472=1,1),(CROQUIS_DATOS!$C$1564+(IF(OR(IF(INT(($A519-1)/70)+1&gt;CROQUIS_DATOS!$C$1525,70,MOD($A519-1,70)+1)=1,IF(INT(($A519-1)/70)+1&gt;CROQUIS_DATOS!$C$1525,70,MOD($A519-1,70)+1)&gt;2*CROQUIS_DATOS!$C$1541+1),CROQUIS_DATOS!$C$1476,INDEX($H$8:$H$41,MIN(INT((IF(INT(($A519-1)/70)+1&gt;CROQUIS_DATOS!$C$1525,70,MOD($A519-1,70)+1)-2)/2)+1,CROQUIS_DATOS!$C$1541))))*CROQUIS_DATOS!$C$1561*CROQUIS_DATOS!$C$1562),-1000)</f>
        <v>40.2068965517241</v>
      </c>
    </row>
    <row r="520">
      <c r="A520" t="n">
        <v>513</v>
      </c>
      <c r="N520">
        <f>IF(AND(CROQUIS_DATOS!$C$1472=1,1),(CROQUIS_DATOS!$C$1563+(IF(IF(IF(INT(($A520-1)/70)+1&gt;CROQUIS_DATOS!$C$1525,70,MOD($A520-1,70)+1)=1,0,IF(IF(INT(($A520-1)/70)+1&gt;CROQUIS_DATOS!$C$1525,70,MOD($A520-1,70)+1)&gt;2*CROQUIS_DATOS!$C$1541+1,IF(MOD(CROQUIS_DATOS!$C$1541,2)=1,1,0),IF(MOD(MIN(INT((IF(INT(($A520-1)/70)+1&gt;CROQUIS_DATOS!$C$1525,70,MOD($A520-1,70)+1)-2)/2)+1,CROQUIS_DATOS!$C$1541),2)=1,IF(MOD(IF(INT(($A520-1)/70)+1&gt;CROQUIS_DATOS!$C$1525,70,MOD($A520-1,70)+1)-2,2)=0,0,1),IF(MOD(IF(INT(($A520-1)/70)+1&gt;CROQUIS_DATOS!$C$1525,70,MOD($A520-1,70)+1)-2,2)=0,1,0))))=0,(INDEX($E$8:$E$23,MIN(INT(($A520-1)/70)+1,CROQUIS_DATOS!$C$1525))-INDEX($F$8:$F$23,MIN(INT(($A520-1)/70)+1,CROQUIS_DATOS!$C$1525))/2),(INDEX($E$8:$E$23,MIN(INT(($A520-1)/70)+1,CROQUIS_DATOS!$C$1525))+INDEX($F$8:$F$23,MIN(INT(($A520-1)/70)+1,CROQUIS_DATOS!$C$1525))/2)))*CROQUIS_DATOS!$C$1562),-1000)</f>
        <v>82.8189655172414</v>
      </c>
      <c r="O520">
        <f>IF(AND(CROQUIS_DATOS!$C$1472=1,1),(CROQUIS_DATOS!$C$1564+(IF(OR(IF(INT(($A520-1)/70)+1&gt;CROQUIS_DATOS!$C$1525,70,MOD($A520-1,70)+1)=1,IF(INT(($A520-1)/70)+1&gt;CROQUIS_DATOS!$C$1525,70,MOD($A520-1,70)+1)&gt;2*CROQUIS_DATOS!$C$1541+1),CROQUIS_DATOS!$C$1476,INDEX($H$8:$H$41,MIN(INT((IF(INT(($A520-1)/70)+1&gt;CROQUIS_DATOS!$C$1525,70,MOD($A520-1,70)+1)-2)/2)+1,CROQUIS_DATOS!$C$1541))))*CROQUIS_DATOS!$C$1561*CROQUIS_DATOS!$C$1562),-1000)</f>
        <v>40.2068965517241</v>
      </c>
    </row>
    <row r="521">
      <c r="A521" t="n">
        <v>514</v>
      </c>
      <c r="N521">
        <f>IF(AND(CROQUIS_DATOS!$C$1472=1,1),(CROQUIS_DATOS!$C$1563+(IF(IF(IF(INT(($A521-1)/70)+1&gt;CROQUIS_DATOS!$C$1525,70,MOD($A521-1,70)+1)=1,0,IF(IF(INT(($A521-1)/70)+1&gt;CROQUIS_DATOS!$C$1525,70,MOD($A521-1,70)+1)&gt;2*CROQUIS_DATOS!$C$1541+1,IF(MOD(CROQUIS_DATOS!$C$1541,2)=1,1,0),IF(MOD(MIN(INT((IF(INT(($A521-1)/70)+1&gt;CROQUIS_DATOS!$C$1525,70,MOD($A521-1,70)+1)-2)/2)+1,CROQUIS_DATOS!$C$1541),2)=1,IF(MOD(IF(INT(($A521-1)/70)+1&gt;CROQUIS_DATOS!$C$1525,70,MOD($A521-1,70)+1)-2,2)=0,0,1),IF(MOD(IF(INT(($A521-1)/70)+1&gt;CROQUIS_DATOS!$C$1525,70,MOD($A521-1,70)+1)-2,2)=0,1,0))))=0,(INDEX($E$8:$E$23,MIN(INT(($A521-1)/70)+1,CROQUIS_DATOS!$C$1525))-INDEX($F$8:$F$23,MIN(INT(($A521-1)/70)+1,CROQUIS_DATOS!$C$1525))/2),(INDEX($E$8:$E$23,MIN(INT(($A521-1)/70)+1,CROQUIS_DATOS!$C$1525))+INDEX($F$8:$F$23,MIN(INT(($A521-1)/70)+1,CROQUIS_DATOS!$C$1525))/2)))*CROQUIS_DATOS!$C$1562),-1000)</f>
        <v>82.8189655172414</v>
      </c>
      <c r="O521">
        <f>IF(AND(CROQUIS_DATOS!$C$1472=1,1),(CROQUIS_DATOS!$C$1564+(IF(OR(IF(INT(($A521-1)/70)+1&gt;CROQUIS_DATOS!$C$1525,70,MOD($A521-1,70)+1)=1,IF(INT(($A521-1)/70)+1&gt;CROQUIS_DATOS!$C$1525,70,MOD($A521-1,70)+1)&gt;2*CROQUIS_DATOS!$C$1541+1),CROQUIS_DATOS!$C$1476,INDEX($H$8:$H$41,MIN(INT((IF(INT(($A521-1)/70)+1&gt;CROQUIS_DATOS!$C$1525,70,MOD($A521-1,70)+1)-2)/2)+1,CROQUIS_DATOS!$C$1541))))*CROQUIS_DATOS!$C$1561*CROQUIS_DATOS!$C$1562),-1000)</f>
        <v>40.2068965517241</v>
      </c>
    </row>
    <row r="522">
      <c r="A522" t="n">
        <v>515</v>
      </c>
      <c r="N522">
        <f>IF(AND(CROQUIS_DATOS!$C$1472=1,1),(CROQUIS_DATOS!$C$1563+(IF(IF(IF(INT(($A522-1)/70)+1&gt;CROQUIS_DATOS!$C$1525,70,MOD($A522-1,70)+1)=1,0,IF(IF(INT(($A522-1)/70)+1&gt;CROQUIS_DATOS!$C$1525,70,MOD($A522-1,70)+1)&gt;2*CROQUIS_DATOS!$C$1541+1,IF(MOD(CROQUIS_DATOS!$C$1541,2)=1,1,0),IF(MOD(MIN(INT((IF(INT(($A522-1)/70)+1&gt;CROQUIS_DATOS!$C$1525,70,MOD($A522-1,70)+1)-2)/2)+1,CROQUIS_DATOS!$C$1541),2)=1,IF(MOD(IF(INT(($A522-1)/70)+1&gt;CROQUIS_DATOS!$C$1525,70,MOD($A522-1,70)+1)-2,2)=0,0,1),IF(MOD(IF(INT(($A522-1)/70)+1&gt;CROQUIS_DATOS!$C$1525,70,MOD($A522-1,70)+1)-2,2)=0,1,0))))=0,(INDEX($E$8:$E$23,MIN(INT(($A522-1)/70)+1,CROQUIS_DATOS!$C$1525))-INDEX($F$8:$F$23,MIN(INT(($A522-1)/70)+1,CROQUIS_DATOS!$C$1525))/2),(INDEX($E$8:$E$23,MIN(INT(($A522-1)/70)+1,CROQUIS_DATOS!$C$1525))+INDEX($F$8:$F$23,MIN(INT(($A522-1)/70)+1,CROQUIS_DATOS!$C$1525))/2)))*CROQUIS_DATOS!$C$1562),-1000)</f>
        <v>82.8189655172414</v>
      </c>
      <c r="O522">
        <f>IF(AND(CROQUIS_DATOS!$C$1472=1,1),(CROQUIS_DATOS!$C$1564+(IF(OR(IF(INT(($A522-1)/70)+1&gt;CROQUIS_DATOS!$C$1525,70,MOD($A522-1,70)+1)=1,IF(INT(($A522-1)/70)+1&gt;CROQUIS_DATOS!$C$1525,70,MOD($A522-1,70)+1)&gt;2*CROQUIS_DATOS!$C$1541+1),CROQUIS_DATOS!$C$1476,INDEX($H$8:$H$41,MIN(INT((IF(INT(($A522-1)/70)+1&gt;CROQUIS_DATOS!$C$1525,70,MOD($A522-1,70)+1)-2)/2)+1,CROQUIS_DATOS!$C$1541))))*CROQUIS_DATOS!$C$1561*CROQUIS_DATOS!$C$1562),-1000)</f>
        <v>40.2068965517241</v>
      </c>
    </row>
    <row r="523">
      <c r="A523" t="n">
        <v>516</v>
      </c>
      <c r="N523">
        <f>IF(AND(CROQUIS_DATOS!$C$1472=1,1),(CROQUIS_DATOS!$C$1563+(IF(IF(IF(INT(($A523-1)/70)+1&gt;CROQUIS_DATOS!$C$1525,70,MOD($A523-1,70)+1)=1,0,IF(IF(INT(($A523-1)/70)+1&gt;CROQUIS_DATOS!$C$1525,70,MOD($A523-1,70)+1)&gt;2*CROQUIS_DATOS!$C$1541+1,IF(MOD(CROQUIS_DATOS!$C$1541,2)=1,1,0),IF(MOD(MIN(INT((IF(INT(($A523-1)/70)+1&gt;CROQUIS_DATOS!$C$1525,70,MOD($A523-1,70)+1)-2)/2)+1,CROQUIS_DATOS!$C$1541),2)=1,IF(MOD(IF(INT(($A523-1)/70)+1&gt;CROQUIS_DATOS!$C$1525,70,MOD($A523-1,70)+1)-2,2)=0,0,1),IF(MOD(IF(INT(($A523-1)/70)+1&gt;CROQUIS_DATOS!$C$1525,70,MOD($A523-1,70)+1)-2,2)=0,1,0))))=0,(INDEX($E$8:$E$23,MIN(INT(($A523-1)/70)+1,CROQUIS_DATOS!$C$1525))-INDEX($F$8:$F$23,MIN(INT(($A523-1)/70)+1,CROQUIS_DATOS!$C$1525))/2),(INDEX($E$8:$E$23,MIN(INT(($A523-1)/70)+1,CROQUIS_DATOS!$C$1525))+INDEX($F$8:$F$23,MIN(INT(($A523-1)/70)+1,CROQUIS_DATOS!$C$1525))/2)))*CROQUIS_DATOS!$C$1562),-1000)</f>
        <v>82.8189655172414</v>
      </c>
      <c r="O523">
        <f>IF(AND(CROQUIS_DATOS!$C$1472=1,1),(CROQUIS_DATOS!$C$1564+(IF(OR(IF(INT(($A523-1)/70)+1&gt;CROQUIS_DATOS!$C$1525,70,MOD($A523-1,70)+1)=1,IF(INT(($A523-1)/70)+1&gt;CROQUIS_DATOS!$C$1525,70,MOD($A523-1,70)+1)&gt;2*CROQUIS_DATOS!$C$1541+1),CROQUIS_DATOS!$C$1476,INDEX($H$8:$H$41,MIN(INT((IF(INT(($A523-1)/70)+1&gt;CROQUIS_DATOS!$C$1525,70,MOD($A523-1,70)+1)-2)/2)+1,CROQUIS_DATOS!$C$1541))))*CROQUIS_DATOS!$C$1561*CROQUIS_DATOS!$C$1562),-1000)</f>
        <v>40.2068965517241</v>
      </c>
    </row>
    <row r="524">
      <c r="A524" t="n">
        <v>517</v>
      </c>
      <c r="N524">
        <f>IF(AND(CROQUIS_DATOS!$C$1472=1,1),(CROQUIS_DATOS!$C$1563+(IF(IF(IF(INT(($A524-1)/70)+1&gt;CROQUIS_DATOS!$C$1525,70,MOD($A524-1,70)+1)=1,0,IF(IF(INT(($A524-1)/70)+1&gt;CROQUIS_DATOS!$C$1525,70,MOD($A524-1,70)+1)&gt;2*CROQUIS_DATOS!$C$1541+1,IF(MOD(CROQUIS_DATOS!$C$1541,2)=1,1,0),IF(MOD(MIN(INT((IF(INT(($A524-1)/70)+1&gt;CROQUIS_DATOS!$C$1525,70,MOD($A524-1,70)+1)-2)/2)+1,CROQUIS_DATOS!$C$1541),2)=1,IF(MOD(IF(INT(($A524-1)/70)+1&gt;CROQUIS_DATOS!$C$1525,70,MOD($A524-1,70)+1)-2,2)=0,0,1),IF(MOD(IF(INT(($A524-1)/70)+1&gt;CROQUIS_DATOS!$C$1525,70,MOD($A524-1,70)+1)-2,2)=0,1,0))))=0,(INDEX($E$8:$E$23,MIN(INT(($A524-1)/70)+1,CROQUIS_DATOS!$C$1525))-INDEX($F$8:$F$23,MIN(INT(($A524-1)/70)+1,CROQUIS_DATOS!$C$1525))/2),(INDEX($E$8:$E$23,MIN(INT(($A524-1)/70)+1,CROQUIS_DATOS!$C$1525))+INDEX($F$8:$F$23,MIN(INT(($A524-1)/70)+1,CROQUIS_DATOS!$C$1525))/2)))*CROQUIS_DATOS!$C$1562),-1000)</f>
        <v>82.8189655172414</v>
      </c>
      <c r="O524">
        <f>IF(AND(CROQUIS_DATOS!$C$1472=1,1),(CROQUIS_DATOS!$C$1564+(IF(OR(IF(INT(($A524-1)/70)+1&gt;CROQUIS_DATOS!$C$1525,70,MOD($A524-1,70)+1)=1,IF(INT(($A524-1)/70)+1&gt;CROQUIS_DATOS!$C$1525,70,MOD($A524-1,70)+1)&gt;2*CROQUIS_DATOS!$C$1541+1),CROQUIS_DATOS!$C$1476,INDEX($H$8:$H$41,MIN(INT((IF(INT(($A524-1)/70)+1&gt;CROQUIS_DATOS!$C$1525,70,MOD($A524-1,70)+1)-2)/2)+1,CROQUIS_DATOS!$C$1541))))*CROQUIS_DATOS!$C$1561*CROQUIS_DATOS!$C$1562),-1000)</f>
        <v>40.2068965517241</v>
      </c>
    </row>
    <row r="525">
      <c r="A525" t="n">
        <v>518</v>
      </c>
      <c r="N525">
        <f>IF(AND(CROQUIS_DATOS!$C$1472=1,1),(CROQUIS_DATOS!$C$1563+(IF(IF(IF(INT(($A525-1)/70)+1&gt;CROQUIS_DATOS!$C$1525,70,MOD($A525-1,70)+1)=1,0,IF(IF(INT(($A525-1)/70)+1&gt;CROQUIS_DATOS!$C$1525,70,MOD($A525-1,70)+1)&gt;2*CROQUIS_DATOS!$C$1541+1,IF(MOD(CROQUIS_DATOS!$C$1541,2)=1,1,0),IF(MOD(MIN(INT((IF(INT(($A525-1)/70)+1&gt;CROQUIS_DATOS!$C$1525,70,MOD($A525-1,70)+1)-2)/2)+1,CROQUIS_DATOS!$C$1541),2)=1,IF(MOD(IF(INT(($A525-1)/70)+1&gt;CROQUIS_DATOS!$C$1525,70,MOD($A525-1,70)+1)-2,2)=0,0,1),IF(MOD(IF(INT(($A525-1)/70)+1&gt;CROQUIS_DATOS!$C$1525,70,MOD($A525-1,70)+1)-2,2)=0,1,0))))=0,(INDEX($E$8:$E$23,MIN(INT(($A525-1)/70)+1,CROQUIS_DATOS!$C$1525))-INDEX($F$8:$F$23,MIN(INT(($A525-1)/70)+1,CROQUIS_DATOS!$C$1525))/2),(INDEX($E$8:$E$23,MIN(INT(($A525-1)/70)+1,CROQUIS_DATOS!$C$1525))+INDEX($F$8:$F$23,MIN(INT(($A525-1)/70)+1,CROQUIS_DATOS!$C$1525))/2)))*CROQUIS_DATOS!$C$1562),-1000)</f>
        <v>82.8189655172414</v>
      </c>
      <c r="O525">
        <f>IF(AND(CROQUIS_DATOS!$C$1472=1,1),(CROQUIS_DATOS!$C$1564+(IF(OR(IF(INT(($A525-1)/70)+1&gt;CROQUIS_DATOS!$C$1525,70,MOD($A525-1,70)+1)=1,IF(INT(($A525-1)/70)+1&gt;CROQUIS_DATOS!$C$1525,70,MOD($A525-1,70)+1)&gt;2*CROQUIS_DATOS!$C$1541+1),CROQUIS_DATOS!$C$1476,INDEX($H$8:$H$41,MIN(INT((IF(INT(($A525-1)/70)+1&gt;CROQUIS_DATOS!$C$1525,70,MOD($A525-1,70)+1)-2)/2)+1,CROQUIS_DATOS!$C$1541))))*CROQUIS_DATOS!$C$1561*CROQUIS_DATOS!$C$1562),-1000)</f>
        <v>40.2068965517241</v>
      </c>
    </row>
    <row r="526">
      <c r="A526" t="n">
        <v>519</v>
      </c>
      <c r="N526">
        <f>IF(AND(CROQUIS_DATOS!$C$1472=1,1),(CROQUIS_DATOS!$C$1563+(IF(IF(IF(INT(($A526-1)/70)+1&gt;CROQUIS_DATOS!$C$1525,70,MOD($A526-1,70)+1)=1,0,IF(IF(INT(($A526-1)/70)+1&gt;CROQUIS_DATOS!$C$1525,70,MOD($A526-1,70)+1)&gt;2*CROQUIS_DATOS!$C$1541+1,IF(MOD(CROQUIS_DATOS!$C$1541,2)=1,1,0),IF(MOD(MIN(INT((IF(INT(($A526-1)/70)+1&gt;CROQUIS_DATOS!$C$1525,70,MOD($A526-1,70)+1)-2)/2)+1,CROQUIS_DATOS!$C$1541),2)=1,IF(MOD(IF(INT(($A526-1)/70)+1&gt;CROQUIS_DATOS!$C$1525,70,MOD($A526-1,70)+1)-2,2)=0,0,1),IF(MOD(IF(INT(($A526-1)/70)+1&gt;CROQUIS_DATOS!$C$1525,70,MOD($A526-1,70)+1)-2,2)=0,1,0))))=0,(INDEX($E$8:$E$23,MIN(INT(($A526-1)/70)+1,CROQUIS_DATOS!$C$1525))-INDEX($F$8:$F$23,MIN(INT(($A526-1)/70)+1,CROQUIS_DATOS!$C$1525))/2),(INDEX($E$8:$E$23,MIN(INT(($A526-1)/70)+1,CROQUIS_DATOS!$C$1525))+INDEX($F$8:$F$23,MIN(INT(($A526-1)/70)+1,CROQUIS_DATOS!$C$1525))/2)))*CROQUIS_DATOS!$C$1562),-1000)</f>
        <v>82.8189655172414</v>
      </c>
      <c r="O526">
        <f>IF(AND(CROQUIS_DATOS!$C$1472=1,1),(CROQUIS_DATOS!$C$1564+(IF(OR(IF(INT(($A526-1)/70)+1&gt;CROQUIS_DATOS!$C$1525,70,MOD($A526-1,70)+1)=1,IF(INT(($A526-1)/70)+1&gt;CROQUIS_DATOS!$C$1525,70,MOD($A526-1,70)+1)&gt;2*CROQUIS_DATOS!$C$1541+1),CROQUIS_DATOS!$C$1476,INDEX($H$8:$H$41,MIN(INT((IF(INT(($A526-1)/70)+1&gt;CROQUIS_DATOS!$C$1525,70,MOD($A526-1,70)+1)-2)/2)+1,CROQUIS_DATOS!$C$1541))))*CROQUIS_DATOS!$C$1561*CROQUIS_DATOS!$C$1562),-1000)</f>
        <v>40.2068965517241</v>
      </c>
    </row>
    <row r="527">
      <c r="A527" t="n">
        <v>520</v>
      </c>
      <c r="N527">
        <f>IF(AND(CROQUIS_DATOS!$C$1472=1,1),(CROQUIS_DATOS!$C$1563+(IF(IF(IF(INT(($A527-1)/70)+1&gt;CROQUIS_DATOS!$C$1525,70,MOD($A527-1,70)+1)=1,0,IF(IF(INT(($A527-1)/70)+1&gt;CROQUIS_DATOS!$C$1525,70,MOD($A527-1,70)+1)&gt;2*CROQUIS_DATOS!$C$1541+1,IF(MOD(CROQUIS_DATOS!$C$1541,2)=1,1,0),IF(MOD(MIN(INT((IF(INT(($A527-1)/70)+1&gt;CROQUIS_DATOS!$C$1525,70,MOD($A527-1,70)+1)-2)/2)+1,CROQUIS_DATOS!$C$1541),2)=1,IF(MOD(IF(INT(($A527-1)/70)+1&gt;CROQUIS_DATOS!$C$1525,70,MOD($A527-1,70)+1)-2,2)=0,0,1),IF(MOD(IF(INT(($A527-1)/70)+1&gt;CROQUIS_DATOS!$C$1525,70,MOD($A527-1,70)+1)-2,2)=0,1,0))))=0,(INDEX($E$8:$E$23,MIN(INT(($A527-1)/70)+1,CROQUIS_DATOS!$C$1525))-INDEX($F$8:$F$23,MIN(INT(($A527-1)/70)+1,CROQUIS_DATOS!$C$1525))/2),(INDEX($E$8:$E$23,MIN(INT(($A527-1)/70)+1,CROQUIS_DATOS!$C$1525))+INDEX($F$8:$F$23,MIN(INT(($A527-1)/70)+1,CROQUIS_DATOS!$C$1525))/2)))*CROQUIS_DATOS!$C$1562),-1000)</f>
        <v>82.8189655172414</v>
      </c>
      <c r="O527">
        <f>IF(AND(CROQUIS_DATOS!$C$1472=1,1),(CROQUIS_DATOS!$C$1564+(IF(OR(IF(INT(($A527-1)/70)+1&gt;CROQUIS_DATOS!$C$1525,70,MOD($A527-1,70)+1)=1,IF(INT(($A527-1)/70)+1&gt;CROQUIS_DATOS!$C$1525,70,MOD($A527-1,70)+1)&gt;2*CROQUIS_DATOS!$C$1541+1),CROQUIS_DATOS!$C$1476,INDEX($H$8:$H$41,MIN(INT((IF(INT(($A527-1)/70)+1&gt;CROQUIS_DATOS!$C$1525,70,MOD($A527-1,70)+1)-2)/2)+1,CROQUIS_DATOS!$C$1541))))*CROQUIS_DATOS!$C$1561*CROQUIS_DATOS!$C$1562),-1000)</f>
        <v>40.2068965517241</v>
      </c>
    </row>
    <row r="528">
      <c r="A528" t="n">
        <v>521</v>
      </c>
      <c r="N528">
        <f>IF(AND(CROQUIS_DATOS!$C$1472=1,1),(CROQUIS_DATOS!$C$1563+(IF(IF(IF(INT(($A528-1)/70)+1&gt;CROQUIS_DATOS!$C$1525,70,MOD($A528-1,70)+1)=1,0,IF(IF(INT(($A528-1)/70)+1&gt;CROQUIS_DATOS!$C$1525,70,MOD($A528-1,70)+1)&gt;2*CROQUIS_DATOS!$C$1541+1,IF(MOD(CROQUIS_DATOS!$C$1541,2)=1,1,0),IF(MOD(MIN(INT((IF(INT(($A528-1)/70)+1&gt;CROQUIS_DATOS!$C$1525,70,MOD($A528-1,70)+1)-2)/2)+1,CROQUIS_DATOS!$C$1541),2)=1,IF(MOD(IF(INT(($A528-1)/70)+1&gt;CROQUIS_DATOS!$C$1525,70,MOD($A528-1,70)+1)-2,2)=0,0,1),IF(MOD(IF(INT(($A528-1)/70)+1&gt;CROQUIS_DATOS!$C$1525,70,MOD($A528-1,70)+1)-2,2)=0,1,0))))=0,(INDEX($E$8:$E$23,MIN(INT(($A528-1)/70)+1,CROQUIS_DATOS!$C$1525))-INDEX($F$8:$F$23,MIN(INT(($A528-1)/70)+1,CROQUIS_DATOS!$C$1525))/2),(INDEX($E$8:$E$23,MIN(INT(($A528-1)/70)+1,CROQUIS_DATOS!$C$1525))+INDEX($F$8:$F$23,MIN(INT(($A528-1)/70)+1,CROQUIS_DATOS!$C$1525))/2)))*CROQUIS_DATOS!$C$1562),-1000)</f>
        <v>82.8189655172414</v>
      </c>
      <c r="O528">
        <f>IF(AND(CROQUIS_DATOS!$C$1472=1,1),(CROQUIS_DATOS!$C$1564+(IF(OR(IF(INT(($A528-1)/70)+1&gt;CROQUIS_DATOS!$C$1525,70,MOD($A528-1,70)+1)=1,IF(INT(($A528-1)/70)+1&gt;CROQUIS_DATOS!$C$1525,70,MOD($A528-1,70)+1)&gt;2*CROQUIS_DATOS!$C$1541+1),CROQUIS_DATOS!$C$1476,INDEX($H$8:$H$41,MIN(INT((IF(INT(($A528-1)/70)+1&gt;CROQUIS_DATOS!$C$1525,70,MOD($A528-1,70)+1)-2)/2)+1,CROQUIS_DATOS!$C$1541))))*CROQUIS_DATOS!$C$1561*CROQUIS_DATOS!$C$1562),-1000)</f>
        <v>40.2068965517241</v>
      </c>
    </row>
    <row r="529">
      <c r="A529" t="n">
        <v>522</v>
      </c>
      <c r="N529">
        <f>IF(AND(CROQUIS_DATOS!$C$1472=1,1),(CROQUIS_DATOS!$C$1563+(IF(IF(IF(INT(($A529-1)/70)+1&gt;CROQUIS_DATOS!$C$1525,70,MOD($A529-1,70)+1)=1,0,IF(IF(INT(($A529-1)/70)+1&gt;CROQUIS_DATOS!$C$1525,70,MOD($A529-1,70)+1)&gt;2*CROQUIS_DATOS!$C$1541+1,IF(MOD(CROQUIS_DATOS!$C$1541,2)=1,1,0),IF(MOD(MIN(INT((IF(INT(($A529-1)/70)+1&gt;CROQUIS_DATOS!$C$1525,70,MOD($A529-1,70)+1)-2)/2)+1,CROQUIS_DATOS!$C$1541),2)=1,IF(MOD(IF(INT(($A529-1)/70)+1&gt;CROQUIS_DATOS!$C$1525,70,MOD($A529-1,70)+1)-2,2)=0,0,1),IF(MOD(IF(INT(($A529-1)/70)+1&gt;CROQUIS_DATOS!$C$1525,70,MOD($A529-1,70)+1)-2,2)=0,1,0))))=0,(INDEX($E$8:$E$23,MIN(INT(($A529-1)/70)+1,CROQUIS_DATOS!$C$1525))-INDEX($F$8:$F$23,MIN(INT(($A529-1)/70)+1,CROQUIS_DATOS!$C$1525))/2),(INDEX($E$8:$E$23,MIN(INT(($A529-1)/70)+1,CROQUIS_DATOS!$C$1525))+INDEX($F$8:$F$23,MIN(INT(($A529-1)/70)+1,CROQUIS_DATOS!$C$1525))/2)))*CROQUIS_DATOS!$C$1562),-1000)</f>
        <v>82.8189655172414</v>
      </c>
      <c r="O529">
        <f>IF(AND(CROQUIS_DATOS!$C$1472=1,1),(CROQUIS_DATOS!$C$1564+(IF(OR(IF(INT(($A529-1)/70)+1&gt;CROQUIS_DATOS!$C$1525,70,MOD($A529-1,70)+1)=1,IF(INT(($A529-1)/70)+1&gt;CROQUIS_DATOS!$C$1525,70,MOD($A529-1,70)+1)&gt;2*CROQUIS_DATOS!$C$1541+1),CROQUIS_DATOS!$C$1476,INDEX($H$8:$H$41,MIN(INT((IF(INT(($A529-1)/70)+1&gt;CROQUIS_DATOS!$C$1525,70,MOD($A529-1,70)+1)-2)/2)+1,CROQUIS_DATOS!$C$1541))))*CROQUIS_DATOS!$C$1561*CROQUIS_DATOS!$C$1562),-1000)</f>
        <v>40.2068965517241</v>
      </c>
    </row>
    <row r="530">
      <c r="A530" t="n">
        <v>523</v>
      </c>
      <c r="N530">
        <f>IF(AND(CROQUIS_DATOS!$C$1472=1,1),(CROQUIS_DATOS!$C$1563+(IF(IF(IF(INT(($A530-1)/70)+1&gt;CROQUIS_DATOS!$C$1525,70,MOD($A530-1,70)+1)=1,0,IF(IF(INT(($A530-1)/70)+1&gt;CROQUIS_DATOS!$C$1525,70,MOD($A530-1,70)+1)&gt;2*CROQUIS_DATOS!$C$1541+1,IF(MOD(CROQUIS_DATOS!$C$1541,2)=1,1,0),IF(MOD(MIN(INT((IF(INT(($A530-1)/70)+1&gt;CROQUIS_DATOS!$C$1525,70,MOD($A530-1,70)+1)-2)/2)+1,CROQUIS_DATOS!$C$1541),2)=1,IF(MOD(IF(INT(($A530-1)/70)+1&gt;CROQUIS_DATOS!$C$1525,70,MOD($A530-1,70)+1)-2,2)=0,0,1),IF(MOD(IF(INT(($A530-1)/70)+1&gt;CROQUIS_DATOS!$C$1525,70,MOD($A530-1,70)+1)-2,2)=0,1,0))))=0,(INDEX($E$8:$E$23,MIN(INT(($A530-1)/70)+1,CROQUIS_DATOS!$C$1525))-INDEX($F$8:$F$23,MIN(INT(($A530-1)/70)+1,CROQUIS_DATOS!$C$1525))/2),(INDEX($E$8:$E$23,MIN(INT(($A530-1)/70)+1,CROQUIS_DATOS!$C$1525))+INDEX($F$8:$F$23,MIN(INT(($A530-1)/70)+1,CROQUIS_DATOS!$C$1525))/2)))*CROQUIS_DATOS!$C$1562),-1000)</f>
        <v>82.8189655172414</v>
      </c>
      <c r="O530">
        <f>IF(AND(CROQUIS_DATOS!$C$1472=1,1),(CROQUIS_DATOS!$C$1564+(IF(OR(IF(INT(($A530-1)/70)+1&gt;CROQUIS_DATOS!$C$1525,70,MOD($A530-1,70)+1)=1,IF(INT(($A530-1)/70)+1&gt;CROQUIS_DATOS!$C$1525,70,MOD($A530-1,70)+1)&gt;2*CROQUIS_DATOS!$C$1541+1),CROQUIS_DATOS!$C$1476,INDEX($H$8:$H$41,MIN(INT((IF(INT(($A530-1)/70)+1&gt;CROQUIS_DATOS!$C$1525,70,MOD($A530-1,70)+1)-2)/2)+1,CROQUIS_DATOS!$C$1541))))*CROQUIS_DATOS!$C$1561*CROQUIS_DATOS!$C$1562),-1000)</f>
        <v>40.2068965517241</v>
      </c>
    </row>
    <row r="531">
      <c r="A531" t="n">
        <v>524</v>
      </c>
      <c r="N531">
        <f>IF(AND(CROQUIS_DATOS!$C$1472=1,1),(CROQUIS_DATOS!$C$1563+(IF(IF(IF(INT(($A531-1)/70)+1&gt;CROQUIS_DATOS!$C$1525,70,MOD($A531-1,70)+1)=1,0,IF(IF(INT(($A531-1)/70)+1&gt;CROQUIS_DATOS!$C$1525,70,MOD($A531-1,70)+1)&gt;2*CROQUIS_DATOS!$C$1541+1,IF(MOD(CROQUIS_DATOS!$C$1541,2)=1,1,0),IF(MOD(MIN(INT((IF(INT(($A531-1)/70)+1&gt;CROQUIS_DATOS!$C$1525,70,MOD($A531-1,70)+1)-2)/2)+1,CROQUIS_DATOS!$C$1541),2)=1,IF(MOD(IF(INT(($A531-1)/70)+1&gt;CROQUIS_DATOS!$C$1525,70,MOD($A531-1,70)+1)-2,2)=0,0,1),IF(MOD(IF(INT(($A531-1)/70)+1&gt;CROQUIS_DATOS!$C$1525,70,MOD($A531-1,70)+1)-2,2)=0,1,0))))=0,(INDEX($E$8:$E$23,MIN(INT(($A531-1)/70)+1,CROQUIS_DATOS!$C$1525))-INDEX($F$8:$F$23,MIN(INT(($A531-1)/70)+1,CROQUIS_DATOS!$C$1525))/2),(INDEX($E$8:$E$23,MIN(INT(($A531-1)/70)+1,CROQUIS_DATOS!$C$1525))+INDEX($F$8:$F$23,MIN(INT(($A531-1)/70)+1,CROQUIS_DATOS!$C$1525))/2)))*CROQUIS_DATOS!$C$1562),-1000)</f>
        <v>82.8189655172414</v>
      </c>
      <c r="O531">
        <f>IF(AND(CROQUIS_DATOS!$C$1472=1,1),(CROQUIS_DATOS!$C$1564+(IF(OR(IF(INT(($A531-1)/70)+1&gt;CROQUIS_DATOS!$C$1525,70,MOD($A531-1,70)+1)=1,IF(INT(($A531-1)/70)+1&gt;CROQUIS_DATOS!$C$1525,70,MOD($A531-1,70)+1)&gt;2*CROQUIS_DATOS!$C$1541+1),CROQUIS_DATOS!$C$1476,INDEX($H$8:$H$41,MIN(INT((IF(INT(($A531-1)/70)+1&gt;CROQUIS_DATOS!$C$1525,70,MOD($A531-1,70)+1)-2)/2)+1,CROQUIS_DATOS!$C$1541))))*CROQUIS_DATOS!$C$1561*CROQUIS_DATOS!$C$1562),-1000)</f>
        <v>40.2068965517241</v>
      </c>
    </row>
    <row r="532">
      <c r="A532" t="n">
        <v>525</v>
      </c>
      <c r="N532">
        <f>IF(AND(CROQUIS_DATOS!$C$1472=1,1),(CROQUIS_DATOS!$C$1563+(IF(IF(IF(INT(($A532-1)/70)+1&gt;CROQUIS_DATOS!$C$1525,70,MOD($A532-1,70)+1)=1,0,IF(IF(INT(($A532-1)/70)+1&gt;CROQUIS_DATOS!$C$1525,70,MOD($A532-1,70)+1)&gt;2*CROQUIS_DATOS!$C$1541+1,IF(MOD(CROQUIS_DATOS!$C$1541,2)=1,1,0),IF(MOD(MIN(INT((IF(INT(($A532-1)/70)+1&gt;CROQUIS_DATOS!$C$1525,70,MOD($A532-1,70)+1)-2)/2)+1,CROQUIS_DATOS!$C$1541),2)=1,IF(MOD(IF(INT(($A532-1)/70)+1&gt;CROQUIS_DATOS!$C$1525,70,MOD($A532-1,70)+1)-2,2)=0,0,1),IF(MOD(IF(INT(($A532-1)/70)+1&gt;CROQUIS_DATOS!$C$1525,70,MOD($A532-1,70)+1)-2,2)=0,1,0))))=0,(INDEX($E$8:$E$23,MIN(INT(($A532-1)/70)+1,CROQUIS_DATOS!$C$1525))-INDEX($F$8:$F$23,MIN(INT(($A532-1)/70)+1,CROQUIS_DATOS!$C$1525))/2),(INDEX($E$8:$E$23,MIN(INT(($A532-1)/70)+1,CROQUIS_DATOS!$C$1525))+INDEX($F$8:$F$23,MIN(INT(($A532-1)/70)+1,CROQUIS_DATOS!$C$1525))/2)))*CROQUIS_DATOS!$C$1562),-1000)</f>
        <v>82.8189655172414</v>
      </c>
      <c r="O532">
        <f>IF(AND(CROQUIS_DATOS!$C$1472=1,1),(CROQUIS_DATOS!$C$1564+(IF(OR(IF(INT(($A532-1)/70)+1&gt;CROQUIS_DATOS!$C$1525,70,MOD($A532-1,70)+1)=1,IF(INT(($A532-1)/70)+1&gt;CROQUIS_DATOS!$C$1525,70,MOD($A532-1,70)+1)&gt;2*CROQUIS_DATOS!$C$1541+1),CROQUIS_DATOS!$C$1476,INDEX($H$8:$H$41,MIN(INT((IF(INT(($A532-1)/70)+1&gt;CROQUIS_DATOS!$C$1525,70,MOD($A532-1,70)+1)-2)/2)+1,CROQUIS_DATOS!$C$1541))))*CROQUIS_DATOS!$C$1561*CROQUIS_DATOS!$C$1562),-1000)</f>
        <v>40.2068965517241</v>
      </c>
    </row>
    <row r="533">
      <c r="A533" t="n">
        <v>526</v>
      </c>
      <c r="N533">
        <f>IF(AND(CROQUIS_DATOS!$C$1472=1,1),(CROQUIS_DATOS!$C$1563+(IF(IF(IF(INT(($A533-1)/70)+1&gt;CROQUIS_DATOS!$C$1525,70,MOD($A533-1,70)+1)=1,0,IF(IF(INT(($A533-1)/70)+1&gt;CROQUIS_DATOS!$C$1525,70,MOD($A533-1,70)+1)&gt;2*CROQUIS_DATOS!$C$1541+1,IF(MOD(CROQUIS_DATOS!$C$1541,2)=1,1,0),IF(MOD(MIN(INT((IF(INT(($A533-1)/70)+1&gt;CROQUIS_DATOS!$C$1525,70,MOD($A533-1,70)+1)-2)/2)+1,CROQUIS_DATOS!$C$1541),2)=1,IF(MOD(IF(INT(($A533-1)/70)+1&gt;CROQUIS_DATOS!$C$1525,70,MOD($A533-1,70)+1)-2,2)=0,0,1),IF(MOD(IF(INT(($A533-1)/70)+1&gt;CROQUIS_DATOS!$C$1525,70,MOD($A533-1,70)+1)-2,2)=0,1,0))))=0,(INDEX($E$8:$E$23,MIN(INT(($A533-1)/70)+1,CROQUIS_DATOS!$C$1525))-INDEX($F$8:$F$23,MIN(INT(($A533-1)/70)+1,CROQUIS_DATOS!$C$1525))/2),(INDEX($E$8:$E$23,MIN(INT(($A533-1)/70)+1,CROQUIS_DATOS!$C$1525))+INDEX($F$8:$F$23,MIN(INT(($A533-1)/70)+1,CROQUIS_DATOS!$C$1525))/2)))*CROQUIS_DATOS!$C$1562),-1000)</f>
        <v>82.8189655172414</v>
      </c>
      <c r="O533">
        <f>IF(AND(CROQUIS_DATOS!$C$1472=1,1),(CROQUIS_DATOS!$C$1564+(IF(OR(IF(INT(($A533-1)/70)+1&gt;CROQUIS_DATOS!$C$1525,70,MOD($A533-1,70)+1)=1,IF(INT(($A533-1)/70)+1&gt;CROQUIS_DATOS!$C$1525,70,MOD($A533-1,70)+1)&gt;2*CROQUIS_DATOS!$C$1541+1),CROQUIS_DATOS!$C$1476,INDEX($H$8:$H$41,MIN(INT((IF(INT(($A533-1)/70)+1&gt;CROQUIS_DATOS!$C$1525,70,MOD($A533-1,70)+1)-2)/2)+1,CROQUIS_DATOS!$C$1541))))*CROQUIS_DATOS!$C$1561*CROQUIS_DATOS!$C$1562),-1000)</f>
        <v>40.2068965517241</v>
      </c>
    </row>
    <row r="534">
      <c r="A534" t="n">
        <v>527</v>
      </c>
      <c r="N534">
        <f>IF(AND(CROQUIS_DATOS!$C$1472=1,1),(CROQUIS_DATOS!$C$1563+(IF(IF(IF(INT(($A534-1)/70)+1&gt;CROQUIS_DATOS!$C$1525,70,MOD($A534-1,70)+1)=1,0,IF(IF(INT(($A534-1)/70)+1&gt;CROQUIS_DATOS!$C$1525,70,MOD($A534-1,70)+1)&gt;2*CROQUIS_DATOS!$C$1541+1,IF(MOD(CROQUIS_DATOS!$C$1541,2)=1,1,0),IF(MOD(MIN(INT((IF(INT(($A534-1)/70)+1&gt;CROQUIS_DATOS!$C$1525,70,MOD($A534-1,70)+1)-2)/2)+1,CROQUIS_DATOS!$C$1541),2)=1,IF(MOD(IF(INT(($A534-1)/70)+1&gt;CROQUIS_DATOS!$C$1525,70,MOD($A534-1,70)+1)-2,2)=0,0,1),IF(MOD(IF(INT(($A534-1)/70)+1&gt;CROQUIS_DATOS!$C$1525,70,MOD($A534-1,70)+1)-2,2)=0,1,0))))=0,(INDEX($E$8:$E$23,MIN(INT(($A534-1)/70)+1,CROQUIS_DATOS!$C$1525))-INDEX($F$8:$F$23,MIN(INT(($A534-1)/70)+1,CROQUIS_DATOS!$C$1525))/2),(INDEX($E$8:$E$23,MIN(INT(($A534-1)/70)+1,CROQUIS_DATOS!$C$1525))+INDEX($F$8:$F$23,MIN(INT(($A534-1)/70)+1,CROQUIS_DATOS!$C$1525))/2)))*CROQUIS_DATOS!$C$1562),-1000)</f>
        <v>82.8189655172414</v>
      </c>
      <c r="O534">
        <f>IF(AND(CROQUIS_DATOS!$C$1472=1,1),(CROQUIS_DATOS!$C$1564+(IF(OR(IF(INT(($A534-1)/70)+1&gt;CROQUIS_DATOS!$C$1525,70,MOD($A534-1,70)+1)=1,IF(INT(($A534-1)/70)+1&gt;CROQUIS_DATOS!$C$1525,70,MOD($A534-1,70)+1)&gt;2*CROQUIS_DATOS!$C$1541+1),CROQUIS_DATOS!$C$1476,INDEX($H$8:$H$41,MIN(INT((IF(INT(($A534-1)/70)+1&gt;CROQUIS_DATOS!$C$1525,70,MOD($A534-1,70)+1)-2)/2)+1,CROQUIS_DATOS!$C$1541))))*CROQUIS_DATOS!$C$1561*CROQUIS_DATOS!$C$1562),-1000)</f>
        <v>40.2068965517241</v>
      </c>
    </row>
    <row r="535">
      <c r="A535" t="n">
        <v>528</v>
      </c>
      <c r="N535">
        <f>IF(AND(CROQUIS_DATOS!$C$1472=1,1),(CROQUIS_DATOS!$C$1563+(IF(IF(IF(INT(($A535-1)/70)+1&gt;CROQUIS_DATOS!$C$1525,70,MOD($A535-1,70)+1)=1,0,IF(IF(INT(($A535-1)/70)+1&gt;CROQUIS_DATOS!$C$1525,70,MOD($A535-1,70)+1)&gt;2*CROQUIS_DATOS!$C$1541+1,IF(MOD(CROQUIS_DATOS!$C$1541,2)=1,1,0),IF(MOD(MIN(INT((IF(INT(($A535-1)/70)+1&gt;CROQUIS_DATOS!$C$1525,70,MOD($A535-1,70)+1)-2)/2)+1,CROQUIS_DATOS!$C$1541),2)=1,IF(MOD(IF(INT(($A535-1)/70)+1&gt;CROQUIS_DATOS!$C$1525,70,MOD($A535-1,70)+1)-2,2)=0,0,1),IF(MOD(IF(INT(($A535-1)/70)+1&gt;CROQUIS_DATOS!$C$1525,70,MOD($A535-1,70)+1)-2,2)=0,1,0))))=0,(INDEX($E$8:$E$23,MIN(INT(($A535-1)/70)+1,CROQUIS_DATOS!$C$1525))-INDEX($F$8:$F$23,MIN(INT(($A535-1)/70)+1,CROQUIS_DATOS!$C$1525))/2),(INDEX($E$8:$E$23,MIN(INT(($A535-1)/70)+1,CROQUIS_DATOS!$C$1525))+INDEX($F$8:$F$23,MIN(INT(($A535-1)/70)+1,CROQUIS_DATOS!$C$1525))/2)))*CROQUIS_DATOS!$C$1562),-1000)</f>
        <v>82.8189655172414</v>
      </c>
      <c r="O535">
        <f>IF(AND(CROQUIS_DATOS!$C$1472=1,1),(CROQUIS_DATOS!$C$1564+(IF(OR(IF(INT(($A535-1)/70)+1&gt;CROQUIS_DATOS!$C$1525,70,MOD($A535-1,70)+1)=1,IF(INT(($A535-1)/70)+1&gt;CROQUIS_DATOS!$C$1525,70,MOD($A535-1,70)+1)&gt;2*CROQUIS_DATOS!$C$1541+1),CROQUIS_DATOS!$C$1476,INDEX($H$8:$H$41,MIN(INT((IF(INT(($A535-1)/70)+1&gt;CROQUIS_DATOS!$C$1525,70,MOD($A535-1,70)+1)-2)/2)+1,CROQUIS_DATOS!$C$1541))))*CROQUIS_DATOS!$C$1561*CROQUIS_DATOS!$C$1562),-1000)</f>
        <v>40.2068965517241</v>
      </c>
    </row>
    <row r="536">
      <c r="A536" t="n">
        <v>529</v>
      </c>
      <c r="N536">
        <f>IF(AND(CROQUIS_DATOS!$C$1472=1,1),(CROQUIS_DATOS!$C$1563+(IF(IF(IF(INT(($A536-1)/70)+1&gt;CROQUIS_DATOS!$C$1525,70,MOD($A536-1,70)+1)=1,0,IF(IF(INT(($A536-1)/70)+1&gt;CROQUIS_DATOS!$C$1525,70,MOD($A536-1,70)+1)&gt;2*CROQUIS_DATOS!$C$1541+1,IF(MOD(CROQUIS_DATOS!$C$1541,2)=1,1,0),IF(MOD(MIN(INT((IF(INT(($A536-1)/70)+1&gt;CROQUIS_DATOS!$C$1525,70,MOD($A536-1,70)+1)-2)/2)+1,CROQUIS_DATOS!$C$1541),2)=1,IF(MOD(IF(INT(($A536-1)/70)+1&gt;CROQUIS_DATOS!$C$1525,70,MOD($A536-1,70)+1)-2,2)=0,0,1),IF(MOD(IF(INT(($A536-1)/70)+1&gt;CROQUIS_DATOS!$C$1525,70,MOD($A536-1,70)+1)-2,2)=0,1,0))))=0,(INDEX($E$8:$E$23,MIN(INT(($A536-1)/70)+1,CROQUIS_DATOS!$C$1525))-INDEX($F$8:$F$23,MIN(INT(($A536-1)/70)+1,CROQUIS_DATOS!$C$1525))/2),(INDEX($E$8:$E$23,MIN(INT(($A536-1)/70)+1,CROQUIS_DATOS!$C$1525))+INDEX($F$8:$F$23,MIN(INT(($A536-1)/70)+1,CROQUIS_DATOS!$C$1525))/2)))*CROQUIS_DATOS!$C$1562),-1000)</f>
        <v>82.8189655172414</v>
      </c>
      <c r="O536">
        <f>IF(AND(CROQUIS_DATOS!$C$1472=1,1),(CROQUIS_DATOS!$C$1564+(IF(OR(IF(INT(($A536-1)/70)+1&gt;CROQUIS_DATOS!$C$1525,70,MOD($A536-1,70)+1)=1,IF(INT(($A536-1)/70)+1&gt;CROQUIS_DATOS!$C$1525,70,MOD($A536-1,70)+1)&gt;2*CROQUIS_DATOS!$C$1541+1),CROQUIS_DATOS!$C$1476,INDEX($H$8:$H$41,MIN(INT((IF(INT(($A536-1)/70)+1&gt;CROQUIS_DATOS!$C$1525,70,MOD($A536-1,70)+1)-2)/2)+1,CROQUIS_DATOS!$C$1541))))*CROQUIS_DATOS!$C$1561*CROQUIS_DATOS!$C$1562),-1000)</f>
        <v>40.2068965517241</v>
      </c>
    </row>
    <row r="537">
      <c r="A537" t="n">
        <v>530</v>
      </c>
      <c r="N537">
        <f>IF(AND(CROQUIS_DATOS!$C$1472=1,1),(CROQUIS_DATOS!$C$1563+(IF(IF(IF(INT(($A537-1)/70)+1&gt;CROQUIS_DATOS!$C$1525,70,MOD($A537-1,70)+1)=1,0,IF(IF(INT(($A537-1)/70)+1&gt;CROQUIS_DATOS!$C$1525,70,MOD($A537-1,70)+1)&gt;2*CROQUIS_DATOS!$C$1541+1,IF(MOD(CROQUIS_DATOS!$C$1541,2)=1,1,0),IF(MOD(MIN(INT((IF(INT(($A537-1)/70)+1&gt;CROQUIS_DATOS!$C$1525,70,MOD($A537-1,70)+1)-2)/2)+1,CROQUIS_DATOS!$C$1541),2)=1,IF(MOD(IF(INT(($A537-1)/70)+1&gt;CROQUIS_DATOS!$C$1525,70,MOD($A537-1,70)+1)-2,2)=0,0,1),IF(MOD(IF(INT(($A537-1)/70)+1&gt;CROQUIS_DATOS!$C$1525,70,MOD($A537-1,70)+1)-2,2)=0,1,0))))=0,(INDEX($E$8:$E$23,MIN(INT(($A537-1)/70)+1,CROQUIS_DATOS!$C$1525))-INDEX($F$8:$F$23,MIN(INT(($A537-1)/70)+1,CROQUIS_DATOS!$C$1525))/2),(INDEX($E$8:$E$23,MIN(INT(($A537-1)/70)+1,CROQUIS_DATOS!$C$1525))+INDEX($F$8:$F$23,MIN(INT(($A537-1)/70)+1,CROQUIS_DATOS!$C$1525))/2)))*CROQUIS_DATOS!$C$1562),-1000)</f>
        <v>82.8189655172414</v>
      </c>
      <c r="O537">
        <f>IF(AND(CROQUIS_DATOS!$C$1472=1,1),(CROQUIS_DATOS!$C$1564+(IF(OR(IF(INT(($A537-1)/70)+1&gt;CROQUIS_DATOS!$C$1525,70,MOD($A537-1,70)+1)=1,IF(INT(($A537-1)/70)+1&gt;CROQUIS_DATOS!$C$1525,70,MOD($A537-1,70)+1)&gt;2*CROQUIS_DATOS!$C$1541+1),CROQUIS_DATOS!$C$1476,INDEX($H$8:$H$41,MIN(INT((IF(INT(($A537-1)/70)+1&gt;CROQUIS_DATOS!$C$1525,70,MOD($A537-1,70)+1)-2)/2)+1,CROQUIS_DATOS!$C$1541))))*CROQUIS_DATOS!$C$1561*CROQUIS_DATOS!$C$1562),-1000)</f>
        <v>40.2068965517241</v>
      </c>
    </row>
    <row r="538">
      <c r="A538" t="n">
        <v>531</v>
      </c>
      <c r="N538">
        <f>IF(AND(CROQUIS_DATOS!$C$1472=1,1),(CROQUIS_DATOS!$C$1563+(IF(IF(IF(INT(($A538-1)/70)+1&gt;CROQUIS_DATOS!$C$1525,70,MOD($A538-1,70)+1)=1,0,IF(IF(INT(($A538-1)/70)+1&gt;CROQUIS_DATOS!$C$1525,70,MOD($A538-1,70)+1)&gt;2*CROQUIS_DATOS!$C$1541+1,IF(MOD(CROQUIS_DATOS!$C$1541,2)=1,1,0),IF(MOD(MIN(INT((IF(INT(($A538-1)/70)+1&gt;CROQUIS_DATOS!$C$1525,70,MOD($A538-1,70)+1)-2)/2)+1,CROQUIS_DATOS!$C$1541),2)=1,IF(MOD(IF(INT(($A538-1)/70)+1&gt;CROQUIS_DATOS!$C$1525,70,MOD($A538-1,70)+1)-2,2)=0,0,1),IF(MOD(IF(INT(($A538-1)/70)+1&gt;CROQUIS_DATOS!$C$1525,70,MOD($A538-1,70)+1)-2,2)=0,1,0))))=0,(INDEX($E$8:$E$23,MIN(INT(($A538-1)/70)+1,CROQUIS_DATOS!$C$1525))-INDEX($F$8:$F$23,MIN(INT(($A538-1)/70)+1,CROQUIS_DATOS!$C$1525))/2),(INDEX($E$8:$E$23,MIN(INT(($A538-1)/70)+1,CROQUIS_DATOS!$C$1525))+INDEX($F$8:$F$23,MIN(INT(($A538-1)/70)+1,CROQUIS_DATOS!$C$1525))/2)))*CROQUIS_DATOS!$C$1562),-1000)</f>
        <v>82.8189655172414</v>
      </c>
      <c r="O538">
        <f>IF(AND(CROQUIS_DATOS!$C$1472=1,1),(CROQUIS_DATOS!$C$1564+(IF(OR(IF(INT(($A538-1)/70)+1&gt;CROQUIS_DATOS!$C$1525,70,MOD($A538-1,70)+1)=1,IF(INT(($A538-1)/70)+1&gt;CROQUIS_DATOS!$C$1525,70,MOD($A538-1,70)+1)&gt;2*CROQUIS_DATOS!$C$1541+1),CROQUIS_DATOS!$C$1476,INDEX($H$8:$H$41,MIN(INT((IF(INT(($A538-1)/70)+1&gt;CROQUIS_DATOS!$C$1525,70,MOD($A538-1,70)+1)-2)/2)+1,CROQUIS_DATOS!$C$1541))))*CROQUIS_DATOS!$C$1561*CROQUIS_DATOS!$C$1562),-1000)</f>
        <v>40.2068965517241</v>
      </c>
    </row>
    <row r="539">
      <c r="A539" t="n">
        <v>532</v>
      </c>
      <c r="N539">
        <f>IF(AND(CROQUIS_DATOS!$C$1472=1,1),(CROQUIS_DATOS!$C$1563+(IF(IF(IF(INT(($A539-1)/70)+1&gt;CROQUIS_DATOS!$C$1525,70,MOD($A539-1,70)+1)=1,0,IF(IF(INT(($A539-1)/70)+1&gt;CROQUIS_DATOS!$C$1525,70,MOD($A539-1,70)+1)&gt;2*CROQUIS_DATOS!$C$1541+1,IF(MOD(CROQUIS_DATOS!$C$1541,2)=1,1,0),IF(MOD(MIN(INT((IF(INT(($A539-1)/70)+1&gt;CROQUIS_DATOS!$C$1525,70,MOD($A539-1,70)+1)-2)/2)+1,CROQUIS_DATOS!$C$1541),2)=1,IF(MOD(IF(INT(($A539-1)/70)+1&gt;CROQUIS_DATOS!$C$1525,70,MOD($A539-1,70)+1)-2,2)=0,0,1),IF(MOD(IF(INT(($A539-1)/70)+1&gt;CROQUIS_DATOS!$C$1525,70,MOD($A539-1,70)+1)-2,2)=0,1,0))))=0,(INDEX($E$8:$E$23,MIN(INT(($A539-1)/70)+1,CROQUIS_DATOS!$C$1525))-INDEX($F$8:$F$23,MIN(INT(($A539-1)/70)+1,CROQUIS_DATOS!$C$1525))/2),(INDEX($E$8:$E$23,MIN(INT(($A539-1)/70)+1,CROQUIS_DATOS!$C$1525))+INDEX($F$8:$F$23,MIN(INT(($A539-1)/70)+1,CROQUIS_DATOS!$C$1525))/2)))*CROQUIS_DATOS!$C$1562),-1000)</f>
        <v>82.8189655172414</v>
      </c>
      <c r="O539">
        <f>IF(AND(CROQUIS_DATOS!$C$1472=1,1),(CROQUIS_DATOS!$C$1564+(IF(OR(IF(INT(($A539-1)/70)+1&gt;CROQUIS_DATOS!$C$1525,70,MOD($A539-1,70)+1)=1,IF(INT(($A539-1)/70)+1&gt;CROQUIS_DATOS!$C$1525,70,MOD($A539-1,70)+1)&gt;2*CROQUIS_DATOS!$C$1541+1),CROQUIS_DATOS!$C$1476,INDEX($H$8:$H$41,MIN(INT((IF(INT(($A539-1)/70)+1&gt;CROQUIS_DATOS!$C$1525,70,MOD($A539-1,70)+1)-2)/2)+1,CROQUIS_DATOS!$C$1541))))*CROQUIS_DATOS!$C$1561*CROQUIS_DATOS!$C$1562),-1000)</f>
        <v>40.2068965517241</v>
      </c>
    </row>
    <row r="540">
      <c r="A540" t="n">
        <v>533</v>
      </c>
      <c r="N540">
        <f>IF(AND(CROQUIS_DATOS!$C$1472=1,1),(CROQUIS_DATOS!$C$1563+(IF(IF(IF(INT(($A540-1)/70)+1&gt;CROQUIS_DATOS!$C$1525,70,MOD($A540-1,70)+1)=1,0,IF(IF(INT(($A540-1)/70)+1&gt;CROQUIS_DATOS!$C$1525,70,MOD($A540-1,70)+1)&gt;2*CROQUIS_DATOS!$C$1541+1,IF(MOD(CROQUIS_DATOS!$C$1541,2)=1,1,0),IF(MOD(MIN(INT((IF(INT(($A540-1)/70)+1&gt;CROQUIS_DATOS!$C$1525,70,MOD($A540-1,70)+1)-2)/2)+1,CROQUIS_DATOS!$C$1541),2)=1,IF(MOD(IF(INT(($A540-1)/70)+1&gt;CROQUIS_DATOS!$C$1525,70,MOD($A540-1,70)+1)-2,2)=0,0,1),IF(MOD(IF(INT(($A540-1)/70)+1&gt;CROQUIS_DATOS!$C$1525,70,MOD($A540-1,70)+1)-2,2)=0,1,0))))=0,(INDEX($E$8:$E$23,MIN(INT(($A540-1)/70)+1,CROQUIS_DATOS!$C$1525))-INDEX($F$8:$F$23,MIN(INT(($A540-1)/70)+1,CROQUIS_DATOS!$C$1525))/2),(INDEX($E$8:$E$23,MIN(INT(($A540-1)/70)+1,CROQUIS_DATOS!$C$1525))+INDEX($F$8:$F$23,MIN(INT(($A540-1)/70)+1,CROQUIS_DATOS!$C$1525))/2)))*CROQUIS_DATOS!$C$1562),-1000)</f>
        <v>82.8189655172414</v>
      </c>
      <c r="O540">
        <f>IF(AND(CROQUIS_DATOS!$C$1472=1,1),(CROQUIS_DATOS!$C$1564+(IF(OR(IF(INT(($A540-1)/70)+1&gt;CROQUIS_DATOS!$C$1525,70,MOD($A540-1,70)+1)=1,IF(INT(($A540-1)/70)+1&gt;CROQUIS_DATOS!$C$1525,70,MOD($A540-1,70)+1)&gt;2*CROQUIS_DATOS!$C$1541+1),CROQUIS_DATOS!$C$1476,INDEX($H$8:$H$41,MIN(INT((IF(INT(($A540-1)/70)+1&gt;CROQUIS_DATOS!$C$1525,70,MOD($A540-1,70)+1)-2)/2)+1,CROQUIS_DATOS!$C$1541))))*CROQUIS_DATOS!$C$1561*CROQUIS_DATOS!$C$1562),-1000)</f>
        <v>40.2068965517241</v>
      </c>
    </row>
    <row r="541">
      <c r="A541" t="n">
        <v>534</v>
      </c>
      <c r="N541">
        <f>IF(AND(CROQUIS_DATOS!$C$1472=1,1),(CROQUIS_DATOS!$C$1563+(IF(IF(IF(INT(($A541-1)/70)+1&gt;CROQUIS_DATOS!$C$1525,70,MOD($A541-1,70)+1)=1,0,IF(IF(INT(($A541-1)/70)+1&gt;CROQUIS_DATOS!$C$1525,70,MOD($A541-1,70)+1)&gt;2*CROQUIS_DATOS!$C$1541+1,IF(MOD(CROQUIS_DATOS!$C$1541,2)=1,1,0),IF(MOD(MIN(INT((IF(INT(($A541-1)/70)+1&gt;CROQUIS_DATOS!$C$1525,70,MOD($A541-1,70)+1)-2)/2)+1,CROQUIS_DATOS!$C$1541),2)=1,IF(MOD(IF(INT(($A541-1)/70)+1&gt;CROQUIS_DATOS!$C$1525,70,MOD($A541-1,70)+1)-2,2)=0,0,1),IF(MOD(IF(INT(($A541-1)/70)+1&gt;CROQUIS_DATOS!$C$1525,70,MOD($A541-1,70)+1)-2,2)=0,1,0))))=0,(INDEX($E$8:$E$23,MIN(INT(($A541-1)/70)+1,CROQUIS_DATOS!$C$1525))-INDEX($F$8:$F$23,MIN(INT(($A541-1)/70)+1,CROQUIS_DATOS!$C$1525))/2),(INDEX($E$8:$E$23,MIN(INT(($A541-1)/70)+1,CROQUIS_DATOS!$C$1525))+INDEX($F$8:$F$23,MIN(INT(($A541-1)/70)+1,CROQUIS_DATOS!$C$1525))/2)))*CROQUIS_DATOS!$C$1562),-1000)</f>
        <v>82.8189655172414</v>
      </c>
      <c r="O541">
        <f>IF(AND(CROQUIS_DATOS!$C$1472=1,1),(CROQUIS_DATOS!$C$1564+(IF(OR(IF(INT(($A541-1)/70)+1&gt;CROQUIS_DATOS!$C$1525,70,MOD($A541-1,70)+1)=1,IF(INT(($A541-1)/70)+1&gt;CROQUIS_DATOS!$C$1525,70,MOD($A541-1,70)+1)&gt;2*CROQUIS_DATOS!$C$1541+1),CROQUIS_DATOS!$C$1476,INDEX($H$8:$H$41,MIN(INT((IF(INT(($A541-1)/70)+1&gt;CROQUIS_DATOS!$C$1525,70,MOD($A541-1,70)+1)-2)/2)+1,CROQUIS_DATOS!$C$1541))))*CROQUIS_DATOS!$C$1561*CROQUIS_DATOS!$C$1562),-1000)</f>
        <v>40.2068965517241</v>
      </c>
    </row>
    <row r="542">
      <c r="A542" t="n">
        <v>535</v>
      </c>
      <c r="N542">
        <f>IF(AND(CROQUIS_DATOS!$C$1472=1,1),(CROQUIS_DATOS!$C$1563+(IF(IF(IF(INT(($A542-1)/70)+1&gt;CROQUIS_DATOS!$C$1525,70,MOD($A542-1,70)+1)=1,0,IF(IF(INT(($A542-1)/70)+1&gt;CROQUIS_DATOS!$C$1525,70,MOD($A542-1,70)+1)&gt;2*CROQUIS_DATOS!$C$1541+1,IF(MOD(CROQUIS_DATOS!$C$1541,2)=1,1,0),IF(MOD(MIN(INT((IF(INT(($A542-1)/70)+1&gt;CROQUIS_DATOS!$C$1525,70,MOD($A542-1,70)+1)-2)/2)+1,CROQUIS_DATOS!$C$1541),2)=1,IF(MOD(IF(INT(($A542-1)/70)+1&gt;CROQUIS_DATOS!$C$1525,70,MOD($A542-1,70)+1)-2,2)=0,0,1),IF(MOD(IF(INT(($A542-1)/70)+1&gt;CROQUIS_DATOS!$C$1525,70,MOD($A542-1,70)+1)-2,2)=0,1,0))))=0,(INDEX($E$8:$E$23,MIN(INT(($A542-1)/70)+1,CROQUIS_DATOS!$C$1525))-INDEX($F$8:$F$23,MIN(INT(($A542-1)/70)+1,CROQUIS_DATOS!$C$1525))/2),(INDEX($E$8:$E$23,MIN(INT(($A542-1)/70)+1,CROQUIS_DATOS!$C$1525))+INDEX($F$8:$F$23,MIN(INT(($A542-1)/70)+1,CROQUIS_DATOS!$C$1525))/2)))*CROQUIS_DATOS!$C$1562),-1000)</f>
        <v>82.8189655172414</v>
      </c>
      <c r="O542">
        <f>IF(AND(CROQUIS_DATOS!$C$1472=1,1),(CROQUIS_DATOS!$C$1564+(IF(OR(IF(INT(($A542-1)/70)+1&gt;CROQUIS_DATOS!$C$1525,70,MOD($A542-1,70)+1)=1,IF(INT(($A542-1)/70)+1&gt;CROQUIS_DATOS!$C$1525,70,MOD($A542-1,70)+1)&gt;2*CROQUIS_DATOS!$C$1541+1),CROQUIS_DATOS!$C$1476,INDEX($H$8:$H$41,MIN(INT((IF(INT(($A542-1)/70)+1&gt;CROQUIS_DATOS!$C$1525,70,MOD($A542-1,70)+1)-2)/2)+1,CROQUIS_DATOS!$C$1541))))*CROQUIS_DATOS!$C$1561*CROQUIS_DATOS!$C$1562),-1000)</f>
        <v>40.2068965517241</v>
      </c>
    </row>
    <row r="543">
      <c r="A543" t="n">
        <v>536</v>
      </c>
      <c r="N543">
        <f>IF(AND(CROQUIS_DATOS!$C$1472=1,1),(CROQUIS_DATOS!$C$1563+(IF(IF(IF(INT(($A543-1)/70)+1&gt;CROQUIS_DATOS!$C$1525,70,MOD($A543-1,70)+1)=1,0,IF(IF(INT(($A543-1)/70)+1&gt;CROQUIS_DATOS!$C$1525,70,MOD($A543-1,70)+1)&gt;2*CROQUIS_DATOS!$C$1541+1,IF(MOD(CROQUIS_DATOS!$C$1541,2)=1,1,0),IF(MOD(MIN(INT((IF(INT(($A543-1)/70)+1&gt;CROQUIS_DATOS!$C$1525,70,MOD($A543-1,70)+1)-2)/2)+1,CROQUIS_DATOS!$C$1541),2)=1,IF(MOD(IF(INT(($A543-1)/70)+1&gt;CROQUIS_DATOS!$C$1525,70,MOD($A543-1,70)+1)-2,2)=0,0,1),IF(MOD(IF(INT(($A543-1)/70)+1&gt;CROQUIS_DATOS!$C$1525,70,MOD($A543-1,70)+1)-2,2)=0,1,0))))=0,(INDEX($E$8:$E$23,MIN(INT(($A543-1)/70)+1,CROQUIS_DATOS!$C$1525))-INDEX($F$8:$F$23,MIN(INT(($A543-1)/70)+1,CROQUIS_DATOS!$C$1525))/2),(INDEX($E$8:$E$23,MIN(INT(($A543-1)/70)+1,CROQUIS_DATOS!$C$1525))+INDEX($F$8:$F$23,MIN(INT(($A543-1)/70)+1,CROQUIS_DATOS!$C$1525))/2)))*CROQUIS_DATOS!$C$1562),-1000)</f>
        <v>82.8189655172414</v>
      </c>
      <c r="O543">
        <f>IF(AND(CROQUIS_DATOS!$C$1472=1,1),(CROQUIS_DATOS!$C$1564+(IF(OR(IF(INT(($A543-1)/70)+1&gt;CROQUIS_DATOS!$C$1525,70,MOD($A543-1,70)+1)=1,IF(INT(($A543-1)/70)+1&gt;CROQUIS_DATOS!$C$1525,70,MOD($A543-1,70)+1)&gt;2*CROQUIS_DATOS!$C$1541+1),CROQUIS_DATOS!$C$1476,INDEX($H$8:$H$41,MIN(INT((IF(INT(($A543-1)/70)+1&gt;CROQUIS_DATOS!$C$1525,70,MOD($A543-1,70)+1)-2)/2)+1,CROQUIS_DATOS!$C$1541))))*CROQUIS_DATOS!$C$1561*CROQUIS_DATOS!$C$1562),-1000)</f>
        <v>40.2068965517241</v>
      </c>
    </row>
    <row r="544">
      <c r="A544" t="n">
        <v>537</v>
      </c>
      <c r="N544">
        <f>IF(AND(CROQUIS_DATOS!$C$1472=1,1),(CROQUIS_DATOS!$C$1563+(IF(IF(IF(INT(($A544-1)/70)+1&gt;CROQUIS_DATOS!$C$1525,70,MOD($A544-1,70)+1)=1,0,IF(IF(INT(($A544-1)/70)+1&gt;CROQUIS_DATOS!$C$1525,70,MOD($A544-1,70)+1)&gt;2*CROQUIS_DATOS!$C$1541+1,IF(MOD(CROQUIS_DATOS!$C$1541,2)=1,1,0),IF(MOD(MIN(INT((IF(INT(($A544-1)/70)+1&gt;CROQUIS_DATOS!$C$1525,70,MOD($A544-1,70)+1)-2)/2)+1,CROQUIS_DATOS!$C$1541),2)=1,IF(MOD(IF(INT(($A544-1)/70)+1&gt;CROQUIS_DATOS!$C$1525,70,MOD($A544-1,70)+1)-2,2)=0,0,1),IF(MOD(IF(INT(($A544-1)/70)+1&gt;CROQUIS_DATOS!$C$1525,70,MOD($A544-1,70)+1)-2,2)=0,1,0))))=0,(INDEX($E$8:$E$23,MIN(INT(($A544-1)/70)+1,CROQUIS_DATOS!$C$1525))-INDEX($F$8:$F$23,MIN(INT(($A544-1)/70)+1,CROQUIS_DATOS!$C$1525))/2),(INDEX($E$8:$E$23,MIN(INT(($A544-1)/70)+1,CROQUIS_DATOS!$C$1525))+INDEX($F$8:$F$23,MIN(INT(($A544-1)/70)+1,CROQUIS_DATOS!$C$1525))/2)))*CROQUIS_DATOS!$C$1562),-1000)</f>
        <v>82.8189655172414</v>
      </c>
      <c r="O544">
        <f>IF(AND(CROQUIS_DATOS!$C$1472=1,1),(CROQUIS_DATOS!$C$1564+(IF(OR(IF(INT(($A544-1)/70)+1&gt;CROQUIS_DATOS!$C$1525,70,MOD($A544-1,70)+1)=1,IF(INT(($A544-1)/70)+1&gt;CROQUIS_DATOS!$C$1525,70,MOD($A544-1,70)+1)&gt;2*CROQUIS_DATOS!$C$1541+1),CROQUIS_DATOS!$C$1476,INDEX($H$8:$H$41,MIN(INT((IF(INT(($A544-1)/70)+1&gt;CROQUIS_DATOS!$C$1525,70,MOD($A544-1,70)+1)-2)/2)+1,CROQUIS_DATOS!$C$1541))))*CROQUIS_DATOS!$C$1561*CROQUIS_DATOS!$C$1562),-1000)</f>
        <v>40.2068965517241</v>
      </c>
    </row>
    <row r="545">
      <c r="A545" t="n">
        <v>538</v>
      </c>
      <c r="N545">
        <f>IF(AND(CROQUIS_DATOS!$C$1472=1,1),(CROQUIS_DATOS!$C$1563+(IF(IF(IF(INT(($A545-1)/70)+1&gt;CROQUIS_DATOS!$C$1525,70,MOD($A545-1,70)+1)=1,0,IF(IF(INT(($A545-1)/70)+1&gt;CROQUIS_DATOS!$C$1525,70,MOD($A545-1,70)+1)&gt;2*CROQUIS_DATOS!$C$1541+1,IF(MOD(CROQUIS_DATOS!$C$1541,2)=1,1,0),IF(MOD(MIN(INT((IF(INT(($A545-1)/70)+1&gt;CROQUIS_DATOS!$C$1525,70,MOD($A545-1,70)+1)-2)/2)+1,CROQUIS_DATOS!$C$1541),2)=1,IF(MOD(IF(INT(($A545-1)/70)+1&gt;CROQUIS_DATOS!$C$1525,70,MOD($A545-1,70)+1)-2,2)=0,0,1),IF(MOD(IF(INT(($A545-1)/70)+1&gt;CROQUIS_DATOS!$C$1525,70,MOD($A545-1,70)+1)-2,2)=0,1,0))))=0,(INDEX($E$8:$E$23,MIN(INT(($A545-1)/70)+1,CROQUIS_DATOS!$C$1525))-INDEX($F$8:$F$23,MIN(INT(($A545-1)/70)+1,CROQUIS_DATOS!$C$1525))/2),(INDEX($E$8:$E$23,MIN(INT(($A545-1)/70)+1,CROQUIS_DATOS!$C$1525))+INDEX($F$8:$F$23,MIN(INT(($A545-1)/70)+1,CROQUIS_DATOS!$C$1525))/2)))*CROQUIS_DATOS!$C$1562),-1000)</f>
        <v>82.8189655172414</v>
      </c>
      <c r="O545">
        <f>IF(AND(CROQUIS_DATOS!$C$1472=1,1),(CROQUIS_DATOS!$C$1564+(IF(OR(IF(INT(($A545-1)/70)+1&gt;CROQUIS_DATOS!$C$1525,70,MOD($A545-1,70)+1)=1,IF(INT(($A545-1)/70)+1&gt;CROQUIS_DATOS!$C$1525,70,MOD($A545-1,70)+1)&gt;2*CROQUIS_DATOS!$C$1541+1),CROQUIS_DATOS!$C$1476,INDEX($H$8:$H$41,MIN(INT((IF(INT(($A545-1)/70)+1&gt;CROQUIS_DATOS!$C$1525,70,MOD($A545-1,70)+1)-2)/2)+1,CROQUIS_DATOS!$C$1541))))*CROQUIS_DATOS!$C$1561*CROQUIS_DATOS!$C$1562),-1000)</f>
        <v>40.2068965517241</v>
      </c>
    </row>
    <row r="546">
      <c r="A546" t="n">
        <v>539</v>
      </c>
      <c r="N546">
        <f>IF(AND(CROQUIS_DATOS!$C$1472=1,1),(CROQUIS_DATOS!$C$1563+(IF(IF(IF(INT(($A546-1)/70)+1&gt;CROQUIS_DATOS!$C$1525,70,MOD($A546-1,70)+1)=1,0,IF(IF(INT(($A546-1)/70)+1&gt;CROQUIS_DATOS!$C$1525,70,MOD($A546-1,70)+1)&gt;2*CROQUIS_DATOS!$C$1541+1,IF(MOD(CROQUIS_DATOS!$C$1541,2)=1,1,0),IF(MOD(MIN(INT((IF(INT(($A546-1)/70)+1&gt;CROQUIS_DATOS!$C$1525,70,MOD($A546-1,70)+1)-2)/2)+1,CROQUIS_DATOS!$C$1541),2)=1,IF(MOD(IF(INT(($A546-1)/70)+1&gt;CROQUIS_DATOS!$C$1525,70,MOD($A546-1,70)+1)-2,2)=0,0,1),IF(MOD(IF(INT(($A546-1)/70)+1&gt;CROQUIS_DATOS!$C$1525,70,MOD($A546-1,70)+1)-2,2)=0,1,0))))=0,(INDEX($E$8:$E$23,MIN(INT(($A546-1)/70)+1,CROQUIS_DATOS!$C$1525))-INDEX($F$8:$F$23,MIN(INT(($A546-1)/70)+1,CROQUIS_DATOS!$C$1525))/2),(INDEX($E$8:$E$23,MIN(INT(($A546-1)/70)+1,CROQUIS_DATOS!$C$1525))+INDEX($F$8:$F$23,MIN(INT(($A546-1)/70)+1,CROQUIS_DATOS!$C$1525))/2)))*CROQUIS_DATOS!$C$1562),-1000)</f>
        <v>82.8189655172414</v>
      </c>
      <c r="O546">
        <f>IF(AND(CROQUIS_DATOS!$C$1472=1,1),(CROQUIS_DATOS!$C$1564+(IF(OR(IF(INT(($A546-1)/70)+1&gt;CROQUIS_DATOS!$C$1525,70,MOD($A546-1,70)+1)=1,IF(INT(($A546-1)/70)+1&gt;CROQUIS_DATOS!$C$1525,70,MOD($A546-1,70)+1)&gt;2*CROQUIS_DATOS!$C$1541+1),CROQUIS_DATOS!$C$1476,INDEX($H$8:$H$41,MIN(INT((IF(INT(($A546-1)/70)+1&gt;CROQUIS_DATOS!$C$1525,70,MOD($A546-1,70)+1)-2)/2)+1,CROQUIS_DATOS!$C$1541))))*CROQUIS_DATOS!$C$1561*CROQUIS_DATOS!$C$1562),-1000)</f>
        <v>40.2068965517241</v>
      </c>
    </row>
    <row r="547">
      <c r="A547" t="n">
        <v>540</v>
      </c>
      <c r="N547">
        <f>IF(AND(CROQUIS_DATOS!$C$1472=1,1),(CROQUIS_DATOS!$C$1563+(IF(IF(IF(INT(($A547-1)/70)+1&gt;CROQUIS_DATOS!$C$1525,70,MOD($A547-1,70)+1)=1,0,IF(IF(INT(($A547-1)/70)+1&gt;CROQUIS_DATOS!$C$1525,70,MOD($A547-1,70)+1)&gt;2*CROQUIS_DATOS!$C$1541+1,IF(MOD(CROQUIS_DATOS!$C$1541,2)=1,1,0),IF(MOD(MIN(INT((IF(INT(($A547-1)/70)+1&gt;CROQUIS_DATOS!$C$1525,70,MOD($A547-1,70)+1)-2)/2)+1,CROQUIS_DATOS!$C$1541),2)=1,IF(MOD(IF(INT(($A547-1)/70)+1&gt;CROQUIS_DATOS!$C$1525,70,MOD($A547-1,70)+1)-2,2)=0,0,1),IF(MOD(IF(INT(($A547-1)/70)+1&gt;CROQUIS_DATOS!$C$1525,70,MOD($A547-1,70)+1)-2,2)=0,1,0))))=0,(INDEX($E$8:$E$23,MIN(INT(($A547-1)/70)+1,CROQUIS_DATOS!$C$1525))-INDEX($F$8:$F$23,MIN(INT(($A547-1)/70)+1,CROQUIS_DATOS!$C$1525))/2),(INDEX($E$8:$E$23,MIN(INT(($A547-1)/70)+1,CROQUIS_DATOS!$C$1525))+INDEX($F$8:$F$23,MIN(INT(($A547-1)/70)+1,CROQUIS_DATOS!$C$1525))/2)))*CROQUIS_DATOS!$C$1562),-1000)</f>
        <v>82.8189655172414</v>
      </c>
      <c r="O547">
        <f>IF(AND(CROQUIS_DATOS!$C$1472=1,1),(CROQUIS_DATOS!$C$1564+(IF(OR(IF(INT(($A547-1)/70)+1&gt;CROQUIS_DATOS!$C$1525,70,MOD($A547-1,70)+1)=1,IF(INT(($A547-1)/70)+1&gt;CROQUIS_DATOS!$C$1525,70,MOD($A547-1,70)+1)&gt;2*CROQUIS_DATOS!$C$1541+1),CROQUIS_DATOS!$C$1476,INDEX($H$8:$H$41,MIN(INT((IF(INT(($A547-1)/70)+1&gt;CROQUIS_DATOS!$C$1525,70,MOD($A547-1,70)+1)-2)/2)+1,CROQUIS_DATOS!$C$1541))))*CROQUIS_DATOS!$C$1561*CROQUIS_DATOS!$C$1562),-1000)</f>
        <v>40.2068965517241</v>
      </c>
    </row>
    <row r="548">
      <c r="A548" t="n">
        <v>541</v>
      </c>
      <c r="N548">
        <f>IF(AND(CROQUIS_DATOS!$C$1472=1,1),(CROQUIS_DATOS!$C$1563+(IF(IF(IF(INT(($A548-1)/70)+1&gt;CROQUIS_DATOS!$C$1525,70,MOD($A548-1,70)+1)=1,0,IF(IF(INT(($A548-1)/70)+1&gt;CROQUIS_DATOS!$C$1525,70,MOD($A548-1,70)+1)&gt;2*CROQUIS_DATOS!$C$1541+1,IF(MOD(CROQUIS_DATOS!$C$1541,2)=1,1,0),IF(MOD(MIN(INT((IF(INT(($A548-1)/70)+1&gt;CROQUIS_DATOS!$C$1525,70,MOD($A548-1,70)+1)-2)/2)+1,CROQUIS_DATOS!$C$1541),2)=1,IF(MOD(IF(INT(($A548-1)/70)+1&gt;CROQUIS_DATOS!$C$1525,70,MOD($A548-1,70)+1)-2,2)=0,0,1),IF(MOD(IF(INT(($A548-1)/70)+1&gt;CROQUIS_DATOS!$C$1525,70,MOD($A548-1,70)+1)-2,2)=0,1,0))))=0,(INDEX($E$8:$E$23,MIN(INT(($A548-1)/70)+1,CROQUIS_DATOS!$C$1525))-INDEX($F$8:$F$23,MIN(INT(($A548-1)/70)+1,CROQUIS_DATOS!$C$1525))/2),(INDEX($E$8:$E$23,MIN(INT(($A548-1)/70)+1,CROQUIS_DATOS!$C$1525))+INDEX($F$8:$F$23,MIN(INT(($A548-1)/70)+1,CROQUIS_DATOS!$C$1525))/2)))*CROQUIS_DATOS!$C$1562),-1000)</f>
        <v>82.8189655172414</v>
      </c>
      <c r="O548">
        <f>IF(AND(CROQUIS_DATOS!$C$1472=1,1),(CROQUIS_DATOS!$C$1564+(IF(OR(IF(INT(($A548-1)/70)+1&gt;CROQUIS_DATOS!$C$1525,70,MOD($A548-1,70)+1)=1,IF(INT(($A548-1)/70)+1&gt;CROQUIS_DATOS!$C$1525,70,MOD($A548-1,70)+1)&gt;2*CROQUIS_DATOS!$C$1541+1),CROQUIS_DATOS!$C$1476,INDEX($H$8:$H$41,MIN(INT((IF(INT(($A548-1)/70)+1&gt;CROQUIS_DATOS!$C$1525,70,MOD($A548-1,70)+1)-2)/2)+1,CROQUIS_DATOS!$C$1541))))*CROQUIS_DATOS!$C$1561*CROQUIS_DATOS!$C$1562),-1000)</f>
        <v>40.2068965517241</v>
      </c>
    </row>
    <row r="549">
      <c r="A549" t="n">
        <v>542</v>
      </c>
      <c r="N549">
        <f>IF(AND(CROQUIS_DATOS!$C$1472=1,1),(CROQUIS_DATOS!$C$1563+(IF(IF(IF(INT(($A549-1)/70)+1&gt;CROQUIS_DATOS!$C$1525,70,MOD($A549-1,70)+1)=1,0,IF(IF(INT(($A549-1)/70)+1&gt;CROQUIS_DATOS!$C$1525,70,MOD($A549-1,70)+1)&gt;2*CROQUIS_DATOS!$C$1541+1,IF(MOD(CROQUIS_DATOS!$C$1541,2)=1,1,0),IF(MOD(MIN(INT((IF(INT(($A549-1)/70)+1&gt;CROQUIS_DATOS!$C$1525,70,MOD($A549-1,70)+1)-2)/2)+1,CROQUIS_DATOS!$C$1541),2)=1,IF(MOD(IF(INT(($A549-1)/70)+1&gt;CROQUIS_DATOS!$C$1525,70,MOD($A549-1,70)+1)-2,2)=0,0,1),IF(MOD(IF(INT(($A549-1)/70)+1&gt;CROQUIS_DATOS!$C$1525,70,MOD($A549-1,70)+1)-2,2)=0,1,0))))=0,(INDEX($E$8:$E$23,MIN(INT(($A549-1)/70)+1,CROQUIS_DATOS!$C$1525))-INDEX($F$8:$F$23,MIN(INT(($A549-1)/70)+1,CROQUIS_DATOS!$C$1525))/2),(INDEX($E$8:$E$23,MIN(INT(($A549-1)/70)+1,CROQUIS_DATOS!$C$1525))+INDEX($F$8:$F$23,MIN(INT(($A549-1)/70)+1,CROQUIS_DATOS!$C$1525))/2)))*CROQUIS_DATOS!$C$1562),-1000)</f>
        <v>82.8189655172414</v>
      </c>
      <c r="O549">
        <f>IF(AND(CROQUIS_DATOS!$C$1472=1,1),(CROQUIS_DATOS!$C$1564+(IF(OR(IF(INT(($A549-1)/70)+1&gt;CROQUIS_DATOS!$C$1525,70,MOD($A549-1,70)+1)=1,IF(INT(($A549-1)/70)+1&gt;CROQUIS_DATOS!$C$1525,70,MOD($A549-1,70)+1)&gt;2*CROQUIS_DATOS!$C$1541+1),CROQUIS_DATOS!$C$1476,INDEX($H$8:$H$41,MIN(INT((IF(INT(($A549-1)/70)+1&gt;CROQUIS_DATOS!$C$1525,70,MOD($A549-1,70)+1)-2)/2)+1,CROQUIS_DATOS!$C$1541))))*CROQUIS_DATOS!$C$1561*CROQUIS_DATOS!$C$1562),-1000)</f>
        <v>40.2068965517241</v>
      </c>
    </row>
    <row r="550">
      <c r="A550" t="n">
        <v>543</v>
      </c>
      <c r="N550">
        <f>IF(AND(CROQUIS_DATOS!$C$1472=1,1),(CROQUIS_DATOS!$C$1563+(IF(IF(IF(INT(($A550-1)/70)+1&gt;CROQUIS_DATOS!$C$1525,70,MOD($A550-1,70)+1)=1,0,IF(IF(INT(($A550-1)/70)+1&gt;CROQUIS_DATOS!$C$1525,70,MOD($A550-1,70)+1)&gt;2*CROQUIS_DATOS!$C$1541+1,IF(MOD(CROQUIS_DATOS!$C$1541,2)=1,1,0),IF(MOD(MIN(INT((IF(INT(($A550-1)/70)+1&gt;CROQUIS_DATOS!$C$1525,70,MOD($A550-1,70)+1)-2)/2)+1,CROQUIS_DATOS!$C$1541),2)=1,IF(MOD(IF(INT(($A550-1)/70)+1&gt;CROQUIS_DATOS!$C$1525,70,MOD($A550-1,70)+1)-2,2)=0,0,1),IF(MOD(IF(INT(($A550-1)/70)+1&gt;CROQUIS_DATOS!$C$1525,70,MOD($A550-1,70)+1)-2,2)=0,1,0))))=0,(INDEX($E$8:$E$23,MIN(INT(($A550-1)/70)+1,CROQUIS_DATOS!$C$1525))-INDEX($F$8:$F$23,MIN(INT(($A550-1)/70)+1,CROQUIS_DATOS!$C$1525))/2),(INDEX($E$8:$E$23,MIN(INT(($A550-1)/70)+1,CROQUIS_DATOS!$C$1525))+INDEX($F$8:$F$23,MIN(INT(($A550-1)/70)+1,CROQUIS_DATOS!$C$1525))/2)))*CROQUIS_DATOS!$C$1562),-1000)</f>
        <v>82.8189655172414</v>
      </c>
      <c r="O550">
        <f>IF(AND(CROQUIS_DATOS!$C$1472=1,1),(CROQUIS_DATOS!$C$1564+(IF(OR(IF(INT(($A550-1)/70)+1&gt;CROQUIS_DATOS!$C$1525,70,MOD($A550-1,70)+1)=1,IF(INT(($A550-1)/70)+1&gt;CROQUIS_DATOS!$C$1525,70,MOD($A550-1,70)+1)&gt;2*CROQUIS_DATOS!$C$1541+1),CROQUIS_DATOS!$C$1476,INDEX($H$8:$H$41,MIN(INT((IF(INT(($A550-1)/70)+1&gt;CROQUIS_DATOS!$C$1525,70,MOD($A550-1,70)+1)-2)/2)+1,CROQUIS_DATOS!$C$1541))))*CROQUIS_DATOS!$C$1561*CROQUIS_DATOS!$C$1562),-1000)</f>
        <v>40.2068965517241</v>
      </c>
    </row>
    <row r="551">
      <c r="A551" t="n">
        <v>544</v>
      </c>
      <c r="N551">
        <f>IF(AND(CROQUIS_DATOS!$C$1472=1,1),(CROQUIS_DATOS!$C$1563+(IF(IF(IF(INT(($A551-1)/70)+1&gt;CROQUIS_DATOS!$C$1525,70,MOD($A551-1,70)+1)=1,0,IF(IF(INT(($A551-1)/70)+1&gt;CROQUIS_DATOS!$C$1525,70,MOD($A551-1,70)+1)&gt;2*CROQUIS_DATOS!$C$1541+1,IF(MOD(CROQUIS_DATOS!$C$1541,2)=1,1,0),IF(MOD(MIN(INT((IF(INT(($A551-1)/70)+1&gt;CROQUIS_DATOS!$C$1525,70,MOD($A551-1,70)+1)-2)/2)+1,CROQUIS_DATOS!$C$1541),2)=1,IF(MOD(IF(INT(($A551-1)/70)+1&gt;CROQUIS_DATOS!$C$1525,70,MOD($A551-1,70)+1)-2,2)=0,0,1),IF(MOD(IF(INT(($A551-1)/70)+1&gt;CROQUIS_DATOS!$C$1525,70,MOD($A551-1,70)+1)-2,2)=0,1,0))))=0,(INDEX($E$8:$E$23,MIN(INT(($A551-1)/70)+1,CROQUIS_DATOS!$C$1525))-INDEX($F$8:$F$23,MIN(INT(($A551-1)/70)+1,CROQUIS_DATOS!$C$1525))/2),(INDEX($E$8:$E$23,MIN(INT(($A551-1)/70)+1,CROQUIS_DATOS!$C$1525))+INDEX($F$8:$F$23,MIN(INT(($A551-1)/70)+1,CROQUIS_DATOS!$C$1525))/2)))*CROQUIS_DATOS!$C$1562),-1000)</f>
        <v>82.8189655172414</v>
      </c>
      <c r="O551">
        <f>IF(AND(CROQUIS_DATOS!$C$1472=1,1),(CROQUIS_DATOS!$C$1564+(IF(OR(IF(INT(($A551-1)/70)+1&gt;CROQUIS_DATOS!$C$1525,70,MOD($A551-1,70)+1)=1,IF(INT(($A551-1)/70)+1&gt;CROQUIS_DATOS!$C$1525,70,MOD($A551-1,70)+1)&gt;2*CROQUIS_DATOS!$C$1541+1),CROQUIS_DATOS!$C$1476,INDEX($H$8:$H$41,MIN(INT((IF(INT(($A551-1)/70)+1&gt;CROQUIS_DATOS!$C$1525,70,MOD($A551-1,70)+1)-2)/2)+1,CROQUIS_DATOS!$C$1541))))*CROQUIS_DATOS!$C$1561*CROQUIS_DATOS!$C$1562),-1000)</f>
        <v>40.2068965517241</v>
      </c>
    </row>
    <row r="552">
      <c r="A552" t="n">
        <v>545</v>
      </c>
      <c r="N552">
        <f>IF(AND(CROQUIS_DATOS!$C$1472=1,1),(CROQUIS_DATOS!$C$1563+(IF(IF(IF(INT(($A552-1)/70)+1&gt;CROQUIS_DATOS!$C$1525,70,MOD($A552-1,70)+1)=1,0,IF(IF(INT(($A552-1)/70)+1&gt;CROQUIS_DATOS!$C$1525,70,MOD($A552-1,70)+1)&gt;2*CROQUIS_DATOS!$C$1541+1,IF(MOD(CROQUIS_DATOS!$C$1541,2)=1,1,0),IF(MOD(MIN(INT((IF(INT(($A552-1)/70)+1&gt;CROQUIS_DATOS!$C$1525,70,MOD($A552-1,70)+1)-2)/2)+1,CROQUIS_DATOS!$C$1541),2)=1,IF(MOD(IF(INT(($A552-1)/70)+1&gt;CROQUIS_DATOS!$C$1525,70,MOD($A552-1,70)+1)-2,2)=0,0,1),IF(MOD(IF(INT(($A552-1)/70)+1&gt;CROQUIS_DATOS!$C$1525,70,MOD($A552-1,70)+1)-2,2)=0,1,0))))=0,(INDEX($E$8:$E$23,MIN(INT(($A552-1)/70)+1,CROQUIS_DATOS!$C$1525))-INDEX($F$8:$F$23,MIN(INT(($A552-1)/70)+1,CROQUIS_DATOS!$C$1525))/2),(INDEX($E$8:$E$23,MIN(INT(($A552-1)/70)+1,CROQUIS_DATOS!$C$1525))+INDEX($F$8:$F$23,MIN(INT(($A552-1)/70)+1,CROQUIS_DATOS!$C$1525))/2)))*CROQUIS_DATOS!$C$1562),-1000)</f>
        <v>82.8189655172414</v>
      </c>
      <c r="O552">
        <f>IF(AND(CROQUIS_DATOS!$C$1472=1,1),(CROQUIS_DATOS!$C$1564+(IF(OR(IF(INT(($A552-1)/70)+1&gt;CROQUIS_DATOS!$C$1525,70,MOD($A552-1,70)+1)=1,IF(INT(($A552-1)/70)+1&gt;CROQUIS_DATOS!$C$1525,70,MOD($A552-1,70)+1)&gt;2*CROQUIS_DATOS!$C$1541+1),CROQUIS_DATOS!$C$1476,INDEX($H$8:$H$41,MIN(INT((IF(INT(($A552-1)/70)+1&gt;CROQUIS_DATOS!$C$1525,70,MOD($A552-1,70)+1)-2)/2)+1,CROQUIS_DATOS!$C$1541))))*CROQUIS_DATOS!$C$1561*CROQUIS_DATOS!$C$1562),-1000)</f>
        <v>40.2068965517241</v>
      </c>
    </row>
    <row r="553">
      <c r="A553" t="n">
        <v>546</v>
      </c>
      <c r="N553">
        <f>IF(AND(CROQUIS_DATOS!$C$1472=1,1),(CROQUIS_DATOS!$C$1563+(IF(IF(IF(INT(($A553-1)/70)+1&gt;CROQUIS_DATOS!$C$1525,70,MOD($A553-1,70)+1)=1,0,IF(IF(INT(($A553-1)/70)+1&gt;CROQUIS_DATOS!$C$1525,70,MOD($A553-1,70)+1)&gt;2*CROQUIS_DATOS!$C$1541+1,IF(MOD(CROQUIS_DATOS!$C$1541,2)=1,1,0),IF(MOD(MIN(INT((IF(INT(($A553-1)/70)+1&gt;CROQUIS_DATOS!$C$1525,70,MOD($A553-1,70)+1)-2)/2)+1,CROQUIS_DATOS!$C$1541),2)=1,IF(MOD(IF(INT(($A553-1)/70)+1&gt;CROQUIS_DATOS!$C$1525,70,MOD($A553-1,70)+1)-2,2)=0,0,1),IF(MOD(IF(INT(($A553-1)/70)+1&gt;CROQUIS_DATOS!$C$1525,70,MOD($A553-1,70)+1)-2,2)=0,1,0))))=0,(INDEX($E$8:$E$23,MIN(INT(($A553-1)/70)+1,CROQUIS_DATOS!$C$1525))-INDEX($F$8:$F$23,MIN(INT(($A553-1)/70)+1,CROQUIS_DATOS!$C$1525))/2),(INDEX($E$8:$E$23,MIN(INT(($A553-1)/70)+1,CROQUIS_DATOS!$C$1525))+INDEX($F$8:$F$23,MIN(INT(($A553-1)/70)+1,CROQUIS_DATOS!$C$1525))/2)))*CROQUIS_DATOS!$C$1562),-1000)</f>
        <v>82.8189655172414</v>
      </c>
      <c r="O553">
        <f>IF(AND(CROQUIS_DATOS!$C$1472=1,1),(CROQUIS_DATOS!$C$1564+(IF(OR(IF(INT(($A553-1)/70)+1&gt;CROQUIS_DATOS!$C$1525,70,MOD($A553-1,70)+1)=1,IF(INT(($A553-1)/70)+1&gt;CROQUIS_DATOS!$C$1525,70,MOD($A553-1,70)+1)&gt;2*CROQUIS_DATOS!$C$1541+1),CROQUIS_DATOS!$C$1476,INDEX($H$8:$H$41,MIN(INT((IF(INT(($A553-1)/70)+1&gt;CROQUIS_DATOS!$C$1525,70,MOD($A553-1,70)+1)-2)/2)+1,CROQUIS_DATOS!$C$1541))))*CROQUIS_DATOS!$C$1561*CROQUIS_DATOS!$C$1562),-1000)</f>
        <v>40.2068965517241</v>
      </c>
    </row>
    <row r="554">
      <c r="A554" t="n">
        <v>547</v>
      </c>
      <c r="N554">
        <f>IF(AND(CROQUIS_DATOS!$C$1472=1,1),(CROQUIS_DATOS!$C$1563+(IF(IF(IF(INT(($A554-1)/70)+1&gt;CROQUIS_DATOS!$C$1525,70,MOD($A554-1,70)+1)=1,0,IF(IF(INT(($A554-1)/70)+1&gt;CROQUIS_DATOS!$C$1525,70,MOD($A554-1,70)+1)&gt;2*CROQUIS_DATOS!$C$1541+1,IF(MOD(CROQUIS_DATOS!$C$1541,2)=1,1,0),IF(MOD(MIN(INT((IF(INT(($A554-1)/70)+1&gt;CROQUIS_DATOS!$C$1525,70,MOD($A554-1,70)+1)-2)/2)+1,CROQUIS_DATOS!$C$1541),2)=1,IF(MOD(IF(INT(($A554-1)/70)+1&gt;CROQUIS_DATOS!$C$1525,70,MOD($A554-1,70)+1)-2,2)=0,0,1),IF(MOD(IF(INT(($A554-1)/70)+1&gt;CROQUIS_DATOS!$C$1525,70,MOD($A554-1,70)+1)-2,2)=0,1,0))))=0,(INDEX($E$8:$E$23,MIN(INT(($A554-1)/70)+1,CROQUIS_DATOS!$C$1525))-INDEX($F$8:$F$23,MIN(INT(($A554-1)/70)+1,CROQUIS_DATOS!$C$1525))/2),(INDEX($E$8:$E$23,MIN(INT(($A554-1)/70)+1,CROQUIS_DATOS!$C$1525))+INDEX($F$8:$F$23,MIN(INT(($A554-1)/70)+1,CROQUIS_DATOS!$C$1525))/2)))*CROQUIS_DATOS!$C$1562),-1000)</f>
        <v>82.8189655172414</v>
      </c>
      <c r="O554">
        <f>IF(AND(CROQUIS_DATOS!$C$1472=1,1),(CROQUIS_DATOS!$C$1564+(IF(OR(IF(INT(($A554-1)/70)+1&gt;CROQUIS_DATOS!$C$1525,70,MOD($A554-1,70)+1)=1,IF(INT(($A554-1)/70)+1&gt;CROQUIS_DATOS!$C$1525,70,MOD($A554-1,70)+1)&gt;2*CROQUIS_DATOS!$C$1541+1),CROQUIS_DATOS!$C$1476,INDEX($H$8:$H$41,MIN(INT((IF(INT(($A554-1)/70)+1&gt;CROQUIS_DATOS!$C$1525,70,MOD($A554-1,70)+1)-2)/2)+1,CROQUIS_DATOS!$C$1541))))*CROQUIS_DATOS!$C$1561*CROQUIS_DATOS!$C$1562),-1000)</f>
        <v>40.2068965517241</v>
      </c>
    </row>
    <row r="555">
      <c r="A555" t="n">
        <v>548</v>
      </c>
      <c r="N555">
        <f>IF(AND(CROQUIS_DATOS!$C$1472=1,1),(CROQUIS_DATOS!$C$1563+(IF(IF(IF(INT(($A555-1)/70)+1&gt;CROQUIS_DATOS!$C$1525,70,MOD($A555-1,70)+1)=1,0,IF(IF(INT(($A555-1)/70)+1&gt;CROQUIS_DATOS!$C$1525,70,MOD($A555-1,70)+1)&gt;2*CROQUIS_DATOS!$C$1541+1,IF(MOD(CROQUIS_DATOS!$C$1541,2)=1,1,0),IF(MOD(MIN(INT((IF(INT(($A555-1)/70)+1&gt;CROQUIS_DATOS!$C$1525,70,MOD($A555-1,70)+1)-2)/2)+1,CROQUIS_DATOS!$C$1541),2)=1,IF(MOD(IF(INT(($A555-1)/70)+1&gt;CROQUIS_DATOS!$C$1525,70,MOD($A555-1,70)+1)-2,2)=0,0,1),IF(MOD(IF(INT(($A555-1)/70)+1&gt;CROQUIS_DATOS!$C$1525,70,MOD($A555-1,70)+1)-2,2)=0,1,0))))=0,(INDEX($E$8:$E$23,MIN(INT(($A555-1)/70)+1,CROQUIS_DATOS!$C$1525))-INDEX($F$8:$F$23,MIN(INT(($A555-1)/70)+1,CROQUIS_DATOS!$C$1525))/2),(INDEX($E$8:$E$23,MIN(INT(($A555-1)/70)+1,CROQUIS_DATOS!$C$1525))+INDEX($F$8:$F$23,MIN(INT(($A555-1)/70)+1,CROQUIS_DATOS!$C$1525))/2)))*CROQUIS_DATOS!$C$1562),-1000)</f>
        <v>82.8189655172414</v>
      </c>
      <c r="O555">
        <f>IF(AND(CROQUIS_DATOS!$C$1472=1,1),(CROQUIS_DATOS!$C$1564+(IF(OR(IF(INT(($A555-1)/70)+1&gt;CROQUIS_DATOS!$C$1525,70,MOD($A555-1,70)+1)=1,IF(INT(($A555-1)/70)+1&gt;CROQUIS_DATOS!$C$1525,70,MOD($A555-1,70)+1)&gt;2*CROQUIS_DATOS!$C$1541+1),CROQUIS_DATOS!$C$1476,INDEX($H$8:$H$41,MIN(INT((IF(INT(($A555-1)/70)+1&gt;CROQUIS_DATOS!$C$1525,70,MOD($A555-1,70)+1)-2)/2)+1,CROQUIS_DATOS!$C$1541))))*CROQUIS_DATOS!$C$1561*CROQUIS_DATOS!$C$1562),-1000)</f>
        <v>40.2068965517241</v>
      </c>
    </row>
    <row r="556">
      <c r="A556" t="n">
        <v>549</v>
      </c>
      <c r="N556">
        <f>IF(AND(CROQUIS_DATOS!$C$1472=1,1),(CROQUIS_DATOS!$C$1563+(IF(IF(IF(INT(($A556-1)/70)+1&gt;CROQUIS_DATOS!$C$1525,70,MOD($A556-1,70)+1)=1,0,IF(IF(INT(($A556-1)/70)+1&gt;CROQUIS_DATOS!$C$1525,70,MOD($A556-1,70)+1)&gt;2*CROQUIS_DATOS!$C$1541+1,IF(MOD(CROQUIS_DATOS!$C$1541,2)=1,1,0),IF(MOD(MIN(INT((IF(INT(($A556-1)/70)+1&gt;CROQUIS_DATOS!$C$1525,70,MOD($A556-1,70)+1)-2)/2)+1,CROQUIS_DATOS!$C$1541),2)=1,IF(MOD(IF(INT(($A556-1)/70)+1&gt;CROQUIS_DATOS!$C$1525,70,MOD($A556-1,70)+1)-2,2)=0,0,1),IF(MOD(IF(INT(($A556-1)/70)+1&gt;CROQUIS_DATOS!$C$1525,70,MOD($A556-1,70)+1)-2,2)=0,1,0))))=0,(INDEX($E$8:$E$23,MIN(INT(($A556-1)/70)+1,CROQUIS_DATOS!$C$1525))-INDEX($F$8:$F$23,MIN(INT(($A556-1)/70)+1,CROQUIS_DATOS!$C$1525))/2),(INDEX($E$8:$E$23,MIN(INT(($A556-1)/70)+1,CROQUIS_DATOS!$C$1525))+INDEX($F$8:$F$23,MIN(INT(($A556-1)/70)+1,CROQUIS_DATOS!$C$1525))/2)))*CROQUIS_DATOS!$C$1562),-1000)</f>
        <v>82.8189655172414</v>
      </c>
      <c r="O556">
        <f>IF(AND(CROQUIS_DATOS!$C$1472=1,1),(CROQUIS_DATOS!$C$1564+(IF(OR(IF(INT(($A556-1)/70)+1&gt;CROQUIS_DATOS!$C$1525,70,MOD($A556-1,70)+1)=1,IF(INT(($A556-1)/70)+1&gt;CROQUIS_DATOS!$C$1525,70,MOD($A556-1,70)+1)&gt;2*CROQUIS_DATOS!$C$1541+1),CROQUIS_DATOS!$C$1476,INDEX($H$8:$H$41,MIN(INT((IF(INT(($A556-1)/70)+1&gt;CROQUIS_DATOS!$C$1525,70,MOD($A556-1,70)+1)-2)/2)+1,CROQUIS_DATOS!$C$1541))))*CROQUIS_DATOS!$C$1561*CROQUIS_DATOS!$C$1562),-1000)</f>
        <v>40.2068965517241</v>
      </c>
    </row>
    <row r="557">
      <c r="A557" t="n">
        <v>550</v>
      </c>
      <c r="N557">
        <f>IF(AND(CROQUIS_DATOS!$C$1472=1,1),(CROQUIS_DATOS!$C$1563+(IF(IF(IF(INT(($A557-1)/70)+1&gt;CROQUIS_DATOS!$C$1525,70,MOD($A557-1,70)+1)=1,0,IF(IF(INT(($A557-1)/70)+1&gt;CROQUIS_DATOS!$C$1525,70,MOD($A557-1,70)+1)&gt;2*CROQUIS_DATOS!$C$1541+1,IF(MOD(CROQUIS_DATOS!$C$1541,2)=1,1,0),IF(MOD(MIN(INT((IF(INT(($A557-1)/70)+1&gt;CROQUIS_DATOS!$C$1525,70,MOD($A557-1,70)+1)-2)/2)+1,CROQUIS_DATOS!$C$1541),2)=1,IF(MOD(IF(INT(($A557-1)/70)+1&gt;CROQUIS_DATOS!$C$1525,70,MOD($A557-1,70)+1)-2,2)=0,0,1),IF(MOD(IF(INT(($A557-1)/70)+1&gt;CROQUIS_DATOS!$C$1525,70,MOD($A557-1,70)+1)-2,2)=0,1,0))))=0,(INDEX($E$8:$E$23,MIN(INT(($A557-1)/70)+1,CROQUIS_DATOS!$C$1525))-INDEX($F$8:$F$23,MIN(INT(($A557-1)/70)+1,CROQUIS_DATOS!$C$1525))/2),(INDEX($E$8:$E$23,MIN(INT(($A557-1)/70)+1,CROQUIS_DATOS!$C$1525))+INDEX($F$8:$F$23,MIN(INT(($A557-1)/70)+1,CROQUIS_DATOS!$C$1525))/2)))*CROQUIS_DATOS!$C$1562),-1000)</f>
        <v>82.8189655172414</v>
      </c>
      <c r="O557">
        <f>IF(AND(CROQUIS_DATOS!$C$1472=1,1),(CROQUIS_DATOS!$C$1564+(IF(OR(IF(INT(($A557-1)/70)+1&gt;CROQUIS_DATOS!$C$1525,70,MOD($A557-1,70)+1)=1,IF(INT(($A557-1)/70)+1&gt;CROQUIS_DATOS!$C$1525,70,MOD($A557-1,70)+1)&gt;2*CROQUIS_DATOS!$C$1541+1),CROQUIS_DATOS!$C$1476,INDEX($H$8:$H$41,MIN(INT((IF(INT(($A557-1)/70)+1&gt;CROQUIS_DATOS!$C$1525,70,MOD($A557-1,70)+1)-2)/2)+1,CROQUIS_DATOS!$C$1541))))*CROQUIS_DATOS!$C$1561*CROQUIS_DATOS!$C$1562),-1000)</f>
        <v>40.2068965517241</v>
      </c>
    </row>
    <row r="558">
      <c r="A558" t="n">
        <v>551</v>
      </c>
      <c r="N558">
        <f>IF(AND(CROQUIS_DATOS!$C$1472=1,1),(CROQUIS_DATOS!$C$1563+(IF(IF(IF(INT(($A558-1)/70)+1&gt;CROQUIS_DATOS!$C$1525,70,MOD($A558-1,70)+1)=1,0,IF(IF(INT(($A558-1)/70)+1&gt;CROQUIS_DATOS!$C$1525,70,MOD($A558-1,70)+1)&gt;2*CROQUIS_DATOS!$C$1541+1,IF(MOD(CROQUIS_DATOS!$C$1541,2)=1,1,0),IF(MOD(MIN(INT((IF(INT(($A558-1)/70)+1&gt;CROQUIS_DATOS!$C$1525,70,MOD($A558-1,70)+1)-2)/2)+1,CROQUIS_DATOS!$C$1541),2)=1,IF(MOD(IF(INT(($A558-1)/70)+1&gt;CROQUIS_DATOS!$C$1525,70,MOD($A558-1,70)+1)-2,2)=0,0,1),IF(MOD(IF(INT(($A558-1)/70)+1&gt;CROQUIS_DATOS!$C$1525,70,MOD($A558-1,70)+1)-2,2)=0,1,0))))=0,(INDEX($E$8:$E$23,MIN(INT(($A558-1)/70)+1,CROQUIS_DATOS!$C$1525))-INDEX($F$8:$F$23,MIN(INT(($A558-1)/70)+1,CROQUIS_DATOS!$C$1525))/2),(INDEX($E$8:$E$23,MIN(INT(($A558-1)/70)+1,CROQUIS_DATOS!$C$1525))+INDEX($F$8:$F$23,MIN(INT(($A558-1)/70)+1,CROQUIS_DATOS!$C$1525))/2)))*CROQUIS_DATOS!$C$1562),-1000)</f>
        <v>82.8189655172414</v>
      </c>
      <c r="O558">
        <f>IF(AND(CROQUIS_DATOS!$C$1472=1,1),(CROQUIS_DATOS!$C$1564+(IF(OR(IF(INT(($A558-1)/70)+1&gt;CROQUIS_DATOS!$C$1525,70,MOD($A558-1,70)+1)=1,IF(INT(($A558-1)/70)+1&gt;CROQUIS_DATOS!$C$1525,70,MOD($A558-1,70)+1)&gt;2*CROQUIS_DATOS!$C$1541+1),CROQUIS_DATOS!$C$1476,INDEX($H$8:$H$41,MIN(INT((IF(INT(($A558-1)/70)+1&gt;CROQUIS_DATOS!$C$1525,70,MOD($A558-1,70)+1)-2)/2)+1,CROQUIS_DATOS!$C$1541))))*CROQUIS_DATOS!$C$1561*CROQUIS_DATOS!$C$1562),-1000)</f>
        <v>40.2068965517241</v>
      </c>
    </row>
    <row r="559">
      <c r="A559" t="n">
        <v>552</v>
      </c>
      <c r="N559">
        <f>IF(AND(CROQUIS_DATOS!$C$1472=1,1),(CROQUIS_DATOS!$C$1563+(IF(IF(IF(INT(($A559-1)/70)+1&gt;CROQUIS_DATOS!$C$1525,70,MOD($A559-1,70)+1)=1,0,IF(IF(INT(($A559-1)/70)+1&gt;CROQUIS_DATOS!$C$1525,70,MOD($A559-1,70)+1)&gt;2*CROQUIS_DATOS!$C$1541+1,IF(MOD(CROQUIS_DATOS!$C$1541,2)=1,1,0),IF(MOD(MIN(INT((IF(INT(($A559-1)/70)+1&gt;CROQUIS_DATOS!$C$1525,70,MOD($A559-1,70)+1)-2)/2)+1,CROQUIS_DATOS!$C$1541),2)=1,IF(MOD(IF(INT(($A559-1)/70)+1&gt;CROQUIS_DATOS!$C$1525,70,MOD($A559-1,70)+1)-2,2)=0,0,1),IF(MOD(IF(INT(($A559-1)/70)+1&gt;CROQUIS_DATOS!$C$1525,70,MOD($A559-1,70)+1)-2,2)=0,1,0))))=0,(INDEX($E$8:$E$23,MIN(INT(($A559-1)/70)+1,CROQUIS_DATOS!$C$1525))-INDEX($F$8:$F$23,MIN(INT(($A559-1)/70)+1,CROQUIS_DATOS!$C$1525))/2),(INDEX($E$8:$E$23,MIN(INT(($A559-1)/70)+1,CROQUIS_DATOS!$C$1525))+INDEX($F$8:$F$23,MIN(INT(($A559-1)/70)+1,CROQUIS_DATOS!$C$1525))/2)))*CROQUIS_DATOS!$C$1562),-1000)</f>
        <v>82.8189655172414</v>
      </c>
      <c r="O559">
        <f>IF(AND(CROQUIS_DATOS!$C$1472=1,1),(CROQUIS_DATOS!$C$1564+(IF(OR(IF(INT(($A559-1)/70)+1&gt;CROQUIS_DATOS!$C$1525,70,MOD($A559-1,70)+1)=1,IF(INT(($A559-1)/70)+1&gt;CROQUIS_DATOS!$C$1525,70,MOD($A559-1,70)+1)&gt;2*CROQUIS_DATOS!$C$1541+1),CROQUIS_DATOS!$C$1476,INDEX($H$8:$H$41,MIN(INT((IF(INT(($A559-1)/70)+1&gt;CROQUIS_DATOS!$C$1525,70,MOD($A559-1,70)+1)-2)/2)+1,CROQUIS_DATOS!$C$1541))))*CROQUIS_DATOS!$C$1561*CROQUIS_DATOS!$C$1562),-1000)</f>
        <v>40.2068965517241</v>
      </c>
    </row>
    <row r="560">
      <c r="A560" t="n">
        <v>553</v>
      </c>
      <c r="N560">
        <f>IF(AND(CROQUIS_DATOS!$C$1472=1,1),(CROQUIS_DATOS!$C$1563+(IF(IF(IF(INT(($A560-1)/70)+1&gt;CROQUIS_DATOS!$C$1525,70,MOD($A560-1,70)+1)=1,0,IF(IF(INT(($A560-1)/70)+1&gt;CROQUIS_DATOS!$C$1525,70,MOD($A560-1,70)+1)&gt;2*CROQUIS_DATOS!$C$1541+1,IF(MOD(CROQUIS_DATOS!$C$1541,2)=1,1,0),IF(MOD(MIN(INT((IF(INT(($A560-1)/70)+1&gt;CROQUIS_DATOS!$C$1525,70,MOD($A560-1,70)+1)-2)/2)+1,CROQUIS_DATOS!$C$1541),2)=1,IF(MOD(IF(INT(($A560-1)/70)+1&gt;CROQUIS_DATOS!$C$1525,70,MOD($A560-1,70)+1)-2,2)=0,0,1),IF(MOD(IF(INT(($A560-1)/70)+1&gt;CROQUIS_DATOS!$C$1525,70,MOD($A560-1,70)+1)-2,2)=0,1,0))))=0,(INDEX($E$8:$E$23,MIN(INT(($A560-1)/70)+1,CROQUIS_DATOS!$C$1525))-INDEX($F$8:$F$23,MIN(INT(($A560-1)/70)+1,CROQUIS_DATOS!$C$1525))/2),(INDEX($E$8:$E$23,MIN(INT(($A560-1)/70)+1,CROQUIS_DATOS!$C$1525))+INDEX($F$8:$F$23,MIN(INT(($A560-1)/70)+1,CROQUIS_DATOS!$C$1525))/2)))*CROQUIS_DATOS!$C$1562),-1000)</f>
        <v>82.8189655172414</v>
      </c>
      <c r="O560">
        <f>IF(AND(CROQUIS_DATOS!$C$1472=1,1),(CROQUIS_DATOS!$C$1564+(IF(OR(IF(INT(($A560-1)/70)+1&gt;CROQUIS_DATOS!$C$1525,70,MOD($A560-1,70)+1)=1,IF(INT(($A560-1)/70)+1&gt;CROQUIS_DATOS!$C$1525,70,MOD($A560-1,70)+1)&gt;2*CROQUIS_DATOS!$C$1541+1),CROQUIS_DATOS!$C$1476,INDEX($H$8:$H$41,MIN(INT((IF(INT(($A560-1)/70)+1&gt;CROQUIS_DATOS!$C$1525,70,MOD($A560-1,70)+1)-2)/2)+1,CROQUIS_DATOS!$C$1541))))*CROQUIS_DATOS!$C$1561*CROQUIS_DATOS!$C$1562),-1000)</f>
        <v>40.2068965517241</v>
      </c>
    </row>
    <row r="561">
      <c r="A561" t="n">
        <v>554</v>
      </c>
      <c r="N561">
        <f>IF(AND(CROQUIS_DATOS!$C$1472=1,1),(CROQUIS_DATOS!$C$1563+(IF(IF(IF(INT(($A561-1)/70)+1&gt;CROQUIS_DATOS!$C$1525,70,MOD($A561-1,70)+1)=1,0,IF(IF(INT(($A561-1)/70)+1&gt;CROQUIS_DATOS!$C$1525,70,MOD($A561-1,70)+1)&gt;2*CROQUIS_DATOS!$C$1541+1,IF(MOD(CROQUIS_DATOS!$C$1541,2)=1,1,0),IF(MOD(MIN(INT((IF(INT(($A561-1)/70)+1&gt;CROQUIS_DATOS!$C$1525,70,MOD($A561-1,70)+1)-2)/2)+1,CROQUIS_DATOS!$C$1541),2)=1,IF(MOD(IF(INT(($A561-1)/70)+1&gt;CROQUIS_DATOS!$C$1525,70,MOD($A561-1,70)+1)-2,2)=0,0,1),IF(MOD(IF(INT(($A561-1)/70)+1&gt;CROQUIS_DATOS!$C$1525,70,MOD($A561-1,70)+1)-2,2)=0,1,0))))=0,(INDEX($E$8:$E$23,MIN(INT(($A561-1)/70)+1,CROQUIS_DATOS!$C$1525))-INDEX($F$8:$F$23,MIN(INT(($A561-1)/70)+1,CROQUIS_DATOS!$C$1525))/2),(INDEX($E$8:$E$23,MIN(INT(($A561-1)/70)+1,CROQUIS_DATOS!$C$1525))+INDEX($F$8:$F$23,MIN(INT(($A561-1)/70)+1,CROQUIS_DATOS!$C$1525))/2)))*CROQUIS_DATOS!$C$1562),-1000)</f>
        <v>82.8189655172414</v>
      </c>
      <c r="O561">
        <f>IF(AND(CROQUIS_DATOS!$C$1472=1,1),(CROQUIS_DATOS!$C$1564+(IF(OR(IF(INT(($A561-1)/70)+1&gt;CROQUIS_DATOS!$C$1525,70,MOD($A561-1,70)+1)=1,IF(INT(($A561-1)/70)+1&gt;CROQUIS_DATOS!$C$1525,70,MOD($A561-1,70)+1)&gt;2*CROQUIS_DATOS!$C$1541+1),CROQUIS_DATOS!$C$1476,INDEX($H$8:$H$41,MIN(INT((IF(INT(($A561-1)/70)+1&gt;CROQUIS_DATOS!$C$1525,70,MOD($A561-1,70)+1)-2)/2)+1,CROQUIS_DATOS!$C$1541))))*CROQUIS_DATOS!$C$1561*CROQUIS_DATOS!$C$1562),-1000)</f>
        <v>40.2068965517241</v>
      </c>
    </row>
    <row r="562">
      <c r="A562" t="n">
        <v>555</v>
      </c>
      <c r="N562">
        <f>IF(AND(CROQUIS_DATOS!$C$1472=1,1),(CROQUIS_DATOS!$C$1563+(IF(IF(IF(INT(($A562-1)/70)+1&gt;CROQUIS_DATOS!$C$1525,70,MOD($A562-1,70)+1)=1,0,IF(IF(INT(($A562-1)/70)+1&gt;CROQUIS_DATOS!$C$1525,70,MOD($A562-1,70)+1)&gt;2*CROQUIS_DATOS!$C$1541+1,IF(MOD(CROQUIS_DATOS!$C$1541,2)=1,1,0),IF(MOD(MIN(INT((IF(INT(($A562-1)/70)+1&gt;CROQUIS_DATOS!$C$1525,70,MOD($A562-1,70)+1)-2)/2)+1,CROQUIS_DATOS!$C$1541),2)=1,IF(MOD(IF(INT(($A562-1)/70)+1&gt;CROQUIS_DATOS!$C$1525,70,MOD($A562-1,70)+1)-2,2)=0,0,1),IF(MOD(IF(INT(($A562-1)/70)+1&gt;CROQUIS_DATOS!$C$1525,70,MOD($A562-1,70)+1)-2,2)=0,1,0))))=0,(INDEX($E$8:$E$23,MIN(INT(($A562-1)/70)+1,CROQUIS_DATOS!$C$1525))-INDEX($F$8:$F$23,MIN(INT(($A562-1)/70)+1,CROQUIS_DATOS!$C$1525))/2),(INDEX($E$8:$E$23,MIN(INT(($A562-1)/70)+1,CROQUIS_DATOS!$C$1525))+INDEX($F$8:$F$23,MIN(INT(($A562-1)/70)+1,CROQUIS_DATOS!$C$1525))/2)))*CROQUIS_DATOS!$C$1562),-1000)</f>
        <v>82.8189655172414</v>
      </c>
      <c r="O562">
        <f>IF(AND(CROQUIS_DATOS!$C$1472=1,1),(CROQUIS_DATOS!$C$1564+(IF(OR(IF(INT(($A562-1)/70)+1&gt;CROQUIS_DATOS!$C$1525,70,MOD($A562-1,70)+1)=1,IF(INT(($A562-1)/70)+1&gt;CROQUIS_DATOS!$C$1525,70,MOD($A562-1,70)+1)&gt;2*CROQUIS_DATOS!$C$1541+1),CROQUIS_DATOS!$C$1476,INDEX($H$8:$H$41,MIN(INT((IF(INT(($A562-1)/70)+1&gt;CROQUIS_DATOS!$C$1525,70,MOD($A562-1,70)+1)-2)/2)+1,CROQUIS_DATOS!$C$1541))))*CROQUIS_DATOS!$C$1561*CROQUIS_DATOS!$C$1562),-1000)</f>
        <v>40.2068965517241</v>
      </c>
    </row>
    <row r="563">
      <c r="A563" t="n">
        <v>556</v>
      </c>
      <c r="N563">
        <f>IF(AND(CROQUIS_DATOS!$C$1472=1,1),(CROQUIS_DATOS!$C$1563+(IF(IF(IF(INT(($A563-1)/70)+1&gt;CROQUIS_DATOS!$C$1525,70,MOD($A563-1,70)+1)=1,0,IF(IF(INT(($A563-1)/70)+1&gt;CROQUIS_DATOS!$C$1525,70,MOD($A563-1,70)+1)&gt;2*CROQUIS_DATOS!$C$1541+1,IF(MOD(CROQUIS_DATOS!$C$1541,2)=1,1,0),IF(MOD(MIN(INT((IF(INT(($A563-1)/70)+1&gt;CROQUIS_DATOS!$C$1525,70,MOD($A563-1,70)+1)-2)/2)+1,CROQUIS_DATOS!$C$1541),2)=1,IF(MOD(IF(INT(($A563-1)/70)+1&gt;CROQUIS_DATOS!$C$1525,70,MOD($A563-1,70)+1)-2,2)=0,0,1),IF(MOD(IF(INT(($A563-1)/70)+1&gt;CROQUIS_DATOS!$C$1525,70,MOD($A563-1,70)+1)-2,2)=0,1,0))))=0,(INDEX($E$8:$E$23,MIN(INT(($A563-1)/70)+1,CROQUIS_DATOS!$C$1525))-INDEX($F$8:$F$23,MIN(INT(($A563-1)/70)+1,CROQUIS_DATOS!$C$1525))/2),(INDEX($E$8:$E$23,MIN(INT(($A563-1)/70)+1,CROQUIS_DATOS!$C$1525))+INDEX($F$8:$F$23,MIN(INT(($A563-1)/70)+1,CROQUIS_DATOS!$C$1525))/2)))*CROQUIS_DATOS!$C$1562),-1000)</f>
        <v>82.8189655172414</v>
      </c>
      <c r="O563">
        <f>IF(AND(CROQUIS_DATOS!$C$1472=1,1),(CROQUIS_DATOS!$C$1564+(IF(OR(IF(INT(($A563-1)/70)+1&gt;CROQUIS_DATOS!$C$1525,70,MOD($A563-1,70)+1)=1,IF(INT(($A563-1)/70)+1&gt;CROQUIS_DATOS!$C$1525,70,MOD($A563-1,70)+1)&gt;2*CROQUIS_DATOS!$C$1541+1),CROQUIS_DATOS!$C$1476,INDEX($H$8:$H$41,MIN(INT((IF(INT(($A563-1)/70)+1&gt;CROQUIS_DATOS!$C$1525,70,MOD($A563-1,70)+1)-2)/2)+1,CROQUIS_DATOS!$C$1541))))*CROQUIS_DATOS!$C$1561*CROQUIS_DATOS!$C$1562),-1000)</f>
        <v>40.2068965517241</v>
      </c>
    </row>
    <row r="564">
      <c r="A564" t="n">
        <v>557</v>
      </c>
      <c r="N564">
        <f>IF(AND(CROQUIS_DATOS!$C$1472=1,1),(CROQUIS_DATOS!$C$1563+(IF(IF(IF(INT(($A564-1)/70)+1&gt;CROQUIS_DATOS!$C$1525,70,MOD($A564-1,70)+1)=1,0,IF(IF(INT(($A564-1)/70)+1&gt;CROQUIS_DATOS!$C$1525,70,MOD($A564-1,70)+1)&gt;2*CROQUIS_DATOS!$C$1541+1,IF(MOD(CROQUIS_DATOS!$C$1541,2)=1,1,0),IF(MOD(MIN(INT((IF(INT(($A564-1)/70)+1&gt;CROQUIS_DATOS!$C$1525,70,MOD($A564-1,70)+1)-2)/2)+1,CROQUIS_DATOS!$C$1541),2)=1,IF(MOD(IF(INT(($A564-1)/70)+1&gt;CROQUIS_DATOS!$C$1525,70,MOD($A564-1,70)+1)-2,2)=0,0,1),IF(MOD(IF(INT(($A564-1)/70)+1&gt;CROQUIS_DATOS!$C$1525,70,MOD($A564-1,70)+1)-2,2)=0,1,0))))=0,(INDEX($E$8:$E$23,MIN(INT(($A564-1)/70)+1,CROQUIS_DATOS!$C$1525))-INDEX($F$8:$F$23,MIN(INT(($A564-1)/70)+1,CROQUIS_DATOS!$C$1525))/2),(INDEX($E$8:$E$23,MIN(INT(($A564-1)/70)+1,CROQUIS_DATOS!$C$1525))+INDEX($F$8:$F$23,MIN(INT(($A564-1)/70)+1,CROQUIS_DATOS!$C$1525))/2)))*CROQUIS_DATOS!$C$1562),-1000)</f>
        <v>82.8189655172414</v>
      </c>
      <c r="O564">
        <f>IF(AND(CROQUIS_DATOS!$C$1472=1,1),(CROQUIS_DATOS!$C$1564+(IF(OR(IF(INT(($A564-1)/70)+1&gt;CROQUIS_DATOS!$C$1525,70,MOD($A564-1,70)+1)=1,IF(INT(($A564-1)/70)+1&gt;CROQUIS_DATOS!$C$1525,70,MOD($A564-1,70)+1)&gt;2*CROQUIS_DATOS!$C$1541+1),CROQUIS_DATOS!$C$1476,INDEX($H$8:$H$41,MIN(INT((IF(INT(($A564-1)/70)+1&gt;CROQUIS_DATOS!$C$1525,70,MOD($A564-1,70)+1)-2)/2)+1,CROQUIS_DATOS!$C$1541))))*CROQUIS_DATOS!$C$1561*CROQUIS_DATOS!$C$1562),-1000)</f>
        <v>40.2068965517241</v>
      </c>
    </row>
    <row r="565">
      <c r="A565" t="n">
        <v>558</v>
      </c>
      <c r="N565">
        <f>IF(AND(CROQUIS_DATOS!$C$1472=1,1),(CROQUIS_DATOS!$C$1563+(IF(IF(IF(INT(($A565-1)/70)+1&gt;CROQUIS_DATOS!$C$1525,70,MOD($A565-1,70)+1)=1,0,IF(IF(INT(($A565-1)/70)+1&gt;CROQUIS_DATOS!$C$1525,70,MOD($A565-1,70)+1)&gt;2*CROQUIS_DATOS!$C$1541+1,IF(MOD(CROQUIS_DATOS!$C$1541,2)=1,1,0),IF(MOD(MIN(INT((IF(INT(($A565-1)/70)+1&gt;CROQUIS_DATOS!$C$1525,70,MOD($A565-1,70)+1)-2)/2)+1,CROQUIS_DATOS!$C$1541),2)=1,IF(MOD(IF(INT(($A565-1)/70)+1&gt;CROQUIS_DATOS!$C$1525,70,MOD($A565-1,70)+1)-2,2)=0,0,1),IF(MOD(IF(INT(($A565-1)/70)+1&gt;CROQUIS_DATOS!$C$1525,70,MOD($A565-1,70)+1)-2,2)=0,1,0))))=0,(INDEX($E$8:$E$23,MIN(INT(($A565-1)/70)+1,CROQUIS_DATOS!$C$1525))-INDEX($F$8:$F$23,MIN(INT(($A565-1)/70)+1,CROQUIS_DATOS!$C$1525))/2),(INDEX($E$8:$E$23,MIN(INT(($A565-1)/70)+1,CROQUIS_DATOS!$C$1525))+INDEX($F$8:$F$23,MIN(INT(($A565-1)/70)+1,CROQUIS_DATOS!$C$1525))/2)))*CROQUIS_DATOS!$C$1562),-1000)</f>
        <v>82.8189655172414</v>
      </c>
      <c r="O565">
        <f>IF(AND(CROQUIS_DATOS!$C$1472=1,1),(CROQUIS_DATOS!$C$1564+(IF(OR(IF(INT(($A565-1)/70)+1&gt;CROQUIS_DATOS!$C$1525,70,MOD($A565-1,70)+1)=1,IF(INT(($A565-1)/70)+1&gt;CROQUIS_DATOS!$C$1525,70,MOD($A565-1,70)+1)&gt;2*CROQUIS_DATOS!$C$1541+1),CROQUIS_DATOS!$C$1476,INDEX($H$8:$H$41,MIN(INT((IF(INT(($A565-1)/70)+1&gt;CROQUIS_DATOS!$C$1525,70,MOD($A565-1,70)+1)-2)/2)+1,CROQUIS_DATOS!$C$1541))))*CROQUIS_DATOS!$C$1561*CROQUIS_DATOS!$C$1562),-1000)</f>
        <v>40.2068965517241</v>
      </c>
    </row>
    <row r="566">
      <c r="A566" t="n">
        <v>559</v>
      </c>
      <c r="N566">
        <f>IF(AND(CROQUIS_DATOS!$C$1472=1,1),(CROQUIS_DATOS!$C$1563+(IF(IF(IF(INT(($A566-1)/70)+1&gt;CROQUIS_DATOS!$C$1525,70,MOD($A566-1,70)+1)=1,0,IF(IF(INT(($A566-1)/70)+1&gt;CROQUIS_DATOS!$C$1525,70,MOD($A566-1,70)+1)&gt;2*CROQUIS_DATOS!$C$1541+1,IF(MOD(CROQUIS_DATOS!$C$1541,2)=1,1,0),IF(MOD(MIN(INT((IF(INT(($A566-1)/70)+1&gt;CROQUIS_DATOS!$C$1525,70,MOD($A566-1,70)+1)-2)/2)+1,CROQUIS_DATOS!$C$1541),2)=1,IF(MOD(IF(INT(($A566-1)/70)+1&gt;CROQUIS_DATOS!$C$1525,70,MOD($A566-1,70)+1)-2,2)=0,0,1),IF(MOD(IF(INT(($A566-1)/70)+1&gt;CROQUIS_DATOS!$C$1525,70,MOD($A566-1,70)+1)-2,2)=0,1,0))))=0,(INDEX($E$8:$E$23,MIN(INT(($A566-1)/70)+1,CROQUIS_DATOS!$C$1525))-INDEX($F$8:$F$23,MIN(INT(($A566-1)/70)+1,CROQUIS_DATOS!$C$1525))/2),(INDEX($E$8:$E$23,MIN(INT(($A566-1)/70)+1,CROQUIS_DATOS!$C$1525))+INDEX($F$8:$F$23,MIN(INT(($A566-1)/70)+1,CROQUIS_DATOS!$C$1525))/2)))*CROQUIS_DATOS!$C$1562),-1000)</f>
        <v>82.8189655172414</v>
      </c>
      <c r="O566">
        <f>IF(AND(CROQUIS_DATOS!$C$1472=1,1),(CROQUIS_DATOS!$C$1564+(IF(OR(IF(INT(($A566-1)/70)+1&gt;CROQUIS_DATOS!$C$1525,70,MOD($A566-1,70)+1)=1,IF(INT(($A566-1)/70)+1&gt;CROQUIS_DATOS!$C$1525,70,MOD($A566-1,70)+1)&gt;2*CROQUIS_DATOS!$C$1541+1),CROQUIS_DATOS!$C$1476,INDEX($H$8:$H$41,MIN(INT((IF(INT(($A566-1)/70)+1&gt;CROQUIS_DATOS!$C$1525,70,MOD($A566-1,70)+1)-2)/2)+1,CROQUIS_DATOS!$C$1541))))*CROQUIS_DATOS!$C$1561*CROQUIS_DATOS!$C$1562),-1000)</f>
        <v>40.2068965517241</v>
      </c>
    </row>
    <row r="567">
      <c r="A567" t="n">
        <v>560</v>
      </c>
      <c r="N567">
        <f>IF(AND(CROQUIS_DATOS!$C$1472=1,1),(CROQUIS_DATOS!$C$1563+(IF(IF(IF(INT(($A567-1)/70)+1&gt;CROQUIS_DATOS!$C$1525,70,MOD($A567-1,70)+1)=1,0,IF(IF(INT(($A567-1)/70)+1&gt;CROQUIS_DATOS!$C$1525,70,MOD($A567-1,70)+1)&gt;2*CROQUIS_DATOS!$C$1541+1,IF(MOD(CROQUIS_DATOS!$C$1541,2)=1,1,0),IF(MOD(MIN(INT((IF(INT(($A567-1)/70)+1&gt;CROQUIS_DATOS!$C$1525,70,MOD($A567-1,70)+1)-2)/2)+1,CROQUIS_DATOS!$C$1541),2)=1,IF(MOD(IF(INT(($A567-1)/70)+1&gt;CROQUIS_DATOS!$C$1525,70,MOD($A567-1,70)+1)-2,2)=0,0,1),IF(MOD(IF(INT(($A567-1)/70)+1&gt;CROQUIS_DATOS!$C$1525,70,MOD($A567-1,70)+1)-2,2)=0,1,0))))=0,(INDEX($E$8:$E$23,MIN(INT(($A567-1)/70)+1,CROQUIS_DATOS!$C$1525))-INDEX($F$8:$F$23,MIN(INT(($A567-1)/70)+1,CROQUIS_DATOS!$C$1525))/2),(INDEX($E$8:$E$23,MIN(INT(($A567-1)/70)+1,CROQUIS_DATOS!$C$1525))+INDEX($F$8:$F$23,MIN(INT(($A567-1)/70)+1,CROQUIS_DATOS!$C$1525))/2)))*CROQUIS_DATOS!$C$1562),-1000)</f>
        <v>82.8189655172414</v>
      </c>
      <c r="O567">
        <f>IF(AND(CROQUIS_DATOS!$C$1472=1,1),(CROQUIS_DATOS!$C$1564+(IF(OR(IF(INT(($A567-1)/70)+1&gt;CROQUIS_DATOS!$C$1525,70,MOD($A567-1,70)+1)=1,IF(INT(($A567-1)/70)+1&gt;CROQUIS_DATOS!$C$1525,70,MOD($A567-1,70)+1)&gt;2*CROQUIS_DATOS!$C$1541+1),CROQUIS_DATOS!$C$1476,INDEX($H$8:$H$41,MIN(INT((IF(INT(($A567-1)/70)+1&gt;CROQUIS_DATOS!$C$1525,70,MOD($A567-1,70)+1)-2)/2)+1,CROQUIS_DATOS!$C$1541))))*CROQUIS_DATOS!$C$1561*CROQUIS_DATOS!$C$1562),-1000)</f>
        <v>40.2068965517241</v>
      </c>
    </row>
    <row r="568">
      <c r="A568" t="n">
        <v>561</v>
      </c>
      <c r="N568">
        <f>IF(AND(CROQUIS_DATOS!$C$1472=1,1),(CROQUIS_DATOS!$C$1563+(IF(IF(IF(INT(($A568-1)/70)+1&gt;CROQUIS_DATOS!$C$1525,70,MOD($A568-1,70)+1)=1,0,IF(IF(INT(($A568-1)/70)+1&gt;CROQUIS_DATOS!$C$1525,70,MOD($A568-1,70)+1)&gt;2*CROQUIS_DATOS!$C$1541+1,IF(MOD(CROQUIS_DATOS!$C$1541,2)=1,1,0),IF(MOD(MIN(INT((IF(INT(($A568-1)/70)+1&gt;CROQUIS_DATOS!$C$1525,70,MOD($A568-1,70)+1)-2)/2)+1,CROQUIS_DATOS!$C$1541),2)=1,IF(MOD(IF(INT(($A568-1)/70)+1&gt;CROQUIS_DATOS!$C$1525,70,MOD($A568-1,70)+1)-2,2)=0,0,1),IF(MOD(IF(INT(($A568-1)/70)+1&gt;CROQUIS_DATOS!$C$1525,70,MOD($A568-1,70)+1)-2,2)=0,1,0))))=0,(INDEX($E$8:$E$23,MIN(INT(($A568-1)/70)+1,CROQUIS_DATOS!$C$1525))-INDEX($F$8:$F$23,MIN(INT(($A568-1)/70)+1,CROQUIS_DATOS!$C$1525))/2),(INDEX($E$8:$E$23,MIN(INT(($A568-1)/70)+1,CROQUIS_DATOS!$C$1525))+INDEX($F$8:$F$23,MIN(INT(($A568-1)/70)+1,CROQUIS_DATOS!$C$1525))/2)))*CROQUIS_DATOS!$C$1562),-1000)</f>
        <v>82.8189655172414</v>
      </c>
      <c r="O568">
        <f>IF(AND(CROQUIS_DATOS!$C$1472=1,1),(CROQUIS_DATOS!$C$1564+(IF(OR(IF(INT(($A568-1)/70)+1&gt;CROQUIS_DATOS!$C$1525,70,MOD($A568-1,70)+1)=1,IF(INT(($A568-1)/70)+1&gt;CROQUIS_DATOS!$C$1525,70,MOD($A568-1,70)+1)&gt;2*CROQUIS_DATOS!$C$1541+1),CROQUIS_DATOS!$C$1476,INDEX($H$8:$H$41,MIN(INT((IF(INT(($A568-1)/70)+1&gt;CROQUIS_DATOS!$C$1525,70,MOD($A568-1,70)+1)-2)/2)+1,CROQUIS_DATOS!$C$1541))))*CROQUIS_DATOS!$C$1561*CROQUIS_DATOS!$C$1562),-1000)</f>
        <v>40.2068965517241</v>
      </c>
    </row>
    <row r="569">
      <c r="A569" t="n">
        <v>562</v>
      </c>
      <c r="N569">
        <f>IF(AND(CROQUIS_DATOS!$C$1472=1,1),(CROQUIS_DATOS!$C$1563+(IF(IF(IF(INT(($A569-1)/70)+1&gt;CROQUIS_DATOS!$C$1525,70,MOD($A569-1,70)+1)=1,0,IF(IF(INT(($A569-1)/70)+1&gt;CROQUIS_DATOS!$C$1525,70,MOD($A569-1,70)+1)&gt;2*CROQUIS_DATOS!$C$1541+1,IF(MOD(CROQUIS_DATOS!$C$1541,2)=1,1,0),IF(MOD(MIN(INT((IF(INT(($A569-1)/70)+1&gt;CROQUIS_DATOS!$C$1525,70,MOD($A569-1,70)+1)-2)/2)+1,CROQUIS_DATOS!$C$1541),2)=1,IF(MOD(IF(INT(($A569-1)/70)+1&gt;CROQUIS_DATOS!$C$1525,70,MOD($A569-1,70)+1)-2,2)=0,0,1),IF(MOD(IF(INT(($A569-1)/70)+1&gt;CROQUIS_DATOS!$C$1525,70,MOD($A569-1,70)+1)-2,2)=0,1,0))))=0,(INDEX($E$8:$E$23,MIN(INT(($A569-1)/70)+1,CROQUIS_DATOS!$C$1525))-INDEX($F$8:$F$23,MIN(INT(($A569-1)/70)+1,CROQUIS_DATOS!$C$1525))/2),(INDEX($E$8:$E$23,MIN(INT(($A569-1)/70)+1,CROQUIS_DATOS!$C$1525))+INDEX($F$8:$F$23,MIN(INT(($A569-1)/70)+1,CROQUIS_DATOS!$C$1525))/2)))*CROQUIS_DATOS!$C$1562),-1000)</f>
        <v>82.8189655172414</v>
      </c>
      <c r="O569">
        <f>IF(AND(CROQUIS_DATOS!$C$1472=1,1),(CROQUIS_DATOS!$C$1564+(IF(OR(IF(INT(($A569-1)/70)+1&gt;CROQUIS_DATOS!$C$1525,70,MOD($A569-1,70)+1)=1,IF(INT(($A569-1)/70)+1&gt;CROQUIS_DATOS!$C$1525,70,MOD($A569-1,70)+1)&gt;2*CROQUIS_DATOS!$C$1541+1),CROQUIS_DATOS!$C$1476,INDEX($H$8:$H$41,MIN(INT((IF(INT(($A569-1)/70)+1&gt;CROQUIS_DATOS!$C$1525,70,MOD($A569-1,70)+1)-2)/2)+1,CROQUIS_DATOS!$C$1541))))*CROQUIS_DATOS!$C$1561*CROQUIS_DATOS!$C$1562),-1000)</f>
        <v>40.2068965517241</v>
      </c>
    </row>
    <row r="570">
      <c r="A570" t="n">
        <v>563</v>
      </c>
      <c r="N570">
        <f>IF(AND(CROQUIS_DATOS!$C$1472=1,1),(CROQUIS_DATOS!$C$1563+(IF(IF(IF(INT(($A570-1)/70)+1&gt;CROQUIS_DATOS!$C$1525,70,MOD($A570-1,70)+1)=1,0,IF(IF(INT(($A570-1)/70)+1&gt;CROQUIS_DATOS!$C$1525,70,MOD($A570-1,70)+1)&gt;2*CROQUIS_DATOS!$C$1541+1,IF(MOD(CROQUIS_DATOS!$C$1541,2)=1,1,0),IF(MOD(MIN(INT((IF(INT(($A570-1)/70)+1&gt;CROQUIS_DATOS!$C$1525,70,MOD($A570-1,70)+1)-2)/2)+1,CROQUIS_DATOS!$C$1541),2)=1,IF(MOD(IF(INT(($A570-1)/70)+1&gt;CROQUIS_DATOS!$C$1525,70,MOD($A570-1,70)+1)-2,2)=0,0,1),IF(MOD(IF(INT(($A570-1)/70)+1&gt;CROQUIS_DATOS!$C$1525,70,MOD($A570-1,70)+1)-2,2)=0,1,0))))=0,(INDEX($E$8:$E$23,MIN(INT(($A570-1)/70)+1,CROQUIS_DATOS!$C$1525))-INDEX($F$8:$F$23,MIN(INT(($A570-1)/70)+1,CROQUIS_DATOS!$C$1525))/2),(INDEX($E$8:$E$23,MIN(INT(($A570-1)/70)+1,CROQUIS_DATOS!$C$1525))+INDEX($F$8:$F$23,MIN(INT(($A570-1)/70)+1,CROQUIS_DATOS!$C$1525))/2)))*CROQUIS_DATOS!$C$1562),-1000)</f>
        <v>82.8189655172414</v>
      </c>
      <c r="O570">
        <f>IF(AND(CROQUIS_DATOS!$C$1472=1,1),(CROQUIS_DATOS!$C$1564+(IF(OR(IF(INT(($A570-1)/70)+1&gt;CROQUIS_DATOS!$C$1525,70,MOD($A570-1,70)+1)=1,IF(INT(($A570-1)/70)+1&gt;CROQUIS_DATOS!$C$1525,70,MOD($A570-1,70)+1)&gt;2*CROQUIS_DATOS!$C$1541+1),CROQUIS_DATOS!$C$1476,INDEX($H$8:$H$41,MIN(INT((IF(INT(($A570-1)/70)+1&gt;CROQUIS_DATOS!$C$1525,70,MOD($A570-1,70)+1)-2)/2)+1,CROQUIS_DATOS!$C$1541))))*CROQUIS_DATOS!$C$1561*CROQUIS_DATOS!$C$1562),-1000)</f>
        <v>40.2068965517241</v>
      </c>
    </row>
    <row r="571">
      <c r="A571" t="n">
        <v>564</v>
      </c>
      <c r="N571">
        <f>IF(AND(CROQUIS_DATOS!$C$1472=1,1),(CROQUIS_DATOS!$C$1563+(IF(IF(IF(INT(($A571-1)/70)+1&gt;CROQUIS_DATOS!$C$1525,70,MOD($A571-1,70)+1)=1,0,IF(IF(INT(($A571-1)/70)+1&gt;CROQUIS_DATOS!$C$1525,70,MOD($A571-1,70)+1)&gt;2*CROQUIS_DATOS!$C$1541+1,IF(MOD(CROQUIS_DATOS!$C$1541,2)=1,1,0),IF(MOD(MIN(INT((IF(INT(($A571-1)/70)+1&gt;CROQUIS_DATOS!$C$1525,70,MOD($A571-1,70)+1)-2)/2)+1,CROQUIS_DATOS!$C$1541),2)=1,IF(MOD(IF(INT(($A571-1)/70)+1&gt;CROQUIS_DATOS!$C$1525,70,MOD($A571-1,70)+1)-2,2)=0,0,1),IF(MOD(IF(INT(($A571-1)/70)+1&gt;CROQUIS_DATOS!$C$1525,70,MOD($A571-1,70)+1)-2,2)=0,1,0))))=0,(INDEX($E$8:$E$23,MIN(INT(($A571-1)/70)+1,CROQUIS_DATOS!$C$1525))-INDEX($F$8:$F$23,MIN(INT(($A571-1)/70)+1,CROQUIS_DATOS!$C$1525))/2),(INDEX($E$8:$E$23,MIN(INT(($A571-1)/70)+1,CROQUIS_DATOS!$C$1525))+INDEX($F$8:$F$23,MIN(INT(($A571-1)/70)+1,CROQUIS_DATOS!$C$1525))/2)))*CROQUIS_DATOS!$C$1562),-1000)</f>
        <v>82.8189655172414</v>
      </c>
      <c r="O571">
        <f>IF(AND(CROQUIS_DATOS!$C$1472=1,1),(CROQUIS_DATOS!$C$1564+(IF(OR(IF(INT(($A571-1)/70)+1&gt;CROQUIS_DATOS!$C$1525,70,MOD($A571-1,70)+1)=1,IF(INT(($A571-1)/70)+1&gt;CROQUIS_DATOS!$C$1525,70,MOD($A571-1,70)+1)&gt;2*CROQUIS_DATOS!$C$1541+1),CROQUIS_DATOS!$C$1476,INDEX($H$8:$H$41,MIN(INT((IF(INT(($A571-1)/70)+1&gt;CROQUIS_DATOS!$C$1525,70,MOD($A571-1,70)+1)-2)/2)+1,CROQUIS_DATOS!$C$1541))))*CROQUIS_DATOS!$C$1561*CROQUIS_DATOS!$C$1562),-1000)</f>
        <v>40.2068965517241</v>
      </c>
    </row>
    <row r="572">
      <c r="A572" t="n">
        <v>565</v>
      </c>
      <c r="N572">
        <f>IF(AND(CROQUIS_DATOS!$C$1472=1,1),(CROQUIS_DATOS!$C$1563+(IF(IF(IF(INT(($A572-1)/70)+1&gt;CROQUIS_DATOS!$C$1525,70,MOD($A572-1,70)+1)=1,0,IF(IF(INT(($A572-1)/70)+1&gt;CROQUIS_DATOS!$C$1525,70,MOD($A572-1,70)+1)&gt;2*CROQUIS_DATOS!$C$1541+1,IF(MOD(CROQUIS_DATOS!$C$1541,2)=1,1,0),IF(MOD(MIN(INT((IF(INT(($A572-1)/70)+1&gt;CROQUIS_DATOS!$C$1525,70,MOD($A572-1,70)+1)-2)/2)+1,CROQUIS_DATOS!$C$1541),2)=1,IF(MOD(IF(INT(($A572-1)/70)+1&gt;CROQUIS_DATOS!$C$1525,70,MOD($A572-1,70)+1)-2,2)=0,0,1),IF(MOD(IF(INT(($A572-1)/70)+1&gt;CROQUIS_DATOS!$C$1525,70,MOD($A572-1,70)+1)-2,2)=0,1,0))))=0,(INDEX($E$8:$E$23,MIN(INT(($A572-1)/70)+1,CROQUIS_DATOS!$C$1525))-INDEX($F$8:$F$23,MIN(INT(($A572-1)/70)+1,CROQUIS_DATOS!$C$1525))/2),(INDEX($E$8:$E$23,MIN(INT(($A572-1)/70)+1,CROQUIS_DATOS!$C$1525))+INDEX($F$8:$F$23,MIN(INT(($A572-1)/70)+1,CROQUIS_DATOS!$C$1525))/2)))*CROQUIS_DATOS!$C$1562),-1000)</f>
        <v>82.8189655172414</v>
      </c>
      <c r="O572">
        <f>IF(AND(CROQUIS_DATOS!$C$1472=1,1),(CROQUIS_DATOS!$C$1564+(IF(OR(IF(INT(($A572-1)/70)+1&gt;CROQUIS_DATOS!$C$1525,70,MOD($A572-1,70)+1)=1,IF(INT(($A572-1)/70)+1&gt;CROQUIS_DATOS!$C$1525,70,MOD($A572-1,70)+1)&gt;2*CROQUIS_DATOS!$C$1541+1),CROQUIS_DATOS!$C$1476,INDEX($H$8:$H$41,MIN(INT((IF(INT(($A572-1)/70)+1&gt;CROQUIS_DATOS!$C$1525,70,MOD($A572-1,70)+1)-2)/2)+1,CROQUIS_DATOS!$C$1541))))*CROQUIS_DATOS!$C$1561*CROQUIS_DATOS!$C$1562),-1000)</f>
        <v>40.2068965517241</v>
      </c>
    </row>
    <row r="573">
      <c r="A573" t="n">
        <v>566</v>
      </c>
      <c r="N573">
        <f>IF(AND(CROQUIS_DATOS!$C$1472=1,1),(CROQUIS_DATOS!$C$1563+(IF(IF(IF(INT(($A573-1)/70)+1&gt;CROQUIS_DATOS!$C$1525,70,MOD($A573-1,70)+1)=1,0,IF(IF(INT(($A573-1)/70)+1&gt;CROQUIS_DATOS!$C$1525,70,MOD($A573-1,70)+1)&gt;2*CROQUIS_DATOS!$C$1541+1,IF(MOD(CROQUIS_DATOS!$C$1541,2)=1,1,0),IF(MOD(MIN(INT((IF(INT(($A573-1)/70)+1&gt;CROQUIS_DATOS!$C$1525,70,MOD($A573-1,70)+1)-2)/2)+1,CROQUIS_DATOS!$C$1541),2)=1,IF(MOD(IF(INT(($A573-1)/70)+1&gt;CROQUIS_DATOS!$C$1525,70,MOD($A573-1,70)+1)-2,2)=0,0,1),IF(MOD(IF(INT(($A573-1)/70)+1&gt;CROQUIS_DATOS!$C$1525,70,MOD($A573-1,70)+1)-2,2)=0,1,0))))=0,(INDEX($E$8:$E$23,MIN(INT(($A573-1)/70)+1,CROQUIS_DATOS!$C$1525))-INDEX($F$8:$F$23,MIN(INT(($A573-1)/70)+1,CROQUIS_DATOS!$C$1525))/2),(INDEX($E$8:$E$23,MIN(INT(($A573-1)/70)+1,CROQUIS_DATOS!$C$1525))+INDEX($F$8:$F$23,MIN(INT(($A573-1)/70)+1,CROQUIS_DATOS!$C$1525))/2)))*CROQUIS_DATOS!$C$1562),-1000)</f>
        <v>82.8189655172414</v>
      </c>
      <c r="O573">
        <f>IF(AND(CROQUIS_DATOS!$C$1472=1,1),(CROQUIS_DATOS!$C$1564+(IF(OR(IF(INT(($A573-1)/70)+1&gt;CROQUIS_DATOS!$C$1525,70,MOD($A573-1,70)+1)=1,IF(INT(($A573-1)/70)+1&gt;CROQUIS_DATOS!$C$1525,70,MOD($A573-1,70)+1)&gt;2*CROQUIS_DATOS!$C$1541+1),CROQUIS_DATOS!$C$1476,INDEX($H$8:$H$41,MIN(INT((IF(INT(($A573-1)/70)+1&gt;CROQUIS_DATOS!$C$1525,70,MOD($A573-1,70)+1)-2)/2)+1,CROQUIS_DATOS!$C$1541))))*CROQUIS_DATOS!$C$1561*CROQUIS_DATOS!$C$1562),-1000)</f>
        <v>40.2068965517241</v>
      </c>
    </row>
    <row r="574">
      <c r="A574" t="n">
        <v>567</v>
      </c>
      <c r="N574">
        <f>IF(AND(CROQUIS_DATOS!$C$1472=1,1),(CROQUIS_DATOS!$C$1563+(IF(IF(IF(INT(($A574-1)/70)+1&gt;CROQUIS_DATOS!$C$1525,70,MOD($A574-1,70)+1)=1,0,IF(IF(INT(($A574-1)/70)+1&gt;CROQUIS_DATOS!$C$1525,70,MOD($A574-1,70)+1)&gt;2*CROQUIS_DATOS!$C$1541+1,IF(MOD(CROQUIS_DATOS!$C$1541,2)=1,1,0),IF(MOD(MIN(INT((IF(INT(($A574-1)/70)+1&gt;CROQUIS_DATOS!$C$1525,70,MOD($A574-1,70)+1)-2)/2)+1,CROQUIS_DATOS!$C$1541),2)=1,IF(MOD(IF(INT(($A574-1)/70)+1&gt;CROQUIS_DATOS!$C$1525,70,MOD($A574-1,70)+1)-2,2)=0,0,1),IF(MOD(IF(INT(($A574-1)/70)+1&gt;CROQUIS_DATOS!$C$1525,70,MOD($A574-1,70)+1)-2,2)=0,1,0))))=0,(INDEX($E$8:$E$23,MIN(INT(($A574-1)/70)+1,CROQUIS_DATOS!$C$1525))-INDEX($F$8:$F$23,MIN(INT(($A574-1)/70)+1,CROQUIS_DATOS!$C$1525))/2),(INDEX($E$8:$E$23,MIN(INT(($A574-1)/70)+1,CROQUIS_DATOS!$C$1525))+INDEX($F$8:$F$23,MIN(INT(($A574-1)/70)+1,CROQUIS_DATOS!$C$1525))/2)))*CROQUIS_DATOS!$C$1562),-1000)</f>
        <v>82.8189655172414</v>
      </c>
      <c r="O574">
        <f>IF(AND(CROQUIS_DATOS!$C$1472=1,1),(CROQUIS_DATOS!$C$1564+(IF(OR(IF(INT(($A574-1)/70)+1&gt;CROQUIS_DATOS!$C$1525,70,MOD($A574-1,70)+1)=1,IF(INT(($A574-1)/70)+1&gt;CROQUIS_DATOS!$C$1525,70,MOD($A574-1,70)+1)&gt;2*CROQUIS_DATOS!$C$1541+1),CROQUIS_DATOS!$C$1476,INDEX($H$8:$H$41,MIN(INT((IF(INT(($A574-1)/70)+1&gt;CROQUIS_DATOS!$C$1525,70,MOD($A574-1,70)+1)-2)/2)+1,CROQUIS_DATOS!$C$1541))))*CROQUIS_DATOS!$C$1561*CROQUIS_DATOS!$C$1562),-1000)</f>
        <v>40.2068965517241</v>
      </c>
    </row>
    <row r="575">
      <c r="A575" t="n">
        <v>568</v>
      </c>
      <c r="N575">
        <f>IF(AND(CROQUIS_DATOS!$C$1472=1,1),(CROQUIS_DATOS!$C$1563+(IF(IF(IF(INT(($A575-1)/70)+1&gt;CROQUIS_DATOS!$C$1525,70,MOD($A575-1,70)+1)=1,0,IF(IF(INT(($A575-1)/70)+1&gt;CROQUIS_DATOS!$C$1525,70,MOD($A575-1,70)+1)&gt;2*CROQUIS_DATOS!$C$1541+1,IF(MOD(CROQUIS_DATOS!$C$1541,2)=1,1,0),IF(MOD(MIN(INT((IF(INT(($A575-1)/70)+1&gt;CROQUIS_DATOS!$C$1525,70,MOD($A575-1,70)+1)-2)/2)+1,CROQUIS_DATOS!$C$1541),2)=1,IF(MOD(IF(INT(($A575-1)/70)+1&gt;CROQUIS_DATOS!$C$1525,70,MOD($A575-1,70)+1)-2,2)=0,0,1),IF(MOD(IF(INT(($A575-1)/70)+1&gt;CROQUIS_DATOS!$C$1525,70,MOD($A575-1,70)+1)-2,2)=0,1,0))))=0,(INDEX($E$8:$E$23,MIN(INT(($A575-1)/70)+1,CROQUIS_DATOS!$C$1525))-INDEX($F$8:$F$23,MIN(INT(($A575-1)/70)+1,CROQUIS_DATOS!$C$1525))/2),(INDEX($E$8:$E$23,MIN(INT(($A575-1)/70)+1,CROQUIS_DATOS!$C$1525))+INDEX($F$8:$F$23,MIN(INT(($A575-1)/70)+1,CROQUIS_DATOS!$C$1525))/2)))*CROQUIS_DATOS!$C$1562),-1000)</f>
        <v>82.8189655172414</v>
      </c>
      <c r="O575">
        <f>IF(AND(CROQUIS_DATOS!$C$1472=1,1),(CROQUIS_DATOS!$C$1564+(IF(OR(IF(INT(($A575-1)/70)+1&gt;CROQUIS_DATOS!$C$1525,70,MOD($A575-1,70)+1)=1,IF(INT(($A575-1)/70)+1&gt;CROQUIS_DATOS!$C$1525,70,MOD($A575-1,70)+1)&gt;2*CROQUIS_DATOS!$C$1541+1),CROQUIS_DATOS!$C$1476,INDEX($H$8:$H$41,MIN(INT((IF(INT(($A575-1)/70)+1&gt;CROQUIS_DATOS!$C$1525,70,MOD($A575-1,70)+1)-2)/2)+1,CROQUIS_DATOS!$C$1541))))*CROQUIS_DATOS!$C$1561*CROQUIS_DATOS!$C$1562),-1000)</f>
        <v>40.2068965517241</v>
      </c>
    </row>
    <row r="576">
      <c r="A576" t="n">
        <v>569</v>
      </c>
      <c r="N576">
        <f>IF(AND(CROQUIS_DATOS!$C$1472=1,1),(CROQUIS_DATOS!$C$1563+(IF(IF(IF(INT(($A576-1)/70)+1&gt;CROQUIS_DATOS!$C$1525,70,MOD($A576-1,70)+1)=1,0,IF(IF(INT(($A576-1)/70)+1&gt;CROQUIS_DATOS!$C$1525,70,MOD($A576-1,70)+1)&gt;2*CROQUIS_DATOS!$C$1541+1,IF(MOD(CROQUIS_DATOS!$C$1541,2)=1,1,0),IF(MOD(MIN(INT((IF(INT(($A576-1)/70)+1&gt;CROQUIS_DATOS!$C$1525,70,MOD($A576-1,70)+1)-2)/2)+1,CROQUIS_DATOS!$C$1541),2)=1,IF(MOD(IF(INT(($A576-1)/70)+1&gt;CROQUIS_DATOS!$C$1525,70,MOD($A576-1,70)+1)-2,2)=0,0,1),IF(MOD(IF(INT(($A576-1)/70)+1&gt;CROQUIS_DATOS!$C$1525,70,MOD($A576-1,70)+1)-2,2)=0,1,0))))=0,(INDEX($E$8:$E$23,MIN(INT(($A576-1)/70)+1,CROQUIS_DATOS!$C$1525))-INDEX($F$8:$F$23,MIN(INT(($A576-1)/70)+1,CROQUIS_DATOS!$C$1525))/2),(INDEX($E$8:$E$23,MIN(INT(($A576-1)/70)+1,CROQUIS_DATOS!$C$1525))+INDEX($F$8:$F$23,MIN(INT(($A576-1)/70)+1,CROQUIS_DATOS!$C$1525))/2)))*CROQUIS_DATOS!$C$1562),-1000)</f>
        <v>82.8189655172414</v>
      </c>
      <c r="O576">
        <f>IF(AND(CROQUIS_DATOS!$C$1472=1,1),(CROQUIS_DATOS!$C$1564+(IF(OR(IF(INT(($A576-1)/70)+1&gt;CROQUIS_DATOS!$C$1525,70,MOD($A576-1,70)+1)=1,IF(INT(($A576-1)/70)+1&gt;CROQUIS_DATOS!$C$1525,70,MOD($A576-1,70)+1)&gt;2*CROQUIS_DATOS!$C$1541+1),CROQUIS_DATOS!$C$1476,INDEX($H$8:$H$41,MIN(INT((IF(INT(($A576-1)/70)+1&gt;CROQUIS_DATOS!$C$1525,70,MOD($A576-1,70)+1)-2)/2)+1,CROQUIS_DATOS!$C$1541))))*CROQUIS_DATOS!$C$1561*CROQUIS_DATOS!$C$1562),-1000)</f>
        <v>40.2068965517241</v>
      </c>
    </row>
    <row r="577">
      <c r="A577" t="n">
        <v>570</v>
      </c>
      <c r="N577">
        <f>IF(AND(CROQUIS_DATOS!$C$1472=1,1),(CROQUIS_DATOS!$C$1563+(IF(IF(IF(INT(($A577-1)/70)+1&gt;CROQUIS_DATOS!$C$1525,70,MOD($A577-1,70)+1)=1,0,IF(IF(INT(($A577-1)/70)+1&gt;CROQUIS_DATOS!$C$1525,70,MOD($A577-1,70)+1)&gt;2*CROQUIS_DATOS!$C$1541+1,IF(MOD(CROQUIS_DATOS!$C$1541,2)=1,1,0),IF(MOD(MIN(INT((IF(INT(($A577-1)/70)+1&gt;CROQUIS_DATOS!$C$1525,70,MOD($A577-1,70)+1)-2)/2)+1,CROQUIS_DATOS!$C$1541),2)=1,IF(MOD(IF(INT(($A577-1)/70)+1&gt;CROQUIS_DATOS!$C$1525,70,MOD($A577-1,70)+1)-2,2)=0,0,1),IF(MOD(IF(INT(($A577-1)/70)+1&gt;CROQUIS_DATOS!$C$1525,70,MOD($A577-1,70)+1)-2,2)=0,1,0))))=0,(INDEX($E$8:$E$23,MIN(INT(($A577-1)/70)+1,CROQUIS_DATOS!$C$1525))-INDEX($F$8:$F$23,MIN(INT(($A577-1)/70)+1,CROQUIS_DATOS!$C$1525))/2),(INDEX($E$8:$E$23,MIN(INT(($A577-1)/70)+1,CROQUIS_DATOS!$C$1525))+INDEX($F$8:$F$23,MIN(INT(($A577-1)/70)+1,CROQUIS_DATOS!$C$1525))/2)))*CROQUIS_DATOS!$C$1562),-1000)</f>
        <v>82.8189655172414</v>
      </c>
      <c r="O577">
        <f>IF(AND(CROQUIS_DATOS!$C$1472=1,1),(CROQUIS_DATOS!$C$1564+(IF(OR(IF(INT(($A577-1)/70)+1&gt;CROQUIS_DATOS!$C$1525,70,MOD($A577-1,70)+1)=1,IF(INT(($A577-1)/70)+1&gt;CROQUIS_DATOS!$C$1525,70,MOD($A577-1,70)+1)&gt;2*CROQUIS_DATOS!$C$1541+1),CROQUIS_DATOS!$C$1476,INDEX($H$8:$H$41,MIN(INT((IF(INT(($A577-1)/70)+1&gt;CROQUIS_DATOS!$C$1525,70,MOD($A577-1,70)+1)-2)/2)+1,CROQUIS_DATOS!$C$1541))))*CROQUIS_DATOS!$C$1561*CROQUIS_DATOS!$C$1562),-1000)</f>
        <v>40.2068965517241</v>
      </c>
    </row>
    <row r="578">
      <c r="A578" t="n">
        <v>571</v>
      </c>
      <c r="N578">
        <f>IF(AND(CROQUIS_DATOS!$C$1472=1,1),(CROQUIS_DATOS!$C$1563+(IF(IF(IF(INT(($A578-1)/70)+1&gt;CROQUIS_DATOS!$C$1525,70,MOD($A578-1,70)+1)=1,0,IF(IF(INT(($A578-1)/70)+1&gt;CROQUIS_DATOS!$C$1525,70,MOD($A578-1,70)+1)&gt;2*CROQUIS_DATOS!$C$1541+1,IF(MOD(CROQUIS_DATOS!$C$1541,2)=1,1,0),IF(MOD(MIN(INT((IF(INT(($A578-1)/70)+1&gt;CROQUIS_DATOS!$C$1525,70,MOD($A578-1,70)+1)-2)/2)+1,CROQUIS_DATOS!$C$1541),2)=1,IF(MOD(IF(INT(($A578-1)/70)+1&gt;CROQUIS_DATOS!$C$1525,70,MOD($A578-1,70)+1)-2,2)=0,0,1),IF(MOD(IF(INT(($A578-1)/70)+1&gt;CROQUIS_DATOS!$C$1525,70,MOD($A578-1,70)+1)-2,2)=0,1,0))))=0,(INDEX($E$8:$E$23,MIN(INT(($A578-1)/70)+1,CROQUIS_DATOS!$C$1525))-INDEX($F$8:$F$23,MIN(INT(($A578-1)/70)+1,CROQUIS_DATOS!$C$1525))/2),(INDEX($E$8:$E$23,MIN(INT(($A578-1)/70)+1,CROQUIS_DATOS!$C$1525))+INDEX($F$8:$F$23,MIN(INT(($A578-1)/70)+1,CROQUIS_DATOS!$C$1525))/2)))*CROQUIS_DATOS!$C$1562),-1000)</f>
        <v>82.8189655172414</v>
      </c>
      <c r="O578">
        <f>IF(AND(CROQUIS_DATOS!$C$1472=1,1),(CROQUIS_DATOS!$C$1564+(IF(OR(IF(INT(($A578-1)/70)+1&gt;CROQUIS_DATOS!$C$1525,70,MOD($A578-1,70)+1)=1,IF(INT(($A578-1)/70)+1&gt;CROQUIS_DATOS!$C$1525,70,MOD($A578-1,70)+1)&gt;2*CROQUIS_DATOS!$C$1541+1),CROQUIS_DATOS!$C$1476,INDEX($H$8:$H$41,MIN(INT((IF(INT(($A578-1)/70)+1&gt;CROQUIS_DATOS!$C$1525,70,MOD($A578-1,70)+1)-2)/2)+1,CROQUIS_DATOS!$C$1541))))*CROQUIS_DATOS!$C$1561*CROQUIS_DATOS!$C$1562),-1000)</f>
        <v>40.2068965517241</v>
      </c>
    </row>
    <row r="579">
      <c r="A579" t="n">
        <v>572</v>
      </c>
      <c r="N579">
        <f>IF(AND(CROQUIS_DATOS!$C$1472=1,1),(CROQUIS_DATOS!$C$1563+(IF(IF(IF(INT(($A579-1)/70)+1&gt;CROQUIS_DATOS!$C$1525,70,MOD($A579-1,70)+1)=1,0,IF(IF(INT(($A579-1)/70)+1&gt;CROQUIS_DATOS!$C$1525,70,MOD($A579-1,70)+1)&gt;2*CROQUIS_DATOS!$C$1541+1,IF(MOD(CROQUIS_DATOS!$C$1541,2)=1,1,0),IF(MOD(MIN(INT((IF(INT(($A579-1)/70)+1&gt;CROQUIS_DATOS!$C$1525,70,MOD($A579-1,70)+1)-2)/2)+1,CROQUIS_DATOS!$C$1541),2)=1,IF(MOD(IF(INT(($A579-1)/70)+1&gt;CROQUIS_DATOS!$C$1525,70,MOD($A579-1,70)+1)-2,2)=0,0,1),IF(MOD(IF(INT(($A579-1)/70)+1&gt;CROQUIS_DATOS!$C$1525,70,MOD($A579-1,70)+1)-2,2)=0,1,0))))=0,(INDEX($E$8:$E$23,MIN(INT(($A579-1)/70)+1,CROQUIS_DATOS!$C$1525))-INDEX($F$8:$F$23,MIN(INT(($A579-1)/70)+1,CROQUIS_DATOS!$C$1525))/2),(INDEX($E$8:$E$23,MIN(INT(($A579-1)/70)+1,CROQUIS_DATOS!$C$1525))+INDEX($F$8:$F$23,MIN(INT(($A579-1)/70)+1,CROQUIS_DATOS!$C$1525))/2)))*CROQUIS_DATOS!$C$1562),-1000)</f>
        <v>82.8189655172414</v>
      </c>
      <c r="O579">
        <f>IF(AND(CROQUIS_DATOS!$C$1472=1,1),(CROQUIS_DATOS!$C$1564+(IF(OR(IF(INT(($A579-1)/70)+1&gt;CROQUIS_DATOS!$C$1525,70,MOD($A579-1,70)+1)=1,IF(INT(($A579-1)/70)+1&gt;CROQUIS_DATOS!$C$1525,70,MOD($A579-1,70)+1)&gt;2*CROQUIS_DATOS!$C$1541+1),CROQUIS_DATOS!$C$1476,INDEX($H$8:$H$41,MIN(INT((IF(INT(($A579-1)/70)+1&gt;CROQUIS_DATOS!$C$1525,70,MOD($A579-1,70)+1)-2)/2)+1,CROQUIS_DATOS!$C$1541))))*CROQUIS_DATOS!$C$1561*CROQUIS_DATOS!$C$1562),-1000)</f>
        <v>40.2068965517241</v>
      </c>
    </row>
    <row r="580">
      <c r="A580" t="n">
        <v>573</v>
      </c>
      <c r="N580">
        <f>IF(AND(CROQUIS_DATOS!$C$1472=1,1),(CROQUIS_DATOS!$C$1563+(IF(IF(IF(INT(($A580-1)/70)+1&gt;CROQUIS_DATOS!$C$1525,70,MOD($A580-1,70)+1)=1,0,IF(IF(INT(($A580-1)/70)+1&gt;CROQUIS_DATOS!$C$1525,70,MOD($A580-1,70)+1)&gt;2*CROQUIS_DATOS!$C$1541+1,IF(MOD(CROQUIS_DATOS!$C$1541,2)=1,1,0),IF(MOD(MIN(INT((IF(INT(($A580-1)/70)+1&gt;CROQUIS_DATOS!$C$1525,70,MOD($A580-1,70)+1)-2)/2)+1,CROQUIS_DATOS!$C$1541),2)=1,IF(MOD(IF(INT(($A580-1)/70)+1&gt;CROQUIS_DATOS!$C$1525,70,MOD($A580-1,70)+1)-2,2)=0,0,1),IF(MOD(IF(INT(($A580-1)/70)+1&gt;CROQUIS_DATOS!$C$1525,70,MOD($A580-1,70)+1)-2,2)=0,1,0))))=0,(INDEX($E$8:$E$23,MIN(INT(($A580-1)/70)+1,CROQUIS_DATOS!$C$1525))-INDEX($F$8:$F$23,MIN(INT(($A580-1)/70)+1,CROQUIS_DATOS!$C$1525))/2),(INDEX($E$8:$E$23,MIN(INT(($A580-1)/70)+1,CROQUIS_DATOS!$C$1525))+INDEX($F$8:$F$23,MIN(INT(($A580-1)/70)+1,CROQUIS_DATOS!$C$1525))/2)))*CROQUIS_DATOS!$C$1562),-1000)</f>
        <v>82.8189655172414</v>
      </c>
      <c r="O580">
        <f>IF(AND(CROQUIS_DATOS!$C$1472=1,1),(CROQUIS_DATOS!$C$1564+(IF(OR(IF(INT(($A580-1)/70)+1&gt;CROQUIS_DATOS!$C$1525,70,MOD($A580-1,70)+1)=1,IF(INT(($A580-1)/70)+1&gt;CROQUIS_DATOS!$C$1525,70,MOD($A580-1,70)+1)&gt;2*CROQUIS_DATOS!$C$1541+1),CROQUIS_DATOS!$C$1476,INDEX($H$8:$H$41,MIN(INT((IF(INT(($A580-1)/70)+1&gt;CROQUIS_DATOS!$C$1525,70,MOD($A580-1,70)+1)-2)/2)+1,CROQUIS_DATOS!$C$1541))))*CROQUIS_DATOS!$C$1561*CROQUIS_DATOS!$C$1562),-1000)</f>
        <v>40.2068965517241</v>
      </c>
    </row>
    <row r="581">
      <c r="A581" t="n">
        <v>574</v>
      </c>
      <c r="N581">
        <f>IF(AND(CROQUIS_DATOS!$C$1472=1,1),(CROQUIS_DATOS!$C$1563+(IF(IF(IF(INT(($A581-1)/70)+1&gt;CROQUIS_DATOS!$C$1525,70,MOD($A581-1,70)+1)=1,0,IF(IF(INT(($A581-1)/70)+1&gt;CROQUIS_DATOS!$C$1525,70,MOD($A581-1,70)+1)&gt;2*CROQUIS_DATOS!$C$1541+1,IF(MOD(CROQUIS_DATOS!$C$1541,2)=1,1,0),IF(MOD(MIN(INT((IF(INT(($A581-1)/70)+1&gt;CROQUIS_DATOS!$C$1525,70,MOD($A581-1,70)+1)-2)/2)+1,CROQUIS_DATOS!$C$1541),2)=1,IF(MOD(IF(INT(($A581-1)/70)+1&gt;CROQUIS_DATOS!$C$1525,70,MOD($A581-1,70)+1)-2,2)=0,0,1),IF(MOD(IF(INT(($A581-1)/70)+1&gt;CROQUIS_DATOS!$C$1525,70,MOD($A581-1,70)+1)-2,2)=0,1,0))))=0,(INDEX($E$8:$E$23,MIN(INT(($A581-1)/70)+1,CROQUIS_DATOS!$C$1525))-INDEX($F$8:$F$23,MIN(INT(($A581-1)/70)+1,CROQUIS_DATOS!$C$1525))/2),(INDEX($E$8:$E$23,MIN(INT(($A581-1)/70)+1,CROQUIS_DATOS!$C$1525))+INDEX($F$8:$F$23,MIN(INT(($A581-1)/70)+1,CROQUIS_DATOS!$C$1525))/2)))*CROQUIS_DATOS!$C$1562),-1000)</f>
        <v>82.8189655172414</v>
      </c>
      <c r="O581">
        <f>IF(AND(CROQUIS_DATOS!$C$1472=1,1),(CROQUIS_DATOS!$C$1564+(IF(OR(IF(INT(($A581-1)/70)+1&gt;CROQUIS_DATOS!$C$1525,70,MOD($A581-1,70)+1)=1,IF(INT(($A581-1)/70)+1&gt;CROQUIS_DATOS!$C$1525,70,MOD($A581-1,70)+1)&gt;2*CROQUIS_DATOS!$C$1541+1),CROQUIS_DATOS!$C$1476,INDEX($H$8:$H$41,MIN(INT((IF(INT(($A581-1)/70)+1&gt;CROQUIS_DATOS!$C$1525,70,MOD($A581-1,70)+1)-2)/2)+1,CROQUIS_DATOS!$C$1541))))*CROQUIS_DATOS!$C$1561*CROQUIS_DATOS!$C$1562),-1000)</f>
        <v>40.2068965517241</v>
      </c>
    </row>
    <row r="582">
      <c r="A582" t="n">
        <v>575</v>
      </c>
      <c r="N582">
        <f>IF(AND(CROQUIS_DATOS!$C$1472=1,1),(CROQUIS_DATOS!$C$1563+(IF(IF(IF(INT(($A582-1)/70)+1&gt;CROQUIS_DATOS!$C$1525,70,MOD($A582-1,70)+1)=1,0,IF(IF(INT(($A582-1)/70)+1&gt;CROQUIS_DATOS!$C$1525,70,MOD($A582-1,70)+1)&gt;2*CROQUIS_DATOS!$C$1541+1,IF(MOD(CROQUIS_DATOS!$C$1541,2)=1,1,0),IF(MOD(MIN(INT((IF(INT(($A582-1)/70)+1&gt;CROQUIS_DATOS!$C$1525,70,MOD($A582-1,70)+1)-2)/2)+1,CROQUIS_DATOS!$C$1541),2)=1,IF(MOD(IF(INT(($A582-1)/70)+1&gt;CROQUIS_DATOS!$C$1525,70,MOD($A582-1,70)+1)-2,2)=0,0,1),IF(MOD(IF(INT(($A582-1)/70)+1&gt;CROQUIS_DATOS!$C$1525,70,MOD($A582-1,70)+1)-2,2)=0,1,0))))=0,(INDEX($E$8:$E$23,MIN(INT(($A582-1)/70)+1,CROQUIS_DATOS!$C$1525))-INDEX($F$8:$F$23,MIN(INT(($A582-1)/70)+1,CROQUIS_DATOS!$C$1525))/2),(INDEX($E$8:$E$23,MIN(INT(($A582-1)/70)+1,CROQUIS_DATOS!$C$1525))+INDEX($F$8:$F$23,MIN(INT(($A582-1)/70)+1,CROQUIS_DATOS!$C$1525))/2)))*CROQUIS_DATOS!$C$1562),-1000)</f>
        <v>82.8189655172414</v>
      </c>
      <c r="O582">
        <f>IF(AND(CROQUIS_DATOS!$C$1472=1,1),(CROQUIS_DATOS!$C$1564+(IF(OR(IF(INT(($A582-1)/70)+1&gt;CROQUIS_DATOS!$C$1525,70,MOD($A582-1,70)+1)=1,IF(INT(($A582-1)/70)+1&gt;CROQUIS_DATOS!$C$1525,70,MOD($A582-1,70)+1)&gt;2*CROQUIS_DATOS!$C$1541+1),CROQUIS_DATOS!$C$1476,INDEX($H$8:$H$41,MIN(INT((IF(INT(($A582-1)/70)+1&gt;CROQUIS_DATOS!$C$1525,70,MOD($A582-1,70)+1)-2)/2)+1,CROQUIS_DATOS!$C$1541))))*CROQUIS_DATOS!$C$1561*CROQUIS_DATOS!$C$1562),-1000)</f>
        <v>40.2068965517241</v>
      </c>
    </row>
    <row r="583">
      <c r="A583" t="n">
        <v>576</v>
      </c>
      <c r="N583">
        <f>IF(AND(CROQUIS_DATOS!$C$1472=1,1),(CROQUIS_DATOS!$C$1563+(IF(IF(IF(INT(($A583-1)/70)+1&gt;CROQUIS_DATOS!$C$1525,70,MOD($A583-1,70)+1)=1,0,IF(IF(INT(($A583-1)/70)+1&gt;CROQUIS_DATOS!$C$1525,70,MOD($A583-1,70)+1)&gt;2*CROQUIS_DATOS!$C$1541+1,IF(MOD(CROQUIS_DATOS!$C$1541,2)=1,1,0),IF(MOD(MIN(INT((IF(INT(($A583-1)/70)+1&gt;CROQUIS_DATOS!$C$1525,70,MOD($A583-1,70)+1)-2)/2)+1,CROQUIS_DATOS!$C$1541),2)=1,IF(MOD(IF(INT(($A583-1)/70)+1&gt;CROQUIS_DATOS!$C$1525,70,MOD($A583-1,70)+1)-2,2)=0,0,1),IF(MOD(IF(INT(($A583-1)/70)+1&gt;CROQUIS_DATOS!$C$1525,70,MOD($A583-1,70)+1)-2,2)=0,1,0))))=0,(INDEX($E$8:$E$23,MIN(INT(($A583-1)/70)+1,CROQUIS_DATOS!$C$1525))-INDEX($F$8:$F$23,MIN(INT(($A583-1)/70)+1,CROQUIS_DATOS!$C$1525))/2),(INDEX($E$8:$E$23,MIN(INT(($A583-1)/70)+1,CROQUIS_DATOS!$C$1525))+INDEX($F$8:$F$23,MIN(INT(($A583-1)/70)+1,CROQUIS_DATOS!$C$1525))/2)))*CROQUIS_DATOS!$C$1562),-1000)</f>
        <v>82.8189655172414</v>
      </c>
      <c r="O583">
        <f>IF(AND(CROQUIS_DATOS!$C$1472=1,1),(CROQUIS_DATOS!$C$1564+(IF(OR(IF(INT(($A583-1)/70)+1&gt;CROQUIS_DATOS!$C$1525,70,MOD($A583-1,70)+1)=1,IF(INT(($A583-1)/70)+1&gt;CROQUIS_DATOS!$C$1525,70,MOD($A583-1,70)+1)&gt;2*CROQUIS_DATOS!$C$1541+1),CROQUIS_DATOS!$C$1476,INDEX($H$8:$H$41,MIN(INT((IF(INT(($A583-1)/70)+1&gt;CROQUIS_DATOS!$C$1525,70,MOD($A583-1,70)+1)-2)/2)+1,CROQUIS_DATOS!$C$1541))))*CROQUIS_DATOS!$C$1561*CROQUIS_DATOS!$C$1562),-1000)</f>
        <v>40.2068965517241</v>
      </c>
    </row>
    <row r="584">
      <c r="A584" t="n">
        <v>577</v>
      </c>
      <c r="N584">
        <f>IF(AND(CROQUIS_DATOS!$C$1472=1,1),(CROQUIS_DATOS!$C$1563+(IF(IF(IF(INT(($A584-1)/70)+1&gt;CROQUIS_DATOS!$C$1525,70,MOD($A584-1,70)+1)=1,0,IF(IF(INT(($A584-1)/70)+1&gt;CROQUIS_DATOS!$C$1525,70,MOD($A584-1,70)+1)&gt;2*CROQUIS_DATOS!$C$1541+1,IF(MOD(CROQUIS_DATOS!$C$1541,2)=1,1,0),IF(MOD(MIN(INT((IF(INT(($A584-1)/70)+1&gt;CROQUIS_DATOS!$C$1525,70,MOD($A584-1,70)+1)-2)/2)+1,CROQUIS_DATOS!$C$1541),2)=1,IF(MOD(IF(INT(($A584-1)/70)+1&gt;CROQUIS_DATOS!$C$1525,70,MOD($A584-1,70)+1)-2,2)=0,0,1),IF(MOD(IF(INT(($A584-1)/70)+1&gt;CROQUIS_DATOS!$C$1525,70,MOD($A584-1,70)+1)-2,2)=0,1,0))))=0,(INDEX($E$8:$E$23,MIN(INT(($A584-1)/70)+1,CROQUIS_DATOS!$C$1525))-INDEX($F$8:$F$23,MIN(INT(($A584-1)/70)+1,CROQUIS_DATOS!$C$1525))/2),(INDEX($E$8:$E$23,MIN(INT(($A584-1)/70)+1,CROQUIS_DATOS!$C$1525))+INDEX($F$8:$F$23,MIN(INT(($A584-1)/70)+1,CROQUIS_DATOS!$C$1525))/2)))*CROQUIS_DATOS!$C$1562),-1000)</f>
        <v>82.8189655172414</v>
      </c>
      <c r="O584">
        <f>IF(AND(CROQUIS_DATOS!$C$1472=1,1),(CROQUIS_DATOS!$C$1564+(IF(OR(IF(INT(($A584-1)/70)+1&gt;CROQUIS_DATOS!$C$1525,70,MOD($A584-1,70)+1)=1,IF(INT(($A584-1)/70)+1&gt;CROQUIS_DATOS!$C$1525,70,MOD($A584-1,70)+1)&gt;2*CROQUIS_DATOS!$C$1541+1),CROQUIS_DATOS!$C$1476,INDEX($H$8:$H$41,MIN(INT((IF(INT(($A584-1)/70)+1&gt;CROQUIS_DATOS!$C$1525,70,MOD($A584-1,70)+1)-2)/2)+1,CROQUIS_DATOS!$C$1541))))*CROQUIS_DATOS!$C$1561*CROQUIS_DATOS!$C$1562),-1000)</f>
        <v>40.2068965517241</v>
      </c>
    </row>
    <row r="585">
      <c r="A585" t="n">
        <v>578</v>
      </c>
      <c r="N585">
        <f>IF(AND(CROQUIS_DATOS!$C$1472=1,1),(CROQUIS_DATOS!$C$1563+(IF(IF(IF(INT(($A585-1)/70)+1&gt;CROQUIS_DATOS!$C$1525,70,MOD($A585-1,70)+1)=1,0,IF(IF(INT(($A585-1)/70)+1&gt;CROQUIS_DATOS!$C$1525,70,MOD($A585-1,70)+1)&gt;2*CROQUIS_DATOS!$C$1541+1,IF(MOD(CROQUIS_DATOS!$C$1541,2)=1,1,0),IF(MOD(MIN(INT((IF(INT(($A585-1)/70)+1&gt;CROQUIS_DATOS!$C$1525,70,MOD($A585-1,70)+1)-2)/2)+1,CROQUIS_DATOS!$C$1541),2)=1,IF(MOD(IF(INT(($A585-1)/70)+1&gt;CROQUIS_DATOS!$C$1525,70,MOD($A585-1,70)+1)-2,2)=0,0,1),IF(MOD(IF(INT(($A585-1)/70)+1&gt;CROQUIS_DATOS!$C$1525,70,MOD($A585-1,70)+1)-2,2)=0,1,0))))=0,(INDEX($E$8:$E$23,MIN(INT(($A585-1)/70)+1,CROQUIS_DATOS!$C$1525))-INDEX($F$8:$F$23,MIN(INT(($A585-1)/70)+1,CROQUIS_DATOS!$C$1525))/2),(INDEX($E$8:$E$23,MIN(INT(($A585-1)/70)+1,CROQUIS_DATOS!$C$1525))+INDEX($F$8:$F$23,MIN(INT(($A585-1)/70)+1,CROQUIS_DATOS!$C$1525))/2)))*CROQUIS_DATOS!$C$1562),-1000)</f>
        <v>82.8189655172414</v>
      </c>
      <c r="O585">
        <f>IF(AND(CROQUIS_DATOS!$C$1472=1,1),(CROQUIS_DATOS!$C$1564+(IF(OR(IF(INT(($A585-1)/70)+1&gt;CROQUIS_DATOS!$C$1525,70,MOD($A585-1,70)+1)=1,IF(INT(($A585-1)/70)+1&gt;CROQUIS_DATOS!$C$1525,70,MOD($A585-1,70)+1)&gt;2*CROQUIS_DATOS!$C$1541+1),CROQUIS_DATOS!$C$1476,INDEX($H$8:$H$41,MIN(INT((IF(INT(($A585-1)/70)+1&gt;CROQUIS_DATOS!$C$1525,70,MOD($A585-1,70)+1)-2)/2)+1,CROQUIS_DATOS!$C$1541))))*CROQUIS_DATOS!$C$1561*CROQUIS_DATOS!$C$1562),-1000)</f>
        <v>40.2068965517241</v>
      </c>
    </row>
    <row r="586">
      <c r="A586" t="n">
        <v>579</v>
      </c>
      <c r="N586">
        <f>IF(AND(CROQUIS_DATOS!$C$1472=1,1),(CROQUIS_DATOS!$C$1563+(IF(IF(IF(INT(($A586-1)/70)+1&gt;CROQUIS_DATOS!$C$1525,70,MOD($A586-1,70)+1)=1,0,IF(IF(INT(($A586-1)/70)+1&gt;CROQUIS_DATOS!$C$1525,70,MOD($A586-1,70)+1)&gt;2*CROQUIS_DATOS!$C$1541+1,IF(MOD(CROQUIS_DATOS!$C$1541,2)=1,1,0),IF(MOD(MIN(INT((IF(INT(($A586-1)/70)+1&gt;CROQUIS_DATOS!$C$1525,70,MOD($A586-1,70)+1)-2)/2)+1,CROQUIS_DATOS!$C$1541),2)=1,IF(MOD(IF(INT(($A586-1)/70)+1&gt;CROQUIS_DATOS!$C$1525,70,MOD($A586-1,70)+1)-2,2)=0,0,1),IF(MOD(IF(INT(($A586-1)/70)+1&gt;CROQUIS_DATOS!$C$1525,70,MOD($A586-1,70)+1)-2,2)=0,1,0))))=0,(INDEX($E$8:$E$23,MIN(INT(($A586-1)/70)+1,CROQUIS_DATOS!$C$1525))-INDEX($F$8:$F$23,MIN(INT(($A586-1)/70)+1,CROQUIS_DATOS!$C$1525))/2),(INDEX($E$8:$E$23,MIN(INT(($A586-1)/70)+1,CROQUIS_DATOS!$C$1525))+INDEX($F$8:$F$23,MIN(INT(($A586-1)/70)+1,CROQUIS_DATOS!$C$1525))/2)))*CROQUIS_DATOS!$C$1562),-1000)</f>
        <v>82.8189655172414</v>
      </c>
      <c r="O586">
        <f>IF(AND(CROQUIS_DATOS!$C$1472=1,1),(CROQUIS_DATOS!$C$1564+(IF(OR(IF(INT(($A586-1)/70)+1&gt;CROQUIS_DATOS!$C$1525,70,MOD($A586-1,70)+1)=1,IF(INT(($A586-1)/70)+1&gt;CROQUIS_DATOS!$C$1525,70,MOD($A586-1,70)+1)&gt;2*CROQUIS_DATOS!$C$1541+1),CROQUIS_DATOS!$C$1476,INDEX($H$8:$H$41,MIN(INT((IF(INT(($A586-1)/70)+1&gt;CROQUIS_DATOS!$C$1525,70,MOD($A586-1,70)+1)-2)/2)+1,CROQUIS_DATOS!$C$1541))))*CROQUIS_DATOS!$C$1561*CROQUIS_DATOS!$C$1562),-1000)</f>
        <v>40.2068965517241</v>
      </c>
    </row>
    <row r="587">
      <c r="A587" t="n">
        <v>580</v>
      </c>
      <c r="N587">
        <f>IF(AND(CROQUIS_DATOS!$C$1472=1,1),(CROQUIS_DATOS!$C$1563+(IF(IF(IF(INT(($A587-1)/70)+1&gt;CROQUIS_DATOS!$C$1525,70,MOD($A587-1,70)+1)=1,0,IF(IF(INT(($A587-1)/70)+1&gt;CROQUIS_DATOS!$C$1525,70,MOD($A587-1,70)+1)&gt;2*CROQUIS_DATOS!$C$1541+1,IF(MOD(CROQUIS_DATOS!$C$1541,2)=1,1,0),IF(MOD(MIN(INT((IF(INT(($A587-1)/70)+1&gt;CROQUIS_DATOS!$C$1525,70,MOD($A587-1,70)+1)-2)/2)+1,CROQUIS_DATOS!$C$1541),2)=1,IF(MOD(IF(INT(($A587-1)/70)+1&gt;CROQUIS_DATOS!$C$1525,70,MOD($A587-1,70)+1)-2,2)=0,0,1),IF(MOD(IF(INT(($A587-1)/70)+1&gt;CROQUIS_DATOS!$C$1525,70,MOD($A587-1,70)+1)-2,2)=0,1,0))))=0,(INDEX($E$8:$E$23,MIN(INT(($A587-1)/70)+1,CROQUIS_DATOS!$C$1525))-INDEX($F$8:$F$23,MIN(INT(($A587-1)/70)+1,CROQUIS_DATOS!$C$1525))/2),(INDEX($E$8:$E$23,MIN(INT(($A587-1)/70)+1,CROQUIS_DATOS!$C$1525))+INDEX($F$8:$F$23,MIN(INT(($A587-1)/70)+1,CROQUIS_DATOS!$C$1525))/2)))*CROQUIS_DATOS!$C$1562),-1000)</f>
        <v>82.8189655172414</v>
      </c>
      <c r="O587">
        <f>IF(AND(CROQUIS_DATOS!$C$1472=1,1),(CROQUIS_DATOS!$C$1564+(IF(OR(IF(INT(($A587-1)/70)+1&gt;CROQUIS_DATOS!$C$1525,70,MOD($A587-1,70)+1)=1,IF(INT(($A587-1)/70)+1&gt;CROQUIS_DATOS!$C$1525,70,MOD($A587-1,70)+1)&gt;2*CROQUIS_DATOS!$C$1541+1),CROQUIS_DATOS!$C$1476,INDEX($H$8:$H$41,MIN(INT((IF(INT(($A587-1)/70)+1&gt;CROQUIS_DATOS!$C$1525,70,MOD($A587-1,70)+1)-2)/2)+1,CROQUIS_DATOS!$C$1541))))*CROQUIS_DATOS!$C$1561*CROQUIS_DATOS!$C$1562),-1000)</f>
        <v>40.2068965517241</v>
      </c>
    </row>
    <row r="588">
      <c r="A588" t="n">
        <v>581</v>
      </c>
      <c r="N588">
        <f>IF(AND(CROQUIS_DATOS!$C$1472=1,1),(CROQUIS_DATOS!$C$1563+(IF(IF(IF(INT(($A588-1)/70)+1&gt;CROQUIS_DATOS!$C$1525,70,MOD($A588-1,70)+1)=1,0,IF(IF(INT(($A588-1)/70)+1&gt;CROQUIS_DATOS!$C$1525,70,MOD($A588-1,70)+1)&gt;2*CROQUIS_DATOS!$C$1541+1,IF(MOD(CROQUIS_DATOS!$C$1541,2)=1,1,0),IF(MOD(MIN(INT((IF(INT(($A588-1)/70)+1&gt;CROQUIS_DATOS!$C$1525,70,MOD($A588-1,70)+1)-2)/2)+1,CROQUIS_DATOS!$C$1541),2)=1,IF(MOD(IF(INT(($A588-1)/70)+1&gt;CROQUIS_DATOS!$C$1525,70,MOD($A588-1,70)+1)-2,2)=0,0,1),IF(MOD(IF(INT(($A588-1)/70)+1&gt;CROQUIS_DATOS!$C$1525,70,MOD($A588-1,70)+1)-2,2)=0,1,0))))=0,(INDEX($E$8:$E$23,MIN(INT(($A588-1)/70)+1,CROQUIS_DATOS!$C$1525))-INDEX($F$8:$F$23,MIN(INT(($A588-1)/70)+1,CROQUIS_DATOS!$C$1525))/2),(INDEX($E$8:$E$23,MIN(INT(($A588-1)/70)+1,CROQUIS_DATOS!$C$1525))+INDEX($F$8:$F$23,MIN(INT(($A588-1)/70)+1,CROQUIS_DATOS!$C$1525))/2)))*CROQUIS_DATOS!$C$1562),-1000)</f>
        <v>82.8189655172414</v>
      </c>
      <c r="O588">
        <f>IF(AND(CROQUIS_DATOS!$C$1472=1,1),(CROQUIS_DATOS!$C$1564+(IF(OR(IF(INT(($A588-1)/70)+1&gt;CROQUIS_DATOS!$C$1525,70,MOD($A588-1,70)+1)=1,IF(INT(($A588-1)/70)+1&gt;CROQUIS_DATOS!$C$1525,70,MOD($A588-1,70)+1)&gt;2*CROQUIS_DATOS!$C$1541+1),CROQUIS_DATOS!$C$1476,INDEX($H$8:$H$41,MIN(INT((IF(INT(($A588-1)/70)+1&gt;CROQUIS_DATOS!$C$1525,70,MOD($A588-1,70)+1)-2)/2)+1,CROQUIS_DATOS!$C$1541))))*CROQUIS_DATOS!$C$1561*CROQUIS_DATOS!$C$1562),-1000)</f>
        <v>40.2068965517241</v>
      </c>
    </row>
    <row r="589">
      <c r="A589" t="n">
        <v>582</v>
      </c>
      <c r="N589">
        <f>IF(AND(CROQUIS_DATOS!$C$1472=1,1),(CROQUIS_DATOS!$C$1563+(IF(IF(IF(INT(($A589-1)/70)+1&gt;CROQUIS_DATOS!$C$1525,70,MOD($A589-1,70)+1)=1,0,IF(IF(INT(($A589-1)/70)+1&gt;CROQUIS_DATOS!$C$1525,70,MOD($A589-1,70)+1)&gt;2*CROQUIS_DATOS!$C$1541+1,IF(MOD(CROQUIS_DATOS!$C$1541,2)=1,1,0),IF(MOD(MIN(INT((IF(INT(($A589-1)/70)+1&gt;CROQUIS_DATOS!$C$1525,70,MOD($A589-1,70)+1)-2)/2)+1,CROQUIS_DATOS!$C$1541),2)=1,IF(MOD(IF(INT(($A589-1)/70)+1&gt;CROQUIS_DATOS!$C$1525,70,MOD($A589-1,70)+1)-2,2)=0,0,1),IF(MOD(IF(INT(($A589-1)/70)+1&gt;CROQUIS_DATOS!$C$1525,70,MOD($A589-1,70)+1)-2,2)=0,1,0))))=0,(INDEX($E$8:$E$23,MIN(INT(($A589-1)/70)+1,CROQUIS_DATOS!$C$1525))-INDEX($F$8:$F$23,MIN(INT(($A589-1)/70)+1,CROQUIS_DATOS!$C$1525))/2),(INDEX($E$8:$E$23,MIN(INT(($A589-1)/70)+1,CROQUIS_DATOS!$C$1525))+INDEX($F$8:$F$23,MIN(INT(($A589-1)/70)+1,CROQUIS_DATOS!$C$1525))/2)))*CROQUIS_DATOS!$C$1562),-1000)</f>
        <v>82.8189655172414</v>
      </c>
      <c r="O589">
        <f>IF(AND(CROQUIS_DATOS!$C$1472=1,1),(CROQUIS_DATOS!$C$1564+(IF(OR(IF(INT(($A589-1)/70)+1&gt;CROQUIS_DATOS!$C$1525,70,MOD($A589-1,70)+1)=1,IF(INT(($A589-1)/70)+1&gt;CROQUIS_DATOS!$C$1525,70,MOD($A589-1,70)+1)&gt;2*CROQUIS_DATOS!$C$1541+1),CROQUIS_DATOS!$C$1476,INDEX($H$8:$H$41,MIN(INT((IF(INT(($A589-1)/70)+1&gt;CROQUIS_DATOS!$C$1525,70,MOD($A589-1,70)+1)-2)/2)+1,CROQUIS_DATOS!$C$1541))))*CROQUIS_DATOS!$C$1561*CROQUIS_DATOS!$C$1562),-1000)</f>
        <v>40.2068965517241</v>
      </c>
    </row>
    <row r="590">
      <c r="A590" t="n">
        <v>583</v>
      </c>
      <c r="N590">
        <f>IF(AND(CROQUIS_DATOS!$C$1472=1,1),(CROQUIS_DATOS!$C$1563+(IF(IF(IF(INT(($A590-1)/70)+1&gt;CROQUIS_DATOS!$C$1525,70,MOD($A590-1,70)+1)=1,0,IF(IF(INT(($A590-1)/70)+1&gt;CROQUIS_DATOS!$C$1525,70,MOD($A590-1,70)+1)&gt;2*CROQUIS_DATOS!$C$1541+1,IF(MOD(CROQUIS_DATOS!$C$1541,2)=1,1,0),IF(MOD(MIN(INT((IF(INT(($A590-1)/70)+1&gt;CROQUIS_DATOS!$C$1525,70,MOD($A590-1,70)+1)-2)/2)+1,CROQUIS_DATOS!$C$1541),2)=1,IF(MOD(IF(INT(($A590-1)/70)+1&gt;CROQUIS_DATOS!$C$1525,70,MOD($A590-1,70)+1)-2,2)=0,0,1),IF(MOD(IF(INT(($A590-1)/70)+1&gt;CROQUIS_DATOS!$C$1525,70,MOD($A590-1,70)+1)-2,2)=0,1,0))))=0,(INDEX($E$8:$E$23,MIN(INT(($A590-1)/70)+1,CROQUIS_DATOS!$C$1525))-INDEX($F$8:$F$23,MIN(INT(($A590-1)/70)+1,CROQUIS_DATOS!$C$1525))/2),(INDEX($E$8:$E$23,MIN(INT(($A590-1)/70)+1,CROQUIS_DATOS!$C$1525))+INDEX($F$8:$F$23,MIN(INT(($A590-1)/70)+1,CROQUIS_DATOS!$C$1525))/2)))*CROQUIS_DATOS!$C$1562),-1000)</f>
        <v>82.8189655172414</v>
      </c>
      <c r="O590">
        <f>IF(AND(CROQUIS_DATOS!$C$1472=1,1),(CROQUIS_DATOS!$C$1564+(IF(OR(IF(INT(($A590-1)/70)+1&gt;CROQUIS_DATOS!$C$1525,70,MOD($A590-1,70)+1)=1,IF(INT(($A590-1)/70)+1&gt;CROQUIS_DATOS!$C$1525,70,MOD($A590-1,70)+1)&gt;2*CROQUIS_DATOS!$C$1541+1),CROQUIS_DATOS!$C$1476,INDEX($H$8:$H$41,MIN(INT((IF(INT(($A590-1)/70)+1&gt;CROQUIS_DATOS!$C$1525,70,MOD($A590-1,70)+1)-2)/2)+1,CROQUIS_DATOS!$C$1541))))*CROQUIS_DATOS!$C$1561*CROQUIS_DATOS!$C$1562),-1000)</f>
        <v>40.2068965517241</v>
      </c>
    </row>
    <row r="591">
      <c r="A591" t="n">
        <v>584</v>
      </c>
      <c r="N591">
        <f>IF(AND(CROQUIS_DATOS!$C$1472=1,1),(CROQUIS_DATOS!$C$1563+(IF(IF(IF(INT(($A591-1)/70)+1&gt;CROQUIS_DATOS!$C$1525,70,MOD($A591-1,70)+1)=1,0,IF(IF(INT(($A591-1)/70)+1&gt;CROQUIS_DATOS!$C$1525,70,MOD($A591-1,70)+1)&gt;2*CROQUIS_DATOS!$C$1541+1,IF(MOD(CROQUIS_DATOS!$C$1541,2)=1,1,0),IF(MOD(MIN(INT((IF(INT(($A591-1)/70)+1&gt;CROQUIS_DATOS!$C$1525,70,MOD($A591-1,70)+1)-2)/2)+1,CROQUIS_DATOS!$C$1541),2)=1,IF(MOD(IF(INT(($A591-1)/70)+1&gt;CROQUIS_DATOS!$C$1525,70,MOD($A591-1,70)+1)-2,2)=0,0,1),IF(MOD(IF(INT(($A591-1)/70)+1&gt;CROQUIS_DATOS!$C$1525,70,MOD($A591-1,70)+1)-2,2)=0,1,0))))=0,(INDEX($E$8:$E$23,MIN(INT(($A591-1)/70)+1,CROQUIS_DATOS!$C$1525))-INDEX($F$8:$F$23,MIN(INT(($A591-1)/70)+1,CROQUIS_DATOS!$C$1525))/2),(INDEX($E$8:$E$23,MIN(INT(($A591-1)/70)+1,CROQUIS_DATOS!$C$1525))+INDEX($F$8:$F$23,MIN(INT(($A591-1)/70)+1,CROQUIS_DATOS!$C$1525))/2)))*CROQUIS_DATOS!$C$1562),-1000)</f>
        <v>82.8189655172414</v>
      </c>
      <c r="O591">
        <f>IF(AND(CROQUIS_DATOS!$C$1472=1,1),(CROQUIS_DATOS!$C$1564+(IF(OR(IF(INT(($A591-1)/70)+1&gt;CROQUIS_DATOS!$C$1525,70,MOD($A591-1,70)+1)=1,IF(INT(($A591-1)/70)+1&gt;CROQUIS_DATOS!$C$1525,70,MOD($A591-1,70)+1)&gt;2*CROQUIS_DATOS!$C$1541+1),CROQUIS_DATOS!$C$1476,INDEX($H$8:$H$41,MIN(INT((IF(INT(($A591-1)/70)+1&gt;CROQUIS_DATOS!$C$1525,70,MOD($A591-1,70)+1)-2)/2)+1,CROQUIS_DATOS!$C$1541))))*CROQUIS_DATOS!$C$1561*CROQUIS_DATOS!$C$1562),-1000)</f>
        <v>40.2068965517241</v>
      </c>
    </row>
    <row r="592">
      <c r="A592" t="n">
        <v>585</v>
      </c>
      <c r="N592">
        <f>IF(AND(CROQUIS_DATOS!$C$1472=1,1),(CROQUIS_DATOS!$C$1563+(IF(IF(IF(INT(($A592-1)/70)+1&gt;CROQUIS_DATOS!$C$1525,70,MOD($A592-1,70)+1)=1,0,IF(IF(INT(($A592-1)/70)+1&gt;CROQUIS_DATOS!$C$1525,70,MOD($A592-1,70)+1)&gt;2*CROQUIS_DATOS!$C$1541+1,IF(MOD(CROQUIS_DATOS!$C$1541,2)=1,1,0),IF(MOD(MIN(INT((IF(INT(($A592-1)/70)+1&gt;CROQUIS_DATOS!$C$1525,70,MOD($A592-1,70)+1)-2)/2)+1,CROQUIS_DATOS!$C$1541),2)=1,IF(MOD(IF(INT(($A592-1)/70)+1&gt;CROQUIS_DATOS!$C$1525,70,MOD($A592-1,70)+1)-2,2)=0,0,1),IF(MOD(IF(INT(($A592-1)/70)+1&gt;CROQUIS_DATOS!$C$1525,70,MOD($A592-1,70)+1)-2,2)=0,1,0))))=0,(INDEX($E$8:$E$23,MIN(INT(($A592-1)/70)+1,CROQUIS_DATOS!$C$1525))-INDEX($F$8:$F$23,MIN(INT(($A592-1)/70)+1,CROQUIS_DATOS!$C$1525))/2),(INDEX($E$8:$E$23,MIN(INT(($A592-1)/70)+1,CROQUIS_DATOS!$C$1525))+INDEX($F$8:$F$23,MIN(INT(($A592-1)/70)+1,CROQUIS_DATOS!$C$1525))/2)))*CROQUIS_DATOS!$C$1562),-1000)</f>
        <v>82.8189655172414</v>
      </c>
      <c r="O592">
        <f>IF(AND(CROQUIS_DATOS!$C$1472=1,1),(CROQUIS_DATOS!$C$1564+(IF(OR(IF(INT(($A592-1)/70)+1&gt;CROQUIS_DATOS!$C$1525,70,MOD($A592-1,70)+1)=1,IF(INT(($A592-1)/70)+1&gt;CROQUIS_DATOS!$C$1525,70,MOD($A592-1,70)+1)&gt;2*CROQUIS_DATOS!$C$1541+1),CROQUIS_DATOS!$C$1476,INDEX($H$8:$H$41,MIN(INT((IF(INT(($A592-1)/70)+1&gt;CROQUIS_DATOS!$C$1525,70,MOD($A592-1,70)+1)-2)/2)+1,CROQUIS_DATOS!$C$1541))))*CROQUIS_DATOS!$C$1561*CROQUIS_DATOS!$C$1562),-1000)</f>
        <v>40.2068965517241</v>
      </c>
    </row>
    <row r="593">
      <c r="A593" t="n">
        <v>586</v>
      </c>
      <c r="N593">
        <f>IF(AND(CROQUIS_DATOS!$C$1472=1,1),(CROQUIS_DATOS!$C$1563+(IF(IF(IF(INT(($A593-1)/70)+1&gt;CROQUIS_DATOS!$C$1525,70,MOD($A593-1,70)+1)=1,0,IF(IF(INT(($A593-1)/70)+1&gt;CROQUIS_DATOS!$C$1525,70,MOD($A593-1,70)+1)&gt;2*CROQUIS_DATOS!$C$1541+1,IF(MOD(CROQUIS_DATOS!$C$1541,2)=1,1,0),IF(MOD(MIN(INT((IF(INT(($A593-1)/70)+1&gt;CROQUIS_DATOS!$C$1525,70,MOD($A593-1,70)+1)-2)/2)+1,CROQUIS_DATOS!$C$1541),2)=1,IF(MOD(IF(INT(($A593-1)/70)+1&gt;CROQUIS_DATOS!$C$1525,70,MOD($A593-1,70)+1)-2,2)=0,0,1),IF(MOD(IF(INT(($A593-1)/70)+1&gt;CROQUIS_DATOS!$C$1525,70,MOD($A593-1,70)+1)-2,2)=0,1,0))))=0,(INDEX($E$8:$E$23,MIN(INT(($A593-1)/70)+1,CROQUIS_DATOS!$C$1525))-INDEX($F$8:$F$23,MIN(INT(($A593-1)/70)+1,CROQUIS_DATOS!$C$1525))/2),(INDEX($E$8:$E$23,MIN(INT(($A593-1)/70)+1,CROQUIS_DATOS!$C$1525))+INDEX($F$8:$F$23,MIN(INT(($A593-1)/70)+1,CROQUIS_DATOS!$C$1525))/2)))*CROQUIS_DATOS!$C$1562),-1000)</f>
        <v>82.8189655172414</v>
      </c>
      <c r="O593">
        <f>IF(AND(CROQUIS_DATOS!$C$1472=1,1),(CROQUIS_DATOS!$C$1564+(IF(OR(IF(INT(($A593-1)/70)+1&gt;CROQUIS_DATOS!$C$1525,70,MOD($A593-1,70)+1)=1,IF(INT(($A593-1)/70)+1&gt;CROQUIS_DATOS!$C$1525,70,MOD($A593-1,70)+1)&gt;2*CROQUIS_DATOS!$C$1541+1),CROQUIS_DATOS!$C$1476,INDEX($H$8:$H$41,MIN(INT((IF(INT(($A593-1)/70)+1&gt;CROQUIS_DATOS!$C$1525,70,MOD($A593-1,70)+1)-2)/2)+1,CROQUIS_DATOS!$C$1541))))*CROQUIS_DATOS!$C$1561*CROQUIS_DATOS!$C$1562),-1000)</f>
        <v>40.2068965517241</v>
      </c>
    </row>
    <row r="594">
      <c r="A594" t="n">
        <v>587</v>
      </c>
      <c r="N594">
        <f>IF(AND(CROQUIS_DATOS!$C$1472=1,1),(CROQUIS_DATOS!$C$1563+(IF(IF(IF(INT(($A594-1)/70)+1&gt;CROQUIS_DATOS!$C$1525,70,MOD($A594-1,70)+1)=1,0,IF(IF(INT(($A594-1)/70)+1&gt;CROQUIS_DATOS!$C$1525,70,MOD($A594-1,70)+1)&gt;2*CROQUIS_DATOS!$C$1541+1,IF(MOD(CROQUIS_DATOS!$C$1541,2)=1,1,0),IF(MOD(MIN(INT((IF(INT(($A594-1)/70)+1&gt;CROQUIS_DATOS!$C$1525,70,MOD($A594-1,70)+1)-2)/2)+1,CROQUIS_DATOS!$C$1541),2)=1,IF(MOD(IF(INT(($A594-1)/70)+1&gt;CROQUIS_DATOS!$C$1525,70,MOD($A594-1,70)+1)-2,2)=0,0,1),IF(MOD(IF(INT(($A594-1)/70)+1&gt;CROQUIS_DATOS!$C$1525,70,MOD($A594-1,70)+1)-2,2)=0,1,0))))=0,(INDEX($E$8:$E$23,MIN(INT(($A594-1)/70)+1,CROQUIS_DATOS!$C$1525))-INDEX($F$8:$F$23,MIN(INT(($A594-1)/70)+1,CROQUIS_DATOS!$C$1525))/2),(INDEX($E$8:$E$23,MIN(INT(($A594-1)/70)+1,CROQUIS_DATOS!$C$1525))+INDEX($F$8:$F$23,MIN(INT(($A594-1)/70)+1,CROQUIS_DATOS!$C$1525))/2)))*CROQUIS_DATOS!$C$1562),-1000)</f>
        <v>82.8189655172414</v>
      </c>
      <c r="O594">
        <f>IF(AND(CROQUIS_DATOS!$C$1472=1,1),(CROQUIS_DATOS!$C$1564+(IF(OR(IF(INT(($A594-1)/70)+1&gt;CROQUIS_DATOS!$C$1525,70,MOD($A594-1,70)+1)=1,IF(INT(($A594-1)/70)+1&gt;CROQUIS_DATOS!$C$1525,70,MOD($A594-1,70)+1)&gt;2*CROQUIS_DATOS!$C$1541+1),CROQUIS_DATOS!$C$1476,INDEX($H$8:$H$41,MIN(INT((IF(INT(($A594-1)/70)+1&gt;CROQUIS_DATOS!$C$1525,70,MOD($A594-1,70)+1)-2)/2)+1,CROQUIS_DATOS!$C$1541))))*CROQUIS_DATOS!$C$1561*CROQUIS_DATOS!$C$1562),-1000)</f>
        <v>40.2068965517241</v>
      </c>
    </row>
    <row r="595">
      <c r="A595" t="n">
        <v>588</v>
      </c>
      <c r="N595">
        <f>IF(AND(CROQUIS_DATOS!$C$1472=1,1),(CROQUIS_DATOS!$C$1563+(IF(IF(IF(INT(($A595-1)/70)+1&gt;CROQUIS_DATOS!$C$1525,70,MOD($A595-1,70)+1)=1,0,IF(IF(INT(($A595-1)/70)+1&gt;CROQUIS_DATOS!$C$1525,70,MOD($A595-1,70)+1)&gt;2*CROQUIS_DATOS!$C$1541+1,IF(MOD(CROQUIS_DATOS!$C$1541,2)=1,1,0),IF(MOD(MIN(INT((IF(INT(($A595-1)/70)+1&gt;CROQUIS_DATOS!$C$1525,70,MOD($A595-1,70)+1)-2)/2)+1,CROQUIS_DATOS!$C$1541),2)=1,IF(MOD(IF(INT(($A595-1)/70)+1&gt;CROQUIS_DATOS!$C$1525,70,MOD($A595-1,70)+1)-2,2)=0,0,1),IF(MOD(IF(INT(($A595-1)/70)+1&gt;CROQUIS_DATOS!$C$1525,70,MOD($A595-1,70)+1)-2,2)=0,1,0))))=0,(INDEX($E$8:$E$23,MIN(INT(($A595-1)/70)+1,CROQUIS_DATOS!$C$1525))-INDEX($F$8:$F$23,MIN(INT(($A595-1)/70)+1,CROQUIS_DATOS!$C$1525))/2),(INDEX($E$8:$E$23,MIN(INT(($A595-1)/70)+1,CROQUIS_DATOS!$C$1525))+INDEX($F$8:$F$23,MIN(INT(($A595-1)/70)+1,CROQUIS_DATOS!$C$1525))/2)))*CROQUIS_DATOS!$C$1562),-1000)</f>
        <v>82.8189655172414</v>
      </c>
      <c r="O595">
        <f>IF(AND(CROQUIS_DATOS!$C$1472=1,1),(CROQUIS_DATOS!$C$1564+(IF(OR(IF(INT(($A595-1)/70)+1&gt;CROQUIS_DATOS!$C$1525,70,MOD($A595-1,70)+1)=1,IF(INT(($A595-1)/70)+1&gt;CROQUIS_DATOS!$C$1525,70,MOD($A595-1,70)+1)&gt;2*CROQUIS_DATOS!$C$1541+1),CROQUIS_DATOS!$C$1476,INDEX($H$8:$H$41,MIN(INT((IF(INT(($A595-1)/70)+1&gt;CROQUIS_DATOS!$C$1525,70,MOD($A595-1,70)+1)-2)/2)+1,CROQUIS_DATOS!$C$1541))))*CROQUIS_DATOS!$C$1561*CROQUIS_DATOS!$C$1562),-1000)</f>
        <v>40.2068965517241</v>
      </c>
    </row>
    <row r="596">
      <c r="A596" t="n">
        <v>589</v>
      </c>
      <c r="N596">
        <f>IF(AND(CROQUIS_DATOS!$C$1472=1,1),(CROQUIS_DATOS!$C$1563+(IF(IF(IF(INT(($A596-1)/70)+1&gt;CROQUIS_DATOS!$C$1525,70,MOD($A596-1,70)+1)=1,0,IF(IF(INT(($A596-1)/70)+1&gt;CROQUIS_DATOS!$C$1525,70,MOD($A596-1,70)+1)&gt;2*CROQUIS_DATOS!$C$1541+1,IF(MOD(CROQUIS_DATOS!$C$1541,2)=1,1,0),IF(MOD(MIN(INT((IF(INT(($A596-1)/70)+1&gt;CROQUIS_DATOS!$C$1525,70,MOD($A596-1,70)+1)-2)/2)+1,CROQUIS_DATOS!$C$1541),2)=1,IF(MOD(IF(INT(($A596-1)/70)+1&gt;CROQUIS_DATOS!$C$1525,70,MOD($A596-1,70)+1)-2,2)=0,0,1),IF(MOD(IF(INT(($A596-1)/70)+1&gt;CROQUIS_DATOS!$C$1525,70,MOD($A596-1,70)+1)-2,2)=0,1,0))))=0,(INDEX($E$8:$E$23,MIN(INT(($A596-1)/70)+1,CROQUIS_DATOS!$C$1525))-INDEX($F$8:$F$23,MIN(INT(($A596-1)/70)+1,CROQUIS_DATOS!$C$1525))/2),(INDEX($E$8:$E$23,MIN(INT(($A596-1)/70)+1,CROQUIS_DATOS!$C$1525))+INDEX($F$8:$F$23,MIN(INT(($A596-1)/70)+1,CROQUIS_DATOS!$C$1525))/2)))*CROQUIS_DATOS!$C$1562),-1000)</f>
        <v>82.8189655172414</v>
      </c>
      <c r="O596">
        <f>IF(AND(CROQUIS_DATOS!$C$1472=1,1),(CROQUIS_DATOS!$C$1564+(IF(OR(IF(INT(($A596-1)/70)+1&gt;CROQUIS_DATOS!$C$1525,70,MOD($A596-1,70)+1)=1,IF(INT(($A596-1)/70)+1&gt;CROQUIS_DATOS!$C$1525,70,MOD($A596-1,70)+1)&gt;2*CROQUIS_DATOS!$C$1541+1),CROQUIS_DATOS!$C$1476,INDEX($H$8:$H$41,MIN(INT((IF(INT(($A596-1)/70)+1&gt;CROQUIS_DATOS!$C$1525,70,MOD($A596-1,70)+1)-2)/2)+1,CROQUIS_DATOS!$C$1541))))*CROQUIS_DATOS!$C$1561*CROQUIS_DATOS!$C$1562),-1000)</f>
        <v>40.2068965517241</v>
      </c>
    </row>
    <row r="597">
      <c r="A597" t="n">
        <v>590</v>
      </c>
      <c r="N597">
        <f>IF(AND(CROQUIS_DATOS!$C$1472=1,1),(CROQUIS_DATOS!$C$1563+(IF(IF(IF(INT(($A597-1)/70)+1&gt;CROQUIS_DATOS!$C$1525,70,MOD($A597-1,70)+1)=1,0,IF(IF(INT(($A597-1)/70)+1&gt;CROQUIS_DATOS!$C$1525,70,MOD($A597-1,70)+1)&gt;2*CROQUIS_DATOS!$C$1541+1,IF(MOD(CROQUIS_DATOS!$C$1541,2)=1,1,0),IF(MOD(MIN(INT((IF(INT(($A597-1)/70)+1&gt;CROQUIS_DATOS!$C$1525,70,MOD($A597-1,70)+1)-2)/2)+1,CROQUIS_DATOS!$C$1541),2)=1,IF(MOD(IF(INT(($A597-1)/70)+1&gt;CROQUIS_DATOS!$C$1525,70,MOD($A597-1,70)+1)-2,2)=0,0,1),IF(MOD(IF(INT(($A597-1)/70)+1&gt;CROQUIS_DATOS!$C$1525,70,MOD($A597-1,70)+1)-2,2)=0,1,0))))=0,(INDEX($E$8:$E$23,MIN(INT(($A597-1)/70)+1,CROQUIS_DATOS!$C$1525))-INDEX($F$8:$F$23,MIN(INT(($A597-1)/70)+1,CROQUIS_DATOS!$C$1525))/2),(INDEX($E$8:$E$23,MIN(INT(($A597-1)/70)+1,CROQUIS_DATOS!$C$1525))+INDEX($F$8:$F$23,MIN(INT(($A597-1)/70)+1,CROQUIS_DATOS!$C$1525))/2)))*CROQUIS_DATOS!$C$1562),-1000)</f>
        <v>82.8189655172414</v>
      </c>
      <c r="O597">
        <f>IF(AND(CROQUIS_DATOS!$C$1472=1,1),(CROQUIS_DATOS!$C$1564+(IF(OR(IF(INT(($A597-1)/70)+1&gt;CROQUIS_DATOS!$C$1525,70,MOD($A597-1,70)+1)=1,IF(INT(($A597-1)/70)+1&gt;CROQUIS_DATOS!$C$1525,70,MOD($A597-1,70)+1)&gt;2*CROQUIS_DATOS!$C$1541+1),CROQUIS_DATOS!$C$1476,INDEX($H$8:$H$41,MIN(INT((IF(INT(($A597-1)/70)+1&gt;CROQUIS_DATOS!$C$1525,70,MOD($A597-1,70)+1)-2)/2)+1,CROQUIS_DATOS!$C$1541))))*CROQUIS_DATOS!$C$1561*CROQUIS_DATOS!$C$1562),-1000)</f>
        <v>40.2068965517241</v>
      </c>
    </row>
    <row r="598">
      <c r="A598" t="n">
        <v>591</v>
      </c>
      <c r="N598">
        <f>IF(AND(CROQUIS_DATOS!$C$1472=1,1),(CROQUIS_DATOS!$C$1563+(IF(IF(IF(INT(($A598-1)/70)+1&gt;CROQUIS_DATOS!$C$1525,70,MOD($A598-1,70)+1)=1,0,IF(IF(INT(($A598-1)/70)+1&gt;CROQUIS_DATOS!$C$1525,70,MOD($A598-1,70)+1)&gt;2*CROQUIS_DATOS!$C$1541+1,IF(MOD(CROQUIS_DATOS!$C$1541,2)=1,1,0),IF(MOD(MIN(INT((IF(INT(($A598-1)/70)+1&gt;CROQUIS_DATOS!$C$1525,70,MOD($A598-1,70)+1)-2)/2)+1,CROQUIS_DATOS!$C$1541),2)=1,IF(MOD(IF(INT(($A598-1)/70)+1&gt;CROQUIS_DATOS!$C$1525,70,MOD($A598-1,70)+1)-2,2)=0,0,1),IF(MOD(IF(INT(($A598-1)/70)+1&gt;CROQUIS_DATOS!$C$1525,70,MOD($A598-1,70)+1)-2,2)=0,1,0))))=0,(INDEX($E$8:$E$23,MIN(INT(($A598-1)/70)+1,CROQUIS_DATOS!$C$1525))-INDEX($F$8:$F$23,MIN(INT(($A598-1)/70)+1,CROQUIS_DATOS!$C$1525))/2),(INDEX($E$8:$E$23,MIN(INT(($A598-1)/70)+1,CROQUIS_DATOS!$C$1525))+INDEX($F$8:$F$23,MIN(INT(($A598-1)/70)+1,CROQUIS_DATOS!$C$1525))/2)))*CROQUIS_DATOS!$C$1562),-1000)</f>
        <v>82.8189655172414</v>
      </c>
      <c r="O598">
        <f>IF(AND(CROQUIS_DATOS!$C$1472=1,1),(CROQUIS_DATOS!$C$1564+(IF(OR(IF(INT(($A598-1)/70)+1&gt;CROQUIS_DATOS!$C$1525,70,MOD($A598-1,70)+1)=1,IF(INT(($A598-1)/70)+1&gt;CROQUIS_DATOS!$C$1525,70,MOD($A598-1,70)+1)&gt;2*CROQUIS_DATOS!$C$1541+1),CROQUIS_DATOS!$C$1476,INDEX($H$8:$H$41,MIN(INT((IF(INT(($A598-1)/70)+1&gt;CROQUIS_DATOS!$C$1525,70,MOD($A598-1,70)+1)-2)/2)+1,CROQUIS_DATOS!$C$1541))))*CROQUIS_DATOS!$C$1561*CROQUIS_DATOS!$C$1562),-1000)</f>
        <v>40.2068965517241</v>
      </c>
    </row>
    <row r="599">
      <c r="A599" t="n">
        <v>592</v>
      </c>
      <c r="N599">
        <f>IF(AND(CROQUIS_DATOS!$C$1472=1,1),(CROQUIS_DATOS!$C$1563+(IF(IF(IF(INT(($A599-1)/70)+1&gt;CROQUIS_DATOS!$C$1525,70,MOD($A599-1,70)+1)=1,0,IF(IF(INT(($A599-1)/70)+1&gt;CROQUIS_DATOS!$C$1525,70,MOD($A599-1,70)+1)&gt;2*CROQUIS_DATOS!$C$1541+1,IF(MOD(CROQUIS_DATOS!$C$1541,2)=1,1,0),IF(MOD(MIN(INT((IF(INT(($A599-1)/70)+1&gt;CROQUIS_DATOS!$C$1525,70,MOD($A599-1,70)+1)-2)/2)+1,CROQUIS_DATOS!$C$1541),2)=1,IF(MOD(IF(INT(($A599-1)/70)+1&gt;CROQUIS_DATOS!$C$1525,70,MOD($A599-1,70)+1)-2,2)=0,0,1),IF(MOD(IF(INT(($A599-1)/70)+1&gt;CROQUIS_DATOS!$C$1525,70,MOD($A599-1,70)+1)-2,2)=0,1,0))))=0,(INDEX($E$8:$E$23,MIN(INT(($A599-1)/70)+1,CROQUIS_DATOS!$C$1525))-INDEX($F$8:$F$23,MIN(INT(($A599-1)/70)+1,CROQUIS_DATOS!$C$1525))/2),(INDEX($E$8:$E$23,MIN(INT(($A599-1)/70)+1,CROQUIS_DATOS!$C$1525))+INDEX($F$8:$F$23,MIN(INT(($A599-1)/70)+1,CROQUIS_DATOS!$C$1525))/2)))*CROQUIS_DATOS!$C$1562),-1000)</f>
        <v>82.8189655172414</v>
      </c>
      <c r="O599">
        <f>IF(AND(CROQUIS_DATOS!$C$1472=1,1),(CROQUIS_DATOS!$C$1564+(IF(OR(IF(INT(($A599-1)/70)+1&gt;CROQUIS_DATOS!$C$1525,70,MOD($A599-1,70)+1)=1,IF(INT(($A599-1)/70)+1&gt;CROQUIS_DATOS!$C$1525,70,MOD($A599-1,70)+1)&gt;2*CROQUIS_DATOS!$C$1541+1),CROQUIS_DATOS!$C$1476,INDEX($H$8:$H$41,MIN(INT((IF(INT(($A599-1)/70)+1&gt;CROQUIS_DATOS!$C$1525,70,MOD($A599-1,70)+1)-2)/2)+1,CROQUIS_DATOS!$C$1541))))*CROQUIS_DATOS!$C$1561*CROQUIS_DATOS!$C$1562),-1000)</f>
        <v>40.2068965517241</v>
      </c>
    </row>
    <row r="600">
      <c r="A600" t="n">
        <v>593</v>
      </c>
      <c r="N600">
        <f>IF(AND(CROQUIS_DATOS!$C$1472=1,1),(CROQUIS_DATOS!$C$1563+(IF(IF(IF(INT(($A600-1)/70)+1&gt;CROQUIS_DATOS!$C$1525,70,MOD($A600-1,70)+1)=1,0,IF(IF(INT(($A600-1)/70)+1&gt;CROQUIS_DATOS!$C$1525,70,MOD($A600-1,70)+1)&gt;2*CROQUIS_DATOS!$C$1541+1,IF(MOD(CROQUIS_DATOS!$C$1541,2)=1,1,0),IF(MOD(MIN(INT((IF(INT(($A600-1)/70)+1&gt;CROQUIS_DATOS!$C$1525,70,MOD($A600-1,70)+1)-2)/2)+1,CROQUIS_DATOS!$C$1541),2)=1,IF(MOD(IF(INT(($A600-1)/70)+1&gt;CROQUIS_DATOS!$C$1525,70,MOD($A600-1,70)+1)-2,2)=0,0,1),IF(MOD(IF(INT(($A600-1)/70)+1&gt;CROQUIS_DATOS!$C$1525,70,MOD($A600-1,70)+1)-2,2)=0,1,0))))=0,(INDEX($E$8:$E$23,MIN(INT(($A600-1)/70)+1,CROQUIS_DATOS!$C$1525))-INDEX($F$8:$F$23,MIN(INT(($A600-1)/70)+1,CROQUIS_DATOS!$C$1525))/2),(INDEX($E$8:$E$23,MIN(INT(($A600-1)/70)+1,CROQUIS_DATOS!$C$1525))+INDEX($F$8:$F$23,MIN(INT(($A600-1)/70)+1,CROQUIS_DATOS!$C$1525))/2)))*CROQUIS_DATOS!$C$1562),-1000)</f>
        <v>82.8189655172414</v>
      </c>
      <c r="O600">
        <f>IF(AND(CROQUIS_DATOS!$C$1472=1,1),(CROQUIS_DATOS!$C$1564+(IF(OR(IF(INT(($A600-1)/70)+1&gt;CROQUIS_DATOS!$C$1525,70,MOD($A600-1,70)+1)=1,IF(INT(($A600-1)/70)+1&gt;CROQUIS_DATOS!$C$1525,70,MOD($A600-1,70)+1)&gt;2*CROQUIS_DATOS!$C$1541+1),CROQUIS_DATOS!$C$1476,INDEX($H$8:$H$41,MIN(INT((IF(INT(($A600-1)/70)+1&gt;CROQUIS_DATOS!$C$1525,70,MOD($A600-1,70)+1)-2)/2)+1,CROQUIS_DATOS!$C$1541))))*CROQUIS_DATOS!$C$1561*CROQUIS_DATOS!$C$1562),-1000)</f>
        <v>40.2068965517241</v>
      </c>
    </row>
    <row r="601">
      <c r="A601" t="n">
        <v>594</v>
      </c>
      <c r="N601">
        <f>IF(AND(CROQUIS_DATOS!$C$1472=1,1),(CROQUIS_DATOS!$C$1563+(IF(IF(IF(INT(($A601-1)/70)+1&gt;CROQUIS_DATOS!$C$1525,70,MOD($A601-1,70)+1)=1,0,IF(IF(INT(($A601-1)/70)+1&gt;CROQUIS_DATOS!$C$1525,70,MOD($A601-1,70)+1)&gt;2*CROQUIS_DATOS!$C$1541+1,IF(MOD(CROQUIS_DATOS!$C$1541,2)=1,1,0),IF(MOD(MIN(INT((IF(INT(($A601-1)/70)+1&gt;CROQUIS_DATOS!$C$1525,70,MOD($A601-1,70)+1)-2)/2)+1,CROQUIS_DATOS!$C$1541),2)=1,IF(MOD(IF(INT(($A601-1)/70)+1&gt;CROQUIS_DATOS!$C$1525,70,MOD($A601-1,70)+1)-2,2)=0,0,1),IF(MOD(IF(INT(($A601-1)/70)+1&gt;CROQUIS_DATOS!$C$1525,70,MOD($A601-1,70)+1)-2,2)=0,1,0))))=0,(INDEX($E$8:$E$23,MIN(INT(($A601-1)/70)+1,CROQUIS_DATOS!$C$1525))-INDEX($F$8:$F$23,MIN(INT(($A601-1)/70)+1,CROQUIS_DATOS!$C$1525))/2),(INDEX($E$8:$E$23,MIN(INT(($A601-1)/70)+1,CROQUIS_DATOS!$C$1525))+INDEX($F$8:$F$23,MIN(INT(($A601-1)/70)+1,CROQUIS_DATOS!$C$1525))/2)))*CROQUIS_DATOS!$C$1562),-1000)</f>
        <v>82.8189655172414</v>
      </c>
      <c r="O601">
        <f>IF(AND(CROQUIS_DATOS!$C$1472=1,1),(CROQUIS_DATOS!$C$1564+(IF(OR(IF(INT(($A601-1)/70)+1&gt;CROQUIS_DATOS!$C$1525,70,MOD($A601-1,70)+1)=1,IF(INT(($A601-1)/70)+1&gt;CROQUIS_DATOS!$C$1525,70,MOD($A601-1,70)+1)&gt;2*CROQUIS_DATOS!$C$1541+1),CROQUIS_DATOS!$C$1476,INDEX($H$8:$H$41,MIN(INT((IF(INT(($A601-1)/70)+1&gt;CROQUIS_DATOS!$C$1525,70,MOD($A601-1,70)+1)-2)/2)+1,CROQUIS_DATOS!$C$1541))))*CROQUIS_DATOS!$C$1561*CROQUIS_DATOS!$C$1562),-1000)</f>
        <v>40.2068965517241</v>
      </c>
    </row>
    <row r="602">
      <c r="A602" t="n">
        <v>595</v>
      </c>
      <c r="N602">
        <f>IF(AND(CROQUIS_DATOS!$C$1472=1,1),(CROQUIS_DATOS!$C$1563+(IF(IF(IF(INT(($A602-1)/70)+1&gt;CROQUIS_DATOS!$C$1525,70,MOD($A602-1,70)+1)=1,0,IF(IF(INT(($A602-1)/70)+1&gt;CROQUIS_DATOS!$C$1525,70,MOD($A602-1,70)+1)&gt;2*CROQUIS_DATOS!$C$1541+1,IF(MOD(CROQUIS_DATOS!$C$1541,2)=1,1,0),IF(MOD(MIN(INT((IF(INT(($A602-1)/70)+1&gt;CROQUIS_DATOS!$C$1525,70,MOD($A602-1,70)+1)-2)/2)+1,CROQUIS_DATOS!$C$1541),2)=1,IF(MOD(IF(INT(($A602-1)/70)+1&gt;CROQUIS_DATOS!$C$1525,70,MOD($A602-1,70)+1)-2,2)=0,0,1),IF(MOD(IF(INT(($A602-1)/70)+1&gt;CROQUIS_DATOS!$C$1525,70,MOD($A602-1,70)+1)-2,2)=0,1,0))))=0,(INDEX($E$8:$E$23,MIN(INT(($A602-1)/70)+1,CROQUIS_DATOS!$C$1525))-INDEX($F$8:$F$23,MIN(INT(($A602-1)/70)+1,CROQUIS_DATOS!$C$1525))/2),(INDEX($E$8:$E$23,MIN(INT(($A602-1)/70)+1,CROQUIS_DATOS!$C$1525))+INDEX($F$8:$F$23,MIN(INT(($A602-1)/70)+1,CROQUIS_DATOS!$C$1525))/2)))*CROQUIS_DATOS!$C$1562),-1000)</f>
        <v>82.8189655172414</v>
      </c>
      <c r="O602">
        <f>IF(AND(CROQUIS_DATOS!$C$1472=1,1),(CROQUIS_DATOS!$C$1564+(IF(OR(IF(INT(($A602-1)/70)+1&gt;CROQUIS_DATOS!$C$1525,70,MOD($A602-1,70)+1)=1,IF(INT(($A602-1)/70)+1&gt;CROQUIS_DATOS!$C$1525,70,MOD($A602-1,70)+1)&gt;2*CROQUIS_DATOS!$C$1541+1),CROQUIS_DATOS!$C$1476,INDEX($H$8:$H$41,MIN(INT((IF(INT(($A602-1)/70)+1&gt;CROQUIS_DATOS!$C$1525,70,MOD($A602-1,70)+1)-2)/2)+1,CROQUIS_DATOS!$C$1541))))*CROQUIS_DATOS!$C$1561*CROQUIS_DATOS!$C$1562),-1000)</f>
        <v>40.2068965517241</v>
      </c>
    </row>
    <row r="603">
      <c r="A603" t="n">
        <v>596</v>
      </c>
      <c r="N603">
        <f>IF(AND(CROQUIS_DATOS!$C$1472=1,1),(CROQUIS_DATOS!$C$1563+(IF(IF(IF(INT(($A603-1)/70)+1&gt;CROQUIS_DATOS!$C$1525,70,MOD($A603-1,70)+1)=1,0,IF(IF(INT(($A603-1)/70)+1&gt;CROQUIS_DATOS!$C$1525,70,MOD($A603-1,70)+1)&gt;2*CROQUIS_DATOS!$C$1541+1,IF(MOD(CROQUIS_DATOS!$C$1541,2)=1,1,0),IF(MOD(MIN(INT((IF(INT(($A603-1)/70)+1&gt;CROQUIS_DATOS!$C$1525,70,MOD($A603-1,70)+1)-2)/2)+1,CROQUIS_DATOS!$C$1541),2)=1,IF(MOD(IF(INT(($A603-1)/70)+1&gt;CROQUIS_DATOS!$C$1525,70,MOD($A603-1,70)+1)-2,2)=0,0,1),IF(MOD(IF(INT(($A603-1)/70)+1&gt;CROQUIS_DATOS!$C$1525,70,MOD($A603-1,70)+1)-2,2)=0,1,0))))=0,(INDEX($E$8:$E$23,MIN(INT(($A603-1)/70)+1,CROQUIS_DATOS!$C$1525))-INDEX($F$8:$F$23,MIN(INT(($A603-1)/70)+1,CROQUIS_DATOS!$C$1525))/2),(INDEX($E$8:$E$23,MIN(INT(($A603-1)/70)+1,CROQUIS_DATOS!$C$1525))+INDEX($F$8:$F$23,MIN(INT(($A603-1)/70)+1,CROQUIS_DATOS!$C$1525))/2)))*CROQUIS_DATOS!$C$1562),-1000)</f>
        <v>82.8189655172414</v>
      </c>
      <c r="O603">
        <f>IF(AND(CROQUIS_DATOS!$C$1472=1,1),(CROQUIS_DATOS!$C$1564+(IF(OR(IF(INT(($A603-1)/70)+1&gt;CROQUIS_DATOS!$C$1525,70,MOD($A603-1,70)+1)=1,IF(INT(($A603-1)/70)+1&gt;CROQUIS_DATOS!$C$1525,70,MOD($A603-1,70)+1)&gt;2*CROQUIS_DATOS!$C$1541+1),CROQUIS_DATOS!$C$1476,INDEX($H$8:$H$41,MIN(INT((IF(INT(($A603-1)/70)+1&gt;CROQUIS_DATOS!$C$1525,70,MOD($A603-1,70)+1)-2)/2)+1,CROQUIS_DATOS!$C$1541))))*CROQUIS_DATOS!$C$1561*CROQUIS_DATOS!$C$1562),-1000)</f>
        <v>40.2068965517241</v>
      </c>
    </row>
    <row r="604">
      <c r="A604" t="n">
        <v>597</v>
      </c>
      <c r="N604">
        <f>IF(AND(CROQUIS_DATOS!$C$1472=1,1),(CROQUIS_DATOS!$C$1563+(IF(IF(IF(INT(($A604-1)/70)+1&gt;CROQUIS_DATOS!$C$1525,70,MOD($A604-1,70)+1)=1,0,IF(IF(INT(($A604-1)/70)+1&gt;CROQUIS_DATOS!$C$1525,70,MOD($A604-1,70)+1)&gt;2*CROQUIS_DATOS!$C$1541+1,IF(MOD(CROQUIS_DATOS!$C$1541,2)=1,1,0),IF(MOD(MIN(INT((IF(INT(($A604-1)/70)+1&gt;CROQUIS_DATOS!$C$1525,70,MOD($A604-1,70)+1)-2)/2)+1,CROQUIS_DATOS!$C$1541),2)=1,IF(MOD(IF(INT(($A604-1)/70)+1&gt;CROQUIS_DATOS!$C$1525,70,MOD($A604-1,70)+1)-2,2)=0,0,1),IF(MOD(IF(INT(($A604-1)/70)+1&gt;CROQUIS_DATOS!$C$1525,70,MOD($A604-1,70)+1)-2,2)=0,1,0))))=0,(INDEX($E$8:$E$23,MIN(INT(($A604-1)/70)+1,CROQUIS_DATOS!$C$1525))-INDEX($F$8:$F$23,MIN(INT(($A604-1)/70)+1,CROQUIS_DATOS!$C$1525))/2),(INDEX($E$8:$E$23,MIN(INT(($A604-1)/70)+1,CROQUIS_DATOS!$C$1525))+INDEX($F$8:$F$23,MIN(INT(($A604-1)/70)+1,CROQUIS_DATOS!$C$1525))/2)))*CROQUIS_DATOS!$C$1562),-1000)</f>
        <v>82.8189655172414</v>
      </c>
      <c r="O604">
        <f>IF(AND(CROQUIS_DATOS!$C$1472=1,1),(CROQUIS_DATOS!$C$1564+(IF(OR(IF(INT(($A604-1)/70)+1&gt;CROQUIS_DATOS!$C$1525,70,MOD($A604-1,70)+1)=1,IF(INT(($A604-1)/70)+1&gt;CROQUIS_DATOS!$C$1525,70,MOD($A604-1,70)+1)&gt;2*CROQUIS_DATOS!$C$1541+1),CROQUIS_DATOS!$C$1476,INDEX($H$8:$H$41,MIN(INT((IF(INT(($A604-1)/70)+1&gt;CROQUIS_DATOS!$C$1525,70,MOD($A604-1,70)+1)-2)/2)+1,CROQUIS_DATOS!$C$1541))))*CROQUIS_DATOS!$C$1561*CROQUIS_DATOS!$C$1562),-1000)</f>
        <v>40.2068965517241</v>
      </c>
    </row>
    <row r="605">
      <c r="A605" t="n">
        <v>598</v>
      </c>
      <c r="N605">
        <f>IF(AND(CROQUIS_DATOS!$C$1472=1,1),(CROQUIS_DATOS!$C$1563+(IF(IF(IF(INT(($A605-1)/70)+1&gt;CROQUIS_DATOS!$C$1525,70,MOD($A605-1,70)+1)=1,0,IF(IF(INT(($A605-1)/70)+1&gt;CROQUIS_DATOS!$C$1525,70,MOD($A605-1,70)+1)&gt;2*CROQUIS_DATOS!$C$1541+1,IF(MOD(CROQUIS_DATOS!$C$1541,2)=1,1,0),IF(MOD(MIN(INT((IF(INT(($A605-1)/70)+1&gt;CROQUIS_DATOS!$C$1525,70,MOD($A605-1,70)+1)-2)/2)+1,CROQUIS_DATOS!$C$1541),2)=1,IF(MOD(IF(INT(($A605-1)/70)+1&gt;CROQUIS_DATOS!$C$1525,70,MOD($A605-1,70)+1)-2,2)=0,0,1),IF(MOD(IF(INT(($A605-1)/70)+1&gt;CROQUIS_DATOS!$C$1525,70,MOD($A605-1,70)+1)-2,2)=0,1,0))))=0,(INDEX($E$8:$E$23,MIN(INT(($A605-1)/70)+1,CROQUIS_DATOS!$C$1525))-INDEX($F$8:$F$23,MIN(INT(($A605-1)/70)+1,CROQUIS_DATOS!$C$1525))/2),(INDEX($E$8:$E$23,MIN(INT(($A605-1)/70)+1,CROQUIS_DATOS!$C$1525))+INDEX($F$8:$F$23,MIN(INT(($A605-1)/70)+1,CROQUIS_DATOS!$C$1525))/2)))*CROQUIS_DATOS!$C$1562),-1000)</f>
        <v>82.8189655172414</v>
      </c>
      <c r="O605">
        <f>IF(AND(CROQUIS_DATOS!$C$1472=1,1),(CROQUIS_DATOS!$C$1564+(IF(OR(IF(INT(($A605-1)/70)+1&gt;CROQUIS_DATOS!$C$1525,70,MOD($A605-1,70)+1)=1,IF(INT(($A605-1)/70)+1&gt;CROQUIS_DATOS!$C$1525,70,MOD($A605-1,70)+1)&gt;2*CROQUIS_DATOS!$C$1541+1),CROQUIS_DATOS!$C$1476,INDEX($H$8:$H$41,MIN(INT((IF(INT(($A605-1)/70)+1&gt;CROQUIS_DATOS!$C$1525,70,MOD($A605-1,70)+1)-2)/2)+1,CROQUIS_DATOS!$C$1541))))*CROQUIS_DATOS!$C$1561*CROQUIS_DATOS!$C$1562),-1000)</f>
        <v>40.2068965517241</v>
      </c>
    </row>
    <row r="606">
      <c r="A606" t="n">
        <v>599</v>
      </c>
      <c r="N606">
        <f>IF(AND(CROQUIS_DATOS!$C$1472=1,1),(CROQUIS_DATOS!$C$1563+(IF(IF(IF(INT(($A606-1)/70)+1&gt;CROQUIS_DATOS!$C$1525,70,MOD($A606-1,70)+1)=1,0,IF(IF(INT(($A606-1)/70)+1&gt;CROQUIS_DATOS!$C$1525,70,MOD($A606-1,70)+1)&gt;2*CROQUIS_DATOS!$C$1541+1,IF(MOD(CROQUIS_DATOS!$C$1541,2)=1,1,0),IF(MOD(MIN(INT((IF(INT(($A606-1)/70)+1&gt;CROQUIS_DATOS!$C$1525,70,MOD($A606-1,70)+1)-2)/2)+1,CROQUIS_DATOS!$C$1541),2)=1,IF(MOD(IF(INT(($A606-1)/70)+1&gt;CROQUIS_DATOS!$C$1525,70,MOD($A606-1,70)+1)-2,2)=0,0,1),IF(MOD(IF(INT(($A606-1)/70)+1&gt;CROQUIS_DATOS!$C$1525,70,MOD($A606-1,70)+1)-2,2)=0,1,0))))=0,(INDEX($E$8:$E$23,MIN(INT(($A606-1)/70)+1,CROQUIS_DATOS!$C$1525))-INDEX($F$8:$F$23,MIN(INT(($A606-1)/70)+1,CROQUIS_DATOS!$C$1525))/2),(INDEX($E$8:$E$23,MIN(INT(($A606-1)/70)+1,CROQUIS_DATOS!$C$1525))+INDEX($F$8:$F$23,MIN(INT(($A606-1)/70)+1,CROQUIS_DATOS!$C$1525))/2)))*CROQUIS_DATOS!$C$1562),-1000)</f>
        <v>82.8189655172414</v>
      </c>
      <c r="O606">
        <f>IF(AND(CROQUIS_DATOS!$C$1472=1,1),(CROQUIS_DATOS!$C$1564+(IF(OR(IF(INT(($A606-1)/70)+1&gt;CROQUIS_DATOS!$C$1525,70,MOD($A606-1,70)+1)=1,IF(INT(($A606-1)/70)+1&gt;CROQUIS_DATOS!$C$1525,70,MOD($A606-1,70)+1)&gt;2*CROQUIS_DATOS!$C$1541+1),CROQUIS_DATOS!$C$1476,INDEX($H$8:$H$41,MIN(INT((IF(INT(($A606-1)/70)+1&gt;CROQUIS_DATOS!$C$1525,70,MOD($A606-1,70)+1)-2)/2)+1,CROQUIS_DATOS!$C$1541))))*CROQUIS_DATOS!$C$1561*CROQUIS_DATOS!$C$1562),-1000)</f>
        <v>40.2068965517241</v>
      </c>
    </row>
    <row r="607">
      <c r="A607" t="n">
        <v>600</v>
      </c>
      <c r="N607">
        <f>IF(AND(CROQUIS_DATOS!$C$1472=1,1),(CROQUIS_DATOS!$C$1563+(IF(IF(IF(INT(($A607-1)/70)+1&gt;CROQUIS_DATOS!$C$1525,70,MOD($A607-1,70)+1)=1,0,IF(IF(INT(($A607-1)/70)+1&gt;CROQUIS_DATOS!$C$1525,70,MOD($A607-1,70)+1)&gt;2*CROQUIS_DATOS!$C$1541+1,IF(MOD(CROQUIS_DATOS!$C$1541,2)=1,1,0),IF(MOD(MIN(INT((IF(INT(($A607-1)/70)+1&gt;CROQUIS_DATOS!$C$1525,70,MOD($A607-1,70)+1)-2)/2)+1,CROQUIS_DATOS!$C$1541),2)=1,IF(MOD(IF(INT(($A607-1)/70)+1&gt;CROQUIS_DATOS!$C$1525,70,MOD($A607-1,70)+1)-2,2)=0,0,1),IF(MOD(IF(INT(($A607-1)/70)+1&gt;CROQUIS_DATOS!$C$1525,70,MOD($A607-1,70)+1)-2,2)=0,1,0))))=0,(INDEX($E$8:$E$23,MIN(INT(($A607-1)/70)+1,CROQUIS_DATOS!$C$1525))-INDEX($F$8:$F$23,MIN(INT(($A607-1)/70)+1,CROQUIS_DATOS!$C$1525))/2),(INDEX($E$8:$E$23,MIN(INT(($A607-1)/70)+1,CROQUIS_DATOS!$C$1525))+INDEX($F$8:$F$23,MIN(INT(($A607-1)/70)+1,CROQUIS_DATOS!$C$1525))/2)))*CROQUIS_DATOS!$C$1562),-1000)</f>
        <v>82.8189655172414</v>
      </c>
      <c r="O607">
        <f>IF(AND(CROQUIS_DATOS!$C$1472=1,1),(CROQUIS_DATOS!$C$1564+(IF(OR(IF(INT(($A607-1)/70)+1&gt;CROQUIS_DATOS!$C$1525,70,MOD($A607-1,70)+1)=1,IF(INT(($A607-1)/70)+1&gt;CROQUIS_DATOS!$C$1525,70,MOD($A607-1,70)+1)&gt;2*CROQUIS_DATOS!$C$1541+1),CROQUIS_DATOS!$C$1476,INDEX($H$8:$H$41,MIN(INT((IF(INT(($A607-1)/70)+1&gt;CROQUIS_DATOS!$C$1525,70,MOD($A607-1,70)+1)-2)/2)+1,CROQUIS_DATOS!$C$1541))))*CROQUIS_DATOS!$C$1561*CROQUIS_DATOS!$C$1562),-1000)</f>
        <v>40.2068965517241</v>
      </c>
    </row>
    <row r="608">
      <c r="A608" t="n">
        <v>601</v>
      </c>
      <c r="N608">
        <f>IF(AND(CROQUIS_DATOS!$C$1472=1,1),(CROQUIS_DATOS!$C$1563+(IF(IF(IF(INT(($A608-1)/70)+1&gt;CROQUIS_DATOS!$C$1525,70,MOD($A608-1,70)+1)=1,0,IF(IF(INT(($A608-1)/70)+1&gt;CROQUIS_DATOS!$C$1525,70,MOD($A608-1,70)+1)&gt;2*CROQUIS_DATOS!$C$1541+1,IF(MOD(CROQUIS_DATOS!$C$1541,2)=1,1,0),IF(MOD(MIN(INT((IF(INT(($A608-1)/70)+1&gt;CROQUIS_DATOS!$C$1525,70,MOD($A608-1,70)+1)-2)/2)+1,CROQUIS_DATOS!$C$1541),2)=1,IF(MOD(IF(INT(($A608-1)/70)+1&gt;CROQUIS_DATOS!$C$1525,70,MOD($A608-1,70)+1)-2,2)=0,0,1),IF(MOD(IF(INT(($A608-1)/70)+1&gt;CROQUIS_DATOS!$C$1525,70,MOD($A608-1,70)+1)-2,2)=0,1,0))))=0,(INDEX($E$8:$E$23,MIN(INT(($A608-1)/70)+1,CROQUIS_DATOS!$C$1525))-INDEX($F$8:$F$23,MIN(INT(($A608-1)/70)+1,CROQUIS_DATOS!$C$1525))/2),(INDEX($E$8:$E$23,MIN(INT(($A608-1)/70)+1,CROQUIS_DATOS!$C$1525))+INDEX($F$8:$F$23,MIN(INT(($A608-1)/70)+1,CROQUIS_DATOS!$C$1525))/2)))*CROQUIS_DATOS!$C$1562),-1000)</f>
        <v>82.8189655172414</v>
      </c>
      <c r="O608">
        <f>IF(AND(CROQUIS_DATOS!$C$1472=1,1),(CROQUIS_DATOS!$C$1564+(IF(OR(IF(INT(($A608-1)/70)+1&gt;CROQUIS_DATOS!$C$1525,70,MOD($A608-1,70)+1)=1,IF(INT(($A608-1)/70)+1&gt;CROQUIS_DATOS!$C$1525,70,MOD($A608-1,70)+1)&gt;2*CROQUIS_DATOS!$C$1541+1),CROQUIS_DATOS!$C$1476,INDEX($H$8:$H$41,MIN(INT((IF(INT(($A608-1)/70)+1&gt;CROQUIS_DATOS!$C$1525,70,MOD($A608-1,70)+1)-2)/2)+1,CROQUIS_DATOS!$C$1541))))*CROQUIS_DATOS!$C$1561*CROQUIS_DATOS!$C$1562),-1000)</f>
        <v>40.2068965517241</v>
      </c>
    </row>
    <row r="609">
      <c r="A609" t="n">
        <v>602</v>
      </c>
      <c r="N609">
        <f>IF(AND(CROQUIS_DATOS!$C$1472=1,1),(CROQUIS_DATOS!$C$1563+(IF(IF(IF(INT(($A609-1)/70)+1&gt;CROQUIS_DATOS!$C$1525,70,MOD($A609-1,70)+1)=1,0,IF(IF(INT(($A609-1)/70)+1&gt;CROQUIS_DATOS!$C$1525,70,MOD($A609-1,70)+1)&gt;2*CROQUIS_DATOS!$C$1541+1,IF(MOD(CROQUIS_DATOS!$C$1541,2)=1,1,0),IF(MOD(MIN(INT((IF(INT(($A609-1)/70)+1&gt;CROQUIS_DATOS!$C$1525,70,MOD($A609-1,70)+1)-2)/2)+1,CROQUIS_DATOS!$C$1541),2)=1,IF(MOD(IF(INT(($A609-1)/70)+1&gt;CROQUIS_DATOS!$C$1525,70,MOD($A609-1,70)+1)-2,2)=0,0,1),IF(MOD(IF(INT(($A609-1)/70)+1&gt;CROQUIS_DATOS!$C$1525,70,MOD($A609-1,70)+1)-2,2)=0,1,0))))=0,(INDEX($E$8:$E$23,MIN(INT(($A609-1)/70)+1,CROQUIS_DATOS!$C$1525))-INDEX($F$8:$F$23,MIN(INT(($A609-1)/70)+1,CROQUIS_DATOS!$C$1525))/2),(INDEX($E$8:$E$23,MIN(INT(($A609-1)/70)+1,CROQUIS_DATOS!$C$1525))+INDEX($F$8:$F$23,MIN(INT(($A609-1)/70)+1,CROQUIS_DATOS!$C$1525))/2)))*CROQUIS_DATOS!$C$1562),-1000)</f>
        <v>82.8189655172414</v>
      </c>
      <c r="O609">
        <f>IF(AND(CROQUIS_DATOS!$C$1472=1,1),(CROQUIS_DATOS!$C$1564+(IF(OR(IF(INT(($A609-1)/70)+1&gt;CROQUIS_DATOS!$C$1525,70,MOD($A609-1,70)+1)=1,IF(INT(($A609-1)/70)+1&gt;CROQUIS_DATOS!$C$1525,70,MOD($A609-1,70)+1)&gt;2*CROQUIS_DATOS!$C$1541+1),CROQUIS_DATOS!$C$1476,INDEX($H$8:$H$41,MIN(INT((IF(INT(($A609-1)/70)+1&gt;CROQUIS_DATOS!$C$1525,70,MOD($A609-1,70)+1)-2)/2)+1,CROQUIS_DATOS!$C$1541))))*CROQUIS_DATOS!$C$1561*CROQUIS_DATOS!$C$1562),-1000)</f>
        <v>40.2068965517241</v>
      </c>
    </row>
    <row r="610">
      <c r="A610" t="n">
        <v>603</v>
      </c>
      <c r="N610">
        <f>IF(AND(CROQUIS_DATOS!$C$1472=1,1),(CROQUIS_DATOS!$C$1563+(IF(IF(IF(INT(($A610-1)/70)+1&gt;CROQUIS_DATOS!$C$1525,70,MOD($A610-1,70)+1)=1,0,IF(IF(INT(($A610-1)/70)+1&gt;CROQUIS_DATOS!$C$1525,70,MOD($A610-1,70)+1)&gt;2*CROQUIS_DATOS!$C$1541+1,IF(MOD(CROQUIS_DATOS!$C$1541,2)=1,1,0),IF(MOD(MIN(INT((IF(INT(($A610-1)/70)+1&gt;CROQUIS_DATOS!$C$1525,70,MOD($A610-1,70)+1)-2)/2)+1,CROQUIS_DATOS!$C$1541),2)=1,IF(MOD(IF(INT(($A610-1)/70)+1&gt;CROQUIS_DATOS!$C$1525,70,MOD($A610-1,70)+1)-2,2)=0,0,1),IF(MOD(IF(INT(($A610-1)/70)+1&gt;CROQUIS_DATOS!$C$1525,70,MOD($A610-1,70)+1)-2,2)=0,1,0))))=0,(INDEX($E$8:$E$23,MIN(INT(($A610-1)/70)+1,CROQUIS_DATOS!$C$1525))-INDEX($F$8:$F$23,MIN(INT(($A610-1)/70)+1,CROQUIS_DATOS!$C$1525))/2),(INDEX($E$8:$E$23,MIN(INT(($A610-1)/70)+1,CROQUIS_DATOS!$C$1525))+INDEX($F$8:$F$23,MIN(INT(($A610-1)/70)+1,CROQUIS_DATOS!$C$1525))/2)))*CROQUIS_DATOS!$C$1562),-1000)</f>
        <v>82.8189655172414</v>
      </c>
      <c r="O610">
        <f>IF(AND(CROQUIS_DATOS!$C$1472=1,1),(CROQUIS_DATOS!$C$1564+(IF(OR(IF(INT(($A610-1)/70)+1&gt;CROQUIS_DATOS!$C$1525,70,MOD($A610-1,70)+1)=1,IF(INT(($A610-1)/70)+1&gt;CROQUIS_DATOS!$C$1525,70,MOD($A610-1,70)+1)&gt;2*CROQUIS_DATOS!$C$1541+1),CROQUIS_DATOS!$C$1476,INDEX($H$8:$H$41,MIN(INT((IF(INT(($A610-1)/70)+1&gt;CROQUIS_DATOS!$C$1525,70,MOD($A610-1,70)+1)-2)/2)+1,CROQUIS_DATOS!$C$1541))))*CROQUIS_DATOS!$C$1561*CROQUIS_DATOS!$C$1562),-1000)</f>
        <v>40.2068965517241</v>
      </c>
    </row>
    <row r="611">
      <c r="A611" t="n">
        <v>604</v>
      </c>
      <c r="N611">
        <f>IF(AND(CROQUIS_DATOS!$C$1472=1,1),(CROQUIS_DATOS!$C$1563+(IF(IF(IF(INT(($A611-1)/70)+1&gt;CROQUIS_DATOS!$C$1525,70,MOD($A611-1,70)+1)=1,0,IF(IF(INT(($A611-1)/70)+1&gt;CROQUIS_DATOS!$C$1525,70,MOD($A611-1,70)+1)&gt;2*CROQUIS_DATOS!$C$1541+1,IF(MOD(CROQUIS_DATOS!$C$1541,2)=1,1,0),IF(MOD(MIN(INT((IF(INT(($A611-1)/70)+1&gt;CROQUIS_DATOS!$C$1525,70,MOD($A611-1,70)+1)-2)/2)+1,CROQUIS_DATOS!$C$1541),2)=1,IF(MOD(IF(INT(($A611-1)/70)+1&gt;CROQUIS_DATOS!$C$1525,70,MOD($A611-1,70)+1)-2,2)=0,0,1),IF(MOD(IF(INT(($A611-1)/70)+1&gt;CROQUIS_DATOS!$C$1525,70,MOD($A611-1,70)+1)-2,2)=0,1,0))))=0,(INDEX($E$8:$E$23,MIN(INT(($A611-1)/70)+1,CROQUIS_DATOS!$C$1525))-INDEX($F$8:$F$23,MIN(INT(($A611-1)/70)+1,CROQUIS_DATOS!$C$1525))/2),(INDEX($E$8:$E$23,MIN(INT(($A611-1)/70)+1,CROQUIS_DATOS!$C$1525))+INDEX($F$8:$F$23,MIN(INT(($A611-1)/70)+1,CROQUIS_DATOS!$C$1525))/2)))*CROQUIS_DATOS!$C$1562),-1000)</f>
        <v>82.8189655172414</v>
      </c>
      <c r="O611">
        <f>IF(AND(CROQUIS_DATOS!$C$1472=1,1),(CROQUIS_DATOS!$C$1564+(IF(OR(IF(INT(($A611-1)/70)+1&gt;CROQUIS_DATOS!$C$1525,70,MOD($A611-1,70)+1)=1,IF(INT(($A611-1)/70)+1&gt;CROQUIS_DATOS!$C$1525,70,MOD($A611-1,70)+1)&gt;2*CROQUIS_DATOS!$C$1541+1),CROQUIS_DATOS!$C$1476,INDEX($H$8:$H$41,MIN(INT((IF(INT(($A611-1)/70)+1&gt;CROQUIS_DATOS!$C$1525,70,MOD($A611-1,70)+1)-2)/2)+1,CROQUIS_DATOS!$C$1541))))*CROQUIS_DATOS!$C$1561*CROQUIS_DATOS!$C$1562),-1000)</f>
        <v>40.2068965517241</v>
      </c>
    </row>
    <row r="612">
      <c r="A612" t="n">
        <v>605</v>
      </c>
      <c r="N612">
        <f>IF(AND(CROQUIS_DATOS!$C$1472=1,1),(CROQUIS_DATOS!$C$1563+(IF(IF(IF(INT(($A612-1)/70)+1&gt;CROQUIS_DATOS!$C$1525,70,MOD($A612-1,70)+1)=1,0,IF(IF(INT(($A612-1)/70)+1&gt;CROQUIS_DATOS!$C$1525,70,MOD($A612-1,70)+1)&gt;2*CROQUIS_DATOS!$C$1541+1,IF(MOD(CROQUIS_DATOS!$C$1541,2)=1,1,0),IF(MOD(MIN(INT((IF(INT(($A612-1)/70)+1&gt;CROQUIS_DATOS!$C$1525,70,MOD($A612-1,70)+1)-2)/2)+1,CROQUIS_DATOS!$C$1541),2)=1,IF(MOD(IF(INT(($A612-1)/70)+1&gt;CROQUIS_DATOS!$C$1525,70,MOD($A612-1,70)+1)-2,2)=0,0,1),IF(MOD(IF(INT(($A612-1)/70)+1&gt;CROQUIS_DATOS!$C$1525,70,MOD($A612-1,70)+1)-2,2)=0,1,0))))=0,(INDEX($E$8:$E$23,MIN(INT(($A612-1)/70)+1,CROQUIS_DATOS!$C$1525))-INDEX($F$8:$F$23,MIN(INT(($A612-1)/70)+1,CROQUIS_DATOS!$C$1525))/2),(INDEX($E$8:$E$23,MIN(INT(($A612-1)/70)+1,CROQUIS_DATOS!$C$1525))+INDEX($F$8:$F$23,MIN(INT(($A612-1)/70)+1,CROQUIS_DATOS!$C$1525))/2)))*CROQUIS_DATOS!$C$1562),-1000)</f>
        <v>82.8189655172414</v>
      </c>
      <c r="O612">
        <f>IF(AND(CROQUIS_DATOS!$C$1472=1,1),(CROQUIS_DATOS!$C$1564+(IF(OR(IF(INT(($A612-1)/70)+1&gt;CROQUIS_DATOS!$C$1525,70,MOD($A612-1,70)+1)=1,IF(INT(($A612-1)/70)+1&gt;CROQUIS_DATOS!$C$1525,70,MOD($A612-1,70)+1)&gt;2*CROQUIS_DATOS!$C$1541+1),CROQUIS_DATOS!$C$1476,INDEX($H$8:$H$41,MIN(INT((IF(INT(($A612-1)/70)+1&gt;CROQUIS_DATOS!$C$1525,70,MOD($A612-1,70)+1)-2)/2)+1,CROQUIS_DATOS!$C$1541))))*CROQUIS_DATOS!$C$1561*CROQUIS_DATOS!$C$1562),-1000)</f>
        <v>40.2068965517241</v>
      </c>
    </row>
    <row r="613">
      <c r="A613" t="n">
        <v>606</v>
      </c>
      <c r="N613">
        <f>IF(AND(CROQUIS_DATOS!$C$1472=1,1),(CROQUIS_DATOS!$C$1563+(IF(IF(IF(INT(($A613-1)/70)+1&gt;CROQUIS_DATOS!$C$1525,70,MOD($A613-1,70)+1)=1,0,IF(IF(INT(($A613-1)/70)+1&gt;CROQUIS_DATOS!$C$1525,70,MOD($A613-1,70)+1)&gt;2*CROQUIS_DATOS!$C$1541+1,IF(MOD(CROQUIS_DATOS!$C$1541,2)=1,1,0),IF(MOD(MIN(INT((IF(INT(($A613-1)/70)+1&gt;CROQUIS_DATOS!$C$1525,70,MOD($A613-1,70)+1)-2)/2)+1,CROQUIS_DATOS!$C$1541),2)=1,IF(MOD(IF(INT(($A613-1)/70)+1&gt;CROQUIS_DATOS!$C$1525,70,MOD($A613-1,70)+1)-2,2)=0,0,1),IF(MOD(IF(INT(($A613-1)/70)+1&gt;CROQUIS_DATOS!$C$1525,70,MOD($A613-1,70)+1)-2,2)=0,1,0))))=0,(INDEX($E$8:$E$23,MIN(INT(($A613-1)/70)+1,CROQUIS_DATOS!$C$1525))-INDEX($F$8:$F$23,MIN(INT(($A613-1)/70)+1,CROQUIS_DATOS!$C$1525))/2),(INDEX($E$8:$E$23,MIN(INT(($A613-1)/70)+1,CROQUIS_DATOS!$C$1525))+INDEX($F$8:$F$23,MIN(INT(($A613-1)/70)+1,CROQUIS_DATOS!$C$1525))/2)))*CROQUIS_DATOS!$C$1562),-1000)</f>
        <v>82.8189655172414</v>
      </c>
      <c r="O613">
        <f>IF(AND(CROQUIS_DATOS!$C$1472=1,1),(CROQUIS_DATOS!$C$1564+(IF(OR(IF(INT(($A613-1)/70)+1&gt;CROQUIS_DATOS!$C$1525,70,MOD($A613-1,70)+1)=1,IF(INT(($A613-1)/70)+1&gt;CROQUIS_DATOS!$C$1525,70,MOD($A613-1,70)+1)&gt;2*CROQUIS_DATOS!$C$1541+1),CROQUIS_DATOS!$C$1476,INDEX($H$8:$H$41,MIN(INT((IF(INT(($A613-1)/70)+1&gt;CROQUIS_DATOS!$C$1525,70,MOD($A613-1,70)+1)-2)/2)+1,CROQUIS_DATOS!$C$1541))))*CROQUIS_DATOS!$C$1561*CROQUIS_DATOS!$C$1562),-1000)</f>
        <v>40.2068965517241</v>
      </c>
    </row>
    <row r="614">
      <c r="A614" t="n">
        <v>607</v>
      </c>
      <c r="N614">
        <f>IF(AND(CROQUIS_DATOS!$C$1472=1,1),(CROQUIS_DATOS!$C$1563+(IF(IF(IF(INT(($A614-1)/70)+1&gt;CROQUIS_DATOS!$C$1525,70,MOD($A614-1,70)+1)=1,0,IF(IF(INT(($A614-1)/70)+1&gt;CROQUIS_DATOS!$C$1525,70,MOD($A614-1,70)+1)&gt;2*CROQUIS_DATOS!$C$1541+1,IF(MOD(CROQUIS_DATOS!$C$1541,2)=1,1,0),IF(MOD(MIN(INT((IF(INT(($A614-1)/70)+1&gt;CROQUIS_DATOS!$C$1525,70,MOD($A614-1,70)+1)-2)/2)+1,CROQUIS_DATOS!$C$1541),2)=1,IF(MOD(IF(INT(($A614-1)/70)+1&gt;CROQUIS_DATOS!$C$1525,70,MOD($A614-1,70)+1)-2,2)=0,0,1),IF(MOD(IF(INT(($A614-1)/70)+1&gt;CROQUIS_DATOS!$C$1525,70,MOD($A614-1,70)+1)-2,2)=0,1,0))))=0,(INDEX($E$8:$E$23,MIN(INT(($A614-1)/70)+1,CROQUIS_DATOS!$C$1525))-INDEX($F$8:$F$23,MIN(INT(($A614-1)/70)+1,CROQUIS_DATOS!$C$1525))/2),(INDEX($E$8:$E$23,MIN(INT(($A614-1)/70)+1,CROQUIS_DATOS!$C$1525))+INDEX($F$8:$F$23,MIN(INT(($A614-1)/70)+1,CROQUIS_DATOS!$C$1525))/2)))*CROQUIS_DATOS!$C$1562),-1000)</f>
        <v>82.8189655172414</v>
      </c>
      <c r="O614">
        <f>IF(AND(CROQUIS_DATOS!$C$1472=1,1),(CROQUIS_DATOS!$C$1564+(IF(OR(IF(INT(($A614-1)/70)+1&gt;CROQUIS_DATOS!$C$1525,70,MOD($A614-1,70)+1)=1,IF(INT(($A614-1)/70)+1&gt;CROQUIS_DATOS!$C$1525,70,MOD($A614-1,70)+1)&gt;2*CROQUIS_DATOS!$C$1541+1),CROQUIS_DATOS!$C$1476,INDEX($H$8:$H$41,MIN(INT((IF(INT(($A614-1)/70)+1&gt;CROQUIS_DATOS!$C$1525,70,MOD($A614-1,70)+1)-2)/2)+1,CROQUIS_DATOS!$C$1541))))*CROQUIS_DATOS!$C$1561*CROQUIS_DATOS!$C$1562),-1000)</f>
        <v>40.2068965517241</v>
      </c>
    </row>
    <row r="615">
      <c r="A615" t="n">
        <v>608</v>
      </c>
      <c r="N615">
        <f>IF(AND(CROQUIS_DATOS!$C$1472=1,1),(CROQUIS_DATOS!$C$1563+(IF(IF(IF(INT(($A615-1)/70)+1&gt;CROQUIS_DATOS!$C$1525,70,MOD($A615-1,70)+1)=1,0,IF(IF(INT(($A615-1)/70)+1&gt;CROQUIS_DATOS!$C$1525,70,MOD($A615-1,70)+1)&gt;2*CROQUIS_DATOS!$C$1541+1,IF(MOD(CROQUIS_DATOS!$C$1541,2)=1,1,0),IF(MOD(MIN(INT((IF(INT(($A615-1)/70)+1&gt;CROQUIS_DATOS!$C$1525,70,MOD($A615-1,70)+1)-2)/2)+1,CROQUIS_DATOS!$C$1541),2)=1,IF(MOD(IF(INT(($A615-1)/70)+1&gt;CROQUIS_DATOS!$C$1525,70,MOD($A615-1,70)+1)-2,2)=0,0,1),IF(MOD(IF(INT(($A615-1)/70)+1&gt;CROQUIS_DATOS!$C$1525,70,MOD($A615-1,70)+1)-2,2)=0,1,0))))=0,(INDEX($E$8:$E$23,MIN(INT(($A615-1)/70)+1,CROQUIS_DATOS!$C$1525))-INDEX($F$8:$F$23,MIN(INT(($A615-1)/70)+1,CROQUIS_DATOS!$C$1525))/2),(INDEX($E$8:$E$23,MIN(INT(($A615-1)/70)+1,CROQUIS_DATOS!$C$1525))+INDEX($F$8:$F$23,MIN(INT(($A615-1)/70)+1,CROQUIS_DATOS!$C$1525))/2)))*CROQUIS_DATOS!$C$1562),-1000)</f>
        <v>82.8189655172414</v>
      </c>
      <c r="O615">
        <f>IF(AND(CROQUIS_DATOS!$C$1472=1,1),(CROQUIS_DATOS!$C$1564+(IF(OR(IF(INT(($A615-1)/70)+1&gt;CROQUIS_DATOS!$C$1525,70,MOD($A615-1,70)+1)=1,IF(INT(($A615-1)/70)+1&gt;CROQUIS_DATOS!$C$1525,70,MOD($A615-1,70)+1)&gt;2*CROQUIS_DATOS!$C$1541+1),CROQUIS_DATOS!$C$1476,INDEX($H$8:$H$41,MIN(INT((IF(INT(($A615-1)/70)+1&gt;CROQUIS_DATOS!$C$1525,70,MOD($A615-1,70)+1)-2)/2)+1,CROQUIS_DATOS!$C$1541))))*CROQUIS_DATOS!$C$1561*CROQUIS_DATOS!$C$1562),-1000)</f>
        <v>40.2068965517241</v>
      </c>
    </row>
    <row r="616">
      <c r="A616" t="n">
        <v>609</v>
      </c>
      <c r="N616">
        <f>IF(AND(CROQUIS_DATOS!$C$1472=1,1),(CROQUIS_DATOS!$C$1563+(IF(IF(IF(INT(($A616-1)/70)+1&gt;CROQUIS_DATOS!$C$1525,70,MOD($A616-1,70)+1)=1,0,IF(IF(INT(($A616-1)/70)+1&gt;CROQUIS_DATOS!$C$1525,70,MOD($A616-1,70)+1)&gt;2*CROQUIS_DATOS!$C$1541+1,IF(MOD(CROQUIS_DATOS!$C$1541,2)=1,1,0),IF(MOD(MIN(INT((IF(INT(($A616-1)/70)+1&gt;CROQUIS_DATOS!$C$1525,70,MOD($A616-1,70)+1)-2)/2)+1,CROQUIS_DATOS!$C$1541),2)=1,IF(MOD(IF(INT(($A616-1)/70)+1&gt;CROQUIS_DATOS!$C$1525,70,MOD($A616-1,70)+1)-2,2)=0,0,1),IF(MOD(IF(INT(($A616-1)/70)+1&gt;CROQUIS_DATOS!$C$1525,70,MOD($A616-1,70)+1)-2,2)=0,1,0))))=0,(INDEX($E$8:$E$23,MIN(INT(($A616-1)/70)+1,CROQUIS_DATOS!$C$1525))-INDEX($F$8:$F$23,MIN(INT(($A616-1)/70)+1,CROQUIS_DATOS!$C$1525))/2),(INDEX($E$8:$E$23,MIN(INT(($A616-1)/70)+1,CROQUIS_DATOS!$C$1525))+INDEX($F$8:$F$23,MIN(INT(($A616-1)/70)+1,CROQUIS_DATOS!$C$1525))/2)))*CROQUIS_DATOS!$C$1562),-1000)</f>
        <v>82.8189655172414</v>
      </c>
      <c r="O616">
        <f>IF(AND(CROQUIS_DATOS!$C$1472=1,1),(CROQUIS_DATOS!$C$1564+(IF(OR(IF(INT(($A616-1)/70)+1&gt;CROQUIS_DATOS!$C$1525,70,MOD($A616-1,70)+1)=1,IF(INT(($A616-1)/70)+1&gt;CROQUIS_DATOS!$C$1525,70,MOD($A616-1,70)+1)&gt;2*CROQUIS_DATOS!$C$1541+1),CROQUIS_DATOS!$C$1476,INDEX($H$8:$H$41,MIN(INT((IF(INT(($A616-1)/70)+1&gt;CROQUIS_DATOS!$C$1525,70,MOD($A616-1,70)+1)-2)/2)+1,CROQUIS_DATOS!$C$1541))))*CROQUIS_DATOS!$C$1561*CROQUIS_DATOS!$C$1562),-1000)</f>
        <v>40.2068965517241</v>
      </c>
    </row>
    <row r="617">
      <c r="A617" t="n">
        <v>610</v>
      </c>
      <c r="N617">
        <f>IF(AND(CROQUIS_DATOS!$C$1472=1,1),(CROQUIS_DATOS!$C$1563+(IF(IF(IF(INT(($A617-1)/70)+1&gt;CROQUIS_DATOS!$C$1525,70,MOD($A617-1,70)+1)=1,0,IF(IF(INT(($A617-1)/70)+1&gt;CROQUIS_DATOS!$C$1525,70,MOD($A617-1,70)+1)&gt;2*CROQUIS_DATOS!$C$1541+1,IF(MOD(CROQUIS_DATOS!$C$1541,2)=1,1,0),IF(MOD(MIN(INT((IF(INT(($A617-1)/70)+1&gt;CROQUIS_DATOS!$C$1525,70,MOD($A617-1,70)+1)-2)/2)+1,CROQUIS_DATOS!$C$1541),2)=1,IF(MOD(IF(INT(($A617-1)/70)+1&gt;CROQUIS_DATOS!$C$1525,70,MOD($A617-1,70)+1)-2,2)=0,0,1),IF(MOD(IF(INT(($A617-1)/70)+1&gt;CROQUIS_DATOS!$C$1525,70,MOD($A617-1,70)+1)-2,2)=0,1,0))))=0,(INDEX($E$8:$E$23,MIN(INT(($A617-1)/70)+1,CROQUIS_DATOS!$C$1525))-INDEX($F$8:$F$23,MIN(INT(($A617-1)/70)+1,CROQUIS_DATOS!$C$1525))/2),(INDEX($E$8:$E$23,MIN(INT(($A617-1)/70)+1,CROQUIS_DATOS!$C$1525))+INDEX($F$8:$F$23,MIN(INT(($A617-1)/70)+1,CROQUIS_DATOS!$C$1525))/2)))*CROQUIS_DATOS!$C$1562),-1000)</f>
        <v>82.8189655172414</v>
      </c>
      <c r="O617">
        <f>IF(AND(CROQUIS_DATOS!$C$1472=1,1),(CROQUIS_DATOS!$C$1564+(IF(OR(IF(INT(($A617-1)/70)+1&gt;CROQUIS_DATOS!$C$1525,70,MOD($A617-1,70)+1)=1,IF(INT(($A617-1)/70)+1&gt;CROQUIS_DATOS!$C$1525,70,MOD($A617-1,70)+1)&gt;2*CROQUIS_DATOS!$C$1541+1),CROQUIS_DATOS!$C$1476,INDEX($H$8:$H$41,MIN(INT((IF(INT(($A617-1)/70)+1&gt;CROQUIS_DATOS!$C$1525,70,MOD($A617-1,70)+1)-2)/2)+1,CROQUIS_DATOS!$C$1541))))*CROQUIS_DATOS!$C$1561*CROQUIS_DATOS!$C$1562),-1000)</f>
        <v>40.2068965517241</v>
      </c>
    </row>
    <row r="618">
      <c r="A618" t="n">
        <v>611</v>
      </c>
      <c r="N618">
        <f>IF(AND(CROQUIS_DATOS!$C$1472=1,1),(CROQUIS_DATOS!$C$1563+(IF(IF(IF(INT(($A618-1)/70)+1&gt;CROQUIS_DATOS!$C$1525,70,MOD($A618-1,70)+1)=1,0,IF(IF(INT(($A618-1)/70)+1&gt;CROQUIS_DATOS!$C$1525,70,MOD($A618-1,70)+1)&gt;2*CROQUIS_DATOS!$C$1541+1,IF(MOD(CROQUIS_DATOS!$C$1541,2)=1,1,0),IF(MOD(MIN(INT((IF(INT(($A618-1)/70)+1&gt;CROQUIS_DATOS!$C$1525,70,MOD($A618-1,70)+1)-2)/2)+1,CROQUIS_DATOS!$C$1541),2)=1,IF(MOD(IF(INT(($A618-1)/70)+1&gt;CROQUIS_DATOS!$C$1525,70,MOD($A618-1,70)+1)-2,2)=0,0,1),IF(MOD(IF(INT(($A618-1)/70)+1&gt;CROQUIS_DATOS!$C$1525,70,MOD($A618-1,70)+1)-2,2)=0,1,0))))=0,(INDEX($E$8:$E$23,MIN(INT(($A618-1)/70)+1,CROQUIS_DATOS!$C$1525))-INDEX($F$8:$F$23,MIN(INT(($A618-1)/70)+1,CROQUIS_DATOS!$C$1525))/2),(INDEX($E$8:$E$23,MIN(INT(($A618-1)/70)+1,CROQUIS_DATOS!$C$1525))+INDEX($F$8:$F$23,MIN(INT(($A618-1)/70)+1,CROQUIS_DATOS!$C$1525))/2)))*CROQUIS_DATOS!$C$1562),-1000)</f>
        <v>82.8189655172414</v>
      </c>
      <c r="O618">
        <f>IF(AND(CROQUIS_DATOS!$C$1472=1,1),(CROQUIS_DATOS!$C$1564+(IF(OR(IF(INT(($A618-1)/70)+1&gt;CROQUIS_DATOS!$C$1525,70,MOD($A618-1,70)+1)=1,IF(INT(($A618-1)/70)+1&gt;CROQUIS_DATOS!$C$1525,70,MOD($A618-1,70)+1)&gt;2*CROQUIS_DATOS!$C$1541+1),CROQUIS_DATOS!$C$1476,INDEX($H$8:$H$41,MIN(INT((IF(INT(($A618-1)/70)+1&gt;CROQUIS_DATOS!$C$1525,70,MOD($A618-1,70)+1)-2)/2)+1,CROQUIS_DATOS!$C$1541))))*CROQUIS_DATOS!$C$1561*CROQUIS_DATOS!$C$1562),-1000)</f>
        <v>40.2068965517241</v>
      </c>
    </row>
    <row r="619">
      <c r="A619" t="n">
        <v>612</v>
      </c>
      <c r="N619">
        <f>IF(AND(CROQUIS_DATOS!$C$1472=1,1),(CROQUIS_DATOS!$C$1563+(IF(IF(IF(INT(($A619-1)/70)+1&gt;CROQUIS_DATOS!$C$1525,70,MOD($A619-1,70)+1)=1,0,IF(IF(INT(($A619-1)/70)+1&gt;CROQUIS_DATOS!$C$1525,70,MOD($A619-1,70)+1)&gt;2*CROQUIS_DATOS!$C$1541+1,IF(MOD(CROQUIS_DATOS!$C$1541,2)=1,1,0),IF(MOD(MIN(INT((IF(INT(($A619-1)/70)+1&gt;CROQUIS_DATOS!$C$1525,70,MOD($A619-1,70)+1)-2)/2)+1,CROQUIS_DATOS!$C$1541),2)=1,IF(MOD(IF(INT(($A619-1)/70)+1&gt;CROQUIS_DATOS!$C$1525,70,MOD($A619-1,70)+1)-2,2)=0,0,1),IF(MOD(IF(INT(($A619-1)/70)+1&gt;CROQUIS_DATOS!$C$1525,70,MOD($A619-1,70)+1)-2,2)=0,1,0))))=0,(INDEX($E$8:$E$23,MIN(INT(($A619-1)/70)+1,CROQUIS_DATOS!$C$1525))-INDEX($F$8:$F$23,MIN(INT(($A619-1)/70)+1,CROQUIS_DATOS!$C$1525))/2),(INDEX($E$8:$E$23,MIN(INT(($A619-1)/70)+1,CROQUIS_DATOS!$C$1525))+INDEX($F$8:$F$23,MIN(INT(($A619-1)/70)+1,CROQUIS_DATOS!$C$1525))/2)))*CROQUIS_DATOS!$C$1562),-1000)</f>
        <v>82.8189655172414</v>
      </c>
      <c r="O619">
        <f>IF(AND(CROQUIS_DATOS!$C$1472=1,1),(CROQUIS_DATOS!$C$1564+(IF(OR(IF(INT(($A619-1)/70)+1&gt;CROQUIS_DATOS!$C$1525,70,MOD($A619-1,70)+1)=1,IF(INT(($A619-1)/70)+1&gt;CROQUIS_DATOS!$C$1525,70,MOD($A619-1,70)+1)&gt;2*CROQUIS_DATOS!$C$1541+1),CROQUIS_DATOS!$C$1476,INDEX($H$8:$H$41,MIN(INT((IF(INT(($A619-1)/70)+1&gt;CROQUIS_DATOS!$C$1525,70,MOD($A619-1,70)+1)-2)/2)+1,CROQUIS_DATOS!$C$1541))))*CROQUIS_DATOS!$C$1561*CROQUIS_DATOS!$C$1562),-1000)</f>
        <v>40.2068965517241</v>
      </c>
    </row>
    <row r="620">
      <c r="A620" t="n">
        <v>613</v>
      </c>
      <c r="N620">
        <f>IF(AND(CROQUIS_DATOS!$C$1472=1,1),(CROQUIS_DATOS!$C$1563+(IF(IF(IF(INT(($A620-1)/70)+1&gt;CROQUIS_DATOS!$C$1525,70,MOD($A620-1,70)+1)=1,0,IF(IF(INT(($A620-1)/70)+1&gt;CROQUIS_DATOS!$C$1525,70,MOD($A620-1,70)+1)&gt;2*CROQUIS_DATOS!$C$1541+1,IF(MOD(CROQUIS_DATOS!$C$1541,2)=1,1,0),IF(MOD(MIN(INT((IF(INT(($A620-1)/70)+1&gt;CROQUIS_DATOS!$C$1525,70,MOD($A620-1,70)+1)-2)/2)+1,CROQUIS_DATOS!$C$1541),2)=1,IF(MOD(IF(INT(($A620-1)/70)+1&gt;CROQUIS_DATOS!$C$1525,70,MOD($A620-1,70)+1)-2,2)=0,0,1),IF(MOD(IF(INT(($A620-1)/70)+1&gt;CROQUIS_DATOS!$C$1525,70,MOD($A620-1,70)+1)-2,2)=0,1,0))))=0,(INDEX($E$8:$E$23,MIN(INT(($A620-1)/70)+1,CROQUIS_DATOS!$C$1525))-INDEX($F$8:$F$23,MIN(INT(($A620-1)/70)+1,CROQUIS_DATOS!$C$1525))/2),(INDEX($E$8:$E$23,MIN(INT(($A620-1)/70)+1,CROQUIS_DATOS!$C$1525))+INDEX($F$8:$F$23,MIN(INT(($A620-1)/70)+1,CROQUIS_DATOS!$C$1525))/2)))*CROQUIS_DATOS!$C$1562),-1000)</f>
        <v>82.8189655172414</v>
      </c>
      <c r="O620">
        <f>IF(AND(CROQUIS_DATOS!$C$1472=1,1),(CROQUIS_DATOS!$C$1564+(IF(OR(IF(INT(($A620-1)/70)+1&gt;CROQUIS_DATOS!$C$1525,70,MOD($A620-1,70)+1)=1,IF(INT(($A620-1)/70)+1&gt;CROQUIS_DATOS!$C$1525,70,MOD($A620-1,70)+1)&gt;2*CROQUIS_DATOS!$C$1541+1),CROQUIS_DATOS!$C$1476,INDEX($H$8:$H$41,MIN(INT((IF(INT(($A620-1)/70)+1&gt;CROQUIS_DATOS!$C$1525,70,MOD($A620-1,70)+1)-2)/2)+1,CROQUIS_DATOS!$C$1541))))*CROQUIS_DATOS!$C$1561*CROQUIS_DATOS!$C$1562),-1000)</f>
        <v>40.2068965517241</v>
      </c>
    </row>
    <row r="621">
      <c r="A621" t="n">
        <v>614</v>
      </c>
      <c r="N621">
        <f>IF(AND(CROQUIS_DATOS!$C$1472=1,1),(CROQUIS_DATOS!$C$1563+(IF(IF(IF(INT(($A621-1)/70)+1&gt;CROQUIS_DATOS!$C$1525,70,MOD($A621-1,70)+1)=1,0,IF(IF(INT(($A621-1)/70)+1&gt;CROQUIS_DATOS!$C$1525,70,MOD($A621-1,70)+1)&gt;2*CROQUIS_DATOS!$C$1541+1,IF(MOD(CROQUIS_DATOS!$C$1541,2)=1,1,0),IF(MOD(MIN(INT((IF(INT(($A621-1)/70)+1&gt;CROQUIS_DATOS!$C$1525,70,MOD($A621-1,70)+1)-2)/2)+1,CROQUIS_DATOS!$C$1541),2)=1,IF(MOD(IF(INT(($A621-1)/70)+1&gt;CROQUIS_DATOS!$C$1525,70,MOD($A621-1,70)+1)-2,2)=0,0,1),IF(MOD(IF(INT(($A621-1)/70)+1&gt;CROQUIS_DATOS!$C$1525,70,MOD($A621-1,70)+1)-2,2)=0,1,0))))=0,(INDEX($E$8:$E$23,MIN(INT(($A621-1)/70)+1,CROQUIS_DATOS!$C$1525))-INDEX($F$8:$F$23,MIN(INT(($A621-1)/70)+1,CROQUIS_DATOS!$C$1525))/2),(INDEX($E$8:$E$23,MIN(INT(($A621-1)/70)+1,CROQUIS_DATOS!$C$1525))+INDEX($F$8:$F$23,MIN(INT(($A621-1)/70)+1,CROQUIS_DATOS!$C$1525))/2)))*CROQUIS_DATOS!$C$1562),-1000)</f>
        <v>82.8189655172414</v>
      </c>
      <c r="O621">
        <f>IF(AND(CROQUIS_DATOS!$C$1472=1,1),(CROQUIS_DATOS!$C$1564+(IF(OR(IF(INT(($A621-1)/70)+1&gt;CROQUIS_DATOS!$C$1525,70,MOD($A621-1,70)+1)=1,IF(INT(($A621-1)/70)+1&gt;CROQUIS_DATOS!$C$1525,70,MOD($A621-1,70)+1)&gt;2*CROQUIS_DATOS!$C$1541+1),CROQUIS_DATOS!$C$1476,INDEX($H$8:$H$41,MIN(INT((IF(INT(($A621-1)/70)+1&gt;CROQUIS_DATOS!$C$1525,70,MOD($A621-1,70)+1)-2)/2)+1,CROQUIS_DATOS!$C$1541))))*CROQUIS_DATOS!$C$1561*CROQUIS_DATOS!$C$1562),-1000)</f>
        <v>40.2068965517241</v>
      </c>
    </row>
    <row r="622">
      <c r="A622" t="n">
        <v>615</v>
      </c>
      <c r="N622">
        <f>IF(AND(CROQUIS_DATOS!$C$1472=1,1),(CROQUIS_DATOS!$C$1563+(IF(IF(IF(INT(($A622-1)/70)+1&gt;CROQUIS_DATOS!$C$1525,70,MOD($A622-1,70)+1)=1,0,IF(IF(INT(($A622-1)/70)+1&gt;CROQUIS_DATOS!$C$1525,70,MOD($A622-1,70)+1)&gt;2*CROQUIS_DATOS!$C$1541+1,IF(MOD(CROQUIS_DATOS!$C$1541,2)=1,1,0),IF(MOD(MIN(INT((IF(INT(($A622-1)/70)+1&gt;CROQUIS_DATOS!$C$1525,70,MOD($A622-1,70)+1)-2)/2)+1,CROQUIS_DATOS!$C$1541),2)=1,IF(MOD(IF(INT(($A622-1)/70)+1&gt;CROQUIS_DATOS!$C$1525,70,MOD($A622-1,70)+1)-2,2)=0,0,1),IF(MOD(IF(INT(($A622-1)/70)+1&gt;CROQUIS_DATOS!$C$1525,70,MOD($A622-1,70)+1)-2,2)=0,1,0))))=0,(INDEX($E$8:$E$23,MIN(INT(($A622-1)/70)+1,CROQUIS_DATOS!$C$1525))-INDEX($F$8:$F$23,MIN(INT(($A622-1)/70)+1,CROQUIS_DATOS!$C$1525))/2),(INDEX($E$8:$E$23,MIN(INT(($A622-1)/70)+1,CROQUIS_DATOS!$C$1525))+INDEX($F$8:$F$23,MIN(INT(($A622-1)/70)+1,CROQUIS_DATOS!$C$1525))/2)))*CROQUIS_DATOS!$C$1562),-1000)</f>
        <v>82.8189655172414</v>
      </c>
      <c r="O622">
        <f>IF(AND(CROQUIS_DATOS!$C$1472=1,1),(CROQUIS_DATOS!$C$1564+(IF(OR(IF(INT(($A622-1)/70)+1&gt;CROQUIS_DATOS!$C$1525,70,MOD($A622-1,70)+1)=1,IF(INT(($A622-1)/70)+1&gt;CROQUIS_DATOS!$C$1525,70,MOD($A622-1,70)+1)&gt;2*CROQUIS_DATOS!$C$1541+1),CROQUIS_DATOS!$C$1476,INDEX($H$8:$H$41,MIN(INT((IF(INT(($A622-1)/70)+1&gt;CROQUIS_DATOS!$C$1525,70,MOD($A622-1,70)+1)-2)/2)+1,CROQUIS_DATOS!$C$1541))))*CROQUIS_DATOS!$C$1561*CROQUIS_DATOS!$C$1562),-1000)</f>
        <v>40.2068965517241</v>
      </c>
    </row>
    <row r="623">
      <c r="A623" t="n">
        <v>616</v>
      </c>
      <c r="N623">
        <f>IF(AND(CROQUIS_DATOS!$C$1472=1,1),(CROQUIS_DATOS!$C$1563+(IF(IF(IF(INT(($A623-1)/70)+1&gt;CROQUIS_DATOS!$C$1525,70,MOD($A623-1,70)+1)=1,0,IF(IF(INT(($A623-1)/70)+1&gt;CROQUIS_DATOS!$C$1525,70,MOD($A623-1,70)+1)&gt;2*CROQUIS_DATOS!$C$1541+1,IF(MOD(CROQUIS_DATOS!$C$1541,2)=1,1,0),IF(MOD(MIN(INT((IF(INT(($A623-1)/70)+1&gt;CROQUIS_DATOS!$C$1525,70,MOD($A623-1,70)+1)-2)/2)+1,CROQUIS_DATOS!$C$1541),2)=1,IF(MOD(IF(INT(($A623-1)/70)+1&gt;CROQUIS_DATOS!$C$1525,70,MOD($A623-1,70)+1)-2,2)=0,0,1),IF(MOD(IF(INT(($A623-1)/70)+1&gt;CROQUIS_DATOS!$C$1525,70,MOD($A623-1,70)+1)-2,2)=0,1,0))))=0,(INDEX($E$8:$E$23,MIN(INT(($A623-1)/70)+1,CROQUIS_DATOS!$C$1525))-INDEX($F$8:$F$23,MIN(INT(($A623-1)/70)+1,CROQUIS_DATOS!$C$1525))/2),(INDEX($E$8:$E$23,MIN(INT(($A623-1)/70)+1,CROQUIS_DATOS!$C$1525))+INDEX($F$8:$F$23,MIN(INT(($A623-1)/70)+1,CROQUIS_DATOS!$C$1525))/2)))*CROQUIS_DATOS!$C$1562),-1000)</f>
        <v>82.8189655172414</v>
      </c>
      <c r="O623">
        <f>IF(AND(CROQUIS_DATOS!$C$1472=1,1),(CROQUIS_DATOS!$C$1564+(IF(OR(IF(INT(($A623-1)/70)+1&gt;CROQUIS_DATOS!$C$1525,70,MOD($A623-1,70)+1)=1,IF(INT(($A623-1)/70)+1&gt;CROQUIS_DATOS!$C$1525,70,MOD($A623-1,70)+1)&gt;2*CROQUIS_DATOS!$C$1541+1),CROQUIS_DATOS!$C$1476,INDEX($H$8:$H$41,MIN(INT((IF(INT(($A623-1)/70)+1&gt;CROQUIS_DATOS!$C$1525,70,MOD($A623-1,70)+1)-2)/2)+1,CROQUIS_DATOS!$C$1541))))*CROQUIS_DATOS!$C$1561*CROQUIS_DATOS!$C$1562),-1000)</f>
        <v>40.2068965517241</v>
      </c>
    </row>
    <row r="624">
      <c r="A624" t="n">
        <v>617</v>
      </c>
      <c r="N624">
        <f>IF(AND(CROQUIS_DATOS!$C$1472=1,1),(CROQUIS_DATOS!$C$1563+(IF(IF(IF(INT(($A624-1)/70)+1&gt;CROQUIS_DATOS!$C$1525,70,MOD($A624-1,70)+1)=1,0,IF(IF(INT(($A624-1)/70)+1&gt;CROQUIS_DATOS!$C$1525,70,MOD($A624-1,70)+1)&gt;2*CROQUIS_DATOS!$C$1541+1,IF(MOD(CROQUIS_DATOS!$C$1541,2)=1,1,0),IF(MOD(MIN(INT((IF(INT(($A624-1)/70)+1&gt;CROQUIS_DATOS!$C$1525,70,MOD($A624-1,70)+1)-2)/2)+1,CROQUIS_DATOS!$C$1541),2)=1,IF(MOD(IF(INT(($A624-1)/70)+1&gt;CROQUIS_DATOS!$C$1525,70,MOD($A624-1,70)+1)-2,2)=0,0,1),IF(MOD(IF(INT(($A624-1)/70)+1&gt;CROQUIS_DATOS!$C$1525,70,MOD($A624-1,70)+1)-2,2)=0,1,0))))=0,(INDEX($E$8:$E$23,MIN(INT(($A624-1)/70)+1,CROQUIS_DATOS!$C$1525))-INDEX($F$8:$F$23,MIN(INT(($A624-1)/70)+1,CROQUIS_DATOS!$C$1525))/2),(INDEX($E$8:$E$23,MIN(INT(($A624-1)/70)+1,CROQUIS_DATOS!$C$1525))+INDEX($F$8:$F$23,MIN(INT(($A624-1)/70)+1,CROQUIS_DATOS!$C$1525))/2)))*CROQUIS_DATOS!$C$1562),-1000)</f>
        <v>82.8189655172414</v>
      </c>
      <c r="O624">
        <f>IF(AND(CROQUIS_DATOS!$C$1472=1,1),(CROQUIS_DATOS!$C$1564+(IF(OR(IF(INT(($A624-1)/70)+1&gt;CROQUIS_DATOS!$C$1525,70,MOD($A624-1,70)+1)=1,IF(INT(($A624-1)/70)+1&gt;CROQUIS_DATOS!$C$1525,70,MOD($A624-1,70)+1)&gt;2*CROQUIS_DATOS!$C$1541+1),CROQUIS_DATOS!$C$1476,INDEX($H$8:$H$41,MIN(INT((IF(INT(($A624-1)/70)+1&gt;CROQUIS_DATOS!$C$1525,70,MOD($A624-1,70)+1)-2)/2)+1,CROQUIS_DATOS!$C$1541))))*CROQUIS_DATOS!$C$1561*CROQUIS_DATOS!$C$1562),-1000)</f>
        <v>40.2068965517241</v>
      </c>
    </row>
    <row r="625">
      <c r="A625" t="n">
        <v>618</v>
      </c>
      <c r="N625">
        <f>IF(AND(CROQUIS_DATOS!$C$1472=1,1),(CROQUIS_DATOS!$C$1563+(IF(IF(IF(INT(($A625-1)/70)+1&gt;CROQUIS_DATOS!$C$1525,70,MOD($A625-1,70)+1)=1,0,IF(IF(INT(($A625-1)/70)+1&gt;CROQUIS_DATOS!$C$1525,70,MOD($A625-1,70)+1)&gt;2*CROQUIS_DATOS!$C$1541+1,IF(MOD(CROQUIS_DATOS!$C$1541,2)=1,1,0),IF(MOD(MIN(INT((IF(INT(($A625-1)/70)+1&gt;CROQUIS_DATOS!$C$1525,70,MOD($A625-1,70)+1)-2)/2)+1,CROQUIS_DATOS!$C$1541),2)=1,IF(MOD(IF(INT(($A625-1)/70)+1&gt;CROQUIS_DATOS!$C$1525,70,MOD($A625-1,70)+1)-2,2)=0,0,1),IF(MOD(IF(INT(($A625-1)/70)+1&gt;CROQUIS_DATOS!$C$1525,70,MOD($A625-1,70)+1)-2,2)=0,1,0))))=0,(INDEX($E$8:$E$23,MIN(INT(($A625-1)/70)+1,CROQUIS_DATOS!$C$1525))-INDEX($F$8:$F$23,MIN(INT(($A625-1)/70)+1,CROQUIS_DATOS!$C$1525))/2),(INDEX($E$8:$E$23,MIN(INT(($A625-1)/70)+1,CROQUIS_DATOS!$C$1525))+INDEX($F$8:$F$23,MIN(INT(($A625-1)/70)+1,CROQUIS_DATOS!$C$1525))/2)))*CROQUIS_DATOS!$C$1562),-1000)</f>
        <v>82.8189655172414</v>
      </c>
      <c r="O625">
        <f>IF(AND(CROQUIS_DATOS!$C$1472=1,1),(CROQUIS_DATOS!$C$1564+(IF(OR(IF(INT(($A625-1)/70)+1&gt;CROQUIS_DATOS!$C$1525,70,MOD($A625-1,70)+1)=1,IF(INT(($A625-1)/70)+1&gt;CROQUIS_DATOS!$C$1525,70,MOD($A625-1,70)+1)&gt;2*CROQUIS_DATOS!$C$1541+1),CROQUIS_DATOS!$C$1476,INDEX($H$8:$H$41,MIN(INT((IF(INT(($A625-1)/70)+1&gt;CROQUIS_DATOS!$C$1525,70,MOD($A625-1,70)+1)-2)/2)+1,CROQUIS_DATOS!$C$1541))))*CROQUIS_DATOS!$C$1561*CROQUIS_DATOS!$C$1562),-1000)</f>
        <v>40.2068965517241</v>
      </c>
    </row>
    <row r="626">
      <c r="A626" t="n">
        <v>619</v>
      </c>
      <c r="N626">
        <f>IF(AND(CROQUIS_DATOS!$C$1472=1,1),(CROQUIS_DATOS!$C$1563+(IF(IF(IF(INT(($A626-1)/70)+1&gt;CROQUIS_DATOS!$C$1525,70,MOD($A626-1,70)+1)=1,0,IF(IF(INT(($A626-1)/70)+1&gt;CROQUIS_DATOS!$C$1525,70,MOD($A626-1,70)+1)&gt;2*CROQUIS_DATOS!$C$1541+1,IF(MOD(CROQUIS_DATOS!$C$1541,2)=1,1,0),IF(MOD(MIN(INT((IF(INT(($A626-1)/70)+1&gt;CROQUIS_DATOS!$C$1525,70,MOD($A626-1,70)+1)-2)/2)+1,CROQUIS_DATOS!$C$1541),2)=1,IF(MOD(IF(INT(($A626-1)/70)+1&gt;CROQUIS_DATOS!$C$1525,70,MOD($A626-1,70)+1)-2,2)=0,0,1),IF(MOD(IF(INT(($A626-1)/70)+1&gt;CROQUIS_DATOS!$C$1525,70,MOD($A626-1,70)+1)-2,2)=0,1,0))))=0,(INDEX($E$8:$E$23,MIN(INT(($A626-1)/70)+1,CROQUIS_DATOS!$C$1525))-INDEX($F$8:$F$23,MIN(INT(($A626-1)/70)+1,CROQUIS_DATOS!$C$1525))/2),(INDEX($E$8:$E$23,MIN(INT(($A626-1)/70)+1,CROQUIS_DATOS!$C$1525))+INDEX($F$8:$F$23,MIN(INT(($A626-1)/70)+1,CROQUIS_DATOS!$C$1525))/2)))*CROQUIS_DATOS!$C$1562),-1000)</f>
        <v>82.8189655172414</v>
      </c>
      <c r="O626">
        <f>IF(AND(CROQUIS_DATOS!$C$1472=1,1),(CROQUIS_DATOS!$C$1564+(IF(OR(IF(INT(($A626-1)/70)+1&gt;CROQUIS_DATOS!$C$1525,70,MOD($A626-1,70)+1)=1,IF(INT(($A626-1)/70)+1&gt;CROQUIS_DATOS!$C$1525,70,MOD($A626-1,70)+1)&gt;2*CROQUIS_DATOS!$C$1541+1),CROQUIS_DATOS!$C$1476,INDEX($H$8:$H$41,MIN(INT((IF(INT(($A626-1)/70)+1&gt;CROQUIS_DATOS!$C$1525,70,MOD($A626-1,70)+1)-2)/2)+1,CROQUIS_DATOS!$C$1541))))*CROQUIS_DATOS!$C$1561*CROQUIS_DATOS!$C$1562),-1000)</f>
        <v>40.2068965517241</v>
      </c>
    </row>
    <row r="627">
      <c r="A627" t="n">
        <v>620</v>
      </c>
      <c r="N627">
        <f>IF(AND(CROQUIS_DATOS!$C$1472=1,1),(CROQUIS_DATOS!$C$1563+(IF(IF(IF(INT(($A627-1)/70)+1&gt;CROQUIS_DATOS!$C$1525,70,MOD($A627-1,70)+1)=1,0,IF(IF(INT(($A627-1)/70)+1&gt;CROQUIS_DATOS!$C$1525,70,MOD($A627-1,70)+1)&gt;2*CROQUIS_DATOS!$C$1541+1,IF(MOD(CROQUIS_DATOS!$C$1541,2)=1,1,0),IF(MOD(MIN(INT((IF(INT(($A627-1)/70)+1&gt;CROQUIS_DATOS!$C$1525,70,MOD($A627-1,70)+1)-2)/2)+1,CROQUIS_DATOS!$C$1541),2)=1,IF(MOD(IF(INT(($A627-1)/70)+1&gt;CROQUIS_DATOS!$C$1525,70,MOD($A627-1,70)+1)-2,2)=0,0,1),IF(MOD(IF(INT(($A627-1)/70)+1&gt;CROQUIS_DATOS!$C$1525,70,MOD($A627-1,70)+1)-2,2)=0,1,0))))=0,(INDEX($E$8:$E$23,MIN(INT(($A627-1)/70)+1,CROQUIS_DATOS!$C$1525))-INDEX($F$8:$F$23,MIN(INT(($A627-1)/70)+1,CROQUIS_DATOS!$C$1525))/2),(INDEX($E$8:$E$23,MIN(INT(($A627-1)/70)+1,CROQUIS_DATOS!$C$1525))+INDEX($F$8:$F$23,MIN(INT(($A627-1)/70)+1,CROQUIS_DATOS!$C$1525))/2)))*CROQUIS_DATOS!$C$1562),-1000)</f>
        <v>82.8189655172414</v>
      </c>
      <c r="O627">
        <f>IF(AND(CROQUIS_DATOS!$C$1472=1,1),(CROQUIS_DATOS!$C$1564+(IF(OR(IF(INT(($A627-1)/70)+1&gt;CROQUIS_DATOS!$C$1525,70,MOD($A627-1,70)+1)=1,IF(INT(($A627-1)/70)+1&gt;CROQUIS_DATOS!$C$1525,70,MOD($A627-1,70)+1)&gt;2*CROQUIS_DATOS!$C$1541+1),CROQUIS_DATOS!$C$1476,INDEX($H$8:$H$41,MIN(INT((IF(INT(($A627-1)/70)+1&gt;CROQUIS_DATOS!$C$1525,70,MOD($A627-1,70)+1)-2)/2)+1,CROQUIS_DATOS!$C$1541))))*CROQUIS_DATOS!$C$1561*CROQUIS_DATOS!$C$1562),-1000)</f>
        <v>40.2068965517241</v>
      </c>
    </row>
    <row r="628">
      <c r="A628" t="n">
        <v>621</v>
      </c>
      <c r="N628">
        <f>IF(AND(CROQUIS_DATOS!$C$1472=1,1),(CROQUIS_DATOS!$C$1563+(IF(IF(IF(INT(($A628-1)/70)+1&gt;CROQUIS_DATOS!$C$1525,70,MOD($A628-1,70)+1)=1,0,IF(IF(INT(($A628-1)/70)+1&gt;CROQUIS_DATOS!$C$1525,70,MOD($A628-1,70)+1)&gt;2*CROQUIS_DATOS!$C$1541+1,IF(MOD(CROQUIS_DATOS!$C$1541,2)=1,1,0),IF(MOD(MIN(INT((IF(INT(($A628-1)/70)+1&gt;CROQUIS_DATOS!$C$1525,70,MOD($A628-1,70)+1)-2)/2)+1,CROQUIS_DATOS!$C$1541),2)=1,IF(MOD(IF(INT(($A628-1)/70)+1&gt;CROQUIS_DATOS!$C$1525,70,MOD($A628-1,70)+1)-2,2)=0,0,1),IF(MOD(IF(INT(($A628-1)/70)+1&gt;CROQUIS_DATOS!$C$1525,70,MOD($A628-1,70)+1)-2,2)=0,1,0))))=0,(INDEX($E$8:$E$23,MIN(INT(($A628-1)/70)+1,CROQUIS_DATOS!$C$1525))-INDEX($F$8:$F$23,MIN(INT(($A628-1)/70)+1,CROQUIS_DATOS!$C$1525))/2),(INDEX($E$8:$E$23,MIN(INT(($A628-1)/70)+1,CROQUIS_DATOS!$C$1525))+INDEX($F$8:$F$23,MIN(INT(($A628-1)/70)+1,CROQUIS_DATOS!$C$1525))/2)))*CROQUIS_DATOS!$C$1562),-1000)</f>
        <v>82.8189655172414</v>
      </c>
      <c r="O628">
        <f>IF(AND(CROQUIS_DATOS!$C$1472=1,1),(CROQUIS_DATOS!$C$1564+(IF(OR(IF(INT(($A628-1)/70)+1&gt;CROQUIS_DATOS!$C$1525,70,MOD($A628-1,70)+1)=1,IF(INT(($A628-1)/70)+1&gt;CROQUIS_DATOS!$C$1525,70,MOD($A628-1,70)+1)&gt;2*CROQUIS_DATOS!$C$1541+1),CROQUIS_DATOS!$C$1476,INDEX($H$8:$H$41,MIN(INT((IF(INT(($A628-1)/70)+1&gt;CROQUIS_DATOS!$C$1525,70,MOD($A628-1,70)+1)-2)/2)+1,CROQUIS_DATOS!$C$1541))))*CROQUIS_DATOS!$C$1561*CROQUIS_DATOS!$C$1562),-1000)</f>
        <v>40.2068965517241</v>
      </c>
    </row>
    <row r="629">
      <c r="A629" t="n">
        <v>622</v>
      </c>
      <c r="N629">
        <f>IF(AND(CROQUIS_DATOS!$C$1472=1,1),(CROQUIS_DATOS!$C$1563+(IF(IF(IF(INT(($A629-1)/70)+1&gt;CROQUIS_DATOS!$C$1525,70,MOD($A629-1,70)+1)=1,0,IF(IF(INT(($A629-1)/70)+1&gt;CROQUIS_DATOS!$C$1525,70,MOD($A629-1,70)+1)&gt;2*CROQUIS_DATOS!$C$1541+1,IF(MOD(CROQUIS_DATOS!$C$1541,2)=1,1,0),IF(MOD(MIN(INT((IF(INT(($A629-1)/70)+1&gt;CROQUIS_DATOS!$C$1525,70,MOD($A629-1,70)+1)-2)/2)+1,CROQUIS_DATOS!$C$1541),2)=1,IF(MOD(IF(INT(($A629-1)/70)+1&gt;CROQUIS_DATOS!$C$1525,70,MOD($A629-1,70)+1)-2,2)=0,0,1),IF(MOD(IF(INT(($A629-1)/70)+1&gt;CROQUIS_DATOS!$C$1525,70,MOD($A629-1,70)+1)-2,2)=0,1,0))))=0,(INDEX($E$8:$E$23,MIN(INT(($A629-1)/70)+1,CROQUIS_DATOS!$C$1525))-INDEX($F$8:$F$23,MIN(INT(($A629-1)/70)+1,CROQUIS_DATOS!$C$1525))/2),(INDEX($E$8:$E$23,MIN(INT(($A629-1)/70)+1,CROQUIS_DATOS!$C$1525))+INDEX($F$8:$F$23,MIN(INT(($A629-1)/70)+1,CROQUIS_DATOS!$C$1525))/2)))*CROQUIS_DATOS!$C$1562),-1000)</f>
        <v>82.8189655172414</v>
      </c>
      <c r="O629">
        <f>IF(AND(CROQUIS_DATOS!$C$1472=1,1),(CROQUIS_DATOS!$C$1564+(IF(OR(IF(INT(($A629-1)/70)+1&gt;CROQUIS_DATOS!$C$1525,70,MOD($A629-1,70)+1)=1,IF(INT(($A629-1)/70)+1&gt;CROQUIS_DATOS!$C$1525,70,MOD($A629-1,70)+1)&gt;2*CROQUIS_DATOS!$C$1541+1),CROQUIS_DATOS!$C$1476,INDEX($H$8:$H$41,MIN(INT((IF(INT(($A629-1)/70)+1&gt;CROQUIS_DATOS!$C$1525,70,MOD($A629-1,70)+1)-2)/2)+1,CROQUIS_DATOS!$C$1541))))*CROQUIS_DATOS!$C$1561*CROQUIS_DATOS!$C$1562),-1000)</f>
        <v>40.2068965517241</v>
      </c>
    </row>
    <row r="630">
      <c r="A630" t="n">
        <v>623</v>
      </c>
      <c r="N630">
        <f>IF(AND(CROQUIS_DATOS!$C$1472=1,1),(CROQUIS_DATOS!$C$1563+(IF(IF(IF(INT(($A630-1)/70)+1&gt;CROQUIS_DATOS!$C$1525,70,MOD($A630-1,70)+1)=1,0,IF(IF(INT(($A630-1)/70)+1&gt;CROQUIS_DATOS!$C$1525,70,MOD($A630-1,70)+1)&gt;2*CROQUIS_DATOS!$C$1541+1,IF(MOD(CROQUIS_DATOS!$C$1541,2)=1,1,0),IF(MOD(MIN(INT((IF(INT(($A630-1)/70)+1&gt;CROQUIS_DATOS!$C$1525,70,MOD($A630-1,70)+1)-2)/2)+1,CROQUIS_DATOS!$C$1541),2)=1,IF(MOD(IF(INT(($A630-1)/70)+1&gt;CROQUIS_DATOS!$C$1525,70,MOD($A630-1,70)+1)-2,2)=0,0,1),IF(MOD(IF(INT(($A630-1)/70)+1&gt;CROQUIS_DATOS!$C$1525,70,MOD($A630-1,70)+1)-2,2)=0,1,0))))=0,(INDEX($E$8:$E$23,MIN(INT(($A630-1)/70)+1,CROQUIS_DATOS!$C$1525))-INDEX($F$8:$F$23,MIN(INT(($A630-1)/70)+1,CROQUIS_DATOS!$C$1525))/2),(INDEX($E$8:$E$23,MIN(INT(($A630-1)/70)+1,CROQUIS_DATOS!$C$1525))+INDEX($F$8:$F$23,MIN(INT(($A630-1)/70)+1,CROQUIS_DATOS!$C$1525))/2)))*CROQUIS_DATOS!$C$1562),-1000)</f>
        <v>82.8189655172414</v>
      </c>
      <c r="O630">
        <f>IF(AND(CROQUIS_DATOS!$C$1472=1,1),(CROQUIS_DATOS!$C$1564+(IF(OR(IF(INT(($A630-1)/70)+1&gt;CROQUIS_DATOS!$C$1525,70,MOD($A630-1,70)+1)=1,IF(INT(($A630-1)/70)+1&gt;CROQUIS_DATOS!$C$1525,70,MOD($A630-1,70)+1)&gt;2*CROQUIS_DATOS!$C$1541+1),CROQUIS_DATOS!$C$1476,INDEX($H$8:$H$41,MIN(INT((IF(INT(($A630-1)/70)+1&gt;CROQUIS_DATOS!$C$1525,70,MOD($A630-1,70)+1)-2)/2)+1,CROQUIS_DATOS!$C$1541))))*CROQUIS_DATOS!$C$1561*CROQUIS_DATOS!$C$1562),-1000)</f>
        <v>40.2068965517241</v>
      </c>
    </row>
    <row r="631">
      <c r="A631" t="n">
        <v>624</v>
      </c>
      <c r="N631">
        <f>IF(AND(CROQUIS_DATOS!$C$1472=1,1),(CROQUIS_DATOS!$C$1563+(IF(IF(IF(INT(($A631-1)/70)+1&gt;CROQUIS_DATOS!$C$1525,70,MOD($A631-1,70)+1)=1,0,IF(IF(INT(($A631-1)/70)+1&gt;CROQUIS_DATOS!$C$1525,70,MOD($A631-1,70)+1)&gt;2*CROQUIS_DATOS!$C$1541+1,IF(MOD(CROQUIS_DATOS!$C$1541,2)=1,1,0),IF(MOD(MIN(INT((IF(INT(($A631-1)/70)+1&gt;CROQUIS_DATOS!$C$1525,70,MOD($A631-1,70)+1)-2)/2)+1,CROQUIS_DATOS!$C$1541),2)=1,IF(MOD(IF(INT(($A631-1)/70)+1&gt;CROQUIS_DATOS!$C$1525,70,MOD($A631-1,70)+1)-2,2)=0,0,1),IF(MOD(IF(INT(($A631-1)/70)+1&gt;CROQUIS_DATOS!$C$1525,70,MOD($A631-1,70)+1)-2,2)=0,1,0))))=0,(INDEX($E$8:$E$23,MIN(INT(($A631-1)/70)+1,CROQUIS_DATOS!$C$1525))-INDEX($F$8:$F$23,MIN(INT(($A631-1)/70)+1,CROQUIS_DATOS!$C$1525))/2),(INDEX($E$8:$E$23,MIN(INT(($A631-1)/70)+1,CROQUIS_DATOS!$C$1525))+INDEX($F$8:$F$23,MIN(INT(($A631-1)/70)+1,CROQUIS_DATOS!$C$1525))/2)))*CROQUIS_DATOS!$C$1562),-1000)</f>
        <v>82.8189655172414</v>
      </c>
      <c r="O631">
        <f>IF(AND(CROQUIS_DATOS!$C$1472=1,1),(CROQUIS_DATOS!$C$1564+(IF(OR(IF(INT(($A631-1)/70)+1&gt;CROQUIS_DATOS!$C$1525,70,MOD($A631-1,70)+1)=1,IF(INT(($A631-1)/70)+1&gt;CROQUIS_DATOS!$C$1525,70,MOD($A631-1,70)+1)&gt;2*CROQUIS_DATOS!$C$1541+1),CROQUIS_DATOS!$C$1476,INDEX($H$8:$H$41,MIN(INT((IF(INT(($A631-1)/70)+1&gt;CROQUIS_DATOS!$C$1525,70,MOD($A631-1,70)+1)-2)/2)+1,CROQUIS_DATOS!$C$1541))))*CROQUIS_DATOS!$C$1561*CROQUIS_DATOS!$C$1562),-1000)</f>
        <v>40.2068965517241</v>
      </c>
    </row>
    <row r="632">
      <c r="A632" t="n">
        <v>625</v>
      </c>
      <c r="N632">
        <f>IF(AND(CROQUIS_DATOS!$C$1472=1,1),(CROQUIS_DATOS!$C$1563+(IF(IF(IF(INT(($A632-1)/70)+1&gt;CROQUIS_DATOS!$C$1525,70,MOD($A632-1,70)+1)=1,0,IF(IF(INT(($A632-1)/70)+1&gt;CROQUIS_DATOS!$C$1525,70,MOD($A632-1,70)+1)&gt;2*CROQUIS_DATOS!$C$1541+1,IF(MOD(CROQUIS_DATOS!$C$1541,2)=1,1,0),IF(MOD(MIN(INT((IF(INT(($A632-1)/70)+1&gt;CROQUIS_DATOS!$C$1525,70,MOD($A632-1,70)+1)-2)/2)+1,CROQUIS_DATOS!$C$1541),2)=1,IF(MOD(IF(INT(($A632-1)/70)+1&gt;CROQUIS_DATOS!$C$1525,70,MOD($A632-1,70)+1)-2,2)=0,0,1),IF(MOD(IF(INT(($A632-1)/70)+1&gt;CROQUIS_DATOS!$C$1525,70,MOD($A632-1,70)+1)-2,2)=0,1,0))))=0,(INDEX($E$8:$E$23,MIN(INT(($A632-1)/70)+1,CROQUIS_DATOS!$C$1525))-INDEX($F$8:$F$23,MIN(INT(($A632-1)/70)+1,CROQUIS_DATOS!$C$1525))/2),(INDEX($E$8:$E$23,MIN(INT(($A632-1)/70)+1,CROQUIS_DATOS!$C$1525))+INDEX($F$8:$F$23,MIN(INT(($A632-1)/70)+1,CROQUIS_DATOS!$C$1525))/2)))*CROQUIS_DATOS!$C$1562),-1000)</f>
        <v>82.8189655172414</v>
      </c>
      <c r="O632">
        <f>IF(AND(CROQUIS_DATOS!$C$1472=1,1),(CROQUIS_DATOS!$C$1564+(IF(OR(IF(INT(($A632-1)/70)+1&gt;CROQUIS_DATOS!$C$1525,70,MOD($A632-1,70)+1)=1,IF(INT(($A632-1)/70)+1&gt;CROQUIS_DATOS!$C$1525,70,MOD($A632-1,70)+1)&gt;2*CROQUIS_DATOS!$C$1541+1),CROQUIS_DATOS!$C$1476,INDEX($H$8:$H$41,MIN(INT((IF(INT(($A632-1)/70)+1&gt;CROQUIS_DATOS!$C$1525,70,MOD($A632-1,70)+1)-2)/2)+1,CROQUIS_DATOS!$C$1541))))*CROQUIS_DATOS!$C$1561*CROQUIS_DATOS!$C$1562),-1000)</f>
        <v>40.2068965517241</v>
      </c>
    </row>
    <row r="633">
      <c r="A633" t="n">
        <v>626</v>
      </c>
      <c r="N633">
        <f>IF(AND(CROQUIS_DATOS!$C$1472=1,1),(CROQUIS_DATOS!$C$1563+(IF(IF(IF(INT(($A633-1)/70)+1&gt;CROQUIS_DATOS!$C$1525,70,MOD($A633-1,70)+1)=1,0,IF(IF(INT(($A633-1)/70)+1&gt;CROQUIS_DATOS!$C$1525,70,MOD($A633-1,70)+1)&gt;2*CROQUIS_DATOS!$C$1541+1,IF(MOD(CROQUIS_DATOS!$C$1541,2)=1,1,0),IF(MOD(MIN(INT((IF(INT(($A633-1)/70)+1&gt;CROQUIS_DATOS!$C$1525,70,MOD($A633-1,70)+1)-2)/2)+1,CROQUIS_DATOS!$C$1541),2)=1,IF(MOD(IF(INT(($A633-1)/70)+1&gt;CROQUIS_DATOS!$C$1525,70,MOD($A633-1,70)+1)-2,2)=0,0,1),IF(MOD(IF(INT(($A633-1)/70)+1&gt;CROQUIS_DATOS!$C$1525,70,MOD($A633-1,70)+1)-2,2)=0,1,0))))=0,(INDEX($E$8:$E$23,MIN(INT(($A633-1)/70)+1,CROQUIS_DATOS!$C$1525))-INDEX($F$8:$F$23,MIN(INT(($A633-1)/70)+1,CROQUIS_DATOS!$C$1525))/2),(INDEX($E$8:$E$23,MIN(INT(($A633-1)/70)+1,CROQUIS_DATOS!$C$1525))+INDEX($F$8:$F$23,MIN(INT(($A633-1)/70)+1,CROQUIS_DATOS!$C$1525))/2)))*CROQUIS_DATOS!$C$1562),-1000)</f>
        <v>82.8189655172414</v>
      </c>
      <c r="O633">
        <f>IF(AND(CROQUIS_DATOS!$C$1472=1,1),(CROQUIS_DATOS!$C$1564+(IF(OR(IF(INT(($A633-1)/70)+1&gt;CROQUIS_DATOS!$C$1525,70,MOD($A633-1,70)+1)=1,IF(INT(($A633-1)/70)+1&gt;CROQUIS_DATOS!$C$1525,70,MOD($A633-1,70)+1)&gt;2*CROQUIS_DATOS!$C$1541+1),CROQUIS_DATOS!$C$1476,INDEX($H$8:$H$41,MIN(INT((IF(INT(($A633-1)/70)+1&gt;CROQUIS_DATOS!$C$1525,70,MOD($A633-1,70)+1)-2)/2)+1,CROQUIS_DATOS!$C$1541))))*CROQUIS_DATOS!$C$1561*CROQUIS_DATOS!$C$1562),-1000)</f>
        <v>40.2068965517241</v>
      </c>
    </row>
    <row r="634">
      <c r="A634" t="n">
        <v>627</v>
      </c>
      <c r="N634">
        <f>IF(AND(CROQUIS_DATOS!$C$1472=1,1),(CROQUIS_DATOS!$C$1563+(IF(IF(IF(INT(($A634-1)/70)+1&gt;CROQUIS_DATOS!$C$1525,70,MOD($A634-1,70)+1)=1,0,IF(IF(INT(($A634-1)/70)+1&gt;CROQUIS_DATOS!$C$1525,70,MOD($A634-1,70)+1)&gt;2*CROQUIS_DATOS!$C$1541+1,IF(MOD(CROQUIS_DATOS!$C$1541,2)=1,1,0),IF(MOD(MIN(INT((IF(INT(($A634-1)/70)+1&gt;CROQUIS_DATOS!$C$1525,70,MOD($A634-1,70)+1)-2)/2)+1,CROQUIS_DATOS!$C$1541),2)=1,IF(MOD(IF(INT(($A634-1)/70)+1&gt;CROQUIS_DATOS!$C$1525,70,MOD($A634-1,70)+1)-2,2)=0,0,1),IF(MOD(IF(INT(($A634-1)/70)+1&gt;CROQUIS_DATOS!$C$1525,70,MOD($A634-1,70)+1)-2,2)=0,1,0))))=0,(INDEX($E$8:$E$23,MIN(INT(($A634-1)/70)+1,CROQUIS_DATOS!$C$1525))-INDEX($F$8:$F$23,MIN(INT(($A634-1)/70)+1,CROQUIS_DATOS!$C$1525))/2),(INDEX($E$8:$E$23,MIN(INT(($A634-1)/70)+1,CROQUIS_DATOS!$C$1525))+INDEX($F$8:$F$23,MIN(INT(($A634-1)/70)+1,CROQUIS_DATOS!$C$1525))/2)))*CROQUIS_DATOS!$C$1562),-1000)</f>
        <v>82.8189655172414</v>
      </c>
      <c r="O634">
        <f>IF(AND(CROQUIS_DATOS!$C$1472=1,1),(CROQUIS_DATOS!$C$1564+(IF(OR(IF(INT(($A634-1)/70)+1&gt;CROQUIS_DATOS!$C$1525,70,MOD($A634-1,70)+1)=1,IF(INT(($A634-1)/70)+1&gt;CROQUIS_DATOS!$C$1525,70,MOD($A634-1,70)+1)&gt;2*CROQUIS_DATOS!$C$1541+1),CROQUIS_DATOS!$C$1476,INDEX($H$8:$H$41,MIN(INT((IF(INT(($A634-1)/70)+1&gt;CROQUIS_DATOS!$C$1525,70,MOD($A634-1,70)+1)-2)/2)+1,CROQUIS_DATOS!$C$1541))))*CROQUIS_DATOS!$C$1561*CROQUIS_DATOS!$C$1562),-1000)</f>
        <v>40.2068965517241</v>
      </c>
    </row>
    <row r="635">
      <c r="A635" t="n">
        <v>628</v>
      </c>
      <c r="N635">
        <f>IF(AND(CROQUIS_DATOS!$C$1472=1,1),(CROQUIS_DATOS!$C$1563+(IF(IF(IF(INT(($A635-1)/70)+1&gt;CROQUIS_DATOS!$C$1525,70,MOD($A635-1,70)+1)=1,0,IF(IF(INT(($A635-1)/70)+1&gt;CROQUIS_DATOS!$C$1525,70,MOD($A635-1,70)+1)&gt;2*CROQUIS_DATOS!$C$1541+1,IF(MOD(CROQUIS_DATOS!$C$1541,2)=1,1,0),IF(MOD(MIN(INT((IF(INT(($A635-1)/70)+1&gt;CROQUIS_DATOS!$C$1525,70,MOD($A635-1,70)+1)-2)/2)+1,CROQUIS_DATOS!$C$1541),2)=1,IF(MOD(IF(INT(($A635-1)/70)+1&gt;CROQUIS_DATOS!$C$1525,70,MOD($A635-1,70)+1)-2,2)=0,0,1),IF(MOD(IF(INT(($A635-1)/70)+1&gt;CROQUIS_DATOS!$C$1525,70,MOD($A635-1,70)+1)-2,2)=0,1,0))))=0,(INDEX($E$8:$E$23,MIN(INT(($A635-1)/70)+1,CROQUIS_DATOS!$C$1525))-INDEX($F$8:$F$23,MIN(INT(($A635-1)/70)+1,CROQUIS_DATOS!$C$1525))/2),(INDEX($E$8:$E$23,MIN(INT(($A635-1)/70)+1,CROQUIS_DATOS!$C$1525))+INDEX($F$8:$F$23,MIN(INT(($A635-1)/70)+1,CROQUIS_DATOS!$C$1525))/2)))*CROQUIS_DATOS!$C$1562),-1000)</f>
        <v>82.8189655172414</v>
      </c>
      <c r="O635">
        <f>IF(AND(CROQUIS_DATOS!$C$1472=1,1),(CROQUIS_DATOS!$C$1564+(IF(OR(IF(INT(($A635-1)/70)+1&gt;CROQUIS_DATOS!$C$1525,70,MOD($A635-1,70)+1)=1,IF(INT(($A635-1)/70)+1&gt;CROQUIS_DATOS!$C$1525,70,MOD($A635-1,70)+1)&gt;2*CROQUIS_DATOS!$C$1541+1),CROQUIS_DATOS!$C$1476,INDEX($H$8:$H$41,MIN(INT((IF(INT(($A635-1)/70)+1&gt;CROQUIS_DATOS!$C$1525,70,MOD($A635-1,70)+1)-2)/2)+1,CROQUIS_DATOS!$C$1541))))*CROQUIS_DATOS!$C$1561*CROQUIS_DATOS!$C$1562),-1000)</f>
        <v>40.2068965517241</v>
      </c>
    </row>
    <row r="636">
      <c r="A636" t="n">
        <v>629</v>
      </c>
      <c r="N636">
        <f>IF(AND(CROQUIS_DATOS!$C$1472=1,1),(CROQUIS_DATOS!$C$1563+(IF(IF(IF(INT(($A636-1)/70)+1&gt;CROQUIS_DATOS!$C$1525,70,MOD($A636-1,70)+1)=1,0,IF(IF(INT(($A636-1)/70)+1&gt;CROQUIS_DATOS!$C$1525,70,MOD($A636-1,70)+1)&gt;2*CROQUIS_DATOS!$C$1541+1,IF(MOD(CROQUIS_DATOS!$C$1541,2)=1,1,0),IF(MOD(MIN(INT((IF(INT(($A636-1)/70)+1&gt;CROQUIS_DATOS!$C$1525,70,MOD($A636-1,70)+1)-2)/2)+1,CROQUIS_DATOS!$C$1541),2)=1,IF(MOD(IF(INT(($A636-1)/70)+1&gt;CROQUIS_DATOS!$C$1525,70,MOD($A636-1,70)+1)-2,2)=0,0,1),IF(MOD(IF(INT(($A636-1)/70)+1&gt;CROQUIS_DATOS!$C$1525,70,MOD($A636-1,70)+1)-2,2)=0,1,0))))=0,(INDEX($E$8:$E$23,MIN(INT(($A636-1)/70)+1,CROQUIS_DATOS!$C$1525))-INDEX($F$8:$F$23,MIN(INT(($A636-1)/70)+1,CROQUIS_DATOS!$C$1525))/2),(INDEX($E$8:$E$23,MIN(INT(($A636-1)/70)+1,CROQUIS_DATOS!$C$1525))+INDEX($F$8:$F$23,MIN(INT(($A636-1)/70)+1,CROQUIS_DATOS!$C$1525))/2)))*CROQUIS_DATOS!$C$1562),-1000)</f>
        <v>82.8189655172414</v>
      </c>
      <c r="O636">
        <f>IF(AND(CROQUIS_DATOS!$C$1472=1,1),(CROQUIS_DATOS!$C$1564+(IF(OR(IF(INT(($A636-1)/70)+1&gt;CROQUIS_DATOS!$C$1525,70,MOD($A636-1,70)+1)=1,IF(INT(($A636-1)/70)+1&gt;CROQUIS_DATOS!$C$1525,70,MOD($A636-1,70)+1)&gt;2*CROQUIS_DATOS!$C$1541+1),CROQUIS_DATOS!$C$1476,INDEX($H$8:$H$41,MIN(INT((IF(INT(($A636-1)/70)+1&gt;CROQUIS_DATOS!$C$1525,70,MOD($A636-1,70)+1)-2)/2)+1,CROQUIS_DATOS!$C$1541))))*CROQUIS_DATOS!$C$1561*CROQUIS_DATOS!$C$1562),-1000)</f>
        <v>40.2068965517241</v>
      </c>
    </row>
    <row r="637">
      <c r="A637" t="n">
        <v>630</v>
      </c>
      <c r="N637">
        <f>IF(AND(CROQUIS_DATOS!$C$1472=1,1),(CROQUIS_DATOS!$C$1563+(IF(IF(IF(INT(($A637-1)/70)+1&gt;CROQUIS_DATOS!$C$1525,70,MOD($A637-1,70)+1)=1,0,IF(IF(INT(($A637-1)/70)+1&gt;CROQUIS_DATOS!$C$1525,70,MOD($A637-1,70)+1)&gt;2*CROQUIS_DATOS!$C$1541+1,IF(MOD(CROQUIS_DATOS!$C$1541,2)=1,1,0),IF(MOD(MIN(INT((IF(INT(($A637-1)/70)+1&gt;CROQUIS_DATOS!$C$1525,70,MOD($A637-1,70)+1)-2)/2)+1,CROQUIS_DATOS!$C$1541),2)=1,IF(MOD(IF(INT(($A637-1)/70)+1&gt;CROQUIS_DATOS!$C$1525,70,MOD($A637-1,70)+1)-2,2)=0,0,1),IF(MOD(IF(INT(($A637-1)/70)+1&gt;CROQUIS_DATOS!$C$1525,70,MOD($A637-1,70)+1)-2,2)=0,1,0))))=0,(INDEX($E$8:$E$23,MIN(INT(($A637-1)/70)+1,CROQUIS_DATOS!$C$1525))-INDEX($F$8:$F$23,MIN(INT(($A637-1)/70)+1,CROQUIS_DATOS!$C$1525))/2),(INDEX($E$8:$E$23,MIN(INT(($A637-1)/70)+1,CROQUIS_DATOS!$C$1525))+INDEX($F$8:$F$23,MIN(INT(($A637-1)/70)+1,CROQUIS_DATOS!$C$1525))/2)))*CROQUIS_DATOS!$C$1562),-1000)</f>
        <v>82.8189655172414</v>
      </c>
      <c r="O637">
        <f>IF(AND(CROQUIS_DATOS!$C$1472=1,1),(CROQUIS_DATOS!$C$1564+(IF(OR(IF(INT(($A637-1)/70)+1&gt;CROQUIS_DATOS!$C$1525,70,MOD($A637-1,70)+1)=1,IF(INT(($A637-1)/70)+1&gt;CROQUIS_DATOS!$C$1525,70,MOD($A637-1,70)+1)&gt;2*CROQUIS_DATOS!$C$1541+1),CROQUIS_DATOS!$C$1476,INDEX($H$8:$H$41,MIN(INT((IF(INT(($A637-1)/70)+1&gt;CROQUIS_DATOS!$C$1525,70,MOD($A637-1,70)+1)-2)/2)+1,CROQUIS_DATOS!$C$1541))))*CROQUIS_DATOS!$C$1561*CROQUIS_DATOS!$C$1562),-1000)</f>
        <v>40.2068965517241</v>
      </c>
    </row>
    <row r="638">
      <c r="A638" t="n">
        <v>631</v>
      </c>
      <c r="N638">
        <f>IF(AND(CROQUIS_DATOS!$C$1472=1,1),(CROQUIS_DATOS!$C$1563+(IF(IF(IF(INT(($A638-1)/70)+1&gt;CROQUIS_DATOS!$C$1525,70,MOD($A638-1,70)+1)=1,0,IF(IF(INT(($A638-1)/70)+1&gt;CROQUIS_DATOS!$C$1525,70,MOD($A638-1,70)+1)&gt;2*CROQUIS_DATOS!$C$1541+1,IF(MOD(CROQUIS_DATOS!$C$1541,2)=1,1,0),IF(MOD(MIN(INT((IF(INT(($A638-1)/70)+1&gt;CROQUIS_DATOS!$C$1525,70,MOD($A638-1,70)+1)-2)/2)+1,CROQUIS_DATOS!$C$1541),2)=1,IF(MOD(IF(INT(($A638-1)/70)+1&gt;CROQUIS_DATOS!$C$1525,70,MOD($A638-1,70)+1)-2,2)=0,0,1),IF(MOD(IF(INT(($A638-1)/70)+1&gt;CROQUIS_DATOS!$C$1525,70,MOD($A638-1,70)+1)-2,2)=0,1,0))))=0,(INDEX($E$8:$E$23,MIN(INT(($A638-1)/70)+1,CROQUIS_DATOS!$C$1525))-INDEX($F$8:$F$23,MIN(INT(($A638-1)/70)+1,CROQUIS_DATOS!$C$1525))/2),(INDEX($E$8:$E$23,MIN(INT(($A638-1)/70)+1,CROQUIS_DATOS!$C$1525))+INDEX($F$8:$F$23,MIN(INT(($A638-1)/70)+1,CROQUIS_DATOS!$C$1525))/2)))*CROQUIS_DATOS!$C$1562),-1000)</f>
        <v>82.8189655172414</v>
      </c>
      <c r="O638">
        <f>IF(AND(CROQUIS_DATOS!$C$1472=1,1),(CROQUIS_DATOS!$C$1564+(IF(OR(IF(INT(($A638-1)/70)+1&gt;CROQUIS_DATOS!$C$1525,70,MOD($A638-1,70)+1)=1,IF(INT(($A638-1)/70)+1&gt;CROQUIS_DATOS!$C$1525,70,MOD($A638-1,70)+1)&gt;2*CROQUIS_DATOS!$C$1541+1),CROQUIS_DATOS!$C$1476,INDEX($H$8:$H$41,MIN(INT((IF(INT(($A638-1)/70)+1&gt;CROQUIS_DATOS!$C$1525,70,MOD($A638-1,70)+1)-2)/2)+1,CROQUIS_DATOS!$C$1541))))*CROQUIS_DATOS!$C$1561*CROQUIS_DATOS!$C$1562),-1000)</f>
        <v>40.2068965517241</v>
      </c>
    </row>
    <row r="639">
      <c r="A639" t="n">
        <v>632</v>
      </c>
      <c r="N639">
        <f>IF(AND(CROQUIS_DATOS!$C$1472=1,1),(CROQUIS_DATOS!$C$1563+(IF(IF(IF(INT(($A639-1)/70)+1&gt;CROQUIS_DATOS!$C$1525,70,MOD($A639-1,70)+1)=1,0,IF(IF(INT(($A639-1)/70)+1&gt;CROQUIS_DATOS!$C$1525,70,MOD($A639-1,70)+1)&gt;2*CROQUIS_DATOS!$C$1541+1,IF(MOD(CROQUIS_DATOS!$C$1541,2)=1,1,0),IF(MOD(MIN(INT((IF(INT(($A639-1)/70)+1&gt;CROQUIS_DATOS!$C$1525,70,MOD($A639-1,70)+1)-2)/2)+1,CROQUIS_DATOS!$C$1541),2)=1,IF(MOD(IF(INT(($A639-1)/70)+1&gt;CROQUIS_DATOS!$C$1525,70,MOD($A639-1,70)+1)-2,2)=0,0,1),IF(MOD(IF(INT(($A639-1)/70)+1&gt;CROQUIS_DATOS!$C$1525,70,MOD($A639-1,70)+1)-2,2)=0,1,0))))=0,(INDEX($E$8:$E$23,MIN(INT(($A639-1)/70)+1,CROQUIS_DATOS!$C$1525))-INDEX($F$8:$F$23,MIN(INT(($A639-1)/70)+1,CROQUIS_DATOS!$C$1525))/2),(INDEX($E$8:$E$23,MIN(INT(($A639-1)/70)+1,CROQUIS_DATOS!$C$1525))+INDEX($F$8:$F$23,MIN(INT(($A639-1)/70)+1,CROQUIS_DATOS!$C$1525))/2)))*CROQUIS_DATOS!$C$1562),-1000)</f>
        <v>82.8189655172414</v>
      </c>
      <c r="O639">
        <f>IF(AND(CROQUIS_DATOS!$C$1472=1,1),(CROQUIS_DATOS!$C$1564+(IF(OR(IF(INT(($A639-1)/70)+1&gt;CROQUIS_DATOS!$C$1525,70,MOD($A639-1,70)+1)=1,IF(INT(($A639-1)/70)+1&gt;CROQUIS_DATOS!$C$1525,70,MOD($A639-1,70)+1)&gt;2*CROQUIS_DATOS!$C$1541+1),CROQUIS_DATOS!$C$1476,INDEX($H$8:$H$41,MIN(INT((IF(INT(($A639-1)/70)+1&gt;CROQUIS_DATOS!$C$1525,70,MOD($A639-1,70)+1)-2)/2)+1,CROQUIS_DATOS!$C$1541))))*CROQUIS_DATOS!$C$1561*CROQUIS_DATOS!$C$1562),-1000)</f>
        <v>40.2068965517241</v>
      </c>
    </row>
    <row r="640">
      <c r="A640" t="n">
        <v>633</v>
      </c>
      <c r="N640">
        <f>IF(AND(CROQUIS_DATOS!$C$1472=1,1),(CROQUIS_DATOS!$C$1563+(IF(IF(IF(INT(($A640-1)/70)+1&gt;CROQUIS_DATOS!$C$1525,70,MOD($A640-1,70)+1)=1,0,IF(IF(INT(($A640-1)/70)+1&gt;CROQUIS_DATOS!$C$1525,70,MOD($A640-1,70)+1)&gt;2*CROQUIS_DATOS!$C$1541+1,IF(MOD(CROQUIS_DATOS!$C$1541,2)=1,1,0),IF(MOD(MIN(INT((IF(INT(($A640-1)/70)+1&gt;CROQUIS_DATOS!$C$1525,70,MOD($A640-1,70)+1)-2)/2)+1,CROQUIS_DATOS!$C$1541),2)=1,IF(MOD(IF(INT(($A640-1)/70)+1&gt;CROQUIS_DATOS!$C$1525,70,MOD($A640-1,70)+1)-2,2)=0,0,1),IF(MOD(IF(INT(($A640-1)/70)+1&gt;CROQUIS_DATOS!$C$1525,70,MOD($A640-1,70)+1)-2,2)=0,1,0))))=0,(INDEX($E$8:$E$23,MIN(INT(($A640-1)/70)+1,CROQUIS_DATOS!$C$1525))-INDEX($F$8:$F$23,MIN(INT(($A640-1)/70)+1,CROQUIS_DATOS!$C$1525))/2),(INDEX($E$8:$E$23,MIN(INT(($A640-1)/70)+1,CROQUIS_DATOS!$C$1525))+INDEX($F$8:$F$23,MIN(INT(($A640-1)/70)+1,CROQUIS_DATOS!$C$1525))/2)))*CROQUIS_DATOS!$C$1562),-1000)</f>
        <v>82.8189655172414</v>
      </c>
      <c r="O640">
        <f>IF(AND(CROQUIS_DATOS!$C$1472=1,1),(CROQUIS_DATOS!$C$1564+(IF(OR(IF(INT(($A640-1)/70)+1&gt;CROQUIS_DATOS!$C$1525,70,MOD($A640-1,70)+1)=1,IF(INT(($A640-1)/70)+1&gt;CROQUIS_DATOS!$C$1525,70,MOD($A640-1,70)+1)&gt;2*CROQUIS_DATOS!$C$1541+1),CROQUIS_DATOS!$C$1476,INDEX($H$8:$H$41,MIN(INT((IF(INT(($A640-1)/70)+1&gt;CROQUIS_DATOS!$C$1525,70,MOD($A640-1,70)+1)-2)/2)+1,CROQUIS_DATOS!$C$1541))))*CROQUIS_DATOS!$C$1561*CROQUIS_DATOS!$C$1562),-1000)</f>
        <v>40.2068965517241</v>
      </c>
    </row>
    <row r="641">
      <c r="A641" t="n">
        <v>634</v>
      </c>
      <c r="N641">
        <f>IF(AND(CROQUIS_DATOS!$C$1472=1,1),(CROQUIS_DATOS!$C$1563+(IF(IF(IF(INT(($A641-1)/70)+1&gt;CROQUIS_DATOS!$C$1525,70,MOD($A641-1,70)+1)=1,0,IF(IF(INT(($A641-1)/70)+1&gt;CROQUIS_DATOS!$C$1525,70,MOD($A641-1,70)+1)&gt;2*CROQUIS_DATOS!$C$1541+1,IF(MOD(CROQUIS_DATOS!$C$1541,2)=1,1,0),IF(MOD(MIN(INT((IF(INT(($A641-1)/70)+1&gt;CROQUIS_DATOS!$C$1525,70,MOD($A641-1,70)+1)-2)/2)+1,CROQUIS_DATOS!$C$1541),2)=1,IF(MOD(IF(INT(($A641-1)/70)+1&gt;CROQUIS_DATOS!$C$1525,70,MOD($A641-1,70)+1)-2,2)=0,0,1),IF(MOD(IF(INT(($A641-1)/70)+1&gt;CROQUIS_DATOS!$C$1525,70,MOD($A641-1,70)+1)-2,2)=0,1,0))))=0,(INDEX($E$8:$E$23,MIN(INT(($A641-1)/70)+1,CROQUIS_DATOS!$C$1525))-INDEX($F$8:$F$23,MIN(INT(($A641-1)/70)+1,CROQUIS_DATOS!$C$1525))/2),(INDEX($E$8:$E$23,MIN(INT(($A641-1)/70)+1,CROQUIS_DATOS!$C$1525))+INDEX($F$8:$F$23,MIN(INT(($A641-1)/70)+1,CROQUIS_DATOS!$C$1525))/2)))*CROQUIS_DATOS!$C$1562),-1000)</f>
        <v>82.8189655172414</v>
      </c>
      <c r="O641">
        <f>IF(AND(CROQUIS_DATOS!$C$1472=1,1),(CROQUIS_DATOS!$C$1564+(IF(OR(IF(INT(($A641-1)/70)+1&gt;CROQUIS_DATOS!$C$1525,70,MOD($A641-1,70)+1)=1,IF(INT(($A641-1)/70)+1&gt;CROQUIS_DATOS!$C$1525,70,MOD($A641-1,70)+1)&gt;2*CROQUIS_DATOS!$C$1541+1),CROQUIS_DATOS!$C$1476,INDEX($H$8:$H$41,MIN(INT((IF(INT(($A641-1)/70)+1&gt;CROQUIS_DATOS!$C$1525,70,MOD($A641-1,70)+1)-2)/2)+1,CROQUIS_DATOS!$C$1541))))*CROQUIS_DATOS!$C$1561*CROQUIS_DATOS!$C$1562),-1000)</f>
        <v>40.2068965517241</v>
      </c>
    </row>
    <row r="642">
      <c r="A642" t="n">
        <v>635</v>
      </c>
      <c r="N642">
        <f>IF(AND(CROQUIS_DATOS!$C$1472=1,1),(CROQUIS_DATOS!$C$1563+(IF(IF(IF(INT(($A642-1)/70)+1&gt;CROQUIS_DATOS!$C$1525,70,MOD($A642-1,70)+1)=1,0,IF(IF(INT(($A642-1)/70)+1&gt;CROQUIS_DATOS!$C$1525,70,MOD($A642-1,70)+1)&gt;2*CROQUIS_DATOS!$C$1541+1,IF(MOD(CROQUIS_DATOS!$C$1541,2)=1,1,0),IF(MOD(MIN(INT((IF(INT(($A642-1)/70)+1&gt;CROQUIS_DATOS!$C$1525,70,MOD($A642-1,70)+1)-2)/2)+1,CROQUIS_DATOS!$C$1541),2)=1,IF(MOD(IF(INT(($A642-1)/70)+1&gt;CROQUIS_DATOS!$C$1525,70,MOD($A642-1,70)+1)-2,2)=0,0,1),IF(MOD(IF(INT(($A642-1)/70)+1&gt;CROQUIS_DATOS!$C$1525,70,MOD($A642-1,70)+1)-2,2)=0,1,0))))=0,(INDEX($E$8:$E$23,MIN(INT(($A642-1)/70)+1,CROQUIS_DATOS!$C$1525))-INDEX($F$8:$F$23,MIN(INT(($A642-1)/70)+1,CROQUIS_DATOS!$C$1525))/2),(INDEX($E$8:$E$23,MIN(INT(($A642-1)/70)+1,CROQUIS_DATOS!$C$1525))+INDEX($F$8:$F$23,MIN(INT(($A642-1)/70)+1,CROQUIS_DATOS!$C$1525))/2)))*CROQUIS_DATOS!$C$1562),-1000)</f>
        <v>82.8189655172414</v>
      </c>
      <c r="O642">
        <f>IF(AND(CROQUIS_DATOS!$C$1472=1,1),(CROQUIS_DATOS!$C$1564+(IF(OR(IF(INT(($A642-1)/70)+1&gt;CROQUIS_DATOS!$C$1525,70,MOD($A642-1,70)+1)=1,IF(INT(($A642-1)/70)+1&gt;CROQUIS_DATOS!$C$1525,70,MOD($A642-1,70)+1)&gt;2*CROQUIS_DATOS!$C$1541+1),CROQUIS_DATOS!$C$1476,INDEX($H$8:$H$41,MIN(INT((IF(INT(($A642-1)/70)+1&gt;CROQUIS_DATOS!$C$1525,70,MOD($A642-1,70)+1)-2)/2)+1,CROQUIS_DATOS!$C$1541))))*CROQUIS_DATOS!$C$1561*CROQUIS_DATOS!$C$1562),-1000)</f>
        <v>40.2068965517241</v>
      </c>
    </row>
    <row r="643">
      <c r="A643" t="n">
        <v>636</v>
      </c>
      <c r="N643">
        <f>IF(AND(CROQUIS_DATOS!$C$1472=1,1),(CROQUIS_DATOS!$C$1563+(IF(IF(IF(INT(($A643-1)/70)+1&gt;CROQUIS_DATOS!$C$1525,70,MOD($A643-1,70)+1)=1,0,IF(IF(INT(($A643-1)/70)+1&gt;CROQUIS_DATOS!$C$1525,70,MOD($A643-1,70)+1)&gt;2*CROQUIS_DATOS!$C$1541+1,IF(MOD(CROQUIS_DATOS!$C$1541,2)=1,1,0),IF(MOD(MIN(INT((IF(INT(($A643-1)/70)+1&gt;CROQUIS_DATOS!$C$1525,70,MOD($A643-1,70)+1)-2)/2)+1,CROQUIS_DATOS!$C$1541),2)=1,IF(MOD(IF(INT(($A643-1)/70)+1&gt;CROQUIS_DATOS!$C$1525,70,MOD($A643-1,70)+1)-2,2)=0,0,1),IF(MOD(IF(INT(($A643-1)/70)+1&gt;CROQUIS_DATOS!$C$1525,70,MOD($A643-1,70)+1)-2,2)=0,1,0))))=0,(INDEX($E$8:$E$23,MIN(INT(($A643-1)/70)+1,CROQUIS_DATOS!$C$1525))-INDEX($F$8:$F$23,MIN(INT(($A643-1)/70)+1,CROQUIS_DATOS!$C$1525))/2),(INDEX($E$8:$E$23,MIN(INT(($A643-1)/70)+1,CROQUIS_DATOS!$C$1525))+INDEX($F$8:$F$23,MIN(INT(($A643-1)/70)+1,CROQUIS_DATOS!$C$1525))/2)))*CROQUIS_DATOS!$C$1562),-1000)</f>
        <v>82.8189655172414</v>
      </c>
      <c r="O643">
        <f>IF(AND(CROQUIS_DATOS!$C$1472=1,1),(CROQUIS_DATOS!$C$1564+(IF(OR(IF(INT(($A643-1)/70)+1&gt;CROQUIS_DATOS!$C$1525,70,MOD($A643-1,70)+1)=1,IF(INT(($A643-1)/70)+1&gt;CROQUIS_DATOS!$C$1525,70,MOD($A643-1,70)+1)&gt;2*CROQUIS_DATOS!$C$1541+1),CROQUIS_DATOS!$C$1476,INDEX($H$8:$H$41,MIN(INT((IF(INT(($A643-1)/70)+1&gt;CROQUIS_DATOS!$C$1525,70,MOD($A643-1,70)+1)-2)/2)+1,CROQUIS_DATOS!$C$1541))))*CROQUIS_DATOS!$C$1561*CROQUIS_DATOS!$C$1562),-1000)</f>
        <v>40.2068965517241</v>
      </c>
    </row>
    <row r="644">
      <c r="A644" t="n">
        <v>637</v>
      </c>
      <c r="N644">
        <f>IF(AND(CROQUIS_DATOS!$C$1472=1,1),(CROQUIS_DATOS!$C$1563+(IF(IF(IF(INT(($A644-1)/70)+1&gt;CROQUIS_DATOS!$C$1525,70,MOD($A644-1,70)+1)=1,0,IF(IF(INT(($A644-1)/70)+1&gt;CROQUIS_DATOS!$C$1525,70,MOD($A644-1,70)+1)&gt;2*CROQUIS_DATOS!$C$1541+1,IF(MOD(CROQUIS_DATOS!$C$1541,2)=1,1,0),IF(MOD(MIN(INT((IF(INT(($A644-1)/70)+1&gt;CROQUIS_DATOS!$C$1525,70,MOD($A644-1,70)+1)-2)/2)+1,CROQUIS_DATOS!$C$1541),2)=1,IF(MOD(IF(INT(($A644-1)/70)+1&gt;CROQUIS_DATOS!$C$1525,70,MOD($A644-1,70)+1)-2,2)=0,0,1),IF(MOD(IF(INT(($A644-1)/70)+1&gt;CROQUIS_DATOS!$C$1525,70,MOD($A644-1,70)+1)-2,2)=0,1,0))))=0,(INDEX($E$8:$E$23,MIN(INT(($A644-1)/70)+1,CROQUIS_DATOS!$C$1525))-INDEX($F$8:$F$23,MIN(INT(($A644-1)/70)+1,CROQUIS_DATOS!$C$1525))/2),(INDEX($E$8:$E$23,MIN(INT(($A644-1)/70)+1,CROQUIS_DATOS!$C$1525))+INDEX($F$8:$F$23,MIN(INT(($A644-1)/70)+1,CROQUIS_DATOS!$C$1525))/2)))*CROQUIS_DATOS!$C$1562),-1000)</f>
        <v>82.8189655172414</v>
      </c>
      <c r="O644">
        <f>IF(AND(CROQUIS_DATOS!$C$1472=1,1),(CROQUIS_DATOS!$C$1564+(IF(OR(IF(INT(($A644-1)/70)+1&gt;CROQUIS_DATOS!$C$1525,70,MOD($A644-1,70)+1)=1,IF(INT(($A644-1)/70)+1&gt;CROQUIS_DATOS!$C$1525,70,MOD($A644-1,70)+1)&gt;2*CROQUIS_DATOS!$C$1541+1),CROQUIS_DATOS!$C$1476,INDEX($H$8:$H$41,MIN(INT((IF(INT(($A644-1)/70)+1&gt;CROQUIS_DATOS!$C$1525,70,MOD($A644-1,70)+1)-2)/2)+1,CROQUIS_DATOS!$C$1541))))*CROQUIS_DATOS!$C$1561*CROQUIS_DATOS!$C$1562),-1000)</f>
        <v>40.2068965517241</v>
      </c>
    </row>
    <row r="645">
      <c r="A645" t="n">
        <v>638</v>
      </c>
      <c r="N645">
        <f>IF(AND(CROQUIS_DATOS!$C$1472=1,1),(CROQUIS_DATOS!$C$1563+(IF(IF(IF(INT(($A645-1)/70)+1&gt;CROQUIS_DATOS!$C$1525,70,MOD($A645-1,70)+1)=1,0,IF(IF(INT(($A645-1)/70)+1&gt;CROQUIS_DATOS!$C$1525,70,MOD($A645-1,70)+1)&gt;2*CROQUIS_DATOS!$C$1541+1,IF(MOD(CROQUIS_DATOS!$C$1541,2)=1,1,0),IF(MOD(MIN(INT((IF(INT(($A645-1)/70)+1&gt;CROQUIS_DATOS!$C$1525,70,MOD($A645-1,70)+1)-2)/2)+1,CROQUIS_DATOS!$C$1541),2)=1,IF(MOD(IF(INT(($A645-1)/70)+1&gt;CROQUIS_DATOS!$C$1525,70,MOD($A645-1,70)+1)-2,2)=0,0,1),IF(MOD(IF(INT(($A645-1)/70)+1&gt;CROQUIS_DATOS!$C$1525,70,MOD($A645-1,70)+1)-2,2)=0,1,0))))=0,(INDEX($E$8:$E$23,MIN(INT(($A645-1)/70)+1,CROQUIS_DATOS!$C$1525))-INDEX($F$8:$F$23,MIN(INT(($A645-1)/70)+1,CROQUIS_DATOS!$C$1525))/2),(INDEX($E$8:$E$23,MIN(INT(($A645-1)/70)+1,CROQUIS_DATOS!$C$1525))+INDEX($F$8:$F$23,MIN(INT(($A645-1)/70)+1,CROQUIS_DATOS!$C$1525))/2)))*CROQUIS_DATOS!$C$1562),-1000)</f>
        <v>82.8189655172414</v>
      </c>
      <c r="O645">
        <f>IF(AND(CROQUIS_DATOS!$C$1472=1,1),(CROQUIS_DATOS!$C$1564+(IF(OR(IF(INT(($A645-1)/70)+1&gt;CROQUIS_DATOS!$C$1525,70,MOD($A645-1,70)+1)=1,IF(INT(($A645-1)/70)+1&gt;CROQUIS_DATOS!$C$1525,70,MOD($A645-1,70)+1)&gt;2*CROQUIS_DATOS!$C$1541+1),CROQUIS_DATOS!$C$1476,INDEX($H$8:$H$41,MIN(INT((IF(INT(($A645-1)/70)+1&gt;CROQUIS_DATOS!$C$1525,70,MOD($A645-1,70)+1)-2)/2)+1,CROQUIS_DATOS!$C$1541))))*CROQUIS_DATOS!$C$1561*CROQUIS_DATOS!$C$1562),-1000)</f>
        <v>40.2068965517241</v>
      </c>
    </row>
    <row r="646">
      <c r="A646" t="n">
        <v>639</v>
      </c>
      <c r="N646">
        <f>IF(AND(CROQUIS_DATOS!$C$1472=1,1),(CROQUIS_DATOS!$C$1563+(IF(IF(IF(INT(($A646-1)/70)+1&gt;CROQUIS_DATOS!$C$1525,70,MOD($A646-1,70)+1)=1,0,IF(IF(INT(($A646-1)/70)+1&gt;CROQUIS_DATOS!$C$1525,70,MOD($A646-1,70)+1)&gt;2*CROQUIS_DATOS!$C$1541+1,IF(MOD(CROQUIS_DATOS!$C$1541,2)=1,1,0),IF(MOD(MIN(INT((IF(INT(($A646-1)/70)+1&gt;CROQUIS_DATOS!$C$1525,70,MOD($A646-1,70)+1)-2)/2)+1,CROQUIS_DATOS!$C$1541),2)=1,IF(MOD(IF(INT(($A646-1)/70)+1&gt;CROQUIS_DATOS!$C$1525,70,MOD($A646-1,70)+1)-2,2)=0,0,1),IF(MOD(IF(INT(($A646-1)/70)+1&gt;CROQUIS_DATOS!$C$1525,70,MOD($A646-1,70)+1)-2,2)=0,1,0))))=0,(INDEX($E$8:$E$23,MIN(INT(($A646-1)/70)+1,CROQUIS_DATOS!$C$1525))-INDEX($F$8:$F$23,MIN(INT(($A646-1)/70)+1,CROQUIS_DATOS!$C$1525))/2),(INDEX($E$8:$E$23,MIN(INT(($A646-1)/70)+1,CROQUIS_DATOS!$C$1525))+INDEX($F$8:$F$23,MIN(INT(($A646-1)/70)+1,CROQUIS_DATOS!$C$1525))/2)))*CROQUIS_DATOS!$C$1562),-1000)</f>
        <v>82.8189655172414</v>
      </c>
      <c r="O646">
        <f>IF(AND(CROQUIS_DATOS!$C$1472=1,1),(CROQUIS_DATOS!$C$1564+(IF(OR(IF(INT(($A646-1)/70)+1&gt;CROQUIS_DATOS!$C$1525,70,MOD($A646-1,70)+1)=1,IF(INT(($A646-1)/70)+1&gt;CROQUIS_DATOS!$C$1525,70,MOD($A646-1,70)+1)&gt;2*CROQUIS_DATOS!$C$1541+1),CROQUIS_DATOS!$C$1476,INDEX($H$8:$H$41,MIN(INT((IF(INT(($A646-1)/70)+1&gt;CROQUIS_DATOS!$C$1525,70,MOD($A646-1,70)+1)-2)/2)+1,CROQUIS_DATOS!$C$1541))))*CROQUIS_DATOS!$C$1561*CROQUIS_DATOS!$C$1562),-1000)</f>
        <v>40.2068965517241</v>
      </c>
    </row>
    <row r="647">
      <c r="A647" t="n">
        <v>640</v>
      </c>
      <c r="N647">
        <f>IF(AND(CROQUIS_DATOS!$C$1472=1,1),(CROQUIS_DATOS!$C$1563+(IF(IF(IF(INT(($A647-1)/70)+1&gt;CROQUIS_DATOS!$C$1525,70,MOD($A647-1,70)+1)=1,0,IF(IF(INT(($A647-1)/70)+1&gt;CROQUIS_DATOS!$C$1525,70,MOD($A647-1,70)+1)&gt;2*CROQUIS_DATOS!$C$1541+1,IF(MOD(CROQUIS_DATOS!$C$1541,2)=1,1,0),IF(MOD(MIN(INT((IF(INT(($A647-1)/70)+1&gt;CROQUIS_DATOS!$C$1525,70,MOD($A647-1,70)+1)-2)/2)+1,CROQUIS_DATOS!$C$1541),2)=1,IF(MOD(IF(INT(($A647-1)/70)+1&gt;CROQUIS_DATOS!$C$1525,70,MOD($A647-1,70)+1)-2,2)=0,0,1),IF(MOD(IF(INT(($A647-1)/70)+1&gt;CROQUIS_DATOS!$C$1525,70,MOD($A647-1,70)+1)-2,2)=0,1,0))))=0,(INDEX($E$8:$E$23,MIN(INT(($A647-1)/70)+1,CROQUIS_DATOS!$C$1525))-INDEX($F$8:$F$23,MIN(INT(($A647-1)/70)+1,CROQUIS_DATOS!$C$1525))/2),(INDEX($E$8:$E$23,MIN(INT(($A647-1)/70)+1,CROQUIS_DATOS!$C$1525))+INDEX($F$8:$F$23,MIN(INT(($A647-1)/70)+1,CROQUIS_DATOS!$C$1525))/2)))*CROQUIS_DATOS!$C$1562),-1000)</f>
        <v>82.8189655172414</v>
      </c>
      <c r="O647">
        <f>IF(AND(CROQUIS_DATOS!$C$1472=1,1),(CROQUIS_DATOS!$C$1564+(IF(OR(IF(INT(($A647-1)/70)+1&gt;CROQUIS_DATOS!$C$1525,70,MOD($A647-1,70)+1)=1,IF(INT(($A647-1)/70)+1&gt;CROQUIS_DATOS!$C$1525,70,MOD($A647-1,70)+1)&gt;2*CROQUIS_DATOS!$C$1541+1),CROQUIS_DATOS!$C$1476,INDEX($H$8:$H$41,MIN(INT((IF(INT(($A647-1)/70)+1&gt;CROQUIS_DATOS!$C$1525,70,MOD($A647-1,70)+1)-2)/2)+1,CROQUIS_DATOS!$C$1541))))*CROQUIS_DATOS!$C$1561*CROQUIS_DATOS!$C$1562),-1000)</f>
        <v>40.2068965517241</v>
      </c>
    </row>
    <row r="648">
      <c r="A648" t="n">
        <v>641</v>
      </c>
      <c r="N648">
        <f>IF(AND(CROQUIS_DATOS!$C$1472=1,1),(CROQUIS_DATOS!$C$1563+(IF(IF(IF(INT(($A648-1)/70)+1&gt;CROQUIS_DATOS!$C$1525,70,MOD($A648-1,70)+1)=1,0,IF(IF(INT(($A648-1)/70)+1&gt;CROQUIS_DATOS!$C$1525,70,MOD($A648-1,70)+1)&gt;2*CROQUIS_DATOS!$C$1541+1,IF(MOD(CROQUIS_DATOS!$C$1541,2)=1,1,0),IF(MOD(MIN(INT((IF(INT(($A648-1)/70)+1&gt;CROQUIS_DATOS!$C$1525,70,MOD($A648-1,70)+1)-2)/2)+1,CROQUIS_DATOS!$C$1541),2)=1,IF(MOD(IF(INT(($A648-1)/70)+1&gt;CROQUIS_DATOS!$C$1525,70,MOD($A648-1,70)+1)-2,2)=0,0,1),IF(MOD(IF(INT(($A648-1)/70)+1&gt;CROQUIS_DATOS!$C$1525,70,MOD($A648-1,70)+1)-2,2)=0,1,0))))=0,(INDEX($E$8:$E$23,MIN(INT(($A648-1)/70)+1,CROQUIS_DATOS!$C$1525))-INDEX($F$8:$F$23,MIN(INT(($A648-1)/70)+1,CROQUIS_DATOS!$C$1525))/2),(INDEX($E$8:$E$23,MIN(INT(($A648-1)/70)+1,CROQUIS_DATOS!$C$1525))+INDEX($F$8:$F$23,MIN(INT(($A648-1)/70)+1,CROQUIS_DATOS!$C$1525))/2)))*CROQUIS_DATOS!$C$1562),-1000)</f>
        <v>82.8189655172414</v>
      </c>
      <c r="O648">
        <f>IF(AND(CROQUIS_DATOS!$C$1472=1,1),(CROQUIS_DATOS!$C$1564+(IF(OR(IF(INT(($A648-1)/70)+1&gt;CROQUIS_DATOS!$C$1525,70,MOD($A648-1,70)+1)=1,IF(INT(($A648-1)/70)+1&gt;CROQUIS_DATOS!$C$1525,70,MOD($A648-1,70)+1)&gt;2*CROQUIS_DATOS!$C$1541+1),CROQUIS_DATOS!$C$1476,INDEX($H$8:$H$41,MIN(INT((IF(INT(($A648-1)/70)+1&gt;CROQUIS_DATOS!$C$1525,70,MOD($A648-1,70)+1)-2)/2)+1,CROQUIS_DATOS!$C$1541))))*CROQUIS_DATOS!$C$1561*CROQUIS_DATOS!$C$1562),-1000)</f>
        <v>40.2068965517241</v>
      </c>
    </row>
    <row r="649">
      <c r="A649" t="n">
        <v>642</v>
      </c>
      <c r="N649">
        <f>IF(AND(CROQUIS_DATOS!$C$1472=1,1),(CROQUIS_DATOS!$C$1563+(IF(IF(IF(INT(($A649-1)/70)+1&gt;CROQUIS_DATOS!$C$1525,70,MOD($A649-1,70)+1)=1,0,IF(IF(INT(($A649-1)/70)+1&gt;CROQUIS_DATOS!$C$1525,70,MOD($A649-1,70)+1)&gt;2*CROQUIS_DATOS!$C$1541+1,IF(MOD(CROQUIS_DATOS!$C$1541,2)=1,1,0),IF(MOD(MIN(INT((IF(INT(($A649-1)/70)+1&gt;CROQUIS_DATOS!$C$1525,70,MOD($A649-1,70)+1)-2)/2)+1,CROQUIS_DATOS!$C$1541),2)=1,IF(MOD(IF(INT(($A649-1)/70)+1&gt;CROQUIS_DATOS!$C$1525,70,MOD($A649-1,70)+1)-2,2)=0,0,1),IF(MOD(IF(INT(($A649-1)/70)+1&gt;CROQUIS_DATOS!$C$1525,70,MOD($A649-1,70)+1)-2,2)=0,1,0))))=0,(INDEX($E$8:$E$23,MIN(INT(($A649-1)/70)+1,CROQUIS_DATOS!$C$1525))-INDEX($F$8:$F$23,MIN(INT(($A649-1)/70)+1,CROQUIS_DATOS!$C$1525))/2),(INDEX($E$8:$E$23,MIN(INT(($A649-1)/70)+1,CROQUIS_DATOS!$C$1525))+INDEX($F$8:$F$23,MIN(INT(($A649-1)/70)+1,CROQUIS_DATOS!$C$1525))/2)))*CROQUIS_DATOS!$C$1562),-1000)</f>
        <v>82.8189655172414</v>
      </c>
      <c r="O649">
        <f>IF(AND(CROQUIS_DATOS!$C$1472=1,1),(CROQUIS_DATOS!$C$1564+(IF(OR(IF(INT(($A649-1)/70)+1&gt;CROQUIS_DATOS!$C$1525,70,MOD($A649-1,70)+1)=1,IF(INT(($A649-1)/70)+1&gt;CROQUIS_DATOS!$C$1525,70,MOD($A649-1,70)+1)&gt;2*CROQUIS_DATOS!$C$1541+1),CROQUIS_DATOS!$C$1476,INDEX($H$8:$H$41,MIN(INT((IF(INT(($A649-1)/70)+1&gt;CROQUIS_DATOS!$C$1525,70,MOD($A649-1,70)+1)-2)/2)+1,CROQUIS_DATOS!$C$1541))))*CROQUIS_DATOS!$C$1561*CROQUIS_DATOS!$C$1562),-1000)</f>
        <v>40.2068965517241</v>
      </c>
    </row>
    <row r="650">
      <c r="A650" t="n">
        <v>643</v>
      </c>
      <c r="N650">
        <f>IF(AND(CROQUIS_DATOS!$C$1472=1,1),(CROQUIS_DATOS!$C$1563+(IF(IF(IF(INT(($A650-1)/70)+1&gt;CROQUIS_DATOS!$C$1525,70,MOD($A650-1,70)+1)=1,0,IF(IF(INT(($A650-1)/70)+1&gt;CROQUIS_DATOS!$C$1525,70,MOD($A650-1,70)+1)&gt;2*CROQUIS_DATOS!$C$1541+1,IF(MOD(CROQUIS_DATOS!$C$1541,2)=1,1,0),IF(MOD(MIN(INT((IF(INT(($A650-1)/70)+1&gt;CROQUIS_DATOS!$C$1525,70,MOD($A650-1,70)+1)-2)/2)+1,CROQUIS_DATOS!$C$1541),2)=1,IF(MOD(IF(INT(($A650-1)/70)+1&gt;CROQUIS_DATOS!$C$1525,70,MOD($A650-1,70)+1)-2,2)=0,0,1),IF(MOD(IF(INT(($A650-1)/70)+1&gt;CROQUIS_DATOS!$C$1525,70,MOD($A650-1,70)+1)-2,2)=0,1,0))))=0,(INDEX($E$8:$E$23,MIN(INT(($A650-1)/70)+1,CROQUIS_DATOS!$C$1525))-INDEX($F$8:$F$23,MIN(INT(($A650-1)/70)+1,CROQUIS_DATOS!$C$1525))/2),(INDEX($E$8:$E$23,MIN(INT(($A650-1)/70)+1,CROQUIS_DATOS!$C$1525))+INDEX($F$8:$F$23,MIN(INT(($A650-1)/70)+1,CROQUIS_DATOS!$C$1525))/2)))*CROQUIS_DATOS!$C$1562),-1000)</f>
        <v>82.8189655172414</v>
      </c>
      <c r="O650">
        <f>IF(AND(CROQUIS_DATOS!$C$1472=1,1),(CROQUIS_DATOS!$C$1564+(IF(OR(IF(INT(($A650-1)/70)+1&gt;CROQUIS_DATOS!$C$1525,70,MOD($A650-1,70)+1)=1,IF(INT(($A650-1)/70)+1&gt;CROQUIS_DATOS!$C$1525,70,MOD($A650-1,70)+1)&gt;2*CROQUIS_DATOS!$C$1541+1),CROQUIS_DATOS!$C$1476,INDEX($H$8:$H$41,MIN(INT((IF(INT(($A650-1)/70)+1&gt;CROQUIS_DATOS!$C$1525,70,MOD($A650-1,70)+1)-2)/2)+1,CROQUIS_DATOS!$C$1541))))*CROQUIS_DATOS!$C$1561*CROQUIS_DATOS!$C$1562),-1000)</f>
        <v>40.2068965517241</v>
      </c>
    </row>
    <row r="651">
      <c r="A651" t="n">
        <v>644</v>
      </c>
      <c r="N651">
        <f>IF(AND(CROQUIS_DATOS!$C$1472=1,1),(CROQUIS_DATOS!$C$1563+(IF(IF(IF(INT(($A651-1)/70)+1&gt;CROQUIS_DATOS!$C$1525,70,MOD($A651-1,70)+1)=1,0,IF(IF(INT(($A651-1)/70)+1&gt;CROQUIS_DATOS!$C$1525,70,MOD($A651-1,70)+1)&gt;2*CROQUIS_DATOS!$C$1541+1,IF(MOD(CROQUIS_DATOS!$C$1541,2)=1,1,0),IF(MOD(MIN(INT((IF(INT(($A651-1)/70)+1&gt;CROQUIS_DATOS!$C$1525,70,MOD($A651-1,70)+1)-2)/2)+1,CROQUIS_DATOS!$C$1541),2)=1,IF(MOD(IF(INT(($A651-1)/70)+1&gt;CROQUIS_DATOS!$C$1525,70,MOD($A651-1,70)+1)-2,2)=0,0,1),IF(MOD(IF(INT(($A651-1)/70)+1&gt;CROQUIS_DATOS!$C$1525,70,MOD($A651-1,70)+1)-2,2)=0,1,0))))=0,(INDEX($E$8:$E$23,MIN(INT(($A651-1)/70)+1,CROQUIS_DATOS!$C$1525))-INDEX($F$8:$F$23,MIN(INT(($A651-1)/70)+1,CROQUIS_DATOS!$C$1525))/2),(INDEX($E$8:$E$23,MIN(INT(($A651-1)/70)+1,CROQUIS_DATOS!$C$1525))+INDEX($F$8:$F$23,MIN(INT(($A651-1)/70)+1,CROQUIS_DATOS!$C$1525))/2)))*CROQUIS_DATOS!$C$1562),-1000)</f>
        <v>82.8189655172414</v>
      </c>
      <c r="O651">
        <f>IF(AND(CROQUIS_DATOS!$C$1472=1,1),(CROQUIS_DATOS!$C$1564+(IF(OR(IF(INT(($A651-1)/70)+1&gt;CROQUIS_DATOS!$C$1525,70,MOD($A651-1,70)+1)=1,IF(INT(($A651-1)/70)+1&gt;CROQUIS_DATOS!$C$1525,70,MOD($A651-1,70)+1)&gt;2*CROQUIS_DATOS!$C$1541+1),CROQUIS_DATOS!$C$1476,INDEX($H$8:$H$41,MIN(INT((IF(INT(($A651-1)/70)+1&gt;CROQUIS_DATOS!$C$1525,70,MOD($A651-1,70)+1)-2)/2)+1,CROQUIS_DATOS!$C$1541))))*CROQUIS_DATOS!$C$1561*CROQUIS_DATOS!$C$1562),-1000)</f>
        <v>40.2068965517241</v>
      </c>
    </row>
    <row r="652">
      <c r="A652" t="n">
        <v>645</v>
      </c>
      <c r="N652">
        <f>IF(AND(CROQUIS_DATOS!$C$1472=1,1),(CROQUIS_DATOS!$C$1563+(IF(IF(IF(INT(($A652-1)/70)+1&gt;CROQUIS_DATOS!$C$1525,70,MOD($A652-1,70)+1)=1,0,IF(IF(INT(($A652-1)/70)+1&gt;CROQUIS_DATOS!$C$1525,70,MOD($A652-1,70)+1)&gt;2*CROQUIS_DATOS!$C$1541+1,IF(MOD(CROQUIS_DATOS!$C$1541,2)=1,1,0),IF(MOD(MIN(INT((IF(INT(($A652-1)/70)+1&gt;CROQUIS_DATOS!$C$1525,70,MOD($A652-1,70)+1)-2)/2)+1,CROQUIS_DATOS!$C$1541),2)=1,IF(MOD(IF(INT(($A652-1)/70)+1&gt;CROQUIS_DATOS!$C$1525,70,MOD($A652-1,70)+1)-2,2)=0,0,1),IF(MOD(IF(INT(($A652-1)/70)+1&gt;CROQUIS_DATOS!$C$1525,70,MOD($A652-1,70)+1)-2,2)=0,1,0))))=0,(INDEX($E$8:$E$23,MIN(INT(($A652-1)/70)+1,CROQUIS_DATOS!$C$1525))-INDEX($F$8:$F$23,MIN(INT(($A652-1)/70)+1,CROQUIS_DATOS!$C$1525))/2),(INDEX($E$8:$E$23,MIN(INT(($A652-1)/70)+1,CROQUIS_DATOS!$C$1525))+INDEX($F$8:$F$23,MIN(INT(($A652-1)/70)+1,CROQUIS_DATOS!$C$1525))/2)))*CROQUIS_DATOS!$C$1562),-1000)</f>
        <v>82.8189655172414</v>
      </c>
      <c r="O652">
        <f>IF(AND(CROQUIS_DATOS!$C$1472=1,1),(CROQUIS_DATOS!$C$1564+(IF(OR(IF(INT(($A652-1)/70)+1&gt;CROQUIS_DATOS!$C$1525,70,MOD($A652-1,70)+1)=1,IF(INT(($A652-1)/70)+1&gt;CROQUIS_DATOS!$C$1525,70,MOD($A652-1,70)+1)&gt;2*CROQUIS_DATOS!$C$1541+1),CROQUIS_DATOS!$C$1476,INDEX($H$8:$H$41,MIN(INT((IF(INT(($A652-1)/70)+1&gt;CROQUIS_DATOS!$C$1525,70,MOD($A652-1,70)+1)-2)/2)+1,CROQUIS_DATOS!$C$1541))))*CROQUIS_DATOS!$C$1561*CROQUIS_DATOS!$C$1562),-1000)</f>
        <v>40.2068965517241</v>
      </c>
    </row>
    <row r="653">
      <c r="A653" t="n">
        <v>646</v>
      </c>
      <c r="N653">
        <f>IF(AND(CROQUIS_DATOS!$C$1472=1,1),(CROQUIS_DATOS!$C$1563+(IF(IF(IF(INT(($A653-1)/70)+1&gt;CROQUIS_DATOS!$C$1525,70,MOD($A653-1,70)+1)=1,0,IF(IF(INT(($A653-1)/70)+1&gt;CROQUIS_DATOS!$C$1525,70,MOD($A653-1,70)+1)&gt;2*CROQUIS_DATOS!$C$1541+1,IF(MOD(CROQUIS_DATOS!$C$1541,2)=1,1,0),IF(MOD(MIN(INT((IF(INT(($A653-1)/70)+1&gt;CROQUIS_DATOS!$C$1525,70,MOD($A653-1,70)+1)-2)/2)+1,CROQUIS_DATOS!$C$1541),2)=1,IF(MOD(IF(INT(($A653-1)/70)+1&gt;CROQUIS_DATOS!$C$1525,70,MOD($A653-1,70)+1)-2,2)=0,0,1),IF(MOD(IF(INT(($A653-1)/70)+1&gt;CROQUIS_DATOS!$C$1525,70,MOD($A653-1,70)+1)-2,2)=0,1,0))))=0,(INDEX($E$8:$E$23,MIN(INT(($A653-1)/70)+1,CROQUIS_DATOS!$C$1525))-INDEX($F$8:$F$23,MIN(INT(($A653-1)/70)+1,CROQUIS_DATOS!$C$1525))/2),(INDEX($E$8:$E$23,MIN(INT(($A653-1)/70)+1,CROQUIS_DATOS!$C$1525))+INDEX($F$8:$F$23,MIN(INT(($A653-1)/70)+1,CROQUIS_DATOS!$C$1525))/2)))*CROQUIS_DATOS!$C$1562),-1000)</f>
        <v>82.8189655172414</v>
      </c>
      <c r="O653">
        <f>IF(AND(CROQUIS_DATOS!$C$1472=1,1),(CROQUIS_DATOS!$C$1564+(IF(OR(IF(INT(($A653-1)/70)+1&gt;CROQUIS_DATOS!$C$1525,70,MOD($A653-1,70)+1)=1,IF(INT(($A653-1)/70)+1&gt;CROQUIS_DATOS!$C$1525,70,MOD($A653-1,70)+1)&gt;2*CROQUIS_DATOS!$C$1541+1),CROQUIS_DATOS!$C$1476,INDEX($H$8:$H$41,MIN(INT((IF(INT(($A653-1)/70)+1&gt;CROQUIS_DATOS!$C$1525,70,MOD($A653-1,70)+1)-2)/2)+1,CROQUIS_DATOS!$C$1541))))*CROQUIS_DATOS!$C$1561*CROQUIS_DATOS!$C$1562),-1000)</f>
        <v>40.2068965517241</v>
      </c>
    </row>
    <row r="654">
      <c r="A654" t="n">
        <v>647</v>
      </c>
      <c r="N654">
        <f>IF(AND(CROQUIS_DATOS!$C$1472=1,1),(CROQUIS_DATOS!$C$1563+(IF(IF(IF(INT(($A654-1)/70)+1&gt;CROQUIS_DATOS!$C$1525,70,MOD($A654-1,70)+1)=1,0,IF(IF(INT(($A654-1)/70)+1&gt;CROQUIS_DATOS!$C$1525,70,MOD($A654-1,70)+1)&gt;2*CROQUIS_DATOS!$C$1541+1,IF(MOD(CROQUIS_DATOS!$C$1541,2)=1,1,0),IF(MOD(MIN(INT((IF(INT(($A654-1)/70)+1&gt;CROQUIS_DATOS!$C$1525,70,MOD($A654-1,70)+1)-2)/2)+1,CROQUIS_DATOS!$C$1541),2)=1,IF(MOD(IF(INT(($A654-1)/70)+1&gt;CROQUIS_DATOS!$C$1525,70,MOD($A654-1,70)+1)-2,2)=0,0,1),IF(MOD(IF(INT(($A654-1)/70)+1&gt;CROQUIS_DATOS!$C$1525,70,MOD($A654-1,70)+1)-2,2)=0,1,0))))=0,(INDEX($E$8:$E$23,MIN(INT(($A654-1)/70)+1,CROQUIS_DATOS!$C$1525))-INDEX($F$8:$F$23,MIN(INT(($A654-1)/70)+1,CROQUIS_DATOS!$C$1525))/2),(INDEX($E$8:$E$23,MIN(INT(($A654-1)/70)+1,CROQUIS_DATOS!$C$1525))+INDEX($F$8:$F$23,MIN(INT(($A654-1)/70)+1,CROQUIS_DATOS!$C$1525))/2)))*CROQUIS_DATOS!$C$1562),-1000)</f>
        <v>82.8189655172414</v>
      </c>
      <c r="O654">
        <f>IF(AND(CROQUIS_DATOS!$C$1472=1,1),(CROQUIS_DATOS!$C$1564+(IF(OR(IF(INT(($A654-1)/70)+1&gt;CROQUIS_DATOS!$C$1525,70,MOD($A654-1,70)+1)=1,IF(INT(($A654-1)/70)+1&gt;CROQUIS_DATOS!$C$1525,70,MOD($A654-1,70)+1)&gt;2*CROQUIS_DATOS!$C$1541+1),CROQUIS_DATOS!$C$1476,INDEX($H$8:$H$41,MIN(INT((IF(INT(($A654-1)/70)+1&gt;CROQUIS_DATOS!$C$1525,70,MOD($A654-1,70)+1)-2)/2)+1,CROQUIS_DATOS!$C$1541))))*CROQUIS_DATOS!$C$1561*CROQUIS_DATOS!$C$1562),-1000)</f>
        <v>40.2068965517241</v>
      </c>
    </row>
    <row r="655">
      <c r="A655" t="n">
        <v>648</v>
      </c>
      <c r="N655">
        <f>IF(AND(CROQUIS_DATOS!$C$1472=1,1),(CROQUIS_DATOS!$C$1563+(IF(IF(IF(INT(($A655-1)/70)+1&gt;CROQUIS_DATOS!$C$1525,70,MOD($A655-1,70)+1)=1,0,IF(IF(INT(($A655-1)/70)+1&gt;CROQUIS_DATOS!$C$1525,70,MOD($A655-1,70)+1)&gt;2*CROQUIS_DATOS!$C$1541+1,IF(MOD(CROQUIS_DATOS!$C$1541,2)=1,1,0),IF(MOD(MIN(INT((IF(INT(($A655-1)/70)+1&gt;CROQUIS_DATOS!$C$1525,70,MOD($A655-1,70)+1)-2)/2)+1,CROQUIS_DATOS!$C$1541),2)=1,IF(MOD(IF(INT(($A655-1)/70)+1&gt;CROQUIS_DATOS!$C$1525,70,MOD($A655-1,70)+1)-2,2)=0,0,1),IF(MOD(IF(INT(($A655-1)/70)+1&gt;CROQUIS_DATOS!$C$1525,70,MOD($A655-1,70)+1)-2,2)=0,1,0))))=0,(INDEX($E$8:$E$23,MIN(INT(($A655-1)/70)+1,CROQUIS_DATOS!$C$1525))-INDEX($F$8:$F$23,MIN(INT(($A655-1)/70)+1,CROQUIS_DATOS!$C$1525))/2),(INDEX($E$8:$E$23,MIN(INT(($A655-1)/70)+1,CROQUIS_DATOS!$C$1525))+INDEX($F$8:$F$23,MIN(INT(($A655-1)/70)+1,CROQUIS_DATOS!$C$1525))/2)))*CROQUIS_DATOS!$C$1562),-1000)</f>
        <v>82.8189655172414</v>
      </c>
      <c r="O655">
        <f>IF(AND(CROQUIS_DATOS!$C$1472=1,1),(CROQUIS_DATOS!$C$1564+(IF(OR(IF(INT(($A655-1)/70)+1&gt;CROQUIS_DATOS!$C$1525,70,MOD($A655-1,70)+1)=1,IF(INT(($A655-1)/70)+1&gt;CROQUIS_DATOS!$C$1525,70,MOD($A655-1,70)+1)&gt;2*CROQUIS_DATOS!$C$1541+1),CROQUIS_DATOS!$C$1476,INDEX($H$8:$H$41,MIN(INT((IF(INT(($A655-1)/70)+1&gt;CROQUIS_DATOS!$C$1525,70,MOD($A655-1,70)+1)-2)/2)+1,CROQUIS_DATOS!$C$1541))))*CROQUIS_DATOS!$C$1561*CROQUIS_DATOS!$C$1562),-1000)</f>
        <v>40.2068965517241</v>
      </c>
    </row>
    <row r="656">
      <c r="A656" t="n">
        <v>649</v>
      </c>
      <c r="N656">
        <f>IF(AND(CROQUIS_DATOS!$C$1472=1,1),(CROQUIS_DATOS!$C$1563+(IF(IF(IF(INT(($A656-1)/70)+1&gt;CROQUIS_DATOS!$C$1525,70,MOD($A656-1,70)+1)=1,0,IF(IF(INT(($A656-1)/70)+1&gt;CROQUIS_DATOS!$C$1525,70,MOD($A656-1,70)+1)&gt;2*CROQUIS_DATOS!$C$1541+1,IF(MOD(CROQUIS_DATOS!$C$1541,2)=1,1,0),IF(MOD(MIN(INT((IF(INT(($A656-1)/70)+1&gt;CROQUIS_DATOS!$C$1525,70,MOD($A656-1,70)+1)-2)/2)+1,CROQUIS_DATOS!$C$1541),2)=1,IF(MOD(IF(INT(($A656-1)/70)+1&gt;CROQUIS_DATOS!$C$1525,70,MOD($A656-1,70)+1)-2,2)=0,0,1),IF(MOD(IF(INT(($A656-1)/70)+1&gt;CROQUIS_DATOS!$C$1525,70,MOD($A656-1,70)+1)-2,2)=0,1,0))))=0,(INDEX($E$8:$E$23,MIN(INT(($A656-1)/70)+1,CROQUIS_DATOS!$C$1525))-INDEX($F$8:$F$23,MIN(INT(($A656-1)/70)+1,CROQUIS_DATOS!$C$1525))/2),(INDEX($E$8:$E$23,MIN(INT(($A656-1)/70)+1,CROQUIS_DATOS!$C$1525))+INDEX($F$8:$F$23,MIN(INT(($A656-1)/70)+1,CROQUIS_DATOS!$C$1525))/2)))*CROQUIS_DATOS!$C$1562),-1000)</f>
        <v>82.8189655172414</v>
      </c>
      <c r="O656">
        <f>IF(AND(CROQUIS_DATOS!$C$1472=1,1),(CROQUIS_DATOS!$C$1564+(IF(OR(IF(INT(($A656-1)/70)+1&gt;CROQUIS_DATOS!$C$1525,70,MOD($A656-1,70)+1)=1,IF(INT(($A656-1)/70)+1&gt;CROQUIS_DATOS!$C$1525,70,MOD($A656-1,70)+1)&gt;2*CROQUIS_DATOS!$C$1541+1),CROQUIS_DATOS!$C$1476,INDEX($H$8:$H$41,MIN(INT((IF(INT(($A656-1)/70)+1&gt;CROQUIS_DATOS!$C$1525,70,MOD($A656-1,70)+1)-2)/2)+1,CROQUIS_DATOS!$C$1541))))*CROQUIS_DATOS!$C$1561*CROQUIS_DATOS!$C$1562),-1000)</f>
        <v>40.2068965517241</v>
      </c>
    </row>
    <row r="657">
      <c r="A657" t="n">
        <v>650</v>
      </c>
      <c r="N657">
        <f>IF(AND(CROQUIS_DATOS!$C$1472=1,1),(CROQUIS_DATOS!$C$1563+(IF(IF(IF(INT(($A657-1)/70)+1&gt;CROQUIS_DATOS!$C$1525,70,MOD($A657-1,70)+1)=1,0,IF(IF(INT(($A657-1)/70)+1&gt;CROQUIS_DATOS!$C$1525,70,MOD($A657-1,70)+1)&gt;2*CROQUIS_DATOS!$C$1541+1,IF(MOD(CROQUIS_DATOS!$C$1541,2)=1,1,0),IF(MOD(MIN(INT((IF(INT(($A657-1)/70)+1&gt;CROQUIS_DATOS!$C$1525,70,MOD($A657-1,70)+1)-2)/2)+1,CROQUIS_DATOS!$C$1541),2)=1,IF(MOD(IF(INT(($A657-1)/70)+1&gt;CROQUIS_DATOS!$C$1525,70,MOD($A657-1,70)+1)-2,2)=0,0,1),IF(MOD(IF(INT(($A657-1)/70)+1&gt;CROQUIS_DATOS!$C$1525,70,MOD($A657-1,70)+1)-2,2)=0,1,0))))=0,(INDEX($E$8:$E$23,MIN(INT(($A657-1)/70)+1,CROQUIS_DATOS!$C$1525))-INDEX($F$8:$F$23,MIN(INT(($A657-1)/70)+1,CROQUIS_DATOS!$C$1525))/2),(INDEX($E$8:$E$23,MIN(INT(($A657-1)/70)+1,CROQUIS_DATOS!$C$1525))+INDEX($F$8:$F$23,MIN(INT(($A657-1)/70)+1,CROQUIS_DATOS!$C$1525))/2)))*CROQUIS_DATOS!$C$1562),-1000)</f>
        <v>82.8189655172414</v>
      </c>
      <c r="O657">
        <f>IF(AND(CROQUIS_DATOS!$C$1472=1,1),(CROQUIS_DATOS!$C$1564+(IF(OR(IF(INT(($A657-1)/70)+1&gt;CROQUIS_DATOS!$C$1525,70,MOD($A657-1,70)+1)=1,IF(INT(($A657-1)/70)+1&gt;CROQUIS_DATOS!$C$1525,70,MOD($A657-1,70)+1)&gt;2*CROQUIS_DATOS!$C$1541+1),CROQUIS_DATOS!$C$1476,INDEX($H$8:$H$41,MIN(INT((IF(INT(($A657-1)/70)+1&gt;CROQUIS_DATOS!$C$1525,70,MOD($A657-1,70)+1)-2)/2)+1,CROQUIS_DATOS!$C$1541))))*CROQUIS_DATOS!$C$1561*CROQUIS_DATOS!$C$1562),-1000)</f>
        <v>40.2068965517241</v>
      </c>
    </row>
    <row r="658">
      <c r="A658" t="n">
        <v>651</v>
      </c>
      <c r="N658">
        <f>IF(AND(CROQUIS_DATOS!$C$1472=1,1),(CROQUIS_DATOS!$C$1563+(IF(IF(IF(INT(($A658-1)/70)+1&gt;CROQUIS_DATOS!$C$1525,70,MOD($A658-1,70)+1)=1,0,IF(IF(INT(($A658-1)/70)+1&gt;CROQUIS_DATOS!$C$1525,70,MOD($A658-1,70)+1)&gt;2*CROQUIS_DATOS!$C$1541+1,IF(MOD(CROQUIS_DATOS!$C$1541,2)=1,1,0),IF(MOD(MIN(INT((IF(INT(($A658-1)/70)+1&gt;CROQUIS_DATOS!$C$1525,70,MOD($A658-1,70)+1)-2)/2)+1,CROQUIS_DATOS!$C$1541),2)=1,IF(MOD(IF(INT(($A658-1)/70)+1&gt;CROQUIS_DATOS!$C$1525,70,MOD($A658-1,70)+1)-2,2)=0,0,1),IF(MOD(IF(INT(($A658-1)/70)+1&gt;CROQUIS_DATOS!$C$1525,70,MOD($A658-1,70)+1)-2,2)=0,1,0))))=0,(INDEX($E$8:$E$23,MIN(INT(($A658-1)/70)+1,CROQUIS_DATOS!$C$1525))-INDEX($F$8:$F$23,MIN(INT(($A658-1)/70)+1,CROQUIS_DATOS!$C$1525))/2),(INDEX($E$8:$E$23,MIN(INT(($A658-1)/70)+1,CROQUIS_DATOS!$C$1525))+INDEX($F$8:$F$23,MIN(INT(($A658-1)/70)+1,CROQUIS_DATOS!$C$1525))/2)))*CROQUIS_DATOS!$C$1562),-1000)</f>
        <v>82.8189655172414</v>
      </c>
      <c r="O658">
        <f>IF(AND(CROQUIS_DATOS!$C$1472=1,1),(CROQUIS_DATOS!$C$1564+(IF(OR(IF(INT(($A658-1)/70)+1&gt;CROQUIS_DATOS!$C$1525,70,MOD($A658-1,70)+1)=1,IF(INT(($A658-1)/70)+1&gt;CROQUIS_DATOS!$C$1525,70,MOD($A658-1,70)+1)&gt;2*CROQUIS_DATOS!$C$1541+1),CROQUIS_DATOS!$C$1476,INDEX($H$8:$H$41,MIN(INT((IF(INT(($A658-1)/70)+1&gt;CROQUIS_DATOS!$C$1525,70,MOD($A658-1,70)+1)-2)/2)+1,CROQUIS_DATOS!$C$1541))))*CROQUIS_DATOS!$C$1561*CROQUIS_DATOS!$C$1562),-1000)</f>
        <v>40.2068965517241</v>
      </c>
    </row>
    <row r="659">
      <c r="A659" t="n">
        <v>652</v>
      </c>
      <c r="N659">
        <f>IF(AND(CROQUIS_DATOS!$C$1472=1,1),(CROQUIS_DATOS!$C$1563+(IF(IF(IF(INT(($A659-1)/70)+1&gt;CROQUIS_DATOS!$C$1525,70,MOD($A659-1,70)+1)=1,0,IF(IF(INT(($A659-1)/70)+1&gt;CROQUIS_DATOS!$C$1525,70,MOD($A659-1,70)+1)&gt;2*CROQUIS_DATOS!$C$1541+1,IF(MOD(CROQUIS_DATOS!$C$1541,2)=1,1,0),IF(MOD(MIN(INT((IF(INT(($A659-1)/70)+1&gt;CROQUIS_DATOS!$C$1525,70,MOD($A659-1,70)+1)-2)/2)+1,CROQUIS_DATOS!$C$1541),2)=1,IF(MOD(IF(INT(($A659-1)/70)+1&gt;CROQUIS_DATOS!$C$1525,70,MOD($A659-1,70)+1)-2,2)=0,0,1),IF(MOD(IF(INT(($A659-1)/70)+1&gt;CROQUIS_DATOS!$C$1525,70,MOD($A659-1,70)+1)-2,2)=0,1,0))))=0,(INDEX($E$8:$E$23,MIN(INT(($A659-1)/70)+1,CROQUIS_DATOS!$C$1525))-INDEX($F$8:$F$23,MIN(INT(($A659-1)/70)+1,CROQUIS_DATOS!$C$1525))/2),(INDEX($E$8:$E$23,MIN(INT(($A659-1)/70)+1,CROQUIS_DATOS!$C$1525))+INDEX($F$8:$F$23,MIN(INT(($A659-1)/70)+1,CROQUIS_DATOS!$C$1525))/2)))*CROQUIS_DATOS!$C$1562),-1000)</f>
        <v>82.8189655172414</v>
      </c>
      <c r="O659">
        <f>IF(AND(CROQUIS_DATOS!$C$1472=1,1),(CROQUIS_DATOS!$C$1564+(IF(OR(IF(INT(($A659-1)/70)+1&gt;CROQUIS_DATOS!$C$1525,70,MOD($A659-1,70)+1)=1,IF(INT(($A659-1)/70)+1&gt;CROQUIS_DATOS!$C$1525,70,MOD($A659-1,70)+1)&gt;2*CROQUIS_DATOS!$C$1541+1),CROQUIS_DATOS!$C$1476,INDEX($H$8:$H$41,MIN(INT((IF(INT(($A659-1)/70)+1&gt;CROQUIS_DATOS!$C$1525,70,MOD($A659-1,70)+1)-2)/2)+1,CROQUIS_DATOS!$C$1541))))*CROQUIS_DATOS!$C$1561*CROQUIS_DATOS!$C$1562),-1000)</f>
        <v>40.2068965517241</v>
      </c>
    </row>
    <row r="660">
      <c r="A660" t="n">
        <v>653</v>
      </c>
      <c r="N660">
        <f>IF(AND(CROQUIS_DATOS!$C$1472=1,1),(CROQUIS_DATOS!$C$1563+(IF(IF(IF(INT(($A660-1)/70)+1&gt;CROQUIS_DATOS!$C$1525,70,MOD($A660-1,70)+1)=1,0,IF(IF(INT(($A660-1)/70)+1&gt;CROQUIS_DATOS!$C$1525,70,MOD($A660-1,70)+1)&gt;2*CROQUIS_DATOS!$C$1541+1,IF(MOD(CROQUIS_DATOS!$C$1541,2)=1,1,0),IF(MOD(MIN(INT((IF(INT(($A660-1)/70)+1&gt;CROQUIS_DATOS!$C$1525,70,MOD($A660-1,70)+1)-2)/2)+1,CROQUIS_DATOS!$C$1541),2)=1,IF(MOD(IF(INT(($A660-1)/70)+1&gt;CROQUIS_DATOS!$C$1525,70,MOD($A660-1,70)+1)-2,2)=0,0,1),IF(MOD(IF(INT(($A660-1)/70)+1&gt;CROQUIS_DATOS!$C$1525,70,MOD($A660-1,70)+1)-2,2)=0,1,0))))=0,(INDEX($E$8:$E$23,MIN(INT(($A660-1)/70)+1,CROQUIS_DATOS!$C$1525))-INDEX($F$8:$F$23,MIN(INT(($A660-1)/70)+1,CROQUIS_DATOS!$C$1525))/2),(INDEX($E$8:$E$23,MIN(INT(($A660-1)/70)+1,CROQUIS_DATOS!$C$1525))+INDEX($F$8:$F$23,MIN(INT(($A660-1)/70)+1,CROQUIS_DATOS!$C$1525))/2)))*CROQUIS_DATOS!$C$1562),-1000)</f>
        <v>82.8189655172414</v>
      </c>
      <c r="O660">
        <f>IF(AND(CROQUIS_DATOS!$C$1472=1,1),(CROQUIS_DATOS!$C$1564+(IF(OR(IF(INT(($A660-1)/70)+1&gt;CROQUIS_DATOS!$C$1525,70,MOD($A660-1,70)+1)=1,IF(INT(($A660-1)/70)+1&gt;CROQUIS_DATOS!$C$1525,70,MOD($A660-1,70)+1)&gt;2*CROQUIS_DATOS!$C$1541+1),CROQUIS_DATOS!$C$1476,INDEX($H$8:$H$41,MIN(INT((IF(INT(($A660-1)/70)+1&gt;CROQUIS_DATOS!$C$1525,70,MOD($A660-1,70)+1)-2)/2)+1,CROQUIS_DATOS!$C$1541))))*CROQUIS_DATOS!$C$1561*CROQUIS_DATOS!$C$1562),-1000)</f>
        <v>40.2068965517241</v>
      </c>
    </row>
    <row r="661">
      <c r="A661" t="n">
        <v>654</v>
      </c>
      <c r="N661">
        <f>IF(AND(CROQUIS_DATOS!$C$1472=1,1),(CROQUIS_DATOS!$C$1563+(IF(IF(IF(INT(($A661-1)/70)+1&gt;CROQUIS_DATOS!$C$1525,70,MOD($A661-1,70)+1)=1,0,IF(IF(INT(($A661-1)/70)+1&gt;CROQUIS_DATOS!$C$1525,70,MOD($A661-1,70)+1)&gt;2*CROQUIS_DATOS!$C$1541+1,IF(MOD(CROQUIS_DATOS!$C$1541,2)=1,1,0),IF(MOD(MIN(INT((IF(INT(($A661-1)/70)+1&gt;CROQUIS_DATOS!$C$1525,70,MOD($A661-1,70)+1)-2)/2)+1,CROQUIS_DATOS!$C$1541),2)=1,IF(MOD(IF(INT(($A661-1)/70)+1&gt;CROQUIS_DATOS!$C$1525,70,MOD($A661-1,70)+1)-2,2)=0,0,1),IF(MOD(IF(INT(($A661-1)/70)+1&gt;CROQUIS_DATOS!$C$1525,70,MOD($A661-1,70)+1)-2,2)=0,1,0))))=0,(INDEX($E$8:$E$23,MIN(INT(($A661-1)/70)+1,CROQUIS_DATOS!$C$1525))-INDEX($F$8:$F$23,MIN(INT(($A661-1)/70)+1,CROQUIS_DATOS!$C$1525))/2),(INDEX($E$8:$E$23,MIN(INT(($A661-1)/70)+1,CROQUIS_DATOS!$C$1525))+INDEX($F$8:$F$23,MIN(INT(($A661-1)/70)+1,CROQUIS_DATOS!$C$1525))/2)))*CROQUIS_DATOS!$C$1562),-1000)</f>
        <v>82.8189655172414</v>
      </c>
      <c r="O661">
        <f>IF(AND(CROQUIS_DATOS!$C$1472=1,1),(CROQUIS_DATOS!$C$1564+(IF(OR(IF(INT(($A661-1)/70)+1&gt;CROQUIS_DATOS!$C$1525,70,MOD($A661-1,70)+1)=1,IF(INT(($A661-1)/70)+1&gt;CROQUIS_DATOS!$C$1525,70,MOD($A661-1,70)+1)&gt;2*CROQUIS_DATOS!$C$1541+1),CROQUIS_DATOS!$C$1476,INDEX($H$8:$H$41,MIN(INT((IF(INT(($A661-1)/70)+1&gt;CROQUIS_DATOS!$C$1525,70,MOD($A661-1,70)+1)-2)/2)+1,CROQUIS_DATOS!$C$1541))))*CROQUIS_DATOS!$C$1561*CROQUIS_DATOS!$C$1562),-1000)</f>
        <v>40.2068965517241</v>
      </c>
    </row>
    <row r="662">
      <c r="A662" t="n">
        <v>655</v>
      </c>
      <c r="N662">
        <f>IF(AND(CROQUIS_DATOS!$C$1472=1,1),(CROQUIS_DATOS!$C$1563+(IF(IF(IF(INT(($A662-1)/70)+1&gt;CROQUIS_DATOS!$C$1525,70,MOD($A662-1,70)+1)=1,0,IF(IF(INT(($A662-1)/70)+1&gt;CROQUIS_DATOS!$C$1525,70,MOD($A662-1,70)+1)&gt;2*CROQUIS_DATOS!$C$1541+1,IF(MOD(CROQUIS_DATOS!$C$1541,2)=1,1,0),IF(MOD(MIN(INT((IF(INT(($A662-1)/70)+1&gt;CROQUIS_DATOS!$C$1525,70,MOD($A662-1,70)+1)-2)/2)+1,CROQUIS_DATOS!$C$1541),2)=1,IF(MOD(IF(INT(($A662-1)/70)+1&gt;CROQUIS_DATOS!$C$1525,70,MOD($A662-1,70)+1)-2,2)=0,0,1),IF(MOD(IF(INT(($A662-1)/70)+1&gt;CROQUIS_DATOS!$C$1525,70,MOD($A662-1,70)+1)-2,2)=0,1,0))))=0,(INDEX($E$8:$E$23,MIN(INT(($A662-1)/70)+1,CROQUIS_DATOS!$C$1525))-INDEX($F$8:$F$23,MIN(INT(($A662-1)/70)+1,CROQUIS_DATOS!$C$1525))/2),(INDEX($E$8:$E$23,MIN(INT(($A662-1)/70)+1,CROQUIS_DATOS!$C$1525))+INDEX($F$8:$F$23,MIN(INT(($A662-1)/70)+1,CROQUIS_DATOS!$C$1525))/2)))*CROQUIS_DATOS!$C$1562),-1000)</f>
        <v>82.8189655172414</v>
      </c>
      <c r="O662">
        <f>IF(AND(CROQUIS_DATOS!$C$1472=1,1),(CROQUIS_DATOS!$C$1564+(IF(OR(IF(INT(($A662-1)/70)+1&gt;CROQUIS_DATOS!$C$1525,70,MOD($A662-1,70)+1)=1,IF(INT(($A662-1)/70)+1&gt;CROQUIS_DATOS!$C$1525,70,MOD($A662-1,70)+1)&gt;2*CROQUIS_DATOS!$C$1541+1),CROQUIS_DATOS!$C$1476,INDEX($H$8:$H$41,MIN(INT((IF(INT(($A662-1)/70)+1&gt;CROQUIS_DATOS!$C$1525,70,MOD($A662-1,70)+1)-2)/2)+1,CROQUIS_DATOS!$C$1541))))*CROQUIS_DATOS!$C$1561*CROQUIS_DATOS!$C$1562),-1000)</f>
        <v>40.2068965517241</v>
      </c>
    </row>
    <row r="663">
      <c r="A663" t="n">
        <v>656</v>
      </c>
      <c r="N663">
        <f>IF(AND(CROQUIS_DATOS!$C$1472=1,1),(CROQUIS_DATOS!$C$1563+(IF(IF(IF(INT(($A663-1)/70)+1&gt;CROQUIS_DATOS!$C$1525,70,MOD($A663-1,70)+1)=1,0,IF(IF(INT(($A663-1)/70)+1&gt;CROQUIS_DATOS!$C$1525,70,MOD($A663-1,70)+1)&gt;2*CROQUIS_DATOS!$C$1541+1,IF(MOD(CROQUIS_DATOS!$C$1541,2)=1,1,0),IF(MOD(MIN(INT((IF(INT(($A663-1)/70)+1&gt;CROQUIS_DATOS!$C$1525,70,MOD($A663-1,70)+1)-2)/2)+1,CROQUIS_DATOS!$C$1541),2)=1,IF(MOD(IF(INT(($A663-1)/70)+1&gt;CROQUIS_DATOS!$C$1525,70,MOD($A663-1,70)+1)-2,2)=0,0,1),IF(MOD(IF(INT(($A663-1)/70)+1&gt;CROQUIS_DATOS!$C$1525,70,MOD($A663-1,70)+1)-2,2)=0,1,0))))=0,(INDEX($E$8:$E$23,MIN(INT(($A663-1)/70)+1,CROQUIS_DATOS!$C$1525))-INDEX($F$8:$F$23,MIN(INT(($A663-1)/70)+1,CROQUIS_DATOS!$C$1525))/2),(INDEX($E$8:$E$23,MIN(INT(($A663-1)/70)+1,CROQUIS_DATOS!$C$1525))+INDEX($F$8:$F$23,MIN(INT(($A663-1)/70)+1,CROQUIS_DATOS!$C$1525))/2)))*CROQUIS_DATOS!$C$1562),-1000)</f>
        <v>82.8189655172414</v>
      </c>
      <c r="O663">
        <f>IF(AND(CROQUIS_DATOS!$C$1472=1,1),(CROQUIS_DATOS!$C$1564+(IF(OR(IF(INT(($A663-1)/70)+1&gt;CROQUIS_DATOS!$C$1525,70,MOD($A663-1,70)+1)=1,IF(INT(($A663-1)/70)+1&gt;CROQUIS_DATOS!$C$1525,70,MOD($A663-1,70)+1)&gt;2*CROQUIS_DATOS!$C$1541+1),CROQUIS_DATOS!$C$1476,INDEX($H$8:$H$41,MIN(INT((IF(INT(($A663-1)/70)+1&gt;CROQUIS_DATOS!$C$1525,70,MOD($A663-1,70)+1)-2)/2)+1,CROQUIS_DATOS!$C$1541))))*CROQUIS_DATOS!$C$1561*CROQUIS_DATOS!$C$1562),-1000)</f>
        <v>40.2068965517241</v>
      </c>
    </row>
    <row r="664">
      <c r="A664" t="n">
        <v>657</v>
      </c>
      <c r="N664">
        <f>IF(AND(CROQUIS_DATOS!$C$1472=1,1),(CROQUIS_DATOS!$C$1563+(IF(IF(IF(INT(($A664-1)/70)+1&gt;CROQUIS_DATOS!$C$1525,70,MOD($A664-1,70)+1)=1,0,IF(IF(INT(($A664-1)/70)+1&gt;CROQUIS_DATOS!$C$1525,70,MOD($A664-1,70)+1)&gt;2*CROQUIS_DATOS!$C$1541+1,IF(MOD(CROQUIS_DATOS!$C$1541,2)=1,1,0),IF(MOD(MIN(INT((IF(INT(($A664-1)/70)+1&gt;CROQUIS_DATOS!$C$1525,70,MOD($A664-1,70)+1)-2)/2)+1,CROQUIS_DATOS!$C$1541),2)=1,IF(MOD(IF(INT(($A664-1)/70)+1&gt;CROQUIS_DATOS!$C$1525,70,MOD($A664-1,70)+1)-2,2)=0,0,1),IF(MOD(IF(INT(($A664-1)/70)+1&gt;CROQUIS_DATOS!$C$1525,70,MOD($A664-1,70)+1)-2,2)=0,1,0))))=0,(INDEX($E$8:$E$23,MIN(INT(($A664-1)/70)+1,CROQUIS_DATOS!$C$1525))-INDEX($F$8:$F$23,MIN(INT(($A664-1)/70)+1,CROQUIS_DATOS!$C$1525))/2),(INDEX($E$8:$E$23,MIN(INT(($A664-1)/70)+1,CROQUIS_DATOS!$C$1525))+INDEX($F$8:$F$23,MIN(INT(($A664-1)/70)+1,CROQUIS_DATOS!$C$1525))/2)))*CROQUIS_DATOS!$C$1562),-1000)</f>
        <v>82.8189655172414</v>
      </c>
      <c r="O664">
        <f>IF(AND(CROQUIS_DATOS!$C$1472=1,1),(CROQUIS_DATOS!$C$1564+(IF(OR(IF(INT(($A664-1)/70)+1&gt;CROQUIS_DATOS!$C$1525,70,MOD($A664-1,70)+1)=1,IF(INT(($A664-1)/70)+1&gt;CROQUIS_DATOS!$C$1525,70,MOD($A664-1,70)+1)&gt;2*CROQUIS_DATOS!$C$1541+1),CROQUIS_DATOS!$C$1476,INDEX($H$8:$H$41,MIN(INT((IF(INT(($A664-1)/70)+1&gt;CROQUIS_DATOS!$C$1525,70,MOD($A664-1,70)+1)-2)/2)+1,CROQUIS_DATOS!$C$1541))))*CROQUIS_DATOS!$C$1561*CROQUIS_DATOS!$C$1562),-1000)</f>
        <v>40.2068965517241</v>
      </c>
    </row>
    <row r="665">
      <c r="A665" t="n">
        <v>658</v>
      </c>
      <c r="N665">
        <f>IF(AND(CROQUIS_DATOS!$C$1472=1,1),(CROQUIS_DATOS!$C$1563+(IF(IF(IF(INT(($A665-1)/70)+1&gt;CROQUIS_DATOS!$C$1525,70,MOD($A665-1,70)+1)=1,0,IF(IF(INT(($A665-1)/70)+1&gt;CROQUIS_DATOS!$C$1525,70,MOD($A665-1,70)+1)&gt;2*CROQUIS_DATOS!$C$1541+1,IF(MOD(CROQUIS_DATOS!$C$1541,2)=1,1,0),IF(MOD(MIN(INT((IF(INT(($A665-1)/70)+1&gt;CROQUIS_DATOS!$C$1525,70,MOD($A665-1,70)+1)-2)/2)+1,CROQUIS_DATOS!$C$1541),2)=1,IF(MOD(IF(INT(($A665-1)/70)+1&gt;CROQUIS_DATOS!$C$1525,70,MOD($A665-1,70)+1)-2,2)=0,0,1),IF(MOD(IF(INT(($A665-1)/70)+1&gt;CROQUIS_DATOS!$C$1525,70,MOD($A665-1,70)+1)-2,2)=0,1,0))))=0,(INDEX($E$8:$E$23,MIN(INT(($A665-1)/70)+1,CROQUIS_DATOS!$C$1525))-INDEX($F$8:$F$23,MIN(INT(($A665-1)/70)+1,CROQUIS_DATOS!$C$1525))/2),(INDEX($E$8:$E$23,MIN(INT(($A665-1)/70)+1,CROQUIS_DATOS!$C$1525))+INDEX($F$8:$F$23,MIN(INT(($A665-1)/70)+1,CROQUIS_DATOS!$C$1525))/2)))*CROQUIS_DATOS!$C$1562),-1000)</f>
        <v>82.8189655172414</v>
      </c>
      <c r="O665">
        <f>IF(AND(CROQUIS_DATOS!$C$1472=1,1),(CROQUIS_DATOS!$C$1564+(IF(OR(IF(INT(($A665-1)/70)+1&gt;CROQUIS_DATOS!$C$1525,70,MOD($A665-1,70)+1)=1,IF(INT(($A665-1)/70)+1&gt;CROQUIS_DATOS!$C$1525,70,MOD($A665-1,70)+1)&gt;2*CROQUIS_DATOS!$C$1541+1),CROQUIS_DATOS!$C$1476,INDEX($H$8:$H$41,MIN(INT((IF(INT(($A665-1)/70)+1&gt;CROQUIS_DATOS!$C$1525,70,MOD($A665-1,70)+1)-2)/2)+1,CROQUIS_DATOS!$C$1541))))*CROQUIS_DATOS!$C$1561*CROQUIS_DATOS!$C$1562),-1000)</f>
        <v>40.2068965517241</v>
      </c>
    </row>
    <row r="666">
      <c r="A666" t="n">
        <v>659</v>
      </c>
      <c r="N666">
        <f>IF(AND(CROQUIS_DATOS!$C$1472=1,1),(CROQUIS_DATOS!$C$1563+(IF(IF(IF(INT(($A666-1)/70)+1&gt;CROQUIS_DATOS!$C$1525,70,MOD($A666-1,70)+1)=1,0,IF(IF(INT(($A666-1)/70)+1&gt;CROQUIS_DATOS!$C$1525,70,MOD($A666-1,70)+1)&gt;2*CROQUIS_DATOS!$C$1541+1,IF(MOD(CROQUIS_DATOS!$C$1541,2)=1,1,0),IF(MOD(MIN(INT((IF(INT(($A666-1)/70)+1&gt;CROQUIS_DATOS!$C$1525,70,MOD($A666-1,70)+1)-2)/2)+1,CROQUIS_DATOS!$C$1541),2)=1,IF(MOD(IF(INT(($A666-1)/70)+1&gt;CROQUIS_DATOS!$C$1525,70,MOD($A666-1,70)+1)-2,2)=0,0,1),IF(MOD(IF(INT(($A666-1)/70)+1&gt;CROQUIS_DATOS!$C$1525,70,MOD($A666-1,70)+1)-2,2)=0,1,0))))=0,(INDEX($E$8:$E$23,MIN(INT(($A666-1)/70)+1,CROQUIS_DATOS!$C$1525))-INDEX($F$8:$F$23,MIN(INT(($A666-1)/70)+1,CROQUIS_DATOS!$C$1525))/2),(INDEX($E$8:$E$23,MIN(INT(($A666-1)/70)+1,CROQUIS_DATOS!$C$1525))+INDEX($F$8:$F$23,MIN(INT(($A666-1)/70)+1,CROQUIS_DATOS!$C$1525))/2)))*CROQUIS_DATOS!$C$1562),-1000)</f>
        <v>82.8189655172414</v>
      </c>
      <c r="O666">
        <f>IF(AND(CROQUIS_DATOS!$C$1472=1,1),(CROQUIS_DATOS!$C$1564+(IF(OR(IF(INT(($A666-1)/70)+1&gt;CROQUIS_DATOS!$C$1525,70,MOD($A666-1,70)+1)=1,IF(INT(($A666-1)/70)+1&gt;CROQUIS_DATOS!$C$1525,70,MOD($A666-1,70)+1)&gt;2*CROQUIS_DATOS!$C$1541+1),CROQUIS_DATOS!$C$1476,INDEX($H$8:$H$41,MIN(INT((IF(INT(($A666-1)/70)+1&gt;CROQUIS_DATOS!$C$1525,70,MOD($A666-1,70)+1)-2)/2)+1,CROQUIS_DATOS!$C$1541))))*CROQUIS_DATOS!$C$1561*CROQUIS_DATOS!$C$1562),-1000)</f>
        <v>40.2068965517241</v>
      </c>
    </row>
    <row r="667">
      <c r="A667" t="n">
        <v>660</v>
      </c>
      <c r="N667">
        <f>IF(AND(CROQUIS_DATOS!$C$1472=1,1),(CROQUIS_DATOS!$C$1563+(IF(IF(IF(INT(($A667-1)/70)+1&gt;CROQUIS_DATOS!$C$1525,70,MOD($A667-1,70)+1)=1,0,IF(IF(INT(($A667-1)/70)+1&gt;CROQUIS_DATOS!$C$1525,70,MOD($A667-1,70)+1)&gt;2*CROQUIS_DATOS!$C$1541+1,IF(MOD(CROQUIS_DATOS!$C$1541,2)=1,1,0),IF(MOD(MIN(INT((IF(INT(($A667-1)/70)+1&gt;CROQUIS_DATOS!$C$1525,70,MOD($A667-1,70)+1)-2)/2)+1,CROQUIS_DATOS!$C$1541),2)=1,IF(MOD(IF(INT(($A667-1)/70)+1&gt;CROQUIS_DATOS!$C$1525,70,MOD($A667-1,70)+1)-2,2)=0,0,1),IF(MOD(IF(INT(($A667-1)/70)+1&gt;CROQUIS_DATOS!$C$1525,70,MOD($A667-1,70)+1)-2,2)=0,1,0))))=0,(INDEX($E$8:$E$23,MIN(INT(($A667-1)/70)+1,CROQUIS_DATOS!$C$1525))-INDEX($F$8:$F$23,MIN(INT(($A667-1)/70)+1,CROQUIS_DATOS!$C$1525))/2),(INDEX($E$8:$E$23,MIN(INT(($A667-1)/70)+1,CROQUIS_DATOS!$C$1525))+INDEX($F$8:$F$23,MIN(INT(($A667-1)/70)+1,CROQUIS_DATOS!$C$1525))/2)))*CROQUIS_DATOS!$C$1562),-1000)</f>
        <v>82.8189655172414</v>
      </c>
      <c r="O667">
        <f>IF(AND(CROQUIS_DATOS!$C$1472=1,1),(CROQUIS_DATOS!$C$1564+(IF(OR(IF(INT(($A667-1)/70)+1&gt;CROQUIS_DATOS!$C$1525,70,MOD($A667-1,70)+1)=1,IF(INT(($A667-1)/70)+1&gt;CROQUIS_DATOS!$C$1525,70,MOD($A667-1,70)+1)&gt;2*CROQUIS_DATOS!$C$1541+1),CROQUIS_DATOS!$C$1476,INDEX($H$8:$H$41,MIN(INT((IF(INT(($A667-1)/70)+1&gt;CROQUIS_DATOS!$C$1525,70,MOD($A667-1,70)+1)-2)/2)+1,CROQUIS_DATOS!$C$1541))))*CROQUIS_DATOS!$C$1561*CROQUIS_DATOS!$C$1562),-1000)</f>
        <v>40.2068965517241</v>
      </c>
    </row>
    <row r="668">
      <c r="A668" t="n">
        <v>661</v>
      </c>
      <c r="N668">
        <f>IF(AND(CROQUIS_DATOS!$C$1472=1,1),(CROQUIS_DATOS!$C$1563+(IF(IF(IF(INT(($A668-1)/70)+1&gt;CROQUIS_DATOS!$C$1525,70,MOD($A668-1,70)+1)=1,0,IF(IF(INT(($A668-1)/70)+1&gt;CROQUIS_DATOS!$C$1525,70,MOD($A668-1,70)+1)&gt;2*CROQUIS_DATOS!$C$1541+1,IF(MOD(CROQUIS_DATOS!$C$1541,2)=1,1,0),IF(MOD(MIN(INT((IF(INT(($A668-1)/70)+1&gt;CROQUIS_DATOS!$C$1525,70,MOD($A668-1,70)+1)-2)/2)+1,CROQUIS_DATOS!$C$1541),2)=1,IF(MOD(IF(INT(($A668-1)/70)+1&gt;CROQUIS_DATOS!$C$1525,70,MOD($A668-1,70)+1)-2,2)=0,0,1),IF(MOD(IF(INT(($A668-1)/70)+1&gt;CROQUIS_DATOS!$C$1525,70,MOD($A668-1,70)+1)-2,2)=0,1,0))))=0,(INDEX($E$8:$E$23,MIN(INT(($A668-1)/70)+1,CROQUIS_DATOS!$C$1525))-INDEX($F$8:$F$23,MIN(INT(($A668-1)/70)+1,CROQUIS_DATOS!$C$1525))/2),(INDEX($E$8:$E$23,MIN(INT(($A668-1)/70)+1,CROQUIS_DATOS!$C$1525))+INDEX($F$8:$F$23,MIN(INT(($A668-1)/70)+1,CROQUIS_DATOS!$C$1525))/2)))*CROQUIS_DATOS!$C$1562),-1000)</f>
        <v>82.8189655172414</v>
      </c>
      <c r="O668">
        <f>IF(AND(CROQUIS_DATOS!$C$1472=1,1),(CROQUIS_DATOS!$C$1564+(IF(OR(IF(INT(($A668-1)/70)+1&gt;CROQUIS_DATOS!$C$1525,70,MOD($A668-1,70)+1)=1,IF(INT(($A668-1)/70)+1&gt;CROQUIS_DATOS!$C$1525,70,MOD($A668-1,70)+1)&gt;2*CROQUIS_DATOS!$C$1541+1),CROQUIS_DATOS!$C$1476,INDEX($H$8:$H$41,MIN(INT((IF(INT(($A668-1)/70)+1&gt;CROQUIS_DATOS!$C$1525,70,MOD($A668-1,70)+1)-2)/2)+1,CROQUIS_DATOS!$C$1541))))*CROQUIS_DATOS!$C$1561*CROQUIS_DATOS!$C$1562),-1000)</f>
        <v>40.2068965517241</v>
      </c>
    </row>
    <row r="669">
      <c r="A669" t="n">
        <v>662</v>
      </c>
      <c r="N669">
        <f>IF(AND(CROQUIS_DATOS!$C$1472=1,1),(CROQUIS_DATOS!$C$1563+(IF(IF(IF(INT(($A669-1)/70)+1&gt;CROQUIS_DATOS!$C$1525,70,MOD($A669-1,70)+1)=1,0,IF(IF(INT(($A669-1)/70)+1&gt;CROQUIS_DATOS!$C$1525,70,MOD($A669-1,70)+1)&gt;2*CROQUIS_DATOS!$C$1541+1,IF(MOD(CROQUIS_DATOS!$C$1541,2)=1,1,0),IF(MOD(MIN(INT((IF(INT(($A669-1)/70)+1&gt;CROQUIS_DATOS!$C$1525,70,MOD($A669-1,70)+1)-2)/2)+1,CROQUIS_DATOS!$C$1541),2)=1,IF(MOD(IF(INT(($A669-1)/70)+1&gt;CROQUIS_DATOS!$C$1525,70,MOD($A669-1,70)+1)-2,2)=0,0,1),IF(MOD(IF(INT(($A669-1)/70)+1&gt;CROQUIS_DATOS!$C$1525,70,MOD($A669-1,70)+1)-2,2)=0,1,0))))=0,(INDEX($E$8:$E$23,MIN(INT(($A669-1)/70)+1,CROQUIS_DATOS!$C$1525))-INDEX($F$8:$F$23,MIN(INT(($A669-1)/70)+1,CROQUIS_DATOS!$C$1525))/2),(INDEX($E$8:$E$23,MIN(INT(($A669-1)/70)+1,CROQUIS_DATOS!$C$1525))+INDEX($F$8:$F$23,MIN(INT(($A669-1)/70)+1,CROQUIS_DATOS!$C$1525))/2)))*CROQUIS_DATOS!$C$1562),-1000)</f>
        <v>82.8189655172414</v>
      </c>
      <c r="O669">
        <f>IF(AND(CROQUIS_DATOS!$C$1472=1,1),(CROQUIS_DATOS!$C$1564+(IF(OR(IF(INT(($A669-1)/70)+1&gt;CROQUIS_DATOS!$C$1525,70,MOD($A669-1,70)+1)=1,IF(INT(($A669-1)/70)+1&gt;CROQUIS_DATOS!$C$1525,70,MOD($A669-1,70)+1)&gt;2*CROQUIS_DATOS!$C$1541+1),CROQUIS_DATOS!$C$1476,INDEX($H$8:$H$41,MIN(INT((IF(INT(($A669-1)/70)+1&gt;CROQUIS_DATOS!$C$1525,70,MOD($A669-1,70)+1)-2)/2)+1,CROQUIS_DATOS!$C$1541))))*CROQUIS_DATOS!$C$1561*CROQUIS_DATOS!$C$1562),-1000)</f>
        <v>40.2068965517241</v>
      </c>
    </row>
    <row r="670">
      <c r="A670" t="n">
        <v>663</v>
      </c>
      <c r="N670">
        <f>IF(AND(CROQUIS_DATOS!$C$1472=1,1),(CROQUIS_DATOS!$C$1563+(IF(IF(IF(INT(($A670-1)/70)+1&gt;CROQUIS_DATOS!$C$1525,70,MOD($A670-1,70)+1)=1,0,IF(IF(INT(($A670-1)/70)+1&gt;CROQUIS_DATOS!$C$1525,70,MOD($A670-1,70)+1)&gt;2*CROQUIS_DATOS!$C$1541+1,IF(MOD(CROQUIS_DATOS!$C$1541,2)=1,1,0),IF(MOD(MIN(INT((IF(INT(($A670-1)/70)+1&gt;CROQUIS_DATOS!$C$1525,70,MOD($A670-1,70)+1)-2)/2)+1,CROQUIS_DATOS!$C$1541),2)=1,IF(MOD(IF(INT(($A670-1)/70)+1&gt;CROQUIS_DATOS!$C$1525,70,MOD($A670-1,70)+1)-2,2)=0,0,1),IF(MOD(IF(INT(($A670-1)/70)+1&gt;CROQUIS_DATOS!$C$1525,70,MOD($A670-1,70)+1)-2,2)=0,1,0))))=0,(INDEX($E$8:$E$23,MIN(INT(($A670-1)/70)+1,CROQUIS_DATOS!$C$1525))-INDEX($F$8:$F$23,MIN(INT(($A670-1)/70)+1,CROQUIS_DATOS!$C$1525))/2),(INDEX($E$8:$E$23,MIN(INT(($A670-1)/70)+1,CROQUIS_DATOS!$C$1525))+INDEX($F$8:$F$23,MIN(INT(($A670-1)/70)+1,CROQUIS_DATOS!$C$1525))/2)))*CROQUIS_DATOS!$C$1562),-1000)</f>
        <v>82.8189655172414</v>
      </c>
      <c r="O670">
        <f>IF(AND(CROQUIS_DATOS!$C$1472=1,1),(CROQUIS_DATOS!$C$1564+(IF(OR(IF(INT(($A670-1)/70)+1&gt;CROQUIS_DATOS!$C$1525,70,MOD($A670-1,70)+1)=1,IF(INT(($A670-1)/70)+1&gt;CROQUIS_DATOS!$C$1525,70,MOD($A670-1,70)+1)&gt;2*CROQUIS_DATOS!$C$1541+1),CROQUIS_DATOS!$C$1476,INDEX($H$8:$H$41,MIN(INT((IF(INT(($A670-1)/70)+1&gt;CROQUIS_DATOS!$C$1525,70,MOD($A670-1,70)+1)-2)/2)+1,CROQUIS_DATOS!$C$1541))))*CROQUIS_DATOS!$C$1561*CROQUIS_DATOS!$C$1562),-1000)</f>
        <v>40.2068965517241</v>
      </c>
    </row>
    <row r="671">
      <c r="A671" t="n">
        <v>664</v>
      </c>
      <c r="N671">
        <f>IF(AND(CROQUIS_DATOS!$C$1472=1,1),(CROQUIS_DATOS!$C$1563+(IF(IF(IF(INT(($A671-1)/70)+1&gt;CROQUIS_DATOS!$C$1525,70,MOD($A671-1,70)+1)=1,0,IF(IF(INT(($A671-1)/70)+1&gt;CROQUIS_DATOS!$C$1525,70,MOD($A671-1,70)+1)&gt;2*CROQUIS_DATOS!$C$1541+1,IF(MOD(CROQUIS_DATOS!$C$1541,2)=1,1,0),IF(MOD(MIN(INT((IF(INT(($A671-1)/70)+1&gt;CROQUIS_DATOS!$C$1525,70,MOD($A671-1,70)+1)-2)/2)+1,CROQUIS_DATOS!$C$1541),2)=1,IF(MOD(IF(INT(($A671-1)/70)+1&gt;CROQUIS_DATOS!$C$1525,70,MOD($A671-1,70)+1)-2,2)=0,0,1),IF(MOD(IF(INT(($A671-1)/70)+1&gt;CROQUIS_DATOS!$C$1525,70,MOD($A671-1,70)+1)-2,2)=0,1,0))))=0,(INDEX($E$8:$E$23,MIN(INT(($A671-1)/70)+1,CROQUIS_DATOS!$C$1525))-INDEX($F$8:$F$23,MIN(INT(($A671-1)/70)+1,CROQUIS_DATOS!$C$1525))/2),(INDEX($E$8:$E$23,MIN(INT(($A671-1)/70)+1,CROQUIS_DATOS!$C$1525))+INDEX($F$8:$F$23,MIN(INT(($A671-1)/70)+1,CROQUIS_DATOS!$C$1525))/2)))*CROQUIS_DATOS!$C$1562),-1000)</f>
        <v>82.8189655172414</v>
      </c>
      <c r="O671">
        <f>IF(AND(CROQUIS_DATOS!$C$1472=1,1),(CROQUIS_DATOS!$C$1564+(IF(OR(IF(INT(($A671-1)/70)+1&gt;CROQUIS_DATOS!$C$1525,70,MOD($A671-1,70)+1)=1,IF(INT(($A671-1)/70)+1&gt;CROQUIS_DATOS!$C$1525,70,MOD($A671-1,70)+1)&gt;2*CROQUIS_DATOS!$C$1541+1),CROQUIS_DATOS!$C$1476,INDEX($H$8:$H$41,MIN(INT((IF(INT(($A671-1)/70)+1&gt;CROQUIS_DATOS!$C$1525,70,MOD($A671-1,70)+1)-2)/2)+1,CROQUIS_DATOS!$C$1541))))*CROQUIS_DATOS!$C$1561*CROQUIS_DATOS!$C$1562),-1000)</f>
        <v>40.2068965517241</v>
      </c>
    </row>
    <row r="672">
      <c r="A672" t="n">
        <v>665</v>
      </c>
      <c r="N672">
        <f>IF(AND(CROQUIS_DATOS!$C$1472=1,1),(CROQUIS_DATOS!$C$1563+(IF(IF(IF(INT(($A672-1)/70)+1&gt;CROQUIS_DATOS!$C$1525,70,MOD($A672-1,70)+1)=1,0,IF(IF(INT(($A672-1)/70)+1&gt;CROQUIS_DATOS!$C$1525,70,MOD($A672-1,70)+1)&gt;2*CROQUIS_DATOS!$C$1541+1,IF(MOD(CROQUIS_DATOS!$C$1541,2)=1,1,0),IF(MOD(MIN(INT((IF(INT(($A672-1)/70)+1&gt;CROQUIS_DATOS!$C$1525,70,MOD($A672-1,70)+1)-2)/2)+1,CROQUIS_DATOS!$C$1541),2)=1,IF(MOD(IF(INT(($A672-1)/70)+1&gt;CROQUIS_DATOS!$C$1525,70,MOD($A672-1,70)+1)-2,2)=0,0,1),IF(MOD(IF(INT(($A672-1)/70)+1&gt;CROQUIS_DATOS!$C$1525,70,MOD($A672-1,70)+1)-2,2)=0,1,0))))=0,(INDEX($E$8:$E$23,MIN(INT(($A672-1)/70)+1,CROQUIS_DATOS!$C$1525))-INDEX($F$8:$F$23,MIN(INT(($A672-1)/70)+1,CROQUIS_DATOS!$C$1525))/2),(INDEX($E$8:$E$23,MIN(INT(($A672-1)/70)+1,CROQUIS_DATOS!$C$1525))+INDEX($F$8:$F$23,MIN(INT(($A672-1)/70)+1,CROQUIS_DATOS!$C$1525))/2)))*CROQUIS_DATOS!$C$1562),-1000)</f>
        <v>82.8189655172414</v>
      </c>
      <c r="O672">
        <f>IF(AND(CROQUIS_DATOS!$C$1472=1,1),(CROQUIS_DATOS!$C$1564+(IF(OR(IF(INT(($A672-1)/70)+1&gt;CROQUIS_DATOS!$C$1525,70,MOD($A672-1,70)+1)=1,IF(INT(($A672-1)/70)+1&gt;CROQUIS_DATOS!$C$1525,70,MOD($A672-1,70)+1)&gt;2*CROQUIS_DATOS!$C$1541+1),CROQUIS_DATOS!$C$1476,INDEX($H$8:$H$41,MIN(INT((IF(INT(($A672-1)/70)+1&gt;CROQUIS_DATOS!$C$1525,70,MOD($A672-1,70)+1)-2)/2)+1,CROQUIS_DATOS!$C$1541))))*CROQUIS_DATOS!$C$1561*CROQUIS_DATOS!$C$1562),-1000)</f>
        <v>40.2068965517241</v>
      </c>
    </row>
    <row r="673">
      <c r="A673" t="n">
        <v>666</v>
      </c>
      <c r="N673">
        <f>IF(AND(CROQUIS_DATOS!$C$1472=1,1),(CROQUIS_DATOS!$C$1563+(IF(IF(IF(INT(($A673-1)/70)+1&gt;CROQUIS_DATOS!$C$1525,70,MOD($A673-1,70)+1)=1,0,IF(IF(INT(($A673-1)/70)+1&gt;CROQUIS_DATOS!$C$1525,70,MOD($A673-1,70)+1)&gt;2*CROQUIS_DATOS!$C$1541+1,IF(MOD(CROQUIS_DATOS!$C$1541,2)=1,1,0),IF(MOD(MIN(INT((IF(INT(($A673-1)/70)+1&gt;CROQUIS_DATOS!$C$1525,70,MOD($A673-1,70)+1)-2)/2)+1,CROQUIS_DATOS!$C$1541),2)=1,IF(MOD(IF(INT(($A673-1)/70)+1&gt;CROQUIS_DATOS!$C$1525,70,MOD($A673-1,70)+1)-2,2)=0,0,1),IF(MOD(IF(INT(($A673-1)/70)+1&gt;CROQUIS_DATOS!$C$1525,70,MOD($A673-1,70)+1)-2,2)=0,1,0))))=0,(INDEX($E$8:$E$23,MIN(INT(($A673-1)/70)+1,CROQUIS_DATOS!$C$1525))-INDEX($F$8:$F$23,MIN(INT(($A673-1)/70)+1,CROQUIS_DATOS!$C$1525))/2),(INDEX($E$8:$E$23,MIN(INT(($A673-1)/70)+1,CROQUIS_DATOS!$C$1525))+INDEX($F$8:$F$23,MIN(INT(($A673-1)/70)+1,CROQUIS_DATOS!$C$1525))/2)))*CROQUIS_DATOS!$C$1562),-1000)</f>
        <v>82.8189655172414</v>
      </c>
      <c r="O673">
        <f>IF(AND(CROQUIS_DATOS!$C$1472=1,1),(CROQUIS_DATOS!$C$1564+(IF(OR(IF(INT(($A673-1)/70)+1&gt;CROQUIS_DATOS!$C$1525,70,MOD($A673-1,70)+1)=1,IF(INT(($A673-1)/70)+1&gt;CROQUIS_DATOS!$C$1525,70,MOD($A673-1,70)+1)&gt;2*CROQUIS_DATOS!$C$1541+1),CROQUIS_DATOS!$C$1476,INDEX($H$8:$H$41,MIN(INT((IF(INT(($A673-1)/70)+1&gt;CROQUIS_DATOS!$C$1525,70,MOD($A673-1,70)+1)-2)/2)+1,CROQUIS_DATOS!$C$1541))))*CROQUIS_DATOS!$C$1561*CROQUIS_DATOS!$C$1562),-1000)</f>
        <v>40.2068965517241</v>
      </c>
    </row>
    <row r="674">
      <c r="A674" t="n">
        <v>667</v>
      </c>
      <c r="N674">
        <f>IF(AND(CROQUIS_DATOS!$C$1472=1,1),(CROQUIS_DATOS!$C$1563+(IF(IF(IF(INT(($A674-1)/70)+1&gt;CROQUIS_DATOS!$C$1525,70,MOD($A674-1,70)+1)=1,0,IF(IF(INT(($A674-1)/70)+1&gt;CROQUIS_DATOS!$C$1525,70,MOD($A674-1,70)+1)&gt;2*CROQUIS_DATOS!$C$1541+1,IF(MOD(CROQUIS_DATOS!$C$1541,2)=1,1,0),IF(MOD(MIN(INT((IF(INT(($A674-1)/70)+1&gt;CROQUIS_DATOS!$C$1525,70,MOD($A674-1,70)+1)-2)/2)+1,CROQUIS_DATOS!$C$1541),2)=1,IF(MOD(IF(INT(($A674-1)/70)+1&gt;CROQUIS_DATOS!$C$1525,70,MOD($A674-1,70)+1)-2,2)=0,0,1),IF(MOD(IF(INT(($A674-1)/70)+1&gt;CROQUIS_DATOS!$C$1525,70,MOD($A674-1,70)+1)-2,2)=0,1,0))))=0,(INDEX($E$8:$E$23,MIN(INT(($A674-1)/70)+1,CROQUIS_DATOS!$C$1525))-INDEX($F$8:$F$23,MIN(INT(($A674-1)/70)+1,CROQUIS_DATOS!$C$1525))/2),(INDEX($E$8:$E$23,MIN(INT(($A674-1)/70)+1,CROQUIS_DATOS!$C$1525))+INDEX($F$8:$F$23,MIN(INT(($A674-1)/70)+1,CROQUIS_DATOS!$C$1525))/2)))*CROQUIS_DATOS!$C$1562),-1000)</f>
        <v>82.8189655172414</v>
      </c>
      <c r="O674">
        <f>IF(AND(CROQUIS_DATOS!$C$1472=1,1),(CROQUIS_DATOS!$C$1564+(IF(OR(IF(INT(($A674-1)/70)+1&gt;CROQUIS_DATOS!$C$1525,70,MOD($A674-1,70)+1)=1,IF(INT(($A674-1)/70)+1&gt;CROQUIS_DATOS!$C$1525,70,MOD($A674-1,70)+1)&gt;2*CROQUIS_DATOS!$C$1541+1),CROQUIS_DATOS!$C$1476,INDEX($H$8:$H$41,MIN(INT((IF(INT(($A674-1)/70)+1&gt;CROQUIS_DATOS!$C$1525,70,MOD($A674-1,70)+1)-2)/2)+1,CROQUIS_DATOS!$C$1541))))*CROQUIS_DATOS!$C$1561*CROQUIS_DATOS!$C$1562),-1000)</f>
        <v>40.2068965517241</v>
      </c>
    </row>
    <row r="675">
      <c r="A675" t="n">
        <v>668</v>
      </c>
      <c r="N675">
        <f>IF(AND(CROQUIS_DATOS!$C$1472=1,1),(CROQUIS_DATOS!$C$1563+(IF(IF(IF(INT(($A675-1)/70)+1&gt;CROQUIS_DATOS!$C$1525,70,MOD($A675-1,70)+1)=1,0,IF(IF(INT(($A675-1)/70)+1&gt;CROQUIS_DATOS!$C$1525,70,MOD($A675-1,70)+1)&gt;2*CROQUIS_DATOS!$C$1541+1,IF(MOD(CROQUIS_DATOS!$C$1541,2)=1,1,0),IF(MOD(MIN(INT((IF(INT(($A675-1)/70)+1&gt;CROQUIS_DATOS!$C$1525,70,MOD($A675-1,70)+1)-2)/2)+1,CROQUIS_DATOS!$C$1541),2)=1,IF(MOD(IF(INT(($A675-1)/70)+1&gt;CROQUIS_DATOS!$C$1525,70,MOD($A675-1,70)+1)-2,2)=0,0,1),IF(MOD(IF(INT(($A675-1)/70)+1&gt;CROQUIS_DATOS!$C$1525,70,MOD($A675-1,70)+1)-2,2)=0,1,0))))=0,(INDEX($E$8:$E$23,MIN(INT(($A675-1)/70)+1,CROQUIS_DATOS!$C$1525))-INDEX($F$8:$F$23,MIN(INT(($A675-1)/70)+1,CROQUIS_DATOS!$C$1525))/2),(INDEX($E$8:$E$23,MIN(INT(($A675-1)/70)+1,CROQUIS_DATOS!$C$1525))+INDEX($F$8:$F$23,MIN(INT(($A675-1)/70)+1,CROQUIS_DATOS!$C$1525))/2)))*CROQUIS_DATOS!$C$1562),-1000)</f>
        <v>82.8189655172414</v>
      </c>
      <c r="O675">
        <f>IF(AND(CROQUIS_DATOS!$C$1472=1,1),(CROQUIS_DATOS!$C$1564+(IF(OR(IF(INT(($A675-1)/70)+1&gt;CROQUIS_DATOS!$C$1525,70,MOD($A675-1,70)+1)=1,IF(INT(($A675-1)/70)+1&gt;CROQUIS_DATOS!$C$1525,70,MOD($A675-1,70)+1)&gt;2*CROQUIS_DATOS!$C$1541+1),CROQUIS_DATOS!$C$1476,INDEX($H$8:$H$41,MIN(INT((IF(INT(($A675-1)/70)+1&gt;CROQUIS_DATOS!$C$1525,70,MOD($A675-1,70)+1)-2)/2)+1,CROQUIS_DATOS!$C$1541))))*CROQUIS_DATOS!$C$1561*CROQUIS_DATOS!$C$1562),-1000)</f>
        <v>40.2068965517241</v>
      </c>
    </row>
    <row r="676">
      <c r="A676" t="n">
        <v>669</v>
      </c>
      <c r="N676">
        <f>IF(AND(CROQUIS_DATOS!$C$1472=1,1),(CROQUIS_DATOS!$C$1563+(IF(IF(IF(INT(($A676-1)/70)+1&gt;CROQUIS_DATOS!$C$1525,70,MOD($A676-1,70)+1)=1,0,IF(IF(INT(($A676-1)/70)+1&gt;CROQUIS_DATOS!$C$1525,70,MOD($A676-1,70)+1)&gt;2*CROQUIS_DATOS!$C$1541+1,IF(MOD(CROQUIS_DATOS!$C$1541,2)=1,1,0),IF(MOD(MIN(INT((IF(INT(($A676-1)/70)+1&gt;CROQUIS_DATOS!$C$1525,70,MOD($A676-1,70)+1)-2)/2)+1,CROQUIS_DATOS!$C$1541),2)=1,IF(MOD(IF(INT(($A676-1)/70)+1&gt;CROQUIS_DATOS!$C$1525,70,MOD($A676-1,70)+1)-2,2)=0,0,1),IF(MOD(IF(INT(($A676-1)/70)+1&gt;CROQUIS_DATOS!$C$1525,70,MOD($A676-1,70)+1)-2,2)=0,1,0))))=0,(INDEX($E$8:$E$23,MIN(INT(($A676-1)/70)+1,CROQUIS_DATOS!$C$1525))-INDEX($F$8:$F$23,MIN(INT(($A676-1)/70)+1,CROQUIS_DATOS!$C$1525))/2),(INDEX($E$8:$E$23,MIN(INT(($A676-1)/70)+1,CROQUIS_DATOS!$C$1525))+INDEX($F$8:$F$23,MIN(INT(($A676-1)/70)+1,CROQUIS_DATOS!$C$1525))/2)))*CROQUIS_DATOS!$C$1562),-1000)</f>
        <v>82.8189655172414</v>
      </c>
      <c r="O676">
        <f>IF(AND(CROQUIS_DATOS!$C$1472=1,1),(CROQUIS_DATOS!$C$1564+(IF(OR(IF(INT(($A676-1)/70)+1&gt;CROQUIS_DATOS!$C$1525,70,MOD($A676-1,70)+1)=1,IF(INT(($A676-1)/70)+1&gt;CROQUIS_DATOS!$C$1525,70,MOD($A676-1,70)+1)&gt;2*CROQUIS_DATOS!$C$1541+1),CROQUIS_DATOS!$C$1476,INDEX($H$8:$H$41,MIN(INT((IF(INT(($A676-1)/70)+1&gt;CROQUIS_DATOS!$C$1525,70,MOD($A676-1,70)+1)-2)/2)+1,CROQUIS_DATOS!$C$1541))))*CROQUIS_DATOS!$C$1561*CROQUIS_DATOS!$C$1562),-1000)</f>
        <v>40.2068965517241</v>
      </c>
    </row>
    <row r="677">
      <c r="A677" t="n">
        <v>670</v>
      </c>
      <c r="N677">
        <f>IF(AND(CROQUIS_DATOS!$C$1472=1,1),(CROQUIS_DATOS!$C$1563+(IF(IF(IF(INT(($A677-1)/70)+1&gt;CROQUIS_DATOS!$C$1525,70,MOD($A677-1,70)+1)=1,0,IF(IF(INT(($A677-1)/70)+1&gt;CROQUIS_DATOS!$C$1525,70,MOD($A677-1,70)+1)&gt;2*CROQUIS_DATOS!$C$1541+1,IF(MOD(CROQUIS_DATOS!$C$1541,2)=1,1,0),IF(MOD(MIN(INT((IF(INT(($A677-1)/70)+1&gt;CROQUIS_DATOS!$C$1525,70,MOD($A677-1,70)+1)-2)/2)+1,CROQUIS_DATOS!$C$1541),2)=1,IF(MOD(IF(INT(($A677-1)/70)+1&gt;CROQUIS_DATOS!$C$1525,70,MOD($A677-1,70)+1)-2,2)=0,0,1),IF(MOD(IF(INT(($A677-1)/70)+1&gt;CROQUIS_DATOS!$C$1525,70,MOD($A677-1,70)+1)-2,2)=0,1,0))))=0,(INDEX($E$8:$E$23,MIN(INT(($A677-1)/70)+1,CROQUIS_DATOS!$C$1525))-INDEX($F$8:$F$23,MIN(INT(($A677-1)/70)+1,CROQUIS_DATOS!$C$1525))/2),(INDEX($E$8:$E$23,MIN(INT(($A677-1)/70)+1,CROQUIS_DATOS!$C$1525))+INDEX($F$8:$F$23,MIN(INT(($A677-1)/70)+1,CROQUIS_DATOS!$C$1525))/2)))*CROQUIS_DATOS!$C$1562),-1000)</f>
        <v>82.8189655172414</v>
      </c>
      <c r="O677">
        <f>IF(AND(CROQUIS_DATOS!$C$1472=1,1),(CROQUIS_DATOS!$C$1564+(IF(OR(IF(INT(($A677-1)/70)+1&gt;CROQUIS_DATOS!$C$1525,70,MOD($A677-1,70)+1)=1,IF(INT(($A677-1)/70)+1&gt;CROQUIS_DATOS!$C$1525,70,MOD($A677-1,70)+1)&gt;2*CROQUIS_DATOS!$C$1541+1),CROQUIS_DATOS!$C$1476,INDEX($H$8:$H$41,MIN(INT((IF(INT(($A677-1)/70)+1&gt;CROQUIS_DATOS!$C$1525,70,MOD($A677-1,70)+1)-2)/2)+1,CROQUIS_DATOS!$C$1541))))*CROQUIS_DATOS!$C$1561*CROQUIS_DATOS!$C$1562),-1000)</f>
        <v>40.2068965517241</v>
      </c>
    </row>
    <row r="678">
      <c r="A678" t="n">
        <v>671</v>
      </c>
      <c r="N678">
        <f>IF(AND(CROQUIS_DATOS!$C$1472=1,1),(CROQUIS_DATOS!$C$1563+(IF(IF(IF(INT(($A678-1)/70)+1&gt;CROQUIS_DATOS!$C$1525,70,MOD($A678-1,70)+1)=1,0,IF(IF(INT(($A678-1)/70)+1&gt;CROQUIS_DATOS!$C$1525,70,MOD($A678-1,70)+1)&gt;2*CROQUIS_DATOS!$C$1541+1,IF(MOD(CROQUIS_DATOS!$C$1541,2)=1,1,0),IF(MOD(MIN(INT((IF(INT(($A678-1)/70)+1&gt;CROQUIS_DATOS!$C$1525,70,MOD($A678-1,70)+1)-2)/2)+1,CROQUIS_DATOS!$C$1541),2)=1,IF(MOD(IF(INT(($A678-1)/70)+1&gt;CROQUIS_DATOS!$C$1525,70,MOD($A678-1,70)+1)-2,2)=0,0,1),IF(MOD(IF(INT(($A678-1)/70)+1&gt;CROQUIS_DATOS!$C$1525,70,MOD($A678-1,70)+1)-2,2)=0,1,0))))=0,(INDEX($E$8:$E$23,MIN(INT(($A678-1)/70)+1,CROQUIS_DATOS!$C$1525))-INDEX($F$8:$F$23,MIN(INT(($A678-1)/70)+1,CROQUIS_DATOS!$C$1525))/2),(INDEX($E$8:$E$23,MIN(INT(($A678-1)/70)+1,CROQUIS_DATOS!$C$1525))+INDEX($F$8:$F$23,MIN(INT(($A678-1)/70)+1,CROQUIS_DATOS!$C$1525))/2)))*CROQUIS_DATOS!$C$1562),-1000)</f>
        <v>82.8189655172414</v>
      </c>
      <c r="O678">
        <f>IF(AND(CROQUIS_DATOS!$C$1472=1,1),(CROQUIS_DATOS!$C$1564+(IF(OR(IF(INT(($A678-1)/70)+1&gt;CROQUIS_DATOS!$C$1525,70,MOD($A678-1,70)+1)=1,IF(INT(($A678-1)/70)+1&gt;CROQUIS_DATOS!$C$1525,70,MOD($A678-1,70)+1)&gt;2*CROQUIS_DATOS!$C$1541+1),CROQUIS_DATOS!$C$1476,INDEX($H$8:$H$41,MIN(INT((IF(INT(($A678-1)/70)+1&gt;CROQUIS_DATOS!$C$1525,70,MOD($A678-1,70)+1)-2)/2)+1,CROQUIS_DATOS!$C$1541))))*CROQUIS_DATOS!$C$1561*CROQUIS_DATOS!$C$1562),-1000)</f>
        <v>40.2068965517241</v>
      </c>
    </row>
    <row r="679">
      <c r="A679" t="n">
        <v>672</v>
      </c>
      <c r="N679">
        <f>IF(AND(CROQUIS_DATOS!$C$1472=1,1),(CROQUIS_DATOS!$C$1563+(IF(IF(IF(INT(($A679-1)/70)+1&gt;CROQUIS_DATOS!$C$1525,70,MOD($A679-1,70)+1)=1,0,IF(IF(INT(($A679-1)/70)+1&gt;CROQUIS_DATOS!$C$1525,70,MOD($A679-1,70)+1)&gt;2*CROQUIS_DATOS!$C$1541+1,IF(MOD(CROQUIS_DATOS!$C$1541,2)=1,1,0),IF(MOD(MIN(INT((IF(INT(($A679-1)/70)+1&gt;CROQUIS_DATOS!$C$1525,70,MOD($A679-1,70)+1)-2)/2)+1,CROQUIS_DATOS!$C$1541),2)=1,IF(MOD(IF(INT(($A679-1)/70)+1&gt;CROQUIS_DATOS!$C$1525,70,MOD($A679-1,70)+1)-2,2)=0,0,1),IF(MOD(IF(INT(($A679-1)/70)+1&gt;CROQUIS_DATOS!$C$1525,70,MOD($A679-1,70)+1)-2,2)=0,1,0))))=0,(INDEX($E$8:$E$23,MIN(INT(($A679-1)/70)+1,CROQUIS_DATOS!$C$1525))-INDEX($F$8:$F$23,MIN(INT(($A679-1)/70)+1,CROQUIS_DATOS!$C$1525))/2),(INDEX($E$8:$E$23,MIN(INT(($A679-1)/70)+1,CROQUIS_DATOS!$C$1525))+INDEX($F$8:$F$23,MIN(INT(($A679-1)/70)+1,CROQUIS_DATOS!$C$1525))/2)))*CROQUIS_DATOS!$C$1562),-1000)</f>
        <v>82.8189655172414</v>
      </c>
      <c r="O679">
        <f>IF(AND(CROQUIS_DATOS!$C$1472=1,1),(CROQUIS_DATOS!$C$1564+(IF(OR(IF(INT(($A679-1)/70)+1&gt;CROQUIS_DATOS!$C$1525,70,MOD($A679-1,70)+1)=1,IF(INT(($A679-1)/70)+1&gt;CROQUIS_DATOS!$C$1525,70,MOD($A679-1,70)+1)&gt;2*CROQUIS_DATOS!$C$1541+1),CROQUIS_DATOS!$C$1476,INDEX($H$8:$H$41,MIN(INT((IF(INT(($A679-1)/70)+1&gt;CROQUIS_DATOS!$C$1525,70,MOD($A679-1,70)+1)-2)/2)+1,CROQUIS_DATOS!$C$1541))))*CROQUIS_DATOS!$C$1561*CROQUIS_DATOS!$C$1562),-1000)</f>
        <v>40.2068965517241</v>
      </c>
    </row>
    <row r="680">
      <c r="A680" t="n">
        <v>673</v>
      </c>
      <c r="N680">
        <f>IF(AND(CROQUIS_DATOS!$C$1472=1,1),(CROQUIS_DATOS!$C$1563+(IF(IF(IF(INT(($A680-1)/70)+1&gt;CROQUIS_DATOS!$C$1525,70,MOD($A680-1,70)+1)=1,0,IF(IF(INT(($A680-1)/70)+1&gt;CROQUIS_DATOS!$C$1525,70,MOD($A680-1,70)+1)&gt;2*CROQUIS_DATOS!$C$1541+1,IF(MOD(CROQUIS_DATOS!$C$1541,2)=1,1,0),IF(MOD(MIN(INT((IF(INT(($A680-1)/70)+1&gt;CROQUIS_DATOS!$C$1525,70,MOD($A680-1,70)+1)-2)/2)+1,CROQUIS_DATOS!$C$1541),2)=1,IF(MOD(IF(INT(($A680-1)/70)+1&gt;CROQUIS_DATOS!$C$1525,70,MOD($A680-1,70)+1)-2,2)=0,0,1),IF(MOD(IF(INT(($A680-1)/70)+1&gt;CROQUIS_DATOS!$C$1525,70,MOD($A680-1,70)+1)-2,2)=0,1,0))))=0,(INDEX($E$8:$E$23,MIN(INT(($A680-1)/70)+1,CROQUIS_DATOS!$C$1525))-INDEX($F$8:$F$23,MIN(INT(($A680-1)/70)+1,CROQUIS_DATOS!$C$1525))/2),(INDEX($E$8:$E$23,MIN(INT(($A680-1)/70)+1,CROQUIS_DATOS!$C$1525))+INDEX($F$8:$F$23,MIN(INT(($A680-1)/70)+1,CROQUIS_DATOS!$C$1525))/2)))*CROQUIS_DATOS!$C$1562),-1000)</f>
        <v>82.8189655172414</v>
      </c>
      <c r="O680">
        <f>IF(AND(CROQUIS_DATOS!$C$1472=1,1),(CROQUIS_DATOS!$C$1564+(IF(OR(IF(INT(($A680-1)/70)+1&gt;CROQUIS_DATOS!$C$1525,70,MOD($A680-1,70)+1)=1,IF(INT(($A680-1)/70)+1&gt;CROQUIS_DATOS!$C$1525,70,MOD($A680-1,70)+1)&gt;2*CROQUIS_DATOS!$C$1541+1),CROQUIS_DATOS!$C$1476,INDEX($H$8:$H$41,MIN(INT((IF(INT(($A680-1)/70)+1&gt;CROQUIS_DATOS!$C$1525,70,MOD($A680-1,70)+1)-2)/2)+1,CROQUIS_DATOS!$C$1541))))*CROQUIS_DATOS!$C$1561*CROQUIS_DATOS!$C$1562),-1000)</f>
        <v>40.2068965517241</v>
      </c>
    </row>
    <row r="681">
      <c r="A681" t="n">
        <v>674</v>
      </c>
      <c r="N681">
        <f>IF(AND(CROQUIS_DATOS!$C$1472=1,1),(CROQUIS_DATOS!$C$1563+(IF(IF(IF(INT(($A681-1)/70)+1&gt;CROQUIS_DATOS!$C$1525,70,MOD($A681-1,70)+1)=1,0,IF(IF(INT(($A681-1)/70)+1&gt;CROQUIS_DATOS!$C$1525,70,MOD($A681-1,70)+1)&gt;2*CROQUIS_DATOS!$C$1541+1,IF(MOD(CROQUIS_DATOS!$C$1541,2)=1,1,0),IF(MOD(MIN(INT((IF(INT(($A681-1)/70)+1&gt;CROQUIS_DATOS!$C$1525,70,MOD($A681-1,70)+1)-2)/2)+1,CROQUIS_DATOS!$C$1541),2)=1,IF(MOD(IF(INT(($A681-1)/70)+1&gt;CROQUIS_DATOS!$C$1525,70,MOD($A681-1,70)+1)-2,2)=0,0,1),IF(MOD(IF(INT(($A681-1)/70)+1&gt;CROQUIS_DATOS!$C$1525,70,MOD($A681-1,70)+1)-2,2)=0,1,0))))=0,(INDEX($E$8:$E$23,MIN(INT(($A681-1)/70)+1,CROQUIS_DATOS!$C$1525))-INDEX($F$8:$F$23,MIN(INT(($A681-1)/70)+1,CROQUIS_DATOS!$C$1525))/2),(INDEX($E$8:$E$23,MIN(INT(($A681-1)/70)+1,CROQUIS_DATOS!$C$1525))+INDEX($F$8:$F$23,MIN(INT(($A681-1)/70)+1,CROQUIS_DATOS!$C$1525))/2)))*CROQUIS_DATOS!$C$1562),-1000)</f>
        <v>82.8189655172414</v>
      </c>
      <c r="O681">
        <f>IF(AND(CROQUIS_DATOS!$C$1472=1,1),(CROQUIS_DATOS!$C$1564+(IF(OR(IF(INT(($A681-1)/70)+1&gt;CROQUIS_DATOS!$C$1525,70,MOD($A681-1,70)+1)=1,IF(INT(($A681-1)/70)+1&gt;CROQUIS_DATOS!$C$1525,70,MOD($A681-1,70)+1)&gt;2*CROQUIS_DATOS!$C$1541+1),CROQUIS_DATOS!$C$1476,INDEX($H$8:$H$41,MIN(INT((IF(INT(($A681-1)/70)+1&gt;CROQUIS_DATOS!$C$1525,70,MOD($A681-1,70)+1)-2)/2)+1,CROQUIS_DATOS!$C$1541))))*CROQUIS_DATOS!$C$1561*CROQUIS_DATOS!$C$1562),-1000)</f>
        <v>40.2068965517241</v>
      </c>
    </row>
    <row r="682">
      <c r="A682" t="n">
        <v>675</v>
      </c>
      <c r="N682">
        <f>IF(AND(CROQUIS_DATOS!$C$1472=1,1),(CROQUIS_DATOS!$C$1563+(IF(IF(IF(INT(($A682-1)/70)+1&gt;CROQUIS_DATOS!$C$1525,70,MOD($A682-1,70)+1)=1,0,IF(IF(INT(($A682-1)/70)+1&gt;CROQUIS_DATOS!$C$1525,70,MOD($A682-1,70)+1)&gt;2*CROQUIS_DATOS!$C$1541+1,IF(MOD(CROQUIS_DATOS!$C$1541,2)=1,1,0),IF(MOD(MIN(INT((IF(INT(($A682-1)/70)+1&gt;CROQUIS_DATOS!$C$1525,70,MOD($A682-1,70)+1)-2)/2)+1,CROQUIS_DATOS!$C$1541),2)=1,IF(MOD(IF(INT(($A682-1)/70)+1&gt;CROQUIS_DATOS!$C$1525,70,MOD($A682-1,70)+1)-2,2)=0,0,1),IF(MOD(IF(INT(($A682-1)/70)+1&gt;CROQUIS_DATOS!$C$1525,70,MOD($A682-1,70)+1)-2,2)=0,1,0))))=0,(INDEX($E$8:$E$23,MIN(INT(($A682-1)/70)+1,CROQUIS_DATOS!$C$1525))-INDEX($F$8:$F$23,MIN(INT(($A682-1)/70)+1,CROQUIS_DATOS!$C$1525))/2),(INDEX($E$8:$E$23,MIN(INT(($A682-1)/70)+1,CROQUIS_DATOS!$C$1525))+INDEX($F$8:$F$23,MIN(INT(($A682-1)/70)+1,CROQUIS_DATOS!$C$1525))/2)))*CROQUIS_DATOS!$C$1562),-1000)</f>
        <v>82.8189655172414</v>
      </c>
      <c r="O682">
        <f>IF(AND(CROQUIS_DATOS!$C$1472=1,1),(CROQUIS_DATOS!$C$1564+(IF(OR(IF(INT(($A682-1)/70)+1&gt;CROQUIS_DATOS!$C$1525,70,MOD($A682-1,70)+1)=1,IF(INT(($A682-1)/70)+1&gt;CROQUIS_DATOS!$C$1525,70,MOD($A682-1,70)+1)&gt;2*CROQUIS_DATOS!$C$1541+1),CROQUIS_DATOS!$C$1476,INDEX($H$8:$H$41,MIN(INT((IF(INT(($A682-1)/70)+1&gt;CROQUIS_DATOS!$C$1525,70,MOD($A682-1,70)+1)-2)/2)+1,CROQUIS_DATOS!$C$1541))))*CROQUIS_DATOS!$C$1561*CROQUIS_DATOS!$C$1562),-1000)</f>
        <v>40.2068965517241</v>
      </c>
    </row>
    <row r="683">
      <c r="A683" t="n">
        <v>676</v>
      </c>
      <c r="N683">
        <f>IF(AND(CROQUIS_DATOS!$C$1472=1,1),(CROQUIS_DATOS!$C$1563+(IF(IF(IF(INT(($A683-1)/70)+1&gt;CROQUIS_DATOS!$C$1525,70,MOD($A683-1,70)+1)=1,0,IF(IF(INT(($A683-1)/70)+1&gt;CROQUIS_DATOS!$C$1525,70,MOD($A683-1,70)+1)&gt;2*CROQUIS_DATOS!$C$1541+1,IF(MOD(CROQUIS_DATOS!$C$1541,2)=1,1,0),IF(MOD(MIN(INT((IF(INT(($A683-1)/70)+1&gt;CROQUIS_DATOS!$C$1525,70,MOD($A683-1,70)+1)-2)/2)+1,CROQUIS_DATOS!$C$1541),2)=1,IF(MOD(IF(INT(($A683-1)/70)+1&gt;CROQUIS_DATOS!$C$1525,70,MOD($A683-1,70)+1)-2,2)=0,0,1),IF(MOD(IF(INT(($A683-1)/70)+1&gt;CROQUIS_DATOS!$C$1525,70,MOD($A683-1,70)+1)-2,2)=0,1,0))))=0,(INDEX($E$8:$E$23,MIN(INT(($A683-1)/70)+1,CROQUIS_DATOS!$C$1525))-INDEX($F$8:$F$23,MIN(INT(($A683-1)/70)+1,CROQUIS_DATOS!$C$1525))/2),(INDEX($E$8:$E$23,MIN(INT(($A683-1)/70)+1,CROQUIS_DATOS!$C$1525))+INDEX($F$8:$F$23,MIN(INT(($A683-1)/70)+1,CROQUIS_DATOS!$C$1525))/2)))*CROQUIS_DATOS!$C$1562),-1000)</f>
        <v>82.8189655172414</v>
      </c>
      <c r="O683">
        <f>IF(AND(CROQUIS_DATOS!$C$1472=1,1),(CROQUIS_DATOS!$C$1564+(IF(OR(IF(INT(($A683-1)/70)+1&gt;CROQUIS_DATOS!$C$1525,70,MOD($A683-1,70)+1)=1,IF(INT(($A683-1)/70)+1&gt;CROQUIS_DATOS!$C$1525,70,MOD($A683-1,70)+1)&gt;2*CROQUIS_DATOS!$C$1541+1),CROQUIS_DATOS!$C$1476,INDEX($H$8:$H$41,MIN(INT((IF(INT(($A683-1)/70)+1&gt;CROQUIS_DATOS!$C$1525,70,MOD($A683-1,70)+1)-2)/2)+1,CROQUIS_DATOS!$C$1541))))*CROQUIS_DATOS!$C$1561*CROQUIS_DATOS!$C$1562),-1000)</f>
        <v>40.2068965517241</v>
      </c>
    </row>
    <row r="684">
      <c r="A684" t="n">
        <v>677</v>
      </c>
      <c r="N684">
        <f>IF(AND(CROQUIS_DATOS!$C$1472=1,1),(CROQUIS_DATOS!$C$1563+(IF(IF(IF(INT(($A684-1)/70)+1&gt;CROQUIS_DATOS!$C$1525,70,MOD($A684-1,70)+1)=1,0,IF(IF(INT(($A684-1)/70)+1&gt;CROQUIS_DATOS!$C$1525,70,MOD($A684-1,70)+1)&gt;2*CROQUIS_DATOS!$C$1541+1,IF(MOD(CROQUIS_DATOS!$C$1541,2)=1,1,0),IF(MOD(MIN(INT((IF(INT(($A684-1)/70)+1&gt;CROQUIS_DATOS!$C$1525,70,MOD($A684-1,70)+1)-2)/2)+1,CROQUIS_DATOS!$C$1541),2)=1,IF(MOD(IF(INT(($A684-1)/70)+1&gt;CROQUIS_DATOS!$C$1525,70,MOD($A684-1,70)+1)-2,2)=0,0,1),IF(MOD(IF(INT(($A684-1)/70)+1&gt;CROQUIS_DATOS!$C$1525,70,MOD($A684-1,70)+1)-2,2)=0,1,0))))=0,(INDEX($E$8:$E$23,MIN(INT(($A684-1)/70)+1,CROQUIS_DATOS!$C$1525))-INDEX($F$8:$F$23,MIN(INT(($A684-1)/70)+1,CROQUIS_DATOS!$C$1525))/2),(INDEX($E$8:$E$23,MIN(INT(($A684-1)/70)+1,CROQUIS_DATOS!$C$1525))+INDEX($F$8:$F$23,MIN(INT(($A684-1)/70)+1,CROQUIS_DATOS!$C$1525))/2)))*CROQUIS_DATOS!$C$1562),-1000)</f>
        <v>82.8189655172414</v>
      </c>
      <c r="O684">
        <f>IF(AND(CROQUIS_DATOS!$C$1472=1,1),(CROQUIS_DATOS!$C$1564+(IF(OR(IF(INT(($A684-1)/70)+1&gt;CROQUIS_DATOS!$C$1525,70,MOD($A684-1,70)+1)=1,IF(INT(($A684-1)/70)+1&gt;CROQUIS_DATOS!$C$1525,70,MOD($A684-1,70)+1)&gt;2*CROQUIS_DATOS!$C$1541+1),CROQUIS_DATOS!$C$1476,INDEX($H$8:$H$41,MIN(INT((IF(INT(($A684-1)/70)+1&gt;CROQUIS_DATOS!$C$1525,70,MOD($A684-1,70)+1)-2)/2)+1,CROQUIS_DATOS!$C$1541))))*CROQUIS_DATOS!$C$1561*CROQUIS_DATOS!$C$1562),-1000)</f>
        <v>40.2068965517241</v>
      </c>
    </row>
    <row r="685">
      <c r="A685" t="n">
        <v>678</v>
      </c>
      <c r="N685">
        <f>IF(AND(CROQUIS_DATOS!$C$1472=1,1),(CROQUIS_DATOS!$C$1563+(IF(IF(IF(INT(($A685-1)/70)+1&gt;CROQUIS_DATOS!$C$1525,70,MOD($A685-1,70)+1)=1,0,IF(IF(INT(($A685-1)/70)+1&gt;CROQUIS_DATOS!$C$1525,70,MOD($A685-1,70)+1)&gt;2*CROQUIS_DATOS!$C$1541+1,IF(MOD(CROQUIS_DATOS!$C$1541,2)=1,1,0),IF(MOD(MIN(INT((IF(INT(($A685-1)/70)+1&gt;CROQUIS_DATOS!$C$1525,70,MOD($A685-1,70)+1)-2)/2)+1,CROQUIS_DATOS!$C$1541),2)=1,IF(MOD(IF(INT(($A685-1)/70)+1&gt;CROQUIS_DATOS!$C$1525,70,MOD($A685-1,70)+1)-2,2)=0,0,1),IF(MOD(IF(INT(($A685-1)/70)+1&gt;CROQUIS_DATOS!$C$1525,70,MOD($A685-1,70)+1)-2,2)=0,1,0))))=0,(INDEX($E$8:$E$23,MIN(INT(($A685-1)/70)+1,CROQUIS_DATOS!$C$1525))-INDEX($F$8:$F$23,MIN(INT(($A685-1)/70)+1,CROQUIS_DATOS!$C$1525))/2),(INDEX($E$8:$E$23,MIN(INT(($A685-1)/70)+1,CROQUIS_DATOS!$C$1525))+INDEX($F$8:$F$23,MIN(INT(($A685-1)/70)+1,CROQUIS_DATOS!$C$1525))/2)))*CROQUIS_DATOS!$C$1562),-1000)</f>
        <v>82.8189655172414</v>
      </c>
      <c r="O685">
        <f>IF(AND(CROQUIS_DATOS!$C$1472=1,1),(CROQUIS_DATOS!$C$1564+(IF(OR(IF(INT(($A685-1)/70)+1&gt;CROQUIS_DATOS!$C$1525,70,MOD($A685-1,70)+1)=1,IF(INT(($A685-1)/70)+1&gt;CROQUIS_DATOS!$C$1525,70,MOD($A685-1,70)+1)&gt;2*CROQUIS_DATOS!$C$1541+1),CROQUIS_DATOS!$C$1476,INDEX($H$8:$H$41,MIN(INT((IF(INT(($A685-1)/70)+1&gt;CROQUIS_DATOS!$C$1525,70,MOD($A685-1,70)+1)-2)/2)+1,CROQUIS_DATOS!$C$1541))))*CROQUIS_DATOS!$C$1561*CROQUIS_DATOS!$C$1562),-1000)</f>
        <v>40.2068965517241</v>
      </c>
    </row>
    <row r="686">
      <c r="A686" t="n">
        <v>679</v>
      </c>
      <c r="N686">
        <f>IF(AND(CROQUIS_DATOS!$C$1472=1,1),(CROQUIS_DATOS!$C$1563+(IF(IF(IF(INT(($A686-1)/70)+1&gt;CROQUIS_DATOS!$C$1525,70,MOD($A686-1,70)+1)=1,0,IF(IF(INT(($A686-1)/70)+1&gt;CROQUIS_DATOS!$C$1525,70,MOD($A686-1,70)+1)&gt;2*CROQUIS_DATOS!$C$1541+1,IF(MOD(CROQUIS_DATOS!$C$1541,2)=1,1,0),IF(MOD(MIN(INT((IF(INT(($A686-1)/70)+1&gt;CROQUIS_DATOS!$C$1525,70,MOD($A686-1,70)+1)-2)/2)+1,CROQUIS_DATOS!$C$1541),2)=1,IF(MOD(IF(INT(($A686-1)/70)+1&gt;CROQUIS_DATOS!$C$1525,70,MOD($A686-1,70)+1)-2,2)=0,0,1),IF(MOD(IF(INT(($A686-1)/70)+1&gt;CROQUIS_DATOS!$C$1525,70,MOD($A686-1,70)+1)-2,2)=0,1,0))))=0,(INDEX($E$8:$E$23,MIN(INT(($A686-1)/70)+1,CROQUIS_DATOS!$C$1525))-INDEX($F$8:$F$23,MIN(INT(($A686-1)/70)+1,CROQUIS_DATOS!$C$1525))/2),(INDEX($E$8:$E$23,MIN(INT(($A686-1)/70)+1,CROQUIS_DATOS!$C$1525))+INDEX($F$8:$F$23,MIN(INT(($A686-1)/70)+1,CROQUIS_DATOS!$C$1525))/2)))*CROQUIS_DATOS!$C$1562),-1000)</f>
        <v>82.8189655172414</v>
      </c>
      <c r="O686">
        <f>IF(AND(CROQUIS_DATOS!$C$1472=1,1),(CROQUIS_DATOS!$C$1564+(IF(OR(IF(INT(($A686-1)/70)+1&gt;CROQUIS_DATOS!$C$1525,70,MOD($A686-1,70)+1)=1,IF(INT(($A686-1)/70)+1&gt;CROQUIS_DATOS!$C$1525,70,MOD($A686-1,70)+1)&gt;2*CROQUIS_DATOS!$C$1541+1),CROQUIS_DATOS!$C$1476,INDEX($H$8:$H$41,MIN(INT((IF(INT(($A686-1)/70)+1&gt;CROQUIS_DATOS!$C$1525,70,MOD($A686-1,70)+1)-2)/2)+1,CROQUIS_DATOS!$C$1541))))*CROQUIS_DATOS!$C$1561*CROQUIS_DATOS!$C$1562),-1000)</f>
        <v>40.2068965517241</v>
      </c>
    </row>
    <row r="687">
      <c r="A687" t="n">
        <v>680</v>
      </c>
      <c r="N687">
        <f>IF(AND(CROQUIS_DATOS!$C$1472=1,1),(CROQUIS_DATOS!$C$1563+(IF(IF(IF(INT(($A687-1)/70)+1&gt;CROQUIS_DATOS!$C$1525,70,MOD($A687-1,70)+1)=1,0,IF(IF(INT(($A687-1)/70)+1&gt;CROQUIS_DATOS!$C$1525,70,MOD($A687-1,70)+1)&gt;2*CROQUIS_DATOS!$C$1541+1,IF(MOD(CROQUIS_DATOS!$C$1541,2)=1,1,0),IF(MOD(MIN(INT((IF(INT(($A687-1)/70)+1&gt;CROQUIS_DATOS!$C$1525,70,MOD($A687-1,70)+1)-2)/2)+1,CROQUIS_DATOS!$C$1541),2)=1,IF(MOD(IF(INT(($A687-1)/70)+1&gt;CROQUIS_DATOS!$C$1525,70,MOD($A687-1,70)+1)-2,2)=0,0,1),IF(MOD(IF(INT(($A687-1)/70)+1&gt;CROQUIS_DATOS!$C$1525,70,MOD($A687-1,70)+1)-2,2)=0,1,0))))=0,(INDEX($E$8:$E$23,MIN(INT(($A687-1)/70)+1,CROQUIS_DATOS!$C$1525))-INDEX($F$8:$F$23,MIN(INT(($A687-1)/70)+1,CROQUIS_DATOS!$C$1525))/2),(INDEX($E$8:$E$23,MIN(INT(($A687-1)/70)+1,CROQUIS_DATOS!$C$1525))+INDEX($F$8:$F$23,MIN(INT(($A687-1)/70)+1,CROQUIS_DATOS!$C$1525))/2)))*CROQUIS_DATOS!$C$1562),-1000)</f>
        <v>82.8189655172414</v>
      </c>
      <c r="O687">
        <f>IF(AND(CROQUIS_DATOS!$C$1472=1,1),(CROQUIS_DATOS!$C$1564+(IF(OR(IF(INT(($A687-1)/70)+1&gt;CROQUIS_DATOS!$C$1525,70,MOD($A687-1,70)+1)=1,IF(INT(($A687-1)/70)+1&gt;CROQUIS_DATOS!$C$1525,70,MOD($A687-1,70)+1)&gt;2*CROQUIS_DATOS!$C$1541+1),CROQUIS_DATOS!$C$1476,INDEX($H$8:$H$41,MIN(INT((IF(INT(($A687-1)/70)+1&gt;CROQUIS_DATOS!$C$1525,70,MOD($A687-1,70)+1)-2)/2)+1,CROQUIS_DATOS!$C$1541))))*CROQUIS_DATOS!$C$1561*CROQUIS_DATOS!$C$1562),-1000)</f>
        <v>40.2068965517241</v>
      </c>
    </row>
    <row r="688">
      <c r="A688" t="n">
        <v>681</v>
      </c>
      <c r="N688">
        <f>IF(AND(CROQUIS_DATOS!$C$1472=1,1),(CROQUIS_DATOS!$C$1563+(IF(IF(IF(INT(($A688-1)/70)+1&gt;CROQUIS_DATOS!$C$1525,70,MOD($A688-1,70)+1)=1,0,IF(IF(INT(($A688-1)/70)+1&gt;CROQUIS_DATOS!$C$1525,70,MOD($A688-1,70)+1)&gt;2*CROQUIS_DATOS!$C$1541+1,IF(MOD(CROQUIS_DATOS!$C$1541,2)=1,1,0),IF(MOD(MIN(INT((IF(INT(($A688-1)/70)+1&gt;CROQUIS_DATOS!$C$1525,70,MOD($A688-1,70)+1)-2)/2)+1,CROQUIS_DATOS!$C$1541),2)=1,IF(MOD(IF(INT(($A688-1)/70)+1&gt;CROQUIS_DATOS!$C$1525,70,MOD($A688-1,70)+1)-2,2)=0,0,1),IF(MOD(IF(INT(($A688-1)/70)+1&gt;CROQUIS_DATOS!$C$1525,70,MOD($A688-1,70)+1)-2,2)=0,1,0))))=0,(INDEX($E$8:$E$23,MIN(INT(($A688-1)/70)+1,CROQUIS_DATOS!$C$1525))-INDEX($F$8:$F$23,MIN(INT(($A688-1)/70)+1,CROQUIS_DATOS!$C$1525))/2),(INDEX($E$8:$E$23,MIN(INT(($A688-1)/70)+1,CROQUIS_DATOS!$C$1525))+INDEX($F$8:$F$23,MIN(INT(($A688-1)/70)+1,CROQUIS_DATOS!$C$1525))/2)))*CROQUIS_DATOS!$C$1562),-1000)</f>
        <v>82.8189655172414</v>
      </c>
      <c r="O688">
        <f>IF(AND(CROQUIS_DATOS!$C$1472=1,1),(CROQUIS_DATOS!$C$1564+(IF(OR(IF(INT(($A688-1)/70)+1&gt;CROQUIS_DATOS!$C$1525,70,MOD($A688-1,70)+1)=1,IF(INT(($A688-1)/70)+1&gt;CROQUIS_DATOS!$C$1525,70,MOD($A688-1,70)+1)&gt;2*CROQUIS_DATOS!$C$1541+1),CROQUIS_DATOS!$C$1476,INDEX($H$8:$H$41,MIN(INT((IF(INT(($A688-1)/70)+1&gt;CROQUIS_DATOS!$C$1525,70,MOD($A688-1,70)+1)-2)/2)+1,CROQUIS_DATOS!$C$1541))))*CROQUIS_DATOS!$C$1561*CROQUIS_DATOS!$C$1562),-1000)</f>
        <v>40.2068965517241</v>
      </c>
    </row>
    <row r="689">
      <c r="A689" t="n">
        <v>682</v>
      </c>
      <c r="N689">
        <f>IF(AND(CROQUIS_DATOS!$C$1472=1,1),(CROQUIS_DATOS!$C$1563+(IF(IF(IF(INT(($A689-1)/70)+1&gt;CROQUIS_DATOS!$C$1525,70,MOD($A689-1,70)+1)=1,0,IF(IF(INT(($A689-1)/70)+1&gt;CROQUIS_DATOS!$C$1525,70,MOD($A689-1,70)+1)&gt;2*CROQUIS_DATOS!$C$1541+1,IF(MOD(CROQUIS_DATOS!$C$1541,2)=1,1,0),IF(MOD(MIN(INT((IF(INT(($A689-1)/70)+1&gt;CROQUIS_DATOS!$C$1525,70,MOD($A689-1,70)+1)-2)/2)+1,CROQUIS_DATOS!$C$1541),2)=1,IF(MOD(IF(INT(($A689-1)/70)+1&gt;CROQUIS_DATOS!$C$1525,70,MOD($A689-1,70)+1)-2,2)=0,0,1),IF(MOD(IF(INT(($A689-1)/70)+1&gt;CROQUIS_DATOS!$C$1525,70,MOD($A689-1,70)+1)-2,2)=0,1,0))))=0,(INDEX($E$8:$E$23,MIN(INT(($A689-1)/70)+1,CROQUIS_DATOS!$C$1525))-INDEX($F$8:$F$23,MIN(INT(($A689-1)/70)+1,CROQUIS_DATOS!$C$1525))/2),(INDEX($E$8:$E$23,MIN(INT(($A689-1)/70)+1,CROQUIS_DATOS!$C$1525))+INDEX($F$8:$F$23,MIN(INT(($A689-1)/70)+1,CROQUIS_DATOS!$C$1525))/2)))*CROQUIS_DATOS!$C$1562),-1000)</f>
        <v>82.8189655172414</v>
      </c>
      <c r="O689">
        <f>IF(AND(CROQUIS_DATOS!$C$1472=1,1),(CROQUIS_DATOS!$C$1564+(IF(OR(IF(INT(($A689-1)/70)+1&gt;CROQUIS_DATOS!$C$1525,70,MOD($A689-1,70)+1)=1,IF(INT(($A689-1)/70)+1&gt;CROQUIS_DATOS!$C$1525,70,MOD($A689-1,70)+1)&gt;2*CROQUIS_DATOS!$C$1541+1),CROQUIS_DATOS!$C$1476,INDEX($H$8:$H$41,MIN(INT((IF(INT(($A689-1)/70)+1&gt;CROQUIS_DATOS!$C$1525,70,MOD($A689-1,70)+1)-2)/2)+1,CROQUIS_DATOS!$C$1541))))*CROQUIS_DATOS!$C$1561*CROQUIS_DATOS!$C$1562),-1000)</f>
        <v>40.2068965517241</v>
      </c>
    </row>
    <row r="690">
      <c r="A690" t="n">
        <v>683</v>
      </c>
      <c r="N690">
        <f>IF(AND(CROQUIS_DATOS!$C$1472=1,1),(CROQUIS_DATOS!$C$1563+(IF(IF(IF(INT(($A690-1)/70)+1&gt;CROQUIS_DATOS!$C$1525,70,MOD($A690-1,70)+1)=1,0,IF(IF(INT(($A690-1)/70)+1&gt;CROQUIS_DATOS!$C$1525,70,MOD($A690-1,70)+1)&gt;2*CROQUIS_DATOS!$C$1541+1,IF(MOD(CROQUIS_DATOS!$C$1541,2)=1,1,0),IF(MOD(MIN(INT((IF(INT(($A690-1)/70)+1&gt;CROQUIS_DATOS!$C$1525,70,MOD($A690-1,70)+1)-2)/2)+1,CROQUIS_DATOS!$C$1541),2)=1,IF(MOD(IF(INT(($A690-1)/70)+1&gt;CROQUIS_DATOS!$C$1525,70,MOD($A690-1,70)+1)-2,2)=0,0,1),IF(MOD(IF(INT(($A690-1)/70)+1&gt;CROQUIS_DATOS!$C$1525,70,MOD($A690-1,70)+1)-2,2)=0,1,0))))=0,(INDEX($E$8:$E$23,MIN(INT(($A690-1)/70)+1,CROQUIS_DATOS!$C$1525))-INDEX($F$8:$F$23,MIN(INT(($A690-1)/70)+1,CROQUIS_DATOS!$C$1525))/2),(INDEX($E$8:$E$23,MIN(INT(($A690-1)/70)+1,CROQUIS_DATOS!$C$1525))+INDEX($F$8:$F$23,MIN(INT(($A690-1)/70)+1,CROQUIS_DATOS!$C$1525))/2)))*CROQUIS_DATOS!$C$1562),-1000)</f>
        <v>82.8189655172414</v>
      </c>
      <c r="O690">
        <f>IF(AND(CROQUIS_DATOS!$C$1472=1,1),(CROQUIS_DATOS!$C$1564+(IF(OR(IF(INT(($A690-1)/70)+1&gt;CROQUIS_DATOS!$C$1525,70,MOD($A690-1,70)+1)=1,IF(INT(($A690-1)/70)+1&gt;CROQUIS_DATOS!$C$1525,70,MOD($A690-1,70)+1)&gt;2*CROQUIS_DATOS!$C$1541+1),CROQUIS_DATOS!$C$1476,INDEX($H$8:$H$41,MIN(INT((IF(INT(($A690-1)/70)+1&gt;CROQUIS_DATOS!$C$1525,70,MOD($A690-1,70)+1)-2)/2)+1,CROQUIS_DATOS!$C$1541))))*CROQUIS_DATOS!$C$1561*CROQUIS_DATOS!$C$1562),-1000)</f>
        <v>40.2068965517241</v>
      </c>
    </row>
    <row r="691">
      <c r="A691" t="n">
        <v>684</v>
      </c>
      <c r="N691">
        <f>IF(AND(CROQUIS_DATOS!$C$1472=1,1),(CROQUIS_DATOS!$C$1563+(IF(IF(IF(INT(($A691-1)/70)+1&gt;CROQUIS_DATOS!$C$1525,70,MOD($A691-1,70)+1)=1,0,IF(IF(INT(($A691-1)/70)+1&gt;CROQUIS_DATOS!$C$1525,70,MOD($A691-1,70)+1)&gt;2*CROQUIS_DATOS!$C$1541+1,IF(MOD(CROQUIS_DATOS!$C$1541,2)=1,1,0),IF(MOD(MIN(INT((IF(INT(($A691-1)/70)+1&gt;CROQUIS_DATOS!$C$1525,70,MOD($A691-1,70)+1)-2)/2)+1,CROQUIS_DATOS!$C$1541),2)=1,IF(MOD(IF(INT(($A691-1)/70)+1&gt;CROQUIS_DATOS!$C$1525,70,MOD($A691-1,70)+1)-2,2)=0,0,1),IF(MOD(IF(INT(($A691-1)/70)+1&gt;CROQUIS_DATOS!$C$1525,70,MOD($A691-1,70)+1)-2,2)=0,1,0))))=0,(INDEX($E$8:$E$23,MIN(INT(($A691-1)/70)+1,CROQUIS_DATOS!$C$1525))-INDEX($F$8:$F$23,MIN(INT(($A691-1)/70)+1,CROQUIS_DATOS!$C$1525))/2),(INDEX($E$8:$E$23,MIN(INT(($A691-1)/70)+1,CROQUIS_DATOS!$C$1525))+INDEX($F$8:$F$23,MIN(INT(($A691-1)/70)+1,CROQUIS_DATOS!$C$1525))/2)))*CROQUIS_DATOS!$C$1562),-1000)</f>
        <v>82.8189655172414</v>
      </c>
      <c r="O691">
        <f>IF(AND(CROQUIS_DATOS!$C$1472=1,1),(CROQUIS_DATOS!$C$1564+(IF(OR(IF(INT(($A691-1)/70)+1&gt;CROQUIS_DATOS!$C$1525,70,MOD($A691-1,70)+1)=1,IF(INT(($A691-1)/70)+1&gt;CROQUIS_DATOS!$C$1525,70,MOD($A691-1,70)+1)&gt;2*CROQUIS_DATOS!$C$1541+1),CROQUIS_DATOS!$C$1476,INDEX($H$8:$H$41,MIN(INT((IF(INT(($A691-1)/70)+1&gt;CROQUIS_DATOS!$C$1525,70,MOD($A691-1,70)+1)-2)/2)+1,CROQUIS_DATOS!$C$1541))))*CROQUIS_DATOS!$C$1561*CROQUIS_DATOS!$C$1562),-1000)</f>
        <v>40.2068965517241</v>
      </c>
    </row>
    <row r="692">
      <c r="A692" t="n">
        <v>685</v>
      </c>
      <c r="N692">
        <f>IF(AND(CROQUIS_DATOS!$C$1472=1,1),(CROQUIS_DATOS!$C$1563+(IF(IF(IF(INT(($A692-1)/70)+1&gt;CROQUIS_DATOS!$C$1525,70,MOD($A692-1,70)+1)=1,0,IF(IF(INT(($A692-1)/70)+1&gt;CROQUIS_DATOS!$C$1525,70,MOD($A692-1,70)+1)&gt;2*CROQUIS_DATOS!$C$1541+1,IF(MOD(CROQUIS_DATOS!$C$1541,2)=1,1,0),IF(MOD(MIN(INT((IF(INT(($A692-1)/70)+1&gt;CROQUIS_DATOS!$C$1525,70,MOD($A692-1,70)+1)-2)/2)+1,CROQUIS_DATOS!$C$1541),2)=1,IF(MOD(IF(INT(($A692-1)/70)+1&gt;CROQUIS_DATOS!$C$1525,70,MOD($A692-1,70)+1)-2,2)=0,0,1),IF(MOD(IF(INT(($A692-1)/70)+1&gt;CROQUIS_DATOS!$C$1525,70,MOD($A692-1,70)+1)-2,2)=0,1,0))))=0,(INDEX($E$8:$E$23,MIN(INT(($A692-1)/70)+1,CROQUIS_DATOS!$C$1525))-INDEX($F$8:$F$23,MIN(INT(($A692-1)/70)+1,CROQUIS_DATOS!$C$1525))/2),(INDEX($E$8:$E$23,MIN(INT(($A692-1)/70)+1,CROQUIS_DATOS!$C$1525))+INDEX($F$8:$F$23,MIN(INT(($A692-1)/70)+1,CROQUIS_DATOS!$C$1525))/2)))*CROQUIS_DATOS!$C$1562),-1000)</f>
        <v>82.8189655172414</v>
      </c>
      <c r="O692">
        <f>IF(AND(CROQUIS_DATOS!$C$1472=1,1),(CROQUIS_DATOS!$C$1564+(IF(OR(IF(INT(($A692-1)/70)+1&gt;CROQUIS_DATOS!$C$1525,70,MOD($A692-1,70)+1)=1,IF(INT(($A692-1)/70)+1&gt;CROQUIS_DATOS!$C$1525,70,MOD($A692-1,70)+1)&gt;2*CROQUIS_DATOS!$C$1541+1),CROQUIS_DATOS!$C$1476,INDEX($H$8:$H$41,MIN(INT((IF(INT(($A692-1)/70)+1&gt;CROQUIS_DATOS!$C$1525,70,MOD($A692-1,70)+1)-2)/2)+1,CROQUIS_DATOS!$C$1541))))*CROQUIS_DATOS!$C$1561*CROQUIS_DATOS!$C$1562),-1000)</f>
        <v>40.2068965517241</v>
      </c>
    </row>
    <row r="693">
      <c r="A693" t="n">
        <v>686</v>
      </c>
      <c r="N693">
        <f>IF(AND(CROQUIS_DATOS!$C$1472=1,1),(CROQUIS_DATOS!$C$1563+(IF(IF(IF(INT(($A693-1)/70)+1&gt;CROQUIS_DATOS!$C$1525,70,MOD($A693-1,70)+1)=1,0,IF(IF(INT(($A693-1)/70)+1&gt;CROQUIS_DATOS!$C$1525,70,MOD($A693-1,70)+1)&gt;2*CROQUIS_DATOS!$C$1541+1,IF(MOD(CROQUIS_DATOS!$C$1541,2)=1,1,0),IF(MOD(MIN(INT((IF(INT(($A693-1)/70)+1&gt;CROQUIS_DATOS!$C$1525,70,MOD($A693-1,70)+1)-2)/2)+1,CROQUIS_DATOS!$C$1541),2)=1,IF(MOD(IF(INT(($A693-1)/70)+1&gt;CROQUIS_DATOS!$C$1525,70,MOD($A693-1,70)+1)-2,2)=0,0,1),IF(MOD(IF(INT(($A693-1)/70)+1&gt;CROQUIS_DATOS!$C$1525,70,MOD($A693-1,70)+1)-2,2)=0,1,0))))=0,(INDEX($E$8:$E$23,MIN(INT(($A693-1)/70)+1,CROQUIS_DATOS!$C$1525))-INDEX($F$8:$F$23,MIN(INT(($A693-1)/70)+1,CROQUIS_DATOS!$C$1525))/2),(INDEX($E$8:$E$23,MIN(INT(($A693-1)/70)+1,CROQUIS_DATOS!$C$1525))+INDEX($F$8:$F$23,MIN(INT(($A693-1)/70)+1,CROQUIS_DATOS!$C$1525))/2)))*CROQUIS_DATOS!$C$1562),-1000)</f>
        <v>82.8189655172414</v>
      </c>
      <c r="O693">
        <f>IF(AND(CROQUIS_DATOS!$C$1472=1,1),(CROQUIS_DATOS!$C$1564+(IF(OR(IF(INT(($A693-1)/70)+1&gt;CROQUIS_DATOS!$C$1525,70,MOD($A693-1,70)+1)=1,IF(INT(($A693-1)/70)+1&gt;CROQUIS_DATOS!$C$1525,70,MOD($A693-1,70)+1)&gt;2*CROQUIS_DATOS!$C$1541+1),CROQUIS_DATOS!$C$1476,INDEX($H$8:$H$41,MIN(INT((IF(INT(($A693-1)/70)+1&gt;CROQUIS_DATOS!$C$1525,70,MOD($A693-1,70)+1)-2)/2)+1,CROQUIS_DATOS!$C$1541))))*CROQUIS_DATOS!$C$1561*CROQUIS_DATOS!$C$1562),-1000)</f>
        <v>40.2068965517241</v>
      </c>
    </row>
    <row r="694">
      <c r="A694" t="n">
        <v>687</v>
      </c>
      <c r="N694">
        <f>IF(AND(CROQUIS_DATOS!$C$1472=1,1),(CROQUIS_DATOS!$C$1563+(IF(IF(IF(INT(($A694-1)/70)+1&gt;CROQUIS_DATOS!$C$1525,70,MOD($A694-1,70)+1)=1,0,IF(IF(INT(($A694-1)/70)+1&gt;CROQUIS_DATOS!$C$1525,70,MOD($A694-1,70)+1)&gt;2*CROQUIS_DATOS!$C$1541+1,IF(MOD(CROQUIS_DATOS!$C$1541,2)=1,1,0),IF(MOD(MIN(INT((IF(INT(($A694-1)/70)+1&gt;CROQUIS_DATOS!$C$1525,70,MOD($A694-1,70)+1)-2)/2)+1,CROQUIS_DATOS!$C$1541),2)=1,IF(MOD(IF(INT(($A694-1)/70)+1&gt;CROQUIS_DATOS!$C$1525,70,MOD($A694-1,70)+1)-2,2)=0,0,1),IF(MOD(IF(INT(($A694-1)/70)+1&gt;CROQUIS_DATOS!$C$1525,70,MOD($A694-1,70)+1)-2,2)=0,1,0))))=0,(INDEX($E$8:$E$23,MIN(INT(($A694-1)/70)+1,CROQUIS_DATOS!$C$1525))-INDEX($F$8:$F$23,MIN(INT(($A694-1)/70)+1,CROQUIS_DATOS!$C$1525))/2),(INDEX($E$8:$E$23,MIN(INT(($A694-1)/70)+1,CROQUIS_DATOS!$C$1525))+INDEX($F$8:$F$23,MIN(INT(($A694-1)/70)+1,CROQUIS_DATOS!$C$1525))/2)))*CROQUIS_DATOS!$C$1562),-1000)</f>
        <v>82.8189655172414</v>
      </c>
      <c r="O694">
        <f>IF(AND(CROQUIS_DATOS!$C$1472=1,1),(CROQUIS_DATOS!$C$1564+(IF(OR(IF(INT(($A694-1)/70)+1&gt;CROQUIS_DATOS!$C$1525,70,MOD($A694-1,70)+1)=1,IF(INT(($A694-1)/70)+1&gt;CROQUIS_DATOS!$C$1525,70,MOD($A694-1,70)+1)&gt;2*CROQUIS_DATOS!$C$1541+1),CROQUIS_DATOS!$C$1476,INDEX($H$8:$H$41,MIN(INT((IF(INT(($A694-1)/70)+1&gt;CROQUIS_DATOS!$C$1525,70,MOD($A694-1,70)+1)-2)/2)+1,CROQUIS_DATOS!$C$1541))))*CROQUIS_DATOS!$C$1561*CROQUIS_DATOS!$C$1562),-1000)</f>
        <v>40.2068965517241</v>
      </c>
    </row>
    <row r="695">
      <c r="A695" t="n">
        <v>688</v>
      </c>
      <c r="N695">
        <f>IF(AND(CROQUIS_DATOS!$C$1472=1,1),(CROQUIS_DATOS!$C$1563+(IF(IF(IF(INT(($A695-1)/70)+1&gt;CROQUIS_DATOS!$C$1525,70,MOD($A695-1,70)+1)=1,0,IF(IF(INT(($A695-1)/70)+1&gt;CROQUIS_DATOS!$C$1525,70,MOD($A695-1,70)+1)&gt;2*CROQUIS_DATOS!$C$1541+1,IF(MOD(CROQUIS_DATOS!$C$1541,2)=1,1,0),IF(MOD(MIN(INT((IF(INT(($A695-1)/70)+1&gt;CROQUIS_DATOS!$C$1525,70,MOD($A695-1,70)+1)-2)/2)+1,CROQUIS_DATOS!$C$1541),2)=1,IF(MOD(IF(INT(($A695-1)/70)+1&gt;CROQUIS_DATOS!$C$1525,70,MOD($A695-1,70)+1)-2,2)=0,0,1),IF(MOD(IF(INT(($A695-1)/70)+1&gt;CROQUIS_DATOS!$C$1525,70,MOD($A695-1,70)+1)-2,2)=0,1,0))))=0,(INDEX($E$8:$E$23,MIN(INT(($A695-1)/70)+1,CROQUIS_DATOS!$C$1525))-INDEX($F$8:$F$23,MIN(INT(($A695-1)/70)+1,CROQUIS_DATOS!$C$1525))/2),(INDEX($E$8:$E$23,MIN(INT(($A695-1)/70)+1,CROQUIS_DATOS!$C$1525))+INDEX($F$8:$F$23,MIN(INT(($A695-1)/70)+1,CROQUIS_DATOS!$C$1525))/2)))*CROQUIS_DATOS!$C$1562),-1000)</f>
        <v>82.8189655172414</v>
      </c>
      <c r="O695">
        <f>IF(AND(CROQUIS_DATOS!$C$1472=1,1),(CROQUIS_DATOS!$C$1564+(IF(OR(IF(INT(($A695-1)/70)+1&gt;CROQUIS_DATOS!$C$1525,70,MOD($A695-1,70)+1)=1,IF(INT(($A695-1)/70)+1&gt;CROQUIS_DATOS!$C$1525,70,MOD($A695-1,70)+1)&gt;2*CROQUIS_DATOS!$C$1541+1),CROQUIS_DATOS!$C$1476,INDEX($H$8:$H$41,MIN(INT((IF(INT(($A695-1)/70)+1&gt;CROQUIS_DATOS!$C$1525,70,MOD($A695-1,70)+1)-2)/2)+1,CROQUIS_DATOS!$C$1541))))*CROQUIS_DATOS!$C$1561*CROQUIS_DATOS!$C$1562),-1000)</f>
        <v>40.2068965517241</v>
      </c>
    </row>
    <row r="696">
      <c r="A696" t="n">
        <v>689</v>
      </c>
      <c r="N696">
        <f>IF(AND(CROQUIS_DATOS!$C$1472=1,1),(CROQUIS_DATOS!$C$1563+(IF(IF(IF(INT(($A696-1)/70)+1&gt;CROQUIS_DATOS!$C$1525,70,MOD($A696-1,70)+1)=1,0,IF(IF(INT(($A696-1)/70)+1&gt;CROQUIS_DATOS!$C$1525,70,MOD($A696-1,70)+1)&gt;2*CROQUIS_DATOS!$C$1541+1,IF(MOD(CROQUIS_DATOS!$C$1541,2)=1,1,0),IF(MOD(MIN(INT((IF(INT(($A696-1)/70)+1&gt;CROQUIS_DATOS!$C$1525,70,MOD($A696-1,70)+1)-2)/2)+1,CROQUIS_DATOS!$C$1541),2)=1,IF(MOD(IF(INT(($A696-1)/70)+1&gt;CROQUIS_DATOS!$C$1525,70,MOD($A696-1,70)+1)-2,2)=0,0,1),IF(MOD(IF(INT(($A696-1)/70)+1&gt;CROQUIS_DATOS!$C$1525,70,MOD($A696-1,70)+1)-2,2)=0,1,0))))=0,(INDEX($E$8:$E$23,MIN(INT(($A696-1)/70)+1,CROQUIS_DATOS!$C$1525))-INDEX($F$8:$F$23,MIN(INT(($A696-1)/70)+1,CROQUIS_DATOS!$C$1525))/2),(INDEX($E$8:$E$23,MIN(INT(($A696-1)/70)+1,CROQUIS_DATOS!$C$1525))+INDEX($F$8:$F$23,MIN(INT(($A696-1)/70)+1,CROQUIS_DATOS!$C$1525))/2)))*CROQUIS_DATOS!$C$1562),-1000)</f>
        <v>82.8189655172414</v>
      </c>
      <c r="O696">
        <f>IF(AND(CROQUIS_DATOS!$C$1472=1,1),(CROQUIS_DATOS!$C$1564+(IF(OR(IF(INT(($A696-1)/70)+1&gt;CROQUIS_DATOS!$C$1525,70,MOD($A696-1,70)+1)=1,IF(INT(($A696-1)/70)+1&gt;CROQUIS_DATOS!$C$1525,70,MOD($A696-1,70)+1)&gt;2*CROQUIS_DATOS!$C$1541+1),CROQUIS_DATOS!$C$1476,INDEX($H$8:$H$41,MIN(INT((IF(INT(($A696-1)/70)+1&gt;CROQUIS_DATOS!$C$1525,70,MOD($A696-1,70)+1)-2)/2)+1,CROQUIS_DATOS!$C$1541))))*CROQUIS_DATOS!$C$1561*CROQUIS_DATOS!$C$1562),-1000)</f>
        <v>40.2068965517241</v>
      </c>
    </row>
    <row r="697">
      <c r="A697" t="n">
        <v>690</v>
      </c>
      <c r="N697">
        <f>IF(AND(CROQUIS_DATOS!$C$1472=1,1),(CROQUIS_DATOS!$C$1563+(IF(IF(IF(INT(($A697-1)/70)+1&gt;CROQUIS_DATOS!$C$1525,70,MOD($A697-1,70)+1)=1,0,IF(IF(INT(($A697-1)/70)+1&gt;CROQUIS_DATOS!$C$1525,70,MOD($A697-1,70)+1)&gt;2*CROQUIS_DATOS!$C$1541+1,IF(MOD(CROQUIS_DATOS!$C$1541,2)=1,1,0),IF(MOD(MIN(INT((IF(INT(($A697-1)/70)+1&gt;CROQUIS_DATOS!$C$1525,70,MOD($A697-1,70)+1)-2)/2)+1,CROQUIS_DATOS!$C$1541),2)=1,IF(MOD(IF(INT(($A697-1)/70)+1&gt;CROQUIS_DATOS!$C$1525,70,MOD($A697-1,70)+1)-2,2)=0,0,1),IF(MOD(IF(INT(($A697-1)/70)+1&gt;CROQUIS_DATOS!$C$1525,70,MOD($A697-1,70)+1)-2,2)=0,1,0))))=0,(INDEX($E$8:$E$23,MIN(INT(($A697-1)/70)+1,CROQUIS_DATOS!$C$1525))-INDEX($F$8:$F$23,MIN(INT(($A697-1)/70)+1,CROQUIS_DATOS!$C$1525))/2),(INDEX($E$8:$E$23,MIN(INT(($A697-1)/70)+1,CROQUIS_DATOS!$C$1525))+INDEX($F$8:$F$23,MIN(INT(($A697-1)/70)+1,CROQUIS_DATOS!$C$1525))/2)))*CROQUIS_DATOS!$C$1562),-1000)</f>
        <v>82.8189655172414</v>
      </c>
      <c r="O697">
        <f>IF(AND(CROQUIS_DATOS!$C$1472=1,1),(CROQUIS_DATOS!$C$1564+(IF(OR(IF(INT(($A697-1)/70)+1&gt;CROQUIS_DATOS!$C$1525,70,MOD($A697-1,70)+1)=1,IF(INT(($A697-1)/70)+1&gt;CROQUIS_DATOS!$C$1525,70,MOD($A697-1,70)+1)&gt;2*CROQUIS_DATOS!$C$1541+1),CROQUIS_DATOS!$C$1476,INDEX($H$8:$H$41,MIN(INT((IF(INT(($A697-1)/70)+1&gt;CROQUIS_DATOS!$C$1525,70,MOD($A697-1,70)+1)-2)/2)+1,CROQUIS_DATOS!$C$1541))))*CROQUIS_DATOS!$C$1561*CROQUIS_DATOS!$C$1562),-1000)</f>
        <v>40.2068965517241</v>
      </c>
    </row>
    <row r="698">
      <c r="A698" t="n">
        <v>691</v>
      </c>
      <c r="N698">
        <f>IF(AND(CROQUIS_DATOS!$C$1472=1,1),(CROQUIS_DATOS!$C$1563+(IF(IF(IF(INT(($A698-1)/70)+1&gt;CROQUIS_DATOS!$C$1525,70,MOD($A698-1,70)+1)=1,0,IF(IF(INT(($A698-1)/70)+1&gt;CROQUIS_DATOS!$C$1525,70,MOD($A698-1,70)+1)&gt;2*CROQUIS_DATOS!$C$1541+1,IF(MOD(CROQUIS_DATOS!$C$1541,2)=1,1,0),IF(MOD(MIN(INT((IF(INT(($A698-1)/70)+1&gt;CROQUIS_DATOS!$C$1525,70,MOD($A698-1,70)+1)-2)/2)+1,CROQUIS_DATOS!$C$1541),2)=1,IF(MOD(IF(INT(($A698-1)/70)+1&gt;CROQUIS_DATOS!$C$1525,70,MOD($A698-1,70)+1)-2,2)=0,0,1),IF(MOD(IF(INT(($A698-1)/70)+1&gt;CROQUIS_DATOS!$C$1525,70,MOD($A698-1,70)+1)-2,2)=0,1,0))))=0,(INDEX($E$8:$E$23,MIN(INT(($A698-1)/70)+1,CROQUIS_DATOS!$C$1525))-INDEX($F$8:$F$23,MIN(INT(($A698-1)/70)+1,CROQUIS_DATOS!$C$1525))/2),(INDEX($E$8:$E$23,MIN(INT(($A698-1)/70)+1,CROQUIS_DATOS!$C$1525))+INDEX($F$8:$F$23,MIN(INT(($A698-1)/70)+1,CROQUIS_DATOS!$C$1525))/2)))*CROQUIS_DATOS!$C$1562),-1000)</f>
        <v>82.8189655172414</v>
      </c>
      <c r="O698">
        <f>IF(AND(CROQUIS_DATOS!$C$1472=1,1),(CROQUIS_DATOS!$C$1564+(IF(OR(IF(INT(($A698-1)/70)+1&gt;CROQUIS_DATOS!$C$1525,70,MOD($A698-1,70)+1)=1,IF(INT(($A698-1)/70)+1&gt;CROQUIS_DATOS!$C$1525,70,MOD($A698-1,70)+1)&gt;2*CROQUIS_DATOS!$C$1541+1),CROQUIS_DATOS!$C$1476,INDEX($H$8:$H$41,MIN(INT((IF(INT(($A698-1)/70)+1&gt;CROQUIS_DATOS!$C$1525,70,MOD($A698-1,70)+1)-2)/2)+1,CROQUIS_DATOS!$C$1541))))*CROQUIS_DATOS!$C$1561*CROQUIS_DATOS!$C$1562),-1000)</f>
        <v>40.2068965517241</v>
      </c>
    </row>
    <row r="699">
      <c r="A699" t="n">
        <v>692</v>
      </c>
      <c r="N699">
        <f>IF(AND(CROQUIS_DATOS!$C$1472=1,1),(CROQUIS_DATOS!$C$1563+(IF(IF(IF(INT(($A699-1)/70)+1&gt;CROQUIS_DATOS!$C$1525,70,MOD($A699-1,70)+1)=1,0,IF(IF(INT(($A699-1)/70)+1&gt;CROQUIS_DATOS!$C$1525,70,MOD($A699-1,70)+1)&gt;2*CROQUIS_DATOS!$C$1541+1,IF(MOD(CROQUIS_DATOS!$C$1541,2)=1,1,0),IF(MOD(MIN(INT((IF(INT(($A699-1)/70)+1&gt;CROQUIS_DATOS!$C$1525,70,MOD($A699-1,70)+1)-2)/2)+1,CROQUIS_DATOS!$C$1541),2)=1,IF(MOD(IF(INT(($A699-1)/70)+1&gt;CROQUIS_DATOS!$C$1525,70,MOD($A699-1,70)+1)-2,2)=0,0,1),IF(MOD(IF(INT(($A699-1)/70)+1&gt;CROQUIS_DATOS!$C$1525,70,MOD($A699-1,70)+1)-2,2)=0,1,0))))=0,(INDEX($E$8:$E$23,MIN(INT(($A699-1)/70)+1,CROQUIS_DATOS!$C$1525))-INDEX($F$8:$F$23,MIN(INT(($A699-1)/70)+1,CROQUIS_DATOS!$C$1525))/2),(INDEX($E$8:$E$23,MIN(INT(($A699-1)/70)+1,CROQUIS_DATOS!$C$1525))+INDEX($F$8:$F$23,MIN(INT(($A699-1)/70)+1,CROQUIS_DATOS!$C$1525))/2)))*CROQUIS_DATOS!$C$1562),-1000)</f>
        <v>82.8189655172414</v>
      </c>
      <c r="O699">
        <f>IF(AND(CROQUIS_DATOS!$C$1472=1,1),(CROQUIS_DATOS!$C$1564+(IF(OR(IF(INT(($A699-1)/70)+1&gt;CROQUIS_DATOS!$C$1525,70,MOD($A699-1,70)+1)=1,IF(INT(($A699-1)/70)+1&gt;CROQUIS_DATOS!$C$1525,70,MOD($A699-1,70)+1)&gt;2*CROQUIS_DATOS!$C$1541+1),CROQUIS_DATOS!$C$1476,INDEX($H$8:$H$41,MIN(INT((IF(INT(($A699-1)/70)+1&gt;CROQUIS_DATOS!$C$1525,70,MOD($A699-1,70)+1)-2)/2)+1,CROQUIS_DATOS!$C$1541))))*CROQUIS_DATOS!$C$1561*CROQUIS_DATOS!$C$1562),-1000)</f>
        <v>40.2068965517241</v>
      </c>
    </row>
    <row r="700">
      <c r="A700" t="n">
        <v>693</v>
      </c>
      <c r="N700">
        <f>IF(AND(CROQUIS_DATOS!$C$1472=1,1),(CROQUIS_DATOS!$C$1563+(IF(IF(IF(INT(($A700-1)/70)+1&gt;CROQUIS_DATOS!$C$1525,70,MOD($A700-1,70)+1)=1,0,IF(IF(INT(($A700-1)/70)+1&gt;CROQUIS_DATOS!$C$1525,70,MOD($A700-1,70)+1)&gt;2*CROQUIS_DATOS!$C$1541+1,IF(MOD(CROQUIS_DATOS!$C$1541,2)=1,1,0),IF(MOD(MIN(INT((IF(INT(($A700-1)/70)+1&gt;CROQUIS_DATOS!$C$1525,70,MOD($A700-1,70)+1)-2)/2)+1,CROQUIS_DATOS!$C$1541),2)=1,IF(MOD(IF(INT(($A700-1)/70)+1&gt;CROQUIS_DATOS!$C$1525,70,MOD($A700-1,70)+1)-2,2)=0,0,1),IF(MOD(IF(INT(($A700-1)/70)+1&gt;CROQUIS_DATOS!$C$1525,70,MOD($A700-1,70)+1)-2,2)=0,1,0))))=0,(INDEX($E$8:$E$23,MIN(INT(($A700-1)/70)+1,CROQUIS_DATOS!$C$1525))-INDEX($F$8:$F$23,MIN(INT(($A700-1)/70)+1,CROQUIS_DATOS!$C$1525))/2),(INDEX($E$8:$E$23,MIN(INT(($A700-1)/70)+1,CROQUIS_DATOS!$C$1525))+INDEX($F$8:$F$23,MIN(INT(($A700-1)/70)+1,CROQUIS_DATOS!$C$1525))/2)))*CROQUIS_DATOS!$C$1562),-1000)</f>
        <v>82.8189655172414</v>
      </c>
      <c r="O700">
        <f>IF(AND(CROQUIS_DATOS!$C$1472=1,1),(CROQUIS_DATOS!$C$1564+(IF(OR(IF(INT(($A700-1)/70)+1&gt;CROQUIS_DATOS!$C$1525,70,MOD($A700-1,70)+1)=1,IF(INT(($A700-1)/70)+1&gt;CROQUIS_DATOS!$C$1525,70,MOD($A700-1,70)+1)&gt;2*CROQUIS_DATOS!$C$1541+1),CROQUIS_DATOS!$C$1476,INDEX($H$8:$H$41,MIN(INT((IF(INT(($A700-1)/70)+1&gt;CROQUIS_DATOS!$C$1525,70,MOD($A700-1,70)+1)-2)/2)+1,CROQUIS_DATOS!$C$1541))))*CROQUIS_DATOS!$C$1561*CROQUIS_DATOS!$C$1562),-1000)</f>
        <v>40.2068965517241</v>
      </c>
    </row>
    <row r="701">
      <c r="A701" t="n">
        <v>694</v>
      </c>
      <c r="N701">
        <f>IF(AND(CROQUIS_DATOS!$C$1472=1,1),(CROQUIS_DATOS!$C$1563+(IF(IF(IF(INT(($A701-1)/70)+1&gt;CROQUIS_DATOS!$C$1525,70,MOD($A701-1,70)+1)=1,0,IF(IF(INT(($A701-1)/70)+1&gt;CROQUIS_DATOS!$C$1525,70,MOD($A701-1,70)+1)&gt;2*CROQUIS_DATOS!$C$1541+1,IF(MOD(CROQUIS_DATOS!$C$1541,2)=1,1,0),IF(MOD(MIN(INT((IF(INT(($A701-1)/70)+1&gt;CROQUIS_DATOS!$C$1525,70,MOD($A701-1,70)+1)-2)/2)+1,CROQUIS_DATOS!$C$1541),2)=1,IF(MOD(IF(INT(($A701-1)/70)+1&gt;CROQUIS_DATOS!$C$1525,70,MOD($A701-1,70)+1)-2,2)=0,0,1),IF(MOD(IF(INT(($A701-1)/70)+1&gt;CROQUIS_DATOS!$C$1525,70,MOD($A701-1,70)+1)-2,2)=0,1,0))))=0,(INDEX($E$8:$E$23,MIN(INT(($A701-1)/70)+1,CROQUIS_DATOS!$C$1525))-INDEX($F$8:$F$23,MIN(INT(($A701-1)/70)+1,CROQUIS_DATOS!$C$1525))/2),(INDEX($E$8:$E$23,MIN(INT(($A701-1)/70)+1,CROQUIS_DATOS!$C$1525))+INDEX($F$8:$F$23,MIN(INT(($A701-1)/70)+1,CROQUIS_DATOS!$C$1525))/2)))*CROQUIS_DATOS!$C$1562),-1000)</f>
        <v>82.8189655172414</v>
      </c>
      <c r="O701">
        <f>IF(AND(CROQUIS_DATOS!$C$1472=1,1),(CROQUIS_DATOS!$C$1564+(IF(OR(IF(INT(($A701-1)/70)+1&gt;CROQUIS_DATOS!$C$1525,70,MOD($A701-1,70)+1)=1,IF(INT(($A701-1)/70)+1&gt;CROQUIS_DATOS!$C$1525,70,MOD($A701-1,70)+1)&gt;2*CROQUIS_DATOS!$C$1541+1),CROQUIS_DATOS!$C$1476,INDEX($H$8:$H$41,MIN(INT((IF(INT(($A701-1)/70)+1&gt;CROQUIS_DATOS!$C$1525,70,MOD($A701-1,70)+1)-2)/2)+1,CROQUIS_DATOS!$C$1541))))*CROQUIS_DATOS!$C$1561*CROQUIS_DATOS!$C$1562),-1000)</f>
        <v>40.2068965517241</v>
      </c>
    </row>
    <row r="702">
      <c r="A702" t="n">
        <v>695</v>
      </c>
      <c r="N702">
        <f>IF(AND(CROQUIS_DATOS!$C$1472=1,1),(CROQUIS_DATOS!$C$1563+(IF(IF(IF(INT(($A702-1)/70)+1&gt;CROQUIS_DATOS!$C$1525,70,MOD($A702-1,70)+1)=1,0,IF(IF(INT(($A702-1)/70)+1&gt;CROQUIS_DATOS!$C$1525,70,MOD($A702-1,70)+1)&gt;2*CROQUIS_DATOS!$C$1541+1,IF(MOD(CROQUIS_DATOS!$C$1541,2)=1,1,0),IF(MOD(MIN(INT((IF(INT(($A702-1)/70)+1&gt;CROQUIS_DATOS!$C$1525,70,MOD($A702-1,70)+1)-2)/2)+1,CROQUIS_DATOS!$C$1541),2)=1,IF(MOD(IF(INT(($A702-1)/70)+1&gt;CROQUIS_DATOS!$C$1525,70,MOD($A702-1,70)+1)-2,2)=0,0,1),IF(MOD(IF(INT(($A702-1)/70)+1&gt;CROQUIS_DATOS!$C$1525,70,MOD($A702-1,70)+1)-2,2)=0,1,0))))=0,(INDEX($E$8:$E$23,MIN(INT(($A702-1)/70)+1,CROQUIS_DATOS!$C$1525))-INDEX($F$8:$F$23,MIN(INT(($A702-1)/70)+1,CROQUIS_DATOS!$C$1525))/2),(INDEX($E$8:$E$23,MIN(INT(($A702-1)/70)+1,CROQUIS_DATOS!$C$1525))+INDEX($F$8:$F$23,MIN(INT(($A702-1)/70)+1,CROQUIS_DATOS!$C$1525))/2)))*CROQUIS_DATOS!$C$1562),-1000)</f>
        <v>82.8189655172414</v>
      </c>
      <c r="O702">
        <f>IF(AND(CROQUIS_DATOS!$C$1472=1,1),(CROQUIS_DATOS!$C$1564+(IF(OR(IF(INT(($A702-1)/70)+1&gt;CROQUIS_DATOS!$C$1525,70,MOD($A702-1,70)+1)=1,IF(INT(($A702-1)/70)+1&gt;CROQUIS_DATOS!$C$1525,70,MOD($A702-1,70)+1)&gt;2*CROQUIS_DATOS!$C$1541+1),CROQUIS_DATOS!$C$1476,INDEX($H$8:$H$41,MIN(INT((IF(INT(($A702-1)/70)+1&gt;CROQUIS_DATOS!$C$1525,70,MOD($A702-1,70)+1)-2)/2)+1,CROQUIS_DATOS!$C$1541))))*CROQUIS_DATOS!$C$1561*CROQUIS_DATOS!$C$1562),-1000)</f>
        <v>40.2068965517241</v>
      </c>
    </row>
    <row r="703">
      <c r="A703" t="n">
        <v>696</v>
      </c>
      <c r="N703">
        <f>IF(AND(CROQUIS_DATOS!$C$1472=1,1),(CROQUIS_DATOS!$C$1563+(IF(IF(IF(INT(($A703-1)/70)+1&gt;CROQUIS_DATOS!$C$1525,70,MOD($A703-1,70)+1)=1,0,IF(IF(INT(($A703-1)/70)+1&gt;CROQUIS_DATOS!$C$1525,70,MOD($A703-1,70)+1)&gt;2*CROQUIS_DATOS!$C$1541+1,IF(MOD(CROQUIS_DATOS!$C$1541,2)=1,1,0),IF(MOD(MIN(INT((IF(INT(($A703-1)/70)+1&gt;CROQUIS_DATOS!$C$1525,70,MOD($A703-1,70)+1)-2)/2)+1,CROQUIS_DATOS!$C$1541),2)=1,IF(MOD(IF(INT(($A703-1)/70)+1&gt;CROQUIS_DATOS!$C$1525,70,MOD($A703-1,70)+1)-2,2)=0,0,1),IF(MOD(IF(INT(($A703-1)/70)+1&gt;CROQUIS_DATOS!$C$1525,70,MOD($A703-1,70)+1)-2,2)=0,1,0))))=0,(INDEX($E$8:$E$23,MIN(INT(($A703-1)/70)+1,CROQUIS_DATOS!$C$1525))-INDEX($F$8:$F$23,MIN(INT(($A703-1)/70)+1,CROQUIS_DATOS!$C$1525))/2),(INDEX($E$8:$E$23,MIN(INT(($A703-1)/70)+1,CROQUIS_DATOS!$C$1525))+INDEX($F$8:$F$23,MIN(INT(($A703-1)/70)+1,CROQUIS_DATOS!$C$1525))/2)))*CROQUIS_DATOS!$C$1562),-1000)</f>
        <v>82.8189655172414</v>
      </c>
      <c r="O703">
        <f>IF(AND(CROQUIS_DATOS!$C$1472=1,1),(CROQUIS_DATOS!$C$1564+(IF(OR(IF(INT(($A703-1)/70)+1&gt;CROQUIS_DATOS!$C$1525,70,MOD($A703-1,70)+1)=1,IF(INT(($A703-1)/70)+1&gt;CROQUIS_DATOS!$C$1525,70,MOD($A703-1,70)+1)&gt;2*CROQUIS_DATOS!$C$1541+1),CROQUIS_DATOS!$C$1476,INDEX($H$8:$H$41,MIN(INT((IF(INT(($A703-1)/70)+1&gt;CROQUIS_DATOS!$C$1525,70,MOD($A703-1,70)+1)-2)/2)+1,CROQUIS_DATOS!$C$1541))))*CROQUIS_DATOS!$C$1561*CROQUIS_DATOS!$C$1562),-1000)</f>
        <v>40.2068965517241</v>
      </c>
    </row>
    <row r="704">
      <c r="A704" t="n">
        <v>697</v>
      </c>
      <c r="N704">
        <f>IF(AND(CROQUIS_DATOS!$C$1472=1,1),(CROQUIS_DATOS!$C$1563+(IF(IF(IF(INT(($A704-1)/70)+1&gt;CROQUIS_DATOS!$C$1525,70,MOD($A704-1,70)+1)=1,0,IF(IF(INT(($A704-1)/70)+1&gt;CROQUIS_DATOS!$C$1525,70,MOD($A704-1,70)+1)&gt;2*CROQUIS_DATOS!$C$1541+1,IF(MOD(CROQUIS_DATOS!$C$1541,2)=1,1,0),IF(MOD(MIN(INT((IF(INT(($A704-1)/70)+1&gt;CROQUIS_DATOS!$C$1525,70,MOD($A704-1,70)+1)-2)/2)+1,CROQUIS_DATOS!$C$1541),2)=1,IF(MOD(IF(INT(($A704-1)/70)+1&gt;CROQUIS_DATOS!$C$1525,70,MOD($A704-1,70)+1)-2,2)=0,0,1),IF(MOD(IF(INT(($A704-1)/70)+1&gt;CROQUIS_DATOS!$C$1525,70,MOD($A704-1,70)+1)-2,2)=0,1,0))))=0,(INDEX($E$8:$E$23,MIN(INT(($A704-1)/70)+1,CROQUIS_DATOS!$C$1525))-INDEX($F$8:$F$23,MIN(INT(($A704-1)/70)+1,CROQUIS_DATOS!$C$1525))/2),(INDEX($E$8:$E$23,MIN(INT(($A704-1)/70)+1,CROQUIS_DATOS!$C$1525))+INDEX($F$8:$F$23,MIN(INT(($A704-1)/70)+1,CROQUIS_DATOS!$C$1525))/2)))*CROQUIS_DATOS!$C$1562),-1000)</f>
        <v>82.8189655172414</v>
      </c>
      <c r="O704">
        <f>IF(AND(CROQUIS_DATOS!$C$1472=1,1),(CROQUIS_DATOS!$C$1564+(IF(OR(IF(INT(($A704-1)/70)+1&gt;CROQUIS_DATOS!$C$1525,70,MOD($A704-1,70)+1)=1,IF(INT(($A704-1)/70)+1&gt;CROQUIS_DATOS!$C$1525,70,MOD($A704-1,70)+1)&gt;2*CROQUIS_DATOS!$C$1541+1),CROQUIS_DATOS!$C$1476,INDEX($H$8:$H$41,MIN(INT((IF(INT(($A704-1)/70)+1&gt;CROQUIS_DATOS!$C$1525,70,MOD($A704-1,70)+1)-2)/2)+1,CROQUIS_DATOS!$C$1541))))*CROQUIS_DATOS!$C$1561*CROQUIS_DATOS!$C$1562),-1000)</f>
        <v>40.2068965517241</v>
      </c>
    </row>
    <row r="705">
      <c r="A705" t="n">
        <v>698</v>
      </c>
      <c r="N705">
        <f>IF(AND(CROQUIS_DATOS!$C$1472=1,1),(CROQUIS_DATOS!$C$1563+(IF(IF(IF(INT(($A705-1)/70)+1&gt;CROQUIS_DATOS!$C$1525,70,MOD($A705-1,70)+1)=1,0,IF(IF(INT(($A705-1)/70)+1&gt;CROQUIS_DATOS!$C$1525,70,MOD($A705-1,70)+1)&gt;2*CROQUIS_DATOS!$C$1541+1,IF(MOD(CROQUIS_DATOS!$C$1541,2)=1,1,0),IF(MOD(MIN(INT((IF(INT(($A705-1)/70)+1&gt;CROQUIS_DATOS!$C$1525,70,MOD($A705-1,70)+1)-2)/2)+1,CROQUIS_DATOS!$C$1541),2)=1,IF(MOD(IF(INT(($A705-1)/70)+1&gt;CROQUIS_DATOS!$C$1525,70,MOD($A705-1,70)+1)-2,2)=0,0,1),IF(MOD(IF(INT(($A705-1)/70)+1&gt;CROQUIS_DATOS!$C$1525,70,MOD($A705-1,70)+1)-2,2)=0,1,0))))=0,(INDEX($E$8:$E$23,MIN(INT(($A705-1)/70)+1,CROQUIS_DATOS!$C$1525))-INDEX($F$8:$F$23,MIN(INT(($A705-1)/70)+1,CROQUIS_DATOS!$C$1525))/2),(INDEX($E$8:$E$23,MIN(INT(($A705-1)/70)+1,CROQUIS_DATOS!$C$1525))+INDEX($F$8:$F$23,MIN(INT(($A705-1)/70)+1,CROQUIS_DATOS!$C$1525))/2)))*CROQUIS_DATOS!$C$1562),-1000)</f>
        <v>82.8189655172414</v>
      </c>
      <c r="O705">
        <f>IF(AND(CROQUIS_DATOS!$C$1472=1,1),(CROQUIS_DATOS!$C$1564+(IF(OR(IF(INT(($A705-1)/70)+1&gt;CROQUIS_DATOS!$C$1525,70,MOD($A705-1,70)+1)=1,IF(INT(($A705-1)/70)+1&gt;CROQUIS_DATOS!$C$1525,70,MOD($A705-1,70)+1)&gt;2*CROQUIS_DATOS!$C$1541+1),CROQUIS_DATOS!$C$1476,INDEX($H$8:$H$41,MIN(INT((IF(INT(($A705-1)/70)+1&gt;CROQUIS_DATOS!$C$1525,70,MOD($A705-1,70)+1)-2)/2)+1,CROQUIS_DATOS!$C$1541))))*CROQUIS_DATOS!$C$1561*CROQUIS_DATOS!$C$1562),-1000)</f>
        <v>40.2068965517241</v>
      </c>
    </row>
    <row r="706">
      <c r="A706" t="n">
        <v>699</v>
      </c>
      <c r="N706">
        <f>IF(AND(CROQUIS_DATOS!$C$1472=1,1),(CROQUIS_DATOS!$C$1563+(IF(IF(IF(INT(($A706-1)/70)+1&gt;CROQUIS_DATOS!$C$1525,70,MOD($A706-1,70)+1)=1,0,IF(IF(INT(($A706-1)/70)+1&gt;CROQUIS_DATOS!$C$1525,70,MOD($A706-1,70)+1)&gt;2*CROQUIS_DATOS!$C$1541+1,IF(MOD(CROQUIS_DATOS!$C$1541,2)=1,1,0),IF(MOD(MIN(INT((IF(INT(($A706-1)/70)+1&gt;CROQUIS_DATOS!$C$1525,70,MOD($A706-1,70)+1)-2)/2)+1,CROQUIS_DATOS!$C$1541),2)=1,IF(MOD(IF(INT(($A706-1)/70)+1&gt;CROQUIS_DATOS!$C$1525,70,MOD($A706-1,70)+1)-2,2)=0,0,1),IF(MOD(IF(INT(($A706-1)/70)+1&gt;CROQUIS_DATOS!$C$1525,70,MOD($A706-1,70)+1)-2,2)=0,1,0))))=0,(INDEX($E$8:$E$23,MIN(INT(($A706-1)/70)+1,CROQUIS_DATOS!$C$1525))-INDEX($F$8:$F$23,MIN(INT(($A706-1)/70)+1,CROQUIS_DATOS!$C$1525))/2),(INDEX($E$8:$E$23,MIN(INT(($A706-1)/70)+1,CROQUIS_DATOS!$C$1525))+INDEX($F$8:$F$23,MIN(INT(($A706-1)/70)+1,CROQUIS_DATOS!$C$1525))/2)))*CROQUIS_DATOS!$C$1562),-1000)</f>
        <v>82.8189655172414</v>
      </c>
      <c r="O706">
        <f>IF(AND(CROQUIS_DATOS!$C$1472=1,1),(CROQUIS_DATOS!$C$1564+(IF(OR(IF(INT(($A706-1)/70)+1&gt;CROQUIS_DATOS!$C$1525,70,MOD($A706-1,70)+1)=1,IF(INT(($A706-1)/70)+1&gt;CROQUIS_DATOS!$C$1525,70,MOD($A706-1,70)+1)&gt;2*CROQUIS_DATOS!$C$1541+1),CROQUIS_DATOS!$C$1476,INDEX($H$8:$H$41,MIN(INT((IF(INT(($A706-1)/70)+1&gt;CROQUIS_DATOS!$C$1525,70,MOD($A706-1,70)+1)-2)/2)+1,CROQUIS_DATOS!$C$1541))))*CROQUIS_DATOS!$C$1561*CROQUIS_DATOS!$C$1562),-1000)</f>
        <v>40.2068965517241</v>
      </c>
    </row>
    <row r="707">
      <c r="A707" t="n">
        <v>700</v>
      </c>
      <c r="N707">
        <f>IF(AND(CROQUIS_DATOS!$C$1472=1,1),(CROQUIS_DATOS!$C$1563+(IF(IF(IF(INT(($A707-1)/70)+1&gt;CROQUIS_DATOS!$C$1525,70,MOD($A707-1,70)+1)=1,0,IF(IF(INT(($A707-1)/70)+1&gt;CROQUIS_DATOS!$C$1525,70,MOD($A707-1,70)+1)&gt;2*CROQUIS_DATOS!$C$1541+1,IF(MOD(CROQUIS_DATOS!$C$1541,2)=1,1,0),IF(MOD(MIN(INT((IF(INT(($A707-1)/70)+1&gt;CROQUIS_DATOS!$C$1525,70,MOD($A707-1,70)+1)-2)/2)+1,CROQUIS_DATOS!$C$1541),2)=1,IF(MOD(IF(INT(($A707-1)/70)+1&gt;CROQUIS_DATOS!$C$1525,70,MOD($A707-1,70)+1)-2,2)=0,0,1),IF(MOD(IF(INT(($A707-1)/70)+1&gt;CROQUIS_DATOS!$C$1525,70,MOD($A707-1,70)+1)-2,2)=0,1,0))))=0,(INDEX($E$8:$E$23,MIN(INT(($A707-1)/70)+1,CROQUIS_DATOS!$C$1525))-INDEX($F$8:$F$23,MIN(INT(($A707-1)/70)+1,CROQUIS_DATOS!$C$1525))/2),(INDEX($E$8:$E$23,MIN(INT(($A707-1)/70)+1,CROQUIS_DATOS!$C$1525))+INDEX($F$8:$F$23,MIN(INT(($A707-1)/70)+1,CROQUIS_DATOS!$C$1525))/2)))*CROQUIS_DATOS!$C$1562),-1000)</f>
        <v>82.8189655172414</v>
      </c>
      <c r="O707">
        <f>IF(AND(CROQUIS_DATOS!$C$1472=1,1),(CROQUIS_DATOS!$C$1564+(IF(OR(IF(INT(($A707-1)/70)+1&gt;CROQUIS_DATOS!$C$1525,70,MOD($A707-1,70)+1)=1,IF(INT(($A707-1)/70)+1&gt;CROQUIS_DATOS!$C$1525,70,MOD($A707-1,70)+1)&gt;2*CROQUIS_DATOS!$C$1541+1),CROQUIS_DATOS!$C$1476,INDEX($H$8:$H$41,MIN(INT((IF(INT(($A707-1)/70)+1&gt;CROQUIS_DATOS!$C$1525,70,MOD($A707-1,70)+1)-2)/2)+1,CROQUIS_DATOS!$C$1541))))*CROQUIS_DATOS!$C$1561*CROQUIS_DATOS!$C$1562),-1000)</f>
        <v>40.2068965517241</v>
      </c>
    </row>
    <row r="708">
      <c r="A708" t="n">
        <v>701</v>
      </c>
      <c r="N708">
        <f>IF(AND(CROQUIS_DATOS!$C$1472=1,1),(CROQUIS_DATOS!$C$1563+(IF(IF(IF(INT(($A708-1)/70)+1&gt;CROQUIS_DATOS!$C$1525,70,MOD($A708-1,70)+1)=1,0,IF(IF(INT(($A708-1)/70)+1&gt;CROQUIS_DATOS!$C$1525,70,MOD($A708-1,70)+1)&gt;2*CROQUIS_DATOS!$C$1541+1,IF(MOD(CROQUIS_DATOS!$C$1541,2)=1,1,0),IF(MOD(MIN(INT((IF(INT(($A708-1)/70)+1&gt;CROQUIS_DATOS!$C$1525,70,MOD($A708-1,70)+1)-2)/2)+1,CROQUIS_DATOS!$C$1541),2)=1,IF(MOD(IF(INT(($A708-1)/70)+1&gt;CROQUIS_DATOS!$C$1525,70,MOD($A708-1,70)+1)-2,2)=0,0,1),IF(MOD(IF(INT(($A708-1)/70)+1&gt;CROQUIS_DATOS!$C$1525,70,MOD($A708-1,70)+1)-2,2)=0,1,0))))=0,(INDEX($E$8:$E$23,MIN(INT(($A708-1)/70)+1,CROQUIS_DATOS!$C$1525))-INDEX($F$8:$F$23,MIN(INT(($A708-1)/70)+1,CROQUIS_DATOS!$C$1525))/2),(INDEX($E$8:$E$23,MIN(INT(($A708-1)/70)+1,CROQUIS_DATOS!$C$1525))+INDEX($F$8:$F$23,MIN(INT(($A708-1)/70)+1,CROQUIS_DATOS!$C$1525))/2)))*CROQUIS_DATOS!$C$1562),-1000)</f>
        <v>82.8189655172414</v>
      </c>
      <c r="O708">
        <f>IF(AND(CROQUIS_DATOS!$C$1472=1,1),(CROQUIS_DATOS!$C$1564+(IF(OR(IF(INT(($A708-1)/70)+1&gt;CROQUIS_DATOS!$C$1525,70,MOD($A708-1,70)+1)=1,IF(INT(($A708-1)/70)+1&gt;CROQUIS_DATOS!$C$1525,70,MOD($A708-1,70)+1)&gt;2*CROQUIS_DATOS!$C$1541+1),CROQUIS_DATOS!$C$1476,INDEX($H$8:$H$41,MIN(INT((IF(INT(($A708-1)/70)+1&gt;CROQUIS_DATOS!$C$1525,70,MOD($A708-1,70)+1)-2)/2)+1,CROQUIS_DATOS!$C$1541))))*CROQUIS_DATOS!$C$1561*CROQUIS_DATOS!$C$1562),-1000)</f>
        <v>40.2068965517241</v>
      </c>
    </row>
    <row r="709">
      <c r="A709" t="n">
        <v>702</v>
      </c>
      <c r="N709">
        <f>IF(AND(CROQUIS_DATOS!$C$1472=1,1),(CROQUIS_DATOS!$C$1563+(IF(IF(IF(INT(($A709-1)/70)+1&gt;CROQUIS_DATOS!$C$1525,70,MOD($A709-1,70)+1)=1,0,IF(IF(INT(($A709-1)/70)+1&gt;CROQUIS_DATOS!$C$1525,70,MOD($A709-1,70)+1)&gt;2*CROQUIS_DATOS!$C$1541+1,IF(MOD(CROQUIS_DATOS!$C$1541,2)=1,1,0),IF(MOD(MIN(INT((IF(INT(($A709-1)/70)+1&gt;CROQUIS_DATOS!$C$1525,70,MOD($A709-1,70)+1)-2)/2)+1,CROQUIS_DATOS!$C$1541),2)=1,IF(MOD(IF(INT(($A709-1)/70)+1&gt;CROQUIS_DATOS!$C$1525,70,MOD($A709-1,70)+1)-2,2)=0,0,1),IF(MOD(IF(INT(($A709-1)/70)+1&gt;CROQUIS_DATOS!$C$1525,70,MOD($A709-1,70)+1)-2,2)=0,1,0))))=0,(INDEX($E$8:$E$23,MIN(INT(($A709-1)/70)+1,CROQUIS_DATOS!$C$1525))-INDEX($F$8:$F$23,MIN(INT(($A709-1)/70)+1,CROQUIS_DATOS!$C$1525))/2),(INDEX($E$8:$E$23,MIN(INT(($A709-1)/70)+1,CROQUIS_DATOS!$C$1525))+INDEX($F$8:$F$23,MIN(INT(($A709-1)/70)+1,CROQUIS_DATOS!$C$1525))/2)))*CROQUIS_DATOS!$C$1562),-1000)</f>
        <v>82.8189655172414</v>
      </c>
      <c r="O709">
        <f>IF(AND(CROQUIS_DATOS!$C$1472=1,1),(CROQUIS_DATOS!$C$1564+(IF(OR(IF(INT(($A709-1)/70)+1&gt;CROQUIS_DATOS!$C$1525,70,MOD($A709-1,70)+1)=1,IF(INT(($A709-1)/70)+1&gt;CROQUIS_DATOS!$C$1525,70,MOD($A709-1,70)+1)&gt;2*CROQUIS_DATOS!$C$1541+1),CROQUIS_DATOS!$C$1476,INDEX($H$8:$H$41,MIN(INT((IF(INT(($A709-1)/70)+1&gt;CROQUIS_DATOS!$C$1525,70,MOD($A709-1,70)+1)-2)/2)+1,CROQUIS_DATOS!$C$1541))))*CROQUIS_DATOS!$C$1561*CROQUIS_DATOS!$C$1562),-1000)</f>
        <v>40.2068965517241</v>
      </c>
    </row>
    <row r="710">
      <c r="A710" t="n">
        <v>703</v>
      </c>
      <c r="N710">
        <f>IF(AND(CROQUIS_DATOS!$C$1472=1,1),(CROQUIS_DATOS!$C$1563+(IF(IF(IF(INT(($A710-1)/70)+1&gt;CROQUIS_DATOS!$C$1525,70,MOD($A710-1,70)+1)=1,0,IF(IF(INT(($A710-1)/70)+1&gt;CROQUIS_DATOS!$C$1525,70,MOD($A710-1,70)+1)&gt;2*CROQUIS_DATOS!$C$1541+1,IF(MOD(CROQUIS_DATOS!$C$1541,2)=1,1,0),IF(MOD(MIN(INT((IF(INT(($A710-1)/70)+1&gt;CROQUIS_DATOS!$C$1525,70,MOD($A710-1,70)+1)-2)/2)+1,CROQUIS_DATOS!$C$1541),2)=1,IF(MOD(IF(INT(($A710-1)/70)+1&gt;CROQUIS_DATOS!$C$1525,70,MOD($A710-1,70)+1)-2,2)=0,0,1),IF(MOD(IF(INT(($A710-1)/70)+1&gt;CROQUIS_DATOS!$C$1525,70,MOD($A710-1,70)+1)-2,2)=0,1,0))))=0,(INDEX($E$8:$E$23,MIN(INT(($A710-1)/70)+1,CROQUIS_DATOS!$C$1525))-INDEX($F$8:$F$23,MIN(INT(($A710-1)/70)+1,CROQUIS_DATOS!$C$1525))/2),(INDEX($E$8:$E$23,MIN(INT(($A710-1)/70)+1,CROQUIS_DATOS!$C$1525))+INDEX($F$8:$F$23,MIN(INT(($A710-1)/70)+1,CROQUIS_DATOS!$C$1525))/2)))*CROQUIS_DATOS!$C$1562),-1000)</f>
        <v>82.8189655172414</v>
      </c>
      <c r="O710">
        <f>IF(AND(CROQUIS_DATOS!$C$1472=1,1),(CROQUIS_DATOS!$C$1564+(IF(OR(IF(INT(($A710-1)/70)+1&gt;CROQUIS_DATOS!$C$1525,70,MOD($A710-1,70)+1)=1,IF(INT(($A710-1)/70)+1&gt;CROQUIS_DATOS!$C$1525,70,MOD($A710-1,70)+1)&gt;2*CROQUIS_DATOS!$C$1541+1),CROQUIS_DATOS!$C$1476,INDEX($H$8:$H$41,MIN(INT((IF(INT(($A710-1)/70)+1&gt;CROQUIS_DATOS!$C$1525,70,MOD($A710-1,70)+1)-2)/2)+1,CROQUIS_DATOS!$C$1541))))*CROQUIS_DATOS!$C$1561*CROQUIS_DATOS!$C$1562),-1000)</f>
        <v>40.2068965517241</v>
      </c>
    </row>
    <row r="711">
      <c r="A711" t="n">
        <v>704</v>
      </c>
      <c r="N711">
        <f>IF(AND(CROQUIS_DATOS!$C$1472=1,1),(CROQUIS_DATOS!$C$1563+(IF(IF(IF(INT(($A711-1)/70)+1&gt;CROQUIS_DATOS!$C$1525,70,MOD($A711-1,70)+1)=1,0,IF(IF(INT(($A711-1)/70)+1&gt;CROQUIS_DATOS!$C$1525,70,MOD($A711-1,70)+1)&gt;2*CROQUIS_DATOS!$C$1541+1,IF(MOD(CROQUIS_DATOS!$C$1541,2)=1,1,0),IF(MOD(MIN(INT((IF(INT(($A711-1)/70)+1&gt;CROQUIS_DATOS!$C$1525,70,MOD($A711-1,70)+1)-2)/2)+1,CROQUIS_DATOS!$C$1541),2)=1,IF(MOD(IF(INT(($A711-1)/70)+1&gt;CROQUIS_DATOS!$C$1525,70,MOD($A711-1,70)+1)-2,2)=0,0,1),IF(MOD(IF(INT(($A711-1)/70)+1&gt;CROQUIS_DATOS!$C$1525,70,MOD($A711-1,70)+1)-2,2)=0,1,0))))=0,(INDEX($E$8:$E$23,MIN(INT(($A711-1)/70)+1,CROQUIS_DATOS!$C$1525))-INDEX($F$8:$F$23,MIN(INT(($A711-1)/70)+1,CROQUIS_DATOS!$C$1525))/2),(INDEX($E$8:$E$23,MIN(INT(($A711-1)/70)+1,CROQUIS_DATOS!$C$1525))+INDEX($F$8:$F$23,MIN(INT(($A711-1)/70)+1,CROQUIS_DATOS!$C$1525))/2)))*CROQUIS_DATOS!$C$1562),-1000)</f>
        <v>82.8189655172414</v>
      </c>
      <c r="O711">
        <f>IF(AND(CROQUIS_DATOS!$C$1472=1,1),(CROQUIS_DATOS!$C$1564+(IF(OR(IF(INT(($A711-1)/70)+1&gt;CROQUIS_DATOS!$C$1525,70,MOD($A711-1,70)+1)=1,IF(INT(($A711-1)/70)+1&gt;CROQUIS_DATOS!$C$1525,70,MOD($A711-1,70)+1)&gt;2*CROQUIS_DATOS!$C$1541+1),CROQUIS_DATOS!$C$1476,INDEX($H$8:$H$41,MIN(INT((IF(INT(($A711-1)/70)+1&gt;CROQUIS_DATOS!$C$1525,70,MOD($A711-1,70)+1)-2)/2)+1,CROQUIS_DATOS!$C$1541))))*CROQUIS_DATOS!$C$1561*CROQUIS_DATOS!$C$1562),-1000)</f>
        <v>40.2068965517241</v>
      </c>
    </row>
    <row r="712">
      <c r="A712" t="n">
        <v>705</v>
      </c>
      <c r="N712">
        <f>IF(AND(CROQUIS_DATOS!$C$1472=1,1),(CROQUIS_DATOS!$C$1563+(IF(IF(IF(INT(($A712-1)/70)+1&gt;CROQUIS_DATOS!$C$1525,70,MOD($A712-1,70)+1)=1,0,IF(IF(INT(($A712-1)/70)+1&gt;CROQUIS_DATOS!$C$1525,70,MOD($A712-1,70)+1)&gt;2*CROQUIS_DATOS!$C$1541+1,IF(MOD(CROQUIS_DATOS!$C$1541,2)=1,1,0),IF(MOD(MIN(INT((IF(INT(($A712-1)/70)+1&gt;CROQUIS_DATOS!$C$1525,70,MOD($A712-1,70)+1)-2)/2)+1,CROQUIS_DATOS!$C$1541),2)=1,IF(MOD(IF(INT(($A712-1)/70)+1&gt;CROQUIS_DATOS!$C$1525,70,MOD($A712-1,70)+1)-2,2)=0,0,1),IF(MOD(IF(INT(($A712-1)/70)+1&gt;CROQUIS_DATOS!$C$1525,70,MOD($A712-1,70)+1)-2,2)=0,1,0))))=0,(INDEX($E$8:$E$23,MIN(INT(($A712-1)/70)+1,CROQUIS_DATOS!$C$1525))-INDEX($F$8:$F$23,MIN(INT(($A712-1)/70)+1,CROQUIS_DATOS!$C$1525))/2),(INDEX($E$8:$E$23,MIN(INT(($A712-1)/70)+1,CROQUIS_DATOS!$C$1525))+INDEX($F$8:$F$23,MIN(INT(($A712-1)/70)+1,CROQUIS_DATOS!$C$1525))/2)))*CROQUIS_DATOS!$C$1562),-1000)</f>
        <v>82.8189655172414</v>
      </c>
      <c r="O712">
        <f>IF(AND(CROQUIS_DATOS!$C$1472=1,1),(CROQUIS_DATOS!$C$1564+(IF(OR(IF(INT(($A712-1)/70)+1&gt;CROQUIS_DATOS!$C$1525,70,MOD($A712-1,70)+1)=1,IF(INT(($A712-1)/70)+1&gt;CROQUIS_DATOS!$C$1525,70,MOD($A712-1,70)+1)&gt;2*CROQUIS_DATOS!$C$1541+1),CROQUIS_DATOS!$C$1476,INDEX($H$8:$H$41,MIN(INT((IF(INT(($A712-1)/70)+1&gt;CROQUIS_DATOS!$C$1525,70,MOD($A712-1,70)+1)-2)/2)+1,CROQUIS_DATOS!$C$1541))))*CROQUIS_DATOS!$C$1561*CROQUIS_DATOS!$C$1562),-1000)</f>
        <v>40.2068965517241</v>
      </c>
    </row>
    <row r="713">
      <c r="A713" t="n">
        <v>706</v>
      </c>
      <c r="N713">
        <f>IF(AND(CROQUIS_DATOS!$C$1472=1,1),(CROQUIS_DATOS!$C$1563+(IF(IF(IF(INT(($A713-1)/70)+1&gt;CROQUIS_DATOS!$C$1525,70,MOD($A713-1,70)+1)=1,0,IF(IF(INT(($A713-1)/70)+1&gt;CROQUIS_DATOS!$C$1525,70,MOD($A713-1,70)+1)&gt;2*CROQUIS_DATOS!$C$1541+1,IF(MOD(CROQUIS_DATOS!$C$1541,2)=1,1,0),IF(MOD(MIN(INT((IF(INT(($A713-1)/70)+1&gt;CROQUIS_DATOS!$C$1525,70,MOD($A713-1,70)+1)-2)/2)+1,CROQUIS_DATOS!$C$1541),2)=1,IF(MOD(IF(INT(($A713-1)/70)+1&gt;CROQUIS_DATOS!$C$1525,70,MOD($A713-1,70)+1)-2,2)=0,0,1),IF(MOD(IF(INT(($A713-1)/70)+1&gt;CROQUIS_DATOS!$C$1525,70,MOD($A713-1,70)+1)-2,2)=0,1,0))))=0,(INDEX($E$8:$E$23,MIN(INT(($A713-1)/70)+1,CROQUIS_DATOS!$C$1525))-INDEX($F$8:$F$23,MIN(INT(($A713-1)/70)+1,CROQUIS_DATOS!$C$1525))/2),(INDEX($E$8:$E$23,MIN(INT(($A713-1)/70)+1,CROQUIS_DATOS!$C$1525))+INDEX($F$8:$F$23,MIN(INT(($A713-1)/70)+1,CROQUIS_DATOS!$C$1525))/2)))*CROQUIS_DATOS!$C$1562),-1000)</f>
        <v>82.8189655172414</v>
      </c>
      <c r="O713">
        <f>IF(AND(CROQUIS_DATOS!$C$1472=1,1),(CROQUIS_DATOS!$C$1564+(IF(OR(IF(INT(($A713-1)/70)+1&gt;CROQUIS_DATOS!$C$1525,70,MOD($A713-1,70)+1)=1,IF(INT(($A713-1)/70)+1&gt;CROQUIS_DATOS!$C$1525,70,MOD($A713-1,70)+1)&gt;2*CROQUIS_DATOS!$C$1541+1),CROQUIS_DATOS!$C$1476,INDEX($H$8:$H$41,MIN(INT((IF(INT(($A713-1)/70)+1&gt;CROQUIS_DATOS!$C$1525,70,MOD($A713-1,70)+1)-2)/2)+1,CROQUIS_DATOS!$C$1541))))*CROQUIS_DATOS!$C$1561*CROQUIS_DATOS!$C$1562),-1000)</f>
        <v>40.2068965517241</v>
      </c>
    </row>
    <row r="714">
      <c r="A714" t="n">
        <v>707</v>
      </c>
      <c r="N714">
        <f>IF(AND(CROQUIS_DATOS!$C$1472=1,1),(CROQUIS_DATOS!$C$1563+(IF(IF(IF(INT(($A714-1)/70)+1&gt;CROQUIS_DATOS!$C$1525,70,MOD($A714-1,70)+1)=1,0,IF(IF(INT(($A714-1)/70)+1&gt;CROQUIS_DATOS!$C$1525,70,MOD($A714-1,70)+1)&gt;2*CROQUIS_DATOS!$C$1541+1,IF(MOD(CROQUIS_DATOS!$C$1541,2)=1,1,0),IF(MOD(MIN(INT((IF(INT(($A714-1)/70)+1&gt;CROQUIS_DATOS!$C$1525,70,MOD($A714-1,70)+1)-2)/2)+1,CROQUIS_DATOS!$C$1541),2)=1,IF(MOD(IF(INT(($A714-1)/70)+1&gt;CROQUIS_DATOS!$C$1525,70,MOD($A714-1,70)+1)-2,2)=0,0,1),IF(MOD(IF(INT(($A714-1)/70)+1&gt;CROQUIS_DATOS!$C$1525,70,MOD($A714-1,70)+1)-2,2)=0,1,0))))=0,(INDEX($E$8:$E$23,MIN(INT(($A714-1)/70)+1,CROQUIS_DATOS!$C$1525))-INDEX($F$8:$F$23,MIN(INT(($A714-1)/70)+1,CROQUIS_DATOS!$C$1525))/2),(INDEX($E$8:$E$23,MIN(INT(($A714-1)/70)+1,CROQUIS_DATOS!$C$1525))+INDEX($F$8:$F$23,MIN(INT(($A714-1)/70)+1,CROQUIS_DATOS!$C$1525))/2)))*CROQUIS_DATOS!$C$1562),-1000)</f>
        <v>82.8189655172414</v>
      </c>
      <c r="O714">
        <f>IF(AND(CROQUIS_DATOS!$C$1472=1,1),(CROQUIS_DATOS!$C$1564+(IF(OR(IF(INT(($A714-1)/70)+1&gt;CROQUIS_DATOS!$C$1525,70,MOD($A714-1,70)+1)=1,IF(INT(($A714-1)/70)+1&gt;CROQUIS_DATOS!$C$1525,70,MOD($A714-1,70)+1)&gt;2*CROQUIS_DATOS!$C$1541+1),CROQUIS_DATOS!$C$1476,INDEX($H$8:$H$41,MIN(INT((IF(INT(($A714-1)/70)+1&gt;CROQUIS_DATOS!$C$1525,70,MOD($A714-1,70)+1)-2)/2)+1,CROQUIS_DATOS!$C$1541))))*CROQUIS_DATOS!$C$1561*CROQUIS_DATOS!$C$1562),-1000)</f>
        <v>40.2068965517241</v>
      </c>
    </row>
    <row r="715">
      <c r="A715" t="n">
        <v>708</v>
      </c>
      <c r="N715">
        <f>IF(AND(CROQUIS_DATOS!$C$1472=1,1),(CROQUIS_DATOS!$C$1563+(IF(IF(IF(INT(($A715-1)/70)+1&gt;CROQUIS_DATOS!$C$1525,70,MOD($A715-1,70)+1)=1,0,IF(IF(INT(($A715-1)/70)+1&gt;CROQUIS_DATOS!$C$1525,70,MOD($A715-1,70)+1)&gt;2*CROQUIS_DATOS!$C$1541+1,IF(MOD(CROQUIS_DATOS!$C$1541,2)=1,1,0),IF(MOD(MIN(INT((IF(INT(($A715-1)/70)+1&gt;CROQUIS_DATOS!$C$1525,70,MOD($A715-1,70)+1)-2)/2)+1,CROQUIS_DATOS!$C$1541),2)=1,IF(MOD(IF(INT(($A715-1)/70)+1&gt;CROQUIS_DATOS!$C$1525,70,MOD($A715-1,70)+1)-2,2)=0,0,1),IF(MOD(IF(INT(($A715-1)/70)+1&gt;CROQUIS_DATOS!$C$1525,70,MOD($A715-1,70)+1)-2,2)=0,1,0))))=0,(INDEX($E$8:$E$23,MIN(INT(($A715-1)/70)+1,CROQUIS_DATOS!$C$1525))-INDEX($F$8:$F$23,MIN(INT(($A715-1)/70)+1,CROQUIS_DATOS!$C$1525))/2),(INDEX($E$8:$E$23,MIN(INT(($A715-1)/70)+1,CROQUIS_DATOS!$C$1525))+INDEX($F$8:$F$23,MIN(INT(($A715-1)/70)+1,CROQUIS_DATOS!$C$1525))/2)))*CROQUIS_DATOS!$C$1562),-1000)</f>
        <v>82.8189655172414</v>
      </c>
      <c r="O715">
        <f>IF(AND(CROQUIS_DATOS!$C$1472=1,1),(CROQUIS_DATOS!$C$1564+(IF(OR(IF(INT(($A715-1)/70)+1&gt;CROQUIS_DATOS!$C$1525,70,MOD($A715-1,70)+1)=1,IF(INT(($A715-1)/70)+1&gt;CROQUIS_DATOS!$C$1525,70,MOD($A715-1,70)+1)&gt;2*CROQUIS_DATOS!$C$1541+1),CROQUIS_DATOS!$C$1476,INDEX($H$8:$H$41,MIN(INT((IF(INT(($A715-1)/70)+1&gt;CROQUIS_DATOS!$C$1525,70,MOD($A715-1,70)+1)-2)/2)+1,CROQUIS_DATOS!$C$1541))))*CROQUIS_DATOS!$C$1561*CROQUIS_DATOS!$C$1562),-1000)</f>
        <v>40.2068965517241</v>
      </c>
    </row>
    <row r="716">
      <c r="A716" t="n">
        <v>709</v>
      </c>
      <c r="N716">
        <f>IF(AND(CROQUIS_DATOS!$C$1472=1,1),(CROQUIS_DATOS!$C$1563+(IF(IF(IF(INT(($A716-1)/70)+1&gt;CROQUIS_DATOS!$C$1525,70,MOD($A716-1,70)+1)=1,0,IF(IF(INT(($A716-1)/70)+1&gt;CROQUIS_DATOS!$C$1525,70,MOD($A716-1,70)+1)&gt;2*CROQUIS_DATOS!$C$1541+1,IF(MOD(CROQUIS_DATOS!$C$1541,2)=1,1,0),IF(MOD(MIN(INT((IF(INT(($A716-1)/70)+1&gt;CROQUIS_DATOS!$C$1525,70,MOD($A716-1,70)+1)-2)/2)+1,CROQUIS_DATOS!$C$1541),2)=1,IF(MOD(IF(INT(($A716-1)/70)+1&gt;CROQUIS_DATOS!$C$1525,70,MOD($A716-1,70)+1)-2,2)=0,0,1),IF(MOD(IF(INT(($A716-1)/70)+1&gt;CROQUIS_DATOS!$C$1525,70,MOD($A716-1,70)+1)-2,2)=0,1,0))))=0,(INDEX($E$8:$E$23,MIN(INT(($A716-1)/70)+1,CROQUIS_DATOS!$C$1525))-INDEX($F$8:$F$23,MIN(INT(($A716-1)/70)+1,CROQUIS_DATOS!$C$1525))/2),(INDEX($E$8:$E$23,MIN(INT(($A716-1)/70)+1,CROQUIS_DATOS!$C$1525))+INDEX($F$8:$F$23,MIN(INT(($A716-1)/70)+1,CROQUIS_DATOS!$C$1525))/2)))*CROQUIS_DATOS!$C$1562),-1000)</f>
        <v>82.8189655172414</v>
      </c>
      <c r="O716">
        <f>IF(AND(CROQUIS_DATOS!$C$1472=1,1),(CROQUIS_DATOS!$C$1564+(IF(OR(IF(INT(($A716-1)/70)+1&gt;CROQUIS_DATOS!$C$1525,70,MOD($A716-1,70)+1)=1,IF(INT(($A716-1)/70)+1&gt;CROQUIS_DATOS!$C$1525,70,MOD($A716-1,70)+1)&gt;2*CROQUIS_DATOS!$C$1541+1),CROQUIS_DATOS!$C$1476,INDEX($H$8:$H$41,MIN(INT((IF(INT(($A716-1)/70)+1&gt;CROQUIS_DATOS!$C$1525,70,MOD($A716-1,70)+1)-2)/2)+1,CROQUIS_DATOS!$C$1541))))*CROQUIS_DATOS!$C$1561*CROQUIS_DATOS!$C$1562),-1000)</f>
        <v>40.2068965517241</v>
      </c>
    </row>
    <row r="717">
      <c r="A717" t="n">
        <v>710</v>
      </c>
      <c r="N717">
        <f>IF(AND(CROQUIS_DATOS!$C$1472=1,1),(CROQUIS_DATOS!$C$1563+(IF(IF(IF(INT(($A717-1)/70)+1&gt;CROQUIS_DATOS!$C$1525,70,MOD($A717-1,70)+1)=1,0,IF(IF(INT(($A717-1)/70)+1&gt;CROQUIS_DATOS!$C$1525,70,MOD($A717-1,70)+1)&gt;2*CROQUIS_DATOS!$C$1541+1,IF(MOD(CROQUIS_DATOS!$C$1541,2)=1,1,0),IF(MOD(MIN(INT((IF(INT(($A717-1)/70)+1&gt;CROQUIS_DATOS!$C$1525,70,MOD($A717-1,70)+1)-2)/2)+1,CROQUIS_DATOS!$C$1541),2)=1,IF(MOD(IF(INT(($A717-1)/70)+1&gt;CROQUIS_DATOS!$C$1525,70,MOD($A717-1,70)+1)-2,2)=0,0,1),IF(MOD(IF(INT(($A717-1)/70)+1&gt;CROQUIS_DATOS!$C$1525,70,MOD($A717-1,70)+1)-2,2)=0,1,0))))=0,(INDEX($E$8:$E$23,MIN(INT(($A717-1)/70)+1,CROQUIS_DATOS!$C$1525))-INDEX($F$8:$F$23,MIN(INT(($A717-1)/70)+1,CROQUIS_DATOS!$C$1525))/2),(INDEX($E$8:$E$23,MIN(INT(($A717-1)/70)+1,CROQUIS_DATOS!$C$1525))+INDEX($F$8:$F$23,MIN(INT(($A717-1)/70)+1,CROQUIS_DATOS!$C$1525))/2)))*CROQUIS_DATOS!$C$1562),-1000)</f>
        <v>82.8189655172414</v>
      </c>
      <c r="O717">
        <f>IF(AND(CROQUIS_DATOS!$C$1472=1,1),(CROQUIS_DATOS!$C$1564+(IF(OR(IF(INT(($A717-1)/70)+1&gt;CROQUIS_DATOS!$C$1525,70,MOD($A717-1,70)+1)=1,IF(INT(($A717-1)/70)+1&gt;CROQUIS_DATOS!$C$1525,70,MOD($A717-1,70)+1)&gt;2*CROQUIS_DATOS!$C$1541+1),CROQUIS_DATOS!$C$1476,INDEX($H$8:$H$41,MIN(INT((IF(INT(($A717-1)/70)+1&gt;CROQUIS_DATOS!$C$1525,70,MOD($A717-1,70)+1)-2)/2)+1,CROQUIS_DATOS!$C$1541))))*CROQUIS_DATOS!$C$1561*CROQUIS_DATOS!$C$1562),-1000)</f>
        <v>40.2068965517241</v>
      </c>
    </row>
    <row r="718">
      <c r="A718" t="n">
        <v>711</v>
      </c>
      <c r="N718">
        <f>IF(AND(CROQUIS_DATOS!$C$1472=1,1),(CROQUIS_DATOS!$C$1563+(IF(IF(IF(INT(($A718-1)/70)+1&gt;CROQUIS_DATOS!$C$1525,70,MOD($A718-1,70)+1)=1,0,IF(IF(INT(($A718-1)/70)+1&gt;CROQUIS_DATOS!$C$1525,70,MOD($A718-1,70)+1)&gt;2*CROQUIS_DATOS!$C$1541+1,IF(MOD(CROQUIS_DATOS!$C$1541,2)=1,1,0),IF(MOD(MIN(INT((IF(INT(($A718-1)/70)+1&gt;CROQUIS_DATOS!$C$1525,70,MOD($A718-1,70)+1)-2)/2)+1,CROQUIS_DATOS!$C$1541),2)=1,IF(MOD(IF(INT(($A718-1)/70)+1&gt;CROQUIS_DATOS!$C$1525,70,MOD($A718-1,70)+1)-2,2)=0,0,1),IF(MOD(IF(INT(($A718-1)/70)+1&gt;CROQUIS_DATOS!$C$1525,70,MOD($A718-1,70)+1)-2,2)=0,1,0))))=0,(INDEX($E$8:$E$23,MIN(INT(($A718-1)/70)+1,CROQUIS_DATOS!$C$1525))-INDEX($F$8:$F$23,MIN(INT(($A718-1)/70)+1,CROQUIS_DATOS!$C$1525))/2),(INDEX($E$8:$E$23,MIN(INT(($A718-1)/70)+1,CROQUIS_DATOS!$C$1525))+INDEX($F$8:$F$23,MIN(INT(($A718-1)/70)+1,CROQUIS_DATOS!$C$1525))/2)))*CROQUIS_DATOS!$C$1562),-1000)</f>
        <v>82.8189655172414</v>
      </c>
      <c r="O718">
        <f>IF(AND(CROQUIS_DATOS!$C$1472=1,1),(CROQUIS_DATOS!$C$1564+(IF(OR(IF(INT(($A718-1)/70)+1&gt;CROQUIS_DATOS!$C$1525,70,MOD($A718-1,70)+1)=1,IF(INT(($A718-1)/70)+1&gt;CROQUIS_DATOS!$C$1525,70,MOD($A718-1,70)+1)&gt;2*CROQUIS_DATOS!$C$1541+1),CROQUIS_DATOS!$C$1476,INDEX($H$8:$H$41,MIN(INT((IF(INT(($A718-1)/70)+1&gt;CROQUIS_DATOS!$C$1525,70,MOD($A718-1,70)+1)-2)/2)+1,CROQUIS_DATOS!$C$1541))))*CROQUIS_DATOS!$C$1561*CROQUIS_DATOS!$C$1562),-1000)</f>
        <v>40.2068965517241</v>
      </c>
    </row>
    <row r="719">
      <c r="A719" t="n">
        <v>712</v>
      </c>
      <c r="N719">
        <f>IF(AND(CROQUIS_DATOS!$C$1472=1,1),(CROQUIS_DATOS!$C$1563+(IF(IF(IF(INT(($A719-1)/70)+1&gt;CROQUIS_DATOS!$C$1525,70,MOD($A719-1,70)+1)=1,0,IF(IF(INT(($A719-1)/70)+1&gt;CROQUIS_DATOS!$C$1525,70,MOD($A719-1,70)+1)&gt;2*CROQUIS_DATOS!$C$1541+1,IF(MOD(CROQUIS_DATOS!$C$1541,2)=1,1,0),IF(MOD(MIN(INT((IF(INT(($A719-1)/70)+1&gt;CROQUIS_DATOS!$C$1525,70,MOD($A719-1,70)+1)-2)/2)+1,CROQUIS_DATOS!$C$1541),2)=1,IF(MOD(IF(INT(($A719-1)/70)+1&gt;CROQUIS_DATOS!$C$1525,70,MOD($A719-1,70)+1)-2,2)=0,0,1),IF(MOD(IF(INT(($A719-1)/70)+1&gt;CROQUIS_DATOS!$C$1525,70,MOD($A719-1,70)+1)-2,2)=0,1,0))))=0,(INDEX($E$8:$E$23,MIN(INT(($A719-1)/70)+1,CROQUIS_DATOS!$C$1525))-INDEX($F$8:$F$23,MIN(INT(($A719-1)/70)+1,CROQUIS_DATOS!$C$1525))/2),(INDEX($E$8:$E$23,MIN(INT(($A719-1)/70)+1,CROQUIS_DATOS!$C$1525))+INDEX($F$8:$F$23,MIN(INT(($A719-1)/70)+1,CROQUIS_DATOS!$C$1525))/2)))*CROQUIS_DATOS!$C$1562),-1000)</f>
        <v>82.8189655172414</v>
      </c>
      <c r="O719">
        <f>IF(AND(CROQUIS_DATOS!$C$1472=1,1),(CROQUIS_DATOS!$C$1564+(IF(OR(IF(INT(($A719-1)/70)+1&gt;CROQUIS_DATOS!$C$1525,70,MOD($A719-1,70)+1)=1,IF(INT(($A719-1)/70)+1&gt;CROQUIS_DATOS!$C$1525,70,MOD($A719-1,70)+1)&gt;2*CROQUIS_DATOS!$C$1541+1),CROQUIS_DATOS!$C$1476,INDEX($H$8:$H$41,MIN(INT((IF(INT(($A719-1)/70)+1&gt;CROQUIS_DATOS!$C$1525,70,MOD($A719-1,70)+1)-2)/2)+1,CROQUIS_DATOS!$C$1541))))*CROQUIS_DATOS!$C$1561*CROQUIS_DATOS!$C$1562),-1000)</f>
        <v>40.2068965517241</v>
      </c>
    </row>
    <row r="720">
      <c r="A720" t="n">
        <v>713</v>
      </c>
      <c r="N720">
        <f>IF(AND(CROQUIS_DATOS!$C$1472=1,1),(CROQUIS_DATOS!$C$1563+(IF(IF(IF(INT(($A720-1)/70)+1&gt;CROQUIS_DATOS!$C$1525,70,MOD($A720-1,70)+1)=1,0,IF(IF(INT(($A720-1)/70)+1&gt;CROQUIS_DATOS!$C$1525,70,MOD($A720-1,70)+1)&gt;2*CROQUIS_DATOS!$C$1541+1,IF(MOD(CROQUIS_DATOS!$C$1541,2)=1,1,0),IF(MOD(MIN(INT((IF(INT(($A720-1)/70)+1&gt;CROQUIS_DATOS!$C$1525,70,MOD($A720-1,70)+1)-2)/2)+1,CROQUIS_DATOS!$C$1541),2)=1,IF(MOD(IF(INT(($A720-1)/70)+1&gt;CROQUIS_DATOS!$C$1525,70,MOD($A720-1,70)+1)-2,2)=0,0,1),IF(MOD(IF(INT(($A720-1)/70)+1&gt;CROQUIS_DATOS!$C$1525,70,MOD($A720-1,70)+1)-2,2)=0,1,0))))=0,(INDEX($E$8:$E$23,MIN(INT(($A720-1)/70)+1,CROQUIS_DATOS!$C$1525))-INDEX($F$8:$F$23,MIN(INT(($A720-1)/70)+1,CROQUIS_DATOS!$C$1525))/2),(INDEX($E$8:$E$23,MIN(INT(($A720-1)/70)+1,CROQUIS_DATOS!$C$1525))+INDEX($F$8:$F$23,MIN(INT(($A720-1)/70)+1,CROQUIS_DATOS!$C$1525))/2)))*CROQUIS_DATOS!$C$1562),-1000)</f>
        <v>82.8189655172414</v>
      </c>
      <c r="O720">
        <f>IF(AND(CROQUIS_DATOS!$C$1472=1,1),(CROQUIS_DATOS!$C$1564+(IF(OR(IF(INT(($A720-1)/70)+1&gt;CROQUIS_DATOS!$C$1525,70,MOD($A720-1,70)+1)=1,IF(INT(($A720-1)/70)+1&gt;CROQUIS_DATOS!$C$1525,70,MOD($A720-1,70)+1)&gt;2*CROQUIS_DATOS!$C$1541+1),CROQUIS_DATOS!$C$1476,INDEX($H$8:$H$41,MIN(INT((IF(INT(($A720-1)/70)+1&gt;CROQUIS_DATOS!$C$1525,70,MOD($A720-1,70)+1)-2)/2)+1,CROQUIS_DATOS!$C$1541))))*CROQUIS_DATOS!$C$1561*CROQUIS_DATOS!$C$1562),-1000)</f>
        <v>40.2068965517241</v>
      </c>
    </row>
    <row r="721">
      <c r="A721" t="n">
        <v>714</v>
      </c>
      <c r="N721">
        <f>IF(AND(CROQUIS_DATOS!$C$1472=1,1),(CROQUIS_DATOS!$C$1563+(IF(IF(IF(INT(($A721-1)/70)+1&gt;CROQUIS_DATOS!$C$1525,70,MOD($A721-1,70)+1)=1,0,IF(IF(INT(($A721-1)/70)+1&gt;CROQUIS_DATOS!$C$1525,70,MOD($A721-1,70)+1)&gt;2*CROQUIS_DATOS!$C$1541+1,IF(MOD(CROQUIS_DATOS!$C$1541,2)=1,1,0),IF(MOD(MIN(INT((IF(INT(($A721-1)/70)+1&gt;CROQUIS_DATOS!$C$1525,70,MOD($A721-1,70)+1)-2)/2)+1,CROQUIS_DATOS!$C$1541),2)=1,IF(MOD(IF(INT(($A721-1)/70)+1&gt;CROQUIS_DATOS!$C$1525,70,MOD($A721-1,70)+1)-2,2)=0,0,1),IF(MOD(IF(INT(($A721-1)/70)+1&gt;CROQUIS_DATOS!$C$1525,70,MOD($A721-1,70)+1)-2,2)=0,1,0))))=0,(INDEX($E$8:$E$23,MIN(INT(($A721-1)/70)+1,CROQUIS_DATOS!$C$1525))-INDEX($F$8:$F$23,MIN(INT(($A721-1)/70)+1,CROQUIS_DATOS!$C$1525))/2),(INDEX($E$8:$E$23,MIN(INT(($A721-1)/70)+1,CROQUIS_DATOS!$C$1525))+INDEX($F$8:$F$23,MIN(INT(($A721-1)/70)+1,CROQUIS_DATOS!$C$1525))/2)))*CROQUIS_DATOS!$C$1562),-1000)</f>
        <v>82.8189655172414</v>
      </c>
      <c r="O721">
        <f>IF(AND(CROQUIS_DATOS!$C$1472=1,1),(CROQUIS_DATOS!$C$1564+(IF(OR(IF(INT(($A721-1)/70)+1&gt;CROQUIS_DATOS!$C$1525,70,MOD($A721-1,70)+1)=1,IF(INT(($A721-1)/70)+1&gt;CROQUIS_DATOS!$C$1525,70,MOD($A721-1,70)+1)&gt;2*CROQUIS_DATOS!$C$1541+1),CROQUIS_DATOS!$C$1476,INDEX($H$8:$H$41,MIN(INT((IF(INT(($A721-1)/70)+1&gt;CROQUIS_DATOS!$C$1525,70,MOD($A721-1,70)+1)-2)/2)+1,CROQUIS_DATOS!$C$1541))))*CROQUIS_DATOS!$C$1561*CROQUIS_DATOS!$C$1562),-1000)</f>
        <v>40.2068965517241</v>
      </c>
    </row>
    <row r="722">
      <c r="A722" t="n">
        <v>715</v>
      </c>
      <c r="N722">
        <f>IF(AND(CROQUIS_DATOS!$C$1472=1,1),(CROQUIS_DATOS!$C$1563+(IF(IF(IF(INT(($A722-1)/70)+1&gt;CROQUIS_DATOS!$C$1525,70,MOD($A722-1,70)+1)=1,0,IF(IF(INT(($A722-1)/70)+1&gt;CROQUIS_DATOS!$C$1525,70,MOD($A722-1,70)+1)&gt;2*CROQUIS_DATOS!$C$1541+1,IF(MOD(CROQUIS_DATOS!$C$1541,2)=1,1,0),IF(MOD(MIN(INT((IF(INT(($A722-1)/70)+1&gt;CROQUIS_DATOS!$C$1525,70,MOD($A722-1,70)+1)-2)/2)+1,CROQUIS_DATOS!$C$1541),2)=1,IF(MOD(IF(INT(($A722-1)/70)+1&gt;CROQUIS_DATOS!$C$1525,70,MOD($A722-1,70)+1)-2,2)=0,0,1),IF(MOD(IF(INT(($A722-1)/70)+1&gt;CROQUIS_DATOS!$C$1525,70,MOD($A722-1,70)+1)-2,2)=0,1,0))))=0,(INDEX($E$8:$E$23,MIN(INT(($A722-1)/70)+1,CROQUIS_DATOS!$C$1525))-INDEX($F$8:$F$23,MIN(INT(($A722-1)/70)+1,CROQUIS_DATOS!$C$1525))/2),(INDEX($E$8:$E$23,MIN(INT(($A722-1)/70)+1,CROQUIS_DATOS!$C$1525))+INDEX($F$8:$F$23,MIN(INT(($A722-1)/70)+1,CROQUIS_DATOS!$C$1525))/2)))*CROQUIS_DATOS!$C$1562),-1000)</f>
        <v>82.8189655172414</v>
      </c>
      <c r="O722">
        <f>IF(AND(CROQUIS_DATOS!$C$1472=1,1),(CROQUIS_DATOS!$C$1564+(IF(OR(IF(INT(($A722-1)/70)+1&gt;CROQUIS_DATOS!$C$1525,70,MOD($A722-1,70)+1)=1,IF(INT(($A722-1)/70)+1&gt;CROQUIS_DATOS!$C$1525,70,MOD($A722-1,70)+1)&gt;2*CROQUIS_DATOS!$C$1541+1),CROQUIS_DATOS!$C$1476,INDEX($H$8:$H$41,MIN(INT((IF(INT(($A722-1)/70)+1&gt;CROQUIS_DATOS!$C$1525,70,MOD($A722-1,70)+1)-2)/2)+1,CROQUIS_DATOS!$C$1541))))*CROQUIS_DATOS!$C$1561*CROQUIS_DATOS!$C$1562),-1000)</f>
        <v>40.2068965517241</v>
      </c>
    </row>
    <row r="723">
      <c r="A723" t="n">
        <v>716</v>
      </c>
      <c r="N723">
        <f>IF(AND(CROQUIS_DATOS!$C$1472=1,1),(CROQUIS_DATOS!$C$1563+(IF(IF(IF(INT(($A723-1)/70)+1&gt;CROQUIS_DATOS!$C$1525,70,MOD($A723-1,70)+1)=1,0,IF(IF(INT(($A723-1)/70)+1&gt;CROQUIS_DATOS!$C$1525,70,MOD($A723-1,70)+1)&gt;2*CROQUIS_DATOS!$C$1541+1,IF(MOD(CROQUIS_DATOS!$C$1541,2)=1,1,0),IF(MOD(MIN(INT((IF(INT(($A723-1)/70)+1&gt;CROQUIS_DATOS!$C$1525,70,MOD($A723-1,70)+1)-2)/2)+1,CROQUIS_DATOS!$C$1541),2)=1,IF(MOD(IF(INT(($A723-1)/70)+1&gt;CROQUIS_DATOS!$C$1525,70,MOD($A723-1,70)+1)-2,2)=0,0,1),IF(MOD(IF(INT(($A723-1)/70)+1&gt;CROQUIS_DATOS!$C$1525,70,MOD($A723-1,70)+1)-2,2)=0,1,0))))=0,(INDEX($E$8:$E$23,MIN(INT(($A723-1)/70)+1,CROQUIS_DATOS!$C$1525))-INDEX($F$8:$F$23,MIN(INT(($A723-1)/70)+1,CROQUIS_DATOS!$C$1525))/2),(INDEX($E$8:$E$23,MIN(INT(($A723-1)/70)+1,CROQUIS_DATOS!$C$1525))+INDEX($F$8:$F$23,MIN(INT(($A723-1)/70)+1,CROQUIS_DATOS!$C$1525))/2)))*CROQUIS_DATOS!$C$1562),-1000)</f>
        <v>82.8189655172414</v>
      </c>
      <c r="O723">
        <f>IF(AND(CROQUIS_DATOS!$C$1472=1,1),(CROQUIS_DATOS!$C$1564+(IF(OR(IF(INT(($A723-1)/70)+1&gt;CROQUIS_DATOS!$C$1525,70,MOD($A723-1,70)+1)=1,IF(INT(($A723-1)/70)+1&gt;CROQUIS_DATOS!$C$1525,70,MOD($A723-1,70)+1)&gt;2*CROQUIS_DATOS!$C$1541+1),CROQUIS_DATOS!$C$1476,INDEX($H$8:$H$41,MIN(INT((IF(INT(($A723-1)/70)+1&gt;CROQUIS_DATOS!$C$1525,70,MOD($A723-1,70)+1)-2)/2)+1,CROQUIS_DATOS!$C$1541))))*CROQUIS_DATOS!$C$1561*CROQUIS_DATOS!$C$1562),-1000)</f>
        <v>40.2068965517241</v>
      </c>
    </row>
    <row r="724">
      <c r="A724" t="n">
        <v>717</v>
      </c>
      <c r="N724">
        <f>IF(AND(CROQUIS_DATOS!$C$1472=1,1),(CROQUIS_DATOS!$C$1563+(IF(IF(IF(INT(($A724-1)/70)+1&gt;CROQUIS_DATOS!$C$1525,70,MOD($A724-1,70)+1)=1,0,IF(IF(INT(($A724-1)/70)+1&gt;CROQUIS_DATOS!$C$1525,70,MOD($A724-1,70)+1)&gt;2*CROQUIS_DATOS!$C$1541+1,IF(MOD(CROQUIS_DATOS!$C$1541,2)=1,1,0),IF(MOD(MIN(INT((IF(INT(($A724-1)/70)+1&gt;CROQUIS_DATOS!$C$1525,70,MOD($A724-1,70)+1)-2)/2)+1,CROQUIS_DATOS!$C$1541),2)=1,IF(MOD(IF(INT(($A724-1)/70)+1&gt;CROQUIS_DATOS!$C$1525,70,MOD($A724-1,70)+1)-2,2)=0,0,1),IF(MOD(IF(INT(($A724-1)/70)+1&gt;CROQUIS_DATOS!$C$1525,70,MOD($A724-1,70)+1)-2,2)=0,1,0))))=0,(INDEX($E$8:$E$23,MIN(INT(($A724-1)/70)+1,CROQUIS_DATOS!$C$1525))-INDEX($F$8:$F$23,MIN(INT(($A724-1)/70)+1,CROQUIS_DATOS!$C$1525))/2),(INDEX($E$8:$E$23,MIN(INT(($A724-1)/70)+1,CROQUIS_DATOS!$C$1525))+INDEX($F$8:$F$23,MIN(INT(($A724-1)/70)+1,CROQUIS_DATOS!$C$1525))/2)))*CROQUIS_DATOS!$C$1562),-1000)</f>
        <v>82.8189655172414</v>
      </c>
      <c r="O724">
        <f>IF(AND(CROQUIS_DATOS!$C$1472=1,1),(CROQUIS_DATOS!$C$1564+(IF(OR(IF(INT(($A724-1)/70)+1&gt;CROQUIS_DATOS!$C$1525,70,MOD($A724-1,70)+1)=1,IF(INT(($A724-1)/70)+1&gt;CROQUIS_DATOS!$C$1525,70,MOD($A724-1,70)+1)&gt;2*CROQUIS_DATOS!$C$1541+1),CROQUIS_DATOS!$C$1476,INDEX($H$8:$H$41,MIN(INT((IF(INT(($A724-1)/70)+1&gt;CROQUIS_DATOS!$C$1525,70,MOD($A724-1,70)+1)-2)/2)+1,CROQUIS_DATOS!$C$1541))))*CROQUIS_DATOS!$C$1561*CROQUIS_DATOS!$C$1562),-1000)</f>
        <v>40.2068965517241</v>
      </c>
    </row>
    <row r="725">
      <c r="A725" t="n">
        <v>718</v>
      </c>
      <c r="N725">
        <f>IF(AND(CROQUIS_DATOS!$C$1472=1,1),(CROQUIS_DATOS!$C$1563+(IF(IF(IF(INT(($A725-1)/70)+1&gt;CROQUIS_DATOS!$C$1525,70,MOD($A725-1,70)+1)=1,0,IF(IF(INT(($A725-1)/70)+1&gt;CROQUIS_DATOS!$C$1525,70,MOD($A725-1,70)+1)&gt;2*CROQUIS_DATOS!$C$1541+1,IF(MOD(CROQUIS_DATOS!$C$1541,2)=1,1,0),IF(MOD(MIN(INT((IF(INT(($A725-1)/70)+1&gt;CROQUIS_DATOS!$C$1525,70,MOD($A725-1,70)+1)-2)/2)+1,CROQUIS_DATOS!$C$1541),2)=1,IF(MOD(IF(INT(($A725-1)/70)+1&gt;CROQUIS_DATOS!$C$1525,70,MOD($A725-1,70)+1)-2,2)=0,0,1),IF(MOD(IF(INT(($A725-1)/70)+1&gt;CROQUIS_DATOS!$C$1525,70,MOD($A725-1,70)+1)-2,2)=0,1,0))))=0,(INDEX($E$8:$E$23,MIN(INT(($A725-1)/70)+1,CROQUIS_DATOS!$C$1525))-INDEX($F$8:$F$23,MIN(INT(($A725-1)/70)+1,CROQUIS_DATOS!$C$1525))/2),(INDEX($E$8:$E$23,MIN(INT(($A725-1)/70)+1,CROQUIS_DATOS!$C$1525))+INDEX($F$8:$F$23,MIN(INT(($A725-1)/70)+1,CROQUIS_DATOS!$C$1525))/2)))*CROQUIS_DATOS!$C$1562),-1000)</f>
        <v>82.8189655172414</v>
      </c>
      <c r="O725">
        <f>IF(AND(CROQUIS_DATOS!$C$1472=1,1),(CROQUIS_DATOS!$C$1564+(IF(OR(IF(INT(($A725-1)/70)+1&gt;CROQUIS_DATOS!$C$1525,70,MOD($A725-1,70)+1)=1,IF(INT(($A725-1)/70)+1&gt;CROQUIS_DATOS!$C$1525,70,MOD($A725-1,70)+1)&gt;2*CROQUIS_DATOS!$C$1541+1),CROQUIS_DATOS!$C$1476,INDEX($H$8:$H$41,MIN(INT((IF(INT(($A725-1)/70)+1&gt;CROQUIS_DATOS!$C$1525,70,MOD($A725-1,70)+1)-2)/2)+1,CROQUIS_DATOS!$C$1541))))*CROQUIS_DATOS!$C$1561*CROQUIS_DATOS!$C$1562),-1000)</f>
        <v>40.2068965517241</v>
      </c>
    </row>
    <row r="726">
      <c r="A726" t="n">
        <v>719</v>
      </c>
      <c r="N726">
        <f>IF(AND(CROQUIS_DATOS!$C$1472=1,1),(CROQUIS_DATOS!$C$1563+(IF(IF(IF(INT(($A726-1)/70)+1&gt;CROQUIS_DATOS!$C$1525,70,MOD($A726-1,70)+1)=1,0,IF(IF(INT(($A726-1)/70)+1&gt;CROQUIS_DATOS!$C$1525,70,MOD($A726-1,70)+1)&gt;2*CROQUIS_DATOS!$C$1541+1,IF(MOD(CROQUIS_DATOS!$C$1541,2)=1,1,0),IF(MOD(MIN(INT((IF(INT(($A726-1)/70)+1&gt;CROQUIS_DATOS!$C$1525,70,MOD($A726-1,70)+1)-2)/2)+1,CROQUIS_DATOS!$C$1541),2)=1,IF(MOD(IF(INT(($A726-1)/70)+1&gt;CROQUIS_DATOS!$C$1525,70,MOD($A726-1,70)+1)-2,2)=0,0,1),IF(MOD(IF(INT(($A726-1)/70)+1&gt;CROQUIS_DATOS!$C$1525,70,MOD($A726-1,70)+1)-2,2)=0,1,0))))=0,(INDEX($E$8:$E$23,MIN(INT(($A726-1)/70)+1,CROQUIS_DATOS!$C$1525))-INDEX($F$8:$F$23,MIN(INT(($A726-1)/70)+1,CROQUIS_DATOS!$C$1525))/2),(INDEX($E$8:$E$23,MIN(INT(($A726-1)/70)+1,CROQUIS_DATOS!$C$1525))+INDEX($F$8:$F$23,MIN(INT(($A726-1)/70)+1,CROQUIS_DATOS!$C$1525))/2)))*CROQUIS_DATOS!$C$1562),-1000)</f>
        <v>82.8189655172414</v>
      </c>
      <c r="O726">
        <f>IF(AND(CROQUIS_DATOS!$C$1472=1,1),(CROQUIS_DATOS!$C$1564+(IF(OR(IF(INT(($A726-1)/70)+1&gt;CROQUIS_DATOS!$C$1525,70,MOD($A726-1,70)+1)=1,IF(INT(($A726-1)/70)+1&gt;CROQUIS_DATOS!$C$1525,70,MOD($A726-1,70)+1)&gt;2*CROQUIS_DATOS!$C$1541+1),CROQUIS_DATOS!$C$1476,INDEX($H$8:$H$41,MIN(INT((IF(INT(($A726-1)/70)+1&gt;CROQUIS_DATOS!$C$1525,70,MOD($A726-1,70)+1)-2)/2)+1,CROQUIS_DATOS!$C$1541))))*CROQUIS_DATOS!$C$1561*CROQUIS_DATOS!$C$1562),-1000)</f>
        <v>40.2068965517241</v>
      </c>
    </row>
    <row r="727">
      <c r="A727" t="n">
        <v>720</v>
      </c>
      <c r="N727">
        <f>IF(AND(CROQUIS_DATOS!$C$1472=1,1),(CROQUIS_DATOS!$C$1563+(IF(IF(IF(INT(($A727-1)/70)+1&gt;CROQUIS_DATOS!$C$1525,70,MOD($A727-1,70)+1)=1,0,IF(IF(INT(($A727-1)/70)+1&gt;CROQUIS_DATOS!$C$1525,70,MOD($A727-1,70)+1)&gt;2*CROQUIS_DATOS!$C$1541+1,IF(MOD(CROQUIS_DATOS!$C$1541,2)=1,1,0),IF(MOD(MIN(INT((IF(INT(($A727-1)/70)+1&gt;CROQUIS_DATOS!$C$1525,70,MOD($A727-1,70)+1)-2)/2)+1,CROQUIS_DATOS!$C$1541),2)=1,IF(MOD(IF(INT(($A727-1)/70)+1&gt;CROQUIS_DATOS!$C$1525,70,MOD($A727-1,70)+1)-2,2)=0,0,1),IF(MOD(IF(INT(($A727-1)/70)+1&gt;CROQUIS_DATOS!$C$1525,70,MOD($A727-1,70)+1)-2,2)=0,1,0))))=0,(INDEX($E$8:$E$23,MIN(INT(($A727-1)/70)+1,CROQUIS_DATOS!$C$1525))-INDEX($F$8:$F$23,MIN(INT(($A727-1)/70)+1,CROQUIS_DATOS!$C$1525))/2),(INDEX($E$8:$E$23,MIN(INT(($A727-1)/70)+1,CROQUIS_DATOS!$C$1525))+INDEX($F$8:$F$23,MIN(INT(($A727-1)/70)+1,CROQUIS_DATOS!$C$1525))/2)))*CROQUIS_DATOS!$C$1562),-1000)</f>
        <v>82.8189655172414</v>
      </c>
      <c r="O727">
        <f>IF(AND(CROQUIS_DATOS!$C$1472=1,1),(CROQUIS_DATOS!$C$1564+(IF(OR(IF(INT(($A727-1)/70)+1&gt;CROQUIS_DATOS!$C$1525,70,MOD($A727-1,70)+1)=1,IF(INT(($A727-1)/70)+1&gt;CROQUIS_DATOS!$C$1525,70,MOD($A727-1,70)+1)&gt;2*CROQUIS_DATOS!$C$1541+1),CROQUIS_DATOS!$C$1476,INDEX($H$8:$H$41,MIN(INT((IF(INT(($A727-1)/70)+1&gt;CROQUIS_DATOS!$C$1525,70,MOD($A727-1,70)+1)-2)/2)+1,CROQUIS_DATOS!$C$1541))))*CROQUIS_DATOS!$C$1561*CROQUIS_DATOS!$C$1562),-1000)</f>
        <v>40.2068965517241</v>
      </c>
    </row>
    <row r="728">
      <c r="A728" t="n">
        <v>721</v>
      </c>
      <c r="N728">
        <f>IF(AND(CROQUIS_DATOS!$C$1472=1,1),(CROQUIS_DATOS!$C$1563+(IF(IF(IF(INT(($A728-1)/70)+1&gt;CROQUIS_DATOS!$C$1525,70,MOD($A728-1,70)+1)=1,0,IF(IF(INT(($A728-1)/70)+1&gt;CROQUIS_DATOS!$C$1525,70,MOD($A728-1,70)+1)&gt;2*CROQUIS_DATOS!$C$1541+1,IF(MOD(CROQUIS_DATOS!$C$1541,2)=1,1,0),IF(MOD(MIN(INT((IF(INT(($A728-1)/70)+1&gt;CROQUIS_DATOS!$C$1525,70,MOD($A728-1,70)+1)-2)/2)+1,CROQUIS_DATOS!$C$1541),2)=1,IF(MOD(IF(INT(($A728-1)/70)+1&gt;CROQUIS_DATOS!$C$1525,70,MOD($A728-1,70)+1)-2,2)=0,0,1),IF(MOD(IF(INT(($A728-1)/70)+1&gt;CROQUIS_DATOS!$C$1525,70,MOD($A728-1,70)+1)-2,2)=0,1,0))))=0,(INDEX($E$8:$E$23,MIN(INT(($A728-1)/70)+1,CROQUIS_DATOS!$C$1525))-INDEX($F$8:$F$23,MIN(INT(($A728-1)/70)+1,CROQUIS_DATOS!$C$1525))/2),(INDEX($E$8:$E$23,MIN(INT(($A728-1)/70)+1,CROQUIS_DATOS!$C$1525))+INDEX($F$8:$F$23,MIN(INT(($A728-1)/70)+1,CROQUIS_DATOS!$C$1525))/2)))*CROQUIS_DATOS!$C$1562),-1000)</f>
        <v>82.8189655172414</v>
      </c>
      <c r="O728">
        <f>IF(AND(CROQUIS_DATOS!$C$1472=1,1),(CROQUIS_DATOS!$C$1564+(IF(OR(IF(INT(($A728-1)/70)+1&gt;CROQUIS_DATOS!$C$1525,70,MOD($A728-1,70)+1)=1,IF(INT(($A728-1)/70)+1&gt;CROQUIS_DATOS!$C$1525,70,MOD($A728-1,70)+1)&gt;2*CROQUIS_DATOS!$C$1541+1),CROQUIS_DATOS!$C$1476,INDEX($H$8:$H$41,MIN(INT((IF(INT(($A728-1)/70)+1&gt;CROQUIS_DATOS!$C$1525,70,MOD($A728-1,70)+1)-2)/2)+1,CROQUIS_DATOS!$C$1541))))*CROQUIS_DATOS!$C$1561*CROQUIS_DATOS!$C$1562),-1000)</f>
        <v>40.2068965517241</v>
      </c>
    </row>
    <row r="729">
      <c r="A729" t="n">
        <v>722</v>
      </c>
      <c r="N729">
        <f>IF(AND(CROQUIS_DATOS!$C$1472=1,1),(CROQUIS_DATOS!$C$1563+(IF(IF(IF(INT(($A729-1)/70)+1&gt;CROQUIS_DATOS!$C$1525,70,MOD($A729-1,70)+1)=1,0,IF(IF(INT(($A729-1)/70)+1&gt;CROQUIS_DATOS!$C$1525,70,MOD($A729-1,70)+1)&gt;2*CROQUIS_DATOS!$C$1541+1,IF(MOD(CROQUIS_DATOS!$C$1541,2)=1,1,0),IF(MOD(MIN(INT((IF(INT(($A729-1)/70)+1&gt;CROQUIS_DATOS!$C$1525,70,MOD($A729-1,70)+1)-2)/2)+1,CROQUIS_DATOS!$C$1541),2)=1,IF(MOD(IF(INT(($A729-1)/70)+1&gt;CROQUIS_DATOS!$C$1525,70,MOD($A729-1,70)+1)-2,2)=0,0,1),IF(MOD(IF(INT(($A729-1)/70)+1&gt;CROQUIS_DATOS!$C$1525,70,MOD($A729-1,70)+1)-2,2)=0,1,0))))=0,(INDEX($E$8:$E$23,MIN(INT(($A729-1)/70)+1,CROQUIS_DATOS!$C$1525))-INDEX($F$8:$F$23,MIN(INT(($A729-1)/70)+1,CROQUIS_DATOS!$C$1525))/2),(INDEX($E$8:$E$23,MIN(INT(($A729-1)/70)+1,CROQUIS_DATOS!$C$1525))+INDEX($F$8:$F$23,MIN(INT(($A729-1)/70)+1,CROQUIS_DATOS!$C$1525))/2)))*CROQUIS_DATOS!$C$1562),-1000)</f>
        <v>82.8189655172414</v>
      </c>
      <c r="O729">
        <f>IF(AND(CROQUIS_DATOS!$C$1472=1,1),(CROQUIS_DATOS!$C$1564+(IF(OR(IF(INT(($A729-1)/70)+1&gt;CROQUIS_DATOS!$C$1525,70,MOD($A729-1,70)+1)=1,IF(INT(($A729-1)/70)+1&gt;CROQUIS_DATOS!$C$1525,70,MOD($A729-1,70)+1)&gt;2*CROQUIS_DATOS!$C$1541+1),CROQUIS_DATOS!$C$1476,INDEX($H$8:$H$41,MIN(INT((IF(INT(($A729-1)/70)+1&gt;CROQUIS_DATOS!$C$1525,70,MOD($A729-1,70)+1)-2)/2)+1,CROQUIS_DATOS!$C$1541))))*CROQUIS_DATOS!$C$1561*CROQUIS_DATOS!$C$1562),-1000)</f>
        <v>40.2068965517241</v>
      </c>
    </row>
    <row r="730">
      <c r="A730" t="n">
        <v>723</v>
      </c>
      <c r="N730">
        <f>IF(AND(CROQUIS_DATOS!$C$1472=1,1),(CROQUIS_DATOS!$C$1563+(IF(IF(IF(INT(($A730-1)/70)+1&gt;CROQUIS_DATOS!$C$1525,70,MOD($A730-1,70)+1)=1,0,IF(IF(INT(($A730-1)/70)+1&gt;CROQUIS_DATOS!$C$1525,70,MOD($A730-1,70)+1)&gt;2*CROQUIS_DATOS!$C$1541+1,IF(MOD(CROQUIS_DATOS!$C$1541,2)=1,1,0),IF(MOD(MIN(INT((IF(INT(($A730-1)/70)+1&gt;CROQUIS_DATOS!$C$1525,70,MOD($A730-1,70)+1)-2)/2)+1,CROQUIS_DATOS!$C$1541),2)=1,IF(MOD(IF(INT(($A730-1)/70)+1&gt;CROQUIS_DATOS!$C$1525,70,MOD($A730-1,70)+1)-2,2)=0,0,1),IF(MOD(IF(INT(($A730-1)/70)+1&gt;CROQUIS_DATOS!$C$1525,70,MOD($A730-1,70)+1)-2,2)=0,1,0))))=0,(INDEX($E$8:$E$23,MIN(INT(($A730-1)/70)+1,CROQUIS_DATOS!$C$1525))-INDEX($F$8:$F$23,MIN(INT(($A730-1)/70)+1,CROQUIS_DATOS!$C$1525))/2),(INDEX($E$8:$E$23,MIN(INT(($A730-1)/70)+1,CROQUIS_DATOS!$C$1525))+INDEX($F$8:$F$23,MIN(INT(($A730-1)/70)+1,CROQUIS_DATOS!$C$1525))/2)))*CROQUIS_DATOS!$C$1562),-1000)</f>
        <v>82.8189655172414</v>
      </c>
      <c r="O730">
        <f>IF(AND(CROQUIS_DATOS!$C$1472=1,1),(CROQUIS_DATOS!$C$1564+(IF(OR(IF(INT(($A730-1)/70)+1&gt;CROQUIS_DATOS!$C$1525,70,MOD($A730-1,70)+1)=1,IF(INT(($A730-1)/70)+1&gt;CROQUIS_DATOS!$C$1525,70,MOD($A730-1,70)+1)&gt;2*CROQUIS_DATOS!$C$1541+1),CROQUIS_DATOS!$C$1476,INDEX($H$8:$H$41,MIN(INT((IF(INT(($A730-1)/70)+1&gt;CROQUIS_DATOS!$C$1525,70,MOD($A730-1,70)+1)-2)/2)+1,CROQUIS_DATOS!$C$1541))))*CROQUIS_DATOS!$C$1561*CROQUIS_DATOS!$C$1562),-1000)</f>
        <v>40.2068965517241</v>
      </c>
    </row>
    <row r="731">
      <c r="A731" t="n">
        <v>724</v>
      </c>
      <c r="N731">
        <f>IF(AND(CROQUIS_DATOS!$C$1472=1,1),(CROQUIS_DATOS!$C$1563+(IF(IF(IF(INT(($A731-1)/70)+1&gt;CROQUIS_DATOS!$C$1525,70,MOD($A731-1,70)+1)=1,0,IF(IF(INT(($A731-1)/70)+1&gt;CROQUIS_DATOS!$C$1525,70,MOD($A731-1,70)+1)&gt;2*CROQUIS_DATOS!$C$1541+1,IF(MOD(CROQUIS_DATOS!$C$1541,2)=1,1,0),IF(MOD(MIN(INT((IF(INT(($A731-1)/70)+1&gt;CROQUIS_DATOS!$C$1525,70,MOD($A731-1,70)+1)-2)/2)+1,CROQUIS_DATOS!$C$1541),2)=1,IF(MOD(IF(INT(($A731-1)/70)+1&gt;CROQUIS_DATOS!$C$1525,70,MOD($A731-1,70)+1)-2,2)=0,0,1),IF(MOD(IF(INT(($A731-1)/70)+1&gt;CROQUIS_DATOS!$C$1525,70,MOD($A731-1,70)+1)-2,2)=0,1,0))))=0,(INDEX($E$8:$E$23,MIN(INT(($A731-1)/70)+1,CROQUIS_DATOS!$C$1525))-INDEX($F$8:$F$23,MIN(INT(($A731-1)/70)+1,CROQUIS_DATOS!$C$1525))/2),(INDEX($E$8:$E$23,MIN(INT(($A731-1)/70)+1,CROQUIS_DATOS!$C$1525))+INDEX($F$8:$F$23,MIN(INT(($A731-1)/70)+1,CROQUIS_DATOS!$C$1525))/2)))*CROQUIS_DATOS!$C$1562),-1000)</f>
        <v>82.8189655172414</v>
      </c>
      <c r="O731">
        <f>IF(AND(CROQUIS_DATOS!$C$1472=1,1),(CROQUIS_DATOS!$C$1564+(IF(OR(IF(INT(($A731-1)/70)+1&gt;CROQUIS_DATOS!$C$1525,70,MOD($A731-1,70)+1)=1,IF(INT(($A731-1)/70)+1&gt;CROQUIS_DATOS!$C$1525,70,MOD($A731-1,70)+1)&gt;2*CROQUIS_DATOS!$C$1541+1),CROQUIS_DATOS!$C$1476,INDEX($H$8:$H$41,MIN(INT((IF(INT(($A731-1)/70)+1&gt;CROQUIS_DATOS!$C$1525,70,MOD($A731-1,70)+1)-2)/2)+1,CROQUIS_DATOS!$C$1541))))*CROQUIS_DATOS!$C$1561*CROQUIS_DATOS!$C$1562),-1000)</f>
        <v>40.2068965517241</v>
      </c>
    </row>
    <row r="732">
      <c r="A732" t="n">
        <v>725</v>
      </c>
      <c r="N732">
        <f>IF(AND(CROQUIS_DATOS!$C$1472=1,1),(CROQUIS_DATOS!$C$1563+(IF(IF(IF(INT(($A732-1)/70)+1&gt;CROQUIS_DATOS!$C$1525,70,MOD($A732-1,70)+1)=1,0,IF(IF(INT(($A732-1)/70)+1&gt;CROQUIS_DATOS!$C$1525,70,MOD($A732-1,70)+1)&gt;2*CROQUIS_DATOS!$C$1541+1,IF(MOD(CROQUIS_DATOS!$C$1541,2)=1,1,0),IF(MOD(MIN(INT((IF(INT(($A732-1)/70)+1&gt;CROQUIS_DATOS!$C$1525,70,MOD($A732-1,70)+1)-2)/2)+1,CROQUIS_DATOS!$C$1541),2)=1,IF(MOD(IF(INT(($A732-1)/70)+1&gt;CROQUIS_DATOS!$C$1525,70,MOD($A732-1,70)+1)-2,2)=0,0,1),IF(MOD(IF(INT(($A732-1)/70)+1&gt;CROQUIS_DATOS!$C$1525,70,MOD($A732-1,70)+1)-2,2)=0,1,0))))=0,(INDEX($E$8:$E$23,MIN(INT(($A732-1)/70)+1,CROQUIS_DATOS!$C$1525))-INDEX($F$8:$F$23,MIN(INT(($A732-1)/70)+1,CROQUIS_DATOS!$C$1525))/2),(INDEX($E$8:$E$23,MIN(INT(($A732-1)/70)+1,CROQUIS_DATOS!$C$1525))+INDEX($F$8:$F$23,MIN(INT(($A732-1)/70)+1,CROQUIS_DATOS!$C$1525))/2)))*CROQUIS_DATOS!$C$1562),-1000)</f>
        <v>82.8189655172414</v>
      </c>
      <c r="O732">
        <f>IF(AND(CROQUIS_DATOS!$C$1472=1,1),(CROQUIS_DATOS!$C$1564+(IF(OR(IF(INT(($A732-1)/70)+1&gt;CROQUIS_DATOS!$C$1525,70,MOD($A732-1,70)+1)=1,IF(INT(($A732-1)/70)+1&gt;CROQUIS_DATOS!$C$1525,70,MOD($A732-1,70)+1)&gt;2*CROQUIS_DATOS!$C$1541+1),CROQUIS_DATOS!$C$1476,INDEX($H$8:$H$41,MIN(INT((IF(INT(($A732-1)/70)+1&gt;CROQUIS_DATOS!$C$1525,70,MOD($A732-1,70)+1)-2)/2)+1,CROQUIS_DATOS!$C$1541))))*CROQUIS_DATOS!$C$1561*CROQUIS_DATOS!$C$1562),-1000)</f>
        <v>40.2068965517241</v>
      </c>
    </row>
    <row r="733">
      <c r="A733" t="n">
        <v>726</v>
      </c>
      <c r="N733">
        <f>IF(AND(CROQUIS_DATOS!$C$1472=1,1),(CROQUIS_DATOS!$C$1563+(IF(IF(IF(INT(($A733-1)/70)+1&gt;CROQUIS_DATOS!$C$1525,70,MOD($A733-1,70)+1)=1,0,IF(IF(INT(($A733-1)/70)+1&gt;CROQUIS_DATOS!$C$1525,70,MOD($A733-1,70)+1)&gt;2*CROQUIS_DATOS!$C$1541+1,IF(MOD(CROQUIS_DATOS!$C$1541,2)=1,1,0),IF(MOD(MIN(INT((IF(INT(($A733-1)/70)+1&gt;CROQUIS_DATOS!$C$1525,70,MOD($A733-1,70)+1)-2)/2)+1,CROQUIS_DATOS!$C$1541),2)=1,IF(MOD(IF(INT(($A733-1)/70)+1&gt;CROQUIS_DATOS!$C$1525,70,MOD($A733-1,70)+1)-2,2)=0,0,1),IF(MOD(IF(INT(($A733-1)/70)+1&gt;CROQUIS_DATOS!$C$1525,70,MOD($A733-1,70)+1)-2,2)=0,1,0))))=0,(INDEX($E$8:$E$23,MIN(INT(($A733-1)/70)+1,CROQUIS_DATOS!$C$1525))-INDEX($F$8:$F$23,MIN(INT(($A733-1)/70)+1,CROQUIS_DATOS!$C$1525))/2),(INDEX($E$8:$E$23,MIN(INT(($A733-1)/70)+1,CROQUIS_DATOS!$C$1525))+INDEX($F$8:$F$23,MIN(INT(($A733-1)/70)+1,CROQUIS_DATOS!$C$1525))/2)))*CROQUIS_DATOS!$C$1562),-1000)</f>
        <v>82.8189655172414</v>
      </c>
      <c r="O733">
        <f>IF(AND(CROQUIS_DATOS!$C$1472=1,1),(CROQUIS_DATOS!$C$1564+(IF(OR(IF(INT(($A733-1)/70)+1&gt;CROQUIS_DATOS!$C$1525,70,MOD($A733-1,70)+1)=1,IF(INT(($A733-1)/70)+1&gt;CROQUIS_DATOS!$C$1525,70,MOD($A733-1,70)+1)&gt;2*CROQUIS_DATOS!$C$1541+1),CROQUIS_DATOS!$C$1476,INDEX($H$8:$H$41,MIN(INT((IF(INT(($A733-1)/70)+1&gt;CROQUIS_DATOS!$C$1525,70,MOD($A733-1,70)+1)-2)/2)+1,CROQUIS_DATOS!$C$1541))))*CROQUIS_DATOS!$C$1561*CROQUIS_DATOS!$C$1562),-1000)</f>
        <v>40.2068965517241</v>
      </c>
    </row>
    <row r="734">
      <c r="A734" t="n">
        <v>727</v>
      </c>
      <c r="N734">
        <f>IF(AND(CROQUIS_DATOS!$C$1472=1,1),(CROQUIS_DATOS!$C$1563+(IF(IF(IF(INT(($A734-1)/70)+1&gt;CROQUIS_DATOS!$C$1525,70,MOD($A734-1,70)+1)=1,0,IF(IF(INT(($A734-1)/70)+1&gt;CROQUIS_DATOS!$C$1525,70,MOD($A734-1,70)+1)&gt;2*CROQUIS_DATOS!$C$1541+1,IF(MOD(CROQUIS_DATOS!$C$1541,2)=1,1,0),IF(MOD(MIN(INT((IF(INT(($A734-1)/70)+1&gt;CROQUIS_DATOS!$C$1525,70,MOD($A734-1,70)+1)-2)/2)+1,CROQUIS_DATOS!$C$1541),2)=1,IF(MOD(IF(INT(($A734-1)/70)+1&gt;CROQUIS_DATOS!$C$1525,70,MOD($A734-1,70)+1)-2,2)=0,0,1),IF(MOD(IF(INT(($A734-1)/70)+1&gt;CROQUIS_DATOS!$C$1525,70,MOD($A734-1,70)+1)-2,2)=0,1,0))))=0,(INDEX($E$8:$E$23,MIN(INT(($A734-1)/70)+1,CROQUIS_DATOS!$C$1525))-INDEX($F$8:$F$23,MIN(INT(($A734-1)/70)+1,CROQUIS_DATOS!$C$1525))/2),(INDEX($E$8:$E$23,MIN(INT(($A734-1)/70)+1,CROQUIS_DATOS!$C$1525))+INDEX($F$8:$F$23,MIN(INT(($A734-1)/70)+1,CROQUIS_DATOS!$C$1525))/2)))*CROQUIS_DATOS!$C$1562),-1000)</f>
        <v>82.8189655172414</v>
      </c>
      <c r="O734">
        <f>IF(AND(CROQUIS_DATOS!$C$1472=1,1),(CROQUIS_DATOS!$C$1564+(IF(OR(IF(INT(($A734-1)/70)+1&gt;CROQUIS_DATOS!$C$1525,70,MOD($A734-1,70)+1)=1,IF(INT(($A734-1)/70)+1&gt;CROQUIS_DATOS!$C$1525,70,MOD($A734-1,70)+1)&gt;2*CROQUIS_DATOS!$C$1541+1),CROQUIS_DATOS!$C$1476,INDEX($H$8:$H$41,MIN(INT((IF(INT(($A734-1)/70)+1&gt;CROQUIS_DATOS!$C$1525,70,MOD($A734-1,70)+1)-2)/2)+1,CROQUIS_DATOS!$C$1541))))*CROQUIS_DATOS!$C$1561*CROQUIS_DATOS!$C$1562),-1000)</f>
        <v>40.2068965517241</v>
      </c>
    </row>
    <row r="735">
      <c r="A735" t="n">
        <v>728</v>
      </c>
      <c r="N735">
        <f>IF(AND(CROQUIS_DATOS!$C$1472=1,1),(CROQUIS_DATOS!$C$1563+(IF(IF(IF(INT(($A735-1)/70)+1&gt;CROQUIS_DATOS!$C$1525,70,MOD($A735-1,70)+1)=1,0,IF(IF(INT(($A735-1)/70)+1&gt;CROQUIS_DATOS!$C$1525,70,MOD($A735-1,70)+1)&gt;2*CROQUIS_DATOS!$C$1541+1,IF(MOD(CROQUIS_DATOS!$C$1541,2)=1,1,0),IF(MOD(MIN(INT((IF(INT(($A735-1)/70)+1&gt;CROQUIS_DATOS!$C$1525,70,MOD($A735-1,70)+1)-2)/2)+1,CROQUIS_DATOS!$C$1541),2)=1,IF(MOD(IF(INT(($A735-1)/70)+1&gt;CROQUIS_DATOS!$C$1525,70,MOD($A735-1,70)+1)-2,2)=0,0,1),IF(MOD(IF(INT(($A735-1)/70)+1&gt;CROQUIS_DATOS!$C$1525,70,MOD($A735-1,70)+1)-2,2)=0,1,0))))=0,(INDEX($E$8:$E$23,MIN(INT(($A735-1)/70)+1,CROQUIS_DATOS!$C$1525))-INDEX($F$8:$F$23,MIN(INT(($A735-1)/70)+1,CROQUIS_DATOS!$C$1525))/2),(INDEX($E$8:$E$23,MIN(INT(($A735-1)/70)+1,CROQUIS_DATOS!$C$1525))+INDEX($F$8:$F$23,MIN(INT(($A735-1)/70)+1,CROQUIS_DATOS!$C$1525))/2)))*CROQUIS_DATOS!$C$1562),-1000)</f>
        <v>82.8189655172414</v>
      </c>
      <c r="O735">
        <f>IF(AND(CROQUIS_DATOS!$C$1472=1,1),(CROQUIS_DATOS!$C$1564+(IF(OR(IF(INT(($A735-1)/70)+1&gt;CROQUIS_DATOS!$C$1525,70,MOD($A735-1,70)+1)=1,IF(INT(($A735-1)/70)+1&gt;CROQUIS_DATOS!$C$1525,70,MOD($A735-1,70)+1)&gt;2*CROQUIS_DATOS!$C$1541+1),CROQUIS_DATOS!$C$1476,INDEX($H$8:$H$41,MIN(INT((IF(INT(($A735-1)/70)+1&gt;CROQUIS_DATOS!$C$1525,70,MOD($A735-1,70)+1)-2)/2)+1,CROQUIS_DATOS!$C$1541))))*CROQUIS_DATOS!$C$1561*CROQUIS_DATOS!$C$1562),-1000)</f>
        <v>40.2068965517241</v>
      </c>
    </row>
    <row r="736">
      <c r="A736" t="n">
        <v>729</v>
      </c>
      <c r="N736">
        <f>IF(AND(CROQUIS_DATOS!$C$1472=1,1),(CROQUIS_DATOS!$C$1563+(IF(IF(IF(INT(($A736-1)/70)+1&gt;CROQUIS_DATOS!$C$1525,70,MOD($A736-1,70)+1)=1,0,IF(IF(INT(($A736-1)/70)+1&gt;CROQUIS_DATOS!$C$1525,70,MOD($A736-1,70)+1)&gt;2*CROQUIS_DATOS!$C$1541+1,IF(MOD(CROQUIS_DATOS!$C$1541,2)=1,1,0),IF(MOD(MIN(INT((IF(INT(($A736-1)/70)+1&gt;CROQUIS_DATOS!$C$1525,70,MOD($A736-1,70)+1)-2)/2)+1,CROQUIS_DATOS!$C$1541),2)=1,IF(MOD(IF(INT(($A736-1)/70)+1&gt;CROQUIS_DATOS!$C$1525,70,MOD($A736-1,70)+1)-2,2)=0,0,1),IF(MOD(IF(INT(($A736-1)/70)+1&gt;CROQUIS_DATOS!$C$1525,70,MOD($A736-1,70)+1)-2,2)=0,1,0))))=0,(INDEX($E$8:$E$23,MIN(INT(($A736-1)/70)+1,CROQUIS_DATOS!$C$1525))-INDEX($F$8:$F$23,MIN(INT(($A736-1)/70)+1,CROQUIS_DATOS!$C$1525))/2),(INDEX($E$8:$E$23,MIN(INT(($A736-1)/70)+1,CROQUIS_DATOS!$C$1525))+INDEX($F$8:$F$23,MIN(INT(($A736-1)/70)+1,CROQUIS_DATOS!$C$1525))/2)))*CROQUIS_DATOS!$C$1562),-1000)</f>
        <v>82.8189655172414</v>
      </c>
      <c r="O736">
        <f>IF(AND(CROQUIS_DATOS!$C$1472=1,1),(CROQUIS_DATOS!$C$1564+(IF(OR(IF(INT(($A736-1)/70)+1&gt;CROQUIS_DATOS!$C$1525,70,MOD($A736-1,70)+1)=1,IF(INT(($A736-1)/70)+1&gt;CROQUIS_DATOS!$C$1525,70,MOD($A736-1,70)+1)&gt;2*CROQUIS_DATOS!$C$1541+1),CROQUIS_DATOS!$C$1476,INDEX($H$8:$H$41,MIN(INT((IF(INT(($A736-1)/70)+1&gt;CROQUIS_DATOS!$C$1525,70,MOD($A736-1,70)+1)-2)/2)+1,CROQUIS_DATOS!$C$1541))))*CROQUIS_DATOS!$C$1561*CROQUIS_DATOS!$C$1562),-1000)</f>
        <v>40.2068965517241</v>
      </c>
    </row>
    <row r="737">
      <c r="A737" t="n">
        <v>730</v>
      </c>
      <c r="N737">
        <f>IF(AND(CROQUIS_DATOS!$C$1472=1,1),(CROQUIS_DATOS!$C$1563+(IF(IF(IF(INT(($A737-1)/70)+1&gt;CROQUIS_DATOS!$C$1525,70,MOD($A737-1,70)+1)=1,0,IF(IF(INT(($A737-1)/70)+1&gt;CROQUIS_DATOS!$C$1525,70,MOD($A737-1,70)+1)&gt;2*CROQUIS_DATOS!$C$1541+1,IF(MOD(CROQUIS_DATOS!$C$1541,2)=1,1,0),IF(MOD(MIN(INT((IF(INT(($A737-1)/70)+1&gt;CROQUIS_DATOS!$C$1525,70,MOD($A737-1,70)+1)-2)/2)+1,CROQUIS_DATOS!$C$1541),2)=1,IF(MOD(IF(INT(($A737-1)/70)+1&gt;CROQUIS_DATOS!$C$1525,70,MOD($A737-1,70)+1)-2,2)=0,0,1),IF(MOD(IF(INT(($A737-1)/70)+1&gt;CROQUIS_DATOS!$C$1525,70,MOD($A737-1,70)+1)-2,2)=0,1,0))))=0,(INDEX($E$8:$E$23,MIN(INT(($A737-1)/70)+1,CROQUIS_DATOS!$C$1525))-INDEX($F$8:$F$23,MIN(INT(($A737-1)/70)+1,CROQUIS_DATOS!$C$1525))/2),(INDEX($E$8:$E$23,MIN(INT(($A737-1)/70)+1,CROQUIS_DATOS!$C$1525))+INDEX($F$8:$F$23,MIN(INT(($A737-1)/70)+1,CROQUIS_DATOS!$C$1525))/2)))*CROQUIS_DATOS!$C$1562),-1000)</f>
        <v>82.8189655172414</v>
      </c>
      <c r="O737">
        <f>IF(AND(CROQUIS_DATOS!$C$1472=1,1),(CROQUIS_DATOS!$C$1564+(IF(OR(IF(INT(($A737-1)/70)+1&gt;CROQUIS_DATOS!$C$1525,70,MOD($A737-1,70)+1)=1,IF(INT(($A737-1)/70)+1&gt;CROQUIS_DATOS!$C$1525,70,MOD($A737-1,70)+1)&gt;2*CROQUIS_DATOS!$C$1541+1),CROQUIS_DATOS!$C$1476,INDEX($H$8:$H$41,MIN(INT((IF(INT(($A737-1)/70)+1&gt;CROQUIS_DATOS!$C$1525,70,MOD($A737-1,70)+1)-2)/2)+1,CROQUIS_DATOS!$C$1541))))*CROQUIS_DATOS!$C$1561*CROQUIS_DATOS!$C$1562),-1000)</f>
        <v>40.2068965517241</v>
      </c>
    </row>
    <row r="738">
      <c r="A738" t="n">
        <v>731</v>
      </c>
      <c r="N738">
        <f>IF(AND(CROQUIS_DATOS!$C$1472=1,1),(CROQUIS_DATOS!$C$1563+(IF(IF(IF(INT(($A738-1)/70)+1&gt;CROQUIS_DATOS!$C$1525,70,MOD($A738-1,70)+1)=1,0,IF(IF(INT(($A738-1)/70)+1&gt;CROQUIS_DATOS!$C$1525,70,MOD($A738-1,70)+1)&gt;2*CROQUIS_DATOS!$C$1541+1,IF(MOD(CROQUIS_DATOS!$C$1541,2)=1,1,0),IF(MOD(MIN(INT((IF(INT(($A738-1)/70)+1&gt;CROQUIS_DATOS!$C$1525,70,MOD($A738-1,70)+1)-2)/2)+1,CROQUIS_DATOS!$C$1541),2)=1,IF(MOD(IF(INT(($A738-1)/70)+1&gt;CROQUIS_DATOS!$C$1525,70,MOD($A738-1,70)+1)-2,2)=0,0,1),IF(MOD(IF(INT(($A738-1)/70)+1&gt;CROQUIS_DATOS!$C$1525,70,MOD($A738-1,70)+1)-2,2)=0,1,0))))=0,(INDEX($E$8:$E$23,MIN(INT(($A738-1)/70)+1,CROQUIS_DATOS!$C$1525))-INDEX($F$8:$F$23,MIN(INT(($A738-1)/70)+1,CROQUIS_DATOS!$C$1525))/2),(INDEX($E$8:$E$23,MIN(INT(($A738-1)/70)+1,CROQUIS_DATOS!$C$1525))+INDEX($F$8:$F$23,MIN(INT(($A738-1)/70)+1,CROQUIS_DATOS!$C$1525))/2)))*CROQUIS_DATOS!$C$1562),-1000)</f>
        <v>82.8189655172414</v>
      </c>
      <c r="O738">
        <f>IF(AND(CROQUIS_DATOS!$C$1472=1,1),(CROQUIS_DATOS!$C$1564+(IF(OR(IF(INT(($A738-1)/70)+1&gt;CROQUIS_DATOS!$C$1525,70,MOD($A738-1,70)+1)=1,IF(INT(($A738-1)/70)+1&gt;CROQUIS_DATOS!$C$1525,70,MOD($A738-1,70)+1)&gt;2*CROQUIS_DATOS!$C$1541+1),CROQUIS_DATOS!$C$1476,INDEX($H$8:$H$41,MIN(INT((IF(INT(($A738-1)/70)+1&gt;CROQUIS_DATOS!$C$1525,70,MOD($A738-1,70)+1)-2)/2)+1,CROQUIS_DATOS!$C$1541))))*CROQUIS_DATOS!$C$1561*CROQUIS_DATOS!$C$1562),-1000)</f>
        <v>40.2068965517241</v>
      </c>
    </row>
    <row r="739">
      <c r="A739" t="n">
        <v>732</v>
      </c>
      <c r="N739">
        <f>IF(AND(CROQUIS_DATOS!$C$1472=1,1),(CROQUIS_DATOS!$C$1563+(IF(IF(IF(INT(($A739-1)/70)+1&gt;CROQUIS_DATOS!$C$1525,70,MOD($A739-1,70)+1)=1,0,IF(IF(INT(($A739-1)/70)+1&gt;CROQUIS_DATOS!$C$1525,70,MOD($A739-1,70)+1)&gt;2*CROQUIS_DATOS!$C$1541+1,IF(MOD(CROQUIS_DATOS!$C$1541,2)=1,1,0),IF(MOD(MIN(INT((IF(INT(($A739-1)/70)+1&gt;CROQUIS_DATOS!$C$1525,70,MOD($A739-1,70)+1)-2)/2)+1,CROQUIS_DATOS!$C$1541),2)=1,IF(MOD(IF(INT(($A739-1)/70)+1&gt;CROQUIS_DATOS!$C$1525,70,MOD($A739-1,70)+1)-2,2)=0,0,1),IF(MOD(IF(INT(($A739-1)/70)+1&gt;CROQUIS_DATOS!$C$1525,70,MOD($A739-1,70)+1)-2,2)=0,1,0))))=0,(INDEX($E$8:$E$23,MIN(INT(($A739-1)/70)+1,CROQUIS_DATOS!$C$1525))-INDEX($F$8:$F$23,MIN(INT(($A739-1)/70)+1,CROQUIS_DATOS!$C$1525))/2),(INDEX($E$8:$E$23,MIN(INT(($A739-1)/70)+1,CROQUIS_DATOS!$C$1525))+INDEX($F$8:$F$23,MIN(INT(($A739-1)/70)+1,CROQUIS_DATOS!$C$1525))/2)))*CROQUIS_DATOS!$C$1562),-1000)</f>
        <v>82.8189655172414</v>
      </c>
      <c r="O739">
        <f>IF(AND(CROQUIS_DATOS!$C$1472=1,1),(CROQUIS_DATOS!$C$1564+(IF(OR(IF(INT(($A739-1)/70)+1&gt;CROQUIS_DATOS!$C$1525,70,MOD($A739-1,70)+1)=1,IF(INT(($A739-1)/70)+1&gt;CROQUIS_DATOS!$C$1525,70,MOD($A739-1,70)+1)&gt;2*CROQUIS_DATOS!$C$1541+1),CROQUIS_DATOS!$C$1476,INDEX($H$8:$H$41,MIN(INT((IF(INT(($A739-1)/70)+1&gt;CROQUIS_DATOS!$C$1525,70,MOD($A739-1,70)+1)-2)/2)+1,CROQUIS_DATOS!$C$1541))))*CROQUIS_DATOS!$C$1561*CROQUIS_DATOS!$C$1562),-1000)</f>
        <v>40.2068965517241</v>
      </c>
    </row>
    <row r="740">
      <c r="A740" t="n">
        <v>733</v>
      </c>
      <c r="N740">
        <f>IF(AND(CROQUIS_DATOS!$C$1472=1,1),(CROQUIS_DATOS!$C$1563+(IF(IF(IF(INT(($A740-1)/70)+1&gt;CROQUIS_DATOS!$C$1525,70,MOD($A740-1,70)+1)=1,0,IF(IF(INT(($A740-1)/70)+1&gt;CROQUIS_DATOS!$C$1525,70,MOD($A740-1,70)+1)&gt;2*CROQUIS_DATOS!$C$1541+1,IF(MOD(CROQUIS_DATOS!$C$1541,2)=1,1,0),IF(MOD(MIN(INT((IF(INT(($A740-1)/70)+1&gt;CROQUIS_DATOS!$C$1525,70,MOD($A740-1,70)+1)-2)/2)+1,CROQUIS_DATOS!$C$1541),2)=1,IF(MOD(IF(INT(($A740-1)/70)+1&gt;CROQUIS_DATOS!$C$1525,70,MOD($A740-1,70)+1)-2,2)=0,0,1),IF(MOD(IF(INT(($A740-1)/70)+1&gt;CROQUIS_DATOS!$C$1525,70,MOD($A740-1,70)+1)-2,2)=0,1,0))))=0,(INDEX($E$8:$E$23,MIN(INT(($A740-1)/70)+1,CROQUIS_DATOS!$C$1525))-INDEX($F$8:$F$23,MIN(INT(($A740-1)/70)+1,CROQUIS_DATOS!$C$1525))/2),(INDEX($E$8:$E$23,MIN(INT(($A740-1)/70)+1,CROQUIS_DATOS!$C$1525))+INDEX($F$8:$F$23,MIN(INT(($A740-1)/70)+1,CROQUIS_DATOS!$C$1525))/2)))*CROQUIS_DATOS!$C$1562),-1000)</f>
        <v>82.8189655172414</v>
      </c>
      <c r="O740">
        <f>IF(AND(CROQUIS_DATOS!$C$1472=1,1),(CROQUIS_DATOS!$C$1564+(IF(OR(IF(INT(($A740-1)/70)+1&gt;CROQUIS_DATOS!$C$1525,70,MOD($A740-1,70)+1)=1,IF(INT(($A740-1)/70)+1&gt;CROQUIS_DATOS!$C$1525,70,MOD($A740-1,70)+1)&gt;2*CROQUIS_DATOS!$C$1541+1),CROQUIS_DATOS!$C$1476,INDEX($H$8:$H$41,MIN(INT((IF(INT(($A740-1)/70)+1&gt;CROQUIS_DATOS!$C$1525,70,MOD($A740-1,70)+1)-2)/2)+1,CROQUIS_DATOS!$C$1541))))*CROQUIS_DATOS!$C$1561*CROQUIS_DATOS!$C$1562),-1000)</f>
        <v>40.2068965517241</v>
      </c>
    </row>
    <row r="741">
      <c r="A741" t="n">
        <v>734</v>
      </c>
      <c r="N741">
        <f>IF(AND(CROQUIS_DATOS!$C$1472=1,1),(CROQUIS_DATOS!$C$1563+(IF(IF(IF(INT(($A741-1)/70)+1&gt;CROQUIS_DATOS!$C$1525,70,MOD($A741-1,70)+1)=1,0,IF(IF(INT(($A741-1)/70)+1&gt;CROQUIS_DATOS!$C$1525,70,MOD($A741-1,70)+1)&gt;2*CROQUIS_DATOS!$C$1541+1,IF(MOD(CROQUIS_DATOS!$C$1541,2)=1,1,0),IF(MOD(MIN(INT((IF(INT(($A741-1)/70)+1&gt;CROQUIS_DATOS!$C$1525,70,MOD($A741-1,70)+1)-2)/2)+1,CROQUIS_DATOS!$C$1541),2)=1,IF(MOD(IF(INT(($A741-1)/70)+1&gt;CROQUIS_DATOS!$C$1525,70,MOD($A741-1,70)+1)-2,2)=0,0,1),IF(MOD(IF(INT(($A741-1)/70)+1&gt;CROQUIS_DATOS!$C$1525,70,MOD($A741-1,70)+1)-2,2)=0,1,0))))=0,(INDEX($E$8:$E$23,MIN(INT(($A741-1)/70)+1,CROQUIS_DATOS!$C$1525))-INDEX($F$8:$F$23,MIN(INT(($A741-1)/70)+1,CROQUIS_DATOS!$C$1525))/2),(INDEX($E$8:$E$23,MIN(INT(($A741-1)/70)+1,CROQUIS_DATOS!$C$1525))+INDEX($F$8:$F$23,MIN(INT(($A741-1)/70)+1,CROQUIS_DATOS!$C$1525))/2)))*CROQUIS_DATOS!$C$1562),-1000)</f>
        <v>82.8189655172414</v>
      </c>
      <c r="O741">
        <f>IF(AND(CROQUIS_DATOS!$C$1472=1,1),(CROQUIS_DATOS!$C$1564+(IF(OR(IF(INT(($A741-1)/70)+1&gt;CROQUIS_DATOS!$C$1525,70,MOD($A741-1,70)+1)=1,IF(INT(($A741-1)/70)+1&gt;CROQUIS_DATOS!$C$1525,70,MOD($A741-1,70)+1)&gt;2*CROQUIS_DATOS!$C$1541+1),CROQUIS_DATOS!$C$1476,INDEX($H$8:$H$41,MIN(INT((IF(INT(($A741-1)/70)+1&gt;CROQUIS_DATOS!$C$1525,70,MOD($A741-1,70)+1)-2)/2)+1,CROQUIS_DATOS!$C$1541))))*CROQUIS_DATOS!$C$1561*CROQUIS_DATOS!$C$1562),-1000)</f>
        <v>40.2068965517241</v>
      </c>
    </row>
    <row r="742">
      <c r="A742" t="n">
        <v>735</v>
      </c>
      <c r="N742">
        <f>IF(AND(CROQUIS_DATOS!$C$1472=1,1),(CROQUIS_DATOS!$C$1563+(IF(IF(IF(INT(($A742-1)/70)+1&gt;CROQUIS_DATOS!$C$1525,70,MOD($A742-1,70)+1)=1,0,IF(IF(INT(($A742-1)/70)+1&gt;CROQUIS_DATOS!$C$1525,70,MOD($A742-1,70)+1)&gt;2*CROQUIS_DATOS!$C$1541+1,IF(MOD(CROQUIS_DATOS!$C$1541,2)=1,1,0),IF(MOD(MIN(INT((IF(INT(($A742-1)/70)+1&gt;CROQUIS_DATOS!$C$1525,70,MOD($A742-1,70)+1)-2)/2)+1,CROQUIS_DATOS!$C$1541),2)=1,IF(MOD(IF(INT(($A742-1)/70)+1&gt;CROQUIS_DATOS!$C$1525,70,MOD($A742-1,70)+1)-2,2)=0,0,1),IF(MOD(IF(INT(($A742-1)/70)+1&gt;CROQUIS_DATOS!$C$1525,70,MOD($A742-1,70)+1)-2,2)=0,1,0))))=0,(INDEX($E$8:$E$23,MIN(INT(($A742-1)/70)+1,CROQUIS_DATOS!$C$1525))-INDEX($F$8:$F$23,MIN(INT(($A742-1)/70)+1,CROQUIS_DATOS!$C$1525))/2),(INDEX($E$8:$E$23,MIN(INT(($A742-1)/70)+1,CROQUIS_DATOS!$C$1525))+INDEX($F$8:$F$23,MIN(INT(($A742-1)/70)+1,CROQUIS_DATOS!$C$1525))/2)))*CROQUIS_DATOS!$C$1562),-1000)</f>
        <v>82.8189655172414</v>
      </c>
      <c r="O742">
        <f>IF(AND(CROQUIS_DATOS!$C$1472=1,1),(CROQUIS_DATOS!$C$1564+(IF(OR(IF(INT(($A742-1)/70)+1&gt;CROQUIS_DATOS!$C$1525,70,MOD($A742-1,70)+1)=1,IF(INT(($A742-1)/70)+1&gt;CROQUIS_DATOS!$C$1525,70,MOD($A742-1,70)+1)&gt;2*CROQUIS_DATOS!$C$1541+1),CROQUIS_DATOS!$C$1476,INDEX($H$8:$H$41,MIN(INT((IF(INT(($A742-1)/70)+1&gt;CROQUIS_DATOS!$C$1525,70,MOD($A742-1,70)+1)-2)/2)+1,CROQUIS_DATOS!$C$1541))))*CROQUIS_DATOS!$C$1561*CROQUIS_DATOS!$C$1562),-1000)</f>
        <v>40.2068965517241</v>
      </c>
    </row>
    <row r="743">
      <c r="A743" t="n">
        <v>736</v>
      </c>
      <c r="N743">
        <f>IF(AND(CROQUIS_DATOS!$C$1472=1,1),(CROQUIS_DATOS!$C$1563+(IF(IF(IF(INT(($A743-1)/70)+1&gt;CROQUIS_DATOS!$C$1525,70,MOD($A743-1,70)+1)=1,0,IF(IF(INT(($A743-1)/70)+1&gt;CROQUIS_DATOS!$C$1525,70,MOD($A743-1,70)+1)&gt;2*CROQUIS_DATOS!$C$1541+1,IF(MOD(CROQUIS_DATOS!$C$1541,2)=1,1,0),IF(MOD(MIN(INT((IF(INT(($A743-1)/70)+1&gt;CROQUIS_DATOS!$C$1525,70,MOD($A743-1,70)+1)-2)/2)+1,CROQUIS_DATOS!$C$1541),2)=1,IF(MOD(IF(INT(($A743-1)/70)+1&gt;CROQUIS_DATOS!$C$1525,70,MOD($A743-1,70)+1)-2,2)=0,0,1),IF(MOD(IF(INT(($A743-1)/70)+1&gt;CROQUIS_DATOS!$C$1525,70,MOD($A743-1,70)+1)-2,2)=0,1,0))))=0,(INDEX($E$8:$E$23,MIN(INT(($A743-1)/70)+1,CROQUIS_DATOS!$C$1525))-INDEX($F$8:$F$23,MIN(INT(($A743-1)/70)+1,CROQUIS_DATOS!$C$1525))/2),(INDEX($E$8:$E$23,MIN(INT(($A743-1)/70)+1,CROQUIS_DATOS!$C$1525))+INDEX($F$8:$F$23,MIN(INT(($A743-1)/70)+1,CROQUIS_DATOS!$C$1525))/2)))*CROQUIS_DATOS!$C$1562),-1000)</f>
        <v>82.8189655172414</v>
      </c>
      <c r="O743">
        <f>IF(AND(CROQUIS_DATOS!$C$1472=1,1),(CROQUIS_DATOS!$C$1564+(IF(OR(IF(INT(($A743-1)/70)+1&gt;CROQUIS_DATOS!$C$1525,70,MOD($A743-1,70)+1)=1,IF(INT(($A743-1)/70)+1&gt;CROQUIS_DATOS!$C$1525,70,MOD($A743-1,70)+1)&gt;2*CROQUIS_DATOS!$C$1541+1),CROQUIS_DATOS!$C$1476,INDEX($H$8:$H$41,MIN(INT((IF(INT(($A743-1)/70)+1&gt;CROQUIS_DATOS!$C$1525,70,MOD($A743-1,70)+1)-2)/2)+1,CROQUIS_DATOS!$C$1541))))*CROQUIS_DATOS!$C$1561*CROQUIS_DATOS!$C$1562),-1000)</f>
        <v>40.2068965517241</v>
      </c>
    </row>
    <row r="744">
      <c r="A744" t="n">
        <v>737</v>
      </c>
      <c r="N744">
        <f>IF(AND(CROQUIS_DATOS!$C$1472=1,1),(CROQUIS_DATOS!$C$1563+(IF(IF(IF(INT(($A744-1)/70)+1&gt;CROQUIS_DATOS!$C$1525,70,MOD($A744-1,70)+1)=1,0,IF(IF(INT(($A744-1)/70)+1&gt;CROQUIS_DATOS!$C$1525,70,MOD($A744-1,70)+1)&gt;2*CROQUIS_DATOS!$C$1541+1,IF(MOD(CROQUIS_DATOS!$C$1541,2)=1,1,0),IF(MOD(MIN(INT((IF(INT(($A744-1)/70)+1&gt;CROQUIS_DATOS!$C$1525,70,MOD($A744-1,70)+1)-2)/2)+1,CROQUIS_DATOS!$C$1541),2)=1,IF(MOD(IF(INT(($A744-1)/70)+1&gt;CROQUIS_DATOS!$C$1525,70,MOD($A744-1,70)+1)-2,2)=0,0,1),IF(MOD(IF(INT(($A744-1)/70)+1&gt;CROQUIS_DATOS!$C$1525,70,MOD($A744-1,70)+1)-2,2)=0,1,0))))=0,(INDEX($E$8:$E$23,MIN(INT(($A744-1)/70)+1,CROQUIS_DATOS!$C$1525))-INDEX($F$8:$F$23,MIN(INT(($A744-1)/70)+1,CROQUIS_DATOS!$C$1525))/2),(INDEX($E$8:$E$23,MIN(INT(($A744-1)/70)+1,CROQUIS_DATOS!$C$1525))+INDEX($F$8:$F$23,MIN(INT(($A744-1)/70)+1,CROQUIS_DATOS!$C$1525))/2)))*CROQUIS_DATOS!$C$1562),-1000)</f>
        <v>82.8189655172414</v>
      </c>
      <c r="O744">
        <f>IF(AND(CROQUIS_DATOS!$C$1472=1,1),(CROQUIS_DATOS!$C$1564+(IF(OR(IF(INT(($A744-1)/70)+1&gt;CROQUIS_DATOS!$C$1525,70,MOD($A744-1,70)+1)=1,IF(INT(($A744-1)/70)+1&gt;CROQUIS_DATOS!$C$1525,70,MOD($A744-1,70)+1)&gt;2*CROQUIS_DATOS!$C$1541+1),CROQUIS_DATOS!$C$1476,INDEX($H$8:$H$41,MIN(INT((IF(INT(($A744-1)/70)+1&gt;CROQUIS_DATOS!$C$1525,70,MOD($A744-1,70)+1)-2)/2)+1,CROQUIS_DATOS!$C$1541))))*CROQUIS_DATOS!$C$1561*CROQUIS_DATOS!$C$1562),-1000)</f>
        <v>40.2068965517241</v>
      </c>
    </row>
    <row r="745">
      <c r="A745" t="n">
        <v>738</v>
      </c>
      <c r="N745">
        <f>IF(AND(CROQUIS_DATOS!$C$1472=1,1),(CROQUIS_DATOS!$C$1563+(IF(IF(IF(INT(($A745-1)/70)+1&gt;CROQUIS_DATOS!$C$1525,70,MOD($A745-1,70)+1)=1,0,IF(IF(INT(($A745-1)/70)+1&gt;CROQUIS_DATOS!$C$1525,70,MOD($A745-1,70)+1)&gt;2*CROQUIS_DATOS!$C$1541+1,IF(MOD(CROQUIS_DATOS!$C$1541,2)=1,1,0),IF(MOD(MIN(INT((IF(INT(($A745-1)/70)+1&gt;CROQUIS_DATOS!$C$1525,70,MOD($A745-1,70)+1)-2)/2)+1,CROQUIS_DATOS!$C$1541),2)=1,IF(MOD(IF(INT(($A745-1)/70)+1&gt;CROQUIS_DATOS!$C$1525,70,MOD($A745-1,70)+1)-2,2)=0,0,1),IF(MOD(IF(INT(($A745-1)/70)+1&gt;CROQUIS_DATOS!$C$1525,70,MOD($A745-1,70)+1)-2,2)=0,1,0))))=0,(INDEX($E$8:$E$23,MIN(INT(($A745-1)/70)+1,CROQUIS_DATOS!$C$1525))-INDEX($F$8:$F$23,MIN(INT(($A745-1)/70)+1,CROQUIS_DATOS!$C$1525))/2),(INDEX($E$8:$E$23,MIN(INT(($A745-1)/70)+1,CROQUIS_DATOS!$C$1525))+INDEX($F$8:$F$23,MIN(INT(($A745-1)/70)+1,CROQUIS_DATOS!$C$1525))/2)))*CROQUIS_DATOS!$C$1562),-1000)</f>
        <v>82.8189655172414</v>
      </c>
      <c r="O745">
        <f>IF(AND(CROQUIS_DATOS!$C$1472=1,1),(CROQUIS_DATOS!$C$1564+(IF(OR(IF(INT(($A745-1)/70)+1&gt;CROQUIS_DATOS!$C$1525,70,MOD($A745-1,70)+1)=1,IF(INT(($A745-1)/70)+1&gt;CROQUIS_DATOS!$C$1525,70,MOD($A745-1,70)+1)&gt;2*CROQUIS_DATOS!$C$1541+1),CROQUIS_DATOS!$C$1476,INDEX($H$8:$H$41,MIN(INT((IF(INT(($A745-1)/70)+1&gt;CROQUIS_DATOS!$C$1525,70,MOD($A745-1,70)+1)-2)/2)+1,CROQUIS_DATOS!$C$1541))))*CROQUIS_DATOS!$C$1561*CROQUIS_DATOS!$C$1562),-1000)</f>
        <v>40.2068965517241</v>
      </c>
    </row>
    <row r="746">
      <c r="A746" t="n">
        <v>739</v>
      </c>
      <c r="N746">
        <f>IF(AND(CROQUIS_DATOS!$C$1472=1,1),(CROQUIS_DATOS!$C$1563+(IF(IF(IF(INT(($A746-1)/70)+1&gt;CROQUIS_DATOS!$C$1525,70,MOD($A746-1,70)+1)=1,0,IF(IF(INT(($A746-1)/70)+1&gt;CROQUIS_DATOS!$C$1525,70,MOD($A746-1,70)+1)&gt;2*CROQUIS_DATOS!$C$1541+1,IF(MOD(CROQUIS_DATOS!$C$1541,2)=1,1,0),IF(MOD(MIN(INT((IF(INT(($A746-1)/70)+1&gt;CROQUIS_DATOS!$C$1525,70,MOD($A746-1,70)+1)-2)/2)+1,CROQUIS_DATOS!$C$1541),2)=1,IF(MOD(IF(INT(($A746-1)/70)+1&gt;CROQUIS_DATOS!$C$1525,70,MOD($A746-1,70)+1)-2,2)=0,0,1),IF(MOD(IF(INT(($A746-1)/70)+1&gt;CROQUIS_DATOS!$C$1525,70,MOD($A746-1,70)+1)-2,2)=0,1,0))))=0,(INDEX($E$8:$E$23,MIN(INT(($A746-1)/70)+1,CROQUIS_DATOS!$C$1525))-INDEX($F$8:$F$23,MIN(INT(($A746-1)/70)+1,CROQUIS_DATOS!$C$1525))/2),(INDEX($E$8:$E$23,MIN(INT(($A746-1)/70)+1,CROQUIS_DATOS!$C$1525))+INDEX($F$8:$F$23,MIN(INT(($A746-1)/70)+1,CROQUIS_DATOS!$C$1525))/2)))*CROQUIS_DATOS!$C$1562),-1000)</f>
        <v>82.8189655172414</v>
      </c>
      <c r="O746">
        <f>IF(AND(CROQUIS_DATOS!$C$1472=1,1),(CROQUIS_DATOS!$C$1564+(IF(OR(IF(INT(($A746-1)/70)+1&gt;CROQUIS_DATOS!$C$1525,70,MOD($A746-1,70)+1)=1,IF(INT(($A746-1)/70)+1&gt;CROQUIS_DATOS!$C$1525,70,MOD($A746-1,70)+1)&gt;2*CROQUIS_DATOS!$C$1541+1),CROQUIS_DATOS!$C$1476,INDEX($H$8:$H$41,MIN(INT((IF(INT(($A746-1)/70)+1&gt;CROQUIS_DATOS!$C$1525,70,MOD($A746-1,70)+1)-2)/2)+1,CROQUIS_DATOS!$C$1541))))*CROQUIS_DATOS!$C$1561*CROQUIS_DATOS!$C$1562),-1000)</f>
        <v>40.2068965517241</v>
      </c>
    </row>
    <row r="747">
      <c r="A747" t="n">
        <v>740</v>
      </c>
      <c r="N747">
        <f>IF(AND(CROQUIS_DATOS!$C$1472=1,1),(CROQUIS_DATOS!$C$1563+(IF(IF(IF(INT(($A747-1)/70)+1&gt;CROQUIS_DATOS!$C$1525,70,MOD($A747-1,70)+1)=1,0,IF(IF(INT(($A747-1)/70)+1&gt;CROQUIS_DATOS!$C$1525,70,MOD($A747-1,70)+1)&gt;2*CROQUIS_DATOS!$C$1541+1,IF(MOD(CROQUIS_DATOS!$C$1541,2)=1,1,0),IF(MOD(MIN(INT((IF(INT(($A747-1)/70)+1&gt;CROQUIS_DATOS!$C$1525,70,MOD($A747-1,70)+1)-2)/2)+1,CROQUIS_DATOS!$C$1541),2)=1,IF(MOD(IF(INT(($A747-1)/70)+1&gt;CROQUIS_DATOS!$C$1525,70,MOD($A747-1,70)+1)-2,2)=0,0,1),IF(MOD(IF(INT(($A747-1)/70)+1&gt;CROQUIS_DATOS!$C$1525,70,MOD($A747-1,70)+1)-2,2)=0,1,0))))=0,(INDEX($E$8:$E$23,MIN(INT(($A747-1)/70)+1,CROQUIS_DATOS!$C$1525))-INDEX($F$8:$F$23,MIN(INT(($A747-1)/70)+1,CROQUIS_DATOS!$C$1525))/2),(INDEX($E$8:$E$23,MIN(INT(($A747-1)/70)+1,CROQUIS_DATOS!$C$1525))+INDEX($F$8:$F$23,MIN(INT(($A747-1)/70)+1,CROQUIS_DATOS!$C$1525))/2)))*CROQUIS_DATOS!$C$1562),-1000)</f>
        <v>82.8189655172414</v>
      </c>
      <c r="O747">
        <f>IF(AND(CROQUIS_DATOS!$C$1472=1,1),(CROQUIS_DATOS!$C$1564+(IF(OR(IF(INT(($A747-1)/70)+1&gt;CROQUIS_DATOS!$C$1525,70,MOD($A747-1,70)+1)=1,IF(INT(($A747-1)/70)+1&gt;CROQUIS_DATOS!$C$1525,70,MOD($A747-1,70)+1)&gt;2*CROQUIS_DATOS!$C$1541+1),CROQUIS_DATOS!$C$1476,INDEX($H$8:$H$41,MIN(INT((IF(INT(($A747-1)/70)+1&gt;CROQUIS_DATOS!$C$1525,70,MOD($A747-1,70)+1)-2)/2)+1,CROQUIS_DATOS!$C$1541))))*CROQUIS_DATOS!$C$1561*CROQUIS_DATOS!$C$1562),-1000)</f>
        <v>40.2068965517241</v>
      </c>
    </row>
    <row r="748">
      <c r="A748" t="n">
        <v>741</v>
      </c>
      <c r="N748">
        <f>IF(AND(CROQUIS_DATOS!$C$1472=1,1),(CROQUIS_DATOS!$C$1563+(IF(IF(IF(INT(($A748-1)/70)+1&gt;CROQUIS_DATOS!$C$1525,70,MOD($A748-1,70)+1)=1,0,IF(IF(INT(($A748-1)/70)+1&gt;CROQUIS_DATOS!$C$1525,70,MOD($A748-1,70)+1)&gt;2*CROQUIS_DATOS!$C$1541+1,IF(MOD(CROQUIS_DATOS!$C$1541,2)=1,1,0),IF(MOD(MIN(INT((IF(INT(($A748-1)/70)+1&gt;CROQUIS_DATOS!$C$1525,70,MOD($A748-1,70)+1)-2)/2)+1,CROQUIS_DATOS!$C$1541),2)=1,IF(MOD(IF(INT(($A748-1)/70)+1&gt;CROQUIS_DATOS!$C$1525,70,MOD($A748-1,70)+1)-2,2)=0,0,1),IF(MOD(IF(INT(($A748-1)/70)+1&gt;CROQUIS_DATOS!$C$1525,70,MOD($A748-1,70)+1)-2,2)=0,1,0))))=0,(INDEX($E$8:$E$23,MIN(INT(($A748-1)/70)+1,CROQUIS_DATOS!$C$1525))-INDEX($F$8:$F$23,MIN(INT(($A748-1)/70)+1,CROQUIS_DATOS!$C$1525))/2),(INDEX($E$8:$E$23,MIN(INT(($A748-1)/70)+1,CROQUIS_DATOS!$C$1525))+INDEX($F$8:$F$23,MIN(INT(($A748-1)/70)+1,CROQUIS_DATOS!$C$1525))/2)))*CROQUIS_DATOS!$C$1562),-1000)</f>
        <v>82.8189655172414</v>
      </c>
      <c r="O748">
        <f>IF(AND(CROQUIS_DATOS!$C$1472=1,1),(CROQUIS_DATOS!$C$1564+(IF(OR(IF(INT(($A748-1)/70)+1&gt;CROQUIS_DATOS!$C$1525,70,MOD($A748-1,70)+1)=1,IF(INT(($A748-1)/70)+1&gt;CROQUIS_DATOS!$C$1525,70,MOD($A748-1,70)+1)&gt;2*CROQUIS_DATOS!$C$1541+1),CROQUIS_DATOS!$C$1476,INDEX($H$8:$H$41,MIN(INT((IF(INT(($A748-1)/70)+1&gt;CROQUIS_DATOS!$C$1525,70,MOD($A748-1,70)+1)-2)/2)+1,CROQUIS_DATOS!$C$1541))))*CROQUIS_DATOS!$C$1561*CROQUIS_DATOS!$C$1562),-1000)</f>
        <v>40.2068965517241</v>
      </c>
    </row>
    <row r="749">
      <c r="A749" t="n">
        <v>742</v>
      </c>
      <c r="N749">
        <f>IF(AND(CROQUIS_DATOS!$C$1472=1,1),(CROQUIS_DATOS!$C$1563+(IF(IF(IF(INT(($A749-1)/70)+1&gt;CROQUIS_DATOS!$C$1525,70,MOD($A749-1,70)+1)=1,0,IF(IF(INT(($A749-1)/70)+1&gt;CROQUIS_DATOS!$C$1525,70,MOD($A749-1,70)+1)&gt;2*CROQUIS_DATOS!$C$1541+1,IF(MOD(CROQUIS_DATOS!$C$1541,2)=1,1,0),IF(MOD(MIN(INT((IF(INT(($A749-1)/70)+1&gt;CROQUIS_DATOS!$C$1525,70,MOD($A749-1,70)+1)-2)/2)+1,CROQUIS_DATOS!$C$1541),2)=1,IF(MOD(IF(INT(($A749-1)/70)+1&gt;CROQUIS_DATOS!$C$1525,70,MOD($A749-1,70)+1)-2,2)=0,0,1),IF(MOD(IF(INT(($A749-1)/70)+1&gt;CROQUIS_DATOS!$C$1525,70,MOD($A749-1,70)+1)-2,2)=0,1,0))))=0,(INDEX($E$8:$E$23,MIN(INT(($A749-1)/70)+1,CROQUIS_DATOS!$C$1525))-INDEX($F$8:$F$23,MIN(INT(($A749-1)/70)+1,CROQUIS_DATOS!$C$1525))/2),(INDEX($E$8:$E$23,MIN(INT(($A749-1)/70)+1,CROQUIS_DATOS!$C$1525))+INDEX($F$8:$F$23,MIN(INT(($A749-1)/70)+1,CROQUIS_DATOS!$C$1525))/2)))*CROQUIS_DATOS!$C$1562),-1000)</f>
        <v>82.8189655172414</v>
      </c>
      <c r="O749">
        <f>IF(AND(CROQUIS_DATOS!$C$1472=1,1),(CROQUIS_DATOS!$C$1564+(IF(OR(IF(INT(($A749-1)/70)+1&gt;CROQUIS_DATOS!$C$1525,70,MOD($A749-1,70)+1)=1,IF(INT(($A749-1)/70)+1&gt;CROQUIS_DATOS!$C$1525,70,MOD($A749-1,70)+1)&gt;2*CROQUIS_DATOS!$C$1541+1),CROQUIS_DATOS!$C$1476,INDEX($H$8:$H$41,MIN(INT((IF(INT(($A749-1)/70)+1&gt;CROQUIS_DATOS!$C$1525,70,MOD($A749-1,70)+1)-2)/2)+1,CROQUIS_DATOS!$C$1541))))*CROQUIS_DATOS!$C$1561*CROQUIS_DATOS!$C$1562),-1000)</f>
        <v>40.2068965517241</v>
      </c>
    </row>
    <row r="750">
      <c r="A750" t="n">
        <v>743</v>
      </c>
      <c r="N750">
        <f>IF(AND(CROQUIS_DATOS!$C$1472=1,1),(CROQUIS_DATOS!$C$1563+(IF(IF(IF(INT(($A750-1)/70)+1&gt;CROQUIS_DATOS!$C$1525,70,MOD($A750-1,70)+1)=1,0,IF(IF(INT(($A750-1)/70)+1&gt;CROQUIS_DATOS!$C$1525,70,MOD($A750-1,70)+1)&gt;2*CROQUIS_DATOS!$C$1541+1,IF(MOD(CROQUIS_DATOS!$C$1541,2)=1,1,0),IF(MOD(MIN(INT((IF(INT(($A750-1)/70)+1&gt;CROQUIS_DATOS!$C$1525,70,MOD($A750-1,70)+1)-2)/2)+1,CROQUIS_DATOS!$C$1541),2)=1,IF(MOD(IF(INT(($A750-1)/70)+1&gt;CROQUIS_DATOS!$C$1525,70,MOD($A750-1,70)+1)-2,2)=0,0,1),IF(MOD(IF(INT(($A750-1)/70)+1&gt;CROQUIS_DATOS!$C$1525,70,MOD($A750-1,70)+1)-2,2)=0,1,0))))=0,(INDEX($E$8:$E$23,MIN(INT(($A750-1)/70)+1,CROQUIS_DATOS!$C$1525))-INDEX($F$8:$F$23,MIN(INT(($A750-1)/70)+1,CROQUIS_DATOS!$C$1525))/2),(INDEX($E$8:$E$23,MIN(INT(($A750-1)/70)+1,CROQUIS_DATOS!$C$1525))+INDEX($F$8:$F$23,MIN(INT(($A750-1)/70)+1,CROQUIS_DATOS!$C$1525))/2)))*CROQUIS_DATOS!$C$1562),-1000)</f>
        <v>82.8189655172414</v>
      </c>
      <c r="O750">
        <f>IF(AND(CROQUIS_DATOS!$C$1472=1,1),(CROQUIS_DATOS!$C$1564+(IF(OR(IF(INT(($A750-1)/70)+1&gt;CROQUIS_DATOS!$C$1525,70,MOD($A750-1,70)+1)=1,IF(INT(($A750-1)/70)+1&gt;CROQUIS_DATOS!$C$1525,70,MOD($A750-1,70)+1)&gt;2*CROQUIS_DATOS!$C$1541+1),CROQUIS_DATOS!$C$1476,INDEX($H$8:$H$41,MIN(INT((IF(INT(($A750-1)/70)+1&gt;CROQUIS_DATOS!$C$1525,70,MOD($A750-1,70)+1)-2)/2)+1,CROQUIS_DATOS!$C$1541))))*CROQUIS_DATOS!$C$1561*CROQUIS_DATOS!$C$1562),-1000)</f>
        <v>40.2068965517241</v>
      </c>
    </row>
    <row r="751">
      <c r="A751" t="n">
        <v>744</v>
      </c>
      <c r="N751">
        <f>IF(AND(CROQUIS_DATOS!$C$1472=1,1),(CROQUIS_DATOS!$C$1563+(IF(IF(IF(INT(($A751-1)/70)+1&gt;CROQUIS_DATOS!$C$1525,70,MOD($A751-1,70)+1)=1,0,IF(IF(INT(($A751-1)/70)+1&gt;CROQUIS_DATOS!$C$1525,70,MOD($A751-1,70)+1)&gt;2*CROQUIS_DATOS!$C$1541+1,IF(MOD(CROQUIS_DATOS!$C$1541,2)=1,1,0),IF(MOD(MIN(INT((IF(INT(($A751-1)/70)+1&gt;CROQUIS_DATOS!$C$1525,70,MOD($A751-1,70)+1)-2)/2)+1,CROQUIS_DATOS!$C$1541),2)=1,IF(MOD(IF(INT(($A751-1)/70)+1&gt;CROQUIS_DATOS!$C$1525,70,MOD($A751-1,70)+1)-2,2)=0,0,1),IF(MOD(IF(INT(($A751-1)/70)+1&gt;CROQUIS_DATOS!$C$1525,70,MOD($A751-1,70)+1)-2,2)=0,1,0))))=0,(INDEX($E$8:$E$23,MIN(INT(($A751-1)/70)+1,CROQUIS_DATOS!$C$1525))-INDEX($F$8:$F$23,MIN(INT(($A751-1)/70)+1,CROQUIS_DATOS!$C$1525))/2),(INDEX($E$8:$E$23,MIN(INT(($A751-1)/70)+1,CROQUIS_DATOS!$C$1525))+INDEX($F$8:$F$23,MIN(INT(($A751-1)/70)+1,CROQUIS_DATOS!$C$1525))/2)))*CROQUIS_DATOS!$C$1562),-1000)</f>
        <v>82.8189655172414</v>
      </c>
      <c r="O751">
        <f>IF(AND(CROQUIS_DATOS!$C$1472=1,1),(CROQUIS_DATOS!$C$1564+(IF(OR(IF(INT(($A751-1)/70)+1&gt;CROQUIS_DATOS!$C$1525,70,MOD($A751-1,70)+1)=1,IF(INT(($A751-1)/70)+1&gt;CROQUIS_DATOS!$C$1525,70,MOD($A751-1,70)+1)&gt;2*CROQUIS_DATOS!$C$1541+1),CROQUIS_DATOS!$C$1476,INDEX($H$8:$H$41,MIN(INT((IF(INT(($A751-1)/70)+1&gt;CROQUIS_DATOS!$C$1525,70,MOD($A751-1,70)+1)-2)/2)+1,CROQUIS_DATOS!$C$1541))))*CROQUIS_DATOS!$C$1561*CROQUIS_DATOS!$C$1562),-1000)</f>
        <v>40.2068965517241</v>
      </c>
    </row>
    <row r="752">
      <c r="A752" t="n">
        <v>745</v>
      </c>
      <c r="N752">
        <f>IF(AND(CROQUIS_DATOS!$C$1472=1,1),(CROQUIS_DATOS!$C$1563+(IF(IF(IF(INT(($A752-1)/70)+1&gt;CROQUIS_DATOS!$C$1525,70,MOD($A752-1,70)+1)=1,0,IF(IF(INT(($A752-1)/70)+1&gt;CROQUIS_DATOS!$C$1525,70,MOD($A752-1,70)+1)&gt;2*CROQUIS_DATOS!$C$1541+1,IF(MOD(CROQUIS_DATOS!$C$1541,2)=1,1,0),IF(MOD(MIN(INT((IF(INT(($A752-1)/70)+1&gt;CROQUIS_DATOS!$C$1525,70,MOD($A752-1,70)+1)-2)/2)+1,CROQUIS_DATOS!$C$1541),2)=1,IF(MOD(IF(INT(($A752-1)/70)+1&gt;CROQUIS_DATOS!$C$1525,70,MOD($A752-1,70)+1)-2,2)=0,0,1),IF(MOD(IF(INT(($A752-1)/70)+1&gt;CROQUIS_DATOS!$C$1525,70,MOD($A752-1,70)+1)-2,2)=0,1,0))))=0,(INDEX($E$8:$E$23,MIN(INT(($A752-1)/70)+1,CROQUIS_DATOS!$C$1525))-INDEX($F$8:$F$23,MIN(INT(($A752-1)/70)+1,CROQUIS_DATOS!$C$1525))/2),(INDEX($E$8:$E$23,MIN(INT(($A752-1)/70)+1,CROQUIS_DATOS!$C$1525))+INDEX($F$8:$F$23,MIN(INT(($A752-1)/70)+1,CROQUIS_DATOS!$C$1525))/2)))*CROQUIS_DATOS!$C$1562),-1000)</f>
        <v>82.8189655172414</v>
      </c>
      <c r="O752">
        <f>IF(AND(CROQUIS_DATOS!$C$1472=1,1),(CROQUIS_DATOS!$C$1564+(IF(OR(IF(INT(($A752-1)/70)+1&gt;CROQUIS_DATOS!$C$1525,70,MOD($A752-1,70)+1)=1,IF(INT(($A752-1)/70)+1&gt;CROQUIS_DATOS!$C$1525,70,MOD($A752-1,70)+1)&gt;2*CROQUIS_DATOS!$C$1541+1),CROQUIS_DATOS!$C$1476,INDEX($H$8:$H$41,MIN(INT((IF(INT(($A752-1)/70)+1&gt;CROQUIS_DATOS!$C$1525,70,MOD($A752-1,70)+1)-2)/2)+1,CROQUIS_DATOS!$C$1541))))*CROQUIS_DATOS!$C$1561*CROQUIS_DATOS!$C$1562),-1000)</f>
        <v>40.2068965517241</v>
      </c>
    </row>
    <row r="753">
      <c r="A753" t="n">
        <v>746</v>
      </c>
      <c r="N753">
        <f>IF(AND(CROQUIS_DATOS!$C$1472=1,1),(CROQUIS_DATOS!$C$1563+(IF(IF(IF(INT(($A753-1)/70)+1&gt;CROQUIS_DATOS!$C$1525,70,MOD($A753-1,70)+1)=1,0,IF(IF(INT(($A753-1)/70)+1&gt;CROQUIS_DATOS!$C$1525,70,MOD($A753-1,70)+1)&gt;2*CROQUIS_DATOS!$C$1541+1,IF(MOD(CROQUIS_DATOS!$C$1541,2)=1,1,0),IF(MOD(MIN(INT((IF(INT(($A753-1)/70)+1&gt;CROQUIS_DATOS!$C$1525,70,MOD($A753-1,70)+1)-2)/2)+1,CROQUIS_DATOS!$C$1541),2)=1,IF(MOD(IF(INT(($A753-1)/70)+1&gt;CROQUIS_DATOS!$C$1525,70,MOD($A753-1,70)+1)-2,2)=0,0,1),IF(MOD(IF(INT(($A753-1)/70)+1&gt;CROQUIS_DATOS!$C$1525,70,MOD($A753-1,70)+1)-2,2)=0,1,0))))=0,(INDEX($E$8:$E$23,MIN(INT(($A753-1)/70)+1,CROQUIS_DATOS!$C$1525))-INDEX($F$8:$F$23,MIN(INT(($A753-1)/70)+1,CROQUIS_DATOS!$C$1525))/2),(INDEX($E$8:$E$23,MIN(INT(($A753-1)/70)+1,CROQUIS_DATOS!$C$1525))+INDEX($F$8:$F$23,MIN(INT(($A753-1)/70)+1,CROQUIS_DATOS!$C$1525))/2)))*CROQUIS_DATOS!$C$1562),-1000)</f>
        <v>82.8189655172414</v>
      </c>
      <c r="O753">
        <f>IF(AND(CROQUIS_DATOS!$C$1472=1,1),(CROQUIS_DATOS!$C$1564+(IF(OR(IF(INT(($A753-1)/70)+1&gt;CROQUIS_DATOS!$C$1525,70,MOD($A753-1,70)+1)=1,IF(INT(($A753-1)/70)+1&gt;CROQUIS_DATOS!$C$1525,70,MOD($A753-1,70)+1)&gt;2*CROQUIS_DATOS!$C$1541+1),CROQUIS_DATOS!$C$1476,INDEX($H$8:$H$41,MIN(INT((IF(INT(($A753-1)/70)+1&gt;CROQUIS_DATOS!$C$1525,70,MOD($A753-1,70)+1)-2)/2)+1,CROQUIS_DATOS!$C$1541))))*CROQUIS_DATOS!$C$1561*CROQUIS_DATOS!$C$1562),-1000)</f>
        <v>40.2068965517241</v>
      </c>
    </row>
    <row r="754">
      <c r="A754" t="n">
        <v>747</v>
      </c>
      <c r="N754">
        <f>IF(AND(CROQUIS_DATOS!$C$1472=1,1),(CROQUIS_DATOS!$C$1563+(IF(IF(IF(INT(($A754-1)/70)+1&gt;CROQUIS_DATOS!$C$1525,70,MOD($A754-1,70)+1)=1,0,IF(IF(INT(($A754-1)/70)+1&gt;CROQUIS_DATOS!$C$1525,70,MOD($A754-1,70)+1)&gt;2*CROQUIS_DATOS!$C$1541+1,IF(MOD(CROQUIS_DATOS!$C$1541,2)=1,1,0),IF(MOD(MIN(INT((IF(INT(($A754-1)/70)+1&gt;CROQUIS_DATOS!$C$1525,70,MOD($A754-1,70)+1)-2)/2)+1,CROQUIS_DATOS!$C$1541),2)=1,IF(MOD(IF(INT(($A754-1)/70)+1&gt;CROQUIS_DATOS!$C$1525,70,MOD($A754-1,70)+1)-2,2)=0,0,1),IF(MOD(IF(INT(($A754-1)/70)+1&gt;CROQUIS_DATOS!$C$1525,70,MOD($A754-1,70)+1)-2,2)=0,1,0))))=0,(INDEX($E$8:$E$23,MIN(INT(($A754-1)/70)+1,CROQUIS_DATOS!$C$1525))-INDEX($F$8:$F$23,MIN(INT(($A754-1)/70)+1,CROQUIS_DATOS!$C$1525))/2),(INDEX($E$8:$E$23,MIN(INT(($A754-1)/70)+1,CROQUIS_DATOS!$C$1525))+INDEX($F$8:$F$23,MIN(INT(($A754-1)/70)+1,CROQUIS_DATOS!$C$1525))/2)))*CROQUIS_DATOS!$C$1562),-1000)</f>
        <v>82.8189655172414</v>
      </c>
      <c r="O754">
        <f>IF(AND(CROQUIS_DATOS!$C$1472=1,1),(CROQUIS_DATOS!$C$1564+(IF(OR(IF(INT(($A754-1)/70)+1&gt;CROQUIS_DATOS!$C$1525,70,MOD($A754-1,70)+1)=1,IF(INT(($A754-1)/70)+1&gt;CROQUIS_DATOS!$C$1525,70,MOD($A754-1,70)+1)&gt;2*CROQUIS_DATOS!$C$1541+1),CROQUIS_DATOS!$C$1476,INDEX($H$8:$H$41,MIN(INT((IF(INT(($A754-1)/70)+1&gt;CROQUIS_DATOS!$C$1525,70,MOD($A754-1,70)+1)-2)/2)+1,CROQUIS_DATOS!$C$1541))))*CROQUIS_DATOS!$C$1561*CROQUIS_DATOS!$C$1562),-1000)</f>
        <v>40.2068965517241</v>
      </c>
    </row>
    <row r="755">
      <c r="A755" t="n">
        <v>748</v>
      </c>
      <c r="N755">
        <f>IF(AND(CROQUIS_DATOS!$C$1472=1,1),(CROQUIS_DATOS!$C$1563+(IF(IF(IF(INT(($A755-1)/70)+1&gt;CROQUIS_DATOS!$C$1525,70,MOD($A755-1,70)+1)=1,0,IF(IF(INT(($A755-1)/70)+1&gt;CROQUIS_DATOS!$C$1525,70,MOD($A755-1,70)+1)&gt;2*CROQUIS_DATOS!$C$1541+1,IF(MOD(CROQUIS_DATOS!$C$1541,2)=1,1,0),IF(MOD(MIN(INT((IF(INT(($A755-1)/70)+1&gt;CROQUIS_DATOS!$C$1525,70,MOD($A755-1,70)+1)-2)/2)+1,CROQUIS_DATOS!$C$1541),2)=1,IF(MOD(IF(INT(($A755-1)/70)+1&gt;CROQUIS_DATOS!$C$1525,70,MOD($A755-1,70)+1)-2,2)=0,0,1),IF(MOD(IF(INT(($A755-1)/70)+1&gt;CROQUIS_DATOS!$C$1525,70,MOD($A755-1,70)+1)-2,2)=0,1,0))))=0,(INDEX($E$8:$E$23,MIN(INT(($A755-1)/70)+1,CROQUIS_DATOS!$C$1525))-INDEX($F$8:$F$23,MIN(INT(($A755-1)/70)+1,CROQUIS_DATOS!$C$1525))/2),(INDEX($E$8:$E$23,MIN(INT(($A755-1)/70)+1,CROQUIS_DATOS!$C$1525))+INDEX($F$8:$F$23,MIN(INT(($A755-1)/70)+1,CROQUIS_DATOS!$C$1525))/2)))*CROQUIS_DATOS!$C$1562),-1000)</f>
        <v>82.8189655172414</v>
      </c>
      <c r="O755">
        <f>IF(AND(CROQUIS_DATOS!$C$1472=1,1),(CROQUIS_DATOS!$C$1564+(IF(OR(IF(INT(($A755-1)/70)+1&gt;CROQUIS_DATOS!$C$1525,70,MOD($A755-1,70)+1)=1,IF(INT(($A755-1)/70)+1&gt;CROQUIS_DATOS!$C$1525,70,MOD($A755-1,70)+1)&gt;2*CROQUIS_DATOS!$C$1541+1),CROQUIS_DATOS!$C$1476,INDEX($H$8:$H$41,MIN(INT((IF(INT(($A755-1)/70)+1&gt;CROQUIS_DATOS!$C$1525,70,MOD($A755-1,70)+1)-2)/2)+1,CROQUIS_DATOS!$C$1541))))*CROQUIS_DATOS!$C$1561*CROQUIS_DATOS!$C$1562),-1000)</f>
        <v>40.2068965517241</v>
      </c>
    </row>
    <row r="756">
      <c r="A756" t="n">
        <v>749</v>
      </c>
      <c r="N756">
        <f>IF(AND(CROQUIS_DATOS!$C$1472=1,1),(CROQUIS_DATOS!$C$1563+(IF(IF(IF(INT(($A756-1)/70)+1&gt;CROQUIS_DATOS!$C$1525,70,MOD($A756-1,70)+1)=1,0,IF(IF(INT(($A756-1)/70)+1&gt;CROQUIS_DATOS!$C$1525,70,MOD($A756-1,70)+1)&gt;2*CROQUIS_DATOS!$C$1541+1,IF(MOD(CROQUIS_DATOS!$C$1541,2)=1,1,0),IF(MOD(MIN(INT((IF(INT(($A756-1)/70)+1&gt;CROQUIS_DATOS!$C$1525,70,MOD($A756-1,70)+1)-2)/2)+1,CROQUIS_DATOS!$C$1541),2)=1,IF(MOD(IF(INT(($A756-1)/70)+1&gt;CROQUIS_DATOS!$C$1525,70,MOD($A756-1,70)+1)-2,2)=0,0,1),IF(MOD(IF(INT(($A756-1)/70)+1&gt;CROQUIS_DATOS!$C$1525,70,MOD($A756-1,70)+1)-2,2)=0,1,0))))=0,(INDEX($E$8:$E$23,MIN(INT(($A756-1)/70)+1,CROQUIS_DATOS!$C$1525))-INDEX($F$8:$F$23,MIN(INT(($A756-1)/70)+1,CROQUIS_DATOS!$C$1525))/2),(INDEX($E$8:$E$23,MIN(INT(($A756-1)/70)+1,CROQUIS_DATOS!$C$1525))+INDEX($F$8:$F$23,MIN(INT(($A756-1)/70)+1,CROQUIS_DATOS!$C$1525))/2)))*CROQUIS_DATOS!$C$1562),-1000)</f>
        <v>82.8189655172414</v>
      </c>
      <c r="O756">
        <f>IF(AND(CROQUIS_DATOS!$C$1472=1,1),(CROQUIS_DATOS!$C$1564+(IF(OR(IF(INT(($A756-1)/70)+1&gt;CROQUIS_DATOS!$C$1525,70,MOD($A756-1,70)+1)=1,IF(INT(($A756-1)/70)+1&gt;CROQUIS_DATOS!$C$1525,70,MOD($A756-1,70)+1)&gt;2*CROQUIS_DATOS!$C$1541+1),CROQUIS_DATOS!$C$1476,INDEX($H$8:$H$41,MIN(INT((IF(INT(($A756-1)/70)+1&gt;CROQUIS_DATOS!$C$1525,70,MOD($A756-1,70)+1)-2)/2)+1,CROQUIS_DATOS!$C$1541))))*CROQUIS_DATOS!$C$1561*CROQUIS_DATOS!$C$1562),-1000)</f>
        <v>40.2068965517241</v>
      </c>
    </row>
    <row r="757">
      <c r="A757" t="n">
        <v>750</v>
      </c>
      <c r="N757">
        <f>IF(AND(CROQUIS_DATOS!$C$1472=1,1),(CROQUIS_DATOS!$C$1563+(IF(IF(IF(INT(($A757-1)/70)+1&gt;CROQUIS_DATOS!$C$1525,70,MOD($A757-1,70)+1)=1,0,IF(IF(INT(($A757-1)/70)+1&gt;CROQUIS_DATOS!$C$1525,70,MOD($A757-1,70)+1)&gt;2*CROQUIS_DATOS!$C$1541+1,IF(MOD(CROQUIS_DATOS!$C$1541,2)=1,1,0),IF(MOD(MIN(INT((IF(INT(($A757-1)/70)+1&gt;CROQUIS_DATOS!$C$1525,70,MOD($A757-1,70)+1)-2)/2)+1,CROQUIS_DATOS!$C$1541),2)=1,IF(MOD(IF(INT(($A757-1)/70)+1&gt;CROQUIS_DATOS!$C$1525,70,MOD($A757-1,70)+1)-2,2)=0,0,1),IF(MOD(IF(INT(($A757-1)/70)+1&gt;CROQUIS_DATOS!$C$1525,70,MOD($A757-1,70)+1)-2,2)=0,1,0))))=0,(INDEX($E$8:$E$23,MIN(INT(($A757-1)/70)+1,CROQUIS_DATOS!$C$1525))-INDEX($F$8:$F$23,MIN(INT(($A757-1)/70)+1,CROQUIS_DATOS!$C$1525))/2),(INDEX($E$8:$E$23,MIN(INT(($A757-1)/70)+1,CROQUIS_DATOS!$C$1525))+INDEX($F$8:$F$23,MIN(INT(($A757-1)/70)+1,CROQUIS_DATOS!$C$1525))/2)))*CROQUIS_DATOS!$C$1562),-1000)</f>
        <v>82.8189655172414</v>
      </c>
      <c r="O757">
        <f>IF(AND(CROQUIS_DATOS!$C$1472=1,1),(CROQUIS_DATOS!$C$1564+(IF(OR(IF(INT(($A757-1)/70)+1&gt;CROQUIS_DATOS!$C$1525,70,MOD($A757-1,70)+1)=1,IF(INT(($A757-1)/70)+1&gt;CROQUIS_DATOS!$C$1525,70,MOD($A757-1,70)+1)&gt;2*CROQUIS_DATOS!$C$1541+1),CROQUIS_DATOS!$C$1476,INDEX($H$8:$H$41,MIN(INT((IF(INT(($A757-1)/70)+1&gt;CROQUIS_DATOS!$C$1525,70,MOD($A757-1,70)+1)-2)/2)+1,CROQUIS_DATOS!$C$1541))))*CROQUIS_DATOS!$C$1561*CROQUIS_DATOS!$C$1562),-1000)</f>
        <v>40.2068965517241</v>
      </c>
    </row>
    <row r="758">
      <c r="A758" t="n">
        <v>751</v>
      </c>
      <c r="N758">
        <f>IF(AND(CROQUIS_DATOS!$C$1472=1,1),(CROQUIS_DATOS!$C$1563+(IF(IF(IF(INT(($A758-1)/70)+1&gt;CROQUIS_DATOS!$C$1525,70,MOD($A758-1,70)+1)=1,0,IF(IF(INT(($A758-1)/70)+1&gt;CROQUIS_DATOS!$C$1525,70,MOD($A758-1,70)+1)&gt;2*CROQUIS_DATOS!$C$1541+1,IF(MOD(CROQUIS_DATOS!$C$1541,2)=1,1,0),IF(MOD(MIN(INT((IF(INT(($A758-1)/70)+1&gt;CROQUIS_DATOS!$C$1525,70,MOD($A758-1,70)+1)-2)/2)+1,CROQUIS_DATOS!$C$1541),2)=1,IF(MOD(IF(INT(($A758-1)/70)+1&gt;CROQUIS_DATOS!$C$1525,70,MOD($A758-1,70)+1)-2,2)=0,0,1),IF(MOD(IF(INT(($A758-1)/70)+1&gt;CROQUIS_DATOS!$C$1525,70,MOD($A758-1,70)+1)-2,2)=0,1,0))))=0,(INDEX($E$8:$E$23,MIN(INT(($A758-1)/70)+1,CROQUIS_DATOS!$C$1525))-INDEX($F$8:$F$23,MIN(INT(($A758-1)/70)+1,CROQUIS_DATOS!$C$1525))/2),(INDEX($E$8:$E$23,MIN(INT(($A758-1)/70)+1,CROQUIS_DATOS!$C$1525))+INDEX($F$8:$F$23,MIN(INT(($A758-1)/70)+1,CROQUIS_DATOS!$C$1525))/2)))*CROQUIS_DATOS!$C$1562),-1000)</f>
        <v>82.8189655172414</v>
      </c>
      <c r="O758">
        <f>IF(AND(CROQUIS_DATOS!$C$1472=1,1),(CROQUIS_DATOS!$C$1564+(IF(OR(IF(INT(($A758-1)/70)+1&gt;CROQUIS_DATOS!$C$1525,70,MOD($A758-1,70)+1)=1,IF(INT(($A758-1)/70)+1&gt;CROQUIS_DATOS!$C$1525,70,MOD($A758-1,70)+1)&gt;2*CROQUIS_DATOS!$C$1541+1),CROQUIS_DATOS!$C$1476,INDEX($H$8:$H$41,MIN(INT((IF(INT(($A758-1)/70)+1&gt;CROQUIS_DATOS!$C$1525,70,MOD($A758-1,70)+1)-2)/2)+1,CROQUIS_DATOS!$C$1541))))*CROQUIS_DATOS!$C$1561*CROQUIS_DATOS!$C$1562),-1000)</f>
        <v>40.2068965517241</v>
      </c>
    </row>
    <row r="759">
      <c r="A759" t="n">
        <v>752</v>
      </c>
      <c r="N759">
        <f>IF(AND(CROQUIS_DATOS!$C$1472=1,1),(CROQUIS_DATOS!$C$1563+(IF(IF(IF(INT(($A759-1)/70)+1&gt;CROQUIS_DATOS!$C$1525,70,MOD($A759-1,70)+1)=1,0,IF(IF(INT(($A759-1)/70)+1&gt;CROQUIS_DATOS!$C$1525,70,MOD($A759-1,70)+1)&gt;2*CROQUIS_DATOS!$C$1541+1,IF(MOD(CROQUIS_DATOS!$C$1541,2)=1,1,0),IF(MOD(MIN(INT((IF(INT(($A759-1)/70)+1&gt;CROQUIS_DATOS!$C$1525,70,MOD($A759-1,70)+1)-2)/2)+1,CROQUIS_DATOS!$C$1541),2)=1,IF(MOD(IF(INT(($A759-1)/70)+1&gt;CROQUIS_DATOS!$C$1525,70,MOD($A759-1,70)+1)-2,2)=0,0,1),IF(MOD(IF(INT(($A759-1)/70)+1&gt;CROQUIS_DATOS!$C$1525,70,MOD($A759-1,70)+1)-2,2)=0,1,0))))=0,(INDEX($E$8:$E$23,MIN(INT(($A759-1)/70)+1,CROQUIS_DATOS!$C$1525))-INDEX($F$8:$F$23,MIN(INT(($A759-1)/70)+1,CROQUIS_DATOS!$C$1525))/2),(INDEX($E$8:$E$23,MIN(INT(($A759-1)/70)+1,CROQUIS_DATOS!$C$1525))+INDEX($F$8:$F$23,MIN(INT(($A759-1)/70)+1,CROQUIS_DATOS!$C$1525))/2)))*CROQUIS_DATOS!$C$1562),-1000)</f>
        <v>82.8189655172414</v>
      </c>
      <c r="O759">
        <f>IF(AND(CROQUIS_DATOS!$C$1472=1,1),(CROQUIS_DATOS!$C$1564+(IF(OR(IF(INT(($A759-1)/70)+1&gt;CROQUIS_DATOS!$C$1525,70,MOD($A759-1,70)+1)=1,IF(INT(($A759-1)/70)+1&gt;CROQUIS_DATOS!$C$1525,70,MOD($A759-1,70)+1)&gt;2*CROQUIS_DATOS!$C$1541+1),CROQUIS_DATOS!$C$1476,INDEX($H$8:$H$41,MIN(INT((IF(INT(($A759-1)/70)+1&gt;CROQUIS_DATOS!$C$1525,70,MOD($A759-1,70)+1)-2)/2)+1,CROQUIS_DATOS!$C$1541))))*CROQUIS_DATOS!$C$1561*CROQUIS_DATOS!$C$1562),-1000)</f>
        <v>40.2068965517241</v>
      </c>
    </row>
    <row r="760">
      <c r="A760" t="n">
        <v>753</v>
      </c>
      <c r="N760">
        <f>IF(AND(CROQUIS_DATOS!$C$1472=1,1),(CROQUIS_DATOS!$C$1563+(IF(IF(IF(INT(($A760-1)/70)+1&gt;CROQUIS_DATOS!$C$1525,70,MOD($A760-1,70)+1)=1,0,IF(IF(INT(($A760-1)/70)+1&gt;CROQUIS_DATOS!$C$1525,70,MOD($A760-1,70)+1)&gt;2*CROQUIS_DATOS!$C$1541+1,IF(MOD(CROQUIS_DATOS!$C$1541,2)=1,1,0),IF(MOD(MIN(INT((IF(INT(($A760-1)/70)+1&gt;CROQUIS_DATOS!$C$1525,70,MOD($A760-1,70)+1)-2)/2)+1,CROQUIS_DATOS!$C$1541),2)=1,IF(MOD(IF(INT(($A760-1)/70)+1&gt;CROQUIS_DATOS!$C$1525,70,MOD($A760-1,70)+1)-2,2)=0,0,1),IF(MOD(IF(INT(($A760-1)/70)+1&gt;CROQUIS_DATOS!$C$1525,70,MOD($A760-1,70)+1)-2,2)=0,1,0))))=0,(INDEX($E$8:$E$23,MIN(INT(($A760-1)/70)+1,CROQUIS_DATOS!$C$1525))-INDEX($F$8:$F$23,MIN(INT(($A760-1)/70)+1,CROQUIS_DATOS!$C$1525))/2),(INDEX($E$8:$E$23,MIN(INT(($A760-1)/70)+1,CROQUIS_DATOS!$C$1525))+INDEX($F$8:$F$23,MIN(INT(($A760-1)/70)+1,CROQUIS_DATOS!$C$1525))/2)))*CROQUIS_DATOS!$C$1562),-1000)</f>
        <v>82.8189655172414</v>
      </c>
      <c r="O760">
        <f>IF(AND(CROQUIS_DATOS!$C$1472=1,1),(CROQUIS_DATOS!$C$1564+(IF(OR(IF(INT(($A760-1)/70)+1&gt;CROQUIS_DATOS!$C$1525,70,MOD($A760-1,70)+1)=1,IF(INT(($A760-1)/70)+1&gt;CROQUIS_DATOS!$C$1525,70,MOD($A760-1,70)+1)&gt;2*CROQUIS_DATOS!$C$1541+1),CROQUIS_DATOS!$C$1476,INDEX($H$8:$H$41,MIN(INT((IF(INT(($A760-1)/70)+1&gt;CROQUIS_DATOS!$C$1525,70,MOD($A760-1,70)+1)-2)/2)+1,CROQUIS_DATOS!$C$1541))))*CROQUIS_DATOS!$C$1561*CROQUIS_DATOS!$C$1562),-1000)</f>
        <v>40.2068965517241</v>
      </c>
    </row>
    <row r="761">
      <c r="A761" t="n">
        <v>754</v>
      </c>
      <c r="N761">
        <f>IF(AND(CROQUIS_DATOS!$C$1472=1,1),(CROQUIS_DATOS!$C$1563+(IF(IF(IF(INT(($A761-1)/70)+1&gt;CROQUIS_DATOS!$C$1525,70,MOD($A761-1,70)+1)=1,0,IF(IF(INT(($A761-1)/70)+1&gt;CROQUIS_DATOS!$C$1525,70,MOD($A761-1,70)+1)&gt;2*CROQUIS_DATOS!$C$1541+1,IF(MOD(CROQUIS_DATOS!$C$1541,2)=1,1,0),IF(MOD(MIN(INT((IF(INT(($A761-1)/70)+1&gt;CROQUIS_DATOS!$C$1525,70,MOD($A761-1,70)+1)-2)/2)+1,CROQUIS_DATOS!$C$1541),2)=1,IF(MOD(IF(INT(($A761-1)/70)+1&gt;CROQUIS_DATOS!$C$1525,70,MOD($A761-1,70)+1)-2,2)=0,0,1),IF(MOD(IF(INT(($A761-1)/70)+1&gt;CROQUIS_DATOS!$C$1525,70,MOD($A761-1,70)+1)-2,2)=0,1,0))))=0,(INDEX($E$8:$E$23,MIN(INT(($A761-1)/70)+1,CROQUIS_DATOS!$C$1525))-INDEX($F$8:$F$23,MIN(INT(($A761-1)/70)+1,CROQUIS_DATOS!$C$1525))/2),(INDEX($E$8:$E$23,MIN(INT(($A761-1)/70)+1,CROQUIS_DATOS!$C$1525))+INDEX($F$8:$F$23,MIN(INT(($A761-1)/70)+1,CROQUIS_DATOS!$C$1525))/2)))*CROQUIS_DATOS!$C$1562),-1000)</f>
        <v>82.8189655172414</v>
      </c>
      <c r="O761">
        <f>IF(AND(CROQUIS_DATOS!$C$1472=1,1),(CROQUIS_DATOS!$C$1564+(IF(OR(IF(INT(($A761-1)/70)+1&gt;CROQUIS_DATOS!$C$1525,70,MOD($A761-1,70)+1)=1,IF(INT(($A761-1)/70)+1&gt;CROQUIS_DATOS!$C$1525,70,MOD($A761-1,70)+1)&gt;2*CROQUIS_DATOS!$C$1541+1),CROQUIS_DATOS!$C$1476,INDEX($H$8:$H$41,MIN(INT((IF(INT(($A761-1)/70)+1&gt;CROQUIS_DATOS!$C$1525,70,MOD($A761-1,70)+1)-2)/2)+1,CROQUIS_DATOS!$C$1541))))*CROQUIS_DATOS!$C$1561*CROQUIS_DATOS!$C$1562),-1000)</f>
        <v>40.2068965517241</v>
      </c>
    </row>
    <row r="762">
      <c r="A762" t="n">
        <v>755</v>
      </c>
      <c r="N762">
        <f>IF(AND(CROQUIS_DATOS!$C$1472=1,1),(CROQUIS_DATOS!$C$1563+(IF(IF(IF(INT(($A762-1)/70)+1&gt;CROQUIS_DATOS!$C$1525,70,MOD($A762-1,70)+1)=1,0,IF(IF(INT(($A762-1)/70)+1&gt;CROQUIS_DATOS!$C$1525,70,MOD($A762-1,70)+1)&gt;2*CROQUIS_DATOS!$C$1541+1,IF(MOD(CROQUIS_DATOS!$C$1541,2)=1,1,0),IF(MOD(MIN(INT((IF(INT(($A762-1)/70)+1&gt;CROQUIS_DATOS!$C$1525,70,MOD($A762-1,70)+1)-2)/2)+1,CROQUIS_DATOS!$C$1541),2)=1,IF(MOD(IF(INT(($A762-1)/70)+1&gt;CROQUIS_DATOS!$C$1525,70,MOD($A762-1,70)+1)-2,2)=0,0,1),IF(MOD(IF(INT(($A762-1)/70)+1&gt;CROQUIS_DATOS!$C$1525,70,MOD($A762-1,70)+1)-2,2)=0,1,0))))=0,(INDEX($E$8:$E$23,MIN(INT(($A762-1)/70)+1,CROQUIS_DATOS!$C$1525))-INDEX($F$8:$F$23,MIN(INT(($A762-1)/70)+1,CROQUIS_DATOS!$C$1525))/2),(INDEX($E$8:$E$23,MIN(INT(($A762-1)/70)+1,CROQUIS_DATOS!$C$1525))+INDEX($F$8:$F$23,MIN(INT(($A762-1)/70)+1,CROQUIS_DATOS!$C$1525))/2)))*CROQUIS_DATOS!$C$1562),-1000)</f>
        <v>82.8189655172414</v>
      </c>
      <c r="O762">
        <f>IF(AND(CROQUIS_DATOS!$C$1472=1,1),(CROQUIS_DATOS!$C$1564+(IF(OR(IF(INT(($A762-1)/70)+1&gt;CROQUIS_DATOS!$C$1525,70,MOD($A762-1,70)+1)=1,IF(INT(($A762-1)/70)+1&gt;CROQUIS_DATOS!$C$1525,70,MOD($A762-1,70)+1)&gt;2*CROQUIS_DATOS!$C$1541+1),CROQUIS_DATOS!$C$1476,INDEX($H$8:$H$41,MIN(INT((IF(INT(($A762-1)/70)+1&gt;CROQUIS_DATOS!$C$1525,70,MOD($A762-1,70)+1)-2)/2)+1,CROQUIS_DATOS!$C$1541))))*CROQUIS_DATOS!$C$1561*CROQUIS_DATOS!$C$1562),-1000)</f>
        <v>40.2068965517241</v>
      </c>
    </row>
    <row r="763">
      <c r="A763" t="n">
        <v>756</v>
      </c>
      <c r="N763">
        <f>IF(AND(CROQUIS_DATOS!$C$1472=1,1),(CROQUIS_DATOS!$C$1563+(IF(IF(IF(INT(($A763-1)/70)+1&gt;CROQUIS_DATOS!$C$1525,70,MOD($A763-1,70)+1)=1,0,IF(IF(INT(($A763-1)/70)+1&gt;CROQUIS_DATOS!$C$1525,70,MOD($A763-1,70)+1)&gt;2*CROQUIS_DATOS!$C$1541+1,IF(MOD(CROQUIS_DATOS!$C$1541,2)=1,1,0),IF(MOD(MIN(INT((IF(INT(($A763-1)/70)+1&gt;CROQUIS_DATOS!$C$1525,70,MOD($A763-1,70)+1)-2)/2)+1,CROQUIS_DATOS!$C$1541),2)=1,IF(MOD(IF(INT(($A763-1)/70)+1&gt;CROQUIS_DATOS!$C$1525,70,MOD($A763-1,70)+1)-2,2)=0,0,1),IF(MOD(IF(INT(($A763-1)/70)+1&gt;CROQUIS_DATOS!$C$1525,70,MOD($A763-1,70)+1)-2,2)=0,1,0))))=0,(INDEX($E$8:$E$23,MIN(INT(($A763-1)/70)+1,CROQUIS_DATOS!$C$1525))-INDEX($F$8:$F$23,MIN(INT(($A763-1)/70)+1,CROQUIS_DATOS!$C$1525))/2),(INDEX($E$8:$E$23,MIN(INT(($A763-1)/70)+1,CROQUIS_DATOS!$C$1525))+INDEX($F$8:$F$23,MIN(INT(($A763-1)/70)+1,CROQUIS_DATOS!$C$1525))/2)))*CROQUIS_DATOS!$C$1562),-1000)</f>
        <v>82.8189655172414</v>
      </c>
      <c r="O763">
        <f>IF(AND(CROQUIS_DATOS!$C$1472=1,1),(CROQUIS_DATOS!$C$1564+(IF(OR(IF(INT(($A763-1)/70)+1&gt;CROQUIS_DATOS!$C$1525,70,MOD($A763-1,70)+1)=1,IF(INT(($A763-1)/70)+1&gt;CROQUIS_DATOS!$C$1525,70,MOD($A763-1,70)+1)&gt;2*CROQUIS_DATOS!$C$1541+1),CROQUIS_DATOS!$C$1476,INDEX($H$8:$H$41,MIN(INT((IF(INT(($A763-1)/70)+1&gt;CROQUIS_DATOS!$C$1525,70,MOD($A763-1,70)+1)-2)/2)+1,CROQUIS_DATOS!$C$1541))))*CROQUIS_DATOS!$C$1561*CROQUIS_DATOS!$C$1562),-1000)</f>
        <v>40.2068965517241</v>
      </c>
    </row>
    <row r="764">
      <c r="A764" t="n">
        <v>757</v>
      </c>
      <c r="N764">
        <f>IF(AND(CROQUIS_DATOS!$C$1472=1,1),(CROQUIS_DATOS!$C$1563+(IF(IF(IF(INT(($A764-1)/70)+1&gt;CROQUIS_DATOS!$C$1525,70,MOD($A764-1,70)+1)=1,0,IF(IF(INT(($A764-1)/70)+1&gt;CROQUIS_DATOS!$C$1525,70,MOD($A764-1,70)+1)&gt;2*CROQUIS_DATOS!$C$1541+1,IF(MOD(CROQUIS_DATOS!$C$1541,2)=1,1,0),IF(MOD(MIN(INT((IF(INT(($A764-1)/70)+1&gt;CROQUIS_DATOS!$C$1525,70,MOD($A764-1,70)+1)-2)/2)+1,CROQUIS_DATOS!$C$1541),2)=1,IF(MOD(IF(INT(($A764-1)/70)+1&gt;CROQUIS_DATOS!$C$1525,70,MOD($A764-1,70)+1)-2,2)=0,0,1),IF(MOD(IF(INT(($A764-1)/70)+1&gt;CROQUIS_DATOS!$C$1525,70,MOD($A764-1,70)+1)-2,2)=0,1,0))))=0,(INDEX($E$8:$E$23,MIN(INT(($A764-1)/70)+1,CROQUIS_DATOS!$C$1525))-INDEX($F$8:$F$23,MIN(INT(($A764-1)/70)+1,CROQUIS_DATOS!$C$1525))/2),(INDEX($E$8:$E$23,MIN(INT(($A764-1)/70)+1,CROQUIS_DATOS!$C$1525))+INDEX($F$8:$F$23,MIN(INT(($A764-1)/70)+1,CROQUIS_DATOS!$C$1525))/2)))*CROQUIS_DATOS!$C$1562),-1000)</f>
        <v>82.8189655172414</v>
      </c>
      <c r="O764">
        <f>IF(AND(CROQUIS_DATOS!$C$1472=1,1),(CROQUIS_DATOS!$C$1564+(IF(OR(IF(INT(($A764-1)/70)+1&gt;CROQUIS_DATOS!$C$1525,70,MOD($A764-1,70)+1)=1,IF(INT(($A764-1)/70)+1&gt;CROQUIS_DATOS!$C$1525,70,MOD($A764-1,70)+1)&gt;2*CROQUIS_DATOS!$C$1541+1),CROQUIS_DATOS!$C$1476,INDEX($H$8:$H$41,MIN(INT((IF(INT(($A764-1)/70)+1&gt;CROQUIS_DATOS!$C$1525,70,MOD($A764-1,70)+1)-2)/2)+1,CROQUIS_DATOS!$C$1541))))*CROQUIS_DATOS!$C$1561*CROQUIS_DATOS!$C$1562),-1000)</f>
        <v>40.2068965517241</v>
      </c>
    </row>
    <row r="765">
      <c r="A765" t="n">
        <v>758</v>
      </c>
      <c r="N765">
        <f>IF(AND(CROQUIS_DATOS!$C$1472=1,1),(CROQUIS_DATOS!$C$1563+(IF(IF(IF(INT(($A765-1)/70)+1&gt;CROQUIS_DATOS!$C$1525,70,MOD($A765-1,70)+1)=1,0,IF(IF(INT(($A765-1)/70)+1&gt;CROQUIS_DATOS!$C$1525,70,MOD($A765-1,70)+1)&gt;2*CROQUIS_DATOS!$C$1541+1,IF(MOD(CROQUIS_DATOS!$C$1541,2)=1,1,0),IF(MOD(MIN(INT((IF(INT(($A765-1)/70)+1&gt;CROQUIS_DATOS!$C$1525,70,MOD($A765-1,70)+1)-2)/2)+1,CROQUIS_DATOS!$C$1541),2)=1,IF(MOD(IF(INT(($A765-1)/70)+1&gt;CROQUIS_DATOS!$C$1525,70,MOD($A765-1,70)+1)-2,2)=0,0,1),IF(MOD(IF(INT(($A765-1)/70)+1&gt;CROQUIS_DATOS!$C$1525,70,MOD($A765-1,70)+1)-2,2)=0,1,0))))=0,(INDEX($E$8:$E$23,MIN(INT(($A765-1)/70)+1,CROQUIS_DATOS!$C$1525))-INDEX($F$8:$F$23,MIN(INT(($A765-1)/70)+1,CROQUIS_DATOS!$C$1525))/2),(INDEX($E$8:$E$23,MIN(INT(($A765-1)/70)+1,CROQUIS_DATOS!$C$1525))+INDEX($F$8:$F$23,MIN(INT(($A765-1)/70)+1,CROQUIS_DATOS!$C$1525))/2)))*CROQUIS_DATOS!$C$1562),-1000)</f>
        <v>82.8189655172414</v>
      </c>
      <c r="O765">
        <f>IF(AND(CROQUIS_DATOS!$C$1472=1,1),(CROQUIS_DATOS!$C$1564+(IF(OR(IF(INT(($A765-1)/70)+1&gt;CROQUIS_DATOS!$C$1525,70,MOD($A765-1,70)+1)=1,IF(INT(($A765-1)/70)+1&gt;CROQUIS_DATOS!$C$1525,70,MOD($A765-1,70)+1)&gt;2*CROQUIS_DATOS!$C$1541+1),CROQUIS_DATOS!$C$1476,INDEX($H$8:$H$41,MIN(INT((IF(INT(($A765-1)/70)+1&gt;CROQUIS_DATOS!$C$1525,70,MOD($A765-1,70)+1)-2)/2)+1,CROQUIS_DATOS!$C$1541))))*CROQUIS_DATOS!$C$1561*CROQUIS_DATOS!$C$1562),-1000)</f>
        <v>40.2068965517241</v>
      </c>
    </row>
    <row r="766">
      <c r="A766" t="n">
        <v>759</v>
      </c>
      <c r="N766">
        <f>IF(AND(CROQUIS_DATOS!$C$1472=1,1),(CROQUIS_DATOS!$C$1563+(IF(IF(IF(INT(($A766-1)/70)+1&gt;CROQUIS_DATOS!$C$1525,70,MOD($A766-1,70)+1)=1,0,IF(IF(INT(($A766-1)/70)+1&gt;CROQUIS_DATOS!$C$1525,70,MOD($A766-1,70)+1)&gt;2*CROQUIS_DATOS!$C$1541+1,IF(MOD(CROQUIS_DATOS!$C$1541,2)=1,1,0),IF(MOD(MIN(INT((IF(INT(($A766-1)/70)+1&gt;CROQUIS_DATOS!$C$1525,70,MOD($A766-1,70)+1)-2)/2)+1,CROQUIS_DATOS!$C$1541),2)=1,IF(MOD(IF(INT(($A766-1)/70)+1&gt;CROQUIS_DATOS!$C$1525,70,MOD($A766-1,70)+1)-2,2)=0,0,1),IF(MOD(IF(INT(($A766-1)/70)+1&gt;CROQUIS_DATOS!$C$1525,70,MOD($A766-1,70)+1)-2,2)=0,1,0))))=0,(INDEX($E$8:$E$23,MIN(INT(($A766-1)/70)+1,CROQUIS_DATOS!$C$1525))-INDEX($F$8:$F$23,MIN(INT(($A766-1)/70)+1,CROQUIS_DATOS!$C$1525))/2),(INDEX($E$8:$E$23,MIN(INT(($A766-1)/70)+1,CROQUIS_DATOS!$C$1525))+INDEX($F$8:$F$23,MIN(INT(($A766-1)/70)+1,CROQUIS_DATOS!$C$1525))/2)))*CROQUIS_DATOS!$C$1562),-1000)</f>
        <v>82.8189655172414</v>
      </c>
      <c r="O766">
        <f>IF(AND(CROQUIS_DATOS!$C$1472=1,1),(CROQUIS_DATOS!$C$1564+(IF(OR(IF(INT(($A766-1)/70)+1&gt;CROQUIS_DATOS!$C$1525,70,MOD($A766-1,70)+1)=1,IF(INT(($A766-1)/70)+1&gt;CROQUIS_DATOS!$C$1525,70,MOD($A766-1,70)+1)&gt;2*CROQUIS_DATOS!$C$1541+1),CROQUIS_DATOS!$C$1476,INDEX($H$8:$H$41,MIN(INT((IF(INT(($A766-1)/70)+1&gt;CROQUIS_DATOS!$C$1525,70,MOD($A766-1,70)+1)-2)/2)+1,CROQUIS_DATOS!$C$1541))))*CROQUIS_DATOS!$C$1561*CROQUIS_DATOS!$C$1562),-1000)</f>
        <v>40.2068965517241</v>
      </c>
    </row>
    <row r="767">
      <c r="A767" t="n">
        <v>760</v>
      </c>
      <c r="N767">
        <f>IF(AND(CROQUIS_DATOS!$C$1472=1,1),(CROQUIS_DATOS!$C$1563+(IF(IF(IF(INT(($A767-1)/70)+1&gt;CROQUIS_DATOS!$C$1525,70,MOD($A767-1,70)+1)=1,0,IF(IF(INT(($A767-1)/70)+1&gt;CROQUIS_DATOS!$C$1525,70,MOD($A767-1,70)+1)&gt;2*CROQUIS_DATOS!$C$1541+1,IF(MOD(CROQUIS_DATOS!$C$1541,2)=1,1,0),IF(MOD(MIN(INT((IF(INT(($A767-1)/70)+1&gt;CROQUIS_DATOS!$C$1525,70,MOD($A767-1,70)+1)-2)/2)+1,CROQUIS_DATOS!$C$1541),2)=1,IF(MOD(IF(INT(($A767-1)/70)+1&gt;CROQUIS_DATOS!$C$1525,70,MOD($A767-1,70)+1)-2,2)=0,0,1),IF(MOD(IF(INT(($A767-1)/70)+1&gt;CROQUIS_DATOS!$C$1525,70,MOD($A767-1,70)+1)-2,2)=0,1,0))))=0,(INDEX($E$8:$E$23,MIN(INT(($A767-1)/70)+1,CROQUIS_DATOS!$C$1525))-INDEX($F$8:$F$23,MIN(INT(($A767-1)/70)+1,CROQUIS_DATOS!$C$1525))/2),(INDEX($E$8:$E$23,MIN(INT(($A767-1)/70)+1,CROQUIS_DATOS!$C$1525))+INDEX($F$8:$F$23,MIN(INT(($A767-1)/70)+1,CROQUIS_DATOS!$C$1525))/2)))*CROQUIS_DATOS!$C$1562),-1000)</f>
        <v>82.8189655172414</v>
      </c>
      <c r="O767">
        <f>IF(AND(CROQUIS_DATOS!$C$1472=1,1),(CROQUIS_DATOS!$C$1564+(IF(OR(IF(INT(($A767-1)/70)+1&gt;CROQUIS_DATOS!$C$1525,70,MOD($A767-1,70)+1)=1,IF(INT(($A767-1)/70)+1&gt;CROQUIS_DATOS!$C$1525,70,MOD($A767-1,70)+1)&gt;2*CROQUIS_DATOS!$C$1541+1),CROQUIS_DATOS!$C$1476,INDEX($H$8:$H$41,MIN(INT((IF(INT(($A767-1)/70)+1&gt;CROQUIS_DATOS!$C$1525,70,MOD($A767-1,70)+1)-2)/2)+1,CROQUIS_DATOS!$C$1541))))*CROQUIS_DATOS!$C$1561*CROQUIS_DATOS!$C$1562),-1000)</f>
        <v>40.2068965517241</v>
      </c>
    </row>
    <row r="768">
      <c r="A768" t="n">
        <v>761</v>
      </c>
      <c r="N768">
        <f>IF(AND(CROQUIS_DATOS!$C$1472=1,1),(CROQUIS_DATOS!$C$1563+(IF(IF(IF(INT(($A768-1)/70)+1&gt;CROQUIS_DATOS!$C$1525,70,MOD($A768-1,70)+1)=1,0,IF(IF(INT(($A768-1)/70)+1&gt;CROQUIS_DATOS!$C$1525,70,MOD($A768-1,70)+1)&gt;2*CROQUIS_DATOS!$C$1541+1,IF(MOD(CROQUIS_DATOS!$C$1541,2)=1,1,0),IF(MOD(MIN(INT((IF(INT(($A768-1)/70)+1&gt;CROQUIS_DATOS!$C$1525,70,MOD($A768-1,70)+1)-2)/2)+1,CROQUIS_DATOS!$C$1541),2)=1,IF(MOD(IF(INT(($A768-1)/70)+1&gt;CROQUIS_DATOS!$C$1525,70,MOD($A768-1,70)+1)-2,2)=0,0,1),IF(MOD(IF(INT(($A768-1)/70)+1&gt;CROQUIS_DATOS!$C$1525,70,MOD($A768-1,70)+1)-2,2)=0,1,0))))=0,(INDEX($E$8:$E$23,MIN(INT(($A768-1)/70)+1,CROQUIS_DATOS!$C$1525))-INDEX($F$8:$F$23,MIN(INT(($A768-1)/70)+1,CROQUIS_DATOS!$C$1525))/2),(INDEX($E$8:$E$23,MIN(INT(($A768-1)/70)+1,CROQUIS_DATOS!$C$1525))+INDEX($F$8:$F$23,MIN(INT(($A768-1)/70)+1,CROQUIS_DATOS!$C$1525))/2)))*CROQUIS_DATOS!$C$1562),-1000)</f>
        <v>82.8189655172414</v>
      </c>
      <c r="O768">
        <f>IF(AND(CROQUIS_DATOS!$C$1472=1,1),(CROQUIS_DATOS!$C$1564+(IF(OR(IF(INT(($A768-1)/70)+1&gt;CROQUIS_DATOS!$C$1525,70,MOD($A768-1,70)+1)=1,IF(INT(($A768-1)/70)+1&gt;CROQUIS_DATOS!$C$1525,70,MOD($A768-1,70)+1)&gt;2*CROQUIS_DATOS!$C$1541+1),CROQUIS_DATOS!$C$1476,INDEX($H$8:$H$41,MIN(INT((IF(INT(($A768-1)/70)+1&gt;CROQUIS_DATOS!$C$1525,70,MOD($A768-1,70)+1)-2)/2)+1,CROQUIS_DATOS!$C$1541))))*CROQUIS_DATOS!$C$1561*CROQUIS_DATOS!$C$1562),-1000)</f>
        <v>40.2068965517241</v>
      </c>
    </row>
    <row r="769">
      <c r="A769" t="n">
        <v>762</v>
      </c>
      <c r="N769">
        <f>IF(AND(CROQUIS_DATOS!$C$1472=1,1),(CROQUIS_DATOS!$C$1563+(IF(IF(IF(INT(($A769-1)/70)+1&gt;CROQUIS_DATOS!$C$1525,70,MOD($A769-1,70)+1)=1,0,IF(IF(INT(($A769-1)/70)+1&gt;CROQUIS_DATOS!$C$1525,70,MOD($A769-1,70)+1)&gt;2*CROQUIS_DATOS!$C$1541+1,IF(MOD(CROQUIS_DATOS!$C$1541,2)=1,1,0),IF(MOD(MIN(INT((IF(INT(($A769-1)/70)+1&gt;CROQUIS_DATOS!$C$1525,70,MOD($A769-1,70)+1)-2)/2)+1,CROQUIS_DATOS!$C$1541),2)=1,IF(MOD(IF(INT(($A769-1)/70)+1&gt;CROQUIS_DATOS!$C$1525,70,MOD($A769-1,70)+1)-2,2)=0,0,1),IF(MOD(IF(INT(($A769-1)/70)+1&gt;CROQUIS_DATOS!$C$1525,70,MOD($A769-1,70)+1)-2,2)=0,1,0))))=0,(INDEX($E$8:$E$23,MIN(INT(($A769-1)/70)+1,CROQUIS_DATOS!$C$1525))-INDEX($F$8:$F$23,MIN(INT(($A769-1)/70)+1,CROQUIS_DATOS!$C$1525))/2),(INDEX($E$8:$E$23,MIN(INT(($A769-1)/70)+1,CROQUIS_DATOS!$C$1525))+INDEX($F$8:$F$23,MIN(INT(($A769-1)/70)+1,CROQUIS_DATOS!$C$1525))/2)))*CROQUIS_DATOS!$C$1562),-1000)</f>
        <v>82.8189655172414</v>
      </c>
      <c r="O769">
        <f>IF(AND(CROQUIS_DATOS!$C$1472=1,1),(CROQUIS_DATOS!$C$1564+(IF(OR(IF(INT(($A769-1)/70)+1&gt;CROQUIS_DATOS!$C$1525,70,MOD($A769-1,70)+1)=1,IF(INT(($A769-1)/70)+1&gt;CROQUIS_DATOS!$C$1525,70,MOD($A769-1,70)+1)&gt;2*CROQUIS_DATOS!$C$1541+1),CROQUIS_DATOS!$C$1476,INDEX($H$8:$H$41,MIN(INT((IF(INT(($A769-1)/70)+1&gt;CROQUIS_DATOS!$C$1525,70,MOD($A769-1,70)+1)-2)/2)+1,CROQUIS_DATOS!$C$1541))))*CROQUIS_DATOS!$C$1561*CROQUIS_DATOS!$C$1562),-1000)</f>
        <v>40.2068965517241</v>
      </c>
    </row>
    <row r="770">
      <c r="A770" t="n">
        <v>763</v>
      </c>
      <c r="N770">
        <f>IF(AND(CROQUIS_DATOS!$C$1472=1,1),(CROQUIS_DATOS!$C$1563+(IF(IF(IF(INT(($A770-1)/70)+1&gt;CROQUIS_DATOS!$C$1525,70,MOD($A770-1,70)+1)=1,0,IF(IF(INT(($A770-1)/70)+1&gt;CROQUIS_DATOS!$C$1525,70,MOD($A770-1,70)+1)&gt;2*CROQUIS_DATOS!$C$1541+1,IF(MOD(CROQUIS_DATOS!$C$1541,2)=1,1,0),IF(MOD(MIN(INT((IF(INT(($A770-1)/70)+1&gt;CROQUIS_DATOS!$C$1525,70,MOD($A770-1,70)+1)-2)/2)+1,CROQUIS_DATOS!$C$1541),2)=1,IF(MOD(IF(INT(($A770-1)/70)+1&gt;CROQUIS_DATOS!$C$1525,70,MOD($A770-1,70)+1)-2,2)=0,0,1),IF(MOD(IF(INT(($A770-1)/70)+1&gt;CROQUIS_DATOS!$C$1525,70,MOD($A770-1,70)+1)-2,2)=0,1,0))))=0,(INDEX($E$8:$E$23,MIN(INT(($A770-1)/70)+1,CROQUIS_DATOS!$C$1525))-INDEX($F$8:$F$23,MIN(INT(($A770-1)/70)+1,CROQUIS_DATOS!$C$1525))/2),(INDEX($E$8:$E$23,MIN(INT(($A770-1)/70)+1,CROQUIS_DATOS!$C$1525))+INDEX($F$8:$F$23,MIN(INT(($A770-1)/70)+1,CROQUIS_DATOS!$C$1525))/2)))*CROQUIS_DATOS!$C$1562),-1000)</f>
        <v>82.8189655172414</v>
      </c>
      <c r="O770">
        <f>IF(AND(CROQUIS_DATOS!$C$1472=1,1),(CROQUIS_DATOS!$C$1564+(IF(OR(IF(INT(($A770-1)/70)+1&gt;CROQUIS_DATOS!$C$1525,70,MOD($A770-1,70)+1)=1,IF(INT(($A770-1)/70)+1&gt;CROQUIS_DATOS!$C$1525,70,MOD($A770-1,70)+1)&gt;2*CROQUIS_DATOS!$C$1541+1),CROQUIS_DATOS!$C$1476,INDEX($H$8:$H$41,MIN(INT((IF(INT(($A770-1)/70)+1&gt;CROQUIS_DATOS!$C$1525,70,MOD($A770-1,70)+1)-2)/2)+1,CROQUIS_DATOS!$C$1541))))*CROQUIS_DATOS!$C$1561*CROQUIS_DATOS!$C$1562),-1000)</f>
        <v>40.2068965517241</v>
      </c>
    </row>
    <row r="771">
      <c r="A771" t="n">
        <v>764</v>
      </c>
      <c r="N771">
        <f>IF(AND(CROQUIS_DATOS!$C$1472=1,1),(CROQUIS_DATOS!$C$1563+(IF(IF(IF(INT(($A771-1)/70)+1&gt;CROQUIS_DATOS!$C$1525,70,MOD($A771-1,70)+1)=1,0,IF(IF(INT(($A771-1)/70)+1&gt;CROQUIS_DATOS!$C$1525,70,MOD($A771-1,70)+1)&gt;2*CROQUIS_DATOS!$C$1541+1,IF(MOD(CROQUIS_DATOS!$C$1541,2)=1,1,0),IF(MOD(MIN(INT((IF(INT(($A771-1)/70)+1&gt;CROQUIS_DATOS!$C$1525,70,MOD($A771-1,70)+1)-2)/2)+1,CROQUIS_DATOS!$C$1541),2)=1,IF(MOD(IF(INT(($A771-1)/70)+1&gt;CROQUIS_DATOS!$C$1525,70,MOD($A771-1,70)+1)-2,2)=0,0,1),IF(MOD(IF(INT(($A771-1)/70)+1&gt;CROQUIS_DATOS!$C$1525,70,MOD($A771-1,70)+1)-2,2)=0,1,0))))=0,(INDEX($E$8:$E$23,MIN(INT(($A771-1)/70)+1,CROQUIS_DATOS!$C$1525))-INDEX($F$8:$F$23,MIN(INT(($A771-1)/70)+1,CROQUIS_DATOS!$C$1525))/2),(INDEX($E$8:$E$23,MIN(INT(($A771-1)/70)+1,CROQUIS_DATOS!$C$1525))+INDEX($F$8:$F$23,MIN(INT(($A771-1)/70)+1,CROQUIS_DATOS!$C$1525))/2)))*CROQUIS_DATOS!$C$1562),-1000)</f>
        <v>82.8189655172414</v>
      </c>
      <c r="O771">
        <f>IF(AND(CROQUIS_DATOS!$C$1472=1,1),(CROQUIS_DATOS!$C$1564+(IF(OR(IF(INT(($A771-1)/70)+1&gt;CROQUIS_DATOS!$C$1525,70,MOD($A771-1,70)+1)=1,IF(INT(($A771-1)/70)+1&gt;CROQUIS_DATOS!$C$1525,70,MOD($A771-1,70)+1)&gt;2*CROQUIS_DATOS!$C$1541+1),CROQUIS_DATOS!$C$1476,INDEX($H$8:$H$41,MIN(INT((IF(INT(($A771-1)/70)+1&gt;CROQUIS_DATOS!$C$1525,70,MOD($A771-1,70)+1)-2)/2)+1,CROQUIS_DATOS!$C$1541))))*CROQUIS_DATOS!$C$1561*CROQUIS_DATOS!$C$1562),-1000)</f>
        <v>40.2068965517241</v>
      </c>
    </row>
    <row r="772">
      <c r="A772" t="n">
        <v>765</v>
      </c>
      <c r="N772">
        <f>IF(AND(CROQUIS_DATOS!$C$1472=1,1),(CROQUIS_DATOS!$C$1563+(IF(IF(IF(INT(($A772-1)/70)+1&gt;CROQUIS_DATOS!$C$1525,70,MOD($A772-1,70)+1)=1,0,IF(IF(INT(($A772-1)/70)+1&gt;CROQUIS_DATOS!$C$1525,70,MOD($A772-1,70)+1)&gt;2*CROQUIS_DATOS!$C$1541+1,IF(MOD(CROQUIS_DATOS!$C$1541,2)=1,1,0),IF(MOD(MIN(INT((IF(INT(($A772-1)/70)+1&gt;CROQUIS_DATOS!$C$1525,70,MOD($A772-1,70)+1)-2)/2)+1,CROQUIS_DATOS!$C$1541),2)=1,IF(MOD(IF(INT(($A772-1)/70)+1&gt;CROQUIS_DATOS!$C$1525,70,MOD($A772-1,70)+1)-2,2)=0,0,1),IF(MOD(IF(INT(($A772-1)/70)+1&gt;CROQUIS_DATOS!$C$1525,70,MOD($A772-1,70)+1)-2,2)=0,1,0))))=0,(INDEX($E$8:$E$23,MIN(INT(($A772-1)/70)+1,CROQUIS_DATOS!$C$1525))-INDEX($F$8:$F$23,MIN(INT(($A772-1)/70)+1,CROQUIS_DATOS!$C$1525))/2),(INDEX($E$8:$E$23,MIN(INT(($A772-1)/70)+1,CROQUIS_DATOS!$C$1525))+INDEX($F$8:$F$23,MIN(INT(($A772-1)/70)+1,CROQUIS_DATOS!$C$1525))/2)))*CROQUIS_DATOS!$C$1562),-1000)</f>
        <v>82.8189655172414</v>
      </c>
      <c r="O772">
        <f>IF(AND(CROQUIS_DATOS!$C$1472=1,1),(CROQUIS_DATOS!$C$1564+(IF(OR(IF(INT(($A772-1)/70)+1&gt;CROQUIS_DATOS!$C$1525,70,MOD($A772-1,70)+1)=1,IF(INT(($A772-1)/70)+1&gt;CROQUIS_DATOS!$C$1525,70,MOD($A772-1,70)+1)&gt;2*CROQUIS_DATOS!$C$1541+1),CROQUIS_DATOS!$C$1476,INDEX($H$8:$H$41,MIN(INT((IF(INT(($A772-1)/70)+1&gt;CROQUIS_DATOS!$C$1525,70,MOD($A772-1,70)+1)-2)/2)+1,CROQUIS_DATOS!$C$1541))))*CROQUIS_DATOS!$C$1561*CROQUIS_DATOS!$C$1562),-1000)</f>
        <v>40.2068965517241</v>
      </c>
    </row>
    <row r="773">
      <c r="A773" t="n">
        <v>766</v>
      </c>
      <c r="N773">
        <f>IF(AND(CROQUIS_DATOS!$C$1472=1,1),(CROQUIS_DATOS!$C$1563+(IF(IF(IF(INT(($A773-1)/70)+1&gt;CROQUIS_DATOS!$C$1525,70,MOD($A773-1,70)+1)=1,0,IF(IF(INT(($A773-1)/70)+1&gt;CROQUIS_DATOS!$C$1525,70,MOD($A773-1,70)+1)&gt;2*CROQUIS_DATOS!$C$1541+1,IF(MOD(CROQUIS_DATOS!$C$1541,2)=1,1,0),IF(MOD(MIN(INT((IF(INT(($A773-1)/70)+1&gt;CROQUIS_DATOS!$C$1525,70,MOD($A773-1,70)+1)-2)/2)+1,CROQUIS_DATOS!$C$1541),2)=1,IF(MOD(IF(INT(($A773-1)/70)+1&gt;CROQUIS_DATOS!$C$1525,70,MOD($A773-1,70)+1)-2,2)=0,0,1),IF(MOD(IF(INT(($A773-1)/70)+1&gt;CROQUIS_DATOS!$C$1525,70,MOD($A773-1,70)+1)-2,2)=0,1,0))))=0,(INDEX($E$8:$E$23,MIN(INT(($A773-1)/70)+1,CROQUIS_DATOS!$C$1525))-INDEX($F$8:$F$23,MIN(INT(($A773-1)/70)+1,CROQUIS_DATOS!$C$1525))/2),(INDEX($E$8:$E$23,MIN(INT(($A773-1)/70)+1,CROQUIS_DATOS!$C$1525))+INDEX($F$8:$F$23,MIN(INT(($A773-1)/70)+1,CROQUIS_DATOS!$C$1525))/2)))*CROQUIS_DATOS!$C$1562),-1000)</f>
        <v>82.8189655172414</v>
      </c>
      <c r="O773">
        <f>IF(AND(CROQUIS_DATOS!$C$1472=1,1),(CROQUIS_DATOS!$C$1564+(IF(OR(IF(INT(($A773-1)/70)+1&gt;CROQUIS_DATOS!$C$1525,70,MOD($A773-1,70)+1)=1,IF(INT(($A773-1)/70)+1&gt;CROQUIS_DATOS!$C$1525,70,MOD($A773-1,70)+1)&gt;2*CROQUIS_DATOS!$C$1541+1),CROQUIS_DATOS!$C$1476,INDEX($H$8:$H$41,MIN(INT((IF(INT(($A773-1)/70)+1&gt;CROQUIS_DATOS!$C$1525,70,MOD($A773-1,70)+1)-2)/2)+1,CROQUIS_DATOS!$C$1541))))*CROQUIS_DATOS!$C$1561*CROQUIS_DATOS!$C$1562),-1000)</f>
        <v>40.2068965517241</v>
      </c>
    </row>
    <row r="774">
      <c r="A774" t="n">
        <v>767</v>
      </c>
      <c r="N774">
        <f>IF(AND(CROQUIS_DATOS!$C$1472=1,1),(CROQUIS_DATOS!$C$1563+(IF(IF(IF(INT(($A774-1)/70)+1&gt;CROQUIS_DATOS!$C$1525,70,MOD($A774-1,70)+1)=1,0,IF(IF(INT(($A774-1)/70)+1&gt;CROQUIS_DATOS!$C$1525,70,MOD($A774-1,70)+1)&gt;2*CROQUIS_DATOS!$C$1541+1,IF(MOD(CROQUIS_DATOS!$C$1541,2)=1,1,0),IF(MOD(MIN(INT((IF(INT(($A774-1)/70)+1&gt;CROQUIS_DATOS!$C$1525,70,MOD($A774-1,70)+1)-2)/2)+1,CROQUIS_DATOS!$C$1541),2)=1,IF(MOD(IF(INT(($A774-1)/70)+1&gt;CROQUIS_DATOS!$C$1525,70,MOD($A774-1,70)+1)-2,2)=0,0,1),IF(MOD(IF(INT(($A774-1)/70)+1&gt;CROQUIS_DATOS!$C$1525,70,MOD($A774-1,70)+1)-2,2)=0,1,0))))=0,(INDEX($E$8:$E$23,MIN(INT(($A774-1)/70)+1,CROQUIS_DATOS!$C$1525))-INDEX($F$8:$F$23,MIN(INT(($A774-1)/70)+1,CROQUIS_DATOS!$C$1525))/2),(INDEX($E$8:$E$23,MIN(INT(($A774-1)/70)+1,CROQUIS_DATOS!$C$1525))+INDEX($F$8:$F$23,MIN(INT(($A774-1)/70)+1,CROQUIS_DATOS!$C$1525))/2)))*CROQUIS_DATOS!$C$1562),-1000)</f>
        <v>82.8189655172414</v>
      </c>
      <c r="O774">
        <f>IF(AND(CROQUIS_DATOS!$C$1472=1,1),(CROQUIS_DATOS!$C$1564+(IF(OR(IF(INT(($A774-1)/70)+1&gt;CROQUIS_DATOS!$C$1525,70,MOD($A774-1,70)+1)=1,IF(INT(($A774-1)/70)+1&gt;CROQUIS_DATOS!$C$1525,70,MOD($A774-1,70)+1)&gt;2*CROQUIS_DATOS!$C$1541+1),CROQUIS_DATOS!$C$1476,INDEX($H$8:$H$41,MIN(INT((IF(INT(($A774-1)/70)+1&gt;CROQUIS_DATOS!$C$1525,70,MOD($A774-1,70)+1)-2)/2)+1,CROQUIS_DATOS!$C$1541))))*CROQUIS_DATOS!$C$1561*CROQUIS_DATOS!$C$1562),-1000)</f>
        <v>40.2068965517241</v>
      </c>
    </row>
    <row r="775">
      <c r="A775" t="n">
        <v>768</v>
      </c>
      <c r="N775">
        <f>IF(AND(CROQUIS_DATOS!$C$1472=1,1),(CROQUIS_DATOS!$C$1563+(IF(IF(IF(INT(($A775-1)/70)+1&gt;CROQUIS_DATOS!$C$1525,70,MOD($A775-1,70)+1)=1,0,IF(IF(INT(($A775-1)/70)+1&gt;CROQUIS_DATOS!$C$1525,70,MOD($A775-1,70)+1)&gt;2*CROQUIS_DATOS!$C$1541+1,IF(MOD(CROQUIS_DATOS!$C$1541,2)=1,1,0),IF(MOD(MIN(INT((IF(INT(($A775-1)/70)+1&gt;CROQUIS_DATOS!$C$1525,70,MOD($A775-1,70)+1)-2)/2)+1,CROQUIS_DATOS!$C$1541),2)=1,IF(MOD(IF(INT(($A775-1)/70)+1&gt;CROQUIS_DATOS!$C$1525,70,MOD($A775-1,70)+1)-2,2)=0,0,1),IF(MOD(IF(INT(($A775-1)/70)+1&gt;CROQUIS_DATOS!$C$1525,70,MOD($A775-1,70)+1)-2,2)=0,1,0))))=0,(INDEX($E$8:$E$23,MIN(INT(($A775-1)/70)+1,CROQUIS_DATOS!$C$1525))-INDEX($F$8:$F$23,MIN(INT(($A775-1)/70)+1,CROQUIS_DATOS!$C$1525))/2),(INDEX($E$8:$E$23,MIN(INT(($A775-1)/70)+1,CROQUIS_DATOS!$C$1525))+INDEX($F$8:$F$23,MIN(INT(($A775-1)/70)+1,CROQUIS_DATOS!$C$1525))/2)))*CROQUIS_DATOS!$C$1562),-1000)</f>
        <v>82.8189655172414</v>
      </c>
      <c r="O775">
        <f>IF(AND(CROQUIS_DATOS!$C$1472=1,1),(CROQUIS_DATOS!$C$1564+(IF(OR(IF(INT(($A775-1)/70)+1&gt;CROQUIS_DATOS!$C$1525,70,MOD($A775-1,70)+1)=1,IF(INT(($A775-1)/70)+1&gt;CROQUIS_DATOS!$C$1525,70,MOD($A775-1,70)+1)&gt;2*CROQUIS_DATOS!$C$1541+1),CROQUIS_DATOS!$C$1476,INDEX($H$8:$H$41,MIN(INT((IF(INT(($A775-1)/70)+1&gt;CROQUIS_DATOS!$C$1525,70,MOD($A775-1,70)+1)-2)/2)+1,CROQUIS_DATOS!$C$1541))))*CROQUIS_DATOS!$C$1561*CROQUIS_DATOS!$C$1562),-1000)</f>
        <v>40.2068965517241</v>
      </c>
    </row>
    <row r="776">
      <c r="A776" t="n">
        <v>769</v>
      </c>
      <c r="N776">
        <f>IF(AND(CROQUIS_DATOS!$C$1472=1,1),(CROQUIS_DATOS!$C$1563+(IF(IF(IF(INT(($A776-1)/70)+1&gt;CROQUIS_DATOS!$C$1525,70,MOD($A776-1,70)+1)=1,0,IF(IF(INT(($A776-1)/70)+1&gt;CROQUIS_DATOS!$C$1525,70,MOD($A776-1,70)+1)&gt;2*CROQUIS_DATOS!$C$1541+1,IF(MOD(CROQUIS_DATOS!$C$1541,2)=1,1,0),IF(MOD(MIN(INT((IF(INT(($A776-1)/70)+1&gt;CROQUIS_DATOS!$C$1525,70,MOD($A776-1,70)+1)-2)/2)+1,CROQUIS_DATOS!$C$1541),2)=1,IF(MOD(IF(INT(($A776-1)/70)+1&gt;CROQUIS_DATOS!$C$1525,70,MOD($A776-1,70)+1)-2,2)=0,0,1),IF(MOD(IF(INT(($A776-1)/70)+1&gt;CROQUIS_DATOS!$C$1525,70,MOD($A776-1,70)+1)-2,2)=0,1,0))))=0,(INDEX($E$8:$E$23,MIN(INT(($A776-1)/70)+1,CROQUIS_DATOS!$C$1525))-INDEX($F$8:$F$23,MIN(INT(($A776-1)/70)+1,CROQUIS_DATOS!$C$1525))/2),(INDEX($E$8:$E$23,MIN(INT(($A776-1)/70)+1,CROQUIS_DATOS!$C$1525))+INDEX($F$8:$F$23,MIN(INT(($A776-1)/70)+1,CROQUIS_DATOS!$C$1525))/2)))*CROQUIS_DATOS!$C$1562),-1000)</f>
        <v>82.8189655172414</v>
      </c>
      <c r="O776">
        <f>IF(AND(CROQUIS_DATOS!$C$1472=1,1),(CROQUIS_DATOS!$C$1564+(IF(OR(IF(INT(($A776-1)/70)+1&gt;CROQUIS_DATOS!$C$1525,70,MOD($A776-1,70)+1)=1,IF(INT(($A776-1)/70)+1&gt;CROQUIS_DATOS!$C$1525,70,MOD($A776-1,70)+1)&gt;2*CROQUIS_DATOS!$C$1541+1),CROQUIS_DATOS!$C$1476,INDEX($H$8:$H$41,MIN(INT((IF(INT(($A776-1)/70)+1&gt;CROQUIS_DATOS!$C$1525,70,MOD($A776-1,70)+1)-2)/2)+1,CROQUIS_DATOS!$C$1541))))*CROQUIS_DATOS!$C$1561*CROQUIS_DATOS!$C$1562),-1000)</f>
        <v>40.2068965517241</v>
      </c>
    </row>
    <row r="777">
      <c r="A777" t="n">
        <v>770</v>
      </c>
      <c r="N777">
        <f>IF(AND(CROQUIS_DATOS!$C$1472=1,1),(CROQUIS_DATOS!$C$1563+(IF(IF(IF(INT(($A777-1)/70)+1&gt;CROQUIS_DATOS!$C$1525,70,MOD($A777-1,70)+1)=1,0,IF(IF(INT(($A777-1)/70)+1&gt;CROQUIS_DATOS!$C$1525,70,MOD($A777-1,70)+1)&gt;2*CROQUIS_DATOS!$C$1541+1,IF(MOD(CROQUIS_DATOS!$C$1541,2)=1,1,0),IF(MOD(MIN(INT((IF(INT(($A777-1)/70)+1&gt;CROQUIS_DATOS!$C$1525,70,MOD($A777-1,70)+1)-2)/2)+1,CROQUIS_DATOS!$C$1541),2)=1,IF(MOD(IF(INT(($A777-1)/70)+1&gt;CROQUIS_DATOS!$C$1525,70,MOD($A777-1,70)+1)-2,2)=0,0,1),IF(MOD(IF(INT(($A777-1)/70)+1&gt;CROQUIS_DATOS!$C$1525,70,MOD($A777-1,70)+1)-2,2)=0,1,0))))=0,(INDEX($E$8:$E$23,MIN(INT(($A777-1)/70)+1,CROQUIS_DATOS!$C$1525))-INDEX($F$8:$F$23,MIN(INT(($A777-1)/70)+1,CROQUIS_DATOS!$C$1525))/2),(INDEX($E$8:$E$23,MIN(INT(($A777-1)/70)+1,CROQUIS_DATOS!$C$1525))+INDEX($F$8:$F$23,MIN(INT(($A777-1)/70)+1,CROQUIS_DATOS!$C$1525))/2)))*CROQUIS_DATOS!$C$1562),-1000)</f>
        <v>82.8189655172414</v>
      </c>
      <c r="O777">
        <f>IF(AND(CROQUIS_DATOS!$C$1472=1,1),(CROQUIS_DATOS!$C$1564+(IF(OR(IF(INT(($A777-1)/70)+1&gt;CROQUIS_DATOS!$C$1525,70,MOD($A777-1,70)+1)=1,IF(INT(($A777-1)/70)+1&gt;CROQUIS_DATOS!$C$1525,70,MOD($A777-1,70)+1)&gt;2*CROQUIS_DATOS!$C$1541+1),CROQUIS_DATOS!$C$1476,INDEX($H$8:$H$41,MIN(INT((IF(INT(($A777-1)/70)+1&gt;CROQUIS_DATOS!$C$1525,70,MOD($A777-1,70)+1)-2)/2)+1,CROQUIS_DATOS!$C$1541))))*CROQUIS_DATOS!$C$1561*CROQUIS_DATOS!$C$1562),-1000)</f>
        <v>40.2068965517241</v>
      </c>
    </row>
    <row r="778">
      <c r="A778" t="n">
        <v>771</v>
      </c>
      <c r="N778">
        <f>IF(AND(CROQUIS_DATOS!$C$1472=1,1),(CROQUIS_DATOS!$C$1563+(IF(IF(IF(INT(($A778-1)/70)+1&gt;CROQUIS_DATOS!$C$1525,70,MOD($A778-1,70)+1)=1,0,IF(IF(INT(($A778-1)/70)+1&gt;CROQUIS_DATOS!$C$1525,70,MOD($A778-1,70)+1)&gt;2*CROQUIS_DATOS!$C$1541+1,IF(MOD(CROQUIS_DATOS!$C$1541,2)=1,1,0),IF(MOD(MIN(INT((IF(INT(($A778-1)/70)+1&gt;CROQUIS_DATOS!$C$1525,70,MOD($A778-1,70)+1)-2)/2)+1,CROQUIS_DATOS!$C$1541),2)=1,IF(MOD(IF(INT(($A778-1)/70)+1&gt;CROQUIS_DATOS!$C$1525,70,MOD($A778-1,70)+1)-2,2)=0,0,1),IF(MOD(IF(INT(($A778-1)/70)+1&gt;CROQUIS_DATOS!$C$1525,70,MOD($A778-1,70)+1)-2,2)=0,1,0))))=0,(INDEX($E$8:$E$23,MIN(INT(($A778-1)/70)+1,CROQUIS_DATOS!$C$1525))-INDEX($F$8:$F$23,MIN(INT(($A778-1)/70)+1,CROQUIS_DATOS!$C$1525))/2),(INDEX($E$8:$E$23,MIN(INT(($A778-1)/70)+1,CROQUIS_DATOS!$C$1525))+INDEX($F$8:$F$23,MIN(INT(($A778-1)/70)+1,CROQUIS_DATOS!$C$1525))/2)))*CROQUIS_DATOS!$C$1562),-1000)</f>
        <v>82.8189655172414</v>
      </c>
      <c r="O778">
        <f>IF(AND(CROQUIS_DATOS!$C$1472=1,1),(CROQUIS_DATOS!$C$1564+(IF(OR(IF(INT(($A778-1)/70)+1&gt;CROQUIS_DATOS!$C$1525,70,MOD($A778-1,70)+1)=1,IF(INT(($A778-1)/70)+1&gt;CROQUIS_DATOS!$C$1525,70,MOD($A778-1,70)+1)&gt;2*CROQUIS_DATOS!$C$1541+1),CROQUIS_DATOS!$C$1476,INDEX($H$8:$H$41,MIN(INT((IF(INT(($A778-1)/70)+1&gt;CROQUIS_DATOS!$C$1525,70,MOD($A778-1,70)+1)-2)/2)+1,CROQUIS_DATOS!$C$1541))))*CROQUIS_DATOS!$C$1561*CROQUIS_DATOS!$C$1562),-1000)</f>
        <v>40.2068965517241</v>
      </c>
    </row>
    <row r="779">
      <c r="A779" t="n">
        <v>772</v>
      </c>
      <c r="N779">
        <f>IF(AND(CROQUIS_DATOS!$C$1472=1,1),(CROQUIS_DATOS!$C$1563+(IF(IF(IF(INT(($A779-1)/70)+1&gt;CROQUIS_DATOS!$C$1525,70,MOD($A779-1,70)+1)=1,0,IF(IF(INT(($A779-1)/70)+1&gt;CROQUIS_DATOS!$C$1525,70,MOD($A779-1,70)+1)&gt;2*CROQUIS_DATOS!$C$1541+1,IF(MOD(CROQUIS_DATOS!$C$1541,2)=1,1,0),IF(MOD(MIN(INT((IF(INT(($A779-1)/70)+1&gt;CROQUIS_DATOS!$C$1525,70,MOD($A779-1,70)+1)-2)/2)+1,CROQUIS_DATOS!$C$1541),2)=1,IF(MOD(IF(INT(($A779-1)/70)+1&gt;CROQUIS_DATOS!$C$1525,70,MOD($A779-1,70)+1)-2,2)=0,0,1),IF(MOD(IF(INT(($A779-1)/70)+1&gt;CROQUIS_DATOS!$C$1525,70,MOD($A779-1,70)+1)-2,2)=0,1,0))))=0,(INDEX($E$8:$E$23,MIN(INT(($A779-1)/70)+1,CROQUIS_DATOS!$C$1525))-INDEX($F$8:$F$23,MIN(INT(($A779-1)/70)+1,CROQUIS_DATOS!$C$1525))/2),(INDEX($E$8:$E$23,MIN(INT(($A779-1)/70)+1,CROQUIS_DATOS!$C$1525))+INDEX($F$8:$F$23,MIN(INT(($A779-1)/70)+1,CROQUIS_DATOS!$C$1525))/2)))*CROQUIS_DATOS!$C$1562),-1000)</f>
        <v>82.8189655172414</v>
      </c>
      <c r="O779">
        <f>IF(AND(CROQUIS_DATOS!$C$1472=1,1),(CROQUIS_DATOS!$C$1564+(IF(OR(IF(INT(($A779-1)/70)+1&gt;CROQUIS_DATOS!$C$1525,70,MOD($A779-1,70)+1)=1,IF(INT(($A779-1)/70)+1&gt;CROQUIS_DATOS!$C$1525,70,MOD($A779-1,70)+1)&gt;2*CROQUIS_DATOS!$C$1541+1),CROQUIS_DATOS!$C$1476,INDEX($H$8:$H$41,MIN(INT((IF(INT(($A779-1)/70)+1&gt;CROQUIS_DATOS!$C$1525,70,MOD($A779-1,70)+1)-2)/2)+1,CROQUIS_DATOS!$C$1541))))*CROQUIS_DATOS!$C$1561*CROQUIS_DATOS!$C$1562),-1000)</f>
        <v>40.2068965517241</v>
      </c>
    </row>
    <row r="780">
      <c r="A780" t="n">
        <v>773</v>
      </c>
      <c r="N780">
        <f>IF(AND(CROQUIS_DATOS!$C$1472=1,1),(CROQUIS_DATOS!$C$1563+(IF(IF(IF(INT(($A780-1)/70)+1&gt;CROQUIS_DATOS!$C$1525,70,MOD($A780-1,70)+1)=1,0,IF(IF(INT(($A780-1)/70)+1&gt;CROQUIS_DATOS!$C$1525,70,MOD($A780-1,70)+1)&gt;2*CROQUIS_DATOS!$C$1541+1,IF(MOD(CROQUIS_DATOS!$C$1541,2)=1,1,0),IF(MOD(MIN(INT((IF(INT(($A780-1)/70)+1&gt;CROQUIS_DATOS!$C$1525,70,MOD($A780-1,70)+1)-2)/2)+1,CROQUIS_DATOS!$C$1541),2)=1,IF(MOD(IF(INT(($A780-1)/70)+1&gt;CROQUIS_DATOS!$C$1525,70,MOD($A780-1,70)+1)-2,2)=0,0,1),IF(MOD(IF(INT(($A780-1)/70)+1&gt;CROQUIS_DATOS!$C$1525,70,MOD($A780-1,70)+1)-2,2)=0,1,0))))=0,(INDEX($E$8:$E$23,MIN(INT(($A780-1)/70)+1,CROQUIS_DATOS!$C$1525))-INDEX($F$8:$F$23,MIN(INT(($A780-1)/70)+1,CROQUIS_DATOS!$C$1525))/2),(INDEX($E$8:$E$23,MIN(INT(($A780-1)/70)+1,CROQUIS_DATOS!$C$1525))+INDEX($F$8:$F$23,MIN(INT(($A780-1)/70)+1,CROQUIS_DATOS!$C$1525))/2)))*CROQUIS_DATOS!$C$1562),-1000)</f>
        <v>82.8189655172414</v>
      </c>
      <c r="O780">
        <f>IF(AND(CROQUIS_DATOS!$C$1472=1,1),(CROQUIS_DATOS!$C$1564+(IF(OR(IF(INT(($A780-1)/70)+1&gt;CROQUIS_DATOS!$C$1525,70,MOD($A780-1,70)+1)=1,IF(INT(($A780-1)/70)+1&gt;CROQUIS_DATOS!$C$1525,70,MOD($A780-1,70)+1)&gt;2*CROQUIS_DATOS!$C$1541+1),CROQUIS_DATOS!$C$1476,INDEX($H$8:$H$41,MIN(INT((IF(INT(($A780-1)/70)+1&gt;CROQUIS_DATOS!$C$1525,70,MOD($A780-1,70)+1)-2)/2)+1,CROQUIS_DATOS!$C$1541))))*CROQUIS_DATOS!$C$1561*CROQUIS_DATOS!$C$1562),-1000)</f>
        <v>40.2068965517241</v>
      </c>
    </row>
    <row r="781">
      <c r="A781" t="n">
        <v>774</v>
      </c>
      <c r="N781">
        <f>IF(AND(CROQUIS_DATOS!$C$1472=1,1),(CROQUIS_DATOS!$C$1563+(IF(IF(IF(INT(($A781-1)/70)+1&gt;CROQUIS_DATOS!$C$1525,70,MOD($A781-1,70)+1)=1,0,IF(IF(INT(($A781-1)/70)+1&gt;CROQUIS_DATOS!$C$1525,70,MOD($A781-1,70)+1)&gt;2*CROQUIS_DATOS!$C$1541+1,IF(MOD(CROQUIS_DATOS!$C$1541,2)=1,1,0),IF(MOD(MIN(INT((IF(INT(($A781-1)/70)+1&gt;CROQUIS_DATOS!$C$1525,70,MOD($A781-1,70)+1)-2)/2)+1,CROQUIS_DATOS!$C$1541),2)=1,IF(MOD(IF(INT(($A781-1)/70)+1&gt;CROQUIS_DATOS!$C$1525,70,MOD($A781-1,70)+1)-2,2)=0,0,1),IF(MOD(IF(INT(($A781-1)/70)+1&gt;CROQUIS_DATOS!$C$1525,70,MOD($A781-1,70)+1)-2,2)=0,1,0))))=0,(INDEX($E$8:$E$23,MIN(INT(($A781-1)/70)+1,CROQUIS_DATOS!$C$1525))-INDEX($F$8:$F$23,MIN(INT(($A781-1)/70)+1,CROQUIS_DATOS!$C$1525))/2),(INDEX($E$8:$E$23,MIN(INT(($A781-1)/70)+1,CROQUIS_DATOS!$C$1525))+INDEX($F$8:$F$23,MIN(INT(($A781-1)/70)+1,CROQUIS_DATOS!$C$1525))/2)))*CROQUIS_DATOS!$C$1562),-1000)</f>
        <v>82.8189655172414</v>
      </c>
      <c r="O781">
        <f>IF(AND(CROQUIS_DATOS!$C$1472=1,1),(CROQUIS_DATOS!$C$1564+(IF(OR(IF(INT(($A781-1)/70)+1&gt;CROQUIS_DATOS!$C$1525,70,MOD($A781-1,70)+1)=1,IF(INT(($A781-1)/70)+1&gt;CROQUIS_DATOS!$C$1525,70,MOD($A781-1,70)+1)&gt;2*CROQUIS_DATOS!$C$1541+1),CROQUIS_DATOS!$C$1476,INDEX($H$8:$H$41,MIN(INT((IF(INT(($A781-1)/70)+1&gt;CROQUIS_DATOS!$C$1525,70,MOD($A781-1,70)+1)-2)/2)+1,CROQUIS_DATOS!$C$1541))))*CROQUIS_DATOS!$C$1561*CROQUIS_DATOS!$C$1562),-1000)</f>
        <v>40.2068965517241</v>
      </c>
    </row>
    <row r="782">
      <c r="A782" t="n">
        <v>775</v>
      </c>
      <c r="N782">
        <f>IF(AND(CROQUIS_DATOS!$C$1472=1,1),(CROQUIS_DATOS!$C$1563+(IF(IF(IF(INT(($A782-1)/70)+1&gt;CROQUIS_DATOS!$C$1525,70,MOD($A782-1,70)+1)=1,0,IF(IF(INT(($A782-1)/70)+1&gt;CROQUIS_DATOS!$C$1525,70,MOD($A782-1,70)+1)&gt;2*CROQUIS_DATOS!$C$1541+1,IF(MOD(CROQUIS_DATOS!$C$1541,2)=1,1,0),IF(MOD(MIN(INT((IF(INT(($A782-1)/70)+1&gt;CROQUIS_DATOS!$C$1525,70,MOD($A782-1,70)+1)-2)/2)+1,CROQUIS_DATOS!$C$1541),2)=1,IF(MOD(IF(INT(($A782-1)/70)+1&gt;CROQUIS_DATOS!$C$1525,70,MOD($A782-1,70)+1)-2,2)=0,0,1),IF(MOD(IF(INT(($A782-1)/70)+1&gt;CROQUIS_DATOS!$C$1525,70,MOD($A782-1,70)+1)-2,2)=0,1,0))))=0,(INDEX($E$8:$E$23,MIN(INT(($A782-1)/70)+1,CROQUIS_DATOS!$C$1525))-INDEX($F$8:$F$23,MIN(INT(($A782-1)/70)+1,CROQUIS_DATOS!$C$1525))/2),(INDEX($E$8:$E$23,MIN(INT(($A782-1)/70)+1,CROQUIS_DATOS!$C$1525))+INDEX($F$8:$F$23,MIN(INT(($A782-1)/70)+1,CROQUIS_DATOS!$C$1525))/2)))*CROQUIS_DATOS!$C$1562),-1000)</f>
        <v>82.8189655172414</v>
      </c>
      <c r="O782">
        <f>IF(AND(CROQUIS_DATOS!$C$1472=1,1),(CROQUIS_DATOS!$C$1564+(IF(OR(IF(INT(($A782-1)/70)+1&gt;CROQUIS_DATOS!$C$1525,70,MOD($A782-1,70)+1)=1,IF(INT(($A782-1)/70)+1&gt;CROQUIS_DATOS!$C$1525,70,MOD($A782-1,70)+1)&gt;2*CROQUIS_DATOS!$C$1541+1),CROQUIS_DATOS!$C$1476,INDEX($H$8:$H$41,MIN(INT((IF(INT(($A782-1)/70)+1&gt;CROQUIS_DATOS!$C$1525,70,MOD($A782-1,70)+1)-2)/2)+1,CROQUIS_DATOS!$C$1541))))*CROQUIS_DATOS!$C$1561*CROQUIS_DATOS!$C$1562),-1000)</f>
        <v>40.2068965517241</v>
      </c>
    </row>
    <row r="783">
      <c r="A783" t="n">
        <v>776</v>
      </c>
      <c r="N783">
        <f>IF(AND(CROQUIS_DATOS!$C$1472=1,1),(CROQUIS_DATOS!$C$1563+(IF(IF(IF(INT(($A783-1)/70)+1&gt;CROQUIS_DATOS!$C$1525,70,MOD($A783-1,70)+1)=1,0,IF(IF(INT(($A783-1)/70)+1&gt;CROQUIS_DATOS!$C$1525,70,MOD($A783-1,70)+1)&gt;2*CROQUIS_DATOS!$C$1541+1,IF(MOD(CROQUIS_DATOS!$C$1541,2)=1,1,0),IF(MOD(MIN(INT((IF(INT(($A783-1)/70)+1&gt;CROQUIS_DATOS!$C$1525,70,MOD($A783-1,70)+1)-2)/2)+1,CROQUIS_DATOS!$C$1541),2)=1,IF(MOD(IF(INT(($A783-1)/70)+1&gt;CROQUIS_DATOS!$C$1525,70,MOD($A783-1,70)+1)-2,2)=0,0,1),IF(MOD(IF(INT(($A783-1)/70)+1&gt;CROQUIS_DATOS!$C$1525,70,MOD($A783-1,70)+1)-2,2)=0,1,0))))=0,(INDEX($E$8:$E$23,MIN(INT(($A783-1)/70)+1,CROQUIS_DATOS!$C$1525))-INDEX($F$8:$F$23,MIN(INT(($A783-1)/70)+1,CROQUIS_DATOS!$C$1525))/2),(INDEX($E$8:$E$23,MIN(INT(($A783-1)/70)+1,CROQUIS_DATOS!$C$1525))+INDEX($F$8:$F$23,MIN(INT(($A783-1)/70)+1,CROQUIS_DATOS!$C$1525))/2)))*CROQUIS_DATOS!$C$1562),-1000)</f>
        <v>82.8189655172414</v>
      </c>
      <c r="O783">
        <f>IF(AND(CROQUIS_DATOS!$C$1472=1,1),(CROQUIS_DATOS!$C$1564+(IF(OR(IF(INT(($A783-1)/70)+1&gt;CROQUIS_DATOS!$C$1525,70,MOD($A783-1,70)+1)=1,IF(INT(($A783-1)/70)+1&gt;CROQUIS_DATOS!$C$1525,70,MOD($A783-1,70)+1)&gt;2*CROQUIS_DATOS!$C$1541+1),CROQUIS_DATOS!$C$1476,INDEX($H$8:$H$41,MIN(INT((IF(INT(($A783-1)/70)+1&gt;CROQUIS_DATOS!$C$1525,70,MOD($A783-1,70)+1)-2)/2)+1,CROQUIS_DATOS!$C$1541))))*CROQUIS_DATOS!$C$1561*CROQUIS_DATOS!$C$1562),-1000)</f>
        <v>40.2068965517241</v>
      </c>
    </row>
    <row r="784">
      <c r="A784" t="n">
        <v>777</v>
      </c>
      <c r="N784">
        <f>IF(AND(CROQUIS_DATOS!$C$1472=1,1),(CROQUIS_DATOS!$C$1563+(IF(IF(IF(INT(($A784-1)/70)+1&gt;CROQUIS_DATOS!$C$1525,70,MOD($A784-1,70)+1)=1,0,IF(IF(INT(($A784-1)/70)+1&gt;CROQUIS_DATOS!$C$1525,70,MOD($A784-1,70)+1)&gt;2*CROQUIS_DATOS!$C$1541+1,IF(MOD(CROQUIS_DATOS!$C$1541,2)=1,1,0),IF(MOD(MIN(INT((IF(INT(($A784-1)/70)+1&gt;CROQUIS_DATOS!$C$1525,70,MOD($A784-1,70)+1)-2)/2)+1,CROQUIS_DATOS!$C$1541),2)=1,IF(MOD(IF(INT(($A784-1)/70)+1&gt;CROQUIS_DATOS!$C$1525,70,MOD($A784-1,70)+1)-2,2)=0,0,1),IF(MOD(IF(INT(($A784-1)/70)+1&gt;CROQUIS_DATOS!$C$1525,70,MOD($A784-1,70)+1)-2,2)=0,1,0))))=0,(INDEX($E$8:$E$23,MIN(INT(($A784-1)/70)+1,CROQUIS_DATOS!$C$1525))-INDEX($F$8:$F$23,MIN(INT(($A784-1)/70)+1,CROQUIS_DATOS!$C$1525))/2),(INDEX($E$8:$E$23,MIN(INT(($A784-1)/70)+1,CROQUIS_DATOS!$C$1525))+INDEX($F$8:$F$23,MIN(INT(($A784-1)/70)+1,CROQUIS_DATOS!$C$1525))/2)))*CROQUIS_DATOS!$C$1562),-1000)</f>
        <v>82.8189655172414</v>
      </c>
      <c r="O784">
        <f>IF(AND(CROQUIS_DATOS!$C$1472=1,1),(CROQUIS_DATOS!$C$1564+(IF(OR(IF(INT(($A784-1)/70)+1&gt;CROQUIS_DATOS!$C$1525,70,MOD($A784-1,70)+1)=1,IF(INT(($A784-1)/70)+1&gt;CROQUIS_DATOS!$C$1525,70,MOD($A784-1,70)+1)&gt;2*CROQUIS_DATOS!$C$1541+1),CROQUIS_DATOS!$C$1476,INDEX($H$8:$H$41,MIN(INT((IF(INT(($A784-1)/70)+1&gt;CROQUIS_DATOS!$C$1525,70,MOD($A784-1,70)+1)-2)/2)+1,CROQUIS_DATOS!$C$1541))))*CROQUIS_DATOS!$C$1561*CROQUIS_DATOS!$C$1562),-1000)</f>
        <v>40.2068965517241</v>
      </c>
    </row>
    <row r="785">
      <c r="A785" t="n">
        <v>778</v>
      </c>
      <c r="N785">
        <f>IF(AND(CROQUIS_DATOS!$C$1472=1,1),(CROQUIS_DATOS!$C$1563+(IF(IF(IF(INT(($A785-1)/70)+1&gt;CROQUIS_DATOS!$C$1525,70,MOD($A785-1,70)+1)=1,0,IF(IF(INT(($A785-1)/70)+1&gt;CROQUIS_DATOS!$C$1525,70,MOD($A785-1,70)+1)&gt;2*CROQUIS_DATOS!$C$1541+1,IF(MOD(CROQUIS_DATOS!$C$1541,2)=1,1,0),IF(MOD(MIN(INT((IF(INT(($A785-1)/70)+1&gt;CROQUIS_DATOS!$C$1525,70,MOD($A785-1,70)+1)-2)/2)+1,CROQUIS_DATOS!$C$1541),2)=1,IF(MOD(IF(INT(($A785-1)/70)+1&gt;CROQUIS_DATOS!$C$1525,70,MOD($A785-1,70)+1)-2,2)=0,0,1),IF(MOD(IF(INT(($A785-1)/70)+1&gt;CROQUIS_DATOS!$C$1525,70,MOD($A785-1,70)+1)-2,2)=0,1,0))))=0,(INDEX($E$8:$E$23,MIN(INT(($A785-1)/70)+1,CROQUIS_DATOS!$C$1525))-INDEX($F$8:$F$23,MIN(INT(($A785-1)/70)+1,CROQUIS_DATOS!$C$1525))/2),(INDEX($E$8:$E$23,MIN(INT(($A785-1)/70)+1,CROQUIS_DATOS!$C$1525))+INDEX($F$8:$F$23,MIN(INT(($A785-1)/70)+1,CROQUIS_DATOS!$C$1525))/2)))*CROQUIS_DATOS!$C$1562),-1000)</f>
        <v>82.8189655172414</v>
      </c>
      <c r="O785">
        <f>IF(AND(CROQUIS_DATOS!$C$1472=1,1),(CROQUIS_DATOS!$C$1564+(IF(OR(IF(INT(($A785-1)/70)+1&gt;CROQUIS_DATOS!$C$1525,70,MOD($A785-1,70)+1)=1,IF(INT(($A785-1)/70)+1&gt;CROQUIS_DATOS!$C$1525,70,MOD($A785-1,70)+1)&gt;2*CROQUIS_DATOS!$C$1541+1),CROQUIS_DATOS!$C$1476,INDEX($H$8:$H$41,MIN(INT((IF(INT(($A785-1)/70)+1&gt;CROQUIS_DATOS!$C$1525,70,MOD($A785-1,70)+1)-2)/2)+1,CROQUIS_DATOS!$C$1541))))*CROQUIS_DATOS!$C$1561*CROQUIS_DATOS!$C$1562),-1000)</f>
        <v>40.2068965517241</v>
      </c>
    </row>
    <row r="786">
      <c r="A786" t="n">
        <v>779</v>
      </c>
      <c r="N786">
        <f>IF(AND(CROQUIS_DATOS!$C$1472=1,1),(CROQUIS_DATOS!$C$1563+(IF(IF(IF(INT(($A786-1)/70)+1&gt;CROQUIS_DATOS!$C$1525,70,MOD($A786-1,70)+1)=1,0,IF(IF(INT(($A786-1)/70)+1&gt;CROQUIS_DATOS!$C$1525,70,MOD($A786-1,70)+1)&gt;2*CROQUIS_DATOS!$C$1541+1,IF(MOD(CROQUIS_DATOS!$C$1541,2)=1,1,0),IF(MOD(MIN(INT((IF(INT(($A786-1)/70)+1&gt;CROQUIS_DATOS!$C$1525,70,MOD($A786-1,70)+1)-2)/2)+1,CROQUIS_DATOS!$C$1541),2)=1,IF(MOD(IF(INT(($A786-1)/70)+1&gt;CROQUIS_DATOS!$C$1525,70,MOD($A786-1,70)+1)-2,2)=0,0,1),IF(MOD(IF(INT(($A786-1)/70)+1&gt;CROQUIS_DATOS!$C$1525,70,MOD($A786-1,70)+1)-2,2)=0,1,0))))=0,(INDEX($E$8:$E$23,MIN(INT(($A786-1)/70)+1,CROQUIS_DATOS!$C$1525))-INDEX($F$8:$F$23,MIN(INT(($A786-1)/70)+1,CROQUIS_DATOS!$C$1525))/2),(INDEX($E$8:$E$23,MIN(INT(($A786-1)/70)+1,CROQUIS_DATOS!$C$1525))+INDEX($F$8:$F$23,MIN(INT(($A786-1)/70)+1,CROQUIS_DATOS!$C$1525))/2)))*CROQUIS_DATOS!$C$1562),-1000)</f>
        <v>82.8189655172414</v>
      </c>
      <c r="O786">
        <f>IF(AND(CROQUIS_DATOS!$C$1472=1,1),(CROQUIS_DATOS!$C$1564+(IF(OR(IF(INT(($A786-1)/70)+1&gt;CROQUIS_DATOS!$C$1525,70,MOD($A786-1,70)+1)=1,IF(INT(($A786-1)/70)+1&gt;CROQUIS_DATOS!$C$1525,70,MOD($A786-1,70)+1)&gt;2*CROQUIS_DATOS!$C$1541+1),CROQUIS_DATOS!$C$1476,INDEX($H$8:$H$41,MIN(INT((IF(INT(($A786-1)/70)+1&gt;CROQUIS_DATOS!$C$1525,70,MOD($A786-1,70)+1)-2)/2)+1,CROQUIS_DATOS!$C$1541))))*CROQUIS_DATOS!$C$1561*CROQUIS_DATOS!$C$1562),-1000)</f>
        <v>40.2068965517241</v>
      </c>
    </row>
    <row r="787">
      <c r="A787" t="n">
        <v>780</v>
      </c>
      <c r="N787">
        <f>IF(AND(CROQUIS_DATOS!$C$1472=1,1),(CROQUIS_DATOS!$C$1563+(IF(IF(IF(INT(($A787-1)/70)+1&gt;CROQUIS_DATOS!$C$1525,70,MOD($A787-1,70)+1)=1,0,IF(IF(INT(($A787-1)/70)+1&gt;CROQUIS_DATOS!$C$1525,70,MOD($A787-1,70)+1)&gt;2*CROQUIS_DATOS!$C$1541+1,IF(MOD(CROQUIS_DATOS!$C$1541,2)=1,1,0),IF(MOD(MIN(INT((IF(INT(($A787-1)/70)+1&gt;CROQUIS_DATOS!$C$1525,70,MOD($A787-1,70)+1)-2)/2)+1,CROQUIS_DATOS!$C$1541),2)=1,IF(MOD(IF(INT(($A787-1)/70)+1&gt;CROQUIS_DATOS!$C$1525,70,MOD($A787-1,70)+1)-2,2)=0,0,1),IF(MOD(IF(INT(($A787-1)/70)+1&gt;CROQUIS_DATOS!$C$1525,70,MOD($A787-1,70)+1)-2,2)=0,1,0))))=0,(INDEX($E$8:$E$23,MIN(INT(($A787-1)/70)+1,CROQUIS_DATOS!$C$1525))-INDEX($F$8:$F$23,MIN(INT(($A787-1)/70)+1,CROQUIS_DATOS!$C$1525))/2),(INDEX($E$8:$E$23,MIN(INT(($A787-1)/70)+1,CROQUIS_DATOS!$C$1525))+INDEX($F$8:$F$23,MIN(INT(($A787-1)/70)+1,CROQUIS_DATOS!$C$1525))/2)))*CROQUIS_DATOS!$C$1562),-1000)</f>
        <v>82.8189655172414</v>
      </c>
      <c r="O787">
        <f>IF(AND(CROQUIS_DATOS!$C$1472=1,1),(CROQUIS_DATOS!$C$1564+(IF(OR(IF(INT(($A787-1)/70)+1&gt;CROQUIS_DATOS!$C$1525,70,MOD($A787-1,70)+1)=1,IF(INT(($A787-1)/70)+1&gt;CROQUIS_DATOS!$C$1525,70,MOD($A787-1,70)+1)&gt;2*CROQUIS_DATOS!$C$1541+1),CROQUIS_DATOS!$C$1476,INDEX($H$8:$H$41,MIN(INT((IF(INT(($A787-1)/70)+1&gt;CROQUIS_DATOS!$C$1525,70,MOD($A787-1,70)+1)-2)/2)+1,CROQUIS_DATOS!$C$1541))))*CROQUIS_DATOS!$C$1561*CROQUIS_DATOS!$C$1562),-1000)</f>
        <v>40.2068965517241</v>
      </c>
    </row>
    <row r="788">
      <c r="A788" t="n">
        <v>781</v>
      </c>
      <c r="N788">
        <f>IF(AND(CROQUIS_DATOS!$C$1472=1,1),(CROQUIS_DATOS!$C$1563+(IF(IF(IF(INT(($A788-1)/70)+1&gt;CROQUIS_DATOS!$C$1525,70,MOD($A788-1,70)+1)=1,0,IF(IF(INT(($A788-1)/70)+1&gt;CROQUIS_DATOS!$C$1525,70,MOD($A788-1,70)+1)&gt;2*CROQUIS_DATOS!$C$1541+1,IF(MOD(CROQUIS_DATOS!$C$1541,2)=1,1,0),IF(MOD(MIN(INT((IF(INT(($A788-1)/70)+1&gt;CROQUIS_DATOS!$C$1525,70,MOD($A788-1,70)+1)-2)/2)+1,CROQUIS_DATOS!$C$1541),2)=1,IF(MOD(IF(INT(($A788-1)/70)+1&gt;CROQUIS_DATOS!$C$1525,70,MOD($A788-1,70)+1)-2,2)=0,0,1),IF(MOD(IF(INT(($A788-1)/70)+1&gt;CROQUIS_DATOS!$C$1525,70,MOD($A788-1,70)+1)-2,2)=0,1,0))))=0,(INDEX($E$8:$E$23,MIN(INT(($A788-1)/70)+1,CROQUIS_DATOS!$C$1525))-INDEX($F$8:$F$23,MIN(INT(($A788-1)/70)+1,CROQUIS_DATOS!$C$1525))/2),(INDEX($E$8:$E$23,MIN(INT(($A788-1)/70)+1,CROQUIS_DATOS!$C$1525))+INDEX($F$8:$F$23,MIN(INT(($A788-1)/70)+1,CROQUIS_DATOS!$C$1525))/2)))*CROQUIS_DATOS!$C$1562),-1000)</f>
        <v>82.8189655172414</v>
      </c>
      <c r="O788">
        <f>IF(AND(CROQUIS_DATOS!$C$1472=1,1),(CROQUIS_DATOS!$C$1564+(IF(OR(IF(INT(($A788-1)/70)+1&gt;CROQUIS_DATOS!$C$1525,70,MOD($A788-1,70)+1)=1,IF(INT(($A788-1)/70)+1&gt;CROQUIS_DATOS!$C$1525,70,MOD($A788-1,70)+1)&gt;2*CROQUIS_DATOS!$C$1541+1),CROQUIS_DATOS!$C$1476,INDEX($H$8:$H$41,MIN(INT((IF(INT(($A788-1)/70)+1&gt;CROQUIS_DATOS!$C$1525,70,MOD($A788-1,70)+1)-2)/2)+1,CROQUIS_DATOS!$C$1541))))*CROQUIS_DATOS!$C$1561*CROQUIS_DATOS!$C$1562),-1000)</f>
        <v>40.2068965517241</v>
      </c>
    </row>
    <row r="789">
      <c r="A789" t="n">
        <v>782</v>
      </c>
      <c r="N789">
        <f>IF(AND(CROQUIS_DATOS!$C$1472=1,1),(CROQUIS_DATOS!$C$1563+(IF(IF(IF(INT(($A789-1)/70)+1&gt;CROQUIS_DATOS!$C$1525,70,MOD($A789-1,70)+1)=1,0,IF(IF(INT(($A789-1)/70)+1&gt;CROQUIS_DATOS!$C$1525,70,MOD($A789-1,70)+1)&gt;2*CROQUIS_DATOS!$C$1541+1,IF(MOD(CROQUIS_DATOS!$C$1541,2)=1,1,0),IF(MOD(MIN(INT((IF(INT(($A789-1)/70)+1&gt;CROQUIS_DATOS!$C$1525,70,MOD($A789-1,70)+1)-2)/2)+1,CROQUIS_DATOS!$C$1541),2)=1,IF(MOD(IF(INT(($A789-1)/70)+1&gt;CROQUIS_DATOS!$C$1525,70,MOD($A789-1,70)+1)-2,2)=0,0,1),IF(MOD(IF(INT(($A789-1)/70)+1&gt;CROQUIS_DATOS!$C$1525,70,MOD($A789-1,70)+1)-2,2)=0,1,0))))=0,(INDEX($E$8:$E$23,MIN(INT(($A789-1)/70)+1,CROQUIS_DATOS!$C$1525))-INDEX($F$8:$F$23,MIN(INT(($A789-1)/70)+1,CROQUIS_DATOS!$C$1525))/2),(INDEX($E$8:$E$23,MIN(INT(($A789-1)/70)+1,CROQUIS_DATOS!$C$1525))+INDEX($F$8:$F$23,MIN(INT(($A789-1)/70)+1,CROQUIS_DATOS!$C$1525))/2)))*CROQUIS_DATOS!$C$1562),-1000)</f>
        <v>82.8189655172414</v>
      </c>
      <c r="O789">
        <f>IF(AND(CROQUIS_DATOS!$C$1472=1,1),(CROQUIS_DATOS!$C$1564+(IF(OR(IF(INT(($A789-1)/70)+1&gt;CROQUIS_DATOS!$C$1525,70,MOD($A789-1,70)+1)=1,IF(INT(($A789-1)/70)+1&gt;CROQUIS_DATOS!$C$1525,70,MOD($A789-1,70)+1)&gt;2*CROQUIS_DATOS!$C$1541+1),CROQUIS_DATOS!$C$1476,INDEX($H$8:$H$41,MIN(INT((IF(INT(($A789-1)/70)+1&gt;CROQUIS_DATOS!$C$1525,70,MOD($A789-1,70)+1)-2)/2)+1,CROQUIS_DATOS!$C$1541))))*CROQUIS_DATOS!$C$1561*CROQUIS_DATOS!$C$1562),-1000)</f>
        <v>40.2068965517241</v>
      </c>
    </row>
    <row r="790">
      <c r="A790" t="n">
        <v>783</v>
      </c>
      <c r="N790">
        <f>IF(AND(CROQUIS_DATOS!$C$1472=1,1),(CROQUIS_DATOS!$C$1563+(IF(IF(IF(INT(($A790-1)/70)+1&gt;CROQUIS_DATOS!$C$1525,70,MOD($A790-1,70)+1)=1,0,IF(IF(INT(($A790-1)/70)+1&gt;CROQUIS_DATOS!$C$1525,70,MOD($A790-1,70)+1)&gt;2*CROQUIS_DATOS!$C$1541+1,IF(MOD(CROQUIS_DATOS!$C$1541,2)=1,1,0),IF(MOD(MIN(INT((IF(INT(($A790-1)/70)+1&gt;CROQUIS_DATOS!$C$1525,70,MOD($A790-1,70)+1)-2)/2)+1,CROQUIS_DATOS!$C$1541),2)=1,IF(MOD(IF(INT(($A790-1)/70)+1&gt;CROQUIS_DATOS!$C$1525,70,MOD($A790-1,70)+1)-2,2)=0,0,1),IF(MOD(IF(INT(($A790-1)/70)+1&gt;CROQUIS_DATOS!$C$1525,70,MOD($A790-1,70)+1)-2,2)=0,1,0))))=0,(INDEX($E$8:$E$23,MIN(INT(($A790-1)/70)+1,CROQUIS_DATOS!$C$1525))-INDEX($F$8:$F$23,MIN(INT(($A790-1)/70)+1,CROQUIS_DATOS!$C$1525))/2),(INDEX($E$8:$E$23,MIN(INT(($A790-1)/70)+1,CROQUIS_DATOS!$C$1525))+INDEX($F$8:$F$23,MIN(INT(($A790-1)/70)+1,CROQUIS_DATOS!$C$1525))/2)))*CROQUIS_DATOS!$C$1562),-1000)</f>
        <v>82.8189655172414</v>
      </c>
      <c r="O790">
        <f>IF(AND(CROQUIS_DATOS!$C$1472=1,1),(CROQUIS_DATOS!$C$1564+(IF(OR(IF(INT(($A790-1)/70)+1&gt;CROQUIS_DATOS!$C$1525,70,MOD($A790-1,70)+1)=1,IF(INT(($A790-1)/70)+1&gt;CROQUIS_DATOS!$C$1525,70,MOD($A790-1,70)+1)&gt;2*CROQUIS_DATOS!$C$1541+1),CROQUIS_DATOS!$C$1476,INDEX($H$8:$H$41,MIN(INT((IF(INT(($A790-1)/70)+1&gt;CROQUIS_DATOS!$C$1525,70,MOD($A790-1,70)+1)-2)/2)+1,CROQUIS_DATOS!$C$1541))))*CROQUIS_DATOS!$C$1561*CROQUIS_DATOS!$C$1562),-1000)</f>
        <v>40.2068965517241</v>
      </c>
    </row>
    <row r="791">
      <c r="A791" t="n">
        <v>784</v>
      </c>
      <c r="N791">
        <f>IF(AND(CROQUIS_DATOS!$C$1472=1,1),(CROQUIS_DATOS!$C$1563+(IF(IF(IF(INT(($A791-1)/70)+1&gt;CROQUIS_DATOS!$C$1525,70,MOD($A791-1,70)+1)=1,0,IF(IF(INT(($A791-1)/70)+1&gt;CROQUIS_DATOS!$C$1525,70,MOD($A791-1,70)+1)&gt;2*CROQUIS_DATOS!$C$1541+1,IF(MOD(CROQUIS_DATOS!$C$1541,2)=1,1,0),IF(MOD(MIN(INT((IF(INT(($A791-1)/70)+1&gt;CROQUIS_DATOS!$C$1525,70,MOD($A791-1,70)+1)-2)/2)+1,CROQUIS_DATOS!$C$1541),2)=1,IF(MOD(IF(INT(($A791-1)/70)+1&gt;CROQUIS_DATOS!$C$1525,70,MOD($A791-1,70)+1)-2,2)=0,0,1),IF(MOD(IF(INT(($A791-1)/70)+1&gt;CROQUIS_DATOS!$C$1525,70,MOD($A791-1,70)+1)-2,2)=0,1,0))))=0,(INDEX($E$8:$E$23,MIN(INT(($A791-1)/70)+1,CROQUIS_DATOS!$C$1525))-INDEX($F$8:$F$23,MIN(INT(($A791-1)/70)+1,CROQUIS_DATOS!$C$1525))/2),(INDEX($E$8:$E$23,MIN(INT(($A791-1)/70)+1,CROQUIS_DATOS!$C$1525))+INDEX($F$8:$F$23,MIN(INT(($A791-1)/70)+1,CROQUIS_DATOS!$C$1525))/2)))*CROQUIS_DATOS!$C$1562),-1000)</f>
        <v>82.8189655172414</v>
      </c>
      <c r="O791">
        <f>IF(AND(CROQUIS_DATOS!$C$1472=1,1),(CROQUIS_DATOS!$C$1564+(IF(OR(IF(INT(($A791-1)/70)+1&gt;CROQUIS_DATOS!$C$1525,70,MOD($A791-1,70)+1)=1,IF(INT(($A791-1)/70)+1&gt;CROQUIS_DATOS!$C$1525,70,MOD($A791-1,70)+1)&gt;2*CROQUIS_DATOS!$C$1541+1),CROQUIS_DATOS!$C$1476,INDEX($H$8:$H$41,MIN(INT((IF(INT(($A791-1)/70)+1&gt;CROQUIS_DATOS!$C$1525,70,MOD($A791-1,70)+1)-2)/2)+1,CROQUIS_DATOS!$C$1541))))*CROQUIS_DATOS!$C$1561*CROQUIS_DATOS!$C$1562),-1000)</f>
        <v>40.2068965517241</v>
      </c>
    </row>
    <row r="792">
      <c r="A792" t="n">
        <v>785</v>
      </c>
      <c r="N792">
        <f>IF(AND(CROQUIS_DATOS!$C$1472=1,1),(CROQUIS_DATOS!$C$1563+(IF(IF(IF(INT(($A792-1)/70)+1&gt;CROQUIS_DATOS!$C$1525,70,MOD($A792-1,70)+1)=1,0,IF(IF(INT(($A792-1)/70)+1&gt;CROQUIS_DATOS!$C$1525,70,MOD($A792-1,70)+1)&gt;2*CROQUIS_DATOS!$C$1541+1,IF(MOD(CROQUIS_DATOS!$C$1541,2)=1,1,0),IF(MOD(MIN(INT((IF(INT(($A792-1)/70)+1&gt;CROQUIS_DATOS!$C$1525,70,MOD($A792-1,70)+1)-2)/2)+1,CROQUIS_DATOS!$C$1541),2)=1,IF(MOD(IF(INT(($A792-1)/70)+1&gt;CROQUIS_DATOS!$C$1525,70,MOD($A792-1,70)+1)-2,2)=0,0,1),IF(MOD(IF(INT(($A792-1)/70)+1&gt;CROQUIS_DATOS!$C$1525,70,MOD($A792-1,70)+1)-2,2)=0,1,0))))=0,(INDEX($E$8:$E$23,MIN(INT(($A792-1)/70)+1,CROQUIS_DATOS!$C$1525))-INDEX($F$8:$F$23,MIN(INT(($A792-1)/70)+1,CROQUIS_DATOS!$C$1525))/2),(INDEX($E$8:$E$23,MIN(INT(($A792-1)/70)+1,CROQUIS_DATOS!$C$1525))+INDEX($F$8:$F$23,MIN(INT(($A792-1)/70)+1,CROQUIS_DATOS!$C$1525))/2)))*CROQUIS_DATOS!$C$1562),-1000)</f>
        <v>82.8189655172414</v>
      </c>
      <c r="O792">
        <f>IF(AND(CROQUIS_DATOS!$C$1472=1,1),(CROQUIS_DATOS!$C$1564+(IF(OR(IF(INT(($A792-1)/70)+1&gt;CROQUIS_DATOS!$C$1525,70,MOD($A792-1,70)+1)=1,IF(INT(($A792-1)/70)+1&gt;CROQUIS_DATOS!$C$1525,70,MOD($A792-1,70)+1)&gt;2*CROQUIS_DATOS!$C$1541+1),CROQUIS_DATOS!$C$1476,INDEX($H$8:$H$41,MIN(INT((IF(INT(($A792-1)/70)+1&gt;CROQUIS_DATOS!$C$1525,70,MOD($A792-1,70)+1)-2)/2)+1,CROQUIS_DATOS!$C$1541))))*CROQUIS_DATOS!$C$1561*CROQUIS_DATOS!$C$1562),-1000)</f>
        <v>40.2068965517241</v>
      </c>
    </row>
    <row r="793">
      <c r="A793" t="n">
        <v>786</v>
      </c>
      <c r="N793">
        <f>IF(AND(CROQUIS_DATOS!$C$1472=1,1),(CROQUIS_DATOS!$C$1563+(IF(IF(IF(INT(($A793-1)/70)+1&gt;CROQUIS_DATOS!$C$1525,70,MOD($A793-1,70)+1)=1,0,IF(IF(INT(($A793-1)/70)+1&gt;CROQUIS_DATOS!$C$1525,70,MOD($A793-1,70)+1)&gt;2*CROQUIS_DATOS!$C$1541+1,IF(MOD(CROQUIS_DATOS!$C$1541,2)=1,1,0),IF(MOD(MIN(INT((IF(INT(($A793-1)/70)+1&gt;CROQUIS_DATOS!$C$1525,70,MOD($A793-1,70)+1)-2)/2)+1,CROQUIS_DATOS!$C$1541),2)=1,IF(MOD(IF(INT(($A793-1)/70)+1&gt;CROQUIS_DATOS!$C$1525,70,MOD($A793-1,70)+1)-2,2)=0,0,1),IF(MOD(IF(INT(($A793-1)/70)+1&gt;CROQUIS_DATOS!$C$1525,70,MOD($A793-1,70)+1)-2,2)=0,1,0))))=0,(INDEX($E$8:$E$23,MIN(INT(($A793-1)/70)+1,CROQUIS_DATOS!$C$1525))-INDEX($F$8:$F$23,MIN(INT(($A793-1)/70)+1,CROQUIS_DATOS!$C$1525))/2),(INDEX($E$8:$E$23,MIN(INT(($A793-1)/70)+1,CROQUIS_DATOS!$C$1525))+INDEX($F$8:$F$23,MIN(INT(($A793-1)/70)+1,CROQUIS_DATOS!$C$1525))/2)))*CROQUIS_DATOS!$C$1562),-1000)</f>
        <v>82.8189655172414</v>
      </c>
      <c r="O793">
        <f>IF(AND(CROQUIS_DATOS!$C$1472=1,1),(CROQUIS_DATOS!$C$1564+(IF(OR(IF(INT(($A793-1)/70)+1&gt;CROQUIS_DATOS!$C$1525,70,MOD($A793-1,70)+1)=1,IF(INT(($A793-1)/70)+1&gt;CROQUIS_DATOS!$C$1525,70,MOD($A793-1,70)+1)&gt;2*CROQUIS_DATOS!$C$1541+1),CROQUIS_DATOS!$C$1476,INDEX($H$8:$H$41,MIN(INT((IF(INT(($A793-1)/70)+1&gt;CROQUIS_DATOS!$C$1525,70,MOD($A793-1,70)+1)-2)/2)+1,CROQUIS_DATOS!$C$1541))))*CROQUIS_DATOS!$C$1561*CROQUIS_DATOS!$C$1562),-1000)</f>
        <v>40.2068965517241</v>
      </c>
    </row>
    <row r="794">
      <c r="A794" t="n">
        <v>787</v>
      </c>
      <c r="N794">
        <f>IF(AND(CROQUIS_DATOS!$C$1472=1,1),(CROQUIS_DATOS!$C$1563+(IF(IF(IF(INT(($A794-1)/70)+1&gt;CROQUIS_DATOS!$C$1525,70,MOD($A794-1,70)+1)=1,0,IF(IF(INT(($A794-1)/70)+1&gt;CROQUIS_DATOS!$C$1525,70,MOD($A794-1,70)+1)&gt;2*CROQUIS_DATOS!$C$1541+1,IF(MOD(CROQUIS_DATOS!$C$1541,2)=1,1,0),IF(MOD(MIN(INT((IF(INT(($A794-1)/70)+1&gt;CROQUIS_DATOS!$C$1525,70,MOD($A794-1,70)+1)-2)/2)+1,CROQUIS_DATOS!$C$1541),2)=1,IF(MOD(IF(INT(($A794-1)/70)+1&gt;CROQUIS_DATOS!$C$1525,70,MOD($A794-1,70)+1)-2,2)=0,0,1),IF(MOD(IF(INT(($A794-1)/70)+1&gt;CROQUIS_DATOS!$C$1525,70,MOD($A794-1,70)+1)-2,2)=0,1,0))))=0,(INDEX($E$8:$E$23,MIN(INT(($A794-1)/70)+1,CROQUIS_DATOS!$C$1525))-INDEX($F$8:$F$23,MIN(INT(($A794-1)/70)+1,CROQUIS_DATOS!$C$1525))/2),(INDEX($E$8:$E$23,MIN(INT(($A794-1)/70)+1,CROQUIS_DATOS!$C$1525))+INDEX($F$8:$F$23,MIN(INT(($A794-1)/70)+1,CROQUIS_DATOS!$C$1525))/2)))*CROQUIS_DATOS!$C$1562),-1000)</f>
        <v>82.8189655172414</v>
      </c>
      <c r="O794">
        <f>IF(AND(CROQUIS_DATOS!$C$1472=1,1),(CROQUIS_DATOS!$C$1564+(IF(OR(IF(INT(($A794-1)/70)+1&gt;CROQUIS_DATOS!$C$1525,70,MOD($A794-1,70)+1)=1,IF(INT(($A794-1)/70)+1&gt;CROQUIS_DATOS!$C$1525,70,MOD($A794-1,70)+1)&gt;2*CROQUIS_DATOS!$C$1541+1),CROQUIS_DATOS!$C$1476,INDEX($H$8:$H$41,MIN(INT((IF(INT(($A794-1)/70)+1&gt;CROQUIS_DATOS!$C$1525,70,MOD($A794-1,70)+1)-2)/2)+1,CROQUIS_DATOS!$C$1541))))*CROQUIS_DATOS!$C$1561*CROQUIS_DATOS!$C$1562),-1000)</f>
        <v>40.2068965517241</v>
      </c>
    </row>
    <row r="795">
      <c r="A795" t="n">
        <v>788</v>
      </c>
      <c r="N795">
        <f>IF(AND(CROQUIS_DATOS!$C$1472=1,1),(CROQUIS_DATOS!$C$1563+(IF(IF(IF(INT(($A795-1)/70)+1&gt;CROQUIS_DATOS!$C$1525,70,MOD($A795-1,70)+1)=1,0,IF(IF(INT(($A795-1)/70)+1&gt;CROQUIS_DATOS!$C$1525,70,MOD($A795-1,70)+1)&gt;2*CROQUIS_DATOS!$C$1541+1,IF(MOD(CROQUIS_DATOS!$C$1541,2)=1,1,0),IF(MOD(MIN(INT((IF(INT(($A795-1)/70)+1&gt;CROQUIS_DATOS!$C$1525,70,MOD($A795-1,70)+1)-2)/2)+1,CROQUIS_DATOS!$C$1541),2)=1,IF(MOD(IF(INT(($A795-1)/70)+1&gt;CROQUIS_DATOS!$C$1525,70,MOD($A795-1,70)+1)-2,2)=0,0,1),IF(MOD(IF(INT(($A795-1)/70)+1&gt;CROQUIS_DATOS!$C$1525,70,MOD($A795-1,70)+1)-2,2)=0,1,0))))=0,(INDEX($E$8:$E$23,MIN(INT(($A795-1)/70)+1,CROQUIS_DATOS!$C$1525))-INDEX($F$8:$F$23,MIN(INT(($A795-1)/70)+1,CROQUIS_DATOS!$C$1525))/2),(INDEX($E$8:$E$23,MIN(INT(($A795-1)/70)+1,CROQUIS_DATOS!$C$1525))+INDEX($F$8:$F$23,MIN(INT(($A795-1)/70)+1,CROQUIS_DATOS!$C$1525))/2)))*CROQUIS_DATOS!$C$1562),-1000)</f>
        <v>82.8189655172414</v>
      </c>
      <c r="O795">
        <f>IF(AND(CROQUIS_DATOS!$C$1472=1,1),(CROQUIS_DATOS!$C$1564+(IF(OR(IF(INT(($A795-1)/70)+1&gt;CROQUIS_DATOS!$C$1525,70,MOD($A795-1,70)+1)=1,IF(INT(($A795-1)/70)+1&gt;CROQUIS_DATOS!$C$1525,70,MOD($A795-1,70)+1)&gt;2*CROQUIS_DATOS!$C$1541+1),CROQUIS_DATOS!$C$1476,INDEX($H$8:$H$41,MIN(INT((IF(INT(($A795-1)/70)+1&gt;CROQUIS_DATOS!$C$1525,70,MOD($A795-1,70)+1)-2)/2)+1,CROQUIS_DATOS!$C$1541))))*CROQUIS_DATOS!$C$1561*CROQUIS_DATOS!$C$1562),-1000)</f>
        <v>40.2068965517241</v>
      </c>
    </row>
    <row r="796">
      <c r="A796" t="n">
        <v>789</v>
      </c>
      <c r="N796">
        <f>IF(AND(CROQUIS_DATOS!$C$1472=1,1),(CROQUIS_DATOS!$C$1563+(IF(IF(IF(INT(($A796-1)/70)+1&gt;CROQUIS_DATOS!$C$1525,70,MOD($A796-1,70)+1)=1,0,IF(IF(INT(($A796-1)/70)+1&gt;CROQUIS_DATOS!$C$1525,70,MOD($A796-1,70)+1)&gt;2*CROQUIS_DATOS!$C$1541+1,IF(MOD(CROQUIS_DATOS!$C$1541,2)=1,1,0),IF(MOD(MIN(INT((IF(INT(($A796-1)/70)+1&gt;CROQUIS_DATOS!$C$1525,70,MOD($A796-1,70)+1)-2)/2)+1,CROQUIS_DATOS!$C$1541),2)=1,IF(MOD(IF(INT(($A796-1)/70)+1&gt;CROQUIS_DATOS!$C$1525,70,MOD($A796-1,70)+1)-2,2)=0,0,1),IF(MOD(IF(INT(($A796-1)/70)+1&gt;CROQUIS_DATOS!$C$1525,70,MOD($A796-1,70)+1)-2,2)=0,1,0))))=0,(INDEX($E$8:$E$23,MIN(INT(($A796-1)/70)+1,CROQUIS_DATOS!$C$1525))-INDEX($F$8:$F$23,MIN(INT(($A796-1)/70)+1,CROQUIS_DATOS!$C$1525))/2),(INDEX($E$8:$E$23,MIN(INT(($A796-1)/70)+1,CROQUIS_DATOS!$C$1525))+INDEX($F$8:$F$23,MIN(INT(($A796-1)/70)+1,CROQUIS_DATOS!$C$1525))/2)))*CROQUIS_DATOS!$C$1562),-1000)</f>
        <v>82.8189655172414</v>
      </c>
      <c r="O796">
        <f>IF(AND(CROQUIS_DATOS!$C$1472=1,1),(CROQUIS_DATOS!$C$1564+(IF(OR(IF(INT(($A796-1)/70)+1&gt;CROQUIS_DATOS!$C$1525,70,MOD($A796-1,70)+1)=1,IF(INT(($A796-1)/70)+1&gt;CROQUIS_DATOS!$C$1525,70,MOD($A796-1,70)+1)&gt;2*CROQUIS_DATOS!$C$1541+1),CROQUIS_DATOS!$C$1476,INDEX($H$8:$H$41,MIN(INT((IF(INT(($A796-1)/70)+1&gt;CROQUIS_DATOS!$C$1525,70,MOD($A796-1,70)+1)-2)/2)+1,CROQUIS_DATOS!$C$1541))))*CROQUIS_DATOS!$C$1561*CROQUIS_DATOS!$C$1562),-1000)</f>
        <v>40.2068965517241</v>
      </c>
    </row>
    <row r="797">
      <c r="A797" t="n">
        <v>790</v>
      </c>
      <c r="N797">
        <f>IF(AND(CROQUIS_DATOS!$C$1472=1,1),(CROQUIS_DATOS!$C$1563+(IF(IF(IF(INT(($A797-1)/70)+1&gt;CROQUIS_DATOS!$C$1525,70,MOD($A797-1,70)+1)=1,0,IF(IF(INT(($A797-1)/70)+1&gt;CROQUIS_DATOS!$C$1525,70,MOD($A797-1,70)+1)&gt;2*CROQUIS_DATOS!$C$1541+1,IF(MOD(CROQUIS_DATOS!$C$1541,2)=1,1,0),IF(MOD(MIN(INT((IF(INT(($A797-1)/70)+1&gt;CROQUIS_DATOS!$C$1525,70,MOD($A797-1,70)+1)-2)/2)+1,CROQUIS_DATOS!$C$1541),2)=1,IF(MOD(IF(INT(($A797-1)/70)+1&gt;CROQUIS_DATOS!$C$1525,70,MOD($A797-1,70)+1)-2,2)=0,0,1),IF(MOD(IF(INT(($A797-1)/70)+1&gt;CROQUIS_DATOS!$C$1525,70,MOD($A797-1,70)+1)-2,2)=0,1,0))))=0,(INDEX($E$8:$E$23,MIN(INT(($A797-1)/70)+1,CROQUIS_DATOS!$C$1525))-INDEX($F$8:$F$23,MIN(INT(($A797-1)/70)+1,CROQUIS_DATOS!$C$1525))/2),(INDEX($E$8:$E$23,MIN(INT(($A797-1)/70)+1,CROQUIS_DATOS!$C$1525))+INDEX($F$8:$F$23,MIN(INT(($A797-1)/70)+1,CROQUIS_DATOS!$C$1525))/2)))*CROQUIS_DATOS!$C$1562),-1000)</f>
        <v>82.8189655172414</v>
      </c>
      <c r="O797">
        <f>IF(AND(CROQUIS_DATOS!$C$1472=1,1),(CROQUIS_DATOS!$C$1564+(IF(OR(IF(INT(($A797-1)/70)+1&gt;CROQUIS_DATOS!$C$1525,70,MOD($A797-1,70)+1)=1,IF(INT(($A797-1)/70)+1&gt;CROQUIS_DATOS!$C$1525,70,MOD($A797-1,70)+1)&gt;2*CROQUIS_DATOS!$C$1541+1),CROQUIS_DATOS!$C$1476,INDEX($H$8:$H$41,MIN(INT((IF(INT(($A797-1)/70)+1&gt;CROQUIS_DATOS!$C$1525,70,MOD($A797-1,70)+1)-2)/2)+1,CROQUIS_DATOS!$C$1541))))*CROQUIS_DATOS!$C$1561*CROQUIS_DATOS!$C$1562),-1000)</f>
        <v>40.2068965517241</v>
      </c>
    </row>
    <row r="798">
      <c r="A798" t="n">
        <v>791</v>
      </c>
      <c r="N798">
        <f>IF(AND(CROQUIS_DATOS!$C$1472=1,1),(CROQUIS_DATOS!$C$1563+(IF(IF(IF(INT(($A798-1)/70)+1&gt;CROQUIS_DATOS!$C$1525,70,MOD($A798-1,70)+1)=1,0,IF(IF(INT(($A798-1)/70)+1&gt;CROQUIS_DATOS!$C$1525,70,MOD($A798-1,70)+1)&gt;2*CROQUIS_DATOS!$C$1541+1,IF(MOD(CROQUIS_DATOS!$C$1541,2)=1,1,0),IF(MOD(MIN(INT((IF(INT(($A798-1)/70)+1&gt;CROQUIS_DATOS!$C$1525,70,MOD($A798-1,70)+1)-2)/2)+1,CROQUIS_DATOS!$C$1541),2)=1,IF(MOD(IF(INT(($A798-1)/70)+1&gt;CROQUIS_DATOS!$C$1525,70,MOD($A798-1,70)+1)-2,2)=0,0,1),IF(MOD(IF(INT(($A798-1)/70)+1&gt;CROQUIS_DATOS!$C$1525,70,MOD($A798-1,70)+1)-2,2)=0,1,0))))=0,(INDEX($E$8:$E$23,MIN(INT(($A798-1)/70)+1,CROQUIS_DATOS!$C$1525))-INDEX($F$8:$F$23,MIN(INT(($A798-1)/70)+1,CROQUIS_DATOS!$C$1525))/2),(INDEX($E$8:$E$23,MIN(INT(($A798-1)/70)+1,CROQUIS_DATOS!$C$1525))+INDEX($F$8:$F$23,MIN(INT(($A798-1)/70)+1,CROQUIS_DATOS!$C$1525))/2)))*CROQUIS_DATOS!$C$1562),-1000)</f>
        <v>82.8189655172414</v>
      </c>
      <c r="O798">
        <f>IF(AND(CROQUIS_DATOS!$C$1472=1,1),(CROQUIS_DATOS!$C$1564+(IF(OR(IF(INT(($A798-1)/70)+1&gt;CROQUIS_DATOS!$C$1525,70,MOD($A798-1,70)+1)=1,IF(INT(($A798-1)/70)+1&gt;CROQUIS_DATOS!$C$1525,70,MOD($A798-1,70)+1)&gt;2*CROQUIS_DATOS!$C$1541+1),CROQUIS_DATOS!$C$1476,INDEX($H$8:$H$41,MIN(INT((IF(INT(($A798-1)/70)+1&gt;CROQUIS_DATOS!$C$1525,70,MOD($A798-1,70)+1)-2)/2)+1,CROQUIS_DATOS!$C$1541))))*CROQUIS_DATOS!$C$1561*CROQUIS_DATOS!$C$1562),-1000)</f>
        <v>40.2068965517241</v>
      </c>
    </row>
    <row r="799">
      <c r="A799" t="n">
        <v>792</v>
      </c>
      <c r="N799">
        <f>IF(AND(CROQUIS_DATOS!$C$1472=1,1),(CROQUIS_DATOS!$C$1563+(IF(IF(IF(INT(($A799-1)/70)+1&gt;CROQUIS_DATOS!$C$1525,70,MOD($A799-1,70)+1)=1,0,IF(IF(INT(($A799-1)/70)+1&gt;CROQUIS_DATOS!$C$1525,70,MOD($A799-1,70)+1)&gt;2*CROQUIS_DATOS!$C$1541+1,IF(MOD(CROQUIS_DATOS!$C$1541,2)=1,1,0),IF(MOD(MIN(INT((IF(INT(($A799-1)/70)+1&gt;CROQUIS_DATOS!$C$1525,70,MOD($A799-1,70)+1)-2)/2)+1,CROQUIS_DATOS!$C$1541),2)=1,IF(MOD(IF(INT(($A799-1)/70)+1&gt;CROQUIS_DATOS!$C$1525,70,MOD($A799-1,70)+1)-2,2)=0,0,1),IF(MOD(IF(INT(($A799-1)/70)+1&gt;CROQUIS_DATOS!$C$1525,70,MOD($A799-1,70)+1)-2,2)=0,1,0))))=0,(INDEX($E$8:$E$23,MIN(INT(($A799-1)/70)+1,CROQUIS_DATOS!$C$1525))-INDEX($F$8:$F$23,MIN(INT(($A799-1)/70)+1,CROQUIS_DATOS!$C$1525))/2),(INDEX($E$8:$E$23,MIN(INT(($A799-1)/70)+1,CROQUIS_DATOS!$C$1525))+INDEX($F$8:$F$23,MIN(INT(($A799-1)/70)+1,CROQUIS_DATOS!$C$1525))/2)))*CROQUIS_DATOS!$C$1562),-1000)</f>
        <v>82.8189655172414</v>
      </c>
      <c r="O799">
        <f>IF(AND(CROQUIS_DATOS!$C$1472=1,1),(CROQUIS_DATOS!$C$1564+(IF(OR(IF(INT(($A799-1)/70)+1&gt;CROQUIS_DATOS!$C$1525,70,MOD($A799-1,70)+1)=1,IF(INT(($A799-1)/70)+1&gt;CROQUIS_DATOS!$C$1525,70,MOD($A799-1,70)+1)&gt;2*CROQUIS_DATOS!$C$1541+1),CROQUIS_DATOS!$C$1476,INDEX($H$8:$H$41,MIN(INT((IF(INT(($A799-1)/70)+1&gt;CROQUIS_DATOS!$C$1525,70,MOD($A799-1,70)+1)-2)/2)+1,CROQUIS_DATOS!$C$1541))))*CROQUIS_DATOS!$C$1561*CROQUIS_DATOS!$C$1562),-1000)</f>
        <v>40.2068965517241</v>
      </c>
    </row>
    <row r="800">
      <c r="A800" t="n">
        <v>793</v>
      </c>
      <c r="N800">
        <f>IF(AND(CROQUIS_DATOS!$C$1472=1,1),(CROQUIS_DATOS!$C$1563+(IF(IF(IF(INT(($A800-1)/70)+1&gt;CROQUIS_DATOS!$C$1525,70,MOD($A800-1,70)+1)=1,0,IF(IF(INT(($A800-1)/70)+1&gt;CROQUIS_DATOS!$C$1525,70,MOD($A800-1,70)+1)&gt;2*CROQUIS_DATOS!$C$1541+1,IF(MOD(CROQUIS_DATOS!$C$1541,2)=1,1,0),IF(MOD(MIN(INT((IF(INT(($A800-1)/70)+1&gt;CROQUIS_DATOS!$C$1525,70,MOD($A800-1,70)+1)-2)/2)+1,CROQUIS_DATOS!$C$1541),2)=1,IF(MOD(IF(INT(($A800-1)/70)+1&gt;CROQUIS_DATOS!$C$1525,70,MOD($A800-1,70)+1)-2,2)=0,0,1),IF(MOD(IF(INT(($A800-1)/70)+1&gt;CROQUIS_DATOS!$C$1525,70,MOD($A800-1,70)+1)-2,2)=0,1,0))))=0,(INDEX($E$8:$E$23,MIN(INT(($A800-1)/70)+1,CROQUIS_DATOS!$C$1525))-INDEX($F$8:$F$23,MIN(INT(($A800-1)/70)+1,CROQUIS_DATOS!$C$1525))/2),(INDEX($E$8:$E$23,MIN(INT(($A800-1)/70)+1,CROQUIS_DATOS!$C$1525))+INDEX($F$8:$F$23,MIN(INT(($A800-1)/70)+1,CROQUIS_DATOS!$C$1525))/2)))*CROQUIS_DATOS!$C$1562),-1000)</f>
        <v>82.8189655172414</v>
      </c>
      <c r="O800">
        <f>IF(AND(CROQUIS_DATOS!$C$1472=1,1),(CROQUIS_DATOS!$C$1564+(IF(OR(IF(INT(($A800-1)/70)+1&gt;CROQUIS_DATOS!$C$1525,70,MOD($A800-1,70)+1)=1,IF(INT(($A800-1)/70)+1&gt;CROQUIS_DATOS!$C$1525,70,MOD($A800-1,70)+1)&gt;2*CROQUIS_DATOS!$C$1541+1),CROQUIS_DATOS!$C$1476,INDEX($H$8:$H$41,MIN(INT((IF(INT(($A800-1)/70)+1&gt;CROQUIS_DATOS!$C$1525,70,MOD($A800-1,70)+1)-2)/2)+1,CROQUIS_DATOS!$C$1541))))*CROQUIS_DATOS!$C$1561*CROQUIS_DATOS!$C$1562),-1000)</f>
        <v>40.2068965517241</v>
      </c>
    </row>
    <row r="801">
      <c r="A801" t="n">
        <v>794</v>
      </c>
      <c r="N801">
        <f>IF(AND(CROQUIS_DATOS!$C$1472=1,1),(CROQUIS_DATOS!$C$1563+(IF(IF(IF(INT(($A801-1)/70)+1&gt;CROQUIS_DATOS!$C$1525,70,MOD($A801-1,70)+1)=1,0,IF(IF(INT(($A801-1)/70)+1&gt;CROQUIS_DATOS!$C$1525,70,MOD($A801-1,70)+1)&gt;2*CROQUIS_DATOS!$C$1541+1,IF(MOD(CROQUIS_DATOS!$C$1541,2)=1,1,0),IF(MOD(MIN(INT((IF(INT(($A801-1)/70)+1&gt;CROQUIS_DATOS!$C$1525,70,MOD($A801-1,70)+1)-2)/2)+1,CROQUIS_DATOS!$C$1541),2)=1,IF(MOD(IF(INT(($A801-1)/70)+1&gt;CROQUIS_DATOS!$C$1525,70,MOD($A801-1,70)+1)-2,2)=0,0,1),IF(MOD(IF(INT(($A801-1)/70)+1&gt;CROQUIS_DATOS!$C$1525,70,MOD($A801-1,70)+1)-2,2)=0,1,0))))=0,(INDEX($E$8:$E$23,MIN(INT(($A801-1)/70)+1,CROQUIS_DATOS!$C$1525))-INDEX($F$8:$F$23,MIN(INT(($A801-1)/70)+1,CROQUIS_DATOS!$C$1525))/2),(INDEX($E$8:$E$23,MIN(INT(($A801-1)/70)+1,CROQUIS_DATOS!$C$1525))+INDEX($F$8:$F$23,MIN(INT(($A801-1)/70)+1,CROQUIS_DATOS!$C$1525))/2)))*CROQUIS_DATOS!$C$1562),-1000)</f>
        <v>82.8189655172414</v>
      </c>
      <c r="O801">
        <f>IF(AND(CROQUIS_DATOS!$C$1472=1,1),(CROQUIS_DATOS!$C$1564+(IF(OR(IF(INT(($A801-1)/70)+1&gt;CROQUIS_DATOS!$C$1525,70,MOD($A801-1,70)+1)=1,IF(INT(($A801-1)/70)+1&gt;CROQUIS_DATOS!$C$1525,70,MOD($A801-1,70)+1)&gt;2*CROQUIS_DATOS!$C$1541+1),CROQUIS_DATOS!$C$1476,INDEX($H$8:$H$41,MIN(INT((IF(INT(($A801-1)/70)+1&gt;CROQUIS_DATOS!$C$1525,70,MOD($A801-1,70)+1)-2)/2)+1,CROQUIS_DATOS!$C$1541))))*CROQUIS_DATOS!$C$1561*CROQUIS_DATOS!$C$1562),-1000)</f>
        <v>40.2068965517241</v>
      </c>
    </row>
    <row r="802">
      <c r="A802" t="n">
        <v>795</v>
      </c>
      <c r="N802">
        <f>IF(AND(CROQUIS_DATOS!$C$1472=1,1),(CROQUIS_DATOS!$C$1563+(IF(IF(IF(INT(($A802-1)/70)+1&gt;CROQUIS_DATOS!$C$1525,70,MOD($A802-1,70)+1)=1,0,IF(IF(INT(($A802-1)/70)+1&gt;CROQUIS_DATOS!$C$1525,70,MOD($A802-1,70)+1)&gt;2*CROQUIS_DATOS!$C$1541+1,IF(MOD(CROQUIS_DATOS!$C$1541,2)=1,1,0),IF(MOD(MIN(INT((IF(INT(($A802-1)/70)+1&gt;CROQUIS_DATOS!$C$1525,70,MOD($A802-1,70)+1)-2)/2)+1,CROQUIS_DATOS!$C$1541),2)=1,IF(MOD(IF(INT(($A802-1)/70)+1&gt;CROQUIS_DATOS!$C$1525,70,MOD($A802-1,70)+1)-2,2)=0,0,1),IF(MOD(IF(INT(($A802-1)/70)+1&gt;CROQUIS_DATOS!$C$1525,70,MOD($A802-1,70)+1)-2,2)=0,1,0))))=0,(INDEX($E$8:$E$23,MIN(INT(($A802-1)/70)+1,CROQUIS_DATOS!$C$1525))-INDEX($F$8:$F$23,MIN(INT(($A802-1)/70)+1,CROQUIS_DATOS!$C$1525))/2),(INDEX($E$8:$E$23,MIN(INT(($A802-1)/70)+1,CROQUIS_DATOS!$C$1525))+INDEX($F$8:$F$23,MIN(INT(($A802-1)/70)+1,CROQUIS_DATOS!$C$1525))/2)))*CROQUIS_DATOS!$C$1562),-1000)</f>
        <v>82.8189655172414</v>
      </c>
      <c r="O802">
        <f>IF(AND(CROQUIS_DATOS!$C$1472=1,1),(CROQUIS_DATOS!$C$1564+(IF(OR(IF(INT(($A802-1)/70)+1&gt;CROQUIS_DATOS!$C$1525,70,MOD($A802-1,70)+1)=1,IF(INT(($A802-1)/70)+1&gt;CROQUIS_DATOS!$C$1525,70,MOD($A802-1,70)+1)&gt;2*CROQUIS_DATOS!$C$1541+1),CROQUIS_DATOS!$C$1476,INDEX($H$8:$H$41,MIN(INT((IF(INT(($A802-1)/70)+1&gt;CROQUIS_DATOS!$C$1525,70,MOD($A802-1,70)+1)-2)/2)+1,CROQUIS_DATOS!$C$1541))))*CROQUIS_DATOS!$C$1561*CROQUIS_DATOS!$C$1562),-1000)</f>
        <v>40.2068965517241</v>
      </c>
    </row>
    <row r="803">
      <c r="A803" t="n">
        <v>796</v>
      </c>
      <c r="N803">
        <f>IF(AND(CROQUIS_DATOS!$C$1472=1,1),(CROQUIS_DATOS!$C$1563+(IF(IF(IF(INT(($A803-1)/70)+1&gt;CROQUIS_DATOS!$C$1525,70,MOD($A803-1,70)+1)=1,0,IF(IF(INT(($A803-1)/70)+1&gt;CROQUIS_DATOS!$C$1525,70,MOD($A803-1,70)+1)&gt;2*CROQUIS_DATOS!$C$1541+1,IF(MOD(CROQUIS_DATOS!$C$1541,2)=1,1,0),IF(MOD(MIN(INT((IF(INT(($A803-1)/70)+1&gt;CROQUIS_DATOS!$C$1525,70,MOD($A803-1,70)+1)-2)/2)+1,CROQUIS_DATOS!$C$1541),2)=1,IF(MOD(IF(INT(($A803-1)/70)+1&gt;CROQUIS_DATOS!$C$1525,70,MOD($A803-1,70)+1)-2,2)=0,0,1),IF(MOD(IF(INT(($A803-1)/70)+1&gt;CROQUIS_DATOS!$C$1525,70,MOD($A803-1,70)+1)-2,2)=0,1,0))))=0,(INDEX($E$8:$E$23,MIN(INT(($A803-1)/70)+1,CROQUIS_DATOS!$C$1525))-INDEX($F$8:$F$23,MIN(INT(($A803-1)/70)+1,CROQUIS_DATOS!$C$1525))/2),(INDEX($E$8:$E$23,MIN(INT(($A803-1)/70)+1,CROQUIS_DATOS!$C$1525))+INDEX($F$8:$F$23,MIN(INT(($A803-1)/70)+1,CROQUIS_DATOS!$C$1525))/2)))*CROQUIS_DATOS!$C$1562),-1000)</f>
        <v>82.8189655172414</v>
      </c>
      <c r="O803">
        <f>IF(AND(CROQUIS_DATOS!$C$1472=1,1),(CROQUIS_DATOS!$C$1564+(IF(OR(IF(INT(($A803-1)/70)+1&gt;CROQUIS_DATOS!$C$1525,70,MOD($A803-1,70)+1)=1,IF(INT(($A803-1)/70)+1&gt;CROQUIS_DATOS!$C$1525,70,MOD($A803-1,70)+1)&gt;2*CROQUIS_DATOS!$C$1541+1),CROQUIS_DATOS!$C$1476,INDEX($H$8:$H$41,MIN(INT((IF(INT(($A803-1)/70)+1&gt;CROQUIS_DATOS!$C$1525,70,MOD($A803-1,70)+1)-2)/2)+1,CROQUIS_DATOS!$C$1541))))*CROQUIS_DATOS!$C$1561*CROQUIS_DATOS!$C$1562),-1000)</f>
        <v>40.2068965517241</v>
      </c>
    </row>
    <row r="804">
      <c r="A804" t="n">
        <v>797</v>
      </c>
      <c r="N804">
        <f>IF(AND(CROQUIS_DATOS!$C$1472=1,1),(CROQUIS_DATOS!$C$1563+(IF(IF(IF(INT(($A804-1)/70)+1&gt;CROQUIS_DATOS!$C$1525,70,MOD($A804-1,70)+1)=1,0,IF(IF(INT(($A804-1)/70)+1&gt;CROQUIS_DATOS!$C$1525,70,MOD($A804-1,70)+1)&gt;2*CROQUIS_DATOS!$C$1541+1,IF(MOD(CROQUIS_DATOS!$C$1541,2)=1,1,0),IF(MOD(MIN(INT((IF(INT(($A804-1)/70)+1&gt;CROQUIS_DATOS!$C$1525,70,MOD($A804-1,70)+1)-2)/2)+1,CROQUIS_DATOS!$C$1541),2)=1,IF(MOD(IF(INT(($A804-1)/70)+1&gt;CROQUIS_DATOS!$C$1525,70,MOD($A804-1,70)+1)-2,2)=0,0,1),IF(MOD(IF(INT(($A804-1)/70)+1&gt;CROQUIS_DATOS!$C$1525,70,MOD($A804-1,70)+1)-2,2)=0,1,0))))=0,(INDEX($E$8:$E$23,MIN(INT(($A804-1)/70)+1,CROQUIS_DATOS!$C$1525))-INDEX($F$8:$F$23,MIN(INT(($A804-1)/70)+1,CROQUIS_DATOS!$C$1525))/2),(INDEX($E$8:$E$23,MIN(INT(($A804-1)/70)+1,CROQUIS_DATOS!$C$1525))+INDEX($F$8:$F$23,MIN(INT(($A804-1)/70)+1,CROQUIS_DATOS!$C$1525))/2)))*CROQUIS_DATOS!$C$1562),-1000)</f>
        <v>82.8189655172414</v>
      </c>
      <c r="O804">
        <f>IF(AND(CROQUIS_DATOS!$C$1472=1,1),(CROQUIS_DATOS!$C$1564+(IF(OR(IF(INT(($A804-1)/70)+1&gt;CROQUIS_DATOS!$C$1525,70,MOD($A804-1,70)+1)=1,IF(INT(($A804-1)/70)+1&gt;CROQUIS_DATOS!$C$1525,70,MOD($A804-1,70)+1)&gt;2*CROQUIS_DATOS!$C$1541+1),CROQUIS_DATOS!$C$1476,INDEX($H$8:$H$41,MIN(INT((IF(INT(($A804-1)/70)+1&gt;CROQUIS_DATOS!$C$1525,70,MOD($A804-1,70)+1)-2)/2)+1,CROQUIS_DATOS!$C$1541))))*CROQUIS_DATOS!$C$1561*CROQUIS_DATOS!$C$1562),-1000)</f>
        <v>40.2068965517241</v>
      </c>
    </row>
    <row r="805">
      <c r="A805" t="n">
        <v>798</v>
      </c>
      <c r="N805">
        <f>IF(AND(CROQUIS_DATOS!$C$1472=1,1),(CROQUIS_DATOS!$C$1563+(IF(IF(IF(INT(($A805-1)/70)+1&gt;CROQUIS_DATOS!$C$1525,70,MOD($A805-1,70)+1)=1,0,IF(IF(INT(($A805-1)/70)+1&gt;CROQUIS_DATOS!$C$1525,70,MOD($A805-1,70)+1)&gt;2*CROQUIS_DATOS!$C$1541+1,IF(MOD(CROQUIS_DATOS!$C$1541,2)=1,1,0),IF(MOD(MIN(INT((IF(INT(($A805-1)/70)+1&gt;CROQUIS_DATOS!$C$1525,70,MOD($A805-1,70)+1)-2)/2)+1,CROQUIS_DATOS!$C$1541),2)=1,IF(MOD(IF(INT(($A805-1)/70)+1&gt;CROQUIS_DATOS!$C$1525,70,MOD($A805-1,70)+1)-2,2)=0,0,1),IF(MOD(IF(INT(($A805-1)/70)+1&gt;CROQUIS_DATOS!$C$1525,70,MOD($A805-1,70)+1)-2,2)=0,1,0))))=0,(INDEX($E$8:$E$23,MIN(INT(($A805-1)/70)+1,CROQUIS_DATOS!$C$1525))-INDEX($F$8:$F$23,MIN(INT(($A805-1)/70)+1,CROQUIS_DATOS!$C$1525))/2),(INDEX($E$8:$E$23,MIN(INT(($A805-1)/70)+1,CROQUIS_DATOS!$C$1525))+INDEX($F$8:$F$23,MIN(INT(($A805-1)/70)+1,CROQUIS_DATOS!$C$1525))/2)))*CROQUIS_DATOS!$C$1562),-1000)</f>
        <v>82.8189655172414</v>
      </c>
      <c r="O805">
        <f>IF(AND(CROQUIS_DATOS!$C$1472=1,1),(CROQUIS_DATOS!$C$1564+(IF(OR(IF(INT(($A805-1)/70)+1&gt;CROQUIS_DATOS!$C$1525,70,MOD($A805-1,70)+1)=1,IF(INT(($A805-1)/70)+1&gt;CROQUIS_DATOS!$C$1525,70,MOD($A805-1,70)+1)&gt;2*CROQUIS_DATOS!$C$1541+1),CROQUIS_DATOS!$C$1476,INDEX($H$8:$H$41,MIN(INT((IF(INT(($A805-1)/70)+1&gt;CROQUIS_DATOS!$C$1525,70,MOD($A805-1,70)+1)-2)/2)+1,CROQUIS_DATOS!$C$1541))))*CROQUIS_DATOS!$C$1561*CROQUIS_DATOS!$C$1562),-1000)</f>
        <v>40.2068965517241</v>
      </c>
    </row>
    <row r="806">
      <c r="A806" t="n">
        <v>799</v>
      </c>
      <c r="N806">
        <f>IF(AND(CROQUIS_DATOS!$C$1472=1,1),(CROQUIS_DATOS!$C$1563+(IF(IF(IF(INT(($A806-1)/70)+1&gt;CROQUIS_DATOS!$C$1525,70,MOD($A806-1,70)+1)=1,0,IF(IF(INT(($A806-1)/70)+1&gt;CROQUIS_DATOS!$C$1525,70,MOD($A806-1,70)+1)&gt;2*CROQUIS_DATOS!$C$1541+1,IF(MOD(CROQUIS_DATOS!$C$1541,2)=1,1,0),IF(MOD(MIN(INT((IF(INT(($A806-1)/70)+1&gt;CROQUIS_DATOS!$C$1525,70,MOD($A806-1,70)+1)-2)/2)+1,CROQUIS_DATOS!$C$1541),2)=1,IF(MOD(IF(INT(($A806-1)/70)+1&gt;CROQUIS_DATOS!$C$1525,70,MOD($A806-1,70)+1)-2,2)=0,0,1),IF(MOD(IF(INT(($A806-1)/70)+1&gt;CROQUIS_DATOS!$C$1525,70,MOD($A806-1,70)+1)-2,2)=0,1,0))))=0,(INDEX($E$8:$E$23,MIN(INT(($A806-1)/70)+1,CROQUIS_DATOS!$C$1525))-INDEX($F$8:$F$23,MIN(INT(($A806-1)/70)+1,CROQUIS_DATOS!$C$1525))/2),(INDEX($E$8:$E$23,MIN(INT(($A806-1)/70)+1,CROQUIS_DATOS!$C$1525))+INDEX($F$8:$F$23,MIN(INT(($A806-1)/70)+1,CROQUIS_DATOS!$C$1525))/2)))*CROQUIS_DATOS!$C$1562),-1000)</f>
        <v>82.8189655172414</v>
      </c>
      <c r="O806">
        <f>IF(AND(CROQUIS_DATOS!$C$1472=1,1),(CROQUIS_DATOS!$C$1564+(IF(OR(IF(INT(($A806-1)/70)+1&gt;CROQUIS_DATOS!$C$1525,70,MOD($A806-1,70)+1)=1,IF(INT(($A806-1)/70)+1&gt;CROQUIS_DATOS!$C$1525,70,MOD($A806-1,70)+1)&gt;2*CROQUIS_DATOS!$C$1541+1),CROQUIS_DATOS!$C$1476,INDEX($H$8:$H$41,MIN(INT((IF(INT(($A806-1)/70)+1&gt;CROQUIS_DATOS!$C$1525,70,MOD($A806-1,70)+1)-2)/2)+1,CROQUIS_DATOS!$C$1541))))*CROQUIS_DATOS!$C$1561*CROQUIS_DATOS!$C$1562),-1000)</f>
        <v>40.2068965517241</v>
      </c>
    </row>
    <row r="807">
      <c r="A807" t="n">
        <v>800</v>
      </c>
      <c r="N807">
        <f>IF(AND(CROQUIS_DATOS!$C$1472=1,1),(CROQUIS_DATOS!$C$1563+(IF(IF(IF(INT(($A807-1)/70)+1&gt;CROQUIS_DATOS!$C$1525,70,MOD($A807-1,70)+1)=1,0,IF(IF(INT(($A807-1)/70)+1&gt;CROQUIS_DATOS!$C$1525,70,MOD($A807-1,70)+1)&gt;2*CROQUIS_DATOS!$C$1541+1,IF(MOD(CROQUIS_DATOS!$C$1541,2)=1,1,0),IF(MOD(MIN(INT((IF(INT(($A807-1)/70)+1&gt;CROQUIS_DATOS!$C$1525,70,MOD($A807-1,70)+1)-2)/2)+1,CROQUIS_DATOS!$C$1541),2)=1,IF(MOD(IF(INT(($A807-1)/70)+1&gt;CROQUIS_DATOS!$C$1525,70,MOD($A807-1,70)+1)-2,2)=0,0,1),IF(MOD(IF(INT(($A807-1)/70)+1&gt;CROQUIS_DATOS!$C$1525,70,MOD($A807-1,70)+1)-2,2)=0,1,0))))=0,(INDEX($E$8:$E$23,MIN(INT(($A807-1)/70)+1,CROQUIS_DATOS!$C$1525))-INDEX($F$8:$F$23,MIN(INT(($A807-1)/70)+1,CROQUIS_DATOS!$C$1525))/2),(INDEX($E$8:$E$23,MIN(INT(($A807-1)/70)+1,CROQUIS_DATOS!$C$1525))+INDEX($F$8:$F$23,MIN(INT(($A807-1)/70)+1,CROQUIS_DATOS!$C$1525))/2)))*CROQUIS_DATOS!$C$1562),-1000)</f>
        <v>82.8189655172414</v>
      </c>
      <c r="O807">
        <f>IF(AND(CROQUIS_DATOS!$C$1472=1,1),(CROQUIS_DATOS!$C$1564+(IF(OR(IF(INT(($A807-1)/70)+1&gt;CROQUIS_DATOS!$C$1525,70,MOD($A807-1,70)+1)=1,IF(INT(($A807-1)/70)+1&gt;CROQUIS_DATOS!$C$1525,70,MOD($A807-1,70)+1)&gt;2*CROQUIS_DATOS!$C$1541+1),CROQUIS_DATOS!$C$1476,INDEX($H$8:$H$41,MIN(INT((IF(INT(($A807-1)/70)+1&gt;CROQUIS_DATOS!$C$1525,70,MOD($A807-1,70)+1)-2)/2)+1,CROQUIS_DATOS!$C$1541))))*CROQUIS_DATOS!$C$1561*CROQUIS_DATOS!$C$1562),-1000)</f>
        <v>40.2068965517241</v>
      </c>
    </row>
    <row r="808">
      <c r="A808" t="n">
        <v>801</v>
      </c>
      <c r="N808">
        <f>IF(AND(CROQUIS_DATOS!$C$1472=1,1),(CROQUIS_DATOS!$C$1563+(IF(IF(IF(INT(($A808-1)/70)+1&gt;CROQUIS_DATOS!$C$1525,70,MOD($A808-1,70)+1)=1,0,IF(IF(INT(($A808-1)/70)+1&gt;CROQUIS_DATOS!$C$1525,70,MOD($A808-1,70)+1)&gt;2*CROQUIS_DATOS!$C$1541+1,IF(MOD(CROQUIS_DATOS!$C$1541,2)=1,1,0),IF(MOD(MIN(INT((IF(INT(($A808-1)/70)+1&gt;CROQUIS_DATOS!$C$1525,70,MOD($A808-1,70)+1)-2)/2)+1,CROQUIS_DATOS!$C$1541),2)=1,IF(MOD(IF(INT(($A808-1)/70)+1&gt;CROQUIS_DATOS!$C$1525,70,MOD($A808-1,70)+1)-2,2)=0,0,1),IF(MOD(IF(INT(($A808-1)/70)+1&gt;CROQUIS_DATOS!$C$1525,70,MOD($A808-1,70)+1)-2,2)=0,1,0))))=0,(INDEX($E$8:$E$23,MIN(INT(($A808-1)/70)+1,CROQUIS_DATOS!$C$1525))-INDEX($F$8:$F$23,MIN(INT(($A808-1)/70)+1,CROQUIS_DATOS!$C$1525))/2),(INDEX($E$8:$E$23,MIN(INT(($A808-1)/70)+1,CROQUIS_DATOS!$C$1525))+INDEX($F$8:$F$23,MIN(INT(($A808-1)/70)+1,CROQUIS_DATOS!$C$1525))/2)))*CROQUIS_DATOS!$C$1562),-1000)</f>
        <v>82.8189655172414</v>
      </c>
      <c r="O808">
        <f>IF(AND(CROQUIS_DATOS!$C$1472=1,1),(CROQUIS_DATOS!$C$1564+(IF(OR(IF(INT(($A808-1)/70)+1&gt;CROQUIS_DATOS!$C$1525,70,MOD($A808-1,70)+1)=1,IF(INT(($A808-1)/70)+1&gt;CROQUIS_DATOS!$C$1525,70,MOD($A808-1,70)+1)&gt;2*CROQUIS_DATOS!$C$1541+1),CROQUIS_DATOS!$C$1476,INDEX($H$8:$H$41,MIN(INT((IF(INT(($A808-1)/70)+1&gt;CROQUIS_DATOS!$C$1525,70,MOD($A808-1,70)+1)-2)/2)+1,CROQUIS_DATOS!$C$1541))))*CROQUIS_DATOS!$C$1561*CROQUIS_DATOS!$C$1562),-1000)</f>
        <v>40.2068965517241</v>
      </c>
    </row>
    <row r="809">
      <c r="A809" t="n">
        <v>802</v>
      </c>
      <c r="N809">
        <f>IF(AND(CROQUIS_DATOS!$C$1472=1,1),(CROQUIS_DATOS!$C$1563+(IF(IF(IF(INT(($A809-1)/70)+1&gt;CROQUIS_DATOS!$C$1525,70,MOD($A809-1,70)+1)=1,0,IF(IF(INT(($A809-1)/70)+1&gt;CROQUIS_DATOS!$C$1525,70,MOD($A809-1,70)+1)&gt;2*CROQUIS_DATOS!$C$1541+1,IF(MOD(CROQUIS_DATOS!$C$1541,2)=1,1,0),IF(MOD(MIN(INT((IF(INT(($A809-1)/70)+1&gt;CROQUIS_DATOS!$C$1525,70,MOD($A809-1,70)+1)-2)/2)+1,CROQUIS_DATOS!$C$1541),2)=1,IF(MOD(IF(INT(($A809-1)/70)+1&gt;CROQUIS_DATOS!$C$1525,70,MOD($A809-1,70)+1)-2,2)=0,0,1),IF(MOD(IF(INT(($A809-1)/70)+1&gt;CROQUIS_DATOS!$C$1525,70,MOD($A809-1,70)+1)-2,2)=0,1,0))))=0,(INDEX($E$8:$E$23,MIN(INT(($A809-1)/70)+1,CROQUIS_DATOS!$C$1525))-INDEX($F$8:$F$23,MIN(INT(($A809-1)/70)+1,CROQUIS_DATOS!$C$1525))/2),(INDEX($E$8:$E$23,MIN(INT(($A809-1)/70)+1,CROQUIS_DATOS!$C$1525))+INDEX($F$8:$F$23,MIN(INT(($A809-1)/70)+1,CROQUIS_DATOS!$C$1525))/2)))*CROQUIS_DATOS!$C$1562),-1000)</f>
        <v>82.8189655172414</v>
      </c>
      <c r="O809">
        <f>IF(AND(CROQUIS_DATOS!$C$1472=1,1),(CROQUIS_DATOS!$C$1564+(IF(OR(IF(INT(($A809-1)/70)+1&gt;CROQUIS_DATOS!$C$1525,70,MOD($A809-1,70)+1)=1,IF(INT(($A809-1)/70)+1&gt;CROQUIS_DATOS!$C$1525,70,MOD($A809-1,70)+1)&gt;2*CROQUIS_DATOS!$C$1541+1),CROQUIS_DATOS!$C$1476,INDEX($H$8:$H$41,MIN(INT((IF(INT(($A809-1)/70)+1&gt;CROQUIS_DATOS!$C$1525,70,MOD($A809-1,70)+1)-2)/2)+1,CROQUIS_DATOS!$C$1541))))*CROQUIS_DATOS!$C$1561*CROQUIS_DATOS!$C$1562),-1000)</f>
        <v>40.2068965517241</v>
      </c>
    </row>
    <row r="810">
      <c r="A810" t="n">
        <v>803</v>
      </c>
      <c r="N810">
        <f>IF(AND(CROQUIS_DATOS!$C$1472=1,1),(CROQUIS_DATOS!$C$1563+(IF(IF(IF(INT(($A810-1)/70)+1&gt;CROQUIS_DATOS!$C$1525,70,MOD($A810-1,70)+1)=1,0,IF(IF(INT(($A810-1)/70)+1&gt;CROQUIS_DATOS!$C$1525,70,MOD($A810-1,70)+1)&gt;2*CROQUIS_DATOS!$C$1541+1,IF(MOD(CROQUIS_DATOS!$C$1541,2)=1,1,0),IF(MOD(MIN(INT((IF(INT(($A810-1)/70)+1&gt;CROQUIS_DATOS!$C$1525,70,MOD($A810-1,70)+1)-2)/2)+1,CROQUIS_DATOS!$C$1541),2)=1,IF(MOD(IF(INT(($A810-1)/70)+1&gt;CROQUIS_DATOS!$C$1525,70,MOD($A810-1,70)+1)-2,2)=0,0,1),IF(MOD(IF(INT(($A810-1)/70)+1&gt;CROQUIS_DATOS!$C$1525,70,MOD($A810-1,70)+1)-2,2)=0,1,0))))=0,(INDEX($E$8:$E$23,MIN(INT(($A810-1)/70)+1,CROQUIS_DATOS!$C$1525))-INDEX($F$8:$F$23,MIN(INT(($A810-1)/70)+1,CROQUIS_DATOS!$C$1525))/2),(INDEX($E$8:$E$23,MIN(INT(($A810-1)/70)+1,CROQUIS_DATOS!$C$1525))+INDEX($F$8:$F$23,MIN(INT(($A810-1)/70)+1,CROQUIS_DATOS!$C$1525))/2)))*CROQUIS_DATOS!$C$1562),-1000)</f>
        <v>82.8189655172414</v>
      </c>
      <c r="O810">
        <f>IF(AND(CROQUIS_DATOS!$C$1472=1,1),(CROQUIS_DATOS!$C$1564+(IF(OR(IF(INT(($A810-1)/70)+1&gt;CROQUIS_DATOS!$C$1525,70,MOD($A810-1,70)+1)=1,IF(INT(($A810-1)/70)+1&gt;CROQUIS_DATOS!$C$1525,70,MOD($A810-1,70)+1)&gt;2*CROQUIS_DATOS!$C$1541+1),CROQUIS_DATOS!$C$1476,INDEX($H$8:$H$41,MIN(INT((IF(INT(($A810-1)/70)+1&gt;CROQUIS_DATOS!$C$1525,70,MOD($A810-1,70)+1)-2)/2)+1,CROQUIS_DATOS!$C$1541))))*CROQUIS_DATOS!$C$1561*CROQUIS_DATOS!$C$1562),-1000)</f>
        <v>40.2068965517241</v>
      </c>
    </row>
    <row r="811">
      <c r="A811" t="n">
        <v>804</v>
      </c>
      <c r="N811">
        <f>IF(AND(CROQUIS_DATOS!$C$1472=1,1),(CROQUIS_DATOS!$C$1563+(IF(IF(IF(INT(($A811-1)/70)+1&gt;CROQUIS_DATOS!$C$1525,70,MOD($A811-1,70)+1)=1,0,IF(IF(INT(($A811-1)/70)+1&gt;CROQUIS_DATOS!$C$1525,70,MOD($A811-1,70)+1)&gt;2*CROQUIS_DATOS!$C$1541+1,IF(MOD(CROQUIS_DATOS!$C$1541,2)=1,1,0),IF(MOD(MIN(INT((IF(INT(($A811-1)/70)+1&gt;CROQUIS_DATOS!$C$1525,70,MOD($A811-1,70)+1)-2)/2)+1,CROQUIS_DATOS!$C$1541),2)=1,IF(MOD(IF(INT(($A811-1)/70)+1&gt;CROQUIS_DATOS!$C$1525,70,MOD($A811-1,70)+1)-2,2)=0,0,1),IF(MOD(IF(INT(($A811-1)/70)+1&gt;CROQUIS_DATOS!$C$1525,70,MOD($A811-1,70)+1)-2,2)=0,1,0))))=0,(INDEX($E$8:$E$23,MIN(INT(($A811-1)/70)+1,CROQUIS_DATOS!$C$1525))-INDEX($F$8:$F$23,MIN(INT(($A811-1)/70)+1,CROQUIS_DATOS!$C$1525))/2),(INDEX($E$8:$E$23,MIN(INT(($A811-1)/70)+1,CROQUIS_DATOS!$C$1525))+INDEX($F$8:$F$23,MIN(INT(($A811-1)/70)+1,CROQUIS_DATOS!$C$1525))/2)))*CROQUIS_DATOS!$C$1562),-1000)</f>
        <v>82.8189655172414</v>
      </c>
      <c r="O811">
        <f>IF(AND(CROQUIS_DATOS!$C$1472=1,1),(CROQUIS_DATOS!$C$1564+(IF(OR(IF(INT(($A811-1)/70)+1&gt;CROQUIS_DATOS!$C$1525,70,MOD($A811-1,70)+1)=1,IF(INT(($A811-1)/70)+1&gt;CROQUIS_DATOS!$C$1525,70,MOD($A811-1,70)+1)&gt;2*CROQUIS_DATOS!$C$1541+1),CROQUIS_DATOS!$C$1476,INDEX($H$8:$H$41,MIN(INT((IF(INT(($A811-1)/70)+1&gt;CROQUIS_DATOS!$C$1525,70,MOD($A811-1,70)+1)-2)/2)+1,CROQUIS_DATOS!$C$1541))))*CROQUIS_DATOS!$C$1561*CROQUIS_DATOS!$C$1562),-1000)</f>
        <v>40.2068965517241</v>
      </c>
    </row>
    <row r="812">
      <c r="A812" t="n">
        <v>805</v>
      </c>
      <c r="N812">
        <f>IF(AND(CROQUIS_DATOS!$C$1472=1,1),(CROQUIS_DATOS!$C$1563+(IF(IF(IF(INT(($A812-1)/70)+1&gt;CROQUIS_DATOS!$C$1525,70,MOD($A812-1,70)+1)=1,0,IF(IF(INT(($A812-1)/70)+1&gt;CROQUIS_DATOS!$C$1525,70,MOD($A812-1,70)+1)&gt;2*CROQUIS_DATOS!$C$1541+1,IF(MOD(CROQUIS_DATOS!$C$1541,2)=1,1,0),IF(MOD(MIN(INT((IF(INT(($A812-1)/70)+1&gt;CROQUIS_DATOS!$C$1525,70,MOD($A812-1,70)+1)-2)/2)+1,CROQUIS_DATOS!$C$1541),2)=1,IF(MOD(IF(INT(($A812-1)/70)+1&gt;CROQUIS_DATOS!$C$1525,70,MOD($A812-1,70)+1)-2,2)=0,0,1),IF(MOD(IF(INT(($A812-1)/70)+1&gt;CROQUIS_DATOS!$C$1525,70,MOD($A812-1,70)+1)-2,2)=0,1,0))))=0,(INDEX($E$8:$E$23,MIN(INT(($A812-1)/70)+1,CROQUIS_DATOS!$C$1525))-INDEX($F$8:$F$23,MIN(INT(($A812-1)/70)+1,CROQUIS_DATOS!$C$1525))/2),(INDEX($E$8:$E$23,MIN(INT(($A812-1)/70)+1,CROQUIS_DATOS!$C$1525))+INDEX($F$8:$F$23,MIN(INT(($A812-1)/70)+1,CROQUIS_DATOS!$C$1525))/2)))*CROQUIS_DATOS!$C$1562),-1000)</f>
        <v>82.8189655172414</v>
      </c>
      <c r="O812">
        <f>IF(AND(CROQUIS_DATOS!$C$1472=1,1),(CROQUIS_DATOS!$C$1564+(IF(OR(IF(INT(($A812-1)/70)+1&gt;CROQUIS_DATOS!$C$1525,70,MOD($A812-1,70)+1)=1,IF(INT(($A812-1)/70)+1&gt;CROQUIS_DATOS!$C$1525,70,MOD($A812-1,70)+1)&gt;2*CROQUIS_DATOS!$C$1541+1),CROQUIS_DATOS!$C$1476,INDEX($H$8:$H$41,MIN(INT((IF(INT(($A812-1)/70)+1&gt;CROQUIS_DATOS!$C$1525,70,MOD($A812-1,70)+1)-2)/2)+1,CROQUIS_DATOS!$C$1541))))*CROQUIS_DATOS!$C$1561*CROQUIS_DATOS!$C$1562),-1000)</f>
        <v>40.2068965517241</v>
      </c>
    </row>
    <row r="813">
      <c r="A813" t="n">
        <v>806</v>
      </c>
      <c r="N813">
        <f>IF(AND(CROQUIS_DATOS!$C$1472=1,1),(CROQUIS_DATOS!$C$1563+(IF(IF(IF(INT(($A813-1)/70)+1&gt;CROQUIS_DATOS!$C$1525,70,MOD($A813-1,70)+1)=1,0,IF(IF(INT(($A813-1)/70)+1&gt;CROQUIS_DATOS!$C$1525,70,MOD($A813-1,70)+1)&gt;2*CROQUIS_DATOS!$C$1541+1,IF(MOD(CROQUIS_DATOS!$C$1541,2)=1,1,0),IF(MOD(MIN(INT((IF(INT(($A813-1)/70)+1&gt;CROQUIS_DATOS!$C$1525,70,MOD($A813-1,70)+1)-2)/2)+1,CROQUIS_DATOS!$C$1541),2)=1,IF(MOD(IF(INT(($A813-1)/70)+1&gt;CROQUIS_DATOS!$C$1525,70,MOD($A813-1,70)+1)-2,2)=0,0,1),IF(MOD(IF(INT(($A813-1)/70)+1&gt;CROQUIS_DATOS!$C$1525,70,MOD($A813-1,70)+1)-2,2)=0,1,0))))=0,(INDEX($E$8:$E$23,MIN(INT(($A813-1)/70)+1,CROQUIS_DATOS!$C$1525))-INDEX($F$8:$F$23,MIN(INT(($A813-1)/70)+1,CROQUIS_DATOS!$C$1525))/2),(INDEX($E$8:$E$23,MIN(INT(($A813-1)/70)+1,CROQUIS_DATOS!$C$1525))+INDEX($F$8:$F$23,MIN(INT(($A813-1)/70)+1,CROQUIS_DATOS!$C$1525))/2)))*CROQUIS_DATOS!$C$1562),-1000)</f>
        <v>82.8189655172414</v>
      </c>
      <c r="O813">
        <f>IF(AND(CROQUIS_DATOS!$C$1472=1,1),(CROQUIS_DATOS!$C$1564+(IF(OR(IF(INT(($A813-1)/70)+1&gt;CROQUIS_DATOS!$C$1525,70,MOD($A813-1,70)+1)=1,IF(INT(($A813-1)/70)+1&gt;CROQUIS_DATOS!$C$1525,70,MOD($A813-1,70)+1)&gt;2*CROQUIS_DATOS!$C$1541+1),CROQUIS_DATOS!$C$1476,INDEX($H$8:$H$41,MIN(INT((IF(INT(($A813-1)/70)+1&gt;CROQUIS_DATOS!$C$1525,70,MOD($A813-1,70)+1)-2)/2)+1,CROQUIS_DATOS!$C$1541))))*CROQUIS_DATOS!$C$1561*CROQUIS_DATOS!$C$1562),-1000)</f>
        <v>40.2068965517241</v>
      </c>
    </row>
    <row r="814">
      <c r="A814" t="n">
        <v>807</v>
      </c>
      <c r="N814">
        <f>IF(AND(CROQUIS_DATOS!$C$1472=1,1),(CROQUIS_DATOS!$C$1563+(IF(IF(IF(INT(($A814-1)/70)+1&gt;CROQUIS_DATOS!$C$1525,70,MOD($A814-1,70)+1)=1,0,IF(IF(INT(($A814-1)/70)+1&gt;CROQUIS_DATOS!$C$1525,70,MOD($A814-1,70)+1)&gt;2*CROQUIS_DATOS!$C$1541+1,IF(MOD(CROQUIS_DATOS!$C$1541,2)=1,1,0),IF(MOD(MIN(INT((IF(INT(($A814-1)/70)+1&gt;CROQUIS_DATOS!$C$1525,70,MOD($A814-1,70)+1)-2)/2)+1,CROQUIS_DATOS!$C$1541),2)=1,IF(MOD(IF(INT(($A814-1)/70)+1&gt;CROQUIS_DATOS!$C$1525,70,MOD($A814-1,70)+1)-2,2)=0,0,1),IF(MOD(IF(INT(($A814-1)/70)+1&gt;CROQUIS_DATOS!$C$1525,70,MOD($A814-1,70)+1)-2,2)=0,1,0))))=0,(INDEX($E$8:$E$23,MIN(INT(($A814-1)/70)+1,CROQUIS_DATOS!$C$1525))-INDEX($F$8:$F$23,MIN(INT(($A814-1)/70)+1,CROQUIS_DATOS!$C$1525))/2),(INDEX($E$8:$E$23,MIN(INT(($A814-1)/70)+1,CROQUIS_DATOS!$C$1525))+INDEX($F$8:$F$23,MIN(INT(($A814-1)/70)+1,CROQUIS_DATOS!$C$1525))/2)))*CROQUIS_DATOS!$C$1562),-1000)</f>
        <v>82.8189655172414</v>
      </c>
      <c r="O814">
        <f>IF(AND(CROQUIS_DATOS!$C$1472=1,1),(CROQUIS_DATOS!$C$1564+(IF(OR(IF(INT(($A814-1)/70)+1&gt;CROQUIS_DATOS!$C$1525,70,MOD($A814-1,70)+1)=1,IF(INT(($A814-1)/70)+1&gt;CROQUIS_DATOS!$C$1525,70,MOD($A814-1,70)+1)&gt;2*CROQUIS_DATOS!$C$1541+1),CROQUIS_DATOS!$C$1476,INDEX($H$8:$H$41,MIN(INT((IF(INT(($A814-1)/70)+1&gt;CROQUIS_DATOS!$C$1525,70,MOD($A814-1,70)+1)-2)/2)+1,CROQUIS_DATOS!$C$1541))))*CROQUIS_DATOS!$C$1561*CROQUIS_DATOS!$C$1562),-1000)</f>
        <v>40.2068965517241</v>
      </c>
    </row>
    <row r="815">
      <c r="A815" t="n">
        <v>808</v>
      </c>
      <c r="N815">
        <f>IF(AND(CROQUIS_DATOS!$C$1472=1,1),(CROQUIS_DATOS!$C$1563+(IF(IF(IF(INT(($A815-1)/70)+1&gt;CROQUIS_DATOS!$C$1525,70,MOD($A815-1,70)+1)=1,0,IF(IF(INT(($A815-1)/70)+1&gt;CROQUIS_DATOS!$C$1525,70,MOD($A815-1,70)+1)&gt;2*CROQUIS_DATOS!$C$1541+1,IF(MOD(CROQUIS_DATOS!$C$1541,2)=1,1,0),IF(MOD(MIN(INT((IF(INT(($A815-1)/70)+1&gt;CROQUIS_DATOS!$C$1525,70,MOD($A815-1,70)+1)-2)/2)+1,CROQUIS_DATOS!$C$1541),2)=1,IF(MOD(IF(INT(($A815-1)/70)+1&gt;CROQUIS_DATOS!$C$1525,70,MOD($A815-1,70)+1)-2,2)=0,0,1),IF(MOD(IF(INT(($A815-1)/70)+1&gt;CROQUIS_DATOS!$C$1525,70,MOD($A815-1,70)+1)-2,2)=0,1,0))))=0,(INDEX($E$8:$E$23,MIN(INT(($A815-1)/70)+1,CROQUIS_DATOS!$C$1525))-INDEX($F$8:$F$23,MIN(INT(($A815-1)/70)+1,CROQUIS_DATOS!$C$1525))/2),(INDEX($E$8:$E$23,MIN(INT(($A815-1)/70)+1,CROQUIS_DATOS!$C$1525))+INDEX($F$8:$F$23,MIN(INT(($A815-1)/70)+1,CROQUIS_DATOS!$C$1525))/2)))*CROQUIS_DATOS!$C$1562),-1000)</f>
        <v>82.8189655172414</v>
      </c>
      <c r="O815">
        <f>IF(AND(CROQUIS_DATOS!$C$1472=1,1),(CROQUIS_DATOS!$C$1564+(IF(OR(IF(INT(($A815-1)/70)+1&gt;CROQUIS_DATOS!$C$1525,70,MOD($A815-1,70)+1)=1,IF(INT(($A815-1)/70)+1&gt;CROQUIS_DATOS!$C$1525,70,MOD($A815-1,70)+1)&gt;2*CROQUIS_DATOS!$C$1541+1),CROQUIS_DATOS!$C$1476,INDEX($H$8:$H$41,MIN(INT((IF(INT(($A815-1)/70)+1&gt;CROQUIS_DATOS!$C$1525,70,MOD($A815-1,70)+1)-2)/2)+1,CROQUIS_DATOS!$C$1541))))*CROQUIS_DATOS!$C$1561*CROQUIS_DATOS!$C$1562),-1000)</f>
        <v>40.2068965517241</v>
      </c>
    </row>
    <row r="816">
      <c r="A816" t="n">
        <v>809</v>
      </c>
      <c r="N816">
        <f>IF(AND(CROQUIS_DATOS!$C$1472=1,1),(CROQUIS_DATOS!$C$1563+(IF(IF(IF(INT(($A816-1)/70)+1&gt;CROQUIS_DATOS!$C$1525,70,MOD($A816-1,70)+1)=1,0,IF(IF(INT(($A816-1)/70)+1&gt;CROQUIS_DATOS!$C$1525,70,MOD($A816-1,70)+1)&gt;2*CROQUIS_DATOS!$C$1541+1,IF(MOD(CROQUIS_DATOS!$C$1541,2)=1,1,0),IF(MOD(MIN(INT((IF(INT(($A816-1)/70)+1&gt;CROQUIS_DATOS!$C$1525,70,MOD($A816-1,70)+1)-2)/2)+1,CROQUIS_DATOS!$C$1541),2)=1,IF(MOD(IF(INT(($A816-1)/70)+1&gt;CROQUIS_DATOS!$C$1525,70,MOD($A816-1,70)+1)-2,2)=0,0,1),IF(MOD(IF(INT(($A816-1)/70)+1&gt;CROQUIS_DATOS!$C$1525,70,MOD($A816-1,70)+1)-2,2)=0,1,0))))=0,(INDEX($E$8:$E$23,MIN(INT(($A816-1)/70)+1,CROQUIS_DATOS!$C$1525))-INDEX($F$8:$F$23,MIN(INT(($A816-1)/70)+1,CROQUIS_DATOS!$C$1525))/2),(INDEX($E$8:$E$23,MIN(INT(($A816-1)/70)+1,CROQUIS_DATOS!$C$1525))+INDEX($F$8:$F$23,MIN(INT(($A816-1)/70)+1,CROQUIS_DATOS!$C$1525))/2)))*CROQUIS_DATOS!$C$1562),-1000)</f>
        <v>82.8189655172414</v>
      </c>
      <c r="O816">
        <f>IF(AND(CROQUIS_DATOS!$C$1472=1,1),(CROQUIS_DATOS!$C$1564+(IF(OR(IF(INT(($A816-1)/70)+1&gt;CROQUIS_DATOS!$C$1525,70,MOD($A816-1,70)+1)=1,IF(INT(($A816-1)/70)+1&gt;CROQUIS_DATOS!$C$1525,70,MOD($A816-1,70)+1)&gt;2*CROQUIS_DATOS!$C$1541+1),CROQUIS_DATOS!$C$1476,INDEX($H$8:$H$41,MIN(INT((IF(INT(($A816-1)/70)+1&gt;CROQUIS_DATOS!$C$1525,70,MOD($A816-1,70)+1)-2)/2)+1,CROQUIS_DATOS!$C$1541))))*CROQUIS_DATOS!$C$1561*CROQUIS_DATOS!$C$1562),-1000)</f>
        <v>40.2068965517241</v>
      </c>
    </row>
    <row r="817">
      <c r="A817" t="n">
        <v>810</v>
      </c>
      <c r="N817">
        <f>IF(AND(CROQUIS_DATOS!$C$1472=1,1),(CROQUIS_DATOS!$C$1563+(IF(IF(IF(INT(($A817-1)/70)+1&gt;CROQUIS_DATOS!$C$1525,70,MOD($A817-1,70)+1)=1,0,IF(IF(INT(($A817-1)/70)+1&gt;CROQUIS_DATOS!$C$1525,70,MOD($A817-1,70)+1)&gt;2*CROQUIS_DATOS!$C$1541+1,IF(MOD(CROQUIS_DATOS!$C$1541,2)=1,1,0),IF(MOD(MIN(INT((IF(INT(($A817-1)/70)+1&gt;CROQUIS_DATOS!$C$1525,70,MOD($A817-1,70)+1)-2)/2)+1,CROQUIS_DATOS!$C$1541),2)=1,IF(MOD(IF(INT(($A817-1)/70)+1&gt;CROQUIS_DATOS!$C$1525,70,MOD($A817-1,70)+1)-2,2)=0,0,1),IF(MOD(IF(INT(($A817-1)/70)+1&gt;CROQUIS_DATOS!$C$1525,70,MOD($A817-1,70)+1)-2,2)=0,1,0))))=0,(INDEX($E$8:$E$23,MIN(INT(($A817-1)/70)+1,CROQUIS_DATOS!$C$1525))-INDEX($F$8:$F$23,MIN(INT(($A817-1)/70)+1,CROQUIS_DATOS!$C$1525))/2),(INDEX($E$8:$E$23,MIN(INT(($A817-1)/70)+1,CROQUIS_DATOS!$C$1525))+INDEX($F$8:$F$23,MIN(INT(($A817-1)/70)+1,CROQUIS_DATOS!$C$1525))/2)))*CROQUIS_DATOS!$C$1562),-1000)</f>
        <v>82.8189655172414</v>
      </c>
      <c r="O817">
        <f>IF(AND(CROQUIS_DATOS!$C$1472=1,1),(CROQUIS_DATOS!$C$1564+(IF(OR(IF(INT(($A817-1)/70)+1&gt;CROQUIS_DATOS!$C$1525,70,MOD($A817-1,70)+1)=1,IF(INT(($A817-1)/70)+1&gt;CROQUIS_DATOS!$C$1525,70,MOD($A817-1,70)+1)&gt;2*CROQUIS_DATOS!$C$1541+1),CROQUIS_DATOS!$C$1476,INDEX($H$8:$H$41,MIN(INT((IF(INT(($A817-1)/70)+1&gt;CROQUIS_DATOS!$C$1525,70,MOD($A817-1,70)+1)-2)/2)+1,CROQUIS_DATOS!$C$1541))))*CROQUIS_DATOS!$C$1561*CROQUIS_DATOS!$C$1562),-1000)</f>
        <v>40.2068965517241</v>
      </c>
    </row>
    <row r="818">
      <c r="A818" t="n">
        <v>811</v>
      </c>
      <c r="N818">
        <f>IF(AND(CROQUIS_DATOS!$C$1472=1,1),(CROQUIS_DATOS!$C$1563+(IF(IF(IF(INT(($A818-1)/70)+1&gt;CROQUIS_DATOS!$C$1525,70,MOD($A818-1,70)+1)=1,0,IF(IF(INT(($A818-1)/70)+1&gt;CROQUIS_DATOS!$C$1525,70,MOD($A818-1,70)+1)&gt;2*CROQUIS_DATOS!$C$1541+1,IF(MOD(CROQUIS_DATOS!$C$1541,2)=1,1,0),IF(MOD(MIN(INT((IF(INT(($A818-1)/70)+1&gt;CROQUIS_DATOS!$C$1525,70,MOD($A818-1,70)+1)-2)/2)+1,CROQUIS_DATOS!$C$1541),2)=1,IF(MOD(IF(INT(($A818-1)/70)+1&gt;CROQUIS_DATOS!$C$1525,70,MOD($A818-1,70)+1)-2,2)=0,0,1),IF(MOD(IF(INT(($A818-1)/70)+1&gt;CROQUIS_DATOS!$C$1525,70,MOD($A818-1,70)+1)-2,2)=0,1,0))))=0,(INDEX($E$8:$E$23,MIN(INT(($A818-1)/70)+1,CROQUIS_DATOS!$C$1525))-INDEX($F$8:$F$23,MIN(INT(($A818-1)/70)+1,CROQUIS_DATOS!$C$1525))/2),(INDEX($E$8:$E$23,MIN(INT(($A818-1)/70)+1,CROQUIS_DATOS!$C$1525))+INDEX($F$8:$F$23,MIN(INT(($A818-1)/70)+1,CROQUIS_DATOS!$C$1525))/2)))*CROQUIS_DATOS!$C$1562),-1000)</f>
        <v>82.8189655172414</v>
      </c>
      <c r="O818">
        <f>IF(AND(CROQUIS_DATOS!$C$1472=1,1),(CROQUIS_DATOS!$C$1564+(IF(OR(IF(INT(($A818-1)/70)+1&gt;CROQUIS_DATOS!$C$1525,70,MOD($A818-1,70)+1)=1,IF(INT(($A818-1)/70)+1&gt;CROQUIS_DATOS!$C$1525,70,MOD($A818-1,70)+1)&gt;2*CROQUIS_DATOS!$C$1541+1),CROQUIS_DATOS!$C$1476,INDEX($H$8:$H$41,MIN(INT((IF(INT(($A818-1)/70)+1&gt;CROQUIS_DATOS!$C$1525,70,MOD($A818-1,70)+1)-2)/2)+1,CROQUIS_DATOS!$C$1541))))*CROQUIS_DATOS!$C$1561*CROQUIS_DATOS!$C$1562),-1000)</f>
        <v>40.2068965517241</v>
      </c>
    </row>
    <row r="819">
      <c r="A819" t="n">
        <v>812</v>
      </c>
      <c r="N819">
        <f>IF(AND(CROQUIS_DATOS!$C$1472=1,1),(CROQUIS_DATOS!$C$1563+(IF(IF(IF(INT(($A819-1)/70)+1&gt;CROQUIS_DATOS!$C$1525,70,MOD($A819-1,70)+1)=1,0,IF(IF(INT(($A819-1)/70)+1&gt;CROQUIS_DATOS!$C$1525,70,MOD($A819-1,70)+1)&gt;2*CROQUIS_DATOS!$C$1541+1,IF(MOD(CROQUIS_DATOS!$C$1541,2)=1,1,0),IF(MOD(MIN(INT((IF(INT(($A819-1)/70)+1&gt;CROQUIS_DATOS!$C$1525,70,MOD($A819-1,70)+1)-2)/2)+1,CROQUIS_DATOS!$C$1541),2)=1,IF(MOD(IF(INT(($A819-1)/70)+1&gt;CROQUIS_DATOS!$C$1525,70,MOD($A819-1,70)+1)-2,2)=0,0,1),IF(MOD(IF(INT(($A819-1)/70)+1&gt;CROQUIS_DATOS!$C$1525,70,MOD($A819-1,70)+1)-2,2)=0,1,0))))=0,(INDEX($E$8:$E$23,MIN(INT(($A819-1)/70)+1,CROQUIS_DATOS!$C$1525))-INDEX($F$8:$F$23,MIN(INT(($A819-1)/70)+1,CROQUIS_DATOS!$C$1525))/2),(INDEX($E$8:$E$23,MIN(INT(($A819-1)/70)+1,CROQUIS_DATOS!$C$1525))+INDEX($F$8:$F$23,MIN(INT(($A819-1)/70)+1,CROQUIS_DATOS!$C$1525))/2)))*CROQUIS_DATOS!$C$1562),-1000)</f>
        <v>82.8189655172414</v>
      </c>
      <c r="O819">
        <f>IF(AND(CROQUIS_DATOS!$C$1472=1,1),(CROQUIS_DATOS!$C$1564+(IF(OR(IF(INT(($A819-1)/70)+1&gt;CROQUIS_DATOS!$C$1525,70,MOD($A819-1,70)+1)=1,IF(INT(($A819-1)/70)+1&gt;CROQUIS_DATOS!$C$1525,70,MOD($A819-1,70)+1)&gt;2*CROQUIS_DATOS!$C$1541+1),CROQUIS_DATOS!$C$1476,INDEX($H$8:$H$41,MIN(INT((IF(INT(($A819-1)/70)+1&gt;CROQUIS_DATOS!$C$1525,70,MOD($A819-1,70)+1)-2)/2)+1,CROQUIS_DATOS!$C$1541))))*CROQUIS_DATOS!$C$1561*CROQUIS_DATOS!$C$1562),-1000)</f>
        <v>40.2068965517241</v>
      </c>
    </row>
    <row r="820">
      <c r="A820" t="n">
        <v>813</v>
      </c>
      <c r="N820">
        <f>IF(AND(CROQUIS_DATOS!$C$1472=1,1),(CROQUIS_DATOS!$C$1563+(IF(IF(IF(INT(($A820-1)/70)+1&gt;CROQUIS_DATOS!$C$1525,70,MOD($A820-1,70)+1)=1,0,IF(IF(INT(($A820-1)/70)+1&gt;CROQUIS_DATOS!$C$1525,70,MOD($A820-1,70)+1)&gt;2*CROQUIS_DATOS!$C$1541+1,IF(MOD(CROQUIS_DATOS!$C$1541,2)=1,1,0),IF(MOD(MIN(INT((IF(INT(($A820-1)/70)+1&gt;CROQUIS_DATOS!$C$1525,70,MOD($A820-1,70)+1)-2)/2)+1,CROQUIS_DATOS!$C$1541),2)=1,IF(MOD(IF(INT(($A820-1)/70)+1&gt;CROQUIS_DATOS!$C$1525,70,MOD($A820-1,70)+1)-2,2)=0,0,1),IF(MOD(IF(INT(($A820-1)/70)+1&gt;CROQUIS_DATOS!$C$1525,70,MOD($A820-1,70)+1)-2,2)=0,1,0))))=0,(INDEX($E$8:$E$23,MIN(INT(($A820-1)/70)+1,CROQUIS_DATOS!$C$1525))-INDEX($F$8:$F$23,MIN(INT(($A820-1)/70)+1,CROQUIS_DATOS!$C$1525))/2),(INDEX($E$8:$E$23,MIN(INT(($A820-1)/70)+1,CROQUIS_DATOS!$C$1525))+INDEX($F$8:$F$23,MIN(INT(($A820-1)/70)+1,CROQUIS_DATOS!$C$1525))/2)))*CROQUIS_DATOS!$C$1562),-1000)</f>
        <v>82.8189655172414</v>
      </c>
      <c r="O820">
        <f>IF(AND(CROQUIS_DATOS!$C$1472=1,1),(CROQUIS_DATOS!$C$1564+(IF(OR(IF(INT(($A820-1)/70)+1&gt;CROQUIS_DATOS!$C$1525,70,MOD($A820-1,70)+1)=1,IF(INT(($A820-1)/70)+1&gt;CROQUIS_DATOS!$C$1525,70,MOD($A820-1,70)+1)&gt;2*CROQUIS_DATOS!$C$1541+1),CROQUIS_DATOS!$C$1476,INDEX($H$8:$H$41,MIN(INT((IF(INT(($A820-1)/70)+1&gt;CROQUIS_DATOS!$C$1525,70,MOD($A820-1,70)+1)-2)/2)+1,CROQUIS_DATOS!$C$1541))))*CROQUIS_DATOS!$C$1561*CROQUIS_DATOS!$C$1562),-1000)</f>
        <v>40.2068965517241</v>
      </c>
    </row>
    <row r="821">
      <c r="A821" t="n">
        <v>814</v>
      </c>
      <c r="N821">
        <f>IF(AND(CROQUIS_DATOS!$C$1472=1,1),(CROQUIS_DATOS!$C$1563+(IF(IF(IF(INT(($A821-1)/70)+1&gt;CROQUIS_DATOS!$C$1525,70,MOD($A821-1,70)+1)=1,0,IF(IF(INT(($A821-1)/70)+1&gt;CROQUIS_DATOS!$C$1525,70,MOD($A821-1,70)+1)&gt;2*CROQUIS_DATOS!$C$1541+1,IF(MOD(CROQUIS_DATOS!$C$1541,2)=1,1,0),IF(MOD(MIN(INT((IF(INT(($A821-1)/70)+1&gt;CROQUIS_DATOS!$C$1525,70,MOD($A821-1,70)+1)-2)/2)+1,CROQUIS_DATOS!$C$1541),2)=1,IF(MOD(IF(INT(($A821-1)/70)+1&gt;CROQUIS_DATOS!$C$1525,70,MOD($A821-1,70)+1)-2,2)=0,0,1),IF(MOD(IF(INT(($A821-1)/70)+1&gt;CROQUIS_DATOS!$C$1525,70,MOD($A821-1,70)+1)-2,2)=0,1,0))))=0,(INDEX($E$8:$E$23,MIN(INT(($A821-1)/70)+1,CROQUIS_DATOS!$C$1525))-INDEX($F$8:$F$23,MIN(INT(($A821-1)/70)+1,CROQUIS_DATOS!$C$1525))/2),(INDEX($E$8:$E$23,MIN(INT(($A821-1)/70)+1,CROQUIS_DATOS!$C$1525))+INDEX($F$8:$F$23,MIN(INT(($A821-1)/70)+1,CROQUIS_DATOS!$C$1525))/2)))*CROQUIS_DATOS!$C$1562),-1000)</f>
        <v>82.8189655172414</v>
      </c>
      <c r="O821">
        <f>IF(AND(CROQUIS_DATOS!$C$1472=1,1),(CROQUIS_DATOS!$C$1564+(IF(OR(IF(INT(($A821-1)/70)+1&gt;CROQUIS_DATOS!$C$1525,70,MOD($A821-1,70)+1)=1,IF(INT(($A821-1)/70)+1&gt;CROQUIS_DATOS!$C$1525,70,MOD($A821-1,70)+1)&gt;2*CROQUIS_DATOS!$C$1541+1),CROQUIS_DATOS!$C$1476,INDEX($H$8:$H$41,MIN(INT((IF(INT(($A821-1)/70)+1&gt;CROQUIS_DATOS!$C$1525,70,MOD($A821-1,70)+1)-2)/2)+1,CROQUIS_DATOS!$C$1541))))*CROQUIS_DATOS!$C$1561*CROQUIS_DATOS!$C$1562),-1000)</f>
        <v>40.2068965517241</v>
      </c>
    </row>
    <row r="822">
      <c r="A822" t="n">
        <v>815</v>
      </c>
      <c r="N822">
        <f>IF(AND(CROQUIS_DATOS!$C$1472=1,1),(CROQUIS_DATOS!$C$1563+(IF(IF(IF(INT(($A822-1)/70)+1&gt;CROQUIS_DATOS!$C$1525,70,MOD($A822-1,70)+1)=1,0,IF(IF(INT(($A822-1)/70)+1&gt;CROQUIS_DATOS!$C$1525,70,MOD($A822-1,70)+1)&gt;2*CROQUIS_DATOS!$C$1541+1,IF(MOD(CROQUIS_DATOS!$C$1541,2)=1,1,0),IF(MOD(MIN(INT((IF(INT(($A822-1)/70)+1&gt;CROQUIS_DATOS!$C$1525,70,MOD($A822-1,70)+1)-2)/2)+1,CROQUIS_DATOS!$C$1541),2)=1,IF(MOD(IF(INT(($A822-1)/70)+1&gt;CROQUIS_DATOS!$C$1525,70,MOD($A822-1,70)+1)-2,2)=0,0,1),IF(MOD(IF(INT(($A822-1)/70)+1&gt;CROQUIS_DATOS!$C$1525,70,MOD($A822-1,70)+1)-2,2)=0,1,0))))=0,(INDEX($E$8:$E$23,MIN(INT(($A822-1)/70)+1,CROQUIS_DATOS!$C$1525))-INDEX($F$8:$F$23,MIN(INT(($A822-1)/70)+1,CROQUIS_DATOS!$C$1525))/2),(INDEX($E$8:$E$23,MIN(INT(($A822-1)/70)+1,CROQUIS_DATOS!$C$1525))+INDEX($F$8:$F$23,MIN(INT(($A822-1)/70)+1,CROQUIS_DATOS!$C$1525))/2)))*CROQUIS_DATOS!$C$1562),-1000)</f>
        <v>82.8189655172414</v>
      </c>
      <c r="O822">
        <f>IF(AND(CROQUIS_DATOS!$C$1472=1,1),(CROQUIS_DATOS!$C$1564+(IF(OR(IF(INT(($A822-1)/70)+1&gt;CROQUIS_DATOS!$C$1525,70,MOD($A822-1,70)+1)=1,IF(INT(($A822-1)/70)+1&gt;CROQUIS_DATOS!$C$1525,70,MOD($A822-1,70)+1)&gt;2*CROQUIS_DATOS!$C$1541+1),CROQUIS_DATOS!$C$1476,INDEX($H$8:$H$41,MIN(INT((IF(INT(($A822-1)/70)+1&gt;CROQUIS_DATOS!$C$1525,70,MOD($A822-1,70)+1)-2)/2)+1,CROQUIS_DATOS!$C$1541))))*CROQUIS_DATOS!$C$1561*CROQUIS_DATOS!$C$1562),-1000)</f>
        <v>40.2068965517241</v>
      </c>
    </row>
    <row r="823">
      <c r="A823" t="n">
        <v>816</v>
      </c>
      <c r="N823">
        <f>IF(AND(CROQUIS_DATOS!$C$1472=1,1),(CROQUIS_DATOS!$C$1563+(IF(IF(IF(INT(($A823-1)/70)+1&gt;CROQUIS_DATOS!$C$1525,70,MOD($A823-1,70)+1)=1,0,IF(IF(INT(($A823-1)/70)+1&gt;CROQUIS_DATOS!$C$1525,70,MOD($A823-1,70)+1)&gt;2*CROQUIS_DATOS!$C$1541+1,IF(MOD(CROQUIS_DATOS!$C$1541,2)=1,1,0),IF(MOD(MIN(INT((IF(INT(($A823-1)/70)+1&gt;CROQUIS_DATOS!$C$1525,70,MOD($A823-1,70)+1)-2)/2)+1,CROQUIS_DATOS!$C$1541),2)=1,IF(MOD(IF(INT(($A823-1)/70)+1&gt;CROQUIS_DATOS!$C$1525,70,MOD($A823-1,70)+1)-2,2)=0,0,1),IF(MOD(IF(INT(($A823-1)/70)+1&gt;CROQUIS_DATOS!$C$1525,70,MOD($A823-1,70)+1)-2,2)=0,1,0))))=0,(INDEX($E$8:$E$23,MIN(INT(($A823-1)/70)+1,CROQUIS_DATOS!$C$1525))-INDEX($F$8:$F$23,MIN(INT(($A823-1)/70)+1,CROQUIS_DATOS!$C$1525))/2),(INDEX($E$8:$E$23,MIN(INT(($A823-1)/70)+1,CROQUIS_DATOS!$C$1525))+INDEX($F$8:$F$23,MIN(INT(($A823-1)/70)+1,CROQUIS_DATOS!$C$1525))/2)))*CROQUIS_DATOS!$C$1562),-1000)</f>
        <v>82.8189655172414</v>
      </c>
      <c r="O823">
        <f>IF(AND(CROQUIS_DATOS!$C$1472=1,1),(CROQUIS_DATOS!$C$1564+(IF(OR(IF(INT(($A823-1)/70)+1&gt;CROQUIS_DATOS!$C$1525,70,MOD($A823-1,70)+1)=1,IF(INT(($A823-1)/70)+1&gt;CROQUIS_DATOS!$C$1525,70,MOD($A823-1,70)+1)&gt;2*CROQUIS_DATOS!$C$1541+1),CROQUIS_DATOS!$C$1476,INDEX($H$8:$H$41,MIN(INT((IF(INT(($A823-1)/70)+1&gt;CROQUIS_DATOS!$C$1525,70,MOD($A823-1,70)+1)-2)/2)+1,CROQUIS_DATOS!$C$1541))))*CROQUIS_DATOS!$C$1561*CROQUIS_DATOS!$C$1562),-1000)</f>
        <v>40.2068965517241</v>
      </c>
    </row>
    <row r="824">
      <c r="A824" t="n">
        <v>817</v>
      </c>
      <c r="N824">
        <f>IF(AND(CROQUIS_DATOS!$C$1472=1,1),(CROQUIS_DATOS!$C$1563+(IF(IF(IF(INT(($A824-1)/70)+1&gt;CROQUIS_DATOS!$C$1525,70,MOD($A824-1,70)+1)=1,0,IF(IF(INT(($A824-1)/70)+1&gt;CROQUIS_DATOS!$C$1525,70,MOD($A824-1,70)+1)&gt;2*CROQUIS_DATOS!$C$1541+1,IF(MOD(CROQUIS_DATOS!$C$1541,2)=1,1,0),IF(MOD(MIN(INT((IF(INT(($A824-1)/70)+1&gt;CROQUIS_DATOS!$C$1525,70,MOD($A824-1,70)+1)-2)/2)+1,CROQUIS_DATOS!$C$1541),2)=1,IF(MOD(IF(INT(($A824-1)/70)+1&gt;CROQUIS_DATOS!$C$1525,70,MOD($A824-1,70)+1)-2,2)=0,0,1),IF(MOD(IF(INT(($A824-1)/70)+1&gt;CROQUIS_DATOS!$C$1525,70,MOD($A824-1,70)+1)-2,2)=0,1,0))))=0,(INDEX($E$8:$E$23,MIN(INT(($A824-1)/70)+1,CROQUIS_DATOS!$C$1525))-INDEX($F$8:$F$23,MIN(INT(($A824-1)/70)+1,CROQUIS_DATOS!$C$1525))/2),(INDEX($E$8:$E$23,MIN(INT(($A824-1)/70)+1,CROQUIS_DATOS!$C$1525))+INDEX($F$8:$F$23,MIN(INT(($A824-1)/70)+1,CROQUIS_DATOS!$C$1525))/2)))*CROQUIS_DATOS!$C$1562),-1000)</f>
        <v>82.8189655172414</v>
      </c>
      <c r="O824">
        <f>IF(AND(CROQUIS_DATOS!$C$1472=1,1),(CROQUIS_DATOS!$C$1564+(IF(OR(IF(INT(($A824-1)/70)+1&gt;CROQUIS_DATOS!$C$1525,70,MOD($A824-1,70)+1)=1,IF(INT(($A824-1)/70)+1&gt;CROQUIS_DATOS!$C$1525,70,MOD($A824-1,70)+1)&gt;2*CROQUIS_DATOS!$C$1541+1),CROQUIS_DATOS!$C$1476,INDEX($H$8:$H$41,MIN(INT((IF(INT(($A824-1)/70)+1&gt;CROQUIS_DATOS!$C$1525,70,MOD($A824-1,70)+1)-2)/2)+1,CROQUIS_DATOS!$C$1541))))*CROQUIS_DATOS!$C$1561*CROQUIS_DATOS!$C$1562),-1000)</f>
        <v>40.2068965517241</v>
      </c>
    </row>
    <row r="825">
      <c r="A825" t="n">
        <v>818</v>
      </c>
      <c r="N825">
        <f>IF(AND(CROQUIS_DATOS!$C$1472=1,1),(CROQUIS_DATOS!$C$1563+(IF(IF(IF(INT(($A825-1)/70)+1&gt;CROQUIS_DATOS!$C$1525,70,MOD($A825-1,70)+1)=1,0,IF(IF(INT(($A825-1)/70)+1&gt;CROQUIS_DATOS!$C$1525,70,MOD($A825-1,70)+1)&gt;2*CROQUIS_DATOS!$C$1541+1,IF(MOD(CROQUIS_DATOS!$C$1541,2)=1,1,0),IF(MOD(MIN(INT((IF(INT(($A825-1)/70)+1&gt;CROQUIS_DATOS!$C$1525,70,MOD($A825-1,70)+1)-2)/2)+1,CROQUIS_DATOS!$C$1541),2)=1,IF(MOD(IF(INT(($A825-1)/70)+1&gt;CROQUIS_DATOS!$C$1525,70,MOD($A825-1,70)+1)-2,2)=0,0,1),IF(MOD(IF(INT(($A825-1)/70)+1&gt;CROQUIS_DATOS!$C$1525,70,MOD($A825-1,70)+1)-2,2)=0,1,0))))=0,(INDEX($E$8:$E$23,MIN(INT(($A825-1)/70)+1,CROQUIS_DATOS!$C$1525))-INDEX($F$8:$F$23,MIN(INT(($A825-1)/70)+1,CROQUIS_DATOS!$C$1525))/2),(INDEX($E$8:$E$23,MIN(INT(($A825-1)/70)+1,CROQUIS_DATOS!$C$1525))+INDEX($F$8:$F$23,MIN(INT(($A825-1)/70)+1,CROQUIS_DATOS!$C$1525))/2)))*CROQUIS_DATOS!$C$1562),-1000)</f>
        <v>82.8189655172414</v>
      </c>
      <c r="O825">
        <f>IF(AND(CROQUIS_DATOS!$C$1472=1,1),(CROQUIS_DATOS!$C$1564+(IF(OR(IF(INT(($A825-1)/70)+1&gt;CROQUIS_DATOS!$C$1525,70,MOD($A825-1,70)+1)=1,IF(INT(($A825-1)/70)+1&gt;CROQUIS_DATOS!$C$1525,70,MOD($A825-1,70)+1)&gt;2*CROQUIS_DATOS!$C$1541+1),CROQUIS_DATOS!$C$1476,INDEX($H$8:$H$41,MIN(INT((IF(INT(($A825-1)/70)+1&gt;CROQUIS_DATOS!$C$1525,70,MOD($A825-1,70)+1)-2)/2)+1,CROQUIS_DATOS!$C$1541))))*CROQUIS_DATOS!$C$1561*CROQUIS_DATOS!$C$1562),-1000)</f>
        <v>40.2068965517241</v>
      </c>
    </row>
    <row r="826">
      <c r="A826" t="n">
        <v>819</v>
      </c>
      <c r="N826">
        <f>IF(AND(CROQUIS_DATOS!$C$1472=1,1),(CROQUIS_DATOS!$C$1563+(IF(IF(IF(INT(($A826-1)/70)+1&gt;CROQUIS_DATOS!$C$1525,70,MOD($A826-1,70)+1)=1,0,IF(IF(INT(($A826-1)/70)+1&gt;CROQUIS_DATOS!$C$1525,70,MOD($A826-1,70)+1)&gt;2*CROQUIS_DATOS!$C$1541+1,IF(MOD(CROQUIS_DATOS!$C$1541,2)=1,1,0),IF(MOD(MIN(INT((IF(INT(($A826-1)/70)+1&gt;CROQUIS_DATOS!$C$1525,70,MOD($A826-1,70)+1)-2)/2)+1,CROQUIS_DATOS!$C$1541),2)=1,IF(MOD(IF(INT(($A826-1)/70)+1&gt;CROQUIS_DATOS!$C$1525,70,MOD($A826-1,70)+1)-2,2)=0,0,1),IF(MOD(IF(INT(($A826-1)/70)+1&gt;CROQUIS_DATOS!$C$1525,70,MOD($A826-1,70)+1)-2,2)=0,1,0))))=0,(INDEX($E$8:$E$23,MIN(INT(($A826-1)/70)+1,CROQUIS_DATOS!$C$1525))-INDEX($F$8:$F$23,MIN(INT(($A826-1)/70)+1,CROQUIS_DATOS!$C$1525))/2),(INDEX($E$8:$E$23,MIN(INT(($A826-1)/70)+1,CROQUIS_DATOS!$C$1525))+INDEX($F$8:$F$23,MIN(INT(($A826-1)/70)+1,CROQUIS_DATOS!$C$1525))/2)))*CROQUIS_DATOS!$C$1562),-1000)</f>
        <v>82.8189655172414</v>
      </c>
      <c r="O826">
        <f>IF(AND(CROQUIS_DATOS!$C$1472=1,1),(CROQUIS_DATOS!$C$1564+(IF(OR(IF(INT(($A826-1)/70)+1&gt;CROQUIS_DATOS!$C$1525,70,MOD($A826-1,70)+1)=1,IF(INT(($A826-1)/70)+1&gt;CROQUIS_DATOS!$C$1525,70,MOD($A826-1,70)+1)&gt;2*CROQUIS_DATOS!$C$1541+1),CROQUIS_DATOS!$C$1476,INDEX($H$8:$H$41,MIN(INT((IF(INT(($A826-1)/70)+1&gt;CROQUIS_DATOS!$C$1525,70,MOD($A826-1,70)+1)-2)/2)+1,CROQUIS_DATOS!$C$1541))))*CROQUIS_DATOS!$C$1561*CROQUIS_DATOS!$C$1562),-1000)</f>
        <v>40.2068965517241</v>
      </c>
    </row>
    <row r="827">
      <c r="A827" t="n">
        <v>820</v>
      </c>
      <c r="N827">
        <f>IF(AND(CROQUIS_DATOS!$C$1472=1,1),(CROQUIS_DATOS!$C$1563+(IF(IF(IF(INT(($A827-1)/70)+1&gt;CROQUIS_DATOS!$C$1525,70,MOD($A827-1,70)+1)=1,0,IF(IF(INT(($A827-1)/70)+1&gt;CROQUIS_DATOS!$C$1525,70,MOD($A827-1,70)+1)&gt;2*CROQUIS_DATOS!$C$1541+1,IF(MOD(CROQUIS_DATOS!$C$1541,2)=1,1,0),IF(MOD(MIN(INT((IF(INT(($A827-1)/70)+1&gt;CROQUIS_DATOS!$C$1525,70,MOD($A827-1,70)+1)-2)/2)+1,CROQUIS_DATOS!$C$1541),2)=1,IF(MOD(IF(INT(($A827-1)/70)+1&gt;CROQUIS_DATOS!$C$1525,70,MOD($A827-1,70)+1)-2,2)=0,0,1),IF(MOD(IF(INT(($A827-1)/70)+1&gt;CROQUIS_DATOS!$C$1525,70,MOD($A827-1,70)+1)-2,2)=0,1,0))))=0,(INDEX($E$8:$E$23,MIN(INT(($A827-1)/70)+1,CROQUIS_DATOS!$C$1525))-INDEX($F$8:$F$23,MIN(INT(($A827-1)/70)+1,CROQUIS_DATOS!$C$1525))/2),(INDEX($E$8:$E$23,MIN(INT(($A827-1)/70)+1,CROQUIS_DATOS!$C$1525))+INDEX($F$8:$F$23,MIN(INT(($A827-1)/70)+1,CROQUIS_DATOS!$C$1525))/2)))*CROQUIS_DATOS!$C$1562),-1000)</f>
        <v>82.8189655172414</v>
      </c>
      <c r="O827">
        <f>IF(AND(CROQUIS_DATOS!$C$1472=1,1),(CROQUIS_DATOS!$C$1564+(IF(OR(IF(INT(($A827-1)/70)+1&gt;CROQUIS_DATOS!$C$1525,70,MOD($A827-1,70)+1)=1,IF(INT(($A827-1)/70)+1&gt;CROQUIS_DATOS!$C$1525,70,MOD($A827-1,70)+1)&gt;2*CROQUIS_DATOS!$C$1541+1),CROQUIS_DATOS!$C$1476,INDEX($H$8:$H$41,MIN(INT((IF(INT(($A827-1)/70)+1&gt;CROQUIS_DATOS!$C$1525,70,MOD($A827-1,70)+1)-2)/2)+1,CROQUIS_DATOS!$C$1541))))*CROQUIS_DATOS!$C$1561*CROQUIS_DATOS!$C$1562),-1000)</f>
        <v>40.2068965517241</v>
      </c>
    </row>
    <row r="828">
      <c r="A828" t="n">
        <v>821</v>
      </c>
      <c r="N828">
        <f>IF(AND(CROQUIS_DATOS!$C$1472=1,1),(CROQUIS_DATOS!$C$1563+(IF(IF(IF(INT(($A828-1)/70)+1&gt;CROQUIS_DATOS!$C$1525,70,MOD($A828-1,70)+1)=1,0,IF(IF(INT(($A828-1)/70)+1&gt;CROQUIS_DATOS!$C$1525,70,MOD($A828-1,70)+1)&gt;2*CROQUIS_DATOS!$C$1541+1,IF(MOD(CROQUIS_DATOS!$C$1541,2)=1,1,0),IF(MOD(MIN(INT((IF(INT(($A828-1)/70)+1&gt;CROQUIS_DATOS!$C$1525,70,MOD($A828-1,70)+1)-2)/2)+1,CROQUIS_DATOS!$C$1541),2)=1,IF(MOD(IF(INT(($A828-1)/70)+1&gt;CROQUIS_DATOS!$C$1525,70,MOD($A828-1,70)+1)-2,2)=0,0,1),IF(MOD(IF(INT(($A828-1)/70)+1&gt;CROQUIS_DATOS!$C$1525,70,MOD($A828-1,70)+1)-2,2)=0,1,0))))=0,(INDEX($E$8:$E$23,MIN(INT(($A828-1)/70)+1,CROQUIS_DATOS!$C$1525))-INDEX($F$8:$F$23,MIN(INT(($A828-1)/70)+1,CROQUIS_DATOS!$C$1525))/2),(INDEX($E$8:$E$23,MIN(INT(($A828-1)/70)+1,CROQUIS_DATOS!$C$1525))+INDEX($F$8:$F$23,MIN(INT(($A828-1)/70)+1,CROQUIS_DATOS!$C$1525))/2)))*CROQUIS_DATOS!$C$1562),-1000)</f>
        <v>82.8189655172414</v>
      </c>
      <c r="O828">
        <f>IF(AND(CROQUIS_DATOS!$C$1472=1,1),(CROQUIS_DATOS!$C$1564+(IF(OR(IF(INT(($A828-1)/70)+1&gt;CROQUIS_DATOS!$C$1525,70,MOD($A828-1,70)+1)=1,IF(INT(($A828-1)/70)+1&gt;CROQUIS_DATOS!$C$1525,70,MOD($A828-1,70)+1)&gt;2*CROQUIS_DATOS!$C$1541+1),CROQUIS_DATOS!$C$1476,INDEX($H$8:$H$41,MIN(INT((IF(INT(($A828-1)/70)+1&gt;CROQUIS_DATOS!$C$1525,70,MOD($A828-1,70)+1)-2)/2)+1,CROQUIS_DATOS!$C$1541))))*CROQUIS_DATOS!$C$1561*CROQUIS_DATOS!$C$1562),-1000)</f>
        <v>40.2068965517241</v>
      </c>
    </row>
    <row r="829">
      <c r="A829" t="n">
        <v>822</v>
      </c>
      <c r="N829">
        <f>IF(AND(CROQUIS_DATOS!$C$1472=1,1),(CROQUIS_DATOS!$C$1563+(IF(IF(IF(INT(($A829-1)/70)+1&gt;CROQUIS_DATOS!$C$1525,70,MOD($A829-1,70)+1)=1,0,IF(IF(INT(($A829-1)/70)+1&gt;CROQUIS_DATOS!$C$1525,70,MOD($A829-1,70)+1)&gt;2*CROQUIS_DATOS!$C$1541+1,IF(MOD(CROQUIS_DATOS!$C$1541,2)=1,1,0),IF(MOD(MIN(INT((IF(INT(($A829-1)/70)+1&gt;CROQUIS_DATOS!$C$1525,70,MOD($A829-1,70)+1)-2)/2)+1,CROQUIS_DATOS!$C$1541),2)=1,IF(MOD(IF(INT(($A829-1)/70)+1&gt;CROQUIS_DATOS!$C$1525,70,MOD($A829-1,70)+1)-2,2)=0,0,1),IF(MOD(IF(INT(($A829-1)/70)+1&gt;CROQUIS_DATOS!$C$1525,70,MOD($A829-1,70)+1)-2,2)=0,1,0))))=0,(INDEX($E$8:$E$23,MIN(INT(($A829-1)/70)+1,CROQUIS_DATOS!$C$1525))-INDEX($F$8:$F$23,MIN(INT(($A829-1)/70)+1,CROQUIS_DATOS!$C$1525))/2),(INDEX($E$8:$E$23,MIN(INT(($A829-1)/70)+1,CROQUIS_DATOS!$C$1525))+INDEX($F$8:$F$23,MIN(INT(($A829-1)/70)+1,CROQUIS_DATOS!$C$1525))/2)))*CROQUIS_DATOS!$C$1562),-1000)</f>
        <v>82.8189655172414</v>
      </c>
      <c r="O829">
        <f>IF(AND(CROQUIS_DATOS!$C$1472=1,1),(CROQUIS_DATOS!$C$1564+(IF(OR(IF(INT(($A829-1)/70)+1&gt;CROQUIS_DATOS!$C$1525,70,MOD($A829-1,70)+1)=1,IF(INT(($A829-1)/70)+1&gt;CROQUIS_DATOS!$C$1525,70,MOD($A829-1,70)+1)&gt;2*CROQUIS_DATOS!$C$1541+1),CROQUIS_DATOS!$C$1476,INDEX($H$8:$H$41,MIN(INT((IF(INT(($A829-1)/70)+1&gt;CROQUIS_DATOS!$C$1525,70,MOD($A829-1,70)+1)-2)/2)+1,CROQUIS_DATOS!$C$1541))))*CROQUIS_DATOS!$C$1561*CROQUIS_DATOS!$C$1562),-1000)</f>
        <v>40.2068965517241</v>
      </c>
    </row>
    <row r="830">
      <c r="A830" t="n">
        <v>823</v>
      </c>
      <c r="N830">
        <f>IF(AND(CROQUIS_DATOS!$C$1472=1,1),(CROQUIS_DATOS!$C$1563+(IF(IF(IF(INT(($A830-1)/70)+1&gt;CROQUIS_DATOS!$C$1525,70,MOD($A830-1,70)+1)=1,0,IF(IF(INT(($A830-1)/70)+1&gt;CROQUIS_DATOS!$C$1525,70,MOD($A830-1,70)+1)&gt;2*CROQUIS_DATOS!$C$1541+1,IF(MOD(CROQUIS_DATOS!$C$1541,2)=1,1,0),IF(MOD(MIN(INT((IF(INT(($A830-1)/70)+1&gt;CROQUIS_DATOS!$C$1525,70,MOD($A830-1,70)+1)-2)/2)+1,CROQUIS_DATOS!$C$1541),2)=1,IF(MOD(IF(INT(($A830-1)/70)+1&gt;CROQUIS_DATOS!$C$1525,70,MOD($A830-1,70)+1)-2,2)=0,0,1),IF(MOD(IF(INT(($A830-1)/70)+1&gt;CROQUIS_DATOS!$C$1525,70,MOD($A830-1,70)+1)-2,2)=0,1,0))))=0,(INDEX($E$8:$E$23,MIN(INT(($A830-1)/70)+1,CROQUIS_DATOS!$C$1525))-INDEX($F$8:$F$23,MIN(INT(($A830-1)/70)+1,CROQUIS_DATOS!$C$1525))/2),(INDEX($E$8:$E$23,MIN(INT(($A830-1)/70)+1,CROQUIS_DATOS!$C$1525))+INDEX($F$8:$F$23,MIN(INT(($A830-1)/70)+1,CROQUIS_DATOS!$C$1525))/2)))*CROQUIS_DATOS!$C$1562),-1000)</f>
        <v>82.8189655172414</v>
      </c>
      <c r="O830">
        <f>IF(AND(CROQUIS_DATOS!$C$1472=1,1),(CROQUIS_DATOS!$C$1564+(IF(OR(IF(INT(($A830-1)/70)+1&gt;CROQUIS_DATOS!$C$1525,70,MOD($A830-1,70)+1)=1,IF(INT(($A830-1)/70)+1&gt;CROQUIS_DATOS!$C$1525,70,MOD($A830-1,70)+1)&gt;2*CROQUIS_DATOS!$C$1541+1),CROQUIS_DATOS!$C$1476,INDEX($H$8:$H$41,MIN(INT((IF(INT(($A830-1)/70)+1&gt;CROQUIS_DATOS!$C$1525,70,MOD($A830-1,70)+1)-2)/2)+1,CROQUIS_DATOS!$C$1541))))*CROQUIS_DATOS!$C$1561*CROQUIS_DATOS!$C$1562),-1000)</f>
        <v>40.2068965517241</v>
      </c>
    </row>
    <row r="831">
      <c r="A831" t="n">
        <v>824</v>
      </c>
      <c r="N831">
        <f>IF(AND(CROQUIS_DATOS!$C$1472=1,1),(CROQUIS_DATOS!$C$1563+(IF(IF(IF(INT(($A831-1)/70)+1&gt;CROQUIS_DATOS!$C$1525,70,MOD($A831-1,70)+1)=1,0,IF(IF(INT(($A831-1)/70)+1&gt;CROQUIS_DATOS!$C$1525,70,MOD($A831-1,70)+1)&gt;2*CROQUIS_DATOS!$C$1541+1,IF(MOD(CROQUIS_DATOS!$C$1541,2)=1,1,0),IF(MOD(MIN(INT((IF(INT(($A831-1)/70)+1&gt;CROQUIS_DATOS!$C$1525,70,MOD($A831-1,70)+1)-2)/2)+1,CROQUIS_DATOS!$C$1541),2)=1,IF(MOD(IF(INT(($A831-1)/70)+1&gt;CROQUIS_DATOS!$C$1525,70,MOD($A831-1,70)+1)-2,2)=0,0,1),IF(MOD(IF(INT(($A831-1)/70)+1&gt;CROQUIS_DATOS!$C$1525,70,MOD($A831-1,70)+1)-2,2)=0,1,0))))=0,(INDEX($E$8:$E$23,MIN(INT(($A831-1)/70)+1,CROQUIS_DATOS!$C$1525))-INDEX($F$8:$F$23,MIN(INT(($A831-1)/70)+1,CROQUIS_DATOS!$C$1525))/2),(INDEX($E$8:$E$23,MIN(INT(($A831-1)/70)+1,CROQUIS_DATOS!$C$1525))+INDEX($F$8:$F$23,MIN(INT(($A831-1)/70)+1,CROQUIS_DATOS!$C$1525))/2)))*CROQUIS_DATOS!$C$1562),-1000)</f>
        <v>82.8189655172414</v>
      </c>
      <c r="O831">
        <f>IF(AND(CROQUIS_DATOS!$C$1472=1,1),(CROQUIS_DATOS!$C$1564+(IF(OR(IF(INT(($A831-1)/70)+1&gt;CROQUIS_DATOS!$C$1525,70,MOD($A831-1,70)+1)=1,IF(INT(($A831-1)/70)+1&gt;CROQUIS_DATOS!$C$1525,70,MOD($A831-1,70)+1)&gt;2*CROQUIS_DATOS!$C$1541+1),CROQUIS_DATOS!$C$1476,INDEX($H$8:$H$41,MIN(INT((IF(INT(($A831-1)/70)+1&gt;CROQUIS_DATOS!$C$1525,70,MOD($A831-1,70)+1)-2)/2)+1,CROQUIS_DATOS!$C$1541))))*CROQUIS_DATOS!$C$1561*CROQUIS_DATOS!$C$1562),-1000)</f>
        <v>40.2068965517241</v>
      </c>
    </row>
    <row r="832">
      <c r="A832" t="n">
        <v>825</v>
      </c>
      <c r="N832">
        <f>IF(AND(CROQUIS_DATOS!$C$1472=1,1),(CROQUIS_DATOS!$C$1563+(IF(IF(IF(INT(($A832-1)/70)+1&gt;CROQUIS_DATOS!$C$1525,70,MOD($A832-1,70)+1)=1,0,IF(IF(INT(($A832-1)/70)+1&gt;CROQUIS_DATOS!$C$1525,70,MOD($A832-1,70)+1)&gt;2*CROQUIS_DATOS!$C$1541+1,IF(MOD(CROQUIS_DATOS!$C$1541,2)=1,1,0),IF(MOD(MIN(INT((IF(INT(($A832-1)/70)+1&gt;CROQUIS_DATOS!$C$1525,70,MOD($A832-1,70)+1)-2)/2)+1,CROQUIS_DATOS!$C$1541),2)=1,IF(MOD(IF(INT(($A832-1)/70)+1&gt;CROQUIS_DATOS!$C$1525,70,MOD($A832-1,70)+1)-2,2)=0,0,1),IF(MOD(IF(INT(($A832-1)/70)+1&gt;CROQUIS_DATOS!$C$1525,70,MOD($A832-1,70)+1)-2,2)=0,1,0))))=0,(INDEX($E$8:$E$23,MIN(INT(($A832-1)/70)+1,CROQUIS_DATOS!$C$1525))-INDEX($F$8:$F$23,MIN(INT(($A832-1)/70)+1,CROQUIS_DATOS!$C$1525))/2),(INDEX($E$8:$E$23,MIN(INT(($A832-1)/70)+1,CROQUIS_DATOS!$C$1525))+INDEX($F$8:$F$23,MIN(INT(($A832-1)/70)+1,CROQUIS_DATOS!$C$1525))/2)))*CROQUIS_DATOS!$C$1562),-1000)</f>
        <v>82.8189655172414</v>
      </c>
      <c r="O832">
        <f>IF(AND(CROQUIS_DATOS!$C$1472=1,1),(CROQUIS_DATOS!$C$1564+(IF(OR(IF(INT(($A832-1)/70)+1&gt;CROQUIS_DATOS!$C$1525,70,MOD($A832-1,70)+1)=1,IF(INT(($A832-1)/70)+1&gt;CROQUIS_DATOS!$C$1525,70,MOD($A832-1,70)+1)&gt;2*CROQUIS_DATOS!$C$1541+1),CROQUIS_DATOS!$C$1476,INDEX($H$8:$H$41,MIN(INT((IF(INT(($A832-1)/70)+1&gt;CROQUIS_DATOS!$C$1525,70,MOD($A832-1,70)+1)-2)/2)+1,CROQUIS_DATOS!$C$1541))))*CROQUIS_DATOS!$C$1561*CROQUIS_DATOS!$C$1562),-1000)</f>
        <v>40.2068965517241</v>
      </c>
    </row>
    <row r="833">
      <c r="A833" t="n">
        <v>826</v>
      </c>
      <c r="N833">
        <f>IF(AND(CROQUIS_DATOS!$C$1472=1,1),(CROQUIS_DATOS!$C$1563+(IF(IF(IF(INT(($A833-1)/70)+1&gt;CROQUIS_DATOS!$C$1525,70,MOD($A833-1,70)+1)=1,0,IF(IF(INT(($A833-1)/70)+1&gt;CROQUIS_DATOS!$C$1525,70,MOD($A833-1,70)+1)&gt;2*CROQUIS_DATOS!$C$1541+1,IF(MOD(CROQUIS_DATOS!$C$1541,2)=1,1,0),IF(MOD(MIN(INT((IF(INT(($A833-1)/70)+1&gt;CROQUIS_DATOS!$C$1525,70,MOD($A833-1,70)+1)-2)/2)+1,CROQUIS_DATOS!$C$1541),2)=1,IF(MOD(IF(INT(($A833-1)/70)+1&gt;CROQUIS_DATOS!$C$1525,70,MOD($A833-1,70)+1)-2,2)=0,0,1),IF(MOD(IF(INT(($A833-1)/70)+1&gt;CROQUIS_DATOS!$C$1525,70,MOD($A833-1,70)+1)-2,2)=0,1,0))))=0,(INDEX($E$8:$E$23,MIN(INT(($A833-1)/70)+1,CROQUIS_DATOS!$C$1525))-INDEX($F$8:$F$23,MIN(INT(($A833-1)/70)+1,CROQUIS_DATOS!$C$1525))/2),(INDEX($E$8:$E$23,MIN(INT(($A833-1)/70)+1,CROQUIS_DATOS!$C$1525))+INDEX($F$8:$F$23,MIN(INT(($A833-1)/70)+1,CROQUIS_DATOS!$C$1525))/2)))*CROQUIS_DATOS!$C$1562),-1000)</f>
        <v>82.8189655172414</v>
      </c>
      <c r="O833">
        <f>IF(AND(CROQUIS_DATOS!$C$1472=1,1),(CROQUIS_DATOS!$C$1564+(IF(OR(IF(INT(($A833-1)/70)+1&gt;CROQUIS_DATOS!$C$1525,70,MOD($A833-1,70)+1)=1,IF(INT(($A833-1)/70)+1&gt;CROQUIS_DATOS!$C$1525,70,MOD($A833-1,70)+1)&gt;2*CROQUIS_DATOS!$C$1541+1),CROQUIS_DATOS!$C$1476,INDEX($H$8:$H$41,MIN(INT((IF(INT(($A833-1)/70)+1&gt;CROQUIS_DATOS!$C$1525,70,MOD($A833-1,70)+1)-2)/2)+1,CROQUIS_DATOS!$C$1541))))*CROQUIS_DATOS!$C$1561*CROQUIS_DATOS!$C$1562),-1000)</f>
        <v>40.2068965517241</v>
      </c>
    </row>
    <row r="834">
      <c r="A834" t="n">
        <v>827</v>
      </c>
      <c r="N834">
        <f>IF(AND(CROQUIS_DATOS!$C$1472=1,1),(CROQUIS_DATOS!$C$1563+(IF(IF(IF(INT(($A834-1)/70)+1&gt;CROQUIS_DATOS!$C$1525,70,MOD($A834-1,70)+1)=1,0,IF(IF(INT(($A834-1)/70)+1&gt;CROQUIS_DATOS!$C$1525,70,MOD($A834-1,70)+1)&gt;2*CROQUIS_DATOS!$C$1541+1,IF(MOD(CROQUIS_DATOS!$C$1541,2)=1,1,0),IF(MOD(MIN(INT((IF(INT(($A834-1)/70)+1&gt;CROQUIS_DATOS!$C$1525,70,MOD($A834-1,70)+1)-2)/2)+1,CROQUIS_DATOS!$C$1541),2)=1,IF(MOD(IF(INT(($A834-1)/70)+1&gt;CROQUIS_DATOS!$C$1525,70,MOD($A834-1,70)+1)-2,2)=0,0,1),IF(MOD(IF(INT(($A834-1)/70)+1&gt;CROQUIS_DATOS!$C$1525,70,MOD($A834-1,70)+1)-2,2)=0,1,0))))=0,(INDEX($E$8:$E$23,MIN(INT(($A834-1)/70)+1,CROQUIS_DATOS!$C$1525))-INDEX($F$8:$F$23,MIN(INT(($A834-1)/70)+1,CROQUIS_DATOS!$C$1525))/2),(INDEX($E$8:$E$23,MIN(INT(($A834-1)/70)+1,CROQUIS_DATOS!$C$1525))+INDEX($F$8:$F$23,MIN(INT(($A834-1)/70)+1,CROQUIS_DATOS!$C$1525))/2)))*CROQUIS_DATOS!$C$1562),-1000)</f>
        <v>82.8189655172414</v>
      </c>
      <c r="O834">
        <f>IF(AND(CROQUIS_DATOS!$C$1472=1,1),(CROQUIS_DATOS!$C$1564+(IF(OR(IF(INT(($A834-1)/70)+1&gt;CROQUIS_DATOS!$C$1525,70,MOD($A834-1,70)+1)=1,IF(INT(($A834-1)/70)+1&gt;CROQUIS_DATOS!$C$1525,70,MOD($A834-1,70)+1)&gt;2*CROQUIS_DATOS!$C$1541+1),CROQUIS_DATOS!$C$1476,INDEX($H$8:$H$41,MIN(INT((IF(INT(($A834-1)/70)+1&gt;CROQUIS_DATOS!$C$1525,70,MOD($A834-1,70)+1)-2)/2)+1,CROQUIS_DATOS!$C$1541))))*CROQUIS_DATOS!$C$1561*CROQUIS_DATOS!$C$1562),-1000)</f>
        <v>40.2068965517241</v>
      </c>
    </row>
    <row r="835">
      <c r="A835" t="n">
        <v>828</v>
      </c>
      <c r="N835">
        <f>IF(AND(CROQUIS_DATOS!$C$1472=1,1),(CROQUIS_DATOS!$C$1563+(IF(IF(IF(INT(($A835-1)/70)+1&gt;CROQUIS_DATOS!$C$1525,70,MOD($A835-1,70)+1)=1,0,IF(IF(INT(($A835-1)/70)+1&gt;CROQUIS_DATOS!$C$1525,70,MOD($A835-1,70)+1)&gt;2*CROQUIS_DATOS!$C$1541+1,IF(MOD(CROQUIS_DATOS!$C$1541,2)=1,1,0),IF(MOD(MIN(INT((IF(INT(($A835-1)/70)+1&gt;CROQUIS_DATOS!$C$1525,70,MOD($A835-1,70)+1)-2)/2)+1,CROQUIS_DATOS!$C$1541),2)=1,IF(MOD(IF(INT(($A835-1)/70)+1&gt;CROQUIS_DATOS!$C$1525,70,MOD($A835-1,70)+1)-2,2)=0,0,1),IF(MOD(IF(INT(($A835-1)/70)+1&gt;CROQUIS_DATOS!$C$1525,70,MOD($A835-1,70)+1)-2,2)=0,1,0))))=0,(INDEX($E$8:$E$23,MIN(INT(($A835-1)/70)+1,CROQUIS_DATOS!$C$1525))-INDEX($F$8:$F$23,MIN(INT(($A835-1)/70)+1,CROQUIS_DATOS!$C$1525))/2),(INDEX($E$8:$E$23,MIN(INT(($A835-1)/70)+1,CROQUIS_DATOS!$C$1525))+INDEX($F$8:$F$23,MIN(INT(($A835-1)/70)+1,CROQUIS_DATOS!$C$1525))/2)))*CROQUIS_DATOS!$C$1562),-1000)</f>
        <v>82.8189655172414</v>
      </c>
      <c r="O835">
        <f>IF(AND(CROQUIS_DATOS!$C$1472=1,1),(CROQUIS_DATOS!$C$1564+(IF(OR(IF(INT(($A835-1)/70)+1&gt;CROQUIS_DATOS!$C$1525,70,MOD($A835-1,70)+1)=1,IF(INT(($A835-1)/70)+1&gt;CROQUIS_DATOS!$C$1525,70,MOD($A835-1,70)+1)&gt;2*CROQUIS_DATOS!$C$1541+1),CROQUIS_DATOS!$C$1476,INDEX($H$8:$H$41,MIN(INT((IF(INT(($A835-1)/70)+1&gt;CROQUIS_DATOS!$C$1525,70,MOD($A835-1,70)+1)-2)/2)+1,CROQUIS_DATOS!$C$1541))))*CROQUIS_DATOS!$C$1561*CROQUIS_DATOS!$C$1562),-1000)</f>
        <v>40.2068965517241</v>
      </c>
    </row>
    <row r="836">
      <c r="A836" t="n">
        <v>829</v>
      </c>
      <c r="N836">
        <f>IF(AND(CROQUIS_DATOS!$C$1472=1,1),(CROQUIS_DATOS!$C$1563+(IF(IF(IF(INT(($A836-1)/70)+1&gt;CROQUIS_DATOS!$C$1525,70,MOD($A836-1,70)+1)=1,0,IF(IF(INT(($A836-1)/70)+1&gt;CROQUIS_DATOS!$C$1525,70,MOD($A836-1,70)+1)&gt;2*CROQUIS_DATOS!$C$1541+1,IF(MOD(CROQUIS_DATOS!$C$1541,2)=1,1,0),IF(MOD(MIN(INT((IF(INT(($A836-1)/70)+1&gt;CROQUIS_DATOS!$C$1525,70,MOD($A836-1,70)+1)-2)/2)+1,CROQUIS_DATOS!$C$1541),2)=1,IF(MOD(IF(INT(($A836-1)/70)+1&gt;CROQUIS_DATOS!$C$1525,70,MOD($A836-1,70)+1)-2,2)=0,0,1),IF(MOD(IF(INT(($A836-1)/70)+1&gt;CROQUIS_DATOS!$C$1525,70,MOD($A836-1,70)+1)-2,2)=0,1,0))))=0,(INDEX($E$8:$E$23,MIN(INT(($A836-1)/70)+1,CROQUIS_DATOS!$C$1525))-INDEX($F$8:$F$23,MIN(INT(($A836-1)/70)+1,CROQUIS_DATOS!$C$1525))/2),(INDEX($E$8:$E$23,MIN(INT(($A836-1)/70)+1,CROQUIS_DATOS!$C$1525))+INDEX($F$8:$F$23,MIN(INT(($A836-1)/70)+1,CROQUIS_DATOS!$C$1525))/2)))*CROQUIS_DATOS!$C$1562),-1000)</f>
        <v>82.8189655172414</v>
      </c>
      <c r="O836">
        <f>IF(AND(CROQUIS_DATOS!$C$1472=1,1),(CROQUIS_DATOS!$C$1564+(IF(OR(IF(INT(($A836-1)/70)+1&gt;CROQUIS_DATOS!$C$1525,70,MOD($A836-1,70)+1)=1,IF(INT(($A836-1)/70)+1&gt;CROQUIS_DATOS!$C$1525,70,MOD($A836-1,70)+1)&gt;2*CROQUIS_DATOS!$C$1541+1),CROQUIS_DATOS!$C$1476,INDEX($H$8:$H$41,MIN(INT((IF(INT(($A836-1)/70)+1&gt;CROQUIS_DATOS!$C$1525,70,MOD($A836-1,70)+1)-2)/2)+1,CROQUIS_DATOS!$C$1541))))*CROQUIS_DATOS!$C$1561*CROQUIS_DATOS!$C$1562),-1000)</f>
        <v>40.2068965517241</v>
      </c>
    </row>
    <row r="837">
      <c r="A837" t="n">
        <v>830</v>
      </c>
      <c r="N837">
        <f>IF(AND(CROQUIS_DATOS!$C$1472=1,1),(CROQUIS_DATOS!$C$1563+(IF(IF(IF(INT(($A837-1)/70)+1&gt;CROQUIS_DATOS!$C$1525,70,MOD($A837-1,70)+1)=1,0,IF(IF(INT(($A837-1)/70)+1&gt;CROQUIS_DATOS!$C$1525,70,MOD($A837-1,70)+1)&gt;2*CROQUIS_DATOS!$C$1541+1,IF(MOD(CROQUIS_DATOS!$C$1541,2)=1,1,0),IF(MOD(MIN(INT((IF(INT(($A837-1)/70)+1&gt;CROQUIS_DATOS!$C$1525,70,MOD($A837-1,70)+1)-2)/2)+1,CROQUIS_DATOS!$C$1541),2)=1,IF(MOD(IF(INT(($A837-1)/70)+1&gt;CROQUIS_DATOS!$C$1525,70,MOD($A837-1,70)+1)-2,2)=0,0,1),IF(MOD(IF(INT(($A837-1)/70)+1&gt;CROQUIS_DATOS!$C$1525,70,MOD($A837-1,70)+1)-2,2)=0,1,0))))=0,(INDEX($E$8:$E$23,MIN(INT(($A837-1)/70)+1,CROQUIS_DATOS!$C$1525))-INDEX($F$8:$F$23,MIN(INT(($A837-1)/70)+1,CROQUIS_DATOS!$C$1525))/2),(INDEX($E$8:$E$23,MIN(INT(($A837-1)/70)+1,CROQUIS_DATOS!$C$1525))+INDEX($F$8:$F$23,MIN(INT(($A837-1)/70)+1,CROQUIS_DATOS!$C$1525))/2)))*CROQUIS_DATOS!$C$1562),-1000)</f>
        <v>82.8189655172414</v>
      </c>
      <c r="O837">
        <f>IF(AND(CROQUIS_DATOS!$C$1472=1,1),(CROQUIS_DATOS!$C$1564+(IF(OR(IF(INT(($A837-1)/70)+1&gt;CROQUIS_DATOS!$C$1525,70,MOD($A837-1,70)+1)=1,IF(INT(($A837-1)/70)+1&gt;CROQUIS_DATOS!$C$1525,70,MOD($A837-1,70)+1)&gt;2*CROQUIS_DATOS!$C$1541+1),CROQUIS_DATOS!$C$1476,INDEX($H$8:$H$41,MIN(INT((IF(INT(($A837-1)/70)+1&gt;CROQUIS_DATOS!$C$1525,70,MOD($A837-1,70)+1)-2)/2)+1,CROQUIS_DATOS!$C$1541))))*CROQUIS_DATOS!$C$1561*CROQUIS_DATOS!$C$1562),-1000)</f>
        <v>40.2068965517241</v>
      </c>
    </row>
    <row r="838">
      <c r="A838" t="n">
        <v>831</v>
      </c>
      <c r="N838">
        <f>IF(AND(CROQUIS_DATOS!$C$1472=1,1),(CROQUIS_DATOS!$C$1563+(IF(IF(IF(INT(($A838-1)/70)+1&gt;CROQUIS_DATOS!$C$1525,70,MOD($A838-1,70)+1)=1,0,IF(IF(INT(($A838-1)/70)+1&gt;CROQUIS_DATOS!$C$1525,70,MOD($A838-1,70)+1)&gt;2*CROQUIS_DATOS!$C$1541+1,IF(MOD(CROQUIS_DATOS!$C$1541,2)=1,1,0),IF(MOD(MIN(INT((IF(INT(($A838-1)/70)+1&gt;CROQUIS_DATOS!$C$1525,70,MOD($A838-1,70)+1)-2)/2)+1,CROQUIS_DATOS!$C$1541),2)=1,IF(MOD(IF(INT(($A838-1)/70)+1&gt;CROQUIS_DATOS!$C$1525,70,MOD($A838-1,70)+1)-2,2)=0,0,1),IF(MOD(IF(INT(($A838-1)/70)+1&gt;CROQUIS_DATOS!$C$1525,70,MOD($A838-1,70)+1)-2,2)=0,1,0))))=0,(INDEX($E$8:$E$23,MIN(INT(($A838-1)/70)+1,CROQUIS_DATOS!$C$1525))-INDEX($F$8:$F$23,MIN(INT(($A838-1)/70)+1,CROQUIS_DATOS!$C$1525))/2),(INDEX($E$8:$E$23,MIN(INT(($A838-1)/70)+1,CROQUIS_DATOS!$C$1525))+INDEX($F$8:$F$23,MIN(INT(($A838-1)/70)+1,CROQUIS_DATOS!$C$1525))/2)))*CROQUIS_DATOS!$C$1562),-1000)</f>
        <v>82.8189655172414</v>
      </c>
      <c r="O838">
        <f>IF(AND(CROQUIS_DATOS!$C$1472=1,1),(CROQUIS_DATOS!$C$1564+(IF(OR(IF(INT(($A838-1)/70)+1&gt;CROQUIS_DATOS!$C$1525,70,MOD($A838-1,70)+1)=1,IF(INT(($A838-1)/70)+1&gt;CROQUIS_DATOS!$C$1525,70,MOD($A838-1,70)+1)&gt;2*CROQUIS_DATOS!$C$1541+1),CROQUIS_DATOS!$C$1476,INDEX($H$8:$H$41,MIN(INT((IF(INT(($A838-1)/70)+1&gt;CROQUIS_DATOS!$C$1525,70,MOD($A838-1,70)+1)-2)/2)+1,CROQUIS_DATOS!$C$1541))))*CROQUIS_DATOS!$C$1561*CROQUIS_DATOS!$C$1562),-1000)</f>
        <v>40.2068965517241</v>
      </c>
    </row>
    <row r="839">
      <c r="A839" t="n">
        <v>832</v>
      </c>
      <c r="N839">
        <f>IF(AND(CROQUIS_DATOS!$C$1472=1,1),(CROQUIS_DATOS!$C$1563+(IF(IF(IF(INT(($A839-1)/70)+1&gt;CROQUIS_DATOS!$C$1525,70,MOD($A839-1,70)+1)=1,0,IF(IF(INT(($A839-1)/70)+1&gt;CROQUIS_DATOS!$C$1525,70,MOD($A839-1,70)+1)&gt;2*CROQUIS_DATOS!$C$1541+1,IF(MOD(CROQUIS_DATOS!$C$1541,2)=1,1,0),IF(MOD(MIN(INT((IF(INT(($A839-1)/70)+1&gt;CROQUIS_DATOS!$C$1525,70,MOD($A839-1,70)+1)-2)/2)+1,CROQUIS_DATOS!$C$1541),2)=1,IF(MOD(IF(INT(($A839-1)/70)+1&gt;CROQUIS_DATOS!$C$1525,70,MOD($A839-1,70)+1)-2,2)=0,0,1),IF(MOD(IF(INT(($A839-1)/70)+1&gt;CROQUIS_DATOS!$C$1525,70,MOD($A839-1,70)+1)-2,2)=0,1,0))))=0,(INDEX($E$8:$E$23,MIN(INT(($A839-1)/70)+1,CROQUIS_DATOS!$C$1525))-INDEX($F$8:$F$23,MIN(INT(($A839-1)/70)+1,CROQUIS_DATOS!$C$1525))/2),(INDEX($E$8:$E$23,MIN(INT(($A839-1)/70)+1,CROQUIS_DATOS!$C$1525))+INDEX($F$8:$F$23,MIN(INT(($A839-1)/70)+1,CROQUIS_DATOS!$C$1525))/2)))*CROQUIS_DATOS!$C$1562),-1000)</f>
        <v>82.8189655172414</v>
      </c>
      <c r="O839">
        <f>IF(AND(CROQUIS_DATOS!$C$1472=1,1),(CROQUIS_DATOS!$C$1564+(IF(OR(IF(INT(($A839-1)/70)+1&gt;CROQUIS_DATOS!$C$1525,70,MOD($A839-1,70)+1)=1,IF(INT(($A839-1)/70)+1&gt;CROQUIS_DATOS!$C$1525,70,MOD($A839-1,70)+1)&gt;2*CROQUIS_DATOS!$C$1541+1),CROQUIS_DATOS!$C$1476,INDEX($H$8:$H$41,MIN(INT((IF(INT(($A839-1)/70)+1&gt;CROQUIS_DATOS!$C$1525,70,MOD($A839-1,70)+1)-2)/2)+1,CROQUIS_DATOS!$C$1541))))*CROQUIS_DATOS!$C$1561*CROQUIS_DATOS!$C$1562),-1000)</f>
        <v>40.2068965517241</v>
      </c>
    </row>
    <row r="840">
      <c r="A840" t="n">
        <v>833</v>
      </c>
      <c r="N840">
        <f>IF(AND(CROQUIS_DATOS!$C$1472=1,1),(CROQUIS_DATOS!$C$1563+(IF(IF(IF(INT(($A840-1)/70)+1&gt;CROQUIS_DATOS!$C$1525,70,MOD($A840-1,70)+1)=1,0,IF(IF(INT(($A840-1)/70)+1&gt;CROQUIS_DATOS!$C$1525,70,MOD($A840-1,70)+1)&gt;2*CROQUIS_DATOS!$C$1541+1,IF(MOD(CROQUIS_DATOS!$C$1541,2)=1,1,0),IF(MOD(MIN(INT((IF(INT(($A840-1)/70)+1&gt;CROQUIS_DATOS!$C$1525,70,MOD($A840-1,70)+1)-2)/2)+1,CROQUIS_DATOS!$C$1541),2)=1,IF(MOD(IF(INT(($A840-1)/70)+1&gt;CROQUIS_DATOS!$C$1525,70,MOD($A840-1,70)+1)-2,2)=0,0,1),IF(MOD(IF(INT(($A840-1)/70)+1&gt;CROQUIS_DATOS!$C$1525,70,MOD($A840-1,70)+1)-2,2)=0,1,0))))=0,(INDEX($E$8:$E$23,MIN(INT(($A840-1)/70)+1,CROQUIS_DATOS!$C$1525))-INDEX($F$8:$F$23,MIN(INT(($A840-1)/70)+1,CROQUIS_DATOS!$C$1525))/2),(INDEX($E$8:$E$23,MIN(INT(($A840-1)/70)+1,CROQUIS_DATOS!$C$1525))+INDEX($F$8:$F$23,MIN(INT(($A840-1)/70)+1,CROQUIS_DATOS!$C$1525))/2)))*CROQUIS_DATOS!$C$1562),-1000)</f>
        <v>82.8189655172414</v>
      </c>
      <c r="O840">
        <f>IF(AND(CROQUIS_DATOS!$C$1472=1,1),(CROQUIS_DATOS!$C$1564+(IF(OR(IF(INT(($A840-1)/70)+1&gt;CROQUIS_DATOS!$C$1525,70,MOD($A840-1,70)+1)=1,IF(INT(($A840-1)/70)+1&gt;CROQUIS_DATOS!$C$1525,70,MOD($A840-1,70)+1)&gt;2*CROQUIS_DATOS!$C$1541+1),CROQUIS_DATOS!$C$1476,INDEX($H$8:$H$41,MIN(INT((IF(INT(($A840-1)/70)+1&gt;CROQUIS_DATOS!$C$1525,70,MOD($A840-1,70)+1)-2)/2)+1,CROQUIS_DATOS!$C$1541))))*CROQUIS_DATOS!$C$1561*CROQUIS_DATOS!$C$1562),-1000)</f>
        <v>40.2068965517241</v>
      </c>
    </row>
    <row r="841">
      <c r="A841" t="n">
        <v>834</v>
      </c>
      <c r="N841">
        <f>IF(AND(CROQUIS_DATOS!$C$1472=1,1),(CROQUIS_DATOS!$C$1563+(IF(IF(IF(INT(($A841-1)/70)+1&gt;CROQUIS_DATOS!$C$1525,70,MOD($A841-1,70)+1)=1,0,IF(IF(INT(($A841-1)/70)+1&gt;CROQUIS_DATOS!$C$1525,70,MOD($A841-1,70)+1)&gt;2*CROQUIS_DATOS!$C$1541+1,IF(MOD(CROQUIS_DATOS!$C$1541,2)=1,1,0),IF(MOD(MIN(INT((IF(INT(($A841-1)/70)+1&gt;CROQUIS_DATOS!$C$1525,70,MOD($A841-1,70)+1)-2)/2)+1,CROQUIS_DATOS!$C$1541),2)=1,IF(MOD(IF(INT(($A841-1)/70)+1&gt;CROQUIS_DATOS!$C$1525,70,MOD($A841-1,70)+1)-2,2)=0,0,1),IF(MOD(IF(INT(($A841-1)/70)+1&gt;CROQUIS_DATOS!$C$1525,70,MOD($A841-1,70)+1)-2,2)=0,1,0))))=0,(INDEX($E$8:$E$23,MIN(INT(($A841-1)/70)+1,CROQUIS_DATOS!$C$1525))-INDEX($F$8:$F$23,MIN(INT(($A841-1)/70)+1,CROQUIS_DATOS!$C$1525))/2),(INDEX($E$8:$E$23,MIN(INT(($A841-1)/70)+1,CROQUIS_DATOS!$C$1525))+INDEX($F$8:$F$23,MIN(INT(($A841-1)/70)+1,CROQUIS_DATOS!$C$1525))/2)))*CROQUIS_DATOS!$C$1562),-1000)</f>
        <v>82.8189655172414</v>
      </c>
      <c r="O841">
        <f>IF(AND(CROQUIS_DATOS!$C$1472=1,1),(CROQUIS_DATOS!$C$1564+(IF(OR(IF(INT(($A841-1)/70)+1&gt;CROQUIS_DATOS!$C$1525,70,MOD($A841-1,70)+1)=1,IF(INT(($A841-1)/70)+1&gt;CROQUIS_DATOS!$C$1525,70,MOD($A841-1,70)+1)&gt;2*CROQUIS_DATOS!$C$1541+1),CROQUIS_DATOS!$C$1476,INDEX($H$8:$H$41,MIN(INT((IF(INT(($A841-1)/70)+1&gt;CROQUIS_DATOS!$C$1525,70,MOD($A841-1,70)+1)-2)/2)+1,CROQUIS_DATOS!$C$1541))))*CROQUIS_DATOS!$C$1561*CROQUIS_DATOS!$C$1562),-1000)</f>
        <v>40.2068965517241</v>
      </c>
    </row>
    <row r="842">
      <c r="A842" t="n">
        <v>835</v>
      </c>
      <c r="N842">
        <f>IF(AND(CROQUIS_DATOS!$C$1472=1,1),(CROQUIS_DATOS!$C$1563+(IF(IF(IF(INT(($A842-1)/70)+1&gt;CROQUIS_DATOS!$C$1525,70,MOD($A842-1,70)+1)=1,0,IF(IF(INT(($A842-1)/70)+1&gt;CROQUIS_DATOS!$C$1525,70,MOD($A842-1,70)+1)&gt;2*CROQUIS_DATOS!$C$1541+1,IF(MOD(CROQUIS_DATOS!$C$1541,2)=1,1,0),IF(MOD(MIN(INT((IF(INT(($A842-1)/70)+1&gt;CROQUIS_DATOS!$C$1525,70,MOD($A842-1,70)+1)-2)/2)+1,CROQUIS_DATOS!$C$1541),2)=1,IF(MOD(IF(INT(($A842-1)/70)+1&gt;CROQUIS_DATOS!$C$1525,70,MOD($A842-1,70)+1)-2,2)=0,0,1),IF(MOD(IF(INT(($A842-1)/70)+1&gt;CROQUIS_DATOS!$C$1525,70,MOD($A842-1,70)+1)-2,2)=0,1,0))))=0,(INDEX($E$8:$E$23,MIN(INT(($A842-1)/70)+1,CROQUIS_DATOS!$C$1525))-INDEX($F$8:$F$23,MIN(INT(($A842-1)/70)+1,CROQUIS_DATOS!$C$1525))/2),(INDEX($E$8:$E$23,MIN(INT(($A842-1)/70)+1,CROQUIS_DATOS!$C$1525))+INDEX($F$8:$F$23,MIN(INT(($A842-1)/70)+1,CROQUIS_DATOS!$C$1525))/2)))*CROQUIS_DATOS!$C$1562),-1000)</f>
        <v>82.8189655172414</v>
      </c>
      <c r="O842">
        <f>IF(AND(CROQUIS_DATOS!$C$1472=1,1),(CROQUIS_DATOS!$C$1564+(IF(OR(IF(INT(($A842-1)/70)+1&gt;CROQUIS_DATOS!$C$1525,70,MOD($A842-1,70)+1)=1,IF(INT(($A842-1)/70)+1&gt;CROQUIS_DATOS!$C$1525,70,MOD($A842-1,70)+1)&gt;2*CROQUIS_DATOS!$C$1541+1),CROQUIS_DATOS!$C$1476,INDEX($H$8:$H$41,MIN(INT((IF(INT(($A842-1)/70)+1&gt;CROQUIS_DATOS!$C$1525,70,MOD($A842-1,70)+1)-2)/2)+1,CROQUIS_DATOS!$C$1541))))*CROQUIS_DATOS!$C$1561*CROQUIS_DATOS!$C$1562),-1000)</f>
        <v>40.2068965517241</v>
      </c>
    </row>
    <row r="843">
      <c r="A843" t="n">
        <v>836</v>
      </c>
      <c r="N843">
        <f>IF(AND(CROQUIS_DATOS!$C$1472=1,1),(CROQUIS_DATOS!$C$1563+(IF(IF(IF(INT(($A843-1)/70)+1&gt;CROQUIS_DATOS!$C$1525,70,MOD($A843-1,70)+1)=1,0,IF(IF(INT(($A843-1)/70)+1&gt;CROQUIS_DATOS!$C$1525,70,MOD($A843-1,70)+1)&gt;2*CROQUIS_DATOS!$C$1541+1,IF(MOD(CROQUIS_DATOS!$C$1541,2)=1,1,0),IF(MOD(MIN(INT((IF(INT(($A843-1)/70)+1&gt;CROQUIS_DATOS!$C$1525,70,MOD($A843-1,70)+1)-2)/2)+1,CROQUIS_DATOS!$C$1541),2)=1,IF(MOD(IF(INT(($A843-1)/70)+1&gt;CROQUIS_DATOS!$C$1525,70,MOD($A843-1,70)+1)-2,2)=0,0,1),IF(MOD(IF(INT(($A843-1)/70)+1&gt;CROQUIS_DATOS!$C$1525,70,MOD($A843-1,70)+1)-2,2)=0,1,0))))=0,(INDEX($E$8:$E$23,MIN(INT(($A843-1)/70)+1,CROQUIS_DATOS!$C$1525))-INDEX($F$8:$F$23,MIN(INT(($A843-1)/70)+1,CROQUIS_DATOS!$C$1525))/2),(INDEX($E$8:$E$23,MIN(INT(($A843-1)/70)+1,CROQUIS_DATOS!$C$1525))+INDEX($F$8:$F$23,MIN(INT(($A843-1)/70)+1,CROQUIS_DATOS!$C$1525))/2)))*CROQUIS_DATOS!$C$1562),-1000)</f>
        <v>82.8189655172414</v>
      </c>
      <c r="O843">
        <f>IF(AND(CROQUIS_DATOS!$C$1472=1,1),(CROQUIS_DATOS!$C$1564+(IF(OR(IF(INT(($A843-1)/70)+1&gt;CROQUIS_DATOS!$C$1525,70,MOD($A843-1,70)+1)=1,IF(INT(($A843-1)/70)+1&gt;CROQUIS_DATOS!$C$1525,70,MOD($A843-1,70)+1)&gt;2*CROQUIS_DATOS!$C$1541+1),CROQUIS_DATOS!$C$1476,INDEX($H$8:$H$41,MIN(INT((IF(INT(($A843-1)/70)+1&gt;CROQUIS_DATOS!$C$1525,70,MOD($A843-1,70)+1)-2)/2)+1,CROQUIS_DATOS!$C$1541))))*CROQUIS_DATOS!$C$1561*CROQUIS_DATOS!$C$1562),-1000)</f>
        <v>40.2068965517241</v>
      </c>
    </row>
    <row r="844">
      <c r="A844" t="n">
        <v>837</v>
      </c>
      <c r="N844">
        <f>IF(AND(CROQUIS_DATOS!$C$1472=1,1),(CROQUIS_DATOS!$C$1563+(IF(IF(IF(INT(($A844-1)/70)+1&gt;CROQUIS_DATOS!$C$1525,70,MOD($A844-1,70)+1)=1,0,IF(IF(INT(($A844-1)/70)+1&gt;CROQUIS_DATOS!$C$1525,70,MOD($A844-1,70)+1)&gt;2*CROQUIS_DATOS!$C$1541+1,IF(MOD(CROQUIS_DATOS!$C$1541,2)=1,1,0),IF(MOD(MIN(INT((IF(INT(($A844-1)/70)+1&gt;CROQUIS_DATOS!$C$1525,70,MOD($A844-1,70)+1)-2)/2)+1,CROQUIS_DATOS!$C$1541),2)=1,IF(MOD(IF(INT(($A844-1)/70)+1&gt;CROQUIS_DATOS!$C$1525,70,MOD($A844-1,70)+1)-2,2)=0,0,1),IF(MOD(IF(INT(($A844-1)/70)+1&gt;CROQUIS_DATOS!$C$1525,70,MOD($A844-1,70)+1)-2,2)=0,1,0))))=0,(INDEX($E$8:$E$23,MIN(INT(($A844-1)/70)+1,CROQUIS_DATOS!$C$1525))-INDEX($F$8:$F$23,MIN(INT(($A844-1)/70)+1,CROQUIS_DATOS!$C$1525))/2),(INDEX($E$8:$E$23,MIN(INT(($A844-1)/70)+1,CROQUIS_DATOS!$C$1525))+INDEX($F$8:$F$23,MIN(INT(($A844-1)/70)+1,CROQUIS_DATOS!$C$1525))/2)))*CROQUIS_DATOS!$C$1562),-1000)</f>
        <v>82.8189655172414</v>
      </c>
      <c r="O844">
        <f>IF(AND(CROQUIS_DATOS!$C$1472=1,1),(CROQUIS_DATOS!$C$1564+(IF(OR(IF(INT(($A844-1)/70)+1&gt;CROQUIS_DATOS!$C$1525,70,MOD($A844-1,70)+1)=1,IF(INT(($A844-1)/70)+1&gt;CROQUIS_DATOS!$C$1525,70,MOD($A844-1,70)+1)&gt;2*CROQUIS_DATOS!$C$1541+1),CROQUIS_DATOS!$C$1476,INDEX($H$8:$H$41,MIN(INT((IF(INT(($A844-1)/70)+1&gt;CROQUIS_DATOS!$C$1525,70,MOD($A844-1,70)+1)-2)/2)+1,CROQUIS_DATOS!$C$1541))))*CROQUIS_DATOS!$C$1561*CROQUIS_DATOS!$C$1562),-1000)</f>
        <v>40.2068965517241</v>
      </c>
    </row>
    <row r="845">
      <c r="A845" t="n">
        <v>838</v>
      </c>
      <c r="N845">
        <f>IF(AND(CROQUIS_DATOS!$C$1472=1,1),(CROQUIS_DATOS!$C$1563+(IF(IF(IF(INT(($A845-1)/70)+1&gt;CROQUIS_DATOS!$C$1525,70,MOD($A845-1,70)+1)=1,0,IF(IF(INT(($A845-1)/70)+1&gt;CROQUIS_DATOS!$C$1525,70,MOD($A845-1,70)+1)&gt;2*CROQUIS_DATOS!$C$1541+1,IF(MOD(CROQUIS_DATOS!$C$1541,2)=1,1,0),IF(MOD(MIN(INT((IF(INT(($A845-1)/70)+1&gt;CROQUIS_DATOS!$C$1525,70,MOD($A845-1,70)+1)-2)/2)+1,CROQUIS_DATOS!$C$1541),2)=1,IF(MOD(IF(INT(($A845-1)/70)+1&gt;CROQUIS_DATOS!$C$1525,70,MOD($A845-1,70)+1)-2,2)=0,0,1),IF(MOD(IF(INT(($A845-1)/70)+1&gt;CROQUIS_DATOS!$C$1525,70,MOD($A845-1,70)+1)-2,2)=0,1,0))))=0,(INDEX($E$8:$E$23,MIN(INT(($A845-1)/70)+1,CROQUIS_DATOS!$C$1525))-INDEX($F$8:$F$23,MIN(INT(($A845-1)/70)+1,CROQUIS_DATOS!$C$1525))/2),(INDEX($E$8:$E$23,MIN(INT(($A845-1)/70)+1,CROQUIS_DATOS!$C$1525))+INDEX($F$8:$F$23,MIN(INT(($A845-1)/70)+1,CROQUIS_DATOS!$C$1525))/2)))*CROQUIS_DATOS!$C$1562),-1000)</f>
        <v>82.8189655172414</v>
      </c>
      <c r="O845">
        <f>IF(AND(CROQUIS_DATOS!$C$1472=1,1),(CROQUIS_DATOS!$C$1564+(IF(OR(IF(INT(($A845-1)/70)+1&gt;CROQUIS_DATOS!$C$1525,70,MOD($A845-1,70)+1)=1,IF(INT(($A845-1)/70)+1&gt;CROQUIS_DATOS!$C$1525,70,MOD($A845-1,70)+1)&gt;2*CROQUIS_DATOS!$C$1541+1),CROQUIS_DATOS!$C$1476,INDEX($H$8:$H$41,MIN(INT((IF(INT(($A845-1)/70)+1&gt;CROQUIS_DATOS!$C$1525,70,MOD($A845-1,70)+1)-2)/2)+1,CROQUIS_DATOS!$C$1541))))*CROQUIS_DATOS!$C$1561*CROQUIS_DATOS!$C$1562),-1000)</f>
        <v>40.2068965517241</v>
      </c>
    </row>
    <row r="846">
      <c r="A846" t="n">
        <v>839</v>
      </c>
      <c r="N846">
        <f>IF(AND(CROQUIS_DATOS!$C$1472=1,1),(CROQUIS_DATOS!$C$1563+(IF(IF(IF(INT(($A846-1)/70)+1&gt;CROQUIS_DATOS!$C$1525,70,MOD($A846-1,70)+1)=1,0,IF(IF(INT(($A846-1)/70)+1&gt;CROQUIS_DATOS!$C$1525,70,MOD($A846-1,70)+1)&gt;2*CROQUIS_DATOS!$C$1541+1,IF(MOD(CROQUIS_DATOS!$C$1541,2)=1,1,0),IF(MOD(MIN(INT((IF(INT(($A846-1)/70)+1&gt;CROQUIS_DATOS!$C$1525,70,MOD($A846-1,70)+1)-2)/2)+1,CROQUIS_DATOS!$C$1541),2)=1,IF(MOD(IF(INT(($A846-1)/70)+1&gt;CROQUIS_DATOS!$C$1525,70,MOD($A846-1,70)+1)-2,2)=0,0,1),IF(MOD(IF(INT(($A846-1)/70)+1&gt;CROQUIS_DATOS!$C$1525,70,MOD($A846-1,70)+1)-2,2)=0,1,0))))=0,(INDEX($E$8:$E$23,MIN(INT(($A846-1)/70)+1,CROQUIS_DATOS!$C$1525))-INDEX($F$8:$F$23,MIN(INT(($A846-1)/70)+1,CROQUIS_DATOS!$C$1525))/2),(INDEX($E$8:$E$23,MIN(INT(($A846-1)/70)+1,CROQUIS_DATOS!$C$1525))+INDEX($F$8:$F$23,MIN(INT(($A846-1)/70)+1,CROQUIS_DATOS!$C$1525))/2)))*CROQUIS_DATOS!$C$1562),-1000)</f>
        <v>82.8189655172414</v>
      </c>
      <c r="O846">
        <f>IF(AND(CROQUIS_DATOS!$C$1472=1,1),(CROQUIS_DATOS!$C$1564+(IF(OR(IF(INT(($A846-1)/70)+1&gt;CROQUIS_DATOS!$C$1525,70,MOD($A846-1,70)+1)=1,IF(INT(($A846-1)/70)+1&gt;CROQUIS_DATOS!$C$1525,70,MOD($A846-1,70)+1)&gt;2*CROQUIS_DATOS!$C$1541+1),CROQUIS_DATOS!$C$1476,INDEX($H$8:$H$41,MIN(INT((IF(INT(($A846-1)/70)+1&gt;CROQUIS_DATOS!$C$1525,70,MOD($A846-1,70)+1)-2)/2)+1,CROQUIS_DATOS!$C$1541))))*CROQUIS_DATOS!$C$1561*CROQUIS_DATOS!$C$1562),-1000)</f>
        <v>40.2068965517241</v>
      </c>
    </row>
    <row r="847">
      <c r="A847" t="n">
        <v>840</v>
      </c>
      <c r="N847">
        <f>IF(AND(CROQUIS_DATOS!$C$1472=1,1),(CROQUIS_DATOS!$C$1563+(IF(IF(IF(INT(($A847-1)/70)+1&gt;CROQUIS_DATOS!$C$1525,70,MOD($A847-1,70)+1)=1,0,IF(IF(INT(($A847-1)/70)+1&gt;CROQUIS_DATOS!$C$1525,70,MOD($A847-1,70)+1)&gt;2*CROQUIS_DATOS!$C$1541+1,IF(MOD(CROQUIS_DATOS!$C$1541,2)=1,1,0),IF(MOD(MIN(INT((IF(INT(($A847-1)/70)+1&gt;CROQUIS_DATOS!$C$1525,70,MOD($A847-1,70)+1)-2)/2)+1,CROQUIS_DATOS!$C$1541),2)=1,IF(MOD(IF(INT(($A847-1)/70)+1&gt;CROQUIS_DATOS!$C$1525,70,MOD($A847-1,70)+1)-2,2)=0,0,1),IF(MOD(IF(INT(($A847-1)/70)+1&gt;CROQUIS_DATOS!$C$1525,70,MOD($A847-1,70)+1)-2,2)=0,1,0))))=0,(INDEX($E$8:$E$23,MIN(INT(($A847-1)/70)+1,CROQUIS_DATOS!$C$1525))-INDEX($F$8:$F$23,MIN(INT(($A847-1)/70)+1,CROQUIS_DATOS!$C$1525))/2),(INDEX($E$8:$E$23,MIN(INT(($A847-1)/70)+1,CROQUIS_DATOS!$C$1525))+INDEX($F$8:$F$23,MIN(INT(($A847-1)/70)+1,CROQUIS_DATOS!$C$1525))/2)))*CROQUIS_DATOS!$C$1562),-1000)</f>
        <v>82.8189655172414</v>
      </c>
      <c r="O847">
        <f>IF(AND(CROQUIS_DATOS!$C$1472=1,1),(CROQUIS_DATOS!$C$1564+(IF(OR(IF(INT(($A847-1)/70)+1&gt;CROQUIS_DATOS!$C$1525,70,MOD($A847-1,70)+1)=1,IF(INT(($A847-1)/70)+1&gt;CROQUIS_DATOS!$C$1525,70,MOD($A847-1,70)+1)&gt;2*CROQUIS_DATOS!$C$1541+1),CROQUIS_DATOS!$C$1476,INDEX($H$8:$H$41,MIN(INT((IF(INT(($A847-1)/70)+1&gt;CROQUIS_DATOS!$C$1525,70,MOD($A847-1,70)+1)-2)/2)+1,CROQUIS_DATOS!$C$1541))))*CROQUIS_DATOS!$C$1561*CROQUIS_DATOS!$C$1562),-1000)</f>
        <v>40.2068965517241</v>
      </c>
    </row>
    <row r="848">
      <c r="A848" t="n">
        <v>841</v>
      </c>
      <c r="N848">
        <f>IF(AND(CROQUIS_DATOS!$C$1472=1,1),(CROQUIS_DATOS!$C$1563+(IF(IF(IF(INT(($A848-1)/70)+1&gt;CROQUIS_DATOS!$C$1525,70,MOD($A848-1,70)+1)=1,0,IF(IF(INT(($A848-1)/70)+1&gt;CROQUIS_DATOS!$C$1525,70,MOD($A848-1,70)+1)&gt;2*CROQUIS_DATOS!$C$1541+1,IF(MOD(CROQUIS_DATOS!$C$1541,2)=1,1,0),IF(MOD(MIN(INT((IF(INT(($A848-1)/70)+1&gt;CROQUIS_DATOS!$C$1525,70,MOD($A848-1,70)+1)-2)/2)+1,CROQUIS_DATOS!$C$1541),2)=1,IF(MOD(IF(INT(($A848-1)/70)+1&gt;CROQUIS_DATOS!$C$1525,70,MOD($A848-1,70)+1)-2,2)=0,0,1),IF(MOD(IF(INT(($A848-1)/70)+1&gt;CROQUIS_DATOS!$C$1525,70,MOD($A848-1,70)+1)-2,2)=0,1,0))))=0,(INDEX($E$8:$E$23,MIN(INT(($A848-1)/70)+1,CROQUIS_DATOS!$C$1525))-INDEX($F$8:$F$23,MIN(INT(($A848-1)/70)+1,CROQUIS_DATOS!$C$1525))/2),(INDEX($E$8:$E$23,MIN(INT(($A848-1)/70)+1,CROQUIS_DATOS!$C$1525))+INDEX($F$8:$F$23,MIN(INT(($A848-1)/70)+1,CROQUIS_DATOS!$C$1525))/2)))*CROQUIS_DATOS!$C$1562),-1000)</f>
        <v>82.8189655172414</v>
      </c>
      <c r="O848">
        <f>IF(AND(CROQUIS_DATOS!$C$1472=1,1),(CROQUIS_DATOS!$C$1564+(IF(OR(IF(INT(($A848-1)/70)+1&gt;CROQUIS_DATOS!$C$1525,70,MOD($A848-1,70)+1)=1,IF(INT(($A848-1)/70)+1&gt;CROQUIS_DATOS!$C$1525,70,MOD($A848-1,70)+1)&gt;2*CROQUIS_DATOS!$C$1541+1),CROQUIS_DATOS!$C$1476,INDEX($H$8:$H$41,MIN(INT((IF(INT(($A848-1)/70)+1&gt;CROQUIS_DATOS!$C$1525,70,MOD($A848-1,70)+1)-2)/2)+1,CROQUIS_DATOS!$C$1541))))*CROQUIS_DATOS!$C$1561*CROQUIS_DATOS!$C$1562),-1000)</f>
        <v>40.2068965517241</v>
      </c>
    </row>
    <row r="849">
      <c r="A849" t="n">
        <v>842</v>
      </c>
      <c r="N849">
        <f>IF(AND(CROQUIS_DATOS!$C$1472=1,1),(CROQUIS_DATOS!$C$1563+(IF(IF(IF(INT(($A849-1)/70)+1&gt;CROQUIS_DATOS!$C$1525,70,MOD($A849-1,70)+1)=1,0,IF(IF(INT(($A849-1)/70)+1&gt;CROQUIS_DATOS!$C$1525,70,MOD($A849-1,70)+1)&gt;2*CROQUIS_DATOS!$C$1541+1,IF(MOD(CROQUIS_DATOS!$C$1541,2)=1,1,0),IF(MOD(MIN(INT((IF(INT(($A849-1)/70)+1&gt;CROQUIS_DATOS!$C$1525,70,MOD($A849-1,70)+1)-2)/2)+1,CROQUIS_DATOS!$C$1541),2)=1,IF(MOD(IF(INT(($A849-1)/70)+1&gt;CROQUIS_DATOS!$C$1525,70,MOD($A849-1,70)+1)-2,2)=0,0,1),IF(MOD(IF(INT(($A849-1)/70)+1&gt;CROQUIS_DATOS!$C$1525,70,MOD($A849-1,70)+1)-2,2)=0,1,0))))=0,(INDEX($E$8:$E$23,MIN(INT(($A849-1)/70)+1,CROQUIS_DATOS!$C$1525))-INDEX($F$8:$F$23,MIN(INT(($A849-1)/70)+1,CROQUIS_DATOS!$C$1525))/2),(INDEX($E$8:$E$23,MIN(INT(($A849-1)/70)+1,CROQUIS_DATOS!$C$1525))+INDEX($F$8:$F$23,MIN(INT(($A849-1)/70)+1,CROQUIS_DATOS!$C$1525))/2)))*CROQUIS_DATOS!$C$1562),-1000)</f>
        <v>82.8189655172414</v>
      </c>
      <c r="O849">
        <f>IF(AND(CROQUIS_DATOS!$C$1472=1,1),(CROQUIS_DATOS!$C$1564+(IF(OR(IF(INT(($A849-1)/70)+1&gt;CROQUIS_DATOS!$C$1525,70,MOD($A849-1,70)+1)=1,IF(INT(($A849-1)/70)+1&gt;CROQUIS_DATOS!$C$1525,70,MOD($A849-1,70)+1)&gt;2*CROQUIS_DATOS!$C$1541+1),CROQUIS_DATOS!$C$1476,INDEX($H$8:$H$41,MIN(INT((IF(INT(($A849-1)/70)+1&gt;CROQUIS_DATOS!$C$1525,70,MOD($A849-1,70)+1)-2)/2)+1,CROQUIS_DATOS!$C$1541))))*CROQUIS_DATOS!$C$1561*CROQUIS_DATOS!$C$1562),-1000)</f>
        <v>40.2068965517241</v>
      </c>
    </row>
    <row r="850">
      <c r="A850" t="n">
        <v>843</v>
      </c>
      <c r="N850">
        <f>IF(AND(CROQUIS_DATOS!$C$1472=1,1),(CROQUIS_DATOS!$C$1563+(IF(IF(IF(INT(($A850-1)/70)+1&gt;CROQUIS_DATOS!$C$1525,70,MOD($A850-1,70)+1)=1,0,IF(IF(INT(($A850-1)/70)+1&gt;CROQUIS_DATOS!$C$1525,70,MOD($A850-1,70)+1)&gt;2*CROQUIS_DATOS!$C$1541+1,IF(MOD(CROQUIS_DATOS!$C$1541,2)=1,1,0),IF(MOD(MIN(INT((IF(INT(($A850-1)/70)+1&gt;CROQUIS_DATOS!$C$1525,70,MOD($A850-1,70)+1)-2)/2)+1,CROQUIS_DATOS!$C$1541),2)=1,IF(MOD(IF(INT(($A850-1)/70)+1&gt;CROQUIS_DATOS!$C$1525,70,MOD($A850-1,70)+1)-2,2)=0,0,1),IF(MOD(IF(INT(($A850-1)/70)+1&gt;CROQUIS_DATOS!$C$1525,70,MOD($A850-1,70)+1)-2,2)=0,1,0))))=0,(INDEX($E$8:$E$23,MIN(INT(($A850-1)/70)+1,CROQUIS_DATOS!$C$1525))-INDEX($F$8:$F$23,MIN(INT(($A850-1)/70)+1,CROQUIS_DATOS!$C$1525))/2),(INDEX($E$8:$E$23,MIN(INT(($A850-1)/70)+1,CROQUIS_DATOS!$C$1525))+INDEX($F$8:$F$23,MIN(INT(($A850-1)/70)+1,CROQUIS_DATOS!$C$1525))/2)))*CROQUIS_DATOS!$C$1562),-1000)</f>
        <v>82.8189655172414</v>
      </c>
      <c r="O850">
        <f>IF(AND(CROQUIS_DATOS!$C$1472=1,1),(CROQUIS_DATOS!$C$1564+(IF(OR(IF(INT(($A850-1)/70)+1&gt;CROQUIS_DATOS!$C$1525,70,MOD($A850-1,70)+1)=1,IF(INT(($A850-1)/70)+1&gt;CROQUIS_DATOS!$C$1525,70,MOD($A850-1,70)+1)&gt;2*CROQUIS_DATOS!$C$1541+1),CROQUIS_DATOS!$C$1476,INDEX($H$8:$H$41,MIN(INT((IF(INT(($A850-1)/70)+1&gt;CROQUIS_DATOS!$C$1525,70,MOD($A850-1,70)+1)-2)/2)+1,CROQUIS_DATOS!$C$1541))))*CROQUIS_DATOS!$C$1561*CROQUIS_DATOS!$C$1562),-1000)</f>
        <v>40.2068965517241</v>
      </c>
    </row>
    <row r="851">
      <c r="A851" t="n">
        <v>844</v>
      </c>
      <c r="N851">
        <f>IF(AND(CROQUIS_DATOS!$C$1472=1,1),(CROQUIS_DATOS!$C$1563+(IF(IF(IF(INT(($A851-1)/70)+1&gt;CROQUIS_DATOS!$C$1525,70,MOD($A851-1,70)+1)=1,0,IF(IF(INT(($A851-1)/70)+1&gt;CROQUIS_DATOS!$C$1525,70,MOD($A851-1,70)+1)&gt;2*CROQUIS_DATOS!$C$1541+1,IF(MOD(CROQUIS_DATOS!$C$1541,2)=1,1,0),IF(MOD(MIN(INT((IF(INT(($A851-1)/70)+1&gt;CROQUIS_DATOS!$C$1525,70,MOD($A851-1,70)+1)-2)/2)+1,CROQUIS_DATOS!$C$1541),2)=1,IF(MOD(IF(INT(($A851-1)/70)+1&gt;CROQUIS_DATOS!$C$1525,70,MOD($A851-1,70)+1)-2,2)=0,0,1),IF(MOD(IF(INT(($A851-1)/70)+1&gt;CROQUIS_DATOS!$C$1525,70,MOD($A851-1,70)+1)-2,2)=0,1,0))))=0,(INDEX($E$8:$E$23,MIN(INT(($A851-1)/70)+1,CROQUIS_DATOS!$C$1525))-INDEX($F$8:$F$23,MIN(INT(($A851-1)/70)+1,CROQUIS_DATOS!$C$1525))/2),(INDEX($E$8:$E$23,MIN(INT(($A851-1)/70)+1,CROQUIS_DATOS!$C$1525))+INDEX($F$8:$F$23,MIN(INT(($A851-1)/70)+1,CROQUIS_DATOS!$C$1525))/2)))*CROQUIS_DATOS!$C$1562),-1000)</f>
        <v>82.8189655172414</v>
      </c>
      <c r="O851">
        <f>IF(AND(CROQUIS_DATOS!$C$1472=1,1),(CROQUIS_DATOS!$C$1564+(IF(OR(IF(INT(($A851-1)/70)+1&gt;CROQUIS_DATOS!$C$1525,70,MOD($A851-1,70)+1)=1,IF(INT(($A851-1)/70)+1&gt;CROQUIS_DATOS!$C$1525,70,MOD($A851-1,70)+1)&gt;2*CROQUIS_DATOS!$C$1541+1),CROQUIS_DATOS!$C$1476,INDEX($H$8:$H$41,MIN(INT((IF(INT(($A851-1)/70)+1&gt;CROQUIS_DATOS!$C$1525,70,MOD($A851-1,70)+1)-2)/2)+1,CROQUIS_DATOS!$C$1541))))*CROQUIS_DATOS!$C$1561*CROQUIS_DATOS!$C$1562),-1000)</f>
        <v>40.2068965517241</v>
      </c>
    </row>
    <row r="852">
      <c r="A852" t="n">
        <v>845</v>
      </c>
      <c r="N852">
        <f>IF(AND(CROQUIS_DATOS!$C$1472=1,1),(CROQUIS_DATOS!$C$1563+(IF(IF(IF(INT(($A852-1)/70)+1&gt;CROQUIS_DATOS!$C$1525,70,MOD($A852-1,70)+1)=1,0,IF(IF(INT(($A852-1)/70)+1&gt;CROQUIS_DATOS!$C$1525,70,MOD($A852-1,70)+1)&gt;2*CROQUIS_DATOS!$C$1541+1,IF(MOD(CROQUIS_DATOS!$C$1541,2)=1,1,0),IF(MOD(MIN(INT((IF(INT(($A852-1)/70)+1&gt;CROQUIS_DATOS!$C$1525,70,MOD($A852-1,70)+1)-2)/2)+1,CROQUIS_DATOS!$C$1541),2)=1,IF(MOD(IF(INT(($A852-1)/70)+1&gt;CROQUIS_DATOS!$C$1525,70,MOD($A852-1,70)+1)-2,2)=0,0,1),IF(MOD(IF(INT(($A852-1)/70)+1&gt;CROQUIS_DATOS!$C$1525,70,MOD($A852-1,70)+1)-2,2)=0,1,0))))=0,(INDEX($E$8:$E$23,MIN(INT(($A852-1)/70)+1,CROQUIS_DATOS!$C$1525))-INDEX($F$8:$F$23,MIN(INT(($A852-1)/70)+1,CROQUIS_DATOS!$C$1525))/2),(INDEX($E$8:$E$23,MIN(INT(($A852-1)/70)+1,CROQUIS_DATOS!$C$1525))+INDEX($F$8:$F$23,MIN(INT(($A852-1)/70)+1,CROQUIS_DATOS!$C$1525))/2)))*CROQUIS_DATOS!$C$1562),-1000)</f>
        <v>82.8189655172414</v>
      </c>
      <c r="O852">
        <f>IF(AND(CROQUIS_DATOS!$C$1472=1,1),(CROQUIS_DATOS!$C$1564+(IF(OR(IF(INT(($A852-1)/70)+1&gt;CROQUIS_DATOS!$C$1525,70,MOD($A852-1,70)+1)=1,IF(INT(($A852-1)/70)+1&gt;CROQUIS_DATOS!$C$1525,70,MOD($A852-1,70)+1)&gt;2*CROQUIS_DATOS!$C$1541+1),CROQUIS_DATOS!$C$1476,INDEX($H$8:$H$41,MIN(INT((IF(INT(($A852-1)/70)+1&gt;CROQUIS_DATOS!$C$1525,70,MOD($A852-1,70)+1)-2)/2)+1,CROQUIS_DATOS!$C$1541))))*CROQUIS_DATOS!$C$1561*CROQUIS_DATOS!$C$1562),-1000)</f>
        <v>40.2068965517241</v>
      </c>
    </row>
    <row r="853">
      <c r="A853" t="n">
        <v>846</v>
      </c>
      <c r="N853">
        <f>IF(AND(CROQUIS_DATOS!$C$1472=1,1),(CROQUIS_DATOS!$C$1563+(IF(IF(IF(INT(($A853-1)/70)+1&gt;CROQUIS_DATOS!$C$1525,70,MOD($A853-1,70)+1)=1,0,IF(IF(INT(($A853-1)/70)+1&gt;CROQUIS_DATOS!$C$1525,70,MOD($A853-1,70)+1)&gt;2*CROQUIS_DATOS!$C$1541+1,IF(MOD(CROQUIS_DATOS!$C$1541,2)=1,1,0),IF(MOD(MIN(INT((IF(INT(($A853-1)/70)+1&gt;CROQUIS_DATOS!$C$1525,70,MOD($A853-1,70)+1)-2)/2)+1,CROQUIS_DATOS!$C$1541),2)=1,IF(MOD(IF(INT(($A853-1)/70)+1&gt;CROQUIS_DATOS!$C$1525,70,MOD($A853-1,70)+1)-2,2)=0,0,1),IF(MOD(IF(INT(($A853-1)/70)+1&gt;CROQUIS_DATOS!$C$1525,70,MOD($A853-1,70)+1)-2,2)=0,1,0))))=0,(INDEX($E$8:$E$23,MIN(INT(($A853-1)/70)+1,CROQUIS_DATOS!$C$1525))-INDEX($F$8:$F$23,MIN(INT(($A853-1)/70)+1,CROQUIS_DATOS!$C$1525))/2),(INDEX($E$8:$E$23,MIN(INT(($A853-1)/70)+1,CROQUIS_DATOS!$C$1525))+INDEX($F$8:$F$23,MIN(INT(($A853-1)/70)+1,CROQUIS_DATOS!$C$1525))/2)))*CROQUIS_DATOS!$C$1562),-1000)</f>
        <v>82.8189655172414</v>
      </c>
      <c r="O853">
        <f>IF(AND(CROQUIS_DATOS!$C$1472=1,1),(CROQUIS_DATOS!$C$1564+(IF(OR(IF(INT(($A853-1)/70)+1&gt;CROQUIS_DATOS!$C$1525,70,MOD($A853-1,70)+1)=1,IF(INT(($A853-1)/70)+1&gt;CROQUIS_DATOS!$C$1525,70,MOD($A853-1,70)+1)&gt;2*CROQUIS_DATOS!$C$1541+1),CROQUIS_DATOS!$C$1476,INDEX($H$8:$H$41,MIN(INT((IF(INT(($A853-1)/70)+1&gt;CROQUIS_DATOS!$C$1525,70,MOD($A853-1,70)+1)-2)/2)+1,CROQUIS_DATOS!$C$1541))))*CROQUIS_DATOS!$C$1561*CROQUIS_DATOS!$C$1562),-1000)</f>
        <v>40.2068965517241</v>
      </c>
    </row>
    <row r="854">
      <c r="A854" t="n">
        <v>847</v>
      </c>
      <c r="N854">
        <f>IF(AND(CROQUIS_DATOS!$C$1472=1,1),(CROQUIS_DATOS!$C$1563+(IF(IF(IF(INT(($A854-1)/70)+1&gt;CROQUIS_DATOS!$C$1525,70,MOD($A854-1,70)+1)=1,0,IF(IF(INT(($A854-1)/70)+1&gt;CROQUIS_DATOS!$C$1525,70,MOD($A854-1,70)+1)&gt;2*CROQUIS_DATOS!$C$1541+1,IF(MOD(CROQUIS_DATOS!$C$1541,2)=1,1,0),IF(MOD(MIN(INT((IF(INT(($A854-1)/70)+1&gt;CROQUIS_DATOS!$C$1525,70,MOD($A854-1,70)+1)-2)/2)+1,CROQUIS_DATOS!$C$1541),2)=1,IF(MOD(IF(INT(($A854-1)/70)+1&gt;CROQUIS_DATOS!$C$1525,70,MOD($A854-1,70)+1)-2,2)=0,0,1),IF(MOD(IF(INT(($A854-1)/70)+1&gt;CROQUIS_DATOS!$C$1525,70,MOD($A854-1,70)+1)-2,2)=0,1,0))))=0,(INDEX($E$8:$E$23,MIN(INT(($A854-1)/70)+1,CROQUIS_DATOS!$C$1525))-INDEX($F$8:$F$23,MIN(INT(($A854-1)/70)+1,CROQUIS_DATOS!$C$1525))/2),(INDEX($E$8:$E$23,MIN(INT(($A854-1)/70)+1,CROQUIS_DATOS!$C$1525))+INDEX($F$8:$F$23,MIN(INT(($A854-1)/70)+1,CROQUIS_DATOS!$C$1525))/2)))*CROQUIS_DATOS!$C$1562),-1000)</f>
        <v>82.8189655172414</v>
      </c>
      <c r="O854">
        <f>IF(AND(CROQUIS_DATOS!$C$1472=1,1),(CROQUIS_DATOS!$C$1564+(IF(OR(IF(INT(($A854-1)/70)+1&gt;CROQUIS_DATOS!$C$1525,70,MOD($A854-1,70)+1)=1,IF(INT(($A854-1)/70)+1&gt;CROQUIS_DATOS!$C$1525,70,MOD($A854-1,70)+1)&gt;2*CROQUIS_DATOS!$C$1541+1),CROQUIS_DATOS!$C$1476,INDEX($H$8:$H$41,MIN(INT((IF(INT(($A854-1)/70)+1&gt;CROQUIS_DATOS!$C$1525,70,MOD($A854-1,70)+1)-2)/2)+1,CROQUIS_DATOS!$C$1541))))*CROQUIS_DATOS!$C$1561*CROQUIS_DATOS!$C$1562),-1000)</f>
        <v>40.2068965517241</v>
      </c>
    </row>
    <row r="855">
      <c r="A855" t="n">
        <v>848</v>
      </c>
      <c r="N855">
        <f>IF(AND(CROQUIS_DATOS!$C$1472=1,1),(CROQUIS_DATOS!$C$1563+(IF(IF(IF(INT(($A855-1)/70)+1&gt;CROQUIS_DATOS!$C$1525,70,MOD($A855-1,70)+1)=1,0,IF(IF(INT(($A855-1)/70)+1&gt;CROQUIS_DATOS!$C$1525,70,MOD($A855-1,70)+1)&gt;2*CROQUIS_DATOS!$C$1541+1,IF(MOD(CROQUIS_DATOS!$C$1541,2)=1,1,0),IF(MOD(MIN(INT((IF(INT(($A855-1)/70)+1&gt;CROQUIS_DATOS!$C$1525,70,MOD($A855-1,70)+1)-2)/2)+1,CROQUIS_DATOS!$C$1541),2)=1,IF(MOD(IF(INT(($A855-1)/70)+1&gt;CROQUIS_DATOS!$C$1525,70,MOD($A855-1,70)+1)-2,2)=0,0,1),IF(MOD(IF(INT(($A855-1)/70)+1&gt;CROQUIS_DATOS!$C$1525,70,MOD($A855-1,70)+1)-2,2)=0,1,0))))=0,(INDEX($E$8:$E$23,MIN(INT(($A855-1)/70)+1,CROQUIS_DATOS!$C$1525))-INDEX($F$8:$F$23,MIN(INT(($A855-1)/70)+1,CROQUIS_DATOS!$C$1525))/2),(INDEX($E$8:$E$23,MIN(INT(($A855-1)/70)+1,CROQUIS_DATOS!$C$1525))+INDEX($F$8:$F$23,MIN(INT(($A855-1)/70)+1,CROQUIS_DATOS!$C$1525))/2)))*CROQUIS_DATOS!$C$1562),-1000)</f>
        <v>82.8189655172414</v>
      </c>
      <c r="O855">
        <f>IF(AND(CROQUIS_DATOS!$C$1472=1,1),(CROQUIS_DATOS!$C$1564+(IF(OR(IF(INT(($A855-1)/70)+1&gt;CROQUIS_DATOS!$C$1525,70,MOD($A855-1,70)+1)=1,IF(INT(($A855-1)/70)+1&gt;CROQUIS_DATOS!$C$1525,70,MOD($A855-1,70)+1)&gt;2*CROQUIS_DATOS!$C$1541+1),CROQUIS_DATOS!$C$1476,INDEX($H$8:$H$41,MIN(INT((IF(INT(($A855-1)/70)+1&gt;CROQUIS_DATOS!$C$1525,70,MOD($A855-1,70)+1)-2)/2)+1,CROQUIS_DATOS!$C$1541))))*CROQUIS_DATOS!$C$1561*CROQUIS_DATOS!$C$1562),-1000)</f>
        <v>40.2068965517241</v>
      </c>
    </row>
    <row r="856">
      <c r="A856" t="n">
        <v>849</v>
      </c>
      <c r="N856">
        <f>IF(AND(CROQUIS_DATOS!$C$1472=1,1),(CROQUIS_DATOS!$C$1563+(IF(IF(IF(INT(($A856-1)/70)+1&gt;CROQUIS_DATOS!$C$1525,70,MOD($A856-1,70)+1)=1,0,IF(IF(INT(($A856-1)/70)+1&gt;CROQUIS_DATOS!$C$1525,70,MOD($A856-1,70)+1)&gt;2*CROQUIS_DATOS!$C$1541+1,IF(MOD(CROQUIS_DATOS!$C$1541,2)=1,1,0),IF(MOD(MIN(INT((IF(INT(($A856-1)/70)+1&gt;CROQUIS_DATOS!$C$1525,70,MOD($A856-1,70)+1)-2)/2)+1,CROQUIS_DATOS!$C$1541),2)=1,IF(MOD(IF(INT(($A856-1)/70)+1&gt;CROQUIS_DATOS!$C$1525,70,MOD($A856-1,70)+1)-2,2)=0,0,1),IF(MOD(IF(INT(($A856-1)/70)+1&gt;CROQUIS_DATOS!$C$1525,70,MOD($A856-1,70)+1)-2,2)=0,1,0))))=0,(INDEX($E$8:$E$23,MIN(INT(($A856-1)/70)+1,CROQUIS_DATOS!$C$1525))-INDEX($F$8:$F$23,MIN(INT(($A856-1)/70)+1,CROQUIS_DATOS!$C$1525))/2),(INDEX($E$8:$E$23,MIN(INT(($A856-1)/70)+1,CROQUIS_DATOS!$C$1525))+INDEX($F$8:$F$23,MIN(INT(($A856-1)/70)+1,CROQUIS_DATOS!$C$1525))/2)))*CROQUIS_DATOS!$C$1562),-1000)</f>
        <v>82.8189655172414</v>
      </c>
      <c r="O856">
        <f>IF(AND(CROQUIS_DATOS!$C$1472=1,1),(CROQUIS_DATOS!$C$1564+(IF(OR(IF(INT(($A856-1)/70)+1&gt;CROQUIS_DATOS!$C$1525,70,MOD($A856-1,70)+1)=1,IF(INT(($A856-1)/70)+1&gt;CROQUIS_DATOS!$C$1525,70,MOD($A856-1,70)+1)&gt;2*CROQUIS_DATOS!$C$1541+1),CROQUIS_DATOS!$C$1476,INDEX($H$8:$H$41,MIN(INT((IF(INT(($A856-1)/70)+1&gt;CROQUIS_DATOS!$C$1525,70,MOD($A856-1,70)+1)-2)/2)+1,CROQUIS_DATOS!$C$1541))))*CROQUIS_DATOS!$C$1561*CROQUIS_DATOS!$C$1562),-1000)</f>
        <v>40.2068965517241</v>
      </c>
    </row>
    <row r="857">
      <c r="A857" t="n">
        <v>850</v>
      </c>
      <c r="N857">
        <f>IF(AND(CROQUIS_DATOS!$C$1472=1,1),(CROQUIS_DATOS!$C$1563+(IF(IF(IF(INT(($A857-1)/70)+1&gt;CROQUIS_DATOS!$C$1525,70,MOD($A857-1,70)+1)=1,0,IF(IF(INT(($A857-1)/70)+1&gt;CROQUIS_DATOS!$C$1525,70,MOD($A857-1,70)+1)&gt;2*CROQUIS_DATOS!$C$1541+1,IF(MOD(CROQUIS_DATOS!$C$1541,2)=1,1,0),IF(MOD(MIN(INT((IF(INT(($A857-1)/70)+1&gt;CROQUIS_DATOS!$C$1525,70,MOD($A857-1,70)+1)-2)/2)+1,CROQUIS_DATOS!$C$1541),2)=1,IF(MOD(IF(INT(($A857-1)/70)+1&gt;CROQUIS_DATOS!$C$1525,70,MOD($A857-1,70)+1)-2,2)=0,0,1),IF(MOD(IF(INT(($A857-1)/70)+1&gt;CROQUIS_DATOS!$C$1525,70,MOD($A857-1,70)+1)-2,2)=0,1,0))))=0,(INDEX($E$8:$E$23,MIN(INT(($A857-1)/70)+1,CROQUIS_DATOS!$C$1525))-INDEX($F$8:$F$23,MIN(INT(($A857-1)/70)+1,CROQUIS_DATOS!$C$1525))/2),(INDEX($E$8:$E$23,MIN(INT(($A857-1)/70)+1,CROQUIS_DATOS!$C$1525))+INDEX($F$8:$F$23,MIN(INT(($A857-1)/70)+1,CROQUIS_DATOS!$C$1525))/2)))*CROQUIS_DATOS!$C$1562),-1000)</f>
        <v>82.8189655172414</v>
      </c>
      <c r="O857">
        <f>IF(AND(CROQUIS_DATOS!$C$1472=1,1),(CROQUIS_DATOS!$C$1564+(IF(OR(IF(INT(($A857-1)/70)+1&gt;CROQUIS_DATOS!$C$1525,70,MOD($A857-1,70)+1)=1,IF(INT(($A857-1)/70)+1&gt;CROQUIS_DATOS!$C$1525,70,MOD($A857-1,70)+1)&gt;2*CROQUIS_DATOS!$C$1541+1),CROQUIS_DATOS!$C$1476,INDEX($H$8:$H$41,MIN(INT((IF(INT(($A857-1)/70)+1&gt;CROQUIS_DATOS!$C$1525,70,MOD($A857-1,70)+1)-2)/2)+1,CROQUIS_DATOS!$C$1541))))*CROQUIS_DATOS!$C$1561*CROQUIS_DATOS!$C$1562),-1000)</f>
        <v>40.2068965517241</v>
      </c>
    </row>
    <row r="858">
      <c r="A858" t="n">
        <v>851</v>
      </c>
      <c r="N858">
        <f>IF(AND(CROQUIS_DATOS!$C$1472=1,1),(CROQUIS_DATOS!$C$1563+(IF(IF(IF(INT(($A858-1)/70)+1&gt;CROQUIS_DATOS!$C$1525,70,MOD($A858-1,70)+1)=1,0,IF(IF(INT(($A858-1)/70)+1&gt;CROQUIS_DATOS!$C$1525,70,MOD($A858-1,70)+1)&gt;2*CROQUIS_DATOS!$C$1541+1,IF(MOD(CROQUIS_DATOS!$C$1541,2)=1,1,0),IF(MOD(MIN(INT((IF(INT(($A858-1)/70)+1&gt;CROQUIS_DATOS!$C$1525,70,MOD($A858-1,70)+1)-2)/2)+1,CROQUIS_DATOS!$C$1541),2)=1,IF(MOD(IF(INT(($A858-1)/70)+1&gt;CROQUIS_DATOS!$C$1525,70,MOD($A858-1,70)+1)-2,2)=0,0,1),IF(MOD(IF(INT(($A858-1)/70)+1&gt;CROQUIS_DATOS!$C$1525,70,MOD($A858-1,70)+1)-2,2)=0,1,0))))=0,(INDEX($E$8:$E$23,MIN(INT(($A858-1)/70)+1,CROQUIS_DATOS!$C$1525))-INDEX($F$8:$F$23,MIN(INT(($A858-1)/70)+1,CROQUIS_DATOS!$C$1525))/2),(INDEX($E$8:$E$23,MIN(INT(($A858-1)/70)+1,CROQUIS_DATOS!$C$1525))+INDEX($F$8:$F$23,MIN(INT(($A858-1)/70)+1,CROQUIS_DATOS!$C$1525))/2)))*CROQUIS_DATOS!$C$1562),-1000)</f>
        <v>82.8189655172414</v>
      </c>
      <c r="O858">
        <f>IF(AND(CROQUIS_DATOS!$C$1472=1,1),(CROQUIS_DATOS!$C$1564+(IF(OR(IF(INT(($A858-1)/70)+1&gt;CROQUIS_DATOS!$C$1525,70,MOD($A858-1,70)+1)=1,IF(INT(($A858-1)/70)+1&gt;CROQUIS_DATOS!$C$1525,70,MOD($A858-1,70)+1)&gt;2*CROQUIS_DATOS!$C$1541+1),CROQUIS_DATOS!$C$1476,INDEX($H$8:$H$41,MIN(INT((IF(INT(($A858-1)/70)+1&gt;CROQUIS_DATOS!$C$1525,70,MOD($A858-1,70)+1)-2)/2)+1,CROQUIS_DATOS!$C$1541))))*CROQUIS_DATOS!$C$1561*CROQUIS_DATOS!$C$1562),-1000)</f>
        <v>40.2068965517241</v>
      </c>
    </row>
    <row r="859">
      <c r="A859" t="n">
        <v>852</v>
      </c>
      <c r="N859">
        <f>IF(AND(CROQUIS_DATOS!$C$1472=1,1),(CROQUIS_DATOS!$C$1563+(IF(IF(IF(INT(($A859-1)/70)+1&gt;CROQUIS_DATOS!$C$1525,70,MOD($A859-1,70)+1)=1,0,IF(IF(INT(($A859-1)/70)+1&gt;CROQUIS_DATOS!$C$1525,70,MOD($A859-1,70)+1)&gt;2*CROQUIS_DATOS!$C$1541+1,IF(MOD(CROQUIS_DATOS!$C$1541,2)=1,1,0),IF(MOD(MIN(INT((IF(INT(($A859-1)/70)+1&gt;CROQUIS_DATOS!$C$1525,70,MOD($A859-1,70)+1)-2)/2)+1,CROQUIS_DATOS!$C$1541),2)=1,IF(MOD(IF(INT(($A859-1)/70)+1&gt;CROQUIS_DATOS!$C$1525,70,MOD($A859-1,70)+1)-2,2)=0,0,1),IF(MOD(IF(INT(($A859-1)/70)+1&gt;CROQUIS_DATOS!$C$1525,70,MOD($A859-1,70)+1)-2,2)=0,1,0))))=0,(INDEX($E$8:$E$23,MIN(INT(($A859-1)/70)+1,CROQUIS_DATOS!$C$1525))-INDEX($F$8:$F$23,MIN(INT(($A859-1)/70)+1,CROQUIS_DATOS!$C$1525))/2),(INDEX($E$8:$E$23,MIN(INT(($A859-1)/70)+1,CROQUIS_DATOS!$C$1525))+INDEX($F$8:$F$23,MIN(INT(($A859-1)/70)+1,CROQUIS_DATOS!$C$1525))/2)))*CROQUIS_DATOS!$C$1562),-1000)</f>
        <v>82.8189655172414</v>
      </c>
      <c r="O859">
        <f>IF(AND(CROQUIS_DATOS!$C$1472=1,1),(CROQUIS_DATOS!$C$1564+(IF(OR(IF(INT(($A859-1)/70)+1&gt;CROQUIS_DATOS!$C$1525,70,MOD($A859-1,70)+1)=1,IF(INT(($A859-1)/70)+1&gt;CROQUIS_DATOS!$C$1525,70,MOD($A859-1,70)+1)&gt;2*CROQUIS_DATOS!$C$1541+1),CROQUIS_DATOS!$C$1476,INDEX($H$8:$H$41,MIN(INT((IF(INT(($A859-1)/70)+1&gt;CROQUIS_DATOS!$C$1525,70,MOD($A859-1,70)+1)-2)/2)+1,CROQUIS_DATOS!$C$1541))))*CROQUIS_DATOS!$C$1561*CROQUIS_DATOS!$C$1562),-1000)</f>
        <v>40.2068965517241</v>
      </c>
    </row>
    <row r="860">
      <c r="A860" t="n">
        <v>853</v>
      </c>
      <c r="N860">
        <f>IF(AND(CROQUIS_DATOS!$C$1472=1,1),(CROQUIS_DATOS!$C$1563+(IF(IF(IF(INT(($A860-1)/70)+1&gt;CROQUIS_DATOS!$C$1525,70,MOD($A860-1,70)+1)=1,0,IF(IF(INT(($A860-1)/70)+1&gt;CROQUIS_DATOS!$C$1525,70,MOD($A860-1,70)+1)&gt;2*CROQUIS_DATOS!$C$1541+1,IF(MOD(CROQUIS_DATOS!$C$1541,2)=1,1,0),IF(MOD(MIN(INT((IF(INT(($A860-1)/70)+1&gt;CROQUIS_DATOS!$C$1525,70,MOD($A860-1,70)+1)-2)/2)+1,CROQUIS_DATOS!$C$1541),2)=1,IF(MOD(IF(INT(($A860-1)/70)+1&gt;CROQUIS_DATOS!$C$1525,70,MOD($A860-1,70)+1)-2,2)=0,0,1),IF(MOD(IF(INT(($A860-1)/70)+1&gt;CROQUIS_DATOS!$C$1525,70,MOD($A860-1,70)+1)-2,2)=0,1,0))))=0,(INDEX($E$8:$E$23,MIN(INT(($A860-1)/70)+1,CROQUIS_DATOS!$C$1525))-INDEX($F$8:$F$23,MIN(INT(($A860-1)/70)+1,CROQUIS_DATOS!$C$1525))/2),(INDEX($E$8:$E$23,MIN(INT(($A860-1)/70)+1,CROQUIS_DATOS!$C$1525))+INDEX($F$8:$F$23,MIN(INT(($A860-1)/70)+1,CROQUIS_DATOS!$C$1525))/2)))*CROQUIS_DATOS!$C$1562),-1000)</f>
        <v>82.8189655172414</v>
      </c>
      <c r="O860">
        <f>IF(AND(CROQUIS_DATOS!$C$1472=1,1),(CROQUIS_DATOS!$C$1564+(IF(OR(IF(INT(($A860-1)/70)+1&gt;CROQUIS_DATOS!$C$1525,70,MOD($A860-1,70)+1)=1,IF(INT(($A860-1)/70)+1&gt;CROQUIS_DATOS!$C$1525,70,MOD($A860-1,70)+1)&gt;2*CROQUIS_DATOS!$C$1541+1),CROQUIS_DATOS!$C$1476,INDEX($H$8:$H$41,MIN(INT((IF(INT(($A860-1)/70)+1&gt;CROQUIS_DATOS!$C$1525,70,MOD($A860-1,70)+1)-2)/2)+1,CROQUIS_DATOS!$C$1541))))*CROQUIS_DATOS!$C$1561*CROQUIS_DATOS!$C$1562),-1000)</f>
        <v>40.2068965517241</v>
      </c>
    </row>
    <row r="861">
      <c r="A861" t="n">
        <v>854</v>
      </c>
      <c r="N861">
        <f>IF(AND(CROQUIS_DATOS!$C$1472=1,1),(CROQUIS_DATOS!$C$1563+(IF(IF(IF(INT(($A861-1)/70)+1&gt;CROQUIS_DATOS!$C$1525,70,MOD($A861-1,70)+1)=1,0,IF(IF(INT(($A861-1)/70)+1&gt;CROQUIS_DATOS!$C$1525,70,MOD($A861-1,70)+1)&gt;2*CROQUIS_DATOS!$C$1541+1,IF(MOD(CROQUIS_DATOS!$C$1541,2)=1,1,0),IF(MOD(MIN(INT((IF(INT(($A861-1)/70)+1&gt;CROQUIS_DATOS!$C$1525,70,MOD($A861-1,70)+1)-2)/2)+1,CROQUIS_DATOS!$C$1541),2)=1,IF(MOD(IF(INT(($A861-1)/70)+1&gt;CROQUIS_DATOS!$C$1525,70,MOD($A861-1,70)+1)-2,2)=0,0,1),IF(MOD(IF(INT(($A861-1)/70)+1&gt;CROQUIS_DATOS!$C$1525,70,MOD($A861-1,70)+1)-2,2)=0,1,0))))=0,(INDEX($E$8:$E$23,MIN(INT(($A861-1)/70)+1,CROQUIS_DATOS!$C$1525))-INDEX($F$8:$F$23,MIN(INT(($A861-1)/70)+1,CROQUIS_DATOS!$C$1525))/2),(INDEX($E$8:$E$23,MIN(INT(($A861-1)/70)+1,CROQUIS_DATOS!$C$1525))+INDEX($F$8:$F$23,MIN(INT(($A861-1)/70)+1,CROQUIS_DATOS!$C$1525))/2)))*CROQUIS_DATOS!$C$1562),-1000)</f>
        <v>82.8189655172414</v>
      </c>
      <c r="O861">
        <f>IF(AND(CROQUIS_DATOS!$C$1472=1,1),(CROQUIS_DATOS!$C$1564+(IF(OR(IF(INT(($A861-1)/70)+1&gt;CROQUIS_DATOS!$C$1525,70,MOD($A861-1,70)+1)=1,IF(INT(($A861-1)/70)+1&gt;CROQUIS_DATOS!$C$1525,70,MOD($A861-1,70)+1)&gt;2*CROQUIS_DATOS!$C$1541+1),CROQUIS_DATOS!$C$1476,INDEX($H$8:$H$41,MIN(INT((IF(INT(($A861-1)/70)+1&gt;CROQUIS_DATOS!$C$1525,70,MOD($A861-1,70)+1)-2)/2)+1,CROQUIS_DATOS!$C$1541))))*CROQUIS_DATOS!$C$1561*CROQUIS_DATOS!$C$1562),-1000)</f>
        <v>40.2068965517241</v>
      </c>
    </row>
    <row r="862">
      <c r="A862" t="n">
        <v>855</v>
      </c>
      <c r="N862">
        <f>IF(AND(CROQUIS_DATOS!$C$1472=1,1),(CROQUIS_DATOS!$C$1563+(IF(IF(IF(INT(($A862-1)/70)+1&gt;CROQUIS_DATOS!$C$1525,70,MOD($A862-1,70)+1)=1,0,IF(IF(INT(($A862-1)/70)+1&gt;CROQUIS_DATOS!$C$1525,70,MOD($A862-1,70)+1)&gt;2*CROQUIS_DATOS!$C$1541+1,IF(MOD(CROQUIS_DATOS!$C$1541,2)=1,1,0),IF(MOD(MIN(INT((IF(INT(($A862-1)/70)+1&gt;CROQUIS_DATOS!$C$1525,70,MOD($A862-1,70)+1)-2)/2)+1,CROQUIS_DATOS!$C$1541),2)=1,IF(MOD(IF(INT(($A862-1)/70)+1&gt;CROQUIS_DATOS!$C$1525,70,MOD($A862-1,70)+1)-2,2)=0,0,1),IF(MOD(IF(INT(($A862-1)/70)+1&gt;CROQUIS_DATOS!$C$1525,70,MOD($A862-1,70)+1)-2,2)=0,1,0))))=0,(INDEX($E$8:$E$23,MIN(INT(($A862-1)/70)+1,CROQUIS_DATOS!$C$1525))-INDEX($F$8:$F$23,MIN(INT(($A862-1)/70)+1,CROQUIS_DATOS!$C$1525))/2),(INDEX($E$8:$E$23,MIN(INT(($A862-1)/70)+1,CROQUIS_DATOS!$C$1525))+INDEX($F$8:$F$23,MIN(INT(($A862-1)/70)+1,CROQUIS_DATOS!$C$1525))/2)))*CROQUIS_DATOS!$C$1562),-1000)</f>
        <v>82.8189655172414</v>
      </c>
      <c r="O862">
        <f>IF(AND(CROQUIS_DATOS!$C$1472=1,1),(CROQUIS_DATOS!$C$1564+(IF(OR(IF(INT(($A862-1)/70)+1&gt;CROQUIS_DATOS!$C$1525,70,MOD($A862-1,70)+1)=1,IF(INT(($A862-1)/70)+1&gt;CROQUIS_DATOS!$C$1525,70,MOD($A862-1,70)+1)&gt;2*CROQUIS_DATOS!$C$1541+1),CROQUIS_DATOS!$C$1476,INDEX($H$8:$H$41,MIN(INT((IF(INT(($A862-1)/70)+1&gt;CROQUIS_DATOS!$C$1525,70,MOD($A862-1,70)+1)-2)/2)+1,CROQUIS_DATOS!$C$1541))))*CROQUIS_DATOS!$C$1561*CROQUIS_DATOS!$C$1562),-1000)</f>
        <v>40.2068965517241</v>
      </c>
    </row>
    <row r="863">
      <c r="A863" t="n">
        <v>856</v>
      </c>
      <c r="N863">
        <f>IF(AND(CROQUIS_DATOS!$C$1472=1,1),(CROQUIS_DATOS!$C$1563+(IF(IF(IF(INT(($A863-1)/70)+1&gt;CROQUIS_DATOS!$C$1525,70,MOD($A863-1,70)+1)=1,0,IF(IF(INT(($A863-1)/70)+1&gt;CROQUIS_DATOS!$C$1525,70,MOD($A863-1,70)+1)&gt;2*CROQUIS_DATOS!$C$1541+1,IF(MOD(CROQUIS_DATOS!$C$1541,2)=1,1,0),IF(MOD(MIN(INT((IF(INT(($A863-1)/70)+1&gt;CROQUIS_DATOS!$C$1525,70,MOD($A863-1,70)+1)-2)/2)+1,CROQUIS_DATOS!$C$1541),2)=1,IF(MOD(IF(INT(($A863-1)/70)+1&gt;CROQUIS_DATOS!$C$1525,70,MOD($A863-1,70)+1)-2,2)=0,0,1),IF(MOD(IF(INT(($A863-1)/70)+1&gt;CROQUIS_DATOS!$C$1525,70,MOD($A863-1,70)+1)-2,2)=0,1,0))))=0,(INDEX($E$8:$E$23,MIN(INT(($A863-1)/70)+1,CROQUIS_DATOS!$C$1525))-INDEX($F$8:$F$23,MIN(INT(($A863-1)/70)+1,CROQUIS_DATOS!$C$1525))/2),(INDEX($E$8:$E$23,MIN(INT(($A863-1)/70)+1,CROQUIS_DATOS!$C$1525))+INDEX($F$8:$F$23,MIN(INT(($A863-1)/70)+1,CROQUIS_DATOS!$C$1525))/2)))*CROQUIS_DATOS!$C$1562),-1000)</f>
        <v>82.8189655172414</v>
      </c>
      <c r="O863">
        <f>IF(AND(CROQUIS_DATOS!$C$1472=1,1),(CROQUIS_DATOS!$C$1564+(IF(OR(IF(INT(($A863-1)/70)+1&gt;CROQUIS_DATOS!$C$1525,70,MOD($A863-1,70)+1)=1,IF(INT(($A863-1)/70)+1&gt;CROQUIS_DATOS!$C$1525,70,MOD($A863-1,70)+1)&gt;2*CROQUIS_DATOS!$C$1541+1),CROQUIS_DATOS!$C$1476,INDEX($H$8:$H$41,MIN(INT((IF(INT(($A863-1)/70)+1&gt;CROQUIS_DATOS!$C$1525,70,MOD($A863-1,70)+1)-2)/2)+1,CROQUIS_DATOS!$C$1541))))*CROQUIS_DATOS!$C$1561*CROQUIS_DATOS!$C$1562),-1000)</f>
        <v>40.2068965517241</v>
      </c>
    </row>
    <row r="864">
      <c r="A864" t="n">
        <v>857</v>
      </c>
      <c r="N864">
        <f>IF(AND(CROQUIS_DATOS!$C$1472=1,1),(CROQUIS_DATOS!$C$1563+(IF(IF(IF(INT(($A864-1)/70)+1&gt;CROQUIS_DATOS!$C$1525,70,MOD($A864-1,70)+1)=1,0,IF(IF(INT(($A864-1)/70)+1&gt;CROQUIS_DATOS!$C$1525,70,MOD($A864-1,70)+1)&gt;2*CROQUIS_DATOS!$C$1541+1,IF(MOD(CROQUIS_DATOS!$C$1541,2)=1,1,0),IF(MOD(MIN(INT((IF(INT(($A864-1)/70)+1&gt;CROQUIS_DATOS!$C$1525,70,MOD($A864-1,70)+1)-2)/2)+1,CROQUIS_DATOS!$C$1541),2)=1,IF(MOD(IF(INT(($A864-1)/70)+1&gt;CROQUIS_DATOS!$C$1525,70,MOD($A864-1,70)+1)-2,2)=0,0,1),IF(MOD(IF(INT(($A864-1)/70)+1&gt;CROQUIS_DATOS!$C$1525,70,MOD($A864-1,70)+1)-2,2)=0,1,0))))=0,(INDEX($E$8:$E$23,MIN(INT(($A864-1)/70)+1,CROQUIS_DATOS!$C$1525))-INDEX($F$8:$F$23,MIN(INT(($A864-1)/70)+1,CROQUIS_DATOS!$C$1525))/2),(INDEX($E$8:$E$23,MIN(INT(($A864-1)/70)+1,CROQUIS_DATOS!$C$1525))+INDEX($F$8:$F$23,MIN(INT(($A864-1)/70)+1,CROQUIS_DATOS!$C$1525))/2)))*CROQUIS_DATOS!$C$1562),-1000)</f>
        <v>82.8189655172414</v>
      </c>
      <c r="O864">
        <f>IF(AND(CROQUIS_DATOS!$C$1472=1,1),(CROQUIS_DATOS!$C$1564+(IF(OR(IF(INT(($A864-1)/70)+1&gt;CROQUIS_DATOS!$C$1525,70,MOD($A864-1,70)+1)=1,IF(INT(($A864-1)/70)+1&gt;CROQUIS_DATOS!$C$1525,70,MOD($A864-1,70)+1)&gt;2*CROQUIS_DATOS!$C$1541+1),CROQUIS_DATOS!$C$1476,INDEX($H$8:$H$41,MIN(INT((IF(INT(($A864-1)/70)+1&gt;CROQUIS_DATOS!$C$1525,70,MOD($A864-1,70)+1)-2)/2)+1,CROQUIS_DATOS!$C$1541))))*CROQUIS_DATOS!$C$1561*CROQUIS_DATOS!$C$1562),-1000)</f>
        <v>40.2068965517241</v>
      </c>
    </row>
    <row r="865">
      <c r="A865" t="n">
        <v>858</v>
      </c>
      <c r="N865">
        <f>IF(AND(CROQUIS_DATOS!$C$1472=1,1),(CROQUIS_DATOS!$C$1563+(IF(IF(IF(INT(($A865-1)/70)+1&gt;CROQUIS_DATOS!$C$1525,70,MOD($A865-1,70)+1)=1,0,IF(IF(INT(($A865-1)/70)+1&gt;CROQUIS_DATOS!$C$1525,70,MOD($A865-1,70)+1)&gt;2*CROQUIS_DATOS!$C$1541+1,IF(MOD(CROQUIS_DATOS!$C$1541,2)=1,1,0),IF(MOD(MIN(INT((IF(INT(($A865-1)/70)+1&gt;CROQUIS_DATOS!$C$1525,70,MOD($A865-1,70)+1)-2)/2)+1,CROQUIS_DATOS!$C$1541),2)=1,IF(MOD(IF(INT(($A865-1)/70)+1&gt;CROQUIS_DATOS!$C$1525,70,MOD($A865-1,70)+1)-2,2)=0,0,1),IF(MOD(IF(INT(($A865-1)/70)+1&gt;CROQUIS_DATOS!$C$1525,70,MOD($A865-1,70)+1)-2,2)=0,1,0))))=0,(INDEX($E$8:$E$23,MIN(INT(($A865-1)/70)+1,CROQUIS_DATOS!$C$1525))-INDEX($F$8:$F$23,MIN(INT(($A865-1)/70)+1,CROQUIS_DATOS!$C$1525))/2),(INDEX($E$8:$E$23,MIN(INT(($A865-1)/70)+1,CROQUIS_DATOS!$C$1525))+INDEX($F$8:$F$23,MIN(INT(($A865-1)/70)+1,CROQUIS_DATOS!$C$1525))/2)))*CROQUIS_DATOS!$C$1562),-1000)</f>
        <v>82.8189655172414</v>
      </c>
      <c r="O865">
        <f>IF(AND(CROQUIS_DATOS!$C$1472=1,1),(CROQUIS_DATOS!$C$1564+(IF(OR(IF(INT(($A865-1)/70)+1&gt;CROQUIS_DATOS!$C$1525,70,MOD($A865-1,70)+1)=1,IF(INT(($A865-1)/70)+1&gt;CROQUIS_DATOS!$C$1525,70,MOD($A865-1,70)+1)&gt;2*CROQUIS_DATOS!$C$1541+1),CROQUIS_DATOS!$C$1476,INDEX($H$8:$H$41,MIN(INT((IF(INT(($A865-1)/70)+1&gt;CROQUIS_DATOS!$C$1525,70,MOD($A865-1,70)+1)-2)/2)+1,CROQUIS_DATOS!$C$1541))))*CROQUIS_DATOS!$C$1561*CROQUIS_DATOS!$C$1562),-1000)</f>
        <v>40.2068965517241</v>
      </c>
    </row>
    <row r="866">
      <c r="A866" t="n">
        <v>859</v>
      </c>
      <c r="N866">
        <f>IF(AND(CROQUIS_DATOS!$C$1472=1,1),(CROQUIS_DATOS!$C$1563+(IF(IF(IF(INT(($A866-1)/70)+1&gt;CROQUIS_DATOS!$C$1525,70,MOD($A866-1,70)+1)=1,0,IF(IF(INT(($A866-1)/70)+1&gt;CROQUIS_DATOS!$C$1525,70,MOD($A866-1,70)+1)&gt;2*CROQUIS_DATOS!$C$1541+1,IF(MOD(CROQUIS_DATOS!$C$1541,2)=1,1,0),IF(MOD(MIN(INT((IF(INT(($A866-1)/70)+1&gt;CROQUIS_DATOS!$C$1525,70,MOD($A866-1,70)+1)-2)/2)+1,CROQUIS_DATOS!$C$1541),2)=1,IF(MOD(IF(INT(($A866-1)/70)+1&gt;CROQUIS_DATOS!$C$1525,70,MOD($A866-1,70)+1)-2,2)=0,0,1),IF(MOD(IF(INT(($A866-1)/70)+1&gt;CROQUIS_DATOS!$C$1525,70,MOD($A866-1,70)+1)-2,2)=0,1,0))))=0,(INDEX($E$8:$E$23,MIN(INT(($A866-1)/70)+1,CROQUIS_DATOS!$C$1525))-INDEX($F$8:$F$23,MIN(INT(($A866-1)/70)+1,CROQUIS_DATOS!$C$1525))/2),(INDEX($E$8:$E$23,MIN(INT(($A866-1)/70)+1,CROQUIS_DATOS!$C$1525))+INDEX($F$8:$F$23,MIN(INT(($A866-1)/70)+1,CROQUIS_DATOS!$C$1525))/2)))*CROQUIS_DATOS!$C$1562),-1000)</f>
        <v>82.8189655172414</v>
      </c>
      <c r="O866">
        <f>IF(AND(CROQUIS_DATOS!$C$1472=1,1),(CROQUIS_DATOS!$C$1564+(IF(OR(IF(INT(($A866-1)/70)+1&gt;CROQUIS_DATOS!$C$1525,70,MOD($A866-1,70)+1)=1,IF(INT(($A866-1)/70)+1&gt;CROQUIS_DATOS!$C$1525,70,MOD($A866-1,70)+1)&gt;2*CROQUIS_DATOS!$C$1541+1),CROQUIS_DATOS!$C$1476,INDEX($H$8:$H$41,MIN(INT((IF(INT(($A866-1)/70)+1&gt;CROQUIS_DATOS!$C$1525,70,MOD($A866-1,70)+1)-2)/2)+1,CROQUIS_DATOS!$C$1541))))*CROQUIS_DATOS!$C$1561*CROQUIS_DATOS!$C$1562),-1000)</f>
        <v>40.2068965517241</v>
      </c>
    </row>
    <row r="867">
      <c r="A867" t="n">
        <v>860</v>
      </c>
      <c r="N867">
        <f>IF(AND(CROQUIS_DATOS!$C$1472=1,1),(CROQUIS_DATOS!$C$1563+(IF(IF(IF(INT(($A867-1)/70)+1&gt;CROQUIS_DATOS!$C$1525,70,MOD($A867-1,70)+1)=1,0,IF(IF(INT(($A867-1)/70)+1&gt;CROQUIS_DATOS!$C$1525,70,MOD($A867-1,70)+1)&gt;2*CROQUIS_DATOS!$C$1541+1,IF(MOD(CROQUIS_DATOS!$C$1541,2)=1,1,0),IF(MOD(MIN(INT((IF(INT(($A867-1)/70)+1&gt;CROQUIS_DATOS!$C$1525,70,MOD($A867-1,70)+1)-2)/2)+1,CROQUIS_DATOS!$C$1541),2)=1,IF(MOD(IF(INT(($A867-1)/70)+1&gt;CROQUIS_DATOS!$C$1525,70,MOD($A867-1,70)+1)-2,2)=0,0,1),IF(MOD(IF(INT(($A867-1)/70)+1&gt;CROQUIS_DATOS!$C$1525,70,MOD($A867-1,70)+1)-2,2)=0,1,0))))=0,(INDEX($E$8:$E$23,MIN(INT(($A867-1)/70)+1,CROQUIS_DATOS!$C$1525))-INDEX($F$8:$F$23,MIN(INT(($A867-1)/70)+1,CROQUIS_DATOS!$C$1525))/2),(INDEX($E$8:$E$23,MIN(INT(($A867-1)/70)+1,CROQUIS_DATOS!$C$1525))+INDEX($F$8:$F$23,MIN(INT(($A867-1)/70)+1,CROQUIS_DATOS!$C$1525))/2)))*CROQUIS_DATOS!$C$1562),-1000)</f>
        <v>82.8189655172414</v>
      </c>
      <c r="O867">
        <f>IF(AND(CROQUIS_DATOS!$C$1472=1,1),(CROQUIS_DATOS!$C$1564+(IF(OR(IF(INT(($A867-1)/70)+1&gt;CROQUIS_DATOS!$C$1525,70,MOD($A867-1,70)+1)=1,IF(INT(($A867-1)/70)+1&gt;CROQUIS_DATOS!$C$1525,70,MOD($A867-1,70)+1)&gt;2*CROQUIS_DATOS!$C$1541+1),CROQUIS_DATOS!$C$1476,INDEX($H$8:$H$41,MIN(INT((IF(INT(($A867-1)/70)+1&gt;CROQUIS_DATOS!$C$1525,70,MOD($A867-1,70)+1)-2)/2)+1,CROQUIS_DATOS!$C$1541))))*CROQUIS_DATOS!$C$1561*CROQUIS_DATOS!$C$1562),-1000)</f>
        <v>40.2068965517241</v>
      </c>
    </row>
    <row r="868">
      <c r="A868" t="n">
        <v>861</v>
      </c>
      <c r="N868">
        <f>IF(AND(CROQUIS_DATOS!$C$1472=1,1),(CROQUIS_DATOS!$C$1563+(IF(IF(IF(INT(($A868-1)/70)+1&gt;CROQUIS_DATOS!$C$1525,70,MOD($A868-1,70)+1)=1,0,IF(IF(INT(($A868-1)/70)+1&gt;CROQUIS_DATOS!$C$1525,70,MOD($A868-1,70)+1)&gt;2*CROQUIS_DATOS!$C$1541+1,IF(MOD(CROQUIS_DATOS!$C$1541,2)=1,1,0),IF(MOD(MIN(INT((IF(INT(($A868-1)/70)+1&gt;CROQUIS_DATOS!$C$1525,70,MOD($A868-1,70)+1)-2)/2)+1,CROQUIS_DATOS!$C$1541),2)=1,IF(MOD(IF(INT(($A868-1)/70)+1&gt;CROQUIS_DATOS!$C$1525,70,MOD($A868-1,70)+1)-2,2)=0,0,1),IF(MOD(IF(INT(($A868-1)/70)+1&gt;CROQUIS_DATOS!$C$1525,70,MOD($A868-1,70)+1)-2,2)=0,1,0))))=0,(INDEX($E$8:$E$23,MIN(INT(($A868-1)/70)+1,CROQUIS_DATOS!$C$1525))-INDEX($F$8:$F$23,MIN(INT(($A868-1)/70)+1,CROQUIS_DATOS!$C$1525))/2),(INDEX($E$8:$E$23,MIN(INT(($A868-1)/70)+1,CROQUIS_DATOS!$C$1525))+INDEX($F$8:$F$23,MIN(INT(($A868-1)/70)+1,CROQUIS_DATOS!$C$1525))/2)))*CROQUIS_DATOS!$C$1562),-1000)</f>
        <v>82.8189655172414</v>
      </c>
      <c r="O868">
        <f>IF(AND(CROQUIS_DATOS!$C$1472=1,1),(CROQUIS_DATOS!$C$1564+(IF(OR(IF(INT(($A868-1)/70)+1&gt;CROQUIS_DATOS!$C$1525,70,MOD($A868-1,70)+1)=1,IF(INT(($A868-1)/70)+1&gt;CROQUIS_DATOS!$C$1525,70,MOD($A868-1,70)+1)&gt;2*CROQUIS_DATOS!$C$1541+1),CROQUIS_DATOS!$C$1476,INDEX($H$8:$H$41,MIN(INT((IF(INT(($A868-1)/70)+1&gt;CROQUIS_DATOS!$C$1525,70,MOD($A868-1,70)+1)-2)/2)+1,CROQUIS_DATOS!$C$1541))))*CROQUIS_DATOS!$C$1561*CROQUIS_DATOS!$C$1562),-1000)</f>
        <v>40.2068965517241</v>
      </c>
    </row>
    <row r="869">
      <c r="A869" t="n">
        <v>862</v>
      </c>
      <c r="N869">
        <f>IF(AND(CROQUIS_DATOS!$C$1472=1,1),(CROQUIS_DATOS!$C$1563+(IF(IF(IF(INT(($A869-1)/70)+1&gt;CROQUIS_DATOS!$C$1525,70,MOD($A869-1,70)+1)=1,0,IF(IF(INT(($A869-1)/70)+1&gt;CROQUIS_DATOS!$C$1525,70,MOD($A869-1,70)+1)&gt;2*CROQUIS_DATOS!$C$1541+1,IF(MOD(CROQUIS_DATOS!$C$1541,2)=1,1,0),IF(MOD(MIN(INT((IF(INT(($A869-1)/70)+1&gt;CROQUIS_DATOS!$C$1525,70,MOD($A869-1,70)+1)-2)/2)+1,CROQUIS_DATOS!$C$1541),2)=1,IF(MOD(IF(INT(($A869-1)/70)+1&gt;CROQUIS_DATOS!$C$1525,70,MOD($A869-1,70)+1)-2,2)=0,0,1),IF(MOD(IF(INT(($A869-1)/70)+1&gt;CROQUIS_DATOS!$C$1525,70,MOD($A869-1,70)+1)-2,2)=0,1,0))))=0,(INDEX($E$8:$E$23,MIN(INT(($A869-1)/70)+1,CROQUIS_DATOS!$C$1525))-INDEX($F$8:$F$23,MIN(INT(($A869-1)/70)+1,CROQUIS_DATOS!$C$1525))/2),(INDEX($E$8:$E$23,MIN(INT(($A869-1)/70)+1,CROQUIS_DATOS!$C$1525))+INDEX($F$8:$F$23,MIN(INT(($A869-1)/70)+1,CROQUIS_DATOS!$C$1525))/2)))*CROQUIS_DATOS!$C$1562),-1000)</f>
        <v>82.8189655172414</v>
      </c>
      <c r="O869">
        <f>IF(AND(CROQUIS_DATOS!$C$1472=1,1),(CROQUIS_DATOS!$C$1564+(IF(OR(IF(INT(($A869-1)/70)+1&gt;CROQUIS_DATOS!$C$1525,70,MOD($A869-1,70)+1)=1,IF(INT(($A869-1)/70)+1&gt;CROQUIS_DATOS!$C$1525,70,MOD($A869-1,70)+1)&gt;2*CROQUIS_DATOS!$C$1541+1),CROQUIS_DATOS!$C$1476,INDEX($H$8:$H$41,MIN(INT((IF(INT(($A869-1)/70)+1&gt;CROQUIS_DATOS!$C$1525,70,MOD($A869-1,70)+1)-2)/2)+1,CROQUIS_DATOS!$C$1541))))*CROQUIS_DATOS!$C$1561*CROQUIS_DATOS!$C$1562),-1000)</f>
        <v>40.2068965517241</v>
      </c>
    </row>
    <row r="870">
      <c r="A870" t="n">
        <v>863</v>
      </c>
      <c r="N870">
        <f>IF(AND(CROQUIS_DATOS!$C$1472=1,1),(CROQUIS_DATOS!$C$1563+(IF(IF(IF(INT(($A870-1)/70)+1&gt;CROQUIS_DATOS!$C$1525,70,MOD($A870-1,70)+1)=1,0,IF(IF(INT(($A870-1)/70)+1&gt;CROQUIS_DATOS!$C$1525,70,MOD($A870-1,70)+1)&gt;2*CROQUIS_DATOS!$C$1541+1,IF(MOD(CROQUIS_DATOS!$C$1541,2)=1,1,0),IF(MOD(MIN(INT((IF(INT(($A870-1)/70)+1&gt;CROQUIS_DATOS!$C$1525,70,MOD($A870-1,70)+1)-2)/2)+1,CROQUIS_DATOS!$C$1541),2)=1,IF(MOD(IF(INT(($A870-1)/70)+1&gt;CROQUIS_DATOS!$C$1525,70,MOD($A870-1,70)+1)-2,2)=0,0,1),IF(MOD(IF(INT(($A870-1)/70)+1&gt;CROQUIS_DATOS!$C$1525,70,MOD($A870-1,70)+1)-2,2)=0,1,0))))=0,(INDEX($E$8:$E$23,MIN(INT(($A870-1)/70)+1,CROQUIS_DATOS!$C$1525))-INDEX($F$8:$F$23,MIN(INT(($A870-1)/70)+1,CROQUIS_DATOS!$C$1525))/2),(INDEX($E$8:$E$23,MIN(INT(($A870-1)/70)+1,CROQUIS_DATOS!$C$1525))+INDEX($F$8:$F$23,MIN(INT(($A870-1)/70)+1,CROQUIS_DATOS!$C$1525))/2)))*CROQUIS_DATOS!$C$1562),-1000)</f>
        <v>82.8189655172414</v>
      </c>
      <c r="O870">
        <f>IF(AND(CROQUIS_DATOS!$C$1472=1,1),(CROQUIS_DATOS!$C$1564+(IF(OR(IF(INT(($A870-1)/70)+1&gt;CROQUIS_DATOS!$C$1525,70,MOD($A870-1,70)+1)=1,IF(INT(($A870-1)/70)+1&gt;CROQUIS_DATOS!$C$1525,70,MOD($A870-1,70)+1)&gt;2*CROQUIS_DATOS!$C$1541+1),CROQUIS_DATOS!$C$1476,INDEX($H$8:$H$41,MIN(INT((IF(INT(($A870-1)/70)+1&gt;CROQUIS_DATOS!$C$1525,70,MOD($A870-1,70)+1)-2)/2)+1,CROQUIS_DATOS!$C$1541))))*CROQUIS_DATOS!$C$1561*CROQUIS_DATOS!$C$1562),-1000)</f>
        <v>40.2068965517241</v>
      </c>
    </row>
    <row r="871">
      <c r="A871" t="n">
        <v>864</v>
      </c>
      <c r="N871">
        <f>IF(AND(CROQUIS_DATOS!$C$1472=1,1),(CROQUIS_DATOS!$C$1563+(IF(IF(IF(INT(($A871-1)/70)+1&gt;CROQUIS_DATOS!$C$1525,70,MOD($A871-1,70)+1)=1,0,IF(IF(INT(($A871-1)/70)+1&gt;CROQUIS_DATOS!$C$1525,70,MOD($A871-1,70)+1)&gt;2*CROQUIS_DATOS!$C$1541+1,IF(MOD(CROQUIS_DATOS!$C$1541,2)=1,1,0),IF(MOD(MIN(INT((IF(INT(($A871-1)/70)+1&gt;CROQUIS_DATOS!$C$1525,70,MOD($A871-1,70)+1)-2)/2)+1,CROQUIS_DATOS!$C$1541),2)=1,IF(MOD(IF(INT(($A871-1)/70)+1&gt;CROQUIS_DATOS!$C$1525,70,MOD($A871-1,70)+1)-2,2)=0,0,1),IF(MOD(IF(INT(($A871-1)/70)+1&gt;CROQUIS_DATOS!$C$1525,70,MOD($A871-1,70)+1)-2,2)=0,1,0))))=0,(INDEX($E$8:$E$23,MIN(INT(($A871-1)/70)+1,CROQUIS_DATOS!$C$1525))-INDEX($F$8:$F$23,MIN(INT(($A871-1)/70)+1,CROQUIS_DATOS!$C$1525))/2),(INDEX($E$8:$E$23,MIN(INT(($A871-1)/70)+1,CROQUIS_DATOS!$C$1525))+INDEX($F$8:$F$23,MIN(INT(($A871-1)/70)+1,CROQUIS_DATOS!$C$1525))/2)))*CROQUIS_DATOS!$C$1562),-1000)</f>
        <v>82.8189655172414</v>
      </c>
      <c r="O871">
        <f>IF(AND(CROQUIS_DATOS!$C$1472=1,1),(CROQUIS_DATOS!$C$1564+(IF(OR(IF(INT(($A871-1)/70)+1&gt;CROQUIS_DATOS!$C$1525,70,MOD($A871-1,70)+1)=1,IF(INT(($A871-1)/70)+1&gt;CROQUIS_DATOS!$C$1525,70,MOD($A871-1,70)+1)&gt;2*CROQUIS_DATOS!$C$1541+1),CROQUIS_DATOS!$C$1476,INDEX($H$8:$H$41,MIN(INT((IF(INT(($A871-1)/70)+1&gt;CROQUIS_DATOS!$C$1525,70,MOD($A871-1,70)+1)-2)/2)+1,CROQUIS_DATOS!$C$1541))))*CROQUIS_DATOS!$C$1561*CROQUIS_DATOS!$C$1562),-1000)</f>
        <v>40.2068965517241</v>
      </c>
    </row>
    <row r="872">
      <c r="A872" t="n">
        <v>865</v>
      </c>
      <c r="N872">
        <f>IF(AND(CROQUIS_DATOS!$C$1472=1,1),(CROQUIS_DATOS!$C$1563+(IF(IF(IF(INT(($A872-1)/70)+1&gt;CROQUIS_DATOS!$C$1525,70,MOD($A872-1,70)+1)=1,0,IF(IF(INT(($A872-1)/70)+1&gt;CROQUIS_DATOS!$C$1525,70,MOD($A872-1,70)+1)&gt;2*CROQUIS_DATOS!$C$1541+1,IF(MOD(CROQUIS_DATOS!$C$1541,2)=1,1,0),IF(MOD(MIN(INT((IF(INT(($A872-1)/70)+1&gt;CROQUIS_DATOS!$C$1525,70,MOD($A872-1,70)+1)-2)/2)+1,CROQUIS_DATOS!$C$1541),2)=1,IF(MOD(IF(INT(($A872-1)/70)+1&gt;CROQUIS_DATOS!$C$1525,70,MOD($A872-1,70)+1)-2,2)=0,0,1),IF(MOD(IF(INT(($A872-1)/70)+1&gt;CROQUIS_DATOS!$C$1525,70,MOD($A872-1,70)+1)-2,2)=0,1,0))))=0,(INDEX($E$8:$E$23,MIN(INT(($A872-1)/70)+1,CROQUIS_DATOS!$C$1525))-INDEX($F$8:$F$23,MIN(INT(($A872-1)/70)+1,CROQUIS_DATOS!$C$1525))/2),(INDEX($E$8:$E$23,MIN(INT(($A872-1)/70)+1,CROQUIS_DATOS!$C$1525))+INDEX($F$8:$F$23,MIN(INT(($A872-1)/70)+1,CROQUIS_DATOS!$C$1525))/2)))*CROQUIS_DATOS!$C$1562),-1000)</f>
        <v>82.8189655172414</v>
      </c>
      <c r="O872">
        <f>IF(AND(CROQUIS_DATOS!$C$1472=1,1),(CROQUIS_DATOS!$C$1564+(IF(OR(IF(INT(($A872-1)/70)+1&gt;CROQUIS_DATOS!$C$1525,70,MOD($A872-1,70)+1)=1,IF(INT(($A872-1)/70)+1&gt;CROQUIS_DATOS!$C$1525,70,MOD($A872-1,70)+1)&gt;2*CROQUIS_DATOS!$C$1541+1),CROQUIS_DATOS!$C$1476,INDEX($H$8:$H$41,MIN(INT((IF(INT(($A872-1)/70)+1&gt;CROQUIS_DATOS!$C$1525,70,MOD($A872-1,70)+1)-2)/2)+1,CROQUIS_DATOS!$C$1541))))*CROQUIS_DATOS!$C$1561*CROQUIS_DATOS!$C$1562),-1000)</f>
        <v>40.2068965517241</v>
      </c>
    </row>
    <row r="873">
      <c r="A873" t="n">
        <v>866</v>
      </c>
      <c r="N873">
        <f>IF(AND(CROQUIS_DATOS!$C$1472=1,1),(CROQUIS_DATOS!$C$1563+(IF(IF(IF(INT(($A873-1)/70)+1&gt;CROQUIS_DATOS!$C$1525,70,MOD($A873-1,70)+1)=1,0,IF(IF(INT(($A873-1)/70)+1&gt;CROQUIS_DATOS!$C$1525,70,MOD($A873-1,70)+1)&gt;2*CROQUIS_DATOS!$C$1541+1,IF(MOD(CROQUIS_DATOS!$C$1541,2)=1,1,0),IF(MOD(MIN(INT((IF(INT(($A873-1)/70)+1&gt;CROQUIS_DATOS!$C$1525,70,MOD($A873-1,70)+1)-2)/2)+1,CROQUIS_DATOS!$C$1541),2)=1,IF(MOD(IF(INT(($A873-1)/70)+1&gt;CROQUIS_DATOS!$C$1525,70,MOD($A873-1,70)+1)-2,2)=0,0,1),IF(MOD(IF(INT(($A873-1)/70)+1&gt;CROQUIS_DATOS!$C$1525,70,MOD($A873-1,70)+1)-2,2)=0,1,0))))=0,(INDEX($E$8:$E$23,MIN(INT(($A873-1)/70)+1,CROQUIS_DATOS!$C$1525))-INDEX($F$8:$F$23,MIN(INT(($A873-1)/70)+1,CROQUIS_DATOS!$C$1525))/2),(INDEX($E$8:$E$23,MIN(INT(($A873-1)/70)+1,CROQUIS_DATOS!$C$1525))+INDEX($F$8:$F$23,MIN(INT(($A873-1)/70)+1,CROQUIS_DATOS!$C$1525))/2)))*CROQUIS_DATOS!$C$1562),-1000)</f>
        <v>82.8189655172414</v>
      </c>
      <c r="O873">
        <f>IF(AND(CROQUIS_DATOS!$C$1472=1,1),(CROQUIS_DATOS!$C$1564+(IF(OR(IF(INT(($A873-1)/70)+1&gt;CROQUIS_DATOS!$C$1525,70,MOD($A873-1,70)+1)=1,IF(INT(($A873-1)/70)+1&gt;CROQUIS_DATOS!$C$1525,70,MOD($A873-1,70)+1)&gt;2*CROQUIS_DATOS!$C$1541+1),CROQUIS_DATOS!$C$1476,INDEX($H$8:$H$41,MIN(INT((IF(INT(($A873-1)/70)+1&gt;CROQUIS_DATOS!$C$1525,70,MOD($A873-1,70)+1)-2)/2)+1,CROQUIS_DATOS!$C$1541))))*CROQUIS_DATOS!$C$1561*CROQUIS_DATOS!$C$1562),-1000)</f>
        <v>40.2068965517241</v>
      </c>
    </row>
    <row r="874">
      <c r="A874" t="n">
        <v>867</v>
      </c>
      <c r="N874">
        <f>IF(AND(CROQUIS_DATOS!$C$1472=1,1),(CROQUIS_DATOS!$C$1563+(IF(IF(IF(INT(($A874-1)/70)+1&gt;CROQUIS_DATOS!$C$1525,70,MOD($A874-1,70)+1)=1,0,IF(IF(INT(($A874-1)/70)+1&gt;CROQUIS_DATOS!$C$1525,70,MOD($A874-1,70)+1)&gt;2*CROQUIS_DATOS!$C$1541+1,IF(MOD(CROQUIS_DATOS!$C$1541,2)=1,1,0),IF(MOD(MIN(INT((IF(INT(($A874-1)/70)+1&gt;CROQUIS_DATOS!$C$1525,70,MOD($A874-1,70)+1)-2)/2)+1,CROQUIS_DATOS!$C$1541),2)=1,IF(MOD(IF(INT(($A874-1)/70)+1&gt;CROQUIS_DATOS!$C$1525,70,MOD($A874-1,70)+1)-2,2)=0,0,1),IF(MOD(IF(INT(($A874-1)/70)+1&gt;CROQUIS_DATOS!$C$1525,70,MOD($A874-1,70)+1)-2,2)=0,1,0))))=0,(INDEX($E$8:$E$23,MIN(INT(($A874-1)/70)+1,CROQUIS_DATOS!$C$1525))-INDEX($F$8:$F$23,MIN(INT(($A874-1)/70)+1,CROQUIS_DATOS!$C$1525))/2),(INDEX($E$8:$E$23,MIN(INT(($A874-1)/70)+1,CROQUIS_DATOS!$C$1525))+INDEX($F$8:$F$23,MIN(INT(($A874-1)/70)+1,CROQUIS_DATOS!$C$1525))/2)))*CROQUIS_DATOS!$C$1562),-1000)</f>
        <v>82.8189655172414</v>
      </c>
      <c r="O874">
        <f>IF(AND(CROQUIS_DATOS!$C$1472=1,1),(CROQUIS_DATOS!$C$1564+(IF(OR(IF(INT(($A874-1)/70)+1&gt;CROQUIS_DATOS!$C$1525,70,MOD($A874-1,70)+1)=1,IF(INT(($A874-1)/70)+1&gt;CROQUIS_DATOS!$C$1525,70,MOD($A874-1,70)+1)&gt;2*CROQUIS_DATOS!$C$1541+1),CROQUIS_DATOS!$C$1476,INDEX($H$8:$H$41,MIN(INT((IF(INT(($A874-1)/70)+1&gt;CROQUIS_DATOS!$C$1525,70,MOD($A874-1,70)+1)-2)/2)+1,CROQUIS_DATOS!$C$1541))))*CROQUIS_DATOS!$C$1561*CROQUIS_DATOS!$C$1562),-1000)</f>
        <v>40.2068965517241</v>
      </c>
    </row>
    <row r="875">
      <c r="A875" t="n">
        <v>868</v>
      </c>
      <c r="N875">
        <f>IF(AND(CROQUIS_DATOS!$C$1472=1,1),(CROQUIS_DATOS!$C$1563+(IF(IF(IF(INT(($A875-1)/70)+1&gt;CROQUIS_DATOS!$C$1525,70,MOD($A875-1,70)+1)=1,0,IF(IF(INT(($A875-1)/70)+1&gt;CROQUIS_DATOS!$C$1525,70,MOD($A875-1,70)+1)&gt;2*CROQUIS_DATOS!$C$1541+1,IF(MOD(CROQUIS_DATOS!$C$1541,2)=1,1,0),IF(MOD(MIN(INT((IF(INT(($A875-1)/70)+1&gt;CROQUIS_DATOS!$C$1525,70,MOD($A875-1,70)+1)-2)/2)+1,CROQUIS_DATOS!$C$1541),2)=1,IF(MOD(IF(INT(($A875-1)/70)+1&gt;CROQUIS_DATOS!$C$1525,70,MOD($A875-1,70)+1)-2,2)=0,0,1),IF(MOD(IF(INT(($A875-1)/70)+1&gt;CROQUIS_DATOS!$C$1525,70,MOD($A875-1,70)+1)-2,2)=0,1,0))))=0,(INDEX($E$8:$E$23,MIN(INT(($A875-1)/70)+1,CROQUIS_DATOS!$C$1525))-INDEX($F$8:$F$23,MIN(INT(($A875-1)/70)+1,CROQUIS_DATOS!$C$1525))/2),(INDEX($E$8:$E$23,MIN(INT(($A875-1)/70)+1,CROQUIS_DATOS!$C$1525))+INDEX($F$8:$F$23,MIN(INT(($A875-1)/70)+1,CROQUIS_DATOS!$C$1525))/2)))*CROQUIS_DATOS!$C$1562),-1000)</f>
        <v>82.8189655172414</v>
      </c>
      <c r="O875">
        <f>IF(AND(CROQUIS_DATOS!$C$1472=1,1),(CROQUIS_DATOS!$C$1564+(IF(OR(IF(INT(($A875-1)/70)+1&gt;CROQUIS_DATOS!$C$1525,70,MOD($A875-1,70)+1)=1,IF(INT(($A875-1)/70)+1&gt;CROQUIS_DATOS!$C$1525,70,MOD($A875-1,70)+1)&gt;2*CROQUIS_DATOS!$C$1541+1),CROQUIS_DATOS!$C$1476,INDEX($H$8:$H$41,MIN(INT((IF(INT(($A875-1)/70)+1&gt;CROQUIS_DATOS!$C$1525,70,MOD($A875-1,70)+1)-2)/2)+1,CROQUIS_DATOS!$C$1541))))*CROQUIS_DATOS!$C$1561*CROQUIS_DATOS!$C$1562),-1000)</f>
        <v>40.2068965517241</v>
      </c>
    </row>
    <row r="876">
      <c r="A876" t="n">
        <v>869</v>
      </c>
      <c r="N876">
        <f>IF(AND(CROQUIS_DATOS!$C$1472=1,1),(CROQUIS_DATOS!$C$1563+(IF(IF(IF(INT(($A876-1)/70)+1&gt;CROQUIS_DATOS!$C$1525,70,MOD($A876-1,70)+1)=1,0,IF(IF(INT(($A876-1)/70)+1&gt;CROQUIS_DATOS!$C$1525,70,MOD($A876-1,70)+1)&gt;2*CROQUIS_DATOS!$C$1541+1,IF(MOD(CROQUIS_DATOS!$C$1541,2)=1,1,0),IF(MOD(MIN(INT((IF(INT(($A876-1)/70)+1&gt;CROQUIS_DATOS!$C$1525,70,MOD($A876-1,70)+1)-2)/2)+1,CROQUIS_DATOS!$C$1541),2)=1,IF(MOD(IF(INT(($A876-1)/70)+1&gt;CROQUIS_DATOS!$C$1525,70,MOD($A876-1,70)+1)-2,2)=0,0,1),IF(MOD(IF(INT(($A876-1)/70)+1&gt;CROQUIS_DATOS!$C$1525,70,MOD($A876-1,70)+1)-2,2)=0,1,0))))=0,(INDEX($E$8:$E$23,MIN(INT(($A876-1)/70)+1,CROQUIS_DATOS!$C$1525))-INDEX($F$8:$F$23,MIN(INT(($A876-1)/70)+1,CROQUIS_DATOS!$C$1525))/2),(INDEX($E$8:$E$23,MIN(INT(($A876-1)/70)+1,CROQUIS_DATOS!$C$1525))+INDEX($F$8:$F$23,MIN(INT(($A876-1)/70)+1,CROQUIS_DATOS!$C$1525))/2)))*CROQUIS_DATOS!$C$1562),-1000)</f>
        <v>82.8189655172414</v>
      </c>
      <c r="O876">
        <f>IF(AND(CROQUIS_DATOS!$C$1472=1,1),(CROQUIS_DATOS!$C$1564+(IF(OR(IF(INT(($A876-1)/70)+1&gt;CROQUIS_DATOS!$C$1525,70,MOD($A876-1,70)+1)=1,IF(INT(($A876-1)/70)+1&gt;CROQUIS_DATOS!$C$1525,70,MOD($A876-1,70)+1)&gt;2*CROQUIS_DATOS!$C$1541+1),CROQUIS_DATOS!$C$1476,INDEX($H$8:$H$41,MIN(INT((IF(INT(($A876-1)/70)+1&gt;CROQUIS_DATOS!$C$1525,70,MOD($A876-1,70)+1)-2)/2)+1,CROQUIS_DATOS!$C$1541))))*CROQUIS_DATOS!$C$1561*CROQUIS_DATOS!$C$1562),-1000)</f>
        <v>40.2068965517241</v>
      </c>
    </row>
    <row r="877">
      <c r="A877" t="n">
        <v>870</v>
      </c>
      <c r="N877">
        <f>IF(AND(CROQUIS_DATOS!$C$1472=1,1),(CROQUIS_DATOS!$C$1563+(IF(IF(IF(INT(($A877-1)/70)+1&gt;CROQUIS_DATOS!$C$1525,70,MOD($A877-1,70)+1)=1,0,IF(IF(INT(($A877-1)/70)+1&gt;CROQUIS_DATOS!$C$1525,70,MOD($A877-1,70)+1)&gt;2*CROQUIS_DATOS!$C$1541+1,IF(MOD(CROQUIS_DATOS!$C$1541,2)=1,1,0),IF(MOD(MIN(INT((IF(INT(($A877-1)/70)+1&gt;CROQUIS_DATOS!$C$1525,70,MOD($A877-1,70)+1)-2)/2)+1,CROQUIS_DATOS!$C$1541),2)=1,IF(MOD(IF(INT(($A877-1)/70)+1&gt;CROQUIS_DATOS!$C$1525,70,MOD($A877-1,70)+1)-2,2)=0,0,1),IF(MOD(IF(INT(($A877-1)/70)+1&gt;CROQUIS_DATOS!$C$1525,70,MOD($A877-1,70)+1)-2,2)=0,1,0))))=0,(INDEX($E$8:$E$23,MIN(INT(($A877-1)/70)+1,CROQUIS_DATOS!$C$1525))-INDEX($F$8:$F$23,MIN(INT(($A877-1)/70)+1,CROQUIS_DATOS!$C$1525))/2),(INDEX($E$8:$E$23,MIN(INT(($A877-1)/70)+1,CROQUIS_DATOS!$C$1525))+INDEX($F$8:$F$23,MIN(INT(($A877-1)/70)+1,CROQUIS_DATOS!$C$1525))/2)))*CROQUIS_DATOS!$C$1562),-1000)</f>
        <v>82.8189655172414</v>
      </c>
      <c r="O877">
        <f>IF(AND(CROQUIS_DATOS!$C$1472=1,1),(CROQUIS_DATOS!$C$1564+(IF(OR(IF(INT(($A877-1)/70)+1&gt;CROQUIS_DATOS!$C$1525,70,MOD($A877-1,70)+1)=1,IF(INT(($A877-1)/70)+1&gt;CROQUIS_DATOS!$C$1525,70,MOD($A877-1,70)+1)&gt;2*CROQUIS_DATOS!$C$1541+1),CROQUIS_DATOS!$C$1476,INDEX($H$8:$H$41,MIN(INT((IF(INT(($A877-1)/70)+1&gt;CROQUIS_DATOS!$C$1525,70,MOD($A877-1,70)+1)-2)/2)+1,CROQUIS_DATOS!$C$1541))))*CROQUIS_DATOS!$C$1561*CROQUIS_DATOS!$C$1562),-1000)</f>
        <v>40.2068965517241</v>
      </c>
    </row>
    <row r="878">
      <c r="A878" t="n">
        <v>871</v>
      </c>
      <c r="N878">
        <f>IF(AND(CROQUIS_DATOS!$C$1472=1,1),(CROQUIS_DATOS!$C$1563+(IF(IF(IF(INT(($A878-1)/70)+1&gt;CROQUIS_DATOS!$C$1525,70,MOD($A878-1,70)+1)=1,0,IF(IF(INT(($A878-1)/70)+1&gt;CROQUIS_DATOS!$C$1525,70,MOD($A878-1,70)+1)&gt;2*CROQUIS_DATOS!$C$1541+1,IF(MOD(CROQUIS_DATOS!$C$1541,2)=1,1,0),IF(MOD(MIN(INT((IF(INT(($A878-1)/70)+1&gt;CROQUIS_DATOS!$C$1525,70,MOD($A878-1,70)+1)-2)/2)+1,CROQUIS_DATOS!$C$1541),2)=1,IF(MOD(IF(INT(($A878-1)/70)+1&gt;CROQUIS_DATOS!$C$1525,70,MOD($A878-1,70)+1)-2,2)=0,0,1),IF(MOD(IF(INT(($A878-1)/70)+1&gt;CROQUIS_DATOS!$C$1525,70,MOD($A878-1,70)+1)-2,2)=0,1,0))))=0,(INDEX($E$8:$E$23,MIN(INT(($A878-1)/70)+1,CROQUIS_DATOS!$C$1525))-INDEX($F$8:$F$23,MIN(INT(($A878-1)/70)+1,CROQUIS_DATOS!$C$1525))/2),(INDEX($E$8:$E$23,MIN(INT(($A878-1)/70)+1,CROQUIS_DATOS!$C$1525))+INDEX($F$8:$F$23,MIN(INT(($A878-1)/70)+1,CROQUIS_DATOS!$C$1525))/2)))*CROQUIS_DATOS!$C$1562),-1000)</f>
        <v>82.8189655172414</v>
      </c>
      <c r="O878">
        <f>IF(AND(CROQUIS_DATOS!$C$1472=1,1),(CROQUIS_DATOS!$C$1564+(IF(OR(IF(INT(($A878-1)/70)+1&gt;CROQUIS_DATOS!$C$1525,70,MOD($A878-1,70)+1)=1,IF(INT(($A878-1)/70)+1&gt;CROQUIS_DATOS!$C$1525,70,MOD($A878-1,70)+1)&gt;2*CROQUIS_DATOS!$C$1541+1),CROQUIS_DATOS!$C$1476,INDEX($H$8:$H$41,MIN(INT((IF(INT(($A878-1)/70)+1&gt;CROQUIS_DATOS!$C$1525,70,MOD($A878-1,70)+1)-2)/2)+1,CROQUIS_DATOS!$C$1541))))*CROQUIS_DATOS!$C$1561*CROQUIS_DATOS!$C$1562),-1000)</f>
        <v>40.2068965517241</v>
      </c>
    </row>
    <row r="879">
      <c r="A879" t="n">
        <v>872</v>
      </c>
      <c r="N879">
        <f>IF(AND(CROQUIS_DATOS!$C$1472=1,1),(CROQUIS_DATOS!$C$1563+(IF(IF(IF(INT(($A879-1)/70)+1&gt;CROQUIS_DATOS!$C$1525,70,MOD($A879-1,70)+1)=1,0,IF(IF(INT(($A879-1)/70)+1&gt;CROQUIS_DATOS!$C$1525,70,MOD($A879-1,70)+1)&gt;2*CROQUIS_DATOS!$C$1541+1,IF(MOD(CROQUIS_DATOS!$C$1541,2)=1,1,0),IF(MOD(MIN(INT((IF(INT(($A879-1)/70)+1&gt;CROQUIS_DATOS!$C$1525,70,MOD($A879-1,70)+1)-2)/2)+1,CROQUIS_DATOS!$C$1541),2)=1,IF(MOD(IF(INT(($A879-1)/70)+1&gt;CROQUIS_DATOS!$C$1525,70,MOD($A879-1,70)+1)-2,2)=0,0,1),IF(MOD(IF(INT(($A879-1)/70)+1&gt;CROQUIS_DATOS!$C$1525,70,MOD($A879-1,70)+1)-2,2)=0,1,0))))=0,(INDEX($E$8:$E$23,MIN(INT(($A879-1)/70)+1,CROQUIS_DATOS!$C$1525))-INDEX($F$8:$F$23,MIN(INT(($A879-1)/70)+1,CROQUIS_DATOS!$C$1525))/2),(INDEX($E$8:$E$23,MIN(INT(($A879-1)/70)+1,CROQUIS_DATOS!$C$1525))+INDEX($F$8:$F$23,MIN(INT(($A879-1)/70)+1,CROQUIS_DATOS!$C$1525))/2)))*CROQUIS_DATOS!$C$1562),-1000)</f>
        <v>82.8189655172414</v>
      </c>
      <c r="O879">
        <f>IF(AND(CROQUIS_DATOS!$C$1472=1,1),(CROQUIS_DATOS!$C$1564+(IF(OR(IF(INT(($A879-1)/70)+1&gt;CROQUIS_DATOS!$C$1525,70,MOD($A879-1,70)+1)=1,IF(INT(($A879-1)/70)+1&gt;CROQUIS_DATOS!$C$1525,70,MOD($A879-1,70)+1)&gt;2*CROQUIS_DATOS!$C$1541+1),CROQUIS_DATOS!$C$1476,INDEX($H$8:$H$41,MIN(INT((IF(INT(($A879-1)/70)+1&gt;CROQUIS_DATOS!$C$1525,70,MOD($A879-1,70)+1)-2)/2)+1,CROQUIS_DATOS!$C$1541))))*CROQUIS_DATOS!$C$1561*CROQUIS_DATOS!$C$1562),-1000)</f>
        <v>40.2068965517241</v>
      </c>
    </row>
    <row r="880">
      <c r="A880" t="n">
        <v>873</v>
      </c>
      <c r="N880">
        <f>IF(AND(CROQUIS_DATOS!$C$1472=1,1),(CROQUIS_DATOS!$C$1563+(IF(IF(IF(INT(($A880-1)/70)+1&gt;CROQUIS_DATOS!$C$1525,70,MOD($A880-1,70)+1)=1,0,IF(IF(INT(($A880-1)/70)+1&gt;CROQUIS_DATOS!$C$1525,70,MOD($A880-1,70)+1)&gt;2*CROQUIS_DATOS!$C$1541+1,IF(MOD(CROQUIS_DATOS!$C$1541,2)=1,1,0),IF(MOD(MIN(INT((IF(INT(($A880-1)/70)+1&gt;CROQUIS_DATOS!$C$1525,70,MOD($A880-1,70)+1)-2)/2)+1,CROQUIS_DATOS!$C$1541),2)=1,IF(MOD(IF(INT(($A880-1)/70)+1&gt;CROQUIS_DATOS!$C$1525,70,MOD($A880-1,70)+1)-2,2)=0,0,1),IF(MOD(IF(INT(($A880-1)/70)+1&gt;CROQUIS_DATOS!$C$1525,70,MOD($A880-1,70)+1)-2,2)=0,1,0))))=0,(INDEX($E$8:$E$23,MIN(INT(($A880-1)/70)+1,CROQUIS_DATOS!$C$1525))-INDEX($F$8:$F$23,MIN(INT(($A880-1)/70)+1,CROQUIS_DATOS!$C$1525))/2),(INDEX($E$8:$E$23,MIN(INT(($A880-1)/70)+1,CROQUIS_DATOS!$C$1525))+INDEX($F$8:$F$23,MIN(INT(($A880-1)/70)+1,CROQUIS_DATOS!$C$1525))/2)))*CROQUIS_DATOS!$C$1562),-1000)</f>
        <v>82.8189655172414</v>
      </c>
      <c r="O880">
        <f>IF(AND(CROQUIS_DATOS!$C$1472=1,1),(CROQUIS_DATOS!$C$1564+(IF(OR(IF(INT(($A880-1)/70)+1&gt;CROQUIS_DATOS!$C$1525,70,MOD($A880-1,70)+1)=1,IF(INT(($A880-1)/70)+1&gt;CROQUIS_DATOS!$C$1525,70,MOD($A880-1,70)+1)&gt;2*CROQUIS_DATOS!$C$1541+1),CROQUIS_DATOS!$C$1476,INDEX($H$8:$H$41,MIN(INT((IF(INT(($A880-1)/70)+1&gt;CROQUIS_DATOS!$C$1525,70,MOD($A880-1,70)+1)-2)/2)+1,CROQUIS_DATOS!$C$1541))))*CROQUIS_DATOS!$C$1561*CROQUIS_DATOS!$C$1562),-1000)</f>
        <v>40.2068965517241</v>
      </c>
    </row>
    <row r="881">
      <c r="A881" t="n">
        <v>874</v>
      </c>
      <c r="N881">
        <f>IF(AND(CROQUIS_DATOS!$C$1472=1,1),(CROQUIS_DATOS!$C$1563+(IF(IF(IF(INT(($A881-1)/70)+1&gt;CROQUIS_DATOS!$C$1525,70,MOD($A881-1,70)+1)=1,0,IF(IF(INT(($A881-1)/70)+1&gt;CROQUIS_DATOS!$C$1525,70,MOD($A881-1,70)+1)&gt;2*CROQUIS_DATOS!$C$1541+1,IF(MOD(CROQUIS_DATOS!$C$1541,2)=1,1,0),IF(MOD(MIN(INT((IF(INT(($A881-1)/70)+1&gt;CROQUIS_DATOS!$C$1525,70,MOD($A881-1,70)+1)-2)/2)+1,CROQUIS_DATOS!$C$1541),2)=1,IF(MOD(IF(INT(($A881-1)/70)+1&gt;CROQUIS_DATOS!$C$1525,70,MOD($A881-1,70)+1)-2,2)=0,0,1),IF(MOD(IF(INT(($A881-1)/70)+1&gt;CROQUIS_DATOS!$C$1525,70,MOD($A881-1,70)+1)-2,2)=0,1,0))))=0,(INDEX($E$8:$E$23,MIN(INT(($A881-1)/70)+1,CROQUIS_DATOS!$C$1525))-INDEX($F$8:$F$23,MIN(INT(($A881-1)/70)+1,CROQUIS_DATOS!$C$1525))/2),(INDEX($E$8:$E$23,MIN(INT(($A881-1)/70)+1,CROQUIS_DATOS!$C$1525))+INDEX($F$8:$F$23,MIN(INT(($A881-1)/70)+1,CROQUIS_DATOS!$C$1525))/2)))*CROQUIS_DATOS!$C$1562),-1000)</f>
        <v>82.8189655172414</v>
      </c>
      <c r="O881">
        <f>IF(AND(CROQUIS_DATOS!$C$1472=1,1),(CROQUIS_DATOS!$C$1564+(IF(OR(IF(INT(($A881-1)/70)+1&gt;CROQUIS_DATOS!$C$1525,70,MOD($A881-1,70)+1)=1,IF(INT(($A881-1)/70)+1&gt;CROQUIS_DATOS!$C$1525,70,MOD($A881-1,70)+1)&gt;2*CROQUIS_DATOS!$C$1541+1),CROQUIS_DATOS!$C$1476,INDEX($H$8:$H$41,MIN(INT((IF(INT(($A881-1)/70)+1&gt;CROQUIS_DATOS!$C$1525,70,MOD($A881-1,70)+1)-2)/2)+1,CROQUIS_DATOS!$C$1541))))*CROQUIS_DATOS!$C$1561*CROQUIS_DATOS!$C$1562),-1000)</f>
        <v>40.2068965517241</v>
      </c>
    </row>
    <row r="882">
      <c r="A882" t="n">
        <v>875</v>
      </c>
      <c r="N882">
        <f>IF(AND(CROQUIS_DATOS!$C$1472=1,1),(CROQUIS_DATOS!$C$1563+(IF(IF(IF(INT(($A882-1)/70)+1&gt;CROQUIS_DATOS!$C$1525,70,MOD($A882-1,70)+1)=1,0,IF(IF(INT(($A882-1)/70)+1&gt;CROQUIS_DATOS!$C$1525,70,MOD($A882-1,70)+1)&gt;2*CROQUIS_DATOS!$C$1541+1,IF(MOD(CROQUIS_DATOS!$C$1541,2)=1,1,0),IF(MOD(MIN(INT((IF(INT(($A882-1)/70)+1&gt;CROQUIS_DATOS!$C$1525,70,MOD($A882-1,70)+1)-2)/2)+1,CROQUIS_DATOS!$C$1541),2)=1,IF(MOD(IF(INT(($A882-1)/70)+1&gt;CROQUIS_DATOS!$C$1525,70,MOD($A882-1,70)+1)-2,2)=0,0,1),IF(MOD(IF(INT(($A882-1)/70)+1&gt;CROQUIS_DATOS!$C$1525,70,MOD($A882-1,70)+1)-2,2)=0,1,0))))=0,(INDEX($E$8:$E$23,MIN(INT(($A882-1)/70)+1,CROQUIS_DATOS!$C$1525))-INDEX($F$8:$F$23,MIN(INT(($A882-1)/70)+1,CROQUIS_DATOS!$C$1525))/2),(INDEX($E$8:$E$23,MIN(INT(($A882-1)/70)+1,CROQUIS_DATOS!$C$1525))+INDEX($F$8:$F$23,MIN(INT(($A882-1)/70)+1,CROQUIS_DATOS!$C$1525))/2)))*CROQUIS_DATOS!$C$1562),-1000)</f>
        <v>82.8189655172414</v>
      </c>
      <c r="O882">
        <f>IF(AND(CROQUIS_DATOS!$C$1472=1,1),(CROQUIS_DATOS!$C$1564+(IF(OR(IF(INT(($A882-1)/70)+1&gt;CROQUIS_DATOS!$C$1525,70,MOD($A882-1,70)+1)=1,IF(INT(($A882-1)/70)+1&gt;CROQUIS_DATOS!$C$1525,70,MOD($A882-1,70)+1)&gt;2*CROQUIS_DATOS!$C$1541+1),CROQUIS_DATOS!$C$1476,INDEX($H$8:$H$41,MIN(INT((IF(INT(($A882-1)/70)+1&gt;CROQUIS_DATOS!$C$1525,70,MOD($A882-1,70)+1)-2)/2)+1,CROQUIS_DATOS!$C$1541))))*CROQUIS_DATOS!$C$1561*CROQUIS_DATOS!$C$1562),-1000)</f>
        <v>40.2068965517241</v>
      </c>
    </row>
    <row r="883">
      <c r="A883" t="n">
        <v>876</v>
      </c>
      <c r="N883">
        <f>IF(AND(CROQUIS_DATOS!$C$1472=1,1),(CROQUIS_DATOS!$C$1563+(IF(IF(IF(INT(($A883-1)/70)+1&gt;CROQUIS_DATOS!$C$1525,70,MOD($A883-1,70)+1)=1,0,IF(IF(INT(($A883-1)/70)+1&gt;CROQUIS_DATOS!$C$1525,70,MOD($A883-1,70)+1)&gt;2*CROQUIS_DATOS!$C$1541+1,IF(MOD(CROQUIS_DATOS!$C$1541,2)=1,1,0),IF(MOD(MIN(INT((IF(INT(($A883-1)/70)+1&gt;CROQUIS_DATOS!$C$1525,70,MOD($A883-1,70)+1)-2)/2)+1,CROQUIS_DATOS!$C$1541),2)=1,IF(MOD(IF(INT(($A883-1)/70)+1&gt;CROQUIS_DATOS!$C$1525,70,MOD($A883-1,70)+1)-2,2)=0,0,1),IF(MOD(IF(INT(($A883-1)/70)+1&gt;CROQUIS_DATOS!$C$1525,70,MOD($A883-1,70)+1)-2,2)=0,1,0))))=0,(INDEX($E$8:$E$23,MIN(INT(($A883-1)/70)+1,CROQUIS_DATOS!$C$1525))-INDEX($F$8:$F$23,MIN(INT(($A883-1)/70)+1,CROQUIS_DATOS!$C$1525))/2),(INDEX($E$8:$E$23,MIN(INT(($A883-1)/70)+1,CROQUIS_DATOS!$C$1525))+INDEX($F$8:$F$23,MIN(INT(($A883-1)/70)+1,CROQUIS_DATOS!$C$1525))/2)))*CROQUIS_DATOS!$C$1562),-1000)</f>
        <v>82.8189655172414</v>
      </c>
      <c r="O883">
        <f>IF(AND(CROQUIS_DATOS!$C$1472=1,1),(CROQUIS_DATOS!$C$1564+(IF(OR(IF(INT(($A883-1)/70)+1&gt;CROQUIS_DATOS!$C$1525,70,MOD($A883-1,70)+1)=1,IF(INT(($A883-1)/70)+1&gt;CROQUIS_DATOS!$C$1525,70,MOD($A883-1,70)+1)&gt;2*CROQUIS_DATOS!$C$1541+1),CROQUIS_DATOS!$C$1476,INDEX($H$8:$H$41,MIN(INT((IF(INT(($A883-1)/70)+1&gt;CROQUIS_DATOS!$C$1525,70,MOD($A883-1,70)+1)-2)/2)+1,CROQUIS_DATOS!$C$1541))))*CROQUIS_DATOS!$C$1561*CROQUIS_DATOS!$C$1562),-1000)</f>
        <v>40.2068965517241</v>
      </c>
    </row>
    <row r="884">
      <c r="A884" t="n">
        <v>877</v>
      </c>
      <c r="N884">
        <f>IF(AND(CROQUIS_DATOS!$C$1472=1,1),(CROQUIS_DATOS!$C$1563+(IF(IF(IF(INT(($A884-1)/70)+1&gt;CROQUIS_DATOS!$C$1525,70,MOD($A884-1,70)+1)=1,0,IF(IF(INT(($A884-1)/70)+1&gt;CROQUIS_DATOS!$C$1525,70,MOD($A884-1,70)+1)&gt;2*CROQUIS_DATOS!$C$1541+1,IF(MOD(CROQUIS_DATOS!$C$1541,2)=1,1,0),IF(MOD(MIN(INT((IF(INT(($A884-1)/70)+1&gt;CROQUIS_DATOS!$C$1525,70,MOD($A884-1,70)+1)-2)/2)+1,CROQUIS_DATOS!$C$1541),2)=1,IF(MOD(IF(INT(($A884-1)/70)+1&gt;CROQUIS_DATOS!$C$1525,70,MOD($A884-1,70)+1)-2,2)=0,0,1),IF(MOD(IF(INT(($A884-1)/70)+1&gt;CROQUIS_DATOS!$C$1525,70,MOD($A884-1,70)+1)-2,2)=0,1,0))))=0,(INDEX($E$8:$E$23,MIN(INT(($A884-1)/70)+1,CROQUIS_DATOS!$C$1525))-INDEX($F$8:$F$23,MIN(INT(($A884-1)/70)+1,CROQUIS_DATOS!$C$1525))/2),(INDEX($E$8:$E$23,MIN(INT(($A884-1)/70)+1,CROQUIS_DATOS!$C$1525))+INDEX($F$8:$F$23,MIN(INT(($A884-1)/70)+1,CROQUIS_DATOS!$C$1525))/2)))*CROQUIS_DATOS!$C$1562),-1000)</f>
        <v>82.8189655172414</v>
      </c>
      <c r="O884">
        <f>IF(AND(CROQUIS_DATOS!$C$1472=1,1),(CROQUIS_DATOS!$C$1564+(IF(OR(IF(INT(($A884-1)/70)+1&gt;CROQUIS_DATOS!$C$1525,70,MOD($A884-1,70)+1)=1,IF(INT(($A884-1)/70)+1&gt;CROQUIS_DATOS!$C$1525,70,MOD($A884-1,70)+1)&gt;2*CROQUIS_DATOS!$C$1541+1),CROQUIS_DATOS!$C$1476,INDEX($H$8:$H$41,MIN(INT((IF(INT(($A884-1)/70)+1&gt;CROQUIS_DATOS!$C$1525,70,MOD($A884-1,70)+1)-2)/2)+1,CROQUIS_DATOS!$C$1541))))*CROQUIS_DATOS!$C$1561*CROQUIS_DATOS!$C$1562),-1000)</f>
        <v>40.2068965517241</v>
      </c>
    </row>
    <row r="885">
      <c r="A885" t="n">
        <v>878</v>
      </c>
      <c r="N885">
        <f>IF(AND(CROQUIS_DATOS!$C$1472=1,1),(CROQUIS_DATOS!$C$1563+(IF(IF(IF(INT(($A885-1)/70)+1&gt;CROQUIS_DATOS!$C$1525,70,MOD($A885-1,70)+1)=1,0,IF(IF(INT(($A885-1)/70)+1&gt;CROQUIS_DATOS!$C$1525,70,MOD($A885-1,70)+1)&gt;2*CROQUIS_DATOS!$C$1541+1,IF(MOD(CROQUIS_DATOS!$C$1541,2)=1,1,0),IF(MOD(MIN(INT((IF(INT(($A885-1)/70)+1&gt;CROQUIS_DATOS!$C$1525,70,MOD($A885-1,70)+1)-2)/2)+1,CROQUIS_DATOS!$C$1541),2)=1,IF(MOD(IF(INT(($A885-1)/70)+1&gt;CROQUIS_DATOS!$C$1525,70,MOD($A885-1,70)+1)-2,2)=0,0,1),IF(MOD(IF(INT(($A885-1)/70)+1&gt;CROQUIS_DATOS!$C$1525,70,MOD($A885-1,70)+1)-2,2)=0,1,0))))=0,(INDEX($E$8:$E$23,MIN(INT(($A885-1)/70)+1,CROQUIS_DATOS!$C$1525))-INDEX($F$8:$F$23,MIN(INT(($A885-1)/70)+1,CROQUIS_DATOS!$C$1525))/2),(INDEX($E$8:$E$23,MIN(INT(($A885-1)/70)+1,CROQUIS_DATOS!$C$1525))+INDEX($F$8:$F$23,MIN(INT(($A885-1)/70)+1,CROQUIS_DATOS!$C$1525))/2)))*CROQUIS_DATOS!$C$1562),-1000)</f>
        <v>82.8189655172414</v>
      </c>
      <c r="O885">
        <f>IF(AND(CROQUIS_DATOS!$C$1472=1,1),(CROQUIS_DATOS!$C$1564+(IF(OR(IF(INT(($A885-1)/70)+1&gt;CROQUIS_DATOS!$C$1525,70,MOD($A885-1,70)+1)=1,IF(INT(($A885-1)/70)+1&gt;CROQUIS_DATOS!$C$1525,70,MOD($A885-1,70)+1)&gt;2*CROQUIS_DATOS!$C$1541+1),CROQUIS_DATOS!$C$1476,INDEX($H$8:$H$41,MIN(INT((IF(INT(($A885-1)/70)+1&gt;CROQUIS_DATOS!$C$1525,70,MOD($A885-1,70)+1)-2)/2)+1,CROQUIS_DATOS!$C$1541))))*CROQUIS_DATOS!$C$1561*CROQUIS_DATOS!$C$1562),-1000)</f>
        <v>40.2068965517241</v>
      </c>
    </row>
    <row r="886">
      <c r="A886" t="n">
        <v>879</v>
      </c>
      <c r="N886">
        <f>IF(AND(CROQUIS_DATOS!$C$1472=1,1),(CROQUIS_DATOS!$C$1563+(IF(IF(IF(INT(($A886-1)/70)+1&gt;CROQUIS_DATOS!$C$1525,70,MOD($A886-1,70)+1)=1,0,IF(IF(INT(($A886-1)/70)+1&gt;CROQUIS_DATOS!$C$1525,70,MOD($A886-1,70)+1)&gt;2*CROQUIS_DATOS!$C$1541+1,IF(MOD(CROQUIS_DATOS!$C$1541,2)=1,1,0),IF(MOD(MIN(INT((IF(INT(($A886-1)/70)+1&gt;CROQUIS_DATOS!$C$1525,70,MOD($A886-1,70)+1)-2)/2)+1,CROQUIS_DATOS!$C$1541),2)=1,IF(MOD(IF(INT(($A886-1)/70)+1&gt;CROQUIS_DATOS!$C$1525,70,MOD($A886-1,70)+1)-2,2)=0,0,1),IF(MOD(IF(INT(($A886-1)/70)+1&gt;CROQUIS_DATOS!$C$1525,70,MOD($A886-1,70)+1)-2,2)=0,1,0))))=0,(INDEX($E$8:$E$23,MIN(INT(($A886-1)/70)+1,CROQUIS_DATOS!$C$1525))-INDEX($F$8:$F$23,MIN(INT(($A886-1)/70)+1,CROQUIS_DATOS!$C$1525))/2),(INDEX($E$8:$E$23,MIN(INT(($A886-1)/70)+1,CROQUIS_DATOS!$C$1525))+INDEX($F$8:$F$23,MIN(INT(($A886-1)/70)+1,CROQUIS_DATOS!$C$1525))/2)))*CROQUIS_DATOS!$C$1562),-1000)</f>
        <v>82.8189655172414</v>
      </c>
      <c r="O886">
        <f>IF(AND(CROQUIS_DATOS!$C$1472=1,1),(CROQUIS_DATOS!$C$1564+(IF(OR(IF(INT(($A886-1)/70)+1&gt;CROQUIS_DATOS!$C$1525,70,MOD($A886-1,70)+1)=1,IF(INT(($A886-1)/70)+1&gt;CROQUIS_DATOS!$C$1525,70,MOD($A886-1,70)+1)&gt;2*CROQUIS_DATOS!$C$1541+1),CROQUIS_DATOS!$C$1476,INDEX($H$8:$H$41,MIN(INT((IF(INT(($A886-1)/70)+1&gt;CROQUIS_DATOS!$C$1525,70,MOD($A886-1,70)+1)-2)/2)+1,CROQUIS_DATOS!$C$1541))))*CROQUIS_DATOS!$C$1561*CROQUIS_DATOS!$C$1562),-1000)</f>
        <v>40.2068965517241</v>
      </c>
    </row>
    <row r="887">
      <c r="A887" t="n">
        <v>880</v>
      </c>
      <c r="N887">
        <f>IF(AND(CROQUIS_DATOS!$C$1472=1,1),(CROQUIS_DATOS!$C$1563+(IF(IF(IF(INT(($A887-1)/70)+1&gt;CROQUIS_DATOS!$C$1525,70,MOD($A887-1,70)+1)=1,0,IF(IF(INT(($A887-1)/70)+1&gt;CROQUIS_DATOS!$C$1525,70,MOD($A887-1,70)+1)&gt;2*CROQUIS_DATOS!$C$1541+1,IF(MOD(CROQUIS_DATOS!$C$1541,2)=1,1,0),IF(MOD(MIN(INT((IF(INT(($A887-1)/70)+1&gt;CROQUIS_DATOS!$C$1525,70,MOD($A887-1,70)+1)-2)/2)+1,CROQUIS_DATOS!$C$1541),2)=1,IF(MOD(IF(INT(($A887-1)/70)+1&gt;CROQUIS_DATOS!$C$1525,70,MOD($A887-1,70)+1)-2,2)=0,0,1),IF(MOD(IF(INT(($A887-1)/70)+1&gt;CROQUIS_DATOS!$C$1525,70,MOD($A887-1,70)+1)-2,2)=0,1,0))))=0,(INDEX($E$8:$E$23,MIN(INT(($A887-1)/70)+1,CROQUIS_DATOS!$C$1525))-INDEX($F$8:$F$23,MIN(INT(($A887-1)/70)+1,CROQUIS_DATOS!$C$1525))/2),(INDEX($E$8:$E$23,MIN(INT(($A887-1)/70)+1,CROQUIS_DATOS!$C$1525))+INDEX($F$8:$F$23,MIN(INT(($A887-1)/70)+1,CROQUIS_DATOS!$C$1525))/2)))*CROQUIS_DATOS!$C$1562),-1000)</f>
        <v>82.8189655172414</v>
      </c>
      <c r="O887">
        <f>IF(AND(CROQUIS_DATOS!$C$1472=1,1),(CROQUIS_DATOS!$C$1564+(IF(OR(IF(INT(($A887-1)/70)+1&gt;CROQUIS_DATOS!$C$1525,70,MOD($A887-1,70)+1)=1,IF(INT(($A887-1)/70)+1&gt;CROQUIS_DATOS!$C$1525,70,MOD($A887-1,70)+1)&gt;2*CROQUIS_DATOS!$C$1541+1),CROQUIS_DATOS!$C$1476,INDEX($H$8:$H$41,MIN(INT((IF(INT(($A887-1)/70)+1&gt;CROQUIS_DATOS!$C$1525,70,MOD($A887-1,70)+1)-2)/2)+1,CROQUIS_DATOS!$C$1541))))*CROQUIS_DATOS!$C$1561*CROQUIS_DATOS!$C$1562),-1000)</f>
        <v>40.2068965517241</v>
      </c>
    </row>
    <row r="888">
      <c r="A888" t="n">
        <v>881</v>
      </c>
      <c r="N888">
        <f>IF(AND(CROQUIS_DATOS!$C$1472=1,1),(CROQUIS_DATOS!$C$1563+(IF(IF(IF(INT(($A888-1)/70)+1&gt;CROQUIS_DATOS!$C$1525,70,MOD($A888-1,70)+1)=1,0,IF(IF(INT(($A888-1)/70)+1&gt;CROQUIS_DATOS!$C$1525,70,MOD($A888-1,70)+1)&gt;2*CROQUIS_DATOS!$C$1541+1,IF(MOD(CROQUIS_DATOS!$C$1541,2)=1,1,0),IF(MOD(MIN(INT((IF(INT(($A888-1)/70)+1&gt;CROQUIS_DATOS!$C$1525,70,MOD($A888-1,70)+1)-2)/2)+1,CROQUIS_DATOS!$C$1541),2)=1,IF(MOD(IF(INT(($A888-1)/70)+1&gt;CROQUIS_DATOS!$C$1525,70,MOD($A888-1,70)+1)-2,2)=0,0,1),IF(MOD(IF(INT(($A888-1)/70)+1&gt;CROQUIS_DATOS!$C$1525,70,MOD($A888-1,70)+1)-2,2)=0,1,0))))=0,(INDEX($E$8:$E$23,MIN(INT(($A888-1)/70)+1,CROQUIS_DATOS!$C$1525))-INDEX($F$8:$F$23,MIN(INT(($A888-1)/70)+1,CROQUIS_DATOS!$C$1525))/2),(INDEX($E$8:$E$23,MIN(INT(($A888-1)/70)+1,CROQUIS_DATOS!$C$1525))+INDEX($F$8:$F$23,MIN(INT(($A888-1)/70)+1,CROQUIS_DATOS!$C$1525))/2)))*CROQUIS_DATOS!$C$1562),-1000)</f>
        <v>82.8189655172414</v>
      </c>
      <c r="O888">
        <f>IF(AND(CROQUIS_DATOS!$C$1472=1,1),(CROQUIS_DATOS!$C$1564+(IF(OR(IF(INT(($A888-1)/70)+1&gt;CROQUIS_DATOS!$C$1525,70,MOD($A888-1,70)+1)=1,IF(INT(($A888-1)/70)+1&gt;CROQUIS_DATOS!$C$1525,70,MOD($A888-1,70)+1)&gt;2*CROQUIS_DATOS!$C$1541+1),CROQUIS_DATOS!$C$1476,INDEX($H$8:$H$41,MIN(INT((IF(INT(($A888-1)/70)+1&gt;CROQUIS_DATOS!$C$1525,70,MOD($A888-1,70)+1)-2)/2)+1,CROQUIS_DATOS!$C$1541))))*CROQUIS_DATOS!$C$1561*CROQUIS_DATOS!$C$1562),-1000)</f>
        <v>40.2068965517241</v>
      </c>
    </row>
    <row r="889">
      <c r="A889" t="n">
        <v>882</v>
      </c>
      <c r="N889">
        <f>IF(AND(CROQUIS_DATOS!$C$1472=1,1),(CROQUIS_DATOS!$C$1563+(IF(IF(IF(INT(($A889-1)/70)+1&gt;CROQUIS_DATOS!$C$1525,70,MOD($A889-1,70)+1)=1,0,IF(IF(INT(($A889-1)/70)+1&gt;CROQUIS_DATOS!$C$1525,70,MOD($A889-1,70)+1)&gt;2*CROQUIS_DATOS!$C$1541+1,IF(MOD(CROQUIS_DATOS!$C$1541,2)=1,1,0),IF(MOD(MIN(INT((IF(INT(($A889-1)/70)+1&gt;CROQUIS_DATOS!$C$1525,70,MOD($A889-1,70)+1)-2)/2)+1,CROQUIS_DATOS!$C$1541),2)=1,IF(MOD(IF(INT(($A889-1)/70)+1&gt;CROQUIS_DATOS!$C$1525,70,MOD($A889-1,70)+1)-2,2)=0,0,1),IF(MOD(IF(INT(($A889-1)/70)+1&gt;CROQUIS_DATOS!$C$1525,70,MOD($A889-1,70)+1)-2,2)=0,1,0))))=0,(INDEX($E$8:$E$23,MIN(INT(($A889-1)/70)+1,CROQUIS_DATOS!$C$1525))-INDEX($F$8:$F$23,MIN(INT(($A889-1)/70)+1,CROQUIS_DATOS!$C$1525))/2),(INDEX($E$8:$E$23,MIN(INT(($A889-1)/70)+1,CROQUIS_DATOS!$C$1525))+INDEX($F$8:$F$23,MIN(INT(($A889-1)/70)+1,CROQUIS_DATOS!$C$1525))/2)))*CROQUIS_DATOS!$C$1562),-1000)</f>
        <v>82.8189655172414</v>
      </c>
      <c r="O889">
        <f>IF(AND(CROQUIS_DATOS!$C$1472=1,1),(CROQUIS_DATOS!$C$1564+(IF(OR(IF(INT(($A889-1)/70)+1&gt;CROQUIS_DATOS!$C$1525,70,MOD($A889-1,70)+1)=1,IF(INT(($A889-1)/70)+1&gt;CROQUIS_DATOS!$C$1525,70,MOD($A889-1,70)+1)&gt;2*CROQUIS_DATOS!$C$1541+1),CROQUIS_DATOS!$C$1476,INDEX($H$8:$H$41,MIN(INT((IF(INT(($A889-1)/70)+1&gt;CROQUIS_DATOS!$C$1525,70,MOD($A889-1,70)+1)-2)/2)+1,CROQUIS_DATOS!$C$1541))))*CROQUIS_DATOS!$C$1561*CROQUIS_DATOS!$C$1562),-1000)</f>
        <v>40.2068965517241</v>
      </c>
    </row>
    <row r="890">
      <c r="A890" t="n">
        <v>883</v>
      </c>
      <c r="N890">
        <f>IF(AND(CROQUIS_DATOS!$C$1472=1,1),(CROQUIS_DATOS!$C$1563+(IF(IF(IF(INT(($A890-1)/70)+1&gt;CROQUIS_DATOS!$C$1525,70,MOD($A890-1,70)+1)=1,0,IF(IF(INT(($A890-1)/70)+1&gt;CROQUIS_DATOS!$C$1525,70,MOD($A890-1,70)+1)&gt;2*CROQUIS_DATOS!$C$1541+1,IF(MOD(CROQUIS_DATOS!$C$1541,2)=1,1,0),IF(MOD(MIN(INT((IF(INT(($A890-1)/70)+1&gt;CROQUIS_DATOS!$C$1525,70,MOD($A890-1,70)+1)-2)/2)+1,CROQUIS_DATOS!$C$1541),2)=1,IF(MOD(IF(INT(($A890-1)/70)+1&gt;CROQUIS_DATOS!$C$1525,70,MOD($A890-1,70)+1)-2,2)=0,0,1),IF(MOD(IF(INT(($A890-1)/70)+1&gt;CROQUIS_DATOS!$C$1525,70,MOD($A890-1,70)+1)-2,2)=0,1,0))))=0,(INDEX($E$8:$E$23,MIN(INT(($A890-1)/70)+1,CROQUIS_DATOS!$C$1525))-INDEX($F$8:$F$23,MIN(INT(($A890-1)/70)+1,CROQUIS_DATOS!$C$1525))/2),(INDEX($E$8:$E$23,MIN(INT(($A890-1)/70)+1,CROQUIS_DATOS!$C$1525))+INDEX($F$8:$F$23,MIN(INT(($A890-1)/70)+1,CROQUIS_DATOS!$C$1525))/2)))*CROQUIS_DATOS!$C$1562),-1000)</f>
        <v>82.8189655172414</v>
      </c>
      <c r="O890">
        <f>IF(AND(CROQUIS_DATOS!$C$1472=1,1),(CROQUIS_DATOS!$C$1564+(IF(OR(IF(INT(($A890-1)/70)+1&gt;CROQUIS_DATOS!$C$1525,70,MOD($A890-1,70)+1)=1,IF(INT(($A890-1)/70)+1&gt;CROQUIS_DATOS!$C$1525,70,MOD($A890-1,70)+1)&gt;2*CROQUIS_DATOS!$C$1541+1),CROQUIS_DATOS!$C$1476,INDEX($H$8:$H$41,MIN(INT((IF(INT(($A890-1)/70)+1&gt;CROQUIS_DATOS!$C$1525,70,MOD($A890-1,70)+1)-2)/2)+1,CROQUIS_DATOS!$C$1541))))*CROQUIS_DATOS!$C$1561*CROQUIS_DATOS!$C$1562),-1000)</f>
        <v>40.2068965517241</v>
      </c>
    </row>
    <row r="891">
      <c r="A891" t="n">
        <v>884</v>
      </c>
      <c r="N891">
        <f>IF(AND(CROQUIS_DATOS!$C$1472=1,1),(CROQUIS_DATOS!$C$1563+(IF(IF(IF(INT(($A891-1)/70)+1&gt;CROQUIS_DATOS!$C$1525,70,MOD($A891-1,70)+1)=1,0,IF(IF(INT(($A891-1)/70)+1&gt;CROQUIS_DATOS!$C$1525,70,MOD($A891-1,70)+1)&gt;2*CROQUIS_DATOS!$C$1541+1,IF(MOD(CROQUIS_DATOS!$C$1541,2)=1,1,0),IF(MOD(MIN(INT((IF(INT(($A891-1)/70)+1&gt;CROQUIS_DATOS!$C$1525,70,MOD($A891-1,70)+1)-2)/2)+1,CROQUIS_DATOS!$C$1541),2)=1,IF(MOD(IF(INT(($A891-1)/70)+1&gt;CROQUIS_DATOS!$C$1525,70,MOD($A891-1,70)+1)-2,2)=0,0,1),IF(MOD(IF(INT(($A891-1)/70)+1&gt;CROQUIS_DATOS!$C$1525,70,MOD($A891-1,70)+1)-2,2)=0,1,0))))=0,(INDEX($E$8:$E$23,MIN(INT(($A891-1)/70)+1,CROQUIS_DATOS!$C$1525))-INDEX($F$8:$F$23,MIN(INT(($A891-1)/70)+1,CROQUIS_DATOS!$C$1525))/2),(INDEX($E$8:$E$23,MIN(INT(($A891-1)/70)+1,CROQUIS_DATOS!$C$1525))+INDEX($F$8:$F$23,MIN(INT(($A891-1)/70)+1,CROQUIS_DATOS!$C$1525))/2)))*CROQUIS_DATOS!$C$1562),-1000)</f>
        <v>82.8189655172414</v>
      </c>
      <c r="O891">
        <f>IF(AND(CROQUIS_DATOS!$C$1472=1,1),(CROQUIS_DATOS!$C$1564+(IF(OR(IF(INT(($A891-1)/70)+1&gt;CROQUIS_DATOS!$C$1525,70,MOD($A891-1,70)+1)=1,IF(INT(($A891-1)/70)+1&gt;CROQUIS_DATOS!$C$1525,70,MOD($A891-1,70)+1)&gt;2*CROQUIS_DATOS!$C$1541+1),CROQUIS_DATOS!$C$1476,INDEX($H$8:$H$41,MIN(INT((IF(INT(($A891-1)/70)+1&gt;CROQUIS_DATOS!$C$1525,70,MOD($A891-1,70)+1)-2)/2)+1,CROQUIS_DATOS!$C$1541))))*CROQUIS_DATOS!$C$1561*CROQUIS_DATOS!$C$1562),-1000)</f>
        <v>40.2068965517241</v>
      </c>
    </row>
    <row r="892">
      <c r="A892" t="n">
        <v>885</v>
      </c>
      <c r="N892">
        <f>IF(AND(CROQUIS_DATOS!$C$1472=1,1),(CROQUIS_DATOS!$C$1563+(IF(IF(IF(INT(($A892-1)/70)+1&gt;CROQUIS_DATOS!$C$1525,70,MOD($A892-1,70)+1)=1,0,IF(IF(INT(($A892-1)/70)+1&gt;CROQUIS_DATOS!$C$1525,70,MOD($A892-1,70)+1)&gt;2*CROQUIS_DATOS!$C$1541+1,IF(MOD(CROQUIS_DATOS!$C$1541,2)=1,1,0),IF(MOD(MIN(INT((IF(INT(($A892-1)/70)+1&gt;CROQUIS_DATOS!$C$1525,70,MOD($A892-1,70)+1)-2)/2)+1,CROQUIS_DATOS!$C$1541),2)=1,IF(MOD(IF(INT(($A892-1)/70)+1&gt;CROQUIS_DATOS!$C$1525,70,MOD($A892-1,70)+1)-2,2)=0,0,1),IF(MOD(IF(INT(($A892-1)/70)+1&gt;CROQUIS_DATOS!$C$1525,70,MOD($A892-1,70)+1)-2,2)=0,1,0))))=0,(INDEX($E$8:$E$23,MIN(INT(($A892-1)/70)+1,CROQUIS_DATOS!$C$1525))-INDEX($F$8:$F$23,MIN(INT(($A892-1)/70)+1,CROQUIS_DATOS!$C$1525))/2),(INDEX($E$8:$E$23,MIN(INT(($A892-1)/70)+1,CROQUIS_DATOS!$C$1525))+INDEX($F$8:$F$23,MIN(INT(($A892-1)/70)+1,CROQUIS_DATOS!$C$1525))/2)))*CROQUIS_DATOS!$C$1562),-1000)</f>
        <v>82.8189655172414</v>
      </c>
      <c r="O892">
        <f>IF(AND(CROQUIS_DATOS!$C$1472=1,1),(CROQUIS_DATOS!$C$1564+(IF(OR(IF(INT(($A892-1)/70)+1&gt;CROQUIS_DATOS!$C$1525,70,MOD($A892-1,70)+1)=1,IF(INT(($A892-1)/70)+1&gt;CROQUIS_DATOS!$C$1525,70,MOD($A892-1,70)+1)&gt;2*CROQUIS_DATOS!$C$1541+1),CROQUIS_DATOS!$C$1476,INDEX($H$8:$H$41,MIN(INT((IF(INT(($A892-1)/70)+1&gt;CROQUIS_DATOS!$C$1525,70,MOD($A892-1,70)+1)-2)/2)+1,CROQUIS_DATOS!$C$1541))))*CROQUIS_DATOS!$C$1561*CROQUIS_DATOS!$C$1562),-1000)</f>
        <v>40.2068965517241</v>
      </c>
    </row>
    <row r="893">
      <c r="A893" t="n">
        <v>886</v>
      </c>
      <c r="N893">
        <f>IF(AND(CROQUIS_DATOS!$C$1472=1,1),(CROQUIS_DATOS!$C$1563+(IF(IF(IF(INT(($A893-1)/70)+1&gt;CROQUIS_DATOS!$C$1525,70,MOD($A893-1,70)+1)=1,0,IF(IF(INT(($A893-1)/70)+1&gt;CROQUIS_DATOS!$C$1525,70,MOD($A893-1,70)+1)&gt;2*CROQUIS_DATOS!$C$1541+1,IF(MOD(CROQUIS_DATOS!$C$1541,2)=1,1,0),IF(MOD(MIN(INT((IF(INT(($A893-1)/70)+1&gt;CROQUIS_DATOS!$C$1525,70,MOD($A893-1,70)+1)-2)/2)+1,CROQUIS_DATOS!$C$1541),2)=1,IF(MOD(IF(INT(($A893-1)/70)+1&gt;CROQUIS_DATOS!$C$1525,70,MOD($A893-1,70)+1)-2,2)=0,0,1),IF(MOD(IF(INT(($A893-1)/70)+1&gt;CROQUIS_DATOS!$C$1525,70,MOD($A893-1,70)+1)-2,2)=0,1,0))))=0,(INDEX($E$8:$E$23,MIN(INT(($A893-1)/70)+1,CROQUIS_DATOS!$C$1525))-INDEX($F$8:$F$23,MIN(INT(($A893-1)/70)+1,CROQUIS_DATOS!$C$1525))/2),(INDEX($E$8:$E$23,MIN(INT(($A893-1)/70)+1,CROQUIS_DATOS!$C$1525))+INDEX($F$8:$F$23,MIN(INT(($A893-1)/70)+1,CROQUIS_DATOS!$C$1525))/2)))*CROQUIS_DATOS!$C$1562),-1000)</f>
        <v>82.8189655172414</v>
      </c>
      <c r="O893">
        <f>IF(AND(CROQUIS_DATOS!$C$1472=1,1),(CROQUIS_DATOS!$C$1564+(IF(OR(IF(INT(($A893-1)/70)+1&gt;CROQUIS_DATOS!$C$1525,70,MOD($A893-1,70)+1)=1,IF(INT(($A893-1)/70)+1&gt;CROQUIS_DATOS!$C$1525,70,MOD($A893-1,70)+1)&gt;2*CROQUIS_DATOS!$C$1541+1),CROQUIS_DATOS!$C$1476,INDEX($H$8:$H$41,MIN(INT((IF(INT(($A893-1)/70)+1&gt;CROQUIS_DATOS!$C$1525,70,MOD($A893-1,70)+1)-2)/2)+1,CROQUIS_DATOS!$C$1541))))*CROQUIS_DATOS!$C$1561*CROQUIS_DATOS!$C$1562),-1000)</f>
        <v>40.2068965517241</v>
      </c>
    </row>
    <row r="894">
      <c r="A894" t="n">
        <v>887</v>
      </c>
      <c r="N894">
        <f>IF(AND(CROQUIS_DATOS!$C$1472=1,1),(CROQUIS_DATOS!$C$1563+(IF(IF(IF(INT(($A894-1)/70)+1&gt;CROQUIS_DATOS!$C$1525,70,MOD($A894-1,70)+1)=1,0,IF(IF(INT(($A894-1)/70)+1&gt;CROQUIS_DATOS!$C$1525,70,MOD($A894-1,70)+1)&gt;2*CROQUIS_DATOS!$C$1541+1,IF(MOD(CROQUIS_DATOS!$C$1541,2)=1,1,0),IF(MOD(MIN(INT((IF(INT(($A894-1)/70)+1&gt;CROQUIS_DATOS!$C$1525,70,MOD($A894-1,70)+1)-2)/2)+1,CROQUIS_DATOS!$C$1541),2)=1,IF(MOD(IF(INT(($A894-1)/70)+1&gt;CROQUIS_DATOS!$C$1525,70,MOD($A894-1,70)+1)-2,2)=0,0,1),IF(MOD(IF(INT(($A894-1)/70)+1&gt;CROQUIS_DATOS!$C$1525,70,MOD($A894-1,70)+1)-2,2)=0,1,0))))=0,(INDEX($E$8:$E$23,MIN(INT(($A894-1)/70)+1,CROQUIS_DATOS!$C$1525))-INDEX($F$8:$F$23,MIN(INT(($A894-1)/70)+1,CROQUIS_DATOS!$C$1525))/2),(INDEX($E$8:$E$23,MIN(INT(($A894-1)/70)+1,CROQUIS_DATOS!$C$1525))+INDEX($F$8:$F$23,MIN(INT(($A894-1)/70)+1,CROQUIS_DATOS!$C$1525))/2)))*CROQUIS_DATOS!$C$1562),-1000)</f>
        <v>82.8189655172414</v>
      </c>
      <c r="O894">
        <f>IF(AND(CROQUIS_DATOS!$C$1472=1,1),(CROQUIS_DATOS!$C$1564+(IF(OR(IF(INT(($A894-1)/70)+1&gt;CROQUIS_DATOS!$C$1525,70,MOD($A894-1,70)+1)=1,IF(INT(($A894-1)/70)+1&gt;CROQUIS_DATOS!$C$1525,70,MOD($A894-1,70)+1)&gt;2*CROQUIS_DATOS!$C$1541+1),CROQUIS_DATOS!$C$1476,INDEX($H$8:$H$41,MIN(INT((IF(INT(($A894-1)/70)+1&gt;CROQUIS_DATOS!$C$1525,70,MOD($A894-1,70)+1)-2)/2)+1,CROQUIS_DATOS!$C$1541))))*CROQUIS_DATOS!$C$1561*CROQUIS_DATOS!$C$1562),-1000)</f>
        <v>40.2068965517241</v>
      </c>
    </row>
    <row r="895">
      <c r="A895" t="n">
        <v>888</v>
      </c>
      <c r="N895">
        <f>IF(AND(CROQUIS_DATOS!$C$1472=1,1),(CROQUIS_DATOS!$C$1563+(IF(IF(IF(INT(($A895-1)/70)+1&gt;CROQUIS_DATOS!$C$1525,70,MOD($A895-1,70)+1)=1,0,IF(IF(INT(($A895-1)/70)+1&gt;CROQUIS_DATOS!$C$1525,70,MOD($A895-1,70)+1)&gt;2*CROQUIS_DATOS!$C$1541+1,IF(MOD(CROQUIS_DATOS!$C$1541,2)=1,1,0),IF(MOD(MIN(INT((IF(INT(($A895-1)/70)+1&gt;CROQUIS_DATOS!$C$1525,70,MOD($A895-1,70)+1)-2)/2)+1,CROQUIS_DATOS!$C$1541),2)=1,IF(MOD(IF(INT(($A895-1)/70)+1&gt;CROQUIS_DATOS!$C$1525,70,MOD($A895-1,70)+1)-2,2)=0,0,1),IF(MOD(IF(INT(($A895-1)/70)+1&gt;CROQUIS_DATOS!$C$1525,70,MOD($A895-1,70)+1)-2,2)=0,1,0))))=0,(INDEX($E$8:$E$23,MIN(INT(($A895-1)/70)+1,CROQUIS_DATOS!$C$1525))-INDEX($F$8:$F$23,MIN(INT(($A895-1)/70)+1,CROQUIS_DATOS!$C$1525))/2),(INDEX($E$8:$E$23,MIN(INT(($A895-1)/70)+1,CROQUIS_DATOS!$C$1525))+INDEX($F$8:$F$23,MIN(INT(($A895-1)/70)+1,CROQUIS_DATOS!$C$1525))/2)))*CROQUIS_DATOS!$C$1562),-1000)</f>
        <v>82.8189655172414</v>
      </c>
      <c r="O895">
        <f>IF(AND(CROQUIS_DATOS!$C$1472=1,1),(CROQUIS_DATOS!$C$1564+(IF(OR(IF(INT(($A895-1)/70)+1&gt;CROQUIS_DATOS!$C$1525,70,MOD($A895-1,70)+1)=1,IF(INT(($A895-1)/70)+1&gt;CROQUIS_DATOS!$C$1525,70,MOD($A895-1,70)+1)&gt;2*CROQUIS_DATOS!$C$1541+1),CROQUIS_DATOS!$C$1476,INDEX($H$8:$H$41,MIN(INT((IF(INT(($A895-1)/70)+1&gt;CROQUIS_DATOS!$C$1525,70,MOD($A895-1,70)+1)-2)/2)+1,CROQUIS_DATOS!$C$1541))))*CROQUIS_DATOS!$C$1561*CROQUIS_DATOS!$C$1562),-1000)</f>
        <v>40.2068965517241</v>
      </c>
    </row>
    <row r="896">
      <c r="A896" t="n">
        <v>889</v>
      </c>
      <c r="N896">
        <f>IF(AND(CROQUIS_DATOS!$C$1472=1,1),(CROQUIS_DATOS!$C$1563+(IF(IF(IF(INT(($A896-1)/70)+1&gt;CROQUIS_DATOS!$C$1525,70,MOD($A896-1,70)+1)=1,0,IF(IF(INT(($A896-1)/70)+1&gt;CROQUIS_DATOS!$C$1525,70,MOD($A896-1,70)+1)&gt;2*CROQUIS_DATOS!$C$1541+1,IF(MOD(CROQUIS_DATOS!$C$1541,2)=1,1,0),IF(MOD(MIN(INT((IF(INT(($A896-1)/70)+1&gt;CROQUIS_DATOS!$C$1525,70,MOD($A896-1,70)+1)-2)/2)+1,CROQUIS_DATOS!$C$1541),2)=1,IF(MOD(IF(INT(($A896-1)/70)+1&gt;CROQUIS_DATOS!$C$1525,70,MOD($A896-1,70)+1)-2,2)=0,0,1),IF(MOD(IF(INT(($A896-1)/70)+1&gt;CROQUIS_DATOS!$C$1525,70,MOD($A896-1,70)+1)-2,2)=0,1,0))))=0,(INDEX($E$8:$E$23,MIN(INT(($A896-1)/70)+1,CROQUIS_DATOS!$C$1525))-INDEX($F$8:$F$23,MIN(INT(($A896-1)/70)+1,CROQUIS_DATOS!$C$1525))/2),(INDEX($E$8:$E$23,MIN(INT(($A896-1)/70)+1,CROQUIS_DATOS!$C$1525))+INDEX($F$8:$F$23,MIN(INT(($A896-1)/70)+1,CROQUIS_DATOS!$C$1525))/2)))*CROQUIS_DATOS!$C$1562),-1000)</f>
        <v>82.8189655172414</v>
      </c>
      <c r="O896">
        <f>IF(AND(CROQUIS_DATOS!$C$1472=1,1),(CROQUIS_DATOS!$C$1564+(IF(OR(IF(INT(($A896-1)/70)+1&gt;CROQUIS_DATOS!$C$1525,70,MOD($A896-1,70)+1)=1,IF(INT(($A896-1)/70)+1&gt;CROQUIS_DATOS!$C$1525,70,MOD($A896-1,70)+1)&gt;2*CROQUIS_DATOS!$C$1541+1),CROQUIS_DATOS!$C$1476,INDEX($H$8:$H$41,MIN(INT((IF(INT(($A896-1)/70)+1&gt;CROQUIS_DATOS!$C$1525,70,MOD($A896-1,70)+1)-2)/2)+1,CROQUIS_DATOS!$C$1541))))*CROQUIS_DATOS!$C$1561*CROQUIS_DATOS!$C$1562),-1000)</f>
        <v>40.2068965517241</v>
      </c>
    </row>
    <row r="897">
      <c r="A897" t="n">
        <v>890</v>
      </c>
      <c r="N897">
        <f>IF(AND(CROQUIS_DATOS!$C$1472=1,1),(CROQUIS_DATOS!$C$1563+(IF(IF(IF(INT(($A897-1)/70)+1&gt;CROQUIS_DATOS!$C$1525,70,MOD($A897-1,70)+1)=1,0,IF(IF(INT(($A897-1)/70)+1&gt;CROQUIS_DATOS!$C$1525,70,MOD($A897-1,70)+1)&gt;2*CROQUIS_DATOS!$C$1541+1,IF(MOD(CROQUIS_DATOS!$C$1541,2)=1,1,0),IF(MOD(MIN(INT((IF(INT(($A897-1)/70)+1&gt;CROQUIS_DATOS!$C$1525,70,MOD($A897-1,70)+1)-2)/2)+1,CROQUIS_DATOS!$C$1541),2)=1,IF(MOD(IF(INT(($A897-1)/70)+1&gt;CROQUIS_DATOS!$C$1525,70,MOD($A897-1,70)+1)-2,2)=0,0,1),IF(MOD(IF(INT(($A897-1)/70)+1&gt;CROQUIS_DATOS!$C$1525,70,MOD($A897-1,70)+1)-2,2)=0,1,0))))=0,(INDEX($E$8:$E$23,MIN(INT(($A897-1)/70)+1,CROQUIS_DATOS!$C$1525))-INDEX($F$8:$F$23,MIN(INT(($A897-1)/70)+1,CROQUIS_DATOS!$C$1525))/2),(INDEX($E$8:$E$23,MIN(INT(($A897-1)/70)+1,CROQUIS_DATOS!$C$1525))+INDEX($F$8:$F$23,MIN(INT(($A897-1)/70)+1,CROQUIS_DATOS!$C$1525))/2)))*CROQUIS_DATOS!$C$1562),-1000)</f>
        <v>82.8189655172414</v>
      </c>
      <c r="O897">
        <f>IF(AND(CROQUIS_DATOS!$C$1472=1,1),(CROQUIS_DATOS!$C$1564+(IF(OR(IF(INT(($A897-1)/70)+1&gt;CROQUIS_DATOS!$C$1525,70,MOD($A897-1,70)+1)=1,IF(INT(($A897-1)/70)+1&gt;CROQUIS_DATOS!$C$1525,70,MOD($A897-1,70)+1)&gt;2*CROQUIS_DATOS!$C$1541+1),CROQUIS_DATOS!$C$1476,INDEX($H$8:$H$41,MIN(INT((IF(INT(($A897-1)/70)+1&gt;CROQUIS_DATOS!$C$1525,70,MOD($A897-1,70)+1)-2)/2)+1,CROQUIS_DATOS!$C$1541))))*CROQUIS_DATOS!$C$1561*CROQUIS_DATOS!$C$1562),-1000)</f>
        <v>40.2068965517241</v>
      </c>
    </row>
    <row r="898">
      <c r="A898" t="n">
        <v>891</v>
      </c>
      <c r="N898">
        <f>IF(AND(CROQUIS_DATOS!$C$1472=1,1),(CROQUIS_DATOS!$C$1563+(IF(IF(IF(INT(($A898-1)/70)+1&gt;CROQUIS_DATOS!$C$1525,70,MOD($A898-1,70)+1)=1,0,IF(IF(INT(($A898-1)/70)+1&gt;CROQUIS_DATOS!$C$1525,70,MOD($A898-1,70)+1)&gt;2*CROQUIS_DATOS!$C$1541+1,IF(MOD(CROQUIS_DATOS!$C$1541,2)=1,1,0),IF(MOD(MIN(INT((IF(INT(($A898-1)/70)+1&gt;CROQUIS_DATOS!$C$1525,70,MOD($A898-1,70)+1)-2)/2)+1,CROQUIS_DATOS!$C$1541),2)=1,IF(MOD(IF(INT(($A898-1)/70)+1&gt;CROQUIS_DATOS!$C$1525,70,MOD($A898-1,70)+1)-2,2)=0,0,1),IF(MOD(IF(INT(($A898-1)/70)+1&gt;CROQUIS_DATOS!$C$1525,70,MOD($A898-1,70)+1)-2,2)=0,1,0))))=0,(INDEX($E$8:$E$23,MIN(INT(($A898-1)/70)+1,CROQUIS_DATOS!$C$1525))-INDEX($F$8:$F$23,MIN(INT(($A898-1)/70)+1,CROQUIS_DATOS!$C$1525))/2),(INDEX($E$8:$E$23,MIN(INT(($A898-1)/70)+1,CROQUIS_DATOS!$C$1525))+INDEX($F$8:$F$23,MIN(INT(($A898-1)/70)+1,CROQUIS_DATOS!$C$1525))/2)))*CROQUIS_DATOS!$C$1562),-1000)</f>
        <v>82.8189655172414</v>
      </c>
      <c r="O898">
        <f>IF(AND(CROQUIS_DATOS!$C$1472=1,1),(CROQUIS_DATOS!$C$1564+(IF(OR(IF(INT(($A898-1)/70)+1&gt;CROQUIS_DATOS!$C$1525,70,MOD($A898-1,70)+1)=1,IF(INT(($A898-1)/70)+1&gt;CROQUIS_DATOS!$C$1525,70,MOD($A898-1,70)+1)&gt;2*CROQUIS_DATOS!$C$1541+1),CROQUIS_DATOS!$C$1476,INDEX($H$8:$H$41,MIN(INT((IF(INT(($A898-1)/70)+1&gt;CROQUIS_DATOS!$C$1525,70,MOD($A898-1,70)+1)-2)/2)+1,CROQUIS_DATOS!$C$1541))))*CROQUIS_DATOS!$C$1561*CROQUIS_DATOS!$C$1562),-1000)</f>
        <v>40.2068965517241</v>
      </c>
    </row>
    <row r="899">
      <c r="A899" t="n">
        <v>892</v>
      </c>
      <c r="N899">
        <f>IF(AND(CROQUIS_DATOS!$C$1472=1,1),(CROQUIS_DATOS!$C$1563+(IF(IF(IF(INT(($A899-1)/70)+1&gt;CROQUIS_DATOS!$C$1525,70,MOD($A899-1,70)+1)=1,0,IF(IF(INT(($A899-1)/70)+1&gt;CROQUIS_DATOS!$C$1525,70,MOD($A899-1,70)+1)&gt;2*CROQUIS_DATOS!$C$1541+1,IF(MOD(CROQUIS_DATOS!$C$1541,2)=1,1,0),IF(MOD(MIN(INT((IF(INT(($A899-1)/70)+1&gt;CROQUIS_DATOS!$C$1525,70,MOD($A899-1,70)+1)-2)/2)+1,CROQUIS_DATOS!$C$1541),2)=1,IF(MOD(IF(INT(($A899-1)/70)+1&gt;CROQUIS_DATOS!$C$1525,70,MOD($A899-1,70)+1)-2,2)=0,0,1),IF(MOD(IF(INT(($A899-1)/70)+1&gt;CROQUIS_DATOS!$C$1525,70,MOD($A899-1,70)+1)-2,2)=0,1,0))))=0,(INDEX($E$8:$E$23,MIN(INT(($A899-1)/70)+1,CROQUIS_DATOS!$C$1525))-INDEX($F$8:$F$23,MIN(INT(($A899-1)/70)+1,CROQUIS_DATOS!$C$1525))/2),(INDEX($E$8:$E$23,MIN(INT(($A899-1)/70)+1,CROQUIS_DATOS!$C$1525))+INDEX($F$8:$F$23,MIN(INT(($A899-1)/70)+1,CROQUIS_DATOS!$C$1525))/2)))*CROQUIS_DATOS!$C$1562),-1000)</f>
        <v>82.8189655172414</v>
      </c>
      <c r="O899">
        <f>IF(AND(CROQUIS_DATOS!$C$1472=1,1),(CROQUIS_DATOS!$C$1564+(IF(OR(IF(INT(($A899-1)/70)+1&gt;CROQUIS_DATOS!$C$1525,70,MOD($A899-1,70)+1)=1,IF(INT(($A899-1)/70)+1&gt;CROQUIS_DATOS!$C$1525,70,MOD($A899-1,70)+1)&gt;2*CROQUIS_DATOS!$C$1541+1),CROQUIS_DATOS!$C$1476,INDEX($H$8:$H$41,MIN(INT((IF(INT(($A899-1)/70)+1&gt;CROQUIS_DATOS!$C$1525,70,MOD($A899-1,70)+1)-2)/2)+1,CROQUIS_DATOS!$C$1541))))*CROQUIS_DATOS!$C$1561*CROQUIS_DATOS!$C$1562),-1000)</f>
        <v>40.2068965517241</v>
      </c>
    </row>
    <row r="900">
      <c r="A900" t="n">
        <v>893</v>
      </c>
      <c r="N900">
        <f>IF(AND(CROQUIS_DATOS!$C$1472=1,1),(CROQUIS_DATOS!$C$1563+(IF(IF(IF(INT(($A900-1)/70)+1&gt;CROQUIS_DATOS!$C$1525,70,MOD($A900-1,70)+1)=1,0,IF(IF(INT(($A900-1)/70)+1&gt;CROQUIS_DATOS!$C$1525,70,MOD($A900-1,70)+1)&gt;2*CROQUIS_DATOS!$C$1541+1,IF(MOD(CROQUIS_DATOS!$C$1541,2)=1,1,0),IF(MOD(MIN(INT((IF(INT(($A900-1)/70)+1&gt;CROQUIS_DATOS!$C$1525,70,MOD($A900-1,70)+1)-2)/2)+1,CROQUIS_DATOS!$C$1541),2)=1,IF(MOD(IF(INT(($A900-1)/70)+1&gt;CROQUIS_DATOS!$C$1525,70,MOD($A900-1,70)+1)-2,2)=0,0,1),IF(MOD(IF(INT(($A900-1)/70)+1&gt;CROQUIS_DATOS!$C$1525,70,MOD($A900-1,70)+1)-2,2)=0,1,0))))=0,(INDEX($E$8:$E$23,MIN(INT(($A900-1)/70)+1,CROQUIS_DATOS!$C$1525))-INDEX($F$8:$F$23,MIN(INT(($A900-1)/70)+1,CROQUIS_DATOS!$C$1525))/2),(INDEX($E$8:$E$23,MIN(INT(($A900-1)/70)+1,CROQUIS_DATOS!$C$1525))+INDEX($F$8:$F$23,MIN(INT(($A900-1)/70)+1,CROQUIS_DATOS!$C$1525))/2)))*CROQUIS_DATOS!$C$1562),-1000)</f>
        <v>82.8189655172414</v>
      </c>
      <c r="O900">
        <f>IF(AND(CROQUIS_DATOS!$C$1472=1,1),(CROQUIS_DATOS!$C$1564+(IF(OR(IF(INT(($A900-1)/70)+1&gt;CROQUIS_DATOS!$C$1525,70,MOD($A900-1,70)+1)=1,IF(INT(($A900-1)/70)+1&gt;CROQUIS_DATOS!$C$1525,70,MOD($A900-1,70)+1)&gt;2*CROQUIS_DATOS!$C$1541+1),CROQUIS_DATOS!$C$1476,INDEX($H$8:$H$41,MIN(INT((IF(INT(($A900-1)/70)+1&gt;CROQUIS_DATOS!$C$1525,70,MOD($A900-1,70)+1)-2)/2)+1,CROQUIS_DATOS!$C$1541))))*CROQUIS_DATOS!$C$1561*CROQUIS_DATOS!$C$1562),-1000)</f>
        <v>40.2068965517241</v>
      </c>
    </row>
    <row r="901">
      <c r="A901" t="n">
        <v>894</v>
      </c>
      <c r="N901">
        <f>IF(AND(CROQUIS_DATOS!$C$1472=1,1),(CROQUIS_DATOS!$C$1563+(IF(IF(IF(INT(($A901-1)/70)+1&gt;CROQUIS_DATOS!$C$1525,70,MOD($A901-1,70)+1)=1,0,IF(IF(INT(($A901-1)/70)+1&gt;CROQUIS_DATOS!$C$1525,70,MOD($A901-1,70)+1)&gt;2*CROQUIS_DATOS!$C$1541+1,IF(MOD(CROQUIS_DATOS!$C$1541,2)=1,1,0),IF(MOD(MIN(INT((IF(INT(($A901-1)/70)+1&gt;CROQUIS_DATOS!$C$1525,70,MOD($A901-1,70)+1)-2)/2)+1,CROQUIS_DATOS!$C$1541),2)=1,IF(MOD(IF(INT(($A901-1)/70)+1&gt;CROQUIS_DATOS!$C$1525,70,MOD($A901-1,70)+1)-2,2)=0,0,1),IF(MOD(IF(INT(($A901-1)/70)+1&gt;CROQUIS_DATOS!$C$1525,70,MOD($A901-1,70)+1)-2,2)=0,1,0))))=0,(INDEX($E$8:$E$23,MIN(INT(($A901-1)/70)+1,CROQUIS_DATOS!$C$1525))-INDEX($F$8:$F$23,MIN(INT(($A901-1)/70)+1,CROQUIS_DATOS!$C$1525))/2),(INDEX($E$8:$E$23,MIN(INT(($A901-1)/70)+1,CROQUIS_DATOS!$C$1525))+INDEX($F$8:$F$23,MIN(INT(($A901-1)/70)+1,CROQUIS_DATOS!$C$1525))/2)))*CROQUIS_DATOS!$C$1562),-1000)</f>
        <v>82.8189655172414</v>
      </c>
      <c r="O901">
        <f>IF(AND(CROQUIS_DATOS!$C$1472=1,1),(CROQUIS_DATOS!$C$1564+(IF(OR(IF(INT(($A901-1)/70)+1&gt;CROQUIS_DATOS!$C$1525,70,MOD($A901-1,70)+1)=1,IF(INT(($A901-1)/70)+1&gt;CROQUIS_DATOS!$C$1525,70,MOD($A901-1,70)+1)&gt;2*CROQUIS_DATOS!$C$1541+1),CROQUIS_DATOS!$C$1476,INDEX($H$8:$H$41,MIN(INT((IF(INT(($A901-1)/70)+1&gt;CROQUIS_DATOS!$C$1525,70,MOD($A901-1,70)+1)-2)/2)+1,CROQUIS_DATOS!$C$1541))))*CROQUIS_DATOS!$C$1561*CROQUIS_DATOS!$C$1562),-1000)</f>
        <v>40.2068965517241</v>
      </c>
    </row>
    <row r="902">
      <c r="A902" t="n">
        <v>895</v>
      </c>
      <c r="N902">
        <f>IF(AND(CROQUIS_DATOS!$C$1472=1,1),(CROQUIS_DATOS!$C$1563+(IF(IF(IF(INT(($A902-1)/70)+1&gt;CROQUIS_DATOS!$C$1525,70,MOD($A902-1,70)+1)=1,0,IF(IF(INT(($A902-1)/70)+1&gt;CROQUIS_DATOS!$C$1525,70,MOD($A902-1,70)+1)&gt;2*CROQUIS_DATOS!$C$1541+1,IF(MOD(CROQUIS_DATOS!$C$1541,2)=1,1,0),IF(MOD(MIN(INT((IF(INT(($A902-1)/70)+1&gt;CROQUIS_DATOS!$C$1525,70,MOD($A902-1,70)+1)-2)/2)+1,CROQUIS_DATOS!$C$1541),2)=1,IF(MOD(IF(INT(($A902-1)/70)+1&gt;CROQUIS_DATOS!$C$1525,70,MOD($A902-1,70)+1)-2,2)=0,0,1),IF(MOD(IF(INT(($A902-1)/70)+1&gt;CROQUIS_DATOS!$C$1525,70,MOD($A902-1,70)+1)-2,2)=0,1,0))))=0,(INDEX($E$8:$E$23,MIN(INT(($A902-1)/70)+1,CROQUIS_DATOS!$C$1525))-INDEX($F$8:$F$23,MIN(INT(($A902-1)/70)+1,CROQUIS_DATOS!$C$1525))/2),(INDEX($E$8:$E$23,MIN(INT(($A902-1)/70)+1,CROQUIS_DATOS!$C$1525))+INDEX($F$8:$F$23,MIN(INT(($A902-1)/70)+1,CROQUIS_DATOS!$C$1525))/2)))*CROQUIS_DATOS!$C$1562),-1000)</f>
        <v>82.8189655172414</v>
      </c>
      <c r="O902">
        <f>IF(AND(CROQUIS_DATOS!$C$1472=1,1),(CROQUIS_DATOS!$C$1564+(IF(OR(IF(INT(($A902-1)/70)+1&gt;CROQUIS_DATOS!$C$1525,70,MOD($A902-1,70)+1)=1,IF(INT(($A902-1)/70)+1&gt;CROQUIS_DATOS!$C$1525,70,MOD($A902-1,70)+1)&gt;2*CROQUIS_DATOS!$C$1541+1),CROQUIS_DATOS!$C$1476,INDEX($H$8:$H$41,MIN(INT((IF(INT(($A902-1)/70)+1&gt;CROQUIS_DATOS!$C$1525,70,MOD($A902-1,70)+1)-2)/2)+1,CROQUIS_DATOS!$C$1541))))*CROQUIS_DATOS!$C$1561*CROQUIS_DATOS!$C$1562),-1000)</f>
        <v>40.2068965517241</v>
      </c>
    </row>
    <row r="903">
      <c r="A903" t="n">
        <v>896</v>
      </c>
      <c r="N903">
        <f>IF(AND(CROQUIS_DATOS!$C$1472=1,1),(CROQUIS_DATOS!$C$1563+(IF(IF(IF(INT(($A903-1)/70)+1&gt;CROQUIS_DATOS!$C$1525,70,MOD($A903-1,70)+1)=1,0,IF(IF(INT(($A903-1)/70)+1&gt;CROQUIS_DATOS!$C$1525,70,MOD($A903-1,70)+1)&gt;2*CROQUIS_DATOS!$C$1541+1,IF(MOD(CROQUIS_DATOS!$C$1541,2)=1,1,0),IF(MOD(MIN(INT((IF(INT(($A903-1)/70)+1&gt;CROQUIS_DATOS!$C$1525,70,MOD($A903-1,70)+1)-2)/2)+1,CROQUIS_DATOS!$C$1541),2)=1,IF(MOD(IF(INT(($A903-1)/70)+1&gt;CROQUIS_DATOS!$C$1525,70,MOD($A903-1,70)+1)-2,2)=0,0,1),IF(MOD(IF(INT(($A903-1)/70)+1&gt;CROQUIS_DATOS!$C$1525,70,MOD($A903-1,70)+1)-2,2)=0,1,0))))=0,(INDEX($E$8:$E$23,MIN(INT(($A903-1)/70)+1,CROQUIS_DATOS!$C$1525))-INDEX($F$8:$F$23,MIN(INT(($A903-1)/70)+1,CROQUIS_DATOS!$C$1525))/2),(INDEX($E$8:$E$23,MIN(INT(($A903-1)/70)+1,CROQUIS_DATOS!$C$1525))+INDEX($F$8:$F$23,MIN(INT(($A903-1)/70)+1,CROQUIS_DATOS!$C$1525))/2)))*CROQUIS_DATOS!$C$1562),-1000)</f>
        <v>82.8189655172414</v>
      </c>
      <c r="O903">
        <f>IF(AND(CROQUIS_DATOS!$C$1472=1,1),(CROQUIS_DATOS!$C$1564+(IF(OR(IF(INT(($A903-1)/70)+1&gt;CROQUIS_DATOS!$C$1525,70,MOD($A903-1,70)+1)=1,IF(INT(($A903-1)/70)+1&gt;CROQUIS_DATOS!$C$1525,70,MOD($A903-1,70)+1)&gt;2*CROQUIS_DATOS!$C$1541+1),CROQUIS_DATOS!$C$1476,INDEX($H$8:$H$41,MIN(INT((IF(INT(($A903-1)/70)+1&gt;CROQUIS_DATOS!$C$1525,70,MOD($A903-1,70)+1)-2)/2)+1,CROQUIS_DATOS!$C$1541))))*CROQUIS_DATOS!$C$1561*CROQUIS_DATOS!$C$1562),-1000)</f>
        <v>40.2068965517241</v>
      </c>
    </row>
    <row r="904">
      <c r="A904" t="n">
        <v>897</v>
      </c>
      <c r="N904">
        <f>IF(AND(CROQUIS_DATOS!$C$1472=1,1),(CROQUIS_DATOS!$C$1563+(IF(IF(IF(INT(($A904-1)/70)+1&gt;CROQUIS_DATOS!$C$1525,70,MOD($A904-1,70)+1)=1,0,IF(IF(INT(($A904-1)/70)+1&gt;CROQUIS_DATOS!$C$1525,70,MOD($A904-1,70)+1)&gt;2*CROQUIS_DATOS!$C$1541+1,IF(MOD(CROQUIS_DATOS!$C$1541,2)=1,1,0),IF(MOD(MIN(INT((IF(INT(($A904-1)/70)+1&gt;CROQUIS_DATOS!$C$1525,70,MOD($A904-1,70)+1)-2)/2)+1,CROQUIS_DATOS!$C$1541),2)=1,IF(MOD(IF(INT(($A904-1)/70)+1&gt;CROQUIS_DATOS!$C$1525,70,MOD($A904-1,70)+1)-2,2)=0,0,1),IF(MOD(IF(INT(($A904-1)/70)+1&gt;CROQUIS_DATOS!$C$1525,70,MOD($A904-1,70)+1)-2,2)=0,1,0))))=0,(INDEX($E$8:$E$23,MIN(INT(($A904-1)/70)+1,CROQUIS_DATOS!$C$1525))-INDEX($F$8:$F$23,MIN(INT(($A904-1)/70)+1,CROQUIS_DATOS!$C$1525))/2),(INDEX($E$8:$E$23,MIN(INT(($A904-1)/70)+1,CROQUIS_DATOS!$C$1525))+INDEX($F$8:$F$23,MIN(INT(($A904-1)/70)+1,CROQUIS_DATOS!$C$1525))/2)))*CROQUIS_DATOS!$C$1562),-1000)</f>
        <v>82.8189655172414</v>
      </c>
      <c r="O904">
        <f>IF(AND(CROQUIS_DATOS!$C$1472=1,1),(CROQUIS_DATOS!$C$1564+(IF(OR(IF(INT(($A904-1)/70)+1&gt;CROQUIS_DATOS!$C$1525,70,MOD($A904-1,70)+1)=1,IF(INT(($A904-1)/70)+1&gt;CROQUIS_DATOS!$C$1525,70,MOD($A904-1,70)+1)&gt;2*CROQUIS_DATOS!$C$1541+1),CROQUIS_DATOS!$C$1476,INDEX($H$8:$H$41,MIN(INT((IF(INT(($A904-1)/70)+1&gt;CROQUIS_DATOS!$C$1525,70,MOD($A904-1,70)+1)-2)/2)+1,CROQUIS_DATOS!$C$1541))))*CROQUIS_DATOS!$C$1561*CROQUIS_DATOS!$C$1562),-1000)</f>
        <v>40.2068965517241</v>
      </c>
    </row>
    <row r="905">
      <c r="A905" t="n">
        <v>898</v>
      </c>
      <c r="N905">
        <f>IF(AND(CROQUIS_DATOS!$C$1472=1,1),(CROQUIS_DATOS!$C$1563+(IF(IF(IF(INT(($A905-1)/70)+1&gt;CROQUIS_DATOS!$C$1525,70,MOD($A905-1,70)+1)=1,0,IF(IF(INT(($A905-1)/70)+1&gt;CROQUIS_DATOS!$C$1525,70,MOD($A905-1,70)+1)&gt;2*CROQUIS_DATOS!$C$1541+1,IF(MOD(CROQUIS_DATOS!$C$1541,2)=1,1,0),IF(MOD(MIN(INT((IF(INT(($A905-1)/70)+1&gt;CROQUIS_DATOS!$C$1525,70,MOD($A905-1,70)+1)-2)/2)+1,CROQUIS_DATOS!$C$1541),2)=1,IF(MOD(IF(INT(($A905-1)/70)+1&gt;CROQUIS_DATOS!$C$1525,70,MOD($A905-1,70)+1)-2,2)=0,0,1),IF(MOD(IF(INT(($A905-1)/70)+1&gt;CROQUIS_DATOS!$C$1525,70,MOD($A905-1,70)+1)-2,2)=0,1,0))))=0,(INDEX($E$8:$E$23,MIN(INT(($A905-1)/70)+1,CROQUIS_DATOS!$C$1525))-INDEX($F$8:$F$23,MIN(INT(($A905-1)/70)+1,CROQUIS_DATOS!$C$1525))/2),(INDEX($E$8:$E$23,MIN(INT(($A905-1)/70)+1,CROQUIS_DATOS!$C$1525))+INDEX($F$8:$F$23,MIN(INT(($A905-1)/70)+1,CROQUIS_DATOS!$C$1525))/2)))*CROQUIS_DATOS!$C$1562),-1000)</f>
        <v>82.8189655172414</v>
      </c>
      <c r="O905">
        <f>IF(AND(CROQUIS_DATOS!$C$1472=1,1),(CROQUIS_DATOS!$C$1564+(IF(OR(IF(INT(($A905-1)/70)+1&gt;CROQUIS_DATOS!$C$1525,70,MOD($A905-1,70)+1)=1,IF(INT(($A905-1)/70)+1&gt;CROQUIS_DATOS!$C$1525,70,MOD($A905-1,70)+1)&gt;2*CROQUIS_DATOS!$C$1541+1),CROQUIS_DATOS!$C$1476,INDEX($H$8:$H$41,MIN(INT((IF(INT(($A905-1)/70)+1&gt;CROQUIS_DATOS!$C$1525,70,MOD($A905-1,70)+1)-2)/2)+1,CROQUIS_DATOS!$C$1541))))*CROQUIS_DATOS!$C$1561*CROQUIS_DATOS!$C$1562),-1000)</f>
        <v>40.2068965517241</v>
      </c>
    </row>
    <row r="906">
      <c r="A906" t="n">
        <v>899</v>
      </c>
      <c r="N906">
        <f>IF(AND(CROQUIS_DATOS!$C$1472=1,1),(CROQUIS_DATOS!$C$1563+(IF(IF(IF(INT(($A906-1)/70)+1&gt;CROQUIS_DATOS!$C$1525,70,MOD($A906-1,70)+1)=1,0,IF(IF(INT(($A906-1)/70)+1&gt;CROQUIS_DATOS!$C$1525,70,MOD($A906-1,70)+1)&gt;2*CROQUIS_DATOS!$C$1541+1,IF(MOD(CROQUIS_DATOS!$C$1541,2)=1,1,0),IF(MOD(MIN(INT((IF(INT(($A906-1)/70)+1&gt;CROQUIS_DATOS!$C$1525,70,MOD($A906-1,70)+1)-2)/2)+1,CROQUIS_DATOS!$C$1541),2)=1,IF(MOD(IF(INT(($A906-1)/70)+1&gt;CROQUIS_DATOS!$C$1525,70,MOD($A906-1,70)+1)-2,2)=0,0,1),IF(MOD(IF(INT(($A906-1)/70)+1&gt;CROQUIS_DATOS!$C$1525,70,MOD($A906-1,70)+1)-2,2)=0,1,0))))=0,(INDEX($E$8:$E$23,MIN(INT(($A906-1)/70)+1,CROQUIS_DATOS!$C$1525))-INDEX($F$8:$F$23,MIN(INT(($A906-1)/70)+1,CROQUIS_DATOS!$C$1525))/2),(INDEX($E$8:$E$23,MIN(INT(($A906-1)/70)+1,CROQUIS_DATOS!$C$1525))+INDEX($F$8:$F$23,MIN(INT(($A906-1)/70)+1,CROQUIS_DATOS!$C$1525))/2)))*CROQUIS_DATOS!$C$1562),-1000)</f>
        <v>82.8189655172414</v>
      </c>
      <c r="O906">
        <f>IF(AND(CROQUIS_DATOS!$C$1472=1,1),(CROQUIS_DATOS!$C$1564+(IF(OR(IF(INT(($A906-1)/70)+1&gt;CROQUIS_DATOS!$C$1525,70,MOD($A906-1,70)+1)=1,IF(INT(($A906-1)/70)+1&gt;CROQUIS_DATOS!$C$1525,70,MOD($A906-1,70)+1)&gt;2*CROQUIS_DATOS!$C$1541+1),CROQUIS_DATOS!$C$1476,INDEX($H$8:$H$41,MIN(INT((IF(INT(($A906-1)/70)+1&gt;CROQUIS_DATOS!$C$1525,70,MOD($A906-1,70)+1)-2)/2)+1,CROQUIS_DATOS!$C$1541))))*CROQUIS_DATOS!$C$1561*CROQUIS_DATOS!$C$1562),-1000)</f>
        <v>40.2068965517241</v>
      </c>
    </row>
    <row r="907">
      <c r="A907" t="n">
        <v>900</v>
      </c>
      <c r="N907">
        <f>IF(AND(CROQUIS_DATOS!$C$1472=1,1),(CROQUIS_DATOS!$C$1563+(IF(IF(IF(INT(($A907-1)/70)+1&gt;CROQUIS_DATOS!$C$1525,70,MOD($A907-1,70)+1)=1,0,IF(IF(INT(($A907-1)/70)+1&gt;CROQUIS_DATOS!$C$1525,70,MOD($A907-1,70)+1)&gt;2*CROQUIS_DATOS!$C$1541+1,IF(MOD(CROQUIS_DATOS!$C$1541,2)=1,1,0),IF(MOD(MIN(INT((IF(INT(($A907-1)/70)+1&gt;CROQUIS_DATOS!$C$1525,70,MOD($A907-1,70)+1)-2)/2)+1,CROQUIS_DATOS!$C$1541),2)=1,IF(MOD(IF(INT(($A907-1)/70)+1&gt;CROQUIS_DATOS!$C$1525,70,MOD($A907-1,70)+1)-2,2)=0,0,1),IF(MOD(IF(INT(($A907-1)/70)+1&gt;CROQUIS_DATOS!$C$1525,70,MOD($A907-1,70)+1)-2,2)=0,1,0))))=0,(INDEX($E$8:$E$23,MIN(INT(($A907-1)/70)+1,CROQUIS_DATOS!$C$1525))-INDEX($F$8:$F$23,MIN(INT(($A907-1)/70)+1,CROQUIS_DATOS!$C$1525))/2),(INDEX($E$8:$E$23,MIN(INT(($A907-1)/70)+1,CROQUIS_DATOS!$C$1525))+INDEX($F$8:$F$23,MIN(INT(($A907-1)/70)+1,CROQUIS_DATOS!$C$1525))/2)))*CROQUIS_DATOS!$C$1562),-1000)</f>
        <v>82.8189655172414</v>
      </c>
      <c r="O907">
        <f>IF(AND(CROQUIS_DATOS!$C$1472=1,1),(CROQUIS_DATOS!$C$1564+(IF(OR(IF(INT(($A907-1)/70)+1&gt;CROQUIS_DATOS!$C$1525,70,MOD($A907-1,70)+1)=1,IF(INT(($A907-1)/70)+1&gt;CROQUIS_DATOS!$C$1525,70,MOD($A907-1,70)+1)&gt;2*CROQUIS_DATOS!$C$1541+1),CROQUIS_DATOS!$C$1476,INDEX($H$8:$H$41,MIN(INT((IF(INT(($A907-1)/70)+1&gt;CROQUIS_DATOS!$C$1525,70,MOD($A907-1,70)+1)-2)/2)+1,CROQUIS_DATOS!$C$1541))))*CROQUIS_DATOS!$C$1561*CROQUIS_DATOS!$C$1562),-1000)</f>
        <v>40.2068965517241</v>
      </c>
    </row>
    <row r="908">
      <c r="A908" t="n">
        <v>901</v>
      </c>
      <c r="N908">
        <f>IF(AND(CROQUIS_DATOS!$C$1472=1,1),(CROQUIS_DATOS!$C$1563+(IF(IF(IF(INT(($A908-1)/70)+1&gt;CROQUIS_DATOS!$C$1525,70,MOD($A908-1,70)+1)=1,0,IF(IF(INT(($A908-1)/70)+1&gt;CROQUIS_DATOS!$C$1525,70,MOD($A908-1,70)+1)&gt;2*CROQUIS_DATOS!$C$1541+1,IF(MOD(CROQUIS_DATOS!$C$1541,2)=1,1,0),IF(MOD(MIN(INT((IF(INT(($A908-1)/70)+1&gt;CROQUIS_DATOS!$C$1525,70,MOD($A908-1,70)+1)-2)/2)+1,CROQUIS_DATOS!$C$1541),2)=1,IF(MOD(IF(INT(($A908-1)/70)+1&gt;CROQUIS_DATOS!$C$1525,70,MOD($A908-1,70)+1)-2,2)=0,0,1),IF(MOD(IF(INT(($A908-1)/70)+1&gt;CROQUIS_DATOS!$C$1525,70,MOD($A908-1,70)+1)-2,2)=0,1,0))))=0,(INDEX($E$8:$E$23,MIN(INT(($A908-1)/70)+1,CROQUIS_DATOS!$C$1525))-INDEX($F$8:$F$23,MIN(INT(($A908-1)/70)+1,CROQUIS_DATOS!$C$1525))/2),(INDEX($E$8:$E$23,MIN(INT(($A908-1)/70)+1,CROQUIS_DATOS!$C$1525))+INDEX($F$8:$F$23,MIN(INT(($A908-1)/70)+1,CROQUIS_DATOS!$C$1525))/2)))*CROQUIS_DATOS!$C$1562),-1000)</f>
        <v>82.8189655172414</v>
      </c>
      <c r="O908">
        <f>IF(AND(CROQUIS_DATOS!$C$1472=1,1),(CROQUIS_DATOS!$C$1564+(IF(OR(IF(INT(($A908-1)/70)+1&gt;CROQUIS_DATOS!$C$1525,70,MOD($A908-1,70)+1)=1,IF(INT(($A908-1)/70)+1&gt;CROQUIS_DATOS!$C$1525,70,MOD($A908-1,70)+1)&gt;2*CROQUIS_DATOS!$C$1541+1),CROQUIS_DATOS!$C$1476,INDEX($H$8:$H$41,MIN(INT((IF(INT(($A908-1)/70)+1&gt;CROQUIS_DATOS!$C$1525,70,MOD($A908-1,70)+1)-2)/2)+1,CROQUIS_DATOS!$C$1541))))*CROQUIS_DATOS!$C$1561*CROQUIS_DATOS!$C$1562),-1000)</f>
        <v>40.2068965517241</v>
      </c>
    </row>
    <row r="909">
      <c r="A909" t="n">
        <v>902</v>
      </c>
      <c r="N909">
        <f>IF(AND(CROQUIS_DATOS!$C$1472=1,1),(CROQUIS_DATOS!$C$1563+(IF(IF(IF(INT(($A909-1)/70)+1&gt;CROQUIS_DATOS!$C$1525,70,MOD($A909-1,70)+1)=1,0,IF(IF(INT(($A909-1)/70)+1&gt;CROQUIS_DATOS!$C$1525,70,MOD($A909-1,70)+1)&gt;2*CROQUIS_DATOS!$C$1541+1,IF(MOD(CROQUIS_DATOS!$C$1541,2)=1,1,0),IF(MOD(MIN(INT((IF(INT(($A909-1)/70)+1&gt;CROQUIS_DATOS!$C$1525,70,MOD($A909-1,70)+1)-2)/2)+1,CROQUIS_DATOS!$C$1541),2)=1,IF(MOD(IF(INT(($A909-1)/70)+1&gt;CROQUIS_DATOS!$C$1525,70,MOD($A909-1,70)+1)-2,2)=0,0,1),IF(MOD(IF(INT(($A909-1)/70)+1&gt;CROQUIS_DATOS!$C$1525,70,MOD($A909-1,70)+1)-2,2)=0,1,0))))=0,(INDEX($E$8:$E$23,MIN(INT(($A909-1)/70)+1,CROQUIS_DATOS!$C$1525))-INDEX($F$8:$F$23,MIN(INT(($A909-1)/70)+1,CROQUIS_DATOS!$C$1525))/2),(INDEX($E$8:$E$23,MIN(INT(($A909-1)/70)+1,CROQUIS_DATOS!$C$1525))+INDEX($F$8:$F$23,MIN(INT(($A909-1)/70)+1,CROQUIS_DATOS!$C$1525))/2)))*CROQUIS_DATOS!$C$1562),-1000)</f>
        <v>82.8189655172414</v>
      </c>
      <c r="O909">
        <f>IF(AND(CROQUIS_DATOS!$C$1472=1,1),(CROQUIS_DATOS!$C$1564+(IF(OR(IF(INT(($A909-1)/70)+1&gt;CROQUIS_DATOS!$C$1525,70,MOD($A909-1,70)+1)=1,IF(INT(($A909-1)/70)+1&gt;CROQUIS_DATOS!$C$1525,70,MOD($A909-1,70)+1)&gt;2*CROQUIS_DATOS!$C$1541+1),CROQUIS_DATOS!$C$1476,INDEX($H$8:$H$41,MIN(INT((IF(INT(($A909-1)/70)+1&gt;CROQUIS_DATOS!$C$1525,70,MOD($A909-1,70)+1)-2)/2)+1,CROQUIS_DATOS!$C$1541))))*CROQUIS_DATOS!$C$1561*CROQUIS_DATOS!$C$1562),-1000)</f>
        <v>40.2068965517241</v>
      </c>
    </row>
    <row r="910">
      <c r="A910" t="n">
        <v>903</v>
      </c>
      <c r="N910">
        <f>IF(AND(CROQUIS_DATOS!$C$1472=1,1),(CROQUIS_DATOS!$C$1563+(IF(IF(IF(INT(($A910-1)/70)+1&gt;CROQUIS_DATOS!$C$1525,70,MOD($A910-1,70)+1)=1,0,IF(IF(INT(($A910-1)/70)+1&gt;CROQUIS_DATOS!$C$1525,70,MOD($A910-1,70)+1)&gt;2*CROQUIS_DATOS!$C$1541+1,IF(MOD(CROQUIS_DATOS!$C$1541,2)=1,1,0),IF(MOD(MIN(INT((IF(INT(($A910-1)/70)+1&gt;CROQUIS_DATOS!$C$1525,70,MOD($A910-1,70)+1)-2)/2)+1,CROQUIS_DATOS!$C$1541),2)=1,IF(MOD(IF(INT(($A910-1)/70)+1&gt;CROQUIS_DATOS!$C$1525,70,MOD($A910-1,70)+1)-2,2)=0,0,1),IF(MOD(IF(INT(($A910-1)/70)+1&gt;CROQUIS_DATOS!$C$1525,70,MOD($A910-1,70)+1)-2,2)=0,1,0))))=0,(INDEX($E$8:$E$23,MIN(INT(($A910-1)/70)+1,CROQUIS_DATOS!$C$1525))-INDEX($F$8:$F$23,MIN(INT(($A910-1)/70)+1,CROQUIS_DATOS!$C$1525))/2),(INDEX($E$8:$E$23,MIN(INT(($A910-1)/70)+1,CROQUIS_DATOS!$C$1525))+INDEX($F$8:$F$23,MIN(INT(($A910-1)/70)+1,CROQUIS_DATOS!$C$1525))/2)))*CROQUIS_DATOS!$C$1562),-1000)</f>
        <v>82.8189655172414</v>
      </c>
      <c r="O910">
        <f>IF(AND(CROQUIS_DATOS!$C$1472=1,1),(CROQUIS_DATOS!$C$1564+(IF(OR(IF(INT(($A910-1)/70)+1&gt;CROQUIS_DATOS!$C$1525,70,MOD($A910-1,70)+1)=1,IF(INT(($A910-1)/70)+1&gt;CROQUIS_DATOS!$C$1525,70,MOD($A910-1,70)+1)&gt;2*CROQUIS_DATOS!$C$1541+1),CROQUIS_DATOS!$C$1476,INDEX($H$8:$H$41,MIN(INT((IF(INT(($A910-1)/70)+1&gt;CROQUIS_DATOS!$C$1525,70,MOD($A910-1,70)+1)-2)/2)+1,CROQUIS_DATOS!$C$1541))))*CROQUIS_DATOS!$C$1561*CROQUIS_DATOS!$C$1562),-1000)</f>
        <v>40.2068965517241</v>
      </c>
    </row>
    <row r="911">
      <c r="A911" t="n">
        <v>904</v>
      </c>
      <c r="N911">
        <f>IF(AND(CROQUIS_DATOS!$C$1472=1,1),(CROQUIS_DATOS!$C$1563+(IF(IF(IF(INT(($A911-1)/70)+1&gt;CROQUIS_DATOS!$C$1525,70,MOD($A911-1,70)+1)=1,0,IF(IF(INT(($A911-1)/70)+1&gt;CROQUIS_DATOS!$C$1525,70,MOD($A911-1,70)+1)&gt;2*CROQUIS_DATOS!$C$1541+1,IF(MOD(CROQUIS_DATOS!$C$1541,2)=1,1,0),IF(MOD(MIN(INT((IF(INT(($A911-1)/70)+1&gt;CROQUIS_DATOS!$C$1525,70,MOD($A911-1,70)+1)-2)/2)+1,CROQUIS_DATOS!$C$1541),2)=1,IF(MOD(IF(INT(($A911-1)/70)+1&gt;CROQUIS_DATOS!$C$1525,70,MOD($A911-1,70)+1)-2,2)=0,0,1),IF(MOD(IF(INT(($A911-1)/70)+1&gt;CROQUIS_DATOS!$C$1525,70,MOD($A911-1,70)+1)-2,2)=0,1,0))))=0,(INDEX($E$8:$E$23,MIN(INT(($A911-1)/70)+1,CROQUIS_DATOS!$C$1525))-INDEX($F$8:$F$23,MIN(INT(($A911-1)/70)+1,CROQUIS_DATOS!$C$1525))/2),(INDEX($E$8:$E$23,MIN(INT(($A911-1)/70)+1,CROQUIS_DATOS!$C$1525))+INDEX($F$8:$F$23,MIN(INT(($A911-1)/70)+1,CROQUIS_DATOS!$C$1525))/2)))*CROQUIS_DATOS!$C$1562),-1000)</f>
        <v>82.8189655172414</v>
      </c>
      <c r="O911">
        <f>IF(AND(CROQUIS_DATOS!$C$1472=1,1),(CROQUIS_DATOS!$C$1564+(IF(OR(IF(INT(($A911-1)/70)+1&gt;CROQUIS_DATOS!$C$1525,70,MOD($A911-1,70)+1)=1,IF(INT(($A911-1)/70)+1&gt;CROQUIS_DATOS!$C$1525,70,MOD($A911-1,70)+1)&gt;2*CROQUIS_DATOS!$C$1541+1),CROQUIS_DATOS!$C$1476,INDEX($H$8:$H$41,MIN(INT((IF(INT(($A911-1)/70)+1&gt;CROQUIS_DATOS!$C$1525,70,MOD($A911-1,70)+1)-2)/2)+1,CROQUIS_DATOS!$C$1541))))*CROQUIS_DATOS!$C$1561*CROQUIS_DATOS!$C$1562),-1000)</f>
        <v>40.2068965517241</v>
      </c>
    </row>
    <row r="912">
      <c r="A912" t="n">
        <v>905</v>
      </c>
      <c r="N912">
        <f>IF(AND(CROQUIS_DATOS!$C$1472=1,1),(CROQUIS_DATOS!$C$1563+(IF(IF(IF(INT(($A912-1)/70)+1&gt;CROQUIS_DATOS!$C$1525,70,MOD($A912-1,70)+1)=1,0,IF(IF(INT(($A912-1)/70)+1&gt;CROQUIS_DATOS!$C$1525,70,MOD($A912-1,70)+1)&gt;2*CROQUIS_DATOS!$C$1541+1,IF(MOD(CROQUIS_DATOS!$C$1541,2)=1,1,0),IF(MOD(MIN(INT((IF(INT(($A912-1)/70)+1&gt;CROQUIS_DATOS!$C$1525,70,MOD($A912-1,70)+1)-2)/2)+1,CROQUIS_DATOS!$C$1541),2)=1,IF(MOD(IF(INT(($A912-1)/70)+1&gt;CROQUIS_DATOS!$C$1525,70,MOD($A912-1,70)+1)-2,2)=0,0,1),IF(MOD(IF(INT(($A912-1)/70)+1&gt;CROQUIS_DATOS!$C$1525,70,MOD($A912-1,70)+1)-2,2)=0,1,0))))=0,(INDEX($E$8:$E$23,MIN(INT(($A912-1)/70)+1,CROQUIS_DATOS!$C$1525))-INDEX($F$8:$F$23,MIN(INT(($A912-1)/70)+1,CROQUIS_DATOS!$C$1525))/2),(INDEX($E$8:$E$23,MIN(INT(($A912-1)/70)+1,CROQUIS_DATOS!$C$1525))+INDEX($F$8:$F$23,MIN(INT(($A912-1)/70)+1,CROQUIS_DATOS!$C$1525))/2)))*CROQUIS_DATOS!$C$1562),-1000)</f>
        <v>82.8189655172414</v>
      </c>
      <c r="O912">
        <f>IF(AND(CROQUIS_DATOS!$C$1472=1,1),(CROQUIS_DATOS!$C$1564+(IF(OR(IF(INT(($A912-1)/70)+1&gt;CROQUIS_DATOS!$C$1525,70,MOD($A912-1,70)+1)=1,IF(INT(($A912-1)/70)+1&gt;CROQUIS_DATOS!$C$1525,70,MOD($A912-1,70)+1)&gt;2*CROQUIS_DATOS!$C$1541+1),CROQUIS_DATOS!$C$1476,INDEX($H$8:$H$41,MIN(INT((IF(INT(($A912-1)/70)+1&gt;CROQUIS_DATOS!$C$1525,70,MOD($A912-1,70)+1)-2)/2)+1,CROQUIS_DATOS!$C$1541))))*CROQUIS_DATOS!$C$1561*CROQUIS_DATOS!$C$1562),-1000)</f>
        <v>40.2068965517241</v>
      </c>
    </row>
    <row r="913">
      <c r="A913" t="n">
        <v>906</v>
      </c>
      <c r="N913">
        <f>IF(AND(CROQUIS_DATOS!$C$1472=1,1),(CROQUIS_DATOS!$C$1563+(IF(IF(IF(INT(($A913-1)/70)+1&gt;CROQUIS_DATOS!$C$1525,70,MOD($A913-1,70)+1)=1,0,IF(IF(INT(($A913-1)/70)+1&gt;CROQUIS_DATOS!$C$1525,70,MOD($A913-1,70)+1)&gt;2*CROQUIS_DATOS!$C$1541+1,IF(MOD(CROQUIS_DATOS!$C$1541,2)=1,1,0),IF(MOD(MIN(INT((IF(INT(($A913-1)/70)+1&gt;CROQUIS_DATOS!$C$1525,70,MOD($A913-1,70)+1)-2)/2)+1,CROQUIS_DATOS!$C$1541),2)=1,IF(MOD(IF(INT(($A913-1)/70)+1&gt;CROQUIS_DATOS!$C$1525,70,MOD($A913-1,70)+1)-2,2)=0,0,1),IF(MOD(IF(INT(($A913-1)/70)+1&gt;CROQUIS_DATOS!$C$1525,70,MOD($A913-1,70)+1)-2,2)=0,1,0))))=0,(INDEX($E$8:$E$23,MIN(INT(($A913-1)/70)+1,CROQUIS_DATOS!$C$1525))-INDEX($F$8:$F$23,MIN(INT(($A913-1)/70)+1,CROQUIS_DATOS!$C$1525))/2),(INDEX($E$8:$E$23,MIN(INT(($A913-1)/70)+1,CROQUIS_DATOS!$C$1525))+INDEX($F$8:$F$23,MIN(INT(($A913-1)/70)+1,CROQUIS_DATOS!$C$1525))/2)))*CROQUIS_DATOS!$C$1562),-1000)</f>
        <v>82.8189655172414</v>
      </c>
      <c r="O913">
        <f>IF(AND(CROQUIS_DATOS!$C$1472=1,1),(CROQUIS_DATOS!$C$1564+(IF(OR(IF(INT(($A913-1)/70)+1&gt;CROQUIS_DATOS!$C$1525,70,MOD($A913-1,70)+1)=1,IF(INT(($A913-1)/70)+1&gt;CROQUIS_DATOS!$C$1525,70,MOD($A913-1,70)+1)&gt;2*CROQUIS_DATOS!$C$1541+1),CROQUIS_DATOS!$C$1476,INDEX($H$8:$H$41,MIN(INT((IF(INT(($A913-1)/70)+1&gt;CROQUIS_DATOS!$C$1525,70,MOD($A913-1,70)+1)-2)/2)+1,CROQUIS_DATOS!$C$1541))))*CROQUIS_DATOS!$C$1561*CROQUIS_DATOS!$C$1562),-1000)</f>
        <v>40.2068965517241</v>
      </c>
    </row>
    <row r="914">
      <c r="A914" t="n">
        <v>907</v>
      </c>
      <c r="N914">
        <f>IF(AND(CROQUIS_DATOS!$C$1472=1,1),(CROQUIS_DATOS!$C$1563+(IF(IF(IF(INT(($A914-1)/70)+1&gt;CROQUIS_DATOS!$C$1525,70,MOD($A914-1,70)+1)=1,0,IF(IF(INT(($A914-1)/70)+1&gt;CROQUIS_DATOS!$C$1525,70,MOD($A914-1,70)+1)&gt;2*CROQUIS_DATOS!$C$1541+1,IF(MOD(CROQUIS_DATOS!$C$1541,2)=1,1,0),IF(MOD(MIN(INT((IF(INT(($A914-1)/70)+1&gt;CROQUIS_DATOS!$C$1525,70,MOD($A914-1,70)+1)-2)/2)+1,CROQUIS_DATOS!$C$1541),2)=1,IF(MOD(IF(INT(($A914-1)/70)+1&gt;CROQUIS_DATOS!$C$1525,70,MOD($A914-1,70)+1)-2,2)=0,0,1),IF(MOD(IF(INT(($A914-1)/70)+1&gt;CROQUIS_DATOS!$C$1525,70,MOD($A914-1,70)+1)-2,2)=0,1,0))))=0,(INDEX($E$8:$E$23,MIN(INT(($A914-1)/70)+1,CROQUIS_DATOS!$C$1525))-INDEX($F$8:$F$23,MIN(INT(($A914-1)/70)+1,CROQUIS_DATOS!$C$1525))/2),(INDEX($E$8:$E$23,MIN(INT(($A914-1)/70)+1,CROQUIS_DATOS!$C$1525))+INDEX($F$8:$F$23,MIN(INT(($A914-1)/70)+1,CROQUIS_DATOS!$C$1525))/2)))*CROQUIS_DATOS!$C$1562),-1000)</f>
        <v>82.8189655172414</v>
      </c>
      <c r="O914">
        <f>IF(AND(CROQUIS_DATOS!$C$1472=1,1),(CROQUIS_DATOS!$C$1564+(IF(OR(IF(INT(($A914-1)/70)+1&gt;CROQUIS_DATOS!$C$1525,70,MOD($A914-1,70)+1)=1,IF(INT(($A914-1)/70)+1&gt;CROQUIS_DATOS!$C$1525,70,MOD($A914-1,70)+1)&gt;2*CROQUIS_DATOS!$C$1541+1),CROQUIS_DATOS!$C$1476,INDEX($H$8:$H$41,MIN(INT((IF(INT(($A914-1)/70)+1&gt;CROQUIS_DATOS!$C$1525,70,MOD($A914-1,70)+1)-2)/2)+1,CROQUIS_DATOS!$C$1541))))*CROQUIS_DATOS!$C$1561*CROQUIS_DATOS!$C$1562),-1000)</f>
        <v>40.2068965517241</v>
      </c>
    </row>
    <row r="915">
      <c r="A915" t="n">
        <v>908</v>
      </c>
      <c r="N915">
        <f>IF(AND(CROQUIS_DATOS!$C$1472=1,1),(CROQUIS_DATOS!$C$1563+(IF(IF(IF(INT(($A915-1)/70)+1&gt;CROQUIS_DATOS!$C$1525,70,MOD($A915-1,70)+1)=1,0,IF(IF(INT(($A915-1)/70)+1&gt;CROQUIS_DATOS!$C$1525,70,MOD($A915-1,70)+1)&gt;2*CROQUIS_DATOS!$C$1541+1,IF(MOD(CROQUIS_DATOS!$C$1541,2)=1,1,0),IF(MOD(MIN(INT((IF(INT(($A915-1)/70)+1&gt;CROQUIS_DATOS!$C$1525,70,MOD($A915-1,70)+1)-2)/2)+1,CROQUIS_DATOS!$C$1541),2)=1,IF(MOD(IF(INT(($A915-1)/70)+1&gt;CROQUIS_DATOS!$C$1525,70,MOD($A915-1,70)+1)-2,2)=0,0,1),IF(MOD(IF(INT(($A915-1)/70)+1&gt;CROQUIS_DATOS!$C$1525,70,MOD($A915-1,70)+1)-2,2)=0,1,0))))=0,(INDEX($E$8:$E$23,MIN(INT(($A915-1)/70)+1,CROQUIS_DATOS!$C$1525))-INDEX($F$8:$F$23,MIN(INT(($A915-1)/70)+1,CROQUIS_DATOS!$C$1525))/2),(INDEX($E$8:$E$23,MIN(INT(($A915-1)/70)+1,CROQUIS_DATOS!$C$1525))+INDEX($F$8:$F$23,MIN(INT(($A915-1)/70)+1,CROQUIS_DATOS!$C$1525))/2)))*CROQUIS_DATOS!$C$1562),-1000)</f>
        <v>82.8189655172414</v>
      </c>
      <c r="O915">
        <f>IF(AND(CROQUIS_DATOS!$C$1472=1,1),(CROQUIS_DATOS!$C$1564+(IF(OR(IF(INT(($A915-1)/70)+1&gt;CROQUIS_DATOS!$C$1525,70,MOD($A915-1,70)+1)=1,IF(INT(($A915-1)/70)+1&gt;CROQUIS_DATOS!$C$1525,70,MOD($A915-1,70)+1)&gt;2*CROQUIS_DATOS!$C$1541+1),CROQUIS_DATOS!$C$1476,INDEX($H$8:$H$41,MIN(INT((IF(INT(($A915-1)/70)+1&gt;CROQUIS_DATOS!$C$1525,70,MOD($A915-1,70)+1)-2)/2)+1,CROQUIS_DATOS!$C$1541))))*CROQUIS_DATOS!$C$1561*CROQUIS_DATOS!$C$1562),-1000)</f>
        <v>40.2068965517241</v>
      </c>
    </row>
    <row r="916">
      <c r="A916" t="n">
        <v>909</v>
      </c>
      <c r="N916">
        <f>IF(AND(CROQUIS_DATOS!$C$1472=1,1),(CROQUIS_DATOS!$C$1563+(IF(IF(IF(INT(($A916-1)/70)+1&gt;CROQUIS_DATOS!$C$1525,70,MOD($A916-1,70)+1)=1,0,IF(IF(INT(($A916-1)/70)+1&gt;CROQUIS_DATOS!$C$1525,70,MOD($A916-1,70)+1)&gt;2*CROQUIS_DATOS!$C$1541+1,IF(MOD(CROQUIS_DATOS!$C$1541,2)=1,1,0),IF(MOD(MIN(INT((IF(INT(($A916-1)/70)+1&gt;CROQUIS_DATOS!$C$1525,70,MOD($A916-1,70)+1)-2)/2)+1,CROQUIS_DATOS!$C$1541),2)=1,IF(MOD(IF(INT(($A916-1)/70)+1&gt;CROQUIS_DATOS!$C$1525,70,MOD($A916-1,70)+1)-2,2)=0,0,1),IF(MOD(IF(INT(($A916-1)/70)+1&gt;CROQUIS_DATOS!$C$1525,70,MOD($A916-1,70)+1)-2,2)=0,1,0))))=0,(INDEX($E$8:$E$23,MIN(INT(($A916-1)/70)+1,CROQUIS_DATOS!$C$1525))-INDEX($F$8:$F$23,MIN(INT(($A916-1)/70)+1,CROQUIS_DATOS!$C$1525))/2),(INDEX($E$8:$E$23,MIN(INT(($A916-1)/70)+1,CROQUIS_DATOS!$C$1525))+INDEX($F$8:$F$23,MIN(INT(($A916-1)/70)+1,CROQUIS_DATOS!$C$1525))/2)))*CROQUIS_DATOS!$C$1562),-1000)</f>
        <v>82.8189655172414</v>
      </c>
      <c r="O916">
        <f>IF(AND(CROQUIS_DATOS!$C$1472=1,1),(CROQUIS_DATOS!$C$1564+(IF(OR(IF(INT(($A916-1)/70)+1&gt;CROQUIS_DATOS!$C$1525,70,MOD($A916-1,70)+1)=1,IF(INT(($A916-1)/70)+1&gt;CROQUIS_DATOS!$C$1525,70,MOD($A916-1,70)+1)&gt;2*CROQUIS_DATOS!$C$1541+1),CROQUIS_DATOS!$C$1476,INDEX($H$8:$H$41,MIN(INT((IF(INT(($A916-1)/70)+1&gt;CROQUIS_DATOS!$C$1525,70,MOD($A916-1,70)+1)-2)/2)+1,CROQUIS_DATOS!$C$1541))))*CROQUIS_DATOS!$C$1561*CROQUIS_DATOS!$C$1562),-1000)</f>
        <v>40.2068965517241</v>
      </c>
    </row>
    <row r="917">
      <c r="A917" t="n">
        <v>910</v>
      </c>
      <c r="N917">
        <f>IF(AND(CROQUIS_DATOS!$C$1472=1,1),(CROQUIS_DATOS!$C$1563+(IF(IF(IF(INT(($A917-1)/70)+1&gt;CROQUIS_DATOS!$C$1525,70,MOD($A917-1,70)+1)=1,0,IF(IF(INT(($A917-1)/70)+1&gt;CROQUIS_DATOS!$C$1525,70,MOD($A917-1,70)+1)&gt;2*CROQUIS_DATOS!$C$1541+1,IF(MOD(CROQUIS_DATOS!$C$1541,2)=1,1,0),IF(MOD(MIN(INT((IF(INT(($A917-1)/70)+1&gt;CROQUIS_DATOS!$C$1525,70,MOD($A917-1,70)+1)-2)/2)+1,CROQUIS_DATOS!$C$1541),2)=1,IF(MOD(IF(INT(($A917-1)/70)+1&gt;CROQUIS_DATOS!$C$1525,70,MOD($A917-1,70)+1)-2,2)=0,0,1),IF(MOD(IF(INT(($A917-1)/70)+1&gt;CROQUIS_DATOS!$C$1525,70,MOD($A917-1,70)+1)-2,2)=0,1,0))))=0,(INDEX($E$8:$E$23,MIN(INT(($A917-1)/70)+1,CROQUIS_DATOS!$C$1525))-INDEX($F$8:$F$23,MIN(INT(($A917-1)/70)+1,CROQUIS_DATOS!$C$1525))/2),(INDEX($E$8:$E$23,MIN(INT(($A917-1)/70)+1,CROQUIS_DATOS!$C$1525))+INDEX($F$8:$F$23,MIN(INT(($A917-1)/70)+1,CROQUIS_DATOS!$C$1525))/2)))*CROQUIS_DATOS!$C$1562),-1000)</f>
        <v>82.8189655172414</v>
      </c>
      <c r="O917">
        <f>IF(AND(CROQUIS_DATOS!$C$1472=1,1),(CROQUIS_DATOS!$C$1564+(IF(OR(IF(INT(($A917-1)/70)+1&gt;CROQUIS_DATOS!$C$1525,70,MOD($A917-1,70)+1)=1,IF(INT(($A917-1)/70)+1&gt;CROQUIS_DATOS!$C$1525,70,MOD($A917-1,70)+1)&gt;2*CROQUIS_DATOS!$C$1541+1),CROQUIS_DATOS!$C$1476,INDEX($H$8:$H$41,MIN(INT((IF(INT(($A917-1)/70)+1&gt;CROQUIS_DATOS!$C$1525,70,MOD($A917-1,70)+1)-2)/2)+1,CROQUIS_DATOS!$C$1541))))*CROQUIS_DATOS!$C$1561*CROQUIS_DATOS!$C$1562),-1000)</f>
        <v>40.2068965517241</v>
      </c>
    </row>
    <row r="918">
      <c r="A918" t="n">
        <v>911</v>
      </c>
      <c r="N918">
        <f>IF(AND(CROQUIS_DATOS!$C$1472=1,1),(CROQUIS_DATOS!$C$1563+(IF(IF(IF(INT(($A918-1)/70)+1&gt;CROQUIS_DATOS!$C$1525,70,MOD($A918-1,70)+1)=1,0,IF(IF(INT(($A918-1)/70)+1&gt;CROQUIS_DATOS!$C$1525,70,MOD($A918-1,70)+1)&gt;2*CROQUIS_DATOS!$C$1541+1,IF(MOD(CROQUIS_DATOS!$C$1541,2)=1,1,0),IF(MOD(MIN(INT((IF(INT(($A918-1)/70)+1&gt;CROQUIS_DATOS!$C$1525,70,MOD($A918-1,70)+1)-2)/2)+1,CROQUIS_DATOS!$C$1541),2)=1,IF(MOD(IF(INT(($A918-1)/70)+1&gt;CROQUIS_DATOS!$C$1525,70,MOD($A918-1,70)+1)-2,2)=0,0,1),IF(MOD(IF(INT(($A918-1)/70)+1&gt;CROQUIS_DATOS!$C$1525,70,MOD($A918-1,70)+1)-2,2)=0,1,0))))=0,(INDEX($E$8:$E$23,MIN(INT(($A918-1)/70)+1,CROQUIS_DATOS!$C$1525))-INDEX($F$8:$F$23,MIN(INT(($A918-1)/70)+1,CROQUIS_DATOS!$C$1525))/2),(INDEX($E$8:$E$23,MIN(INT(($A918-1)/70)+1,CROQUIS_DATOS!$C$1525))+INDEX($F$8:$F$23,MIN(INT(($A918-1)/70)+1,CROQUIS_DATOS!$C$1525))/2)))*CROQUIS_DATOS!$C$1562),-1000)</f>
        <v>82.8189655172414</v>
      </c>
      <c r="O918">
        <f>IF(AND(CROQUIS_DATOS!$C$1472=1,1),(CROQUIS_DATOS!$C$1564+(IF(OR(IF(INT(($A918-1)/70)+1&gt;CROQUIS_DATOS!$C$1525,70,MOD($A918-1,70)+1)=1,IF(INT(($A918-1)/70)+1&gt;CROQUIS_DATOS!$C$1525,70,MOD($A918-1,70)+1)&gt;2*CROQUIS_DATOS!$C$1541+1),CROQUIS_DATOS!$C$1476,INDEX($H$8:$H$41,MIN(INT((IF(INT(($A918-1)/70)+1&gt;CROQUIS_DATOS!$C$1525,70,MOD($A918-1,70)+1)-2)/2)+1,CROQUIS_DATOS!$C$1541))))*CROQUIS_DATOS!$C$1561*CROQUIS_DATOS!$C$1562),-1000)</f>
        <v>40.2068965517241</v>
      </c>
    </row>
    <row r="919">
      <c r="A919" t="n">
        <v>912</v>
      </c>
      <c r="N919">
        <f>IF(AND(CROQUIS_DATOS!$C$1472=1,1),(CROQUIS_DATOS!$C$1563+(IF(IF(IF(INT(($A919-1)/70)+1&gt;CROQUIS_DATOS!$C$1525,70,MOD($A919-1,70)+1)=1,0,IF(IF(INT(($A919-1)/70)+1&gt;CROQUIS_DATOS!$C$1525,70,MOD($A919-1,70)+1)&gt;2*CROQUIS_DATOS!$C$1541+1,IF(MOD(CROQUIS_DATOS!$C$1541,2)=1,1,0),IF(MOD(MIN(INT((IF(INT(($A919-1)/70)+1&gt;CROQUIS_DATOS!$C$1525,70,MOD($A919-1,70)+1)-2)/2)+1,CROQUIS_DATOS!$C$1541),2)=1,IF(MOD(IF(INT(($A919-1)/70)+1&gt;CROQUIS_DATOS!$C$1525,70,MOD($A919-1,70)+1)-2,2)=0,0,1),IF(MOD(IF(INT(($A919-1)/70)+1&gt;CROQUIS_DATOS!$C$1525,70,MOD($A919-1,70)+1)-2,2)=0,1,0))))=0,(INDEX($E$8:$E$23,MIN(INT(($A919-1)/70)+1,CROQUIS_DATOS!$C$1525))-INDEX($F$8:$F$23,MIN(INT(($A919-1)/70)+1,CROQUIS_DATOS!$C$1525))/2),(INDEX($E$8:$E$23,MIN(INT(($A919-1)/70)+1,CROQUIS_DATOS!$C$1525))+INDEX($F$8:$F$23,MIN(INT(($A919-1)/70)+1,CROQUIS_DATOS!$C$1525))/2)))*CROQUIS_DATOS!$C$1562),-1000)</f>
        <v>82.8189655172414</v>
      </c>
      <c r="O919">
        <f>IF(AND(CROQUIS_DATOS!$C$1472=1,1),(CROQUIS_DATOS!$C$1564+(IF(OR(IF(INT(($A919-1)/70)+1&gt;CROQUIS_DATOS!$C$1525,70,MOD($A919-1,70)+1)=1,IF(INT(($A919-1)/70)+1&gt;CROQUIS_DATOS!$C$1525,70,MOD($A919-1,70)+1)&gt;2*CROQUIS_DATOS!$C$1541+1),CROQUIS_DATOS!$C$1476,INDEX($H$8:$H$41,MIN(INT((IF(INT(($A919-1)/70)+1&gt;CROQUIS_DATOS!$C$1525,70,MOD($A919-1,70)+1)-2)/2)+1,CROQUIS_DATOS!$C$1541))))*CROQUIS_DATOS!$C$1561*CROQUIS_DATOS!$C$1562),-1000)</f>
        <v>40.2068965517241</v>
      </c>
    </row>
    <row r="920">
      <c r="A920" t="n">
        <v>913</v>
      </c>
      <c r="N920">
        <f>IF(AND(CROQUIS_DATOS!$C$1472=1,1),(CROQUIS_DATOS!$C$1563+(IF(IF(IF(INT(($A920-1)/70)+1&gt;CROQUIS_DATOS!$C$1525,70,MOD($A920-1,70)+1)=1,0,IF(IF(INT(($A920-1)/70)+1&gt;CROQUIS_DATOS!$C$1525,70,MOD($A920-1,70)+1)&gt;2*CROQUIS_DATOS!$C$1541+1,IF(MOD(CROQUIS_DATOS!$C$1541,2)=1,1,0),IF(MOD(MIN(INT((IF(INT(($A920-1)/70)+1&gt;CROQUIS_DATOS!$C$1525,70,MOD($A920-1,70)+1)-2)/2)+1,CROQUIS_DATOS!$C$1541),2)=1,IF(MOD(IF(INT(($A920-1)/70)+1&gt;CROQUIS_DATOS!$C$1525,70,MOD($A920-1,70)+1)-2,2)=0,0,1),IF(MOD(IF(INT(($A920-1)/70)+1&gt;CROQUIS_DATOS!$C$1525,70,MOD($A920-1,70)+1)-2,2)=0,1,0))))=0,(INDEX($E$8:$E$23,MIN(INT(($A920-1)/70)+1,CROQUIS_DATOS!$C$1525))-INDEX($F$8:$F$23,MIN(INT(($A920-1)/70)+1,CROQUIS_DATOS!$C$1525))/2),(INDEX($E$8:$E$23,MIN(INT(($A920-1)/70)+1,CROQUIS_DATOS!$C$1525))+INDEX($F$8:$F$23,MIN(INT(($A920-1)/70)+1,CROQUIS_DATOS!$C$1525))/2)))*CROQUIS_DATOS!$C$1562),-1000)</f>
        <v>82.8189655172414</v>
      </c>
      <c r="O920">
        <f>IF(AND(CROQUIS_DATOS!$C$1472=1,1),(CROQUIS_DATOS!$C$1564+(IF(OR(IF(INT(($A920-1)/70)+1&gt;CROQUIS_DATOS!$C$1525,70,MOD($A920-1,70)+1)=1,IF(INT(($A920-1)/70)+1&gt;CROQUIS_DATOS!$C$1525,70,MOD($A920-1,70)+1)&gt;2*CROQUIS_DATOS!$C$1541+1),CROQUIS_DATOS!$C$1476,INDEX($H$8:$H$41,MIN(INT((IF(INT(($A920-1)/70)+1&gt;CROQUIS_DATOS!$C$1525,70,MOD($A920-1,70)+1)-2)/2)+1,CROQUIS_DATOS!$C$1541))))*CROQUIS_DATOS!$C$1561*CROQUIS_DATOS!$C$1562),-1000)</f>
        <v>40.2068965517241</v>
      </c>
    </row>
    <row r="921">
      <c r="A921" t="n">
        <v>914</v>
      </c>
      <c r="N921">
        <f>IF(AND(CROQUIS_DATOS!$C$1472=1,1),(CROQUIS_DATOS!$C$1563+(IF(IF(IF(INT(($A921-1)/70)+1&gt;CROQUIS_DATOS!$C$1525,70,MOD($A921-1,70)+1)=1,0,IF(IF(INT(($A921-1)/70)+1&gt;CROQUIS_DATOS!$C$1525,70,MOD($A921-1,70)+1)&gt;2*CROQUIS_DATOS!$C$1541+1,IF(MOD(CROQUIS_DATOS!$C$1541,2)=1,1,0),IF(MOD(MIN(INT((IF(INT(($A921-1)/70)+1&gt;CROQUIS_DATOS!$C$1525,70,MOD($A921-1,70)+1)-2)/2)+1,CROQUIS_DATOS!$C$1541),2)=1,IF(MOD(IF(INT(($A921-1)/70)+1&gt;CROQUIS_DATOS!$C$1525,70,MOD($A921-1,70)+1)-2,2)=0,0,1),IF(MOD(IF(INT(($A921-1)/70)+1&gt;CROQUIS_DATOS!$C$1525,70,MOD($A921-1,70)+1)-2,2)=0,1,0))))=0,(INDEX($E$8:$E$23,MIN(INT(($A921-1)/70)+1,CROQUIS_DATOS!$C$1525))-INDEX($F$8:$F$23,MIN(INT(($A921-1)/70)+1,CROQUIS_DATOS!$C$1525))/2),(INDEX($E$8:$E$23,MIN(INT(($A921-1)/70)+1,CROQUIS_DATOS!$C$1525))+INDEX($F$8:$F$23,MIN(INT(($A921-1)/70)+1,CROQUIS_DATOS!$C$1525))/2)))*CROQUIS_DATOS!$C$1562),-1000)</f>
        <v>82.8189655172414</v>
      </c>
      <c r="O921">
        <f>IF(AND(CROQUIS_DATOS!$C$1472=1,1),(CROQUIS_DATOS!$C$1564+(IF(OR(IF(INT(($A921-1)/70)+1&gt;CROQUIS_DATOS!$C$1525,70,MOD($A921-1,70)+1)=1,IF(INT(($A921-1)/70)+1&gt;CROQUIS_DATOS!$C$1525,70,MOD($A921-1,70)+1)&gt;2*CROQUIS_DATOS!$C$1541+1),CROQUIS_DATOS!$C$1476,INDEX($H$8:$H$41,MIN(INT((IF(INT(($A921-1)/70)+1&gt;CROQUIS_DATOS!$C$1525,70,MOD($A921-1,70)+1)-2)/2)+1,CROQUIS_DATOS!$C$1541))))*CROQUIS_DATOS!$C$1561*CROQUIS_DATOS!$C$1562),-1000)</f>
        <v>40.2068965517241</v>
      </c>
    </row>
    <row r="922">
      <c r="A922" t="n">
        <v>915</v>
      </c>
      <c r="N922">
        <f>IF(AND(CROQUIS_DATOS!$C$1472=1,1),(CROQUIS_DATOS!$C$1563+(IF(IF(IF(INT(($A922-1)/70)+1&gt;CROQUIS_DATOS!$C$1525,70,MOD($A922-1,70)+1)=1,0,IF(IF(INT(($A922-1)/70)+1&gt;CROQUIS_DATOS!$C$1525,70,MOD($A922-1,70)+1)&gt;2*CROQUIS_DATOS!$C$1541+1,IF(MOD(CROQUIS_DATOS!$C$1541,2)=1,1,0),IF(MOD(MIN(INT((IF(INT(($A922-1)/70)+1&gt;CROQUIS_DATOS!$C$1525,70,MOD($A922-1,70)+1)-2)/2)+1,CROQUIS_DATOS!$C$1541),2)=1,IF(MOD(IF(INT(($A922-1)/70)+1&gt;CROQUIS_DATOS!$C$1525,70,MOD($A922-1,70)+1)-2,2)=0,0,1),IF(MOD(IF(INT(($A922-1)/70)+1&gt;CROQUIS_DATOS!$C$1525,70,MOD($A922-1,70)+1)-2,2)=0,1,0))))=0,(INDEX($E$8:$E$23,MIN(INT(($A922-1)/70)+1,CROQUIS_DATOS!$C$1525))-INDEX($F$8:$F$23,MIN(INT(($A922-1)/70)+1,CROQUIS_DATOS!$C$1525))/2),(INDEX($E$8:$E$23,MIN(INT(($A922-1)/70)+1,CROQUIS_DATOS!$C$1525))+INDEX($F$8:$F$23,MIN(INT(($A922-1)/70)+1,CROQUIS_DATOS!$C$1525))/2)))*CROQUIS_DATOS!$C$1562),-1000)</f>
        <v>82.8189655172414</v>
      </c>
      <c r="O922">
        <f>IF(AND(CROQUIS_DATOS!$C$1472=1,1),(CROQUIS_DATOS!$C$1564+(IF(OR(IF(INT(($A922-1)/70)+1&gt;CROQUIS_DATOS!$C$1525,70,MOD($A922-1,70)+1)=1,IF(INT(($A922-1)/70)+1&gt;CROQUIS_DATOS!$C$1525,70,MOD($A922-1,70)+1)&gt;2*CROQUIS_DATOS!$C$1541+1),CROQUIS_DATOS!$C$1476,INDEX($H$8:$H$41,MIN(INT((IF(INT(($A922-1)/70)+1&gt;CROQUIS_DATOS!$C$1525,70,MOD($A922-1,70)+1)-2)/2)+1,CROQUIS_DATOS!$C$1541))))*CROQUIS_DATOS!$C$1561*CROQUIS_DATOS!$C$1562),-1000)</f>
        <v>40.2068965517241</v>
      </c>
    </row>
    <row r="923">
      <c r="A923" t="n">
        <v>916</v>
      </c>
      <c r="N923">
        <f>IF(AND(CROQUIS_DATOS!$C$1472=1,1),(CROQUIS_DATOS!$C$1563+(IF(IF(IF(INT(($A923-1)/70)+1&gt;CROQUIS_DATOS!$C$1525,70,MOD($A923-1,70)+1)=1,0,IF(IF(INT(($A923-1)/70)+1&gt;CROQUIS_DATOS!$C$1525,70,MOD($A923-1,70)+1)&gt;2*CROQUIS_DATOS!$C$1541+1,IF(MOD(CROQUIS_DATOS!$C$1541,2)=1,1,0),IF(MOD(MIN(INT((IF(INT(($A923-1)/70)+1&gt;CROQUIS_DATOS!$C$1525,70,MOD($A923-1,70)+1)-2)/2)+1,CROQUIS_DATOS!$C$1541),2)=1,IF(MOD(IF(INT(($A923-1)/70)+1&gt;CROQUIS_DATOS!$C$1525,70,MOD($A923-1,70)+1)-2,2)=0,0,1),IF(MOD(IF(INT(($A923-1)/70)+1&gt;CROQUIS_DATOS!$C$1525,70,MOD($A923-1,70)+1)-2,2)=0,1,0))))=0,(INDEX($E$8:$E$23,MIN(INT(($A923-1)/70)+1,CROQUIS_DATOS!$C$1525))-INDEX($F$8:$F$23,MIN(INT(($A923-1)/70)+1,CROQUIS_DATOS!$C$1525))/2),(INDEX($E$8:$E$23,MIN(INT(($A923-1)/70)+1,CROQUIS_DATOS!$C$1525))+INDEX($F$8:$F$23,MIN(INT(($A923-1)/70)+1,CROQUIS_DATOS!$C$1525))/2)))*CROQUIS_DATOS!$C$1562),-1000)</f>
        <v>82.8189655172414</v>
      </c>
      <c r="O923">
        <f>IF(AND(CROQUIS_DATOS!$C$1472=1,1),(CROQUIS_DATOS!$C$1564+(IF(OR(IF(INT(($A923-1)/70)+1&gt;CROQUIS_DATOS!$C$1525,70,MOD($A923-1,70)+1)=1,IF(INT(($A923-1)/70)+1&gt;CROQUIS_DATOS!$C$1525,70,MOD($A923-1,70)+1)&gt;2*CROQUIS_DATOS!$C$1541+1),CROQUIS_DATOS!$C$1476,INDEX($H$8:$H$41,MIN(INT((IF(INT(($A923-1)/70)+1&gt;CROQUIS_DATOS!$C$1525,70,MOD($A923-1,70)+1)-2)/2)+1,CROQUIS_DATOS!$C$1541))))*CROQUIS_DATOS!$C$1561*CROQUIS_DATOS!$C$1562),-1000)</f>
        <v>40.2068965517241</v>
      </c>
    </row>
    <row r="924">
      <c r="A924" t="n">
        <v>917</v>
      </c>
      <c r="N924">
        <f>IF(AND(CROQUIS_DATOS!$C$1472=1,1),(CROQUIS_DATOS!$C$1563+(IF(IF(IF(INT(($A924-1)/70)+1&gt;CROQUIS_DATOS!$C$1525,70,MOD($A924-1,70)+1)=1,0,IF(IF(INT(($A924-1)/70)+1&gt;CROQUIS_DATOS!$C$1525,70,MOD($A924-1,70)+1)&gt;2*CROQUIS_DATOS!$C$1541+1,IF(MOD(CROQUIS_DATOS!$C$1541,2)=1,1,0),IF(MOD(MIN(INT((IF(INT(($A924-1)/70)+1&gt;CROQUIS_DATOS!$C$1525,70,MOD($A924-1,70)+1)-2)/2)+1,CROQUIS_DATOS!$C$1541),2)=1,IF(MOD(IF(INT(($A924-1)/70)+1&gt;CROQUIS_DATOS!$C$1525,70,MOD($A924-1,70)+1)-2,2)=0,0,1),IF(MOD(IF(INT(($A924-1)/70)+1&gt;CROQUIS_DATOS!$C$1525,70,MOD($A924-1,70)+1)-2,2)=0,1,0))))=0,(INDEX($E$8:$E$23,MIN(INT(($A924-1)/70)+1,CROQUIS_DATOS!$C$1525))-INDEX($F$8:$F$23,MIN(INT(($A924-1)/70)+1,CROQUIS_DATOS!$C$1525))/2),(INDEX($E$8:$E$23,MIN(INT(($A924-1)/70)+1,CROQUIS_DATOS!$C$1525))+INDEX($F$8:$F$23,MIN(INT(($A924-1)/70)+1,CROQUIS_DATOS!$C$1525))/2)))*CROQUIS_DATOS!$C$1562),-1000)</f>
        <v>82.8189655172414</v>
      </c>
      <c r="O924">
        <f>IF(AND(CROQUIS_DATOS!$C$1472=1,1),(CROQUIS_DATOS!$C$1564+(IF(OR(IF(INT(($A924-1)/70)+1&gt;CROQUIS_DATOS!$C$1525,70,MOD($A924-1,70)+1)=1,IF(INT(($A924-1)/70)+1&gt;CROQUIS_DATOS!$C$1525,70,MOD($A924-1,70)+1)&gt;2*CROQUIS_DATOS!$C$1541+1),CROQUIS_DATOS!$C$1476,INDEX($H$8:$H$41,MIN(INT((IF(INT(($A924-1)/70)+1&gt;CROQUIS_DATOS!$C$1525,70,MOD($A924-1,70)+1)-2)/2)+1,CROQUIS_DATOS!$C$1541))))*CROQUIS_DATOS!$C$1561*CROQUIS_DATOS!$C$1562),-1000)</f>
        <v>40.2068965517241</v>
      </c>
    </row>
    <row r="925">
      <c r="A925" t="n">
        <v>918</v>
      </c>
      <c r="N925">
        <f>IF(AND(CROQUIS_DATOS!$C$1472=1,1),(CROQUIS_DATOS!$C$1563+(IF(IF(IF(INT(($A925-1)/70)+1&gt;CROQUIS_DATOS!$C$1525,70,MOD($A925-1,70)+1)=1,0,IF(IF(INT(($A925-1)/70)+1&gt;CROQUIS_DATOS!$C$1525,70,MOD($A925-1,70)+1)&gt;2*CROQUIS_DATOS!$C$1541+1,IF(MOD(CROQUIS_DATOS!$C$1541,2)=1,1,0),IF(MOD(MIN(INT((IF(INT(($A925-1)/70)+1&gt;CROQUIS_DATOS!$C$1525,70,MOD($A925-1,70)+1)-2)/2)+1,CROQUIS_DATOS!$C$1541),2)=1,IF(MOD(IF(INT(($A925-1)/70)+1&gt;CROQUIS_DATOS!$C$1525,70,MOD($A925-1,70)+1)-2,2)=0,0,1),IF(MOD(IF(INT(($A925-1)/70)+1&gt;CROQUIS_DATOS!$C$1525,70,MOD($A925-1,70)+1)-2,2)=0,1,0))))=0,(INDEX($E$8:$E$23,MIN(INT(($A925-1)/70)+1,CROQUIS_DATOS!$C$1525))-INDEX($F$8:$F$23,MIN(INT(($A925-1)/70)+1,CROQUIS_DATOS!$C$1525))/2),(INDEX($E$8:$E$23,MIN(INT(($A925-1)/70)+1,CROQUIS_DATOS!$C$1525))+INDEX($F$8:$F$23,MIN(INT(($A925-1)/70)+1,CROQUIS_DATOS!$C$1525))/2)))*CROQUIS_DATOS!$C$1562),-1000)</f>
        <v>82.8189655172414</v>
      </c>
      <c r="O925">
        <f>IF(AND(CROQUIS_DATOS!$C$1472=1,1),(CROQUIS_DATOS!$C$1564+(IF(OR(IF(INT(($A925-1)/70)+1&gt;CROQUIS_DATOS!$C$1525,70,MOD($A925-1,70)+1)=1,IF(INT(($A925-1)/70)+1&gt;CROQUIS_DATOS!$C$1525,70,MOD($A925-1,70)+1)&gt;2*CROQUIS_DATOS!$C$1541+1),CROQUIS_DATOS!$C$1476,INDEX($H$8:$H$41,MIN(INT((IF(INT(($A925-1)/70)+1&gt;CROQUIS_DATOS!$C$1525,70,MOD($A925-1,70)+1)-2)/2)+1,CROQUIS_DATOS!$C$1541))))*CROQUIS_DATOS!$C$1561*CROQUIS_DATOS!$C$1562),-1000)</f>
        <v>40.2068965517241</v>
      </c>
    </row>
    <row r="926">
      <c r="A926" t="n">
        <v>919</v>
      </c>
      <c r="N926">
        <f>IF(AND(CROQUIS_DATOS!$C$1472=1,1),(CROQUIS_DATOS!$C$1563+(IF(IF(IF(INT(($A926-1)/70)+1&gt;CROQUIS_DATOS!$C$1525,70,MOD($A926-1,70)+1)=1,0,IF(IF(INT(($A926-1)/70)+1&gt;CROQUIS_DATOS!$C$1525,70,MOD($A926-1,70)+1)&gt;2*CROQUIS_DATOS!$C$1541+1,IF(MOD(CROQUIS_DATOS!$C$1541,2)=1,1,0),IF(MOD(MIN(INT((IF(INT(($A926-1)/70)+1&gt;CROQUIS_DATOS!$C$1525,70,MOD($A926-1,70)+1)-2)/2)+1,CROQUIS_DATOS!$C$1541),2)=1,IF(MOD(IF(INT(($A926-1)/70)+1&gt;CROQUIS_DATOS!$C$1525,70,MOD($A926-1,70)+1)-2,2)=0,0,1),IF(MOD(IF(INT(($A926-1)/70)+1&gt;CROQUIS_DATOS!$C$1525,70,MOD($A926-1,70)+1)-2,2)=0,1,0))))=0,(INDEX($E$8:$E$23,MIN(INT(($A926-1)/70)+1,CROQUIS_DATOS!$C$1525))-INDEX($F$8:$F$23,MIN(INT(($A926-1)/70)+1,CROQUIS_DATOS!$C$1525))/2),(INDEX($E$8:$E$23,MIN(INT(($A926-1)/70)+1,CROQUIS_DATOS!$C$1525))+INDEX($F$8:$F$23,MIN(INT(($A926-1)/70)+1,CROQUIS_DATOS!$C$1525))/2)))*CROQUIS_DATOS!$C$1562),-1000)</f>
        <v>82.8189655172414</v>
      </c>
      <c r="O926">
        <f>IF(AND(CROQUIS_DATOS!$C$1472=1,1),(CROQUIS_DATOS!$C$1564+(IF(OR(IF(INT(($A926-1)/70)+1&gt;CROQUIS_DATOS!$C$1525,70,MOD($A926-1,70)+1)=1,IF(INT(($A926-1)/70)+1&gt;CROQUIS_DATOS!$C$1525,70,MOD($A926-1,70)+1)&gt;2*CROQUIS_DATOS!$C$1541+1),CROQUIS_DATOS!$C$1476,INDEX($H$8:$H$41,MIN(INT((IF(INT(($A926-1)/70)+1&gt;CROQUIS_DATOS!$C$1525,70,MOD($A926-1,70)+1)-2)/2)+1,CROQUIS_DATOS!$C$1541))))*CROQUIS_DATOS!$C$1561*CROQUIS_DATOS!$C$1562),-1000)</f>
        <v>40.2068965517241</v>
      </c>
    </row>
    <row r="927">
      <c r="A927" t="n">
        <v>920</v>
      </c>
      <c r="N927">
        <f>IF(AND(CROQUIS_DATOS!$C$1472=1,1),(CROQUIS_DATOS!$C$1563+(IF(IF(IF(INT(($A927-1)/70)+1&gt;CROQUIS_DATOS!$C$1525,70,MOD($A927-1,70)+1)=1,0,IF(IF(INT(($A927-1)/70)+1&gt;CROQUIS_DATOS!$C$1525,70,MOD($A927-1,70)+1)&gt;2*CROQUIS_DATOS!$C$1541+1,IF(MOD(CROQUIS_DATOS!$C$1541,2)=1,1,0),IF(MOD(MIN(INT((IF(INT(($A927-1)/70)+1&gt;CROQUIS_DATOS!$C$1525,70,MOD($A927-1,70)+1)-2)/2)+1,CROQUIS_DATOS!$C$1541),2)=1,IF(MOD(IF(INT(($A927-1)/70)+1&gt;CROQUIS_DATOS!$C$1525,70,MOD($A927-1,70)+1)-2,2)=0,0,1),IF(MOD(IF(INT(($A927-1)/70)+1&gt;CROQUIS_DATOS!$C$1525,70,MOD($A927-1,70)+1)-2,2)=0,1,0))))=0,(INDEX($E$8:$E$23,MIN(INT(($A927-1)/70)+1,CROQUIS_DATOS!$C$1525))-INDEX($F$8:$F$23,MIN(INT(($A927-1)/70)+1,CROQUIS_DATOS!$C$1525))/2),(INDEX($E$8:$E$23,MIN(INT(($A927-1)/70)+1,CROQUIS_DATOS!$C$1525))+INDEX($F$8:$F$23,MIN(INT(($A927-1)/70)+1,CROQUIS_DATOS!$C$1525))/2)))*CROQUIS_DATOS!$C$1562),-1000)</f>
        <v>82.8189655172414</v>
      </c>
      <c r="O927">
        <f>IF(AND(CROQUIS_DATOS!$C$1472=1,1),(CROQUIS_DATOS!$C$1564+(IF(OR(IF(INT(($A927-1)/70)+1&gt;CROQUIS_DATOS!$C$1525,70,MOD($A927-1,70)+1)=1,IF(INT(($A927-1)/70)+1&gt;CROQUIS_DATOS!$C$1525,70,MOD($A927-1,70)+1)&gt;2*CROQUIS_DATOS!$C$1541+1),CROQUIS_DATOS!$C$1476,INDEX($H$8:$H$41,MIN(INT((IF(INT(($A927-1)/70)+1&gt;CROQUIS_DATOS!$C$1525,70,MOD($A927-1,70)+1)-2)/2)+1,CROQUIS_DATOS!$C$1541))))*CROQUIS_DATOS!$C$1561*CROQUIS_DATOS!$C$1562),-1000)</f>
        <v>40.2068965517241</v>
      </c>
    </row>
    <row r="928">
      <c r="A928" t="n">
        <v>921</v>
      </c>
      <c r="N928">
        <f>IF(AND(CROQUIS_DATOS!$C$1472=1,1),(CROQUIS_DATOS!$C$1563+(IF(IF(IF(INT(($A928-1)/70)+1&gt;CROQUIS_DATOS!$C$1525,70,MOD($A928-1,70)+1)=1,0,IF(IF(INT(($A928-1)/70)+1&gt;CROQUIS_DATOS!$C$1525,70,MOD($A928-1,70)+1)&gt;2*CROQUIS_DATOS!$C$1541+1,IF(MOD(CROQUIS_DATOS!$C$1541,2)=1,1,0),IF(MOD(MIN(INT((IF(INT(($A928-1)/70)+1&gt;CROQUIS_DATOS!$C$1525,70,MOD($A928-1,70)+1)-2)/2)+1,CROQUIS_DATOS!$C$1541),2)=1,IF(MOD(IF(INT(($A928-1)/70)+1&gt;CROQUIS_DATOS!$C$1525,70,MOD($A928-1,70)+1)-2,2)=0,0,1),IF(MOD(IF(INT(($A928-1)/70)+1&gt;CROQUIS_DATOS!$C$1525,70,MOD($A928-1,70)+1)-2,2)=0,1,0))))=0,(INDEX($E$8:$E$23,MIN(INT(($A928-1)/70)+1,CROQUIS_DATOS!$C$1525))-INDEX($F$8:$F$23,MIN(INT(($A928-1)/70)+1,CROQUIS_DATOS!$C$1525))/2),(INDEX($E$8:$E$23,MIN(INT(($A928-1)/70)+1,CROQUIS_DATOS!$C$1525))+INDEX($F$8:$F$23,MIN(INT(($A928-1)/70)+1,CROQUIS_DATOS!$C$1525))/2)))*CROQUIS_DATOS!$C$1562),-1000)</f>
        <v>82.8189655172414</v>
      </c>
      <c r="O928">
        <f>IF(AND(CROQUIS_DATOS!$C$1472=1,1),(CROQUIS_DATOS!$C$1564+(IF(OR(IF(INT(($A928-1)/70)+1&gt;CROQUIS_DATOS!$C$1525,70,MOD($A928-1,70)+1)=1,IF(INT(($A928-1)/70)+1&gt;CROQUIS_DATOS!$C$1525,70,MOD($A928-1,70)+1)&gt;2*CROQUIS_DATOS!$C$1541+1),CROQUIS_DATOS!$C$1476,INDEX($H$8:$H$41,MIN(INT((IF(INT(($A928-1)/70)+1&gt;CROQUIS_DATOS!$C$1525,70,MOD($A928-1,70)+1)-2)/2)+1,CROQUIS_DATOS!$C$1541))))*CROQUIS_DATOS!$C$1561*CROQUIS_DATOS!$C$1562),-1000)</f>
        <v>40.2068965517241</v>
      </c>
    </row>
    <row r="929">
      <c r="A929" t="n">
        <v>922</v>
      </c>
      <c r="N929">
        <f>IF(AND(CROQUIS_DATOS!$C$1472=1,1),(CROQUIS_DATOS!$C$1563+(IF(IF(IF(INT(($A929-1)/70)+1&gt;CROQUIS_DATOS!$C$1525,70,MOD($A929-1,70)+1)=1,0,IF(IF(INT(($A929-1)/70)+1&gt;CROQUIS_DATOS!$C$1525,70,MOD($A929-1,70)+1)&gt;2*CROQUIS_DATOS!$C$1541+1,IF(MOD(CROQUIS_DATOS!$C$1541,2)=1,1,0),IF(MOD(MIN(INT((IF(INT(($A929-1)/70)+1&gt;CROQUIS_DATOS!$C$1525,70,MOD($A929-1,70)+1)-2)/2)+1,CROQUIS_DATOS!$C$1541),2)=1,IF(MOD(IF(INT(($A929-1)/70)+1&gt;CROQUIS_DATOS!$C$1525,70,MOD($A929-1,70)+1)-2,2)=0,0,1),IF(MOD(IF(INT(($A929-1)/70)+1&gt;CROQUIS_DATOS!$C$1525,70,MOD($A929-1,70)+1)-2,2)=0,1,0))))=0,(INDEX($E$8:$E$23,MIN(INT(($A929-1)/70)+1,CROQUIS_DATOS!$C$1525))-INDEX($F$8:$F$23,MIN(INT(($A929-1)/70)+1,CROQUIS_DATOS!$C$1525))/2),(INDEX($E$8:$E$23,MIN(INT(($A929-1)/70)+1,CROQUIS_DATOS!$C$1525))+INDEX($F$8:$F$23,MIN(INT(($A929-1)/70)+1,CROQUIS_DATOS!$C$1525))/2)))*CROQUIS_DATOS!$C$1562),-1000)</f>
        <v>82.8189655172414</v>
      </c>
      <c r="O929">
        <f>IF(AND(CROQUIS_DATOS!$C$1472=1,1),(CROQUIS_DATOS!$C$1564+(IF(OR(IF(INT(($A929-1)/70)+1&gt;CROQUIS_DATOS!$C$1525,70,MOD($A929-1,70)+1)=1,IF(INT(($A929-1)/70)+1&gt;CROQUIS_DATOS!$C$1525,70,MOD($A929-1,70)+1)&gt;2*CROQUIS_DATOS!$C$1541+1),CROQUIS_DATOS!$C$1476,INDEX($H$8:$H$41,MIN(INT((IF(INT(($A929-1)/70)+1&gt;CROQUIS_DATOS!$C$1525,70,MOD($A929-1,70)+1)-2)/2)+1,CROQUIS_DATOS!$C$1541))))*CROQUIS_DATOS!$C$1561*CROQUIS_DATOS!$C$1562),-1000)</f>
        <v>40.2068965517241</v>
      </c>
    </row>
    <row r="930">
      <c r="A930" t="n">
        <v>923</v>
      </c>
      <c r="N930">
        <f>IF(AND(CROQUIS_DATOS!$C$1472=1,1),(CROQUIS_DATOS!$C$1563+(IF(IF(IF(INT(($A930-1)/70)+1&gt;CROQUIS_DATOS!$C$1525,70,MOD($A930-1,70)+1)=1,0,IF(IF(INT(($A930-1)/70)+1&gt;CROQUIS_DATOS!$C$1525,70,MOD($A930-1,70)+1)&gt;2*CROQUIS_DATOS!$C$1541+1,IF(MOD(CROQUIS_DATOS!$C$1541,2)=1,1,0),IF(MOD(MIN(INT((IF(INT(($A930-1)/70)+1&gt;CROQUIS_DATOS!$C$1525,70,MOD($A930-1,70)+1)-2)/2)+1,CROQUIS_DATOS!$C$1541),2)=1,IF(MOD(IF(INT(($A930-1)/70)+1&gt;CROQUIS_DATOS!$C$1525,70,MOD($A930-1,70)+1)-2,2)=0,0,1),IF(MOD(IF(INT(($A930-1)/70)+1&gt;CROQUIS_DATOS!$C$1525,70,MOD($A930-1,70)+1)-2,2)=0,1,0))))=0,(INDEX($E$8:$E$23,MIN(INT(($A930-1)/70)+1,CROQUIS_DATOS!$C$1525))-INDEX($F$8:$F$23,MIN(INT(($A930-1)/70)+1,CROQUIS_DATOS!$C$1525))/2),(INDEX($E$8:$E$23,MIN(INT(($A930-1)/70)+1,CROQUIS_DATOS!$C$1525))+INDEX($F$8:$F$23,MIN(INT(($A930-1)/70)+1,CROQUIS_DATOS!$C$1525))/2)))*CROQUIS_DATOS!$C$1562),-1000)</f>
        <v>82.8189655172414</v>
      </c>
      <c r="O930">
        <f>IF(AND(CROQUIS_DATOS!$C$1472=1,1),(CROQUIS_DATOS!$C$1564+(IF(OR(IF(INT(($A930-1)/70)+1&gt;CROQUIS_DATOS!$C$1525,70,MOD($A930-1,70)+1)=1,IF(INT(($A930-1)/70)+1&gt;CROQUIS_DATOS!$C$1525,70,MOD($A930-1,70)+1)&gt;2*CROQUIS_DATOS!$C$1541+1),CROQUIS_DATOS!$C$1476,INDEX($H$8:$H$41,MIN(INT((IF(INT(($A930-1)/70)+1&gt;CROQUIS_DATOS!$C$1525,70,MOD($A930-1,70)+1)-2)/2)+1,CROQUIS_DATOS!$C$1541))))*CROQUIS_DATOS!$C$1561*CROQUIS_DATOS!$C$1562),-1000)</f>
        <v>40.2068965517241</v>
      </c>
    </row>
    <row r="931">
      <c r="A931" t="n">
        <v>924</v>
      </c>
      <c r="N931">
        <f>IF(AND(CROQUIS_DATOS!$C$1472=1,1),(CROQUIS_DATOS!$C$1563+(IF(IF(IF(INT(($A931-1)/70)+1&gt;CROQUIS_DATOS!$C$1525,70,MOD($A931-1,70)+1)=1,0,IF(IF(INT(($A931-1)/70)+1&gt;CROQUIS_DATOS!$C$1525,70,MOD($A931-1,70)+1)&gt;2*CROQUIS_DATOS!$C$1541+1,IF(MOD(CROQUIS_DATOS!$C$1541,2)=1,1,0),IF(MOD(MIN(INT((IF(INT(($A931-1)/70)+1&gt;CROQUIS_DATOS!$C$1525,70,MOD($A931-1,70)+1)-2)/2)+1,CROQUIS_DATOS!$C$1541),2)=1,IF(MOD(IF(INT(($A931-1)/70)+1&gt;CROQUIS_DATOS!$C$1525,70,MOD($A931-1,70)+1)-2,2)=0,0,1),IF(MOD(IF(INT(($A931-1)/70)+1&gt;CROQUIS_DATOS!$C$1525,70,MOD($A931-1,70)+1)-2,2)=0,1,0))))=0,(INDEX($E$8:$E$23,MIN(INT(($A931-1)/70)+1,CROQUIS_DATOS!$C$1525))-INDEX($F$8:$F$23,MIN(INT(($A931-1)/70)+1,CROQUIS_DATOS!$C$1525))/2),(INDEX($E$8:$E$23,MIN(INT(($A931-1)/70)+1,CROQUIS_DATOS!$C$1525))+INDEX($F$8:$F$23,MIN(INT(($A931-1)/70)+1,CROQUIS_DATOS!$C$1525))/2)))*CROQUIS_DATOS!$C$1562),-1000)</f>
        <v>82.8189655172414</v>
      </c>
      <c r="O931">
        <f>IF(AND(CROQUIS_DATOS!$C$1472=1,1),(CROQUIS_DATOS!$C$1564+(IF(OR(IF(INT(($A931-1)/70)+1&gt;CROQUIS_DATOS!$C$1525,70,MOD($A931-1,70)+1)=1,IF(INT(($A931-1)/70)+1&gt;CROQUIS_DATOS!$C$1525,70,MOD($A931-1,70)+1)&gt;2*CROQUIS_DATOS!$C$1541+1),CROQUIS_DATOS!$C$1476,INDEX($H$8:$H$41,MIN(INT((IF(INT(($A931-1)/70)+1&gt;CROQUIS_DATOS!$C$1525,70,MOD($A931-1,70)+1)-2)/2)+1,CROQUIS_DATOS!$C$1541))))*CROQUIS_DATOS!$C$1561*CROQUIS_DATOS!$C$1562),-1000)</f>
        <v>40.2068965517241</v>
      </c>
    </row>
    <row r="932">
      <c r="A932" t="n">
        <v>925</v>
      </c>
      <c r="N932">
        <f>IF(AND(CROQUIS_DATOS!$C$1472=1,1),(CROQUIS_DATOS!$C$1563+(IF(IF(IF(INT(($A932-1)/70)+1&gt;CROQUIS_DATOS!$C$1525,70,MOD($A932-1,70)+1)=1,0,IF(IF(INT(($A932-1)/70)+1&gt;CROQUIS_DATOS!$C$1525,70,MOD($A932-1,70)+1)&gt;2*CROQUIS_DATOS!$C$1541+1,IF(MOD(CROQUIS_DATOS!$C$1541,2)=1,1,0),IF(MOD(MIN(INT((IF(INT(($A932-1)/70)+1&gt;CROQUIS_DATOS!$C$1525,70,MOD($A932-1,70)+1)-2)/2)+1,CROQUIS_DATOS!$C$1541),2)=1,IF(MOD(IF(INT(($A932-1)/70)+1&gt;CROQUIS_DATOS!$C$1525,70,MOD($A932-1,70)+1)-2,2)=0,0,1),IF(MOD(IF(INT(($A932-1)/70)+1&gt;CROQUIS_DATOS!$C$1525,70,MOD($A932-1,70)+1)-2,2)=0,1,0))))=0,(INDEX($E$8:$E$23,MIN(INT(($A932-1)/70)+1,CROQUIS_DATOS!$C$1525))-INDEX($F$8:$F$23,MIN(INT(($A932-1)/70)+1,CROQUIS_DATOS!$C$1525))/2),(INDEX($E$8:$E$23,MIN(INT(($A932-1)/70)+1,CROQUIS_DATOS!$C$1525))+INDEX($F$8:$F$23,MIN(INT(($A932-1)/70)+1,CROQUIS_DATOS!$C$1525))/2)))*CROQUIS_DATOS!$C$1562),-1000)</f>
        <v>82.8189655172414</v>
      </c>
      <c r="O932">
        <f>IF(AND(CROQUIS_DATOS!$C$1472=1,1),(CROQUIS_DATOS!$C$1564+(IF(OR(IF(INT(($A932-1)/70)+1&gt;CROQUIS_DATOS!$C$1525,70,MOD($A932-1,70)+1)=1,IF(INT(($A932-1)/70)+1&gt;CROQUIS_DATOS!$C$1525,70,MOD($A932-1,70)+1)&gt;2*CROQUIS_DATOS!$C$1541+1),CROQUIS_DATOS!$C$1476,INDEX($H$8:$H$41,MIN(INT((IF(INT(($A932-1)/70)+1&gt;CROQUIS_DATOS!$C$1525,70,MOD($A932-1,70)+1)-2)/2)+1,CROQUIS_DATOS!$C$1541))))*CROQUIS_DATOS!$C$1561*CROQUIS_DATOS!$C$1562),-1000)</f>
        <v>40.2068965517241</v>
      </c>
    </row>
    <row r="933">
      <c r="A933" t="n">
        <v>926</v>
      </c>
      <c r="N933">
        <f>IF(AND(CROQUIS_DATOS!$C$1472=1,1),(CROQUIS_DATOS!$C$1563+(IF(IF(IF(INT(($A933-1)/70)+1&gt;CROQUIS_DATOS!$C$1525,70,MOD($A933-1,70)+1)=1,0,IF(IF(INT(($A933-1)/70)+1&gt;CROQUIS_DATOS!$C$1525,70,MOD($A933-1,70)+1)&gt;2*CROQUIS_DATOS!$C$1541+1,IF(MOD(CROQUIS_DATOS!$C$1541,2)=1,1,0),IF(MOD(MIN(INT((IF(INT(($A933-1)/70)+1&gt;CROQUIS_DATOS!$C$1525,70,MOD($A933-1,70)+1)-2)/2)+1,CROQUIS_DATOS!$C$1541),2)=1,IF(MOD(IF(INT(($A933-1)/70)+1&gt;CROQUIS_DATOS!$C$1525,70,MOD($A933-1,70)+1)-2,2)=0,0,1),IF(MOD(IF(INT(($A933-1)/70)+1&gt;CROQUIS_DATOS!$C$1525,70,MOD($A933-1,70)+1)-2,2)=0,1,0))))=0,(INDEX($E$8:$E$23,MIN(INT(($A933-1)/70)+1,CROQUIS_DATOS!$C$1525))-INDEX($F$8:$F$23,MIN(INT(($A933-1)/70)+1,CROQUIS_DATOS!$C$1525))/2),(INDEX($E$8:$E$23,MIN(INT(($A933-1)/70)+1,CROQUIS_DATOS!$C$1525))+INDEX($F$8:$F$23,MIN(INT(($A933-1)/70)+1,CROQUIS_DATOS!$C$1525))/2)))*CROQUIS_DATOS!$C$1562),-1000)</f>
        <v>82.8189655172414</v>
      </c>
      <c r="O933">
        <f>IF(AND(CROQUIS_DATOS!$C$1472=1,1),(CROQUIS_DATOS!$C$1564+(IF(OR(IF(INT(($A933-1)/70)+1&gt;CROQUIS_DATOS!$C$1525,70,MOD($A933-1,70)+1)=1,IF(INT(($A933-1)/70)+1&gt;CROQUIS_DATOS!$C$1525,70,MOD($A933-1,70)+1)&gt;2*CROQUIS_DATOS!$C$1541+1),CROQUIS_DATOS!$C$1476,INDEX($H$8:$H$41,MIN(INT((IF(INT(($A933-1)/70)+1&gt;CROQUIS_DATOS!$C$1525,70,MOD($A933-1,70)+1)-2)/2)+1,CROQUIS_DATOS!$C$1541))))*CROQUIS_DATOS!$C$1561*CROQUIS_DATOS!$C$1562),-1000)</f>
        <v>40.2068965517241</v>
      </c>
    </row>
    <row r="934">
      <c r="A934" t="n">
        <v>927</v>
      </c>
      <c r="N934">
        <f>IF(AND(CROQUIS_DATOS!$C$1472=1,1),(CROQUIS_DATOS!$C$1563+(IF(IF(IF(INT(($A934-1)/70)+1&gt;CROQUIS_DATOS!$C$1525,70,MOD($A934-1,70)+1)=1,0,IF(IF(INT(($A934-1)/70)+1&gt;CROQUIS_DATOS!$C$1525,70,MOD($A934-1,70)+1)&gt;2*CROQUIS_DATOS!$C$1541+1,IF(MOD(CROQUIS_DATOS!$C$1541,2)=1,1,0),IF(MOD(MIN(INT((IF(INT(($A934-1)/70)+1&gt;CROQUIS_DATOS!$C$1525,70,MOD($A934-1,70)+1)-2)/2)+1,CROQUIS_DATOS!$C$1541),2)=1,IF(MOD(IF(INT(($A934-1)/70)+1&gt;CROQUIS_DATOS!$C$1525,70,MOD($A934-1,70)+1)-2,2)=0,0,1),IF(MOD(IF(INT(($A934-1)/70)+1&gt;CROQUIS_DATOS!$C$1525,70,MOD($A934-1,70)+1)-2,2)=0,1,0))))=0,(INDEX($E$8:$E$23,MIN(INT(($A934-1)/70)+1,CROQUIS_DATOS!$C$1525))-INDEX($F$8:$F$23,MIN(INT(($A934-1)/70)+1,CROQUIS_DATOS!$C$1525))/2),(INDEX($E$8:$E$23,MIN(INT(($A934-1)/70)+1,CROQUIS_DATOS!$C$1525))+INDEX($F$8:$F$23,MIN(INT(($A934-1)/70)+1,CROQUIS_DATOS!$C$1525))/2)))*CROQUIS_DATOS!$C$1562),-1000)</f>
        <v>82.8189655172414</v>
      </c>
      <c r="O934">
        <f>IF(AND(CROQUIS_DATOS!$C$1472=1,1),(CROQUIS_DATOS!$C$1564+(IF(OR(IF(INT(($A934-1)/70)+1&gt;CROQUIS_DATOS!$C$1525,70,MOD($A934-1,70)+1)=1,IF(INT(($A934-1)/70)+1&gt;CROQUIS_DATOS!$C$1525,70,MOD($A934-1,70)+1)&gt;2*CROQUIS_DATOS!$C$1541+1),CROQUIS_DATOS!$C$1476,INDEX($H$8:$H$41,MIN(INT((IF(INT(($A934-1)/70)+1&gt;CROQUIS_DATOS!$C$1525,70,MOD($A934-1,70)+1)-2)/2)+1,CROQUIS_DATOS!$C$1541))))*CROQUIS_DATOS!$C$1561*CROQUIS_DATOS!$C$1562),-1000)</f>
        <v>40.2068965517241</v>
      </c>
    </row>
    <row r="935">
      <c r="A935" t="n">
        <v>928</v>
      </c>
      <c r="N935">
        <f>IF(AND(CROQUIS_DATOS!$C$1472=1,1),(CROQUIS_DATOS!$C$1563+(IF(IF(IF(INT(($A935-1)/70)+1&gt;CROQUIS_DATOS!$C$1525,70,MOD($A935-1,70)+1)=1,0,IF(IF(INT(($A935-1)/70)+1&gt;CROQUIS_DATOS!$C$1525,70,MOD($A935-1,70)+1)&gt;2*CROQUIS_DATOS!$C$1541+1,IF(MOD(CROQUIS_DATOS!$C$1541,2)=1,1,0),IF(MOD(MIN(INT((IF(INT(($A935-1)/70)+1&gt;CROQUIS_DATOS!$C$1525,70,MOD($A935-1,70)+1)-2)/2)+1,CROQUIS_DATOS!$C$1541),2)=1,IF(MOD(IF(INT(($A935-1)/70)+1&gt;CROQUIS_DATOS!$C$1525,70,MOD($A935-1,70)+1)-2,2)=0,0,1),IF(MOD(IF(INT(($A935-1)/70)+1&gt;CROQUIS_DATOS!$C$1525,70,MOD($A935-1,70)+1)-2,2)=0,1,0))))=0,(INDEX($E$8:$E$23,MIN(INT(($A935-1)/70)+1,CROQUIS_DATOS!$C$1525))-INDEX($F$8:$F$23,MIN(INT(($A935-1)/70)+1,CROQUIS_DATOS!$C$1525))/2),(INDEX($E$8:$E$23,MIN(INT(($A935-1)/70)+1,CROQUIS_DATOS!$C$1525))+INDEX($F$8:$F$23,MIN(INT(($A935-1)/70)+1,CROQUIS_DATOS!$C$1525))/2)))*CROQUIS_DATOS!$C$1562),-1000)</f>
        <v>82.8189655172414</v>
      </c>
      <c r="O935">
        <f>IF(AND(CROQUIS_DATOS!$C$1472=1,1),(CROQUIS_DATOS!$C$1564+(IF(OR(IF(INT(($A935-1)/70)+1&gt;CROQUIS_DATOS!$C$1525,70,MOD($A935-1,70)+1)=1,IF(INT(($A935-1)/70)+1&gt;CROQUIS_DATOS!$C$1525,70,MOD($A935-1,70)+1)&gt;2*CROQUIS_DATOS!$C$1541+1),CROQUIS_DATOS!$C$1476,INDEX($H$8:$H$41,MIN(INT((IF(INT(($A935-1)/70)+1&gt;CROQUIS_DATOS!$C$1525,70,MOD($A935-1,70)+1)-2)/2)+1,CROQUIS_DATOS!$C$1541))))*CROQUIS_DATOS!$C$1561*CROQUIS_DATOS!$C$1562),-1000)</f>
        <v>40.2068965517241</v>
      </c>
    </row>
    <row r="936">
      <c r="A936" t="n">
        <v>929</v>
      </c>
      <c r="N936">
        <f>IF(AND(CROQUIS_DATOS!$C$1472=1,1),(CROQUIS_DATOS!$C$1563+(IF(IF(IF(INT(($A936-1)/70)+1&gt;CROQUIS_DATOS!$C$1525,70,MOD($A936-1,70)+1)=1,0,IF(IF(INT(($A936-1)/70)+1&gt;CROQUIS_DATOS!$C$1525,70,MOD($A936-1,70)+1)&gt;2*CROQUIS_DATOS!$C$1541+1,IF(MOD(CROQUIS_DATOS!$C$1541,2)=1,1,0),IF(MOD(MIN(INT((IF(INT(($A936-1)/70)+1&gt;CROQUIS_DATOS!$C$1525,70,MOD($A936-1,70)+1)-2)/2)+1,CROQUIS_DATOS!$C$1541),2)=1,IF(MOD(IF(INT(($A936-1)/70)+1&gt;CROQUIS_DATOS!$C$1525,70,MOD($A936-1,70)+1)-2,2)=0,0,1),IF(MOD(IF(INT(($A936-1)/70)+1&gt;CROQUIS_DATOS!$C$1525,70,MOD($A936-1,70)+1)-2,2)=0,1,0))))=0,(INDEX($E$8:$E$23,MIN(INT(($A936-1)/70)+1,CROQUIS_DATOS!$C$1525))-INDEX($F$8:$F$23,MIN(INT(($A936-1)/70)+1,CROQUIS_DATOS!$C$1525))/2),(INDEX($E$8:$E$23,MIN(INT(($A936-1)/70)+1,CROQUIS_DATOS!$C$1525))+INDEX($F$8:$F$23,MIN(INT(($A936-1)/70)+1,CROQUIS_DATOS!$C$1525))/2)))*CROQUIS_DATOS!$C$1562),-1000)</f>
        <v>82.8189655172414</v>
      </c>
      <c r="O936">
        <f>IF(AND(CROQUIS_DATOS!$C$1472=1,1),(CROQUIS_DATOS!$C$1564+(IF(OR(IF(INT(($A936-1)/70)+1&gt;CROQUIS_DATOS!$C$1525,70,MOD($A936-1,70)+1)=1,IF(INT(($A936-1)/70)+1&gt;CROQUIS_DATOS!$C$1525,70,MOD($A936-1,70)+1)&gt;2*CROQUIS_DATOS!$C$1541+1),CROQUIS_DATOS!$C$1476,INDEX($H$8:$H$41,MIN(INT((IF(INT(($A936-1)/70)+1&gt;CROQUIS_DATOS!$C$1525,70,MOD($A936-1,70)+1)-2)/2)+1,CROQUIS_DATOS!$C$1541))))*CROQUIS_DATOS!$C$1561*CROQUIS_DATOS!$C$1562),-1000)</f>
        <v>40.2068965517241</v>
      </c>
    </row>
    <row r="937">
      <c r="A937" t="n">
        <v>930</v>
      </c>
      <c r="N937">
        <f>IF(AND(CROQUIS_DATOS!$C$1472=1,1),(CROQUIS_DATOS!$C$1563+(IF(IF(IF(INT(($A937-1)/70)+1&gt;CROQUIS_DATOS!$C$1525,70,MOD($A937-1,70)+1)=1,0,IF(IF(INT(($A937-1)/70)+1&gt;CROQUIS_DATOS!$C$1525,70,MOD($A937-1,70)+1)&gt;2*CROQUIS_DATOS!$C$1541+1,IF(MOD(CROQUIS_DATOS!$C$1541,2)=1,1,0),IF(MOD(MIN(INT((IF(INT(($A937-1)/70)+1&gt;CROQUIS_DATOS!$C$1525,70,MOD($A937-1,70)+1)-2)/2)+1,CROQUIS_DATOS!$C$1541),2)=1,IF(MOD(IF(INT(($A937-1)/70)+1&gt;CROQUIS_DATOS!$C$1525,70,MOD($A937-1,70)+1)-2,2)=0,0,1),IF(MOD(IF(INT(($A937-1)/70)+1&gt;CROQUIS_DATOS!$C$1525,70,MOD($A937-1,70)+1)-2,2)=0,1,0))))=0,(INDEX($E$8:$E$23,MIN(INT(($A937-1)/70)+1,CROQUIS_DATOS!$C$1525))-INDEX($F$8:$F$23,MIN(INT(($A937-1)/70)+1,CROQUIS_DATOS!$C$1525))/2),(INDEX($E$8:$E$23,MIN(INT(($A937-1)/70)+1,CROQUIS_DATOS!$C$1525))+INDEX($F$8:$F$23,MIN(INT(($A937-1)/70)+1,CROQUIS_DATOS!$C$1525))/2)))*CROQUIS_DATOS!$C$1562),-1000)</f>
        <v>82.8189655172414</v>
      </c>
      <c r="O937">
        <f>IF(AND(CROQUIS_DATOS!$C$1472=1,1),(CROQUIS_DATOS!$C$1564+(IF(OR(IF(INT(($A937-1)/70)+1&gt;CROQUIS_DATOS!$C$1525,70,MOD($A937-1,70)+1)=1,IF(INT(($A937-1)/70)+1&gt;CROQUIS_DATOS!$C$1525,70,MOD($A937-1,70)+1)&gt;2*CROQUIS_DATOS!$C$1541+1),CROQUIS_DATOS!$C$1476,INDEX($H$8:$H$41,MIN(INT((IF(INT(($A937-1)/70)+1&gt;CROQUIS_DATOS!$C$1525,70,MOD($A937-1,70)+1)-2)/2)+1,CROQUIS_DATOS!$C$1541))))*CROQUIS_DATOS!$C$1561*CROQUIS_DATOS!$C$1562),-1000)</f>
        <v>40.2068965517241</v>
      </c>
    </row>
    <row r="938">
      <c r="A938" t="n">
        <v>931</v>
      </c>
      <c r="N938">
        <f>IF(AND(CROQUIS_DATOS!$C$1472=1,1),(CROQUIS_DATOS!$C$1563+(IF(IF(IF(INT(($A938-1)/70)+1&gt;CROQUIS_DATOS!$C$1525,70,MOD($A938-1,70)+1)=1,0,IF(IF(INT(($A938-1)/70)+1&gt;CROQUIS_DATOS!$C$1525,70,MOD($A938-1,70)+1)&gt;2*CROQUIS_DATOS!$C$1541+1,IF(MOD(CROQUIS_DATOS!$C$1541,2)=1,1,0),IF(MOD(MIN(INT((IF(INT(($A938-1)/70)+1&gt;CROQUIS_DATOS!$C$1525,70,MOD($A938-1,70)+1)-2)/2)+1,CROQUIS_DATOS!$C$1541),2)=1,IF(MOD(IF(INT(($A938-1)/70)+1&gt;CROQUIS_DATOS!$C$1525,70,MOD($A938-1,70)+1)-2,2)=0,0,1),IF(MOD(IF(INT(($A938-1)/70)+1&gt;CROQUIS_DATOS!$C$1525,70,MOD($A938-1,70)+1)-2,2)=0,1,0))))=0,(INDEX($E$8:$E$23,MIN(INT(($A938-1)/70)+1,CROQUIS_DATOS!$C$1525))-INDEX($F$8:$F$23,MIN(INT(($A938-1)/70)+1,CROQUIS_DATOS!$C$1525))/2),(INDEX($E$8:$E$23,MIN(INT(($A938-1)/70)+1,CROQUIS_DATOS!$C$1525))+INDEX($F$8:$F$23,MIN(INT(($A938-1)/70)+1,CROQUIS_DATOS!$C$1525))/2)))*CROQUIS_DATOS!$C$1562),-1000)</f>
        <v>82.8189655172414</v>
      </c>
      <c r="O938">
        <f>IF(AND(CROQUIS_DATOS!$C$1472=1,1),(CROQUIS_DATOS!$C$1564+(IF(OR(IF(INT(($A938-1)/70)+1&gt;CROQUIS_DATOS!$C$1525,70,MOD($A938-1,70)+1)=1,IF(INT(($A938-1)/70)+1&gt;CROQUIS_DATOS!$C$1525,70,MOD($A938-1,70)+1)&gt;2*CROQUIS_DATOS!$C$1541+1),CROQUIS_DATOS!$C$1476,INDEX($H$8:$H$41,MIN(INT((IF(INT(($A938-1)/70)+1&gt;CROQUIS_DATOS!$C$1525,70,MOD($A938-1,70)+1)-2)/2)+1,CROQUIS_DATOS!$C$1541))))*CROQUIS_DATOS!$C$1561*CROQUIS_DATOS!$C$1562),-1000)</f>
        <v>40.2068965517241</v>
      </c>
    </row>
    <row r="939">
      <c r="A939" t="n">
        <v>932</v>
      </c>
      <c r="N939">
        <f>IF(AND(CROQUIS_DATOS!$C$1472=1,1),(CROQUIS_DATOS!$C$1563+(IF(IF(IF(INT(($A939-1)/70)+1&gt;CROQUIS_DATOS!$C$1525,70,MOD($A939-1,70)+1)=1,0,IF(IF(INT(($A939-1)/70)+1&gt;CROQUIS_DATOS!$C$1525,70,MOD($A939-1,70)+1)&gt;2*CROQUIS_DATOS!$C$1541+1,IF(MOD(CROQUIS_DATOS!$C$1541,2)=1,1,0),IF(MOD(MIN(INT((IF(INT(($A939-1)/70)+1&gt;CROQUIS_DATOS!$C$1525,70,MOD($A939-1,70)+1)-2)/2)+1,CROQUIS_DATOS!$C$1541),2)=1,IF(MOD(IF(INT(($A939-1)/70)+1&gt;CROQUIS_DATOS!$C$1525,70,MOD($A939-1,70)+1)-2,2)=0,0,1),IF(MOD(IF(INT(($A939-1)/70)+1&gt;CROQUIS_DATOS!$C$1525,70,MOD($A939-1,70)+1)-2,2)=0,1,0))))=0,(INDEX($E$8:$E$23,MIN(INT(($A939-1)/70)+1,CROQUIS_DATOS!$C$1525))-INDEX($F$8:$F$23,MIN(INT(($A939-1)/70)+1,CROQUIS_DATOS!$C$1525))/2),(INDEX($E$8:$E$23,MIN(INT(($A939-1)/70)+1,CROQUIS_DATOS!$C$1525))+INDEX($F$8:$F$23,MIN(INT(($A939-1)/70)+1,CROQUIS_DATOS!$C$1525))/2)))*CROQUIS_DATOS!$C$1562),-1000)</f>
        <v>82.8189655172414</v>
      </c>
      <c r="O939">
        <f>IF(AND(CROQUIS_DATOS!$C$1472=1,1),(CROQUIS_DATOS!$C$1564+(IF(OR(IF(INT(($A939-1)/70)+1&gt;CROQUIS_DATOS!$C$1525,70,MOD($A939-1,70)+1)=1,IF(INT(($A939-1)/70)+1&gt;CROQUIS_DATOS!$C$1525,70,MOD($A939-1,70)+1)&gt;2*CROQUIS_DATOS!$C$1541+1),CROQUIS_DATOS!$C$1476,INDEX($H$8:$H$41,MIN(INT((IF(INT(($A939-1)/70)+1&gt;CROQUIS_DATOS!$C$1525,70,MOD($A939-1,70)+1)-2)/2)+1,CROQUIS_DATOS!$C$1541))))*CROQUIS_DATOS!$C$1561*CROQUIS_DATOS!$C$1562),-1000)</f>
        <v>40.2068965517241</v>
      </c>
    </row>
    <row r="940">
      <c r="A940" t="n">
        <v>933</v>
      </c>
      <c r="N940">
        <f>IF(AND(CROQUIS_DATOS!$C$1472=1,1),(CROQUIS_DATOS!$C$1563+(IF(IF(IF(INT(($A940-1)/70)+1&gt;CROQUIS_DATOS!$C$1525,70,MOD($A940-1,70)+1)=1,0,IF(IF(INT(($A940-1)/70)+1&gt;CROQUIS_DATOS!$C$1525,70,MOD($A940-1,70)+1)&gt;2*CROQUIS_DATOS!$C$1541+1,IF(MOD(CROQUIS_DATOS!$C$1541,2)=1,1,0),IF(MOD(MIN(INT((IF(INT(($A940-1)/70)+1&gt;CROQUIS_DATOS!$C$1525,70,MOD($A940-1,70)+1)-2)/2)+1,CROQUIS_DATOS!$C$1541),2)=1,IF(MOD(IF(INT(($A940-1)/70)+1&gt;CROQUIS_DATOS!$C$1525,70,MOD($A940-1,70)+1)-2,2)=0,0,1),IF(MOD(IF(INT(($A940-1)/70)+1&gt;CROQUIS_DATOS!$C$1525,70,MOD($A940-1,70)+1)-2,2)=0,1,0))))=0,(INDEX($E$8:$E$23,MIN(INT(($A940-1)/70)+1,CROQUIS_DATOS!$C$1525))-INDEX($F$8:$F$23,MIN(INT(($A940-1)/70)+1,CROQUIS_DATOS!$C$1525))/2),(INDEX($E$8:$E$23,MIN(INT(($A940-1)/70)+1,CROQUIS_DATOS!$C$1525))+INDEX($F$8:$F$23,MIN(INT(($A940-1)/70)+1,CROQUIS_DATOS!$C$1525))/2)))*CROQUIS_DATOS!$C$1562),-1000)</f>
        <v>82.8189655172414</v>
      </c>
      <c r="O940">
        <f>IF(AND(CROQUIS_DATOS!$C$1472=1,1),(CROQUIS_DATOS!$C$1564+(IF(OR(IF(INT(($A940-1)/70)+1&gt;CROQUIS_DATOS!$C$1525,70,MOD($A940-1,70)+1)=1,IF(INT(($A940-1)/70)+1&gt;CROQUIS_DATOS!$C$1525,70,MOD($A940-1,70)+1)&gt;2*CROQUIS_DATOS!$C$1541+1),CROQUIS_DATOS!$C$1476,INDEX($H$8:$H$41,MIN(INT((IF(INT(($A940-1)/70)+1&gt;CROQUIS_DATOS!$C$1525,70,MOD($A940-1,70)+1)-2)/2)+1,CROQUIS_DATOS!$C$1541))))*CROQUIS_DATOS!$C$1561*CROQUIS_DATOS!$C$1562),-1000)</f>
        <v>40.2068965517241</v>
      </c>
    </row>
    <row r="941">
      <c r="A941" t="n">
        <v>934</v>
      </c>
      <c r="N941">
        <f>IF(AND(CROQUIS_DATOS!$C$1472=1,1),(CROQUIS_DATOS!$C$1563+(IF(IF(IF(INT(($A941-1)/70)+1&gt;CROQUIS_DATOS!$C$1525,70,MOD($A941-1,70)+1)=1,0,IF(IF(INT(($A941-1)/70)+1&gt;CROQUIS_DATOS!$C$1525,70,MOD($A941-1,70)+1)&gt;2*CROQUIS_DATOS!$C$1541+1,IF(MOD(CROQUIS_DATOS!$C$1541,2)=1,1,0),IF(MOD(MIN(INT((IF(INT(($A941-1)/70)+1&gt;CROQUIS_DATOS!$C$1525,70,MOD($A941-1,70)+1)-2)/2)+1,CROQUIS_DATOS!$C$1541),2)=1,IF(MOD(IF(INT(($A941-1)/70)+1&gt;CROQUIS_DATOS!$C$1525,70,MOD($A941-1,70)+1)-2,2)=0,0,1),IF(MOD(IF(INT(($A941-1)/70)+1&gt;CROQUIS_DATOS!$C$1525,70,MOD($A941-1,70)+1)-2,2)=0,1,0))))=0,(INDEX($E$8:$E$23,MIN(INT(($A941-1)/70)+1,CROQUIS_DATOS!$C$1525))-INDEX($F$8:$F$23,MIN(INT(($A941-1)/70)+1,CROQUIS_DATOS!$C$1525))/2),(INDEX($E$8:$E$23,MIN(INT(($A941-1)/70)+1,CROQUIS_DATOS!$C$1525))+INDEX($F$8:$F$23,MIN(INT(($A941-1)/70)+1,CROQUIS_DATOS!$C$1525))/2)))*CROQUIS_DATOS!$C$1562),-1000)</f>
        <v>82.8189655172414</v>
      </c>
      <c r="O941">
        <f>IF(AND(CROQUIS_DATOS!$C$1472=1,1),(CROQUIS_DATOS!$C$1564+(IF(OR(IF(INT(($A941-1)/70)+1&gt;CROQUIS_DATOS!$C$1525,70,MOD($A941-1,70)+1)=1,IF(INT(($A941-1)/70)+1&gt;CROQUIS_DATOS!$C$1525,70,MOD($A941-1,70)+1)&gt;2*CROQUIS_DATOS!$C$1541+1),CROQUIS_DATOS!$C$1476,INDEX($H$8:$H$41,MIN(INT((IF(INT(($A941-1)/70)+1&gt;CROQUIS_DATOS!$C$1525,70,MOD($A941-1,70)+1)-2)/2)+1,CROQUIS_DATOS!$C$1541))))*CROQUIS_DATOS!$C$1561*CROQUIS_DATOS!$C$1562),-1000)</f>
        <v>40.2068965517241</v>
      </c>
    </row>
    <row r="942">
      <c r="A942" t="n">
        <v>935</v>
      </c>
      <c r="N942">
        <f>IF(AND(CROQUIS_DATOS!$C$1472=1,1),(CROQUIS_DATOS!$C$1563+(IF(IF(IF(INT(($A942-1)/70)+1&gt;CROQUIS_DATOS!$C$1525,70,MOD($A942-1,70)+1)=1,0,IF(IF(INT(($A942-1)/70)+1&gt;CROQUIS_DATOS!$C$1525,70,MOD($A942-1,70)+1)&gt;2*CROQUIS_DATOS!$C$1541+1,IF(MOD(CROQUIS_DATOS!$C$1541,2)=1,1,0),IF(MOD(MIN(INT((IF(INT(($A942-1)/70)+1&gt;CROQUIS_DATOS!$C$1525,70,MOD($A942-1,70)+1)-2)/2)+1,CROQUIS_DATOS!$C$1541),2)=1,IF(MOD(IF(INT(($A942-1)/70)+1&gt;CROQUIS_DATOS!$C$1525,70,MOD($A942-1,70)+1)-2,2)=0,0,1),IF(MOD(IF(INT(($A942-1)/70)+1&gt;CROQUIS_DATOS!$C$1525,70,MOD($A942-1,70)+1)-2,2)=0,1,0))))=0,(INDEX($E$8:$E$23,MIN(INT(($A942-1)/70)+1,CROQUIS_DATOS!$C$1525))-INDEX($F$8:$F$23,MIN(INT(($A942-1)/70)+1,CROQUIS_DATOS!$C$1525))/2),(INDEX($E$8:$E$23,MIN(INT(($A942-1)/70)+1,CROQUIS_DATOS!$C$1525))+INDEX($F$8:$F$23,MIN(INT(($A942-1)/70)+1,CROQUIS_DATOS!$C$1525))/2)))*CROQUIS_DATOS!$C$1562),-1000)</f>
        <v>82.8189655172414</v>
      </c>
      <c r="O942">
        <f>IF(AND(CROQUIS_DATOS!$C$1472=1,1),(CROQUIS_DATOS!$C$1564+(IF(OR(IF(INT(($A942-1)/70)+1&gt;CROQUIS_DATOS!$C$1525,70,MOD($A942-1,70)+1)=1,IF(INT(($A942-1)/70)+1&gt;CROQUIS_DATOS!$C$1525,70,MOD($A942-1,70)+1)&gt;2*CROQUIS_DATOS!$C$1541+1),CROQUIS_DATOS!$C$1476,INDEX($H$8:$H$41,MIN(INT((IF(INT(($A942-1)/70)+1&gt;CROQUIS_DATOS!$C$1525,70,MOD($A942-1,70)+1)-2)/2)+1,CROQUIS_DATOS!$C$1541))))*CROQUIS_DATOS!$C$1561*CROQUIS_DATOS!$C$1562),-1000)</f>
        <v>40.2068965517241</v>
      </c>
    </row>
    <row r="943">
      <c r="A943" t="n">
        <v>936</v>
      </c>
      <c r="N943">
        <f>IF(AND(CROQUIS_DATOS!$C$1472=1,1),(CROQUIS_DATOS!$C$1563+(IF(IF(IF(INT(($A943-1)/70)+1&gt;CROQUIS_DATOS!$C$1525,70,MOD($A943-1,70)+1)=1,0,IF(IF(INT(($A943-1)/70)+1&gt;CROQUIS_DATOS!$C$1525,70,MOD($A943-1,70)+1)&gt;2*CROQUIS_DATOS!$C$1541+1,IF(MOD(CROQUIS_DATOS!$C$1541,2)=1,1,0),IF(MOD(MIN(INT((IF(INT(($A943-1)/70)+1&gt;CROQUIS_DATOS!$C$1525,70,MOD($A943-1,70)+1)-2)/2)+1,CROQUIS_DATOS!$C$1541),2)=1,IF(MOD(IF(INT(($A943-1)/70)+1&gt;CROQUIS_DATOS!$C$1525,70,MOD($A943-1,70)+1)-2,2)=0,0,1),IF(MOD(IF(INT(($A943-1)/70)+1&gt;CROQUIS_DATOS!$C$1525,70,MOD($A943-1,70)+1)-2,2)=0,1,0))))=0,(INDEX($E$8:$E$23,MIN(INT(($A943-1)/70)+1,CROQUIS_DATOS!$C$1525))-INDEX($F$8:$F$23,MIN(INT(($A943-1)/70)+1,CROQUIS_DATOS!$C$1525))/2),(INDEX($E$8:$E$23,MIN(INT(($A943-1)/70)+1,CROQUIS_DATOS!$C$1525))+INDEX($F$8:$F$23,MIN(INT(($A943-1)/70)+1,CROQUIS_DATOS!$C$1525))/2)))*CROQUIS_DATOS!$C$1562),-1000)</f>
        <v>82.8189655172414</v>
      </c>
      <c r="O943">
        <f>IF(AND(CROQUIS_DATOS!$C$1472=1,1),(CROQUIS_DATOS!$C$1564+(IF(OR(IF(INT(($A943-1)/70)+1&gt;CROQUIS_DATOS!$C$1525,70,MOD($A943-1,70)+1)=1,IF(INT(($A943-1)/70)+1&gt;CROQUIS_DATOS!$C$1525,70,MOD($A943-1,70)+1)&gt;2*CROQUIS_DATOS!$C$1541+1),CROQUIS_DATOS!$C$1476,INDEX($H$8:$H$41,MIN(INT((IF(INT(($A943-1)/70)+1&gt;CROQUIS_DATOS!$C$1525,70,MOD($A943-1,70)+1)-2)/2)+1,CROQUIS_DATOS!$C$1541))))*CROQUIS_DATOS!$C$1561*CROQUIS_DATOS!$C$1562),-1000)</f>
        <v>40.2068965517241</v>
      </c>
    </row>
    <row r="944">
      <c r="A944" t="n">
        <v>937</v>
      </c>
      <c r="N944">
        <f>IF(AND(CROQUIS_DATOS!$C$1472=1,1),(CROQUIS_DATOS!$C$1563+(IF(IF(IF(INT(($A944-1)/70)+1&gt;CROQUIS_DATOS!$C$1525,70,MOD($A944-1,70)+1)=1,0,IF(IF(INT(($A944-1)/70)+1&gt;CROQUIS_DATOS!$C$1525,70,MOD($A944-1,70)+1)&gt;2*CROQUIS_DATOS!$C$1541+1,IF(MOD(CROQUIS_DATOS!$C$1541,2)=1,1,0),IF(MOD(MIN(INT((IF(INT(($A944-1)/70)+1&gt;CROQUIS_DATOS!$C$1525,70,MOD($A944-1,70)+1)-2)/2)+1,CROQUIS_DATOS!$C$1541),2)=1,IF(MOD(IF(INT(($A944-1)/70)+1&gt;CROQUIS_DATOS!$C$1525,70,MOD($A944-1,70)+1)-2,2)=0,0,1),IF(MOD(IF(INT(($A944-1)/70)+1&gt;CROQUIS_DATOS!$C$1525,70,MOD($A944-1,70)+1)-2,2)=0,1,0))))=0,(INDEX($E$8:$E$23,MIN(INT(($A944-1)/70)+1,CROQUIS_DATOS!$C$1525))-INDEX($F$8:$F$23,MIN(INT(($A944-1)/70)+1,CROQUIS_DATOS!$C$1525))/2),(INDEX($E$8:$E$23,MIN(INT(($A944-1)/70)+1,CROQUIS_DATOS!$C$1525))+INDEX($F$8:$F$23,MIN(INT(($A944-1)/70)+1,CROQUIS_DATOS!$C$1525))/2)))*CROQUIS_DATOS!$C$1562),-1000)</f>
        <v>82.8189655172414</v>
      </c>
      <c r="O944">
        <f>IF(AND(CROQUIS_DATOS!$C$1472=1,1),(CROQUIS_DATOS!$C$1564+(IF(OR(IF(INT(($A944-1)/70)+1&gt;CROQUIS_DATOS!$C$1525,70,MOD($A944-1,70)+1)=1,IF(INT(($A944-1)/70)+1&gt;CROQUIS_DATOS!$C$1525,70,MOD($A944-1,70)+1)&gt;2*CROQUIS_DATOS!$C$1541+1),CROQUIS_DATOS!$C$1476,INDEX($H$8:$H$41,MIN(INT((IF(INT(($A944-1)/70)+1&gt;CROQUIS_DATOS!$C$1525,70,MOD($A944-1,70)+1)-2)/2)+1,CROQUIS_DATOS!$C$1541))))*CROQUIS_DATOS!$C$1561*CROQUIS_DATOS!$C$1562),-1000)</f>
        <v>40.2068965517241</v>
      </c>
    </row>
    <row r="945">
      <c r="A945" t="n">
        <v>938</v>
      </c>
      <c r="N945">
        <f>IF(AND(CROQUIS_DATOS!$C$1472=1,1),(CROQUIS_DATOS!$C$1563+(IF(IF(IF(INT(($A945-1)/70)+1&gt;CROQUIS_DATOS!$C$1525,70,MOD($A945-1,70)+1)=1,0,IF(IF(INT(($A945-1)/70)+1&gt;CROQUIS_DATOS!$C$1525,70,MOD($A945-1,70)+1)&gt;2*CROQUIS_DATOS!$C$1541+1,IF(MOD(CROQUIS_DATOS!$C$1541,2)=1,1,0),IF(MOD(MIN(INT((IF(INT(($A945-1)/70)+1&gt;CROQUIS_DATOS!$C$1525,70,MOD($A945-1,70)+1)-2)/2)+1,CROQUIS_DATOS!$C$1541),2)=1,IF(MOD(IF(INT(($A945-1)/70)+1&gt;CROQUIS_DATOS!$C$1525,70,MOD($A945-1,70)+1)-2,2)=0,0,1),IF(MOD(IF(INT(($A945-1)/70)+1&gt;CROQUIS_DATOS!$C$1525,70,MOD($A945-1,70)+1)-2,2)=0,1,0))))=0,(INDEX($E$8:$E$23,MIN(INT(($A945-1)/70)+1,CROQUIS_DATOS!$C$1525))-INDEX($F$8:$F$23,MIN(INT(($A945-1)/70)+1,CROQUIS_DATOS!$C$1525))/2),(INDEX($E$8:$E$23,MIN(INT(($A945-1)/70)+1,CROQUIS_DATOS!$C$1525))+INDEX($F$8:$F$23,MIN(INT(($A945-1)/70)+1,CROQUIS_DATOS!$C$1525))/2)))*CROQUIS_DATOS!$C$1562),-1000)</f>
        <v>82.8189655172414</v>
      </c>
      <c r="O945">
        <f>IF(AND(CROQUIS_DATOS!$C$1472=1,1),(CROQUIS_DATOS!$C$1564+(IF(OR(IF(INT(($A945-1)/70)+1&gt;CROQUIS_DATOS!$C$1525,70,MOD($A945-1,70)+1)=1,IF(INT(($A945-1)/70)+1&gt;CROQUIS_DATOS!$C$1525,70,MOD($A945-1,70)+1)&gt;2*CROQUIS_DATOS!$C$1541+1),CROQUIS_DATOS!$C$1476,INDEX($H$8:$H$41,MIN(INT((IF(INT(($A945-1)/70)+1&gt;CROQUIS_DATOS!$C$1525,70,MOD($A945-1,70)+1)-2)/2)+1,CROQUIS_DATOS!$C$1541))))*CROQUIS_DATOS!$C$1561*CROQUIS_DATOS!$C$1562),-1000)</f>
        <v>40.2068965517241</v>
      </c>
    </row>
    <row r="946">
      <c r="A946" t="n">
        <v>939</v>
      </c>
      <c r="N946">
        <f>IF(AND(CROQUIS_DATOS!$C$1472=1,1),(CROQUIS_DATOS!$C$1563+(IF(IF(IF(INT(($A946-1)/70)+1&gt;CROQUIS_DATOS!$C$1525,70,MOD($A946-1,70)+1)=1,0,IF(IF(INT(($A946-1)/70)+1&gt;CROQUIS_DATOS!$C$1525,70,MOD($A946-1,70)+1)&gt;2*CROQUIS_DATOS!$C$1541+1,IF(MOD(CROQUIS_DATOS!$C$1541,2)=1,1,0),IF(MOD(MIN(INT((IF(INT(($A946-1)/70)+1&gt;CROQUIS_DATOS!$C$1525,70,MOD($A946-1,70)+1)-2)/2)+1,CROQUIS_DATOS!$C$1541),2)=1,IF(MOD(IF(INT(($A946-1)/70)+1&gt;CROQUIS_DATOS!$C$1525,70,MOD($A946-1,70)+1)-2,2)=0,0,1),IF(MOD(IF(INT(($A946-1)/70)+1&gt;CROQUIS_DATOS!$C$1525,70,MOD($A946-1,70)+1)-2,2)=0,1,0))))=0,(INDEX($E$8:$E$23,MIN(INT(($A946-1)/70)+1,CROQUIS_DATOS!$C$1525))-INDEX($F$8:$F$23,MIN(INT(($A946-1)/70)+1,CROQUIS_DATOS!$C$1525))/2),(INDEX($E$8:$E$23,MIN(INT(($A946-1)/70)+1,CROQUIS_DATOS!$C$1525))+INDEX($F$8:$F$23,MIN(INT(($A946-1)/70)+1,CROQUIS_DATOS!$C$1525))/2)))*CROQUIS_DATOS!$C$1562),-1000)</f>
        <v>82.8189655172414</v>
      </c>
      <c r="O946">
        <f>IF(AND(CROQUIS_DATOS!$C$1472=1,1),(CROQUIS_DATOS!$C$1564+(IF(OR(IF(INT(($A946-1)/70)+1&gt;CROQUIS_DATOS!$C$1525,70,MOD($A946-1,70)+1)=1,IF(INT(($A946-1)/70)+1&gt;CROQUIS_DATOS!$C$1525,70,MOD($A946-1,70)+1)&gt;2*CROQUIS_DATOS!$C$1541+1),CROQUIS_DATOS!$C$1476,INDEX($H$8:$H$41,MIN(INT((IF(INT(($A946-1)/70)+1&gt;CROQUIS_DATOS!$C$1525,70,MOD($A946-1,70)+1)-2)/2)+1,CROQUIS_DATOS!$C$1541))))*CROQUIS_DATOS!$C$1561*CROQUIS_DATOS!$C$1562),-1000)</f>
        <v>40.2068965517241</v>
      </c>
    </row>
    <row r="947">
      <c r="A947" t="n">
        <v>940</v>
      </c>
      <c r="N947">
        <f>IF(AND(CROQUIS_DATOS!$C$1472=1,1),(CROQUIS_DATOS!$C$1563+(IF(IF(IF(INT(($A947-1)/70)+1&gt;CROQUIS_DATOS!$C$1525,70,MOD($A947-1,70)+1)=1,0,IF(IF(INT(($A947-1)/70)+1&gt;CROQUIS_DATOS!$C$1525,70,MOD($A947-1,70)+1)&gt;2*CROQUIS_DATOS!$C$1541+1,IF(MOD(CROQUIS_DATOS!$C$1541,2)=1,1,0),IF(MOD(MIN(INT((IF(INT(($A947-1)/70)+1&gt;CROQUIS_DATOS!$C$1525,70,MOD($A947-1,70)+1)-2)/2)+1,CROQUIS_DATOS!$C$1541),2)=1,IF(MOD(IF(INT(($A947-1)/70)+1&gt;CROQUIS_DATOS!$C$1525,70,MOD($A947-1,70)+1)-2,2)=0,0,1),IF(MOD(IF(INT(($A947-1)/70)+1&gt;CROQUIS_DATOS!$C$1525,70,MOD($A947-1,70)+1)-2,2)=0,1,0))))=0,(INDEX($E$8:$E$23,MIN(INT(($A947-1)/70)+1,CROQUIS_DATOS!$C$1525))-INDEX($F$8:$F$23,MIN(INT(($A947-1)/70)+1,CROQUIS_DATOS!$C$1525))/2),(INDEX($E$8:$E$23,MIN(INT(($A947-1)/70)+1,CROQUIS_DATOS!$C$1525))+INDEX($F$8:$F$23,MIN(INT(($A947-1)/70)+1,CROQUIS_DATOS!$C$1525))/2)))*CROQUIS_DATOS!$C$1562),-1000)</f>
        <v>82.8189655172414</v>
      </c>
      <c r="O947">
        <f>IF(AND(CROQUIS_DATOS!$C$1472=1,1),(CROQUIS_DATOS!$C$1564+(IF(OR(IF(INT(($A947-1)/70)+1&gt;CROQUIS_DATOS!$C$1525,70,MOD($A947-1,70)+1)=1,IF(INT(($A947-1)/70)+1&gt;CROQUIS_DATOS!$C$1525,70,MOD($A947-1,70)+1)&gt;2*CROQUIS_DATOS!$C$1541+1),CROQUIS_DATOS!$C$1476,INDEX($H$8:$H$41,MIN(INT((IF(INT(($A947-1)/70)+1&gt;CROQUIS_DATOS!$C$1525,70,MOD($A947-1,70)+1)-2)/2)+1,CROQUIS_DATOS!$C$1541))))*CROQUIS_DATOS!$C$1561*CROQUIS_DATOS!$C$1562),-1000)</f>
        <v>40.2068965517241</v>
      </c>
    </row>
    <row r="948">
      <c r="A948" t="n">
        <v>941</v>
      </c>
      <c r="N948">
        <f>IF(AND(CROQUIS_DATOS!$C$1472=1,1),(CROQUIS_DATOS!$C$1563+(IF(IF(IF(INT(($A948-1)/70)+1&gt;CROQUIS_DATOS!$C$1525,70,MOD($A948-1,70)+1)=1,0,IF(IF(INT(($A948-1)/70)+1&gt;CROQUIS_DATOS!$C$1525,70,MOD($A948-1,70)+1)&gt;2*CROQUIS_DATOS!$C$1541+1,IF(MOD(CROQUIS_DATOS!$C$1541,2)=1,1,0),IF(MOD(MIN(INT((IF(INT(($A948-1)/70)+1&gt;CROQUIS_DATOS!$C$1525,70,MOD($A948-1,70)+1)-2)/2)+1,CROQUIS_DATOS!$C$1541),2)=1,IF(MOD(IF(INT(($A948-1)/70)+1&gt;CROQUIS_DATOS!$C$1525,70,MOD($A948-1,70)+1)-2,2)=0,0,1),IF(MOD(IF(INT(($A948-1)/70)+1&gt;CROQUIS_DATOS!$C$1525,70,MOD($A948-1,70)+1)-2,2)=0,1,0))))=0,(INDEX($E$8:$E$23,MIN(INT(($A948-1)/70)+1,CROQUIS_DATOS!$C$1525))-INDEX($F$8:$F$23,MIN(INT(($A948-1)/70)+1,CROQUIS_DATOS!$C$1525))/2),(INDEX($E$8:$E$23,MIN(INT(($A948-1)/70)+1,CROQUIS_DATOS!$C$1525))+INDEX($F$8:$F$23,MIN(INT(($A948-1)/70)+1,CROQUIS_DATOS!$C$1525))/2)))*CROQUIS_DATOS!$C$1562),-1000)</f>
        <v>82.8189655172414</v>
      </c>
      <c r="O948">
        <f>IF(AND(CROQUIS_DATOS!$C$1472=1,1),(CROQUIS_DATOS!$C$1564+(IF(OR(IF(INT(($A948-1)/70)+1&gt;CROQUIS_DATOS!$C$1525,70,MOD($A948-1,70)+1)=1,IF(INT(($A948-1)/70)+1&gt;CROQUIS_DATOS!$C$1525,70,MOD($A948-1,70)+1)&gt;2*CROQUIS_DATOS!$C$1541+1),CROQUIS_DATOS!$C$1476,INDEX($H$8:$H$41,MIN(INT((IF(INT(($A948-1)/70)+1&gt;CROQUIS_DATOS!$C$1525,70,MOD($A948-1,70)+1)-2)/2)+1,CROQUIS_DATOS!$C$1541))))*CROQUIS_DATOS!$C$1561*CROQUIS_DATOS!$C$1562),-1000)</f>
        <v>40.2068965517241</v>
      </c>
    </row>
    <row r="949">
      <c r="A949" t="n">
        <v>942</v>
      </c>
      <c r="N949">
        <f>IF(AND(CROQUIS_DATOS!$C$1472=1,1),(CROQUIS_DATOS!$C$1563+(IF(IF(IF(INT(($A949-1)/70)+1&gt;CROQUIS_DATOS!$C$1525,70,MOD($A949-1,70)+1)=1,0,IF(IF(INT(($A949-1)/70)+1&gt;CROQUIS_DATOS!$C$1525,70,MOD($A949-1,70)+1)&gt;2*CROQUIS_DATOS!$C$1541+1,IF(MOD(CROQUIS_DATOS!$C$1541,2)=1,1,0),IF(MOD(MIN(INT((IF(INT(($A949-1)/70)+1&gt;CROQUIS_DATOS!$C$1525,70,MOD($A949-1,70)+1)-2)/2)+1,CROQUIS_DATOS!$C$1541),2)=1,IF(MOD(IF(INT(($A949-1)/70)+1&gt;CROQUIS_DATOS!$C$1525,70,MOD($A949-1,70)+1)-2,2)=0,0,1),IF(MOD(IF(INT(($A949-1)/70)+1&gt;CROQUIS_DATOS!$C$1525,70,MOD($A949-1,70)+1)-2,2)=0,1,0))))=0,(INDEX($E$8:$E$23,MIN(INT(($A949-1)/70)+1,CROQUIS_DATOS!$C$1525))-INDEX($F$8:$F$23,MIN(INT(($A949-1)/70)+1,CROQUIS_DATOS!$C$1525))/2),(INDEX($E$8:$E$23,MIN(INT(($A949-1)/70)+1,CROQUIS_DATOS!$C$1525))+INDEX($F$8:$F$23,MIN(INT(($A949-1)/70)+1,CROQUIS_DATOS!$C$1525))/2)))*CROQUIS_DATOS!$C$1562),-1000)</f>
        <v>82.8189655172414</v>
      </c>
      <c r="O949">
        <f>IF(AND(CROQUIS_DATOS!$C$1472=1,1),(CROQUIS_DATOS!$C$1564+(IF(OR(IF(INT(($A949-1)/70)+1&gt;CROQUIS_DATOS!$C$1525,70,MOD($A949-1,70)+1)=1,IF(INT(($A949-1)/70)+1&gt;CROQUIS_DATOS!$C$1525,70,MOD($A949-1,70)+1)&gt;2*CROQUIS_DATOS!$C$1541+1),CROQUIS_DATOS!$C$1476,INDEX($H$8:$H$41,MIN(INT((IF(INT(($A949-1)/70)+1&gt;CROQUIS_DATOS!$C$1525,70,MOD($A949-1,70)+1)-2)/2)+1,CROQUIS_DATOS!$C$1541))))*CROQUIS_DATOS!$C$1561*CROQUIS_DATOS!$C$1562),-1000)</f>
        <v>40.2068965517241</v>
      </c>
    </row>
    <row r="950">
      <c r="A950" t="n">
        <v>943</v>
      </c>
      <c r="N950">
        <f>IF(AND(CROQUIS_DATOS!$C$1472=1,1),(CROQUIS_DATOS!$C$1563+(IF(IF(IF(INT(($A950-1)/70)+1&gt;CROQUIS_DATOS!$C$1525,70,MOD($A950-1,70)+1)=1,0,IF(IF(INT(($A950-1)/70)+1&gt;CROQUIS_DATOS!$C$1525,70,MOD($A950-1,70)+1)&gt;2*CROQUIS_DATOS!$C$1541+1,IF(MOD(CROQUIS_DATOS!$C$1541,2)=1,1,0),IF(MOD(MIN(INT((IF(INT(($A950-1)/70)+1&gt;CROQUIS_DATOS!$C$1525,70,MOD($A950-1,70)+1)-2)/2)+1,CROQUIS_DATOS!$C$1541),2)=1,IF(MOD(IF(INT(($A950-1)/70)+1&gt;CROQUIS_DATOS!$C$1525,70,MOD($A950-1,70)+1)-2,2)=0,0,1),IF(MOD(IF(INT(($A950-1)/70)+1&gt;CROQUIS_DATOS!$C$1525,70,MOD($A950-1,70)+1)-2,2)=0,1,0))))=0,(INDEX($E$8:$E$23,MIN(INT(($A950-1)/70)+1,CROQUIS_DATOS!$C$1525))-INDEX($F$8:$F$23,MIN(INT(($A950-1)/70)+1,CROQUIS_DATOS!$C$1525))/2),(INDEX($E$8:$E$23,MIN(INT(($A950-1)/70)+1,CROQUIS_DATOS!$C$1525))+INDEX($F$8:$F$23,MIN(INT(($A950-1)/70)+1,CROQUIS_DATOS!$C$1525))/2)))*CROQUIS_DATOS!$C$1562),-1000)</f>
        <v>82.8189655172414</v>
      </c>
      <c r="O950">
        <f>IF(AND(CROQUIS_DATOS!$C$1472=1,1),(CROQUIS_DATOS!$C$1564+(IF(OR(IF(INT(($A950-1)/70)+1&gt;CROQUIS_DATOS!$C$1525,70,MOD($A950-1,70)+1)=1,IF(INT(($A950-1)/70)+1&gt;CROQUIS_DATOS!$C$1525,70,MOD($A950-1,70)+1)&gt;2*CROQUIS_DATOS!$C$1541+1),CROQUIS_DATOS!$C$1476,INDEX($H$8:$H$41,MIN(INT((IF(INT(($A950-1)/70)+1&gt;CROQUIS_DATOS!$C$1525,70,MOD($A950-1,70)+1)-2)/2)+1,CROQUIS_DATOS!$C$1541))))*CROQUIS_DATOS!$C$1561*CROQUIS_DATOS!$C$1562),-1000)</f>
        <v>40.2068965517241</v>
      </c>
    </row>
    <row r="951">
      <c r="A951" t="n">
        <v>944</v>
      </c>
      <c r="N951">
        <f>IF(AND(CROQUIS_DATOS!$C$1472=1,1),(CROQUIS_DATOS!$C$1563+(IF(IF(IF(INT(($A951-1)/70)+1&gt;CROQUIS_DATOS!$C$1525,70,MOD($A951-1,70)+1)=1,0,IF(IF(INT(($A951-1)/70)+1&gt;CROQUIS_DATOS!$C$1525,70,MOD($A951-1,70)+1)&gt;2*CROQUIS_DATOS!$C$1541+1,IF(MOD(CROQUIS_DATOS!$C$1541,2)=1,1,0),IF(MOD(MIN(INT((IF(INT(($A951-1)/70)+1&gt;CROQUIS_DATOS!$C$1525,70,MOD($A951-1,70)+1)-2)/2)+1,CROQUIS_DATOS!$C$1541),2)=1,IF(MOD(IF(INT(($A951-1)/70)+1&gt;CROQUIS_DATOS!$C$1525,70,MOD($A951-1,70)+1)-2,2)=0,0,1),IF(MOD(IF(INT(($A951-1)/70)+1&gt;CROQUIS_DATOS!$C$1525,70,MOD($A951-1,70)+1)-2,2)=0,1,0))))=0,(INDEX($E$8:$E$23,MIN(INT(($A951-1)/70)+1,CROQUIS_DATOS!$C$1525))-INDEX($F$8:$F$23,MIN(INT(($A951-1)/70)+1,CROQUIS_DATOS!$C$1525))/2),(INDEX($E$8:$E$23,MIN(INT(($A951-1)/70)+1,CROQUIS_DATOS!$C$1525))+INDEX($F$8:$F$23,MIN(INT(($A951-1)/70)+1,CROQUIS_DATOS!$C$1525))/2)))*CROQUIS_DATOS!$C$1562),-1000)</f>
        <v>82.8189655172414</v>
      </c>
      <c r="O951">
        <f>IF(AND(CROQUIS_DATOS!$C$1472=1,1),(CROQUIS_DATOS!$C$1564+(IF(OR(IF(INT(($A951-1)/70)+1&gt;CROQUIS_DATOS!$C$1525,70,MOD($A951-1,70)+1)=1,IF(INT(($A951-1)/70)+1&gt;CROQUIS_DATOS!$C$1525,70,MOD($A951-1,70)+1)&gt;2*CROQUIS_DATOS!$C$1541+1),CROQUIS_DATOS!$C$1476,INDEX($H$8:$H$41,MIN(INT((IF(INT(($A951-1)/70)+1&gt;CROQUIS_DATOS!$C$1525,70,MOD($A951-1,70)+1)-2)/2)+1,CROQUIS_DATOS!$C$1541))))*CROQUIS_DATOS!$C$1561*CROQUIS_DATOS!$C$1562),-1000)</f>
        <v>40.2068965517241</v>
      </c>
    </row>
    <row r="952">
      <c r="A952" t="n">
        <v>945</v>
      </c>
      <c r="N952">
        <f>IF(AND(CROQUIS_DATOS!$C$1472=1,1),(CROQUIS_DATOS!$C$1563+(IF(IF(IF(INT(($A952-1)/70)+1&gt;CROQUIS_DATOS!$C$1525,70,MOD($A952-1,70)+1)=1,0,IF(IF(INT(($A952-1)/70)+1&gt;CROQUIS_DATOS!$C$1525,70,MOD($A952-1,70)+1)&gt;2*CROQUIS_DATOS!$C$1541+1,IF(MOD(CROQUIS_DATOS!$C$1541,2)=1,1,0),IF(MOD(MIN(INT((IF(INT(($A952-1)/70)+1&gt;CROQUIS_DATOS!$C$1525,70,MOD($A952-1,70)+1)-2)/2)+1,CROQUIS_DATOS!$C$1541),2)=1,IF(MOD(IF(INT(($A952-1)/70)+1&gt;CROQUIS_DATOS!$C$1525,70,MOD($A952-1,70)+1)-2,2)=0,0,1),IF(MOD(IF(INT(($A952-1)/70)+1&gt;CROQUIS_DATOS!$C$1525,70,MOD($A952-1,70)+1)-2,2)=0,1,0))))=0,(INDEX($E$8:$E$23,MIN(INT(($A952-1)/70)+1,CROQUIS_DATOS!$C$1525))-INDEX($F$8:$F$23,MIN(INT(($A952-1)/70)+1,CROQUIS_DATOS!$C$1525))/2),(INDEX($E$8:$E$23,MIN(INT(($A952-1)/70)+1,CROQUIS_DATOS!$C$1525))+INDEX($F$8:$F$23,MIN(INT(($A952-1)/70)+1,CROQUIS_DATOS!$C$1525))/2)))*CROQUIS_DATOS!$C$1562),-1000)</f>
        <v>82.8189655172414</v>
      </c>
      <c r="O952">
        <f>IF(AND(CROQUIS_DATOS!$C$1472=1,1),(CROQUIS_DATOS!$C$1564+(IF(OR(IF(INT(($A952-1)/70)+1&gt;CROQUIS_DATOS!$C$1525,70,MOD($A952-1,70)+1)=1,IF(INT(($A952-1)/70)+1&gt;CROQUIS_DATOS!$C$1525,70,MOD($A952-1,70)+1)&gt;2*CROQUIS_DATOS!$C$1541+1),CROQUIS_DATOS!$C$1476,INDEX($H$8:$H$41,MIN(INT((IF(INT(($A952-1)/70)+1&gt;CROQUIS_DATOS!$C$1525,70,MOD($A952-1,70)+1)-2)/2)+1,CROQUIS_DATOS!$C$1541))))*CROQUIS_DATOS!$C$1561*CROQUIS_DATOS!$C$1562),-1000)</f>
        <v>40.2068965517241</v>
      </c>
    </row>
    <row r="953">
      <c r="A953" t="n">
        <v>946</v>
      </c>
      <c r="N953">
        <f>IF(AND(CROQUIS_DATOS!$C$1472=1,1),(CROQUIS_DATOS!$C$1563+(IF(IF(IF(INT(($A953-1)/70)+1&gt;CROQUIS_DATOS!$C$1525,70,MOD($A953-1,70)+1)=1,0,IF(IF(INT(($A953-1)/70)+1&gt;CROQUIS_DATOS!$C$1525,70,MOD($A953-1,70)+1)&gt;2*CROQUIS_DATOS!$C$1541+1,IF(MOD(CROQUIS_DATOS!$C$1541,2)=1,1,0),IF(MOD(MIN(INT((IF(INT(($A953-1)/70)+1&gt;CROQUIS_DATOS!$C$1525,70,MOD($A953-1,70)+1)-2)/2)+1,CROQUIS_DATOS!$C$1541),2)=1,IF(MOD(IF(INT(($A953-1)/70)+1&gt;CROQUIS_DATOS!$C$1525,70,MOD($A953-1,70)+1)-2,2)=0,0,1),IF(MOD(IF(INT(($A953-1)/70)+1&gt;CROQUIS_DATOS!$C$1525,70,MOD($A953-1,70)+1)-2,2)=0,1,0))))=0,(INDEX($E$8:$E$23,MIN(INT(($A953-1)/70)+1,CROQUIS_DATOS!$C$1525))-INDEX($F$8:$F$23,MIN(INT(($A953-1)/70)+1,CROQUIS_DATOS!$C$1525))/2),(INDEX($E$8:$E$23,MIN(INT(($A953-1)/70)+1,CROQUIS_DATOS!$C$1525))+INDEX($F$8:$F$23,MIN(INT(($A953-1)/70)+1,CROQUIS_DATOS!$C$1525))/2)))*CROQUIS_DATOS!$C$1562),-1000)</f>
        <v>82.8189655172414</v>
      </c>
      <c r="O953">
        <f>IF(AND(CROQUIS_DATOS!$C$1472=1,1),(CROQUIS_DATOS!$C$1564+(IF(OR(IF(INT(($A953-1)/70)+1&gt;CROQUIS_DATOS!$C$1525,70,MOD($A953-1,70)+1)=1,IF(INT(($A953-1)/70)+1&gt;CROQUIS_DATOS!$C$1525,70,MOD($A953-1,70)+1)&gt;2*CROQUIS_DATOS!$C$1541+1),CROQUIS_DATOS!$C$1476,INDEX($H$8:$H$41,MIN(INT((IF(INT(($A953-1)/70)+1&gt;CROQUIS_DATOS!$C$1525,70,MOD($A953-1,70)+1)-2)/2)+1,CROQUIS_DATOS!$C$1541))))*CROQUIS_DATOS!$C$1561*CROQUIS_DATOS!$C$1562),-1000)</f>
        <v>40.2068965517241</v>
      </c>
    </row>
    <row r="954">
      <c r="A954" t="n">
        <v>947</v>
      </c>
      <c r="N954">
        <f>IF(AND(CROQUIS_DATOS!$C$1472=1,1),(CROQUIS_DATOS!$C$1563+(IF(IF(IF(INT(($A954-1)/70)+1&gt;CROQUIS_DATOS!$C$1525,70,MOD($A954-1,70)+1)=1,0,IF(IF(INT(($A954-1)/70)+1&gt;CROQUIS_DATOS!$C$1525,70,MOD($A954-1,70)+1)&gt;2*CROQUIS_DATOS!$C$1541+1,IF(MOD(CROQUIS_DATOS!$C$1541,2)=1,1,0),IF(MOD(MIN(INT((IF(INT(($A954-1)/70)+1&gt;CROQUIS_DATOS!$C$1525,70,MOD($A954-1,70)+1)-2)/2)+1,CROQUIS_DATOS!$C$1541),2)=1,IF(MOD(IF(INT(($A954-1)/70)+1&gt;CROQUIS_DATOS!$C$1525,70,MOD($A954-1,70)+1)-2,2)=0,0,1),IF(MOD(IF(INT(($A954-1)/70)+1&gt;CROQUIS_DATOS!$C$1525,70,MOD($A954-1,70)+1)-2,2)=0,1,0))))=0,(INDEX($E$8:$E$23,MIN(INT(($A954-1)/70)+1,CROQUIS_DATOS!$C$1525))-INDEX($F$8:$F$23,MIN(INT(($A954-1)/70)+1,CROQUIS_DATOS!$C$1525))/2),(INDEX($E$8:$E$23,MIN(INT(($A954-1)/70)+1,CROQUIS_DATOS!$C$1525))+INDEX($F$8:$F$23,MIN(INT(($A954-1)/70)+1,CROQUIS_DATOS!$C$1525))/2)))*CROQUIS_DATOS!$C$1562),-1000)</f>
        <v>82.8189655172414</v>
      </c>
      <c r="O954">
        <f>IF(AND(CROQUIS_DATOS!$C$1472=1,1),(CROQUIS_DATOS!$C$1564+(IF(OR(IF(INT(($A954-1)/70)+1&gt;CROQUIS_DATOS!$C$1525,70,MOD($A954-1,70)+1)=1,IF(INT(($A954-1)/70)+1&gt;CROQUIS_DATOS!$C$1525,70,MOD($A954-1,70)+1)&gt;2*CROQUIS_DATOS!$C$1541+1),CROQUIS_DATOS!$C$1476,INDEX($H$8:$H$41,MIN(INT((IF(INT(($A954-1)/70)+1&gt;CROQUIS_DATOS!$C$1525,70,MOD($A954-1,70)+1)-2)/2)+1,CROQUIS_DATOS!$C$1541))))*CROQUIS_DATOS!$C$1561*CROQUIS_DATOS!$C$1562),-1000)</f>
        <v>40.2068965517241</v>
      </c>
    </row>
    <row r="955">
      <c r="A955" t="n">
        <v>948</v>
      </c>
      <c r="N955">
        <f>IF(AND(CROQUIS_DATOS!$C$1472=1,1),(CROQUIS_DATOS!$C$1563+(IF(IF(IF(INT(($A955-1)/70)+1&gt;CROQUIS_DATOS!$C$1525,70,MOD($A955-1,70)+1)=1,0,IF(IF(INT(($A955-1)/70)+1&gt;CROQUIS_DATOS!$C$1525,70,MOD($A955-1,70)+1)&gt;2*CROQUIS_DATOS!$C$1541+1,IF(MOD(CROQUIS_DATOS!$C$1541,2)=1,1,0),IF(MOD(MIN(INT((IF(INT(($A955-1)/70)+1&gt;CROQUIS_DATOS!$C$1525,70,MOD($A955-1,70)+1)-2)/2)+1,CROQUIS_DATOS!$C$1541),2)=1,IF(MOD(IF(INT(($A955-1)/70)+1&gt;CROQUIS_DATOS!$C$1525,70,MOD($A955-1,70)+1)-2,2)=0,0,1),IF(MOD(IF(INT(($A955-1)/70)+1&gt;CROQUIS_DATOS!$C$1525,70,MOD($A955-1,70)+1)-2,2)=0,1,0))))=0,(INDEX($E$8:$E$23,MIN(INT(($A955-1)/70)+1,CROQUIS_DATOS!$C$1525))-INDEX($F$8:$F$23,MIN(INT(($A955-1)/70)+1,CROQUIS_DATOS!$C$1525))/2),(INDEX($E$8:$E$23,MIN(INT(($A955-1)/70)+1,CROQUIS_DATOS!$C$1525))+INDEX($F$8:$F$23,MIN(INT(($A955-1)/70)+1,CROQUIS_DATOS!$C$1525))/2)))*CROQUIS_DATOS!$C$1562),-1000)</f>
        <v>82.8189655172414</v>
      </c>
      <c r="O955">
        <f>IF(AND(CROQUIS_DATOS!$C$1472=1,1),(CROQUIS_DATOS!$C$1564+(IF(OR(IF(INT(($A955-1)/70)+1&gt;CROQUIS_DATOS!$C$1525,70,MOD($A955-1,70)+1)=1,IF(INT(($A955-1)/70)+1&gt;CROQUIS_DATOS!$C$1525,70,MOD($A955-1,70)+1)&gt;2*CROQUIS_DATOS!$C$1541+1),CROQUIS_DATOS!$C$1476,INDEX($H$8:$H$41,MIN(INT((IF(INT(($A955-1)/70)+1&gt;CROQUIS_DATOS!$C$1525,70,MOD($A955-1,70)+1)-2)/2)+1,CROQUIS_DATOS!$C$1541))))*CROQUIS_DATOS!$C$1561*CROQUIS_DATOS!$C$1562),-1000)</f>
        <v>40.2068965517241</v>
      </c>
    </row>
    <row r="956">
      <c r="A956" t="n">
        <v>949</v>
      </c>
      <c r="N956">
        <f>IF(AND(CROQUIS_DATOS!$C$1472=1,1),(CROQUIS_DATOS!$C$1563+(IF(IF(IF(INT(($A956-1)/70)+1&gt;CROQUIS_DATOS!$C$1525,70,MOD($A956-1,70)+1)=1,0,IF(IF(INT(($A956-1)/70)+1&gt;CROQUIS_DATOS!$C$1525,70,MOD($A956-1,70)+1)&gt;2*CROQUIS_DATOS!$C$1541+1,IF(MOD(CROQUIS_DATOS!$C$1541,2)=1,1,0),IF(MOD(MIN(INT((IF(INT(($A956-1)/70)+1&gt;CROQUIS_DATOS!$C$1525,70,MOD($A956-1,70)+1)-2)/2)+1,CROQUIS_DATOS!$C$1541),2)=1,IF(MOD(IF(INT(($A956-1)/70)+1&gt;CROQUIS_DATOS!$C$1525,70,MOD($A956-1,70)+1)-2,2)=0,0,1),IF(MOD(IF(INT(($A956-1)/70)+1&gt;CROQUIS_DATOS!$C$1525,70,MOD($A956-1,70)+1)-2,2)=0,1,0))))=0,(INDEX($E$8:$E$23,MIN(INT(($A956-1)/70)+1,CROQUIS_DATOS!$C$1525))-INDEX($F$8:$F$23,MIN(INT(($A956-1)/70)+1,CROQUIS_DATOS!$C$1525))/2),(INDEX($E$8:$E$23,MIN(INT(($A956-1)/70)+1,CROQUIS_DATOS!$C$1525))+INDEX($F$8:$F$23,MIN(INT(($A956-1)/70)+1,CROQUIS_DATOS!$C$1525))/2)))*CROQUIS_DATOS!$C$1562),-1000)</f>
        <v>82.8189655172414</v>
      </c>
      <c r="O956">
        <f>IF(AND(CROQUIS_DATOS!$C$1472=1,1),(CROQUIS_DATOS!$C$1564+(IF(OR(IF(INT(($A956-1)/70)+1&gt;CROQUIS_DATOS!$C$1525,70,MOD($A956-1,70)+1)=1,IF(INT(($A956-1)/70)+1&gt;CROQUIS_DATOS!$C$1525,70,MOD($A956-1,70)+1)&gt;2*CROQUIS_DATOS!$C$1541+1),CROQUIS_DATOS!$C$1476,INDEX($H$8:$H$41,MIN(INT((IF(INT(($A956-1)/70)+1&gt;CROQUIS_DATOS!$C$1525,70,MOD($A956-1,70)+1)-2)/2)+1,CROQUIS_DATOS!$C$1541))))*CROQUIS_DATOS!$C$1561*CROQUIS_DATOS!$C$1562),-1000)</f>
        <v>40.2068965517241</v>
      </c>
    </row>
    <row r="957">
      <c r="A957" t="n">
        <v>950</v>
      </c>
      <c r="N957">
        <f>IF(AND(CROQUIS_DATOS!$C$1472=1,1),(CROQUIS_DATOS!$C$1563+(IF(IF(IF(INT(($A957-1)/70)+1&gt;CROQUIS_DATOS!$C$1525,70,MOD($A957-1,70)+1)=1,0,IF(IF(INT(($A957-1)/70)+1&gt;CROQUIS_DATOS!$C$1525,70,MOD($A957-1,70)+1)&gt;2*CROQUIS_DATOS!$C$1541+1,IF(MOD(CROQUIS_DATOS!$C$1541,2)=1,1,0),IF(MOD(MIN(INT((IF(INT(($A957-1)/70)+1&gt;CROQUIS_DATOS!$C$1525,70,MOD($A957-1,70)+1)-2)/2)+1,CROQUIS_DATOS!$C$1541),2)=1,IF(MOD(IF(INT(($A957-1)/70)+1&gt;CROQUIS_DATOS!$C$1525,70,MOD($A957-1,70)+1)-2,2)=0,0,1),IF(MOD(IF(INT(($A957-1)/70)+1&gt;CROQUIS_DATOS!$C$1525,70,MOD($A957-1,70)+1)-2,2)=0,1,0))))=0,(INDEX($E$8:$E$23,MIN(INT(($A957-1)/70)+1,CROQUIS_DATOS!$C$1525))-INDEX($F$8:$F$23,MIN(INT(($A957-1)/70)+1,CROQUIS_DATOS!$C$1525))/2),(INDEX($E$8:$E$23,MIN(INT(($A957-1)/70)+1,CROQUIS_DATOS!$C$1525))+INDEX($F$8:$F$23,MIN(INT(($A957-1)/70)+1,CROQUIS_DATOS!$C$1525))/2)))*CROQUIS_DATOS!$C$1562),-1000)</f>
        <v>82.8189655172414</v>
      </c>
      <c r="O957">
        <f>IF(AND(CROQUIS_DATOS!$C$1472=1,1),(CROQUIS_DATOS!$C$1564+(IF(OR(IF(INT(($A957-1)/70)+1&gt;CROQUIS_DATOS!$C$1525,70,MOD($A957-1,70)+1)=1,IF(INT(($A957-1)/70)+1&gt;CROQUIS_DATOS!$C$1525,70,MOD($A957-1,70)+1)&gt;2*CROQUIS_DATOS!$C$1541+1),CROQUIS_DATOS!$C$1476,INDEX($H$8:$H$41,MIN(INT((IF(INT(($A957-1)/70)+1&gt;CROQUIS_DATOS!$C$1525,70,MOD($A957-1,70)+1)-2)/2)+1,CROQUIS_DATOS!$C$1541))))*CROQUIS_DATOS!$C$1561*CROQUIS_DATOS!$C$1562),-1000)</f>
        <v>40.2068965517241</v>
      </c>
    </row>
    <row r="958">
      <c r="A958" t="n">
        <v>951</v>
      </c>
      <c r="N958">
        <f>IF(AND(CROQUIS_DATOS!$C$1472=1,1),(CROQUIS_DATOS!$C$1563+(IF(IF(IF(INT(($A958-1)/70)+1&gt;CROQUIS_DATOS!$C$1525,70,MOD($A958-1,70)+1)=1,0,IF(IF(INT(($A958-1)/70)+1&gt;CROQUIS_DATOS!$C$1525,70,MOD($A958-1,70)+1)&gt;2*CROQUIS_DATOS!$C$1541+1,IF(MOD(CROQUIS_DATOS!$C$1541,2)=1,1,0),IF(MOD(MIN(INT((IF(INT(($A958-1)/70)+1&gt;CROQUIS_DATOS!$C$1525,70,MOD($A958-1,70)+1)-2)/2)+1,CROQUIS_DATOS!$C$1541),2)=1,IF(MOD(IF(INT(($A958-1)/70)+1&gt;CROQUIS_DATOS!$C$1525,70,MOD($A958-1,70)+1)-2,2)=0,0,1),IF(MOD(IF(INT(($A958-1)/70)+1&gt;CROQUIS_DATOS!$C$1525,70,MOD($A958-1,70)+1)-2,2)=0,1,0))))=0,(INDEX($E$8:$E$23,MIN(INT(($A958-1)/70)+1,CROQUIS_DATOS!$C$1525))-INDEX($F$8:$F$23,MIN(INT(($A958-1)/70)+1,CROQUIS_DATOS!$C$1525))/2),(INDEX($E$8:$E$23,MIN(INT(($A958-1)/70)+1,CROQUIS_DATOS!$C$1525))+INDEX($F$8:$F$23,MIN(INT(($A958-1)/70)+1,CROQUIS_DATOS!$C$1525))/2)))*CROQUIS_DATOS!$C$1562),-1000)</f>
        <v>82.8189655172414</v>
      </c>
      <c r="O958">
        <f>IF(AND(CROQUIS_DATOS!$C$1472=1,1),(CROQUIS_DATOS!$C$1564+(IF(OR(IF(INT(($A958-1)/70)+1&gt;CROQUIS_DATOS!$C$1525,70,MOD($A958-1,70)+1)=1,IF(INT(($A958-1)/70)+1&gt;CROQUIS_DATOS!$C$1525,70,MOD($A958-1,70)+1)&gt;2*CROQUIS_DATOS!$C$1541+1),CROQUIS_DATOS!$C$1476,INDEX($H$8:$H$41,MIN(INT((IF(INT(($A958-1)/70)+1&gt;CROQUIS_DATOS!$C$1525,70,MOD($A958-1,70)+1)-2)/2)+1,CROQUIS_DATOS!$C$1541))))*CROQUIS_DATOS!$C$1561*CROQUIS_DATOS!$C$1562),-1000)</f>
        <v>40.2068965517241</v>
      </c>
    </row>
    <row r="959">
      <c r="A959" t="n">
        <v>952</v>
      </c>
      <c r="N959">
        <f>IF(AND(CROQUIS_DATOS!$C$1472=1,1),(CROQUIS_DATOS!$C$1563+(IF(IF(IF(INT(($A959-1)/70)+1&gt;CROQUIS_DATOS!$C$1525,70,MOD($A959-1,70)+1)=1,0,IF(IF(INT(($A959-1)/70)+1&gt;CROQUIS_DATOS!$C$1525,70,MOD($A959-1,70)+1)&gt;2*CROQUIS_DATOS!$C$1541+1,IF(MOD(CROQUIS_DATOS!$C$1541,2)=1,1,0),IF(MOD(MIN(INT((IF(INT(($A959-1)/70)+1&gt;CROQUIS_DATOS!$C$1525,70,MOD($A959-1,70)+1)-2)/2)+1,CROQUIS_DATOS!$C$1541),2)=1,IF(MOD(IF(INT(($A959-1)/70)+1&gt;CROQUIS_DATOS!$C$1525,70,MOD($A959-1,70)+1)-2,2)=0,0,1),IF(MOD(IF(INT(($A959-1)/70)+1&gt;CROQUIS_DATOS!$C$1525,70,MOD($A959-1,70)+1)-2,2)=0,1,0))))=0,(INDEX($E$8:$E$23,MIN(INT(($A959-1)/70)+1,CROQUIS_DATOS!$C$1525))-INDEX($F$8:$F$23,MIN(INT(($A959-1)/70)+1,CROQUIS_DATOS!$C$1525))/2),(INDEX($E$8:$E$23,MIN(INT(($A959-1)/70)+1,CROQUIS_DATOS!$C$1525))+INDEX($F$8:$F$23,MIN(INT(($A959-1)/70)+1,CROQUIS_DATOS!$C$1525))/2)))*CROQUIS_DATOS!$C$1562),-1000)</f>
        <v>82.8189655172414</v>
      </c>
      <c r="O959">
        <f>IF(AND(CROQUIS_DATOS!$C$1472=1,1),(CROQUIS_DATOS!$C$1564+(IF(OR(IF(INT(($A959-1)/70)+1&gt;CROQUIS_DATOS!$C$1525,70,MOD($A959-1,70)+1)=1,IF(INT(($A959-1)/70)+1&gt;CROQUIS_DATOS!$C$1525,70,MOD($A959-1,70)+1)&gt;2*CROQUIS_DATOS!$C$1541+1),CROQUIS_DATOS!$C$1476,INDEX($H$8:$H$41,MIN(INT((IF(INT(($A959-1)/70)+1&gt;CROQUIS_DATOS!$C$1525,70,MOD($A959-1,70)+1)-2)/2)+1,CROQUIS_DATOS!$C$1541))))*CROQUIS_DATOS!$C$1561*CROQUIS_DATOS!$C$1562),-1000)</f>
        <v>40.2068965517241</v>
      </c>
    </row>
    <row r="960">
      <c r="A960" t="n">
        <v>953</v>
      </c>
      <c r="N960">
        <f>IF(AND(CROQUIS_DATOS!$C$1472=1,1),(CROQUIS_DATOS!$C$1563+(IF(IF(IF(INT(($A960-1)/70)+1&gt;CROQUIS_DATOS!$C$1525,70,MOD($A960-1,70)+1)=1,0,IF(IF(INT(($A960-1)/70)+1&gt;CROQUIS_DATOS!$C$1525,70,MOD($A960-1,70)+1)&gt;2*CROQUIS_DATOS!$C$1541+1,IF(MOD(CROQUIS_DATOS!$C$1541,2)=1,1,0),IF(MOD(MIN(INT((IF(INT(($A960-1)/70)+1&gt;CROQUIS_DATOS!$C$1525,70,MOD($A960-1,70)+1)-2)/2)+1,CROQUIS_DATOS!$C$1541),2)=1,IF(MOD(IF(INT(($A960-1)/70)+1&gt;CROQUIS_DATOS!$C$1525,70,MOD($A960-1,70)+1)-2,2)=0,0,1),IF(MOD(IF(INT(($A960-1)/70)+1&gt;CROQUIS_DATOS!$C$1525,70,MOD($A960-1,70)+1)-2,2)=0,1,0))))=0,(INDEX($E$8:$E$23,MIN(INT(($A960-1)/70)+1,CROQUIS_DATOS!$C$1525))-INDEX($F$8:$F$23,MIN(INT(($A960-1)/70)+1,CROQUIS_DATOS!$C$1525))/2),(INDEX($E$8:$E$23,MIN(INT(($A960-1)/70)+1,CROQUIS_DATOS!$C$1525))+INDEX($F$8:$F$23,MIN(INT(($A960-1)/70)+1,CROQUIS_DATOS!$C$1525))/2)))*CROQUIS_DATOS!$C$1562),-1000)</f>
        <v>82.8189655172414</v>
      </c>
      <c r="O960">
        <f>IF(AND(CROQUIS_DATOS!$C$1472=1,1),(CROQUIS_DATOS!$C$1564+(IF(OR(IF(INT(($A960-1)/70)+1&gt;CROQUIS_DATOS!$C$1525,70,MOD($A960-1,70)+1)=1,IF(INT(($A960-1)/70)+1&gt;CROQUIS_DATOS!$C$1525,70,MOD($A960-1,70)+1)&gt;2*CROQUIS_DATOS!$C$1541+1),CROQUIS_DATOS!$C$1476,INDEX($H$8:$H$41,MIN(INT((IF(INT(($A960-1)/70)+1&gt;CROQUIS_DATOS!$C$1525,70,MOD($A960-1,70)+1)-2)/2)+1,CROQUIS_DATOS!$C$1541))))*CROQUIS_DATOS!$C$1561*CROQUIS_DATOS!$C$1562),-1000)</f>
        <v>40.2068965517241</v>
      </c>
    </row>
    <row r="961">
      <c r="A961" t="n">
        <v>954</v>
      </c>
      <c r="N961">
        <f>IF(AND(CROQUIS_DATOS!$C$1472=1,1),(CROQUIS_DATOS!$C$1563+(IF(IF(IF(INT(($A961-1)/70)+1&gt;CROQUIS_DATOS!$C$1525,70,MOD($A961-1,70)+1)=1,0,IF(IF(INT(($A961-1)/70)+1&gt;CROQUIS_DATOS!$C$1525,70,MOD($A961-1,70)+1)&gt;2*CROQUIS_DATOS!$C$1541+1,IF(MOD(CROQUIS_DATOS!$C$1541,2)=1,1,0),IF(MOD(MIN(INT((IF(INT(($A961-1)/70)+1&gt;CROQUIS_DATOS!$C$1525,70,MOD($A961-1,70)+1)-2)/2)+1,CROQUIS_DATOS!$C$1541),2)=1,IF(MOD(IF(INT(($A961-1)/70)+1&gt;CROQUIS_DATOS!$C$1525,70,MOD($A961-1,70)+1)-2,2)=0,0,1),IF(MOD(IF(INT(($A961-1)/70)+1&gt;CROQUIS_DATOS!$C$1525,70,MOD($A961-1,70)+1)-2,2)=0,1,0))))=0,(INDEX($E$8:$E$23,MIN(INT(($A961-1)/70)+1,CROQUIS_DATOS!$C$1525))-INDEX($F$8:$F$23,MIN(INT(($A961-1)/70)+1,CROQUIS_DATOS!$C$1525))/2),(INDEX($E$8:$E$23,MIN(INT(($A961-1)/70)+1,CROQUIS_DATOS!$C$1525))+INDEX($F$8:$F$23,MIN(INT(($A961-1)/70)+1,CROQUIS_DATOS!$C$1525))/2)))*CROQUIS_DATOS!$C$1562),-1000)</f>
        <v>82.8189655172414</v>
      </c>
      <c r="O961">
        <f>IF(AND(CROQUIS_DATOS!$C$1472=1,1),(CROQUIS_DATOS!$C$1564+(IF(OR(IF(INT(($A961-1)/70)+1&gt;CROQUIS_DATOS!$C$1525,70,MOD($A961-1,70)+1)=1,IF(INT(($A961-1)/70)+1&gt;CROQUIS_DATOS!$C$1525,70,MOD($A961-1,70)+1)&gt;2*CROQUIS_DATOS!$C$1541+1),CROQUIS_DATOS!$C$1476,INDEX($H$8:$H$41,MIN(INT((IF(INT(($A961-1)/70)+1&gt;CROQUIS_DATOS!$C$1525,70,MOD($A961-1,70)+1)-2)/2)+1,CROQUIS_DATOS!$C$1541))))*CROQUIS_DATOS!$C$1561*CROQUIS_DATOS!$C$1562),-1000)</f>
        <v>40.2068965517241</v>
      </c>
    </row>
    <row r="962">
      <c r="A962" t="n">
        <v>955</v>
      </c>
      <c r="N962">
        <f>IF(AND(CROQUIS_DATOS!$C$1472=1,1),(CROQUIS_DATOS!$C$1563+(IF(IF(IF(INT(($A962-1)/70)+1&gt;CROQUIS_DATOS!$C$1525,70,MOD($A962-1,70)+1)=1,0,IF(IF(INT(($A962-1)/70)+1&gt;CROQUIS_DATOS!$C$1525,70,MOD($A962-1,70)+1)&gt;2*CROQUIS_DATOS!$C$1541+1,IF(MOD(CROQUIS_DATOS!$C$1541,2)=1,1,0),IF(MOD(MIN(INT((IF(INT(($A962-1)/70)+1&gt;CROQUIS_DATOS!$C$1525,70,MOD($A962-1,70)+1)-2)/2)+1,CROQUIS_DATOS!$C$1541),2)=1,IF(MOD(IF(INT(($A962-1)/70)+1&gt;CROQUIS_DATOS!$C$1525,70,MOD($A962-1,70)+1)-2,2)=0,0,1),IF(MOD(IF(INT(($A962-1)/70)+1&gt;CROQUIS_DATOS!$C$1525,70,MOD($A962-1,70)+1)-2,2)=0,1,0))))=0,(INDEX($E$8:$E$23,MIN(INT(($A962-1)/70)+1,CROQUIS_DATOS!$C$1525))-INDEX($F$8:$F$23,MIN(INT(($A962-1)/70)+1,CROQUIS_DATOS!$C$1525))/2),(INDEX($E$8:$E$23,MIN(INT(($A962-1)/70)+1,CROQUIS_DATOS!$C$1525))+INDEX($F$8:$F$23,MIN(INT(($A962-1)/70)+1,CROQUIS_DATOS!$C$1525))/2)))*CROQUIS_DATOS!$C$1562),-1000)</f>
        <v>82.8189655172414</v>
      </c>
      <c r="O962">
        <f>IF(AND(CROQUIS_DATOS!$C$1472=1,1),(CROQUIS_DATOS!$C$1564+(IF(OR(IF(INT(($A962-1)/70)+1&gt;CROQUIS_DATOS!$C$1525,70,MOD($A962-1,70)+1)=1,IF(INT(($A962-1)/70)+1&gt;CROQUIS_DATOS!$C$1525,70,MOD($A962-1,70)+1)&gt;2*CROQUIS_DATOS!$C$1541+1),CROQUIS_DATOS!$C$1476,INDEX($H$8:$H$41,MIN(INT((IF(INT(($A962-1)/70)+1&gt;CROQUIS_DATOS!$C$1525,70,MOD($A962-1,70)+1)-2)/2)+1,CROQUIS_DATOS!$C$1541))))*CROQUIS_DATOS!$C$1561*CROQUIS_DATOS!$C$1562),-1000)</f>
        <v>40.2068965517241</v>
      </c>
    </row>
    <row r="963">
      <c r="A963" t="n">
        <v>956</v>
      </c>
      <c r="N963">
        <f>IF(AND(CROQUIS_DATOS!$C$1472=1,1),(CROQUIS_DATOS!$C$1563+(IF(IF(IF(INT(($A963-1)/70)+1&gt;CROQUIS_DATOS!$C$1525,70,MOD($A963-1,70)+1)=1,0,IF(IF(INT(($A963-1)/70)+1&gt;CROQUIS_DATOS!$C$1525,70,MOD($A963-1,70)+1)&gt;2*CROQUIS_DATOS!$C$1541+1,IF(MOD(CROQUIS_DATOS!$C$1541,2)=1,1,0),IF(MOD(MIN(INT((IF(INT(($A963-1)/70)+1&gt;CROQUIS_DATOS!$C$1525,70,MOD($A963-1,70)+1)-2)/2)+1,CROQUIS_DATOS!$C$1541),2)=1,IF(MOD(IF(INT(($A963-1)/70)+1&gt;CROQUIS_DATOS!$C$1525,70,MOD($A963-1,70)+1)-2,2)=0,0,1),IF(MOD(IF(INT(($A963-1)/70)+1&gt;CROQUIS_DATOS!$C$1525,70,MOD($A963-1,70)+1)-2,2)=0,1,0))))=0,(INDEX($E$8:$E$23,MIN(INT(($A963-1)/70)+1,CROQUIS_DATOS!$C$1525))-INDEX($F$8:$F$23,MIN(INT(($A963-1)/70)+1,CROQUIS_DATOS!$C$1525))/2),(INDEX($E$8:$E$23,MIN(INT(($A963-1)/70)+1,CROQUIS_DATOS!$C$1525))+INDEX($F$8:$F$23,MIN(INT(($A963-1)/70)+1,CROQUIS_DATOS!$C$1525))/2)))*CROQUIS_DATOS!$C$1562),-1000)</f>
        <v>82.8189655172414</v>
      </c>
      <c r="O963">
        <f>IF(AND(CROQUIS_DATOS!$C$1472=1,1),(CROQUIS_DATOS!$C$1564+(IF(OR(IF(INT(($A963-1)/70)+1&gt;CROQUIS_DATOS!$C$1525,70,MOD($A963-1,70)+1)=1,IF(INT(($A963-1)/70)+1&gt;CROQUIS_DATOS!$C$1525,70,MOD($A963-1,70)+1)&gt;2*CROQUIS_DATOS!$C$1541+1),CROQUIS_DATOS!$C$1476,INDEX($H$8:$H$41,MIN(INT((IF(INT(($A963-1)/70)+1&gt;CROQUIS_DATOS!$C$1525,70,MOD($A963-1,70)+1)-2)/2)+1,CROQUIS_DATOS!$C$1541))))*CROQUIS_DATOS!$C$1561*CROQUIS_DATOS!$C$1562),-1000)</f>
        <v>40.2068965517241</v>
      </c>
    </row>
    <row r="964">
      <c r="A964" t="n">
        <v>957</v>
      </c>
      <c r="N964">
        <f>IF(AND(CROQUIS_DATOS!$C$1472=1,1),(CROQUIS_DATOS!$C$1563+(IF(IF(IF(INT(($A964-1)/70)+1&gt;CROQUIS_DATOS!$C$1525,70,MOD($A964-1,70)+1)=1,0,IF(IF(INT(($A964-1)/70)+1&gt;CROQUIS_DATOS!$C$1525,70,MOD($A964-1,70)+1)&gt;2*CROQUIS_DATOS!$C$1541+1,IF(MOD(CROQUIS_DATOS!$C$1541,2)=1,1,0),IF(MOD(MIN(INT((IF(INT(($A964-1)/70)+1&gt;CROQUIS_DATOS!$C$1525,70,MOD($A964-1,70)+1)-2)/2)+1,CROQUIS_DATOS!$C$1541),2)=1,IF(MOD(IF(INT(($A964-1)/70)+1&gt;CROQUIS_DATOS!$C$1525,70,MOD($A964-1,70)+1)-2,2)=0,0,1),IF(MOD(IF(INT(($A964-1)/70)+1&gt;CROQUIS_DATOS!$C$1525,70,MOD($A964-1,70)+1)-2,2)=0,1,0))))=0,(INDEX($E$8:$E$23,MIN(INT(($A964-1)/70)+1,CROQUIS_DATOS!$C$1525))-INDEX($F$8:$F$23,MIN(INT(($A964-1)/70)+1,CROQUIS_DATOS!$C$1525))/2),(INDEX($E$8:$E$23,MIN(INT(($A964-1)/70)+1,CROQUIS_DATOS!$C$1525))+INDEX($F$8:$F$23,MIN(INT(($A964-1)/70)+1,CROQUIS_DATOS!$C$1525))/2)))*CROQUIS_DATOS!$C$1562),-1000)</f>
        <v>82.8189655172414</v>
      </c>
      <c r="O964">
        <f>IF(AND(CROQUIS_DATOS!$C$1472=1,1),(CROQUIS_DATOS!$C$1564+(IF(OR(IF(INT(($A964-1)/70)+1&gt;CROQUIS_DATOS!$C$1525,70,MOD($A964-1,70)+1)=1,IF(INT(($A964-1)/70)+1&gt;CROQUIS_DATOS!$C$1525,70,MOD($A964-1,70)+1)&gt;2*CROQUIS_DATOS!$C$1541+1),CROQUIS_DATOS!$C$1476,INDEX($H$8:$H$41,MIN(INT((IF(INT(($A964-1)/70)+1&gt;CROQUIS_DATOS!$C$1525,70,MOD($A964-1,70)+1)-2)/2)+1,CROQUIS_DATOS!$C$1541))))*CROQUIS_DATOS!$C$1561*CROQUIS_DATOS!$C$1562),-1000)</f>
        <v>40.2068965517241</v>
      </c>
    </row>
    <row r="965">
      <c r="A965" t="n">
        <v>958</v>
      </c>
      <c r="N965">
        <f>IF(AND(CROQUIS_DATOS!$C$1472=1,1),(CROQUIS_DATOS!$C$1563+(IF(IF(IF(INT(($A965-1)/70)+1&gt;CROQUIS_DATOS!$C$1525,70,MOD($A965-1,70)+1)=1,0,IF(IF(INT(($A965-1)/70)+1&gt;CROQUIS_DATOS!$C$1525,70,MOD($A965-1,70)+1)&gt;2*CROQUIS_DATOS!$C$1541+1,IF(MOD(CROQUIS_DATOS!$C$1541,2)=1,1,0),IF(MOD(MIN(INT((IF(INT(($A965-1)/70)+1&gt;CROQUIS_DATOS!$C$1525,70,MOD($A965-1,70)+1)-2)/2)+1,CROQUIS_DATOS!$C$1541),2)=1,IF(MOD(IF(INT(($A965-1)/70)+1&gt;CROQUIS_DATOS!$C$1525,70,MOD($A965-1,70)+1)-2,2)=0,0,1),IF(MOD(IF(INT(($A965-1)/70)+1&gt;CROQUIS_DATOS!$C$1525,70,MOD($A965-1,70)+1)-2,2)=0,1,0))))=0,(INDEX($E$8:$E$23,MIN(INT(($A965-1)/70)+1,CROQUIS_DATOS!$C$1525))-INDEX($F$8:$F$23,MIN(INT(($A965-1)/70)+1,CROQUIS_DATOS!$C$1525))/2),(INDEX($E$8:$E$23,MIN(INT(($A965-1)/70)+1,CROQUIS_DATOS!$C$1525))+INDEX($F$8:$F$23,MIN(INT(($A965-1)/70)+1,CROQUIS_DATOS!$C$1525))/2)))*CROQUIS_DATOS!$C$1562),-1000)</f>
        <v>82.8189655172414</v>
      </c>
      <c r="O965">
        <f>IF(AND(CROQUIS_DATOS!$C$1472=1,1),(CROQUIS_DATOS!$C$1564+(IF(OR(IF(INT(($A965-1)/70)+1&gt;CROQUIS_DATOS!$C$1525,70,MOD($A965-1,70)+1)=1,IF(INT(($A965-1)/70)+1&gt;CROQUIS_DATOS!$C$1525,70,MOD($A965-1,70)+1)&gt;2*CROQUIS_DATOS!$C$1541+1),CROQUIS_DATOS!$C$1476,INDEX($H$8:$H$41,MIN(INT((IF(INT(($A965-1)/70)+1&gt;CROQUIS_DATOS!$C$1525,70,MOD($A965-1,70)+1)-2)/2)+1,CROQUIS_DATOS!$C$1541))))*CROQUIS_DATOS!$C$1561*CROQUIS_DATOS!$C$1562),-1000)</f>
        <v>40.2068965517241</v>
      </c>
    </row>
    <row r="966">
      <c r="A966" t="n">
        <v>959</v>
      </c>
      <c r="N966">
        <f>IF(AND(CROQUIS_DATOS!$C$1472=1,1),(CROQUIS_DATOS!$C$1563+(IF(IF(IF(INT(($A966-1)/70)+1&gt;CROQUIS_DATOS!$C$1525,70,MOD($A966-1,70)+1)=1,0,IF(IF(INT(($A966-1)/70)+1&gt;CROQUIS_DATOS!$C$1525,70,MOD($A966-1,70)+1)&gt;2*CROQUIS_DATOS!$C$1541+1,IF(MOD(CROQUIS_DATOS!$C$1541,2)=1,1,0),IF(MOD(MIN(INT((IF(INT(($A966-1)/70)+1&gt;CROQUIS_DATOS!$C$1525,70,MOD($A966-1,70)+1)-2)/2)+1,CROQUIS_DATOS!$C$1541),2)=1,IF(MOD(IF(INT(($A966-1)/70)+1&gt;CROQUIS_DATOS!$C$1525,70,MOD($A966-1,70)+1)-2,2)=0,0,1),IF(MOD(IF(INT(($A966-1)/70)+1&gt;CROQUIS_DATOS!$C$1525,70,MOD($A966-1,70)+1)-2,2)=0,1,0))))=0,(INDEX($E$8:$E$23,MIN(INT(($A966-1)/70)+1,CROQUIS_DATOS!$C$1525))-INDEX($F$8:$F$23,MIN(INT(($A966-1)/70)+1,CROQUIS_DATOS!$C$1525))/2),(INDEX($E$8:$E$23,MIN(INT(($A966-1)/70)+1,CROQUIS_DATOS!$C$1525))+INDEX($F$8:$F$23,MIN(INT(($A966-1)/70)+1,CROQUIS_DATOS!$C$1525))/2)))*CROQUIS_DATOS!$C$1562),-1000)</f>
        <v>82.8189655172414</v>
      </c>
      <c r="O966">
        <f>IF(AND(CROQUIS_DATOS!$C$1472=1,1),(CROQUIS_DATOS!$C$1564+(IF(OR(IF(INT(($A966-1)/70)+1&gt;CROQUIS_DATOS!$C$1525,70,MOD($A966-1,70)+1)=1,IF(INT(($A966-1)/70)+1&gt;CROQUIS_DATOS!$C$1525,70,MOD($A966-1,70)+1)&gt;2*CROQUIS_DATOS!$C$1541+1),CROQUIS_DATOS!$C$1476,INDEX($H$8:$H$41,MIN(INT((IF(INT(($A966-1)/70)+1&gt;CROQUIS_DATOS!$C$1525,70,MOD($A966-1,70)+1)-2)/2)+1,CROQUIS_DATOS!$C$1541))))*CROQUIS_DATOS!$C$1561*CROQUIS_DATOS!$C$1562),-1000)</f>
        <v>40.2068965517241</v>
      </c>
    </row>
    <row r="967">
      <c r="A967" t="n">
        <v>960</v>
      </c>
      <c r="N967">
        <f>IF(AND(CROQUIS_DATOS!$C$1472=1,1),(CROQUIS_DATOS!$C$1563+(IF(IF(IF(INT(($A967-1)/70)+1&gt;CROQUIS_DATOS!$C$1525,70,MOD($A967-1,70)+1)=1,0,IF(IF(INT(($A967-1)/70)+1&gt;CROQUIS_DATOS!$C$1525,70,MOD($A967-1,70)+1)&gt;2*CROQUIS_DATOS!$C$1541+1,IF(MOD(CROQUIS_DATOS!$C$1541,2)=1,1,0),IF(MOD(MIN(INT((IF(INT(($A967-1)/70)+1&gt;CROQUIS_DATOS!$C$1525,70,MOD($A967-1,70)+1)-2)/2)+1,CROQUIS_DATOS!$C$1541),2)=1,IF(MOD(IF(INT(($A967-1)/70)+1&gt;CROQUIS_DATOS!$C$1525,70,MOD($A967-1,70)+1)-2,2)=0,0,1),IF(MOD(IF(INT(($A967-1)/70)+1&gt;CROQUIS_DATOS!$C$1525,70,MOD($A967-1,70)+1)-2,2)=0,1,0))))=0,(INDEX($E$8:$E$23,MIN(INT(($A967-1)/70)+1,CROQUIS_DATOS!$C$1525))-INDEX($F$8:$F$23,MIN(INT(($A967-1)/70)+1,CROQUIS_DATOS!$C$1525))/2),(INDEX($E$8:$E$23,MIN(INT(($A967-1)/70)+1,CROQUIS_DATOS!$C$1525))+INDEX($F$8:$F$23,MIN(INT(($A967-1)/70)+1,CROQUIS_DATOS!$C$1525))/2)))*CROQUIS_DATOS!$C$1562),-1000)</f>
        <v>82.8189655172414</v>
      </c>
      <c r="O967">
        <f>IF(AND(CROQUIS_DATOS!$C$1472=1,1),(CROQUIS_DATOS!$C$1564+(IF(OR(IF(INT(($A967-1)/70)+1&gt;CROQUIS_DATOS!$C$1525,70,MOD($A967-1,70)+1)=1,IF(INT(($A967-1)/70)+1&gt;CROQUIS_DATOS!$C$1525,70,MOD($A967-1,70)+1)&gt;2*CROQUIS_DATOS!$C$1541+1),CROQUIS_DATOS!$C$1476,INDEX($H$8:$H$41,MIN(INT((IF(INT(($A967-1)/70)+1&gt;CROQUIS_DATOS!$C$1525,70,MOD($A967-1,70)+1)-2)/2)+1,CROQUIS_DATOS!$C$1541))))*CROQUIS_DATOS!$C$1561*CROQUIS_DATOS!$C$1562),-1000)</f>
        <v>40.2068965517241</v>
      </c>
    </row>
    <row r="968">
      <c r="A968" t="n">
        <v>961</v>
      </c>
      <c r="N968">
        <f>IF(AND(CROQUIS_DATOS!$C$1472=1,1),(CROQUIS_DATOS!$C$1563+(IF(IF(IF(INT(($A968-1)/70)+1&gt;CROQUIS_DATOS!$C$1525,70,MOD($A968-1,70)+1)=1,0,IF(IF(INT(($A968-1)/70)+1&gt;CROQUIS_DATOS!$C$1525,70,MOD($A968-1,70)+1)&gt;2*CROQUIS_DATOS!$C$1541+1,IF(MOD(CROQUIS_DATOS!$C$1541,2)=1,1,0),IF(MOD(MIN(INT((IF(INT(($A968-1)/70)+1&gt;CROQUIS_DATOS!$C$1525,70,MOD($A968-1,70)+1)-2)/2)+1,CROQUIS_DATOS!$C$1541),2)=1,IF(MOD(IF(INT(($A968-1)/70)+1&gt;CROQUIS_DATOS!$C$1525,70,MOD($A968-1,70)+1)-2,2)=0,0,1),IF(MOD(IF(INT(($A968-1)/70)+1&gt;CROQUIS_DATOS!$C$1525,70,MOD($A968-1,70)+1)-2,2)=0,1,0))))=0,(INDEX($E$8:$E$23,MIN(INT(($A968-1)/70)+1,CROQUIS_DATOS!$C$1525))-INDEX($F$8:$F$23,MIN(INT(($A968-1)/70)+1,CROQUIS_DATOS!$C$1525))/2),(INDEX($E$8:$E$23,MIN(INT(($A968-1)/70)+1,CROQUIS_DATOS!$C$1525))+INDEX($F$8:$F$23,MIN(INT(($A968-1)/70)+1,CROQUIS_DATOS!$C$1525))/2)))*CROQUIS_DATOS!$C$1562),-1000)</f>
        <v>82.8189655172414</v>
      </c>
      <c r="O968">
        <f>IF(AND(CROQUIS_DATOS!$C$1472=1,1),(CROQUIS_DATOS!$C$1564+(IF(OR(IF(INT(($A968-1)/70)+1&gt;CROQUIS_DATOS!$C$1525,70,MOD($A968-1,70)+1)=1,IF(INT(($A968-1)/70)+1&gt;CROQUIS_DATOS!$C$1525,70,MOD($A968-1,70)+1)&gt;2*CROQUIS_DATOS!$C$1541+1),CROQUIS_DATOS!$C$1476,INDEX($H$8:$H$41,MIN(INT((IF(INT(($A968-1)/70)+1&gt;CROQUIS_DATOS!$C$1525,70,MOD($A968-1,70)+1)-2)/2)+1,CROQUIS_DATOS!$C$1541))))*CROQUIS_DATOS!$C$1561*CROQUIS_DATOS!$C$1562),-1000)</f>
        <v>40.2068965517241</v>
      </c>
    </row>
    <row r="969">
      <c r="A969" t="n">
        <v>962</v>
      </c>
      <c r="N969">
        <f>IF(AND(CROQUIS_DATOS!$C$1472=1,1),(CROQUIS_DATOS!$C$1563+(IF(IF(IF(INT(($A969-1)/70)+1&gt;CROQUIS_DATOS!$C$1525,70,MOD($A969-1,70)+1)=1,0,IF(IF(INT(($A969-1)/70)+1&gt;CROQUIS_DATOS!$C$1525,70,MOD($A969-1,70)+1)&gt;2*CROQUIS_DATOS!$C$1541+1,IF(MOD(CROQUIS_DATOS!$C$1541,2)=1,1,0),IF(MOD(MIN(INT((IF(INT(($A969-1)/70)+1&gt;CROQUIS_DATOS!$C$1525,70,MOD($A969-1,70)+1)-2)/2)+1,CROQUIS_DATOS!$C$1541),2)=1,IF(MOD(IF(INT(($A969-1)/70)+1&gt;CROQUIS_DATOS!$C$1525,70,MOD($A969-1,70)+1)-2,2)=0,0,1),IF(MOD(IF(INT(($A969-1)/70)+1&gt;CROQUIS_DATOS!$C$1525,70,MOD($A969-1,70)+1)-2,2)=0,1,0))))=0,(INDEX($E$8:$E$23,MIN(INT(($A969-1)/70)+1,CROQUIS_DATOS!$C$1525))-INDEX($F$8:$F$23,MIN(INT(($A969-1)/70)+1,CROQUIS_DATOS!$C$1525))/2),(INDEX($E$8:$E$23,MIN(INT(($A969-1)/70)+1,CROQUIS_DATOS!$C$1525))+INDEX($F$8:$F$23,MIN(INT(($A969-1)/70)+1,CROQUIS_DATOS!$C$1525))/2)))*CROQUIS_DATOS!$C$1562),-1000)</f>
        <v>82.8189655172414</v>
      </c>
      <c r="O969">
        <f>IF(AND(CROQUIS_DATOS!$C$1472=1,1),(CROQUIS_DATOS!$C$1564+(IF(OR(IF(INT(($A969-1)/70)+1&gt;CROQUIS_DATOS!$C$1525,70,MOD($A969-1,70)+1)=1,IF(INT(($A969-1)/70)+1&gt;CROQUIS_DATOS!$C$1525,70,MOD($A969-1,70)+1)&gt;2*CROQUIS_DATOS!$C$1541+1),CROQUIS_DATOS!$C$1476,INDEX($H$8:$H$41,MIN(INT((IF(INT(($A969-1)/70)+1&gt;CROQUIS_DATOS!$C$1525,70,MOD($A969-1,70)+1)-2)/2)+1,CROQUIS_DATOS!$C$1541))))*CROQUIS_DATOS!$C$1561*CROQUIS_DATOS!$C$1562),-1000)</f>
        <v>40.2068965517241</v>
      </c>
    </row>
    <row r="970">
      <c r="A970" t="n">
        <v>963</v>
      </c>
      <c r="N970">
        <f>IF(AND(CROQUIS_DATOS!$C$1472=1,1),(CROQUIS_DATOS!$C$1563+(IF(IF(IF(INT(($A970-1)/70)+1&gt;CROQUIS_DATOS!$C$1525,70,MOD($A970-1,70)+1)=1,0,IF(IF(INT(($A970-1)/70)+1&gt;CROQUIS_DATOS!$C$1525,70,MOD($A970-1,70)+1)&gt;2*CROQUIS_DATOS!$C$1541+1,IF(MOD(CROQUIS_DATOS!$C$1541,2)=1,1,0),IF(MOD(MIN(INT((IF(INT(($A970-1)/70)+1&gt;CROQUIS_DATOS!$C$1525,70,MOD($A970-1,70)+1)-2)/2)+1,CROQUIS_DATOS!$C$1541),2)=1,IF(MOD(IF(INT(($A970-1)/70)+1&gt;CROQUIS_DATOS!$C$1525,70,MOD($A970-1,70)+1)-2,2)=0,0,1),IF(MOD(IF(INT(($A970-1)/70)+1&gt;CROQUIS_DATOS!$C$1525,70,MOD($A970-1,70)+1)-2,2)=0,1,0))))=0,(INDEX($E$8:$E$23,MIN(INT(($A970-1)/70)+1,CROQUIS_DATOS!$C$1525))-INDEX($F$8:$F$23,MIN(INT(($A970-1)/70)+1,CROQUIS_DATOS!$C$1525))/2),(INDEX($E$8:$E$23,MIN(INT(($A970-1)/70)+1,CROQUIS_DATOS!$C$1525))+INDEX($F$8:$F$23,MIN(INT(($A970-1)/70)+1,CROQUIS_DATOS!$C$1525))/2)))*CROQUIS_DATOS!$C$1562),-1000)</f>
        <v>82.8189655172414</v>
      </c>
      <c r="O970">
        <f>IF(AND(CROQUIS_DATOS!$C$1472=1,1),(CROQUIS_DATOS!$C$1564+(IF(OR(IF(INT(($A970-1)/70)+1&gt;CROQUIS_DATOS!$C$1525,70,MOD($A970-1,70)+1)=1,IF(INT(($A970-1)/70)+1&gt;CROQUIS_DATOS!$C$1525,70,MOD($A970-1,70)+1)&gt;2*CROQUIS_DATOS!$C$1541+1),CROQUIS_DATOS!$C$1476,INDEX($H$8:$H$41,MIN(INT((IF(INT(($A970-1)/70)+1&gt;CROQUIS_DATOS!$C$1525,70,MOD($A970-1,70)+1)-2)/2)+1,CROQUIS_DATOS!$C$1541))))*CROQUIS_DATOS!$C$1561*CROQUIS_DATOS!$C$1562),-1000)</f>
        <v>40.2068965517241</v>
      </c>
    </row>
    <row r="971">
      <c r="A971" t="n">
        <v>964</v>
      </c>
      <c r="N971">
        <f>IF(AND(CROQUIS_DATOS!$C$1472=1,1),(CROQUIS_DATOS!$C$1563+(IF(IF(IF(INT(($A971-1)/70)+1&gt;CROQUIS_DATOS!$C$1525,70,MOD($A971-1,70)+1)=1,0,IF(IF(INT(($A971-1)/70)+1&gt;CROQUIS_DATOS!$C$1525,70,MOD($A971-1,70)+1)&gt;2*CROQUIS_DATOS!$C$1541+1,IF(MOD(CROQUIS_DATOS!$C$1541,2)=1,1,0),IF(MOD(MIN(INT((IF(INT(($A971-1)/70)+1&gt;CROQUIS_DATOS!$C$1525,70,MOD($A971-1,70)+1)-2)/2)+1,CROQUIS_DATOS!$C$1541),2)=1,IF(MOD(IF(INT(($A971-1)/70)+1&gt;CROQUIS_DATOS!$C$1525,70,MOD($A971-1,70)+1)-2,2)=0,0,1),IF(MOD(IF(INT(($A971-1)/70)+1&gt;CROQUIS_DATOS!$C$1525,70,MOD($A971-1,70)+1)-2,2)=0,1,0))))=0,(INDEX($E$8:$E$23,MIN(INT(($A971-1)/70)+1,CROQUIS_DATOS!$C$1525))-INDEX($F$8:$F$23,MIN(INT(($A971-1)/70)+1,CROQUIS_DATOS!$C$1525))/2),(INDEX($E$8:$E$23,MIN(INT(($A971-1)/70)+1,CROQUIS_DATOS!$C$1525))+INDEX($F$8:$F$23,MIN(INT(($A971-1)/70)+1,CROQUIS_DATOS!$C$1525))/2)))*CROQUIS_DATOS!$C$1562),-1000)</f>
        <v>82.8189655172414</v>
      </c>
      <c r="O971">
        <f>IF(AND(CROQUIS_DATOS!$C$1472=1,1),(CROQUIS_DATOS!$C$1564+(IF(OR(IF(INT(($A971-1)/70)+1&gt;CROQUIS_DATOS!$C$1525,70,MOD($A971-1,70)+1)=1,IF(INT(($A971-1)/70)+1&gt;CROQUIS_DATOS!$C$1525,70,MOD($A971-1,70)+1)&gt;2*CROQUIS_DATOS!$C$1541+1),CROQUIS_DATOS!$C$1476,INDEX($H$8:$H$41,MIN(INT((IF(INT(($A971-1)/70)+1&gt;CROQUIS_DATOS!$C$1525,70,MOD($A971-1,70)+1)-2)/2)+1,CROQUIS_DATOS!$C$1541))))*CROQUIS_DATOS!$C$1561*CROQUIS_DATOS!$C$1562),-1000)</f>
        <v>40.2068965517241</v>
      </c>
    </row>
    <row r="972">
      <c r="A972" t="n">
        <v>965</v>
      </c>
      <c r="N972">
        <f>IF(AND(CROQUIS_DATOS!$C$1472=1,1),(CROQUIS_DATOS!$C$1563+(IF(IF(IF(INT(($A972-1)/70)+1&gt;CROQUIS_DATOS!$C$1525,70,MOD($A972-1,70)+1)=1,0,IF(IF(INT(($A972-1)/70)+1&gt;CROQUIS_DATOS!$C$1525,70,MOD($A972-1,70)+1)&gt;2*CROQUIS_DATOS!$C$1541+1,IF(MOD(CROQUIS_DATOS!$C$1541,2)=1,1,0),IF(MOD(MIN(INT((IF(INT(($A972-1)/70)+1&gt;CROQUIS_DATOS!$C$1525,70,MOD($A972-1,70)+1)-2)/2)+1,CROQUIS_DATOS!$C$1541),2)=1,IF(MOD(IF(INT(($A972-1)/70)+1&gt;CROQUIS_DATOS!$C$1525,70,MOD($A972-1,70)+1)-2,2)=0,0,1),IF(MOD(IF(INT(($A972-1)/70)+1&gt;CROQUIS_DATOS!$C$1525,70,MOD($A972-1,70)+1)-2,2)=0,1,0))))=0,(INDEX($E$8:$E$23,MIN(INT(($A972-1)/70)+1,CROQUIS_DATOS!$C$1525))-INDEX($F$8:$F$23,MIN(INT(($A972-1)/70)+1,CROQUIS_DATOS!$C$1525))/2),(INDEX($E$8:$E$23,MIN(INT(($A972-1)/70)+1,CROQUIS_DATOS!$C$1525))+INDEX($F$8:$F$23,MIN(INT(($A972-1)/70)+1,CROQUIS_DATOS!$C$1525))/2)))*CROQUIS_DATOS!$C$1562),-1000)</f>
        <v>82.8189655172414</v>
      </c>
      <c r="O972">
        <f>IF(AND(CROQUIS_DATOS!$C$1472=1,1),(CROQUIS_DATOS!$C$1564+(IF(OR(IF(INT(($A972-1)/70)+1&gt;CROQUIS_DATOS!$C$1525,70,MOD($A972-1,70)+1)=1,IF(INT(($A972-1)/70)+1&gt;CROQUIS_DATOS!$C$1525,70,MOD($A972-1,70)+1)&gt;2*CROQUIS_DATOS!$C$1541+1),CROQUIS_DATOS!$C$1476,INDEX($H$8:$H$41,MIN(INT((IF(INT(($A972-1)/70)+1&gt;CROQUIS_DATOS!$C$1525,70,MOD($A972-1,70)+1)-2)/2)+1,CROQUIS_DATOS!$C$1541))))*CROQUIS_DATOS!$C$1561*CROQUIS_DATOS!$C$1562),-1000)</f>
        <v>40.2068965517241</v>
      </c>
    </row>
    <row r="973">
      <c r="A973" t="n">
        <v>966</v>
      </c>
      <c r="N973">
        <f>IF(AND(CROQUIS_DATOS!$C$1472=1,1),(CROQUIS_DATOS!$C$1563+(IF(IF(IF(INT(($A973-1)/70)+1&gt;CROQUIS_DATOS!$C$1525,70,MOD($A973-1,70)+1)=1,0,IF(IF(INT(($A973-1)/70)+1&gt;CROQUIS_DATOS!$C$1525,70,MOD($A973-1,70)+1)&gt;2*CROQUIS_DATOS!$C$1541+1,IF(MOD(CROQUIS_DATOS!$C$1541,2)=1,1,0),IF(MOD(MIN(INT((IF(INT(($A973-1)/70)+1&gt;CROQUIS_DATOS!$C$1525,70,MOD($A973-1,70)+1)-2)/2)+1,CROQUIS_DATOS!$C$1541),2)=1,IF(MOD(IF(INT(($A973-1)/70)+1&gt;CROQUIS_DATOS!$C$1525,70,MOD($A973-1,70)+1)-2,2)=0,0,1),IF(MOD(IF(INT(($A973-1)/70)+1&gt;CROQUIS_DATOS!$C$1525,70,MOD($A973-1,70)+1)-2,2)=0,1,0))))=0,(INDEX($E$8:$E$23,MIN(INT(($A973-1)/70)+1,CROQUIS_DATOS!$C$1525))-INDEX($F$8:$F$23,MIN(INT(($A973-1)/70)+1,CROQUIS_DATOS!$C$1525))/2),(INDEX($E$8:$E$23,MIN(INT(($A973-1)/70)+1,CROQUIS_DATOS!$C$1525))+INDEX($F$8:$F$23,MIN(INT(($A973-1)/70)+1,CROQUIS_DATOS!$C$1525))/2)))*CROQUIS_DATOS!$C$1562),-1000)</f>
        <v>82.8189655172414</v>
      </c>
      <c r="O973">
        <f>IF(AND(CROQUIS_DATOS!$C$1472=1,1),(CROQUIS_DATOS!$C$1564+(IF(OR(IF(INT(($A973-1)/70)+1&gt;CROQUIS_DATOS!$C$1525,70,MOD($A973-1,70)+1)=1,IF(INT(($A973-1)/70)+1&gt;CROQUIS_DATOS!$C$1525,70,MOD($A973-1,70)+1)&gt;2*CROQUIS_DATOS!$C$1541+1),CROQUIS_DATOS!$C$1476,INDEX($H$8:$H$41,MIN(INT((IF(INT(($A973-1)/70)+1&gt;CROQUIS_DATOS!$C$1525,70,MOD($A973-1,70)+1)-2)/2)+1,CROQUIS_DATOS!$C$1541))))*CROQUIS_DATOS!$C$1561*CROQUIS_DATOS!$C$1562),-1000)</f>
        <v>40.2068965517241</v>
      </c>
    </row>
    <row r="974">
      <c r="A974" t="n">
        <v>967</v>
      </c>
      <c r="N974">
        <f>IF(AND(CROQUIS_DATOS!$C$1472=1,1),(CROQUIS_DATOS!$C$1563+(IF(IF(IF(INT(($A974-1)/70)+1&gt;CROQUIS_DATOS!$C$1525,70,MOD($A974-1,70)+1)=1,0,IF(IF(INT(($A974-1)/70)+1&gt;CROQUIS_DATOS!$C$1525,70,MOD($A974-1,70)+1)&gt;2*CROQUIS_DATOS!$C$1541+1,IF(MOD(CROQUIS_DATOS!$C$1541,2)=1,1,0),IF(MOD(MIN(INT((IF(INT(($A974-1)/70)+1&gt;CROQUIS_DATOS!$C$1525,70,MOD($A974-1,70)+1)-2)/2)+1,CROQUIS_DATOS!$C$1541),2)=1,IF(MOD(IF(INT(($A974-1)/70)+1&gt;CROQUIS_DATOS!$C$1525,70,MOD($A974-1,70)+1)-2,2)=0,0,1),IF(MOD(IF(INT(($A974-1)/70)+1&gt;CROQUIS_DATOS!$C$1525,70,MOD($A974-1,70)+1)-2,2)=0,1,0))))=0,(INDEX($E$8:$E$23,MIN(INT(($A974-1)/70)+1,CROQUIS_DATOS!$C$1525))-INDEX($F$8:$F$23,MIN(INT(($A974-1)/70)+1,CROQUIS_DATOS!$C$1525))/2),(INDEX($E$8:$E$23,MIN(INT(($A974-1)/70)+1,CROQUIS_DATOS!$C$1525))+INDEX($F$8:$F$23,MIN(INT(($A974-1)/70)+1,CROQUIS_DATOS!$C$1525))/2)))*CROQUIS_DATOS!$C$1562),-1000)</f>
        <v>82.8189655172414</v>
      </c>
      <c r="O974">
        <f>IF(AND(CROQUIS_DATOS!$C$1472=1,1),(CROQUIS_DATOS!$C$1564+(IF(OR(IF(INT(($A974-1)/70)+1&gt;CROQUIS_DATOS!$C$1525,70,MOD($A974-1,70)+1)=1,IF(INT(($A974-1)/70)+1&gt;CROQUIS_DATOS!$C$1525,70,MOD($A974-1,70)+1)&gt;2*CROQUIS_DATOS!$C$1541+1),CROQUIS_DATOS!$C$1476,INDEX($H$8:$H$41,MIN(INT((IF(INT(($A974-1)/70)+1&gt;CROQUIS_DATOS!$C$1525,70,MOD($A974-1,70)+1)-2)/2)+1,CROQUIS_DATOS!$C$1541))))*CROQUIS_DATOS!$C$1561*CROQUIS_DATOS!$C$1562),-1000)</f>
        <v>40.2068965517241</v>
      </c>
    </row>
    <row r="975">
      <c r="A975" t="n">
        <v>968</v>
      </c>
      <c r="N975">
        <f>IF(AND(CROQUIS_DATOS!$C$1472=1,1),(CROQUIS_DATOS!$C$1563+(IF(IF(IF(INT(($A975-1)/70)+1&gt;CROQUIS_DATOS!$C$1525,70,MOD($A975-1,70)+1)=1,0,IF(IF(INT(($A975-1)/70)+1&gt;CROQUIS_DATOS!$C$1525,70,MOD($A975-1,70)+1)&gt;2*CROQUIS_DATOS!$C$1541+1,IF(MOD(CROQUIS_DATOS!$C$1541,2)=1,1,0),IF(MOD(MIN(INT((IF(INT(($A975-1)/70)+1&gt;CROQUIS_DATOS!$C$1525,70,MOD($A975-1,70)+1)-2)/2)+1,CROQUIS_DATOS!$C$1541),2)=1,IF(MOD(IF(INT(($A975-1)/70)+1&gt;CROQUIS_DATOS!$C$1525,70,MOD($A975-1,70)+1)-2,2)=0,0,1),IF(MOD(IF(INT(($A975-1)/70)+1&gt;CROQUIS_DATOS!$C$1525,70,MOD($A975-1,70)+1)-2,2)=0,1,0))))=0,(INDEX($E$8:$E$23,MIN(INT(($A975-1)/70)+1,CROQUIS_DATOS!$C$1525))-INDEX($F$8:$F$23,MIN(INT(($A975-1)/70)+1,CROQUIS_DATOS!$C$1525))/2),(INDEX($E$8:$E$23,MIN(INT(($A975-1)/70)+1,CROQUIS_DATOS!$C$1525))+INDEX($F$8:$F$23,MIN(INT(($A975-1)/70)+1,CROQUIS_DATOS!$C$1525))/2)))*CROQUIS_DATOS!$C$1562),-1000)</f>
        <v>82.8189655172414</v>
      </c>
      <c r="O975">
        <f>IF(AND(CROQUIS_DATOS!$C$1472=1,1),(CROQUIS_DATOS!$C$1564+(IF(OR(IF(INT(($A975-1)/70)+1&gt;CROQUIS_DATOS!$C$1525,70,MOD($A975-1,70)+1)=1,IF(INT(($A975-1)/70)+1&gt;CROQUIS_DATOS!$C$1525,70,MOD($A975-1,70)+1)&gt;2*CROQUIS_DATOS!$C$1541+1),CROQUIS_DATOS!$C$1476,INDEX($H$8:$H$41,MIN(INT((IF(INT(($A975-1)/70)+1&gt;CROQUIS_DATOS!$C$1525,70,MOD($A975-1,70)+1)-2)/2)+1,CROQUIS_DATOS!$C$1541))))*CROQUIS_DATOS!$C$1561*CROQUIS_DATOS!$C$1562),-1000)</f>
        <v>40.2068965517241</v>
      </c>
    </row>
    <row r="976">
      <c r="A976" t="n">
        <v>969</v>
      </c>
      <c r="N976">
        <f>IF(AND(CROQUIS_DATOS!$C$1472=1,1),(CROQUIS_DATOS!$C$1563+(IF(IF(IF(INT(($A976-1)/70)+1&gt;CROQUIS_DATOS!$C$1525,70,MOD($A976-1,70)+1)=1,0,IF(IF(INT(($A976-1)/70)+1&gt;CROQUIS_DATOS!$C$1525,70,MOD($A976-1,70)+1)&gt;2*CROQUIS_DATOS!$C$1541+1,IF(MOD(CROQUIS_DATOS!$C$1541,2)=1,1,0),IF(MOD(MIN(INT((IF(INT(($A976-1)/70)+1&gt;CROQUIS_DATOS!$C$1525,70,MOD($A976-1,70)+1)-2)/2)+1,CROQUIS_DATOS!$C$1541),2)=1,IF(MOD(IF(INT(($A976-1)/70)+1&gt;CROQUIS_DATOS!$C$1525,70,MOD($A976-1,70)+1)-2,2)=0,0,1),IF(MOD(IF(INT(($A976-1)/70)+1&gt;CROQUIS_DATOS!$C$1525,70,MOD($A976-1,70)+1)-2,2)=0,1,0))))=0,(INDEX($E$8:$E$23,MIN(INT(($A976-1)/70)+1,CROQUIS_DATOS!$C$1525))-INDEX($F$8:$F$23,MIN(INT(($A976-1)/70)+1,CROQUIS_DATOS!$C$1525))/2),(INDEX($E$8:$E$23,MIN(INT(($A976-1)/70)+1,CROQUIS_DATOS!$C$1525))+INDEX($F$8:$F$23,MIN(INT(($A976-1)/70)+1,CROQUIS_DATOS!$C$1525))/2)))*CROQUIS_DATOS!$C$1562),-1000)</f>
        <v>82.8189655172414</v>
      </c>
      <c r="O976">
        <f>IF(AND(CROQUIS_DATOS!$C$1472=1,1),(CROQUIS_DATOS!$C$1564+(IF(OR(IF(INT(($A976-1)/70)+1&gt;CROQUIS_DATOS!$C$1525,70,MOD($A976-1,70)+1)=1,IF(INT(($A976-1)/70)+1&gt;CROQUIS_DATOS!$C$1525,70,MOD($A976-1,70)+1)&gt;2*CROQUIS_DATOS!$C$1541+1),CROQUIS_DATOS!$C$1476,INDEX($H$8:$H$41,MIN(INT((IF(INT(($A976-1)/70)+1&gt;CROQUIS_DATOS!$C$1525,70,MOD($A976-1,70)+1)-2)/2)+1,CROQUIS_DATOS!$C$1541))))*CROQUIS_DATOS!$C$1561*CROQUIS_DATOS!$C$1562),-1000)</f>
        <v>40.2068965517241</v>
      </c>
    </row>
    <row r="977">
      <c r="A977" t="n">
        <v>970</v>
      </c>
      <c r="N977">
        <f>IF(AND(CROQUIS_DATOS!$C$1472=1,1),(CROQUIS_DATOS!$C$1563+(IF(IF(IF(INT(($A977-1)/70)+1&gt;CROQUIS_DATOS!$C$1525,70,MOD($A977-1,70)+1)=1,0,IF(IF(INT(($A977-1)/70)+1&gt;CROQUIS_DATOS!$C$1525,70,MOD($A977-1,70)+1)&gt;2*CROQUIS_DATOS!$C$1541+1,IF(MOD(CROQUIS_DATOS!$C$1541,2)=1,1,0),IF(MOD(MIN(INT((IF(INT(($A977-1)/70)+1&gt;CROQUIS_DATOS!$C$1525,70,MOD($A977-1,70)+1)-2)/2)+1,CROQUIS_DATOS!$C$1541),2)=1,IF(MOD(IF(INT(($A977-1)/70)+1&gt;CROQUIS_DATOS!$C$1525,70,MOD($A977-1,70)+1)-2,2)=0,0,1),IF(MOD(IF(INT(($A977-1)/70)+1&gt;CROQUIS_DATOS!$C$1525,70,MOD($A977-1,70)+1)-2,2)=0,1,0))))=0,(INDEX($E$8:$E$23,MIN(INT(($A977-1)/70)+1,CROQUIS_DATOS!$C$1525))-INDEX($F$8:$F$23,MIN(INT(($A977-1)/70)+1,CROQUIS_DATOS!$C$1525))/2),(INDEX($E$8:$E$23,MIN(INT(($A977-1)/70)+1,CROQUIS_DATOS!$C$1525))+INDEX($F$8:$F$23,MIN(INT(($A977-1)/70)+1,CROQUIS_DATOS!$C$1525))/2)))*CROQUIS_DATOS!$C$1562),-1000)</f>
        <v>82.8189655172414</v>
      </c>
      <c r="O977">
        <f>IF(AND(CROQUIS_DATOS!$C$1472=1,1),(CROQUIS_DATOS!$C$1564+(IF(OR(IF(INT(($A977-1)/70)+1&gt;CROQUIS_DATOS!$C$1525,70,MOD($A977-1,70)+1)=1,IF(INT(($A977-1)/70)+1&gt;CROQUIS_DATOS!$C$1525,70,MOD($A977-1,70)+1)&gt;2*CROQUIS_DATOS!$C$1541+1),CROQUIS_DATOS!$C$1476,INDEX($H$8:$H$41,MIN(INT((IF(INT(($A977-1)/70)+1&gt;CROQUIS_DATOS!$C$1525,70,MOD($A977-1,70)+1)-2)/2)+1,CROQUIS_DATOS!$C$1541))))*CROQUIS_DATOS!$C$1561*CROQUIS_DATOS!$C$1562),-1000)</f>
        <v>40.2068965517241</v>
      </c>
    </row>
    <row r="978">
      <c r="A978" t="n">
        <v>971</v>
      </c>
      <c r="N978">
        <f>IF(AND(CROQUIS_DATOS!$C$1472=1,1),(CROQUIS_DATOS!$C$1563+(IF(IF(IF(INT(($A978-1)/70)+1&gt;CROQUIS_DATOS!$C$1525,70,MOD($A978-1,70)+1)=1,0,IF(IF(INT(($A978-1)/70)+1&gt;CROQUIS_DATOS!$C$1525,70,MOD($A978-1,70)+1)&gt;2*CROQUIS_DATOS!$C$1541+1,IF(MOD(CROQUIS_DATOS!$C$1541,2)=1,1,0),IF(MOD(MIN(INT((IF(INT(($A978-1)/70)+1&gt;CROQUIS_DATOS!$C$1525,70,MOD($A978-1,70)+1)-2)/2)+1,CROQUIS_DATOS!$C$1541),2)=1,IF(MOD(IF(INT(($A978-1)/70)+1&gt;CROQUIS_DATOS!$C$1525,70,MOD($A978-1,70)+1)-2,2)=0,0,1),IF(MOD(IF(INT(($A978-1)/70)+1&gt;CROQUIS_DATOS!$C$1525,70,MOD($A978-1,70)+1)-2,2)=0,1,0))))=0,(INDEX($E$8:$E$23,MIN(INT(($A978-1)/70)+1,CROQUIS_DATOS!$C$1525))-INDEX($F$8:$F$23,MIN(INT(($A978-1)/70)+1,CROQUIS_DATOS!$C$1525))/2),(INDEX($E$8:$E$23,MIN(INT(($A978-1)/70)+1,CROQUIS_DATOS!$C$1525))+INDEX($F$8:$F$23,MIN(INT(($A978-1)/70)+1,CROQUIS_DATOS!$C$1525))/2)))*CROQUIS_DATOS!$C$1562),-1000)</f>
        <v>82.8189655172414</v>
      </c>
      <c r="O978">
        <f>IF(AND(CROQUIS_DATOS!$C$1472=1,1),(CROQUIS_DATOS!$C$1564+(IF(OR(IF(INT(($A978-1)/70)+1&gt;CROQUIS_DATOS!$C$1525,70,MOD($A978-1,70)+1)=1,IF(INT(($A978-1)/70)+1&gt;CROQUIS_DATOS!$C$1525,70,MOD($A978-1,70)+1)&gt;2*CROQUIS_DATOS!$C$1541+1),CROQUIS_DATOS!$C$1476,INDEX($H$8:$H$41,MIN(INT((IF(INT(($A978-1)/70)+1&gt;CROQUIS_DATOS!$C$1525,70,MOD($A978-1,70)+1)-2)/2)+1,CROQUIS_DATOS!$C$1541))))*CROQUIS_DATOS!$C$1561*CROQUIS_DATOS!$C$1562),-1000)</f>
        <v>40.2068965517241</v>
      </c>
    </row>
    <row r="979">
      <c r="A979" t="n">
        <v>972</v>
      </c>
      <c r="N979">
        <f>IF(AND(CROQUIS_DATOS!$C$1472=1,1),(CROQUIS_DATOS!$C$1563+(IF(IF(IF(INT(($A979-1)/70)+1&gt;CROQUIS_DATOS!$C$1525,70,MOD($A979-1,70)+1)=1,0,IF(IF(INT(($A979-1)/70)+1&gt;CROQUIS_DATOS!$C$1525,70,MOD($A979-1,70)+1)&gt;2*CROQUIS_DATOS!$C$1541+1,IF(MOD(CROQUIS_DATOS!$C$1541,2)=1,1,0),IF(MOD(MIN(INT((IF(INT(($A979-1)/70)+1&gt;CROQUIS_DATOS!$C$1525,70,MOD($A979-1,70)+1)-2)/2)+1,CROQUIS_DATOS!$C$1541),2)=1,IF(MOD(IF(INT(($A979-1)/70)+1&gt;CROQUIS_DATOS!$C$1525,70,MOD($A979-1,70)+1)-2,2)=0,0,1),IF(MOD(IF(INT(($A979-1)/70)+1&gt;CROQUIS_DATOS!$C$1525,70,MOD($A979-1,70)+1)-2,2)=0,1,0))))=0,(INDEX($E$8:$E$23,MIN(INT(($A979-1)/70)+1,CROQUIS_DATOS!$C$1525))-INDEX($F$8:$F$23,MIN(INT(($A979-1)/70)+1,CROQUIS_DATOS!$C$1525))/2),(INDEX($E$8:$E$23,MIN(INT(($A979-1)/70)+1,CROQUIS_DATOS!$C$1525))+INDEX($F$8:$F$23,MIN(INT(($A979-1)/70)+1,CROQUIS_DATOS!$C$1525))/2)))*CROQUIS_DATOS!$C$1562),-1000)</f>
        <v>82.8189655172414</v>
      </c>
      <c r="O979">
        <f>IF(AND(CROQUIS_DATOS!$C$1472=1,1),(CROQUIS_DATOS!$C$1564+(IF(OR(IF(INT(($A979-1)/70)+1&gt;CROQUIS_DATOS!$C$1525,70,MOD($A979-1,70)+1)=1,IF(INT(($A979-1)/70)+1&gt;CROQUIS_DATOS!$C$1525,70,MOD($A979-1,70)+1)&gt;2*CROQUIS_DATOS!$C$1541+1),CROQUIS_DATOS!$C$1476,INDEX($H$8:$H$41,MIN(INT((IF(INT(($A979-1)/70)+1&gt;CROQUIS_DATOS!$C$1525,70,MOD($A979-1,70)+1)-2)/2)+1,CROQUIS_DATOS!$C$1541))))*CROQUIS_DATOS!$C$1561*CROQUIS_DATOS!$C$1562),-1000)</f>
        <v>40.2068965517241</v>
      </c>
    </row>
    <row r="980">
      <c r="A980" t="n">
        <v>973</v>
      </c>
      <c r="N980">
        <f>IF(AND(CROQUIS_DATOS!$C$1472=1,1),(CROQUIS_DATOS!$C$1563+(IF(IF(IF(INT(($A980-1)/70)+1&gt;CROQUIS_DATOS!$C$1525,70,MOD($A980-1,70)+1)=1,0,IF(IF(INT(($A980-1)/70)+1&gt;CROQUIS_DATOS!$C$1525,70,MOD($A980-1,70)+1)&gt;2*CROQUIS_DATOS!$C$1541+1,IF(MOD(CROQUIS_DATOS!$C$1541,2)=1,1,0),IF(MOD(MIN(INT((IF(INT(($A980-1)/70)+1&gt;CROQUIS_DATOS!$C$1525,70,MOD($A980-1,70)+1)-2)/2)+1,CROQUIS_DATOS!$C$1541),2)=1,IF(MOD(IF(INT(($A980-1)/70)+1&gt;CROQUIS_DATOS!$C$1525,70,MOD($A980-1,70)+1)-2,2)=0,0,1),IF(MOD(IF(INT(($A980-1)/70)+1&gt;CROQUIS_DATOS!$C$1525,70,MOD($A980-1,70)+1)-2,2)=0,1,0))))=0,(INDEX($E$8:$E$23,MIN(INT(($A980-1)/70)+1,CROQUIS_DATOS!$C$1525))-INDEX($F$8:$F$23,MIN(INT(($A980-1)/70)+1,CROQUIS_DATOS!$C$1525))/2),(INDEX($E$8:$E$23,MIN(INT(($A980-1)/70)+1,CROQUIS_DATOS!$C$1525))+INDEX($F$8:$F$23,MIN(INT(($A980-1)/70)+1,CROQUIS_DATOS!$C$1525))/2)))*CROQUIS_DATOS!$C$1562),-1000)</f>
        <v>82.8189655172414</v>
      </c>
      <c r="O980">
        <f>IF(AND(CROQUIS_DATOS!$C$1472=1,1),(CROQUIS_DATOS!$C$1564+(IF(OR(IF(INT(($A980-1)/70)+1&gt;CROQUIS_DATOS!$C$1525,70,MOD($A980-1,70)+1)=1,IF(INT(($A980-1)/70)+1&gt;CROQUIS_DATOS!$C$1525,70,MOD($A980-1,70)+1)&gt;2*CROQUIS_DATOS!$C$1541+1),CROQUIS_DATOS!$C$1476,INDEX($H$8:$H$41,MIN(INT((IF(INT(($A980-1)/70)+1&gt;CROQUIS_DATOS!$C$1525,70,MOD($A980-1,70)+1)-2)/2)+1,CROQUIS_DATOS!$C$1541))))*CROQUIS_DATOS!$C$1561*CROQUIS_DATOS!$C$1562),-1000)</f>
        <v>40.2068965517241</v>
      </c>
    </row>
    <row r="981">
      <c r="A981" t="n">
        <v>974</v>
      </c>
      <c r="N981">
        <f>IF(AND(CROQUIS_DATOS!$C$1472=1,1),(CROQUIS_DATOS!$C$1563+(IF(IF(IF(INT(($A981-1)/70)+1&gt;CROQUIS_DATOS!$C$1525,70,MOD($A981-1,70)+1)=1,0,IF(IF(INT(($A981-1)/70)+1&gt;CROQUIS_DATOS!$C$1525,70,MOD($A981-1,70)+1)&gt;2*CROQUIS_DATOS!$C$1541+1,IF(MOD(CROQUIS_DATOS!$C$1541,2)=1,1,0),IF(MOD(MIN(INT((IF(INT(($A981-1)/70)+1&gt;CROQUIS_DATOS!$C$1525,70,MOD($A981-1,70)+1)-2)/2)+1,CROQUIS_DATOS!$C$1541),2)=1,IF(MOD(IF(INT(($A981-1)/70)+1&gt;CROQUIS_DATOS!$C$1525,70,MOD($A981-1,70)+1)-2,2)=0,0,1),IF(MOD(IF(INT(($A981-1)/70)+1&gt;CROQUIS_DATOS!$C$1525,70,MOD($A981-1,70)+1)-2,2)=0,1,0))))=0,(INDEX($E$8:$E$23,MIN(INT(($A981-1)/70)+1,CROQUIS_DATOS!$C$1525))-INDEX($F$8:$F$23,MIN(INT(($A981-1)/70)+1,CROQUIS_DATOS!$C$1525))/2),(INDEX($E$8:$E$23,MIN(INT(($A981-1)/70)+1,CROQUIS_DATOS!$C$1525))+INDEX($F$8:$F$23,MIN(INT(($A981-1)/70)+1,CROQUIS_DATOS!$C$1525))/2)))*CROQUIS_DATOS!$C$1562),-1000)</f>
        <v>82.8189655172414</v>
      </c>
      <c r="O981">
        <f>IF(AND(CROQUIS_DATOS!$C$1472=1,1),(CROQUIS_DATOS!$C$1564+(IF(OR(IF(INT(($A981-1)/70)+1&gt;CROQUIS_DATOS!$C$1525,70,MOD($A981-1,70)+1)=1,IF(INT(($A981-1)/70)+1&gt;CROQUIS_DATOS!$C$1525,70,MOD($A981-1,70)+1)&gt;2*CROQUIS_DATOS!$C$1541+1),CROQUIS_DATOS!$C$1476,INDEX($H$8:$H$41,MIN(INT((IF(INT(($A981-1)/70)+1&gt;CROQUIS_DATOS!$C$1525,70,MOD($A981-1,70)+1)-2)/2)+1,CROQUIS_DATOS!$C$1541))))*CROQUIS_DATOS!$C$1561*CROQUIS_DATOS!$C$1562),-1000)</f>
        <v>40.2068965517241</v>
      </c>
    </row>
    <row r="982">
      <c r="A982" t="n">
        <v>975</v>
      </c>
      <c r="N982">
        <f>IF(AND(CROQUIS_DATOS!$C$1472=1,1),(CROQUIS_DATOS!$C$1563+(IF(IF(IF(INT(($A982-1)/70)+1&gt;CROQUIS_DATOS!$C$1525,70,MOD($A982-1,70)+1)=1,0,IF(IF(INT(($A982-1)/70)+1&gt;CROQUIS_DATOS!$C$1525,70,MOD($A982-1,70)+1)&gt;2*CROQUIS_DATOS!$C$1541+1,IF(MOD(CROQUIS_DATOS!$C$1541,2)=1,1,0),IF(MOD(MIN(INT((IF(INT(($A982-1)/70)+1&gt;CROQUIS_DATOS!$C$1525,70,MOD($A982-1,70)+1)-2)/2)+1,CROQUIS_DATOS!$C$1541),2)=1,IF(MOD(IF(INT(($A982-1)/70)+1&gt;CROQUIS_DATOS!$C$1525,70,MOD($A982-1,70)+1)-2,2)=0,0,1),IF(MOD(IF(INT(($A982-1)/70)+1&gt;CROQUIS_DATOS!$C$1525,70,MOD($A982-1,70)+1)-2,2)=0,1,0))))=0,(INDEX($E$8:$E$23,MIN(INT(($A982-1)/70)+1,CROQUIS_DATOS!$C$1525))-INDEX($F$8:$F$23,MIN(INT(($A982-1)/70)+1,CROQUIS_DATOS!$C$1525))/2),(INDEX($E$8:$E$23,MIN(INT(($A982-1)/70)+1,CROQUIS_DATOS!$C$1525))+INDEX($F$8:$F$23,MIN(INT(($A982-1)/70)+1,CROQUIS_DATOS!$C$1525))/2)))*CROQUIS_DATOS!$C$1562),-1000)</f>
        <v>82.8189655172414</v>
      </c>
      <c r="O982">
        <f>IF(AND(CROQUIS_DATOS!$C$1472=1,1),(CROQUIS_DATOS!$C$1564+(IF(OR(IF(INT(($A982-1)/70)+1&gt;CROQUIS_DATOS!$C$1525,70,MOD($A982-1,70)+1)=1,IF(INT(($A982-1)/70)+1&gt;CROQUIS_DATOS!$C$1525,70,MOD($A982-1,70)+1)&gt;2*CROQUIS_DATOS!$C$1541+1),CROQUIS_DATOS!$C$1476,INDEX($H$8:$H$41,MIN(INT((IF(INT(($A982-1)/70)+1&gt;CROQUIS_DATOS!$C$1525,70,MOD($A982-1,70)+1)-2)/2)+1,CROQUIS_DATOS!$C$1541))))*CROQUIS_DATOS!$C$1561*CROQUIS_DATOS!$C$1562),-1000)</f>
        <v>40.2068965517241</v>
      </c>
    </row>
    <row r="983">
      <c r="A983" t="n">
        <v>976</v>
      </c>
      <c r="N983">
        <f>IF(AND(CROQUIS_DATOS!$C$1472=1,1),(CROQUIS_DATOS!$C$1563+(IF(IF(IF(INT(($A983-1)/70)+1&gt;CROQUIS_DATOS!$C$1525,70,MOD($A983-1,70)+1)=1,0,IF(IF(INT(($A983-1)/70)+1&gt;CROQUIS_DATOS!$C$1525,70,MOD($A983-1,70)+1)&gt;2*CROQUIS_DATOS!$C$1541+1,IF(MOD(CROQUIS_DATOS!$C$1541,2)=1,1,0),IF(MOD(MIN(INT((IF(INT(($A983-1)/70)+1&gt;CROQUIS_DATOS!$C$1525,70,MOD($A983-1,70)+1)-2)/2)+1,CROQUIS_DATOS!$C$1541),2)=1,IF(MOD(IF(INT(($A983-1)/70)+1&gt;CROQUIS_DATOS!$C$1525,70,MOD($A983-1,70)+1)-2,2)=0,0,1),IF(MOD(IF(INT(($A983-1)/70)+1&gt;CROQUIS_DATOS!$C$1525,70,MOD($A983-1,70)+1)-2,2)=0,1,0))))=0,(INDEX($E$8:$E$23,MIN(INT(($A983-1)/70)+1,CROQUIS_DATOS!$C$1525))-INDEX($F$8:$F$23,MIN(INT(($A983-1)/70)+1,CROQUIS_DATOS!$C$1525))/2),(INDEX($E$8:$E$23,MIN(INT(($A983-1)/70)+1,CROQUIS_DATOS!$C$1525))+INDEX($F$8:$F$23,MIN(INT(($A983-1)/70)+1,CROQUIS_DATOS!$C$1525))/2)))*CROQUIS_DATOS!$C$1562),-1000)</f>
        <v>82.8189655172414</v>
      </c>
      <c r="O983">
        <f>IF(AND(CROQUIS_DATOS!$C$1472=1,1),(CROQUIS_DATOS!$C$1564+(IF(OR(IF(INT(($A983-1)/70)+1&gt;CROQUIS_DATOS!$C$1525,70,MOD($A983-1,70)+1)=1,IF(INT(($A983-1)/70)+1&gt;CROQUIS_DATOS!$C$1525,70,MOD($A983-1,70)+1)&gt;2*CROQUIS_DATOS!$C$1541+1),CROQUIS_DATOS!$C$1476,INDEX($H$8:$H$41,MIN(INT((IF(INT(($A983-1)/70)+1&gt;CROQUIS_DATOS!$C$1525,70,MOD($A983-1,70)+1)-2)/2)+1,CROQUIS_DATOS!$C$1541))))*CROQUIS_DATOS!$C$1561*CROQUIS_DATOS!$C$1562),-1000)</f>
        <v>40.2068965517241</v>
      </c>
    </row>
    <row r="984">
      <c r="A984" t="n">
        <v>977</v>
      </c>
      <c r="N984">
        <f>IF(AND(CROQUIS_DATOS!$C$1472=1,1),(CROQUIS_DATOS!$C$1563+(IF(IF(IF(INT(($A984-1)/70)+1&gt;CROQUIS_DATOS!$C$1525,70,MOD($A984-1,70)+1)=1,0,IF(IF(INT(($A984-1)/70)+1&gt;CROQUIS_DATOS!$C$1525,70,MOD($A984-1,70)+1)&gt;2*CROQUIS_DATOS!$C$1541+1,IF(MOD(CROQUIS_DATOS!$C$1541,2)=1,1,0),IF(MOD(MIN(INT((IF(INT(($A984-1)/70)+1&gt;CROQUIS_DATOS!$C$1525,70,MOD($A984-1,70)+1)-2)/2)+1,CROQUIS_DATOS!$C$1541),2)=1,IF(MOD(IF(INT(($A984-1)/70)+1&gt;CROQUIS_DATOS!$C$1525,70,MOD($A984-1,70)+1)-2,2)=0,0,1),IF(MOD(IF(INT(($A984-1)/70)+1&gt;CROQUIS_DATOS!$C$1525,70,MOD($A984-1,70)+1)-2,2)=0,1,0))))=0,(INDEX($E$8:$E$23,MIN(INT(($A984-1)/70)+1,CROQUIS_DATOS!$C$1525))-INDEX($F$8:$F$23,MIN(INT(($A984-1)/70)+1,CROQUIS_DATOS!$C$1525))/2),(INDEX($E$8:$E$23,MIN(INT(($A984-1)/70)+1,CROQUIS_DATOS!$C$1525))+INDEX($F$8:$F$23,MIN(INT(($A984-1)/70)+1,CROQUIS_DATOS!$C$1525))/2)))*CROQUIS_DATOS!$C$1562),-1000)</f>
        <v>82.8189655172414</v>
      </c>
      <c r="O984">
        <f>IF(AND(CROQUIS_DATOS!$C$1472=1,1),(CROQUIS_DATOS!$C$1564+(IF(OR(IF(INT(($A984-1)/70)+1&gt;CROQUIS_DATOS!$C$1525,70,MOD($A984-1,70)+1)=1,IF(INT(($A984-1)/70)+1&gt;CROQUIS_DATOS!$C$1525,70,MOD($A984-1,70)+1)&gt;2*CROQUIS_DATOS!$C$1541+1),CROQUIS_DATOS!$C$1476,INDEX($H$8:$H$41,MIN(INT((IF(INT(($A984-1)/70)+1&gt;CROQUIS_DATOS!$C$1525,70,MOD($A984-1,70)+1)-2)/2)+1,CROQUIS_DATOS!$C$1541))))*CROQUIS_DATOS!$C$1561*CROQUIS_DATOS!$C$1562),-1000)</f>
        <v>40.2068965517241</v>
      </c>
    </row>
    <row r="985">
      <c r="A985" t="n">
        <v>978</v>
      </c>
      <c r="N985">
        <f>IF(AND(CROQUIS_DATOS!$C$1472=1,1),(CROQUIS_DATOS!$C$1563+(IF(IF(IF(INT(($A985-1)/70)+1&gt;CROQUIS_DATOS!$C$1525,70,MOD($A985-1,70)+1)=1,0,IF(IF(INT(($A985-1)/70)+1&gt;CROQUIS_DATOS!$C$1525,70,MOD($A985-1,70)+1)&gt;2*CROQUIS_DATOS!$C$1541+1,IF(MOD(CROQUIS_DATOS!$C$1541,2)=1,1,0),IF(MOD(MIN(INT((IF(INT(($A985-1)/70)+1&gt;CROQUIS_DATOS!$C$1525,70,MOD($A985-1,70)+1)-2)/2)+1,CROQUIS_DATOS!$C$1541),2)=1,IF(MOD(IF(INT(($A985-1)/70)+1&gt;CROQUIS_DATOS!$C$1525,70,MOD($A985-1,70)+1)-2,2)=0,0,1),IF(MOD(IF(INT(($A985-1)/70)+1&gt;CROQUIS_DATOS!$C$1525,70,MOD($A985-1,70)+1)-2,2)=0,1,0))))=0,(INDEX($E$8:$E$23,MIN(INT(($A985-1)/70)+1,CROQUIS_DATOS!$C$1525))-INDEX($F$8:$F$23,MIN(INT(($A985-1)/70)+1,CROQUIS_DATOS!$C$1525))/2),(INDEX($E$8:$E$23,MIN(INT(($A985-1)/70)+1,CROQUIS_DATOS!$C$1525))+INDEX($F$8:$F$23,MIN(INT(($A985-1)/70)+1,CROQUIS_DATOS!$C$1525))/2)))*CROQUIS_DATOS!$C$1562),-1000)</f>
        <v>82.8189655172414</v>
      </c>
      <c r="O985">
        <f>IF(AND(CROQUIS_DATOS!$C$1472=1,1),(CROQUIS_DATOS!$C$1564+(IF(OR(IF(INT(($A985-1)/70)+1&gt;CROQUIS_DATOS!$C$1525,70,MOD($A985-1,70)+1)=1,IF(INT(($A985-1)/70)+1&gt;CROQUIS_DATOS!$C$1525,70,MOD($A985-1,70)+1)&gt;2*CROQUIS_DATOS!$C$1541+1),CROQUIS_DATOS!$C$1476,INDEX($H$8:$H$41,MIN(INT((IF(INT(($A985-1)/70)+1&gt;CROQUIS_DATOS!$C$1525,70,MOD($A985-1,70)+1)-2)/2)+1,CROQUIS_DATOS!$C$1541))))*CROQUIS_DATOS!$C$1561*CROQUIS_DATOS!$C$1562),-1000)</f>
        <v>40.2068965517241</v>
      </c>
    </row>
    <row r="986">
      <c r="A986" t="n">
        <v>979</v>
      </c>
      <c r="N986">
        <f>IF(AND(CROQUIS_DATOS!$C$1472=1,1),(CROQUIS_DATOS!$C$1563+(IF(IF(IF(INT(($A986-1)/70)+1&gt;CROQUIS_DATOS!$C$1525,70,MOD($A986-1,70)+1)=1,0,IF(IF(INT(($A986-1)/70)+1&gt;CROQUIS_DATOS!$C$1525,70,MOD($A986-1,70)+1)&gt;2*CROQUIS_DATOS!$C$1541+1,IF(MOD(CROQUIS_DATOS!$C$1541,2)=1,1,0),IF(MOD(MIN(INT((IF(INT(($A986-1)/70)+1&gt;CROQUIS_DATOS!$C$1525,70,MOD($A986-1,70)+1)-2)/2)+1,CROQUIS_DATOS!$C$1541),2)=1,IF(MOD(IF(INT(($A986-1)/70)+1&gt;CROQUIS_DATOS!$C$1525,70,MOD($A986-1,70)+1)-2,2)=0,0,1),IF(MOD(IF(INT(($A986-1)/70)+1&gt;CROQUIS_DATOS!$C$1525,70,MOD($A986-1,70)+1)-2,2)=0,1,0))))=0,(INDEX($E$8:$E$23,MIN(INT(($A986-1)/70)+1,CROQUIS_DATOS!$C$1525))-INDEX($F$8:$F$23,MIN(INT(($A986-1)/70)+1,CROQUIS_DATOS!$C$1525))/2),(INDEX($E$8:$E$23,MIN(INT(($A986-1)/70)+1,CROQUIS_DATOS!$C$1525))+INDEX($F$8:$F$23,MIN(INT(($A986-1)/70)+1,CROQUIS_DATOS!$C$1525))/2)))*CROQUIS_DATOS!$C$1562),-1000)</f>
        <v>82.8189655172414</v>
      </c>
      <c r="O986">
        <f>IF(AND(CROQUIS_DATOS!$C$1472=1,1),(CROQUIS_DATOS!$C$1564+(IF(OR(IF(INT(($A986-1)/70)+1&gt;CROQUIS_DATOS!$C$1525,70,MOD($A986-1,70)+1)=1,IF(INT(($A986-1)/70)+1&gt;CROQUIS_DATOS!$C$1525,70,MOD($A986-1,70)+1)&gt;2*CROQUIS_DATOS!$C$1541+1),CROQUIS_DATOS!$C$1476,INDEX($H$8:$H$41,MIN(INT((IF(INT(($A986-1)/70)+1&gt;CROQUIS_DATOS!$C$1525,70,MOD($A986-1,70)+1)-2)/2)+1,CROQUIS_DATOS!$C$1541))))*CROQUIS_DATOS!$C$1561*CROQUIS_DATOS!$C$1562),-1000)</f>
        <v>40.2068965517241</v>
      </c>
    </row>
    <row r="987">
      <c r="A987" t="n">
        <v>980</v>
      </c>
      <c r="N987">
        <f>IF(AND(CROQUIS_DATOS!$C$1472=1,1),(CROQUIS_DATOS!$C$1563+(IF(IF(IF(INT(($A987-1)/70)+1&gt;CROQUIS_DATOS!$C$1525,70,MOD($A987-1,70)+1)=1,0,IF(IF(INT(($A987-1)/70)+1&gt;CROQUIS_DATOS!$C$1525,70,MOD($A987-1,70)+1)&gt;2*CROQUIS_DATOS!$C$1541+1,IF(MOD(CROQUIS_DATOS!$C$1541,2)=1,1,0),IF(MOD(MIN(INT((IF(INT(($A987-1)/70)+1&gt;CROQUIS_DATOS!$C$1525,70,MOD($A987-1,70)+1)-2)/2)+1,CROQUIS_DATOS!$C$1541),2)=1,IF(MOD(IF(INT(($A987-1)/70)+1&gt;CROQUIS_DATOS!$C$1525,70,MOD($A987-1,70)+1)-2,2)=0,0,1),IF(MOD(IF(INT(($A987-1)/70)+1&gt;CROQUIS_DATOS!$C$1525,70,MOD($A987-1,70)+1)-2,2)=0,1,0))))=0,(INDEX($E$8:$E$23,MIN(INT(($A987-1)/70)+1,CROQUIS_DATOS!$C$1525))-INDEX($F$8:$F$23,MIN(INT(($A987-1)/70)+1,CROQUIS_DATOS!$C$1525))/2),(INDEX($E$8:$E$23,MIN(INT(($A987-1)/70)+1,CROQUIS_DATOS!$C$1525))+INDEX($F$8:$F$23,MIN(INT(($A987-1)/70)+1,CROQUIS_DATOS!$C$1525))/2)))*CROQUIS_DATOS!$C$1562),-1000)</f>
        <v>82.8189655172414</v>
      </c>
      <c r="O987">
        <f>IF(AND(CROQUIS_DATOS!$C$1472=1,1),(CROQUIS_DATOS!$C$1564+(IF(OR(IF(INT(($A987-1)/70)+1&gt;CROQUIS_DATOS!$C$1525,70,MOD($A987-1,70)+1)=1,IF(INT(($A987-1)/70)+1&gt;CROQUIS_DATOS!$C$1525,70,MOD($A987-1,70)+1)&gt;2*CROQUIS_DATOS!$C$1541+1),CROQUIS_DATOS!$C$1476,INDEX($H$8:$H$41,MIN(INT((IF(INT(($A987-1)/70)+1&gt;CROQUIS_DATOS!$C$1525,70,MOD($A987-1,70)+1)-2)/2)+1,CROQUIS_DATOS!$C$1541))))*CROQUIS_DATOS!$C$1561*CROQUIS_DATOS!$C$1562),-1000)</f>
        <v>40.2068965517241</v>
      </c>
    </row>
    <row r="988">
      <c r="A988" t="n">
        <v>981</v>
      </c>
      <c r="N988">
        <f>IF(AND(CROQUIS_DATOS!$C$1472=1,1),(CROQUIS_DATOS!$C$1563+(IF(IF(IF(INT(($A988-1)/70)+1&gt;CROQUIS_DATOS!$C$1525,70,MOD($A988-1,70)+1)=1,0,IF(IF(INT(($A988-1)/70)+1&gt;CROQUIS_DATOS!$C$1525,70,MOD($A988-1,70)+1)&gt;2*CROQUIS_DATOS!$C$1541+1,IF(MOD(CROQUIS_DATOS!$C$1541,2)=1,1,0),IF(MOD(MIN(INT((IF(INT(($A988-1)/70)+1&gt;CROQUIS_DATOS!$C$1525,70,MOD($A988-1,70)+1)-2)/2)+1,CROQUIS_DATOS!$C$1541),2)=1,IF(MOD(IF(INT(($A988-1)/70)+1&gt;CROQUIS_DATOS!$C$1525,70,MOD($A988-1,70)+1)-2,2)=0,0,1),IF(MOD(IF(INT(($A988-1)/70)+1&gt;CROQUIS_DATOS!$C$1525,70,MOD($A988-1,70)+1)-2,2)=0,1,0))))=0,(INDEX($E$8:$E$23,MIN(INT(($A988-1)/70)+1,CROQUIS_DATOS!$C$1525))-INDEX($F$8:$F$23,MIN(INT(($A988-1)/70)+1,CROQUIS_DATOS!$C$1525))/2),(INDEX($E$8:$E$23,MIN(INT(($A988-1)/70)+1,CROQUIS_DATOS!$C$1525))+INDEX($F$8:$F$23,MIN(INT(($A988-1)/70)+1,CROQUIS_DATOS!$C$1525))/2)))*CROQUIS_DATOS!$C$1562),-1000)</f>
        <v>82.8189655172414</v>
      </c>
      <c r="O988">
        <f>IF(AND(CROQUIS_DATOS!$C$1472=1,1),(CROQUIS_DATOS!$C$1564+(IF(OR(IF(INT(($A988-1)/70)+1&gt;CROQUIS_DATOS!$C$1525,70,MOD($A988-1,70)+1)=1,IF(INT(($A988-1)/70)+1&gt;CROQUIS_DATOS!$C$1525,70,MOD($A988-1,70)+1)&gt;2*CROQUIS_DATOS!$C$1541+1),CROQUIS_DATOS!$C$1476,INDEX($H$8:$H$41,MIN(INT((IF(INT(($A988-1)/70)+1&gt;CROQUIS_DATOS!$C$1525,70,MOD($A988-1,70)+1)-2)/2)+1,CROQUIS_DATOS!$C$1541))))*CROQUIS_DATOS!$C$1561*CROQUIS_DATOS!$C$1562),-1000)</f>
        <v>40.2068965517241</v>
      </c>
    </row>
    <row r="989">
      <c r="A989" t="n">
        <v>982</v>
      </c>
      <c r="N989">
        <f>IF(AND(CROQUIS_DATOS!$C$1472=1,1),(CROQUIS_DATOS!$C$1563+(IF(IF(IF(INT(($A989-1)/70)+1&gt;CROQUIS_DATOS!$C$1525,70,MOD($A989-1,70)+1)=1,0,IF(IF(INT(($A989-1)/70)+1&gt;CROQUIS_DATOS!$C$1525,70,MOD($A989-1,70)+1)&gt;2*CROQUIS_DATOS!$C$1541+1,IF(MOD(CROQUIS_DATOS!$C$1541,2)=1,1,0),IF(MOD(MIN(INT((IF(INT(($A989-1)/70)+1&gt;CROQUIS_DATOS!$C$1525,70,MOD($A989-1,70)+1)-2)/2)+1,CROQUIS_DATOS!$C$1541),2)=1,IF(MOD(IF(INT(($A989-1)/70)+1&gt;CROQUIS_DATOS!$C$1525,70,MOD($A989-1,70)+1)-2,2)=0,0,1),IF(MOD(IF(INT(($A989-1)/70)+1&gt;CROQUIS_DATOS!$C$1525,70,MOD($A989-1,70)+1)-2,2)=0,1,0))))=0,(INDEX($E$8:$E$23,MIN(INT(($A989-1)/70)+1,CROQUIS_DATOS!$C$1525))-INDEX($F$8:$F$23,MIN(INT(($A989-1)/70)+1,CROQUIS_DATOS!$C$1525))/2),(INDEX($E$8:$E$23,MIN(INT(($A989-1)/70)+1,CROQUIS_DATOS!$C$1525))+INDEX($F$8:$F$23,MIN(INT(($A989-1)/70)+1,CROQUIS_DATOS!$C$1525))/2)))*CROQUIS_DATOS!$C$1562),-1000)</f>
        <v>82.8189655172414</v>
      </c>
      <c r="O989">
        <f>IF(AND(CROQUIS_DATOS!$C$1472=1,1),(CROQUIS_DATOS!$C$1564+(IF(OR(IF(INT(($A989-1)/70)+1&gt;CROQUIS_DATOS!$C$1525,70,MOD($A989-1,70)+1)=1,IF(INT(($A989-1)/70)+1&gt;CROQUIS_DATOS!$C$1525,70,MOD($A989-1,70)+1)&gt;2*CROQUIS_DATOS!$C$1541+1),CROQUIS_DATOS!$C$1476,INDEX($H$8:$H$41,MIN(INT((IF(INT(($A989-1)/70)+1&gt;CROQUIS_DATOS!$C$1525,70,MOD($A989-1,70)+1)-2)/2)+1,CROQUIS_DATOS!$C$1541))))*CROQUIS_DATOS!$C$1561*CROQUIS_DATOS!$C$1562),-1000)</f>
        <v>40.2068965517241</v>
      </c>
    </row>
    <row r="990">
      <c r="A990" t="n">
        <v>983</v>
      </c>
      <c r="N990">
        <f>IF(AND(CROQUIS_DATOS!$C$1472=1,1),(CROQUIS_DATOS!$C$1563+(IF(IF(IF(INT(($A990-1)/70)+1&gt;CROQUIS_DATOS!$C$1525,70,MOD($A990-1,70)+1)=1,0,IF(IF(INT(($A990-1)/70)+1&gt;CROQUIS_DATOS!$C$1525,70,MOD($A990-1,70)+1)&gt;2*CROQUIS_DATOS!$C$1541+1,IF(MOD(CROQUIS_DATOS!$C$1541,2)=1,1,0),IF(MOD(MIN(INT((IF(INT(($A990-1)/70)+1&gt;CROQUIS_DATOS!$C$1525,70,MOD($A990-1,70)+1)-2)/2)+1,CROQUIS_DATOS!$C$1541),2)=1,IF(MOD(IF(INT(($A990-1)/70)+1&gt;CROQUIS_DATOS!$C$1525,70,MOD($A990-1,70)+1)-2,2)=0,0,1),IF(MOD(IF(INT(($A990-1)/70)+1&gt;CROQUIS_DATOS!$C$1525,70,MOD($A990-1,70)+1)-2,2)=0,1,0))))=0,(INDEX($E$8:$E$23,MIN(INT(($A990-1)/70)+1,CROQUIS_DATOS!$C$1525))-INDEX($F$8:$F$23,MIN(INT(($A990-1)/70)+1,CROQUIS_DATOS!$C$1525))/2),(INDEX($E$8:$E$23,MIN(INT(($A990-1)/70)+1,CROQUIS_DATOS!$C$1525))+INDEX($F$8:$F$23,MIN(INT(($A990-1)/70)+1,CROQUIS_DATOS!$C$1525))/2)))*CROQUIS_DATOS!$C$1562),-1000)</f>
        <v>82.8189655172414</v>
      </c>
      <c r="O990">
        <f>IF(AND(CROQUIS_DATOS!$C$1472=1,1),(CROQUIS_DATOS!$C$1564+(IF(OR(IF(INT(($A990-1)/70)+1&gt;CROQUIS_DATOS!$C$1525,70,MOD($A990-1,70)+1)=1,IF(INT(($A990-1)/70)+1&gt;CROQUIS_DATOS!$C$1525,70,MOD($A990-1,70)+1)&gt;2*CROQUIS_DATOS!$C$1541+1),CROQUIS_DATOS!$C$1476,INDEX($H$8:$H$41,MIN(INT((IF(INT(($A990-1)/70)+1&gt;CROQUIS_DATOS!$C$1525,70,MOD($A990-1,70)+1)-2)/2)+1,CROQUIS_DATOS!$C$1541))))*CROQUIS_DATOS!$C$1561*CROQUIS_DATOS!$C$1562),-1000)</f>
        <v>40.2068965517241</v>
      </c>
    </row>
    <row r="991">
      <c r="A991" t="n">
        <v>984</v>
      </c>
      <c r="N991">
        <f>IF(AND(CROQUIS_DATOS!$C$1472=1,1),(CROQUIS_DATOS!$C$1563+(IF(IF(IF(INT(($A991-1)/70)+1&gt;CROQUIS_DATOS!$C$1525,70,MOD($A991-1,70)+1)=1,0,IF(IF(INT(($A991-1)/70)+1&gt;CROQUIS_DATOS!$C$1525,70,MOD($A991-1,70)+1)&gt;2*CROQUIS_DATOS!$C$1541+1,IF(MOD(CROQUIS_DATOS!$C$1541,2)=1,1,0),IF(MOD(MIN(INT((IF(INT(($A991-1)/70)+1&gt;CROQUIS_DATOS!$C$1525,70,MOD($A991-1,70)+1)-2)/2)+1,CROQUIS_DATOS!$C$1541),2)=1,IF(MOD(IF(INT(($A991-1)/70)+1&gt;CROQUIS_DATOS!$C$1525,70,MOD($A991-1,70)+1)-2,2)=0,0,1),IF(MOD(IF(INT(($A991-1)/70)+1&gt;CROQUIS_DATOS!$C$1525,70,MOD($A991-1,70)+1)-2,2)=0,1,0))))=0,(INDEX($E$8:$E$23,MIN(INT(($A991-1)/70)+1,CROQUIS_DATOS!$C$1525))-INDEX($F$8:$F$23,MIN(INT(($A991-1)/70)+1,CROQUIS_DATOS!$C$1525))/2),(INDEX($E$8:$E$23,MIN(INT(($A991-1)/70)+1,CROQUIS_DATOS!$C$1525))+INDEX($F$8:$F$23,MIN(INT(($A991-1)/70)+1,CROQUIS_DATOS!$C$1525))/2)))*CROQUIS_DATOS!$C$1562),-1000)</f>
        <v>82.8189655172414</v>
      </c>
      <c r="O991">
        <f>IF(AND(CROQUIS_DATOS!$C$1472=1,1),(CROQUIS_DATOS!$C$1564+(IF(OR(IF(INT(($A991-1)/70)+1&gt;CROQUIS_DATOS!$C$1525,70,MOD($A991-1,70)+1)=1,IF(INT(($A991-1)/70)+1&gt;CROQUIS_DATOS!$C$1525,70,MOD($A991-1,70)+1)&gt;2*CROQUIS_DATOS!$C$1541+1),CROQUIS_DATOS!$C$1476,INDEX($H$8:$H$41,MIN(INT((IF(INT(($A991-1)/70)+1&gt;CROQUIS_DATOS!$C$1525,70,MOD($A991-1,70)+1)-2)/2)+1,CROQUIS_DATOS!$C$1541))))*CROQUIS_DATOS!$C$1561*CROQUIS_DATOS!$C$1562),-1000)</f>
        <v>40.2068965517241</v>
      </c>
    </row>
    <row r="992">
      <c r="A992" t="n">
        <v>985</v>
      </c>
      <c r="N992">
        <f>IF(AND(CROQUIS_DATOS!$C$1472=1,1),(CROQUIS_DATOS!$C$1563+(IF(IF(IF(INT(($A992-1)/70)+1&gt;CROQUIS_DATOS!$C$1525,70,MOD($A992-1,70)+1)=1,0,IF(IF(INT(($A992-1)/70)+1&gt;CROQUIS_DATOS!$C$1525,70,MOD($A992-1,70)+1)&gt;2*CROQUIS_DATOS!$C$1541+1,IF(MOD(CROQUIS_DATOS!$C$1541,2)=1,1,0),IF(MOD(MIN(INT((IF(INT(($A992-1)/70)+1&gt;CROQUIS_DATOS!$C$1525,70,MOD($A992-1,70)+1)-2)/2)+1,CROQUIS_DATOS!$C$1541),2)=1,IF(MOD(IF(INT(($A992-1)/70)+1&gt;CROQUIS_DATOS!$C$1525,70,MOD($A992-1,70)+1)-2,2)=0,0,1),IF(MOD(IF(INT(($A992-1)/70)+1&gt;CROQUIS_DATOS!$C$1525,70,MOD($A992-1,70)+1)-2,2)=0,1,0))))=0,(INDEX($E$8:$E$23,MIN(INT(($A992-1)/70)+1,CROQUIS_DATOS!$C$1525))-INDEX($F$8:$F$23,MIN(INT(($A992-1)/70)+1,CROQUIS_DATOS!$C$1525))/2),(INDEX($E$8:$E$23,MIN(INT(($A992-1)/70)+1,CROQUIS_DATOS!$C$1525))+INDEX($F$8:$F$23,MIN(INT(($A992-1)/70)+1,CROQUIS_DATOS!$C$1525))/2)))*CROQUIS_DATOS!$C$1562),-1000)</f>
        <v>82.8189655172414</v>
      </c>
      <c r="O992">
        <f>IF(AND(CROQUIS_DATOS!$C$1472=1,1),(CROQUIS_DATOS!$C$1564+(IF(OR(IF(INT(($A992-1)/70)+1&gt;CROQUIS_DATOS!$C$1525,70,MOD($A992-1,70)+1)=1,IF(INT(($A992-1)/70)+1&gt;CROQUIS_DATOS!$C$1525,70,MOD($A992-1,70)+1)&gt;2*CROQUIS_DATOS!$C$1541+1),CROQUIS_DATOS!$C$1476,INDEX($H$8:$H$41,MIN(INT((IF(INT(($A992-1)/70)+1&gt;CROQUIS_DATOS!$C$1525,70,MOD($A992-1,70)+1)-2)/2)+1,CROQUIS_DATOS!$C$1541))))*CROQUIS_DATOS!$C$1561*CROQUIS_DATOS!$C$1562),-1000)</f>
        <v>40.2068965517241</v>
      </c>
    </row>
    <row r="993">
      <c r="A993" t="n">
        <v>986</v>
      </c>
      <c r="N993">
        <f>IF(AND(CROQUIS_DATOS!$C$1472=1,1),(CROQUIS_DATOS!$C$1563+(IF(IF(IF(INT(($A993-1)/70)+1&gt;CROQUIS_DATOS!$C$1525,70,MOD($A993-1,70)+1)=1,0,IF(IF(INT(($A993-1)/70)+1&gt;CROQUIS_DATOS!$C$1525,70,MOD($A993-1,70)+1)&gt;2*CROQUIS_DATOS!$C$1541+1,IF(MOD(CROQUIS_DATOS!$C$1541,2)=1,1,0),IF(MOD(MIN(INT((IF(INT(($A993-1)/70)+1&gt;CROQUIS_DATOS!$C$1525,70,MOD($A993-1,70)+1)-2)/2)+1,CROQUIS_DATOS!$C$1541),2)=1,IF(MOD(IF(INT(($A993-1)/70)+1&gt;CROQUIS_DATOS!$C$1525,70,MOD($A993-1,70)+1)-2,2)=0,0,1),IF(MOD(IF(INT(($A993-1)/70)+1&gt;CROQUIS_DATOS!$C$1525,70,MOD($A993-1,70)+1)-2,2)=0,1,0))))=0,(INDEX($E$8:$E$23,MIN(INT(($A993-1)/70)+1,CROQUIS_DATOS!$C$1525))-INDEX($F$8:$F$23,MIN(INT(($A993-1)/70)+1,CROQUIS_DATOS!$C$1525))/2),(INDEX($E$8:$E$23,MIN(INT(($A993-1)/70)+1,CROQUIS_DATOS!$C$1525))+INDEX($F$8:$F$23,MIN(INT(($A993-1)/70)+1,CROQUIS_DATOS!$C$1525))/2)))*CROQUIS_DATOS!$C$1562),-1000)</f>
        <v>82.8189655172414</v>
      </c>
      <c r="O993">
        <f>IF(AND(CROQUIS_DATOS!$C$1472=1,1),(CROQUIS_DATOS!$C$1564+(IF(OR(IF(INT(($A993-1)/70)+1&gt;CROQUIS_DATOS!$C$1525,70,MOD($A993-1,70)+1)=1,IF(INT(($A993-1)/70)+1&gt;CROQUIS_DATOS!$C$1525,70,MOD($A993-1,70)+1)&gt;2*CROQUIS_DATOS!$C$1541+1),CROQUIS_DATOS!$C$1476,INDEX($H$8:$H$41,MIN(INT((IF(INT(($A993-1)/70)+1&gt;CROQUIS_DATOS!$C$1525,70,MOD($A993-1,70)+1)-2)/2)+1,CROQUIS_DATOS!$C$1541))))*CROQUIS_DATOS!$C$1561*CROQUIS_DATOS!$C$1562),-1000)</f>
        <v>40.2068965517241</v>
      </c>
    </row>
    <row r="994">
      <c r="A994" t="n">
        <v>987</v>
      </c>
      <c r="N994">
        <f>IF(AND(CROQUIS_DATOS!$C$1472=1,1),(CROQUIS_DATOS!$C$1563+(IF(IF(IF(INT(($A994-1)/70)+1&gt;CROQUIS_DATOS!$C$1525,70,MOD($A994-1,70)+1)=1,0,IF(IF(INT(($A994-1)/70)+1&gt;CROQUIS_DATOS!$C$1525,70,MOD($A994-1,70)+1)&gt;2*CROQUIS_DATOS!$C$1541+1,IF(MOD(CROQUIS_DATOS!$C$1541,2)=1,1,0),IF(MOD(MIN(INT((IF(INT(($A994-1)/70)+1&gt;CROQUIS_DATOS!$C$1525,70,MOD($A994-1,70)+1)-2)/2)+1,CROQUIS_DATOS!$C$1541),2)=1,IF(MOD(IF(INT(($A994-1)/70)+1&gt;CROQUIS_DATOS!$C$1525,70,MOD($A994-1,70)+1)-2,2)=0,0,1),IF(MOD(IF(INT(($A994-1)/70)+1&gt;CROQUIS_DATOS!$C$1525,70,MOD($A994-1,70)+1)-2,2)=0,1,0))))=0,(INDEX($E$8:$E$23,MIN(INT(($A994-1)/70)+1,CROQUIS_DATOS!$C$1525))-INDEX($F$8:$F$23,MIN(INT(($A994-1)/70)+1,CROQUIS_DATOS!$C$1525))/2),(INDEX($E$8:$E$23,MIN(INT(($A994-1)/70)+1,CROQUIS_DATOS!$C$1525))+INDEX($F$8:$F$23,MIN(INT(($A994-1)/70)+1,CROQUIS_DATOS!$C$1525))/2)))*CROQUIS_DATOS!$C$1562),-1000)</f>
        <v>82.8189655172414</v>
      </c>
      <c r="O994">
        <f>IF(AND(CROQUIS_DATOS!$C$1472=1,1),(CROQUIS_DATOS!$C$1564+(IF(OR(IF(INT(($A994-1)/70)+1&gt;CROQUIS_DATOS!$C$1525,70,MOD($A994-1,70)+1)=1,IF(INT(($A994-1)/70)+1&gt;CROQUIS_DATOS!$C$1525,70,MOD($A994-1,70)+1)&gt;2*CROQUIS_DATOS!$C$1541+1),CROQUIS_DATOS!$C$1476,INDEX($H$8:$H$41,MIN(INT((IF(INT(($A994-1)/70)+1&gt;CROQUIS_DATOS!$C$1525,70,MOD($A994-1,70)+1)-2)/2)+1,CROQUIS_DATOS!$C$1541))))*CROQUIS_DATOS!$C$1561*CROQUIS_DATOS!$C$1562),-1000)</f>
        <v>40.2068965517241</v>
      </c>
    </row>
    <row r="995">
      <c r="A995" t="n">
        <v>988</v>
      </c>
      <c r="N995">
        <f>IF(AND(CROQUIS_DATOS!$C$1472=1,1),(CROQUIS_DATOS!$C$1563+(IF(IF(IF(INT(($A995-1)/70)+1&gt;CROQUIS_DATOS!$C$1525,70,MOD($A995-1,70)+1)=1,0,IF(IF(INT(($A995-1)/70)+1&gt;CROQUIS_DATOS!$C$1525,70,MOD($A995-1,70)+1)&gt;2*CROQUIS_DATOS!$C$1541+1,IF(MOD(CROQUIS_DATOS!$C$1541,2)=1,1,0),IF(MOD(MIN(INT((IF(INT(($A995-1)/70)+1&gt;CROQUIS_DATOS!$C$1525,70,MOD($A995-1,70)+1)-2)/2)+1,CROQUIS_DATOS!$C$1541),2)=1,IF(MOD(IF(INT(($A995-1)/70)+1&gt;CROQUIS_DATOS!$C$1525,70,MOD($A995-1,70)+1)-2,2)=0,0,1),IF(MOD(IF(INT(($A995-1)/70)+1&gt;CROQUIS_DATOS!$C$1525,70,MOD($A995-1,70)+1)-2,2)=0,1,0))))=0,(INDEX($E$8:$E$23,MIN(INT(($A995-1)/70)+1,CROQUIS_DATOS!$C$1525))-INDEX($F$8:$F$23,MIN(INT(($A995-1)/70)+1,CROQUIS_DATOS!$C$1525))/2),(INDEX($E$8:$E$23,MIN(INT(($A995-1)/70)+1,CROQUIS_DATOS!$C$1525))+INDEX($F$8:$F$23,MIN(INT(($A995-1)/70)+1,CROQUIS_DATOS!$C$1525))/2)))*CROQUIS_DATOS!$C$1562),-1000)</f>
        <v>82.8189655172414</v>
      </c>
      <c r="O995">
        <f>IF(AND(CROQUIS_DATOS!$C$1472=1,1),(CROQUIS_DATOS!$C$1564+(IF(OR(IF(INT(($A995-1)/70)+1&gt;CROQUIS_DATOS!$C$1525,70,MOD($A995-1,70)+1)=1,IF(INT(($A995-1)/70)+1&gt;CROQUIS_DATOS!$C$1525,70,MOD($A995-1,70)+1)&gt;2*CROQUIS_DATOS!$C$1541+1),CROQUIS_DATOS!$C$1476,INDEX($H$8:$H$41,MIN(INT((IF(INT(($A995-1)/70)+1&gt;CROQUIS_DATOS!$C$1525,70,MOD($A995-1,70)+1)-2)/2)+1,CROQUIS_DATOS!$C$1541))))*CROQUIS_DATOS!$C$1561*CROQUIS_DATOS!$C$1562),-1000)</f>
        <v>40.2068965517241</v>
      </c>
    </row>
    <row r="996">
      <c r="A996" t="n">
        <v>989</v>
      </c>
      <c r="N996">
        <f>IF(AND(CROQUIS_DATOS!$C$1472=1,1),(CROQUIS_DATOS!$C$1563+(IF(IF(IF(INT(($A996-1)/70)+1&gt;CROQUIS_DATOS!$C$1525,70,MOD($A996-1,70)+1)=1,0,IF(IF(INT(($A996-1)/70)+1&gt;CROQUIS_DATOS!$C$1525,70,MOD($A996-1,70)+1)&gt;2*CROQUIS_DATOS!$C$1541+1,IF(MOD(CROQUIS_DATOS!$C$1541,2)=1,1,0),IF(MOD(MIN(INT((IF(INT(($A996-1)/70)+1&gt;CROQUIS_DATOS!$C$1525,70,MOD($A996-1,70)+1)-2)/2)+1,CROQUIS_DATOS!$C$1541),2)=1,IF(MOD(IF(INT(($A996-1)/70)+1&gt;CROQUIS_DATOS!$C$1525,70,MOD($A996-1,70)+1)-2,2)=0,0,1),IF(MOD(IF(INT(($A996-1)/70)+1&gt;CROQUIS_DATOS!$C$1525,70,MOD($A996-1,70)+1)-2,2)=0,1,0))))=0,(INDEX($E$8:$E$23,MIN(INT(($A996-1)/70)+1,CROQUIS_DATOS!$C$1525))-INDEX($F$8:$F$23,MIN(INT(($A996-1)/70)+1,CROQUIS_DATOS!$C$1525))/2),(INDEX($E$8:$E$23,MIN(INT(($A996-1)/70)+1,CROQUIS_DATOS!$C$1525))+INDEX($F$8:$F$23,MIN(INT(($A996-1)/70)+1,CROQUIS_DATOS!$C$1525))/2)))*CROQUIS_DATOS!$C$1562),-1000)</f>
        <v>82.8189655172414</v>
      </c>
      <c r="O996">
        <f>IF(AND(CROQUIS_DATOS!$C$1472=1,1),(CROQUIS_DATOS!$C$1564+(IF(OR(IF(INT(($A996-1)/70)+1&gt;CROQUIS_DATOS!$C$1525,70,MOD($A996-1,70)+1)=1,IF(INT(($A996-1)/70)+1&gt;CROQUIS_DATOS!$C$1525,70,MOD($A996-1,70)+1)&gt;2*CROQUIS_DATOS!$C$1541+1),CROQUIS_DATOS!$C$1476,INDEX($H$8:$H$41,MIN(INT((IF(INT(($A996-1)/70)+1&gt;CROQUIS_DATOS!$C$1525,70,MOD($A996-1,70)+1)-2)/2)+1,CROQUIS_DATOS!$C$1541))))*CROQUIS_DATOS!$C$1561*CROQUIS_DATOS!$C$1562),-1000)</f>
        <v>40.2068965517241</v>
      </c>
    </row>
    <row r="997">
      <c r="A997" t="n">
        <v>990</v>
      </c>
      <c r="N997">
        <f>IF(AND(CROQUIS_DATOS!$C$1472=1,1),(CROQUIS_DATOS!$C$1563+(IF(IF(IF(INT(($A997-1)/70)+1&gt;CROQUIS_DATOS!$C$1525,70,MOD($A997-1,70)+1)=1,0,IF(IF(INT(($A997-1)/70)+1&gt;CROQUIS_DATOS!$C$1525,70,MOD($A997-1,70)+1)&gt;2*CROQUIS_DATOS!$C$1541+1,IF(MOD(CROQUIS_DATOS!$C$1541,2)=1,1,0),IF(MOD(MIN(INT((IF(INT(($A997-1)/70)+1&gt;CROQUIS_DATOS!$C$1525,70,MOD($A997-1,70)+1)-2)/2)+1,CROQUIS_DATOS!$C$1541),2)=1,IF(MOD(IF(INT(($A997-1)/70)+1&gt;CROQUIS_DATOS!$C$1525,70,MOD($A997-1,70)+1)-2,2)=0,0,1),IF(MOD(IF(INT(($A997-1)/70)+1&gt;CROQUIS_DATOS!$C$1525,70,MOD($A997-1,70)+1)-2,2)=0,1,0))))=0,(INDEX($E$8:$E$23,MIN(INT(($A997-1)/70)+1,CROQUIS_DATOS!$C$1525))-INDEX($F$8:$F$23,MIN(INT(($A997-1)/70)+1,CROQUIS_DATOS!$C$1525))/2),(INDEX($E$8:$E$23,MIN(INT(($A997-1)/70)+1,CROQUIS_DATOS!$C$1525))+INDEX($F$8:$F$23,MIN(INT(($A997-1)/70)+1,CROQUIS_DATOS!$C$1525))/2)))*CROQUIS_DATOS!$C$1562),-1000)</f>
        <v>82.8189655172414</v>
      </c>
      <c r="O997">
        <f>IF(AND(CROQUIS_DATOS!$C$1472=1,1),(CROQUIS_DATOS!$C$1564+(IF(OR(IF(INT(($A997-1)/70)+1&gt;CROQUIS_DATOS!$C$1525,70,MOD($A997-1,70)+1)=1,IF(INT(($A997-1)/70)+1&gt;CROQUIS_DATOS!$C$1525,70,MOD($A997-1,70)+1)&gt;2*CROQUIS_DATOS!$C$1541+1),CROQUIS_DATOS!$C$1476,INDEX($H$8:$H$41,MIN(INT((IF(INT(($A997-1)/70)+1&gt;CROQUIS_DATOS!$C$1525,70,MOD($A997-1,70)+1)-2)/2)+1,CROQUIS_DATOS!$C$1541))))*CROQUIS_DATOS!$C$1561*CROQUIS_DATOS!$C$1562),-1000)</f>
        <v>40.2068965517241</v>
      </c>
    </row>
    <row r="998">
      <c r="A998" t="n">
        <v>991</v>
      </c>
      <c r="N998">
        <f>IF(AND(CROQUIS_DATOS!$C$1472=1,1),(CROQUIS_DATOS!$C$1563+(IF(IF(IF(INT(($A998-1)/70)+1&gt;CROQUIS_DATOS!$C$1525,70,MOD($A998-1,70)+1)=1,0,IF(IF(INT(($A998-1)/70)+1&gt;CROQUIS_DATOS!$C$1525,70,MOD($A998-1,70)+1)&gt;2*CROQUIS_DATOS!$C$1541+1,IF(MOD(CROQUIS_DATOS!$C$1541,2)=1,1,0),IF(MOD(MIN(INT((IF(INT(($A998-1)/70)+1&gt;CROQUIS_DATOS!$C$1525,70,MOD($A998-1,70)+1)-2)/2)+1,CROQUIS_DATOS!$C$1541),2)=1,IF(MOD(IF(INT(($A998-1)/70)+1&gt;CROQUIS_DATOS!$C$1525,70,MOD($A998-1,70)+1)-2,2)=0,0,1),IF(MOD(IF(INT(($A998-1)/70)+1&gt;CROQUIS_DATOS!$C$1525,70,MOD($A998-1,70)+1)-2,2)=0,1,0))))=0,(INDEX($E$8:$E$23,MIN(INT(($A998-1)/70)+1,CROQUIS_DATOS!$C$1525))-INDEX($F$8:$F$23,MIN(INT(($A998-1)/70)+1,CROQUIS_DATOS!$C$1525))/2),(INDEX($E$8:$E$23,MIN(INT(($A998-1)/70)+1,CROQUIS_DATOS!$C$1525))+INDEX($F$8:$F$23,MIN(INT(($A998-1)/70)+1,CROQUIS_DATOS!$C$1525))/2)))*CROQUIS_DATOS!$C$1562),-1000)</f>
        <v>82.8189655172414</v>
      </c>
      <c r="O998">
        <f>IF(AND(CROQUIS_DATOS!$C$1472=1,1),(CROQUIS_DATOS!$C$1564+(IF(OR(IF(INT(($A998-1)/70)+1&gt;CROQUIS_DATOS!$C$1525,70,MOD($A998-1,70)+1)=1,IF(INT(($A998-1)/70)+1&gt;CROQUIS_DATOS!$C$1525,70,MOD($A998-1,70)+1)&gt;2*CROQUIS_DATOS!$C$1541+1),CROQUIS_DATOS!$C$1476,INDEX($H$8:$H$41,MIN(INT((IF(INT(($A998-1)/70)+1&gt;CROQUIS_DATOS!$C$1525,70,MOD($A998-1,70)+1)-2)/2)+1,CROQUIS_DATOS!$C$1541))))*CROQUIS_DATOS!$C$1561*CROQUIS_DATOS!$C$1562),-1000)</f>
        <v>40.2068965517241</v>
      </c>
    </row>
    <row r="999">
      <c r="A999" t="n">
        <v>992</v>
      </c>
      <c r="N999">
        <f>IF(AND(CROQUIS_DATOS!$C$1472=1,1),(CROQUIS_DATOS!$C$1563+(IF(IF(IF(INT(($A999-1)/70)+1&gt;CROQUIS_DATOS!$C$1525,70,MOD($A999-1,70)+1)=1,0,IF(IF(INT(($A999-1)/70)+1&gt;CROQUIS_DATOS!$C$1525,70,MOD($A999-1,70)+1)&gt;2*CROQUIS_DATOS!$C$1541+1,IF(MOD(CROQUIS_DATOS!$C$1541,2)=1,1,0),IF(MOD(MIN(INT((IF(INT(($A999-1)/70)+1&gt;CROQUIS_DATOS!$C$1525,70,MOD($A999-1,70)+1)-2)/2)+1,CROQUIS_DATOS!$C$1541),2)=1,IF(MOD(IF(INT(($A999-1)/70)+1&gt;CROQUIS_DATOS!$C$1525,70,MOD($A999-1,70)+1)-2,2)=0,0,1),IF(MOD(IF(INT(($A999-1)/70)+1&gt;CROQUIS_DATOS!$C$1525,70,MOD($A999-1,70)+1)-2,2)=0,1,0))))=0,(INDEX($E$8:$E$23,MIN(INT(($A999-1)/70)+1,CROQUIS_DATOS!$C$1525))-INDEX($F$8:$F$23,MIN(INT(($A999-1)/70)+1,CROQUIS_DATOS!$C$1525))/2),(INDEX($E$8:$E$23,MIN(INT(($A999-1)/70)+1,CROQUIS_DATOS!$C$1525))+INDEX($F$8:$F$23,MIN(INT(($A999-1)/70)+1,CROQUIS_DATOS!$C$1525))/2)))*CROQUIS_DATOS!$C$1562),-1000)</f>
        <v>82.8189655172414</v>
      </c>
      <c r="O999">
        <f>IF(AND(CROQUIS_DATOS!$C$1472=1,1),(CROQUIS_DATOS!$C$1564+(IF(OR(IF(INT(($A999-1)/70)+1&gt;CROQUIS_DATOS!$C$1525,70,MOD($A999-1,70)+1)=1,IF(INT(($A999-1)/70)+1&gt;CROQUIS_DATOS!$C$1525,70,MOD($A999-1,70)+1)&gt;2*CROQUIS_DATOS!$C$1541+1),CROQUIS_DATOS!$C$1476,INDEX($H$8:$H$41,MIN(INT((IF(INT(($A999-1)/70)+1&gt;CROQUIS_DATOS!$C$1525,70,MOD($A999-1,70)+1)-2)/2)+1,CROQUIS_DATOS!$C$1541))))*CROQUIS_DATOS!$C$1561*CROQUIS_DATOS!$C$1562),-1000)</f>
        <v>40.2068965517241</v>
      </c>
    </row>
    <row r="1000">
      <c r="A1000" t="n">
        <v>993</v>
      </c>
      <c r="N1000">
        <f>IF(AND(CROQUIS_DATOS!$C$1472=1,1),(CROQUIS_DATOS!$C$1563+(IF(IF(IF(INT(($A1000-1)/70)+1&gt;CROQUIS_DATOS!$C$1525,70,MOD($A1000-1,70)+1)=1,0,IF(IF(INT(($A1000-1)/70)+1&gt;CROQUIS_DATOS!$C$1525,70,MOD($A1000-1,70)+1)&gt;2*CROQUIS_DATOS!$C$1541+1,IF(MOD(CROQUIS_DATOS!$C$1541,2)=1,1,0),IF(MOD(MIN(INT((IF(INT(($A1000-1)/70)+1&gt;CROQUIS_DATOS!$C$1525,70,MOD($A1000-1,70)+1)-2)/2)+1,CROQUIS_DATOS!$C$1541),2)=1,IF(MOD(IF(INT(($A1000-1)/70)+1&gt;CROQUIS_DATOS!$C$1525,70,MOD($A1000-1,70)+1)-2,2)=0,0,1),IF(MOD(IF(INT(($A1000-1)/70)+1&gt;CROQUIS_DATOS!$C$1525,70,MOD($A1000-1,70)+1)-2,2)=0,1,0))))=0,(INDEX($E$8:$E$23,MIN(INT(($A1000-1)/70)+1,CROQUIS_DATOS!$C$1525))-INDEX($F$8:$F$23,MIN(INT(($A1000-1)/70)+1,CROQUIS_DATOS!$C$1525))/2),(INDEX($E$8:$E$23,MIN(INT(($A1000-1)/70)+1,CROQUIS_DATOS!$C$1525))+INDEX($F$8:$F$23,MIN(INT(($A1000-1)/70)+1,CROQUIS_DATOS!$C$1525))/2)))*CROQUIS_DATOS!$C$1562),-1000)</f>
        <v>82.8189655172414</v>
      </c>
      <c r="O1000">
        <f>IF(AND(CROQUIS_DATOS!$C$1472=1,1),(CROQUIS_DATOS!$C$1564+(IF(OR(IF(INT(($A1000-1)/70)+1&gt;CROQUIS_DATOS!$C$1525,70,MOD($A1000-1,70)+1)=1,IF(INT(($A1000-1)/70)+1&gt;CROQUIS_DATOS!$C$1525,70,MOD($A1000-1,70)+1)&gt;2*CROQUIS_DATOS!$C$1541+1),CROQUIS_DATOS!$C$1476,INDEX($H$8:$H$41,MIN(INT((IF(INT(($A1000-1)/70)+1&gt;CROQUIS_DATOS!$C$1525,70,MOD($A1000-1,70)+1)-2)/2)+1,CROQUIS_DATOS!$C$1541))))*CROQUIS_DATOS!$C$1561*CROQUIS_DATOS!$C$1562),-1000)</f>
        <v>40.2068965517241</v>
      </c>
    </row>
    <row r="1001">
      <c r="A1001" t="n">
        <v>994</v>
      </c>
      <c r="N1001">
        <f>IF(AND(CROQUIS_DATOS!$C$1472=1,1),(CROQUIS_DATOS!$C$1563+(IF(IF(IF(INT(($A1001-1)/70)+1&gt;CROQUIS_DATOS!$C$1525,70,MOD($A1001-1,70)+1)=1,0,IF(IF(INT(($A1001-1)/70)+1&gt;CROQUIS_DATOS!$C$1525,70,MOD($A1001-1,70)+1)&gt;2*CROQUIS_DATOS!$C$1541+1,IF(MOD(CROQUIS_DATOS!$C$1541,2)=1,1,0),IF(MOD(MIN(INT((IF(INT(($A1001-1)/70)+1&gt;CROQUIS_DATOS!$C$1525,70,MOD($A1001-1,70)+1)-2)/2)+1,CROQUIS_DATOS!$C$1541),2)=1,IF(MOD(IF(INT(($A1001-1)/70)+1&gt;CROQUIS_DATOS!$C$1525,70,MOD($A1001-1,70)+1)-2,2)=0,0,1),IF(MOD(IF(INT(($A1001-1)/70)+1&gt;CROQUIS_DATOS!$C$1525,70,MOD($A1001-1,70)+1)-2,2)=0,1,0))))=0,(INDEX($E$8:$E$23,MIN(INT(($A1001-1)/70)+1,CROQUIS_DATOS!$C$1525))-INDEX($F$8:$F$23,MIN(INT(($A1001-1)/70)+1,CROQUIS_DATOS!$C$1525))/2),(INDEX($E$8:$E$23,MIN(INT(($A1001-1)/70)+1,CROQUIS_DATOS!$C$1525))+INDEX($F$8:$F$23,MIN(INT(($A1001-1)/70)+1,CROQUIS_DATOS!$C$1525))/2)))*CROQUIS_DATOS!$C$1562),-1000)</f>
        <v>82.8189655172414</v>
      </c>
      <c r="O1001">
        <f>IF(AND(CROQUIS_DATOS!$C$1472=1,1),(CROQUIS_DATOS!$C$1564+(IF(OR(IF(INT(($A1001-1)/70)+1&gt;CROQUIS_DATOS!$C$1525,70,MOD($A1001-1,70)+1)=1,IF(INT(($A1001-1)/70)+1&gt;CROQUIS_DATOS!$C$1525,70,MOD($A1001-1,70)+1)&gt;2*CROQUIS_DATOS!$C$1541+1),CROQUIS_DATOS!$C$1476,INDEX($H$8:$H$41,MIN(INT((IF(INT(($A1001-1)/70)+1&gt;CROQUIS_DATOS!$C$1525,70,MOD($A1001-1,70)+1)-2)/2)+1,CROQUIS_DATOS!$C$1541))))*CROQUIS_DATOS!$C$1561*CROQUIS_DATOS!$C$1562),-1000)</f>
        <v>40.2068965517241</v>
      </c>
    </row>
    <row r="1002">
      <c r="A1002" t="n">
        <v>995</v>
      </c>
      <c r="N1002">
        <f>IF(AND(CROQUIS_DATOS!$C$1472=1,1),(CROQUIS_DATOS!$C$1563+(IF(IF(IF(INT(($A1002-1)/70)+1&gt;CROQUIS_DATOS!$C$1525,70,MOD($A1002-1,70)+1)=1,0,IF(IF(INT(($A1002-1)/70)+1&gt;CROQUIS_DATOS!$C$1525,70,MOD($A1002-1,70)+1)&gt;2*CROQUIS_DATOS!$C$1541+1,IF(MOD(CROQUIS_DATOS!$C$1541,2)=1,1,0),IF(MOD(MIN(INT((IF(INT(($A1002-1)/70)+1&gt;CROQUIS_DATOS!$C$1525,70,MOD($A1002-1,70)+1)-2)/2)+1,CROQUIS_DATOS!$C$1541),2)=1,IF(MOD(IF(INT(($A1002-1)/70)+1&gt;CROQUIS_DATOS!$C$1525,70,MOD($A1002-1,70)+1)-2,2)=0,0,1),IF(MOD(IF(INT(($A1002-1)/70)+1&gt;CROQUIS_DATOS!$C$1525,70,MOD($A1002-1,70)+1)-2,2)=0,1,0))))=0,(INDEX($E$8:$E$23,MIN(INT(($A1002-1)/70)+1,CROQUIS_DATOS!$C$1525))-INDEX($F$8:$F$23,MIN(INT(($A1002-1)/70)+1,CROQUIS_DATOS!$C$1525))/2),(INDEX($E$8:$E$23,MIN(INT(($A1002-1)/70)+1,CROQUIS_DATOS!$C$1525))+INDEX($F$8:$F$23,MIN(INT(($A1002-1)/70)+1,CROQUIS_DATOS!$C$1525))/2)))*CROQUIS_DATOS!$C$1562),-1000)</f>
        <v>82.8189655172414</v>
      </c>
      <c r="O1002">
        <f>IF(AND(CROQUIS_DATOS!$C$1472=1,1),(CROQUIS_DATOS!$C$1564+(IF(OR(IF(INT(($A1002-1)/70)+1&gt;CROQUIS_DATOS!$C$1525,70,MOD($A1002-1,70)+1)=1,IF(INT(($A1002-1)/70)+1&gt;CROQUIS_DATOS!$C$1525,70,MOD($A1002-1,70)+1)&gt;2*CROQUIS_DATOS!$C$1541+1),CROQUIS_DATOS!$C$1476,INDEX($H$8:$H$41,MIN(INT((IF(INT(($A1002-1)/70)+1&gt;CROQUIS_DATOS!$C$1525,70,MOD($A1002-1,70)+1)-2)/2)+1,CROQUIS_DATOS!$C$1541))))*CROQUIS_DATOS!$C$1561*CROQUIS_DATOS!$C$1562),-1000)</f>
        <v>40.2068965517241</v>
      </c>
    </row>
    <row r="1003">
      <c r="A1003" t="n">
        <v>996</v>
      </c>
      <c r="N1003">
        <f>IF(AND(CROQUIS_DATOS!$C$1472=1,1),(CROQUIS_DATOS!$C$1563+(IF(IF(IF(INT(($A1003-1)/70)+1&gt;CROQUIS_DATOS!$C$1525,70,MOD($A1003-1,70)+1)=1,0,IF(IF(INT(($A1003-1)/70)+1&gt;CROQUIS_DATOS!$C$1525,70,MOD($A1003-1,70)+1)&gt;2*CROQUIS_DATOS!$C$1541+1,IF(MOD(CROQUIS_DATOS!$C$1541,2)=1,1,0),IF(MOD(MIN(INT((IF(INT(($A1003-1)/70)+1&gt;CROQUIS_DATOS!$C$1525,70,MOD($A1003-1,70)+1)-2)/2)+1,CROQUIS_DATOS!$C$1541),2)=1,IF(MOD(IF(INT(($A1003-1)/70)+1&gt;CROQUIS_DATOS!$C$1525,70,MOD($A1003-1,70)+1)-2,2)=0,0,1),IF(MOD(IF(INT(($A1003-1)/70)+1&gt;CROQUIS_DATOS!$C$1525,70,MOD($A1003-1,70)+1)-2,2)=0,1,0))))=0,(INDEX($E$8:$E$23,MIN(INT(($A1003-1)/70)+1,CROQUIS_DATOS!$C$1525))-INDEX($F$8:$F$23,MIN(INT(($A1003-1)/70)+1,CROQUIS_DATOS!$C$1525))/2),(INDEX($E$8:$E$23,MIN(INT(($A1003-1)/70)+1,CROQUIS_DATOS!$C$1525))+INDEX($F$8:$F$23,MIN(INT(($A1003-1)/70)+1,CROQUIS_DATOS!$C$1525))/2)))*CROQUIS_DATOS!$C$1562),-1000)</f>
        <v>82.8189655172414</v>
      </c>
      <c r="O1003">
        <f>IF(AND(CROQUIS_DATOS!$C$1472=1,1),(CROQUIS_DATOS!$C$1564+(IF(OR(IF(INT(($A1003-1)/70)+1&gt;CROQUIS_DATOS!$C$1525,70,MOD($A1003-1,70)+1)=1,IF(INT(($A1003-1)/70)+1&gt;CROQUIS_DATOS!$C$1525,70,MOD($A1003-1,70)+1)&gt;2*CROQUIS_DATOS!$C$1541+1),CROQUIS_DATOS!$C$1476,INDEX($H$8:$H$41,MIN(INT((IF(INT(($A1003-1)/70)+1&gt;CROQUIS_DATOS!$C$1525,70,MOD($A1003-1,70)+1)-2)/2)+1,CROQUIS_DATOS!$C$1541))))*CROQUIS_DATOS!$C$1561*CROQUIS_DATOS!$C$1562),-1000)</f>
        <v>40.2068965517241</v>
      </c>
    </row>
    <row r="1004">
      <c r="A1004" t="n">
        <v>997</v>
      </c>
      <c r="N1004">
        <f>IF(AND(CROQUIS_DATOS!$C$1472=1,1),(CROQUIS_DATOS!$C$1563+(IF(IF(IF(INT(($A1004-1)/70)+1&gt;CROQUIS_DATOS!$C$1525,70,MOD($A1004-1,70)+1)=1,0,IF(IF(INT(($A1004-1)/70)+1&gt;CROQUIS_DATOS!$C$1525,70,MOD($A1004-1,70)+1)&gt;2*CROQUIS_DATOS!$C$1541+1,IF(MOD(CROQUIS_DATOS!$C$1541,2)=1,1,0),IF(MOD(MIN(INT((IF(INT(($A1004-1)/70)+1&gt;CROQUIS_DATOS!$C$1525,70,MOD($A1004-1,70)+1)-2)/2)+1,CROQUIS_DATOS!$C$1541),2)=1,IF(MOD(IF(INT(($A1004-1)/70)+1&gt;CROQUIS_DATOS!$C$1525,70,MOD($A1004-1,70)+1)-2,2)=0,0,1),IF(MOD(IF(INT(($A1004-1)/70)+1&gt;CROQUIS_DATOS!$C$1525,70,MOD($A1004-1,70)+1)-2,2)=0,1,0))))=0,(INDEX($E$8:$E$23,MIN(INT(($A1004-1)/70)+1,CROQUIS_DATOS!$C$1525))-INDEX($F$8:$F$23,MIN(INT(($A1004-1)/70)+1,CROQUIS_DATOS!$C$1525))/2),(INDEX($E$8:$E$23,MIN(INT(($A1004-1)/70)+1,CROQUIS_DATOS!$C$1525))+INDEX($F$8:$F$23,MIN(INT(($A1004-1)/70)+1,CROQUIS_DATOS!$C$1525))/2)))*CROQUIS_DATOS!$C$1562),-1000)</f>
        <v>82.8189655172414</v>
      </c>
      <c r="O1004">
        <f>IF(AND(CROQUIS_DATOS!$C$1472=1,1),(CROQUIS_DATOS!$C$1564+(IF(OR(IF(INT(($A1004-1)/70)+1&gt;CROQUIS_DATOS!$C$1525,70,MOD($A1004-1,70)+1)=1,IF(INT(($A1004-1)/70)+1&gt;CROQUIS_DATOS!$C$1525,70,MOD($A1004-1,70)+1)&gt;2*CROQUIS_DATOS!$C$1541+1),CROQUIS_DATOS!$C$1476,INDEX($H$8:$H$41,MIN(INT((IF(INT(($A1004-1)/70)+1&gt;CROQUIS_DATOS!$C$1525,70,MOD($A1004-1,70)+1)-2)/2)+1,CROQUIS_DATOS!$C$1541))))*CROQUIS_DATOS!$C$1561*CROQUIS_DATOS!$C$1562),-1000)</f>
        <v>40.2068965517241</v>
      </c>
    </row>
    <row r="1005">
      <c r="A1005" t="n">
        <v>998</v>
      </c>
      <c r="N1005">
        <f>IF(AND(CROQUIS_DATOS!$C$1472=1,1),(CROQUIS_DATOS!$C$1563+(IF(IF(IF(INT(($A1005-1)/70)+1&gt;CROQUIS_DATOS!$C$1525,70,MOD($A1005-1,70)+1)=1,0,IF(IF(INT(($A1005-1)/70)+1&gt;CROQUIS_DATOS!$C$1525,70,MOD($A1005-1,70)+1)&gt;2*CROQUIS_DATOS!$C$1541+1,IF(MOD(CROQUIS_DATOS!$C$1541,2)=1,1,0),IF(MOD(MIN(INT((IF(INT(($A1005-1)/70)+1&gt;CROQUIS_DATOS!$C$1525,70,MOD($A1005-1,70)+1)-2)/2)+1,CROQUIS_DATOS!$C$1541),2)=1,IF(MOD(IF(INT(($A1005-1)/70)+1&gt;CROQUIS_DATOS!$C$1525,70,MOD($A1005-1,70)+1)-2,2)=0,0,1),IF(MOD(IF(INT(($A1005-1)/70)+1&gt;CROQUIS_DATOS!$C$1525,70,MOD($A1005-1,70)+1)-2,2)=0,1,0))))=0,(INDEX($E$8:$E$23,MIN(INT(($A1005-1)/70)+1,CROQUIS_DATOS!$C$1525))-INDEX($F$8:$F$23,MIN(INT(($A1005-1)/70)+1,CROQUIS_DATOS!$C$1525))/2),(INDEX($E$8:$E$23,MIN(INT(($A1005-1)/70)+1,CROQUIS_DATOS!$C$1525))+INDEX($F$8:$F$23,MIN(INT(($A1005-1)/70)+1,CROQUIS_DATOS!$C$1525))/2)))*CROQUIS_DATOS!$C$1562),-1000)</f>
        <v>82.8189655172414</v>
      </c>
      <c r="O1005">
        <f>IF(AND(CROQUIS_DATOS!$C$1472=1,1),(CROQUIS_DATOS!$C$1564+(IF(OR(IF(INT(($A1005-1)/70)+1&gt;CROQUIS_DATOS!$C$1525,70,MOD($A1005-1,70)+1)=1,IF(INT(($A1005-1)/70)+1&gt;CROQUIS_DATOS!$C$1525,70,MOD($A1005-1,70)+1)&gt;2*CROQUIS_DATOS!$C$1541+1),CROQUIS_DATOS!$C$1476,INDEX($H$8:$H$41,MIN(INT((IF(INT(($A1005-1)/70)+1&gt;CROQUIS_DATOS!$C$1525,70,MOD($A1005-1,70)+1)-2)/2)+1,CROQUIS_DATOS!$C$1541))))*CROQUIS_DATOS!$C$1561*CROQUIS_DATOS!$C$1562),-1000)</f>
        <v>40.2068965517241</v>
      </c>
    </row>
    <row r="1006">
      <c r="A1006" t="n">
        <v>999</v>
      </c>
      <c r="N1006">
        <f>IF(AND(CROQUIS_DATOS!$C$1472=1,1),(CROQUIS_DATOS!$C$1563+(IF(IF(IF(INT(($A1006-1)/70)+1&gt;CROQUIS_DATOS!$C$1525,70,MOD($A1006-1,70)+1)=1,0,IF(IF(INT(($A1006-1)/70)+1&gt;CROQUIS_DATOS!$C$1525,70,MOD($A1006-1,70)+1)&gt;2*CROQUIS_DATOS!$C$1541+1,IF(MOD(CROQUIS_DATOS!$C$1541,2)=1,1,0),IF(MOD(MIN(INT((IF(INT(($A1006-1)/70)+1&gt;CROQUIS_DATOS!$C$1525,70,MOD($A1006-1,70)+1)-2)/2)+1,CROQUIS_DATOS!$C$1541),2)=1,IF(MOD(IF(INT(($A1006-1)/70)+1&gt;CROQUIS_DATOS!$C$1525,70,MOD($A1006-1,70)+1)-2,2)=0,0,1),IF(MOD(IF(INT(($A1006-1)/70)+1&gt;CROQUIS_DATOS!$C$1525,70,MOD($A1006-1,70)+1)-2,2)=0,1,0))))=0,(INDEX($E$8:$E$23,MIN(INT(($A1006-1)/70)+1,CROQUIS_DATOS!$C$1525))-INDEX($F$8:$F$23,MIN(INT(($A1006-1)/70)+1,CROQUIS_DATOS!$C$1525))/2),(INDEX($E$8:$E$23,MIN(INT(($A1006-1)/70)+1,CROQUIS_DATOS!$C$1525))+INDEX($F$8:$F$23,MIN(INT(($A1006-1)/70)+1,CROQUIS_DATOS!$C$1525))/2)))*CROQUIS_DATOS!$C$1562),-1000)</f>
        <v>82.8189655172414</v>
      </c>
      <c r="O1006">
        <f>IF(AND(CROQUIS_DATOS!$C$1472=1,1),(CROQUIS_DATOS!$C$1564+(IF(OR(IF(INT(($A1006-1)/70)+1&gt;CROQUIS_DATOS!$C$1525,70,MOD($A1006-1,70)+1)=1,IF(INT(($A1006-1)/70)+1&gt;CROQUIS_DATOS!$C$1525,70,MOD($A1006-1,70)+1)&gt;2*CROQUIS_DATOS!$C$1541+1),CROQUIS_DATOS!$C$1476,INDEX($H$8:$H$41,MIN(INT((IF(INT(($A1006-1)/70)+1&gt;CROQUIS_DATOS!$C$1525,70,MOD($A1006-1,70)+1)-2)/2)+1,CROQUIS_DATOS!$C$1541))))*CROQUIS_DATOS!$C$1561*CROQUIS_DATOS!$C$1562),-1000)</f>
        <v>40.2068965517241</v>
      </c>
    </row>
    <row r="1007">
      <c r="A1007" t="n">
        <v>1000</v>
      </c>
      <c r="N1007">
        <f>IF(AND(CROQUIS_DATOS!$C$1472=1,1),(CROQUIS_DATOS!$C$1563+(IF(IF(IF(INT(($A1007-1)/70)+1&gt;CROQUIS_DATOS!$C$1525,70,MOD($A1007-1,70)+1)=1,0,IF(IF(INT(($A1007-1)/70)+1&gt;CROQUIS_DATOS!$C$1525,70,MOD($A1007-1,70)+1)&gt;2*CROQUIS_DATOS!$C$1541+1,IF(MOD(CROQUIS_DATOS!$C$1541,2)=1,1,0),IF(MOD(MIN(INT((IF(INT(($A1007-1)/70)+1&gt;CROQUIS_DATOS!$C$1525,70,MOD($A1007-1,70)+1)-2)/2)+1,CROQUIS_DATOS!$C$1541),2)=1,IF(MOD(IF(INT(($A1007-1)/70)+1&gt;CROQUIS_DATOS!$C$1525,70,MOD($A1007-1,70)+1)-2,2)=0,0,1),IF(MOD(IF(INT(($A1007-1)/70)+1&gt;CROQUIS_DATOS!$C$1525,70,MOD($A1007-1,70)+1)-2,2)=0,1,0))))=0,(INDEX($E$8:$E$23,MIN(INT(($A1007-1)/70)+1,CROQUIS_DATOS!$C$1525))-INDEX($F$8:$F$23,MIN(INT(($A1007-1)/70)+1,CROQUIS_DATOS!$C$1525))/2),(INDEX($E$8:$E$23,MIN(INT(($A1007-1)/70)+1,CROQUIS_DATOS!$C$1525))+INDEX($F$8:$F$23,MIN(INT(($A1007-1)/70)+1,CROQUIS_DATOS!$C$1525))/2)))*CROQUIS_DATOS!$C$1562),-1000)</f>
        <v>82.8189655172414</v>
      </c>
      <c r="O1007">
        <f>IF(AND(CROQUIS_DATOS!$C$1472=1,1),(CROQUIS_DATOS!$C$1564+(IF(OR(IF(INT(($A1007-1)/70)+1&gt;CROQUIS_DATOS!$C$1525,70,MOD($A1007-1,70)+1)=1,IF(INT(($A1007-1)/70)+1&gt;CROQUIS_DATOS!$C$1525,70,MOD($A1007-1,70)+1)&gt;2*CROQUIS_DATOS!$C$1541+1),CROQUIS_DATOS!$C$1476,INDEX($H$8:$H$41,MIN(INT((IF(INT(($A1007-1)/70)+1&gt;CROQUIS_DATOS!$C$1525,70,MOD($A1007-1,70)+1)-2)/2)+1,CROQUIS_DATOS!$C$1541))))*CROQUIS_DATOS!$C$1561*CROQUIS_DATOS!$C$1562),-1000)</f>
        <v>40.2068965517241</v>
      </c>
    </row>
    <row r="1008">
      <c r="A1008" t="n">
        <v>1001</v>
      </c>
      <c r="N1008">
        <f>IF(AND(CROQUIS_DATOS!$C$1472=1,1),(CROQUIS_DATOS!$C$1563+(IF(IF(IF(INT(($A1008-1)/70)+1&gt;CROQUIS_DATOS!$C$1525,70,MOD($A1008-1,70)+1)=1,0,IF(IF(INT(($A1008-1)/70)+1&gt;CROQUIS_DATOS!$C$1525,70,MOD($A1008-1,70)+1)&gt;2*CROQUIS_DATOS!$C$1541+1,IF(MOD(CROQUIS_DATOS!$C$1541,2)=1,1,0),IF(MOD(MIN(INT((IF(INT(($A1008-1)/70)+1&gt;CROQUIS_DATOS!$C$1525,70,MOD($A1008-1,70)+1)-2)/2)+1,CROQUIS_DATOS!$C$1541),2)=1,IF(MOD(IF(INT(($A1008-1)/70)+1&gt;CROQUIS_DATOS!$C$1525,70,MOD($A1008-1,70)+1)-2,2)=0,0,1),IF(MOD(IF(INT(($A1008-1)/70)+1&gt;CROQUIS_DATOS!$C$1525,70,MOD($A1008-1,70)+1)-2,2)=0,1,0))))=0,(INDEX($E$8:$E$23,MIN(INT(($A1008-1)/70)+1,CROQUIS_DATOS!$C$1525))-INDEX($F$8:$F$23,MIN(INT(($A1008-1)/70)+1,CROQUIS_DATOS!$C$1525))/2),(INDEX($E$8:$E$23,MIN(INT(($A1008-1)/70)+1,CROQUIS_DATOS!$C$1525))+INDEX($F$8:$F$23,MIN(INT(($A1008-1)/70)+1,CROQUIS_DATOS!$C$1525))/2)))*CROQUIS_DATOS!$C$1562),-1000)</f>
        <v>82.8189655172414</v>
      </c>
      <c r="O1008">
        <f>IF(AND(CROQUIS_DATOS!$C$1472=1,1),(CROQUIS_DATOS!$C$1564+(IF(OR(IF(INT(($A1008-1)/70)+1&gt;CROQUIS_DATOS!$C$1525,70,MOD($A1008-1,70)+1)=1,IF(INT(($A1008-1)/70)+1&gt;CROQUIS_DATOS!$C$1525,70,MOD($A1008-1,70)+1)&gt;2*CROQUIS_DATOS!$C$1541+1),CROQUIS_DATOS!$C$1476,INDEX($H$8:$H$41,MIN(INT((IF(INT(($A1008-1)/70)+1&gt;CROQUIS_DATOS!$C$1525,70,MOD($A1008-1,70)+1)-2)/2)+1,CROQUIS_DATOS!$C$1541))))*CROQUIS_DATOS!$C$1561*CROQUIS_DATOS!$C$1562),-1000)</f>
        <v>40.2068965517241</v>
      </c>
    </row>
    <row r="1009">
      <c r="A1009" t="n">
        <v>1002</v>
      </c>
      <c r="N1009">
        <f>IF(AND(CROQUIS_DATOS!$C$1472=1,1),(CROQUIS_DATOS!$C$1563+(IF(IF(IF(INT(($A1009-1)/70)+1&gt;CROQUIS_DATOS!$C$1525,70,MOD($A1009-1,70)+1)=1,0,IF(IF(INT(($A1009-1)/70)+1&gt;CROQUIS_DATOS!$C$1525,70,MOD($A1009-1,70)+1)&gt;2*CROQUIS_DATOS!$C$1541+1,IF(MOD(CROQUIS_DATOS!$C$1541,2)=1,1,0),IF(MOD(MIN(INT((IF(INT(($A1009-1)/70)+1&gt;CROQUIS_DATOS!$C$1525,70,MOD($A1009-1,70)+1)-2)/2)+1,CROQUIS_DATOS!$C$1541),2)=1,IF(MOD(IF(INT(($A1009-1)/70)+1&gt;CROQUIS_DATOS!$C$1525,70,MOD($A1009-1,70)+1)-2,2)=0,0,1),IF(MOD(IF(INT(($A1009-1)/70)+1&gt;CROQUIS_DATOS!$C$1525,70,MOD($A1009-1,70)+1)-2,2)=0,1,0))))=0,(INDEX($E$8:$E$23,MIN(INT(($A1009-1)/70)+1,CROQUIS_DATOS!$C$1525))-INDEX($F$8:$F$23,MIN(INT(($A1009-1)/70)+1,CROQUIS_DATOS!$C$1525))/2),(INDEX($E$8:$E$23,MIN(INT(($A1009-1)/70)+1,CROQUIS_DATOS!$C$1525))+INDEX($F$8:$F$23,MIN(INT(($A1009-1)/70)+1,CROQUIS_DATOS!$C$1525))/2)))*CROQUIS_DATOS!$C$1562),-1000)</f>
        <v>82.8189655172414</v>
      </c>
      <c r="O1009">
        <f>IF(AND(CROQUIS_DATOS!$C$1472=1,1),(CROQUIS_DATOS!$C$1564+(IF(OR(IF(INT(($A1009-1)/70)+1&gt;CROQUIS_DATOS!$C$1525,70,MOD($A1009-1,70)+1)=1,IF(INT(($A1009-1)/70)+1&gt;CROQUIS_DATOS!$C$1525,70,MOD($A1009-1,70)+1)&gt;2*CROQUIS_DATOS!$C$1541+1),CROQUIS_DATOS!$C$1476,INDEX($H$8:$H$41,MIN(INT((IF(INT(($A1009-1)/70)+1&gt;CROQUIS_DATOS!$C$1525,70,MOD($A1009-1,70)+1)-2)/2)+1,CROQUIS_DATOS!$C$1541))))*CROQUIS_DATOS!$C$1561*CROQUIS_DATOS!$C$1562),-1000)</f>
        <v>40.2068965517241</v>
      </c>
    </row>
    <row r="1010">
      <c r="A1010" t="n">
        <v>1003</v>
      </c>
      <c r="N1010">
        <f>IF(AND(CROQUIS_DATOS!$C$1472=1,1),(CROQUIS_DATOS!$C$1563+(IF(IF(IF(INT(($A1010-1)/70)+1&gt;CROQUIS_DATOS!$C$1525,70,MOD($A1010-1,70)+1)=1,0,IF(IF(INT(($A1010-1)/70)+1&gt;CROQUIS_DATOS!$C$1525,70,MOD($A1010-1,70)+1)&gt;2*CROQUIS_DATOS!$C$1541+1,IF(MOD(CROQUIS_DATOS!$C$1541,2)=1,1,0),IF(MOD(MIN(INT((IF(INT(($A1010-1)/70)+1&gt;CROQUIS_DATOS!$C$1525,70,MOD($A1010-1,70)+1)-2)/2)+1,CROQUIS_DATOS!$C$1541),2)=1,IF(MOD(IF(INT(($A1010-1)/70)+1&gt;CROQUIS_DATOS!$C$1525,70,MOD($A1010-1,70)+1)-2,2)=0,0,1),IF(MOD(IF(INT(($A1010-1)/70)+1&gt;CROQUIS_DATOS!$C$1525,70,MOD($A1010-1,70)+1)-2,2)=0,1,0))))=0,(INDEX($E$8:$E$23,MIN(INT(($A1010-1)/70)+1,CROQUIS_DATOS!$C$1525))-INDEX($F$8:$F$23,MIN(INT(($A1010-1)/70)+1,CROQUIS_DATOS!$C$1525))/2),(INDEX($E$8:$E$23,MIN(INT(($A1010-1)/70)+1,CROQUIS_DATOS!$C$1525))+INDEX($F$8:$F$23,MIN(INT(($A1010-1)/70)+1,CROQUIS_DATOS!$C$1525))/2)))*CROQUIS_DATOS!$C$1562),-1000)</f>
        <v>82.8189655172414</v>
      </c>
      <c r="O1010">
        <f>IF(AND(CROQUIS_DATOS!$C$1472=1,1),(CROQUIS_DATOS!$C$1564+(IF(OR(IF(INT(($A1010-1)/70)+1&gt;CROQUIS_DATOS!$C$1525,70,MOD($A1010-1,70)+1)=1,IF(INT(($A1010-1)/70)+1&gt;CROQUIS_DATOS!$C$1525,70,MOD($A1010-1,70)+1)&gt;2*CROQUIS_DATOS!$C$1541+1),CROQUIS_DATOS!$C$1476,INDEX($H$8:$H$41,MIN(INT((IF(INT(($A1010-1)/70)+1&gt;CROQUIS_DATOS!$C$1525,70,MOD($A1010-1,70)+1)-2)/2)+1,CROQUIS_DATOS!$C$1541))))*CROQUIS_DATOS!$C$1561*CROQUIS_DATOS!$C$1562),-1000)</f>
        <v>40.2068965517241</v>
      </c>
    </row>
    <row r="1011">
      <c r="A1011" t="n">
        <v>1004</v>
      </c>
      <c r="N1011">
        <f>IF(AND(CROQUIS_DATOS!$C$1472=1,1),(CROQUIS_DATOS!$C$1563+(IF(IF(IF(INT(($A1011-1)/70)+1&gt;CROQUIS_DATOS!$C$1525,70,MOD($A1011-1,70)+1)=1,0,IF(IF(INT(($A1011-1)/70)+1&gt;CROQUIS_DATOS!$C$1525,70,MOD($A1011-1,70)+1)&gt;2*CROQUIS_DATOS!$C$1541+1,IF(MOD(CROQUIS_DATOS!$C$1541,2)=1,1,0),IF(MOD(MIN(INT((IF(INT(($A1011-1)/70)+1&gt;CROQUIS_DATOS!$C$1525,70,MOD($A1011-1,70)+1)-2)/2)+1,CROQUIS_DATOS!$C$1541),2)=1,IF(MOD(IF(INT(($A1011-1)/70)+1&gt;CROQUIS_DATOS!$C$1525,70,MOD($A1011-1,70)+1)-2,2)=0,0,1),IF(MOD(IF(INT(($A1011-1)/70)+1&gt;CROQUIS_DATOS!$C$1525,70,MOD($A1011-1,70)+1)-2,2)=0,1,0))))=0,(INDEX($E$8:$E$23,MIN(INT(($A1011-1)/70)+1,CROQUIS_DATOS!$C$1525))-INDEX($F$8:$F$23,MIN(INT(($A1011-1)/70)+1,CROQUIS_DATOS!$C$1525))/2),(INDEX($E$8:$E$23,MIN(INT(($A1011-1)/70)+1,CROQUIS_DATOS!$C$1525))+INDEX($F$8:$F$23,MIN(INT(($A1011-1)/70)+1,CROQUIS_DATOS!$C$1525))/2)))*CROQUIS_DATOS!$C$1562),-1000)</f>
        <v>82.8189655172414</v>
      </c>
      <c r="O1011">
        <f>IF(AND(CROQUIS_DATOS!$C$1472=1,1),(CROQUIS_DATOS!$C$1564+(IF(OR(IF(INT(($A1011-1)/70)+1&gt;CROQUIS_DATOS!$C$1525,70,MOD($A1011-1,70)+1)=1,IF(INT(($A1011-1)/70)+1&gt;CROQUIS_DATOS!$C$1525,70,MOD($A1011-1,70)+1)&gt;2*CROQUIS_DATOS!$C$1541+1),CROQUIS_DATOS!$C$1476,INDEX($H$8:$H$41,MIN(INT((IF(INT(($A1011-1)/70)+1&gt;CROQUIS_DATOS!$C$1525,70,MOD($A1011-1,70)+1)-2)/2)+1,CROQUIS_DATOS!$C$1541))))*CROQUIS_DATOS!$C$1561*CROQUIS_DATOS!$C$1562),-1000)</f>
        <v>40.2068965517241</v>
      </c>
    </row>
    <row r="1012">
      <c r="A1012" t="n">
        <v>1005</v>
      </c>
      <c r="N1012">
        <f>IF(AND(CROQUIS_DATOS!$C$1472=1,1),(CROQUIS_DATOS!$C$1563+(IF(IF(IF(INT(($A1012-1)/70)+1&gt;CROQUIS_DATOS!$C$1525,70,MOD($A1012-1,70)+1)=1,0,IF(IF(INT(($A1012-1)/70)+1&gt;CROQUIS_DATOS!$C$1525,70,MOD($A1012-1,70)+1)&gt;2*CROQUIS_DATOS!$C$1541+1,IF(MOD(CROQUIS_DATOS!$C$1541,2)=1,1,0),IF(MOD(MIN(INT((IF(INT(($A1012-1)/70)+1&gt;CROQUIS_DATOS!$C$1525,70,MOD($A1012-1,70)+1)-2)/2)+1,CROQUIS_DATOS!$C$1541),2)=1,IF(MOD(IF(INT(($A1012-1)/70)+1&gt;CROQUIS_DATOS!$C$1525,70,MOD($A1012-1,70)+1)-2,2)=0,0,1),IF(MOD(IF(INT(($A1012-1)/70)+1&gt;CROQUIS_DATOS!$C$1525,70,MOD($A1012-1,70)+1)-2,2)=0,1,0))))=0,(INDEX($E$8:$E$23,MIN(INT(($A1012-1)/70)+1,CROQUIS_DATOS!$C$1525))-INDEX($F$8:$F$23,MIN(INT(($A1012-1)/70)+1,CROQUIS_DATOS!$C$1525))/2),(INDEX($E$8:$E$23,MIN(INT(($A1012-1)/70)+1,CROQUIS_DATOS!$C$1525))+INDEX($F$8:$F$23,MIN(INT(($A1012-1)/70)+1,CROQUIS_DATOS!$C$1525))/2)))*CROQUIS_DATOS!$C$1562),-1000)</f>
        <v>82.8189655172414</v>
      </c>
      <c r="O1012">
        <f>IF(AND(CROQUIS_DATOS!$C$1472=1,1),(CROQUIS_DATOS!$C$1564+(IF(OR(IF(INT(($A1012-1)/70)+1&gt;CROQUIS_DATOS!$C$1525,70,MOD($A1012-1,70)+1)=1,IF(INT(($A1012-1)/70)+1&gt;CROQUIS_DATOS!$C$1525,70,MOD($A1012-1,70)+1)&gt;2*CROQUIS_DATOS!$C$1541+1),CROQUIS_DATOS!$C$1476,INDEX($H$8:$H$41,MIN(INT((IF(INT(($A1012-1)/70)+1&gt;CROQUIS_DATOS!$C$1525,70,MOD($A1012-1,70)+1)-2)/2)+1,CROQUIS_DATOS!$C$1541))))*CROQUIS_DATOS!$C$1561*CROQUIS_DATOS!$C$1562),-1000)</f>
        <v>40.2068965517241</v>
      </c>
    </row>
    <row r="1013">
      <c r="A1013" t="n">
        <v>1006</v>
      </c>
      <c r="N1013">
        <f>IF(AND(CROQUIS_DATOS!$C$1472=1,1),(CROQUIS_DATOS!$C$1563+(IF(IF(IF(INT(($A1013-1)/70)+1&gt;CROQUIS_DATOS!$C$1525,70,MOD($A1013-1,70)+1)=1,0,IF(IF(INT(($A1013-1)/70)+1&gt;CROQUIS_DATOS!$C$1525,70,MOD($A1013-1,70)+1)&gt;2*CROQUIS_DATOS!$C$1541+1,IF(MOD(CROQUIS_DATOS!$C$1541,2)=1,1,0),IF(MOD(MIN(INT((IF(INT(($A1013-1)/70)+1&gt;CROQUIS_DATOS!$C$1525,70,MOD($A1013-1,70)+1)-2)/2)+1,CROQUIS_DATOS!$C$1541),2)=1,IF(MOD(IF(INT(($A1013-1)/70)+1&gt;CROQUIS_DATOS!$C$1525,70,MOD($A1013-1,70)+1)-2,2)=0,0,1),IF(MOD(IF(INT(($A1013-1)/70)+1&gt;CROQUIS_DATOS!$C$1525,70,MOD($A1013-1,70)+1)-2,2)=0,1,0))))=0,(INDEX($E$8:$E$23,MIN(INT(($A1013-1)/70)+1,CROQUIS_DATOS!$C$1525))-INDEX($F$8:$F$23,MIN(INT(($A1013-1)/70)+1,CROQUIS_DATOS!$C$1525))/2),(INDEX($E$8:$E$23,MIN(INT(($A1013-1)/70)+1,CROQUIS_DATOS!$C$1525))+INDEX($F$8:$F$23,MIN(INT(($A1013-1)/70)+1,CROQUIS_DATOS!$C$1525))/2)))*CROQUIS_DATOS!$C$1562),-1000)</f>
        <v>82.8189655172414</v>
      </c>
      <c r="O1013">
        <f>IF(AND(CROQUIS_DATOS!$C$1472=1,1),(CROQUIS_DATOS!$C$1564+(IF(OR(IF(INT(($A1013-1)/70)+1&gt;CROQUIS_DATOS!$C$1525,70,MOD($A1013-1,70)+1)=1,IF(INT(($A1013-1)/70)+1&gt;CROQUIS_DATOS!$C$1525,70,MOD($A1013-1,70)+1)&gt;2*CROQUIS_DATOS!$C$1541+1),CROQUIS_DATOS!$C$1476,INDEX($H$8:$H$41,MIN(INT((IF(INT(($A1013-1)/70)+1&gt;CROQUIS_DATOS!$C$1525,70,MOD($A1013-1,70)+1)-2)/2)+1,CROQUIS_DATOS!$C$1541))))*CROQUIS_DATOS!$C$1561*CROQUIS_DATOS!$C$1562),-1000)</f>
        <v>40.2068965517241</v>
      </c>
    </row>
    <row r="1014">
      <c r="A1014" t="n">
        <v>1007</v>
      </c>
      <c r="N1014">
        <f>IF(AND(CROQUIS_DATOS!$C$1472=1,1),(CROQUIS_DATOS!$C$1563+(IF(IF(IF(INT(($A1014-1)/70)+1&gt;CROQUIS_DATOS!$C$1525,70,MOD($A1014-1,70)+1)=1,0,IF(IF(INT(($A1014-1)/70)+1&gt;CROQUIS_DATOS!$C$1525,70,MOD($A1014-1,70)+1)&gt;2*CROQUIS_DATOS!$C$1541+1,IF(MOD(CROQUIS_DATOS!$C$1541,2)=1,1,0),IF(MOD(MIN(INT((IF(INT(($A1014-1)/70)+1&gt;CROQUIS_DATOS!$C$1525,70,MOD($A1014-1,70)+1)-2)/2)+1,CROQUIS_DATOS!$C$1541),2)=1,IF(MOD(IF(INT(($A1014-1)/70)+1&gt;CROQUIS_DATOS!$C$1525,70,MOD($A1014-1,70)+1)-2,2)=0,0,1),IF(MOD(IF(INT(($A1014-1)/70)+1&gt;CROQUIS_DATOS!$C$1525,70,MOD($A1014-1,70)+1)-2,2)=0,1,0))))=0,(INDEX($E$8:$E$23,MIN(INT(($A1014-1)/70)+1,CROQUIS_DATOS!$C$1525))-INDEX($F$8:$F$23,MIN(INT(($A1014-1)/70)+1,CROQUIS_DATOS!$C$1525))/2),(INDEX($E$8:$E$23,MIN(INT(($A1014-1)/70)+1,CROQUIS_DATOS!$C$1525))+INDEX($F$8:$F$23,MIN(INT(($A1014-1)/70)+1,CROQUIS_DATOS!$C$1525))/2)))*CROQUIS_DATOS!$C$1562),-1000)</f>
        <v>82.8189655172414</v>
      </c>
      <c r="O1014">
        <f>IF(AND(CROQUIS_DATOS!$C$1472=1,1),(CROQUIS_DATOS!$C$1564+(IF(OR(IF(INT(($A1014-1)/70)+1&gt;CROQUIS_DATOS!$C$1525,70,MOD($A1014-1,70)+1)=1,IF(INT(($A1014-1)/70)+1&gt;CROQUIS_DATOS!$C$1525,70,MOD($A1014-1,70)+1)&gt;2*CROQUIS_DATOS!$C$1541+1),CROQUIS_DATOS!$C$1476,INDEX($H$8:$H$41,MIN(INT((IF(INT(($A1014-1)/70)+1&gt;CROQUIS_DATOS!$C$1525,70,MOD($A1014-1,70)+1)-2)/2)+1,CROQUIS_DATOS!$C$1541))))*CROQUIS_DATOS!$C$1561*CROQUIS_DATOS!$C$1562),-1000)</f>
        <v>40.2068965517241</v>
      </c>
    </row>
    <row r="1015">
      <c r="A1015" t="n">
        <v>1008</v>
      </c>
      <c r="N1015">
        <f>IF(AND(CROQUIS_DATOS!$C$1472=1,1),(CROQUIS_DATOS!$C$1563+(IF(IF(IF(INT(($A1015-1)/70)+1&gt;CROQUIS_DATOS!$C$1525,70,MOD($A1015-1,70)+1)=1,0,IF(IF(INT(($A1015-1)/70)+1&gt;CROQUIS_DATOS!$C$1525,70,MOD($A1015-1,70)+1)&gt;2*CROQUIS_DATOS!$C$1541+1,IF(MOD(CROQUIS_DATOS!$C$1541,2)=1,1,0),IF(MOD(MIN(INT((IF(INT(($A1015-1)/70)+1&gt;CROQUIS_DATOS!$C$1525,70,MOD($A1015-1,70)+1)-2)/2)+1,CROQUIS_DATOS!$C$1541),2)=1,IF(MOD(IF(INT(($A1015-1)/70)+1&gt;CROQUIS_DATOS!$C$1525,70,MOD($A1015-1,70)+1)-2,2)=0,0,1),IF(MOD(IF(INT(($A1015-1)/70)+1&gt;CROQUIS_DATOS!$C$1525,70,MOD($A1015-1,70)+1)-2,2)=0,1,0))))=0,(INDEX($E$8:$E$23,MIN(INT(($A1015-1)/70)+1,CROQUIS_DATOS!$C$1525))-INDEX($F$8:$F$23,MIN(INT(($A1015-1)/70)+1,CROQUIS_DATOS!$C$1525))/2),(INDEX($E$8:$E$23,MIN(INT(($A1015-1)/70)+1,CROQUIS_DATOS!$C$1525))+INDEX($F$8:$F$23,MIN(INT(($A1015-1)/70)+1,CROQUIS_DATOS!$C$1525))/2)))*CROQUIS_DATOS!$C$1562),-1000)</f>
        <v>82.8189655172414</v>
      </c>
      <c r="O1015">
        <f>IF(AND(CROQUIS_DATOS!$C$1472=1,1),(CROQUIS_DATOS!$C$1564+(IF(OR(IF(INT(($A1015-1)/70)+1&gt;CROQUIS_DATOS!$C$1525,70,MOD($A1015-1,70)+1)=1,IF(INT(($A1015-1)/70)+1&gt;CROQUIS_DATOS!$C$1525,70,MOD($A1015-1,70)+1)&gt;2*CROQUIS_DATOS!$C$1541+1),CROQUIS_DATOS!$C$1476,INDEX($H$8:$H$41,MIN(INT((IF(INT(($A1015-1)/70)+1&gt;CROQUIS_DATOS!$C$1525,70,MOD($A1015-1,70)+1)-2)/2)+1,CROQUIS_DATOS!$C$1541))))*CROQUIS_DATOS!$C$1561*CROQUIS_DATOS!$C$1562),-1000)</f>
        <v>40.2068965517241</v>
      </c>
    </row>
    <row r="1016">
      <c r="A1016" t="n">
        <v>1009</v>
      </c>
      <c r="N1016">
        <f>IF(AND(CROQUIS_DATOS!$C$1472=1,1),(CROQUIS_DATOS!$C$1563+(IF(IF(IF(INT(($A1016-1)/70)+1&gt;CROQUIS_DATOS!$C$1525,70,MOD($A1016-1,70)+1)=1,0,IF(IF(INT(($A1016-1)/70)+1&gt;CROQUIS_DATOS!$C$1525,70,MOD($A1016-1,70)+1)&gt;2*CROQUIS_DATOS!$C$1541+1,IF(MOD(CROQUIS_DATOS!$C$1541,2)=1,1,0),IF(MOD(MIN(INT((IF(INT(($A1016-1)/70)+1&gt;CROQUIS_DATOS!$C$1525,70,MOD($A1016-1,70)+1)-2)/2)+1,CROQUIS_DATOS!$C$1541),2)=1,IF(MOD(IF(INT(($A1016-1)/70)+1&gt;CROQUIS_DATOS!$C$1525,70,MOD($A1016-1,70)+1)-2,2)=0,0,1),IF(MOD(IF(INT(($A1016-1)/70)+1&gt;CROQUIS_DATOS!$C$1525,70,MOD($A1016-1,70)+1)-2,2)=0,1,0))))=0,(INDEX($E$8:$E$23,MIN(INT(($A1016-1)/70)+1,CROQUIS_DATOS!$C$1525))-INDEX($F$8:$F$23,MIN(INT(($A1016-1)/70)+1,CROQUIS_DATOS!$C$1525))/2),(INDEX($E$8:$E$23,MIN(INT(($A1016-1)/70)+1,CROQUIS_DATOS!$C$1525))+INDEX($F$8:$F$23,MIN(INT(($A1016-1)/70)+1,CROQUIS_DATOS!$C$1525))/2)))*CROQUIS_DATOS!$C$1562),-1000)</f>
        <v>82.8189655172414</v>
      </c>
      <c r="O1016">
        <f>IF(AND(CROQUIS_DATOS!$C$1472=1,1),(CROQUIS_DATOS!$C$1564+(IF(OR(IF(INT(($A1016-1)/70)+1&gt;CROQUIS_DATOS!$C$1525,70,MOD($A1016-1,70)+1)=1,IF(INT(($A1016-1)/70)+1&gt;CROQUIS_DATOS!$C$1525,70,MOD($A1016-1,70)+1)&gt;2*CROQUIS_DATOS!$C$1541+1),CROQUIS_DATOS!$C$1476,INDEX($H$8:$H$41,MIN(INT((IF(INT(($A1016-1)/70)+1&gt;CROQUIS_DATOS!$C$1525,70,MOD($A1016-1,70)+1)-2)/2)+1,CROQUIS_DATOS!$C$1541))))*CROQUIS_DATOS!$C$1561*CROQUIS_DATOS!$C$1562),-1000)</f>
        <v>40.2068965517241</v>
      </c>
    </row>
    <row r="1017">
      <c r="A1017" t="n">
        <v>1010</v>
      </c>
      <c r="N1017">
        <f>IF(AND(CROQUIS_DATOS!$C$1472=1,1),(CROQUIS_DATOS!$C$1563+(IF(IF(IF(INT(($A1017-1)/70)+1&gt;CROQUIS_DATOS!$C$1525,70,MOD($A1017-1,70)+1)=1,0,IF(IF(INT(($A1017-1)/70)+1&gt;CROQUIS_DATOS!$C$1525,70,MOD($A1017-1,70)+1)&gt;2*CROQUIS_DATOS!$C$1541+1,IF(MOD(CROQUIS_DATOS!$C$1541,2)=1,1,0),IF(MOD(MIN(INT((IF(INT(($A1017-1)/70)+1&gt;CROQUIS_DATOS!$C$1525,70,MOD($A1017-1,70)+1)-2)/2)+1,CROQUIS_DATOS!$C$1541),2)=1,IF(MOD(IF(INT(($A1017-1)/70)+1&gt;CROQUIS_DATOS!$C$1525,70,MOD($A1017-1,70)+1)-2,2)=0,0,1),IF(MOD(IF(INT(($A1017-1)/70)+1&gt;CROQUIS_DATOS!$C$1525,70,MOD($A1017-1,70)+1)-2,2)=0,1,0))))=0,(INDEX($E$8:$E$23,MIN(INT(($A1017-1)/70)+1,CROQUIS_DATOS!$C$1525))-INDEX($F$8:$F$23,MIN(INT(($A1017-1)/70)+1,CROQUIS_DATOS!$C$1525))/2),(INDEX($E$8:$E$23,MIN(INT(($A1017-1)/70)+1,CROQUIS_DATOS!$C$1525))+INDEX($F$8:$F$23,MIN(INT(($A1017-1)/70)+1,CROQUIS_DATOS!$C$1525))/2)))*CROQUIS_DATOS!$C$1562),-1000)</f>
        <v>82.8189655172414</v>
      </c>
      <c r="O1017">
        <f>IF(AND(CROQUIS_DATOS!$C$1472=1,1),(CROQUIS_DATOS!$C$1564+(IF(OR(IF(INT(($A1017-1)/70)+1&gt;CROQUIS_DATOS!$C$1525,70,MOD($A1017-1,70)+1)=1,IF(INT(($A1017-1)/70)+1&gt;CROQUIS_DATOS!$C$1525,70,MOD($A1017-1,70)+1)&gt;2*CROQUIS_DATOS!$C$1541+1),CROQUIS_DATOS!$C$1476,INDEX($H$8:$H$41,MIN(INT((IF(INT(($A1017-1)/70)+1&gt;CROQUIS_DATOS!$C$1525,70,MOD($A1017-1,70)+1)-2)/2)+1,CROQUIS_DATOS!$C$1541))))*CROQUIS_DATOS!$C$1561*CROQUIS_DATOS!$C$1562),-1000)</f>
        <v>40.2068965517241</v>
      </c>
    </row>
    <row r="1018">
      <c r="A1018" t="n">
        <v>1011</v>
      </c>
      <c r="N1018">
        <f>IF(AND(CROQUIS_DATOS!$C$1472=1,1),(CROQUIS_DATOS!$C$1563+(IF(IF(IF(INT(($A1018-1)/70)+1&gt;CROQUIS_DATOS!$C$1525,70,MOD($A1018-1,70)+1)=1,0,IF(IF(INT(($A1018-1)/70)+1&gt;CROQUIS_DATOS!$C$1525,70,MOD($A1018-1,70)+1)&gt;2*CROQUIS_DATOS!$C$1541+1,IF(MOD(CROQUIS_DATOS!$C$1541,2)=1,1,0),IF(MOD(MIN(INT((IF(INT(($A1018-1)/70)+1&gt;CROQUIS_DATOS!$C$1525,70,MOD($A1018-1,70)+1)-2)/2)+1,CROQUIS_DATOS!$C$1541),2)=1,IF(MOD(IF(INT(($A1018-1)/70)+1&gt;CROQUIS_DATOS!$C$1525,70,MOD($A1018-1,70)+1)-2,2)=0,0,1),IF(MOD(IF(INT(($A1018-1)/70)+1&gt;CROQUIS_DATOS!$C$1525,70,MOD($A1018-1,70)+1)-2,2)=0,1,0))))=0,(INDEX($E$8:$E$23,MIN(INT(($A1018-1)/70)+1,CROQUIS_DATOS!$C$1525))-INDEX($F$8:$F$23,MIN(INT(($A1018-1)/70)+1,CROQUIS_DATOS!$C$1525))/2),(INDEX($E$8:$E$23,MIN(INT(($A1018-1)/70)+1,CROQUIS_DATOS!$C$1525))+INDEX($F$8:$F$23,MIN(INT(($A1018-1)/70)+1,CROQUIS_DATOS!$C$1525))/2)))*CROQUIS_DATOS!$C$1562),-1000)</f>
        <v>82.8189655172414</v>
      </c>
      <c r="O1018">
        <f>IF(AND(CROQUIS_DATOS!$C$1472=1,1),(CROQUIS_DATOS!$C$1564+(IF(OR(IF(INT(($A1018-1)/70)+1&gt;CROQUIS_DATOS!$C$1525,70,MOD($A1018-1,70)+1)=1,IF(INT(($A1018-1)/70)+1&gt;CROQUIS_DATOS!$C$1525,70,MOD($A1018-1,70)+1)&gt;2*CROQUIS_DATOS!$C$1541+1),CROQUIS_DATOS!$C$1476,INDEX($H$8:$H$41,MIN(INT((IF(INT(($A1018-1)/70)+1&gt;CROQUIS_DATOS!$C$1525,70,MOD($A1018-1,70)+1)-2)/2)+1,CROQUIS_DATOS!$C$1541))))*CROQUIS_DATOS!$C$1561*CROQUIS_DATOS!$C$1562),-1000)</f>
        <v>40.2068965517241</v>
      </c>
    </row>
    <row r="1019">
      <c r="A1019" t="n">
        <v>1012</v>
      </c>
      <c r="N1019">
        <f>IF(AND(CROQUIS_DATOS!$C$1472=1,1),(CROQUIS_DATOS!$C$1563+(IF(IF(IF(INT(($A1019-1)/70)+1&gt;CROQUIS_DATOS!$C$1525,70,MOD($A1019-1,70)+1)=1,0,IF(IF(INT(($A1019-1)/70)+1&gt;CROQUIS_DATOS!$C$1525,70,MOD($A1019-1,70)+1)&gt;2*CROQUIS_DATOS!$C$1541+1,IF(MOD(CROQUIS_DATOS!$C$1541,2)=1,1,0),IF(MOD(MIN(INT((IF(INT(($A1019-1)/70)+1&gt;CROQUIS_DATOS!$C$1525,70,MOD($A1019-1,70)+1)-2)/2)+1,CROQUIS_DATOS!$C$1541),2)=1,IF(MOD(IF(INT(($A1019-1)/70)+1&gt;CROQUIS_DATOS!$C$1525,70,MOD($A1019-1,70)+1)-2,2)=0,0,1),IF(MOD(IF(INT(($A1019-1)/70)+1&gt;CROQUIS_DATOS!$C$1525,70,MOD($A1019-1,70)+1)-2,2)=0,1,0))))=0,(INDEX($E$8:$E$23,MIN(INT(($A1019-1)/70)+1,CROQUIS_DATOS!$C$1525))-INDEX($F$8:$F$23,MIN(INT(($A1019-1)/70)+1,CROQUIS_DATOS!$C$1525))/2),(INDEX($E$8:$E$23,MIN(INT(($A1019-1)/70)+1,CROQUIS_DATOS!$C$1525))+INDEX($F$8:$F$23,MIN(INT(($A1019-1)/70)+1,CROQUIS_DATOS!$C$1525))/2)))*CROQUIS_DATOS!$C$1562),-1000)</f>
        <v>82.8189655172414</v>
      </c>
      <c r="O1019">
        <f>IF(AND(CROQUIS_DATOS!$C$1472=1,1),(CROQUIS_DATOS!$C$1564+(IF(OR(IF(INT(($A1019-1)/70)+1&gt;CROQUIS_DATOS!$C$1525,70,MOD($A1019-1,70)+1)=1,IF(INT(($A1019-1)/70)+1&gt;CROQUIS_DATOS!$C$1525,70,MOD($A1019-1,70)+1)&gt;2*CROQUIS_DATOS!$C$1541+1),CROQUIS_DATOS!$C$1476,INDEX($H$8:$H$41,MIN(INT((IF(INT(($A1019-1)/70)+1&gt;CROQUIS_DATOS!$C$1525,70,MOD($A1019-1,70)+1)-2)/2)+1,CROQUIS_DATOS!$C$1541))))*CROQUIS_DATOS!$C$1561*CROQUIS_DATOS!$C$1562),-1000)</f>
        <v>40.2068965517241</v>
      </c>
    </row>
    <row r="1020">
      <c r="A1020" t="n">
        <v>1013</v>
      </c>
      <c r="N1020">
        <f>IF(AND(CROQUIS_DATOS!$C$1472=1,1),(CROQUIS_DATOS!$C$1563+(IF(IF(IF(INT(($A1020-1)/70)+1&gt;CROQUIS_DATOS!$C$1525,70,MOD($A1020-1,70)+1)=1,0,IF(IF(INT(($A1020-1)/70)+1&gt;CROQUIS_DATOS!$C$1525,70,MOD($A1020-1,70)+1)&gt;2*CROQUIS_DATOS!$C$1541+1,IF(MOD(CROQUIS_DATOS!$C$1541,2)=1,1,0),IF(MOD(MIN(INT((IF(INT(($A1020-1)/70)+1&gt;CROQUIS_DATOS!$C$1525,70,MOD($A1020-1,70)+1)-2)/2)+1,CROQUIS_DATOS!$C$1541),2)=1,IF(MOD(IF(INT(($A1020-1)/70)+1&gt;CROQUIS_DATOS!$C$1525,70,MOD($A1020-1,70)+1)-2,2)=0,0,1),IF(MOD(IF(INT(($A1020-1)/70)+1&gt;CROQUIS_DATOS!$C$1525,70,MOD($A1020-1,70)+1)-2,2)=0,1,0))))=0,(INDEX($E$8:$E$23,MIN(INT(($A1020-1)/70)+1,CROQUIS_DATOS!$C$1525))-INDEX($F$8:$F$23,MIN(INT(($A1020-1)/70)+1,CROQUIS_DATOS!$C$1525))/2),(INDEX($E$8:$E$23,MIN(INT(($A1020-1)/70)+1,CROQUIS_DATOS!$C$1525))+INDEX($F$8:$F$23,MIN(INT(($A1020-1)/70)+1,CROQUIS_DATOS!$C$1525))/2)))*CROQUIS_DATOS!$C$1562),-1000)</f>
        <v>82.8189655172414</v>
      </c>
      <c r="O1020">
        <f>IF(AND(CROQUIS_DATOS!$C$1472=1,1),(CROQUIS_DATOS!$C$1564+(IF(OR(IF(INT(($A1020-1)/70)+1&gt;CROQUIS_DATOS!$C$1525,70,MOD($A1020-1,70)+1)=1,IF(INT(($A1020-1)/70)+1&gt;CROQUIS_DATOS!$C$1525,70,MOD($A1020-1,70)+1)&gt;2*CROQUIS_DATOS!$C$1541+1),CROQUIS_DATOS!$C$1476,INDEX($H$8:$H$41,MIN(INT((IF(INT(($A1020-1)/70)+1&gt;CROQUIS_DATOS!$C$1525,70,MOD($A1020-1,70)+1)-2)/2)+1,CROQUIS_DATOS!$C$1541))))*CROQUIS_DATOS!$C$1561*CROQUIS_DATOS!$C$1562),-1000)</f>
        <v>40.2068965517241</v>
      </c>
    </row>
    <row r="1021">
      <c r="A1021" t="n">
        <v>1014</v>
      </c>
      <c r="N1021">
        <f>IF(AND(CROQUIS_DATOS!$C$1472=1,1),(CROQUIS_DATOS!$C$1563+(IF(IF(IF(INT(($A1021-1)/70)+1&gt;CROQUIS_DATOS!$C$1525,70,MOD($A1021-1,70)+1)=1,0,IF(IF(INT(($A1021-1)/70)+1&gt;CROQUIS_DATOS!$C$1525,70,MOD($A1021-1,70)+1)&gt;2*CROQUIS_DATOS!$C$1541+1,IF(MOD(CROQUIS_DATOS!$C$1541,2)=1,1,0),IF(MOD(MIN(INT((IF(INT(($A1021-1)/70)+1&gt;CROQUIS_DATOS!$C$1525,70,MOD($A1021-1,70)+1)-2)/2)+1,CROQUIS_DATOS!$C$1541),2)=1,IF(MOD(IF(INT(($A1021-1)/70)+1&gt;CROQUIS_DATOS!$C$1525,70,MOD($A1021-1,70)+1)-2,2)=0,0,1),IF(MOD(IF(INT(($A1021-1)/70)+1&gt;CROQUIS_DATOS!$C$1525,70,MOD($A1021-1,70)+1)-2,2)=0,1,0))))=0,(INDEX($E$8:$E$23,MIN(INT(($A1021-1)/70)+1,CROQUIS_DATOS!$C$1525))-INDEX($F$8:$F$23,MIN(INT(($A1021-1)/70)+1,CROQUIS_DATOS!$C$1525))/2),(INDEX($E$8:$E$23,MIN(INT(($A1021-1)/70)+1,CROQUIS_DATOS!$C$1525))+INDEX($F$8:$F$23,MIN(INT(($A1021-1)/70)+1,CROQUIS_DATOS!$C$1525))/2)))*CROQUIS_DATOS!$C$1562),-1000)</f>
        <v>82.8189655172414</v>
      </c>
      <c r="O1021">
        <f>IF(AND(CROQUIS_DATOS!$C$1472=1,1),(CROQUIS_DATOS!$C$1564+(IF(OR(IF(INT(($A1021-1)/70)+1&gt;CROQUIS_DATOS!$C$1525,70,MOD($A1021-1,70)+1)=1,IF(INT(($A1021-1)/70)+1&gt;CROQUIS_DATOS!$C$1525,70,MOD($A1021-1,70)+1)&gt;2*CROQUIS_DATOS!$C$1541+1),CROQUIS_DATOS!$C$1476,INDEX($H$8:$H$41,MIN(INT((IF(INT(($A1021-1)/70)+1&gt;CROQUIS_DATOS!$C$1525,70,MOD($A1021-1,70)+1)-2)/2)+1,CROQUIS_DATOS!$C$1541))))*CROQUIS_DATOS!$C$1561*CROQUIS_DATOS!$C$1562),-1000)</f>
        <v>40.2068965517241</v>
      </c>
    </row>
    <row r="1022">
      <c r="A1022" t="n">
        <v>1015</v>
      </c>
      <c r="N1022">
        <f>IF(AND(CROQUIS_DATOS!$C$1472=1,1),(CROQUIS_DATOS!$C$1563+(IF(IF(IF(INT(($A1022-1)/70)+1&gt;CROQUIS_DATOS!$C$1525,70,MOD($A1022-1,70)+1)=1,0,IF(IF(INT(($A1022-1)/70)+1&gt;CROQUIS_DATOS!$C$1525,70,MOD($A1022-1,70)+1)&gt;2*CROQUIS_DATOS!$C$1541+1,IF(MOD(CROQUIS_DATOS!$C$1541,2)=1,1,0),IF(MOD(MIN(INT((IF(INT(($A1022-1)/70)+1&gt;CROQUIS_DATOS!$C$1525,70,MOD($A1022-1,70)+1)-2)/2)+1,CROQUIS_DATOS!$C$1541),2)=1,IF(MOD(IF(INT(($A1022-1)/70)+1&gt;CROQUIS_DATOS!$C$1525,70,MOD($A1022-1,70)+1)-2,2)=0,0,1),IF(MOD(IF(INT(($A1022-1)/70)+1&gt;CROQUIS_DATOS!$C$1525,70,MOD($A1022-1,70)+1)-2,2)=0,1,0))))=0,(INDEX($E$8:$E$23,MIN(INT(($A1022-1)/70)+1,CROQUIS_DATOS!$C$1525))-INDEX($F$8:$F$23,MIN(INT(($A1022-1)/70)+1,CROQUIS_DATOS!$C$1525))/2),(INDEX($E$8:$E$23,MIN(INT(($A1022-1)/70)+1,CROQUIS_DATOS!$C$1525))+INDEX($F$8:$F$23,MIN(INT(($A1022-1)/70)+1,CROQUIS_DATOS!$C$1525))/2)))*CROQUIS_DATOS!$C$1562),-1000)</f>
        <v>82.8189655172414</v>
      </c>
      <c r="O1022">
        <f>IF(AND(CROQUIS_DATOS!$C$1472=1,1),(CROQUIS_DATOS!$C$1564+(IF(OR(IF(INT(($A1022-1)/70)+1&gt;CROQUIS_DATOS!$C$1525,70,MOD($A1022-1,70)+1)=1,IF(INT(($A1022-1)/70)+1&gt;CROQUIS_DATOS!$C$1525,70,MOD($A1022-1,70)+1)&gt;2*CROQUIS_DATOS!$C$1541+1),CROQUIS_DATOS!$C$1476,INDEX($H$8:$H$41,MIN(INT((IF(INT(($A1022-1)/70)+1&gt;CROQUIS_DATOS!$C$1525,70,MOD($A1022-1,70)+1)-2)/2)+1,CROQUIS_DATOS!$C$1541))))*CROQUIS_DATOS!$C$1561*CROQUIS_DATOS!$C$1562),-1000)</f>
        <v>40.2068965517241</v>
      </c>
    </row>
    <row r="1023">
      <c r="A1023" t="n">
        <v>1016</v>
      </c>
      <c r="N1023">
        <f>IF(AND(CROQUIS_DATOS!$C$1472=1,1),(CROQUIS_DATOS!$C$1563+(IF(IF(IF(INT(($A1023-1)/70)+1&gt;CROQUIS_DATOS!$C$1525,70,MOD($A1023-1,70)+1)=1,0,IF(IF(INT(($A1023-1)/70)+1&gt;CROQUIS_DATOS!$C$1525,70,MOD($A1023-1,70)+1)&gt;2*CROQUIS_DATOS!$C$1541+1,IF(MOD(CROQUIS_DATOS!$C$1541,2)=1,1,0),IF(MOD(MIN(INT((IF(INT(($A1023-1)/70)+1&gt;CROQUIS_DATOS!$C$1525,70,MOD($A1023-1,70)+1)-2)/2)+1,CROQUIS_DATOS!$C$1541),2)=1,IF(MOD(IF(INT(($A1023-1)/70)+1&gt;CROQUIS_DATOS!$C$1525,70,MOD($A1023-1,70)+1)-2,2)=0,0,1),IF(MOD(IF(INT(($A1023-1)/70)+1&gt;CROQUIS_DATOS!$C$1525,70,MOD($A1023-1,70)+1)-2,2)=0,1,0))))=0,(INDEX($E$8:$E$23,MIN(INT(($A1023-1)/70)+1,CROQUIS_DATOS!$C$1525))-INDEX($F$8:$F$23,MIN(INT(($A1023-1)/70)+1,CROQUIS_DATOS!$C$1525))/2),(INDEX($E$8:$E$23,MIN(INT(($A1023-1)/70)+1,CROQUIS_DATOS!$C$1525))+INDEX($F$8:$F$23,MIN(INT(($A1023-1)/70)+1,CROQUIS_DATOS!$C$1525))/2)))*CROQUIS_DATOS!$C$1562),-1000)</f>
        <v>82.8189655172414</v>
      </c>
      <c r="O1023">
        <f>IF(AND(CROQUIS_DATOS!$C$1472=1,1),(CROQUIS_DATOS!$C$1564+(IF(OR(IF(INT(($A1023-1)/70)+1&gt;CROQUIS_DATOS!$C$1525,70,MOD($A1023-1,70)+1)=1,IF(INT(($A1023-1)/70)+1&gt;CROQUIS_DATOS!$C$1525,70,MOD($A1023-1,70)+1)&gt;2*CROQUIS_DATOS!$C$1541+1),CROQUIS_DATOS!$C$1476,INDEX($H$8:$H$41,MIN(INT((IF(INT(($A1023-1)/70)+1&gt;CROQUIS_DATOS!$C$1525,70,MOD($A1023-1,70)+1)-2)/2)+1,CROQUIS_DATOS!$C$1541))))*CROQUIS_DATOS!$C$1561*CROQUIS_DATOS!$C$1562),-1000)</f>
        <v>40.2068965517241</v>
      </c>
    </row>
    <row r="1024">
      <c r="A1024" t="n">
        <v>1017</v>
      </c>
      <c r="N1024">
        <f>IF(AND(CROQUIS_DATOS!$C$1472=1,1),(CROQUIS_DATOS!$C$1563+(IF(IF(IF(INT(($A1024-1)/70)+1&gt;CROQUIS_DATOS!$C$1525,70,MOD($A1024-1,70)+1)=1,0,IF(IF(INT(($A1024-1)/70)+1&gt;CROQUIS_DATOS!$C$1525,70,MOD($A1024-1,70)+1)&gt;2*CROQUIS_DATOS!$C$1541+1,IF(MOD(CROQUIS_DATOS!$C$1541,2)=1,1,0),IF(MOD(MIN(INT((IF(INT(($A1024-1)/70)+1&gt;CROQUIS_DATOS!$C$1525,70,MOD($A1024-1,70)+1)-2)/2)+1,CROQUIS_DATOS!$C$1541),2)=1,IF(MOD(IF(INT(($A1024-1)/70)+1&gt;CROQUIS_DATOS!$C$1525,70,MOD($A1024-1,70)+1)-2,2)=0,0,1),IF(MOD(IF(INT(($A1024-1)/70)+1&gt;CROQUIS_DATOS!$C$1525,70,MOD($A1024-1,70)+1)-2,2)=0,1,0))))=0,(INDEX($E$8:$E$23,MIN(INT(($A1024-1)/70)+1,CROQUIS_DATOS!$C$1525))-INDEX($F$8:$F$23,MIN(INT(($A1024-1)/70)+1,CROQUIS_DATOS!$C$1525))/2),(INDEX($E$8:$E$23,MIN(INT(($A1024-1)/70)+1,CROQUIS_DATOS!$C$1525))+INDEX($F$8:$F$23,MIN(INT(($A1024-1)/70)+1,CROQUIS_DATOS!$C$1525))/2)))*CROQUIS_DATOS!$C$1562),-1000)</f>
        <v>82.8189655172414</v>
      </c>
      <c r="O1024">
        <f>IF(AND(CROQUIS_DATOS!$C$1472=1,1),(CROQUIS_DATOS!$C$1564+(IF(OR(IF(INT(($A1024-1)/70)+1&gt;CROQUIS_DATOS!$C$1525,70,MOD($A1024-1,70)+1)=1,IF(INT(($A1024-1)/70)+1&gt;CROQUIS_DATOS!$C$1525,70,MOD($A1024-1,70)+1)&gt;2*CROQUIS_DATOS!$C$1541+1),CROQUIS_DATOS!$C$1476,INDEX($H$8:$H$41,MIN(INT((IF(INT(($A1024-1)/70)+1&gt;CROQUIS_DATOS!$C$1525,70,MOD($A1024-1,70)+1)-2)/2)+1,CROQUIS_DATOS!$C$1541))))*CROQUIS_DATOS!$C$1561*CROQUIS_DATOS!$C$1562),-1000)</f>
        <v>40.2068965517241</v>
      </c>
    </row>
    <row r="1025">
      <c r="A1025" t="n">
        <v>1018</v>
      </c>
      <c r="N1025">
        <f>IF(AND(CROQUIS_DATOS!$C$1472=1,1),(CROQUIS_DATOS!$C$1563+(IF(IF(IF(INT(($A1025-1)/70)+1&gt;CROQUIS_DATOS!$C$1525,70,MOD($A1025-1,70)+1)=1,0,IF(IF(INT(($A1025-1)/70)+1&gt;CROQUIS_DATOS!$C$1525,70,MOD($A1025-1,70)+1)&gt;2*CROQUIS_DATOS!$C$1541+1,IF(MOD(CROQUIS_DATOS!$C$1541,2)=1,1,0),IF(MOD(MIN(INT((IF(INT(($A1025-1)/70)+1&gt;CROQUIS_DATOS!$C$1525,70,MOD($A1025-1,70)+1)-2)/2)+1,CROQUIS_DATOS!$C$1541),2)=1,IF(MOD(IF(INT(($A1025-1)/70)+1&gt;CROQUIS_DATOS!$C$1525,70,MOD($A1025-1,70)+1)-2,2)=0,0,1),IF(MOD(IF(INT(($A1025-1)/70)+1&gt;CROQUIS_DATOS!$C$1525,70,MOD($A1025-1,70)+1)-2,2)=0,1,0))))=0,(INDEX($E$8:$E$23,MIN(INT(($A1025-1)/70)+1,CROQUIS_DATOS!$C$1525))-INDEX($F$8:$F$23,MIN(INT(($A1025-1)/70)+1,CROQUIS_DATOS!$C$1525))/2),(INDEX($E$8:$E$23,MIN(INT(($A1025-1)/70)+1,CROQUIS_DATOS!$C$1525))+INDEX($F$8:$F$23,MIN(INT(($A1025-1)/70)+1,CROQUIS_DATOS!$C$1525))/2)))*CROQUIS_DATOS!$C$1562),-1000)</f>
        <v>82.8189655172414</v>
      </c>
      <c r="O1025">
        <f>IF(AND(CROQUIS_DATOS!$C$1472=1,1),(CROQUIS_DATOS!$C$1564+(IF(OR(IF(INT(($A1025-1)/70)+1&gt;CROQUIS_DATOS!$C$1525,70,MOD($A1025-1,70)+1)=1,IF(INT(($A1025-1)/70)+1&gt;CROQUIS_DATOS!$C$1525,70,MOD($A1025-1,70)+1)&gt;2*CROQUIS_DATOS!$C$1541+1),CROQUIS_DATOS!$C$1476,INDEX($H$8:$H$41,MIN(INT((IF(INT(($A1025-1)/70)+1&gt;CROQUIS_DATOS!$C$1525,70,MOD($A1025-1,70)+1)-2)/2)+1,CROQUIS_DATOS!$C$1541))))*CROQUIS_DATOS!$C$1561*CROQUIS_DATOS!$C$1562),-1000)</f>
        <v>40.2068965517241</v>
      </c>
    </row>
    <row r="1026">
      <c r="A1026" t="n">
        <v>1019</v>
      </c>
      <c r="N1026">
        <f>IF(AND(CROQUIS_DATOS!$C$1472=1,1),(CROQUIS_DATOS!$C$1563+(IF(IF(IF(INT(($A1026-1)/70)+1&gt;CROQUIS_DATOS!$C$1525,70,MOD($A1026-1,70)+1)=1,0,IF(IF(INT(($A1026-1)/70)+1&gt;CROQUIS_DATOS!$C$1525,70,MOD($A1026-1,70)+1)&gt;2*CROQUIS_DATOS!$C$1541+1,IF(MOD(CROQUIS_DATOS!$C$1541,2)=1,1,0),IF(MOD(MIN(INT((IF(INT(($A1026-1)/70)+1&gt;CROQUIS_DATOS!$C$1525,70,MOD($A1026-1,70)+1)-2)/2)+1,CROQUIS_DATOS!$C$1541),2)=1,IF(MOD(IF(INT(($A1026-1)/70)+1&gt;CROQUIS_DATOS!$C$1525,70,MOD($A1026-1,70)+1)-2,2)=0,0,1),IF(MOD(IF(INT(($A1026-1)/70)+1&gt;CROQUIS_DATOS!$C$1525,70,MOD($A1026-1,70)+1)-2,2)=0,1,0))))=0,(INDEX($E$8:$E$23,MIN(INT(($A1026-1)/70)+1,CROQUIS_DATOS!$C$1525))-INDEX($F$8:$F$23,MIN(INT(($A1026-1)/70)+1,CROQUIS_DATOS!$C$1525))/2),(INDEX($E$8:$E$23,MIN(INT(($A1026-1)/70)+1,CROQUIS_DATOS!$C$1525))+INDEX($F$8:$F$23,MIN(INT(($A1026-1)/70)+1,CROQUIS_DATOS!$C$1525))/2)))*CROQUIS_DATOS!$C$1562),-1000)</f>
        <v>82.8189655172414</v>
      </c>
      <c r="O1026">
        <f>IF(AND(CROQUIS_DATOS!$C$1472=1,1),(CROQUIS_DATOS!$C$1564+(IF(OR(IF(INT(($A1026-1)/70)+1&gt;CROQUIS_DATOS!$C$1525,70,MOD($A1026-1,70)+1)=1,IF(INT(($A1026-1)/70)+1&gt;CROQUIS_DATOS!$C$1525,70,MOD($A1026-1,70)+1)&gt;2*CROQUIS_DATOS!$C$1541+1),CROQUIS_DATOS!$C$1476,INDEX($H$8:$H$41,MIN(INT((IF(INT(($A1026-1)/70)+1&gt;CROQUIS_DATOS!$C$1525,70,MOD($A1026-1,70)+1)-2)/2)+1,CROQUIS_DATOS!$C$1541))))*CROQUIS_DATOS!$C$1561*CROQUIS_DATOS!$C$1562),-1000)</f>
        <v>40.2068965517241</v>
      </c>
    </row>
    <row r="1027">
      <c r="A1027" t="n">
        <v>1020</v>
      </c>
      <c r="N1027">
        <f>IF(AND(CROQUIS_DATOS!$C$1472=1,1),(CROQUIS_DATOS!$C$1563+(IF(IF(IF(INT(($A1027-1)/70)+1&gt;CROQUIS_DATOS!$C$1525,70,MOD($A1027-1,70)+1)=1,0,IF(IF(INT(($A1027-1)/70)+1&gt;CROQUIS_DATOS!$C$1525,70,MOD($A1027-1,70)+1)&gt;2*CROQUIS_DATOS!$C$1541+1,IF(MOD(CROQUIS_DATOS!$C$1541,2)=1,1,0),IF(MOD(MIN(INT((IF(INT(($A1027-1)/70)+1&gt;CROQUIS_DATOS!$C$1525,70,MOD($A1027-1,70)+1)-2)/2)+1,CROQUIS_DATOS!$C$1541),2)=1,IF(MOD(IF(INT(($A1027-1)/70)+1&gt;CROQUIS_DATOS!$C$1525,70,MOD($A1027-1,70)+1)-2,2)=0,0,1),IF(MOD(IF(INT(($A1027-1)/70)+1&gt;CROQUIS_DATOS!$C$1525,70,MOD($A1027-1,70)+1)-2,2)=0,1,0))))=0,(INDEX($E$8:$E$23,MIN(INT(($A1027-1)/70)+1,CROQUIS_DATOS!$C$1525))-INDEX($F$8:$F$23,MIN(INT(($A1027-1)/70)+1,CROQUIS_DATOS!$C$1525))/2),(INDEX($E$8:$E$23,MIN(INT(($A1027-1)/70)+1,CROQUIS_DATOS!$C$1525))+INDEX($F$8:$F$23,MIN(INT(($A1027-1)/70)+1,CROQUIS_DATOS!$C$1525))/2)))*CROQUIS_DATOS!$C$1562),-1000)</f>
        <v>82.8189655172414</v>
      </c>
      <c r="O1027">
        <f>IF(AND(CROQUIS_DATOS!$C$1472=1,1),(CROQUIS_DATOS!$C$1564+(IF(OR(IF(INT(($A1027-1)/70)+1&gt;CROQUIS_DATOS!$C$1525,70,MOD($A1027-1,70)+1)=1,IF(INT(($A1027-1)/70)+1&gt;CROQUIS_DATOS!$C$1525,70,MOD($A1027-1,70)+1)&gt;2*CROQUIS_DATOS!$C$1541+1),CROQUIS_DATOS!$C$1476,INDEX($H$8:$H$41,MIN(INT((IF(INT(($A1027-1)/70)+1&gt;CROQUIS_DATOS!$C$1525,70,MOD($A1027-1,70)+1)-2)/2)+1,CROQUIS_DATOS!$C$1541))))*CROQUIS_DATOS!$C$1561*CROQUIS_DATOS!$C$1562),-1000)</f>
        <v>40.2068965517241</v>
      </c>
    </row>
    <row r="1028">
      <c r="A1028" t="n">
        <v>1021</v>
      </c>
      <c r="N1028">
        <f>IF(AND(CROQUIS_DATOS!$C$1472=1,1),(CROQUIS_DATOS!$C$1563+(IF(IF(IF(INT(($A1028-1)/70)+1&gt;CROQUIS_DATOS!$C$1525,70,MOD($A1028-1,70)+1)=1,0,IF(IF(INT(($A1028-1)/70)+1&gt;CROQUIS_DATOS!$C$1525,70,MOD($A1028-1,70)+1)&gt;2*CROQUIS_DATOS!$C$1541+1,IF(MOD(CROQUIS_DATOS!$C$1541,2)=1,1,0),IF(MOD(MIN(INT((IF(INT(($A1028-1)/70)+1&gt;CROQUIS_DATOS!$C$1525,70,MOD($A1028-1,70)+1)-2)/2)+1,CROQUIS_DATOS!$C$1541),2)=1,IF(MOD(IF(INT(($A1028-1)/70)+1&gt;CROQUIS_DATOS!$C$1525,70,MOD($A1028-1,70)+1)-2,2)=0,0,1),IF(MOD(IF(INT(($A1028-1)/70)+1&gt;CROQUIS_DATOS!$C$1525,70,MOD($A1028-1,70)+1)-2,2)=0,1,0))))=0,(INDEX($E$8:$E$23,MIN(INT(($A1028-1)/70)+1,CROQUIS_DATOS!$C$1525))-INDEX($F$8:$F$23,MIN(INT(($A1028-1)/70)+1,CROQUIS_DATOS!$C$1525))/2),(INDEX($E$8:$E$23,MIN(INT(($A1028-1)/70)+1,CROQUIS_DATOS!$C$1525))+INDEX($F$8:$F$23,MIN(INT(($A1028-1)/70)+1,CROQUIS_DATOS!$C$1525))/2)))*CROQUIS_DATOS!$C$1562),-1000)</f>
        <v>82.8189655172414</v>
      </c>
      <c r="O1028">
        <f>IF(AND(CROQUIS_DATOS!$C$1472=1,1),(CROQUIS_DATOS!$C$1564+(IF(OR(IF(INT(($A1028-1)/70)+1&gt;CROQUIS_DATOS!$C$1525,70,MOD($A1028-1,70)+1)=1,IF(INT(($A1028-1)/70)+1&gt;CROQUIS_DATOS!$C$1525,70,MOD($A1028-1,70)+1)&gt;2*CROQUIS_DATOS!$C$1541+1),CROQUIS_DATOS!$C$1476,INDEX($H$8:$H$41,MIN(INT((IF(INT(($A1028-1)/70)+1&gt;CROQUIS_DATOS!$C$1525,70,MOD($A1028-1,70)+1)-2)/2)+1,CROQUIS_DATOS!$C$1541))))*CROQUIS_DATOS!$C$1561*CROQUIS_DATOS!$C$1562),-1000)</f>
        <v>40.2068965517241</v>
      </c>
    </row>
    <row r="1029">
      <c r="A1029" t="n">
        <v>1022</v>
      </c>
      <c r="N1029">
        <f>IF(AND(CROQUIS_DATOS!$C$1472=1,1),(CROQUIS_DATOS!$C$1563+(IF(IF(IF(INT(($A1029-1)/70)+1&gt;CROQUIS_DATOS!$C$1525,70,MOD($A1029-1,70)+1)=1,0,IF(IF(INT(($A1029-1)/70)+1&gt;CROQUIS_DATOS!$C$1525,70,MOD($A1029-1,70)+1)&gt;2*CROQUIS_DATOS!$C$1541+1,IF(MOD(CROQUIS_DATOS!$C$1541,2)=1,1,0),IF(MOD(MIN(INT((IF(INT(($A1029-1)/70)+1&gt;CROQUIS_DATOS!$C$1525,70,MOD($A1029-1,70)+1)-2)/2)+1,CROQUIS_DATOS!$C$1541),2)=1,IF(MOD(IF(INT(($A1029-1)/70)+1&gt;CROQUIS_DATOS!$C$1525,70,MOD($A1029-1,70)+1)-2,2)=0,0,1),IF(MOD(IF(INT(($A1029-1)/70)+1&gt;CROQUIS_DATOS!$C$1525,70,MOD($A1029-1,70)+1)-2,2)=0,1,0))))=0,(INDEX($E$8:$E$23,MIN(INT(($A1029-1)/70)+1,CROQUIS_DATOS!$C$1525))-INDEX($F$8:$F$23,MIN(INT(($A1029-1)/70)+1,CROQUIS_DATOS!$C$1525))/2),(INDEX($E$8:$E$23,MIN(INT(($A1029-1)/70)+1,CROQUIS_DATOS!$C$1525))+INDEX($F$8:$F$23,MIN(INT(($A1029-1)/70)+1,CROQUIS_DATOS!$C$1525))/2)))*CROQUIS_DATOS!$C$1562),-1000)</f>
        <v>82.8189655172414</v>
      </c>
      <c r="O1029">
        <f>IF(AND(CROQUIS_DATOS!$C$1472=1,1),(CROQUIS_DATOS!$C$1564+(IF(OR(IF(INT(($A1029-1)/70)+1&gt;CROQUIS_DATOS!$C$1525,70,MOD($A1029-1,70)+1)=1,IF(INT(($A1029-1)/70)+1&gt;CROQUIS_DATOS!$C$1525,70,MOD($A1029-1,70)+1)&gt;2*CROQUIS_DATOS!$C$1541+1),CROQUIS_DATOS!$C$1476,INDEX($H$8:$H$41,MIN(INT((IF(INT(($A1029-1)/70)+1&gt;CROQUIS_DATOS!$C$1525,70,MOD($A1029-1,70)+1)-2)/2)+1,CROQUIS_DATOS!$C$1541))))*CROQUIS_DATOS!$C$1561*CROQUIS_DATOS!$C$1562),-1000)</f>
        <v>40.2068965517241</v>
      </c>
    </row>
    <row r="1030">
      <c r="A1030" t="n">
        <v>1023</v>
      </c>
      <c r="N1030">
        <f>IF(AND(CROQUIS_DATOS!$C$1472=1,1),(CROQUIS_DATOS!$C$1563+(IF(IF(IF(INT(($A1030-1)/70)+1&gt;CROQUIS_DATOS!$C$1525,70,MOD($A1030-1,70)+1)=1,0,IF(IF(INT(($A1030-1)/70)+1&gt;CROQUIS_DATOS!$C$1525,70,MOD($A1030-1,70)+1)&gt;2*CROQUIS_DATOS!$C$1541+1,IF(MOD(CROQUIS_DATOS!$C$1541,2)=1,1,0),IF(MOD(MIN(INT((IF(INT(($A1030-1)/70)+1&gt;CROQUIS_DATOS!$C$1525,70,MOD($A1030-1,70)+1)-2)/2)+1,CROQUIS_DATOS!$C$1541),2)=1,IF(MOD(IF(INT(($A1030-1)/70)+1&gt;CROQUIS_DATOS!$C$1525,70,MOD($A1030-1,70)+1)-2,2)=0,0,1),IF(MOD(IF(INT(($A1030-1)/70)+1&gt;CROQUIS_DATOS!$C$1525,70,MOD($A1030-1,70)+1)-2,2)=0,1,0))))=0,(INDEX($E$8:$E$23,MIN(INT(($A1030-1)/70)+1,CROQUIS_DATOS!$C$1525))-INDEX($F$8:$F$23,MIN(INT(($A1030-1)/70)+1,CROQUIS_DATOS!$C$1525))/2),(INDEX($E$8:$E$23,MIN(INT(($A1030-1)/70)+1,CROQUIS_DATOS!$C$1525))+INDEX($F$8:$F$23,MIN(INT(($A1030-1)/70)+1,CROQUIS_DATOS!$C$1525))/2)))*CROQUIS_DATOS!$C$1562),-1000)</f>
        <v>82.8189655172414</v>
      </c>
      <c r="O1030">
        <f>IF(AND(CROQUIS_DATOS!$C$1472=1,1),(CROQUIS_DATOS!$C$1564+(IF(OR(IF(INT(($A1030-1)/70)+1&gt;CROQUIS_DATOS!$C$1525,70,MOD($A1030-1,70)+1)=1,IF(INT(($A1030-1)/70)+1&gt;CROQUIS_DATOS!$C$1525,70,MOD($A1030-1,70)+1)&gt;2*CROQUIS_DATOS!$C$1541+1),CROQUIS_DATOS!$C$1476,INDEX($H$8:$H$41,MIN(INT((IF(INT(($A1030-1)/70)+1&gt;CROQUIS_DATOS!$C$1525,70,MOD($A1030-1,70)+1)-2)/2)+1,CROQUIS_DATOS!$C$1541))))*CROQUIS_DATOS!$C$1561*CROQUIS_DATOS!$C$1562),-1000)</f>
        <v>40.2068965517241</v>
      </c>
    </row>
    <row r="1031">
      <c r="A1031" t="n">
        <v>1024</v>
      </c>
      <c r="N1031">
        <f>IF(AND(CROQUIS_DATOS!$C$1472=1,1),(CROQUIS_DATOS!$C$1563+(IF(IF(IF(INT(($A1031-1)/70)+1&gt;CROQUIS_DATOS!$C$1525,70,MOD($A1031-1,70)+1)=1,0,IF(IF(INT(($A1031-1)/70)+1&gt;CROQUIS_DATOS!$C$1525,70,MOD($A1031-1,70)+1)&gt;2*CROQUIS_DATOS!$C$1541+1,IF(MOD(CROQUIS_DATOS!$C$1541,2)=1,1,0),IF(MOD(MIN(INT((IF(INT(($A1031-1)/70)+1&gt;CROQUIS_DATOS!$C$1525,70,MOD($A1031-1,70)+1)-2)/2)+1,CROQUIS_DATOS!$C$1541),2)=1,IF(MOD(IF(INT(($A1031-1)/70)+1&gt;CROQUIS_DATOS!$C$1525,70,MOD($A1031-1,70)+1)-2,2)=0,0,1),IF(MOD(IF(INT(($A1031-1)/70)+1&gt;CROQUIS_DATOS!$C$1525,70,MOD($A1031-1,70)+1)-2,2)=0,1,0))))=0,(INDEX($E$8:$E$23,MIN(INT(($A1031-1)/70)+1,CROQUIS_DATOS!$C$1525))-INDEX($F$8:$F$23,MIN(INT(($A1031-1)/70)+1,CROQUIS_DATOS!$C$1525))/2),(INDEX($E$8:$E$23,MIN(INT(($A1031-1)/70)+1,CROQUIS_DATOS!$C$1525))+INDEX($F$8:$F$23,MIN(INT(($A1031-1)/70)+1,CROQUIS_DATOS!$C$1525))/2)))*CROQUIS_DATOS!$C$1562),-1000)</f>
        <v>82.8189655172414</v>
      </c>
      <c r="O1031">
        <f>IF(AND(CROQUIS_DATOS!$C$1472=1,1),(CROQUIS_DATOS!$C$1564+(IF(OR(IF(INT(($A1031-1)/70)+1&gt;CROQUIS_DATOS!$C$1525,70,MOD($A1031-1,70)+1)=1,IF(INT(($A1031-1)/70)+1&gt;CROQUIS_DATOS!$C$1525,70,MOD($A1031-1,70)+1)&gt;2*CROQUIS_DATOS!$C$1541+1),CROQUIS_DATOS!$C$1476,INDEX($H$8:$H$41,MIN(INT((IF(INT(($A1031-1)/70)+1&gt;CROQUIS_DATOS!$C$1525,70,MOD($A1031-1,70)+1)-2)/2)+1,CROQUIS_DATOS!$C$1541))))*CROQUIS_DATOS!$C$1561*CROQUIS_DATOS!$C$1562),-1000)</f>
        <v>40.2068965517241</v>
      </c>
    </row>
    <row r="1032">
      <c r="A1032" t="n">
        <v>1025</v>
      </c>
      <c r="N1032">
        <f>IF(AND(CROQUIS_DATOS!$C$1472=1,1),(CROQUIS_DATOS!$C$1563+(IF(IF(IF(INT(($A1032-1)/70)+1&gt;CROQUIS_DATOS!$C$1525,70,MOD($A1032-1,70)+1)=1,0,IF(IF(INT(($A1032-1)/70)+1&gt;CROQUIS_DATOS!$C$1525,70,MOD($A1032-1,70)+1)&gt;2*CROQUIS_DATOS!$C$1541+1,IF(MOD(CROQUIS_DATOS!$C$1541,2)=1,1,0),IF(MOD(MIN(INT((IF(INT(($A1032-1)/70)+1&gt;CROQUIS_DATOS!$C$1525,70,MOD($A1032-1,70)+1)-2)/2)+1,CROQUIS_DATOS!$C$1541),2)=1,IF(MOD(IF(INT(($A1032-1)/70)+1&gt;CROQUIS_DATOS!$C$1525,70,MOD($A1032-1,70)+1)-2,2)=0,0,1),IF(MOD(IF(INT(($A1032-1)/70)+1&gt;CROQUIS_DATOS!$C$1525,70,MOD($A1032-1,70)+1)-2,2)=0,1,0))))=0,(INDEX($E$8:$E$23,MIN(INT(($A1032-1)/70)+1,CROQUIS_DATOS!$C$1525))-INDEX($F$8:$F$23,MIN(INT(($A1032-1)/70)+1,CROQUIS_DATOS!$C$1525))/2),(INDEX($E$8:$E$23,MIN(INT(($A1032-1)/70)+1,CROQUIS_DATOS!$C$1525))+INDEX($F$8:$F$23,MIN(INT(($A1032-1)/70)+1,CROQUIS_DATOS!$C$1525))/2)))*CROQUIS_DATOS!$C$1562),-1000)</f>
        <v>82.8189655172414</v>
      </c>
      <c r="O1032">
        <f>IF(AND(CROQUIS_DATOS!$C$1472=1,1),(CROQUIS_DATOS!$C$1564+(IF(OR(IF(INT(($A1032-1)/70)+1&gt;CROQUIS_DATOS!$C$1525,70,MOD($A1032-1,70)+1)=1,IF(INT(($A1032-1)/70)+1&gt;CROQUIS_DATOS!$C$1525,70,MOD($A1032-1,70)+1)&gt;2*CROQUIS_DATOS!$C$1541+1),CROQUIS_DATOS!$C$1476,INDEX($H$8:$H$41,MIN(INT((IF(INT(($A1032-1)/70)+1&gt;CROQUIS_DATOS!$C$1525,70,MOD($A1032-1,70)+1)-2)/2)+1,CROQUIS_DATOS!$C$1541))))*CROQUIS_DATOS!$C$1561*CROQUIS_DATOS!$C$1562),-1000)</f>
        <v>40.2068965517241</v>
      </c>
    </row>
    <row r="1033">
      <c r="A1033" t="n">
        <v>1026</v>
      </c>
      <c r="N1033">
        <f>IF(AND(CROQUIS_DATOS!$C$1472=1,1),(CROQUIS_DATOS!$C$1563+(IF(IF(IF(INT(($A1033-1)/70)+1&gt;CROQUIS_DATOS!$C$1525,70,MOD($A1033-1,70)+1)=1,0,IF(IF(INT(($A1033-1)/70)+1&gt;CROQUIS_DATOS!$C$1525,70,MOD($A1033-1,70)+1)&gt;2*CROQUIS_DATOS!$C$1541+1,IF(MOD(CROQUIS_DATOS!$C$1541,2)=1,1,0),IF(MOD(MIN(INT((IF(INT(($A1033-1)/70)+1&gt;CROQUIS_DATOS!$C$1525,70,MOD($A1033-1,70)+1)-2)/2)+1,CROQUIS_DATOS!$C$1541),2)=1,IF(MOD(IF(INT(($A1033-1)/70)+1&gt;CROQUIS_DATOS!$C$1525,70,MOD($A1033-1,70)+1)-2,2)=0,0,1),IF(MOD(IF(INT(($A1033-1)/70)+1&gt;CROQUIS_DATOS!$C$1525,70,MOD($A1033-1,70)+1)-2,2)=0,1,0))))=0,(INDEX($E$8:$E$23,MIN(INT(($A1033-1)/70)+1,CROQUIS_DATOS!$C$1525))-INDEX($F$8:$F$23,MIN(INT(($A1033-1)/70)+1,CROQUIS_DATOS!$C$1525))/2),(INDEX($E$8:$E$23,MIN(INT(($A1033-1)/70)+1,CROQUIS_DATOS!$C$1525))+INDEX($F$8:$F$23,MIN(INT(($A1033-1)/70)+1,CROQUIS_DATOS!$C$1525))/2)))*CROQUIS_DATOS!$C$1562),-1000)</f>
        <v>82.8189655172414</v>
      </c>
      <c r="O1033">
        <f>IF(AND(CROQUIS_DATOS!$C$1472=1,1),(CROQUIS_DATOS!$C$1564+(IF(OR(IF(INT(($A1033-1)/70)+1&gt;CROQUIS_DATOS!$C$1525,70,MOD($A1033-1,70)+1)=1,IF(INT(($A1033-1)/70)+1&gt;CROQUIS_DATOS!$C$1525,70,MOD($A1033-1,70)+1)&gt;2*CROQUIS_DATOS!$C$1541+1),CROQUIS_DATOS!$C$1476,INDEX($H$8:$H$41,MIN(INT((IF(INT(($A1033-1)/70)+1&gt;CROQUIS_DATOS!$C$1525,70,MOD($A1033-1,70)+1)-2)/2)+1,CROQUIS_DATOS!$C$1541))))*CROQUIS_DATOS!$C$1561*CROQUIS_DATOS!$C$1562),-1000)</f>
        <v>40.2068965517241</v>
      </c>
    </row>
    <row r="1034">
      <c r="A1034" t="n">
        <v>1027</v>
      </c>
      <c r="N1034">
        <f>IF(AND(CROQUIS_DATOS!$C$1472=1,1),(CROQUIS_DATOS!$C$1563+(IF(IF(IF(INT(($A1034-1)/70)+1&gt;CROQUIS_DATOS!$C$1525,70,MOD($A1034-1,70)+1)=1,0,IF(IF(INT(($A1034-1)/70)+1&gt;CROQUIS_DATOS!$C$1525,70,MOD($A1034-1,70)+1)&gt;2*CROQUIS_DATOS!$C$1541+1,IF(MOD(CROQUIS_DATOS!$C$1541,2)=1,1,0),IF(MOD(MIN(INT((IF(INT(($A1034-1)/70)+1&gt;CROQUIS_DATOS!$C$1525,70,MOD($A1034-1,70)+1)-2)/2)+1,CROQUIS_DATOS!$C$1541),2)=1,IF(MOD(IF(INT(($A1034-1)/70)+1&gt;CROQUIS_DATOS!$C$1525,70,MOD($A1034-1,70)+1)-2,2)=0,0,1),IF(MOD(IF(INT(($A1034-1)/70)+1&gt;CROQUIS_DATOS!$C$1525,70,MOD($A1034-1,70)+1)-2,2)=0,1,0))))=0,(INDEX($E$8:$E$23,MIN(INT(($A1034-1)/70)+1,CROQUIS_DATOS!$C$1525))-INDEX($F$8:$F$23,MIN(INT(($A1034-1)/70)+1,CROQUIS_DATOS!$C$1525))/2),(INDEX($E$8:$E$23,MIN(INT(($A1034-1)/70)+1,CROQUIS_DATOS!$C$1525))+INDEX($F$8:$F$23,MIN(INT(($A1034-1)/70)+1,CROQUIS_DATOS!$C$1525))/2)))*CROQUIS_DATOS!$C$1562),-1000)</f>
        <v>82.8189655172414</v>
      </c>
      <c r="O1034">
        <f>IF(AND(CROQUIS_DATOS!$C$1472=1,1),(CROQUIS_DATOS!$C$1564+(IF(OR(IF(INT(($A1034-1)/70)+1&gt;CROQUIS_DATOS!$C$1525,70,MOD($A1034-1,70)+1)=1,IF(INT(($A1034-1)/70)+1&gt;CROQUIS_DATOS!$C$1525,70,MOD($A1034-1,70)+1)&gt;2*CROQUIS_DATOS!$C$1541+1),CROQUIS_DATOS!$C$1476,INDEX($H$8:$H$41,MIN(INT((IF(INT(($A1034-1)/70)+1&gt;CROQUIS_DATOS!$C$1525,70,MOD($A1034-1,70)+1)-2)/2)+1,CROQUIS_DATOS!$C$1541))))*CROQUIS_DATOS!$C$1561*CROQUIS_DATOS!$C$1562),-1000)</f>
        <v>40.2068965517241</v>
      </c>
    </row>
    <row r="1035">
      <c r="A1035" t="n">
        <v>1028</v>
      </c>
      <c r="N1035">
        <f>IF(AND(CROQUIS_DATOS!$C$1472=1,1),(CROQUIS_DATOS!$C$1563+(IF(IF(IF(INT(($A1035-1)/70)+1&gt;CROQUIS_DATOS!$C$1525,70,MOD($A1035-1,70)+1)=1,0,IF(IF(INT(($A1035-1)/70)+1&gt;CROQUIS_DATOS!$C$1525,70,MOD($A1035-1,70)+1)&gt;2*CROQUIS_DATOS!$C$1541+1,IF(MOD(CROQUIS_DATOS!$C$1541,2)=1,1,0),IF(MOD(MIN(INT((IF(INT(($A1035-1)/70)+1&gt;CROQUIS_DATOS!$C$1525,70,MOD($A1035-1,70)+1)-2)/2)+1,CROQUIS_DATOS!$C$1541),2)=1,IF(MOD(IF(INT(($A1035-1)/70)+1&gt;CROQUIS_DATOS!$C$1525,70,MOD($A1035-1,70)+1)-2,2)=0,0,1),IF(MOD(IF(INT(($A1035-1)/70)+1&gt;CROQUIS_DATOS!$C$1525,70,MOD($A1035-1,70)+1)-2,2)=0,1,0))))=0,(INDEX($E$8:$E$23,MIN(INT(($A1035-1)/70)+1,CROQUIS_DATOS!$C$1525))-INDEX($F$8:$F$23,MIN(INT(($A1035-1)/70)+1,CROQUIS_DATOS!$C$1525))/2),(INDEX($E$8:$E$23,MIN(INT(($A1035-1)/70)+1,CROQUIS_DATOS!$C$1525))+INDEX($F$8:$F$23,MIN(INT(($A1035-1)/70)+1,CROQUIS_DATOS!$C$1525))/2)))*CROQUIS_DATOS!$C$1562),-1000)</f>
        <v>82.8189655172414</v>
      </c>
      <c r="O1035">
        <f>IF(AND(CROQUIS_DATOS!$C$1472=1,1),(CROQUIS_DATOS!$C$1564+(IF(OR(IF(INT(($A1035-1)/70)+1&gt;CROQUIS_DATOS!$C$1525,70,MOD($A1035-1,70)+1)=1,IF(INT(($A1035-1)/70)+1&gt;CROQUIS_DATOS!$C$1525,70,MOD($A1035-1,70)+1)&gt;2*CROQUIS_DATOS!$C$1541+1),CROQUIS_DATOS!$C$1476,INDEX($H$8:$H$41,MIN(INT((IF(INT(($A1035-1)/70)+1&gt;CROQUIS_DATOS!$C$1525,70,MOD($A1035-1,70)+1)-2)/2)+1,CROQUIS_DATOS!$C$1541))))*CROQUIS_DATOS!$C$1561*CROQUIS_DATOS!$C$1562),-1000)</f>
        <v>40.2068965517241</v>
      </c>
    </row>
    <row r="1036">
      <c r="A1036" t="n">
        <v>1029</v>
      </c>
      <c r="N1036">
        <f>IF(AND(CROQUIS_DATOS!$C$1472=1,1),(CROQUIS_DATOS!$C$1563+(IF(IF(IF(INT(($A1036-1)/70)+1&gt;CROQUIS_DATOS!$C$1525,70,MOD($A1036-1,70)+1)=1,0,IF(IF(INT(($A1036-1)/70)+1&gt;CROQUIS_DATOS!$C$1525,70,MOD($A1036-1,70)+1)&gt;2*CROQUIS_DATOS!$C$1541+1,IF(MOD(CROQUIS_DATOS!$C$1541,2)=1,1,0),IF(MOD(MIN(INT((IF(INT(($A1036-1)/70)+1&gt;CROQUIS_DATOS!$C$1525,70,MOD($A1036-1,70)+1)-2)/2)+1,CROQUIS_DATOS!$C$1541),2)=1,IF(MOD(IF(INT(($A1036-1)/70)+1&gt;CROQUIS_DATOS!$C$1525,70,MOD($A1036-1,70)+1)-2,2)=0,0,1),IF(MOD(IF(INT(($A1036-1)/70)+1&gt;CROQUIS_DATOS!$C$1525,70,MOD($A1036-1,70)+1)-2,2)=0,1,0))))=0,(INDEX($E$8:$E$23,MIN(INT(($A1036-1)/70)+1,CROQUIS_DATOS!$C$1525))-INDEX($F$8:$F$23,MIN(INT(($A1036-1)/70)+1,CROQUIS_DATOS!$C$1525))/2),(INDEX($E$8:$E$23,MIN(INT(($A1036-1)/70)+1,CROQUIS_DATOS!$C$1525))+INDEX($F$8:$F$23,MIN(INT(($A1036-1)/70)+1,CROQUIS_DATOS!$C$1525))/2)))*CROQUIS_DATOS!$C$1562),-1000)</f>
        <v>82.8189655172414</v>
      </c>
      <c r="O1036">
        <f>IF(AND(CROQUIS_DATOS!$C$1472=1,1),(CROQUIS_DATOS!$C$1564+(IF(OR(IF(INT(($A1036-1)/70)+1&gt;CROQUIS_DATOS!$C$1525,70,MOD($A1036-1,70)+1)=1,IF(INT(($A1036-1)/70)+1&gt;CROQUIS_DATOS!$C$1525,70,MOD($A1036-1,70)+1)&gt;2*CROQUIS_DATOS!$C$1541+1),CROQUIS_DATOS!$C$1476,INDEX($H$8:$H$41,MIN(INT((IF(INT(($A1036-1)/70)+1&gt;CROQUIS_DATOS!$C$1525,70,MOD($A1036-1,70)+1)-2)/2)+1,CROQUIS_DATOS!$C$1541))))*CROQUIS_DATOS!$C$1561*CROQUIS_DATOS!$C$1562),-1000)</f>
        <v>40.2068965517241</v>
      </c>
    </row>
    <row r="1037">
      <c r="A1037" t="n">
        <v>1030</v>
      </c>
      <c r="N1037">
        <f>IF(AND(CROQUIS_DATOS!$C$1472=1,1),(CROQUIS_DATOS!$C$1563+(IF(IF(IF(INT(($A1037-1)/70)+1&gt;CROQUIS_DATOS!$C$1525,70,MOD($A1037-1,70)+1)=1,0,IF(IF(INT(($A1037-1)/70)+1&gt;CROQUIS_DATOS!$C$1525,70,MOD($A1037-1,70)+1)&gt;2*CROQUIS_DATOS!$C$1541+1,IF(MOD(CROQUIS_DATOS!$C$1541,2)=1,1,0),IF(MOD(MIN(INT((IF(INT(($A1037-1)/70)+1&gt;CROQUIS_DATOS!$C$1525,70,MOD($A1037-1,70)+1)-2)/2)+1,CROQUIS_DATOS!$C$1541),2)=1,IF(MOD(IF(INT(($A1037-1)/70)+1&gt;CROQUIS_DATOS!$C$1525,70,MOD($A1037-1,70)+1)-2,2)=0,0,1),IF(MOD(IF(INT(($A1037-1)/70)+1&gt;CROQUIS_DATOS!$C$1525,70,MOD($A1037-1,70)+1)-2,2)=0,1,0))))=0,(INDEX($E$8:$E$23,MIN(INT(($A1037-1)/70)+1,CROQUIS_DATOS!$C$1525))-INDEX($F$8:$F$23,MIN(INT(($A1037-1)/70)+1,CROQUIS_DATOS!$C$1525))/2),(INDEX($E$8:$E$23,MIN(INT(($A1037-1)/70)+1,CROQUIS_DATOS!$C$1525))+INDEX($F$8:$F$23,MIN(INT(($A1037-1)/70)+1,CROQUIS_DATOS!$C$1525))/2)))*CROQUIS_DATOS!$C$1562),-1000)</f>
        <v>82.8189655172414</v>
      </c>
      <c r="O1037">
        <f>IF(AND(CROQUIS_DATOS!$C$1472=1,1),(CROQUIS_DATOS!$C$1564+(IF(OR(IF(INT(($A1037-1)/70)+1&gt;CROQUIS_DATOS!$C$1525,70,MOD($A1037-1,70)+1)=1,IF(INT(($A1037-1)/70)+1&gt;CROQUIS_DATOS!$C$1525,70,MOD($A1037-1,70)+1)&gt;2*CROQUIS_DATOS!$C$1541+1),CROQUIS_DATOS!$C$1476,INDEX($H$8:$H$41,MIN(INT((IF(INT(($A1037-1)/70)+1&gt;CROQUIS_DATOS!$C$1525,70,MOD($A1037-1,70)+1)-2)/2)+1,CROQUIS_DATOS!$C$1541))))*CROQUIS_DATOS!$C$1561*CROQUIS_DATOS!$C$1562),-1000)</f>
        <v>40.2068965517241</v>
      </c>
    </row>
    <row r="1038">
      <c r="A1038" t="n">
        <v>1031</v>
      </c>
      <c r="N1038">
        <f>IF(AND(CROQUIS_DATOS!$C$1472=1,1),(CROQUIS_DATOS!$C$1563+(IF(IF(IF(INT(($A1038-1)/70)+1&gt;CROQUIS_DATOS!$C$1525,70,MOD($A1038-1,70)+1)=1,0,IF(IF(INT(($A1038-1)/70)+1&gt;CROQUIS_DATOS!$C$1525,70,MOD($A1038-1,70)+1)&gt;2*CROQUIS_DATOS!$C$1541+1,IF(MOD(CROQUIS_DATOS!$C$1541,2)=1,1,0),IF(MOD(MIN(INT((IF(INT(($A1038-1)/70)+1&gt;CROQUIS_DATOS!$C$1525,70,MOD($A1038-1,70)+1)-2)/2)+1,CROQUIS_DATOS!$C$1541),2)=1,IF(MOD(IF(INT(($A1038-1)/70)+1&gt;CROQUIS_DATOS!$C$1525,70,MOD($A1038-1,70)+1)-2,2)=0,0,1),IF(MOD(IF(INT(($A1038-1)/70)+1&gt;CROQUIS_DATOS!$C$1525,70,MOD($A1038-1,70)+1)-2,2)=0,1,0))))=0,(INDEX($E$8:$E$23,MIN(INT(($A1038-1)/70)+1,CROQUIS_DATOS!$C$1525))-INDEX($F$8:$F$23,MIN(INT(($A1038-1)/70)+1,CROQUIS_DATOS!$C$1525))/2),(INDEX($E$8:$E$23,MIN(INT(($A1038-1)/70)+1,CROQUIS_DATOS!$C$1525))+INDEX($F$8:$F$23,MIN(INT(($A1038-1)/70)+1,CROQUIS_DATOS!$C$1525))/2)))*CROQUIS_DATOS!$C$1562),-1000)</f>
        <v>82.8189655172414</v>
      </c>
      <c r="O1038">
        <f>IF(AND(CROQUIS_DATOS!$C$1472=1,1),(CROQUIS_DATOS!$C$1564+(IF(OR(IF(INT(($A1038-1)/70)+1&gt;CROQUIS_DATOS!$C$1525,70,MOD($A1038-1,70)+1)=1,IF(INT(($A1038-1)/70)+1&gt;CROQUIS_DATOS!$C$1525,70,MOD($A1038-1,70)+1)&gt;2*CROQUIS_DATOS!$C$1541+1),CROQUIS_DATOS!$C$1476,INDEX($H$8:$H$41,MIN(INT((IF(INT(($A1038-1)/70)+1&gt;CROQUIS_DATOS!$C$1525,70,MOD($A1038-1,70)+1)-2)/2)+1,CROQUIS_DATOS!$C$1541))))*CROQUIS_DATOS!$C$1561*CROQUIS_DATOS!$C$1562),-1000)</f>
        <v>40.2068965517241</v>
      </c>
    </row>
    <row r="1039">
      <c r="A1039" t="n">
        <v>1032</v>
      </c>
      <c r="N1039">
        <f>IF(AND(CROQUIS_DATOS!$C$1472=1,1),(CROQUIS_DATOS!$C$1563+(IF(IF(IF(INT(($A1039-1)/70)+1&gt;CROQUIS_DATOS!$C$1525,70,MOD($A1039-1,70)+1)=1,0,IF(IF(INT(($A1039-1)/70)+1&gt;CROQUIS_DATOS!$C$1525,70,MOD($A1039-1,70)+1)&gt;2*CROQUIS_DATOS!$C$1541+1,IF(MOD(CROQUIS_DATOS!$C$1541,2)=1,1,0),IF(MOD(MIN(INT((IF(INT(($A1039-1)/70)+1&gt;CROQUIS_DATOS!$C$1525,70,MOD($A1039-1,70)+1)-2)/2)+1,CROQUIS_DATOS!$C$1541),2)=1,IF(MOD(IF(INT(($A1039-1)/70)+1&gt;CROQUIS_DATOS!$C$1525,70,MOD($A1039-1,70)+1)-2,2)=0,0,1),IF(MOD(IF(INT(($A1039-1)/70)+1&gt;CROQUIS_DATOS!$C$1525,70,MOD($A1039-1,70)+1)-2,2)=0,1,0))))=0,(INDEX($E$8:$E$23,MIN(INT(($A1039-1)/70)+1,CROQUIS_DATOS!$C$1525))-INDEX($F$8:$F$23,MIN(INT(($A1039-1)/70)+1,CROQUIS_DATOS!$C$1525))/2),(INDEX($E$8:$E$23,MIN(INT(($A1039-1)/70)+1,CROQUIS_DATOS!$C$1525))+INDEX($F$8:$F$23,MIN(INT(($A1039-1)/70)+1,CROQUIS_DATOS!$C$1525))/2)))*CROQUIS_DATOS!$C$1562),-1000)</f>
        <v>82.8189655172414</v>
      </c>
      <c r="O1039">
        <f>IF(AND(CROQUIS_DATOS!$C$1472=1,1),(CROQUIS_DATOS!$C$1564+(IF(OR(IF(INT(($A1039-1)/70)+1&gt;CROQUIS_DATOS!$C$1525,70,MOD($A1039-1,70)+1)=1,IF(INT(($A1039-1)/70)+1&gt;CROQUIS_DATOS!$C$1525,70,MOD($A1039-1,70)+1)&gt;2*CROQUIS_DATOS!$C$1541+1),CROQUIS_DATOS!$C$1476,INDEX($H$8:$H$41,MIN(INT((IF(INT(($A1039-1)/70)+1&gt;CROQUIS_DATOS!$C$1525,70,MOD($A1039-1,70)+1)-2)/2)+1,CROQUIS_DATOS!$C$1541))))*CROQUIS_DATOS!$C$1561*CROQUIS_DATOS!$C$1562),-1000)</f>
        <v>40.2068965517241</v>
      </c>
    </row>
    <row r="1040">
      <c r="A1040" t="n">
        <v>1033</v>
      </c>
      <c r="N1040">
        <f>IF(AND(CROQUIS_DATOS!$C$1472=1,1),(CROQUIS_DATOS!$C$1563+(IF(IF(IF(INT(($A1040-1)/70)+1&gt;CROQUIS_DATOS!$C$1525,70,MOD($A1040-1,70)+1)=1,0,IF(IF(INT(($A1040-1)/70)+1&gt;CROQUIS_DATOS!$C$1525,70,MOD($A1040-1,70)+1)&gt;2*CROQUIS_DATOS!$C$1541+1,IF(MOD(CROQUIS_DATOS!$C$1541,2)=1,1,0),IF(MOD(MIN(INT((IF(INT(($A1040-1)/70)+1&gt;CROQUIS_DATOS!$C$1525,70,MOD($A1040-1,70)+1)-2)/2)+1,CROQUIS_DATOS!$C$1541),2)=1,IF(MOD(IF(INT(($A1040-1)/70)+1&gt;CROQUIS_DATOS!$C$1525,70,MOD($A1040-1,70)+1)-2,2)=0,0,1),IF(MOD(IF(INT(($A1040-1)/70)+1&gt;CROQUIS_DATOS!$C$1525,70,MOD($A1040-1,70)+1)-2,2)=0,1,0))))=0,(INDEX($E$8:$E$23,MIN(INT(($A1040-1)/70)+1,CROQUIS_DATOS!$C$1525))-INDEX($F$8:$F$23,MIN(INT(($A1040-1)/70)+1,CROQUIS_DATOS!$C$1525))/2),(INDEX($E$8:$E$23,MIN(INT(($A1040-1)/70)+1,CROQUIS_DATOS!$C$1525))+INDEX($F$8:$F$23,MIN(INT(($A1040-1)/70)+1,CROQUIS_DATOS!$C$1525))/2)))*CROQUIS_DATOS!$C$1562),-1000)</f>
        <v>82.8189655172414</v>
      </c>
      <c r="O1040">
        <f>IF(AND(CROQUIS_DATOS!$C$1472=1,1),(CROQUIS_DATOS!$C$1564+(IF(OR(IF(INT(($A1040-1)/70)+1&gt;CROQUIS_DATOS!$C$1525,70,MOD($A1040-1,70)+1)=1,IF(INT(($A1040-1)/70)+1&gt;CROQUIS_DATOS!$C$1525,70,MOD($A1040-1,70)+1)&gt;2*CROQUIS_DATOS!$C$1541+1),CROQUIS_DATOS!$C$1476,INDEX($H$8:$H$41,MIN(INT((IF(INT(($A1040-1)/70)+1&gt;CROQUIS_DATOS!$C$1525,70,MOD($A1040-1,70)+1)-2)/2)+1,CROQUIS_DATOS!$C$1541))))*CROQUIS_DATOS!$C$1561*CROQUIS_DATOS!$C$1562),-1000)</f>
        <v>40.2068965517241</v>
      </c>
    </row>
    <row r="1041">
      <c r="A1041" t="n">
        <v>1034</v>
      </c>
      <c r="N1041">
        <f>IF(AND(CROQUIS_DATOS!$C$1472=1,1),(CROQUIS_DATOS!$C$1563+(IF(IF(IF(INT(($A1041-1)/70)+1&gt;CROQUIS_DATOS!$C$1525,70,MOD($A1041-1,70)+1)=1,0,IF(IF(INT(($A1041-1)/70)+1&gt;CROQUIS_DATOS!$C$1525,70,MOD($A1041-1,70)+1)&gt;2*CROQUIS_DATOS!$C$1541+1,IF(MOD(CROQUIS_DATOS!$C$1541,2)=1,1,0),IF(MOD(MIN(INT((IF(INT(($A1041-1)/70)+1&gt;CROQUIS_DATOS!$C$1525,70,MOD($A1041-1,70)+1)-2)/2)+1,CROQUIS_DATOS!$C$1541),2)=1,IF(MOD(IF(INT(($A1041-1)/70)+1&gt;CROQUIS_DATOS!$C$1525,70,MOD($A1041-1,70)+1)-2,2)=0,0,1),IF(MOD(IF(INT(($A1041-1)/70)+1&gt;CROQUIS_DATOS!$C$1525,70,MOD($A1041-1,70)+1)-2,2)=0,1,0))))=0,(INDEX($E$8:$E$23,MIN(INT(($A1041-1)/70)+1,CROQUIS_DATOS!$C$1525))-INDEX($F$8:$F$23,MIN(INT(($A1041-1)/70)+1,CROQUIS_DATOS!$C$1525))/2),(INDEX($E$8:$E$23,MIN(INT(($A1041-1)/70)+1,CROQUIS_DATOS!$C$1525))+INDEX($F$8:$F$23,MIN(INT(($A1041-1)/70)+1,CROQUIS_DATOS!$C$1525))/2)))*CROQUIS_DATOS!$C$1562),-1000)</f>
        <v>82.8189655172414</v>
      </c>
      <c r="O1041">
        <f>IF(AND(CROQUIS_DATOS!$C$1472=1,1),(CROQUIS_DATOS!$C$1564+(IF(OR(IF(INT(($A1041-1)/70)+1&gt;CROQUIS_DATOS!$C$1525,70,MOD($A1041-1,70)+1)=1,IF(INT(($A1041-1)/70)+1&gt;CROQUIS_DATOS!$C$1525,70,MOD($A1041-1,70)+1)&gt;2*CROQUIS_DATOS!$C$1541+1),CROQUIS_DATOS!$C$1476,INDEX($H$8:$H$41,MIN(INT((IF(INT(($A1041-1)/70)+1&gt;CROQUIS_DATOS!$C$1525,70,MOD($A1041-1,70)+1)-2)/2)+1,CROQUIS_DATOS!$C$1541))))*CROQUIS_DATOS!$C$1561*CROQUIS_DATOS!$C$1562),-1000)</f>
        <v>40.2068965517241</v>
      </c>
    </row>
    <row r="1042">
      <c r="A1042" t="n">
        <v>1035</v>
      </c>
      <c r="N1042">
        <f>IF(AND(CROQUIS_DATOS!$C$1472=1,1),(CROQUIS_DATOS!$C$1563+(IF(IF(IF(INT(($A1042-1)/70)+1&gt;CROQUIS_DATOS!$C$1525,70,MOD($A1042-1,70)+1)=1,0,IF(IF(INT(($A1042-1)/70)+1&gt;CROQUIS_DATOS!$C$1525,70,MOD($A1042-1,70)+1)&gt;2*CROQUIS_DATOS!$C$1541+1,IF(MOD(CROQUIS_DATOS!$C$1541,2)=1,1,0),IF(MOD(MIN(INT((IF(INT(($A1042-1)/70)+1&gt;CROQUIS_DATOS!$C$1525,70,MOD($A1042-1,70)+1)-2)/2)+1,CROQUIS_DATOS!$C$1541),2)=1,IF(MOD(IF(INT(($A1042-1)/70)+1&gt;CROQUIS_DATOS!$C$1525,70,MOD($A1042-1,70)+1)-2,2)=0,0,1),IF(MOD(IF(INT(($A1042-1)/70)+1&gt;CROQUIS_DATOS!$C$1525,70,MOD($A1042-1,70)+1)-2,2)=0,1,0))))=0,(INDEX($E$8:$E$23,MIN(INT(($A1042-1)/70)+1,CROQUIS_DATOS!$C$1525))-INDEX($F$8:$F$23,MIN(INT(($A1042-1)/70)+1,CROQUIS_DATOS!$C$1525))/2),(INDEX($E$8:$E$23,MIN(INT(($A1042-1)/70)+1,CROQUIS_DATOS!$C$1525))+INDEX($F$8:$F$23,MIN(INT(($A1042-1)/70)+1,CROQUIS_DATOS!$C$1525))/2)))*CROQUIS_DATOS!$C$1562),-1000)</f>
        <v>82.8189655172414</v>
      </c>
      <c r="O1042">
        <f>IF(AND(CROQUIS_DATOS!$C$1472=1,1),(CROQUIS_DATOS!$C$1564+(IF(OR(IF(INT(($A1042-1)/70)+1&gt;CROQUIS_DATOS!$C$1525,70,MOD($A1042-1,70)+1)=1,IF(INT(($A1042-1)/70)+1&gt;CROQUIS_DATOS!$C$1525,70,MOD($A1042-1,70)+1)&gt;2*CROQUIS_DATOS!$C$1541+1),CROQUIS_DATOS!$C$1476,INDEX($H$8:$H$41,MIN(INT((IF(INT(($A1042-1)/70)+1&gt;CROQUIS_DATOS!$C$1525,70,MOD($A1042-1,70)+1)-2)/2)+1,CROQUIS_DATOS!$C$1541))))*CROQUIS_DATOS!$C$1561*CROQUIS_DATOS!$C$1562),-1000)</f>
        <v>40.2068965517241</v>
      </c>
    </row>
    <row r="1043">
      <c r="A1043" t="n">
        <v>1036</v>
      </c>
      <c r="N1043">
        <f>IF(AND(CROQUIS_DATOS!$C$1472=1,1),(CROQUIS_DATOS!$C$1563+(IF(IF(IF(INT(($A1043-1)/70)+1&gt;CROQUIS_DATOS!$C$1525,70,MOD($A1043-1,70)+1)=1,0,IF(IF(INT(($A1043-1)/70)+1&gt;CROQUIS_DATOS!$C$1525,70,MOD($A1043-1,70)+1)&gt;2*CROQUIS_DATOS!$C$1541+1,IF(MOD(CROQUIS_DATOS!$C$1541,2)=1,1,0),IF(MOD(MIN(INT((IF(INT(($A1043-1)/70)+1&gt;CROQUIS_DATOS!$C$1525,70,MOD($A1043-1,70)+1)-2)/2)+1,CROQUIS_DATOS!$C$1541),2)=1,IF(MOD(IF(INT(($A1043-1)/70)+1&gt;CROQUIS_DATOS!$C$1525,70,MOD($A1043-1,70)+1)-2,2)=0,0,1),IF(MOD(IF(INT(($A1043-1)/70)+1&gt;CROQUIS_DATOS!$C$1525,70,MOD($A1043-1,70)+1)-2,2)=0,1,0))))=0,(INDEX($E$8:$E$23,MIN(INT(($A1043-1)/70)+1,CROQUIS_DATOS!$C$1525))-INDEX($F$8:$F$23,MIN(INT(($A1043-1)/70)+1,CROQUIS_DATOS!$C$1525))/2),(INDEX($E$8:$E$23,MIN(INT(($A1043-1)/70)+1,CROQUIS_DATOS!$C$1525))+INDEX($F$8:$F$23,MIN(INT(($A1043-1)/70)+1,CROQUIS_DATOS!$C$1525))/2)))*CROQUIS_DATOS!$C$1562),-1000)</f>
        <v>82.8189655172414</v>
      </c>
      <c r="O1043">
        <f>IF(AND(CROQUIS_DATOS!$C$1472=1,1),(CROQUIS_DATOS!$C$1564+(IF(OR(IF(INT(($A1043-1)/70)+1&gt;CROQUIS_DATOS!$C$1525,70,MOD($A1043-1,70)+1)=1,IF(INT(($A1043-1)/70)+1&gt;CROQUIS_DATOS!$C$1525,70,MOD($A1043-1,70)+1)&gt;2*CROQUIS_DATOS!$C$1541+1),CROQUIS_DATOS!$C$1476,INDEX($H$8:$H$41,MIN(INT((IF(INT(($A1043-1)/70)+1&gt;CROQUIS_DATOS!$C$1525,70,MOD($A1043-1,70)+1)-2)/2)+1,CROQUIS_DATOS!$C$1541))))*CROQUIS_DATOS!$C$1561*CROQUIS_DATOS!$C$1562),-1000)</f>
        <v>40.2068965517241</v>
      </c>
    </row>
    <row r="1044">
      <c r="A1044" t="n">
        <v>1037</v>
      </c>
      <c r="N1044">
        <f>IF(AND(CROQUIS_DATOS!$C$1472=1,1),(CROQUIS_DATOS!$C$1563+(IF(IF(IF(INT(($A1044-1)/70)+1&gt;CROQUIS_DATOS!$C$1525,70,MOD($A1044-1,70)+1)=1,0,IF(IF(INT(($A1044-1)/70)+1&gt;CROQUIS_DATOS!$C$1525,70,MOD($A1044-1,70)+1)&gt;2*CROQUIS_DATOS!$C$1541+1,IF(MOD(CROQUIS_DATOS!$C$1541,2)=1,1,0),IF(MOD(MIN(INT((IF(INT(($A1044-1)/70)+1&gt;CROQUIS_DATOS!$C$1525,70,MOD($A1044-1,70)+1)-2)/2)+1,CROQUIS_DATOS!$C$1541),2)=1,IF(MOD(IF(INT(($A1044-1)/70)+1&gt;CROQUIS_DATOS!$C$1525,70,MOD($A1044-1,70)+1)-2,2)=0,0,1),IF(MOD(IF(INT(($A1044-1)/70)+1&gt;CROQUIS_DATOS!$C$1525,70,MOD($A1044-1,70)+1)-2,2)=0,1,0))))=0,(INDEX($E$8:$E$23,MIN(INT(($A1044-1)/70)+1,CROQUIS_DATOS!$C$1525))-INDEX($F$8:$F$23,MIN(INT(($A1044-1)/70)+1,CROQUIS_DATOS!$C$1525))/2),(INDEX($E$8:$E$23,MIN(INT(($A1044-1)/70)+1,CROQUIS_DATOS!$C$1525))+INDEX($F$8:$F$23,MIN(INT(($A1044-1)/70)+1,CROQUIS_DATOS!$C$1525))/2)))*CROQUIS_DATOS!$C$1562),-1000)</f>
        <v>82.8189655172414</v>
      </c>
      <c r="O1044">
        <f>IF(AND(CROQUIS_DATOS!$C$1472=1,1),(CROQUIS_DATOS!$C$1564+(IF(OR(IF(INT(($A1044-1)/70)+1&gt;CROQUIS_DATOS!$C$1525,70,MOD($A1044-1,70)+1)=1,IF(INT(($A1044-1)/70)+1&gt;CROQUIS_DATOS!$C$1525,70,MOD($A1044-1,70)+1)&gt;2*CROQUIS_DATOS!$C$1541+1),CROQUIS_DATOS!$C$1476,INDEX($H$8:$H$41,MIN(INT((IF(INT(($A1044-1)/70)+1&gt;CROQUIS_DATOS!$C$1525,70,MOD($A1044-1,70)+1)-2)/2)+1,CROQUIS_DATOS!$C$1541))))*CROQUIS_DATOS!$C$1561*CROQUIS_DATOS!$C$1562),-1000)</f>
        <v>40.2068965517241</v>
      </c>
    </row>
    <row r="1045">
      <c r="A1045" t="n">
        <v>1038</v>
      </c>
      <c r="N1045">
        <f>IF(AND(CROQUIS_DATOS!$C$1472=1,1),(CROQUIS_DATOS!$C$1563+(IF(IF(IF(INT(($A1045-1)/70)+1&gt;CROQUIS_DATOS!$C$1525,70,MOD($A1045-1,70)+1)=1,0,IF(IF(INT(($A1045-1)/70)+1&gt;CROQUIS_DATOS!$C$1525,70,MOD($A1045-1,70)+1)&gt;2*CROQUIS_DATOS!$C$1541+1,IF(MOD(CROQUIS_DATOS!$C$1541,2)=1,1,0),IF(MOD(MIN(INT((IF(INT(($A1045-1)/70)+1&gt;CROQUIS_DATOS!$C$1525,70,MOD($A1045-1,70)+1)-2)/2)+1,CROQUIS_DATOS!$C$1541),2)=1,IF(MOD(IF(INT(($A1045-1)/70)+1&gt;CROQUIS_DATOS!$C$1525,70,MOD($A1045-1,70)+1)-2,2)=0,0,1),IF(MOD(IF(INT(($A1045-1)/70)+1&gt;CROQUIS_DATOS!$C$1525,70,MOD($A1045-1,70)+1)-2,2)=0,1,0))))=0,(INDEX($E$8:$E$23,MIN(INT(($A1045-1)/70)+1,CROQUIS_DATOS!$C$1525))-INDEX($F$8:$F$23,MIN(INT(($A1045-1)/70)+1,CROQUIS_DATOS!$C$1525))/2),(INDEX($E$8:$E$23,MIN(INT(($A1045-1)/70)+1,CROQUIS_DATOS!$C$1525))+INDEX($F$8:$F$23,MIN(INT(($A1045-1)/70)+1,CROQUIS_DATOS!$C$1525))/2)))*CROQUIS_DATOS!$C$1562),-1000)</f>
        <v>82.8189655172414</v>
      </c>
      <c r="O1045">
        <f>IF(AND(CROQUIS_DATOS!$C$1472=1,1),(CROQUIS_DATOS!$C$1564+(IF(OR(IF(INT(($A1045-1)/70)+1&gt;CROQUIS_DATOS!$C$1525,70,MOD($A1045-1,70)+1)=1,IF(INT(($A1045-1)/70)+1&gt;CROQUIS_DATOS!$C$1525,70,MOD($A1045-1,70)+1)&gt;2*CROQUIS_DATOS!$C$1541+1),CROQUIS_DATOS!$C$1476,INDEX($H$8:$H$41,MIN(INT((IF(INT(($A1045-1)/70)+1&gt;CROQUIS_DATOS!$C$1525,70,MOD($A1045-1,70)+1)-2)/2)+1,CROQUIS_DATOS!$C$1541))))*CROQUIS_DATOS!$C$1561*CROQUIS_DATOS!$C$1562),-1000)</f>
        <v>40.2068965517241</v>
      </c>
    </row>
    <row r="1046">
      <c r="A1046" t="n">
        <v>1039</v>
      </c>
      <c r="N1046">
        <f>IF(AND(CROQUIS_DATOS!$C$1472=1,1),(CROQUIS_DATOS!$C$1563+(IF(IF(IF(INT(($A1046-1)/70)+1&gt;CROQUIS_DATOS!$C$1525,70,MOD($A1046-1,70)+1)=1,0,IF(IF(INT(($A1046-1)/70)+1&gt;CROQUIS_DATOS!$C$1525,70,MOD($A1046-1,70)+1)&gt;2*CROQUIS_DATOS!$C$1541+1,IF(MOD(CROQUIS_DATOS!$C$1541,2)=1,1,0),IF(MOD(MIN(INT((IF(INT(($A1046-1)/70)+1&gt;CROQUIS_DATOS!$C$1525,70,MOD($A1046-1,70)+1)-2)/2)+1,CROQUIS_DATOS!$C$1541),2)=1,IF(MOD(IF(INT(($A1046-1)/70)+1&gt;CROQUIS_DATOS!$C$1525,70,MOD($A1046-1,70)+1)-2,2)=0,0,1),IF(MOD(IF(INT(($A1046-1)/70)+1&gt;CROQUIS_DATOS!$C$1525,70,MOD($A1046-1,70)+1)-2,2)=0,1,0))))=0,(INDEX($E$8:$E$23,MIN(INT(($A1046-1)/70)+1,CROQUIS_DATOS!$C$1525))-INDEX($F$8:$F$23,MIN(INT(($A1046-1)/70)+1,CROQUIS_DATOS!$C$1525))/2),(INDEX($E$8:$E$23,MIN(INT(($A1046-1)/70)+1,CROQUIS_DATOS!$C$1525))+INDEX($F$8:$F$23,MIN(INT(($A1046-1)/70)+1,CROQUIS_DATOS!$C$1525))/2)))*CROQUIS_DATOS!$C$1562),-1000)</f>
        <v>82.8189655172414</v>
      </c>
      <c r="O1046">
        <f>IF(AND(CROQUIS_DATOS!$C$1472=1,1),(CROQUIS_DATOS!$C$1564+(IF(OR(IF(INT(($A1046-1)/70)+1&gt;CROQUIS_DATOS!$C$1525,70,MOD($A1046-1,70)+1)=1,IF(INT(($A1046-1)/70)+1&gt;CROQUIS_DATOS!$C$1525,70,MOD($A1046-1,70)+1)&gt;2*CROQUIS_DATOS!$C$1541+1),CROQUIS_DATOS!$C$1476,INDEX($H$8:$H$41,MIN(INT((IF(INT(($A1046-1)/70)+1&gt;CROQUIS_DATOS!$C$1525,70,MOD($A1046-1,70)+1)-2)/2)+1,CROQUIS_DATOS!$C$1541))))*CROQUIS_DATOS!$C$1561*CROQUIS_DATOS!$C$1562),-1000)</f>
        <v>40.2068965517241</v>
      </c>
    </row>
    <row r="1047">
      <c r="A1047" t="n">
        <v>1040</v>
      </c>
      <c r="N1047">
        <f>IF(AND(CROQUIS_DATOS!$C$1472=1,1),(CROQUIS_DATOS!$C$1563+(IF(IF(IF(INT(($A1047-1)/70)+1&gt;CROQUIS_DATOS!$C$1525,70,MOD($A1047-1,70)+1)=1,0,IF(IF(INT(($A1047-1)/70)+1&gt;CROQUIS_DATOS!$C$1525,70,MOD($A1047-1,70)+1)&gt;2*CROQUIS_DATOS!$C$1541+1,IF(MOD(CROQUIS_DATOS!$C$1541,2)=1,1,0),IF(MOD(MIN(INT((IF(INT(($A1047-1)/70)+1&gt;CROQUIS_DATOS!$C$1525,70,MOD($A1047-1,70)+1)-2)/2)+1,CROQUIS_DATOS!$C$1541),2)=1,IF(MOD(IF(INT(($A1047-1)/70)+1&gt;CROQUIS_DATOS!$C$1525,70,MOD($A1047-1,70)+1)-2,2)=0,0,1),IF(MOD(IF(INT(($A1047-1)/70)+1&gt;CROQUIS_DATOS!$C$1525,70,MOD($A1047-1,70)+1)-2,2)=0,1,0))))=0,(INDEX($E$8:$E$23,MIN(INT(($A1047-1)/70)+1,CROQUIS_DATOS!$C$1525))-INDEX($F$8:$F$23,MIN(INT(($A1047-1)/70)+1,CROQUIS_DATOS!$C$1525))/2),(INDEX($E$8:$E$23,MIN(INT(($A1047-1)/70)+1,CROQUIS_DATOS!$C$1525))+INDEX($F$8:$F$23,MIN(INT(($A1047-1)/70)+1,CROQUIS_DATOS!$C$1525))/2)))*CROQUIS_DATOS!$C$1562),-1000)</f>
        <v>82.8189655172414</v>
      </c>
      <c r="O1047">
        <f>IF(AND(CROQUIS_DATOS!$C$1472=1,1),(CROQUIS_DATOS!$C$1564+(IF(OR(IF(INT(($A1047-1)/70)+1&gt;CROQUIS_DATOS!$C$1525,70,MOD($A1047-1,70)+1)=1,IF(INT(($A1047-1)/70)+1&gt;CROQUIS_DATOS!$C$1525,70,MOD($A1047-1,70)+1)&gt;2*CROQUIS_DATOS!$C$1541+1),CROQUIS_DATOS!$C$1476,INDEX($H$8:$H$41,MIN(INT((IF(INT(($A1047-1)/70)+1&gt;CROQUIS_DATOS!$C$1525,70,MOD($A1047-1,70)+1)-2)/2)+1,CROQUIS_DATOS!$C$1541))))*CROQUIS_DATOS!$C$1561*CROQUIS_DATOS!$C$1562),-1000)</f>
        <v>40.2068965517241</v>
      </c>
    </row>
    <row r="1048">
      <c r="A1048" t="n">
        <v>1041</v>
      </c>
      <c r="N1048">
        <f>IF(AND(CROQUIS_DATOS!$C$1472=1,1),(CROQUIS_DATOS!$C$1563+(IF(IF(IF(INT(($A1048-1)/70)+1&gt;CROQUIS_DATOS!$C$1525,70,MOD($A1048-1,70)+1)=1,0,IF(IF(INT(($A1048-1)/70)+1&gt;CROQUIS_DATOS!$C$1525,70,MOD($A1048-1,70)+1)&gt;2*CROQUIS_DATOS!$C$1541+1,IF(MOD(CROQUIS_DATOS!$C$1541,2)=1,1,0),IF(MOD(MIN(INT((IF(INT(($A1048-1)/70)+1&gt;CROQUIS_DATOS!$C$1525,70,MOD($A1048-1,70)+1)-2)/2)+1,CROQUIS_DATOS!$C$1541),2)=1,IF(MOD(IF(INT(($A1048-1)/70)+1&gt;CROQUIS_DATOS!$C$1525,70,MOD($A1048-1,70)+1)-2,2)=0,0,1),IF(MOD(IF(INT(($A1048-1)/70)+1&gt;CROQUIS_DATOS!$C$1525,70,MOD($A1048-1,70)+1)-2,2)=0,1,0))))=0,(INDEX($E$8:$E$23,MIN(INT(($A1048-1)/70)+1,CROQUIS_DATOS!$C$1525))-INDEX($F$8:$F$23,MIN(INT(($A1048-1)/70)+1,CROQUIS_DATOS!$C$1525))/2),(INDEX($E$8:$E$23,MIN(INT(($A1048-1)/70)+1,CROQUIS_DATOS!$C$1525))+INDEX($F$8:$F$23,MIN(INT(($A1048-1)/70)+1,CROQUIS_DATOS!$C$1525))/2)))*CROQUIS_DATOS!$C$1562),-1000)</f>
        <v>82.8189655172414</v>
      </c>
      <c r="O1048">
        <f>IF(AND(CROQUIS_DATOS!$C$1472=1,1),(CROQUIS_DATOS!$C$1564+(IF(OR(IF(INT(($A1048-1)/70)+1&gt;CROQUIS_DATOS!$C$1525,70,MOD($A1048-1,70)+1)=1,IF(INT(($A1048-1)/70)+1&gt;CROQUIS_DATOS!$C$1525,70,MOD($A1048-1,70)+1)&gt;2*CROQUIS_DATOS!$C$1541+1),CROQUIS_DATOS!$C$1476,INDEX($H$8:$H$41,MIN(INT((IF(INT(($A1048-1)/70)+1&gt;CROQUIS_DATOS!$C$1525,70,MOD($A1048-1,70)+1)-2)/2)+1,CROQUIS_DATOS!$C$1541))))*CROQUIS_DATOS!$C$1561*CROQUIS_DATOS!$C$1562),-1000)</f>
        <v>40.2068965517241</v>
      </c>
    </row>
    <row r="1049">
      <c r="A1049" t="n">
        <v>1042</v>
      </c>
      <c r="N1049">
        <f>IF(AND(CROQUIS_DATOS!$C$1472=1,1),(CROQUIS_DATOS!$C$1563+(IF(IF(IF(INT(($A1049-1)/70)+1&gt;CROQUIS_DATOS!$C$1525,70,MOD($A1049-1,70)+1)=1,0,IF(IF(INT(($A1049-1)/70)+1&gt;CROQUIS_DATOS!$C$1525,70,MOD($A1049-1,70)+1)&gt;2*CROQUIS_DATOS!$C$1541+1,IF(MOD(CROQUIS_DATOS!$C$1541,2)=1,1,0),IF(MOD(MIN(INT((IF(INT(($A1049-1)/70)+1&gt;CROQUIS_DATOS!$C$1525,70,MOD($A1049-1,70)+1)-2)/2)+1,CROQUIS_DATOS!$C$1541),2)=1,IF(MOD(IF(INT(($A1049-1)/70)+1&gt;CROQUIS_DATOS!$C$1525,70,MOD($A1049-1,70)+1)-2,2)=0,0,1),IF(MOD(IF(INT(($A1049-1)/70)+1&gt;CROQUIS_DATOS!$C$1525,70,MOD($A1049-1,70)+1)-2,2)=0,1,0))))=0,(INDEX($E$8:$E$23,MIN(INT(($A1049-1)/70)+1,CROQUIS_DATOS!$C$1525))-INDEX($F$8:$F$23,MIN(INT(($A1049-1)/70)+1,CROQUIS_DATOS!$C$1525))/2),(INDEX($E$8:$E$23,MIN(INT(($A1049-1)/70)+1,CROQUIS_DATOS!$C$1525))+INDEX($F$8:$F$23,MIN(INT(($A1049-1)/70)+1,CROQUIS_DATOS!$C$1525))/2)))*CROQUIS_DATOS!$C$1562),-1000)</f>
        <v>82.8189655172414</v>
      </c>
      <c r="O1049">
        <f>IF(AND(CROQUIS_DATOS!$C$1472=1,1),(CROQUIS_DATOS!$C$1564+(IF(OR(IF(INT(($A1049-1)/70)+1&gt;CROQUIS_DATOS!$C$1525,70,MOD($A1049-1,70)+1)=1,IF(INT(($A1049-1)/70)+1&gt;CROQUIS_DATOS!$C$1525,70,MOD($A1049-1,70)+1)&gt;2*CROQUIS_DATOS!$C$1541+1),CROQUIS_DATOS!$C$1476,INDEX($H$8:$H$41,MIN(INT((IF(INT(($A1049-1)/70)+1&gt;CROQUIS_DATOS!$C$1525,70,MOD($A1049-1,70)+1)-2)/2)+1,CROQUIS_DATOS!$C$1541))))*CROQUIS_DATOS!$C$1561*CROQUIS_DATOS!$C$1562),-1000)</f>
        <v>40.2068965517241</v>
      </c>
    </row>
    <row r="1050">
      <c r="A1050" t="n">
        <v>1043</v>
      </c>
      <c r="N1050">
        <f>IF(AND(CROQUIS_DATOS!$C$1472=1,1),(CROQUIS_DATOS!$C$1563+(IF(IF(IF(INT(($A1050-1)/70)+1&gt;CROQUIS_DATOS!$C$1525,70,MOD($A1050-1,70)+1)=1,0,IF(IF(INT(($A1050-1)/70)+1&gt;CROQUIS_DATOS!$C$1525,70,MOD($A1050-1,70)+1)&gt;2*CROQUIS_DATOS!$C$1541+1,IF(MOD(CROQUIS_DATOS!$C$1541,2)=1,1,0),IF(MOD(MIN(INT((IF(INT(($A1050-1)/70)+1&gt;CROQUIS_DATOS!$C$1525,70,MOD($A1050-1,70)+1)-2)/2)+1,CROQUIS_DATOS!$C$1541),2)=1,IF(MOD(IF(INT(($A1050-1)/70)+1&gt;CROQUIS_DATOS!$C$1525,70,MOD($A1050-1,70)+1)-2,2)=0,0,1),IF(MOD(IF(INT(($A1050-1)/70)+1&gt;CROQUIS_DATOS!$C$1525,70,MOD($A1050-1,70)+1)-2,2)=0,1,0))))=0,(INDEX($E$8:$E$23,MIN(INT(($A1050-1)/70)+1,CROQUIS_DATOS!$C$1525))-INDEX($F$8:$F$23,MIN(INT(($A1050-1)/70)+1,CROQUIS_DATOS!$C$1525))/2),(INDEX($E$8:$E$23,MIN(INT(($A1050-1)/70)+1,CROQUIS_DATOS!$C$1525))+INDEX($F$8:$F$23,MIN(INT(($A1050-1)/70)+1,CROQUIS_DATOS!$C$1525))/2)))*CROQUIS_DATOS!$C$1562),-1000)</f>
        <v>82.8189655172414</v>
      </c>
      <c r="O1050">
        <f>IF(AND(CROQUIS_DATOS!$C$1472=1,1),(CROQUIS_DATOS!$C$1564+(IF(OR(IF(INT(($A1050-1)/70)+1&gt;CROQUIS_DATOS!$C$1525,70,MOD($A1050-1,70)+1)=1,IF(INT(($A1050-1)/70)+1&gt;CROQUIS_DATOS!$C$1525,70,MOD($A1050-1,70)+1)&gt;2*CROQUIS_DATOS!$C$1541+1),CROQUIS_DATOS!$C$1476,INDEX($H$8:$H$41,MIN(INT((IF(INT(($A1050-1)/70)+1&gt;CROQUIS_DATOS!$C$1525,70,MOD($A1050-1,70)+1)-2)/2)+1,CROQUIS_DATOS!$C$1541))))*CROQUIS_DATOS!$C$1561*CROQUIS_DATOS!$C$1562),-1000)</f>
        <v>40.2068965517241</v>
      </c>
    </row>
    <row r="1051">
      <c r="A1051" t="n">
        <v>1044</v>
      </c>
      <c r="N1051">
        <f>IF(AND(CROQUIS_DATOS!$C$1472=1,1),(CROQUIS_DATOS!$C$1563+(IF(IF(IF(INT(($A1051-1)/70)+1&gt;CROQUIS_DATOS!$C$1525,70,MOD($A1051-1,70)+1)=1,0,IF(IF(INT(($A1051-1)/70)+1&gt;CROQUIS_DATOS!$C$1525,70,MOD($A1051-1,70)+1)&gt;2*CROQUIS_DATOS!$C$1541+1,IF(MOD(CROQUIS_DATOS!$C$1541,2)=1,1,0),IF(MOD(MIN(INT((IF(INT(($A1051-1)/70)+1&gt;CROQUIS_DATOS!$C$1525,70,MOD($A1051-1,70)+1)-2)/2)+1,CROQUIS_DATOS!$C$1541),2)=1,IF(MOD(IF(INT(($A1051-1)/70)+1&gt;CROQUIS_DATOS!$C$1525,70,MOD($A1051-1,70)+1)-2,2)=0,0,1),IF(MOD(IF(INT(($A1051-1)/70)+1&gt;CROQUIS_DATOS!$C$1525,70,MOD($A1051-1,70)+1)-2,2)=0,1,0))))=0,(INDEX($E$8:$E$23,MIN(INT(($A1051-1)/70)+1,CROQUIS_DATOS!$C$1525))-INDEX($F$8:$F$23,MIN(INT(($A1051-1)/70)+1,CROQUIS_DATOS!$C$1525))/2),(INDEX($E$8:$E$23,MIN(INT(($A1051-1)/70)+1,CROQUIS_DATOS!$C$1525))+INDEX($F$8:$F$23,MIN(INT(($A1051-1)/70)+1,CROQUIS_DATOS!$C$1525))/2)))*CROQUIS_DATOS!$C$1562),-1000)</f>
        <v>82.8189655172414</v>
      </c>
      <c r="O1051">
        <f>IF(AND(CROQUIS_DATOS!$C$1472=1,1),(CROQUIS_DATOS!$C$1564+(IF(OR(IF(INT(($A1051-1)/70)+1&gt;CROQUIS_DATOS!$C$1525,70,MOD($A1051-1,70)+1)=1,IF(INT(($A1051-1)/70)+1&gt;CROQUIS_DATOS!$C$1525,70,MOD($A1051-1,70)+1)&gt;2*CROQUIS_DATOS!$C$1541+1),CROQUIS_DATOS!$C$1476,INDEX($H$8:$H$41,MIN(INT((IF(INT(($A1051-1)/70)+1&gt;CROQUIS_DATOS!$C$1525,70,MOD($A1051-1,70)+1)-2)/2)+1,CROQUIS_DATOS!$C$1541))))*CROQUIS_DATOS!$C$1561*CROQUIS_DATOS!$C$1562),-1000)</f>
        <v>40.2068965517241</v>
      </c>
    </row>
    <row r="1052">
      <c r="A1052" t="n">
        <v>1045</v>
      </c>
      <c r="N1052">
        <f>IF(AND(CROQUIS_DATOS!$C$1472=1,1),(CROQUIS_DATOS!$C$1563+(IF(IF(IF(INT(($A1052-1)/70)+1&gt;CROQUIS_DATOS!$C$1525,70,MOD($A1052-1,70)+1)=1,0,IF(IF(INT(($A1052-1)/70)+1&gt;CROQUIS_DATOS!$C$1525,70,MOD($A1052-1,70)+1)&gt;2*CROQUIS_DATOS!$C$1541+1,IF(MOD(CROQUIS_DATOS!$C$1541,2)=1,1,0),IF(MOD(MIN(INT((IF(INT(($A1052-1)/70)+1&gt;CROQUIS_DATOS!$C$1525,70,MOD($A1052-1,70)+1)-2)/2)+1,CROQUIS_DATOS!$C$1541),2)=1,IF(MOD(IF(INT(($A1052-1)/70)+1&gt;CROQUIS_DATOS!$C$1525,70,MOD($A1052-1,70)+1)-2,2)=0,0,1),IF(MOD(IF(INT(($A1052-1)/70)+1&gt;CROQUIS_DATOS!$C$1525,70,MOD($A1052-1,70)+1)-2,2)=0,1,0))))=0,(INDEX($E$8:$E$23,MIN(INT(($A1052-1)/70)+1,CROQUIS_DATOS!$C$1525))-INDEX($F$8:$F$23,MIN(INT(($A1052-1)/70)+1,CROQUIS_DATOS!$C$1525))/2),(INDEX($E$8:$E$23,MIN(INT(($A1052-1)/70)+1,CROQUIS_DATOS!$C$1525))+INDEX($F$8:$F$23,MIN(INT(($A1052-1)/70)+1,CROQUIS_DATOS!$C$1525))/2)))*CROQUIS_DATOS!$C$1562),-1000)</f>
        <v>82.8189655172414</v>
      </c>
      <c r="O1052">
        <f>IF(AND(CROQUIS_DATOS!$C$1472=1,1),(CROQUIS_DATOS!$C$1564+(IF(OR(IF(INT(($A1052-1)/70)+1&gt;CROQUIS_DATOS!$C$1525,70,MOD($A1052-1,70)+1)=1,IF(INT(($A1052-1)/70)+1&gt;CROQUIS_DATOS!$C$1525,70,MOD($A1052-1,70)+1)&gt;2*CROQUIS_DATOS!$C$1541+1),CROQUIS_DATOS!$C$1476,INDEX($H$8:$H$41,MIN(INT((IF(INT(($A1052-1)/70)+1&gt;CROQUIS_DATOS!$C$1525,70,MOD($A1052-1,70)+1)-2)/2)+1,CROQUIS_DATOS!$C$1541))))*CROQUIS_DATOS!$C$1561*CROQUIS_DATOS!$C$1562),-1000)</f>
        <v>40.2068965517241</v>
      </c>
    </row>
    <row r="1053">
      <c r="A1053" t="n">
        <v>1046</v>
      </c>
      <c r="N1053">
        <f>IF(AND(CROQUIS_DATOS!$C$1472=1,1),(CROQUIS_DATOS!$C$1563+(IF(IF(IF(INT(($A1053-1)/70)+1&gt;CROQUIS_DATOS!$C$1525,70,MOD($A1053-1,70)+1)=1,0,IF(IF(INT(($A1053-1)/70)+1&gt;CROQUIS_DATOS!$C$1525,70,MOD($A1053-1,70)+1)&gt;2*CROQUIS_DATOS!$C$1541+1,IF(MOD(CROQUIS_DATOS!$C$1541,2)=1,1,0),IF(MOD(MIN(INT((IF(INT(($A1053-1)/70)+1&gt;CROQUIS_DATOS!$C$1525,70,MOD($A1053-1,70)+1)-2)/2)+1,CROQUIS_DATOS!$C$1541),2)=1,IF(MOD(IF(INT(($A1053-1)/70)+1&gt;CROQUIS_DATOS!$C$1525,70,MOD($A1053-1,70)+1)-2,2)=0,0,1),IF(MOD(IF(INT(($A1053-1)/70)+1&gt;CROQUIS_DATOS!$C$1525,70,MOD($A1053-1,70)+1)-2,2)=0,1,0))))=0,(INDEX($E$8:$E$23,MIN(INT(($A1053-1)/70)+1,CROQUIS_DATOS!$C$1525))-INDEX($F$8:$F$23,MIN(INT(($A1053-1)/70)+1,CROQUIS_DATOS!$C$1525))/2),(INDEX($E$8:$E$23,MIN(INT(($A1053-1)/70)+1,CROQUIS_DATOS!$C$1525))+INDEX($F$8:$F$23,MIN(INT(($A1053-1)/70)+1,CROQUIS_DATOS!$C$1525))/2)))*CROQUIS_DATOS!$C$1562),-1000)</f>
        <v>82.8189655172414</v>
      </c>
      <c r="O1053">
        <f>IF(AND(CROQUIS_DATOS!$C$1472=1,1),(CROQUIS_DATOS!$C$1564+(IF(OR(IF(INT(($A1053-1)/70)+1&gt;CROQUIS_DATOS!$C$1525,70,MOD($A1053-1,70)+1)=1,IF(INT(($A1053-1)/70)+1&gt;CROQUIS_DATOS!$C$1525,70,MOD($A1053-1,70)+1)&gt;2*CROQUIS_DATOS!$C$1541+1),CROQUIS_DATOS!$C$1476,INDEX($H$8:$H$41,MIN(INT((IF(INT(($A1053-1)/70)+1&gt;CROQUIS_DATOS!$C$1525,70,MOD($A1053-1,70)+1)-2)/2)+1,CROQUIS_DATOS!$C$1541))))*CROQUIS_DATOS!$C$1561*CROQUIS_DATOS!$C$1562),-1000)</f>
        <v>40.2068965517241</v>
      </c>
    </row>
    <row r="1054">
      <c r="A1054" t="n">
        <v>1047</v>
      </c>
      <c r="N1054">
        <f>IF(AND(CROQUIS_DATOS!$C$1472=1,1),(CROQUIS_DATOS!$C$1563+(IF(IF(IF(INT(($A1054-1)/70)+1&gt;CROQUIS_DATOS!$C$1525,70,MOD($A1054-1,70)+1)=1,0,IF(IF(INT(($A1054-1)/70)+1&gt;CROQUIS_DATOS!$C$1525,70,MOD($A1054-1,70)+1)&gt;2*CROQUIS_DATOS!$C$1541+1,IF(MOD(CROQUIS_DATOS!$C$1541,2)=1,1,0),IF(MOD(MIN(INT((IF(INT(($A1054-1)/70)+1&gt;CROQUIS_DATOS!$C$1525,70,MOD($A1054-1,70)+1)-2)/2)+1,CROQUIS_DATOS!$C$1541),2)=1,IF(MOD(IF(INT(($A1054-1)/70)+1&gt;CROQUIS_DATOS!$C$1525,70,MOD($A1054-1,70)+1)-2,2)=0,0,1),IF(MOD(IF(INT(($A1054-1)/70)+1&gt;CROQUIS_DATOS!$C$1525,70,MOD($A1054-1,70)+1)-2,2)=0,1,0))))=0,(INDEX($E$8:$E$23,MIN(INT(($A1054-1)/70)+1,CROQUIS_DATOS!$C$1525))-INDEX($F$8:$F$23,MIN(INT(($A1054-1)/70)+1,CROQUIS_DATOS!$C$1525))/2),(INDEX($E$8:$E$23,MIN(INT(($A1054-1)/70)+1,CROQUIS_DATOS!$C$1525))+INDEX($F$8:$F$23,MIN(INT(($A1054-1)/70)+1,CROQUIS_DATOS!$C$1525))/2)))*CROQUIS_DATOS!$C$1562),-1000)</f>
        <v>82.8189655172414</v>
      </c>
      <c r="O1054">
        <f>IF(AND(CROQUIS_DATOS!$C$1472=1,1),(CROQUIS_DATOS!$C$1564+(IF(OR(IF(INT(($A1054-1)/70)+1&gt;CROQUIS_DATOS!$C$1525,70,MOD($A1054-1,70)+1)=1,IF(INT(($A1054-1)/70)+1&gt;CROQUIS_DATOS!$C$1525,70,MOD($A1054-1,70)+1)&gt;2*CROQUIS_DATOS!$C$1541+1),CROQUIS_DATOS!$C$1476,INDEX($H$8:$H$41,MIN(INT((IF(INT(($A1054-1)/70)+1&gt;CROQUIS_DATOS!$C$1525,70,MOD($A1054-1,70)+1)-2)/2)+1,CROQUIS_DATOS!$C$1541))))*CROQUIS_DATOS!$C$1561*CROQUIS_DATOS!$C$1562),-1000)</f>
        <v>40.2068965517241</v>
      </c>
    </row>
    <row r="1055">
      <c r="A1055" t="n">
        <v>1048</v>
      </c>
      <c r="N1055">
        <f>IF(AND(CROQUIS_DATOS!$C$1472=1,1),(CROQUIS_DATOS!$C$1563+(IF(IF(IF(INT(($A1055-1)/70)+1&gt;CROQUIS_DATOS!$C$1525,70,MOD($A1055-1,70)+1)=1,0,IF(IF(INT(($A1055-1)/70)+1&gt;CROQUIS_DATOS!$C$1525,70,MOD($A1055-1,70)+1)&gt;2*CROQUIS_DATOS!$C$1541+1,IF(MOD(CROQUIS_DATOS!$C$1541,2)=1,1,0),IF(MOD(MIN(INT((IF(INT(($A1055-1)/70)+1&gt;CROQUIS_DATOS!$C$1525,70,MOD($A1055-1,70)+1)-2)/2)+1,CROQUIS_DATOS!$C$1541),2)=1,IF(MOD(IF(INT(($A1055-1)/70)+1&gt;CROQUIS_DATOS!$C$1525,70,MOD($A1055-1,70)+1)-2,2)=0,0,1),IF(MOD(IF(INT(($A1055-1)/70)+1&gt;CROQUIS_DATOS!$C$1525,70,MOD($A1055-1,70)+1)-2,2)=0,1,0))))=0,(INDEX($E$8:$E$23,MIN(INT(($A1055-1)/70)+1,CROQUIS_DATOS!$C$1525))-INDEX($F$8:$F$23,MIN(INT(($A1055-1)/70)+1,CROQUIS_DATOS!$C$1525))/2),(INDEX($E$8:$E$23,MIN(INT(($A1055-1)/70)+1,CROQUIS_DATOS!$C$1525))+INDEX($F$8:$F$23,MIN(INT(($A1055-1)/70)+1,CROQUIS_DATOS!$C$1525))/2)))*CROQUIS_DATOS!$C$1562),-1000)</f>
        <v>82.8189655172414</v>
      </c>
      <c r="O1055">
        <f>IF(AND(CROQUIS_DATOS!$C$1472=1,1),(CROQUIS_DATOS!$C$1564+(IF(OR(IF(INT(($A1055-1)/70)+1&gt;CROQUIS_DATOS!$C$1525,70,MOD($A1055-1,70)+1)=1,IF(INT(($A1055-1)/70)+1&gt;CROQUIS_DATOS!$C$1525,70,MOD($A1055-1,70)+1)&gt;2*CROQUIS_DATOS!$C$1541+1),CROQUIS_DATOS!$C$1476,INDEX($H$8:$H$41,MIN(INT((IF(INT(($A1055-1)/70)+1&gt;CROQUIS_DATOS!$C$1525,70,MOD($A1055-1,70)+1)-2)/2)+1,CROQUIS_DATOS!$C$1541))))*CROQUIS_DATOS!$C$1561*CROQUIS_DATOS!$C$1562),-1000)</f>
        <v>40.2068965517241</v>
      </c>
    </row>
    <row r="1056">
      <c r="A1056" t="n">
        <v>1049</v>
      </c>
      <c r="N1056">
        <f>IF(AND(CROQUIS_DATOS!$C$1472=1,1),(CROQUIS_DATOS!$C$1563+(IF(IF(IF(INT(($A1056-1)/70)+1&gt;CROQUIS_DATOS!$C$1525,70,MOD($A1056-1,70)+1)=1,0,IF(IF(INT(($A1056-1)/70)+1&gt;CROQUIS_DATOS!$C$1525,70,MOD($A1056-1,70)+1)&gt;2*CROQUIS_DATOS!$C$1541+1,IF(MOD(CROQUIS_DATOS!$C$1541,2)=1,1,0),IF(MOD(MIN(INT((IF(INT(($A1056-1)/70)+1&gt;CROQUIS_DATOS!$C$1525,70,MOD($A1056-1,70)+1)-2)/2)+1,CROQUIS_DATOS!$C$1541),2)=1,IF(MOD(IF(INT(($A1056-1)/70)+1&gt;CROQUIS_DATOS!$C$1525,70,MOD($A1056-1,70)+1)-2,2)=0,0,1),IF(MOD(IF(INT(($A1056-1)/70)+1&gt;CROQUIS_DATOS!$C$1525,70,MOD($A1056-1,70)+1)-2,2)=0,1,0))))=0,(INDEX($E$8:$E$23,MIN(INT(($A1056-1)/70)+1,CROQUIS_DATOS!$C$1525))-INDEX($F$8:$F$23,MIN(INT(($A1056-1)/70)+1,CROQUIS_DATOS!$C$1525))/2),(INDEX($E$8:$E$23,MIN(INT(($A1056-1)/70)+1,CROQUIS_DATOS!$C$1525))+INDEX($F$8:$F$23,MIN(INT(($A1056-1)/70)+1,CROQUIS_DATOS!$C$1525))/2)))*CROQUIS_DATOS!$C$1562),-1000)</f>
        <v>82.8189655172414</v>
      </c>
      <c r="O1056">
        <f>IF(AND(CROQUIS_DATOS!$C$1472=1,1),(CROQUIS_DATOS!$C$1564+(IF(OR(IF(INT(($A1056-1)/70)+1&gt;CROQUIS_DATOS!$C$1525,70,MOD($A1056-1,70)+1)=1,IF(INT(($A1056-1)/70)+1&gt;CROQUIS_DATOS!$C$1525,70,MOD($A1056-1,70)+1)&gt;2*CROQUIS_DATOS!$C$1541+1),CROQUIS_DATOS!$C$1476,INDEX($H$8:$H$41,MIN(INT((IF(INT(($A1056-1)/70)+1&gt;CROQUIS_DATOS!$C$1525,70,MOD($A1056-1,70)+1)-2)/2)+1,CROQUIS_DATOS!$C$1541))))*CROQUIS_DATOS!$C$1561*CROQUIS_DATOS!$C$1562),-1000)</f>
        <v>40.2068965517241</v>
      </c>
    </row>
    <row r="1057">
      <c r="A1057" t="n">
        <v>1050</v>
      </c>
      <c r="N1057">
        <f>IF(AND(CROQUIS_DATOS!$C$1472=1,1),(CROQUIS_DATOS!$C$1563+(IF(IF(IF(INT(($A1057-1)/70)+1&gt;CROQUIS_DATOS!$C$1525,70,MOD($A1057-1,70)+1)=1,0,IF(IF(INT(($A1057-1)/70)+1&gt;CROQUIS_DATOS!$C$1525,70,MOD($A1057-1,70)+1)&gt;2*CROQUIS_DATOS!$C$1541+1,IF(MOD(CROQUIS_DATOS!$C$1541,2)=1,1,0),IF(MOD(MIN(INT((IF(INT(($A1057-1)/70)+1&gt;CROQUIS_DATOS!$C$1525,70,MOD($A1057-1,70)+1)-2)/2)+1,CROQUIS_DATOS!$C$1541),2)=1,IF(MOD(IF(INT(($A1057-1)/70)+1&gt;CROQUIS_DATOS!$C$1525,70,MOD($A1057-1,70)+1)-2,2)=0,0,1),IF(MOD(IF(INT(($A1057-1)/70)+1&gt;CROQUIS_DATOS!$C$1525,70,MOD($A1057-1,70)+1)-2,2)=0,1,0))))=0,(INDEX($E$8:$E$23,MIN(INT(($A1057-1)/70)+1,CROQUIS_DATOS!$C$1525))-INDEX($F$8:$F$23,MIN(INT(($A1057-1)/70)+1,CROQUIS_DATOS!$C$1525))/2),(INDEX($E$8:$E$23,MIN(INT(($A1057-1)/70)+1,CROQUIS_DATOS!$C$1525))+INDEX($F$8:$F$23,MIN(INT(($A1057-1)/70)+1,CROQUIS_DATOS!$C$1525))/2)))*CROQUIS_DATOS!$C$1562),-1000)</f>
        <v>82.8189655172414</v>
      </c>
      <c r="O1057">
        <f>IF(AND(CROQUIS_DATOS!$C$1472=1,1),(CROQUIS_DATOS!$C$1564+(IF(OR(IF(INT(($A1057-1)/70)+1&gt;CROQUIS_DATOS!$C$1525,70,MOD($A1057-1,70)+1)=1,IF(INT(($A1057-1)/70)+1&gt;CROQUIS_DATOS!$C$1525,70,MOD($A1057-1,70)+1)&gt;2*CROQUIS_DATOS!$C$1541+1),CROQUIS_DATOS!$C$1476,INDEX($H$8:$H$41,MIN(INT((IF(INT(($A1057-1)/70)+1&gt;CROQUIS_DATOS!$C$1525,70,MOD($A1057-1,70)+1)-2)/2)+1,CROQUIS_DATOS!$C$1541))))*CROQUIS_DATOS!$C$1561*CROQUIS_DATOS!$C$1562),-1000)</f>
        <v>40.2068965517241</v>
      </c>
    </row>
    <row r="1058">
      <c r="A1058" t="n">
        <v>1051</v>
      </c>
      <c r="N1058">
        <f>IF(AND(CROQUIS_DATOS!$C$1472=1,1),(CROQUIS_DATOS!$C$1563+(IF(IF(IF(INT(($A1058-1)/70)+1&gt;CROQUIS_DATOS!$C$1525,70,MOD($A1058-1,70)+1)=1,0,IF(IF(INT(($A1058-1)/70)+1&gt;CROQUIS_DATOS!$C$1525,70,MOD($A1058-1,70)+1)&gt;2*CROQUIS_DATOS!$C$1541+1,IF(MOD(CROQUIS_DATOS!$C$1541,2)=1,1,0),IF(MOD(MIN(INT((IF(INT(($A1058-1)/70)+1&gt;CROQUIS_DATOS!$C$1525,70,MOD($A1058-1,70)+1)-2)/2)+1,CROQUIS_DATOS!$C$1541),2)=1,IF(MOD(IF(INT(($A1058-1)/70)+1&gt;CROQUIS_DATOS!$C$1525,70,MOD($A1058-1,70)+1)-2,2)=0,0,1),IF(MOD(IF(INT(($A1058-1)/70)+1&gt;CROQUIS_DATOS!$C$1525,70,MOD($A1058-1,70)+1)-2,2)=0,1,0))))=0,(INDEX($E$8:$E$23,MIN(INT(($A1058-1)/70)+1,CROQUIS_DATOS!$C$1525))-INDEX($F$8:$F$23,MIN(INT(($A1058-1)/70)+1,CROQUIS_DATOS!$C$1525))/2),(INDEX($E$8:$E$23,MIN(INT(($A1058-1)/70)+1,CROQUIS_DATOS!$C$1525))+INDEX($F$8:$F$23,MIN(INT(($A1058-1)/70)+1,CROQUIS_DATOS!$C$1525))/2)))*CROQUIS_DATOS!$C$1562),-1000)</f>
        <v>82.8189655172414</v>
      </c>
      <c r="O1058">
        <f>IF(AND(CROQUIS_DATOS!$C$1472=1,1),(CROQUIS_DATOS!$C$1564+(IF(OR(IF(INT(($A1058-1)/70)+1&gt;CROQUIS_DATOS!$C$1525,70,MOD($A1058-1,70)+1)=1,IF(INT(($A1058-1)/70)+1&gt;CROQUIS_DATOS!$C$1525,70,MOD($A1058-1,70)+1)&gt;2*CROQUIS_DATOS!$C$1541+1),CROQUIS_DATOS!$C$1476,INDEX($H$8:$H$41,MIN(INT((IF(INT(($A1058-1)/70)+1&gt;CROQUIS_DATOS!$C$1525,70,MOD($A1058-1,70)+1)-2)/2)+1,CROQUIS_DATOS!$C$1541))))*CROQUIS_DATOS!$C$1561*CROQUIS_DATOS!$C$1562),-1000)</f>
        <v>40.2068965517241</v>
      </c>
    </row>
    <row r="1059">
      <c r="A1059" t="n">
        <v>1052</v>
      </c>
      <c r="N1059">
        <f>IF(AND(CROQUIS_DATOS!$C$1472=1,1),(CROQUIS_DATOS!$C$1563+(IF(IF(IF(INT(($A1059-1)/70)+1&gt;CROQUIS_DATOS!$C$1525,70,MOD($A1059-1,70)+1)=1,0,IF(IF(INT(($A1059-1)/70)+1&gt;CROQUIS_DATOS!$C$1525,70,MOD($A1059-1,70)+1)&gt;2*CROQUIS_DATOS!$C$1541+1,IF(MOD(CROQUIS_DATOS!$C$1541,2)=1,1,0),IF(MOD(MIN(INT((IF(INT(($A1059-1)/70)+1&gt;CROQUIS_DATOS!$C$1525,70,MOD($A1059-1,70)+1)-2)/2)+1,CROQUIS_DATOS!$C$1541),2)=1,IF(MOD(IF(INT(($A1059-1)/70)+1&gt;CROQUIS_DATOS!$C$1525,70,MOD($A1059-1,70)+1)-2,2)=0,0,1),IF(MOD(IF(INT(($A1059-1)/70)+1&gt;CROQUIS_DATOS!$C$1525,70,MOD($A1059-1,70)+1)-2,2)=0,1,0))))=0,(INDEX($E$8:$E$23,MIN(INT(($A1059-1)/70)+1,CROQUIS_DATOS!$C$1525))-INDEX($F$8:$F$23,MIN(INT(($A1059-1)/70)+1,CROQUIS_DATOS!$C$1525))/2),(INDEX($E$8:$E$23,MIN(INT(($A1059-1)/70)+1,CROQUIS_DATOS!$C$1525))+INDEX($F$8:$F$23,MIN(INT(($A1059-1)/70)+1,CROQUIS_DATOS!$C$1525))/2)))*CROQUIS_DATOS!$C$1562),-1000)</f>
        <v>82.8189655172414</v>
      </c>
      <c r="O1059">
        <f>IF(AND(CROQUIS_DATOS!$C$1472=1,1),(CROQUIS_DATOS!$C$1564+(IF(OR(IF(INT(($A1059-1)/70)+1&gt;CROQUIS_DATOS!$C$1525,70,MOD($A1059-1,70)+1)=1,IF(INT(($A1059-1)/70)+1&gt;CROQUIS_DATOS!$C$1525,70,MOD($A1059-1,70)+1)&gt;2*CROQUIS_DATOS!$C$1541+1),CROQUIS_DATOS!$C$1476,INDEX($H$8:$H$41,MIN(INT((IF(INT(($A1059-1)/70)+1&gt;CROQUIS_DATOS!$C$1525,70,MOD($A1059-1,70)+1)-2)/2)+1,CROQUIS_DATOS!$C$1541))))*CROQUIS_DATOS!$C$1561*CROQUIS_DATOS!$C$1562),-1000)</f>
        <v>40.2068965517241</v>
      </c>
    </row>
    <row r="1060">
      <c r="A1060" t="n">
        <v>1053</v>
      </c>
      <c r="N1060">
        <f>IF(AND(CROQUIS_DATOS!$C$1472=1,1),(CROQUIS_DATOS!$C$1563+(IF(IF(IF(INT(($A1060-1)/70)+1&gt;CROQUIS_DATOS!$C$1525,70,MOD($A1060-1,70)+1)=1,0,IF(IF(INT(($A1060-1)/70)+1&gt;CROQUIS_DATOS!$C$1525,70,MOD($A1060-1,70)+1)&gt;2*CROQUIS_DATOS!$C$1541+1,IF(MOD(CROQUIS_DATOS!$C$1541,2)=1,1,0),IF(MOD(MIN(INT((IF(INT(($A1060-1)/70)+1&gt;CROQUIS_DATOS!$C$1525,70,MOD($A1060-1,70)+1)-2)/2)+1,CROQUIS_DATOS!$C$1541),2)=1,IF(MOD(IF(INT(($A1060-1)/70)+1&gt;CROQUIS_DATOS!$C$1525,70,MOD($A1060-1,70)+1)-2,2)=0,0,1),IF(MOD(IF(INT(($A1060-1)/70)+1&gt;CROQUIS_DATOS!$C$1525,70,MOD($A1060-1,70)+1)-2,2)=0,1,0))))=0,(INDEX($E$8:$E$23,MIN(INT(($A1060-1)/70)+1,CROQUIS_DATOS!$C$1525))-INDEX($F$8:$F$23,MIN(INT(($A1060-1)/70)+1,CROQUIS_DATOS!$C$1525))/2),(INDEX($E$8:$E$23,MIN(INT(($A1060-1)/70)+1,CROQUIS_DATOS!$C$1525))+INDEX($F$8:$F$23,MIN(INT(($A1060-1)/70)+1,CROQUIS_DATOS!$C$1525))/2)))*CROQUIS_DATOS!$C$1562),-1000)</f>
        <v>82.8189655172414</v>
      </c>
      <c r="O1060">
        <f>IF(AND(CROQUIS_DATOS!$C$1472=1,1),(CROQUIS_DATOS!$C$1564+(IF(OR(IF(INT(($A1060-1)/70)+1&gt;CROQUIS_DATOS!$C$1525,70,MOD($A1060-1,70)+1)=1,IF(INT(($A1060-1)/70)+1&gt;CROQUIS_DATOS!$C$1525,70,MOD($A1060-1,70)+1)&gt;2*CROQUIS_DATOS!$C$1541+1),CROQUIS_DATOS!$C$1476,INDEX($H$8:$H$41,MIN(INT((IF(INT(($A1060-1)/70)+1&gt;CROQUIS_DATOS!$C$1525,70,MOD($A1060-1,70)+1)-2)/2)+1,CROQUIS_DATOS!$C$1541))))*CROQUIS_DATOS!$C$1561*CROQUIS_DATOS!$C$1562),-1000)</f>
        <v>40.2068965517241</v>
      </c>
    </row>
    <row r="1061">
      <c r="A1061" t="n">
        <v>1054</v>
      </c>
      <c r="N1061">
        <f>IF(AND(CROQUIS_DATOS!$C$1472=1,1),(CROQUIS_DATOS!$C$1563+(IF(IF(IF(INT(($A1061-1)/70)+1&gt;CROQUIS_DATOS!$C$1525,70,MOD($A1061-1,70)+1)=1,0,IF(IF(INT(($A1061-1)/70)+1&gt;CROQUIS_DATOS!$C$1525,70,MOD($A1061-1,70)+1)&gt;2*CROQUIS_DATOS!$C$1541+1,IF(MOD(CROQUIS_DATOS!$C$1541,2)=1,1,0),IF(MOD(MIN(INT((IF(INT(($A1061-1)/70)+1&gt;CROQUIS_DATOS!$C$1525,70,MOD($A1061-1,70)+1)-2)/2)+1,CROQUIS_DATOS!$C$1541),2)=1,IF(MOD(IF(INT(($A1061-1)/70)+1&gt;CROQUIS_DATOS!$C$1525,70,MOD($A1061-1,70)+1)-2,2)=0,0,1),IF(MOD(IF(INT(($A1061-1)/70)+1&gt;CROQUIS_DATOS!$C$1525,70,MOD($A1061-1,70)+1)-2,2)=0,1,0))))=0,(INDEX($E$8:$E$23,MIN(INT(($A1061-1)/70)+1,CROQUIS_DATOS!$C$1525))-INDEX($F$8:$F$23,MIN(INT(($A1061-1)/70)+1,CROQUIS_DATOS!$C$1525))/2),(INDEX($E$8:$E$23,MIN(INT(($A1061-1)/70)+1,CROQUIS_DATOS!$C$1525))+INDEX($F$8:$F$23,MIN(INT(($A1061-1)/70)+1,CROQUIS_DATOS!$C$1525))/2)))*CROQUIS_DATOS!$C$1562),-1000)</f>
        <v>82.8189655172414</v>
      </c>
      <c r="O1061">
        <f>IF(AND(CROQUIS_DATOS!$C$1472=1,1),(CROQUIS_DATOS!$C$1564+(IF(OR(IF(INT(($A1061-1)/70)+1&gt;CROQUIS_DATOS!$C$1525,70,MOD($A1061-1,70)+1)=1,IF(INT(($A1061-1)/70)+1&gt;CROQUIS_DATOS!$C$1525,70,MOD($A1061-1,70)+1)&gt;2*CROQUIS_DATOS!$C$1541+1),CROQUIS_DATOS!$C$1476,INDEX($H$8:$H$41,MIN(INT((IF(INT(($A1061-1)/70)+1&gt;CROQUIS_DATOS!$C$1525,70,MOD($A1061-1,70)+1)-2)/2)+1,CROQUIS_DATOS!$C$1541))))*CROQUIS_DATOS!$C$1561*CROQUIS_DATOS!$C$1562),-1000)</f>
        <v>40.2068965517241</v>
      </c>
    </row>
    <row r="1062">
      <c r="A1062" t="n">
        <v>1055</v>
      </c>
      <c r="N1062">
        <f>IF(AND(CROQUIS_DATOS!$C$1472=1,1),(CROQUIS_DATOS!$C$1563+(IF(IF(IF(INT(($A1062-1)/70)+1&gt;CROQUIS_DATOS!$C$1525,70,MOD($A1062-1,70)+1)=1,0,IF(IF(INT(($A1062-1)/70)+1&gt;CROQUIS_DATOS!$C$1525,70,MOD($A1062-1,70)+1)&gt;2*CROQUIS_DATOS!$C$1541+1,IF(MOD(CROQUIS_DATOS!$C$1541,2)=1,1,0),IF(MOD(MIN(INT((IF(INT(($A1062-1)/70)+1&gt;CROQUIS_DATOS!$C$1525,70,MOD($A1062-1,70)+1)-2)/2)+1,CROQUIS_DATOS!$C$1541),2)=1,IF(MOD(IF(INT(($A1062-1)/70)+1&gt;CROQUIS_DATOS!$C$1525,70,MOD($A1062-1,70)+1)-2,2)=0,0,1),IF(MOD(IF(INT(($A1062-1)/70)+1&gt;CROQUIS_DATOS!$C$1525,70,MOD($A1062-1,70)+1)-2,2)=0,1,0))))=0,(INDEX($E$8:$E$23,MIN(INT(($A1062-1)/70)+1,CROQUIS_DATOS!$C$1525))-INDEX($F$8:$F$23,MIN(INT(($A1062-1)/70)+1,CROQUIS_DATOS!$C$1525))/2),(INDEX($E$8:$E$23,MIN(INT(($A1062-1)/70)+1,CROQUIS_DATOS!$C$1525))+INDEX($F$8:$F$23,MIN(INT(($A1062-1)/70)+1,CROQUIS_DATOS!$C$1525))/2)))*CROQUIS_DATOS!$C$1562),-1000)</f>
        <v>82.8189655172414</v>
      </c>
      <c r="O1062">
        <f>IF(AND(CROQUIS_DATOS!$C$1472=1,1),(CROQUIS_DATOS!$C$1564+(IF(OR(IF(INT(($A1062-1)/70)+1&gt;CROQUIS_DATOS!$C$1525,70,MOD($A1062-1,70)+1)=1,IF(INT(($A1062-1)/70)+1&gt;CROQUIS_DATOS!$C$1525,70,MOD($A1062-1,70)+1)&gt;2*CROQUIS_DATOS!$C$1541+1),CROQUIS_DATOS!$C$1476,INDEX($H$8:$H$41,MIN(INT((IF(INT(($A1062-1)/70)+1&gt;CROQUIS_DATOS!$C$1525,70,MOD($A1062-1,70)+1)-2)/2)+1,CROQUIS_DATOS!$C$1541))))*CROQUIS_DATOS!$C$1561*CROQUIS_DATOS!$C$1562),-1000)</f>
        <v>40.2068965517241</v>
      </c>
    </row>
    <row r="1063">
      <c r="A1063" t="n">
        <v>1056</v>
      </c>
      <c r="N1063">
        <f>IF(AND(CROQUIS_DATOS!$C$1472=1,1),(CROQUIS_DATOS!$C$1563+(IF(IF(IF(INT(($A1063-1)/70)+1&gt;CROQUIS_DATOS!$C$1525,70,MOD($A1063-1,70)+1)=1,0,IF(IF(INT(($A1063-1)/70)+1&gt;CROQUIS_DATOS!$C$1525,70,MOD($A1063-1,70)+1)&gt;2*CROQUIS_DATOS!$C$1541+1,IF(MOD(CROQUIS_DATOS!$C$1541,2)=1,1,0),IF(MOD(MIN(INT((IF(INT(($A1063-1)/70)+1&gt;CROQUIS_DATOS!$C$1525,70,MOD($A1063-1,70)+1)-2)/2)+1,CROQUIS_DATOS!$C$1541),2)=1,IF(MOD(IF(INT(($A1063-1)/70)+1&gt;CROQUIS_DATOS!$C$1525,70,MOD($A1063-1,70)+1)-2,2)=0,0,1),IF(MOD(IF(INT(($A1063-1)/70)+1&gt;CROQUIS_DATOS!$C$1525,70,MOD($A1063-1,70)+1)-2,2)=0,1,0))))=0,(INDEX($E$8:$E$23,MIN(INT(($A1063-1)/70)+1,CROQUIS_DATOS!$C$1525))-INDEX($F$8:$F$23,MIN(INT(($A1063-1)/70)+1,CROQUIS_DATOS!$C$1525))/2),(INDEX($E$8:$E$23,MIN(INT(($A1063-1)/70)+1,CROQUIS_DATOS!$C$1525))+INDEX($F$8:$F$23,MIN(INT(($A1063-1)/70)+1,CROQUIS_DATOS!$C$1525))/2)))*CROQUIS_DATOS!$C$1562),-1000)</f>
        <v>82.8189655172414</v>
      </c>
      <c r="O1063">
        <f>IF(AND(CROQUIS_DATOS!$C$1472=1,1),(CROQUIS_DATOS!$C$1564+(IF(OR(IF(INT(($A1063-1)/70)+1&gt;CROQUIS_DATOS!$C$1525,70,MOD($A1063-1,70)+1)=1,IF(INT(($A1063-1)/70)+1&gt;CROQUIS_DATOS!$C$1525,70,MOD($A1063-1,70)+1)&gt;2*CROQUIS_DATOS!$C$1541+1),CROQUIS_DATOS!$C$1476,INDEX($H$8:$H$41,MIN(INT((IF(INT(($A1063-1)/70)+1&gt;CROQUIS_DATOS!$C$1525,70,MOD($A1063-1,70)+1)-2)/2)+1,CROQUIS_DATOS!$C$1541))))*CROQUIS_DATOS!$C$1561*CROQUIS_DATOS!$C$1562),-1000)</f>
        <v>40.2068965517241</v>
      </c>
    </row>
    <row r="1064">
      <c r="A1064" t="n">
        <v>1057</v>
      </c>
      <c r="N1064">
        <f>IF(AND(CROQUIS_DATOS!$C$1472=1,1),(CROQUIS_DATOS!$C$1563+(IF(IF(IF(INT(($A1064-1)/70)+1&gt;CROQUIS_DATOS!$C$1525,70,MOD($A1064-1,70)+1)=1,0,IF(IF(INT(($A1064-1)/70)+1&gt;CROQUIS_DATOS!$C$1525,70,MOD($A1064-1,70)+1)&gt;2*CROQUIS_DATOS!$C$1541+1,IF(MOD(CROQUIS_DATOS!$C$1541,2)=1,1,0),IF(MOD(MIN(INT((IF(INT(($A1064-1)/70)+1&gt;CROQUIS_DATOS!$C$1525,70,MOD($A1064-1,70)+1)-2)/2)+1,CROQUIS_DATOS!$C$1541),2)=1,IF(MOD(IF(INT(($A1064-1)/70)+1&gt;CROQUIS_DATOS!$C$1525,70,MOD($A1064-1,70)+1)-2,2)=0,0,1),IF(MOD(IF(INT(($A1064-1)/70)+1&gt;CROQUIS_DATOS!$C$1525,70,MOD($A1064-1,70)+1)-2,2)=0,1,0))))=0,(INDEX($E$8:$E$23,MIN(INT(($A1064-1)/70)+1,CROQUIS_DATOS!$C$1525))-INDEX($F$8:$F$23,MIN(INT(($A1064-1)/70)+1,CROQUIS_DATOS!$C$1525))/2),(INDEX($E$8:$E$23,MIN(INT(($A1064-1)/70)+1,CROQUIS_DATOS!$C$1525))+INDEX($F$8:$F$23,MIN(INT(($A1064-1)/70)+1,CROQUIS_DATOS!$C$1525))/2)))*CROQUIS_DATOS!$C$1562),-1000)</f>
        <v>82.8189655172414</v>
      </c>
      <c r="O1064">
        <f>IF(AND(CROQUIS_DATOS!$C$1472=1,1),(CROQUIS_DATOS!$C$1564+(IF(OR(IF(INT(($A1064-1)/70)+1&gt;CROQUIS_DATOS!$C$1525,70,MOD($A1064-1,70)+1)=1,IF(INT(($A1064-1)/70)+1&gt;CROQUIS_DATOS!$C$1525,70,MOD($A1064-1,70)+1)&gt;2*CROQUIS_DATOS!$C$1541+1),CROQUIS_DATOS!$C$1476,INDEX($H$8:$H$41,MIN(INT((IF(INT(($A1064-1)/70)+1&gt;CROQUIS_DATOS!$C$1525,70,MOD($A1064-1,70)+1)-2)/2)+1,CROQUIS_DATOS!$C$1541))))*CROQUIS_DATOS!$C$1561*CROQUIS_DATOS!$C$1562),-1000)</f>
        <v>40.2068965517241</v>
      </c>
    </row>
    <row r="1065">
      <c r="A1065" t="n">
        <v>1058</v>
      </c>
      <c r="N1065">
        <f>IF(AND(CROQUIS_DATOS!$C$1472=1,1),(CROQUIS_DATOS!$C$1563+(IF(IF(IF(INT(($A1065-1)/70)+1&gt;CROQUIS_DATOS!$C$1525,70,MOD($A1065-1,70)+1)=1,0,IF(IF(INT(($A1065-1)/70)+1&gt;CROQUIS_DATOS!$C$1525,70,MOD($A1065-1,70)+1)&gt;2*CROQUIS_DATOS!$C$1541+1,IF(MOD(CROQUIS_DATOS!$C$1541,2)=1,1,0),IF(MOD(MIN(INT((IF(INT(($A1065-1)/70)+1&gt;CROQUIS_DATOS!$C$1525,70,MOD($A1065-1,70)+1)-2)/2)+1,CROQUIS_DATOS!$C$1541),2)=1,IF(MOD(IF(INT(($A1065-1)/70)+1&gt;CROQUIS_DATOS!$C$1525,70,MOD($A1065-1,70)+1)-2,2)=0,0,1),IF(MOD(IF(INT(($A1065-1)/70)+1&gt;CROQUIS_DATOS!$C$1525,70,MOD($A1065-1,70)+1)-2,2)=0,1,0))))=0,(INDEX($E$8:$E$23,MIN(INT(($A1065-1)/70)+1,CROQUIS_DATOS!$C$1525))-INDEX($F$8:$F$23,MIN(INT(($A1065-1)/70)+1,CROQUIS_DATOS!$C$1525))/2),(INDEX($E$8:$E$23,MIN(INT(($A1065-1)/70)+1,CROQUIS_DATOS!$C$1525))+INDEX($F$8:$F$23,MIN(INT(($A1065-1)/70)+1,CROQUIS_DATOS!$C$1525))/2)))*CROQUIS_DATOS!$C$1562),-1000)</f>
        <v>82.8189655172414</v>
      </c>
      <c r="O1065">
        <f>IF(AND(CROQUIS_DATOS!$C$1472=1,1),(CROQUIS_DATOS!$C$1564+(IF(OR(IF(INT(($A1065-1)/70)+1&gt;CROQUIS_DATOS!$C$1525,70,MOD($A1065-1,70)+1)=1,IF(INT(($A1065-1)/70)+1&gt;CROQUIS_DATOS!$C$1525,70,MOD($A1065-1,70)+1)&gt;2*CROQUIS_DATOS!$C$1541+1),CROQUIS_DATOS!$C$1476,INDEX($H$8:$H$41,MIN(INT((IF(INT(($A1065-1)/70)+1&gt;CROQUIS_DATOS!$C$1525,70,MOD($A1065-1,70)+1)-2)/2)+1,CROQUIS_DATOS!$C$1541))))*CROQUIS_DATOS!$C$1561*CROQUIS_DATOS!$C$1562),-1000)</f>
        <v>40.2068965517241</v>
      </c>
    </row>
    <row r="1066">
      <c r="A1066" t="n">
        <v>1059</v>
      </c>
      <c r="N1066">
        <f>IF(AND(CROQUIS_DATOS!$C$1472=1,1),(CROQUIS_DATOS!$C$1563+(IF(IF(IF(INT(($A1066-1)/70)+1&gt;CROQUIS_DATOS!$C$1525,70,MOD($A1066-1,70)+1)=1,0,IF(IF(INT(($A1066-1)/70)+1&gt;CROQUIS_DATOS!$C$1525,70,MOD($A1066-1,70)+1)&gt;2*CROQUIS_DATOS!$C$1541+1,IF(MOD(CROQUIS_DATOS!$C$1541,2)=1,1,0),IF(MOD(MIN(INT((IF(INT(($A1066-1)/70)+1&gt;CROQUIS_DATOS!$C$1525,70,MOD($A1066-1,70)+1)-2)/2)+1,CROQUIS_DATOS!$C$1541),2)=1,IF(MOD(IF(INT(($A1066-1)/70)+1&gt;CROQUIS_DATOS!$C$1525,70,MOD($A1066-1,70)+1)-2,2)=0,0,1),IF(MOD(IF(INT(($A1066-1)/70)+1&gt;CROQUIS_DATOS!$C$1525,70,MOD($A1066-1,70)+1)-2,2)=0,1,0))))=0,(INDEX($E$8:$E$23,MIN(INT(($A1066-1)/70)+1,CROQUIS_DATOS!$C$1525))-INDEX($F$8:$F$23,MIN(INT(($A1066-1)/70)+1,CROQUIS_DATOS!$C$1525))/2),(INDEX($E$8:$E$23,MIN(INT(($A1066-1)/70)+1,CROQUIS_DATOS!$C$1525))+INDEX($F$8:$F$23,MIN(INT(($A1066-1)/70)+1,CROQUIS_DATOS!$C$1525))/2)))*CROQUIS_DATOS!$C$1562),-1000)</f>
        <v>82.8189655172414</v>
      </c>
      <c r="O1066">
        <f>IF(AND(CROQUIS_DATOS!$C$1472=1,1),(CROQUIS_DATOS!$C$1564+(IF(OR(IF(INT(($A1066-1)/70)+1&gt;CROQUIS_DATOS!$C$1525,70,MOD($A1066-1,70)+1)=1,IF(INT(($A1066-1)/70)+1&gt;CROQUIS_DATOS!$C$1525,70,MOD($A1066-1,70)+1)&gt;2*CROQUIS_DATOS!$C$1541+1),CROQUIS_DATOS!$C$1476,INDEX($H$8:$H$41,MIN(INT((IF(INT(($A1066-1)/70)+1&gt;CROQUIS_DATOS!$C$1525,70,MOD($A1066-1,70)+1)-2)/2)+1,CROQUIS_DATOS!$C$1541))))*CROQUIS_DATOS!$C$1561*CROQUIS_DATOS!$C$1562),-1000)</f>
        <v>40.2068965517241</v>
      </c>
    </row>
    <row r="1067">
      <c r="A1067" t="n">
        <v>1060</v>
      </c>
      <c r="N1067">
        <f>IF(AND(CROQUIS_DATOS!$C$1472=1,1),(CROQUIS_DATOS!$C$1563+(IF(IF(IF(INT(($A1067-1)/70)+1&gt;CROQUIS_DATOS!$C$1525,70,MOD($A1067-1,70)+1)=1,0,IF(IF(INT(($A1067-1)/70)+1&gt;CROQUIS_DATOS!$C$1525,70,MOD($A1067-1,70)+1)&gt;2*CROQUIS_DATOS!$C$1541+1,IF(MOD(CROQUIS_DATOS!$C$1541,2)=1,1,0),IF(MOD(MIN(INT((IF(INT(($A1067-1)/70)+1&gt;CROQUIS_DATOS!$C$1525,70,MOD($A1067-1,70)+1)-2)/2)+1,CROQUIS_DATOS!$C$1541),2)=1,IF(MOD(IF(INT(($A1067-1)/70)+1&gt;CROQUIS_DATOS!$C$1525,70,MOD($A1067-1,70)+1)-2,2)=0,0,1),IF(MOD(IF(INT(($A1067-1)/70)+1&gt;CROQUIS_DATOS!$C$1525,70,MOD($A1067-1,70)+1)-2,2)=0,1,0))))=0,(INDEX($E$8:$E$23,MIN(INT(($A1067-1)/70)+1,CROQUIS_DATOS!$C$1525))-INDEX($F$8:$F$23,MIN(INT(($A1067-1)/70)+1,CROQUIS_DATOS!$C$1525))/2),(INDEX($E$8:$E$23,MIN(INT(($A1067-1)/70)+1,CROQUIS_DATOS!$C$1525))+INDEX($F$8:$F$23,MIN(INT(($A1067-1)/70)+1,CROQUIS_DATOS!$C$1525))/2)))*CROQUIS_DATOS!$C$1562),-1000)</f>
        <v>82.8189655172414</v>
      </c>
      <c r="O1067">
        <f>IF(AND(CROQUIS_DATOS!$C$1472=1,1),(CROQUIS_DATOS!$C$1564+(IF(OR(IF(INT(($A1067-1)/70)+1&gt;CROQUIS_DATOS!$C$1525,70,MOD($A1067-1,70)+1)=1,IF(INT(($A1067-1)/70)+1&gt;CROQUIS_DATOS!$C$1525,70,MOD($A1067-1,70)+1)&gt;2*CROQUIS_DATOS!$C$1541+1),CROQUIS_DATOS!$C$1476,INDEX($H$8:$H$41,MIN(INT((IF(INT(($A1067-1)/70)+1&gt;CROQUIS_DATOS!$C$1525,70,MOD($A1067-1,70)+1)-2)/2)+1,CROQUIS_DATOS!$C$1541))))*CROQUIS_DATOS!$C$1561*CROQUIS_DATOS!$C$1562),-1000)</f>
        <v>40.2068965517241</v>
      </c>
    </row>
    <row r="1068">
      <c r="A1068" t="n">
        <v>1061</v>
      </c>
      <c r="N1068">
        <f>IF(AND(CROQUIS_DATOS!$C$1472=1,1),(CROQUIS_DATOS!$C$1563+(IF(IF(IF(INT(($A1068-1)/70)+1&gt;CROQUIS_DATOS!$C$1525,70,MOD($A1068-1,70)+1)=1,0,IF(IF(INT(($A1068-1)/70)+1&gt;CROQUIS_DATOS!$C$1525,70,MOD($A1068-1,70)+1)&gt;2*CROQUIS_DATOS!$C$1541+1,IF(MOD(CROQUIS_DATOS!$C$1541,2)=1,1,0),IF(MOD(MIN(INT((IF(INT(($A1068-1)/70)+1&gt;CROQUIS_DATOS!$C$1525,70,MOD($A1068-1,70)+1)-2)/2)+1,CROQUIS_DATOS!$C$1541),2)=1,IF(MOD(IF(INT(($A1068-1)/70)+1&gt;CROQUIS_DATOS!$C$1525,70,MOD($A1068-1,70)+1)-2,2)=0,0,1),IF(MOD(IF(INT(($A1068-1)/70)+1&gt;CROQUIS_DATOS!$C$1525,70,MOD($A1068-1,70)+1)-2,2)=0,1,0))))=0,(INDEX($E$8:$E$23,MIN(INT(($A1068-1)/70)+1,CROQUIS_DATOS!$C$1525))-INDEX($F$8:$F$23,MIN(INT(($A1068-1)/70)+1,CROQUIS_DATOS!$C$1525))/2),(INDEX($E$8:$E$23,MIN(INT(($A1068-1)/70)+1,CROQUIS_DATOS!$C$1525))+INDEX($F$8:$F$23,MIN(INT(($A1068-1)/70)+1,CROQUIS_DATOS!$C$1525))/2)))*CROQUIS_DATOS!$C$1562),-1000)</f>
        <v>82.8189655172414</v>
      </c>
      <c r="O1068">
        <f>IF(AND(CROQUIS_DATOS!$C$1472=1,1),(CROQUIS_DATOS!$C$1564+(IF(OR(IF(INT(($A1068-1)/70)+1&gt;CROQUIS_DATOS!$C$1525,70,MOD($A1068-1,70)+1)=1,IF(INT(($A1068-1)/70)+1&gt;CROQUIS_DATOS!$C$1525,70,MOD($A1068-1,70)+1)&gt;2*CROQUIS_DATOS!$C$1541+1),CROQUIS_DATOS!$C$1476,INDEX($H$8:$H$41,MIN(INT((IF(INT(($A1068-1)/70)+1&gt;CROQUIS_DATOS!$C$1525,70,MOD($A1068-1,70)+1)-2)/2)+1,CROQUIS_DATOS!$C$1541))))*CROQUIS_DATOS!$C$1561*CROQUIS_DATOS!$C$1562),-1000)</f>
        <v>40.2068965517241</v>
      </c>
    </row>
    <row r="1069">
      <c r="A1069" t="n">
        <v>1062</v>
      </c>
      <c r="N1069">
        <f>IF(AND(CROQUIS_DATOS!$C$1472=1,1),(CROQUIS_DATOS!$C$1563+(IF(IF(IF(INT(($A1069-1)/70)+1&gt;CROQUIS_DATOS!$C$1525,70,MOD($A1069-1,70)+1)=1,0,IF(IF(INT(($A1069-1)/70)+1&gt;CROQUIS_DATOS!$C$1525,70,MOD($A1069-1,70)+1)&gt;2*CROQUIS_DATOS!$C$1541+1,IF(MOD(CROQUIS_DATOS!$C$1541,2)=1,1,0),IF(MOD(MIN(INT((IF(INT(($A1069-1)/70)+1&gt;CROQUIS_DATOS!$C$1525,70,MOD($A1069-1,70)+1)-2)/2)+1,CROQUIS_DATOS!$C$1541),2)=1,IF(MOD(IF(INT(($A1069-1)/70)+1&gt;CROQUIS_DATOS!$C$1525,70,MOD($A1069-1,70)+1)-2,2)=0,0,1),IF(MOD(IF(INT(($A1069-1)/70)+1&gt;CROQUIS_DATOS!$C$1525,70,MOD($A1069-1,70)+1)-2,2)=0,1,0))))=0,(INDEX($E$8:$E$23,MIN(INT(($A1069-1)/70)+1,CROQUIS_DATOS!$C$1525))-INDEX($F$8:$F$23,MIN(INT(($A1069-1)/70)+1,CROQUIS_DATOS!$C$1525))/2),(INDEX($E$8:$E$23,MIN(INT(($A1069-1)/70)+1,CROQUIS_DATOS!$C$1525))+INDEX($F$8:$F$23,MIN(INT(($A1069-1)/70)+1,CROQUIS_DATOS!$C$1525))/2)))*CROQUIS_DATOS!$C$1562),-1000)</f>
        <v>82.8189655172414</v>
      </c>
      <c r="O1069">
        <f>IF(AND(CROQUIS_DATOS!$C$1472=1,1),(CROQUIS_DATOS!$C$1564+(IF(OR(IF(INT(($A1069-1)/70)+1&gt;CROQUIS_DATOS!$C$1525,70,MOD($A1069-1,70)+1)=1,IF(INT(($A1069-1)/70)+1&gt;CROQUIS_DATOS!$C$1525,70,MOD($A1069-1,70)+1)&gt;2*CROQUIS_DATOS!$C$1541+1),CROQUIS_DATOS!$C$1476,INDEX($H$8:$H$41,MIN(INT((IF(INT(($A1069-1)/70)+1&gt;CROQUIS_DATOS!$C$1525,70,MOD($A1069-1,70)+1)-2)/2)+1,CROQUIS_DATOS!$C$1541))))*CROQUIS_DATOS!$C$1561*CROQUIS_DATOS!$C$1562),-1000)</f>
        <v>40.2068965517241</v>
      </c>
    </row>
    <row r="1070">
      <c r="A1070" t="n">
        <v>1063</v>
      </c>
      <c r="N1070">
        <f>IF(AND(CROQUIS_DATOS!$C$1472=1,1),(CROQUIS_DATOS!$C$1563+(IF(IF(IF(INT(($A1070-1)/70)+1&gt;CROQUIS_DATOS!$C$1525,70,MOD($A1070-1,70)+1)=1,0,IF(IF(INT(($A1070-1)/70)+1&gt;CROQUIS_DATOS!$C$1525,70,MOD($A1070-1,70)+1)&gt;2*CROQUIS_DATOS!$C$1541+1,IF(MOD(CROQUIS_DATOS!$C$1541,2)=1,1,0),IF(MOD(MIN(INT((IF(INT(($A1070-1)/70)+1&gt;CROQUIS_DATOS!$C$1525,70,MOD($A1070-1,70)+1)-2)/2)+1,CROQUIS_DATOS!$C$1541),2)=1,IF(MOD(IF(INT(($A1070-1)/70)+1&gt;CROQUIS_DATOS!$C$1525,70,MOD($A1070-1,70)+1)-2,2)=0,0,1),IF(MOD(IF(INT(($A1070-1)/70)+1&gt;CROQUIS_DATOS!$C$1525,70,MOD($A1070-1,70)+1)-2,2)=0,1,0))))=0,(INDEX($E$8:$E$23,MIN(INT(($A1070-1)/70)+1,CROQUIS_DATOS!$C$1525))-INDEX($F$8:$F$23,MIN(INT(($A1070-1)/70)+1,CROQUIS_DATOS!$C$1525))/2),(INDEX($E$8:$E$23,MIN(INT(($A1070-1)/70)+1,CROQUIS_DATOS!$C$1525))+INDEX($F$8:$F$23,MIN(INT(($A1070-1)/70)+1,CROQUIS_DATOS!$C$1525))/2)))*CROQUIS_DATOS!$C$1562),-1000)</f>
        <v>82.8189655172414</v>
      </c>
      <c r="O1070">
        <f>IF(AND(CROQUIS_DATOS!$C$1472=1,1),(CROQUIS_DATOS!$C$1564+(IF(OR(IF(INT(($A1070-1)/70)+1&gt;CROQUIS_DATOS!$C$1525,70,MOD($A1070-1,70)+1)=1,IF(INT(($A1070-1)/70)+1&gt;CROQUIS_DATOS!$C$1525,70,MOD($A1070-1,70)+1)&gt;2*CROQUIS_DATOS!$C$1541+1),CROQUIS_DATOS!$C$1476,INDEX($H$8:$H$41,MIN(INT((IF(INT(($A1070-1)/70)+1&gt;CROQUIS_DATOS!$C$1525,70,MOD($A1070-1,70)+1)-2)/2)+1,CROQUIS_DATOS!$C$1541))))*CROQUIS_DATOS!$C$1561*CROQUIS_DATOS!$C$1562),-1000)</f>
        <v>40.2068965517241</v>
      </c>
    </row>
    <row r="1071">
      <c r="A1071" t="n">
        <v>1064</v>
      </c>
      <c r="N1071">
        <f>IF(AND(CROQUIS_DATOS!$C$1472=1,1),(CROQUIS_DATOS!$C$1563+(IF(IF(IF(INT(($A1071-1)/70)+1&gt;CROQUIS_DATOS!$C$1525,70,MOD($A1071-1,70)+1)=1,0,IF(IF(INT(($A1071-1)/70)+1&gt;CROQUIS_DATOS!$C$1525,70,MOD($A1071-1,70)+1)&gt;2*CROQUIS_DATOS!$C$1541+1,IF(MOD(CROQUIS_DATOS!$C$1541,2)=1,1,0),IF(MOD(MIN(INT((IF(INT(($A1071-1)/70)+1&gt;CROQUIS_DATOS!$C$1525,70,MOD($A1071-1,70)+1)-2)/2)+1,CROQUIS_DATOS!$C$1541),2)=1,IF(MOD(IF(INT(($A1071-1)/70)+1&gt;CROQUIS_DATOS!$C$1525,70,MOD($A1071-1,70)+1)-2,2)=0,0,1),IF(MOD(IF(INT(($A1071-1)/70)+1&gt;CROQUIS_DATOS!$C$1525,70,MOD($A1071-1,70)+1)-2,2)=0,1,0))))=0,(INDEX($E$8:$E$23,MIN(INT(($A1071-1)/70)+1,CROQUIS_DATOS!$C$1525))-INDEX($F$8:$F$23,MIN(INT(($A1071-1)/70)+1,CROQUIS_DATOS!$C$1525))/2),(INDEX($E$8:$E$23,MIN(INT(($A1071-1)/70)+1,CROQUIS_DATOS!$C$1525))+INDEX($F$8:$F$23,MIN(INT(($A1071-1)/70)+1,CROQUIS_DATOS!$C$1525))/2)))*CROQUIS_DATOS!$C$1562),-1000)</f>
        <v>82.8189655172414</v>
      </c>
      <c r="O1071">
        <f>IF(AND(CROQUIS_DATOS!$C$1472=1,1),(CROQUIS_DATOS!$C$1564+(IF(OR(IF(INT(($A1071-1)/70)+1&gt;CROQUIS_DATOS!$C$1525,70,MOD($A1071-1,70)+1)=1,IF(INT(($A1071-1)/70)+1&gt;CROQUIS_DATOS!$C$1525,70,MOD($A1071-1,70)+1)&gt;2*CROQUIS_DATOS!$C$1541+1),CROQUIS_DATOS!$C$1476,INDEX($H$8:$H$41,MIN(INT((IF(INT(($A1071-1)/70)+1&gt;CROQUIS_DATOS!$C$1525,70,MOD($A1071-1,70)+1)-2)/2)+1,CROQUIS_DATOS!$C$1541))))*CROQUIS_DATOS!$C$1561*CROQUIS_DATOS!$C$1562),-1000)</f>
        <v>40.2068965517241</v>
      </c>
    </row>
    <row r="1072">
      <c r="A1072" t="n">
        <v>1065</v>
      </c>
      <c r="N1072">
        <f>IF(AND(CROQUIS_DATOS!$C$1472=1,1),(CROQUIS_DATOS!$C$1563+(IF(IF(IF(INT(($A1072-1)/70)+1&gt;CROQUIS_DATOS!$C$1525,70,MOD($A1072-1,70)+1)=1,0,IF(IF(INT(($A1072-1)/70)+1&gt;CROQUIS_DATOS!$C$1525,70,MOD($A1072-1,70)+1)&gt;2*CROQUIS_DATOS!$C$1541+1,IF(MOD(CROQUIS_DATOS!$C$1541,2)=1,1,0),IF(MOD(MIN(INT((IF(INT(($A1072-1)/70)+1&gt;CROQUIS_DATOS!$C$1525,70,MOD($A1072-1,70)+1)-2)/2)+1,CROQUIS_DATOS!$C$1541),2)=1,IF(MOD(IF(INT(($A1072-1)/70)+1&gt;CROQUIS_DATOS!$C$1525,70,MOD($A1072-1,70)+1)-2,2)=0,0,1),IF(MOD(IF(INT(($A1072-1)/70)+1&gt;CROQUIS_DATOS!$C$1525,70,MOD($A1072-1,70)+1)-2,2)=0,1,0))))=0,(INDEX($E$8:$E$23,MIN(INT(($A1072-1)/70)+1,CROQUIS_DATOS!$C$1525))-INDEX($F$8:$F$23,MIN(INT(($A1072-1)/70)+1,CROQUIS_DATOS!$C$1525))/2),(INDEX($E$8:$E$23,MIN(INT(($A1072-1)/70)+1,CROQUIS_DATOS!$C$1525))+INDEX($F$8:$F$23,MIN(INT(($A1072-1)/70)+1,CROQUIS_DATOS!$C$1525))/2)))*CROQUIS_DATOS!$C$1562),-1000)</f>
        <v>82.8189655172414</v>
      </c>
      <c r="O1072">
        <f>IF(AND(CROQUIS_DATOS!$C$1472=1,1),(CROQUIS_DATOS!$C$1564+(IF(OR(IF(INT(($A1072-1)/70)+1&gt;CROQUIS_DATOS!$C$1525,70,MOD($A1072-1,70)+1)=1,IF(INT(($A1072-1)/70)+1&gt;CROQUIS_DATOS!$C$1525,70,MOD($A1072-1,70)+1)&gt;2*CROQUIS_DATOS!$C$1541+1),CROQUIS_DATOS!$C$1476,INDEX($H$8:$H$41,MIN(INT((IF(INT(($A1072-1)/70)+1&gt;CROQUIS_DATOS!$C$1525,70,MOD($A1072-1,70)+1)-2)/2)+1,CROQUIS_DATOS!$C$1541))))*CROQUIS_DATOS!$C$1561*CROQUIS_DATOS!$C$1562),-1000)</f>
        <v>40.2068965517241</v>
      </c>
    </row>
    <row r="1073">
      <c r="A1073" t="n">
        <v>1066</v>
      </c>
      <c r="N1073">
        <f>IF(AND(CROQUIS_DATOS!$C$1472=1,1),(CROQUIS_DATOS!$C$1563+(IF(IF(IF(INT(($A1073-1)/70)+1&gt;CROQUIS_DATOS!$C$1525,70,MOD($A1073-1,70)+1)=1,0,IF(IF(INT(($A1073-1)/70)+1&gt;CROQUIS_DATOS!$C$1525,70,MOD($A1073-1,70)+1)&gt;2*CROQUIS_DATOS!$C$1541+1,IF(MOD(CROQUIS_DATOS!$C$1541,2)=1,1,0),IF(MOD(MIN(INT((IF(INT(($A1073-1)/70)+1&gt;CROQUIS_DATOS!$C$1525,70,MOD($A1073-1,70)+1)-2)/2)+1,CROQUIS_DATOS!$C$1541),2)=1,IF(MOD(IF(INT(($A1073-1)/70)+1&gt;CROQUIS_DATOS!$C$1525,70,MOD($A1073-1,70)+1)-2,2)=0,0,1),IF(MOD(IF(INT(($A1073-1)/70)+1&gt;CROQUIS_DATOS!$C$1525,70,MOD($A1073-1,70)+1)-2,2)=0,1,0))))=0,(INDEX($E$8:$E$23,MIN(INT(($A1073-1)/70)+1,CROQUIS_DATOS!$C$1525))-INDEX($F$8:$F$23,MIN(INT(($A1073-1)/70)+1,CROQUIS_DATOS!$C$1525))/2),(INDEX($E$8:$E$23,MIN(INT(($A1073-1)/70)+1,CROQUIS_DATOS!$C$1525))+INDEX($F$8:$F$23,MIN(INT(($A1073-1)/70)+1,CROQUIS_DATOS!$C$1525))/2)))*CROQUIS_DATOS!$C$1562),-1000)</f>
        <v>82.8189655172414</v>
      </c>
      <c r="O1073">
        <f>IF(AND(CROQUIS_DATOS!$C$1472=1,1),(CROQUIS_DATOS!$C$1564+(IF(OR(IF(INT(($A1073-1)/70)+1&gt;CROQUIS_DATOS!$C$1525,70,MOD($A1073-1,70)+1)=1,IF(INT(($A1073-1)/70)+1&gt;CROQUIS_DATOS!$C$1525,70,MOD($A1073-1,70)+1)&gt;2*CROQUIS_DATOS!$C$1541+1),CROQUIS_DATOS!$C$1476,INDEX($H$8:$H$41,MIN(INT((IF(INT(($A1073-1)/70)+1&gt;CROQUIS_DATOS!$C$1525,70,MOD($A1073-1,70)+1)-2)/2)+1,CROQUIS_DATOS!$C$1541))))*CROQUIS_DATOS!$C$1561*CROQUIS_DATOS!$C$1562),-1000)</f>
        <v>40.2068965517241</v>
      </c>
    </row>
    <row r="1074">
      <c r="A1074" t="n">
        <v>1067</v>
      </c>
      <c r="N1074">
        <f>IF(AND(CROQUIS_DATOS!$C$1472=1,1),(CROQUIS_DATOS!$C$1563+(IF(IF(IF(INT(($A1074-1)/70)+1&gt;CROQUIS_DATOS!$C$1525,70,MOD($A1074-1,70)+1)=1,0,IF(IF(INT(($A1074-1)/70)+1&gt;CROQUIS_DATOS!$C$1525,70,MOD($A1074-1,70)+1)&gt;2*CROQUIS_DATOS!$C$1541+1,IF(MOD(CROQUIS_DATOS!$C$1541,2)=1,1,0),IF(MOD(MIN(INT((IF(INT(($A1074-1)/70)+1&gt;CROQUIS_DATOS!$C$1525,70,MOD($A1074-1,70)+1)-2)/2)+1,CROQUIS_DATOS!$C$1541),2)=1,IF(MOD(IF(INT(($A1074-1)/70)+1&gt;CROQUIS_DATOS!$C$1525,70,MOD($A1074-1,70)+1)-2,2)=0,0,1),IF(MOD(IF(INT(($A1074-1)/70)+1&gt;CROQUIS_DATOS!$C$1525,70,MOD($A1074-1,70)+1)-2,2)=0,1,0))))=0,(INDEX($E$8:$E$23,MIN(INT(($A1074-1)/70)+1,CROQUIS_DATOS!$C$1525))-INDEX($F$8:$F$23,MIN(INT(($A1074-1)/70)+1,CROQUIS_DATOS!$C$1525))/2),(INDEX($E$8:$E$23,MIN(INT(($A1074-1)/70)+1,CROQUIS_DATOS!$C$1525))+INDEX($F$8:$F$23,MIN(INT(($A1074-1)/70)+1,CROQUIS_DATOS!$C$1525))/2)))*CROQUIS_DATOS!$C$1562),-1000)</f>
        <v>82.8189655172414</v>
      </c>
      <c r="O1074">
        <f>IF(AND(CROQUIS_DATOS!$C$1472=1,1),(CROQUIS_DATOS!$C$1564+(IF(OR(IF(INT(($A1074-1)/70)+1&gt;CROQUIS_DATOS!$C$1525,70,MOD($A1074-1,70)+1)=1,IF(INT(($A1074-1)/70)+1&gt;CROQUIS_DATOS!$C$1525,70,MOD($A1074-1,70)+1)&gt;2*CROQUIS_DATOS!$C$1541+1),CROQUIS_DATOS!$C$1476,INDEX($H$8:$H$41,MIN(INT((IF(INT(($A1074-1)/70)+1&gt;CROQUIS_DATOS!$C$1525,70,MOD($A1074-1,70)+1)-2)/2)+1,CROQUIS_DATOS!$C$1541))))*CROQUIS_DATOS!$C$1561*CROQUIS_DATOS!$C$1562),-1000)</f>
        <v>40.2068965517241</v>
      </c>
    </row>
    <row r="1075">
      <c r="A1075" t="n">
        <v>1068</v>
      </c>
      <c r="N1075">
        <f>IF(AND(CROQUIS_DATOS!$C$1472=1,1),(CROQUIS_DATOS!$C$1563+(IF(IF(IF(INT(($A1075-1)/70)+1&gt;CROQUIS_DATOS!$C$1525,70,MOD($A1075-1,70)+1)=1,0,IF(IF(INT(($A1075-1)/70)+1&gt;CROQUIS_DATOS!$C$1525,70,MOD($A1075-1,70)+1)&gt;2*CROQUIS_DATOS!$C$1541+1,IF(MOD(CROQUIS_DATOS!$C$1541,2)=1,1,0),IF(MOD(MIN(INT((IF(INT(($A1075-1)/70)+1&gt;CROQUIS_DATOS!$C$1525,70,MOD($A1075-1,70)+1)-2)/2)+1,CROQUIS_DATOS!$C$1541),2)=1,IF(MOD(IF(INT(($A1075-1)/70)+1&gt;CROQUIS_DATOS!$C$1525,70,MOD($A1075-1,70)+1)-2,2)=0,0,1),IF(MOD(IF(INT(($A1075-1)/70)+1&gt;CROQUIS_DATOS!$C$1525,70,MOD($A1075-1,70)+1)-2,2)=0,1,0))))=0,(INDEX($E$8:$E$23,MIN(INT(($A1075-1)/70)+1,CROQUIS_DATOS!$C$1525))-INDEX($F$8:$F$23,MIN(INT(($A1075-1)/70)+1,CROQUIS_DATOS!$C$1525))/2),(INDEX($E$8:$E$23,MIN(INT(($A1075-1)/70)+1,CROQUIS_DATOS!$C$1525))+INDEX($F$8:$F$23,MIN(INT(($A1075-1)/70)+1,CROQUIS_DATOS!$C$1525))/2)))*CROQUIS_DATOS!$C$1562),-1000)</f>
        <v>82.8189655172414</v>
      </c>
      <c r="O1075">
        <f>IF(AND(CROQUIS_DATOS!$C$1472=1,1),(CROQUIS_DATOS!$C$1564+(IF(OR(IF(INT(($A1075-1)/70)+1&gt;CROQUIS_DATOS!$C$1525,70,MOD($A1075-1,70)+1)=1,IF(INT(($A1075-1)/70)+1&gt;CROQUIS_DATOS!$C$1525,70,MOD($A1075-1,70)+1)&gt;2*CROQUIS_DATOS!$C$1541+1),CROQUIS_DATOS!$C$1476,INDEX($H$8:$H$41,MIN(INT((IF(INT(($A1075-1)/70)+1&gt;CROQUIS_DATOS!$C$1525,70,MOD($A1075-1,70)+1)-2)/2)+1,CROQUIS_DATOS!$C$1541))))*CROQUIS_DATOS!$C$1561*CROQUIS_DATOS!$C$1562),-1000)</f>
        <v>40.2068965517241</v>
      </c>
    </row>
    <row r="1076">
      <c r="A1076" t="n">
        <v>1069</v>
      </c>
      <c r="N1076">
        <f>IF(AND(CROQUIS_DATOS!$C$1472=1,1),(CROQUIS_DATOS!$C$1563+(IF(IF(IF(INT(($A1076-1)/70)+1&gt;CROQUIS_DATOS!$C$1525,70,MOD($A1076-1,70)+1)=1,0,IF(IF(INT(($A1076-1)/70)+1&gt;CROQUIS_DATOS!$C$1525,70,MOD($A1076-1,70)+1)&gt;2*CROQUIS_DATOS!$C$1541+1,IF(MOD(CROQUIS_DATOS!$C$1541,2)=1,1,0),IF(MOD(MIN(INT((IF(INT(($A1076-1)/70)+1&gt;CROQUIS_DATOS!$C$1525,70,MOD($A1076-1,70)+1)-2)/2)+1,CROQUIS_DATOS!$C$1541),2)=1,IF(MOD(IF(INT(($A1076-1)/70)+1&gt;CROQUIS_DATOS!$C$1525,70,MOD($A1076-1,70)+1)-2,2)=0,0,1),IF(MOD(IF(INT(($A1076-1)/70)+1&gt;CROQUIS_DATOS!$C$1525,70,MOD($A1076-1,70)+1)-2,2)=0,1,0))))=0,(INDEX($E$8:$E$23,MIN(INT(($A1076-1)/70)+1,CROQUIS_DATOS!$C$1525))-INDEX($F$8:$F$23,MIN(INT(($A1076-1)/70)+1,CROQUIS_DATOS!$C$1525))/2),(INDEX($E$8:$E$23,MIN(INT(($A1076-1)/70)+1,CROQUIS_DATOS!$C$1525))+INDEX($F$8:$F$23,MIN(INT(($A1076-1)/70)+1,CROQUIS_DATOS!$C$1525))/2)))*CROQUIS_DATOS!$C$1562),-1000)</f>
        <v>82.8189655172414</v>
      </c>
      <c r="O1076">
        <f>IF(AND(CROQUIS_DATOS!$C$1472=1,1),(CROQUIS_DATOS!$C$1564+(IF(OR(IF(INT(($A1076-1)/70)+1&gt;CROQUIS_DATOS!$C$1525,70,MOD($A1076-1,70)+1)=1,IF(INT(($A1076-1)/70)+1&gt;CROQUIS_DATOS!$C$1525,70,MOD($A1076-1,70)+1)&gt;2*CROQUIS_DATOS!$C$1541+1),CROQUIS_DATOS!$C$1476,INDEX($H$8:$H$41,MIN(INT((IF(INT(($A1076-1)/70)+1&gt;CROQUIS_DATOS!$C$1525,70,MOD($A1076-1,70)+1)-2)/2)+1,CROQUIS_DATOS!$C$1541))))*CROQUIS_DATOS!$C$1561*CROQUIS_DATOS!$C$1562),-1000)</f>
        <v>40.2068965517241</v>
      </c>
    </row>
    <row r="1077">
      <c r="A1077" t="n">
        <v>1070</v>
      </c>
      <c r="N1077">
        <f>IF(AND(CROQUIS_DATOS!$C$1472=1,1),(CROQUIS_DATOS!$C$1563+(IF(IF(IF(INT(($A1077-1)/70)+1&gt;CROQUIS_DATOS!$C$1525,70,MOD($A1077-1,70)+1)=1,0,IF(IF(INT(($A1077-1)/70)+1&gt;CROQUIS_DATOS!$C$1525,70,MOD($A1077-1,70)+1)&gt;2*CROQUIS_DATOS!$C$1541+1,IF(MOD(CROQUIS_DATOS!$C$1541,2)=1,1,0),IF(MOD(MIN(INT((IF(INT(($A1077-1)/70)+1&gt;CROQUIS_DATOS!$C$1525,70,MOD($A1077-1,70)+1)-2)/2)+1,CROQUIS_DATOS!$C$1541),2)=1,IF(MOD(IF(INT(($A1077-1)/70)+1&gt;CROQUIS_DATOS!$C$1525,70,MOD($A1077-1,70)+1)-2,2)=0,0,1),IF(MOD(IF(INT(($A1077-1)/70)+1&gt;CROQUIS_DATOS!$C$1525,70,MOD($A1077-1,70)+1)-2,2)=0,1,0))))=0,(INDEX($E$8:$E$23,MIN(INT(($A1077-1)/70)+1,CROQUIS_DATOS!$C$1525))-INDEX($F$8:$F$23,MIN(INT(($A1077-1)/70)+1,CROQUIS_DATOS!$C$1525))/2),(INDEX($E$8:$E$23,MIN(INT(($A1077-1)/70)+1,CROQUIS_DATOS!$C$1525))+INDEX($F$8:$F$23,MIN(INT(($A1077-1)/70)+1,CROQUIS_DATOS!$C$1525))/2)))*CROQUIS_DATOS!$C$1562),-1000)</f>
        <v>82.8189655172414</v>
      </c>
      <c r="O1077">
        <f>IF(AND(CROQUIS_DATOS!$C$1472=1,1),(CROQUIS_DATOS!$C$1564+(IF(OR(IF(INT(($A1077-1)/70)+1&gt;CROQUIS_DATOS!$C$1525,70,MOD($A1077-1,70)+1)=1,IF(INT(($A1077-1)/70)+1&gt;CROQUIS_DATOS!$C$1525,70,MOD($A1077-1,70)+1)&gt;2*CROQUIS_DATOS!$C$1541+1),CROQUIS_DATOS!$C$1476,INDEX($H$8:$H$41,MIN(INT((IF(INT(($A1077-1)/70)+1&gt;CROQUIS_DATOS!$C$1525,70,MOD($A1077-1,70)+1)-2)/2)+1,CROQUIS_DATOS!$C$1541))))*CROQUIS_DATOS!$C$1561*CROQUIS_DATOS!$C$1562),-1000)</f>
        <v>40.2068965517241</v>
      </c>
    </row>
    <row r="1078">
      <c r="A1078" t="n">
        <v>1071</v>
      </c>
      <c r="N1078">
        <f>IF(AND(CROQUIS_DATOS!$C$1472=1,1),(CROQUIS_DATOS!$C$1563+(IF(IF(IF(INT(($A1078-1)/70)+1&gt;CROQUIS_DATOS!$C$1525,70,MOD($A1078-1,70)+1)=1,0,IF(IF(INT(($A1078-1)/70)+1&gt;CROQUIS_DATOS!$C$1525,70,MOD($A1078-1,70)+1)&gt;2*CROQUIS_DATOS!$C$1541+1,IF(MOD(CROQUIS_DATOS!$C$1541,2)=1,1,0),IF(MOD(MIN(INT((IF(INT(($A1078-1)/70)+1&gt;CROQUIS_DATOS!$C$1525,70,MOD($A1078-1,70)+1)-2)/2)+1,CROQUIS_DATOS!$C$1541),2)=1,IF(MOD(IF(INT(($A1078-1)/70)+1&gt;CROQUIS_DATOS!$C$1525,70,MOD($A1078-1,70)+1)-2,2)=0,0,1),IF(MOD(IF(INT(($A1078-1)/70)+1&gt;CROQUIS_DATOS!$C$1525,70,MOD($A1078-1,70)+1)-2,2)=0,1,0))))=0,(INDEX($E$8:$E$23,MIN(INT(($A1078-1)/70)+1,CROQUIS_DATOS!$C$1525))-INDEX($F$8:$F$23,MIN(INT(($A1078-1)/70)+1,CROQUIS_DATOS!$C$1525))/2),(INDEX($E$8:$E$23,MIN(INT(($A1078-1)/70)+1,CROQUIS_DATOS!$C$1525))+INDEX($F$8:$F$23,MIN(INT(($A1078-1)/70)+1,CROQUIS_DATOS!$C$1525))/2)))*CROQUIS_DATOS!$C$1562),-1000)</f>
        <v>82.8189655172414</v>
      </c>
      <c r="O1078">
        <f>IF(AND(CROQUIS_DATOS!$C$1472=1,1),(CROQUIS_DATOS!$C$1564+(IF(OR(IF(INT(($A1078-1)/70)+1&gt;CROQUIS_DATOS!$C$1525,70,MOD($A1078-1,70)+1)=1,IF(INT(($A1078-1)/70)+1&gt;CROQUIS_DATOS!$C$1525,70,MOD($A1078-1,70)+1)&gt;2*CROQUIS_DATOS!$C$1541+1),CROQUIS_DATOS!$C$1476,INDEX($H$8:$H$41,MIN(INT((IF(INT(($A1078-1)/70)+1&gt;CROQUIS_DATOS!$C$1525,70,MOD($A1078-1,70)+1)-2)/2)+1,CROQUIS_DATOS!$C$1541))))*CROQUIS_DATOS!$C$1561*CROQUIS_DATOS!$C$1562),-1000)</f>
        <v>40.2068965517241</v>
      </c>
    </row>
    <row r="1079">
      <c r="A1079" t="n">
        <v>1072</v>
      </c>
      <c r="N1079">
        <f>IF(AND(CROQUIS_DATOS!$C$1472=1,1),(CROQUIS_DATOS!$C$1563+(IF(IF(IF(INT(($A1079-1)/70)+1&gt;CROQUIS_DATOS!$C$1525,70,MOD($A1079-1,70)+1)=1,0,IF(IF(INT(($A1079-1)/70)+1&gt;CROQUIS_DATOS!$C$1525,70,MOD($A1079-1,70)+1)&gt;2*CROQUIS_DATOS!$C$1541+1,IF(MOD(CROQUIS_DATOS!$C$1541,2)=1,1,0),IF(MOD(MIN(INT((IF(INT(($A1079-1)/70)+1&gt;CROQUIS_DATOS!$C$1525,70,MOD($A1079-1,70)+1)-2)/2)+1,CROQUIS_DATOS!$C$1541),2)=1,IF(MOD(IF(INT(($A1079-1)/70)+1&gt;CROQUIS_DATOS!$C$1525,70,MOD($A1079-1,70)+1)-2,2)=0,0,1),IF(MOD(IF(INT(($A1079-1)/70)+1&gt;CROQUIS_DATOS!$C$1525,70,MOD($A1079-1,70)+1)-2,2)=0,1,0))))=0,(INDEX($E$8:$E$23,MIN(INT(($A1079-1)/70)+1,CROQUIS_DATOS!$C$1525))-INDEX($F$8:$F$23,MIN(INT(($A1079-1)/70)+1,CROQUIS_DATOS!$C$1525))/2),(INDEX($E$8:$E$23,MIN(INT(($A1079-1)/70)+1,CROQUIS_DATOS!$C$1525))+INDEX($F$8:$F$23,MIN(INT(($A1079-1)/70)+1,CROQUIS_DATOS!$C$1525))/2)))*CROQUIS_DATOS!$C$1562),-1000)</f>
        <v>82.8189655172414</v>
      </c>
      <c r="O1079">
        <f>IF(AND(CROQUIS_DATOS!$C$1472=1,1),(CROQUIS_DATOS!$C$1564+(IF(OR(IF(INT(($A1079-1)/70)+1&gt;CROQUIS_DATOS!$C$1525,70,MOD($A1079-1,70)+1)=1,IF(INT(($A1079-1)/70)+1&gt;CROQUIS_DATOS!$C$1525,70,MOD($A1079-1,70)+1)&gt;2*CROQUIS_DATOS!$C$1541+1),CROQUIS_DATOS!$C$1476,INDEX($H$8:$H$41,MIN(INT((IF(INT(($A1079-1)/70)+1&gt;CROQUIS_DATOS!$C$1525,70,MOD($A1079-1,70)+1)-2)/2)+1,CROQUIS_DATOS!$C$1541))))*CROQUIS_DATOS!$C$1561*CROQUIS_DATOS!$C$1562),-1000)</f>
        <v>40.2068965517241</v>
      </c>
    </row>
    <row r="1080">
      <c r="A1080" t="n">
        <v>1073</v>
      </c>
      <c r="N1080">
        <f>IF(AND(CROQUIS_DATOS!$C$1472=1,1),(CROQUIS_DATOS!$C$1563+(IF(IF(IF(INT(($A1080-1)/70)+1&gt;CROQUIS_DATOS!$C$1525,70,MOD($A1080-1,70)+1)=1,0,IF(IF(INT(($A1080-1)/70)+1&gt;CROQUIS_DATOS!$C$1525,70,MOD($A1080-1,70)+1)&gt;2*CROQUIS_DATOS!$C$1541+1,IF(MOD(CROQUIS_DATOS!$C$1541,2)=1,1,0),IF(MOD(MIN(INT((IF(INT(($A1080-1)/70)+1&gt;CROQUIS_DATOS!$C$1525,70,MOD($A1080-1,70)+1)-2)/2)+1,CROQUIS_DATOS!$C$1541),2)=1,IF(MOD(IF(INT(($A1080-1)/70)+1&gt;CROQUIS_DATOS!$C$1525,70,MOD($A1080-1,70)+1)-2,2)=0,0,1),IF(MOD(IF(INT(($A1080-1)/70)+1&gt;CROQUIS_DATOS!$C$1525,70,MOD($A1080-1,70)+1)-2,2)=0,1,0))))=0,(INDEX($E$8:$E$23,MIN(INT(($A1080-1)/70)+1,CROQUIS_DATOS!$C$1525))-INDEX($F$8:$F$23,MIN(INT(($A1080-1)/70)+1,CROQUIS_DATOS!$C$1525))/2),(INDEX($E$8:$E$23,MIN(INT(($A1080-1)/70)+1,CROQUIS_DATOS!$C$1525))+INDEX($F$8:$F$23,MIN(INT(($A1080-1)/70)+1,CROQUIS_DATOS!$C$1525))/2)))*CROQUIS_DATOS!$C$1562),-1000)</f>
        <v>82.8189655172414</v>
      </c>
      <c r="O1080">
        <f>IF(AND(CROQUIS_DATOS!$C$1472=1,1),(CROQUIS_DATOS!$C$1564+(IF(OR(IF(INT(($A1080-1)/70)+1&gt;CROQUIS_DATOS!$C$1525,70,MOD($A1080-1,70)+1)=1,IF(INT(($A1080-1)/70)+1&gt;CROQUIS_DATOS!$C$1525,70,MOD($A1080-1,70)+1)&gt;2*CROQUIS_DATOS!$C$1541+1),CROQUIS_DATOS!$C$1476,INDEX($H$8:$H$41,MIN(INT((IF(INT(($A1080-1)/70)+1&gt;CROQUIS_DATOS!$C$1525,70,MOD($A1080-1,70)+1)-2)/2)+1,CROQUIS_DATOS!$C$1541))))*CROQUIS_DATOS!$C$1561*CROQUIS_DATOS!$C$1562),-1000)</f>
        <v>40.2068965517241</v>
      </c>
    </row>
    <row r="1081">
      <c r="A1081" t="n">
        <v>1074</v>
      </c>
      <c r="N1081">
        <f>IF(AND(CROQUIS_DATOS!$C$1472=1,1),(CROQUIS_DATOS!$C$1563+(IF(IF(IF(INT(($A1081-1)/70)+1&gt;CROQUIS_DATOS!$C$1525,70,MOD($A1081-1,70)+1)=1,0,IF(IF(INT(($A1081-1)/70)+1&gt;CROQUIS_DATOS!$C$1525,70,MOD($A1081-1,70)+1)&gt;2*CROQUIS_DATOS!$C$1541+1,IF(MOD(CROQUIS_DATOS!$C$1541,2)=1,1,0),IF(MOD(MIN(INT((IF(INT(($A1081-1)/70)+1&gt;CROQUIS_DATOS!$C$1525,70,MOD($A1081-1,70)+1)-2)/2)+1,CROQUIS_DATOS!$C$1541),2)=1,IF(MOD(IF(INT(($A1081-1)/70)+1&gt;CROQUIS_DATOS!$C$1525,70,MOD($A1081-1,70)+1)-2,2)=0,0,1),IF(MOD(IF(INT(($A1081-1)/70)+1&gt;CROQUIS_DATOS!$C$1525,70,MOD($A1081-1,70)+1)-2,2)=0,1,0))))=0,(INDEX($E$8:$E$23,MIN(INT(($A1081-1)/70)+1,CROQUIS_DATOS!$C$1525))-INDEX($F$8:$F$23,MIN(INT(($A1081-1)/70)+1,CROQUIS_DATOS!$C$1525))/2),(INDEX($E$8:$E$23,MIN(INT(($A1081-1)/70)+1,CROQUIS_DATOS!$C$1525))+INDEX($F$8:$F$23,MIN(INT(($A1081-1)/70)+1,CROQUIS_DATOS!$C$1525))/2)))*CROQUIS_DATOS!$C$1562),-1000)</f>
        <v>82.8189655172414</v>
      </c>
      <c r="O1081">
        <f>IF(AND(CROQUIS_DATOS!$C$1472=1,1),(CROQUIS_DATOS!$C$1564+(IF(OR(IF(INT(($A1081-1)/70)+1&gt;CROQUIS_DATOS!$C$1525,70,MOD($A1081-1,70)+1)=1,IF(INT(($A1081-1)/70)+1&gt;CROQUIS_DATOS!$C$1525,70,MOD($A1081-1,70)+1)&gt;2*CROQUIS_DATOS!$C$1541+1),CROQUIS_DATOS!$C$1476,INDEX($H$8:$H$41,MIN(INT((IF(INT(($A1081-1)/70)+1&gt;CROQUIS_DATOS!$C$1525,70,MOD($A1081-1,70)+1)-2)/2)+1,CROQUIS_DATOS!$C$1541))))*CROQUIS_DATOS!$C$1561*CROQUIS_DATOS!$C$1562),-1000)</f>
        <v>40.2068965517241</v>
      </c>
    </row>
    <row r="1082">
      <c r="A1082" t="n">
        <v>1075</v>
      </c>
      <c r="N1082">
        <f>IF(AND(CROQUIS_DATOS!$C$1472=1,1),(CROQUIS_DATOS!$C$1563+(IF(IF(IF(INT(($A1082-1)/70)+1&gt;CROQUIS_DATOS!$C$1525,70,MOD($A1082-1,70)+1)=1,0,IF(IF(INT(($A1082-1)/70)+1&gt;CROQUIS_DATOS!$C$1525,70,MOD($A1082-1,70)+1)&gt;2*CROQUIS_DATOS!$C$1541+1,IF(MOD(CROQUIS_DATOS!$C$1541,2)=1,1,0),IF(MOD(MIN(INT((IF(INT(($A1082-1)/70)+1&gt;CROQUIS_DATOS!$C$1525,70,MOD($A1082-1,70)+1)-2)/2)+1,CROQUIS_DATOS!$C$1541),2)=1,IF(MOD(IF(INT(($A1082-1)/70)+1&gt;CROQUIS_DATOS!$C$1525,70,MOD($A1082-1,70)+1)-2,2)=0,0,1),IF(MOD(IF(INT(($A1082-1)/70)+1&gt;CROQUIS_DATOS!$C$1525,70,MOD($A1082-1,70)+1)-2,2)=0,1,0))))=0,(INDEX($E$8:$E$23,MIN(INT(($A1082-1)/70)+1,CROQUIS_DATOS!$C$1525))-INDEX($F$8:$F$23,MIN(INT(($A1082-1)/70)+1,CROQUIS_DATOS!$C$1525))/2),(INDEX($E$8:$E$23,MIN(INT(($A1082-1)/70)+1,CROQUIS_DATOS!$C$1525))+INDEX($F$8:$F$23,MIN(INT(($A1082-1)/70)+1,CROQUIS_DATOS!$C$1525))/2)))*CROQUIS_DATOS!$C$1562),-1000)</f>
        <v>82.8189655172414</v>
      </c>
      <c r="O1082">
        <f>IF(AND(CROQUIS_DATOS!$C$1472=1,1),(CROQUIS_DATOS!$C$1564+(IF(OR(IF(INT(($A1082-1)/70)+1&gt;CROQUIS_DATOS!$C$1525,70,MOD($A1082-1,70)+1)=1,IF(INT(($A1082-1)/70)+1&gt;CROQUIS_DATOS!$C$1525,70,MOD($A1082-1,70)+1)&gt;2*CROQUIS_DATOS!$C$1541+1),CROQUIS_DATOS!$C$1476,INDEX($H$8:$H$41,MIN(INT((IF(INT(($A1082-1)/70)+1&gt;CROQUIS_DATOS!$C$1525,70,MOD($A1082-1,70)+1)-2)/2)+1,CROQUIS_DATOS!$C$1541))))*CROQUIS_DATOS!$C$1561*CROQUIS_DATOS!$C$1562),-1000)</f>
        <v>40.2068965517241</v>
      </c>
    </row>
    <row r="1083">
      <c r="A1083" t="n">
        <v>1076</v>
      </c>
      <c r="N1083">
        <f>IF(AND(CROQUIS_DATOS!$C$1472=1,1),(CROQUIS_DATOS!$C$1563+(IF(IF(IF(INT(($A1083-1)/70)+1&gt;CROQUIS_DATOS!$C$1525,70,MOD($A1083-1,70)+1)=1,0,IF(IF(INT(($A1083-1)/70)+1&gt;CROQUIS_DATOS!$C$1525,70,MOD($A1083-1,70)+1)&gt;2*CROQUIS_DATOS!$C$1541+1,IF(MOD(CROQUIS_DATOS!$C$1541,2)=1,1,0),IF(MOD(MIN(INT((IF(INT(($A1083-1)/70)+1&gt;CROQUIS_DATOS!$C$1525,70,MOD($A1083-1,70)+1)-2)/2)+1,CROQUIS_DATOS!$C$1541),2)=1,IF(MOD(IF(INT(($A1083-1)/70)+1&gt;CROQUIS_DATOS!$C$1525,70,MOD($A1083-1,70)+1)-2,2)=0,0,1),IF(MOD(IF(INT(($A1083-1)/70)+1&gt;CROQUIS_DATOS!$C$1525,70,MOD($A1083-1,70)+1)-2,2)=0,1,0))))=0,(INDEX($E$8:$E$23,MIN(INT(($A1083-1)/70)+1,CROQUIS_DATOS!$C$1525))-INDEX($F$8:$F$23,MIN(INT(($A1083-1)/70)+1,CROQUIS_DATOS!$C$1525))/2),(INDEX($E$8:$E$23,MIN(INT(($A1083-1)/70)+1,CROQUIS_DATOS!$C$1525))+INDEX($F$8:$F$23,MIN(INT(($A1083-1)/70)+1,CROQUIS_DATOS!$C$1525))/2)))*CROQUIS_DATOS!$C$1562),-1000)</f>
        <v>82.8189655172414</v>
      </c>
      <c r="O1083">
        <f>IF(AND(CROQUIS_DATOS!$C$1472=1,1),(CROQUIS_DATOS!$C$1564+(IF(OR(IF(INT(($A1083-1)/70)+1&gt;CROQUIS_DATOS!$C$1525,70,MOD($A1083-1,70)+1)=1,IF(INT(($A1083-1)/70)+1&gt;CROQUIS_DATOS!$C$1525,70,MOD($A1083-1,70)+1)&gt;2*CROQUIS_DATOS!$C$1541+1),CROQUIS_DATOS!$C$1476,INDEX($H$8:$H$41,MIN(INT((IF(INT(($A1083-1)/70)+1&gt;CROQUIS_DATOS!$C$1525,70,MOD($A1083-1,70)+1)-2)/2)+1,CROQUIS_DATOS!$C$1541))))*CROQUIS_DATOS!$C$1561*CROQUIS_DATOS!$C$1562),-1000)</f>
        <v>40.2068965517241</v>
      </c>
    </row>
    <row r="1084">
      <c r="A1084" t="n">
        <v>1077</v>
      </c>
      <c r="N1084">
        <f>IF(AND(CROQUIS_DATOS!$C$1472=1,1),(CROQUIS_DATOS!$C$1563+(IF(IF(IF(INT(($A1084-1)/70)+1&gt;CROQUIS_DATOS!$C$1525,70,MOD($A1084-1,70)+1)=1,0,IF(IF(INT(($A1084-1)/70)+1&gt;CROQUIS_DATOS!$C$1525,70,MOD($A1084-1,70)+1)&gt;2*CROQUIS_DATOS!$C$1541+1,IF(MOD(CROQUIS_DATOS!$C$1541,2)=1,1,0),IF(MOD(MIN(INT((IF(INT(($A1084-1)/70)+1&gt;CROQUIS_DATOS!$C$1525,70,MOD($A1084-1,70)+1)-2)/2)+1,CROQUIS_DATOS!$C$1541),2)=1,IF(MOD(IF(INT(($A1084-1)/70)+1&gt;CROQUIS_DATOS!$C$1525,70,MOD($A1084-1,70)+1)-2,2)=0,0,1),IF(MOD(IF(INT(($A1084-1)/70)+1&gt;CROQUIS_DATOS!$C$1525,70,MOD($A1084-1,70)+1)-2,2)=0,1,0))))=0,(INDEX($E$8:$E$23,MIN(INT(($A1084-1)/70)+1,CROQUIS_DATOS!$C$1525))-INDEX($F$8:$F$23,MIN(INT(($A1084-1)/70)+1,CROQUIS_DATOS!$C$1525))/2),(INDEX($E$8:$E$23,MIN(INT(($A1084-1)/70)+1,CROQUIS_DATOS!$C$1525))+INDEX($F$8:$F$23,MIN(INT(($A1084-1)/70)+1,CROQUIS_DATOS!$C$1525))/2)))*CROQUIS_DATOS!$C$1562),-1000)</f>
        <v>82.8189655172414</v>
      </c>
      <c r="O1084">
        <f>IF(AND(CROQUIS_DATOS!$C$1472=1,1),(CROQUIS_DATOS!$C$1564+(IF(OR(IF(INT(($A1084-1)/70)+1&gt;CROQUIS_DATOS!$C$1525,70,MOD($A1084-1,70)+1)=1,IF(INT(($A1084-1)/70)+1&gt;CROQUIS_DATOS!$C$1525,70,MOD($A1084-1,70)+1)&gt;2*CROQUIS_DATOS!$C$1541+1),CROQUIS_DATOS!$C$1476,INDEX($H$8:$H$41,MIN(INT((IF(INT(($A1084-1)/70)+1&gt;CROQUIS_DATOS!$C$1525,70,MOD($A1084-1,70)+1)-2)/2)+1,CROQUIS_DATOS!$C$1541))))*CROQUIS_DATOS!$C$1561*CROQUIS_DATOS!$C$1562),-1000)</f>
        <v>40.2068965517241</v>
      </c>
    </row>
    <row r="1085">
      <c r="A1085" t="n">
        <v>1078</v>
      </c>
      <c r="N1085">
        <f>IF(AND(CROQUIS_DATOS!$C$1472=1,1),(CROQUIS_DATOS!$C$1563+(IF(IF(IF(INT(($A1085-1)/70)+1&gt;CROQUIS_DATOS!$C$1525,70,MOD($A1085-1,70)+1)=1,0,IF(IF(INT(($A1085-1)/70)+1&gt;CROQUIS_DATOS!$C$1525,70,MOD($A1085-1,70)+1)&gt;2*CROQUIS_DATOS!$C$1541+1,IF(MOD(CROQUIS_DATOS!$C$1541,2)=1,1,0),IF(MOD(MIN(INT((IF(INT(($A1085-1)/70)+1&gt;CROQUIS_DATOS!$C$1525,70,MOD($A1085-1,70)+1)-2)/2)+1,CROQUIS_DATOS!$C$1541),2)=1,IF(MOD(IF(INT(($A1085-1)/70)+1&gt;CROQUIS_DATOS!$C$1525,70,MOD($A1085-1,70)+1)-2,2)=0,0,1),IF(MOD(IF(INT(($A1085-1)/70)+1&gt;CROQUIS_DATOS!$C$1525,70,MOD($A1085-1,70)+1)-2,2)=0,1,0))))=0,(INDEX($E$8:$E$23,MIN(INT(($A1085-1)/70)+1,CROQUIS_DATOS!$C$1525))-INDEX($F$8:$F$23,MIN(INT(($A1085-1)/70)+1,CROQUIS_DATOS!$C$1525))/2),(INDEX($E$8:$E$23,MIN(INT(($A1085-1)/70)+1,CROQUIS_DATOS!$C$1525))+INDEX($F$8:$F$23,MIN(INT(($A1085-1)/70)+1,CROQUIS_DATOS!$C$1525))/2)))*CROQUIS_DATOS!$C$1562),-1000)</f>
        <v>82.8189655172414</v>
      </c>
      <c r="O1085">
        <f>IF(AND(CROQUIS_DATOS!$C$1472=1,1),(CROQUIS_DATOS!$C$1564+(IF(OR(IF(INT(($A1085-1)/70)+1&gt;CROQUIS_DATOS!$C$1525,70,MOD($A1085-1,70)+1)=1,IF(INT(($A1085-1)/70)+1&gt;CROQUIS_DATOS!$C$1525,70,MOD($A1085-1,70)+1)&gt;2*CROQUIS_DATOS!$C$1541+1),CROQUIS_DATOS!$C$1476,INDEX($H$8:$H$41,MIN(INT((IF(INT(($A1085-1)/70)+1&gt;CROQUIS_DATOS!$C$1525,70,MOD($A1085-1,70)+1)-2)/2)+1,CROQUIS_DATOS!$C$1541))))*CROQUIS_DATOS!$C$1561*CROQUIS_DATOS!$C$1562),-1000)</f>
        <v>40.2068965517241</v>
      </c>
    </row>
    <row r="1086">
      <c r="A1086" t="n">
        <v>1079</v>
      </c>
      <c r="N1086">
        <f>IF(AND(CROQUIS_DATOS!$C$1472=1,1),(CROQUIS_DATOS!$C$1563+(IF(IF(IF(INT(($A1086-1)/70)+1&gt;CROQUIS_DATOS!$C$1525,70,MOD($A1086-1,70)+1)=1,0,IF(IF(INT(($A1086-1)/70)+1&gt;CROQUIS_DATOS!$C$1525,70,MOD($A1086-1,70)+1)&gt;2*CROQUIS_DATOS!$C$1541+1,IF(MOD(CROQUIS_DATOS!$C$1541,2)=1,1,0),IF(MOD(MIN(INT((IF(INT(($A1086-1)/70)+1&gt;CROQUIS_DATOS!$C$1525,70,MOD($A1086-1,70)+1)-2)/2)+1,CROQUIS_DATOS!$C$1541),2)=1,IF(MOD(IF(INT(($A1086-1)/70)+1&gt;CROQUIS_DATOS!$C$1525,70,MOD($A1086-1,70)+1)-2,2)=0,0,1),IF(MOD(IF(INT(($A1086-1)/70)+1&gt;CROQUIS_DATOS!$C$1525,70,MOD($A1086-1,70)+1)-2,2)=0,1,0))))=0,(INDEX($E$8:$E$23,MIN(INT(($A1086-1)/70)+1,CROQUIS_DATOS!$C$1525))-INDEX($F$8:$F$23,MIN(INT(($A1086-1)/70)+1,CROQUIS_DATOS!$C$1525))/2),(INDEX($E$8:$E$23,MIN(INT(($A1086-1)/70)+1,CROQUIS_DATOS!$C$1525))+INDEX($F$8:$F$23,MIN(INT(($A1086-1)/70)+1,CROQUIS_DATOS!$C$1525))/2)))*CROQUIS_DATOS!$C$1562),-1000)</f>
        <v>82.8189655172414</v>
      </c>
      <c r="O1086">
        <f>IF(AND(CROQUIS_DATOS!$C$1472=1,1),(CROQUIS_DATOS!$C$1564+(IF(OR(IF(INT(($A1086-1)/70)+1&gt;CROQUIS_DATOS!$C$1525,70,MOD($A1086-1,70)+1)=1,IF(INT(($A1086-1)/70)+1&gt;CROQUIS_DATOS!$C$1525,70,MOD($A1086-1,70)+1)&gt;2*CROQUIS_DATOS!$C$1541+1),CROQUIS_DATOS!$C$1476,INDEX($H$8:$H$41,MIN(INT((IF(INT(($A1086-1)/70)+1&gt;CROQUIS_DATOS!$C$1525,70,MOD($A1086-1,70)+1)-2)/2)+1,CROQUIS_DATOS!$C$1541))))*CROQUIS_DATOS!$C$1561*CROQUIS_DATOS!$C$1562),-1000)</f>
        <v>40.2068965517241</v>
      </c>
    </row>
    <row r="1087">
      <c r="A1087" t="n">
        <v>1080</v>
      </c>
      <c r="N1087">
        <f>IF(AND(CROQUIS_DATOS!$C$1472=1,1),(CROQUIS_DATOS!$C$1563+(IF(IF(IF(INT(($A1087-1)/70)+1&gt;CROQUIS_DATOS!$C$1525,70,MOD($A1087-1,70)+1)=1,0,IF(IF(INT(($A1087-1)/70)+1&gt;CROQUIS_DATOS!$C$1525,70,MOD($A1087-1,70)+1)&gt;2*CROQUIS_DATOS!$C$1541+1,IF(MOD(CROQUIS_DATOS!$C$1541,2)=1,1,0),IF(MOD(MIN(INT((IF(INT(($A1087-1)/70)+1&gt;CROQUIS_DATOS!$C$1525,70,MOD($A1087-1,70)+1)-2)/2)+1,CROQUIS_DATOS!$C$1541),2)=1,IF(MOD(IF(INT(($A1087-1)/70)+1&gt;CROQUIS_DATOS!$C$1525,70,MOD($A1087-1,70)+1)-2,2)=0,0,1),IF(MOD(IF(INT(($A1087-1)/70)+1&gt;CROQUIS_DATOS!$C$1525,70,MOD($A1087-1,70)+1)-2,2)=0,1,0))))=0,(INDEX($E$8:$E$23,MIN(INT(($A1087-1)/70)+1,CROQUIS_DATOS!$C$1525))-INDEX($F$8:$F$23,MIN(INT(($A1087-1)/70)+1,CROQUIS_DATOS!$C$1525))/2),(INDEX($E$8:$E$23,MIN(INT(($A1087-1)/70)+1,CROQUIS_DATOS!$C$1525))+INDEX($F$8:$F$23,MIN(INT(($A1087-1)/70)+1,CROQUIS_DATOS!$C$1525))/2)))*CROQUIS_DATOS!$C$1562),-1000)</f>
        <v>82.8189655172414</v>
      </c>
      <c r="O1087">
        <f>IF(AND(CROQUIS_DATOS!$C$1472=1,1),(CROQUIS_DATOS!$C$1564+(IF(OR(IF(INT(($A1087-1)/70)+1&gt;CROQUIS_DATOS!$C$1525,70,MOD($A1087-1,70)+1)=1,IF(INT(($A1087-1)/70)+1&gt;CROQUIS_DATOS!$C$1525,70,MOD($A1087-1,70)+1)&gt;2*CROQUIS_DATOS!$C$1541+1),CROQUIS_DATOS!$C$1476,INDEX($H$8:$H$41,MIN(INT((IF(INT(($A1087-1)/70)+1&gt;CROQUIS_DATOS!$C$1525,70,MOD($A1087-1,70)+1)-2)/2)+1,CROQUIS_DATOS!$C$1541))))*CROQUIS_DATOS!$C$1561*CROQUIS_DATOS!$C$1562),-1000)</f>
        <v>40.2068965517241</v>
      </c>
    </row>
    <row r="1088">
      <c r="A1088" t="n">
        <v>1081</v>
      </c>
      <c r="N1088">
        <f>IF(AND(CROQUIS_DATOS!$C$1472=1,1),(CROQUIS_DATOS!$C$1563+(IF(IF(IF(INT(($A1088-1)/70)+1&gt;CROQUIS_DATOS!$C$1525,70,MOD($A1088-1,70)+1)=1,0,IF(IF(INT(($A1088-1)/70)+1&gt;CROQUIS_DATOS!$C$1525,70,MOD($A1088-1,70)+1)&gt;2*CROQUIS_DATOS!$C$1541+1,IF(MOD(CROQUIS_DATOS!$C$1541,2)=1,1,0),IF(MOD(MIN(INT((IF(INT(($A1088-1)/70)+1&gt;CROQUIS_DATOS!$C$1525,70,MOD($A1088-1,70)+1)-2)/2)+1,CROQUIS_DATOS!$C$1541),2)=1,IF(MOD(IF(INT(($A1088-1)/70)+1&gt;CROQUIS_DATOS!$C$1525,70,MOD($A1088-1,70)+1)-2,2)=0,0,1),IF(MOD(IF(INT(($A1088-1)/70)+1&gt;CROQUIS_DATOS!$C$1525,70,MOD($A1088-1,70)+1)-2,2)=0,1,0))))=0,(INDEX($E$8:$E$23,MIN(INT(($A1088-1)/70)+1,CROQUIS_DATOS!$C$1525))-INDEX($F$8:$F$23,MIN(INT(($A1088-1)/70)+1,CROQUIS_DATOS!$C$1525))/2),(INDEX($E$8:$E$23,MIN(INT(($A1088-1)/70)+1,CROQUIS_DATOS!$C$1525))+INDEX($F$8:$F$23,MIN(INT(($A1088-1)/70)+1,CROQUIS_DATOS!$C$1525))/2)))*CROQUIS_DATOS!$C$1562),-1000)</f>
        <v>82.8189655172414</v>
      </c>
      <c r="O1088">
        <f>IF(AND(CROQUIS_DATOS!$C$1472=1,1),(CROQUIS_DATOS!$C$1564+(IF(OR(IF(INT(($A1088-1)/70)+1&gt;CROQUIS_DATOS!$C$1525,70,MOD($A1088-1,70)+1)=1,IF(INT(($A1088-1)/70)+1&gt;CROQUIS_DATOS!$C$1525,70,MOD($A1088-1,70)+1)&gt;2*CROQUIS_DATOS!$C$1541+1),CROQUIS_DATOS!$C$1476,INDEX($H$8:$H$41,MIN(INT((IF(INT(($A1088-1)/70)+1&gt;CROQUIS_DATOS!$C$1525,70,MOD($A1088-1,70)+1)-2)/2)+1,CROQUIS_DATOS!$C$1541))))*CROQUIS_DATOS!$C$1561*CROQUIS_DATOS!$C$1562),-1000)</f>
        <v>40.2068965517241</v>
      </c>
    </row>
    <row r="1089">
      <c r="A1089" t="n">
        <v>1082</v>
      </c>
      <c r="N1089">
        <f>IF(AND(CROQUIS_DATOS!$C$1472=1,1),(CROQUIS_DATOS!$C$1563+(IF(IF(IF(INT(($A1089-1)/70)+1&gt;CROQUIS_DATOS!$C$1525,70,MOD($A1089-1,70)+1)=1,0,IF(IF(INT(($A1089-1)/70)+1&gt;CROQUIS_DATOS!$C$1525,70,MOD($A1089-1,70)+1)&gt;2*CROQUIS_DATOS!$C$1541+1,IF(MOD(CROQUIS_DATOS!$C$1541,2)=1,1,0),IF(MOD(MIN(INT((IF(INT(($A1089-1)/70)+1&gt;CROQUIS_DATOS!$C$1525,70,MOD($A1089-1,70)+1)-2)/2)+1,CROQUIS_DATOS!$C$1541),2)=1,IF(MOD(IF(INT(($A1089-1)/70)+1&gt;CROQUIS_DATOS!$C$1525,70,MOD($A1089-1,70)+1)-2,2)=0,0,1),IF(MOD(IF(INT(($A1089-1)/70)+1&gt;CROQUIS_DATOS!$C$1525,70,MOD($A1089-1,70)+1)-2,2)=0,1,0))))=0,(INDEX($E$8:$E$23,MIN(INT(($A1089-1)/70)+1,CROQUIS_DATOS!$C$1525))-INDEX($F$8:$F$23,MIN(INT(($A1089-1)/70)+1,CROQUIS_DATOS!$C$1525))/2),(INDEX($E$8:$E$23,MIN(INT(($A1089-1)/70)+1,CROQUIS_DATOS!$C$1525))+INDEX($F$8:$F$23,MIN(INT(($A1089-1)/70)+1,CROQUIS_DATOS!$C$1525))/2)))*CROQUIS_DATOS!$C$1562),-1000)</f>
        <v>82.8189655172414</v>
      </c>
      <c r="O1089">
        <f>IF(AND(CROQUIS_DATOS!$C$1472=1,1),(CROQUIS_DATOS!$C$1564+(IF(OR(IF(INT(($A1089-1)/70)+1&gt;CROQUIS_DATOS!$C$1525,70,MOD($A1089-1,70)+1)=1,IF(INT(($A1089-1)/70)+1&gt;CROQUIS_DATOS!$C$1525,70,MOD($A1089-1,70)+1)&gt;2*CROQUIS_DATOS!$C$1541+1),CROQUIS_DATOS!$C$1476,INDEX($H$8:$H$41,MIN(INT((IF(INT(($A1089-1)/70)+1&gt;CROQUIS_DATOS!$C$1525,70,MOD($A1089-1,70)+1)-2)/2)+1,CROQUIS_DATOS!$C$1541))))*CROQUIS_DATOS!$C$1561*CROQUIS_DATOS!$C$1562),-1000)</f>
        <v>40.2068965517241</v>
      </c>
    </row>
    <row r="1090">
      <c r="A1090" t="n">
        <v>1083</v>
      </c>
      <c r="N1090">
        <f>IF(AND(CROQUIS_DATOS!$C$1472=1,1),(CROQUIS_DATOS!$C$1563+(IF(IF(IF(INT(($A1090-1)/70)+1&gt;CROQUIS_DATOS!$C$1525,70,MOD($A1090-1,70)+1)=1,0,IF(IF(INT(($A1090-1)/70)+1&gt;CROQUIS_DATOS!$C$1525,70,MOD($A1090-1,70)+1)&gt;2*CROQUIS_DATOS!$C$1541+1,IF(MOD(CROQUIS_DATOS!$C$1541,2)=1,1,0),IF(MOD(MIN(INT((IF(INT(($A1090-1)/70)+1&gt;CROQUIS_DATOS!$C$1525,70,MOD($A1090-1,70)+1)-2)/2)+1,CROQUIS_DATOS!$C$1541),2)=1,IF(MOD(IF(INT(($A1090-1)/70)+1&gt;CROQUIS_DATOS!$C$1525,70,MOD($A1090-1,70)+1)-2,2)=0,0,1),IF(MOD(IF(INT(($A1090-1)/70)+1&gt;CROQUIS_DATOS!$C$1525,70,MOD($A1090-1,70)+1)-2,2)=0,1,0))))=0,(INDEX($E$8:$E$23,MIN(INT(($A1090-1)/70)+1,CROQUIS_DATOS!$C$1525))-INDEX($F$8:$F$23,MIN(INT(($A1090-1)/70)+1,CROQUIS_DATOS!$C$1525))/2),(INDEX($E$8:$E$23,MIN(INT(($A1090-1)/70)+1,CROQUIS_DATOS!$C$1525))+INDEX($F$8:$F$23,MIN(INT(($A1090-1)/70)+1,CROQUIS_DATOS!$C$1525))/2)))*CROQUIS_DATOS!$C$1562),-1000)</f>
        <v>82.8189655172414</v>
      </c>
      <c r="O1090">
        <f>IF(AND(CROQUIS_DATOS!$C$1472=1,1),(CROQUIS_DATOS!$C$1564+(IF(OR(IF(INT(($A1090-1)/70)+1&gt;CROQUIS_DATOS!$C$1525,70,MOD($A1090-1,70)+1)=1,IF(INT(($A1090-1)/70)+1&gt;CROQUIS_DATOS!$C$1525,70,MOD($A1090-1,70)+1)&gt;2*CROQUIS_DATOS!$C$1541+1),CROQUIS_DATOS!$C$1476,INDEX($H$8:$H$41,MIN(INT((IF(INT(($A1090-1)/70)+1&gt;CROQUIS_DATOS!$C$1525,70,MOD($A1090-1,70)+1)-2)/2)+1,CROQUIS_DATOS!$C$1541))))*CROQUIS_DATOS!$C$1561*CROQUIS_DATOS!$C$1562),-1000)</f>
        <v>40.2068965517241</v>
      </c>
    </row>
    <row r="1091">
      <c r="A1091" t="n">
        <v>1084</v>
      </c>
      <c r="N1091">
        <f>IF(AND(CROQUIS_DATOS!$C$1472=1,1),(CROQUIS_DATOS!$C$1563+(IF(IF(IF(INT(($A1091-1)/70)+1&gt;CROQUIS_DATOS!$C$1525,70,MOD($A1091-1,70)+1)=1,0,IF(IF(INT(($A1091-1)/70)+1&gt;CROQUIS_DATOS!$C$1525,70,MOD($A1091-1,70)+1)&gt;2*CROQUIS_DATOS!$C$1541+1,IF(MOD(CROQUIS_DATOS!$C$1541,2)=1,1,0),IF(MOD(MIN(INT((IF(INT(($A1091-1)/70)+1&gt;CROQUIS_DATOS!$C$1525,70,MOD($A1091-1,70)+1)-2)/2)+1,CROQUIS_DATOS!$C$1541),2)=1,IF(MOD(IF(INT(($A1091-1)/70)+1&gt;CROQUIS_DATOS!$C$1525,70,MOD($A1091-1,70)+1)-2,2)=0,0,1),IF(MOD(IF(INT(($A1091-1)/70)+1&gt;CROQUIS_DATOS!$C$1525,70,MOD($A1091-1,70)+1)-2,2)=0,1,0))))=0,(INDEX($E$8:$E$23,MIN(INT(($A1091-1)/70)+1,CROQUIS_DATOS!$C$1525))-INDEX($F$8:$F$23,MIN(INT(($A1091-1)/70)+1,CROQUIS_DATOS!$C$1525))/2),(INDEX($E$8:$E$23,MIN(INT(($A1091-1)/70)+1,CROQUIS_DATOS!$C$1525))+INDEX($F$8:$F$23,MIN(INT(($A1091-1)/70)+1,CROQUIS_DATOS!$C$1525))/2)))*CROQUIS_DATOS!$C$1562),-1000)</f>
        <v>82.8189655172414</v>
      </c>
      <c r="O1091">
        <f>IF(AND(CROQUIS_DATOS!$C$1472=1,1),(CROQUIS_DATOS!$C$1564+(IF(OR(IF(INT(($A1091-1)/70)+1&gt;CROQUIS_DATOS!$C$1525,70,MOD($A1091-1,70)+1)=1,IF(INT(($A1091-1)/70)+1&gt;CROQUIS_DATOS!$C$1525,70,MOD($A1091-1,70)+1)&gt;2*CROQUIS_DATOS!$C$1541+1),CROQUIS_DATOS!$C$1476,INDEX($H$8:$H$41,MIN(INT((IF(INT(($A1091-1)/70)+1&gt;CROQUIS_DATOS!$C$1525,70,MOD($A1091-1,70)+1)-2)/2)+1,CROQUIS_DATOS!$C$1541))))*CROQUIS_DATOS!$C$1561*CROQUIS_DATOS!$C$1562),-1000)</f>
        <v>40.2068965517241</v>
      </c>
    </row>
    <row r="1092">
      <c r="A1092" t="n">
        <v>1085</v>
      </c>
      <c r="N1092">
        <f>IF(AND(CROQUIS_DATOS!$C$1472=1,1),(CROQUIS_DATOS!$C$1563+(IF(IF(IF(INT(($A1092-1)/70)+1&gt;CROQUIS_DATOS!$C$1525,70,MOD($A1092-1,70)+1)=1,0,IF(IF(INT(($A1092-1)/70)+1&gt;CROQUIS_DATOS!$C$1525,70,MOD($A1092-1,70)+1)&gt;2*CROQUIS_DATOS!$C$1541+1,IF(MOD(CROQUIS_DATOS!$C$1541,2)=1,1,0),IF(MOD(MIN(INT((IF(INT(($A1092-1)/70)+1&gt;CROQUIS_DATOS!$C$1525,70,MOD($A1092-1,70)+1)-2)/2)+1,CROQUIS_DATOS!$C$1541),2)=1,IF(MOD(IF(INT(($A1092-1)/70)+1&gt;CROQUIS_DATOS!$C$1525,70,MOD($A1092-1,70)+1)-2,2)=0,0,1),IF(MOD(IF(INT(($A1092-1)/70)+1&gt;CROQUIS_DATOS!$C$1525,70,MOD($A1092-1,70)+1)-2,2)=0,1,0))))=0,(INDEX($E$8:$E$23,MIN(INT(($A1092-1)/70)+1,CROQUIS_DATOS!$C$1525))-INDEX($F$8:$F$23,MIN(INT(($A1092-1)/70)+1,CROQUIS_DATOS!$C$1525))/2),(INDEX($E$8:$E$23,MIN(INT(($A1092-1)/70)+1,CROQUIS_DATOS!$C$1525))+INDEX($F$8:$F$23,MIN(INT(($A1092-1)/70)+1,CROQUIS_DATOS!$C$1525))/2)))*CROQUIS_DATOS!$C$1562),-1000)</f>
        <v>82.8189655172414</v>
      </c>
      <c r="O1092">
        <f>IF(AND(CROQUIS_DATOS!$C$1472=1,1),(CROQUIS_DATOS!$C$1564+(IF(OR(IF(INT(($A1092-1)/70)+1&gt;CROQUIS_DATOS!$C$1525,70,MOD($A1092-1,70)+1)=1,IF(INT(($A1092-1)/70)+1&gt;CROQUIS_DATOS!$C$1525,70,MOD($A1092-1,70)+1)&gt;2*CROQUIS_DATOS!$C$1541+1),CROQUIS_DATOS!$C$1476,INDEX($H$8:$H$41,MIN(INT((IF(INT(($A1092-1)/70)+1&gt;CROQUIS_DATOS!$C$1525,70,MOD($A1092-1,70)+1)-2)/2)+1,CROQUIS_DATOS!$C$1541))))*CROQUIS_DATOS!$C$1561*CROQUIS_DATOS!$C$1562),-1000)</f>
        <v>40.2068965517241</v>
      </c>
    </row>
    <row r="1093">
      <c r="A1093" t="n">
        <v>1086</v>
      </c>
      <c r="N1093">
        <f>IF(AND(CROQUIS_DATOS!$C$1472=1,1),(CROQUIS_DATOS!$C$1563+(IF(IF(IF(INT(($A1093-1)/70)+1&gt;CROQUIS_DATOS!$C$1525,70,MOD($A1093-1,70)+1)=1,0,IF(IF(INT(($A1093-1)/70)+1&gt;CROQUIS_DATOS!$C$1525,70,MOD($A1093-1,70)+1)&gt;2*CROQUIS_DATOS!$C$1541+1,IF(MOD(CROQUIS_DATOS!$C$1541,2)=1,1,0),IF(MOD(MIN(INT((IF(INT(($A1093-1)/70)+1&gt;CROQUIS_DATOS!$C$1525,70,MOD($A1093-1,70)+1)-2)/2)+1,CROQUIS_DATOS!$C$1541),2)=1,IF(MOD(IF(INT(($A1093-1)/70)+1&gt;CROQUIS_DATOS!$C$1525,70,MOD($A1093-1,70)+1)-2,2)=0,0,1),IF(MOD(IF(INT(($A1093-1)/70)+1&gt;CROQUIS_DATOS!$C$1525,70,MOD($A1093-1,70)+1)-2,2)=0,1,0))))=0,(INDEX($E$8:$E$23,MIN(INT(($A1093-1)/70)+1,CROQUIS_DATOS!$C$1525))-INDEX($F$8:$F$23,MIN(INT(($A1093-1)/70)+1,CROQUIS_DATOS!$C$1525))/2),(INDEX($E$8:$E$23,MIN(INT(($A1093-1)/70)+1,CROQUIS_DATOS!$C$1525))+INDEX($F$8:$F$23,MIN(INT(($A1093-1)/70)+1,CROQUIS_DATOS!$C$1525))/2)))*CROQUIS_DATOS!$C$1562),-1000)</f>
        <v>82.8189655172414</v>
      </c>
      <c r="O1093">
        <f>IF(AND(CROQUIS_DATOS!$C$1472=1,1),(CROQUIS_DATOS!$C$1564+(IF(OR(IF(INT(($A1093-1)/70)+1&gt;CROQUIS_DATOS!$C$1525,70,MOD($A1093-1,70)+1)=1,IF(INT(($A1093-1)/70)+1&gt;CROQUIS_DATOS!$C$1525,70,MOD($A1093-1,70)+1)&gt;2*CROQUIS_DATOS!$C$1541+1),CROQUIS_DATOS!$C$1476,INDEX($H$8:$H$41,MIN(INT((IF(INT(($A1093-1)/70)+1&gt;CROQUIS_DATOS!$C$1525,70,MOD($A1093-1,70)+1)-2)/2)+1,CROQUIS_DATOS!$C$1541))))*CROQUIS_DATOS!$C$1561*CROQUIS_DATOS!$C$1562),-1000)</f>
        <v>40.2068965517241</v>
      </c>
    </row>
    <row r="1094">
      <c r="A1094" t="n">
        <v>1087</v>
      </c>
      <c r="N1094">
        <f>IF(AND(CROQUIS_DATOS!$C$1472=1,1),(CROQUIS_DATOS!$C$1563+(IF(IF(IF(INT(($A1094-1)/70)+1&gt;CROQUIS_DATOS!$C$1525,70,MOD($A1094-1,70)+1)=1,0,IF(IF(INT(($A1094-1)/70)+1&gt;CROQUIS_DATOS!$C$1525,70,MOD($A1094-1,70)+1)&gt;2*CROQUIS_DATOS!$C$1541+1,IF(MOD(CROQUIS_DATOS!$C$1541,2)=1,1,0),IF(MOD(MIN(INT((IF(INT(($A1094-1)/70)+1&gt;CROQUIS_DATOS!$C$1525,70,MOD($A1094-1,70)+1)-2)/2)+1,CROQUIS_DATOS!$C$1541),2)=1,IF(MOD(IF(INT(($A1094-1)/70)+1&gt;CROQUIS_DATOS!$C$1525,70,MOD($A1094-1,70)+1)-2,2)=0,0,1),IF(MOD(IF(INT(($A1094-1)/70)+1&gt;CROQUIS_DATOS!$C$1525,70,MOD($A1094-1,70)+1)-2,2)=0,1,0))))=0,(INDEX($E$8:$E$23,MIN(INT(($A1094-1)/70)+1,CROQUIS_DATOS!$C$1525))-INDEX($F$8:$F$23,MIN(INT(($A1094-1)/70)+1,CROQUIS_DATOS!$C$1525))/2),(INDEX($E$8:$E$23,MIN(INT(($A1094-1)/70)+1,CROQUIS_DATOS!$C$1525))+INDEX($F$8:$F$23,MIN(INT(($A1094-1)/70)+1,CROQUIS_DATOS!$C$1525))/2)))*CROQUIS_DATOS!$C$1562),-1000)</f>
        <v>82.8189655172414</v>
      </c>
      <c r="O1094">
        <f>IF(AND(CROQUIS_DATOS!$C$1472=1,1),(CROQUIS_DATOS!$C$1564+(IF(OR(IF(INT(($A1094-1)/70)+1&gt;CROQUIS_DATOS!$C$1525,70,MOD($A1094-1,70)+1)=1,IF(INT(($A1094-1)/70)+1&gt;CROQUIS_DATOS!$C$1525,70,MOD($A1094-1,70)+1)&gt;2*CROQUIS_DATOS!$C$1541+1),CROQUIS_DATOS!$C$1476,INDEX($H$8:$H$41,MIN(INT((IF(INT(($A1094-1)/70)+1&gt;CROQUIS_DATOS!$C$1525,70,MOD($A1094-1,70)+1)-2)/2)+1,CROQUIS_DATOS!$C$1541))))*CROQUIS_DATOS!$C$1561*CROQUIS_DATOS!$C$1562),-1000)</f>
        <v>40.2068965517241</v>
      </c>
    </row>
    <row r="1095">
      <c r="A1095" t="n">
        <v>1088</v>
      </c>
      <c r="N1095">
        <f>IF(AND(CROQUIS_DATOS!$C$1472=1,1),(CROQUIS_DATOS!$C$1563+(IF(IF(IF(INT(($A1095-1)/70)+1&gt;CROQUIS_DATOS!$C$1525,70,MOD($A1095-1,70)+1)=1,0,IF(IF(INT(($A1095-1)/70)+1&gt;CROQUIS_DATOS!$C$1525,70,MOD($A1095-1,70)+1)&gt;2*CROQUIS_DATOS!$C$1541+1,IF(MOD(CROQUIS_DATOS!$C$1541,2)=1,1,0),IF(MOD(MIN(INT((IF(INT(($A1095-1)/70)+1&gt;CROQUIS_DATOS!$C$1525,70,MOD($A1095-1,70)+1)-2)/2)+1,CROQUIS_DATOS!$C$1541),2)=1,IF(MOD(IF(INT(($A1095-1)/70)+1&gt;CROQUIS_DATOS!$C$1525,70,MOD($A1095-1,70)+1)-2,2)=0,0,1),IF(MOD(IF(INT(($A1095-1)/70)+1&gt;CROQUIS_DATOS!$C$1525,70,MOD($A1095-1,70)+1)-2,2)=0,1,0))))=0,(INDEX($E$8:$E$23,MIN(INT(($A1095-1)/70)+1,CROQUIS_DATOS!$C$1525))-INDEX($F$8:$F$23,MIN(INT(($A1095-1)/70)+1,CROQUIS_DATOS!$C$1525))/2),(INDEX($E$8:$E$23,MIN(INT(($A1095-1)/70)+1,CROQUIS_DATOS!$C$1525))+INDEX($F$8:$F$23,MIN(INT(($A1095-1)/70)+1,CROQUIS_DATOS!$C$1525))/2)))*CROQUIS_DATOS!$C$1562),-1000)</f>
        <v>82.8189655172414</v>
      </c>
      <c r="O1095">
        <f>IF(AND(CROQUIS_DATOS!$C$1472=1,1),(CROQUIS_DATOS!$C$1564+(IF(OR(IF(INT(($A1095-1)/70)+1&gt;CROQUIS_DATOS!$C$1525,70,MOD($A1095-1,70)+1)=1,IF(INT(($A1095-1)/70)+1&gt;CROQUIS_DATOS!$C$1525,70,MOD($A1095-1,70)+1)&gt;2*CROQUIS_DATOS!$C$1541+1),CROQUIS_DATOS!$C$1476,INDEX($H$8:$H$41,MIN(INT((IF(INT(($A1095-1)/70)+1&gt;CROQUIS_DATOS!$C$1525,70,MOD($A1095-1,70)+1)-2)/2)+1,CROQUIS_DATOS!$C$1541))))*CROQUIS_DATOS!$C$1561*CROQUIS_DATOS!$C$1562),-1000)</f>
        <v>40.2068965517241</v>
      </c>
    </row>
    <row r="1096">
      <c r="A1096" t="n">
        <v>1089</v>
      </c>
      <c r="N1096">
        <f>IF(AND(CROQUIS_DATOS!$C$1472=1,1),(CROQUIS_DATOS!$C$1563+(IF(IF(IF(INT(($A1096-1)/70)+1&gt;CROQUIS_DATOS!$C$1525,70,MOD($A1096-1,70)+1)=1,0,IF(IF(INT(($A1096-1)/70)+1&gt;CROQUIS_DATOS!$C$1525,70,MOD($A1096-1,70)+1)&gt;2*CROQUIS_DATOS!$C$1541+1,IF(MOD(CROQUIS_DATOS!$C$1541,2)=1,1,0),IF(MOD(MIN(INT((IF(INT(($A1096-1)/70)+1&gt;CROQUIS_DATOS!$C$1525,70,MOD($A1096-1,70)+1)-2)/2)+1,CROQUIS_DATOS!$C$1541),2)=1,IF(MOD(IF(INT(($A1096-1)/70)+1&gt;CROQUIS_DATOS!$C$1525,70,MOD($A1096-1,70)+1)-2,2)=0,0,1),IF(MOD(IF(INT(($A1096-1)/70)+1&gt;CROQUIS_DATOS!$C$1525,70,MOD($A1096-1,70)+1)-2,2)=0,1,0))))=0,(INDEX($E$8:$E$23,MIN(INT(($A1096-1)/70)+1,CROQUIS_DATOS!$C$1525))-INDEX($F$8:$F$23,MIN(INT(($A1096-1)/70)+1,CROQUIS_DATOS!$C$1525))/2),(INDEX($E$8:$E$23,MIN(INT(($A1096-1)/70)+1,CROQUIS_DATOS!$C$1525))+INDEX($F$8:$F$23,MIN(INT(($A1096-1)/70)+1,CROQUIS_DATOS!$C$1525))/2)))*CROQUIS_DATOS!$C$1562),-1000)</f>
        <v>82.8189655172414</v>
      </c>
      <c r="O1096">
        <f>IF(AND(CROQUIS_DATOS!$C$1472=1,1),(CROQUIS_DATOS!$C$1564+(IF(OR(IF(INT(($A1096-1)/70)+1&gt;CROQUIS_DATOS!$C$1525,70,MOD($A1096-1,70)+1)=1,IF(INT(($A1096-1)/70)+1&gt;CROQUIS_DATOS!$C$1525,70,MOD($A1096-1,70)+1)&gt;2*CROQUIS_DATOS!$C$1541+1),CROQUIS_DATOS!$C$1476,INDEX($H$8:$H$41,MIN(INT((IF(INT(($A1096-1)/70)+1&gt;CROQUIS_DATOS!$C$1525,70,MOD($A1096-1,70)+1)-2)/2)+1,CROQUIS_DATOS!$C$1541))))*CROQUIS_DATOS!$C$1561*CROQUIS_DATOS!$C$1562),-1000)</f>
        <v>40.2068965517241</v>
      </c>
    </row>
    <row r="1097">
      <c r="A1097" t="n">
        <v>1090</v>
      </c>
      <c r="N1097">
        <f>IF(AND(CROQUIS_DATOS!$C$1472=1,1),(CROQUIS_DATOS!$C$1563+(IF(IF(IF(INT(($A1097-1)/70)+1&gt;CROQUIS_DATOS!$C$1525,70,MOD($A1097-1,70)+1)=1,0,IF(IF(INT(($A1097-1)/70)+1&gt;CROQUIS_DATOS!$C$1525,70,MOD($A1097-1,70)+1)&gt;2*CROQUIS_DATOS!$C$1541+1,IF(MOD(CROQUIS_DATOS!$C$1541,2)=1,1,0),IF(MOD(MIN(INT((IF(INT(($A1097-1)/70)+1&gt;CROQUIS_DATOS!$C$1525,70,MOD($A1097-1,70)+1)-2)/2)+1,CROQUIS_DATOS!$C$1541),2)=1,IF(MOD(IF(INT(($A1097-1)/70)+1&gt;CROQUIS_DATOS!$C$1525,70,MOD($A1097-1,70)+1)-2,2)=0,0,1),IF(MOD(IF(INT(($A1097-1)/70)+1&gt;CROQUIS_DATOS!$C$1525,70,MOD($A1097-1,70)+1)-2,2)=0,1,0))))=0,(INDEX($E$8:$E$23,MIN(INT(($A1097-1)/70)+1,CROQUIS_DATOS!$C$1525))-INDEX($F$8:$F$23,MIN(INT(($A1097-1)/70)+1,CROQUIS_DATOS!$C$1525))/2),(INDEX($E$8:$E$23,MIN(INT(($A1097-1)/70)+1,CROQUIS_DATOS!$C$1525))+INDEX($F$8:$F$23,MIN(INT(($A1097-1)/70)+1,CROQUIS_DATOS!$C$1525))/2)))*CROQUIS_DATOS!$C$1562),-1000)</f>
        <v>82.8189655172414</v>
      </c>
      <c r="O1097">
        <f>IF(AND(CROQUIS_DATOS!$C$1472=1,1),(CROQUIS_DATOS!$C$1564+(IF(OR(IF(INT(($A1097-1)/70)+1&gt;CROQUIS_DATOS!$C$1525,70,MOD($A1097-1,70)+1)=1,IF(INT(($A1097-1)/70)+1&gt;CROQUIS_DATOS!$C$1525,70,MOD($A1097-1,70)+1)&gt;2*CROQUIS_DATOS!$C$1541+1),CROQUIS_DATOS!$C$1476,INDEX($H$8:$H$41,MIN(INT((IF(INT(($A1097-1)/70)+1&gt;CROQUIS_DATOS!$C$1525,70,MOD($A1097-1,70)+1)-2)/2)+1,CROQUIS_DATOS!$C$1541))))*CROQUIS_DATOS!$C$1561*CROQUIS_DATOS!$C$1562),-1000)</f>
        <v>40.2068965517241</v>
      </c>
    </row>
    <row r="1098">
      <c r="A1098" t="n">
        <v>1091</v>
      </c>
      <c r="N1098">
        <f>IF(AND(CROQUIS_DATOS!$C$1472=1,1),(CROQUIS_DATOS!$C$1563+(IF(IF(IF(INT(($A1098-1)/70)+1&gt;CROQUIS_DATOS!$C$1525,70,MOD($A1098-1,70)+1)=1,0,IF(IF(INT(($A1098-1)/70)+1&gt;CROQUIS_DATOS!$C$1525,70,MOD($A1098-1,70)+1)&gt;2*CROQUIS_DATOS!$C$1541+1,IF(MOD(CROQUIS_DATOS!$C$1541,2)=1,1,0),IF(MOD(MIN(INT((IF(INT(($A1098-1)/70)+1&gt;CROQUIS_DATOS!$C$1525,70,MOD($A1098-1,70)+1)-2)/2)+1,CROQUIS_DATOS!$C$1541),2)=1,IF(MOD(IF(INT(($A1098-1)/70)+1&gt;CROQUIS_DATOS!$C$1525,70,MOD($A1098-1,70)+1)-2,2)=0,0,1),IF(MOD(IF(INT(($A1098-1)/70)+1&gt;CROQUIS_DATOS!$C$1525,70,MOD($A1098-1,70)+1)-2,2)=0,1,0))))=0,(INDEX($E$8:$E$23,MIN(INT(($A1098-1)/70)+1,CROQUIS_DATOS!$C$1525))-INDEX($F$8:$F$23,MIN(INT(($A1098-1)/70)+1,CROQUIS_DATOS!$C$1525))/2),(INDEX($E$8:$E$23,MIN(INT(($A1098-1)/70)+1,CROQUIS_DATOS!$C$1525))+INDEX($F$8:$F$23,MIN(INT(($A1098-1)/70)+1,CROQUIS_DATOS!$C$1525))/2)))*CROQUIS_DATOS!$C$1562),-1000)</f>
        <v>82.8189655172414</v>
      </c>
      <c r="O1098">
        <f>IF(AND(CROQUIS_DATOS!$C$1472=1,1),(CROQUIS_DATOS!$C$1564+(IF(OR(IF(INT(($A1098-1)/70)+1&gt;CROQUIS_DATOS!$C$1525,70,MOD($A1098-1,70)+1)=1,IF(INT(($A1098-1)/70)+1&gt;CROQUIS_DATOS!$C$1525,70,MOD($A1098-1,70)+1)&gt;2*CROQUIS_DATOS!$C$1541+1),CROQUIS_DATOS!$C$1476,INDEX($H$8:$H$41,MIN(INT((IF(INT(($A1098-1)/70)+1&gt;CROQUIS_DATOS!$C$1525,70,MOD($A1098-1,70)+1)-2)/2)+1,CROQUIS_DATOS!$C$1541))))*CROQUIS_DATOS!$C$1561*CROQUIS_DATOS!$C$1562),-1000)</f>
        <v>40.2068965517241</v>
      </c>
    </row>
    <row r="1099">
      <c r="A1099" t="n">
        <v>1092</v>
      </c>
      <c r="N1099">
        <f>IF(AND(CROQUIS_DATOS!$C$1472=1,1),(CROQUIS_DATOS!$C$1563+(IF(IF(IF(INT(($A1099-1)/70)+1&gt;CROQUIS_DATOS!$C$1525,70,MOD($A1099-1,70)+1)=1,0,IF(IF(INT(($A1099-1)/70)+1&gt;CROQUIS_DATOS!$C$1525,70,MOD($A1099-1,70)+1)&gt;2*CROQUIS_DATOS!$C$1541+1,IF(MOD(CROQUIS_DATOS!$C$1541,2)=1,1,0),IF(MOD(MIN(INT((IF(INT(($A1099-1)/70)+1&gt;CROQUIS_DATOS!$C$1525,70,MOD($A1099-1,70)+1)-2)/2)+1,CROQUIS_DATOS!$C$1541),2)=1,IF(MOD(IF(INT(($A1099-1)/70)+1&gt;CROQUIS_DATOS!$C$1525,70,MOD($A1099-1,70)+1)-2,2)=0,0,1),IF(MOD(IF(INT(($A1099-1)/70)+1&gt;CROQUIS_DATOS!$C$1525,70,MOD($A1099-1,70)+1)-2,2)=0,1,0))))=0,(INDEX($E$8:$E$23,MIN(INT(($A1099-1)/70)+1,CROQUIS_DATOS!$C$1525))-INDEX($F$8:$F$23,MIN(INT(($A1099-1)/70)+1,CROQUIS_DATOS!$C$1525))/2),(INDEX($E$8:$E$23,MIN(INT(($A1099-1)/70)+1,CROQUIS_DATOS!$C$1525))+INDEX($F$8:$F$23,MIN(INT(($A1099-1)/70)+1,CROQUIS_DATOS!$C$1525))/2)))*CROQUIS_DATOS!$C$1562),-1000)</f>
        <v>82.8189655172414</v>
      </c>
      <c r="O1099">
        <f>IF(AND(CROQUIS_DATOS!$C$1472=1,1),(CROQUIS_DATOS!$C$1564+(IF(OR(IF(INT(($A1099-1)/70)+1&gt;CROQUIS_DATOS!$C$1525,70,MOD($A1099-1,70)+1)=1,IF(INT(($A1099-1)/70)+1&gt;CROQUIS_DATOS!$C$1525,70,MOD($A1099-1,70)+1)&gt;2*CROQUIS_DATOS!$C$1541+1),CROQUIS_DATOS!$C$1476,INDEX($H$8:$H$41,MIN(INT((IF(INT(($A1099-1)/70)+1&gt;CROQUIS_DATOS!$C$1525,70,MOD($A1099-1,70)+1)-2)/2)+1,CROQUIS_DATOS!$C$1541))))*CROQUIS_DATOS!$C$1561*CROQUIS_DATOS!$C$1562),-1000)</f>
        <v>40.2068965517241</v>
      </c>
    </row>
    <row r="1100">
      <c r="A1100" t="n">
        <v>1093</v>
      </c>
      <c r="N1100">
        <f>IF(AND(CROQUIS_DATOS!$C$1472=1,1),(CROQUIS_DATOS!$C$1563+(IF(IF(IF(INT(($A1100-1)/70)+1&gt;CROQUIS_DATOS!$C$1525,70,MOD($A1100-1,70)+1)=1,0,IF(IF(INT(($A1100-1)/70)+1&gt;CROQUIS_DATOS!$C$1525,70,MOD($A1100-1,70)+1)&gt;2*CROQUIS_DATOS!$C$1541+1,IF(MOD(CROQUIS_DATOS!$C$1541,2)=1,1,0),IF(MOD(MIN(INT((IF(INT(($A1100-1)/70)+1&gt;CROQUIS_DATOS!$C$1525,70,MOD($A1100-1,70)+1)-2)/2)+1,CROQUIS_DATOS!$C$1541),2)=1,IF(MOD(IF(INT(($A1100-1)/70)+1&gt;CROQUIS_DATOS!$C$1525,70,MOD($A1100-1,70)+1)-2,2)=0,0,1),IF(MOD(IF(INT(($A1100-1)/70)+1&gt;CROQUIS_DATOS!$C$1525,70,MOD($A1100-1,70)+1)-2,2)=0,1,0))))=0,(INDEX($E$8:$E$23,MIN(INT(($A1100-1)/70)+1,CROQUIS_DATOS!$C$1525))-INDEX($F$8:$F$23,MIN(INT(($A1100-1)/70)+1,CROQUIS_DATOS!$C$1525))/2),(INDEX($E$8:$E$23,MIN(INT(($A1100-1)/70)+1,CROQUIS_DATOS!$C$1525))+INDEX($F$8:$F$23,MIN(INT(($A1100-1)/70)+1,CROQUIS_DATOS!$C$1525))/2)))*CROQUIS_DATOS!$C$1562),-1000)</f>
        <v>82.8189655172414</v>
      </c>
      <c r="O1100">
        <f>IF(AND(CROQUIS_DATOS!$C$1472=1,1),(CROQUIS_DATOS!$C$1564+(IF(OR(IF(INT(($A1100-1)/70)+1&gt;CROQUIS_DATOS!$C$1525,70,MOD($A1100-1,70)+1)=1,IF(INT(($A1100-1)/70)+1&gt;CROQUIS_DATOS!$C$1525,70,MOD($A1100-1,70)+1)&gt;2*CROQUIS_DATOS!$C$1541+1),CROQUIS_DATOS!$C$1476,INDEX($H$8:$H$41,MIN(INT((IF(INT(($A1100-1)/70)+1&gt;CROQUIS_DATOS!$C$1525,70,MOD($A1100-1,70)+1)-2)/2)+1,CROQUIS_DATOS!$C$1541))))*CROQUIS_DATOS!$C$1561*CROQUIS_DATOS!$C$1562),-1000)</f>
        <v>40.2068965517241</v>
      </c>
    </row>
    <row r="1101">
      <c r="A1101" t="n">
        <v>1094</v>
      </c>
      <c r="N1101">
        <f>IF(AND(CROQUIS_DATOS!$C$1472=1,1),(CROQUIS_DATOS!$C$1563+(IF(IF(IF(INT(($A1101-1)/70)+1&gt;CROQUIS_DATOS!$C$1525,70,MOD($A1101-1,70)+1)=1,0,IF(IF(INT(($A1101-1)/70)+1&gt;CROQUIS_DATOS!$C$1525,70,MOD($A1101-1,70)+1)&gt;2*CROQUIS_DATOS!$C$1541+1,IF(MOD(CROQUIS_DATOS!$C$1541,2)=1,1,0),IF(MOD(MIN(INT((IF(INT(($A1101-1)/70)+1&gt;CROQUIS_DATOS!$C$1525,70,MOD($A1101-1,70)+1)-2)/2)+1,CROQUIS_DATOS!$C$1541),2)=1,IF(MOD(IF(INT(($A1101-1)/70)+1&gt;CROQUIS_DATOS!$C$1525,70,MOD($A1101-1,70)+1)-2,2)=0,0,1),IF(MOD(IF(INT(($A1101-1)/70)+1&gt;CROQUIS_DATOS!$C$1525,70,MOD($A1101-1,70)+1)-2,2)=0,1,0))))=0,(INDEX($E$8:$E$23,MIN(INT(($A1101-1)/70)+1,CROQUIS_DATOS!$C$1525))-INDEX($F$8:$F$23,MIN(INT(($A1101-1)/70)+1,CROQUIS_DATOS!$C$1525))/2),(INDEX($E$8:$E$23,MIN(INT(($A1101-1)/70)+1,CROQUIS_DATOS!$C$1525))+INDEX($F$8:$F$23,MIN(INT(($A1101-1)/70)+1,CROQUIS_DATOS!$C$1525))/2)))*CROQUIS_DATOS!$C$1562),-1000)</f>
        <v>82.8189655172414</v>
      </c>
      <c r="O1101">
        <f>IF(AND(CROQUIS_DATOS!$C$1472=1,1),(CROQUIS_DATOS!$C$1564+(IF(OR(IF(INT(($A1101-1)/70)+1&gt;CROQUIS_DATOS!$C$1525,70,MOD($A1101-1,70)+1)=1,IF(INT(($A1101-1)/70)+1&gt;CROQUIS_DATOS!$C$1525,70,MOD($A1101-1,70)+1)&gt;2*CROQUIS_DATOS!$C$1541+1),CROQUIS_DATOS!$C$1476,INDEX($H$8:$H$41,MIN(INT((IF(INT(($A1101-1)/70)+1&gt;CROQUIS_DATOS!$C$1525,70,MOD($A1101-1,70)+1)-2)/2)+1,CROQUIS_DATOS!$C$1541))))*CROQUIS_DATOS!$C$1561*CROQUIS_DATOS!$C$1562),-1000)</f>
        <v>40.2068965517241</v>
      </c>
    </row>
    <row r="1102">
      <c r="A1102" t="n">
        <v>1095</v>
      </c>
      <c r="N1102">
        <f>IF(AND(CROQUIS_DATOS!$C$1472=1,1),(CROQUIS_DATOS!$C$1563+(IF(IF(IF(INT(($A1102-1)/70)+1&gt;CROQUIS_DATOS!$C$1525,70,MOD($A1102-1,70)+1)=1,0,IF(IF(INT(($A1102-1)/70)+1&gt;CROQUIS_DATOS!$C$1525,70,MOD($A1102-1,70)+1)&gt;2*CROQUIS_DATOS!$C$1541+1,IF(MOD(CROQUIS_DATOS!$C$1541,2)=1,1,0),IF(MOD(MIN(INT((IF(INT(($A1102-1)/70)+1&gt;CROQUIS_DATOS!$C$1525,70,MOD($A1102-1,70)+1)-2)/2)+1,CROQUIS_DATOS!$C$1541),2)=1,IF(MOD(IF(INT(($A1102-1)/70)+1&gt;CROQUIS_DATOS!$C$1525,70,MOD($A1102-1,70)+1)-2,2)=0,0,1),IF(MOD(IF(INT(($A1102-1)/70)+1&gt;CROQUIS_DATOS!$C$1525,70,MOD($A1102-1,70)+1)-2,2)=0,1,0))))=0,(INDEX($E$8:$E$23,MIN(INT(($A1102-1)/70)+1,CROQUIS_DATOS!$C$1525))-INDEX($F$8:$F$23,MIN(INT(($A1102-1)/70)+1,CROQUIS_DATOS!$C$1525))/2),(INDEX($E$8:$E$23,MIN(INT(($A1102-1)/70)+1,CROQUIS_DATOS!$C$1525))+INDEX($F$8:$F$23,MIN(INT(($A1102-1)/70)+1,CROQUIS_DATOS!$C$1525))/2)))*CROQUIS_DATOS!$C$1562),-1000)</f>
        <v>82.8189655172414</v>
      </c>
      <c r="O1102">
        <f>IF(AND(CROQUIS_DATOS!$C$1472=1,1),(CROQUIS_DATOS!$C$1564+(IF(OR(IF(INT(($A1102-1)/70)+1&gt;CROQUIS_DATOS!$C$1525,70,MOD($A1102-1,70)+1)=1,IF(INT(($A1102-1)/70)+1&gt;CROQUIS_DATOS!$C$1525,70,MOD($A1102-1,70)+1)&gt;2*CROQUIS_DATOS!$C$1541+1),CROQUIS_DATOS!$C$1476,INDEX($H$8:$H$41,MIN(INT((IF(INT(($A1102-1)/70)+1&gt;CROQUIS_DATOS!$C$1525,70,MOD($A1102-1,70)+1)-2)/2)+1,CROQUIS_DATOS!$C$1541))))*CROQUIS_DATOS!$C$1561*CROQUIS_DATOS!$C$1562),-1000)</f>
        <v>40.2068965517241</v>
      </c>
    </row>
    <row r="1103">
      <c r="A1103" t="n">
        <v>1096</v>
      </c>
      <c r="N1103">
        <f>IF(AND(CROQUIS_DATOS!$C$1472=1,1),(CROQUIS_DATOS!$C$1563+(IF(IF(IF(INT(($A1103-1)/70)+1&gt;CROQUIS_DATOS!$C$1525,70,MOD($A1103-1,70)+1)=1,0,IF(IF(INT(($A1103-1)/70)+1&gt;CROQUIS_DATOS!$C$1525,70,MOD($A1103-1,70)+1)&gt;2*CROQUIS_DATOS!$C$1541+1,IF(MOD(CROQUIS_DATOS!$C$1541,2)=1,1,0),IF(MOD(MIN(INT((IF(INT(($A1103-1)/70)+1&gt;CROQUIS_DATOS!$C$1525,70,MOD($A1103-1,70)+1)-2)/2)+1,CROQUIS_DATOS!$C$1541),2)=1,IF(MOD(IF(INT(($A1103-1)/70)+1&gt;CROQUIS_DATOS!$C$1525,70,MOD($A1103-1,70)+1)-2,2)=0,0,1),IF(MOD(IF(INT(($A1103-1)/70)+1&gt;CROQUIS_DATOS!$C$1525,70,MOD($A1103-1,70)+1)-2,2)=0,1,0))))=0,(INDEX($E$8:$E$23,MIN(INT(($A1103-1)/70)+1,CROQUIS_DATOS!$C$1525))-INDEX($F$8:$F$23,MIN(INT(($A1103-1)/70)+1,CROQUIS_DATOS!$C$1525))/2),(INDEX($E$8:$E$23,MIN(INT(($A1103-1)/70)+1,CROQUIS_DATOS!$C$1525))+INDEX($F$8:$F$23,MIN(INT(($A1103-1)/70)+1,CROQUIS_DATOS!$C$1525))/2)))*CROQUIS_DATOS!$C$1562),-1000)</f>
        <v>82.8189655172414</v>
      </c>
      <c r="O1103">
        <f>IF(AND(CROQUIS_DATOS!$C$1472=1,1),(CROQUIS_DATOS!$C$1564+(IF(OR(IF(INT(($A1103-1)/70)+1&gt;CROQUIS_DATOS!$C$1525,70,MOD($A1103-1,70)+1)=1,IF(INT(($A1103-1)/70)+1&gt;CROQUIS_DATOS!$C$1525,70,MOD($A1103-1,70)+1)&gt;2*CROQUIS_DATOS!$C$1541+1),CROQUIS_DATOS!$C$1476,INDEX($H$8:$H$41,MIN(INT((IF(INT(($A1103-1)/70)+1&gt;CROQUIS_DATOS!$C$1525,70,MOD($A1103-1,70)+1)-2)/2)+1,CROQUIS_DATOS!$C$1541))))*CROQUIS_DATOS!$C$1561*CROQUIS_DATOS!$C$1562),-1000)</f>
        <v>40.2068965517241</v>
      </c>
    </row>
    <row r="1104">
      <c r="A1104" t="n">
        <v>1097</v>
      </c>
      <c r="N1104">
        <f>IF(AND(CROQUIS_DATOS!$C$1472=1,1),(CROQUIS_DATOS!$C$1563+(IF(IF(IF(INT(($A1104-1)/70)+1&gt;CROQUIS_DATOS!$C$1525,70,MOD($A1104-1,70)+1)=1,0,IF(IF(INT(($A1104-1)/70)+1&gt;CROQUIS_DATOS!$C$1525,70,MOD($A1104-1,70)+1)&gt;2*CROQUIS_DATOS!$C$1541+1,IF(MOD(CROQUIS_DATOS!$C$1541,2)=1,1,0),IF(MOD(MIN(INT((IF(INT(($A1104-1)/70)+1&gt;CROQUIS_DATOS!$C$1525,70,MOD($A1104-1,70)+1)-2)/2)+1,CROQUIS_DATOS!$C$1541),2)=1,IF(MOD(IF(INT(($A1104-1)/70)+1&gt;CROQUIS_DATOS!$C$1525,70,MOD($A1104-1,70)+1)-2,2)=0,0,1),IF(MOD(IF(INT(($A1104-1)/70)+1&gt;CROQUIS_DATOS!$C$1525,70,MOD($A1104-1,70)+1)-2,2)=0,1,0))))=0,(INDEX($E$8:$E$23,MIN(INT(($A1104-1)/70)+1,CROQUIS_DATOS!$C$1525))-INDEX($F$8:$F$23,MIN(INT(($A1104-1)/70)+1,CROQUIS_DATOS!$C$1525))/2),(INDEX($E$8:$E$23,MIN(INT(($A1104-1)/70)+1,CROQUIS_DATOS!$C$1525))+INDEX($F$8:$F$23,MIN(INT(($A1104-1)/70)+1,CROQUIS_DATOS!$C$1525))/2)))*CROQUIS_DATOS!$C$1562),-1000)</f>
        <v>82.8189655172414</v>
      </c>
      <c r="O1104">
        <f>IF(AND(CROQUIS_DATOS!$C$1472=1,1),(CROQUIS_DATOS!$C$1564+(IF(OR(IF(INT(($A1104-1)/70)+1&gt;CROQUIS_DATOS!$C$1525,70,MOD($A1104-1,70)+1)=1,IF(INT(($A1104-1)/70)+1&gt;CROQUIS_DATOS!$C$1525,70,MOD($A1104-1,70)+1)&gt;2*CROQUIS_DATOS!$C$1541+1),CROQUIS_DATOS!$C$1476,INDEX($H$8:$H$41,MIN(INT((IF(INT(($A1104-1)/70)+1&gt;CROQUIS_DATOS!$C$1525,70,MOD($A1104-1,70)+1)-2)/2)+1,CROQUIS_DATOS!$C$1541))))*CROQUIS_DATOS!$C$1561*CROQUIS_DATOS!$C$1562),-1000)</f>
        <v>40.2068965517241</v>
      </c>
    </row>
    <row r="1105">
      <c r="A1105" t="n">
        <v>1098</v>
      </c>
      <c r="N1105">
        <f>IF(AND(CROQUIS_DATOS!$C$1472=1,1),(CROQUIS_DATOS!$C$1563+(IF(IF(IF(INT(($A1105-1)/70)+1&gt;CROQUIS_DATOS!$C$1525,70,MOD($A1105-1,70)+1)=1,0,IF(IF(INT(($A1105-1)/70)+1&gt;CROQUIS_DATOS!$C$1525,70,MOD($A1105-1,70)+1)&gt;2*CROQUIS_DATOS!$C$1541+1,IF(MOD(CROQUIS_DATOS!$C$1541,2)=1,1,0),IF(MOD(MIN(INT((IF(INT(($A1105-1)/70)+1&gt;CROQUIS_DATOS!$C$1525,70,MOD($A1105-1,70)+1)-2)/2)+1,CROQUIS_DATOS!$C$1541),2)=1,IF(MOD(IF(INT(($A1105-1)/70)+1&gt;CROQUIS_DATOS!$C$1525,70,MOD($A1105-1,70)+1)-2,2)=0,0,1),IF(MOD(IF(INT(($A1105-1)/70)+1&gt;CROQUIS_DATOS!$C$1525,70,MOD($A1105-1,70)+1)-2,2)=0,1,0))))=0,(INDEX($E$8:$E$23,MIN(INT(($A1105-1)/70)+1,CROQUIS_DATOS!$C$1525))-INDEX($F$8:$F$23,MIN(INT(($A1105-1)/70)+1,CROQUIS_DATOS!$C$1525))/2),(INDEX($E$8:$E$23,MIN(INT(($A1105-1)/70)+1,CROQUIS_DATOS!$C$1525))+INDEX($F$8:$F$23,MIN(INT(($A1105-1)/70)+1,CROQUIS_DATOS!$C$1525))/2)))*CROQUIS_DATOS!$C$1562),-1000)</f>
        <v>82.8189655172414</v>
      </c>
      <c r="O1105">
        <f>IF(AND(CROQUIS_DATOS!$C$1472=1,1),(CROQUIS_DATOS!$C$1564+(IF(OR(IF(INT(($A1105-1)/70)+1&gt;CROQUIS_DATOS!$C$1525,70,MOD($A1105-1,70)+1)=1,IF(INT(($A1105-1)/70)+1&gt;CROQUIS_DATOS!$C$1525,70,MOD($A1105-1,70)+1)&gt;2*CROQUIS_DATOS!$C$1541+1),CROQUIS_DATOS!$C$1476,INDEX($H$8:$H$41,MIN(INT((IF(INT(($A1105-1)/70)+1&gt;CROQUIS_DATOS!$C$1525,70,MOD($A1105-1,70)+1)-2)/2)+1,CROQUIS_DATOS!$C$1541))))*CROQUIS_DATOS!$C$1561*CROQUIS_DATOS!$C$1562),-1000)</f>
        <v>40.2068965517241</v>
      </c>
    </row>
    <row r="1106">
      <c r="A1106" t="n">
        <v>1099</v>
      </c>
      <c r="N1106">
        <f>IF(AND(CROQUIS_DATOS!$C$1472=1,1),(CROQUIS_DATOS!$C$1563+(IF(IF(IF(INT(($A1106-1)/70)+1&gt;CROQUIS_DATOS!$C$1525,70,MOD($A1106-1,70)+1)=1,0,IF(IF(INT(($A1106-1)/70)+1&gt;CROQUIS_DATOS!$C$1525,70,MOD($A1106-1,70)+1)&gt;2*CROQUIS_DATOS!$C$1541+1,IF(MOD(CROQUIS_DATOS!$C$1541,2)=1,1,0),IF(MOD(MIN(INT((IF(INT(($A1106-1)/70)+1&gt;CROQUIS_DATOS!$C$1525,70,MOD($A1106-1,70)+1)-2)/2)+1,CROQUIS_DATOS!$C$1541),2)=1,IF(MOD(IF(INT(($A1106-1)/70)+1&gt;CROQUIS_DATOS!$C$1525,70,MOD($A1106-1,70)+1)-2,2)=0,0,1),IF(MOD(IF(INT(($A1106-1)/70)+1&gt;CROQUIS_DATOS!$C$1525,70,MOD($A1106-1,70)+1)-2,2)=0,1,0))))=0,(INDEX($E$8:$E$23,MIN(INT(($A1106-1)/70)+1,CROQUIS_DATOS!$C$1525))-INDEX($F$8:$F$23,MIN(INT(($A1106-1)/70)+1,CROQUIS_DATOS!$C$1525))/2),(INDEX($E$8:$E$23,MIN(INT(($A1106-1)/70)+1,CROQUIS_DATOS!$C$1525))+INDEX($F$8:$F$23,MIN(INT(($A1106-1)/70)+1,CROQUIS_DATOS!$C$1525))/2)))*CROQUIS_DATOS!$C$1562),-1000)</f>
        <v>82.8189655172414</v>
      </c>
      <c r="O1106">
        <f>IF(AND(CROQUIS_DATOS!$C$1472=1,1),(CROQUIS_DATOS!$C$1564+(IF(OR(IF(INT(($A1106-1)/70)+1&gt;CROQUIS_DATOS!$C$1525,70,MOD($A1106-1,70)+1)=1,IF(INT(($A1106-1)/70)+1&gt;CROQUIS_DATOS!$C$1525,70,MOD($A1106-1,70)+1)&gt;2*CROQUIS_DATOS!$C$1541+1),CROQUIS_DATOS!$C$1476,INDEX($H$8:$H$41,MIN(INT((IF(INT(($A1106-1)/70)+1&gt;CROQUIS_DATOS!$C$1525,70,MOD($A1106-1,70)+1)-2)/2)+1,CROQUIS_DATOS!$C$1541))))*CROQUIS_DATOS!$C$1561*CROQUIS_DATOS!$C$1562),-1000)</f>
        <v>40.2068965517241</v>
      </c>
    </row>
    <row r="1107">
      <c r="A1107" t="n">
        <v>1100</v>
      </c>
      <c r="N1107">
        <f>IF(AND(CROQUIS_DATOS!$C$1472=1,1),(CROQUIS_DATOS!$C$1563+(IF(IF(IF(INT(($A1107-1)/70)+1&gt;CROQUIS_DATOS!$C$1525,70,MOD($A1107-1,70)+1)=1,0,IF(IF(INT(($A1107-1)/70)+1&gt;CROQUIS_DATOS!$C$1525,70,MOD($A1107-1,70)+1)&gt;2*CROQUIS_DATOS!$C$1541+1,IF(MOD(CROQUIS_DATOS!$C$1541,2)=1,1,0),IF(MOD(MIN(INT((IF(INT(($A1107-1)/70)+1&gt;CROQUIS_DATOS!$C$1525,70,MOD($A1107-1,70)+1)-2)/2)+1,CROQUIS_DATOS!$C$1541),2)=1,IF(MOD(IF(INT(($A1107-1)/70)+1&gt;CROQUIS_DATOS!$C$1525,70,MOD($A1107-1,70)+1)-2,2)=0,0,1),IF(MOD(IF(INT(($A1107-1)/70)+1&gt;CROQUIS_DATOS!$C$1525,70,MOD($A1107-1,70)+1)-2,2)=0,1,0))))=0,(INDEX($E$8:$E$23,MIN(INT(($A1107-1)/70)+1,CROQUIS_DATOS!$C$1525))-INDEX($F$8:$F$23,MIN(INT(($A1107-1)/70)+1,CROQUIS_DATOS!$C$1525))/2),(INDEX($E$8:$E$23,MIN(INT(($A1107-1)/70)+1,CROQUIS_DATOS!$C$1525))+INDEX($F$8:$F$23,MIN(INT(($A1107-1)/70)+1,CROQUIS_DATOS!$C$1525))/2)))*CROQUIS_DATOS!$C$1562),-1000)</f>
        <v>82.8189655172414</v>
      </c>
      <c r="O1107">
        <f>IF(AND(CROQUIS_DATOS!$C$1472=1,1),(CROQUIS_DATOS!$C$1564+(IF(OR(IF(INT(($A1107-1)/70)+1&gt;CROQUIS_DATOS!$C$1525,70,MOD($A1107-1,70)+1)=1,IF(INT(($A1107-1)/70)+1&gt;CROQUIS_DATOS!$C$1525,70,MOD($A1107-1,70)+1)&gt;2*CROQUIS_DATOS!$C$1541+1),CROQUIS_DATOS!$C$1476,INDEX($H$8:$H$41,MIN(INT((IF(INT(($A1107-1)/70)+1&gt;CROQUIS_DATOS!$C$1525,70,MOD($A1107-1,70)+1)-2)/2)+1,CROQUIS_DATOS!$C$1541))))*CROQUIS_DATOS!$C$1561*CROQUIS_DATOS!$C$1562),-1000)</f>
        <v>40.2068965517241</v>
      </c>
    </row>
    <row r="1108">
      <c r="A1108" t="n">
        <v>1101</v>
      </c>
      <c r="N1108">
        <f>IF(AND(CROQUIS_DATOS!$C$1472=1,1),(CROQUIS_DATOS!$C$1563+(IF(IF(IF(INT(($A1108-1)/70)+1&gt;CROQUIS_DATOS!$C$1525,70,MOD($A1108-1,70)+1)=1,0,IF(IF(INT(($A1108-1)/70)+1&gt;CROQUIS_DATOS!$C$1525,70,MOD($A1108-1,70)+1)&gt;2*CROQUIS_DATOS!$C$1541+1,IF(MOD(CROQUIS_DATOS!$C$1541,2)=1,1,0),IF(MOD(MIN(INT((IF(INT(($A1108-1)/70)+1&gt;CROQUIS_DATOS!$C$1525,70,MOD($A1108-1,70)+1)-2)/2)+1,CROQUIS_DATOS!$C$1541),2)=1,IF(MOD(IF(INT(($A1108-1)/70)+1&gt;CROQUIS_DATOS!$C$1525,70,MOD($A1108-1,70)+1)-2,2)=0,0,1),IF(MOD(IF(INT(($A1108-1)/70)+1&gt;CROQUIS_DATOS!$C$1525,70,MOD($A1108-1,70)+1)-2,2)=0,1,0))))=0,(INDEX($E$8:$E$23,MIN(INT(($A1108-1)/70)+1,CROQUIS_DATOS!$C$1525))-INDEX($F$8:$F$23,MIN(INT(($A1108-1)/70)+1,CROQUIS_DATOS!$C$1525))/2),(INDEX($E$8:$E$23,MIN(INT(($A1108-1)/70)+1,CROQUIS_DATOS!$C$1525))+INDEX($F$8:$F$23,MIN(INT(($A1108-1)/70)+1,CROQUIS_DATOS!$C$1525))/2)))*CROQUIS_DATOS!$C$1562),-1000)</f>
        <v>82.8189655172414</v>
      </c>
      <c r="O1108">
        <f>IF(AND(CROQUIS_DATOS!$C$1472=1,1),(CROQUIS_DATOS!$C$1564+(IF(OR(IF(INT(($A1108-1)/70)+1&gt;CROQUIS_DATOS!$C$1525,70,MOD($A1108-1,70)+1)=1,IF(INT(($A1108-1)/70)+1&gt;CROQUIS_DATOS!$C$1525,70,MOD($A1108-1,70)+1)&gt;2*CROQUIS_DATOS!$C$1541+1),CROQUIS_DATOS!$C$1476,INDEX($H$8:$H$41,MIN(INT((IF(INT(($A1108-1)/70)+1&gt;CROQUIS_DATOS!$C$1525,70,MOD($A1108-1,70)+1)-2)/2)+1,CROQUIS_DATOS!$C$1541))))*CROQUIS_DATOS!$C$1561*CROQUIS_DATOS!$C$1562),-1000)</f>
        <v>40.2068965517241</v>
      </c>
    </row>
    <row r="1109">
      <c r="A1109" t="n">
        <v>1102</v>
      </c>
      <c r="N1109">
        <f>IF(AND(CROQUIS_DATOS!$C$1472=1,1),(CROQUIS_DATOS!$C$1563+(IF(IF(IF(INT(($A1109-1)/70)+1&gt;CROQUIS_DATOS!$C$1525,70,MOD($A1109-1,70)+1)=1,0,IF(IF(INT(($A1109-1)/70)+1&gt;CROQUIS_DATOS!$C$1525,70,MOD($A1109-1,70)+1)&gt;2*CROQUIS_DATOS!$C$1541+1,IF(MOD(CROQUIS_DATOS!$C$1541,2)=1,1,0),IF(MOD(MIN(INT((IF(INT(($A1109-1)/70)+1&gt;CROQUIS_DATOS!$C$1525,70,MOD($A1109-1,70)+1)-2)/2)+1,CROQUIS_DATOS!$C$1541),2)=1,IF(MOD(IF(INT(($A1109-1)/70)+1&gt;CROQUIS_DATOS!$C$1525,70,MOD($A1109-1,70)+1)-2,2)=0,0,1),IF(MOD(IF(INT(($A1109-1)/70)+1&gt;CROQUIS_DATOS!$C$1525,70,MOD($A1109-1,70)+1)-2,2)=0,1,0))))=0,(INDEX($E$8:$E$23,MIN(INT(($A1109-1)/70)+1,CROQUIS_DATOS!$C$1525))-INDEX($F$8:$F$23,MIN(INT(($A1109-1)/70)+1,CROQUIS_DATOS!$C$1525))/2),(INDEX($E$8:$E$23,MIN(INT(($A1109-1)/70)+1,CROQUIS_DATOS!$C$1525))+INDEX($F$8:$F$23,MIN(INT(($A1109-1)/70)+1,CROQUIS_DATOS!$C$1525))/2)))*CROQUIS_DATOS!$C$1562),-1000)</f>
        <v>82.8189655172414</v>
      </c>
      <c r="O1109">
        <f>IF(AND(CROQUIS_DATOS!$C$1472=1,1),(CROQUIS_DATOS!$C$1564+(IF(OR(IF(INT(($A1109-1)/70)+1&gt;CROQUIS_DATOS!$C$1525,70,MOD($A1109-1,70)+1)=1,IF(INT(($A1109-1)/70)+1&gt;CROQUIS_DATOS!$C$1525,70,MOD($A1109-1,70)+1)&gt;2*CROQUIS_DATOS!$C$1541+1),CROQUIS_DATOS!$C$1476,INDEX($H$8:$H$41,MIN(INT((IF(INT(($A1109-1)/70)+1&gt;CROQUIS_DATOS!$C$1525,70,MOD($A1109-1,70)+1)-2)/2)+1,CROQUIS_DATOS!$C$1541))))*CROQUIS_DATOS!$C$1561*CROQUIS_DATOS!$C$1562),-1000)</f>
        <v>40.2068965517241</v>
      </c>
    </row>
    <row r="1110">
      <c r="A1110" t="n">
        <v>1103</v>
      </c>
      <c r="N1110">
        <f>IF(AND(CROQUIS_DATOS!$C$1472=1,1),(CROQUIS_DATOS!$C$1563+(IF(IF(IF(INT(($A1110-1)/70)+1&gt;CROQUIS_DATOS!$C$1525,70,MOD($A1110-1,70)+1)=1,0,IF(IF(INT(($A1110-1)/70)+1&gt;CROQUIS_DATOS!$C$1525,70,MOD($A1110-1,70)+1)&gt;2*CROQUIS_DATOS!$C$1541+1,IF(MOD(CROQUIS_DATOS!$C$1541,2)=1,1,0),IF(MOD(MIN(INT((IF(INT(($A1110-1)/70)+1&gt;CROQUIS_DATOS!$C$1525,70,MOD($A1110-1,70)+1)-2)/2)+1,CROQUIS_DATOS!$C$1541),2)=1,IF(MOD(IF(INT(($A1110-1)/70)+1&gt;CROQUIS_DATOS!$C$1525,70,MOD($A1110-1,70)+1)-2,2)=0,0,1),IF(MOD(IF(INT(($A1110-1)/70)+1&gt;CROQUIS_DATOS!$C$1525,70,MOD($A1110-1,70)+1)-2,2)=0,1,0))))=0,(INDEX($E$8:$E$23,MIN(INT(($A1110-1)/70)+1,CROQUIS_DATOS!$C$1525))-INDEX($F$8:$F$23,MIN(INT(($A1110-1)/70)+1,CROQUIS_DATOS!$C$1525))/2),(INDEX($E$8:$E$23,MIN(INT(($A1110-1)/70)+1,CROQUIS_DATOS!$C$1525))+INDEX($F$8:$F$23,MIN(INT(($A1110-1)/70)+1,CROQUIS_DATOS!$C$1525))/2)))*CROQUIS_DATOS!$C$1562),-1000)</f>
        <v>82.8189655172414</v>
      </c>
      <c r="O1110">
        <f>IF(AND(CROQUIS_DATOS!$C$1472=1,1),(CROQUIS_DATOS!$C$1564+(IF(OR(IF(INT(($A1110-1)/70)+1&gt;CROQUIS_DATOS!$C$1525,70,MOD($A1110-1,70)+1)=1,IF(INT(($A1110-1)/70)+1&gt;CROQUIS_DATOS!$C$1525,70,MOD($A1110-1,70)+1)&gt;2*CROQUIS_DATOS!$C$1541+1),CROQUIS_DATOS!$C$1476,INDEX($H$8:$H$41,MIN(INT((IF(INT(($A1110-1)/70)+1&gt;CROQUIS_DATOS!$C$1525,70,MOD($A1110-1,70)+1)-2)/2)+1,CROQUIS_DATOS!$C$1541))))*CROQUIS_DATOS!$C$1561*CROQUIS_DATOS!$C$1562),-1000)</f>
        <v>40.2068965517241</v>
      </c>
    </row>
    <row r="1111">
      <c r="A1111" t="n">
        <v>1104</v>
      </c>
      <c r="N1111">
        <f>IF(AND(CROQUIS_DATOS!$C$1472=1,1),(CROQUIS_DATOS!$C$1563+(IF(IF(IF(INT(($A1111-1)/70)+1&gt;CROQUIS_DATOS!$C$1525,70,MOD($A1111-1,70)+1)=1,0,IF(IF(INT(($A1111-1)/70)+1&gt;CROQUIS_DATOS!$C$1525,70,MOD($A1111-1,70)+1)&gt;2*CROQUIS_DATOS!$C$1541+1,IF(MOD(CROQUIS_DATOS!$C$1541,2)=1,1,0),IF(MOD(MIN(INT((IF(INT(($A1111-1)/70)+1&gt;CROQUIS_DATOS!$C$1525,70,MOD($A1111-1,70)+1)-2)/2)+1,CROQUIS_DATOS!$C$1541),2)=1,IF(MOD(IF(INT(($A1111-1)/70)+1&gt;CROQUIS_DATOS!$C$1525,70,MOD($A1111-1,70)+1)-2,2)=0,0,1),IF(MOD(IF(INT(($A1111-1)/70)+1&gt;CROQUIS_DATOS!$C$1525,70,MOD($A1111-1,70)+1)-2,2)=0,1,0))))=0,(INDEX($E$8:$E$23,MIN(INT(($A1111-1)/70)+1,CROQUIS_DATOS!$C$1525))-INDEX($F$8:$F$23,MIN(INT(($A1111-1)/70)+1,CROQUIS_DATOS!$C$1525))/2),(INDEX($E$8:$E$23,MIN(INT(($A1111-1)/70)+1,CROQUIS_DATOS!$C$1525))+INDEX($F$8:$F$23,MIN(INT(($A1111-1)/70)+1,CROQUIS_DATOS!$C$1525))/2)))*CROQUIS_DATOS!$C$1562),-1000)</f>
        <v>82.8189655172414</v>
      </c>
      <c r="O1111">
        <f>IF(AND(CROQUIS_DATOS!$C$1472=1,1),(CROQUIS_DATOS!$C$1564+(IF(OR(IF(INT(($A1111-1)/70)+1&gt;CROQUIS_DATOS!$C$1525,70,MOD($A1111-1,70)+1)=1,IF(INT(($A1111-1)/70)+1&gt;CROQUIS_DATOS!$C$1525,70,MOD($A1111-1,70)+1)&gt;2*CROQUIS_DATOS!$C$1541+1),CROQUIS_DATOS!$C$1476,INDEX($H$8:$H$41,MIN(INT((IF(INT(($A1111-1)/70)+1&gt;CROQUIS_DATOS!$C$1525,70,MOD($A1111-1,70)+1)-2)/2)+1,CROQUIS_DATOS!$C$1541))))*CROQUIS_DATOS!$C$1561*CROQUIS_DATOS!$C$1562),-1000)</f>
        <v>40.2068965517241</v>
      </c>
    </row>
    <row r="1112">
      <c r="A1112" t="n">
        <v>1105</v>
      </c>
      <c r="N1112">
        <f>IF(AND(CROQUIS_DATOS!$C$1472=1,1),(CROQUIS_DATOS!$C$1563+(IF(IF(IF(INT(($A1112-1)/70)+1&gt;CROQUIS_DATOS!$C$1525,70,MOD($A1112-1,70)+1)=1,0,IF(IF(INT(($A1112-1)/70)+1&gt;CROQUIS_DATOS!$C$1525,70,MOD($A1112-1,70)+1)&gt;2*CROQUIS_DATOS!$C$1541+1,IF(MOD(CROQUIS_DATOS!$C$1541,2)=1,1,0),IF(MOD(MIN(INT((IF(INT(($A1112-1)/70)+1&gt;CROQUIS_DATOS!$C$1525,70,MOD($A1112-1,70)+1)-2)/2)+1,CROQUIS_DATOS!$C$1541),2)=1,IF(MOD(IF(INT(($A1112-1)/70)+1&gt;CROQUIS_DATOS!$C$1525,70,MOD($A1112-1,70)+1)-2,2)=0,0,1),IF(MOD(IF(INT(($A1112-1)/70)+1&gt;CROQUIS_DATOS!$C$1525,70,MOD($A1112-1,70)+1)-2,2)=0,1,0))))=0,(INDEX($E$8:$E$23,MIN(INT(($A1112-1)/70)+1,CROQUIS_DATOS!$C$1525))-INDEX($F$8:$F$23,MIN(INT(($A1112-1)/70)+1,CROQUIS_DATOS!$C$1525))/2),(INDEX($E$8:$E$23,MIN(INT(($A1112-1)/70)+1,CROQUIS_DATOS!$C$1525))+INDEX($F$8:$F$23,MIN(INT(($A1112-1)/70)+1,CROQUIS_DATOS!$C$1525))/2)))*CROQUIS_DATOS!$C$1562),-1000)</f>
        <v>82.8189655172414</v>
      </c>
      <c r="O1112">
        <f>IF(AND(CROQUIS_DATOS!$C$1472=1,1),(CROQUIS_DATOS!$C$1564+(IF(OR(IF(INT(($A1112-1)/70)+1&gt;CROQUIS_DATOS!$C$1525,70,MOD($A1112-1,70)+1)=1,IF(INT(($A1112-1)/70)+1&gt;CROQUIS_DATOS!$C$1525,70,MOD($A1112-1,70)+1)&gt;2*CROQUIS_DATOS!$C$1541+1),CROQUIS_DATOS!$C$1476,INDEX($H$8:$H$41,MIN(INT((IF(INT(($A1112-1)/70)+1&gt;CROQUIS_DATOS!$C$1525,70,MOD($A1112-1,70)+1)-2)/2)+1,CROQUIS_DATOS!$C$1541))))*CROQUIS_DATOS!$C$1561*CROQUIS_DATOS!$C$1562),-1000)</f>
        <v>40.2068965517241</v>
      </c>
    </row>
    <row r="1113">
      <c r="A1113" t="n">
        <v>1106</v>
      </c>
      <c r="N1113">
        <f>IF(AND(CROQUIS_DATOS!$C$1472=1,1),(CROQUIS_DATOS!$C$1563+(IF(IF(IF(INT(($A1113-1)/70)+1&gt;CROQUIS_DATOS!$C$1525,70,MOD($A1113-1,70)+1)=1,0,IF(IF(INT(($A1113-1)/70)+1&gt;CROQUIS_DATOS!$C$1525,70,MOD($A1113-1,70)+1)&gt;2*CROQUIS_DATOS!$C$1541+1,IF(MOD(CROQUIS_DATOS!$C$1541,2)=1,1,0),IF(MOD(MIN(INT((IF(INT(($A1113-1)/70)+1&gt;CROQUIS_DATOS!$C$1525,70,MOD($A1113-1,70)+1)-2)/2)+1,CROQUIS_DATOS!$C$1541),2)=1,IF(MOD(IF(INT(($A1113-1)/70)+1&gt;CROQUIS_DATOS!$C$1525,70,MOD($A1113-1,70)+1)-2,2)=0,0,1),IF(MOD(IF(INT(($A1113-1)/70)+1&gt;CROQUIS_DATOS!$C$1525,70,MOD($A1113-1,70)+1)-2,2)=0,1,0))))=0,(INDEX($E$8:$E$23,MIN(INT(($A1113-1)/70)+1,CROQUIS_DATOS!$C$1525))-INDEX($F$8:$F$23,MIN(INT(($A1113-1)/70)+1,CROQUIS_DATOS!$C$1525))/2),(INDEX($E$8:$E$23,MIN(INT(($A1113-1)/70)+1,CROQUIS_DATOS!$C$1525))+INDEX($F$8:$F$23,MIN(INT(($A1113-1)/70)+1,CROQUIS_DATOS!$C$1525))/2)))*CROQUIS_DATOS!$C$1562),-1000)</f>
        <v>82.8189655172414</v>
      </c>
      <c r="O1113">
        <f>IF(AND(CROQUIS_DATOS!$C$1472=1,1),(CROQUIS_DATOS!$C$1564+(IF(OR(IF(INT(($A1113-1)/70)+1&gt;CROQUIS_DATOS!$C$1525,70,MOD($A1113-1,70)+1)=1,IF(INT(($A1113-1)/70)+1&gt;CROQUIS_DATOS!$C$1525,70,MOD($A1113-1,70)+1)&gt;2*CROQUIS_DATOS!$C$1541+1),CROQUIS_DATOS!$C$1476,INDEX($H$8:$H$41,MIN(INT((IF(INT(($A1113-1)/70)+1&gt;CROQUIS_DATOS!$C$1525,70,MOD($A1113-1,70)+1)-2)/2)+1,CROQUIS_DATOS!$C$1541))))*CROQUIS_DATOS!$C$1561*CROQUIS_DATOS!$C$1562),-1000)</f>
        <v>40.2068965517241</v>
      </c>
    </row>
    <row r="1114">
      <c r="A1114" t="n">
        <v>1107</v>
      </c>
      <c r="N1114">
        <f>IF(AND(CROQUIS_DATOS!$C$1472=1,1),(CROQUIS_DATOS!$C$1563+(IF(IF(IF(INT(($A1114-1)/70)+1&gt;CROQUIS_DATOS!$C$1525,70,MOD($A1114-1,70)+1)=1,0,IF(IF(INT(($A1114-1)/70)+1&gt;CROQUIS_DATOS!$C$1525,70,MOD($A1114-1,70)+1)&gt;2*CROQUIS_DATOS!$C$1541+1,IF(MOD(CROQUIS_DATOS!$C$1541,2)=1,1,0),IF(MOD(MIN(INT((IF(INT(($A1114-1)/70)+1&gt;CROQUIS_DATOS!$C$1525,70,MOD($A1114-1,70)+1)-2)/2)+1,CROQUIS_DATOS!$C$1541),2)=1,IF(MOD(IF(INT(($A1114-1)/70)+1&gt;CROQUIS_DATOS!$C$1525,70,MOD($A1114-1,70)+1)-2,2)=0,0,1),IF(MOD(IF(INT(($A1114-1)/70)+1&gt;CROQUIS_DATOS!$C$1525,70,MOD($A1114-1,70)+1)-2,2)=0,1,0))))=0,(INDEX($E$8:$E$23,MIN(INT(($A1114-1)/70)+1,CROQUIS_DATOS!$C$1525))-INDEX($F$8:$F$23,MIN(INT(($A1114-1)/70)+1,CROQUIS_DATOS!$C$1525))/2),(INDEX($E$8:$E$23,MIN(INT(($A1114-1)/70)+1,CROQUIS_DATOS!$C$1525))+INDEX($F$8:$F$23,MIN(INT(($A1114-1)/70)+1,CROQUIS_DATOS!$C$1525))/2)))*CROQUIS_DATOS!$C$1562),-1000)</f>
        <v>82.8189655172414</v>
      </c>
      <c r="O1114">
        <f>IF(AND(CROQUIS_DATOS!$C$1472=1,1),(CROQUIS_DATOS!$C$1564+(IF(OR(IF(INT(($A1114-1)/70)+1&gt;CROQUIS_DATOS!$C$1525,70,MOD($A1114-1,70)+1)=1,IF(INT(($A1114-1)/70)+1&gt;CROQUIS_DATOS!$C$1525,70,MOD($A1114-1,70)+1)&gt;2*CROQUIS_DATOS!$C$1541+1),CROQUIS_DATOS!$C$1476,INDEX($H$8:$H$41,MIN(INT((IF(INT(($A1114-1)/70)+1&gt;CROQUIS_DATOS!$C$1525,70,MOD($A1114-1,70)+1)-2)/2)+1,CROQUIS_DATOS!$C$1541))))*CROQUIS_DATOS!$C$1561*CROQUIS_DATOS!$C$1562),-1000)</f>
        <v>40.2068965517241</v>
      </c>
    </row>
    <row r="1115">
      <c r="A1115" t="n">
        <v>1108</v>
      </c>
      <c r="N1115">
        <f>IF(AND(CROQUIS_DATOS!$C$1472=1,1),(CROQUIS_DATOS!$C$1563+(IF(IF(IF(INT(($A1115-1)/70)+1&gt;CROQUIS_DATOS!$C$1525,70,MOD($A1115-1,70)+1)=1,0,IF(IF(INT(($A1115-1)/70)+1&gt;CROQUIS_DATOS!$C$1525,70,MOD($A1115-1,70)+1)&gt;2*CROQUIS_DATOS!$C$1541+1,IF(MOD(CROQUIS_DATOS!$C$1541,2)=1,1,0),IF(MOD(MIN(INT((IF(INT(($A1115-1)/70)+1&gt;CROQUIS_DATOS!$C$1525,70,MOD($A1115-1,70)+1)-2)/2)+1,CROQUIS_DATOS!$C$1541),2)=1,IF(MOD(IF(INT(($A1115-1)/70)+1&gt;CROQUIS_DATOS!$C$1525,70,MOD($A1115-1,70)+1)-2,2)=0,0,1),IF(MOD(IF(INT(($A1115-1)/70)+1&gt;CROQUIS_DATOS!$C$1525,70,MOD($A1115-1,70)+1)-2,2)=0,1,0))))=0,(INDEX($E$8:$E$23,MIN(INT(($A1115-1)/70)+1,CROQUIS_DATOS!$C$1525))-INDEX($F$8:$F$23,MIN(INT(($A1115-1)/70)+1,CROQUIS_DATOS!$C$1525))/2),(INDEX($E$8:$E$23,MIN(INT(($A1115-1)/70)+1,CROQUIS_DATOS!$C$1525))+INDEX($F$8:$F$23,MIN(INT(($A1115-1)/70)+1,CROQUIS_DATOS!$C$1525))/2)))*CROQUIS_DATOS!$C$1562),-1000)</f>
        <v>82.8189655172414</v>
      </c>
      <c r="O1115">
        <f>IF(AND(CROQUIS_DATOS!$C$1472=1,1),(CROQUIS_DATOS!$C$1564+(IF(OR(IF(INT(($A1115-1)/70)+1&gt;CROQUIS_DATOS!$C$1525,70,MOD($A1115-1,70)+1)=1,IF(INT(($A1115-1)/70)+1&gt;CROQUIS_DATOS!$C$1525,70,MOD($A1115-1,70)+1)&gt;2*CROQUIS_DATOS!$C$1541+1),CROQUIS_DATOS!$C$1476,INDEX($H$8:$H$41,MIN(INT((IF(INT(($A1115-1)/70)+1&gt;CROQUIS_DATOS!$C$1525,70,MOD($A1115-1,70)+1)-2)/2)+1,CROQUIS_DATOS!$C$1541))))*CROQUIS_DATOS!$C$1561*CROQUIS_DATOS!$C$1562),-1000)</f>
        <v>40.2068965517241</v>
      </c>
    </row>
    <row r="1116">
      <c r="A1116" t="n">
        <v>1109</v>
      </c>
      <c r="N1116">
        <f>IF(AND(CROQUIS_DATOS!$C$1472=1,1),(CROQUIS_DATOS!$C$1563+(IF(IF(IF(INT(($A1116-1)/70)+1&gt;CROQUIS_DATOS!$C$1525,70,MOD($A1116-1,70)+1)=1,0,IF(IF(INT(($A1116-1)/70)+1&gt;CROQUIS_DATOS!$C$1525,70,MOD($A1116-1,70)+1)&gt;2*CROQUIS_DATOS!$C$1541+1,IF(MOD(CROQUIS_DATOS!$C$1541,2)=1,1,0),IF(MOD(MIN(INT((IF(INT(($A1116-1)/70)+1&gt;CROQUIS_DATOS!$C$1525,70,MOD($A1116-1,70)+1)-2)/2)+1,CROQUIS_DATOS!$C$1541),2)=1,IF(MOD(IF(INT(($A1116-1)/70)+1&gt;CROQUIS_DATOS!$C$1525,70,MOD($A1116-1,70)+1)-2,2)=0,0,1),IF(MOD(IF(INT(($A1116-1)/70)+1&gt;CROQUIS_DATOS!$C$1525,70,MOD($A1116-1,70)+1)-2,2)=0,1,0))))=0,(INDEX($E$8:$E$23,MIN(INT(($A1116-1)/70)+1,CROQUIS_DATOS!$C$1525))-INDEX($F$8:$F$23,MIN(INT(($A1116-1)/70)+1,CROQUIS_DATOS!$C$1525))/2),(INDEX($E$8:$E$23,MIN(INT(($A1116-1)/70)+1,CROQUIS_DATOS!$C$1525))+INDEX($F$8:$F$23,MIN(INT(($A1116-1)/70)+1,CROQUIS_DATOS!$C$1525))/2)))*CROQUIS_DATOS!$C$1562),-1000)</f>
        <v>82.8189655172414</v>
      </c>
      <c r="O1116">
        <f>IF(AND(CROQUIS_DATOS!$C$1472=1,1),(CROQUIS_DATOS!$C$1564+(IF(OR(IF(INT(($A1116-1)/70)+1&gt;CROQUIS_DATOS!$C$1525,70,MOD($A1116-1,70)+1)=1,IF(INT(($A1116-1)/70)+1&gt;CROQUIS_DATOS!$C$1525,70,MOD($A1116-1,70)+1)&gt;2*CROQUIS_DATOS!$C$1541+1),CROQUIS_DATOS!$C$1476,INDEX($H$8:$H$41,MIN(INT((IF(INT(($A1116-1)/70)+1&gt;CROQUIS_DATOS!$C$1525,70,MOD($A1116-1,70)+1)-2)/2)+1,CROQUIS_DATOS!$C$1541))))*CROQUIS_DATOS!$C$1561*CROQUIS_DATOS!$C$1562),-1000)</f>
        <v>40.2068965517241</v>
      </c>
    </row>
    <row r="1117">
      <c r="A1117" t="n">
        <v>1110</v>
      </c>
      <c r="N1117">
        <f>IF(AND(CROQUIS_DATOS!$C$1472=1,1),(CROQUIS_DATOS!$C$1563+(IF(IF(IF(INT(($A1117-1)/70)+1&gt;CROQUIS_DATOS!$C$1525,70,MOD($A1117-1,70)+1)=1,0,IF(IF(INT(($A1117-1)/70)+1&gt;CROQUIS_DATOS!$C$1525,70,MOD($A1117-1,70)+1)&gt;2*CROQUIS_DATOS!$C$1541+1,IF(MOD(CROQUIS_DATOS!$C$1541,2)=1,1,0),IF(MOD(MIN(INT((IF(INT(($A1117-1)/70)+1&gt;CROQUIS_DATOS!$C$1525,70,MOD($A1117-1,70)+1)-2)/2)+1,CROQUIS_DATOS!$C$1541),2)=1,IF(MOD(IF(INT(($A1117-1)/70)+1&gt;CROQUIS_DATOS!$C$1525,70,MOD($A1117-1,70)+1)-2,2)=0,0,1),IF(MOD(IF(INT(($A1117-1)/70)+1&gt;CROQUIS_DATOS!$C$1525,70,MOD($A1117-1,70)+1)-2,2)=0,1,0))))=0,(INDEX($E$8:$E$23,MIN(INT(($A1117-1)/70)+1,CROQUIS_DATOS!$C$1525))-INDEX($F$8:$F$23,MIN(INT(($A1117-1)/70)+1,CROQUIS_DATOS!$C$1525))/2),(INDEX($E$8:$E$23,MIN(INT(($A1117-1)/70)+1,CROQUIS_DATOS!$C$1525))+INDEX($F$8:$F$23,MIN(INT(($A1117-1)/70)+1,CROQUIS_DATOS!$C$1525))/2)))*CROQUIS_DATOS!$C$1562),-1000)</f>
        <v>82.8189655172414</v>
      </c>
      <c r="O1117">
        <f>IF(AND(CROQUIS_DATOS!$C$1472=1,1),(CROQUIS_DATOS!$C$1564+(IF(OR(IF(INT(($A1117-1)/70)+1&gt;CROQUIS_DATOS!$C$1525,70,MOD($A1117-1,70)+1)=1,IF(INT(($A1117-1)/70)+1&gt;CROQUIS_DATOS!$C$1525,70,MOD($A1117-1,70)+1)&gt;2*CROQUIS_DATOS!$C$1541+1),CROQUIS_DATOS!$C$1476,INDEX($H$8:$H$41,MIN(INT((IF(INT(($A1117-1)/70)+1&gt;CROQUIS_DATOS!$C$1525,70,MOD($A1117-1,70)+1)-2)/2)+1,CROQUIS_DATOS!$C$1541))))*CROQUIS_DATOS!$C$1561*CROQUIS_DATOS!$C$1562),-1000)</f>
        <v>40.2068965517241</v>
      </c>
    </row>
    <row r="1118">
      <c r="A1118" t="n">
        <v>1111</v>
      </c>
      <c r="N1118">
        <f>IF(AND(CROQUIS_DATOS!$C$1472=1,1),(CROQUIS_DATOS!$C$1563+(IF(IF(IF(INT(($A1118-1)/70)+1&gt;CROQUIS_DATOS!$C$1525,70,MOD($A1118-1,70)+1)=1,0,IF(IF(INT(($A1118-1)/70)+1&gt;CROQUIS_DATOS!$C$1525,70,MOD($A1118-1,70)+1)&gt;2*CROQUIS_DATOS!$C$1541+1,IF(MOD(CROQUIS_DATOS!$C$1541,2)=1,1,0),IF(MOD(MIN(INT((IF(INT(($A1118-1)/70)+1&gt;CROQUIS_DATOS!$C$1525,70,MOD($A1118-1,70)+1)-2)/2)+1,CROQUIS_DATOS!$C$1541),2)=1,IF(MOD(IF(INT(($A1118-1)/70)+1&gt;CROQUIS_DATOS!$C$1525,70,MOD($A1118-1,70)+1)-2,2)=0,0,1),IF(MOD(IF(INT(($A1118-1)/70)+1&gt;CROQUIS_DATOS!$C$1525,70,MOD($A1118-1,70)+1)-2,2)=0,1,0))))=0,(INDEX($E$8:$E$23,MIN(INT(($A1118-1)/70)+1,CROQUIS_DATOS!$C$1525))-INDEX($F$8:$F$23,MIN(INT(($A1118-1)/70)+1,CROQUIS_DATOS!$C$1525))/2),(INDEX($E$8:$E$23,MIN(INT(($A1118-1)/70)+1,CROQUIS_DATOS!$C$1525))+INDEX($F$8:$F$23,MIN(INT(($A1118-1)/70)+1,CROQUIS_DATOS!$C$1525))/2)))*CROQUIS_DATOS!$C$1562),-1000)</f>
        <v>82.8189655172414</v>
      </c>
      <c r="O1118">
        <f>IF(AND(CROQUIS_DATOS!$C$1472=1,1),(CROQUIS_DATOS!$C$1564+(IF(OR(IF(INT(($A1118-1)/70)+1&gt;CROQUIS_DATOS!$C$1525,70,MOD($A1118-1,70)+1)=1,IF(INT(($A1118-1)/70)+1&gt;CROQUIS_DATOS!$C$1525,70,MOD($A1118-1,70)+1)&gt;2*CROQUIS_DATOS!$C$1541+1),CROQUIS_DATOS!$C$1476,INDEX($H$8:$H$41,MIN(INT((IF(INT(($A1118-1)/70)+1&gt;CROQUIS_DATOS!$C$1525,70,MOD($A1118-1,70)+1)-2)/2)+1,CROQUIS_DATOS!$C$1541))))*CROQUIS_DATOS!$C$1561*CROQUIS_DATOS!$C$1562),-1000)</f>
        <v>40.2068965517241</v>
      </c>
    </row>
    <row r="1119">
      <c r="A1119" t="n">
        <v>1112</v>
      </c>
      <c r="N1119">
        <f>IF(AND(CROQUIS_DATOS!$C$1472=1,1),(CROQUIS_DATOS!$C$1563+(IF(IF(IF(INT(($A1119-1)/70)+1&gt;CROQUIS_DATOS!$C$1525,70,MOD($A1119-1,70)+1)=1,0,IF(IF(INT(($A1119-1)/70)+1&gt;CROQUIS_DATOS!$C$1525,70,MOD($A1119-1,70)+1)&gt;2*CROQUIS_DATOS!$C$1541+1,IF(MOD(CROQUIS_DATOS!$C$1541,2)=1,1,0),IF(MOD(MIN(INT((IF(INT(($A1119-1)/70)+1&gt;CROQUIS_DATOS!$C$1525,70,MOD($A1119-1,70)+1)-2)/2)+1,CROQUIS_DATOS!$C$1541),2)=1,IF(MOD(IF(INT(($A1119-1)/70)+1&gt;CROQUIS_DATOS!$C$1525,70,MOD($A1119-1,70)+1)-2,2)=0,0,1),IF(MOD(IF(INT(($A1119-1)/70)+1&gt;CROQUIS_DATOS!$C$1525,70,MOD($A1119-1,70)+1)-2,2)=0,1,0))))=0,(INDEX($E$8:$E$23,MIN(INT(($A1119-1)/70)+1,CROQUIS_DATOS!$C$1525))-INDEX($F$8:$F$23,MIN(INT(($A1119-1)/70)+1,CROQUIS_DATOS!$C$1525))/2),(INDEX($E$8:$E$23,MIN(INT(($A1119-1)/70)+1,CROQUIS_DATOS!$C$1525))+INDEX($F$8:$F$23,MIN(INT(($A1119-1)/70)+1,CROQUIS_DATOS!$C$1525))/2)))*CROQUIS_DATOS!$C$1562),-1000)</f>
        <v>82.8189655172414</v>
      </c>
      <c r="O1119">
        <f>IF(AND(CROQUIS_DATOS!$C$1472=1,1),(CROQUIS_DATOS!$C$1564+(IF(OR(IF(INT(($A1119-1)/70)+1&gt;CROQUIS_DATOS!$C$1525,70,MOD($A1119-1,70)+1)=1,IF(INT(($A1119-1)/70)+1&gt;CROQUIS_DATOS!$C$1525,70,MOD($A1119-1,70)+1)&gt;2*CROQUIS_DATOS!$C$1541+1),CROQUIS_DATOS!$C$1476,INDEX($H$8:$H$41,MIN(INT((IF(INT(($A1119-1)/70)+1&gt;CROQUIS_DATOS!$C$1525,70,MOD($A1119-1,70)+1)-2)/2)+1,CROQUIS_DATOS!$C$1541))))*CROQUIS_DATOS!$C$1561*CROQUIS_DATOS!$C$1562),-1000)</f>
        <v>40.2068965517241</v>
      </c>
    </row>
    <row r="1120">
      <c r="A1120" t="n">
        <v>1113</v>
      </c>
      <c r="N1120">
        <f>IF(AND(CROQUIS_DATOS!$C$1472=1,1),(CROQUIS_DATOS!$C$1563+(IF(IF(IF(INT(($A1120-1)/70)+1&gt;CROQUIS_DATOS!$C$1525,70,MOD($A1120-1,70)+1)=1,0,IF(IF(INT(($A1120-1)/70)+1&gt;CROQUIS_DATOS!$C$1525,70,MOD($A1120-1,70)+1)&gt;2*CROQUIS_DATOS!$C$1541+1,IF(MOD(CROQUIS_DATOS!$C$1541,2)=1,1,0),IF(MOD(MIN(INT((IF(INT(($A1120-1)/70)+1&gt;CROQUIS_DATOS!$C$1525,70,MOD($A1120-1,70)+1)-2)/2)+1,CROQUIS_DATOS!$C$1541),2)=1,IF(MOD(IF(INT(($A1120-1)/70)+1&gt;CROQUIS_DATOS!$C$1525,70,MOD($A1120-1,70)+1)-2,2)=0,0,1),IF(MOD(IF(INT(($A1120-1)/70)+1&gt;CROQUIS_DATOS!$C$1525,70,MOD($A1120-1,70)+1)-2,2)=0,1,0))))=0,(INDEX($E$8:$E$23,MIN(INT(($A1120-1)/70)+1,CROQUIS_DATOS!$C$1525))-INDEX($F$8:$F$23,MIN(INT(($A1120-1)/70)+1,CROQUIS_DATOS!$C$1525))/2),(INDEX($E$8:$E$23,MIN(INT(($A1120-1)/70)+1,CROQUIS_DATOS!$C$1525))+INDEX($F$8:$F$23,MIN(INT(($A1120-1)/70)+1,CROQUIS_DATOS!$C$1525))/2)))*CROQUIS_DATOS!$C$1562),-1000)</f>
        <v>82.8189655172414</v>
      </c>
      <c r="O1120">
        <f>IF(AND(CROQUIS_DATOS!$C$1472=1,1),(CROQUIS_DATOS!$C$1564+(IF(OR(IF(INT(($A1120-1)/70)+1&gt;CROQUIS_DATOS!$C$1525,70,MOD($A1120-1,70)+1)=1,IF(INT(($A1120-1)/70)+1&gt;CROQUIS_DATOS!$C$1525,70,MOD($A1120-1,70)+1)&gt;2*CROQUIS_DATOS!$C$1541+1),CROQUIS_DATOS!$C$1476,INDEX($H$8:$H$41,MIN(INT((IF(INT(($A1120-1)/70)+1&gt;CROQUIS_DATOS!$C$1525,70,MOD($A1120-1,70)+1)-2)/2)+1,CROQUIS_DATOS!$C$1541))))*CROQUIS_DATOS!$C$1561*CROQUIS_DATOS!$C$1562),-1000)</f>
        <v>40.2068965517241</v>
      </c>
    </row>
    <row r="1121">
      <c r="A1121" t="n">
        <v>1114</v>
      </c>
      <c r="N1121">
        <f>IF(AND(CROQUIS_DATOS!$C$1472=1,1),(CROQUIS_DATOS!$C$1563+(IF(IF(IF(INT(($A1121-1)/70)+1&gt;CROQUIS_DATOS!$C$1525,70,MOD($A1121-1,70)+1)=1,0,IF(IF(INT(($A1121-1)/70)+1&gt;CROQUIS_DATOS!$C$1525,70,MOD($A1121-1,70)+1)&gt;2*CROQUIS_DATOS!$C$1541+1,IF(MOD(CROQUIS_DATOS!$C$1541,2)=1,1,0),IF(MOD(MIN(INT((IF(INT(($A1121-1)/70)+1&gt;CROQUIS_DATOS!$C$1525,70,MOD($A1121-1,70)+1)-2)/2)+1,CROQUIS_DATOS!$C$1541),2)=1,IF(MOD(IF(INT(($A1121-1)/70)+1&gt;CROQUIS_DATOS!$C$1525,70,MOD($A1121-1,70)+1)-2,2)=0,0,1),IF(MOD(IF(INT(($A1121-1)/70)+1&gt;CROQUIS_DATOS!$C$1525,70,MOD($A1121-1,70)+1)-2,2)=0,1,0))))=0,(INDEX($E$8:$E$23,MIN(INT(($A1121-1)/70)+1,CROQUIS_DATOS!$C$1525))-INDEX($F$8:$F$23,MIN(INT(($A1121-1)/70)+1,CROQUIS_DATOS!$C$1525))/2),(INDEX($E$8:$E$23,MIN(INT(($A1121-1)/70)+1,CROQUIS_DATOS!$C$1525))+INDEX($F$8:$F$23,MIN(INT(($A1121-1)/70)+1,CROQUIS_DATOS!$C$1525))/2)))*CROQUIS_DATOS!$C$1562),-1000)</f>
        <v>82.8189655172414</v>
      </c>
      <c r="O1121">
        <f>IF(AND(CROQUIS_DATOS!$C$1472=1,1),(CROQUIS_DATOS!$C$1564+(IF(OR(IF(INT(($A1121-1)/70)+1&gt;CROQUIS_DATOS!$C$1525,70,MOD($A1121-1,70)+1)=1,IF(INT(($A1121-1)/70)+1&gt;CROQUIS_DATOS!$C$1525,70,MOD($A1121-1,70)+1)&gt;2*CROQUIS_DATOS!$C$1541+1),CROQUIS_DATOS!$C$1476,INDEX($H$8:$H$41,MIN(INT((IF(INT(($A1121-1)/70)+1&gt;CROQUIS_DATOS!$C$1525,70,MOD($A1121-1,70)+1)-2)/2)+1,CROQUIS_DATOS!$C$1541))))*CROQUIS_DATOS!$C$1561*CROQUIS_DATOS!$C$1562),-1000)</f>
        <v>40.2068965517241</v>
      </c>
    </row>
    <row r="1122">
      <c r="A1122" t="n">
        <v>1115</v>
      </c>
      <c r="N1122">
        <f>IF(AND(CROQUIS_DATOS!$C$1472=1,1),(CROQUIS_DATOS!$C$1563+(IF(IF(IF(INT(($A1122-1)/70)+1&gt;CROQUIS_DATOS!$C$1525,70,MOD($A1122-1,70)+1)=1,0,IF(IF(INT(($A1122-1)/70)+1&gt;CROQUIS_DATOS!$C$1525,70,MOD($A1122-1,70)+1)&gt;2*CROQUIS_DATOS!$C$1541+1,IF(MOD(CROQUIS_DATOS!$C$1541,2)=1,1,0),IF(MOD(MIN(INT((IF(INT(($A1122-1)/70)+1&gt;CROQUIS_DATOS!$C$1525,70,MOD($A1122-1,70)+1)-2)/2)+1,CROQUIS_DATOS!$C$1541),2)=1,IF(MOD(IF(INT(($A1122-1)/70)+1&gt;CROQUIS_DATOS!$C$1525,70,MOD($A1122-1,70)+1)-2,2)=0,0,1),IF(MOD(IF(INT(($A1122-1)/70)+1&gt;CROQUIS_DATOS!$C$1525,70,MOD($A1122-1,70)+1)-2,2)=0,1,0))))=0,(INDEX($E$8:$E$23,MIN(INT(($A1122-1)/70)+1,CROQUIS_DATOS!$C$1525))-INDEX($F$8:$F$23,MIN(INT(($A1122-1)/70)+1,CROQUIS_DATOS!$C$1525))/2),(INDEX($E$8:$E$23,MIN(INT(($A1122-1)/70)+1,CROQUIS_DATOS!$C$1525))+INDEX($F$8:$F$23,MIN(INT(($A1122-1)/70)+1,CROQUIS_DATOS!$C$1525))/2)))*CROQUIS_DATOS!$C$1562),-1000)</f>
        <v>82.8189655172414</v>
      </c>
      <c r="O1122">
        <f>IF(AND(CROQUIS_DATOS!$C$1472=1,1),(CROQUIS_DATOS!$C$1564+(IF(OR(IF(INT(($A1122-1)/70)+1&gt;CROQUIS_DATOS!$C$1525,70,MOD($A1122-1,70)+1)=1,IF(INT(($A1122-1)/70)+1&gt;CROQUIS_DATOS!$C$1525,70,MOD($A1122-1,70)+1)&gt;2*CROQUIS_DATOS!$C$1541+1),CROQUIS_DATOS!$C$1476,INDEX($H$8:$H$41,MIN(INT((IF(INT(($A1122-1)/70)+1&gt;CROQUIS_DATOS!$C$1525,70,MOD($A1122-1,70)+1)-2)/2)+1,CROQUIS_DATOS!$C$1541))))*CROQUIS_DATOS!$C$1561*CROQUIS_DATOS!$C$1562),-1000)</f>
        <v>40.2068965517241</v>
      </c>
    </row>
    <row r="1123">
      <c r="A1123" t="n">
        <v>1116</v>
      </c>
      <c r="N1123">
        <f>IF(AND(CROQUIS_DATOS!$C$1472=1,1),(CROQUIS_DATOS!$C$1563+(IF(IF(IF(INT(($A1123-1)/70)+1&gt;CROQUIS_DATOS!$C$1525,70,MOD($A1123-1,70)+1)=1,0,IF(IF(INT(($A1123-1)/70)+1&gt;CROQUIS_DATOS!$C$1525,70,MOD($A1123-1,70)+1)&gt;2*CROQUIS_DATOS!$C$1541+1,IF(MOD(CROQUIS_DATOS!$C$1541,2)=1,1,0),IF(MOD(MIN(INT((IF(INT(($A1123-1)/70)+1&gt;CROQUIS_DATOS!$C$1525,70,MOD($A1123-1,70)+1)-2)/2)+1,CROQUIS_DATOS!$C$1541),2)=1,IF(MOD(IF(INT(($A1123-1)/70)+1&gt;CROQUIS_DATOS!$C$1525,70,MOD($A1123-1,70)+1)-2,2)=0,0,1),IF(MOD(IF(INT(($A1123-1)/70)+1&gt;CROQUIS_DATOS!$C$1525,70,MOD($A1123-1,70)+1)-2,2)=0,1,0))))=0,(INDEX($E$8:$E$23,MIN(INT(($A1123-1)/70)+1,CROQUIS_DATOS!$C$1525))-INDEX($F$8:$F$23,MIN(INT(($A1123-1)/70)+1,CROQUIS_DATOS!$C$1525))/2),(INDEX($E$8:$E$23,MIN(INT(($A1123-1)/70)+1,CROQUIS_DATOS!$C$1525))+INDEX($F$8:$F$23,MIN(INT(($A1123-1)/70)+1,CROQUIS_DATOS!$C$1525))/2)))*CROQUIS_DATOS!$C$1562),-1000)</f>
        <v>82.8189655172414</v>
      </c>
      <c r="O1123">
        <f>IF(AND(CROQUIS_DATOS!$C$1472=1,1),(CROQUIS_DATOS!$C$1564+(IF(OR(IF(INT(($A1123-1)/70)+1&gt;CROQUIS_DATOS!$C$1525,70,MOD($A1123-1,70)+1)=1,IF(INT(($A1123-1)/70)+1&gt;CROQUIS_DATOS!$C$1525,70,MOD($A1123-1,70)+1)&gt;2*CROQUIS_DATOS!$C$1541+1),CROQUIS_DATOS!$C$1476,INDEX($H$8:$H$41,MIN(INT((IF(INT(($A1123-1)/70)+1&gt;CROQUIS_DATOS!$C$1525,70,MOD($A1123-1,70)+1)-2)/2)+1,CROQUIS_DATOS!$C$1541))))*CROQUIS_DATOS!$C$1561*CROQUIS_DATOS!$C$1562),-1000)</f>
        <v>40.2068965517241</v>
      </c>
    </row>
    <row r="1124">
      <c r="A1124" t="n">
        <v>1117</v>
      </c>
      <c r="N1124">
        <f>IF(AND(CROQUIS_DATOS!$C$1472=1,1),(CROQUIS_DATOS!$C$1563+(IF(IF(IF(INT(($A1124-1)/70)+1&gt;CROQUIS_DATOS!$C$1525,70,MOD($A1124-1,70)+1)=1,0,IF(IF(INT(($A1124-1)/70)+1&gt;CROQUIS_DATOS!$C$1525,70,MOD($A1124-1,70)+1)&gt;2*CROQUIS_DATOS!$C$1541+1,IF(MOD(CROQUIS_DATOS!$C$1541,2)=1,1,0),IF(MOD(MIN(INT((IF(INT(($A1124-1)/70)+1&gt;CROQUIS_DATOS!$C$1525,70,MOD($A1124-1,70)+1)-2)/2)+1,CROQUIS_DATOS!$C$1541),2)=1,IF(MOD(IF(INT(($A1124-1)/70)+1&gt;CROQUIS_DATOS!$C$1525,70,MOD($A1124-1,70)+1)-2,2)=0,0,1),IF(MOD(IF(INT(($A1124-1)/70)+1&gt;CROQUIS_DATOS!$C$1525,70,MOD($A1124-1,70)+1)-2,2)=0,1,0))))=0,(INDEX($E$8:$E$23,MIN(INT(($A1124-1)/70)+1,CROQUIS_DATOS!$C$1525))-INDEX($F$8:$F$23,MIN(INT(($A1124-1)/70)+1,CROQUIS_DATOS!$C$1525))/2),(INDEX($E$8:$E$23,MIN(INT(($A1124-1)/70)+1,CROQUIS_DATOS!$C$1525))+INDEX($F$8:$F$23,MIN(INT(($A1124-1)/70)+1,CROQUIS_DATOS!$C$1525))/2)))*CROQUIS_DATOS!$C$1562),-1000)</f>
        <v>82.8189655172414</v>
      </c>
      <c r="O1124">
        <f>IF(AND(CROQUIS_DATOS!$C$1472=1,1),(CROQUIS_DATOS!$C$1564+(IF(OR(IF(INT(($A1124-1)/70)+1&gt;CROQUIS_DATOS!$C$1525,70,MOD($A1124-1,70)+1)=1,IF(INT(($A1124-1)/70)+1&gt;CROQUIS_DATOS!$C$1525,70,MOD($A1124-1,70)+1)&gt;2*CROQUIS_DATOS!$C$1541+1),CROQUIS_DATOS!$C$1476,INDEX($H$8:$H$41,MIN(INT((IF(INT(($A1124-1)/70)+1&gt;CROQUIS_DATOS!$C$1525,70,MOD($A1124-1,70)+1)-2)/2)+1,CROQUIS_DATOS!$C$1541))))*CROQUIS_DATOS!$C$1561*CROQUIS_DATOS!$C$1562),-1000)</f>
        <v>40.2068965517241</v>
      </c>
    </row>
    <row r="1125">
      <c r="A1125" t="n">
        <v>1118</v>
      </c>
      <c r="N1125">
        <f>IF(AND(CROQUIS_DATOS!$C$1472=1,1),(CROQUIS_DATOS!$C$1563+(IF(IF(IF(INT(($A1125-1)/70)+1&gt;CROQUIS_DATOS!$C$1525,70,MOD($A1125-1,70)+1)=1,0,IF(IF(INT(($A1125-1)/70)+1&gt;CROQUIS_DATOS!$C$1525,70,MOD($A1125-1,70)+1)&gt;2*CROQUIS_DATOS!$C$1541+1,IF(MOD(CROQUIS_DATOS!$C$1541,2)=1,1,0),IF(MOD(MIN(INT((IF(INT(($A1125-1)/70)+1&gt;CROQUIS_DATOS!$C$1525,70,MOD($A1125-1,70)+1)-2)/2)+1,CROQUIS_DATOS!$C$1541),2)=1,IF(MOD(IF(INT(($A1125-1)/70)+1&gt;CROQUIS_DATOS!$C$1525,70,MOD($A1125-1,70)+1)-2,2)=0,0,1),IF(MOD(IF(INT(($A1125-1)/70)+1&gt;CROQUIS_DATOS!$C$1525,70,MOD($A1125-1,70)+1)-2,2)=0,1,0))))=0,(INDEX($E$8:$E$23,MIN(INT(($A1125-1)/70)+1,CROQUIS_DATOS!$C$1525))-INDEX($F$8:$F$23,MIN(INT(($A1125-1)/70)+1,CROQUIS_DATOS!$C$1525))/2),(INDEX($E$8:$E$23,MIN(INT(($A1125-1)/70)+1,CROQUIS_DATOS!$C$1525))+INDEX($F$8:$F$23,MIN(INT(($A1125-1)/70)+1,CROQUIS_DATOS!$C$1525))/2)))*CROQUIS_DATOS!$C$1562),-1000)</f>
        <v>82.8189655172414</v>
      </c>
      <c r="O1125">
        <f>IF(AND(CROQUIS_DATOS!$C$1472=1,1),(CROQUIS_DATOS!$C$1564+(IF(OR(IF(INT(($A1125-1)/70)+1&gt;CROQUIS_DATOS!$C$1525,70,MOD($A1125-1,70)+1)=1,IF(INT(($A1125-1)/70)+1&gt;CROQUIS_DATOS!$C$1525,70,MOD($A1125-1,70)+1)&gt;2*CROQUIS_DATOS!$C$1541+1),CROQUIS_DATOS!$C$1476,INDEX($H$8:$H$41,MIN(INT((IF(INT(($A1125-1)/70)+1&gt;CROQUIS_DATOS!$C$1525,70,MOD($A1125-1,70)+1)-2)/2)+1,CROQUIS_DATOS!$C$1541))))*CROQUIS_DATOS!$C$1561*CROQUIS_DATOS!$C$1562),-1000)</f>
        <v>40.2068965517241</v>
      </c>
    </row>
    <row r="1126">
      <c r="A1126" t="n">
        <v>1119</v>
      </c>
      <c r="N1126">
        <f>IF(AND(CROQUIS_DATOS!$C$1472=1,1),(CROQUIS_DATOS!$C$1563+(IF(IF(IF(INT(($A1126-1)/70)+1&gt;CROQUIS_DATOS!$C$1525,70,MOD($A1126-1,70)+1)=1,0,IF(IF(INT(($A1126-1)/70)+1&gt;CROQUIS_DATOS!$C$1525,70,MOD($A1126-1,70)+1)&gt;2*CROQUIS_DATOS!$C$1541+1,IF(MOD(CROQUIS_DATOS!$C$1541,2)=1,1,0),IF(MOD(MIN(INT((IF(INT(($A1126-1)/70)+1&gt;CROQUIS_DATOS!$C$1525,70,MOD($A1126-1,70)+1)-2)/2)+1,CROQUIS_DATOS!$C$1541),2)=1,IF(MOD(IF(INT(($A1126-1)/70)+1&gt;CROQUIS_DATOS!$C$1525,70,MOD($A1126-1,70)+1)-2,2)=0,0,1),IF(MOD(IF(INT(($A1126-1)/70)+1&gt;CROQUIS_DATOS!$C$1525,70,MOD($A1126-1,70)+1)-2,2)=0,1,0))))=0,(INDEX($E$8:$E$23,MIN(INT(($A1126-1)/70)+1,CROQUIS_DATOS!$C$1525))-INDEX($F$8:$F$23,MIN(INT(($A1126-1)/70)+1,CROQUIS_DATOS!$C$1525))/2),(INDEX($E$8:$E$23,MIN(INT(($A1126-1)/70)+1,CROQUIS_DATOS!$C$1525))+INDEX($F$8:$F$23,MIN(INT(($A1126-1)/70)+1,CROQUIS_DATOS!$C$1525))/2)))*CROQUIS_DATOS!$C$1562),-1000)</f>
        <v>82.8189655172414</v>
      </c>
      <c r="O1126">
        <f>IF(AND(CROQUIS_DATOS!$C$1472=1,1),(CROQUIS_DATOS!$C$1564+(IF(OR(IF(INT(($A1126-1)/70)+1&gt;CROQUIS_DATOS!$C$1525,70,MOD($A1126-1,70)+1)=1,IF(INT(($A1126-1)/70)+1&gt;CROQUIS_DATOS!$C$1525,70,MOD($A1126-1,70)+1)&gt;2*CROQUIS_DATOS!$C$1541+1),CROQUIS_DATOS!$C$1476,INDEX($H$8:$H$41,MIN(INT((IF(INT(($A1126-1)/70)+1&gt;CROQUIS_DATOS!$C$1525,70,MOD($A1126-1,70)+1)-2)/2)+1,CROQUIS_DATOS!$C$1541))))*CROQUIS_DATOS!$C$1561*CROQUIS_DATOS!$C$1562),-1000)</f>
        <v>40.2068965517241</v>
      </c>
    </row>
    <row r="1127">
      <c r="A1127" t="n">
        <v>1120</v>
      </c>
      <c r="N1127">
        <f>IF(AND(CROQUIS_DATOS!$C$1472=1,1),(CROQUIS_DATOS!$C$1563+(IF(IF(IF(INT(($A1127-1)/70)+1&gt;CROQUIS_DATOS!$C$1525,70,MOD($A1127-1,70)+1)=1,0,IF(IF(INT(($A1127-1)/70)+1&gt;CROQUIS_DATOS!$C$1525,70,MOD($A1127-1,70)+1)&gt;2*CROQUIS_DATOS!$C$1541+1,IF(MOD(CROQUIS_DATOS!$C$1541,2)=1,1,0),IF(MOD(MIN(INT((IF(INT(($A1127-1)/70)+1&gt;CROQUIS_DATOS!$C$1525,70,MOD($A1127-1,70)+1)-2)/2)+1,CROQUIS_DATOS!$C$1541),2)=1,IF(MOD(IF(INT(($A1127-1)/70)+1&gt;CROQUIS_DATOS!$C$1525,70,MOD($A1127-1,70)+1)-2,2)=0,0,1),IF(MOD(IF(INT(($A1127-1)/70)+1&gt;CROQUIS_DATOS!$C$1525,70,MOD($A1127-1,70)+1)-2,2)=0,1,0))))=0,(INDEX($E$8:$E$23,MIN(INT(($A1127-1)/70)+1,CROQUIS_DATOS!$C$1525))-INDEX($F$8:$F$23,MIN(INT(($A1127-1)/70)+1,CROQUIS_DATOS!$C$1525))/2),(INDEX($E$8:$E$23,MIN(INT(($A1127-1)/70)+1,CROQUIS_DATOS!$C$1525))+INDEX($F$8:$F$23,MIN(INT(($A1127-1)/70)+1,CROQUIS_DATOS!$C$1525))/2)))*CROQUIS_DATOS!$C$1562),-1000)</f>
        <v>82.8189655172414</v>
      </c>
      <c r="O1127">
        <f>IF(AND(CROQUIS_DATOS!$C$1472=1,1),(CROQUIS_DATOS!$C$1564+(IF(OR(IF(INT(($A1127-1)/70)+1&gt;CROQUIS_DATOS!$C$1525,70,MOD($A1127-1,70)+1)=1,IF(INT(($A1127-1)/70)+1&gt;CROQUIS_DATOS!$C$1525,70,MOD($A1127-1,70)+1)&gt;2*CROQUIS_DATOS!$C$1541+1),CROQUIS_DATOS!$C$1476,INDEX($H$8:$H$41,MIN(INT((IF(INT(($A1127-1)/70)+1&gt;CROQUIS_DATOS!$C$1525,70,MOD($A1127-1,70)+1)-2)/2)+1,CROQUIS_DATOS!$C$1541))))*CROQUIS_DATOS!$C$1561*CROQUIS_DATOS!$C$1562),-1000)</f>
        <v>40.2068965517241</v>
      </c>
    </row>
    <row r="1128">
      <c r="A1128" t="n">
        <v>1121</v>
      </c>
    </row>
    <row r="1129">
      <c r="A1129" t="n">
        <v>1122</v>
      </c>
    </row>
    <row r="1130">
      <c r="A1130" t="n">
        <v>1123</v>
      </c>
    </row>
    <row r="1131">
      <c r="A1131" t="n">
        <v>1124</v>
      </c>
    </row>
    <row r="1132">
      <c r="A1132" t="n">
        <v>1125</v>
      </c>
    </row>
    <row r="1133">
      <c r="A1133" t="n">
        <v>1126</v>
      </c>
    </row>
    <row r="1134">
      <c r="A1134" t="n">
        <v>1127</v>
      </c>
    </row>
    <row r="1135">
      <c r="A1135" t="n">
        <v>1128</v>
      </c>
    </row>
    <row r="1136">
      <c r="A1136" t="n">
        <v>1129</v>
      </c>
    </row>
    <row r="1137">
      <c r="A1137" t="n">
        <v>1130</v>
      </c>
    </row>
    <row r="1138">
      <c r="A1138" t="n">
        <v>1131</v>
      </c>
    </row>
    <row r="1139">
      <c r="A1139" t="n">
        <v>1132</v>
      </c>
    </row>
    <row r="1140">
      <c r="A1140" t="n">
        <v>1133</v>
      </c>
    </row>
    <row r="1141">
      <c r="A1141" t="n">
        <v>1134</v>
      </c>
    </row>
    <row r="1142">
      <c r="A1142" t="n">
        <v>1135</v>
      </c>
    </row>
    <row r="1143">
      <c r="A1143" t="n">
        <v>1136</v>
      </c>
    </row>
    <row r="1144">
      <c r="A1144" t="n">
        <v>1137</v>
      </c>
    </row>
    <row r="1145">
      <c r="A1145" t="n">
        <v>1138</v>
      </c>
    </row>
    <row r="1146">
      <c r="A1146" t="n">
        <v>1139</v>
      </c>
    </row>
    <row r="1147">
      <c r="A1147" t="n">
        <v>1140</v>
      </c>
    </row>
    <row r="1148">
      <c r="A1148" t="n">
        <v>1141</v>
      </c>
    </row>
    <row r="1149">
      <c r="A1149" t="n">
        <v>1142</v>
      </c>
    </row>
    <row r="1150">
      <c r="A1150" t="n">
        <v>1143</v>
      </c>
    </row>
    <row r="1151">
      <c r="A1151" t="n">
        <v>1144</v>
      </c>
    </row>
    <row r="1152">
      <c r="A1152" t="n">
        <v>1145</v>
      </c>
    </row>
    <row r="1153">
      <c r="A1153" t="n">
        <v>1146</v>
      </c>
    </row>
    <row r="1154">
      <c r="A1154" t="n">
        <v>1147</v>
      </c>
    </row>
    <row r="1155">
      <c r="A1155" t="n">
        <v>1148</v>
      </c>
    </row>
    <row r="1156">
      <c r="A1156" t="n">
        <v>1149</v>
      </c>
    </row>
    <row r="1157">
      <c r="A1157" t="n">
        <v>1150</v>
      </c>
    </row>
    <row r="1158">
      <c r="A1158" t="n">
        <v>1151</v>
      </c>
    </row>
    <row r="1159">
      <c r="A1159" t="n">
        <v>1152</v>
      </c>
    </row>
    <row r="1160">
      <c r="A1160" t="n">
        <v>1153</v>
      </c>
    </row>
    <row r="1161">
      <c r="A1161" t="n">
        <v>1154</v>
      </c>
    </row>
    <row r="1162">
      <c r="A1162" t="n">
        <v>1155</v>
      </c>
    </row>
    <row r="1163">
      <c r="A1163" t="n">
        <v>1156</v>
      </c>
    </row>
    <row r="1164">
      <c r="A1164" t="n">
        <v>1157</v>
      </c>
    </row>
    <row r="1165">
      <c r="A1165" t="n">
        <v>1158</v>
      </c>
    </row>
    <row r="1166">
      <c r="A1166" t="n">
        <v>1159</v>
      </c>
    </row>
    <row r="1167">
      <c r="A1167" t="n">
        <v>1160</v>
      </c>
    </row>
    <row r="1168">
      <c r="A1168" t="n">
        <v>1161</v>
      </c>
    </row>
    <row r="1169">
      <c r="A1169" t="n">
        <v>1162</v>
      </c>
    </row>
    <row r="1170">
      <c r="A1170" t="n">
        <v>1163</v>
      </c>
    </row>
    <row r="1171">
      <c r="A1171" t="n">
        <v>1164</v>
      </c>
    </row>
    <row r="1172">
      <c r="A1172" t="n">
        <v>1165</v>
      </c>
    </row>
    <row r="1173">
      <c r="A1173" t="n">
        <v>1166</v>
      </c>
    </row>
    <row r="1174">
      <c r="A1174" t="n">
        <v>1167</v>
      </c>
    </row>
    <row r="1175">
      <c r="A1175" t="n">
        <v>1168</v>
      </c>
    </row>
    <row r="1176">
      <c r="A1176" t="n">
        <v>1169</v>
      </c>
    </row>
    <row r="1177">
      <c r="A1177" t="n">
        <v>1170</v>
      </c>
    </row>
    <row r="1178">
      <c r="A1178" t="n">
        <v>1171</v>
      </c>
    </row>
    <row r="1179">
      <c r="A1179" t="n">
        <v>1172</v>
      </c>
    </row>
    <row r="1180">
      <c r="A1180" t="n">
        <v>1173</v>
      </c>
    </row>
    <row r="1181">
      <c r="A1181" t="n">
        <v>1174</v>
      </c>
    </row>
    <row r="1182">
      <c r="A1182" t="n">
        <v>1175</v>
      </c>
    </row>
    <row r="1183">
      <c r="A1183" t="n">
        <v>1176</v>
      </c>
    </row>
    <row r="1184">
      <c r="A1184" t="n">
        <v>1177</v>
      </c>
    </row>
    <row r="1185">
      <c r="A1185" t="n">
        <v>1178</v>
      </c>
    </row>
    <row r="1186">
      <c r="A1186" t="n">
        <v>1179</v>
      </c>
    </row>
    <row r="1187">
      <c r="A1187" t="n">
        <v>1180</v>
      </c>
    </row>
    <row r="1188">
      <c r="A1188" t="n">
        <v>1181</v>
      </c>
    </row>
    <row r="1189">
      <c r="A1189" t="n">
        <v>1182</v>
      </c>
    </row>
    <row r="1190">
      <c r="A1190" t="n">
        <v>1183</v>
      </c>
    </row>
    <row r="1191">
      <c r="A1191" t="n">
        <v>1184</v>
      </c>
    </row>
    <row r="1192">
      <c r="A1192" t="n">
        <v>1185</v>
      </c>
    </row>
    <row r="1193">
      <c r="A1193" t="n">
        <v>1186</v>
      </c>
    </row>
    <row r="1194">
      <c r="A1194" t="n">
        <v>1187</v>
      </c>
    </row>
    <row r="1195">
      <c r="A1195" t="n">
        <v>1188</v>
      </c>
    </row>
    <row r="1196">
      <c r="A1196" t="n">
        <v>1189</v>
      </c>
    </row>
    <row r="1197">
      <c r="A1197" t="n">
        <v>1190</v>
      </c>
    </row>
    <row r="1198">
      <c r="A1198" t="n">
        <v>1191</v>
      </c>
    </row>
    <row r="1199">
      <c r="A1199" t="n">
        <v>1192</v>
      </c>
    </row>
    <row r="1200">
      <c r="A1200" t="n">
        <v>1193</v>
      </c>
    </row>
    <row r="1201">
      <c r="A1201" t="n">
        <v>1194</v>
      </c>
    </row>
    <row r="1202">
      <c r="A1202" t="n">
        <v>1195</v>
      </c>
    </row>
    <row r="1203">
      <c r="A1203" t="n">
        <v>1196</v>
      </c>
    </row>
    <row r="1204">
      <c r="A1204" t="n">
        <v>1197</v>
      </c>
    </row>
    <row r="1205">
      <c r="A1205" t="n">
        <v>1198</v>
      </c>
    </row>
    <row r="1206">
      <c r="A1206" t="n">
        <v>1199</v>
      </c>
    </row>
    <row r="1207">
      <c r="A1207" t="n">
        <v>1200</v>
      </c>
    </row>
    <row r="1211">
      <c r="A1211" s="100" t="inlineStr">
        <is>
          <t>TEXTOS DE LEYENDAS Y COTAS</t>
        </is>
      </c>
    </row>
    <row r="1212">
      <c r="A1212" t="str">
        <f>"Castillos "&amp;DATOS!$C$59&amp;"×"&amp;DATOS!$C$60&amp;" ("&amp;INDEX(MUROS!$CK$11:$CK$70,DETALLE!$C$7)&amp;")"&amp;IF(CROQUIS_DATOS!$C$1524&gt;16," — se dibujan 16","")</f>
        <v>Castillos 15×15 (6)</v>
      </c>
    </row>
    <row r="1213">
      <c r="A1213" t="str">
        <f>"Varillas: "&amp;DATOS!$C$61&amp;" No. "&amp;DATOS!$C$62&amp;IF(OR(INDEX(MUROS!$AC$11:$AC$70,DETALLE!$C$7)&lt;&gt;"",INDEX(MUROS!$AD$11:$AD$70,DETALLE!$C$7)&lt;&gt;"")," (extremos "&amp;IF(ISNUMBER(INDEX(MUROS!$AC$11:$AC$70,DETALLE!$C$7)),INDEX(MUROS!$AC$11:$AC$70,DETALLE!$C$7),DATOS!$C$61)&amp;" No. "&amp;IF(INDEX(MUROS!$AD$11:$AD$70,DETALLE!$C$7)&lt;&gt;"",INDEX(MUROS!$AD$11:$AD$70,DETALLE!$C$7),DATOS!$C$62)&amp;")","")</f>
        <v>Varillas: 4 No. 3</v>
      </c>
    </row>
    <row r="1214">
      <c r="A1214" t="str">
        <f>"Estribos No. "&amp;DATOS!$C$63&amp;" @ "&amp;DATOS!$C$64&amp;" (@ "&amp;DATOS!$C$65&amp;" en los extremos)"</f>
        <v>Estribos No. 2 @ 20 (@ 7.5 en los extremos)</v>
      </c>
    </row>
    <row r="1215">
      <c r="A1215" t="str">
        <f>IF(AND(CROQUIS_DATOS!$C$1472=1,CROQUIS_DATOS!$C$1555=1),"Refuerzo horizontal: "&amp;IF(INDEX(MUROS!$AE$11:$AE$70,DETALLE!$C$7)="MALLA","malla "&amp;IF(INDEX(MUROS!$AG$11:$AG$70,DETALLE!$C$7)&lt;&gt;"",INDEX(MUROS!$AG$11:$AG$70,DETALLE!$C$7),DATOS!$C$74),IF(ISNUMBER(INDEX(MUROS!$AF$11:$AF$70,DETALLE!$C$7)),INDEX(MUROS!$AF$11:$AF$70,DETALLE!$C$7),2)&amp;" × "&amp;IF(INDEX(MUROS!$AG$11:$AG$70,DETALLE!$C$7)&lt;&gt;"",INDEX(MUROS!$AG$11:$AG$70,DETALLE!$C$7),DATOS!$C$73)&amp;" cada "&amp;IF(ISNUMBER(INDEX(MUROS!$AH$11:$AH$70,DETALLE!$C$7)),INDEX(MUROS!$AH$11:$AH$70,DETALLE!$C$7),2)&amp;" hiladas"),"Sin refuerzo horizontal")</f>
        <v>Sin refuerzo horizontal</v>
      </c>
    </row>
    <row r="1216">
      <c r="A1216" t="str">
        <f>"Dala "&amp;DATOS!$C$68&amp;"×"&amp;DATOS!$C$67&amp;": "&amp;DATOS!$C$69&amp;" No. "&amp;DATOS!$C$70&amp;", E No. "&amp;DATOS!$C$63&amp;" @ "&amp;DATOS!$C$71</f>
        <v>Dala 15×20: 4 No. 3, E No. 2 @ 20</v>
      </c>
    </row>
    <row r="1217">
      <c r="A1217" t="str">
        <f>"Dala o losa de desplante"</f>
        <v>Dala o losa de desplante</v>
      </c>
    </row>
    <row r="1218">
      <c r="A1218" t="str">
        <f>IF(AND(CROQUIS_DATOS!$C$1472=1,CROQUIS_DATOS!$C$1544=1),"Viga de apoyo "&amp;INDEX(MUROS!$AJ$11:$AJ$70,DETALLE!$C$7)&amp;" "&amp;CROQUIS_DATOS!$C$1545&amp;"×"&amp;CROQUIS_DATOS!$C$1546,"Sin viga de apoyo")</f>
        <v>Sin viga de apoyo</v>
      </c>
    </row>
    <row r="1219">
      <c r="A1219" t="str">
        <f>IF(AND(CROQUIS_DATOS!$C$1472=1,CROQUIS_DATOS!$C$1478&gt;=1),"Vanos con cerramiento (y repisón en ventanas)","Sin vanos")</f>
        <v>Vanos con cerramiento (y repisón en ventanas)</v>
      </c>
    </row>
    <row r="1220">
      <c r="A1220" t="str">
        <f>"Muro "&amp;CROQUIS_DATOS!$C$1473&amp;" · t = "&amp;CROQUIS_DATOS!$C$1477&amp;" cm"&amp;IF(CROQUIS_DATOS!$C$1561&gt;1," · escala vertical ×"&amp;CROQUIS_DATOS!$C$1561,"")</f>
        <v>Muro M-2 · t = 15 cm</v>
      </c>
    </row>
    <row r="1221">
      <c r="A1221" t="str">
        <f>"Mampostería"</f>
        <v>Mampostería</v>
      </c>
    </row>
    <row r="1222">
      <c r="A1222" t="str">
        <f>"Dala"</f>
        <v>Dala</v>
      </c>
    </row>
    <row r="1223">
      <c r="A1223" t="str">
        <f>"Dala o losa de desplante"</f>
        <v>Dala o losa de desplante</v>
      </c>
    </row>
    <row r="1224">
      <c r="A1224" t="str">
        <f>IF(AND(CROQUIS_DATOS!$C$1472=1,CROQUIS_DATOS!$C$1544=1),"Viga de apoyo","Sin viga de apoyo")</f>
        <v>Sin viga de apoyo</v>
      </c>
    </row>
    <row r="1225">
      <c r="A1225" t="str">
        <f>IF(AND(CROQUIS_DATOS!$C$1472=1,CROQUIS_DATOS!$C$1478&gt;=1),IF(CROQUIS_DATOS!$C$1478&gt;=1,LEFT(CROQUIS_DATOS!$C$1483,1)&amp;" "&amp;TEXT(CROQUIS_DATOS!$C$1480/100,"0.00")&amp;"×"&amp;TEXT(CROQUIS_DATOS!$C$1482/100,"0.00"),""),"—")</f>
        <v>P 0.90×2.10</v>
      </c>
    </row>
    <row r="1226">
      <c r="A1226" t="str">
        <f>IF(AND(CROQUIS_DATOS!$C$1472=1,CROQUIS_DATOS!$C$1478&gt;=2),IF(CROQUIS_DATOS!$C$1478&gt;=2,LEFT(CROQUIS_DATOS!$C$1488,1)&amp;" "&amp;TEXT(CROQUIS_DATOS!$C$1485/100,"0.00")&amp;"×"&amp;TEXT(CROQUIS_DATOS!$C$1487/100,"0.00"),""),"—")</f>
        <v>V 1.50×1.20</v>
      </c>
    </row>
    <row r="1227">
      <c r="A1227" t="str">
        <f>IF(AND(CROQUIS_DATOS!$C$1472=1,CROQUIS_DATOS!$C$1478&gt;=3),IF(CROQUIS_DATOS!$C$1478&gt;=3,LEFT(CROQUIS_DATOS!$C$1493,1)&amp;" "&amp;TEXT(CROQUIS_DATOS!$C$1490/100,"0.00")&amp;"×"&amp;TEXT(CROQUIS_DATOS!$C$1492/100,"0.00"),""),"—")</f>
        <v>—</v>
      </c>
    </row>
    <row r="1228">
      <c r="A1228" t="str">
        <f>IF(AND(CROQUIS_DATOS!$C$1472=1,CROQUIS_DATOS!$C$1478&gt;=4),IF(CROQUIS_DATOS!$C$1478&gt;=4,LEFT(CROQUIS_DATOS!$C$1498,1)&amp;" "&amp;TEXT(CROQUIS_DATOS!$C$1495/100,"0.00")&amp;"×"&amp;TEXT(CROQUIS_DATOS!$C$1497/100,"0.00"),""),"—")</f>
        <v>—</v>
      </c>
    </row>
    <row r="1229">
      <c r="A1229" t="str">
        <f>IF(AND(CROQUIS_DATOS!$C$1472=1,CROQUIS_DATOS!$C$1500&gt;0.5,CROQUIS_DATOS!$C$1478&gt;0),TEXT(CROQUIS_DATOS!$C$1500/100,"0.00"),"—")</f>
        <v>0.40</v>
      </c>
    </row>
    <row r="1230">
      <c r="A1230" t="str">
        <f>IF(AND(CROQUIS_DATOS!$C$1472=1,CROQUIS_DATOS!$C$1478&gt;=1),"("&amp;TEXT(CROQUIS_DATOS!$C$1480/100,"0.00")&amp;")","—")</f>
        <v>(0.90)</v>
      </c>
    </row>
    <row r="1231">
      <c r="A1231" t="str">
        <f>IF(AND(CROQUIS_DATOS!$C$1472=1,CROQUIS_DATOS!$C$1504&gt;0.5,CROQUIS_DATOS!$C$1478&gt;0),TEXT(CROQUIS_DATOS!$C$1504/100,"0.00"),"—")</f>
        <v>1.00</v>
      </c>
    </row>
    <row r="1232">
      <c r="A1232" t="str">
        <f>IF(AND(CROQUIS_DATOS!$C$1472=1,CROQUIS_DATOS!$C$1478&gt;=2),"("&amp;TEXT(CROQUIS_DATOS!$C$1485/100,"0.00")&amp;")","—")</f>
        <v>(1.50)</v>
      </c>
    </row>
    <row r="1233">
      <c r="A1233" t="str">
        <f>IF(AND(CROQUIS_DATOS!$C$1472=1,CROQUIS_DATOS!$C$1508&gt;0.5,CROQUIS_DATOS!$C$1478&gt;0),TEXT(CROQUIS_DATOS!$C$1508/100,"0.00"),"—")</f>
        <v>1.20</v>
      </c>
    </row>
    <row r="1234">
      <c r="A1234" t="str">
        <f>IF(AND(CROQUIS_DATOS!$C$1472=1,CROQUIS_DATOS!$C$1478&gt;=3),"("&amp;TEXT(CROQUIS_DATOS!$C$1490/100,"0.00")&amp;")","—")</f>
        <v>—</v>
      </c>
    </row>
    <row r="1235">
      <c r="A1235" t="str">
        <f>IF(AND(CROQUIS_DATOS!$C$1472=1,CROQUIS_DATOS!$C$1512&gt;0.5,CROQUIS_DATOS!$C$1478&gt;0),TEXT(CROQUIS_DATOS!$C$1512/100,"0.00"),"—")</f>
        <v>—</v>
      </c>
    </row>
    <row r="1236">
      <c r="A1236" t="str">
        <f>IF(AND(CROQUIS_DATOS!$C$1472=1,CROQUIS_DATOS!$C$1478&gt;=4),"("&amp;TEXT(CROQUIS_DATOS!$C$1495/100,"0.00")&amp;")","—")</f>
        <v>—</v>
      </c>
    </row>
    <row r="1237">
      <c r="A1237" t="str">
        <f>IF(AND(CROQUIS_DATOS!$C$1472=1,CROQUIS_DATOS!$C$1516&gt;0.5,CROQUIS_DATOS!$C$1478&gt;0),TEXT(CROQUIS_DATOS!$C$1516/100,"0.00"),"—")</f>
        <v>—</v>
      </c>
    </row>
    <row r="1238">
      <c r="A1238" t="str">
        <f>"L = "&amp;TEXT(CROQUIS_DATOS!$C$1475/100,"0.00")&amp;" m"</f>
        <v>L = 5.00 m</v>
      </c>
    </row>
    <row r="1239">
      <c r="A1239" t="str">
        <f>"H = "&amp;TEXT(CROQUIS_DATOS!$C$1476/100,"0.00")&amp;" m"</f>
        <v>H = 2.50 m</v>
      </c>
    </row>
    <row r="1240">
      <c r="A1240" t="str">
        <f>"h_d = "&amp;DATOS!$C$67</f>
        <v>h_d = 20</v>
      </c>
    </row>
    <row r="1241">
      <c r="A1241" t="str">
        <f>IF(AND(CROQUIS_DATOS!$C$1472=1,CROQUIS_DATOS!$C$1478&gt;=1,CROQUIS_DATOS!$C$1481&gt;0),"ant. "&amp;TEXT(CROQUIS_DATOS!$C$1481/100,"0.00"),"—")</f>
        <v>—</v>
      </c>
    </row>
    <row r="1242">
      <c r="A1242" t="str">
        <f>IF(AND(CROQUIS_DATOS!$C$1472=1,CROQUIS_DATOS!$C$1478&gt;=2,CROQUIS_DATOS!$C$1486&gt;0),"ant. "&amp;TEXT(CROQUIS_DATOS!$C$1486/100,"0.00"),"—")</f>
        <v>ant. 0.90</v>
      </c>
    </row>
    <row r="1243">
      <c r="A1243" t="str">
        <f>IF(AND(CROQUIS_DATOS!$C$1472=1,CROQUIS_DATOS!$C$1478&gt;=3,CROQUIS_DATOS!$C$1491&gt;0),"ant. "&amp;TEXT(CROQUIS_DATOS!$C$1491/100,"0.00"),"—")</f>
        <v>—</v>
      </c>
    </row>
    <row r="1244">
      <c r="A1244" t="str">
        <f>IF(AND(CROQUIS_DATOS!$C$1472=1,CROQUIS_DATOS!$C$1478&gt;=4,CROQUIS_DATOS!$C$1496&gt;0),"ant. "&amp;TEXT(CROQUIS_DATOS!$C$1496/100,"0.00"),"—")</f>
        <v>—</v>
      </c>
    </row>
    <row r="1245">
      <c r="A1245" t="str">
        <f>"Castillos"</f>
        <v>Castillos</v>
      </c>
    </row>
    <row r="1246">
      <c r="A1246" t="str">
        <f>"Sección crítica: ΣL = "&amp;TEXT(INDEX(MUROS!$CB$11:$CB$70,DETALLE!$C$7),"0.00")&amp;" m"</f>
        <v>Sección crítica: ΣL = 2.60 m</v>
      </c>
    </row>
    <row r="1247">
      <c r="A1247" t="str">
        <f>IF(AND(CROQUIS_DATOS!$C$1472=1,OR(CROQUIS_DATOS!$C$1501+CROQUIS_DATOS!$C$1505+CROQUIS_DATOS!$C$1509+CROQUIS_DATOS!$C$1513+CROQUIS_DATOS!$C$1517&lt;CROQUIS_DATOS!$C$1478+1)),"Machón (no cuenta)","Tramos de muro")</f>
        <v>Tramos de muro</v>
      </c>
    </row>
    <row r="1248">
      <c r="A1248" t="str">
        <f>IF(AND(CROQUIS_DATOS!$C$1472=1,CROQUIS_DATOS!$C$1500&gt;0.5,CROQUIS_DATOS!$C$1501=1),IF(AND(CROQUIS_DATOS!$C$1500&gt;0.5,CROQUIS_DATOS!$C$1501=1),"T1: "&amp;TEXT(CROQUIS_DATOS!$C$1500/100,"0.00")&amp;" m · V_mR "&amp;TEXT(INDEX(MUROS!$DD$11:$DD$70,DETALLE!$C$7),"0.0")&amp;IF(INDEX(MUROS!$DU$11:$DU$70,DETALLE!$C$7)&gt;0," + V_sR "&amp;TEXT(INDEX(MUROS!$DU$11:$DU$70,DETALLE!$C$7),"0.0"),"")&amp;" t",""),"—")</f>
        <v>T1: 0.40 m · V_mR 0.7 t</v>
      </c>
    </row>
    <row r="1249">
      <c r="A1249" t="str">
        <f>IF(AND(CROQUIS_DATOS!$C$1472=1,CROQUIS_DATOS!$C$1504&gt;0.5,CROQUIS_DATOS!$C$1505=1),IF(AND(CROQUIS_DATOS!$C$1504&gt;0.5,CROQUIS_DATOS!$C$1505=1),"T2: "&amp;TEXT(CROQUIS_DATOS!$C$1504/100,"0.00")&amp;" m · V_mR "&amp;TEXT(INDEX(MUROS!$DE$11:$DE$70,DETALLE!$C$7),"0.0")&amp;IF(INDEX(MUROS!$DV$11:$DV$70,DETALLE!$C$7)&gt;0," + V_sR "&amp;TEXT(INDEX(MUROS!$DV$11:$DV$70,DETALLE!$C$7),"0.0"),"")&amp;" t",""),"—")</f>
        <v>T2: 1.00 m · V_mR 1.8 t</v>
      </c>
    </row>
    <row r="1250">
      <c r="A1250" t="str">
        <f>IF(AND(CROQUIS_DATOS!$C$1472=1,CROQUIS_DATOS!$C$1508&gt;0.5,CROQUIS_DATOS!$C$1509=1),IF(AND(CROQUIS_DATOS!$C$1508&gt;0.5,CROQUIS_DATOS!$C$1509=1),"T3: "&amp;TEXT(CROQUIS_DATOS!$C$1508/100,"0.00")&amp;" m · V_mR "&amp;TEXT(INDEX(MUROS!$DF$11:$DF$70,DETALLE!$C$7),"0.0")&amp;IF(INDEX(MUROS!$DW$11:$DW$70,DETALLE!$C$7)&gt;0," + V_sR "&amp;TEXT(INDEX(MUROS!$DW$11:$DW$70,DETALLE!$C$7),"0.0"),"")&amp;" t",""),"—")</f>
        <v>T3: 1.20 m · V_mR 2.1 t</v>
      </c>
    </row>
    <row r="1251">
      <c r="A1251" t="str">
        <f>IF(AND(CROQUIS_DATOS!$C$1472=1,CROQUIS_DATOS!$C$1512&gt;0.5,CROQUIS_DATOS!$C$1513=1),IF(AND(CROQUIS_DATOS!$C$1512&gt;0.5,CROQUIS_DATOS!$C$1513=1),"T4: "&amp;TEXT(CROQUIS_DATOS!$C$1512/100,"0.00")&amp;" m · V_mR "&amp;TEXT(INDEX(MUROS!$DG$11:$DG$70,DETALLE!$C$7),"0.0")&amp;IF(INDEX(MUROS!$DX$11:$DX$70,DETALLE!$C$7)&gt;0," + V_sR "&amp;TEXT(INDEX(MUROS!$DX$11:$DX$70,DETALLE!$C$7),"0.0"),"")&amp;" t",""),"—")</f>
        <v>—</v>
      </c>
    </row>
    <row r="1252">
      <c r="A1252" t="str">
        <f>IF(AND(CROQUIS_DATOS!$C$1472=1,CROQUIS_DATOS!$C$1516&gt;0.5,CROQUIS_DATOS!$C$1517=1),IF(AND(CROQUIS_DATOS!$C$1516&gt;0.5,CROQUIS_DATOS!$C$1517=1),"T5: "&amp;TEXT(CROQUIS_DATOS!$C$1516/100,"0.00")&amp;" m · V_mR "&amp;TEXT(INDEX(MUROS!$DH$11:$DH$70,DETALLE!$C$7),"0.0")&amp;IF(INDEX(MUROS!$DY$11:$DY$70,DETALLE!$C$7)&gt;0," + V_sR "&amp;TEXT(INDEX(MUROS!$DY$11:$DY$70,DETALLE!$C$7),"0.0"),"")&amp;" t",""),"—")</f>
        <v>—</v>
      </c>
    </row>
    <row r="1253">
      <c r="A1253" t="str">
        <f>"Castillos"</f>
        <v>Castillos</v>
      </c>
    </row>
    <row r="1254">
      <c r="A1254" t="str">
        <f>IF(AND(CROQUIS_DATOS!$C$1472=1,CROQUIS_DATOS!$C$1500&gt;0.5,CROQUIS_DATOS!$C$1478&gt;0),TEXT(CROQUIS_DATOS!$C$1500/100,"0.00"),"—")</f>
        <v>0.40</v>
      </c>
    </row>
    <row r="1255">
      <c r="A1255" t="str">
        <f>IF(AND(CROQUIS_DATOS!$C$1472=1,CROQUIS_DATOS!$C$1478&gt;=1),"("&amp;TEXT(CROQUIS_DATOS!$C$1480/100,"0.00")&amp;")","—")</f>
        <v>(0.90)</v>
      </c>
    </row>
    <row r="1256">
      <c r="A1256" t="str">
        <f>IF(AND(CROQUIS_DATOS!$C$1472=1,CROQUIS_DATOS!$C$1504&gt;0.5,CROQUIS_DATOS!$C$1478&gt;0),TEXT(CROQUIS_DATOS!$C$1504/100,"0.00"),"—")</f>
        <v>1.00</v>
      </c>
    </row>
    <row r="1257">
      <c r="A1257" t="str">
        <f>IF(AND(CROQUIS_DATOS!$C$1472=1,CROQUIS_DATOS!$C$1478&gt;=2),"("&amp;TEXT(CROQUIS_DATOS!$C$1485/100,"0.00")&amp;")","—")</f>
        <v>(1.50)</v>
      </c>
    </row>
    <row r="1258">
      <c r="A1258" t="str">
        <f>IF(AND(CROQUIS_DATOS!$C$1472=1,CROQUIS_DATOS!$C$1508&gt;0.5,CROQUIS_DATOS!$C$1478&gt;0),TEXT(CROQUIS_DATOS!$C$1508/100,"0.00"),"—")</f>
        <v>1.20</v>
      </c>
    </row>
    <row r="1259">
      <c r="A1259" t="str">
        <f>IF(AND(CROQUIS_DATOS!$C$1472=1,CROQUIS_DATOS!$C$1478&gt;=3),"("&amp;TEXT(CROQUIS_DATOS!$C$1490/100,"0.00")&amp;")","—")</f>
        <v>—</v>
      </c>
    </row>
    <row r="1260">
      <c r="A1260" t="str">
        <f>IF(AND(CROQUIS_DATOS!$C$1472=1,CROQUIS_DATOS!$C$1512&gt;0.5,CROQUIS_DATOS!$C$1478&gt;0),TEXT(CROQUIS_DATOS!$C$1512/100,"0.00"),"—")</f>
        <v>—</v>
      </c>
    </row>
    <row r="1261">
      <c r="A1261" t="str">
        <f>IF(AND(CROQUIS_DATOS!$C$1472=1,CROQUIS_DATOS!$C$1478&gt;=4),"("&amp;TEXT(CROQUIS_DATOS!$C$1495/100,"0.00")&amp;")","—")</f>
        <v>—</v>
      </c>
    </row>
    <row r="1262">
      <c r="A1262" t="str">
        <f>IF(AND(CROQUIS_DATOS!$C$1472=1,CROQUIS_DATOS!$C$1516&gt;0.5,CROQUIS_DATOS!$C$1478&gt;0),TEXT(CROQUIS_DATOS!$C$1516/100,"0.00"),"—")</f>
        <v>—</v>
      </c>
    </row>
    <row r="1263">
      <c r="A1263" t="str">
        <f>"L = "&amp;TEXT(CROQUIS_DATOS!$C$1475/100,"0.00")&amp;" m"</f>
        <v>L = 5.00 m</v>
      </c>
    </row>
    <row r="1264">
      <c r="A1264" t="str">
        <f>"t = "&amp;CROQUIS_DATOS!$C$1477&amp;" cm"</f>
        <v>t = 15 cm</v>
      </c>
    </row>
    <row r="1265">
      <c r="A1265" t="str">
        <f>"Castillo "&amp;DATOS!$C$59&amp;"×"&amp;DATOS!$C$60&amp;": "&amp;DATOS!$C$61&amp;" No. "&amp;DATOS!$C$62&amp;", E No. "&amp;DATOS!$C$63&amp;" @ "&amp;DATOS!$C$64&amp;" (@ "&amp;DATOS!$C$65&amp;" en H₀)"</f>
        <v>Castillo 15×15: 4 No. 3, E No. 2 @ 20 (@ 7.5 en H₀)</v>
      </c>
    </row>
    <row r="1266">
      <c r="A1266" t="str">
        <f>"h_c = "&amp;DATOS!$C$59</f>
        <v>h_c = 15</v>
      </c>
    </row>
    <row r="1267">
      <c r="A1267" t="str">
        <f>"b_c = "&amp;DATOS!$C$60</f>
        <v>b_c = 15</v>
      </c>
    </row>
    <row r="1268">
      <c r="A1268" t="str">
        <f>"Muro t = "&amp;CROQUIS_DATOS!$C$1477&amp;" cm"</f>
        <v>Muro t = 15 cm</v>
      </c>
    </row>
    <row r="1269">
      <c r="A1269" t="str">
        <f>"Dala "&amp;DATOS!$C$68&amp;"×"&amp;DATOS!$C$67&amp;": "&amp;DATOS!$C$69&amp;" No. "&amp;DATOS!$C$70&amp;", E No. "&amp;DATOS!$C$63&amp;" @ "&amp;DATOS!$C$71</f>
        <v>Dala 15×20: 4 No. 3, E No. 2 @ 20</v>
      </c>
    </row>
    <row r="1270">
      <c r="A1270" t="str">
        <f>"b_d = "&amp;DATOS!$C$68</f>
        <v>b_d = 15</v>
      </c>
    </row>
    <row r="1271">
      <c r="A1271" t="str">
        <f>"h_d = "&amp;DATOS!$C$67</f>
        <v>h_d = 20</v>
      </c>
    </row>
    <row r="1272">
      <c r="A1272" t="str">
        <f>"Recubrimiento "&amp;DATOS!$C$66&amp;" cm"</f>
        <v>Recubrimiento 2 cm</v>
      </c>
    </row>
    <row r="1471">
      <c r="A1471" s="100" t="inlineStr">
        <is>
          <t>PARÁMETROS DEL DIBUJO (cm, enlazados a DETALLE, MUROS y DATOS)</t>
        </is>
      </c>
    </row>
    <row r="1472">
      <c r="A1472" s="78" t="inlineStr">
        <is>
          <t>¿Hay muro válido?</t>
        </is>
      </c>
      <c r="B1472" s="84" t="inlineStr">
        <is>
          <t>—</t>
        </is>
      </c>
      <c r="C1472" s="101">
        <f>IF(DETALLE!$C$8="SÍ",1,0)</f>
        <v>1</v>
      </c>
    </row>
    <row r="1473">
      <c r="A1473" s="78" t="inlineStr">
        <is>
          <t>Muro</t>
        </is>
      </c>
      <c r="B1473" s="84" t="inlineStr">
        <is>
          <t>—</t>
        </is>
      </c>
      <c r="C1473" s="102" t="str">
        <f>IF(CROQUIS_DATOS!$C$1472=1,DETALLE!$C$6,"(escoge en DETALLE un muro con datos completos)")</f>
        <v>M-2</v>
      </c>
    </row>
    <row r="1474">
      <c r="A1474" s="78" t="inlineStr">
        <is>
          <t>Estado</t>
        </is>
      </c>
      <c r="B1474" s="84" t="inlineStr">
        <is>
          <t>—</t>
        </is>
      </c>
      <c r="C1474" s="102" t="str">
        <f>DETALLE!$C$9</f>
        <v>NO CUMPLE: cortante</v>
      </c>
    </row>
    <row r="1475">
      <c r="A1475" s="78" t="inlineStr">
        <is>
          <t>L — longitud</t>
        </is>
      </c>
      <c r="B1475" s="84" t="inlineStr">
        <is>
          <t>cm</t>
        </is>
      </c>
      <c r="C1475" s="103">
        <f>IF(CROQUIS_DATOS!$C$1472=1,INDEX(MUROS!$F$11:$F$70,DETALLE!$C$7)*100,300)</f>
        <v>500</v>
      </c>
    </row>
    <row r="1476">
      <c r="A1476" s="78" t="inlineStr">
        <is>
          <t>H — altura libre</t>
        </is>
      </c>
      <c r="B1476" s="84" t="inlineStr">
        <is>
          <t>cm</t>
        </is>
      </c>
      <c r="C1476" s="103">
        <f>IF(CROQUIS_DATOS!$C$1472=1,INDEX(MUROS!$BS$11:$BS$70,DETALLE!$C$7)*100,250)</f>
        <v>250</v>
      </c>
    </row>
    <row r="1477">
      <c r="A1477" s="78" t="inlineStr">
        <is>
          <t>t — espesor</t>
        </is>
      </c>
      <c r="B1477" s="84" t="inlineStr">
        <is>
          <t>cm</t>
        </is>
      </c>
      <c r="C1477" s="103">
        <f>IF(CROQUIS_DATOS!$C$1472=1,INDEX(MUROS!$BT$11:$BT$70,DETALLE!$C$7),15)</f>
        <v>15</v>
      </c>
    </row>
    <row r="1478">
      <c r="A1478" s="78" t="inlineStr">
        <is>
          <t>Vanos</t>
        </is>
      </c>
      <c r="B1478" s="84" t="inlineStr">
        <is>
          <t>—</t>
        </is>
      </c>
      <c r="C1478" s="101">
        <f>IF(CROQUIS_DATOS!$C$1472=1,INDEX(MUROS!$BU$11:$BU$70,DETALLE!$C$7),0)</f>
        <v>2</v>
      </c>
    </row>
    <row r="1479">
      <c r="A1479" s="78" t="inlineStr">
        <is>
          <t>Vano 1: x / ancho / antepecho / alto</t>
        </is>
      </c>
      <c r="B1479" s="84" t="inlineStr">
        <is>
          <t>cm</t>
        </is>
      </c>
      <c r="C1479" s="103">
        <f>IF(CROQUIS_DATOS!$C$1478&gt;=1,INDEX(MUROS!$J$11:$J$70,DETALLE!$C$7)*100,0)</f>
        <v>40</v>
      </c>
    </row>
    <row r="1480">
      <c r="A1480" s="78" t="inlineStr">
        <is>
          <t>…</t>
        </is>
      </c>
      <c r="B1480" s="84" t="inlineStr">
        <is>
          <t>cm</t>
        </is>
      </c>
      <c r="C1480" s="103">
        <f>IF(CROQUIS_DATOS!$C$1478&gt;=1,INDEX(MUROS!$K$11:$K$70,DETALLE!$C$7)*100,0)</f>
        <v>90</v>
      </c>
    </row>
    <row r="1481">
      <c r="A1481" s="78" t="inlineStr">
        <is>
          <t>…</t>
        </is>
      </c>
      <c r="B1481" s="84" t="inlineStr">
        <is>
          <t>cm</t>
        </is>
      </c>
      <c r="C1481" s="103">
        <f>IF(CROQUIS_DATOS!$C$1478&gt;=1,N(INDEX(MUROS!$L$11:$L$70,DETALLE!$C$7))*100,0)</f>
        <v>0</v>
      </c>
    </row>
    <row r="1482">
      <c r="A1482" s="78" t="inlineStr">
        <is>
          <t>…</t>
        </is>
      </c>
      <c r="B1482" s="84" t="inlineStr">
        <is>
          <t>cm</t>
        </is>
      </c>
      <c r="C1482" s="103">
        <f>IF(CROQUIS_DATOS!$C$1478&gt;=1,INDEX(MUROS!$M$11:$M$70,DETALLE!$C$7)*100,0)</f>
        <v>210</v>
      </c>
    </row>
    <row r="1483">
      <c r="A1483" s="78" t="inlineStr">
        <is>
          <t>…tipo</t>
        </is>
      </c>
      <c r="B1483" s="84" t="inlineStr">
        <is>
          <t>—</t>
        </is>
      </c>
      <c r="C1483" s="102" t="str">
        <f>IF(CROQUIS_DATOS!$C$1478&gt;=1,INDEX(MUROS!$I$11:$I$70,DETALLE!$C$7),"")</f>
        <v>PUERTA</v>
      </c>
    </row>
    <row r="1484">
      <c r="A1484" s="78" t="inlineStr">
        <is>
          <t>Vano 2: x / ancho / antepecho / alto</t>
        </is>
      </c>
      <c r="B1484" s="84" t="inlineStr">
        <is>
          <t>cm</t>
        </is>
      </c>
      <c r="C1484" s="103">
        <f>IF(CROQUIS_DATOS!$C$1478&gt;=2,INDEX(MUROS!$O$11:$O$70,DETALLE!$C$7)*100,0)</f>
        <v>230</v>
      </c>
    </row>
    <row r="1485">
      <c r="A1485" s="78" t="inlineStr">
        <is>
          <t>…</t>
        </is>
      </c>
      <c r="B1485" s="84" t="inlineStr">
        <is>
          <t>cm</t>
        </is>
      </c>
      <c r="C1485" s="103">
        <f>IF(CROQUIS_DATOS!$C$1478&gt;=2,INDEX(MUROS!$P$11:$P$70,DETALLE!$C$7)*100,0)</f>
        <v>150</v>
      </c>
    </row>
    <row r="1486">
      <c r="A1486" s="78" t="inlineStr">
        <is>
          <t>…</t>
        </is>
      </c>
      <c r="B1486" s="84" t="inlineStr">
        <is>
          <t>cm</t>
        </is>
      </c>
      <c r="C1486" s="103">
        <f>IF(CROQUIS_DATOS!$C$1478&gt;=2,N(INDEX(MUROS!$Q$11:$Q$70,DETALLE!$C$7))*100,0)</f>
        <v>90</v>
      </c>
    </row>
    <row r="1487">
      <c r="A1487" s="78" t="inlineStr">
        <is>
          <t>…</t>
        </is>
      </c>
      <c r="B1487" s="84" t="inlineStr">
        <is>
          <t>cm</t>
        </is>
      </c>
      <c r="C1487" s="103">
        <f>IF(CROQUIS_DATOS!$C$1478&gt;=2,INDEX(MUROS!$R$11:$R$70,DETALLE!$C$7)*100,0)</f>
        <v>120</v>
      </c>
    </row>
    <row r="1488">
      <c r="A1488" s="78" t="inlineStr">
        <is>
          <t>…tipo</t>
        </is>
      </c>
      <c r="B1488" s="84" t="inlineStr">
        <is>
          <t>—</t>
        </is>
      </c>
      <c r="C1488" s="102" t="str">
        <f>IF(CROQUIS_DATOS!$C$1478&gt;=2,INDEX(MUROS!$N$11:$N$70,DETALLE!$C$7),"")</f>
        <v>VENTANA</v>
      </c>
    </row>
    <row r="1489">
      <c r="A1489" s="78" t="inlineStr">
        <is>
          <t>Vano 3: x / ancho / antepecho / alto</t>
        </is>
      </c>
      <c r="B1489" s="84" t="inlineStr">
        <is>
          <t>cm</t>
        </is>
      </c>
      <c r="C1489" s="103">
        <f>IF(CROQUIS_DATOS!$C$1478&gt;=3,INDEX(MUROS!$T$11:$T$70,DETALLE!$C$7)*100,0)</f>
        <v>0</v>
      </c>
    </row>
    <row r="1490">
      <c r="A1490" s="78" t="inlineStr">
        <is>
          <t>…</t>
        </is>
      </c>
      <c r="B1490" s="84" t="inlineStr">
        <is>
          <t>cm</t>
        </is>
      </c>
      <c r="C1490" s="103">
        <f>IF(CROQUIS_DATOS!$C$1478&gt;=3,INDEX(MUROS!$U$11:$U$70,DETALLE!$C$7)*100,0)</f>
        <v>0</v>
      </c>
    </row>
    <row r="1491">
      <c r="A1491" s="78" t="inlineStr">
        <is>
          <t>…</t>
        </is>
      </c>
      <c r="B1491" s="84" t="inlineStr">
        <is>
          <t>cm</t>
        </is>
      </c>
      <c r="C1491" s="103">
        <f>IF(CROQUIS_DATOS!$C$1478&gt;=3,N(INDEX(MUROS!$V$11:$V$70,DETALLE!$C$7))*100,0)</f>
        <v>0</v>
      </c>
    </row>
    <row r="1492">
      <c r="A1492" s="78" t="inlineStr">
        <is>
          <t>…</t>
        </is>
      </c>
      <c r="B1492" s="84" t="inlineStr">
        <is>
          <t>cm</t>
        </is>
      </c>
      <c r="C1492" s="103">
        <f>IF(CROQUIS_DATOS!$C$1478&gt;=3,INDEX(MUROS!$W$11:$W$70,DETALLE!$C$7)*100,0)</f>
        <v>0</v>
      </c>
    </row>
    <row r="1493">
      <c r="A1493" s="78" t="inlineStr">
        <is>
          <t>…tipo</t>
        </is>
      </c>
      <c r="B1493" s="84" t="inlineStr">
        <is>
          <t>—</t>
        </is>
      </c>
      <c r="C1493" s="102" t="str">
        <f>IF(CROQUIS_DATOS!$C$1478&gt;=3,INDEX(MUROS!$S$11:$S$70,DETALLE!$C$7),"")</f>
        <v/>
      </c>
    </row>
    <row r="1494">
      <c r="A1494" s="78" t="inlineStr">
        <is>
          <t>Vano 4: x / ancho / antepecho / alto</t>
        </is>
      </c>
      <c r="B1494" s="84" t="inlineStr">
        <is>
          <t>cm</t>
        </is>
      </c>
      <c r="C1494" s="103">
        <f>IF(CROQUIS_DATOS!$C$1478&gt;=4,INDEX(MUROS!$Y$11:$Y$70,DETALLE!$C$7)*100,0)</f>
        <v>0</v>
      </c>
    </row>
    <row r="1495">
      <c r="A1495" s="78" t="inlineStr">
        <is>
          <t>…</t>
        </is>
      </c>
      <c r="B1495" s="84" t="inlineStr">
        <is>
          <t>cm</t>
        </is>
      </c>
      <c r="C1495" s="103">
        <f>IF(CROQUIS_DATOS!$C$1478&gt;=4,INDEX(MUROS!$Z$11:$Z$70,DETALLE!$C$7)*100,0)</f>
        <v>0</v>
      </c>
    </row>
    <row r="1496">
      <c r="A1496" s="78" t="inlineStr">
        <is>
          <t>…</t>
        </is>
      </c>
      <c r="B1496" s="84" t="inlineStr">
        <is>
          <t>cm</t>
        </is>
      </c>
      <c r="C1496" s="103">
        <f>IF(CROQUIS_DATOS!$C$1478&gt;=4,N(INDEX(MUROS!$AA$11:$AA$70,DETALLE!$C$7))*100,0)</f>
        <v>0</v>
      </c>
    </row>
    <row r="1497">
      <c r="A1497" s="78" t="inlineStr">
        <is>
          <t>…</t>
        </is>
      </c>
      <c r="B1497" s="84" t="inlineStr">
        <is>
          <t>cm</t>
        </is>
      </c>
      <c r="C1497" s="103">
        <f>IF(CROQUIS_DATOS!$C$1478&gt;=4,INDEX(MUROS!$AB$11:$AB$70,DETALLE!$C$7)*100,0)</f>
        <v>0</v>
      </c>
    </row>
    <row r="1498">
      <c r="A1498" s="78" t="inlineStr">
        <is>
          <t>…tipo</t>
        </is>
      </c>
      <c r="B1498" s="84" t="inlineStr">
        <is>
          <t>—</t>
        </is>
      </c>
      <c r="C1498" s="102" t="str">
        <f>IF(CROQUIS_DATOS!$C$1478&gt;=4,INDEX(MUROS!$X$11:$X$70,DETALLE!$C$7),"")</f>
        <v/>
      </c>
    </row>
    <row r="1499">
      <c r="A1499" s="78" t="inlineStr">
        <is>
          <t>Tramo 1: inicio / largo / ¿cuenta? / castillos</t>
        </is>
      </c>
      <c r="B1499" s="84" t="inlineStr">
        <is>
          <t>cm</t>
        </is>
      </c>
      <c r="C1499" s="103">
        <f>0</f>
        <v>0</v>
      </c>
    </row>
    <row r="1500">
      <c r="A1500" s="78" t="inlineStr">
        <is>
          <t>…</t>
        </is>
      </c>
      <c r="B1500" s="84" t="inlineStr">
        <is>
          <t>cm</t>
        </is>
      </c>
      <c r="C1500" s="103">
        <f>IF(CROQUIS_DATOS!$C$1472=1,INDEX(MUROS!$BW$11:$BW$70,DETALLE!$C$7)*100,IF(1=1,CROQUIS_DATOS!$C$1475,0))</f>
        <v>40</v>
      </c>
    </row>
    <row r="1501">
      <c r="A1501" s="78" t="inlineStr">
        <is>
          <t>…</t>
        </is>
      </c>
      <c r="B1501" s="84" t="inlineStr">
        <is>
          <t>—</t>
        </is>
      </c>
      <c r="C1501" s="101">
        <f>IF(CROQUIS_DATOS!$C$1500&gt;=DATOS!$C$72*100-0.01,1,0)</f>
        <v>1</v>
      </c>
    </row>
    <row r="1502">
      <c r="A1502" s="78" t="inlineStr">
        <is>
          <t>…</t>
        </is>
      </c>
      <c r="B1502" s="84" t="inlineStr">
        <is>
          <t>pzas</t>
        </is>
      </c>
      <c r="C1502" s="101">
        <f>IF(CROQUIS_DATOS!$C$1500&lt;=0.01,0,IF(CROQUIS_DATOS!$C$1500&lt;2*DATOS!$C$59,1,2+INT((CROQUIS_DATOS!$C$1500-DATOS!$C$59)/CROQUIS_DATOS!$C$1519-0.000001)))</f>
        <v>2</v>
      </c>
    </row>
    <row r="1503">
      <c r="A1503" s="78" t="inlineStr">
        <is>
          <t>Tramo 2: inicio / largo / ¿cuenta? / castillos</t>
        </is>
      </c>
      <c r="B1503" s="84" t="inlineStr">
        <is>
          <t>cm</t>
        </is>
      </c>
      <c r="C1503" s="103">
        <f>IF(CROQUIS_DATOS!$C$1478&gt;=1,CROQUIS_DATOS!$C$1479+CROQUIS_DATOS!$C$1480,CROQUIS_DATOS!$C$1475)</f>
        <v>130</v>
      </c>
    </row>
    <row r="1504">
      <c r="A1504" s="78" t="inlineStr">
        <is>
          <t>…</t>
        </is>
      </c>
      <c r="B1504" s="84" t="inlineStr">
        <is>
          <t>cm</t>
        </is>
      </c>
      <c r="C1504" s="103">
        <f>IF(CROQUIS_DATOS!$C$1472=1,INDEX(MUROS!$BX$11:$BX$70,DETALLE!$C$7)*100,IF(2=1,CROQUIS_DATOS!$C$1475,0))</f>
        <v>100</v>
      </c>
    </row>
    <row r="1505">
      <c r="A1505" s="78" t="inlineStr">
        <is>
          <t>…</t>
        </is>
      </c>
      <c r="B1505" s="84" t="inlineStr">
        <is>
          <t>—</t>
        </is>
      </c>
      <c r="C1505" s="101">
        <f>IF(CROQUIS_DATOS!$C$1504&gt;=DATOS!$C$72*100-0.01,1,0)</f>
        <v>1</v>
      </c>
    </row>
    <row r="1506">
      <c r="A1506" s="78" t="inlineStr">
        <is>
          <t>…</t>
        </is>
      </c>
      <c r="B1506" s="84" t="inlineStr">
        <is>
          <t>pzas</t>
        </is>
      </c>
      <c r="C1506" s="101">
        <f>IF(CROQUIS_DATOS!$C$1504&lt;=0.01,0,IF(CROQUIS_DATOS!$C$1504&lt;2*DATOS!$C$59,1,2+INT((CROQUIS_DATOS!$C$1504-DATOS!$C$59)/CROQUIS_DATOS!$C$1519-0.000001)))</f>
        <v>2</v>
      </c>
    </row>
    <row r="1507">
      <c r="A1507" s="78" t="inlineStr">
        <is>
          <t>Tramo 3: inicio / largo / ¿cuenta? / castillos</t>
        </is>
      </c>
      <c r="B1507" s="84" t="inlineStr">
        <is>
          <t>cm</t>
        </is>
      </c>
      <c r="C1507" s="103">
        <f>IF(CROQUIS_DATOS!$C$1478&gt;=2,CROQUIS_DATOS!$C$1484+CROQUIS_DATOS!$C$1485,CROQUIS_DATOS!$C$1475)</f>
        <v>380</v>
      </c>
    </row>
    <row r="1508">
      <c r="A1508" s="78" t="inlineStr">
        <is>
          <t>…</t>
        </is>
      </c>
      <c r="B1508" s="84" t="inlineStr">
        <is>
          <t>cm</t>
        </is>
      </c>
      <c r="C1508" s="103">
        <f>IF(CROQUIS_DATOS!$C$1472=1,INDEX(MUROS!$BY$11:$BY$70,DETALLE!$C$7)*100,IF(3=1,CROQUIS_DATOS!$C$1475,0))</f>
        <v>120</v>
      </c>
    </row>
    <row r="1509">
      <c r="A1509" s="78" t="inlineStr">
        <is>
          <t>…</t>
        </is>
      </c>
      <c r="B1509" s="84" t="inlineStr">
        <is>
          <t>—</t>
        </is>
      </c>
      <c r="C1509" s="101">
        <f>IF(CROQUIS_DATOS!$C$1508&gt;=DATOS!$C$72*100-0.01,1,0)</f>
        <v>1</v>
      </c>
    </row>
    <row r="1510">
      <c r="A1510" s="78" t="inlineStr">
        <is>
          <t>…</t>
        </is>
      </c>
      <c r="B1510" s="84" t="inlineStr">
        <is>
          <t>pzas</t>
        </is>
      </c>
      <c r="C1510" s="101">
        <f>IF(CROQUIS_DATOS!$C$1508&lt;=0.01,0,IF(CROQUIS_DATOS!$C$1508&lt;2*DATOS!$C$59,1,2+INT((CROQUIS_DATOS!$C$1508-DATOS!$C$59)/CROQUIS_DATOS!$C$1519-0.000001)))</f>
        <v>2</v>
      </c>
    </row>
    <row r="1511">
      <c r="A1511" s="78" t="inlineStr">
        <is>
          <t>Tramo 4: inicio / largo / ¿cuenta? / castillos</t>
        </is>
      </c>
      <c r="B1511" s="84" t="inlineStr">
        <is>
          <t>cm</t>
        </is>
      </c>
      <c r="C1511" s="103">
        <f>IF(CROQUIS_DATOS!$C$1478&gt;=3,CROQUIS_DATOS!$C$1489+CROQUIS_DATOS!$C$1490,CROQUIS_DATOS!$C$1475)</f>
        <v>500</v>
      </c>
    </row>
    <row r="1512">
      <c r="A1512" s="78" t="inlineStr">
        <is>
          <t>…</t>
        </is>
      </c>
      <c r="B1512" s="84" t="inlineStr">
        <is>
          <t>cm</t>
        </is>
      </c>
      <c r="C1512" s="103">
        <f>IF(CROQUIS_DATOS!$C$1472=1,INDEX(MUROS!$BZ$11:$BZ$70,DETALLE!$C$7)*100,IF(4=1,CROQUIS_DATOS!$C$1475,0))</f>
        <v>0</v>
      </c>
    </row>
    <row r="1513">
      <c r="A1513" s="78" t="inlineStr">
        <is>
          <t>…</t>
        </is>
      </c>
      <c r="B1513" s="84" t="inlineStr">
        <is>
          <t>—</t>
        </is>
      </c>
      <c r="C1513" s="101">
        <f>IF(CROQUIS_DATOS!$C$1512&gt;=DATOS!$C$72*100-0.01,1,0)</f>
        <v>0</v>
      </c>
    </row>
    <row r="1514">
      <c r="A1514" s="78" t="inlineStr">
        <is>
          <t>…</t>
        </is>
      </c>
      <c r="B1514" s="84" t="inlineStr">
        <is>
          <t>pzas</t>
        </is>
      </c>
      <c r="C1514" s="101">
        <f>IF(CROQUIS_DATOS!$C$1512&lt;=0.01,0,IF(CROQUIS_DATOS!$C$1512&lt;2*DATOS!$C$59,1,2+INT((CROQUIS_DATOS!$C$1512-DATOS!$C$59)/CROQUIS_DATOS!$C$1519-0.000001)))</f>
        <v>0</v>
      </c>
    </row>
    <row r="1515">
      <c r="A1515" s="78" t="inlineStr">
        <is>
          <t>Tramo 5: inicio / largo / ¿cuenta? / castillos</t>
        </is>
      </c>
      <c r="B1515" s="84" t="inlineStr">
        <is>
          <t>cm</t>
        </is>
      </c>
      <c r="C1515" s="103">
        <f>IF(CROQUIS_DATOS!$C$1478&gt;=4,CROQUIS_DATOS!$C$1494+CROQUIS_DATOS!$C$1495,CROQUIS_DATOS!$C$1475)</f>
        <v>500</v>
      </c>
    </row>
    <row r="1516">
      <c r="A1516" s="78" t="inlineStr">
        <is>
          <t>…</t>
        </is>
      </c>
      <c r="B1516" s="84" t="inlineStr">
        <is>
          <t>cm</t>
        </is>
      </c>
      <c r="C1516" s="103">
        <f>IF(CROQUIS_DATOS!$C$1472=1,INDEX(MUROS!$CA$11:$CA$70,DETALLE!$C$7)*100,IF(5=1,CROQUIS_DATOS!$C$1475,0))</f>
        <v>0</v>
      </c>
    </row>
    <row r="1517">
      <c r="A1517" s="78" t="inlineStr">
        <is>
          <t>…</t>
        </is>
      </c>
      <c r="B1517" s="84" t="inlineStr">
        <is>
          <t>—</t>
        </is>
      </c>
      <c r="C1517" s="101">
        <f>IF(CROQUIS_DATOS!$C$1516&gt;=DATOS!$C$72*100-0.01,1,0)</f>
        <v>0</v>
      </c>
    </row>
    <row r="1518">
      <c r="A1518" s="78" t="inlineStr">
        <is>
          <t>…</t>
        </is>
      </c>
      <c r="B1518" s="84" t="inlineStr">
        <is>
          <t>pzas</t>
        </is>
      </c>
      <c r="C1518" s="101">
        <f>IF(CROQUIS_DATOS!$C$1516&lt;=0.01,0,IF(CROQUIS_DATOS!$C$1516&lt;2*DATOS!$C$59,1,2+INT((CROQUIS_DATOS!$C$1516-DATOS!$C$59)/CROQUIS_DATOS!$C$1519-0.000001)))</f>
        <v>0</v>
      </c>
    </row>
    <row r="1519">
      <c r="A1519" s="78" t="inlineStr">
        <is>
          <t>Separación máx. de castillos</t>
        </is>
      </c>
      <c r="B1519" s="84" t="inlineStr">
        <is>
          <t>cm</t>
        </is>
      </c>
      <c r="C1519" s="103">
        <f>MIN(1.5*CROQUIS_DATOS!$C$1476,400)</f>
        <v>375</v>
      </c>
    </row>
    <row r="1520">
      <c r="A1520" s="78" t="inlineStr">
        <is>
          <t>Castillos acumulados por tramo</t>
        </is>
      </c>
      <c r="B1520" s="84" t="inlineStr">
        <is>
          <t>pzas</t>
        </is>
      </c>
      <c r="C1520" s="101">
        <f>CROQUIS_DATOS!$C$1502</f>
        <v>2</v>
      </c>
    </row>
    <row r="1521">
      <c r="A1521" s="78" t="inlineStr">
        <is>
          <t>…</t>
        </is>
      </c>
      <c r="B1521" s="84" t="inlineStr">
        <is>
          <t>pzas</t>
        </is>
      </c>
      <c r="C1521" s="101">
        <f>CROQUIS_DATOS!$C$1520+CROQUIS_DATOS!$C$1506</f>
        <v>4</v>
      </c>
    </row>
    <row r="1522">
      <c r="A1522" s="78" t="inlineStr">
        <is>
          <t>…</t>
        </is>
      </c>
      <c r="B1522" s="84" t="inlineStr">
        <is>
          <t>pzas</t>
        </is>
      </c>
      <c r="C1522" s="101">
        <f>CROQUIS_DATOS!$C$1521+CROQUIS_DATOS!$C$1510</f>
        <v>6</v>
      </c>
    </row>
    <row r="1523">
      <c r="A1523" s="78" t="inlineStr">
        <is>
          <t>…</t>
        </is>
      </c>
      <c r="B1523" s="84" t="inlineStr">
        <is>
          <t>pzas</t>
        </is>
      </c>
      <c r="C1523" s="101">
        <f>CROQUIS_DATOS!$C$1522+CROQUIS_DATOS!$C$1514</f>
        <v>6</v>
      </c>
    </row>
    <row r="1524">
      <c r="A1524" s="78" t="inlineStr">
        <is>
          <t>…</t>
        </is>
      </c>
      <c r="B1524" s="84" t="inlineStr">
        <is>
          <t>pzas</t>
        </is>
      </c>
      <c r="C1524" s="101">
        <f>CROQUIS_DATOS!$C$1523+CROQUIS_DATOS!$C$1518</f>
        <v>6</v>
      </c>
    </row>
    <row r="1525">
      <c r="A1525" s="78" t="inlineStr">
        <is>
          <t>Castillos que se dibujan</t>
        </is>
      </c>
      <c r="B1525" s="84" t="inlineStr">
        <is>
          <t>pzas</t>
        </is>
      </c>
      <c r="C1525" s="101">
        <f>MIN(CROQUIS_DATOS!$C$1524,16)</f>
        <v>6</v>
      </c>
    </row>
    <row r="1526">
      <c r="A1526" s="78" t="inlineStr">
        <is>
          <t>h_c / b_c / h_d / b_d</t>
        </is>
      </c>
      <c r="B1526" s="84" t="inlineStr">
        <is>
          <t>cm</t>
        </is>
      </c>
      <c r="C1526" s="103">
        <f>DATOS!$C$59</f>
        <v>15</v>
      </c>
    </row>
    <row r="1527">
      <c r="A1527" s="78" t="inlineStr">
        <is>
          <t>…</t>
        </is>
      </c>
      <c r="B1527" s="84" t="inlineStr">
        <is>
          <t>cm</t>
        </is>
      </c>
      <c r="C1527" s="103">
        <f>DATOS!$C$60</f>
        <v>15</v>
      </c>
    </row>
    <row r="1528">
      <c r="A1528" s="78" t="inlineStr">
        <is>
          <t>…</t>
        </is>
      </c>
      <c r="B1528" s="84" t="inlineStr">
        <is>
          <t>cm</t>
        </is>
      </c>
      <c r="C1528" s="103">
        <f>DATOS!$C$67</f>
        <v>20</v>
      </c>
    </row>
    <row r="1529">
      <c r="A1529" s="78" t="inlineStr">
        <is>
          <t>…</t>
        </is>
      </c>
      <c r="B1529" s="84" t="inlineStr">
        <is>
          <t>cm</t>
        </is>
      </c>
      <c r="C1529" s="103">
        <f>DATOS!$C$68</f>
        <v>15</v>
      </c>
    </row>
    <row r="1530">
      <c r="A1530" s="78" t="inlineStr">
        <is>
          <t>Recubrimiento / d_b castillo / d_b estribo / d_b dala</t>
        </is>
      </c>
      <c r="B1530" s="84" t="inlineStr">
        <is>
          <t>cm</t>
        </is>
      </c>
      <c r="C1530" s="103">
        <f>DATOS!$C$66</f>
        <v>2</v>
      </c>
    </row>
    <row r="1531">
      <c r="A1531" s="78" t="inlineStr">
        <is>
          <t>…</t>
        </is>
      </c>
      <c r="B1531" s="84" t="inlineStr">
        <is>
          <t>cm</t>
        </is>
      </c>
      <c r="C1531" s="104">
        <f>INDEX(TABLAS!$C$6:$C$14,MATCH(DATOS!$C$62,TABLAS!$B$6:$B$14,0))</f>
        <v>0.953</v>
      </c>
    </row>
    <row r="1532">
      <c r="A1532" s="78" t="inlineStr">
        <is>
          <t>…</t>
        </is>
      </c>
      <c r="B1532" s="84" t="inlineStr">
        <is>
          <t>cm</t>
        </is>
      </c>
      <c r="C1532" s="104">
        <f>INDEX(TABLAS!$C$6:$C$14,MATCH(DATOS!$C$63,TABLAS!$B$6:$B$14,0))</f>
        <v>0.635</v>
      </c>
    </row>
    <row r="1533">
      <c r="A1533" s="78" t="inlineStr">
        <is>
          <t>…</t>
        </is>
      </c>
      <c r="B1533" s="84" t="inlineStr">
        <is>
          <t>cm</t>
        </is>
      </c>
      <c r="C1533" s="104">
        <f>INDEX(TABLAS!$C$6:$C$14,MATCH(DATOS!$C$70,TABLAS!$B$6:$B$14,0))</f>
        <v>0.953</v>
      </c>
    </row>
    <row r="1534">
      <c r="A1534" s="78" t="inlineStr">
        <is>
          <t>d_b del castillo extremo</t>
        </is>
      </c>
      <c r="B1534" s="84" t="inlineStr">
        <is>
          <t>cm</t>
        </is>
      </c>
      <c r="C1534" s="104">
        <f>IF(CROQUIS_DATOS!$C$1472=1,INDEX(TABLAS!$C$6:$C$14,MATCH(IF(INDEX(MUROS!$AD$11:$AD$70,DETALLE!$C$7)&lt;&gt;"",INDEX(MUROS!$AD$11:$AD$70,DETALLE!$C$7),DATOS!$C$62),TABLAS!$B$6:$B$14,0)),CROQUIS_DATOS!$C$1531)</f>
        <v>0.953</v>
      </c>
    </row>
    <row r="1535">
      <c r="A1535" s="78" t="inlineStr">
        <is>
          <t>s / s₀ / H₀ / s de dala</t>
        </is>
      </c>
      <c r="B1535" s="84" t="inlineStr">
        <is>
          <t>cm</t>
        </is>
      </c>
      <c r="C1535" s="103">
        <f>DATOS!$C$64</f>
        <v>20</v>
      </c>
    </row>
    <row r="1536">
      <c r="A1536" s="78" t="inlineStr">
        <is>
          <t>…</t>
        </is>
      </c>
      <c r="B1536" s="84" t="inlineStr">
        <is>
          <t>cm</t>
        </is>
      </c>
      <c r="C1536" s="103">
        <f>DATOS!$C$65</f>
        <v>7.5</v>
      </c>
    </row>
    <row r="1537">
      <c r="A1537" s="78" t="inlineStr">
        <is>
          <t>…</t>
        </is>
      </c>
      <c r="B1537" s="84" t="inlineStr">
        <is>
          <t>cm</t>
        </is>
      </c>
      <c r="C1537" s="103">
        <f>MAX(CROQUIS_DATOS!$C$1476/6,40)</f>
        <v>41.6666666666667</v>
      </c>
    </row>
    <row r="1538">
      <c r="A1538" s="78" t="inlineStr">
        <is>
          <t>…</t>
        </is>
      </c>
      <c r="B1538" s="84" t="inlineStr">
        <is>
          <t>cm</t>
        </is>
      </c>
      <c r="C1538" s="103">
        <f>DATOS!$C$71</f>
        <v>20</v>
      </c>
    </row>
    <row r="1539">
      <c r="A1539" s="78" t="inlineStr">
        <is>
          <t>Estribos: en cada extremo / en medio / total</t>
        </is>
      </c>
      <c r="B1539" s="84" t="inlineStr">
        <is>
          <t>pzas</t>
        </is>
      </c>
      <c r="C1539" s="101">
        <f>MAX(1,INT(CROQUIS_DATOS!$C$1537/CROQUIS_DATOS!$C$1536))</f>
        <v>5</v>
      </c>
    </row>
    <row r="1540">
      <c r="A1540" s="78" t="inlineStr">
        <is>
          <t>…</t>
        </is>
      </c>
      <c r="B1540" s="84" t="inlineStr">
        <is>
          <t>pzas</t>
        </is>
      </c>
      <c r="C1540" s="101">
        <f>MAX(0,ROUNDUP((CROQUIS_DATOS!$C$1476-2*CROQUIS_DATOS!$C$1539*CROQUIS_DATOS!$C$1536)/CROQUIS_DATOS!$C$1535,0)-1)</f>
        <v>8</v>
      </c>
    </row>
    <row r="1541">
      <c r="A1541" s="78" t="inlineStr">
        <is>
          <t>…</t>
        </is>
      </c>
      <c r="B1541" s="84" t="inlineStr">
        <is>
          <t>pzas</t>
        </is>
      </c>
      <c r="C1541" s="101">
        <f>MIN(34,2*CROQUIS_DATOS!$C$1539+CROQUIS_DATOS!$C$1540)</f>
        <v>18</v>
      </c>
    </row>
    <row r="1542">
      <c r="A1542" s="78" t="inlineStr">
        <is>
          <t>Nivel de las varillas de la dala (inferior / superior)</t>
        </is>
      </c>
      <c r="B1542" s="84" t="inlineStr">
        <is>
          <t>cm</t>
        </is>
      </c>
      <c r="C1542" s="103">
        <f>CROQUIS_DATOS!$C$1476+CROQUIS_DATOS!$C$1530+CROQUIS_DATOS!$C$1532+CROQUIS_DATOS!$C$1533/2</f>
        <v>253.1115</v>
      </c>
    </row>
    <row r="1543">
      <c r="A1543" s="78" t="inlineStr">
        <is>
          <t>…</t>
        </is>
      </c>
      <c r="B1543" s="84" t="inlineStr">
        <is>
          <t>cm</t>
        </is>
      </c>
      <c r="C1543" s="103">
        <f>CROQUIS_DATOS!$C$1476+CROQUIS_DATOS!$C$1528-CROQUIS_DATOS!$C$1530-CROQUIS_DATOS!$C$1532-CROQUIS_DATOS!$C$1533/2</f>
        <v>266.8885</v>
      </c>
    </row>
    <row r="1544">
      <c r="A1544" s="78" t="inlineStr">
        <is>
          <t>¿Desplanta sobre viga?</t>
        </is>
      </c>
      <c r="B1544" s="84" t="inlineStr">
        <is>
          <t>—</t>
        </is>
      </c>
      <c r="C1544" s="101">
        <f>IF(AND(CROQUIS_DATOS!$C$1472=1,INDEX(MUROS!$AI$11:$AI$70,DETALLE!$C$7)="SÍ"),1,0)</f>
        <v>0</v>
      </c>
    </row>
    <row r="1545">
      <c r="A1545" s="78" t="inlineStr">
        <is>
          <t>Viga: b / h / L_v / c</t>
        </is>
      </c>
      <c r="B1545" s="84" t="inlineStr">
        <is>
          <t>cm</t>
        </is>
      </c>
      <c r="C1545" s="103">
        <f>IF(CROQUIS_DATOS!$C$1544=1,N(INDEX(MUROS!$AK$11:$AK$70,DETALLE!$C$7)),0)</f>
        <v>0</v>
      </c>
    </row>
    <row r="1546">
      <c r="A1546" s="78" t="inlineStr">
        <is>
          <t>…</t>
        </is>
      </c>
      <c r="B1546" s="84" t="inlineStr">
        <is>
          <t>cm</t>
        </is>
      </c>
      <c r="C1546" s="103">
        <f>IF(CROQUIS_DATOS!$C$1544=1,N(INDEX(MUROS!$AL$11:$AL$70,DETALLE!$C$7)),0)</f>
        <v>0</v>
      </c>
    </row>
    <row r="1547">
      <c r="A1547" s="78" t="inlineStr">
        <is>
          <t>…</t>
        </is>
      </c>
      <c r="B1547" s="84" t="inlineStr">
        <is>
          <t>cm</t>
        </is>
      </c>
      <c r="C1547" s="103">
        <f>IF(CROQUIS_DATOS!$C$1544=1,N(INDEX(MUROS!$AM$11:$AM$70,DETALLE!$C$7))*100,0)</f>
        <v>0</v>
      </c>
    </row>
    <row r="1548">
      <c r="A1548" s="78" t="inlineStr">
        <is>
          <t>…</t>
        </is>
      </c>
      <c r="B1548" s="84" t="inlineStr">
        <is>
          <t>cm</t>
        </is>
      </c>
      <c r="C1548" s="103">
        <f>IF(CROQUIS_DATOS!$C$1544=1,N(INDEX(MUROS!$AO$11:$AO$70,DETALLE!$C$7))*100,0)</f>
        <v>0</v>
      </c>
    </row>
    <row r="1549">
      <c r="A1549" s="78" t="inlineStr">
        <is>
          <t>Viga: inicio / fin (centrada en L/2 + c)</t>
        </is>
      </c>
      <c r="B1549" s="84" t="inlineStr">
        <is>
          <t>cm</t>
        </is>
      </c>
      <c r="C1549" s="103">
        <f>CROQUIS_DATOS!$C$1475/2+CROQUIS_DATOS!$C$1548-CROQUIS_DATOS!$C$1547/2</f>
        <v>250</v>
      </c>
    </row>
    <row r="1550">
      <c r="A1550" s="78" t="inlineStr">
        <is>
          <t>…</t>
        </is>
      </c>
      <c r="B1550" s="84" t="inlineStr">
        <is>
          <t>cm</t>
        </is>
      </c>
      <c r="C1550" s="103">
        <f>CROQUIS_DATOS!$C$1549+CROQUIS_DATOS!$C$1547</f>
        <v>250</v>
      </c>
    </row>
    <row r="1551">
      <c r="A1551" s="78" t="inlineStr">
        <is>
          <t>Elemento de abajo: peralte</t>
        </is>
      </c>
      <c r="B1551" s="84" t="inlineStr">
        <is>
          <t>cm</t>
        </is>
      </c>
      <c r="C1551" s="103">
        <f>IF(CROQUIS_DATOS!$C$1544=1,MAX(CROQUIS_DATOS!$C$1546,10),CROQUIS_DATOS!$C$1528)</f>
        <v>20</v>
      </c>
    </row>
    <row r="1552">
      <c r="A1552" s="78" t="inlineStr">
        <is>
          <t>Varillas de la dala de desplante (inferior / superior)</t>
        </is>
      </c>
      <c r="B1552" s="84" t="inlineStr">
        <is>
          <t>cm</t>
        </is>
      </c>
      <c r="C1552" s="103">
        <f>-CROQUIS_DATOS!$C$1528+CROQUIS_DATOS!$C$1530+CROQUIS_DATOS!$C$1532+CROQUIS_DATOS!$C$1533/2</f>
        <v>-16.8885</v>
      </c>
    </row>
    <row r="1553">
      <c r="A1553" s="78" t="inlineStr">
        <is>
          <t>…</t>
        </is>
      </c>
      <c r="B1553" s="84" t="inlineStr">
        <is>
          <t>cm</t>
        </is>
      </c>
      <c r="C1553" s="103">
        <f>-CROQUIS_DATOS!$C$1530-CROQUIS_DATOS!$C$1532-CROQUIS_DATOS!$C$1533/2</f>
        <v>-3.1115</v>
      </c>
    </row>
    <row r="1554">
      <c r="A1554" s="78" t="inlineStr">
        <is>
          <t>Varilla inferior de la viga de apoyo</t>
        </is>
      </c>
      <c r="B1554" s="84" t="inlineStr">
        <is>
          <t>cm</t>
        </is>
      </c>
      <c r="C1554" s="103">
        <f>-CROQUIS_DATOS!$C$1551+CROQUIS_DATOS!$C$1530+CROQUIS_DATOS!$C$1532+CROQUIS_DATOS!$C$1533/2</f>
        <v>-16.8885</v>
      </c>
    </row>
    <row r="1555">
      <c r="A1555" s="78" t="inlineStr">
        <is>
          <t>¿Refuerzo horizontal?</t>
        </is>
      </c>
      <c r="B1555" s="84" t="inlineStr">
        <is>
          <t>—</t>
        </is>
      </c>
      <c r="C1555" s="101">
        <f>IF(AND(CROQUIS_DATOS!$C$1472=1,OR(INDEX(MUROS!$AE$11:$AE$70,DETALLE!$C$7)="VARILLA EN JUNTAS",INDEX(MUROS!$AE$11:$AE$70,DETALLE!$C$7)="MALLA",INDEX(MUROS!$AE$11:$AE$70,DETALLE!$C$7)="ESCALERILLA")),1,0)</f>
        <v>0</v>
      </c>
    </row>
    <row r="1556">
      <c r="A1556" s="78" t="inlineStr">
        <is>
          <t>Separación de las líneas de refuerzo horizontal que se dibujan</t>
        </is>
      </c>
      <c r="B1556" s="84" t="inlineStr">
        <is>
          <t>cm</t>
        </is>
      </c>
      <c r="C1556" s="103">
        <f>IF(INDEX(MUROS!$AE$11:$AE$70,DETALLE!$C$7)="MALLA",15.24,MAX(N(INDEX(MUROS!$DK$11:$DK$70,DETALLE!$C$7)),5))</f>
        <v>5</v>
      </c>
    </row>
    <row r="1557">
      <c r="A1557" s="78" t="inlineStr">
        <is>
          <t>Líneas por tramo</t>
        </is>
      </c>
      <c r="B1557" s="84" t="inlineStr">
        <is>
          <t>pzas</t>
        </is>
      </c>
      <c r="C1557" s="101">
        <f>MIN(30,MAX(0,INT((CROQUIS_DATOS!$C$1476-1)/CROQUIS_DATOS!$C$1556)))</f>
        <v>30</v>
      </c>
    </row>
    <row r="1558">
      <c r="A1558" s="78" t="inlineStr">
        <is>
          <t>Estribos de dala que se dibujan / separación</t>
        </is>
      </c>
      <c r="B1558" s="84" t="inlineStr">
        <is>
          <t>pzas</t>
        </is>
      </c>
      <c r="C1558" s="101">
        <f>MIN(140,MAX(1,INT(CROQUIS_DATOS!$C$1475/CROQUIS_DATOS!$C$1538)))</f>
        <v>25</v>
      </c>
    </row>
    <row r="1559">
      <c r="A1559" s="78" t="inlineStr">
        <is>
          <t>…</t>
        </is>
      </c>
      <c r="B1559" s="84" t="inlineStr">
        <is>
          <t>cm</t>
        </is>
      </c>
      <c r="C1559" s="103">
        <f>CROQUIS_DATOS!$C$1475/(CROQUIS_DATOS!$C$1558+1)</f>
        <v>19.2307692307692</v>
      </c>
    </row>
    <row r="1560">
      <c r="A1560" s="78" t="inlineStr">
        <is>
          <t>Alto del alzado (elemento de abajo + muro + dala)</t>
        </is>
      </c>
      <c r="B1560" s="84" t="inlineStr">
        <is>
          <t>cm</t>
        </is>
      </c>
      <c r="C1560" s="103">
        <f>CROQUIS_DATOS!$C$1476+CROQUIS_DATOS!$C$1528+CROQUIS_DATOS!$C$1551</f>
        <v>290</v>
      </c>
    </row>
    <row r="1561">
      <c r="A1561" s="78" t="inlineStr">
        <is>
          <t>Exageración vertical de los alzados</t>
        </is>
      </c>
      <c r="B1561" s="84" t="inlineStr">
        <is>
          <t>×</t>
        </is>
      </c>
      <c r="C1561" s="101">
        <f>MAX(1,MIN(3,ROUNDUP(CROQUIS_DATOS!$C$1475/(CROQUIS_DATOS!$C$1560*2.3),0)))</f>
        <v>1</v>
      </c>
    </row>
    <row r="1562">
      <c r="A1562" s="78" t="inlineStr">
        <is>
          <t>Alzado a: escala</t>
        </is>
      </c>
      <c r="B1562" s="84" t="inlineStr">
        <is>
          <t>u/cm</t>
        </is>
      </c>
      <c r="C1562" s="105">
        <f>MIN(96/CROQUIS_DATOS!$C$1475,40.5/(CROQUIS_DATOS!$C$1560*CROQUIS_DATOS!$C$1561))</f>
        <v>0.139655172413793</v>
      </c>
    </row>
    <row r="1563">
      <c r="A1563" s="78" t="inlineStr">
        <is>
          <t>Alzado a: origen s / z</t>
        </is>
      </c>
      <c r="B1563" s="84" t="inlineStr">
        <is>
          <t>u</t>
        </is>
      </c>
      <c r="C1563" s="104">
        <f>2+(96-CROQUIS_DATOS!$C$1475*CROQUIS_DATOS!$C$1562)/2</f>
        <v>15.0862068965517</v>
      </c>
    </row>
    <row r="1564">
      <c r="A1564" s="78" t="inlineStr">
        <is>
          <t>…</t>
        </is>
      </c>
      <c r="B1564" s="84" t="inlineStr">
        <is>
          <t>u</t>
        </is>
      </c>
      <c r="C1564" s="104">
        <f>2.5+(40.5-CROQUIS_DATOS!$C$1560*CROQUIS_DATOS!$C$1561*CROQUIS_DATOS!$C$1562)/2+CROQUIS_DATOS!$C$1551*CROQUIS_DATOS!$C$1561*CROQUIS_DATOS!$C$1562</f>
        <v>5.29310344827586</v>
      </c>
    </row>
    <row r="1565">
      <c r="A1565" s="78" t="inlineStr">
        <is>
          <t>Alzado b: escala</t>
        </is>
      </c>
      <c r="B1565" s="84" t="inlineStr">
        <is>
          <t>u/cm</t>
        </is>
      </c>
      <c r="C1565" s="105">
        <f>MIN(84/CROQUIS_DATOS!$C$1475,31/(CROQUIS_DATOS!$C$1560*CROQUIS_DATOS!$C$1561))</f>
        <v>0.106896551724138</v>
      </c>
    </row>
    <row r="1566">
      <c r="A1566" s="78" t="inlineStr">
        <is>
          <t>Alzado b: origen s / z</t>
        </is>
      </c>
      <c r="B1566" s="84" t="inlineStr">
        <is>
          <t>u</t>
        </is>
      </c>
      <c r="C1566" s="104">
        <f>9+(84-CROQUIS_DATOS!$C$1475*CROQUIS_DATOS!$C$1565)/2</f>
        <v>24.2758620689655</v>
      </c>
    </row>
    <row r="1567">
      <c r="A1567" s="78" t="inlineStr">
        <is>
          <t>…</t>
        </is>
      </c>
      <c r="B1567" s="84" t="inlineStr">
        <is>
          <t>u</t>
        </is>
      </c>
      <c r="C1567" s="104">
        <f>10+(31-CROQUIS_DATOS!$C$1560*CROQUIS_DATOS!$C$1561*CROQUIS_DATOS!$C$1565)/2+CROQUIS_DATOS!$C$1551*CROQUIS_DATOS!$C$1561*CROQUIS_DATOS!$C$1565</f>
        <v>12.1379310344828</v>
      </c>
    </row>
    <row r="1568">
      <c r="A1568" s="78" t="inlineStr">
        <is>
          <t>Alzado: paso del achurado</t>
        </is>
      </c>
      <c r="B1568" s="84" t="inlineStr">
        <is>
          <t>cm</t>
        </is>
      </c>
      <c r="C1568" s="103">
        <f>1.6/CROQUIS_DATOS!$C$1565</f>
        <v>14.9677419354839</v>
      </c>
    </row>
    <row r="1569">
      <c r="A1569" s="78" t="inlineStr">
        <is>
          <t>Planta: escala / exageración del espesor</t>
        </is>
      </c>
      <c r="B1569" s="84" t="inlineStr">
        <is>
          <t>u/cm</t>
        </is>
      </c>
      <c r="C1569" s="105">
        <f>92/CROQUIS_DATOS!$C$1475</f>
        <v>0.184</v>
      </c>
    </row>
    <row r="1570">
      <c r="A1570" s="78" t="inlineStr">
        <is>
          <t>…</t>
        </is>
      </c>
      <c r="B1570" s="84" t="inlineStr">
        <is>
          <t>×</t>
        </is>
      </c>
      <c r="C1570" s="104">
        <f>MAX(1,4.5/(CROQUIS_DATOS!$C$1477*CROQUIS_DATOS!$C$1569))</f>
        <v>1.6304347826087</v>
      </c>
    </row>
    <row r="1571">
      <c r="A1571" s="78" t="inlineStr">
        <is>
          <t>Planta: origen s / y</t>
        </is>
      </c>
      <c r="B1571" s="84" t="inlineStr">
        <is>
          <t>u</t>
        </is>
      </c>
      <c r="C1571" s="104">
        <f>6</f>
        <v>6</v>
      </c>
    </row>
    <row r="1572">
      <c r="A1572" s="78" t="inlineStr">
        <is>
          <t>…</t>
        </is>
      </c>
      <c r="B1572" s="84" t="inlineStr">
        <is>
          <t>u</t>
        </is>
      </c>
      <c r="C1572" s="104">
        <f>9.5</f>
        <v>9.5</v>
      </c>
    </row>
    <row r="1573">
      <c r="A1573" s="78" t="inlineStr">
        <is>
          <t>Secciones: escala</t>
        </is>
      </c>
      <c r="B1573" s="84" t="inlineStr">
        <is>
          <t>u/cm</t>
        </is>
      </c>
      <c r="C1573" s="106">
        <f>MIN(84/(CROQUIS_DATOS!$C$1526+45+CROQUIS_DATOS!$C$1529+18),40/(MAX(CROQUIS_DATOS!$C$1527,CROQUIS_DATOS!$C$1528)+14))</f>
        <v>0.903225806451613</v>
      </c>
    </row>
    <row r="1574">
      <c r="A1574" s="78" t="inlineStr">
        <is>
          <t>Secciones: x del castillo / x de la dala / y base</t>
        </is>
      </c>
      <c r="B1574" s="84" t="inlineStr">
        <is>
          <t>u</t>
        </is>
      </c>
      <c r="C1574" s="104">
        <f>8</f>
        <v>8</v>
      </c>
    </row>
    <row r="1575">
      <c r="A1575" s="78" t="inlineStr">
        <is>
          <t>…</t>
        </is>
      </c>
      <c r="B1575" s="84" t="inlineStr">
        <is>
          <t>u</t>
        </is>
      </c>
      <c r="C1575" s="104">
        <f>CROQUIS_DATOS!$C$1574+(CROQUIS_DATOS!$C$1526+45)*CROQUIS_DATOS!$C$1573</f>
        <v>62.1935483870968</v>
      </c>
    </row>
    <row r="1576">
      <c r="A1576" s="78" t="inlineStr">
        <is>
          <t>…</t>
        </is>
      </c>
      <c r="B1576" s="84" t="inlineStr">
        <is>
          <t>u</t>
        </is>
      </c>
      <c r="C1576" s="104">
        <f>12</f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2026-10-25T03:32:31Z</dcterms:created>
  <dcterms:modified xmlns:dcterms="http://purl.org/dc/terms/" xmlns:xsi="http://www.w3.org/2001/XMLSchema-instance" xsi:type="dcterms:W3CDTF">2026-10-25T03:32:35Z</dcterms:modified>
</cp:coreProperties>
</file>